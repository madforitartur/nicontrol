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23003-NN\Utilizadores\19223211-AB\Desktop\"/>
    </mc:Choice>
  </mc:AlternateContent>
  <xr:revisionPtr revIDLastSave="0" documentId="8_{1C11EF0B-71FF-4FCF-9C1C-B2D9F2D54111}" xr6:coauthVersionLast="47" xr6:coauthVersionMax="47" xr10:uidLastSave="{00000000-0000-0000-0000-000000000000}"/>
  <bookViews>
    <workbookView xWindow="-120" yWindow="-120" windowWidth="29040" windowHeight="15990" xr2:uid="{A9C438D8-962B-4293-90EF-AC2DD999575B}"/>
  </bookViews>
  <sheets>
    <sheet name="csvC7D2" sheetId="1" r:id="rId1"/>
  </sheets>
  <definedNames>
    <definedName name="_xlnm._FilterDatabase" localSheetId="0" hidden="1">csvC7D2!$A$1:$AO$5379</definedName>
  </definedNames>
  <calcPr calcId="181029"/>
</workbook>
</file>

<file path=xl/calcChain.xml><?xml version="1.0" encoding="utf-8"?>
<calcChain xmlns="http://schemas.openxmlformats.org/spreadsheetml/2006/main">
  <c r="A1" i="1" l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R1" i="1"/>
  <c r="S1" i="1"/>
  <c r="U1" i="1"/>
  <c r="V1" i="1"/>
  <c r="X1" i="1"/>
  <c r="Z1" i="1"/>
  <c r="AA1" i="1"/>
  <c r="AC1" i="1"/>
  <c r="AE1" i="1"/>
  <c r="AF1" i="1"/>
  <c r="AH1" i="1"/>
  <c r="AI1" i="1"/>
  <c r="AJ1" i="1"/>
  <c r="AK1" i="1"/>
  <c r="AL1" i="1"/>
  <c r="AM1" i="1"/>
  <c r="AN1" i="1"/>
  <c r="AO1" i="1"/>
  <c r="A2" i="1"/>
  <c r="B2" i="1"/>
  <c r="F2" i="1"/>
  <c r="G2" i="1"/>
  <c r="H2" i="1"/>
  <c r="I2" i="1"/>
  <c r="J2" i="1"/>
  <c r="K2" i="1"/>
  <c r="L2" i="1"/>
  <c r="M2" i="1"/>
  <c r="N2" i="1"/>
  <c r="A3" i="1"/>
  <c r="B3" i="1"/>
  <c r="F3" i="1"/>
  <c r="G3" i="1"/>
  <c r="H3" i="1"/>
  <c r="I3" i="1"/>
  <c r="J3" i="1"/>
  <c r="K3" i="1"/>
  <c r="L3" i="1"/>
  <c r="M3" i="1"/>
  <c r="N3" i="1"/>
  <c r="A4" i="1"/>
  <c r="B4" i="1"/>
  <c r="F4" i="1"/>
  <c r="G4" i="1"/>
  <c r="H4" i="1"/>
  <c r="I4" i="1"/>
  <c r="J4" i="1"/>
  <c r="K4" i="1"/>
  <c r="L4" i="1"/>
  <c r="M4" i="1"/>
  <c r="N4" i="1"/>
  <c r="A5" i="1"/>
  <c r="B5" i="1"/>
  <c r="F5" i="1"/>
  <c r="G5" i="1"/>
  <c r="H5" i="1"/>
  <c r="I5" i="1"/>
  <c r="J5" i="1"/>
  <c r="K5" i="1"/>
  <c r="L5" i="1"/>
  <c r="M5" i="1"/>
  <c r="N5" i="1"/>
  <c r="A6" i="1"/>
  <c r="B6" i="1"/>
  <c r="F6" i="1"/>
  <c r="G6" i="1"/>
  <c r="H6" i="1"/>
  <c r="I6" i="1"/>
  <c r="J6" i="1"/>
  <c r="K6" i="1"/>
  <c r="L6" i="1"/>
  <c r="M6" i="1"/>
  <c r="N6" i="1"/>
  <c r="A7" i="1"/>
  <c r="B7" i="1"/>
  <c r="F7" i="1"/>
  <c r="G7" i="1"/>
  <c r="H7" i="1"/>
  <c r="I7" i="1"/>
  <c r="J7" i="1"/>
  <c r="K7" i="1"/>
  <c r="L7" i="1"/>
  <c r="M7" i="1"/>
  <c r="N7" i="1"/>
  <c r="A8" i="1"/>
  <c r="B8" i="1"/>
  <c r="F8" i="1"/>
  <c r="G8" i="1"/>
  <c r="H8" i="1"/>
  <c r="I8" i="1"/>
  <c r="J8" i="1"/>
  <c r="K8" i="1"/>
  <c r="L8" i="1"/>
  <c r="M8" i="1"/>
  <c r="N8" i="1"/>
  <c r="A9" i="1"/>
  <c r="B9" i="1"/>
  <c r="F9" i="1"/>
  <c r="G9" i="1"/>
  <c r="H9" i="1"/>
  <c r="I9" i="1"/>
  <c r="J9" i="1"/>
  <c r="K9" i="1"/>
  <c r="L9" i="1"/>
  <c r="M9" i="1"/>
  <c r="N9" i="1"/>
  <c r="A10" i="1"/>
  <c r="B10" i="1"/>
  <c r="F10" i="1"/>
  <c r="G10" i="1"/>
  <c r="H10" i="1"/>
  <c r="I10" i="1"/>
  <c r="J10" i="1"/>
  <c r="K10" i="1"/>
  <c r="L10" i="1"/>
  <c r="M10" i="1"/>
  <c r="N10" i="1"/>
  <c r="A11" i="1"/>
  <c r="B11" i="1"/>
  <c r="F11" i="1"/>
  <c r="G11" i="1"/>
  <c r="H11" i="1"/>
  <c r="I11" i="1"/>
  <c r="J11" i="1"/>
  <c r="K11" i="1"/>
  <c r="L11" i="1"/>
  <c r="M11" i="1"/>
  <c r="N11" i="1"/>
  <c r="A12" i="1"/>
  <c r="B12" i="1"/>
  <c r="F12" i="1"/>
  <c r="G12" i="1"/>
  <c r="H12" i="1"/>
  <c r="I12" i="1"/>
  <c r="J12" i="1"/>
  <c r="K12" i="1"/>
  <c r="L12" i="1"/>
  <c r="M12" i="1"/>
  <c r="N12" i="1"/>
  <c r="A13" i="1"/>
  <c r="B13" i="1"/>
  <c r="F13" i="1"/>
  <c r="G13" i="1"/>
  <c r="H13" i="1"/>
  <c r="I13" i="1"/>
  <c r="J13" i="1"/>
  <c r="K13" i="1"/>
  <c r="L13" i="1"/>
  <c r="M13" i="1"/>
  <c r="N13" i="1"/>
  <c r="A14" i="1"/>
  <c r="B14" i="1"/>
  <c r="F14" i="1"/>
  <c r="G14" i="1"/>
  <c r="H14" i="1"/>
  <c r="I14" i="1"/>
  <c r="J14" i="1"/>
  <c r="K14" i="1"/>
  <c r="L14" i="1"/>
  <c r="M14" i="1"/>
  <c r="N14" i="1"/>
  <c r="A15" i="1"/>
  <c r="B15" i="1"/>
  <c r="F15" i="1"/>
  <c r="G15" i="1"/>
  <c r="H15" i="1"/>
  <c r="I15" i="1"/>
  <c r="J15" i="1"/>
  <c r="K15" i="1"/>
  <c r="L15" i="1"/>
  <c r="M15" i="1"/>
  <c r="N15" i="1"/>
  <c r="A16" i="1"/>
  <c r="B16" i="1"/>
  <c r="F16" i="1"/>
  <c r="G16" i="1"/>
  <c r="H16" i="1"/>
  <c r="I16" i="1"/>
  <c r="J16" i="1"/>
  <c r="K16" i="1"/>
  <c r="L16" i="1"/>
  <c r="M16" i="1"/>
  <c r="N16" i="1"/>
  <c r="A17" i="1"/>
  <c r="B17" i="1"/>
  <c r="F17" i="1"/>
  <c r="G17" i="1"/>
  <c r="H17" i="1"/>
  <c r="I17" i="1"/>
  <c r="J17" i="1"/>
  <c r="K17" i="1"/>
  <c r="L17" i="1"/>
  <c r="M17" i="1"/>
  <c r="N17" i="1"/>
  <c r="A18" i="1"/>
  <c r="B18" i="1"/>
  <c r="F18" i="1"/>
  <c r="G18" i="1"/>
  <c r="H18" i="1"/>
  <c r="I18" i="1"/>
  <c r="J18" i="1"/>
  <c r="K18" i="1"/>
  <c r="L18" i="1"/>
  <c r="M18" i="1"/>
  <c r="N18" i="1"/>
  <c r="A19" i="1"/>
  <c r="B19" i="1"/>
  <c r="F19" i="1"/>
  <c r="G19" i="1"/>
  <c r="H19" i="1"/>
  <c r="I19" i="1"/>
  <c r="J19" i="1"/>
  <c r="K19" i="1"/>
  <c r="L19" i="1"/>
  <c r="M19" i="1"/>
  <c r="N19" i="1"/>
  <c r="A20" i="1"/>
  <c r="B20" i="1"/>
  <c r="F20" i="1"/>
  <c r="G20" i="1"/>
  <c r="H20" i="1"/>
  <c r="I20" i="1"/>
  <c r="J20" i="1"/>
  <c r="K20" i="1"/>
  <c r="L20" i="1"/>
  <c r="M20" i="1"/>
  <c r="N20" i="1"/>
  <c r="A21" i="1"/>
  <c r="B21" i="1"/>
  <c r="F21" i="1"/>
  <c r="G21" i="1"/>
  <c r="H21" i="1"/>
  <c r="I21" i="1"/>
  <c r="J21" i="1"/>
  <c r="K21" i="1"/>
  <c r="L21" i="1"/>
  <c r="M21" i="1"/>
  <c r="N21" i="1"/>
  <c r="A22" i="1"/>
  <c r="B22" i="1"/>
  <c r="F22" i="1"/>
  <c r="G22" i="1"/>
  <c r="H22" i="1"/>
  <c r="I22" i="1"/>
  <c r="J22" i="1"/>
  <c r="K22" i="1"/>
  <c r="L22" i="1"/>
  <c r="M22" i="1"/>
  <c r="N22" i="1"/>
  <c r="A23" i="1"/>
  <c r="B23" i="1"/>
  <c r="F23" i="1"/>
  <c r="G23" i="1"/>
  <c r="H23" i="1"/>
  <c r="I23" i="1"/>
  <c r="J23" i="1"/>
  <c r="K23" i="1"/>
  <c r="L23" i="1"/>
  <c r="M23" i="1"/>
  <c r="N23" i="1"/>
  <c r="A24" i="1"/>
  <c r="B24" i="1"/>
  <c r="F24" i="1"/>
  <c r="G24" i="1"/>
  <c r="H24" i="1"/>
  <c r="I24" i="1"/>
  <c r="J24" i="1"/>
  <c r="K24" i="1"/>
  <c r="L24" i="1"/>
  <c r="M24" i="1"/>
  <c r="N24" i="1"/>
  <c r="A25" i="1"/>
  <c r="B25" i="1"/>
  <c r="F25" i="1"/>
  <c r="G25" i="1"/>
  <c r="H25" i="1"/>
  <c r="I25" i="1"/>
  <c r="J25" i="1"/>
  <c r="K25" i="1"/>
  <c r="L25" i="1"/>
  <c r="M25" i="1"/>
  <c r="N25" i="1"/>
  <c r="A26" i="1"/>
  <c r="B26" i="1"/>
  <c r="F26" i="1"/>
  <c r="G26" i="1"/>
  <c r="H26" i="1"/>
  <c r="I26" i="1"/>
  <c r="J26" i="1"/>
  <c r="K26" i="1"/>
  <c r="L26" i="1"/>
  <c r="M26" i="1"/>
  <c r="N26" i="1"/>
  <c r="A27" i="1"/>
  <c r="B27" i="1"/>
  <c r="F27" i="1"/>
  <c r="G27" i="1"/>
  <c r="H27" i="1"/>
  <c r="I27" i="1"/>
  <c r="J27" i="1"/>
  <c r="K27" i="1"/>
  <c r="L27" i="1"/>
  <c r="M27" i="1"/>
  <c r="N27" i="1"/>
  <c r="A28" i="1"/>
  <c r="B28" i="1"/>
  <c r="F28" i="1"/>
  <c r="G28" i="1"/>
  <c r="H28" i="1"/>
  <c r="I28" i="1"/>
  <c r="J28" i="1"/>
  <c r="K28" i="1"/>
  <c r="L28" i="1"/>
  <c r="M28" i="1"/>
  <c r="N28" i="1"/>
  <c r="A29" i="1"/>
  <c r="B29" i="1"/>
  <c r="F29" i="1"/>
  <c r="G29" i="1"/>
  <c r="H29" i="1"/>
  <c r="I29" i="1"/>
  <c r="J29" i="1"/>
  <c r="K29" i="1"/>
  <c r="L29" i="1"/>
  <c r="M29" i="1"/>
  <c r="N29" i="1"/>
  <c r="A30" i="1"/>
  <c r="B30" i="1"/>
  <c r="F30" i="1"/>
  <c r="G30" i="1"/>
  <c r="H30" i="1"/>
  <c r="I30" i="1"/>
  <c r="J30" i="1"/>
  <c r="K30" i="1"/>
  <c r="L30" i="1"/>
  <c r="M30" i="1"/>
  <c r="N30" i="1"/>
  <c r="A31" i="1"/>
  <c r="B31" i="1"/>
  <c r="F31" i="1"/>
  <c r="G31" i="1"/>
  <c r="H31" i="1"/>
  <c r="I31" i="1"/>
  <c r="J31" i="1"/>
  <c r="K31" i="1"/>
  <c r="L31" i="1"/>
  <c r="M31" i="1"/>
  <c r="N31" i="1"/>
  <c r="A32" i="1"/>
  <c r="B32" i="1"/>
  <c r="F32" i="1"/>
  <c r="G32" i="1"/>
  <c r="H32" i="1"/>
  <c r="I32" i="1"/>
  <c r="J32" i="1"/>
  <c r="K32" i="1"/>
  <c r="L32" i="1"/>
  <c r="M32" i="1"/>
  <c r="N32" i="1"/>
  <c r="A33" i="1"/>
  <c r="B33" i="1"/>
  <c r="F33" i="1"/>
  <c r="G33" i="1"/>
  <c r="H33" i="1"/>
  <c r="I33" i="1"/>
  <c r="J33" i="1"/>
  <c r="K33" i="1"/>
  <c r="L33" i="1"/>
  <c r="M33" i="1"/>
  <c r="N33" i="1"/>
  <c r="A34" i="1"/>
  <c r="B34" i="1"/>
  <c r="F34" i="1"/>
  <c r="G34" i="1"/>
  <c r="H34" i="1"/>
  <c r="I34" i="1"/>
  <c r="J34" i="1"/>
  <c r="K34" i="1"/>
  <c r="L34" i="1"/>
  <c r="M34" i="1"/>
  <c r="N34" i="1"/>
  <c r="A35" i="1"/>
  <c r="B35" i="1"/>
  <c r="F35" i="1"/>
  <c r="G35" i="1"/>
  <c r="H35" i="1"/>
  <c r="I35" i="1"/>
  <c r="J35" i="1"/>
  <c r="K35" i="1"/>
  <c r="L35" i="1"/>
  <c r="M35" i="1"/>
  <c r="N35" i="1"/>
  <c r="A36" i="1"/>
  <c r="B36" i="1"/>
  <c r="F36" i="1"/>
  <c r="G36" i="1"/>
  <c r="H36" i="1"/>
  <c r="I36" i="1"/>
  <c r="J36" i="1"/>
  <c r="K36" i="1"/>
  <c r="L36" i="1"/>
  <c r="M36" i="1"/>
  <c r="N36" i="1"/>
  <c r="A37" i="1"/>
  <c r="B37" i="1"/>
  <c r="F37" i="1"/>
  <c r="G37" i="1"/>
  <c r="H37" i="1"/>
  <c r="I37" i="1"/>
  <c r="J37" i="1"/>
  <c r="K37" i="1"/>
  <c r="L37" i="1"/>
  <c r="M37" i="1"/>
  <c r="N37" i="1"/>
  <c r="A38" i="1"/>
  <c r="B38" i="1"/>
  <c r="F38" i="1"/>
  <c r="G38" i="1"/>
  <c r="H38" i="1"/>
  <c r="I38" i="1"/>
  <c r="J38" i="1"/>
  <c r="K38" i="1"/>
  <c r="L38" i="1"/>
  <c r="M38" i="1"/>
  <c r="N38" i="1"/>
  <c r="A39" i="1"/>
  <c r="B39" i="1"/>
  <c r="F39" i="1"/>
  <c r="G39" i="1"/>
  <c r="H39" i="1"/>
  <c r="I39" i="1"/>
  <c r="J39" i="1"/>
  <c r="K39" i="1"/>
  <c r="L39" i="1"/>
  <c r="M39" i="1"/>
  <c r="N39" i="1"/>
  <c r="A40" i="1"/>
  <c r="B40" i="1"/>
  <c r="F40" i="1"/>
  <c r="G40" i="1"/>
  <c r="H40" i="1"/>
  <c r="I40" i="1"/>
  <c r="J40" i="1"/>
  <c r="K40" i="1"/>
  <c r="L40" i="1"/>
  <c r="M40" i="1"/>
  <c r="N40" i="1"/>
  <c r="A41" i="1"/>
  <c r="B41" i="1"/>
  <c r="F41" i="1"/>
  <c r="G41" i="1"/>
  <c r="H41" i="1"/>
  <c r="I41" i="1"/>
  <c r="J41" i="1"/>
  <c r="K41" i="1"/>
  <c r="L41" i="1"/>
  <c r="M41" i="1"/>
  <c r="N41" i="1"/>
  <c r="A42" i="1"/>
  <c r="B42" i="1"/>
  <c r="F42" i="1"/>
  <c r="G42" i="1"/>
  <c r="H42" i="1"/>
  <c r="I42" i="1"/>
  <c r="J42" i="1"/>
  <c r="K42" i="1"/>
  <c r="L42" i="1"/>
  <c r="M42" i="1"/>
  <c r="N42" i="1"/>
  <c r="A43" i="1"/>
  <c r="B43" i="1"/>
  <c r="F43" i="1"/>
  <c r="G43" i="1"/>
  <c r="H43" i="1"/>
  <c r="I43" i="1"/>
  <c r="J43" i="1"/>
  <c r="K43" i="1"/>
  <c r="L43" i="1"/>
  <c r="M43" i="1"/>
  <c r="N43" i="1"/>
  <c r="A44" i="1"/>
  <c r="B44" i="1"/>
  <c r="F44" i="1"/>
  <c r="G44" i="1"/>
  <c r="H44" i="1"/>
  <c r="I44" i="1"/>
  <c r="J44" i="1"/>
  <c r="K44" i="1"/>
  <c r="L44" i="1"/>
  <c r="M44" i="1"/>
  <c r="N44" i="1"/>
  <c r="A45" i="1"/>
  <c r="B45" i="1"/>
  <c r="F45" i="1"/>
  <c r="G45" i="1"/>
  <c r="H45" i="1"/>
  <c r="I45" i="1"/>
  <c r="J45" i="1"/>
  <c r="K45" i="1"/>
  <c r="L45" i="1"/>
  <c r="M45" i="1"/>
  <c r="N45" i="1"/>
  <c r="A46" i="1"/>
  <c r="B46" i="1"/>
  <c r="F46" i="1"/>
  <c r="G46" i="1"/>
  <c r="H46" i="1"/>
  <c r="I46" i="1"/>
  <c r="J46" i="1"/>
  <c r="K46" i="1"/>
  <c r="L46" i="1"/>
  <c r="M46" i="1"/>
  <c r="N46" i="1"/>
  <c r="A47" i="1"/>
  <c r="B47" i="1"/>
  <c r="F47" i="1"/>
  <c r="G47" i="1"/>
  <c r="H47" i="1"/>
  <c r="I47" i="1"/>
  <c r="J47" i="1"/>
  <c r="K47" i="1"/>
  <c r="L47" i="1"/>
  <c r="M47" i="1"/>
  <c r="N47" i="1"/>
  <c r="A48" i="1"/>
  <c r="B48" i="1"/>
  <c r="F48" i="1"/>
  <c r="G48" i="1"/>
  <c r="H48" i="1"/>
  <c r="I48" i="1"/>
  <c r="J48" i="1"/>
  <c r="K48" i="1"/>
  <c r="L48" i="1"/>
  <c r="M48" i="1"/>
  <c r="N48" i="1"/>
  <c r="A49" i="1"/>
  <c r="B49" i="1"/>
  <c r="F49" i="1"/>
  <c r="G49" i="1"/>
  <c r="H49" i="1"/>
  <c r="I49" i="1"/>
  <c r="J49" i="1"/>
  <c r="K49" i="1"/>
  <c r="L49" i="1"/>
  <c r="M49" i="1"/>
  <c r="N49" i="1"/>
  <c r="A50" i="1"/>
  <c r="B50" i="1"/>
  <c r="F50" i="1"/>
  <c r="G50" i="1"/>
  <c r="H50" i="1"/>
  <c r="I50" i="1"/>
  <c r="J50" i="1"/>
  <c r="K50" i="1"/>
  <c r="L50" i="1"/>
  <c r="M50" i="1"/>
  <c r="N50" i="1"/>
  <c r="A51" i="1"/>
  <c r="B51" i="1"/>
  <c r="F51" i="1"/>
  <c r="G51" i="1"/>
  <c r="H51" i="1"/>
  <c r="I51" i="1"/>
  <c r="J51" i="1"/>
  <c r="K51" i="1"/>
  <c r="L51" i="1"/>
  <c r="M51" i="1"/>
  <c r="N51" i="1"/>
  <c r="A52" i="1"/>
  <c r="B52" i="1"/>
  <c r="F52" i="1"/>
  <c r="G52" i="1"/>
  <c r="H52" i="1"/>
  <c r="I52" i="1"/>
  <c r="J52" i="1"/>
  <c r="K52" i="1"/>
  <c r="L52" i="1"/>
  <c r="M52" i="1"/>
  <c r="N52" i="1"/>
  <c r="A53" i="1"/>
  <c r="B53" i="1"/>
  <c r="F53" i="1"/>
  <c r="G53" i="1"/>
  <c r="H53" i="1"/>
  <c r="I53" i="1"/>
  <c r="J53" i="1"/>
  <c r="K53" i="1"/>
  <c r="L53" i="1"/>
  <c r="M53" i="1"/>
  <c r="N53" i="1"/>
  <c r="A54" i="1"/>
  <c r="B54" i="1"/>
  <c r="F54" i="1"/>
  <c r="G54" i="1"/>
  <c r="H54" i="1"/>
  <c r="I54" i="1"/>
  <c r="J54" i="1"/>
  <c r="K54" i="1"/>
  <c r="L54" i="1"/>
  <c r="M54" i="1"/>
  <c r="N54" i="1"/>
  <c r="A55" i="1"/>
  <c r="B55" i="1"/>
  <c r="F55" i="1"/>
  <c r="G55" i="1"/>
  <c r="H55" i="1"/>
  <c r="I55" i="1"/>
  <c r="J55" i="1"/>
  <c r="K55" i="1"/>
  <c r="L55" i="1"/>
  <c r="M55" i="1"/>
  <c r="N55" i="1"/>
  <c r="A56" i="1"/>
  <c r="B56" i="1"/>
  <c r="F56" i="1"/>
  <c r="G56" i="1"/>
  <c r="H56" i="1"/>
  <c r="I56" i="1"/>
  <c r="J56" i="1"/>
  <c r="K56" i="1"/>
  <c r="L56" i="1"/>
  <c r="M56" i="1"/>
  <c r="N56" i="1"/>
  <c r="A57" i="1"/>
  <c r="B57" i="1"/>
  <c r="F57" i="1"/>
  <c r="G57" i="1"/>
  <c r="H57" i="1"/>
  <c r="I57" i="1"/>
  <c r="J57" i="1"/>
  <c r="K57" i="1"/>
  <c r="L57" i="1"/>
  <c r="M57" i="1"/>
  <c r="N57" i="1"/>
  <c r="A58" i="1"/>
  <c r="B58" i="1"/>
  <c r="F58" i="1"/>
  <c r="G58" i="1"/>
  <c r="H58" i="1"/>
  <c r="I58" i="1"/>
  <c r="J58" i="1"/>
  <c r="K58" i="1"/>
  <c r="L58" i="1"/>
  <c r="M58" i="1"/>
  <c r="N58" i="1"/>
  <c r="A59" i="1"/>
  <c r="B59" i="1"/>
  <c r="F59" i="1"/>
  <c r="G59" i="1"/>
  <c r="H59" i="1"/>
  <c r="I59" i="1"/>
  <c r="J59" i="1"/>
  <c r="K59" i="1"/>
  <c r="L59" i="1"/>
  <c r="M59" i="1"/>
  <c r="N59" i="1"/>
  <c r="A60" i="1"/>
  <c r="B60" i="1"/>
  <c r="F60" i="1"/>
  <c r="G60" i="1"/>
  <c r="H60" i="1"/>
  <c r="I60" i="1"/>
  <c r="J60" i="1"/>
  <c r="K60" i="1"/>
  <c r="L60" i="1"/>
  <c r="M60" i="1"/>
  <c r="N60" i="1"/>
  <c r="A61" i="1"/>
  <c r="B61" i="1"/>
  <c r="F61" i="1"/>
  <c r="G61" i="1"/>
  <c r="H61" i="1"/>
  <c r="I61" i="1"/>
  <c r="J61" i="1"/>
  <c r="K61" i="1"/>
  <c r="L61" i="1"/>
  <c r="M61" i="1"/>
  <c r="N61" i="1"/>
  <c r="A62" i="1"/>
  <c r="B62" i="1"/>
  <c r="F62" i="1"/>
  <c r="G62" i="1"/>
  <c r="H62" i="1"/>
  <c r="I62" i="1"/>
  <c r="J62" i="1"/>
  <c r="K62" i="1"/>
  <c r="L62" i="1"/>
  <c r="M62" i="1"/>
  <c r="N62" i="1"/>
  <c r="A63" i="1"/>
  <c r="B63" i="1"/>
  <c r="F63" i="1"/>
  <c r="G63" i="1"/>
  <c r="H63" i="1"/>
  <c r="I63" i="1"/>
  <c r="J63" i="1"/>
  <c r="K63" i="1"/>
  <c r="L63" i="1"/>
  <c r="M63" i="1"/>
  <c r="N63" i="1"/>
  <c r="A64" i="1"/>
  <c r="B64" i="1"/>
  <c r="F64" i="1"/>
  <c r="G64" i="1"/>
  <c r="H64" i="1"/>
  <c r="I64" i="1"/>
  <c r="J64" i="1"/>
  <c r="K64" i="1"/>
  <c r="L64" i="1"/>
  <c r="M64" i="1"/>
  <c r="N64" i="1"/>
  <c r="A65" i="1"/>
  <c r="B65" i="1"/>
  <c r="F65" i="1"/>
  <c r="G65" i="1"/>
  <c r="H65" i="1"/>
  <c r="I65" i="1"/>
  <c r="J65" i="1"/>
  <c r="K65" i="1"/>
  <c r="L65" i="1"/>
  <c r="M65" i="1"/>
  <c r="N65" i="1"/>
  <c r="A66" i="1"/>
  <c r="B66" i="1"/>
  <c r="F66" i="1"/>
  <c r="G66" i="1"/>
  <c r="H66" i="1"/>
  <c r="I66" i="1"/>
  <c r="J66" i="1"/>
  <c r="K66" i="1"/>
  <c r="L66" i="1"/>
  <c r="M66" i="1"/>
  <c r="N66" i="1"/>
  <c r="A67" i="1"/>
  <c r="B67" i="1"/>
  <c r="F67" i="1"/>
  <c r="G67" i="1"/>
  <c r="H67" i="1"/>
  <c r="I67" i="1"/>
  <c r="J67" i="1"/>
  <c r="K67" i="1"/>
  <c r="L67" i="1"/>
  <c r="M67" i="1"/>
  <c r="N67" i="1"/>
  <c r="A68" i="1"/>
  <c r="B68" i="1"/>
  <c r="F68" i="1"/>
  <c r="G68" i="1"/>
  <c r="H68" i="1"/>
  <c r="I68" i="1"/>
  <c r="J68" i="1"/>
  <c r="K68" i="1"/>
  <c r="L68" i="1"/>
  <c r="M68" i="1"/>
  <c r="N68" i="1"/>
  <c r="A69" i="1"/>
  <c r="B69" i="1"/>
  <c r="F69" i="1"/>
  <c r="G69" i="1"/>
  <c r="H69" i="1"/>
  <c r="I69" i="1"/>
  <c r="J69" i="1"/>
  <c r="K69" i="1"/>
  <c r="L69" i="1"/>
  <c r="M69" i="1"/>
  <c r="N69" i="1"/>
  <c r="A70" i="1"/>
  <c r="B70" i="1"/>
  <c r="F70" i="1"/>
  <c r="G70" i="1"/>
  <c r="H70" i="1"/>
  <c r="I70" i="1"/>
  <c r="J70" i="1"/>
  <c r="K70" i="1"/>
  <c r="L70" i="1"/>
  <c r="M70" i="1"/>
  <c r="N70" i="1"/>
  <c r="A71" i="1"/>
  <c r="B71" i="1"/>
  <c r="F71" i="1"/>
  <c r="G71" i="1"/>
  <c r="H71" i="1"/>
  <c r="I71" i="1"/>
  <c r="J71" i="1"/>
  <c r="K71" i="1"/>
  <c r="L71" i="1"/>
  <c r="M71" i="1"/>
  <c r="N71" i="1"/>
  <c r="A72" i="1"/>
  <c r="B72" i="1"/>
  <c r="F72" i="1"/>
  <c r="G72" i="1"/>
  <c r="H72" i="1"/>
  <c r="I72" i="1"/>
  <c r="J72" i="1"/>
  <c r="K72" i="1"/>
  <c r="L72" i="1"/>
  <c r="M72" i="1"/>
  <c r="N72" i="1"/>
  <c r="A73" i="1"/>
  <c r="B73" i="1"/>
  <c r="F73" i="1"/>
  <c r="G73" i="1"/>
  <c r="H73" i="1"/>
  <c r="I73" i="1"/>
  <c r="J73" i="1"/>
  <c r="K73" i="1"/>
  <c r="L73" i="1"/>
  <c r="M73" i="1"/>
  <c r="N73" i="1"/>
  <c r="A74" i="1"/>
  <c r="B74" i="1"/>
  <c r="F74" i="1"/>
  <c r="G74" i="1"/>
  <c r="H74" i="1"/>
  <c r="I74" i="1"/>
  <c r="J74" i="1"/>
  <c r="K74" i="1"/>
  <c r="L74" i="1"/>
  <c r="M74" i="1"/>
  <c r="N74" i="1"/>
  <c r="A75" i="1"/>
  <c r="B75" i="1"/>
  <c r="F75" i="1"/>
  <c r="G75" i="1"/>
  <c r="H75" i="1"/>
  <c r="I75" i="1"/>
  <c r="J75" i="1"/>
  <c r="K75" i="1"/>
  <c r="L75" i="1"/>
  <c r="M75" i="1"/>
  <c r="N75" i="1"/>
  <c r="A76" i="1"/>
  <c r="B76" i="1"/>
  <c r="F76" i="1"/>
  <c r="G76" i="1"/>
  <c r="H76" i="1"/>
  <c r="I76" i="1"/>
  <c r="J76" i="1"/>
  <c r="K76" i="1"/>
  <c r="L76" i="1"/>
  <c r="M76" i="1"/>
  <c r="N76" i="1"/>
  <c r="A77" i="1"/>
  <c r="B77" i="1"/>
  <c r="F77" i="1"/>
  <c r="G77" i="1"/>
  <c r="H77" i="1"/>
  <c r="I77" i="1"/>
  <c r="J77" i="1"/>
  <c r="K77" i="1"/>
  <c r="L77" i="1"/>
  <c r="M77" i="1"/>
  <c r="N77" i="1"/>
  <c r="A78" i="1"/>
  <c r="B78" i="1"/>
  <c r="F78" i="1"/>
  <c r="G78" i="1"/>
  <c r="H78" i="1"/>
  <c r="I78" i="1"/>
  <c r="J78" i="1"/>
  <c r="K78" i="1"/>
  <c r="L78" i="1"/>
  <c r="M78" i="1"/>
  <c r="N78" i="1"/>
  <c r="A79" i="1"/>
  <c r="B79" i="1"/>
  <c r="F79" i="1"/>
  <c r="G79" i="1"/>
  <c r="H79" i="1"/>
  <c r="I79" i="1"/>
  <c r="J79" i="1"/>
  <c r="K79" i="1"/>
  <c r="L79" i="1"/>
  <c r="M79" i="1"/>
  <c r="N79" i="1"/>
  <c r="A80" i="1"/>
  <c r="B80" i="1"/>
  <c r="F80" i="1"/>
  <c r="G80" i="1"/>
  <c r="H80" i="1"/>
  <c r="I80" i="1"/>
  <c r="J80" i="1"/>
  <c r="K80" i="1"/>
  <c r="L80" i="1"/>
  <c r="M80" i="1"/>
  <c r="N80" i="1"/>
  <c r="A81" i="1"/>
  <c r="B81" i="1"/>
  <c r="F81" i="1"/>
  <c r="G81" i="1"/>
  <c r="H81" i="1"/>
  <c r="I81" i="1"/>
  <c r="J81" i="1"/>
  <c r="K81" i="1"/>
  <c r="L81" i="1"/>
  <c r="M81" i="1"/>
  <c r="N81" i="1"/>
  <c r="A82" i="1"/>
  <c r="B82" i="1"/>
  <c r="F82" i="1"/>
  <c r="G82" i="1"/>
  <c r="H82" i="1"/>
  <c r="I82" i="1"/>
  <c r="J82" i="1"/>
  <c r="K82" i="1"/>
  <c r="L82" i="1"/>
  <c r="M82" i="1"/>
  <c r="N82" i="1"/>
  <c r="A83" i="1"/>
  <c r="B83" i="1"/>
  <c r="F83" i="1"/>
  <c r="G83" i="1"/>
  <c r="H83" i="1"/>
  <c r="I83" i="1"/>
  <c r="J83" i="1"/>
  <c r="K83" i="1"/>
  <c r="L83" i="1"/>
  <c r="M83" i="1"/>
  <c r="N83" i="1"/>
  <c r="A84" i="1"/>
  <c r="B84" i="1"/>
  <c r="F84" i="1"/>
  <c r="G84" i="1"/>
  <c r="H84" i="1"/>
  <c r="I84" i="1"/>
  <c r="J84" i="1"/>
  <c r="K84" i="1"/>
  <c r="L84" i="1"/>
  <c r="M84" i="1"/>
  <c r="N84" i="1"/>
  <c r="A85" i="1"/>
  <c r="B85" i="1"/>
  <c r="F85" i="1"/>
  <c r="G85" i="1"/>
  <c r="H85" i="1"/>
  <c r="I85" i="1"/>
  <c r="J85" i="1"/>
  <c r="K85" i="1"/>
  <c r="L85" i="1"/>
  <c r="M85" i="1"/>
  <c r="N85" i="1"/>
  <c r="A86" i="1"/>
  <c r="B86" i="1"/>
  <c r="F86" i="1"/>
  <c r="G86" i="1"/>
  <c r="H86" i="1"/>
  <c r="I86" i="1"/>
  <c r="J86" i="1"/>
  <c r="K86" i="1"/>
  <c r="L86" i="1"/>
  <c r="M86" i="1"/>
  <c r="N86" i="1"/>
  <c r="A87" i="1"/>
  <c r="B87" i="1"/>
  <c r="F87" i="1"/>
  <c r="G87" i="1"/>
  <c r="H87" i="1"/>
  <c r="I87" i="1"/>
  <c r="J87" i="1"/>
  <c r="K87" i="1"/>
  <c r="L87" i="1"/>
  <c r="M87" i="1"/>
  <c r="N87" i="1"/>
  <c r="A88" i="1"/>
  <c r="B88" i="1"/>
  <c r="F88" i="1"/>
  <c r="G88" i="1"/>
  <c r="H88" i="1"/>
  <c r="I88" i="1"/>
  <c r="J88" i="1"/>
  <c r="K88" i="1"/>
  <c r="L88" i="1"/>
  <c r="M88" i="1"/>
  <c r="N88" i="1"/>
  <c r="A89" i="1"/>
  <c r="B89" i="1"/>
  <c r="F89" i="1"/>
  <c r="G89" i="1"/>
  <c r="H89" i="1"/>
  <c r="I89" i="1"/>
  <c r="J89" i="1"/>
  <c r="K89" i="1"/>
  <c r="L89" i="1"/>
  <c r="M89" i="1"/>
  <c r="N89" i="1"/>
  <c r="A90" i="1"/>
  <c r="B90" i="1"/>
  <c r="F90" i="1"/>
  <c r="G90" i="1"/>
  <c r="H90" i="1"/>
  <c r="I90" i="1"/>
  <c r="J90" i="1"/>
  <c r="K90" i="1"/>
  <c r="L90" i="1"/>
  <c r="M90" i="1"/>
  <c r="N90" i="1"/>
  <c r="A91" i="1"/>
  <c r="B91" i="1"/>
  <c r="F91" i="1"/>
  <c r="G91" i="1"/>
  <c r="H91" i="1"/>
  <c r="I91" i="1"/>
  <c r="J91" i="1"/>
  <c r="K91" i="1"/>
  <c r="L91" i="1"/>
  <c r="M91" i="1"/>
  <c r="N91" i="1"/>
  <c r="A92" i="1"/>
  <c r="B92" i="1"/>
  <c r="F92" i="1"/>
  <c r="G92" i="1"/>
  <c r="H92" i="1"/>
  <c r="I92" i="1"/>
  <c r="J92" i="1"/>
  <c r="K92" i="1"/>
  <c r="L92" i="1"/>
  <c r="M92" i="1"/>
  <c r="N92" i="1"/>
  <c r="A93" i="1"/>
  <c r="B93" i="1"/>
  <c r="F93" i="1"/>
  <c r="G93" i="1"/>
  <c r="H93" i="1"/>
  <c r="I93" i="1"/>
  <c r="J93" i="1"/>
  <c r="K93" i="1"/>
  <c r="L93" i="1"/>
  <c r="M93" i="1"/>
  <c r="N93" i="1"/>
  <c r="A94" i="1"/>
  <c r="B94" i="1"/>
  <c r="F94" i="1"/>
  <c r="G94" i="1"/>
  <c r="H94" i="1"/>
  <c r="I94" i="1"/>
  <c r="J94" i="1"/>
  <c r="K94" i="1"/>
  <c r="L94" i="1"/>
  <c r="M94" i="1"/>
  <c r="N94" i="1"/>
  <c r="A95" i="1"/>
  <c r="B95" i="1"/>
  <c r="F95" i="1"/>
  <c r="G95" i="1"/>
  <c r="H95" i="1"/>
  <c r="I95" i="1"/>
  <c r="J95" i="1"/>
  <c r="K95" i="1"/>
  <c r="L95" i="1"/>
  <c r="M95" i="1"/>
  <c r="N95" i="1"/>
  <c r="A96" i="1"/>
  <c r="B96" i="1"/>
  <c r="F96" i="1"/>
  <c r="G96" i="1"/>
  <c r="H96" i="1"/>
  <c r="I96" i="1"/>
  <c r="J96" i="1"/>
  <c r="K96" i="1"/>
  <c r="L96" i="1"/>
  <c r="M96" i="1"/>
  <c r="N96" i="1"/>
  <c r="A97" i="1"/>
  <c r="B97" i="1"/>
  <c r="F97" i="1"/>
  <c r="G97" i="1"/>
  <c r="H97" i="1"/>
  <c r="I97" i="1"/>
  <c r="J97" i="1"/>
  <c r="K97" i="1"/>
  <c r="L97" i="1"/>
  <c r="M97" i="1"/>
  <c r="N97" i="1"/>
  <c r="A98" i="1"/>
  <c r="B98" i="1"/>
  <c r="F98" i="1"/>
  <c r="G98" i="1"/>
  <c r="H98" i="1"/>
  <c r="I98" i="1"/>
  <c r="J98" i="1"/>
  <c r="K98" i="1"/>
  <c r="L98" i="1"/>
  <c r="M98" i="1"/>
  <c r="N98" i="1"/>
  <c r="A99" i="1"/>
  <c r="B99" i="1"/>
  <c r="F99" i="1"/>
  <c r="G99" i="1"/>
  <c r="H99" i="1"/>
  <c r="I99" i="1"/>
  <c r="J99" i="1"/>
  <c r="K99" i="1"/>
  <c r="L99" i="1"/>
  <c r="M99" i="1"/>
  <c r="N99" i="1"/>
  <c r="A100" i="1"/>
  <c r="B100" i="1"/>
  <c r="F100" i="1"/>
  <c r="G100" i="1"/>
  <c r="H100" i="1"/>
  <c r="I100" i="1"/>
  <c r="J100" i="1"/>
  <c r="K100" i="1"/>
  <c r="L100" i="1"/>
  <c r="M100" i="1"/>
  <c r="N100" i="1"/>
  <c r="A101" i="1"/>
  <c r="B101" i="1"/>
  <c r="F101" i="1"/>
  <c r="G101" i="1"/>
  <c r="H101" i="1"/>
  <c r="I101" i="1"/>
  <c r="J101" i="1"/>
  <c r="K101" i="1"/>
  <c r="L101" i="1"/>
  <c r="M101" i="1"/>
  <c r="N101" i="1"/>
  <c r="A102" i="1"/>
  <c r="B102" i="1"/>
  <c r="F102" i="1"/>
  <c r="G102" i="1"/>
  <c r="H102" i="1"/>
  <c r="I102" i="1"/>
  <c r="J102" i="1"/>
  <c r="K102" i="1"/>
  <c r="L102" i="1"/>
  <c r="M102" i="1"/>
  <c r="N102" i="1"/>
  <c r="A103" i="1"/>
  <c r="B103" i="1"/>
  <c r="F103" i="1"/>
  <c r="G103" i="1"/>
  <c r="H103" i="1"/>
  <c r="I103" i="1"/>
  <c r="J103" i="1"/>
  <c r="K103" i="1"/>
  <c r="L103" i="1"/>
  <c r="M103" i="1"/>
  <c r="N103" i="1"/>
  <c r="A104" i="1"/>
  <c r="B104" i="1"/>
  <c r="F104" i="1"/>
  <c r="G104" i="1"/>
  <c r="H104" i="1"/>
  <c r="I104" i="1"/>
  <c r="J104" i="1"/>
  <c r="K104" i="1"/>
  <c r="L104" i="1"/>
  <c r="M104" i="1"/>
  <c r="N104" i="1"/>
  <c r="A105" i="1"/>
  <c r="B105" i="1"/>
  <c r="F105" i="1"/>
  <c r="G105" i="1"/>
  <c r="H105" i="1"/>
  <c r="I105" i="1"/>
  <c r="J105" i="1"/>
  <c r="K105" i="1"/>
  <c r="L105" i="1"/>
  <c r="M105" i="1"/>
  <c r="N105" i="1"/>
  <c r="A106" i="1"/>
  <c r="B106" i="1"/>
  <c r="F106" i="1"/>
  <c r="G106" i="1"/>
  <c r="H106" i="1"/>
  <c r="I106" i="1"/>
  <c r="J106" i="1"/>
  <c r="K106" i="1"/>
  <c r="L106" i="1"/>
  <c r="M106" i="1"/>
  <c r="N106" i="1"/>
  <c r="A107" i="1"/>
  <c r="B107" i="1"/>
  <c r="F107" i="1"/>
  <c r="G107" i="1"/>
  <c r="H107" i="1"/>
  <c r="I107" i="1"/>
  <c r="J107" i="1"/>
  <c r="K107" i="1"/>
  <c r="L107" i="1"/>
  <c r="M107" i="1"/>
  <c r="N107" i="1"/>
  <c r="A108" i="1"/>
  <c r="B108" i="1"/>
  <c r="F108" i="1"/>
  <c r="G108" i="1"/>
  <c r="H108" i="1"/>
  <c r="I108" i="1"/>
  <c r="J108" i="1"/>
  <c r="K108" i="1"/>
  <c r="L108" i="1"/>
  <c r="M108" i="1"/>
  <c r="N108" i="1"/>
  <c r="A109" i="1"/>
  <c r="B109" i="1"/>
  <c r="F109" i="1"/>
  <c r="G109" i="1"/>
  <c r="H109" i="1"/>
  <c r="I109" i="1"/>
  <c r="J109" i="1"/>
  <c r="K109" i="1"/>
  <c r="L109" i="1"/>
  <c r="M109" i="1"/>
  <c r="N109" i="1"/>
  <c r="A110" i="1"/>
  <c r="B110" i="1"/>
  <c r="F110" i="1"/>
  <c r="G110" i="1"/>
  <c r="H110" i="1"/>
  <c r="I110" i="1"/>
  <c r="J110" i="1"/>
  <c r="K110" i="1"/>
  <c r="L110" i="1"/>
  <c r="M110" i="1"/>
  <c r="N110" i="1"/>
  <c r="A111" i="1"/>
  <c r="B111" i="1"/>
  <c r="F111" i="1"/>
  <c r="G111" i="1"/>
  <c r="H111" i="1"/>
  <c r="I111" i="1"/>
  <c r="J111" i="1"/>
  <c r="K111" i="1"/>
  <c r="L111" i="1"/>
  <c r="M111" i="1"/>
  <c r="N111" i="1"/>
  <c r="A112" i="1"/>
  <c r="B112" i="1"/>
  <c r="F112" i="1"/>
  <c r="G112" i="1"/>
  <c r="H112" i="1"/>
  <c r="I112" i="1"/>
  <c r="J112" i="1"/>
  <c r="K112" i="1"/>
  <c r="L112" i="1"/>
  <c r="M112" i="1"/>
  <c r="N112" i="1"/>
  <c r="A113" i="1"/>
  <c r="B113" i="1"/>
  <c r="F113" i="1"/>
  <c r="G113" i="1"/>
  <c r="H113" i="1"/>
  <c r="I113" i="1"/>
  <c r="J113" i="1"/>
  <c r="K113" i="1"/>
  <c r="L113" i="1"/>
  <c r="M113" i="1"/>
  <c r="N113" i="1"/>
  <c r="A114" i="1"/>
  <c r="B114" i="1"/>
  <c r="F114" i="1"/>
  <c r="G114" i="1"/>
  <c r="H114" i="1"/>
  <c r="I114" i="1"/>
  <c r="J114" i="1"/>
  <c r="K114" i="1"/>
  <c r="L114" i="1"/>
  <c r="M114" i="1"/>
  <c r="N114" i="1"/>
  <c r="A115" i="1"/>
  <c r="B115" i="1"/>
  <c r="F115" i="1"/>
  <c r="G115" i="1"/>
  <c r="H115" i="1"/>
  <c r="I115" i="1"/>
  <c r="J115" i="1"/>
  <c r="K115" i="1"/>
  <c r="L115" i="1"/>
  <c r="M115" i="1"/>
  <c r="N115" i="1"/>
  <c r="A116" i="1"/>
  <c r="B116" i="1"/>
  <c r="F116" i="1"/>
  <c r="G116" i="1"/>
  <c r="H116" i="1"/>
  <c r="I116" i="1"/>
  <c r="J116" i="1"/>
  <c r="K116" i="1"/>
  <c r="L116" i="1"/>
  <c r="M116" i="1"/>
  <c r="N116" i="1"/>
  <c r="A117" i="1"/>
  <c r="B117" i="1"/>
  <c r="F117" i="1"/>
  <c r="G117" i="1"/>
  <c r="H117" i="1"/>
  <c r="I117" i="1"/>
  <c r="J117" i="1"/>
  <c r="K117" i="1"/>
  <c r="L117" i="1"/>
  <c r="M117" i="1"/>
  <c r="N117" i="1"/>
  <c r="A118" i="1"/>
  <c r="B118" i="1"/>
  <c r="F118" i="1"/>
  <c r="G118" i="1"/>
  <c r="H118" i="1"/>
  <c r="I118" i="1"/>
  <c r="J118" i="1"/>
  <c r="K118" i="1"/>
  <c r="L118" i="1"/>
  <c r="M118" i="1"/>
  <c r="N118" i="1"/>
  <c r="A119" i="1"/>
  <c r="B119" i="1"/>
  <c r="F119" i="1"/>
  <c r="G119" i="1"/>
  <c r="H119" i="1"/>
  <c r="I119" i="1"/>
  <c r="J119" i="1"/>
  <c r="K119" i="1"/>
  <c r="L119" i="1"/>
  <c r="M119" i="1"/>
  <c r="N119" i="1"/>
  <c r="A120" i="1"/>
  <c r="B120" i="1"/>
  <c r="F120" i="1"/>
  <c r="G120" i="1"/>
  <c r="H120" i="1"/>
  <c r="I120" i="1"/>
  <c r="J120" i="1"/>
  <c r="K120" i="1"/>
  <c r="L120" i="1"/>
  <c r="M120" i="1"/>
  <c r="N120" i="1"/>
  <c r="A121" i="1"/>
  <c r="B121" i="1"/>
  <c r="F121" i="1"/>
  <c r="G121" i="1"/>
  <c r="H121" i="1"/>
  <c r="I121" i="1"/>
  <c r="J121" i="1"/>
  <c r="K121" i="1"/>
  <c r="L121" i="1"/>
  <c r="M121" i="1"/>
  <c r="N121" i="1"/>
  <c r="A122" i="1"/>
  <c r="B122" i="1"/>
  <c r="F122" i="1"/>
  <c r="G122" i="1"/>
  <c r="H122" i="1"/>
  <c r="I122" i="1"/>
  <c r="J122" i="1"/>
  <c r="K122" i="1"/>
  <c r="L122" i="1"/>
  <c r="M122" i="1"/>
  <c r="N122" i="1"/>
  <c r="A123" i="1"/>
  <c r="B123" i="1"/>
  <c r="F123" i="1"/>
  <c r="G123" i="1"/>
  <c r="H123" i="1"/>
  <c r="I123" i="1"/>
  <c r="J123" i="1"/>
  <c r="K123" i="1"/>
  <c r="L123" i="1"/>
  <c r="M123" i="1"/>
  <c r="N123" i="1"/>
  <c r="A124" i="1"/>
  <c r="B124" i="1"/>
  <c r="F124" i="1"/>
  <c r="G124" i="1"/>
  <c r="H124" i="1"/>
  <c r="I124" i="1"/>
  <c r="J124" i="1"/>
  <c r="K124" i="1"/>
  <c r="L124" i="1"/>
  <c r="M124" i="1"/>
  <c r="N124" i="1"/>
  <c r="A125" i="1"/>
  <c r="B125" i="1"/>
  <c r="F125" i="1"/>
  <c r="G125" i="1"/>
  <c r="H125" i="1"/>
  <c r="I125" i="1"/>
  <c r="J125" i="1"/>
  <c r="K125" i="1"/>
  <c r="L125" i="1"/>
  <c r="M125" i="1"/>
  <c r="N125" i="1"/>
  <c r="A126" i="1"/>
  <c r="B126" i="1"/>
  <c r="F126" i="1"/>
  <c r="G126" i="1"/>
  <c r="H126" i="1"/>
  <c r="I126" i="1"/>
  <c r="J126" i="1"/>
  <c r="K126" i="1"/>
  <c r="L126" i="1"/>
  <c r="M126" i="1"/>
  <c r="N126" i="1"/>
  <c r="A127" i="1"/>
  <c r="B127" i="1"/>
  <c r="F127" i="1"/>
  <c r="G127" i="1"/>
  <c r="H127" i="1"/>
  <c r="I127" i="1"/>
  <c r="J127" i="1"/>
  <c r="K127" i="1"/>
  <c r="L127" i="1"/>
  <c r="M127" i="1"/>
  <c r="N127" i="1"/>
  <c r="A128" i="1"/>
  <c r="B128" i="1"/>
  <c r="F128" i="1"/>
  <c r="G128" i="1"/>
  <c r="H128" i="1"/>
  <c r="I128" i="1"/>
  <c r="J128" i="1"/>
  <c r="K128" i="1"/>
  <c r="L128" i="1"/>
  <c r="M128" i="1"/>
  <c r="N128" i="1"/>
  <c r="A129" i="1"/>
  <c r="B129" i="1"/>
  <c r="F129" i="1"/>
  <c r="G129" i="1"/>
  <c r="H129" i="1"/>
  <c r="I129" i="1"/>
  <c r="J129" i="1"/>
  <c r="K129" i="1"/>
  <c r="L129" i="1"/>
  <c r="M129" i="1"/>
  <c r="N129" i="1"/>
  <c r="A130" i="1"/>
  <c r="B130" i="1"/>
  <c r="F130" i="1"/>
  <c r="G130" i="1"/>
  <c r="H130" i="1"/>
  <c r="I130" i="1"/>
  <c r="J130" i="1"/>
  <c r="K130" i="1"/>
  <c r="L130" i="1"/>
  <c r="M130" i="1"/>
  <c r="N130" i="1"/>
  <c r="A131" i="1"/>
  <c r="B131" i="1"/>
  <c r="F131" i="1"/>
  <c r="G131" i="1"/>
  <c r="H131" i="1"/>
  <c r="I131" i="1"/>
  <c r="J131" i="1"/>
  <c r="K131" i="1"/>
  <c r="L131" i="1"/>
  <c r="M131" i="1"/>
  <c r="N131" i="1"/>
  <c r="A132" i="1"/>
  <c r="B132" i="1"/>
  <c r="F132" i="1"/>
  <c r="G132" i="1"/>
  <c r="H132" i="1"/>
  <c r="I132" i="1"/>
  <c r="J132" i="1"/>
  <c r="K132" i="1"/>
  <c r="L132" i="1"/>
  <c r="M132" i="1"/>
  <c r="N132" i="1"/>
  <c r="A133" i="1"/>
  <c r="B133" i="1"/>
  <c r="F133" i="1"/>
  <c r="G133" i="1"/>
  <c r="H133" i="1"/>
  <c r="I133" i="1"/>
  <c r="J133" i="1"/>
  <c r="K133" i="1"/>
  <c r="L133" i="1"/>
  <c r="M133" i="1"/>
  <c r="N133" i="1"/>
  <c r="A134" i="1"/>
  <c r="B134" i="1"/>
  <c r="F134" i="1"/>
  <c r="G134" i="1"/>
  <c r="H134" i="1"/>
  <c r="I134" i="1"/>
  <c r="J134" i="1"/>
  <c r="K134" i="1"/>
  <c r="L134" i="1"/>
  <c r="M134" i="1"/>
  <c r="N134" i="1"/>
  <c r="A135" i="1"/>
  <c r="B135" i="1"/>
  <c r="F135" i="1"/>
  <c r="G135" i="1"/>
  <c r="H135" i="1"/>
  <c r="I135" i="1"/>
  <c r="J135" i="1"/>
  <c r="K135" i="1"/>
  <c r="L135" i="1"/>
  <c r="M135" i="1"/>
  <c r="N135" i="1"/>
  <c r="A136" i="1"/>
  <c r="B136" i="1"/>
  <c r="F136" i="1"/>
  <c r="G136" i="1"/>
  <c r="H136" i="1"/>
  <c r="I136" i="1"/>
  <c r="J136" i="1"/>
  <c r="K136" i="1"/>
  <c r="L136" i="1"/>
  <c r="M136" i="1"/>
  <c r="N136" i="1"/>
  <c r="A137" i="1"/>
  <c r="B137" i="1"/>
  <c r="F137" i="1"/>
  <c r="G137" i="1"/>
  <c r="H137" i="1"/>
  <c r="I137" i="1"/>
  <c r="J137" i="1"/>
  <c r="K137" i="1"/>
  <c r="L137" i="1"/>
  <c r="M137" i="1"/>
  <c r="N137" i="1"/>
  <c r="A138" i="1"/>
  <c r="B138" i="1"/>
  <c r="F138" i="1"/>
  <c r="G138" i="1"/>
  <c r="H138" i="1"/>
  <c r="I138" i="1"/>
  <c r="J138" i="1"/>
  <c r="K138" i="1"/>
  <c r="L138" i="1"/>
  <c r="M138" i="1"/>
  <c r="N138" i="1"/>
  <c r="A139" i="1"/>
  <c r="B139" i="1"/>
  <c r="F139" i="1"/>
  <c r="G139" i="1"/>
  <c r="H139" i="1"/>
  <c r="I139" i="1"/>
  <c r="J139" i="1"/>
  <c r="K139" i="1"/>
  <c r="L139" i="1"/>
  <c r="M139" i="1"/>
  <c r="N139" i="1"/>
  <c r="A140" i="1"/>
  <c r="B140" i="1"/>
  <c r="F140" i="1"/>
  <c r="G140" i="1"/>
  <c r="H140" i="1"/>
  <c r="I140" i="1"/>
  <c r="J140" i="1"/>
  <c r="K140" i="1"/>
  <c r="L140" i="1"/>
  <c r="M140" i="1"/>
  <c r="N140" i="1"/>
  <c r="A141" i="1"/>
  <c r="B141" i="1"/>
  <c r="F141" i="1"/>
  <c r="G141" i="1"/>
  <c r="H141" i="1"/>
  <c r="I141" i="1"/>
  <c r="J141" i="1"/>
  <c r="K141" i="1"/>
  <c r="L141" i="1"/>
  <c r="M141" i="1"/>
  <c r="N141" i="1"/>
  <c r="A142" i="1"/>
  <c r="B142" i="1"/>
  <c r="F142" i="1"/>
  <c r="G142" i="1"/>
  <c r="H142" i="1"/>
  <c r="I142" i="1"/>
  <c r="J142" i="1"/>
  <c r="K142" i="1"/>
  <c r="L142" i="1"/>
  <c r="M142" i="1"/>
  <c r="N142" i="1"/>
  <c r="A143" i="1"/>
  <c r="B143" i="1"/>
  <c r="F143" i="1"/>
  <c r="G143" i="1"/>
  <c r="H143" i="1"/>
  <c r="I143" i="1"/>
  <c r="J143" i="1"/>
  <c r="K143" i="1"/>
  <c r="L143" i="1"/>
  <c r="M143" i="1"/>
  <c r="N143" i="1"/>
  <c r="A144" i="1"/>
  <c r="B144" i="1"/>
  <c r="F144" i="1"/>
  <c r="G144" i="1"/>
  <c r="H144" i="1"/>
  <c r="I144" i="1"/>
  <c r="J144" i="1"/>
  <c r="K144" i="1"/>
  <c r="L144" i="1"/>
  <c r="M144" i="1"/>
  <c r="N144" i="1"/>
  <c r="A145" i="1"/>
  <c r="B145" i="1"/>
  <c r="F145" i="1"/>
  <c r="G145" i="1"/>
  <c r="H145" i="1"/>
  <c r="I145" i="1"/>
  <c r="J145" i="1"/>
  <c r="K145" i="1"/>
  <c r="L145" i="1"/>
  <c r="M145" i="1"/>
  <c r="N145" i="1"/>
  <c r="A146" i="1"/>
  <c r="B146" i="1"/>
  <c r="F146" i="1"/>
  <c r="G146" i="1"/>
  <c r="H146" i="1"/>
  <c r="I146" i="1"/>
  <c r="J146" i="1"/>
  <c r="K146" i="1"/>
  <c r="L146" i="1"/>
  <c r="M146" i="1"/>
  <c r="N146" i="1"/>
  <c r="A147" i="1"/>
  <c r="B147" i="1"/>
  <c r="F147" i="1"/>
  <c r="G147" i="1"/>
  <c r="H147" i="1"/>
  <c r="I147" i="1"/>
  <c r="J147" i="1"/>
  <c r="K147" i="1"/>
  <c r="L147" i="1"/>
  <c r="M147" i="1"/>
  <c r="N147" i="1"/>
  <c r="A148" i="1"/>
  <c r="B148" i="1"/>
  <c r="F148" i="1"/>
  <c r="G148" i="1"/>
  <c r="H148" i="1"/>
  <c r="I148" i="1"/>
  <c r="J148" i="1"/>
  <c r="K148" i="1"/>
  <c r="L148" i="1"/>
  <c r="M148" i="1"/>
  <c r="N148" i="1"/>
  <c r="A149" i="1"/>
  <c r="B149" i="1"/>
  <c r="F149" i="1"/>
  <c r="G149" i="1"/>
  <c r="H149" i="1"/>
  <c r="I149" i="1"/>
  <c r="J149" i="1"/>
  <c r="K149" i="1"/>
  <c r="L149" i="1"/>
  <c r="M149" i="1"/>
  <c r="N149" i="1"/>
  <c r="A150" i="1"/>
  <c r="B150" i="1"/>
  <c r="F150" i="1"/>
  <c r="G150" i="1"/>
  <c r="H150" i="1"/>
  <c r="I150" i="1"/>
  <c r="J150" i="1"/>
  <c r="K150" i="1"/>
  <c r="L150" i="1"/>
  <c r="M150" i="1"/>
  <c r="N150" i="1"/>
  <c r="A151" i="1"/>
  <c r="B151" i="1"/>
  <c r="F151" i="1"/>
  <c r="G151" i="1"/>
  <c r="H151" i="1"/>
  <c r="I151" i="1"/>
  <c r="J151" i="1"/>
  <c r="K151" i="1"/>
  <c r="L151" i="1"/>
  <c r="M151" i="1"/>
  <c r="N151" i="1"/>
  <c r="A152" i="1"/>
  <c r="B152" i="1"/>
  <c r="F152" i="1"/>
  <c r="G152" i="1"/>
  <c r="H152" i="1"/>
  <c r="I152" i="1"/>
  <c r="J152" i="1"/>
  <c r="K152" i="1"/>
  <c r="L152" i="1"/>
  <c r="M152" i="1"/>
  <c r="N152" i="1"/>
  <c r="A153" i="1"/>
  <c r="B153" i="1"/>
  <c r="F153" i="1"/>
  <c r="G153" i="1"/>
  <c r="H153" i="1"/>
  <c r="I153" i="1"/>
  <c r="J153" i="1"/>
  <c r="K153" i="1"/>
  <c r="L153" i="1"/>
  <c r="M153" i="1"/>
  <c r="N153" i="1"/>
  <c r="A154" i="1"/>
  <c r="B154" i="1"/>
  <c r="F154" i="1"/>
  <c r="G154" i="1"/>
  <c r="H154" i="1"/>
  <c r="I154" i="1"/>
  <c r="J154" i="1"/>
  <c r="K154" i="1"/>
  <c r="L154" i="1"/>
  <c r="M154" i="1"/>
  <c r="N154" i="1"/>
  <c r="A155" i="1"/>
  <c r="B155" i="1"/>
  <c r="F155" i="1"/>
  <c r="G155" i="1"/>
  <c r="H155" i="1"/>
  <c r="I155" i="1"/>
  <c r="J155" i="1"/>
  <c r="K155" i="1"/>
  <c r="L155" i="1"/>
  <c r="M155" i="1"/>
  <c r="N155" i="1"/>
  <c r="A156" i="1"/>
  <c r="B156" i="1"/>
  <c r="F156" i="1"/>
  <c r="G156" i="1"/>
  <c r="H156" i="1"/>
  <c r="I156" i="1"/>
  <c r="J156" i="1"/>
  <c r="K156" i="1"/>
  <c r="L156" i="1"/>
  <c r="M156" i="1"/>
  <c r="N156" i="1"/>
  <c r="A157" i="1"/>
  <c r="B157" i="1"/>
  <c r="F157" i="1"/>
  <c r="G157" i="1"/>
  <c r="H157" i="1"/>
  <c r="I157" i="1"/>
  <c r="J157" i="1"/>
  <c r="K157" i="1"/>
  <c r="L157" i="1"/>
  <c r="M157" i="1"/>
  <c r="N157" i="1"/>
  <c r="A158" i="1"/>
  <c r="B158" i="1"/>
  <c r="F158" i="1"/>
  <c r="G158" i="1"/>
  <c r="H158" i="1"/>
  <c r="I158" i="1"/>
  <c r="J158" i="1"/>
  <c r="K158" i="1"/>
  <c r="L158" i="1"/>
  <c r="M158" i="1"/>
  <c r="N158" i="1"/>
  <c r="A159" i="1"/>
  <c r="B159" i="1"/>
  <c r="F159" i="1"/>
  <c r="G159" i="1"/>
  <c r="H159" i="1"/>
  <c r="I159" i="1"/>
  <c r="J159" i="1"/>
  <c r="K159" i="1"/>
  <c r="L159" i="1"/>
  <c r="M159" i="1"/>
  <c r="N159" i="1"/>
  <c r="A160" i="1"/>
  <c r="B160" i="1"/>
  <c r="F160" i="1"/>
  <c r="G160" i="1"/>
  <c r="H160" i="1"/>
  <c r="I160" i="1"/>
  <c r="J160" i="1"/>
  <c r="K160" i="1"/>
  <c r="L160" i="1"/>
  <c r="M160" i="1"/>
  <c r="N160" i="1"/>
  <c r="A161" i="1"/>
  <c r="B161" i="1"/>
  <c r="F161" i="1"/>
  <c r="G161" i="1"/>
  <c r="H161" i="1"/>
  <c r="I161" i="1"/>
  <c r="J161" i="1"/>
  <c r="K161" i="1"/>
  <c r="L161" i="1"/>
  <c r="M161" i="1"/>
  <c r="N161" i="1"/>
  <c r="A162" i="1"/>
  <c r="B162" i="1"/>
  <c r="F162" i="1"/>
  <c r="G162" i="1"/>
  <c r="H162" i="1"/>
  <c r="I162" i="1"/>
  <c r="J162" i="1"/>
  <c r="K162" i="1"/>
  <c r="L162" i="1"/>
  <c r="M162" i="1"/>
  <c r="N162" i="1"/>
  <c r="A163" i="1"/>
  <c r="B163" i="1"/>
  <c r="F163" i="1"/>
  <c r="G163" i="1"/>
  <c r="H163" i="1"/>
  <c r="I163" i="1"/>
  <c r="J163" i="1"/>
  <c r="K163" i="1"/>
  <c r="L163" i="1"/>
  <c r="M163" i="1"/>
  <c r="N163" i="1"/>
  <c r="A164" i="1"/>
  <c r="B164" i="1"/>
  <c r="F164" i="1"/>
  <c r="G164" i="1"/>
  <c r="H164" i="1"/>
  <c r="I164" i="1"/>
  <c r="J164" i="1"/>
  <c r="K164" i="1"/>
  <c r="L164" i="1"/>
  <c r="M164" i="1"/>
  <c r="N164" i="1"/>
  <c r="A165" i="1"/>
  <c r="B165" i="1"/>
  <c r="F165" i="1"/>
  <c r="G165" i="1"/>
  <c r="H165" i="1"/>
  <c r="I165" i="1"/>
  <c r="J165" i="1"/>
  <c r="K165" i="1"/>
  <c r="L165" i="1"/>
  <c r="M165" i="1"/>
  <c r="N165" i="1"/>
  <c r="A166" i="1"/>
  <c r="B166" i="1"/>
  <c r="F166" i="1"/>
  <c r="G166" i="1"/>
  <c r="H166" i="1"/>
  <c r="I166" i="1"/>
  <c r="J166" i="1"/>
  <c r="K166" i="1"/>
  <c r="L166" i="1"/>
  <c r="M166" i="1"/>
  <c r="N166" i="1"/>
  <c r="A167" i="1"/>
  <c r="B167" i="1"/>
  <c r="F167" i="1"/>
  <c r="G167" i="1"/>
  <c r="H167" i="1"/>
  <c r="I167" i="1"/>
  <c r="J167" i="1"/>
  <c r="K167" i="1"/>
  <c r="L167" i="1"/>
  <c r="M167" i="1"/>
  <c r="N167" i="1"/>
  <c r="A168" i="1"/>
  <c r="B168" i="1"/>
  <c r="F168" i="1"/>
  <c r="G168" i="1"/>
  <c r="H168" i="1"/>
  <c r="I168" i="1"/>
  <c r="J168" i="1"/>
  <c r="K168" i="1"/>
  <c r="L168" i="1"/>
  <c r="M168" i="1"/>
  <c r="N168" i="1"/>
  <c r="A169" i="1"/>
  <c r="B169" i="1"/>
  <c r="F169" i="1"/>
  <c r="G169" i="1"/>
  <c r="H169" i="1"/>
  <c r="I169" i="1"/>
  <c r="J169" i="1"/>
  <c r="K169" i="1"/>
  <c r="L169" i="1"/>
  <c r="M169" i="1"/>
  <c r="N169" i="1"/>
  <c r="A170" i="1"/>
  <c r="B170" i="1"/>
  <c r="F170" i="1"/>
  <c r="G170" i="1"/>
  <c r="H170" i="1"/>
  <c r="I170" i="1"/>
  <c r="J170" i="1"/>
  <c r="K170" i="1"/>
  <c r="L170" i="1"/>
  <c r="M170" i="1"/>
  <c r="N170" i="1"/>
  <c r="A171" i="1"/>
  <c r="B171" i="1"/>
  <c r="F171" i="1"/>
  <c r="G171" i="1"/>
  <c r="H171" i="1"/>
  <c r="I171" i="1"/>
  <c r="J171" i="1"/>
  <c r="K171" i="1"/>
  <c r="L171" i="1"/>
  <c r="M171" i="1"/>
  <c r="N171" i="1"/>
  <c r="A172" i="1"/>
  <c r="B172" i="1"/>
  <c r="F172" i="1"/>
  <c r="G172" i="1"/>
  <c r="H172" i="1"/>
  <c r="I172" i="1"/>
  <c r="J172" i="1"/>
  <c r="K172" i="1"/>
  <c r="L172" i="1"/>
  <c r="M172" i="1"/>
  <c r="N172" i="1"/>
  <c r="A173" i="1"/>
  <c r="B173" i="1"/>
  <c r="F173" i="1"/>
  <c r="G173" i="1"/>
  <c r="H173" i="1"/>
  <c r="I173" i="1"/>
  <c r="J173" i="1"/>
  <c r="K173" i="1"/>
  <c r="L173" i="1"/>
  <c r="M173" i="1"/>
  <c r="N173" i="1"/>
  <c r="A174" i="1"/>
  <c r="B174" i="1"/>
  <c r="F174" i="1"/>
  <c r="G174" i="1"/>
  <c r="H174" i="1"/>
  <c r="I174" i="1"/>
  <c r="J174" i="1"/>
  <c r="K174" i="1"/>
  <c r="L174" i="1"/>
  <c r="M174" i="1"/>
  <c r="N174" i="1"/>
  <c r="A175" i="1"/>
  <c r="B175" i="1"/>
  <c r="F175" i="1"/>
  <c r="G175" i="1"/>
  <c r="H175" i="1"/>
  <c r="I175" i="1"/>
  <c r="J175" i="1"/>
  <c r="K175" i="1"/>
  <c r="L175" i="1"/>
  <c r="M175" i="1"/>
  <c r="N175" i="1"/>
  <c r="A176" i="1"/>
  <c r="B176" i="1"/>
  <c r="F176" i="1"/>
  <c r="G176" i="1"/>
  <c r="H176" i="1"/>
  <c r="I176" i="1"/>
  <c r="J176" i="1"/>
  <c r="K176" i="1"/>
  <c r="L176" i="1"/>
  <c r="M176" i="1"/>
  <c r="N176" i="1"/>
  <c r="A177" i="1"/>
  <c r="B177" i="1"/>
  <c r="F177" i="1"/>
  <c r="G177" i="1"/>
  <c r="H177" i="1"/>
  <c r="I177" i="1"/>
  <c r="J177" i="1"/>
  <c r="K177" i="1"/>
  <c r="L177" i="1"/>
  <c r="M177" i="1"/>
  <c r="N177" i="1"/>
  <c r="A178" i="1"/>
  <c r="B178" i="1"/>
  <c r="F178" i="1"/>
  <c r="G178" i="1"/>
  <c r="H178" i="1"/>
  <c r="I178" i="1"/>
  <c r="J178" i="1"/>
  <c r="K178" i="1"/>
  <c r="L178" i="1"/>
  <c r="M178" i="1"/>
  <c r="N178" i="1"/>
  <c r="A179" i="1"/>
  <c r="B179" i="1"/>
  <c r="F179" i="1"/>
  <c r="G179" i="1"/>
  <c r="H179" i="1"/>
  <c r="I179" i="1"/>
  <c r="J179" i="1"/>
  <c r="K179" i="1"/>
  <c r="L179" i="1"/>
  <c r="M179" i="1"/>
  <c r="N179" i="1"/>
  <c r="A180" i="1"/>
  <c r="B180" i="1"/>
  <c r="F180" i="1"/>
  <c r="G180" i="1"/>
  <c r="H180" i="1"/>
  <c r="I180" i="1"/>
  <c r="J180" i="1"/>
  <c r="K180" i="1"/>
  <c r="L180" i="1"/>
  <c r="M180" i="1"/>
  <c r="N180" i="1"/>
  <c r="A181" i="1"/>
  <c r="B181" i="1"/>
  <c r="F181" i="1"/>
  <c r="G181" i="1"/>
  <c r="H181" i="1"/>
  <c r="I181" i="1"/>
  <c r="J181" i="1"/>
  <c r="K181" i="1"/>
  <c r="L181" i="1"/>
  <c r="M181" i="1"/>
  <c r="N181" i="1"/>
  <c r="A182" i="1"/>
  <c r="B182" i="1"/>
  <c r="F182" i="1"/>
  <c r="G182" i="1"/>
  <c r="H182" i="1"/>
  <c r="I182" i="1"/>
  <c r="J182" i="1"/>
  <c r="K182" i="1"/>
  <c r="L182" i="1"/>
  <c r="M182" i="1"/>
  <c r="N182" i="1"/>
  <c r="A183" i="1"/>
  <c r="B183" i="1"/>
  <c r="F183" i="1"/>
  <c r="G183" i="1"/>
  <c r="H183" i="1"/>
  <c r="I183" i="1"/>
  <c r="J183" i="1"/>
  <c r="K183" i="1"/>
  <c r="L183" i="1"/>
  <c r="M183" i="1"/>
  <c r="N183" i="1"/>
  <c r="A184" i="1"/>
  <c r="B184" i="1"/>
  <c r="F184" i="1"/>
  <c r="G184" i="1"/>
  <c r="H184" i="1"/>
  <c r="I184" i="1"/>
  <c r="J184" i="1"/>
  <c r="K184" i="1"/>
  <c r="L184" i="1"/>
  <c r="M184" i="1"/>
  <c r="N184" i="1"/>
  <c r="A185" i="1"/>
  <c r="B185" i="1"/>
  <c r="F185" i="1"/>
  <c r="G185" i="1"/>
  <c r="H185" i="1"/>
  <c r="I185" i="1"/>
  <c r="J185" i="1"/>
  <c r="K185" i="1"/>
  <c r="L185" i="1"/>
  <c r="M185" i="1"/>
  <c r="N185" i="1"/>
  <c r="A186" i="1"/>
  <c r="B186" i="1"/>
  <c r="F186" i="1"/>
  <c r="G186" i="1"/>
  <c r="H186" i="1"/>
  <c r="I186" i="1"/>
  <c r="J186" i="1"/>
  <c r="K186" i="1"/>
  <c r="L186" i="1"/>
  <c r="M186" i="1"/>
  <c r="N186" i="1"/>
  <c r="A187" i="1"/>
  <c r="B187" i="1"/>
  <c r="F187" i="1"/>
  <c r="G187" i="1"/>
  <c r="H187" i="1"/>
  <c r="I187" i="1"/>
  <c r="J187" i="1"/>
  <c r="K187" i="1"/>
  <c r="L187" i="1"/>
  <c r="M187" i="1"/>
  <c r="N187" i="1"/>
  <c r="A188" i="1"/>
  <c r="B188" i="1"/>
  <c r="F188" i="1"/>
  <c r="G188" i="1"/>
  <c r="H188" i="1"/>
  <c r="I188" i="1"/>
  <c r="J188" i="1"/>
  <c r="K188" i="1"/>
  <c r="L188" i="1"/>
  <c r="M188" i="1"/>
  <c r="N188" i="1"/>
  <c r="A189" i="1"/>
  <c r="B189" i="1"/>
  <c r="F189" i="1"/>
  <c r="G189" i="1"/>
  <c r="H189" i="1"/>
  <c r="I189" i="1"/>
  <c r="J189" i="1"/>
  <c r="K189" i="1"/>
  <c r="L189" i="1"/>
  <c r="M189" i="1"/>
  <c r="N189" i="1"/>
  <c r="A190" i="1"/>
  <c r="B190" i="1"/>
  <c r="F190" i="1"/>
  <c r="G190" i="1"/>
  <c r="H190" i="1"/>
  <c r="I190" i="1"/>
  <c r="J190" i="1"/>
  <c r="K190" i="1"/>
  <c r="L190" i="1"/>
  <c r="M190" i="1"/>
  <c r="N190" i="1"/>
  <c r="A191" i="1"/>
  <c r="B191" i="1"/>
  <c r="F191" i="1"/>
  <c r="G191" i="1"/>
  <c r="H191" i="1"/>
  <c r="I191" i="1"/>
  <c r="J191" i="1"/>
  <c r="K191" i="1"/>
  <c r="L191" i="1"/>
  <c r="M191" i="1"/>
  <c r="N191" i="1"/>
  <c r="A192" i="1"/>
  <c r="B192" i="1"/>
  <c r="F192" i="1"/>
  <c r="G192" i="1"/>
  <c r="H192" i="1"/>
  <c r="I192" i="1"/>
  <c r="J192" i="1"/>
  <c r="K192" i="1"/>
  <c r="L192" i="1"/>
  <c r="M192" i="1"/>
  <c r="N192" i="1"/>
  <c r="A193" i="1"/>
  <c r="B193" i="1"/>
  <c r="F193" i="1"/>
  <c r="G193" i="1"/>
  <c r="H193" i="1"/>
  <c r="I193" i="1"/>
  <c r="J193" i="1"/>
  <c r="K193" i="1"/>
  <c r="L193" i="1"/>
  <c r="M193" i="1"/>
  <c r="N193" i="1"/>
  <c r="A194" i="1"/>
  <c r="B194" i="1"/>
  <c r="F194" i="1"/>
  <c r="G194" i="1"/>
  <c r="H194" i="1"/>
  <c r="I194" i="1"/>
  <c r="J194" i="1"/>
  <c r="K194" i="1"/>
  <c r="L194" i="1"/>
  <c r="M194" i="1"/>
  <c r="N194" i="1"/>
  <c r="A195" i="1"/>
  <c r="B195" i="1"/>
  <c r="F195" i="1"/>
  <c r="G195" i="1"/>
  <c r="H195" i="1"/>
  <c r="I195" i="1"/>
  <c r="J195" i="1"/>
  <c r="K195" i="1"/>
  <c r="L195" i="1"/>
  <c r="M195" i="1"/>
  <c r="N195" i="1"/>
  <c r="A196" i="1"/>
  <c r="B196" i="1"/>
  <c r="F196" i="1"/>
  <c r="G196" i="1"/>
  <c r="H196" i="1"/>
  <c r="I196" i="1"/>
  <c r="J196" i="1"/>
  <c r="K196" i="1"/>
  <c r="L196" i="1"/>
  <c r="M196" i="1"/>
  <c r="N196" i="1"/>
  <c r="A197" i="1"/>
  <c r="B197" i="1"/>
  <c r="F197" i="1"/>
  <c r="G197" i="1"/>
  <c r="H197" i="1"/>
  <c r="I197" i="1"/>
  <c r="J197" i="1"/>
  <c r="K197" i="1"/>
  <c r="L197" i="1"/>
  <c r="M197" i="1"/>
  <c r="N197" i="1"/>
  <c r="A198" i="1"/>
  <c r="B198" i="1"/>
  <c r="F198" i="1"/>
  <c r="G198" i="1"/>
  <c r="H198" i="1"/>
  <c r="I198" i="1"/>
  <c r="J198" i="1"/>
  <c r="K198" i="1"/>
  <c r="L198" i="1"/>
  <c r="M198" i="1"/>
  <c r="N198" i="1"/>
  <c r="A199" i="1"/>
  <c r="B199" i="1"/>
  <c r="F199" i="1"/>
  <c r="G199" i="1"/>
  <c r="H199" i="1"/>
  <c r="I199" i="1"/>
  <c r="J199" i="1"/>
  <c r="K199" i="1"/>
  <c r="L199" i="1"/>
  <c r="M199" i="1"/>
  <c r="N199" i="1"/>
  <c r="A200" i="1"/>
  <c r="B200" i="1"/>
  <c r="F200" i="1"/>
  <c r="G200" i="1"/>
  <c r="H200" i="1"/>
  <c r="I200" i="1"/>
  <c r="J200" i="1"/>
  <c r="K200" i="1"/>
  <c r="L200" i="1"/>
  <c r="M200" i="1"/>
  <c r="N200" i="1"/>
  <c r="A201" i="1"/>
  <c r="B201" i="1"/>
  <c r="F201" i="1"/>
  <c r="G201" i="1"/>
  <c r="H201" i="1"/>
  <c r="I201" i="1"/>
  <c r="J201" i="1"/>
  <c r="K201" i="1"/>
  <c r="L201" i="1"/>
  <c r="M201" i="1"/>
  <c r="N201" i="1"/>
  <c r="A202" i="1"/>
  <c r="B202" i="1"/>
  <c r="F202" i="1"/>
  <c r="G202" i="1"/>
  <c r="H202" i="1"/>
  <c r="I202" i="1"/>
  <c r="J202" i="1"/>
  <c r="K202" i="1"/>
  <c r="L202" i="1"/>
  <c r="M202" i="1"/>
  <c r="N202" i="1"/>
  <c r="A203" i="1"/>
  <c r="B203" i="1"/>
  <c r="F203" i="1"/>
  <c r="G203" i="1"/>
  <c r="H203" i="1"/>
  <c r="I203" i="1"/>
  <c r="J203" i="1"/>
  <c r="K203" i="1"/>
  <c r="L203" i="1"/>
  <c r="M203" i="1"/>
  <c r="N203" i="1"/>
  <c r="A204" i="1"/>
  <c r="B204" i="1"/>
  <c r="F204" i="1"/>
  <c r="G204" i="1"/>
  <c r="H204" i="1"/>
  <c r="I204" i="1"/>
  <c r="J204" i="1"/>
  <c r="K204" i="1"/>
  <c r="L204" i="1"/>
  <c r="M204" i="1"/>
  <c r="N204" i="1"/>
  <c r="A205" i="1"/>
  <c r="B205" i="1"/>
  <c r="F205" i="1"/>
  <c r="G205" i="1"/>
  <c r="H205" i="1"/>
  <c r="I205" i="1"/>
  <c r="J205" i="1"/>
  <c r="K205" i="1"/>
  <c r="L205" i="1"/>
  <c r="M205" i="1"/>
  <c r="N205" i="1"/>
  <c r="A206" i="1"/>
  <c r="B206" i="1"/>
  <c r="F206" i="1"/>
  <c r="G206" i="1"/>
  <c r="H206" i="1"/>
  <c r="I206" i="1"/>
  <c r="J206" i="1"/>
  <c r="K206" i="1"/>
  <c r="L206" i="1"/>
  <c r="M206" i="1"/>
  <c r="N206" i="1"/>
  <c r="A207" i="1"/>
  <c r="B207" i="1"/>
  <c r="F207" i="1"/>
  <c r="G207" i="1"/>
  <c r="H207" i="1"/>
  <c r="I207" i="1"/>
  <c r="J207" i="1"/>
  <c r="K207" i="1"/>
  <c r="L207" i="1"/>
  <c r="M207" i="1"/>
  <c r="N207" i="1"/>
  <c r="A208" i="1"/>
  <c r="B208" i="1"/>
  <c r="F208" i="1"/>
  <c r="G208" i="1"/>
  <c r="H208" i="1"/>
  <c r="I208" i="1"/>
  <c r="J208" i="1"/>
  <c r="K208" i="1"/>
  <c r="L208" i="1"/>
  <c r="M208" i="1"/>
  <c r="N208" i="1"/>
  <c r="A209" i="1"/>
  <c r="B209" i="1"/>
  <c r="F209" i="1"/>
  <c r="G209" i="1"/>
  <c r="H209" i="1"/>
  <c r="I209" i="1"/>
  <c r="J209" i="1"/>
  <c r="K209" i="1"/>
  <c r="L209" i="1"/>
  <c r="M209" i="1"/>
  <c r="N209" i="1"/>
  <c r="A210" i="1"/>
  <c r="B210" i="1"/>
  <c r="F210" i="1"/>
  <c r="G210" i="1"/>
  <c r="H210" i="1"/>
  <c r="I210" i="1"/>
  <c r="J210" i="1"/>
  <c r="K210" i="1"/>
  <c r="L210" i="1"/>
  <c r="M210" i="1"/>
  <c r="N210" i="1"/>
  <c r="A211" i="1"/>
  <c r="B211" i="1"/>
  <c r="F211" i="1"/>
  <c r="G211" i="1"/>
  <c r="H211" i="1"/>
  <c r="I211" i="1"/>
  <c r="J211" i="1"/>
  <c r="K211" i="1"/>
  <c r="L211" i="1"/>
  <c r="M211" i="1"/>
  <c r="N211" i="1"/>
  <c r="A212" i="1"/>
  <c r="B212" i="1"/>
  <c r="F212" i="1"/>
  <c r="G212" i="1"/>
  <c r="H212" i="1"/>
  <c r="I212" i="1"/>
  <c r="J212" i="1"/>
  <c r="K212" i="1"/>
  <c r="L212" i="1"/>
  <c r="M212" i="1"/>
  <c r="N212" i="1"/>
  <c r="A213" i="1"/>
  <c r="B213" i="1"/>
  <c r="F213" i="1"/>
  <c r="G213" i="1"/>
  <c r="H213" i="1"/>
  <c r="I213" i="1"/>
  <c r="J213" i="1"/>
  <c r="K213" i="1"/>
  <c r="L213" i="1"/>
  <c r="M213" i="1"/>
  <c r="N213" i="1"/>
  <c r="A214" i="1"/>
  <c r="B214" i="1"/>
  <c r="F214" i="1"/>
  <c r="G214" i="1"/>
  <c r="H214" i="1"/>
  <c r="I214" i="1"/>
  <c r="J214" i="1"/>
  <c r="K214" i="1"/>
  <c r="L214" i="1"/>
  <c r="M214" i="1"/>
  <c r="N214" i="1"/>
  <c r="A215" i="1"/>
  <c r="B215" i="1"/>
  <c r="F215" i="1"/>
  <c r="G215" i="1"/>
  <c r="H215" i="1"/>
  <c r="I215" i="1"/>
  <c r="J215" i="1"/>
  <c r="K215" i="1"/>
  <c r="L215" i="1"/>
  <c r="M215" i="1"/>
  <c r="N215" i="1"/>
  <c r="A216" i="1"/>
  <c r="B216" i="1"/>
  <c r="F216" i="1"/>
  <c r="G216" i="1"/>
  <c r="H216" i="1"/>
  <c r="I216" i="1"/>
  <c r="J216" i="1"/>
  <c r="K216" i="1"/>
  <c r="L216" i="1"/>
  <c r="M216" i="1"/>
  <c r="N216" i="1"/>
  <c r="A217" i="1"/>
  <c r="B217" i="1"/>
  <c r="F217" i="1"/>
  <c r="G217" i="1"/>
  <c r="H217" i="1"/>
  <c r="I217" i="1"/>
  <c r="J217" i="1"/>
  <c r="K217" i="1"/>
  <c r="L217" i="1"/>
  <c r="M217" i="1"/>
  <c r="N217" i="1"/>
  <c r="A218" i="1"/>
  <c r="B218" i="1"/>
  <c r="F218" i="1"/>
  <c r="G218" i="1"/>
  <c r="H218" i="1"/>
  <c r="I218" i="1"/>
  <c r="J218" i="1"/>
  <c r="K218" i="1"/>
  <c r="L218" i="1"/>
  <c r="M218" i="1"/>
  <c r="N218" i="1"/>
  <c r="A219" i="1"/>
  <c r="B219" i="1"/>
  <c r="F219" i="1"/>
  <c r="G219" i="1"/>
  <c r="H219" i="1"/>
  <c r="I219" i="1"/>
  <c r="J219" i="1"/>
  <c r="K219" i="1"/>
  <c r="L219" i="1"/>
  <c r="M219" i="1"/>
  <c r="N219" i="1"/>
  <c r="A220" i="1"/>
  <c r="B220" i="1"/>
  <c r="F220" i="1"/>
  <c r="G220" i="1"/>
  <c r="H220" i="1"/>
  <c r="I220" i="1"/>
  <c r="J220" i="1"/>
  <c r="K220" i="1"/>
  <c r="L220" i="1"/>
  <c r="M220" i="1"/>
  <c r="N220" i="1"/>
  <c r="A221" i="1"/>
  <c r="B221" i="1"/>
  <c r="F221" i="1"/>
  <c r="G221" i="1"/>
  <c r="H221" i="1"/>
  <c r="I221" i="1"/>
  <c r="J221" i="1"/>
  <c r="K221" i="1"/>
  <c r="L221" i="1"/>
  <c r="M221" i="1"/>
  <c r="N221" i="1"/>
  <c r="A222" i="1"/>
  <c r="B222" i="1"/>
  <c r="F222" i="1"/>
  <c r="G222" i="1"/>
  <c r="H222" i="1"/>
  <c r="I222" i="1"/>
  <c r="J222" i="1"/>
  <c r="K222" i="1"/>
  <c r="L222" i="1"/>
  <c r="M222" i="1"/>
  <c r="N222" i="1"/>
  <c r="A223" i="1"/>
  <c r="B223" i="1"/>
  <c r="F223" i="1"/>
  <c r="G223" i="1"/>
  <c r="H223" i="1"/>
  <c r="I223" i="1"/>
  <c r="J223" i="1"/>
  <c r="K223" i="1"/>
  <c r="L223" i="1"/>
  <c r="M223" i="1"/>
  <c r="N223" i="1"/>
  <c r="A224" i="1"/>
  <c r="B224" i="1"/>
  <c r="F224" i="1"/>
  <c r="G224" i="1"/>
  <c r="H224" i="1"/>
  <c r="I224" i="1"/>
  <c r="J224" i="1"/>
  <c r="K224" i="1"/>
  <c r="L224" i="1"/>
  <c r="M224" i="1"/>
  <c r="N224" i="1"/>
  <c r="A225" i="1"/>
  <c r="B225" i="1"/>
  <c r="F225" i="1"/>
  <c r="G225" i="1"/>
  <c r="H225" i="1"/>
  <c r="I225" i="1"/>
  <c r="J225" i="1"/>
  <c r="K225" i="1"/>
  <c r="L225" i="1"/>
  <c r="M225" i="1"/>
  <c r="N225" i="1"/>
  <c r="A226" i="1"/>
  <c r="B226" i="1"/>
  <c r="F226" i="1"/>
  <c r="G226" i="1"/>
  <c r="H226" i="1"/>
  <c r="I226" i="1"/>
  <c r="J226" i="1"/>
  <c r="K226" i="1"/>
  <c r="L226" i="1"/>
  <c r="M226" i="1"/>
  <c r="N226" i="1"/>
  <c r="A227" i="1"/>
  <c r="B227" i="1"/>
  <c r="F227" i="1"/>
  <c r="G227" i="1"/>
  <c r="H227" i="1"/>
  <c r="I227" i="1"/>
  <c r="J227" i="1"/>
  <c r="K227" i="1"/>
  <c r="L227" i="1"/>
  <c r="M227" i="1"/>
  <c r="N227" i="1"/>
  <c r="A228" i="1"/>
  <c r="B228" i="1"/>
  <c r="F228" i="1"/>
  <c r="G228" i="1"/>
  <c r="H228" i="1"/>
  <c r="I228" i="1"/>
  <c r="J228" i="1"/>
  <c r="K228" i="1"/>
  <c r="L228" i="1"/>
  <c r="M228" i="1"/>
  <c r="N228" i="1"/>
  <c r="A229" i="1"/>
  <c r="B229" i="1"/>
  <c r="F229" i="1"/>
  <c r="G229" i="1"/>
  <c r="H229" i="1"/>
  <c r="I229" i="1"/>
  <c r="J229" i="1"/>
  <c r="K229" i="1"/>
  <c r="L229" i="1"/>
  <c r="M229" i="1"/>
  <c r="N229" i="1"/>
  <c r="A230" i="1"/>
  <c r="B230" i="1"/>
  <c r="F230" i="1"/>
  <c r="G230" i="1"/>
  <c r="H230" i="1"/>
  <c r="I230" i="1"/>
  <c r="J230" i="1"/>
  <c r="K230" i="1"/>
  <c r="L230" i="1"/>
  <c r="M230" i="1"/>
  <c r="N230" i="1"/>
  <c r="A231" i="1"/>
  <c r="B231" i="1"/>
  <c r="F231" i="1"/>
  <c r="G231" i="1"/>
  <c r="H231" i="1"/>
  <c r="I231" i="1"/>
  <c r="J231" i="1"/>
  <c r="K231" i="1"/>
  <c r="L231" i="1"/>
  <c r="M231" i="1"/>
  <c r="N231" i="1"/>
  <c r="A232" i="1"/>
  <c r="B232" i="1"/>
  <c r="F232" i="1"/>
  <c r="G232" i="1"/>
  <c r="H232" i="1"/>
  <c r="I232" i="1"/>
  <c r="J232" i="1"/>
  <c r="K232" i="1"/>
  <c r="L232" i="1"/>
  <c r="M232" i="1"/>
  <c r="N232" i="1"/>
  <c r="A233" i="1"/>
  <c r="B233" i="1"/>
  <c r="F233" i="1"/>
  <c r="G233" i="1"/>
  <c r="H233" i="1"/>
  <c r="I233" i="1"/>
  <c r="J233" i="1"/>
  <c r="K233" i="1"/>
  <c r="L233" i="1"/>
  <c r="M233" i="1"/>
  <c r="N233" i="1"/>
  <c r="A234" i="1"/>
  <c r="B234" i="1"/>
  <c r="F234" i="1"/>
  <c r="G234" i="1"/>
  <c r="H234" i="1"/>
  <c r="I234" i="1"/>
  <c r="J234" i="1"/>
  <c r="K234" i="1"/>
  <c r="L234" i="1"/>
  <c r="M234" i="1"/>
  <c r="N234" i="1"/>
  <c r="A235" i="1"/>
  <c r="B235" i="1"/>
  <c r="F235" i="1"/>
  <c r="G235" i="1"/>
  <c r="H235" i="1"/>
  <c r="I235" i="1"/>
  <c r="J235" i="1"/>
  <c r="K235" i="1"/>
  <c r="L235" i="1"/>
  <c r="M235" i="1"/>
  <c r="N235" i="1"/>
  <c r="A236" i="1"/>
  <c r="B236" i="1"/>
  <c r="F236" i="1"/>
  <c r="G236" i="1"/>
  <c r="H236" i="1"/>
  <c r="I236" i="1"/>
  <c r="J236" i="1"/>
  <c r="K236" i="1"/>
  <c r="L236" i="1"/>
  <c r="M236" i="1"/>
  <c r="N236" i="1"/>
  <c r="A237" i="1"/>
  <c r="B237" i="1"/>
  <c r="F237" i="1"/>
  <c r="G237" i="1"/>
  <c r="H237" i="1"/>
  <c r="I237" i="1"/>
  <c r="J237" i="1"/>
  <c r="K237" i="1"/>
  <c r="L237" i="1"/>
  <c r="M237" i="1"/>
  <c r="N237" i="1"/>
  <c r="A238" i="1"/>
  <c r="B238" i="1"/>
  <c r="F238" i="1"/>
  <c r="G238" i="1"/>
  <c r="H238" i="1"/>
  <c r="I238" i="1"/>
  <c r="J238" i="1"/>
  <c r="K238" i="1"/>
  <c r="L238" i="1"/>
  <c r="M238" i="1"/>
  <c r="N238" i="1"/>
  <c r="A239" i="1"/>
  <c r="B239" i="1"/>
  <c r="F239" i="1"/>
  <c r="G239" i="1"/>
  <c r="H239" i="1"/>
  <c r="I239" i="1"/>
  <c r="J239" i="1"/>
  <c r="K239" i="1"/>
  <c r="L239" i="1"/>
  <c r="M239" i="1"/>
  <c r="N239" i="1"/>
  <c r="A240" i="1"/>
  <c r="B240" i="1"/>
  <c r="F240" i="1"/>
  <c r="G240" i="1"/>
  <c r="H240" i="1"/>
  <c r="I240" i="1"/>
  <c r="J240" i="1"/>
  <c r="K240" i="1"/>
  <c r="L240" i="1"/>
  <c r="M240" i="1"/>
  <c r="N240" i="1"/>
  <c r="A241" i="1"/>
  <c r="B241" i="1"/>
  <c r="F241" i="1"/>
  <c r="G241" i="1"/>
  <c r="H241" i="1"/>
  <c r="I241" i="1"/>
  <c r="J241" i="1"/>
  <c r="K241" i="1"/>
  <c r="L241" i="1"/>
  <c r="M241" i="1"/>
  <c r="N241" i="1"/>
  <c r="A242" i="1"/>
  <c r="B242" i="1"/>
  <c r="F242" i="1"/>
  <c r="G242" i="1"/>
  <c r="H242" i="1"/>
  <c r="I242" i="1"/>
  <c r="J242" i="1"/>
  <c r="K242" i="1"/>
  <c r="L242" i="1"/>
  <c r="M242" i="1"/>
  <c r="N242" i="1"/>
  <c r="A243" i="1"/>
  <c r="B243" i="1"/>
  <c r="F243" i="1"/>
  <c r="G243" i="1"/>
  <c r="H243" i="1"/>
  <c r="I243" i="1"/>
  <c r="J243" i="1"/>
  <c r="K243" i="1"/>
  <c r="L243" i="1"/>
  <c r="M243" i="1"/>
  <c r="N243" i="1"/>
  <c r="A244" i="1"/>
  <c r="B244" i="1"/>
  <c r="F244" i="1"/>
  <c r="G244" i="1"/>
  <c r="H244" i="1"/>
  <c r="I244" i="1"/>
  <c r="J244" i="1"/>
  <c r="K244" i="1"/>
  <c r="L244" i="1"/>
  <c r="M244" i="1"/>
  <c r="N244" i="1"/>
  <c r="A245" i="1"/>
  <c r="B245" i="1"/>
  <c r="F245" i="1"/>
  <c r="G245" i="1"/>
  <c r="H245" i="1"/>
  <c r="I245" i="1"/>
  <c r="J245" i="1"/>
  <c r="K245" i="1"/>
  <c r="L245" i="1"/>
  <c r="M245" i="1"/>
  <c r="N245" i="1"/>
  <c r="A246" i="1"/>
  <c r="B246" i="1"/>
  <c r="F246" i="1"/>
  <c r="G246" i="1"/>
  <c r="H246" i="1"/>
  <c r="I246" i="1"/>
  <c r="J246" i="1"/>
  <c r="K246" i="1"/>
  <c r="L246" i="1"/>
  <c r="M246" i="1"/>
  <c r="N246" i="1"/>
  <c r="A247" i="1"/>
  <c r="B247" i="1"/>
  <c r="F247" i="1"/>
  <c r="G247" i="1"/>
  <c r="H247" i="1"/>
  <c r="I247" i="1"/>
  <c r="J247" i="1"/>
  <c r="K247" i="1"/>
  <c r="L247" i="1"/>
  <c r="M247" i="1"/>
  <c r="N247" i="1"/>
  <c r="A248" i="1"/>
  <c r="B248" i="1"/>
  <c r="F248" i="1"/>
  <c r="G248" i="1"/>
  <c r="H248" i="1"/>
  <c r="I248" i="1"/>
  <c r="J248" i="1"/>
  <c r="K248" i="1"/>
  <c r="L248" i="1"/>
  <c r="M248" i="1"/>
  <c r="N248" i="1"/>
  <c r="A249" i="1"/>
  <c r="B249" i="1"/>
  <c r="F249" i="1"/>
  <c r="G249" i="1"/>
  <c r="H249" i="1"/>
  <c r="I249" i="1"/>
  <c r="J249" i="1"/>
  <c r="K249" i="1"/>
  <c r="L249" i="1"/>
  <c r="M249" i="1"/>
  <c r="N249" i="1"/>
  <c r="A250" i="1"/>
  <c r="B250" i="1"/>
  <c r="F250" i="1"/>
  <c r="G250" i="1"/>
  <c r="H250" i="1"/>
  <c r="I250" i="1"/>
  <c r="J250" i="1"/>
  <c r="K250" i="1"/>
  <c r="L250" i="1"/>
  <c r="M250" i="1"/>
  <c r="N250" i="1"/>
  <c r="A251" i="1"/>
  <c r="B251" i="1"/>
  <c r="F251" i="1"/>
  <c r="G251" i="1"/>
  <c r="H251" i="1"/>
  <c r="I251" i="1"/>
  <c r="J251" i="1"/>
  <c r="K251" i="1"/>
  <c r="L251" i="1"/>
  <c r="M251" i="1"/>
  <c r="N251" i="1"/>
  <c r="A252" i="1"/>
  <c r="B252" i="1"/>
  <c r="F252" i="1"/>
  <c r="G252" i="1"/>
  <c r="H252" i="1"/>
  <c r="I252" i="1"/>
  <c r="J252" i="1"/>
  <c r="K252" i="1"/>
  <c r="L252" i="1"/>
  <c r="M252" i="1"/>
  <c r="N252" i="1"/>
  <c r="A253" i="1"/>
  <c r="B253" i="1"/>
  <c r="F253" i="1"/>
  <c r="G253" i="1"/>
  <c r="H253" i="1"/>
  <c r="I253" i="1"/>
  <c r="J253" i="1"/>
  <c r="K253" i="1"/>
  <c r="L253" i="1"/>
  <c r="M253" i="1"/>
  <c r="N253" i="1"/>
  <c r="A254" i="1"/>
  <c r="B254" i="1"/>
  <c r="F254" i="1"/>
  <c r="G254" i="1"/>
  <c r="H254" i="1"/>
  <c r="I254" i="1"/>
  <c r="J254" i="1"/>
  <c r="K254" i="1"/>
  <c r="L254" i="1"/>
  <c r="M254" i="1"/>
  <c r="N254" i="1"/>
  <c r="A255" i="1"/>
  <c r="B255" i="1"/>
  <c r="F255" i="1"/>
  <c r="G255" i="1"/>
  <c r="H255" i="1"/>
  <c r="I255" i="1"/>
  <c r="J255" i="1"/>
  <c r="K255" i="1"/>
  <c r="L255" i="1"/>
  <c r="M255" i="1"/>
  <c r="N255" i="1"/>
  <c r="A256" i="1"/>
  <c r="B256" i="1"/>
  <c r="F256" i="1"/>
  <c r="G256" i="1"/>
  <c r="H256" i="1"/>
  <c r="I256" i="1"/>
  <c r="J256" i="1"/>
  <c r="K256" i="1"/>
  <c r="L256" i="1"/>
  <c r="M256" i="1"/>
  <c r="N256" i="1"/>
  <c r="A257" i="1"/>
  <c r="B257" i="1"/>
  <c r="F257" i="1"/>
  <c r="G257" i="1"/>
  <c r="H257" i="1"/>
  <c r="I257" i="1"/>
  <c r="J257" i="1"/>
  <c r="K257" i="1"/>
  <c r="L257" i="1"/>
  <c r="M257" i="1"/>
  <c r="N257" i="1"/>
  <c r="A258" i="1"/>
  <c r="B258" i="1"/>
  <c r="F258" i="1"/>
  <c r="G258" i="1"/>
  <c r="H258" i="1"/>
  <c r="I258" i="1"/>
  <c r="J258" i="1"/>
  <c r="K258" i="1"/>
  <c r="L258" i="1"/>
  <c r="M258" i="1"/>
  <c r="N258" i="1"/>
  <c r="A259" i="1"/>
  <c r="B259" i="1"/>
  <c r="F259" i="1"/>
  <c r="G259" i="1"/>
  <c r="H259" i="1"/>
  <c r="I259" i="1"/>
  <c r="J259" i="1"/>
  <c r="K259" i="1"/>
  <c r="L259" i="1"/>
  <c r="M259" i="1"/>
  <c r="N259" i="1"/>
  <c r="A260" i="1"/>
  <c r="B260" i="1"/>
  <c r="F260" i="1"/>
  <c r="G260" i="1"/>
  <c r="H260" i="1"/>
  <c r="I260" i="1"/>
  <c r="J260" i="1"/>
  <c r="K260" i="1"/>
  <c r="L260" i="1"/>
  <c r="M260" i="1"/>
  <c r="N260" i="1"/>
  <c r="A261" i="1"/>
  <c r="B261" i="1"/>
  <c r="F261" i="1"/>
  <c r="G261" i="1"/>
  <c r="H261" i="1"/>
  <c r="I261" i="1"/>
  <c r="J261" i="1"/>
  <c r="K261" i="1"/>
  <c r="L261" i="1"/>
  <c r="M261" i="1"/>
  <c r="N261" i="1"/>
  <c r="A262" i="1"/>
  <c r="B262" i="1"/>
  <c r="F262" i="1"/>
  <c r="G262" i="1"/>
  <c r="H262" i="1"/>
  <c r="I262" i="1"/>
  <c r="J262" i="1"/>
  <c r="K262" i="1"/>
  <c r="L262" i="1"/>
  <c r="M262" i="1"/>
  <c r="N262" i="1"/>
  <c r="A263" i="1"/>
  <c r="B263" i="1"/>
  <c r="F263" i="1"/>
  <c r="G263" i="1"/>
  <c r="H263" i="1"/>
  <c r="I263" i="1"/>
  <c r="J263" i="1"/>
  <c r="K263" i="1"/>
  <c r="L263" i="1"/>
  <c r="M263" i="1"/>
  <c r="N263" i="1"/>
  <c r="A264" i="1"/>
  <c r="B264" i="1"/>
  <c r="F264" i="1"/>
  <c r="G264" i="1"/>
  <c r="H264" i="1"/>
  <c r="I264" i="1"/>
  <c r="J264" i="1"/>
  <c r="K264" i="1"/>
  <c r="L264" i="1"/>
  <c r="M264" i="1"/>
  <c r="N264" i="1"/>
  <c r="A265" i="1"/>
  <c r="B265" i="1"/>
  <c r="F265" i="1"/>
  <c r="G265" i="1"/>
  <c r="H265" i="1"/>
  <c r="I265" i="1"/>
  <c r="J265" i="1"/>
  <c r="K265" i="1"/>
  <c r="L265" i="1"/>
  <c r="M265" i="1"/>
  <c r="N265" i="1"/>
  <c r="A266" i="1"/>
  <c r="B266" i="1"/>
  <c r="F266" i="1"/>
  <c r="G266" i="1"/>
  <c r="H266" i="1"/>
  <c r="I266" i="1"/>
  <c r="J266" i="1"/>
  <c r="K266" i="1"/>
  <c r="L266" i="1"/>
  <c r="M266" i="1"/>
  <c r="N266" i="1"/>
  <c r="A267" i="1"/>
  <c r="B267" i="1"/>
  <c r="F267" i="1"/>
  <c r="G267" i="1"/>
  <c r="H267" i="1"/>
  <c r="I267" i="1"/>
  <c r="J267" i="1"/>
  <c r="K267" i="1"/>
  <c r="L267" i="1"/>
  <c r="M267" i="1"/>
  <c r="N267" i="1"/>
  <c r="A268" i="1"/>
  <c r="B268" i="1"/>
  <c r="F268" i="1"/>
  <c r="G268" i="1"/>
  <c r="H268" i="1"/>
  <c r="I268" i="1"/>
  <c r="J268" i="1"/>
  <c r="K268" i="1"/>
  <c r="L268" i="1"/>
  <c r="M268" i="1"/>
  <c r="N268" i="1"/>
  <c r="A269" i="1"/>
  <c r="B269" i="1"/>
  <c r="F269" i="1"/>
  <c r="G269" i="1"/>
  <c r="H269" i="1"/>
  <c r="I269" i="1"/>
  <c r="J269" i="1"/>
  <c r="K269" i="1"/>
  <c r="L269" i="1"/>
  <c r="M269" i="1"/>
  <c r="N269" i="1"/>
  <c r="A270" i="1"/>
  <c r="B270" i="1"/>
  <c r="F270" i="1"/>
  <c r="G270" i="1"/>
  <c r="H270" i="1"/>
  <c r="I270" i="1"/>
  <c r="J270" i="1"/>
  <c r="K270" i="1"/>
  <c r="L270" i="1"/>
  <c r="M270" i="1"/>
  <c r="N270" i="1"/>
  <c r="A271" i="1"/>
  <c r="B271" i="1"/>
  <c r="F271" i="1"/>
  <c r="G271" i="1"/>
  <c r="H271" i="1"/>
  <c r="I271" i="1"/>
  <c r="J271" i="1"/>
  <c r="K271" i="1"/>
  <c r="L271" i="1"/>
  <c r="M271" i="1"/>
  <c r="N271" i="1"/>
  <c r="A272" i="1"/>
  <c r="B272" i="1"/>
  <c r="F272" i="1"/>
  <c r="G272" i="1"/>
  <c r="H272" i="1"/>
  <c r="I272" i="1"/>
  <c r="J272" i="1"/>
  <c r="K272" i="1"/>
  <c r="L272" i="1"/>
  <c r="M272" i="1"/>
  <c r="N272" i="1"/>
  <c r="A273" i="1"/>
  <c r="B273" i="1"/>
  <c r="F273" i="1"/>
  <c r="G273" i="1"/>
  <c r="H273" i="1"/>
  <c r="I273" i="1"/>
  <c r="J273" i="1"/>
  <c r="K273" i="1"/>
  <c r="L273" i="1"/>
  <c r="M273" i="1"/>
  <c r="N273" i="1"/>
  <c r="A274" i="1"/>
  <c r="B274" i="1"/>
  <c r="F274" i="1"/>
  <c r="G274" i="1"/>
  <c r="H274" i="1"/>
  <c r="I274" i="1"/>
  <c r="J274" i="1"/>
  <c r="K274" i="1"/>
  <c r="L274" i="1"/>
  <c r="M274" i="1"/>
  <c r="N274" i="1"/>
  <c r="A275" i="1"/>
  <c r="B275" i="1"/>
  <c r="F275" i="1"/>
  <c r="G275" i="1"/>
  <c r="H275" i="1"/>
  <c r="I275" i="1"/>
  <c r="J275" i="1"/>
  <c r="K275" i="1"/>
  <c r="L275" i="1"/>
  <c r="M275" i="1"/>
  <c r="N275" i="1"/>
  <c r="A276" i="1"/>
  <c r="B276" i="1"/>
  <c r="F276" i="1"/>
  <c r="G276" i="1"/>
  <c r="H276" i="1"/>
  <c r="I276" i="1"/>
  <c r="J276" i="1"/>
  <c r="K276" i="1"/>
  <c r="L276" i="1"/>
  <c r="M276" i="1"/>
  <c r="N276" i="1"/>
  <c r="A277" i="1"/>
  <c r="B277" i="1"/>
  <c r="F277" i="1"/>
  <c r="G277" i="1"/>
  <c r="H277" i="1"/>
  <c r="I277" i="1"/>
  <c r="J277" i="1"/>
  <c r="K277" i="1"/>
  <c r="L277" i="1"/>
  <c r="M277" i="1"/>
  <c r="N277" i="1"/>
  <c r="A278" i="1"/>
  <c r="B278" i="1"/>
  <c r="F278" i="1"/>
  <c r="G278" i="1"/>
  <c r="H278" i="1"/>
  <c r="I278" i="1"/>
  <c r="J278" i="1"/>
  <c r="K278" i="1"/>
  <c r="L278" i="1"/>
  <c r="M278" i="1"/>
  <c r="N278" i="1"/>
  <c r="A279" i="1"/>
  <c r="B279" i="1"/>
  <c r="F279" i="1"/>
  <c r="G279" i="1"/>
  <c r="H279" i="1"/>
  <c r="I279" i="1"/>
  <c r="J279" i="1"/>
  <c r="K279" i="1"/>
  <c r="L279" i="1"/>
  <c r="M279" i="1"/>
  <c r="N279" i="1"/>
  <c r="A280" i="1"/>
  <c r="B280" i="1"/>
  <c r="F280" i="1"/>
  <c r="G280" i="1"/>
  <c r="H280" i="1"/>
  <c r="I280" i="1"/>
  <c r="J280" i="1"/>
  <c r="K280" i="1"/>
  <c r="L280" i="1"/>
  <c r="M280" i="1"/>
  <c r="N280" i="1"/>
  <c r="A281" i="1"/>
  <c r="B281" i="1"/>
  <c r="F281" i="1"/>
  <c r="G281" i="1"/>
  <c r="H281" i="1"/>
  <c r="I281" i="1"/>
  <c r="J281" i="1"/>
  <c r="K281" i="1"/>
  <c r="L281" i="1"/>
  <c r="M281" i="1"/>
  <c r="N281" i="1"/>
  <c r="A282" i="1"/>
  <c r="B282" i="1"/>
  <c r="F282" i="1"/>
  <c r="G282" i="1"/>
  <c r="H282" i="1"/>
  <c r="I282" i="1"/>
  <c r="J282" i="1"/>
  <c r="K282" i="1"/>
  <c r="L282" i="1"/>
  <c r="M282" i="1"/>
  <c r="N282" i="1"/>
  <c r="A283" i="1"/>
  <c r="B283" i="1"/>
  <c r="F283" i="1"/>
  <c r="G283" i="1"/>
  <c r="H283" i="1"/>
  <c r="I283" i="1"/>
  <c r="J283" i="1"/>
  <c r="K283" i="1"/>
  <c r="L283" i="1"/>
  <c r="M283" i="1"/>
  <c r="N283" i="1"/>
  <c r="A284" i="1"/>
  <c r="B284" i="1"/>
  <c r="F284" i="1"/>
  <c r="G284" i="1"/>
  <c r="H284" i="1"/>
  <c r="I284" i="1"/>
  <c r="J284" i="1"/>
  <c r="K284" i="1"/>
  <c r="L284" i="1"/>
  <c r="M284" i="1"/>
  <c r="N284" i="1"/>
  <c r="A285" i="1"/>
  <c r="B285" i="1"/>
  <c r="F285" i="1"/>
  <c r="G285" i="1"/>
  <c r="H285" i="1"/>
  <c r="I285" i="1"/>
  <c r="J285" i="1"/>
  <c r="K285" i="1"/>
  <c r="L285" i="1"/>
  <c r="M285" i="1"/>
  <c r="N285" i="1"/>
  <c r="A286" i="1"/>
  <c r="B286" i="1"/>
  <c r="F286" i="1"/>
  <c r="G286" i="1"/>
  <c r="H286" i="1"/>
  <c r="I286" i="1"/>
  <c r="J286" i="1"/>
  <c r="K286" i="1"/>
  <c r="L286" i="1"/>
  <c r="M286" i="1"/>
  <c r="N286" i="1"/>
  <c r="A287" i="1"/>
  <c r="B287" i="1"/>
  <c r="F287" i="1"/>
  <c r="G287" i="1"/>
  <c r="H287" i="1"/>
  <c r="I287" i="1"/>
  <c r="J287" i="1"/>
  <c r="K287" i="1"/>
  <c r="L287" i="1"/>
  <c r="M287" i="1"/>
  <c r="N287" i="1"/>
  <c r="A288" i="1"/>
  <c r="B288" i="1"/>
  <c r="F288" i="1"/>
  <c r="G288" i="1"/>
  <c r="H288" i="1"/>
  <c r="I288" i="1"/>
  <c r="J288" i="1"/>
  <c r="K288" i="1"/>
  <c r="L288" i="1"/>
  <c r="M288" i="1"/>
  <c r="N288" i="1"/>
  <c r="A289" i="1"/>
  <c r="B289" i="1"/>
  <c r="F289" i="1"/>
  <c r="G289" i="1"/>
  <c r="H289" i="1"/>
  <c r="I289" i="1"/>
  <c r="J289" i="1"/>
  <c r="K289" i="1"/>
  <c r="L289" i="1"/>
  <c r="M289" i="1"/>
  <c r="N289" i="1"/>
  <c r="A290" i="1"/>
  <c r="B290" i="1"/>
  <c r="F290" i="1"/>
  <c r="G290" i="1"/>
  <c r="H290" i="1"/>
  <c r="I290" i="1"/>
  <c r="J290" i="1"/>
  <c r="K290" i="1"/>
  <c r="L290" i="1"/>
  <c r="M290" i="1"/>
  <c r="N290" i="1"/>
  <c r="A291" i="1"/>
  <c r="B291" i="1"/>
  <c r="F291" i="1"/>
  <c r="G291" i="1"/>
  <c r="H291" i="1"/>
  <c r="I291" i="1"/>
  <c r="J291" i="1"/>
  <c r="K291" i="1"/>
  <c r="L291" i="1"/>
  <c r="M291" i="1"/>
  <c r="N291" i="1"/>
  <c r="A292" i="1"/>
  <c r="B292" i="1"/>
  <c r="F292" i="1"/>
  <c r="G292" i="1"/>
  <c r="H292" i="1"/>
  <c r="I292" i="1"/>
  <c r="J292" i="1"/>
  <c r="K292" i="1"/>
  <c r="L292" i="1"/>
  <c r="M292" i="1"/>
  <c r="N292" i="1"/>
  <c r="A293" i="1"/>
  <c r="B293" i="1"/>
  <c r="F293" i="1"/>
  <c r="G293" i="1"/>
  <c r="H293" i="1"/>
  <c r="I293" i="1"/>
  <c r="J293" i="1"/>
  <c r="K293" i="1"/>
  <c r="L293" i="1"/>
  <c r="M293" i="1"/>
  <c r="N293" i="1"/>
  <c r="A294" i="1"/>
  <c r="B294" i="1"/>
  <c r="F294" i="1"/>
  <c r="G294" i="1"/>
  <c r="H294" i="1"/>
  <c r="I294" i="1"/>
  <c r="J294" i="1"/>
  <c r="K294" i="1"/>
  <c r="L294" i="1"/>
  <c r="M294" i="1"/>
  <c r="N294" i="1"/>
  <c r="A295" i="1"/>
  <c r="B295" i="1"/>
  <c r="F295" i="1"/>
  <c r="G295" i="1"/>
  <c r="H295" i="1"/>
  <c r="I295" i="1"/>
  <c r="J295" i="1"/>
  <c r="K295" i="1"/>
  <c r="L295" i="1"/>
  <c r="M295" i="1"/>
  <c r="N295" i="1"/>
  <c r="A296" i="1"/>
  <c r="B296" i="1"/>
  <c r="F296" i="1"/>
  <c r="G296" i="1"/>
  <c r="H296" i="1"/>
  <c r="I296" i="1"/>
  <c r="J296" i="1"/>
  <c r="K296" i="1"/>
  <c r="L296" i="1"/>
  <c r="M296" i="1"/>
  <c r="N296" i="1"/>
  <c r="A297" i="1"/>
  <c r="B297" i="1"/>
  <c r="F297" i="1"/>
  <c r="G297" i="1"/>
  <c r="H297" i="1"/>
  <c r="I297" i="1"/>
  <c r="J297" i="1"/>
  <c r="K297" i="1"/>
  <c r="L297" i="1"/>
  <c r="M297" i="1"/>
  <c r="N297" i="1"/>
  <c r="A298" i="1"/>
  <c r="B298" i="1"/>
  <c r="F298" i="1"/>
  <c r="G298" i="1"/>
  <c r="H298" i="1"/>
  <c r="I298" i="1"/>
  <c r="J298" i="1"/>
  <c r="K298" i="1"/>
  <c r="L298" i="1"/>
  <c r="M298" i="1"/>
  <c r="N298" i="1"/>
  <c r="A299" i="1"/>
  <c r="B299" i="1"/>
  <c r="F299" i="1"/>
  <c r="G299" i="1"/>
  <c r="H299" i="1"/>
  <c r="I299" i="1"/>
  <c r="J299" i="1"/>
  <c r="K299" i="1"/>
  <c r="L299" i="1"/>
  <c r="M299" i="1"/>
  <c r="N299" i="1"/>
  <c r="A300" i="1"/>
  <c r="B300" i="1"/>
  <c r="F300" i="1"/>
  <c r="G300" i="1"/>
  <c r="H300" i="1"/>
  <c r="I300" i="1"/>
  <c r="J300" i="1"/>
  <c r="K300" i="1"/>
  <c r="L300" i="1"/>
  <c r="M300" i="1"/>
  <c r="N300" i="1"/>
  <c r="A301" i="1"/>
  <c r="B301" i="1"/>
  <c r="F301" i="1"/>
  <c r="G301" i="1"/>
  <c r="H301" i="1"/>
  <c r="I301" i="1"/>
  <c r="J301" i="1"/>
  <c r="K301" i="1"/>
  <c r="L301" i="1"/>
  <c r="M301" i="1"/>
  <c r="N301" i="1"/>
  <c r="A302" i="1"/>
  <c r="B302" i="1"/>
  <c r="F302" i="1"/>
  <c r="G302" i="1"/>
  <c r="H302" i="1"/>
  <c r="I302" i="1"/>
  <c r="J302" i="1"/>
  <c r="K302" i="1"/>
  <c r="L302" i="1"/>
  <c r="M302" i="1"/>
  <c r="N302" i="1"/>
  <c r="A303" i="1"/>
  <c r="B303" i="1"/>
  <c r="F303" i="1"/>
  <c r="G303" i="1"/>
  <c r="H303" i="1"/>
  <c r="I303" i="1"/>
  <c r="J303" i="1"/>
  <c r="K303" i="1"/>
  <c r="L303" i="1"/>
  <c r="M303" i="1"/>
  <c r="N303" i="1"/>
  <c r="A304" i="1"/>
  <c r="B304" i="1"/>
  <c r="F304" i="1"/>
  <c r="G304" i="1"/>
  <c r="H304" i="1"/>
  <c r="I304" i="1"/>
  <c r="J304" i="1"/>
  <c r="K304" i="1"/>
  <c r="L304" i="1"/>
  <c r="M304" i="1"/>
  <c r="N304" i="1"/>
  <c r="A305" i="1"/>
  <c r="B305" i="1"/>
  <c r="F305" i="1"/>
  <c r="G305" i="1"/>
  <c r="H305" i="1"/>
  <c r="I305" i="1"/>
  <c r="J305" i="1"/>
  <c r="K305" i="1"/>
  <c r="L305" i="1"/>
  <c r="M305" i="1"/>
  <c r="N305" i="1"/>
  <c r="A306" i="1"/>
  <c r="B306" i="1"/>
  <c r="F306" i="1"/>
  <c r="G306" i="1"/>
  <c r="H306" i="1"/>
  <c r="I306" i="1"/>
  <c r="J306" i="1"/>
  <c r="K306" i="1"/>
  <c r="L306" i="1"/>
  <c r="M306" i="1"/>
  <c r="N306" i="1"/>
  <c r="A307" i="1"/>
  <c r="B307" i="1"/>
  <c r="F307" i="1"/>
  <c r="G307" i="1"/>
  <c r="H307" i="1"/>
  <c r="I307" i="1"/>
  <c r="J307" i="1"/>
  <c r="K307" i="1"/>
  <c r="L307" i="1"/>
  <c r="M307" i="1"/>
  <c r="N307" i="1"/>
  <c r="A308" i="1"/>
  <c r="B308" i="1"/>
  <c r="F308" i="1"/>
  <c r="G308" i="1"/>
  <c r="H308" i="1"/>
  <c r="I308" i="1"/>
  <c r="J308" i="1"/>
  <c r="K308" i="1"/>
  <c r="L308" i="1"/>
  <c r="M308" i="1"/>
  <c r="N308" i="1"/>
  <c r="A309" i="1"/>
  <c r="B309" i="1"/>
  <c r="F309" i="1"/>
  <c r="G309" i="1"/>
  <c r="H309" i="1"/>
  <c r="I309" i="1"/>
  <c r="J309" i="1"/>
  <c r="K309" i="1"/>
  <c r="L309" i="1"/>
  <c r="M309" i="1"/>
  <c r="N309" i="1"/>
  <c r="A310" i="1"/>
  <c r="B310" i="1"/>
  <c r="F310" i="1"/>
  <c r="G310" i="1"/>
  <c r="H310" i="1"/>
  <c r="I310" i="1"/>
  <c r="J310" i="1"/>
  <c r="K310" i="1"/>
  <c r="L310" i="1"/>
  <c r="M310" i="1"/>
  <c r="N310" i="1"/>
  <c r="A311" i="1"/>
  <c r="B311" i="1"/>
  <c r="F311" i="1"/>
  <c r="G311" i="1"/>
  <c r="H311" i="1"/>
  <c r="I311" i="1"/>
  <c r="J311" i="1"/>
  <c r="K311" i="1"/>
  <c r="L311" i="1"/>
  <c r="M311" i="1"/>
  <c r="N311" i="1"/>
  <c r="A312" i="1"/>
  <c r="B312" i="1"/>
  <c r="F312" i="1"/>
  <c r="G312" i="1"/>
  <c r="H312" i="1"/>
  <c r="I312" i="1"/>
  <c r="J312" i="1"/>
  <c r="K312" i="1"/>
  <c r="L312" i="1"/>
  <c r="M312" i="1"/>
  <c r="N312" i="1"/>
  <c r="A313" i="1"/>
  <c r="B313" i="1"/>
  <c r="F313" i="1"/>
  <c r="G313" i="1"/>
  <c r="H313" i="1"/>
  <c r="I313" i="1"/>
  <c r="J313" i="1"/>
  <c r="K313" i="1"/>
  <c r="L313" i="1"/>
  <c r="M313" i="1"/>
  <c r="N313" i="1"/>
  <c r="A314" i="1"/>
  <c r="B314" i="1"/>
  <c r="F314" i="1"/>
  <c r="G314" i="1"/>
  <c r="H314" i="1"/>
  <c r="I314" i="1"/>
  <c r="J314" i="1"/>
  <c r="K314" i="1"/>
  <c r="L314" i="1"/>
  <c r="M314" i="1"/>
  <c r="N314" i="1"/>
  <c r="A315" i="1"/>
  <c r="B315" i="1"/>
  <c r="F315" i="1"/>
  <c r="G315" i="1"/>
  <c r="H315" i="1"/>
  <c r="I315" i="1"/>
  <c r="J315" i="1"/>
  <c r="K315" i="1"/>
  <c r="L315" i="1"/>
  <c r="M315" i="1"/>
  <c r="N315" i="1"/>
  <c r="A316" i="1"/>
  <c r="B316" i="1"/>
  <c r="F316" i="1"/>
  <c r="G316" i="1"/>
  <c r="H316" i="1"/>
  <c r="I316" i="1"/>
  <c r="J316" i="1"/>
  <c r="K316" i="1"/>
  <c r="L316" i="1"/>
  <c r="M316" i="1"/>
  <c r="N316" i="1"/>
  <c r="A317" i="1"/>
  <c r="B317" i="1"/>
  <c r="F317" i="1"/>
  <c r="G317" i="1"/>
  <c r="H317" i="1"/>
  <c r="I317" i="1"/>
  <c r="J317" i="1"/>
  <c r="K317" i="1"/>
  <c r="L317" i="1"/>
  <c r="M317" i="1"/>
  <c r="N317" i="1"/>
  <c r="A318" i="1"/>
  <c r="B318" i="1"/>
  <c r="F318" i="1"/>
  <c r="G318" i="1"/>
  <c r="H318" i="1"/>
  <c r="I318" i="1"/>
  <c r="J318" i="1"/>
  <c r="K318" i="1"/>
  <c r="L318" i="1"/>
  <c r="M318" i="1"/>
  <c r="N318" i="1"/>
  <c r="A319" i="1"/>
  <c r="B319" i="1"/>
  <c r="F319" i="1"/>
  <c r="G319" i="1"/>
  <c r="H319" i="1"/>
  <c r="I319" i="1"/>
  <c r="J319" i="1"/>
  <c r="K319" i="1"/>
  <c r="L319" i="1"/>
  <c r="M319" i="1"/>
  <c r="N319" i="1"/>
  <c r="A320" i="1"/>
  <c r="B320" i="1"/>
  <c r="F320" i="1"/>
  <c r="G320" i="1"/>
  <c r="H320" i="1"/>
  <c r="I320" i="1"/>
  <c r="J320" i="1"/>
  <c r="K320" i="1"/>
  <c r="L320" i="1"/>
  <c r="M320" i="1"/>
  <c r="N320" i="1"/>
  <c r="A321" i="1"/>
  <c r="B321" i="1"/>
  <c r="F321" i="1"/>
  <c r="G321" i="1"/>
  <c r="H321" i="1"/>
  <c r="I321" i="1"/>
  <c r="J321" i="1"/>
  <c r="K321" i="1"/>
  <c r="L321" i="1"/>
  <c r="M321" i="1"/>
  <c r="N321" i="1"/>
  <c r="A322" i="1"/>
  <c r="B322" i="1"/>
  <c r="F322" i="1"/>
  <c r="G322" i="1"/>
  <c r="H322" i="1"/>
  <c r="I322" i="1"/>
  <c r="J322" i="1"/>
  <c r="K322" i="1"/>
  <c r="L322" i="1"/>
  <c r="M322" i="1"/>
  <c r="N322" i="1"/>
  <c r="A323" i="1"/>
  <c r="B323" i="1"/>
  <c r="F323" i="1"/>
  <c r="G323" i="1"/>
  <c r="H323" i="1"/>
  <c r="I323" i="1"/>
  <c r="J323" i="1"/>
  <c r="K323" i="1"/>
  <c r="L323" i="1"/>
  <c r="M323" i="1"/>
  <c r="N323" i="1"/>
  <c r="A324" i="1"/>
  <c r="B324" i="1"/>
  <c r="F324" i="1"/>
  <c r="G324" i="1"/>
  <c r="H324" i="1"/>
  <c r="I324" i="1"/>
  <c r="J324" i="1"/>
  <c r="K324" i="1"/>
  <c r="L324" i="1"/>
  <c r="M324" i="1"/>
  <c r="N324" i="1"/>
  <c r="A325" i="1"/>
  <c r="B325" i="1"/>
  <c r="F325" i="1"/>
  <c r="G325" i="1"/>
  <c r="H325" i="1"/>
  <c r="I325" i="1"/>
  <c r="J325" i="1"/>
  <c r="K325" i="1"/>
  <c r="L325" i="1"/>
  <c r="M325" i="1"/>
  <c r="N325" i="1"/>
  <c r="A326" i="1"/>
  <c r="B326" i="1"/>
  <c r="F326" i="1"/>
  <c r="G326" i="1"/>
  <c r="H326" i="1"/>
  <c r="I326" i="1"/>
  <c r="J326" i="1"/>
  <c r="K326" i="1"/>
  <c r="L326" i="1"/>
  <c r="M326" i="1"/>
  <c r="N326" i="1"/>
  <c r="A327" i="1"/>
  <c r="B327" i="1"/>
  <c r="F327" i="1"/>
  <c r="G327" i="1"/>
  <c r="H327" i="1"/>
  <c r="I327" i="1"/>
  <c r="J327" i="1"/>
  <c r="K327" i="1"/>
  <c r="L327" i="1"/>
  <c r="M327" i="1"/>
  <c r="N327" i="1"/>
  <c r="A328" i="1"/>
  <c r="B328" i="1"/>
  <c r="F328" i="1"/>
  <c r="G328" i="1"/>
  <c r="H328" i="1"/>
  <c r="I328" i="1"/>
  <c r="J328" i="1"/>
  <c r="K328" i="1"/>
  <c r="L328" i="1"/>
  <c r="M328" i="1"/>
  <c r="N328" i="1"/>
  <c r="A329" i="1"/>
  <c r="B329" i="1"/>
  <c r="F329" i="1"/>
  <c r="G329" i="1"/>
  <c r="H329" i="1"/>
  <c r="I329" i="1"/>
  <c r="J329" i="1"/>
  <c r="K329" i="1"/>
  <c r="L329" i="1"/>
  <c r="M329" i="1"/>
  <c r="N329" i="1"/>
  <c r="A330" i="1"/>
  <c r="B330" i="1"/>
  <c r="F330" i="1"/>
  <c r="G330" i="1"/>
  <c r="H330" i="1"/>
  <c r="I330" i="1"/>
  <c r="J330" i="1"/>
  <c r="K330" i="1"/>
  <c r="L330" i="1"/>
  <c r="M330" i="1"/>
  <c r="N330" i="1"/>
  <c r="A331" i="1"/>
  <c r="B331" i="1"/>
  <c r="F331" i="1"/>
  <c r="G331" i="1"/>
  <c r="H331" i="1"/>
  <c r="I331" i="1"/>
  <c r="J331" i="1"/>
  <c r="K331" i="1"/>
  <c r="L331" i="1"/>
  <c r="M331" i="1"/>
  <c r="N331" i="1"/>
  <c r="A332" i="1"/>
  <c r="B332" i="1"/>
  <c r="F332" i="1"/>
  <c r="G332" i="1"/>
  <c r="H332" i="1"/>
  <c r="I332" i="1"/>
  <c r="J332" i="1"/>
  <c r="K332" i="1"/>
  <c r="L332" i="1"/>
  <c r="M332" i="1"/>
  <c r="N332" i="1"/>
  <c r="A333" i="1"/>
  <c r="B333" i="1"/>
  <c r="F333" i="1"/>
  <c r="G333" i="1"/>
  <c r="H333" i="1"/>
  <c r="I333" i="1"/>
  <c r="J333" i="1"/>
  <c r="K333" i="1"/>
  <c r="L333" i="1"/>
  <c r="M333" i="1"/>
  <c r="N333" i="1"/>
  <c r="A334" i="1"/>
  <c r="B334" i="1"/>
  <c r="F334" i="1"/>
  <c r="G334" i="1"/>
  <c r="H334" i="1"/>
  <c r="I334" i="1"/>
  <c r="J334" i="1"/>
  <c r="K334" i="1"/>
  <c r="L334" i="1"/>
  <c r="M334" i="1"/>
  <c r="N334" i="1"/>
  <c r="A335" i="1"/>
  <c r="B335" i="1"/>
  <c r="F335" i="1"/>
  <c r="G335" i="1"/>
  <c r="H335" i="1"/>
  <c r="I335" i="1"/>
  <c r="J335" i="1"/>
  <c r="K335" i="1"/>
  <c r="L335" i="1"/>
  <c r="M335" i="1"/>
  <c r="N335" i="1"/>
  <c r="A336" i="1"/>
  <c r="B336" i="1"/>
  <c r="F336" i="1"/>
  <c r="G336" i="1"/>
  <c r="H336" i="1"/>
  <c r="I336" i="1"/>
  <c r="J336" i="1"/>
  <c r="K336" i="1"/>
  <c r="L336" i="1"/>
  <c r="M336" i="1"/>
  <c r="N336" i="1"/>
  <c r="A337" i="1"/>
  <c r="B337" i="1"/>
  <c r="F337" i="1"/>
  <c r="G337" i="1"/>
  <c r="H337" i="1"/>
  <c r="I337" i="1"/>
  <c r="J337" i="1"/>
  <c r="K337" i="1"/>
  <c r="L337" i="1"/>
  <c r="M337" i="1"/>
  <c r="N337" i="1"/>
  <c r="A338" i="1"/>
  <c r="B338" i="1"/>
  <c r="F338" i="1"/>
  <c r="G338" i="1"/>
  <c r="H338" i="1"/>
  <c r="I338" i="1"/>
  <c r="J338" i="1"/>
  <c r="K338" i="1"/>
  <c r="L338" i="1"/>
  <c r="M338" i="1"/>
  <c r="N338" i="1"/>
  <c r="A339" i="1"/>
  <c r="B339" i="1"/>
  <c r="F339" i="1"/>
  <c r="G339" i="1"/>
  <c r="H339" i="1"/>
  <c r="I339" i="1"/>
  <c r="J339" i="1"/>
  <c r="K339" i="1"/>
  <c r="L339" i="1"/>
  <c r="M339" i="1"/>
  <c r="N339" i="1"/>
  <c r="A340" i="1"/>
  <c r="B340" i="1"/>
  <c r="F340" i="1"/>
  <c r="G340" i="1"/>
  <c r="H340" i="1"/>
  <c r="I340" i="1"/>
  <c r="J340" i="1"/>
  <c r="K340" i="1"/>
  <c r="L340" i="1"/>
  <c r="M340" i="1"/>
  <c r="N340" i="1"/>
  <c r="A341" i="1"/>
  <c r="B341" i="1"/>
  <c r="F341" i="1"/>
  <c r="G341" i="1"/>
  <c r="H341" i="1"/>
  <c r="I341" i="1"/>
  <c r="J341" i="1"/>
  <c r="K341" i="1"/>
  <c r="L341" i="1"/>
  <c r="M341" i="1"/>
  <c r="N341" i="1"/>
  <c r="A342" i="1"/>
  <c r="B342" i="1"/>
  <c r="F342" i="1"/>
  <c r="G342" i="1"/>
  <c r="H342" i="1"/>
  <c r="I342" i="1"/>
  <c r="J342" i="1"/>
  <c r="K342" i="1"/>
  <c r="L342" i="1"/>
  <c r="M342" i="1"/>
  <c r="N342" i="1"/>
  <c r="A343" i="1"/>
  <c r="B343" i="1"/>
  <c r="F343" i="1"/>
  <c r="G343" i="1"/>
  <c r="H343" i="1"/>
  <c r="I343" i="1"/>
  <c r="J343" i="1"/>
  <c r="K343" i="1"/>
  <c r="L343" i="1"/>
  <c r="M343" i="1"/>
  <c r="N343" i="1"/>
  <c r="A344" i="1"/>
  <c r="B344" i="1"/>
  <c r="F344" i="1"/>
  <c r="G344" i="1"/>
  <c r="H344" i="1"/>
  <c r="I344" i="1"/>
  <c r="J344" i="1"/>
  <c r="K344" i="1"/>
  <c r="L344" i="1"/>
  <c r="M344" i="1"/>
  <c r="N344" i="1"/>
  <c r="A345" i="1"/>
  <c r="B345" i="1"/>
  <c r="F345" i="1"/>
  <c r="G345" i="1"/>
  <c r="H345" i="1"/>
  <c r="I345" i="1"/>
  <c r="J345" i="1"/>
  <c r="K345" i="1"/>
  <c r="L345" i="1"/>
  <c r="M345" i="1"/>
  <c r="N345" i="1"/>
  <c r="A346" i="1"/>
  <c r="B346" i="1"/>
  <c r="F346" i="1"/>
  <c r="G346" i="1"/>
  <c r="H346" i="1"/>
  <c r="I346" i="1"/>
  <c r="J346" i="1"/>
  <c r="K346" i="1"/>
  <c r="L346" i="1"/>
  <c r="M346" i="1"/>
  <c r="N346" i="1"/>
  <c r="A347" i="1"/>
  <c r="B347" i="1"/>
  <c r="F347" i="1"/>
  <c r="G347" i="1"/>
  <c r="H347" i="1"/>
  <c r="I347" i="1"/>
  <c r="J347" i="1"/>
  <c r="K347" i="1"/>
  <c r="L347" i="1"/>
  <c r="M347" i="1"/>
  <c r="N347" i="1"/>
  <c r="A348" i="1"/>
  <c r="B348" i="1"/>
  <c r="F348" i="1"/>
  <c r="G348" i="1"/>
  <c r="H348" i="1"/>
  <c r="I348" i="1"/>
  <c r="J348" i="1"/>
  <c r="K348" i="1"/>
  <c r="L348" i="1"/>
  <c r="M348" i="1"/>
  <c r="N348" i="1"/>
  <c r="A349" i="1"/>
  <c r="B349" i="1"/>
  <c r="F349" i="1"/>
  <c r="G349" i="1"/>
  <c r="H349" i="1"/>
  <c r="I349" i="1"/>
  <c r="J349" i="1"/>
  <c r="K349" i="1"/>
  <c r="L349" i="1"/>
  <c r="M349" i="1"/>
  <c r="N349" i="1"/>
  <c r="A350" i="1"/>
  <c r="B350" i="1"/>
  <c r="F350" i="1"/>
  <c r="G350" i="1"/>
  <c r="H350" i="1"/>
  <c r="I350" i="1"/>
  <c r="J350" i="1"/>
  <c r="K350" i="1"/>
  <c r="L350" i="1"/>
  <c r="M350" i="1"/>
  <c r="N350" i="1"/>
  <c r="A351" i="1"/>
  <c r="B351" i="1"/>
  <c r="F351" i="1"/>
  <c r="G351" i="1"/>
  <c r="H351" i="1"/>
  <c r="I351" i="1"/>
  <c r="J351" i="1"/>
  <c r="K351" i="1"/>
  <c r="L351" i="1"/>
  <c r="M351" i="1"/>
  <c r="N351" i="1"/>
  <c r="A352" i="1"/>
  <c r="B352" i="1"/>
  <c r="F352" i="1"/>
  <c r="G352" i="1"/>
  <c r="H352" i="1"/>
  <c r="I352" i="1"/>
  <c r="J352" i="1"/>
  <c r="K352" i="1"/>
  <c r="L352" i="1"/>
  <c r="M352" i="1"/>
  <c r="N352" i="1"/>
  <c r="A353" i="1"/>
  <c r="B353" i="1"/>
  <c r="F353" i="1"/>
  <c r="G353" i="1"/>
  <c r="H353" i="1"/>
  <c r="I353" i="1"/>
  <c r="J353" i="1"/>
  <c r="K353" i="1"/>
  <c r="L353" i="1"/>
  <c r="M353" i="1"/>
  <c r="N353" i="1"/>
  <c r="A354" i="1"/>
  <c r="B354" i="1"/>
  <c r="F354" i="1"/>
  <c r="G354" i="1"/>
  <c r="H354" i="1"/>
  <c r="I354" i="1"/>
  <c r="J354" i="1"/>
  <c r="K354" i="1"/>
  <c r="L354" i="1"/>
  <c r="M354" i="1"/>
  <c r="N354" i="1"/>
  <c r="A355" i="1"/>
  <c r="B355" i="1"/>
  <c r="F355" i="1"/>
  <c r="G355" i="1"/>
  <c r="H355" i="1"/>
  <c r="I355" i="1"/>
  <c r="J355" i="1"/>
  <c r="K355" i="1"/>
  <c r="L355" i="1"/>
  <c r="M355" i="1"/>
  <c r="N355" i="1"/>
  <c r="A356" i="1"/>
  <c r="B356" i="1"/>
  <c r="F356" i="1"/>
  <c r="G356" i="1"/>
  <c r="H356" i="1"/>
  <c r="I356" i="1"/>
  <c r="J356" i="1"/>
  <c r="K356" i="1"/>
  <c r="L356" i="1"/>
  <c r="M356" i="1"/>
  <c r="N356" i="1"/>
  <c r="A357" i="1"/>
  <c r="B357" i="1"/>
  <c r="F357" i="1"/>
  <c r="G357" i="1"/>
  <c r="H357" i="1"/>
  <c r="I357" i="1"/>
  <c r="J357" i="1"/>
  <c r="K357" i="1"/>
  <c r="L357" i="1"/>
  <c r="M357" i="1"/>
  <c r="N357" i="1"/>
  <c r="A358" i="1"/>
  <c r="B358" i="1"/>
  <c r="F358" i="1"/>
  <c r="G358" i="1"/>
  <c r="H358" i="1"/>
  <c r="I358" i="1"/>
  <c r="J358" i="1"/>
  <c r="K358" i="1"/>
  <c r="L358" i="1"/>
  <c r="M358" i="1"/>
  <c r="N358" i="1"/>
  <c r="A359" i="1"/>
  <c r="B359" i="1"/>
  <c r="F359" i="1"/>
  <c r="G359" i="1"/>
  <c r="H359" i="1"/>
  <c r="I359" i="1"/>
  <c r="J359" i="1"/>
  <c r="K359" i="1"/>
  <c r="L359" i="1"/>
  <c r="M359" i="1"/>
  <c r="N359" i="1"/>
  <c r="A360" i="1"/>
  <c r="B360" i="1"/>
  <c r="F360" i="1"/>
  <c r="G360" i="1"/>
  <c r="H360" i="1"/>
  <c r="I360" i="1"/>
  <c r="J360" i="1"/>
  <c r="K360" i="1"/>
  <c r="L360" i="1"/>
  <c r="M360" i="1"/>
  <c r="N360" i="1"/>
  <c r="A361" i="1"/>
  <c r="B361" i="1"/>
  <c r="F361" i="1"/>
  <c r="G361" i="1"/>
  <c r="H361" i="1"/>
  <c r="I361" i="1"/>
  <c r="J361" i="1"/>
  <c r="K361" i="1"/>
  <c r="L361" i="1"/>
  <c r="M361" i="1"/>
  <c r="N361" i="1"/>
  <c r="A362" i="1"/>
  <c r="B362" i="1"/>
  <c r="F362" i="1"/>
  <c r="G362" i="1"/>
  <c r="H362" i="1"/>
  <c r="I362" i="1"/>
  <c r="J362" i="1"/>
  <c r="K362" i="1"/>
  <c r="L362" i="1"/>
  <c r="M362" i="1"/>
  <c r="N362" i="1"/>
  <c r="A363" i="1"/>
  <c r="B363" i="1"/>
  <c r="F363" i="1"/>
  <c r="G363" i="1"/>
  <c r="H363" i="1"/>
  <c r="I363" i="1"/>
  <c r="J363" i="1"/>
  <c r="K363" i="1"/>
  <c r="L363" i="1"/>
  <c r="M363" i="1"/>
  <c r="N363" i="1"/>
  <c r="A364" i="1"/>
  <c r="B364" i="1"/>
  <c r="F364" i="1"/>
  <c r="G364" i="1"/>
  <c r="H364" i="1"/>
  <c r="I364" i="1"/>
  <c r="J364" i="1"/>
  <c r="K364" i="1"/>
  <c r="L364" i="1"/>
  <c r="M364" i="1"/>
  <c r="N364" i="1"/>
  <c r="A365" i="1"/>
  <c r="B365" i="1"/>
  <c r="F365" i="1"/>
  <c r="G365" i="1"/>
  <c r="H365" i="1"/>
  <c r="I365" i="1"/>
  <c r="J365" i="1"/>
  <c r="K365" i="1"/>
  <c r="L365" i="1"/>
  <c r="M365" i="1"/>
  <c r="N365" i="1"/>
  <c r="A366" i="1"/>
  <c r="B366" i="1"/>
  <c r="F366" i="1"/>
  <c r="G366" i="1"/>
  <c r="H366" i="1"/>
  <c r="I366" i="1"/>
  <c r="J366" i="1"/>
  <c r="K366" i="1"/>
  <c r="L366" i="1"/>
  <c r="M366" i="1"/>
  <c r="N366" i="1"/>
  <c r="A367" i="1"/>
  <c r="B367" i="1"/>
  <c r="F367" i="1"/>
  <c r="G367" i="1"/>
  <c r="H367" i="1"/>
  <c r="I367" i="1"/>
  <c r="J367" i="1"/>
  <c r="K367" i="1"/>
  <c r="L367" i="1"/>
  <c r="M367" i="1"/>
  <c r="N367" i="1"/>
  <c r="A368" i="1"/>
  <c r="B368" i="1"/>
  <c r="F368" i="1"/>
  <c r="G368" i="1"/>
  <c r="H368" i="1"/>
  <c r="I368" i="1"/>
  <c r="J368" i="1"/>
  <c r="K368" i="1"/>
  <c r="L368" i="1"/>
  <c r="M368" i="1"/>
  <c r="N368" i="1"/>
  <c r="A369" i="1"/>
  <c r="B369" i="1"/>
  <c r="F369" i="1"/>
  <c r="G369" i="1"/>
  <c r="H369" i="1"/>
  <c r="I369" i="1"/>
  <c r="J369" i="1"/>
  <c r="K369" i="1"/>
  <c r="L369" i="1"/>
  <c r="M369" i="1"/>
  <c r="N369" i="1"/>
  <c r="A370" i="1"/>
  <c r="B370" i="1"/>
  <c r="F370" i="1"/>
  <c r="G370" i="1"/>
  <c r="H370" i="1"/>
  <c r="I370" i="1"/>
  <c r="J370" i="1"/>
  <c r="K370" i="1"/>
  <c r="L370" i="1"/>
  <c r="M370" i="1"/>
  <c r="N370" i="1"/>
  <c r="A371" i="1"/>
  <c r="B371" i="1"/>
  <c r="F371" i="1"/>
  <c r="G371" i="1"/>
  <c r="H371" i="1"/>
  <c r="I371" i="1"/>
  <c r="J371" i="1"/>
  <c r="K371" i="1"/>
  <c r="L371" i="1"/>
  <c r="M371" i="1"/>
  <c r="N371" i="1"/>
  <c r="A372" i="1"/>
  <c r="B372" i="1"/>
  <c r="F372" i="1"/>
  <c r="G372" i="1"/>
  <c r="H372" i="1"/>
  <c r="I372" i="1"/>
  <c r="J372" i="1"/>
  <c r="K372" i="1"/>
  <c r="L372" i="1"/>
  <c r="M372" i="1"/>
  <c r="N372" i="1"/>
  <c r="A373" i="1"/>
  <c r="B373" i="1"/>
  <c r="F373" i="1"/>
  <c r="G373" i="1"/>
  <c r="H373" i="1"/>
  <c r="I373" i="1"/>
  <c r="J373" i="1"/>
  <c r="K373" i="1"/>
  <c r="L373" i="1"/>
  <c r="M373" i="1"/>
  <c r="N373" i="1"/>
  <c r="A374" i="1"/>
  <c r="B374" i="1"/>
  <c r="F374" i="1"/>
  <c r="G374" i="1"/>
  <c r="H374" i="1"/>
  <c r="I374" i="1"/>
  <c r="J374" i="1"/>
  <c r="K374" i="1"/>
  <c r="L374" i="1"/>
  <c r="M374" i="1"/>
  <c r="N374" i="1"/>
  <c r="A375" i="1"/>
  <c r="B375" i="1"/>
  <c r="F375" i="1"/>
  <c r="G375" i="1"/>
  <c r="H375" i="1"/>
  <c r="I375" i="1"/>
  <c r="J375" i="1"/>
  <c r="K375" i="1"/>
  <c r="L375" i="1"/>
  <c r="M375" i="1"/>
  <c r="N375" i="1"/>
  <c r="A376" i="1"/>
  <c r="B376" i="1"/>
  <c r="F376" i="1"/>
  <c r="G376" i="1"/>
  <c r="H376" i="1"/>
  <c r="I376" i="1"/>
  <c r="J376" i="1"/>
  <c r="K376" i="1"/>
  <c r="L376" i="1"/>
  <c r="M376" i="1"/>
  <c r="N376" i="1"/>
  <c r="A377" i="1"/>
  <c r="B377" i="1"/>
  <c r="F377" i="1"/>
  <c r="G377" i="1"/>
  <c r="H377" i="1"/>
  <c r="I377" i="1"/>
  <c r="J377" i="1"/>
  <c r="K377" i="1"/>
  <c r="L377" i="1"/>
  <c r="M377" i="1"/>
  <c r="N377" i="1"/>
  <c r="A378" i="1"/>
  <c r="B378" i="1"/>
  <c r="F378" i="1"/>
  <c r="G378" i="1"/>
  <c r="H378" i="1"/>
  <c r="I378" i="1"/>
  <c r="J378" i="1"/>
  <c r="K378" i="1"/>
  <c r="L378" i="1"/>
  <c r="M378" i="1"/>
  <c r="N378" i="1"/>
  <c r="A379" i="1"/>
  <c r="B379" i="1"/>
  <c r="F379" i="1"/>
  <c r="G379" i="1"/>
  <c r="H379" i="1"/>
  <c r="I379" i="1"/>
  <c r="J379" i="1"/>
  <c r="K379" i="1"/>
  <c r="L379" i="1"/>
  <c r="M379" i="1"/>
  <c r="N379" i="1"/>
  <c r="A380" i="1"/>
  <c r="B380" i="1"/>
  <c r="F380" i="1"/>
  <c r="G380" i="1"/>
  <c r="H380" i="1"/>
  <c r="I380" i="1"/>
  <c r="J380" i="1"/>
  <c r="K380" i="1"/>
  <c r="L380" i="1"/>
  <c r="M380" i="1"/>
  <c r="N380" i="1"/>
  <c r="A381" i="1"/>
  <c r="B381" i="1"/>
  <c r="F381" i="1"/>
  <c r="G381" i="1"/>
  <c r="H381" i="1"/>
  <c r="I381" i="1"/>
  <c r="J381" i="1"/>
  <c r="K381" i="1"/>
  <c r="L381" i="1"/>
  <c r="M381" i="1"/>
  <c r="N381" i="1"/>
  <c r="A382" i="1"/>
  <c r="B382" i="1"/>
  <c r="F382" i="1"/>
  <c r="G382" i="1"/>
  <c r="H382" i="1"/>
  <c r="I382" i="1"/>
  <c r="J382" i="1"/>
  <c r="K382" i="1"/>
  <c r="L382" i="1"/>
  <c r="M382" i="1"/>
  <c r="N382" i="1"/>
  <c r="A383" i="1"/>
  <c r="B383" i="1"/>
  <c r="F383" i="1"/>
  <c r="G383" i="1"/>
  <c r="H383" i="1"/>
  <c r="I383" i="1"/>
  <c r="J383" i="1"/>
  <c r="K383" i="1"/>
  <c r="L383" i="1"/>
  <c r="M383" i="1"/>
  <c r="N383" i="1"/>
  <c r="A384" i="1"/>
  <c r="B384" i="1"/>
  <c r="F384" i="1"/>
  <c r="G384" i="1"/>
  <c r="H384" i="1"/>
  <c r="I384" i="1"/>
  <c r="J384" i="1"/>
  <c r="K384" i="1"/>
  <c r="L384" i="1"/>
  <c r="M384" i="1"/>
  <c r="N384" i="1"/>
  <c r="A385" i="1"/>
  <c r="B385" i="1"/>
  <c r="F385" i="1"/>
  <c r="G385" i="1"/>
  <c r="H385" i="1"/>
  <c r="I385" i="1"/>
  <c r="J385" i="1"/>
  <c r="K385" i="1"/>
  <c r="L385" i="1"/>
  <c r="M385" i="1"/>
  <c r="N385" i="1"/>
  <c r="A386" i="1"/>
  <c r="B386" i="1"/>
  <c r="F386" i="1"/>
  <c r="G386" i="1"/>
  <c r="H386" i="1"/>
  <c r="I386" i="1"/>
  <c r="J386" i="1"/>
  <c r="K386" i="1"/>
  <c r="L386" i="1"/>
  <c r="M386" i="1"/>
  <c r="N386" i="1"/>
  <c r="A387" i="1"/>
  <c r="B387" i="1"/>
  <c r="F387" i="1"/>
  <c r="G387" i="1"/>
  <c r="H387" i="1"/>
  <c r="I387" i="1"/>
  <c r="J387" i="1"/>
  <c r="K387" i="1"/>
  <c r="L387" i="1"/>
  <c r="M387" i="1"/>
  <c r="N387" i="1"/>
  <c r="A388" i="1"/>
  <c r="B388" i="1"/>
  <c r="F388" i="1"/>
  <c r="G388" i="1"/>
  <c r="H388" i="1"/>
  <c r="I388" i="1"/>
  <c r="J388" i="1"/>
  <c r="K388" i="1"/>
  <c r="L388" i="1"/>
  <c r="M388" i="1"/>
  <c r="N388" i="1"/>
  <c r="A389" i="1"/>
  <c r="B389" i="1"/>
  <c r="F389" i="1"/>
  <c r="G389" i="1"/>
  <c r="H389" i="1"/>
  <c r="I389" i="1"/>
  <c r="J389" i="1"/>
  <c r="K389" i="1"/>
  <c r="L389" i="1"/>
  <c r="M389" i="1"/>
  <c r="N389" i="1"/>
  <c r="A390" i="1"/>
  <c r="B390" i="1"/>
  <c r="F390" i="1"/>
  <c r="G390" i="1"/>
  <c r="H390" i="1"/>
  <c r="I390" i="1"/>
  <c r="J390" i="1"/>
  <c r="K390" i="1"/>
  <c r="L390" i="1"/>
  <c r="M390" i="1"/>
  <c r="N390" i="1"/>
  <c r="A391" i="1"/>
  <c r="B391" i="1"/>
  <c r="F391" i="1"/>
  <c r="G391" i="1"/>
  <c r="H391" i="1"/>
  <c r="I391" i="1"/>
  <c r="J391" i="1"/>
  <c r="K391" i="1"/>
  <c r="L391" i="1"/>
  <c r="M391" i="1"/>
  <c r="N391" i="1"/>
  <c r="A392" i="1"/>
  <c r="B392" i="1"/>
  <c r="F392" i="1"/>
  <c r="G392" i="1"/>
  <c r="H392" i="1"/>
  <c r="I392" i="1"/>
  <c r="J392" i="1"/>
  <c r="K392" i="1"/>
  <c r="L392" i="1"/>
  <c r="M392" i="1"/>
  <c r="N392" i="1"/>
  <c r="A393" i="1"/>
  <c r="B393" i="1"/>
  <c r="F393" i="1"/>
  <c r="G393" i="1"/>
  <c r="H393" i="1"/>
  <c r="I393" i="1"/>
  <c r="J393" i="1"/>
  <c r="K393" i="1"/>
  <c r="L393" i="1"/>
  <c r="M393" i="1"/>
  <c r="N393" i="1"/>
  <c r="A394" i="1"/>
  <c r="B394" i="1"/>
  <c r="F394" i="1"/>
  <c r="G394" i="1"/>
  <c r="H394" i="1"/>
  <c r="I394" i="1"/>
  <c r="J394" i="1"/>
  <c r="K394" i="1"/>
  <c r="L394" i="1"/>
  <c r="M394" i="1"/>
  <c r="N394" i="1"/>
  <c r="A395" i="1"/>
  <c r="B395" i="1"/>
  <c r="F395" i="1"/>
  <c r="G395" i="1"/>
  <c r="H395" i="1"/>
  <c r="I395" i="1"/>
  <c r="J395" i="1"/>
  <c r="K395" i="1"/>
  <c r="L395" i="1"/>
  <c r="M395" i="1"/>
  <c r="N395" i="1"/>
  <c r="A396" i="1"/>
  <c r="B396" i="1"/>
  <c r="F396" i="1"/>
  <c r="G396" i="1"/>
  <c r="H396" i="1"/>
  <c r="I396" i="1"/>
  <c r="J396" i="1"/>
  <c r="K396" i="1"/>
  <c r="L396" i="1"/>
  <c r="M396" i="1"/>
  <c r="N396" i="1"/>
  <c r="A397" i="1"/>
  <c r="B397" i="1"/>
  <c r="F397" i="1"/>
  <c r="G397" i="1"/>
  <c r="H397" i="1"/>
  <c r="I397" i="1"/>
  <c r="J397" i="1"/>
  <c r="K397" i="1"/>
  <c r="L397" i="1"/>
  <c r="M397" i="1"/>
  <c r="N397" i="1"/>
  <c r="A398" i="1"/>
  <c r="B398" i="1"/>
  <c r="F398" i="1"/>
  <c r="G398" i="1"/>
  <c r="H398" i="1"/>
  <c r="I398" i="1"/>
  <c r="J398" i="1"/>
  <c r="K398" i="1"/>
  <c r="L398" i="1"/>
  <c r="M398" i="1"/>
  <c r="N398" i="1"/>
  <c r="A399" i="1"/>
  <c r="B399" i="1"/>
  <c r="F399" i="1"/>
  <c r="G399" i="1"/>
  <c r="H399" i="1"/>
  <c r="I399" i="1"/>
  <c r="J399" i="1"/>
  <c r="K399" i="1"/>
  <c r="L399" i="1"/>
  <c r="M399" i="1"/>
  <c r="N399" i="1"/>
  <c r="A400" i="1"/>
  <c r="B400" i="1"/>
  <c r="F400" i="1"/>
  <c r="G400" i="1"/>
  <c r="H400" i="1"/>
  <c r="I400" i="1"/>
  <c r="J400" i="1"/>
  <c r="K400" i="1"/>
  <c r="L400" i="1"/>
  <c r="M400" i="1"/>
  <c r="N400" i="1"/>
  <c r="A401" i="1"/>
  <c r="B401" i="1"/>
  <c r="F401" i="1"/>
  <c r="G401" i="1"/>
  <c r="H401" i="1"/>
  <c r="I401" i="1"/>
  <c r="J401" i="1"/>
  <c r="K401" i="1"/>
  <c r="L401" i="1"/>
  <c r="M401" i="1"/>
  <c r="N401" i="1"/>
  <c r="A402" i="1"/>
  <c r="B402" i="1"/>
  <c r="F402" i="1"/>
  <c r="G402" i="1"/>
  <c r="H402" i="1"/>
  <c r="I402" i="1"/>
  <c r="J402" i="1"/>
  <c r="K402" i="1"/>
  <c r="L402" i="1"/>
  <c r="M402" i="1"/>
  <c r="N402" i="1"/>
  <c r="A403" i="1"/>
  <c r="B403" i="1"/>
  <c r="F403" i="1"/>
  <c r="G403" i="1"/>
  <c r="H403" i="1"/>
  <c r="I403" i="1"/>
  <c r="J403" i="1"/>
  <c r="K403" i="1"/>
  <c r="L403" i="1"/>
  <c r="M403" i="1"/>
  <c r="N403" i="1"/>
  <c r="A404" i="1"/>
  <c r="B404" i="1"/>
  <c r="F404" i="1"/>
  <c r="G404" i="1"/>
  <c r="H404" i="1"/>
  <c r="I404" i="1"/>
  <c r="J404" i="1"/>
  <c r="K404" i="1"/>
  <c r="L404" i="1"/>
  <c r="M404" i="1"/>
  <c r="N404" i="1"/>
  <c r="A405" i="1"/>
  <c r="B405" i="1"/>
  <c r="F405" i="1"/>
  <c r="G405" i="1"/>
  <c r="H405" i="1"/>
  <c r="I405" i="1"/>
  <c r="J405" i="1"/>
  <c r="K405" i="1"/>
  <c r="L405" i="1"/>
  <c r="M405" i="1"/>
  <c r="N405" i="1"/>
  <c r="A406" i="1"/>
  <c r="B406" i="1"/>
  <c r="F406" i="1"/>
  <c r="G406" i="1"/>
  <c r="H406" i="1"/>
  <c r="I406" i="1"/>
  <c r="J406" i="1"/>
  <c r="K406" i="1"/>
  <c r="L406" i="1"/>
  <c r="M406" i="1"/>
  <c r="N406" i="1"/>
  <c r="A407" i="1"/>
  <c r="B407" i="1"/>
  <c r="F407" i="1"/>
  <c r="G407" i="1"/>
  <c r="H407" i="1"/>
  <c r="I407" i="1"/>
  <c r="J407" i="1"/>
  <c r="K407" i="1"/>
  <c r="L407" i="1"/>
  <c r="M407" i="1"/>
  <c r="N407" i="1"/>
  <c r="A408" i="1"/>
  <c r="B408" i="1"/>
  <c r="F408" i="1"/>
  <c r="G408" i="1"/>
  <c r="H408" i="1"/>
  <c r="I408" i="1"/>
  <c r="J408" i="1"/>
  <c r="K408" i="1"/>
  <c r="L408" i="1"/>
  <c r="M408" i="1"/>
  <c r="N408" i="1"/>
  <c r="A409" i="1"/>
  <c r="B409" i="1"/>
  <c r="F409" i="1"/>
  <c r="G409" i="1"/>
  <c r="H409" i="1"/>
  <c r="I409" i="1"/>
  <c r="J409" i="1"/>
  <c r="K409" i="1"/>
  <c r="L409" i="1"/>
  <c r="M409" i="1"/>
  <c r="N409" i="1"/>
  <c r="A410" i="1"/>
  <c r="B410" i="1"/>
  <c r="F410" i="1"/>
  <c r="G410" i="1"/>
  <c r="H410" i="1"/>
  <c r="I410" i="1"/>
  <c r="J410" i="1"/>
  <c r="K410" i="1"/>
  <c r="L410" i="1"/>
  <c r="M410" i="1"/>
  <c r="N410" i="1"/>
  <c r="A411" i="1"/>
  <c r="B411" i="1"/>
  <c r="F411" i="1"/>
  <c r="G411" i="1"/>
  <c r="H411" i="1"/>
  <c r="I411" i="1"/>
  <c r="J411" i="1"/>
  <c r="K411" i="1"/>
  <c r="L411" i="1"/>
  <c r="M411" i="1"/>
  <c r="N411" i="1"/>
  <c r="A412" i="1"/>
  <c r="B412" i="1"/>
  <c r="F412" i="1"/>
  <c r="G412" i="1"/>
  <c r="H412" i="1"/>
  <c r="I412" i="1"/>
  <c r="J412" i="1"/>
  <c r="K412" i="1"/>
  <c r="L412" i="1"/>
  <c r="M412" i="1"/>
  <c r="N412" i="1"/>
  <c r="A413" i="1"/>
  <c r="B413" i="1"/>
  <c r="F413" i="1"/>
  <c r="G413" i="1"/>
  <c r="H413" i="1"/>
  <c r="I413" i="1"/>
  <c r="J413" i="1"/>
  <c r="K413" i="1"/>
  <c r="L413" i="1"/>
  <c r="M413" i="1"/>
  <c r="N413" i="1"/>
  <c r="A414" i="1"/>
  <c r="B414" i="1"/>
  <c r="F414" i="1"/>
  <c r="G414" i="1"/>
  <c r="H414" i="1"/>
  <c r="I414" i="1"/>
  <c r="J414" i="1"/>
  <c r="K414" i="1"/>
  <c r="L414" i="1"/>
  <c r="M414" i="1"/>
  <c r="N414" i="1"/>
  <c r="A415" i="1"/>
  <c r="B415" i="1"/>
  <c r="F415" i="1"/>
  <c r="G415" i="1"/>
  <c r="H415" i="1"/>
  <c r="I415" i="1"/>
  <c r="J415" i="1"/>
  <c r="K415" i="1"/>
  <c r="L415" i="1"/>
  <c r="M415" i="1"/>
  <c r="N415" i="1"/>
  <c r="A416" i="1"/>
  <c r="B416" i="1"/>
  <c r="F416" i="1"/>
  <c r="G416" i="1"/>
  <c r="H416" i="1"/>
  <c r="I416" i="1"/>
  <c r="J416" i="1"/>
  <c r="K416" i="1"/>
  <c r="L416" i="1"/>
  <c r="M416" i="1"/>
  <c r="N416" i="1"/>
  <c r="A417" i="1"/>
  <c r="B417" i="1"/>
  <c r="F417" i="1"/>
  <c r="G417" i="1"/>
  <c r="H417" i="1"/>
  <c r="I417" i="1"/>
  <c r="J417" i="1"/>
  <c r="K417" i="1"/>
  <c r="L417" i="1"/>
  <c r="M417" i="1"/>
  <c r="N417" i="1"/>
  <c r="A418" i="1"/>
  <c r="B418" i="1"/>
  <c r="F418" i="1"/>
  <c r="G418" i="1"/>
  <c r="H418" i="1"/>
  <c r="I418" i="1"/>
  <c r="J418" i="1"/>
  <c r="K418" i="1"/>
  <c r="L418" i="1"/>
  <c r="M418" i="1"/>
  <c r="N418" i="1"/>
  <c r="A419" i="1"/>
  <c r="B419" i="1"/>
  <c r="F419" i="1"/>
  <c r="G419" i="1"/>
  <c r="H419" i="1"/>
  <c r="I419" i="1"/>
  <c r="J419" i="1"/>
  <c r="K419" i="1"/>
  <c r="L419" i="1"/>
  <c r="M419" i="1"/>
  <c r="N419" i="1"/>
  <c r="A420" i="1"/>
  <c r="B420" i="1"/>
  <c r="F420" i="1"/>
  <c r="G420" i="1"/>
  <c r="H420" i="1"/>
  <c r="I420" i="1"/>
  <c r="J420" i="1"/>
  <c r="K420" i="1"/>
  <c r="L420" i="1"/>
  <c r="M420" i="1"/>
  <c r="N420" i="1"/>
  <c r="A421" i="1"/>
  <c r="B421" i="1"/>
  <c r="F421" i="1"/>
  <c r="G421" i="1"/>
  <c r="H421" i="1"/>
  <c r="I421" i="1"/>
  <c r="J421" i="1"/>
  <c r="K421" i="1"/>
  <c r="L421" i="1"/>
  <c r="M421" i="1"/>
  <c r="N421" i="1"/>
  <c r="A422" i="1"/>
  <c r="B422" i="1"/>
  <c r="F422" i="1"/>
  <c r="G422" i="1"/>
  <c r="H422" i="1"/>
  <c r="I422" i="1"/>
  <c r="J422" i="1"/>
  <c r="K422" i="1"/>
  <c r="L422" i="1"/>
  <c r="M422" i="1"/>
  <c r="N422" i="1"/>
  <c r="A423" i="1"/>
  <c r="B423" i="1"/>
  <c r="F423" i="1"/>
  <c r="G423" i="1"/>
  <c r="H423" i="1"/>
  <c r="I423" i="1"/>
  <c r="J423" i="1"/>
  <c r="K423" i="1"/>
  <c r="L423" i="1"/>
  <c r="M423" i="1"/>
  <c r="N423" i="1"/>
  <c r="A424" i="1"/>
  <c r="B424" i="1"/>
  <c r="F424" i="1"/>
  <c r="G424" i="1"/>
  <c r="H424" i="1"/>
  <c r="I424" i="1"/>
  <c r="J424" i="1"/>
  <c r="K424" i="1"/>
  <c r="L424" i="1"/>
  <c r="M424" i="1"/>
  <c r="N424" i="1"/>
  <c r="A425" i="1"/>
  <c r="B425" i="1"/>
  <c r="F425" i="1"/>
  <c r="G425" i="1"/>
  <c r="H425" i="1"/>
  <c r="I425" i="1"/>
  <c r="J425" i="1"/>
  <c r="K425" i="1"/>
  <c r="L425" i="1"/>
  <c r="M425" i="1"/>
  <c r="N425" i="1"/>
  <c r="A426" i="1"/>
  <c r="B426" i="1"/>
  <c r="F426" i="1"/>
  <c r="G426" i="1"/>
  <c r="H426" i="1"/>
  <c r="I426" i="1"/>
  <c r="J426" i="1"/>
  <c r="K426" i="1"/>
  <c r="L426" i="1"/>
  <c r="M426" i="1"/>
  <c r="N426" i="1"/>
  <c r="A427" i="1"/>
  <c r="B427" i="1"/>
  <c r="F427" i="1"/>
  <c r="G427" i="1"/>
  <c r="H427" i="1"/>
  <c r="I427" i="1"/>
  <c r="J427" i="1"/>
  <c r="K427" i="1"/>
  <c r="L427" i="1"/>
  <c r="M427" i="1"/>
  <c r="N427" i="1"/>
  <c r="A428" i="1"/>
  <c r="B428" i="1"/>
  <c r="F428" i="1"/>
  <c r="G428" i="1"/>
  <c r="H428" i="1"/>
  <c r="I428" i="1"/>
  <c r="J428" i="1"/>
  <c r="K428" i="1"/>
  <c r="L428" i="1"/>
  <c r="M428" i="1"/>
  <c r="N428" i="1"/>
  <c r="A429" i="1"/>
  <c r="B429" i="1"/>
  <c r="F429" i="1"/>
  <c r="G429" i="1"/>
  <c r="H429" i="1"/>
  <c r="I429" i="1"/>
  <c r="J429" i="1"/>
  <c r="K429" i="1"/>
  <c r="L429" i="1"/>
  <c r="M429" i="1"/>
  <c r="N429" i="1"/>
  <c r="A430" i="1"/>
  <c r="B430" i="1"/>
  <c r="F430" i="1"/>
  <c r="G430" i="1"/>
  <c r="H430" i="1"/>
  <c r="I430" i="1"/>
  <c r="J430" i="1"/>
  <c r="K430" i="1"/>
  <c r="L430" i="1"/>
  <c r="M430" i="1"/>
  <c r="N430" i="1"/>
  <c r="A431" i="1"/>
  <c r="B431" i="1"/>
  <c r="F431" i="1"/>
  <c r="G431" i="1"/>
  <c r="H431" i="1"/>
  <c r="I431" i="1"/>
  <c r="J431" i="1"/>
  <c r="K431" i="1"/>
  <c r="L431" i="1"/>
  <c r="M431" i="1"/>
  <c r="N431" i="1"/>
  <c r="A432" i="1"/>
  <c r="B432" i="1"/>
  <c r="F432" i="1"/>
  <c r="G432" i="1"/>
  <c r="H432" i="1"/>
  <c r="I432" i="1"/>
  <c r="J432" i="1"/>
  <c r="K432" i="1"/>
  <c r="L432" i="1"/>
  <c r="M432" i="1"/>
  <c r="N432" i="1"/>
  <c r="A433" i="1"/>
  <c r="B433" i="1"/>
  <c r="F433" i="1"/>
  <c r="G433" i="1"/>
  <c r="H433" i="1"/>
  <c r="I433" i="1"/>
  <c r="J433" i="1"/>
  <c r="K433" i="1"/>
  <c r="L433" i="1"/>
  <c r="M433" i="1"/>
  <c r="N433" i="1"/>
  <c r="A434" i="1"/>
  <c r="B434" i="1"/>
  <c r="F434" i="1"/>
  <c r="G434" i="1"/>
  <c r="H434" i="1"/>
  <c r="I434" i="1"/>
  <c r="J434" i="1"/>
  <c r="K434" i="1"/>
  <c r="L434" i="1"/>
  <c r="M434" i="1"/>
  <c r="N434" i="1"/>
  <c r="A435" i="1"/>
  <c r="B435" i="1"/>
  <c r="F435" i="1"/>
  <c r="G435" i="1"/>
  <c r="H435" i="1"/>
  <c r="I435" i="1"/>
  <c r="J435" i="1"/>
  <c r="K435" i="1"/>
  <c r="L435" i="1"/>
  <c r="M435" i="1"/>
  <c r="N435" i="1"/>
  <c r="A436" i="1"/>
  <c r="B436" i="1"/>
  <c r="F436" i="1"/>
  <c r="G436" i="1"/>
  <c r="H436" i="1"/>
  <c r="I436" i="1"/>
  <c r="J436" i="1"/>
  <c r="K436" i="1"/>
  <c r="L436" i="1"/>
  <c r="M436" i="1"/>
  <c r="N436" i="1"/>
  <c r="A437" i="1"/>
  <c r="B437" i="1"/>
  <c r="F437" i="1"/>
  <c r="G437" i="1"/>
  <c r="H437" i="1"/>
  <c r="I437" i="1"/>
  <c r="J437" i="1"/>
  <c r="K437" i="1"/>
  <c r="L437" i="1"/>
  <c r="M437" i="1"/>
  <c r="N437" i="1"/>
  <c r="A438" i="1"/>
  <c r="B438" i="1"/>
  <c r="F438" i="1"/>
  <c r="G438" i="1"/>
  <c r="H438" i="1"/>
  <c r="I438" i="1"/>
  <c r="J438" i="1"/>
  <c r="K438" i="1"/>
  <c r="L438" i="1"/>
  <c r="M438" i="1"/>
  <c r="N438" i="1"/>
  <c r="A439" i="1"/>
  <c r="B439" i="1"/>
  <c r="F439" i="1"/>
  <c r="G439" i="1"/>
  <c r="H439" i="1"/>
  <c r="I439" i="1"/>
  <c r="J439" i="1"/>
  <c r="K439" i="1"/>
  <c r="L439" i="1"/>
  <c r="M439" i="1"/>
  <c r="N439" i="1"/>
  <c r="A440" i="1"/>
  <c r="B440" i="1"/>
  <c r="F440" i="1"/>
  <c r="G440" i="1"/>
  <c r="H440" i="1"/>
  <c r="I440" i="1"/>
  <c r="J440" i="1"/>
  <c r="K440" i="1"/>
  <c r="L440" i="1"/>
  <c r="M440" i="1"/>
  <c r="N440" i="1"/>
  <c r="A441" i="1"/>
  <c r="B441" i="1"/>
  <c r="F441" i="1"/>
  <c r="G441" i="1"/>
  <c r="H441" i="1"/>
  <c r="I441" i="1"/>
  <c r="J441" i="1"/>
  <c r="K441" i="1"/>
  <c r="L441" i="1"/>
  <c r="M441" i="1"/>
  <c r="N441" i="1"/>
  <c r="A442" i="1"/>
  <c r="B442" i="1"/>
  <c r="F442" i="1"/>
  <c r="G442" i="1"/>
  <c r="H442" i="1"/>
  <c r="I442" i="1"/>
  <c r="J442" i="1"/>
  <c r="K442" i="1"/>
  <c r="L442" i="1"/>
  <c r="M442" i="1"/>
  <c r="N442" i="1"/>
  <c r="A443" i="1"/>
  <c r="B443" i="1"/>
  <c r="F443" i="1"/>
  <c r="G443" i="1"/>
  <c r="H443" i="1"/>
  <c r="I443" i="1"/>
  <c r="J443" i="1"/>
  <c r="K443" i="1"/>
  <c r="L443" i="1"/>
  <c r="M443" i="1"/>
  <c r="N443" i="1"/>
  <c r="A444" i="1"/>
  <c r="B444" i="1"/>
  <c r="F444" i="1"/>
  <c r="G444" i="1"/>
  <c r="H444" i="1"/>
  <c r="I444" i="1"/>
  <c r="J444" i="1"/>
  <c r="K444" i="1"/>
  <c r="L444" i="1"/>
  <c r="M444" i="1"/>
  <c r="N444" i="1"/>
  <c r="A445" i="1"/>
  <c r="B445" i="1"/>
  <c r="F445" i="1"/>
  <c r="G445" i="1"/>
  <c r="H445" i="1"/>
  <c r="I445" i="1"/>
  <c r="J445" i="1"/>
  <c r="K445" i="1"/>
  <c r="L445" i="1"/>
  <c r="M445" i="1"/>
  <c r="N445" i="1"/>
  <c r="A446" i="1"/>
  <c r="B446" i="1"/>
  <c r="F446" i="1"/>
  <c r="G446" i="1"/>
  <c r="H446" i="1"/>
  <c r="I446" i="1"/>
  <c r="J446" i="1"/>
  <c r="K446" i="1"/>
  <c r="L446" i="1"/>
  <c r="M446" i="1"/>
  <c r="N446" i="1"/>
  <c r="A447" i="1"/>
  <c r="B447" i="1"/>
  <c r="F447" i="1"/>
  <c r="G447" i="1"/>
  <c r="H447" i="1"/>
  <c r="I447" i="1"/>
  <c r="J447" i="1"/>
  <c r="K447" i="1"/>
  <c r="L447" i="1"/>
  <c r="M447" i="1"/>
  <c r="N447" i="1"/>
  <c r="A448" i="1"/>
  <c r="B448" i="1"/>
  <c r="F448" i="1"/>
  <c r="G448" i="1"/>
  <c r="H448" i="1"/>
  <c r="I448" i="1"/>
  <c r="J448" i="1"/>
  <c r="K448" i="1"/>
  <c r="L448" i="1"/>
  <c r="M448" i="1"/>
  <c r="N448" i="1"/>
  <c r="A449" i="1"/>
  <c r="B449" i="1"/>
  <c r="F449" i="1"/>
  <c r="G449" i="1"/>
  <c r="H449" i="1"/>
  <c r="I449" i="1"/>
  <c r="J449" i="1"/>
  <c r="K449" i="1"/>
  <c r="L449" i="1"/>
  <c r="M449" i="1"/>
  <c r="N449" i="1"/>
  <c r="A450" i="1"/>
  <c r="B450" i="1"/>
  <c r="F450" i="1"/>
  <c r="G450" i="1"/>
  <c r="H450" i="1"/>
  <c r="I450" i="1"/>
  <c r="J450" i="1"/>
  <c r="K450" i="1"/>
  <c r="L450" i="1"/>
  <c r="M450" i="1"/>
  <c r="N450" i="1"/>
  <c r="A451" i="1"/>
  <c r="B451" i="1"/>
  <c r="F451" i="1"/>
  <c r="G451" i="1"/>
  <c r="H451" i="1"/>
  <c r="I451" i="1"/>
  <c r="J451" i="1"/>
  <c r="K451" i="1"/>
  <c r="L451" i="1"/>
  <c r="M451" i="1"/>
  <c r="N451" i="1"/>
  <c r="A452" i="1"/>
  <c r="B452" i="1"/>
  <c r="F452" i="1"/>
  <c r="G452" i="1"/>
  <c r="H452" i="1"/>
  <c r="I452" i="1"/>
  <c r="J452" i="1"/>
  <c r="K452" i="1"/>
  <c r="L452" i="1"/>
  <c r="M452" i="1"/>
  <c r="N452" i="1"/>
  <c r="A453" i="1"/>
  <c r="B453" i="1"/>
  <c r="F453" i="1"/>
  <c r="G453" i="1"/>
  <c r="H453" i="1"/>
  <c r="I453" i="1"/>
  <c r="J453" i="1"/>
  <c r="K453" i="1"/>
  <c r="L453" i="1"/>
  <c r="M453" i="1"/>
  <c r="N453" i="1"/>
  <c r="A454" i="1"/>
  <c r="B454" i="1"/>
  <c r="F454" i="1"/>
  <c r="G454" i="1"/>
  <c r="H454" i="1"/>
  <c r="I454" i="1"/>
  <c r="J454" i="1"/>
  <c r="K454" i="1"/>
  <c r="L454" i="1"/>
  <c r="M454" i="1"/>
  <c r="N454" i="1"/>
  <c r="A455" i="1"/>
  <c r="B455" i="1"/>
  <c r="F455" i="1"/>
  <c r="G455" i="1"/>
  <c r="H455" i="1"/>
  <c r="I455" i="1"/>
  <c r="J455" i="1"/>
  <c r="K455" i="1"/>
  <c r="L455" i="1"/>
  <c r="M455" i="1"/>
  <c r="N455" i="1"/>
  <c r="A456" i="1"/>
  <c r="B456" i="1"/>
  <c r="F456" i="1"/>
  <c r="G456" i="1"/>
  <c r="H456" i="1"/>
  <c r="I456" i="1"/>
  <c r="J456" i="1"/>
  <c r="K456" i="1"/>
  <c r="L456" i="1"/>
  <c r="M456" i="1"/>
  <c r="N456" i="1"/>
  <c r="A457" i="1"/>
  <c r="B457" i="1"/>
  <c r="F457" i="1"/>
  <c r="G457" i="1"/>
  <c r="H457" i="1"/>
  <c r="I457" i="1"/>
  <c r="J457" i="1"/>
  <c r="K457" i="1"/>
  <c r="L457" i="1"/>
  <c r="M457" i="1"/>
  <c r="N457" i="1"/>
  <c r="A458" i="1"/>
  <c r="B458" i="1"/>
  <c r="F458" i="1"/>
  <c r="G458" i="1"/>
  <c r="H458" i="1"/>
  <c r="I458" i="1"/>
  <c r="J458" i="1"/>
  <c r="K458" i="1"/>
  <c r="L458" i="1"/>
  <c r="M458" i="1"/>
  <c r="N458" i="1"/>
  <c r="A459" i="1"/>
  <c r="B459" i="1"/>
  <c r="F459" i="1"/>
  <c r="G459" i="1"/>
  <c r="H459" i="1"/>
  <c r="I459" i="1"/>
  <c r="J459" i="1"/>
  <c r="K459" i="1"/>
  <c r="L459" i="1"/>
  <c r="M459" i="1"/>
  <c r="N459" i="1"/>
  <c r="A460" i="1"/>
  <c r="B460" i="1"/>
  <c r="F460" i="1"/>
  <c r="G460" i="1"/>
  <c r="H460" i="1"/>
  <c r="I460" i="1"/>
  <c r="J460" i="1"/>
  <c r="K460" i="1"/>
  <c r="L460" i="1"/>
  <c r="M460" i="1"/>
  <c r="N460" i="1"/>
  <c r="A461" i="1"/>
  <c r="B461" i="1"/>
  <c r="F461" i="1"/>
  <c r="G461" i="1"/>
  <c r="H461" i="1"/>
  <c r="I461" i="1"/>
  <c r="J461" i="1"/>
  <c r="K461" i="1"/>
  <c r="L461" i="1"/>
  <c r="M461" i="1"/>
  <c r="N461" i="1"/>
  <c r="A462" i="1"/>
  <c r="B462" i="1"/>
  <c r="F462" i="1"/>
  <c r="G462" i="1"/>
  <c r="H462" i="1"/>
  <c r="I462" i="1"/>
  <c r="J462" i="1"/>
  <c r="K462" i="1"/>
  <c r="L462" i="1"/>
  <c r="M462" i="1"/>
  <c r="N462" i="1"/>
  <c r="A463" i="1"/>
  <c r="B463" i="1"/>
  <c r="F463" i="1"/>
  <c r="G463" i="1"/>
  <c r="H463" i="1"/>
  <c r="I463" i="1"/>
  <c r="J463" i="1"/>
  <c r="K463" i="1"/>
  <c r="L463" i="1"/>
  <c r="M463" i="1"/>
  <c r="N463" i="1"/>
  <c r="A464" i="1"/>
  <c r="B464" i="1"/>
  <c r="F464" i="1"/>
  <c r="G464" i="1"/>
  <c r="H464" i="1"/>
  <c r="I464" i="1"/>
  <c r="J464" i="1"/>
  <c r="K464" i="1"/>
  <c r="L464" i="1"/>
  <c r="M464" i="1"/>
  <c r="N464" i="1"/>
  <c r="A465" i="1"/>
  <c r="B465" i="1"/>
  <c r="F465" i="1"/>
  <c r="G465" i="1"/>
  <c r="H465" i="1"/>
  <c r="I465" i="1"/>
  <c r="J465" i="1"/>
  <c r="K465" i="1"/>
  <c r="L465" i="1"/>
  <c r="M465" i="1"/>
  <c r="N465" i="1"/>
  <c r="A466" i="1"/>
  <c r="B466" i="1"/>
  <c r="F466" i="1"/>
  <c r="G466" i="1"/>
  <c r="H466" i="1"/>
  <c r="I466" i="1"/>
  <c r="J466" i="1"/>
  <c r="K466" i="1"/>
  <c r="L466" i="1"/>
  <c r="M466" i="1"/>
  <c r="N466" i="1"/>
  <c r="A467" i="1"/>
  <c r="B467" i="1"/>
  <c r="F467" i="1"/>
  <c r="G467" i="1"/>
  <c r="H467" i="1"/>
  <c r="I467" i="1"/>
  <c r="J467" i="1"/>
  <c r="K467" i="1"/>
  <c r="L467" i="1"/>
  <c r="M467" i="1"/>
  <c r="N467" i="1"/>
  <c r="A468" i="1"/>
  <c r="B468" i="1"/>
  <c r="F468" i="1"/>
  <c r="G468" i="1"/>
  <c r="H468" i="1"/>
  <c r="I468" i="1"/>
  <c r="J468" i="1"/>
  <c r="K468" i="1"/>
  <c r="L468" i="1"/>
  <c r="M468" i="1"/>
  <c r="N468" i="1"/>
  <c r="A469" i="1"/>
  <c r="B469" i="1"/>
  <c r="F469" i="1"/>
  <c r="G469" i="1"/>
  <c r="H469" i="1"/>
  <c r="I469" i="1"/>
  <c r="J469" i="1"/>
  <c r="K469" i="1"/>
  <c r="L469" i="1"/>
  <c r="M469" i="1"/>
  <c r="N469" i="1"/>
  <c r="A470" i="1"/>
  <c r="B470" i="1"/>
  <c r="F470" i="1"/>
  <c r="G470" i="1"/>
  <c r="H470" i="1"/>
  <c r="I470" i="1"/>
  <c r="J470" i="1"/>
  <c r="K470" i="1"/>
  <c r="L470" i="1"/>
  <c r="M470" i="1"/>
  <c r="N470" i="1"/>
  <c r="A471" i="1"/>
  <c r="B471" i="1"/>
  <c r="F471" i="1"/>
  <c r="G471" i="1"/>
  <c r="H471" i="1"/>
  <c r="I471" i="1"/>
  <c r="J471" i="1"/>
  <c r="K471" i="1"/>
  <c r="L471" i="1"/>
  <c r="M471" i="1"/>
  <c r="N471" i="1"/>
  <c r="A472" i="1"/>
  <c r="B472" i="1"/>
  <c r="F472" i="1"/>
  <c r="G472" i="1"/>
  <c r="H472" i="1"/>
  <c r="I472" i="1"/>
  <c r="J472" i="1"/>
  <c r="K472" i="1"/>
  <c r="L472" i="1"/>
  <c r="M472" i="1"/>
  <c r="N472" i="1"/>
  <c r="A473" i="1"/>
  <c r="B473" i="1"/>
  <c r="F473" i="1"/>
  <c r="G473" i="1"/>
  <c r="H473" i="1"/>
  <c r="I473" i="1"/>
  <c r="J473" i="1"/>
  <c r="K473" i="1"/>
  <c r="L473" i="1"/>
  <c r="M473" i="1"/>
  <c r="N473" i="1"/>
  <c r="A474" i="1"/>
  <c r="B474" i="1"/>
  <c r="F474" i="1"/>
  <c r="G474" i="1"/>
  <c r="H474" i="1"/>
  <c r="I474" i="1"/>
  <c r="J474" i="1"/>
  <c r="K474" i="1"/>
  <c r="L474" i="1"/>
  <c r="M474" i="1"/>
  <c r="N474" i="1"/>
  <c r="A475" i="1"/>
  <c r="B475" i="1"/>
  <c r="F475" i="1"/>
  <c r="G475" i="1"/>
  <c r="H475" i="1"/>
  <c r="I475" i="1"/>
  <c r="J475" i="1"/>
  <c r="K475" i="1"/>
  <c r="L475" i="1"/>
  <c r="M475" i="1"/>
  <c r="N475" i="1"/>
  <c r="A476" i="1"/>
  <c r="B476" i="1"/>
  <c r="F476" i="1"/>
  <c r="G476" i="1"/>
  <c r="H476" i="1"/>
  <c r="I476" i="1"/>
  <c r="J476" i="1"/>
  <c r="K476" i="1"/>
  <c r="L476" i="1"/>
  <c r="M476" i="1"/>
  <c r="N476" i="1"/>
  <c r="A477" i="1"/>
  <c r="B477" i="1"/>
  <c r="F477" i="1"/>
  <c r="G477" i="1"/>
  <c r="H477" i="1"/>
  <c r="I477" i="1"/>
  <c r="J477" i="1"/>
  <c r="K477" i="1"/>
  <c r="L477" i="1"/>
  <c r="M477" i="1"/>
  <c r="N477" i="1"/>
  <c r="A478" i="1"/>
  <c r="B478" i="1"/>
  <c r="F478" i="1"/>
  <c r="G478" i="1"/>
  <c r="H478" i="1"/>
  <c r="I478" i="1"/>
  <c r="J478" i="1"/>
  <c r="K478" i="1"/>
  <c r="L478" i="1"/>
  <c r="M478" i="1"/>
  <c r="N478" i="1"/>
  <c r="A479" i="1"/>
  <c r="B479" i="1"/>
  <c r="F479" i="1"/>
  <c r="G479" i="1"/>
  <c r="H479" i="1"/>
  <c r="I479" i="1"/>
  <c r="J479" i="1"/>
  <c r="K479" i="1"/>
  <c r="L479" i="1"/>
  <c r="M479" i="1"/>
  <c r="N479" i="1"/>
  <c r="A480" i="1"/>
  <c r="B480" i="1"/>
  <c r="F480" i="1"/>
  <c r="G480" i="1"/>
  <c r="H480" i="1"/>
  <c r="I480" i="1"/>
  <c r="J480" i="1"/>
  <c r="K480" i="1"/>
  <c r="L480" i="1"/>
  <c r="M480" i="1"/>
  <c r="N480" i="1"/>
  <c r="A481" i="1"/>
  <c r="B481" i="1"/>
  <c r="F481" i="1"/>
  <c r="G481" i="1"/>
  <c r="H481" i="1"/>
  <c r="I481" i="1"/>
  <c r="J481" i="1"/>
  <c r="K481" i="1"/>
  <c r="L481" i="1"/>
  <c r="M481" i="1"/>
  <c r="N481" i="1"/>
  <c r="A482" i="1"/>
  <c r="B482" i="1"/>
  <c r="F482" i="1"/>
  <c r="G482" i="1"/>
  <c r="H482" i="1"/>
  <c r="I482" i="1"/>
  <c r="J482" i="1"/>
  <c r="K482" i="1"/>
  <c r="L482" i="1"/>
  <c r="M482" i="1"/>
  <c r="N482" i="1"/>
  <c r="A483" i="1"/>
  <c r="B483" i="1"/>
  <c r="F483" i="1"/>
  <c r="G483" i="1"/>
  <c r="H483" i="1"/>
  <c r="I483" i="1"/>
  <c r="J483" i="1"/>
  <c r="K483" i="1"/>
  <c r="L483" i="1"/>
  <c r="M483" i="1"/>
  <c r="N483" i="1"/>
  <c r="A484" i="1"/>
  <c r="B484" i="1"/>
  <c r="F484" i="1"/>
  <c r="G484" i="1"/>
  <c r="H484" i="1"/>
  <c r="I484" i="1"/>
  <c r="J484" i="1"/>
  <c r="K484" i="1"/>
  <c r="L484" i="1"/>
  <c r="M484" i="1"/>
  <c r="N484" i="1"/>
  <c r="A485" i="1"/>
  <c r="B485" i="1"/>
  <c r="F485" i="1"/>
  <c r="G485" i="1"/>
  <c r="H485" i="1"/>
  <c r="I485" i="1"/>
  <c r="J485" i="1"/>
  <c r="K485" i="1"/>
  <c r="L485" i="1"/>
  <c r="M485" i="1"/>
  <c r="N485" i="1"/>
  <c r="A486" i="1"/>
  <c r="B486" i="1"/>
  <c r="F486" i="1"/>
  <c r="G486" i="1"/>
  <c r="H486" i="1"/>
  <c r="I486" i="1"/>
  <c r="J486" i="1"/>
  <c r="K486" i="1"/>
  <c r="L486" i="1"/>
  <c r="M486" i="1"/>
  <c r="N486" i="1"/>
  <c r="A487" i="1"/>
  <c r="B487" i="1"/>
  <c r="F487" i="1"/>
  <c r="G487" i="1"/>
  <c r="H487" i="1"/>
  <c r="I487" i="1"/>
  <c r="J487" i="1"/>
  <c r="K487" i="1"/>
  <c r="L487" i="1"/>
  <c r="M487" i="1"/>
  <c r="N487" i="1"/>
  <c r="A488" i="1"/>
  <c r="B488" i="1"/>
  <c r="F488" i="1"/>
  <c r="G488" i="1"/>
  <c r="H488" i="1"/>
  <c r="I488" i="1"/>
  <c r="J488" i="1"/>
  <c r="K488" i="1"/>
  <c r="L488" i="1"/>
  <c r="M488" i="1"/>
  <c r="N488" i="1"/>
  <c r="A489" i="1"/>
  <c r="B489" i="1"/>
  <c r="F489" i="1"/>
  <c r="G489" i="1"/>
  <c r="H489" i="1"/>
  <c r="I489" i="1"/>
  <c r="J489" i="1"/>
  <c r="K489" i="1"/>
  <c r="L489" i="1"/>
  <c r="M489" i="1"/>
  <c r="N489" i="1"/>
  <c r="A490" i="1"/>
  <c r="B490" i="1"/>
  <c r="F490" i="1"/>
  <c r="G490" i="1"/>
  <c r="H490" i="1"/>
  <c r="I490" i="1"/>
  <c r="J490" i="1"/>
  <c r="K490" i="1"/>
  <c r="L490" i="1"/>
  <c r="M490" i="1"/>
  <c r="N490" i="1"/>
  <c r="A491" i="1"/>
  <c r="B491" i="1"/>
  <c r="F491" i="1"/>
  <c r="G491" i="1"/>
  <c r="H491" i="1"/>
  <c r="I491" i="1"/>
  <c r="J491" i="1"/>
  <c r="K491" i="1"/>
  <c r="L491" i="1"/>
  <c r="M491" i="1"/>
  <c r="N491" i="1"/>
  <c r="A492" i="1"/>
  <c r="B492" i="1"/>
  <c r="F492" i="1"/>
  <c r="G492" i="1"/>
  <c r="H492" i="1"/>
  <c r="I492" i="1"/>
  <c r="J492" i="1"/>
  <c r="K492" i="1"/>
  <c r="L492" i="1"/>
  <c r="M492" i="1"/>
  <c r="N492" i="1"/>
  <c r="A493" i="1"/>
  <c r="B493" i="1"/>
  <c r="F493" i="1"/>
  <c r="G493" i="1"/>
  <c r="H493" i="1"/>
  <c r="I493" i="1"/>
  <c r="J493" i="1"/>
  <c r="K493" i="1"/>
  <c r="L493" i="1"/>
  <c r="M493" i="1"/>
  <c r="N493" i="1"/>
  <c r="A494" i="1"/>
  <c r="B494" i="1"/>
  <c r="F494" i="1"/>
  <c r="G494" i="1"/>
  <c r="H494" i="1"/>
  <c r="I494" i="1"/>
  <c r="J494" i="1"/>
  <c r="K494" i="1"/>
  <c r="L494" i="1"/>
  <c r="M494" i="1"/>
  <c r="N494" i="1"/>
  <c r="A495" i="1"/>
  <c r="B495" i="1"/>
  <c r="F495" i="1"/>
  <c r="G495" i="1"/>
  <c r="H495" i="1"/>
  <c r="I495" i="1"/>
  <c r="J495" i="1"/>
  <c r="K495" i="1"/>
  <c r="L495" i="1"/>
  <c r="M495" i="1"/>
  <c r="N495" i="1"/>
  <c r="A496" i="1"/>
  <c r="B496" i="1"/>
  <c r="F496" i="1"/>
  <c r="G496" i="1"/>
  <c r="H496" i="1"/>
  <c r="I496" i="1"/>
  <c r="J496" i="1"/>
  <c r="K496" i="1"/>
  <c r="L496" i="1"/>
  <c r="M496" i="1"/>
  <c r="N496" i="1"/>
  <c r="A497" i="1"/>
  <c r="B497" i="1"/>
  <c r="F497" i="1"/>
  <c r="G497" i="1"/>
  <c r="H497" i="1"/>
  <c r="I497" i="1"/>
  <c r="J497" i="1"/>
  <c r="K497" i="1"/>
  <c r="L497" i="1"/>
  <c r="M497" i="1"/>
  <c r="N497" i="1"/>
  <c r="A498" i="1"/>
  <c r="B498" i="1"/>
  <c r="F498" i="1"/>
  <c r="G498" i="1"/>
  <c r="H498" i="1"/>
  <c r="I498" i="1"/>
  <c r="J498" i="1"/>
  <c r="K498" i="1"/>
  <c r="L498" i="1"/>
  <c r="M498" i="1"/>
  <c r="N498" i="1"/>
  <c r="A499" i="1"/>
  <c r="B499" i="1"/>
  <c r="F499" i="1"/>
  <c r="G499" i="1"/>
  <c r="H499" i="1"/>
  <c r="I499" i="1"/>
  <c r="J499" i="1"/>
  <c r="K499" i="1"/>
  <c r="L499" i="1"/>
  <c r="M499" i="1"/>
  <c r="N499" i="1"/>
  <c r="A500" i="1"/>
  <c r="B500" i="1"/>
  <c r="F500" i="1"/>
  <c r="G500" i="1"/>
  <c r="H500" i="1"/>
  <c r="I500" i="1"/>
  <c r="J500" i="1"/>
  <c r="K500" i="1"/>
  <c r="L500" i="1"/>
  <c r="M500" i="1"/>
  <c r="N500" i="1"/>
  <c r="A501" i="1"/>
  <c r="B501" i="1"/>
  <c r="F501" i="1"/>
  <c r="G501" i="1"/>
  <c r="H501" i="1"/>
  <c r="I501" i="1"/>
  <c r="J501" i="1"/>
  <c r="K501" i="1"/>
  <c r="L501" i="1"/>
  <c r="M501" i="1"/>
  <c r="N501" i="1"/>
  <c r="A502" i="1"/>
  <c r="B502" i="1"/>
  <c r="F502" i="1"/>
  <c r="G502" i="1"/>
  <c r="H502" i="1"/>
  <c r="I502" i="1"/>
  <c r="J502" i="1"/>
  <c r="K502" i="1"/>
  <c r="L502" i="1"/>
  <c r="M502" i="1"/>
  <c r="N502" i="1"/>
  <c r="A503" i="1"/>
  <c r="B503" i="1"/>
  <c r="F503" i="1"/>
  <c r="G503" i="1"/>
  <c r="H503" i="1"/>
  <c r="I503" i="1"/>
  <c r="J503" i="1"/>
  <c r="K503" i="1"/>
  <c r="L503" i="1"/>
  <c r="M503" i="1"/>
  <c r="N503" i="1"/>
  <c r="A504" i="1"/>
  <c r="B504" i="1"/>
  <c r="F504" i="1"/>
  <c r="G504" i="1"/>
  <c r="H504" i="1"/>
  <c r="I504" i="1"/>
  <c r="J504" i="1"/>
  <c r="K504" i="1"/>
  <c r="L504" i="1"/>
  <c r="M504" i="1"/>
  <c r="N504" i="1"/>
  <c r="A505" i="1"/>
  <c r="B505" i="1"/>
  <c r="F505" i="1"/>
  <c r="G505" i="1"/>
  <c r="H505" i="1"/>
  <c r="I505" i="1"/>
  <c r="J505" i="1"/>
  <c r="K505" i="1"/>
  <c r="L505" i="1"/>
  <c r="M505" i="1"/>
  <c r="N505" i="1"/>
  <c r="A506" i="1"/>
  <c r="B506" i="1"/>
  <c r="F506" i="1"/>
  <c r="G506" i="1"/>
  <c r="H506" i="1"/>
  <c r="I506" i="1"/>
  <c r="J506" i="1"/>
  <c r="K506" i="1"/>
  <c r="L506" i="1"/>
  <c r="M506" i="1"/>
  <c r="N506" i="1"/>
  <c r="A507" i="1"/>
  <c r="B507" i="1"/>
  <c r="F507" i="1"/>
  <c r="G507" i="1"/>
  <c r="H507" i="1"/>
  <c r="I507" i="1"/>
  <c r="J507" i="1"/>
  <c r="K507" i="1"/>
  <c r="L507" i="1"/>
  <c r="M507" i="1"/>
  <c r="N507" i="1"/>
  <c r="A508" i="1"/>
  <c r="B508" i="1"/>
  <c r="F508" i="1"/>
  <c r="G508" i="1"/>
  <c r="H508" i="1"/>
  <c r="I508" i="1"/>
  <c r="J508" i="1"/>
  <c r="K508" i="1"/>
  <c r="L508" i="1"/>
  <c r="M508" i="1"/>
  <c r="N508" i="1"/>
  <c r="A509" i="1"/>
  <c r="B509" i="1"/>
  <c r="F509" i="1"/>
  <c r="G509" i="1"/>
  <c r="H509" i="1"/>
  <c r="I509" i="1"/>
  <c r="J509" i="1"/>
  <c r="K509" i="1"/>
  <c r="L509" i="1"/>
  <c r="M509" i="1"/>
  <c r="N509" i="1"/>
  <c r="A510" i="1"/>
  <c r="B510" i="1"/>
  <c r="F510" i="1"/>
  <c r="G510" i="1"/>
  <c r="H510" i="1"/>
  <c r="I510" i="1"/>
  <c r="J510" i="1"/>
  <c r="K510" i="1"/>
  <c r="L510" i="1"/>
  <c r="M510" i="1"/>
  <c r="N510" i="1"/>
  <c r="A511" i="1"/>
  <c r="B511" i="1"/>
  <c r="F511" i="1"/>
  <c r="G511" i="1"/>
  <c r="H511" i="1"/>
  <c r="I511" i="1"/>
  <c r="J511" i="1"/>
  <c r="K511" i="1"/>
  <c r="L511" i="1"/>
  <c r="M511" i="1"/>
  <c r="N511" i="1"/>
  <c r="A512" i="1"/>
  <c r="B512" i="1"/>
  <c r="F512" i="1"/>
  <c r="G512" i="1"/>
  <c r="H512" i="1"/>
  <c r="I512" i="1"/>
  <c r="J512" i="1"/>
  <c r="K512" i="1"/>
  <c r="L512" i="1"/>
  <c r="M512" i="1"/>
  <c r="N512" i="1"/>
  <c r="A513" i="1"/>
  <c r="B513" i="1"/>
  <c r="F513" i="1"/>
  <c r="G513" i="1"/>
  <c r="H513" i="1"/>
  <c r="I513" i="1"/>
  <c r="J513" i="1"/>
  <c r="K513" i="1"/>
  <c r="L513" i="1"/>
  <c r="M513" i="1"/>
  <c r="N513" i="1"/>
  <c r="A514" i="1"/>
  <c r="B514" i="1"/>
  <c r="F514" i="1"/>
  <c r="G514" i="1"/>
  <c r="H514" i="1"/>
  <c r="I514" i="1"/>
  <c r="J514" i="1"/>
  <c r="K514" i="1"/>
  <c r="L514" i="1"/>
  <c r="M514" i="1"/>
  <c r="N514" i="1"/>
  <c r="A515" i="1"/>
  <c r="B515" i="1"/>
  <c r="F515" i="1"/>
  <c r="G515" i="1"/>
  <c r="H515" i="1"/>
  <c r="I515" i="1"/>
  <c r="J515" i="1"/>
  <c r="K515" i="1"/>
  <c r="L515" i="1"/>
  <c r="M515" i="1"/>
  <c r="N515" i="1"/>
  <c r="A516" i="1"/>
  <c r="B516" i="1"/>
  <c r="F516" i="1"/>
  <c r="G516" i="1"/>
  <c r="H516" i="1"/>
  <c r="I516" i="1"/>
  <c r="J516" i="1"/>
  <c r="K516" i="1"/>
  <c r="L516" i="1"/>
  <c r="M516" i="1"/>
  <c r="N516" i="1"/>
  <c r="A517" i="1"/>
  <c r="B517" i="1"/>
  <c r="F517" i="1"/>
  <c r="G517" i="1"/>
  <c r="H517" i="1"/>
  <c r="I517" i="1"/>
  <c r="J517" i="1"/>
  <c r="K517" i="1"/>
  <c r="L517" i="1"/>
  <c r="M517" i="1"/>
  <c r="N517" i="1"/>
  <c r="A518" i="1"/>
  <c r="B518" i="1"/>
  <c r="F518" i="1"/>
  <c r="G518" i="1"/>
  <c r="H518" i="1"/>
  <c r="I518" i="1"/>
  <c r="J518" i="1"/>
  <c r="K518" i="1"/>
  <c r="L518" i="1"/>
  <c r="M518" i="1"/>
  <c r="N518" i="1"/>
  <c r="A519" i="1"/>
  <c r="B519" i="1"/>
  <c r="F519" i="1"/>
  <c r="G519" i="1"/>
  <c r="H519" i="1"/>
  <c r="I519" i="1"/>
  <c r="J519" i="1"/>
  <c r="K519" i="1"/>
  <c r="L519" i="1"/>
  <c r="M519" i="1"/>
  <c r="N519" i="1"/>
  <c r="A520" i="1"/>
  <c r="B520" i="1"/>
  <c r="F520" i="1"/>
  <c r="G520" i="1"/>
  <c r="H520" i="1"/>
  <c r="I520" i="1"/>
  <c r="J520" i="1"/>
  <c r="K520" i="1"/>
  <c r="L520" i="1"/>
  <c r="M520" i="1"/>
  <c r="N520" i="1"/>
  <c r="A521" i="1"/>
  <c r="B521" i="1"/>
  <c r="F521" i="1"/>
  <c r="G521" i="1"/>
  <c r="H521" i="1"/>
  <c r="I521" i="1"/>
  <c r="J521" i="1"/>
  <c r="K521" i="1"/>
  <c r="L521" i="1"/>
  <c r="M521" i="1"/>
  <c r="N521" i="1"/>
  <c r="A522" i="1"/>
  <c r="B522" i="1"/>
  <c r="F522" i="1"/>
  <c r="G522" i="1"/>
  <c r="H522" i="1"/>
  <c r="I522" i="1"/>
  <c r="J522" i="1"/>
  <c r="K522" i="1"/>
  <c r="L522" i="1"/>
  <c r="M522" i="1"/>
  <c r="N522" i="1"/>
  <c r="A523" i="1"/>
  <c r="B523" i="1"/>
  <c r="F523" i="1"/>
  <c r="G523" i="1"/>
  <c r="H523" i="1"/>
  <c r="I523" i="1"/>
  <c r="J523" i="1"/>
  <c r="K523" i="1"/>
  <c r="L523" i="1"/>
  <c r="M523" i="1"/>
  <c r="N523" i="1"/>
  <c r="A524" i="1"/>
  <c r="B524" i="1"/>
  <c r="F524" i="1"/>
  <c r="G524" i="1"/>
  <c r="H524" i="1"/>
  <c r="I524" i="1"/>
  <c r="J524" i="1"/>
  <c r="K524" i="1"/>
  <c r="L524" i="1"/>
  <c r="M524" i="1"/>
  <c r="N524" i="1"/>
  <c r="A525" i="1"/>
  <c r="B525" i="1"/>
  <c r="F525" i="1"/>
  <c r="G525" i="1"/>
  <c r="H525" i="1"/>
  <c r="I525" i="1"/>
  <c r="J525" i="1"/>
  <c r="K525" i="1"/>
  <c r="L525" i="1"/>
  <c r="M525" i="1"/>
  <c r="N525" i="1"/>
  <c r="A526" i="1"/>
  <c r="B526" i="1"/>
  <c r="F526" i="1"/>
  <c r="G526" i="1"/>
  <c r="H526" i="1"/>
  <c r="I526" i="1"/>
  <c r="J526" i="1"/>
  <c r="K526" i="1"/>
  <c r="L526" i="1"/>
  <c r="M526" i="1"/>
  <c r="N526" i="1"/>
  <c r="A527" i="1"/>
  <c r="B527" i="1"/>
  <c r="F527" i="1"/>
  <c r="G527" i="1"/>
  <c r="H527" i="1"/>
  <c r="I527" i="1"/>
  <c r="J527" i="1"/>
  <c r="K527" i="1"/>
  <c r="L527" i="1"/>
  <c r="M527" i="1"/>
  <c r="N527" i="1"/>
  <c r="A528" i="1"/>
  <c r="B528" i="1"/>
  <c r="F528" i="1"/>
  <c r="G528" i="1"/>
  <c r="H528" i="1"/>
  <c r="I528" i="1"/>
  <c r="J528" i="1"/>
  <c r="K528" i="1"/>
  <c r="L528" i="1"/>
  <c r="M528" i="1"/>
  <c r="N528" i="1"/>
  <c r="A529" i="1"/>
  <c r="B529" i="1"/>
  <c r="F529" i="1"/>
  <c r="G529" i="1"/>
  <c r="H529" i="1"/>
  <c r="I529" i="1"/>
  <c r="J529" i="1"/>
  <c r="K529" i="1"/>
  <c r="L529" i="1"/>
  <c r="M529" i="1"/>
  <c r="N529" i="1"/>
  <c r="A530" i="1"/>
  <c r="B530" i="1"/>
  <c r="F530" i="1"/>
  <c r="G530" i="1"/>
  <c r="H530" i="1"/>
  <c r="I530" i="1"/>
  <c r="J530" i="1"/>
  <c r="K530" i="1"/>
  <c r="L530" i="1"/>
  <c r="M530" i="1"/>
  <c r="N530" i="1"/>
  <c r="A531" i="1"/>
  <c r="B531" i="1"/>
  <c r="F531" i="1"/>
  <c r="G531" i="1"/>
  <c r="H531" i="1"/>
  <c r="I531" i="1"/>
  <c r="J531" i="1"/>
  <c r="K531" i="1"/>
  <c r="L531" i="1"/>
  <c r="M531" i="1"/>
  <c r="N531" i="1"/>
  <c r="A532" i="1"/>
  <c r="B532" i="1"/>
  <c r="F532" i="1"/>
  <c r="G532" i="1"/>
  <c r="H532" i="1"/>
  <c r="I532" i="1"/>
  <c r="J532" i="1"/>
  <c r="K532" i="1"/>
  <c r="L532" i="1"/>
  <c r="M532" i="1"/>
  <c r="N532" i="1"/>
  <c r="A533" i="1"/>
  <c r="B533" i="1"/>
  <c r="F533" i="1"/>
  <c r="G533" i="1"/>
  <c r="H533" i="1"/>
  <c r="I533" i="1"/>
  <c r="J533" i="1"/>
  <c r="K533" i="1"/>
  <c r="L533" i="1"/>
  <c r="M533" i="1"/>
  <c r="N533" i="1"/>
  <c r="A534" i="1"/>
  <c r="B534" i="1"/>
  <c r="F534" i="1"/>
  <c r="G534" i="1"/>
  <c r="H534" i="1"/>
  <c r="I534" i="1"/>
  <c r="J534" i="1"/>
  <c r="K534" i="1"/>
  <c r="L534" i="1"/>
  <c r="M534" i="1"/>
  <c r="N534" i="1"/>
  <c r="A535" i="1"/>
  <c r="B535" i="1"/>
  <c r="F535" i="1"/>
  <c r="G535" i="1"/>
  <c r="H535" i="1"/>
  <c r="I535" i="1"/>
  <c r="J535" i="1"/>
  <c r="K535" i="1"/>
  <c r="L535" i="1"/>
  <c r="M535" i="1"/>
  <c r="N535" i="1"/>
  <c r="A536" i="1"/>
  <c r="B536" i="1"/>
  <c r="F536" i="1"/>
  <c r="G536" i="1"/>
  <c r="H536" i="1"/>
  <c r="I536" i="1"/>
  <c r="J536" i="1"/>
  <c r="K536" i="1"/>
  <c r="L536" i="1"/>
  <c r="M536" i="1"/>
  <c r="N536" i="1"/>
  <c r="A537" i="1"/>
  <c r="B537" i="1"/>
  <c r="F537" i="1"/>
  <c r="G537" i="1"/>
  <c r="H537" i="1"/>
  <c r="I537" i="1"/>
  <c r="J537" i="1"/>
  <c r="K537" i="1"/>
  <c r="L537" i="1"/>
  <c r="M537" i="1"/>
  <c r="N537" i="1"/>
  <c r="A538" i="1"/>
  <c r="B538" i="1"/>
  <c r="F538" i="1"/>
  <c r="G538" i="1"/>
  <c r="H538" i="1"/>
  <c r="I538" i="1"/>
  <c r="J538" i="1"/>
  <c r="K538" i="1"/>
  <c r="L538" i="1"/>
  <c r="M538" i="1"/>
  <c r="N538" i="1"/>
  <c r="A539" i="1"/>
  <c r="B539" i="1"/>
  <c r="F539" i="1"/>
  <c r="G539" i="1"/>
  <c r="H539" i="1"/>
  <c r="I539" i="1"/>
  <c r="J539" i="1"/>
  <c r="K539" i="1"/>
  <c r="L539" i="1"/>
  <c r="M539" i="1"/>
  <c r="N539" i="1"/>
  <c r="A540" i="1"/>
  <c r="B540" i="1"/>
  <c r="F540" i="1"/>
  <c r="G540" i="1"/>
  <c r="H540" i="1"/>
  <c r="I540" i="1"/>
  <c r="J540" i="1"/>
  <c r="K540" i="1"/>
  <c r="L540" i="1"/>
  <c r="M540" i="1"/>
  <c r="N540" i="1"/>
  <c r="A541" i="1"/>
  <c r="B541" i="1"/>
  <c r="F541" i="1"/>
  <c r="G541" i="1"/>
  <c r="H541" i="1"/>
  <c r="I541" i="1"/>
  <c r="J541" i="1"/>
  <c r="K541" i="1"/>
  <c r="L541" i="1"/>
  <c r="M541" i="1"/>
  <c r="N541" i="1"/>
  <c r="A542" i="1"/>
  <c r="B542" i="1"/>
  <c r="F542" i="1"/>
  <c r="G542" i="1"/>
  <c r="H542" i="1"/>
  <c r="I542" i="1"/>
  <c r="J542" i="1"/>
  <c r="K542" i="1"/>
  <c r="L542" i="1"/>
  <c r="M542" i="1"/>
  <c r="N542" i="1"/>
  <c r="A543" i="1"/>
  <c r="B543" i="1"/>
  <c r="F543" i="1"/>
  <c r="G543" i="1"/>
  <c r="H543" i="1"/>
  <c r="I543" i="1"/>
  <c r="J543" i="1"/>
  <c r="K543" i="1"/>
  <c r="L543" i="1"/>
  <c r="M543" i="1"/>
  <c r="N543" i="1"/>
  <c r="A544" i="1"/>
  <c r="B544" i="1"/>
  <c r="F544" i="1"/>
  <c r="G544" i="1"/>
  <c r="H544" i="1"/>
  <c r="I544" i="1"/>
  <c r="J544" i="1"/>
  <c r="K544" i="1"/>
  <c r="L544" i="1"/>
  <c r="M544" i="1"/>
  <c r="N544" i="1"/>
  <c r="A545" i="1"/>
  <c r="B545" i="1"/>
  <c r="F545" i="1"/>
  <c r="G545" i="1"/>
  <c r="H545" i="1"/>
  <c r="I545" i="1"/>
  <c r="J545" i="1"/>
  <c r="K545" i="1"/>
  <c r="L545" i="1"/>
  <c r="M545" i="1"/>
  <c r="N545" i="1"/>
  <c r="A546" i="1"/>
  <c r="B546" i="1"/>
  <c r="F546" i="1"/>
  <c r="G546" i="1"/>
  <c r="H546" i="1"/>
  <c r="I546" i="1"/>
  <c r="J546" i="1"/>
  <c r="K546" i="1"/>
  <c r="L546" i="1"/>
  <c r="M546" i="1"/>
  <c r="N546" i="1"/>
  <c r="A547" i="1"/>
  <c r="B547" i="1"/>
  <c r="F547" i="1"/>
  <c r="G547" i="1"/>
  <c r="H547" i="1"/>
  <c r="I547" i="1"/>
  <c r="J547" i="1"/>
  <c r="K547" i="1"/>
  <c r="L547" i="1"/>
  <c r="M547" i="1"/>
  <c r="N547" i="1"/>
  <c r="A548" i="1"/>
  <c r="B548" i="1"/>
  <c r="F548" i="1"/>
  <c r="G548" i="1"/>
  <c r="H548" i="1"/>
  <c r="I548" i="1"/>
  <c r="J548" i="1"/>
  <c r="K548" i="1"/>
  <c r="L548" i="1"/>
  <c r="M548" i="1"/>
  <c r="N548" i="1"/>
  <c r="A549" i="1"/>
  <c r="B549" i="1"/>
  <c r="F549" i="1"/>
  <c r="G549" i="1"/>
  <c r="H549" i="1"/>
  <c r="I549" i="1"/>
  <c r="J549" i="1"/>
  <c r="K549" i="1"/>
  <c r="L549" i="1"/>
  <c r="M549" i="1"/>
  <c r="N549" i="1"/>
  <c r="A550" i="1"/>
  <c r="B550" i="1"/>
  <c r="F550" i="1"/>
  <c r="G550" i="1"/>
  <c r="H550" i="1"/>
  <c r="I550" i="1"/>
  <c r="J550" i="1"/>
  <c r="K550" i="1"/>
  <c r="L550" i="1"/>
  <c r="M550" i="1"/>
  <c r="N550" i="1"/>
  <c r="A551" i="1"/>
  <c r="B551" i="1"/>
  <c r="F551" i="1"/>
  <c r="G551" i="1"/>
  <c r="H551" i="1"/>
  <c r="I551" i="1"/>
  <c r="J551" i="1"/>
  <c r="K551" i="1"/>
  <c r="L551" i="1"/>
  <c r="M551" i="1"/>
  <c r="N551" i="1"/>
  <c r="A552" i="1"/>
  <c r="B552" i="1"/>
  <c r="F552" i="1"/>
  <c r="G552" i="1"/>
  <c r="H552" i="1"/>
  <c r="I552" i="1"/>
  <c r="J552" i="1"/>
  <c r="K552" i="1"/>
  <c r="L552" i="1"/>
  <c r="M552" i="1"/>
  <c r="N552" i="1"/>
  <c r="A553" i="1"/>
  <c r="B553" i="1"/>
  <c r="F553" i="1"/>
  <c r="G553" i="1"/>
  <c r="H553" i="1"/>
  <c r="I553" i="1"/>
  <c r="J553" i="1"/>
  <c r="K553" i="1"/>
  <c r="L553" i="1"/>
  <c r="M553" i="1"/>
  <c r="N553" i="1"/>
  <c r="A554" i="1"/>
  <c r="B554" i="1"/>
  <c r="F554" i="1"/>
  <c r="G554" i="1"/>
  <c r="H554" i="1"/>
  <c r="I554" i="1"/>
  <c r="J554" i="1"/>
  <c r="K554" i="1"/>
  <c r="L554" i="1"/>
  <c r="M554" i="1"/>
  <c r="N554" i="1"/>
  <c r="A555" i="1"/>
  <c r="B555" i="1"/>
  <c r="F555" i="1"/>
  <c r="G555" i="1"/>
  <c r="H555" i="1"/>
  <c r="I555" i="1"/>
  <c r="J555" i="1"/>
  <c r="K555" i="1"/>
  <c r="L555" i="1"/>
  <c r="M555" i="1"/>
  <c r="N555" i="1"/>
  <c r="A556" i="1"/>
  <c r="B556" i="1"/>
  <c r="F556" i="1"/>
  <c r="G556" i="1"/>
  <c r="H556" i="1"/>
  <c r="I556" i="1"/>
  <c r="J556" i="1"/>
  <c r="K556" i="1"/>
  <c r="L556" i="1"/>
  <c r="M556" i="1"/>
  <c r="N556" i="1"/>
  <c r="A557" i="1"/>
  <c r="B557" i="1"/>
  <c r="F557" i="1"/>
  <c r="G557" i="1"/>
  <c r="H557" i="1"/>
  <c r="I557" i="1"/>
  <c r="J557" i="1"/>
  <c r="K557" i="1"/>
  <c r="L557" i="1"/>
  <c r="M557" i="1"/>
  <c r="N557" i="1"/>
  <c r="A558" i="1"/>
  <c r="B558" i="1"/>
  <c r="F558" i="1"/>
  <c r="G558" i="1"/>
  <c r="H558" i="1"/>
  <c r="I558" i="1"/>
  <c r="J558" i="1"/>
  <c r="K558" i="1"/>
  <c r="L558" i="1"/>
  <c r="M558" i="1"/>
  <c r="N558" i="1"/>
  <c r="A559" i="1"/>
  <c r="B559" i="1"/>
  <c r="F559" i="1"/>
  <c r="G559" i="1"/>
  <c r="H559" i="1"/>
  <c r="I559" i="1"/>
  <c r="J559" i="1"/>
  <c r="K559" i="1"/>
  <c r="L559" i="1"/>
  <c r="M559" i="1"/>
  <c r="N559" i="1"/>
  <c r="A560" i="1"/>
  <c r="B560" i="1"/>
  <c r="F560" i="1"/>
  <c r="G560" i="1"/>
  <c r="H560" i="1"/>
  <c r="I560" i="1"/>
  <c r="J560" i="1"/>
  <c r="K560" i="1"/>
  <c r="L560" i="1"/>
  <c r="M560" i="1"/>
  <c r="N560" i="1"/>
  <c r="A561" i="1"/>
  <c r="B561" i="1"/>
  <c r="F561" i="1"/>
  <c r="G561" i="1"/>
  <c r="H561" i="1"/>
  <c r="I561" i="1"/>
  <c r="J561" i="1"/>
  <c r="K561" i="1"/>
  <c r="L561" i="1"/>
  <c r="M561" i="1"/>
  <c r="N561" i="1"/>
  <c r="A562" i="1"/>
  <c r="B562" i="1"/>
  <c r="F562" i="1"/>
  <c r="G562" i="1"/>
  <c r="H562" i="1"/>
  <c r="I562" i="1"/>
  <c r="J562" i="1"/>
  <c r="K562" i="1"/>
  <c r="L562" i="1"/>
  <c r="M562" i="1"/>
  <c r="N562" i="1"/>
  <c r="A563" i="1"/>
  <c r="B563" i="1"/>
  <c r="F563" i="1"/>
  <c r="G563" i="1"/>
  <c r="H563" i="1"/>
  <c r="I563" i="1"/>
  <c r="J563" i="1"/>
  <c r="K563" i="1"/>
  <c r="L563" i="1"/>
  <c r="M563" i="1"/>
  <c r="N563" i="1"/>
  <c r="A564" i="1"/>
  <c r="B564" i="1"/>
  <c r="F564" i="1"/>
  <c r="G564" i="1"/>
  <c r="H564" i="1"/>
  <c r="I564" i="1"/>
  <c r="J564" i="1"/>
  <c r="K564" i="1"/>
  <c r="L564" i="1"/>
  <c r="M564" i="1"/>
  <c r="N564" i="1"/>
  <c r="A565" i="1"/>
  <c r="B565" i="1"/>
  <c r="F565" i="1"/>
  <c r="G565" i="1"/>
  <c r="H565" i="1"/>
  <c r="I565" i="1"/>
  <c r="J565" i="1"/>
  <c r="K565" i="1"/>
  <c r="L565" i="1"/>
  <c r="M565" i="1"/>
  <c r="N565" i="1"/>
  <c r="A566" i="1"/>
  <c r="B566" i="1"/>
  <c r="F566" i="1"/>
  <c r="G566" i="1"/>
  <c r="H566" i="1"/>
  <c r="I566" i="1"/>
  <c r="J566" i="1"/>
  <c r="K566" i="1"/>
  <c r="L566" i="1"/>
  <c r="M566" i="1"/>
  <c r="N566" i="1"/>
  <c r="A567" i="1"/>
  <c r="B567" i="1"/>
  <c r="F567" i="1"/>
  <c r="G567" i="1"/>
  <c r="H567" i="1"/>
  <c r="I567" i="1"/>
  <c r="J567" i="1"/>
  <c r="K567" i="1"/>
  <c r="L567" i="1"/>
  <c r="M567" i="1"/>
  <c r="N567" i="1"/>
  <c r="A568" i="1"/>
  <c r="B568" i="1"/>
  <c r="F568" i="1"/>
  <c r="G568" i="1"/>
  <c r="H568" i="1"/>
  <c r="I568" i="1"/>
  <c r="J568" i="1"/>
  <c r="K568" i="1"/>
  <c r="L568" i="1"/>
  <c r="M568" i="1"/>
  <c r="N568" i="1"/>
  <c r="A569" i="1"/>
  <c r="B569" i="1"/>
  <c r="F569" i="1"/>
  <c r="G569" i="1"/>
  <c r="H569" i="1"/>
  <c r="I569" i="1"/>
  <c r="J569" i="1"/>
  <c r="K569" i="1"/>
  <c r="L569" i="1"/>
  <c r="M569" i="1"/>
  <c r="N569" i="1"/>
  <c r="A570" i="1"/>
  <c r="B570" i="1"/>
  <c r="F570" i="1"/>
  <c r="G570" i="1"/>
  <c r="H570" i="1"/>
  <c r="I570" i="1"/>
  <c r="J570" i="1"/>
  <c r="K570" i="1"/>
  <c r="L570" i="1"/>
  <c r="M570" i="1"/>
  <c r="N570" i="1"/>
  <c r="A571" i="1"/>
  <c r="B571" i="1"/>
  <c r="F571" i="1"/>
  <c r="G571" i="1"/>
  <c r="H571" i="1"/>
  <c r="I571" i="1"/>
  <c r="J571" i="1"/>
  <c r="K571" i="1"/>
  <c r="L571" i="1"/>
  <c r="M571" i="1"/>
  <c r="N571" i="1"/>
  <c r="A572" i="1"/>
  <c r="B572" i="1"/>
  <c r="F572" i="1"/>
  <c r="G572" i="1"/>
  <c r="H572" i="1"/>
  <c r="I572" i="1"/>
  <c r="J572" i="1"/>
  <c r="K572" i="1"/>
  <c r="L572" i="1"/>
  <c r="M572" i="1"/>
  <c r="N572" i="1"/>
  <c r="A573" i="1"/>
  <c r="B573" i="1"/>
  <c r="F573" i="1"/>
  <c r="G573" i="1"/>
  <c r="H573" i="1"/>
  <c r="I573" i="1"/>
  <c r="J573" i="1"/>
  <c r="K573" i="1"/>
  <c r="L573" i="1"/>
  <c r="M573" i="1"/>
  <c r="N573" i="1"/>
  <c r="A574" i="1"/>
  <c r="B574" i="1"/>
  <c r="F574" i="1"/>
  <c r="G574" i="1"/>
  <c r="H574" i="1"/>
  <c r="I574" i="1"/>
  <c r="J574" i="1"/>
  <c r="K574" i="1"/>
  <c r="L574" i="1"/>
  <c r="M574" i="1"/>
  <c r="N574" i="1"/>
  <c r="A575" i="1"/>
  <c r="B575" i="1"/>
  <c r="F575" i="1"/>
  <c r="G575" i="1"/>
  <c r="H575" i="1"/>
  <c r="I575" i="1"/>
  <c r="J575" i="1"/>
  <c r="K575" i="1"/>
  <c r="L575" i="1"/>
  <c r="M575" i="1"/>
  <c r="N575" i="1"/>
  <c r="A576" i="1"/>
  <c r="B576" i="1"/>
  <c r="F576" i="1"/>
  <c r="G576" i="1"/>
  <c r="H576" i="1"/>
  <c r="I576" i="1"/>
  <c r="J576" i="1"/>
  <c r="K576" i="1"/>
  <c r="L576" i="1"/>
  <c r="M576" i="1"/>
  <c r="N576" i="1"/>
  <c r="A577" i="1"/>
  <c r="B577" i="1"/>
  <c r="F577" i="1"/>
  <c r="G577" i="1"/>
  <c r="H577" i="1"/>
  <c r="I577" i="1"/>
  <c r="J577" i="1"/>
  <c r="K577" i="1"/>
  <c r="L577" i="1"/>
  <c r="M577" i="1"/>
  <c r="N577" i="1"/>
  <c r="A578" i="1"/>
  <c r="B578" i="1"/>
  <c r="F578" i="1"/>
  <c r="G578" i="1"/>
  <c r="H578" i="1"/>
  <c r="I578" i="1"/>
  <c r="J578" i="1"/>
  <c r="K578" i="1"/>
  <c r="L578" i="1"/>
  <c r="M578" i="1"/>
  <c r="N578" i="1"/>
  <c r="A579" i="1"/>
  <c r="B579" i="1"/>
  <c r="F579" i="1"/>
  <c r="G579" i="1"/>
  <c r="H579" i="1"/>
  <c r="I579" i="1"/>
  <c r="J579" i="1"/>
  <c r="K579" i="1"/>
  <c r="L579" i="1"/>
  <c r="M579" i="1"/>
  <c r="N579" i="1"/>
  <c r="A580" i="1"/>
  <c r="B580" i="1"/>
  <c r="F580" i="1"/>
  <c r="G580" i="1"/>
  <c r="H580" i="1"/>
  <c r="I580" i="1"/>
  <c r="J580" i="1"/>
  <c r="K580" i="1"/>
  <c r="L580" i="1"/>
  <c r="M580" i="1"/>
  <c r="N580" i="1"/>
  <c r="A581" i="1"/>
  <c r="B581" i="1"/>
  <c r="F581" i="1"/>
  <c r="G581" i="1"/>
  <c r="H581" i="1"/>
  <c r="I581" i="1"/>
  <c r="J581" i="1"/>
  <c r="K581" i="1"/>
  <c r="L581" i="1"/>
  <c r="M581" i="1"/>
  <c r="N581" i="1"/>
  <c r="A582" i="1"/>
  <c r="B582" i="1"/>
  <c r="F582" i="1"/>
  <c r="G582" i="1"/>
  <c r="H582" i="1"/>
  <c r="I582" i="1"/>
  <c r="J582" i="1"/>
  <c r="K582" i="1"/>
  <c r="L582" i="1"/>
  <c r="M582" i="1"/>
  <c r="N582" i="1"/>
  <c r="A583" i="1"/>
  <c r="B583" i="1"/>
  <c r="F583" i="1"/>
  <c r="G583" i="1"/>
  <c r="H583" i="1"/>
  <c r="I583" i="1"/>
  <c r="J583" i="1"/>
  <c r="K583" i="1"/>
  <c r="L583" i="1"/>
  <c r="M583" i="1"/>
  <c r="N583" i="1"/>
  <c r="A584" i="1"/>
  <c r="B584" i="1"/>
  <c r="F584" i="1"/>
  <c r="G584" i="1"/>
  <c r="H584" i="1"/>
  <c r="I584" i="1"/>
  <c r="J584" i="1"/>
  <c r="K584" i="1"/>
  <c r="L584" i="1"/>
  <c r="M584" i="1"/>
  <c r="N584" i="1"/>
  <c r="A585" i="1"/>
  <c r="B585" i="1"/>
  <c r="F585" i="1"/>
  <c r="G585" i="1"/>
  <c r="H585" i="1"/>
  <c r="I585" i="1"/>
  <c r="J585" i="1"/>
  <c r="K585" i="1"/>
  <c r="L585" i="1"/>
  <c r="M585" i="1"/>
  <c r="N585" i="1"/>
  <c r="A586" i="1"/>
  <c r="B586" i="1"/>
  <c r="F586" i="1"/>
  <c r="G586" i="1"/>
  <c r="H586" i="1"/>
  <c r="I586" i="1"/>
  <c r="J586" i="1"/>
  <c r="K586" i="1"/>
  <c r="L586" i="1"/>
  <c r="M586" i="1"/>
  <c r="N586" i="1"/>
  <c r="A587" i="1"/>
  <c r="B587" i="1"/>
  <c r="F587" i="1"/>
  <c r="G587" i="1"/>
  <c r="H587" i="1"/>
  <c r="I587" i="1"/>
  <c r="J587" i="1"/>
  <c r="K587" i="1"/>
  <c r="L587" i="1"/>
  <c r="M587" i="1"/>
  <c r="N587" i="1"/>
  <c r="A588" i="1"/>
  <c r="B588" i="1"/>
  <c r="F588" i="1"/>
  <c r="G588" i="1"/>
  <c r="H588" i="1"/>
  <c r="I588" i="1"/>
  <c r="J588" i="1"/>
  <c r="K588" i="1"/>
  <c r="L588" i="1"/>
  <c r="M588" i="1"/>
  <c r="N588" i="1"/>
  <c r="A589" i="1"/>
  <c r="B589" i="1"/>
  <c r="F589" i="1"/>
  <c r="G589" i="1"/>
  <c r="H589" i="1"/>
  <c r="I589" i="1"/>
  <c r="J589" i="1"/>
  <c r="K589" i="1"/>
  <c r="L589" i="1"/>
  <c r="M589" i="1"/>
  <c r="N589" i="1"/>
  <c r="A590" i="1"/>
  <c r="B590" i="1"/>
  <c r="F590" i="1"/>
  <c r="G590" i="1"/>
  <c r="H590" i="1"/>
  <c r="I590" i="1"/>
  <c r="J590" i="1"/>
  <c r="K590" i="1"/>
  <c r="L590" i="1"/>
  <c r="M590" i="1"/>
  <c r="N590" i="1"/>
  <c r="A591" i="1"/>
  <c r="B591" i="1"/>
  <c r="F591" i="1"/>
  <c r="G591" i="1"/>
  <c r="H591" i="1"/>
  <c r="I591" i="1"/>
  <c r="J591" i="1"/>
  <c r="K591" i="1"/>
  <c r="L591" i="1"/>
  <c r="M591" i="1"/>
  <c r="N591" i="1"/>
  <c r="A592" i="1"/>
  <c r="B592" i="1"/>
  <c r="F592" i="1"/>
  <c r="G592" i="1"/>
  <c r="H592" i="1"/>
  <c r="I592" i="1"/>
  <c r="J592" i="1"/>
  <c r="K592" i="1"/>
  <c r="L592" i="1"/>
  <c r="M592" i="1"/>
  <c r="N592" i="1"/>
  <c r="A593" i="1"/>
  <c r="B593" i="1"/>
  <c r="F593" i="1"/>
  <c r="G593" i="1"/>
  <c r="H593" i="1"/>
  <c r="I593" i="1"/>
  <c r="J593" i="1"/>
  <c r="K593" i="1"/>
  <c r="L593" i="1"/>
  <c r="M593" i="1"/>
  <c r="N593" i="1"/>
  <c r="A594" i="1"/>
  <c r="B594" i="1"/>
  <c r="F594" i="1"/>
  <c r="G594" i="1"/>
  <c r="H594" i="1"/>
  <c r="I594" i="1"/>
  <c r="J594" i="1"/>
  <c r="K594" i="1"/>
  <c r="L594" i="1"/>
  <c r="M594" i="1"/>
  <c r="N594" i="1"/>
  <c r="A595" i="1"/>
  <c r="B595" i="1"/>
  <c r="F595" i="1"/>
  <c r="G595" i="1"/>
  <c r="H595" i="1"/>
  <c r="I595" i="1"/>
  <c r="J595" i="1"/>
  <c r="K595" i="1"/>
  <c r="L595" i="1"/>
  <c r="M595" i="1"/>
  <c r="N595" i="1"/>
  <c r="A596" i="1"/>
  <c r="B596" i="1"/>
  <c r="F596" i="1"/>
  <c r="G596" i="1"/>
  <c r="H596" i="1"/>
  <c r="I596" i="1"/>
  <c r="J596" i="1"/>
  <c r="K596" i="1"/>
  <c r="L596" i="1"/>
  <c r="M596" i="1"/>
  <c r="N596" i="1"/>
  <c r="A597" i="1"/>
  <c r="B597" i="1"/>
  <c r="F597" i="1"/>
  <c r="G597" i="1"/>
  <c r="H597" i="1"/>
  <c r="I597" i="1"/>
  <c r="J597" i="1"/>
  <c r="K597" i="1"/>
  <c r="L597" i="1"/>
  <c r="M597" i="1"/>
  <c r="N597" i="1"/>
  <c r="A598" i="1"/>
  <c r="B598" i="1"/>
  <c r="F598" i="1"/>
  <c r="G598" i="1"/>
  <c r="H598" i="1"/>
  <c r="I598" i="1"/>
  <c r="J598" i="1"/>
  <c r="K598" i="1"/>
  <c r="L598" i="1"/>
  <c r="M598" i="1"/>
  <c r="N598" i="1"/>
  <c r="A599" i="1"/>
  <c r="B599" i="1"/>
  <c r="F599" i="1"/>
  <c r="G599" i="1"/>
  <c r="H599" i="1"/>
  <c r="I599" i="1"/>
  <c r="J599" i="1"/>
  <c r="K599" i="1"/>
  <c r="L599" i="1"/>
  <c r="M599" i="1"/>
  <c r="N599" i="1"/>
  <c r="A600" i="1"/>
  <c r="B600" i="1"/>
  <c r="F600" i="1"/>
  <c r="G600" i="1"/>
  <c r="H600" i="1"/>
  <c r="I600" i="1"/>
  <c r="J600" i="1"/>
  <c r="K600" i="1"/>
  <c r="L600" i="1"/>
  <c r="M600" i="1"/>
  <c r="N600" i="1"/>
  <c r="A601" i="1"/>
  <c r="B601" i="1"/>
  <c r="F601" i="1"/>
  <c r="G601" i="1"/>
  <c r="H601" i="1"/>
  <c r="I601" i="1"/>
  <c r="J601" i="1"/>
  <c r="K601" i="1"/>
  <c r="L601" i="1"/>
  <c r="M601" i="1"/>
  <c r="N601" i="1"/>
  <c r="A602" i="1"/>
  <c r="B602" i="1"/>
  <c r="F602" i="1"/>
  <c r="G602" i="1"/>
  <c r="H602" i="1"/>
  <c r="I602" i="1"/>
  <c r="J602" i="1"/>
  <c r="K602" i="1"/>
  <c r="L602" i="1"/>
  <c r="M602" i="1"/>
  <c r="N602" i="1"/>
  <c r="A603" i="1"/>
  <c r="B603" i="1"/>
  <c r="F603" i="1"/>
  <c r="G603" i="1"/>
  <c r="H603" i="1"/>
  <c r="I603" i="1"/>
  <c r="J603" i="1"/>
  <c r="K603" i="1"/>
  <c r="L603" i="1"/>
  <c r="M603" i="1"/>
  <c r="N603" i="1"/>
  <c r="A604" i="1"/>
  <c r="B604" i="1"/>
  <c r="F604" i="1"/>
  <c r="G604" i="1"/>
  <c r="H604" i="1"/>
  <c r="I604" i="1"/>
  <c r="J604" i="1"/>
  <c r="K604" i="1"/>
  <c r="L604" i="1"/>
  <c r="M604" i="1"/>
  <c r="N604" i="1"/>
  <c r="A605" i="1"/>
  <c r="B605" i="1"/>
  <c r="F605" i="1"/>
  <c r="G605" i="1"/>
  <c r="H605" i="1"/>
  <c r="I605" i="1"/>
  <c r="J605" i="1"/>
  <c r="K605" i="1"/>
  <c r="L605" i="1"/>
  <c r="M605" i="1"/>
  <c r="N605" i="1"/>
  <c r="A606" i="1"/>
  <c r="B606" i="1"/>
  <c r="F606" i="1"/>
  <c r="G606" i="1"/>
  <c r="H606" i="1"/>
  <c r="I606" i="1"/>
  <c r="J606" i="1"/>
  <c r="K606" i="1"/>
  <c r="L606" i="1"/>
  <c r="M606" i="1"/>
  <c r="N606" i="1"/>
  <c r="A607" i="1"/>
  <c r="B607" i="1"/>
  <c r="F607" i="1"/>
  <c r="G607" i="1"/>
  <c r="H607" i="1"/>
  <c r="I607" i="1"/>
  <c r="J607" i="1"/>
  <c r="K607" i="1"/>
  <c r="L607" i="1"/>
  <c r="M607" i="1"/>
  <c r="N607" i="1"/>
  <c r="A608" i="1"/>
  <c r="B608" i="1"/>
  <c r="F608" i="1"/>
  <c r="G608" i="1"/>
  <c r="H608" i="1"/>
  <c r="I608" i="1"/>
  <c r="J608" i="1"/>
  <c r="K608" i="1"/>
  <c r="L608" i="1"/>
  <c r="M608" i="1"/>
  <c r="N608" i="1"/>
  <c r="A609" i="1"/>
  <c r="B609" i="1"/>
  <c r="F609" i="1"/>
  <c r="G609" i="1"/>
  <c r="H609" i="1"/>
  <c r="I609" i="1"/>
  <c r="J609" i="1"/>
  <c r="K609" i="1"/>
  <c r="L609" i="1"/>
  <c r="M609" i="1"/>
  <c r="N609" i="1"/>
  <c r="A610" i="1"/>
  <c r="B610" i="1"/>
  <c r="F610" i="1"/>
  <c r="G610" i="1"/>
  <c r="H610" i="1"/>
  <c r="I610" i="1"/>
  <c r="J610" i="1"/>
  <c r="K610" i="1"/>
  <c r="L610" i="1"/>
  <c r="M610" i="1"/>
  <c r="N610" i="1"/>
  <c r="A611" i="1"/>
  <c r="B611" i="1"/>
  <c r="F611" i="1"/>
  <c r="G611" i="1"/>
  <c r="H611" i="1"/>
  <c r="I611" i="1"/>
  <c r="J611" i="1"/>
  <c r="K611" i="1"/>
  <c r="L611" i="1"/>
  <c r="M611" i="1"/>
  <c r="N611" i="1"/>
  <c r="A612" i="1"/>
  <c r="B612" i="1"/>
  <c r="F612" i="1"/>
  <c r="G612" i="1"/>
  <c r="H612" i="1"/>
  <c r="I612" i="1"/>
  <c r="J612" i="1"/>
  <c r="K612" i="1"/>
  <c r="L612" i="1"/>
  <c r="M612" i="1"/>
  <c r="N612" i="1"/>
  <c r="A613" i="1"/>
  <c r="B613" i="1"/>
  <c r="F613" i="1"/>
  <c r="G613" i="1"/>
  <c r="H613" i="1"/>
  <c r="I613" i="1"/>
  <c r="J613" i="1"/>
  <c r="K613" i="1"/>
  <c r="L613" i="1"/>
  <c r="M613" i="1"/>
  <c r="N613" i="1"/>
  <c r="A614" i="1"/>
  <c r="B614" i="1"/>
  <c r="F614" i="1"/>
  <c r="G614" i="1"/>
  <c r="H614" i="1"/>
  <c r="I614" i="1"/>
  <c r="J614" i="1"/>
  <c r="K614" i="1"/>
  <c r="L614" i="1"/>
  <c r="M614" i="1"/>
  <c r="N614" i="1"/>
  <c r="A615" i="1"/>
  <c r="B615" i="1"/>
  <c r="F615" i="1"/>
  <c r="G615" i="1"/>
  <c r="H615" i="1"/>
  <c r="I615" i="1"/>
  <c r="J615" i="1"/>
  <c r="K615" i="1"/>
  <c r="L615" i="1"/>
  <c r="M615" i="1"/>
  <c r="N615" i="1"/>
  <c r="A616" i="1"/>
  <c r="B616" i="1"/>
  <c r="F616" i="1"/>
  <c r="G616" i="1"/>
  <c r="H616" i="1"/>
  <c r="I616" i="1"/>
  <c r="J616" i="1"/>
  <c r="K616" i="1"/>
  <c r="L616" i="1"/>
  <c r="M616" i="1"/>
  <c r="N616" i="1"/>
  <c r="A617" i="1"/>
  <c r="B617" i="1"/>
  <c r="F617" i="1"/>
  <c r="G617" i="1"/>
  <c r="H617" i="1"/>
  <c r="I617" i="1"/>
  <c r="J617" i="1"/>
  <c r="K617" i="1"/>
  <c r="L617" i="1"/>
  <c r="M617" i="1"/>
  <c r="N617" i="1"/>
  <c r="A618" i="1"/>
  <c r="B618" i="1"/>
  <c r="F618" i="1"/>
  <c r="G618" i="1"/>
  <c r="H618" i="1"/>
  <c r="I618" i="1"/>
  <c r="J618" i="1"/>
  <c r="K618" i="1"/>
  <c r="L618" i="1"/>
  <c r="M618" i="1"/>
  <c r="N618" i="1"/>
  <c r="A619" i="1"/>
  <c r="B619" i="1"/>
  <c r="F619" i="1"/>
  <c r="G619" i="1"/>
  <c r="H619" i="1"/>
  <c r="I619" i="1"/>
  <c r="J619" i="1"/>
  <c r="K619" i="1"/>
  <c r="L619" i="1"/>
  <c r="M619" i="1"/>
  <c r="N619" i="1"/>
  <c r="A620" i="1"/>
  <c r="B620" i="1"/>
  <c r="F620" i="1"/>
  <c r="G620" i="1"/>
  <c r="H620" i="1"/>
  <c r="I620" i="1"/>
  <c r="J620" i="1"/>
  <c r="K620" i="1"/>
  <c r="L620" i="1"/>
  <c r="M620" i="1"/>
  <c r="N620" i="1"/>
  <c r="A621" i="1"/>
  <c r="B621" i="1"/>
  <c r="F621" i="1"/>
  <c r="G621" i="1"/>
  <c r="H621" i="1"/>
  <c r="I621" i="1"/>
  <c r="J621" i="1"/>
  <c r="K621" i="1"/>
  <c r="L621" i="1"/>
  <c r="M621" i="1"/>
  <c r="N621" i="1"/>
  <c r="A622" i="1"/>
  <c r="B622" i="1"/>
  <c r="F622" i="1"/>
  <c r="G622" i="1"/>
  <c r="H622" i="1"/>
  <c r="I622" i="1"/>
  <c r="J622" i="1"/>
  <c r="K622" i="1"/>
  <c r="L622" i="1"/>
  <c r="M622" i="1"/>
  <c r="N622" i="1"/>
  <c r="A623" i="1"/>
  <c r="B623" i="1"/>
  <c r="F623" i="1"/>
  <c r="G623" i="1"/>
  <c r="H623" i="1"/>
  <c r="I623" i="1"/>
  <c r="J623" i="1"/>
  <c r="K623" i="1"/>
  <c r="L623" i="1"/>
  <c r="M623" i="1"/>
  <c r="N623" i="1"/>
  <c r="A624" i="1"/>
  <c r="B624" i="1"/>
  <c r="F624" i="1"/>
  <c r="G624" i="1"/>
  <c r="H624" i="1"/>
  <c r="I624" i="1"/>
  <c r="J624" i="1"/>
  <c r="K624" i="1"/>
  <c r="L624" i="1"/>
  <c r="M624" i="1"/>
  <c r="N624" i="1"/>
  <c r="A625" i="1"/>
  <c r="B625" i="1"/>
  <c r="F625" i="1"/>
  <c r="G625" i="1"/>
  <c r="H625" i="1"/>
  <c r="I625" i="1"/>
  <c r="J625" i="1"/>
  <c r="K625" i="1"/>
  <c r="L625" i="1"/>
  <c r="M625" i="1"/>
  <c r="N625" i="1"/>
  <c r="A626" i="1"/>
  <c r="B626" i="1"/>
  <c r="F626" i="1"/>
  <c r="G626" i="1"/>
  <c r="H626" i="1"/>
  <c r="I626" i="1"/>
  <c r="J626" i="1"/>
  <c r="K626" i="1"/>
  <c r="L626" i="1"/>
  <c r="M626" i="1"/>
  <c r="N626" i="1"/>
  <c r="A627" i="1"/>
  <c r="B627" i="1"/>
  <c r="G627" i="1"/>
  <c r="H627" i="1"/>
  <c r="I627" i="1"/>
  <c r="J627" i="1"/>
  <c r="K627" i="1"/>
  <c r="L627" i="1"/>
  <c r="M627" i="1"/>
  <c r="N627" i="1"/>
  <c r="A628" i="1"/>
  <c r="B628" i="1"/>
  <c r="G628" i="1"/>
  <c r="H628" i="1"/>
  <c r="I628" i="1"/>
  <c r="J628" i="1"/>
  <c r="K628" i="1"/>
  <c r="L628" i="1"/>
  <c r="M628" i="1"/>
  <c r="N628" i="1"/>
  <c r="A629" i="1"/>
  <c r="B629" i="1"/>
  <c r="G629" i="1"/>
  <c r="H629" i="1"/>
  <c r="I629" i="1"/>
  <c r="J629" i="1"/>
  <c r="K629" i="1"/>
  <c r="L629" i="1"/>
  <c r="M629" i="1"/>
  <c r="N629" i="1"/>
  <c r="A630" i="1"/>
  <c r="B630" i="1"/>
  <c r="G630" i="1"/>
  <c r="H630" i="1"/>
  <c r="I630" i="1"/>
  <c r="J630" i="1"/>
  <c r="K630" i="1"/>
  <c r="L630" i="1"/>
  <c r="M630" i="1"/>
  <c r="N630" i="1"/>
  <c r="A631" i="1"/>
  <c r="B631" i="1"/>
  <c r="G631" i="1"/>
  <c r="H631" i="1"/>
  <c r="I631" i="1"/>
  <c r="J631" i="1"/>
  <c r="K631" i="1"/>
  <c r="L631" i="1"/>
  <c r="M631" i="1"/>
  <c r="N631" i="1"/>
  <c r="A632" i="1"/>
  <c r="B632" i="1"/>
  <c r="G632" i="1"/>
  <c r="H632" i="1"/>
  <c r="I632" i="1"/>
  <c r="J632" i="1"/>
  <c r="K632" i="1"/>
  <c r="L632" i="1"/>
  <c r="M632" i="1"/>
  <c r="N632" i="1"/>
  <c r="A633" i="1"/>
  <c r="B633" i="1"/>
  <c r="G633" i="1"/>
  <c r="H633" i="1"/>
  <c r="I633" i="1"/>
  <c r="J633" i="1"/>
  <c r="K633" i="1"/>
  <c r="L633" i="1"/>
  <c r="M633" i="1"/>
  <c r="N633" i="1"/>
  <c r="A634" i="1"/>
  <c r="B634" i="1"/>
  <c r="F634" i="1"/>
  <c r="G634" i="1"/>
  <c r="H634" i="1"/>
  <c r="I634" i="1"/>
  <c r="J634" i="1"/>
  <c r="K634" i="1"/>
  <c r="L634" i="1"/>
  <c r="M634" i="1"/>
  <c r="N634" i="1"/>
  <c r="A635" i="1"/>
  <c r="B635" i="1"/>
  <c r="F635" i="1"/>
  <c r="G635" i="1"/>
  <c r="H635" i="1"/>
  <c r="I635" i="1"/>
  <c r="J635" i="1"/>
  <c r="K635" i="1"/>
  <c r="L635" i="1"/>
  <c r="M635" i="1"/>
  <c r="N635" i="1"/>
  <c r="A636" i="1"/>
  <c r="B636" i="1"/>
  <c r="F636" i="1"/>
  <c r="G636" i="1"/>
  <c r="H636" i="1"/>
  <c r="I636" i="1"/>
  <c r="J636" i="1"/>
  <c r="K636" i="1"/>
  <c r="L636" i="1"/>
  <c r="M636" i="1"/>
  <c r="N636" i="1"/>
  <c r="A637" i="1"/>
  <c r="B637" i="1"/>
  <c r="F637" i="1"/>
  <c r="G637" i="1"/>
  <c r="H637" i="1"/>
  <c r="I637" i="1"/>
  <c r="J637" i="1"/>
  <c r="K637" i="1"/>
  <c r="L637" i="1"/>
  <c r="M637" i="1"/>
  <c r="N637" i="1"/>
  <c r="A638" i="1"/>
  <c r="B638" i="1"/>
  <c r="F638" i="1"/>
  <c r="G638" i="1"/>
  <c r="H638" i="1"/>
  <c r="I638" i="1"/>
  <c r="J638" i="1"/>
  <c r="K638" i="1"/>
  <c r="L638" i="1"/>
  <c r="M638" i="1"/>
  <c r="N638" i="1"/>
  <c r="A639" i="1"/>
  <c r="B639" i="1"/>
  <c r="F639" i="1"/>
  <c r="G639" i="1"/>
  <c r="H639" i="1"/>
  <c r="I639" i="1"/>
  <c r="J639" i="1"/>
  <c r="K639" i="1"/>
  <c r="L639" i="1"/>
  <c r="M639" i="1"/>
  <c r="N639" i="1"/>
  <c r="A640" i="1"/>
  <c r="B640" i="1"/>
  <c r="F640" i="1"/>
  <c r="G640" i="1"/>
  <c r="H640" i="1"/>
  <c r="I640" i="1"/>
  <c r="J640" i="1"/>
  <c r="K640" i="1"/>
  <c r="L640" i="1"/>
  <c r="M640" i="1"/>
  <c r="N640" i="1"/>
  <c r="A641" i="1"/>
  <c r="B641" i="1"/>
  <c r="F641" i="1"/>
  <c r="G641" i="1"/>
  <c r="H641" i="1"/>
  <c r="I641" i="1"/>
  <c r="J641" i="1"/>
  <c r="K641" i="1"/>
  <c r="L641" i="1"/>
  <c r="M641" i="1"/>
  <c r="N641" i="1"/>
  <c r="A642" i="1"/>
  <c r="B642" i="1"/>
  <c r="F642" i="1"/>
  <c r="G642" i="1"/>
  <c r="H642" i="1"/>
  <c r="I642" i="1"/>
  <c r="J642" i="1"/>
  <c r="K642" i="1"/>
  <c r="L642" i="1"/>
  <c r="M642" i="1"/>
  <c r="N642" i="1"/>
  <c r="A643" i="1"/>
  <c r="B643" i="1"/>
  <c r="F643" i="1"/>
  <c r="G643" i="1"/>
  <c r="H643" i="1"/>
  <c r="I643" i="1"/>
  <c r="J643" i="1"/>
  <c r="K643" i="1"/>
  <c r="L643" i="1"/>
  <c r="M643" i="1"/>
  <c r="N643" i="1"/>
  <c r="A644" i="1"/>
  <c r="B644" i="1"/>
  <c r="F644" i="1"/>
  <c r="G644" i="1"/>
  <c r="H644" i="1"/>
  <c r="I644" i="1"/>
  <c r="J644" i="1"/>
  <c r="K644" i="1"/>
  <c r="L644" i="1"/>
  <c r="M644" i="1"/>
  <c r="N644" i="1"/>
  <c r="A645" i="1"/>
  <c r="B645" i="1"/>
  <c r="F645" i="1"/>
  <c r="G645" i="1"/>
  <c r="H645" i="1"/>
  <c r="I645" i="1"/>
  <c r="J645" i="1"/>
  <c r="K645" i="1"/>
  <c r="L645" i="1"/>
  <c r="M645" i="1"/>
  <c r="N645" i="1"/>
  <c r="A646" i="1"/>
  <c r="B646" i="1"/>
  <c r="F646" i="1"/>
  <c r="G646" i="1"/>
  <c r="H646" i="1"/>
  <c r="I646" i="1"/>
  <c r="J646" i="1"/>
  <c r="K646" i="1"/>
  <c r="L646" i="1"/>
  <c r="M646" i="1"/>
  <c r="N646" i="1"/>
  <c r="A647" i="1"/>
  <c r="B647" i="1"/>
  <c r="F647" i="1"/>
  <c r="G647" i="1"/>
  <c r="H647" i="1"/>
  <c r="I647" i="1"/>
  <c r="J647" i="1"/>
  <c r="K647" i="1"/>
  <c r="L647" i="1"/>
  <c r="M647" i="1"/>
  <c r="N647" i="1"/>
  <c r="A648" i="1"/>
  <c r="B648" i="1"/>
  <c r="F648" i="1"/>
  <c r="G648" i="1"/>
  <c r="H648" i="1"/>
  <c r="I648" i="1"/>
  <c r="J648" i="1"/>
  <c r="K648" i="1"/>
  <c r="L648" i="1"/>
  <c r="M648" i="1"/>
  <c r="N648" i="1"/>
  <c r="A649" i="1"/>
  <c r="B649" i="1"/>
  <c r="F649" i="1"/>
  <c r="G649" i="1"/>
  <c r="H649" i="1"/>
  <c r="I649" i="1"/>
  <c r="J649" i="1"/>
  <c r="K649" i="1"/>
  <c r="L649" i="1"/>
  <c r="M649" i="1"/>
  <c r="N649" i="1"/>
  <c r="A650" i="1"/>
  <c r="B650" i="1"/>
  <c r="F650" i="1"/>
  <c r="G650" i="1"/>
  <c r="H650" i="1"/>
  <c r="I650" i="1"/>
  <c r="J650" i="1"/>
  <c r="K650" i="1"/>
  <c r="L650" i="1"/>
  <c r="M650" i="1"/>
  <c r="N650" i="1"/>
  <c r="A651" i="1"/>
  <c r="B651" i="1"/>
  <c r="F651" i="1"/>
  <c r="G651" i="1"/>
  <c r="H651" i="1"/>
  <c r="I651" i="1"/>
  <c r="J651" i="1"/>
  <c r="K651" i="1"/>
  <c r="L651" i="1"/>
  <c r="M651" i="1"/>
  <c r="N651" i="1"/>
  <c r="A652" i="1"/>
  <c r="B652" i="1"/>
  <c r="F652" i="1"/>
  <c r="G652" i="1"/>
  <c r="H652" i="1"/>
  <c r="I652" i="1"/>
  <c r="J652" i="1"/>
  <c r="K652" i="1"/>
  <c r="L652" i="1"/>
  <c r="M652" i="1"/>
  <c r="N652" i="1"/>
  <c r="A653" i="1"/>
  <c r="B653" i="1"/>
  <c r="F653" i="1"/>
  <c r="G653" i="1"/>
  <c r="H653" i="1"/>
  <c r="I653" i="1"/>
  <c r="J653" i="1"/>
  <c r="K653" i="1"/>
  <c r="L653" i="1"/>
  <c r="M653" i="1"/>
  <c r="N653" i="1"/>
  <c r="A654" i="1"/>
  <c r="B654" i="1"/>
  <c r="F654" i="1"/>
  <c r="G654" i="1"/>
  <c r="H654" i="1"/>
  <c r="I654" i="1"/>
  <c r="J654" i="1"/>
  <c r="K654" i="1"/>
  <c r="L654" i="1"/>
  <c r="M654" i="1"/>
  <c r="N654" i="1"/>
  <c r="A655" i="1"/>
  <c r="B655" i="1"/>
  <c r="F655" i="1"/>
  <c r="G655" i="1"/>
  <c r="H655" i="1"/>
  <c r="I655" i="1"/>
  <c r="J655" i="1"/>
  <c r="K655" i="1"/>
  <c r="L655" i="1"/>
  <c r="M655" i="1"/>
  <c r="N655" i="1"/>
  <c r="A656" i="1"/>
  <c r="B656" i="1"/>
  <c r="F656" i="1"/>
  <c r="G656" i="1"/>
  <c r="H656" i="1"/>
  <c r="I656" i="1"/>
  <c r="J656" i="1"/>
  <c r="K656" i="1"/>
  <c r="L656" i="1"/>
  <c r="M656" i="1"/>
  <c r="N656" i="1"/>
  <c r="A657" i="1"/>
  <c r="B657" i="1"/>
  <c r="F657" i="1"/>
  <c r="G657" i="1"/>
  <c r="H657" i="1"/>
  <c r="I657" i="1"/>
  <c r="J657" i="1"/>
  <c r="K657" i="1"/>
  <c r="L657" i="1"/>
  <c r="M657" i="1"/>
  <c r="N657" i="1"/>
  <c r="A658" i="1"/>
  <c r="B658" i="1"/>
  <c r="F658" i="1"/>
  <c r="G658" i="1"/>
  <c r="H658" i="1"/>
  <c r="I658" i="1"/>
  <c r="J658" i="1"/>
  <c r="K658" i="1"/>
  <c r="L658" i="1"/>
  <c r="M658" i="1"/>
  <c r="N658" i="1"/>
  <c r="A659" i="1"/>
  <c r="B659" i="1"/>
  <c r="F659" i="1"/>
  <c r="G659" i="1"/>
  <c r="H659" i="1"/>
  <c r="I659" i="1"/>
  <c r="J659" i="1"/>
  <c r="K659" i="1"/>
  <c r="L659" i="1"/>
  <c r="M659" i="1"/>
  <c r="N659" i="1"/>
  <c r="A660" i="1"/>
  <c r="B660" i="1"/>
  <c r="F660" i="1"/>
  <c r="G660" i="1"/>
  <c r="H660" i="1"/>
  <c r="I660" i="1"/>
  <c r="J660" i="1"/>
  <c r="K660" i="1"/>
  <c r="L660" i="1"/>
  <c r="M660" i="1"/>
  <c r="N660" i="1"/>
  <c r="A661" i="1"/>
  <c r="B661" i="1"/>
  <c r="F661" i="1"/>
  <c r="G661" i="1"/>
  <c r="H661" i="1"/>
  <c r="I661" i="1"/>
  <c r="J661" i="1"/>
  <c r="K661" i="1"/>
  <c r="L661" i="1"/>
  <c r="M661" i="1"/>
  <c r="N661" i="1"/>
  <c r="A662" i="1"/>
  <c r="B662" i="1"/>
  <c r="F662" i="1"/>
  <c r="G662" i="1"/>
  <c r="H662" i="1"/>
  <c r="I662" i="1"/>
  <c r="J662" i="1"/>
  <c r="K662" i="1"/>
  <c r="L662" i="1"/>
  <c r="M662" i="1"/>
  <c r="N662" i="1"/>
  <c r="A663" i="1"/>
  <c r="B663" i="1"/>
  <c r="F663" i="1"/>
  <c r="G663" i="1"/>
  <c r="H663" i="1"/>
  <c r="I663" i="1"/>
  <c r="J663" i="1"/>
  <c r="K663" i="1"/>
  <c r="L663" i="1"/>
  <c r="M663" i="1"/>
  <c r="N663" i="1"/>
  <c r="A664" i="1"/>
  <c r="B664" i="1"/>
  <c r="F664" i="1"/>
  <c r="G664" i="1"/>
  <c r="H664" i="1"/>
  <c r="I664" i="1"/>
  <c r="J664" i="1"/>
  <c r="K664" i="1"/>
  <c r="L664" i="1"/>
  <c r="M664" i="1"/>
  <c r="N664" i="1"/>
  <c r="A665" i="1"/>
  <c r="B665" i="1"/>
  <c r="F665" i="1"/>
  <c r="G665" i="1"/>
  <c r="H665" i="1"/>
  <c r="I665" i="1"/>
  <c r="J665" i="1"/>
  <c r="K665" i="1"/>
  <c r="L665" i="1"/>
  <c r="M665" i="1"/>
  <c r="N665" i="1"/>
  <c r="A666" i="1"/>
  <c r="B666" i="1"/>
  <c r="F666" i="1"/>
  <c r="G666" i="1"/>
  <c r="H666" i="1"/>
  <c r="I666" i="1"/>
  <c r="J666" i="1"/>
  <c r="K666" i="1"/>
  <c r="L666" i="1"/>
  <c r="M666" i="1"/>
  <c r="N666" i="1"/>
  <c r="A667" i="1"/>
  <c r="B667" i="1"/>
  <c r="F667" i="1"/>
  <c r="G667" i="1"/>
  <c r="H667" i="1"/>
  <c r="I667" i="1"/>
  <c r="J667" i="1"/>
  <c r="K667" i="1"/>
  <c r="L667" i="1"/>
  <c r="M667" i="1"/>
  <c r="N667" i="1"/>
  <c r="A668" i="1"/>
  <c r="B668" i="1"/>
  <c r="F668" i="1"/>
  <c r="G668" i="1"/>
  <c r="H668" i="1"/>
  <c r="I668" i="1"/>
  <c r="J668" i="1"/>
  <c r="K668" i="1"/>
  <c r="L668" i="1"/>
  <c r="M668" i="1"/>
  <c r="N668" i="1"/>
  <c r="A669" i="1"/>
  <c r="B669" i="1"/>
  <c r="F669" i="1"/>
  <c r="G669" i="1"/>
  <c r="H669" i="1"/>
  <c r="I669" i="1"/>
  <c r="J669" i="1"/>
  <c r="K669" i="1"/>
  <c r="L669" i="1"/>
  <c r="M669" i="1"/>
  <c r="N669" i="1"/>
  <c r="A670" i="1"/>
  <c r="B670" i="1"/>
  <c r="F670" i="1"/>
  <c r="G670" i="1"/>
  <c r="H670" i="1"/>
  <c r="I670" i="1"/>
  <c r="J670" i="1"/>
  <c r="K670" i="1"/>
  <c r="L670" i="1"/>
  <c r="M670" i="1"/>
  <c r="N670" i="1"/>
  <c r="A671" i="1"/>
  <c r="B671" i="1"/>
  <c r="F671" i="1"/>
  <c r="G671" i="1"/>
  <c r="H671" i="1"/>
  <c r="I671" i="1"/>
  <c r="J671" i="1"/>
  <c r="K671" i="1"/>
  <c r="L671" i="1"/>
  <c r="M671" i="1"/>
  <c r="N671" i="1"/>
  <c r="A672" i="1"/>
  <c r="B672" i="1"/>
  <c r="F672" i="1"/>
  <c r="G672" i="1"/>
  <c r="H672" i="1"/>
  <c r="I672" i="1"/>
  <c r="J672" i="1"/>
  <c r="K672" i="1"/>
  <c r="L672" i="1"/>
  <c r="M672" i="1"/>
  <c r="N672" i="1"/>
  <c r="A673" i="1"/>
  <c r="B673" i="1"/>
  <c r="F673" i="1"/>
  <c r="G673" i="1"/>
  <c r="H673" i="1"/>
  <c r="I673" i="1"/>
  <c r="J673" i="1"/>
  <c r="K673" i="1"/>
  <c r="L673" i="1"/>
  <c r="M673" i="1"/>
  <c r="N673" i="1"/>
  <c r="A674" i="1"/>
  <c r="B674" i="1"/>
  <c r="F674" i="1"/>
  <c r="G674" i="1"/>
  <c r="H674" i="1"/>
  <c r="I674" i="1"/>
  <c r="J674" i="1"/>
  <c r="K674" i="1"/>
  <c r="L674" i="1"/>
  <c r="M674" i="1"/>
  <c r="N674" i="1"/>
  <c r="A675" i="1"/>
  <c r="B675" i="1"/>
  <c r="F675" i="1"/>
  <c r="G675" i="1"/>
  <c r="H675" i="1"/>
  <c r="I675" i="1"/>
  <c r="J675" i="1"/>
  <c r="K675" i="1"/>
  <c r="L675" i="1"/>
  <c r="M675" i="1"/>
  <c r="N675" i="1"/>
  <c r="A676" i="1"/>
  <c r="B676" i="1"/>
  <c r="F676" i="1"/>
  <c r="G676" i="1"/>
  <c r="H676" i="1"/>
  <c r="I676" i="1"/>
  <c r="J676" i="1"/>
  <c r="K676" i="1"/>
  <c r="L676" i="1"/>
  <c r="M676" i="1"/>
  <c r="N676" i="1"/>
  <c r="A677" i="1"/>
  <c r="B677" i="1"/>
  <c r="F677" i="1"/>
  <c r="G677" i="1"/>
  <c r="H677" i="1"/>
  <c r="I677" i="1"/>
  <c r="J677" i="1"/>
  <c r="K677" i="1"/>
  <c r="L677" i="1"/>
  <c r="M677" i="1"/>
  <c r="N677" i="1"/>
  <c r="A678" i="1"/>
  <c r="B678" i="1"/>
  <c r="F678" i="1"/>
  <c r="G678" i="1"/>
  <c r="H678" i="1"/>
  <c r="I678" i="1"/>
  <c r="J678" i="1"/>
  <c r="K678" i="1"/>
  <c r="L678" i="1"/>
  <c r="M678" i="1"/>
  <c r="N678" i="1"/>
  <c r="A679" i="1"/>
  <c r="B679" i="1"/>
  <c r="F679" i="1"/>
  <c r="G679" i="1"/>
  <c r="H679" i="1"/>
  <c r="I679" i="1"/>
  <c r="J679" i="1"/>
  <c r="K679" i="1"/>
  <c r="L679" i="1"/>
  <c r="M679" i="1"/>
  <c r="N679" i="1"/>
  <c r="A680" i="1"/>
  <c r="B680" i="1"/>
  <c r="F680" i="1"/>
  <c r="G680" i="1"/>
  <c r="H680" i="1"/>
  <c r="I680" i="1"/>
  <c r="J680" i="1"/>
  <c r="K680" i="1"/>
  <c r="L680" i="1"/>
  <c r="M680" i="1"/>
  <c r="N680" i="1"/>
  <c r="A681" i="1"/>
  <c r="B681" i="1"/>
  <c r="F681" i="1"/>
  <c r="G681" i="1"/>
  <c r="H681" i="1"/>
  <c r="I681" i="1"/>
  <c r="J681" i="1"/>
  <c r="K681" i="1"/>
  <c r="L681" i="1"/>
  <c r="M681" i="1"/>
  <c r="N681" i="1"/>
  <c r="A682" i="1"/>
  <c r="B682" i="1"/>
  <c r="F682" i="1"/>
  <c r="G682" i="1"/>
  <c r="H682" i="1"/>
  <c r="I682" i="1"/>
  <c r="J682" i="1"/>
  <c r="K682" i="1"/>
  <c r="L682" i="1"/>
  <c r="M682" i="1"/>
  <c r="N682" i="1"/>
  <c r="A683" i="1"/>
  <c r="B683" i="1"/>
  <c r="F683" i="1"/>
  <c r="G683" i="1"/>
  <c r="H683" i="1"/>
  <c r="I683" i="1"/>
  <c r="J683" i="1"/>
  <c r="K683" i="1"/>
  <c r="L683" i="1"/>
  <c r="M683" i="1"/>
  <c r="N683" i="1"/>
  <c r="A684" i="1"/>
  <c r="B684" i="1"/>
  <c r="F684" i="1"/>
  <c r="G684" i="1"/>
  <c r="H684" i="1"/>
  <c r="I684" i="1"/>
  <c r="J684" i="1"/>
  <c r="K684" i="1"/>
  <c r="L684" i="1"/>
  <c r="M684" i="1"/>
  <c r="N684" i="1"/>
  <c r="A685" i="1"/>
  <c r="B685" i="1"/>
  <c r="F685" i="1"/>
  <c r="G685" i="1"/>
  <c r="H685" i="1"/>
  <c r="I685" i="1"/>
  <c r="J685" i="1"/>
  <c r="K685" i="1"/>
  <c r="L685" i="1"/>
  <c r="M685" i="1"/>
  <c r="N685" i="1"/>
  <c r="A686" i="1"/>
  <c r="B686" i="1"/>
  <c r="F686" i="1"/>
  <c r="G686" i="1"/>
  <c r="H686" i="1"/>
  <c r="I686" i="1"/>
  <c r="J686" i="1"/>
  <c r="K686" i="1"/>
  <c r="L686" i="1"/>
  <c r="M686" i="1"/>
  <c r="N686" i="1"/>
  <c r="A687" i="1"/>
  <c r="B687" i="1"/>
  <c r="F687" i="1"/>
  <c r="G687" i="1"/>
  <c r="H687" i="1"/>
  <c r="I687" i="1"/>
  <c r="J687" i="1"/>
  <c r="K687" i="1"/>
  <c r="L687" i="1"/>
  <c r="M687" i="1"/>
  <c r="N687" i="1"/>
  <c r="A688" i="1"/>
  <c r="B688" i="1"/>
  <c r="F688" i="1"/>
  <c r="G688" i="1"/>
  <c r="H688" i="1"/>
  <c r="I688" i="1"/>
  <c r="J688" i="1"/>
  <c r="K688" i="1"/>
  <c r="L688" i="1"/>
  <c r="M688" i="1"/>
  <c r="N688" i="1"/>
  <c r="A689" i="1"/>
  <c r="B689" i="1"/>
  <c r="F689" i="1"/>
  <c r="G689" i="1"/>
  <c r="H689" i="1"/>
  <c r="I689" i="1"/>
  <c r="J689" i="1"/>
  <c r="K689" i="1"/>
  <c r="L689" i="1"/>
  <c r="M689" i="1"/>
  <c r="N689" i="1"/>
  <c r="A690" i="1"/>
  <c r="B690" i="1"/>
  <c r="F690" i="1"/>
  <c r="G690" i="1"/>
  <c r="H690" i="1"/>
  <c r="I690" i="1"/>
  <c r="J690" i="1"/>
  <c r="K690" i="1"/>
  <c r="L690" i="1"/>
  <c r="M690" i="1"/>
  <c r="N690" i="1"/>
  <c r="A691" i="1"/>
  <c r="B691" i="1"/>
  <c r="F691" i="1"/>
  <c r="G691" i="1"/>
  <c r="H691" i="1"/>
  <c r="I691" i="1"/>
  <c r="J691" i="1"/>
  <c r="K691" i="1"/>
  <c r="L691" i="1"/>
  <c r="M691" i="1"/>
  <c r="N691" i="1"/>
  <c r="A692" i="1"/>
  <c r="B692" i="1"/>
  <c r="F692" i="1"/>
  <c r="G692" i="1"/>
  <c r="H692" i="1"/>
  <c r="I692" i="1"/>
  <c r="J692" i="1"/>
  <c r="K692" i="1"/>
  <c r="L692" i="1"/>
  <c r="M692" i="1"/>
  <c r="N692" i="1"/>
  <c r="A693" i="1"/>
  <c r="B693" i="1"/>
  <c r="F693" i="1"/>
  <c r="G693" i="1"/>
  <c r="H693" i="1"/>
  <c r="I693" i="1"/>
  <c r="J693" i="1"/>
  <c r="K693" i="1"/>
  <c r="L693" i="1"/>
  <c r="M693" i="1"/>
  <c r="N693" i="1"/>
  <c r="A694" i="1"/>
  <c r="B694" i="1"/>
  <c r="F694" i="1"/>
  <c r="G694" i="1"/>
  <c r="H694" i="1"/>
  <c r="I694" i="1"/>
  <c r="J694" i="1"/>
  <c r="K694" i="1"/>
  <c r="L694" i="1"/>
  <c r="M694" i="1"/>
  <c r="N694" i="1"/>
  <c r="A695" i="1"/>
  <c r="B695" i="1"/>
  <c r="F695" i="1"/>
  <c r="G695" i="1"/>
  <c r="H695" i="1"/>
  <c r="I695" i="1"/>
  <c r="J695" i="1"/>
  <c r="K695" i="1"/>
  <c r="L695" i="1"/>
  <c r="M695" i="1"/>
  <c r="N695" i="1"/>
  <c r="A696" i="1"/>
  <c r="B696" i="1"/>
  <c r="F696" i="1"/>
  <c r="G696" i="1"/>
  <c r="H696" i="1"/>
  <c r="I696" i="1"/>
  <c r="J696" i="1"/>
  <c r="K696" i="1"/>
  <c r="L696" i="1"/>
  <c r="M696" i="1"/>
  <c r="N696" i="1"/>
  <c r="A697" i="1"/>
  <c r="B697" i="1"/>
  <c r="F697" i="1"/>
  <c r="G697" i="1"/>
  <c r="H697" i="1"/>
  <c r="I697" i="1"/>
  <c r="J697" i="1"/>
  <c r="K697" i="1"/>
  <c r="L697" i="1"/>
  <c r="M697" i="1"/>
  <c r="N697" i="1"/>
  <c r="A698" i="1"/>
  <c r="B698" i="1"/>
  <c r="F698" i="1"/>
  <c r="G698" i="1"/>
  <c r="H698" i="1"/>
  <c r="I698" i="1"/>
  <c r="J698" i="1"/>
  <c r="K698" i="1"/>
  <c r="L698" i="1"/>
  <c r="M698" i="1"/>
  <c r="N698" i="1"/>
  <c r="A699" i="1"/>
  <c r="B699" i="1"/>
  <c r="F699" i="1"/>
  <c r="G699" i="1"/>
  <c r="H699" i="1"/>
  <c r="I699" i="1"/>
  <c r="J699" i="1"/>
  <c r="K699" i="1"/>
  <c r="L699" i="1"/>
  <c r="M699" i="1"/>
  <c r="N699" i="1"/>
  <c r="A700" i="1"/>
  <c r="B700" i="1"/>
  <c r="F700" i="1"/>
  <c r="G700" i="1"/>
  <c r="H700" i="1"/>
  <c r="I700" i="1"/>
  <c r="J700" i="1"/>
  <c r="K700" i="1"/>
  <c r="L700" i="1"/>
  <c r="M700" i="1"/>
  <c r="N700" i="1"/>
  <c r="A701" i="1"/>
  <c r="B701" i="1"/>
  <c r="F701" i="1"/>
  <c r="G701" i="1"/>
  <c r="H701" i="1"/>
  <c r="I701" i="1"/>
  <c r="J701" i="1"/>
  <c r="K701" i="1"/>
  <c r="L701" i="1"/>
  <c r="M701" i="1"/>
  <c r="N701" i="1"/>
  <c r="A702" i="1"/>
  <c r="B702" i="1"/>
  <c r="F702" i="1"/>
  <c r="G702" i="1"/>
  <c r="H702" i="1"/>
  <c r="I702" i="1"/>
  <c r="J702" i="1"/>
  <c r="K702" i="1"/>
  <c r="L702" i="1"/>
  <c r="M702" i="1"/>
  <c r="N702" i="1"/>
  <c r="A703" i="1"/>
  <c r="B703" i="1"/>
  <c r="F703" i="1"/>
  <c r="G703" i="1"/>
  <c r="H703" i="1"/>
  <c r="I703" i="1"/>
  <c r="J703" i="1"/>
  <c r="K703" i="1"/>
  <c r="L703" i="1"/>
  <c r="M703" i="1"/>
  <c r="N703" i="1"/>
  <c r="A704" i="1"/>
  <c r="B704" i="1"/>
  <c r="F704" i="1"/>
  <c r="G704" i="1"/>
  <c r="H704" i="1"/>
  <c r="I704" i="1"/>
  <c r="J704" i="1"/>
  <c r="K704" i="1"/>
  <c r="L704" i="1"/>
  <c r="M704" i="1"/>
  <c r="N704" i="1"/>
  <c r="A705" i="1"/>
  <c r="B705" i="1"/>
  <c r="F705" i="1"/>
  <c r="G705" i="1"/>
  <c r="H705" i="1"/>
  <c r="I705" i="1"/>
  <c r="J705" i="1"/>
  <c r="K705" i="1"/>
  <c r="L705" i="1"/>
  <c r="M705" i="1"/>
  <c r="N705" i="1"/>
  <c r="A706" i="1"/>
  <c r="B706" i="1"/>
  <c r="F706" i="1"/>
  <c r="G706" i="1"/>
  <c r="H706" i="1"/>
  <c r="I706" i="1"/>
  <c r="J706" i="1"/>
  <c r="K706" i="1"/>
  <c r="L706" i="1"/>
  <c r="M706" i="1"/>
  <c r="N706" i="1"/>
  <c r="A707" i="1"/>
  <c r="B707" i="1"/>
  <c r="F707" i="1"/>
  <c r="G707" i="1"/>
  <c r="H707" i="1"/>
  <c r="I707" i="1"/>
  <c r="J707" i="1"/>
  <c r="K707" i="1"/>
  <c r="L707" i="1"/>
  <c r="M707" i="1"/>
  <c r="N707" i="1"/>
  <c r="A708" i="1"/>
  <c r="B708" i="1"/>
  <c r="F708" i="1"/>
  <c r="G708" i="1"/>
  <c r="H708" i="1"/>
  <c r="I708" i="1"/>
  <c r="J708" i="1"/>
  <c r="K708" i="1"/>
  <c r="L708" i="1"/>
  <c r="M708" i="1"/>
  <c r="N708" i="1"/>
  <c r="A709" i="1"/>
  <c r="B709" i="1"/>
  <c r="F709" i="1"/>
  <c r="G709" i="1"/>
  <c r="H709" i="1"/>
  <c r="I709" i="1"/>
  <c r="J709" i="1"/>
  <c r="K709" i="1"/>
  <c r="L709" i="1"/>
  <c r="M709" i="1"/>
  <c r="N709" i="1"/>
  <c r="A710" i="1"/>
  <c r="B710" i="1"/>
  <c r="F710" i="1"/>
  <c r="G710" i="1"/>
  <c r="H710" i="1"/>
  <c r="I710" i="1"/>
  <c r="J710" i="1"/>
  <c r="K710" i="1"/>
  <c r="L710" i="1"/>
  <c r="M710" i="1"/>
  <c r="N710" i="1"/>
  <c r="A711" i="1"/>
  <c r="B711" i="1"/>
  <c r="F711" i="1"/>
  <c r="G711" i="1"/>
  <c r="H711" i="1"/>
  <c r="I711" i="1"/>
  <c r="J711" i="1"/>
  <c r="K711" i="1"/>
  <c r="L711" i="1"/>
  <c r="M711" i="1"/>
  <c r="N711" i="1"/>
  <c r="A712" i="1"/>
  <c r="B712" i="1"/>
  <c r="F712" i="1"/>
  <c r="G712" i="1"/>
  <c r="H712" i="1"/>
  <c r="I712" i="1"/>
  <c r="J712" i="1"/>
  <c r="K712" i="1"/>
  <c r="L712" i="1"/>
  <c r="M712" i="1"/>
  <c r="N712" i="1"/>
  <c r="A713" i="1"/>
  <c r="B713" i="1"/>
  <c r="F713" i="1"/>
  <c r="G713" i="1"/>
  <c r="H713" i="1"/>
  <c r="I713" i="1"/>
  <c r="J713" i="1"/>
  <c r="K713" i="1"/>
  <c r="L713" i="1"/>
  <c r="M713" i="1"/>
  <c r="N713" i="1"/>
  <c r="A714" i="1"/>
  <c r="B714" i="1"/>
  <c r="F714" i="1"/>
  <c r="G714" i="1"/>
  <c r="H714" i="1"/>
  <c r="I714" i="1"/>
  <c r="J714" i="1"/>
  <c r="K714" i="1"/>
  <c r="L714" i="1"/>
  <c r="M714" i="1"/>
  <c r="N714" i="1"/>
  <c r="A715" i="1"/>
  <c r="B715" i="1"/>
  <c r="F715" i="1"/>
  <c r="G715" i="1"/>
  <c r="H715" i="1"/>
  <c r="I715" i="1"/>
  <c r="J715" i="1"/>
  <c r="K715" i="1"/>
  <c r="L715" i="1"/>
  <c r="M715" i="1"/>
  <c r="N715" i="1"/>
  <c r="A716" i="1"/>
  <c r="B716" i="1"/>
  <c r="F716" i="1"/>
  <c r="G716" i="1"/>
  <c r="H716" i="1"/>
  <c r="I716" i="1"/>
  <c r="J716" i="1"/>
  <c r="K716" i="1"/>
  <c r="L716" i="1"/>
  <c r="M716" i="1"/>
  <c r="N716" i="1"/>
  <c r="A717" i="1"/>
  <c r="B717" i="1"/>
  <c r="F717" i="1"/>
  <c r="G717" i="1"/>
  <c r="H717" i="1"/>
  <c r="I717" i="1"/>
  <c r="J717" i="1"/>
  <c r="K717" i="1"/>
  <c r="L717" i="1"/>
  <c r="M717" i="1"/>
  <c r="N717" i="1"/>
  <c r="A718" i="1"/>
  <c r="B718" i="1"/>
  <c r="F718" i="1"/>
  <c r="G718" i="1"/>
  <c r="H718" i="1"/>
  <c r="I718" i="1"/>
  <c r="J718" i="1"/>
  <c r="K718" i="1"/>
  <c r="L718" i="1"/>
  <c r="M718" i="1"/>
  <c r="N718" i="1"/>
  <c r="A719" i="1"/>
  <c r="B719" i="1"/>
  <c r="F719" i="1"/>
  <c r="G719" i="1"/>
  <c r="H719" i="1"/>
  <c r="I719" i="1"/>
  <c r="J719" i="1"/>
  <c r="K719" i="1"/>
  <c r="L719" i="1"/>
  <c r="M719" i="1"/>
  <c r="N719" i="1"/>
  <c r="A720" i="1"/>
  <c r="B720" i="1"/>
  <c r="F720" i="1"/>
  <c r="G720" i="1"/>
  <c r="H720" i="1"/>
  <c r="I720" i="1"/>
  <c r="J720" i="1"/>
  <c r="K720" i="1"/>
  <c r="L720" i="1"/>
  <c r="M720" i="1"/>
  <c r="N720" i="1"/>
  <c r="A721" i="1"/>
  <c r="B721" i="1"/>
  <c r="G721" i="1"/>
  <c r="H721" i="1"/>
  <c r="I721" i="1"/>
  <c r="J721" i="1"/>
  <c r="K721" i="1"/>
  <c r="L721" i="1"/>
  <c r="M721" i="1"/>
  <c r="N721" i="1"/>
  <c r="A722" i="1"/>
  <c r="B722" i="1"/>
  <c r="G722" i="1"/>
  <c r="H722" i="1"/>
  <c r="I722" i="1"/>
  <c r="J722" i="1"/>
  <c r="K722" i="1"/>
  <c r="L722" i="1"/>
  <c r="M722" i="1"/>
  <c r="N722" i="1"/>
  <c r="A723" i="1"/>
  <c r="B723" i="1"/>
  <c r="F723" i="1"/>
  <c r="G723" i="1"/>
  <c r="H723" i="1"/>
  <c r="I723" i="1"/>
  <c r="J723" i="1"/>
  <c r="K723" i="1"/>
  <c r="L723" i="1"/>
  <c r="M723" i="1"/>
  <c r="N723" i="1"/>
  <c r="A724" i="1"/>
  <c r="B724" i="1"/>
  <c r="F724" i="1"/>
  <c r="G724" i="1"/>
  <c r="H724" i="1"/>
  <c r="I724" i="1"/>
  <c r="J724" i="1"/>
  <c r="K724" i="1"/>
  <c r="L724" i="1"/>
  <c r="M724" i="1"/>
  <c r="N724" i="1"/>
  <c r="A725" i="1"/>
  <c r="B725" i="1"/>
  <c r="F725" i="1"/>
  <c r="G725" i="1"/>
  <c r="H725" i="1"/>
  <c r="I725" i="1"/>
  <c r="J725" i="1"/>
  <c r="K725" i="1"/>
  <c r="L725" i="1"/>
  <c r="M725" i="1"/>
  <c r="N725" i="1"/>
  <c r="A726" i="1"/>
  <c r="B726" i="1"/>
  <c r="F726" i="1"/>
  <c r="G726" i="1"/>
  <c r="H726" i="1"/>
  <c r="I726" i="1"/>
  <c r="J726" i="1"/>
  <c r="K726" i="1"/>
  <c r="L726" i="1"/>
  <c r="M726" i="1"/>
  <c r="N726" i="1"/>
  <c r="A727" i="1"/>
  <c r="B727" i="1"/>
  <c r="F727" i="1"/>
  <c r="G727" i="1"/>
  <c r="H727" i="1"/>
  <c r="I727" i="1"/>
  <c r="J727" i="1"/>
  <c r="K727" i="1"/>
  <c r="L727" i="1"/>
  <c r="M727" i="1"/>
  <c r="N727" i="1"/>
  <c r="A728" i="1"/>
  <c r="B728" i="1"/>
  <c r="F728" i="1"/>
  <c r="G728" i="1"/>
  <c r="H728" i="1"/>
  <c r="I728" i="1"/>
  <c r="J728" i="1"/>
  <c r="K728" i="1"/>
  <c r="L728" i="1"/>
  <c r="M728" i="1"/>
  <c r="N728" i="1"/>
  <c r="A729" i="1"/>
  <c r="B729" i="1"/>
  <c r="F729" i="1"/>
  <c r="G729" i="1"/>
  <c r="H729" i="1"/>
  <c r="I729" i="1"/>
  <c r="J729" i="1"/>
  <c r="K729" i="1"/>
  <c r="L729" i="1"/>
  <c r="M729" i="1"/>
  <c r="N729" i="1"/>
  <c r="A730" i="1"/>
  <c r="B730" i="1"/>
  <c r="F730" i="1"/>
  <c r="G730" i="1"/>
  <c r="H730" i="1"/>
  <c r="I730" i="1"/>
  <c r="J730" i="1"/>
  <c r="K730" i="1"/>
  <c r="L730" i="1"/>
  <c r="M730" i="1"/>
  <c r="N730" i="1"/>
  <c r="A731" i="1"/>
  <c r="B731" i="1"/>
  <c r="F731" i="1"/>
  <c r="G731" i="1"/>
  <c r="H731" i="1"/>
  <c r="I731" i="1"/>
  <c r="J731" i="1"/>
  <c r="K731" i="1"/>
  <c r="L731" i="1"/>
  <c r="M731" i="1"/>
  <c r="N731" i="1"/>
  <c r="A732" i="1"/>
  <c r="B732" i="1"/>
  <c r="F732" i="1"/>
  <c r="G732" i="1"/>
  <c r="H732" i="1"/>
  <c r="I732" i="1"/>
  <c r="J732" i="1"/>
  <c r="K732" i="1"/>
  <c r="L732" i="1"/>
  <c r="M732" i="1"/>
  <c r="N732" i="1"/>
  <c r="A733" i="1"/>
  <c r="B733" i="1"/>
  <c r="F733" i="1"/>
  <c r="G733" i="1"/>
  <c r="H733" i="1"/>
  <c r="I733" i="1"/>
  <c r="J733" i="1"/>
  <c r="K733" i="1"/>
  <c r="L733" i="1"/>
  <c r="M733" i="1"/>
  <c r="N733" i="1"/>
  <c r="A734" i="1"/>
  <c r="B734" i="1"/>
  <c r="G734" i="1"/>
  <c r="H734" i="1"/>
  <c r="I734" i="1"/>
  <c r="J734" i="1"/>
  <c r="K734" i="1"/>
  <c r="L734" i="1"/>
  <c r="M734" i="1"/>
  <c r="N734" i="1"/>
  <c r="A735" i="1"/>
  <c r="B735" i="1"/>
  <c r="G735" i="1"/>
  <c r="H735" i="1"/>
  <c r="I735" i="1"/>
  <c r="J735" i="1"/>
  <c r="K735" i="1"/>
  <c r="L735" i="1"/>
  <c r="M735" i="1"/>
  <c r="N735" i="1"/>
  <c r="A736" i="1"/>
  <c r="B736" i="1"/>
  <c r="G736" i="1"/>
  <c r="H736" i="1"/>
  <c r="I736" i="1"/>
  <c r="J736" i="1"/>
  <c r="K736" i="1"/>
  <c r="L736" i="1"/>
  <c r="M736" i="1"/>
  <c r="N736" i="1"/>
  <c r="A737" i="1"/>
  <c r="B737" i="1"/>
  <c r="G737" i="1"/>
  <c r="H737" i="1"/>
  <c r="I737" i="1"/>
  <c r="J737" i="1"/>
  <c r="K737" i="1"/>
  <c r="L737" i="1"/>
  <c r="M737" i="1"/>
  <c r="N737" i="1"/>
  <c r="A738" i="1"/>
  <c r="B738" i="1"/>
  <c r="G738" i="1"/>
  <c r="H738" i="1"/>
  <c r="I738" i="1"/>
  <c r="J738" i="1"/>
  <c r="K738" i="1"/>
  <c r="L738" i="1"/>
  <c r="M738" i="1"/>
  <c r="N738" i="1"/>
  <c r="A739" i="1"/>
  <c r="B739" i="1"/>
  <c r="G739" i="1"/>
  <c r="H739" i="1"/>
  <c r="I739" i="1"/>
  <c r="J739" i="1"/>
  <c r="K739" i="1"/>
  <c r="L739" i="1"/>
  <c r="M739" i="1"/>
  <c r="N739" i="1"/>
  <c r="A740" i="1"/>
  <c r="B740" i="1"/>
  <c r="G740" i="1"/>
  <c r="H740" i="1"/>
  <c r="I740" i="1"/>
  <c r="J740" i="1"/>
  <c r="K740" i="1"/>
  <c r="L740" i="1"/>
  <c r="M740" i="1"/>
  <c r="N740" i="1"/>
  <c r="A741" i="1"/>
  <c r="B741" i="1"/>
  <c r="G741" i="1"/>
  <c r="H741" i="1"/>
  <c r="I741" i="1"/>
  <c r="J741" i="1"/>
  <c r="K741" i="1"/>
  <c r="L741" i="1"/>
  <c r="M741" i="1"/>
  <c r="N741" i="1"/>
  <c r="A742" i="1"/>
  <c r="B742" i="1"/>
  <c r="G742" i="1"/>
  <c r="H742" i="1"/>
  <c r="I742" i="1"/>
  <c r="J742" i="1"/>
  <c r="K742" i="1"/>
  <c r="L742" i="1"/>
  <c r="M742" i="1"/>
  <c r="N742" i="1"/>
  <c r="A743" i="1"/>
  <c r="B743" i="1"/>
  <c r="G743" i="1"/>
  <c r="H743" i="1"/>
  <c r="I743" i="1"/>
  <c r="J743" i="1"/>
  <c r="K743" i="1"/>
  <c r="L743" i="1"/>
  <c r="M743" i="1"/>
  <c r="N743" i="1"/>
  <c r="A744" i="1"/>
  <c r="B744" i="1"/>
  <c r="G744" i="1"/>
  <c r="H744" i="1"/>
  <c r="I744" i="1"/>
  <c r="J744" i="1"/>
  <c r="K744" i="1"/>
  <c r="L744" i="1"/>
  <c r="M744" i="1"/>
  <c r="N744" i="1"/>
  <c r="A745" i="1"/>
  <c r="B745" i="1"/>
  <c r="G745" i="1"/>
  <c r="H745" i="1"/>
  <c r="I745" i="1"/>
  <c r="J745" i="1"/>
  <c r="K745" i="1"/>
  <c r="L745" i="1"/>
  <c r="M745" i="1"/>
  <c r="N745" i="1"/>
  <c r="A746" i="1"/>
  <c r="B746" i="1"/>
  <c r="G746" i="1"/>
  <c r="H746" i="1"/>
  <c r="I746" i="1"/>
  <c r="J746" i="1"/>
  <c r="K746" i="1"/>
  <c r="L746" i="1"/>
  <c r="M746" i="1"/>
  <c r="N746" i="1"/>
  <c r="A747" i="1"/>
  <c r="B747" i="1"/>
  <c r="G747" i="1"/>
  <c r="H747" i="1"/>
  <c r="I747" i="1"/>
  <c r="J747" i="1"/>
  <c r="K747" i="1"/>
  <c r="L747" i="1"/>
  <c r="M747" i="1"/>
  <c r="N747" i="1"/>
  <c r="A748" i="1"/>
  <c r="B748" i="1"/>
  <c r="G748" i="1"/>
  <c r="H748" i="1"/>
  <c r="I748" i="1"/>
  <c r="J748" i="1"/>
  <c r="K748" i="1"/>
  <c r="L748" i="1"/>
  <c r="M748" i="1"/>
  <c r="N748" i="1"/>
  <c r="A749" i="1"/>
  <c r="B749" i="1"/>
  <c r="G749" i="1"/>
  <c r="H749" i="1"/>
  <c r="I749" i="1"/>
  <c r="J749" i="1"/>
  <c r="K749" i="1"/>
  <c r="L749" i="1"/>
  <c r="M749" i="1"/>
  <c r="N749" i="1"/>
  <c r="A750" i="1"/>
  <c r="B750" i="1"/>
  <c r="G750" i="1"/>
  <c r="H750" i="1"/>
  <c r="I750" i="1"/>
  <c r="J750" i="1"/>
  <c r="K750" i="1"/>
  <c r="L750" i="1"/>
  <c r="M750" i="1"/>
  <c r="N750" i="1"/>
  <c r="A751" i="1"/>
  <c r="B751" i="1"/>
  <c r="F751" i="1"/>
  <c r="G751" i="1"/>
  <c r="H751" i="1"/>
  <c r="I751" i="1"/>
  <c r="J751" i="1"/>
  <c r="K751" i="1"/>
  <c r="L751" i="1"/>
  <c r="M751" i="1"/>
  <c r="N751" i="1"/>
  <c r="A752" i="1"/>
  <c r="B752" i="1"/>
  <c r="F752" i="1"/>
  <c r="G752" i="1"/>
  <c r="H752" i="1"/>
  <c r="I752" i="1"/>
  <c r="J752" i="1"/>
  <c r="K752" i="1"/>
  <c r="L752" i="1"/>
  <c r="M752" i="1"/>
  <c r="N752" i="1"/>
  <c r="A753" i="1"/>
  <c r="B753" i="1"/>
  <c r="F753" i="1"/>
  <c r="G753" i="1"/>
  <c r="H753" i="1"/>
  <c r="I753" i="1"/>
  <c r="J753" i="1"/>
  <c r="K753" i="1"/>
  <c r="L753" i="1"/>
  <c r="M753" i="1"/>
  <c r="N753" i="1"/>
  <c r="A754" i="1"/>
  <c r="B754" i="1"/>
  <c r="F754" i="1"/>
  <c r="G754" i="1"/>
  <c r="H754" i="1"/>
  <c r="I754" i="1"/>
  <c r="J754" i="1"/>
  <c r="K754" i="1"/>
  <c r="L754" i="1"/>
  <c r="M754" i="1"/>
  <c r="N754" i="1"/>
  <c r="A755" i="1"/>
  <c r="B755" i="1"/>
  <c r="F755" i="1"/>
  <c r="G755" i="1"/>
  <c r="H755" i="1"/>
  <c r="I755" i="1"/>
  <c r="J755" i="1"/>
  <c r="K755" i="1"/>
  <c r="L755" i="1"/>
  <c r="M755" i="1"/>
  <c r="N755" i="1"/>
  <c r="A756" i="1"/>
  <c r="B756" i="1"/>
  <c r="F756" i="1"/>
  <c r="G756" i="1"/>
  <c r="H756" i="1"/>
  <c r="I756" i="1"/>
  <c r="J756" i="1"/>
  <c r="K756" i="1"/>
  <c r="L756" i="1"/>
  <c r="M756" i="1"/>
  <c r="N756" i="1"/>
  <c r="A757" i="1"/>
  <c r="B757" i="1"/>
  <c r="F757" i="1"/>
  <c r="G757" i="1"/>
  <c r="H757" i="1"/>
  <c r="I757" i="1"/>
  <c r="J757" i="1"/>
  <c r="K757" i="1"/>
  <c r="L757" i="1"/>
  <c r="M757" i="1"/>
  <c r="N757" i="1"/>
  <c r="A758" i="1"/>
  <c r="B758" i="1"/>
  <c r="F758" i="1"/>
  <c r="G758" i="1"/>
  <c r="H758" i="1"/>
  <c r="I758" i="1"/>
  <c r="J758" i="1"/>
  <c r="K758" i="1"/>
  <c r="L758" i="1"/>
  <c r="M758" i="1"/>
  <c r="N758" i="1"/>
  <c r="A759" i="1"/>
  <c r="B759" i="1"/>
  <c r="F759" i="1"/>
  <c r="G759" i="1"/>
  <c r="H759" i="1"/>
  <c r="I759" i="1"/>
  <c r="J759" i="1"/>
  <c r="K759" i="1"/>
  <c r="L759" i="1"/>
  <c r="M759" i="1"/>
  <c r="N759" i="1"/>
  <c r="A760" i="1"/>
  <c r="B760" i="1"/>
  <c r="F760" i="1"/>
  <c r="G760" i="1"/>
  <c r="H760" i="1"/>
  <c r="I760" i="1"/>
  <c r="J760" i="1"/>
  <c r="K760" i="1"/>
  <c r="L760" i="1"/>
  <c r="M760" i="1"/>
  <c r="N760" i="1"/>
  <c r="A761" i="1"/>
  <c r="B761" i="1"/>
  <c r="F761" i="1"/>
  <c r="G761" i="1"/>
  <c r="H761" i="1"/>
  <c r="I761" i="1"/>
  <c r="J761" i="1"/>
  <c r="K761" i="1"/>
  <c r="L761" i="1"/>
  <c r="M761" i="1"/>
  <c r="N761" i="1"/>
  <c r="A762" i="1"/>
  <c r="B762" i="1"/>
  <c r="F762" i="1"/>
  <c r="G762" i="1"/>
  <c r="H762" i="1"/>
  <c r="I762" i="1"/>
  <c r="J762" i="1"/>
  <c r="K762" i="1"/>
  <c r="L762" i="1"/>
  <c r="M762" i="1"/>
  <c r="N762" i="1"/>
  <c r="A763" i="1"/>
  <c r="B763" i="1"/>
  <c r="F763" i="1"/>
  <c r="G763" i="1"/>
  <c r="H763" i="1"/>
  <c r="I763" i="1"/>
  <c r="J763" i="1"/>
  <c r="K763" i="1"/>
  <c r="L763" i="1"/>
  <c r="M763" i="1"/>
  <c r="N763" i="1"/>
  <c r="A764" i="1"/>
  <c r="B764" i="1"/>
  <c r="F764" i="1"/>
  <c r="G764" i="1"/>
  <c r="H764" i="1"/>
  <c r="I764" i="1"/>
  <c r="J764" i="1"/>
  <c r="K764" i="1"/>
  <c r="L764" i="1"/>
  <c r="M764" i="1"/>
  <c r="N764" i="1"/>
  <c r="A765" i="1"/>
  <c r="B765" i="1"/>
  <c r="F765" i="1"/>
  <c r="G765" i="1"/>
  <c r="H765" i="1"/>
  <c r="I765" i="1"/>
  <c r="J765" i="1"/>
  <c r="K765" i="1"/>
  <c r="L765" i="1"/>
  <c r="M765" i="1"/>
  <c r="N765" i="1"/>
  <c r="A766" i="1"/>
  <c r="B766" i="1"/>
  <c r="F766" i="1"/>
  <c r="G766" i="1"/>
  <c r="H766" i="1"/>
  <c r="I766" i="1"/>
  <c r="J766" i="1"/>
  <c r="K766" i="1"/>
  <c r="L766" i="1"/>
  <c r="M766" i="1"/>
  <c r="N766" i="1"/>
  <c r="A767" i="1"/>
  <c r="B767" i="1"/>
  <c r="F767" i="1"/>
  <c r="G767" i="1"/>
  <c r="H767" i="1"/>
  <c r="I767" i="1"/>
  <c r="J767" i="1"/>
  <c r="K767" i="1"/>
  <c r="L767" i="1"/>
  <c r="M767" i="1"/>
  <c r="N767" i="1"/>
  <c r="A768" i="1"/>
  <c r="B768" i="1"/>
  <c r="F768" i="1"/>
  <c r="G768" i="1"/>
  <c r="H768" i="1"/>
  <c r="I768" i="1"/>
  <c r="J768" i="1"/>
  <c r="K768" i="1"/>
  <c r="L768" i="1"/>
  <c r="M768" i="1"/>
  <c r="N768" i="1"/>
  <c r="A769" i="1"/>
  <c r="B769" i="1"/>
  <c r="F769" i="1"/>
  <c r="G769" i="1"/>
  <c r="H769" i="1"/>
  <c r="I769" i="1"/>
  <c r="J769" i="1"/>
  <c r="K769" i="1"/>
  <c r="L769" i="1"/>
  <c r="M769" i="1"/>
  <c r="N769" i="1"/>
  <c r="A770" i="1"/>
  <c r="B770" i="1"/>
  <c r="F770" i="1"/>
  <c r="G770" i="1"/>
  <c r="H770" i="1"/>
  <c r="I770" i="1"/>
  <c r="J770" i="1"/>
  <c r="K770" i="1"/>
  <c r="L770" i="1"/>
  <c r="M770" i="1"/>
  <c r="N770" i="1"/>
  <c r="A771" i="1"/>
  <c r="B771" i="1"/>
  <c r="F771" i="1"/>
  <c r="G771" i="1"/>
  <c r="H771" i="1"/>
  <c r="I771" i="1"/>
  <c r="J771" i="1"/>
  <c r="K771" i="1"/>
  <c r="L771" i="1"/>
  <c r="M771" i="1"/>
  <c r="N771" i="1"/>
  <c r="A772" i="1"/>
  <c r="B772" i="1"/>
  <c r="F772" i="1"/>
  <c r="G772" i="1"/>
  <c r="H772" i="1"/>
  <c r="I772" i="1"/>
  <c r="J772" i="1"/>
  <c r="K772" i="1"/>
  <c r="L772" i="1"/>
  <c r="M772" i="1"/>
  <c r="N772" i="1"/>
  <c r="A773" i="1"/>
  <c r="B773" i="1"/>
  <c r="F773" i="1"/>
  <c r="G773" i="1"/>
  <c r="H773" i="1"/>
  <c r="I773" i="1"/>
  <c r="J773" i="1"/>
  <c r="K773" i="1"/>
  <c r="L773" i="1"/>
  <c r="M773" i="1"/>
  <c r="N773" i="1"/>
  <c r="A774" i="1"/>
  <c r="B774" i="1"/>
  <c r="F774" i="1"/>
  <c r="G774" i="1"/>
  <c r="H774" i="1"/>
  <c r="I774" i="1"/>
  <c r="J774" i="1"/>
  <c r="K774" i="1"/>
  <c r="L774" i="1"/>
  <c r="M774" i="1"/>
  <c r="N774" i="1"/>
  <c r="A775" i="1"/>
  <c r="B775" i="1"/>
  <c r="F775" i="1"/>
  <c r="G775" i="1"/>
  <c r="H775" i="1"/>
  <c r="I775" i="1"/>
  <c r="J775" i="1"/>
  <c r="K775" i="1"/>
  <c r="L775" i="1"/>
  <c r="M775" i="1"/>
  <c r="N775" i="1"/>
  <c r="A776" i="1"/>
  <c r="B776" i="1"/>
  <c r="F776" i="1"/>
  <c r="G776" i="1"/>
  <c r="H776" i="1"/>
  <c r="I776" i="1"/>
  <c r="J776" i="1"/>
  <c r="K776" i="1"/>
  <c r="L776" i="1"/>
  <c r="M776" i="1"/>
  <c r="N776" i="1"/>
  <c r="A777" i="1"/>
  <c r="B777" i="1"/>
  <c r="F777" i="1"/>
  <c r="G777" i="1"/>
  <c r="H777" i="1"/>
  <c r="I777" i="1"/>
  <c r="J777" i="1"/>
  <c r="K777" i="1"/>
  <c r="L777" i="1"/>
  <c r="M777" i="1"/>
  <c r="N777" i="1"/>
  <c r="A778" i="1"/>
  <c r="B778" i="1"/>
  <c r="F778" i="1"/>
  <c r="G778" i="1"/>
  <c r="H778" i="1"/>
  <c r="I778" i="1"/>
  <c r="J778" i="1"/>
  <c r="K778" i="1"/>
  <c r="L778" i="1"/>
  <c r="M778" i="1"/>
  <c r="N778" i="1"/>
  <c r="A779" i="1"/>
  <c r="B779" i="1"/>
  <c r="F779" i="1"/>
  <c r="G779" i="1"/>
  <c r="H779" i="1"/>
  <c r="I779" i="1"/>
  <c r="J779" i="1"/>
  <c r="K779" i="1"/>
  <c r="L779" i="1"/>
  <c r="M779" i="1"/>
  <c r="N779" i="1"/>
  <c r="A780" i="1"/>
  <c r="B780" i="1"/>
  <c r="F780" i="1"/>
  <c r="G780" i="1"/>
  <c r="H780" i="1"/>
  <c r="I780" i="1"/>
  <c r="J780" i="1"/>
  <c r="K780" i="1"/>
  <c r="L780" i="1"/>
  <c r="M780" i="1"/>
  <c r="N780" i="1"/>
  <c r="A781" i="1"/>
  <c r="B781" i="1"/>
  <c r="F781" i="1"/>
  <c r="G781" i="1"/>
  <c r="H781" i="1"/>
  <c r="I781" i="1"/>
  <c r="J781" i="1"/>
  <c r="K781" i="1"/>
  <c r="L781" i="1"/>
  <c r="M781" i="1"/>
  <c r="N781" i="1"/>
  <c r="A782" i="1"/>
  <c r="B782" i="1"/>
  <c r="F782" i="1"/>
  <c r="G782" i="1"/>
  <c r="H782" i="1"/>
  <c r="I782" i="1"/>
  <c r="J782" i="1"/>
  <c r="K782" i="1"/>
  <c r="L782" i="1"/>
  <c r="M782" i="1"/>
  <c r="N782" i="1"/>
  <c r="A783" i="1"/>
  <c r="B783" i="1"/>
  <c r="F783" i="1"/>
  <c r="G783" i="1"/>
  <c r="H783" i="1"/>
  <c r="I783" i="1"/>
  <c r="J783" i="1"/>
  <c r="K783" i="1"/>
  <c r="L783" i="1"/>
  <c r="M783" i="1"/>
  <c r="N783" i="1"/>
  <c r="A784" i="1"/>
  <c r="B784" i="1"/>
  <c r="F784" i="1"/>
  <c r="G784" i="1"/>
  <c r="H784" i="1"/>
  <c r="I784" i="1"/>
  <c r="J784" i="1"/>
  <c r="K784" i="1"/>
  <c r="L784" i="1"/>
  <c r="M784" i="1"/>
  <c r="N784" i="1"/>
  <c r="A785" i="1"/>
  <c r="B785" i="1"/>
  <c r="F785" i="1"/>
  <c r="G785" i="1"/>
  <c r="H785" i="1"/>
  <c r="I785" i="1"/>
  <c r="J785" i="1"/>
  <c r="K785" i="1"/>
  <c r="L785" i="1"/>
  <c r="M785" i="1"/>
  <c r="N785" i="1"/>
  <c r="A786" i="1"/>
  <c r="B786" i="1"/>
  <c r="F786" i="1"/>
  <c r="G786" i="1"/>
  <c r="H786" i="1"/>
  <c r="I786" i="1"/>
  <c r="J786" i="1"/>
  <c r="K786" i="1"/>
  <c r="L786" i="1"/>
  <c r="M786" i="1"/>
  <c r="N786" i="1"/>
  <c r="A787" i="1"/>
  <c r="B787" i="1"/>
  <c r="F787" i="1"/>
  <c r="G787" i="1"/>
  <c r="H787" i="1"/>
  <c r="I787" i="1"/>
  <c r="J787" i="1"/>
  <c r="K787" i="1"/>
  <c r="L787" i="1"/>
  <c r="M787" i="1"/>
  <c r="N787" i="1"/>
  <c r="A788" i="1"/>
  <c r="B788" i="1"/>
  <c r="F788" i="1"/>
  <c r="G788" i="1"/>
  <c r="H788" i="1"/>
  <c r="I788" i="1"/>
  <c r="J788" i="1"/>
  <c r="K788" i="1"/>
  <c r="L788" i="1"/>
  <c r="M788" i="1"/>
  <c r="N788" i="1"/>
  <c r="A789" i="1"/>
  <c r="B789" i="1"/>
  <c r="F789" i="1"/>
  <c r="G789" i="1"/>
  <c r="H789" i="1"/>
  <c r="I789" i="1"/>
  <c r="J789" i="1"/>
  <c r="K789" i="1"/>
  <c r="L789" i="1"/>
  <c r="M789" i="1"/>
  <c r="N789" i="1"/>
  <c r="A790" i="1"/>
  <c r="B790" i="1"/>
  <c r="F790" i="1"/>
  <c r="G790" i="1"/>
  <c r="H790" i="1"/>
  <c r="I790" i="1"/>
  <c r="J790" i="1"/>
  <c r="K790" i="1"/>
  <c r="L790" i="1"/>
  <c r="M790" i="1"/>
  <c r="N790" i="1"/>
  <c r="A791" i="1"/>
  <c r="B791" i="1"/>
  <c r="F791" i="1"/>
  <c r="G791" i="1"/>
  <c r="H791" i="1"/>
  <c r="I791" i="1"/>
  <c r="J791" i="1"/>
  <c r="K791" i="1"/>
  <c r="L791" i="1"/>
  <c r="M791" i="1"/>
  <c r="N791" i="1"/>
  <c r="A792" i="1"/>
  <c r="B792" i="1"/>
  <c r="F792" i="1"/>
  <c r="G792" i="1"/>
  <c r="H792" i="1"/>
  <c r="I792" i="1"/>
  <c r="J792" i="1"/>
  <c r="K792" i="1"/>
  <c r="L792" i="1"/>
  <c r="M792" i="1"/>
  <c r="N792" i="1"/>
  <c r="A793" i="1"/>
  <c r="B793" i="1"/>
  <c r="F793" i="1"/>
  <c r="G793" i="1"/>
  <c r="H793" i="1"/>
  <c r="I793" i="1"/>
  <c r="J793" i="1"/>
  <c r="K793" i="1"/>
  <c r="L793" i="1"/>
  <c r="M793" i="1"/>
  <c r="N793" i="1"/>
  <c r="A794" i="1"/>
  <c r="B794" i="1"/>
  <c r="F794" i="1"/>
  <c r="G794" i="1"/>
  <c r="H794" i="1"/>
  <c r="I794" i="1"/>
  <c r="J794" i="1"/>
  <c r="K794" i="1"/>
  <c r="L794" i="1"/>
  <c r="M794" i="1"/>
  <c r="N794" i="1"/>
  <c r="A795" i="1"/>
  <c r="B795" i="1"/>
  <c r="F795" i="1"/>
  <c r="G795" i="1"/>
  <c r="H795" i="1"/>
  <c r="I795" i="1"/>
  <c r="J795" i="1"/>
  <c r="K795" i="1"/>
  <c r="L795" i="1"/>
  <c r="M795" i="1"/>
  <c r="N795" i="1"/>
  <c r="A796" i="1"/>
  <c r="B796" i="1"/>
  <c r="F796" i="1"/>
  <c r="G796" i="1"/>
  <c r="H796" i="1"/>
  <c r="I796" i="1"/>
  <c r="J796" i="1"/>
  <c r="K796" i="1"/>
  <c r="L796" i="1"/>
  <c r="M796" i="1"/>
  <c r="N796" i="1"/>
  <c r="A797" i="1"/>
  <c r="B797" i="1"/>
  <c r="F797" i="1"/>
  <c r="G797" i="1"/>
  <c r="H797" i="1"/>
  <c r="I797" i="1"/>
  <c r="J797" i="1"/>
  <c r="K797" i="1"/>
  <c r="L797" i="1"/>
  <c r="M797" i="1"/>
  <c r="N797" i="1"/>
  <c r="A798" i="1"/>
  <c r="B798" i="1"/>
  <c r="F798" i="1"/>
  <c r="G798" i="1"/>
  <c r="H798" i="1"/>
  <c r="I798" i="1"/>
  <c r="J798" i="1"/>
  <c r="K798" i="1"/>
  <c r="L798" i="1"/>
  <c r="M798" i="1"/>
  <c r="N798" i="1"/>
  <c r="A799" i="1"/>
  <c r="B799" i="1"/>
  <c r="F799" i="1"/>
  <c r="G799" i="1"/>
  <c r="H799" i="1"/>
  <c r="I799" i="1"/>
  <c r="J799" i="1"/>
  <c r="K799" i="1"/>
  <c r="L799" i="1"/>
  <c r="M799" i="1"/>
  <c r="N799" i="1"/>
  <c r="A800" i="1"/>
  <c r="B800" i="1"/>
  <c r="F800" i="1"/>
  <c r="G800" i="1"/>
  <c r="H800" i="1"/>
  <c r="I800" i="1"/>
  <c r="J800" i="1"/>
  <c r="K800" i="1"/>
  <c r="L800" i="1"/>
  <c r="M800" i="1"/>
  <c r="N800" i="1"/>
  <c r="A801" i="1"/>
  <c r="B801" i="1"/>
  <c r="F801" i="1"/>
  <c r="G801" i="1"/>
  <c r="H801" i="1"/>
  <c r="I801" i="1"/>
  <c r="J801" i="1"/>
  <c r="K801" i="1"/>
  <c r="L801" i="1"/>
  <c r="M801" i="1"/>
  <c r="N801" i="1"/>
  <c r="A802" i="1"/>
  <c r="B802" i="1"/>
  <c r="F802" i="1"/>
  <c r="G802" i="1"/>
  <c r="H802" i="1"/>
  <c r="I802" i="1"/>
  <c r="J802" i="1"/>
  <c r="K802" i="1"/>
  <c r="L802" i="1"/>
  <c r="M802" i="1"/>
  <c r="N802" i="1"/>
  <c r="A803" i="1"/>
  <c r="B803" i="1"/>
  <c r="F803" i="1"/>
  <c r="G803" i="1"/>
  <c r="H803" i="1"/>
  <c r="I803" i="1"/>
  <c r="J803" i="1"/>
  <c r="K803" i="1"/>
  <c r="L803" i="1"/>
  <c r="M803" i="1"/>
  <c r="N803" i="1"/>
  <c r="A804" i="1"/>
  <c r="B804" i="1"/>
  <c r="F804" i="1"/>
  <c r="G804" i="1"/>
  <c r="H804" i="1"/>
  <c r="I804" i="1"/>
  <c r="J804" i="1"/>
  <c r="K804" i="1"/>
  <c r="L804" i="1"/>
  <c r="M804" i="1"/>
  <c r="N804" i="1"/>
  <c r="A805" i="1"/>
  <c r="B805" i="1"/>
  <c r="F805" i="1"/>
  <c r="G805" i="1"/>
  <c r="H805" i="1"/>
  <c r="I805" i="1"/>
  <c r="J805" i="1"/>
  <c r="K805" i="1"/>
  <c r="L805" i="1"/>
  <c r="M805" i="1"/>
  <c r="N805" i="1"/>
  <c r="A806" i="1"/>
  <c r="B806" i="1"/>
  <c r="F806" i="1"/>
  <c r="G806" i="1"/>
  <c r="H806" i="1"/>
  <c r="I806" i="1"/>
  <c r="J806" i="1"/>
  <c r="K806" i="1"/>
  <c r="L806" i="1"/>
  <c r="M806" i="1"/>
  <c r="N806" i="1"/>
  <c r="A807" i="1"/>
  <c r="B807" i="1"/>
  <c r="F807" i="1"/>
  <c r="G807" i="1"/>
  <c r="H807" i="1"/>
  <c r="I807" i="1"/>
  <c r="J807" i="1"/>
  <c r="K807" i="1"/>
  <c r="L807" i="1"/>
  <c r="M807" i="1"/>
  <c r="N807" i="1"/>
  <c r="A808" i="1"/>
  <c r="B808" i="1"/>
  <c r="F808" i="1"/>
  <c r="G808" i="1"/>
  <c r="H808" i="1"/>
  <c r="I808" i="1"/>
  <c r="J808" i="1"/>
  <c r="K808" i="1"/>
  <c r="L808" i="1"/>
  <c r="M808" i="1"/>
  <c r="N808" i="1"/>
  <c r="A809" i="1"/>
  <c r="B809" i="1"/>
  <c r="F809" i="1"/>
  <c r="G809" i="1"/>
  <c r="H809" i="1"/>
  <c r="I809" i="1"/>
  <c r="J809" i="1"/>
  <c r="K809" i="1"/>
  <c r="L809" i="1"/>
  <c r="M809" i="1"/>
  <c r="N809" i="1"/>
  <c r="A810" i="1"/>
  <c r="B810" i="1"/>
  <c r="F810" i="1"/>
  <c r="G810" i="1"/>
  <c r="H810" i="1"/>
  <c r="I810" i="1"/>
  <c r="J810" i="1"/>
  <c r="K810" i="1"/>
  <c r="L810" i="1"/>
  <c r="M810" i="1"/>
  <c r="N810" i="1"/>
  <c r="A811" i="1"/>
  <c r="B811" i="1"/>
  <c r="F811" i="1"/>
  <c r="G811" i="1"/>
  <c r="H811" i="1"/>
  <c r="I811" i="1"/>
  <c r="J811" i="1"/>
  <c r="K811" i="1"/>
  <c r="L811" i="1"/>
  <c r="M811" i="1"/>
  <c r="N811" i="1"/>
  <c r="A812" i="1"/>
  <c r="B812" i="1"/>
  <c r="F812" i="1"/>
  <c r="G812" i="1"/>
  <c r="H812" i="1"/>
  <c r="I812" i="1"/>
  <c r="J812" i="1"/>
  <c r="K812" i="1"/>
  <c r="L812" i="1"/>
  <c r="M812" i="1"/>
  <c r="N812" i="1"/>
  <c r="A813" i="1"/>
  <c r="B813" i="1"/>
  <c r="F813" i="1"/>
  <c r="G813" i="1"/>
  <c r="H813" i="1"/>
  <c r="I813" i="1"/>
  <c r="J813" i="1"/>
  <c r="K813" i="1"/>
  <c r="L813" i="1"/>
  <c r="M813" i="1"/>
  <c r="N813" i="1"/>
  <c r="A814" i="1"/>
  <c r="B814" i="1"/>
  <c r="F814" i="1"/>
  <c r="G814" i="1"/>
  <c r="H814" i="1"/>
  <c r="I814" i="1"/>
  <c r="J814" i="1"/>
  <c r="K814" i="1"/>
  <c r="L814" i="1"/>
  <c r="M814" i="1"/>
  <c r="N814" i="1"/>
  <c r="A815" i="1"/>
  <c r="B815" i="1"/>
  <c r="F815" i="1"/>
  <c r="G815" i="1"/>
  <c r="H815" i="1"/>
  <c r="I815" i="1"/>
  <c r="J815" i="1"/>
  <c r="K815" i="1"/>
  <c r="L815" i="1"/>
  <c r="M815" i="1"/>
  <c r="N815" i="1"/>
  <c r="A816" i="1"/>
  <c r="B816" i="1"/>
  <c r="F816" i="1"/>
  <c r="G816" i="1"/>
  <c r="H816" i="1"/>
  <c r="I816" i="1"/>
  <c r="J816" i="1"/>
  <c r="K816" i="1"/>
  <c r="L816" i="1"/>
  <c r="M816" i="1"/>
  <c r="N816" i="1"/>
  <c r="A817" i="1"/>
  <c r="B817" i="1"/>
  <c r="F817" i="1"/>
  <c r="G817" i="1"/>
  <c r="H817" i="1"/>
  <c r="I817" i="1"/>
  <c r="J817" i="1"/>
  <c r="K817" i="1"/>
  <c r="L817" i="1"/>
  <c r="M817" i="1"/>
  <c r="N817" i="1"/>
  <c r="A818" i="1"/>
  <c r="B818" i="1"/>
  <c r="F818" i="1"/>
  <c r="G818" i="1"/>
  <c r="H818" i="1"/>
  <c r="I818" i="1"/>
  <c r="J818" i="1"/>
  <c r="K818" i="1"/>
  <c r="L818" i="1"/>
  <c r="M818" i="1"/>
  <c r="N818" i="1"/>
  <c r="A819" i="1"/>
  <c r="B819" i="1"/>
  <c r="F819" i="1"/>
  <c r="G819" i="1"/>
  <c r="H819" i="1"/>
  <c r="I819" i="1"/>
  <c r="J819" i="1"/>
  <c r="K819" i="1"/>
  <c r="L819" i="1"/>
  <c r="M819" i="1"/>
  <c r="N819" i="1"/>
  <c r="A820" i="1"/>
  <c r="B820" i="1"/>
  <c r="F820" i="1"/>
  <c r="G820" i="1"/>
  <c r="H820" i="1"/>
  <c r="I820" i="1"/>
  <c r="J820" i="1"/>
  <c r="K820" i="1"/>
  <c r="L820" i="1"/>
  <c r="M820" i="1"/>
  <c r="N820" i="1"/>
  <c r="A821" i="1"/>
  <c r="B821" i="1"/>
  <c r="F821" i="1"/>
  <c r="G821" i="1"/>
  <c r="H821" i="1"/>
  <c r="I821" i="1"/>
  <c r="J821" i="1"/>
  <c r="K821" i="1"/>
  <c r="L821" i="1"/>
  <c r="M821" i="1"/>
  <c r="N821" i="1"/>
  <c r="A822" i="1"/>
  <c r="B822" i="1"/>
  <c r="F822" i="1"/>
  <c r="G822" i="1"/>
  <c r="H822" i="1"/>
  <c r="I822" i="1"/>
  <c r="J822" i="1"/>
  <c r="K822" i="1"/>
  <c r="L822" i="1"/>
  <c r="M822" i="1"/>
  <c r="N822" i="1"/>
  <c r="A823" i="1"/>
  <c r="B823" i="1"/>
  <c r="F823" i="1"/>
  <c r="G823" i="1"/>
  <c r="H823" i="1"/>
  <c r="I823" i="1"/>
  <c r="J823" i="1"/>
  <c r="K823" i="1"/>
  <c r="L823" i="1"/>
  <c r="M823" i="1"/>
  <c r="N823" i="1"/>
  <c r="A824" i="1"/>
  <c r="B824" i="1"/>
  <c r="F824" i="1"/>
  <c r="G824" i="1"/>
  <c r="H824" i="1"/>
  <c r="I824" i="1"/>
  <c r="J824" i="1"/>
  <c r="K824" i="1"/>
  <c r="L824" i="1"/>
  <c r="M824" i="1"/>
  <c r="N824" i="1"/>
  <c r="A825" i="1"/>
  <c r="B825" i="1"/>
  <c r="F825" i="1"/>
  <c r="G825" i="1"/>
  <c r="H825" i="1"/>
  <c r="I825" i="1"/>
  <c r="J825" i="1"/>
  <c r="K825" i="1"/>
  <c r="L825" i="1"/>
  <c r="M825" i="1"/>
  <c r="N825" i="1"/>
  <c r="A826" i="1"/>
  <c r="B826" i="1"/>
  <c r="F826" i="1"/>
  <c r="G826" i="1"/>
  <c r="H826" i="1"/>
  <c r="I826" i="1"/>
  <c r="J826" i="1"/>
  <c r="K826" i="1"/>
  <c r="L826" i="1"/>
  <c r="M826" i="1"/>
  <c r="N826" i="1"/>
  <c r="A827" i="1"/>
  <c r="B827" i="1"/>
  <c r="F827" i="1"/>
  <c r="G827" i="1"/>
  <c r="H827" i="1"/>
  <c r="I827" i="1"/>
  <c r="J827" i="1"/>
  <c r="K827" i="1"/>
  <c r="L827" i="1"/>
  <c r="M827" i="1"/>
  <c r="N827" i="1"/>
  <c r="A828" i="1"/>
  <c r="B828" i="1"/>
  <c r="F828" i="1"/>
  <c r="G828" i="1"/>
  <c r="H828" i="1"/>
  <c r="I828" i="1"/>
  <c r="J828" i="1"/>
  <c r="K828" i="1"/>
  <c r="L828" i="1"/>
  <c r="M828" i="1"/>
  <c r="N828" i="1"/>
  <c r="A829" i="1"/>
  <c r="B829" i="1"/>
  <c r="F829" i="1"/>
  <c r="G829" i="1"/>
  <c r="H829" i="1"/>
  <c r="I829" i="1"/>
  <c r="J829" i="1"/>
  <c r="K829" i="1"/>
  <c r="L829" i="1"/>
  <c r="M829" i="1"/>
  <c r="N829" i="1"/>
  <c r="A830" i="1"/>
  <c r="B830" i="1"/>
  <c r="F830" i="1"/>
  <c r="G830" i="1"/>
  <c r="H830" i="1"/>
  <c r="I830" i="1"/>
  <c r="J830" i="1"/>
  <c r="K830" i="1"/>
  <c r="L830" i="1"/>
  <c r="M830" i="1"/>
  <c r="N830" i="1"/>
  <c r="A831" i="1"/>
  <c r="B831" i="1"/>
  <c r="F831" i="1"/>
  <c r="G831" i="1"/>
  <c r="H831" i="1"/>
  <c r="I831" i="1"/>
  <c r="J831" i="1"/>
  <c r="K831" i="1"/>
  <c r="L831" i="1"/>
  <c r="M831" i="1"/>
  <c r="N831" i="1"/>
  <c r="A832" i="1"/>
  <c r="B832" i="1"/>
  <c r="F832" i="1"/>
  <c r="G832" i="1"/>
  <c r="H832" i="1"/>
  <c r="I832" i="1"/>
  <c r="J832" i="1"/>
  <c r="K832" i="1"/>
  <c r="L832" i="1"/>
  <c r="M832" i="1"/>
  <c r="N832" i="1"/>
  <c r="A833" i="1"/>
  <c r="B833" i="1"/>
  <c r="F833" i="1"/>
  <c r="G833" i="1"/>
  <c r="H833" i="1"/>
  <c r="I833" i="1"/>
  <c r="J833" i="1"/>
  <c r="K833" i="1"/>
  <c r="L833" i="1"/>
  <c r="M833" i="1"/>
  <c r="N833" i="1"/>
  <c r="A834" i="1"/>
  <c r="B834" i="1"/>
  <c r="F834" i="1"/>
  <c r="G834" i="1"/>
  <c r="H834" i="1"/>
  <c r="I834" i="1"/>
  <c r="J834" i="1"/>
  <c r="K834" i="1"/>
  <c r="L834" i="1"/>
  <c r="M834" i="1"/>
  <c r="N834" i="1"/>
  <c r="A835" i="1"/>
  <c r="B835" i="1"/>
  <c r="F835" i="1"/>
  <c r="G835" i="1"/>
  <c r="H835" i="1"/>
  <c r="I835" i="1"/>
  <c r="J835" i="1"/>
  <c r="K835" i="1"/>
  <c r="L835" i="1"/>
  <c r="M835" i="1"/>
  <c r="N835" i="1"/>
  <c r="A836" i="1"/>
  <c r="B836" i="1"/>
  <c r="F836" i="1"/>
  <c r="G836" i="1"/>
  <c r="H836" i="1"/>
  <c r="I836" i="1"/>
  <c r="J836" i="1"/>
  <c r="K836" i="1"/>
  <c r="L836" i="1"/>
  <c r="M836" i="1"/>
  <c r="N836" i="1"/>
  <c r="A837" i="1"/>
  <c r="B837" i="1"/>
  <c r="F837" i="1"/>
  <c r="G837" i="1"/>
  <c r="H837" i="1"/>
  <c r="I837" i="1"/>
  <c r="J837" i="1"/>
  <c r="K837" i="1"/>
  <c r="L837" i="1"/>
  <c r="M837" i="1"/>
  <c r="N837" i="1"/>
  <c r="A838" i="1"/>
  <c r="B838" i="1"/>
  <c r="F838" i="1"/>
  <c r="G838" i="1"/>
  <c r="H838" i="1"/>
  <c r="I838" i="1"/>
  <c r="J838" i="1"/>
  <c r="K838" i="1"/>
  <c r="L838" i="1"/>
  <c r="M838" i="1"/>
  <c r="N838" i="1"/>
  <c r="A839" i="1"/>
  <c r="B839" i="1"/>
  <c r="F839" i="1"/>
  <c r="G839" i="1"/>
  <c r="H839" i="1"/>
  <c r="I839" i="1"/>
  <c r="J839" i="1"/>
  <c r="K839" i="1"/>
  <c r="L839" i="1"/>
  <c r="M839" i="1"/>
  <c r="N839" i="1"/>
  <c r="A840" i="1"/>
  <c r="B840" i="1"/>
  <c r="F840" i="1"/>
  <c r="G840" i="1"/>
  <c r="H840" i="1"/>
  <c r="I840" i="1"/>
  <c r="J840" i="1"/>
  <c r="K840" i="1"/>
  <c r="L840" i="1"/>
  <c r="M840" i="1"/>
  <c r="N840" i="1"/>
  <c r="A841" i="1"/>
  <c r="B841" i="1"/>
  <c r="F841" i="1"/>
  <c r="G841" i="1"/>
  <c r="H841" i="1"/>
  <c r="I841" i="1"/>
  <c r="J841" i="1"/>
  <c r="K841" i="1"/>
  <c r="L841" i="1"/>
  <c r="M841" i="1"/>
  <c r="N841" i="1"/>
  <c r="A842" i="1"/>
  <c r="B842" i="1"/>
  <c r="F842" i="1"/>
  <c r="G842" i="1"/>
  <c r="H842" i="1"/>
  <c r="I842" i="1"/>
  <c r="J842" i="1"/>
  <c r="K842" i="1"/>
  <c r="L842" i="1"/>
  <c r="M842" i="1"/>
  <c r="N842" i="1"/>
  <c r="A843" i="1"/>
  <c r="B843" i="1"/>
  <c r="F843" i="1"/>
  <c r="G843" i="1"/>
  <c r="H843" i="1"/>
  <c r="I843" i="1"/>
  <c r="J843" i="1"/>
  <c r="K843" i="1"/>
  <c r="L843" i="1"/>
  <c r="M843" i="1"/>
  <c r="N843" i="1"/>
  <c r="A844" i="1"/>
  <c r="B844" i="1"/>
  <c r="F844" i="1"/>
  <c r="G844" i="1"/>
  <c r="H844" i="1"/>
  <c r="I844" i="1"/>
  <c r="J844" i="1"/>
  <c r="K844" i="1"/>
  <c r="L844" i="1"/>
  <c r="M844" i="1"/>
  <c r="N844" i="1"/>
  <c r="A845" i="1"/>
  <c r="B845" i="1"/>
  <c r="F845" i="1"/>
  <c r="G845" i="1"/>
  <c r="H845" i="1"/>
  <c r="I845" i="1"/>
  <c r="J845" i="1"/>
  <c r="K845" i="1"/>
  <c r="L845" i="1"/>
  <c r="M845" i="1"/>
  <c r="N845" i="1"/>
  <c r="A846" i="1"/>
  <c r="B846" i="1"/>
  <c r="F846" i="1"/>
  <c r="G846" i="1"/>
  <c r="H846" i="1"/>
  <c r="I846" i="1"/>
  <c r="J846" i="1"/>
  <c r="K846" i="1"/>
  <c r="L846" i="1"/>
  <c r="M846" i="1"/>
  <c r="N846" i="1"/>
  <c r="A847" i="1"/>
  <c r="B847" i="1"/>
  <c r="F847" i="1"/>
  <c r="G847" i="1"/>
  <c r="H847" i="1"/>
  <c r="I847" i="1"/>
  <c r="J847" i="1"/>
  <c r="K847" i="1"/>
  <c r="L847" i="1"/>
  <c r="M847" i="1"/>
  <c r="N847" i="1"/>
  <c r="A848" i="1"/>
  <c r="B848" i="1"/>
  <c r="F848" i="1"/>
  <c r="G848" i="1"/>
  <c r="H848" i="1"/>
  <c r="I848" i="1"/>
  <c r="J848" i="1"/>
  <c r="K848" i="1"/>
  <c r="L848" i="1"/>
  <c r="M848" i="1"/>
  <c r="N848" i="1"/>
  <c r="A849" i="1"/>
  <c r="B849" i="1"/>
  <c r="F849" i="1"/>
  <c r="G849" i="1"/>
  <c r="H849" i="1"/>
  <c r="I849" i="1"/>
  <c r="J849" i="1"/>
  <c r="K849" i="1"/>
  <c r="L849" i="1"/>
  <c r="M849" i="1"/>
  <c r="N849" i="1"/>
  <c r="A850" i="1"/>
  <c r="B850" i="1"/>
  <c r="F850" i="1"/>
  <c r="G850" i="1"/>
  <c r="H850" i="1"/>
  <c r="I850" i="1"/>
  <c r="J850" i="1"/>
  <c r="K850" i="1"/>
  <c r="L850" i="1"/>
  <c r="M850" i="1"/>
  <c r="N850" i="1"/>
  <c r="A851" i="1"/>
  <c r="B851" i="1"/>
  <c r="F851" i="1"/>
  <c r="G851" i="1"/>
  <c r="H851" i="1"/>
  <c r="I851" i="1"/>
  <c r="J851" i="1"/>
  <c r="K851" i="1"/>
  <c r="L851" i="1"/>
  <c r="M851" i="1"/>
  <c r="N851" i="1"/>
  <c r="A852" i="1"/>
  <c r="B852" i="1"/>
  <c r="F852" i="1"/>
  <c r="G852" i="1"/>
  <c r="H852" i="1"/>
  <c r="I852" i="1"/>
  <c r="J852" i="1"/>
  <c r="K852" i="1"/>
  <c r="L852" i="1"/>
  <c r="M852" i="1"/>
  <c r="N852" i="1"/>
  <c r="A853" i="1"/>
  <c r="B853" i="1"/>
  <c r="F853" i="1"/>
  <c r="G853" i="1"/>
  <c r="H853" i="1"/>
  <c r="I853" i="1"/>
  <c r="J853" i="1"/>
  <c r="K853" i="1"/>
  <c r="L853" i="1"/>
  <c r="M853" i="1"/>
  <c r="N853" i="1"/>
  <c r="A854" i="1"/>
  <c r="B854" i="1"/>
  <c r="F854" i="1"/>
  <c r="G854" i="1"/>
  <c r="H854" i="1"/>
  <c r="I854" i="1"/>
  <c r="J854" i="1"/>
  <c r="K854" i="1"/>
  <c r="L854" i="1"/>
  <c r="M854" i="1"/>
  <c r="N854" i="1"/>
  <c r="A855" i="1"/>
  <c r="B855" i="1"/>
  <c r="F855" i="1"/>
  <c r="G855" i="1"/>
  <c r="H855" i="1"/>
  <c r="I855" i="1"/>
  <c r="J855" i="1"/>
  <c r="K855" i="1"/>
  <c r="L855" i="1"/>
  <c r="M855" i="1"/>
  <c r="N855" i="1"/>
  <c r="A856" i="1"/>
  <c r="B856" i="1"/>
  <c r="F856" i="1"/>
  <c r="G856" i="1"/>
  <c r="H856" i="1"/>
  <c r="I856" i="1"/>
  <c r="J856" i="1"/>
  <c r="K856" i="1"/>
  <c r="L856" i="1"/>
  <c r="M856" i="1"/>
  <c r="N856" i="1"/>
  <c r="A857" i="1"/>
  <c r="B857" i="1"/>
  <c r="F857" i="1"/>
  <c r="G857" i="1"/>
  <c r="H857" i="1"/>
  <c r="I857" i="1"/>
  <c r="J857" i="1"/>
  <c r="K857" i="1"/>
  <c r="L857" i="1"/>
  <c r="M857" i="1"/>
  <c r="N857" i="1"/>
  <c r="A858" i="1"/>
  <c r="B858" i="1"/>
  <c r="F858" i="1"/>
  <c r="G858" i="1"/>
  <c r="H858" i="1"/>
  <c r="I858" i="1"/>
  <c r="J858" i="1"/>
  <c r="K858" i="1"/>
  <c r="L858" i="1"/>
  <c r="M858" i="1"/>
  <c r="N858" i="1"/>
  <c r="A859" i="1"/>
  <c r="B859" i="1"/>
  <c r="F859" i="1"/>
  <c r="G859" i="1"/>
  <c r="H859" i="1"/>
  <c r="I859" i="1"/>
  <c r="J859" i="1"/>
  <c r="K859" i="1"/>
  <c r="L859" i="1"/>
  <c r="M859" i="1"/>
  <c r="N859" i="1"/>
  <c r="A860" i="1"/>
  <c r="B860" i="1"/>
  <c r="F860" i="1"/>
  <c r="G860" i="1"/>
  <c r="H860" i="1"/>
  <c r="I860" i="1"/>
  <c r="J860" i="1"/>
  <c r="K860" i="1"/>
  <c r="L860" i="1"/>
  <c r="M860" i="1"/>
  <c r="N860" i="1"/>
  <c r="A861" i="1"/>
  <c r="B861" i="1"/>
  <c r="F861" i="1"/>
  <c r="G861" i="1"/>
  <c r="H861" i="1"/>
  <c r="I861" i="1"/>
  <c r="J861" i="1"/>
  <c r="K861" i="1"/>
  <c r="L861" i="1"/>
  <c r="M861" i="1"/>
  <c r="N861" i="1"/>
  <c r="A862" i="1"/>
  <c r="B862" i="1"/>
  <c r="F862" i="1"/>
  <c r="G862" i="1"/>
  <c r="H862" i="1"/>
  <c r="I862" i="1"/>
  <c r="J862" i="1"/>
  <c r="K862" i="1"/>
  <c r="L862" i="1"/>
  <c r="M862" i="1"/>
  <c r="N862" i="1"/>
  <c r="A863" i="1"/>
  <c r="B863" i="1"/>
  <c r="F863" i="1"/>
  <c r="G863" i="1"/>
  <c r="H863" i="1"/>
  <c r="I863" i="1"/>
  <c r="J863" i="1"/>
  <c r="K863" i="1"/>
  <c r="L863" i="1"/>
  <c r="M863" i="1"/>
  <c r="N863" i="1"/>
  <c r="A864" i="1"/>
  <c r="B864" i="1"/>
  <c r="F864" i="1"/>
  <c r="G864" i="1"/>
  <c r="H864" i="1"/>
  <c r="I864" i="1"/>
  <c r="J864" i="1"/>
  <c r="K864" i="1"/>
  <c r="L864" i="1"/>
  <c r="M864" i="1"/>
  <c r="N864" i="1"/>
  <c r="A865" i="1"/>
  <c r="B865" i="1"/>
  <c r="F865" i="1"/>
  <c r="G865" i="1"/>
  <c r="H865" i="1"/>
  <c r="I865" i="1"/>
  <c r="J865" i="1"/>
  <c r="K865" i="1"/>
  <c r="L865" i="1"/>
  <c r="M865" i="1"/>
  <c r="N865" i="1"/>
  <c r="A866" i="1"/>
  <c r="B866" i="1"/>
  <c r="F866" i="1"/>
  <c r="G866" i="1"/>
  <c r="H866" i="1"/>
  <c r="I866" i="1"/>
  <c r="J866" i="1"/>
  <c r="K866" i="1"/>
  <c r="L866" i="1"/>
  <c r="M866" i="1"/>
  <c r="N866" i="1"/>
  <c r="A867" i="1"/>
  <c r="B867" i="1"/>
  <c r="F867" i="1"/>
  <c r="G867" i="1"/>
  <c r="H867" i="1"/>
  <c r="I867" i="1"/>
  <c r="J867" i="1"/>
  <c r="K867" i="1"/>
  <c r="L867" i="1"/>
  <c r="M867" i="1"/>
  <c r="N867" i="1"/>
  <c r="A868" i="1"/>
  <c r="B868" i="1"/>
  <c r="F868" i="1"/>
  <c r="G868" i="1"/>
  <c r="H868" i="1"/>
  <c r="I868" i="1"/>
  <c r="J868" i="1"/>
  <c r="K868" i="1"/>
  <c r="L868" i="1"/>
  <c r="M868" i="1"/>
  <c r="N868" i="1"/>
  <c r="A869" i="1"/>
  <c r="B869" i="1"/>
  <c r="F869" i="1"/>
  <c r="G869" i="1"/>
  <c r="H869" i="1"/>
  <c r="I869" i="1"/>
  <c r="J869" i="1"/>
  <c r="K869" i="1"/>
  <c r="L869" i="1"/>
  <c r="M869" i="1"/>
  <c r="N869" i="1"/>
  <c r="A870" i="1"/>
  <c r="B870" i="1"/>
  <c r="F870" i="1"/>
  <c r="G870" i="1"/>
  <c r="H870" i="1"/>
  <c r="I870" i="1"/>
  <c r="J870" i="1"/>
  <c r="K870" i="1"/>
  <c r="L870" i="1"/>
  <c r="M870" i="1"/>
  <c r="N870" i="1"/>
  <c r="A871" i="1"/>
  <c r="B871" i="1"/>
  <c r="F871" i="1"/>
  <c r="G871" i="1"/>
  <c r="H871" i="1"/>
  <c r="I871" i="1"/>
  <c r="J871" i="1"/>
  <c r="K871" i="1"/>
  <c r="L871" i="1"/>
  <c r="M871" i="1"/>
  <c r="N871" i="1"/>
  <c r="A872" i="1"/>
  <c r="B872" i="1"/>
  <c r="F872" i="1"/>
  <c r="G872" i="1"/>
  <c r="H872" i="1"/>
  <c r="I872" i="1"/>
  <c r="J872" i="1"/>
  <c r="K872" i="1"/>
  <c r="L872" i="1"/>
  <c r="M872" i="1"/>
  <c r="N872" i="1"/>
  <c r="A873" i="1"/>
  <c r="B873" i="1"/>
  <c r="F873" i="1"/>
  <c r="G873" i="1"/>
  <c r="H873" i="1"/>
  <c r="I873" i="1"/>
  <c r="J873" i="1"/>
  <c r="K873" i="1"/>
  <c r="L873" i="1"/>
  <c r="M873" i="1"/>
  <c r="N873" i="1"/>
  <c r="A874" i="1"/>
  <c r="B874" i="1"/>
  <c r="F874" i="1"/>
  <c r="G874" i="1"/>
  <c r="H874" i="1"/>
  <c r="I874" i="1"/>
  <c r="J874" i="1"/>
  <c r="K874" i="1"/>
  <c r="L874" i="1"/>
  <c r="M874" i="1"/>
  <c r="N874" i="1"/>
  <c r="A875" i="1"/>
  <c r="B875" i="1"/>
  <c r="F875" i="1"/>
  <c r="G875" i="1"/>
  <c r="H875" i="1"/>
  <c r="I875" i="1"/>
  <c r="J875" i="1"/>
  <c r="K875" i="1"/>
  <c r="L875" i="1"/>
  <c r="M875" i="1"/>
  <c r="N875" i="1"/>
  <c r="A876" i="1"/>
  <c r="B876" i="1"/>
  <c r="F876" i="1"/>
  <c r="G876" i="1"/>
  <c r="H876" i="1"/>
  <c r="I876" i="1"/>
  <c r="J876" i="1"/>
  <c r="K876" i="1"/>
  <c r="L876" i="1"/>
  <c r="M876" i="1"/>
  <c r="N876" i="1"/>
  <c r="A877" i="1"/>
  <c r="B877" i="1"/>
  <c r="F877" i="1"/>
  <c r="G877" i="1"/>
  <c r="H877" i="1"/>
  <c r="I877" i="1"/>
  <c r="J877" i="1"/>
  <c r="K877" i="1"/>
  <c r="L877" i="1"/>
  <c r="M877" i="1"/>
  <c r="N877" i="1"/>
  <c r="A878" i="1"/>
  <c r="B878" i="1"/>
  <c r="F878" i="1"/>
  <c r="G878" i="1"/>
  <c r="H878" i="1"/>
  <c r="I878" i="1"/>
  <c r="J878" i="1"/>
  <c r="K878" i="1"/>
  <c r="L878" i="1"/>
  <c r="M878" i="1"/>
  <c r="N878" i="1"/>
  <c r="A879" i="1"/>
  <c r="B879" i="1"/>
  <c r="F879" i="1"/>
  <c r="G879" i="1"/>
  <c r="H879" i="1"/>
  <c r="I879" i="1"/>
  <c r="J879" i="1"/>
  <c r="K879" i="1"/>
  <c r="L879" i="1"/>
  <c r="M879" i="1"/>
  <c r="N879" i="1"/>
  <c r="A880" i="1"/>
  <c r="B880" i="1"/>
  <c r="F880" i="1"/>
  <c r="G880" i="1"/>
  <c r="H880" i="1"/>
  <c r="I880" i="1"/>
  <c r="J880" i="1"/>
  <c r="K880" i="1"/>
  <c r="L880" i="1"/>
  <c r="M880" i="1"/>
  <c r="N880" i="1"/>
  <c r="A881" i="1"/>
  <c r="B881" i="1"/>
  <c r="F881" i="1"/>
  <c r="G881" i="1"/>
  <c r="H881" i="1"/>
  <c r="I881" i="1"/>
  <c r="J881" i="1"/>
  <c r="K881" i="1"/>
  <c r="L881" i="1"/>
  <c r="M881" i="1"/>
  <c r="N881" i="1"/>
  <c r="A882" i="1"/>
  <c r="B882" i="1"/>
  <c r="F882" i="1"/>
  <c r="G882" i="1"/>
  <c r="H882" i="1"/>
  <c r="I882" i="1"/>
  <c r="J882" i="1"/>
  <c r="K882" i="1"/>
  <c r="L882" i="1"/>
  <c r="M882" i="1"/>
  <c r="N882" i="1"/>
  <c r="A883" i="1"/>
  <c r="B883" i="1"/>
  <c r="F883" i="1"/>
  <c r="G883" i="1"/>
  <c r="H883" i="1"/>
  <c r="I883" i="1"/>
  <c r="J883" i="1"/>
  <c r="K883" i="1"/>
  <c r="L883" i="1"/>
  <c r="M883" i="1"/>
  <c r="N883" i="1"/>
  <c r="A884" i="1"/>
  <c r="B884" i="1"/>
  <c r="F884" i="1"/>
  <c r="G884" i="1"/>
  <c r="H884" i="1"/>
  <c r="I884" i="1"/>
  <c r="J884" i="1"/>
  <c r="K884" i="1"/>
  <c r="L884" i="1"/>
  <c r="M884" i="1"/>
  <c r="N884" i="1"/>
  <c r="A885" i="1"/>
  <c r="B885" i="1"/>
  <c r="F885" i="1"/>
  <c r="G885" i="1"/>
  <c r="H885" i="1"/>
  <c r="I885" i="1"/>
  <c r="J885" i="1"/>
  <c r="K885" i="1"/>
  <c r="L885" i="1"/>
  <c r="M885" i="1"/>
  <c r="N885" i="1"/>
  <c r="A886" i="1"/>
  <c r="B886" i="1"/>
  <c r="F886" i="1"/>
  <c r="G886" i="1"/>
  <c r="H886" i="1"/>
  <c r="I886" i="1"/>
  <c r="J886" i="1"/>
  <c r="K886" i="1"/>
  <c r="L886" i="1"/>
  <c r="M886" i="1"/>
  <c r="N886" i="1"/>
  <c r="A887" i="1"/>
  <c r="B887" i="1"/>
  <c r="F887" i="1"/>
  <c r="G887" i="1"/>
  <c r="H887" i="1"/>
  <c r="I887" i="1"/>
  <c r="J887" i="1"/>
  <c r="K887" i="1"/>
  <c r="L887" i="1"/>
  <c r="M887" i="1"/>
  <c r="N887" i="1"/>
  <c r="A888" i="1"/>
  <c r="B888" i="1"/>
  <c r="F888" i="1"/>
  <c r="G888" i="1"/>
  <c r="H888" i="1"/>
  <c r="I888" i="1"/>
  <c r="J888" i="1"/>
  <c r="K888" i="1"/>
  <c r="L888" i="1"/>
  <c r="M888" i="1"/>
  <c r="N888" i="1"/>
  <c r="A889" i="1"/>
  <c r="B889" i="1"/>
  <c r="F889" i="1"/>
  <c r="G889" i="1"/>
  <c r="H889" i="1"/>
  <c r="I889" i="1"/>
  <c r="J889" i="1"/>
  <c r="K889" i="1"/>
  <c r="L889" i="1"/>
  <c r="M889" i="1"/>
  <c r="N889" i="1"/>
  <c r="A890" i="1"/>
  <c r="B890" i="1"/>
  <c r="F890" i="1"/>
  <c r="G890" i="1"/>
  <c r="H890" i="1"/>
  <c r="I890" i="1"/>
  <c r="J890" i="1"/>
  <c r="K890" i="1"/>
  <c r="L890" i="1"/>
  <c r="M890" i="1"/>
  <c r="N890" i="1"/>
  <c r="A891" i="1"/>
  <c r="B891" i="1"/>
  <c r="F891" i="1"/>
  <c r="G891" i="1"/>
  <c r="H891" i="1"/>
  <c r="I891" i="1"/>
  <c r="J891" i="1"/>
  <c r="K891" i="1"/>
  <c r="L891" i="1"/>
  <c r="M891" i="1"/>
  <c r="N891" i="1"/>
  <c r="A892" i="1"/>
  <c r="B892" i="1"/>
  <c r="F892" i="1"/>
  <c r="G892" i="1"/>
  <c r="H892" i="1"/>
  <c r="I892" i="1"/>
  <c r="J892" i="1"/>
  <c r="K892" i="1"/>
  <c r="L892" i="1"/>
  <c r="M892" i="1"/>
  <c r="N892" i="1"/>
  <c r="A893" i="1"/>
  <c r="B893" i="1"/>
  <c r="F893" i="1"/>
  <c r="G893" i="1"/>
  <c r="H893" i="1"/>
  <c r="I893" i="1"/>
  <c r="J893" i="1"/>
  <c r="K893" i="1"/>
  <c r="L893" i="1"/>
  <c r="M893" i="1"/>
  <c r="N893" i="1"/>
  <c r="A894" i="1"/>
  <c r="B894" i="1"/>
  <c r="F894" i="1"/>
  <c r="G894" i="1"/>
  <c r="H894" i="1"/>
  <c r="I894" i="1"/>
  <c r="J894" i="1"/>
  <c r="K894" i="1"/>
  <c r="L894" i="1"/>
  <c r="M894" i="1"/>
  <c r="N894" i="1"/>
  <c r="A895" i="1"/>
  <c r="B895" i="1"/>
  <c r="F895" i="1"/>
  <c r="G895" i="1"/>
  <c r="H895" i="1"/>
  <c r="I895" i="1"/>
  <c r="J895" i="1"/>
  <c r="K895" i="1"/>
  <c r="L895" i="1"/>
  <c r="M895" i="1"/>
  <c r="N895" i="1"/>
  <c r="A896" i="1"/>
  <c r="B896" i="1"/>
  <c r="F896" i="1"/>
  <c r="G896" i="1"/>
  <c r="H896" i="1"/>
  <c r="I896" i="1"/>
  <c r="J896" i="1"/>
  <c r="K896" i="1"/>
  <c r="L896" i="1"/>
  <c r="M896" i="1"/>
  <c r="N896" i="1"/>
  <c r="A897" i="1"/>
  <c r="B897" i="1"/>
  <c r="F897" i="1"/>
  <c r="G897" i="1"/>
  <c r="H897" i="1"/>
  <c r="I897" i="1"/>
  <c r="J897" i="1"/>
  <c r="K897" i="1"/>
  <c r="L897" i="1"/>
  <c r="M897" i="1"/>
  <c r="N897" i="1"/>
  <c r="A898" i="1"/>
  <c r="B898" i="1"/>
  <c r="F898" i="1"/>
  <c r="G898" i="1"/>
  <c r="H898" i="1"/>
  <c r="I898" i="1"/>
  <c r="J898" i="1"/>
  <c r="K898" i="1"/>
  <c r="L898" i="1"/>
  <c r="M898" i="1"/>
  <c r="N898" i="1"/>
  <c r="A899" i="1"/>
  <c r="B899" i="1"/>
  <c r="F899" i="1"/>
  <c r="G899" i="1"/>
  <c r="H899" i="1"/>
  <c r="I899" i="1"/>
  <c r="J899" i="1"/>
  <c r="K899" i="1"/>
  <c r="L899" i="1"/>
  <c r="M899" i="1"/>
  <c r="N899" i="1"/>
  <c r="A900" i="1"/>
  <c r="B900" i="1"/>
  <c r="F900" i="1"/>
  <c r="G900" i="1"/>
  <c r="H900" i="1"/>
  <c r="I900" i="1"/>
  <c r="J900" i="1"/>
  <c r="K900" i="1"/>
  <c r="L900" i="1"/>
  <c r="M900" i="1"/>
  <c r="N900" i="1"/>
  <c r="A901" i="1"/>
  <c r="B901" i="1"/>
  <c r="F901" i="1"/>
  <c r="G901" i="1"/>
  <c r="H901" i="1"/>
  <c r="I901" i="1"/>
  <c r="J901" i="1"/>
  <c r="K901" i="1"/>
  <c r="L901" i="1"/>
  <c r="M901" i="1"/>
  <c r="N901" i="1"/>
  <c r="A902" i="1"/>
  <c r="B902" i="1"/>
  <c r="F902" i="1"/>
  <c r="G902" i="1"/>
  <c r="H902" i="1"/>
  <c r="I902" i="1"/>
  <c r="J902" i="1"/>
  <c r="K902" i="1"/>
  <c r="L902" i="1"/>
  <c r="M902" i="1"/>
  <c r="N902" i="1"/>
  <c r="A903" i="1"/>
  <c r="B903" i="1"/>
  <c r="F903" i="1"/>
  <c r="G903" i="1"/>
  <c r="H903" i="1"/>
  <c r="I903" i="1"/>
  <c r="J903" i="1"/>
  <c r="K903" i="1"/>
  <c r="L903" i="1"/>
  <c r="M903" i="1"/>
  <c r="N903" i="1"/>
  <c r="A904" i="1"/>
  <c r="B904" i="1"/>
  <c r="F904" i="1"/>
  <c r="G904" i="1"/>
  <c r="H904" i="1"/>
  <c r="I904" i="1"/>
  <c r="J904" i="1"/>
  <c r="K904" i="1"/>
  <c r="L904" i="1"/>
  <c r="M904" i="1"/>
  <c r="N904" i="1"/>
  <c r="A905" i="1"/>
  <c r="B905" i="1"/>
  <c r="F905" i="1"/>
  <c r="G905" i="1"/>
  <c r="H905" i="1"/>
  <c r="I905" i="1"/>
  <c r="J905" i="1"/>
  <c r="K905" i="1"/>
  <c r="L905" i="1"/>
  <c r="M905" i="1"/>
  <c r="N905" i="1"/>
  <c r="A906" i="1"/>
  <c r="B906" i="1"/>
  <c r="F906" i="1"/>
  <c r="G906" i="1"/>
  <c r="H906" i="1"/>
  <c r="I906" i="1"/>
  <c r="J906" i="1"/>
  <c r="K906" i="1"/>
  <c r="L906" i="1"/>
  <c r="M906" i="1"/>
  <c r="N906" i="1"/>
  <c r="A907" i="1"/>
  <c r="B907" i="1"/>
  <c r="F907" i="1"/>
  <c r="G907" i="1"/>
  <c r="H907" i="1"/>
  <c r="I907" i="1"/>
  <c r="J907" i="1"/>
  <c r="K907" i="1"/>
  <c r="L907" i="1"/>
  <c r="M907" i="1"/>
  <c r="N907" i="1"/>
  <c r="A908" i="1"/>
  <c r="B908" i="1"/>
  <c r="F908" i="1"/>
  <c r="G908" i="1"/>
  <c r="H908" i="1"/>
  <c r="I908" i="1"/>
  <c r="J908" i="1"/>
  <c r="K908" i="1"/>
  <c r="L908" i="1"/>
  <c r="M908" i="1"/>
  <c r="N908" i="1"/>
  <c r="A909" i="1"/>
  <c r="B909" i="1"/>
  <c r="F909" i="1"/>
  <c r="G909" i="1"/>
  <c r="H909" i="1"/>
  <c r="I909" i="1"/>
  <c r="J909" i="1"/>
  <c r="K909" i="1"/>
  <c r="L909" i="1"/>
  <c r="M909" i="1"/>
  <c r="N909" i="1"/>
  <c r="A910" i="1"/>
  <c r="B910" i="1"/>
  <c r="F910" i="1"/>
  <c r="G910" i="1"/>
  <c r="H910" i="1"/>
  <c r="I910" i="1"/>
  <c r="J910" i="1"/>
  <c r="K910" i="1"/>
  <c r="L910" i="1"/>
  <c r="M910" i="1"/>
  <c r="N910" i="1"/>
  <c r="A911" i="1"/>
  <c r="B911" i="1"/>
  <c r="F911" i="1"/>
  <c r="G911" i="1"/>
  <c r="H911" i="1"/>
  <c r="I911" i="1"/>
  <c r="J911" i="1"/>
  <c r="K911" i="1"/>
  <c r="L911" i="1"/>
  <c r="M911" i="1"/>
  <c r="N911" i="1"/>
  <c r="A912" i="1"/>
  <c r="B912" i="1"/>
  <c r="F912" i="1"/>
  <c r="G912" i="1"/>
  <c r="H912" i="1"/>
  <c r="I912" i="1"/>
  <c r="J912" i="1"/>
  <c r="K912" i="1"/>
  <c r="L912" i="1"/>
  <c r="M912" i="1"/>
  <c r="N912" i="1"/>
  <c r="A913" i="1"/>
  <c r="B913" i="1"/>
  <c r="F913" i="1"/>
  <c r="G913" i="1"/>
  <c r="H913" i="1"/>
  <c r="I913" i="1"/>
  <c r="J913" i="1"/>
  <c r="K913" i="1"/>
  <c r="L913" i="1"/>
  <c r="M913" i="1"/>
  <c r="N913" i="1"/>
  <c r="A914" i="1"/>
  <c r="B914" i="1"/>
  <c r="F914" i="1"/>
  <c r="G914" i="1"/>
  <c r="H914" i="1"/>
  <c r="I914" i="1"/>
  <c r="J914" i="1"/>
  <c r="K914" i="1"/>
  <c r="L914" i="1"/>
  <c r="M914" i="1"/>
  <c r="N914" i="1"/>
  <c r="A915" i="1"/>
  <c r="B915" i="1"/>
  <c r="F915" i="1"/>
  <c r="G915" i="1"/>
  <c r="H915" i="1"/>
  <c r="I915" i="1"/>
  <c r="J915" i="1"/>
  <c r="K915" i="1"/>
  <c r="L915" i="1"/>
  <c r="M915" i="1"/>
  <c r="N915" i="1"/>
  <c r="A916" i="1"/>
  <c r="B916" i="1"/>
  <c r="F916" i="1"/>
  <c r="G916" i="1"/>
  <c r="H916" i="1"/>
  <c r="I916" i="1"/>
  <c r="J916" i="1"/>
  <c r="K916" i="1"/>
  <c r="L916" i="1"/>
  <c r="M916" i="1"/>
  <c r="N916" i="1"/>
  <c r="A917" i="1"/>
  <c r="B917" i="1"/>
  <c r="F917" i="1"/>
  <c r="G917" i="1"/>
  <c r="H917" i="1"/>
  <c r="I917" i="1"/>
  <c r="J917" i="1"/>
  <c r="K917" i="1"/>
  <c r="L917" i="1"/>
  <c r="M917" i="1"/>
  <c r="N917" i="1"/>
  <c r="A918" i="1"/>
  <c r="B918" i="1"/>
  <c r="F918" i="1"/>
  <c r="G918" i="1"/>
  <c r="H918" i="1"/>
  <c r="I918" i="1"/>
  <c r="J918" i="1"/>
  <c r="K918" i="1"/>
  <c r="L918" i="1"/>
  <c r="M918" i="1"/>
  <c r="N918" i="1"/>
  <c r="A919" i="1"/>
  <c r="B919" i="1"/>
  <c r="F919" i="1"/>
  <c r="G919" i="1"/>
  <c r="H919" i="1"/>
  <c r="I919" i="1"/>
  <c r="J919" i="1"/>
  <c r="K919" i="1"/>
  <c r="L919" i="1"/>
  <c r="M919" i="1"/>
  <c r="N919" i="1"/>
  <c r="A920" i="1"/>
  <c r="B920" i="1"/>
  <c r="F920" i="1"/>
  <c r="G920" i="1"/>
  <c r="H920" i="1"/>
  <c r="I920" i="1"/>
  <c r="J920" i="1"/>
  <c r="K920" i="1"/>
  <c r="L920" i="1"/>
  <c r="M920" i="1"/>
  <c r="N920" i="1"/>
  <c r="A921" i="1"/>
  <c r="B921" i="1"/>
  <c r="F921" i="1"/>
  <c r="G921" i="1"/>
  <c r="H921" i="1"/>
  <c r="I921" i="1"/>
  <c r="J921" i="1"/>
  <c r="K921" i="1"/>
  <c r="L921" i="1"/>
  <c r="M921" i="1"/>
  <c r="N921" i="1"/>
  <c r="A922" i="1"/>
  <c r="B922" i="1"/>
  <c r="F922" i="1"/>
  <c r="G922" i="1"/>
  <c r="H922" i="1"/>
  <c r="I922" i="1"/>
  <c r="J922" i="1"/>
  <c r="K922" i="1"/>
  <c r="L922" i="1"/>
  <c r="M922" i="1"/>
  <c r="N922" i="1"/>
  <c r="A923" i="1"/>
  <c r="B923" i="1"/>
  <c r="F923" i="1"/>
  <c r="G923" i="1"/>
  <c r="H923" i="1"/>
  <c r="I923" i="1"/>
  <c r="J923" i="1"/>
  <c r="K923" i="1"/>
  <c r="L923" i="1"/>
  <c r="M923" i="1"/>
  <c r="N923" i="1"/>
  <c r="A924" i="1"/>
  <c r="B924" i="1"/>
  <c r="F924" i="1"/>
  <c r="G924" i="1"/>
  <c r="H924" i="1"/>
  <c r="I924" i="1"/>
  <c r="J924" i="1"/>
  <c r="K924" i="1"/>
  <c r="L924" i="1"/>
  <c r="M924" i="1"/>
  <c r="N924" i="1"/>
  <c r="A925" i="1"/>
  <c r="B925" i="1"/>
  <c r="F925" i="1"/>
  <c r="G925" i="1"/>
  <c r="H925" i="1"/>
  <c r="I925" i="1"/>
  <c r="J925" i="1"/>
  <c r="K925" i="1"/>
  <c r="L925" i="1"/>
  <c r="M925" i="1"/>
  <c r="N925" i="1"/>
  <c r="A926" i="1"/>
  <c r="B926" i="1"/>
  <c r="F926" i="1"/>
  <c r="G926" i="1"/>
  <c r="H926" i="1"/>
  <c r="I926" i="1"/>
  <c r="J926" i="1"/>
  <c r="K926" i="1"/>
  <c r="L926" i="1"/>
  <c r="M926" i="1"/>
  <c r="N926" i="1"/>
  <c r="A927" i="1"/>
  <c r="B927" i="1"/>
  <c r="F927" i="1"/>
  <c r="G927" i="1"/>
  <c r="H927" i="1"/>
  <c r="I927" i="1"/>
  <c r="J927" i="1"/>
  <c r="K927" i="1"/>
  <c r="L927" i="1"/>
  <c r="M927" i="1"/>
  <c r="N927" i="1"/>
  <c r="A928" i="1"/>
  <c r="B928" i="1"/>
  <c r="F928" i="1"/>
  <c r="G928" i="1"/>
  <c r="H928" i="1"/>
  <c r="I928" i="1"/>
  <c r="J928" i="1"/>
  <c r="K928" i="1"/>
  <c r="L928" i="1"/>
  <c r="M928" i="1"/>
  <c r="N928" i="1"/>
  <c r="A929" i="1"/>
  <c r="B929" i="1"/>
  <c r="F929" i="1"/>
  <c r="G929" i="1"/>
  <c r="H929" i="1"/>
  <c r="I929" i="1"/>
  <c r="J929" i="1"/>
  <c r="K929" i="1"/>
  <c r="L929" i="1"/>
  <c r="M929" i="1"/>
  <c r="N929" i="1"/>
  <c r="A930" i="1"/>
  <c r="B930" i="1"/>
  <c r="F930" i="1"/>
  <c r="G930" i="1"/>
  <c r="H930" i="1"/>
  <c r="I930" i="1"/>
  <c r="J930" i="1"/>
  <c r="K930" i="1"/>
  <c r="L930" i="1"/>
  <c r="M930" i="1"/>
  <c r="N930" i="1"/>
  <c r="A931" i="1"/>
  <c r="B931" i="1"/>
  <c r="F931" i="1"/>
  <c r="G931" i="1"/>
  <c r="H931" i="1"/>
  <c r="I931" i="1"/>
  <c r="J931" i="1"/>
  <c r="K931" i="1"/>
  <c r="L931" i="1"/>
  <c r="M931" i="1"/>
  <c r="N931" i="1"/>
  <c r="A932" i="1"/>
  <c r="B932" i="1"/>
  <c r="F932" i="1"/>
  <c r="G932" i="1"/>
  <c r="H932" i="1"/>
  <c r="I932" i="1"/>
  <c r="J932" i="1"/>
  <c r="K932" i="1"/>
  <c r="L932" i="1"/>
  <c r="M932" i="1"/>
  <c r="N932" i="1"/>
  <c r="A933" i="1"/>
  <c r="B933" i="1"/>
  <c r="F933" i="1"/>
  <c r="G933" i="1"/>
  <c r="H933" i="1"/>
  <c r="I933" i="1"/>
  <c r="J933" i="1"/>
  <c r="K933" i="1"/>
  <c r="L933" i="1"/>
  <c r="M933" i="1"/>
  <c r="N933" i="1"/>
  <c r="A934" i="1"/>
  <c r="B934" i="1"/>
  <c r="F934" i="1"/>
  <c r="G934" i="1"/>
  <c r="H934" i="1"/>
  <c r="I934" i="1"/>
  <c r="J934" i="1"/>
  <c r="K934" i="1"/>
  <c r="L934" i="1"/>
  <c r="M934" i="1"/>
  <c r="N934" i="1"/>
  <c r="A935" i="1"/>
  <c r="B935" i="1"/>
  <c r="F935" i="1"/>
  <c r="G935" i="1"/>
  <c r="H935" i="1"/>
  <c r="I935" i="1"/>
  <c r="J935" i="1"/>
  <c r="K935" i="1"/>
  <c r="L935" i="1"/>
  <c r="M935" i="1"/>
  <c r="N935" i="1"/>
  <c r="A936" i="1"/>
  <c r="B936" i="1"/>
  <c r="F936" i="1"/>
  <c r="G936" i="1"/>
  <c r="H936" i="1"/>
  <c r="I936" i="1"/>
  <c r="J936" i="1"/>
  <c r="K936" i="1"/>
  <c r="L936" i="1"/>
  <c r="M936" i="1"/>
  <c r="N936" i="1"/>
  <c r="A937" i="1"/>
  <c r="B937" i="1"/>
  <c r="F937" i="1"/>
  <c r="G937" i="1"/>
  <c r="H937" i="1"/>
  <c r="I937" i="1"/>
  <c r="J937" i="1"/>
  <c r="K937" i="1"/>
  <c r="L937" i="1"/>
  <c r="M937" i="1"/>
  <c r="N937" i="1"/>
  <c r="A938" i="1"/>
  <c r="B938" i="1"/>
  <c r="F938" i="1"/>
  <c r="G938" i="1"/>
  <c r="H938" i="1"/>
  <c r="I938" i="1"/>
  <c r="J938" i="1"/>
  <c r="K938" i="1"/>
  <c r="L938" i="1"/>
  <c r="M938" i="1"/>
  <c r="N938" i="1"/>
  <c r="A939" i="1"/>
  <c r="B939" i="1"/>
  <c r="F939" i="1"/>
  <c r="G939" i="1"/>
  <c r="H939" i="1"/>
  <c r="I939" i="1"/>
  <c r="J939" i="1"/>
  <c r="K939" i="1"/>
  <c r="L939" i="1"/>
  <c r="M939" i="1"/>
  <c r="N939" i="1"/>
  <c r="A940" i="1"/>
  <c r="B940" i="1"/>
  <c r="F940" i="1"/>
  <c r="G940" i="1"/>
  <c r="H940" i="1"/>
  <c r="I940" i="1"/>
  <c r="J940" i="1"/>
  <c r="K940" i="1"/>
  <c r="L940" i="1"/>
  <c r="M940" i="1"/>
  <c r="N940" i="1"/>
  <c r="A941" i="1"/>
  <c r="B941" i="1"/>
  <c r="F941" i="1"/>
  <c r="G941" i="1"/>
  <c r="H941" i="1"/>
  <c r="I941" i="1"/>
  <c r="J941" i="1"/>
  <c r="K941" i="1"/>
  <c r="L941" i="1"/>
  <c r="M941" i="1"/>
  <c r="N941" i="1"/>
  <c r="A942" i="1"/>
  <c r="B942" i="1"/>
  <c r="F942" i="1"/>
  <c r="G942" i="1"/>
  <c r="H942" i="1"/>
  <c r="I942" i="1"/>
  <c r="J942" i="1"/>
  <c r="K942" i="1"/>
  <c r="L942" i="1"/>
  <c r="M942" i="1"/>
  <c r="N942" i="1"/>
  <c r="A943" i="1"/>
  <c r="B943" i="1"/>
  <c r="F943" i="1"/>
  <c r="G943" i="1"/>
  <c r="H943" i="1"/>
  <c r="I943" i="1"/>
  <c r="J943" i="1"/>
  <c r="K943" i="1"/>
  <c r="L943" i="1"/>
  <c r="M943" i="1"/>
  <c r="N943" i="1"/>
  <c r="A944" i="1"/>
  <c r="B944" i="1"/>
  <c r="F944" i="1"/>
  <c r="G944" i="1"/>
  <c r="H944" i="1"/>
  <c r="I944" i="1"/>
  <c r="J944" i="1"/>
  <c r="K944" i="1"/>
  <c r="L944" i="1"/>
  <c r="M944" i="1"/>
  <c r="N944" i="1"/>
  <c r="A945" i="1"/>
  <c r="B945" i="1"/>
  <c r="F945" i="1"/>
  <c r="G945" i="1"/>
  <c r="H945" i="1"/>
  <c r="I945" i="1"/>
  <c r="J945" i="1"/>
  <c r="K945" i="1"/>
  <c r="L945" i="1"/>
  <c r="M945" i="1"/>
  <c r="N945" i="1"/>
  <c r="A946" i="1"/>
  <c r="B946" i="1"/>
  <c r="F946" i="1"/>
  <c r="G946" i="1"/>
  <c r="H946" i="1"/>
  <c r="I946" i="1"/>
  <c r="J946" i="1"/>
  <c r="K946" i="1"/>
  <c r="L946" i="1"/>
  <c r="M946" i="1"/>
  <c r="N946" i="1"/>
  <c r="A947" i="1"/>
  <c r="B947" i="1"/>
  <c r="F947" i="1"/>
  <c r="G947" i="1"/>
  <c r="H947" i="1"/>
  <c r="I947" i="1"/>
  <c r="J947" i="1"/>
  <c r="K947" i="1"/>
  <c r="L947" i="1"/>
  <c r="M947" i="1"/>
  <c r="N947" i="1"/>
  <c r="A948" i="1"/>
  <c r="B948" i="1"/>
  <c r="F948" i="1"/>
  <c r="G948" i="1"/>
  <c r="H948" i="1"/>
  <c r="I948" i="1"/>
  <c r="J948" i="1"/>
  <c r="K948" i="1"/>
  <c r="L948" i="1"/>
  <c r="M948" i="1"/>
  <c r="N948" i="1"/>
  <c r="A949" i="1"/>
  <c r="B949" i="1"/>
  <c r="F949" i="1"/>
  <c r="G949" i="1"/>
  <c r="H949" i="1"/>
  <c r="I949" i="1"/>
  <c r="J949" i="1"/>
  <c r="K949" i="1"/>
  <c r="L949" i="1"/>
  <c r="M949" i="1"/>
  <c r="N949" i="1"/>
  <c r="A950" i="1"/>
  <c r="B950" i="1"/>
  <c r="F950" i="1"/>
  <c r="G950" i="1"/>
  <c r="H950" i="1"/>
  <c r="I950" i="1"/>
  <c r="J950" i="1"/>
  <c r="K950" i="1"/>
  <c r="L950" i="1"/>
  <c r="M950" i="1"/>
  <c r="N950" i="1"/>
  <c r="A951" i="1"/>
  <c r="B951" i="1"/>
  <c r="F951" i="1"/>
  <c r="G951" i="1"/>
  <c r="H951" i="1"/>
  <c r="I951" i="1"/>
  <c r="J951" i="1"/>
  <c r="K951" i="1"/>
  <c r="L951" i="1"/>
  <c r="M951" i="1"/>
  <c r="N951" i="1"/>
  <c r="A952" i="1"/>
  <c r="B952" i="1"/>
  <c r="F952" i="1"/>
  <c r="G952" i="1"/>
  <c r="H952" i="1"/>
  <c r="I952" i="1"/>
  <c r="J952" i="1"/>
  <c r="K952" i="1"/>
  <c r="L952" i="1"/>
  <c r="M952" i="1"/>
  <c r="N952" i="1"/>
  <c r="A953" i="1"/>
  <c r="B953" i="1"/>
  <c r="F953" i="1"/>
  <c r="G953" i="1"/>
  <c r="H953" i="1"/>
  <c r="I953" i="1"/>
  <c r="J953" i="1"/>
  <c r="K953" i="1"/>
  <c r="L953" i="1"/>
  <c r="M953" i="1"/>
  <c r="N953" i="1"/>
  <c r="A954" i="1"/>
  <c r="B954" i="1"/>
  <c r="F954" i="1"/>
  <c r="G954" i="1"/>
  <c r="H954" i="1"/>
  <c r="I954" i="1"/>
  <c r="J954" i="1"/>
  <c r="K954" i="1"/>
  <c r="L954" i="1"/>
  <c r="M954" i="1"/>
  <c r="N954" i="1"/>
  <c r="A955" i="1"/>
  <c r="B955" i="1"/>
  <c r="F955" i="1"/>
  <c r="G955" i="1"/>
  <c r="H955" i="1"/>
  <c r="I955" i="1"/>
  <c r="J955" i="1"/>
  <c r="K955" i="1"/>
  <c r="L955" i="1"/>
  <c r="M955" i="1"/>
  <c r="N955" i="1"/>
  <c r="A956" i="1"/>
  <c r="B956" i="1"/>
  <c r="F956" i="1"/>
  <c r="G956" i="1"/>
  <c r="H956" i="1"/>
  <c r="I956" i="1"/>
  <c r="J956" i="1"/>
  <c r="K956" i="1"/>
  <c r="L956" i="1"/>
  <c r="M956" i="1"/>
  <c r="N956" i="1"/>
  <c r="A957" i="1"/>
  <c r="B957" i="1"/>
  <c r="F957" i="1"/>
  <c r="G957" i="1"/>
  <c r="H957" i="1"/>
  <c r="I957" i="1"/>
  <c r="J957" i="1"/>
  <c r="K957" i="1"/>
  <c r="L957" i="1"/>
  <c r="M957" i="1"/>
  <c r="N957" i="1"/>
  <c r="A958" i="1"/>
  <c r="B958" i="1"/>
  <c r="F958" i="1"/>
  <c r="G958" i="1"/>
  <c r="H958" i="1"/>
  <c r="I958" i="1"/>
  <c r="J958" i="1"/>
  <c r="K958" i="1"/>
  <c r="L958" i="1"/>
  <c r="M958" i="1"/>
  <c r="N958" i="1"/>
  <c r="A959" i="1"/>
  <c r="B959" i="1"/>
  <c r="F959" i="1"/>
  <c r="G959" i="1"/>
  <c r="H959" i="1"/>
  <c r="I959" i="1"/>
  <c r="J959" i="1"/>
  <c r="K959" i="1"/>
  <c r="L959" i="1"/>
  <c r="M959" i="1"/>
  <c r="N959" i="1"/>
  <c r="A960" i="1"/>
  <c r="B960" i="1"/>
  <c r="F960" i="1"/>
  <c r="G960" i="1"/>
  <c r="H960" i="1"/>
  <c r="I960" i="1"/>
  <c r="J960" i="1"/>
  <c r="K960" i="1"/>
  <c r="L960" i="1"/>
  <c r="M960" i="1"/>
  <c r="N960" i="1"/>
  <c r="A961" i="1"/>
  <c r="B961" i="1"/>
  <c r="F961" i="1"/>
  <c r="G961" i="1"/>
  <c r="H961" i="1"/>
  <c r="I961" i="1"/>
  <c r="J961" i="1"/>
  <c r="K961" i="1"/>
  <c r="L961" i="1"/>
  <c r="M961" i="1"/>
  <c r="N961" i="1"/>
  <c r="A962" i="1"/>
  <c r="B962" i="1"/>
  <c r="F962" i="1"/>
  <c r="G962" i="1"/>
  <c r="H962" i="1"/>
  <c r="I962" i="1"/>
  <c r="J962" i="1"/>
  <c r="K962" i="1"/>
  <c r="L962" i="1"/>
  <c r="M962" i="1"/>
  <c r="N962" i="1"/>
  <c r="A963" i="1"/>
  <c r="B963" i="1"/>
  <c r="F963" i="1"/>
  <c r="G963" i="1"/>
  <c r="H963" i="1"/>
  <c r="I963" i="1"/>
  <c r="J963" i="1"/>
  <c r="K963" i="1"/>
  <c r="L963" i="1"/>
  <c r="M963" i="1"/>
  <c r="N963" i="1"/>
  <c r="A964" i="1"/>
  <c r="B964" i="1"/>
  <c r="F964" i="1"/>
  <c r="G964" i="1"/>
  <c r="H964" i="1"/>
  <c r="I964" i="1"/>
  <c r="J964" i="1"/>
  <c r="K964" i="1"/>
  <c r="L964" i="1"/>
  <c r="M964" i="1"/>
  <c r="N964" i="1"/>
  <c r="A965" i="1"/>
  <c r="B965" i="1"/>
  <c r="F965" i="1"/>
  <c r="G965" i="1"/>
  <c r="H965" i="1"/>
  <c r="I965" i="1"/>
  <c r="J965" i="1"/>
  <c r="K965" i="1"/>
  <c r="L965" i="1"/>
  <c r="M965" i="1"/>
  <c r="N965" i="1"/>
  <c r="A966" i="1"/>
  <c r="B966" i="1"/>
  <c r="F966" i="1"/>
  <c r="G966" i="1"/>
  <c r="H966" i="1"/>
  <c r="I966" i="1"/>
  <c r="J966" i="1"/>
  <c r="K966" i="1"/>
  <c r="L966" i="1"/>
  <c r="M966" i="1"/>
  <c r="N966" i="1"/>
  <c r="A967" i="1"/>
  <c r="B967" i="1"/>
  <c r="F967" i="1"/>
  <c r="G967" i="1"/>
  <c r="H967" i="1"/>
  <c r="I967" i="1"/>
  <c r="J967" i="1"/>
  <c r="K967" i="1"/>
  <c r="L967" i="1"/>
  <c r="M967" i="1"/>
  <c r="N967" i="1"/>
  <c r="A968" i="1"/>
  <c r="B968" i="1"/>
  <c r="F968" i="1"/>
  <c r="G968" i="1"/>
  <c r="H968" i="1"/>
  <c r="I968" i="1"/>
  <c r="J968" i="1"/>
  <c r="K968" i="1"/>
  <c r="L968" i="1"/>
  <c r="M968" i="1"/>
  <c r="N968" i="1"/>
  <c r="A969" i="1"/>
  <c r="B969" i="1"/>
  <c r="F969" i="1"/>
  <c r="G969" i="1"/>
  <c r="H969" i="1"/>
  <c r="I969" i="1"/>
  <c r="J969" i="1"/>
  <c r="K969" i="1"/>
  <c r="L969" i="1"/>
  <c r="M969" i="1"/>
  <c r="N969" i="1"/>
  <c r="A970" i="1"/>
  <c r="B970" i="1"/>
  <c r="F970" i="1"/>
  <c r="G970" i="1"/>
  <c r="H970" i="1"/>
  <c r="I970" i="1"/>
  <c r="J970" i="1"/>
  <c r="K970" i="1"/>
  <c r="L970" i="1"/>
  <c r="M970" i="1"/>
  <c r="N970" i="1"/>
  <c r="A971" i="1"/>
  <c r="B971" i="1"/>
  <c r="F971" i="1"/>
  <c r="G971" i="1"/>
  <c r="H971" i="1"/>
  <c r="I971" i="1"/>
  <c r="J971" i="1"/>
  <c r="K971" i="1"/>
  <c r="L971" i="1"/>
  <c r="M971" i="1"/>
  <c r="N971" i="1"/>
  <c r="A972" i="1"/>
  <c r="B972" i="1"/>
  <c r="F972" i="1"/>
  <c r="G972" i="1"/>
  <c r="H972" i="1"/>
  <c r="I972" i="1"/>
  <c r="J972" i="1"/>
  <c r="K972" i="1"/>
  <c r="L972" i="1"/>
  <c r="M972" i="1"/>
  <c r="N972" i="1"/>
  <c r="A973" i="1"/>
  <c r="B973" i="1"/>
  <c r="F973" i="1"/>
  <c r="G973" i="1"/>
  <c r="H973" i="1"/>
  <c r="I973" i="1"/>
  <c r="J973" i="1"/>
  <c r="K973" i="1"/>
  <c r="L973" i="1"/>
  <c r="M973" i="1"/>
  <c r="N973" i="1"/>
  <c r="A974" i="1"/>
  <c r="B974" i="1"/>
  <c r="F974" i="1"/>
  <c r="G974" i="1"/>
  <c r="H974" i="1"/>
  <c r="I974" i="1"/>
  <c r="J974" i="1"/>
  <c r="K974" i="1"/>
  <c r="L974" i="1"/>
  <c r="M974" i="1"/>
  <c r="N974" i="1"/>
  <c r="A975" i="1"/>
  <c r="B975" i="1"/>
  <c r="F975" i="1"/>
  <c r="G975" i="1"/>
  <c r="H975" i="1"/>
  <c r="I975" i="1"/>
  <c r="J975" i="1"/>
  <c r="K975" i="1"/>
  <c r="L975" i="1"/>
  <c r="M975" i="1"/>
  <c r="N975" i="1"/>
  <c r="A976" i="1"/>
  <c r="B976" i="1"/>
  <c r="F976" i="1"/>
  <c r="G976" i="1"/>
  <c r="H976" i="1"/>
  <c r="I976" i="1"/>
  <c r="J976" i="1"/>
  <c r="K976" i="1"/>
  <c r="L976" i="1"/>
  <c r="M976" i="1"/>
  <c r="N976" i="1"/>
  <c r="A977" i="1"/>
  <c r="B977" i="1"/>
  <c r="F977" i="1"/>
  <c r="G977" i="1"/>
  <c r="H977" i="1"/>
  <c r="I977" i="1"/>
  <c r="J977" i="1"/>
  <c r="K977" i="1"/>
  <c r="L977" i="1"/>
  <c r="M977" i="1"/>
  <c r="N977" i="1"/>
  <c r="A978" i="1"/>
  <c r="B978" i="1"/>
  <c r="F978" i="1"/>
  <c r="G978" i="1"/>
  <c r="H978" i="1"/>
  <c r="I978" i="1"/>
  <c r="J978" i="1"/>
  <c r="K978" i="1"/>
  <c r="L978" i="1"/>
  <c r="M978" i="1"/>
  <c r="N978" i="1"/>
  <c r="A979" i="1"/>
  <c r="B979" i="1"/>
  <c r="F979" i="1"/>
  <c r="G979" i="1"/>
  <c r="H979" i="1"/>
  <c r="I979" i="1"/>
  <c r="J979" i="1"/>
  <c r="K979" i="1"/>
  <c r="L979" i="1"/>
  <c r="M979" i="1"/>
  <c r="N979" i="1"/>
  <c r="A980" i="1"/>
  <c r="B980" i="1"/>
  <c r="F980" i="1"/>
  <c r="G980" i="1"/>
  <c r="H980" i="1"/>
  <c r="I980" i="1"/>
  <c r="J980" i="1"/>
  <c r="K980" i="1"/>
  <c r="L980" i="1"/>
  <c r="M980" i="1"/>
  <c r="N980" i="1"/>
  <c r="A981" i="1"/>
  <c r="B981" i="1"/>
  <c r="F981" i="1"/>
  <c r="G981" i="1"/>
  <c r="H981" i="1"/>
  <c r="I981" i="1"/>
  <c r="J981" i="1"/>
  <c r="K981" i="1"/>
  <c r="L981" i="1"/>
  <c r="M981" i="1"/>
  <c r="N981" i="1"/>
  <c r="A982" i="1"/>
  <c r="B982" i="1"/>
  <c r="F982" i="1"/>
  <c r="G982" i="1"/>
  <c r="H982" i="1"/>
  <c r="I982" i="1"/>
  <c r="J982" i="1"/>
  <c r="K982" i="1"/>
  <c r="L982" i="1"/>
  <c r="M982" i="1"/>
  <c r="N982" i="1"/>
  <c r="A983" i="1"/>
  <c r="B983" i="1"/>
  <c r="F983" i="1"/>
  <c r="G983" i="1"/>
  <c r="H983" i="1"/>
  <c r="I983" i="1"/>
  <c r="J983" i="1"/>
  <c r="K983" i="1"/>
  <c r="L983" i="1"/>
  <c r="M983" i="1"/>
  <c r="N983" i="1"/>
  <c r="A984" i="1"/>
  <c r="B984" i="1"/>
  <c r="F984" i="1"/>
  <c r="G984" i="1"/>
  <c r="H984" i="1"/>
  <c r="I984" i="1"/>
  <c r="J984" i="1"/>
  <c r="K984" i="1"/>
  <c r="L984" i="1"/>
  <c r="M984" i="1"/>
  <c r="N984" i="1"/>
  <c r="A985" i="1"/>
  <c r="B985" i="1"/>
  <c r="F985" i="1"/>
  <c r="G985" i="1"/>
  <c r="H985" i="1"/>
  <c r="I985" i="1"/>
  <c r="J985" i="1"/>
  <c r="K985" i="1"/>
  <c r="L985" i="1"/>
  <c r="M985" i="1"/>
  <c r="N985" i="1"/>
  <c r="A986" i="1"/>
  <c r="B986" i="1"/>
  <c r="F986" i="1"/>
  <c r="G986" i="1"/>
  <c r="H986" i="1"/>
  <c r="I986" i="1"/>
  <c r="J986" i="1"/>
  <c r="K986" i="1"/>
  <c r="L986" i="1"/>
  <c r="M986" i="1"/>
  <c r="N986" i="1"/>
  <c r="A987" i="1"/>
  <c r="B987" i="1"/>
  <c r="F987" i="1"/>
  <c r="G987" i="1"/>
  <c r="H987" i="1"/>
  <c r="I987" i="1"/>
  <c r="J987" i="1"/>
  <c r="K987" i="1"/>
  <c r="L987" i="1"/>
  <c r="M987" i="1"/>
  <c r="N987" i="1"/>
  <c r="A988" i="1"/>
  <c r="B988" i="1"/>
  <c r="F988" i="1"/>
  <c r="G988" i="1"/>
  <c r="H988" i="1"/>
  <c r="I988" i="1"/>
  <c r="J988" i="1"/>
  <c r="K988" i="1"/>
  <c r="L988" i="1"/>
  <c r="M988" i="1"/>
  <c r="N988" i="1"/>
  <c r="A989" i="1"/>
  <c r="B989" i="1"/>
  <c r="F989" i="1"/>
  <c r="G989" i="1"/>
  <c r="H989" i="1"/>
  <c r="I989" i="1"/>
  <c r="J989" i="1"/>
  <c r="K989" i="1"/>
  <c r="L989" i="1"/>
  <c r="M989" i="1"/>
  <c r="N989" i="1"/>
  <c r="A990" i="1"/>
  <c r="B990" i="1"/>
  <c r="F990" i="1"/>
  <c r="G990" i="1"/>
  <c r="H990" i="1"/>
  <c r="I990" i="1"/>
  <c r="J990" i="1"/>
  <c r="K990" i="1"/>
  <c r="L990" i="1"/>
  <c r="M990" i="1"/>
  <c r="N990" i="1"/>
  <c r="A991" i="1"/>
  <c r="B991" i="1"/>
  <c r="F991" i="1"/>
  <c r="G991" i="1"/>
  <c r="H991" i="1"/>
  <c r="I991" i="1"/>
  <c r="J991" i="1"/>
  <c r="K991" i="1"/>
  <c r="L991" i="1"/>
  <c r="M991" i="1"/>
  <c r="N991" i="1"/>
  <c r="A992" i="1"/>
  <c r="B992" i="1"/>
  <c r="F992" i="1"/>
  <c r="G992" i="1"/>
  <c r="H992" i="1"/>
  <c r="I992" i="1"/>
  <c r="J992" i="1"/>
  <c r="K992" i="1"/>
  <c r="L992" i="1"/>
  <c r="M992" i="1"/>
  <c r="N992" i="1"/>
  <c r="A993" i="1"/>
  <c r="B993" i="1"/>
  <c r="F993" i="1"/>
  <c r="G993" i="1"/>
  <c r="H993" i="1"/>
  <c r="I993" i="1"/>
  <c r="J993" i="1"/>
  <c r="K993" i="1"/>
  <c r="L993" i="1"/>
  <c r="M993" i="1"/>
  <c r="N993" i="1"/>
  <c r="A994" i="1"/>
  <c r="B994" i="1"/>
  <c r="F994" i="1"/>
  <c r="G994" i="1"/>
  <c r="H994" i="1"/>
  <c r="I994" i="1"/>
  <c r="J994" i="1"/>
  <c r="K994" i="1"/>
  <c r="L994" i="1"/>
  <c r="M994" i="1"/>
  <c r="N994" i="1"/>
  <c r="A995" i="1"/>
  <c r="B995" i="1"/>
  <c r="F995" i="1"/>
  <c r="G995" i="1"/>
  <c r="H995" i="1"/>
  <c r="I995" i="1"/>
  <c r="J995" i="1"/>
  <c r="K995" i="1"/>
  <c r="L995" i="1"/>
  <c r="M995" i="1"/>
  <c r="N995" i="1"/>
  <c r="A996" i="1"/>
  <c r="B996" i="1"/>
  <c r="F996" i="1"/>
  <c r="G996" i="1"/>
  <c r="H996" i="1"/>
  <c r="I996" i="1"/>
  <c r="J996" i="1"/>
  <c r="K996" i="1"/>
  <c r="L996" i="1"/>
  <c r="M996" i="1"/>
  <c r="N996" i="1"/>
  <c r="A997" i="1"/>
  <c r="B997" i="1"/>
  <c r="F997" i="1"/>
  <c r="G997" i="1"/>
  <c r="H997" i="1"/>
  <c r="I997" i="1"/>
  <c r="J997" i="1"/>
  <c r="K997" i="1"/>
  <c r="L997" i="1"/>
  <c r="M997" i="1"/>
  <c r="N997" i="1"/>
  <c r="A998" i="1"/>
  <c r="B998" i="1"/>
  <c r="F998" i="1"/>
  <c r="G998" i="1"/>
  <c r="H998" i="1"/>
  <c r="I998" i="1"/>
  <c r="J998" i="1"/>
  <c r="K998" i="1"/>
  <c r="L998" i="1"/>
  <c r="M998" i="1"/>
  <c r="N998" i="1"/>
  <c r="A999" i="1"/>
  <c r="B999" i="1"/>
  <c r="F999" i="1"/>
  <c r="G999" i="1"/>
  <c r="H999" i="1"/>
  <c r="I999" i="1"/>
  <c r="J999" i="1"/>
  <c r="K999" i="1"/>
  <c r="L999" i="1"/>
  <c r="M999" i="1"/>
  <c r="N999" i="1"/>
  <c r="A1000" i="1"/>
  <c r="B1000" i="1"/>
  <c r="F1000" i="1"/>
  <c r="G1000" i="1"/>
  <c r="H1000" i="1"/>
  <c r="I1000" i="1"/>
  <c r="J1000" i="1"/>
  <c r="K1000" i="1"/>
  <c r="L1000" i="1"/>
  <c r="M1000" i="1"/>
  <c r="N1000" i="1"/>
  <c r="A1001" i="1"/>
  <c r="B1001" i="1"/>
  <c r="F1001" i="1"/>
  <c r="G1001" i="1"/>
  <c r="H1001" i="1"/>
  <c r="I1001" i="1"/>
  <c r="J1001" i="1"/>
  <c r="K1001" i="1"/>
  <c r="L1001" i="1"/>
  <c r="M1001" i="1"/>
  <c r="N1001" i="1"/>
  <c r="A1002" i="1"/>
  <c r="B1002" i="1"/>
  <c r="F1002" i="1"/>
  <c r="G1002" i="1"/>
  <c r="H1002" i="1"/>
  <c r="I1002" i="1"/>
  <c r="J1002" i="1"/>
  <c r="K1002" i="1"/>
  <c r="L1002" i="1"/>
  <c r="M1002" i="1"/>
  <c r="N1002" i="1"/>
  <c r="A1003" i="1"/>
  <c r="B1003" i="1"/>
  <c r="F1003" i="1"/>
  <c r="G1003" i="1"/>
  <c r="H1003" i="1"/>
  <c r="I1003" i="1"/>
  <c r="J1003" i="1"/>
  <c r="K1003" i="1"/>
  <c r="L1003" i="1"/>
  <c r="M1003" i="1"/>
  <c r="N1003" i="1"/>
  <c r="A1004" i="1"/>
  <c r="B1004" i="1"/>
  <c r="F1004" i="1"/>
  <c r="G1004" i="1"/>
  <c r="H1004" i="1"/>
  <c r="I1004" i="1"/>
  <c r="J1004" i="1"/>
  <c r="K1004" i="1"/>
  <c r="L1004" i="1"/>
  <c r="M1004" i="1"/>
  <c r="N1004" i="1"/>
  <c r="A1005" i="1"/>
  <c r="B1005" i="1"/>
  <c r="F1005" i="1"/>
  <c r="G1005" i="1"/>
  <c r="H1005" i="1"/>
  <c r="I1005" i="1"/>
  <c r="J1005" i="1"/>
  <c r="K1005" i="1"/>
  <c r="L1005" i="1"/>
  <c r="M1005" i="1"/>
  <c r="N1005" i="1"/>
  <c r="A1006" i="1"/>
  <c r="B1006" i="1"/>
  <c r="F1006" i="1"/>
  <c r="G1006" i="1"/>
  <c r="H1006" i="1"/>
  <c r="I1006" i="1"/>
  <c r="J1006" i="1"/>
  <c r="K1006" i="1"/>
  <c r="L1006" i="1"/>
  <c r="M1006" i="1"/>
  <c r="N1006" i="1"/>
  <c r="A1007" i="1"/>
  <c r="B1007" i="1"/>
  <c r="F1007" i="1"/>
  <c r="G1007" i="1"/>
  <c r="H1007" i="1"/>
  <c r="I1007" i="1"/>
  <c r="J1007" i="1"/>
  <c r="K1007" i="1"/>
  <c r="L1007" i="1"/>
  <c r="M1007" i="1"/>
  <c r="N1007" i="1"/>
  <c r="A1008" i="1"/>
  <c r="B1008" i="1"/>
  <c r="F1008" i="1"/>
  <c r="G1008" i="1"/>
  <c r="H1008" i="1"/>
  <c r="I1008" i="1"/>
  <c r="J1008" i="1"/>
  <c r="K1008" i="1"/>
  <c r="L1008" i="1"/>
  <c r="M1008" i="1"/>
  <c r="N1008" i="1"/>
  <c r="A1009" i="1"/>
  <c r="B1009" i="1"/>
  <c r="F1009" i="1"/>
  <c r="G1009" i="1"/>
  <c r="H1009" i="1"/>
  <c r="I1009" i="1"/>
  <c r="J1009" i="1"/>
  <c r="K1009" i="1"/>
  <c r="L1009" i="1"/>
  <c r="M1009" i="1"/>
  <c r="N1009" i="1"/>
  <c r="A1010" i="1"/>
  <c r="B1010" i="1"/>
  <c r="F1010" i="1"/>
  <c r="G1010" i="1"/>
  <c r="H1010" i="1"/>
  <c r="I1010" i="1"/>
  <c r="J1010" i="1"/>
  <c r="K1010" i="1"/>
  <c r="L1010" i="1"/>
  <c r="M1010" i="1"/>
  <c r="N1010" i="1"/>
  <c r="A1011" i="1"/>
  <c r="B1011" i="1"/>
  <c r="F1011" i="1"/>
  <c r="G1011" i="1"/>
  <c r="H1011" i="1"/>
  <c r="I1011" i="1"/>
  <c r="J1011" i="1"/>
  <c r="K1011" i="1"/>
  <c r="L1011" i="1"/>
  <c r="M1011" i="1"/>
  <c r="N1011" i="1"/>
  <c r="A1012" i="1"/>
  <c r="B1012" i="1"/>
  <c r="F1012" i="1"/>
  <c r="G1012" i="1"/>
  <c r="H1012" i="1"/>
  <c r="I1012" i="1"/>
  <c r="J1012" i="1"/>
  <c r="K1012" i="1"/>
  <c r="L1012" i="1"/>
  <c r="M1012" i="1"/>
  <c r="N1012" i="1"/>
  <c r="A1013" i="1"/>
  <c r="B1013" i="1"/>
  <c r="F1013" i="1"/>
  <c r="G1013" i="1"/>
  <c r="H1013" i="1"/>
  <c r="I1013" i="1"/>
  <c r="J1013" i="1"/>
  <c r="K1013" i="1"/>
  <c r="L1013" i="1"/>
  <c r="M1013" i="1"/>
  <c r="N1013" i="1"/>
  <c r="A1014" i="1"/>
  <c r="B1014" i="1"/>
  <c r="F1014" i="1"/>
  <c r="G1014" i="1"/>
  <c r="H1014" i="1"/>
  <c r="I1014" i="1"/>
  <c r="J1014" i="1"/>
  <c r="K1014" i="1"/>
  <c r="L1014" i="1"/>
  <c r="M1014" i="1"/>
  <c r="N1014" i="1"/>
  <c r="A1015" i="1"/>
  <c r="B1015" i="1"/>
  <c r="F1015" i="1"/>
  <c r="G1015" i="1"/>
  <c r="H1015" i="1"/>
  <c r="I1015" i="1"/>
  <c r="J1015" i="1"/>
  <c r="K1015" i="1"/>
  <c r="L1015" i="1"/>
  <c r="M1015" i="1"/>
  <c r="N1015" i="1"/>
  <c r="A1016" i="1"/>
  <c r="B1016" i="1"/>
  <c r="F1016" i="1"/>
  <c r="G1016" i="1"/>
  <c r="H1016" i="1"/>
  <c r="I1016" i="1"/>
  <c r="J1016" i="1"/>
  <c r="K1016" i="1"/>
  <c r="L1016" i="1"/>
  <c r="M1016" i="1"/>
  <c r="N1016" i="1"/>
  <c r="A1017" i="1"/>
  <c r="B1017" i="1"/>
  <c r="F1017" i="1"/>
  <c r="G1017" i="1"/>
  <c r="H1017" i="1"/>
  <c r="I1017" i="1"/>
  <c r="J1017" i="1"/>
  <c r="K1017" i="1"/>
  <c r="L1017" i="1"/>
  <c r="M1017" i="1"/>
  <c r="N1017" i="1"/>
  <c r="A1018" i="1"/>
  <c r="B1018" i="1"/>
  <c r="F1018" i="1"/>
  <c r="G1018" i="1"/>
  <c r="H1018" i="1"/>
  <c r="I1018" i="1"/>
  <c r="J1018" i="1"/>
  <c r="K1018" i="1"/>
  <c r="L1018" i="1"/>
  <c r="M1018" i="1"/>
  <c r="N1018" i="1"/>
  <c r="A1019" i="1"/>
  <c r="B1019" i="1"/>
  <c r="F1019" i="1"/>
  <c r="G1019" i="1"/>
  <c r="H1019" i="1"/>
  <c r="I1019" i="1"/>
  <c r="J1019" i="1"/>
  <c r="K1019" i="1"/>
  <c r="L1019" i="1"/>
  <c r="M1019" i="1"/>
  <c r="N1019" i="1"/>
  <c r="A1020" i="1"/>
  <c r="B1020" i="1"/>
  <c r="F1020" i="1"/>
  <c r="G1020" i="1"/>
  <c r="H1020" i="1"/>
  <c r="I1020" i="1"/>
  <c r="J1020" i="1"/>
  <c r="K1020" i="1"/>
  <c r="L1020" i="1"/>
  <c r="M1020" i="1"/>
  <c r="N1020" i="1"/>
  <c r="A1021" i="1"/>
  <c r="B1021" i="1"/>
  <c r="F1021" i="1"/>
  <c r="G1021" i="1"/>
  <c r="H1021" i="1"/>
  <c r="I1021" i="1"/>
  <c r="J1021" i="1"/>
  <c r="K1021" i="1"/>
  <c r="L1021" i="1"/>
  <c r="M1021" i="1"/>
  <c r="N1021" i="1"/>
  <c r="A1022" i="1"/>
  <c r="B1022" i="1"/>
  <c r="F1022" i="1"/>
  <c r="G1022" i="1"/>
  <c r="H1022" i="1"/>
  <c r="I1022" i="1"/>
  <c r="J1022" i="1"/>
  <c r="K1022" i="1"/>
  <c r="L1022" i="1"/>
  <c r="M1022" i="1"/>
  <c r="N1022" i="1"/>
  <c r="A1023" i="1"/>
  <c r="B1023" i="1"/>
  <c r="F1023" i="1"/>
  <c r="G1023" i="1"/>
  <c r="H1023" i="1"/>
  <c r="I1023" i="1"/>
  <c r="J1023" i="1"/>
  <c r="K1023" i="1"/>
  <c r="L1023" i="1"/>
  <c r="M1023" i="1"/>
  <c r="N1023" i="1"/>
  <c r="A1024" i="1"/>
  <c r="B1024" i="1"/>
  <c r="F1024" i="1"/>
  <c r="G1024" i="1"/>
  <c r="H1024" i="1"/>
  <c r="I1024" i="1"/>
  <c r="J1024" i="1"/>
  <c r="K1024" i="1"/>
  <c r="L1024" i="1"/>
  <c r="M1024" i="1"/>
  <c r="N1024" i="1"/>
  <c r="A1025" i="1"/>
  <c r="B1025" i="1"/>
  <c r="F1025" i="1"/>
  <c r="G1025" i="1"/>
  <c r="H1025" i="1"/>
  <c r="I1025" i="1"/>
  <c r="J1025" i="1"/>
  <c r="K1025" i="1"/>
  <c r="L1025" i="1"/>
  <c r="M1025" i="1"/>
  <c r="N1025" i="1"/>
  <c r="A1026" i="1"/>
  <c r="B1026" i="1"/>
  <c r="F1026" i="1"/>
  <c r="G1026" i="1"/>
  <c r="H1026" i="1"/>
  <c r="I1026" i="1"/>
  <c r="J1026" i="1"/>
  <c r="K1026" i="1"/>
  <c r="L1026" i="1"/>
  <c r="M1026" i="1"/>
  <c r="N1026" i="1"/>
  <c r="A1027" i="1"/>
  <c r="B1027" i="1"/>
  <c r="F1027" i="1"/>
  <c r="G1027" i="1"/>
  <c r="H1027" i="1"/>
  <c r="I1027" i="1"/>
  <c r="J1027" i="1"/>
  <c r="K1027" i="1"/>
  <c r="L1027" i="1"/>
  <c r="M1027" i="1"/>
  <c r="N1027" i="1"/>
  <c r="A1028" i="1"/>
  <c r="B1028" i="1"/>
  <c r="F1028" i="1"/>
  <c r="G1028" i="1"/>
  <c r="H1028" i="1"/>
  <c r="I1028" i="1"/>
  <c r="J1028" i="1"/>
  <c r="K1028" i="1"/>
  <c r="L1028" i="1"/>
  <c r="M1028" i="1"/>
  <c r="N1028" i="1"/>
  <c r="A1029" i="1"/>
  <c r="B1029" i="1"/>
  <c r="F1029" i="1"/>
  <c r="G1029" i="1"/>
  <c r="H1029" i="1"/>
  <c r="I1029" i="1"/>
  <c r="J1029" i="1"/>
  <c r="K1029" i="1"/>
  <c r="L1029" i="1"/>
  <c r="M1029" i="1"/>
  <c r="N1029" i="1"/>
  <c r="A1030" i="1"/>
  <c r="B1030" i="1"/>
  <c r="F1030" i="1"/>
  <c r="G1030" i="1"/>
  <c r="H1030" i="1"/>
  <c r="I1030" i="1"/>
  <c r="J1030" i="1"/>
  <c r="K1030" i="1"/>
  <c r="L1030" i="1"/>
  <c r="M1030" i="1"/>
  <c r="N1030" i="1"/>
  <c r="A1031" i="1"/>
  <c r="B1031" i="1"/>
  <c r="F1031" i="1"/>
  <c r="G1031" i="1"/>
  <c r="H1031" i="1"/>
  <c r="I1031" i="1"/>
  <c r="J1031" i="1"/>
  <c r="K1031" i="1"/>
  <c r="L1031" i="1"/>
  <c r="M1031" i="1"/>
  <c r="N1031" i="1"/>
  <c r="A1032" i="1"/>
  <c r="B1032" i="1"/>
  <c r="F1032" i="1"/>
  <c r="G1032" i="1"/>
  <c r="H1032" i="1"/>
  <c r="I1032" i="1"/>
  <c r="J1032" i="1"/>
  <c r="K1032" i="1"/>
  <c r="L1032" i="1"/>
  <c r="M1032" i="1"/>
  <c r="N1032" i="1"/>
  <c r="A1033" i="1"/>
  <c r="B1033" i="1"/>
  <c r="F1033" i="1"/>
  <c r="G1033" i="1"/>
  <c r="H1033" i="1"/>
  <c r="I1033" i="1"/>
  <c r="J1033" i="1"/>
  <c r="K1033" i="1"/>
  <c r="L1033" i="1"/>
  <c r="M1033" i="1"/>
  <c r="N1033" i="1"/>
  <c r="A1034" i="1"/>
  <c r="B1034" i="1"/>
  <c r="F1034" i="1"/>
  <c r="G1034" i="1"/>
  <c r="H1034" i="1"/>
  <c r="I1034" i="1"/>
  <c r="J1034" i="1"/>
  <c r="K1034" i="1"/>
  <c r="L1034" i="1"/>
  <c r="M1034" i="1"/>
  <c r="N1034" i="1"/>
  <c r="A1035" i="1"/>
  <c r="B1035" i="1"/>
  <c r="F1035" i="1"/>
  <c r="G1035" i="1"/>
  <c r="H1035" i="1"/>
  <c r="I1035" i="1"/>
  <c r="J1035" i="1"/>
  <c r="K1035" i="1"/>
  <c r="L1035" i="1"/>
  <c r="M1035" i="1"/>
  <c r="N1035" i="1"/>
  <c r="A1036" i="1"/>
  <c r="B1036" i="1"/>
  <c r="F1036" i="1"/>
  <c r="G1036" i="1"/>
  <c r="H1036" i="1"/>
  <c r="I1036" i="1"/>
  <c r="J1036" i="1"/>
  <c r="K1036" i="1"/>
  <c r="L1036" i="1"/>
  <c r="M1036" i="1"/>
  <c r="N1036" i="1"/>
  <c r="A1037" i="1"/>
  <c r="B1037" i="1"/>
  <c r="F1037" i="1"/>
  <c r="G1037" i="1"/>
  <c r="H1037" i="1"/>
  <c r="I1037" i="1"/>
  <c r="J1037" i="1"/>
  <c r="K1037" i="1"/>
  <c r="L1037" i="1"/>
  <c r="M1037" i="1"/>
  <c r="N1037" i="1"/>
  <c r="A1038" i="1"/>
  <c r="B1038" i="1"/>
  <c r="F1038" i="1"/>
  <c r="G1038" i="1"/>
  <c r="H1038" i="1"/>
  <c r="I1038" i="1"/>
  <c r="J1038" i="1"/>
  <c r="K1038" i="1"/>
  <c r="L1038" i="1"/>
  <c r="M1038" i="1"/>
  <c r="N1038" i="1"/>
  <c r="A1039" i="1"/>
  <c r="B1039" i="1"/>
  <c r="F1039" i="1"/>
  <c r="G1039" i="1"/>
  <c r="H1039" i="1"/>
  <c r="I1039" i="1"/>
  <c r="J1039" i="1"/>
  <c r="K1039" i="1"/>
  <c r="L1039" i="1"/>
  <c r="M1039" i="1"/>
  <c r="N1039" i="1"/>
  <c r="A1040" i="1"/>
  <c r="B1040" i="1"/>
  <c r="F1040" i="1"/>
  <c r="G1040" i="1"/>
  <c r="H1040" i="1"/>
  <c r="I1040" i="1"/>
  <c r="J1040" i="1"/>
  <c r="K1040" i="1"/>
  <c r="L1040" i="1"/>
  <c r="M1040" i="1"/>
  <c r="N1040" i="1"/>
  <c r="A1041" i="1"/>
  <c r="B1041" i="1"/>
  <c r="F1041" i="1"/>
  <c r="G1041" i="1"/>
  <c r="H1041" i="1"/>
  <c r="I1041" i="1"/>
  <c r="J1041" i="1"/>
  <c r="K1041" i="1"/>
  <c r="L1041" i="1"/>
  <c r="M1041" i="1"/>
  <c r="N1041" i="1"/>
  <c r="A1042" i="1"/>
  <c r="B1042" i="1"/>
  <c r="F1042" i="1"/>
  <c r="G1042" i="1"/>
  <c r="H1042" i="1"/>
  <c r="I1042" i="1"/>
  <c r="J1042" i="1"/>
  <c r="K1042" i="1"/>
  <c r="L1042" i="1"/>
  <c r="M1042" i="1"/>
  <c r="N1042" i="1"/>
  <c r="A1043" i="1"/>
  <c r="B1043" i="1"/>
  <c r="F1043" i="1"/>
  <c r="G1043" i="1"/>
  <c r="H1043" i="1"/>
  <c r="I1043" i="1"/>
  <c r="J1043" i="1"/>
  <c r="K1043" i="1"/>
  <c r="L1043" i="1"/>
  <c r="M1043" i="1"/>
  <c r="N1043" i="1"/>
  <c r="A1044" i="1"/>
  <c r="B1044" i="1"/>
  <c r="F1044" i="1"/>
  <c r="G1044" i="1"/>
  <c r="H1044" i="1"/>
  <c r="I1044" i="1"/>
  <c r="J1044" i="1"/>
  <c r="K1044" i="1"/>
  <c r="L1044" i="1"/>
  <c r="M1044" i="1"/>
  <c r="N1044" i="1"/>
  <c r="A1045" i="1"/>
  <c r="B1045" i="1"/>
  <c r="F1045" i="1"/>
  <c r="G1045" i="1"/>
  <c r="H1045" i="1"/>
  <c r="I1045" i="1"/>
  <c r="J1045" i="1"/>
  <c r="K1045" i="1"/>
  <c r="L1045" i="1"/>
  <c r="M1045" i="1"/>
  <c r="N1045" i="1"/>
  <c r="A1046" i="1"/>
  <c r="B1046" i="1"/>
  <c r="F1046" i="1"/>
  <c r="G1046" i="1"/>
  <c r="H1046" i="1"/>
  <c r="I1046" i="1"/>
  <c r="J1046" i="1"/>
  <c r="K1046" i="1"/>
  <c r="L1046" i="1"/>
  <c r="M1046" i="1"/>
  <c r="N1046" i="1"/>
  <c r="A1047" i="1"/>
  <c r="B1047" i="1"/>
  <c r="F1047" i="1"/>
  <c r="G1047" i="1"/>
  <c r="H1047" i="1"/>
  <c r="I1047" i="1"/>
  <c r="J1047" i="1"/>
  <c r="K1047" i="1"/>
  <c r="L1047" i="1"/>
  <c r="M1047" i="1"/>
  <c r="N1047" i="1"/>
  <c r="A1048" i="1"/>
  <c r="B1048" i="1"/>
  <c r="F1048" i="1"/>
  <c r="G1048" i="1"/>
  <c r="H1048" i="1"/>
  <c r="I1048" i="1"/>
  <c r="J1048" i="1"/>
  <c r="K1048" i="1"/>
  <c r="L1048" i="1"/>
  <c r="M1048" i="1"/>
  <c r="N1048" i="1"/>
  <c r="A1049" i="1"/>
  <c r="B1049" i="1"/>
  <c r="F1049" i="1"/>
  <c r="G1049" i="1"/>
  <c r="H1049" i="1"/>
  <c r="I1049" i="1"/>
  <c r="J1049" i="1"/>
  <c r="K1049" i="1"/>
  <c r="L1049" i="1"/>
  <c r="M1049" i="1"/>
  <c r="N1049" i="1"/>
  <c r="A1050" i="1"/>
  <c r="B1050" i="1"/>
  <c r="F1050" i="1"/>
  <c r="G1050" i="1"/>
  <c r="H1050" i="1"/>
  <c r="I1050" i="1"/>
  <c r="J1050" i="1"/>
  <c r="K1050" i="1"/>
  <c r="L1050" i="1"/>
  <c r="M1050" i="1"/>
  <c r="N1050" i="1"/>
  <c r="A1051" i="1"/>
  <c r="B1051" i="1"/>
  <c r="F1051" i="1"/>
  <c r="G1051" i="1"/>
  <c r="H1051" i="1"/>
  <c r="I1051" i="1"/>
  <c r="J1051" i="1"/>
  <c r="K1051" i="1"/>
  <c r="L1051" i="1"/>
  <c r="M1051" i="1"/>
  <c r="N1051" i="1"/>
  <c r="A1052" i="1"/>
  <c r="B1052" i="1"/>
  <c r="F1052" i="1"/>
  <c r="G1052" i="1"/>
  <c r="H1052" i="1"/>
  <c r="I1052" i="1"/>
  <c r="J1052" i="1"/>
  <c r="K1052" i="1"/>
  <c r="L1052" i="1"/>
  <c r="M1052" i="1"/>
  <c r="N1052" i="1"/>
  <c r="A1053" i="1"/>
  <c r="B1053" i="1"/>
  <c r="F1053" i="1"/>
  <c r="G1053" i="1"/>
  <c r="H1053" i="1"/>
  <c r="I1053" i="1"/>
  <c r="J1053" i="1"/>
  <c r="K1053" i="1"/>
  <c r="L1053" i="1"/>
  <c r="M1053" i="1"/>
  <c r="N1053" i="1"/>
  <c r="A1054" i="1"/>
  <c r="B1054" i="1"/>
  <c r="F1054" i="1"/>
  <c r="G1054" i="1"/>
  <c r="H1054" i="1"/>
  <c r="I1054" i="1"/>
  <c r="J1054" i="1"/>
  <c r="K1054" i="1"/>
  <c r="L1054" i="1"/>
  <c r="M1054" i="1"/>
  <c r="N1054" i="1"/>
  <c r="A1055" i="1"/>
  <c r="B1055" i="1"/>
  <c r="F1055" i="1"/>
  <c r="G1055" i="1"/>
  <c r="H1055" i="1"/>
  <c r="I1055" i="1"/>
  <c r="J1055" i="1"/>
  <c r="K1055" i="1"/>
  <c r="L1055" i="1"/>
  <c r="M1055" i="1"/>
  <c r="N1055" i="1"/>
  <c r="A1056" i="1"/>
  <c r="B1056" i="1"/>
  <c r="F1056" i="1"/>
  <c r="G1056" i="1"/>
  <c r="H1056" i="1"/>
  <c r="I1056" i="1"/>
  <c r="J1056" i="1"/>
  <c r="K1056" i="1"/>
  <c r="L1056" i="1"/>
  <c r="M1056" i="1"/>
  <c r="N1056" i="1"/>
  <c r="A1057" i="1"/>
  <c r="B1057" i="1"/>
  <c r="F1057" i="1"/>
  <c r="G1057" i="1"/>
  <c r="H1057" i="1"/>
  <c r="I1057" i="1"/>
  <c r="J1057" i="1"/>
  <c r="K1057" i="1"/>
  <c r="L1057" i="1"/>
  <c r="M1057" i="1"/>
  <c r="N1057" i="1"/>
  <c r="A1058" i="1"/>
  <c r="B1058" i="1"/>
  <c r="F1058" i="1"/>
  <c r="G1058" i="1"/>
  <c r="H1058" i="1"/>
  <c r="I1058" i="1"/>
  <c r="J1058" i="1"/>
  <c r="K1058" i="1"/>
  <c r="L1058" i="1"/>
  <c r="M1058" i="1"/>
  <c r="N1058" i="1"/>
  <c r="A1059" i="1"/>
  <c r="B1059" i="1"/>
  <c r="F1059" i="1"/>
  <c r="G1059" i="1"/>
  <c r="H1059" i="1"/>
  <c r="I1059" i="1"/>
  <c r="J1059" i="1"/>
  <c r="K1059" i="1"/>
  <c r="L1059" i="1"/>
  <c r="M1059" i="1"/>
  <c r="N1059" i="1"/>
  <c r="A1060" i="1"/>
  <c r="B1060" i="1"/>
  <c r="F1060" i="1"/>
  <c r="G1060" i="1"/>
  <c r="H1060" i="1"/>
  <c r="I1060" i="1"/>
  <c r="J1060" i="1"/>
  <c r="K1060" i="1"/>
  <c r="L1060" i="1"/>
  <c r="M1060" i="1"/>
  <c r="N1060" i="1"/>
  <c r="A1061" i="1"/>
  <c r="B1061" i="1"/>
  <c r="F1061" i="1"/>
  <c r="G1061" i="1"/>
  <c r="H1061" i="1"/>
  <c r="I1061" i="1"/>
  <c r="J1061" i="1"/>
  <c r="K1061" i="1"/>
  <c r="L1061" i="1"/>
  <c r="M1061" i="1"/>
  <c r="N1061" i="1"/>
  <c r="A1062" i="1"/>
  <c r="B1062" i="1"/>
  <c r="F1062" i="1"/>
  <c r="G1062" i="1"/>
  <c r="H1062" i="1"/>
  <c r="I1062" i="1"/>
  <c r="J1062" i="1"/>
  <c r="K1062" i="1"/>
  <c r="L1062" i="1"/>
  <c r="M1062" i="1"/>
  <c r="N1062" i="1"/>
  <c r="A1063" i="1"/>
  <c r="B1063" i="1"/>
  <c r="F1063" i="1"/>
  <c r="G1063" i="1"/>
  <c r="H1063" i="1"/>
  <c r="I1063" i="1"/>
  <c r="J1063" i="1"/>
  <c r="K1063" i="1"/>
  <c r="L1063" i="1"/>
  <c r="M1063" i="1"/>
  <c r="N1063" i="1"/>
  <c r="A1064" i="1"/>
  <c r="B1064" i="1"/>
  <c r="F1064" i="1"/>
  <c r="G1064" i="1"/>
  <c r="H1064" i="1"/>
  <c r="I1064" i="1"/>
  <c r="J1064" i="1"/>
  <c r="K1064" i="1"/>
  <c r="L1064" i="1"/>
  <c r="M1064" i="1"/>
  <c r="N1064" i="1"/>
  <c r="A1065" i="1"/>
  <c r="B1065" i="1"/>
  <c r="F1065" i="1"/>
  <c r="G1065" i="1"/>
  <c r="H1065" i="1"/>
  <c r="I1065" i="1"/>
  <c r="J1065" i="1"/>
  <c r="K1065" i="1"/>
  <c r="L1065" i="1"/>
  <c r="M1065" i="1"/>
  <c r="N1065" i="1"/>
  <c r="A1066" i="1"/>
  <c r="B1066" i="1"/>
  <c r="F1066" i="1"/>
  <c r="G1066" i="1"/>
  <c r="H1066" i="1"/>
  <c r="I1066" i="1"/>
  <c r="J1066" i="1"/>
  <c r="K1066" i="1"/>
  <c r="L1066" i="1"/>
  <c r="M1066" i="1"/>
  <c r="N1066" i="1"/>
  <c r="A1067" i="1"/>
  <c r="B1067" i="1"/>
  <c r="F1067" i="1"/>
  <c r="G1067" i="1"/>
  <c r="H1067" i="1"/>
  <c r="I1067" i="1"/>
  <c r="J1067" i="1"/>
  <c r="K1067" i="1"/>
  <c r="L1067" i="1"/>
  <c r="M1067" i="1"/>
  <c r="N1067" i="1"/>
  <c r="A1068" i="1"/>
  <c r="B1068" i="1"/>
  <c r="F1068" i="1"/>
  <c r="G1068" i="1"/>
  <c r="H1068" i="1"/>
  <c r="I1068" i="1"/>
  <c r="J1068" i="1"/>
  <c r="K1068" i="1"/>
  <c r="L1068" i="1"/>
  <c r="M1068" i="1"/>
  <c r="N1068" i="1"/>
  <c r="A1069" i="1"/>
  <c r="B1069" i="1"/>
  <c r="F1069" i="1"/>
  <c r="G1069" i="1"/>
  <c r="H1069" i="1"/>
  <c r="I1069" i="1"/>
  <c r="J1069" i="1"/>
  <c r="K1069" i="1"/>
  <c r="L1069" i="1"/>
  <c r="M1069" i="1"/>
  <c r="N1069" i="1"/>
  <c r="A1070" i="1"/>
  <c r="B1070" i="1"/>
  <c r="F1070" i="1"/>
  <c r="G1070" i="1"/>
  <c r="H1070" i="1"/>
  <c r="I1070" i="1"/>
  <c r="J1070" i="1"/>
  <c r="K1070" i="1"/>
  <c r="L1070" i="1"/>
  <c r="M1070" i="1"/>
  <c r="N1070" i="1"/>
  <c r="A1071" i="1"/>
  <c r="B1071" i="1"/>
  <c r="F1071" i="1"/>
  <c r="G1071" i="1"/>
  <c r="H1071" i="1"/>
  <c r="I1071" i="1"/>
  <c r="J1071" i="1"/>
  <c r="K1071" i="1"/>
  <c r="L1071" i="1"/>
  <c r="M1071" i="1"/>
  <c r="N1071" i="1"/>
  <c r="A1072" i="1"/>
  <c r="B1072" i="1"/>
  <c r="F1072" i="1"/>
  <c r="G1072" i="1"/>
  <c r="H1072" i="1"/>
  <c r="I1072" i="1"/>
  <c r="J1072" i="1"/>
  <c r="K1072" i="1"/>
  <c r="L1072" i="1"/>
  <c r="M1072" i="1"/>
  <c r="N1072" i="1"/>
  <c r="A1073" i="1"/>
  <c r="B1073" i="1"/>
  <c r="F1073" i="1"/>
  <c r="G1073" i="1"/>
  <c r="H1073" i="1"/>
  <c r="I1073" i="1"/>
  <c r="J1073" i="1"/>
  <c r="K1073" i="1"/>
  <c r="L1073" i="1"/>
  <c r="M1073" i="1"/>
  <c r="N1073" i="1"/>
  <c r="A1074" i="1"/>
  <c r="B1074" i="1"/>
  <c r="F1074" i="1"/>
  <c r="G1074" i="1"/>
  <c r="H1074" i="1"/>
  <c r="I1074" i="1"/>
  <c r="J1074" i="1"/>
  <c r="K1074" i="1"/>
  <c r="L1074" i="1"/>
  <c r="M1074" i="1"/>
  <c r="N1074" i="1"/>
  <c r="A1075" i="1"/>
  <c r="B1075" i="1"/>
  <c r="F1075" i="1"/>
  <c r="G1075" i="1"/>
  <c r="H1075" i="1"/>
  <c r="I1075" i="1"/>
  <c r="J1075" i="1"/>
  <c r="K1075" i="1"/>
  <c r="L1075" i="1"/>
  <c r="M1075" i="1"/>
  <c r="N1075" i="1"/>
  <c r="A1076" i="1"/>
  <c r="B1076" i="1"/>
  <c r="F1076" i="1"/>
  <c r="G1076" i="1"/>
  <c r="H1076" i="1"/>
  <c r="I1076" i="1"/>
  <c r="J1076" i="1"/>
  <c r="K1076" i="1"/>
  <c r="L1076" i="1"/>
  <c r="M1076" i="1"/>
  <c r="N1076" i="1"/>
  <c r="A1077" i="1"/>
  <c r="B1077" i="1"/>
  <c r="F1077" i="1"/>
  <c r="G1077" i="1"/>
  <c r="H1077" i="1"/>
  <c r="I1077" i="1"/>
  <c r="J1077" i="1"/>
  <c r="K1077" i="1"/>
  <c r="L1077" i="1"/>
  <c r="M1077" i="1"/>
  <c r="N1077" i="1"/>
  <c r="A1078" i="1"/>
  <c r="B1078" i="1"/>
  <c r="F1078" i="1"/>
  <c r="G1078" i="1"/>
  <c r="H1078" i="1"/>
  <c r="I1078" i="1"/>
  <c r="J1078" i="1"/>
  <c r="K1078" i="1"/>
  <c r="L1078" i="1"/>
  <c r="M1078" i="1"/>
  <c r="N1078" i="1"/>
  <c r="A1079" i="1"/>
  <c r="B1079" i="1"/>
  <c r="F1079" i="1"/>
  <c r="G1079" i="1"/>
  <c r="H1079" i="1"/>
  <c r="I1079" i="1"/>
  <c r="J1079" i="1"/>
  <c r="K1079" i="1"/>
  <c r="L1079" i="1"/>
  <c r="M1079" i="1"/>
  <c r="N1079" i="1"/>
  <c r="A1080" i="1"/>
  <c r="B1080" i="1"/>
  <c r="F1080" i="1"/>
  <c r="G1080" i="1"/>
  <c r="H1080" i="1"/>
  <c r="I1080" i="1"/>
  <c r="J1080" i="1"/>
  <c r="K1080" i="1"/>
  <c r="L1080" i="1"/>
  <c r="M1080" i="1"/>
  <c r="N1080" i="1"/>
  <c r="A1081" i="1"/>
  <c r="B1081" i="1"/>
  <c r="F1081" i="1"/>
  <c r="G1081" i="1"/>
  <c r="H1081" i="1"/>
  <c r="I1081" i="1"/>
  <c r="J1081" i="1"/>
  <c r="K1081" i="1"/>
  <c r="L1081" i="1"/>
  <c r="M1081" i="1"/>
  <c r="N1081" i="1"/>
  <c r="A1082" i="1"/>
  <c r="B1082" i="1"/>
  <c r="F1082" i="1"/>
  <c r="G1082" i="1"/>
  <c r="H1082" i="1"/>
  <c r="I1082" i="1"/>
  <c r="J1082" i="1"/>
  <c r="K1082" i="1"/>
  <c r="L1082" i="1"/>
  <c r="M1082" i="1"/>
  <c r="N1082" i="1"/>
  <c r="A1083" i="1"/>
  <c r="B1083" i="1"/>
  <c r="F1083" i="1"/>
  <c r="G1083" i="1"/>
  <c r="H1083" i="1"/>
  <c r="I1083" i="1"/>
  <c r="J1083" i="1"/>
  <c r="K1083" i="1"/>
  <c r="L1083" i="1"/>
  <c r="M1083" i="1"/>
  <c r="N1083" i="1"/>
  <c r="A1084" i="1"/>
  <c r="B1084" i="1"/>
  <c r="F1084" i="1"/>
  <c r="G1084" i="1"/>
  <c r="H1084" i="1"/>
  <c r="I1084" i="1"/>
  <c r="J1084" i="1"/>
  <c r="K1084" i="1"/>
  <c r="L1084" i="1"/>
  <c r="M1084" i="1"/>
  <c r="N1084" i="1"/>
  <c r="A1085" i="1"/>
  <c r="B1085" i="1"/>
  <c r="F1085" i="1"/>
  <c r="G1085" i="1"/>
  <c r="H1085" i="1"/>
  <c r="I1085" i="1"/>
  <c r="J1085" i="1"/>
  <c r="K1085" i="1"/>
  <c r="L1085" i="1"/>
  <c r="M1085" i="1"/>
  <c r="N1085" i="1"/>
  <c r="A1086" i="1"/>
  <c r="B1086" i="1"/>
  <c r="F1086" i="1"/>
  <c r="G1086" i="1"/>
  <c r="H1086" i="1"/>
  <c r="I1086" i="1"/>
  <c r="J1086" i="1"/>
  <c r="K1086" i="1"/>
  <c r="L1086" i="1"/>
  <c r="M1086" i="1"/>
  <c r="N1086" i="1"/>
  <c r="A1087" i="1"/>
  <c r="B1087" i="1"/>
  <c r="F1087" i="1"/>
  <c r="G1087" i="1"/>
  <c r="H1087" i="1"/>
  <c r="I1087" i="1"/>
  <c r="J1087" i="1"/>
  <c r="K1087" i="1"/>
  <c r="L1087" i="1"/>
  <c r="M1087" i="1"/>
  <c r="N1087" i="1"/>
  <c r="A1088" i="1"/>
  <c r="B1088" i="1"/>
  <c r="F1088" i="1"/>
  <c r="G1088" i="1"/>
  <c r="H1088" i="1"/>
  <c r="I1088" i="1"/>
  <c r="J1088" i="1"/>
  <c r="K1088" i="1"/>
  <c r="L1088" i="1"/>
  <c r="M1088" i="1"/>
  <c r="N1088" i="1"/>
  <c r="A1089" i="1"/>
  <c r="B1089" i="1"/>
  <c r="F1089" i="1"/>
  <c r="G1089" i="1"/>
  <c r="H1089" i="1"/>
  <c r="I1089" i="1"/>
  <c r="J1089" i="1"/>
  <c r="K1089" i="1"/>
  <c r="L1089" i="1"/>
  <c r="M1089" i="1"/>
  <c r="N1089" i="1"/>
  <c r="A1090" i="1"/>
  <c r="B1090" i="1"/>
  <c r="F1090" i="1"/>
  <c r="G1090" i="1"/>
  <c r="H1090" i="1"/>
  <c r="I1090" i="1"/>
  <c r="J1090" i="1"/>
  <c r="K1090" i="1"/>
  <c r="L1090" i="1"/>
  <c r="M1090" i="1"/>
  <c r="N1090" i="1"/>
  <c r="A1091" i="1"/>
  <c r="B1091" i="1"/>
  <c r="F1091" i="1"/>
  <c r="G1091" i="1"/>
  <c r="H1091" i="1"/>
  <c r="I1091" i="1"/>
  <c r="J1091" i="1"/>
  <c r="K1091" i="1"/>
  <c r="L1091" i="1"/>
  <c r="M1091" i="1"/>
  <c r="N1091" i="1"/>
  <c r="A1092" i="1"/>
  <c r="B1092" i="1"/>
  <c r="F1092" i="1"/>
  <c r="G1092" i="1"/>
  <c r="H1092" i="1"/>
  <c r="I1092" i="1"/>
  <c r="J1092" i="1"/>
  <c r="K1092" i="1"/>
  <c r="L1092" i="1"/>
  <c r="M1092" i="1"/>
  <c r="N1092" i="1"/>
  <c r="A1093" i="1"/>
  <c r="B1093" i="1"/>
  <c r="F1093" i="1"/>
  <c r="G1093" i="1"/>
  <c r="H1093" i="1"/>
  <c r="I1093" i="1"/>
  <c r="J1093" i="1"/>
  <c r="K1093" i="1"/>
  <c r="L1093" i="1"/>
  <c r="M1093" i="1"/>
  <c r="N1093" i="1"/>
  <c r="A1094" i="1"/>
  <c r="B1094" i="1"/>
  <c r="F1094" i="1"/>
  <c r="G1094" i="1"/>
  <c r="H1094" i="1"/>
  <c r="I1094" i="1"/>
  <c r="J1094" i="1"/>
  <c r="K1094" i="1"/>
  <c r="L1094" i="1"/>
  <c r="M1094" i="1"/>
  <c r="N1094" i="1"/>
  <c r="A1095" i="1"/>
  <c r="B1095" i="1"/>
  <c r="F1095" i="1"/>
  <c r="G1095" i="1"/>
  <c r="H1095" i="1"/>
  <c r="I1095" i="1"/>
  <c r="J1095" i="1"/>
  <c r="K1095" i="1"/>
  <c r="L1095" i="1"/>
  <c r="M1095" i="1"/>
  <c r="N1095" i="1"/>
  <c r="A1096" i="1"/>
  <c r="B1096" i="1"/>
  <c r="F1096" i="1"/>
  <c r="G1096" i="1"/>
  <c r="H1096" i="1"/>
  <c r="I1096" i="1"/>
  <c r="J1096" i="1"/>
  <c r="K1096" i="1"/>
  <c r="L1096" i="1"/>
  <c r="M1096" i="1"/>
  <c r="N1096" i="1"/>
  <c r="A1097" i="1"/>
  <c r="B1097" i="1"/>
  <c r="F1097" i="1"/>
  <c r="G1097" i="1"/>
  <c r="H1097" i="1"/>
  <c r="I1097" i="1"/>
  <c r="J1097" i="1"/>
  <c r="K1097" i="1"/>
  <c r="L1097" i="1"/>
  <c r="M1097" i="1"/>
  <c r="N1097" i="1"/>
  <c r="A1098" i="1"/>
  <c r="B1098" i="1"/>
  <c r="F1098" i="1"/>
  <c r="G1098" i="1"/>
  <c r="H1098" i="1"/>
  <c r="I1098" i="1"/>
  <c r="J1098" i="1"/>
  <c r="K1098" i="1"/>
  <c r="L1098" i="1"/>
  <c r="M1098" i="1"/>
  <c r="N1098" i="1"/>
  <c r="A1099" i="1"/>
  <c r="B1099" i="1"/>
  <c r="F1099" i="1"/>
  <c r="G1099" i="1"/>
  <c r="H1099" i="1"/>
  <c r="I1099" i="1"/>
  <c r="J1099" i="1"/>
  <c r="K1099" i="1"/>
  <c r="L1099" i="1"/>
  <c r="M1099" i="1"/>
  <c r="N1099" i="1"/>
  <c r="A1100" i="1"/>
  <c r="B1100" i="1"/>
  <c r="F1100" i="1"/>
  <c r="G1100" i="1"/>
  <c r="H1100" i="1"/>
  <c r="I1100" i="1"/>
  <c r="J1100" i="1"/>
  <c r="K1100" i="1"/>
  <c r="L1100" i="1"/>
  <c r="M1100" i="1"/>
  <c r="N1100" i="1"/>
  <c r="A1101" i="1"/>
  <c r="B1101" i="1"/>
  <c r="F1101" i="1"/>
  <c r="G1101" i="1"/>
  <c r="H1101" i="1"/>
  <c r="I1101" i="1"/>
  <c r="J1101" i="1"/>
  <c r="K1101" i="1"/>
  <c r="L1101" i="1"/>
  <c r="M1101" i="1"/>
  <c r="N1101" i="1"/>
  <c r="A1102" i="1"/>
  <c r="B1102" i="1"/>
  <c r="F1102" i="1"/>
  <c r="G1102" i="1"/>
  <c r="H1102" i="1"/>
  <c r="I1102" i="1"/>
  <c r="J1102" i="1"/>
  <c r="K1102" i="1"/>
  <c r="L1102" i="1"/>
  <c r="M1102" i="1"/>
  <c r="N1102" i="1"/>
  <c r="A1103" i="1"/>
  <c r="B1103" i="1"/>
  <c r="F1103" i="1"/>
  <c r="G1103" i="1"/>
  <c r="H1103" i="1"/>
  <c r="I1103" i="1"/>
  <c r="J1103" i="1"/>
  <c r="K1103" i="1"/>
  <c r="L1103" i="1"/>
  <c r="M1103" i="1"/>
  <c r="N1103" i="1"/>
  <c r="A1104" i="1"/>
  <c r="B1104" i="1"/>
  <c r="F1104" i="1"/>
  <c r="G1104" i="1"/>
  <c r="H1104" i="1"/>
  <c r="I1104" i="1"/>
  <c r="J1104" i="1"/>
  <c r="K1104" i="1"/>
  <c r="L1104" i="1"/>
  <c r="M1104" i="1"/>
  <c r="N1104" i="1"/>
  <c r="A1105" i="1"/>
  <c r="B1105" i="1"/>
  <c r="F1105" i="1"/>
  <c r="G1105" i="1"/>
  <c r="H1105" i="1"/>
  <c r="I1105" i="1"/>
  <c r="J1105" i="1"/>
  <c r="K1105" i="1"/>
  <c r="L1105" i="1"/>
  <c r="M1105" i="1"/>
  <c r="N1105" i="1"/>
  <c r="A1106" i="1"/>
  <c r="B1106" i="1"/>
  <c r="F1106" i="1"/>
  <c r="G1106" i="1"/>
  <c r="H1106" i="1"/>
  <c r="I1106" i="1"/>
  <c r="J1106" i="1"/>
  <c r="K1106" i="1"/>
  <c r="L1106" i="1"/>
  <c r="M1106" i="1"/>
  <c r="N1106" i="1"/>
  <c r="A1107" i="1"/>
  <c r="B1107" i="1"/>
  <c r="F1107" i="1"/>
  <c r="G1107" i="1"/>
  <c r="H1107" i="1"/>
  <c r="I1107" i="1"/>
  <c r="J1107" i="1"/>
  <c r="K1107" i="1"/>
  <c r="L1107" i="1"/>
  <c r="M1107" i="1"/>
  <c r="N1107" i="1"/>
  <c r="A1108" i="1"/>
  <c r="B1108" i="1"/>
  <c r="F1108" i="1"/>
  <c r="G1108" i="1"/>
  <c r="H1108" i="1"/>
  <c r="I1108" i="1"/>
  <c r="J1108" i="1"/>
  <c r="K1108" i="1"/>
  <c r="L1108" i="1"/>
  <c r="M1108" i="1"/>
  <c r="N1108" i="1"/>
  <c r="A1109" i="1"/>
  <c r="B1109" i="1"/>
  <c r="F1109" i="1"/>
  <c r="G1109" i="1"/>
  <c r="H1109" i="1"/>
  <c r="I1109" i="1"/>
  <c r="J1109" i="1"/>
  <c r="K1109" i="1"/>
  <c r="L1109" i="1"/>
  <c r="M1109" i="1"/>
  <c r="N1109" i="1"/>
  <c r="A1110" i="1"/>
  <c r="B1110" i="1"/>
  <c r="F1110" i="1"/>
  <c r="G1110" i="1"/>
  <c r="H1110" i="1"/>
  <c r="I1110" i="1"/>
  <c r="J1110" i="1"/>
  <c r="K1110" i="1"/>
  <c r="L1110" i="1"/>
  <c r="M1110" i="1"/>
  <c r="N1110" i="1"/>
  <c r="A1111" i="1"/>
  <c r="B1111" i="1"/>
  <c r="F1111" i="1"/>
  <c r="G1111" i="1"/>
  <c r="H1111" i="1"/>
  <c r="I1111" i="1"/>
  <c r="J1111" i="1"/>
  <c r="K1111" i="1"/>
  <c r="L1111" i="1"/>
  <c r="M1111" i="1"/>
  <c r="N1111" i="1"/>
  <c r="A1112" i="1"/>
  <c r="B1112" i="1"/>
  <c r="F1112" i="1"/>
  <c r="G1112" i="1"/>
  <c r="H1112" i="1"/>
  <c r="I1112" i="1"/>
  <c r="J1112" i="1"/>
  <c r="K1112" i="1"/>
  <c r="L1112" i="1"/>
  <c r="M1112" i="1"/>
  <c r="N1112" i="1"/>
  <c r="A1113" i="1"/>
  <c r="B1113" i="1"/>
  <c r="F1113" i="1"/>
  <c r="G1113" i="1"/>
  <c r="H1113" i="1"/>
  <c r="I1113" i="1"/>
  <c r="J1113" i="1"/>
  <c r="K1113" i="1"/>
  <c r="L1113" i="1"/>
  <c r="M1113" i="1"/>
  <c r="N1113" i="1"/>
  <c r="A1114" i="1"/>
  <c r="B1114" i="1"/>
  <c r="F1114" i="1"/>
  <c r="G1114" i="1"/>
  <c r="H1114" i="1"/>
  <c r="I1114" i="1"/>
  <c r="J1114" i="1"/>
  <c r="K1114" i="1"/>
  <c r="L1114" i="1"/>
  <c r="M1114" i="1"/>
  <c r="N1114" i="1"/>
  <c r="A1115" i="1"/>
  <c r="B1115" i="1"/>
  <c r="F1115" i="1"/>
  <c r="G1115" i="1"/>
  <c r="H1115" i="1"/>
  <c r="I1115" i="1"/>
  <c r="J1115" i="1"/>
  <c r="K1115" i="1"/>
  <c r="L1115" i="1"/>
  <c r="M1115" i="1"/>
  <c r="N1115" i="1"/>
  <c r="A1116" i="1"/>
  <c r="B1116" i="1"/>
  <c r="F1116" i="1"/>
  <c r="G1116" i="1"/>
  <c r="H1116" i="1"/>
  <c r="I1116" i="1"/>
  <c r="J1116" i="1"/>
  <c r="K1116" i="1"/>
  <c r="L1116" i="1"/>
  <c r="M1116" i="1"/>
  <c r="N1116" i="1"/>
  <c r="A1117" i="1"/>
  <c r="B1117" i="1"/>
  <c r="F1117" i="1"/>
  <c r="G1117" i="1"/>
  <c r="H1117" i="1"/>
  <c r="I1117" i="1"/>
  <c r="J1117" i="1"/>
  <c r="K1117" i="1"/>
  <c r="L1117" i="1"/>
  <c r="M1117" i="1"/>
  <c r="N1117" i="1"/>
  <c r="A1118" i="1"/>
  <c r="B1118" i="1"/>
  <c r="F1118" i="1"/>
  <c r="G1118" i="1"/>
  <c r="H1118" i="1"/>
  <c r="I1118" i="1"/>
  <c r="J1118" i="1"/>
  <c r="K1118" i="1"/>
  <c r="L1118" i="1"/>
  <c r="M1118" i="1"/>
  <c r="N1118" i="1"/>
  <c r="A1119" i="1"/>
  <c r="B1119" i="1"/>
  <c r="F1119" i="1"/>
  <c r="G1119" i="1"/>
  <c r="H1119" i="1"/>
  <c r="I1119" i="1"/>
  <c r="J1119" i="1"/>
  <c r="K1119" i="1"/>
  <c r="L1119" i="1"/>
  <c r="M1119" i="1"/>
  <c r="N1119" i="1"/>
  <c r="A1120" i="1"/>
  <c r="B1120" i="1"/>
  <c r="F1120" i="1"/>
  <c r="G1120" i="1"/>
  <c r="H1120" i="1"/>
  <c r="I1120" i="1"/>
  <c r="J1120" i="1"/>
  <c r="K1120" i="1"/>
  <c r="L1120" i="1"/>
  <c r="M1120" i="1"/>
  <c r="N1120" i="1"/>
  <c r="A1121" i="1"/>
  <c r="B1121" i="1"/>
  <c r="F1121" i="1"/>
  <c r="G1121" i="1"/>
  <c r="H1121" i="1"/>
  <c r="I1121" i="1"/>
  <c r="J1121" i="1"/>
  <c r="K1121" i="1"/>
  <c r="L1121" i="1"/>
  <c r="M1121" i="1"/>
  <c r="N1121" i="1"/>
  <c r="A1122" i="1"/>
  <c r="B1122" i="1"/>
  <c r="F1122" i="1"/>
  <c r="G1122" i="1"/>
  <c r="H1122" i="1"/>
  <c r="I1122" i="1"/>
  <c r="J1122" i="1"/>
  <c r="K1122" i="1"/>
  <c r="L1122" i="1"/>
  <c r="M1122" i="1"/>
  <c r="N1122" i="1"/>
  <c r="A1123" i="1"/>
  <c r="B1123" i="1"/>
  <c r="F1123" i="1"/>
  <c r="G1123" i="1"/>
  <c r="H1123" i="1"/>
  <c r="I1123" i="1"/>
  <c r="J1123" i="1"/>
  <c r="K1123" i="1"/>
  <c r="L1123" i="1"/>
  <c r="M1123" i="1"/>
  <c r="N1123" i="1"/>
  <c r="A1124" i="1"/>
  <c r="B1124" i="1"/>
  <c r="F1124" i="1"/>
  <c r="G1124" i="1"/>
  <c r="H1124" i="1"/>
  <c r="I1124" i="1"/>
  <c r="J1124" i="1"/>
  <c r="K1124" i="1"/>
  <c r="L1124" i="1"/>
  <c r="M1124" i="1"/>
  <c r="N1124" i="1"/>
  <c r="A1125" i="1"/>
  <c r="B1125" i="1"/>
  <c r="F1125" i="1"/>
  <c r="G1125" i="1"/>
  <c r="H1125" i="1"/>
  <c r="I1125" i="1"/>
  <c r="J1125" i="1"/>
  <c r="K1125" i="1"/>
  <c r="L1125" i="1"/>
  <c r="M1125" i="1"/>
  <c r="N1125" i="1"/>
  <c r="A1126" i="1"/>
  <c r="B1126" i="1"/>
  <c r="F1126" i="1"/>
  <c r="G1126" i="1"/>
  <c r="H1126" i="1"/>
  <c r="I1126" i="1"/>
  <c r="J1126" i="1"/>
  <c r="K1126" i="1"/>
  <c r="L1126" i="1"/>
  <c r="M1126" i="1"/>
  <c r="N1126" i="1"/>
  <c r="A1127" i="1"/>
  <c r="B1127" i="1"/>
  <c r="F1127" i="1"/>
  <c r="G1127" i="1"/>
  <c r="H1127" i="1"/>
  <c r="I1127" i="1"/>
  <c r="J1127" i="1"/>
  <c r="K1127" i="1"/>
  <c r="L1127" i="1"/>
  <c r="M1127" i="1"/>
  <c r="N1127" i="1"/>
  <c r="A1128" i="1"/>
  <c r="B1128" i="1"/>
  <c r="F1128" i="1"/>
  <c r="G1128" i="1"/>
  <c r="H1128" i="1"/>
  <c r="I1128" i="1"/>
  <c r="J1128" i="1"/>
  <c r="K1128" i="1"/>
  <c r="L1128" i="1"/>
  <c r="M1128" i="1"/>
  <c r="N1128" i="1"/>
  <c r="A1129" i="1"/>
  <c r="B1129" i="1"/>
  <c r="F1129" i="1"/>
  <c r="G1129" i="1"/>
  <c r="H1129" i="1"/>
  <c r="I1129" i="1"/>
  <c r="J1129" i="1"/>
  <c r="K1129" i="1"/>
  <c r="L1129" i="1"/>
  <c r="M1129" i="1"/>
  <c r="N1129" i="1"/>
  <c r="A1130" i="1"/>
  <c r="B1130" i="1"/>
  <c r="F1130" i="1"/>
  <c r="G1130" i="1"/>
  <c r="H1130" i="1"/>
  <c r="I1130" i="1"/>
  <c r="J1130" i="1"/>
  <c r="K1130" i="1"/>
  <c r="L1130" i="1"/>
  <c r="M1130" i="1"/>
  <c r="N1130" i="1"/>
  <c r="A1131" i="1"/>
  <c r="B1131" i="1"/>
  <c r="F1131" i="1"/>
  <c r="G1131" i="1"/>
  <c r="H1131" i="1"/>
  <c r="I1131" i="1"/>
  <c r="J1131" i="1"/>
  <c r="K1131" i="1"/>
  <c r="L1131" i="1"/>
  <c r="M1131" i="1"/>
  <c r="N1131" i="1"/>
  <c r="A1132" i="1"/>
  <c r="B1132" i="1"/>
  <c r="F1132" i="1"/>
  <c r="G1132" i="1"/>
  <c r="H1132" i="1"/>
  <c r="I1132" i="1"/>
  <c r="J1132" i="1"/>
  <c r="K1132" i="1"/>
  <c r="L1132" i="1"/>
  <c r="M1132" i="1"/>
  <c r="N1132" i="1"/>
  <c r="A1133" i="1"/>
  <c r="B1133" i="1"/>
  <c r="F1133" i="1"/>
  <c r="G1133" i="1"/>
  <c r="H1133" i="1"/>
  <c r="I1133" i="1"/>
  <c r="J1133" i="1"/>
  <c r="K1133" i="1"/>
  <c r="L1133" i="1"/>
  <c r="M1133" i="1"/>
  <c r="N1133" i="1"/>
  <c r="A1134" i="1"/>
  <c r="B1134" i="1"/>
  <c r="F1134" i="1"/>
  <c r="G1134" i="1"/>
  <c r="H1134" i="1"/>
  <c r="I1134" i="1"/>
  <c r="J1134" i="1"/>
  <c r="K1134" i="1"/>
  <c r="L1134" i="1"/>
  <c r="M1134" i="1"/>
  <c r="N1134" i="1"/>
  <c r="A1135" i="1"/>
  <c r="B1135" i="1"/>
  <c r="F1135" i="1"/>
  <c r="G1135" i="1"/>
  <c r="H1135" i="1"/>
  <c r="I1135" i="1"/>
  <c r="J1135" i="1"/>
  <c r="K1135" i="1"/>
  <c r="L1135" i="1"/>
  <c r="M1135" i="1"/>
  <c r="N1135" i="1"/>
  <c r="A1136" i="1"/>
  <c r="B1136" i="1"/>
  <c r="F1136" i="1"/>
  <c r="G1136" i="1"/>
  <c r="H1136" i="1"/>
  <c r="I1136" i="1"/>
  <c r="J1136" i="1"/>
  <c r="K1136" i="1"/>
  <c r="L1136" i="1"/>
  <c r="M1136" i="1"/>
  <c r="N1136" i="1"/>
  <c r="A1137" i="1"/>
  <c r="B1137" i="1"/>
  <c r="F1137" i="1"/>
  <c r="G1137" i="1"/>
  <c r="H1137" i="1"/>
  <c r="I1137" i="1"/>
  <c r="J1137" i="1"/>
  <c r="K1137" i="1"/>
  <c r="L1137" i="1"/>
  <c r="M1137" i="1"/>
  <c r="N1137" i="1"/>
  <c r="A1138" i="1"/>
  <c r="B1138" i="1"/>
  <c r="F1138" i="1"/>
  <c r="G1138" i="1"/>
  <c r="H1138" i="1"/>
  <c r="I1138" i="1"/>
  <c r="J1138" i="1"/>
  <c r="K1138" i="1"/>
  <c r="L1138" i="1"/>
  <c r="M1138" i="1"/>
  <c r="N1138" i="1"/>
  <c r="A1139" i="1"/>
  <c r="B1139" i="1"/>
  <c r="F1139" i="1"/>
  <c r="G1139" i="1"/>
  <c r="H1139" i="1"/>
  <c r="I1139" i="1"/>
  <c r="J1139" i="1"/>
  <c r="K1139" i="1"/>
  <c r="L1139" i="1"/>
  <c r="M1139" i="1"/>
  <c r="N1139" i="1"/>
  <c r="A1140" i="1"/>
  <c r="B1140" i="1"/>
  <c r="F1140" i="1"/>
  <c r="G1140" i="1"/>
  <c r="H1140" i="1"/>
  <c r="I1140" i="1"/>
  <c r="J1140" i="1"/>
  <c r="K1140" i="1"/>
  <c r="L1140" i="1"/>
  <c r="M1140" i="1"/>
  <c r="N1140" i="1"/>
  <c r="A1141" i="1"/>
  <c r="B1141" i="1"/>
  <c r="F1141" i="1"/>
  <c r="G1141" i="1"/>
  <c r="H1141" i="1"/>
  <c r="I1141" i="1"/>
  <c r="J1141" i="1"/>
  <c r="K1141" i="1"/>
  <c r="L1141" i="1"/>
  <c r="M1141" i="1"/>
  <c r="N1141" i="1"/>
  <c r="A1142" i="1"/>
  <c r="B1142" i="1"/>
  <c r="F1142" i="1"/>
  <c r="G1142" i="1"/>
  <c r="H1142" i="1"/>
  <c r="I1142" i="1"/>
  <c r="J1142" i="1"/>
  <c r="K1142" i="1"/>
  <c r="L1142" i="1"/>
  <c r="M1142" i="1"/>
  <c r="N1142" i="1"/>
  <c r="A1143" i="1"/>
  <c r="B1143" i="1"/>
  <c r="F1143" i="1"/>
  <c r="G1143" i="1"/>
  <c r="H1143" i="1"/>
  <c r="I1143" i="1"/>
  <c r="J1143" i="1"/>
  <c r="K1143" i="1"/>
  <c r="L1143" i="1"/>
  <c r="M1143" i="1"/>
  <c r="N1143" i="1"/>
  <c r="A1144" i="1"/>
  <c r="B1144" i="1"/>
  <c r="F1144" i="1"/>
  <c r="G1144" i="1"/>
  <c r="H1144" i="1"/>
  <c r="I1144" i="1"/>
  <c r="J1144" i="1"/>
  <c r="K1144" i="1"/>
  <c r="L1144" i="1"/>
  <c r="M1144" i="1"/>
  <c r="N1144" i="1"/>
  <c r="A1145" i="1"/>
  <c r="B1145" i="1"/>
  <c r="F1145" i="1"/>
  <c r="G1145" i="1"/>
  <c r="H1145" i="1"/>
  <c r="I1145" i="1"/>
  <c r="J1145" i="1"/>
  <c r="K1145" i="1"/>
  <c r="L1145" i="1"/>
  <c r="M1145" i="1"/>
  <c r="N1145" i="1"/>
  <c r="A1146" i="1"/>
  <c r="B1146" i="1"/>
  <c r="F1146" i="1"/>
  <c r="G1146" i="1"/>
  <c r="H1146" i="1"/>
  <c r="I1146" i="1"/>
  <c r="J1146" i="1"/>
  <c r="K1146" i="1"/>
  <c r="L1146" i="1"/>
  <c r="M1146" i="1"/>
  <c r="N1146" i="1"/>
  <c r="A1147" i="1"/>
  <c r="B1147" i="1"/>
  <c r="F1147" i="1"/>
  <c r="G1147" i="1"/>
  <c r="H1147" i="1"/>
  <c r="I1147" i="1"/>
  <c r="J1147" i="1"/>
  <c r="K1147" i="1"/>
  <c r="L1147" i="1"/>
  <c r="M1147" i="1"/>
  <c r="N1147" i="1"/>
  <c r="A1148" i="1"/>
  <c r="B1148" i="1"/>
  <c r="F1148" i="1"/>
  <c r="G1148" i="1"/>
  <c r="H1148" i="1"/>
  <c r="I1148" i="1"/>
  <c r="J1148" i="1"/>
  <c r="K1148" i="1"/>
  <c r="L1148" i="1"/>
  <c r="M1148" i="1"/>
  <c r="N1148" i="1"/>
  <c r="A1149" i="1"/>
  <c r="B1149" i="1"/>
  <c r="F1149" i="1"/>
  <c r="G1149" i="1"/>
  <c r="H1149" i="1"/>
  <c r="I1149" i="1"/>
  <c r="J1149" i="1"/>
  <c r="K1149" i="1"/>
  <c r="L1149" i="1"/>
  <c r="M1149" i="1"/>
  <c r="N1149" i="1"/>
  <c r="A1150" i="1"/>
  <c r="B1150" i="1"/>
  <c r="F1150" i="1"/>
  <c r="G1150" i="1"/>
  <c r="H1150" i="1"/>
  <c r="I1150" i="1"/>
  <c r="J1150" i="1"/>
  <c r="K1150" i="1"/>
  <c r="L1150" i="1"/>
  <c r="M1150" i="1"/>
  <c r="N1150" i="1"/>
  <c r="A1151" i="1"/>
  <c r="B1151" i="1"/>
  <c r="F1151" i="1"/>
  <c r="G1151" i="1"/>
  <c r="H1151" i="1"/>
  <c r="I1151" i="1"/>
  <c r="J1151" i="1"/>
  <c r="K1151" i="1"/>
  <c r="L1151" i="1"/>
  <c r="M1151" i="1"/>
  <c r="N1151" i="1"/>
  <c r="A1152" i="1"/>
  <c r="B1152" i="1"/>
  <c r="F1152" i="1"/>
  <c r="G1152" i="1"/>
  <c r="H1152" i="1"/>
  <c r="I1152" i="1"/>
  <c r="J1152" i="1"/>
  <c r="K1152" i="1"/>
  <c r="L1152" i="1"/>
  <c r="M1152" i="1"/>
  <c r="N1152" i="1"/>
  <c r="A1153" i="1"/>
  <c r="B1153" i="1"/>
  <c r="F1153" i="1"/>
  <c r="G1153" i="1"/>
  <c r="H1153" i="1"/>
  <c r="I1153" i="1"/>
  <c r="J1153" i="1"/>
  <c r="K1153" i="1"/>
  <c r="L1153" i="1"/>
  <c r="M1153" i="1"/>
  <c r="N1153" i="1"/>
  <c r="A1154" i="1"/>
  <c r="B1154" i="1"/>
  <c r="F1154" i="1"/>
  <c r="G1154" i="1"/>
  <c r="H1154" i="1"/>
  <c r="I1154" i="1"/>
  <c r="J1154" i="1"/>
  <c r="K1154" i="1"/>
  <c r="L1154" i="1"/>
  <c r="M1154" i="1"/>
  <c r="N1154" i="1"/>
  <c r="A1155" i="1"/>
  <c r="B1155" i="1"/>
  <c r="F1155" i="1"/>
  <c r="G1155" i="1"/>
  <c r="H1155" i="1"/>
  <c r="I1155" i="1"/>
  <c r="J1155" i="1"/>
  <c r="K1155" i="1"/>
  <c r="L1155" i="1"/>
  <c r="M1155" i="1"/>
  <c r="N1155" i="1"/>
  <c r="A1156" i="1"/>
  <c r="B1156" i="1"/>
  <c r="F1156" i="1"/>
  <c r="G1156" i="1"/>
  <c r="H1156" i="1"/>
  <c r="I1156" i="1"/>
  <c r="J1156" i="1"/>
  <c r="K1156" i="1"/>
  <c r="L1156" i="1"/>
  <c r="M1156" i="1"/>
  <c r="N1156" i="1"/>
  <c r="A1157" i="1"/>
  <c r="B1157" i="1"/>
  <c r="F1157" i="1"/>
  <c r="G1157" i="1"/>
  <c r="H1157" i="1"/>
  <c r="I1157" i="1"/>
  <c r="J1157" i="1"/>
  <c r="K1157" i="1"/>
  <c r="L1157" i="1"/>
  <c r="M1157" i="1"/>
  <c r="N1157" i="1"/>
  <c r="A1158" i="1"/>
  <c r="B1158" i="1"/>
  <c r="F1158" i="1"/>
  <c r="G1158" i="1"/>
  <c r="H1158" i="1"/>
  <c r="I1158" i="1"/>
  <c r="J1158" i="1"/>
  <c r="K1158" i="1"/>
  <c r="L1158" i="1"/>
  <c r="M1158" i="1"/>
  <c r="N1158" i="1"/>
  <c r="A1159" i="1"/>
  <c r="B1159" i="1"/>
  <c r="F1159" i="1"/>
  <c r="G1159" i="1"/>
  <c r="H1159" i="1"/>
  <c r="I1159" i="1"/>
  <c r="J1159" i="1"/>
  <c r="K1159" i="1"/>
  <c r="L1159" i="1"/>
  <c r="M1159" i="1"/>
  <c r="N1159" i="1"/>
  <c r="A1160" i="1"/>
  <c r="B1160" i="1"/>
  <c r="F1160" i="1"/>
  <c r="G1160" i="1"/>
  <c r="H1160" i="1"/>
  <c r="I1160" i="1"/>
  <c r="J1160" i="1"/>
  <c r="K1160" i="1"/>
  <c r="L1160" i="1"/>
  <c r="M1160" i="1"/>
  <c r="N1160" i="1"/>
  <c r="A1161" i="1"/>
  <c r="B1161" i="1"/>
  <c r="F1161" i="1"/>
  <c r="G1161" i="1"/>
  <c r="H1161" i="1"/>
  <c r="I1161" i="1"/>
  <c r="J1161" i="1"/>
  <c r="K1161" i="1"/>
  <c r="L1161" i="1"/>
  <c r="M1161" i="1"/>
  <c r="N1161" i="1"/>
  <c r="A1162" i="1"/>
  <c r="B1162" i="1"/>
  <c r="F1162" i="1"/>
  <c r="G1162" i="1"/>
  <c r="H1162" i="1"/>
  <c r="I1162" i="1"/>
  <c r="J1162" i="1"/>
  <c r="K1162" i="1"/>
  <c r="L1162" i="1"/>
  <c r="M1162" i="1"/>
  <c r="N1162" i="1"/>
  <c r="A1163" i="1"/>
  <c r="B1163" i="1"/>
  <c r="F1163" i="1"/>
  <c r="G1163" i="1"/>
  <c r="H1163" i="1"/>
  <c r="I1163" i="1"/>
  <c r="J1163" i="1"/>
  <c r="K1163" i="1"/>
  <c r="L1163" i="1"/>
  <c r="M1163" i="1"/>
  <c r="N1163" i="1"/>
  <c r="A1164" i="1"/>
  <c r="B1164" i="1"/>
  <c r="F1164" i="1"/>
  <c r="G1164" i="1"/>
  <c r="H1164" i="1"/>
  <c r="I1164" i="1"/>
  <c r="J1164" i="1"/>
  <c r="K1164" i="1"/>
  <c r="L1164" i="1"/>
  <c r="M1164" i="1"/>
  <c r="N1164" i="1"/>
  <c r="A1165" i="1"/>
  <c r="B1165" i="1"/>
  <c r="F1165" i="1"/>
  <c r="G1165" i="1"/>
  <c r="H1165" i="1"/>
  <c r="I1165" i="1"/>
  <c r="J1165" i="1"/>
  <c r="K1165" i="1"/>
  <c r="L1165" i="1"/>
  <c r="M1165" i="1"/>
  <c r="N1165" i="1"/>
  <c r="A1166" i="1"/>
  <c r="B1166" i="1"/>
  <c r="F1166" i="1"/>
  <c r="G1166" i="1"/>
  <c r="H1166" i="1"/>
  <c r="I1166" i="1"/>
  <c r="J1166" i="1"/>
  <c r="K1166" i="1"/>
  <c r="L1166" i="1"/>
  <c r="M1166" i="1"/>
  <c r="N1166" i="1"/>
  <c r="A1167" i="1"/>
  <c r="B1167" i="1"/>
  <c r="F1167" i="1"/>
  <c r="G1167" i="1"/>
  <c r="H1167" i="1"/>
  <c r="I1167" i="1"/>
  <c r="J1167" i="1"/>
  <c r="K1167" i="1"/>
  <c r="L1167" i="1"/>
  <c r="M1167" i="1"/>
  <c r="N1167" i="1"/>
  <c r="A1168" i="1"/>
  <c r="B1168" i="1"/>
  <c r="F1168" i="1"/>
  <c r="G1168" i="1"/>
  <c r="H1168" i="1"/>
  <c r="I1168" i="1"/>
  <c r="J1168" i="1"/>
  <c r="K1168" i="1"/>
  <c r="L1168" i="1"/>
  <c r="M1168" i="1"/>
  <c r="N1168" i="1"/>
  <c r="A1169" i="1"/>
  <c r="B1169" i="1"/>
  <c r="F1169" i="1"/>
  <c r="G1169" i="1"/>
  <c r="H1169" i="1"/>
  <c r="I1169" i="1"/>
  <c r="J1169" i="1"/>
  <c r="K1169" i="1"/>
  <c r="L1169" i="1"/>
  <c r="M1169" i="1"/>
  <c r="N1169" i="1"/>
  <c r="A1170" i="1"/>
  <c r="B1170" i="1"/>
  <c r="F1170" i="1"/>
  <c r="G1170" i="1"/>
  <c r="H1170" i="1"/>
  <c r="I1170" i="1"/>
  <c r="J1170" i="1"/>
  <c r="K1170" i="1"/>
  <c r="L1170" i="1"/>
  <c r="M1170" i="1"/>
  <c r="N1170" i="1"/>
  <c r="A1171" i="1"/>
  <c r="B1171" i="1"/>
  <c r="F1171" i="1"/>
  <c r="G1171" i="1"/>
  <c r="H1171" i="1"/>
  <c r="I1171" i="1"/>
  <c r="J1171" i="1"/>
  <c r="K1171" i="1"/>
  <c r="L1171" i="1"/>
  <c r="M1171" i="1"/>
  <c r="N1171" i="1"/>
  <c r="A1172" i="1"/>
  <c r="B1172" i="1"/>
  <c r="F1172" i="1"/>
  <c r="G1172" i="1"/>
  <c r="H1172" i="1"/>
  <c r="I1172" i="1"/>
  <c r="J1172" i="1"/>
  <c r="K1172" i="1"/>
  <c r="L1172" i="1"/>
  <c r="M1172" i="1"/>
  <c r="N1172" i="1"/>
  <c r="A1173" i="1"/>
  <c r="B1173" i="1"/>
  <c r="F1173" i="1"/>
  <c r="G1173" i="1"/>
  <c r="H1173" i="1"/>
  <c r="I1173" i="1"/>
  <c r="J1173" i="1"/>
  <c r="K1173" i="1"/>
  <c r="L1173" i="1"/>
  <c r="M1173" i="1"/>
  <c r="N1173" i="1"/>
  <c r="A1174" i="1"/>
  <c r="B1174" i="1"/>
  <c r="F1174" i="1"/>
  <c r="G1174" i="1"/>
  <c r="H1174" i="1"/>
  <c r="I1174" i="1"/>
  <c r="J1174" i="1"/>
  <c r="K1174" i="1"/>
  <c r="L1174" i="1"/>
  <c r="M1174" i="1"/>
  <c r="N1174" i="1"/>
  <c r="A1175" i="1"/>
  <c r="B1175" i="1"/>
  <c r="F1175" i="1"/>
  <c r="G1175" i="1"/>
  <c r="H1175" i="1"/>
  <c r="I1175" i="1"/>
  <c r="J1175" i="1"/>
  <c r="K1175" i="1"/>
  <c r="L1175" i="1"/>
  <c r="M1175" i="1"/>
  <c r="N1175" i="1"/>
  <c r="A1176" i="1"/>
  <c r="B1176" i="1"/>
  <c r="F1176" i="1"/>
  <c r="G1176" i="1"/>
  <c r="H1176" i="1"/>
  <c r="I1176" i="1"/>
  <c r="J1176" i="1"/>
  <c r="K1176" i="1"/>
  <c r="L1176" i="1"/>
  <c r="M1176" i="1"/>
  <c r="N1176" i="1"/>
  <c r="A1177" i="1"/>
  <c r="B1177" i="1"/>
  <c r="F1177" i="1"/>
  <c r="G1177" i="1"/>
  <c r="H1177" i="1"/>
  <c r="I1177" i="1"/>
  <c r="J1177" i="1"/>
  <c r="K1177" i="1"/>
  <c r="L1177" i="1"/>
  <c r="M1177" i="1"/>
  <c r="N1177" i="1"/>
  <c r="A1178" i="1"/>
  <c r="B1178" i="1"/>
  <c r="F1178" i="1"/>
  <c r="G1178" i="1"/>
  <c r="H1178" i="1"/>
  <c r="I1178" i="1"/>
  <c r="J1178" i="1"/>
  <c r="K1178" i="1"/>
  <c r="L1178" i="1"/>
  <c r="M1178" i="1"/>
  <c r="N1178" i="1"/>
  <c r="A1179" i="1"/>
  <c r="B1179" i="1"/>
  <c r="F1179" i="1"/>
  <c r="G1179" i="1"/>
  <c r="H1179" i="1"/>
  <c r="I1179" i="1"/>
  <c r="J1179" i="1"/>
  <c r="K1179" i="1"/>
  <c r="L1179" i="1"/>
  <c r="M1179" i="1"/>
  <c r="N1179" i="1"/>
  <c r="A1180" i="1"/>
  <c r="B1180" i="1"/>
  <c r="F1180" i="1"/>
  <c r="G1180" i="1"/>
  <c r="H1180" i="1"/>
  <c r="I1180" i="1"/>
  <c r="J1180" i="1"/>
  <c r="K1180" i="1"/>
  <c r="L1180" i="1"/>
  <c r="M1180" i="1"/>
  <c r="N1180" i="1"/>
  <c r="A1181" i="1"/>
  <c r="B1181" i="1"/>
  <c r="F1181" i="1"/>
  <c r="G1181" i="1"/>
  <c r="H1181" i="1"/>
  <c r="I1181" i="1"/>
  <c r="J1181" i="1"/>
  <c r="K1181" i="1"/>
  <c r="L1181" i="1"/>
  <c r="M1181" i="1"/>
  <c r="N1181" i="1"/>
  <c r="A1182" i="1"/>
  <c r="B1182" i="1"/>
  <c r="F1182" i="1"/>
  <c r="G1182" i="1"/>
  <c r="H1182" i="1"/>
  <c r="I1182" i="1"/>
  <c r="J1182" i="1"/>
  <c r="K1182" i="1"/>
  <c r="L1182" i="1"/>
  <c r="M1182" i="1"/>
  <c r="N1182" i="1"/>
  <c r="A1183" i="1"/>
  <c r="B1183" i="1"/>
  <c r="F1183" i="1"/>
  <c r="G1183" i="1"/>
  <c r="H1183" i="1"/>
  <c r="I1183" i="1"/>
  <c r="J1183" i="1"/>
  <c r="K1183" i="1"/>
  <c r="L1183" i="1"/>
  <c r="M1183" i="1"/>
  <c r="N1183" i="1"/>
  <c r="A1184" i="1"/>
  <c r="B1184" i="1"/>
  <c r="F1184" i="1"/>
  <c r="G1184" i="1"/>
  <c r="H1184" i="1"/>
  <c r="I1184" i="1"/>
  <c r="J1184" i="1"/>
  <c r="K1184" i="1"/>
  <c r="L1184" i="1"/>
  <c r="M1184" i="1"/>
  <c r="N1184" i="1"/>
  <c r="A1185" i="1"/>
  <c r="B1185" i="1"/>
  <c r="F1185" i="1"/>
  <c r="G1185" i="1"/>
  <c r="H1185" i="1"/>
  <c r="I1185" i="1"/>
  <c r="J1185" i="1"/>
  <c r="K1185" i="1"/>
  <c r="L1185" i="1"/>
  <c r="M1185" i="1"/>
  <c r="N1185" i="1"/>
  <c r="A1186" i="1"/>
  <c r="B1186" i="1"/>
  <c r="F1186" i="1"/>
  <c r="G1186" i="1"/>
  <c r="H1186" i="1"/>
  <c r="I1186" i="1"/>
  <c r="J1186" i="1"/>
  <c r="K1186" i="1"/>
  <c r="L1186" i="1"/>
  <c r="M1186" i="1"/>
  <c r="N1186" i="1"/>
  <c r="A1187" i="1"/>
  <c r="B1187" i="1"/>
  <c r="F1187" i="1"/>
  <c r="G1187" i="1"/>
  <c r="H1187" i="1"/>
  <c r="I1187" i="1"/>
  <c r="J1187" i="1"/>
  <c r="K1187" i="1"/>
  <c r="L1187" i="1"/>
  <c r="M1187" i="1"/>
  <c r="N1187" i="1"/>
  <c r="A1188" i="1"/>
  <c r="B1188" i="1"/>
  <c r="F1188" i="1"/>
  <c r="G1188" i="1"/>
  <c r="H1188" i="1"/>
  <c r="I1188" i="1"/>
  <c r="J1188" i="1"/>
  <c r="K1188" i="1"/>
  <c r="L1188" i="1"/>
  <c r="M1188" i="1"/>
  <c r="N1188" i="1"/>
  <c r="A1189" i="1"/>
  <c r="B1189" i="1"/>
  <c r="F1189" i="1"/>
  <c r="G1189" i="1"/>
  <c r="H1189" i="1"/>
  <c r="I1189" i="1"/>
  <c r="J1189" i="1"/>
  <c r="K1189" i="1"/>
  <c r="L1189" i="1"/>
  <c r="M1189" i="1"/>
  <c r="N1189" i="1"/>
  <c r="A1190" i="1"/>
  <c r="B1190" i="1"/>
  <c r="F1190" i="1"/>
  <c r="G1190" i="1"/>
  <c r="H1190" i="1"/>
  <c r="I1190" i="1"/>
  <c r="J1190" i="1"/>
  <c r="K1190" i="1"/>
  <c r="L1190" i="1"/>
  <c r="M1190" i="1"/>
  <c r="N1190" i="1"/>
  <c r="A1191" i="1"/>
  <c r="B1191" i="1"/>
  <c r="F1191" i="1"/>
  <c r="G1191" i="1"/>
  <c r="H1191" i="1"/>
  <c r="I1191" i="1"/>
  <c r="J1191" i="1"/>
  <c r="K1191" i="1"/>
  <c r="L1191" i="1"/>
  <c r="M1191" i="1"/>
  <c r="N1191" i="1"/>
  <c r="A1192" i="1"/>
  <c r="B1192" i="1"/>
  <c r="F1192" i="1"/>
  <c r="G1192" i="1"/>
  <c r="H1192" i="1"/>
  <c r="I1192" i="1"/>
  <c r="J1192" i="1"/>
  <c r="K1192" i="1"/>
  <c r="L1192" i="1"/>
  <c r="M1192" i="1"/>
  <c r="N1192" i="1"/>
  <c r="A1193" i="1"/>
  <c r="B1193" i="1"/>
  <c r="F1193" i="1"/>
  <c r="G1193" i="1"/>
  <c r="H1193" i="1"/>
  <c r="I1193" i="1"/>
  <c r="J1193" i="1"/>
  <c r="K1193" i="1"/>
  <c r="L1193" i="1"/>
  <c r="M1193" i="1"/>
  <c r="N1193" i="1"/>
  <c r="A1194" i="1"/>
  <c r="B1194" i="1"/>
  <c r="F1194" i="1"/>
  <c r="G1194" i="1"/>
  <c r="H1194" i="1"/>
  <c r="I1194" i="1"/>
  <c r="J1194" i="1"/>
  <c r="K1194" i="1"/>
  <c r="L1194" i="1"/>
  <c r="M1194" i="1"/>
  <c r="N1194" i="1"/>
  <c r="A1195" i="1"/>
  <c r="B1195" i="1"/>
  <c r="F1195" i="1"/>
  <c r="G1195" i="1"/>
  <c r="H1195" i="1"/>
  <c r="I1195" i="1"/>
  <c r="J1195" i="1"/>
  <c r="K1195" i="1"/>
  <c r="L1195" i="1"/>
  <c r="M1195" i="1"/>
  <c r="N1195" i="1"/>
  <c r="A1196" i="1"/>
  <c r="B1196" i="1"/>
  <c r="F1196" i="1"/>
  <c r="G1196" i="1"/>
  <c r="H1196" i="1"/>
  <c r="I1196" i="1"/>
  <c r="J1196" i="1"/>
  <c r="K1196" i="1"/>
  <c r="L1196" i="1"/>
  <c r="M1196" i="1"/>
  <c r="N1196" i="1"/>
  <c r="A1197" i="1"/>
  <c r="B1197" i="1"/>
  <c r="F1197" i="1"/>
  <c r="G1197" i="1"/>
  <c r="H1197" i="1"/>
  <c r="I1197" i="1"/>
  <c r="J1197" i="1"/>
  <c r="K1197" i="1"/>
  <c r="L1197" i="1"/>
  <c r="M1197" i="1"/>
  <c r="N1197" i="1"/>
  <c r="A1198" i="1"/>
  <c r="B1198" i="1"/>
  <c r="F1198" i="1"/>
  <c r="G1198" i="1"/>
  <c r="H1198" i="1"/>
  <c r="I1198" i="1"/>
  <c r="J1198" i="1"/>
  <c r="K1198" i="1"/>
  <c r="L1198" i="1"/>
  <c r="M1198" i="1"/>
  <c r="N1198" i="1"/>
  <c r="A1199" i="1"/>
  <c r="B1199" i="1"/>
  <c r="F1199" i="1"/>
  <c r="G1199" i="1"/>
  <c r="H1199" i="1"/>
  <c r="I1199" i="1"/>
  <c r="J1199" i="1"/>
  <c r="K1199" i="1"/>
  <c r="L1199" i="1"/>
  <c r="M1199" i="1"/>
  <c r="N1199" i="1"/>
  <c r="A1200" i="1"/>
  <c r="B1200" i="1"/>
  <c r="F1200" i="1"/>
  <c r="G1200" i="1"/>
  <c r="H1200" i="1"/>
  <c r="I1200" i="1"/>
  <c r="J1200" i="1"/>
  <c r="K1200" i="1"/>
  <c r="L1200" i="1"/>
  <c r="M1200" i="1"/>
  <c r="N1200" i="1"/>
  <c r="A1201" i="1"/>
  <c r="B1201" i="1"/>
  <c r="F1201" i="1"/>
  <c r="G1201" i="1"/>
  <c r="H1201" i="1"/>
  <c r="I1201" i="1"/>
  <c r="J1201" i="1"/>
  <c r="K1201" i="1"/>
  <c r="L1201" i="1"/>
  <c r="M1201" i="1"/>
  <c r="N1201" i="1"/>
  <c r="A1202" i="1"/>
  <c r="B1202" i="1"/>
  <c r="F1202" i="1"/>
  <c r="G1202" i="1"/>
  <c r="H1202" i="1"/>
  <c r="I1202" i="1"/>
  <c r="J1202" i="1"/>
  <c r="K1202" i="1"/>
  <c r="L1202" i="1"/>
  <c r="M1202" i="1"/>
  <c r="N1202" i="1"/>
  <c r="A1203" i="1"/>
  <c r="B1203" i="1"/>
  <c r="F1203" i="1"/>
  <c r="G1203" i="1"/>
  <c r="H1203" i="1"/>
  <c r="I1203" i="1"/>
  <c r="J1203" i="1"/>
  <c r="K1203" i="1"/>
  <c r="L1203" i="1"/>
  <c r="M1203" i="1"/>
  <c r="N1203" i="1"/>
  <c r="A1204" i="1"/>
  <c r="B1204" i="1"/>
  <c r="F1204" i="1"/>
  <c r="G1204" i="1"/>
  <c r="H1204" i="1"/>
  <c r="I1204" i="1"/>
  <c r="J1204" i="1"/>
  <c r="K1204" i="1"/>
  <c r="L1204" i="1"/>
  <c r="M1204" i="1"/>
  <c r="N1204" i="1"/>
  <c r="A1205" i="1"/>
  <c r="B1205" i="1"/>
  <c r="F1205" i="1"/>
  <c r="G1205" i="1"/>
  <c r="H1205" i="1"/>
  <c r="I1205" i="1"/>
  <c r="J1205" i="1"/>
  <c r="K1205" i="1"/>
  <c r="L1205" i="1"/>
  <c r="M1205" i="1"/>
  <c r="N1205" i="1"/>
  <c r="A1206" i="1"/>
  <c r="B1206" i="1"/>
  <c r="F1206" i="1"/>
  <c r="G1206" i="1"/>
  <c r="H1206" i="1"/>
  <c r="I1206" i="1"/>
  <c r="J1206" i="1"/>
  <c r="K1206" i="1"/>
  <c r="L1206" i="1"/>
  <c r="M1206" i="1"/>
  <c r="N1206" i="1"/>
  <c r="A1207" i="1"/>
  <c r="B1207" i="1"/>
  <c r="F1207" i="1"/>
  <c r="G1207" i="1"/>
  <c r="H1207" i="1"/>
  <c r="I1207" i="1"/>
  <c r="J1207" i="1"/>
  <c r="K1207" i="1"/>
  <c r="L1207" i="1"/>
  <c r="M1207" i="1"/>
  <c r="N1207" i="1"/>
  <c r="A1208" i="1"/>
  <c r="B1208" i="1"/>
  <c r="F1208" i="1"/>
  <c r="G1208" i="1"/>
  <c r="H1208" i="1"/>
  <c r="I1208" i="1"/>
  <c r="J1208" i="1"/>
  <c r="K1208" i="1"/>
  <c r="L1208" i="1"/>
  <c r="M1208" i="1"/>
  <c r="N1208" i="1"/>
  <c r="A1209" i="1"/>
  <c r="B1209" i="1"/>
  <c r="F1209" i="1"/>
  <c r="G1209" i="1"/>
  <c r="H1209" i="1"/>
  <c r="I1209" i="1"/>
  <c r="J1209" i="1"/>
  <c r="K1209" i="1"/>
  <c r="L1209" i="1"/>
  <c r="M1209" i="1"/>
  <c r="N1209" i="1"/>
  <c r="A1210" i="1"/>
  <c r="B1210" i="1"/>
  <c r="F1210" i="1"/>
  <c r="G1210" i="1"/>
  <c r="H1210" i="1"/>
  <c r="I1210" i="1"/>
  <c r="J1210" i="1"/>
  <c r="K1210" i="1"/>
  <c r="L1210" i="1"/>
  <c r="M1210" i="1"/>
  <c r="N1210" i="1"/>
  <c r="A1211" i="1"/>
  <c r="B1211" i="1"/>
  <c r="F1211" i="1"/>
  <c r="G1211" i="1"/>
  <c r="H1211" i="1"/>
  <c r="I1211" i="1"/>
  <c r="J1211" i="1"/>
  <c r="K1211" i="1"/>
  <c r="L1211" i="1"/>
  <c r="M1211" i="1"/>
  <c r="N1211" i="1"/>
  <c r="A1212" i="1"/>
  <c r="B1212" i="1"/>
  <c r="F1212" i="1"/>
  <c r="G1212" i="1"/>
  <c r="H1212" i="1"/>
  <c r="I1212" i="1"/>
  <c r="J1212" i="1"/>
  <c r="K1212" i="1"/>
  <c r="L1212" i="1"/>
  <c r="M1212" i="1"/>
  <c r="N1212" i="1"/>
  <c r="A1213" i="1"/>
  <c r="B1213" i="1"/>
  <c r="F1213" i="1"/>
  <c r="G1213" i="1"/>
  <c r="H1213" i="1"/>
  <c r="I1213" i="1"/>
  <c r="J1213" i="1"/>
  <c r="K1213" i="1"/>
  <c r="L1213" i="1"/>
  <c r="M1213" i="1"/>
  <c r="N1213" i="1"/>
  <c r="A1214" i="1"/>
  <c r="B1214" i="1"/>
  <c r="F1214" i="1"/>
  <c r="G1214" i="1"/>
  <c r="H1214" i="1"/>
  <c r="I1214" i="1"/>
  <c r="J1214" i="1"/>
  <c r="K1214" i="1"/>
  <c r="L1214" i="1"/>
  <c r="M1214" i="1"/>
  <c r="N1214" i="1"/>
  <c r="A1215" i="1"/>
  <c r="B1215" i="1"/>
  <c r="F1215" i="1"/>
  <c r="G1215" i="1"/>
  <c r="H1215" i="1"/>
  <c r="I1215" i="1"/>
  <c r="J1215" i="1"/>
  <c r="K1215" i="1"/>
  <c r="L1215" i="1"/>
  <c r="M1215" i="1"/>
  <c r="N1215" i="1"/>
  <c r="A1216" i="1"/>
  <c r="B1216" i="1"/>
  <c r="F1216" i="1"/>
  <c r="G1216" i="1"/>
  <c r="H1216" i="1"/>
  <c r="I1216" i="1"/>
  <c r="J1216" i="1"/>
  <c r="K1216" i="1"/>
  <c r="L1216" i="1"/>
  <c r="M1216" i="1"/>
  <c r="N1216" i="1"/>
  <c r="A1217" i="1"/>
  <c r="B1217" i="1"/>
  <c r="F1217" i="1"/>
  <c r="G1217" i="1"/>
  <c r="H1217" i="1"/>
  <c r="I1217" i="1"/>
  <c r="J1217" i="1"/>
  <c r="K1217" i="1"/>
  <c r="L1217" i="1"/>
  <c r="M1217" i="1"/>
  <c r="N1217" i="1"/>
  <c r="A1218" i="1"/>
  <c r="B1218" i="1"/>
  <c r="F1218" i="1"/>
  <c r="G1218" i="1"/>
  <c r="H1218" i="1"/>
  <c r="I1218" i="1"/>
  <c r="J1218" i="1"/>
  <c r="K1218" i="1"/>
  <c r="L1218" i="1"/>
  <c r="M1218" i="1"/>
  <c r="N1218" i="1"/>
  <c r="A1219" i="1"/>
  <c r="B1219" i="1"/>
  <c r="F1219" i="1"/>
  <c r="G1219" i="1"/>
  <c r="H1219" i="1"/>
  <c r="I1219" i="1"/>
  <c r="J1219" i="1"/>
  <c r="K1219" i="1"/>
  <c r="L1219" i="1"/>
  <c r="M1219" i="1"/>
  <c r="N1219" i="1"/>
  <c r="A1220" i="1"/>
  <c r="B1220" i="1"/>
  <c r="F1220" i="1"/>
  <c r="G1220" i="1"/>
  <c r="H1220" i="1"/>
  <c r="I1220" i="1"/>
  <c r="J1220" i="1"/>
  <c r="K1220" i="1"/>
  <c r="L1220" i="1"/>
  <c r="M1220" i="1"/>
  <c r="N1220" i="1"/>
  <c r="A1221" i="1"/>
  <c r="B1221" i="1"/>
  <c r="F1221" i="1"/>
  <c r="G1221" i="1"/>
  <c r="H1221" i="1"/>
  <c r="I1221" i="1"/>
  <c r="J1221" i="1"/>
  <c r="K1221" i="1"/>
  <c r="L1221" i="1"/>
  <c r="M1221" i="1"/>
  <c r="N1221" i="1"/>
  <c r="A1222" i="1"/>
  <c r="B1222" i="1"/>
  <c r="F1222" i="1"/>
  <c r="G1222" i="1"/>
  <c r="H1222" i="1"/>
  <c r="I1222" i="1"/>
  <c r="J1222" i="1"/>
  <c r="K1222" i="1"/>
  <c r="L1222" i="1"/>
  <c r="M1222" i="1"/>
  <c r="N1222" i="1"/>
  <c r="A1223" i="1"/>
  <c r="B1223" i="1"/>
  <c r="F1223" i="1"/>
  <c r="G1223" i="1"/>
  <c r="H1223" i="1"/>
  <c r="I1223" i="1"/>
  <c r="J1223" i="1"/>
  <c r="K1223" i="1"/>
  <c r="L1223" i="1"/>
  <c r="M1223" i="1"/>
  <c r="N1223" i="1"/>
  <c r="A1224" i="1"/>
  <c r="B1224" i="1"/>
  <c r="F1224" i="1"/>
  <c r="G1224" i="1"/>
  <c r="H1224" i="1"/>
  <c r="I1224" i="1"/>
  <c r="J1224" i="1"/>
  <c r="K1224" i="1"/>
  <c r="L1224" i="1"/>
  <c r="M1224" i="1"/>
  <c r="N1224" i="1"/>
  <c r="A1225" i="1"/>
  <c r="B1225" i="1"/>
  <c r="F1225" i="1"/>
  <c r="G1225" i="1"/>
  <c r="H1225" i="1"/>
  <c r="I1225" i="1"/>
  <c r="J1225" i="1"/>
  <c r="K1225" i="1"/>
  <c r="L1225" i="1"/>
  <c r="M1225" i="1"/>
  <c r="N1225" i="1"/>
  <c r="A1226" i="1"/>
  <c r="B1226" i="1"/>
  <c r="F1226" i="1"/>
  <c r="G1226" i="1"/>
  <c r="H1226" i="1"/>
  <c r="I1226" i="1"/>
  <c r="J1226" i="1"/>
  <c r="K1226" i="1"/>
  <c r="L1226" i="1"/>
  <c r="M1226" i="1"/>
  <c r="N1226" i="1"/>
  <c r="A1227" i="1"/>
  <c r="B1227" i="1"/>
  <c r="F1227" i="1"/>
  <c r="G1227" i="1"/>
  <c r="H1227" i="1"/>
  <c r="I1227" i="1"/>
  <c r="J1227" i="1"/>
  <c r="K1227" i="1"/>
  <c r="L1227" i="1"/>
  <c r="M1227" i="1"/>
  <c r="N1227" i="1"/>
  <c r="A1228" i="1"/>
  <c r="B1228" i="1"/>
  <c r="F1228" i="1"/>
  <c r="G1228" i="1"/>
  <c r="H1228" i="1"/>
  <c r="I1228" i="1"/>
  <c r="J1228" i="1"/>
  <c r="K1228" i="1"/>
  <c r="L1228" i="1"/>
  <c r="M1228" i="1"/>
  <c r="N1228" i="1"/>
  <c r="A1229" i="1"/>
  <c r="B1229" i="1"/>
  <c r="F1229" i="1"/>
  <c r="G1229" i="1"/>
  <c r="H1229" i="1"/>
  <c r="I1229" i="1"/>
  <c r="J1229" i="1"/>
  <c r="K1229" i="1"/>
  <c r="L1229" i="1"/>
  <c r="M1229" i="1"/>
  <c r="N1229" i="1"/>
  <c r="A1230" i="1"/>
  <c r="B1230" i="1"/>
  <c r="F1230" i="1"/>
  <c r="G1230" i="1"/>
  <c r="H1230" i="1"/>
  <c r="I1230" i="1"/>
  <c r="J1230" i="1"/>
  <c r="K1230" i="1"/>
  <c r="L1230" i="1"/>
  <c r="M1230" i="1"/>
  <c r="N1230" i="1"/>
  <c r="A1231" i="1"/>
  <c r="B1231" i="1"/>
  <c r="F1231" i="1"/>
  <c r="G1231" i="1"/>
  <c r="H1231" i="1"/>
  <c r="I1231" i="1"/>
  <c r="J1231" i="1"/>
  <c r="K1231" i="1"/>
  <c r="L1231" i="1"/>
  <c r="M1231" i="1"/>
  <c r="N1231" i="1"/>
  <c r="A1232" i="1"/>
  <c r="B1232" i="1"/>
  <c r="F1232" i="1"/>
  <c r="G1232" i="1"/>
  <c r="H1232" i="1"/>
  <c r="I1232" i="1"/>
  <c r="J1232" i="1"/>
  <c r="K1232" i="1"/>
  <c r="L1232" i="1"/>
  <c r="M1232" i="1"/>
  <c r="N1232" i="1"/>
  <c r="A1233" i="1"/>
  <c r="B1233" i="1"/>
  <c r="F1233" i="1"/>
  <c r="G1233" i="1"/>
  <c r="H1233" i="1"/>
  <c r="I1233" i="1"/>
  <c r="J1233" i="1"/>
  <c r="K1233" i="1"/>
  <c r="L1233" i="1"/>
  <c r="M1233" i="1"/>
  <c r="N1233" i="1"/>
  <c r="A1234" i="1"/>
  <c r="B1234" i="1"/>
  <c r="F1234" i="1"/>
  <c r="G1234" i="1"/>
  <c r="H1234" i="1"/>
  <c r="I1234" i="1"/>
  <c r="J1234" i="1"/>
  <c r="K1234" i="1"/>
  <c r="L1234" i="1"/>
  <c r="M1234" i="1"/>
  <c r="N1234" i="1"/>
  <c r="A1235" i="1"/>
  <c r="B1235" i="1"/>
  <c r="F1235" i="1"/>
  <c r="G1235" i="1"/>
  <c r="H1235" i="1"/>
  <c r="I1235" i="1"/>
  <c r="J1235" i="1"/>
  <c r="K1235" i="1"/>
  <c r="L1235" i="1"/>
  <c r="M1235" i="1"/>
  <c r="N1235" i="1"/>
  <c r="A1236" i="1"/>
  <c r="B1236" i="1"/>
  <c r="F1236" i="1"/>
  <c r="G1236" i="1"/>
  <c r="H1236" i="1"/>
  <c r="I1236" i="1"/>
  <c r="J1236" i="1"/>
  <c r="K1236" i="1"/>
  <c r="L1236" i="1"/>
  <c r="M1236" i="1"/>
  <c r="N1236" i="1"/>
  <c r="A1237" i="1"/>
  <c r="B1237" i="1"/>
  <c r="F1237" i="1"/>
  <c r="G1237" i="1"/>
  <c r="H1237" i="1"/>
  <c r="I1237" i="1"/>
  <c r="J1237" i="1"/>
  <c r="K1237" i="1"/>
  <c r="L1237" i="1"/>
  <c r="M1237" i="1"/>
  <c r="N1237" i="1"/>
  <c r="A1238" i="1"/>
  <c r="B1238" i="1"/>
  <c r="F1238" i="1"/>
  <c r="G1238" i="1"/>
  <c r="H1238" i="1"/>
  <c r="I1238" i="1"/>
  <c r="J1238" i="1"/>
  <c r="K1238" i="1"/>
  <c r="L1238" i="1"/>
  <c r="M1238" i="1"/>
  <c r="N1238" i="1"/>
  <c r="A1239" i="1"/>
  <c r="B1239" i="1"/>
  <c r="F1239" i="1"/>
  <c r="G1239" i="1"/>
  <c r="H1239" i="1"/>
  <c r="I1239" i="1"/>
  <c r="J1239" i="1"/>
  <c r="K1239" i="1"/>
  <c r="L1239" i="1"/>
  <c r="M1239" i="1"/>
  <c r="N1239" i="1"/>
  <c r="A1240" i="1"/>
  <c r="B1240" i="1"/>
  <c r="F1240" i="1"/>
  <c r="G1240" i="1"/>
  <c r="H1240" i="1"/>
  <c r="I1240" i="1"/>
  <c r="J1240" i="1"/>
  <c r="K1240" i="1"/>
  <c r="L1240" i="1"/>
  <c r="M1240" i="1"/>
  <c r="N1240" i="1"/>
  <c r="A1241" i="1"/>
  <c r="B1241" i="1"/>
  <c r="F1241" i="1"/>
  <c r="G1241" i="1"/>
  <c r="H1241" i="1"/>
  <c r="I1241" i="1"/>
  <c r="J1241" i="1"/>
  <c r="K1241" i="1"/>
  <c r="L1241" i="1"/>
  <c r="M1241" i="1"/>
  <c r="N1241" i="1"/>
  <c r="A1242" i="1"/>
  <c r="B1242" i="1"/>
  <c r="F1242" i="1"/>
  <c r="G1242" i="1"/>
  <c r="H1242" i="1"/>
  <c r="I1242" i="1"/>
  <c r="J1242" i="1"/>
  <c r="K1242" i="1"/>
  <c r="L1242" i="1"/>
  <c r="M1242" i="1"/>
  <c r="N1242" i="1"/>
  <c r="A1243" i="1"/>
  <c r="B1243" i="1"/>
  <c r="F1243" i="1"/>
  <c r="G1243" i="1"/>
  <c r="H1243" i="1"/>
  <c r="I1243" i="1"/>
  <c r="J1243" i="1"/>
  <c r="K1243" i="1"/>
  <c r="L1243" i="1"/>
  <c r="M1243" i="1"/>
  <c r="N1243" i="1"/>
  <c r="A1244" i="1"/>
  <c r="B1244" i="1"/>
  <c r="F1244" i="1"/>
  <c r="G1244" i="1"/>
  <c r="H1244" i="1"/>
  <c r="I1244" i="1"/>
  <c r="J1244" i="1"/>
  <c r="K1244" i="1"/>
  <c r="L1244" i="1"/>
  <c r="M1244" i="1"/>
  <c r="N1244" i="1"/>
  <c r="A1245" i="1"/>
  <c r="B1245" i="1"/>
  <c r="F1245" i="1"/>
  <c r="G1245" i="1"/>
  <c r="H1245" i="1"/>
  <c r="I1245" i="1"/>
  <c r="J1245" i="1"/>
  <c r="K1245" i="1"/>
  <c r="L1245" i="1"/>
  <c r="M1245" i="1"/>
  <c r="N1245" i="1"/>
  <c r="A1246" i="1"/>
  <c r="B1246" i="1"/>
  <c r="F1246" i="1"/>
  <c r="G1246" i="1"/>
  <c r="H1246" i="1"/>
  <c r="I1246" i="1"/>
  <c r="J1246" i="1"/>
  <c r="K1246" i="1"/>
  <c r="L1246" i="1"/>
  <c r="M1246" i="1"/>
  <c r="N1246" i="1"/>
  <c r="A1247" i="1"/>
  <c r="B1247" i="1"/>
  <c r="F1247" i="1"/>
  <c r="G1247" i="1"/>
  <c r="H1247" i="1"/>
  <c r="I1247" i="1"/>
  <c r="J1247" i="1"/>
  <c r="K1247" i="1"/>
  <c r="L1247" i="1"/>
  <c r="M1247" i="1"/>
  <c r="N1247" i="1"/>
  <c r="A1248" i="1"/>
  <c r="B1248" i="1"/>
  <c r="F1248" i="1"/>
  <c r="G1248" i="1"/>
  <c r="H1248" i="1"/>
  <c r="I1248" i="1"/>
  <c r="J1248" i="1"/>
  <c r="K1248" i="1"/>
  <c r="L1248" i="1"/>
  <c r="M1248" i="1"/>
  <c r="N1248" i="1"/>
  <c r="A1249" i="1"/>
  <c r="B1249" i="1"/>
  <c r="F1249" i="1"/>
  <c r="G1249" i="1"/>
  <c r="H1249" i="1"/>
  <c r="I1249" i="1"/>
  <c r="J1249" i="1"/>
  <c r="K1249" i="1"/>
  <c r="L1249" i="1"/>
  <c r="M1249" i="1"/>
  <c r="N1249" i="1"/>
  <c r="A1250" i="1"/>
  <c r="B1250" i="1"/>
  <c r="F1250" i="1"/>
  <c r="G1250" i="1"/>
  <c r="H1250" i="1"/>
  <c r="I1250" i="1"/>
  <c r="J1250" i="1"/>
  <c r="K1250" i="1"/>
  <c r="L1250" i="1"/>
  <c r="M1250" i="1"/>
  <c r="N1250" i="1"/>
  <c r="A1251" i="1"/>
  <c r="B1251" i="1"/>
  <c r="F1251" i="1"/>
  <c r="G1251" i="1"/>
  <c r="H1251" i="1"/>
  <c r="I1251" i="1"/>
  <c r="J1251" i="1"/>
  <c r="K1251" i="1"/>
  <c r="L1251" i="1"/>
  <c r="M1251" i="1"/>
  <c r="N1251" i="1"/>
  <c r="A1252" i="1"/>
  <c r="B1252" i="1"/>
  <c r="F1252" i="1"/>
  <c r="G1252" i="1"/>
  <c r="H1252" i="1"/>
  <c r="I1252" i="1"/>
  <c r="J1252" i="1"/>
  <c r="K1252" i="1"/>
  <c r="L1252" i="1"/>
  <c r="M1252" i="1"/>
  <c r="N1252" i="1"/>
  <c r="A1253" i="1"/>
  <c r="B1253" i="1"/>
  <c r="F1253" i="1"/>
  <c r="G1253" i="1"/>
  <c r="H1253" i="1"/>
  <c r="I1253" i="1"/>
  <c r="J1253" i="1"/>
  <c r="K1253" i="1"/>
  <c r="L1253" i="1"/>
  <c r="M1253" i="1"/>
  <c r="N1253" i="1"/>
  <c r="A1254" i="1"/>
  <c r="B1254" i="1"/>
  <c r="F1254" i="1"/>
  <c r="G1254" i="1"/>
  <c r="H1254" i="1"/>
  <c r="I1254" i="1"/>
  <c r="J1254" i="1"/>
  <c r="K1254" i="1"/>
  <c r="L1254" i="1"/>
  <c r="M1254" i="1"/>
  <c r="N1254" i="1"/>
  <c r="A1255" i="1"/>
  <c r="B1255" i="1"/>
  <c r="F1255" i="1"/>
  <c r="G1255" i="1"/>
  <c r="H1255" i="1"/>
  <c r="I1255" i="1"/>
  <c r="J1255" i="1"/>
  <c r="K1255" i="1"/>
  <c r="L1255" i="1"/>
  <c r="M1255" i="1"/>
  <c r="N1255" i="1"/>
  <c r="A1256" i="1"/>
  <c r="B1256" i="1"/>
  <c r="F1256" i="1"/>
  <c r="G1256" i="1"/>
  <c r="H1256" i="1"/>
  <c r="I1256" i="1"/>
  <c r="J1256" i="1"/>
  <c r="K1256" i="1"/>
  <c r="L1256" i="1"/>
  <c r="M1256" i="1"/>
  <c r="N1256" i="1"/>
  <c r="A1257" i="1"/>
  <c r="B1257" i="1"/>
  <c r="F1257" i="1"/>
  <c r="G1257" i="1"/>
  <c r="H1257" i="1"/>
  <c r="I1257" i="1"/>
  <c r="J1257" i="1"/>
  <c r="K1257" i="1"/>
  <c r="L1257" i="1"/>
  <c r="M1257" i="1"/>
  <c r="N1257" i="1"/>
  <c r="A1258" i="1"/>
  <c r="B1258" i="1"/>
  <c r="F1258" i="1"/>
  <c r="G1258" i="1"/>
  <c r="H1258" i="1"/>
  <c r="I1258" i="1"/>
  <c r="J1258" i="1"/>
  <c r="K1258" i="1"/>
  <c r="L1258" i="1"/>
  <c r="M1258" i="1"/>
  <c r="N1258" i="1"/>
  <c r="A1259" i="1"/>
  <c r="B1259" i="1"/>
  <c r="F1259" i="1"/>
  <c r="G1259" i="1"/>
  <c r="H1259" i="1"/>
  <c r="I1259" i="1"/>
  <c r="J1259" i="1"/>
  <c r="K1259" i="1"/>
  <c r="L1259" i="1"/>
  <c r="M1259" i="1"/>
  <c r="N1259" i="1"/>
  <c r="A1260" i="1"/>
  <c r="B1260" i="1"/>
  <c r="F1260" i="1"/>
  <c r="G1260" i="1"/>
  <c r="H1260" i="1"/>
  <c r="I1260" i="1"/>
  <c r="J1260" i="1"/>
  <c r="K1260" i="1"/>
  <c r="L1260" i="1"/>
  <c r="M1260" i="1"/>
  <c r="N1260" i="1"/>
  <c r="A1261" i="1"/>
  <c r="B1261" i="1"/>
  <c r="F1261" i="1"/>
  <c r="G1261" i="1"/>
  <c r="H1261" i="1"/>
  <c r="I1261" i="1"/>
  <c r="J1261" i="1"/>
  <c r="K1261" i="1"/>
  <c r="L1261" i="1"/>
  <c r="M1261" i="1"/>
  <c r="N1261" i="1"/>
  <c r="A1262" i="1"/>
  <c r="B1262" i="1"/>
  <c r="F1262" i="1"/>
  <c r="G1262" i="1"/>
  <c r="H1262" i="1"/>
  <c r="I1262" i="1"/>
  <c r="J1262" i="1"/>
  <c r="K1262" i="1"/>
  <c r="L1262" i="1"/>
  <c r="M1262" i="1"/>
  <c r="N1262" i="1"/>
  <c r="A1263" i="1"/>
  <c r="B1263" i="1"/>
  <c r="F1263" i="1"/>
  <c r="G1263" i="1"/>
  <c r="H1263" i="1"/>
  <c r="I1263" i="1"/>
  <c r="J1263" i="1"/>
  <c r="K1263" i="1"/>
  <c r="L1263" i="1"/>
  <c r="M1263" i="1"/>
  <c r="N1263" i="1"/>
  <c r="A1264" i="1"/>
  <c r="B1264" i="1"/>
  <c r="F1264" i="1"/>
  <c r="G1264" i="1"/>
  <c r="H1264" i="1"/>
  <c r="I1264" i="1"/>
  <c r="J1264" i="1"/>
  <c r="K1264" i="1"/>
  <c r="L1264" i="1"/>
  <c r="M1264" i="1"/>
  <c r="N1264" i="1"/>
  <c r="A1265" i="1"/>
  <c r="B1265" i="1"/>
  <c r="F1265" i="1"/>
  <c r="G1265" i="1"/>
  <c r="H1265" i="1"/>
  <c r="I1265" i="1"/>
  <c r="J1265" i="1"/>
  <c r="K1265" i="1"/>
  <c r="L1265" i="1"/>
  <c r="M1265" i="1"/>
  <c r="N1265" i="1"/>
  <c r="A1266" i="1"/>
  <c r="B1266" i="1"/>
  <c r="F1266" i="1"/>
  <c r="G1266" i="1"/>
  <c r="H1266" i="1"/>
  <c r="I1266" i="1"/>
  <c r="J1266" i="1"/>
  <c r="K1266" i="1"/>
  <c r="L1266" i="1"/>
  <c r="M1266" i="1"/>
  <c r="N1266" i="1"/>
  <c r="A1267" i="1"/>
  <c r="B1267" i="1"/>
  <c r="F1267" i="1"/>
  <c r="G1267" i="1"/>
  <c r="H1267" i="1"/>
  <c r="I1267" i="1"/>
  <c r="J1267" i="1"/>
  <c r="K1267" i="1"/>
  <c r="L1267" i="1"/>
  <c r="M1267" i="1"/>
  <c r="N1267" i="1"/>
  <c r="A1268" i="1"/>
  <c r="B1268" i="1"/>
  <c r="F1268" i="1"/>
  <c r="G1268" i="1"/>
  <c r="H1268" i="1"/>
  <c r="I1268" i="1"/>
  <c r="J1268" i="1"/>
  <c r="K1268" i="1"/>
  <c r="L1268" i="1"/>
  <c r="M1268" i="1"/>
  <c r="N1268" i="1"/>
  <c r="A1269" i="1"/>
  <c r="B1269" i="1"/>
  <c r="F1269" i="1"/>
  <c r="G1269" i="1"/>
  <c r="H1269" i="1"/>
  <c r="I1269" i="1"/>
  <c r="J1269" i="1"/>
  <c r="K1269" i="1"/>
  <c r="L1269" i="1"/>
  <c r="M1269" i="1"/>
  <c r="N1269" i="1"/>
  <c r="A1270" i="1"/>
  <c r="B1270" i="1"/>
  <c r="F1270" i="1"/>
  <c r="G1270" i="1"/>
  <c r="H1270" i="1"/>
  <c r="I1270" i="1"/>
  <c r="J1270" i="1"/>
  <c r="K1270" i="1"/>
  <c r="L1270" i="1"/>
  <c r="M1270" i="1"/>
  <c r="N1270" i="1"/>
  <c r="A1271" i="1"/>
  <c r="B1271" i="1"/>
  <c r="F1271" i="1"/>
  <c r="G1271" i="1"/>
  <c r="H1271" i="1"/>
  <c r="I1271" i="1"/>
  <c r="J1271" i="1"/>
  <c r="K1271" i="1"/>
  <c r="L1271" i="1"/>
  <c r="M1271" i="1"/>
  <c r="N1271" i="1"/>
  <c r="A1272" i="1"/>
  <c r="B1272" i="1"/>
  <c r="F1272" i="1"/>
  <c r="G1272" i="1"/>
  <c r="H1272" i="1"/>
  <c r="I1272" i="1"/>
  <c r="J1272" i="1"/>
  <c r="K1272" i="1"/>
  <c r="L1272" i="1"/>
  <c r="M1272" i="1"/>
  <c r="N1272" i="1"/>
  <c r="A1273" i="1"/>
  <c r="B1273" i="1"/>
  <c r="F1273" i="1"/>
  <c r="G1273" i="1"/>
  <c r="H1273" i="1"/>
  <c r="I1273" i="1"/>
  <c r="J1273" i="1"/>
  <c r="K1273" i="1"/>
  <c r="L1273" i="1"/>
  <c r="M1273" i="1"/>
  <c r="N1273" i="1"/>
  <c r="A1274" i="1"/>
  <c r="B1274" i="1"/>
  <c r="F1274" i="1"/>
  <c r="G1274" i="1"/>
  <c r="H1274" i="1"/>
  <c r="I1274" i="1"/>
  <c r="J1274" i="1"/>
  <c r="K1274" i="1"/>
  <c r="L1274" i="1"/>
  <c r="M1274" i="1"/>
  <c r="N1274" i="1"/>
  <c r="A1275" i="1"/>
  <c r="B1275" i="1"/>
  <c r="F1275" i="1"/>
  <c r="G1275" i="1"/>
  <c r="H1275" i="1"/>
  <c r="I1275" i="1"/>
  <c r="J1275" i="1"/>
  <c r="K1275" i="1"/>
  <c r="L1275" i="1"/>
  <c r="M1275" i="1"/>
  <c r="N1275" i="1"/>
  <c r="A1276" i="1"/>
  <c r="B1276" i="1"/>
  <c r="F1276" i="1"/>
  <c r="G1276" i="1"/>
  <c r="H1276" i="1"/>
  <c r="I1276" i="1"/>
  <c r="J1276" i="1"/>
  <c r="K1276" i="1"/>
  <c r="L1276" i="1"/>
  <c r="M1276" i="1"/>
  <c r="N1276" i="1"/>
  <c r="A1277" i="1"/>
  <c r="B1277" i="1"/>
  <c r="F1277" i="1"/>
  <c r="G1277" i="1"/>
  <c r="H1277" i="1"/>
  <c r="I1277" i="1"/>
  <c r="J1277" i="1"/>
  <c r="K1277" i="1"/>
  <c r="L1277" i="1"/>
  <c r="M1277" i="1"/>
  <c r="N1277" i="1"/>
  <c r="A1278" i="1"/>
  <c r="B1278" i="1"/>
  <c r="F1278" i="1"/>
  <c r="G1278" i="1"/>
  <c r="H1278" i="1"/>
  <c r="I1278" i="1"/>
  <c r="J1278" i="1"/>
  <c r="K1278" i="1"/>
  <c r="L1278" i="1"/>
  <c r="M1278" i="1"/>
  <c r="N1278" i="1"/>
  <c r="A1279" i="1"/>
  <c r="B1279" i="1"/>
  <c r="F1279" i="1"/>
  <c r="G1279" i="1"/>
  <c r="H1279" i="1"/>
  <c r="I1279" i="1"/>
  <c r="J1279" i="1"/>
  <c r="K1279" i="1"/>
  <c r="L1279" i="1"/>
  <c r="M1279" i="1"/>
  <c r="N1279" i="1"/>
  <c r="A1280" i="1"/>
  <c r="B1280" i="1"/>
  <c r="F1280" i="1"/>
  <c r="G1280" i="1"/>
  <c r="H1280" i="1"/>
  <c r="I1280" i="1"/>
  <c r="J1280" i="1"/>
  <c r="K1280" i="1"/>
  <c r="L1280" i="1"/>
  <c r="M1280" i="1"/>
  <c r="N1280" i="1"/>
  <c r="A1281" i="1"/>
  <c r="B1281" i="1"/>
  <c r="F1281" i="1"/>
  <c r="G1281" i="1"/>
  <c r="H1281" i="1"/>
  <c r="I1281" i="1"/>
  <c r="J1281" i="1"/>
  <c r="K1281" i="1"/>
  <c r="L1281" i="1"/>
  <c r="M1281" i="1"/>
  <c r="N1281" i="1"/>
  <c r="A1282" i="1"/>
  <c r="B1282" i="1"/>
  <c r="F1282" i="1"/>
  <c r="G1282" i="1"/>
  <c r="H1282" i="1"/>
  <c r="I1282" i="1"/>
  <c r="J1282" i="1"/>
  <c r="K1282" i="1"/>
  <c r="L1282" i="1"/>
  <c r="M1282" i="1"/>
  <c r="N1282" i="1"/>
  <c r="A1283" i="1"/>
  <c r="B1283" i="1"/>
  <c r="F1283" i="1"/>
  <c r="G1283" i="1"/>
  <c r="H1283" i="1"/>
  <c r="I1283" i="1"/>
  <c r="J1283" i="1"/>
  <c r="K1283" i="1"/>
  <c r="L1283" i="1"/>
  <c r="M1283" i="1"/>
  <c r="N1283" i="1"/>
  <c r="A1284" i="1"/>
  <c r="B1284" i="1"/>
  <c r="F1284" i="1"/>
  <c r="G1284" i="1"/>
  <c r="H1284" i="1"/>
  <c r="I1284" i="1"/>
  <c r="J1284" i="1"/>
  <c r="K1284" i="1"/>
  <c r="L1284" i="1"/>
  <c r="M1284" i="1"/>
  <c r="N1284" i="1"/>
  <c r="A1285" i="1"/>
  <c r="B1285" i="1"/>
  <c r="F1285" i="1"/>
  <c r="G1285" i="1"/>
  <c r="H1285" i="1"/>
  <c r="I1285" i="1"/>
  <c r="J1285" i="1"/>
  <c r="K1285" i="1"/>
  <c r="L1285" i="1"/>
  <c r="M1285" i="1"/>
  <c r="N1285" i="1"/>
  <c r="A1286" i="1"/>
  <c r="B1286" i="1"/>
  <c r="F1286" i="1"/>
  <c r="G1286" i="1"/>
  <c r="H1286" i="1"/>
  <c r="I1286" i="1"/>
  <c r="J1286" i="1"/>
  <c r="K1286" i="1"/>
  <c r="L1286" i="1"/>
  <c r="M1286" i="1"/>
  <c r="N1286" i="1"/>
  <c r="A1287" i="1"/>
  <c r="B1287" i="1"/>
  <c r="F1287" i="1"/>
  <c r="G1287" i="1"/>
  <c r="H1287" i="1"/>
  <c r="I1287" i="1"/>
  <c r="J1287" i="1"/>
  <c r="K1287" i="1"/>
  <c r="L1287" i="1"/>
  <c r="M1287" i="1"/>
  <c r="N1287" i="1"/>
  <c r="A1288" i="1"/>
  <c r="B1288" i="1"/>
  <c r="F1288" i="1"/>
  <c r="G1288" i="1"/>
  <c r="H1288" i="1"/>
  <c r="I1288" i="1"/>
  <c r="J1288" i="1"/>
  <c r="K1288" i="1"/>
  <c r="L1288" i="1"/>
  <c r="M1288" i="1"/>
  <c r="N1288" i="1"/>
  <c r="A1289" i="1"/>
  <c r="B1289" i="1"/>
  <c r="F1289" i="1"/>
  <c r="G1289" i="1"/>
  <c r="H1289" i="1"/>
  <c r="I1289" i="1"/>
  <c r="J1289" i="1"/>
  <c r="K1289" i="1"/>
  <c r="L1289" i="1"/>
  <c r="M1289" i="1"/>
  <c r="N1289" i="1"/>
  <c r="A1290" i="1"/>
  <c r="B1290" i="1"/>
  <c r="F1290" i="1"/>
  <c r="G1290" i="1"/>
  <c r="H1290" i="1"/>
  <c r="I1290" i="1"/>
  <c r="J1290" i="1"/>
  <c r="K1290" i="1"/>
  <c r="L1290" i="1"/>
  <c r="M1290" i="1"/>
  <c r="N1290" i="1"/>
  <c r="A1291" i="1"/>
  <c r="B1291" i="1"/>
  <c r="F1291" i="1"/>
  <c r="G1291" i="1"/>
  <c r="H1291" i="1"/>
  <c r="I1291" i="1"/>
  <c r="J1291" i="1"/>
  <c r="K1291" i="1"/>
  <c r="L1291" i="1"/>
  <c r="M1291" i="1"/>
  <c r="N1291" i="1"/>
  <c r="A1292" i="1"/>
  <c r="B1292" i="1"/>
  <c r="F1292" i="1"/>
  <c r="G1292" i="1"/>
  <c r="H1292" i="1"/>
  <c r="I1292" i="1"/>
  <c r="J1292" i="1"/>
  <c r="K1292" i="1"/>
  <c r="L1292" i="1"/>
  <c r="M1292" i="1"/>
  <c r="N1292" i="1"/>
  <c r="A1293" i="1"/>
  <c r="B1293" i="1"/>
  <c r="F1293" i="1"/>
  <c r="G1293" i="1"/>
  <c r="H1293" i="1"/>
  <c r="I1293" i="1"/>
  <c r="J1293" i="1"/>
  <c r="K1293" i="1"/>
  <c r="L1293" i="1"/>
  <c r="M1293" i="1"/>
  <c r="N1293" i="1"/>
  <c r="A1294" i="1"/>
  <c r="B1294" i="1"/>
  <c r="F1294" i="1"/>
  <c r="G1294" i="1"/>
  <c r="H1294" i="1"/>
  <c r="I1294" i="1"/>
  <c r="J1294" i="1"/>
  <c r="K1294" i="1"/>
  <c r="L1294" i="1"/>
  <c r="M1294" i="1"/>
  <c r="N1294" i="1"/>
  <c r="A1295" i="1"/>
  <c r="B1295" i="1"/>
  <c r="F1295" i="1"/>
  <c r="G1295" i="1"/>
  <c r="H1295" i="1"/>
  <c r="I1295" i="1"/>
  <c r="J1295" i="1"/>
  <c r="K1295" i="1"/>
  <c r="L1295" i="1"/>
  <c r="M1295" i="1"/>
  <c r="N1295" i="1"/>
  <c r="A1296" i="1"/>
  <c r="B1296" i="1"/>
  <c r="F1296" i="1"/>
  <c r="G1296" i="1"/>
  <c r="H1296" i="1"/>
  <c r="I1296" i="1"/>
  <c r="J1296" i="1"/>
  <c r="K1296" i="1"/>
  <c r="L1296" i="1"/>
  <c r="M1296" i="1"/>
  <c r="N1296" i="1"/>
  <c r="A1297" i="1"/>
  <c r="B1297" i="1"/>
  <c r="F1297" i="1"/>
  <c r="G1297" i="1"/>
  <c r="H1297" i="1"/>
  <c r="I1297" i="1"/>
  <c r="J1297" i="1"/>
  <c r="K1297" i="1"/>
  <c r="L1297" i="1"/>
  <c r="M1297" i="1"/>
  <c r="N1297" i="1"/>
  <c r="A1298" i="1"/>
  <c r="B1298" i="1"/>
  <c r="F1298" i="1"/>
  <c r="G1298" i="1"/>
  <c r="H1298" i="1"/>
  <c r="I1298" i="1"/>
  <c r="J1298" i="1"/>
  <c r="K1298" i="1"/>
  <c r="L1298" i="1"/>
  <c r="M1298" i="1"/>
  <c r="N1298" i="1"/>
  <c r="A1299" i="1"/>
  <c r="B1299" i="1"/>
  <c r="F1299" i="1"/>
  <c r="G1299" i="1"/>
  <c r="H1299" i="1"/>
  <c r="I1299" i="1"/>
  <c r="J1299" i="1"/>
  <c r="K1299" i="1"/>
  <c r="L1299" i="1"/>
  <c r="M1299" i="1"/>
  <c r="N1299" i="1"/>
  <c r="A1300" i="1"/>
  <c r="B1300" i="1"/>
  <c r="F1300" i="1"/>
  <c r="G1300" i="1"/>
  <c r="H1300" i="1"/>
  <c r="I1300" i="1"/>
  <c r="J1300" i="1"/>
  <c r="K1300" i="1"/>
  <c r="L1300" i="1"/>
  <c r="M1300" i="1"/>
  <c r="N1300" i="1"/>
  <c r="A1301" i="1"/>
  <c r="B1301" i="1"/>
  <c r="F1301" i="1"/>
  <c r="G1301" i="1"/>
  <c r="H1301" i="1"/>
  <c r="I1301" i="1"/>
  <c r="J1301" i="1"/>
  <c r="K1301" i="1"/>
  <c r="L1301" i="1"/>
  <c r="M1301" i="1"/>
  <c r="N1301" i="1"/>
  <c r="A1302" i="1"/>
  <c r="B1302" i="1"/>
  <c r="F1302" i="1"/>
  <c r="G1302" i="1"/>
  <c r="H1302" i="1"/>
  <c r="I1302" i="1"/>
  <c r="J1302" i="1"/>
  <c r="K1302" i="1"/>
  <c r="L1302" i="1"/>
  <c r="M1302" i="1"/>
  <c r="N1302" i="1"/>
  <c r="A1303" i="1"/>
  <c r="B1303" i="1"/>
  <c r="F1303" i="1"/>
  <c r="G1303" i="1"/>
  <c r="H1303" i="1"/>
  <c r="I1303" i="1"/>
  <c r="J1303" i="1"/>
  <c r="K1303" i="1"/>
  <c r="L1303" i="1"/>
  <c r="M1303" i="1"/>
  <c r="N1303" i="1"/>
  <c r="A1304" i="1"/>
  <c r="B1304" i="1"/>
  <c r="F1304" i="1"/>
  <c r="G1304" i="1"/>
  <c r="H1304" i="1"/>
  <c r="I1304" i="1"/>
  <c r="J1304" i="1"/>
  <c r="K1304" i="1"/>
  <c r="L1304" i="1"/>
  <c r="M1304" i="1"/>
  <c r="N1304" i="1"/>
  <c r="A1305" i="1"/>
  <c r="B1305" i="1"/>
  <c r="F1305" i="1"/>
  <c r="G1305" i="1"/>
  <c r="H1305" i="1"/>
  <c r="I1305" i="1"/>
  <c r="J1305" i="1"/>
  <c r="K1305" i="1"/>
  <c r="L1305" i="1"/>
  <c r="M1305" i="1"/>
  <c r="N1305" i="1"/>
  <c r="A1306" i="1"/>
  <c r="B1306" i="1"/>
  <c r="F1306" i="1"/>
  <c r="G1306" i="1"/>
  <c r="H1306" i="1"/>
  <c r="I1306" i="1"/>
  <c r="J1306" i="1"/>
  <c r="K1306" i="1"/>
  <c r="L1306" i="1"/>
  <c r="M1306" i="1"/>
  <c r="N1306" i="1"/>
  <c r="A1307" i="1"/>
  <c r="B1307" i="1"/>
  <c r="F1307" i="1"/>
  <c r="G1307" i="1"/>
  <c r="H1307" i="1"/>
  <c r="I1307" i="1"/>
  <c r="J1307" i="1"/>
  <c r="K1307" i="1"/>
  <c r="L1307" i="1"/>
  <c r="M1307" i="1"/>
  <c r="N1307" i="1"/>
  <c r="A1308" i="1"/>
  <c r="B1308" i="1"/>
  <c r="F1308" i="1"/>
  <c r="G1308" i="1"/>
  <c r="H1308" i="1"/>
  <c r="I1308" i="1"/>
  <c r="J1308" i="1"/>
  <c r="K1308" i="1"/>
  <c r="L1308" i="1"/>
  <c r="M1308" i="1"/>
  <c r="N1308" i="1"/>
  <c r="A1309" i="1"/>
  <c r="B1309" i="1"/>
  <c r="F1309" i="1"/>
  <c r="G1309" i="1"/>
  <c r="H1309" i="1"/>
  <c r="I1309" i="1"/>
  <c r="J1309" i="1"/>
  <c r="K1309" i="1"/>
  <c r="L1309" i="1"/>
  <c r="M1309" i="1"/>
  <c r="N1309" i="1"/>
  <c r="A1310" i="1"/>
  <c r="B1310" i="1"/>
  <c r="F1310" i="1"/>
  <c r="G1310" i="1"/>
  <c r="H1310" i="1"/>
  <c r="I1310" i="1"/>
  <c r="J1310" i="1"/>
  <c r="K1310" i="1"/>
  <c r="L1310" i="1"/>
  <c r="M1310" i="1"/>
  <c r="N1310" i="1"/>
  <c r="A1311" i="1"/>
  <c r="B1311" i="1"/>
  <c r="F1311" i="1"/>
  <c r="G1311" i="1"/>
  <c r="H1311" i="1"/>
  <c r="I1311" i="1"/>
  <c r="J1311" i="1"/>
  <c r="K1311" i="1"/>
  <c r="L1311" i="1"/>
  <c r="M1311" i="1"/>
  <c r="N1311" i="1"/>
  <c r="A1312" i="1"/>
  <c r="B1312" i="1"/>
  <c r="F1312" i="1"/>
  <c r="G1312" i="1"/>
  <c r="H1312" i="1"/>
  <c r="I1312" i="1"/>
  <c r="J1312" i="1"/>
  <c r="K1312" i="1"/>
  <c r="L1312" i="1"/>
  <c r="M1312" i="1"/>
  <c r="N1312" i="1"/>
  <c r="A1313" i="1"/>
  <c r="B1313" i="1"/>
  <c r="F1313" i="1"/>
  <c r="G1313" i="1"/>
  <c r="H1313" i="1"/>
  <c r="I1313" i="1"/>
  <c r="J1313" i="1"/>
  <c r="K1313" i="1"/>
  <c r="L1313" i="1"/>
  <c r="M1313" i="1"/>
  <c r="N1313" i="1"/>
  <c r="A1314" i="1"/>
  <c r="B1314" i="1"/>
  <c r="F1314" i="1"/>
  <c r="G1314" i="1"/>
  <c r="H1314" i="1"/>
  <c r="I1314" i="1"/>
  <c r="J1314" i="1"/>
  <c r="K1314" i="1"/>
  <c r="L1314" i="1"/>
  <c r="M1314" i="1"/>
  <c r="N1314" i="1"/>
  <c r="A1315" i="1"/>
  <c r="B1315" i="1"/>
  <c r="F1315" i="1"/>
  <c r="G1315" i="1"/>
  <c r="H1315" i="1"/>
  <c r="I1315" i="1"/>
  <c r="J1315" i="1"/>
  <c r="K1315" i="1"/>
  <c r="L1315" i="1"/>
  <c r="M1315" i="1"/>
  <c r="N1315" i="1"/>
  <c r="A1316" i="1"/>
  <c r="B1316" i="1"/>
  <c r="F1316" i="1"/>
  <c r="G1316" i="1"/>
  <c r="H1316" i="1"/>
  <c r="I1316" i="1"/>
  <c r="J1316" i="1"/>
  <c r="K1316" i="1"/>
  <c r="L1316" i="1"/>
  <c r="M1316" i="1"/>
  <c r="N1316" i="1"/>
  <c r="A1317" i="1"/>
  <c r="B1317" i="1"/>
  <c r="F1317" i="1"/>
  <c r="G1317" i="1"/>
  <c r="H1317" i="1"/>
  <c r="I1317" i="1"/>
  <c r="J1317" i="1"/>
  <c r="K1317" i="1"/>
  <c r="L1317" i="1"/>
  <c r="M1317" i="1"/>
  <c r="N1317" i="1"/>
  <c r="A1318" i="1"/>
  <c r="B1318" i="1"/>
  <c r="F1318" i="1"/>
  <c r="G1318" i="1"/>
  <c r="H1318" i="1"/>
  <c r="I1318" i="1"/>
  <c r="J1318" i="1"/>
  <c r="K1318" i="1"/>
  <c r="L1318" i="1"/>
  <c r="M1318" i="1"/>
  <c r="N1318" i="1"/>
  <c r="A1319" i="1"/>
  <c r="B1319" i="1"/>
  <c r="F1319" i="1"/>
  <c r="G1319" i="1"/>
  <c r="H1319" i="1"/>
  <c r="I1319" i="1"/>
  <c r="J1319" i="1"/>
  <c r="K1319" i="1"/>
  <c r="L1319" i="1"/>
  <c r="M1319" i="1"/>
  <c r="N1319" i="1"/>
  <c r="A1320" i="1"/>
  <c r="B1320" i="1"/>
  <c r="F1320" i="1"/>
  <c r="G1320" i="1"/>
  <c r="H1320" i="1"/>
  <c r="I1320" i="1"/>
  <c r="J1320" i="1"/>
  <c r="K1320" i="1"/>
  <c r="L1320" i="1"/>
  <c r="M1320" i="1"/>
  <c r="N1320" i="1"/>
  <c r="A1321" i="1"/>
  <c r="B1321" i="1"/>
  <c r="F1321" i="1"/>
  <c r="G1321" i="1"/>
  <c r="H1321" i="1"/>
  <c r="I1321" i="1"/>
  <c r="J1321" i="1"/>
  <c r="K1321" i="1"/>
  <c r="L1321" i="1"/>
  <c r="M1321" i="1"/>
  <c r="N1321" i="1"/>
  <c r="A1322" i="1"/>
  <c r="B1322" i="1"/>
  <c r="F1322" i="1"/>
  <c r="G1322" i="1"/>
  <c r="H1322" i="1"/>
  <c r="I1322" i="1"/>
  <c r="J1322" i="1"/>
  <c r="K1322" i="1"/>
  <c r="L1322" i="1"/>
  <c r="M1322" i="1"/>
  <c r="N1322" i="1"/>
  <c r="A1323" i="1"/>
  <c r="B1323" i="1"/>
  <c r="F1323" i="1"/>
  <c r="G1323" i="1"/>
  <c r="H1323" i="1"/>
  <c r="I1323" i="1"/>
  <c r="J1323" i="1"/>
  <c r="K1323" i="1"/>
  <c r="L1323" i="1"/>
  <c r="M1323" i="1"/>
  <c r="N1323" i="1"/>
  <c r="A1324" i="1"/>
  <c r="B1324" i="1"/>
  <c r="F1324" i="1"/>
  <c r="G1324" i="1"/>
  <c r="H1324" i="1"/>
  <c r="I1324" i="1"/>
  <c r="J1324" i="1"/>
  <c r="K1324" i="1"/>
  <c r="L1324" i="1"/>
  <c r="M1324" i="1"/>
  <c r="N1324" i="1"/>
  <c r="A1325" i="1"/>
  <c r="B1325" i="1"/>
  <c r="F1325" i="1"/>
  <c r="G1325" i="1"/>
  <c r="H1325" i="1"/>
  <c r="I1325" i="1"/>
  <c r="J1325" i="1"/>
  <c r="K1325" i="1"/>
  <c r="L1325" i="1"/>
  <c r="M1325" i="1"/>
  <c r="N1325" i="1"/>
  <c r="A1326" i="1"/>
  <c r="B1326" i="1"/>
  <c r="F1326" i="1"/>
  <c r="G1326" i="1"/>
  <c r="H1326" i="1"/>
  <c r="I1326" i="1"/>
  <c r="J1326" i="1"/>
  <c r="K1326" i="1"/>
  <c r="L1326" i="1"/>
  <c r="M1326" i="1"/>
  <c r="N1326" i="1"/>
  <c r="A1327" i="1"/>
  <c r="B1327" i="1"/>
  <c r="F1327" i="1"/>
  <c r="G1327" i="1"/>
  <c r="H1327" i="1"/>
  <c r="I1327" i="1"/>
  <c r="J1327" i="1"/>
  <c r="K1327" i="1"/>
  <c r="L1327" i="1"/>
  <c r="M1327" i="1"/>
  <c r="N1327" i="1"/>
  <c r="A1328" i="1"/>
  <c r="B1328" i="1"/>
  <c r="F1328" i="1"/>
  <c r="G1328" i="1"/>
  <c r="H1328" i="1"/>
  <c r="I1328" i="1"/>
  <c r="J1328" i="1"/>
  <c r="K1328" i="1"/>
  <c r="L1328" i="1"/>
  <c r="M1328" i="1"/>
  <c r="N1328" i="1"/>
  <c r="A1329" i="1"/>
  <c r="B1329" i="1"/>
  <c r="F1329" i="1"/>
  <c r="G1329" i="1"/>
  <c r="H1329" i="1"/>
  <c r="I1329" i="1"/>
  <c r="J1329" i="1"/>
  <c r="K1329" i="1"/>
  <c r="L1329" i="1"/>
  <c r="M1329" i="1"/>
  <c r="N1329" i="1"/>
  <c r="A1330" i="1"/>
  <c r="B1330" i="1"/>
  <c r="F1330" i="1"/>
  <c r="G1330" i="1"/>
  <c r="H1330" i="1"/>
  <c r="I1330" i="1"/>
  <c r="J1330" i="1"/>
  <c r="K1330" i="1"/>
  <c r="L1330" i="1"/>
  <c r="M1330" i="1"/>
  <c r="N1330" i="1"/>
  <c r="A1331" i="1"/>
  <c r="B1331" i="1"/>
  <c r="F1331" i="1"/>
  <c r="G1331" i="1"/>
  <c r="H1331" i="1"/>
  <c r="I1331" i="1"/>
  <c r="J1331" i="1"/>
  <c r="K1331" i="1"/>
  <c r="L1331" i="1"/>
  <c r="M1331" i="1"/>
  <c r="N1331" i="1"/>
  <c r="A1332" i="1"/>
  <c r="B1332" i="1"/>
  <c r="F1332" i="1"/>
  <c r="G1332" i="1"/>
  <c r="H1332" i="1"/>
  <c r="I1332" i="1"/>
  <c r="J1332" i="1"/>
  <c r="K1332" i="1"/>
  <c r="L1332" i="1"/>
  <c r="M1332" i="1"/>
  <c r="N1332" i="1"/>
  <c r="A1333" i="1"/>
  <c r="B1333" i="1"/>
  <c r="F1333" i="1"/>
  <c r="G1333" i="1"/>
  <c r="H1333" i="1"/>
  <c r="I1333" i="1"/>
  <c r="J1333" i="1"/>
  <c r="K1333" i="1"/>
  <c r="L1333" i="1"/>
  <c r="M1333" i="1"/>
  <c r="N1333" i="1"/>
  <c r="A1334" i="1"/>
  <c r="B1334" i="1"/>
  <c r="F1334" i="1"/>
  <c r="G1334" i="1"/>
  <c r="H1334" i="1"/>
  <c r="I1334" i="1"/>
  <c r="J1334" i="1"/>
  <c r="K1334" i="1"/>
  <c r="L1334" i="1"/>
  <c r="M1334" i="1"/>
  <c r="N1334" i="1"/>
  <c r="A1335" i="1"/>
  <c r="B1335" i="1"/>
  <c r="F1335" i="1"/>
  <c r="G1335" i="1"/>
  <c r="H1335" i="1"/>
  <c r="I1335" i="1"/>
  <c r="J1335" i="1"/>
  <c r="K1335" i="1"/>
  <c r="L1335" i="1"/>
  <c r="M1335" i="1"/>
  <c r="N1335" i="1"/>
  <c r="A1336" i="1"/>
  <c r="B1336" i="1"/>
  <c r="F1336" i="1"/>
  <c r="G1336" i="1"/>
  <c r="H1336" i="1"/>
  <c r="I1336" i="1"/>
  <c r="J1336" i="1"/>
  <c r="K1336" i="1"/>
  <c r="L1336" i="1"/>
  <c r="M1336" i="1"/>
  <c r="N1336" i="1"/>
  <c r="A1337" i="1"/>
  <c r="B1337" i="1"/>
  <c r="F1337" i="1"/>
  <c r="G1337" i="1"/>
  <c r="H1337" i="1"/>
  <c r="I1337" i="1"/>
  <c r="J1337" i="1"/>
  <c r="K1337" i="1"/>
  <c r="L1337" i="1"/>
  <c r="M1337" i="1"/>
  <c r="N1337" i="1"/>
  <c r="A1338" i="1"/>
  <c r="B1338" i="1"/>
  <c r="F1338" i="1"/>
  <c r="G1338" i="1"/>
  <c r="H1338" i="1"/>
  <c r="I1338" i="1"/>
  <c r="J1338" i="1"/>
  <c r="K1338" i="1"/>
  <c r="L1338" i="1"/>
  <c r="M1338" i="1"/>
  <c r="N1338" i="1"/>
  <c r="A1339" i="1"/>
  <c r="B1339" i="1"/>
  <c r="F1339" i="1"/>
  <c r="G1339" i="1"/>
  <c r="H1339" i="1"/>
  <c r="I1339" i="1"/>
  <c r="J1339" i="1"/>
  <c r="K1339" i="1"/>
  <c r="L1339" i="1"/>
  <c r="M1339" i="1"/>
  <c r="N1339" i="1"/>
  <c r="A1340" i="1"/>
  <c r="B1340" i="1"/>
  <c r="F1340" i="1"/>
  <c r="G1340" i="1"/>
  <c r="H1340" i="1"/>
  <c r="I1340" i="1"/>
  <c r="J1340" i="1"/>
  <c r="K1340" i="1"/>
  <c r="L1340" i="1"/>
  <c r="M1340" i="1"/>
  <c r="N1340" i="1"/>
  <c r="A1341" i="1"/>
  <c r="B1341" i="1"/>
  <c r="F1341" i="1"/>
  <c r="G1341" i="1"/>
  <c r="H1341" i="1"/>
  <c r="I1341" i="1"/>
  <c r="J1341" i="1"/>
  <c r="K1341" i="1"/>
  <c r="L1341" i="1"/>
  <c r="M1341" i="1"/>
  <c r="N1341" i="1"/>
  <c r="A1342" i="1"/>
  <c r="B1342" i="1"/>
  <c r="F1342" i="1"/>
  <c r="G1342" i="1"/>
  <c r="H1342" i="1"/>
  <c r="I1342" i="1"/>
  <c r="J1342" i="1"/>
  <c r="K1342" i="1"/>
  <c r="L1342" i="1"/>
  <c r="M1342" i="1"/>
  <c r="N1342" i="1"/>
  <c r="A1343" i="1"/>
  <c r="B1343" i="1"/>
  <c r="F1343" i="1"/>
  <c r="G1343" i="1"/>
  <c r="H1343" i="1"/>
  <c r="I1343" i="1"/>
  <c r="J1343" i="1"/>
  <c r="K1343" i="1"/>
  <c r="L1343" i="1"/>
  <c r="M1343" i="1"/>
  <c r="N1343" i="1"/>
  <c r="A1344" i="1"/>
  <c r="B1344" i="1"/>
  <c r="F1344" i="1"/>
  <c r="G1344" i="1"/>
  <c r="H1344" i="1"/>
  <c r="I1344" i="1"/>
  <c r="J1344" i="1"/>
  <c r="K1344" i="1"/>
  <c r="L1344" i="1"/>
  <c r="M1344" i="1"/>
  <c r="N1344" i="1"/>
  <c r="A1345" i="1"/>
  <c r="B1345" i="1"/>
  <c r="F1345" i="1"/>
  <c r="G1345" i="1"/>
  <c r="H1345" i="1"/>
  <c r="I1345" i="1"/>
  <c r="J1345" i="1"/>
  <c r="K1345" i="1"/>
  <c r="L1345" i="1"/>
  <c r="M1345" i="1"/>
  <c r="N1345" i="1"/>
  <c r="A1346" i="1"/>
  <c r="B1346" i="1"/>
  <c r="F1346" i="1"/>
  <c r="G1346" i="1"/>
  <c r="H1346" i="1"/>
  <c r="I1346" i="1"/>
  <c r="J1346" i="1"/>
  <c r="K1346" i="1"/>
  <c r="L1346" i="1"/>
  <c r="M1346" i="1"/>
  <c r="N1346" i="1"/>
  <c r="A1347" i="1"/>
  <c r="B1347" i="1"/>
  <c r="F1347" i="1"/>
  <c r="G1347" i="1"/>
  <c r="H1347" i="1"/>
  <c r="I1347" i="1"/>
  <c r="J1347" i="1"/>
  <c r="K1347" i="1"/>
  <c r="L1347" i="1"/>
  <c r="M1347" i="1"/>
  <c r="N1347" i="1"/>
  <c r="A1348" i="1"/>
  <c r="B1348" i="1"/>
  <c r="F1348" i="1"/>
  <c r="G1348" i="1"/>
  <c r="H1348" i="1"/>
  <c r="I1348" i="1"/>
  <c r="J1348" i="1"/>
  <c r="K1348" i="1"/>
  <c r="L1348" i="1"/>
  <c r="M1348" i="1"/>
  <c r="N1348" i="1"/>
  <c r="A1349" i="1"/>
  <c r="B1349" i="1"/>
  <c r="F1349" i="1"/>
  <c r="G1349" i="1"/>
  <c r="H1349" i="1"/>
  <c r="I1349" i="1"/>
  <c r="J1349" i="1"/>
  <c r="K1349" i="1"/>
  <c r="L1349" i="1"/>
  <c r="M1349" i="1"/>
  <c r="N1349" i="1"/>
  <c r="A1350" i="1"/>
  <c r="B1350" i="1"/>
  <c r="F1350" i="1"/>
  <c r="G1350" i="1"/>
  <c r="H1350" i="1"/>
  <c r="I1350" i="1"/>
  <c r="J1350" i="1"/>
  <c r="K1350" i="1"/>
  <c r="L1350" i="1"/>
  <c r="M1350" i="1"/>
  <c r="N1350" i="1"/>
  <c r="A1351" i="1"/>
  <c r="B1351" i="1"/>
  <c r="F1351" i="1"/>
  <c r="G1351" i="1"/>
  <c r="H1351" i="1"/>
  <c r="I1351" i="1"/>
  <c r="J1351" i="1"/>
  <c r="K1351" i="1"/>
  <c r="L1351" i="1"/>
  <c r="M1351" i="1"/>
  <c r="N1351" i="1"/>
  <c r="A1352" i="1"/>
  <c r="B1352" i="1"/>
  <c r="F1352" i="1"/>
  <c r="G1352" i="1"/>
  <c r="H1352" i="1"/>
  <c r="I1352" i="1"/>
  <c r="J1352" i="1"/>
  <c r="K1352" i="1"/>
  <c r="L1352" i="1"/>
  <c r="M1352" i="1"/>
  <c r="N1352" i="1"/>
  <c r="A1353" i="1"/>
  <c r="B1353" i="1"/>
  <c r="F1353" i="1"/>
  <c r="G1353" i="1"/>
  <c r="H1353" i="1"/>
  <c r="I1353" i="1"/>
  <c r="J1353" i="1"/>
  <c r="K1353" i="1"/>
  <c r="L1353" i="1"/>
  <c r="M1353" i="1"/>
  <c r="N1353" i="1"/>
  <c r="A1354" i="1"/>
  <c r="B1354" i="1"/>
  <c r="F1354" i="1"/>
  <c r="G1354" i="1"/>
  <c r="H1354" i="1"/>
  <c r="I1354" i="1"/>
  <c r="J1354" i="1"/>
  <c r="K1354" i="1"/>
  <c r="L1354" i="1"/>
  <c r="M1354" i="1"/>
  <c r="N1354" i="1"/>
  <c r="A1355" i="1"/>
  <c r="B1355" i="1"/>
  <c r="F1355" i="1"/>
  <c r="G1355" i="1"/>
  <c r="H1355" i="1"/>
  <c r="I1355" i="1"/>
  <c r="J1355" i="1"/>
  <c r="K1355" i="1"/>
  <c r="L1355" i="1"/>
  <c r="M1355" i="1"/>
  <c r="N1355" i="1"/>
  <c r="A1356" i="1"/>
  <c r="B1356" i="1"/>
  <c r="F1356" i="1"/>
  <c r="G1356" i="1"/>
  <c r="H1356" i="1"/>
  <c r="I1356" i="1"/>
  <c r="J1356" i="1"/>
  <c r="K1356" i="1"/>
  <c r="L1356" i="1"/>
  <c r="M1356" i="1"/>
  <c r="N1356" i="1"/>
  <c r="A1357" i="1"/>
  <c r="B1357" i="1"/>
  <c r="F1357" i="1"/>
  <c r="G1357" i="1"/>
  <c r="H1357" i="1"/>
  <c r="I1357" i="1"/>
  <c r="J1357" i="1"/>
  <c r="K1357" i="1"/>
  <c r="L1357" i="1"/>
  <c r="M1357" i="1"/>
  <c r="N1357" i="1"/>
  <c r="A1358" i="1"/>
  <c r="B1358" i="1"/>
  <c r="F1358" i="1"/>
  <c r="G1358" i="1"/>
  <c r="H1358" i="1"/>
  <c r="I1358" i="1"/>
  <c r="J1358" i="1"/>
  <c r="K1358" i="1"/>
  <c r="L1358" i="1"/>
  <c r="M1358" i="1"/>
  <c r="N1358" i="1"/>
  <c r="A1359" i="1"/>
  <c r="B1359" i="1"/>
  <c r="F1359" i="1"/>
  <c r="G1359" i="1"/>
  <c r="H1359" i="1"/>
  <c r="I1359" i="1"/>
  <c r="J1359" i="1"/>
  <c r="K1359" i="1"/>
  <c r="L1359" i="1"/>
  <c r="M1359" i="1"/>
  <c r="N1359" i="1"/>
  <c r="A1360" i="1"/>
  <c r="B1360" i="1"/>
  <c r="F1360" i="1"/>
  <c r="G1360" i="1"/>
  <c r="H1360" i="1"/>
  <c r="I1360" i="1"/>
  <c r="J1360" i="1"/>
  <c r="K1360" i="1"/>
  <c r="L1360" i="1"/>
  <c r="M1360" i="1"/>
  <c r="N1360" i="1"/>
  <c r="A1361" i="1"/>
  <c r="B1361" i="1"/>
  <c r="F1361" i="1"/>
  <c r="G1361" i="1"/>
  <c r="H1361" i="1"/>
  <c r="I1361" i="1"/>
  <c r="J1361" i="1"/>
  <c r="K1361" i="1"/>
  <c r="L1361" i="1"/>
  <c r="M1361" i="1"/>
  <c r="N1361" i="1"/>
  <c r="A1362" i="1"/>
  <c r="B1362" i="1"/>
  <c r="F1362" i="1"/>
  <c r="G1362" i="1"/>
  <c r="H1362" i="1"/>
  <c r="I1362" i="1"/>
  <c r="J1362" i="1"/>
  <c r="K1362" i="1"/>
  <c r="L1362" i="1"/>
  <c r="M1362" i="1"/>
  <c r="N1362" i="1"/>
  <c r="A1363" i="1"/>
  <c r="B1363" i="1"/>
  <c r="F1363" i="1"/>
  <c r="G1363" i="1"/>
  <c r="H1363" i="1"/>
  <c r="I1363" i="1"/>
  <c r="J1363" i="1"/>
  <c r="K1363" i="1"/>
  <c r="L1363" i="1"/>
  <c r="M1363" i="1"/>
  <c r="N1363" i="1"/>
  <c r="A1364" i="1"/>
  <c r="B1364" i="1"/>
  <c r="F1364" i="1"/>
  <c r="G1364" i="1"/>
  <c r="H1364" i="1"/>
  <c r="I1364" i="1"/>
  <c r="J1364" i="1"/>
  <c r="K1364" i="1"/>
  <c r="L1364" i="1"/>
  <c r="M1364" i="1"/>
  <c r="N1364" i="1"/>
  <c r="A1365" i="1"/>
  <c r="B1365" i="1"/>
  <c r="F1365" i="1"/>
  <c r="G1365" i="1"/>
  <c r="H1365" i="1"/>
  <c r="I1365" i="1"/>
  <c r="J1365" i="1"/>
  <c r="K1365" i="1"/>
  <c r="L1365" i="1"/>
  <c r="M1365" i="1"/>
  <c r="N1365" i="1"/>
  <c r="A1366" i="1"/>
  <c r="B1366" i="1"/>
  <c r="F1366" i="1"/>
  <c r="G1366" i="1"/>
  <c r="H1366" i="1"/>
  <c r="I1366" i="1"/>
  <c r="J1366" i="1"/>
  <c r="K1366" i="1"/>
  <c r="L1366" i="1"/>
  <c r="M1366" i="1"/>
  <c r="N1366" i="1"/>
  <c r="A1367" i="1"/>
  <c r="B1367" i="1"/>
  <c r="F1367" i="1"/>
  <c r="G1367" i="1"/>
  <c r="H1367" i="1"/>
  <c r="I1367" i="1"/>
  <c r="J1367" i="1"/>
  <c r="K1367" i="1"/>
  <c r="L1367" i="1"/>
  <c r="M1367" i="1"/>
  <c r="N1367" i="1"/>
  <c r="A1368" i="1"/>
  <c r="B1368" i="1"/>
  <c r="F1368" i="1"/>
  <c r="G1368" i="1"/>
  <c r="H1368" i="1"/>
  <c r="I1368" i="1"/>
  <c r="J1368" i="1"/>
  <c r="K1368" i="1"/>
  <c r="L1368" i="1"/>
  <c r="M1368" i="1"/>
  <c r="N1368" i="1"/>
  <c r="A1369" i="1"/>
  <c r="B1369" i="1"/>
  <c r="F1369" i="1"/>
  <c r="G1369" i="1"/>
  <c r="H1369" i="1"/>
  <c r="I1369" i="1"/>
  <c r="J1369" i="1"/>
  <c r="K1369" i="1"/>
  <c r="L1369" i="1"/>
  <c r="M1369" i="1"/>
  <c r="N1369" i="1"/>
  <c r="A1370" i="1"/>
  <c r="B1370" i="1"/>
  <c r="F1370" i="1"/>
  <c r="G1370" i="1"/>
  <c r="H1370" i="1"/>
  <c r="I1370" i="1"/>
  <c r="J1370" i="1"/>
  <c r="K1370" i="1"/>
  <c r="L1370" i="1"/>
  <c r="M1370" i="1"/>
  <c r="N1370" i="1"/>
  <c r="A1371" i="1"/>
  <c r="B1371" i="1"/>
  <c r="F1371" i="1"/>
  <c r="G1371" i="1"/>
  <c r="H1371" i="1"/>
  <c r="I1371" i="1"/>
  <c r="J1371" i="1"/>
  <c r="K1371" i="1"/>
  <c r="L1371" i="1"/>
  <c r="M1371" i="1"/>
  <c r="N1371" i="1"/>
  <c r="A1372" i="1"/>
  <c r="B1372" i="1"/>
  <c r="F1372" i="1"/>
  <c r="G1372" i="1"/>
  <c r="H1372" i="1"/>
  <c r="I1372" i="1"/>
  <c r="J1372" i="1"/>
  <c r="K1372" i="1"/>
  <c r="L1372" i="1"/>
  <c r="M1372" i="1"/>
  <c r="N1372" i="1"/>
  <c r="A1373" i="1"/>
  <c r="B1373" i="1"/>
  <c r="F1373" i="1"/>
  <c r="G1373" i="1"/>
  <c r="H1373" i="1"/>
  <c r="I1373" i="1"/>
  <c r="J1373" i="1"/>
  <c r="K1373" i="1"/>
  <c r="L1373" i="1"/>
  <c r="M1373" i="1"/>
  <c r="N1373" i="1"/>
  <c r="A1374" i="1"/>
  <c r="B1374" i="1"/>
  <c r="F1374" i="1"/>
  <c r="G1374" i="1"/>
  <c r="H1374" i="1"/>
  <c r="I1374" i="1"/>
  <c r="J1374" i="1"/>
  <c r="K1374" i="1"/>
  <c r="L1374" i="1"/>
  <c r="M1374" i="1"/>
  <c r="N1374" i="1"/>
  <c r="A1375" i="1"/>
  <c r="B1375" i="1"/>
  <c r="F1375" i="1"/>
  <c r="G1375" i="1"/>
  <c r="H1375" i="1"/>
  <c r="I1375" i="1"/>
  <c r="J1375" i="1"/>
  <c r="K1375" i="1"/>
  <c r="L1375" i="1"/>
  <c r="M1375" i="1"/>
  <c r="N1375" i="1"/>
  <c r="A1376" i="1"/>
  <c r="B1376" i="1"/>
  <c r="F1376" i="1"/>
  <c r="G1376" i="1"/>
  <c r="H1376" i="1"/>
  <c r="I1376" i="1"/>
  <c r="J1376" i="1"/>
  <c r="K1376" i="1"/>
  <c r="L1376" i="1"/>
  <c r="M1376" i="1"/>
  <c r="N1376" i="1"/>
  <c r="A1377" i="1"/>
  <c r="B1377" i="1"/>
  <c r="F1377" i="1"/>
  <c r="G1377" i="1"/>
  <c r="H1377" i="1"/>
  <c r="I1377" i="1"/>
  <c r="J1377" i="1"/>
  <c r="K1377" i="1"/>
  <c r="L1377" i="1"/>
  <c r="M1377" i="1"/>
  <c r="N1377" i="1"/>
  <c r="A1378" i="1"/>
  <c r="B1378" i="1"/>
  <c r="F1378" i="1"/>
  <c r="G1378" i="1"/>
  <c r="H1378" i="1"/>
  <c r="I1378" i="1"/>
  <c r="J1378" i="1"/>
  <c r="K1378" i="1"/>
  <c r="L1378" i="1"/>
  <c r="M1378" i="1"/>
  <c r="N1378" i="1"/>
  <c r="A1379" i="1"/>
  <c r="B1379" i="1"/>
  <c r="F1379" i="1"/>
  <c r="G1379" i="1"/>
  <c r="H1379" i="1"/>
  <c r="I1379" i="1"/>
  <c r="J1379" i="1"/>
  <c r="K1379" i="1"/>
  <c r="L1379" i="1"/>
  <c r="M1379" i="1"/>
  <c r="N1379" i="1"/>
  <c r="A1380" i="1"/>
  <c r="B1380" i="1"/>
  <c r="F1380" i="1"/>
  <c r="G1380" i="1"/>
  <c r="H1380" i="1"/>
  <c r="I1380" i="1"/>
  <c r="J1380" i="1"/>
  <c r="K1380" i="1"/>
  <c r="L1380" i="1"/>
  <c r="M1380" i="1"/>
  <c r="N1380" i="1"/>
  <c r="A1381" i="1"/>
  <c r="B1381" i="1"/>
  <c r="F1381" i="1"/>
  <c r="G1381" i="1"/>
  <c r="H1381" i="1"/>
  <c r="I1381" i="1"/>
  <c r="J1381" i="1"/>
  <c r="K1381" i="1"/>
  <c r="L1381" i="1"/>
  <c r="M1381" i="1"/>
  <c r="N1381" i="1"/>
  <c r="A1382" i="1"/>
  <c r="B1382" i="1"/>
  <c r="F1382" i="1"/>
  <c r="G1382" i="1"/>
  <c r="H1382" i="1"/>
  <c r="I1382" i="1"/>
  <c r="J1382" i="1"/>
  <c r="K1382" i="1"/>
  <c r="L1382" i="1"/>
  <c r="M1382" i="1"/>
  <c r="N1382" i="1"/>
  <c r="A1383" i="1"/>
  <c r="B1383" i="1"/>
  <c r="F1383" i="1"/>
  <c r="G1383" i="1"/>
  <c r="H1383" i="1"/>
  <c r="I1383" i="1"/>
  <c r="J1383" i="1"/>
  <c r="K1383" i="1"/>
  <c r="L1383" i="1"/>
  <c r="M1383" i="1"/>
  <c r="N1383" i="1"/>
  <c r="A1384" i="1"/>
  <c r="B1384" i="1"/>
  <c r="F1384" i="1"/>
  <c r="G1384" i="1"/>
  <c r="H1384" i="1"/>
  <c r="I1384" i="1"/>
  <c r="J1384" i="1"/>
  <c r="K1384" i="1"/>
  <c r="L1384" i="1"/>
  <c r="M1384" i="1"/>
  <c r="N1384" i="1"/>
  <c r="A1385" i="1"/>
  <c r="B1385" i="1"/>
  <c r="F1385" i="1"/>
  <c r="G1385" i="1"/>
  <c r="H1385" i="1"/>
  <c r="I1385" i="1"/>
  <c r="J1385" i="1"/>
  <c r="K1385" i="1"/>
  <c r="L1385" i="1"/>
  <c r="M1385" i="1"/>
  <c r="N1385" i="1"/>
  <c r="A1386" i="1"/>
  <c r="B1386" i="1"/>
  <c r="F1386" i="1"/>
  <c r="G1386" i="1"/>
  <c r="H1386" i="1"/>
  <c r="I1386" i="1"/>
  <c r="J1386" i="1"/>
  <c r="K1386" i="1"/>
  <c r="L1386" i="1"/>
  <c r="M1386" i="1"/>
  <c r="N1386" i="1"/>
  <c r="A1387" i="1"/>
  <c r="B1387" i="1"/>
  <c r="F1387" i="1"/>
  <c r="G1387" i="1"/>
  <c r="H1387" i="1"/>
  <c r="I1387" i="1"/>
  <c r="J1387" i="1"/>
  <c r="K1387" i="1"/>
  <c r="L1387" i="1"/>
  <c r="M1387" i="1"/>
  <c r="N1387" i="1"/>
  <c r="A1388" i="1"/>
  <c r="B1388" i="1"/>
  <c r="F1388" i="1"/>
  <c r="G1388" i="1"/>
  <c r="H1388" i="1"/>
  <c r="I1388" i="1"/>
  <c r="J1388" i="1"/>
  <c r="K1388" i="1"/>
  <c r="L1388" i="1"/>
  <c r="M1388" i="1"/>
  <c r="N1388" i="1"/>
  <c r="A1389" i="1"/>
  <c r="B1389" i="1"/>
  <c r="F1389" i="1"/>
  <c r="G1389" i="1"/>
  <c r="H1389" i="1"/>
  <c r="I1389" i="1"/>
  <c r="J1389" i="1"/>
  <c r="K1389" i="1"/>
  <c r="L1389" i="1"/>
  <c r="M1389" i="1"/>
  <c r="N1389" i="1"/>
  <c r="A1390" i="1"/>
  <c r="B1390" i="1"/>
  <c r="F1390" i="1"/>
  <c r="G1390" i="1"/>
  <c r="H1390" i="1"/>
  <c r="I1390" i="1"/>
  <c r="J1390" i="1"/>
  <c r="K1390" i="1"/>
  <c r="L1390" i="1"/>
  <c r="M1390" i="1"/>
  <c r="N1390" i="1"/>
  <c r="A1391" i="1"/>
  <c r="B1391" i="1"/>
  <c r="F1391" i="1"/>
  <c r="G1391" i="1"/>
  <c r="H1391" i="1"/>
  <c r="I1391" i="1"/>
  <c r="J1391" i="1"/>
  <c r="K1391" i="1"/>
  <c r="L1391" i="1"/>
  <c r="M1391" i="1"/>
  <c r="N1391" i="1"/>
  <c r="A1392" i="1"/>
  <c r="B1392" i="1"/>
  <c r="F1392" i="1"/>
  <c r="G1392" i="1"/>
  <c r="H1392" i="1"/>
  <c r="I1392" i="1"/>
  <c r="J1392" i="1"/>
  <c r="K1392" i="1"/>
  <c r="L1392" i="1"/>
  <c r="M1392" i="1"/>
  <c r="N1392" i="1"/>
  <c r="A1393" i="1"/>
  <c r="B1393" i="1"/>
  <c r="F1393" i="1"/>
  <c r="G1393" i="1"/>
  <c r="H1393" i="1"/>
  <c r="I1393" i="1"/>
  <c r="J1393" i="1"/>
  <c r="K1393" i="1"/>
  <c r="L1393" i="1"/>
  <c r="M1393" i="1"/>
  <c r="N1393" i="1"/>
  <c r="A1394" i="1"/>
  <c r="B1394" i="1"/>
  <c r="F1394" i="1"/>
  <c r="G1394" i="1"/>
  <c r="H1394" i="1"/>
  <c r="I1394" i="1"/>
  <c r="J1394" i="1"/>
  <c r="K1394" i="1"/>
  <c r="L1394" i="1"/>
  <c r="M1394" i="1"/>
  <c r="N1394" i="1"/>
  <c r="A1395" i="1"/>
  <c r="B1395" i="1"/>
  <c r="F1395" i="1"/>
  <c r="G1395" i="1"/>
  <c r="H1395" i="1"/>
  <c r="I1395" i="1"/>
  <c r="J1395" i="1"/>
  <c r="K1395" i="1"/>
  <c r="L1395" i="1"/>
  <c r="M1395" i="1"/>
  <c r="N1395" i="1"/>
  <c r="A1396" i="1"/>
  <c r="B1396" i="1"/>
  <c r="F1396" i="1"/>
  <c r="G1396" i="1"/>
  <c r="H1396" i="1"/>
  <c r="I1396" i="1"/>
  <c r="J1396" i="1"/>
  <c r="K1396" i="1"/>
  <c r="L1396" i="1"/>
  <c r="M1396" i="1"/>
  <c r="N1396" i="1"/>
  <c r="A1397" i="1"/>
  <c r="B1397" i="1"/>
  <c r="F1397" i="1"/>
  <c r="G1397" i="1"/>
  <c r="H1397" i="1"/>
  <c r="I1397" i="1"/>
  <c r="J1397" i="1"/>
  <c r="K1397" i="1"/>
  <c r="L1397" i="1"/>
  <c r="M1397" i="1"/>
  <c r="N1397" i="1"/>
  <c r="A1398" i="1"/>
  <c r="B1398" i="1"/>
  <c r="F1398" i="1"/>
  <c r="G1398" i="1"/>
  <c r="H1398" i="1"/>
  <c r="I1398" i="1"/>
  <c r="J1398" i="1"/>
  <c r="K1398" i="1"/>
  <c r="L1398" i="1"/>
  <c r="M1398" i="1"/>
  <c r="N1398" i="1"/>
  <c r="A1399" i="1"/>
  <c r="B1399" i="1"/>
  <c r="F1399" i="1"/>
  <c r="G1399" i="1"/>
  <c r="H1399" i="1"/>
  <c r="I1399" i="1"/>
  <c r="J1399" i="1"/>
  <c r="K1399" i="1"/>
  <c r="L1399" i="1"/>
  <c r="M1399" i="1"/>
  <c r="N1399" i="1"/>
  <c r="A1400" i="1"/>
  <c r="B1400" i="1"/>
  <c r="F1400" i="1"/>
  <c r="G1400" i="1"/>
  <c r="H1400" i="1"/>
  <c r="I1400" i="1"/>
  <c r="J1400" i="1"/>
  <c r="K1400" i="1"/>
  <c r="L1400" i="1"/>
  <c r="M1400" i="1"/>
  <c r="N1400" i="1"/>
  <c r="A1401" i="1"/>
  <c r="B1401" i="1"/>
  <c r="F1401" i="1"/>
  <c r="G1401" i="1"/>
  <c r="H1401" i="1"/>
  <c r="I1401" i="1"/>
  <c r="J1401" i="1"/>
  <c r="K1401" i="1"/>
  <c r="L1401" i="1"/>
  <c r="M1401" i="1"/>
  <c r="N1401" i="1"/>
  <c r="A1402" i="1"/>
  <c r="B1402" i="1"/>
  <c r="F1402" i="1"/>
  <c r="G1402" i="1"/>
  <c r="H1402" i="1"/>
  <c r="I1402" i="1"/>
  <c r="J1402" i="1"/>
  <c r="K1402" i="1"/>
  <c r="L1402" i="1"/>
  <c r="M1402" i="1"/>
  <c r="N1402" i="1"/>
  <c r="A1403" i="1"/>
  <c r="B1403" i="1"/>
  <c r="F1403" i="1"/>
  <c r="G1403" i="1"/>
  <c r="H1403" i="1"/>
  <c r="I1403" i="1"/>
  <c r="J1403" i="1"/>
  <c r="K1403" i="1"/>
  <c r="L1403" i="1"/>
  <c r="M1403" i="1"/>
  <c r="N1403" i="1"/>
  <c r="A1404" i="1"/>
  <c r="B1404" i="1"/>
  <c r="F1404" i="1"/>
  <c r="G1404" i="1"/>
  <c r="H1404" i="1"/>
  <c r="I1404" i="1"/>
  <c r="J1404" i="1"/>
  <c r="K1404" i="1"/>
  <c r="L1404" i="1"/>
  <c r="M1404" i="1"/>
  <c r="N1404" i="1"/>
  <c r="A1405" i="1"/>
  <c r="B1405" i="1"/>
  <c r="F1405" i="1"/>
  <c r="G1405" i="1"/>
  <c r="H1405" i="1"/>
  <c r="I1405" i="1"/>
  <c r="J1405" i="1"/>
  <c r="K1405" i="1"/>
  <c r="L1405" i="1"/>
  <c r="M1405" i="1"/>
  <c r="N1405" i="1"/>
  <c r="A1406" i="1"/>
  <c r="B1406" i="1"/>
  <c r="F1406" i="1"/>
  <c r="G1406" i="1"/>
  <c r="H1406" i="1"/>
  <c r="I1406" i="1"/>
  <c r="J1406" i="1"/>
  <c r="K1406" i="1"/>
  <c r="L1406" i="1"/>
  <c r="M1406" i="1"/>
  <c r="N1406" i="1"/>
  <c r="A1407" i="1"/>
  <c r="B1407" i="1"/>
  <c r="F1407" i="1"/>
  <c r="G1407" i="1"/>
  <c r="H1407" i="1"/>
  <c r="I1407" i="1"/>
  <c r="J1407" i="1"/>
  <c r="K1407" i="1"/>
  <c r="L1407" i="1"/>
  <c r="M1407" i="1"/>
  <c r="N1407" i="1"/>
  <c r="A1408" i="1"/>
  <c r="B1408" i="1"/>
  <c r="F1408" i="1"/>
  <c r="G1408" i="1"/>
  <c r="H1408" i="1"/>
  <c r="I1408" i="1"/>
  <c r="J1408" i="1"/>
  <c r="K1408" i="1"/>
  <c r="L1408" i="1"/>
  <c r="M1408" i="1"/>
  <c r="N1408" i="1"/>
  <c r="A1409" i="1"/>
  <c r="B1409" i="1"/>
  <c r="F1409" i="1"/>
  <c r="G1409" i="1"/>
  <c r="H1409" i="1"/>
  <c r="I1409" i="1"/>
  <c r="J1409" i="1"/>
  <c r="K1409" i="1"/>
  <c r="L1409" i="1"/>
  <c r="M1409" i="1"/>
  <c r="N1409" i="1"/>
  <c r="A1410" i="1"/>
  <c r="B1410" i="1"/>
  <c r="F1410" i="1"/>
  <c r="G1410" i="1"/>
  <c r="H1410" i="1"/>
  <c r="I1410" i="1"/>
  <c r="J1410" i="1"/>
  <c r="K1410" i="1"/>
  <c r="L1410" i="1"/>
  <c r="M1410" i="1"/>
  <c r="N1410" i="1"/>
  <c r="A1411" i="1"/>
  <c r="B1411" i="1"/>
  <c r="F1411" i="1"/>
  <c r="G1411" i="1"/>
  <c r="H1411" i="1"/>
  <c r="I1411" i="1"/>
  <c r="J1411" i="1"/>
  <c r="K1411" i="1"/>
  <c r="L1411" i="1"/>
  <c r="M1411" i="1"/>
  <c r="N1411" i="1"/>
  <c r="A1412" i="1"/>
  <c r="B1412" i="1"/>
  <c r="F1412" i="1"/>
  <c r="G1412" i="1"/>
  <c r="H1412" i="1"/>
  <c r="I1412" i="1"/>
  <c r="J1412" i="1"/>
  <c r="K1412" i="1"/>
  <c r="L1412" i="1"/>
  <c r="M1412" i="1"/>
  <c r="N1412" i="1"/>
  <c r="A1413" i="1"/>
  <c r="B1413" i="1"/>
  <c r="F1413" i="1"/>
  <c r="G1413" i="1"/>
  <c r="H1413" i="1"/>
  <c r="I1413" i="1"/>
  <c r="J1413" i="1"/>
  <c r="K1413" i="1"/>
  <c r="L1413" i="1"/>
  <c r="M1413" i="1"/>
  <c r="N1413" i="1"/>
  <c r="A1414" i="1"/>
  <c r="B1414" i="1"/>
  <c r="F1414" i="1"/>
  <c r="G1414" i="1"/>
  <c r="H1414" i="1"/>
  <c r="I1414" i="1"/>
  <c r="J1414" i="1"/>
  <c r="K1414" i="1"/>
  <c r="L1414" i="1"/>
  <c r="M1414" i="1"/>
  <c r="N1414" i="1"/>
  <c r="A1415" i="1"/>
  <c r="B1415" i="1"/>
  <c r="F1415" i="1"/>
  <c r="G1415" i="1"/>
  <c r="H1415" i="1"/>
  <c r="I1415" i="1"/>
  <c r="J1415" i="1"/>
  <c r="K1415" i="1"/>
  <c r="L1415" i="1"/>
  <c r="M1415" i="1"/>
  <c r="N1415" i="1"/>
  <c r="A1416" i="1"/>
  <c r="B1416" i="1"/>
  <c r="F1416" i="1"/>
  <c r="G1416" i="1"/>
  <c r="H1416" i="1"/>
  <c r="I1416" i="1"/>
  <c r="J1416" i="1"/>
  <c r="K1416" i="1"/>
  <c r="L1416" i="1"/>
  <c r="M1416" i="1"/>
  <c r="N1416" i="1"/>
  <c r="A1417" i="1"/>
  <c r="B1417" i="1"/>
  <c r="F1417" i="1"/>
  <c r="G1417" i="1"/>
  <c r="H1417" i="1"/>
  <c r="I1417" i="1"/>
  <c r="J1417" i="1"/>
  <c r="K1417" i="1"/>
  <c r="L1417" i="1"/>
  <c r="M1417" i="1"/>
  <c r="N1417" i="1"/>
  <c r="A1418" i="1"/>
  <c r="B1418" i="1"/>
  <c r="F1418" i="1"/>
  <c r="G1418" i="1"/>
  <c r="H1418" i="1"/>
  <c r="I1418" i="1"/>
  <c r="J1418" i="1"/>
  <c r="K1418" i="1"/>
  <c r="L1418" i="1"/>
  <c r="M1418" i="1"/>
  <c r="N1418" i="1"/>
  <c r="A1419" i="1"/>
  <c r="B1419" i="1"/>
  <c r="F1419" i="1"/>
  <c r="G1419" i="1"/>
  <c r="H1419" i="1"/>
  <c r="I1419" i="1"/>
  <c r="J1419" i="1"/>
  <c r="K1419" i="1"/>
  <c r="L1419" i="1"/>
  <c r="M1419" i="1"/>
  <c r="N1419" i="1"/>
  <c r="A1420" i="1"/>
  <c r="B1420" i="1"/>
  <c r="F1420" i="1"/>
  <c r="G1420" i="1"/>
  <c r="H1420" i="1"/>
  <c r="I1420" i="1"/>
  <c r="J1420" i="1"/>
  <c r="K1420" i="1"/>
  <c r="L1420" i="1"/>
  <c r="M1420" i="1"/>
  <c r="N1420" i="1"/>
  <c r="A1421" i="1"/>
  <c r="B1421" i="1"/>
  <c r="F1421" i="1"/>
  <c r="G1421" i="1"/>
  <c r="H1421" i="1"/>
  <c r="I1421" i="1"/>
  <c r="J1421" i="1"/>
  <c r="K1421" i="1"/>
  <c r="L1421" i="1"/>
  <c r="M1421" i="1"/>
  <c r="N1421" i="1"/>
  <c r="A1422" i="1"/>
  <c r="B1422" i="1"/>
  <c r="F1422" i="1"/>
  <c r="G1422" i="1"/>
  <c r="H1422" i="1"/>
  <c r="I1422" i="1"/>
  <c r="J1422" i="1"/>
  <c r="K1422" i="1"/>
  <c r="L1422" i="1"/>
  <c r="M1422" i="1"/>
  <c r="N1422" i="1"/>
  <c r="A1423" i="1"/>
  <c r="B1423" i="1"/>
  <c r="F1423" i="1"/>
  <c r="G1423" i="1"/>
  <c r="H1423" i="1"/>
  <c r="I1423" i="1"/>
  <c r="J1423" i="1"/>
  <c r="K1423" i="1"/>
  <c r="L1423" i="1"/>
  <c r="M1423" i="1"/>
  <c r="N1423" i="1"/>
  <c r="A1424" i="1"/>
  <c r="B1424" i="1"/>
  <c r="F1424" i="1"/>
  <c r="G1424" i="1"/>
  <c r="H1424" i="1"/>
  <c r="I1424" i="1"/>
  <c r="J1424" i="1"/>
  <c r="K1424" i="1"/>
  <c r="L1424" i="1"/>
  <c r="M1424" i="1"/>
  <c r="N1424" i="1"/>
  <c r="A1425" i="1"/>
  <c r="B1425" i="1"/>
  <c r="F1425" i="1"/>
  <c r="G1425" i="1"/>
  <c r="H1425" i="1"/>
  <c r="I1425" i="1"/>
  <c r="J1425" i="1"/>
  <c r="K1425" i="1"/>
  <c r="L1425" i="1"/>
  <c r="M1425" i="1"/>
  <c r="N1425" i="1"/>
  <c r="A1426" i="1"/>
  <c r="B1426" i="1"/>
  <c r="F1426" i="1"/>
  <c r="G1426" i="1"/>
  <c r="H1426" i="1"/>
  <c r="I1426" i="1"/>
  <c r="J1426" i="1"/>
  <c r="K1426" i="1"/>
  <c r="L1426" i="1"/>
  <c r="M1426" i="1"/>
  <c r="N1426" i="1"/>
  <c r="A1427" i="1"/>
  <c r="B1427" i="1"/>
  <c r="F1427" i="1"/>
  <c r="G1427" i="1"/>
  <c r="H1427" i="1"/>
  <c r="I1427" i="1"/>
  <c r="J1427" i="1"/>
  <c r="K1427" i="1"/>
  <c r="L1427" i="1"/>
  <c r="M1427" i="1"/>
  <c r="N1427" i="1"/>
  <c r="A1428" i="1"/>
  <c r="B1428" i="1"/>
  <c r="F1428" i="1"/>
  <c r="G1428" i="1"/>
  <c r="H1428" i="1"/>
  <c r="I1428" i="1"/>
  <c r="J1428" i="1"/>
  <c r="K1428" i="1"/>
  <c r="L1428" i="1"/>
  <c r="M1428" i="1"/>
  <c r="N1428" i="1"/>
  <c r="A1429" i="1"/>
  <c r="B1429" i="1"/>
  <c r="F1429" i="1"/>
  <c r="G1429" i="1"/>
  <c r="H1429" i="1"/>
  <c r="I1429" i="1"/>
  <c r="J1429" i="1"/>
  <c r="K1429" i="1"/>
  <c r="L1429" i="1"/>
  <c r="M1429" i="1"/>
  <c r="N1429" i="1"/>
  <c r="A1430" i="1"/>
  <c r="B1430" i="1"/>
  <c r="F1430" i="1"/>
  <c r="G1430" i="1"/>
  <c r="H1430" i="1"/>
  <c r="I1430" i="1"/>
  <c r="J1430" i="1"/>
  <c r="K1430" i="1"/>
  <c r="L1430" i="1"/>
  <c r="M1430" i="1"/>
  <c r="N1430" i="1"/>
  <c r="A1431" i="1"/>
  <c r="B1431" i="1"/>
  <c r="F1431" i="1"/>
  <c r="G1431" i="1"/>
  <c r="H1431" i="1"/>
  <c r="I1431" i="1"/>
  <c r="J1431" i="1"/>
  <c r="K1431" i="1"/>
  <c r="L1431" i="1"/>
  <c r="M1431" i="1"/>
  <c r="N1431" i="1"/>
  <c r="A1432" i="1"/>
  <c r="B1432" i="1"/>
  <c r="F1432" i="1"/>
  <c r="G1432" i="1"/>
  <c r="H1432" i="1"/>
  <c r="I1432" i="1"/>
  <c r="J1432" i="1"/>
  <c r="K1432" i="1"/>
  <c r="L1432" i="1"/>
  <c r="M1432" i="1"/>
  <c r="N1432" i="1"/>
  <c r="A1433" i="1"/>
  <c r="B1433" i="1"/>
  <c r="F1433" i="1"/>
  <c r="G1433" i="1"/>
  <c r="H1433" i="1"/>
  <c r="I1433" i="1"/>
  <c r="J1433" i="1"/>
  <c r="K1433" i="1"/>
  <c r="L1433" i="1"/>
  <c r="M1433" i="1"/>
  <c r="N1433" i="1"/>
  <c r="A1434" i="1"/>
  <c r="B1434" i="1"/>
  <c r="F1434" i="1"/>
  <c r="G1434" i="1"/>
  <c r="H1434" i="1"/>
  <c r="I1434" i="1"/>
  <c r="J1434" i="1"/>
  <c r="K1434" i="1"/>
  <c r="L1434" i="1"/>
  <c r="M1434" i="1"/>
  <c r="N1434" i="1"/>
  <c r="A1435" i="1"/>
  <c r="B1435" i="1"/>
  <c r="F1435" i="1"/>
  <c r="G1435" i="1"/>
  <c r="H1435" i="1"/>
  <c r="I1435" i="1"/>
  <c r="J1435" i="1"/>
  <c r="K1435" i="1"/>
  <c r="L1435" i="1"/>
  <c r="M1435" i="1"/>
  <c r="N1435" i="1"/>
  <c r="A1436" i="1"/>
  <c r="B1436" i="1"/>
  <c r="F1436" i="1"/>
  <c r="G1436" i="1"/>
  <c r="H1436" i="1"/>
  <c r="I1436" i="1"/>
  <c r="J1436" i="1"/>
  <c r="K1436" i="1"/>
  <c r="L1436" i="1"/>
  <c r="M1436" i="1"/>
  <c r="N1436" i="1"/>
  <c r="A1437" i="1"/>
  <c r="B1437" i="1"/>
  <c r="F1437" i="1"/>
  <c r="G1437" i="1"/>
  <c r="H1437" i="1"/>
  <c r="I1437" i="1"/>
  <c r="J1437" i="1"/>
  <c r="K1437" i="1"/>
  <c r="L1437" i="1"/>
  <c r="M1437" i="1"/>
  <c r="N1437" i="1"/>
  <c r="A1438" i="1"/>
  <c r="B1438" i="1"/>
  <c r="F1438" i="1"/>
  <c r="G1438" i="1"/>
  <c r="H1438" i="1"/>
  <c r="I1438" i="1"/>
  <c r="J1438" i="1"/>
  <c r="K1438" i="1"/>
  <c r="L1438" i="1"/>
  <c r="M1438" i="1"/>
  <c r="N1438" i="1"/>
  <c r="A1439" i="1"/>
  <c r="B1439" i="1"/>
  <c r="F1439" i="1"/>
  <c r="G1439" i="1"/>
  <c r="H1439" i="1"/>
  <c r="I1439" i="1"/>
  <c r="J1439" i="1"/>
  <c r="K1439" i="1"/>
  <c r="L1439" i="1"/>
  <c r="M1439" i="1"/>
  <c r="N1439" i="1"/>
  <c r="A1440" i="1"/>
  <c r="B1440" i="1"/>
  <c r="F1440" i="1"/>
  <c r="G1440" i="1"/>
  <c r="H1440" i="1"/>
  <c r="I1440" i="1"/>
  <c r="J1440" i="1"/>
  <c r="K1440" i="1"/>
  <c r="L1440" i="1"/>
  <c r="M1440" i="1"/>
  <c r="N1440" i="1"/>
  <c r="A1441" i="1"/>
  <c r="B1441" i="1"/>
  <c r="F1441" i="1"/>
  <c r="G1441" i="1"/>
  <c r="H1441" i="1"/>
  <c r="I1441" i="1"/>
  <c r="J1441" i="1"/>
  <c r="K1441" i="1"/>
  <c r="L1441" i="1"/>
  <c r="M1441" i="1"/>
  <c r="N1441" i="1"/>
  <c r="A1442" i="1"/>
  <c r="B1442" i="1"/>
  <c r="F1442" i="1"/>
  <c r="G1442" i="1"/>
  <c r="H1442" i="1"/>
  <c r="I1442" i="1"/>
  <c r="J1442" i="1"/>
  <c r="K1442" i="1"/>
  <c r="L1442" i="1"/>
  <c r="M1442" i="1"/>
  <c r="N1442" i="1"/>
  <c r="A1443" i="1"/>
  <c r="B1443" i="1"/>
  <c r="F1443" i="1"/>
  <c r="G1443" i="1"/>
  <c r="H1443" i="1"/>
  <c r="I1443" i="1"/>
  <c r="J1443" i="1"/>
  <c r="K1443" i="1"/>
  <c r="L1443" i="1"/>
  <c r="M1443" i="1"/>
  <c r="N1443" i="1"/>
  <c r="A1444" i="1"/>
  <c r="B1444" i="1"/>
  <c r="F1444" i="1"/>
  <c r="G1444" i="1"/>
  <c r="H1444" i="1"/>
  <c r="I1444" i="1"/>
  <c r="J1444" i="1"/>
  <c r="K1444" i="1"/>
  <c r="L1444" i="1"/>
  <c r="M1444" i="1"/>
  <c r="N1444" i="1"/>
  <c r="A1445" i="1"/>
  <c r="B1445" i="1"/>
  <c r="F1445" i="1"/>
  <c r="G1445" i="1"/>
  <c r="H1445" i="1"/>
  <c r="I1445" i="1"/>
  <c r="J1445" i="1"/>
  <c r="K1445" i="1"/>
  <c r="L1445" i="1"/>
  <c r="M1445" i="1"/>
  <c r="N1445" i="1"/>
  <c r="A1446" i="1"/>
  <c r="B1446" i="1"/>
  <c r="F1446" i="1"/>
  <c r="G1446" i="1"/>
  <c r="H1446" i="1"/>
  <c r="I1446" i="1"/>
  <c r="J1446" i="1"/>
  <c r="K1446" i="1"/>
  <c r="L1446" i="1"/>
  <c r="M1446" i="1"/>
  <c r="N1446" i="1"/>
  <c r="A1447" i="1"/>
  <c r="B1447" i="1"/>
  <c r="F1447" i="1"/>
  <c r="G1447" i="1"/>
  <c r="H1447" i="1"/>
  <c r="I1447" i="1"/>
  <c r="J1447" i="1"/>
  <c r="K1447" i="1"/>
  <c r="L1447" i="1"/>
  <c r="M1447" i="1"/>
  <c r="N1447" i="1"/>
  <c r="A1448" i="1"/>
  <c r="B1448" i="1"/>
  <c r="F1448" i="1"/>
  <c r="G1448" i="1"/>
  <c r="H1448" i="1"/>
  <c r="I1448" i="1"/>
  <c r="J1448" i="1"/>
  <c r="K1448" i="1"/>
  <c r="L1448" i="1"/>
  <c r="M1448" i="1"/>
  <c r="N1448" i="1"/>
  <c r="A1449" i="1"/>
  <c r="B1449" i="1"/>
  <c r="F1449" i="1"/>
  <c r="G1449" i="1"/>
  <c r="H1449" i="1"/>
  <c r="I1449" i="1"/>
  <c r="J1449" i="1"/>
  <c r="K1449" i="1"/>
  <c r="L1449" i="1"/>
  <c r="M1449" i="1"/>
  <c r="N1449" i="1"/>
  <c r="A1450" i="1"/>
  <c r="B1450" i="1"/>
  <c r="F1450" i="1"/>
  <c r="G1450" i="1"/>
  <c r="H1450" i="1"/>
  <c r="I1450" i="1"/>
  <c r="J1450" i="1"/>
  <c r="K1450" i="1"/>
  <c r="L1450" i="1"/>
  <c r="M1450" i="1"/>
  <c r="N1450" i="1"/>
  <c r="A1451" i="1"/>
  <c r="B1451" i="1"/>
  <c r="F1451" i="1"/>
  <c r="G1451" i="1"/>
  <c r="H1451" i="1"/>
  <c r="I1451" i="1"/>
  <c r="J1451" i="1"/>
  <c r="K1451" i="1"/>
  <c r="L1451" i="1"/>
  <c r="M1451" i="1"/>
  <c r="N1451" i="1"/>
  <c r="A1452" i="1"/>
  <c r="B1452" i="1"/>
  <c r="F1452" i="1"/>
  <c r="G1452" i="1"/>
  <c r="H1452" i="1"/>
  <c r="I1452" i="1"/>
  <c r="J1452" i="1"/>
  <c r="K1452" i="1"/>
  <c r="L1452" i="1"/>
  <c r="M1452" i="1"/>
  <c r="N1452" i="1"/>
  <c r="A1453" i="1"/>
  <c r="B1453" i="1"/>
  <c r="F1453" i="1"/>
  <c r="G1453" i="1"/>
  <c r="H1453" i="1"/>
  <c r="I1453" i="1"/>
  <c r="J1453" i="1"/>
  <c r="K1453" i="1"/>
  <c r="L1453" i="1"/>
  <c r="M1453" i="1"/>
  <c r="N1453" i="1"/>
  <c r="A1454" i="1"/>
  <c r="B1454" i="1"/>
  <c r="F1454" i="1"/>
  <c r="G1454" i="1"/>
  <c r="H1454" i="1"/>
  <c r="I1454" i="1"/>
  <c r="J1454" i="1"/>
  <c r="K1454" i="1"/>
  <c r="L1454" i="1"/>
  <c r="M1454" i="1"/>
  <c r="N1454" i="1"/>
  <c r="A1455" i="1"/>
  <c r="B1455" i="1"/>
  <c r="F1455" i="1"/>
  <c r="G1455" i="1"/>
  <c r="H1455" i="1"/>
  <c r="I1455" i="1"/>
  <c r="J1455" i="1"/>
  <c r="K1455" i="1"/>
  <c r="L1455" i="1"/>
  <c r="M1455" i="1"/>
  <c r="N1455" i="1"/>
  <c r="A1456" i="1"/>
  <c r="B1456" i="1"/>
  <c r="F1456" i="1"/>
  <c r="G1456" i="1"/>
  <c r="H1456" i="1"/>
  <c r="I1456" i="1"/>
  <c r="J1456" i="1"/>
  <c r="K1456" i="1"/>
  <c r="L1456" i="1"/>
  <c r="M1456" i="1"/>
  <c r="N1456" i="1"/>
  <c r="A1457" i="1"/>
  <c r="B1457" i="1"/>
  <c r="F1457" i="1"/>
  <c r="G1457" i="1"/>
  <c r="H1457" i="1"/>
  <c r="I1457" i="1"/>
  <c r="J1457" i="1"/>
  <c r="K1457" i="1"/>
  <c r="L1457" i="1"/>
  <c r="M1457" i="1"/>
  <c r="N1457" i="1"/>
  <c r="A1458" i="1"/>
  <c r="B1458" i="1"/>
  <c r="F1458" i="1"/>
  <c r="G1458" i="1"/>
  <c r="H1458" i="1"/>
  <c r="I1458" i="1"/>
  <c r="J1458" i="1"/>
  <c r="K1458" i="1"/>
  <c r="L1458" i="1"/>
  <c r="M1458" i="1"/>
  <c r="N1458" i="1"/>
  <c r="A1459" i="1"/>
  <c r="B1459" i="1"/>
  <c r="F1459" i="1"/>
  <c r="G1459" i="1"/>
  <c r="H1459" i="1"/>
  <c r="I1459" i="1"/>
  <c r="J1459" i="1"/>
  <c r="K1459" i="1"/>
  <c r="L1459" i="1"/>
  <c r="M1459" i="1"/>
  <c r="N1459" i="1"/>
  <c r="A1460" i="1"/>
  <c r="B1460" i="1"/>
  <c r="F1460" i="1"/>
  <c r="G1460" i="1"/>
  <c r="H1460" i="1"/>
  <c r="I1460" i="1"/>
  <c r="J1460" i="1"/>
  <c r="K1460" i="1"/>
  <c r="L1460" i="1"/>
  <c r="M1460" i="1"/>
  <c r="N1460" i="1"/>
  <c r="A1461" i="1"/>
  <c r="B1461" i="1"/>
  <c r="F1461" i="1"/>
  <c r="G1461" i="1"/>
  <c r="H1461" i="1"/>
  <c r="I1461" i="1"/>
  <c r="J1461" i="1"/>
  <c r="K1461" i="1"/>
  <c r="L1461" i="1"/>
  <c r="M1461" i="1"/>
  <c r="N1461" i="1"/>
  <c r="A1462" i="1"/>
  <c r="B1462" i="1"/>
  <c r="F1462" i="1"/>
  <c r="G1462" i="1"/>
  <c r="H1462" i="1"/>
  <c r="I1462" i="1"/>
  <c r="J1462" i="1"/>
  <c r="K1462" i="1"/>
  <c r="L1462" i="1"/>
  <c r="M1462" i="1"/>
  <c r="N1462" i="1"/>
  <c r="A1463" i="1"/>
  <c r="B1463" i="1"/>
  <c r="F1463" i="1"/>
  <c r="G1463" i="1"/>
  <c r="H1463" i="1"/>
  <c r="I1463" i="1"/>
  <c r="J1463" i="1"/>
  <c r="K1463" i="1"/>
  <c r="L1463" i="1"/>
  <c r="M1463" i="1"/>
  <c r="N1463" i="1"/>
  <c r="A1464" i="1"/>
  <c r="B1464" i="1"/>
  <c r="F1464" i="1"/>
  <c r="G1464" i="1"/>
  <c r="H1464" i="1"/>
  <c r="I1464" i="1"/>
  <c r="J1464" i="1"/>
  <c r="K1464" i="1"/>
  <c r="L1464" i="1"/>
  <c r="M1464" i="1"/>
  <c r="N1464" i="1"/>
  <c r="A1465" i="1"/>
  <c r="B1465" i="1"/>
  <c r="F1465" i="1"/>
  <c r="G1465" i="1"/>
  <c r="H1465" i="1"/>
  <c r="I1465" i="1"/>
  <c r="J1465" i="1"/>
  <c r="K1465" i="1"/>
  <c r="L1465" i="1"/>
  <c r="M1465" i="1"/>
  <c r="N1465" i="1"/>
  <c r="A1466" i="1"/>
  <c r="B1466" i="1"/>
  <c r="F1466" i="1"/>
  <c r="G1466" i="1"/>
  <c r="H1466" i="1"/>
  <c r="I1466" i="1"/>
  <c r="J1466" i="1"/>
  <c r="K1466" i="1"/>
  <c r="L1466" i="1"/>
  <c r="M1466" i="1"/>
  <c r="N1466" i="1"/>
  <c r="A1467" i="1"/>
  <c r="B1467" i="1"/>
  <c r="F1467" i="1"/>
  <c r="G1467" i="1"/>
  <c r="H1467" i="1"/>
  <c r="I1467" i="1"/>
  <c r="J1467" i="1"/>
  <c r="K1467" i="1"/>
  <c r="L1467" i="1"/>
  <c r="M1467" i="1"/>
  <c r="N1467" i="1"/>
  <c r="A1468" i="1"/>
  <c r="B1468" i="1"/>
  <c r="F1468" i="1"/>
  <c r="G1468" i="1"/>
  <c r="H1468" i="1"/>
  <c r="I1468" i="1"/>
  <c r="J1468" i="1"/>
  <c r="K1468" i="1"/>
  <c r="L1468" i="1"/>
  <c r="M1468" i="1"/>
  <c r="N1468" i="1"/>
  <c r="A1469" i="1"/>
  <c r="B1469" i="1"/>
  <c r="F1469" i="1"/>
  <c r="G1469" i="1"/>
  <c r="H1469" i="1"/>
  <c r="I1469" i="1"/>
  <c r="J1469" i="1"/>
  <c r="K1469" i="1"/>
  <c r="L1469" i="1"/>
  <c r="M1469" i="1"/>
  <c r="N1469" i="1"/>
  <c r="A1470" i="1"/>
  <c r="B1470" i="1"/>
  <c r="F1470" i="1"/>
  <c r="G1470" i="1"/>
  <c r="H1470" i="1"/>
  <c r="I1470" i="1"/>
  <c r="J1470" i="1"/>
  <c r="K1470" i="1"/>
  <c r="L1470" i="1"/>
  <c r="M1470" i="1"/>
  <c r="N1470" i="1"/>
  <c r="A1471" i="1"/>
  <c r="B1471" i="1"/>
  <c r="F1471" i="1"/>
  <c r="G1471" i="1"/>
  <c r="H1471" i="1"/>
  <c r="I1471" i="1"/>
  <c r="J1471" i="1"/>
  <c r="K1471" i="1"/>
  <c r="L1471" i="1"/>
  <c r="M1471" i="1"/>
  <c r="N1471" i="1"/>
  <c r="A1472" i="1"/>
  <c r="B1472" i="1"/>
  <c r="F1472" i="1"/>
  <c r="G1472" i="1"/>
  <c r="H1472" i="1"/>
  <c r="I1472" i="1"/>
  <c r="J1472" i="1"/>
  <c r="K1472" i="1"/>
  <c r="L1472" i="1"/>
  <c r="M1472" i="1"/>
  <c r="N1472" i="1"/>
  <c r="A1473" i="1"/>
  <c r="B1473" i="1"/>
  <c r="F1473" i="1"/>
  <c r="G1473" i="1"/>
  <c r="H1473" i="1"/>
  <c r="I1473" i="1"/>
  <c r="J1473" i="1"/>
  <c r="K1473" i="1"/>
  <c r="L1473" i="1"/>
  <c r="M1473" i="1"/>
  <c r="N1473" i="1"/>
  <c r="A1474" i="1"/>
  <c r="B1474" i="1"/>
  <c r="F1474" i="1"/>
  <c r="G1474" i="1"/>
  <c r="H1474" i="1"/>
  <c r="I1474" i="1"/>
  <c r="J1474" i="1"/>
  <c r="K1474" i="1"/>
  <c r="L1474" i="1"/>
  <c r="M1474" i="1"/>
  <c r="N1474" i="1"/>
  <c r="A1475" i="1"/>
  <c r="B1475" i="1"/>
  <c r="F1475" i="1"/>
  <c r="G1475" i="1"/>
  <c r="H1475" i="1"/>
  <c r="I1475" i="1"/>
  <c r="J1475" i="1"/>
  <c r="K1475" i="1"/>
  <c r="L1475" i="1"/>
  <c r="M1475" i="1"/>
  <c r="N1475" i="1"/>
  <c r="A1476" i="1"/>
  <c r="B1476" i="1"/>
  <c r="F1476" i="1"/>
  <c r="G1476" i="1"/>
  <c r="H1476" i="1"/>
  <c r="I1476" i="1"/>
  <c r="J1476" i="1"/>
  <c r="K1476" i="1"/>
  <c r="L1476" i="1"/>
  <c r="M1476" i="1"/>
  <c r="N1476" i="1"/>
  <c r="A1477" i="1"/>
  <c r="B1477" i="1"/>
  <c r="F1477" i="1"/>
  <c r="G1477" i="1"/>
  <c r="H1477" i="1"/>
  <c r="I1477" i="1"/>
  <c r="J1477" i="1"/>
  <c r="K1477" i="1"/>
  <c r="L1477" i="1"/>
  <c r="M1477" i="1"/>
  <c r="N1477" i="1"/>
  <c r="A1478" i="1"/>
  <c r="B1478" i="1"/>
  <c r="F1478" i="1"/>
  <c r="G1478" i="1"/>
  <c r="H1478" i="1"/>
  <c r="I1478" i="1"/>
  <c r="J1478" i="1"/>
  <c r="K1478" i="1"/>
  <c r="L1478" i="1"/>
  <c r="M1478" i="1"/>
  <c r="N1478" i="1"/>
  <c r="A1479" i="1"/>
  <c r="B1479" i="1"/>
  <c r="F1479" i="1"/>
  <c r="G1479" i="1"/>
  <c r="H1479" i="1"/>
  <c r="I1479" i="1"/>
  <c r="J1479" i="1"/>
  <c r="K1479" i="1"/>
  <c r="L1479" i="1"/>
  <c r="M1479" i="1"/>
  <c r="N1479" i="1"/>
  <c r="A1480" i="1"/>
  <c r="B1480" i="1"/>
  <c r="F1480" i="1"/>
  <c r="G1480" i="1"/>
  <c r="H1480" i="1"/>
  <c r="I1480" i="1"/>
  <c r="J1480" i="1"/>
  <c r="K1480" i="1"/>
  <c r="L1480" i="1"/>
  <c r="M1480" i="1"/>
  <c r="N1480" i="1"/>
  <c r="A1481" i="1"/>
  <c r="B1481" i="1"/>
  <c r="F1481" i="1"/>
  <c r="G1481" i="1"/>
  <c r="H1481" i="1"/>
  <c r="I1481" i="1"/>
  <c r="J1481" i="1"/>
  <c r="K1481" i="1"/>
  <c r="L1481" i="1"/>
  <c r="M1481" i="1"/>
  <c r="N1481" i="1"/>
  <c r="A1482" i="1"/>
  <c r="B1482" i="1"/>
  <c r="F1482" i="1"/>
  <c r="G1482" i="1"/>
  <c r="H1482" i="1"/>
  <c r="I1482" i="1"/>
  <c r="J1482" i="1"/>
  <c r="K1482" i="1"/>
  <c r="L1482" i="1"/>
  <c r="M1482" i="1"/>
  <c r="N1482" i="1"/>
  <c r="A1483" i="1"/>
  <c r="B1483" i="1"/>
  <c r="F1483" i="1"/>
  <c r="G1483" i="1"/>
  <c r="H1483" i="1"/>
  <c r="I1483" i="1"/>
  <c r="J1483" i="1"/>
  <c r="K1483" i="1"/>
  <c r="L1483" i="1"/>
  <c r="M1483" i="1"/>
  <c r="N1483" i="1"/>
  <c r="A1484" i="1"/>
  <c r="B1484" i="1"/>
  <c r="F1484" i="1"/>
  <c r="G1484" i="1"/>
  <c r="H1484" i="1"/>
  <c r="I1484" i="1"/>
  <c r="J1484" i="1"/>
  <c r="K1484" i="1"/>
  <c r="L1484" i="1"/>
  <c r="M1484" i="1"/>
  <c r="N1484" i="1"/>
  <c r="A1485" i="1"/>
  <c r="B1485" i="1"/>
  <c r="F1485" i="1"/>
  <c r="G1485" i="1"/>
  <c r="H1485" i="1"/>
  <c r="I1485" i="1"/>
  <c r="J1485" i="1"/>
  <c r="K1485" i="1"/>
  <c r="L1485" i="1"/>
  <c r="M1485" i="1"/>
  <c r="N1485" i="1"/>
  <c r="A1486" i="1"/>
  <c r="B1486" i="1"/>
  <c r="F1486" i="1"/>
  <c r="G1486" i="1"/>
  <c r="H1486" i="1"/>
  <c r="I1486" i="1"/>
  <c r="J1486" i="1"/>
  <c r="K1486" i="1"/>
  <c r="L1486" i="1"/>
  <c r="M1486" i="1"/>
  <c r="N1486" i="1"/>
  <c r="A1487" i="1"/>
  <c r="B1487" i="1"/>
  <c r="F1487" i="1"/>
  <c r="G1487" i="1"/>
  <c r="H1487" i="1"/>
  <c r="I1487" i="1"/>
  <c r="J1487" i="1"/>
  <c r="K1487" i="1"/>
  <c r="L1487" i="1"/>
  <c r="M1487" i="1"/>
  <c r="N1487" i="1"/>
  <c r="A1488" i="1"/>
  <c r="B1488" i="1"/>
  <c r="F1488" i="1"/>
  <c r="G1488" i="1"/>
  <c r="H1488" i="1"/>
  <c r="I1488" i="1"/>
  <c r="J1488" i="1"/>
  <c r="K1488" i="1"/>
  <c r="L1488" i="1"/>
  <c r="M1488" i="1"/>
  <c r="N1488" i="1"/>
  <c r="A1489" i="1"/>
  <c r="B1489" i="1"/>
  <c r="F1489" i="1"/>
  <c r="G1489" i="1"/>
  <c r="H1489" i="1"/>
  <c r="I1489" i="1"/>
  <c r="J1489" i="1"/>
  <c r="K1489" i="1"/>
  <c r="L1489" i="1"/>
  <c r="M1489" i="1"/>
  <c r="N1489" i="1"/>
  <c r="A1490" i="1"/>
  <c r="B1490" i="1"/>
  <c r="F1490" i="1"/>
  <c r="G1490" i="1"/>
  <c r="H1490" i="1"/>
  <c r="I1490" i="1"/>
  <c r="J1490" i="1"/>
  <c r="K1490" i="1"/>
  <c r="L1490" i="1"/>
  <c r="M1490" i="1"/>
  <c r="N1490" i="1"/>
  <c r="A1491" i="1"/>
  <c r="B1491" i="1"/>
  <c r="F1491" i="1"/>
  <c r="G1491" i="1"/>
  <c r="H1491" i="1"/>
  <c r="I1491" i="1"/>
  <c r="J1491" i="1"/>
  <c r="K1491" i="1"/>
  <c r="L1491" i="1"/>
  <c r="M1491" i="1"/>
  <c r="N1491" i="1"/>
  <c r="A1492" i="1"/>
  <c r="B1492" i="1"/>
  <c r="F1492" i="1"/>
  <c r="G1492" i="1"/>
  <c r="H1492" i="1"/>
  <c r="I1492" i="1"/>
  <c r="J1492" i="1"/>
  <c r="K1492" i="1"/>
  <c r="L1492" i="1"/>
  <c r="M1492" i="1"/>
  <c r="N1492" i="1"/>
  <c r="A1493" i="1"/>
  <c r="B1493" i="1"/>
  <c r="F1493" i="1"/>
  <c r="G1493" i="1"/>
  <c r="H1493" i="1"/>
  <c r="I1493" i="1"/>
  <c r="J1493" i="1"/>
  <c r="K1493" i="1"/>
  <c r="L1493" i="1"/>
  <c r="M1493" i="1"/>
  <c r="N1493" i="1"/>
  <c r="A1494" i="1"/>
  <c r="B1494" i="1"/>
  <c r="F1494" i="1"/>
  <c r="G1494" i="1"/>
  <c r="H1494" i="1"/>
  <c r="I1494" i="1"/>
  <c r="J1494" i="1"/>
  <c r="K1494" i="1"/>
  <c r="L1494" i="1"/>
  <c r="M1494" i="1"/>
  <c r="N1494" i="1"/>
  <c r="A1495" i="1"/>
  <c r="B1495" i="1"/>
  <c r="F1495" i="1"/>
  <c r="G1495" i="1"/>
  <c r="H1495" i="1"/>
  <c r="I1495" i="1"/>
  <c r="J1495" i="1"/>
  <c r="K1495" i="1"/>
  <c r="L1495" i="1"/>
  <c r="M1495" i="1"/>
  <c r="N1495" i="1"/>
  <c r="A1496" i="1"/>
  <c r="B1496" i="1"/>
  <c r="F1496" i="1"/>
  <c r="G1496" i="1"/>
  <c r="H1496" i="1"/>
  <c r="I1496" i="1"/>
  <c r="J1496" i="1"/>
  <c r="K1496" i="1"/>
  <c r="L1496" i="1"/>
  <c r="M1496" i="1"/>
  <c r="N1496" i="1"/>
  <c r="A1497" i="1"/>
  <c r="B1497" i="1"/>
  <c r="F1497" i="1"/>
  <c r="G1497" i="1"/>
  <c r="H1497" i="1"/>
  <c r="I1497" i="1"/>
  <c r="J1497" i="1"/>
  <c r="K1497" i="1"/>
  <c r="L1497" i="1"/>
  <c r="M1497" i="1"/>
  <c r="N1497" i="1"/>
  <c r="A1498" i="1"/>
  <c r="B1498" i="1"/>
  <c r="F1498" i="1"/>
  <c r="G1498" i="1"/>
  <c r="H1498" i="1"/>
  <c r="I1498" i="1"/>
  <c r="J1498" i="1"/>
  <c r="K1498" i="1"/>
  <c r="L1498" i="1"/>
  <c r="M1498" i="1"/>
  <c r="N1498" i="1"/>
  <c r="A1499" i="1"/>
  <c r="B1499" i="1"/>
  <c r="F1499" i="1"/>
  <c r="G1499" i="1"/>
  <c r="H1499" i="1"/>
  <c r="I1499" i="1"/>
  <c r="J1499" i="1"/>
  <c r="K1499" i="1"/>
  <c r="L1499" i="1"/>
  <c r="M1499" i="1"/>
  <c r="N1499" i="1"/>
  <c r="A1500" i="1"/>
  <c r="B1500" i="1"/>
  <c r="F1500" i="1"/>
  <c r="G1500" i="1"/>
  <c r="H1500" i="1"/>
  <c r="I1500" i="1"/>
  <c r="J1500" i="1"/>
  <c r="K1500" i="1"/>
  <c r="L1500" i="1"/>
  <c r="M1500" i="1"/>
  <c r="N1500" i="1"/>
  <c r="A1501" i="1"/>
  <c r="B1501" i="1"/>
  <c r="F1501" i="1"/>
  <c r="G1501" i="1"/>
  <c r="H1501" i="1"/>
  <c r="I1501" i="1"/>
  <c r="J1501" i="1"/>
  <c r="K1501" i="1"/>
  <c r="L1501" i="1"/>
  <c r="M1501" i="1"/>
  <c r="N1501" i="1"/>
  <c r="A1502" i="1"/>
  <c r="B1502" i="1"/>
  <c r="F1502" i="1"/>
  <c r="G1502" i="1"/>
  <c r="H1502" i="1"/>
  <c r="I1502" i="1"/>
  <c r="J1502" i="1"/>
  <c r="K1502" i="1"/>
  <c r="L1502" i="1"/>
  <c r="M1502" i="1"/>
  <c r="N1502" i="1"/>
  <c r="A1503" i="1"/>
  <c r="B1503" i="1"/>
  <c r="F1503" i="1"/>
  <c r="G1503" i="1"/>
  <c r="H1503" i="1"/>
  <c r="I1503" i="1"/>
  <c r="J1503" i="1"/>
  <c r="K1503" i="1"/>
  <c r="L1503" i="1"/>
  <c r="M1503" i="1"/>
  <c r="N1503" i="1"/>
  <c r="A1504" i="1"/>
  <c r="B1504" i="1"/>
  <c r="F1504" i="1"/>
  <c r="G1504" i="1"/>
  <c r="H1504" i="1"/>
  <c r="I1504" i="1"/>
  <c r="J1504" i="1"/>
  <c r="K1504" i="1"/>
  <c r="L1504" i="1"/>
  <c r="M1504" i="1"/>
  <c r="N1504" i="1"/>
  <c r="A1505" i="1"/>
  <c r="B1505" i="1"/>
  <c r="F1505" i="1"/>
  <c r="G1505" i="1"/>
  <c r="H1505" i="1"/>
  <c r="I1505" i="1"/>
  <c r="J1505" i="1"/>
  <c r="K1505" i="1"/>
  <c r="L1505" i="1"/>
  <c r="M1505" i="1"/>
  <c r="N1505" i="1"/>
  <c r="A1506" i="1"/>
  <c r="B1506" i="1"/>
  <c r="F1506" i="1"/>
  <c r="G1506" i="1"/>
  <c r="H1506" i="1"/>
  <c r="I1506" i="1"/>
  <c r="J1506" i="1"/>
  <c r="K1506" i="1"/>
  <c r="L1506" i="1"/>
  <c r="M1506" i="1"/>
  <c r="N1506" i="1"/>
  <c r="A1507" i="1"/>
  <c r="B1507" i="1"/>
  <c r="F1507" i="1"/>
  <c r="G1507" i="1"/>
  <c r="H1507" i="1"/>
  <c r="I1507" i="1"/>
  <c r="J1507" i="1"/>
  <c r="K1507" i="1"/>
  <c r="L1507" i="1"/>
  <c r="M1507" i="1"/>
  <c r="N1507" i="1"/>
  <c r="A1508" i="1"/>
  <c r="B1508" i="1"/>
  <c r="F1508" i="1"/>
  <c r="G1508" i="1"/>
  <c r="H1508" i="1"/>
  <c r="I1508" i="1"/>
  <c r="J1508" i="1"/>
  <c r="K1508" i="1"/>
  <c r="L1508" i="1"/>
  <c r="M1508" i="1"/>
  <c r="N1508" i="1"/>
  <c r="A1509" i="1"/>
  <c r="B1509" i="1"/>
  <c r="F1509" i="1"/>
  <c r="G1509" i="1"/>
  <c r="H1509" i="1"/>
  <c r="I1509" i="1"/>
  <c r="J1509" i="1"/>
  <c r="K1509" i="1"/>
  <c r="L1509" i="1"/>
  <c r="M1509" i="1"/>
  <c r="N1509" i="1"/>
  <c r="A1510" i="1"/>
  <c r="B1510" i="1"/>
  <c r="F1510" i="1"/>
  <c r="G1510" i="1"/>
  <c r="H1510" i="1"/>
  <c r="I1510" i="1"/>
  <c r="J1510" i="1"/>
  <c r="K1510" i="1"/>
  <c r="L1510" i="1"/>
  <c r="M1510" i="1"/>
  <c r="N1510" i="1"/>
  <c r="A1511" i="1"/>
  <c r="B1511" i="1"/>
  <c r="F1511" i="1"/>
  <c r="G1511" i="1"/>
  <c r="H1511" i="1"/>
  <c r="I1511" i="1"/>
  <c r="J1511" i="1"/>
  <c r="K1511" i="1"/>
  <c r="L1511" i="1"/>
  <c r="M1511" i="1"/>
  <c r="N1511" i="1"/>
  <c r="A1512" i="1"/>
  <c r="B1512" i="1"/>
  <c r="F1512" i="1"/>
  <c r="G1512" i="1"/>
  <c r="H1512" i="1"/>
  <c r="I1512" i="1"/>
  <c r="J1512" i="1"/>
  <c r="K1512" i="1"/>
  <c r="L1512" i="1"/>
  <c r="M1512" i="1"/>
  <c r="N1512" i="1"/>
  <c r="A1513" i="1"/>
  <c r="B1513" i="1"/>
  <c r="F1513" i="1"/>
  <c r="G1513" i="1"/>
  <c r="H1513" i="1"/>
  <c r="I1513" i="1"/>
  <c r="J1513" i="1"/>
  <c r="K1513" i="1"/>
  <c r="L1513" i="1"/>
  <c r="M1513" i="1"/>
  <c r="N1513" i="1"/>
  <c r="A1514" i="1"/>
  <c r="B1514" i="1"/>
  <c r="F1514" i="1"/>
  <c r="G1514" i="1"/>
  <c r="H1514" i="1"/>
  <c r="I1514" i="1"/>
  <c r="J1514" i="1"/>
  <c r="K1514" i="1"/>
  <c r="L1514" i="1"/>
  <c r="M1514" i="1"/>
  <c r="N1514" i="1"/>
  <c r="A1515" i="1"/>
  <c r="B1515" i="1"/>
  <c r="F1515" i="1"/>
  <c r="G1515" i="1"/>
  <c r="H1515" i="1"/>
  <c r="I1515" i="1"/>
  <c r="J1515" i="1"/>
  <c r="K1515" i="1"/>
  <c r="L1515" i="1"/>
  <c r="M1515" i="1"/>
  <c r="N1515" i="1"/>
  <c r="A1516" i="1"/>
  <c r="B1516" i="1"/>
  <c r="F1516" i="1"/>
  <c r="G1516" i="1"/>
  <c r="H1516" i="1"/>
  <c r="I1516" i="1"/>
  <c r="J1516" i="1"/>
  <c r="K1516" i="1"/>
  <c r="L1516" i="1"/>
  <c r="M1516" i="1"/>
  <c r="N1516" i="1"/>
  <c r="A1517" i="1"/>
  <c r="B1517" i="1"/>
  <c r="F1517" i="1"/>
  <c r="G1517" i="1"/>
  <c r="H1517" i="1"/>
  <c r="I1517" i="1"/>
  <c r="J1517" i="1"/>
  <c r="K1517" i="1"/>
  <c r="L1517" i="1"/>
  <c r="M1517" i="1"/>
  <c r="N1517" i="1"/>
  <c r="A1518" i="1"/>
  <c r="B1518" i="1"/>
  <c r="F1518" i="1"/>
  <c r="G1518" i="1"/>
  <c r="H1518" i="1"/>
  <c r="I1518" i="1"/>
  <c r="J1518" i="1"/>
  <c r="K1518" i="1"/>
  <c r="L1518" i="1"/>
  <c r="M1518" i="1"/>
  <c r="N1518" i="1"/>
  <c r="A1519" i="1"/>
  <c r="B1519" i="1"/>
  <c r="F1519" i="1"/>
  <c r="G1519" i="1"/>
  <c r="H1519" i="1"/>
  <c r="I1519" i="1"/>
  <c r="J1519" i="1"/>
  <c r="K1519" i="1"/>
  <c r="L1519" i="1"/>
  <c r="M1519" i="1"/>
  <c r="N1519" i="1"/>
  <c r="A1520" i="1"/>
  <c r="B1520" i="1"/>
  <c r="F1520" i="1"/>
  <c r="G1520" i="1"/>
  <c r="H1520" i="1"/>
  <c r="I1520" i="1"/>
  <c r="J1520" i="1"/>
  <c r="K1520" i="1"/>
  <c r="L1520" i="1"/>
  <c r="M1520" i="1"/>
  <c r="N1520" i="1"/>
  <c r="A1521" i="1"/>
  <c r="B1521" i="1"/>
  <c r="F1521" i="1"/>
  <c r="G1521" i="1"/>
  <c r="H1521" i="1"/>
  <c r="I1521" i="1"/>
  <c r="J1521" i="1"/>
  <c r="K1521" i="1"/>
  <c r="L1521" i="1"/>
  <c r="M1521" i="1"/>
  <c r="N1521" i="1"/>
  <c r="A1522" i="1"/>
  <c r="B1522" i="1"/>
  <c r="F1522" i="1"/>
  <c r="G1522" i="1"/>
  <c r="H1522" i="1"/>
  <c r="I1522" i="1"/>
  <c r="J1522" i="1"/>
  <c r="K1522" i="1"/>
  <c r="L1522" i="1"/>
  <c r="M1522" i="1"/>
  <c r="N1522" i="1"/>
  <c r="A1523" i="1"/>
  <c r="B1523" i="1"/>
  <c r="F1523" i="1"/>
  <c r="G1523" i="1"/>
  <c r="H1523" i="1"/>
  <c r="I1523" i="1"/>
  <c r="J1523" i="1"/>
  <c r="K1523" i="1"/>
  <c r="L1523" i="1"/>
  <c r="M1523" i="1"/>
  <c r="N1523" i="1"/>
  <c r="A1524" i="1"/>
  <c r="B1524" i="1"/>
  <c r="F1524" i="1"/>
  <c r="G1524" i="1"/>
  <c r="H1524" i="1"/>
  <c r="I1524" i="1"/>
  <c r="J1524" i="1"/>
  <c r="K1524" i="1"/>
  <c r="L1524" i="1"/>
  <c r="M1524" i="1"/>
  <c r="N1524" i="1"/>
  <c r="A1525" i="1"/>
  <c r="B1525" i="1"/>
  <c r="F1525" i="1"/>
  <c r="G1525" i="1"/>
  <c r="H1525" i="1"/>
  <c r="I1525" i="1"/>
  <c r="J1525" i="1"/>
  <c r="K1525" i="1"/>
  <c r="L1525" i="1"/>
  <c r="M1525" i="1"/>
  <c r="N1525" i="1"/>
  <c r="A1526" i="1"/>
  <c r="B1526" i="1"/>
  <c r="F1526" i="1"/>
  <c r="G1526" i="1"/>
  <c r="H1526" i="1"/>
  <c r="I1526" i="1"/>
  <c r="J1526" i="1"/>
  <c r="K1526" i="1"/>
  <c r="L1526" i="1"/>
  <c r="M1526" i="1"/>
  <c r="N1526" i="1"/>
  <c r="A1527" i="1"/>
  <c r="B1527" i="1"/>
  <c r="F1527" i="1"/>
  <c r="G1527" i="1"/>
  <c r="H1527" i="1"/>
  <c r="I1527" i="1"/>
  <c r="J1527" i="1"/>
  <c r="K1527" i="1"/>
  <c r="L1527" i="1"/>
  <c r="M1527" i="1"/>
  <c r="N1527" i="1"/>
  <c r="A1528" i="1"/>
  <c r="B1528" i="1"/>
  <c r="F1528" i="1"/>
  <c r="G1528" i="1"/>
  <c r="H1528" i="1"/>
  <c r="I1528" i="1"/>
  <c r="J1528" i="1"/>
  <c r="K1528" i="1"/>
  <c r="L1528" i="1"/>
  <c r="M1528" i="1"/>
  <c r="N1528" i="1"/>
  <c r="A1529" i="1"/>
  <c r="B1529" i="1"/>
  <c r="F1529" i="1"/>
  <c r="G1529" i="1"/>
  <c r="H1529" i="1"/>
  <c r="I1529" i="1"/>
  <c r="J1529" i="1"/>
  <c r="K1529" i="1"/>
  <c r="L1529" i="1"/>
  <c r="M1529" i="1"/>
  <c r="N1529" i="1"/>
  <c r="A1530" i="1"/>
  <c r="B1530" i="1"/>
  <c r="F1530" i="1"/>
  <c r="G1530" i="1"/>
  <c r="H1530" i="1"/>
  <c r="I1530" i="1"/>
  <c r="J1530" i="1"/>
  <c r="K1530" i="1"/>
  <c r="L1530" i="1"/>
  <c r="M1530" i="1"/>
  <c r="N1530" i="1"/>
  <c r="A1531" i="1"/>
  <c r="B1531" i="1"/>
  <c r="F1531" i="1"/>
  <c r="G1531" i="1"/>
  <c r="H1531" i="1"/>
  <c r="I1531" i="1"/>
  <c r="J1531" i="1"/>
  <c r="K1531" i="1"/>
  <c r="L1531" i="1"/>
  <c r="M1531" i="1"/>
  <c r="N1531" i="1"/>
  <c r="A1532" i="1"/>
  <c r="B1532" i="1"/>
  <c r="F1532" i="1"/>
  <c r="G1532" i="1"/>
  <c r="H1532" i="1"/>
  <c r="I1532" i="1"/>
  <c r="J1532" i="1"/>
  <c r="K1532" i="1"/>
  <c r="L1532" i="1"/>
  <c r="M1532" i="1"/>
  <c r="N1532" i="1"/>
  <c r="A1533" i="1"/>
  <c r="B1533" i="1"/>
  <c r="F1533" i="1"/>
  <c r="G1533" i="1"/>
  <c r="H1533" i="1"/>
  <c r="I1533" i="1"/>
  <c r="J1533" i="1"/>
  <c r="K1533" i="1"/>
  <c r="L1533" i="1"/>
  <c r="M1533" i="1"/>
  <c r="N1533" i="1"/>
  <c r="A1534" i="1"/>
  <c r="B1534" i="1"/>
  <c r="F1534" i="1"/>
  <c r="G1534" i="1"/>
  <c r="H1534" i="1"/>
  <c r="I1534" i="1"/>
  <c r="J1534" i="1"/>
  <c r="K1534" i="1"/>
  <c r="L1534" i="1"/>
  <c r="M1534" i="1"/>
  <c r="N1534" i="1"/>
  <c r="A1535" i="1"/>
  <c r="B1535" i="1"/>
  <c r="F1535" i="1"/>
  <c r="G1535" i="1"/>
  <c r="H1535" i="1"/>
  <c r="I1535" i="1"/>
  <c r="J1535" i="1"/>
  <c r="K1535" i="1"/>
  <c r="L1535" i="1"/>
  <c r="M1535" i="1"/>
  <c r="N1535" i="1"/>
  <c r="A1536" i="1"/>
  <c r="B1536" i="1"/>
  <c r="F1536" i="1"/>
  <c r="G1536" i="1"/>
  <c r="H1536" i="1"/>
  <c r="I1536" i="1"/>
  <c r="J1536" i="1"/>
  <c r="K1536" i="1"/>
  <c r="L1536" i="1"/>
  <c r="M1536" i="1"/>
  <c r="N1536" i="1"/>
  <c r="A1537" i="1"/>
  <c r="B1537" i="1"/>
  <c r="F1537" i="1"/>
  <c r="G1537" i="1"/>
  <c r="H1537" i="1"/>
  <c r="I1537" i="1"/>
  <c r="J1537" i="1"/>
  <c r="K1537" i="1"/>
  <c r="L1537" i="1"/>
  <c r="M1537" i="1"/>
  <c r="N1537" i="1"/>
  <c r="A1538" i="1"/>
  <c r="B1538" i="1"/>
  <c r="F1538" i="1"/>
  <c r="G1538" i="1"/>
  <c r="H1538" i="1"/>
  <c r="I1538" i="1"/>
  <c r="J1538" i="1"/>
  <c r="K1538" i="1"/>
  <c r="L1538" i="1"/>
  <c r="M1538" i="1"/>
  <c r="N1538" i="1"/>
  <c r="A1539" i="1"/>
  <c r="B1539" i="1"/>
  <c r="F1539" i="1"/>
  <c r="G1539" i="1"/>
  <c r="H1539" i="1"/>
  <c r="I1539" i="1"/>
  <c r="J1539" i="1"/>
  <c r="K1539" i="1"/>
  <c r="L1539" i="1"/>
  <c r="M1539" i="1"/>
  <c r="N1539" i="1"/>
  <c r="A1540" i="1"/>
  <c r="B1540" i="1"/>
  <c r="F1540" i="1"/>
  <c r="G1540" i="1"/>
  <c r="H1540" i="1"/>
  <c r="I1540" i="1"/>
  <c r="J1540" i="1"/>
  <c r="K1540" i="1"/>
  <c r="L1540" i="1"/>
  <c r="M1540" i="1"/>
  <c r="N1540" i="1"/>
  <c r="A1541" i="1"/>
  <c r="B1541" i="1"/>
  <c r="F1541" i="1"/>
  <c r="G1541" i="1"/>
  <c r="H1541" i="1"/>
  <c r="I1541" i="1"/>
  <c r="J1541" i="1"/>
  <c r="K1541" i="1"/>
  <c r="L1541" i="1"/>
  <c r="M1541" i="1"/>
  <c r="N1541" i="1"/>
  <c r="A1542" i="1"/>
  <c r="B1542" i="1"/>
  <c r="F1542" i="1"/>
  <c r="G1542" i="1"/>
  <c r="H1542" i="1"/>
  <c r="I1542" i="1"/>
  <c r="J1542" i="1"/>
  <c r="K1542" i="1"/>
  <c r="L1542" i="1"/>
  <c r="M1542" i="1"/>
  <c r="N1542" i="1"/>
  <c r="A1543" i="1"/>
  <c r="B1543" i="1"/>
  <c r="F1543" i="1"/>
  <c r="G1543" i="1"/>
  <c r="H1543" i="1"/>
  <c r="I1543" i="1"/>
  <c r="J1543" i="1"/>
  <c r="K1543" i="1"/>
  <c r="L1543" i="1"/>
  <c r="M1543" i="1"/>
  <c r="N1543" i="1"/>
  <c r="A1544" i="1"/>
  <c r="B1544" i="1"/>
  <c r="F1544" i="1"/>
  <c r="G1544" i="1"/>
  <c r="H1544" i="1"/>
  <c r="I1544" i="1"/>
  <c r="J1544" i="1"/>
  <c r="K1544" i="1"/>
  <c r="L1544" i="1"/>
  <c r="M1544" i="1"/>
  <c r="N1544" i="1"/>
  <c r="A1545" i="1"/>
  <c r="B1545" i="1"/>
  <c r="F1545" i="1"/>
  <c r="G1545" i="1"/>
  <c r="H1545" i="1"/>
  <c r="I1545" i="1"/>
  <c r="J1545" i="1"/>
  <c r="K1545" i="1"/>
  <c r="L1545" i="1"/>
  <c r="M1545" i="1"/>
  <c r="N1545" i="1"/>
  <c r="A1546" i="1"/>
  <c r="B1546" i="1"/>
  <c r="F1546" i="1"/>
  <c r="G1546" i="1"/>
  <c r="H1546" i="1"/>
  <c r="I1546" i="1"/>
  <c r="J1546" i="1"/>
  <c r="K1546" i="1"/>
  <c r="L1546" i="1"/>
  <c r="M1546" i="1"/>
  <c r="N1546" i="1"/>
  <c r="A1547" i="1"/>
  <c r="B1547" i="1"/>
  <c r="F1547" i="1"/>
  <c r="G1547" i="1"/>
  <c r="H1547" i="1"/>
  <c r="I1547" i="1"/>
  <c r="J1547" i="1"/>
  <c r="K1547" i="1"/>
  <c r="L1547" i="1"/>
  <c r="M1547" i="1"/>
  <c r="N1547" i="1"/>
  <c r="A1548" i="1"/>
  <c r="B1548" i="1"/>
  <c r="F1548" i="1"/>
  <c r="G1548" i="1"/>
  <c r="H1548" i="1"/>
  <c r="I1548" i="1"/>
  <c r="J1548" i="1"/>
  <c r="K1548" i="1"/>
  <c r="L1548" i="1"/>
  <c r="M1548" i="1"/>
  <c r="N1548" i="1"/>
  <c r="A1549" i="1"/>
  <c r="B1549" i="1"/>
  <c r="F1549" i="1"/>
  <c r="G1549" i="1"/>
  <c r="H1549" i="1"/>
  <c r="I1549" i="1"/>
  <c r="J1549" i="1"/>
  <c r="K1549" i="1"/>
  <c r="L1549" i="1"/>
  <c r="M1549" i="1"/>
  <c r="N1549" i="1"/>
  <c r="A1550" i="1"/>
  <c r="B1550" i="1"/>
  <c r="F1550" i="1"/>
  <c r="G1550" i="1"/>
  <c r="H1550" i="1"/>
  <c r="I1550" i="1"/>
  <c r="J1550" i="1"/>
  <c r="K1550" i="1"/>
  <c r="L1550" i="1"/>
  <c r="M1550" i="1"/>
  <c r="N1550" i="1"/>
  <c r="A1551" i="1"/>
  <c r="B1551" i="1"/>
  <c r="F1551" i="1"/>
  <c r="G1551" i="1"/>
  <c r="H1551" i="1"/>
  <c r="I1551" i="1"/>
  <c r="J1551" i="1"/>
  <c r="K1551" i="1"/>
  <c r="L1551" i="1"/>
  <c r="M1551" i="1"/>
  <c r="N1551" i="1"/>
  <c r="A1552" i="1"/>
  <c r="B1552" i="1"/>
  <c r="F1552" i="1"/>
  <c r="G1552" i="1"/>
  <c r="H1552" i="1"/>
  <c r="I1552" i="1"/>
  <c r="J1552" i="1"/>
  <c r="K1552" i="1"/>
  <c r="L1552" i="1"/>
  <c r="M1552" i="1"/>
  <c r="N1552" i="1"/>
  <c r="A1553" i="1"/>
  <c r="B1553" i="1"/>
  <c r="F1553" i="1"/>
  <c r="G1553" i="1"/>
  <c r="H1553" i="1"/>
  <c r="I1553" i="1"/>
  <c r="J1553" i="1"/>
  <c r="K1553" i="1"/>
  <c r="L1553" i="1"/>
  <c r="M1553" i="1"/>
  <c r="N1553" i="1"/>
  <c r="A1554" i="1"/>
  <c r="B1554" i="1"/>
  <c r="F1554" i="1"/>
  <c r="G1554" i="1"/>
  <c r="H1554" i="1"/>
  <c r="I1554" i="1"/>
  <c r="J1554" i="1"/>
  <c r="K1554" i="1"/>
  <c r="L1554" i="1"/>
  <c r="M1554" i="1"/>
  <c r="N1554" i="1"/>
  <c r="A1555" i="1"/>
  <c r="B1555" i="1"/>
  <c r="F1555" i="1"/>
  <c r="G1555" i="1"/>
  <c r="H1555" i="1"/>
  <c r="I1555" i="1"/>
  <c r="J1555" i="1"/>
  <c r="K1555" i="1"/>
  <c r="L1555" i="1"/>
  <c r="M1555" i="1"/>
  <c r="N1555" i="1"/>
  <c r="A1556" i="1"/>
  <c r="B1556" i="1"/>
  <c r="F1556" i="1"/>
  <c r="G1556" i="1"/>
  <c r="H1556" i="1"/>
  <c r="I1556" i="1"/>
  <c r="J1556" i="1"/>
  <c r="K1556" i="1"/>
  <c r="L1556" i="1"/>
  <c r="M1556" i="1"/>
  <c r="N1556" i="1"/>
  <c r="A1557" i="1"/>
  <c r="B1557" i="1"/>
  <c r="F1557" i="1"/>
  <c r="G1557" i="1"/>
  <c r="H1557" i="1"/>
  <c r="I1557" i="1"/>
  <c r="J1557" i="1"/>
  <c r="K1557" i="1"/>
  <c r="L1557" i="1"/>
  <c r="M1557" i="1"/>
  <c r="N1557" i="1"/>
  <c r="A1558" i="1"/>
  <c r="B1558" i="1"/>
  <c r="F1558" i="1"/>
  <c r="G1558" i="1"/>
  <c r="H1558" i="1"/>
  <c r="I1558" i="1"/>
  <c r="J1558" i="1"/>
  <c r="K1558" i="1"/>
  <c r="L1558" i="1"/>
  <c r="M1558" i="1"/>
  <c r="N1558" i="1"/>
  <c r="A1559" i="1"/>
  <c r="B1559" i="1"/>
  <c r="F1559" i="1"/>
  <c r="G1559" i="1"/>
  <c r="H1559" i="1"/>
  <c r="I1559" i="1"/>
  <c r="J1559" i="1"/>
  <c r="K1559" i="1"/>
  <c r="L1559" i="1"/>
  <c r="M1559" i="1"/>
  <c r="N1559" i="1"/>
  <c r="A1560" i="1"/>
  <c r="B1560" i="1"/>
  <c r="F1560" i="1"/>
  <c r="G1560" i="1"/>
  <c r="H1560" i="1"/>
  <c r="I1560" i="1"/>
  <c r="J1560" i="1"/>
  <c r="K1560" i="1"/>
  <c r="L1560" i="1"/>
  <c r="M1560" i="1"/>
  <c r="N1560" i="1"/>
  <c r="A1561" i="1"/>
  <c r="B1561" i="1"/>
  <c r="F1561" i="1"/>
  <c r="G1561" i="1"/>
  <c r="H1561" i="1"/>
  <c r="I1561" i="1"/>
  <c r="J1561" i="1"/>
  <c r="K1561" i="1"/>
  <c r="L1561" i="1"/>
  <c r="M1561" i="1"/>
  <c r="N1561" i="1"/>
  <c r="A1562" i="1"/>
  <c r="B1562" i="1"/>
  <c r="F1562" i="1"/>
  <c r="G1562" i="1"/>
  <c r="H1562" i="1"/>
  <c r="I1562" i="1"/>
  <c r="J1562" i="1"/>
  <c r="K1562" i="1"/>
  <c r="L1562" i="1"/>
  <c r="M1562" i="1"/>
  <c r="N1562" i="1"/>
  <c r="A1563" i="1"/>
  <c r="B1563" i="1"/>
  <c r="F1563" i="1"/>
  <c r="G1563" i="1"/>
  <c r="H1563" i="1"/>
  <c r="I1563" i="1"/>
  <c r="J1563" i="1"/>
  <c r="K1563" i="1"/>
  <c r="L1563" i="1"/>
  <c r="M1563" i="1"/>
  <c r="N1563" i="1"/>
  <c r="A1564" i="1"/>
  <c r="B1564" i="1"/>
  <c r="F1564" i="1"/>
  <c r="G1564" i="1"/>
  <c r="H1564" i="1"/>
  <c r="I1564" i="1"/>
  <c r="J1564" i="1"/>
  <c r="K1564" i="1"/>
  <c r="L1564" i="1"/>
  <c r="M1564" i="1"/>
  <c r="N1564" i="1"/>
  <c r="A1565" i="1"/>
  <c r="B1565" i="1"/>
  <c r="F1565" i="1"/>
  <c r="G1565" i="1"/>
  <c r="H1565" i="1"/>
  <c r="I1565" i="1"/>
  <c r="J1565" i="1"/>
  <c r="K1565" i="1"/>
  <c r="L1565" i="1"/>
  <c r="M1565" i="1"/>
  <c r="N1565" i="1"/>
  <c r="A1566" i="1"/>
  <c r="B1566" i="1"/>
  <c r="F1566" i="1"/>
  <c r="G1566" i="1"/>
  <c r="H1566" i="1"/>
  <c r="I1566" i="1"/>
  <c r="J1566" i="1"/>
  <c r="K1566" i="1"/>
  <c r="L1566" i="1"/>
  <c r="M1566" i="1"/>
  <c r="N1566" i="1"/>
  <c r="A1567" i="1"/>
  <c r="B1567" i="1"/>
  <c r="F1567" i="1"/>
  <c r="G1567" i="1"/>
  <c r="H1567" i="1"/>
  <c r="I1567" i="1"/>
  <c r="J1567" i="1"/>
  <c r="K1567" i="1"/>
  <c r="L1567" i="1"/>
  <c r="M1567" i="1"/>
  <c r="N1567" i="1"/>
  <c r="A1568" i="1"/>
  <c r="B1568" i="1"/>
  <c r="F1568" i="1"/>
  <c r="G1568" i="1"/>
  <c r="H1568" i="1"/>
  <c r="I1568" i="1"/>
  <c r="J1568" i="1"/>
  <c r="K1568" i="1"/>
  <c r="L1568" i="1"/>
  <c r="M1568" i="1"/>
  <c r="N1568" i="1"/>
  <c r="A1569" i="1"/>
  <c r="B1569" i="1"/>
  <c r="F1569" i="1"/>
  <c r="G1569" i="1"/>
  <c r="H1569" i="1"/>
  <c r="I1569" i="1"/>
  <c r="J1569" i="1"/>
  <c r="K1569" i="1"/>
  <c r="L1569" i="1"/>
  <c r="M1569" i="1"/>
  <c r="N1569" i="1"/>
  <c r="A1570" i="1"/>
  <c r="B1570" i="1"/>
  <c r="F1570" i="1"/>
  <c r="G1570" i="1"/>
  <c r="H1570" i="1"/>
  <c r="I1570" i="1"/>
  <c r="J1570" i="1"/>
  <c r="K1570" i="1"/>
  <c r="L1570" i="1"/>
  <c r="M1570" i="1"/>
  <c r="N1570" i="1"/>
  <c r="A1571" i="1"/>
  <c r="B1571" i="1"/>
  <c r="F1571" i="1"/>
  <c r="G1571" i="1"/>
  <c r="H1571" i="1"/>
  <c r="I1571" i="1"/>
  <c r="J1571" i="1"/>
  <c r="K1571" i="1"/>
  <c r="L1571" i="1"/>
  <c r="M1571" i="1"/>
  <c r="N1571" i="1"/>
  <c r="A1572" i="1"/>
  <c r="B1572" i="1"/>
  <c r="F1572" i="1"/>
  <c r="G1572" i="1"/>
  <c r="H1572" i="1"/>
  <c r="I1572" i="1"/>
  <c r="J1572" i="1"/>
  <c r="K1572" i="1"/>
  <c r="L1572" i="1"/>
  <c r="M1572" i="1"/>
  <c r="N1572" i="1"/>
  <c r="A1573" i="1"/>
  <c r="B1573" i="1"/>
  <c r="F1573" i="1"/>
  <c r="G1573" i="1"/>
  <c r="H1573" i="1"/>
  <c r="I1573" i="1"/>
  <c r="J1573" i="1"/>
  <c r="K1573" i="1"/>
  <c r="L1573" i="1"/>
  <c r="M1573" i="1"/>
  <c r="N1573" i="1"/>
  <c r="A1574" i="1"/>
  <c r="B1574" i="1"/>
  <c r="F1574" i="1"/>
  <c r="G1574" i="1"/>
  <c r="H1574" i="1"/>
  <c r="I1574" i="1"/>
  <c r="J1574" i="1"/>
  <c r="K1574" i="1"/>
  <c r="L1574" i="1"/>
  <c r="M1574" i="1"/>
  <c r="N1574" i="1"/>
  <c r="A1575" i="1"/>
  <c r="B1575" i="1"/>
  <c r="F1575" i="1"/>
  <c r="G1575" i="1"/>
  <c r="H1575" i="1"/>
  <c r="I1575" i="1"/>
  <c r="J1575" i="1"/>
  <c r="K1575" i="1"/>
  <c r="L1575" i="1"/>
  <c r="M1575" i="1"/>
  <c r="N1575" i="1"/>
  <c r="A1576" i="1"/>
  <c r="B1576" i="1"/>
  <c r="F1576" i="1"/>
  <c r="G1576" i="1"/>
  <c r="H1576" i="1"/>
  <c r="I1576" i="1"/>
  <c r="J1576" i="1"/>
  <c r="K1576" i="1"/>
  <c r="L1576" i="1"/>
  <c r="M1576" i="1"/>
  <c r="N1576" i="1"/>
  <c r="A1577" i="1"/>
  <c r="B1577" i="1"/>
  <c r="F1577" i="1"/>
  <c r="G1577" i="1"/>
  <c r="H1577" i="1"/>
  <c r="I1577" i="1"/>
  <c r="J1577" i="1"/>
  <c r="K1577" i="1"/>
  <c r="L1577" i="1"/>
  <c r="M1577" i="1"/>
  <c r="N1577" i="1"/>
  <c r="A1578" i="1"/>
  <c r="B1578" i="1"/>
  <c r="F1578" i="1"/>
  <c r="G1578" i="1"/>
  <c r="H1578" i="1"/>
  <c r="I1578" i="1"/>
  <c r="J1578" i="1"/>
  <c r="K1578" i="1"/>
  <c r="L1578" i="1"/>
  <c r="M1578" i="1"/>
  <c r="N1578" i="1"/>
  <c r="A1579" i="1"/>
  <c r="B1579" i="1"/>
  <c r="F1579" i="1"/>
  <c r="G1579" i="1"/>
  <c r="H1579" i="1"/>
  <c r="I1579" i="1"/>
  <c r="J1579" i="1"/>
  <c r="K1579" i="1"/>
  <c r="L1579" i="1"/>
  <c r="M1579" i="1"/>
  <c r="N1579" i="1"/>
  <c r="A1580" i="1"/>
  <c r="B1580" i="1"/>
  <c r="F1580" i="1"/>
  <c r="G1580" i="1"/>
  <c r="H1580" i="1"/>
  <c r="I1580" i="1"/>
  <c r="J1580" i="1"/>
  <c r="K1580" i="1"/>
  <c r="L1580" i="1"/>
  <c r="M1580" i="1"/>
  <c r="N1580" i="1"/>
  <c r="A1581" i="1"/>
  <c r="B1581" i="1"/>
  <c r="F1581" i="1"/>
  <c r="G1581" i="1"/>
  <c r="H1581" i="1"/>
  <c r="I1581" i="1"/>
  <c r="J1581" i="1"/>
  <c r="K1581" i="1"/>
  <c r="L1581" i="1"/>
  <c r="M1581" i="1"/>
  <c r="N1581" i="1"/>
  <c r="A1582" i="1"/>
  <c r="B1582" i="1"/>
  <c r="F1582" i="1"/>
  <c r="G1582" i="1"/>
  <c r="H1582" i="1"/>
  <c r="I1582" i="1"/>
  <c r="J1582" i="1"/>
  <c r="K1582" i="1"/>
  <c r="L1582" i="1"/>
  <c r="M1582" i="1"/>
  <c r="N1582" i="1"/>
  <c r="A1583" i="1"/>
  <c r="B1583" i="1"/>
  <c r="F1583" i="1"/>
  <c r="G1583" i="1"/>
  <c r="H1583" i="1"/>
  <c r="I1583" i="1"/>
  <c r="J1583" i="1"/>
  <c r="K1583" i="1"/>
  <c r="L1583" i="1"/>
  <c r="M1583" i="1"/>
  <c r="N1583" i="1"/>
  <c r="A1584" i="1"/>
  <c r="B1584" i="1"/>
  <c r="F1584" i="1"/>
  <c r="G1584" i="1"/>
  <c r="H1584" i="1"/>
  <c r="I1584" i="1"/>
  <c r="J1584" i="1"/>
  <c r="K1584" i="1"/>
  <c r="L1584" i="1"/>
  <c r="M1584" i="1"/>
  <c r="N1584" i="1"/>
  <c r="A1585" i="1"/>
  <c r="B1585" i="1"/>
  <c r="F1585" i="1"/>
  <c r="G1585" i="1"/>
  <c r="H1585" i="1"/>
  <c r="I1585" i="1"/>
  <c r="J1585" i="1"/>
  <c r="K1585" i="1"/>
  <c r="L1585" i="1"/>
  <c r="M1585" i="1"/>
  <c r="N1585" i="1"/>
  <c r="A1586" i="1"/>
  <c r="B1586" i="1"/>
  <c r="F1586" i="1"/>
  <c r="G1586" i="1"/>
  <c r="H1586" i="1"/>
  <c r="I1586" i="1"/>
  <c r="J1586" i="1"/>
  <c r="K1586" i="1"/>
  <c r="L1586" i="1"/>
  <c r="M1586" i="1"/>
  <c r="N1586" i="1"/>
  <c r="A1587" i="1"/>
  <c r="B1587" i="1"/>
  <c r="F1587" i="1"/>
  <c r="G1587" i="1"/>
  <c r="H1587" i="1"/>
  <c r="I1587" i="1"/>
  <c r="J1587" i="1"/>
  <c r="K1587" i="1"/>
  <c r="L1587" i="1"/>
  <c r="M1587" i="1"/>
  <c r="N1587" i="1"/>
  <c r="A1588" i="1"/>
  <c r="B1588" i="1"/>
  <c r="F1588" i="1"/>
  <c r="G1588" i="1"/>
  <c r="H1588" i="1"/>
  <c r="I1588" i="1"/>
  <c r="J1588" i="1"/>
  <c r="K1588" i="1"/>
  <c r="L1588" i="1"/>
  <c r="M1588" i="1"/>
  <c r="N1588" i="1"/>
  <c r="A1589" i="1"/>
  <c r="B1589" i="1"/>
  <c r="F1589" i="1"/>
  <c r="G1589" i="1"/>
  <c r="H1589" i="1"/>
  <c r="I1589" i="1"/>
  <c r="J1589" i="1"/>
  <c r="K1589" i="1"/>
  <c r="L1589" i="1"/>
  <c r="M1589" i="1"/>
  <c r="N1589" i="1"/>
  <c r="A1590" i="1"/>
  <c r="B1590" i="1"/>
  <c r="F1590" i="1"/>
  <c r="G1590" i="1"/>
  <c r="H1590" i="1"/>
  <c r="I1590" i="1"/>
  <c r="J1590" i="1"/>
  <c r="K1590" i="1"/>
  <c r="L1590" i="1"/>
  <c r="M1590" i="1"/>
  <c r="N1590" i="1"/>
  <c r="A1591" i="1"/>
  <c r="B1591" i="1"/>
  <c r="F1591" i="1"/>
  <c r="G1591" i="1"/>
  <c r="H1591" i="1"/>
  <c r="I1591" i="1"/>
  <c r="J1591" i="1"/>
  <c r="K1591" i="1"/>
  <c r="L1591" i="1"/>
  <c r="M1591" i="1"/>
  <c r="N1591" i="1"/>
  <c r="A1592" i="1"/>
  <c r="B1592" i="1"/>
  <c r="F1592" i="1"/>
  <c r="G1592" i="1"/>
  <c r="H1592" i="1"/>
  <c r="I1592" i="1"/>
  <c r="J1592" i="1"/>
  <c r="K1592" i="1"/>
  <c r="L1592" i="1"/>
  <c r="M1592" i="1"/>
  <c r="N1592" i="1"/>
  <c r="A1593" i="1"/>
  <c r="B1593" i="1"/>
  <c r="F1593" i="1"/>
  <c r="G1593" i="1"/>
  <c r="H1593" i="1"/>
  <c r="I1593" i="1"/>
  <c r="J1593" i="1"/>
  <c r="K1593" i="1"/>
  <c r="L1593" i="1"/>
  <c r="M1593" i="1"/>
  <c r="N1593" i="1"/>
  <c r="A1594" i="1"/>
  <c r="B1594" i="1"/>
  <c r="F1594" i="1"/>
  <c r="G1594" i="1"/>
  <c r="H1594" i="1"/>
  <c r="I1594" i="1"/>
  <c r="J1594" i="1"/>
  <c r="K1594" i="1"/>
  <c r="L1594" i="1"/>
  <c r="M1594" i="1"/>
  <c r="N1594" i="1"/>
  <c r="A1595" i="1"/>
  <c r="B1595" i="1"/>
  <c r="F1595" i="1"/>
  <c r="G1595" i="1"/>
  <c r="H1595" i="1"/>
  <c r="I1595" i="1"/>
  <c r="J1595" i="1"/>
  <c r="K1595" i="1"/>
  <c r="L1595" i="1"/>
  <c r="M1595" i="1"/>
  <c r="N1595" i="1"/>
  <c r="A1596" i="1"/>
  <c r="B1596" i="1"/>
  <c r="F1596" i="1"/>
  <c r="G1596" i="1"/>
  <c r="H1596" i="1"/>
  <c r="I1596" i="1"/>
  <c r="J1596" i="1"/>
  <c r="K1596" i="1"/>
  <c r="L1596" i="1"/>
  <c r="M1596" i="1"/>
  <c r="N1596" i="1"/>
  <c r="A1597" i="1"/>
  <c r="B1597" i="1"/>
  <c r="F1597" i="1"/>
  <c r="G1597" i="1"/>
  <c r="H1597" i="1"/>
  <c r="I1597" i="1"/>
  <c r="J1597" i="1"/>
  <c r="K1597" i="1"/>
  <c r="L1597" i="1"/>
  <c r="M1597" i="1"/>
  <c r="N1597" i="1"/>
  <c r="A1598" i="1"/>
  <c r="B1598" i="1"/>
  <c r="F1598" i="1"/>
  <c r="G1598" i="1"/>
  <c r="H1598" i="1"/>
  <c r="I1598" i="1"/>
  <c r="J1598" i="1"/>
  <c r="K1598" i="1"/>
  <c r="L1598" i="1"/>
  <c r="M1598" i="1"/>
  <c r="N1598" i="1"/>
  <c r="A1599" i="1"/>
  <c r="B1599" i="1"/>
  <c r="F1599" i="1"/>
  <c r="G1599" i="1"/>
  <c r="H1599" i="1"/>
  <c r="I1599" i="1"/>
  <c r="J1599" i="1"/>
  <c r="K1599" i="1"/>
  <c r="L1599" i="1"/>
  <c r="M1599" i="1"/>
  <c r="N1599" i="1"/>
  <c r="A1600" i="1"/>
  <c r="B1600" i="1"/>
  <c r="F1600" i="1"/>
  <c r="G1600" i="1"/>
  <c r="H1600" i="1"/>
  <c r="I1600" i="1"/>
  <c r="J1600" i="1"/>
  <c r="K1600" i="1"/>
  <c r="L1600" i="1"/>
  <c r="M1600" i="1"/>
  <c r="N1600" i="1"/>
  <c r="A1601" i="1"/>
  <c r="B1601" i="1"/>
  <c r="F1601" i="1"/>
  <c r="G1601" i="1"/>
  <c r="H1601" i="1"/>
  <c r="I1601" i="1"/>
  <c r="J1601" i="1"/>
  <c r="K1601" i="1"/>
  <c r="L1601" i="1"/>
  <c r="M1601" i="1"/>
  <c r="N1601" i="1"/>
  <c r="A1602" i="1"/>
  <c r="B1602" i="1"/>
  <c r="F1602" i="1"/>
  <c r="G1602" i="1"/>
  <c r="H1602" i="1"/>
  <c r="I1602" i="1"/>
  <c r="J1602" i="1"/>
  <c r="K1602" i="1"/>
  <c r="L1602" i="1"/>
  <c r="M1602" i="1"/>
  <c r="N1602" i="1"/>
  <c r="A1603" i="1"/>
  <c r="B1603" i="1"/>
  <c r="F1603" i="1"/>
  <c r="G1603" i="1"/>
  <c r="H1603" i="1"/>
  <c r="I1603" i="1"/>
  <c r="J1603" i="1"/>
  <c r="K1603" i="1"/>
  <c r="L1603" i="1"/>
  <c r="M1603" i="1"/>
  <c r="N1603" i="1"/>
  <c r="A1604" i="1"/>
  <c r="B1604" i="1"/>
  <c r="F1604" i="1"/>
  <c r="G1604" i="1"/>
  <c r="H1604" i="1"/>
  <c r="I1604" i="1"/>
  <c r="J1604" i="1"/>
  <c r="K1604" i="1"/>
  <c r="L1604" i="1"/>
  <c r="M1604" i="1"/>
  <c r="N1604" i="1"/>
  <c r="A1605" i="1"/>
  <c r="B1605" i="1"/>
  <c r="F1605" i="1"/>
  <c r="G1605" i="1"/>
  <c r="H1605" i="1"/>
  <c r="I1605" i="1"/>
  <c r="J1605" i="1"/>
  <c r="K1605" i="1"/>
  <c r="L1605" i="1"/>
  <c r="M1605" i="1"/>
  <c r="N1605" i="1"/>
  <c r="A1606" i="1"/>
  <c r="B1606" i="1"/>
  <c r="F1606" i="1"/>
  <c r="G1606" i="1"/>
  <c r="H1606" i="1"/>
  <c r="I1606" i="1"/>
  <c r="J1606" i="1"/>
  <c r="K1606" i="1"/>
  <c r="L1606" i="1"/>
  <c r="M1606" i="1"/>
  <c r="N1606" i="1"/>
  <c r="A1607" i="1"/>
  <c r="B1607" i="1"/>
  <c r="F1607" i="1"/>
  <c r="G1607" i="1"/>
  <c r="H1607" i="1"/>
  <c r="I1607" i="1"/>
  <c r="J1607" i="1"/>
  <c r="K1607" i="1"/>
  <c r="L1607" i="1"/>
  <c r="M1607" i="1"/>
  <c r="N1607" i="1"/>
  <c r="A1608" i="1"/>
  <c r="B1608" i="1"/>
  <c r="F1608" i="1"/>
  <c r="G1608" i="1"/>
  <c r="H1608" i="1"/>
  <c r="I1608" i="1"/>
  <c r="J1608" i="1"/>
  <c r="K1608" i="1"/>
  <c r="L1608" i="1"/>
  <c r="M1608" i="1"/>
  <c r="N1608" i="1"/>
  <c r="A1609" i="1"/>
  <c r="B1609" i="1"/>
  <c r="F1609" i="1"/>
  <c r="G1609" i="1"/>
  <c r="H1609" i="1"/>
  <c r="I1609" i="1"/>
  <c r="J1609" i="1"/>
  <c r="K1609" i="1"/>
  <c r="L1609" i="1"/>
  <c r="M1609" i="1"/>
  <c r="N1609" i="1"/>
  <c r="A1610" i="1"/>
  <c r="B1610" i="1"/>
  <c r="F1610" i="1"/>
  <c r="G1610" i="1"/>
  <c r="H1610" i="1"/>
  <c r="I1610" i="1"/>
  <c r="J1610" i="1"/>
  <c r="K1610" i="1"/>
  <c r="L1610" i="1"/>
  <c r="M1610" i="1"/>
  <c r="N1610" i="1"/>
  <c r="A1611" i="1"/>
  <c r="B1611" i="1"/>
  <c r="F1611" i="1"/>
  <c r="G1611" i="1"/>
  <c r="H1611" i="1"/>
  <c r="I1611" i="1"/>
  <c r="J1611" i="1"/>
  <c r="K1611" i="1"/>
  <c r="L1611" i="1"/>
  <c r="M1611" i="1"/>
  <c r="N1611" i="1"/>
  <c r="A1612" i="1"/>
  <c r="B1612" i="1"/>
  <c r="F1612" i="1"/>
  <c r="G1612" i="1"/>
  <c r="H1612" i="1"/>
  <c r="I1612" i="1"/>
  <c r="J1612" i="1"/>
  <c r="K1612" i="1"/>
  <c r="L1612" i="1"/>
  <c r="M1612" i="1"/>
  <c r="N1612" i="1"/>
  <c r="A1613" i="1"/>
  <c r="B1613" i="1"/>
  <c r="F1613" i="1"/>
  <c r="G1613" i="1"/>
  <c r="H1613" i="1"/>
  <c r="I1613" i="1"/>
  <c r="J1613" i="1"/>
  <c r="K1613" i="1"/>
  <c r="L1613" i="1"/>
  <c r="M1613" i="1"/>
  <c r="N1613" i="1"/>
  <c r="A1614" i="1"/>
  <c r="B1614" i="1"/>
  <c r="F1614" i="1"/>
  <c r="G1614" i="1"/>
  <c r="H1614" i="1"/>
  <c r="I1614" i="1"/>
  <c r="J1614" i="1"/>
  <c r="K1614" i="1"/>
  <c r="L1614" i="1"/>
  <c r="M1614" i="1"/>
  <c r="N1614" i="1"/>
  <c r="A1615" i="1"/>
  <c r="B1615" i="1"/>
  <c r="F1615" i="1"/>
  <c r="G1615" i="1"/>
  <c r="H1615" i="1"/>
  <c r="I1615" i="1"/>
  <c r="J1615" i="1"/>
  <c r="K1615" i="1"/>
  <c r="L1615" i="1"/>
  <c r="M1615" i="1"/>
  <c r="N1615" i="1"/>
  <c r="A1616" i="1"/>
  <c r="B1616" i="1"/>
  <c r="F1616" i="1"/>
  <c r="G1616" i="1"/>
  <c r="H1616" i="1"/>
  <c r="I1616" i="1"/>
  <c r="J1616" i="1"/>
  <c r="K1616" i="1"/>
  <c r="L1616" i="1"/>
  <c r="M1616" i="1"/>
  <c r="N1616" i="1"/>
  <c r="A1617" i="1"/>
  <c r="B1617" i="1"/>
  <c r="F1617" i="1"/>
  <c r="G1617" i="1"/>
  <c r="H1617" i="1"/>
  <c r="I1617" i="1"/>
  <c r="J1617" i="1"/>
  <c r="K1617" i="1"/>
  <c r="L1617" i="1"/>
  <c r="M1617" i="1"/>
  <c r="N1617" i="1"/>
  <c r="A1618" i="1"/>
  <c r="B1618" i="1"/>
  <c r="F1618" i="1"/>
  <c r="G1618" i="1"/>
  <c r="H1618" i="1"/>
  <c r="I1618" i="1"/>
  <c r="J1618" i="1"/>
  <c r="K1618" i="1"/>
  <c r="L1618" i="1"/>
  <c r="M1618" i="1"/>
  <c r="N1618" i="1"/>
  <c r="A1619" i="1"/>
  <c r="B1619" i="1"/>
  <c r="F1619" i="1"/>
  <c r="G1619" i="1"/>
  <c r="H1619" i="1"/>
  <c r="I1619" i="1"/>
  <c r="J1619" i="1"/>
  <c r="K1619" i="1"/>
  <c r="L1619" i="1"/>
  <c r="M1619" i="1"/>
  <c r="N1619" i="1"/>
  <c r="A1620" i="1"/>
  <c r="B1620" i="1"/>
  <c r="F1620" i="1"/>
  <c r="G1620" i="1"/>
  <c r="H1620" i="1"/>
  <c r="I1620" i="1"/>
  <c r="J1620" i="1"/>
  <c r="K1620" i="1"/>
  <c r="L1620" i="1"/>
  <c r="M1620" i="1"/>
  <c r="N1620" i="1"/>
  <c r="A1621" i="1"/>
  <c r="B1621" i="1"/>
  <c r="F1621" i="1"/>
  <c r="G1621" i="1"/>
  <c r="H1621" i="1"/>
  <c r="I1621" i="1"/>
  <c r="J1621" i="1"/>
  <c r="K1621" i="1"/>
  <c r="L1621" i="1"/>
  <c r="M1621" i="1"/>
  <c r="N1621" i="1"/>
  <c r="A1622" i="1"/>
  <c r="B1622" i="1"/>
  <c r="F1622" i="1"/>
  <c r="G1622" i="1"/>
  <c r="H1622" i="1"/>
  <c r="I1622" i="1"/>
  <c r="J1622" i="1"/>
  <c r="K1622" i="1"/>
  <c r="L1622" i="1"/>
  <c r="M1622" i="1"/>
  <c r="N1622" i="1"/>
  <c r="A1623" i="1"/>
  <c r="B1623" i="1"/>
  <c r="F1623" i="1"/>
  <c r="G1623" i="1"/>
  <c r="H1623" i="1"/>
  <c r="I1623" i="1"/>
  <c r="J1623" i="1"/>
  <c r="K1623" i="1"/>
  <c r="L1623" i="1"/>
  <c r="M1623" i="1"/>
  <c r="N1623" i="1"/>
  <c r="A1624" i="1"/>
  <c r="B1624" i="1"/>
  <c r="F1624" i="1"/>
  <c r="G1624" i="1"/>
  <c r="H1624" i="1"/>
  <c r="I1624" i="1"/>
  <c r="J1624" i="1"/>
  <c r="K1624" i="1"/>
  <c r="L1624" i="1"/>
  <c r="M1624" i="1"/>
  <c r="N1624" i="1"/>
  <c r="A1625" i="1"/>
  <c r="B1625" i="1"/>
  <c r="F1625" i="1"/>
  <c r="G1625" i="1"/>
  <c r="H1625" i="1"/>
  <c r="I1625" i="1"/>
  <c r="J1625" i="1"/>
  <c r="K1625" i="1"/>
  <c r="L1625" i="1"/>
  <c r="M1625" i="1"/>
  <c r="N1625" i="1"/>
  <c r="A1626" i="1"/>
  <c r="B1626" i="1"/>
  <c r="F1626" i="1"/>
  <c r="G1626" i="1"/>
  <c r="H1626" i="1"/>
  <c r="I1626" i="1"/>
  <c r="J1626" i="1"/>
  <c r="K1626" i="1"/>
  <c r="L1626" i="1"/>
  <c r="M1626" i="1"/>
  <c r="N1626" i="1"/>
  <c r="A1627" i="1"/>
  <c r="B1627" i="1"/>
  <c r="F1627" i="1"/>
  <c r="G1627" i="1"/>
  <c r="H1627" i="1"/>
  <c r="I1627" i="1"/>
  <c r="J1627" i="1"/>
  <c r="K1627" i="1"/>
  <c r="L1627" i="1"/>
  <c r="M1627" i="1"/>
  <c r="N1627" i="1"/>
  <c r="A1628" i="1"/>
  <c r="B1628" i="1"/>
  <c r="F1628" i="1"/>
  <c r="G1628" i="1"/>
  <c r="H1628" i="1"/>
  <c r="I1628" i="1"/>
  <c r="J1628" i="1"/>
  <c r="K1628" i="1"/>
  <c r="L1628" i="1"/>
  <c r="M1628" i="1"/>
  <c r="N1628" i="1"/>
  <c r="A1629" i="1"/>
  <c r="B1629" i="1"/>
  <c r="F1629" i="1"/>
  <c r="G1629" i="1"/>
  <c r="H1629" i="1"/>
  <c r="I1629" i="1"/>
  <c r="J1629" i="1"/>
  <c r="K1629" i="1"/>
  <c r="L1629" i="1"/>
  <c r="M1629" i="1"/>
  <c r="N1629" i="1"/>
  <c r="A1630" i="1"/>
  <c r="B1630" i="1"/>
  <c r="F1630" i="1"/>
  <c r="G1630" i="1"/>
  <c r="H1630" i="1"/>
  <c r="I1630" i="1"/>
  <c r="J1630" i="1"/>
  <c r="K1630" i="1"/>
  <c r="L1630" i="1"/>
  <c r="M1630" i="1"/>
  <c r="N1630" i="1"/>
  <c r="A1631" i="1"/>
  <c r="B1631" i="1"/>
  <c r="F1631" i="1"/>
  <c r="G1631" i="1"/>
  <c r="H1631" i="1"/>
  <c r="I1631" i="1"/>
  <c r="J1631" i="1"/>
  <c r="K1631" i="1"/>
  <c r="L1631" i="1"/>
  <c r="M1631" i="1"/>
  <c r="N1631" i="1"/>
  <c r="A1632" i="1"/>
  <c r="B1632" i="1"/>
  <c r="F1632" i="1"/>
  <c r="G1632" i="1"/>
  <c r="H1632" i="1"/>
  <c r="I1632" i="1"/>
  <c r="J1632" i="1"/>
  <c r="K1632" i="1"/>
  <c r="L1632" i="1"/>
  <c r="M1632" i="1"/>
  <c r="N1632" i="1"/>
  <c r="A1633" i="1"/>
  <c r="B1633" i="1"/>
  <c r="F1633" i="1"/>
  <c r="G1633" i="1"/>
  <c r="H1633" i="1"/>
  <c r="I1633" i="1"/>
  <c r="J1633" i="1"/>
  <c r="K1633" i="1"/>
  <c r="L1633" i="1"/>
  <c r="M1633" i="1"/>
  <c r="N1633" i="1"/>
  <c r="A1634" i="1"/>
  <c r="B1634" i="1"/>
  <c r="F1634" i="1"/>
  <c r="G1634" i="1"/>
  <c r="H1634" i="1"/>
  <c r="I1634" i="1"/>
  <c r="J1634" i="1"/>
  <c r="K1634" i="1"/>
  <c r="L1634" i="1"/>
  <c r="M1634" i="1"/>
  <c r="N1634" i="1"/>
  <c r="A1635" i="1"/>
  <c r="B1635" i="1"/>
  <c r="F1635" i="1"/>
  <c r="G1635" i="1"/>
  <c r="H1635" i="1"/>
  <c r="I1635" i="1"/>
  <c r="J1635" i="1"/>
  <c r="K1635" i="1"/>
  <c r="L1635" i="1"/>
  <c r="M1635" i="1"/>
  <c r="N1635" i="1"/>
  <c r="A1636" i="1"/>
  <c r="B1636" i="1"/>
  <c r="F1636" i="1"/>
  <c r="G1636" i="1"/>
  <c r="H1636" i="1"/>
  <c r="I1636" i="1"/>
  <c r="J1636" i="1"/>
  <c r="K1636" i="1"/>
  <c r="L1636" i="1"/>
  <c r="M1636" i="1"/>
  <c r="N1636" i="1"/>
  <c r="A1637" i="1"/>
  <c r="B1637" i="1"/>
  <c r="F1637" i="1"/>
  <c r="G1637" i="1"/>
  <c r="H1637" i="1"/>
  <c r="I1637" i="1"/>
  <c r="J1637" i="1"/>
  <c r="K1637" i="1"/>
  <c r="L1637" i="1"/>
  <c r="M1637" i="1"/>
  <c r="N1637" i="1"/>
  <c r="A1638" i="1"/>
  <c r="B1638" i="1"/>
  <c r="F1638" i="1"/>
  <c r="G1638" i="1"/>
  <c r="H1638" i="1"/>
  <c r="I1638" i="1"/>
  <c r="J1638" i="1"/>
  <c r="K1638" i="1"/>
  <c r="L1638" i="1"/>
  <c r="M1638" i="1"/>
  <c r="N1638" i="1"/>
  <c r="A1639" i="1"/>
  <c r="B1639" i="1"/>
  <c r="F1639" i="1"/>
  <c r="G1639" i="1"/>
  <c r="H1639" i="1"/>
  <c r="I1639" i="1"/>
  <c r="J1639" i="1"/>
  <c r="K1639" i="1"/>
  <c r="L1639" i="1"/>
  <c r="M1639" i="1"/>
  <c r="N1639" i="1"/>
  <c r="A1640" i="1"/>
  <c r="B1640" i="1"/>
  <c r="F1640" i="1"/>
  <c r="G1640" i="1"/>
  <c r="H1640" i="1"/>
  <c r="I1640" i="1"/>
  <c r="J1640" i="1"/>
  <c r="K1640" i="1"/>
  <c r="L1640" i="1"/>
  <c r="M1640" i="1"/>
  <c r="N1640" i="1"/>
  <c r="A1641" i="1"/>
  <c r="B1641" i="1"/>
  <c r="F1641" i="1"/>
  <c r="G1641" i="1"/>
  <c r="H1641" i="1"/>
  <c r="I1641" i="1"/>
  <c r="J1641" i="1"/>
  <c r="K1641" i="1"/>
  <c r="L1641" i="1"/>
  <c r="M1641" i="1"/>
  <c r="N1641" i="1"/>
  <c r="A1642" i="1"/>
  <c r="B1642" i="1"/>
  <c r="F1642" i="1"/>
  <c r="G1642" i="1"/>
  <c r="H1642" i="1"/>
  <c r="I1642" i="1"/>
  <c r="J1642" i="1"/>
  <c r="K1642" i="1"/>
  <c r="L1642" i="1"/>
  <c r="M1642" i="1"/>
  <c r="N1642" i="1"/>
  <c r="A1643" i="1"/>
  <c r="B1643" i="1"/>
  <c r="F1643" i="1"/>
  <c r="G1643" i="1"/>
  <c r="H1643" i="1"/>
  <c r="I1643" i="1"/>
  <c r="J1643" i="1"/>
  <c r="K1643" i="1"/>
  <c r="L1643" i="1"/>
  <c r="M1643" i="1"/>
  <c r="N1643" i="1"/>
  <c r="A1644" i="1"/>
  <c r="B1644" i="1"/>
  <c r="F1644" i="1"/>
  <c r="G1644" i="1"/>
  <c r="H1644" i="1"/>
  <c r="I1644" i="1"/>
  <c r="J1644" i="1"/>
  <c r="K1644" i="1"/>
  <c r="L1644" i="1"/>
  <c r="M1644" i="1"/>
  <c r="N1644" i="1"/>
  <c r="A1645" i="1"/>
  <c r="B1645" i="1"/>
  <c r="F1645" i="1"/>
  <c r="G1645" i="1"/>
  <c r="H1645" i="1"/>
  <c r="I1645" i="1"/>
  <c r="J1645" i="1"/>
  <c r="K1645" i="1"/>
  <c r="L1645" i="1"/>
  <c r="M1645" i="1"/>
  <c r="N1645" i="1"/>
  <c r="A1646" i="1"/>
  <c r="B1646" i="1"/>
  <c r="F1646" i="1"/>
  <c r="G1646" i="1"/>
  <c r="H1646" i="1"/>
  <c r="I1646" i="1"/>
  <c r="J1646" i="1"/>
  <c r="K1646" i="1"/>
  <c r="L1646" i="1"/>
  <c r="M1646" i="1"/>
  <c r="N1646" i="1"/>
  <c r="A1647" i="1"/>
  <c r="B1647" i="1"/>
  <c r="F1647" i="1"/>
  <c r="G1647" i="1"/>
  <c r="H1647" i="1"/>
  <c r="I1647" i="1"/>
  <c r="J1647" i="1"/>
  <c r="K1647" i="1"/>
  <c r="L1647" i="1"/>
  <c r="M1647" i="1"/>
  <c r="N1647" i="1"/>
  <c r="A1648" i="1"/>
  <c r="B1648" i="1"/>
  <c r="F1648" i="1"/>
  <c r="G1648" i="1"/>
  <c r="H1648" i="1"/>
  <c r="I1648" i="1"/>
  <c r="J1648" i="1"/>
  <c r="K1648" i="1"/>
  <c r="L1648" i="1"/>
  <c r="M1648" i="1"/>
  <c r="N1648" i="1"/>
  <c r="A1649" i="1"/>
  <c r="B1649" i="1"/>
  <c r="F1649" i="1"/>
  <c r="G1649" i="1"/>
  <c r="H1649" i="1"/>
  <c r="I1649" i="1"/>
  <c r="J1649" i="1"/>
  <c r="K1649" i="1"/>
  <c r="L1649" i="1"/>
  <c r="M1649" i="1"/>
  <c r="N1649" i="1"/>
  <c r="A1650" i="1"/>
  <c r="B1650" i="1"/>
  <c r="F1650" i="1"/>
  <c r="G1650" i="1"/>
  <c r="H1650" i="1"/>
  <c r="I1650" i="1"/>
  <c r="J1650" i="1"/>
  <c r="K1650" i="1"/>
  <c r="L1650" i="1"/>
  <c r="M1650" i="1"/>
  <c r="N1650" i="1"/>
  <c r="A1651" i="1"/>
  <c r="B1651" i="1"/>
  <c r="F1651" i="1"/>
  <c r="G1651" i="1"/>
  <c r="H1651" i="1"/>
  <c r="I1651" i="1"/>
  <c r="J1651" i="1"/>
  <c r="K1651" i="1"/>
  <c r="L1651" i="1"/>
  <c r="M1651" i="1"/>
  <c r="N1651" i="1"/>
  <c r="A1652" i="1"/>
  <c r="B1652" i="1"/>
  <c r="F1652" i="1"/>
  <c r="G1652" i="1"/>
  <c r="H1652" i="1"/>
  <c r="I1652" i="1"/>
  <c r="J1652" i="1"/>
  <c r="K1652" i="1"/>
  <c r="L1652" i="1"/>
  <c r="M1652" i="1"/>
  <c r="N1652" i="1"/>
  <c r="A1653" i="1"/>
  <c r="B1653" i="1"/>
  <c r="F1653" i="1"/>
  <c r="G1653" i="1"/>
  <c r="H1653" i="1"/>
  <c r="I1653" i="1"/>
  <c r="J1653" i="1"/>
  <c r="K1653" i="1"/>
  <c r="L1653" i="1"/>
  <c r="M1653" i="1"/>
  <c r="N1653" i="1"/>
  <c r="A1654" i="1"/>
  <c r="B1654" i="1"/>
  <c r="F1654" i="1"/>
  <c r="G1654" i="1"/>
  <c r="H1654" i="1"/>
  <c r="I1654" i="1"/>
  <c r="J1654" i="1"/>
  <c r="K1654" i="1"/>
  <c r="L1654" i="1"/>
  <c r="M1654" i="1"/>
  <c r="N1654" i="1"/>
  <c r="A1655" i="1"/>
  <c r="B1655" i="1"/>
  <c r="F1655" i="1"/>
  <c r="G1655" i="1"/>
  <c r="H1655" i="1"/>
  <c r="I1655" i="1"/>
  <c r="J1655" i="1"/>
  <c r="K1655" i="1"/>
  <c r="L1655" i="1"/>
  <c r="M1655" i="1"/>
  <c r="N1655" i="1"/>
  <c r="A1656" i="1"/>
  <c r="B1656" i="1"/>
  <c r="F1656" i="1"/>
  <c r="G1656" i="1"/>
  <c r="H1656" i="1"/>
  <c r="I1656" i="1"/>
  <c r="J1656" i="1"/>
  <c r="K1656" i="1"/>
  <c r="L1656" i="1"/>
  <c r="M1656" i="1"/>
  <c r="N1656" i="1"/>
  <c r="A1657" i="1"/>
  <c r="B1657" i="1"/>
  <c r="F1657" i="1"/>
  <c r="G1657" i="1"/>
  <c r="H1657" i="1"/>
  <c r="I1657" i="1"/>
  <c r="J1657" i="1"/>
  <c r="K1657" i="1"/>
  <c r="L1657" i="1"/>
  <c r="M1657" i="1"/>
  <c r="N1657" i="1"/>
  <c r="A1658" i="1"/>
  <c r="B1658" i="1"/>
  <c r="F1658" i="1"/>
  <c r="G1658" i="1"/>
  <c r="H1658" i="1"/>
  <c r="I1658" i="1"/>
  <c r="J1658" i="1"/>
  <c r="K1658" i="1"/>
  <c r="L1658" i="1"/>
  <c r="M1658" i="1"/>
  <c r="N1658" i="1"/>
  <c r="A1659" i="1"/>
  <c r="B1659" i="1"/>
  <c r="F1659" i="1"/>
  <c r="G1659" i="1"/>
  <c r="H1659" i="1"/>
  <c r="I1659" i="1"/>
  <c r="J1659" i="1"/>
  <c r="K1659" i="1"/>
  <c r="L1659" i="1"/>
  <c r="M1659" i="1"/>
  <c r="N1659" i="1"/>
  <c r="A1660" i="1"/>
  <c r="B1660" i="1"/>
  <c r="F1660" i="1"/>
  <c r="G1660" i="1"/>
  <c r="H1660" i="1"/>
  <c r="I1660" i="1"/>
  <c r="J1660" i="1"/>
  <c r="K1660" i="1"/>
  <c r="L1660" i="1"/>
  <c r="M1660" i="1"/>
  <c r="N1660" i="1"/>
  <c r="A1661" i="1"/>
  <c r="B1661" i="1"/>
  <c r="F1661" i="1"/>
  <c r="G1661" i="1"/>
  <c r="H1661" i="1"/>
  <c r="I1661" i="1"/>
  <c r="J1661" i="1"/>
  <c r="K1661" i="1"/>
  <c r="L1661" i="1"/>
  <c r="M1661" i="1"/>
  <c r="N1661" i="1"/>
  <c r="A1662" i="1"/>
  <c r="B1662" i="1"/>
  <c r="F1662" i="1"/>
  <c r="G1662" i="1"/>
  <c r="H1662" i="1"/>
  <c r="I1662" i="1"/>
  <c r="J1662" i="1"/>
  <c r="K1662" i="1"/>
  <c r="L1662" i="1"/>
  <c r="M1662" i="1"/>
  <c r="N1662" i="1"/>
  <c r="A1663" i="1"/>
  <c r="B1663" i="1"/>
  <c r="F1663" i="1"/>
  <c r="G1663" i="1"/>
  <c r="H1663" i="1"/>
  <c r="I1663" i="1"/>
  <c r="J1663" i="1"/>
  <c r="K1663" i="1"/>
  <c r="L1663" i="1"/>
  <c r="M1663" i="1"/>
  <c r="N1663" i="1"/>
  <c r="A1664" i="1"/>
  <c r="B1664" i="1"/>
  <c r="F1664" i="1"/>
  <c r="G1664" i="1"/>
  <c r="H1664" i="1"/>
  <c r="I1664" i="1"/>
  <c r="J1664" i="1"/>
  <c r="K1664" i="1"/>
  <c r="L1664" i="1"/>
  <c r="M1664" i="1"/>
  <c r="N1664" i="1"/>
  <c r="A1665" i="1"/>
  <c r="B1665" i="1"/>
  <c r="F1665" i="1"/>
  <c r="G1665" i="1"/>
  <c r="H1665" i="1"/>
  <c r="I1665" i="1"/>
  <c r="J1665" i="1"/>
  <c r="K1665" i="1"/>
  <c r="L1665" i="1"/>
  <c r="M1665" i="1"/>
  <c r="N1665" i="1"/>
  <c r="A1666" i="1"/>
  <c r="B1666" i="1"/>
  <c r="F1666" i="1"/>
  <c r="G1666" i="1"/>
  <c r="H1666" i="1"/>
  <c r="I1666" i="1"/>
  <c r="J1666" i="1"/>
  <c r="K1666" i="1"/>
  <c r="L1666" i="1"/>
  <c r="M1666" i="1"/>
  <c r="N1666" i="1"/>
  <c r="A1667" i="1"/>
  <c r="B1667" i="1"/>
  <c r="F1667" i="1"/>
  <c r="G1667" i="1"/>
  <c r="H1667" i="1"/>
  <c r="I1667" i="1"/>
  <c r="J1667" i="1"/>
  <c r="K1667" i="1"/>
  <c r="L1667" i="1"/>
  <c r="M1667" i="1"/>
  <c r="N1667" i="1"/>
  <c r="A1668" i="1"/>
  <c r="B1668" i="1"/>
  <c r="F1668" i="1"/>
  <c r="G1668" i="1"/>
  <c r="H1668" i="1"/>
  <c r="I1668" i="1"/>
  <c r="J1668" i="1"/>
  <c r="K1668" i="1"/>
  <c r="L1668" i="1"/>
  <c r="M1668" i="1"/>
  <c r="N1668" i="1"/>
  <c r="A1669" i="1"/>
  <c r="B1669" i="1"/>
  <c r="F1669" i="1"/>
  <c r="G1669" i="1"/>
  <c r="H1669" i="1"/>
  <c r="I1669" i="1"/>
  <c r="J1669" i="1"/>
  <c r="K1669" i="1"/>
  <c r="L1669" i="1"/>
  <c r="M1669" i="1"/>
  <c r="N1669" i="1"/>
  <c r="A1670" i="1"/>
  <c r="B1670" i="1"/>
  <c r="F1670" i="1"/>
  <c r="G1670" i="1"/>
  <c r="H1670" i="1"/>
  <c r="I1670" i="1"/>
  <c r="J1670" i="1"/>
  <c r="K1670" i="1"/>
  <c r="L1670" i="1"/>
  <c r="M1670" i="1"/>
  <c r="N1670" i="1"/>
  <c r="A1671" i="1"/>
  <c r="B1671" i="1"/>
  <c r="F1671" i="1"/>
  <c r="G1671" i="1"/>
  <c r="H1671" i="1"/>
  <c r="I1671" i="1"/>
  <c r="J1671" i="1"/>
  <c r="K1671" i="1"/>
  <c r="L1671" i="1"/>
  <c r="M1671" i="1"/>
  <c r="N1671" i="1"/>
  <c r="A1672" i="1"/>
  <c r="B1672" i="1"/>
  <c r="F1672" i="1"/>
  <c r="G1672" i="1"/>
  <c r="H1672" i="1"/>
  <c r="I1672" i="1"/>
  <c r="J1672" i="1"/>
  <c r="K1672" i="1"/>
  <c r="L1672" i="1"/>
  <c r="M1672" i="1"/>
  <c r="N1672" i="1"/>
  <c r="A1673" i="1"/>
  <c r="B1673" i="1"/>
  <c r="F1673" i="1"/>
  <c r="G1673" i="1"/>
  <c r="H1673" i="1"/>
  <c r="I1673" i="1"/>
  <c r="J1673" i="1"/>
  <c r="K1673" i="1"/>
  <c r="L1673" i="1"/>
  <c r="M1673" i="1"/>
  <c r="N1673" i="1"/>
  <c r="A1674" i="1"/>
  <c r="B1674" i="1"/>
  <c r="F1674" i="1"/>
  <c r="G1674" i="1"/>
  <c r="H1674" i="1"/>
  <c r="I1674" i="1"/>
  <c r="J1674" i="1"/>
  <c r="K1674" i="1"/>
  <c r="L1674" i="1"/>
  <c r="M1674" i="1"/>
  <c r="N1674" i="1"/>
  <c r="A1675" i="1"/>
  <c r="B1675" i="1"/>
  <c r="F1675" i="1"/>
  <c r="G1675" i="1"/>
  <c r="H1675" i="1"/>
  <c r="I1675" i="1"/>
  <c r="J1675" i="1"/>
  <c r="K1675" i="1"/>
  <c r="L1675" i="1"/>
  <c r="M1675" i="1"/>
  <c r="N1675" i="1"/>
  <c r="A1676" i="1"/>
  <c r="B1676" i="1"/>
  <c r="F1676" i="1"/>
  <c r="G1676" i="1"/>
  <c r="H1676" i="1"/>
  <c r="I1676" i="1"/>
  <c r="J1676" i="1"/>
  <c r="K1676" i="1"/>
  <c r="L1676" i="1"/>
  <c r="M1676" i="1"/>
  <c r="N1676" i="1"/>
  <c r="A1677" i="1"/>
  <c r="B1677" i="1"/>
  <c r="F1677" i="1"/>
  <c r="G1677" i="1"/>
  <c r="H1677" i="1"/>
  <c r="I1677" i="1"/>
  <c r="J1677" i="1"/>
  <c r="K1677" i="1"/>
  <c r="L1677" i="1"/>
  <c r="M1677" i="1"/>
  <c r="N1677" i="1"/>
  <c r="A1678" i="1"/>
  <c r="B1678" i="1"/>
  <c r="F1678" i="1"/>
  <c r="G1678" i="1"/>
  <c r="H1678" i="1"/>
  <c r="I1678" i="1"/>
  <c r="J1678" i="1"/>
  <c r="K1678" i="1"/>
  <c r="L1678" i="1"/>
  <c r="M1678" i="1"/>
  <c r="N1678" i="1"/>
  <c r="A1679" i="1"/>
  <c r="B1679" i="1"/>
  <c r="F1679" i="1"/>
  <c r="G1679" i="1"/>
  <c r="H1679" i="1"/>
  <c r="I1679" i="1"/>
  <c r="J1679" i="1"/>
  <c r="K1679" i="1"/>
  <c r="L1679" i="1"/>
  <c r="M1679" i="1"/>
  <c r="N1679" i="1"/>
  <c r="A1680" i="1"/>
  <c r="B1680" i="1"/>
  <c r="F1680" i="1"/>
  <c r="G1680" i="1"/>
  <c r="H1680" i="1"/>
  <c r="I1680" i="1"/>
  <c r="J1680" i="1"/>
  <c r="K1680" i="1"/>
  <c r="L1680" i="1"/>
  <c r="M1680" i="1"/>
  <c r="N1680" i="1"/>
  <c r="A1681" i="1"/>
  <c r="B1681" i="1"/>
  <c r="F1681" i="1"/>
  <c r="G1681" i="1"/>
  <c r="H1681" i="1"/>
  <c r="I1681" i="1"/>
  <c r="J1681" i="1"/>
  <c r="K1681" i="1"/>
  <c r="L1681" i="1"/>
  <c r="M1681" i="1"/>
  <c r="N1681" i="1"/>
  <c r="A1682" i="1"/>
  <c r="B1682" i="1"/>
  <c r="F1682" i="1"/>
  <c r="G1682" i="1"/>
  <c r="H1682" i="1"/>
  <c r="I1682" i="1"/>
  <c r="J1682" i="1"/>
  <c r="K1682" i="1"/>
  <c r="L1682" i="1"/>
  <c r="M1682" i="1"/>
  <c r="N1682" i="1"/>
  <c r="A1683" i="1"/>
  <c r="B1683" i="1"/>
  <c r="F1683" i="1"/>
  <c r="G1683" i="1"/>
  <c r="H1683" i="1"/>
  <c r="I1683" i="1"/>
  <c r="J1683" i="1"/>
  <c r="K1683" i="1"/>
  <c r="L1683" i="1"/>
  <c r="M1683" i="1"/>
  <c r="N1683" i="1"/>
  <c r="A1684" i="1"/>
  <c r="B1684" i="1"/>
  <c r="F1684" i="1"/>
  <c r="G1684" i="1"/>
  <c r="H1684" i="1"/>
  <c r="I1684" i="1"/>
  <c r="J1684" i="1"/>
  <c r="K1684" i="1"/>
  <c r="L1684" i="1"/>
  <c r="M1684" i="1"/>
  <c r="N1684" i="1"/>
  <c r="A1685" i="1"/>
  <c r="B1685" i="1"/>
  <c r="F1685" i="1"/>
  <c r="G1685" i="1"/>
  <c r="H1685" i="1"/>
  <c r="I1685" i="1"/>
  <c r="J1685" i="1"/>
  <c r="K1685" i="1"/>
  <c r="L1685" i="1"/>
  <c r="M1685" i="1"/>
  <c r="N1685" i="1"/>
  <c r="A1686" i="1"/>
  <c r="B1686" i="1"/>
  <c r="F1686" i="1"/>
  <c r="G1686" i="1"/>
  <c r="H1686" i="1"/>
  <c r="I1686" i="1"/>
  <c r="J1686" i="1"/>
  <c r="K1686" i="1"/>
  <c r="L1686" i="1"/>
  <c r="M1686" i="1"/>
  <c r="N1686" i="1"/>
  <c r="A1687" i="1"/>
  <c r="B1687" i="1"/>
  <c r="F1687" i="1"/>
  <c r="G1687" i="1"/>
  <c r="H1687" i="1"/>
  <c r="I1687" i="1"/>
  <c r="J1687" i="1"/>
  <c r="K1687" i="1"/>
  <c r="L1687" i="1"/>
  <c r="M1687" i="1"/>
  <c r="N1687" i="1"/>
  <c r="A1688" i="1"/>
  <c r="B1688" i="1"/>
  <c r="F1688" i="1"/>
  <c r="G1688" i="1"/>
  <c r="H1688" i="1"/>
  <c r="I1688" i="1"/>
  <c r="J1688" i="1"/>
  <c r="K1688" i="1"/>
  <c r="L1688" i="1"/>
  <c r="M1688" i="1"/>
  <c r="N1688" i="1"/>
  <c r="A1689" i="1"/>
  <c r="B1689" i="1"/>
  <c r="F1689" i="1"/>
  <c r="G1689" i="1"/>
  <c r="H1689" i="1"/>
  <c r="I1689" i="1"/>
  <c r="J1689" i="1"/>
  <c r="K1689" i="1"/>
  <c r="L1689" i="1"/>
  <c r="M1689" i="1"/>
  <c r="N1689" i="1"/>
  <c r="A1690" i="1"/>
  <c r="B1690" i="1"/>
  <c r="F1690" i="1"/>
  <c r="G1690" i="1"/>
  <c r="H1690" i="1"/>
  <c r="I1690" i="1"/>
  <c r="J1690" i="1"/>
  <c r="K1690" i="1"/>
  <c r="L1690" i="1"/>
  <c r="M1690" i="1"/>
  <c r="N1690" i="1"/>
  <c r="A1691" i="1"/>
  <c r="B1691" i="1"/>
  <c r="F1691" i="1"/>
  <c r="G1691" i="1"/>
  <c r="H1691" i="1"/>
  <c r="I1691" i="1"/>
  <c r="J1691" i="1"/>
  <c r="K1691" i="1"/>
  <c r="L1691" i="1"/>
  <c r="M1691" i="1"/>
  <c r="N1691" i="1"/>
  <c r="A1692" i="1"/>
  <c r="B1692" i="1"/>
  <c r="F1692" i="1"/>
  <c r="G1692" i="1"/>
  <c r="H1692" i="1"/>
  <c r="I1692" i="1"/>
  <c r="J1692" i="1"/>
  <c r="K1692" i="1"/>
  <c r="L1692" i="1"/>
  <c r="M1692" i="1"/>
  <c r="N1692" i="1"/>
  <c r="A1693" i="1"/>
  <c r="B1693" i="1"/>
  <c r="F1693" i="1"/>
  <c r="G1693" i="1"/>
  <c r="H1693" i="1"/>
  <c r="I1693" i="1"/>
  <c r="J1693" i="1"/>
  <c r="K1693" i="1"/>
  <c r="L1693" i="1"/>
  <c r="M1693" i="1"/>
  <c r="N1693" i="1"/>
  <c r="A1694" i="1"/>
  <c r="B1694" i="1"/>
  <c r="F1694" i="1"/>
  <c r="G1694" i="1"/>
  <c r="H1694" i="1"/>
  <c r="I1694" i="1"/>
  <c r="J1694" i="1"/>
  <c r="K1694" i="1"/>
  <c r="L1694" i="1"/>
  <c r="M1694" i="1"/>
  <c r="N1694" i="1"/>
  <c r="A1695" i="1"/>
  <c r="B1695" i="1"/>
  <c r="F1695" i="1"/>
  <c r="G1695" i="1"/>
  <c r="H1695" i="1"/>
  <c r="I1695" i="1"/>
  <c r="J1695" i="1"/>
  <c r="K1695" i="1"/>
  <c r="L1695" i="1"/>
  <c r="M1695" i="1"/>
  <c r="N1695" i="1"/>
  <c r="A1696" i="1"/>
  <c r="B1696" i="1"/>
  <c r="F1696" i="1"/>
  <c r="G1696" i="1"/>
  <c r="H1696" i="1"/>
  <c r="I1696" i="1"/>
  <c r="J1696" i="1"/>
  <c r="K1696" i="1"/>
  <c r="L1696" i="1"/>
  <c r="M1696" i="1"/>
  <c r="N1696" i="1"/>
  <c r="A1697" i="1"/>
  <c r="B1697" i="1"/>
  <c r="F1697" i="1"/>
  <c r="G1697" i="1"/>
  <c r="H1697" i="1"/>
  <c r="I1697" i="1"/>
  <c r="J1697" i="1"/>
  <c r="K1697" i="1"/>
  <c r="L1697" i="1"/>
  <c r="M1697" i="1"/>
  <c r="N1697" i="1"/>
  <c r="A1698" i="1"/>
  <c r="B1698" i="1"/>
  <c r="F1698" i="1"/>
  <c r="G1698" i="1"/>
  <c r="H1698" i="1"/>
  <c r="I1698" i="1"/>
  <c r="J1698" i="1"/>
  <c r="K1698" i="1"/>
  <c r="L1698" i="1"/>
  <c r="M1698" i="1"/>
  <c r="N1698" i="1"/>
  <c r="A1699" i="1"/>
  <c r="B1699" i="1"/>
  <c r="F1699" i="1"/>
  <c r="G1699" i="1"/>
  <c r="H1699" i="1"/>
  <c r="I1699" i="1"/>
  <c r="J1699" i="1"/>
  <c r="K1699" i="1"/>
  <c r="L1699" i="1"/>
  <c r="M1699" i="1"/>
  <c r="N1699" i="1"/>
  <c r="A1700" i="1"/>
  <c r="B1700" i="1"/>
  <c r="F1700" i="1"/>
  <c r="G1700" i="1"/>
  <c r="H1700" i="1"/>
  <c r="I1700" i="1"/>
  <c r="J1700" i="1"/>
  <c r="K1700" i="1"/>
  <c r="L1700" i="1"/>
  <c r="M1700" i="1"/>
  <c r="N1700" i="1"/>
  <c r="A1701" i="1"/>
  <c r="B1701" i="1"/>
  <c r="F1701" i="1"/>
  <c r="G1701" i="1"/>
  <c r="H1701" i="1"/>
  <c r="I1701" i="1"/>
  <c r="J1701" i="1"/>
  <c r="K1701" i="1"/>
  <c r="L1701" i="1"/>
  <c r="M1701" i="1"/>
  <c r="N1701" i="1"/>
  <c r="A1702" i="1"/>
  <c r="B1702" i="1"/>
  <c r="F1702" i="1"/>
  <c r="G1702" i="1"/>
  <c r="H1702" i="1"/>
  <c r="I1702" i="1"/>
  <c r="J1702" i="1"/>
  <c r="K1702" i="1"/>
  <c r="L1702" i="1"/>
  <c r="M1702" i="1"/>
  <c r="N1702" i="1"/>
  <c r="A1703" i="1"/>
  <c r="B1703" i="1"/>
  <c r="F1703" i="1"/>
  <c r="G1703" i="1"/>
  <c r="H1703" i="1"/>
  <c r="I1703" i="1"/>
  <c r="J1703" i="1"/>
  <c r="K1703" i="1"/>
  <c r="L1703" i="1"/>
  <c r="M1703" i="1"/>
  <c r="N1703" i="1"/>
  <c r="A1704" i="1"/>
  <c r="B1704" i="1"/>
  <c r="F1704" i="1"/>
  <c r="G1704" i="1"/>
  <c r="H1704" i="1"/>
  <c r="I1704" i="1"/>
  <c r="J1704" i="1"/>
  <c r="K1704" i="1"/>
  <c r="L1704" i="1"/>
  <c r="M1704" i="1"/>
  <c r="N1704" i="1"/>
  <c r="A1705" i="1"/>
  <c r="B1705" i="1"/>
  <c r="F1705" i="1"/>
  <c r="G1705" i="1"/>
  <c r="H1705" i="1"/>
  <c r="I1705" i="1"/>
  <c r="J1705" i="1"/>
  <c r="K1705" i="1"/>
  <c r="L1705" i="1"/>
  <c r="M1705" i="1"/>
  <c r="N1705" i="1"/>
  <c r="A1706" i="1"/>
  <c r="B1706" i="1"/>
  <c r="F1706" i="1"/>
  <c r="G1706" i="1"/>
  <c r="H1706" i="1"/>
  <c r="I1706" i="1"/>
  <c r="J1706" i="1"/>
  <c r="K1706" i="1"/>
  <c r="L1706" i="1"/>
  <c r="M1706" i="1"/>
  <c r="N1706" i="1"/>
  <c r="A1707" i="1"/>
  <c r="B1707" i="1"/>
  <c r="F1707" i="1"/>
  <c r="G1707" i="1"/>
  <c r="H1707" i="1"/>
  <c r="I1707" i="1"/>
  <c r="J1707" i="1"/>
  <c r="K1707" i="1"/>
  <c r="L1707" i="1"/>
  <c r="M1707" i="1"/>
  <c r="N1707" i="1"/>
  <c r="A1708" i="1"/>
  <c r="B1708" i="1"/>
  <c r="F1708" i="1"/>
  <c r="G1708" i="1"/>
  <c r="H1708" i="1"/>
  <c r="I1708" i="1"/>
  <c r="J1708" i="1"/>
  <c r="K1708" i="1"/>
  <c r="L1708" i="1"/>
  <c r="M1708" i="1"/>
  <c r="N1708" i="1"/>
  <c r="A1709" i="1"/>
  <c r="B1709" i="1"/>
  <c r="F1709" i="1"/>
  <c r="G1709" i="1"/>
  <c r="H1709" i="1"/>
  <c r="I1709" i="1"/>
  <c r="J1709" i="1"/>
  <c r="K1709" i="1"/>
  <c r="L1709" i="1"/>
  <c r="M1709" i="1"/>
  <c r="N1709" i="1"/>
  <c r="A1710" i="1"/>
  <c r="B1710" i="1"/>
  <c r="F1710" i="1"/>
  <c r="G1710" i="1"/>
  <c r="H1710" i="1"/>
  <c r="I1710" i="1"/>
  <c r="J1710" i="1"/>
  <c r="K1710" i="1"/>
  <c r="L1710" i="1"/>
  <c r="M1710" i="1"/>
  <c r="N1710" i="1"/>
  <c r="A1711" i="1"/>
  <c r="B1711" i="1"/>
  <c r="F1711" i="1"/>
  <c r="G1711" i="1"/>
  <c r="H1711" i="1"/>
  <c r="I1711" i="1"/>
  <c r="J1711" i="1"/>
  <c r="K1711" i="1"/>
  <c r="L1711" i="1"/>
  <c r="M1711" i="1"/>
  <c r="N1711" i="1"/>
  <c r="A1712" i="1"/>
  <c r="B1712" i="1"/>
  <c r="F1712" i="1"/>
  <c r="G1712" i="1"/>
  <c r="H1712" i="1"/>
  <c r="I1712" i="1"/>
  <c r="J1712" i="1"/>
  <c r="K1712" i="1"/>
  <c r="L1712" i="1"/>
  <c r="M1712" i="1"/>
  <c r="N1712" i="1"/>
  <c r="A1713" i="1"/>
  <c r="B1713" i="1"/>
  <c r="F1713" i="1"/>
  <c r="G1713" i="1"/>
  <c r="H1713" i="1"/>
  <c r="I1713" i="1"/>
  <c r="J1713" i="1"/>
  <c r="K1713" i="1"/>
  <c r="L1713" i="1"/>
  <c r="M1713" i="1"/>
  <c r="N1713" i="1"/>
  <c r="A1714" i="1"/>
  <c r="B1714" i="1"/>
  <c r="F1714" i="1"/>
  <c r="G1714" i="1"/>
  <c r="H1714" i="1"/>
  <c r="I1714" i="1"/>
  <c r="J1714" i="1"/>
  <c r="K1714" i="1"/>
  <c r="L1714" i="1"/>
  <c r="M1714" i="1"/>
  <c r="N1714" i="1"/>
  <c r="A1715" i="1"/>
  <c r="B1715" i="1"/>
  <c r="F1715" i="1"/>
  <c r="G1715" i="1"/>
  <c r="H1715" i="1"/>
  <c r="I1715" i="1"/>
  <c r="J1715" i="1"/>
  <c r="K1715" i="1"/>
  <c r="L1715" i="1"/>
  <c r="M1715" i="1"/>
  <c r="N1715" i="1"/>
  <c r="A1716" i="1"/>
  <c r="B1716" i="1"/>
  <c r="F1716" i="1"/>
  <c r="G1716" i="1"/>
  <c r="H1716" i="1"/>
  <c r="I1716" i="1"/>
  <c r="J1716" i="1"/>
  <c r="K1716" i="1"/>
  <c r="L1716" i="1"/>
  <c r="M1716" i="1"/>
  <c r="N1716" i="1"/>
  <c r="A1717" i="1"/>
  <c r="B1717" i="1"/>
  <c r="F1717" i="1"/>
  <c r="G1717" i="1"/>
  <c r="H1717" i="1"/>
  <c r="I1717" i="1"/>
  <c r="J1717" i="1"/>
  <c r="K1717" i="1"/>
  <c r="L1717" i="1"/>
  <c r="M1717" i="1"/>
  <c r="N1717" i="1"/>
  <c r="A1718" i="1"/>
  <c r="B1718" i="1"/>
  <c r="F1718" i="1"/>
  <c r="G1718" i="1"/>
  <c r="H1718" i="1"/>
  <c r="I1718" i="1"/>
  <c r="J1718" i="1"/>
  <c r="K1718" i="1"/>
  <c r="L1718" i="1"/>
  <c r="M1718" i="1"/>
  <c r="N1718" i="1"/>
  <c r="A1719" i="1"/>
  <c r="B1719" i="1"/>
  <c r="F1719" i="1"/>
  <c r="G1719" i="1"/>
  <c r="H1719" i="1"/>
  <c r="I1719" i="1"/>
  <c r="J1719" i="1"/>
  <c r="K1719" i="1"/>
  <c r="L1719" i="1"/>
  <c r="M1719" i="1"/>
  <c r="N1719" i="1"/>
  <c r="A1720" i="1"/>
  <c r="B1720" i="1"/>
  <c r="F1720" i="1"/>
  <c r="G1720" i="1"/>
  <c r="H1720" i="1"/>
  <c r="I1720" i="1"/>
  <c r="J1720" i="1"/>
  <c r="K1720" i="1"/>
  <c r="L1720" i="1"/>
  <c r="M1720" i="1"/>
  <c r="N1720" i="1"/>
  <c r="A1721" i="1"/>
  <c r="B1721" i="1"/>
  <c r="F1721" i="1"/>
  <c r="G1721" i="1"/>
  <c r="H1721" i="1"/>
  <c r="I1721" i="1"/>
  <c r="J1721" i="1"/>
  <c r="K1721" i="1"/>
  <c r="L1721" i="1"/>
  <c r="M1721" i="1"/>
  <c r="N1721" i="1"/>
  <c r="A1722" i="1"/>
  <c r="B1722" i="1"/>
  <c r="F1722" i="1"/>
  <c r="G1722" i="1"/>
  <c r="H1722" i="1"/>
  <c r="I1722" i="1"/>
  <c r="J1722" i="1"/>
  <c r="K1722" i="1"/>
  <c r="L1722" i="1"/>
  <c r="M1722" i="1"/>
  <c r="N1722" i="1"/>
  <c r="A1723" i="1"/>
  <c r="B1723" i="1"/>
  <c r="F1723" i="1"/>
  <c r="G1723" i="1"/>
  <c r="H1723" i="1"/>
  <c r="I1723" i="1"/>
  <c r="J1723" i="1"/>
  <c r="K1723" i="1"/>
  <c r="L1723" i="1"/>
  <c r="M1723" i="1"/>
  <c r="N1723" i="1"/>
  <c r="A1724" i="1"/>
  <c r="B1724" i="1"/>
  <c r="F1724" i="1"/>
  <c r="G1724" i="1"/>
  <c r="H1724" i="1"/>
  <c r="I1724" i="1"/>
  <c r="J1724" i="1"/>
  <c r="K1724" i="1"/>
  <c r="L1724" i="1"/>
  <c r="M1724" i="1"/>
  <c r="N1724" i="1"/>
  <c r="A1725" i="1"/>
  <c r="B1725" i="1"/>
  <c r="F1725" i="1"/>
  <c r="G1725" i="1"/>
  <c r="H1725" i="1"/>
  <c r="I1725" i="1"/>
  <c r="J1725" i="1"/>
  <c r="K1725" i="1"/>
  <c r="L1725" i="1"/>
  <c r="M1725" i="1"/>
  <c r="N1725" i="1"/>
  <c r="A1726" i="1"/>
  <c r="B1726" i="1"/>
  <c r="F1726" i="1"/>
  <c r="G1726" i="1"/>
  <c r="H1726" i="1"/>
  <c r="I1726" i="1"/>
  <c r="J1726" i="1"/>
  <c r="K1726" i="1"/>
  <c r="L1726" i="1"/>
  <c r="M1726" i="1"/>
  <c r="N1726" i="1"/>
  <c r="A1727" i="1"/>
  <c r="B1727" i="1"/>
  <c r="F1727" i="1"/>
  <c r="G1727" i="1"/>
  <c r="H1727" i="1"/>
  <c r="I1727" i="1"/>
  <c r="J1727" i="1"/>
  <c r="K1727" i="1"/>
  <c r="L1727" i="1"/>
  <c r="M1727" i="1"/>
  <c r="N1727" i="1"/>
  <c r="A1728" i="1"/>
  <c r="B1728" i="1"/>
  <c r="F1728" i="1"/>
  <c r="G1728" i="1"/>
  <c r="H1728" i="1"/>
  <c r="I1728" i="1"/>
  <c r="J1728" i="1"/>
  <c r="K1728" i="1"/>
  <c r="L1728" i="1"/>
  <c r="M1728" i="1"/>
  <c r="N1728" i="1"/>
  <c r="A1729" i="1"/>
  <c r="B1729" i="1"/>
  <c r="F1729" i="1"/>
  <c r="G1729" i="1"/>
  <c r="H1729" i="1"/>
  <c r="I1729" i="1"/>
  <c r="J1729" i="1"/>
  <c r="K1729" i="1"/>
  <c r="L1729" i="1"/>
  <c r="M1729" i="1"/>
  <c r="N1729" i="1"/>
  <c r="A1730" i="1"/>
  <c r="B1730" i="1"/>
  <c r="F1730" i="1"/>
  <c r="G1730" i="1"/>
  <c r="H1730" i="1"/>
  <c r="I1730" i="1"/>
  <c r="J1730" i="1"/>
  <c r="K1730" i="1"/>
  <c r="L1730" i="1"/>
  <c r="M1730" i="1"/>
  <c r="N1730" i="1"/>
  <c r="A1731" i="1"/>
  <c r="B1731" i="1"/>
  <c r="F1731" i="1"/>
  <c r="G1731" i="1"/>
  <c r="H1731" i="1"/>
  <c r="I1731" i="1"/>
  <c r="J1731" i="1"/>
  <c r="K1731" i="1"/>
  <c r="L1731" i="1"/>
  <c r="M1731" i="1"/>
  <c r="N1731" i="1"/>
  <c r="A1732" i="1"/>
  <c r="B1732" i="1"/>
  <c r="F1732" i="1"/>
  <c r="G1732" i="1"/>
  <c r="H1732" i="1"/>
  <c r="I1732" i="1"/>
  <c r="J1732" i="1"/>
  <c r="K1732" i="1"/>
  <c r="L1732" i="1"/>
  <c r="M1732" i="1"/>
  <c r="N1732" i="1"/>
  <c r="A1733" i="1"/>
  <c r="B1733" i="1"/>
  <c r="F1733" i="1"/>
  <c r="G1733" i="1"/>
  <c r="H1733" i="1"/>
  <c r="I1733" i="1"/>
  <c r="J1733" i="1"/>
  <c r="K1733" i="1"/>
  <c r="L1733" i="1"/>
  <c r="M1733" i="1"/>
  <c r="N1733" i="1"/>
  <c r="A1734" i="1"/>
  <c r="B1734" i="1"/>
  <c r="F1734" i="1"/>
  <c r="G1734" i="1"/>
  <c r="H1734" i="1"/>
  <c r="I1734" i="1"/>
  <c r="J1734" i="1"/>
  <c r="K1734" i="1"/>
  <c r="L1734" i="1"/>
  <c r="M1734" i="1"/>
  <c r="N1734" i="1"/>
  <c r="A1735" i="1"/>
  <c r="B1735" i="1"/>
  <c r="F1735" i="1"/>
  <c r="G1735" i="1"/>
  <c r="H1735" i="1"/>
  <c r="I1735" i="1"/>
  <c r="J1735" i="1"/>
  <c r="K1735" i="1"/>
  <c r="L1735" i="1"/>
  <c r="M1735" i="1"/>
  <c r="N1735" i="1"/>
  <c r="A1736" i="1"/>
  <c r="B1736" i="1"/>
  <c r="F1736" i="1"/>
  <c r="G1736" i="1"/>
  <c r="H1736" i="1"/>
  <c r="I1736" i="1"/>
  <c r="J1736" i="1"/>
  <c r="K1736" i="1"/>
  <c r="L1736" i="1"/>
  <c r="M1736" i="1"/>
  <c r="N1736" i="1"/>
  <c r="A1737" i="1"/>
  <c r="B1737" i="1"/>
  <c r="F1737" i="1"/>
  <c r="G1737" i="1"/>
  <c r="H1737" i="1"/>
  <c r="I1737" i="1"/>
  <c r="J1737" i="1"/>
  <c r="K1737" i="1"/>
  <c r="L1737" i="1"/>
  <c r="M1737" i="1"/>
  <c r="N1737" i="1"/>
  <c r="A1738" i="1"/>
  <c r="B1738" i="1"/>
  <c r="F1738" i="1"/>
  <c r="G1738" i="1"/>
  <c r="H1738" i="1"/>
  <c r="I1738" i="1"/>
  <c r="J1738" i="1"/>
  <c r="K1738" i="1"/>
  <c r="L1738" i="1"/>
  <c r="M1738" i="1"/>
  <c r="N1738" i="1"/>
  <c r="A1739" i="1"/>
  <c r="B1739" i="1"/>
  <c r="F1739" i="1"/>
  <c r="G1739" i="1"/>
  <c r="H1739" i="1"/>
  <c r="I1739" i="1"/>
  <c r="J1739" i="1"/>
  <c r="K1739" i="1"/>
  <c r="L1739" i="1"/>
  <c r="M1739" i="1"/>
  <c r="N1739" i="1"/>
  <c r="A1740" i="1"/>
  <c r="B1740" i="1"/>
  <c r="F1740" i="1"/>
  <c r="G1740" i="1"/>
  <c r="H1740" i="1"/>
  <c r="I1740" i="1"/>
  <c r="J1740" i="1"/>
  <c r="K1740" i="1"/>
  <c r="L1740" i="1"/>
  <c r="M1740" i="1"/>
  <c r="N1740" i="1"/>
  <c r="A1741" i="1"/>
  <c r="B1741" i="1"/>
  <c r="F1741" i="1"/>
  <c r="G1741" i="1"/>
  <c r="H1741" i="1"/>
  <c r="I1741" i="1"/>
  <c r="J1741" i="1"/>
  <c r="K1741" i="1"/>
  <c r="L1741" i="1"/>
  <c r="M1741" i="1"/>
  <c r="N1741" i="1"/>
  <c r="A1742" i="1"/>
  <c r="B1742" i="1"/>
  <c r="F1742" i="1"/>
  <c r="G1742" i="1"/>
  <c r="H1742" i="1"/>
  <c r="I1742" i="1"/>
  <c r="J1742" i="1"/>
  <c r="K1742" i="1"/>
  <c r="L1742" i="1"/>
  <c r="M1742" i="1"/>
  <c r="N1742" i="1"/>
  <c r="A1743" i="1"/>
  <c r="B1743" i="1"/>
  <c r="F1743" i="1"/>
  <c r="G1743" i="1"/>
  <c r="H1743" i="1"/>
  <c r="I1743" i="1"/>
  <c r="J1743" i="1"/>
  <c r="K1743" i="1"/>
  <c r="L1743" i="1"/>
  <c r="M1743" i="1"/>
  <c r="N1743" i="1"/>
  <c r="A1744" i="1"/>
  <c r="B1744" i="1"/>
  <c r="F1744" i="1"/>
  <c r="G1744" i="1"/>
  <c r="H1744" i="1"/>
  <c r="I1744" i="1"/>
  <c r="J1744" i="1"/>
  <c r="K1744" i="1"/>
  <c r="L1744" i="1"/>
  <c r="M1744" i="1"/>
  <c r="N1744" i="1"/>
  <c r="A1745" i="1"/>
  <c r="B1745" i="1"/>
  <c r="F1745" i="1"/>
  <c r="G1745" i="1"/>
  <c r="H1745" i="1"/>
  <c r="I1745" i="1"/>
  <c r="J1745" i="1"/>
  <c r="K1745" i="1"/>
  <c r="L1745" i="1"/>
  <c r="M1745" i="1"/>
  <c r="N1745" i="1"/>
  <c r="A1746" i="1"/>
  <c r="B1746" i="1"/>
  <c r="F1746" i="1"/>
  <c r="G1746" i="1"/>
  <c r="H1746" i="1"/>
  <c r="I1746" i="1"/>
  <c r="J1746" i="1"/>
  <c r="K1746" i="1"/>
  <c r="L1746" i="1"/>
  <c r="M1746" i="1"/>
  <c r="N1746" i="1"/>
  <c r="A1747" i="1"/>
  <c r="B1747" i="1"/>
  <c r="F1747" i="1"/>
  <c r="G1747" i="1"/>
  <c r="H1747" i="1"/>
  <c r="I1747" i="1"/>
  <c r="J1747" i="1"/>
  <c r="K1747" i="1"/>
  <c r="L1747" i="1"/>
  <c r="M1747" i="1"/>
  <c r="N1747" i="1"/>
  <c r="A1748" i="1"/>
  <c r="B1748" i="1"/>
  <c r="F1748" i="1"/>
  <c r="G1748" i="1"/>
  <c r="H1748" i="1"/>
  <c r="I1748" i="1"/>
  <c r="J1748" i="1"/>
  <c r="K1748" i="1"/>
  <c r="L1748" i="1"/>
  <c r="M1748" i="1"/>
  <c r="N1748" i="1"/>
  <c r="A1749" i="1"/>
  <c r="B1749" i="1"/>
  <c r="F1749" i="1"/>
  <c r="G1749" i="1"/>
  <c r="H1749" i="1"/>
  <c r="I1749" i="1"/>
  <c r="J1749" i="1"/>
  <c r="K1749" i="1"/>
  <c r="L1749" i="1"/>
  <c r="M1749" i="1"/>
  <c r="N1749" i="1"/>
  <c r="A1750" i="1"/>
  <c r="B1750" i="1"/>
  <c r="F1750" i="1"/>
  <c r="G1750" i="1"/>
  <c r="H1750" i="1"/>
  <c r="I1750" i="1"/>
  <c r="J1750" i="1"/>
  <c r="K1750" i="1"/>
  <c r="L1750" i="1"/>
  <c r="M1750" i="1"/>
  <c r="N1750" i="1"/>
  <c r="A1751" i="1"/>
  <c r="B1751" i="1"/>
  <c r="F1751" i="1"/>
  <c r="G1751" i="1"/>
  <c r="H1751" i="1"/>
  <c r="I1751" i="1"/>
  <c r="J1751" i="1"/>
  <c r="K1751" i="1"/>
  <c r="L1751" i="1"/>
  <c r="M1751" i="1"/>
  <c r="N1751" i="1"/>
  <c r="A1752" i="1"/>
  <c r="B1752" i="1"/>
  <c r="F1752" i="1"/>
  <c r="G1752" i="1"/>
  <c r="H1752" i="1"/>
  <c r="I1752" i="1"/>
  <c r="J1752" i="1"/>
  <c r="K1752" i="1"/>
  <c r="L1752" i="1"/>
  <c r="M1752" i="1"/>
  <c r="N1752" i="1"/>
  <c r="A1753" i="1"/>
  <c r="B1753" i="1"/>
  <c r="F1753" i="1"/>
  <c r="G1753" i="1"/>
  <c r="H1753" i="1"/>
  <c r="I1753" i="1"/>
  <c r="J1753" i="1"/>
  <c r="K1753" i="1"/>
  <c r="L1753" i="1"/>
  <c r="M1753" i="1"/>
  <c r="N1753" i="1"/>
  <c r="A1754" i="1"/>
  <c r="B1754" i="1"/>
  <c r="F1754" i="1"/>
  <c r="G1754" i="1"/>
  <c r="H1754" i="1"/>
  <c r="I1754" i="1"/>
  <c r="J1754" i="1"/>
  <c r="K1754" i="1"/>
  <c r="L1754" i="1"/>
  <c r="M1754" i="1"/>
  <c r="N1754" i="1"/>
  <c r="A1755" i="1"/>
  <c r="B1755" i="1"/>
  <c r="F1755" i="1"/>
  <c r="G1755" i="1"/>
  <c r="H1755" i="1"/>
  <c r="I1755" i="1"/>
  <c r="J1755" i="1"/>
  <c r="K1755" i="1"/>
  <c r="L1755" i="1"/>
  <c r="M1755" i="1"/>
  <c r="N1755" i="1"/>
  <c r="A1756" i="1"/>
  <c r="B1756" i="1"/>
  <c r="F1756" i="1"/>
  <c r="G1756" i="1"/>
  <c r="H1756" i="1"/>
  <c r="I1756" i="1"/>
  <c r="J1756" i="1"/>
  <c r="K1756" i="1"/>
  <c r="L1756" i="1"/>
  <c r="M1756" i="1"/>
  <c r="N1756" i="1"/>
  <c r="A1757" i="1"/>
  <c r="B1757" i="1"/>
  <c r="F1757" i="1"/>
  <c r="G1757" i="1"/>
  <c r="H1757" i="1"/>
  <c r="I1757" i="1"/>
  <c r="J1757" i="1"/>
  <c r="K1757" i="1"/>
  <c r="L1757" i="1"/>
  <c r="M1757" i="1"/>
  <c r="N1757" i="1"/>
  <c r="A1758" i="1"/>
  <c r="B1758" i="1"/>
  <c r="F1758" i="1"/>
  <c r="G1758" i="1"/>
  <c r="H1758" i="1"/>
  <c r="I1758" i="1"/>
  <c r="J1758" i="1"/>
  <c r="K1758" i="1"/>
  <c r="L1758" i="1"/>
  <c r="M1758" i="1"/>
  <c r="N1758" i="1"/>
  <c r="A1759" i="1"/>
  <c r="B1759" i="1"/>
  <c r="F1759" i="1"/>
  <c r="G1759" i="1"/>
  <c r="H1759" i="1"/>
  <c r="I1759" i="1"/>
  <c r="J1759" i="1"/>
  <c r="K1759" i="1"/>
  <c r="L1759" i="1"/>
  <c r="M1759" i="1"/>
  <c r="N1759" i="1"/>
  <c r="A1760" i="1"/>
  <c r="B1760" i="1"/>
  <c r="F1760" i="1"/>
  <c r="G1760" i="1"/>
  <c r="H1760" i="1"/>
  <c r="I1760" i="1"/>
  <c r="J1760" i="1"/>
  <c r="K1760" i="1"/>
  <c r="L1760" i="1"/>
  <c r="M1760" i="1"/>
  <c r="N1760" i="1"/>
  <c r="A1761" i="1"/>
  <c r="B1761" i="1"/>
  <c r="F1761" i="1"/>
  <c r="G1761" i="1"/>
  <c r="H1761" i="1"/>
  <c r="I1761" i="1"/>
  <c r="J1761" i="1"/>
  <c r="K1761" i="1"/>
  <c r="L1761" i="1"/>
  <c r="M1761" i="1"/>
  <c r="N1761" i="1"/>
  <c r="A1762" i="1"/>
  <c r="B1762" i="1"/>
  <c r="F1762" i="1"/>
  <c r="G1762" i="1"/>
  <c r="H1762" i="1"/>
  <c r="I1762" i="1"/>
  <c r="J1762" i="1"/>
  <c r="K1762" i="1"/>
  <c r="L1762" i="1"/>
  <c r="M1762" i="1"/>
  <c r="N1762" i="1"/>
  <c r="A1763" i="1"/>
  <c r="B1763" i="1"/>
  <c r="F1763" i="1"/>
  <c r="G1763" i="1"/>
  <c r="H1763" i="1"/>
  <c r="I1763" i="1"/>
  <c r="J1763" i="1"/>
  <c r="K1763" i="1"/>
  <c r="L1763" i="1"/>
  <c r="M1763" i="1"/>
  <c r="N1763" i="1"/>
  <c r="A1764" i="1"/>
  <c r="B1764" i="1"/>
  <c r="F1764" i="1"/>
  <c r="G1764" i="1"/>
  <c r="H1764" i="1"/>
  <c r="I1764" i="1"/>
  <c r="J1764" i="1"/>
  <c r="K1764" i="1"/>
  <c r="L1764" i="1"/>
  <c r="M1764" i="1"/>
  <c r="N1764" i="1"/>
  <c r="A1765" i="1"/>
  <c r="B1765" i="1"/>
  <c r="F1765" i="1"/>
  <c r="G1765" i="1"/>
  <c r="H1765" i="1"/>
  <c r="I1765" i="1"/>
  <c r="J1765" i="1"/>
  <c r="K1765" i="1"/>
  <c r="L1765" i="1"/>
  <c r="M1765" i="1"/>
  <c r="N1765" i="1"/>
  <c r="A1766" i="1"/>
  <c r="B1766" i="1"/>
  <c r="F1766" i="1"/>
  <c r="G1766" i="1"/>
  <c r="H1766" i="1"/>
  <c r="I1766" i="1"/>
  <c r="J1766" i="1"/>
  <c r="K1766" i="1"/>
  <c r="L1766" i="1"/>
  <c r="M1766" i="1"/>
  <c r="N1766" i="1"/>
  <c r="A1767" i="1"/>
  <c r="B1767" i="1"/>
  <c r="F1767" i="1"/>
  <c r="G1767" i="1"/>
  <c r="H1767" i="1"/>
  <c r="I1767" i="1"/>
  <c r="J1767" i="1"/>
  <c r="K1767" i="1"/>
  <c r="L1767" i="1"/>
  <c r="M1767" i="1"/>
  <c r="N1767" i="1"/>
  <c r="A1768" i="1"/>
  <c r="B1768" i="1"/>
  <c r="F1768" i="1"/>
  <c r="G1768" i="1"/>
  <c r="H1768" i="1"/>
  <c r="I1768" i="1"/>
  <c r="J1768" i="1"/>
  <c r="K1768" i="1"/>
  <c r="L1768" i="1"/>
  <c r="M1768" i="1"/>
  <c r="N1768" i="1"/>
  <c r="A1769" i="1"/>
  <c r="B1769" i="1"/>
  <c r="F1769" i="1"/>
  <c r="G1769" i="1"/>
  <c r="H1769" i="1"/>
  <c r="I1769" i="1"/>
  <c r="J1769" i="1"/>
  <c r="K1769" i="1"/>
  <c r="L1769" i="1"/>
  <c r="M1769" i="1"/>
  <c r="N1769" i="1"/>
  <c r="A1770" i="1"/>
  <c r="B1770" i="1"/>
  <c r="F1770" i="1"/>
  <c r="G1770" i="1"/>
  <c r="H1770" i="1"/>
  <c r="I1770" i="1"/>
  <c r="J1770" i="1"/>
  <c r="K1770" i="1"/>
  <c r="L1770" i="1"/>
  <c r="M1770" i="1"/>
  <c r="N1770" i="1"/>
  <c r="A1771" i="1"/>
  <c r="B1771" i="1"/>
  <c r="F1771" i="1"/>
  <c r="G1771" i="1"/>
  <c r="H1771" i="1"/>
  <c r="I1771" i="1"/>
  <c r="J1771" i="1"/>
  <c r="K1771" i="1"/>
  <c r="L1771" i="1"/>
  <c r="M1771" i="1"/>
  <c r="N1771" i="1"/>
  <c r="A1772" i="1"/>
  <c r="B1772" i="1"/>
  <c r="F1772" i="1"/>
  <c r="G1772" i="1"/>
  <c r="H1772" i="1"/>
  <c r="I1772" i="1"/>
  <c r="J1772" i="1"/>
  <c r="K1772" i="1"/>
  <c r="L1772" i="1"/>
  <c r="M1772" i="1"/>
  <c r="N1772" i="1"/>
  <c r="A1773" i="1"/>
  <c r="B1773" i="1"/>
  <c r="F1773" i="1"/>
  <c r="G1773" i="1"/>
  <c r="H1773" i="1"/>
  <c r="I1773" i="1"/>
  <c r="J1773" i="1"/>
  <c r="K1773" i="1"/>
  <c r="L1773" i="1"/>
  <c r="M1773" i="1"/>
  <c r="N1773" i="1"/>
  <c r="A1774" i="1"/>
  <c r="B1774" i="1"/>
  <c r="F1774" i="1"/>
  <c r="G1774" i="1"/>
  <c r="H1774" i="1"/>
  <c r="I1774" i="1"/>
  <c r="J1774" i="1"/>
  <c r="K1774" i="1"/>
  <c r="L1774" i="1"/>
  <c r="M1774" i="1"/>
  <c r="N1774" i="1"/>
  <c r="A1775" i="1"/>
  <c r="B1775" i="1"/>
  <c r="F1775" i="1"/>
  <c r="G1775" i="1"/>
  <c r="H1775" i="1"/>
  <c r="I1775" i="1"/>
  <c r="J1775" i="1"/>
  <c r="K1775" i="1"/>
  <c r="L1775" i="1"/>
  <c r="M1775" i="1"/>
  <c r="N1775" i="1"/>
  <c r="A1776" i="1"/>
  <c r="B1776" i="1"/>
  <c r="F1776" i="1"/>
  <c r="G1776" i="1"/>
  <c r="H1776" i="1"/>
  <c r="I1776" i="1"/>
  <c r="J1776" i="1"/>
  <c r="K1776" i="1"/>
  <c r="L1776" i="1"/>
  <c r="M1776" i="1"/>
  <c r="N1776" i="1"/>
  <c r="A1777" i="1"/>
  <c r="B1777" i="1"/>
  <c r="F1777" i="1"/>
  <c r="G1777" i="1"/>
  <c r="H1777" i="1"/>
  <c r="I1777" i="1"/>
  <c r="J1777" i="1"/>
  <c r="K1777" i="1"/>
  <c r="L1777" i="1"/>
  <c r="M1777" i="1"/>
  <c r="N1777" i="1"/>
  <c r="A1778" i="1"/>
  <c r="B1778" i="1"/>
  <c r="F1778" i="1"/>
  <c r="G1778" i="1"/>
  <c r="H1778" i="1"/>
  <c r="I1778" i="1"/>
  <c r="J1778" i="1"/>
  <c r="K1778" i="1"/>
  <c r="L1778" i="1"/>
  <c r="M1778" i="1"/>
  <c r="N1778" i="1"/>
  <c r="A1779" i="1"/>
  <c r="B1779" i="1"/>
  <c r="F1779" i="1"/>
  <c r="G1779" i="1"/>
  <c r="H1779" i="1"/>
  <c r="I1779" i="1"/>
  <c r="J1779" i="1"/>
  <c r="K1779" i="1"/>
  <c r="L1779" i="1"/>
  <c r="M1779" i="1"/>
  <c r="N1779" i="1"/>
  <c r="A1780" i="1"/>
  <c r="B1780" i="1"/>
  <c r="F1780" i="1"/>
  <c r="G1780" i="1"/>
  <c r="H1780" i="1"/>
  <c r="I1780" i="1"/>
  <c r="J1780" i="1"/>
  <c r="K1780" i="1"/>
  <c r="L1780" i="1"/>
  <c r="M1780" i="1"/>
  <c r="N1780" i="1"/>
  <c r="A1781" i="1"/>
  <c r="B1781" i="1"/>
  <c r="F1781" i="1"/>
  <c r="G1781" i="1"/>
  <c r="H1781" i="1"/>
  <c r="I1781" i="1"/>
  <c r="J1781" i="1"/>
  <c r="K1781" i="1"/>
  <c r="L1781" i="1"/>
  <c r="M1781" i="1"/>
  <c r="N1781" i="1"/>
  <c r="A1782" i="1"/>
  <c r="B1782" i="1"/>
  <c r="F1782" i="1"/>
  <c r="G1782" i="1"/>
  <c r="H1782" i="1"/>
  <c r="I1782" i="1"/>
  <c r="J1782" i="1"/>
  <c r="K1782" i="1"/>
  <c r="L1782" i="1"/>
  <c r="M1782" i="1"/>
  <c r="N1782" i="1"/>
  <c r="A1783" i="1"/>
  <c r="B1783" i="1"/>
  <c r="F1783" i="1"/>
  <c r="G1783" i="1"/>
  <c r="H1783" i="1"/>
  <c r="I1783" i="1"/>
  <c r="J1783" i="1"/>
  <c r="K1783" i="1"/>
  <c r="L1783" i="1"/>
  <c r="M1783" i="1"/>
  <c r="N1783" i="1"/>
  <c r="A1784" i="1"/>
  <c r="B1784" i="1"/>
  <c r="F1784" i="1"/>
  <c r="G1784" i="1"/>
  <c r="H1784" i="1"/>
  <c r="I1784" i="1"/>
  <c r="J1784" i="1"/>
  <c r="K1784" i="1"/>
  <c r="L1784" i="1"/>
  <c r="M1784" i="1"/>
  <c r="N1784" i="1"/>
  <c r="A1785" i="1"/>
  <c r="B1785" i="1"/>
  <c r="F1785" i="1"/>
  <c r="G1785" i="1"/>
  <c r="H1785" i="1"/>
  <c r="I1785" i="1"/>
  <c r="J1785" i="1"/>
  <c r="K1785" i="1"/>
  <c r="L1785" i="1"/>
  <c r="M1785" i="1"/>
  <c r="N1785" i="1"/>
  <c r="A1786" i="1"/>
  <c r="B1786" i="1"/>
  <c r="F1786" i="1"/>
  <c r="G1786" i="1"/>
  <c r="H1786" i="1"/>
  <c r="I1786" i="1"/>
  <c r="J1786" i="1"/>
  <c r="K1786" i="1"/>
  <c r="L1786" i="1"/>
  <c r="M1786" i="1"/>
  <c r="N1786" i="1"/>
  <c r="A1787" i="1"/>
  <c r="B1787" i="1"/>
  <c r="F1787" i="1"/>
  <c r="G1787" i="1"/>
  <c r="H1787" i="1"/>
  <c r="I1787" i="1"/>
  <c r="J1787" i="1"/>
  <c r="K1787" i="1"/>
  <c r="L1787" i="1"/>
  <c r="M1787" i="1"/>
  <c r="N1787" i="1"/>
  <c r="A1788" i="1"/>
  <c r="B1788" i="1"/>
  <c r="F1788" i="1"/>
  <c r="G1788" i="1"/>
  <c r="H1788" i="1"/>
  <c r="I1788" i="1"/>
  <c r="J1788" i="1"/>
  <c r="K1788" i="1"/>
  <c r="L1788" i="1"/>
  <c r="M1788" i="1"/>
  <c r="N1788" i="1"/>
  <c r="A1789" i="1"/>
  <c r="B1789" i="1"/>
  <c r="F1789" i="1"/>
  <c r="G1789" i="1"/>
  <c r="H1789" i="1"/>
  <c r="I1789" i="1"/>
  <c r="J1789" i="1"/>
  <c r="K1789" i="1"/>
  <c r="L1789" i="1"/>
  <c r="M1789" i="1"/>
  <c r="N1789" i="1"/>
  <c r="A1790" i="1"/>
  <c r="B1790" i="1"/>
  <c r="F1790" i="1"/>
  <c r="G1790" i="1"/>
  <c r="H1790" i="1"/>
  <c r="I1790" i="1"/>
  <c r="J1790" i="1"/>
  <c r="K1790" i="1"/>
  <c r="L1790" i="1"/>
  <c r="M1790" i="1"/>
  <c r="N1790" i="1"/>
  <c r="A1791" i="1"/>
  <c r="B1791" i="1"/>
  <c r="F1791" i="1"/>
  <c r="G1791" i="1"/>
  <c r="H1791" i="1"/>
  <c r="I1791" i="1"/>
  <c r="J1791" i="1"/>
  <c r="K1791" i="1"/>
  <c r="L1791" i="1"/>
  <c r="M1791" i="1"/>
  <c r="N1791" i="1"/>
  <c r="A1792" i="1"/>
  <c r="B1792" i="1"/>
  <c r="F1792" i="1"/>
  <c r="G1792" i="1"/>
  <c r="H1792" i="1"/>
  <c r="I1792" i="1"/>
  <c r="J1792" i="1"/>
  <c r="K1792" i="1"/>
  <c r="L1792" i="1"/>
  <c r="M1792" i="1"/>
  <c r="N1792" i="1"/>
  <c r="A1793" i="1"/>
  <c r="B1793" i="1"/>
  <c r="F1793" i="1"/>
  <c r="G1793" i="1"/>
  <c r="H1793" i="1"/>
  <c r="I1793" i="1"/>
  <c r="J1793" i="1"/>
  <c r="K1793" i="1"/>
  <c r="L1793" i="1"/>
  <c r="M1793" i="1"/>
  <c r="N1793" i="1"/>
  <c r="A1794" i="1"/>
  <c r="B1794" i="1"/>
  <c r="F1794" i="1"/>
  <c r="G1794" i="1"/>
  <c r="H1794" i="1"/>
  <c r="I1794" i="1"/>
  <c r="J1794" i="1"/>
  <c r="K1794" i="1"/>
  <c r="L1794" i="1"/>
  <c r="M1794" i="1"/>
  <c r="N1794" i="1"/>
  <c r="A1795" i="1"/>
  <c r="B1795" i="1"/>
  <c r="F1795" i="1"/>
  <c r="G1795" i="1"/>
  <c r="H1795" i="1"/>
  <c r="I1795" i="1"/>
  <c r="J1795" i="1"/>
  <c r="K1795" i="1"/>
  <c r="L1795" i="1"/>
  <c r="M1795" i="1"/>
  <c r="N1795" i="1"/>
  <c r="A1796" i="1"/>
  <c r="B1796" i="1"/>
  <c r="F1796" i="1"/>
  <c r="G1796" i="1"/>
  <c r="H1796" i="1"/>
  <c r="I1796" i="1"/>
  <c r="J1796" i="1"/>
  <c r="K1796" i="1"/>
  <c r="L1796" i="1"/>
  <c r="M1796" i="1"/>
  <c r="N1796" i="1"/>
  <c r="A1797" i="1"/>
  <c r="B1797" i="1"/>
  <c r="F1797" i="1"/>
  <c r="G1797" i="1"/>
  <c r="H1797" i="1"/>
  <c r="I1797" i="1"/>
  <c r="J1797" i="1"/>
  <c r="K1797" i="1"/>
  <c r="L1797" i="1"/>
  <c r="M1797" i="1"/>
  <c r="N1797" i="1"/>
  <c r="A1798" i="1"/>
  <c r="B1798" i="1"/>
  <c r="F1798" i="1"/>
  <c r="G1798" i="1"/>
  <c r="H1798" i="1"/>
  <c r="I1798" i="1"/>
  <c r="J1798" i="1"/>
  <c r="K1798" i="1"/>
  <c r="L1798" i="1"/>
  <c r="M1798" i="1"/>
  <c r="N1798" i="1"/>
  <c r="A1799" i="1"/>
  <c r="B1799" i="1"/>
  <c r="F1799" i="1"/>
  <c r="G1799" i="1"/>
  <c r="H1799" i="1"/>
  <c r="I1799" i="1"/>
  <c r="J1799" i="1"/>
  <c r="K1799" i="1"/>
  <c r="L1799" i="1"/>
  <c r="M1799" i="1"/>
  <c r="N1799" i="1"/>
  <c r="A1800" i="1"/>
  <c r="B1800" i="1"/>
  <c r="F1800" i="1"/>
  <c r="G1800" i="1"/>
  <c r="H1800" i="1"/>
  <c r="I1800" i="1"/>
  <c r="J1800" i="1"/>
  <c r="K1800" i="1"/>
  <c r="L1800" i="1"/>
  <c r="M1800" i="1"/>
  <c r="N1800" i="1"/>
  <c r="A1801" i="1"/>
  <c r="B1801" i="1"/>
  <c r="F1801" i="1"/>
  <c r="G1801" i="1"/>
  <c r="H1801" i="1"/>
  <c r="I1801" i="1"/>
  <c r="J1801" i="1"/>
  <c r="K1801" i="1"/>
  <c r="L1801" i="1"/>
  <c r="M1801" i="1"/>
  <c r="N1801" i="1"/>
  <c r="A1802" i="1"/>
  <c r="B1802" i="1"/>
  <c r="F1802" i="1"/>
  <c r="G1802" i="1"/>
  <c r="H1802" i="1"/>
  <c r="I1802" i="1"/>
  <c r="J1802" i="1"/>
  <c r="K1802" i="1"/>
  <c r="L1802" i="1"/>
  <c r="M1802" i="1"/>
  <c r="N1802" i="1"/>
  <c r="A1803" i="1"/>
  <c r="B1803" i="1"/>
  <c r="F1803" i="1"/>
  <c r="G1803" i="1"/>
  <c r="H1803" i="1"/>
  <c r="I1803" i="1"/>
  <c r="J1803" i="1"/>
  <c r="K1803" i="1"/>
  <c r="L1803" i="1"/>
  <c r="M1803" i="1"/>
  <c r="N1803" i="1"/>
  <c r="A1804" i="1"/>
  <c r="B1804" i="1"/>
  <c r="F1804" i="1"/>
  <c r="G1804" i="1"/>
  <c r="H1804" i="1"/>
  <c r="I1804" i="1"/>
  <c r="J1804" i="1"/>
  <c r="K1804" i="1"/>
  <c r="L1804" i="1"/>
  <c r="M1804" i="1"/>
  <c r="N1804" i="1"/>
  <c r="A1805" i="1"/>
  <c r="B1805" i="1"/>
  <c r="F1805" i="1"/>
  <c r="G1805" i="1"/>
  <c r="H1805" i="1"/>
  <c r="I1805" i="1"/>
  <c r="J1805" i="1"/>
  <c r="K1805" i="1"/>
  <c r="L1805" i="1"/>
  <c r="M1805" i="1"/>
  <c r="N1805" i="1"/>
  <c r="A1806" i="1"/>
  <c r="B1806" i="1"/>
  <c r="F1806" i="1"/>
  <c r="G1806" i="1"/>
  <c r="H1806" i="1"/>
  <c r="I1806" i="1"/>
  <c r="J1806" i="1"/>
  <c r="K1806" i="1"/>
  <c r="L1806" i="1"/>
  <c r="M1806" i="1"/>
  <c r="N1806" i="1"/>
  <c r="A1807" i="1"/>
  <c r="B1807" i="1"/>
  <c r="F1807" i="1"/>
  <c r="G1807" i="1"/>
  <c r="H1807" i="1"/>
  <c r="I1807" i="1"/>
  <c r="J1807" i="1"/>
  <c r="K1807" i="1"/>
  <c r="L1807" i="1"/>
  <c r="M1807" i="1"/>
  <c r="N1807" i="1"/>
  <c r="A1808" i="1"/>
  <c r="B1808" i="1"/>
  <c r="F1808" i="1"/>
  <c r="G1808" i="1"/>
  <c r="H1808" i="1"/>
  <c r="I1808" i="1"/>
  <c r="J1808" i="1"/>
  <c r="K1808" i="1"/>
  <c r="L1808" i="1"/>
  <c r="M1808" i="1"/>
  <c r="N1808" i="1"/>
  <c r="A1809" i="1"/>
  <c r="B1809" i="1"/>
  <c r="F1809" i="1"/>
  <c r="G1809" i="1"/>
  <c r="H1809" i="1"/>
  <c r="I1809" i="1"/>
  <c r="J1809" i="1"/>
  <c r="K1809" i="1"/>
  <c r="L1809" i="1"/>
  <c r="M1809" i="1"/>
  <c r="N1809" i="1"/>
  <c r="A1810" i="1"/>
  <c r="B1810" i="1"/>
  <c r="F1810" i="1"/>
  <c r="G1810" i="1"/>
  <c r="H1810" i="1"/>
  <c r="I1810" i="1"/>
  <c r="J1810" i="1"/>
  <c r="K1810" i="1"/>
  <c r="L1810" i="1"/>
  <c r="M1810" i="1"/>
  <c r="N1810" i="1"/>
  <c r="A1811" i="1"/>
  <c r="B1811" i="1"/>
  <c r="F1811" i="1"/>
  <c r="G1811" i="1"/>
  <c r="H1811" i="1"/>
  <c r="I1811" i="1"/>
  <c r="J1811" i="1"/>
  <c r="K1811" i="1"/>
  <c r="L1811" i="1"/>
  <c r="M1811" i="1"/>
  <c r="N1811" i="1"/>
  <c r="A1812" i="1"/>
  <c r="B1812" i="1"/>
  <c r="F1812" i="1"/>
  <c r="G1812" i="1"/>
  <c r="H1812" i="1"/>
  <c r="I1812" i="1"/>
  <c r="J1812" i="1"/>
  <c r="K1812" i="1"/>
  <c r="L1812" i="1"/>
  <c r="M1812" i="1"/>
  <c r="N1812" i="1"/>
  <c r="A1813" i="1"/>
  <c r="B1813" i="1"/>
  <c r="F1813" i="1"/>
  <c r="G1813" i="1"/>
  <c r="H1813" i="1"/>
  <c r="I1813" i="1"/>
  <c r="J1813" i="1"/>
  <c r="K1813" i="1"/>
  <c r="L1813" i="1"/>
  <c r="M1813" i="1"/>
  <c r="N1813" i="1"/>
  <c r="A1814" i="1"/>
  <c r="B1814" i="1"/>
  <c r="F1814" i="1"/>
  <c r="G1814" i="1"/>
  <c r="H1814" i="1"/>
  <c r="I1814" i="1"/>
  <c r="J1814" i="1"/>
  <c r="K1814" i="1"/>
  <c r="L1814" i="1"/>
  <c r="M1814" i="1"/>
  <c r="N1814" i="1"/>
  <c r="A1815" i="1"/>
  <c r="B1815" i="1"/>
  <c r="F1815" i="1"/>
  <c r="G1815" i="1"/>
  <c r="H1815" i="1"/>
  <c r="I1815" i="1"/>
  <c r="J1815" i="1"/>
  <c r="K1815" i="1"/>
  <c r="L1815" i="1"/>
  <c r="M1815" i="1"/>
  <c r="N1815" i="1"/>
  <c r="A1816" i="1"/>
  <c r="B1816" i="1"/>
  <c r="F1816" i="1"/>
  <c r="G1816" i="1"/>
  <c r="H1816" i="1"/>
  <c r="I1816" i="1"/>
  <c r="J1816" i="1"/>
  <c r="K1816" i="1"/>
  <c r="L1816" i="1"/>
  <c r="M1816" i="1"/>
  <c r="N1816" i="1"/>
  <c r="A1817" i="1"/>
  <c r="B1817" i="1"/>
  <c r="F1817" i="1"/>
  <c r="G1817" i="1"/>
  <c r="H1817" i="1"/>
  <c r="I1817" i="1"/>
  <c r="J1817" i="1"/>
  <c r="K1817" i="1"/>
  <c r="L1817" i="1"/>
  <c r="M1817" i="1"/>
  <c r="N1817" i="1"/>
  <c r="A1818" i="1"/>
  <c r="B1818" i="1"/>
  <c r="F1818" i="1"/>
  <c r="G1818" i="1"/>
  <c r="H1818" i="1"/>
  <c r="I1818" i="1"/>
  <c r="J1818" i="1"/>
  <c r="K1818" i="1"/>
  <c r="L1818" i="1"/>
  <c r="M1818" i="1"/>
  <c r="N1818" i="1"/>
  <c r="A1819" i="1"/>
  <c r="B1819" i="1"/>
  <c r="F1819" i="1"/>
  <c r="G1819" i="1"/>
  <c r="H1819" i="1"/>
  <c r="I1819" i="1"/>
  <c r="J1819" i="1"/>
  <c r="K1819" i="1"/>
  <c r="L1819" i="1"/>
  <c r="M1819" i="1"/>
  <c r="N1819" i="1"/>
  <c r="A1820" i="1"/>
  <c r="B1820" i="1"/>
  <c r="F1820" i="1"/>
  <c r="G1820" i="1"/>
  <c r="H1820" i="1"/>
  <c r="I1820" i="1"/>
  <c r="J1820" i="1"/>
  <c r="K1820" i="1"/>
  <c r="L1820" i="1"/>
  <c r="M1820" i="1"/>
  <c r="N1820" i="1"/>
  <c r="A1821" i="1"/>
  <c r="B1821" i="1"/>
  <c r="F1821" i="1"/>
  <c r="G1821" i="1"/>
  <c r="H1821" i="1"/>
  <c r="I1821" i="1"/>
  <c r="J1821" i="1"/>
  <c r="K1821" i="1"/>
  <c r="L1821" i="1"/>
  <c r="M1821" i="1"/>
  <c r="N1821" i="1"/>
  <c r="A1822" i="1"/>
  <c r="B1822" i="1"/>
  <c r="F1822" i="1"/>
  <c r="G1822" i="1"/>
  <c r="H1822" i="1"/>
  <c r="I1822" i="1"/>
  <c r="J1822" i="1"/>
  <c r="K1822" i="1"/>
  <c r="L1822" i="1"/>
  <c r="M1822" i="1"/>
  <c r="N1822" i="1"/>
  <c r="A1823" i="1"/>
  <c r="B1823" i="1"/>
  <c r="F1823" i="1"/>
  <c r="G1823" i="1"/>
  <c r="H1823" i="1"/>
  <c r="I1823" i="1"/>
  <c r="J1823" i="1"/>
  <c r="K1823" i="1"/>
  <c r="L1823" i="1"/>
  <c r="M1823" i="1"/>
  <c r="N1823" i="1"/>
  <c r="A1824" i="1"/>
  <c r="B1824" i="1"/>
  <c r="F1824" i="1"/>
  <c r="G1824" i="1"/>
  <c r="H1824" i="1"/>
  <c r="I1824" i="1"/>
  <c r="J1824" i="1"/>
  <c r="K1824" i="1"/>
  <c r="L1824" i="1"/>
  <c r="M1824" i="1"/>
  <c r="N1824" i="1"/>
  <c r="A1825" i="1"/>
  <c r="B1825" i="1"/>
  <c r="F1825" i="1"/>
  <c r="G1825" i="1"/>
  <c r="H1825" i="1"/>
  <c r="I1825" i="1"/>
  <c r="J1825" i="1"/>
  <c r="K1825" i="1"/>
  <c r="L1825" i="1"/>
  <c r="M1825" i="1"/>
  <c r="N1825" i="1"/>
  <c r="A1826" i="1"/>
  <c r="B1826" i="1"/>
  <c r="F1826" i="1"/>
  <c r="G1826" i="1"/>
  <c r="H1826" i="1"/>
  <c r="I1826" i="1"/>
  <c r="J1826" i="1"/>
  <c r="K1826" i="1"/>
  <c r="L1826" i="1"/>
  <c r="M1826" i="1"/>
  <c r="N1826" i="1"/>
  <c r="A1827" i="1"/>
  <c r="B1827" i="1"/>
  <c r="F1827" i="1"/>
  <c r="G1827" i="1"/>
  <c r="H1827" i="1"/>
  <c r="I1827" i="1"/>
  <c r="J1827" i="1"/>
  <c r="K1827" i="1"/>
  <c r="L1827" i="1"/>
  <c r="M1827" i="1"/>
  <c r="N1827" i="1"/>
  <c r="A1828" i="1"/>
  <c r="B1828" i="1"/>
  <c r="F1828" i="1"/>
  <c r="G1828" i="1"/>
  <c r="H1828" i="1"/>
  <c r="I1828" i="1"/>
  <c r="J1828" i="1"/>
  <c r="K1828" i="1"/>
  <c r="L1828" i="1"/>
  <c r="M1828" i="1"/>
  <c r="N1828" i="1"/>
  <c r="A1829" i="1"/>
  <c r="B1829" i="1"/>
  <c r="F1829" i="1"/>
  <c r="G1829" i="1"/>
  <c r="H1829" i="1"/>
  <c r="I1829" i="1"/>
  <c r="J1829" i="1"/>
  <c r="K1829" i="1"/>
  <c r="L1829" i="1"/>
  <c r="M1829" i="1"/>
  <c r="N1829" i="1"/>
  <c r="A1830" i="1"/>
  <c r="B1830" i="1"/>
  <c r="F1830" i="1"/>
  <c r="G1830" i="1"/>
  <c r="H1830" i="1"/>
  <c r="I1830" i="1"/>
  <c r="J1830" i="1"/>
  <c r="K1830" i="1"/>
  <c r="L1830" i="1"/>
  <c r="M1830" i="1"/>
  <c r="N1830" i="1"/>
  <c r="A1831" i="1"/>
  <c r="B1831" i="1"/>
  <c r="F1831" i="1"/>
  <c r="G1831" i="1"/>
  <c r="H1831" i="1"/>
  <c r="I1831" i="1"/>
  <c r="J1831" i="1"/>
  <c r="K1831" i="1"/>
  <c r="L1831" i="1"/>
  <c r="M1831" i="1"/>
  <c r="N1831" i="1"/>
  <c r="A1832" i="1"/>
  <c r="B1832" i="1"/>
  <c r="F1832" i="1"/>
  <c r="G1832" i="1"/>
  <c r="H1832" i="1"/>
  <c r="I1832" i="1"/>
  <c r="J1832" i="1"/>
  <c r="K1832" i="1"/>
  <c r="L1832" i="1"/>
  <c r="M1832" i="1"/>
  <c r="N1832" i="1"/>
  <c r="A1833" i="1"/>
  <c r="B1833" i="1"/>
  <c r="F1833" i="1"/>
  <c r="G1833" i="1"/>
  <c r="H1833" i="1"/>
  <c r="I1833" i="1"/>
  <c r="J1833" i="1"/>
  <c r="K1833" i="1"/>
  <c r="L1833" i="1"/>
  <c r="M1833" i="1"/>
  <c r="N1833" i="1"/>
  <c r="A1834" i="1"/>
  <c r="B1834" i="1"/>
  <c r="F1834" i="1"/>
  <c r="G1834" i="1"/>
  <c r="H1834" i="1"/>
  <c r="I1834" i="1"/>
  <c r="J1834" i="1"/>
  <c r="K1834" i="1"/>
  <c r="L1834" i="1"/>
  <c r="M1834" i="1"/>
  <c r="N1834" i="1"/>
  <c r="A1835" i="1"/>
  <c r="B1835" i="1"/>
  <c r="F1835" i="1"/>
  <c r="G1835" i="1"/>
  <c r="H1835" i="1"/>
  <c r="I1835" i="1"/>
  <c r="J1835" i="1"/>
  <c r="K1835" i="1"/>
  <c r="L1835" i="1"/>
  <c r="M1835" i="1"/>
  <c r="N1835" i="1"/>
  <c r="A1836" i="1"/>
  <c r="B1836" i="1"/>
  <c r="F1836" i="1"/>
  <c r="G1836" i="1"/>
  <c r="H1836" i="1"/>
  <c r="I1836" i="1"/>
  <c r="J1836" i="1"/>
  <c r="K1836" i="1"/>
  <c r="L1836" i="1"/>
  <c r="M1836" i="1"/>
  <c r="N1836" i="1"/>
  <c r="A1837" i="1"/>
  <c r="B1837" i="1"/>
  <c r="F1837" i="1"/>
  <c r="G1837" i="1"/>
  <c r="H1837" i="1"/>
  <c r="I1837" i="1"/>
  <c r="J1837" i="1"/>
  <c r="K1837" i="1"/>
  <c r="L1837" i="1"/>
  <c r="M1837" i="1"/>
  <c r="N1837" i="1"/>
  <c r="A1838" i="1"/>
  <c r="B1838" i="1"/>
  <c r="F1838" i="1"/>
  <c r="G1838" i="1"/>
  <c r="H1838" i="1"/>
  <c r="I1838" i="1"/>
  <c r="J1838" i="1"/>
  <c r="K1838" i="1"/>
  <c r="L1838" i="1"/>
  <c r="M1838" i="1"/>
  <c r="N1838" i="1"/>
  <c r="A1839" i="1"/>
  <c r="B1839" i="1"/>
  <c r="F1839" i="1"/>
  <c r="G1839" i="1"/>
  <c r="H1839" i="1"/>
  <c r="I1839" i="1"/>
  <c r="J1839" i="1"/>
  <c r="K1839" i="1"/>
  <c r="L1839" i="1"/>
  <c r="M1839" i="1"/>
  <c r="N1839" i="1"/>
  <c r="A1840" i="1"/>
  <c r="B1840" i="1"/>
  <c r="F1840" i="1"/>
  <c r="G1840" i="1"/>
  <c r="H1840" i="1"/>
  <c r="I1840" i="1"/>
  <c r="J1840" i="1"/>
  <c r="K1840" i="1"/>
  <c r="L1840" i="1"/>
  <c r="M1840" i="1"/>
  <c r="N1840" i="1"/>
  <c r="A1841" i="1"/>
  <c r="B1841" i="1"/>
  <c r="F1841" i="1"/>
  <c r="G1841" i="1"/>
  <c r="H1841" i="1"/>
  <c r="I1841" i="1"/>
  <c r="J1841" i="1"/>
  <c r="K1841" i="1"/>
  <c r="L1841" i="1"/>
  <c r="M1841" i="1"/>
  <c r="N1841" i="1"/>
  <c r="A1842" i="1"/>
  <c r="B1842" i="1"/>
  <c r="F1842" i="1"/>
  <c r="G1842" i="1"/>
  <c r="H1842" i="1"/>
  <c r="I1842" i="1"/>
  <c r="J1842" i="1"/>
  <c r="K1842" i="1"/>
  <c r="L1842" i="1"/>
  <c r="M1842" i="1"/>
  <c r="N1842" i="1"/>
  <c r="A1843" i="1"/>
  <c r="B1843" i="1"/>
  <c r="F1843" i="1"/>
  <c r="G1843" i="1"/>
  <c r="H1843" i="1"/>
  <c r="I1843" i="1"/>
  <c r="J1843" i="1"/>
  <c r="K1843" i="1"/>
  <c r="L1843" i="1"/>
  <c r="M1843" i="1"/>
  <c r="N1843" i="1"/>
  <c r="A1844" i="1"/>
  <c r="B1844" i="1"/>
  <c r="F1844" i="1"/>
  <c r="G1844" i="1"/>
  <c r="H1844" i="1"/>
  <c r="I1844" i="1"/>
  <c r="J1844" i="1"/>
  <c r="K1844" i="1"/>
  <c r="L1844" i="1"/>
  <c r="M1844" i="1"/>
  <c r="N1844" i="1"/>
  <c r="A1845" i="1"/>
  <c r="B1845" i="1"/>
  <c r="F1845" i="1"/>
  <c r="G1845" i="1"/>
  <c r="H1845" i="1"/>
  <c r="I1845" i="1"/>
  <c r="J1845" i="1"/>
  <c r="K1845" i="1"/>
  <c r="L1845" i="1"/>
  <c r="M1845" i="1"/>
  <c r="N1845" i="1"/>
  <c r="A1846" i="1"/>
  <c r="B1846" i="1"/>
  <c r="F1846" i="1"/>
  <c r="G1846" i="1"/>
  <c r="H1846" i="1"/>
  <c r="I1846" i="1"/>
  <c r="J1846" i="1"/>
  <c r="K1846" i="1"/>
  <c r="L1846" i="1"/>
  <c r="M1846" i="1"/>
  <c r="N1846" i="1"/>
  <c r="A1847" i="1"/>
  <c r="B1847" i="1"/>
  <c r="F1847" i="1"/>
  <c r="G1847" i="1"/>
  <c r="H1847" i="1"/>
  <c r="I1847" i="1"/>
  <c r="J1847" i="1"/>
  <c r="K1847" i="1"/>
  <c r="L1847" i="1"/>
  <c r="M1847" i="1"/>
  <c r="N1847" i="1"/>
  <c r="A1848" i="1"/>
  <c r="B1848" i="1"/>
  <c r="F1848" i="1"/>
  <c r="G1848" i="1"/>
  <c r="H1848" i="1"/>
  <c r="I1848" i="1"/>
  <c r="J1848" i="1"/>
  <c r="K1848" i="1"/>
  <c r="L1848" i="1"/>
  <c r="M1848" i="1"/>
  <c r="N1848" i="1"/>
  <c r="A1849" i="1"/>
  <c r="B1849" i="1"/>
  <c r="F1849" i="1"/>
  <c r="G1849" i="1"/>
  <c r="H1849" i="1"/>
  <c r="I1849" i="1"/>
  <c r="J1849" i="1"/>
  <c r="K1849" i="1"/>
  <c r="L1849" i="1"/>
  <c r="M1849" i="1"/>
  <c r="N1849" i="1"/>
  <c r="A1850" i="1"/>
  <c r="B1850" i="1"/>
  <c r="F1850" i="1"/>
  <c r="G1850" i="1"/>
  <c r="H1850" i="1"/>
  <c r="I1850" i="1"/>
  <c r="J1850" i="1"/>
  <c r="K1850" i="1"/>
  <c r="L1850" i="1"/>
  <c r="M1850" i="1"/>
  <c r="N1850" i="1"/>
  <c r="A1851" i="1"/>
  <c r="B1851" i="1"/>
  <c r="F1851" i="1"/>
  <c r="G1851" i="1"/>
  <c r="H1851" i="1"/>
  <c r="I1851" i="1"/>
  <c r="J1851" i="1"/>
  <c r="K1851" i="1"/>
  <c r="L1851" i="1"/>
  <c r="M1851" i="1"/>
  <c r="N1851" i="1"/>
  <c r="A1852" i="1"/>
  <c r="B1852" i="1"/>
  <c r="F1852" i="1"/>
  <c r="G1852" i="1"/>
  <c r="H1852" i="1"/>
  <c r="I1852" i="1"/>
  <c r="J1852" i="1"/>
  <c r="K1852" i="1"/>
  <c r="L1852" i="1"/>
  <c r="M1852" i="1"/>
  <c r="N1852" i="1"/>
  <c r="A1853" i="1"/>
  <c r="B1853" i="1"/>
  <c r="F1853" i="1"/>
  <c r="G1853" i="1"/>
  <c r="H1853" i="1"/>
  <c r="I1853" i="1"/>
  <c r="J1853" i="1"/>
  <c r="K1853" i="1"/>
  <c r="L1853" i="1"/>
  <c r="M1853" i="1"/>
  <c r="N1853" i="1"/>
  <c r="A1854" i="1"/>
  <c r="B1854" i="1"/>
  <c r="F1854" i="1"/>
  <c r="G1854" i="1"/>
  <c r="H1854" i="1"/>
  <c r="I1854" i="1"/>
  <c r="J1854" i="1"/>
  <c r="K1854" i="1"/>
  <c r="L1854" i="1"/>
  <c r="M1854" i="1"/>
  <c r="N1854" i="1"/>
  <c r="A1855" i="1"/>
  <c r="B1855" i="1"/>
  <c r="F1855" i="1"/>
  <c r="G1855" i="1"/>
  <c r="H1855" i="1"/>
  <c r="I1855" i="1"/>
  <c r="J1855" i="1"/>
  <c r="K1855" i="1"/>
  <c r="L1855" i="1"/>
  <c r="M1855" i="1"/>
  <c r="N1855" i="1"/>
  <c r="A1856" i="1"/>
  <c r="B1856" i="1"/>
  <c r="F1856" i="1"/>
  <c r="G1856" i="1"/>
  <c r="H1856" i="1"/>
  <c r="I1856" i="1"/>
  <c r="J1856" i="1"/>
  <c r="K1856" i="1"/>
  <c r="L1856" i="1"/>
  <c r="M1856" i="1"/>
  <c r="N1856" i="1"/>
  <c r="A1857" i="1"/>
  <c r="B1857" i="1"/>
  <c r="F1857" i="1"/>
  <c r="G1857" i="1"/>
  <c r="H1857" i="1"/>
  <c r="I1857" i="1"/>
  <c r="J1857" i="1"/>
  <c r="K1857" i="1"/>
  <c r="L1857" i="1"/>
  <c r="M1857" i="1"/>
  <c r="N1857" i="1"/>
  <c r="A1858" i="1"/>
  <c r="B1858" i="1"/>
  <c r="F1858" i="1"/>
  <c r="G1858" i="1"/>
  <c r="H1858" i="1"/>
  <c r="I1858" i="1"/>
  <c r="J1858" i="1"/>
  <c r="K1858" i="1"/>
  <c r="L1858" i="1"/>
  <c r="M1858" i="1"/>
  <c r="N1858" i="1"/>
  <c r="A1859" i="1"/>
  <c r="B1859" i="1"/>
  <c r="F1859" i="1"/>
  <c r="G1859" i="1"/>
  <c r="H1859" i="1"/>
  <c r="I1859" i="1"/>
  <c r="J1859" i="1"/>
  <c r="K1859" i="1"/>
  <c r="L1859" i="1"/>
  <c r="M1859" i="1"/>
  <c r="N1859" i="1"/>
  <c r="A1860" i="1"/>
  <c r="B1860" i="1"/>
  <c r="F1860" i="1"/>
  <c r="G1860" i="1"/>
  <c r="H1860" i="1"/>
  <c r="I1860" i="1"/>
  <c r="J1860" i="1"/>
  <c r="K1860" i="1"/>
  <c r="L1860" i="1"/>
  <c r="M1860" i="1"/>
  <c r="N1860" i="1"/>
  <c r="A1861" i="1"/>
  <c r="B1861" i="1"/>
  <c r="F1861" i="1"/>
  <c r="G1861" i="1"/>
  <c r="H1861" i="1"/>
  <c r="I1861" i="1"/>
  <c r="J1861" i="1"/>
  <c r="K1861" i="1"/>
  <c r="L1861" i="1"/>
  <c r="M1861" i="1"/>
  <c r="N1861" i="1"/>
  <c r="A1862" i="1"/>
  <c r="B1862" i="1"/>
  <c r="F1862" i="1"/>
  <c r="G1862" i="1"/>
  <c r="H1862" i="1"/>
  <c r="I1862" i="1"/>
  <c r="J1862" i="1"/>
  <c r="K1862" i="1"/>
  <c r="L1862" i="1"/>
  <c r="M1862" i="1"/>
  <c r="N1862" i="1"/>
  <c r="A1863" i="1"/>
  <c r="B1863" i="1"/>
  <c r="F1863" i="1"/>
  <c r="G1863" i="1"/>
  <c r="H1863" i="1"/>
  <c r="I1863" i="1"/>
  <c r="J1863" i="1"/>
  <c r="K1863" i="1"/>
  <c r="L1863" i="1"/>
  <c r="M1863" i="1"/>
  <c r="N1863" i="1"/>
  <c r="A1864" i="1"/>
  <c r="B1864" i="1"/>
  <c r="F1864" i="1"/>
  <c r="G1864" i="1"/>
  <c r="H1864" i="1"/>
  <c r="I1864" i="1"/>
  <c r="J1864" i="1"/>
  <c r="K1864" i="1"/>
  <c r="L1864" i="1"/>
  <c r="M1864" i="1"/>
  <c r="N1864" i="1"/>
  <c r="A1865" i="1"/>
  <c r="B1865" i="1"/>
  <c r="F1865" i="1"/>
  <c r="G1865" i="1"/>
  <c r="H1865" i="1"/>
  <c r="I1865" i="1"/>
  <c r="J1865" i="1"/>
  <c r="K1865" i="1"/>
  <c r="L1865" i="1"/>
  <c r="M1865" i="1"/>
  <c r="N1865" i="1"/>
  <c r="A1866" i="1"/>
  <c r="B1866" i="1"/>
  <c r="F1866" i="1"/>
  <c r="G1866" i="1"/>
  <c r="H1866" i="1"/>
  <c r="I1866" i="1"/>
  <c r="J1866" i="1"/>
  <c r="K1866" i="1"/>
  <c r="L1866" i="1"/>
  <c r="M1866" i="1"/>
  <c r="N1866" i="1"/>
  <c r="A1867" i="1"/>
  <c r="B1867" i="1"/>
  <c r="F1867" i="1"/>
  <c r="G1867" i="1"/>
  <c r="H1867" i="1"/>
  <c r="I1867" i="1"/>
  <c r="J1867" i="1"/>
  <c r="K1867" i="1"/>
  <c r="L1867" i="1"/>
  <c r="M1867" i="1"/>
  <c r="N1867" i="1"/>
  <c r="A1868" i="1"/>
  <c r="B1868" i="1"/>
  <c r="F1868" i="1"/>
  <c r="G1868" i="1"/>
  <c r="H1868" i="1"/>
  <c r="I1868" i="1"/>
  <c r="J1868" i="1"/>
  <c r="K1868" i="1"/>
  <c r="L1868" i="1"/>
  <c r="M1868" i="1"/>
  <c r="N1868" i="1"/>
  <c r="A1869" i="1"/>
  <c r="B1869" i="1"/>
  <c r="F1869" i="1"/>
  <c r="G1869" i="1"/>
  <c r="H1869" i="1"/>
  <c r="I1869" i="1"/>
  <c r="J1869" i="1"/>
  <c r="K1869" i="1"/>
  <c r="L1869" i="1"/>
  <c r="M1869" i="1"/>
  <c r="N1869" i="1"/>
  <c r="A1870" i="1"/>
  <c r="B1870" i="1"/>
  <c r="F1870" i="1"/>
  <c r="G1870" i="1"/>
  <c r="H1870" i="1"/>
  <c r="I1870" i="1"/>
  <c r="J1870" i="1"/>
  <c r="K1870" i="1"/>
  <c r="L1870" i="1"/>
  <c r="M1870" i="1"/>
  <c r="N1870" i="1"/>
  <c r="A1871" i="1"/>
  <c r="B1871" i="1"/>
  <c r="F1871" i="1"/>
  <c r="G1871" i="1"/>
  <c r="H1871" i="1"/>
  <c r="I1871" i="1"/>
  <c r="J1871" i="1"/>
  <c r="K1871" i="1"/>
  <c r="L1871" i="1"/>
  <c r="M1871" i="1"/>
  <c r="N1871" i="1"/>
  <c r="A1872" i="1"/>
  <c r="B1872" i="1"/>
  <c r="F1872" i="1"/>
  <c r="G1872" i="1"/>
  <c r="H1872" i="1"/>
  <c r="I1872" i="1"/>
  <c r="J1872" i="1"/>
  <c r="K1872" i="1"/>
  <c r="L1872" i="1"/>
  <c r="M1872" i="1"/>
  <c r="N1872" i="1"/>
  <c r="A1873" i="1"/>
  <c r="B1873" i="1"/>
  <c r="F1873" i="1"/>
  <c r="G1873" i="1"/>
  <c r="H1873" i="1"/>
  <c r="I1873" i="1"/>
  <c r="J1873" i="1"/>
  <c r="K1873" i="1"/>
  <c r="L1873" i="1"/>
  <c r="M1873" i="1"/>
  <c r="N1873" i="1"/>
  <c r="A1874" i="1"/>
  <c r="B1874" i="1"/>
  <c r="F1874" i="1"/>
  <c r="G1874" i="1"/>
  <c r="H1874" i="1"/>
  <c r="I1874" i="1"/>
  <c r="J1874" i="1"/>
  <c r="K1874" i="1"/>
  <c r="L1874" i="1"/>
  <c r="M1874" i="1"/>
  <c r="N1874" i="1"/>
  <c r="A1875" i="1"/>
  <c r="B1875" i="1"/>
  <c r="F1875" i="1"/>
  <c r="G1875" i="1"/>
  <c r="H1875" i="1"/>
  <c r="I1875" i="1"/>
  <c r="J1875" i="1"/>
  <c r="K1875" i="1"/>
  <c r="L1875" i="1"/>
  <c r="M1875" i="1"/>
  <c r="N1875" i="1"/>
  <c r="A1876" i="1"/>
  <c r="B1876" i="1"/>
  <c r="F1876" i="1"/>
  <c r="G1876" i="1"/>
  <c r="H1876" i="1"/>
  <c r="I1876" i="1"/>
  <c r="J1876" i="1"/>
  <c r="K1876" i="1"/>
  <c r="L1876" i="1"/>
  <c r="M1876" i="1"/>
  <c r="N1876" i="1"/>
  <c r="A1877" i="1"/>
  <c r="B1877" i="1"/>
  <c r="F1877" i="1"/>
  <c r="G1877" i="1"/>
  <c r="H1877" i="1"/>
  <c r="I1877" i="1"/>
  <c r="J1877" i="1"/>
  <c r="K1877" i="1"/>
  <c r="L1877" i="1"/>
  <c r="M1877" i="1"/>
  <c r="N1877" i="1"/>
  <c r="A1878" i="1"/>
  <c r="B1878" i="1"/>
  <c r="F1878" i="1"/>
  <c r="G1878" i="1"/>
  <c r="H1878" i="1"/>
  <c r="I1878" i="1"/>
  <c r="J1878" i="1"/>
  <c r="K1878" i="1"/>
  <c r="L1878" i="1"/>
  <c r="M1878" i="1"/>
  <c r="N1878" i="1"/>
  <c r="A1879" i="1"/>
  <c r="B1879" i="1"/>
  <c r="F1879" i="1"/>
  <c r="G1879" i="1"/>
  <c r="H1879" i="1"/>
  <c r="I1879" i="1"/>
  <c r="J1879" i="1"/>
  <c r="K1879" i="1"/>
  <c r="L1879" i="1"/>
  <c r="M1879" i="1"/>
  <c r="N1879" i="1"/>
  <c r="A1880" i="1"/>
  <c r="B1880" i="1"/>
  <c r="F1880" i="1"/>
  <c r="G1880" i="1"/>
  <c r="H1880" i="1"/>
  <c r="I1880" i="1"/>
  <c r="J1880" i="1"/>
  <c r="K1880" i="1"/>
  <c r="L1880" i="1"/>
  <c r="M1880" i="1"/>
  <c r="N1880" i="1"/>
  <c r="A1881" i="1"/>
  <c r="B1881" i="1"/>
  <c r="F1881" i="1"/>
  <c r="G1881" i="1"/>
  <c r="H1881" i="1"/>
  <c r="I1881" i="1"/>
  <c r="J1881" i="1"/>
  <c r="K1881" i="1"/>
  <c r="L1881" i="1"/>
  <c r="M1881" i="1"/>
  <c r="N1881" i="1"/>
  <c r="A1882" i="1"/>
  <c r="B1882" i="1"/>
  <c r="F1882" i="1"/>
  <c r="G1882" i="1"/>
  <c r="H1882" i="1"/>
  <c r="I1882" i="1"/>
  <c r="J1882" i="1"/>
  <c r="K1882" i="1"/>
  <c r="L1882" i="1"/>
  <c r="M1882" i="1"/>
  <c r="N1882" i="1"/>
  <c r="A1883" i="1"/>
  <c r="B1883" i="1"/>
  <c r="F1883" i="1"/>
  <c r="G1883" i="1"/>
  <c r="H1883" i="1"/>
  <c r="I1883" i="1"/>
  <c r="J1883" i="1"/>
  <c r="K1883" i="1"/>
  <c r="L1883" i="1"/>
  <c r="M1883" i="1"/>
  <c r="N1883" i="1"/>
  <c r="A1884" i="1"/>
  <c r="B1884" i="1"/>
  <c r="F1884" i="1"/>
  <c r="G1884" i="1"/>
  <c r="H1884" i="1"/>
  <c r="I1884" i="1"/>
  <c r="J1884" i="1"/>
  <c r="K1884" i="1"/>
  <c r="L1884" i="1"/>
  <c r="M1884" i="1"/>
  <c r="N1884" i="1"/>
  <c r="A1885" i="1"/>
  <c r="B1885" i="1"/>
  <c r="F1885" i="1"/>
  <c r="G1885" i="1"/>
  <c r="H1885" i="1"/>
  <c r="I1885" i="1"/>
  <c r="J1885" i="1"/>
  <c r="K1885" i="1"/>
  <c r="L1885" i="1"/>
  <c r="M1885" i="1"/>
  <c r="N1885" i="1"/>
  <c r="A1886" i="1"/>
  <c r="B1886" i="1"/>
  <c r="F1886" i="1"/>
  <c r="G1886" i="1"/>
  <c r="H1886" i="1"/>
  <c r="I1886" i="1"/>
  <c r="J1886" i="1"/>
  <c r="K1886" i="1"/>
  <c r="L1886" i="1"/>
  <c r="M1886" i="1"/>
  <c r="N1886" i="1"/>
  <c r="A1887" i="1"/>
  <c r="B1887" i="1"/>
  <c r="F1887" i="1"/>
  <c r="G1887" i="1"/>
  <c r="H1887" i="1"/>
  <c r="I1887" i="1"/>
  <c r="J1887" i="1"/>
  <c r="K1887" i="1"/>
  <c r="L1887" i="1"/>
  <c r="M1887" i="1"/>
  <c r="N1887" i="1"/>
  <c r="A1888" i="1"/>
  <c r="B1888" i="1"/>
  <c r="F1888" i="1"/>
  <c r="G1888" i="1"/>
  <c r="H1888" i="1"/>
  <c r="I1888" i="1"/>
  <c r="J1888" i="1"/>
  <c r="K1888" i="1"/>
  <c r="L1888" i="1"/>
  <c r="M1888" i="1"/>
  <c r="N1888" i="1"/>
  <c r="A1889" i="1"/>
  <c r="B1889" i="1"/>
  <c r="F1889" i="1"/>
  <c r="G1889" i="1"/>
  <c r="H1889" i="1"/>
  <c r="I1889" i="1"/>
  <c r="J1889" i="1"/>
  <c r="K1889" i="1"/>
  <c r="L1889" i="1"/>
  <c r="M1889" i="1"/>
  <c r="N1889" i="1"/>
  <c r="A1890" i="1"/>
  <c r="B1890" i="1"/>
  <c r="F1890" i="1"/>
  <c r="G1890" i="1"/>
  <c r="H1890" i="1"/>
  <c r="I1890" i="1"/>
  <c r="J1890" i="1"/>
  <c r="K1890" i="1"/>
  <c r="L1890" i="1"/>
  <c r="M1890" i="1"/>
  <c r="N1890" i="1"/>
  <c r="A1891" i="1"/>
  <c r="B1891" i="1"/>
  <c r="F1891" i="1"/>
  <c r="G1891" i="1"/>
  <c r="H1891" i="1"/>
  <c r="I1891" i="1"/>
  <c r="J1891" i="1"/>
  <c r="K1891" i="1"/>
  <c r="L1891" i="1"/>
  <c r="M1891" i="1"/>
  <c r="N1891" i="1"/>
  <c r="A1892" i="1"/>
  <c r="B1892" i="1"/>
  <c r="F1892" i="1"/>
  <c r="G1892" i="1"/>
  <c r="H1892" i="1"/>
  <c r="I1892" i="1"/>
  <c r="J1892" i="1"/>
  <c r="K1892" i="1"/>
  <c r="L1892" i="1"/>
  <c r="M1892" i="1"/>
  <c r="N1892" i="1"/>
  <c r="A1893" i="1"/>
  <c r="B1893" i="1"/>
  <c r="F1893" i="1"/>
  <c r="G1893" i="1"/>
  <c r="H1893" i="1"/>
  <c r="I1893" i="1"/>
  <c r="J1893" i="1"/>
  <c r="K1893" i="1"/>
  <c r="L1893" i="1"/>
  <c r="M1893" i="1"/>
  <c r="N1893" i="1"/>
  <c r="A1894" i="1"/>
  <c r="B1894" i="1"/>
  <c r="F1894" i="1"/>
  <c r="G1894" i="1"/>
  <c r="H1894" i="1"/>
  <c r="I1894" i="1"/>
  <c r="J1894" i="1"/>
  <c r="K1894" i="1"/>
  <c r="L1894" i="1"/>
  <c r="M1894" i="1"/>
  <c r="N1894" i="1"/>
  <c r="A1895" i="1"/>
  <c r="B1895" i="1"/>
  <c r="F1895" i="1"/>
  <c r="G1895" i="1"/>
  <c r="H1895" i="1"/>
  <c r="I1895" i="1"/>
  <c r="J1895" i="1"/>
  <c r="K1895" i="1"/>
  <c r="L1895" i="1"/>
  <c r="M1895" i="1"/>
  <c r="N1895" i="1"/>
  <c r="A1896" i="1"/>
  <c r="B1896" i="1"/>
  <c r="F1896" i="1"/>
  <c r="G1896" i="1"/>
  <c r="H1896" i="1"/>
  <c r="I1896" i="1"/>
  <c r="J1896" i="1"/>
  <c r="K1896" i="1"/>
  <c r="L1896" i="1"/>
  <c r="M1896" i="1"/>
  <c r="N1896" i="1"/>
  <c r="A1897" i="1"/>
  <c r="B1897" i="1"/>
  <c r="F1897" i="1"/>
  <c r="G1897" i="1"/>
  <c r="H1897" i="1"/>
  <c r="I1897" i="1"/>
  <c r="J1897" i="1"/>
  <c r="K1897" i="1"/>
  <c r="L1897" i="1"/>
  <c r="M1897" i="1"/>
  <c r="N1897" i="1"/>
  <c r="A1898" i="1"/>
  <c r="B1898" i="1"/>
  <c r="F1898" i="1"/>
  <c r="G1898" i="1"/>
  <c r="H1898" i="1"/>
  <c r="I1898" i="1"/>
  <c r="J1898" i="1"/>
  <c r="K1898" i="1"/>
  <c r="L1898" i="1"/>
  <c r="M1898" i="1"/>
  <c r="N1898" i="1"/>
  <c r="A1899" i="1"/>
  <c r="B1899" i="1"/>
  <c r="F1899" i="1"/>
  <c r="G1899" i="1"/>
  <c r="H1899" i="1"/>
  <c r="I1899" i="1"/>
  <c r="J1899" i="1"/>
  <c r="K1899" i="1"/>
  <c r="L1899" i="1"/>
  <c r="M1899" i="1"/>
  <c r="N1899" i="1"/>
  <c r="A1900" i="1"/>
  <c r="B1900" i="1"/>
  <c r="F1900" i="1"/>
  <c r="G1900" i="1"/>
  <c r="H1900" i="1"/>
  <c r="I1900" i="1"/>
  <c r="J1900" i="1"/>
  <c r="K1900" i="1"/>
  <c r="L1900" i="1"/>
  <c r="M1900" i="1"/>
  <c r="N1900" i="1"/>
  <c r="A1901" i="1"/>
  <c r="B1901" i="1"/>
  <c r="F1901" i="1"/>
  <c r="G1901" i="1"/>
  <c r="H1901" i="1"/>
  <c r="I1901" i="1"/>
  <c r="J1901" i="1"/>
  <c r="K1901" i="1"/>
  <c r="L1901" i="1"/>
  <c r="M1901" i="1"/>
  <c r="N1901" i="1"/>
  <c r="A1902" i="1"/>
  <c r="B1902" i="1"/>
  <c r="F1902" i="1"/>
  <c r="G1902" i="1"/>
  <c r="H1902" i="1"/>
  <c r="I1902" i="1"/>
  <c r="J1902" i="1"/>
  <c r="K1902" i="1"/>
  <c r="L1902" i="1"/>
  <c r="M1902" i="1"/>
  <c r="N1902" i="1"/>
  <c r="A1903" i="1"/>
  <c r="B1903" i="1"/>
  <c r="F1903" i="1"/>
  <c r="G1903" i="1"/>
  <c r="H1903" i="1"/>
  <c r="I1903" i="1"/>
  <c r="J1903" i="1"/>
  <c r="K1903" i="1"/>
  <c r="L1903" i="1"/>
  <c r="M1903" i="1"/>
  <c r="N1903" i="1"/>
  <c r="A1904" i="1"/>
  <c r="B1904" i="1"/>
  <c r="F1904" i="1"/>
  <c r="G1904" i="1"/>
  <c r="H1904" i="1"/>
  <c r="I1904" i="1"/>
  <c r="J1904" i="1"/>
  <c r="K1904" i="1"/>
  <c r="L1904" i="1"/>
  <c r="M1904" i="1"/>
  <c r="N1904" i="1"/>
  <c r="A1905" i="1"/>
  <c r="B1905" i="1"/>
  <c r="F1905" i="1"/>
  <c r="G1905" i="1"/>
  <c r="H1905" i="1"/>
  <c r="I1905" i="1"/>
  <c r="J1905" i="1"/>
  <c r="K1905" i="1"/>
  <c r="L1905" i="1"/>
  <c r="M1905" i="1"/>
  <c r="N1905" i="1"/>
  <c r="A1906" i="1"/>
  <c r="B1906" i="1"/>
  <c r="F1906" i="1"/>
  <c r="G1906" i="1"/>
  <c r="H1906" i="1"/>
  <c r="I1906" i="1"/>
  <c r="J1906" i="1"/>
  <c r="K1906" i="1"/>
  <c r="L1906" i="1"/>
  <c r="M1906" i="1"/>
  <c r="N1906" i="1"/>
  <c r="A1907" i="1"/>
  <c r="B1907" i="1"/>
  <c r="F1907" i="1"/>
  <c r="G1907" i="1"/>
  <c r="H1907" i="1"/>
  <c r="I1907" i="1"/>
  <c r="J1907" i="1"/>
  <c r="K1907" i="1"/>
  <c r="L1907" i="1"/>
  <c r="M1907" i="1"/>
  <c r="N1907" i="1"/>
  <c r="A1908" i="1"/>
  <c r="B1908" i="1"/>
  <c r="F1908" i="1"/>
  <c r="G1908" i="1"/>
  <c r="H1908" i="1"/>
  <c r="I1908" i="1"/>
  <c r="J1908" i="1"/>
  <c r="K1908" i="1"/>
  <c r="L1908" i="1"/>
  <c r="M1908" i="1"/>
  <c r="N1908" i="1"/>
  <c r="A1909" i="1"/>
  <c r="B1909" i="1"/>
  <c r="F1909" i="1"/>
  <c r="G1909" i="1"/>
  <c r="H1909" i="1"/>
  <c r="I1909" i="1"/>
  <c r="J1909" i="1"/>
  <c r="K1909" i="1"/>
  <c r="L1909" i="1"/>
  <c r="M1909" i="1"/>
  <c r="N1909" i="1"/>
  <c r="A1910" i="1"/>
  <c r="B1910" i="1"/>
  <c r="F1910" i="1"/>
  <c r="G1910" i="1"/>
  <c r="H1910" i="1"/>
  <c r="I1910" i="1"/>
  <c r="J1910" i="1"/>
  <c r="K1910" i="1"/>
  <c r="L1910" i="1"/>
  <c r="M1910" i="1"/>
  <c r="N1910" i="1"/>
  <c r="A1911" i="1"/>
  <c r="B1911" i="1"/>
  <c r="F1911" i="1"/>
  <c r="G1911" i="1"/>
  <c r="H1911" i="1"/>
  <c r="I1911" i="1"/>
  <c r="J1911" i="1"/>
  <c r="K1911" i="1"/>
  <c r="L1911" i="1"/>
  <c r="M1911" i="1"/>
  <c r="N1911" i="1"/>
  <c r="A1912" i="1"/>
  <c r="B1912" i="1"/>
  <c r="F1912" i="1"/>
  <c r="G1912" i="1"/>
  <c r="H1912" i="1"/>
  <c r="I1912" i="1"/>
  <c r="J1912" i="1"/>
  <c r="K1912" i="1"/>
  <c r="L1912" i="1"/>
  <c r="M1912" i="1"/>
  <c r="N1912" i="1"/>
  <c r="A1913" i="1"/>
  <c r="B1913" i="1"/>
  <c r="F1913" i="1"/>
  <c r="G1913" i="1"/>
  <c r="H1913" i="1"/>
  <c r="I1913" i="1"/>
  <c r="J1913" i="1"/>
  <c r="K1913" i="1"/>
  <c r="L1913" i="1"/>
  <c r="M1913" i="1"/>
  <c r="N1913" i="1"/>
  <c r="A1914" i="1"/>
  <c r="B1914" i="1"/>
  <c r="F1914" i="1"/>
  <c r="G1914" i="1"/>
  <c r="H1914" i="1"/>
  <c r="I1914" i="1"/>
  <c r="J1914" i="1"/>
  <c r="K1914" i="1"/>
  <c r="L1914" i="1"/>
  <c r="M1914" i="1"/>
  <c r="N1914" i="1"/>
  <c r="A1915" i="1"/>
  <c r="B1915" i="1"/>
  <c r="F1915" i="1"/>
  <c r="G1915" i="1"/>
  <c r="H1915" i="1"/>
  <c r="I1915" i="1"/>
  <c r="J1915" i="1"/>
  <c r="K1915" i="1"/>
  <c r="L1915" i="1"/>
  <c r="M1915" i="1"/>
  <c r="N1915" i="1"/>
  <c r="A1916" i="1"/>
  <c r="B1916" i="1"/>
  <c r="F1916" i="1"/>
  <c r="G1916" i="1"/>
  <c r="H1916" i="1"/>
  <c r="I1916" i="1"/>
  <c r="J1916" i="1"/>
  <c r="K1916" i="1"/>
  <c r="L1916" i="1"/>
  <c r="M1916" i="1"/>
  <c r="N1916" i="1"/>
  <c r="A1917" i="1"/>
  <c r="B1917" i="1"/>
  <c r="F1917" i="1"/>
  <c r="G1917" i="1"/>
  <c r="H1917" i="1"/>
  <c r="I1917" i="1"/>
  <c r="J1917" i="1"/>
  <c r="K1917" i="1"/>
  <c r="L1917" i="1"/>
  <c r="M1917" i="1"/>
  <c r="N1917" i="1"/>
  <c r="A1918" i="1"/>
  <c r="B1918" i="1"/>
  <c r="F1918" i="1"/>
  <c r="G1918" i="1"/>
  <c r="H1918" i="1"/>
  <c r="I1918" i="1"/>
  <c r="J1918" i="1"/>
  <c r="K1918" i="1"/>
  <c r="L1918" i="1"/>
  <c r="M1918" i="1"/>
  <c r="N1918" i="1"/>
  <c r="A1919" i="1"/>
  <c r="B1919" i="1"/>
  <c r="F1919" i="1"/>
  <c r="G1919" i="1"/>
  <c r="H1919" i="1"/>
  <c r="I1919" i="1"/>
  <c r="J1919" i="1"/>
  <c r="K1919" i="1"/>
  <c r="L1919" i="1"/>
  <c r="M1919" i="1"/>
  <c r="N1919" i="1"/>
  <c r="A1920" i="1"/>
  <c r="B1920" i="1"/>
  <c r="F1920" i="1"/>
  <c r="G1920" i="1"/>
  <c r="H1920" i="1"/>
  <c r="I1920" i="1"/>
  <c r="J1920" i="1"/>
  <c r="K1920" i="1"/>
  <c r="L1920" i="1"/>
  <c r="M1920" i="1"/>
  <c r="N1920" i="1"/>
  <c r="A1921" i="1"/>
  <c r="B1921" i="1"/>
  <c r="F1921" i="1"/>
  <c r="G1921" i="1"/>
  <c r="H1921" i="1"/>
  <c r="I1921" i="1"/>
  <c r="J1921" i="1"/>
  <c r="K1921" i="1"/>
  <c r="L1921" i="1"/>
  <c r="M1921" i="1"/>
  <c r="N1921" i="1"/>
  <c r="A1922" i="1"/>
  <c r="B1922" i="1"/>
  <c r="F1922" i="1"/>
  <c r="G1922" i="1"/>
  <c r="H1922" i="1"/>
  <c r="I1922" i="1"/>
  <c r="J1922" i="1"/>
  <c r="K1922" i="1"/>
  <c r="L1922" i="1"/>
  <c r="M1922" i="1"/>
  <c r="N1922" i="1"/>
  <c r="A1923" i="1"/>
  <c r="B1923" i="1"/>
  <c r="F1923" i="1"/>
  <c r="G1923" i="1"/>
  <c r="H1923" i="1"/>
  <c r="I1923" i="1"/>
  <c r="J1923" i="1"/>
  <c r="K1923" i="1"/>
  <c r="L1923" i="1"/>
  <c r="M1923" i="1"/>
  <c r="N1923" i="1"/>
  <c r="A1924" i="1"/>
  <c r="B1924" i="1"/>
  <c r="F1924" i="1"/>
  <c r="G1924" i="1"/>
  <c r="H1924" i="1"/>
  <c r="I1924" i="1"/>
  <c r="J1924" i="1"/>
  <c r="K1924" i="1"/>
  <c r="L1924" i="1"/>
  <c r="M1924" i="1"/>
  <c r="N1924" i="1"/>
  <c r="A1925" i="1"/>
  <c r="B1925" i="1"/>
  <c r="F1925" i="1"/>
  <c r="G1925" i="1"/>
  <c r="H1925" i="1"/>
  <c r="I1925" i="1"/>
  <c r="J1925" i="1"/>
  <c r="K1925" i="1"/>
  <c r="L1925" i="1"/>
  <c r="M1925" i="1"/>
  <c r="N1925" i="1"/>
  <c r="A1926" i="1"/>
  <c r="B1926" i="1"/>
  <c r="F1926" i="1"/>
  <c r="G1926" i="1"/>
  <c r="H1926" i="1"/>
  <c r="I1926" i="1"/>
  <c r="J1926" i="1"/>
  <c r="K1926" i="1"/>
  <c r="L1926" i="1"/>
  <c r="M1926" i="1"/>
  <c r="N1926" i="1"/>
  <c r="A1927" i="1"/>
  <c r="B1927" i="1"/>
  <c r="F1927" i="1"/>
  <c r="G1927" i="1"/>
  <c r="H1927" i="1"/>
  <c r="I1927" i="1"/>
  <c r="J1927" i="1"/>
  <c r="K1927" i="1"/>
  <c r="L1927" i="1"/>
  <c r="M1927" i="1"/>
  <c r="N1927" i="1"/>
  <c r="A1928" i="1"/>
  <c r="B1928" i="1"/>
  <c r="F1928" i="1"/>
  <c r="G1928" i="1"/>
  <c r="H1928" i="1"/>
  <c r="I1928" i="1"/>
  <c r="J1928" i="1"/>
  <c r="K1928" i="1"/>
  <c r="L1928" i="1"/>
  <c r="M1928" i="1"/>
  <c r="N1928" i="1"/>
  <c r="A1929" i="1"/>
  <c r="B1929" i="1"/>
  <c r="F1929" i="1"/>
  <c r="G1929" i="1"/>
  <c r="H1929" i="1"/>
  <c r="I1929" i="1"/>
  <c r="J1929" i="1"/>
  <c r="K1929" i="1"/>
  <c r="L1929" i="1"/>
  <c r="M1929" i="1"/>
  <c r="N1929" i="1"/>
  <c r="A1930" i="1"/>
  <c r="B1930" i="1"/>
  <c r="F1930" i="1"/>
  <c r="G1930" i="1"/>
  <c r="H1930" i="1"/>
  <c r="I1930" i="1"/>
  <c r="J1930" i="1"/>
  <c r="K1930" i="1"/>
  <c r="L1930" i="1"/>
  <c r="M1930" i="1"/>
  <c r="N1930" i="1"/>
  <c r="A1931" i="1"/>
  <c r="B1931" i="1"/>
  <c r="F1931" i="1"/>
  <c r="G1931" i="1"/>
  <c r="H1931" i="1"/>
  <c r="I1931" i="1"/>
  <c r="J1931" i="1"/>
  <c r="K1931" i="1"/>
  <c r="L1931" i="1"/>
  <c r="M1931" i="1"/>
  <c r="N1931" i="1"/>
  <c r="A1932" i="1"/>
  <c r="B1932" i="1"/>
  <c r="F1932" i="1"/>
  <c r="G1932" i="1"/>
  <c r="H1932" i="1"/>
  <c r="I1932" i="1"/>
  <c r="J1932" i="1"/>
  <c r="K1932" i="1"/>
  <c r="L1932" i="1"/>
  <c r="M1932" i="1"/>
  <c r="N1932" i="1"/>
  <c r="A1933" i="1"/>
  <c r="B1933" i="1"/>
  <c r="F1933" i="1"/>
  <c r="G1933" i="1"/>
  <c r="H1933" i="1"/>
  <c r="I1933" i="1"/>
  <c r="J1933" i="1"/>
  <c r="K1933" i="1"/>
  <c r="L1933" i="1"/>
  <c r="M1933" i="1"/>
  <c r="N1933" i="1"/>
  <c r="A1934" i="1"/>
  <c r="B1934" i="1"/>
  <c r="F1934" i="1"/>
  <c r="G1934" i="1"/>
  <c r="H1934" i="1"/>
  <c r="I1934" i="1"/>
  <c r="J1934" i="1"/>
  <c r="K1934" i="1"/>
  <c r="L1934" i="1"/>
  <c r="M1934" i="1"/>
  <c r="N1934" i="1"/>
  <c r="A1935" i="1"/>
  <c r="B1935" i="1"/>
  <c r="F1935" i="1"/>
  <c r="G1935" i="1"/>
  <c r="H1935" i="1"/>
  <c r="I1935" i="1"/>
  <c r="J1935" i="1"/>
  <c r="K1935" i="1"/>
  <c r="L1935" i="1"/>
  <c r="M1935" i="1"/>
  <c r="N1935" i="1"/>
  <c r="A1936" i="1"/>
  <c r="B1936" i="1"/>
  <c r="F1936" i="1"/>
  <c r="G1936" i="1"/>
  <c r="H1936" i="1"/>
  <c r="I1936" i="1"/>
  <c r="J1936" i="1"/>
  <c r="K1936" i="1"/>
  <c r="L1936" i="1"/>
  <c r="M1936" i="1"/>
  <c r="N1936" i="1"/>
  <c r="A1937" i="1"/>
  <c r="B1937" i="1"/>
  <c r="F1937" i="1"/>
  <c r="G1937" i="1"/>
  <c r="H1937" i="1"/>
  <c r="I1937" i="1"/>
  <c r="J1937" i="1"/>
  <c r="K1937" i="1"/>
  <c r="L1937" i="1"/>
  <c r="M1937" i="1"/>
  <c r="N1937" i="1"/>
  <c r="A1938" i="1"/>
  <c r="B1938" i="1"/>
  <c r="F1938" i="1"/>
  <c r="G1938" i="1"/>
  <c r="H1938" i="1"/>
  <c r="I1938" i="1"/>
  <c r="J1938" i="1"/>
  <c r="K1938" i="1"/>
  <c r="L1938" i="1"/>
  <c r="M1938" i="1"/>
  <c r="N1938" i="1"/>
  <c r="A1939" i="1"/>
  <c r="B1939" i="1"/>
  <c r="F1939" i="1"/>
  <c r="G1939" i="1"/>
  <c r="H1939" i="1"/>
  <c r="I1939" i="1"/>
  <c r="J1939" i="1"/>
  <c r="K1939" i="1"/>
  <c r="L1939" i="1"/>
  <c r="M1939" i="1"/>
  <c r="N1939" i="1"/>
  <c r="A1940" i="1"/>
  <c r="B1940" i="1"/>
  <c r="F1940" i="1"/>
  <c r="G1940" i="1"/>
  <c r="H1940" i="1"/>
  <c r="I1940" i="1"/>
  <c r="J1940" i="1"/>
  <c r="K1940" i="1"/>
  <c r="L1940" i="1"/>
  <c r="M1940" i="1"/>
  <c r="N1940" i="1"/>
  <c r="A1941" i="1"/>
  <c r="B1941" i="1"/>
  <c r="F1941" i="1"/>
  <c r="G1941" i="1"/>
  <c r="H1941" i="1"/>
  <c r="I1941" i="1"/>
  <c r="J1941" i="1"/>
  <c r="K1941" i="1"/>
  <c r="L1941" i="1"/>
  <c r="M1941" i="1"/>
  <c r="N1941" i="1"/>
  <c r="A1942" i="1"/>
  <c r="B1942" i="1"/>
  <c r="F1942" i="1"/>
  <c r="G1942" i="1"/>
  <c r="H1942" i="1"/>
  <c r="I1942" i="1"/>
  <c r="J1942" i="1"/>
  <c r="K1942" i="1"/>
  <c r="L1942" i="1"/>
  <c r="M1942" i="1"/>
  <c r="N1942" i="1"/>
  <c r="A1943" i="1"/>
  <c r="B1943" i="1"/>
  <c r="F1943" i="1"/>
  <c r="G1943" i="1"/>
  <c r="H1943" i="1"/>
  <c r="I1943" i="1"/>
  <c r="J1943" i="1"/>
  <c r="K1943" i="1"/>
  <c r="L1943" i="1"/>
  <c r="M1943" i="1"/>
  <c r="N1943" i="1"/>
  <c r="A1944" i="1"/>
  <c r="B1944" i="1"/>
  <c r="F1944" i="1"/>
  <c r="G1944" i="1"/>
  <c r="H1944" i="1"/>
  <c r="I1944" i="1"/>
  <c r="J1944" i="1"/>
  <c r="K1944" i="1"/>
  <c r="L1944" i="1"/>
  <c r="M1944" i="1"/>
  <c r="N1944" i="1"/>
  <c r="A1945" i="1"/>
  <c r="B1945" i="1"/>
  <c r="F1945" i="1"/>
  <c r="G1945" i="1"/>
  <c r="H1945" i="1"/>
  <c r="I1945" i="1"/>
  <c r="J1945" i="1"/>
  <c r="K1945" i="1"/>
  <c r="L1945" i="1"/>
  <c r="M1945" i="1"/>
  <c r="N1945" i="1"/>
  <c r="A1946" i="1"/>
  <c r="B1946" i="1"/>
  <c r="F1946" i="1"/>
  <c r="G1946" i="1"/>
  <c r="H1946" i="1"/>
  <c r="I1946" i="1"/>
  <c r="J1946" i="1"/>
  <c r="K1946" i="1"/>
  <c r="L1946" i="1"/>
  <c r="M1946" i="1"/>
  <c r="N1946" i="1"/>
  <c r="A1947" i="1"/>
  <c r="B1947" i="1"/>
  <c r="F1947" i="1"/>
  <c r="G1947" i="1"/>
  <c r="H1947" i="1"/>
  <c r="I1947" i="1"/>
  <c r="J1947" i="1"/>
  <c r="K1947" i="1"/>
  <c r="L1947" i="1"/>
  <c r="M1947" i="1"/>
  <c r="N1947" i="1"/>
  <c r="A1948" i="1"/>
  <c r="B1948" i="1"/>
  <c r="F1948" i="1"/>
  <c r="G1948" i="1"/>
  <c r="H1948" i="1"/>
  <c r="I1948" i="1"/>
  <c r="J1948" i="1"/>
  <c r="K1948" i="1"/>
  <c r="L1948" i="1"/>
  <c r="M1948" i="1"/>
  <c r="N1948" i="1"/>
  <c r="A1949" i="1"/>
  <c r="B1949" i="1"/>
  <c r="F1949" i="1"/>
  <c r="G1949" i="1"/>
  <c r="H1949" i="1"/>
  <c r="I1949" i="1"/>
  <c r="J1949" i="1"/>
  <c r="K1949" i="1"/>
  <c r="L1949" i="1"/>
  <c r="M1949" i="1"/>
  <c r="N1949" i="1"/>
  <c r="A1950" i="1"/>
  <c r="B1950" i="1"/>
  <c r="F1950" i="1"/>
  <c r="G1950" i="1"/>
  <c r="H1950" i="1"/>
  <c r="I1950" i="1"/>
  <c r="J1950" i="1"/>
  <c r="K1950" i="1"/>
  <c r="L1950" i="1"/>
  <c r="M1950" i="1"/>
  <c r="N1950" i="1"/>
  <c r="A1951" i="1"/>
  <c r="B1951" i="1"/>
  <c r="F1951" i="1"/>
  <c r="G1951" i="1"/>
  <c r="H1951" i="1"/>
  <c r="I1951" i="1"/>
  <c r="J1951" i="1"/>
  <c r="K1951" i="1"/>
  <c r="L1951" i="1"/>
  <c r="M1951" i="1"/>
  <c r="N1951" i="1"/>
  <c r="A1952" i="1"/>
  <c r="B1952" i="1"/>
  <c r="F1952" i="1"/>
  <c r="G1952" i="1"/>
  <c r="H1952" i="1"/>
  <c r="I1952" i="1"/>
  <c r="J1952" i="1"/>
  <c r="K1952" i="1"/>
  <c r="L1952" i="1"/>
  <c r="M1952" i="1"/>
  <c r="N1952" i="1"/>
  <c r="A1953" i="1"/>
  <c r="B1953" i="1"/>
  <c r="F1953" i="1"/>
  <c r="G1953" i="1"/>
  <c r="H1953" i="1"/>
  <c r="I1953" i="1"/>
  <c r="J1953" i="1"/>
  <c r="K1953" i="1"/>
  <c r="L1953" i="1"/>
  <c r="M1953" i="1"/>
  <c r="N1953" i="1"/>
  <c r="A1954" i="1"/>
  <c r="B1954" i="1"/>
  <c r="F1954" i="1"/>
  <c r="G1954" i="1"/>
  <c r="H1954" i="1"/>
  <c r="I1954" i="1"/>
  <c r="J1954" i="1"/>
  <c r="K1954" i="1"/>
  <c r="L1954" i="1"/>
  <c r="M1954" i="1"/>
  <c r="N1954" i="1"/>
  <c r="A1955" i="1"/>
  <c r="B1955" i="1"/>
  <c r="F1955" i="1"/>
  <c r="G1955" i="1"/>
  <c r="H1955" i="1"/>
  <c r="I1955" i="1"/>
  <c r="J1955" i="1"/>
  <c r="K1955" i="1"/>
  <c r="L1955" i="1"/>
  <c r="M1955" i="1"/>
  <c r="N1955" i="1"/>
  <c r="A1956" i="1"/>
  <c r="B1956" i="1"/>
  <c r="F1956" i="1"/>
  <c r="G1956" i="1"/>
  <c r="H1956" i="1"/>
  <c r="I1956" i="1"/>
  <c r="J1956" i="1"/>
  <c r="K1956" i="1"/>
  <c r="L1956" i="1"/>
  <c r="M1956" i="1"/>
  <c r="N1956" i="1"/>
  <c r="A1957" i="1"/>
  <c r="B1957" i="1"/>
  <c r="F1957" i="1"/>
  <c r="G1957" i="1"/>
  <c r="H1957" i="1"/>
  <c r="I1957" i="1"/>
  <c r="J1957" i="1"/>
  <c r="K1957" i="1"/>
  <c r="L1957" i="1"/>
  <c r="M1957" i="1"/>
  <c r="N1957" i="1"/>
  <c r="A1958" i="1"/>
  <c r="B1958" i="1"/>
  <c r="F1958" i="1"/>
  <c r="G1958" i="1"/>
  <c r="H1958" i="1"/>
  <c r="I1958" i="1"/>
  <c r="J1958" i="1"/>
  <c r="K1958" i="1"/>
  <c r="L1958" i="1"/>
  <c r="M1958" i="1"/>
  <c r="N1958" i="1"/>
  <c r="A1959" i="1"/>
  <c r="B1959" i="1"/>
  <c r="F1959" i="1"/>
  <c r="G1959" i="1"/>
  <c r="H1959" i="1"/>
  <c r="I1959" i="1"/>
  <c r="J1959" i="1"/>
  <c r="K1959" i="1"/>
  <c r="L1959" i="1"/>
  <c r="M1959" i="1"/>
  <c r="N1959" i="1"/>
  <c r="A1960" i="1"/>
  <c r="B1960" i="1"/>
  <c r="F1960" i="1"/>
  <c r="G1960" i="1"/>
  <c r="H1960" i="1"/>
  <c r="I1960" i="1"/>
  <c r="J1960" i="1"/>
  <c r="K1960" i="1"/>
  <c r="L1960" i="1"/>
  <c r="M1960" i="1"/>
  <c r="N1960" i="1"/>
  <c r="A1961" i="1"/>
  <c r="B1961" i="1"/>
  <c r="F1961" i="1"/>
  <c r="G1961" i="1"/>
  <c r="H1961" i="1"/>
  <c r="I1961" i="1"/>
  <c r="J1961" i="1"/>
  <c r="K1961" i="1"/>
  <c r="L1961" i="1"/>
  <c r="M1961" i="1"/>
  <c r="N1961" i="1"/>
  <c r="A1962" i="1"/>
  <c r="B1962" i="1"/>
  <c r="F1962" i="1"/>
  <c r="G1962" i="1"/>
  <c r="H1962" i="1"/>
  <c r="I1962" i="1"/>
  <c r="J1962" i="1"/>
  <c r="K1962" i="1"/>
  <c r="L1962" i="1"/>
  <c r="M1962" i="1"/>
  <c r="N1962" i="1"/>
  <c r="A1963" i="1"/>
  <c r="B1963" i="1"/>
  <c r="F1963" i="1"/>
  <c r="G1963" i="1"/>
  <c r="H1963" i="1"/>
  <c r="I1963" i="1"/>
  <c r="J1963" i="1"/>
  <c r="K1963" i="1"/>
  <c r="L1963" i="1"/>
  <c r="M1963" i="1"/>
  <c r="N1963" i="1"/>
  <c r="A1964" i="1"/>
  <c r="B1964" i="1"/>
  <c r="F1964" i="1"/>
  <c r="G1964" i="1"/>
  <c r="H1964" i="1"/>
  <c r="I1964" i="1"/>
  <c r="J1964" i="1"/>
  <c r="K1964" i="1"/>
  <c r="L1964" i="1"/>
  <c r="M1964" i="1"/>
  <c r="N1964" i="1"/>
  <c r="A1965" i="1"/>
  <c r="B1965" i="1"/>
  <c r="F1965" i="1"/>
  <c r="G1965" i="1"/>
  <c r="H1965" i="1"/>
  <c r="I1965" i="1"/>
  <c r="J1965" i="1"/>
  <c r="K1965" i="1"/>
  <c r="L1965" i="1"/>
  <c r="M1965" i="1"/>
  <c r="N1965" i="1"/>
  <c r="A1966" i="1"/>
  <c r="B1966" i="1"/>
  <c r="F1966" i="1"/>
  <c r="G1966" i="1"/>
  <c r="H1966" i="1"/>
  <c r="I1966" i="1"/>
  <c r="J1966" i="1"/>
  <c r="K1966" i="1"/>
  <c r="L1966" i="1"/>
  <c r="M1966" i="1"/>
  <c r="N1966" i="1"/>
  <c r="A1967" i="1"/>
  <c r="B1967" i="1"/>
  <c r="F1967" i="1"/>
  <c r="G1967" i="1"/>
  <c r="H1967" i="1"/>
  <c r="I1967" i="1"/>
  <c r="J1967" i="1"/>
  <c r="K1967" i="1"/>
  <c r="L1967" i="1"/>
  <c r="M1967" i="1"/>
  <c r="N1967" i="1"/>
  <c r="A1968" i="1"/>
  <c r="B1968" i="1"/>
  <c r="F1968" i="1"/>
  <c r="G1968" i="1"/>
  <c r="H1968" i="1"/>
  <c r="I1968" i="1"/>
  <c r="J1968" i="1"/>
  <c r="K1968" i="1"/>
  <c r="L1968" i="1"/>
  <c r="M1968" i="1"/>
  <c r="N1968" i="1"/>
  <c r="A1969" i="1"/>
  <c r="B1969" i="1"/>
  <c r="F1969" i="1"/>
  <c r="G1969" i="1"/>
  <c r="H1969" i="1"/>
  <c r="I1969" i="1"/>
  <c r="J1969" i="1"/>
  <c r="K1969" i="1"/>
  <c r="L1969" i="1"/>
  <c r="M1969" i="1"/>
  <c r="N1969" i="1"/>
  <c r="A1970" i="1"/>
  <c r="B1970" i="1"/>
  <c r="F1970" i="1"/>
  <c r="G1970" i="1"/>
  <c r="H1970" i="1"/>
  <c r="I1970" i="1"/>
  <c r="J1970" i="1"/>
  <c r="K1970" i="1"/>
  <c r="L1970" i="1"/>
  <c r="M1970" i="1"/>
  <c r="N1970" i="1"/>
  <c r="A1971" i="1"/>
  <c r="B1971" i="1"/>
  <c r="F1971" i="1"/>
  <c r="G1971" i="1"/>
  <c r="H1971" i="1"/>
  <c r="I1971" i="1"/>
  <c r="J1971" i="1"/>
  <c r="K1971" i="1"/>
  <c r="L1971" i="1"/>
  <c r="M1971" i="1"/>
  <c r="N1971" i="1"/>
  <c r="A1972" i="1"/>
  <c r="B1972" i="1"/>
  <c r="F1972" i="1"/>
  <c r="G1972" i="1"/>
  <c r="H1972" i="1"/>
  <c r="I1972" i="1"/>
  <c r="J1972" i="1"/>
  <c r="K1972" i="1"/>
  <c r="L1972" i="1"/>
  <c r="M1972" i="1"/>
  <c r="N1972" i="1"/>
  <c r="A1973" i="1"/>
  <c r="B1973" i="1"/>
  <c r="F1973" i="1"/>
  <c r="G1973" i="1"/>
  <c r="H1973" i="1"/>
  <c r="I1973" i="1"/>
  <c r="J1973" i="1"/>
  <c r="K1973" i="1"/>
  <c r="L1973" i="1"/>
  <c r="M1973" i="1"/>
  <c r="N1973" i="1"/>
  <c r="A1974" i="1"/>
  <c r="B1974" i="1"/>
  <c r="F1974" i="1"/>
  <c r="G1974" i="1"/>
  <c r="H1974" i="1"/>
  <c r="I1974" i="1"/>
  <c r="J1974" i="1"/>
  <c r="K1974" i="1"/>
  <c r="L1974" i="1"/>
  <c r="M1974" i="1"/>
  <c r="N1974" i="1"/>
  <c r="A1975" i="1"/>
  <c r="B1975" i="1"/>
  <c r="F1975" i="1"/>
  <c r="G1975" i="1"/>
  <c r="H1975" i="1"/>
  <c r="I1975" i="1"/>
  <c r="J1975" i="1"/>
  <c r="K1975" i="1"/>
  <c r="L1975" i="1"/>
  <c r="M1975" i="1"/>
  <c r="N1975" i="1"/>
  <c r="A1976" i="1"/>
  <c r="B1976" i="1"/>
  <c r="F1976" i="1"/>
  <c r="G1976" i="1"/>
  <c r="H1976" i="1"/>
  <c r="I1976" i="1"/>
  <c r="J1976" i="1"/>
  <c r="K1976" i="1"/>
  <c r="L1976" i="1"/>
  <c r="M1976" i="1"/>
  <c r="N1976" i="1"/>
  <c r="A1977" i="1"/>
  <c r="B1977" i="1"/>
  <c r="F1977" i="1"/>
  <c r="G1977" i="1"/>
  <c r="H1977" i="1"/>
  <c r="I1977" i="1"/>
  <c r="J1977" i="1"/>
  <c r="K1977" i="1"/>
  <c r="L1977" i="1"/>
  <c r="M1977" i="1"/>
  <c r="N1977" i="1"/>
  <c r="A1978" i="1"/>
  <c r="B1978" i="1"/>
  <c r="F1978" i="1"/>
  <c r="G1978" i="1"/>
  <c r="H1978" i="1"/>
  <c r="I1978" i="1"/>
  <c r="J1978" i="1"/>
  <c r="K1978" i="1"/>
  <c r="L1978" i="1"/>
  <c r="M1978" i="1"/>
  <c r="N1978" i="1"/>
  <c r="A1979" i="1"/>
  <c r="B1979" i="1"/>
  <c r="F1979" i="1"/>
  <c r="G1979" i="1"/>
  <c r="H1979" i="1"/>
  <c r="I1979" i="1"/>
  <c r="J1979" i="1"/>
  <c r="K1979" i="1"/>
  <c r="L1979" i="1"/>
  <c r="M1979" i="1"/>
  <c r="N1979" i="1"/>
  <c r="A1980" i="1"/>
  <c r="B1980" i="1"/>
  <c r="F1980" i="1"/>
  <c r="G1980" i="1"/>
  <c r="H1980" i="1"/>
  <c r="I1980" i="1"/>
  <c r="J1980" i="1"/>
  <c r="K1980" i="1"/>
  <c r="L1980" i="1"/>
  <c r="M1980" i="1"/>
  <c r="N1980" i="1"/>
  <c r="A1981" i="1"/>
  <c r="B1981" i="1"/>
  <c r="F1981" i="1"/>
  <c r="G1981" i="1"/>
  <c r="H1981" i="1"/>
  <c r="I1981" i="1"/>
  <c r="J1981" i="1"/>
  <c r="K1981" i="1"/>
  <c r="L1981" i="1"/>
  <c r="M1981" i="1"/>
  <c r="N1981" i="1"/>
  <c r="A1982" i="1"/>
  <c r="B1982" i="1"/>
  <c r="F1982" i="1"/>
  <c r="G1982" i="1"/>
  <c r="H1982" i="1"/>
  <c r="I1982" i="1"/>
  <c r="J1982" i="1"/>
  <c r="K1982" i="1"/>
  <c r="L1982" i="1"/>
  <c r="M1982" i="1"/>
  <c r="N1982" i="1"/>
  <c r="A1983" i="1"/>
  <c r="B1983" i="1"/>
  <c r="F1983" i="1"/>
  <c r="G1983" i="1"/>
  <c r="H1983" i="1"/>
  <c r="I1983" i="1"/>
  <c r="J1983" i="1"/>
  <c r="K1983" i="1"/>
  <c r="L1983" i="1"/>
  <c r="M1983" i="1"/>
  <c r="N1983" i="1"/>
  <c r="A1984" i="1"/>
  <c r="B1984" i="1"/>
  <c r="F1984" i="1"/>
  <c r="G1984" i="1"/>
  <c r="H1984" i="1"/>
  <c r="I1984" i="1"/>
  <c r="J1984" i="1"/>
  <c r="K1984" i="1"/>
  <c r="L1984" i="1"/>
  <c r="M1984" i="1"/>
  <c r="N1984" i="1"/>
  <c r="A1985" i="1"/>
  <c r="B1985" i="1"/>
  <c r="F1985" i="1"/>
  <c r="G1985" i="1"/>
  <c r="H1985" i="1"/>
  <c r="I1985" i="1"/>
  <c r="J1985" i="1"/>
  <c r="K1985" i="1"/>
  <c r="L1985" i="1"/>
  <c r="M1985" i="1"/>
  <c r="N1985" i="1"/>
  <c r="A1986" i="1"/>
  <c r="B1986" i="1"/>
  <c r="F1986" i="1"/>
  <c r="G1986" i="1"/>
  <c r="H1986" i="1"/>
  <c r="I1986" i="1"/>
  <c r="J1986" i="1"/>
  <c r="K1986" i="1"/>
  <c r="L1986" i="1"/>
  <c r="M1986" i="1"/>
  <c r="N1986" i="1"/>
  <c r="A1987" i="1"/>
  <c r="B1987" i="1"/>
  <c r="F1987" i="1"/>
  <c r="G1987" i="1"/>
  <c r="H1987" i="1"/>
  <c r="I1987" i="1"/>
  <c r="J1987" i="1"/>
  <c r="K1987" i="1"/>
  <c r="L1987" i="1"/>
  <c r="M1987" i="1"/>
  <c r="N1987" i="1"/>
  <c r="A1988" i="1"/>
  <c r="B1988" i="1"/>
  <c r="F1988" i="1"/>
  <c r="G1988" i="1"/>
  <c r="H1988" i="1"/>
  <c r="I1988" i="1"/>
  <c r="J1988" i="1"/>
  <c r="K1988" i="1"/>
  <c r="L1988" i="1"/>
  <c r="M1988" i="1"/>
  <c r="N1988" i="1"/>
  <c r="A1989" i="1"/>
  <c r="B1989" i="1"/>
  <c r="F1989" i="1"/>
  <c r="G1989" i="1"/>
  <c r="H1989" i="1"/>
  <c r="I1989" i="1"/>
  <c r="J1989" i="1"/>
  <c r="K1989" i="1"/>
  <c r="L1989" i="1"/>
  <c r="M1989" i="1"/>
  <c r="N1989" i="1"/>
  <c r="A1990" i="1"/>
  <c r="B1990" i="1"/>
  <c r="F1990" i="1"/>
  <c r="G1990" i="1"/>
  <c r="H1990" i="1"/>
  <c r="I1990" i="1"/>
  <c r="J1990" i="1"/>
  <c r="K1990" i="1"/>
  <c r="L1990" i="1"/>
  <c r="M1990" i="1"/>
  <c r="N1990" i="1"/>
  <c r="A1991" i="1"/>
  <c r="B1991" i="1"/>
  <c r="F1991" i="1"/>
  <c r="G1991" i="1"/>
  <c r="H1991" i="1"/>
  <c r="I1991" i="1"/>
  <c r="J1991" i="1"/>
  <c r="K1991" i="1"/>
  <c r="L1991" i="1"/>
  <c r="M1991" i="1"/>
  <c r="N1991" i="1"/>
  <c r="A1992" i="1"/>
  <c r="B1992" i="1"/>
  <c r="F1992" i="1"/>
  <c r="G1992" i="1"/>
  <c r="H1992" i="1"/>
  <c r="I1992" i="1"/>
  <c r="J1992" i="1"/>
  <c r="K1992" i="1"/>
  <c r="L1992" i="1"/>
  <c r="M1992" i="1"/>
  <c r="N1992" i="1"/>
  <c r="A1993" i="1"/>
  <c r="B1993" i="1"/>
  <c r="F1993" i="1"/>
  <c r="G1993" i="1"/>
  <c r="H1993" i="1"/>
  <c r="I1993" i="1"/>
  <c r="J1993" i="1"/>
  <c r="K1993" i="1"/>
  <c r="L1993" i="1"/>
  <c r="M1993" i="1"/>
  <c r="N1993" i="1"/>
  <c r="A1994" i="1"/>
  <c r="B1994" i="1"/>
  <c r="F1994" i="1"/>
  <c r="G1994" i="1"/>
  <c r="H1994" i="1"/>
  <c r="I1994" i="1"/>
  <c r="J1994" i="1"/>
  <c r="K1994" i="1"/>
  <c r="L1994" i="1"/>
  <c r="M1994" i="1"/>
  <c r="N1994" i="1"/>
  <c r="A1995" i="1"/>
  <c r="B1995" i="1"/>
  <c r="F1995" i="1"/>
  <c r="G1995" i="1"/>
  <c r="H1995" i="1"/>
  <c r="I1995" i="1"/>
  <c r="J1995" i="1"/>
  <c r="K1995" i="1"/>
  <c r="L1995" i="1"/>
  <c r="M1995" i="1"/>
  <c r="N1995" i="1"/>
  <c r="A1996" i="1"/>
  <c r="B1996" i="1"/>
  <c r="F1996" i="1"/>
  <c r="G1996" i="1"/>
  <c r="H1996" i="1"/>
  <c r="I1996" i="1"/>
  <c r="J1996" i="1"/>
  <c r="K1996" i="1"/>
  <c r="L1996" i="1"/>
  <c r="M1996" i="1"/>
  <c r="N1996" i="1"/>
  <c r="A1997" i="1"/>
  <c r="B1997" i="1"/>
  <c r="F1997" i="1"/>
  <c r="G1997" i="1"/>
  <c r="H1997" i="1"/>
  <c r="I1997" i="1"/>
  <c r="J1997" i="1"/>
  <c r="K1997" i="1"/>
  <c r="L1997" i="1"/>
  <c r="M1997" i="1"/>
  <c r="N1997" i="1"/>
  <c r="A1998" i="1"/>
  <c r="B1998" i="1"/>
  <c r="F1998" i="1"/>
  <c r="G1998" i="1"/>
  <c r="H1998" i="1"/>
  <c r="I1998" i="1"/>
  <c r="J1998" i="1"/>
  <c r="K1998" i="1"/>
  <c r="L1998" i="1"/>
  <c r="M1998" i="1"/>
  <c r="N1998" i="1"/>
  <c r="A1999" i="1"/>
  <c r="B1999" i="1"/>
  <c r="F1999" i="1"/>
  <c r="G1999" i="1"/>
  <c r="H1999" i="1"/>
  <c r="I1999" i="1"/>
  <c r="J1999" i="1"/>
  <c r="K1999" i="1"/>
  <c r="L1999" i="1"/>
  <c r="M1999" i="1"/>
  <c r="N1999" i="1"/>
  <c r="A2000" i="1"/>
  <c r="B2000" i="1"/>
  <c r="F2000" i="1"/>
  <c r="G2000" i="1"/>
  <c r="H2000" i="1"/>
  <c r="I2000" i="1"/>
  <c r="J2000" i="1"/>
  <c r="K2000" i="1"/>
  <c r="L2000" i="1"/>
  <c r="M2000" i="1"/>
  <c r="N2000" i="1"/>
  <c r="A2001" i="1"/>
  <c r="B2001" i="1"/>
  <c r="F2001" i="1"/>
  <c r="G2001" i="1"/>
  <c r="H2001" i="1"/>
  <c r="I2001" i="1"/>
  <c r="J2001" i="1"/>
  <c r="K2001" i="1"/>
  <c r="L2001" i="1"/>
  <c r="M2001" i="1"/>
  <c r="N2001" i="1"/>
  <c r="A2002" i="1"/>
  <c r="B2002" i="1"/>
  <c r="F2002" i="1"/>
  <c r="G2002" i="1"/>
  <c r="H2002" i="1"/>
  <c r="I2002" i="1"/>
  <c r="J2002" i="1"/>
  <c r="K2002" i="1"/>
  <c r="L2002" i="1"/>
  <c r="M2002" i="1"/>
  <c r="N2002" i="1"/>
  <c r="A2003" i="1"/>
  <c r="B2003" i="1"/>
  <c r="F2003" i="1"/>
  <c r="G2003" i="1"/>
  <c r="H2003" i="1"/>
  <c r="I2003" i="1"/>
  <c r="J2003" i="1"/>
  <c r="K2003" i="1"/>
  <c r="L2003" i="1"/>
  <c r="M2003" i="1"/>
  <c r="N2003" i="1"/>
  <c r="A2004" i="1"/>
  <c r="B2004" i="1"/>
  <c r="F2004" i="1"/>
  <c r="G2004" i="1"/>
  <c r="H2004" i="1"/>
  <c r="I2004" i="1"/>
  <c r="J2004" i="1"/>
  <c r="K2004" i="1"/>
  <c r="L2004" i="1"/>
  <c r="M2004" i="1"/>
  <c r="N2004" i="1"/>
  <c r="A2005" i="1"/>
  <c r="B2005" i="1"/>
  <c r="F2005" i="1"/>
  <c r="G2005" i="1"/>
  <c r="H2005" i="1"/>
  <c r="I2005" i="1"/>
  <c r="J2005" i="1"/>
  <c r="K2005" i="1"/>
  <c r="L2005" i="1"/>
  <c r="M2005" i="1"/>
  <c r="N2005" i="1"/>
  <c r="A2006" i="1"/>
  <c r="B2006" i="1"/>
  <c r="F2006" i="1"/>
  <c r="G2006" i="1"/>
  <c r="H2006" i="1"/>
  <c r="I2006" i="1"/>
  <c r="J2006" i="1"/>
  <c r="K2006" i="1"/>
  <c r="L2006" i="1"/>
  <c r="M2006" i="1"/>
  <c r="N2006" i="1"/>
  <c r="A2007" i="1"/>
  <c r="B2007" i="1"/>
  <c r="F2007" i="1"/>
  <c r="G2007" i="1"/>
  <c r="H2007" i="1"/>
  <c r="I2007" i="1"/>
  <c r="J2007" i="1"/>
  <c r="K2007" i="1"/>
  <c r="L2007" i="1"/>
  <c r="M2007" i="1"/>
  <c r="N2007" i="1"/>
  <c r="A2008" i="1"/>
  <c r="B2008" i="1"/>
  <c r="F2008" i="1"/>
  <c r="G2008" i="1"/>
  <c r="H2008" i="1"/>
  <c r="I2008" i="1"/>
  <c r="J2008" i="1"/>
  <c r="K2008" i="1"/>
  <c r="L2008" i="1"/>
  <c r="M2008" i="1"/>
  <c r="N2008" i="1"/>
  <c r="A2009" i="1"/>
  <c r="B2009" i="1"/>
  <c r="F2009" i="1"/>
  <c r="G2009" i="1"/>
  <c r="H2009" i="1"/>
  <c r="I2009" i="1"/>
  <c r="J2009" i="1"/>
  <c r="K2009" i="1"/>
  <c r="L2009" i="1"/>
  <c r="M2009" i="1"/>
  <c r="N2009" i="1"/>
  <c r="A2010" i="1"/>
  <c r="B2010" i="1"/>
  <c r="F2010" i="1"/>
  <c r="G2010" i="1"/>
  <c r="H2010" i="1"/>
  <c r="I2010" i="1"/>
  <c r="J2010" i="1"/>
  <c r="K2010" i="1"/>
  <c r="L2010" i="1"/>
  <c r="M2010" i="1"/>
  <c r="N2010" i="1"/>
  <c r="A2011" i="1"/>
  <c r="B2011" i="1"/>
  <c r="F2011" i="1"/>
  <c r="G2011" i="1"/>
  <c r="H2011" i="1"/>
  <c r="I2011" i="1"/>
  <c r="J2011" i="1"/>
  <c r="K2011" i="1"/>
  <c r="L2011" i="1"/>
  <c r="M2011" i="1"/>
  <c r="N2011" i="1"/>
  <c r="A2012" i="1"/>
  <c r="B2012" i="1"/>
  <c r="F2012" i="1"/>
  <c r="G2012" i="1"/>
  <c r="H2012" i="1"/>
  <c r="I2012" i="1"/>
  <c r="J2012" i="1"/>
  <c r="K2012" i="1"/>
  <c r="L2012" i="1"/>
  <c r="M2012" i="1"/>
  <c r="N2012" i="1"/>
  <c r="A2013" i="1"/>
  <c r="B2013" i="1"/>
  <c r="F2013" i="1"/>
  <c r="G2013" i="1"/>
  <c r="H2013" i="1"/>
  <c r="I2013" i="1"/>
  <c r="J2013" i="1"/>
  <c r="K2013" i="1"/>
  <c r="L2013" i="1"/>
  <c r="M2013" i="1"/>
  <c r="N2013" i="1"/>
  <c r="A2014" i="1"/>
  <c r="B2014" i="1"/>
  <c r="F2014" i="1"/>
  <c r="G2014" i="1"/>
  <c r="H2014" i="1"/>
  <c r="I2014" i="1"/>
  <c r="J2014" i="1"/>
  <c r="K2014" i="1"/>
  <c r="L2014" i="1"/>
  <c r="M2014" i="1"/>
  <c r="N2014" i="1"/>
  <c r="A2015" i="1"/>
  <c r="B2015" i="1"/>
  <c r="F2015" i="1"/>
  <c r="G2015" i="1"/>
  <c r="H2015" i="1"/>
  <c r="I2015" i="1"/>
  <c r="J2015" i="1"/>
  <c r="K2015" i="1"/>
  <c r="L2015" i="1"/>
  <c r="M2015" i="1"/>
  <c r="N2015" i="1"/>
  <c r="A2016" i="1"/>
  <c r="B2016" i="1"/>
  <c r="F2016" i="1"/>
  <c r="G2016" i="1"/>
  <c r="H2016" i="1"/>
  <c r="I2016" i="1"/>
  <c r="J2016" i="1"/>
  <c r="K2016" i="1"/>
  <c r="L2016" i="1"/>
  <c r="M2016" i="1"/>
  <c r="N2016" i="1"/>
  <c r="A2017" i="1"/>
  <c r="B2017" i="1"/>
  <c r="F2017" i="1"/>
  <c r="G2017" i="1"/>
  <c r="H2017" i="1"/>
  <c r="I2017" i="1"/>
  <c r="J2017" i="1"/>
  <c r="K2017" i="1"/>
  <c r="L2017" i="1"/>
  <c r="M2017" i="1"/>
  <c r="N2017" i="1"/>
  <c r="A2018" i="1"/>
  <c r="B2018" i="1"/>
  <c r="F2018" i="1"/>
  <c r="G2018" i="1"/>
  <c r="H2018" i="1"/>
  <c r="I2018" i="1"/>
  <c r="J2018" i="1"/>
  <c r="K2018" i="1"/>
  <c r="L2018" i="1"/>
  <c r="M2018" i="1"/>
  <c r="N2018" i="1"/>
  <c r="A2019" i="1"/>
  <c r="B2019" i="1"/>
  <c r="F2019" i="1"/>
  <c r="G2019" i="1"/>
  <c r="H2019" i="1"/>
  <c r="I2019" i="1"/>
  <c r="J2019" i="1"/>
  <c r="K2019" i="1"/>
  <c r="L2019" i="1"/>
  <c r="M2019" i="1"/>
  <c r="N2019" i="1"/>
  <c r="A2020" i="1"/>
  <c r="B2020" i="1"/>
  <c r="F2020" i="1"/>
  <c r="G2020" i="1"/>
  <c r="H2020" i="1"/>
  <c r="I2020" i="1"/>
  <c r="J2020" i="1"/>
  <c r="K2020" i="1"/>
  <c r="L2020" i="1"/>
  <c r="M2020" i="1"/>
  <c r="N2020" i="1"/>
  <c r="A2021" i="1"/>
  <c r="B2021" i="1"/>
  <c r="F2021" i="1"/>
  <c r="G2021" i="1"/>
  <c r="H2021" i="1"/>
  <c r="I2021" i="1"/>
  <c r="J2021" i="1"/>
  <c r="K2021" i="1"/>
  <c r="L2021" i="1"/>
  <c r="M2021" i="1"/>
  <c r="N2021" i="1"/>
  <c r="A2022" i="1"/>
  <c r="B2022" i="1"/>
  <c r="F2022" i="1"/>
  <c r="G2022" i="1"/>
  <c r="H2022" i="1"/>
  <c r="I2022" i="1"/>
  <c r="J2022" i="1"/>
  <c r="K2022" i="1"/>
  <c r="L2022" i="1"/>
  <c r="M2022" i="1"/>
  <c r="N2022" i="1"/>
  <c r="A2023" i="1"/>
  <c r="B2023" i="1"/>
  <c r="F2023" i="1"/>
  <c r="G2023" i="1"/>
  <c r="H2023" i="1"/>
  <c r="I2023" i="1"/>
  <c r="J2023" i="1"/>
  <c r="K2023" i="1"/>
  <c r="L2023" i="1"/>
  <c r="M2023" i="1"/>
  <c r="N2023" i="1"/>
  <c r="A2024" i="1"/>
  <c r="B2024" i="1"/>
  <c r="F2024" i="1"/>
  <c r="G2024" i="1"/>
  <c r="H2024" i="1"/>
  <c r="I2024" i="1"/>
  <c r="J2024" i="1"/>
  <c r="K2024" i="1"/>
  <c r="L2024" i="1"/>
  <c r="M2024" i="1"/>
  <c r="N2024" i="1"/>
  <c r="A2025" i="1"/>
  <c r="B2025" i="1"/>
  <c r="F2025" i="1"/>
  <c r="G2025" i="1"/>
  <c r="H2025" i="1"/>
  <c r="I2025" i="1"/>
  <c r="J2025" i="1"/>
  <c r="K2025" i="1"/>
  <c r="L2025" i="1"/>
  <c r="M2025" i="1"/>
  <c r="N2025" i="1"/>
  <c r="A2026" i="1"/>
  <c r="B2026" i="1"/>
  <c r="F2026" i="1"/>
  <c r="G2026" i="1"/>
  <c r="H2026" i="1"/>
  <c r="I2026" i="1"/>
  <c r="J2026" i="1"/>
  <c r="K2026" i="1"/>
  <c r="L2026" i="1"/>
  <c r="M2026" i="1"/>
  <c r="N2026" i="1"/>
  <c r="A2027" i="1"/>
  <c r="B2027" i="1"/>
  <c r="F2027" i="1"/>
  <c r="G2027" i="1"/>
  <c r="H2027" i="1"/>
  <c r="I2027" i="1"/>
  <c r="J2027" i="1"/>
  <c r="K2027" i="1"/>
  <c r="L2027" i="1"/>
  <c r="M2027" i="1"/>
  <c r="N2027" i="1"/>
  <c r="A2028" i="1"/>
  <c r="B2028" i="1"/>
  <c r="F2028" i="1"/>
  <c r="G2028" i="1"/>
  <c r="H2028" i="1"/>
  <c r="I2028" i="1"/>
  <c r="J2028" i="1"/>
  <c r="K2028" i="1"/>
  <c r="L2028" i="1"/>
  <c r="M2028" i="1"/>
  <c r="N2028" i="1"/>
  <c r="A2029" i="1"/>
  <c r="B2029" i="1"/>
  <c r="F2029" i="1"/>
  <c r="G2029" i="1"/>
  <c r="H2029" i="1"/>
  <c r="I2029" i="1"/>
  <c r="J2029" i="1"/>
  <c r="K2029" i="1"/>
  <c r="L2029" i="1"/>
  <c r="M2029" i="1"/>
  <c r="N2029" i="1"/>
  <c r="A2030" i="1"/>
  <c r="B2030" i="1"/>
  <c r="F2030" i="1"/>
  <c r="G2030" i="1"/>
  <c r="H2030" i="1"/>
  <c r="I2030" i="1"/>
  <c r="J2030" i="1"/>
  <c r="K2030" i="1"/>
  <c r="L2030" i="1"/>
  <c r="M2030" i="1"/>
  <c r="N2030" i="1"/>
  <c r="A2031" i="1"/>
  <c r="B2031" i="1"/>
  <c r="F2031" i="1"/>
  <c r="G2031" i="1"/>
  <c r="H2031" i="1"/>
  <c r="I2031" i="1"/>
  <c r="J2031" i="1"/>
  <c r="K2031" i="1"/>
  <c r="L2031" i="1"/>
  <c r="M2031" i="1"/>
  <c r="N2031" i="1"/>
  <c r="A2032" i="1"/>
  <c r="B2032" i="1"/>
  <c r="F2032" i="1"/>
  <c r="G2032" i="1"/>
  <c r="H2032" i="1"/>
  <c r="I2032" i="1"/>
  <c r="J2032" i="1"/>
  <c r="K2032" i="1"/>
  <c r="L2032" i="1"/>
  <c r="M2032" i="1"/>
  <c r="N2032" i="1"/>
  <c r="A2033" i="1"/>
  <c r="B2033" i="1"/>
  <c r="F2033" i="1"/>
  <c r="G2033" i="1"/>
  <c r="H2033" i="1"/>
  <c r="I2033" i="1"/>
  <c r="J2033" i="1"/>
  <c r="K2033" i="1"/>
  <c r="L2033" i="1"/>
  <c r="M2033" i="1"/>
  <c r="N2033" i="1"/>
  <c r="A2034" i="1"/>
  <c r="B2034" i="1"/>
  <c r="F2034" i="1"/>
  <c r="G2034" i="1"/>
  <c r="H2034" i="1"/>
  <c r="I2034" i="1"/>
  <c r="J2034" i="1"/>
  <c r="K2034" i="1"/>
  <c r="L2034" i="1"/>
  <c r="M2034" i="1"/>
  <c r="N2034" i="1"/>
  <c r="A2035" i="1"/>
  <c r="B2035" i="1"/>
  <c r="F2035" i="1"/>
  <c r="G2035" i="1"/>
  <c r="H2035" i="1"/>
  <c r="I2035" i="1"/>
  <c r="J2035" i="1"/>
  <c r="K2035" i="1"/>
  <c r="L2035" i="1"/>
  <c r="M2035" i="1"/>
  <c r="N2035" i="1"/>
  <c r="A2036" i="1"/>
  <c r="B2036" i="1"/>
  <c r="F2036" i="1"/>
  <c r="G2036" i="1"/>
  <c r="H2036" i="1"/>
  <c r="I2036" i="1"/>
  <c r="J2036" i="1"/>
  <c r="K2036" i="1"/>
  <c r="L2036" i="1"/>
  <c r="M2036" i="1"/>
  <c r="N2036" i="1"/>
  <c r="A2037" i="1"/>
  <c r="B2037" i="1"/>
  <c r="F2037" i="1"/>
  <c r="G2037" i="1"/>
  <c r="H2037" i="1"/>
  <c r="I2037" i="1"/>
  <c r="J2037" i="1"/>
  <c r="K2037" i="1"/>
  <c r="L2037" i="1"/>
  <c r="M2037" i="1"/>
  <c r="N2037" i="1"/>
  <c r="A2038" i="1"/>
  <c r="B2038" i="1"/>
  <c r="F2038" i="1"/>
  <c r="G2038" i="1"/>
  <c r="H2038" i="1"/>
  <c r="I2038" i="1"/>
  <c r="J2038" i="1"/>
  <c r="K2038" i="1"/>
  <c r="L2038" i="1"/>
  <c r="M2038" i="1"/>
  <c r="N2038" i="1"/>
  <c r="A2039" i="1"/>
  <c r="B2039" i="1"/>
  <c r="F2039" i="1"/>
  <c r="G2039" i="1"/>
  <c r="H2039" i="1"/>
  <c r="I2039" i="1"/>
  <c r="J2039" i="1"/>
  <c r="K2039" i="1"/>
  <c r="L2039" i="1"/>
  <c r="M2039" i="1"/>
  <c r="N2039" i="1"/>
  <c r="A2040" i="1"/>
  <c r="B2040" i="1"/>
  <c r="F2040" i="1"/>
  <c r="G2040" i="1"/>
  <c r="H2040" i="1"/>
  <c r="I2040" i="1"/>
  <c r="J2040" i="1"/>
  <c r="K2040" i="1"/>
  <c r="L2040" i="1"/>
  <c r="M2040" i="1"/>
  <c r="N2040" i="1"/>
  <c r="A2041" i="1"/>
  <c r="B2041" i="1"/>
  <c r="F2041" i="1"/>
  <c r="G2041" i="1"/>
  <c r="H2041" i="1"/>
  <c r="I2041" i="1"/>
  <c r="J2041" i="1"/>
  <c r="K2041" i="1"/>
  <c r="L2041" i="1"/>
  <c r="M2041" i="1"/>
  <c r="N2041" i="1"/>
  <c r="A2042" i="1"/>
  <c r="B2042" i="1"/>
  <c r="F2042" i="1"/>
  <c r="G2042" i="1"/>
  <c r="H2042" i="1"/>
  <c r="I2042" i="1"/>
  <c r="J2042" i="1"/>
  <c r="K2042" i="1"/>
  <c r="L2042" i="1"/>
  <c r="M2042" i="1"/>
  <c r="N2042" i="1"/>
  <c r="A2043" i="1"/>
  <c r="B2043" i="1"/>
  <c r="F2043" i="1"/>
  <c r="G2043" i="1"/>
  <c r="H2043" i="1"/>
  <c r="I2043" i="1"/>
  <c r="J2043" i="1"/>
  <c r="K2043" i="1"/>
  <c r="L2043" i="1"/>
  <c r="M2043" i="1"/>
  <c r="N2043" i="1"/>
  <c r="A2044" i="1"/>
  <c r="B2044" i="1"/>
  <c r="F2044" i="1"/>
  <c r="G2044" i="1"/>
  <c r="H2044" i="1"/>
  <c r="I2044" i="1"/>
  <c r="J2044" i="1"/>
  <c r="K2044" i="1"/>
  <c r="L2044" i="1"/>
  <c r="M2044" i="1"/>
  <c r="N2044" i="1"/>
  <c r="A2045" i="1"/>
  <c r="B2045" i="1"/>
  <c r="F2045" i="1"/>
  <c r="G2045" i="1"/>
  <c r="H2045" i="1"/>
  <c r="I2045" i="1"/>
  <c r="J2045" i="1"/>
  <c r="K2045" i="1"/>
  <c r="L2045" i="1"/>
  <c r="M2045" i="1"/>
  <c r="N2045" i="1"/>
  <c r="A2046" i="1"/>
  <c r="B2046" i="1"/>
  <c r="F2046" i="1"/>
  <c r="G2046" i="1"/>
  <c r="H2046" i="1"/>
  <c r="I2046" i="1"/>
  <c r="J2046" i="1"/>
  <c r="K2046" i="1"/>
  <c r="L2046" i="1"/>
  <c r="M2046" i="1"/>
  <c r="N2046" i="1"/>
  <c r="A2047" i="1"/>
  <c r="B2047" i="1"/>
  <c r="F2047" i="1"/>
  <c r="G2047" i="1"/>
  <c r="H2047" i="1"/>
  <c r="I2047" i="1"/>
  <c r="J2047" i="1"/>
  <c r="K2047" i="1"/>
  <c r="L2047" i="1"/>
  <c r="M2047" i="1"/>
  <c r="N2047" i="1"/>
  <c r="A2048" i="1"/>
  <c r="B2048" i="1"/>
  <c r="F2048" i="1"/>
  <c r="G2048" i="1"/>
  <c r="H2048" i="1"/>
  <c r="I2048" i="1"/>
  <c r="J2048" i="1"/>
  <c r="K2048" i="1"/>
  <c r="L2048" i="1"/>
  <c r="M2048" i="1"/>
  <c r="N2048" i="1"/>
  <c r="A2049" i="1"/>
  <c r="B2049" i="1"/>
  <c r="F2049" i="1"/>
  <c r="G2049" i="1"/>
  <c r="H2049" i="1"/>
  <c r="I2049" i="1"/>
  <c r="J2049" i="1"/>
  <c r="K2049" i="1"/>
  <c r="L2049" i="1"/>
  <c r="M2049" i="1"/>
  <c r="N2049" i="1"/>
  <c r="A2050" i="1"/>
  <c r="B2050" i="1"/>
  <c r="F2050" i="1"/>
  <c r="G2050" i="1"/>
  <c r="H2050" i="1"/>
  <c r="I2050" i="1"/>
  <c r="J2050" i="1"/>
  <c r="K2050" i="1"/>
  <c r="L2050" i="1"/>
  <c r="M2050" i="1"/>
  <c r="N2050" i="1"/>
  <c r="A2051" i="1"/>
  <c r="B2051" i="1"/>
  <c r="F2051" i="1"/>
  <c r="G2051" i="1"/>
  <c r="H2051" i="1"/>
  <c r="I2051" i="1"/>
  <c r="J2051" i="1"/>
  <c r="K2051" i="1"/>
  <c r="L2051" i="1"/>
  <c r="M2051" i="1"/>
  <c r="N2051" i="1"/>
  <c r="A2052" i="1"/>
  <c r="B2052" i="1"/>
  <c r="F2052" i="1"/>
  <c r="G2052" i="1"/>
  <c r="H2052" i="1"/>
  <c r="I2052" i="1"/>
  <c r="J2052" i="1"/>
  <c r="K2052" i="1"/>
  <c r="L2052" i="1"/>
  <c r="M2052" i="1"/>
  <c r="N2052" i="1"/>
  <c r="A2053" i="1"/>
  <c r="B2053" i="1"/>
  <c r="F2053" i="1"/>
  <c r="G2053" i="1"/>
  <c r="H2053" i="1"/>
  <c r="I2053" i="1"/>
  <c r="J2053" i="1"/>
  <c r="K2053" i="1"/>
  <c r="L2053" i="1"/>
  <c r="M2053" i="1"/>
  <c r="N2053" i="1"/>
  <c r="A2054" i="1"/>
  <c r="B2054" i="1"/>
  <c r="F2054" i="1"/>
  <c r="G2054" i="1"/>
  <c r="H2054" i="1"/>
  <c r="I2054" i="1"/>
  <c r="J2054" i="1"/>
  <c r="K2054" i="1"/>
  <c r="L2054" i="1"/>
  <c r="M2054" i="1"/>
  <c r="N2054" i="1"/>
  <c r="A2055" i="1"/>
  <c r="B2055" i="1"/>
  <c r="F2055" i="1"/>
  <c r="G2055" i="1"/>
  <c r="H2055" i="1"/>
  <c r="I2055" i="1"/>
  <c r="J2055" i="1"/>
  <c r="K2055" i="1"/>
  <c r="L2055" i="1"/>
  <c r="M2055" i="1"/>
  <c r="N2055" i="1"/>
  <c r="A2056" i="1"/>
  <c r="B2056" i="1"/>
  <c r="F2056" i="1"/>
  <c r="G2056" i="1"/>
  <c r="H2056" i="1"/>
  <c r="I2056" i="1"/>
  <c r="J2056" i="1"/>
  <c r="K2056" i="1"/>
  <c r="L2056" i="1"/>
  <c r="M2056" i="1"/>
  <c r="N2056" i="1"/>
  <c r="A2057" i="1"/>
  <c r="B2057" i="1"/>
  <c r="F2057" i="1"/>
  <c r="G2057" i="1"/>
  <c r="H2057" i="1"/>
  <c r="I2057" i="1"/>
  <c r="J2057" i="1"/>
  <c r="K2057" i="1"/>
  <c r="L2057" i="1"/>
  <c r="M2057" i="1"/>
  <c r="N2057" i="1"/>
  <c r="A2058" i="1"/>
  <c r="B2058" i="1"/>
  <c r="F2058" i="1"/>
  <c r="G2058" i="1"/>
  <c r="H2058" i="1"/>
  <c r="I2058" i="1"/>
  <c r="J2058" i="1"/>
  <c r="K2058" i="1"/>
  <c r="L2058" i="1"/>
  <c r="M2058" i="1"/>
  <c r="N2058" i="1"/>
  <c r="A2059" i="1"/>
  <c r="B2059" i="1"/>
  <c r="F2059" i="1"/>
  <c r="G2059" i="1"/>
  <c r="H2059" i="1"/>
  <c r="I2059" i="1"/>
  <c r="J2059" i="1"/>
  <c r="K2059" i="1"/>
  <c r="L2059" i="1"/>
  <c r="M2059" i="1"/>
  <c r="N2059" i="1"/>
  <c r="A2060" i="1"/>
  <c r="B2060" i="1"/>
  <c r="F2060" i="1"/>
  <c r="G2060" i="1"/>
  <c r="H2060" i="1"/>
  <c r="I2060" i="1"/>
  <c r="J2060" i="1"/>
  <c r="K2060" i="1"/>
  <c r="L2060" i="1"/>
  <c r="M2060" i="1"/>
  <c r="N2060" i="1"/>
  <c r="A2061" i="1"/>
  <c r="B2061" i="1"/>
  <c r="F2061" i="1"/>
  <c r="G2061" i="1"/>
  <c r="H2061" i="1"/>
  <c r="I2061" i="1"/>
  <c r="J2061" i="1"/>
  <c r="K2061" i="1"/>
  <c r="L2061" i="1"/>
  <c r="M2061" i="1"/>
  <c r="N2061" i="1"/>
  <c r="A2062" i="1"/>
  <c r="B2062" i="1"/>
  <c r="F2062" i="1"/>
  <c r="G2062" i="1"/>
  <c r="H2062" i="1"/>
  <c r="I2062" i="1"/>
  <c r="J2062" i="1"/>
  <c r="K2062" i="1"/>
  <c r="L2062" i="1"/>
  <c r="M2062" i="1"/>
  <c r="N2062" i="1"/>
  <c r="A2063" i="1"/>
  <c r="B2063" i="1"/>
  <c r="F2063" i="1"/>
  <c r="G2063" i="1"/>
  <c r="H2063" i="1"/>
  <c r="I2063" i="1"/>
  <c r="J2063" i="1"/>
  <c r="K2063" i="1"/>
  <c r="L2063" i="1"/>
  <c r="M2063" i="1"/>
  <c r="N2063" i="1"/>
  <c r="A2064" i="1"/>
  <c r="B2064" i="1"/>
  <c r="F2064" i="1"/>
  <c r="G2064" i="1"/>
  <c r="H2064" i="1"/>
  <c r="I2064" i="1"/>
  <c r="J2064" i="1"/>
  <c r="K2064" i="1"/>
  <c r="L2064" i="1"/>
  <c r="M2064" i="1"/>
  <c r="N2064" i="1"/>
  <c r="A2065" i="1"/>
  <c r="B2065" i="1"/>
  <c r="F2065" i="1"/>
  <c r="G2065" i="1"/>
  <c r="H2065" i="1"/>
  <c r="I2065" i="1"/>
  <c r="J2065" i="1"/>
  <c r="K2065" i="1"/>
  <c r="L2065" i="1"/>
  <c r="M2065" i="1"/>
  <c r="N2065" i="1"/>
  <c r="A2066" i="1"/>
  <c r="B2066" i="1"/>
  <c r="F2066" i="1"/>
  <c r="G2066" i="1"/>
  <c r="H2066" i="1"/>
  <c r="I2066" i="1"/>
  <c r="J2066" i="1"/>
  <c r="K2066" i="1"/>
  <c r="L2066" i="1"/>
  <c r="M2066" i="1"/>
  <c r="N2066" i="1"/>
  <c r="A2067" i="1"/>
  <c r="B2067" i="1"/>
  <c r="F2067" i="1"/>
  <c r="G2067" i="1"/>
  <c r="H2067" i="1"/>
  <c r="I2067" i="1"/>
  <c r="J2067" i="1"/>
  <c r="K2067" i="1"/>
  <c r="L2067" i="1"/>
  <c r="M2067" i="1"/>
  <c r="N2067" i="1"/>
  <c r="A2068" i="1"/>
  <c r="B2068" i="1"/>
  <c r="F2068" i="1"/>
  <c r="G2068" i="1"/>
  <c r="H2068" i="1"/>
  <c r="I2068" i="1"/>
  <c r="J2068" i="1"/>
  <c r="K2068" i="1"/>
  <c r="L2068" i="1"/>
  <c r="M2068" i="1"/>
  <c r="N2068" i="1"/>
  <c r="A2069" i="1"/>
  <c r="B2069" i="1"/>
  <c r="F2069" i="1"/>
  <c r="G2069" i="1"/>
  <c r="H2069" i="1"/>
  <c r="I2069" i="1"/>
  <c r="J2069" i="1"/>
  <c r="K2069" i="1"/>
  <c r="L2069" i="1"/>
  <c r="M2069" i="1"/>
  <c r="N2069" i="1"/>
  <c r="A2070" i="1"/>
  <c r="B2070" i="1"/>
  <c r="F2070" i="1"/>
  <c r="G2070" i="1"/>
  <c r="H2070" i="1"/>
  <c r="I2070" i="1"/>
  <c r="J2070" i="1"/>
  <c r="K2070" i="1"/>
  <c r="L2070" i="1"/>
  <c r="M2070" i="1"/>
  <c r="N2070" i="1"/>
  <c r="A2071" i="1"/>
  <c r="B2071" i="1"/>
  <c r="F2071" i="1"/>
  <c r="G2071" i="1"/>
  <c r="H2071" i="1"/>
  <c r="I2071" i="1"/>
  <c r="J2071" i="1"/>
  <c r="K2071" i="1"/>
  <c r="L2071" i="1"/>
  <c r="M2071" i="1"/>
  <c r="N2071" i="1"/>
  <c r="A2072" i="1"/>
  <c r="B2072" i="1"/>
  <c r="F2072" i="1"/>
  <c r="G2072" i="1"/>
  <c r="H2072" i="1"/>
  <c r="I2072" i="1"/>
  <c r="J2072" i="1"/>
  <c r="K2072" i="1"/>
  <c r="L2072" i="1"/>
  <c r="M2072" i="1"/>
  <c r="N2072" i="1"/>
  <c r="A2073" i="1"/>
  <c r="B2073" i="1"/>
  <c r="F2073" i="1"/>
  <c r="G2073" i="1"/>
  <c r="H2073" i="1"/>
  <c r="I2073" i="1"/>
  <c r="J2073" i="1"/>
  <c r="K2073" i="1"/>
  <c r="L2073" i="1"/>
  <c r="M2073" i="1"/>
  <c r="N2073" i="1"/>
  <c r="A2074" i="1"/>
  <c r="B2074" i="1"/>
  <c r="F2074" i="1"/>
  <c r="G2074" i="1"/>
  <c r="H2074" i="1"/>
  <c r="I2074" i="1"/>
  <c r="J2074" i="1"/>
  <c r="K2074" i="1"/>
  <c r="L2074" i="1"/>
  <c r="M2074" i="1"/>
  <c r="N2074" i="1"/>
  <c r="A2075" i="1"/>
  <c r="B2075" i="1"/>
  <c r="F2075" i="1"/>
  <c r="G2075" i="1"/>
  <c r="H2075" i="1"/>
  <c r="I2075" i="1"/>
  <c r="J2075" i="1"/>
  <c r="K2075" i="1"/>
  <c r="L2075" i="1"/>
  <c r="M2075" i="1"/>
  <c r="N2075" i="1"/>
  <c r="A2076" i="1"/>
  <c r="B2076" i="1"/>
  <c r="F2076" i="1"/>
  <c r="G2076" i="1"/>
  <c r="H2076" i="1"/>
  <c r="I2076" i="1"/>
  <c r="J2076" i="1"/>
  <c r="K2076" i="1"/>
  <c r="L2076" i="1"/>
  <c r="M2076" i="1"/>
  <c r="N2076" i="1"/>
  <c r="A2077" i="1"/>
  <c r="B2077" i="1"/>
  <c r="F2077" i="1"/>
  <c r="G2077" i="1"/>
  <c r="H2077" i="1"/>
  <c r="I2077" i="1"/>
  <c r="J2077" i="1"/>
  <c r="K2077" i="1"/>
  <c r="L2077" i="1"/>
  <c r="M2077" i="1"/>
  <c r="N2077" i="1"/>
  <c r="A2078" i="1"/>
  <c r="B2078" i="1"/>
  <c r="F2078" i="1"/>
  <c r="G2078" i="1"/>
  <c r="H2078" i="1"/>
  <c r="I2078" i="1"/>
  <c r="J2078" i="1"/>
  <c r="K2078" i="1"/>
  <c r="L2078" i="1"/>
  <c r="M2078" i="1"/>
  <c r="N2078" i="1"/>
  <c r="A2079" i="1"/>
  <c r="B2079" i="1"/>
  <c r="F2079" i="1"/>
  <c r="G2079" i="1"/>
  <c r="H2079" i="1"/>
  <c r="I2079" i="1"/>
  <c r="J2079" i="1"/>
  <c r="K2079" i="1"/>
  <c r="L2079" i="1"/>
  <c r="M2079" i="1"/>
  <c r="N2079" i="1"/>
  <c r="A2080" i="1"/>
  <c r="B2080" i="1"/>
  <c r="F2080" i="1"/>
  <c r="G2080" i="1"/>
  <c r="H2080" i="1"/>
  <c r="I2080" i="1"/>
  <c r="J2080" i="1"/>
  <c r="K2080" i="1"/>
  <c r="L2080" i="1"/>
  <c r="M2080" i="1"/>
  <c r="N2080" i="1"/>
  <c r="A2081" i="1"/>
  <c r="B2081" i="1"/>
  <c r="F2081" i="1"/>
  <c r="G2081" i="1"/>
  <c r="H2081" i="1"/>
  <c r="I2081" i="1"/>
  <c r="J2081" i="1"/>
  <c r="K2081" i="1"/>
  <c r="L2081" i="1"/>
  <c r="M2081" i="1"/>
  <c r="N2081" i="1"/>
  <c r="A2082" i="1"/>
  <c r="B2082" i="1"/>
  <c r="F2082" i="1"/>
  <c r="G2082" i="1"/>
  <c r="H2082" i="1"/>
  <c r="I2082" i="1"/>
  <c r="J2082" i="1"/>
  <c r="K2082" i="1"/>
  <c r="L2082" i="1"/>
  <c r="M2082" i="1"/>
  <c r="N2082" i="1"/>
  <c r="A2083" i="1"/>
  <c r="B2083" i="1"/>
  <c r="F2083" i="1"/>
  <c r="G2083" i="1"/>
  <c r="H2083" i="1"/>
  <c r="I2083" i="1"/>
  <c r="J2083" i="1"/>
  <c r="K2083" i="1"/>
  <c r="L2083" i="1"/>
  <c r="M2083" i="1"/>
  <c r="N2083" i="1"/>
  <c r="A2084" i="1"/>
  <c r="B2084" i="1"/>
  <c r="F2084" i="1"/>
  <c r="G2084" i="1"/>
  <c r="H2084" i="1"/>
  <c r="I2084" i="1"/>
  <c r="J2084" i="1"/>
  <c r="K2084" i="1"/>
  <c r="L2084" i="1"/>
  <c r="M2084" i="1"/>
  <c r="N2084" i="1"/>
  <c r="A2085" i="1"/>
  <c r="B2085" i="1"/>
  <c r="F2085" i="1"/>
  <c r="G2085" i="1"/>
  <c r="H2085" i="1"/>
  <c r="I2085" i="1"/>
  <c r="J2085" i="1"/>
  <c r="K2085" i="1"/>
  <c r="L2085" i="1"/>
  <c r="M2085" i="1"/>
  <c r="N2085" i="1"/>
  <c r="A2086" i="1"/>
  <c r="B2086" i="1"/>
  <c r="F2086" i="1"/>
  <c r="G2086" i="1"/>
  <c r="H2086" i="1"/>
  <c r="I2086" i="1"/>
  <c r="J2086" i="1"/>
  <c r="K2086" i="1"/>
  <c r="L2086" i="1"/>
  <c r="M2086" i="1"/>
  <c r="N2086" i="1"/>
  <c r="A2087" i="1"/>
  <c r="B2087" i="1"/>
  <c r="F2087" i="1"/>
  <c r="G2087" i="1"/>
  <c r="H2087" i="1"/>
  <c r="I2087" i="1"/>
  <c r="J2087" i="1"/>
  <c r="K2087" i="1"/>
  <c r="L2087" i="1"/>
  <c r="M2087" i="1"/>
  <c r="N2087" i="1"/>
  <c r="A2088" i="1"/>
  <c r="B2088" i="1"/>
  <c r="F2088" i="1"/>
  <c r="G2088" i="1"/>
  <c r="H2088" i="1"/>
  <c r="I2088" i="1"/>
  <c r="J2088" i="1"/>
  <c r="K2088" i="1"/>
  <c r="L2088" i="1"/>
  <c r="M2088" i="1"/>
  <c r="N2088" i="1"/>
  <c r="A2089" i="1"/>
  <c r="B2089" i="1"/>
  <c r="F2089" i="1"/>
  <c r="G2089" i="1"/>
  <c r="H2089" i="1"/>
  <c r="I2089" i="1"/>
  <c r="J2089" i="1"/>
  <c r="K2089" i="1"/>
  <c r="L2089" i="1"/>
  <c r="M2089" i="1"/>
  <c r="N2089" i="1"/>
  <c r="A2090" i="1"/>
  <c r="B2090" i="1"/>
  <c r="F2090" i="1"/>
  <c r="G2090" i="1"/>
  <c r="H2090" i="1"/>
  <c r="I2090" i="1"/>
  <c r="J2090" i="1"/>
  <c r="K2090" i="1"/>
  <c r="L2090" i="1"/>
  <c r="M2090" i="1"/>
  <c r="N2090" i="1"/>
  <c r="A2091" i="1"/>
  <c r="B2091" i="1"/>
  <c r="F2091" i="1"/>
  <c r="G2091" i="1"/>
  <c r="H2091" i="1"/>
  <c r="I2091" i="1"/>
  <c r="J2091" i="1"/>
  <c r="K2091" i="1"/>
  <c r="L2091" i="1"/>
  <c r="M2091" i="1"/>
  <c r="N2091" i="1"/>
  <c r="A2092" i="1"/>
  <c r="B2092" i="1"/>
  <c r="F2092" i="1"/>
  <c r="G2092" i="1"/>
  <c r="H2092" i="1"/>
  <c r="I2092" i="1"/>
  <c r="J2092" i="1"/>
  <c r="K2092" i="1"/>
  <c r="L2092" i="1"/>
  <c r="M2092" i="1"/>
  <c r="N2092" i="1"/>
  <c r="A2093" i="1"/>
  <c r="B2093" i="1"/>
  <c r="F2093" i="1"/>
  <c r="G2093" i="1"/>
  <c r="H2093" i="1"/>
  <c r="I2093" i="1"/>
  <c r="J2093" i="1"/>
  <c r="K2093" i="1"/>
  <c r="L2093" i="1"/>
  <c r="M2093" i="1"/>
  <c r="N2093" i="1"/>
  <c r="A2094" i="1"/>
  <c r="B2094" i="1"/>
  <c r="F2094" i="1"/>
  <c r="G2094" i="1"/>
  <c r="H2094" i="1"/>
  <c r="I2094" i="1"/>
  <c r="J2094" i="1"/>
  <c r="K2094" i="1"/>
  <c r="L2094" i="1"/>
  <c r="M2094" i="1"/>
  <c r="N2094" i="1"/>
  <c r="A2095" i="1"/>
  <c r="B2095" i="1"/>
  <c r="F2095" i="1"/>
  <c r="G2095" i="1"/>
  <c r="H2095" i="1"/>
  <c r="I2095" i="1"/>
  <c r="J2095" i="1"/>
  <c r="K2095" i="1"/>
  <c r="L2095" i="1"/>
  <c r="M2095" i="1"/>
  <c r="N2095" i="1"/>
  <c r="A2096" i="1"/>
  <c r="B2096" i="1"/>
  <c r="F2096" i="1"/>
  <c r="G2096" i="1"/>
  <c r="H2096" i="1"/>
  <c r="I2096" i="1"/>
  <c r="J2096" i="1"/>
  <c r="K2096" i="1"/>
  <c r="L2096" i="1"/>
  <c r="M2096" i="1"/>
  <c r="N2096" i="1"/>
  <c r="A2097" i="1"/>
  <c r="B2097" i="1"/>
  <c r="F2097" i="1"/>
  <c r="G2097" i="1"/>
  <c r="H2097" i="1"/>
  <c r="I2097" i="1"/>
  <c r="J2097" i="1"/>
  <c r="K2097" i="1"/>
  <c r="L2097" i="1"/>
  <c r="M2097" i="1"/>
  <c r="N2097" i="1"/>
  <c r="A2098" i="1"/>
  <c r="B2098" i="1"/>
  <c r="F2098" i="1"/>
  <c r="G2098" i="1"/>
  <c r="H2098" i="1"/>
  <c r="I2098" i="1"/>
  <c r="J2098" i="1"/>
  <c r="K2098" i="1"/>
  <c r="L2098" i="1"/>
  <c r="M2098" i="1"/>
  <c r="N2098" i="1"/>
  <c r="A2099" i="1"/>
  <c r="B2099" i="1"/>
  <c r="F2099" i="1"/>
  <c r="G2099" i="1"/>
  <c r="H2099" i="1"/>
  <c r="I2099" i="1"/>
  <c r="J2099" i="1"/>
  <c r="K2099" i="1"/>
  <c r="L2099" i="1"/>
  <c r="M2099" i="1"/>
  <c r="N2099" i="1"/>
  <c r="A2100" i="1"/>
  <c r="B2100" i="1"/>
  <c r="F2100" i="1"/>
  <c r="G2100" i="1"/>
  <c r="H2100" i="1"/>
  <c r="I2100" i="1"/>
  <c r="J2100" i="1"/>
  <c r="K2100" i="1"/>
  <c r="L2100" i="1"/>
  <c r="M2100" i="1"/>
  <c r="N2100" i="1"/>
  <c r="A2101" i="1"/>
  <c r="B2101" i="1"/>
  <c r="F2101" i="1"/>
  <c r="G2101" i="1"/>
  <c r="H2101" i="1"/>
  <c r="I2101" i="1"/>
  <c r="J2101" i="1"/>
  <c r="K2101" i="1"/>
  <c r="L2101" i="1"/>
  <c r="M2101" i="1"/>
  <c r="N2101" i="1"/>
  <c r="A2102" i="1"/>
  <c r="B2102" i="1"/>
  <c r="F2102" i="1"/>
  <c r="G2102" i="1"/>
  <c r="H2102" i="1"/>
  <c r="I2102" i="1"/>
  <c r="J2102" i="1"/>
  <c r="K2102" i="1"/>
  <c r="L2102" i="1"/>
  <c r="M2102" i="1"/>
  <c r="N2102" i="1"/>
  <c r="A2103" i="1"/>
  <c r="B2103" i="1"/>
  <c r="F2103" i="1"/>
  <c r="G2103" i="1"/>
  <c r="H2103" i="1"/>
  <c r="I2103" i="1"/>
  <c r="J2103" i="1"/>
  <c r="K2103" i="1"/>
  <c r="L2103" i="1"/>
  <c r="M2103" i="1"/>
  <c r="N2103" i="1"/>
  <c r="A2104" i="1"/>
  <c r="B2104" i="1"/>
  <c r="F2104" i="1"/>
  <c r="G2104" i="1"/>
  <c r="H2104" i="1"/>
  <c r="I2104" i="1"/>
  <c r="J2104" i="1"/>
  <c r="K2104" i="1"/>
  <c r="L2104" i="1"/>
  <c r="M2104" i="1"/>
  <c r="N2104" i="1"/>
  <c r="A2105" i="1"/>
  <c r="B2105" i="1"/>
  <c r="F2105" i="1"/>
  <c r="G2105" i="1"/>
  <c r="H2105" i="1"/>
  <c r="I2105" i="1"/>
  <c r="J2105" i="1"/>
  <c r="K2105" i="1"/>
  <c r="L2105" i="1"/>
  <c r="M2105" i="1"/>
  <c r="N2105" i="1"/>
  <c r="A2106" i="1"/>
  <c r="B2106" i="1"/>
  <c r="F2106" i="1"/>
  <c r="G2106" i="1"/>
  <c r="H2106" i="1"/>
  <c r="I2106" i="1"/>
  <c r="J2106" i="1"/>
  <c r="K2106" i="1"/>
  <c r="L2106" i="1"/>
  <c r="M2106" i="1"/>
  <c r="N2106" i="1"/>
  <c r="A2107" i="1"/>
  <c r="B2107" i="1"/>
  <c r="F2107" i="1"/>
  <c r="G2107" i="1"/>
  <c r="H2107" i="1"/>
  <c r="I2107" i="1"/>
  <c r="J2107" i="1"/>
  <c r="K2107" i="1"/>
  <c r="L2107" i="1"/>
  <c r="M2107" i="1"/>
  <c r="N2107" i="1"/>
  <c r="A2108" i="1"/>
  <c r="B2108" i="1"/>
  <c r="F2108" i="1"/>
  <c r="G2108" i="1"/>
  <c r="H2108" i="1"/>
  <c r="I2108" i="1"/>
  <c r="J2108" i="1"/>
  <c r="K2108" i="1"/>
  <c r="L2108" i="1"/>
  <c r="M2108" i="1"/>
  <c r="N2108" i="1"/>
  <c r="A2109" i="1"/>
  <c r="B2109" i="1"/>
  <c r="F2109" i="1"/>
  <c r="G2109" i="1"/>
  <c r="H2109" i="1"/>
  <c r="I2109" i="1"/>
  <c r="J2109" i="1"/>
  <c r="K2109" i="1"/>
  <c r="L2109" i="1"/>
  <c r="M2109" i="1"/>
  <c r="N2109" i="1"/>
  <c r="A2110" i="1"/>
  <c r="B2110" i="1"/>
  <c r="F2110" i="1"/>
  <c r="G2110" i="1"/>
  <c r="H2110" i="1"/>
  <c r="I2110" i="1"/>
  <c r="J2110" i="1"/>
  <c r="K2110" i="1"/>
  <c r="L2110" i="1"/>
  <c r="M2110" i="1"/>
  <c r="N2110" i="1"/>
  <c r="A2111" i="1"/>
  <c r="B2111" i="1"/>
  <c r="F2111" i="1"/>
  <c r="G2111" i="1"/>
  <c r="H2111" i="1"/>
  <c r="I2111" i="1"/>
  <c r="J2111" i="1"/>
  <c r="K2111" i="1"/>
  <c r="L2111" i="1"/>
  <c r="M2111" i="1"/>
  <c r="N2111" i="1"/>
  <c r="A2112" i="1"/>
  <c r="B2112" i="1"/>
  <c r="F2112" i="1"/>
  <c r="G2112" i="1"/>
  <c r="H2112" i="1"/>
  <c r="I2112" i="1"/>
  <c r="J2112" i="1"/>
  <c r="K2112" i="1"/>
  <c r="L2112" i="1"/>
  <c r="M2112" i="1"/>
  <c r="N2112" i="1"/>
  <c r="A2113" i="1"/>
  <c r="B2113" i="1"/>
  <c r="F2113" i="1"/>
  <c r="G2113" i="1"/>
  <c r="H2113" i="1"/>
  <c r="I2113" i="1"/>
  <c r="J2113" i="1"/>
  <c r="K2113" i="1"/>
  <c r="L2113" i="1"/>
  <c r="M2113" i="1"/>
  <c r="N2113" i="1"/>
  <c r="A2114" i="1"/>
  <c r="B2114" i="1"/>
  <c r="F2114" i="1"/>
  <c r="G2114" i="1"/>
  <c r="H2114" i="1"/>
  <c r="I2114" i="1"/>
  <c r="J2114" i="1"/>
  <c r="K2114" i="1"/>
  <c r="L2114" i="1"/>
  <c r="M2114" i="1"/>
  <c r="N2114" i="1"/>
  <c r="A2115" i="1"/>
  <c r="B2115" i="1"/>
  <c r="F2115" i="1"/>
  <c r="G2115" i="1"/>
  <c r="H2115" i="1"/>
  <c r="I2115" i="1"/>
  <c r="J2115" i="1"/>
  <c r="K2115" i="1"/>
  <c r="L2115" i="1"/>
  <c r="M2115" i="1"/>
  <c r="N2115" i="1"/>
  <c r="A2116" i="1"/>
  <c r="B2116" i="1"/>
  <c r="F2116" i="1"/>
  <c r="G2116" i="1"/>
  <c r="H2116" i="1"/>
  <c r="I2116" i="1"/>
  <c r="J2116" i="1"/>
  <c r="K2116" i="1"/>
  <c r="L2116" i="1"/>
  <c r="M2116" i="1"/>
  <c r="N2116" i="1"/>
  <c r="A2117" i="1"/>
  <c r="B2117" i="1"/>
  <c r="F2117" i="1"/>
  <c r="G2117" i="1"/>
  <c r="H2117" i="1"/>
  <c r="I2117" i="1"/>
  <c r="J2117" i="1"/>
  <c r="K2117" i="1"/>
  <c r="L2117" i="1"/>
  <c r="M2117" i="1"/>
  <c r="N2117" i="1"/>
  <c r="A2118" i="1"/>
  <c r="B2118" i="1"/>
  <c r="F2118" i="1"/>
  <c r="G2118" i="1"/>
  <c r="H2118" i="1"/>
  <c r="I2118" i="1"/>
  <c r="J2118" i="1"/>
  <c r="K2118" i="1"/>
  <c r="L2118" i="1"/>
  <c r="M2118" i="1"/>
  <c r="N2118" i="1"/>
  <c r="A2119" i="1"/>
  <c r="B2119" i="1"/>
  <c r="F2119" i="1"/>
  <c r="G2119" i="1"/>
  <c r="H2119" i="1"/>
  <c r="I2119" i="1"/>
  <c r="J2119" i="1"/>
  <c r="K2119" i="1"/>
  <c r="L2119" i="1"/>
  <c r="M2119" i="1"/>
  <c r="N2119" i="1"/>
  <c r="A2120" i="1"/>
  <c r="B2120" i="1"/>
  <c r="F2120" i="1"/>
  <c r="G2120" i="1"/>
  <c r="H2120" i="1"/>
  <c r="I2120" i="1"/>
  <c r="J2120" i="1"/>
  <c r="K2120" i="1"/>
  <c r="L2120" i="1"/>
  <c r="M2120" i="1"/>
  <c r="N2120" i="1"/>
  <c r="A2121" i="1"/>
  <c r="B2121" i="1"/>
  <c r="F2121" i="1"/>
  <c r="G2121" i="1"/>
  <c r="H2121" i="1"/>
  <c r="I2121" i="1"/>
  <c r="J2121" i="1"/>
  <c r="K2121" i="1"/>
  <c r="L2121" i="1"/>
  <c r="M2121" i="1"/>
  <c r="N2121" i="1"/>
  <c r="A2122" i="1"/>
  <c r="B2122" i="1"/>
  <c r="F2122" i="1"/>
  <c r="G2122" i="1"/>
  <c r="H2122" i="1"/>
  <c r="I2122" i="1"/>
  <c r="J2122" i="1"/>
  <c r="K2122" i="1"/>
  <c r="L2122" i="1"/>
  <c r="M2122" i="1"/>
  <c r="N2122" i="1"/>
  <c r="A2123" i="1"/>
  <c r="B2123" i="1"/>
  <c r="F2123" i="1"/>
  <c r="G2123" i="1"/>
  <c r="H2123" i="1"/>
  <c r="I2123" i="1"/>
  <c r="J2123" i="1"/>
  <c r="K2123" i="1"/>
  <c r="L2123" i="1"/>
  <c r="M2123" i="1"/>
  <c r="N2123" i="1"/>
  <c r="A2124" i="1"/>
  <c r="B2124" i="1"/>
  <c r="F2124" i="1"/>
  <c r="G2124" i="1"/>
  <c r="H2124" i="1"/>
  <c r="I2124" i="1"/>
  <c r="J2124" i="1"/>
  <c r="K2124" i="1"/>
  <c r="L2124" i="1"/>
  <c r="M2124" i="1"/>
  <c r="N2124" i="1"/>
  <c r="A2125" i="1"/>
  <c r="B2125" i="1"/>
  <c r="F2125" i="1"/>
  <c r="G2125" i="1"/>
  <c r="H2125" i="1"/>
  <c r="I2125" i="1"/>
  <c r="J2125" i="1"/>
  <c r="K2125" i="1"/>
  <c r="L2125" i="1"/>
  <c r="M2125" i="1"/>
  <c r="N2125" i="1"/>
  <c r="A2126" i="1"/>
  <c r="B2126" i="1"/>
  <c r="F2126" i="1"/>
  <c r="G2126" i="1"/>
  <c r="H2126" i="1"/>
  <c r="I2126" i="1"/>
  <c r="J2126" i="1"/>
  <c r="K2126" i="1"/>
  <c r="L2126" i="1"/>
  <c r="M2126" i="1"/>
  <c r="N2126" i="1"/>
  <c r="A2127" i="1"/>
  <c r="B2127" i="1"/>
  <c r="F2127" i="1"/>
  <c r="G2127" i="1"/>
  <c r="H2127" i="1"/>
  <c r="I2127" i="1"/>
  <c r="J2127" i="1"/>
  <c r="K2127" i="1"/>
  <c r="L2127" i="1"/>
  <c r="M2127" i="1"/>
  <c r="N2127" i="1"/>
  <c r="A2128" i="1"/>
  <c r="B2128" i="1"/>
  <c r="F2128" i="1"/>
  <c r="G2128" i="1"/>
  <c r="H2128" i="1"/>
  <c r="I2128" i="1"/>
  <c r="J2128" i="1"/>
  <c r="K2128" i="1"/>
  <c r="L2128" i="1"/>
  <c r="M2128" i="1"/>
  <c r="N2128" i="1"/>
  <c r="A2129" i="1"/>
  <c r="B2129" i="1"/>
  <c r="F2129" i="1"/>
  <c r="G2129" i="1"/>
  <c r="H2129" i="1"/>
  <c r="I2129" i="1"/>
  <c r="J2129" i="1"/>
  <c r="K2129" i="1"/>
  <c r="L2129" i="1"/>
  <c r="M2129" i="1"/>
  <c r="N2129" i="1"/>
  <c r="A2130" i="1"/>
  <c r="B2130" i="1"/>
  <c r="F2130" i="1"/>
  <c r="G2130" i="1"/>
  <c r="H2130" i="1"/>
  <c r="I2130" i="1"/>
  <c r="J2130" i="1"/>
  <c r="K2130" i="1"/>
  <c r="L2130" i="1"/>
  <c r="M2130" i="1"/>
  <c r="N2130" i="1"/>
  <c r="A2131" i="1"/>
  <c r="B2131" i="1"/>
  <c r="F2131" i="1"/>
  <c r="G2131" i="1"/>
  <c r="H2131" i="1"/>
  <c r="I2131" i="1"/>
  <c r="J2131" i="1"/>
  <c r="K2131" i="1"/>
  <c r="L2131" i="1"/>
  <c r="M2131" i="1"/>
  <c r="N2131" i="1"/>
  <c r="A2132" i="1"/>
  <c r="B2132" i="1"/>
  <c r="F2132" i="1"/>
  <c r="G2132" i="1"/>
  <c r="H2132" i="1"/>
  <c r="I2132" i="1"/>
  <c r="J2132" i="1"/>
  <c r="K2132" i="1"/>
  <c r="L2132" i="1"/>
  <c r="M2132" i="1"/>
  <c r="N2132" i="1"/>
  <c r="A2133" i="1"/>
  <c r="B2133" i="1"/>
  <c r="F2133" i="1"/>
  <c r="G2133" i="1"/>
  <c r="H2133" i="1"/>
  <c r="I2133" i="1"/>
  <c r="J2133" i="1"/>
  <c r="K2133" i="1"/>
  <c r="L2133" i="1"/>
  <c r="M2133" i="1"/>
  <c r="N2133" i="1"/>
  <c r="A2134" i="1"/>
  <c r="B2134" i="1"/>
  <c r="F2134" i="1"/>
  <c r="G2134" i="1"/>
  <c r="H2134" i="1"/>
  <c r="I2134" i="1"/>
  <c r="J2134" i="1"/>
  <c r="K2134" i="1"/>
  <c r="L2134" i="1"/>
  <c r="M2134" i="1"/>
  <c r="N2134" i="1"/>
  <c r="A2135" i="1"/>
  <c r="B2135" i="1"/>
  <c r="F2135" i="1"/>
  <c r="G2135" i="1"/>
  <c r="H2135" i="1"/>
  <c r="I2135" i="1"/>
  <c r="J2135" i="1"/>
  <c r="K2135" i="1"/>
  <c r="L2135" i="1"/>
  <c r="M2135" i="1"/>
  <c r="N2135" i="1"/>
  <c r="A2136" i="1"/>
  <c r="B2136" i="1"/>
  <c r="F2136" i="1"/>
  <c r="G2136" i="1"/>
  <c r="H2136" i="1"/>
  <c r="I2136" i="1"/>
  <c r="J2136" i="1"/>
  <c r="K2136" i="1"/>
  <c r="L2136" i="1"/>
  <c r="M2136" i="1"/>
  <c r="N2136" i="1"/>
  <c r="A2137" i="1"/>
  <c r="B2137" i="1"/>
  <c r="F2137" i="1"/>
  <c r="G2137" i="1"/>
  <c r="H2137" i="1"/>
  <c r="I2137" i="1"/>
  <c r="J2137" i="1"/>
  <c r="K2137" i="1"/>
  <c r="L2137" i="1"/>
  <c r="M2137" i="1"/>
  <c r="N2137" i="1"/>
  <c r="A2138" i="1"/>
  <c r="B2138" i="1"/>
  <c r="F2138" i="1"/>
  <c r="G2138" i="1"/>
  <c r="H2138" i="1"/>
  <c r="I2138" i="1"/>
  <c r="J2138" i="1"/>
  <c r="K2138" i="1"/>
  <c r="L2138" i="1"/>
  <c r="M2138" i="1"/>
  <c r="N2138" i="1"/>
  <c r="A2139" i="1"/>
  <c r="B2139" i="1"/>
  <c r="F2139" i="1"/>
  <c r="G2139" i="1"/>
  <c r="H2139" i="1"/>
  <c r="I2139" i="1"/>
  <c r="J2139" i="1"/>
  <c r="K2139" i="1"/>
  <c r="L2139" i="1"/>
  <c r="M2139" i="1"/>
  <c r="N2139" i="1"/>
  <c r="A2140" i="1"/>
  <c r="B2140" i="1"/>
  <c r="F2140" i="1"/>
  <c r="G2140" i="1"/>
  <c r="H2140" i="1"/>
  <c r="I2140" i="1"/>
  <c r="J2140" i="1"/>
  <c r="K2140" i="1"/>
  <c r="L2140" i="1"/>
  <c r="M2140" i="1"/>
  <c r="N2140" i="1"/>
  <c r="A2141" i="1"/>
  <c r="B2141" i="1"/>
  <c r="F2141" i="1"/>
  <c r="G2141" i="1"/>
  <c r="H2141" i="1"/>
  <c r="I2141" i="1"/>
  <c r="J2141" i="1"/>
  <c r="K2141" i="1"/>
  <c r="L2141" i="1"/>
  <c r="M2141" i="1"/>
  <c r="N2141" i="1"/>
  <c r="A2142" i="1"/>
  <c r="B2142" i="1"/>
  <c r="F2142" i="1"/>
  <c r="G2142" i="1"/>
  <c r="H2142" i="1"/>
  <c r="I2142" i="1"/>
  <c r="J2142" i="1"/>
  <c r="K2142" i="1"/>
  <c r="L2142" i="1"/>
  <c r="M2142" i="1"/>
  <c r="N2142" i="1"/>
  <c r="A2143" i="1"/>
  <c r="B2143" i="1"/>
  <c r="F2143" i="1"/>
  <c r="G2143" i="1"/>
  <c r="H2143" i="1"/>
  <c r="I2143" i="1"/>
  <c r="J2143" i="1"/>
  <c r="K2143" i="1"/>
  <c r="L2143" i="1"/>
  <c r="M2143" i="1"/>
  <c r="N2143" i="1"/>
  <c r="A2144" i="1"/>
  <c r="B2144" i="1"/>
  <c r="F2144" i="1"/>
  <c r="G2144" i="1"/>
  <c r="H2144" i="1"/>
  <c r="I2144" i="1"/>
  <c r="J2144" i="1"/>
  <c r="K2144" i="1"/>
  <c r="L2144" i="1"/>
  <c r="M2144" i="1"/>
  <c r="N2144" i="1"/>
  <c r="A2145" i="1"/>
  <c r="B2145" i="1"/>
  <c r="F2145" i="1"/>
  <c r="G2145" i="1"/>
  <c r="H2145" i="1"/>
  <c r="I2145" i="1"/>
  <c r="J2145" i="1"/>
  <c r="K2145" i="1"/>
  <c r="L2145" i="1"/>
  <c r="M2145" i="1"/>
  <c r="N2145" i="1"/>
  <c r="A2146" i="1"/>
  <c r="B2146" i="1"/>
  <c r="F2146" i="1"/>
  <c r="G2146" i="1"/>
  <c r="H2146" i="1"/>
  <c r="I2146" i="1"/>
  <c r="J2146" i="1"/>
  <c r="K2146" i="1"/>
  <c r="L2146" i="1"/>
  <c r="M2146" i="1"/>
  <c r="N2146" i="1"/>
  <c r="A2147" i="1"/>
  <c r="B2147" i="1"/>
  <c r="F2147" i="1"/>
  <c r="G2147" i="1"/>
  <c r="H2147" i="1"/>
  <c r="I2147" i="1"/>
  <c r="J2147" i="1"/>
  <c r="K2147" i="1"/>
  <c r="L2147" i="1"/>
  <c r="M2147" i="1"/>
  <c r="N2147" i="1"/>
  <c r="A2148" i="1"/>
  <c r="B2148" i="1"/>
  <c r="F2148" i="1"/>
  <c r="G2148" i="1"/>
  <c r="H2148" i="1"/>
  <c r="I2148" i="1"/>
  <c r="J2148" i="1"/>
  <c r="K2148" i="1"/>
  <c r="L2148" i="1"/>
  <c r="M2148" i="1"/>
  <c r="N2148" i="1"/>
  <c r="A2149" i="1"/>
  <c r="B2149" i="1"/>
  <c r="F2149" i="1"/>
  <c r="G2149" i="1"/>
  <c r="H2149" i="1"/>
  <c r="I2149" i="1"/>
  <c r="J2149" i="1"/>
  <c r="K2149" i="1"/>
  <c r="L2149" i="1"/>
  <c r="M2149" i="1"/>
  <c r="N2149" i="1"/>
  <c r="A2150" i="1"/>
  <c r="B2150" i="1"/>
  <c r="F2150" i="1"/>
  <c r="G2150" i="1"/>
  <c r="H2150" i="1"/>
  <c r="I2150" i="1"/>
  <c r="J2150" i="1"/>
  <c r="K2150" i="1"/>
  <c r="L2150" i="1"/>
  <c r="M2150" i="1"/>
  <c r="N2150" i="1"/>
  <c r="A2151" i="1"/>
  <c r="B2151" i="1"/>
  <c r="F2151" i="1"/>
  <c r="G2151" i="1"/>
  <c r="H2151" i="1"/>
  <c r="I2151" i="1"/>
  <c r="J2151" i="1"/>
  <c r="K2151" i="1"/>
  <c r="L2151" i="1"/>
  <c r="M2151" i="1"/>
  <c r="N2151" i="1"/>
  <c r="A2152" i="1"/>
  <c r="B2152" i="1"/>
  <c r="F2152" i="1"/>
  <c r="G2152" i="1"/>
  <c r="H2152" i="1"/>
  <c r="I2152" i="1"/>
  <c r="J2152" i="1"/>
  <c r="K2152" i="1"/>
  <c r="L2152" i="1"/>
  <c r="M2152" i="1"/>
  <c r="N2152" i="1"/>
  <c r="A2153" i="1"/>
  <c r="B2153" i="1"/>
  <c r="F2153" i="1"/>
  <c r="G2153" i="1"/>
  <c r="H2153" i="1"/>
  <c r="I2153" i="1"/>
  <c r="J2153" i="1"/>
  <c r="K2153" i="1"/>
  <c r="L2153" i="1"/>
  <c r="M2153" i="1"/>
  <c r="N2153" i="1"/>
  <c r="A2154" i="1"/>
  <c r="B2154" i="1"/>
  <c r="F2154" i="1"/>
  <c r="G2154" i="1"/>
  <c r="H2154" i="1"/>
  <c r="I2154" i="1"/>
  <c r="J2154" i="1"/>
  <c r="K2154" i="1"/>
  <c r="L2154" i="1"/>
  <c r="M2154" i="1"/>
  <c r="N2154" i="1"/>
  <c r="A2155" i="1"/>
  <c r="B2155" i="1"/>
  <c r="F2155" i="1"/>
  <c r="G2155" i="1"/>
  <c r="H2155" i="1"/>
  <c r="I2155" i="1"/>
  <c r="J2155" i="1"/>
  <c r="K2155" i="1"/>
  <c r="L2155" i="1"/>
  <c r="M2155" i="1"/>
  <c r="N2155" i="1"/>
  <c r="A2156" i="1"/>
  <c r="B2156" i="1"/>
  <c r="F2156" i="1"/>
  <c r="G2156" i="1"/>
  <c r="H2156" i="1"/>
  <c r="I2156" i="1"/>
  <c r="J2156" i="1"/>
  <c r="K2156" i="1"/>
  <c r="L2156" i="1"/>
  <c r="M2156" i="1"/>
  <c r="N2156" i="1"/>
  <c r="A2157" i="1"/>
  <c r="B2157" i="1"/>
  <c r="F2157" i="1"/>
  <c r="G2157" i="1"/>
  <c r="H2157" i="1"/>
  <c r="I2157" i="1"/>
  <c r="J2157" i="1"/>
  <c r="K2157" i="1"/>
  <c r="L2157" i="1"/>
  <c r="M2157" i="1"/>
  <c r="N2157" i="1"/>
  <c r="A2158" i="1"/>
  <c r="B2158" i="1"/>
  <c r="F2158" i="1"/>
  <c r="G2158" i="1"/>
  <c r="H2158" i="1"/>
  <c r="I2158" i="1"/>
  <c r="J2158" i="1"/>
  <c r="K2158" i="1"/>
  <c r="L2158" i="1"/>
  <c r="M2158" i="1"/>
  <c r="N2158" i="1"/>
  <c r="A2159" i="1"/>
  <c r="B2159" i="1"/>
  <c r="F2159" i="1"/>
  <c r="G2159" i="1"/>
  <c r="H2159" i="1"/>
  <c r="I2159" i="1"/>
  <c r="J2159" i="1"/>
  <c r="K2159" i="1"/>
  <c r="L2159" i="1"/>
  <c r="M2159" i="1"/>
  <c r="N2159" i="1"/>
  <c r="A2160" i="1"/>
  <c r="B2160" i="1"/>
  <c r="F2160" i="1"/>
  <c r="G2160" i="1"/>
  <c r="H2160" i="1"/>
  <c r="I2160" i="1"/>
  <c r="J2160" i="1"/>
  <c r="K2160" i="1"/>
  <c r="L2160" i="1"/>
  <c r="M2160" i="1"/>
  <c r="N2160" i="1"/>
  <c r="A2161" i="1"/>
  <c r="B2161" i="1"/>
  <c r="F2161" i="1"/>
  <c r="G2161" i="1"/>
  <c r="H2161" i="1"/>
  <c r="I2161" i="1"/>
  <c r="J2161" i="1"/>
  <c r="K2161" i="1"/>
  <c r="L2161" i="1"/>
  <c r="M2161" i="1"/>
  <c r="N2161" i="1"/>
  <c r="A2162" i="1"/>
  <c r="B2162" i="1"/>
  <c r="F2162" i="1"/>
  <c r="G2162" i="1"/>
  <c r="H2162" i="1"/>
  <c r="I2162" i="1"/>
  <c r="J2162" i="1"/>
  <c r="K2162" i="1"/>
  <c r="L2162" i="1"/>
  <c r="M2162" i="1"/>
  <c r="N2162" i="1"/>
  <c r="A2163" i="1"/>
  <c r="B2163" i="1"/>
  <c r="F2163" i="1"/>
  <c r="G2163" i="1"/>
  <c r="H2163" i="1"/>
  <c r="I2163" i="1"/>
  <c r="J2163" i="1"/>
  <c r="K2163" i="1"/>
  <c r="L2163" i="1"/>
  <c r="M2163" i="1"/>
  <c r="N2163" i="1"/>
  <c r="A2164" i="1"/>
  <c r="B2164" i="1"/>
  <c r="F2164" i="1"/>
  <c r="G2164" i="1"/>
  <c r="H2164" i="1"/>
  <c r="I2164" i="1"/>
  <c r="J2164" i="1"/>
  <c r="K2164" i="1"/>
  <c r="L2164" i="1"/>
  <c r="M2164" i="1"/>
  <c r="N2164" i="1"/>
  <c r="A2165" i="1"/>
  <c r="B2165" i="1"/>
  <c r="F2165" i="1"/>
  <c r="G2165" i="1"/>
  <c r="H2165" i="1"/>
  <c r="I2165" i="1"/>
  <c r="J2165" i="1"/>
  <c r="K2165" i="1"/>
  <c r="L2165" i="1"/>
  <c r="M2165" i="1"/>
  <c r="N2165" i="1"/>
  <c r="A2166" i="1"/>
  <c r="B2166" i="1"/>
  <c r="F2166" i="1"/>
  <c r="G2166" i="1"/>
  <c r="H2166" i="1"/>
  <c r="I2166" i="1"/>
  <c r="J2166" i="1"/>
  <c r="K2166" i="1"/>
  <c r="L2166" i="1"/>
  <c r="M2166" i="1"/>
  <c r="N2166" i="1"/>
  <c r="A2167" i="1"/>
  <c r="B2167" i="1"/>
  <c r="F2167" i="1"/>
  <c r="G2167" i="1"/>
  <c r="H2167" i="1"/>
  <c r="I2167" i="1"/>
  <c r="J2167" i="1"/>
  <c r="K2167" i="1"/>
  <c r="L2167" i="1"/>
  <c r="M2167" i="1"/>
  <c r="N2167" i="1"/>
  <c r="A2168" i="1"/>
  <c r="B2168" i="1"/>
  <c r="F2168" i="1"/>
  <c r="G2168" i="1"/>
  <c r="H2168" i="1"/>
  <c r="I2168" i="1"/>
  <c r="J2168" i="1"/>
  <c r="K2168" i="1"/>
  <c r="L2168" i="1"/>
  <c r="M2168" i="1"/>
  <c r="N2168" i="1"/>
  <c r="A2169" i="1"/>
  <c r="B2169" i="1"/>
  <c r="F2169" i="1"/>
  <c r="G2169" i="1"/>
  <c r="H2169" i="1"/>
  <c r="I2169" i="1"/>
  <c r="J2169" i="1"/>
  <c r="K2169" i="1"/>
  <c r="L2169" i="1"/>
  <c r="M2169" i="1"/>
  <c r="N2169" i="1"/>
  <c r="A2170" i="1"/>
  <c r="B2170" i="1"/>
  <c r="F2170" i="1"/>
  <c r="G2170" i="1"/>
  <c r="H2170" i="1"/>
  <c r="I2170" i="1"/>
  <c r="J2170" i="1"/>
  <c r="K2170" i="1"/>
  <c r="L2170" i="1"/>
  <c r="M2170" i="1"/>
  <c r="N2170" i="1"/>
  <c r="A2171" i="1"/>
  <c r="B2171" i="1"/>
  <c r="F2171" i="1"/>
  <c r="G2171" i="1"/>
  <c r="H2171" i="1"/>
  <c r="I2171" i="1"/>
  <c r="J2171" i="1"/>
  <c r="K2171" i="1"/>
  <c r="L2171" i="1"/>
  <c r="M2171" i="1"/>
  <c r="N2171" i="1"/>
  <c r="A2172" i="1"/>
  <c r="B2172" i="1"/>
  <c r="F2172" i="1"/>
  <c r="G2172" i="1"/>
  <c r="H2172" i="1"/>
  <c r="I2172" i="1"/>
  <c r="J2172" i="1"/>
  <c r="K2172" i="1"/>
  <c r="L2172" i="1"/>
  <c r="M2172" i="1"/>
  <c r="N2172" i="1"/>
  <c r="A2173" i="1"/>
  <c r="B2173" i="1"/>
  <c r="F2173" i="1"/>
  <c r="G2173" i="1"/>
  <c r="H2173" i="1"/>
  <c r="I2173" i="1"/>
  <c r="J2173" i="1"/>
  <c r="K2173" i="1"/>
  <c r="L2173" i="1"/>
  <c r="M2173" i="1"/>
  <c r="N2173" i="1"/>
  <c r="A2174" i="1"/>
  <c r="B2174" i="1"/>
  <c r="F2174" i="1"/>
  <c r="G2174" i="1"/>
  <c r="H2174" i="1"/>
  <c r="I2174" i="1"/>
  <c r="J2174" i="1"/>
  <c r="K2174" i="1"/>
  <c r="L2174" i="1"/>
  <c r="M2174" i="1"/>
  <c r="N2174" i="1"/>
  <c r="A2175" i="1"/>
  <c r="B2175" i="1"/>
  <c r="F2175" i="1"/>
  <c r="G2175" i="1"/>
  <c r="H2175" i="1"/>
  <c r="I2175" i="1"/>
  <c r="J2175" i="1"/>
  <c r="K2175" i="1"/>
  <c r="L2175" i="1"/>
  <c r="M2175" i="1"/>
  <c r="N2175" i="1"/>
  <c r="A2176" i="1"/>
  <c r="B2176" i="1"/>
  <c r="F2176" i="1"/>
  <c r="G2176" i="1"/>
  <c r="H2176" i="1"/>
  <c r="I2176" i="1"/>
  <c r="J2176" i="1"/>
  <c r="K2176" i="1"/>
  <c r="L2176" i="1"/>
  <c r="M2176" i="1"/>
  <c r="N2176" i="1"/>
  <c r="A2177" i="1"/>
  <c r="B2177" i="1"/>
  <c r="F2177" i="1"/>
  <c r="G2177" i="1"/>
  <c r="H2177" i="1"/>
  <c r="I2177" i="1"/>
  <c r="J2177" i="1"/>
  <c r="K2177" i="1"/>
  <c r="L2177" i="1"/>
  <c r="M2177" i="1"/>
  <c r="N2177" i="1"/>
  <c r="A2178" i="1"/>
  <c r="B2178" i="1"/>
  <c r="F2178" i="1"/>
  <c r="G2178" i="1"/>
  <c r="H2178" i="1"/>
  <c r="I2178" i="1"/>
  <c r="J2178" i="1"/>
  <c r="K2178" i="1"/>
  <c r="L2178" i="1"/>
  <c r="M2178" i="1"/>
  <c r="N2178" i="1"/>
  <c r="A2179" i="1"/>
  <c r="B2179" i="1"/>
  <c r="F2179" i="1"/>
  <c r="G2179" i="1"/>
  <c r="H2179" i="1"/>
  <c r="I2179" i="1"/>
  <c r="J2179" i="1"/>
  <c r="K2179" i="1"/>
  <c r="L2179" i="1"/>
  <c r="M2179" i="1"/>
  <c r="N2179" i="1"/>
  <c r="A2180" i="1"/>
  <c r="B2180" i="1"/>
  <c r="F2180" i="1"/>
  <c r="G2180" i="1"/>
  <c r="H2180" i="1"/>
  <c r="I2180" i="1"/>
  <c r="J2180" i="1"/>
  <c r="K2180" i="1"/>
  <c r="L2180" i="1"/>
  <c r="M2180" i="1"/>
  <c r="N2180" i="1"/>
  <c r="A2181" i="1"/>
  <c r="B2181" i="1"/>
  <c r="F2181" i="1"/>
  <c r="G2181" i="1"/>
  <c r="H2181" i="1"/>
  <c r="I2181" i="1"/>
  <c r="J2181" i="1"/>
  <c r="K2181" i="1"/>
  <c r="L2181" i="1"/>
  <c r="M2181" i="1"/>
  <c r="N2181" i="1"/>
  <c r="A2182" i="1"/>
  <c r="B2182" i="1"/>
  <c r="F2182" i="1"/>
  <c r="G2182" i="1"/>
  <c r="H2182" i="1"/>
  <c r="I2182" i="1"/>
  <c r="J2182" i="1"/>
  <c r="K2182" i="1"/>
  <c r="L2182" i="1"/>
  <c r="M2182" i="1"/>
  <c r="N2182" i="1"/>
  <c r="A2183" i="1"/>
  <c r="B2183" i="1"/>
  <c r="F2183" i="1"/>
  <c r="G2183" i="1"/>
  <c r="H2183" i="1"/>
  <c r="I2183" i="1"/>
  <c r="J2183" i="1"/>
  <c r="K2183" i="1"/>
  <c r="L2183" i="1"/>
  <c r="M2183" i="1"/>
  <c r="N2183" i="1"/>
  <c r="A2184" i="1"/>
  <c r="B2184" i="1"/>
  <c r="F2184" i="1"/>
  <c r="G2184" i="1"/>
  <c r="H2184" i="1"/>
  <c r="I2184" i="1"/>
  <c r="J2184" i="1"/>
  <c r="K2184" i="1"/>
  <c r="L2184" i="1"/>
  <c r="M2184" i="1"/>
  <c r="N2184" i="1"/>
  <c r="A2185" i="1"/>
  <c r="B2185" i="1"/>
  <c r="F2185" i="1"/>
  <c r="G2185" i="1"/>
  <c r="H2185" i="1"/>
  <c r="I2185" i="1"/>
  <c r="J2185" i="1"/>
  <c r="K2185" i="1"/>
  <c r="L2185" i="1"/>
  <c r="M2185" i="1"/>
  <c r="N2185" i="1"/>
  <c r="A2186" i="1"/>
  <c r="B2186" i="1"/>
  <c r="F2186" i="1"/>
  <c r="G2186" i="1"/>
  <c r="H2186" i="1"/>
  <c r="I2186" i="1"/>
  <c r="J2186" i="1"/>
  <c r="K2186" i="1"/>
  <c r="L2186" i="1"/>
  <c r="M2186" i="1"/>
  <c r="N2186" i="1"/>
  <c r="A2187" i="1"/>
  <c r="B2187" i="1"/>
  <c r="F2187" i="1"/>
  <c r="G2187" i="1"/>
  <c r="H2187" i="1"/>
  <c r="I2187" i="1"/>
  <c r="J2187" i="1"/>
  <c r="K2187" i="1"/>
  <c r="L2187" i="1"/>
  <c r="M2187" i="1"/>
  <c r="N2187" i="1"/>
  <c r="A2188" i="1"/>
  <c r="B2188" i="1"/>
  <c r="F2188" i="1"/>
  <c r="G2188" i="1"/>
  <c r="H2188" i="1"/>
  <c r="I2188" i="1"/>
  <c r="J2188" i="1"/>
  <c r="K2188" i="1"/>
  <c r="L2188" i="1"/>
  <c r="M2188" i="1"/>
  <c r="N2188" i="1"/>
  <c r="A2189" i="1"/>
  <c r="B2189" i="1"/>
  <c r="F2189" i="1"/>
  <c r="G2189" i="1"/>
  <c r="H2189" i="1"/>
  <c r="I2189" i="1"/>
  <c r="J2189" i="1"/>
  <c r="K2189" i="1"/>
  <c r="L2189" i="1"/>
  <c r="M2189" i="1"/>
  <c r="N2189" i="1"/>
  <c r="A2190" i="1"/>
  <c r="B2190" i="1"/>
  <c r="F2190" i="1"/>
  <c r="G2190" i="1"/>
  <c r="H2190" i="1"/>
  <c r="I2190" i="1"/>
  <c r="J2190" i="1"/>
  <c r="K2190" i="1"/>
  <c r="L2190" i="1"/>
  <c r="M2190" i="1"/>
  <c r="N2190" i="1"/>
  <c r="A2191" i="1"/>
  <c r="B2191" i="1"/>
  <c r="F2191" i="1"/>
  <c r="G2191" i="1"/>
  <c r="H2191" i="1"/>
  <c r="I2191" i="1"/>
  <c r="J2191" i="1"/>
  <c r="K2191" i="1"/>
  <c r="L2191" i="1"/>
  <c r="M2191" i="1"/>
  <c r="N2191" i="1"/>
  <c r="A2192" i="1"/>
  <c r="B2192" i="1"/>
  <c r="F2192" i="1"/>
  <c r="G2192" i="1"/>
  <c r="H2192" i="1"/>
  <c r="I2192" i="1"/>
  <c r="J2192" i="1"/>
  <c r="K2192" i="1"/>
  <c r="L2192" i="1"/>
  <c r="M2192" i="1"/>
  <c r="N2192" i="1"/>
  <c r="A2193" i="1"/>
  <c r="B2193" i="1"/>
  <c r="F2193" i="1"/>
  <c r="G2193" i="1"/>
  <c r="H2193" i="1"/>
  <c r="I2193" i="1"/>
  <c r="J2193" i="1"/>
  <c r="K2193" i="1"/>
  <c r="L2193" i="1"/>
  <c r="M2193" i="1"/>
  <c r="N2193" i="1"/>
  <c r="A2194" i="1"/>
  <c r="B2194" i="1"/>
  <c r="F2194" i="1"/>
  <c r="G2194" i="1"/>
  <c r="H2194" i="1"/>
  <c r="I2194" i="1"/>
  <c r="J2194" i="1"/>
  <c r="K2194" i="1"/>
  <c r="L2194" i="1"/>
  <c r="M2194" i="1"/>
  <c r="N2194" i="1"/>
  <c r="A2195" i="1"/>
  <c r="B2195" i="1"/>
  <c r="F2195" i="1"/>
  <c r="G2195" i="1"/>
  <c r="H2195" i="1"/>
  <c r="I2195" i="1"/>
  <c r="J2195" i="1"/>
  <c r="K2195" i="1"/>
  <c r="L2195" i="1"/>
  <c r="M2195" i="1"/>
  <c r="N2195" i="1"/>
  <c r="A2196" i="1"/>
  <c r="B2196" i="1"/>
  <c r="F2196" i="1"/>
  <c r="G2196" i="1"/>
  <c r="H2196" i="1"/>
  <c r="I2196" i="1"/>
  <c r="J2196" i="1"/>
  <c r="K2196" i="1"/>
  <c r="L2196" i="1"/>
  <c r="M2196" i="1"/>
  <c r="N2196" i="1"/>
  <c r="A2197" i="1"/>
  <c r="B2197" i="1"/>
  <c r="F2197" i="1"/>
  <c r="G2197" i="1"/>
  <c r="H2197" i="1"/>
  <c r="I2197" i="1"/>
  <c r="J2197" i="1"/>
  <c r="K2197" i="1"/>
  <c r="L2197" i="1"/>
  <c r="M2197" i="1"/>
  <c r="N2197" i="1"/>
  <c r="A2198" i="1"/>
  <c r="B2198" i="1"/>
  <c r="F2198" i="1"/>
  <c r="G2198" i="1"/>
  <c r="H2198" i="1"/>
  <c r="I2198" i="1"/>
  <c r="J2198" i="1"/>
  <c r="K2198" i="1"/>
  <c r="L2198" i="1"/>
  <c r="M2198" i="1"/>
  <c r="N2198" i="1"/>
  <c r="A2199" i="1"/>
  <c r="B2199" i="1"/>
  <c r="F2199" i="1"/>
  <c r="G2199" i="1"/>
  <c r="H2199" i="1"/>
  <c r="I2199" i="1"/>
  <c r="J2199" i="1"/>
  <c r="K2199" i="1"/>
  <c r="L2199" i="1"/>
  <c r="M2199" i="1"/>
  <c r="N2199" i="1"/>
  <c r="A2200" i="1"/>
  <c r="B2200" i="1"/>
  <c r="F2200" i="1"/>
  <c r="G2200" i="1"/>
  <c r="H2200" i="1"/>
  <c r="I2200" i="1"/>
  <c r="J2200" i="1"/>
  <c r="K2200" i="1"/>
  <c r="L2200" i="1"/>
  <c r="M2200" i="1"/>
  <c r="N2200" i="1"/>
  <c r="A2201" i="1"/>
  <c r="B2201" i="1"/>
  <c r="F2201" i="1"/>
  <c r="G2201" i="1"/>
  <c r="H2201" i="1"/>
  <c r="I2201" i="1"/>
  <c r="J2201" i="1"/>
  <c r="K2201" i="1"/>
  <c r="L2201" i="1"/>
  <c r="M2201" i="1"/>
  <c r="N2201" i="1"/>
  <c r="A2202" i="1"/>
  <c r="B2202" i="1"/>
  <c r="F2202" i="1"/>
  <c r="G2202" i="1"/>
  <c r="H2202" i="1"/>
  <c r="I2202" i="1"/>
  <c r="J2202" i="1"/>
  <c r="K2202" i="1"/>
  <c r="L2202" i="1"/>
  <c r="M2202" i="1"/>
  <c r="N2202" i="1"/>
  <c r="A2203" i="1"/>
  <c r="B2203" i="1"/>
  <c r="F2203" i="1"/>
  <c r="G2203" i="1"/>
  <c r="H2203" i="1"/>
  <c r="I2203" i="1"/>
  <c r="J2203" i="1"/>
  <c r="K2203" i="1"/>
  <c r="L2203" i="1"/>
  <c r="M2203" i="1"/>
  <c r="N2203" i="1"/>
  <c r="A2204" i="1"/>
  <c r="B2204" i="1"/>
  <c r="F2204" i="1"/>
  <c r="G2204" i="1"/>
  <c r="H2204" i="1"/>
  <c r="I2204" i="1"/>
  <c r="J2204" i="1"/>
  <c r="K2204" i="1"/>
  <c r="L2204" i="1"/>
  <c r="M2204" i="1"/>
  <c r="N2204" i="1"/>
  <c r="A2205" i="1"/>
  <c r="B2205" i="1"/>
  <c r="F2205" i="1"/>
  <c r="G2205" i="1"/>
  <c r="H2205" i="1"/>
  <c r="I2205" i="1"/>
  <c r="J2205" i="1"/>
  <c r="K2205" i="1"/>
  <c r="L2205" i="1"/>
  <c r="M2205" i="1"/>
  <c r="N2205" i="1"/>
  <c r="A2206" i="1"/>
  <c r="B2206" i="1"/>
  <c r="F2206" i="1"/>
  <c r="G2206" i="1"/>
  <c r="H2206" i="1"/>
  <c r="I2206" i="1"/>
  <c r="J2206" i="1"/>
  <c r="K2206" i="1"/>
  <c r="L2206" i="1"/>
  <c r="M2206" i="1"/>
  <c r="N2206" i="1"/>
  <c r="A2207" i="1"/>
  <c r="B2207" i="1"/>
  <c r="F2207" i="1"/>
  <c r="G2207" i="1"/>
  <c r="H2207" i="1"/>
  <c r="I2207" i="1"/>
  <c r="J2207" i="1"/>
  <c r="K2207" i="1"/>
  <c r="L2207" i="1"/>
  <c r="M2207" i="1"/>
  <c r="N2207" i="1"/>
  <c r="A2208" i="1"/>
  <c r="B2208" i="1"/>
  <c r="F2208" i="1"/>
  <c r="G2208" i="1"/>
  <c r="H2208" i="1"/>
  <c r="I2208" i="1"/>
  <c r="J2208" i="1"/>
  <c r="K2208" i="1"/>
  <c r="L2208" i="1"/>
  <c r="M2208" i="1"/>
  <c r="N2208" i="1"/>
  <c r="A2209" i="1"/>
  <c r="B2209" i="1"/>
  <c r="F2209" i="1"/>
  <c r="G2209" i="1"/>
  <c r="H2209" i="1"/>
  <c r="I2209" i="1"/>
  <c r="J2209" i="1"/>
  <c r="K2209" i="1"/>
  <c r="L2209" i="1"/>
  <c r="M2209" i="1"/>
  <c r="N2209" i="1"/>
  <c r="A2210" i="1"/>
  <c r="B2210" i="1"/>
  <c r="F2210" i="1"/>
  <c r="G2210" i="1"/>
  <c r="H2210" i="1"/>
  <c r="I2210" i="1"/>
  <c r="J2210" i="1"/>
  <c r="K2210" i="1"/>
  <c r="L2210" i="1"/>
  <c r="M2210" i="1"/>
  <c r="N2210" i="1"/>
  <c r="A2211" i="1"/>
  <c r="B2211" i="1"/>
  <c r="F2211" i="1"/>
  <c r="G2211" i="1"/>
  <c r="H2211" i="1"/>
  <c r="I2211" i="1"/>
  <c r="J2211" i="1"/>
  <c r="K2211" i="1"/>
  <c r="L2211" i="1"/>
  <c r="M2211" i="1"/>
  <c r="N2211" i="1"/>
  <c r="A2212" i="1"/>
  <c r="B2212" i="1"/>
  <c r="F2212" i="1"/>
  <c r="G2212" i="1"/>
  <c r="H2212" i="1"/>
  <c r="I2212" i="1"/>
  <c r="J2212" i="1"/>
  <c r="K2212" i="1"/>
  <c r="L2212" i="1"/>
  <c r="M2212" i="1"/>
  <c r="N2212" i="1"/>
  <c r="A2213" i="1"/>
  <c r="B2213" i="1"/>
  <c r="F2213" i="1"/>
  <c r="G2213" i="1"/>
  <c r="H2213" i="1"/>
  <c r="I2213" i="1"/>
  <c r="J2213" i="1"/>
  <c r="K2213" i="1"/>
  <c r="L2213" i="1"/>
  <c r="M2213" i="1"/>
  <c r="N2213" i="1"/>
  <c r="A2214" i="1"/>
  <c r="B2214" i="1"/>
  <c r="F2214" i="1"/>
  <c r="G2214" i="1"/>
  <c r="H2214" i="1"/>
  <c r="I2214" i="1"/>
  <c r="J2214" i="1"/>
  <c r="K2214" i="1"/>
  <c r="L2214" i="1"/>
  <c r="M2214" i="1"/>
  <c r="N2214" i="1"/>
  <c r="A2215" i="1"/>
  <c r="B2215" i="1"/>
  <c r="F2215" i="1"/>
  <c r="G2215" i="1"/>
  <c r="H2215" i="1"/>
  <c r="I2215" i="1"/>
  <c r="J2215" i="1"/>
  <c r="K2215" i="1"/>
  <c r="L2215" i="1"/>
  <c r="M2215" i="1"/>
  <c r="N2215" i="1"/>
  <c r="A2216" i="1"/>
  <c r="B2216" i="1"/>
  <c r="F2216" i="1"/>
  <c r="G2216" i="1"/>
  <c r="H2216" i="1"/>
  <c r="I2216" i="1"/>
  <c r="J2216" i="1"/>
  <c r="K2216" i="1"/>
  <c r="L2216" i="1"/>
  <c r="M2216" i="1"/>
  <c r="N2216" i="1"/>
  <c r="A2217" i="1"/>
  <c r="B2217" i="1"/>
  <c r="F2217" i="1"/>
  <c r="G2217" i="1"/>
  <c r="H2217" i="1"/>
  <c r="I2217" i="1"/>
  <c r="J2217" i="1"/>
  <c r="K2217" i="1"/>
  <c r="L2217" i="1"/>
  <c r="M2217" i="1"/>
  <c r="N2217" i="1"/>
  <c r="A2218" i="1"/>
  <c r="B2218" i="1"/>
  <c r="F2218" i="1"/>
  <c r="G2218" i="1"/>
  <c r="H2218" i="1"/>
  <c r="I2218" i="1"/>
  <c r="J2218" i="1"/>
  <c r="K2218" i="1"/>
  <c r="L2218" i="1"/>
  <c r="M2218" i="1"/>
  <c r="N2218" i="1"/>
  <c r="A2219" i="1"/>
  <c r="B2219" i="1"/>
  <c r="F2219" i="1"/>
  <c r="G2219" i="1"/>
  <c r="H2219" i="1"/>
  <c r="I2219" i="1"/>
  <c r="J2219" i="1"/>
  <c r="K2219" i="1"/>
  <c r="L2219" i="1"/>
  <c r="M2219" i="1"/>
  <c r="N2219" i="1"/>
  <c r="A2220" i="1"/>
  <c r="B2220" i="1"/>
  <c r="F2220" i="1"/>
  <c r="G2220" i="1"/>
  <c r="H2220" i="1"/>
  <c r="I2220" i="1"/>
  <c r="J2220" i="1"/>
  <c r="K2220" i="1"/>
  <c r="L2220" i="1"/>
  <c r="M2220" i="1"/>
  <c r="N2220" i="1"/>
  <c r="A2221" i="1"/>
  <c r="B2221" i="1"/>
  <c r="F2221" i="1"/>
  <c r="G2221" i="1"/>
  <c r="H2221" i="1"/>
  <c r="I2221" i="1"/>
  <c r="J2221" i="1"/>
  <c r="K2221" i="1"/>
  <c r="L2221" i="1"/>
  <c r="M2221" i="1"/>
  <c r="N2221" i="1"/>
  <c r="A2222" i="1"/>
  <c r="B2222" i="1"/>
  <c r="F2222" i="1"/>
  <c r="G2222" i="1"/>
  <c r="H2222" i="1"/>
  <c r="I2222" i="1"/>
  <c r="J2222" i="1"/>
  <c r="K2222" i="1"/>
  <c r="L2222" i="1"/>
  <c r="M2222" i="1"/>
  <c r="N2222" i="1"/>
  <c r="A2223" i="1"/>
  <c r="B2223" i="1"/>
  <c r="F2223" i="1"/>
  <c r="G2223" i="1"/>
  <c r="H2223" i="1"/>
  <c r="I2223" i="1"/>
  <c r="J2223" i="1"/>
  <c r="K2223" i="1"/>
  <c r="L2223" i="1"/>
  <c r="M2223" i="1"/>
  <c r="N2223" i="1"/>
  <c r="A2224" i="1"/>
  <c r="B2224" i="1"/>
  <c r="F2224" i="1"/>
  <c r="G2224" i="1"/>
  <c r="H2224" i="1"/>
  <c r="I2224" i="1"/>
  <c r="J2224" i="1"/>
  <c r="K2224" i="1"/>
  <c r="L2224" i="1"/>
  <c r="M2224" i="1"/>
  <c r="N2224" i="1"/>
  <c r="A2225" i="1"/>
  <c r="B2225" i="1"/>
  <c r="F2225" i="1"/>
  <c r="G2225" i="1"/>
  <c r="H2225" i="1"/>
  <c r="I2225" i="1"/>
  <c r="J2225" i="1"/>
  <c r="K2225" i="1"/>
  <c r="L2225" i="1"/>
  <c r="M2225" i="1"/>
  <c r="N2225" i="1"/>
  <c r="A2226" i="1"/>
  <c r="B2226" i="1"/>
  <c r="F2226" i="1"/>
  <c r="G2226" i="1"/>
  <c r="H2226" i="1"/>
  <c r="I2226" i="1"/>
  <c r="J2226" i="1"/>
  <c r="K2226" i="1"/>
  <c r="L2226" i="1"/>
  <c r="M2226" i="1"/>
  <c r="N2226" i="1"/>
  <c r="A2227" i="1"/>
  <c r="B2227" i="1"/>
  <c r="F2227" i="1"/>
  <c r="G2227" i="1"/>
  <c r="H2227" i="1"/>
  <c r="I2227" i="1"/>
  <c r="J2227" i="1"/>
  <c r="K2227" i="1"/>
  <c r="L2227" i="1"/>
  <c r="M2227" i="1"/>
  <c r="N2227" i="1"/>
  <c r="A2228" i="1"/>
  <c r="B2228" i="1"/>
  <c r="F2228" i="1"/>
  <c r="G2228" i="1"/>
  <c r="H2228" i="1"/>
  <c r="I2228" i="1"/>
  <c r="J2228" i="1"/>
  <c r="K2228" i="1"/>
  <c r="L2228" i="1"/>
  <c r="M2228" i="1"/>
  <c r="N2228" i="1"/>
  <c r="A2229" i="1"/>
  <c r="B2229" i="1"/>
  <c r="F2229" i="1"/>
  <c r="G2229" i="1"/>
  <c r="H2229" i="1"/>
  <c r="I2229" i="1"/>
  <c r="J2229" i="1"/>
  <c r="K2229" i="1"/>
  <c r="L2229" i="1"/>
  <c r="M2229" i="1"/>
  <c r="N2229" i="1"/>
  <c r="A2230" i="1"/>
  <c r="B2230" i="1"/>
  <c r="F2230" i="1"/>
  <c r="G2230" i="1"/>
  <c r="H2230" i="1"/>
  <c r="I2230" i="1"/>
  <c r="J2230" i="1"/>
  <c r="K2230" i="1"/>
  <c r="L2230" i="1"/>
  <c r="M2230" i="1"/>
  <c r="N2230" i="1"/>
  <c r="A2231" i="1"/>
  <c r="B2231" i="1"/>
  <c r="F2231" i="1"/>
  <c r="G2231" i="1"/>
  <c r="H2231" i="1"/>
  <c r="I2231" i="1"/>
  <c r="J2231" i="1"/>
  <c r="K2231" i="1"/>
  <c r="L2231" i="1"/>
  <c r="M2231" i="1"/>
  <c r="N2231" i="1"/>
  <c r="A2232" i="1"/>
  <c r="B2232" i="1"/>
  <c r="F2232" i="1"/>
  <c r="G2232" i="1"/>
  <c r="H2232" i="1"/>
  <c r="I2232" i="1"/>
  <c r="J2232" i="1"/>
  <c r="K2232" i="1"/>
  <c r="L2232" i="1"/>
  <c r="M2232" i="1"/>
  <c r="N2232" i="1"/>
  <c r="A2233" i="1"/>
  <c r="B2233" i="1"/>
  <c r="F2233" i="1"/>
  <c r="G2233" i="1"/>
  <c r="H2233" i="1"/>
  <c r="I2233" i="1"/>
  <c r="J2233" i="1"/>
  <c r="K2233" i="1"/>
  <c r="L2233" i="1"/>
  <c r="M2233" i="1"/>
  <c r="N2233" i="1"/>
  <c r="A2234" i="1"/>
  <c r="B2234" i="1"/>
  <c r="F2234" i="1"/>
  <c r="G2234" i="1"/>
  <c r="H2234" i="1"/>
  <c r="I2234" i="1"/>
  <c r="J2234" i="1"/>
  <c r="K2234" i="1"/>
  <c r="L2234" i="1"/>
  <c r="M2234" i="1"/>
  <c r="N2234" i="1"/>
  <c r="A2235" i="1"/>
  <c r="B2235" i="1"/>
  <c r="F2235" i="1"/>
  <c r="G2235" i="1"/>
  <c r="H2235" i="1"/>
  <c r="I2235" i="1"/>
  <c r="J2235" i="1"/>
  <c r="K2235" i="1"/>
  <c r="L2235" i="1"/>
  <c r="M2235" i="1"/>
  <c r="N2235" i="1"/>
  <c r="A2236" i="1"/>
  <c r="B2236" i="1"/>
  <c r="F2236" i="1"/>
  <c r="G2236" i="1"/>
  <c r="H2236" i="1"/>
  <c r="I2236" i="1"/>
  <c r="J2236" i="1"/>
  <c r="K2236" i="1"/>
  <c r="L2236" i="1"/>
  <c r="M2236" i="1"/>
  <c r="N2236" i="1"/>
  <c r="A2237" i="1"/>
  <c r="B2237" i="1"/>
  <c r="F2237" i="1"/>
  <c r="G2237" i="1"/>
  <c r="H2237" i="1"/>
  <c r="I2237" i="1"/>
  <c r="J2237" i="1"/>
  <c r="K2237" i="1"/>
  <c r="L2237" i="1"/>
  <c r="M2237" i="1"/>
  <c r="N2237" i="1"/>
  <c r="A2238" i="1"/>
  <c r="B2238" i="1"/>
  <c r="F2238" i="1"/>
  <c r="G2238" i="1"/>
  <c r="H2238" i="1"/>
  <c r="I2238" i="1"/>
  <c r="J2238" i="1"/>
  <c r="K2238" i="1"/>
  <c r="L2238" i="1"/>
  <c r="M2238" i="1"/>
  <c r="N2238" i="1"/>
  <c r="A2239" i="1"/>
  <c r="B2239" i="1"/>
  <c r="F2239" i="1"/>
  <c r="G2239" i="1"/>
  <c r="H2239" i="1"/>
  <c r="I2239" i="1"/>
  <c r="J2239" i="1"/>
  <c r="K2239" i="1"/>
  <c r="L2239" i="1"/>
  <c r="M2239" i="1"/>
  <c r="N2239" i="1"/>
  <c r="A2240" i="1"/>
  <c r="B2240" i="1"/>
  <c r="F2240" i="1"/>
  <c r="G2240" i="1"/>
  <c r="H2240" i="1"/>
  <c r="I2240" i="1"/>
  <c r="J2240" i="1"/>
  <c r="K2240" i="1"/>
  <c r="L2240" i="1"/>
  <c r="M2240" i="1"/>
  <c r="N2240" i="1"/>
  <c r="A2241" i="1"/>
  <c r="B2241" i="1"/>
  <c r="F2241" i="1"/>
  <c r="G2241" i="1"/>
  <c r="H2241" i="1"/>
  <c r="I2241" i="1"/>
  <c r="J2241" i="1"/>
  <c r="K2241" i="1"/>
  <c r="L2241" i="1"/>
  <c r="M2241" i="1"/>
  <c r="N2241" i="1"/>
  <c r="A2242" i="1"/>
  <c r="B2242" i="1"/>
  <c r="F2242" i="1"/>
  <c r="G2242" i="1"/>
  <c r="H2242" i="1"/>
  <c r="I2242" i="1"/>
  <c r="J2242" i="1"/>
  <c r="K2242" i="1"/>
  <c r="L2242" i="1"/>
  <c r="M2242" i="1"/>
  <c r="N2242" i="1"/>
  <c r="A2243" i="1"/>
  <c r="B2243" i="1"/>
  <c r="F2243" i="1"/>
  <c r="G2243" i="1"/>
  <c r="H2243" i="1"/>
  <c r="I2243" i="1"/>
  <c r="J2243" i="1"/>
  <c r="K2243" i="1"/>
  <c r="L2243" i="1"/>
  <c r="M2243" i="1"/>
  <c r="N2243" i="1"/>
  <c r="A2244" i="1"/>
  <c r="B2244" i="1"/>
  <c r="F2244" i="1"/>
  <c r="G2244" i="1"/>
  <c r="H2244" i="1"/>
  <c r="I2244" i="1"/>
  <c r="J2244" i="1"/>
  <c r="K2244" i="1"/>
  <c r="L2244" i="1"/>
  <c r="M2244" i="1"/>
  <c r="N2244" i="1"/>
  <c r="A2245" i="1"/>
  <c r="B2245" i="1"/>
  <c r="F2245" i="1"/>
  <c r="G2245" i="1"/>
  <c r="H2245" i="1"/>
  <c r="I2245" i="1"/>
  <c r="J2245" i="1"/>
  <c r="K2245" i="1"/>
  <c r="L2245" i="1"/>
  <c r="M2245" i="1"/>
  <c r="N2245" i="1"/>
  <c r="A2246" i="1"/>
  <c r="B2246" i="1"/>
  <c r="F2246" i="1"/>
  <c r="G2246" i="1"/>
  <c r="H2246" i="1"/>
  <c r="I2246" i="1"/>
  <c r="J2246" i="1"/>
  <c r="K2246" i="1"/>
  <c r="L2246" i="1"/>
  <c r="M2246" i="1"/>
  <c r="N2246" i="1"/>
  <c r="A2247" i="1"/>
  <c r="B2247" i="1"/>
  <c r="F2247" i="1"/>
  <c r="G2247" i="1"/>
  <c r="H2247" i="1"/>
  <c r="I2247" i="1"/>
  <c r="J2247" i="1"/>
  <c r="K2247" i="1"/>
  <c r="L2247" i="1"/>
  <c r="M2247" i="1"/>
  <c r="N2247" i="1"/>
  <c r="A2248" i="1"/>
  <c r="B2248" i="1"/>
  <c r="F2248" i="1"/>
  <c r="G2248" i="1"/>
  <c r="H2248" i="1"/>
  <c r="I2248" i="1"/>
  <c r="J2248" i="1"/>
  <c r="K2248" i="1"/>
  <c r="L2248" i="1"/>
  <c r="M2248" i="1"/>
  <c r="N2248" i="1"/>
  <c r="A2249" i="1"/>
  <c r="B2249" i="1"/>
  <c r="F2249" i="1"/>
  <c r="G2249" i="1"/>
  <c r="H2249" i="1"/>
  <c r="I2249" i="1"/>
  <c r="J2249" i="1"/>
  <c r="K2249" i="1"/>
  <c r="L2249" i="1"/>
  <c r="M2249" i="1"/>
  <c r="N2249" i="1"/>
  <c r="A2250" i="1"/>
  <c r="B2250" i="1"/>
  <c r="F2250" i="1"/>
  <c r="G2250" i="1"/>
  <c r="H2250" i="1"/>
  <c r="I2250" i="1"/>
  <c r="J2250" i="1"/>
  <c r="K2250" i="1"/>
  <c r="L2250" i="1"/>
  <c r="M2250" i="1"/>
  <c r="N2250" i="1"/>
  <c r="A2251" i="1"/>
  <c r="B2251" i="1"/>
  <c r="F2251" i="1"/>
  <c r="G2251" i="1"/>
  <c r="H2251" i="1"/>
  <c r="I2251" i="1"/>
  <c r="J2251" i="1"/>
  <c r="K2251" i="1"/>
  <c r="L2251" i="1"/>
  <c r="M2251" i="1"/>
  <c r="N2251" i="1"/>
  <c r="A2252" i="1"/>
  <c r="B2252" i="1"/>
  <c r="F2252" i="1"/>
  <c r="G2252" i="1"/>
  <c r="H2252" i="1"/>
  <c r="I2252" i="1"/>
  <c r="J2252" i="1"/>
  <c r="K2252" i="1"/>
  <c r="L2252" i="1"/>
  <c r="M2252" i="1"/>
  <c r="N2252" i="1"/>
  <c r="A2253" i="1"/>
  <c r="B2253" i="1"/>
  <c r="F2253" i="1"/>
  <c r="G2253" i="1"/>
  <c r="H2253" i="1"/>
  <c r="I2253" i="1"/>
  <c r="J2253" i="1"/>
  <c r="K2253" i="1"/>
  <c r="L2253" i="1"/>
  <c r="M2253" i="1"/>
  <c r="N2253" i="1"/>
  <c r="A2254" i="1"/>
  <c r="B2254" i="1"/>
  <c r="F2254" i="1"/>
  <c r="G2254" i="1"/>
  <c r="H2254" i="1"/>
  <c r="I2254" i="1"/>
  <c r="J2254" i="1"/>
  <c r="K2254" i="1"/>
  <c r="L2254" i="1"/>
  <c r="M2254" i="1"/>
  <c r="N2254" i="1"/>
  <c r="A2255" i="1"/>
  <c r="B2255" i="1"/>
  <c r="F2255" i="1"/>
  <c r="G2255" i="1"/>
  <c r="H2255" i="1"/>
  <c r="I2255" i="1"/>
  <c r="J2255" i="1"/>
  <c r="K2255" i="1"/>
  <c r="L2255" i="1"/>
  <c r="M2255" i="1"/>
  <c r="N2255" i="1"/>
  <c r="A2256" i="1"/>
  <c r="B2256" i="1"/>
  <c r="F2256" i="1"/>
  <c r="G2256" i="1"/>
  <c r="H2256" i="1"/>
  <c r="I2256" i="1"/>
  <c r="J2256" i="1"/>
  <c r="K2256" i="1"/>
  <c r="L2256" i="1"/>
  <c r="M2256" i="1"/>
  <c r="N2256" i="1"/>
  <c r="A2257" i="1"/>
  <c r="B2257" i="1"/>
  <c r="F2257" i="1"/>
  <c r="G2257" i="1"/>
  <c r="H2257" i="1"/>
  <c r="I2257" i="1"/>
  <c r="J2257" i="1"/>
  <c r="K2257" i="1"/>
  <c r="L2257" i="1"/>
  <c r="M2257" i="1"/>
  <c r="N2257" i="1"/>
  <c r="A2258" i="1"/>
  <c r="B2258" i="1"/>
  <c r="F2258" i="1"/>
  <c r="G2258" i="1"/>
  <c r="H2258" i="1"/>
  <c r="I2258" i="1"/>
  <c r="J2258" i="1"/>
  <c r="K2258" i="1"/>
  <c r="L2258" i="1"/>
  <c r="M2258" i="1"/>
  <c r="N2258" i="1"/>
  <c r="A2259" i="1"/>
  <c r="B2259" i="1"/>
  <c r="F2259" i="1"/>
  <c r="G2259" i="1"/>
  <c r="H2259" i="1"/>
  <c r="I2259" i="1"/>
  <c r="J2259" i="1"/>
  <c r="K2259" i="1"/>
  <c r="L2259" i="1"/>
  <c r="M2259" i="1"/>
  <c r="N2259" i="1"/>
  <c r="A2260" i="1"/>
  <c r="B2260" i="1"/>
  <c r="F2260" i="1"/>
  <c r="G2260" i="1"/>
  <c r="H2260" i="1"/>
  <c r="I2260" i="1"/>
  <c r="J2260" i="1"/>
  <c r="K2260" i="1"/>
  <c r="L2260" i="1"/>
  <c r="M2260" i="1"/>
  <c r="N2260" i="1"/>
  <c r="A2261" i="1"/>
  <c r="B2261" i="1"/>
  <c r="F2261" i="1"/>
  <c r="G2261" i="1"/>
  <c r="H2261" i="1"/>
  <c r="I2261" i="1"/>
  <c r="J2261" i="1"/>
  <c r="K2261" i="1"/>
  <c r="L2261" i="1"/>
  <c r="M2261" i="1"/>
  <c r="N2261" i="1"/>
  <c r="A2262" i="1"/>
  <c r="B2262" i="1"/>
  <c r="F2262" i="1"/>
  <c r="G2262" i="1"/>
  <c r="H2262" i="1"/>
  <c r="I2262" i="1"/>
  <c r="J2262" i="1"/>
  <c r="K2262" i="1"/>
  <c r="L2262" i="1"/>
  <c r="M2262" i="1"/>
  <c r="N2262" i="1"/>
  <c r="A2263" i="1"/>
  <c r="B2263" i="1"/>
  <c r="F2263" i="1"/>
  <c r="G2263" i="1"/>
  <c r="H2263" i="1"/>
  <c r="I2263" i="1"/>
  <c r="J2263" i="1"/>
  <c r="K2263" i="1"/>
  <c r="L2263" i="1"/>
  <c r="M2263" i="1"/>
  <c r="N2263" i="1"/>
  <c r="A2264" i="1"/>
  <c r="B2264" i="1"/>
  <c r="F2264" i="1"/>
  <c r="G2264" i="1"/>
  <c r="H2264" i="1"/>
  <c r="I2264" i="1"/>
  <c r="J2264" i="1"/>
  <c r="K2264" i="1"/>
  <c r="L2264" i="1"/>
  <c r="M2264" i="1"/>
  <c r="N2264" i="1"/>
  <c r="A2265" i="1"/>
  <c r="B2265" i="1"/>
  <c r="F2265" i="1"/>
  <c r="G2265" i="1"/>
  <c r="H2265" i="1"/>
  <c r="I2265" i="1"/>
  <c r="J2265" i="1"/>
  <c r="K2265" i="1"/>
  <c r="L2265" i="1"/>
  <c r="M2265" i="1"/>
  <c r="N2265" i="1"/>
  <c r="A2266" i="1"/>
  <c r="B2266" i="1"/>
  <c r="F2266" i="1"/>
  <c r="G2266" i="1"/>
  <c r="H2266" i="1"/>
  <c r="I2266" i="1"/>
  <c r="J2266" i="1"/>
  <c r="K2266" i="1"/>
  <c r="L2266" i="1"/>
  <c r="M2266" i="1"/>
  <c r="N2266" i="1"/>
  <c r="A2267" i="1"/>
  <c r="B2267" i="1"/>
  <c r="F2267" i="1"/>
  <c r="G2267" i="1"/>
  <c r="H2267" i="1"/>
  <c r="I2267" i="1"/>
  <c r="J2267" i="1"/>
  <c r="K2267" i="1"/>
  <c r="L2267" i="1"/>
  <c r="M2267" i="1"/>
  <c r="N2267" i="1"/>
  <c r="A2268" i="1"/>
  <c r="B2268" i="1"/>
  <c r="F2268" i="1"/>
  <c r="G2268" i="1"/>
  <c r="H2268" i="1"/>
  <c r="I2268" i="1"/>
  <c r="J2268" i="1"/>
  <c r="K2268" i="1"/>
  <c r="L2268" i="1"/>
  <c r="M2268" i="1"/>
  <c r="N2268" i="1"/>
  <c r="A2269" i="1"/>
  <c r="B2269" i="1"/>
  <c r="F2269" i="1"/>
  <c r="G2269" i="1"/>
  <c r="H2269" i="1"/>
  <c r="I2269" i="1"/>
  <c r="J2269" i="1"/>
  <c r="K2269" i="1"/>
  <c r="L2269" i="1"/>
  <c r="M2269" i="1"/>
  <c r="N2269" i="1"/>
  <c r="A2270" i="1"/>
  <c r="B2270" i="1"/>
  <c r="F2270" i="1"/>
  <c r="G2270" i="1"/>
  <c r="H2270" i="1"/>
  <c r="I2270" i="1"/>
  <c r="J2270" i="1"/>
  <c r="K2270" i="1"/>
  <c r="L2270" i="1"/>
  <c r="M2270" i="1"/>
  <c r="N2270" i="1"/>
  <c r="A2271" i="1"/>
  <c r="B2271" i="1"/>
  <c r="F2271" i="1"/>
  <c r="G2271" i="1"/>
  <c r="H2271" i="1"/>
  <c r="I2271" i="1"/>
  <c r="J2271" i="1"/>
  <c r="K2271" i="1"/>
  <c r="L2271" i="1"/>
  <c r="M2271" i="1"/>
  <c r="N2271" i="1"/>
  <c r="A2272" i="1"/>
  <c r="B2272" i="1"/>
  <c r="F2272" i="1"/>
  <c r="G2272" i="1"/>
  <c r="H2272" i="1"/>
  <c r="I2272" i="1"/>
  <c r="J2272" i="1"/>
  <c r="K2272" i="1"/>
  <c r="L2272" i="1"/>
  <c r="M2272" i="1"/>
  <c r="N2272" i="1"/>
  <c r="A2273" i="1"/>
  <c r="B2273" i="1"/>
  <c r="F2273" i="1"/>
  <c r="G2273" i="1"/>
  <c r="H2273" i="1"/>
  <c r="I2273" i="1"/>
  <c r="J2273" i="1"/>
  <c r="K2273" i="1"/>
  <c r="L2273" i="1"/>
  <c r="M2273" i="1"/>
  <c r="N2273" i="1"/>
  <c r="A2274" i="1"/>
  <c r="B2274" i="1"/>
  <c r="F2274" i="1"/>
  <c r="G2274" i="1"/>
  <c r="H2274" i="1"/>
  <c r="I2274" i="1"/>
  <c r="J2274" i="1"/>
  <c r="K2274" i="1"/>
  <c r="L2274" i="1"/>
  <c r="M2274" i="1"/>
  <c r="N2274" i="1"/>
  <c r="A2275" i="1"/>
  <c r="B2275" i="1"/>
  <c r="F2275" i="1"/>
  <c r="G2275" i="1"/>
  <c r="H2275" i="1"/>
  <c r="I2275" i="1"/>
  <c r="J2275" i="1"/>
  <c r="K2275" i="1"/>
  <c r="L2275" i="1"/>
  <c r="M2275" i="1"/>
  <c r="N2275" i="1"/>
  <c r="A2276" i="1"/>
  <c r="B2276" i="1"/>
  <c r="F2276" i="1"/>
  <c r="G2276" i="1"/>
  <c r="H2276" i="1"/>
  <c r="I2276" i="1"/>
  <c r="J2276" i="1"/>
  <c r="K2276" i="1"/>
  <c r="L2276" i="1"/>
  <c r="M2276" i="1"/>
  <c r="N2276" i="1"/>
  <c r="A2277" i="1"/>
  <c r="B2277" i="1"/>
  <c r="F2277" i="1"/>
  <c r="G2277" i="1"/>
  <c r="H2277" i="1"/>
  <c r="I2277" i="1"/>
  <c r="J2277" i="1"/>
  <c r="K2277" i="1"/>
  <c r="L2277" i="1"/>
  <c r="M2277" i="1"/>
  <c r="N2277" i="1"/>
  <c r="A2278" i="1"/>
  <c r="B2278" i="1"/>
  <c r="F2278" i="1"/>
  <c r="G2278" i="1"/>
  <c r="H2278" i="1"/>
  <c r="I2278" i="1"/>
  <c r="J2278" i="1"/>
  <c r="K2278" i="1"/>
  <c r="L2278" i="1"/>
  <c r="M2278" i="1"/>
  <c r="N2278" i="1"/>
  <c r="A2279" i="1"/>
  <c r="B2279" i="1"/>
  <c r="F2279" i="1"/>
  <c r="G2279" i="1"/>
  <c r="H2279" i="1"/>
  <c r="I2279" i="1"/>
  <c r="J2279" i="1"/>
  <c r="K2279" i="1"/>
  <c r="L2279" i="1"/>
  <c r="M2279" i="1"/>
  <c r="N2279" i="1"/>
  <c r="A2280" i="1"/>
  <c r="B2280" i="1"/>
  <c r="F2280" i="1"/>
  <c r="G2280" i="1"/>
  <c r="H2280" i="1"/>
  <c r="I2280" i="1"/>
  <c r="J2280" i="1"/>
  <c r="K2280" i="1"/>
  <c r="L2280" i="1"/>
  <c r="M2280" i="1"/>
  <c r="N2280" i="1"/>
  <c r="A2281" i="1"/>
  <c r="B2281" i="1"/>
  <c r="F2281" i="1"/>
  <c r="G2281" i="1"/>
  <c r="H2281" i="1"/>
  <c r="I2281" i="1"/>
  <c r="J2281" i="1"/>
  <c r="K2281" i="1"/>
  <c r="L2281" i="1"/>
  <c r="M2281" i="1"/>
  <c r="N2281" i="1"/>
  <c r="A2282" i="1"/>
  <c r="B2282" i="1"/>
  <c r="F2282" i="1"/>
  <c r="G2282" i="1"/>
  <c r="H2282" i="1"/>
  <c r="I2282" i="1"/>
  <c r="J2282" i="1"/>
  <c r="K2282" i="1"/>
  <c r="L2282" i="1"/>
  <c r="M2282" i="1"/>
  <c r="N2282" i="1"/>
  <c r="A2283" i="1"/>
  <c r="B2283" i="1"/>
  <c r="F2283" i="1"/>
  <c r="G2283" i="1"/>
  <c r="H2283" i="1"/>
  <c r="I2283" i="1"/>
  <c r="J2283" i="1"/>
  <c r="K2283" i="1"/>
  <c r="L2283" i="1"/>
  <c r="M2283" i="1"/>
  <c r="N2283" i="1"/>
  <c r="A2284" i="1"/>
  <c r="B2284" i="1"/>
  <c r="F2284" i="1"/>
  <c r="G2284" i="1"/>
  <c r="H2284" i="1"/>
  <c r="I2284" i="1"/>
  <c r="J2284" i="1"/>
  <c r="K2284" i="1"/>
  <c r="L2284" i="1"/>
  <c r="M2284" i="1"/>
  <c r="N2284" i="1"/>
  <c r="A2285" i="1"/>
  <c r="B2285" i="1"/>
  <c r="F2285" i="1"/>
  <c r="G2285" i="1"/>
  <c r="H2285" i="1"/>
  <c r="I2285" i="1"/>
  <c r="J2285" i="1"/>
  <c r="K2285" i="1"/>
  <c r="L2285" i="1"/>
  <c r="M2285" i="1"/>
  <c r="N2285" i="1"/>
  <c r="A2286" i="1"/>
  <c r="B2286" i="1"/>
  <c r="F2286" i="1"/>
  <c r="G2286" i="1"/>
  <c r="H2286" i="1"/>
  <c r="I2286" i="1"/>
  <c r="J2286" i="1"/>
  <c r="K2286" i="1"/>
  <c r="L2286" i="1"/>
  <c r="M2286" i="1"/>
  <c r="N2286" i="1"/>
  <c r="A2287" i="1"/>
  <c r="B2287" i="1"/>
  <c r="F2287" i="1"/>
  <c r="G2287" i="1"/>
  <c r="H2287" i="1"/>
  <c r="I2287" i="1"/>
  <c r="J2287" i="1"/>
  <c r="K2287" i="1"/>
  <c r="L2287" i="1"/>
  <c r="M2287" i="1"/>
  <c r="N2287" i="1"/>
  <c r="A2288" i="1"/>
  <c r="B2288" i="1"/>
  <c r="F2288" i="1"/>
  <c r="G2288" i="1"/>
  <c r="H2288" i="1"/>
  <c r="I2288" i="1"/>
  <c r="J2288" i="1"/>
  <c r="K2288" i="1"/>
  <c r="L2288" i="1"/>
  <c r="M2288" i="1"/>
  <c r="N2288" i="1"/>
  <c r="A2289" i="1"/>
  <c r="B2289" i="1"/>
  <c r="F2289" i="1"/>
  <c r="G2289" i="1"/>
  <c r="H2289" i="1"/>
  <c r="I2289" i="1"/>
  <c r="J2289" i="1"/>
  <c r="K2289" i="1"/>
  <c r="L2289" i="1"/>
  <c r="M2289" i="1"/>
  <c r="N2289" i="1"/>
  <c r="A2290" i="1"/>
  <c r="B2290" i="1"/>
  <c r="F2290" i="1"/>
  <c r="G2290" i="1"/>
  <c r="H2290" i="1"/>
  <c r="I2290" i="1"/>
  <c r="J2290" i="1"/>
  <c r="K2290" i="1"/>
  <c r="L2290" i="1"/>
  <c r="M2290" i="1"/>
  <c r="N2290" i="1"/>
  <c r="A2291" i="1"/>
  <c r="B2291" i="1"/>
  <c r="F2291" i="1"/>
  <c r="G2291" i="1"/>
  <c r="H2291" i="1"/>
  <c r="I2291" i="1"/>
  <c r="J2291" i="1"/>
  <c r="K2291" i="1"/>
  <c r="L2291" i="1"/>
  <c r="M2291" i="1"/>
  <c r="N2291" i="1"/>
  <c r="A2292" i="1"/>
  <c r="B2292" i="1"/>
  <c r="F2292" i="1"/>
  <c r="G2292" i="1"/>
  <c r="H2292" i="1"/>
  <c r="I2292" i="1"/>
  <c r="J2292" i="1"/>
  <c r="K2292" i="1"/>
  <c r="L2292" i="1"/>
  <c r="M2292" i="1"/>
  <c r="N2292" i="1"/>
  <c r="A2293" i="1"/>
  <c r="B2293" i="1"/>
  <c r="F2293" i="1"/>
  <c r="G2293" i="1"/>
  <c r="H2293" i="1"/>
  <c r="I2293" i="1"/>
  <c r="J2293" i="1"/>
  <c r="K2293" i="1"/>
  <c r="L2293" i="1"/>
  <c r="M2293" i="1"/>
  <c r="N2293" i="1"/>
  <c r="A2294" i="1"/>
  <c r="B2294" i="1"/>
  <c r="F2294" i="1"/>
  <c r="G2294" i="1"/>
  <c r="H2294" i="1"/>
  <c r="I2294" i="1"/>
  <c r="J2294" i="1"/>
  <c r="K2294" i="1"/>
  <c r="L2294" i="1"/>
  <c r="M2294" i="1"/>
  <c r="N2294" i="1"/>
  <c r="A2295" i="1"/>
  <c r="B2295" i="1"/>
  <c r="F2295" i="1"/>
  <c r="G2295" i="1"/>
  <c r="H2295" i="1"/>
  <c r="I2295" i="1"/>
  <c r="J2295" i="1"/>
  <c r="K2295" i="1"/>
  <c r="L2295" i="1"/>
  <c r="M2295" i="1"/>
  <c r="N2295" i="1"/>
  <c r="A2296" i="1"/>
  <c r="B2296" i="1"/>
  <c r="F2296" i="1"/>
  <c r="G2296" i="1"/>
  <c r="H2296" i="1"/>
  <c r="I2296" i="1"/>
  <c r="J2296" i="1"/>
  <c r="K2296" i="1"/>
  <c r="L2296" i="1"/>
  <c r="M2296" i="1"/>
  <c r="N2296" i="1"/>
  <c r="A2297" i="1"/>
  <c r="B2297" i="1"/>
  <c r="F2297" i="1"/>
  <c r="G2297" i="1"/>
  <c r="H2297" i="1"/>
  <c r="I2297" i="1"/>
  <c r="J2297" i="1"/>
  <c r="K2297" i="1"/>
  <c r="L2297" i="1"/>
  <c r="M2297" i="1"/>
  <c r="N2297" i="1"/>
  <c r="A2298" i="1"/>
  <c r="B2298" i="1"/>
  <c r="F2298" i="1"/>
  <c r="G2298" i="1"/>
  <c r="H2298" i="1"/>
  <c r="I2298" i="1"/>
  <c r="J2298" i="1"/>
  <c r="K2298" i="1"/>
  <c r="L2298" i="1"/>
  <c r="M2298" i="1"/>
  <c r="N2298" i="1"/>
  <c r="A2299" i="1"/>
  <c r="B2299" i="1"/>
  <c r="F2299" i="1"/>
  <c r="G2299" i="1"/>
  <c r="H2299" i="1"/>
  <c r="I2299" i="1"/>
  <c r="J2299" i="1"/>
  <c r="K2299" i="1"/>
  <c r="L2299" i="1"/>
  <c r="M2299" i="1"/>
  <c r="N2299" i="1"/>
  <c r="A2300" i="1"/>
  <c r="B2300" i="1"/>
  <c r="F2300" i="1"/>
  <c r="G2300" i="1"/>
  <c r="H2300" i="1"/>
  <c r="I2300" i="1"/>
  <c r="J2300" i="1"/>
  <c r="K2300" i="1"/>
  <c r="L2300" i="1"/>
  <c r="M2300" i="1"/>
  <c r="N2300" i="1"/>
  <c r="A2301" i="1"/>
  <c r="B2301" i="1"/>
  <c r="F2301" i="1"/>
  <c r="G2301" i="1"/>
  <c r="H2301" i="1"/>
  <c r="I2301" i="1"/>
  <c r="J2301" i="1"/>
  <c r="K2301" i="1"/>
  <c r="L2301" i="1"/>
  <c r="M2301" i="1"/>
  <c r="N2301" i="1"/>
  <c r="A2302" i="1"/>
  <c r="B2302" i="1"/>
  <c r="F2302" i="1"/>
  <c r="G2302" i="1"/>
  <c r="H2302" i="1"/>
  <c r="I2302" i="1"/>
  <c r="J2302" i="1"/>
  <c r="K2302" i="1"/>
  <c r="L2302" i="1"/>
  <c r="M2302" i="1"/>
  <c r="N2302" i="1"/>
  <c r="A2303" i="1"/>
  <c r="B2303" i="1"/>
  <c r="F2303" i="1"/>
  <c r="G2303" i="1"/>
  <c r="H2303" i="1"/>
  <c r="I2303" i="1"/>
  <c r="J2303" i="1"/>
  <c r="K2303" i="1"/>
  <c r="L2303" i="1"/>
  <c r="M2303" i="1"/>
  <c r="N2303" i="1"/>
  <c r="A2304" i="1"/>
  <c r="B2304" i="1"/>
  <c r="F2304" i="1"/>
  <c r="G2304" i="1"/>
  <c r="H2304" i="1"/>
  <c r="I2304" i="1"/>
  <c r="J2304" i="1"/>
  <c r="K2304" i="1"/>
  <c r="L2304" i="1"/>
  <c r="M2304" i="1"/>
  <c r="N2304" i="1"/>
  <c r="A2305" i="1"/>
  <c r="B2305" i="1"/>
  <c r="F2305" i="1"/>
  <c r="G2305" i="1"/>
  <c r="H2305" i="1"/>
  <c r="I2305" i="1"/>
  <c r="J2305" i="1"/>
  <c r="K2305" i="1"/>
  <c r="L2305" i="1"/>
  <c r="M2305" i="1"/>
  <c r="N2305" i="1"/>
  <c r="A2306" i="1"/>
  <c r="B2306" i="1"/>
  <c r="F2306" i="1"/>
  <c r="G2306" i="1"/>
  <c r="H2306" i="1"/>
  <c r="I2306" i="1"/>
  <c r="J2306" i="1"/>
  <c r="K2306" i="1"/>
  <c r="L2306" i="1"/>
  <c r="M2306" i="1"/>
  <c r="N2306" i="1"/>
  <c r="A2307" i="1"/>
  <c r="B2307" i="1"/>
  <c r="F2307" i="1"/>
  <c r="G2307" i="1"/>
  <c r="H2307" i="1"/>
  <c r="I2307" i="1"/>
  <c r="J2307" i="1"/>
  <c r="K2307" i="1"/>
  <c r="L2307" i="1"/>
  <c r="M2307" i="1"/>
  <c r="N2307" i="1"/>
  <c r="A2308" i="1"/>
  <c r="B2308" i="1"/>
  <c r="F2308" i="1"/>
  <c r="G2308" i="1"/>
  <c r="H2308" i="1"/>
  <c r="I2308" i="1"/>
  <c r="J2308" i="1"/>
  <c r="K2308" i="1"/>
  <c r="L2308" i="1"/>
  <c r="M2308" i="1"/>
  <c r="N2308" i="1"/>
  <c r="A2309" i="1"/>
  <c r="B2309" i="1"/>
  <c r="F2309" i="1"/>
  <c r="G2309" i="1"/>
  <c r="H2309" i="1"/>
  <c r="I2309" i="1"/>
  <c r="J2309" i="1"/>
  <c r="K2309" i="1"/>
  <c r="L2309" i="1"/>
  <c r="M2309" i="1"/>
  <c r="N2309" i="1"/>
  <c r="A2310" i="1"/>
  <c r="B2310" i="1"/>
  <c r="F2310" i="1"/>
  <c r="G2310" i="1"/>
  <c r="H2310" i="1"/>
  <c r="I2310" i="1"/>
  <c r="J2310" i="1"/>
  <c r="K2310" i="1"/>
  <c r="L2310" i="1"/>
  <c r="M2310" i="1"/>
  <c r="N2310" i="1"/>
  <c r="A2311" i="1"/>
  <c r="B2311" i="1"/>
  <c r="F2311" i="1"/>
  <c r="G2311" i="1"/>
  <c r="H2311" i="1"/>
  <c r="I2311" i="1"/>
  <c r="J2311" i="1"/>
  <c r="K2311" i="1"/>
  <c r="L2311" i="1"/>
  <c r="M2311" i="1"/>
  <c r="N2311" i="1"/>
  <c r="A2312" i="1"/>
  <c r="B2312" i="1"/>
  <c r="F2312" i="1"/>
  <c r="G2312" i="1"/>
  <c r="H2312" i="1"/>
  <c r="I2312" i="1"/>
  <c r="J2312" i="1"/>
  <c r="K2312" i="1"/>
  <c r="L2312" i="1"/>
  <c r="M2312" i="1"/>
  <c r="N2312" i="1"/>
  <c r="A2313" i="1"/>
  <c r="B2313" i="1"/>
  <c r="F2313" i="1"/>
  <c r="G2313" i="1"/>
  <c r="H2313" i="1"/>
  <c r="I2313" i="1"/>
  <c r="J2313" i="1"/>
  <c r="K2313" i="1"/>
  <c r="L2313" i="1"/>
  <c r="M2313" i="1"/>
  <c r="N2313" i="1"/>
  <c r="A2314" i="1"/>
  <c r="B2314" i="1"/>
  <c r="F2314" i="1"/>
  <c r="G2314" i="1"/>
  <c r="H2314" i="1"/>
  <c r="I2314" i="1"/>
  <c r="J2314" i="1"/>
  <c r="K2314" i="1"/>
  <c r="L2314" i="1"/>
  <c r="M2314" i="1"/>
  <c r="N2314" i="1"/>
  <c r="A2315" i="1"/>
  <c r="B2315" i="1"/>
  <c r="F2315" i="1"/>
  <c r="G2315" i="1"/>
  <c r="H2315" i="1"/>
  <c r="I2315" i="1"/>
  <c r="J2315" i="1"/>
  <c r="K2315" i="1"/>
  <c r="L2315" i="1"/>
  <c r="M2315" i="1"/>
  <c r="N2315" i="1"/>
  <c r="A2316" i="1"/>
  <c r="B2316" i="1"/>
  <c r="F2316" i="1"/>
  <c r="G2316" i="1"/>
  <c r="H2316" i="1"/>
  <c r="I2316" i="1"/>
  <c r="J2316" i="1"/>
  <c r="K2316" i="1"/>
  <c r="L2316" i="1"/>
  <c r="M2316" i="1"/>
  <c r="N2316" i="1"/>
  <c r="A2317" i="1"/>
  <c r="B2317" i="1"/>
  <c r="F2317" i="1"/>
  <c r="G2317" i="1"/>
  <c r="H2317" i="1"/>
  <c r="I2317" i="1"/>
  <c r="J2317" i="1"/>
  <c r="K2317" i="1"/>
  <c r="L2317" i="1"/>
  <c r="M2317" i="1"/>
  <c r="N2317" i="1"/>
  <c r="A2318" i="1"/>
  <c r="B2318" i="1"/>
  <c r="F2318" i="1"/>
  <c r="G2318" i="1"/>
  <c r="H2318" i="1"/>
  <c r="I2318" i="1"/>
  <c r="J2318" i="1"/>
  <c r="K2318" i="1"/>
  <c r="L2318" i="1"/>
  <c r="M2318" i="1"/>
  <c r="N2318" i="1"/>
  <c r="A2319" i="1"/>
  <c r="B2319" i="1"/>
  <c r="F2319" i="1"/>
  <c r="G2319" i="1"/>
  <c r="H2319" i="1"/>
  <c r="I2319" i="1"/>
  <c r="J2319" i="1"/>
  <c r="K2319" i="1"/>
  <c r="L2319" i="1"/>
  <c r="M2319" i="1"/>
  <c r="N2319" i="1"/>
  <c r="A2320" i="1"/>
  <c r="B2320" i="1"/>
  <c r="F2320" i="1"/>
  <c r="G2320" i="1"/>
  <c r="H2320" i="1"/>
  <c r="I2320" i="1"/>
  <c r="J2320" i="1"/>
  <c r="K2320" i="1"/>
  <c r="L2320" i="1"/>
  <c r="M2320" i="1"/>
  <c r="N2320" i="1"/>
  <c r="A2321" i="1"/>
  <c r="B2321" i="1"/>
  <c r="F2321" i="1"/>
  <c r="G2321" i="1"/>
  <c r="H2321" i="1"/>
  <c r="I2321" i="1"/>
  <c r="J2321" i="1"/>
  <c r="K2321" i="1"/>
  <c r="L2321" i="1"/>
  <c r="M2321" i="1"/>
  <c r="N2321" i="1"/>
  <c r="A2322" i="1"/>
  <c r="B2322" i="1"/>
  <c r="F2322" i="1"/>
  <c r="G2322" i="1"/>
  <c r="H2322" i="1"/>
  <c r="I2322" i="1"/>
  <c r="J2322" i="1"/>
  <c r="K2322" i="1"/>
  <c r="L2322" i="1"/>
  <c r="M2322" i="1"/>
  <c r="N2322" i="1"/>
  <c r="A2323" i="1"/>
  <c r="B2323" i="1"/>
  <c r="F2323" i="1"/>
  <c r="G2323" i="1"/>
  <c r="H2323" i="1"/>
  <c r="I2323" i="1"/>
  <c r="J2323" i="1"/>
  <c r="K2323" i="1"/>
  <c r="L2323" i="1"/>
  <c r="M2323" i="1"/>
  <c r="N2323" i="1"/>
  <c r="A2324" i="1"/>
  <c r="B2324" i="1"/>
  <c r="F2324" i="1"/>
  <c r="G2324" i="1"/>
  <c r="H2324" i="1"/>
  <c r="I2324" i="1"/>
  <c r="J2324" i="1"/>
  <c r="K2324" i="1"/>
  <c r="L2324" i="1"/>
  <c r="M2324" i="1"/>
  <c r="N2324" i="1"/>
  <c r="A2325" i="1"/>
  <c r="B2325" i="1"/>
  <c r="F2325" i="1"/>
  <c r="G2325" i="1"/>
  <c r="H2325" i="1"/>
  <c r="I2325" i="1"/>
  <c r="J2325" i="1"/>
  <c r="K2325" i="1"/>
  <c r="L2325" i="1"/>
  <c r="M2325" i="1"/>
  <c r="N2325" i="1"/>
  <c r="A2326" i="1"/>
  <c r="B2326" i="1"/>
  <c r="F2326" i="1"/>
  <c r="G2326" i="1"/>
  <c r="H2326" i="1"/>
  <c r="I2326" i="1"/>
  <c r="J2326" i="1"/>
  <c r="K2326" i="1"/>
  <c r="L2326" i="1"/>
  <c r="M2326" i="1"/>
  <c r="N2326" i="1"/>
  <c r="A2327" i="1"/>
  <c r="B2327" i="1"/>
  <c r="F2327" i="1"/>
  <c r="G2327" i="1"/>
  <c r="H2327" i="1"/>
  <c r="I2327" i="1"/>
  <c r="J2327" i="1"/>
  <c r="K2327" i="1"/>
  <c r="L2327" i="1"/>
  <c r="M2327" i="1"/>
  <c r="N2327" i="1"/>
  <c r="A2328" i="1"/>
  <c r="B2328" i="1"/>
  <c r="F2328" i="1"/>
  <c r="G2328" i="1"/>
  <c r="H2328" i="1"/>
  <c r="I2328" i="1"/>
  <c r="J2328" i="1"/>
  <c r="K2328" i="1"/>
  <c r="L2328" i="1"/>
  <c r="M2328" i="1"/>
  <c r="N2328" i="1"/>
  <c r="A2329" i="1"/>
  <c r="B2329" i="1"/>
  <c r="F2329" i="1"/>
  <c r="G2329" i="1"/>
  <c r="H2329" i="1"/>
  <c r="I2329" i="1"/>
  <c r="J2329" i="1"/>
  <c r="K2329" i="1"/>
  <c r="L2329" i="1"/>
  <c r="M2329" i="1"/>
  <c r="N2329" i="1"/>
  <c r="A2330" i="1"/>
  <c r="B2330" i="1"/>
  <c r="F2330" i="1"/>
  <c r="G2330" i="1"/>
  <c r="H2330" i="1"/>
  <c r="I2330" i="1"/>
  <c r="J2330" i="1"/>
  <c r="K2330" i="1"/>
  <c r="L2330" i="1"/>
  <c r="M2330" i="1"/>
  <c r="N2330" i="1"/>
  <c r="A2331" i="1"/>
  <c r="B2331" i="1"/>
  <c r="F2331" i="1"/>
  <c r="G2331" i="1"/>
  <c r="H2331" i="1"/>
  <c r="I2331" i="1"/>
  <c r="J2331" i="1"/>
  <c r="K2331" i="1"/>
  <c r="L2331" i="1"/>
  <c r="M2331" i="1"/>
  <c r="N2331" i="1"/>
  <c r="A2332" i="1"/>
  <c r="B2332" i="1"/>
  <c r="F2332" i="1"/>
  <c r="G2332" i="1"/>
  <c r="H2332" i="1"/>
  <c r="I2332" i="1"/>
  <c r="J2332" i="1"/>
  <c r="K2332" i="1"/>
  <c r="L2332" i="1"/>
  <c r="M2332" i="1"/>
  <c r="N2332" i="1"/>
  <c r="A2333" i="1"/>
  <c r="B2333" i="1"/>
  <c r="F2333" i="1"/>
  <c r="G2333" i="1"/>
  <c r="H2333" i="1"/>
  <c r="I2333" i="1"/>
  <c r="J2333" i="1"/>
  <c r="K2333" i="1"/>
  <c r="L2333" i="1"/>
  <c r="M2333" i="1"/>
  <c r="N2333" i="1"/>
  <c r="A2334" i="1"/>
  <c r="B2334" i="1"/>
  <c r="F2334" i="1"/>
  <c r="G2334" i="1"/>
  <c r="H2334" i="1"/>
  <c r="I2334" i="1"/>
  <c r="J2334" i="1"/>
  <c r="K2334" i="1"/>
  <c r="L2334" i="1"/>
  <c r="M2334" i="1"/>
  <c r="N2334" i="1"/>
  <c r="A2335" i="1"/>
  <c r="B2335" i="1"/>
  <c r="F2335" i="1"/>
  <c r="G2335" i="1"/>
  <c r="H2335" i="1"/>
  <c r="I2335" i="1"/>
  <c r="J2335" i="1"/>
  <c r="K2335" i="1"/>
  <c r="L2335" i="1"/>
  <c r="M2335" i="1"/>
  <c r="N2335" i="1"/>
  <c r="A2336" i="1"/>
  <c r="B2336" i="1"/>
  <c r="F2336" i="1"/>
  <c r="G2336" i="1"/>
  <c r="H2336" i="1"/>
  <c r="I2336" i="1"/>
  <c r="J2336" i="1"/>
  <c r="K2336" i="1"/>
  <c r="L2336" i="1"/>
  <c r="M2336" i="1"/>
  <c r="N2336" i="1"/>
  <c r="A2337" i="1"/>
  <c r="B2337" i="1"/>
  <c r="F2337" i="1"/>
  <c r="G2337" i="1"/>
  <c r="H2337" i="1"/>
  <c r="I2337" i="1"/>
  <c r="J2337" i="1"/>
  <c r="K2337" i="1"/>
  <c r="L2337" i="1"/>
  <c r="M2337" i="1"/>
  <c r="N2337" i="1"/>
  <c r="A2338" i="1"/>
  <c r="B2338" i="1"/>
  <c r="F2338" i="1"/>
  <c r="G2338" i="1"/>
  <c r="H2338" i="1"/>
  <c r="I2338" i="1"/>
  <c r="J2338" i="1"/>
  <c r="K2338" i="1"/>
  <c r="L2338" i="1"/>
  <c r="M2338" i="1"/>
  <c r="N2338" i="1"/>
  <c r="A2339" i="1"/>
  <c r="B2339" i="1"/>
  <c r="F2339" i="1"/>
  <c r="G2339" i="1"/>
  <c r="H2339" i="1"/>
  <c r="I2339" i="1"/>
  <c r="J2339" i="1"/>
  <c r="K2339" i="1"/>
  <c r="L2339" i="1"/>
  <c r="M2339" i="1"/>
  <c r="N2339" i="1"/>
  <c r="A2340" i="1"/>
  <c r="B2340" i="1"/>
  <c r="F2340" i="1"/>
  <c r="G2340" i="1"/>
  <c r="H2340" i="1"/>
  <c r="I2340" i="1"/>
  <c r="J2340" i="1"/>
  <c r="K2340" i="1"/>
  <c r="L2340" i="1"/>
  <c r="M2340" i="1"/>
  <c r="N2340" i="1"/>
  <c r="A2341" i="1"/>
  <c r="B2341" i="1"/>
  <c r="F2341" i="1"/>
  <c r="G2341" i="1"/>
  <c r="H2341" i="1"/>
  <c r="I2341" i="1"/>
  <c r="J2341" i="1"/>
  <c r="K2341" i="1"/>
  <c r="L2341" i="1"/>
  <c r="M2341" i="1"/>
  <c r="N2341" i="1"/>
  <c r="A2342" i="1"/>
  <c r="B2342" i="1"/>
  <c r="F2342" i="1"/>
  <c r="G2342" i="1"/>
  <c r="H2342" i="1"/>
  <c r="I2342" i="1"/>
  <c r="J2342" i="1"/>
  <c r="K2342" i="1"/>
  <c r="L2342" i="1"/>
  <c r="M2342" i="1"/>
  <c r="N2342" i="1"/>
  <c r="A2343" i="1"/>
  <c r="B2343" i="1"/>
  <c r="F2343" i="1"/>
  <c r="G2343" i="1"/>
  <c r="H2343" i="1"/>
  <c r="I2343" i="1"/>
  <c r="J2343" i="1"/>
  <c r="K2343" i="1"/>
  <c r="L2343" i="1"/>
  <c r="M2343" i="1"/>
  <c r="N2343" i="1"/>
  <c r="A2344" i="1"/>
  <c r="B2344" i="1"/>
  <c r="F2344" i="1"/>
  <c r="G2344" i="1"/>
  <c r="H2344" i="1"/>
  <c r="I2344" i="1"/>
  <c r="J2344" i="1"/>
  <c r="K2344" i="1"/>
  <c r="L2344" i="1"/>
  <c r="M2344" i="1"/>
  <c r="N2344" i="1"/>
  <c r="A2345" i="1"/>
  <c r="B2345" i="1"/>
  <c r="F2345" i="1"/>
  <c r="G2345" i="1"/>
  <c r="H2345" i="1"/>
  <c r="I2345" i="1"/>
  <c r="J2345" i="1"/>
  <c r="K2345" i="1"/>
  <c r="L2345" i="1"/>
  <c r="M2345" i="1"/>
  <c r="N2345" i="1"/>
  <c r="A2346" i="1"/>
  <c r="B2346" i="1"/>
  <c r="F2346" i="1"/>
  <c r="G2346" i="1"/>
  <c r="H2346" i="1"/>
  <c r="I2346" i="1"/>
  <c r="J2346" i="1"/>
  <c r="K2346" i="1"/>
  <c r="L2346" i="1"/>
  <c r="M2346" i="1"/>
  <c r="N2346" i="1"/>
  <c r="A2347" i="1"/>
  <c r="B2347" i="1"/>
  <c r="F2347" i="1"/>
  <c r="G2347" i="1"/>
  <c r="H2347" i="1"/>
  <c r="I2347" i="1"/>
  <c r="J2347" i="1"/>
  <c r="K2347" i="1"/>
  <c r="L2347" i="1"/>
  <c r="M2347" i="1"/>
  <c r="N2347" i="1"/>
  <c r="A2348" i="1"/>
  <c r="B2348" i="1"/>
  <c r="F2348" i="1"/>
  <c r="G2348" i="1"/>
  <c r="H2348" i="1"/>
  <c r="I2348" i="1"/>
  <c r="J2348" i="1"/>
  <c r="K2348" i="1"/>
  <c r="L2348" i="1"/>
  <c r="M2348" i="1"/>
  <c r="N2348" i="1"/>
  <c r="A2349" i="1"/>
  <c r="B2349" i="1"/>
  <c r="F2349" i="1"/>
  <c r="G2349" i="1"/>
  <c r="H2349" i="1"/>
  <c r="I2349" i="1"/>
  <c r="J2349" i="1"/>
  <c r="K2349" i="1"/>
  <c r="L2349" i="1"/>
  <c r="M2349" i="1"/>
  <c r="N2349" i="1"/>
  <c r="A2350" i="1"/>
  <c r="B2350" i="1"/>
  <c r="F2350" i="1"/>
  <c r="G2350" i="1"/>
  <c r="H2350" i="1"/>
  <c r="I2350" i="1"/>
  <c r="J2350" i="1"/>
  <c r="K2350" i="1"/>
  <c r="L2350" i="1"/>
  <c r="M2350" i="1"/>
  <c r="N2350" i="1"/>
  <c r="A2351" i="1"/>
  <c r="B2351" i="1"/>
  <c r="F2351" i="1"/>
  <c r="G2351" i="1"/>
  <c r="H2351" i="1"/>
  <c r="I2351" i="1"/>
  <c r="J2351" i="1"/>
  <c r="K2351" i="1"/>
  <c r="L2351" i="1"/>
  <c r="M2351" i="1"/>
  <c r="N2351" i="1"/>
  <c r="A2352" i="1"/>
  <c r="B2352" i="1"/>
  <c r="F2352" i="1"/>
  <c r="G2352" i="1"/>
  <c r="H2352" i="1"/>
  <c r="I2352" i="1"/>
  <c r="J2352" i="1"/>
  <c r="K2352" i="1"/>
  <c r="L2352" i="1"/>
  <c r="M2352" i="1"/>
  <c r="N2352" i="1"/>
  <c r="A2353" i="1"/>
  <c r="B2353" i="1"/>
  <c r="F2353" i="1"/>
  <c r="G2353" i="1"/>
  <c r="H2353" i="1"/>
  <c r="I2353" i="1"/>
  <c r="J2353" i="1"/>
  <c r="K2353" i="1"/>
  <c r="L2353" i="1"/>
  <c r="M2353" i="1"/>
  <c r="N2353" i="1"/>
  <c r="A2354" i="1"/>
  <c r="B2354" i="1"/>
  <c r="F2354" i="1"/>
  <c r="G2354" i="1"/>
  <c r="H2354" i="1"/>
  <c r="I2354" i="1"/>
  <c r="J2354" i="1"/>
  <c r="K2354" i="1"/>
  <c r="L2354" i="1"/>
  <c r="M2354" i="1"/>
  <c r="N2354" i="1"/>
  <c r="A2355" i="1"/>
  <c r="B2355" i="1"/>
  <c r="F2355" i="1"/>
  <c r="G2355" i="1"/>
  <c r="H2355" i="1"/>
  <c r="I2355" i="1"/>
  <c r="J2355" i="1"/>
  <c r="K2355" i="1"/>
  <c r="L2355" i="1"/>
  <c r="M2355" i="1"/>
  <c r="N2355" i="1"/>
  <c r="A2356" i="1"/>
  <c r="B2356" i="1"/>
  <c r="F2356" i="1"/>
  <c r="G2356" i="1"/>
  <c r="H2356" i="1"/>
  <c r="I2356" i="1"/>
  <c r="J2356" i="1"/>
  <c r="K2356" i="1"/>
  <c r="L2356" i="1"/>
  <c r="M2356" i="1"/>
  <c r="N2356" i="1"/>
  <c r="A2357" i="1"/>
  <c r="B2357" i="1"/>
  <c r="F2357" i="1"/>
  <c r="G2357" i="1"/>
  <c r="H2357" i="1"/>
  <c r="I2357" i="1"/>
  <c r="J2357" i="1"/>
  <c r="K2357" i="1"/>
  <c r="L2357" i="1"/>
  <c r="M2357" i="1"/>
  <c r="N2357" i="1"/>
  <c r="A2358" i="1"/>
  <c r="B2358" i="1"/>
  <c r="F2358" i="1"/>
  <c r="G2358" i="1"/>
  <c r="H2358" i="1"/>
  <c r="I2358" i="1"/>
  <c r="J2358" i="1"/>
  <c r="K2358" i="1"/>
  <c r="L2358" i="1"/>
  <c r="M2358" i="1"/>
  <c r="N2358" i="1"/>
  <c r="A2359" i="1"/>
  <c r="B2359" i="1"/>
  <c r="F2359" i="1"/>
  <c r="G2359" i="1"/>
  <c r="H2359" i="1"/>
  <c r="I2359" i="1"/>
  <c r="J2359" i="1"/>
  <c r="K2359" i="1"/>
  <c r="L2359" i="1"/>
  <c r="M2359" i="1"/>
  <c r="N2359" i="1"/>
  <c r="A2360" i="1"/>
  <c r="B2360" i="1"/>
  <c r="F2360" i="1"/>
  <c r="G2360" i="1"/>
  <c r="H2360" i="1"/>
  <c r="I2360" i="1"/>
  <c r="J2360" i="1"/>
  <c r="K2360" i="1"/>
  <c r="L2360" i="1"/>
  <c r="M2360" i="1"/>
  <c r="N2360" i="1"/>
  <c r="A2361" i="1"/>
  <c r="B2361" i="1"/>
  <c r="F2361" i="1"/>
  <c r="G2361" i="1"/>
  <c r="H2361" i="1"/>
  <c r="I2361" i="1"/>
  <c r="J2361" i="1"/>
  <c r="K2361" i="1"/>
  <c r="L2361" i="1"/>
  <c r="M2361" i="1"/>
  <c r="N2361" i="1"/>
  <c r="A2362" i="1"/>
  <c r="B2362" i="1"/>
  <c r="F2362" i="1"/>
  <c r="G2362" i="1"/>
  <c r="H2362" i="1"/>
  <c r="I2362" i="1"/>
  <c r="J2362" i="1"/>
  <c r="K2362" i="1"/>
  <c r="L2362" i="1"/>
  <c r="M2362" i="1"/>
  <c r="N2362" i="1"/>
  <c r="A2363" i="1"/>
  <c r="B2363" i="1"/>
  <c r="F2363" i="1"/>
  <c r="G2363" i="1"/>
  <c r="H2363" i="1"/>
  <c r="I2363" i="1"/>
  <c r="J2363" i="1"/>
  <c r="K2363" i="1"/>
  <c r="L2363" i="1"/>
  <c r="M2363" i="1"/>
  <c r="N2363" i="1"/>
  <c r="A2364" i="1"/>
  <c r="B2364" i="1"/>
  <c r="F2364" i="1"/>
  <c r="G2364" i="1"/>
  <c r="H2364" i="1"/>
  <c r="I2364" i="1"/>
  <c r="J2364" i="1"/>
  <c r="K2364" i="1"/>
  <c r="L2364" i="1"/>
  <c r="M2364" i="1"/>
  <c r="N2364" i="1"/>
  <c r="A2365" i="1"/>
  <c r="B2365" i="1"/>
  <c r="F2365" i="1"/>
  <c r="G2365" i="1"/>
  <c r="H2365" i="1"/>
  <c r="I2365" i="1"/>
  <c r="J2365" i="1"/>
  <c r="K2365" i="1"/>
  <c r="L2365" i="1"/>
  <c r="M2365" i="1"/>
  <c r="N2365" i="1"/>
  <c r="A2366" i="1"/>
  <c r="B2366" i="1"/>
  <c r="F2366" i="1"/>
  <c r="G2366" i="1"/>
  <c r="H2366" i="1"/>
  <c r="I2366" i="1"/>
  <c r="J2366" i="1"/>
  <c r="K2366" i="1"/>
  <c r="L2366" i="1"/>
  <c r="M2366" i="1"/>
  <c r="N2366" i="1"/>
  <c r="A2367" i="1"/>
  <c r="B2367" i="1"/>
  <c r="F2367" i="1"/>
  <c r="G2367" i="1"/>
  <c r="H2367" i="1"/>
  <c r="I2367" i="1"/>
  <c r="J2367" i="1"/>
  <c r="K2367" i="1"/>
  <c r="L2367" i="1"/>
  <c r="M2367" i="1"/>
  <c r="N2367" i="1"/>
  <c r="A2368" i="1"/>
  <c r="B2368" i="1"/>
  <c r="F2368" i="1"/>
  <c r="G2368" i="1"/>
  <c r="H2368" i="1"/>
  <c r="I2368" i="1"/>
  <c r="J2368" i="1"/>
  <c r="K2368" i="1"/>
  <c r="L2368" i="1"/>
  <c r="M2368" i="1"/>
  <c r="N2368" i="1"/>
  <c r="A2369" i="1"/>
  <c r="B2369" i="1"/>
  <c r="F2369" i="1"/>
  <c r="G2369" i="1"/>
  <c r="H2369" i="1"/>
  <c r="I2369" i="1"/>
  <c r="J2369" i="1"/>
  <c r="K2369" i="1"/>
  <c r="L2369" i="1"/>
  <c r="M2369" i="1"/>
  <c r="N2369" i="1"/>
  <c r="A2370" i="1"/>
  <c r="B2370" i="1"/>
  <c r="F2370" i="1"/>
  <c r="G2370" i="1"/>
  <c r="H2370" i="1"/>
  <c r="I2370" i="1"/>
  <c r="J2370" i="1"/>
  <c r="K2370" i="1"/>
  <c r="L2370" i="1"/>
  <c r="M2370" i="1"/>
  <c r="N2370" i="1"/>
  <c r="A2371" i="1"/>
  <c r="B2371" i="1"/>
  <c r="F2371" i="1"/>
  <c r="G2371" i="1"/>
  <c r="H2371" i="1"/>
  <c r="I2371" i="1"/>
  <c r="J2371" i="1"/>
  <c r="K2371" i="1"/>
  <c r="L2371" i="1"/>
  <c r="M2371" i="1"/>
  <c r="N2371" i="1"/>
  <c r="A2372" i="1"/>
  <c r="B2372" i="1"/>
  <c r="F2372" i="1"/>
  <c r="G2372" i="1"/>
  <c r="H2372" i="1"/>
  <c r="I2372" i="1"/>
  <c r="J2372" i="1"/>
  <c r="K2372" i="1"/>
  <c r="L2372" i="1"/>
  <c r="M2372" i="1"/>
  <c r="N2372" i="1"/>
  <c r="A2373" i="1"/>
  <c r="B2373" i="1"/>
  <c r="F2373" i="1"/>
  <c r="G2373" i="1"/>
  <c r="H2373" i="1"/>
  <c r="I2373" i="1"/>
  <c r="J2373" i="1"/>
  <c r="K2373" i="1"/>
  <c r="L2373" i="1"/>
  <c r="M2373" i="1"/>
  <c r="N2373" i="1"/>
  <c r="A2374" i="1"/>
  <c r="B2374" i="1"/>
  <c r="F2374" i="1"/>
  <c r="G2374" i="1"/>
  <c r="H2374" i="1"/>
  <c r="I2374" i="1"/>
  <c r="J2374" i="1"/>
  <c r="K2374" i="1"/>
  <c r="L2374" i="1"/>
  <c r="M2374" i="1"/>
  <c r="N2374" i="1"/>
  <c r="A2375" i="1"/>
  <c r="B2375" i="1"/>
  <c r="F2375" i="1"/>
  <c r="G2375" i="1"/>
  <c r="H2375" i="1"/>
  <c r="I2375" i="1"/>
  <c r="J2375" i="1"/>
  <c r="K2375" i="1"/>
  <c r="L2375" i="1"/>
  <c r="M2375" i="1"/>
  <c r="N2375" i="1"/>
  <c r="A2376" i="1"/>
  <c r="B2376" i="1"/>
  <c r="F2376" i="1"/>
  <c r="G2376" i="1"/>
  <c r="H2376" i="1"/>
  <c r="I2376" i="1"/>
  <c r="J2376" i="1"/>
  <c r="K2376" i="1"/>
  <c r="L2376" i="1"/>
  <c r="M2376" i="1"/>
  <c r="N2376" i="1"/>
  <c r="A2377" i="1"/>
  <c r="B2377" i="1"/>
  <c r="F2377" i="1"/>
  <c r="G2377" i="1"/>
  <c r="H2377" i="1"/>
  <c r="I2377" i="1"/>
  <c r="J2377" i="1"/>
  <c r="K2377" i="1"/>
  <c r="L2377" i="1"/>
  <c r="M2377" i="1"/>
  <c r="N2377" i="1"/>
  <c r="A2378" i="1"/>
  <c r="B2378" i="1"/>
  <c r="F2378" i="1"/>
  <c r="G2378" i="1"/>
  <c r="H2378" i="1"/>
  <c r="I2378" i="1"/>
  <c r="J2378" i="1"/>
  <c r="K2378" i="1"/>
  <c r="L2378" i="1"/>
  <c r="M2378" i="1"/>
  <c r="N2378" i="1"/>
  <c r="A2379" i="1"/>
  <c r="B2379" i="1"/>
  <c r="F2379" i="1"/>
  <c r="G2379" i="1"/>
  <c r="H2379" i="1"/>
  <c r="I2379" i="1"/>
  <c r="J2379" i="1"/>
  <c r="K2379" i="1"/>
  <c r="L2379" i="1"/>
  <c r="M2379" i="1"/>
  <c r="N2379" i="1"/>
  <c r="A2380" i="1"/>
  <c r="B2380" i="1"/>
  <c r="F2380" i="1"/>
  <c r="G2380" i="1"/>
  <c r="H2380" i="1"/>
  <c r="I2380" i="1"/>
  <c r="J2380" i="1"/>
  <c r="K2380" i="1"/>
  <c r="L2380" i="1"/>
  <c r="M2380" i="1"/>
  <c r="N2380" i="1"/>
  <c r="A2381" i="1"/>
  <c r="B2381" i="1"/>
  <c r="F2381" i="1"/>
  <c r="G2381" i="1"/>
  <c r="H2381" i="1"/>
  <c r="I2381" i="1"/>
  <c r="J2381" i="1"/>
  <c r="K2381" i="1"/>
  <c r="L2381" i="1"/>
  <c r="M2381" i="1"/>
  <c r="N2381" i="1"/>
  <c r="A2382" i="1"/>
  <c r="B2382" i="1"/>
  <c r="F2382" i="1"/>
  <c r="G2382" i="1"/>
  <c r="H2382" i="1"/>
  <c r="I2382" i="1"/>
  <c r="J2382" i="1"/>
  <c r="K2382" i="1"/>
  <c r="L2382" i="1"/>
  <c r="M2382" i="1"/>
  <c r="N2382" i="1"/>
  <c r="A2383" i="1"/>
  <c r="B2383" i="1"/>
  <c r="F2383" i="1"/>
  <c r="G2383" i="1"/>
  <c r="H2383" i="1"/>
  <c r="I2383" i="1"/>
  <c r="J2383" i="1"/>
  <c r="K2383" i="1"/>
  <c r="L2383" i="1"/>
  <c r="M2383" i="1"/>
  <c r="N2383" i="1"/>
  <c r="A2384" i="1"/>
  <c r="B2384" i="1"/>
  <c r="F2384" i="1"/>
  <c r="G2384" i="1"/>
  <c r="H2384" i="1"/>
  <c r="I2384" i="1"/>
  <c r="J2384" i="1"/>
  <c r="K2384" i="1"/>
  <c r="L2384" i="1"/>
  <c r="M2384" i="1"/>
  <c r="N2384" i="1"/>
  <c r="A2385" i="1"/>
  <c r="B2385" i="1"/>
  <c r="F2385" i="1"/>
  <c r="G2385" i="1"/>
  <c r="H2385" i="1"/>
  <c r="I2385" i="1"/>
  <c r="J2385" i="1"/>
  <c r="K2385" i="1"/>
  <c r="L2385" i="1"/>
  <c r="M2385" i="1"/>
  <c r="N2385" i="1"/>
  <c r="A2386" i="1"/>
  <c r="B2386" i="1"/>
  <c r="F2386" i="1"/>
  <c r="G2386" i="1"/>
  <c r="H2386" i="1"/>
  <c r="I2386" i="1"/>
  <c r="J2386" i="1"/>
  <c r="K2386" i="1"/>
  <c r="L2386" i="1"/>
  <c r="M2386" i="1"/>
  <c r="N2386" i="1"/>
  <c r="A2387" i="1"/>
  <c r="B2387" i="1"/>
  <c r="F2387" i="1"/>
  <c r="G2387" i="1"/>
  <c r="H2387" i="1"/>
  <c r="I2387" i="1"/>
  <c r="J2387" i="1"/>
  <c r="K2387" i="1"/>
  <c r="L2387" i="1"/>
  <c r="M2387" i="1"/>
  <c r="N2387" i="1"/>
  <c r="A2388" i="1"/>
  <c r="B2388" i="1"/>
  <c r="F2388" i="1"/>
  <c r="G2388" i="1"/>
  <c r="H2388" i="1"/>
  <c r="I2388" i="1"/>
  <c r="J2388" i="1"/>
  <c r="K2388" i="1"/>
  <c r="L2388" i="1"/>
  <c r="M2388" i="1"/>
  <c r="N2388" i="1"/>
  <c r="A2389" i="1"/>
  <c r="B2389" i="1"/>
  <c r="F2389" i="1"/>
  <c r="G2389" i="1"/>
  <c r="H2389" i="1"/>
  <c r="I2389" i="1"/>
  <c r="J2389" i="1"/>
  <c r="K2389" i="1"/>
  <c r="L2389" i="1"/>
  <c r="M2389" i="1"/>
  <c r="N2389" i="1"/>
  <c r="A2390" i="1"/>
  <c r="B2390" i="1"/>
  <c r="F2390" i="1"/>
  <c r="G2390" i="1"/>
  <c r="H2390" i="1"/>
  <c r="I2390" i="1"/>
  <c r="J2390" i="1"/>
  <c r="K2390" i="1"/>
  <c r="L2390" i="1"/>
  <c r="M2390" i="1"/>
  <c r="N2390" i="1"/>
  <c r="A2391" i="1"/>
  <c r="B2391" i="1"/>
  <c r="F2391" i="1"/>
  <c r="G2391" i="1"/>
  <c r="H2391" i="1"/>
  <c r="I2391" i="1"/>
  <c r="J2391" i="1"/>
  <c r="K2391" i="1"/>
  <c r="L2391" i="1"/>
  <c r="M2391" i="1"/>
  <c r="N2391" i="1"/>
  <c r="A2392" i="1"/>
  <c r="B2392" i="1"/>
  <c r="F2392" i="1"/>
  <c r="G2392" i="1"/>
  <c r="H2392" i="1"/>
  <c r="I2392" i="1"/>
  <c r="J2392" i="1"/>
  <c r="K2392" i="1"/>
  <c r="L2392" i="1"/>
  <c r="M2392" i="1"/>
  <c r="N2392" i="1"/>
  <c r="A2393" i="1"/>
  <c r="B2393" i="1"/>
  <c r="F2393" i="1"/>
  <c r="G2393" i="1"/>
  <c r="H2393" i="1"/>
  <c r="I2393" i="1"/>
  <c r="J2393" i="1"/>
  <c r="K2393" i="1"/>
  <c r="L2393" i="1"/>
  <c r="M2393" i="1"/>
  <c r="N2393" i="1"/>
  <c r="A2394" i="1"/>
  <c r="B2394" i="1"/>
  <c r="F2394" i="1"/>
  <c r="G2394" i="1"/>
  <c r="H2394" i="1"/>
  <c r="I2394" i="1"/>
  <c r="J2394" i="1"/>
  <c r="K2394" i="1"/>
  <c r="L2394" i="1"/>
  <c r="M2394" i="1"/>
  <c r="N2394" i="1"/>
  <c r="A2395" i="1"/>
  <c r="B2395" i="1"/>
  <c r="F2395" i="1"/>
  <c r="G2395" i="1"/>
  <c r="H2395" i="1"/>
  <c r="I2395" i="1"/>
  <c r="J2395" i="1"/>
  <c r="K2395" i="1"/>
  <c r="L2395" i="1"/>
  <c r="M2395" i="1"/>
  <c r="N2395" i="1"/>
  <c r="A2396" i="1"/>
  <c r="B2396" i="1"/>
  <c r="F2396" i="1"/>
  <c r="G2396" i="1"/>
  <c r="H2396" i="1"/>
  <c r="I2396" i="1"/>
  <c r="J2396" i="1"/>
  <c r="K2396" i="1"/>
  <c r="L2396" i="1"/>
  <c r="M2396" i="1"/>
  <c r="N2396" i="1"/>
  <c r="A2397" i="1"/>
  <c r="B2397" i="1"/>
  <c r="F2397" i="1"/>
  <c r="G2397" i="1"/>
  <c r="H2397" i="1"/>
  <c r="I2397" i="1"/>
  <c r="J2397" i="1"/>
  <c r="K2397" i="1"/>
  <c r="L2397" i="1"/>
  <c r="M2397" i="1"/>
  <c r="N2397" i="1"/>
  <c r="A2398" i="1"/>
  <c r="B2398" i="1"/>
  <c r="F2398" i="1"/>
  <c r="G2398" i="1"/>
  <c r="H2398" i="1"/>
  <c r="I2398" i="1"/>
  <c r="J2398" i="1"/>
  <c r="K2398" i="1"/>
  <c r="L2398" i="1"/>
  <c r="M2398" i="1"/>
  <c r="N2398" i="1"/>
  <c r="A2399" i="1"/>
  <c r="B2399" i="1"/>
  <c r="F2399" i="1"/>
  <c r="G2399" i="1"/>
  <c r="H2399" i="1"/>
  <c r="I2399" i="1"/>
  <c r="J2399" i="1"/>
  <c r="K2399" i="1"/>
  <c r="L2399" i="1"/>
  <c r="M2399" i="1"/>
  <c r="N2399" i="1"/>
  <c r="A2400" i="1"/>
  <c r="B2400" i="1"/>
  <c r="F2400" i="1"/>
  <c r="G2400" i="1"/>
  <c r="H2400" i="1"/>
  <c r="I2400" i="1"/>
  <c r="J2400" i="1"/>
  <c r="K2400" i="1"/>
  <c r="L2400" i="1"/>
  <c r="M2400" i="1"/>
  <c r="N2400" i="1"/>
  <c r="A2401" i="1"/>
  <c r="B2401" i="1"/>
  <c r="F2401" i="1"/>
  <c r="G2401" i="1"/>
  <c r="H2401" i="1"/>
  <c r="I2401" i="1"/>
  <c r="J2401" i="1"/>
  <c r="K2401" i="1"/>
  <c r="L2401" i="1"/>
  <c r="M2401" i="1"/>
  <c r="N2401" i="1"/>
  <c r="A2402" i="1"/>
  <c r="B2402" i="1"/>
  <c r="F2402" i="1"/>
  <c r="G2402" i="1"/>
  <c r="H2402" i="1"/>
  <c r="I2402" i="1"/>
  <c r="J2402" i="1"/>
  <c r="K2402" i="1"/>
  <c r="L2402" i="1"/>
  <c r="M2402" i="1"/>
  <c r="N2402" i="1"/>
  <c r="A2403" i="1"/>
  <c r="B2403" i="1"/>
  <c r="F2403" i="1"/>
  <c r="G2403" i="1"/>
  <c r="H2403" i="1"/>
  <c r="I2403" i="1"/>
  <c r="J2403" i="1"/>
  <c r="K2403" i="1"/>
  <c r="L2403" i="1"/>
  <c r="M2403" i="1"/>
  <c r="N2403" i="1"/>
  <c r="A2404" i="1"/>
  <c r="B2404" i="1"/>
  <c r="F2404" i="1"/>
  <c r="G2404" i="1"/>
  <c r="H2404" i="1"/>
  <c r="I2404" i="1"/>
  <c r="J2404" i="1"/>
  <c r="K2404" i="1"/>
  <c r="L2404" i="1"/>
  <c r="M2404" i="1"/>
  <c r="N2404" i="1"/>
  <c r="A2405" i="1"/>
  <c r="B2405" i="1"/>
  <c r="F2405" i="1"/>
  <c r="G2405" i="1"/>
  <c r="H2405" i="1"/>
  <c r="I2405" i="1"/>
  <c r="J2405" i="1"/>
  <c r="K2405" i="1"/>
  <c r="L2405" i="1"/>
  <c r="M2405" i="1"/>
  <c r="N2405" i="1"/>
  <c r="A2406" i="1"/>
  <c r="B2406" i="1"/>
  <c r="F2406" i="1"/>
  <c r="G2406" i="1"/>
  <c r="H2406" i="1"/>
  <c r="I2406" i="1"/>
  <c r="J2406" i="1"/>
  <c r="K2406" i="1"/>
  <c r="L2406" i="1"/>
  <c r="M2406" i="1"/>
  <c r="N2406" i="1"/>
  <c r="A2407" i="1"/>
  <c r="B2407" i="1"/>
  <c r="F2407" i="1"/>
  <c r="G2407" i="1"/>
  <c r="H2407" i="1"/>
  <c r="I2407" i="1"/>
  <c r="J2407" i="1"/>
  <c r="K2407" i="1"/>
  <c r="L2407" i="1"/>
  <c r="M2407" i="1"/>
  <c r="N2407" i="1"/>
  <c r="A2408" i="1"/>
  <c r="B2408" i="1"/>
  <c r="F2408" i="1"/>
  <c r="G2408" i="1"/>
  <c r="H2408" i="1"/>
  <c r="I2408" i="1"/>
  <c r="J2408" i="1"/>
  <c r="K2408" i="1"/>
  <c r="L2408" i="1"/>
  <c r="M2408" i="1"/>
  <c r="N2408" i="1"/>
  <c r="A2409" i="1"/>
  <c r="B2409" i="1"/>
  <c r="F2409" i="1"/>
  <c r="G2409" i="1"/>
  <c r="H2409" i="1"/>
  <c r="I2409" i="1"/>
  <c r="J2409" i="1"/>
  <c r="K2409" i="1"/>
  <c r="L2409" i="1"/>
  <c r="M2409" i="1"/>
  <c r="N2409" i="1"/>
  <c r="A2410" i="1"/>
  <c r="B2410" i="1"/>
  <c r="F2410" i="1"/>
  <c r="G2410" i="1"/>
  <c r="H2410" i="1"/>
  <c r="I2410" i="1"/>
  <c r="J2410" i="1"/>
  <c r="K2410" i="1"/>
  <c r="L2410" i="1"/>
  <c r="M2410" i="1"/>
  <c r="N2410" i="1"/>
  <c r="A2411" i="1"/>
  <c r="B2411" i="1"/>
  <c r="F2411" i="1"/>
  <c r="G2411" i="1"/>
  <c r="H2411" i="1"/>
  <c r="I2411" i="1"/>
  <c r="J2411" i="1"/>
  <c r="K2411" i="1"/>
  <c r="L2411" i="1"/>
  <c r="M2411" i="1"/>
  <c r="N2411" i="1"/>
  <c r="A2412" i="1"/>
  <c r="B2412" i="1"/>
  <c r="F2412" i="1"/>
  <c r="G2412" i="1"/>
  <c r="H2412" i="1"/>
  <c r="I2412" i="1"/>
  <c r="J2412" i="1"/>
  <c r="K2412" i="1"/>
  <c r="L2412" i="1"/>
  <c r="M2412" i="1"/>
  <c r="N2412" i="1"/>
  <c r="A2413" i="1"/>
  <c r="B2413" i="1"/>
  <c r="F2413" i="1"/>
  <c r="G2413" i="1"/>
  <c r="H2413" i="1"/>
  <c r="I2413" i="1"/>
  <c r="J2413" i="1"/>
  <c r="K2413" i="1"/>
  <c r="L2413" i="1"/>
  <c r="M2413" i="1"/>
  <c r="N2413" i="1"/>
  <c r="A2414" i="1"/>
  <c r="B2414" i="1"/>
  <c r="F2414" i="1"/>
  <c r="G2414" i="1"/>
  <c r="H2414" i="1"/>
  <c r="I2414" i="1"/>
  <c r="J2414" i="1"/>
  <c r="K2414" i="1"/>
  <c r="L2414" i="1"/>
  <c r="M2414" i="1"/>
  <c r="N2414" i="1"/>
  <c r="A2415" i="1"/>
  <c r="B2415" i="1"/>
  <c r="F2415" i="1"/>
  <c r="G2415" i="1"/>
  <c r="H2415" i="1"/>
  <c r="I2415" i="1"/>
  <c r="J2415" i="1"/>
  <c r="K2415" i="1"/>
  <c r="L2415" i="1"/>
  <c r="M2415" i="1"/>
  <c r="N2415" i="1"/>
  <c r="A2416" i="1"/>
  <c r="B2416" i="1"/>
  <c r="F2416" i="1"/>
  <c r="G2416" i="1"/>
  <c r="H2416" i="1"/>
  <c r="I2416" i="1"/>
  <c r="J2416" i="1"/>
  <c r="K2416" i="1"/>
  <c r="L2416" i="1"/>
  <c r="M2416" i="1"/>
  <c r="N2416" i="1"/>
  <c r="A2417" i="1"/>
  <c r="B2417" i="1"/>
  <c r="F2417" i="1"/>
  <c r="G2417" i="1"/>
  <c r="H2417" i="1"/>
  <c r="I2417" i="1"/>
  <c r="J2417" i="1"/>
  <c r="K2417" i="1"/>
  <c r="L2417" i="1"/>
  <c r="M2417" i="1"/>
  <c r="N2417" i="1"/>
  <c r="A2418" i="1"/>
  <c r="B2418" i="1"/>
  <c r="F2418" i="1"/>
  <c r="G2418" i="1"/>
  <c r="H2418" i="1"/>
  <c r="I2418" i="1"/>
  <c r="J2418" i="1"/>
  <c r="K2418" i="1"/>
  <c r="L2418" i="1"/>
  <c r="M2418" i="1"/>
  <c r="N2418" i="1"/>
  <c r="A2419" i="1"/>
  <c r="B2419" i="1"/>
  <c r="F2419" i="1"/>
  <c r="G2419" i="1"/>
  <c r="H2419" i="1"/>
  <c r="I2419" i="1"/>
  <c r="J2419" i="1"/>
  <c r="K2419" i="1"/>
  <c r="L2419" i="1"/>
  <c r="M2419" i="1"/>
  <c r="N2419" i="1"/>
  <c r="A2420" i="1"/>
  <c r="B2420" i="1"/>
  <c r="F2420" i="1"/>
  <c r="G2420" i="1"/>
  <c r="H2420" i="1"/>
  <c r="I2420" i="1"/>
  <c r="J2420" i="1"/>
  <c r="K2420" i="1"/>
  <c r="L2420" i="1"/>
  <c r="M2420" i="1"/>
  <c r="N2420" i="1"/>
  <c r="A2421" i="1"/>
  <c r="B2421" i="1"/>
  <c r="F2421" i="1"/>
  <c r="G2421" i="1"/>
  <c r="H2421" i="1"/>
  <c r="I2421" i="1"/>
  <c r="J2421" i="1"/>
  <c r="K2421" i="1"/>
  <c r="L2421" i="1"/>
  <c r="M2421" i="1"/>
  <c r="N2421" i="1"/>
  <c r="A2422" i="1"/>
  <c r="B2422" i="1"/>
  <c r="F2422" i="1"/>
  <c r="G2422" i="1"/>
  <c r="H2422" i="1"/>
  <c r="I2422" i="1"/>
  <c r="J2422" i="1"/>
  <c r="K2422" i="1"/>
  <c r="L2422" i="1"/>
  <c r="M2422" i="1"/>
  <c r="N2422" i="1"/>
  <c r="A2423" i="1"/>
  <c r="B2423" i="1"/>
  <c r="F2423" i="1"/>
  <c r="G2423" i="1"/>
  <c r="H2423" i="1"/>
  <c r="I2423" i="1"/>
  <c r="J2423" i="1"/>
  <c r="K2423" i="1"/>
  <c r="L2423" i="1"/>
  <c r="M2423" i="1"/>
  <c r="N2423" i="1"/>
  <c r="A2424" i="1"/>
  <c r="B2424" i="1"/>
  <c r="F2424" i="1"/>
  <c r="G2424" i="1"/>
  <c r="H2424" i="1"/>
  <c r="I2424" i="1"/>
  <c r="J2424" i="1"/>
  <c r="K2424" i="1"/>
  <c r="L2424" i="1"/>
  <c r="M2424" i="1"/>
  <c r="N2424" i="1"/>
  <c r="A2425" i="1"/>
  <c r="B2425" i="1"/>
  <c r="F2425" i="1"/>
  <c r="G2425" i="1"/>
  <c r="H2425" i="1"/>
  <c r="I2425" i="1"/>
  <c r="J2425" i="1"/>
  <c r="K2425" i="1"/>
  <c r="L2425" i="1"/>
  <c r="M2425" i="1"/>
  <c r="N2425" i="1"/>
  <c r="A2426" i="1"/>
  <c r="B2426" i="1"/>
  <c r="F2426" i="1"/>
  <c r="G2426" i="1"/>
  <c r="H2426" i="1"/>
  <c r="I2426" i="1"/>
  <c r="J2426" i="1"/>
  <c r="K2426" i="1"/>
  <c r="L2426" i="1"/>
  <c r="M2426" i="1"/>
  <c r="N2426" i="1"/>
  <c r="A2427" i="1"/>
  <c r="B2427" i="1"/>
  <c r="F2427" i="1"/>
  <c r="G2427" i="1"/>
  <c r="H2427" i="1"/>
  <c r="I2427" i="1"/>
  <c r="J2427" i="1"/>
  <c r="K2427" i="1"/>
  <c r="L2427" i="1"/>
  <c r="M2427" i="1"/>
  <c r="N2427" i="1"/>
  <c r="A2428" i="1"/>
  <c r="B2428" i="1"/>
  <c r="F2428" i="1"/>
  <c r="G2428" i="1"/>
  <c r="H2428" i="1"/>
  <c r="I2428" i="1"/>
  <c r="J2428" i="1"/>
  <c r="K2428" i="1"/>
  <c r="L2428" i="1"/>
  <c r="M2428" i="1"/>
  <c r="N2428" i="1"/>
  <c r="A2429" i="1"/>
  <c r="B2429" i="1"/>
  <c r="F2429" i="1"/>
  <c r="G2429" i="1"/>
  <c r="H2429" i="1"/>
  <c r="I2429" i="1"/>
  <c r="J2429" i="1"/>
  <c r="K2429" i="1"/>
  <c r="L2429" i="1"/>
  <c r="M2429" i="1"/>
  <c r="N2429" i="1"/>
  <c r="A2430" i="1"/>
  <c r="B2430" i="1"/>
  <c r="F2430" i="1"/>
  <c r="G2430" i="1"/>
  <c r="H2430" i="1"/>
  <c r="I2430" i="1"/>
  <c r="J2430" i="1"/>
  <c r="K2430" i="1"/>
  <c r="L2430" i="1"/>
  <c r="M2430" i="1"/>
  <c r="N2430" i="1"/>
  <c r="A2431" i="1"/>
  <c r="B2431" i="1"/>
  <c r="F2431" i="1"/>
  <c r="G2431" i="1"/>
  <c r="H2431" i="1"/>
  <c r="I2431" i="1"/>
  <c r="J2431" i="1"/>
  <c r="K2431" i="1"/>
  <c r="L2431" i="1"/>
  <c r="M2431" i="1"/>
  <c r="N2431" i="1"/>
  <c r="A2432" i="1"/>
  <c r="B2432" i="1"/>
  <c r="F2432" i="1"/>
  <c r="G2432" i="1"/>
  <c r="H2432" i="1"/>
  <c r="I2432" i="1"/>
  <c r="J2432" i="1"/>
  <c r="K2432" i="1"/>
  <c r="L2432" i="1"/>
  <c r="M2432" i="1"/>
  <c r="N2432" i="1"/>
  <c r="A2433" i="1"/>
  <c r="B2433" i="1"/>
  <c r="F2433" i="1"/>
  <c r="G2433" i="1"/>
  <c r="H2433" i="1"/>
  <c r="I2433" i="1"/>
  <c r="J2433" i="1"/>
  <c r="K2433" i="1"/>
  <c r="L2433" i="1"/>
  <c r="M2433" i="1"/>
  <c r="N2433" i="1"/>
  <c r="A2434" i="1"/>
  <c r="B2434" i="1"/>
  <c r="F2434" i="1"/>
  <c r="G2434" i="1"/>
  <c r="H2434" i="1"/>
  <c r="I2434" i="1"/>
  <c r="J2434" i="1"/>
  <c r="K2434" i="1"/>
  <c r="L2434" i="1"/>
  <c r="M2434" i="1"/>
  <c r="N2434" i="1"/>
  <c r="A2435" i="1"/>
  <c r="B2435" i="1"/>
  <c r="F2435" i="1"/>
  <c r="G2435" i="1"/>
  <c r="H2435" i="1"/>
  <c r="I2435" i="1"/>
  <c r="J2435" i="1"/>
  <c r="K2435" i="1"/>
  <c r="L2435" i="1"/>
  <c r="M2435" i="1"/>
  <c r="N2435" i="1"/>
  <c r="A2436" i="1"/>
  <c r="B2436" i="1"/>
  <c r="F2436" i="1"/>
  <c r="G2436" i="1"/>
  <c r="H2436" i="1"/>
  <c r="I2436" i="1"/>
  <c r="J2436" i="1"/>
  <c r="K2436" i="1"/>
  <c r="L2436" i="1"/>
  <c r="M2436" i="1"/>
  <c r="N2436" i="1"/>
  <c r="A2437" i="1"/>
  <c r="B2437" i="1"/>
  <c r="F2437" i="1"/>
  <c r="G2437" i="1"/>
  <c r="H2437" i="1"/>
  <c r="I2437" i="1"/>
  <c r="J2437" i="1"/>
  <c r="K2437" i="1"/>
  <c r="L2437" i="1"/>
  <c r="M2437" i="1"/>
  <c r="N2437" i="1"/>
  <c r="A2438" i="1"/>
  <c r="B2438" i="1"/>
  <c r="F2438" i="1"/>
  <c r="G2438" i="1"/>
  <c r="H2438" i="1"/>
  <c r="I2438" i="1"/>
  <c r="J2438" i="1"/>
  <c r="K2438" i="1"/>
  <c r="L2438" i="1"/>
  <c r="M2438" i="1"/>
  <c r="N2438" i="1"/>
  <c r="A2439" i="1"/>
  <c r="B2439" i="1"/>
  <c r="F2439" i="1"/>
  <c r="G2439" i="1"/>
  <c r="H2439" i="1"/>
  <c r="I2439" i="1"/>
  <c r="J2439" i="1"/>
  <c r="K2439" i="1"/>
  <c r="L2439" i="1"/>
  <c r="M2439" i="1"/>
  <c r="N2439" i="1"/>
  <c r="A2440" i="1"/>
  <c r="B2440" i="1"/>
  <c r="F2440" i="1"/>
  <c r="G2440" i="1"/>
  <c r="H2440" i="1"/>
  <c r="I2440" i="1"/>
  <c r="J2440" i="1"/>
  <c r="K2440" i="1"/>
  <c r="L2440" i="1"/>
  <c r="M2440" i="1"/>
  <c r="N2440" i="1"/>
  <c r="A2441" i="1"/>
  <c r="B2441" i="1"/>
  <c r="F2441" i="1"/>
  <c r="G2441" i="1"/>
  <c r="H2441" i="1"/>
  <c r="I2441" i="1"/>
  <c r="J2441" i="1"/>
  <c r="K2441" i="1"/>
  <c r="L2441" i="1"/>
  <c r="M2441" i="1"/>
  <c r="N2441" i="1"/>
  <c r="A2442" i="1"/>
  <c r="B2442" i="1"/>
  <c r="F2442" i="1"/>
  <c r="G2442" i="1"/>
  <c r="H2442" i="1"/>
  <c r="I2442" i="1"/>
  <c r="J2442" i="1"/>
  <c r="K2442" i="1"/>
  <c r="L2442" i="1"/>
  <c r="M2442" i="1"/>
  <c r="N2442" i="1"/>
  <c r="A2443" i="1"/>
  <c r="B2443" i="1"/>
  <c r="F2443" i="1"/>
  <c r="G2443" i="1"/>
  <c r="H2443" i="1"/>
  <c r="I2443" i="1"/>
  <c r="J2443" i="1"/>
  <c r="K2443" i="1"/>
  <c r="L2443" i="1"/>
  <c r="M2443" i="1"/>
  <c r="N2443" i="1"/>
  <c r="A2444" i="1"/>
  <c r="B2444" i="1"/>
  <c r="F2444" i="1"/>
  <c r="G2444" i="1"/>
  <c r="H2444" i="1"/>
  <c r="I2444" i="1"/>
  <c r="J2444" i="1"/>
  <c r="K2444" i="1"/>
  <c r="L2444" i="1"/>
  <c r="M2444" i="1"/>
  <c r="N2444" i="1"/>
  <c r="A2445" i="1"/>
  <c r="B2445" i="1"/>
  <c r="F2445" i="1"/>
  <c r="G2445" i="1"/>
  <c r="H2445" i="1"/>
  <c r="I2445" i="1"/>
  <c r="J2445" i="1"/>
  <c r="K2445" i="1"/>
  <c r="L2445" i="1"/>
  <c r="M2445" i="1"/>
  <c r="N2445" i="1"/>
  <c r="A2446" i="1"/>
  <c r="B2446" i="1"/>
  <c r="F2446" i="1"/>
  <c r="G2446" i="1"/>
  <c r="H2446" i="1"/>
  <c r="I2446" i="1"/>
  <c r="J2446" i="1"/>
  <c r="K2446" i="1"/>
  <c r="L2446" i="1"/>
  <c r="M2446" i="1"/>
  <c r="N2446" i="1"/>
  <c r="A2447" i="1"/>
  <c r="B2447" i="1"/>
  <c r="F2447" i="1"/>
  <c r="G2447" i="1"/>
  <c r="H2447" i="1"/>
  <c r="I2447" i="1"/>
  <c r="J2447" i="1"/>
  <c r="K2447" i="1"/>
  <c r="L2447" i="1"/>
  <c r="M2447" i="1"/>
  <c r="N2447" i="1"/>
  <c r="A2448" i="1"/>
  <c r="B2448" i="1"/>
  <c r="F2448" i="1"/>
  <c r="G2448" i="1"/>
  <c r="H2448" i="1"/>
  <c r="I2448" i="1"/>
  <c r="J2448" i="1"/>
  <c r="K2448" i="1"/>
  <c r="L2448" i="1"/>
  <c r="M2448" i="1"/>
  <c r="N2448" i="1"/>
  <c r="A2449" i="1"/>
  <c r="B2449" i="1"/>
  <c r="F2449" i="1"/>
  <c r="G2449" i="1"/>
  <c r="H2449" i="1"/>
  <c r="I2449" i="1"/>
  <c r="J2449" i="1"/>
  <c r="K2449" i="1"/>
  <c r="L2449" i="1"/>
  <c r="M2449" i="1"/>
  <c r="N2449" i="1"/>
  <c r="A2450" i="1"/>
  <c r="B2450" i="1"/>
  <c r="F2450" i="1"/>
  <c r="G2450" i="1"/>
  <c r="H2450" i="1"/>
  <c r="I2450" i="1"/>
  <c r="J2450" i="1"/>
  <c r="K2450" i="1"/>
  <c r="L2450" i="1"/>
  <c r="M2450" i="1"/>
  <c r="N2450" i="1"/>
  <c r="A2451" i="1"/>
  <c r="B2451" i="1"/>
  <c r="F2451" i="1"/>
  <c r="G2451" i="1"/>
  <c r="H2451" i="1"/>
  <c r="I2451" i="1"/>
  <c r="J2451" i="1"/>
  <c r="K2451" i="1"/>
  <c r="L2451" i="1"/>
  <c r="M2451" i="1"/>
  <c r="N2451" i="1"/>
  <c r="A2452" i="1"/>
  <c r="B2452" i="1"/>
  <c r="F2452" i="1"/>
  <c r="G2452" i="1"/>
  <c r="H2452" i="1"/>
  <c r="I2452" i="1"/>
  <c r="J2452" i="1"/>
  <c r="K2452" i="1"/>
  <c r="L2452" i="1"/>
  <c r="M2452" i="1"/>
  <c r="N2452" i="1"/>
  <c r="A2453" i="1"/>
  <c r="B2453" i="1"/>
  <c r="F2453" i="1"/>
  <c r="G2453" i="1"/>
  <c r="H2453" i="1"/>
  <c r="I2453" i="1"/>
  <c r="J2453" i="1"/>
  <c r="K2453" i="1"/>
  <c r="L2453" i="1"/>
  <c r="M2453" i="1"/>
  <c r="N2453" i="1"/>
  <c r="A2454" i="1"/>
  <c r="B2454" i="1"/>
  <c r="F2454" i="1"/>
  <c r="G2454" i="1"/>
  <c r="H2454" i="1"/>
  <c r="I2454" i="1"/>
  <c r="J2454" i="1"/>
  <c r="K2454" i="1"/>
  <c r="L2454" i="1"/>
  <c r="M2454" i="1"/>
  <c r="N2454" i="1"/>
  <c r="A2455" i="1"/>
  <c r="B2455" i="1"/>
  <c r="F2455" i="1"/>
  <c r="G2455" i="1"/>
  <c r="H2455" i="1"/>
  <c r="I2455" i="1"/>
  <c r="J2455" i="1"/>
  <c r="K2455" i="1"/>
  <c r="L2455" i="1"/>
  <c r="M2455" i="1"/>
  <c r="N2455" i="1"/>
  <c r="A2456" i="1"/>
  <c r="B2456" i="1"/>
  <c r="F2456" i="1"/>
  <c r="G2456" i="1"/>
  <c r="H2456" i="1"/>
  <c r="I2456" i="1"/>
  <c r="J2456" i="1"/>
  <c r="K2456" i="1"/>
  <c r="L2456" i="1"/>
  <c r="M2456" i="1"/>
  <c r="N2456" i="1"/>
  <c r="A2457" i="1"/>
  <c r="B2457" i="1"/>
  <c r="F2457" i="1"/>
  <c r="G2457" i="1"/>
  <c r="H2457" i="1"/>
  <c r="I2457" i="1"/>
  <c r="J2457" i="1"/>
  <c r="K2457" i="1"/>
  <c r="L2457" i="1"/>
  <c r="M2457" i="1"/>
  <c r="N2457" i="1"/>
  <c r="A2458" i="1"/>
  <c r="B2458" i="1"/>
  <c r="F2458" i="1"/>
  <c r="G2458" i="1"/>
  <c r="H2458" i="1"/>
  <c r="I2458" i="1"/>
  <c r="J2458" i="1"/>
  <c r="K2458" i="1"/>
  <c r="L2458" i="1"/>
  <c r="M2458" i="1"/>
  <c r="N2458" i="1"/>
  <c r="A2459" i="1"/>
  <c r="B2459" i="1"/>
  <c r="F2459" i="1"/>
  <c r="G2459" i="1"/>
  <c r="H2459" i="1"/>
  <c r="I2459" i="1"/>
  <c r="J2459" i="1"/>
  <c r="K2459" i="1"/>
  <c r="L2459" i="1"/>
  <c r="M2459" i="1"/>
  <c r="N2459" i="1"/>
  <c r="A2460" i="1"/>
  <c r="B2460" i="1"/>
  <c r="F2460" i="1"/>
  <c r="G2460" i="1"/>
  <c r="H2460" i="1"/>
  <c r="I2460" i="1"/>
  <c r="J2460" i="1"/>
  <c r="K2460" i="1"/>
  <c r="L2460" i="1"/>
  <c r="M2460" i="1"/>
  <c r="N2460" i="1"/>
  <c r="A2461" i="1"/>
  <c r="B2461" i="1"/>
  <c r="F2461" i="1"/>
  <c r="G2461" i="1"/>
  <c r="H2461" i="1"/>
  <c r="I2461" i="1"/>
  <c r="J2461" i="1"/>
  <c r="K2461" i="1"/>
  <c r="L2461" i="1"/>
  <c r="M2461" i="1"/>
  <c r="N2461" i="1"/>
  <c r="A2462" i="1"/>
  <c r="B2462" i="1"/>
  <c r="F2462" i="1"/>
  <c r="G2462" i="1"/>
  <c r="H2462" i="1"/>
  <c r="I2462" i="1"/>
  <c r="J2462" i="1"/>
  <c r="K2462" i="1"/>
  <c r="L2462" i="1"/>
  <c r="M2462" i="1"/>
  <c r="N2462" i="1"/>
  <c r="A2463" i="1"/>
  <c r="B2463" i="1"/>
  <c r="F2463" i="1"/>
  <c r="G2463" i="1"/>
  <c r="H2463" i="1"/>
  <c r="I2463" i="1"/>
  <c r="J2463" i="1"/>
  <c r="K2463" i="1"/>
  <c r="L2463" i="1"/>
  <c r="M2463" i="1"/>
  <c r="N2463" i="1"/>
  <c r="A2464" i="1"/>
  <c r="B2464" i="1"/>
  <c r="F2464" i="1"/>
  <c r="G2464" i="1"/>
  <c r="H2464" i="1"/>
  <c r="I2464" i="1"/>
  <c r="J2464" i="1"/>
  <c r="K2464" i="1"/>
  <c r="L2464" i="1"/>
  <c r="M2464" i="1"/>
  <c r="N2464" i="1"/>
  <c r="A2465" i="1"/>
  <c r="B2465" i="1"/>
  <c r="F2465" i="1"/>
  <c r="G2465" i="1"/>
  <c r="H2465" i="1"/>
  <c r="I2465" i="1"/>
  <c r="J2465" i="1"/>
  <c r="K2465" i="1"/>
  <c r="L2465" i="1"/>
  <c r="M2465" i="1"/>
  <c r="N2465" i="1"/>
  <c r="A2466" i="1"/>
  <c r="B2466" i="1"/>
  <c r="F2466" i="1"/>
  <c r="G2466" i="1"/>
  <c r="H2466" i="1"/>
  <c r="I2466" i="1"/>
  <c r="J2466" i="1"/>
  <c r="K2466" i="1"/>
  <c r="L2466" i="1"/>
  <c r="M2466" i="1"/>
  <c r="N2466" i="1"/>
  <c r="A2467" i="1"/>
  <c r="B2467" i="1"/>
  <c r="F2467" i="1"/>
  <c r="G2467" i="1"/>
  <c r="H2467" i="1"/>
  <c r="I2467" i="1"/>
  <c r="J2467" i="1"/>
  <c r="K2467" i="1"/>
  <c r="L2467" i="1"/>
  <c r="M2467" i="1"/>
  <c r="N2467" i="1"/>
  <c r="A2468" i="1"/>
  <c r="B2468" i="1"/>
  <c r="F2468" i="1"/>
  <c r="G2468" i="1"/>
  <c r="H2468" i="1"/>
  <c r="I2468" i="1"/>
  <c r="J2468" i="1"/>
  <c r="K2468" i="1"/>
  <c r="L2468" i="1"/>
  <c r="M2468" i="1"/>
  <c r="N2468" i="1"/>
  <c r="A2469" i="1"/>
  <c r="B2469" i="1"/>
  <c r="F2469" i="1"/>
  <c r="G2469" i="1"/>
  <c r="H2469" i="1"/>
  <c r="I2469" i="1"/>
  <c r="J2469" i="1"/>
  <c r="K2469" i="1"/>
  <c r="L2469" i="1"/>
  <c r="M2469" i="1"/>
  <c r="N2469" i="1"/>
  <c r="A2470" i="1"/>
  <c r="B2470" i="1"/>
  <c r="F2470" i="1"/>
  <c r="G2470" i="1"/>
  <c r="H2470" i="1"/>
  <c r="I2470" i="1"/>
  <c r="J2470" i="1"/>
  <c r="K2470" i="1"/>
  <c r="L2470" i="1"/>
  <c r="M2470" i="1"/>
  <c r="N2470" i="1"/>
  <c r="A2471" i="1"/>
  <c r="B2471" i="1"/>
  <c r="F2471" i="1"/>
  <c r="G2471" i="1"/>
  <c r="H2471" i="1"/>
  <c r="I2471" i="1"/>
  <c r="J2471" i="1"/>
  <c r="K2471" i="1"/>
  <c r="L2471" i="1"/>
  <c r="M2471" i="1"/>
  <c r="N2471" i="1"/>
  <c r="A2472" i="1"/>
  <c r="B2472" i="1"/>
  <c r="F2472" i="1"/>
  <c r="G2472" i="1"/>
  <c r="H2472" i="1"/>
  <c r="I2472" i="1"/>
  <c r="J2472" i="1"/>
  <c r="K2472" i="1"/>
  <c r="L2472" i="1"/>
  <c r="M2472" i="1"/>
  <c r="N2472" i="1"/>
  <c r="A2473" i="1"/>
  <c r="B2473" i="1"/>
  <c r="F2473" i="1"/>
  <c r="G2473" i="1"/>
  <c r="H2473" i="1"/>
  <c r="I2473" i="1"/>
  <c r="J2473" i="1"/>
  <c r="K2473" i="1"/>
  <c r="L2473" i="1"/>
  <c r="M2473" i="1"/>
  <c r="N2473" i="1"/>
  <c r="A2474" i="1"/>
  <c r="B2474" i="1"/>
  <c r="F2474" i="1"/>
  <c r="G2474" i="1"/>
  <c r="H2474" i="1"/>
  <c r="I2474" i="1"/>
  <c r="J2474" i="1"/>
  <c r="K2474" i="1"/>
  <c r="L2474" i="1"/>
  <c r="M2474" i="1"/>
  <c r="N2474" i="1"/>
  <c r="A2475" i="1"/>
  <c r="B2475" i="1"/>
  <c r="F2475" i="1"/>
  <c r="G2475" i="1"/>
  <c r="H2475" i="1"/>
  <c r="I2475" i="1"/>
  <c r="J2475" i="1"/>
  <c r="K2475" i="1"/>
  <c r="L2475" i="1"/>
  <c r="M2475" i="1"/>
  <c r="N2475" i="1"/>
  <c r="A2476" i="1"/>
  <c r="B2476" i="1"/>
  <c r="F2476" i="1"/>
  <c r="G2476" i="1"/>
  <c r="H2476" i="1"/>
  <c r="I2476" i="1"/>
  <c r="J2476" i="1"/>
  <c r="K2476" i="1"/>
  <c r="L2476" i="1"/>
  <c r="M2476" i="1"/>
  <c r="N2476" i="1"/>
  <c r="A2477" i="1"/>
  <c r="B2477" i="1"/>
  <c r="F2477" i="1"/>
  <c r="G2477" i="1"/>
  <c r="H2477" i="1"/>
  <c r="I2477" i="1"/>
  <c r="J2477" i="1"/>
  <c r="K2477" i="1"/>
  <c r="L2477" i="1"/>
  <c r="M2477" i="1"/>
  <c r="N2477" i="1"/>
  <c r="A2478" i="1"/>
  <c r="B2478" i="1"/>
  <c r="F2478" i="1"/>
  <c r="G2478" i="1"/>
  <c r="H2478" i="1"/>
  <c r="I2478" i="1"/>
  <c r="J2478" i="1"/>
  <c r="K2478" i="1"/>
  <c r="L2478" i="1"/>
  <c r="M2478" i="1"/>
  <c r="N2478" i="1"/>
  <c r="A2479" i="1"/>
  <c r="B2479" i="1"/>
  <c r="F2479" i="1"/>
  <c r="G2479" i="1"/>
  <c r="H2479" i="1"/>
  <c r="I2479" i="1"/>
  <c r="J2479" i="1"/>
  <c r="K2479" i="1"/>
  <c r="L2479" i="1"/>
  <c r="M2479" i="1"/>
  <c r="N2479" i="1"/>
  <c r="A2480" i="1"/>
  <c r="B2480" i="1"/>
  <c r="F2480" i="1"/>
  <c r="G2480" i="1"/>
  <c r="H2480" i="1"/>
  <c r="I2480" i="1"/>
  <c r="J2480" i="1"/>
  <c r="K2480" i="1"/>
  <c r="L2480" i="1"/>
  <c r="M2480" i="1"/>
  <c r="N2480" i="1"/>
  <c r="A2481" i="1"/>
  <c r="B2481" i="1"/>
  <c r="F2481" i="1"/>
  <c r="G2481" i="1"/>
  <c r="H2481" i="1"/>
  <c r="I2481" i="1"/>
  <c r="J2481" i="1"/>
  <c r="K2481" i="1"/>
  <c r="L2481" i="1"/>
  <c r="M2481" i="1"/>
  <c r="N2481" i="1"/>
  <c r="A2482" i="1"/>
  <c r="B2482" i="1"/>
  <c r="F2482" i="1"/>
  <c r="G2482" i="1"/>
  <c r="H2482" i="1"/>
  <c r="I2482" i="1"/>
  <c r="J2482" i="1"/>
  <c r="K2482" i="1"/>
  <c r="L2482" i="1"/>
  <c r="M2482" i="1"/>
  <c r="N2482" i="1"/>
  <c r="A2483" i="1"/>
  <c r="B2483" i="1"/>
  <c r="F2483" i="1"/>
  <c r="G2483" i="1"/>
  <c r="H2483" i="1"/>
  <c r="I2483" i="1"/>
  <c r="J2483" i="1"/>
  <c r="K2483" i="1"/>
  <c r="L2483" i="1"/>
  <c r="M2483" i="1"/>
  <c r="N2483" i="1"/>
  <c r="A2484" i="1"/>
  <c r="B2484" i="1"/>
  <c r="F2484" i="1"/>
  <c r="G2484" i="1"/>
  <c r="H2484" i="1"/>
  <c r="I2484" i="1"/>
  <c r="J2484" i="1"/>
  <c r="K2484" i="1"/>
  <c r="L2484" i="1"/>
  <c r="M2484" i="1"/>
  <c r="N2484" i="1"/>
  <c r="A2485" i="1"/>
  <c r="B2485" i="1"/>
  <c r="F2485" i="1"/>
  <c r="G2485" i="1"/>
  <c r="H2485" i="1"/>
  <c r="I2485" i="1"/>
  <c r="J2485" i="1"/>
  <c r="K2485" i="1"/>
  <c r="L2485" i="1"/>
  <c r="M2485" i="1"/>
  <c r="N2485" i="1"/>
  <c r="A2486" i="1"/>
  <c r="B2486" i="1"/>
  <c r="F2486" i="1"/>
  <c r="G2486" i="1"/>
  <c r="H2486" i="1"/>
  <c r="I2486" i="1"/>
  <c r="J2486" i="1"/>
  <c r="K2486" i="1"/>
  <c r="L2486" i="1"/>
  <c r="M2486" i="1"/>
  <c r="N2486" i="1"/>
  <c r="A2487" i="1"/>
  <c r="B2487" i="1"/>
  <c r="F2487" i="1"/>
  <c r="G2487" i="1"/>
  <c r="H2487" i="1"/>
  <c r="I2487" i="1"/>
  <c r="J2487" i="1"/>
  <c r="K2487" i="1"/>
  <c r="L2487" i="1"/>
  <c r="M2487" i="1"/>
  <c r="N2487" i="1"/>
  <c r="A2488" i="1"/>
  <c r="B2488" i="1"/>
  <c r="F2488" i="1"/>
  <c r="G2488" i="1"/>
  <c r="H2488" i="1"/>
  <c r="I2488" i="1"/>
  <c r="J2488" i="1"/>
  <c r="K2488" i="1"/>
  <c r="L2488" i="1"/>
  <c r="M2488" i="1"/>
  <c r="N2488" i="1"/>
  <c r="A2489" i="1"/>
  <c r="B2489" i="1"/>
  <c r="F2489" i="1"/>
  <c r="G2489" i="1"/>
  <c r="H2489" i="1"/>
  <c r="I2489" i="1"/>
  <c r="J2489" i="1"/>
  <c r="K2489" i="1"/>
  <c r="L2489" i="1"/>
  <c r="M2489" i="1"/>
  <c r="N2489" i="1"/>
  <c r="A2490" i="1"/>
  <c r="B2490" i="1"/>
  <c r="F2490" i="1"/>
  <c r="G2490" i="1"/>
  <c r="H2490" i="1"/>
  <c r="I2490" i="1"/>
  <c r="J2490" i="1"/>
  <c r="K2490" i="1"/>
  <c r="L2490" i="1"/>
  <c r="M2490" i="1"/>
  <c r="N2490" i="1"/>
  <c r="A2491" i="1"/>
  <c r="B2491" i="1"/>
  <c r="F2491" i="1"/>
  <c r="G2491" i="1"/>
  <c r="H2491" i="1"/>
  <c r="I2491" i="1"/>
  <c r="J2491" i="1"/>
  <c r="K2491" i="1"/>
  <c r="L2491" i="1"/>
  <c r="M2491" i="1"/>
  <c r="N2491" i="1"/>
  <c r="A2492" i="1"/>
  <c r="B2492" i="1"/>
  <c r="F2492" i="1"/>
  <c r="G2492" i="1"/>
  <c r="H2492" i="1"/>
  <c r="I2492" i="1"/>
  <c r="J2492" i="1"/>
  <c r="K2492" i="1"/>
  <c r="L2492" i="1"/>
  <c r="M2492" i="1"/>
  <c r="N2492" i="1"/>
  <c r="A2493" i="1"/>
  <c r="B2493" i="1"/>
  <c r="F2493" i="1"/>
  <c r="G2493" i="1"/>
  <c r="H2493" i="1"/>
  <c r="I2493" i="1"/>
  <c r="J2493" i="1"/>
  <c r="K2493" i="1"/>
  <c r="L2493" i="1"/>
  <c r="M2493" i="1"/>
  <c r="N2493" i="1"/>
  <c r="A2494" i="1"/>
  <c r="B2494" i="1"/>
  <c r="F2494" i="1"/>
  <c r="G2494" i="1"/>
  <c r="H2494" i="1"/>
  <c r="I2494" i="1"/>
  <c r="J2494" i="1"/>
  <c r="K2494" i="1"/>
  <c r="L2494" i="1"/>
  <c r="M2494" i="1"/>
  <c r="N2494" i="1"/>
  <c r="A2495" i="1"/>
  <c r="B2495" i="1"/>
  <c r="F2495" i="1"/>
  <c r="G2495" i="1"/>
  <c r="H2495" i="1"/>
  <c r="I2495" i="1"/>
  <c r="J2495" i="1"/>
  <c r="K2495" i="1"/>
  <c r="L2495" i="1"/>
  <c r="M2495" i="1"/>
  <c r="N2495" i="1"/>
  <c r="A2496" i="1"/>
  <c r="B2496" i="1"/>
  <c r="F2496" i="1"/>
  <c r="G2496" i="1"/>
  <c r="H2496" i="1"/>
  <c r="I2496" i="1"/>
  <c r="J2496" i="1"/>
  <c r="K2496" i="1"/>
  <c r="L2496" i="1"/>
  <c r="M2496" i="1"/>
  <c r="N2496" i="1"/>
  <c r="A2497" i="1"/>
  <c r="B2497" i="1"/>
  <c r="F2497" i="1"/>
  <c r="G2497" i="1"/>
  <c r="H2497" i="1"/>
  <c r="I2497" i="1"/>
  <c r="J2497" i="1"/>
  <c r="K2497" i="1"/>
  <c r="L2497" i="1"/>
  <c r="M2497" i="1"/>
  <c r="N2497" i="1"/>
  <c r="A2498" i="1"/>
  <c r="B2498" i="1"/>
  <c r="F2498" i="1"/>
  <c r="G2498" i="1"/>
  <c r="H2498" i="1"/>
  <c r="I2498" i="1"/>
  <c r="J2498" i="1"/>
  <c r="K2498" i="1"/>
  <c r="L2498" i="1"/>
  <c r="M2498" i="1"/>
  <c r="N2498" i="1"/>
  <c r="A2499" i="1"/>
  <c r="B2499" i="1"/>
  <c r="F2499" i="1"/>
  <c r="G2499" i="1"/>
  <c r="H2499" i="1"/>
  <c r="I2499" i="1"/>
  <c r="J2499" i="1"/>
  <c r="K2499" i="1"/>
  <c r="L2499" i="1"/>
  <c r="M2499" i="1"/>
  <c r="N2499" i="1"/>
  <c r="A2500" i="1"/>
  <c r="B2500" i="1"/>
  <c r="F2500" i="1"/>
  <c r="G2500" i="1"/>
  <c r="H2500" i="1"/>
  <c r="I2500" i="1"/>
  <c r="J2500" i="1"/>
  <c r="K2500" i="1"/>
  <c r="L2500" i="1"/>
  <c r="M2500" i="1"/>
  <c r="N2500" i="1"/>
  <c r="A2501" i="1"/>
  <c r="B2501" i="1"/>
  <c r="F2501" i="1"/>
  <c r="G2501" i="1"/>
  <c r="H2501" i="1"/>
  <c r="I2501" i="1"/>
  <c r="J2501" i="1"/>
  <c r="K2501" i="1"/>
  <c r="L2501" i="1"/>
  <c r="M2501" i="1"/>
  <c r="N2501" i="1"/>
  <c r="A2502" i="1"/>
  <c r="B2502" i="1"/>
  <c r="F2502" i="1"/>
  <c r="G2502" i="1"/>
  <c r="H2502" i="1"/>
  <c r="I2502" i="1"/>
  <c r="J2502" i="1"/>
  <c r="K2502" i="1"/>
  <c r="L2502" i="1"/>
  <c r="M2502" i="1"/>
  <c r="N2502" i="1"/>
  <c r="A2503" i="1"/>
  <c r="B2503" i="1"/>
  <c r="F2503" i="1"/>
  <c r="G2503" i="1"/>
  <c r="H2503" i="1"/>
  <c r="I2503" i="1"/>
  <c r="J2503" i="1"/>
  <c r="K2503" i="1"/>
  <c r="L2503" i="1"/>
  <c r="M2503" i="1"/>
  <c r="N2503" i="1"/>
  <c r="A2504" i="1"/>
  <c r="B2504" i="1"/>
  <c r="F2504" i="1"/>
  <c r="G2504" i="1"/>
  <c r="H2504" i="1"/>
  <c r="I2504" i="1"/>
  <c r="J2504" i="1"/>
  <c r="K2504" i="1"/>
  <c r="L2504" i="1"/>
  <c r="M2504" i="1"/>
  <c r="N2504" i="1"/>
  <c r="A2505" i="1"/>
  <c r="B2505" i="1"/>
  <c r="F2505" i="1"/>
  <c r="G2505" i="1"/>
  <c r="H2505" i="1"/>
  <c r="I2505" i="1"/>
  <c r="J2505" i="1"/>
  <c r="K2505" i="1"/>
  <c r="L2505" i="1"/>
  <c r="M2505" i="1"/>
  <c r="N2505" i="1"/>
  <c r="A2506" i="1"/>
  <c r="B2506" i="1"/>
  <c r="F2506" i="1"/>
  <c r="G2506" i="1"/>
  <c r="H2506" i="1"/>
  <c r="I2506" i="1"/>
  <c r="J2506" i="1"/>
  <c r="K2506" i="1"/>
  <c r="L2506" i="1"/>
  <c r="M2506" i="1"/>
  <c r="N2506" i="1"/>
  <c r="A2507" i="1"/>
  <c r="B2507" i="1"/>
  <c r="F2507" i="1"/>
  <c r="G2507" i="1"/>
  <c r="H2507" i="1"/>
  <c r="I2507" i="1"/>
  <c r="J2507" i="1"/>
  <c r="K2507" i="1"/>
  <c r="L2507" i="1"/>
  <c r="M2507" i="1"/>
  <c r="N2507" i="1"/>
  <c r="A2508" i="1"/>
  <c r="B2508" i="1"/>
  <c r="F2508" i="1"/>
  <c r="G2508" i="1"/>
  <c r="H2508" i="1"/>
  <c r="I2508" i="1"/>
  <c r="J2508" i="1"/>
  <c r="K2508" i="1"/>
  <c r="L2508" i="1"/>
  <c r="M2508" i="1"/>
  <c r="N2508" i="1"/>
  <c r="A2509" i="1"/>
  <c r="B2509" i="1"/>
  <c r="F2509" i="1"/>
  <c r="G2509" i="1"/>
  <c r="H2509" i="1"/>
  <c r="I2509" i="1"/>
  <c r="J2509" i="1"/>
  <c r="K2509" i="1"/>
  <c r="L2509" i="1"/>
  <c r="M2509" i="1"/>
  <c r="N2509" i="1"/>
  <c r="A2510" i="1"/>
  <c r="B2510" i="1"/>
  <c r="F2510" i="1"/>
  <c r="G2510" i="1"/>
  <c r="H2510" i="1"/>
  <c r="I2510" i="1"/>
  <c r="J2510" i="1"/>
  <c r="K2510" i="1"/>
  <c r="L2510" i="1"/>
  <c r="M2510" i="1"/>
  <c r="N2510" i="1"/>
  <c r="A2511" i="1"/>
  <c r="B2511" i="1"/>
  <c r="F2511" i="1"/>
  <c r="G2511" i="1"/>
  <c r="H2511" i="1"/>
  <c r="I2511" i="1"/>
  <c r="J2511" i="1"/>
  <c r="K2511" i="1"/>
  <c r="L2511" i="1"/>
  <c r="M2511" i="1"/>
  <c r="N2511" i="1"/>
  <c r="A2512" i="1"/>
  <c r="B2512" i="1"/>
  <c r="F2512" i="1"/>
  <c r="G2512" i="1"/>
  <c r="H2512" i="1"/>
  <c r="I2512" i="1"/>
  <c r="J2512" i="1"/>
  <c r="K2512" i="1"/>
  <c r="L2512" i="1"/>
  <c r="M2512" i="1"/>
  <c r="N2512" i="1"/>
  <c r="A2513" i="1"/>
  <c r="B2513" i="1"/>
  <c r="F2513" i="1"/>
  <c r="G2513" i="1"/>
  <c r="H2513" i="1"/>
  <c r="I2513" i="1"/>
  <c r="J2513" i="1"/>
  <c r="K2513" i="1"/>
  <c r="L2513" i="1"/>
  <c r="M2513" i="1"/>
  <c r="N2513" i="1"/>
  <c r="A2514" i="1"/>
  <c r="B2514" i="1"/>
  <c r="F2514" i="1"/>
  <c r="G2514" i="1"/>
  <c r="H2514" i="1"/>
  <c r="I2514" i="1"/>
  <c r="J2514" i="1"/>
  <c r="K2514" i="1"/>
  <c r="L2514" i="1"/>
  <c r="M2514" i="1"/>
  <c r="N2514" i="1"/>
  <c r="A2515" i="1"/>
  <c r="B2515" i="1"/>
  <c r="F2515" i="1"/>
  <c r="G2515" i="1"/>
  <c r="H2515" i="1"/>
  <c r="I2515" i="1"/>
  <c r="J2515" i="1"/>
  <c r="K2515" i="1"/>
  <c r="L2515" i="1"/>
  <c r="M2515" i="1"/>
  <c r="N2515" i="1"/>
  <c r="A2516" i="1"/>
  <c r="B2516" i="1"/>
  <c r="F2516" i="1"/>
  <c r="G2516" i="1"/>
  <c r="H2516" i="1"/>
  <c r="I2516" i="1"/>
  <c r="J2516" i="1"/>
  <c r="K2516" i="1"/>
  <c r="L2516" i="1"/>
  <c r="M2516" i="1"/>
  <c r="N2516" i="1"/>
  <c r="A2517" i="1"/>
  <c r="B2517" i="1"/>
  <c r="F2517" i="1"/>
  <c r="G2517" i="1"/>
  <c r="H2517" i="1"/>
  <c r="I2517" i="1"/>
  <c r="J2517" i="1"/>
  <c r="K2517" i="1"/>
  <c r="L2517" i="1"/>
  <c r="M2517" i="1"/>
  <c r="N2517" i="1"/>
  <c r="A2518" i="1"/>
  <c r="B2518" i="1"/>
  <c r="F2518" i="1"/>
  <c r="G2518" i="1"/>
  <c r="H2518" i="1"/>
  <c r="I2518" i="1"/>
  <c r="J2518" i="1"/>
  <c r="K2518" i="1"/>
  <c r="L2518" i="1"/>
  <c r="M2518" i="1"/>
  <c r="N2518" i="1"/>
  <c r="A2519" i="1"/>
  <c r="B2519" i="1"/>
  <c r="F2519" i="1"/>
  <c r="G2519" i="1"/>
  <c r="H2519" i="1"/>
  <c r="I2519" i="1"/>
  <c r="J2519" i="1"/>
  <c r="K2519" i="1"/>
  <c r="L2519" i="1"/>
  <c r="M2519" i="1"/>
  <c r="N2519" i="1"/>
  <c r="A2520" i="1"/>
  <c r="B2520" i="1"/>
  <c r="F2520" i="1"/>
  <c r="G2520" i="1"/>
  <c r="H2520" i="1"/>
  <c r="I2520" i="1"/>
  <c r="J2520" i="1"/>
  <c r="K2520" i="1"/>
  <c r="L2520" i="1"/>
  <c r="M2520" i="1"/>
  <c r="N2520" i="1"/>
  <c r="A2521" i="1"/>
  <c r="B2521" i="1"/>
  <c r="F2521" i="1"/>
  <c r="G2521" i="1"/>
  <c r="H2521" i="1"/>
  <c r="I2521" i="1"/>
  <c r="J2521" i="1"/>
  <c r="K2521" i="1"/>
  <c r="L2521" i="1"/>
  <c r="M2521" i="1"/>
  <c r="N2521" i="1"/>
  <c r="A2522" i="1"/>
  <c r="B2522" i="1"/>
  <c r="F2522" i="1"/>
  <c r="G2522" i="1"/>
  <c r="H2522" i="1"/>
  <c r="I2522" i="1"/>
  <c r="J2522" i="1"/>
  <c r="K2522" i="1"/>
  <c r="L2522" i="1"/>
  <c r="M2522" i="1"/>
  <c r="N2522" i="1"/>
  <c r="A2523" i="1"/>
  <c r="B2523" i="1"/>
  <c r="F2523" i="1"/>
  <c r="G2523" i="1"/>
  <c r="H2523" i="1"/>
  <c r="I2523" i="1"/>
  <c r="J2523" i="1"/>
  <c r="K2523" i="1"/>
  <c r="L2523" i="1"/>
  <c r="M2523" i="1"/>
  <c r="N2523" i="1"/>
  <c r="A2524" i="1"/>
  <c r="B2524" i="1"/>
  <c r="F2524" i="1"/>
  <c r="G2524" i="1"/>
  <c r="H2524" i="1"/>
  <c r="I2524" i="1"/>
  <c r="J2524" i="1"/>
  <c r="K2524" i="1"/>
  <c r="L2524" i="1"/>
  <c r="M2524" i="1"/>
  <c r="N2524" i="1"/>
  <c r="A2525" i="1"/>
  <c r="B2525" i="1"/>
  <c r="F2525" i="1"/>
  <c r="G2525" i="1"/>
  <c r="H2525" i="1"/>
  <c r="I2525" i="1"/>
  <c r="J2525" i="1"/>
  <c r="K2525" i="1"/>
  <c r="L2525" i="1"/>
  <c r="M2525" i="1"/>
  <c r="N2525" i="1"/>
  <c r="A2526" i="1"/>
  <c r="B2526" i="1"/>
  <c r="F2526" i="1"/>
  <c r="G2526" i="1"/>
  <c r="H2526" i="1"/>
  <c r="I2526" i="1"/>
  <c r="J2526" i="1"/>
  <c r="K2526" i="1"/>
  <c r="L2526" i="1"/>
  <c r="M2526" i="1"/>
  <c r="N2526" i="1"/>
  <c r="A2527" i="1"/>
  <c r="B2527" i="1"/>
  <c r="F2527" i="1"/>
  <c r="G2527" i="1"/>
  <c r="H2527" i="1"/>
  <c r="I2527" i="1"/>
  <c r="J2527" i="1"/>
  <c r="K2527" i="1"/>
  <c r="L2527" i="1"/>
  <c r="M2527" i="1"/>
  <c r="N2527" i="1"/>
  <c r="A2528" i="1"/>
  <c r="B2528" i="1"/>
  <c r="F2528" i="1"/>
  <c r="G2528" i="1"/>
  <c r="H2528" i="1"/>
  <c r="I2528" i="1"/>
  <c r="J2528" i="1"/>
  <c r="K2528" i="1"/>
  <c r="L2528" i="1"/>
  <c r="M2528" i="1"/>
  <c r="N2528" i="1"/>
  <c r="A2529" i="1"/>
  <c r="B2529" i="1"/>
  <c r="F2529" i="1"/>
  <c r="G2529" i="1"/>
  <c r="H2529" i="1"/>
  <c r="I2529" i="1"/>
  <c r="J2529" i="1"/>
  <c r="K2529" i="1"/>
  <c r="L2529" i="1"/>
  <c r="M2529" i="1"/>
  <c r="N2529" i="1"/>
  <c r="A2530" i="1"/>
  <c r="B2530" i="1"/>
  <c r="F2530" i="1"/>
  <c r="G2530" i="1"/>
  <c r="H2530" i="1"/>
  <c r="I2530" i="1"/>
  <c r="J2530" i="1"/>
  <c r="K2530" i="1"/>
  <c r="L2530" i="1"/>
  <c r="M2530" i="1"/>
  <c r="N2530" i="1"/>
  <c r="A2531" i="1"/>
  <c r="B2531" i="1"/>
  <c r="F2531" i="1"/>
  <c r="G2531" i="1"/>
  <c r="H2531" i="1"/>
  <c r="I2531" i="1"/>
  <c r="J2531" i="1"/>
  <c r="K2531" i="1"/>
  <c r="L2531" i="1"/>
  <c r="M2531" i="1"/>
  <c r="N2531" i="1"/>
  <c r="A2532" i="1"/>
  <c r="B2532" i="1"/>
  <c r="F2532" i="1"/>
  <c r="G2532" i="1"/>
  <c r="H2532" i="1"/>
  <c r="I2532" i="1"/>
  <c r="J2532" i="1"/>
  <c r="K2532" i="1"/>
  <c r="L2532" i="1"/>
  <c r="M2532" i="1"/>
  <c r="N2532" i="1"/>
  <c r="A2533" i="1"/>
  <c r="B2533" i="1"/>
  <c r="F2533" i="1"/>
  <c r="G2533" i="1"/>
  <c r="H2533" i="1"/>
  <c r="I2533" i="1"/>
  <c r="J2533" i="1"/>
  <c r="K2533" i="1"/>
  <c r="L2533" i="1"/>
  <c r="M2533" i="1"/>
  <c r="N2533" i="1"/>
  <c r="A2534" i="1"/>
  <c r="B2534" i="1"/>
  <c r="F2534" i="1"/>
  <c r="G2534" i="1"/>
  <c r="H2534" i="1"/>
  <c r="I2534" i="1"/>
  <c r="J2534" i="1"/>
  <c r="K2534" i="1"/>
  <c r="L2534" i="1"/>
  <c r="M2534" i="1"/>
  <c r="N2534" i="1"/>
  <c r="A2535" i="1"/>
  <c r="B2535" i="1"/>
  <c r="F2535" i="1"/>
  <c r="G2535" i="1"/>
  <c r="H2535" i="1"/>
  <c r="I2535" i="1"/>
  <c r="J2535" i="1"/>
  <c r="K2535" i="1"/>
  <c r="L2535" i="1"/>
  <c r="M2535" i="1"/>
  <c r="N2535" i="1"/>
  <c r="A2536" i="1"/>
  <c r="B2536" i="1"/>
  <c r="F2536" i="1"/>
  <c r="G2536" i="1"/>
  <c r="H2536" i="1"/>
  <c r="I2536" i="1"/>
  <c r="J2536" i="1"/>
  <c r="K2536" i="1"/>
  <c r="L2536" i="1"/>
  <c r="M2536" i="1"/>
  <c r="N2536" i="1"/>
  <c r="A2537" i="1"/>
  <c r="B2537" i="1"/>
  <c r="F2537" i="1"/>
  <c r="G2537" i="1"/>
  <c r="H2537" i="1"/>
  <c r="I2537" i="1"/>
  <c r="J2537" i="1"/>
  <c r="K2537" i="1"/>
  <c r="L2537" i="1"/>
  <c r="M2537" i="1"/>
  <c r="N2537" i="1"/>
  <c r="A2538" i="1"/>
  <c r="B2538" i="1"/>
  <c r="F2538" i="1"/>
  <c r="G2538" i="1"/>
  <c r="H2538" i="1"/>
  <c r="I2538" i="1"/>
  <c r="J2538" i="1"/>
  <c r="K2538" i="1"/>
  <c r="L2538" i="1"/>
  <c r="M2538" i="1"/>
  <c r="N2538" i="1"/>
  <c r="A2539" i="1"/>
  <c r="B2539" i="1"/>
  <c r="F2539" i="1"/>
  <c r="G2539" i="1"/>
  <c r="H2539" i="1"/>
  <c r="I2539" i="1"/>
  <c r="J2539" i="1"/>
  <c r="K2539" i="1"/>
  <c r="L2539" i="1"/>
  <c r="M2539" i="1"/>
  <c r="N2539" i="1"/>
  <c r="A2540" i="1"/>
  <c r="B2540" i="1"/>
  <c r="F2540" i="1"/>
  <c r="G2540" i="1"/>
  <c r="H2540" i="1"/>
  <c r="I2540" i="1"/>
  <c r="J2540" i="1"/>
  <c r="K2540" i="1"/>
  <c r="L2540" i="1"/>
  <c r="M2540" i="1"/>
  <c r="N2540" i="1"/>
  <c r="A2541" i="1"/>
  <c r="B2541" i="1"/>
  <c r="F2541" i="1"/>
  <c r="G2541" i="1"/>
  <c r="H2541" i="1"/>
  <c r="I2541" i="1"/>
  <c r="J2541" i="1"/>
  <c r="K2541" i="1"/>
  <c r="L2541" i="1"/>
  <c r="M2541" i="1"/>
  <c r="N2541" i="1"/>
  <c r="A2542" i="1"/>
  <c r="B2542" i="1"/>
  <c r="F2542" i="1"/>
  <c r="G2542" i="1"/>
  <c r="H2542" i="1"/>
  <c r="I2542" i="1"/>
  <c r="J2542" i="1"/>
  <c r="K2542" i="1"/>
  <c r="L2542" i="1"/>
  <c r="M2542" i="1"/>
  <c r="N2542" i="1"/>
  <c r="A2543" i="1"/>
  <c r="B2543" i="1"/>
  <c r="F2543" i="1"/>
  <c r="G2543" i="1"/>
  <c r="H2543" i="1"/>
  <c r="I2543" i="1"/>
  <c r="J2543" i="1"/>
  <c r="K2543" i="1"/>
  <c r="L2543" i="1"/>
  <c r="M2543" i="1"/>
  <c r="N2543" i="1"/>
  <c r="A2544" i="1"/>
  <c r="B2544" i="1"/>
  <c r="F2544" i="1"/>
  <c r="G2544" i="1"/>
  <c r="H2544" i="1"/>
  <c r="I2544" i="1"/>
  <c r="J2544" i="1"/>
  <c r="K2544" i="1"/>
  <c r="L2544" i="1"/>
  <c r="M2544" i="1"/>
  <c r="N2544" i="1"/>
  <c r="A2545" i="1"/>
  <c r="B2545" i="1"/>
  <c r="F2545" i="1"/>
  <c r="G2545" i="1"/>
  <c r="H2545" i="1"/>
  <c r="I2545" i="1"/>
  <c r="J2545" i="1"/>
  <c r="K2545" i="1"/>
  <c r="L2545" i="1"/>
  <c r="M2545" i="1"/>
  <c r="N2545" i="1"/>
  <c r="A2546" i="1"/>
  <c r="B2546" i="1"/>
  <c r="F2546" i="1"/>
  <c r="G2546" i="1"/>
  <c r="H2546" i="1"/>
  <c r="I2546" i="1"/>
  <c r="J2546" i="1"/>
  <c r="K2546" i="1"/>
  <c r="L2546" i="1"/>
  <c r="M2546" i="1"/>
  <c r="N2546" i="1"/>
  <c r="A2547" i="1"/>
  <c r="B2547" i="1"/>
  <c r="F2547" i="1"/>
  <c r="G2547" i="1"/>
  <c r="H2547" i="1"/>
  <c r="I2547" i="1"/>
  <c r="J2547" i="1"/>
  <c r="K2547" i="1"/>
  <c r="L2547" i="1"/>
  <c r="M2547" i="1"/>
  <c r="N2547" i="1"/>
  <c r="A2548" i="1"/>
  <c r="B2548" i="1"/>
  <c r="F2548" i="1"/>
  <c r="G2548" i="1"/>
  <c r="H2548" i="1"/>
  <c r="I2548" i="1"/>
  <c r="J2548" i="1"/>
  <c r="K2548" i="1"/>
  <c r="L2548" i="1"/>
  <c r="M2548" i="1"/>
  <c r="N2548" i="1"/>
  <c r="A2549" i="1"/>
  <c r="B2549" i="1"/>
  <c r="F2549" i="1"/>
  <c r="G2549" i="1"/>
  <c r="H2549" i="1"/>
  <c r="I2549" i="1"/>
  <c r="J2549" i="1"/>
  <c r="K2549" i="1"/>
  <c r="L2549" i="1"/>
  <c r="M2549" i="1"/>
  <c r="N2549" i="1"/>
  <c r="A2550" i="1"/>
  <c r="B2550" i="1"/>
  <c r="F2550" i="1"/>
  <c r="G2550" i="1"/>
  <c r="H2550" i="1"/>
  <c r="I2550" i="1"/>
  <c r="J2550" i="1"/>
  <c r="K2550" i="1"/>
  <c r="L2550" i="1"/>
  <c r="M2550" i="1"/>
  <c r="N2550" i="1"/>
  <c r="A2551" i="1"/>
  <c r="B2551" i="1"/>
  <c r="F2551" i="1"/>
  <c r="G2551" i="1"/>
  <c r="H2551" i="1"/>
  <c r="I2551" i="1"/>
  <c r="J2551" i="1"/>
  <c r="K2551" i="1"/>
  <c r="L2551" i="1"/>
  <c r="M2551" i="1"/>
  <c r="N2551" i="1"/>
  <c r="A2552" i="1"/>
  <c r="B2552" i="1"/>
  <c r="F2552" i="1"/>
  <c r="G2552" i="1"/>
  <c r="H2552" i="1"/>
  <c r="I2552" i="1"/>
  <c r="J2552" i="1"/>
  <c r="K2552" i="1"/>
  <c r="L2552" i="1"/>
  <c r="M2552" i="1"/>
  <c r="N2552" i="1"/>
  <c r="A2553" i="1"/>
  <c r="B2553" i="1"/>
  <c r="F2553" i="1"/>
  <c r="G2553" i="1"/>
  <c r="H2553" i="1"/>
  <c r="I2553" i="1"/>
  <c r="J2553" i="1"/>
  <c r="K2553" i="1"/>
  <c r="L2553" i="1"/>
  <c r="M2553" i="1"/>
  <c r="N2553" i="1"/>
  <c r="A2554" i="1"/>
  <c r="B2554" i="1"/>
  <c r="F2554" i="1"/>
  <c r="G2554" i="1"/>
  <c r="H2554" i="1"/>
  <c r="I2554" i="1"/>
  <c r="J2554" i="1"/>
  <c r="K2554" i="1"/>
  <c r="L2554" i="1"/>
  <c r="M2554" i="1"/>
  <c r="N2554" i="1"/>
  <c r="A2555" i="1"/>
  <c r="B2555" i="1"/>
  <c r="F2555" i="1"/>
  <c r="G2555" i="1"/>
  <c r="H2555" i="1"/>
  <c r="I2555" i="1"/>
  <c r="J2555" i="1"/>
  <c r="K2555" i="1"/>
  <c r="L2555" i="1"/>
  <c r="M2555" i="1"/>
  <c r="N2555" i="1"/>
  <c r="A2556" i="1"/>
  <c r="B2556" i="1"/>
  <c r="F2556" i="1"/>
  <c r="G2556" i="1"/>
  <c r="H2556" i="1"/>
  <c r="I2556" i="1"/>
  <c r="J2556" i="1"/>
  <c r="K2556" i="1"/>
  <c r="L2556" i="1"/>
  <c r="M2556" i="1"/>
  <c r="N2556" i="1"/>
  <c r="A2557" i="1"/>
  <c r="B2557" i="1"/>
  <c r="F2557" i="1"/>
  <c r="G2557" i="1"/>
  <c r="H2557" i="1"/>
  <c r="I2557" i="1"/>
  <c r="J2557" i="1"/>
  <c r="K2557" i="1"/>
  <c r="L2557" i="1"/>
  <c r="M2557" i="1"/>
  <c r="N2557" i="1"/>
  <c r="A2558" i="1"/>
  <c r="B2558" i="1"/>
  <c r="F2558" i="1"/>
  <c r="G2558" i="1"/>
  <c r="H2558" i="1"/>
  <c r="I2558" i="1"/>
  <c r="J2558" i="1"/>
  <c r="K2558" i="1"/>
  <c r="L2558" i="1"/>
  <c r="M2558" i="1"/>
  <c r="N2558" i="1"/>
  <c r="A2559" i="1"/>
  <c r="B2559" i="1"/>
  <c r="F2559" i="1"/>
  <c r="G2559" i="1"/>
  <c r="H2559" i="1"/>
  <c r="I2559" i="1"/>
  <c r="J2559" i="1"/>
  <c r="K2559" i="1"/>
  <c r="L2559" i="1"/>
  <c r="M2559" i="1"/>
  <c r="N2559" i="1"/>
  <c r="A2560" i="1"/>
  <c r="B2560" i="1"/>
  <c r="F2560" i="1"/>
  <c r="G2560" i="1"/>
  <c r="H2560" i="1"/>
  <c r="I2560" i="1"/>
  <c r="J2560" i="1"/>
  <c r="K2560" i="1"/>
  <c r="L2560" i="1"/>
  <c r="M2560" i="1"/>
  <c r="N2560" i="1"/>
  <c r="A2561" i="1"/>
  <c r="B2561" i="1"/>
  <c r="F2561" i="1"/>
  <c r="G2561" i="1"/>
  <c r="H2561" i="1"/>
  <c r="I2561" i="1"/>
  <c r="J2561" i="1"/>
  <c r="K2561" i="1"/>
  <c r="L2561" i="1"/>
  <c r="M2561" i="1"/>
  <c r="N2561" i="1"/>
  <c r="A2562" i="1"/>
  <c r="B2562" i="1"/>
  <c r="F2562" i="1"/>
  <c r="G2562" i="1"/>
  <c r="H2562" i="1"/>
  <c r="I2562" i="1"/>
  <c r="J2562" i="1"/>
  <c r="K2562" i="1"/>
  <c r="L2562" i="1"/>
  <c r="M2562" i="1"/>
  <c r="N2562" i="1"/>
  <c r="A2563" i="1"/>
  <c r="B2563" i="1"/>
  <c r="F2563" i="1"/>
  <c r="G2563" i="1"/>
  <c r="H2563" i="1"/>
  <c r="I2563" i="1"/>
  <c r="J2563" i="1"/>
  <c r="K2563" i="1"/>
  <c r="L2563" i="1"/>
  <c r="M2563" i="1"/>
  <c r="N2563" i="1"/>
  <c r="A2564" i="1"/>
  <c r="B2564" i="1"/>
  <c r="F2564" i="1"/>
  <c r="G2564" i="1"/>
  <c r="H2564" i="1"/>
  <c r="I2564" i="1"/>
  <c r="J2564" i="1"/>
  <c r="K2564" i="1"/>
  <c r="L2564" i="1"/>
  <c r="M2564" i="1"/>
  <c r="N2564" i="1"/>
  <c r="A2565" i="1"/>
  <c r="B2565" i="1"/>
  <c r="F2565" i="1"/>
  <c r="G2565" i="1"/>
  <c r="H2565" i="1"/>
  <c r="I2565" i="1"/>
  <c r="J2565" i="1"/>
  <c r="K2565" i="1"/>
  <c r="L2565" i="1"/>
  <c r="M2565" i="1"/>
  <c r="N2565" i="1"/>
  <c r="A2566" i="1"/>
  <c r="B2566" i="1"/>
  <c r="F2566" i="1"/>
  <c r="G2566" i="1"/>
  <c r="H2566" i="1"/>
  <c r="I2566" i="1"/>
  <c r="J2566" i="1"/>
  <c r="K2566" i="1"/>
  <c r="L2566" i="1"/>
  <c r="M2566" i="1"/>
  <c r="N2566" i="1"/>
  <c r="A2567" i="1"/>
  <c r="B2567" i="1"/>
  <c r="F2567" i="1"/>
  <c r="G2567" i="1"/>
  <c r="H2567" i="1"/>
  <c r="I2567" i="1"/>
  <c r="J2567" i="1"/>
  <c r="K2567" i="1"/>
  <c r="L2567" i="1"/>
  <c r="M2567" i="1"/>
  <c r="N2567" i="1"/>
  <c r="A2568" i="1"/>
  <c r="B2568" i="1"/>
  <c r="F2568" i="1"/>
  <c r="G2568" i="1"/>
  <c r="H2568" i="1"/>
  <c r="I2568" i="1"/>
  <c r="J2568" i="1"/>
  <c r="K2568" i="1"/>
  <c r="L2568" i="1"/>
  <c r="M2568" i="1"/>
  <c r="N2568" i="1"/>
  <c r="A2569" i="1"/>
  <c r="B2569" i="1"/>
  <c r="F2569" i="1"/>
  <c r="G2569" i="1"/>
  <c r="H2569" i="1"/>
  <c r="I2569" i="1"/>
  <c r="J2569" i="1"/>
  <c r="K2569" i="1"/>
  <c r="L2569" i="1"/>
  <c r="M2569" i="1"/>
  <c r="N2569" i="1"/>
  <c r="A2570" i="1"/>
  <c r="B2570" i="1"/>
  <c r="F2570" i="1"/>
  <c r="G2570" i="1"/>
  <c r="H2570" i="1"/>
  <c r="I2570" i="1"/>
  <c r="J2570" i="1"/>
  <c r="K2570" i="1"/>
  <c r="L2570" i="1"/>
  <c r="M2570" i="1"/>
  <c r="N2570" i="1"/>
  <c r="A2571" i="1"/>
  <c r="B2571" i="1"/>
  <c r="F2571" i="1"/>
  <c r="G2571" i="1"/>
  <c r="H2571" i="1"/>
  <c r="I2571" i="1"/>
  <c r="J2571" i="1"/>
  <c r="K2571" i="1"/>
  <c r="L2571" i="1"/>
  <c r="M2571" i="1"/>
  <c r="N2571" i="1"/>
  <c r="A2572" i="1"/>
  <c r="B2572" i="1"/>
  <c r="F2572" i="1"/>
  <c r="G2572" i="1"/>
  <c r="H2572" i="1"/>
  <c r="I2572" i="1"/>
  <c r="J2572" i="1"/>
  <c r="K2572" i="1"/>
  <c r="L2572" i="1"/>
  <c r="M2572" i="1"/>
  <c r="N2572" i="1"/>
  <c r="A2573" i="1"/>
  <c r="B2573" i="1"/>
  <c r="F2573" i="1"/>
  <c r="G2573" i="1"/>
  <c r="H2573" i="1"/>
  <c r="I2573" i="1"/>
  <c r="J2573" i="1"/>
  <c r="K2573" i="1"/>
  <c r="L2573" i="1"/>
  <c r="M2573" i="1"/>
  <c r="N2573" i="1"/>
  <c r="A2574" i="1"/>
  <c r="B2574" i="1"/>
  <c r="F2574" i="1"/>
  <c r="G2574" i="1"/>
  <c r="H2574" i="1"/>
  <c r="I2574" i="1"/>
  <c r="J2574" i="1"/>
  <c r="K2574" i="1"/>
  <c r="L2574" i="1"/>
  <c r="M2574" i="1"/>
  <c r="N2574" i="1"/>
  <c r="A2575" i="1"/>
  <c r="B2575" i="1"/>
  <c r="F2575" i="1"/>
  <c r="G2575" i="1"/>
  <c r="H2575" i="1"/>
  <c r="I2575" i="1"/>
  <c r="J2575" i="1"/>
  <c r="K2575" i="1"/>
  <c r="L2575" i="1"/>
  <c r="M2575" i="1"/>
  <c r="N2575" i="1"/>
  <c r="A2576" i="1"/>
  <c r="B2576" i="1"/>
  <c r="F2576" i="1"/>
  <c r="G2576" i="1"/>
  <c r="H2576" i="1"/>
  <c r="I2576" i="1"/>
  <c r="J2576" i="1"/>
  <c r="K2576" i="1"/>
  <c r="L2576" i="1"/>
  <c r="M2576" i="1"/>
  <c r="N2576" i="1"/>
  <c r="A2577" i="1"/>
  <c r="B2577" i="1"/>
  <c r="F2577" i="1"/>
  <c r="G2577" i="1"/>
  <c r="H2577" i="1"/>
  <c r="I2577" i="1"/>
  <c r="J2577" i="1"/>
  <c r="K2577" i="1"/>
  <c r="L2577" i="1"/>
  <c r="M2577" i="1"/>
  <c r="N2577" i="1"/>
  <c r="A2578" i="1"/>
  <c r="B2578" i="1"/>
  <c r="F2578" i="1"/>
  <c r="G2578" i="1"/>
  <c r="H2578" i="1"/>
  <c r="I2578" i="1"/>
  <c r="J2578" i="1"/>
  <c r="K2578" i="1"/>
  <c r="L2578" i="1"/>
  <c r="M2578" i="1"/>
  <c r="N2578" i="1"/>
  <c r="A2579" i="1"/>
  <c r="B2579" i="1"/>
  <c r="F2579" i="1"/>
  <c r="G2579" i="1"/>
  <c r="H2579" i="1"/>
  <c r="I2579" i="1"/>
  <c r="J2579" i="1"/>
  <c r="K2579" i="1"/>
  <c r="L2579" i="1"/>
  <c r="M2579" i="1"/>
  <c r="N2579" i="1"/>
  <c r="A2580" i="1"/>
  <c r="B2580" i="1"/>
  <c r="F2580" i="1"/>
  <c r="G2580" i="1"/>
  <c r="H2580" i="1"/>
  <c r="I2580" i="1"/>
  <c r="J2580" i="1"/>
  <c r="K2580" i="1"/>
  <c r="L2580" i="1"/>
  <c r="M2580" i="1"/>
  <c r="N2580" i="1"/>
  <c r="A2581" i="1"/>
  <c r="B2581" i="1"/>
  <c r="F2581" i="1"/>
  <c r="G2581" i="1"/>
  <c r="H2581" i="1"/>
  <c r="I2581" i="1"/>
  <c r="J2581" i="1"/>
  <c r="K2581" i="1"/>
  <c r="L2581" i="1"/>
  <c r="M2581" i="1"/>
  <c r="N2581" i="1"/>
  <c r="A2582" i="1"/>
  <c r="B2582" i="1"/>
  <c r="F2582" i="1"/>
  <c r="G2582" i="1"/>
  <c r="H2582" i="1"/>
  <c r="I2582" i="1"/>
  <c r="J2582" i="1"/>
  <c r="K2582" i="1"/>
  <c r="L2582" i="1"/>
  <c r="M2582" i="1"/>
  <c r="N2582" i="1"/>
  <c r="A2583" i="1"/>
  <c r="B2583" i="1"/>
  <c r="F2583" i="1"/>
  <c r="G2583" i="1"/>
  <c r="H2583" i="1"/>
  <c r="I2583" i="1"/>
  <c r="J2583" i="1"/>
  <c r="K2583" i="1"/>
  <c r="L2583" i="1"/>
  <c r="M2583" i="1"/>
  <c r="N2583" i="1"/>
  <c r="A2584" i="1"/>
  <c r="B2584" i="1"/>
  <c r="F2584" i="1"/>
  <c r="G2584" i="1"/>
  <c r="H2584" i="1"/>
  <c r="I2584" i="1"/>
  <c r="J2584" i="1"/>
  <c r="K2584" i="1"/>
  <c r="L2584" i="1"/>
  <c r="M2584" i="1"/>
  <c r="N2584" i="1"/>
  <c r="A2585" i="1"/>
  <c r="B2585" i="1"/>
  <c r="F2585" i="1"/>
  <c r="G2585" i="1"/>
  <c r="H2585" i="1"/>
  <c r="I2585" i="1"/>
  <c r="J2585" i="1"/>
  <c r="K2585" i="1"/>
  <c r="L2585" i="1"/>
  <c r="M2585" i="1"/>
  <c r="N2585" i="1"/>
  <c r="A2586" i="1"/>
  <c r="B2586" i="1"/>
  <c r="F2586" i="1"/>
  <c r="G2586" i="1"/>
  <c r="H2586" i="1"/>
  <c r="I2586" i="1"/>
  <c r="J2586" i="1"/>
  <c r="K2586" i="1"/>
  <c r="L2586" i="1"/>
  <c r="M2586" i="1"/>
  <c r="N2586" i="1"/>
  <c r="A2587" i="1"/>
  <c r="B2587" i="1"/>
  <c r="F2587" i="1"/>
  <c r="G2587" i="1"/>
  <c r="H2587" i="1"/>
  <c r="I2587" i="1"/>
  <c r="J2587" i="1"/>
  <c r="K2587" i="1"/>
  <c r="L2587" i="1"/>
  <c r="M2587" i="1"/>
  <c r="N2587" i="1"/>
  <c r="A2588" i="1"/>
  <c r="B2588" i="1"/>
  <c r="F2588" i="1"/>
  <c r="G2588" i="1"/>
  <c r="H2588" i="1"/>
  <c r="I2588" i="1"/>
  <c r="J2588" i="1"/>
  <c r="K2588" i="1"/>
  <c r="L2588" i="1"/>
  <c r="M2588" i="1"/>
  <c r="N2588" i="1"/>
  <c r="A2589" i="1"/>
  <c r="B2589" i="1"/>
  <c r="F2589" i="1"/>
  <c r="G2589" i="1"/>
  <c r="H2589" i="1"/>
  <c r="I2589" i="1"/>
  <c r="J2589" i="1"/>
  <c r="K2589" i="1"/>
  <c r="L2589" i="1"/>
  <c r="M2589" i="1"/>
  <c r="N2589" i="1"/>
  <c r="A2590" i="1"/>
  <c r="B2590" i="1"/>
  <c r="F2590" i="1"/>
  <c r="G2590" i="1"/>
  <c r="H2590" i="1"/>
  <c r="I2590" i="1"/>
  <c r="J2590" i="1"/>
  <c r="K2590" i="1"/>
  <c r="L2590" i="1"/>
  <c r="M2590" i="1"/>
  <c r="N2590" i="1"/>
  <c r="A2591" i="1"/>
  <c r="B2591" i="1"/>
  <c r="F2591" i="1"/>
  <c r="G2591" i="1"/>
  <c r="H2591" i="1"/>
  <c r="I2591" i="1"/>
  <c r="J2591" i="1"/>
  <c r="K2591" i="1"/>
  <c r="L2591" i="1"/>
  <c r="M2591" i="1"/>
  <c r="N2591" i="1"/>
  <c r="A2592" i="1"/>
  <c r="B2592" i="1"/>
  <c r="F2592" i="1"/>
  <c r="G2592" i="1"/>
  <c r="H2592" i="1"/>
  <c r="I2592" i="1"/>
  <c r="J2592" i="1"/>
  <c r="K2592" i="1"/>
  <c r="L2592" i="1"/>
  <c r="M2592" i="1"/>
  <c r="N2592" i="1"/>
  <c r="A2593" i="1"/>
  <c r="B2593" i="1"/>
  <c r="F2593" i="1"/>
  <c r="G2593" i="1"/>
  <c r="H2593" i="1"/>
  <c r="I2593" i="1"/>
  <c r="J2593" i="1"/>
  <c r="K2593" i="1"/>
  <c r="L2593" i="1"/>
  <c r="M2593" i="1"/>
  <c r="N2593" i="1"/>
  <c r="A2594" i="1"/>
  <c r="B2594" i="1"/>
  <c r="F2594" i="1"/>
  <c r="G2594" i="1"/>
  <c r="H2594" i="1"/>
  <c r="I2594" i="1"/>
  <c r="J2594" i="1"/>
  <c r="K2594" i="1"/>
  <c r="L2594" i="1"/>
  <c r="M2594" i="1"/>
  <c r="N2594" i="1"/>
  <c r="A2595" i="1"/>
  <c r="B2595" i="1"/>
  <c r="F2595" i="1"/>
  <c r="G2595" i="1"/>
  <c r="H2595" i="1"/>
  <c r="I2595" i="1"/>
  <c r="J2595" i="1"/>
  <c r="K2595" i="1"/>
  <c r="L2595" i="1"/>
  <c r="M2595" i="1"/>
  <c r="N2595" i="1"/>
  <c r="A2596" i="1"/>
  <c r="B2596" i="1"/>
  <c r="F2596" i="1"/>
  <c r="G2596" i="1"/>
  <c r="H2596" i="1"/>
  <c r="I2596" i="1"/>
  <c r="J2596" i="1"/>
  <c r="K2596" i="1"/>
  <c r="L2596" i="1"/>
  <c r="M2596" i="1"/>
  <c r="N2596" i="1"/>
  <c r="A2597" i="1"/>
  <c r="B2597" i="1"/>
  <c r="F2597" i="1"/>
  <c r="G2597" i="1"/>
  <c r="H2597" i="1"/>
  <c r="I2597" i="1"/>
  <c r="J2597" i="1"/>
  <c r="K2597" i="1"/>
  <c r="L2597" i="1"/>
  <c r="M2597" i="1"/>
  <c r="N2597" i="1"/>
  <c r="A2598" i="1"/>
  <c r="B2598" i="1"/>
  <c r="F2598" i="1"/>
  <c r="G2598" i="1"/>
  <c r="H2598" i="1"/>
  <c r="I2598" i="1"/>
  <c r="J2598" i="1"/>
  <c r="K2598" i="1"/>
  <c r="L2598" i="1"/>
  <c r="M2598" i="1"/>
  <c r="N2598" i="1"/>
  <c r="A2599" i="1"/>
  <c r="B2599" i="1"/>
  <c r="F2599" i="1"/>
  <c r="G2599" i="1"/>
  <c r="H2599" i="1"/>
  <c r="I2599" i="1"/>
  <c r="J2599" i="1"/>
  <c r="K2599" i="1"/>
  <c r="L2599" i="1"/>
  <c r="M2599" i="1"/>
  <c r="N2599" i="1"/>
  <c r="A2600" i="1"/>
  <c r="B2600" i="1"/>
  <c r="F2600" i="1"/>
  <c r="G2600" i="1"/>
  <c r="H2600" i="1"/>
  <c r="I2600" i="1"/>
  <c r="J2600" i="1"/>
  <c r="K2600" i="1"/>
  <c r="L2600" i="1"/>
  <c r="M2600" i="1"/>
  <c r="N2600" i="1"/>
  <c r="A2601" i="1"/>
  <c r="B2601" i="1"/>
  <c r="F2601" i="1"/>
  <c r="G2601" i="1"/>
  <c r="H2601" i="1"/>
  <c r="I2601" i="1"/>
  <c r="J2601" i="1"/>
  <c r="K2601" i="1"/>
  <c r="L2601" i="1"/>
  <c r="M2601" i="1"/>
  <c r="N2601" i="1"/>
  <c r="A2602" i="1"/>
  <c r="B2602" i="1"/>
  <c r="F2602" i="1"/>
  <c r="G2602" i="1"/>
  <c r="H2602" i="1"/>
  <c r="I2602" i="1"/>
  <c r="J2602" i="1"/>
  <c r="K2602" i="1"/>
  <c r="L2602" i="1"/>
  <c r="M2602" i="1"/>
  <c r="N2602" i="1"/>
  <c r="A2603" i="1"/>
  <c r="B2603" i="1"/>
  <c r="F2603" i="1"/>
  <c r="G2603" i="1"/>
  <c r="H2603" i="1"/>
  <c r="I2603" i="1"/>
  <c r="J2603" i="1"/>
  <c r="K2603" i="1"/>
  <c r="L2603" i="1"/>
  <c r="M2603" i="1"/>
  <c r="N2603" i="1"/>
  <c r="A2604" i="1"/>
  <c r="B2604" i="1"/>
  <c r="F2604" i="1"/>
  <c r="G2604" i="1"/>
  <c r="H2604" i="1"/>
  <c r="I2604" i="1"/>
  <c r="J2604" i="1"/>
  <c r="K2604" i="1"/>
  <c r="L2604" i="1"/>
  <c r="M2604" i="1"/>
  <c r="N2604" i="1"/>
  <c r="A2605" i="1"/>
  <c r="B2605" i="1"/>
  <c r="F2605" i="1"/>
  <c r="G2605" i="1"/>
  <c r="H2605" i="1"/>
  <c r="I2605" i="1"/>
  <c r="J2605" i="1"/>
  <c r="K2605" i="1"/>
  <c r="L2605" i="1"/>
  <c r="M2605" i="1"/>
  <c r="N2605" i="1"/>
  <c r="A2606" i="1"/>
  <c r="B2606" i="1"/>
  <c r="F2606" i="1"/>
  <c r="G2606" i="1"/>
  <c r="H2606" i="1"/>
  <c r="I2606" i="1"/>
  <c r="J2606" i="1"/>
  <c r="K2606" i="1"/>
  <c r="L2606" i="1"/>
  <c r="M2606" i="1"/>
  <c r="N2606" i="1"/>
  <c r="A2607" i="1"/>
  <c r="B2607" i="1"/>
  <c r="F2607" i="1"/>
  <c r="G2607" i="1"/>
  <c r="H2607" i="1"/>
  <c r="I2607" i="1"/>
  <c r="J2607" i="1"/>
  <c r="K2607" i="1"/>
  <c r="L2607" i="1"/>
  <c r="M2607" i="1"/>
  <c r="N2607" i="1"/>
  <c r="A2608" i="1"/>
  <c r="B2608" i="1"/>
  <c r="F2608" i="1"/>
  <c r="G2608" i="1"/>
  <c r="H2608" i="1"/>
  <c r="I2608" i="1"/>
  <c r="J2608" i="1"/>
  <c r="K2608" i="1"/>
  <c r="L2608" i="1"/>
  <c r="M2608" i="1"/>
  <c r="N2608" i="1"/>
  <c r="A2609" i="1"/>
  <c r="B2609" i="1"/>
  <c r="F2609" i="1"/>
  <c r="G2609" i="1"/>
  <c r="H2609" i="1"/>
  <c r="I2609" i="1"/>
  <c r="J2609" i="1"/>
  <c r="K2609" i="1"/>
  <c r="L2609" i="1"/>
  <c r="M2609" i="1"/>
  <c r="N2609" i="1"/>
  <c r="A2610" i="1"/>
  <c r="B2610" i="1"/>
  <c r="F2610" i="1"/>
  <c r="G2610" i="1"/>
  <c r="H2610" i="1"/>
  <c r="I2610" i="1"/>
  <c r="J2610" i="1"/>
  <c r="K2610" i="1"/>
  <c r="L2610" i="1"/>
  <c r="M2610" i="1"/>
  <c r="N2610" i="1"/>
  <c r="A2611" i="1"/>
  <c r="B2611" i="1"/>
  <c r="F2611" i="1"/>
  <c r="G2611" i="1"/>
  <c r="H2611" i="1"/>
  <c r="I2611" i="1"/>
  <c r="J2611" i="1"/>
  <c r="K2611" i="1"/>
  <c r="L2611" i="1"/>
  <c r="M2611" i="1"/>
  <c r="N2611" i="1"/>
  <c r="A2612" i="1"/>
  <c r="B2612" i="1"/>
  <c r="F2612" i="1"/>
  <c r="G2612" i="1"/>
  <c r="H2612" i="1"/>
  <c r="I2612" i="1"/>
  <c r="J2612" i="1"/>
  <c r="K2612" i="1"/>
  <c r="L2612" i="1"/>
  <c r="M2612" i="1"/>
  <c r="N2612" i="1"/>
  <c r="A2613" i="1"/>
  <c r="B2613" i="1"/>
  <c r="F2613" i="1"/>
  <c r="G2613" i="1"/>
  <c r="H2613" i="1"/>
  <c r="I2613" i="1"/>
  <c r="J2613" i="1"/>
  <c r="K2613" i="1"/>
  <c r="L2613" i="1"/>
  <c r="M2613" i="1"/>
  <c r="N2613" i="1"/>
  <c r="A2614" i="1"/>
  <c r="B2614" i="1"/>
  <c r="F2614" i="1"/>
  <c r="G2614" i="1"/>
  <c r="H2614" i="1"/>
  <c r="I2614" i="1"/>
  <c r="J2614" i="1"/>
  <c r="K2614" i="1"/>
  <c r="L2614" i="1"/>
  <c r="M2614" i="1"/>
  <c r="N2614" i="1"/>
  <c r="A2615" i="1"/>
  <c r="B2615" i="1"/>
  <c r="F2615" i="1"/>
  <c r="G2615" i="1"/>
  <c r="H2615" i="1"/>
  <c r="I2615" i="1"/>
  <c r="J2615" i="1"/>
  <c r="K2615" i="1"/>
  <c r="L2615" i="1"/>
  <c r="M2615" i="1"/>
  <c r="N2615" i="1"/>
  <c r="A2616" i="1"/>
  <c r="B2616" i="1"/>
  <c r="F2616" i="1"/>
  <c r="G2616" i="1"/>
  <c r="H2616" i="1"/>
  <c r="I2616" i="1"/>
  <c r="J2616" i="1"/>
  <c r="K2616" i="1"/>
  <c r="L2616" i="1"/>
  <c r="M2616" i="1"/>
  <c r="N2616" i="1"/>
  <c r="A2617" i="1"/>
  <c r="B2617" i="1"/>
  <c r="F2617" i="1"/>
  <c r="G2617" i="1"/>
  <c r="H2617" i="1"/>
  <c r="I2617" i="1"/>
  <c r="J2617" i="1"/>
  <c r="K2617" i="1"/>
  <c r="L2617" i="1"/>
  <c r="M2617" i="1"/>
  <c r="N2617" i="1"/>
  <c r="A2618" i="1"/>
  <c r="B2618" i="1"/>
  <c r="F2618" i="1"/>
  <c r="G2618" i="1"/>
  <c r="H2618" i="1"/>
  <c r="I2618" i="1"/>
  <c r="J2618" i="1"/>
  <c r="K2618" i="1"/>
  <c r="L2618" i="1"/>
  <c r="M2618" i="1"/>
  <c r="N2618" i="1"/>
  <c r="A2619" i="1"/>
  <c r="B2619" i="1"/>
  <c r="F2619" i="1"/>
  <c r="G2619" i="1"/>
  <c r="H2619" i="1"/>
  <c r="I2619" i="1"/>
  <c r="J2619" i="1"/>
  <c r="K2619" i="1"/>
  <c r="L2619" i="1"/>
  <c r="M2619" i="1"/>
  <c r="N2619" i="1"/>
  <c r="A2620" i="1"/>
  <c r="B2620" i="1"/>
  <c r="F2620" i="1"/>
  <c r="G2620" i="1"/>
  <c r="H2620" i="1"/>
  <c r="I2620" i="1"/>
  <c r="J2620" i="1"/>
  <c r="K2620" i="1"/>
  <c r="L2620" i="1"/>
  <c r="M2620" i="1"/>
  <c r="N2620" i="1"/>
  <c r="A2621" i="1"/>
  <c r="B2621" i="1"/>
  <c r="F2621" i="1"/>
  <c r="G2621" i="1"/>
  <c r="H2621" i="1"/>
  <c r="I2621" i="1"/>
  <c r="J2621" i="1"/>
  <c r="K2621" i="1"/>
  <c r="L2621" i="1"/>
  <c r="M2621" i="1"/>
  <c r="N2621" i="1"/>
  <c r="A2622" i="1"/>
  <c r="B2622" i="1"/>
  <c r="F2622" i="1"/>
  <c r="G2622" i="1"/>
  <c r="H2622" i="1"/>
  <c r="I2622" i="1"/>
  <c r="J2622" i="1"/>
  <c r="K2622" i="1"/>
  <c r="L2622" i="1"/>
  <c r="M2622" i="1"/>
  <c r="N2622" i="1"/>
  <c r="A2623" i="1"/>
  <c r="B2623" i="1"/>
  <c r="F2623" i="1"/>
  <c r="G2623" i="1"/>
  <c r="H2623" i="1"/>
  <c r="I2623" i="1"/>
  <c r="J2623" i="1"/>
  <c r="K2623" i="1"/>
  <c r="L2623" i="1"/>
  <c r="M2623" i="1"/>
  <c r="N2623" i="1"/>
  <c r="A2624" i="1"/>
  <c r="B2624" i="1"/>
  <c r="F2624" i="1"/>
  <c r="G2624" i="1"/>
  <c r="H2624" i="1"/>
  <c r="I2624" i="1"/>
  <c r="J2624" i="1"/>
  <c r="K2624" i="1"/>
  <c r="L2624" i="1"/>
  <c r="M2624" i="1"/>
  <c r="N2624" i="1"/>
  <c r="A2625" i="1"/>
  <c r="B2625" i="1"/>
  <c r="F2625" i="1"/>
  <c r="G2625" i="1"/>
  <c r="H2625" i="1"/>
  <c r="I2625" i="1"/>
  <c r="J2625" i="1"/>
  <c r="K2625" i="1"/>
  <c r="L2625" i="1"/>
  <c r="M2625" i="1"/>
  <c r="N2625" i="1"/>
  <c r="A2626" i="1"/>
  <c r="B2626" i="1"/>
  <c r="F2626" i="1"/>
  <c r="G2626" i="1"/>
  <c r="H2626" i="1"/>
  <c r="I2626" i="1"/>
  <c r="J2626" i="1"/>
  <c r="K2626" i="1"/>
  <c r="L2626" i="1"/>
  <c r="M2626" i="1"/>
  <c r="N2626" i="1"/>
  <c r="A2627" i="1"/>
  <c r="B2627" i="1"/>
  <c r="F2627" i="1"/>
  <c r="G2627" i="1"/>
  <c r="H2627" i="1"/>
  <c r="I2627" i="1"/>
  <c r="J2627" i="1"/>
  <c r="K2627" i="1"/>
  <c r="L2627" i="1"/>
  <c r="M2627" i="1"/>
  <c r="N2627" i="1"/>
  <c r="A2628" i="1"/>
  <c r="B2628" i="1"/>
  <c r="F2628" i="1"/>
  <c r="G2628" i="1"/>
  <c r="H2628" i="1"/>
  <c r="I2628" i="1"/>
  <c r="J2628" i="1"/>
  <c r="K2628" i="1"/>
  <c r="L2628" i="1"/>
  <c r="M2628" i="1"/>
  <c r="N2628" i="1"/>
  <c r="A2629" i="1"/>
  <c r="B2629" i="1"/>
  <c r="F2629" i="1"/>
  <c r="G2629" i="1"/>
  <c r="H2629" i="1"/>
  <c r="I2629" i="1"/>
  <c r="J2629" i="1"/>
  <c r="K2629" i="1"/>
  <c r="L2629" i="1"/>
  <c r="M2629" i="1"/>
  <c r="N2629" i="1"/>
  <c r="A2630" i="1"/>
  <c r="B2630" i="1"/>
  <c r="F2630" i="1"/>
  <c r="G2630" i="1"/>
  <c r="H2630" i="1"/>
  <c r="I2630" i="1"/>
  <c r="J2630" i="1"/>
  <c r="K2630" i="1"/>
  <c r="L2630" i="1"/>
  <c r="M2630" i="1"/>
  <c r="N2630" i="1"/>
  <c r="A2631" i="1"/>
  <c r="B2631" i="1"/>
  <c r="F2631" i="1"/>
  <c r="G2631" i="1"/>
  <c r="H2631" i="1"/>
  <c r="I2631" i="1"/>
  <c r="J2631" i="1"/>
  <c r="K2631" i="1"/>
  <c r="L2631" i="1"/>
  <c r="M2631" i="1"/>
  <c r="N2631" i="1"/>
  <c r="A2632" i="1"/>
  <c r="B2632" i="1"/>
  <c r="F2632" i="1"/>
  <c r="G2632" i="1"/>
  <c r="H2632" i="1"/>
  <c r="I2632" i="1"/>
  <c r="J2632" i="1"/>
  <c r="K2632" i="1"/>
  <c r="L2632" i="1"/>
  <c r="M2632" i="1"/>
  <c r="N2632" i="1"/>
  <c r="A2633" i="1"/>
  <c r="B2633" i="1"/>
  <c r="F2633" i="1"/>
  <c r="G2633" i="1"/>
  <c r="H2633" i="1"/>
  <c r="I2633" i="1"/>
  <c r="J2633" i="1"/>
  <c r="K2633" i="1"/>
  <c r="L2633" i="1"/>
  <c r="M2633" i="1"/>
  <c r="N2633" i="1"/>
  <c r="A2634" i="1"/>
  <c r="B2634" i="1"/>
  <c r="F2634" i="1"/>
  <c r="G2634" i="1"/>
  <c r="H2634" i="1"/>
  <c r="I2634" i="1"/>
  <c r="J2634" i="1"/>
  <c r="K2634" i="1"/>
  <c r="L2634" i="1"/>
  <c r="M2634" i="1"/>
  <c r="N2634" i="1"/>
  <c r="A2635" i="1"/>
  <c r="B2635" i="1"/>
  <c r="F2635" i="1"/>
  <c r="G2635" i="1"/>
  <c r="H2635" i="1"/>
  <c r="I2635" i="1"/>
  <c r="J2635" i="1"/>
  <c r="K2635" i="1"/>
  <c r="L2635" i="1"/>
  <c r="M2635" i="1"/>
  <c r="N2635" i="1"/>
  <c r="A2636" i="1"/>
  <c r="B2636" i="1"/>
  <c r="F2636" i="1"/>
  <c r="G2636" i="1"/>
  <c r="H2636" i="1"/>
  <c r="I2636" i="1"/>
  <c r="J2636" i="1"/>
  <c r="K2636" i="1"/>
  <c r="L2636" i="1"/>
  <c r="M2636" i="1"/>
  <c r="N2636" i="1"/>
  <c r="A2637" i="1"/>
  <c r="B2637" i="1"/>
  <c r="F2637" i="1"/>
  <c r="G2637" i="1"/>
  <c r="H2637" i="1"/>
  <c r="I2637" i="1"/>
  <c r="J2637" i="1"/>
  <c r="K2637" i="1"/>
  <c r="L2637" i="1"/>
  <c r="M2637" i="1"/>
  <c r="N2637" i="1"/>
  <c r="A2638" i="1"/>
  <c r="B2638" i="1"/>
  <c r="F2638" i="1"/>
  <c r="G2638" i="1"/>
  <c r="H2638" i="1"/>
  <c r="I2638" i="1"/>
  <c r="J2638" i="1"/>
  <c r="K2638" i="1"/>
  <c r="L2638" i="1"/>
  <c r="M2638" i="1"/>
  <c r="N2638" i="1"/>
  <c r="A2639" i="1"/>
  <c r="B2639" i="1"/>
  <c r="F2639" i="1"/>
  <c r="G2639" i="1"/>
  <c r="H2639" i="1"/>
  <c r="I2639" i="1"/>
  <c r="J2639" i="1"/>
  <c r="K2639" i="1"/>
  <c r="L2639" i="1"/>
  <c r="M2639" i="1"/>
  <c r="N2639" i="1"/>
  <c r="A2640" i="1"/>
  <c r="B2640" i="1"/>
  <c r="F2640" i="1"/>
  <c r="G2640" i="1"/>
  <c r="H2640" i="1"/>
  <c r="I2640" i="1"/>
  <c r="J2640" i="1"/>
  <c r="K2640" i="1"/>
  <c r="L2640" i="1"/>
  <c r="M2640" i="1"/>
  <c r="N2640" i="1"/>
  <c r="A2641" i="1"/>
  <c r="B2641" i="1"/>
  <c r="F2641" i="1"/>
  <c r="G2641" i="1"/>
  <c r="H2641" i="1"/>
  <c r="I2641" i="1"/>
  <c r="J2641" i="1"/>
  <c r="K2641" i="1"/>
  <c r="L2641" i="1"/>
  <c r="M2641" i="1"/>
  <c r="N2641" i="1"/>
  <c r="A2642" i="1"/>
  <c r="B2642" i="1"/>
  <c r="F2642" i="1"/>
  <c r="G2642" i="1"/>
  <c r="H2642" i="1"/>
  <c r="I2642" i="1"/>
  <c r="J2642" i="1"/>
  <c r="K2642" i="1"/>
  <c r="L2642" i="1"/>
  <c r="M2642" i="1"/>
  <c r="N2642" i="1"/>
  <c r="A2643" i="1"/>
  <c r="B2643" i="1"/>
  <c r="F2643" i="1"/>
  <c r="G2643" i="1"/>
  <c r="H2643" i="1"/>
  <c r="I2643" i="1"/>
  <c r="J2643" i="1"/>
  <c r="K2643" i="1"/>
  <c r="L2643" i="1"/>
  <c r="M2643" i="1"/>
  <c r="N2643" i="1"/>
  <c r="A2644" i="1"/>
  <c r="B2644" i="1"/>
  <c r="F2644" i="1"/>
  <c r="G2644" i="1"/>
  <c r="H2644" i="1"/>
  <c r="I2644" i="1"/>
  <c r="J2644" i="1"/>
  <c r="K2644" i="1"/>
  <c r="L2644" i="1"/>
  <c r="M2644" i="1"/>
  <c r="N2644" i="1"/>
  <c r="A2645" i="1"/>
  <c r="B2645" i="1"/>
  <c r="F2645" i="1"/>
  <c r="G2645" i="1"/>
  <c r="H2645" i="1"/>
  <c r="I2645" i="1"/>
  <c r="J2645" i="1"/>
  <c r="K2645" i="1"/>
  <c r="L2645" i="1"/>
  <c r="M2645" i="1"/>
  <c r="N2645" i="1"/>
  <c r="A2646" i="1"/>
  <c r="B2646" i="1"/>
  <c r="F2646" i="1"/>
  <c r="G2646" i="1"/>
  <c r="H2646" i="1"/>
  <c r="I2646" i="1"/>
  <c r="J2646" i="1"/>
  <c r="K2646" i="1"/>
  <c r="L2646" i="1"/>
  <c r="M2646" i="1"/>
  <c r="N2646" i="1"/>
  <c r="A2647" i="1"/>
  <c r="B2647" i="1"/>
  <c r="F2647" i="1"/>
  <c r="G2647" i="1"/>
  <c r="H2647" i="1"/>
  <c r="I2647" i="1"/>
  <c r="J2647" i="1"/>
  <c r="K2647" i="1"/>
  <c r="L2647" i="1"/>
  <c r="M2647" i="1"/>
  <c r="N2647" i="1"/>
  <c r="A2648" i="1"/>
  <c r="B2648" i="1"/>
  <c r="F2648" i="1"/>
  <c r="G2648" i="1"/>
  <c r="H2648" i="1"/>
  <c r="I2648" i="1"/>
  <c r="J2648" i="1"/>
  <c r="K2648" i="1"/>
  <c r="L2648" i="1"/>
  <c r="M2648" i="1"/>
  <c r="N2648" i="1"/>
  <c r="A2649" i="1"/>
  <c r="B2649" i="1"/>
  <c r="F2649" i="1"/>
  <c r="G2649" i="1"/>
  <c r="H2649" i="1"/>
  <c r="I2649" i="1"/>
  <c r="J2649" i="1"/>
  <c r="K2649" i="1"/>
  <c r="L2649" i="1"/>
  <c r="M2649" i="1"/>
  <c r="N2649" i="1"/>
  <c r="A2650" i="1"/>
  <c r="B2650" i="1"/>
  <c r="F2650" i="1"/>
  <c r="G2650" i="1"/>
  <c r="H2650" i="1"/>
  <c r="I2650" i="1"/>
  <c r="J2650" i="1"/>
  <c r="K2650" i="1"/>
  <c r="L2650" i="1"/>
  <c r="M2650" i="1"/>
  <c r="N2650" i="1"/>
  <c r="A2651" i="1"/>
  <c r="B2651" i="1"/>
  <c r="F2651" i="1"/>
  <c r="G2651" i="1"/>
  <c r="H2651" i="1"/>
  <c r="I2651" i="1"/>
  <c r="J2651" i="1"/>
  <c r="K2651" i="1"/>
  <c r="L2651" i="1"/>
  <c r="M2651" i="1"/>
  <c r="N2651" i="1"/>
  <c r="A2652" i="1"/>
  <c r="B2652" i="1"/>
  <c r="F2652" i="1"/>
  <c r="G2652" i="1"/>
  <c r="H2652" i="1"/>
  <c r="I2652" i="1"/>
  <c r="J2652" i="1"/>
  <c r="K2652" i="1"/>
  <c r="L2652" i="1"/>
  <c r="M2652" i="1"/>
  <c r="N2652" i="1"/>
  <c r="A2653" i="1"/>
  <c r="B2653" i="1"/>
  <c r="F2653" i="1"/>
  <c r="G2653" i="1"/>
  <c r="H2653" i="1"/>
  <c r="I2653" i="1"/>
  <c r="J2653" i="1"/>
  <c r="K2653" i="1"/>
  <c r="L2653" i="1"/>
  <c r="M2653" i="1"/>
  <c r="N2653" i="1"/>
  <c r="A2654" i="1"/>
  <c r="B2654" i="1"/>
  <c r="F2654" i="1"/>
  <c r="G2654" i="1"/>
  <c r="H2654" i="1"/>
  <c r="I2654" i="1"/>
  <c r="J2654" i="1"/>
  <c r="K2654" i="1"/>
  <c r="L2654" i="1"/>
  <c r="M2654" i="1"/>
  <c r="N2654" i="1"/>
  <c r="A2655" i="1"/>
  <c r="B2655" i="1"/>
  <c r="F2655" i="1"/>
  <c r="G2655" i="1"/>
  <c r="H2655" i="1"/>
  <c r="I2655" i="1"/>
  <c r="J2655" i="1"/>
  <c r="K2655" i="1"/>
  <c r="L2655" i="1"/>
  <c r="M2655" i="1"/>
  <c r="N2655" i="1"/>
  <c r="A2656" i="1"/>
  <c r="B2656" i="1"/>
  <c r="F2656" i="1"/>
  <c r="G2656" i="1"/>
  <c r="H2656" i="1"/>
  <c r="I2656" i="1"/>
  <c r="J2656" i="1"/>
  <c r="K2656" i="1"/>
  <c r="L2656" i="1"/>
  <c r="M2656" i="1"/>
  <c r="N2656" i="1"/>
  <c r="A2657" i="1"/>
  <c r="B2657" i="1"/>
  <c r="F2657" i="1"/>
  <c r="G2657" i="1"/>
  <c r="H2657" i="1"/>
  <c r="I2657" i="1"/>
  <c r="J2657" i="1"/>
  <c r="K2657" i="1"/>
  <c r="L2657" i="1"/>
  <c r="M2657" i="1"/>
  <c r="N2657" i="1"/>
  <c r="A2658" i="1"/>
  <c r="B2658" i="1"/>
  <c r="F2658" i="1"/>
  <c r="G2658" i="1"/>
  <c r="H2658" i="1"/>
  <c r="I2658" i="1"/>
  <c r="J2658" i="1"/>
  <c r="K2658" i="1"/>
  <c r="L2658" i="1"/>
  <c r="M2658" i="1"/>
  <c r="N2658" i="1"/>
  <c r="A2659" i="1"/>
  <c r="B2659" i="1"/>
  <c r="F2659" i="1"/>
  <c r="G2659" i="1"/>
  <c r="H2659" i="1"/>
  <c r="I2659" i="1"/>
  <c r="J2659" i="1"/>
  <c r="K2659" i="1"/>
  <c r="L2659" i="1"/>
  <c r="M2659" i="1"/>
  <c r="N2659" i="1"/>
  <c r="A2660" i="1"/>
  <c r="B2660" i="1"/>
  <c r="F2660" i="1"/>
  <c r="G2660" i="1"/>
  <c r="H2660" i="1"/>
  <c r="I2660" i="1"/>
  <c r="J2660" i="1"/>
  <c r="K2660" i="1"/>
  <c r="L2660" i="1"/>
  <c r="M2660" i="1"/>
  <c r="N2660" i="1"/>
  <c r="A2661" i="1"/>
  <c r="B2661" i="1"/>
  <c r="F2661" i="1"/>
  <c r="G2661" i="1"/>
  <c r="H2661" i="1"/>
  <c r="I2661" i="1"/>
  <c r="J2661" i="1"/>
  <c r="K2661" i="1"/>
  <c r="L2661" i="1"/>
  <c r="M2661" i="1"/>
  <c r="N2661" i="1"/>
  <c r="A2662" i="1"/>
  <c r="B2662" i="1"/>
  <c r="F2662" i="1"/>
  <c r="G2662" i="1"/>
  <c r="H2662" i="1"/>
  <c r="I2662" i="1"/>
  <c r="J2662" i="1"/>
  <c r="K2662" i="1"/>
  <c r="L2662" i="1"/>
  <c r="M2662" i="1"/>
  <c r="N2662" i="1"/>
  <c r="A2663" i="1"/>
  <c r="B2663" i="1"/>
  <c r="F2663" i="1"/>
  <c r="G2663" i="1"/>
  <c r="H2663" i="1"/>
  <c r="I2663" i="1"/>
  <c r="J2663" i="1"/>
  <c r="K2663" i="1"/>
  <c r="L2663" i="1"/>
  <c r="M2663" i="1"/>
  <c r="N2663" i="1"/>
  <c r="A2664" i="1"/>
  <c r="B2664" i="1"/>
  <c r="F2664" i="1"/>
  <c r="G2664" i="1"/>
  <c r="H2664" i="1"/>
  <c r="I2664" i="1"/>
  <c r="J2664" i="1"/>
  <c r="K2664" i="1"/>
  <c r="L2664" i="1"/>
  <c r="M2664" i="1"/>
  <c r="N2664" i="1"/>
  <c r="A2665" i="1"/>
  <c r="B2665" i="1"/>
  <c r="F2665" i="1"/>
  <c r="G2665" i="1"/>
  <c r="H2665" i="1"/>
  <c r="I2665" i="1"/>
  <c r="J2665" i="1"/>
  <c r="K2665" i="1"/>
  <c r="L2665" i="1"/>
  <c r="M2665" i="1"/>
  <c r="N2665" i="1"/>
  <c r="A2666" i="1"/>
  <c r="B2666" i="1"/>
  <c r="F2666" i="1"/>
  <c r="G2666" i="1"/>
  <c r="H2666" i="1"/>
  <c r="I2666" i="1"/>
  <c r="J2666" i="1"/>
  <c r="K2666" i="1"/>
  <c r="L2666" i="1"/>
  <c r="M2666" i="1"/>
  <c r="N2666" i="1"/>
  <c r="A2667" i="1"/>
  <c r="B2667" i="1"/>
  <c r="F2667" i="1"/>
  <c r="G2667" i="1"/>
  <c r="H2667" i="1"/>
  <c r="I2667" i="1"/>
  <c r="J2667" i="1"/>
  <c r="K2667" i="1"/>
  <c r="L2667" i="1"/>
  <c r="M2667" i="1"/>
  <c r="N2667" i="1"/>
  <c r="A2668" i="1"/>
  <c r="B2668" i="1"/>
  <c r="F2668" i="1"/>
  <c r="G2668" i="1"/>
  <c r="H2668" i="1"/>
  <c r="I2668" i="1"/>
  <c r="J2668" i="1"/>
  <c r="K2668" i="1"/>
  <c r="L2668" i="1"/>
  <c r="M2668" i="1"/>
  <c r="N2668" i="1"/>
  <c r="A2669" i="1"/>
  <c r="B2669" i="1"/>
  <c r="F2669" i="1"/>
  <c r="G2669" i="1"/>
  <c r="H2669" i="1"/>
  <c r="I2669" i="1"/>
  <c r="J2669" i="1"/>
  <c r="K2669" i="1"/>
  <c r="L2669" i="1"/>
  <c r="M2669" i="1"/>
  <c r="N2669" i="1"/>
  <c r="A2670" i="1"/>
  <c r="B2670" i="1"/>
  <c r="F2670" i="1"/>
  <c r="G2670" i="1"/>
  <c r="H2670" i="1"/>
  <c r="I2670" i="1"/>
  <c r="J2670" i="1"/>
  <c r="K2670" i="1"/>
  <c r="L2670" i="1"/>
  <c r="M2670" i="1"/>
  <c r="N2670" i="1"/>
  <c r="A2671" i="1"/>
  <c r="B2671" i="1"/>
  <c r="F2671" i="1"/>
  <c r="G2671" i="1"/>
  <c r="H2671" i="1"/>
  <c r="I2671" i="1"/>
  <c r="J2671" i="1"/>
  <c r="K2671" i="1"/>
  <c r="L2671" i="1"/>
  <c r="M2671" i="1"/>
  <c r="N2671" i="1"/>
  <c r="A2672" i="1"/>
  <c r="B2672" i="1"/>
  <c r="F2672" i="1"/>
  <c r="G2672" i="1"/>
  <c r="H2672" i="1"/>
  <c r="I2672" i="1"/>
  <c r="J2672" i="1"/>
  <c r="K2672" i="1"/>
  <c r="L2672" i="1"/>
  <c r="M2672" i="1"/>
  <c r="N2672" i="1"/>
  <c r="A2673" i="1"/>
  <c r="B2673" i="1"/>
  <c r="F2673" i="1"/>
  <c r="G2673" i="1"/>
  <c r="H2673" i="1"/>
  <c r="I2673" i="1"/>
  <c r="J2673" i="1"/>
  <c r="K2673" i="1"/>
  <c r="L2673" i="1"/>
  <c r="M2673" i="1"/>
  <c r="N2673" i="1"/>
  <c r="A2674" i="1"/>
  <c r="B2674" i="1"/>
  <c r="F2674" i="1"/>
  <c r="G2674" i="1"/>
  <c r="H2674" i="1"/>
  <c r="I2674" i="1"/>
  <c r="J2674" i="1"/>
  <c r="K2674" i="1"/>
  <c r="L2674" i="1"/>
  <c r="M2674" i="1"/>
  <c r="N2674" i="1"/>
  <c r="A2675" i="1"/>
  <c r="B2675" i="1"/>
  <c r="F2675" i="1"/>
  <c r="G2675" i="1"/>
  <c r="H2675" i="1"/>
  <c r="I2675" i="1"/>
  <c r="J2675" i="1"/>
  <c r="K2675" i="1"/>
  <c r="L2675" i="1"/>
  <c r="M2675" i="1"/>
  <c r="N2675" i="1"/>
  <c r="A2676" i="1"/>
  <c r="B2676" i="1"/>
  <c r="F2676" i="1"/>
  <c r="G2676" i="1"/>
  <c r="H2676" i="1"/>
  <c r="I2676" i="1"/>
  <c r="J2676" i="1"/>
  <c r="K2676" i="1"/>
  <c r="L2676" i="1"/>
  <c r="M2676" i="1"/>
  <c r="N2676" i="1"/>
  <c r="A2677" i="1"/>
  <c r="B2677" i="1"/>
  <c r="F2677" i="1"/>
  <c r="G2677" i="1"/>
  <c r="H2677" i="1"/>
  <c r="I2677" i="1"/>
  <c r="J2677" i="1"/>
  <c r="K2677" i="1"/>
  <c r="L2677" i="1"/>
  <c r="M2677" i="1"/>
  <c r="N2677" i="1"/>
  <c r="A2678" i="1"/>
  <c r="B2678" i="1"/>
  <c r="F2678" i="1"/>
  <c r="G2678" i="1"/>
  <c r="H2678" i="1"/>
  <c r="I2678" i="1"/>
  <c r="J2678" i="1"/>
  <c r="K2678" i="1"/>
  <c r="L2678" i="1"/>
  <c r="M2678" i="1"/>
  <c r="N2678" i="1"/>
  <c r="A2679" i="1"/>
  <c r="B2679" i="1"/>
  <c r="F2679" i="1"/>
  <c r="G2679" i="1"/>
  <c r="H2679" i="1"/>
  <c r="I2679" i="1"/>
  <c r="J2679" i="1"/>
  <c r="K2679" i="1"/>
  <c r="L2679" i="1"/>
  <c r="M2679" i="1"/>
  <c r="N2679" i="1"/>
  <c r="A2680" i="1"/>
  <c r="B2680" i="1"/>
  <c r="F2680" i="1"/>
  <c r="G2680" i="1"/>
  <c r="H2680" i="1"/>
  <c r="I2680" i="1"/>
  <c r="J2680" i="1"/>
  <c r="K2680" i="1"/>
  <c r="L2680" i="1"/>
  <c r="M2680" i="1"/>
  <c r="N2680" i="1"/>
  <c r="A2681" i="1"/>
  <c r="B2681" i="1"/>
  <c r="F2681" i="1"/>
  <c r="G2681" i="1"/>
  <c r="H2681" i="1"/>
  <c r="I2681" i="1"/>
  <c r="J2681" i="1"/>
  <c r="K2681" i="1"/>
  <c r="L2681" i="1"/>
  <c r="M2681" i="1"/>
  <c r="N2681" i="1"/>
  <c r="A2682" i="1"/>
  <c r="B2682" i="1"/>
  <c r="F2682" i="1"/>
  <c r="G2682" i="1"/>
  <c r="H2682" i="1"/>
  <c r="I2682" i="1"/>
  <c r="J2682" i="1"/>
  <c r="K2682" i="1"/>
  <c r="L2682" i="1"/>
  <c r="M2682" i="1"/>
  <c r="N2682" i="1"/>
  <c r="A2683" i="1"/>
  <c r="B2683" i="1"/>
  <c r="F2683" i="1"/>
  <c r="G2683" i="1"/>
  <c r="H2683" i="1"/>
  <c r="I2683" i="1"/>
  <c r="J2683" i="1"/>
  <c r="K2683" i="1"/>
  <c r="L2683" i="1"/>
  <c r="M2683" i="1"/>
  <c r="N2683" i="1"/>
  <c r="A2684" i="1"/>
  <c r="B2684" i="1"/>
  <c r="F2684" i="1"/>
  <c r="G2684" i="1"/>
  <c r="H2684" i="1"/>
  <c r="I2684" i="1"/>
  <c r="J2684" i="1"/>
  <c r="K2684" i="1"/>
  <c r="L2684" i="1"/>
  <c r="M2684" i="1"/>
  <c r="N2684" i="1"/>
  <c r="A2685" i="1"/>
  <c r="B2685" i="1"/>
  <c r="F2685" i="1"/>
  <c r="G2685" i="1"/>
  <c r="H2685" i="1"/>
  <c r="I2685" i="1"/>
  <c r="J2685" i="1"/>
  <c r="K2685" i="1"/>
  <c r="L2685" i="1"/>
  <c r="M2685" i="1"/>
  <c r="N2685" i="1"/>
  <c r="A2686" i="1"/>
  <c r="B2686" i="1"/>
  <c r="F2686" i="1"/>
  <c r="G2686" i="1"/>
  <c r="H2686" i="1"/>
  <c r="I2686" i="1"/>
  <c r="J2686" i="1"/>
  <c r="K2686" i="1"/>
  <c r="L2686" i="1"/>
  <c r="M2686" i="1"/>
  <c r="N2686" i="1"/>
  <c r="A2687" i="1"/>
  <c r="B2687" i="1"/>
  <c r="F2687" i="1"/>
  <c r="G2687" i="1"/>
  <c r="H2687" i="1"/>
  <c r="I2687" i="1"/>
  <c r="J2687" i="1"/>
  <c r="K2687" i="1"/>
  <c r="L2687" i="1"/>
  <c r="M2687" i="1"/>
  <c r="N2687" i="1"/>
  <c r="A2688" i="1"/>
  <c r="B2688" i="1"/>
  <c r="F2688" i="1"/>
  <c r="G2688" i="1"/>
  <c r="H2688" i="1"/>
  <c r="I2688" i="1"/>
  <c r="J2688" i="1"/>
  <c r="K2688" i="1"/>
  <c r="L2688" i="1"/>
  <c r="M2688" i="1"/>
  <c r="N2688" i="1"/>
  <c r="A2689" i="1"/>
  <c r="B2689" i="1"/>
  <c r="F2689" i="1"/>
  <c r="G2689" i="1"/>
  <c r="H2689" i="1"/>
  <c r="I2689" i="1"/>
  <c r="J2689" i="1"/>
  <c r="K2689" i="1"/>
  <c r="L2689" i="1"/>
  <c r="M2689" i="1"/>
  <c r="N2689" i="1"/>
  <c r="A2690" i="1"/>
  <c r="B2690" i="1"/>
  <c r="F2690" i="1"/>
  <c r="G2690" i="1"/>
  <c r="H2690" i="1"/>
  <c r="I2690" i="1"/>
  <c r="J2690" i="1"/>
  <c r="K2690" i="1"/>
  <c r="L2690" i="1"/>
  <c r="M2690" i="1"/>
  <c r="N2690" i="1"/>
  <c r="A2691" i="1"/>
  <c r="B2691" i="1"/>
  <c r="F2691" i="1"/>
  <c r="G2691" i="1"/>
  <c r="H2691" i="1"/>
  <c r="I2691" i="1"/>
  <c r="J2691" i="1"/>
  <c r="K2691" i="1"/>
  <c r="L2691" i="1"/>
  <c r="M2691" i="1"/>
  <c r="N2691" i="1"/>
  <c r="A2692" i="1"/>
  <c r="B2692" i="1"/>
  <c r="F2692" i="1"/>
  <c r="G2692" i="1"/>
  <c r="H2692" i="1"/>
  <c r="I2692" i="1"/>
  <c r="J2692" i="1"/>
  <c r="K2692" i="1"/>
  <c r="L2692" i="1"/>
  <c r="M2692" i="1"/>
  <c r="N2692" i="1"/>
  <c r="A2693" i="1"/>
  <c r="B2693" i="1"/>
  <c r="F2693" i="1"/>
  <c r="G2693" i="1"/>
  <c r="H2693" i="1"/>
  <c r="I2693" i="1"/>
  <c r="J2693" i="1"/>
  <c r="K2693" i="1"/>
  <c r="L2693" i="1"/>
  <c r="M2693" i="1"/>
  <c r="N2693" i="1"/>
  <c r="A2694" i="1"/>
  <c r="B2694" i="1"/>
  <c r="F2694" i="1"/>
  <c r="G2694" i="1"/>
  <c r="H2694" i="1"/>
  <c r="I2694" i="1"/>
  <c r="J2694" i="1"/>
  <c r="K2694" i="1"/>
  <c r="L2694" i="1"/>
  <c r="M2694" i="1"/>
  <c r="N2694" i="1"/>
  <c r="A2695" i="1"/>
  <c r="B2695" i="1"/>
  <c r="F2695" i="1"/>
  <c r="G2695" i="1"/>
  <c r="H2695" i="1"/>
  <c r="I2695" i="1"/>
  <c r="J2695" i="1"/>
  <c r="K2695" i="1"/>
  <c r="L2695" i="1"/>
  <c r="M2695" i="1"/>
  <c r="N2695" i="1"/>
  <c r="A2696" i="1"/>
  <c r="B2696" i="1"/>
  <c r="F2696" i="1"/>
  <c r="G2696" i="1"/>
  <c r="H2696" i="1"/>
  <c r="I2696" i="1"/>
  <c r="J2696" i="1"/>
  <c r="K2696" i="1"/>
  <c r="L2696" i="1"/>
  <c r="M2696" i="1"/>
  <c r="N2696" i="1"/>
  <c r="A2697" i="1"/>
  <c r="B2697" i="1"/>
  <c r="F2697" i="1"/>
  <c r="G2697" i="1"/>
  <c r="H2697" i="1"/>
  <c r="I2697" i="1"/>
  <c r="J2697" i="1"/>
  <c r="K2697" i="1"/>
  <c r="L2697" i="1"/>
  <c r="M2697" i="1"/>
  <c r="N2697" i="1"/>
  <c r="A2698" i="1"/>
  <c r="B2698" i="1"/>
  <c r="F2698" i="1"/>
  <c r="G2698" i="1"/>
  <c r="H2698" i="1"/>
  <c r="I2698" i="1"/>
  <c r="J2698" i="1"/>
  <c r="K2698" i="1"/>
  <c r="L2698" i="1"/>
  <c r="M2698" i="1"/>
  <c r="N2698" i="1"/>
  <c r="A2699" i="1"/>
  <c r="B2699" i="1"/>
  <c r="F2699" i="1"/>
  <c r="G2699" i="1"/>
  <c r="H2699" i="1"/>
  <c r="I2699" i="1"/>
  <c r="J2699" i="1"/>
  <c r="K2699" i="1"/>
  <c r="L2699" i="1"/>
  <c r="M2699" i="1"/>
  <c r="N2699" i="1"/>
  <c r="A2700" i="1"/>
  <c r="B2700" i="1"/>
  <c r="F2700" i="1"/>
  <c r="G2700" i="1"/>
  <c r="H2700" i="1"/>
  <c r="I2700" i="1"/>
  <c r="J2700" i="1"/>
  <c r="K2700" i="1"/>
  <c r="L2700" i="1"/>
  <c r="M2700" i="1"/>
  <c r="N2700" i="1"/>
  <c r="A2701" i="1"/>
  <c r="B2701" i="1"/>
  <c r="F2701" i="1"/>
  <c r="G2701" i="1"/>
  <c r="H2701" i="1"/>
  <c r="I2701" i="1"/>
  <c r="J2701" i="1"/>
  <c r="K2701" i="1"/>
  <c r="L2701" i="1"/>
  <c r="M2701" i="1"/>
  <c r="N2701" i="1"/>
  <c r="A2702" i="1"/>
  <c r="B2702" i="1"/>
  <c r="F2702" i="1"/>
  <c r="G2702" i="1"/>
  <c r="H2702" i="1"/>
  <c r="I2702" i="1"/>
  <c r="J2702" i="1"/>
  <c r="K2702" i="1"/>
  <c r="L2702" i="1"/>
  <c r="M2702" i="1"/>
  <c r="N2702" i="1"/>
  <c r="A2703" i="1"/>
  <c r="B2703" i="1"/>
  <c r="F2703" i="1"/>
  <c r="G2703" i="1"/>
  <c r="H2703" i="1"/>
  <c r="I2703" i="1"/>
  <c r="J2703" i="1"/>
  <c r="K2703" i="1"/>
  <c r="L2703" i="1"/>
  <c r="M2703" i="1"/>
  <c r="N2703" i="1"/>
  <c r="A2704" i="1"/>
  <c r="B2704" i="1"/>
  <c r="F2704" i="1"/>
  <c r="G2704" i="1"/>
  <c r="H2704" i="1"/>
  <c r="I2704" i="1"/>
  <c r="J2704" i="1"/>
  <c r="K2704" i="1"/>
  <c r="L2704" i="1"/>
  <c r="M2704" i="1"/>
  <c r="N2704" i="1"/>
  <c r="A2705" i="1"/>
  <c r="B2705" i="1"/>
  <c r="F2705" i="1"/>
  <c r="G2705" i="1"/>
  <c r="H2705" i="1"/>
  <c r="I2705" i="1"/>
  <c r="J2705" i="1"/>
  <c r="K2705" i="1"/>
  <c r="L2705" i="1"/>
  <c r="M2705" i="1"/>
  <c r="N2705" i="1"/>
  <c r="A2706" i="1"/>
  <c r="B2706" i="1"/>
  <c r="F2706" i="1"/>
  <c r="G2706" i="1"/>
  <c r="H2706" i="1"/>
  <c r="I2706" i="1"/>
  <c r="J2706" i="1"/>
  <c r="K2706" i="1"/>
  <c r="L2706" i="1"/>
  <c r="M2706" i="1"/>
  <c r="N2706" i="1"/>
  <c r="A2707" i="1"/>
  <c r="B2707" i="1"/>
  <c r="F2707" i="1"/>
  <c r="G2707" i="1"/>
  <c r="H2707" i="1"/>
  <c r="I2707" i="1"/>
  <c r="J2707" i="1"/>
  <c r="K2707" i="1"/>
  <c r="L2707" i="1"/>
  <c r="M2707" i="1"/>
  <c r="N2707" i="1"/>
  <c r="A2708" i="1"/>
  <c r="B2708" i="1"/>
  <c r="F2708" i="1"/>
  <c r="G2708" i="1"/>
  <c r="H2708" i="1"/>
  <c r="I2708" i="1"/>
  <c r="J2708" i="1"/>
  <c r="K2708" i="1"/>
  <c r="L2708" i="1"/>
  <c r="M2708" i="1"/>
  <c r="N2708" i="1"/>
  <c r="A2709" i="1"/>
  <c r="B2709" i="1"/>
  <c r="F2709" i="1"/>
  <c r="G2709" i="1"/>
  <c r="H2709" i="1"/>
  <c r="I2709" i="1"/>
  <c r="J2709" i="1"/>
  <c r="K2709" i="1"/>
  <c r="L2709" i="1"/>
  <c r="M2709" i="1"/>
  <c r="N2709" i="1"/>
  <c r="A2710" i="1"/>
  <c r="B2710" i="1"/>
  <c r="F2710" i="1"/>
  <c r="G2710" i="1"/>
  <c r="H2710" i="1"/>
  <c r="I2710" i="1"/>
  <c r="J2710" i="1"/>
  <c r="K2710" i="1"/>
  <c r="L2710" i="1"/>
  <c r="M2710" i="1"/>
  <c r="N2710" i="1"/>
  <c r="A2711" i="1"/>
  <c r="B2711" i="1"/>
  <c r="F2711" i="1"/>
  <c r="G2711" i="1"/>
  <c r="H2711" i="1"/>
  <c r="I2711" i="1"/>
  <c r="J2711" i="1"/>
  <c r="K2711" i="1"/>
  <c r="L2711" i="1"/>
  <c r="M2711" i="1"/>
  <c r="N2711" i="1"/>
  <c r="A2712" i="1"/>
  <c r="B2712" i="1"/>
  <c r="F2712" i="1"/>
  <c r="G2712" i="1"/>
  <c r="H2712" i="1"/>
  <c r="I2712" i="1"/>
  <c r="J2712" i="1"/>
  <c r="K2712" i="1"/>
  <c r="L2712" i="1"/>
  <c r="M2712" i="1"/>
  <c r="N2712" i="1"/>
  <c r="A2713" i="1"/>
  <c r="B2713" i="1"/>
  <c r="F2713" i="1"/>
  <c r="G2713" i="1"/>
  <c r="H2713" i="1"/>
  <c r="I2713" i="1"/>
  <c r="J2713" i="1"/>
  <c r="K2713" i="1"/>
  <c r="L2713" i="1"/>
  <c r="M2713" i="1"/>
  <c r="N2713" i="1"/>
  <c r="A2714" i="1"/>
  <c r="B2714" i="1"/>
  <c r="F2714" i="1"/>
  <c r="G2714" i="1"/>
  <c r="H2714" i="1"/>
  <c r="I2714" i="1"/>
  <c r="J2714" i="1"/>
  <c r="K2714" i="1"/>
  <c r="L2714" i="1"/>
  <c r="M2714" i="1"/>
  <c r="N2714" i="1"/>
  <c r="A2715" i="1"/>
  <c r="B2715" i="1"/>
  <c r="F2715" i="1"/>
  <c r="G2715" i="1"/>
  <c r="H2715" i="1"/>
  <c r="I2715" i="1"/>
  <c r="J2715" i="1"/>
  <c r="K2715" i="1"/>
  <c r="L2715" i="1"/>
  <c r="M2715" i="1"/>
  <c r="N2715" i="1"/>
  <c r="A2716" i="1"/>
  <c r="B2716" i="1"/>
  <c r="F2716" i="1"/>
  <c r="G2716" i="1"/>
  <c r="H2716" i="1"/>
  <c r="I2716" i="1"/>
  <c r="J2716" i="1"/>
  <c r="K2716" i="1"/>
  <c r="L2716" i="1"/>
  <c r="M2716" i="1"/>
  <c r="N2716" i="1"/>
  <c r="A2717" i="1"/>
  <c r="B2717" i="1"/>
  <c r="F2717" i="1"/>
  <c r="G2717" i="1"/>
  <c r="H2717" i="1"/>
  <c r="I2717" i="1"/>
  <c r="J2717" i="1"/>
  <c r="K2717" i="1"/>
  <c r="L2717" i="1"/>
  <c r="M2717" i="1"/>
  <c r="N2717" i="1"/>
  <c r="A2718" i="1"/>
  <c r="B2718" i="1"/>
  <c r="F2718" i="1"/>
  <c r="G2718" i="1"/>
  <c r="H2718" i="1"/>
  <c r="I2718" i="1"/>
  <c r="J2718" i="1"/>
  <c r="K2718" i="1"/>
  <c r="L2718" i="1"/>
  <c r="M2718" i="1"/>
  <c r="N2718" i="1"/>
  <c r="A2719" i="1"/>
  <c r="B2719" i="1"/>
  <c r="F2719" i="1"/>
  <c r="G2719" i="1"/>
  <c r="H2719" i="1"/>
  <c r="I2719" i="1"/>
  <c r="J2719" i="1"/>
  <c r="K2719" i="1"/>
  <c r="L2719" i="1"/>
  <c r="M2719" i="1"/>
  <c r="N2719" i="1"/>
  <c r="A2720" i="1"/>
  <c r="B2720" i="1"/>
  <c r="F2720" i="1"/>
  <c r="G2720" i="1"/>
  <c r="H2720" i="1"/>
  <c r="I2720" i="1"/>
  <c r="J2720" i="1"/>
  <c r="K2720" i="1"/>
  <c r="L2720" i="1"/>
  <c r="M2720" i="1"/>
  <c r="N2720" i="1"/>
  <c r="A2721" i="1"/>
  <c r="B2721" i="1"/>
  <c r="F2721" i="1"/>
  <c r="G2721" i="1"/>
  <c r="H2721" i="1"/>
  <c r="I2721" i="1"/>
  <c r="J2721" i="1"/>
  <c r="K2721" i="1"/>
  <c r="L2721" i="1"/>
  <c r="M2721" i="1"/>
  <c r="N2721" i="1"/>
  <c r="A2722" i="1"/>
  <c r="B2722" i="1"/>
  <c r="F2722" i="1"/>
  <c r="G2722" i="1"/>
  <c r="H2722" i="1"/>
  <c r="I2722" i="1"/>
  <c r="J2722" i="1"/>
  <c r="K2722" i="1"/>
  <c r="L2722" i="1"/>
  <c r="M2722" i="1"/>
  <c r="N2722" i="1"/>
  <c r="A2723" i="1"/>
  <c r="B2723" i="1"/>
  <c r="F2723" i="1"/>
  <c r="G2723" i="1"/>
  <c r="H2723" i="1"/>
  <c r="I2723" i="1"/>
  <c r="J2723" i="1"/>
  <c r="K2723" i="1"/>
  <c r="L2723" i="1"/>
  <c r="M2723" i="1"/>
  <c r="N2723" i="1"/>
  <c r="A2724" i="1"/>
  <c r="B2724" i="1"/>
  <c r="F2724" i="1"/>
  <c r="G2724" i="1"/>
  <c r="H2724" i="1"/>
  <c r="I2724" i="1"/>
  <c r="J2724" i="1"/>
  <c r="K2724" i="1"/>
  <c r="L2724" i="1"/>
  <c r="M2724" i="1"/>
  <c r="N2724" i="1"/>
  <c r="A2725" i="1"/>
  <c r="B2725" i="1"/>
  <c r="F2725" i="1"/>
  <c r="G2725" i="1"/>
  <c r="H2725" i="1"/>
  <c r="I2725" i="1"/>
  <c r="J2725" i="1"/>
  <c r="K2725" i="1"/>
  <c r="L2725" i="1"/>
  <c r="M2725" i="1"/>
  <c r="N2725" i="1"/>
  <c r="A2726" i="1"/>
  <c r="B2726" i="1"/>
  <c r="F2726" i="1"/>
  <c r="G2726" i="1"/>
  <c r="H2726" i="1"/>
  <c r="I2726" i="1"/>
  <c r="J2726" i="1"/>
  <c r="K2726" i="1"/>
  <c r="L2726" i="1"/>
  <c r="M2726" i="1"/>
  <c r="N2726" i="1"/>
  <c r="A2727" i="1"/>
  <c r="B2727" i="1"/>
  <c r="F2727" i="1"/>
  <c r="G2727" i="1"/>
  <c r="H2727" i="1"/>
  <c r="I2727" i="1"/>
  <c r="J2727" i="1"/>
  <c r="K2727" i="1"/>
  <c r="L2727" i="1"/>
  <c r="M2727" i="1"/>
  <c r="N2727" i="1"/>
  <c r="A2728" i="1"/>
  <c r="B2728" i="1"/>
  <c r="F2728" i="1"/>
  <c r="G2728" i="1"/>
  <c r="H2728" i="1"/>
  <c r="I2728" i="1"/>
  <c r="J2728" i="1"/>
  <c r="K2728" i="1"/>
  <c r="L2728" i="1"/>
  <c r="M2728" i="1"/>
  <c r="N2728" i="1"/>
  <c r="A2729" i="1"/>
  <c r="B2729" i="1"/>
  <c r="F2729" i="1"/>
  <c r="G2729" i="1"/>
  <c r="H2729" i="1"/>
  <c r="I2729" i="1"/>
  <c r="J2729" i="1"/>
  <c r="K2729" i="1"/>
  <c r="L2729" i="1"/>
  <c r="M2729" i="1"/>
  <c r="N2729" i="1"/>
  <c r="A2730" i="1"/>
  <c r="B2730" i="1"/>
  <c r="F2730" i="1"/>
  <c r="G2730" i="1"/>
  <c r="H2730" i="1"/>
  <c r="I2730" i="1"/>
  <c r="J2730" i="1"/>
  <c r="K2730" i="1"/>
  <c r="L2730" i="1"/>
  <c r="M2730" i="1"/>
  <c r="N2730" i="1"/>
  <c r="A2731" i="1"/>
  <c r="B2731" i="1"/>
  <c r="F2731" i="1"/>
  <c r="G2731" i="1"/>
  <c r="H2731" i="1"/>
  <c r="I2731" i="1"/>
  <c r="J2731" i="1"/>
  <c r="K2731" i="1"/>
  <c r="L2731" i="1"/>
  <c r="M2731" i="1"/>
  <c r="N2731" i="1"/>
  <c r="A2732" i="1"/>
  <c r="B2732" i="1"/>
  <c r="F2732" i="1"/>
  <c r="G2732" i="1"/>
  <c r="H2732" i="1"/>
  <c r="I2732" i="1"/>
  <c r="J2732" i="1"/>
  <c r="K2732" i="1"/>
  <c r="L2732" i="1"/>
  <c r="M2732" i="1"/>
  <c r="N2732" i="1"/>
  <c r="A2733" i="1"/>
  <c r="B2733" i="1"/>
  <c r="F2733" i="1"/>
  <c r="G2733" i="1"/>
  <c r="H2733" i="1"/>
  <c r="I2733" i="1"/>
  <c r="J2733" i="1"/>
  <c r="K2733" i="1"/>
  <c r="L2733" i="1"/>
  <c r="M2733" i="1"/>
  <c r="N2733" i="1"/>
  <c r="A2734" i="1"/>
  <c r="B2734" i="1"/>
  <c r="F2734" i="1"/>
  <c r="G2734" i="1"/>
  <c r="H2734" i="1"/>
  <c r="I2734" i="1"/>
  <c r="J2734" i="1"/>
  <c r="K2734" i="1"/>
  <c r="L2734" i="1"/>
  <c r="M2734" i="1"/>
  <c r="N2734" i="1"/>
  <c r="A2735" i="1"/>
  <c r="B2735" i="1"/>
  <c r="F2735" i="1"/>
  <c r="G2735" i="1"/>
  <c r="H2735" i="1"/>
  <c r="I2735" i="1"/>
  <c r="J2735" i="1"/>
  <c r="K2735" i="1"/>
  <c r="L2735" i="1"/>
  <c r="M2735" i="1"/>
  <c r="N2735" i="1"/>
  <c r="A2736" i="1"/>
  <c r="B2736" i="1"/>
  <c r="F2736" i="1"/>
  <c r="G2736" i="1"/>
  <c r="H2736" i="1"/>
  <c r="I2736" i="1"/>
  <c r="J2736" i="1"/>
  <c r="K2736" i="1"/>
  <c r="L2736" i="1"/>
  <c r="M2736" i="1"/>
  <c r="N2736" i="1"/>
  <c r="A2737" i="1"/>
  <c r="B2737" i="1"/>
  <c r="F2737" i="1"/>
  <c r="G2737" i="1"/>
  <c r="H2737" i="1"/>
  <c r="I2737" i="1"/>
  <c r="J2737" i="1"/>
  <c r="K2737" i="1"/>
  <c r="L2737" i="1"/>
  <c r="M2737" i="1"/>
  <c r="N2737" i="1"/>
  <c r="A2738" i="1"/>
  <c r="B2738" i="1"/>
  <c r="F2738" i="1"/>
  <c r="G2738" i="1"/>
  <c r="H2738" i="1"/>
  <c r="I2738" i="1"/>
  <c r="J2738" i="1"/>
  <c r="K2738" i="1"/>
  <c r="L2738" i="1"/>
  <c r="M2738" i="1"/>
  <c r="N2738" i="1"/>
  <c r="A2739" i="1"/>
  <c r="B2739" i="1"/>
  <c r="F2739" i="1"/>
  <c r="G2739" i="1"/>
  <c r="H2739" i="1"/>
  <c r="I2739" i="1"/>
  <c r="J2739" i="1"/>
  <c r="K2739" i="1"/>
  <c r="L2739" i="1"/>
  <c r="M2739" i="1"/>
  <c r="N2739" i="1"/>
  <c r="A2740" i="1"/>
  <c r="B2740" i="1"/>
  <c r="F2740" i="1"/>
  <c r="G2740" i="1"/>
  <c r="H2740" i="1"/>
  <c r="I2740" i="1"/>
  <c r="J2740" i="1"/>
  <c r="K2740" i="1"/>
  <c r="L2740" i="1"/>
  <c r="M2740" i="1"/>
  <c r="N2740" i="1"/>
  <c r="A2741" i="1"/>
  <c r="B2741" i="1"/>
  <c r="F2741" i="1"/>
  <c r="G2741" i="1"/>
  <c r="H2741" i="1"/>
  <c r="I2741" i="1"/>
  <c r="J2741" i="1"/>
  <c r="K2741" i="1"/>
  <c r="L2741" i="1"/>
  <c r="M2741" i="1"/>
  <c r="N2741" i="1"/>
  <c r="A2742" i="1"/>
  <c r="B2742" i="1"/>
  <c r="F2742" i="1"/>
  <c r="G2742" i="1"/>
  <c r="H2742" i="1"/>
  <c r="I2742" i="1"/>
  <c r="J2742" i="1"/>
  <c r="K2742" i="1"/>
  <c r="L2742" i="1"/>
  <c r="M2742" i="1"/>
  <c r="N2742" i="1"/>
  <c r="A2743" i="1"/>
  <c r="B2743" i="1"/>
  <c r="F2743" i="1"/>
  <c r="G2743" i="1"/>
  <c r="H2743" i="1"/>
  <c r="I2743" i="1"/>
  <c r="J2743" i="1"/>
  <c r="K2743" i="1"/>
  <c r="L2743" i="1"/>
  <c r="M2743" i="1"/>
  <c r="N2743" i="1"/>
  <c r="A2744" i="1"/>
  <c r="B2744" i="1"/>
  <c r="F2744" i="1"/>
  <c r="G2744" i="1"/>
  <c r="H2744" i="1"/>
  <c r="I2744" i="1"/>
  <c r="J2744" i="1"/>
  <c r="K2744" i="1"/>
  <c r="L2744" i="1"/>
  <c r="M2744" i="1"/>
  <c r="N2744" i="1"/>
  <c r="A2745" i="1"/>
  <c r="B2745" i="1"/>
  <c r="F2745" i="1"/>
  <c r="G2745" i="1"/>
  <c r="H2745" i="1"/>
  <c r="I2745" i="1"/>
  <c r="J2745" i="1"/>
  <c r="K2745" i="1"/>
  <c r="L2745" i="1"/>
  <c r="M2745" i="1"/>
  <c r="N2745" i="1"/>
  <c r="A2746" i="1"/>
  <c r="B2746" i="1"/>
  <c r="F2746" i="1"/>
  <c r="G2746" i="1"/>
  <c r="H2746" i="1"/>
  <c r="I2746" i="1"/>
  <c r="J2746" i="1"/>
  <c r="K2746" i="1"/>
  <c r="L2746" i="1"/>
  <c r="M2746" i="1"/>
  <c r="N2746" i="1"/>
  <c r="A2747" i="1"/>
  <c r="B2747" i="1"/>
  <c r="F2747" i="1"/>
  <c r="G2747" i="1"/>
  <c r="H2747" i="1"/>
  <c r="I2747" i="1"/>
  <c r="J2747" i="1"/>
  <c r="K2747" i="1"/>
  <c r="L2747" i="1"/>
  <c r="M2747" i="1"/>
  <c r="N2747" i="1"/>
  <c r="A2748" i="1"/>
  <c r="B2748" i="1"/>
  <c r="F2748" i="1"/>
  <c r="G2748" i="1"/>
  <c r="H2748" i="1"/>
  <c r="I2748" i="1"/>
  <c r="J2748" i="1"/>
  <c r="K2748" i="1"/>
  <c r="L2748" i="1"/>
  <c r="M2748" i="1"/>
  <c r="N2748" i="1"/>
  <c r="A2749" i="1"/>
  <c r="B2749" i="1"/>
  <c r="F2749" i="1"/>
  <c r="G2749" i="1"/>
  <c r="H2749" i="1"/>
  <c r="I2749" i="1"/>
  <c r="J2749" i="1"/>
  <c r="K2749" i="1"/>
  <c r="L2749" i="1"/>
  <c r="M2749" i="1"/>
  <c r="N2749" i="1"/>
  <c r="A2750" i="1"/>
  <c r="B2750" i="1"/>
  <c r="F2750" i="1"/>
  <c r="G2750" i="1"/>
  <c r="H2750" i="1"/>
  <c r="I2750" i="1"/>
  <c r="J2750" i="1"/>
  <c r="K2750" i="1"/>
  <c r="L2750" i="1"/>
  <c r="M2750" i="1"/>
  <c r="N2750" i="1"/>
  <c r="A2751" i="1"/>
  <c r="B2751" i="1"/>
  <c r="F2751" i="1"/>
  <c r="G2751" i="1"/>
  <c r="H2751" i="1"/>
  <c r="I2751" i="1"/>
  <c r="J2751" i="1"/>
  <c r="K2751" i="1"/>
  <c r="L2751" i="1"/>
  <c r="M2751" i="1"/>
  <c r="N2751" i="1"/>
  <c r="A2752" i="1"/>
  <c r="B2752" i="1"/>
  <c r="F2752" i="1"/>
  <c r="G2752" i="1"/>
  <c r="H2752" i="1"/>
  <c r="I2752" i="1"/>
  <c r="J2752" i="1"/>
  <c r="K2752" i="1"/>
  <c r="L2752" i="1"/>
  <c r="M2752" i="1"/>
  <c r="N2752" i="1"/>
  <c r="A2753" i="1"/>
  <c r="B2753" i="1"/>
  <c r="F2753" i="1"/>
  <c r="G2753" i="1"/>
  <c r="H2753" i="1"/>
  <c r="I2753" i="1"/>
  <c r="J2753" i="1"/>
  <c r="K2753" i="1"/>
  <c r="L2753" i="1"/>
  <c r="M2753" i="1"/>
  <c r="N2753" i="1"/>
  <c r="A2754" i="1"/>
  <c r="B2754" i="1"/>
  <c r="F2754" i="1"/>
  <c r="G2754" i="1"/>
  <c r="H2754" i="1"/>
  <c r="I2754" i="1"/>
  <c r="J2754" i="1"/>
  <c r="K2754" i="1"/>
  <c r="L2754" i="1"/>
  <c r="M2754" i="1"/>
  <c r="N2754" i="1"/>
  <c r="A2755" i="1"/>
  <c r="B2755" i="1"/>
  <c r="F2755" i="1"/>
  <c r="G2755" i="1"/>
  <c r="H2755" i="1"/>
  <c r="I2755" i="1"/>
  <c r="J2755" i="1"/>
  <c r="K2755" i="1"/>
  <c r="L2755" i="1"/>
  <c r="M2755" i="1"/>
  <c r="N2755" i="1"/>
  <c r="A2756" i="1"/>
  <c r="B2756" i="1"/>
  <c r="F2756" i="1"/>
  <c r="G2756" i="1"/>
  <c r="H2756" i="1"/>
  <c r="I2756" i="1"/>
  <c r="J2756" i="1"/>
  <c r="K2756" i="1"/>
  <c r="L2756" i="1"/>
  <c r="M2756" i="1"/>
  <c r="N2756" i="1"/>
  <c r="A2757" i="1"/>
  <c r="B2757" i="1"/>
  <c r="F2757" i="1"/>
  <c r="G2757" i="1"/>
  <c r="H2757" i="1"/>
  <c r="I2757" i="1"/>
  <c r="J2757" i="1"/>
  <c r="K2757" i="1"/>
  <c r="L2757" i="1"/>
  <c r="M2757" i="1"/>
  <c r="N2757" i="1"/>
  <c r="A2758" i="1"/>
  <c r="B2758" i="1"/>
  <c r="F2758" i="1"/>
  <c r="G2758" i="1"/>
  <c r="H2758" i="1"/>
  <c r="I2758" i="1"/>
  <c r="J2758" i="1"/>
  <c r="K2758" i="1"/>
  <c r="L2758" i="1"/>
  <c r="M2758" i="1"/>
  <c r="N2758" i="1"/>
  <c r="A2759" i="1"/>
  <c r="B2759" i="1"/>
  <c r="F2759" i="1"/>
  <c r="G2759" i="1"/>
  <c r="H2759" i="1"/>
  <c r="I2759" i="1"/>
  <c r="J2759" i="1"/>
  <c r="K2759" i="1"/>
  <c r="L2759" i="1"/>
  <c r="M2759" i="1"/>
  <c r="N2759" i="1"/>
  <c r="A2760" i="1"/>
  <c r="B2760" i="1"/>
  <c r="F2760" i="1"/>
  <c r="G2760" i="1"/>
  <c r="H2760" i="1"/>
  <c r="I2760" i="1"/>
  <c r="J2760" i="1"/>
  <c r="K2760" i="1"/>
  <c r="L2760" i="1"/>
  <c r="M2760" i="1"/>
  <c r="N2760" i="1"/>
  <c r="A2761" i="1"/>
  <c r="B2761" i="1"/>
  <c r="F2761" i="1"/>
  <c r="G2761" i="1"/>
  <c r="H2761" i="1"/>
  <c r="I2761" i="1"/>
  <c r="J2761" i="1"/>
  <c r="K2761" i="1"/>
  <c r="L2761" i="1"/>
  <c r="M2761" i="1"/>
  <c r="N2761" i="1"/>
  <c r="A2762" i="1"/>
  <c r="B2762" i="1"/>
  <c r="F2762" i="1"/>
  <c r="G2762" i="1"/>
  <c r="H2762" i="1"/>
  <c r="I2762" i="1"/>
  <c r="J2762" i="1"/>
  <c r="K2762" i="1"/>
  <c r="L2762" i="1"/>
  <c r="M2762" i="1"/>
  <c r="N2762" i="1"/>
  <c r="A2763" i="1"/>
  <c r="B2763" i="1"/>
  <c r="F2763" i="1"/>
  <c r="G2763" i="1"/>
  <c r="H2763" i="1"/>
  <c r="I2763" i="1"/>
  <c r="J2763" i="1"/>
  <c r="K2763" i="1"/>
  <c r="L2763" i="1"/>
  <c r="M2763" i="1"/>
  <c r="N2763" i="1"/>
  <c r="A2764" i="1"/>
  <c r="B2764" i="1"/>
  <c r="F2764" i="1"/>
  <c r="G2764" i="1"/>
  <c r="H2764" i="1"/>
  <c r="I2764" i="1"/>
  <c r="J2764" i="1"/>
  <c r="K2764" i="1"/>
  <c r="L2764" i="1"/>
  <c r="M2764" i="1"/>
  <c r="N2764" i="1"/>
  <c r="A2765" i="1"/>
  <c r="B2765" i="1"/>
  <c r="F2765" i="1"/>
  <c r="G2765" i="1"/>
  <c r="H2765" i="1"/>
  <c r="I2765" i="1"/>
  <c r="J2765" i="1"/>
  <c r="K2765" i="1"/>
  <c r="L2765" i="1"/>
  <c r="M2765" i="1"/>
  <c r="N2765" i="1"/>
  <c r="A2766" i="1"/>
  <c r="B2766" i="1"/>
  <c r="F2766" i="1"/>
  <c r="G2766" i="1"/>
  <c r="H2766" i="1"/>
  <c r="I2766" i="1"/>
  <c r="J2766" i="1"/>
  <c r="K2766" i="1"/>
  <c r="L2766" i="1"/>
  <c r="M2766" i="1"/>
  <c r="N2766" i="1"/>
  <c r="A2767" i="1"/>
  <c r="B2767" i="1"/>
  <c r="F2767" i="1"/>
  <c r="G2767" i="1"/>
  <c r="H2767" i="1"/>
  <c r="I2767" i="1"/>
  <c r="J2767" i="1"/>
  <c r="K2767" i="1"/>
  <c r="L2767" i="1"/>
  <c r="M2767" i="1"/>
  <c r="N2767" i="1"/>
  <c r="A2768" i="1"/>
  <c r="B2768" i="1"/>
  <c r="F2768" i="1"/>
  <c r="G2768" i="1"/>
  <c r="H2768" i="1"/>
  <c r="I2768" i="1"/>
  <c r="J2768" i="1"/>
  <c r="K2768" i="1"/>
  <c r="L2768" i="1"/>
  <c r="M2768" i="1"/>
  <c r="N2768" i="1"/>
  <c r="A2769" i="1"/>
  <c r="B2769" i="1"/>
  <c r="F2769" i="1"/>
  <c r="G2769" i="1"/>
  <c r="H2769" i="1"/>
  <c r="I2769" i="1"/>
  <c r="J2769" i="1"/>
  <c r="K2769" i="1"/>
  <c r="L2769" i="1"/>
  <c r="M2769" i="1"/>
  <c r="N2769" i="1"/>
  <c r="A2770" i="1"/>
  <c r="B2770" i="1"/>
  <c r="F2770" i="1"/>
  <c r="G2770" i="1"/>
  <c r="H2770" i="1"/>
  <c r="I2770" i="1"/>
  <c r="J2770" i="1"/>
  <c r="K2770" i="1"/>
  <c r="L2770" i="1"/>
  <c r="M2770" i="1"/>
  <c r="N2770" i="1"/>
  <c r="A2771" i="1"/>
  <c r="B2771" i="1"/>
  <c r="F2771" i="1"/>
  <c r="G2771" i="1"/>
  <c r="H2771" i="1"/>
  <c r="I2771" i="1"/>
  <c r="J2771" i="1"/>
  <c r="K2771" i="1"/>
  <c r="L2771" i="1"/>
  <c r="M2771" i="1"/>
  <c r="N2771" i="1"/>
  <c r="A2772" i="1"/>
  <c r="B2772" i="1"/>
  <c r="F2772" i="1"/>
  <c r="G2772" i="1"/>
  <c r="H2772" i="1"/>
  <c r="I2772" i="1"/>
  <c r="J2772" i="1"/>
  <c r="K2772" i="1"/>
  <c r="L2772" i="1"/>
  <c r="M2772" i="1"/>
  <c r="N2772" i="1"/>
  <c r="A2773" i="1"/>
  <c r="B2773" i="1"/>
  <c r="F2773" i="1"/>
  <c r="G2773" i="1"/>
  <c r="H2773" i="1"/>
  <c r="I2773" i="1"/>
  <c r="J2773" i="1"/>
  <c r="K2773" i="1"/>
  <c r="L2773" i="1"/>
  <c r="M2773" i="1"/>
  <c r="N2773" i="1"/>
  <c r="A2774" i="1"/>
  <c r="B2774" i="1"/>
  <c r="F2774" i="1"/>
  <c r="G2774" i="1"/>
  <c r="H2774" i="1"/>
  <c r="I2774" i="1"/>
  <c r="J2774" i="1"/>
  <c r="K2774" i="1"/>
  <c r="L2774" i="1"/>
  <c r="M2774" i="1"/>
  <c r="N2774" i="1"/>
  <c r="A2775" i="1"/>
  <c r="B2775" i="1"/>
  <c r="F2775" i="1"/>
  <c r="G2775" i="1"/>
  <c r="H2775" i="1"/>
  <c r="I2775" i="1"/>
  <c r="J2775" i="1"/>
  <c r="K2775" i="1"/>
  <c r="L2775" i="1"/>
  <c r="M2775" i="1"/>
  <c r="N2775" i="1"/>
  <c r="A2776" i="1"/>
  <c r="B2776" i="1"/>
  <c r="F2776" i="1"/>
  <c r="G2776" i="1"/>
  <c r="H2776" i="1"/>
  <c r="I2776" i="1"/>
  <c r="J2776" i="1"/>
  <c r="K2776" i="1"/>
  <c r="L2776" i="1"/>
  <c r="M2776" i="1"/>
  <c r="N2776" i="1"/>
  <c r="A2777" i="1"/>
  <c r="B2777" i="1"/>
  <c r="F2777" i="1"/>
  <c r="G2777" i="1"/>
  <c r="H2777" i="1"/>
  <c r="I2777" i="1"/>
  <c r="J2777" i="1"/>
  <c r="K2777" i="1"/>
  <c r="L2777" i="1"/>
  <c r="M2777" i="1"/>
  <c r="N2777" i="1"/>
  <c r="A2778" i="1"/>
  <c r="B2778" i="1"/>
  <c r="F2778" i="1"/>
  <c r="G2778" i="1"/>
  <c r="H2778" i="1"/>
  <c r="I2778" i="1"/>
  <c r="J2778" i="1"/>
  <c r="K2778" i="1"/>
  <c r="L2778" i="1"/>
  <c r="M2778" i="1"/>
  <c r="N2778" i="1"/>
  <c r="A2779" i="1"/>
  <c r="B2779" i="1"/>
  <c r="F2779" i="1"/>
  <c r="G2779" i="1"/>
  <c r="H2779" i="1"/>
  <c r="I2779" i="1"/>
  <c r="J2779" i="1"/>
  <c r="K2779" i="1"/>
  <c r="L2779" i="1"/>
  <c r="M2779" i="1"/>
  <c r="N2779" i="1"/>
  <c r="A2780" i="1"/>
  <c r="B2780" i="1"/>
  <c r="F2780" i="1"/>
  <c r="G2780" i="1"/>
  <c r="H2780" i="1"/>
  <c r="I2780" i="1"/>
  <c r="J2780" i="1"/>
  <c r="K2780" i="1"/>
  <c r="L2780" i="1"/>
  <c r="M2780" i="1"/>
  <c r="N2780" i="1"/>
  <c r="A2781" i="1"/>
  <c r="B2781" i="1"/>
  <c r="F2781" i="1"/>
  <c r="G2781" i="1"/>
  <c r="H2781" i="1"/>
  <c r="I2781" i="1"/>
  <c r="J2781" i="1"/>
  <c r="K2781" i="1"/>
  <c r="L2781" i="1"/>
  <c r="M2781" i="1"/>
  <c r="N2781" i="1"/>
  <c r="A2782" i="1"/>
  <c r="B2782" i="1"/>
  <c r="F2782" i="1"/>
  <c r="G2782" i="1"/>
  <c r="H2782" i="1"/>
  <c r="I2782" i="1"/>
  <c r="J2782" i="1"/>
  <c r="K2782" i="1"/>
  <c r="L2782" i="1"/>
  <c r="M2782" i="1"/>
  <c r="N2782" i="1"/>
  <c r="A2783" i="1"/>
  <c r="B2783" i="1"/>
  <c r="F2783" i="1"/>
  <c r="G2783" i="1"/>
  <c r="H2783" i="1"/>
  <c r="I2783" i="1"/>
  <c r="J2783" i="1"/>
  <c r="K2783" i="1"/>
  <c r="L2783" i="1"/>
  <c r="M2783" i="1"/>
  <c r="N2783" i="1"/>
  <c r="A2784" i="1"/>
  <c r="B2784" i="1"/>
  <c r="F2784" i="1"/>
  <c r="G2784" i="1"/>
  <c r="H2784" i="1"/>
  <c r="I2784" i="1"/>
  <c r="J2784" i="1"/>
  <c r="K2784" i="1"/>
  <c r="L2784" i="1"/>
  <c r="M2784" i="1"/>
  <c r="N2784" i="1"/>
  <c r="A2785" i="1"/>
  <c r="B2785" i="1"/>
  <c r="F2785" i="1"/>
  <c r="G2785" i="1"/>
  <c r="H2785" i="1"/>
  <c r="I2785" i="1"/>
  <c r="J2785" i="1"/>
  <c r="K2785" i="1"/>
  <c r="L2785" i="1"/>
  <c r="M2785" i="1"/>
  <c r="N2785" i="1"/>
  <c r="A2786" i="1"/>
  <c r="B2786" i="1"/>
  <c r="F2786" i="1"/>
  <c r="G2786" i="1"/>
  <c r="H2786" i="1"/>
  <c r="I2786" i="1"/>
  <c r="J2786" i="1"/>
  <c r="K2786" i="1"/>
  <c r="L2786" i="1"/>
  <c r="M2786" i="1"/>
  <c r="N2786" i="1"/>
  <c r="A2787" i="1"/>
  <c r="B2787" i="1"/>
  <c r="F2787" i="1"/>
  <c r="G2787" i="1"/>
  <c r="H2787" i="1"/>
  <c r="I2787" i="1"/>
  <c r="J2787" i="1"/>
  <c r="K2787" i="1"/>
  <c r="L2787" i="1"/>
  <c r="M2787" i="1"/>
  <c r="N2787" i="1"/>
  <c r="A2788" i="1"/>
  <c r="B2788" i="1"/>
  <c r="F2788" i="1"/>
  <c r="G2788" i="1"/>
  <c r="H2788" i="1"/>
  <c r="I2788" i="1"/>
  <c r="J2788" i="1"/>
  <c r="K2788" i="1"/>
  <c r="L2788" i="1"/>
  <c r="M2788" i="1"/>
  <c r="N2788" i="1"/>
  <c r="A2789" i="1"/>
  <c r="B2789" i="1"/>
  <c r="F2789" i="1"/>
  <c r="G2789" i="1"/>
  <c r="H2789" i="1"/>
  <c r="I2789" i="1"/>
  <c r="J2789" i="1"/>
  <c r="K2789" i="1"/>
  <c r="L2789" i="1"/>
  <c r="M2789" i="1"/>
  <c r="N2789" i="1"/>
  <c r="A2790" i="1"/>
  <c r="B2790" i="1"/>
  <c r="F2790" i="1"/>
  <c r="G2790" i="1"/>
  <c r="H2790" i="1"/>
  <c r="I2790" i="1"/>
  <c r="J2790" i="1"/>
  <c r="K2790" i="1"/>
  <c r="L2790" i="1"/>
  <c r="M2790" i="1"/>
  <c r="N2790" i="1"/>
  <c r="A2791" i="1"/>
  <c r="B2791" i="1"/>
  <c r="F2791" i="1"/>
  <c r="G2791" i="1"/>
  <c r="H2791" i="1"/>
  <c r="I2791" i="1"/>
  <c r="J2791" i="1"/>
  <c r="K2791" i="1"/>
  <c r="L2791" i="1"/>
  <c r="M2791" i="1"/>
  <c r="N2791" i="1"/>
  <c r="A2792" i="1"/>
  <c r="B2792" i="1"/>
  <c r="F2792" i="1"/>
  <c r="G2792" i="1"/>
  <c r="H2792" i="1"/>
  <c r="I2792" i="1"/>
  <c r="J2792" i="1"/>
  <c r="K2792" i="1"/>
  <c r="L2792" i="1"/>
  <c r="M2792" i="1"/>
  <c r="N2792" i="1"/>
  <c r="A2793" i="1"/>
  <c r="B2793" i="1"/>
  <c r="F2793" i="1"/>
  <c r="G2793" i="1"/>
  <c r="H2793" i="1"/>
  <c r="I2793" i="1"/>
  <c r="J2793" i="1"/>
  <c r="K2793" i="1"/>
  <c r="L2793" i="1"/>
  <c r="M2793" i="1"/>
  <c r="N2793" i="1"/>
  <c r="A2794" i="1"/>
  <c r="B2794" i="1"/>
  <c r="F2794" i="1"/>
  <c r="G2794" i="1"/>
  <c r="H2794" i="1"/>
  <c r="I2794" i="1"/>
  <c r="J2794" i="1"/>
  <c r="K2794" i="1"/>
  <c r="L2794" i="1"/>
  <c r="M2794" i="1"/>
  <c r="N2794" i="1"/>
  <c r="A2795" i="1"/>
  <c r="B2795" i="1"/>
  <c r="F2795" i="1"/>
  <c r="G2795" i="1"/>
  <c r="H2795" i="1"/>
  <c r="I2795" i="1"/>
  <c r="J2795" i="1"/>
  <c r="K2795" i="1"/>
  <c r="L2795" i="1"/>
  <c r="M2795" i="1"/>
  <c r="N2795" i="1"/>
  <c r="A2796" i="1"/>
  <c r="B2796" i="1"/>
  <c r="F2796" i="1"/>
  <c r="G2796" i="1"/>
  <c r="H2796" i="1"/>
  <c r="I2796" i="1"/>
  <c r="J2796" i="1"/>
  <c r="K2796" i="1"/>
  <c r="L2796" i="1"/>
  <c r="M2796" i="1"/>
  <c r="N2796" i="1"/>
  <c r="A2797" i="1"/>
  <c r="B2797" i="1"/>
  <c r="F2797" i="1"/>
  <c r="G2797" i="1"/>
  <c r="H2797" i="1"/>
  <c r="I2797" i="1"/>
  <c r="J2797" i="1"/>
  <c r="K2797" i="1"/>
  <c r="L2797" i="1"/>
  <c r="M2797" i="1"/>
  <c r="N2797" i="1"/>
  <c r="A2798" i="1"/>
  <c r="B2798" i="1"/>
  <c r="F2798" i="1"/>
  <c r="G2798" i="1"/>
  <c r="H2798" i="1"/>
  <c r="I2798" i="1"/>
  <c r="J2798" i="1"/>
  <c r="K2798" i="1"/>
  <c r="L2798" i="1"/>
  <c r="M2798" i="1"/>
  <c r="N2798" i="1"/>
  <c r="A2799" i="1"/>
  <c r="B2799" i="1"/>
  <c r="F2799" i="1"/>
  <c r="G2799" i="1"/>
  <c r="H2799" i="1"/>
  <c r="I2799" i="1"/>
  <c r="J2799" i="1"/>
  <c r="K2799" i="1"/>
  <c r="L2799" i="1"/>
  <c r="M2799" i="1"/>
  <c r="N2799" i="1"/>
  <c r="A2800" i="1"/>
  <c r="B2800" i="1"/>
  <c r="F2800" i="1"/>
  <c r="G2800" i="1"/>
  <c r="H2800" i="1"/>
  <c r="I2800" i="1"/>
  <c r="J2800" i="1"/>
  <c r="K2800" i="1"/>
  <c r="L2800" i="1"/>
  <c r="M2800" i="1"/>
  <c r="N2800" i="1"/>
  <c r="A2801" i="1"/>
  <c r="B2801" i="1"/>
  <c r="F2801" i="1"/>
  <c r="G2801" i="1"/>
  <c r="H2801" i="1"/>
  <c r="I2801" i="1"/>
  <c r="J2801" i="1"/>
  <c r="K2801" i="1"/>
  <c r="L2801" i="1"/>
  <c r="M2801" i="1"/>
  <c r="N2801" i="1"/>
  <c r="A2802" i="1"/>
  <c r="B2802" i="1"/>
  <c r="F2802" i="1"/>
  <c r="G2802" i="1"/>
  <c r="H2802" i="1"/>
  <c r="I2802" i="1"/>
  <c r="J2802" i="1"/>
  <c r="K2802" i="1"/>
  <c r="L2802" i="1"/>
  <c r="M2802" i="1"/>
  <c r="N2802" i="1"/>
  <c r="A2803" i="1"/>
  <c r="B2803" i="1"/>
  <c r="F2803" i="1"/>
  <c r="G2803" i="1"/>
  <c r="H2803" i="1"/>
  <c r="I2803" i="1"/>
  <c r="J2803" i="1"/>
  <c r="K2803" i="1"/>
  <c r="L2803" i="1"/>
  <c r="M2803" i="1"/>
  <c r="N2803" i="1"/>
  <c r="A2804" i="1"/>
  <c r="B2804" i="1"/>
  <c r="F2804" i="1"/>
  <c r="G2804" i="1"/>
  <c r="H2804" i="1"/>
  <c r="I2804" i="1"/>
  <c r="J2804" i="1"/>
  <c r="K2804" i="1"/>
  <c r="L2804" i="1"/>
  <c r="M2804" i="1"/>
  <c r="N2804" i="1"/>
  <c r="A2805" i="1"/>
  <c r="B2805" i="1"/>
  <c r="F2805" i="1"/>
  <c r="G2805" i="1"/>
  <c r="H2805" i="1"/>
  <c r="I2805" i="1"/>
  <c r="J2805" i="1"/>
  <c r="K2805" i="1"/>
  <c r="L2805" i="1"/>
  <c r="M2805" i="1"/>
  <c r="N2805" i="1"/>
  <c r="A2806" i="1"/>
  <c r="B2806" i="1"/>
  <c r="F2806" i="1"/>
  <c r="G2806" i="1"/>
  <c r="H2806" i="1"/>
  <c r="I2806" i="1"/>
  <c r="J2806" i="1"/>
  <c r="K2806" i="1"/>
  <c r="L2806" i="1"/>
  <c r="M2806" i="1"/>
  <c r="N2806" i="1"/>
  <c r="A2807" i="1"/>
  <c r="B2807" i="1"/>
  <c r="F2807" i="1"/>
  <c r="G2807" i="1"/>
  <c r="H2807" i="1"/>
  <c r="I2807" i="1"/>
  <c r="J2807" i="1"/>
  <c r="K2807" i="1"/>
  <c r="L2807" i="1"/>
  <c r="M2807" i="1"/>
  <c r="N2807" i="1"/>
  <c r="A2808" i="1"/>
  <c r="B2808" i="1"/>
  <c r="F2808" i="1"/>
  <c r="G2808" i="1"/>
  <c r="H2808" i="1"/>
  <c r="I2808" i="1"/>
  <c r="J2808" i="1"/>
  <c r="K2808" i="1"/>
  <c r="L2808" i="1"/>
  <c r="M2808" i="1"/>
  <c r="N2808" i="1"/>
  <c r="A2809" i="1"/>
  <c r="B2809" i="1"/>
  <c r="F2809" i="1"/>
  <c r="G2809" i="1"/>
  <c r="H2809" i="1"/>
  <c r="I2809" i="1"/>
  <c r="J2809" i="1"/>
  <c r="K2809" i="1"/>
  <c r="L2809" i="1"/>
  <c r="M2809" i="1"/>
  <c r="N2809" i="1"/>
  <c r="A2810" i="1"/>
  <c r="B2810" i="1"/>
  <c r="F2810" i="1"/>
  <c r="G2810" i="1"/>
  <c r="H2810" i="1"/>
  <c r="I2810" i="1"/>
  <c r="J2810" i="1"/>
  <c r="K2810" i="1"/>
  <c r="L2810" i="1"/>
  <c r="M2810" i="1"/>
  <c r="N2810" i="1"/>
  <c r="A2811" i="1"/>
  <c r="B2811" i="1"/>
  <c r="F2811" i="1"/>
  <c r="G2811" i="1"/>
  <c r="H2811" i="1"/>
  <c r="I2811" i="1"/>
  <c r="J2811" i="1"/>
  <c r="K2811" i="1"/>
  <c r="L2811" i="1"/>
  <c r="M2811" i="1"/>
  <c r="N2811" i="1"/>
  <c r="A2812" i="1"/>
  <c r="B2812" i="1"/>
  <c r="F2812" i="1"/>
  <c r="G2812" i="1"/>
  <c r="H2812" i="1"/>
  <c r="I2812" i="1"/>
  <c r="J2812" i="1"/>
  <c r="K2812" i="1"/>
  <c r="L2812" i="1"/>
  <c r="M2812" i="1"/>
  <c r="N2812" i="1"/>
  <c r="A2813" i="1"/>
  <c r="B2813" i="1"/>
  <c r="F2813" i="1"/>
  <c r="G2813" i="1"/>
  <c r="H2813" i="1"/>
  <c r="I2813" i="1"/>
  <c r="J2813" i="1"/>
  <c r="K2813" i="1"/>
  <c r="L2813" i="1"/>
  <c r="M2813" i="1"/>
  <c r="N2813" i="1"/>
  <c r="A2814" i="1"/>
  <c r="B2814" i="1"/>
  <c r="F2814" i="1"/>
  <c r="G2814" i="1"/>
  <c r="H2814" i="1"/>
  <c r="I2814" i="1"/>
  <c r="J2814" i="1"/>
  <c r="K2814" i="1"/>
  <c r="L2814" i="1"/>
  <c r="M2814" i="1"/>
  <c r="N2814" i="1"/>
  <c r="A2815" i="1"/>
  <c r="B2815" i="1"/>
  <c r="F2815" i="1"/>
  <c r="G2815" i="1"/>
  <c r="H2815" i="1"/>
  <c r="I2815" i="1"/>
  <c r="J2815" i="1"/>
  <c r="K2815" i="1"/>
  <c r="L2815" i="1"/>
  <c r="M2815" i="1"/>
  <c r="N2815" i="1"/>
  <c r="A2816" i="1"/>
  <c r="B2816" i="1"/>
  <c r="F2816" i="1"/>
  <c r="G2816" i="1"/>
  <c r="H2816" i="1"/>
  <c r="I2816" i="1"/>
  <c r="J2816" i="1"/>
  <c r="K2816" i="1"/>
  <c r="L2816" i="1"/>
  <c r="M2816" i="1"/>
  <c r="N2816" i="1"/>
  <c r="A2817" i="1"/>
  <c r="B2817" i="1"/>
  <c r="F2817" i="1"/>
  <c r="G2817" i="1"/>
  <c r="H2817" i="1"/>
  <c r="I2817" i="1"/>
  <c r="J2817" i="1"/>
  <c r="K2817" i="1"/>
  <c r="L2817" i="1"/>
  <c r="M2817" i="1"/>
  <c r="N2817" i="1"/>
  <c r="A2818" i="1"/>
  <c r="B2818" i="1"/>
  <c r="F2818" i="1"/>
  <c r="G2818" i="1"/>
  <c r="H2818" i="1"/>
  <c r="I2818" i="1"/>
  <c r="J2818" i="1"/>
  <c r="K2818" i="1"/>
  <c r="L2818" i="1"/>
  <c r="M2818" i="1"/>
  <c r="N2818" i="1"/>
  <c r="A2819" i="1"/>
  <c r="B2819" i="1"/>
  <c r="F2819" i="1"/>
  <c r="G2819" i="1"/>
  <c r="H2819" i="1"/>
  <c r="I2819" i="1"/>
  <c r="J2819" i="1"/>
  <c r="K2819" i="1"/>
  <c r="L2819" i="1"/>
  <c r="M2819" i="1"/>
  <c r="N2819" i="1"/>
  <c r="A2820" i="1"/>
  <c r="B2820" i="1"/>
  <c r="F2820" i="1"/>
  <c r="G2820" i="1"/>
  <c r="H2820" i="1"/>
  <c r="I2820" i="1"/>
  <c r="J2820" i="1"/>
  <c r="K2820" i="1"/>
  <c r="L2820" i="1"/>
  <c r="M2820" i="1"/>
  <c r="N2820" i="1"/>
  <c r="A2821" i="1"/>
  <c r="B2821" i="1"/>
  <c r="F2821" i="1"/>
  <c r="G2821" i="1"/>
  <c r="H2821" i="1"/>
  <c r="I2821" i="1"/>
  <c r="J2821" i="1"/>
  <c r="K2821" i="1"/>
  <c r="L2821" i="1"/>
  <c r="M2821" i="1"/>
  <c r="N2821" i="1"/>
  <c r="A2822" i="1"/>
  <c r="B2822" i="1"/>
  <c r="F2822" i="1"/>
  <c r="G2822" i="1"/>
  <c r="H2822" i="1"/>
  <c r="I2822" i="1"/>
  <c r="J2822" i="1"/>
  <c r="K2822" i="1"/>
  <c r="L2822" i="1"/>
  <c r="M2822" i="1"/>
  <c r="N2822" i="1"/>
  <c r="A2823" i="1"/>
  <c r="B2823" i="1"/>
  <c r="F2823" i="1"/>
  <c r="G2823" i="1"/>
  <c r="H2823" i="1"/>
  <c r="I2823" i="1"/>
  <c r="J2823" i="1"/>
  <c r="K2823" i="1"/>
  <c r="L2823" i="1"/>
  <c r="M2823" i="1"/>
  <c r="N2823" i="1"/>
  <c r="A2824" i="1"/>
  <c r="B2824" i="1"/>
  <c r="F2824" i="1"/>
  <c r="G2824" i="1"/>
  <c r="H2824" i="1"/>
  <c r="I2824" i="1"/>
  <c r="J2824" i="1"/>
  <c r="K2824" i="1"/>
  <c r="L2824" i="1"/>
  <c r="M2824" i="1"/>
  <c r="N2824" i="1"/>
  <c r="A2825" i="1"/>
  <c r="B2825" i="1"/>
  <c r="F2825" i="1"/>
  <c r="G2825" i="1"/>
  <c r="H2825" i="1"/>
  <c r="I2825" i="1"/>
  <c r="J2825" i="1"/>
  <c r="K2825" i="1"/>
  <c r="L2825" i="1"/>
  <c r="M2825" i="1"/>
  <c r="N2825" i="1"/>
  <c r="A2826" i="1"/>
  <c r="B2826" i="1"/>
  <c r="F2826" i="1"/>
  <c r="G2826" i="1"/>
  <c r="H2826" i="1"/>
  <c r="I2826" i="1"/>
  <c r="J2826" i="1"/>
  <c r="K2826" i="1"/>
  <c r="L2826" i="1"/>
  <c r="M2826" i="1"/>
  <c r="N2826" i="1"/>
  <c r="A2827" i="1"/>
  <c r="B2827" i="1"/>
  <c r="F2827" i="1"/>
  <c r="G2827" i="1"/>
  <c r="H2827" i="1"/>
  <c r="I2827" i="1"/>
  <c r="J2827" i="1"/>
  <c r="K2827" i="1"/>
  <c r="L2827" i="1"/>
  <c r="M2827" i="1"/>
  <c r="N2827" i="1"/>
  <c r="A2828" i="1"/>
  <c r="B2828" i="1"/>
  <c r="F2828" i="1"/>
  <c r="G2828" i="1"/>
  <c r="H2828" i="1"/>
  <c r="I2828" i="1"/>
  <c r="J2828" i="1"/>
  <c r="K2828" i="1"/>
  <c r="L2828" i="1"/>
  <c r="M2828" i="1"/>
  <c r="N2828" i="1"/>
  <c r="A2829" i="1"/>
  <c r="B2829" i="1"/>
  <c r="F2829" i="1"/>
  <c r="G2829" i="1"/>
  <c r="H2829" i="1"/>
  <c r="I2829" i="1"/>
  <c r="J2829" i="1"/>
  <c r="K2829" i="1"/>
  <c r="L2829" i="1"/>
  <c r="M2829" i="1"/>
  <c r="N2829" i="1"/>
  <c r="A2830" i="1"/>
  <c r="B2830" i="1"/>
  <c r="F2830" i="1"/>
  <c r="G2830" i="1"/>
  <c r="H2830" i="1"/>
  <c r="I2830" i="1"/>
  <c r="J2830" i="1"/>
  <c r="K2830" i="1"/>
  <c r="L2830" i="1"/>
  <c r="M2830" i="1"/>
  <c r="N2830" i="1"/>
  <c r="A2831" i="1"/>
  <c r="B2831" i="1"/>
  <c r="F2831" i="1"/>
  <c r="G2831" i="1"/>
  <c r="H2831" i="1"/>
  <c r="I2831" i="1"/>
  <c r="J2831" i="1"/>
  <c r="K2831" i="1"/>
  <c r="L2831" i="1"/>
  <c r="M2831" i="1"/>
  <c r="N2831" i="1"/>
  <c r="A2832" i="1"/>
  <c r="B2832" i="1"/>
  <c r="F2832" i="1"/>
  <c r="G2832" i="1"/>
  <c r="H2832" i="1"/>
  <c r="I2832" i="1"/>
  <c r="J2832" i="1"/>
  <c r="K2832" i="1"/>
  <c r="L2832" i="1"/>
  <c r="M2832" i="1"/>
  <c r="N2832" i="1"/>
  <c r="A2833" i="1"/>
  <c r="B2833" i="1"/>
  <c r="F2833" i="1"/>
  <c r="G2833" i="1"/>
  <c r="H2833" i="1"/>
  <c r="I2833" i="1"/>
  <c r="J2833" i="1"/>
  <c r="K2833" i="1"/>
  <c r="L2833" i="1"/>
  <c r="M2833" i="1"/>
  <c r="N2833" i="1"/>
  <c r="A2834" i="1"/>
  <c r="B2834" i="1"/>
  <c r="F2834" i="1"/>
  <c r="G2834" i="1"/>
  <c r="H2834" i="1"/>
  <c r="I2834" i="1"/>
  <c r="J2834" i="1"/>
  <c r="K2834" i="1"/>
  <c r="L2834" i="1"/>
  <c r="M2834" i="1"/>
  <c r="N2834" i="1"/>
  <c r="A2835" i="1"/>
  <c r="B2835" i="1"/>
  <c r="F2835" i="1"/>
  <c r="G2835" i="1"/>
  <c r="H2835" i="1"/>
  <c r="I2835" i="1"/>
  <c r="J2835" i="1"/>
  <c r="K2835" i="1"/>
  <c r="L2835" i="1"/>
  <c r="M2835" i="1"/>
  <c r="N2835" i="1"/>
  <c r="A2836" i="1"/>
  <c r="B2836" i="1"/>
  <c r="F2836" i="1"/>
  <c r="G2836" i="1"/>
  <c r="H2836" i="1"/>
  <c r="I2836" i="1"/>
  <c r="J2836" i="1"/>
  <c r="K2836" i="1"/>
  <c r="L2836" i="1"/>
  <c r="M2836" i="1"/>
  <c r="N2836" i="1"/>
  <c r="A2837" i="1"/>
  <c r="B2837" i="1"/>
  <c r="F2837" i="1"/>
  <c r="G2837" i="1"/>
  <c r="H2837" i="1"/>
  <c r="I2837" i="1"/>
  <c r="J2837" i="1"/>
  <c r="K2837" i="1"/>
  <c r="L2837" i="1"/>
  <c r="M2837" i="1"/>
  <c r="N2837" i="1"/>
  <c r="A2838" i="1"/>
  <c r="B2838" i="1"/>
  <c r="F2838" i="1"/>
  <c r="G2838" i="1"/>
  <c r="H2838" i="1"/>
  <c r="I2838" i="1"/>
  <c r="J2838" i="1"/>
  <c r="K2838" i="1"/>
  <c r="L2838" i="1"/>
  <c r="M2838" i="1"/>
  <c r="N2838" i="1"/>
  <c r="A2839" i="1"/>
  <c r="B2839" i="1"/>
  <c r="F2839" i="1"/>
  <c r="G2839" i="1"/>
  <c r="H2839" i="1"/>
  <c r="I2839" i="1"/>
  <c r="J2839" i="1"/>
  <c r="K2839" i="1"/>
  <c r="L2839" i="1"/>
  <c r="M2839" i="1"/>
  <c r="N2839" i="1"/>
  <c r="A2840" i="1"/>
  <c r="B2840" i="1"/>
  <c r="F2840" i="1"/>
  <c r="G2840" i="1"/>
  <c r="H2840" i="1"/>
  <c r="I2840" i="1"/>
  <c r="J2840" i="1"/>
  <c r="K2840" i="1"/>
  <c r="L2840" i="1"/>
  <c r="M2840" i="1"/>
  <c r="N2840" i="1"/>
  <c r="A2841" i="1"/>
  <c r="B2841" i="1"/>
  <c r="F2841" i="1"/>
  <c r="G2841" i="1"/>
  <c r="H2841" i="1"/>
  <c r="I2841" i="1"/>
  <c r="J2841" i="1"/>
  <c r="K2841" i="1"/>
  <c r="L2841" i="1"/>
  <c r="M2841" i="1"/>
  <c r="N2841" i="1"/>
  <c r="A2842" i="1"/>
  <c r="B2842" i="1"/>
  <c r="F2842" i="1"/>
  <c r="G2842" i="1"/>
  <c r="H2842" i="1"/>
  <c r="I2842" i="1"/>
  <c r="J2842" i="1"/>
  <c r="K2842" i="1"/>
  <c r="L2842" i="1"/>
  <c r="M2842" i="1"/>
  <c r="N2842" i="1"/>
  <c r="A2843" i="1"/>
  <c r="B2843" i="1"/>
  <c r="F2843" i="1"/>
  <c r="G2843" i="1"/>
  <c r="H2843" i="1"/>
  <c r="I2843" i="1"/>
  <c r="J2843" i="1"/>
  <c r="K2843" i="1"/>
  <c r="L2843" i="1"/>
  <c r="M2843" i="1"/>
  <c r="N2843" i="1"/>
  <c r="A2844" i="1"/>
  <c r="B2844" i="1"/>
  <c r="F2844" i="1"/>
  <c r="G2844" i="1"/>
  <c r="H2844" i="1"/>
  <c r="I2844" i="1"/>
  <c r="J2844" i="1"/>
  <c r="K2844" i="1"/>
  <c r="L2844" i="1"/>
  <c r="M2844" i="1"/>
  <c r="N2844" i="1"/>
  <c r="A2845" i="1"/>
  <c r="B2845" i="1"/>
  <c r="F2845" i="1"/>
  <c r="G2845" i="1"/>
  <c r="H2845" i="1"/>
  <c r="I2845" i="1"/>
  <c r="J2845" i="1"/>
  <c r="K2845" i="1"/>
  <c r="L2845" i="1"/>
  <c r="M2845" i="1"/>
  <c r="N2845" i="1"/>
  <c r="A2846" i="1"/>
  <c r="B2846" i="1"/>
  <c r="F2846" i="1"/>
  <c r="G2846" i="1"/>
  <c r="H2846" i="1"/>
  <c r="I2846" i="1"/>
  <c r="J2846" i="1"/>
  <c r="K2846" i="1"/>
  <c r="L2846" i="1"/>
  <c r="M2846" i="1"/>
  <c r="N2846" i="1"/>
  <c r="A2847" i="1"/>
  <c r="B2847" i="1"/>
  <c r="F2847" i="1"/>
  <c r="G2847" i="1"/>
  <c r="H2847" i="1"/>
  <c r="I2847" i="1"/>
  <c r="J2847" i="1"/>
  <c r="K2847" i="1"/>
  <c r="L2847" i="1"/>
  <c r="M2847" i="1"/>
  <c r="N2847" i="1"/>
  <c r="A2848" i="1"/>
  <c r="B2848" i="1"/>
  <c r="F2848" i="1"/>
  <c r="G2848" i="1"/>
  <c r="H2848" i="1"/>
  <c r="I2848" i="1"/>
  <c r="J2848" i="1"/>
  <c r="K2848" i="1"/>
  <c r="L2848" i="1"/>
  <c r="M2848" i="1"/>
  <c r="N2848" i="1"/>
  <c r="A2849" i="1"/>
  <c r="B2849" i="1"/>
  <c r="F2849" i="1"/>
  <c r="G2849" i="1"/>
  <c r="H2849" i="1"/>
  <c r="I2849" i="1"/>
  <c r="J2849" i="1"/>
  <c r="K2849" i="1"/>
  <c r="L2849" i="1"/>
  <c r="M2849" i="1"/>
  <c r="N2849" i="1"/>
  <c r="A2850" i="1"/>
  <c r="B2850" i="1"/>
  <c r="F2850" i="1"/>
  <c r="G2850" i="1"/>
  <c r="H2850" i="1"/>
  <c r="I2850" i="1"/>
  <c r="J2850" i="1"/>
  <c r="K2850" i="1"/>
  <c r="L2850" i="1"/>
  <c r="M2850" i="1"/>
  <c r="N2850" i="1"/>
  <c r="A2851" i="1"/>
  <c r="B2851" i="1"/>
  <c r="F2851" i="1"/>
  <c r="G2851" i="1"/>
  <c r="H2851" i="1"/>
  <c r="I2851" i="1"/>
  <c r="J2851" i="1"/>
  <c r="K2851" i="1"/>
  <c r="L2851" i="1"/>
  <c r="M2851" i="1"/>
  <c r="N2851" i="1"/>
  <c r="A2852" i="1"/>
  <c r="B2852" i="1"/>
  <c r="F2852" i="1"/>
  <c r="G2852" i="1"/>
  <c r="H2852" i="1"/>
  <c r="I2852" i="1"/>
  <c r="J2852" i="1"/>
  <c r="K2852" i="1"/>
  <c r="L2852" i="1"/>
  <c r="M2852" i="1"/>
  <c r="N2852" i="1"/>
  <c r="A2853" i="1"/>
  <c r="B2853" i="1"/>
  <c r="F2853" i="1"/>
  <c r="G2853" i="1"/>
  <c r="H2853" i="1"/>
  <c r="I2853" i="1"/>
  <c r="J2853" i="1"/>
  <c r="K2853" i="1"/>
  <c r="L2853" i="1"/>
  <c r="M2853" i="1"/>
  <c r="N2853" i="1"/>
  <c r="A2854" i="1"/>
  <c r="B2854" i="1"/>
  <c r="F2854" i="1"/>
  <c r="G2854" i="1"/>
  <c r="H2854" i="1"/>
  <c r="I2854" i="1"/>
  <c r="J2854" i="1"/>
  <c r="K2854" i="1"/>
  <c r="L2854" i="1"/>
  <c r="M2854" i="1"/>
  <c r="N2854" i="1"/>
  <c r="A2855" i="1"/>
  <c r="B2855" i="1"/>
  <c r="F2855" i="1"/>
  <c r="G2855" i="1"/>
  <c r="H2855" i="1"/>
  <c r="I2855" i="1"/>
  <c r="J2855" i="1"/>
  <c r="K2855" i="1"/>
  <c r="L2855" i="1"/>
  <c r="M2855" i="1"/>
  <c r="N2855" i="1"/>
  <c r="A2856" i="1"/>
  <c r="B2856" i="1"/>
  <c r="F2856" i="1"/>
  <c r="G2856" i="1"/>
  <c r="H2856" i="1"/>
  <c r="I2856" i="1"/>
  <c r="J2856" i="1"/>
  <c r="K2856" i="1"/>
  <c r="L2856" i="1"/>
  <c r="M2856" i="1"/>
  <c r="N2856" i="1"/>
  <c r="A2857" i="1"/>
  <c r="B2857" i="1"/>
  <c r="F2857" i="1"/>
  <c r="G2857" i="1"/>
  <c r="H2857" i="1"/>
  <c r="I2857" i="1"/>
  <c r="J2857" i="1"/>
  <c r="K2857" i="1"/>
  <c r="L2857" i="1"/>
  <c r="M2857" i="1"/>
  <c r="N2857" i="1"/>
  <c r="A2858" i="1"/>
  <c r="B2858" i="1"/>
  <c r="F2858" i="1"/>
  <c r="G2858" i="1"/>
  <c r="H2858" i="1"/>
  <c r="I2858" i="1"/>
  <c r="J2858" i="1"/>
  <c r="K2858" i="1"/>
  <c r="L2858" i="1"/>
  <c r="M2858" i="1"/>
  <c r="N2858" i="1"/>
  <c r="A2859" i="1"/>
  <c r="B2859" i="1"/>
  <c r="F2859" i="1"/>
  <c r="G2859" i="1"/>
  <c r="H2859" i="1"/>
  <c r="I2859" i="1"/>
  <c r="J2859" i="1"/>
  <c r="K2859" i="1"/>
  <c r="L2859" i="1"/>
  <c r="M2859" i="1"/>
  <c r="N2859" i="1"/>
  <c r="A2860" i="1"/>
  <c r="B2860" i="1"/>
  <c r="F2860" i="1"/>
  <c r="G2860" i="1"/>
  <c r="H2860" i="1"/>
  <c r="I2860" i="1"/>
  <c r="J2860" i="1"/>
  <c r="K2860" i="1"/>
  <c r="L2860" i="1"/>
  <c r="M2860" i="1"/>
  <c r="N2860" i="1"/>
  <c r="A2861" i="1"/>
  <c r="B2861" i="1"/>
  <c r="F2861" i="1"/>
  <c r="G2861" i="1"/>
  <c r="H2861" i="1"/>
  <c r="I2861" i="1"/>
  <c r="J2861" i="1"/>
  <c r="K2861" i="1"/>
  <c r="L2861" i="1"/>
  <c r="M2861" i="1"/>
  <c r="N2861" i="1"/>
  <c r="A2862" i="1"/>
  <c r="B2862" i="1"/>
  <c r="F2862" i="1"/>
  <c r="G2862" i="1"/>
  <c r="H2862" i="1"/>
  <c r="I2862" i="1"/>
  <c r="J2862" i="1"/>
  <c r="K2862" i="1"/>
  <c r="L2862" i="1"/>
  <c r="M2862" i="1"/>
  <c r="N2862" i="1"/>
  <c r="A2863" i="1"/>
  <c r="B2863" i="1"/>
  <c r="F2863" i="1"/>
  <c r="G2863" i="1"/>
  <c r="H2863" i="1"/>
  <c r="I2863" i="1"/>
  <c r="J2863" i="1"/>
  <c r="K2863" i="1"/>
  <c r="L2863" i="1"/>
  <c r="M2863" i="1"/>
  <c r="N2863" i="1"/>
  <c r="A2864" i="1"/>
  <c r="B2864" i="1"/>
  <c r="F2864" i="1"/>
  <c r="G2864" i="1"/>
  <c r="H2864" i="1"/>
  <c r="I2864" i="1"/>
  <c r="J2864" i="1"/>
  <c r="K2864" i="1"/>
  <c r="L2864" i="1"/>
  <c r="M2864" i="1"/>
  <c r="N2864" i="1"/>
  <c r="A2865" i="1"/>
  <c r="B2865" i="1"/>
  <c r="F2865" i="1"/>
  <c r="G2865" i="1"/>
  <c r="H2865" i="1"/>
  <c r="I2865" i="1"/>
  <c r="J2865" i="1"/>
  <c r="K2865" i="1"/>
  <c r="L2865" i="1"/>
  <c r="M2865" i="1"/>
  <c r="N2865" i="1"/>
  <c r="A2866" i="1"/>
  <c r="B2866" i="1"/>
  <c r="F2866" i="1"/>
  <c r="G2866" i="1"/>
  <c r="H2866" i="1"/>
  <c r="I2866" i="1"/>
  <c r="J2866" i="1"/>
  <c r="K2866" i="1"/>
  <c r="L2866" i="1"/>
  <c r="M2866" i="1"/>
  <c r="N2866" i="1"/>
  <c r="A2867" i="1"/>
  <c r="B2867" i="1"/>
  <c r="F2867" i="1"/>
  <c r="G2867" i="1"/>
  <c r="H2867" i="1"/>
  <c r="I2867" i="1"/>
  <c r="J2867" i="1"/>
  <c r="K2867" i="1"/>
  <c r="L2867" i="1"/>
  <c r="M2867" i="1"/>
  <c r="N2867" i="1"/>
  <c r="A2868" i="1"/>
  <c r="B2868" i="1"/>
  <c r="F2868" i="1"/>
  <c r="G2868" i="1"/>
  <c r="H2868" i="1"/>
  <c r="I2868" i="1"/>
  <c r="J2868" i="1"/>
  <c r="K2868" i="1"/>
  <c r="L2868" i="1"/>
  <c r="M2868" i="1"/>
  <c r="N2868" i="1"/>
  <c r="A2869" i="1"/>
  <c r="B2869" i="1"/>
  <c r="F2869" i="1"/>
  <c r="G2869" i="1"/>
  <c r="H2869" i="1"/>
  <c r="I2869" i="1"/>
  <c r="J2869" i="1"/>
  <c r="K2869" i="1"/>
  <c r="L2869" i="1"/>
  <c r="M2869" i="1"/>
  <c r="N2869" i="1"/>
  <c r="A2870" i="1"/>
  <c r="B2870" i="1"/>
  <c r="F2870" i="1"/>
  <c r="G2870" i="1"/>
  <c r="H2870" i="1"/>
  <c r="I2870" i="1"/>
  <c r="J2870" i="1"/>
  <c r="K2870" i="1"/>
  <c r="L2870" i="1"/>
  <c r="M2870" i="1"/>
  <c r="N2870" i="1"/>
  <c r="A2871" i="1"/>
  <c r="B2871" i="1"/>
  <c r="F2871" i="1"/>
  <c r="G2871" i="1"/>
  <c r="H2871" i="1"/>
  <c r="I2871" i="1"/>
  <c r="J2871" i="1"/>
  <c r="K2871" i="1"/>
  <c r="L2871" i="1"/>
  <c r="M2871" i="1"/>
  <c r="N2871" i="1"/>
  <c r="A2872" i="1"/>
  <c r="B2872" i="1"/>
  <c r="F2872" i="1"/>
  <c r="G2872" i="1"/>
  <c r="H2872" i="1"/>
  <c r="I2872" i="1"/>
  <c r="J2872" i="1"/>
  <c r="K2872" i="1"/>
  <c r="L2872" i="1"/>
  <c r="M2872" i="1"/>
  <c r="N2872" i="1"/>
  <c r="A2873" i="1"/>
  <c r="B2873" i="1"/>
  <c r="F2873" i="1"/>
  <c r="G2873" i="1"/>
  <c r="H2873" i="1"/>
  <c r="I2873" i="1"/>
  <c r="J2873" i="1"/>
  <c r="K2873" i="1"/>
  <c r="L2873" i="1"/>
  <c r="M2873" i="1"/>
  <c r="N2873" i="1"/>
  <c r="A2874" i="1"/>
  <c r="B2874" i="1"/>
  <c r="F2874" i="1"/>
  <c r="G2874" i="1"/>
  <c r="H2874" i="1"/>
  <c r="I2874" i="1"/>
  <c r="J2874" i="1"/>
  <c r="K2874" i="1"/>
  <c r="L2874" i="1"/>
  <c r="M2874" i="1"/>
  <c r="N2874" i="1"/>
  <c r="A2875" i="1"/>
  <c r="B2875" i="1"/>
  <c r="F2875" i="1"/>
  <c r="G2875" i="1"/>
  <c r="H2875" i="1"/>
  <c r="I2875" i="1"/>
  <c r="J2875" i="1"/>
  <c r="K2875" i="1"/>
  <c r="L2875" i="1"/>
  <c r="M2875" i="1"/>
  <c r="N2875" i="1"/>
  <c r="A2876" i="1"/>
  <c r="B2876" i="1"/>
  <c r="F2876" i="1"/>
  <c r="G2876" i="1"/>
  <c r="H2876" i="1"/>
  <c r="I2876" i="1"/>
  <c r="J2876" i="1"/>
  <c r="K2876" i="1"/>
  <c r="L2876" i="1"/>
  <c r="M2876" i="1"/>
  <c r="N2876" i="1"/>
  <c r="A2877" i="1"/>
  <c r="B2877" i="1"/>
  <c r="F2877" i="1"/>
  <c r="G2877" i="1"/>
  <c r="H2877" i="1"/>
  <c r="I2877" i="1"/>
  <c r="J2877" i="1"/>
  <c r="K2877" i="1"/>
  <c r="L2877" i="1"/>
  <c r="M2877" i="1"/>
  <c r="N2877" i="1"/>
  <c r="A2878" i="1"/>
  <c r="B2878" i="1"/>
  <c r="F2878" i="1"/>
  <c r="G2878" i="1"/>
  <c r="H2878" i="1"/>
  <c r="I2878" i="1"/>
  <c r="J2878" i="1"/>
  <c r="K2878" i="1"/>
  <c r="L2878" i="1"/>
  <c r="M2878" i="1"/>
  <c r="N2878" i="1"/>
  <c r="A2879" i="1"/>
  <c r="B2879" i="1"/>
  <c r="F2879" i="1"/>
  <c r="G2879" i="1"/>
  <c r="H2879" i="1"/>
  <c r="I2879" i="1"/>
  <c r="J2879" i="1"/>
  <c r="K2879" i="1"/>
  <c r="L2879" i="1"/>
  <c r="M2879" i="1"/>
  <c r="N2879" i="1"/>
  <c r="A2880" i="1"/>
  <c r="B2880" i="1"/>
  <c r="F2880" i="1"/>
  <c r="G2880" i="1"/>
  <c r="H2880" i="1"/>
  <c r="I2880" i="1"/>
  <c r="J2880" i="1"/>
  <c r="K2880" i="1"/>
  <c r="L2880" i="1"/>
  <c r="M2880" i="1"/>
  <c r="N2880" i="1"/>
  <c r="A2881" i="1"/>
  <c r="B2881" i="1"/>
  <c r="F2881" i="1"/>
  <c r="G2881" i="1"/>
  <c r="H2881" i="1"/>
  <c r="I2881" i="1"/>
  <c r="J2881" i="1"/>
  <c r="K2881" i="1"/>
  <c r="L2881" i="1"/>
  <c r="M2881" i="1"/>
  <c r="N2881" i="1"/>
  <c r="A2882" i="1"/>
  <c r="B2882" i="1"/>
  <c r="F2882" i="1"/>
  <c r="G2882" i="1"/>
  <c r="H2882" i="1"/>
  <c r="I2882" i="1"/>
  <c r="J2882" i="1"/>
  <c r="K2882" i="1"/>
  <c r="L2882" i="1"/>
  <c r="M2882" i="1"/>
  <c r="N2882" i="1"/>
  <c r="A2883" i="1"/>
  <c r="B2883" i="1"/>
  <c r="F2883" i="1"/>
  <c r="G2883" i="1"/>
  <c r="H2883" i="1"/>
  <c r="I2883" i="1"/>
  <c r="J2883" i="1"/>
  <c r="K2883" i="1"/>
  <c r="L2883" i="1"/>
  <c r="M2883" i="1"/>
  <c r="N2883" i="1"/>
  <c r="A2884" i="1"/>
  <c r="B2884" i="1"/>
  <c r="F2884" i="1"/>
  <c r="G2884" i="1"/>
  <c r="H2884" i="1"/>
  <c r="I2884" i="1"/>
  <c r="J2884" i="1"/>
  <c r="K2884" i="1"/>
  <c r="L2884" i="1"/>
  <c r="M2884" i="1"/>
  <c r="N2884" i="1"/>
  <c r="A2885" i="1"/>
  <c r="B2885" i="1"/>
  <c r="F2885" i="1"/>
  <c r="G2885" i="1"/>
  <c r="H2885" i="1"/>
  <c r="I2885" i="1"/>
  <c r="J2885" i="1"/>
  <c r="K2885" i="1"/>
  <c r="L2885" i="1"/>
  <c r="M2885" i="1"/>
  <c r="N2885" i="1"/>
  <c r="A2886" i="1"/>
  <c r="B2886" i="1"/>
  <c r="F2886" i="1"/>
  <c r="G2886" i="1"/>
  <c r="H2886" i="1"/>
  <c r="I2886" i="1"/>
  <c r="J2886" i="1"/>
  <c r="K2886" i="1"/>
  <c r="L2886" i="1"/>
  <c r="M2886" i="1"/>
  <c r="N2886" i="1"/>
  <c r="A2887" i="1"/>
  <c r="B2887" i="1"/>
  <c r="F2887" i="1"/>
  <c r="G2887" i="1"/>
  <c r="H2887" i="1"/>
  <c r="I2887" i="1"/>
  <c r="J2887" i="1"/>
  <c r="K2887" i="1"/>
  <c r="L2887" i="1"/>
  <c r="M2887" i="1"/>
  <c r="N2887" i="1"/>
  <c r="A2888" i="1"/>
  <c r="B2888" i="1"/>
  <c r="F2888" i="1"/>
  <c r="G2888" i="1"/>
  <c r="H2888" i="1"/>
  <c r="I2888" i="1"/>
  <c r="J2888" i="1"/>
  <c r="K2888" i="1"/>
  <c r="L2888" i="1"/>
  <c r="M2888" i="1"/>
  <c r="N2888" i="1"/>
  <c r="A2889" i="1"/>
  <c r="B2889" i="1"/>
  <c r="F2889" i="1"/>
  <c r="G2889" i="1"/>
  <c r="H2889" i="1"/>
  <c r="I2889" i="1"/>
  <c r="J2889" i="1"/>
  <c r="K2889" i="1"/>
  <c r="L2889" i="1"/>
  <c r="M2889" i="1"/>
  <c r="N2889" i="1"/>
  <c r="A2890" i="1"/>
  <c r="B2890" i="1"/>
  <c r="F2890" i="1"/>
  <c r="G2890" i="1"/>
  <c r="H2890" i="1"/>
  <c r="I2890" i="1"/>
  <c r="J2890" i="1"/>
  <c r="K2890" i="1"/>
  <c r="L2890" i="1"/>
  <c r="M2890" i="1"/>
  <c r="N2890" i="1"/>
  <c r="A2891" i="1"/>
  <c r="B2891" i="1"/>
  <c r="F2891" i="1"/>
  <c r="G2891" i="1"/>
  <c r="H2891" i="1"/>
  <c r="I2891" i="1"/>
  <c r="J2891" i="1"/>
  <c r="K2891" i="1"/>
  <c r="L2891" i="1"/>
  <c r="M2891" i="1"/>
  <c r="N2891" i="1"/>
  <c r="A2892" i="1"/>
  <c r="B2892" i="1"/>
  <c r="F2892" i="1"/>
  <c r="G2892" i="1"/>
  <c r="H2892" i="1"/>
  <c r="I2892" i="1"/>
  <c r="J2892" i="1"/>
  <c r="K2892" i="1"/>
  <c r="L2892" i="1"/>
  <c r="M2892" i="1"/>
  <c r="N2892" i="1"/>
  <c r="A2893" i="1"/>
  <c r="B2893" i="1"/>
  <c r="F2893" i="1"/>
  <c r="G2893" i="1"/>
  <c r="H2893" i="1"/>
  <c r="I2893" i="1"/>
  <c r="J2893" i="1"/>
  <c r="K2893" i="1"/>
  <c r="L2893" i="1"/>
  <c r="M2893" i="1"/>
  <c r="N2893" i="1"/>
  <c r="A2894" i="1"/>
  <c r="B2894" i="1"/>
  <c r="F2894" i="1"/>
  <c r="G2894" i="1"/>
  <c r="H2894" i="1"/>
  <c r="I2894" i="1"/>
  <c r="J2894" i="1"/>
  <c r="K2894" i="1"/>
  <c r="L2894" i="1"/>
  <c r="M2894" i="1"/>
  <c r="N2894" i="1"/>
  <c r="A2895" i="1"/>
  <c r="B2895" i="1"/>
  <c r="F2895" i="1"/>
  <c r="G2895" i="1"/>
  <c r="H2895" i="1"/>
  <c r="I2895" i="1"/>
  <c r="J2895" i="1"/>
  <c r="K2895" i="1"/>
  <c r="L2895" i="1"/>
  <c r="M2895" i="1"/>
  <c r="N2895" i="1"/>
  <c r="A2896" i="1"/>
  <c r="B2896" i="1"/>
  <c r="F2896" i="1"/>
  <c r="G2896" i="1"/>
  <c r="H2896" i="1"/>
  <c r="I2896" i="1"/>
  <c r="J2896" i="1"/>
  <c r="K2896" i="1"/>
  <c r="L2896" i="1"/>
  <c r="M2896" i="1"/>
  <c r="N2896" i="1"/>
  <c r="A2897" i="1"/>
  <c r="B2897" i="1"/>
  <c r="F2897" i="1"/>
  <c r="G2897" i="1"/>
  <c r="H2897" i="1"/>
  <c r="I2897" i="1"/>
  <c r="J2897" i="1"/>
  <c r="K2897" i="1"/>
  <c r="L2897" i="1"/>
  <c r="M2897" i="1"/>
  <c r="N2897" i="1"/>
  <c r="A2898" i="1"/>
  <c r="B2898" i="1"/>
  <c r="F2898" i="1"/>
  <c r="G2898" i="1"/>
  <c r="H2898" i="1"/>
  <c r="I2898" i="1"/>
  <c r="J2898" i="1"/>
  <c r="K2898" i="1"/>
  <c r="L2898" i="1"/>
  <c r="M2898" i="1"/>
  <c r="N2898" i="1"/>
  <c r="A2899" i="1"/>
  <c r="B2899" i="1"/>
  <c r="F2899" i="1"/>
  <c r="G2899" i="1"/>
  <c r="H2899" i="1"/>
  <c r="I2899" i="1"/>
  <c r="J2899" i="1"/>
  <c r="K2899" i="1"/>
  <c r="L2899" i="1"/>
  <c r="M2899" i="1"/>
  <c r="N2899" i="1"/>
  <c r="A2900" i="1"/>
  <c r="B2900" i="1"/>
  <c r="F2900" i="1"/>
  <c r="G2900" i="1"/>
  <c r="H2900" i="1"/>
  <c r="I2900" i="1"/>
  <c r="J2900" i="1"/>
  <c r="K2900" i="1"/>
  <c r="L2900" i="1"/>
  <c r="M2900" i="1"/>
  <c r="N2900" i="1"/>
  <c r="A2901" i="1"/>
  <c r="B2901" i="1"/>
  <c r="F2901" i="1"/>
  <c r="G2901" i="1"/>
  <c r="H2901" i="1"/>
  <c r="I2901" i="1"/>
  <c r="J2901" i="1"/>
  <c r="K2901" i="1"/>
  <c r="L2901" i="1"/>
  <c r="M2901" i="1"/>
  <c r="N2901" i="1"/>
  <c r="A2902" i="1"/>
  <c r="B2902" i="1"/>
  <c r="F2902" i="1"/>
  <c r="G2902" i="1"/>
  <c r="H2902" i="1"/>
  <c r="I2902" i="1"/>
  <c r="J2902" i="1"/>
  <c r="K2902" i="1"/>
  <c r="L2902" i="1"/>
  <c r="M2902" i="1"/>
  <c r="N2902" i="1"/>
  <c r="A2903" i="1"/>
  <c r="B2903" i="1"/>
  <c r="F2903" i="1"/>
  <c r="G2903" i="1"/>
  <c r="H2903" i="1"/>
  <c r="I2903" i="1"/>
  <c r="J2903" i="1"/>
  <c r="K2903" i="1"/>
  <c r="L2903" i="1"/>
  <c r="M2903" i="1"/>
  <c r="N2903" i="1"/>
  <c r="A2904" i="1"/>
  <c r="B2904" i="1"/>
  <c r="F2904" i="1"/>
  <c r="G2904" i="1"/>
  <c r="H2904" i="1"/>
  <c r="I2904" i="1"/>
  <c r="J2904" i="1"/>
  <c r="K2904" i="1"/>
  <c r="L2904" i="1"/>
  <c r="M2904" i="1"/>
  <c r="N2904" i="1"/>
  <c r="A2905" i="1"/>
  <c r="B2905" i="1"/>
  <c r="F2905" i="1"/>
  <c r="G2905" i="1"/>
  <c r="H2905" i="1"/>
  <c r="I2905" i="1"/>
  <c r="J2905" i="1"/>
  <c r="K2905" i="1"/>
  <c r="L2905" i="1"/>
  <c r="M2905" i="1"/>
  <c r="N2905" i="1"/>
  <c r="A2906" i="1"/>
  <c r="B2906" i="1"/>
  <c r="F2906" i="1"/>
  <c r="G2906" i="1"/>
  <c r="H2906" i="1"/>
  <c r="I2906" i="1"/>
  <c r="J2906" i="1"/>
  <c r="K2906" i="1"/>
  <c r="L2906" i="1"/>
  <c r="M2906" i="1"/>
  <c r="N2906" i="1"/>
  <c r="A2907" i="1"/>
  <c r="B2907" i="1"/>
  <c r="F2907" i="1"/>
  <c r="G2907" i="1"/>
  <c r="H2907" i="1"/>
  <c r="I2907" i="1"/>
  <c r="J2907" i="1"/>
  <c r="K2907" i="1"/>
  <c r="L2907" i="1"/>
  <c r="M2907" i="1"/>
  <c r="N2907" i="1"/>
  <c r="A2908" i="1"/>
  <c r="B2908" i="1"/>
  <c r="F2908" i="1"/>
  <c r="G2908" i="1"/>
  <c r="H2908" i="1"/>
  <c r="I2908" i="1"/>
  <c r="J2908" i="1"/>
  <c r="K2908" i="1"/>
  <c r="L2908" i="1"/>
  <c r="M2908" i="1"/>
  <c r="N2908" i="1"/>
  <c r="A2909" i="1"/>
  <c r="B2909" i="1"/>
  <c r="F2909" i="1"/>
  <c r="G2909" i="1"/>
  <c r="H2909" i="1"/>
  <c r="I2909" i="1"/>
  <c r="J2909" i="1"/>
  <c r="K2909" i="1"/>
  <c r="L2909" i="1"/>
  <c r="M2909" i="1"/>
  <c r="N2909" i="1"/>
  <c r="A2910" i="1"/>
  <c r="B2910" i="1"/>
  <c r="F2910" i="1"/>
  <c r="G2910" i="1"/>
  <c r="H2910" i="1"/>
  <c r="I2910" i="1"/>
  <c r="J2910" i="1"/>
  <c r="K2910" i="1"/>
  <c r="L2910" i="1"/>
  <c r="M2910" i="1"/>
  <c r="N2910" i="1"/>
  <c r="A2911" i="1"/>
  <c r="B2911" i="1"/>
  <c r="F2911" i="1"/>
  <c r="G2911" i="1"/>
  <c r="H2911" i="1"/>
  <c r="I2911" i="1"/>
  <c r="J2911" i="1"/>
  <c r="K2911" i="1"/>
  <c r="L2911" i="1"/>
  <c r="M2911" i="1"/>
  <c r="N2911" i="1"/>
  <c r="A2912" i="1"/>
  <c r="B2912" i="1"/>
  <c r="F2912" i="1"/>
  <c r="G2912" i="1"/>
  <c r="H2912" i="1"/>
  <c r="I2912" i="1"/>
  <c r="J2912" i="1"/>
  <c r="K2912" i="1"/>
  <c r="L2912" i="1"/>
  <c r="M2912" i="1"/>
  <c r="N2912" i="1"/>
  <c r="A2913" i="1"/>
  <c r="B2913" i="1"/>
  <c r="F2913" i="1"/>
  <c r="G2913" i="1"/>
  <c r="H2913" i="1"/>
  <c r="I2913" i="1"/>
  <c r="J2913" i="1"/>
  <c r="K2913" i="1"/>
  <c r="L2913" i="1"/>
  <c r="M2913" i="1"/>
  <c r="N2913" i="1"/>
  <c r="A2914" i="1"/>
  <c r="B2914" i="1"/>
  <c r="F2914" i="1"/>
  <c r="G2914" i="1"/>
  <c r="H2914" i="1"/>
  <c r="I2914" i="1"/>
  <c r="J2914" i="1"/>
  <c r="K2914" i="1"/>
  <c r="L2914" i="1"/>
  <c r="M2914" i="1"/>
  <c r="N2914" i="1"/>
  <c r="A2915" i="1"/>
  <c r="B2915" i="1"/>
  <c r="F2915" i="1"/>
  <c r="G2915" i="1"/>
  <c r="H2915" i="1"/>
  <c r="I2915" i="1"/>
  <c r="J2915" i="1"/>
  <c r="K2915" i="1"/>
  <c r="L2915" i="1"/>
  <c r="M2915" i="1"/>
  <c r="N2915" i="1"/>
  <c r="A2916" i="1"/>
  <c r="B2916" i="1"/>
  <c r="F2916" i="1"/>
  <c r="G2916" i="1"/>
  <c r="H2916" i="1"/>
  <c r="I2916" i="1"/>
  <c r="J2916" i="1"/>
  <c r="K2916" i="1"/>
  <c r="L2916" i="1"/>
  <c r="M2916" i="1"/>
  <c r="N2916" i="1"/>
  <c r="A2917" i="1"/>
  <c r="B2917" i="1"/>
  <c r="F2917" i="1"/>
  <c r="G2917" i="1"/>
  <c r="H2917" i="1"/>
  <c r="I2917" i="1"/>
  <c r="J2917" i="1"/>
  <c r="K2917" i="1"/>
  <c r="L2917" i="1"/>
  <c r="M2917" i="1"/>
  <c r="N2917" i="1"/>
  <c r="A2918" i="1"/>
  <c r="B2918" i="1"/>
  <c r="F2918" i="1"/>
  <c r="G2918" i="1"/>
  <c r="H2918" i="1"/>
  <c r="I2918" i="1"/>
  <c r="J2918" i="1"/>
  <c r="K2918" i="1"/>
  <c r="L2918" i="1"/>
  <c r="M2918" i="1"/>
  <c r="N2918" i="1"/>
  <c r="A2919" i="1"/>
  <c r="B2919" i="1"/>
  <c r="F2919" i="1"/>
  <c r="G2919" i="1"/>
  <c r="H2919" i="1"/>
  <c r="I2919" i="1"/>
  <c r="J2919" i="1"/>
  <c r="K2919" i="1"/>
  <c r="L2919" i="1"/>
  <c r="M2919" i="1"/>
  <c r="N2919" i="1"/>
  <c r="A2920" i="1"/>
  <c r="B2920" i="1"/>
  <c r="F2920" i="1"/>
  <c r="G2920" i="1"/>
  <c r="H2920" i="1"/>
  <c r="I2920" i="1"/>
  <c r="J2920" i="1"/>
  <c r="K2920" i="1"/>
  <c r="L2920" i="1"/>
  <c r="M2920" i="1"/>
  <c r="N2920" i="1"/>
  <c r="A2921" i="1"/>
  <c r="B2921" i="1"/>
  <c r="F2921" i="1"/>
  <c r="G2921" i="1"/>
  <c r="H2921" i="1"/>
  <c r="I2921" i="1"/>
  <c r="J2921" i="1"/>
  <c r="K2921" i="1"/>
  <c r="L2921" i="1"/>
  <c r="M2921" i="1"/>
  <c r="N2921" i="1"/>
  <c r="A2922" i="1"/>
  <c r="B2922" i="1"/>
  <c r="F2922" i="1"/>
  <c r="G2922" i="1"/>
  <c r="H2922" i="1"/>
  <c r="I2922" i="1"/>
  <c r="J2922" i="1"/>
  <c r="K2922" i="1"/>
  <c r="L2922" i="1"/>
  <c r="M2922" i="1"/>
  <c r="N2922" i="1"/>
  <c r="A2923" i="1"/>
  <c r="B2923" i="1"/>
  <c r="F2923" i="1"/>
  <c r="G2923" i="1"/>
  <c r="H2923" i="1"/>
  <c r="I2923" i="1"/>
  <c r="J2923" i="1"/>
  <c r="K2923" i="1"/>
  <c r="L2923" i="1"/>
  <c r="M2923" i="1"/>
  <c r="N2923" i="1"/>
  <c r="A2924" i="1"/>
  <c r="B2924" i="1"/>
  <c r="F2924" i="1"/>
  <c r="G2924" i="1"/>
  <c r="H2924" i="1"/>
  <c r="I2924" i="1"/>
  <c r="J2924" i="1"/>
  <c r="K2924" i="1"/>
  <c r="L2924" i="1"/>
  <c r="M2924" i="1"/>
  <c r="N2924" i="1"/>
  <c r="A2925" i="1"/>
  <c r="B2925" i="1"/>
  <c r="F2925" i="1"/>
  <c r="G2925" i="1"/>
  <c r="H2925" i="1"/>
  <c r="I2925" i="1"/>
  <c r="J2925" i="1"/>
  <c r="K2925" i="1"/>
  <c r="L2925" i="1"/>
  <c r="M2925" i="1"/>
  <c r="N2925" i="1"/>
  <c r="A2926" i="1"/>
  <c r="B2926" i="1"/>
  <c r="F2926" i="1"/>
  <c r="G2926" i="1"/>
  <c r="H2926" i="1"/>
  <c r="I2926" i="1"/>
  <c r="J2926" i="1"/>
  <c r="K2926" i="1"/>
  <c r="L2926" i="1"/>
  <c r="M2926" i="1"/>
  <c r="N2926" i="1"/>
  <c r="A2927" i="1"/>
  <c r="B2927" i="1"/>
  <c r="F2927" i="1"/>
  <c r="G2927" i="1"/>
  <c r="H2927" i="1"/>
  <c r="I2927" i="1"/>
  <c r="J2927" i="1"/>
  <c r="K2927" i="1"/>
  <c r="L2927" i="1"/>
  <c r="M2927" i="1"/>
  <c r="N2927" i="1"/>
  <c r="A2928" i="1"/>
  <c r="B2928" i="1"/>
  <c r="F2928" i="1"/>
  <c r="G2928" i="1"/>
  <c r="H2928" i="1"/>
  <c r="I2928" i="1"/>
  <c r="J2928" i="1"/>
  <c r="K2928" i="1"/>
  <c r="L2928" i="1"/>
  <c r="M2928" i="1"/>
  <c r="N2928" i="1"/>
  <c r="A2929" i="1"/>
  <c r="B2929" i="1"/>
  <c r="F2929" i="1"/>
  <c r="G2929" i="1"/>
  <c r="H2929" i="1"/>
  <c r="I2929" i="1"/>
  <c r="J2929" i="1"/>
  <c r="K2929" i="1"/>
  <c r="L2929" i="1"/>
  <c r="M2929" i="1"/>
  <c r="N2929" i="1"/>
  <c r="A2930" i="1"/>
  <c r="B2930" i="1"/>
  <c r="F2930" i="1"/>
  <c r="G2930" i="1"/>
  <c r="H2930" i="1"/>
  <c r="I2930" i="1"/>
  <c r="J2930" i="1"/>
  <c r="K2930" i="1"/>
  <c r="L2930" i="1"/>
  <c r="M2930" i="1"/>
  <c r="N2930" i="1"/>
  <c r="A2931" i="1"/>
  <c r="B2931" i="1"/>
  <c r="F2931" i="1"/>
  <c r="G2931" i="1"/>
  <c r="H2931" i="1"/>
  <c r="I2931" i="1"/>
  <c r="J2931" i="1"/>
  <c r="K2931" i="1"/>
  <c r="L2931" i="1"/>
  <c r="M2931" i="1"/>
  <c r="N2931" i="1"/>
  <c r="A2932" i="1"/>
  <c r="B2932" i="1"/>
  <c r="F2932" i="1"/>
  <c r="G2932" i="1"/>
  <c r="H2932" i="1"/>
  <c r="I2932" i="1"/>
  <c r="J2932" i="1"/>
  <c r="K2932" i="1"/>
  <c r="L2932" i="1"/>
  <c r="M2932" i="1"/>
  <c r="N2932" i="1"/>
  <c r="A2933" i="1"/>
  <c r="B2933" i="1"/>
  <c r="F2933" i="1"/>
  <c r="G2933" i="1"/>
  <c r="H2933" i="1"/>
  <c r="I2933" i="1"/>
  <c r="J2933" i="1"/>
  <c r="K2933" i="1"/>
  <c r="L2933" i="1"/>
  <c r="M2933" i="1"/>
  <c r="N2933" i="1"/>
  <c r="A2934" i="1"/>
  <c r="B2934" i="1"/>
  <c r="F2934" i="1"/>
  <c r="G2934" i="1"/>
  <c r="H2934" i="1"/>
  <c r="I2934" i="1"/>
  <c r="J2934" i="1"/>
  <c r="K2934" i="1"/>
  <c r="L2934" i="1"/>
  <c r="M2934" i="1"/>
  <c r="N2934" i="1"/>
  <c r="A2935" i="1"/>
  <c r="B2935" i="1"/>
  <c r="F2935" i="1"/>
  <c r="G2935" i="1"/>
  <c r="H2935" i="1"/>
  <c r="I2935" i="1"/>
  <c r="J2935" i="1"/>
  <c r="K2935" i="1"/>
  <c r="L2935" i="1"/>
  <c r="M2935" i="1"/>
  <c r="N2935" i="1"/>
  <c r="A2936" i="1"/>
  <c r="B2936" i="1"/>
  <c r="F2936" i="1"/>
  <c r="G2936" i="1"/>
  <c r="H2936" i="1"/>
  <c r="I2936" i="1"/>
  <c r="J2936" i="1"/>
  <c r="K2936" i="1"/>
  <c r="L2936" i="1"/>
  <c r="M2936" i="1"/>
  <c r="N2936" i="1"/>
  <c r="A2937" i="1"/>
  <c r="B2937" i="1"/>
  <c r="F2937" i="1"/>
  <c r="G2937" i="1"/>
  <c r="H2937" i="1"/>
  <c r="I2937" i="1"/>
  <c r="J2937" i="1"/>
  <c r="K2937" i="1"/>
  <c r="L2937" i="1"/>
  <c r="M2937" i="1"/>
  <c r="N2937" i="1"/>
  <c r="A2938" i="1"/>
  <c r="B2938" i="1"/>
  <c r="F2938" i="1"/>
  <c r="G2938" i="1"/>
  <c r="H2938" i="1"/>
  <c r="I2938" i="1"/>
  <c r="J2938" i="1"/>
  <c r="K2938" i="1"/>
  <c r="L2938" i="1"/>
  <c r="M2938" i="1"/>
  <c r="N2938" i="1"/>
  <c r="A2939" i="1"/>
  <c r="B2939" i="1"/>
  <c r="F2939" i="1"/>
  <c r="G2939" i="1"/>
  <c r="H2939" i="1"/>
  <c r="I2939" i="1"/>
  <c r="J2939" i="1"/>
  <c r="K2939" i="1"/>
  <c r="L2939" i="1"/>
  <c r="M2939" i="1"/>
  <c r="N2939" i="1"/>
  <c r="A2940" i="1"/>
  <c r="B2940" i="1"/>
  <c r="F2940" i="1"/>
  <c r="G2940" i="1"/>
  <c r="H2940" i="1"/>
  <c r="I2940" i="1"/>
  <c r="J2940" i="1"/>
  <c r="K2940" i="1"/>
  <c r="L2940" i="1"/>
  <c r="M2940" i="1"/>
  <c r="N2940" i="1"/>
  <c r="A2941" i="1"/>
  <c r="B2941" i="1"/>
  <c r="F2941" i="1"/>
  <c r="G2941" i="1"/>
  <c r="H2941" i="1"/>
  <c r="I2941" i="1"/>
  <c r="J2941" i="1"/>
  <c r="K2941" i="1"/>
  <c r="L2941" i="1"/>
  <c r="M2941" i="1"/>
  <c r="N2941" i="1"/>
  <c r="A2942" i="1"/>
  <c r="B2942" i="1"/>
  <c r="F2942" i="1"/>
  <c r="G2942" i="1"/>
  <c r="H2942" i="1"/>
  <c r="I2942" i="1"/>
  <c r="J2942" i="1"/>
  <c r="K2942" i="1"/>
  <c r="L2942" i="1"/>
  <c r="M2942" i="1"/>
  <c r="N2942" i="1"/>
  <c r="A2943" i="1"/>
  <c r="B2943" i="1"/>
  <c r="F2943" i="1"/>
  <c r="G2943" i="1"/>
  <c r="H2943" i="1"/>
  <c r="I2943" i="1"/>
  <c r="J2943" i="1"/>
  <c r="K2943" i="1"/>
  <c r="L2943" i="1"/>
  <c r="M2943" i="1"/>
  <c r="N2943" i="1"/>
  <c r="A2944" i="1"/>
  <c r="B2944" i="1"/>
  <c r="F2944" i="1"/>
  <c r="G2944" i="1"/>
  <c r="H2944" i="1"/>
  <c r="I2944" i="1"/>
  <c r="J2944" i="1"/>
  <c r="K2944" i="1"/>
  <c r="L2944" i="1"/>
  <c r="M2944" i="1"/>
  <c r="N2944" i="1"/>
  <c r="A2945" i="1"/>
  <c r="B2945" i="1"/>
  <c r="F2945" i="1"/>
  <c r="G2945" i="1"/>
  <c r="H2945" i="1"/>
  <c r="I2945" i="1"/>
  <c r="J2945" i="1"/>
  <c r="K2945" i="1"/>
  <c r="L2945" i="1"/>
  <c r="M2945" i="1"/>
  <c r="N2945" i="1"/>
  <c r="A2946" i="1"/>
  <c r="B2946" i="1"/>
  <c r="F2946" i="1"/>
  <c r="G2946" i="1"/>
  <c r="H2946" i="1"/>
  <c r="I2946" i="1"/>
  <c r="J2946" i="1"/>
  <c r="K2946" i="1"/>
  <c r="L2946" i="1"/>
  <c r="M2946" i="1"/>
  <c r="N2946" i="1"/>
  <c r="A2947" i="1"/>
  <c r="B2947" i="1"/>
  <c r="F2947" i="1"/>
  <c r="G2947" i="1"/>
  <c r="H2947" i="1"/>
  <c r="I2947" i="1"/>
  <c r="J2947" i="1"/>
  <c r="K2947" i="1"/>
  <c r="L2947" i="1"/>
  <c r="M2947" i="1"/>
  <c r="N2947" i="1"/>
  <c r="A2948" i="1"/>
  <c r="B2948" i="1"/>
  <c r="F2948" i="1"/>
  <c r="G2948" i="1"/>
  <c r="H2948" i="1"/>
  <c r="I2948" i="1"/>
  <c r="J2948" i="1"/>
  <c r="K2948" i="1"/>
  <c r="L2948" i="1"/>
  <c r="M2948" i="1"/>
  <c r="N2948" i="1"/>
  <c r="A2949" i="1"/>
  <c r="B2949" i="1"/>
  <c r="F2949" i="1"/>
  <c r="G2949" i="1"/>
  <c r="H2949" i="1"/>
  <c r="I2949" i="1"/>
  <c r="J2949" i="1"/>
  <c r="K2949" i="1"/>
  <c r="L2949" i="1"/>
  <c r="M2949" i="1"/>
  <c r="N2949" i="1"/>
  <c r="A2950" i="1"/>
  <c r="B2950" i="1"/>
  <c r="F2950" i="1"/>
  <c r="G2950" i="1"/>
  <c r="H2950" i="1"/>
  <c r="I2950" i="1"/>
  <c r="J2950" i="1"/>
  <c r="K2950" i="1"/>
  <c r="L2950" i="1"/>
  <c r="M2950" i="1"/>
  <c r="N2950" i="1"/>
  <c r="A2951" i="1"/>
  <c r="B2951" i="1"/>
  <c r="F2951" i="1"/>
  <c r="G2951" i="1"/>
  <c r="H2951" i="1"/>
  <c r="I2951" i="1"/>
  <c r="J2951" i="1"/>
  <c r="K2951" i="1"/>
  <c r="L2951" i="1"/>
  <c r="M2951" i="1"/>
  <c r="N2951" i="1"/>
  <c r="A2952" i="1"/>
  <c r="B2952" i="1"/>
  <c r="F2952" i="1"/>
  <c r="G2952" i="1"/>
  <c r="H2952" i="1"/>
  <c r="I2952" i="1"/>
  <c r="J2952" i="1"/>
  <c r="K2952" i="1"/>
  <c r="L2952" i="1"/>
  <c r="M2952" i="1"/>
  <c r="N2952" i="1"/>
  <c r="A2953" i="1"/>
  <c r="B2953" i="1"/>
  <c r="F2953" i="1"/>
  <c r="G2953" i="1"/>
  <c r="H2953" i="1"/>
  <c r="I2953" i="1"/>
  <c r="J2953" i="1"/>
  <c r="K2953" i="1"/>
  <c r="L2953" i="1"/>
  <c r="M2953" i="1"/>
  <c r="N2953" i="1"/>
  <c r="A2954" i="1"/>
  <c r="B2954" i="1"/>
  <c r="F2954" i="1"/>
  <c r="G2954" i="1"/>
  <c r="H2954" i="1"/>
  <c r="I2954" i="1"/>
  <c r="J2954" i="1"/>
  <c r="K2954" i="1"/>
  <c r="L2954" i="1"/>
  <c r="M2954" i="1"/>
  <c r="N2954" i="1"/>
  <c r="A2955" i="1"/>
  <c r="B2955" i="1"/>
  <c r="F2955" i="1"/>
  <c r="G2955" i="1"/>
  <c r="H2955" i="1"/>
  <c r="I2955" i="1"/>
  <c r="J2955" i="1"/>
  <c r="K2955" i="1"/>
  <c r="L2955" i="1"/>
  <c r="M2955" i="1"/>
  <c r="N2955" i="1"/>
  <c r="A2956" i="1"/>
  <c r="B2956" i="1"/>
  <c r="F2956" i="1"/>
  <c r="G2956" i="1"/>
  <c r="H2956" i="1"/>
  <c r="I2956" i="1"/>
  <c r="J2956" i="1"/>
  <c r="K2956" i="1"/>
  <c r="L2956" i="1"/>
  <c r="M2956" i="1"/>
  <c r="N2956" i="1"/>
  <c r="A2957" i="1"/>
  <c r="B2957" i="1"/>
  <c r="F2957" i="1"/>
  <c r="G2957" i="1"/>
  <c r="H2957" i="1"/>
  <c r="I2957" i="1"/>
  <c r="J2957" i="1"/>
  <c r="K2957" i="1"/>
  <c r="L2957" i="1"/>
  <c r="M2957" i="1"/>
  <c r="N2957" i="1"/>
  <c r="A2958" i="1"/>
  <c r="B2958" i="1"/>
  <c r="F2958" i="1"/>
  <c r="G2958" i="1"/>
  <c r="H2958" i="1"/>
  <c r="I2958" i="1"/>
  <c r="J2958" i="1"/>
  <c r="K2958" i="1"/>
  <c r="L2958" i="1"/>
  <c r="M2958" i="1"/>
  <c r="N2958" i="1"/>
  <c r="A2959" i="1"/>
  <c r="B2959" i="1"/>
  <c r="F2959" i="1"/>
  <c r="G2959" i="1"/>
  <c r="H2959" i="1"/>
  <c r="I2959" i="1"/>
  <c r="J2959" i="1"/>
  <c r="K2959" i="1"/>
  <c r="L2959" i="1"/>
  <c r="M2959" i="1"/>
  <c r="N2959" i="1"/>
  <c r="A2960" i="1"/>
  <c r="B2960" i="1"/>
  <c r="F2960" i="1"/>
  <c r="G2960" i="1"/>
  <c r="H2960" i="1"/>
  <c r="I2960" i="1"/>
  <c r="J2960" i="1"/>
  <c r="K2960" i="1"/>
  <c r="L2960" i="1"/>
  <c r="M2960" i="1"/>
  <c r="N2960" i="1"/>
  <c r="A2961" i="1"/>
  <c r="B2961" i="1"/>
  <c r="F2961" i="1"/>
  <c r="G2961" i="1"/>
  <c r="H2961" i="1"/>
  <c r="I2961" i="1"/>
  <c r="J2961" i="1"/>
  <c r="K2961" i="1"/>
  <c r="L2961" i="1"/>
  <c r="M2961" i="1"/>
  <c r="N2961" i="1"/>
  <c r="A2962" i="1"/>
  <c r="B2962" i="1"/>
  <c r="F2962" i="1"/>
  <c r="G2962" i="1"/>
  <c r="H2962" i="1"/>
  <c r="I2962" i="1"/>
  <c r="J2962" i="1"/>
  <c r="K2962" i="1"/>
  <c r="L2962" i="1"/>
  <c r="M2962" i="1"/>
  <c r="N2962" i="1"/>
  <c r="A2963" i="1"/>
  <c r="B2963" i="1"/>
  <c r="F2963" i="1"/>
  <c r="G2963" i="1"/>
  <c r="H2963" i="1"/>
  <c r="I2963" i="1"/>
  <c r="J2963" i="1"/>
  <c r="K2963" i="1"/>
  <c r="L2963" i="1"/>
  <c r="M2963" i="1"/>
  <c r="N2963" i="1"/>
  <c r="A2964" i="1"/>
  <c r="B2964" i="1"/>
  <c r="F2964" i="1"/>
  <c r="G2964" i="1"/>
  <c r="H2964" i="1"/>
  <c r="I2964" i="1"/>
  <c r="J2964" i="1"/>
  <c r="K2964" i="1"/>
  <c r="L2964" i="1"/>
  <c r="M2964" i="1"/>
  <c r="N2964" i="1"/>
  <c r="A2965" i="1"/>
  <c r="B2965" i="1"/>
  <c r="F2965" i="1"/>
  <c r="G2965" i="1"/>
  <c r="H2965" i="1"/>
  <c r="I2965" i="1"/>
  <c r="J2965" i="1"/>
  <c r="K2965" i="1"/>
  <c r="L2965" i="1"/>
  <c r="M2965" i="1"/>
  <c r="N2965" i="1"/>
  <c r="A2966" i="1"/>
  <c r="B2966" i="1"/>
  <c r="F2966" i="1"/>
  <c r="G2966" i="1"/>
  <c r="H2966" i="1"/>
  <c r="I2966" i="1"/>
  <c r="J2966" i="1"/>
  <c r="K2966" i="1"/>
  <c r="L2966" i="1"/>
  <c r="M2966" i="1"/>
  <c r="N2966" i="1"/>
  <c r="A2967" i="1"/>
  <c r="B2967" i="1"/>
  <c r="F2967" i="1"/>
  <c r="G2967" i="1"/>
  <c r="H2967" i="1"/>
  <c r="I2967" i="1"/>
  <c r="J2967" i="1"/>
  <c r="K2967" i="1"/>
  <c r="L2967" i="1"/>
  <c r="M2967" i="1"/>
  <c r="N2967" i="1"/>
  <c r="A2968" i="1"/>
  <c r="B2968" i="1"/>
  <c r="F2968" i="1"/>
  <c r="G2968" i="1"/>
  <c r="H2968" i="1"/>
  <c r="I2968" i="1"/>
  <c r="J2968" i="1"/>
  <c r="K2968" i="1"/>
  <c r="L2968" i="1"/>
  <c r="M2968" i="1"/>
  <c r="N2968" i="1"/>
  <c r="A2969" i="1"/>
  <c r="B2969" i="1"/>
  <c r="F2969" i="1"/>
  <c r="G2969" i="1"/>
  <c r="H2969" i="1"/>
  <c r="I2969" i="1"/>
  <c r="J2969" i="1"/>
  <c r="K2969" i="1"/>
  <c r="L2969" i="1"/>
  <c r="M2969" i="1"/>
  <c r="N2969" i="1"/>
  <c r="A2970" i="1"/>
  <c r="B2970" i="1"/>
  <c r="F2970" i="1"/>
  <c r="G2970" i="1"/>
  <c r="H2970" i="1"/>
  <c r="I2970" i="1"/>
  <c r="J2970" i="1"/>
  <c r="K2970" i="1"/>
  <c r="L2970" i="1"/>
  <c r="M2970" i="1"/>
  <c r="N2970" i="1"/>
  <c r="A2971" i="1"/>
  <c r="B2971" i="1"/>
  <c r="F2971" i="1"/>
  <c r="G2971" i="1"/>
  <c r="H2971" i="1"/>
  <c r="I2971" i="1"/>
  <c r="J2971" i="1"/>
  <c r="K2971" i="1"/>
  <c r="L2971" i="1"/>
  <c r="M2971" i="1"/>
  <c r="N2971" i="1"/>
  <c r="A2972" i="1"/>
  <c r="B2972" i="1"/>
  <c r="F2972" i="1"/>
  <c r="G2972" i="1"/>
  <c r="H2972" i="1"/>
  <c r="I2972" i="1"/>
  <c r="J2972" i="1"/>
  <c r="K2972" i="1"/>
  <c r="L2972" i="1"/>
  <c r="M2972" i="1"/>
  <c r="N2972" i="1"/>
  <c r="A2973" i="1"/>
  <c r="B2973" i="1"/>
  <c r="F2973" i="1"/>
  <c r="G2973" i="1"/>
  <c r="H2973" i="1"/>
  <c r="I2973" i="1"/>
  <c r="J2973" i="1"/>
  <c r="K2973" i="1"/>
  <c r="L2973" i="1"/>
  <c r="M2973" i="1"/>
  <c r="N2973" i="1"/>
  <c r="A2974" i="1"/>
  <c r="B2974" i="1"/>
  <c r="F2974" i="1"/>
  <c r="G2974" i="1"/>
  <c r="H2974" i="1"/>
  <c r="I2974" i="1"/>
  <c r="J2974" i="1"/>
  <c r="K2974" i="1"/>
  <c r="L2974" i="1"/>
  <c r="M2974" i="1"/>
  <c r="N2974" i="1"/>
  <c r="A2975" i="1"/>
  <c r="B2975" i="1"/>
  <c r="F2975" i="1"/>
  <c r="G2975" i="1"/>
  <c r="H2975" i="1"/>
  <c r="I2975" i="1"/>
  <c r="J2975" i="1"/>
  <c r="K2975" i="1"/>
  <c r="L2975" i="1"/>
  <c r="M2975" i="1"/>
  <c r="N2975" i="1"/>
  <c r="A2976" i="1"/>
  <c r="B2976" i="1"/>
  <c r="F2976" i="1"/>
  <c r="G2976" i="1"/>
  <c r="H2976" i="1"/>
  <c r="I2976" i="1"/>
  <c r="J2976" i="1"/>
  <c r="K2976" i="1"/>
  <c r="L2976" i="1"/>
  <c r="M2976" i="1"/>
  <c r="N2976" i="1"/>
  <c r="A2977" i="1"/>
  <c r="B2977" i="1"/>
  <c r="F2977" i="1"/>
  <c r="G2977" i="1"/>
  <c r="H2977" i="1"/>
  <c r="I2977" i="1"/>
  <c r="J2977" i="1"/>
  <c r="K2977" i="1"/>
  <c r="L2977" i="1"/>
  <c r="M2977" i="1"/>
  <c r="N2977" i="1"/>
  <c r="A2978" i="1"/>
  <c r="B2978" i="1"/>
  <c r="F2978" i="1"/>
  <c r="G2978" i="1"/>
  <c r="H2978" i="1"/>
  <c r="I2978" i="1"/>
  <c r="J2978" i="1"/>
  <c r="K2978" i="1"/>
  <c r="L2978" i="1"/>
  <c r="M2978" i="1"/>
  <c r="N2978" i="1"/>
  <c r="A2979" i="1"/>
  <c r="B2979" i="1"/>
  <c r="F2979" i="1"/>
  <c r="G2979" i="1"/>
  <c r="H2979" i="1"/>
  <c r="I2979" i="1"/>
  <c r="J2979" i="1"/>
  <c r="K2979" i="1"/>
  <c r="L2979" i="1"/>
  <c r="M2979" i="1"/>
  <c r="N2979" i="1"/>
  <c r="A2980" i="1"/>
  <c r="B2980" i="1"/>
  <c r="F2980" i="1"/>
  <c r="G2980" i="1"/>
  <c r="H2980" i="1"/>
  <c r="I2980" i="1"/>
  <c r="J2980" i="1"/>
  <c r="K2980" i="1"/>
  <c r="L2980" i="1"/>
  <c r="M2980" i="1"/>
  <c r="N2980" i="1"/>
  <c r="A2981" i="1"/>
  <c r="B2981" i="1"/>
  <c r="F2981" i="1"/>
  <c r="G2981" i="1"/>
  <c r="H2981" i="1"/>
  <c r="I2981" i="1"/>
  <c r="J2981" i="1"/>
  <c r="K2981" i="1"/>
  <c r="L2981" i="1"/>
  <c r="M2981" i="1"/>
  <c r="N2981" i="1"/>
  <c r="A2982" i="1"/>
  <c r="B2982" i="1"/>
  <c r="F2982" i="1"/>
  <c r="G2982" i="1"/>
  <c r="H2982" i="1"/>
  <c r="I2982" i="1"/>
  <c r="J2982" i="1"/>
  <c r="K2982" i="1"/>
  <c r="L2982" i="1"/>
  <c r="M2982" i="1"/>
  <c r="N2982" i="1"/>
  <c r="A2983" i="1"/>
  <c r="B2983" i="1"/>
  <c r="F2983" i="1"/>
  <c r="G2983" i="1"/>
  <c r="H2983" i="1"/>
  <c r="I2983" i="1"/>
  <c r="J2983" i="1"/>
  <c r="K2983" i="1"/>
  <c r="L2983" i="1"/>
  <c r="M2983" i="1"/>
  <c r="N2983" i="1"/>
  <c r="A2984" i="1"/>
  <c r="B2984" i="1"/>
  <c r="F2984" i="1"/>
  <c r="G2984" i="1"/>
  <c r="H2984" i="1"/>
  <c r="I2984" i="1"/>
  <c r="J2984" i="1"/>
  <c r="K2984" i="1"/>
  <c r="L2984" i="1"/>
  <c r="M2984" i="1"/>
  <c r="N2984" i="1"/>
  <c r="A2985" i="1"/>
  <c r="B2985" i="1"/>
  <c r="F2985" i="1"/>
  <c r="G2985" i="1"/>
  <c r="H2985" i="1"/>
  <c r="I2985" i="1"/>
  <c r="J2985" i="1"/>
  <c r="K2985" i="1"/>
  <c r="L2985" i="1"/>
  <c r="M2985" i="1"/>
  <c r="N2985" i="1"/>
  <c r="A2986" i="1"/>
  <c r="B2986" i="1"/>
  <c r="F2986" i="1"/>
  <c r="G2986" i="1"/>
  <c r="H2986" i="1"/>
  <c r="I2986" i="1"/>
  <c r="J2986" i="1"/>
  <c r="K2986" i="1"/>
  <c r="L2986" i="1"/>
  <c r="M2986" i="1"/>
  <c r="N2986" i="1"/>
  <c r="A2987" i="1"/>
  <c r="B2987" i="1"/>
  <c r="F2987" i="1"/>
  <c r="G2987" i="1"/>
  <c r="H2987" i="1"/>
  <c r="I2987" i="1"/>
  <c r="J2987" i="1"/>
  <c r="K2987" i="1"/>
  <c r="L2987" i="1"/>
  <c r="M2987" i="1"/>
  <c r="N2987" i="1"/>
  <c r="A2988" i="1"/>
  <c r="B2988" i="1"/>
  <c r="F2988" i="1"/>
  <c r="G2988" i="1"/>
  <c r="H2988" i="1"/>
  <c r="I2988" i="1"/>
  <c r="J2988" i="1"/>
  <c r="K2988" i="1"/>
  <c r="L2988" i="1"/>
  <c r="M2988" i="1"/>
  <c r="N2988" i="1"/>
  <c r="A2989" i="1"/>
  <c r="B2989" i="1"/>
  <c r="F2989" i="1"/>
  <c r="G2989" i="1"/>
  <c r="H2989" i="1"/>
  <c r="I2989" i="1"/>
  <c r="J2989" i="1"/>
  <c r="K2989" i="1"/>
  <c r="L2989" i="1"/>
  <c r="M2989" i="1"/>
  <c r="N2989" i="1"/>
  <c r="A2990" i="1"/>
  <c r="B2990" i="1"/>
  <c r="F2990" i="1"/>
  <c r="G2990" i="1"/>
  <c r="H2990" i="1"/>
  <c r="I2990" i="1"/>
  <c r="J2990" i="1"/>
  <c r="K2990" i="1"/>
  <c r="L2990" i="1"/>
  <c r="M2990" i="1"/>
  <c r="N2990" i="1"/>
  <c r="A2991" i="1"/>
  <c r="B2991" i="1"/>
  <c r="F2991" i="1"/>
  <c r="G2991" i="1"/>
  <c r="H2991" i="1"/>
  <c r="I2991" i="1"/>
  <c r="J2991" i="1"/>
  <c r="K2991" i="1"/>
  <c r="L2991" i="1"/>
  <c r="M2991" i="1"/>
  <c r="N2991" i="1"/>
  <c r="A2992" i="1"/>
  <c r="B2992" i="1"/>
  <c r="F2992" i="1"/>
  <c r="G2992" i="1"/>
  <c r="H2992" i="1"/>
  <c r="I2992" i="1"/>
  <c r="J2992" i="1"/>
  <c r="K2992" i="1"/>
  <c r="L2992" i="1"/>
  <c r="M2992" i="1"/>
  <c r="N2992" i="1"/>
  <c r="A2993" i="1"/>
  <c r="B2993" i="1"/>
  <c r="F2993" i="1"/>
  <c r="G2993" i="1"/>
  <c r="H2993" i="1"/>
  <c r="I2993" i="1"/>
  <c r="J2993" i="1"/>
  <c r="K2993" i="1"/>
  <c r="L2993" i="1"/>
  <c r="M2993" i="1"/>
  <c r="N2993" i="1"/>
  <c r="A2994" i="1"/>
  <c r="B2994" i="1"/>
  <c r="F2994" i="1"/>
  <c r="G2994" i="1"/>
  <c r="H2994" i="1"/>
  <c r="I2994" i="1"/>
  <c r="J2994" i="1"/>
  <c r="K2994" i="1"/>
  <c r="L2994" i="1"/>
  <c r="M2994" i="1"/>
  <c r="N2994" i="1"/>
  <c r="A2995" i="1"/>
  <c r="B2995" i="1"/>
  <c r="F2995" i="1"/>
  <c r="G2995" i="1"/>
  <c r="H2995" i="1"/>
  <c r="I2995" i="1"/>
  <c r="J2995" i="1"/>
  <c r="K2995" i="1"/>
  <c r="L2995" i="1"/>
  <c r="M2995" i="1"/>
  <c r="N2995" i="1"/>
  <c r="A2996" i="1"/>
  <c r="B2996" i="1"/>
  <c r="F2996" i="1"/>
  <c r="G2996" i="1"/>
  <c r="H2996" i="1"/>
  <c r="I2996" i="1"/>
  <c r="J2996" i="1"/>
  <c r="K2996" i="1"/>
  <c r="L2996" i="1"/>
  <c r="M2996" i="1"/>
  <c r="N2996" i="1"/>
  <c r="A2997" i="1"/>
  <c r="B2997" i="1"/>
  <c r="F2997" i="1"/>
  <c r="G2997" i="1"/>
  <c r="H2997" i="1"/>
  <c r="I2997" i="1"/>
  <c r="J2997" i="1"/>
  <c r="K2997" i="1"/>
  <c r="L2997" i="1"/>
  <c r="M2997" i="1"/>
  <c r="N2997" i="1"/>
  <c r="A2998" i="1"/>
  <c r="B2998" i="1"/>
  <c r="F2998" i="1"/>
  <c r="G2998" i="1"/>
  <c r="H2998" i="1"/>
  <c r="I2998" i="1"/>
  <c r="J2998" i="1"/>
  <c r="K2998" i="1"/>
  <c r="L2998" i="1"/>
  <c r="M2998" i="1"/>
  <c r="N2998" i="1"/>
  <c r="A2999" i="1"/>
  <c r="B2999" i="1"/>
  <c r="F2999" i="1"/>
  <c r="G2999" i="1"/>
  <c r="H2999" i="1"/>
  <c r="I2999" i="1"/>
  <c r="J2999" i="1"/>
  <c r="K2999" i="1"/>
  <c r="L2999" i="1"/>
  <c r="M2999" i="1"/>
  <c r="N2999" i="1"/>
  <c r="A3000" i="1"/>
  <c r="B3000" i="1"/>
  <c r="F3000" i="1"/>
  <c r="G3000" i="1"/>
  <c r="H3000" i="1"/>
  <c r="I3000" i="1"/>
  <c r="J3000" i="1"/>
  <c r="K3000" i="1"/>
  <c r="L3000" i="1"/>
  <c r="M3000" i="1"/>
  <c r="N3000" i="1"/>
  <c r="A3001" i="1"/>
  <c r="B3001" i="1"/>
  <c r="F3001" i="1"/>
  <c r="G3001" i="1"/>
  <c r="H3001" i="1"/>
  <c r="I3001" i="1"/>
  <c r="J3001" i="1"/>
  <c r="K3001" i="1"/>
  <c r="L3001" i="1"/>
  <c r="M3001" i="1"/>
  <c r="N3001" i="1"/>
  <c r="A3002" i="1"/>
  <c r="B3002" i="1"/>
  <c r="F3002" i="1"/>
  <c r="G3002" i="1"/>
  <c r="H3002" i="1"/>
  <c r="I3002" i="1"/>
  <c r="J3002" i="1"/>
  <c r="K3002" i="1"/>
  <c r="L3002" i="1"/>
  <c r="M3002" i="1"/>
  <c r="N3002" i="1"/>
  <c r="A3003" i="1"/>
  <c r="B3003" i="1"/>
  <c r="F3003" i="1"/>
  <c r="G3003" i="1"/>
  <c r="H3003" i="1"/>
  <c r="I3003" i="1"/>
  <c r="J3003" i="1"/>
  <c r="K3003" i="1"/>
  <c r="L3003" i="1"/>
  <c r="M3003" i="1"/>
  <c r="N3003" i="1"/>
  <c r="A3004" i="1"/>
  <c r="B3004" i="1"/>
  <c r="F3004" i="1"/>
  <c r="G3004" i="1"/>
  <c r="H3004" i="1"/>
  <c r="I3004" i="1"/>
  <c r="J3004" i="1"/>
  <c r="K3004" i="1"/>
  <c r="L3004" i="1"/>
  <c r="M3004" i="1"/>
  <c r="N3004" i="1"/>
  <c r="A3005" i="1"/>
  <c r="B3005" i="1"/>
  <c r="F3005" i="1"/>
  <c r="G3005" i="1"/>
  <c r="H3005" i="1"/>
  <c r="I3005" i="1"/>
  <c r="J3005" i="1"/>
  <c r="K3005" i="1"/>
  <c r="L3005" i="1"/>
  <c r="M3005" i="1"/>
  <c r="N3005" i="1"/>
  <c r="A3006" i="1"/>
  <c r="B3006" i="1"/>
  <c r="F3006" i="1"/>
  <c r="G3006" i="1"/>
  <c r="H3006" i="1"/>
  <c r="I3006" i="1"/>
  <c r="J3006" i="1"/>
  <c r="K3006" i="1"/>
  <c r="L3006" i="1"/>
  <c r="M3006" i="1"/>
  <c r="N3006" i="1"/>
  <c r="A3007" i="1"/>
  <c r="B3007" i="1"/>
  <c r="F3007" i="1"/>
  <c r="G3007" i="1"/>
  <c r="H3007" i="1"/>
  <c r="I3007" i="1"/>
  <c r="J3007" i="1"/>
  <c r="K3007" i="1"/>
  <c r="L3007" i="1"/>
  <c r="M3007" i="1"/>
  <c r="N3007" i="1"/>
  <c r="A3008" i="1"/>
  <c r="B3008" i="1"/>
  <c r="F3008" i="1"/>
  <c r="G3008" i="1"/>
  <c r="H3008" i="1"/>
  <c r="I3008" i="1"/>
  <c r="J3008" i="1"/>
  <c r="K3008" i="1"/>
  <c r="L3008" i="1"/>
  <c r="M3008" i="1"/>
  <c r="N3008" i="1"/>
  <c r="A3009" i="1"/>
  <c r="B3009" i="1"/>
  <c r="F3009" i="1"/>
  <c r="G3009" i="1"/>
  <c r="H3009" i="1"/>
  <c r="I3009" i="1"/>
  <c r="J3009" i="1"/>
  <c r="K3009" i="1"/>
  <c r="L3009" i="1"/>
  <c r="M3009" i="1"/>
  <c r="N3009" i="1"/>
  <c r="A3010" i="1"/>
  <c r="B3010" i="1"/>
  <c r="F3010" i="1"/>
  <c r="G3010" i="1"/>
  <c r="H3010" i="1"/>
  <c r="I3010" i="1"/>
  <c r="J3010" i="1"/>
  <c r="K3010" i="1"/>
  <c r="L3010" i="1"/>
  <c r="M3010" i="1"/>
  <c r="N3010" i="1"/>
  <c r="A3011" i="1"/>
  <c r="B3011" i="1"/>
  <c r="F3011" i="1"/>
  <c r="G3011" i="1"/>
  <c r="H3011" i="1"/>
  <c r="I3011" i="1"/>
  <c r="J3011" i="1"/>
  <c r="K3011" i="1"/>
  <c r="L3011" i="1"/>
  <c r="M3011" i="1"/>
  <c r="N3011" i="1"/>
  <c r="A3012" i="1"/>
  <c r="B3012" i="1"/>
  <c r="F3012" i="1"/>
  <c r="G3012" i="1"/>
  <c r="H3012" i="1"/>
  <c r="I3012" i="1"/>
  <c r="J3012" i="1"/>
  <c r="K3012" i="1"/>
  <c r="L3012" i="1"/>
  <c r="M3012" i="1"/>
  <c r="N3012" i="1"/>
  <c r="A3013" i="1"/>
  <c r="B3013" i="1"/>
  <c r="F3013" i="1"/>
  <c r="G3013" i="1"/>
  <c r="H3013" i="1"/>
  <c r="I3013" i="1"/>
  <c r="J3013" i="1"/>
  <c r="K3013" i="1"/>
  <c r="L3013" i="1"/>
  <c r="M3013" i="1"/>
  <c r="N3013" i="1"/>
  <c r="A3014" i="1"/>
  <c r="B3014" i="1"/>
  <c r="F3014" i="1"/>
  <c r="G3014" i="1"/>
  <c r="H3014" i="1"/>
  <c r="I3014" i="1"/>
  <c r="J3014" i="1"/>
  <c r="K3014" i="1"/>
  <c r="L3014" i="1"/>
  <c r="M3014" i="1"/>
  <c r="N3014" i="1"/>
  <c r="A3015" i="1"/>
  <c r="B3015" i="1"/>
  <c r="F3015" i="1"/>
  <c r="G3015" i="1"/>
  <c r="H3015" i="1"/>
  <c r="I3015" i="1"/>
  <c r="J3015" i="1"/>
  <c r="K3015" i="1"/>
  <c r="L3015" i="1"/>
  <c r="M3015" i="1"/>
  <c r="N3015" i="1"/>
  <c r="A3016" i="1"/>
  <c r="B3016" i="1"/>
  <c r="F3016" i="1"/>
  <c r="G3016" i="1"/>
  <c r="H3016" i="1"/>
  <c r="I3016" i="1"/>
  <c r="J3016" i="1"/>
  <c r="K3016" i="1"/>
  <c r="L3016" i="1"/>
  <c r="M3016" i="1"/>
  <c r="N3016" i="1"/>
  <c r="A3017" i="1"/>
  <c r="B3017" i="1"/>
  <c r="F3017" i="1"/>
  <c r="G3017" i="1"/>
  <c r="H3017" i="1"/>
  <c r="I3017" i="1"/>
  <c r="J3017" i="1"/>
  <c r="K3017" i="1"/>
  <c r="L3017" i="1"/>
  <c r="M3017" i="1"/>
  <c r="N3017" i="1"/>
  <c r="A3018" i="1"/>
  <c r="B3018" i="1"/>
  <c r="F3018" i="1"/>
  <c r="G3018" i="1"/>
  <c r="H3018" i="1"/>
  <c r="I3018" i="1"/>
  <c r="J3018" i="1"/>
  <c r="K3018" i="1"/>
  <c r="L3018" i="1"/>
  <c r="M3018" i="1"/>
  <c r="N3018" i="1"/>
  <c r="A3019" i="1"/>
  <c r="B3019" i="1"/>
  <c r="F3019" i="1"/>
  <c r="G3019" i="1"/>
  <c r="H3019" i="1"/>
  <c r="I3019" i="1"/>
  <c r="J3019" i="1"/>
  <c r="K3019" i="1"/>
  <c r="L3019" i="1"/>
  <c r="M3019" i="1"/>
  <c r="N3019" i="1"/>
  <c r="A3020" i="1"/>
  <c r="B3020" i="1"/>
  <c r="F3020" i="1"/>
  <c r="G3020" i="1"/>
  <c r="H3020" i="1"/>
  <c r="I3020" i="1"/>
  <c r="J3020" i="1"/>
  <c r="K3020" i="1"/>
  <c r="L3020" i="1"/>
  <c r="M3020" i="1"/>
  <c r="N3020" i="1"/>
  <c r="A3021" i="1"/>
  <c r="B3021" i="1"/>
  <c r="F3021" i="1"/>
  <c r="G3021" i="1"/>
  <c r="H3021" i="1"/>
  <c r="I3021" i="1"/>
  <c r="J3021" i="1"/>
  <c r="K3021" i="1"/>
  <c r="L3021" i="1"/>
  <c r="M3021" i="1"/>
  <c r="N3021" i="1"/>
  <c r="A3022" i="1"/>
  <c r="B3022" i="1"/>
  <c r="F3022" i="1"/>
  <c r="G3022" i="1"/>
  <c r="H3022" i="1"/>
  <c r="I3022" i="1"/>
  <c r="J3022" i="1"/>
  <c r="K3022" i="1"/>
  <c r="L3022" i="1"/>
  <c r="M3022" i="1"/>
  <c r="N3022" i="1"/>
  <c r="A3023" i="1"/>
  <c r="B3023" i="1"/>
  <c r="F3023" i="1"/>
  <c r="G3023" i="1"/>
  <c r="H3023" i="1"/>
  <c r="I3023" i="1"/>
  <c r="J3023" i="1"/>
  <c r="K3023" i="1"/>
  <c r="L3023" i="1"/>
  <c r="M3023" i="1"/>
  <c r="N3023" i="1"/>
  <c r="A3024" i="1"/>
  <c r="B3024" i="1"/>
  <c r="F3024" i="1"/>
  <c r="G3024" i="1"/>
  <c r="H3024" i="1"/>
  <c r="I3024" i="1"/>
  <c r="J3024" i="1"/>
  <c r="K3024" i="1"/>
  <c r="L3024" i="1"/>
  <c r="M3024" i="1"/>
  <c r="N3024" i="1"/>
  <c r="A3025" i="1"/>
  <c r="B3025" i="1"/>
  <c r="F3025" i="1"/>
  <c r="G3025" i="1"/>
  <c r="H3025" i="1"/>
  <c r="I3025" i="1"/>
  <c r="J3025" i="1"/>
  <c r="K3025" i="1"/>
  <c r="L3025" i="1"/>
  <c r="M3025" i="1"/>
  <c r="N3025" i="1"/>
  <c r="A3026" i="1"/>
  <c r="B3026" i="1"/>
  <c r="F3026" i="1"/>
  <c r="G3026" i="1"/>
  <c r="H3026" i="1"/>
  <c r="I3026" i="1"/>
  <c r="J3026" i="1"/>
  <c r="K3026" i="1"/>
  <c r="L3026" i="1"/>
  <c r="M3026" i="1"/>
  <c r="N3026" i="1"/>
  <c r="A3027" i="1"/>
  <c r="B3027" i="1"/>
  <c r="F3027" i="1"/>
  <c r="G3027" i="1"/>
  <c r="H3027" i="1"/>
  <c r="I3027" i="1"/>
  <c r="J3027" i="1"/>
  <c r="K3027" i="1"/>
  <c r="L3027" i="1"/>
  <c r="M3027" i="1"/>
  <c r="N3027" i="1"/>
  <c r="A3028" i="1"/>
  <c r="B3028" i="1"/>
  <c r="F3028" i="1"/>
  <c r="G3028" i="1"/>
  <c r="H3028" i="1"/>
  <c r="I3028" i="1"/>
  <c r="J3028" i="1"/>
  <c r="K3028" i="1"/>
  <c r="L3028" i="1"/>
  <c r="M3028" i="1"/>
  <c r="N3028" i="1"/>
  <c r="A3029" i="1"/>
  <c r="B3029" i="1"/>
  <c r="F3029" i="1"/>
  <c r="G3029" i="1"/>
  <c r="H3029" i="1"/>
  <c r="I3029" i="1"/>
  <c r="J3029" i="1"/>
  <c r="K3029" i="1"/>
  <c r="L3029" i="1"/>
  <c r="M3029" i="1"/>
  <c r="N3029" i="1"/>
  <c r="A3030" i="1"/>
  <c r="B3030" i="1"/>
  <c r="F3030" i="1"/>
  <c r="G3030" i="1"/>
  <c r="H3030" i="1"/>
  <c r="I3030" i="1"/>
  <c r="J3030" i="1"/>
  <c r="K3030" i="1"/>
  <c r="L3030" i="1"/>
  <c r="M3030" i="1"/>
  <c r="N3030" i="1"/>
  <c r="A3031" i="1"/>
  <c r="B3031" i="1"/>
  <c r="F3031" i="1"/>
  <c r="G3031" i="1"/>
  <c r="H3031" i="1"/>
  <c r="I3031" i="1"/>
  <c r="J3031" i="1"/>
  <c r="K3031" i="1"/>
  <c r="L3031" i="1"/>
  <c r="M3031" i="1"/>
  <c r="N3031" i="1"/>
  <c r="A3032" i="1"/>
  <c r="B3032" i="1"/>
  <c r="F3032" i="1"/>
  <c r="G3032" i="1"/>
  <c r="H3032" i="1"/>
  <c r="I3032" i="1"/>
  <c r="J3032" i="1"/>
  <c r="K3032" i="1"/>
  <c r="L3032" i="1"/>
  <c r="M3032" i="1"/>
  <c r="N3032" i="1"/>
  <c r="A3033" i="1"/>
  <c r="B3033" i="1"/>
  <c r="F3033" i="1"/>
  <c r="G3033" i="1"/>
  <c r="H3033" i="1"/>
  <c r="I3033" i="1"/>
  <c r="J3033" i="1"/>
  <c r="K3033" i="1"/>
  <c r="L3033" i="1"/>
  <c r="M3033" i="1"/>
  <c r="N3033" i="1"/>
  <c r="A3034" i="1"/>
  <c r="B3034" i="1"/>
  <c r="F3034" i="1"/>
  <c r="G3034" i="1"/>
  <c r="H3034" i="1"/>
  <c r="I3034" i="1"/>
  <c r="J3034" i="1"/>
  <c r="K3034" i="1"/>
  <c r="L3034" i="1"/>
  <c r="M3034" i="1"/>
  <c r="N3034" i="1"/>
  <c r="A3035" i="1"/>
  <c r="B3035" i="1"/>
  <c r="F3035" i="1"/>
  <c r="G3035" i="1"/>
  <c r="H3035" i="1"/>
  <c r="I3035" i="1"/>
  <c r="J3035" i="1"/>
  <c r="K3035" i="1"/>
  <c r="L3035" i="1"/>
  <c r="M3035" i="1"/>
  <c r="N3035" i="1"/>
  <c r="A3036" i="1"/>
  <c r="B3036" i="1"/>
  <c r="F3036" i="1"/>
  <c r="G3036" i="1"/>
  <c r="H3036" i="1"/>
  <c r="I3036" i="1"/>
  <c r="J3036" i="1"/>
  <c r="K3036" i="1"/>
  <c r="L3036" i="1"/>
  <c r="M3036" i="1"/>
  <c r="N3036" i="1"/>
  <c r="A3037" i="1"/>
  <c r="B3037" i="1"/>
  <c r="F3037" i="1"/>
  <c r="G3037" i="1"/>
  <c r="H3037" i="1"/>
  <c r="I3037" i="1"/>
  <c r="J3037" i="1"/>
  <c r="K3037" i="1"/>
  <c r="L3037" i="1"/>
  <c r="M3037" i="1"/>
  <c r="N3037" i="1"/>
  <c r="A3038" i="1"/>
  <c r="B3038" i="1"/>
  <c r="F3038" i="1"/>
  <c r="G3038" i="1"/>
  <c r="H3038" i="1"/>
  <c r="I3038" i="1"/>
  <c r="J3038" i="1"/>
  <c r="K3038" i="1"/>
  <c r="L3038" i="1"/>
  <c r="M3038" i="1"/>
  <c r="N3038" i="1"/>
  <c r="A3039" i="1"/>
  <c r="B3039" i="1"/>
  <c r="F3039" i="1"/>
  <c r="G3039" i="1"/>
  <c r="H3039" i="1"/>
  <c r="I3039" i="1"/>
  <c r="J3039" i="1"/>
  <c r="K3039" i="1"/>
  <c r="L3039" i="1"/>
  <c r="M3039" i="1"/>
  <c r="N3039" i="1"/>
  <c r="A3040" i="1"/>
  <c r="B3040" i="1"/>
  <c r="F3040" i="1"/>
  <c r="G3040" i="1"/>
  <c r="H3040" i="1"/>
  <c r="I3040" i="1"/>
  <c r="J3040" i="1"/>
  <c r="K3040" i="1"/>
  <c r="L3040" i="1"/>
  <c r="M3040" i="1"/>
  <c r="N3040" i="1"/>
  <c r="A3041" i="1"/>
  <c r="B3041" i="1"/>
  <c r="F3041" i="1"/>
  <c r="G3041" i="1"/>
  <c r="H3041" i="1"/>
  <c r="I3041" i="1"/>
  <c r="J3041" i="1"/>
  <c r="K3041" i="1"/>
  <c r="L3041" i="1"/>
  <c r="M3041" i="1"/>
  <c r="N3041" i="1"/>
  <c r="A3042" i="1"/>
  <c r="B3042" i="1"/>
  <c r="F3042" i="1"/>
  <c r="G3042" i="1"/>
  <c r="H3042" i="1"/>
  <c r="I3042" i="1"/>
  <c r="J3042" i="1"/>
  <c r="K3042" i="1"/>
  <c r="L3042" i="1"/>
  <c r="M3042" i="1"/>
  <c r="N3042" i="1"/>
  <c r="A3043" i="1"/>
  <c r="B3043" i="1"/>
  <c r="F3043" i="1"/>
  <c r="G3043" i="1"/>
  <c r="H3043" i="1"/>
  <c r="I3043" i="1"/>
  <c r="J3043" i="1"/>
  <c r="K3043" i="1"/>
  <c r="L3043" i="1"/>
  <c r="M3043" i="1"/>
  <c r="N3043" i="1"/>
  <c r="A3044" i="1"/>
  <c r="B3044" i="1"/>
  <c r="F3044" i="1"/>
  <c r="G3044" i="1"/>
  <c r="H3044" i="1"/>
  <c r="I3044" i="1"/>
  <c r="J3044" i="1"/>
  <c r="K3044" i="1"/>
  <c r="L3044" i="1"/>
  <c r="M3044" i="1"/>
  <c r="N3044" i="1"/>
  <c r="A3045" i="1"/>
  <c r="B3045" i="1"/>
  <c r="F3045" i="1"/>
  <c r="G3045" i="1"/>
  <c r="H3045" i="1"/>
  <c r="I3045" i="1"/>
  <c r="J3045" i="1"/>
  <c r="K3045" i="1"/>
  <c r="L3045" i="1"/>
  <c r="M3045" i="1"/>
  <c r="N3045" i="1"/>
  <c r="A3046" i="1"/>
  <c r="B3046" i="1"/>
  <c r="F3046" i="1"/>
  <c r="G3046" i="1"/>
  <c r="H3046" i="1"/>
  <c r="I3046" i="1"/>
  <c r="J3046" i="1"/>
  <c r="K3046" i="1"/>
  <c r="L3046" i="1"/>
  <c r="M3046" i="1"/>
  <c r="N3046" i="1"/>
  <c r="A3047" i="1"/>
  <c r="B3047" i="1"/>
  <c r="F3047" i="1"/>
  <c r="G3047" i="1"/>
  <c r="H3047" i="1"/>
  <c r="I3047" i="1"/>
  <c r="J3047" i="1"/>
  <c r="K3047" i="1"/>
  <c r="L3047" i="1"/>
  <c r="M3047" i="1"/>
  <c r="N3047" i="1"/>
  <c r="A3048" i="1"/>
  <c r="B3048" i="1"/>
  <c r="F3048" i="1"/>
  <c r="G3048" i="1"/>
  <c r="H3048" i="1"/>
  <c r="I3048" i="1"/>
  <c r="J3048" i="1"/>
  <c r="K3048" i="1"/>
  <c r="L3048" i="1"/>
  <c r="M3048" i="1"/>
  <c r="N3048" i="1"/>
  <c r="A3049" i="1"/>
  <c r="B3049" i="1"/>
  <c r="F3049" i="1"/>
  <c r="G3049" i="1"/>
  <c r="H3049" i="1"/>
  <c r="I3049" i="1"/>
  <c r="J3049" i="1"/>
  <c r="K3049" i="1"/>
  <c r="L3049" i="1"/>
  <c r="M3049" i="1"/>
  <c r="N3049" i="1"/>
  <c r="A3050" i="1"/>
  <c r="B3050" i="1"/>
  <c r="F3050" i="1"/>
  <c r="G3050" i="1"/>
  <c r="H3050" i="1"/>
  <c r="I3050" i="1"/>
  <c r="J3050" i="1"/>
  <c r="K3050" i="1"/>
  <c r="L3050" i="1"/>
  <c r="M3050" i="1"/>
  <c r="N3050" i="1"/>
  <c r="A3051" i="1"/>
  <c r="B3051" i="1"/>
  <c r="F3051" i="1"/>
  <c r="G3051" i="1"/>
  <c r="H3051" i="1"/>
  <c r="I3051" i="1"/>
  <c r="J3051" i="1"/>
  <c r="K3051" i="1"/>
  <c r="L3051" i="1"/>
  <c r="M3051" i="1"/>
  <c r="N3051" i="1"/>
  <c r="A3052" i="1"/>
  <c r="B3052" i="1"/>
  <c r="F3052" i="1"/>
  <c r="G3052" i="1"/>
  <c r="H3052" i="1"/>
  <c r="I3052" i="1"/>
  <c r="J3052" i="1"/>
  <c r="K3052" i="1"/>
  <c r="L3052" i="1"/>
  <c r="M3052" i="1"/>
  <c r="N3052" i="1"/>
  <c r="A3053" i="1"/>
  <c r="B3053" i="1"/>
  <c r="F3053" i="1"/>
  <c r="G3053" i="1"/>
  <c r="H3053" i="1"/>
  <c r="I3053" i="1"/>
  <c r="J3053" i="1"/>
  <c r="K3053" i="1"/>
  <c r="L3053" i="1"/>
  <c r="M3053" i="1"/>
  <c r="N3053" i="1"/>
  <c r="A3054" i="1"/>
  <c r="B3054" i="1"/>
  <c r="F3054" i="1"/>
  <c r="G3054" i="1"/>
  <c r="H3054" i="1"/>
  <c r="I3054" i="1"/>
  <c r="J3054" i="1"/>
  <c r="K3054" i="1"/>
  <c r="L3054" i="1"/>
  <c r="M3054" i="1"/>
  <c r="N3054" i="1"/>
  <c r="A3055" i="1"/>
  <c r="B3055" i="1"/>
  <c r="F3055" i="1"/>
  <c r="G3055" i="1"/>
  <c r="H3055" i="1"/>
  <c r="I3055" i="1"/>
  <c r="J3055" i="1"/>
  <c r="K3055" i="1"/>
  <c r="L3055" i="1"/>
  <c r="M3055" i="1"/>
  <c r="N3055" i="1"/>
  <c r="A3056" i="1"/>
  <c r="B3056" i="1"/>
  <c r="F3056" i="1"/>
  <c r="G3056" i="1"/>
  <c r="H3056" i="1"/>
  <c r="I3056" i="1"/>
  <c r="J3056" i="1"/>
  <c r="K3056" i="1"/>
  <c r="L3056" i="1"/>
  <c r="M3056" i="1"/>
  <c r="N3056" i="1"/>
  <c r="A3057" i="1"/>
  <c r="B3057" i="1"/>
  <c r="F3057" i="1"/>
  <c r="G3057" i="1"/>
  <c r="H3057" i="1"/>
  <c r="I3057" i="1"/>
  <c r="J3057" i="1"/>
  <c r="K3057" i="1"/>
  <c r="L3057" i="1"/>
  <c r="M3057" i="1"/>
  <c r="N3057" i="1"/>
  <c r="A3058" i="1"/>
  <c r="B3058" i="1"/>
  <c r="F3058" i="1"/>
  <c r="G3058" i="1"/>
  <c r="H3058" i="1"/>
  <c r="I3058" i="1"/>
  <c r="J3058" i="1"/>
  <c r="K3058" i="1"/>
  <c r="L3058" i="1"/>
  <c r="M3058" i="1"/>
  <c r="N3058" i="1"/>
  <c r="A3059" i="1"/>
  <c r="B3059" i="1"/>
  <c r="F3059" i="1"/>
  <c r="G3059" i="1"/>
  <c r="H3059" i="1"/>
  <c r="I3059" i="1"/>
  <c r="J3059" i="1"/>
  <c r="K3059" i="1"/>
  <c r="L3059" i="1"/>
  <c r="M3059" i="1"/>
  <c r="N3059" i="1"/>
  <c r="A3060" i="1"/>
  <c r="B3060" i="1"/>
  <c r="F3060" i="1"/>
  <c r="G3060" i="1"/>
  <c r="H3060" i="1"/>
  <c r="I3060" i="1"/>
  <c r="J3060" i="1"/>
  <c r="K3060" i="1"/>
  <c r="L3060" i="1"/>
  <c r="M3060" i="1"/>
  <c r="N3060" i="1"/>
  <c r="A3061" i="1"/>
  <c r="B3061" i="1"/>
  <c r="F3061" i="1"/>
  <c r="G3061" i="1"/>
  <c r="H3061" i="1"/>
  <c r="I3061" i="1"/>
  <c r="J3061" i="1"/>
  <c r="K3061" i="1"/>
  <c r="L3061" i="1"/>
  <c r="M3061" i="1"/>
  <c r="N3061" i="1"/>
  <c r="A3062" i="1"/>
  <c r="B3062" i="1"/>
  <c r="F3062" i="1"/>
  <c r="G3062" i="1"/>
  <c r="H3062" i="1"/>
  <c r="I3062" i="1"/>
  <c r="J3062" i="1"/>
  <c r="K3062" i="1"/>
  <c r="L3062" i="1"/>
  <c r="M3062" i="1"/>
  <c r="N3062" i="1"/>
  <c r="A3063" i="1"/>
  <c r="B3063" i="1"/>
  <c r="F3063" i="1"/>
  <c r="G3063" i="1"/>
  <c r="H3063" i="1"/>
  <c r="I3063" i="1"/>
  <c r="J3063" i="1"/>
  <c r="K3063" i="1"/>
  <c r="L3063" i="1"/>
  <c r="M3063" i="1"/>
  <c r="N3063" i="1"/>
  <c r="A3064" i="1"/>
  <c r="B3064" i="1"/>
  <c r="F3064" i="1"/>
  <c r="G3064" i="1"/>
  <c r="H3064" i="1"/>
  <c r="I3064" i="1"/>
  <c r="J3064" i="1"/>
  <c r="K3064" i="1"/>
  <c r="L3064" i="1"/>
  <c r="M3064" i="1"/>
  <c r="N3064" i="1"/>
  <c r="A3065" i="1"/>
  <c r="B3065" i="1"/>
  <c r="F3065" i="1"/>
  <c r="G3065" i="1"/>
  <c r="H3065" i="1"/>
  <c r="I3065" i="1"/>
  <c r="J3065" i="1"/>
  <c r="K3065" i="1"/>
  <c r="L3065" i="1"/>
  <c r="M3065" i="1"/>
  <c r="N3065" i="1"/>
  <c r="A3066" i="1"/>
  <c r="B3066" i="1"/>
  <c r="F3066" i="1"/>
  <c r="G3066" i="1"/>
  <c r="H3066" i="1"/>
  <c r="I3066" i="1"/>
  <c r="J3066" i="1"/>
  <c r="K3066" i="1"/>
  <c r="L3066" i="1"/>
  <c r="M3066" i="1"/>
  <c r="N3066" i="1"/>
  <c r="A3067" i="1"/>
  <c r="B3067" i="1"/>
  <c r="F3067" i="1"/>
  <c r="G3067" i="1"/>
  <c r="H3067" i="1"/>
  <c r="I3067" i="1"/>
  <c r="J3067" i="1"/>
  <c r="K3067" i="1"/>
  <c r="L3067" i="1"/>
  <c r="M3067" i="1"/>
  <c r="N3067" i="1"/>
  <c r="A3068" i="1"/>
  <c r="B3068" i="1"/>
  <c r="F3068" i="1"/>
  <c r="G3068" i="1"/>
  <c r="H3068" i="1"/>
  <c r="I3068" i="1"/>
  <c r="J3068" i="1"/>
  <c r="K3068" i="1"/>
  <c r="L3068" i="1"/>
  <c r="M3068" i="1"/>
  <c r="N3068" i="1"/>
  <c r="A3069" i="1"/>
  <c r="B3069" i="1"/>
  <c r="F3069" i="1"/>
  <c r="G3069" i="1"/>
  <c r="H3069" i="1"/>
  <c r="I3069" i="1"/>
  <c r="J3069" i="1"/>
  <c r="K3069" i="1"/>
  <c r="L3069" i="1"/>
  <c r="M3069" i="1"/>
  <c r="N3069" i="1"/>
  <c r="A3070" i="1"/>
  <c r="B3070" i="1"/>
  <c r="F3070" i="1"/>
  <c r="G3070" i="1"/>
  <c r="H3070" i="1"/>
  <c r="I3070" i="1"/>
  <c r="J3070" i="1"/>
  <c r="K3070" i="1"/>
  <c r="L3070" i="1"/>
  <c r="M3070" i="1"/>
  <c r="N3070" i="1"/>
  <c r="A3071" i="1"/>
  <c r="B3071" i="1"/>
  <c r="F3071" i="1"/>
  <c r="G3071" i="1"/>
  <c r="H3071" i="1"/>
  <c r="I3071" i="1"/>
  <c r="J3071" i="1"/>
  <c r="K3071" i="1"/>
  <c r="L3071" i="1"/>
  <c r="M3071" i="1"/>
  <c r="N3071" i="1"/>
  <c r="A3072" i="1"/>
  <c r="B3072" i="1"/>
  <c r="F3072" i="1"/>
  <c r="G3072" i="1"/>
  <c r="H3072" i="1"/>
  <c r="I3072" i="1"/>
  <c r="J3072" i="1"/>
  <c r="K3072" i="1"/>
  <c r="L3072" i="1"/>
  <c r="M3072" i="1"/>
  <c r="N3072" i="1"/>
  <c r="A3073" i="1"/>
  <c r="B3073" i="1"/>
  <c r="F3073" i="1"/>
  <c r="G3073" i="1"/>
  <c r="H3073" i="1"/>
  <c r="I3073" i="1"/>
  <c r="J3073" i="1"/>
  <c r="K3073" i="1"/>
  <c r="L3073" i="1"/>
  <c r="M3073" i="1"/>
  <c r="N3073" i="1"/>
  <c r="A3074" i="1"/>
  <c r="B3074" i="1"/>
  <c r="F3074" i="1"/>
  <c r="G3074" i="1"/>
  <c r="H3074" i="1"/>
  <c r="I3074" i="1"/>
  <c r="J3074" i="1"/>
  <c r="K3074" i="1"/>
  <c r="L3074" i="1"/>
  <c r="M3074" i="1"/>
  <c r="N3074" i="1"/>
  <c r="A3075" i="1"/>
  <c r="B3075" i="1"/>
  <c r="F3075" i="1"/>
  <c r="G3075" i="1"/>
  <c r="H3075" i="1"/>
  <c r="I3075" i="1"/>
  <c r="J3075" i="1"/>
  <c r="K3075" i="1"/>
  <c r="L3075" i="1"/>
  <c r="M3075" i="1"/>
  <c r="N3075" i="1"/>
  <c r="A3076" i="1"/>
  <c r="B3076" i="1"/>
  <c r="F3076" i="1"/>
  <c r="G3076" i="1"/>
  <c r="H3076" i="1"/>
  <c r="I3076" i="1"/>
  <c r="J3076" i="1"/>
  <c r="K3076" i="1"/>
  <c r="L3076" i="1"/>
  <c r="M3076" i="1"/>
  <c r="N3076" i="1"/>
  <c r="A3077" i="1"/>
  <c r="B3077" i="1"/>
  <c r="F3077" i="1"/>
  <c r="G3077" i="1"/>
  <c r="H3077" i="1"/>
  <c r="I3077" i="1"/>
  <c r="J3077" i="1"/>
  <c r="K3077" i="1"/>
  <c r="L3077" i="1"/>
  <c r="M3077" i="1"/>
  <c r="N3077" i="1"/>
  <c r="A3078" i="1"/>
  <c r="B3078" i="1"/>
  <c r="F3078" i="1"/>
  <c r="G3078" i="1"/>
  <c r="H3078" i="1"/>
  <c r="I3078" i="1"/>
  <c r="J3078" i="1"/>
  <c r="K3078" i="1"/>
  <c r="L3078" i="1"/>
  <c r="M3078" i="1"/>
  <c r="N3078" i="1"/>
  <c r="A3079" i="1"/>
  <c r="B3079" i="1"/>
  <c r="F3079" i="1"/>
  <c r="G3079" i="1"/>
  <c r="H3079" i="1"/>
  <c r="I3079" i="1"/>
  <c r="J3079" i="1"/>
  <c r="K3079" i="1"/>
  <c r="L3079" i="1"/>
  <c r="M3079" i="1"/>
  <c r="N3079" i="1"/>
  <c r="A3080" i="1"/>
  <c r="B3080" i="1"/>
  <c r="F3080" i="1"/>
  <c r="G3080" i="1"/>
  <c r="H3080" i="1"/>
  <c r="I3080" i="1"/>
  <c r="J3080" i="1"/>
  <c r="K3080" i="1"/>
  <c r="L3080" i="1"/>
  <c r="M3080" i="1"/>
  <c r="N3080" i="1"/>
  <c r="A3081" i="1"/>
  <c r="B3081" i="1"/>
  <c r="F3081" i="1"/>
  <c r="G3081" i="1"/>
  <c r="H3081" i="1"/>
  <c r="I3081" i="1"/>
  <c r="J3081" i="1"/>
  <c r="K3081" i="1"/>
  <c r="L3081" i="1"/>
  <c r="M3081" i="1"/>
  <c r="N3081" i="1"/>
  <c r="A3082" i="1"/>
  <c r="B3082" i="1"/>
  <c r="F3082" i="1"/>
  <c r="G3082" i="1"/>
  <c r="H3082" i="1"/>
  <c r="I3082" i="1"/>
  <c r="J3082" i="1"/>
  <c r="K3082" i="1"/>
  <c r="L3082" i="1"/>
  <c r="M3082" i="1"/>
  <c r="N3082" i="1"/>
  <c r="A3083" i="1"/>
  <c r="B3083" i="1"/>
  <c r="F3083" i="1"/>
  <c r="G3083" i="1"/>
  <c r="H3083" i="1"/>
  <c r="I3083" i="1"/>
  <c r="J3083" i="1"/>
  <c r="K3083" i="1"/>
  <c r="L3083" i="1"/>
  <c r="M3083" i="1"/>
  <c r="N3083" i="1"/>
  <c r="A3084" i="1"/>
  <c r="B3084" i="1"/>
  <c r="F3084" i="1"/>
  <c r="G3084" i="1"/>
  <c r="H3084" i="1"/>
  <c r="I3084" i="1"/>
  <c r="J3084" i="1"/>
  <c r="K3084" i="1"/>
  <c r="L3084" i="1"/>
  <c r="M3084" i="1"/>
  <c r="N3084" i="1"/>
  <c r="A3085" i="1"/>
  <c r="B3085" i="1"/>
  <c r="F3085" i="1"/>
  <c r="G3085" i="1"/>
  <c r="H3085" i="1"/>
  <c r="I3085" i="1"/>
  <c r="J3085" i="1"/>
  <c r="K3085" i="1"/>
  <c r="L3085" i="1"/>
  <c r="M3085" i="1"/>
  <c r="N3085" i="1"/>
  <c r="A3086" i="1"/>
  <c r="B3086" i="1"/>
  <c r="F3086" i="1"/>
  <c r="G3086" i="1"/>
  <c r="H3086" i="1"/>
  <c r="I3086" i="1"/>
  <c r="J3086" i="1"/>
  <c r="K3086" i="1"/>
  <c r="L3086" i="1"/>
  <c r="M3086" i="1"/>
  <c r="N3086" i="1"/>
  <c r="A3087" i="1"/>
  <c r="B3087" i="1"/>
  <c r="F3087" i="1"/>
  <c r="G3087" i="1"/>
  <c r="H3087" i="1"/>
  <c r="I3087" i="1"/>
  <c r="J3087" i="1"/>
  <c r="K3087" i="1"/>
  <c r="L3087" i="1"/>
  <c r="M3087" i="1"/>
  <c r="N3087" i="1"/>
  <c r="A3088" i="1"/>
  <c r="B3088" i="1"/>
  <c r="F3088" i="1"/>
  <c r="G3088" i="1"/>
  <c r="H3088" i="1"/>
  <c r="I3088" i="1"/>
  <c r="J3088" i="1"/>
  <c r="K3088" i="1"/>
  <c r="L3088" i="1"/>
  <c r="M3088" i="1"/>
  <c r="N3088" i="1"/>
  <c r="A3089" i="1"/>
  <c r="B3089" i="1"/>
  <c r="F3089" i="1"/>
  <c r="G3089" i="1"/>
  <c r="H3089" i="1"/>
  <c r="I3089" i="1"/>
  <c r="J3089" i="1"/>
  <c r="K3089" i="1"/>
  <c r="L3089" i="1"/>
  <c r="M3089" i="1"/>
  <c r="N3089" i="1"/>
  <c r="A3090" i="1"/>
  <c r="B3090" i="1"/>
  <c r="F3090" i="1"/>
  <c r="G3090" i="1"/>
  <c r="H3090" i="1"/>
  <c r="I3090" i="1"/>
  <c r="J3090" i="1"/>
  <c r="K3090" i="1"/>
  <c r="L3090" i="1"/>
  <c r="M3090" i="1"/>
  <c r="N3090" i="1"/>
  <c r="A3091" i="1"/>
  <c r="B3091" i="1"/>
  <c r="F3091" i="1"/>
  <c r="G3091" i="1"/>
  <c r="H3091" i="1"/>
  <c r="I3091" i="1"/>
  <c r="J3091" i="1"/>
  <c r="K3091" i="1"/>
  <c r="L3091" i="1"/>
  <c r="M3091" i="1"/>
  <c r="N3091" i="1"/>
  <c r="A3092" i="1"/>
  <c r="B3092" i="1"/>
  <c r="F3092" i="1"/>
  <c r="G3092" i="1"/>
  <c r="H3092" i="1"/>
  <c r="I3092" i="1"/>
  <c r="J3092" i="1"/>
  <c r="K3092" i="1"/>
  <c r="L3092" i="1"/>
  <c r="M3092" i="1"/>
  <c r="N3092" i="1"/>
  <c r="A3093" i="1"/>
  <c r="B3093" i="1"/>
  <c r="F3093" i="1"/>
  <c r="G3093" i="1"/>
  <c r="H3093" i="1"/>
  <c r="I3093" i="1"/>
  <c r="J3093" i="1"/>
  <c r="K3093" i="1"/>
  <c r="L3093" i="1"/>
  <c r="M3093" i="1"/>
  <c r="N3093" i="1"/>
  <c r="A3094" i="1"/>
  <c r="B3094" i="1"/>
  <c r="F3094" i="1"/>
  <c r="G3094" i="1"/>
  <c r="H3094" i="1"/>
  <c r="I3094" i="1"/>
  <c r="J3094" i="1"/>
  <c r="K3094" i="1"/>
  <c r="L3094" i="1"/>
  <c r="M3094" i="1"/>
  <c r="N3094" i="1"/>
  <c r="A3095" i="1"/>
  <c r="B3095" i="1"/>
  <c r="F3095" i="1"/>
  <c r="G3095" i="1"/>
  <c r="H3095" i="1"/>
  <c r="I3095" i="1"/>
  <c r="J3095" i="1"/>
  <c r="K3095" i="1"/>
  <c r="L3095" i="1"/>
  <c r="M3095" i="1"/>
  <c r="N3095" i="1"/>
  <c r="A3096" i="1"/>
  <c r="B3096" i="1"/>
  <c r="F3096" i="1"/>
  <c r="G3096" i="1"/>
  <c r="H3096" i="1"/>
  <c r="I3096" i="1"/>
  <c r="J3096" i="1"/>
  <c r="K3096" i="1"/>
  <c r="L3096" i="1"/>
  <c r="M3096" i="1"/>
  <c r="N3096" i="1"/>
  <c r="A3097" i="1"/>
  <c r="B3097" i="1"/>
  <c r="F3097" i="1"/>
  <c r="G3097" i="1"/>
  <c r="H3097" i="1"/>
  <c r="I3097" i="1"/>
  <c r="J3097" i="1"/>
  <c r="K3097" i="1"/>
  <c r="L3097" i="1"/>
  <c r="M3097" i="1"/>
  <c r="N3097" i="1"/>
  <c r="A3098" i="1"/>
  <c r="B3098" i="1"/>
  <c r="F3098" i="1"/>
  <c r="G3098" i="1"/>
  <c r="H3098" i="1"/>
  <c r="I3098" i="1"/>
  <c r="J3098" i="1"/>
  <c r="K3098" i="1"/>
  <c r="L3098" i="1"/>
  <c r="M3098" i="1"/>
  <c r="N3098" i="1"/>
  <c r="A3099" i="1"/>
  <c r="B3099" i="1"/>
  <c r="F3099" i="1"/>
  <c r="G3099" i="1"/>
  <c r="H3099" i="1"/>
  <c r="I3099" i="1"/>
  <c r="J3099" i="1"/>
  <c r="K3099" i="1"/>
  <c r="L3099" i="1"/>
  <c r="M3099" i="1"/>
  <c r="N3099" i="1"/>
  <c r="A3100" i="1"/>
  <c r="B3100" i="1"/>
  <c r="F3100" i="1"/>
  <c r="G3100" i="1"/>
  <c r="H3100" i="1"/>
  <c r="I3100" i="1"/>
  <c r="J3100" i="1"/>
  <c r="K3100" i="1"/>
  <c r="L3100" i="1"/>
  <c r="M3100" i="1"/>
  <c r="N3100" i="1"/>
  <c r="A3101" i="1"/>
  <c r="B3101" i="1"/>
  <c r="F3101" i="1"/>
  <c r="G3101" i="1"/>
  <c r="H3101" i="1"/>
  <c r="I3101" i="1"/>
  <c r="J3101" i="1"/>
  <c r="K3101" i="1"/>
  <c r="L3101" i="1"/>
  <c r="M3101" i="1"/>
  <c r="N3101" i="1"/>
  <c r="A3102" i="1"/>
  <c r="B3102" i="1"/>
  <c r="F3102" i="1"/>
  <c r="G3102" i="1"/>
  <c r="H3102" i="1"/>
  <c r="I3102" i="1"/>
  <c r="J3102" i="1"/>
  <c r="K3102" i="1"/>
  <c r="L3102" i="1"/>
  <c r="M3102" i="1"/>
  <c r="N3102" i="1"/>
  <c r="A3103" i="1"/>
  <c r="B3103" i="1"/>
  <c r="F3103" i="1"/>
  <c r="G3103" i="1"/>
  <c r="H3103" i="1"/>
  <c r="I3103" i="1"/>
  <c r="J3103" i="1"/>
  <c r="K3103" i="1"/>
  <c r="L3103" i="1"/>
  <c r="M3103" i="1"/>
  <c r="N3103" i="1"/>
  <c r="A3104" i="1"/>
  <c r="B3104" i="1"/>
  <c r="F3104" i="1"/>
  <c r="G3104" i="1"/>
  <c r="H3104" i="1"/>
  <c r="I3104" i="1"/>
  <c r="J3104" i="1"/>
  <c r="K3104" i="1"/>
  <c r="L3104" i="1"/>
  <c r="M3104" i="1"/>
  <c r="N3104" i="1"/>
  <c r="A3105" i="1"/>
  <c r="B3105" i="1"/>
  <c r="F3105" i="1"/>
  <c r="G3105" i="1"/>
  <c r="H3105" i="1"/>
  <c r="I3105" i="1"/>
  <c r="J3105" i="1"/>
  <c r="K3105" i="1"/>
  <c r="L3105" i="1"/>
  <c r="M3105" i="1"/>
  <c r="N3105" i="1"/>
  <c r="A3106" i="1"/>
  <c r="B3106" i="1"/>
  <c r="F3106" i="1"/>
  <c r="G3106" i="1"/>
  <c r="H3106" i="1"/>
  <c r="I3106" i="1"/>
  <c r="J3106" i="1"/>
  <c r="K3106" i="1"/>
  <c r="L3106" i="1"/>
  <c r="M3106" i="1"/>
  <c r="N3106" i="1"/>
  <c r="A3107" i="1"/>
  <c r="B3107" i="1"/>
  <c r="F3107" i="1"/>
  <c r="G3107" i="1"/>
  <c r="H3107" i="1"/>
  <c r="I3107" i="1"/>
  <c r="J3107" i="1"/>
  <c r="K3107" i="1"/>
  <c r="L3107" i="1"/>
  <c r="M3107" i="1"/>
  <c r="N3107" i="1"/>
  <c r="A3108" i="1"/>
  <c r="B3108" i="1"/>
  <c r="F3108" i="1"/>
  <c r="G3108" i="1"/>
  <c r="H3108" i="1"/>
  <c r="I3108" i="1"/>
  <c r="J3108" i="1"/>
  <c r="K3108" i="1"/>
  <c r="L3108" i="1"/>
  <c r="M3108" i="1"/>
  <c r="N3108" i="1"/>
  <c r="A3109" i="1"/>
  <c r="B3109" i="1"/>
  <c r="F3109" i="1"/>
  <c r="G3109" i="1"/>
  <c r="H3109" i="1"/>
  <c r="I3109" i="1"/>
  <c r="J3109" i="1"/>
  <c r="K3109" i="1"/>
  <c r="L3109" i="1"/>
  <c r="M3109" i="1"/>
  <c r="N3109" i="1"/>
  <c r="A3110" i="1"/>
  <c r="B3110" i="1"/>
  <c r="F3110" i="1"/>
  <c r="G3110" i="1"/>
  <c r="H3110" i="1"/>
  <c r="I3110" i="1"/>
  <c r="J3110" i="1"/>
  <c r="K3110" i="1"/>
  <c r="L3110" i="1"/>
  <c r="M3110" i="1"/>
  <c r="N3110" i="1"/>
  <c r="A3111" i="1"/>
  <c r="B3111" i="1"/>
  <c r="F3111" i="1"/>
  <c r="G3111" i="1"/>
  <c r="H3111" i="1"/>
  <c r="I3111" i="1"/>
  <c r="J3111" i="1"/>
  <c r="K3111" i="1"/>
  <c r="L3111" i="1"/>
  <c r="M3111" i="1"/>
  <c r="N3111" i="1"/>
  <c r="A3112" i="1"/>
  <c r="B3112" i="1"/>
  <c r="F3112" i="1"/>
  <c r="G3112" i="1"/>
  <c r="H3112" i="1"/>
  <c r="I3112" i="1"/>
  <c r="J3112" i="1"/>
  <c r="K3112" i="1"/>
  <c r="L3112" i="1"/>
  <c r="M3112" i="1"/>
  <c r="N3112" i="1"/>
  <c r="A3113" i="1"/>
  <c r="B3113" i="1"/>
  <c r="F3113" i="1"/>
  <c r="G3113" i="1"/>
  <c r="H3113" i="1"/>
  <c r="I3113" i="1"/>
  <c r="J3113" i="1"/>
  <c r="K3113" i="1"/>
  <c r="L3113" i="1"/>
  <c r="M3113" i="1"/>
  <c r="N3113" i="1"/>
  <c r="A3114" i="1"/>
  <c r="B3114" i="1"/>
  <c r="F3114" i="1"/>
  <c r="G3114" i="1"/>
  <c r="H3114" i="1"/>
  <c r="I3114" i="1"/>
  <c r="J3114" i="1"/>
  <c r="K3114" i="1"/>
  <c r="L3114" i="1"/>
  <c r="M3114" i="1"/>
  <c r="N3114" i="1"/>
  <c r="A3115" i="1"/>
  <c r="B3115" i="1"/>
  <c r="F3115" i="1"/>
  <c r="G3115" i="1"/>
  <c r="H3115" i="1"/>
  <c r="I3115" i="1"/>
  <c r="J3115" i="1"/>
  <c r="K3115" i="1"/>
  <c r="L3115" i="1"/>
  <c r="M3115" i="1"/>
  <c r="N3115" i="1"/>
  <c r="A3116" i="1"/>
  <c r="B3116" i="1"/>
  <c r="F3116" i="1"/>
  <c r="G3116" i="1"/>
  <c r="H3116" i="1"/>
  <c r="I3116" i="1"/>
  <c r="J3116" i="1"/>
  <c r="K3116" i="1"/>
  <c r="L3116" i="1"/>
  <c r="M3116" i="1"/>
  <c r="N3116" i="1"/>
  <c r="A3117" i="1"/>
  <c r="B3117" i="1"/>
  <c r="F3117" i="1"/>
  <c r="G3117" i="1"/>
  <c r="H3117" i="1"/>
  <c r="I3117" i="1"/>
  <c r="J3117" i="1"/>
  <c r="K3117" i="1"/>
  <c r="L3117" i="1"/>
  <c r="M3117" i="1"/>
  <c r="N3117" i="1"/>
  <c r="A3118" i="1"/>
  <c r="B3118" i="1"/>
  <c r="F3118" i="1"/>
  <c r="G3118" i="1"/>
  <c r="H3118" i="1"/>
  <c r="I3118" i="1"/>
  <c r="J3118" i="1"/>
  <c r="K3118" i="1"/>
  <c r="L3118" i="1"/>
  <c r="M3118" i="1"/>
  <c r="N3118" i="1"/>
  <c r="A3119" i="1"/>
  <c r="B3119" i="1"/>
  <c r="F3119" i="1"/>
  <c r="G3119" i="1"/>
  <c r="H3119" i="1"/>
  <c r="I3119" i="1"/>
  <c r="J3119" i="1"/>
  <c r="K3119" i="1"/>
  <c r="L3119" i="1"/>
  <c r="M3119" i="1"/>
  <c r="N3119" i="1"/>
  <c r="A3120" i="1"/>
  <c r="B3120" i="1"/>
  <c r="F3120" i="1"/>
  <c r="G3120" i="1"/>
  <c r="H3120" i="1"/>
  <c r="I3120" i="1"/>
  <c r="J3120" i="1"/>
  <c r="K3120" i="1"/>
  <c r="L3120" i="1"/>
  <c r="M3120" i="1"/>
  <c r="N3120" i="1"/>
  <c r="A3121" i="1"/>
  <c r="B3121" i="1"/>
  <c r="F3121" i="1"/>
  <c r="G3121" i="1"/>
  <c r="H3121" i="1"/>
  <c r="I3121" i="1"/>
  <c r="J3121" i="1"/>
  <c r="K3121" i="1"/>
  <c r="L3121" i="1"/>
  <c r="M3121" i="1"/>
  <c r="N3121" i="1"/>
  <c r="A3122" i="1"/>
  <c r="B3122" i="1"/>
  <c r="F3122" i="1"/>
  <c r="G3122" i="1"/>
  <c r="H3122" i="1"/>
  <c r="I3122" i="1"/>
  <c r="J3122" i="1"/>
  <c r="K3122" i="1"/>
  <c r="L3122" i="1"/>
  <c r="M3122" i="1"/>
  <c r="N3122" i="1"/>
  <c r="A3123" i="1"/>
  <c r="B3123" i="1"/>
  <c r="F3123" i="1"/>
  <c r="G3123" i="1"/>
  <c r="H3123" i="1"/>
  <c r="I3123" i="1"/>
  <c r="J3123" i="1"/>
  <c r="K3123" i="1"/>
  <c r="L3123" i="1"/>
  <c r="M3123" i="1"/>
  <c r="N3123" i="1"/>
  <c r="A3124" i="1"/>
  <c r="B3124" i="1"/>
  <c r="F3124" i="1"/>
  <c r="G3124" i="1"/>
  <c r="H3124" i="1"/>
  <c r="I3124" i="1"/>
  <c r="J3124" i="1"/>
  <c r="K3124" i="1"/>
  <c r="L3124" i="1"/>
  <c r="M3124" i="1"/>
  <c r="N3124" i="1"/>
  <c r="A3125" i="1"/>
  <c r="B3125" i="1"/>
  <c r="F3125" i="1"/>
  <c r="G3125" i="1"/>
  <c r="H3125" i="1"/>
  <c r="I3125" i="1"/>
  <c r="J3125" i="1"/>
  <c r="K3125" i="1"/>
  <c r="L3125" i="1"/>
  <c r="M3125" i="1"/>
  <c r="N3125" i="1"/>
  <c r="A3126" i="1"/>
  <c r="B3126" i="1"/>
  <c r="F3126" i="1"/>
  <c r="G3126" i="1"/>
  <c r="H3126" i="1"/>
  <c r="I3126" i="1"/>
  <c r="J3126" i="1"/>
  <c r="K3126" i="1"/>
  <c r="L3126" i="1"/>
  <c r="M3126" i="1"/>
  <c r="N3126" i="1"/>
  <c r="A3127" i="1"/>
  <c r="B3127" i="1"/>
  <c r="F3127" i="1"/>
  <c r="G3127" i="1"/>
  <c r="H3127" i="1"/>
  <c r="I3127" i="1"/>
  <c r="J3127" i="1"/>
  <c r="K3127" i="1"/>
  <c r="L3127" i="1"/>
  <c r="M3127" i="1"/>
  <c r="N3127" i="1"/>
  <c r="A3128" i="1"/>
  <c r="B3128" i="1"/>
  <c r="F3128" i="1"/>
  <c r="G3128" i="1"/>
  <c r="H3128" i="1"/>
  <c r="I3128" i="1"/>
  <c r="J3128" i="1"/>
  <c r="K3128" i="1"/>
  <c r="L3128" i="1"/>
  <c r="M3128" i="1"/>
  <c r="N3128" i="1"/>
  <c r="A3129" i="1"/>
  <c r="B3129" i="1"/>
  <c r="F3129" i="1"/>
  <c r="G3129" i="1"/>
  <c r="H3129" i="1"/>
  <c r="I3129" i="1"/>
  <c r="J3129" i="1"/>
  <c r="K3129" i="1"/>
  <c r="L3129" i="1"/>
  <c r="M3129" i="1"/>
  <c r="N3129" i="1"/>
  <c r="A3130" i="1"/>
  <c r="B3130" i="1"/>
  <c r="F3130" i="1"/>
  <c r="G3130" i="1"/>
  <c r="H3130" i="1"/>
  <c r="I3130" i="1"/>
  <c r="J3130" i="1"/>
  <c r="K3130" i="1"/>
  <c r="L3130" i="1"/>
  <c r="M3130" i="1"/>
  <c r="N3130" i="1"/>
  <c r="A3131" i="1"/>
  <c r="B3131" i="1"/>
  <c r="F3131" i="1"/>
  <c r="G3131" i="1"/>
  <c r="H3131" i="1"/>
  <c r="I3131" i="1"/>
  <c r="J3131" i="1"/>
  <c r="K3131" i="1"/>
  <c r="L3131" i="1"/>
  <c r="M3131" i="1"/>
  <c r="N3131" i="1"/>
  <c r="A3132" i="1"/>
  <c r="B3132" i="1"/>
  <c r="F3132" i="1"/>
  <c r="G3132" i="1"/>
  <c r="H3132" i="1"/>
  <c r="I3132" i="1"/>
  <c r="J3132" i="1"/>
  <c r="K3132" i="1"/>
  <c r="L3132" i="1"/>
  <c r="M3132" i="1"/>
  <c r="N3132" i="1"/>
  <c r="A3133" i="1"/>
  <c r="B3133" i="1"/>
  <c r="F3133" i="1"/>
  <c r="G3133" i="1"/>
  <c r="H3133" i="1"/>
  <c r="I3133" i="1"/>
  <c r="J3133" i="1"/>
  <c r="K3133" i="1"/>
  <c r="L3133" i="1"/>
  <c r="M3133" i="1"/>
  <c r="N3133" i="1"/>
  <c r="A3134" i="1"/>
  <c r="B3134" i="1"/>
  <c r="F3134" i="1"/>
  <c r="G3134" i="1"/>
  <c r="H3134" i="1"/>
  <c r="I3134" i="1"/>
  <c r="J3134" i="1"/>
  <c r="K3134" i="1"/>
  <c r="L3134" i="1"/>
  <c r="M3134" i="1"/>
  <c r="N3134" i="1"/>
  <c r="A3135" i="1"/>
  <c r="B3135" i="1"/>
  <c r="F3135" i="1"/>
  <c r="G3135" i="1"/>
  <c r="H3135" i="1"/>
  <c r="I3135" i="1"/>
  <c r="J3135" i="1"/>
  <c r="K3135" i="1"/>
  <c r="L3135" i="1"/>
  <c r="M3135" i="1"/>
  <c r="N3135" i="1"/>
  <c r="A3136" i="1"/>
  <c r="B3136" i="1"/>
  <c r="F3136" i="1"/>
  <c r="G3136" i="1"/>
  <c r="H3136" i="1"/>
  <c r="I3136" i="1"/>
  <c r="J3136" i="1"/>
  <c r="K3136" i="1"/>
  <c r="L3136" i="1"/>
  <c r="M3136" i="1"/>
  <c r="N3136" i="1"/>
  <c r="A3137" i="1"/>
  <c r="B3137" i="1"/>
  <c r="F3137" i="1"/>
  <c r="G3137" i="1"/>
  <c r="H3137" i="1"/>
  <c r="I3137" i="1"/>
  <c r="J3137" i="1"/>
  <c r="K3137" i="1"/>
  <c r="L3137" i="1"/>
  <c r="M3137" i="1"/>
  <c r="N3137" i="1"/>
  <c r="A3138" i="1"/>
  <c r="B3138" i="1"/>
  <c r="F3138" i="1"/>
  <c r="G3138" i="1"/>
  <c r="H3138" i="1"/>
  <c r="I3138" i="1"/>
  <c r="J3138" i="1"/>
  <c r="K3138" i="1"/>
  <c r="L3138" i="1"/>
  <c r="M3138" i="1"/>
  <c r="N3138" i="1"/>
  <c r="A3139" i="1"/>
  <c r="B3139" i="1"/>
  <c r="F3139" i="1"/>
  <c r="G3139" i="1"/>
  <c r="H3139" i="1"/>
  <c r="I3139" i="1"/>
  <c r="J3139" i="1"/>
  <c r="K3139" i="1"/>
  <c r="L3139" i="1"/>
  <c r="M3139" i="1"/>
  <c r="N3139" i="1"/>
  <c r="A3140" i="1"/>
  <c r="B3140" i="1"/>
  <c r="F3140" i="1"/>
  <c r="G3140" i="1"/>
  <c r="H3140" i="1"/>
  <c r="I3140" i="1"/>
  <c r="J3140" i="1"/>
  <c r="K3140" i="1"/>
  <c r="L3140" i="1"/>
  <c r="M3140" i="1"/>
  <c r="N3140" i="1"/>
  <c r="A3141" i="1"/>
  <c r="B3141" i="1"/>
  <c r="F3141" i="1"/>
  <c r="G3141" i="1"/>
  <c r="H3141" i="1"/>
  <c r="I3141" i="1"/>
  <c r="J3141" i="1"/>
  <c r="K3141" i="1"/>
  <c r="L3141" i="1"/>
  <c r="M3141" i="1"/>
  <c r="N3141" i="1"/>
  <c r="A3142" i="1"/>
  <c r="B3142" i="1"/>
  <c r="F3142" i="1"/>
  <c r="G3142" i="1"/>
  <c r="H3142" i="1"/>
  <c r="I3142" i="1"/>
  <c r="J3142" i="1"/>
  <c r="K3142" i="1"/>
  <c r="L3142" i="1"/>
  <c r="M3142" i="1"/>
  <c r="N3142" i="1"/>
  <c r="A3143" i="1"/>
  <c r="B3143" i="1"/>
  <c r="F3143" i="1"/>
  <c r="G3143" i="1"/>
  <c r="H3143" i="1"/>
  <c r="I3143" i="1"/>
  <c r="J3143" i="1"/>
  <c r="K3143" i="1"/>
  <c r="L3143" i="1"/>
  <c r="M3143" i="1"/>
  <c r="N3143" i="1"/>
  <c r="A3144" i="1"/>
  <c r="B3144" i="1"/>
  <c r="F3144" i="1"/>
  <c r="G3144" i="1"/>
  <c r="H3144" i="1"/>
  <c r="I3144" i="1"/>
  <c r="J3144" i="1"/>
  <c r="K3144" i="1"/>
  <c r="L3144" i="1"/>
  <c r="M3144" i="1"/>
  <c r="N3144" i="1"/>
  <c r="A3145" i="1"/>
  <c r="B3145" i="1"/>
  <c r="F3145" i="1"/>
  <c r="G3145" i="1"/>
  <c r="H3145" i="1"/>
  <c r="I3145" i="1"/>
  <c r="J3145" i="1"/>
  <c r="K3145" i="1"/>
  <c r="L3145" i="1"/>
  <c r="M3145" i="1"/>
  <c r="N3145" i="1"/>
  <c r="A3146" i="1"/>
  <c r="B3146" i="1"/>
  <c r="F3146" i="1"/>
  <c r="G3146" i="1"/>
  <c r="H3146" i="1"/>
  <c r="I3146" i="1"/>
  <c r="J3146" i="1"/>
  <c r="K3146" i="1"/>
  <c r="L3146" i="1"/>
  <c r="M3146" i="1"/>
  <c r="N3146" i="1"/>
  <c r="A3147" i="1"/>
  <c r="B3147" i="1"/>
  <c r="F3147" i="1"/>
  <c r="G3147" i="1"/>
  <c r="H3147" i="1"/>
  <c r="I3147" i="1"/>
  <c r="J3147" i="1"/>
  <c r="K3147" i="1"/>
  <c r="L3147" i="1"/>
  <c r="M3147" i="1"/>
  <c r="N3147" i="1"/>
  <c r="A3148" i="1"/>
  <c r="B3148" i="1"/>
  <c r="F3148" i="1"/>
  <c r="G3148" i="1"/>
  <c r="H3148" i="1"/>
  <c r="I3148" i="1"/>
  <c r="J3148" i="1"/>
  <c r="K3148" i="1"/>
  <c r="L3148" i="1"/>
  <c r="M3148" i="1"/>
  <c r="N3148" i="1"/>
  <c r="A3149" i="1"/>
  <c r="B3149" i="1"/>
  <c r="F3149" i="1"/>
  <c r="G3149" i="1"/>
  <c r="H3149" i="1"/>
  <c r="I3149" i="1"/>
  <c r="J3149" i="1"/>
  <c r="K3149" i="1"/>
  <c r="L3149" i="1"/>
  <c r="M3149" i="1"/>
  <c r="N3149" i="1"/>
  <c r="A3150" i="1"/>
  <c r="B3150" i="1"/>
  <c r="F3150" i="1"/>
  <c r="G3150" i="1"/>
  <c r="H3150" i="1"/>
  <c r="I3150" i="1"/>
  <c r="J3150" i="1"/>
  <c r="K3150" i="1"/>
  <c r="L3150" i="1"/>
  <c r="M3150" i="1"/>
  <c r="N3150" i="1"/>
  <c r="A3151" i="1"/>
  <c r="B3151" i="1"/>
  <c r="F3151" i="1"/>
  <c r="G3151" i="1"/>
  <c r="H3151" i="1"/>
  <c r="I3151" i="1"/>
  <c r="J3151" i="1"/>
  <c r="K3151" i="1"/>
  <c r="L3151" i="1"/>
  <c r="M3151" i="1"/>
  <c r="N3151" i="1"/>
  <c r="A3152" i="1"/>
  <c r="B3152" i="1"/>
  <c r="F3152" i="1"/>
  <c r="G3152" i="1"/>
  <c r="H3152" i="1"/>
  <c r="I3152" i="1"/>
  <c r="J3152" i="1"/>
  <c r="K3152" i="1"/>
  <c r="L3152" i="1"/>
  <c r="M3152" i="1"/>
  <c r="N3152" i="1"/>
  <c r="A3153" i="1"/>
  <c r="B3153" i="1"/>
  <c r="F3153" i="1"/>
  <c r="G3153" i="1"/>
  <c r="H3153" i="1"/>
  <c r="I3153" i="1"/>
  <c r="J3153" i="1"/>
  <c r="K3153" i="1"/>
  <c r="L3153" i="1"/>
  <c r="M3153" i="1"/>
  <c r="N3153" i="1"/>
  <c r="A3154" i="1"/>
  <c r="B3154" i="1"/>
  <c r="F3154" i="1"/>
  <c r="G3154" i="1"/>
  <c r="H3154" i="1"/>
  <c r="I3154" i="1"/>
  <c r="J3154" i="1"/>
  <c r="K3154" i="1"/>
  <c r="L3154" i="1"/>
  <c r="M3154" i="1"/>
  <c r="N3154" i="1"/>
  <c r="A3155" i="1"/>
  <c r="B3155" i="1"/>
  <c r="F3155" i="1"/>
  <c r="G3155" i="1"/>
  <c r="H3155" i="1"/>
  <c r="I3155" i="1"/>
  <c r="J3155" i="1"/>
  <c r="K3155" i="1"/>
  <c r="L3155" i="1"/>
  <c r="M3155" i="1"/>
  <c r="N3155" i="1"/>
  <c r="A3156" i="1"/>
  <c r="B3156" i="1"/>
  <c r="F3156" i="1"/>
  <c r="G3156" i="1"/>
  <c r="H3156" i="1"/>
  <c r="I3156" i="1"/>
  <c r="J3156" i="1"/>
  <c r="K3156" i="1"/>
  <c r="L3156" i="1"/>
  <c r="M3156" i="1"/>
  <c r="N3156" i="1"/>
  <c r="A3157" i="1"/>
  <c r="B3157" i="1"/>
  <c r="F3157" i="1"/>
  <c r="G3157" i="1"/>
  <c r="H3157" i="1"/>
  <c r="I3157" i="1"/>
  <c r="J3157" i="1"/>
  <c r="K3157" i="1"/>
  <c r="L3157" i="1"/>
  <c r="M3157" i="1"/>
  <c r="N3157" i="1"/>
  <c r="A3158" i="1"/>
  <c r="B3158" i="1"/>
  <c r="F3158" i="1"/>
  <c r="G3158" i="1"/>
  <c r="H3158" i="1"/>
  <c r="I3158" i="1"/>
  <c r="J3158" i="1"/>
  <c r="K3158" i="1"/>
  <c r="L3158" i="1"/>
  <c r="M3158" i="1"/>
  <c r="N3158" i="1"/>
  <c r="A3159" i="1"/>
  <c r="B3159" i="1"/>
  <c r="F3159" i="1"/>
  <c r="G3159" i="1"/>
  <c r="H3159" i="1"/>
  <c r="I3159" i="1"/>
  <c r="J3159" i="1"/>
  <c r="K3159" i="1"/>
  <c r="L3159" i="1"/>
  <c r="M3159" i="1"/>
  <c r="N3159" i="1"/>
  <c r="A3160" i="1"/>
  <c r="B3160" i="1"/>
  <c r="F3160" i="1"/>
  <c r="G3160" i="1"/>
  <c r="H3160" i="1"/>
  <c r="I3160" i="1"/>
  <c r="J3160" i="1"/>
  <c r="K3160" i="1"/>
  <c r="L3160" i="1"/>
  <c r="M3160" i="1"/>
  <c r="N3160" i="1"/>
  <c r="A3161" i="1"/>
  <c r="B3161" i="1"/>
  <c r="F3161" i="1"/>
  <c r="G3161" i="1"/>
  <c r="H3161" i="1"/>
  <c r="I3161" i="1"/>
  <c r="J3161" i="1"/>
  <c r="K3161" i="1"/>
  <c r="L3161" i="1"/>
  <c r="M3161" i="1"/>
  <c r="N3161" i="1"/>
  <c r="A3162" i="1"/>
  <c r="B3162" i="1"/>
  <c r="F3162" i="1"/>
  <c r="G3162" i="1"/>
  <c r="H3162" i="1"/>
  <c r="I3162" i="1"/>
  <c r="J3162" i="1"/>
  <c r="K3162" i="1"/>
  <c r="L3162" i="1"/>
  <c r="M3162" i="1"/>
  <c r="N3162" i="1"/>
  <c r="A3163" i="1"/>
  <c r="B3163" i="1"/>
  <c r="F3163" i="1"/>
  <c r="G3163" i="1"/>
  <c r="H3163" i="1"/>
  <c r="I3163" i="1"/>
  <c r="J3163" i="1"/>
  <c r="K3163" i="1"/>
  <c r="L3163" i="1"/>
  <c r="M3163" i="1"/>
  <c r="N3163" i="1"/>
  <c r="A3164" i="1"/>
  <c r="B3164" i="1"/>
  <c r="F3164" i="1"/>
  <c r="G3164" i="1"/>
  <c r="H3164" i="1"/>
  <c r="I3164" i="1"/>
  <c r="J3164" i="1"/>
  <c r="K3164" i="1"/>
  <c r="L3164" i="1"/>
  <c r="M3164" i="1"/>
  <c r="N3164" i="1"/>
  <c r="A3165" i="1"/>
  <c r="B3165" i="1"/>
  <c r="F3165" i="1"/>
  <c r="G3165" i="1"/>
  <c r="H3165" i="1"/>
  <c r="I3165" i="1"/>
  <c r="J3165" i="1"/>
  <c r="K3165" i="1"/>
  <c r="L3165" i="1"/>
  <c r="M3165" i="1"/>
  <c r="N3165" i="1"/>
  <c r="A3166" i="1"/>
  <c r="B3166" i="1"/>
  <c r="F3166" i="1"/>
  <c r="G3166" i="1"/>
  <c r="H3166" i="1"/>
  <c r="I3166" i="1"/>
  <c r="J3166" i="1"/>
  <c r="K3166" i="1"/>
  <c r="L3166" i="1"/>
  <c r="M3166" i="1"/>
  <c r="N3166" i="1"/>
  <c r="A3167" i="1"/>
  <c r="B3167" i="1"/>
  <c r="F3167" i="1"/>
  <c r="G3167" i="1"/>
  <c r="H3167" i="1"/>
  <c r="I3167" i="1"/>
  <c r="J3167" i="1"/>
  <c r="K3167" i="1"/>
  <c r="L3167" i="1"/>
  <c r="M3167" i="1"/>
  <c r="N3167" i="1"/>
  <c r="A3168" i="1"/>
  <c r="B3168" i="1"/>
  <c r="F3168" i="1"/>
  <c r="G3168" i="1"/>
  <c r="H3168" i="1"/>
  <c r="I3168" i="1"/>
  <c r="J3168" i="1"/>
  <c r="K3168" i="1"/>
  <c r="L3168" i="1"/>
  <c r="M3168" i="1"/>
  <c r="N3168" i="1"/>
  <c r="A3169" i="1"/>
  <c r="B3169" i="1"/>
  <c r="F3169" i="1"/>
  <c r="G3169" i="1"/>
  <c r="H3169" i="1"/>
  <c r="I3169" i="1"/>
  <c r="J3169" i="1"/>
  <c r="K3169" i="1"/>
  <c r="L3169" i="1"/>
  <c r="M3169" i="1"/>
  <c r="N3169" i="1"/>
  <c r="A3170" i="1"/>
  <c r="B3170" i="1"/>
  <c r="F3170" i="1"/>
  <c r="G3170" i="1"/>
  <c r="H3170" i="1"/>
  <c r="I3170" i="1"/>
  <c r="J3170" i="1"/>
  <c r="K3170" i="1"/>
  <c r="L3170" i="1"/>
  <c r="M3170" i="1"/>
  <c r="N3170" i="1"/>
  <c r="A3171" i="1"/>
  <c r="B3171" i="1"/>
  <c r="F3171" i="1"/>
  <c r="G3171" i="1"/>
  <c r="H3171" i="1"/>
  <c r="I3171" i="1"/>
  <c r="J3171" i="1"/>
  <c r="K3171" i="1"/>
  <c r="L3171" i="1"/>
  <c r="M3171" i="1"/>
  <c r="N3171" i="1"/>
  <c r="A3172" i="1"/>
  <c r="B3172" i="1"/>
  <c r="F3172" i="1"/>
  <c r="G3172" i="1"/>
  <c r="H3172" i="1"/>
  <c r="I3172" i="1"/>
  <c r="J3172" i="1"/>
  <c r="K3172" i="1"/>
  <c r="L3172" i="1"/>
  <c r="M3172" i="1"/>
  <c r="N3172" i="1"/>
  <c r="A3173" i="1"/>
  <c r="B3173" i="1"/>
  <c r="F3173" i="1"/>
  <c r="G3173" i="1"/>
  <c r="H3173" i="1"/>
  <c r="I3173" i="1"/>
  <c r="J3173" i="1"/>
  <c r="K3173" i="1"/>
  <c r="L3173" i="1"/>
  <c r="M3173" i="1"/>
  <c r="N3173" i="1"/>
  <c r="A3174" i="1"/>
  <c r="B3174" i="1"/>
  <c r="F3174" i="1"/>
  <c r="G3174" i="1"/>
  <c r="H3174" i="1"/>
  <c r="I3174" i="1"/>
  <c r="J3174" i="1"/>
  <c r="K3174" i="1"/>
  <c r="L3174" i="1"/>
  <c r="M3174" i="1"/>
  <c r="N3174" i="1"/>
  <c r="A3175" i="1"/>
  <c r="B3175" i="1"/>
  <c r="F3175" i="1"/>
  <c r="G3175" i="1"/>
  <c r="H3175" i="1"/>
  <c r="I3175" i="1"/>
  <c r="J3175" i="1"/>
  <c r="K3175" i="1"/>
  <c r="L3175" i="1"/>
  <c r="M3175" i="1"/>
  <c r="N3175" i="1"/>
  <c r="A3176" i="1"/>
  <c r="B3176" i="1"/>
  <c r="F3176" i="1"/>
  <c r="G3176" i="1"/>
  <c r="H3176" i="1"/>
  <c r="I3176" i="1"/>
  <c r="J3176" i="1"/>
  <c r="K3176" i="1"/>
  <c r="L3176" i="1"/>
  <c r="M3176" i="1"/>
  <c r="N3176" i="1"/>
  <c r="A3177" i="1"/>
  <c r="B3177" i="1"/>
  <c r="F3177" i="1"/>
  <c r="G3177" i="1"/>
  <c r="H3177" i="1"/>
  <c r="I3177" i="1"/>
  <c r="J3177" i="1"/>
  <c r="K3177" i="1"/>
  <c r="L3177" i="1"/>
  <c r="M3177" i="1"/>
  <c r="N3177" i="1"/>
  <c r="A3178" i="1"/>
  <c r="B3178" i="1"/>
  <c r="F3178" i="1"/>
  <c r="G3178" i="1"/>
  <c r="H3178" i="1"/>
  <c r="I3178" i="1"/>
  <c r="J3178" i="1"/>
  <c r="K3178" i="1"/>
  <c r="L3178" i="1"/>
  <c r="M3178" i="1"/>
  <c r="N3178" i="1"/>
  <c r="A3179" i="1"/>
  <c r="B3179" i="1"/>
  <c r="F3179" i="1"/>
  <c r="G3179" i="1"/>
  <c r="H3179" i="1"/>
  <c r="I3179" i="1"/>
  <c r="J3179" i="1"/>
  <c r="K3179" i="1"/>
  <c r="L3179" i="1"/>
  <c r="M3179" i="1"/>
  <c r="N3179" i="1"/>
  <c r="A3180" i="1"/>
  <c r="B3180" i="1"/>
  <c r="F3180" i="1"/>
  <c r="G3180" i="1"/>
  <c r="H3180" i="1"/>
  <c r="I3180" i="1"/>
  <c r="J3180" i="1"/>
  <c r="K3180" i="1"/>
  <c r="L3180" i="1"/>
  <c r="M3180" i="1"/>
  <c r="N3180" i="1"/>
  <c r="A3181" i="1"/>
  <c r="B3181" i="1"/>
  <c r="F3181" i="1"/>
  <c r="G3181" i="1"/>
  <c r="H3181" i="1"/>
  <c r="I3181" i="1"/>
  <c r="J3181" i="1"/>
  <c r="K3181" i="1"/>
  <c r="L3181" i="1"/>
  <c r="M3181" i="1"/>
  <c r="N3181" i="1"/>
  <c r="A3182" i="1"/>
  <c r="B3182" i="1"/>
  <c r="F3182" i="1"/>
  <c r="G3182" i="1"/>
  <c r="H3182" i="1"/>
  <c r="I3182" i="1"/>
  <c r="J3182" i="1"/>
  <c r="K3182" i="1"/>
  <c r="L3182" i="1"/>
  <c r="M3182" i="1"/>
  <c r="N3182" i="1"/>
  <c r="A3183" i="1"/>
  <c r="B3183" i="1"/>
  <c r="F3183" i="1"/>
  <c r="G3183" i="1"/>
  <c r="H3183" i="1"/>
  <c r="I3183" i="1"/>
  <c r="J3183" i="1"/>
  <c r="K3183" i="1"/>
  <c r="L3183" i="1"/>
  <c r="M3183" i="1"/>
  <c r="N3183" i="1"/>
  <c r="A3184" i="1"/>
  <c r="B3184" i="1"/>
  <c r="F3184" i="1"/>
  <c r="G3184" i="1"/>
  <c r="H3184" i="1"/>
  <c r="I3184" i="1"/>
  <c r="J3184" i="1"/>
  <c r="K3184" i="1"/>
  <c r="L3184" i="1"/>
  <c r="M3184" i="1"/>
  <c r="N3184" i="1"/>
  <c r="A3185" i="1"/>
  <c r="B3185" i="1"/>
  <c r="F3185" i="1"/>
  <c r="G3185" i="1"/>
  <c r="H3185" i="1"/>
  <c r="I3185" i="1"/>
  <c r="J3185" i="1"/>
  <c r="K3185" i="1"/>
  <c r="L3185" i="1"/>
  <c r="M3185" i="1"/>
  <c r="N3185" i="1"/>
  <c r="A3186" i="1"/>
  <c r="B3186" i="1"/>
  <c r="F3186" i="1"/>
  <c r="G3186" i="1"/>
  <c r="H3186" i="1"/>
  <c r="I3186" i="1"/>
  <c r="J3186" i="1"/>
  <c r="K3186" i="1"/>
  <c r="L3186" i="1"/>
  <c r="M3186" i="1"/>
  <c r="N3186" i="1"/>
  <c r="A3187" i="1"/>
  <c r="B3187" i="1"/>
  <c r="F3187" i="1"/>
  <c r="G3187" i="1"/>
  <c r="H3187" i="1"/>
  <c r="I3187" i="1"/>
  <c r="J3187" i="1"/>
  <c r="K3187" i="1"/>
  <c r="L3187" i="1"/>
  <c r="M3187" i="1"/>
  <c r="N3187" i="1"/>
  <c r="A3188" i="1"/>
  <c r="B3188" i="1"/>
  <c r="F3188" i="1"/>
  <c r="G3188" i="1"/>
  <c r="H3188" i="1"/>
  <c r="I3188" i="1"/>
  <c r="J3188" i="1"/>
  <c r="K3188" i="1"/>
  <c r="L3188" i="1"/>
  <c r="M3188" i="1"/>
  <c r="N3188" i="1"/>
  <c r="A3189" i="1"/>
  <c r="B3189" i="1"/>
  <c r="F3189" i="1"/>
  <c r="G3189" i="1"/>
  <c r="H3189" i="1"/>
  <c r="I3189" i="1"/>
  <c r="J3189" i="1"/>
  <c r="K3189" i="1"/>
  <c r="L3189" i="1"/>
  <c r="M3189" i="1"/>
  <c r="N3189" i="1"/>
  <c r="A3190" i="1"/>
  <c r="B3190" i="1"/>
  <c r="F3190" i="1"/>
  <c r="G3190" i="1"/>
  <c r="H3190" i="1"/>
  <c r="I3190" i="1"/>
  <c r="J3190" i="1"/>
  <c r="K3190" i="1"/>
  <c r="L3190" i="1"/>
  <c r="M3190" i="1"/>
  <c r="N3190" i="1"/>
  <c r="A3191" i="1"/>
  <c r="B3191" i="1"/>
  <c r="F3191" i="1"/>
  <c r="G3191" i="1"/>
  <c r="H3191" i="1"/>
  <c r="I3191" i="1"/>
  <c r="J3191" i="1"/>
  <c r="K3191" i="1"/>
  <c r="L3191" i="1"/>
  <c r="M3191" i="1"/>
  <c r="N3191" i="1"/>
  <c r="A3192" i="1"/>
  <c r="B3192" i="1"/>
  <c r="F3192" i="1"/>
  <c r="G3192" i="1"/>
  <c r="H3192" i="1"/>
  <c r="I3192" i="1"/>
  <c r="J3192" i="1"/>
  <c r="K3192" i="1"/>
  <c r="L3192" i="1"/>
  <c r="M3192" i="1"/>
  <c r="N3192" i="1"/>
  <c r="A3193" i="1"/>
  <c r="B3193" i="1"/>
  <c r="F3193" i="1"/>
  <c r="G3193" i="1"/>
  <c r="H3193" i="1"/>
  <c r="I3193" i="1"/>
  <c r="J3193" i="1"/>
  <c r="K3193" i="1"/>
  <c r="L3193" i="1"/>
  <c r="M3193" i="1"/>
  <c r="N3193" i="1"/>
  <c r="A3194" i="1"/>
  <c r="B3194" i="1"/>
  <c r="F3194" i="1"/>
  <c r="G3194" i="1"/>
  <c r="H3194" i="1"/>
  <c r="I3194" i="1"/>
  <c r="J3194" i="1"/>
  <c r="K3194" i="1"/>
  <c r="L3194" i="1"/>
  <c r="M3194" i="1"/>
  <c r="N3194" i="1"/>
  <c r="A3195" i="1"/>
  <c r="B3195" i="1"/>
  <c r="F3195" i="1"/>
  <c r="G3195" i="1"/>
  <c r="H3195" i="1"/>
  <c r="I3195" i="1"/>
  <c r="J3195" i="1"/>
  <c r="K3195" i="1"/>
  <c r="L3195" i="1"/>
  <c r="M3195" i="1"/>
  <c r="N3195" i="1"/>
  <c r="A3196" i="1"/>
  <c r="B3196" i="1"/>
  <c r="F3196" i="1"/>
  <c r="G3196" i="1"/>
  <c r="H3196" i="1"/>
  <c r="I3196" i="1"/>
  <c r="J3196" i="1"/>
  <c r="K3196" i="1"/>
  <c r="L3196" i="1"/>
  <c r="M3196" i="1"/>
  <c r="N3196" i="1"/>
  <c r="A3197" i="1"/>
  <c r="B3197" i="1"/>
  <c r="F3197" i="1"/>
  <c r="G3197" i="1"/>
  <c r="H3197" i="1"/>
  <c r="I3197" i="1"/>
  <c r="J3197" i="1"/>
  <c r="K3197" i="1"/>
  <c r="L3197" i="1"/>
  <c r="M3197" i="1"/>
  <c r="N3197" i="1"/>
  <c r="A3198" i="1"/>
  <c r="B3198" i="1"/>
  <c r="F3198" i="1"/>
  <c r="G3198" i="1"/>
  <c r="H3198" i="1"/>
  <c r="I3198" i="1"/>
  <c r="J3198" i="1"/>
  <c r="K3198" i="1"/>
  <c r="L3198" i="1"/>
  <c r="M3198" i="1"/>
  <c r="N3198" i="1"/>
  <c r="A3199" i="1"/>
  <c r="B3199" i="1"/>
  <c r="F3199" i="1"/>
  <c r="G3199" i="1"/>
  <c r="H3199" i="1"/>
  <c r="I3199" i="1"/>
  <c r="J3199" i="1"/>
  <c r="K3199" i="1"/>
  <c r="L3199" i="1"/>
  <c r="M3199" i="1"/>
  <c r="N3199" i="1"/>
  <c r="A3200" i="1"/>
  <c r="B3200" i="1"/>
  <c r="F3200" i="1"/>
  <c r="G3200" i="1"/>
  <c r="H3200" i="1"/>
  <c r="I3200" i="1"/>
  <c r="J3200" i="1"/>
  <c r="K3200" i="1"/>
  <c r="L3200" i="1"/>
  <c r="M3200" i="1"/>
  <c r="N3200" i="1"/>
  <c r="A3201" i="1"/>
  <c r="B3201" i="1"/>
  <c r="F3201" i="1"/>
  <c r="G3201" i="1"/>
  <c r="H3201" i="1"/>
  <c r="I3201" i="1"/>
  <c r="J3201" i="1"/>
  <c r="K3201" i="1"/>
  <c r="L3201" i="1"/>
  <c r="M3201" i="1"/>
  <c r="N3201" i="1"/>
  <c r="A3202" i="1"/>
  <c r="B3202" i="1"/>
  <c r="F3202" i="1"/>
  <c r="G3202" i="1"/>
  <c r="H3202" i="1"/>
  <c r="I3202" i="1"/>
  <c r="J3202" i="1"/>
  <c r="K3202" i="1"/>
  <c r="L3202" i="1"/>
  <c r="M3202" i="1"/>
  <c r="N3202" i="1"/>
  <c r="A3203" i="1"/>
  <c r="B3203" i="1"/>
  <c r="F3203" i="1"/>
  <c r="G3203" i="1"/>
  <c r="H3203" i="1"/>
  <c r="I3203" i="1"/>
  <c r="J3203" i="1"/>
  <c r="K3203" i="1"/>
  <c r="L3203" i="1"/>
  <c r="M3203" i="1"/>
  <c r="N3203" i="1"/>
  <c r="A3204" i="1"/>
  <c r="B3204" i="1"/>
  <c r="F3204" i="1"/>
  <c r="G3204" i="1"/>
  <c r="H3204" i="1"/>
  <c r="I3204" i="1"/>
  <c r="J3204" i="1"/>
  <c r="K3204" i="1"/>
  <c r="L3204" i="1"/>
  <c r="M3204" i="1"/>
  <c r="N3204" i="1"/>
  <c r="A3205" i="1"/>
  <c r="B3205" i="1"/>
  <c r="F3205" i="1"/>
  <c r="G3205" i="1"/>
  <c r="H3205" i="1"/>
  <c r="I3205" i="1"/>
  <c r="J3205" i="1"/>
  <c r="K3205" i="1"/>
  <c r="L3205" i="1"/>
  <c r="M3205" i="1"/>
  <c r="N3205" i="1"/>
  <c r="A3206" i="1"/>
  <c r="B3206" i="1"/>
  <c r="F3206" i="1"/>
  <c r="G3206" i="1"/>
  <c r="H3206" i="1"/>
  <c r="I3206" i="1"/>
  <c r="J3206" i="1"/>
  <c r="K3206" i="1"/>
  <c r="L3206" i="1"/>
  <c r="M3206" i="1"/>
  <c r="N3206" i="1"/>
  <c r="A3207" i="1"/>
  <c r="B3207" i="1"/>
  <c r="F3207" i="1"/>
  <c r="G3207" i="1"/>
  <c r="H3207" i="1"/>
  <c r="I3207" i="1"/>
  <c r="J3207" i="1"/>
  <c r="K3207" i="1"/>
  <c r="L3207" i="1"/>
  <c r="M3207" i="1"/>
  <c r="N3207" i="1"/>
  <c r="A3208" i="1"/>
  <c r="B3208" i="1"/>
  <c r="F3208" i="1"/>
  <c r="G3208" i="1"/>
  <c r="H3208" i="1"/>
  <c r="I3208" i="1"/>
  <c r="J3208" i="1"/>
  <c r="K3208" i="1"/>
  <c r="L3208" i="1"/>
  <c r="M3208" i="1"/>
  <c r="N3208" i="1"/>
  <c r="A3209" i="1"/>
  <c r="B3209" i="1"/>
  <c r="F3209" i="1"/>
  <c r="G3209" i="1"/>
  <c r="H3209" i="1"/>
  <c r="I3209" i="1"/>
  <c r="J3209" i="1"/>
  <c r="K3209" i="1"/>
  <c r="L3209" i="1"/>
  <c r="M3209" i="1"/>
  <c r="N3209" i="1"/>
  <c r="A3210" i="1"/>
  <c r="B3210" i="1"/>
  <c r="F3210" i="1"/>
  <c r="G3210" i="1"/>
  <c r="H3210" i="1"/>
  <c r="I3210" i="1"/>
  <c r="J3210" i="1"/>
  <c r="K3210" i="1"/>
  <c r="L3210" i="1"/>
  <c r="M3210" i="1"/>
  <c r="N3210" i="1"/>
  <c r="A3211" i="1"/>
  <c r="B3211" i="1"/>
  <c r="F3211" i="1"/>
  <c r="G3211" i="1"/>
  <c r="H3211" i="1"/>
  <c r="I3211" i="1"/>
  <c r="J3211" i="1"/>
  <c r="K3211" i="1"/>
  <c r="L3211" i="1"/>
  <c r="M3211" i="1"/>
  <c r="N3211" i="1"/>
  <c r="A3212" i="1"/>
  <c r="B3212" i="1"/>
  <c r="F3212" i="1"/>
  <c r="G3212" i="1"/>
  <c r="H3212" i="1"/>
  <c r="I3212" i="1"/>
  <c r="J3212" i="1"/>
  <c r="K3212" i="1"/>
  <c r="L3212" i="1"/>
  <c r="M3212" i="1"/>
  <c r="N3212" i="1"/>
  <c r="A3213" i="1"/>
  <c r="B3213" i="1"/>
  <c r="F3213" i="1"/>
  <c r="G3213" i="1"/>
  <c r="H3213" i="1"/>
  <c r="I3213" i="1"/>
  <c r="J3213" i="1"/>
  <c r="K3213" i="1"/>
  <c r="L3213" i="1"/>
  <c r="M3213" i="1"/>
  <c r="N3213" i="1"/>
  <c r="A3214" i="1"/>
  <c r="B3214" i="1"/>
  <c r="F3214" i="1"/>
  <c r="G3214" i="1"/>
  <c r="H3214" i="1"/>
  <c r="I3214" i="1"/>
  <c r="J3214" i="1"/>
  <c r="K3214" i="1"/>
  <c r="L3214" i="1"/>
  <c r="M3214" i="1"/>
  <c r="N3214" i="1"/>
  <c r="A3215" i="1"/>
  <c r="B3215" i="1"/>
  <c r="F3215" i="1"/>
  <c r="G3215" i="1"/>
  <c r="H3215" i="1"/>
  <c r="I3215" i="1"/>
  <c r="J3215" i="1"/>
  <c r="K3215" i="1"/>
  <c r="L3215" i="1"/>
  <c r="M3215" i="1"/>
  <c r="N3215" i="1"/>
  <c r="A3216" i="1"/>
  <c r="B3216" i="1"/>
  <c r="F3216" i="1"/>
  <c r="G3216" i="1"/>
  <c r="H3216" i="1"/>
  <c r="I3216" i="1"/>
  <c r="J3216" i="1"/>
  <c r="K3216" i="1"/>
  <c r="L3216" i="1"/>
  <c r="M3216" i="1"/>
  <c r="N3216" i="1"/>
  <c r="A3217" i="1"/>
  <c r="B3217" i="1"/>
  <c r="F3217" i="1"/>
  <c r="G3217" i="1"/>
  <c r="H3217" i="1"/>
  <c r="I3217" i="1"/>
  <c r="J3217" i="1"/>
  <c r="K3217" i="1"/>
  <c r="L3217" i="1"/>
  <c r="M3217" i="1"/>
  <c r="N3217" i="1"/>
  <c r="A3218" i="1"/>
  <c r="B3218" i="1"/>
  <c r="F3218" i="1"/>
  <c r="G3218" i="1"/>
  <c r="H3218" i="1"/>
  <c r="I3218" i="1"/>
  <c r="J3218" i="1"/>
  <c r="K3218" i="1"/>
  <c r="L3218" i="1"/>
  <c r="M3218" i="1"/>
  <c r="N3218" i="1"/>
  <c r="A3219" i="1"/>
  <c r="B3219" i="1"/>
  <c r="F3219" i="1"/>
  <c r="G3219" i="1"/>
  <c r="H3219" i="1"/>
  <c r="I3219" i="1"/>
  <c r="J3219" i="1"/>
  <c r="K3219" i="1"/>
  <c r="L3219" i="1"/>
  <c r="M3219" i="1"/>
  <c r="N3219" i="1"/>
  <c r="A3220" i="1"/>
  <c r="B3220" i="1"/>
  <c r="F3220" i="1"/>
  <c r="G3220" i="1"/>
  <c r="H3220" i="1"/>
  <c r="I3220" i="1"/>
  <c r="J3220" i="1"/>
  <c r="K3220" i="1"/>
  <c r="L3220" i="1"/>
  <c r="M3220" i="1"/>
  <c r="N3220" i="1"/>
  <c r="A3221" i="1"/>
  <c r="B3221" i="1"/>
  <c r="F3221" i="1"/>
  <c r="G3221" i="1"/>
  <c r="H3221" i="1"/>
  <c r="I3221" i="1"/>
  <c r="J3221" i="1"/>
  <c r="K3221" i="1"/>
  <c r="L3221" i="1"/>
  <c r="M3221" i="1"/>
  <c r="N3221" i="1"/>
  <c r="A3222" i="1"/>
  <c r="B3222" i="1"/>
  <c r="F3222" i="1"/>
  <c r="G3222" i="1"/>
  <c r="H3222" i="1"/>
  <c r="I3222" i="1"/>
  <c r="J3222" i="1"/>
  <c r="K3222" i="1"/>
  <c r="L3222" i="1"/>
  <c r="M3222" i="1"/>
  <c r="N3222" i="1"/>
  <c r="A3223" i="1"/>
  <c r="B3223" i="1"/>
  <c r="F3223" i="1"/>
  <c r="G3223" i="1"/>
  <c r="H3223" i="1"/>
  <c r="I3223" i="1"/>
  <c r="J3223" i="1"/>
  <c r="K3223" i="1"/>
  <c r="L3223" i="1"/>
  <c r="M3223" i="1"/>
  <c r="N3223" i="1"/>
  <c r="A3224" i="1"/>
  <c r="B3224" i="1"/>
  <c r="F3224" i="1"/>
  <c r="G3224" i="1"/>
  <c r="H3224" i="1"/>
  <c r="I3224" i="1"/>
  <c r="J3224" i="1"/>
  <c r="K3224" i="1"/>
  <c r="L3224" i="1"/>
  <c r="M3224" i="1"/>
  <c r="N3224" i="1"/>
  <c r="A3225" i="1"/>
  <c r="B3225" i="1"/>
  <c r="F3225" i="1"/>
  <c r="G3225" i="1"/>
  <c r="H3225" i="1"/>
  <c r="I3225" i="1"/>
  <c r="J3225" i="1"/>
  <c r="K3225" i="1"/>
  <c r="L3225" i="1"/>
  <c r="M3225" i="1"/>
  <c r="N3225" i="1"/>
  <c r="A3226" i="1"/>
  <c r="B3226" i="1"/>
  <c r="F3226" i="1"/>
  <c r="G3226" i="1"/>
  <c r="H3226" i="1"/>
  <c r="I3226" i="1"/>
  <c r="J3226" i="1"/>
  <c r="K3226" i="1"/>
  <c r="L3226" i="1"/>
  <c r="M3226" i="1"/>
  <c r="N3226" i="1"/>
  <c r="A3227" i="1"/>
  <c r="B3227" i="1"/>
  <c r="F3227" i="1"/>
  <c r="G3227" i="1"/>
  <c r="H3227" i="1"/>
  <c r="I3227" i="1"/>
  <c r="J3227" i="1"/>
  <c r="K3227" i="1"/>
  <c r="L3227" i="1"/>
  <c r="M3227" i="1"/>
  <c r="N3227" i="1"/>
  <c r="A3228" i="1"/>
  <c r="B3228" i="1"/>
  <c r="F3228" i="1"/>
  <c r="G3228" i="1"/>
  <c r="H3228" i="1"/>
  <c r="I3228" i="1"/>
  <c r="J3228" i="1"/>
  <c r="K3228" i="1"/>
  <c r="L3228" i="1"/>
  <c r="M3228" i="1"/>
  <c r="N3228" i="1"/>
  <c r="A3229" i="1"/>
  <c r="B3229" i="1"/>
  <c r="F3229" i="1"/>
  <c r="G3229" i="1"/>
  <c r="H3229" i="1"/>
  <c r="I3229" i="1"/>
  <c r="J3229" i="1"/>
  <c r="K3229" i="1"/>
  <c r="L3229" i="1"/>
  <c r="M3229" i="1"/>
  <c r="N3229" i="1"/>
  <c r="A3230" i="1"/>
  <c r="B3230" i="1"/>
  <c r="F3230" i="1"/>
  <c r="G3230" i="1"/>
  <c r="H3230" i="1"/>
  <c r="I3230" i="1"/>
  <c r="J3230" i="1"/>
  <c r="K3230" i="1"/>
  <c r="L3230" i="1"/>
  <c r="M3230" i="1"/>
  <c r="N3230" i="1"/>
  <c r="A3231" i="1"/>
  <c r="B3231" i="1"/>
  <c r="F3231" i="1"/>
  <c r="G3231" i="1"/>
  <c r="H3231" i="1"/>
  <c r="I3231" i="1"/>
  <c r="J3231" i="1"/>
  <c r="K3231" i="1"/>
  <c r="L3231" i="1"/>
  <c r="M3231" i="1"/>
  <c r="N3231" i="1"/>
  <c r="A3232" i="1"/>
  <c r="B3232" i="1"/>
  <c r="F3232" i="1"/>
  <c r="G3232" i="1"/>
  <c r="H3232" i="1"/>
  <c r="I3232" i="1"/>
  <c r="J3232" i="1"/>
  <c r="K3232" i="1"/>
  <c r="L3232" i="1"/>
  <c r="M3232" i="1"/>
  <c r="N3232" i="1"/>
  <c r="A3233" i="1"/>
  <c r="B3233" i="1"/>
  <c r="F3233" i="1"/>
  <c r="G3233" i="1"/>
  <c r="H3233" i="1"/>
  <c r="I3233" i="1"/>
  <c r="J3233" i="1"/>
  <c r="K3233" i="1"/>
  <c r="L3233" i="1"/>
  <c r="M3233" i="1"/>
  <c r="N3233" i="1"/>
  <c r="A3234" i="1"/>
  <c r="B3234" i="1"/>
  <c r="F3234" i="1"/>
  <c r="G3234" i="1"/>
  <c r="H3234" i="1"/>
  <c r="I3234" i="1"/>
  <c r="J3234" i="1"/>
  <c r="K3234" i="1"/>
  <c r="L3234" i="1"/>
  <c r="M3234" i="1"/>
  <c r="N3234" i="1"/>
  <c r="A3235" i="1"/>
  <c r="B3235" i="1"/>
  <c r="F3235" i="1"/>
  <c r="G3235" i="1"/>
  <c r="H3235" i="1"/>
  <c r="I3235" i="1"/>
  <c r="J3235" i="1"/>
  <c r="K3235" i="1"/>
  <c r="L3235" i="1"/>
  <c r="M3235" i="1"/>
  <c r="N3235" i="1"/>
  <c r="A3236" i="1"/>
  <c r="B3236" i="1"/>
  <c r="F3236" i="1"/>
  <c r="G3236" i="1"/>
  <c r="H3236" i="1"/>
  <c r="I3236" i="1"/>
  <c r="J3236" i="1"/>
  <c r="K3236" i="1"/>
  <c r="L3236" i="1"/>
  <c r="M3236" i="1"/>
  <c r="N3236" i="1"/>
  <c r="A3237" i="1"/>
  <c r="B3237" i="1"/>
  <c r="F3237" i="1"/>
  <c r="G3237" i="1"/>
  <c r="H3237" i="1"/>
  <c r="I3237" i="1"/>
  <c r="J3237" i="1"/>
  <c r="K3237" i="1"/>
  <c r="L3237" i="1"/>
  <c r="M3237" i="1"/>
  <c r="N3237" i="1"/>
  <c r="A3238" i="1"/>
  <c r="B3238" i="1"/>
  <c r="F3238" i="1"/>
  <c r="G3238" i="1"/>
  <c r="H3238" i="1"/>
  <c r="I3238" i="1"/>
  <c r="J3238" i="1"/>
  <c r="K3238" i="1"/>
  <c r="L3238" i="1"/>
  <c r="M3238" i="1"/>
  <c r="N3238" i="1"/>
  <c r="A3239" i="1"/>
  <c r="B3239" i="1"/>
  <c r="F3239" i="1"/>
  <c r="G3239" i="1"/>
  <c r="H3239" i="1"/>
  <c r="I3239" i="1"/>
  <c r="J3239" i="1"/>
  <c r="K3239" i="1"/>
  <c r="L3239" i="1"/>
  <c r="M3239" i="1"/>
  <c r="N3239" i="1"/>
  <c r="A3240" i="1"/>
  <c r="B3240" i="1"/>
  <c r="F3240" i="1"/>
  <c r="G3240" i="1"/>
  <c r="H3240" i="1"/>
  <c r="I3240" i="1"/>
  <c r="J3240" i="1"/>
  <c r="K3240" i="1"/>
  <c r="L3240" i="1"/>
  <c r="M3240" i="1"/>
  <c r="N3240" i="1"/>
  <c r="A3241" i="1"/>
  <c r="B3241" i="1"/>
  <c r="F3241" i="1"/>
  <c r="G3241" i="1"/>
  <c r="H3241" i="1"/>
  <c r="I3241" i="1"/>
  <c r="J3241" i="1"/>
  <c r="K3241" i="1"/>
  <c r="L3241" i="1"/>
  <c r="M3241" i="1"/>
  <c r="N3241" i="1"/>
  <c r="A3242" i="1"/>
  <c r="B3242" i="1"/>
  <c r="F3242" i="1"/>
  <c r="G3242" i="1"/>
  <c r="H3242" i="1"/>
  <c r="I3242" i="1"/>
  <c r="J3242" i="1"/>
  <c r="K3242" i="1"/>
  <c r="L3242" i="1"/>
  <c r="M3242" i="1"/>
  <c r="N3242" i="1"/>
  <c r="A3243" i="1"/>
  <c r="B3243" i="1"/>
  <c r="F3243" i="1"/>
  <c r="G3243" i="1"/>
  <c r="H3243" i="1"/>
  <c r="I3243" i="1"/>
  <c r="J3243" i="1"/>
  <c r="K3243" i="1"/>
  <c r="L3243" i="1"/>
  <c r="M3243" i="1"/>
  <c r="N3243" i="1"/>
  <c r="A3244" i="1"/>
  <c r="B3244" i="1"/>
  <c r="F3244" i="1"/>
  <c r="G3244" i="1"/>
  <c r="H3244" i="1"/>
  <c r="I3244" i="1"/>
  <c r="J3244" i="1"/>
  <c r="K3244" i="1"/>
  <c r="L3244" i="1"/>
  <c r="M3244" i="1"/>
  <c r="N3244" i="1"/>
  <c r="A3245" i="1"/>
  <c r="B3245" i="1"/>
  <c r="F3245" i="1"/>
  <c r="G3245" i="1"/>
  <c r="H3245" i="1"/>
  <c r="I3245" i="1"/>
  <c r="J3245" i="1"/>
  <c r="K3245" i="1"/>
  <c r="L3245" i="1"/>
  <c r="M3245" i="1"/>
  <c r="N3245" i="1"/>
  <c r="A3246" i="1"/>
  <c r="B3246" i="1"/>
  <c r="F3246" i="1"/>
  <c r="G3246" i="1"/>
  <c r="H3246" i="1"/>
  <c r="I3246" i="1"/>
  <c r="J3246" i="1"/>
  <c r="K3246" i="1"/>
  <c r="L3246" i="1"/>
  <c r="M3246" i="1"/>
  <c r="N3246" i="1"/>
  <c r="A3247" i="1"/>
  <c r="B3247" i="1"/>
  <c r="F3247" i="1"/>
  <c r="G3247" i="1"/>
  <c r="H3247" i="1"/>
  <c r="I3247" i="1"/>
  <c r="J3247" i="1"/>
  <c r="K3247" i="1"/>
  <c r="L3247" i="1"/>
  <c r="M3247" i="1"/>
  <c r="N3247" i="1"/>
  <c r="A3248" i="1"/>
  <c r="B3248" i="1"/>
  <c r="F3248" i="1"/>
  <c r="G3248" i="1"/>
  <c r="H3248" i="1"/>
  <c r="I3248" i="1"/>
  <c r="J3248" i="1"/>
  <c r="K3248" i="1"/>
  <c r="L3248" i="1"/>
  <c r="M3248" i="1"/>
  <c r="N3248" i="1"/>
  <c r="A3249" i="1"/>
  <c r="B3249" i="1"/>
  <c r="F3249" i="1"/>
  <c r="G3249" i="1"/>
  <c r="H3249" i="1"/>
  <c r="I3249" i="1"/>
  <c r="J3249" i="1"/>
  <c r="K3249" i="1"/>
  <c r="L3249" i="1"/>
  <c r="M3249" i="1"/>
  <c r="N3249" i="1"/>
  <c r="A3250" i="1"/>
  <c r="B3250" i="1"/>
  <c r="F3250" i="1"/>
  <c r="G3250" i="1"/>
  <c r="H3250" i="1"/>
  <c r="I3250" i="1"/>
  <c r="J3250" i="1"/>
  <c r="K3250" i="1"/>
  <c r="L3250" i="1"/>
  <c r="M3250" i="1"/>
  <c r="N3250" i="1"/>
  <c r="A3251" i="1"/>
  <c r="B3251" i="1"/>
  <c r="F3251" i="1"/>
  <c r="G3251" i="1"/>
  <c r="H3251" i="1"/>
  <c r="I3251" i="1"/>
  <c r="J3251" i="1"/>
  <c r="K3251" i="1"/>
  <c r="L3251" i="1"/>
  <c r="M3251" i="1"/>
  <c r="N3251" i="1"/>
  <c r="A3252" i="1"/>
  <c r="B3252" i="1"/>
  <c r="F3252" i="1"/>
  <c r="G3252" i="1"/>
  <c r="H3252" i="1"/>
  <c r="I3252" i="1"/>
  <c r="J3252" i="1"/>
  <c r="K3252" i="1"/>
  <c r="L3252" i="1"/>
  <c r="M3252" i="1"/>
  <c r="N3252" i="1"/>
  <c r="A3253" i="1"/>
  <c r="B3253" i="1"/>
  <c r="F3253" i="1"/>
  <c r="G3253" i="1"/>
  <c r="H3253" i="1"/>
  <c r="I3253" i="1"/>
  <c r="J3253" i="1"/>
  <c r="K3253" i="1"/>
  <c r="L3253" i="1"/>
  <c r="M3253" i="1"/>
  <c r="N3253" i="1"/>
  <c r="A3254" i="1"/>
  <c r="B3254" i="1"/>
  <c r="F3254" i="1"/>
  <c r="G3254" i="1"/>
  <c r="H3254" i="1"/>
  <c r="I3254" i="1"/>
  <c r="J3254" i="1"/>
  <c r="K3254" i="1"/>
  <c r="L3254" i="1"/>
  <c r="M3254" i="1"/>
  <c r="N3254" i="1"/>
  <c r="A3255" i="1"/>
  <c r="B3255" i="1"/>
  <c r="F3255" i="1"/>
  <c r="G3255" i="1"/>
  <c r="H3255" i="1"/>
  <c r="I3255" i="1"/>
  <c r="J3255" i="1"/>
  <c r="K3255" i="1"/>
  <c r="L3255" i="1"/>
  <c r="M3255" i="1"/>
  <c r="N3255" i="1"/>
  <c r="A3256" i="1"/>
  <c r="B3256" i="1"/>
  <c r="F3256" i="1"/>
  <c r="G3256" i="1"/>
  <c r="H3256" i="1"/>
  <c r="I3256" i="1"/>
  <c r="J3256" i="1"/>
  <c r="K3256" i="1"/>
  <c r="L3256" i="1"/>
  <c r="M3256" i="1"/>
  <c r="N3256" i="1"/>
  <c r="A3257" i="1"/>
  <c r="B3257" i="1"/>
  <c r="F3257" i="1"/>
  <c r="G3257" i="1"/>
  <c r="H3257" i="1"/>
  <c r="I3257" i="1"/>
  <c r="J3257" i="1"/>
  <c r="K3257" i="1"/>
  <c r="L3257" i="1"/>
  <c r="M3257" i="1"/>
  <c r="N3257" i="1"/>
  <c r="A3258" i="1"/>
  <c r="B3258" i="1"/>
  <c r="F3258" i="1"/>
  <c r="G3258" i="1"/>
  <c r="H3258" i="1"/>
  <c r="I3258" i="1"/>
  <c r="J3258" i="1"/>
  <c r="K3258" i="1"/>
  <c r="L3258" i="1"/>
  <c r="M3258" i="1"/>
  <c r="N3258" i="1"/>
  <c r="A3259" i="1"/>
  <c r="B3259" i="1"/>
  <c r="F3259" i="1"/>
  <c r="G3259" i="1"/>
  <c r="H3259" i="1"/>
  <c r="I3259" i="1"/>
  <c r="J3259" i="1"/>
  <c r="K3259" i="1"/>
  <c r="L3259" i="1"/>
  <c r="M3259" i="1"/>
  <c r="N3259" i="1"/>
  <c r="A3260" i="1"/>
  <c r="B3260" i="1"/>
  <c r="F3260" i="1"/>
  <c r="G3260" i="1"/>
  <c r="H3260" i="1"/>
  <c r="I3260" i="1"/>
  <c r="J3260" i="1"/>
  <c r="K3260" i="1"/>
  <c r="L3260" i="1"/>
  <c r="M3260" i="1"/>
  <c r="N3260" i="1"/>
  <c r="A3261" i="1"/>
  <c r="B3261" i="1"/>
  <c r="F3261" i="1"/>
  <c r="G3261" i="1"/>
  <c r="H3261" i="1"/>
  <c r="I3261" i="1"/>
  <c r="J3261" i="1"/>
  <c r="K3261" i="1"/>
  <c r="L3261" i="1"/>
  <c r="M3261" i="1"/>
  <c r="N3261" i="1"/>
  <c r="A3262" i="1"/>
  <c r="B3262" i="1"/>
  <c r="F3262" i="1"/>
  <c r="G3262" i="1"/>
  <c r="H3262" i="1"/>
  <c r="I3262" i="1"/>
  <c r="J3262" i="1"/>
  <c r="K3262" i="1"/>
  <c r="L3262" i="1"/>
  <c r="M3262" i="1"/>
  <c r="N3262" i="1"/>
  <c r="A3263" i="1"/>
  <c r="B3263" i="1"/>
  <c r="F3263" i="1"/>
  <c r="G3263" i="1"/>
  <c r="H3263" i="1"/>
  <c r="I3263" i="1"/>
  <c r="J3263" i="1"/>
  <c r="K3263" i="1"/>
  <c r="L3263" i="1"/>
  <c r="M3263" i="1"/>
  <c r="N3263" i="1"/>
  <c r="A3264" i="1"/>
  <c r="B3264" i="1"/>
  <c r="F3264" i="1"/>
  <c r="G3264" i="1"/>
  <c r="H3264" i="1"/>
  <c r="I3264" i="1"/>
  <c r="J3264" i="1"/>
  <c r="K3264" i="1"/>
  <c r="L3264" i="1"/>
  <c r="M3264" i="1"/>
  <c r="N3264" i="1"/>
  <c r="A3265" i="1"/>
  <c r="B3265" i="1"/>
  <c r="F3265" i="1"/>
  <c r="G3265" i="1"/>
  <c r="H3265" i="1"/>
  <c r="I3265" i="1"/>
  <c r="J3265" i="1"/>
  <c r="K3265" i="1"/>
  <c r="L3265" i="1"/>
  <c r="M3265" i="1"/>
  <c r="N3265" i="1"/>
  <c r="A3266" i="1"/>
  <c r="B3266" i="1"/>
  <c r="F3266" i="1"/>
  <c r="G3266" i="1"/>
  <c r="H3266" i="1"/>
  <c r="I3266" i="1"/>
  <c r="J3266" i="1"/>
  <c r="K3266" i="1"/>
  <c r="L3266" i="1"/>
  <c r="M3266" i="1"/>
  <c r="N3266" i="1"/>
  <c r="A3267" i="1"/>
  <c r="B3267" i="1"/>
  <c r="F3267" i="1"/>
  <c r="G3267" i="1"/>
  <c r="H3267" i="1"/>
  <c r="I3267" i="1"/>
  <c r="J3267" i="1"/>
  <c r="K3267" i="1"/>
  <c r="L3267" i="1"/>
  <c r="M3267" i="1"/>
  <c r="N3267" i="1"/>
  <c r="A3268" i="1"/>
  <c r="B3268" i="1"/>
  <c r="F3268" i="1"/>
  <c r="G3268" i="1"/>
  <c r="H3268" i="1"/>
  <c r="I3268" i="1"/>
  <c r="J3268" i="1"/>
  <c r="K3268" i="1"/>
  <c r="L3268" i="1"/>
  <c r="M3268" i="1"/>
  <c r="N3268" i="1"/>
  <c r="A3269" i="1"/>
  <c r="B3269" i="1"/>
  <c r="F3269" i="1"/>
  <c r="G3269" i="1"/>
  <c r="H3269" i="1"/>
  <c r="I3269" i="1"/>
  <c r="J3269" i="1"/>
  <c r="K3269" i="1"/>
  <c r="L3269" i="1"/>
  <c r="M3269" i="1"/>
  <c r="N3269" i="1"/>
  <c r="A3270" i="1"/>
  <c r="B3270" i="1"/>
  <c r="F3270" i="1"/>
  <c r="G3270" i="1"/>
  <c r="H3270" i="1"/>
  <c r="I3270" i="1"/>
  <c r="J3270" i="1"/>
  <c r="K3270" i="1"/>
  <c r="L3270" i="1"/>
  <c r="M3270" i="1"/>
  <c r="N3270" i="1"/>
  <c r="A3271" i="1"/>
  <c r="B3271" i="1"/>
  <c r="F3271" i="1"/>
  <c r="G3271" i="1"/>
  <c r="H3271" i="1"/>
  <c r="I3271" i="1"/>
  <c r="J3271" i="1"/>
  <c r="K3271" i="1"/>
  <c r="L3271" i="1"/>
  <c r="M3271" i="1"/>
  <c r="N3271" i="1"/>
  <c r="A3272" i="1"/>
  <c r="B3272" i="1"/>
  <c r="F3272" i="1"/>
  <c r="G3272" i="1"/>
  <c r="H3272" i="1"/>
  <c r="I3272" i="1"/>
  <c r="J3272" i="1"/>
  <c r="K3272" i="1"/>
  <c r="L3272" i="1"/>
  <c r="M3272" i="1"/>
  <c r="N3272" i="1"/>
  <c r="A3273" i="1"/>
  <c r="B3273" i="1"/>
  <c r="F3273" i="1"/>
  <c r="G3273" i="1"/>
  <c r="H3273" i="1"/>
  <c r="I3273" i="1"/>
  <c r="J3273" i="1"/>
  <c r="K3273" i="1"/>
  <c r="L3273" i="1"/>
  <c r="M3273" i="1"/>
  <c r="N3273" i="1"/>
  <c r="A3274" i="1"/>
  <c r="B3274" i="1"/>
  <c r="F3274" i="1"/>
  <c r="G3274" i="1"/>
  <c r="H3274" i="1"/>
  <c r="I3274" i="1"/>
  <c r="J3274" i="1"/>
  <c r="K3274" i="1"/>
  <c r="L3274" i="1"/>
  <c r="M3274" i="1"/>
  <c r="N3274" i="1"/>
  <c r="A3275" i="1"/>
  <c r="B3275" i="1"/>
  <c r="F3275" i="1"/>
  <c r="G3275" i="1"/>
  <c r="H3275" i="1"/>
  <c r="I3275" i="1"/>
  <c r="J3275" i="1"/>
  <c r="K3275" i="1"/>
  <c r="L3275" i="1"/>
  <c r="M3275" i="1"/>
  <c r="N3275" i="1"/>
  <c r="A3276" i="1"/>
  <c r="B3276" i="1"/>
  <c r="F3276" i="1"/>
  <c r="G3276" i="1"/>
  <c r="H3276" i="1"/>
  <c r="I3276" i="1"/>
  <c r="J3276" i="1"/>
  <c r="K3276" i="1"/>
  <c r="L3276" i="1"/>
  <c r="M3276" i="1"/>
  <c r="N3276" i="1"/>
  <c r="A3277" i="1"/>
  <c r="B3277" i="1"/>
  <c r="F3277" i="1"/>
  <c r="G3277" i="1"/>
  <c r="H3277" i="1"/>
  <c r="I3277" i="1"/>
  <c r="J3277" i="1"/>
  <c r="K3277" i="1"/>
  <c r="L3277" i="1"/>
  <c r="M3277" i="1"/>
  <c r="N3277" i="1"/>
  <c r="A3278" i="1"/>
  <c r="B3278" i="1"/>
  <c r="F3278" i="1"/>
  <c r="G3278" i="1"/>
  <c r="H3278" i="1"/>
  <c r="I3278" i="1"/>
  <c r="J3278" i="1"/>
  <c r="K3278" i="1"/>
  <c r="L3278" i="1"/>
  <c r="M3278" i="1"/>
  <c r="N3278" i="1"/>
  <c r="A3279" i="1"/>
  <c r="B3279" i="1"/>
  <c r="F3279" i="1"/>
  <c r="G3279" i="1"/>
  <c r="H3279" i="1"/>
  <c r="I3279" i="1"/>
  <c r="J3279" i="1"/>
  <c r="K3279" i="1"/>
  <c r="L3279" i="1"/>
  <c r="M3279" i="1"/>
  <c r="N3279" i="1"/>
  <c r="A3280" i="1"/>
  <c r="B3280" i="1"/>
  <c r="F3280" i="1"/>
  <c r="G3280" i="1"/>
  <c r="H3280" i="1"/>
  <c r="I3280" i="1"/>
  <c r="J3280" i="1"/>
  <c r="K3280" i="1"/>
  <c r="L3280" i="1"/>
  <c r="M3280" i="1"/>
  <c r="N3280" i="1"/>
  <c r="A3281" i="1"/>
  <c r="B3281" i="1"/>
  <c r="F3281" i="1"/>
  <c r="G3281" i="1"/>
  <c r="H3281" i="1"/>
  <c r="I3281" i="1"/>
  <c r="J3281" i="1"/>
  <c r="K3281" i="1"/>
  <c r="L3281" i="1"/>
  <c r="M3281" i="1"/>
  <c r="N3281" i="1"/>
  <c r="A3282" i="1"/>
  <c r="B3282" i="1"/>
  <c r="F3282" i="1"/>
  <c r="G3282" i="1"/>
  <c r="H3282" i="1"/>
  <c r="I3282" i="1"/>
  <c r="J3282" i="1"/>
  <c r="K3282" i="1"/>
  <c r="L3282" i="1"/>
  <c r="M3282" i="1"/>
  <c r="N3282" i="1"/>
  <c r="A3283" i="1"/>
  <c r="B3283" i="1"/>
  <c r="F3283" i="1"/>
  <c r="G3283" i="1"/>
  <c r="H3283" i="1"/>
  <c r="I3283" i="1"/>
  <c r="J3283" i="1"/>
  <c r="K3283" i="1"/>
  <c r="L3283" i="1"/>
  <c r="M3283" i="1"/>
  <c r="N3283" i="1"/>
  <c r="A3284" i="1"/>
  <c r="B3284" i="1"/>
  <c r="F3284" i="1"/>
  <c r="G3284" i="1"/>
  <c r="H3284" i="1"/>
  <c r="I3284" i="1"/>
  <c r="J3284" i="1"/>
  <c r="K3284" i="1"/>
  <c r="L3284" i="1"/>
  <c r="M3284" i="1"/>
  <c r="N3284" i="1"/>
  <c r="A3285" i="1"/>
  <c r="B3285" i="1"/>
  <c r="F3285" i="1"/>
  <c r="G3285" i="1"/>
  <c r="H3285" i="1"/>
  <c r="I3285" i="1"/>
  <c r="J3285" i="1"/>
  <c r="K3285" i="1"/>
  <c r="L3285" i="1"/>
  <c r="M3285" i="1"/>
  <c r="N3285" i="1"/>
  <c r="A3286" i="1"/>
  <c r="B3286" i="1"/>
  <c r="F3286" i="1"/>
  <c r="G3286" i="1"/>
  <c r="H3286" i="1"/>
  <c r="I3286" i="1"/>
  <c r="J3286" i="1"/>
  <c r="K3286" i="1"/>
  <c r="L3286" i="1"/>
  <c r="M3286" i="1"/>
  <c r="N3286" i="1"/>
  <c r="A3287" i="1"/>
  <c r="B3287" i="1"/>
  <c r="F3287" i="1"/>
  <c r="G3287" i="1"/>
  <c r="H3287" i="1"/>
  <c r="I3287" i="1"/>
  <c r="J3287" i="1"/>
  <c r="K3287" i="1"/>
  <c r="L3287" i="1"/>
  <c r="M3287" i="1"/>
  <c r="N3287" i="1"/>
  <c r="A3288" i="1"/>
  <c r="B3288" i="1"/>
  <c r="F3288" i="1"/>
  <c r="G3288" i="1"/>
  <c r="H3288" i="1"/>
  <c r="I3288" i="1"/>
  <c r="J3288" i="1"/>
  <c r="K3288" i="1"/>
  <c r="L3288" i="1"/>
  <c r="M3288" i="1"/>
  <c r="N3288" i="1"/>
  <c r="A3289" i="1"/>
  <c r="B3289" i="1"/>
  <c r="F3289" i="1"/>
  <c r="G3289" i="1"/>
  <c r="H3289" i="1"/>
  <c r="I3289" i="1"/>
  <c r="J3289" i="1"/>
  <c r="K3289" i="1"/>
  <c r="L3289" i="1"/>
  <c r="M3289" i="1"/>
  <c r="N3289" i="1"/>
  <c r="A3290" i="1"/>
  <c r="B3290" i="1"/>
  <c r="F3290" i="1"/>
  <c r="G3290" i="1"/>
  <c r="H3290" i="1"/>
  <c r="I3290" i="1"/>
  <c r="J3290" i="1"/>
  <c r="K3290" i="1"/>
  <c r="L3290" i="1"/>
  <c r="M3290" i="1"/>
  <c r="N3290" i="1"/>
  <c r="A3291" i="1"/>
  <c r="B3291" i="1"/>
  <c r="F3291" i="1"/>
  <c r="G3291" i="1"/>
  <c r="H3291" i="1"/>
  <c r="I3291" i="1"/>
  <c r="J3291" i="1"/>
  <c r="K3291" i="1"/>
  <c r="L3291" i="1"/>
  <c r="M3291" i="1"/>
  <c r="N3291" i="1"/>
  <c r="A3292" i="1"/>
  <c r="B3292" i="1"/>
  <c r="F3292" i="1"/>
  <c r="G3292" i="1"/>
  <c r="H3292" i="1"/>
  <c r="I3292" i="1"/>
  <c r="J3292" i="1"/>
  <c r="K3292" i="1"/>
  <c r="L3292" i="1"/>
  <c r="M3292" i="1"/>
  <c r="N3292" i="1"/>
  <c r="A3293" i="1"/>
  <c r="B3293" i="1"/>
  <c r="F3293" i="1"/>
  <c r="G3293" i="1"/>
  <c r="H3293" i="1"/>
  <c r="I3293" i="1"/>
  <c r="J3293" i="1"/>
  <c r="K3293" i="1"/>
  <c r="L3293" i="1"/>
  <c r="M3293" i="1"/>
  <c r="N3293" i="1"/>
  <c r="A3294" i="1"/>
  <c r="B3294" i="1"/>
  <c r="F3294" i="1"/>
  <c r="G3294" i="1"/>
  <c r="H3294" i="1"/>
  <c r="I3294" i="1"/>
  <c r="J3294" i="1"/>
  <c r="K3294" i="1"/>
  <c r="L3294" i="1"/>
  <c r="M3294" i="1"/>
  <c r="N3294" i="1"/>
  <c r="A3295" i="1"/>
  <c r="B3295" i="1"/>
  <c r="F3295" i="1"/>
  <c r="G3295" i="1"/>
  <c r="H3295" i="1"/>
  <c r="I3295" i="1"/>
  <c r="J3295" i="1"/>
  <c r="K3295" i="1"/>
  <c r="L3295" i="1"/>
  <c r="M3295" i="1"/>
  <c r="N3295" i="1"/>
  <c r="A3296" i="1"/>
  <c r="B3296" i="1"/>
  <c r="F3296" i="1"/>
  <c r="G3296" i="1"/>
  <c r="H3296" i="1"/>
  <c r="I3296" i="1"/>
  <c r="J3296" i="1"/>
  <c r="K3296" i="1"/>
  <c r="L3296" i="1"/>
  <c r="M3296" i="1"/>
  <c r="N3296" i="1"/>
  <c r="A3297" i="1"/>
  <c r="B3297" i="1"/>
  <c r="F3297" i="1"/>
  <c r="G3297" i="1"/>
  <c r="H3297" i="1"/>
  <c r="I3297" i="1"/>
  <c r="J3297" i="1"/>
  <c r="K3297" i="1"/>
  <c r="L3297" i="1"/>
  <c r="M3297" i="1"/>
  <c r="N3297" i="1"/>
  <c r="A3298" i="1"/>
  <c r="B3298" i="1"/>
  <c r="F3298" i="1"/>
  <c r="G3298" i="1"/>
  <c r="H3298" i="1"/>
  <c r="I3298" i="1"/>
  <c r="J3298" i="1"/>
  <c r="K3298" i="1"/>
  <c r="L3298" i="1"/>
  <c r="M3298" i="1"/>
  <c r="N3298" i="1"/>
  <c r="A3299" i="1"/>
  <c r="B3299" i="1"/>
  <c r="F3299" i="1"/>
  <c r="G3299" i="1"/>
  <c r="H3299" i="1"/>
  <c r="I3299" i="1"/>
  <c r="J3299" i="1"/>
  <c r="K3299" i="1"/>
  <c r="L3299" i="1"/>
  <c r="M3299" i="1"/>
  <c r="N3299" i="1"/>
  <c r="A3300" i="1"/>
  <c r="B3300" i="1"/>
  <c r="F3300" i="1"/>
  <c r="G3300" i="1"/>
  <c r="H3300" i="1"/>
  <c r="I3300" i="1"/>
  <c r="J3300" i="1"/>
  <c r="K3300" i="1"/>
  <c r="L3300" i="1"/>
  <c r="M3300" i="1"/>
  <c r="N3300" i="1"/>
  <c r="A3301" i="1"/>
  <c r="B3301" i="1"/>
  <c r="F3301" i="1"/>
  <c r="G3301" i="1"/>
  <c r="H3301" i="1"/>
  <c r="I3301" i="1"/>
  <c r="J3301" i="1"/>
  <c r="K3301" i="1"/>
  <c r="L3301" i="1"/>
  <c r="M3301" i="1"/>
  <c r="N3301" i="1"/>
  <c r="A3302" i="1"/>
  <c r="B3302" i="1"/>
  <c r="F3302" i="1"/>
  <c r="G3302" i="1"/>
  <c r="H3302" i="1"/>
  <c r="I3302" i="1"/>
  <c r="J3302" i="1"/>
  <c r="K3302" i="1"/>
  <c r="L3302" i="1"/>
  <c r="M3302" i="1"/>
  <c r="N3302" i="1"/>
  <c r="A3303" i="1"/>
  <c r="B3303" i="1"/>
  <c r="F3303" i="1"/>
  <c r="G3303" i="1"/>
  <c r="H3303" i="1"/>
  <c r="I3303" i="1"/>
  <c r="J3303" i="1"/>
  <c r="K3303" i="1"/>
  <c r="L3303" i="1"/>
  <c r="M3303" i="1"/>
  <c r="N3303" i="1"/>
  <c r="A3304" i="1"/>
  <c r="B3304" i="1"/>
  <c r="F3304" i="1"/>
  <c r="G3304" i="1"/>
  <c r="H3304" i="1"/>
  <c r="I3304" i="1"/>
  <c r="J3304" i="1"/>
  <c r="K3304" i="1"/>
  <c r="L3304" i="1"/>
  <c r="M3304" i="1"/>
  <c r="N3304" i="1"/>
  <c r="A3305" i="1"/>
  <c r="B3305" i="1"/>
  <c r="F3305" i="1"/>
  <c r="G3305" i="1"/>
  <c r="H3305" i="1"/>
  <c r="I3305" i="1"/>
  <c r="J3305" i="1"/>
  <c r="K3305" i="1"/>
  <c r="L3305" i="1"/>
  <c r="M3305" i="1"/>
  <c r="N3305" i="1"/>
  <c r="A3306" i="1"/>
  <c r="B3306" i="1"/>
  <c r="F3306" i="1"/>
  <c r="G3306" i="1"/>
  <c r="H3306" i="1"/>
  <c r="I3306" i="1"/>
  <c r="J3306" i="1"/>
  <c r="K3306" i="1"/>
  <c r="L3306" i="1"/>
  <c r="M3306" i="1"/>
  <c r="N3306" i="1"/>
  <c r="A3307" i="1"/>
  <c r="B3307" i="1"/>
  <c r="F3307" i="1"/>
  <c r="G3307" i="1"/>
  <c r="H3307" i="1"/>
  <c r="I3307" i="1"/>
  <c r="J3307" i="1"/>
  <c r="K3307" i="1"/>
  <c r="L3307" i="1"/>
  <c r="M3307" i="1"/>
  <c r="N3307" i="1"/>
  <c r="A3308" i="1"/>
  <c r="B3308" i="1"/>
  <c r="F3308" i="1"/>
  <c r="G3308" i="1"/>
  <c r="H3308" i="1"/>
  <c r="I3308" i="1"/>
  <c r="J3308" i="1"/>
  <c r="K3308" i="1"/>
  <c r="L3308" i="1"/>
  <c r="M3308" i="1"/>
  <c r="N3308" i="1"/>
  <c r="A3309" i="1"/>
  <c r="B3309" i="1"/>
  <c r="F3309" i="1"/>
  <c r="G3309" i="1"/>
  <c r="H3309" i="1"/>
  <c r="I3309" i="1"/>
  <c r="J3309" i="1"/>
  <c r="K3309" i="1"/>
  <c r="L3309" i="1"/>
  <c r="M3309" i="1"/>
  <c r="N3309" i="1"/>
  <c r="A3310" i="1"/>
  <c r="B3310" i="1"/>
  <c r="F3310" i="1"/>
  <c r="G3310" i="1"/>
  <c r="H3310" i="1"/>
  <c r="I3310" i="1"/>
  <c r="J3310" i="1"/>
  <c r="K3310" i="1"/>
  <c r="L3310" i="1"/>
  <c r="M3310" i="1"/>
  <c r="N3310" i="1"/>
  <c r="A3311" i="1"/>
  <c r="B3311" i="1"/>
  <c r="F3311" i="1"/>
  <c r="G3311" i="1"/>
  <c r="H3311" i="1"/>
  <c r="I3311" i="1"/>
  <c r="J3311" i="1"/>
  <c r="K3311" i="1"/>
  <c r="L3311" i="1"/>
  <c r="M3311" i="1"/>
  <c r="N3311" i="1"/>
  <c r="A3312" i="1"/>
  <c r="B3312" i="1"/>
  <c r="F3312" i="1"/>
  <c r="G3312" i="1"/>
  <c r="H3312" i="1"/>
  <c r="I3312" i="1"/>
  <c r="J3312" i="1"/>
  <c r="K3312" i="1"/>
  <c r="L3312" i="1"/>
  <c r="M3312" i="1"/>
  <c r="N3312" i="1"/>
  <c r="A3313" i="1"/>
  <c r="B3313" i="1"/>
  <c r="F3313" i="1"/>
  <c r="G3313" i="1"/>
  <c r="H3313" i="1"/>
  <c r="I3313" i="1"/>
  <c r="J3313" i="1"/>
  <c r="K3313" i="1"/>
  <c r="L3313" i="1"/>
  <c r="M3313" i="1"/>
  <c r="N3313" i="1"/>
  <c r="A3314" i="1"/>
  <c r="B3314" i="1"/>
  <c r="F3314" i="1"/>
  <c r="G3314" i="1"/>
  <c r="H3314" i="1"/>
  <c r="I3314" i="1"/>
  <c r="J3314" i="1"/>
  <c r="K3314" i="1"/>
  <c r="L3314" i="1"/>
  <c r="M3314" i="1"/>
  <c r="N3314" i="1"/>
  <c r="A3315" i="1"/>
  <c r="B3315" i="1"/>
  <c r="F3315" i="1"/>
  <c r="G3315" i="1"/>
  <c r="H3315" i="1"/>
  <c r="I3315" i="1"/>
  <c r="J3315" i="1"/>
  <c r="K3315" i="1"/>
  <c r="L3315" i="1"/>
  <c r="M3315" i="1"/>
  <c r="N3315" i="1"/>
  <c r="A3316" i="1"/>
  <c r="B3316" i="1"/>
  <c r="F3316" i="1"/>
  <c r="G3316" i="1"/>
  <c r="H3316" i="1"/>
  <c r="I3316" i="1"/>
  <c r="J3316" i="1"/>
  <c r="K3316" i="1"/>
  <c r="L3316" i="1"/>
  <c r="M3316" i="1"/>
  <c r="N3316" i="1"/>
  <c r="A3317" i="1"/>
  <c r="B3317" i="1"/>
  <c r="F3317" i="1"/>
  <c r="G3317" i="1"/>
  <c r="H3317" i="1"/>
  <c r="I3317" i="1"/>
  <c r="J3317" i="1"/>
  <c r="K3317" i="1"/>
  <c r="L3317" i="1"/>
  <c r="M3317" i="1"/>
  <c r="N3317" i="1"/>
  <c r="A3318" i="1"/>
  <c r="B3318" i="1"/>
  <c r="F3318" i="1"/>
  <c r="G3318" i="1"/>
  <c r="H3318" i="1"/>
  <c r="I3318" i="1"/>
  <c r="J3318" i="1"/>
  <c r="K3318" i="1"/>
  <c r="L3318" i="1"/>
  <c r="M3318" i="1"/>
  <c r="N3318" i="1"/>
  <c r="A3319" i="1"/>
  <c r="B3319" i="1"/>
  <c r="F3319" i="1"/>
  <c r="G3319" i="1"/>
  <c r="H3319" i="1"/>
  <c r="I3319" i="1"/>
  <c r="J3319" i="1"/>
  <c r="K3319" i="1"/>
  <c r="L3319" i="1"/>
  <c r="M3319" i="1"/>
  <c r="N3319" i="1"/>
  <c r="A3320" i="1"/>
  <c r="B3320" i="1"/>
  <c r="F3320" i="1"/>
  <c r="G3320" i="1"/>
  <c r="H3320" i="1"/>
  <c r="I3320" i="1"/>
  <c r="J3320" i="1"/>
  <c r="K3320" i="1"/>
  <c r="L3320" i="1"/>
  <c r="M3320" i="1"/>
  <c r="N3320" i="1"/>
  <c r="A3321" i="1"/>
  <c r="B3321" i="1"/>
  <c r="F3321" i="1"/>
  <c r="G3321" i="1"/>
  <c r="H3321" i="1"/>
  <c r="I3321" i="1"/>
  <c r="J3321" i="1"/>
  <c r="K3321" i="1"/>
  <c r="L3321" i="1"/>
  <c r="M3321" i="1"/>
  <c r="N3321" i="1"/>
  <c r="A3322" i="1"/>
  <c r="B3322" i="1"/>
  <c r="F3322" i="1"/>
  <c r="G3322" i="1"/>
  <c r="H3322" i="1"/>
  <c r="I3322" i="1"/>
  <c r="J3322" i="1"/>
  <c r="K3322" i="1"/>
  <c r="L3322" i="1"/>
  <c r="M3322" i="1"/>
  <c r="N3322" i="1"/>
  <c r="A3323" i="1"/>
  <c r="B3323" i="1"/>
  <c r="F3323" i="1"/>
  <c r="G3323" i="1"/>
  <c r="H3323" i="1"/>
  <c r="I3323" i="1"/>
  <c r="J3323" i="1"/>
  <c r="K3323" i="1"/>
  <c r="L3323" i="1"/>
  <c r="M3323" i="1"/>
  <c r="N3323" i="1"/>
  <c r="A3324" i="1"/>
  <c r="B3324" i="1"/>
  <c r="F3324" i="1"/>
  <c r="G3324" i="1"/>
  <c r="H3324" i="1"/>
  <c r="I3324" i="1"/>
  <c r="J3324" i="1"/>
  <c r="K3324" i="1"/>
  <c r="L3324" i="1"/>
  <c r="M3324" i="1"/>
  <c r="N3324" i="1"/>
  <c r="A3325" i="1"/>
  <c r="B3325" i="1"/>
  <c r="F3325" i="1"/>
  <c r="G3325" i="1"/>
  <c r="H3325" i="1"/>
  <c r="I3325" i="1"/>
  <c r="J3325" i="1"/>
  <c r="K3325" i="1"/>
  <c r="L3325" i="1"/>
  <c r="M3325" i="1"/>
  <c r="N3325" i="1"/>
  <c r="A3326" i="1"/>
  <c r="B3326" i="1"/>
  <c r="F3326" i="1"/>
  <c r="G3326" i="1"/>
  <c r="H3326" i="1"/>
  <c r="I3326" i="1"/>
  <c r="J3326" i="1"/>
  <c r="K3326" i="1"/>
  <c r="L3326" i="1"/>
  <c r="M3326" i="1"/>
  <c r="N3326" i="1"/>
  <c r="A3327" i="1"/>
  <c r="B3327" i="1"/>
  <c r="F3327" i="1"/>
  <c r="G3327" i="1"/>
  <c r="H3327" i="1"/>
  <c r="I3327" i="1"/>
  <c r="J3327" i="1"/>
  <c r="K3327" i="1"/>
  <c r="L3327" i="1"/>
  <c r="M3327" i="1"/>
  <c r="N3327" i="1"/>
  <c r="A3328" i="1"/>
  <c r="B3328" i="1"/>
  <c r="F3328" i="1"/>
  <c r="G3328" i="1"/>
  <c r="H3328" i="1"/>
  <c r="I3328" i="1"/>
  <c r="J3328" i="1"/>
  <c r="K3328" i="1"/>
  <c r="L3328" i="1"/>
  <c r="M3328" i="1"/>
  <c r="N3328" i="1"/>
  <c r="A3329" i="1"/>
  <c r="B3329" i="1"/>
  <c r="F3329" i="1"/>
  <c r="G3329" i="1"/>
  <c r="H3329" i="1"/>
  <c r="I3329" i="1"/>
  <c r="J3329" i="1"/>
  <c r="K3329" i="1"/>
  <c r="L3329" i="1"/>
  <c r="M3329" i="1"/>
  <c r="N3329" i="1"/>
  <c r="A3330" i="1"/>
  <c r="B3330" i="1"/>
  <c r="F3330" i="1"/>
  <c r="G3330" i="1"/>
  <c r="H3330" i="1"/>
  <c r="I3330" i="1"/>
  <c r="J3330" i="1"/>
  <c r="K3330" i="1"/>
  <c r="L3330" i="1"/>
  <c r="M3330" i="1"/>
  <c r="N3330" i="1"/>
  <c r="A3331" i="1"/>
  <c r="B3331" i="1"/>
  <c r="F3331" i="1"/>
  <c r="G3331" i="1"/>
  <c r="H3331" i="1"/>
  <c r="I3331" i="1"/>
  <c r="J3331" i="1"/>
  <c r="K3331" i="1"/>
  <c r="L3331" i="1"/>
  <c r="M3331" i="1"/>
  <c r="N3331" i="1"/>
  <c r="A3332" i="1"/>
  <c r="B3332" i="1"/>
  <c r="F3332" i="1"/>
  <c r="G3332" i="1"/>
  <c r="H3332" i="1"/>
  <c r="I3332" i="1"/>
  <c r="J3332" i="1"/>
  <c r="K3332" i="1"/>
  <c r="L3332" i="1"/>
  <c r="M3332" i="1"/>
  <c r="N3332" i="1"/>
  <c r="A3333" i="1"/>
  <c r="B3333" i="1"/>
  <c r="F3333" i="1"/>
  <c r="G3333" i="1"/>
  <c r="H3333" i="1"/>
  <c r="I3333" i="1"/>
  <c r="J3333" i="1"/>
  <c r="K3333" i="1"/>
  <c r="L3333" i="1"/>
  <c r="M3333" i="1"/>
  <c r="N3333" i="1"/>
  <c r="A3334" i="1"/>
  <c r="B3334" i="1"/>
  <c r="F3334" i="1"/>
  <c r="G3334" i="1"/>
  <c r="H3334" i="1"/>
  <c r="I3334" i="1"/>
  <c r="J3334" i="1"/>
  <c r="K3334" i="1"/>
  <c r="L3334" i="1"/>
  <c r="M3334" i="1"/>
  <c r="N3334" i="1"/>
  <c r="A3335" i="1"/>
  <c r="B3335" i="1"/>
  <c r="F3335" i="1"/>
  <c r="G3335" i="1"/>
  <c r="H3335" i="1"/>
  <c r="I3335" i="1"/>
  <c r="J3335" i="1"/>
  <c r="K3335" i="1"/>
  <c r="L3335" i="1"/>
  <c r="M3335" i="1"/>
  <c r="N3335" i="1"/>
  <c r="A3336" i="1"/>
  <c r="B3336" i="1"/>
  <c r="F3336" i="1"/>
  <c r="G3336" i="1"/>
  <c r="H3336" i="1"/>
  <c r="I3336" i="1"/>
  <c r="J3336" i="1"/>
  <c r="K3336" i="1"/>
  <c r="L3336" i="1"/>
  <c r="M3336" i="1"/>
  <c r="N3336" i="1"/>
  <c r="A3337" i="1"/>
  <c r="B3337" i="1"/>
  <c r="F3337" i="1"/>
  <c r="G3337" i="1"/>
  <c r="H3337" i="1"/>
  <c r="I3337" i="1"/>
  <c r="J3337" i="1"/>
  <c r="K3337" i="1"/>
  <c r="L3337" i="1"/>
  <c r="M3337" i="1"/>
  <c r="N3337" i="1"/>
  <c r="A3338" i="1"/>
  <c r="B3338" i="1"/>
  <c r="F3338" i="1"/>
  <c r="G3338" i="1"/>
  <c r="H3338" i="1"/>
  <c r="I3338" i="1"/>
  <c r="J3338" i="1"/>
  <c r="K3338" i="1"/>
  <c r="L3338" i="1"/>
  <c r="M3338" i="1"/>
  <c r="N3338" i="1"/>
  <c r="A3339" i="1"/>
  <c r="B3339" i="1"/>
  <c r="F3339" i="1"/>
  <c r="G3339" i="1"/>
  <c r="H3339" i="1"/>
  <c r="I3339" i="1"/>
  <c r="J3339" i="1"/>
  <c r="K3339" i="1"/>
  <c r="L3339" i="1"/>
  <c r="M3339" i="1"/>
  <c r="N3339" i="1"/>
  <c r="A3340" i="1"/>
  <c r="B3340" i="1"/>
  <c r="F3340" i="1"/>
  <c r="G3340" i="1"/>
  <c r="H3340" i="1"/>
  <c r="I3340" i="1"/>
  <c r="J3340" i="1"/>
  <c r="K3340" i="1"/>
  <c r="L3340" i="1"/>
  <c r="M3340" i="1"/>
  <c r="N3340" i="1"/>
  <c r="A3341" i="1"/>
  <c r="B3341" i="1"/>
  <c r="F3341" i="1"/>
  <c r="G3341" i="1"/>
  <c r="H3341" i="1"/>
  <c r="I3341" i="1"/>
  <c r="J3341" i="1"/>
  <c r="K3341" i="1"/>
  <c r="L3341" i="1"/>
  <c r="M3341" i="1"/>
  <c r="N3341" i="1"/>
  <c r="A3342" i="1"/>
  <c r="B3342" i="1"/>
  <c r="F3342" i="1"/>
  <c r="G3342" i="1"/>
  <c r="H3342" i="1"/>
  <c r="I3342" i="1"/>
  <c r="J3342" i="1"/>
  <c r="K3342" i="1"/>
  <c r="L3342" i="1"/>
  <c r="M3342" i="1"/>
  <c r="N3342" i="1"/>
  <c r="A3343" i="1"/>
  <c r="B3343" i="1"/>
  <c r="F3343" i="1"/>
  <c r="G3343" i="1"/>
  <c r="H3343" i="1"/>
  <c r="I3343" i="1"/>
  <c r="J3343" i="1"/>
  <c r="K3343" i="1"/>
  <c r="L3343" i="1"/>
  <c r="M3343" i="1"/>
  <c r="N3343" i="1"/>
  <c r="A3344" i="1"/>
  <c r="B3344" i="1"/>
  <c r="F3344" i="1"/>
  <c r="G3344" i="1"/>
  <c r="H3344" i="1"/>
  <c r="I3344" i="1"/>
  <c r="J3344" i="1"/>
  <c r="K3344" i="1"/>
  <c r="L3344" i="1"/>
  <c r="M3344" i="1"/>
  <c r="N3344" i="1"/>
  <c r="A3345" i="1"/>
  <c r="B3345" i="1"/>
  <c r="F3345" i="1"/>
  <c r="G3345" i="1"/>
  <c r="H3345" i="1"/>
  <c r="I3345" i="1"/>
  <c r="J3345" i="1"/>
  <c r="K3345" i="1"/>
  <c r="L3345" i="1"/>
  <c r="M3345" i="1"/>
  <c r="N3345" i="1"/>
  <c r="A3346" i="1"/>
  <c r="B3346" i="1"/>
  <c r="F3346" i="1"/>
  <c r="G3346" i="1"/>
  <c r="H3346" i="1"/>
  <c r="I3346" i="1"/>
  <c r="J3346" i="1"/>
  <c r="K3346" i="1"/>
  <c r="L3346" i="1"/>
  <c r="M3346" i="1"/>
  <c r="N3346" i="1"/>
  <c r="A3347" i="1"/>
  <c r="B3347" i="1"/>
  <c r="F3347" i="1"/>
  <c r="G3347" i="1"/>
  <c r="H3347" i="1"/>
  <c r="I3347" i="1"/>
  <c r="J3347" i="1"/>
  <c r="K3347" i="1"/>
  <c r="L3347" i="1"/>
  <c r="M3347" i="1"/>
  <c r="N3347" i="1"/>
  <c r="A3348" i="1"/>
  <c r="B3348" i="1"/>
  <c r="F3348" i="1"/>
  <c r="G3348" i="1"/>
  <c r="H3348" i="1"/>
  <c r="I3348" i="1"/>
  <c r="J3348" i="1"/>
  <c r="K3348" i="1"/>
  <c r="L3348" i="1"/>
  <c r="M3348" i="1"/>
  <c r="N3348" i="1"/>
  <c r="A3349" i="1"/>
  <c r="B3349" i="1"/>
  <c r="F3349" i="1"/>
  <c r="G3349" i="1"/>
  <c r="H3349" i="1"/>
  <c r="I3349" i="1"/>
  <c r="J3349" i="1"/>
  <c r="K3349" i="1"/>
  <c r="L3349" i="1"/>
  <c r="M3349" i="1"/>
  <c r="N3349" i="1"/>
  <c r="A3350" i="1"/>
  <c r="B3350" i="1"/>
  <c r="F3350" i="1"/>
  <c r="G3350" i="1"/>
  <c r="H3350" i="1"/>
  <c r="I3350" i="1"/>
  <c r="J3350" i="1"/>
  <c r="K3350" i="1"/>
  <c r="L3350" i="1"/>
  <c r="M3350" i="1"/>
  <c r="N3350" i="1"/>
  <c r="A3351" i="1"/>
  <c r="B3351" i="1"/>
  <c r="F3351" i="1"/>
  <c r="G3351" i="1"/>
  <c r="H3351" i="1"/>
  <c r="I3351" i="1"/>
  <c r="J3351" i="1"/>
  <c r="K3351" i="1"/>
  <c r="L3351" i="1"/>
  <c r="M3351" i="1"/>
  <c r="N3351" i="1"/>
  <c r="A3352" i="1"/>
  <c r="B3352" i="1"/>
  <c r="F3352" i="1"/>
  <c r="G3352" i="1"/>
  <c r="H3352" i="1"/>
  <c r="I3352" i="1"/>
  <c r="J3352" i="1"/>
  <c r="K3352" i="1"/>
  <c r="L3352" i="1"/>
  <c r="M3352" i="1"/>
  <c r="N3352" i="1"/>
  <c r="A3353" i="1"/>
  <c r="B3353" i="1"/>
  <c r="F3353" i="1"/>
  <c r="G3353" i="1"/>
  <c r="H3353" i="1"/>
  <c r="I3353" i="1"/>
  <c r="J3353" i="1"/>
  <c r="K3353" i="1"/>
  <c r="L3353" i="1"/>
  <c r="M3353" i="1"/>
  <c r="N3353" i="1"/>
  <c r="A3354" i="1"/>
  <c r="B3354" i="1"/>
  <c r="F3354" i="1"/>
  <c r="G3354" i="1"/>
  <c r="H3354" i="1"/>
  <c r="I3354" i="1"/>
  <c r="J3354" i="1"/>
  <c r="K3354" i="1"/>
  <c r="L3354" i="1"/>
  <c r="M3354" i="1"/>
  <c r="N3354" i="1"/>
  <c r="A3355" i="1"/>
  <c r="B3355" i="1"/>
  <c r="F3355" i="1"/>
  <c r="G3355" i="1"/>
  <c r="H3355" i="1"/>
  <c r="I3355" i="1"/>
  <c r="J3355" i="1"/>
  <c r="K3355" i="1"/>
  <c r="L3355" i="1"/>
  <c r="M3355" i="1"/>
  <c r="N3355" i="1"/>
  <c r="A3356" i="1"/>
  <c r="B3356" i="1"/>
  <c r="F3356" i="1"/>
  <c r="G3356" i="1"/>
  <c r="H3356" i="1"/>
  <c r="I3356" i="1"/>
  <c r="J3356" i="1"/>
  <c r="K3356" i="1"/>
  <c r="L3356" i="1"/>
  <c r="M3356" i="1"/>
  <c r="N3356" i="1"/>
  <c r="A3357" i="1"/>
  <c r="B3357" i="1"/>
  <c r="F3357" i="1"/>
  <c r="G3357" i="1"/>
  <c r="H3357" i="1"/>
  <c r="I3357" i="1"/>
  <c r="J3357" i="1"/>
  <c r="K3357" i="1"/>
  <c r="L3357" i="1"/>
  <c r="M3357" i="1"/>
  <c r="N3357" i="1"/>
  <c r="A3358" i="1"/>
  <c r="B3358" i="1"/>
  <c r="F3358" i="1"/>
  <c r="G3358" i="1"/>
  <c r="H3358" i="1"/>
  <c r="I3358" i="1"/>
  <c r="J3358" i="1"/>
  <c r="K3358" i="1"/>
  <c r="L3358" i="1"/>
  <c r="M3358" i="1"/>
  <c r="N3358" i="1"/>
  <c r="A3359" i="1"/>
  <c r="B3359" i="1"/>
  <c r="F3359" i="1"/>
  <c r="G3359" i="1"/>
  <c r="H3359" i="1"/>
  <c r="I3359" i="1"/>
  <c r="J3359" i="1"/>
  <c r="K3359" i="1"/>
  <c r="L3359" i="1"/>
  <c r="M3359" i="1"/>
  <c r="N3359" i="1"/>
  <c r="A3360" i="1"/>
  <c r="B3360" i="1"/>
  <c r="F3360" i="1"/>
  <c r="G3360" i="1"/>
  <c r="H3360" i="1"/>
  <c r="I3360" i="1"/>
  <c r="J3360" i="1"/>
  <c r="K3360" i="1"/>
  <c r="L3360" i="1"/>
  <c r="M3360" i="1"/>
  <c r="N3360" i="1"/>
  <c r="A3361" i="1"/>
  <c r="B3361" i="1"/>
  <c r="F3361" i="1"/>
  <c r="G3361" i="1"/>
  <c r="H3361" i="1"/>
  <c r="I3361" i="1"/>
  <c r="J3361" i="1"/>
  <c r="K3361" i="1"/>
  <c r="L3361" i="1"/>
  <c r="M3361" i="1"/>
  <c r="N3361" i="1"/>
  <c r="A3362" i="1"/>
  <c r="B3362" i="1"/>
  <c r="F3362" i="1"/>
  <c r="G3362" i="1"/>
  <c r="H3362" i="1"/>
  <c r="I3362" i="1"/>
  <c r="J3362" i="1"/>
  <c r="K3362" i="1"/>
  <c r="L3362" i="1"/>
  <c r="M3362" i="1"/>
  <c r="N3362" i="1"/>
  <c r="A3363" i="1"/>
  <c r="B3363" i="1"/>
  <c r="F3363" i="1"/>
  <c r="G3363" i="1"/>
  <c r="H3363" i="1"/>
  <c r="I3363" i="1"/>
  <c r="J3363" i="1"/>
  <c r="K3363" i="1"/>
  <c r="L3363" i="1"/>
  <c r="M3363" i="1"/>
  <c r="N3363" i="1"/>
  <c r="A3364" i="1"/>
  <c r="B3364" i="1"/>
  <c r="F3364" i="1"/>
  <c r="G3364" i="1"/>
  <c r="H3364" i="1"/>
  <c r="I3364" i="1"/>
  <c r="J3364" i="1"/>
  <c r="K3364" i="1"/>
  <c r="L3364" i="1"/>
  <c r="M3364" i="1"/>
  <c r="N3364" i="1"/>
  <c r="A3365" i="1"/>
  <c r="B3365" i="1"/>
  <c r="F3365" i="1"/>
  <c r="G3365" i="1"/>
  <c r="H3365" i="1"/>
  <c r="I3365" i="1"/>
  <c r="J3365" i="1"/>
  <c r="K3365" i="1"/>
  <c r="L3365" i="1"/>
  <c r="M3365" i="1"/>
  <c r="N3365" i="1"/>
  <c r="A3366" i="1"/>
  <c r="B3366" i="1"/>
  <c r="F3366" i="1"/>
  <c r="G3366" i="1"/>
  <c r="H3366" i="1"/>
  <c r="I3366" i="1"/>
  <c r="J3366" i="1"/>
  <c r="K3366" i="1"/>
  <c r="L3366" i="1"/>
  <c r="M3366" i="1"/>
  <c r="N3366" i="1"/>
  <c r="A3367" i="1"/>
  <c r="B3367" i="1"/>
  <c r="F3367" i="1"/>
  <c r="G3367" i="1"/>
  <c r="H3367" i="1"/>
  <c r="I3367" i="1"/>
  <c r="J3367" i="1"/>
  <c r="K3367" i="1"/>
  <c r="L3367" i="1"/>
  <c r="M3367" i="1"/>
  <c r="N3367" i="1"/>
  <c r="A3368" i="1"/>
  <c r="B3368" i="1"/>
  <c r="F3368" i="1"/>
  <c r="G3368" i="1"/>
  <c r="H3368" i="1"/>
  <c r="I3368" i="1"/>
  <c r="J3368" i="1"/>
  <c r="K3368" i="1"/>
  <c r="L3368" i="1"/>
  <c r="M3368" i="1"/>
  <c r="N3368" i="1"/>
  <c r="A3369" i="1"/>
  <c r="B3369" i="1"/>
  <c r="F3369" i="1"/>
  <c r="G3369" i="1"/>
  <c r="H3369" i="1"/>
  <c r="I3369" i="1"/>
  <c r="J3369" i="1"/>
  <c r="K3369" i="1"/>
  <c r="L3369" i="1"/>
  <c r="M3369" i="1"/>
  <c r="N3369" i="1"/>
  <c r="A3370" i="1"/>
  <c r="B3370" i="1"/>
  <c r="F3370" i="1"/>
  <c r="G3370" i="1"/>
  <c r="H3370" i="1"/>
  <c r="I3370" i="1"/>
  <c r="J3370" i="1"/>
  <c r="K3370" i="1"/>
  <c r="L3370" i="1"/>
  <c r="M3370" i="1"/>
  <c r="N3370" i="1"/>
  <c r="A3371" i="1"/>
  <c r="B3371" i="1"/>
  <c r="F3371" i="1"/>
  <c r="G3371" i="1"/>
  <c r="H3371" i="1"/>
  <c r="I3371" i="1"/>
  <c r="J3371" i="1"/>
  <c r="K3371" i="1"/>
  <c r="L3371" i="1"/>
  <c r="M3371" i="1"/>
  <c r="N3371" i="1"/>
  <c r="A3372" i="1"/>
  <c r="B3372" i="1"/>
  <c r="F3372" i="1"/>
  <c r="G3372" i="1"/>
  <c r="H3372" i="1"/>
  <c r="I3372" i="1"/>
  <c r="J3372" i="1"/>
  <c r="K3372" i="1"/>
  <c r="L3372" i="1"/>
  <c r="M3372" i="1"/>
  <c r="N3372" i="1"/>
  <c r="A3373" i="1"/>
  <c r="B3373" i="1"/>
  <c r="F3373" i="1"/>
  <c r="G3373" i="1"/>
  <c r="H3373" i="1"/>
  <c r="I3373" i="1"/>
  <c r="J3373" i="1"/>
  <c r="K3373" i="1"/>
  <c r="L3373" i="1"/>
  <c r="M3373" i="1"/>
  <c r="N3373" i="1"/>
  <c r="A3374" i="1"/>
  <c r="B3374" i="1"/>
  <c r="F3374" i="1"/>
  <c r="G3374" i="1"/>
  <c r="H3374" i="1"/>
  <c r="I3374" i="1"/>
  <c r="J3374" i="1"/>
  <c r="K3374" i="1"/>
  <c r="L3374" i="1"/>
  <c r="M3374" i="1"/>
  <c r="N3374" i="1"/>
  <c r="A3375" i="1"/>
  <c r="B3375" i="1"/>
  <c r="F3375" i="1"/>
  <c r="G3375" i="1"/>
  <c r="H3375" i="1"/>
  <c r="I3375" i="1"/>
  <c r="J3375" i="1"/>
  <c r="K3375" i="1"/>
  <c r="L3375" i="1"/>
  <c r="M3375" i="1"/>
  <c r="N3375" i="1"/>
  <c r="A3376" i="1"/>
  <c r="B3376" i="1"/>
  <c r="F3376" i="1"/>
  <c r="G3376" i="1"/>
  <c r="H3376" i="1"/>
  <c r="I3376" i="1"/>
  <c r="J3376" i="1"/>
  <c r="K3376" i="1"/>
  <c r="L3376" i="1"/>
  <c r="M3376" i="1"/>
  <c r="N3376" i="1"/>
  <c r="A3377" i="1"/>
  <c r="B3377" i="1"/>
  <c r="F3377" i="1"/>
  <c r="G3377" i="1"/>
  <c r="H3377" i="1"/>
  <c r="I3377" i="1"/>
  <c r="J3377" i="1"/>
  <c r="K3377" i="1"/>
  <c r="L3377" i="1"/>
  <c r="M3377" i="1"/>
  <c r="N3377" i="1"/>
  <c r="A3378" i="1"/>
  <c r="B3378" i="1"/>
  <c r="F3378" i="1"/>
  <c r="G3378" i="1"/>
  <c r="H3378" i="1"/>
  <c r="I3378" i="1"/>
  <c r="J3378" i="1"/>
  <c r="K3378" i="1"/>
  <c r="L3378" i="1"/>
  <c r="M3378" i="1"/>
  <c r="N3378" i="1"/>
  <c r="A3379" i="1"/>
  <c r="B3379" i="1"/>
  <c r="F3379" i="1"/>
  <c r="G3379" i="1"/>
  <c r="H3379" i="1"/>
  <c r="I3379" i="1"/>
  <c r="J3379" i="1"/>
  <c r="K3379" i="1"/>
  <c r="L3379" i="1"/>
  <c r="M3379" i="1"/>
  <c r="N3379" i="1"/>
  <c r="A3380" i="1"/>
  <c r="B3380" i="1"/>
  <c r="F3380" i="1"/>
  <c r="G3380" i="1"/>
  <c r="H3380" i="1"/>
  <c r="I3380" i="1"/>
  <c r="J3380" i="1"/>
  <c r="K3380" i="1"/>
  <c r="L3380" i="1"/>
  <c r="M3380" i="1"/>
  <c r="N3380" i="1"/>
  <c r="A3381" i="1"/>
  <c r="B3381" i="1"/>
  <c r="F3381" i="1"/>
  <c r="G3381" i="1"/>
  <c r="H3381" i="1"/>
  <c r="I3381" i="1"/>
  <c r="J3381" i="1"/>
  <c r="K3381" i="1"/>
  <c r="L3381" i="1"/>
  <c r="M3381" i="1"/>
  <c r="N3381" i="1"/>
  <c r="A3382" i="1"/>
  <c r="B3382" i="1"/>
  <c r="F3382" i="1"/>
  <c r="G3382" i="1"/>
  <c r="H3382" i="1"/>
  <c r="I3382" i="1"/>
  <c r="J3382" i="1"/>
  <c r="K3382" i="1"/>
  <c r="L3382" i="1"/>
  <c r="M3382" i="1"/>
  <c r="N3382" i="1"/>
  <c r="A3383" i="1"/>
  <c r="B3383" i="1"/>
  <c r="F3383" i="1"/>
  <c r="G3383" i="1"/>
  <c r="H3383" i="1"/>
  <c r="I3383" i="1"/>
  <c r="J3383" i="1"/>
  <c r="K3383" i="1"/>
  <c r="L3383" i="1"/>
  <c r="M3383" i="1"/>
  <c r="N3383" i="1"/>
  <c r="A3384" i="1"/>
  <c r="B3384" i="1"/>
  <c r="F3384" i="1"/>
  <c r="G3384" i="1"/>
  <c r="H3384" i="1"/>
  <c r="I3384" i="1"/>
  <c r="J3384" i="1"/>
  <c r="K3384" i="1"/>
  <c r="L3384" i="1"/>
  <c r="M3384" i="1"/>
  <c r="N3384" i="1"/>
  <c r="A3385" i="1"/>
  <c r="B3385" i="1"/>
  <c r="F3385" i="1"/>
  <c r="G3385" i="1"/>
  <c r="H3385" i="1"/>
  <c r="I3385" i="1"/>
  <c r="J3385" i="1"/>
  <c r="K3385" i="1"/>
  <c r="L3385" i="1"/>
  <c r="M3385" i="1"/>
  <c r="N3385" i="1"/>
  <c r="A3386" i="1"/>
  <c r="B3386" i="1"/>
  <c r="F3386" i="1"/>
  <c r="G3386" i="1"/>
  <c r="H3386" i="1"/>
  <c r="I3386" i="1"/>
  <c r="J3386" i="1"/>
  <c r="K3386" i="1"/>
  <c r="L3386" i="1"/>
  <c r="M3386" i="1"/>
  <c r="N3386" i="1"/>
  <c r="A3387" i="1"/>
  <c r="B3387" i="1"/>
  <c r="F3387" i="1"/>
  <c r="G3387" i="1"/>
  <c r="H3387" i="1"/>
  <c r="I3387" i="1"/>
  <c r="J3387" i="1"/>
  <c r="K3387" i="1"/>
  <c r="L3387" i="1"/>
  <c r="M3387" i="1"/>
  <c r="N3387" i="1"/>
  <c r="A3388" i="1"/>
  <c r="B3388" i="1"/>
  <c r="F3388" i="1"/>
  <c r="G3388" i="1"/>
  <c r="H3388" i="1"/>
  <c r="I3388" i="1"/>
  <c r="J3388" i="1"/>
  <c r="K3388" i="1"/>
  <c r="L3388" i="1"/>
  <c r="M3388" i="1"/>
  <c r="N3388" i="1"/>
  <c r="A3389" i="1"/>
  <c r="B3389" i="1"/>
  <c r="F3389" i="1"/>
  <c r="G3389" i="1"/>
  <c r="H3389" i="1"/>
  <c r="I3389" i="1"/>
  <c r="J3389" i="1"/>
  <c r="K3389" i="1"/>
  <c r="L3389" i="1"/>
  <c r="M3389" i="1"/>
  <c r="N3389" i="1"/>
  <c r="A3390" i="1"/>
  <c r="B3390" i="1"/>
  <c r="F3390" i="1"/>
  <c r="G3390" i="1"/>
  <c r="H3390" i="1"/>
  <c r="I3390" i="1"/>
  <c r="J3390" i="1"/>
  <c r="K3390" i="1"/>
  <c r="L3390" i="1"/>
  <c r="M3390" i="1"/>
  <c r="N3390" i="1"/>
  <c r="A3391" i="1"/>
  <c r="B3391" i="1"/>
  <c r="F3391" i="1"/>
  <c r="G3391" i="1"/>
  <c r="H3391" i="1"/>
  <c r="I3391" i="1"/>
  <c r="J3391" i="1"/>
  <c r="K3391" i="1"/>
  <c r="L3391" i="1"/>
  <c r="M3391" i="1"/>
  <c r="N3391" i="1"/>
  <c r="A3392" i="1"/>
  <c r="B3392" i="1"/>
  <c r="F3392" i="1"/>
  <c r="G3392" i="1"/>
  <c r="H3392" i="1"/>
  <c r="I3392" i="1"/>
  <c r="J3392" i="1"/>
  <c r="K3392" i="1"/>
  <c r="L3392" i="1"/>
  <c r="M3392" i="1"/>
  <c r="N3392" i="1"/>
  <c r="A3393" i="1"/>
  <c r="B3393" i="1"/>
  <c r="F3393" i="1"/>
  <c r="G3393" i="1"/>
  <c r="H3393" i="1"/>
  <c r="I3393" i="1"/>
  <c r="J3393" i="1"/>
  <c r="K3393" i="1"/>
  <c r="L3393" i="1"/>
  <c r="M3393" i="1"/>
  <c r="N3393" i="1"/>
  <c r="A3394" i="1"/>
  <c r="B3394" i="1"/>
  <c r="F3394" i="1"/>
  <c r="G3394" i="1"/>
  <c r="H3394" i="1"/>
  <c r="I3394" i="1"/>
  <c r="J3394" i="1"/>
  <c r="K3394" i="1"/>
  <c r="L3394" i="1"/>
  <c r="M3394" i="1"/>
  <c r="N3394" i="1"/>
  <c r="A3395" i="1"/>
  <c r="B3395" i="1"/>
  <c r="F3395" i="1"/>
  <c r="G3395" i="1"/>
  <c r="H3395" i="1"/>
  <c r="I3395" i="1"/>
  <c r="J3395" i="1"/>
  <c r="K3395" i="1"/>
  <c r="L3395" i="1"/>
  <c r="M3395" i="1"/>
  <c r="N3395" i="1"/>
  <c r="A3396" i="1"/>
  <c r="B3396" i="1"/>
  <c r="F3396" i="1"/>
  <c r="G3396" i="1"/>
  <c r="H3396" i="1"/>
  <c r="I3396" i="1"/>
  <c r="J3396" i="1"/>
  <c r="K3396" i="1"/>
  <c r="L3396" i="1"/>
  <c r="M3396" i="1"/>
  <c r="N3396" i="1"/>
  <c r="A3397" i="1"/>
  <c r="B3397" i="1"/>
  <c r="F3397" i="1"/>
  <c r="G3397" i="1"/>
  <c r="H3397" i="1"/>
  <c r="I3397" i="1"/>
  <c r="J3397" i="1"/>
  <c r="K3397" i="1"/>
  <c r="L3397" i="1"/>
  <c r="M3397" i="1"/>
  <c r="N3397" i="1"/>
  <c r="A3398" i="1"/>
  <c r="B3398" i="1"/>
  <c r="F3398" i="1"/>
  <c r="G3398" i="1"/>
  <c r="H3398" i="1"/>
  <c r="I3398" i="1"/>
  <c r="J3398" i="1"/>
  <c r="K3398" i="1"/>
  <c r="L3398" i="1"/>
  <c r="M3398" i="1"/>
  <c r="N3398" i="1"/>
  <c r="A3399" i="1"/>
  <c r="B3399" i="1"/>
  <c r="F3399" i="1"/>
  <c r="G3399" i="1"/>
  <c r="H3399" i="1"/>
  <c r="I3399" i="1"/>
  <c r="J3399" i="1"/>
  <c r="K3399" i="1"/>
  <c r="L3399" i="1"/>
  <c r="M3399" i="1"/>
  <c r="N3399" i="1"/>
  <c r="A3400" i="1"/>
  <c r="B3400" i="1"/>
  <c r="F3400" i="1"/>
  <c r="G3400" i="1"/>
  <c r="H3400" i="1"/>
  <c r="I3400" i="1"/>
  <c r="J3400" i="1"/>
  <c r="K3400" i="1"/>
  <c r="L3400" i="1"/>
  <c r="M3400" i="1"/>
  <c r="N3400" i="1"/>
  <c r="A3401" i="1"/>
  <c r="B3401" i="1"/>
  <c r="F3401" i="1"/>
  <c r="G3401" i="1"/>
  <c r="H3401" i="1"/>
  <c r="I3401" i="1"/>
  <c r="J3401" i="1"/>
  <c r="K3401" i="1"/>
  <c r="L3401" i="1"/>
  <c r="M3401" i="1"/>
  <c r="N3401" i="1"/>
  <c r="A3402" i="1"/>
  <c r="B3402" i="1"/>
  <c r="F3402" i="1"/>
  <c r="G3402" i="1"/>
  <c r="H3402" i="1"/>
  <c r="I3402" i="1"/>
  <c r="J3402" i="1"/>
  <c r="K3402" i="1"/>
  <c r="L3402" i="1"/>
  <c r="M3402" i="1"/>
  <c r="N3402" i="1"/>
  <c r="A3403" i="1"/>
  <c r="B3403" i="1"/>
  <c r="F3403" i="1"/>
  <c r="G3403" i="1"/>
  <c r="H3403" i="1"/>
  <c r="I3403" i="1"/>
  <c r="J3403" i="1"/>
  <c r="K3403" i="1"/>
  <c r="L3403" i="1"/>
  <c r="M3403" i="1"/>
  <c r="N3403" i="1"/>
  <c r="A3404" i="1"/>
  <c r="B3404" i="1"/>
  <c r="F3404" i="1"/>
  <c r="G3404" i="1"/>
  <c r="H3404" i="1"/>
  <c r="I3404" i="1"/>
  <c r="J3404" i="1"/>
  <c r="K3404" i="1"/>
  <c r="L3404" i="1"/>
  <c r="M3404" i="1"/>
  <c r="N3404" i="1"/>
  <c r="A3405" i="1"/>
  <c r="B3405" i="1"/>
  <c r="F3405" i="1"/>
  <c r="G3405" i="1"/>
  <c r="H3405" i="1"/>
  <c r="I3405" i="1"/>
  <c r="J3405" i="1"/>
  <c r="K3405" i="1"/>
  <c r="L3405" i="1"/>
  <c r="M3405" i="1"/>
  <c r="N3405" i="1"/>
  <c r="A3406" i="1"/>
  <c r="B3406" i="1"/>
  <c r="F3406" i="1"/>
  <c r="G3406" i="1"/>
  <c r="H3406" i="1"/>
  <c r="I3406" i="1"/>
  <c r="J3406" i="1"/>
  <c r="K3406" i="1"/>
  <c r="L3406" i="1"/>
  <c r="M3406" i="1"/>
  <c r="N3406" i="1"/>
  <c r="A3407" i="1"/>
  <c r="B3407" i="1"/>
  <c r="F3407" i="1"/>
  <c r="G3407" i="1"/>
  <c r="H3407" i="1"/>
  <c r="I3407" i="1"/>
  <c r="J3407" i="1"/>
  <c r="K3407" i="1"/>
  <c r="L3407" i="1"/>
  <c r="M3407" i="1"/>
  <c r="N3407" i="1"/>
  <c r="A3408" i="1"/>
  <c r="B3408" i="1"/>
  <c r="F3408" i="1"/>
  <c r="G3408" i="1"/>
  <c r="H3408" i="1"/>
  <c r="I3408" i="1"/>
  <c r="J3408" i="1"/>
  <c r="K3408" i="1"/>
  <c r="L3408" i="1"/>
  <c r="M3408" i="1"/>
  <c r="N3408" i="1"/>
  <c r="A3409" i="1"/>
  <c r="B3409" i="1"/>
  <c r="F3409" i="1"/>
  <c r="G3409" i="1"/>
  <c r="H3409" i="1"/>
  <c r="I3409" i="1"/>
  <c r="J3409" i="1"/>
  <c r="K3409" i="1"/>
  <c r="L3409" i="1"/>
  <c r="M3409" i="1"/>
  <c r="N3409" i="1"/>
  <c r="A3410" i="1"/>
  <c r="B3410" i="1"/>
  <c r="F3410" i="1"/>
  <c r="G3410" i="1"/>
  <c r="H3410" i="1"/>
  <c r="I3410" i="1"/>
  <c r="J3410" i="1"/>
  <c r="K3410" i="1"/>
  <c r="L3410" i="1"/>
  <c r="M3410" i="1"/>
  <c r="N3410" i="1"/>
  <c r="A3411" i="1"/>
  <c r="B3411" i="1"/>
  <c r="F3411" i="1"/>
  <c r="G3411" i="1"/>
  <c r="H3411" i="1"/>
  <c r="I3411" i="1"/>
  <c r="J3411" i="1"/>
  <c r="K3411" i="1"/>
  <c r="L3411" i="1"/>
  <c r="M3411" i="1"/>
  <c r="N3411" i="1"/>
  <c r="A3412" i="1"/>
  <c r="B3412" i="1"/>
  <c r="F3412" i="1"/>
  <c r="G3412" i="1"/>
  <c r="H3412" i="1"/>
  <c r="I3412" i="1"/>
  <c r="J3412" i="1"/>
  <c r="K3412" i="1"/>
  <c r="L3412" i="1"/>
  <c r="M3412" i="1"/>
  <c r="N3412" i="1"/>
  <c r="A3413" i="1"/>
  <c r="B3413" i="1"/>
  <c r="F3413" i="1"/>
  <c r="G3413" i="1"/>
  <c r="H3413" i="1"/>
  <c r="I3413" i="1"/>
  <c r="J3413" i="1"/>
  <c r="K3413" i="1"/>
  <c r="L3413" i="1"/>
  <c r="M3413" i="1"/>
  <c r="N3413" i="1"/>
  <c r="A3414" i="1"/>
  <c r="B3414" i="1"/>
  <c r="F3414" i="1"/>
  <c r="G3414" i="1"/>
  <c r="H3414" i="1"/>
  <c r="I3414" i="1"/>
  <c r="J3414" i="1"/>
  <c r="K3414" i="1"/>
  <c r="L3414" i="1"/>
  <c r="M3414" i="1"/>
  <c r="N3414" i="1"/>
  <c r="A3415" i="1"/>
  <c r="B3415" i="1"/>
  <c r="F3415" i="1"/>
  <c r="G3415" i="1"/>
  <c r="H3415" i="1"/>
  <c r="I3415" i="1"/>
  <c r="J3415" i="1"/>
  <c r="K3415" i="1"/>
  <c r="L3415" i="1"/>
  <c r="M3415" i="1"/>
  <c r="N3415" i="1"/>
  <c r="A3416" i="1"/>
  <c r="B3416" i="1"/>
  <c r="F3416" i="1"/>
  <c r="G3416" i="1"/>
  <c r="H3416" i="1"/>
  <c r="I3416" i="1"/>
  <c r="J3416" i="1"/>
  <c r="K3416" i="1"/>
  <c r="L3416" i="1"/>
  <c r="M3416" i="1"/>
  <c r="N3416" i="1"/>
  <c r="A3417" i="1"/>
  <c r="B3417" i="1"/>
  <c r="F3417" i="1"/>
  <c r="G3417" i="1"/>
  <c r="H3417" i="1"/>
  <c r="I3417" i="1"/>
  <c r="J3417" i="1"/>
  <c r="K3417" i="1"/>
  <c r="L3417" i="1"/>
  <c r="M3417" i="1"/>
  <c r="N3417" i="1"/>
  <c r="A3418" i="1"/>
  <c r="B3418" i="1"/>
  <c r="F3418" i="1"/>
  <c r="G3418" i="1"/>
  <c r="H3418" i="1"/>
  <c r="I3418" i="1"/>
  <c r="J3418" i="1"/>
  <c r="K3418" i="1"/>
  <c r="L3418" i="1"/>
  <c r="M3418" i="1"/>
  <c r="N3418" i="1"/>
  <c r="A3419" i="1"/>
  <c r="B3419" i="1"/>
  <c r="F3419" i="1"/>
  <c r="G3419" i="1"/>
  <c r="H3419" i="1"/>
  <c r="I3419" i="1"/>
  <c r="J3419" i="1"/>
  <c r="K3419" i="1"/>
  <c r="L3419" i="1"/>
  <c r="M3419" i="1"/>
  <c r="N3419" i="1"/>
  <c r="A3420" i="1"/>
  <c r="B3420" i="1"/>
  <c r="F3420" i="1"/>
  <c r="G3420" i="1"/>
  <c r="H3420" i="1"/>
  <c r="I3420" i="1"/>
  <c r="J3420" i="1"/>
  <c r="K3420" i="1"/>
  <c r="L3420" i="1"/>
  <c r="M3420" i="1"/>
  <c r="N3420" i="1"/>
  <c r="A3421" i="1"/>
  <c r="B3421" i="1"/>
  <c r="F3421" i="1"/>
  <c r="G3421" i="1"/>
  <c r="H3421" i="1"/>
  <c r="I3421" i="1"/>
  <c r="J3421" i="1"/>
  <c r="K3421" i="1"/>
  <c r="L3421" i="1"/>
  <c r="M3421" i="1"/>
  <c r="N3421" i="1"/>
  <c r="A3422" i="1"/>
  <c r="B3422" i="1"/>
  <c r="F3422" i="1"/>
  <c r="G3422" i="1"/>
  <c r="H3422" i="1"/>
  <c r="I3422" i="1"/>
  <c r="J3422" i="1"/>
  <c r="K3422" i="1"/>
  <c r="L3422" i="1"/>
  <c r="M3422" i="1"/>
  <c r="N3422" i="1"/>
  <c r="A3423" i="1"/>
  <c r="B3423" i="1"/>
  <c r="F3423" i="1"/>
  <c r="G3423" i="1"/>
  <c r="H3423" i="1"/>
  <c r="I3423" i="1"/>
  <c r="J3423" i="1"/>
  <c r="K3423" i="1"/>
  <c r="L3423" i="1"/>
  <c r="M3423" i="1"/>
  <c r="N3423" i="1"/>
  <c r="A3424" i="1"/>
  <c r="B3424" i="1"/>
  <c r="F3424" i="1"/>
  <c r="G3424" i="1"/>
  <c r="H3424" i="1"/>
  <c r="I3424" i="1"/>
  <c r="J3424" i="1"/>
  <c r="K3424" i="1"/>
  <c r="L3424" i="1"/>
  <c r="M3424" i="1"/>
  <c r="N3424" i="1"/>
  <c r="A3425" i="1"/>
  <c r="B3425" i="1"/>
  <c r="F3425" i="1"/>
  <c r="G3425" i="1"/>
  <c r="H3425" i="1"/>
  <c r="I3425" i="1"/>
  <c r="J3425" i="1"/>
  <c r="K3425" i="1"/>
  <c r="L3425" i="1"/>
  <c r="M3425" i="1"/>
  <c r="N3425" i="1"/>
  <c r="A3426" i="1"/>
  <c r="B3426" i="1"/>
  <c r="F3426" i="1"/>
  <c r="G3426" i="1"/>
  <c r="H3426" i="1"/>
  <c r="I3426" i="1"/>
  <c r="J3426" i="1"/>
  <c r="K3426" i="1"/>
  <c r="L3426" i="1"/>
  <c r="M3426" i="1"/>
  <c r="N3426" i="1"/>
  <c r="A3427" i="1"/>
  <c r="B3427" i="1"/>
  <c r="F3427" i="1"/>
  <c r="G3427" i="1"/>
  <c r="H3427" i="1"/>
  <c r="I3427" i="1"/>
  <c r="J3427" i="1"/>
  <c r="K3427" i="1"/>
  <c r="L3427" i="1"/>
  <c r="M3427" i="1"/>
  <c r="N3427" i="1"/>
  <c r="A3428" i="1"/>
  <c r="B3428" i="1"/>
  <c r="F3428" i="1"/>
  <c r="G3428" i="1"/>
  <c r="H3428" i="1"/>
  <c r="I3428" i="1"/>
  <c r="J3428" i="1"/>
  <c r="K3428" i="1"/>
  <c r="L3428" i="1"/>
  <c r="M3428" i="1"/>
  <c r="N3428" i="1"/>
  <c r="A3429" i="1"/>
  <c r="B3429" i="1"/>
  <c r="F3429" i="1"/>
  <c r="G3429" i="1"/>
  <c r="H3429" i="1"/>
  <c r="I3429" i="1"/>
  <c r="J3429" i="1"/>
  <c r="K3429" i="1"/>
  <c r="L3429" i="1"/>
  <c r="M3429" i="1"/>
  <c r="N3429" i="1"/>
  <c r="A3430" i="1"/>
  <c r="B3430" i="1"/>
  <c r="F3430" i="1"/>
  <c r="G3430" i="1"/>
  <c r="H3430" i="1"/>
  <c r="I3430" i="1"/>
  <c r="J3430" i="1"/>
  <c r="K3430" i="1"/>
  <c r="L3430" i="1"/>
  <c r="M3430" i="1"/>
  <c r="N3430" i="1"/>
  <c r="A3431" i="1"/>
  <c r="B3431" i="1"/>
  <c r="F3431" i="1"/>
  <c r="G3431" i="1"/>
  <c r="H3431" i="1"/>
  <c r="I3431" i="1"/>
  <c r="J3431" i="1"/>
  <c r="K3431" i="1"/>
  <c r="L3431" i="1"/>
  <c r="M3431" i="1"/>
  <c r="N3431" i="1"/>
  <c r="A3432" i="1"/>
  <c r="B3432" i="1"/>
  <c r="F3432" i="1"/>
  <c r="G3432" i="1"/>
  <c r="H3432" i="1"/>
  <c r="I3432" i="1"/>
  <c r="J3432" i="1"/>
  <c r="K3432" i="1"/>
  <c r="L3432" i="1"/>
  <c r="M3432" i="1"/>
  <c r="N3432" i="1"/>
  <c r="A3433" i="1"/>
  <c r="B3433" i="1"/>
  <c r="F3433" i="1"/>
  <c r="G3433" i="1"/>
  <c r="H3433" i="1"/>
  <c r="I3433" i="1"/>
  <c r="J3433" i="1"/>
  <c r="K3433" i="1"/>
  <c r="L3433" i="1"/>
  <c r="M3433" i="1"/>
  <c r="N3433" i="1"/>
  <c r="A3434" i="1"/>
  <c r="B3434" i="1"/>
  <c r="F3434" i="1"/>
  <c r="G3434" i="1"/>
  <c r="H3434" i="1"/>
  <c r="I3434" i="1"/>
  <c r="J3434" i="1"/>
  <c r="K3434" i="1"/>
  <c r="L3434" i="1"/>
  <c r="M3434" i="1"/>
  <c r="N3434" i="1"/>
  <c r="A3435" i="1"/>
  <c r="B3435" i="1"/>
  <c r="F3435" i="1"/>
  <c r="G3435" i="1"/>
  <c r="H3435" i="1"/>
  <c r="I3435" i="1"/>
  <c r="J3435" i="1"/>
  <c r="K3435" i="1"/>
  <c r="L3435" i="1"/>
  <c r="M3435" i="1"/>
  <c r="N3435" i="1"/>
  <c r="A3436" i="1"/>
  <c r="B3436" i="1"/>
  <c r="F3436" i="1"/>
  <c r="G3436" i="1"/>
  <c r="H3436" i="1"/>
  <c r="I3436" i="1"/>
  <c r="J3436" i="1"/>
  <c r="K3436" i="1"/>
  <c r="L3436" i="1"/>
  <c r="M3436" i="1"/>
  <c r="N3436" i="1"/>
  <c r="A3437" i="1"/>
  <c r="B3437" i="1"/>
  <c r="F3437" i="1"/>
  <c r="G3437" i="1"/>
  <c r="H3437" i="1"/>
  <c r="I3437" i="1"/>
  <c r="J3437" i="1"/>
  <c r="K3437" i="1"/>
  <c r="L3437" i="1"/>
  <c r="M3437" i="1"/>
  <c r="N3437" i="1"/>
  <c r="A3438" i="1"/>
  <c r="B3438" i="1"/>
  <c r="F3438" i="1"/>
  <c r="G3438" i="1"/>
  <c r="H3438" i="1"/>
  <c r="I3438" i="1"/>
  <c r="J3438" i="1"/>
  <c r="K3438" i="1"/>
  <c r="L3438" i="1"/>
  <c r="M3438" i="1"/>
  <c r="N3438" i="1"/>
  <c r="A3439" i="1"/>
  <c r="B3439" i="1"/>
  <c r="F3439" i="1"/>
  <c r="G3439" i="1"/>
  <c r="H3439" i="1"/>
  <c r="I3439" i="1"/>
  <c r="J3439" i="1"/>
  <c r="K3439" i="1"/>
  <c r="L3439" i="1"/>
  <c r="M3439" i="1"/>
  <c r="N3439" i="1"/>
  <c r="A3440" i="1"/>
  <c r="B3440" i="1"/>
  <c r="F3440" i="1"/>
  <c r="G3440" i="1"/>
  <c r="H3440" i="1"/>
  <c r="I3440" i="1"/>
  <c r="J3440" i="1"/>
  <c r="K3440" i="1"/>
  <c r="L3440" i="1"/>
  <c r="M3440" i="1"/>
  <c r="N3440" i="1"/>
  <c r="A3441" i="1"/>
  <c r="B3441" i="1"/>
  <c r="F3441" i="1"/>
  <c r="G3441" i="1"/>
  <c r="H3441" i="1"/>
  <c r="I3441" i="1"/>
  <c r="J3441" i="1"/>
  <c r="K3441" i="1"/>
  <c r="L3441" i="1"/>
  <c r="M3441" i="1"/>
  <c r="N3441" i="1"/>
  <c r="A3442" i="1"/>
  <c r="B3442" i="1"/>
  <c r="F3442" i="1"/>
  <c r="G3442" i="1"/>
  <c r="H3442" i="1"/>
  <c r="I3442" i="1"/>
  <c r="J3442" i="1"/>
  <c r="K3442" i="1"/>
  <c r="L3442" i="1"/>
  <c r="M3442" i="1"/>
  <c r="N3442" i="1"/>
  <c r="A3443" i="1"/>
  <c r="B3443" i="1"/>
  <c r="F3443" i="1"/>
  <c r="G3443" i="1"/>
  <c r="H3443" i="1"/>
  <c r="I3443" i="1"/>
  <c r="J3443" i="1"/>
  <c r="K3443" i="1"/>
  <c r="L3443" i="1"/>
  <c r="M3443" i="1"/>
  <c r="N3443" i="1"/>
  <c r="A3444" i="1"/>
  <c r="B3444" i="1"/>
  <c r="F3444" i="1"/>
  <c r="G3444" i="1"/>
  <c r="H3444" i="1"/>
  <c r="I3444" i="1"/>
  <c r="J3444" i="1"/>
  <c r="K3444" i="1"/>
  <c r="L3444" i="1"/>
  <c r="M3444" i="1"/>
  <c r="N3444" i="1"/>
  <c r="A3445" i="1"/>
  <c r="B3445" i="1"/>
  <c r="F3445" i="1"/>
  <c r="G3445" i="1"/>
  <c r="H3445" i="1"/>
  <c r="I3445" i="1"/>
  <c r="J3445" i="1"/>
  <c r="K3445" i="1"/>
  <c r="L3445" i="1"/>
  <c r="M3445" i="1"/>
  <c r="N3445" i="1"/>
  <c r="A3446" i="1"/>
  <c r="B3446" i="1"/>
  <c r="F3446" i="1"/>
  <c r="G3446" i="1"/>
  <c r="H3446" i="1"/>
  <c r="I3446" i="1"/>
  <c r="J3446" i="1"/>
  <c r="K3446" i="1"/>
  <c r="L3446" i="1"/>
  <c r="M3446" i="1"/>
  <c r="N3446" i="1"/>
  <c r="A3447" i="1"/>
  <c r="B3447" i="1"/>
  <c r="F3447" i="1"/>
  <c r="G3447" i="1"/>
  <c r="H3447" i="1"/>
  <c r="I3447" i="1"/>
  <c r="J3447" i="1"/>
  <c r="K3447" i="1"/>
  <c r="L3447" i="1"/>
  <c r="M3447" i="1"/>
  <c r="N3447" i="1"/>
  <c r="A3448" i="1"/>
  <c r="B3448" i="1"/>
  <c r="F3448" i="1"/>
  <c r="G3448" i="1"/>
  <c r="H3448" i="1"/>
  <c r="I3448" i="1"/>
  <c r="J3448" i="1"/>
  <c r="K3448" i="1"/>
  <c r="L3448" i="1"/>
  <c r="M3448" i="1"/>
  <c r="N3448" i="1"/>
  <c r="A3449" i="1"/>
  <c r="B3449" i="1"/>
  <c r="F3449" i="1"/>
  <c r="G3449" i="1"/>
  <c r="H3449" i="1"/>
  <c r="I3449" i="1"/>
  <c r="J3449" i="1"/>
  <c r="K3449" i="1"/>
  <c r="L3449" i="1"/>
  <c r="M3449" i="1"/>
  <c r="N3449" i="1"/>
  <c r="A3450" i="1"/>
  <c r="B3450" i="1"/>
  <c r="F3450" i="1"/>
  <c r="G3450" i="1"/>
  <c r="H3450" i="1"/>
  <c r="I3450" i="1"/>
  <c r="J3450" i="1"/>
  <c r="K3450" i="1"/>
  <c r="L3450" i="1"/>
  <c r="M3450" i="1"/>
  <c r="N3450" i="1"/>
  <c r="A3451" i="1"/>
  <c r="B3451" i="1"/>
  <c r="F3451" i="1"/>
  <c r="G3451" i="1"/>
  <c r="H3451" i="1"/>
  <c r="I3451" i="1"/>
  <c r="J3451" i="1"/>
  <c r="K3451" i="1"/>
  <c r="L3451" i="1"/>
  <c r="M3451" i="1"/>
  <c r="N3451" i="1"/>
  <c r="A3452" i="1"/>
  <c r="B3452" i="1"/>
  <c r="F3452" i="1"/>
  <c r="G3452" i="1"/>
  <c r="H3452" i="1"/>
  <c r="I3452" i="1"/>
  <c r="J3452" i="1"/>
  <c r="K3452" i="1"/>
  <c r="L3452" i="1"/>
  <c r="M3452" i="1"/>
  <c r="N3452" i="1"/>
  <c r="A3453" i="1"/>
  <c r="B3453" i="1"/>
  <c r="F3453" i="1"/>
  <c r="G3453" i="1"/>
  <c r="H3453" i="1"/>
  <c r="I3453" i="1"/>
  <c r="J3453" i="1"/>
  <c r="K3453" i="1"/>
  <c r="L3453" i="1"/>
  <c r="M3453" i="1"/>
  <c r="N3453" i="1"/>
  <c r="A3454" i="1"/>
  <c r="B3454" i="1"/>
  <c r="F3454" i="1"/>
  <c r="G3454" i="1"/>
  <c r="H3454" i="1"/>
  <c r="I3454" i="1"/>
  <c r="J3454" i="1"/>
  <c r="K3454" i="1"/>
  <c r="L3454" i="1"/>
  <c r="M3454" i="1"/>
  <c r="N3454" i="1"/>
  <c r="A3455" i="1"/>
  <c r="B3455" i="1"/>
  <c r="F3455" i="1"/>
  <c r="G3455" i="1"/>
  <c r="H3455" i="1"/>
  <c r="I3455" i="1"/>
  <c r="J3455" i="1"/>
  <c r="K3455" i="1"/>
  <c r="L3455" i="1"/>
  <c r="M3455" i="1"/>
  <c r="N3455" i="1"/>
  <c r="A3456" i="1"/>
  <c r="B3456" i="1"/>
  <c r="F3456" i="1"/>
  <c r="G3456" i="1"/>
  <c r="H3456" i="1"/>
  <c r="I3456" i="1"/>
  <c r="J3456" i="1"/>
  <c r="K3456" i="1"/>
  <c r="L3456" i="1"/>
  <c r="M3456" i="1"/>
  <c r="N3456" i="1"/>
  <c r="A3457" i="1"/>
  <c r="B3457" i="1"/>
  <c r="F3457" i="1"/>
  <c r="G3457" i="1"/>
  <c r="H3457" i="1"/>
  <c r="I3457" i="1"/>
  <c r="J3457" i="1"/>
  <c r="K3457" i="1"/>
  <c r="L3457" i="1"/>
  <c r="M3457" i="1"/>
  <c r="N3457" i="1"/>
  <c r="A3458" i="1"/>
  <c r="B3458" i="1"/>
  <c r="F3458" i="1"/>
  <c r="G3458" i="1"/>
  <c r="H3458" i="1"/>
  <c r="I3458" i="1"/>
  <c r="J3458" i="1"/>
  <c r="K3458" i="1"/>
  <c r="L3458" i="1"/>
  <c r="M3458" i="1"/>
  <c r="N3458" i="1"/>
  <c r="A3459" i="1"/>
  <c r="B3459" i="1"/>
  <c r="F3459" i="1"/>
  <c r="G3459" i="1"/>
  <c r="H3459" i="1"/>
  <c r="I3459" i="1"/>
  <c r="J3459" i="1"/>
  <c r="K3459" i="1"/>
  <c r="L3459" i="1"/>
  <c r="M3459" i="1"/>
  <c r="N3459" i="1"/>
  <c r="A3460" i="1"/>
  <c r="B3460" i="1"/>
  <c r="F3460" i="1"/>
  <c r="G3460" i="1"/>
  <c r="H3460" i="1"/>
  <c r="I3460" i="1"/>
  <c r="J3460" i="1"/>
  <c r="K3460" i="1"/>
  <c r="L3460" i="1"/>
  <c r="M3460" i="1"/>
  <c r="N3460" i="1"/>
  <c r="A3461" i="1"/>
  <c r="B3461" i="1"/>
  <c r="F3461" i="1"/>
  <c r="G3461" i="1"/>
  <c r="H3461" i="1"/>
  <c r="I3461" i="1"/>
  <c r="J3461" i="1"/>
  <c r="K3461" i="1"/>
  <c r="L3461" i="1"/>
  <c r="M3461" i="1"/>
  <c r="N3461" i="1"/>
  <c r="A3462" i="1"/>
  <c r="B3462" i="1"/>
  <c r="F3462" i="1"/>
  <c r="G3462" i="1"/>
  <c r="H3462" i="1"/>
  <c r="I3462" i="1"/>
  <c r="J3462" i="1"/>
  <c r="K3462" i="1"/>
  <c r="L3462" i="1"/>
  <c r="M3462" i="1"/>
  <c r="N3462" i="1"/>
  <c r="A3463" i="1"/>
  <c r="B3463" i="1"/>
  <c r="F3463" i="1"/>
  <c r="G3463" i="1"/>
  <c r="H3463" i="1"/>
  <c r="I3463" i="1"/>
  <c r="J3463" i="1"/>
  <c r="K3463" i="1"/>
  <c r="L3463" i="1"/>
  <c r="M3463" i="1"/>
  <c r="N3463" i="1"/>
  <c r="A3464" i="1"/>
  <c r="B3464" i="1"/>
  <c r="F3464" i="1"/>
  <c r="G3464" i="1"/>
  <c r="H3464" i="1"/>
  <c r="I3464" i="1"/>
  <c r="J3464" i="1"/>
  <c r="K3464" i="1"/>
  <c r="L3464" i="1"/>
  <c r="M3464" i="1"/>
  <c r="N3464" i="1"/>
  <c r="A3465" i="1"/>
  <c r="B3465" i="1"/>
  <c r="F3465" i="1"/>
  <c r="G3465" i="1"/>
  <c r="H3465" i="1"/>
  <c r="I3465" i="1"/>
  <c r="J3465" i="1"/>
  <c r="K3465" i="1"/>
  <c r="L3465" i="1"/>
  <c r="M3465" i="1"/>
  <c r="N3465" i="1"/>
  <c r="A3466" i="1"/>
  <c r="B3466" i="1"/>
  <c r="F3466" i="1"/>
  <c r="G3466" i="1"/>
  <c r="H3466" i="1"/>
  <c r="I3466" i="1"/>
  <c r="J3466" i="1"/>
  <c r="K3466" i="1"/>
  <c r="L3466" i="1"/>
  <c r="M3466" i="1"/>
  <c r="N3466" i="1"/>
  <c r="A3467" i="1"/>
  <c r="B3467" i="1"/>
  <c r="F3467" i="1"/>
  <c r="G3467" i="1"/>
  <c r="H3467" i="1"/>
  <c r="I3467" i="1"/>
  <c r="J3467" i="1"/>
  <c r="K3467" i="1"/>
  <c r="L3467" i="1"/>
  <c r="M3467" i="1"/>
  <c r="N3467" i="1"/>
  <c r="A3468" i="1"/>
  <c r="B3468" i="1"/>
  <c r="F3468" i="1"/>
  <c r="G3468" i="1"/>
  <c r="H3468" i="1"/>
  <c r="I3468" i="1"/>
  <c r="J3468" i="1"/>
  <c r="K3468" i="1"/>
  <c r="L3468" i="1"/>
  <c r="M3468" i="1"/>
  <c r="N3468" i="1"/>
  <c r="A3469" i="1"/>
  <c r="B3469" i="1"/>
  <c r="F3469" i="1"/>
  <c r="G3469" i="1"/>
  <c r="H3469" i="1"/>
  <c r="I3469" i="1"/>
  <c r="J3469" i="1"/>
  <c r="K3469" i="1"/>
  <c r="L3469" i="1"/>
  <c r="M3469" i="1"/>
  <c r="N3469" i="1"/>
  <c r="A3470" i="1"/>
  <c r="B3470" i="1"/>
  <c r="F3470" i="1"/>
  <c r="G3470" i="1"/>
  <c r="H3470" i="1"/>
  <c r="I3470" i="1"/>
  <c r="J3470" i="1"/>
  <c r="K3470" i="1"/>
  <c r="L3470" i="1"/>
  <c r="M3470" i="1"/>
  <c r="N3470" i="1"/>
  <c r="A3471" i="1"/>
  <c r="B3471" i="1"/>
  <c r="F3471" i="1"/>
  <c r="G3471" i="1"/>
  <c r="H3471" i="1"/>
  <c r="I3471" i="1"/>
  <c r="J3471" i="1"/>
  <c r="K3471" i="1"/>
  <c r="L3471" i="1"/>
  <c r="M3471" i="1"/>
  <c r="N3471" i="1"/>
  <c r="A3472" i="1"/>
  <c r="B3472" i="1"/>
  <c r="F3472" i="1"/>
  <c r="G3472" i="1"/>
  <c r="H3472" i="1"/>
  <c r="I3472" i="1"/>
  <c r="J3472" i="1"/>
  <c r="K3472" i="1"/>
  <c r="L3472" i="1"/>
  <c r="M3472" i="1"/>
  <c r="N3472" i="1"/>
  <c r="A3473" i="1"/>
  <c r="B3473" i="1"/>
  <c r="F3473" i="1"/>
  <c r="G3473" i="1"/>
  <c r="H3473" i="1"/>
  <c r="I3473" i="1"/>
  <c r="J3473" i="1"/>
  <c r="K3473" i="1"/>
  <c r="L3473" i="1"/>
  <c r="M3473" i="1"/>
  <c r="N3473" i="1"/>
  <c r="A3474" i="1"/>
  <c r="B3474" i="1"/>
  <c r="F3474" i="1"/>
  <c r="G3474" i="1"/>
  <c r="H3474" i="1"/>
  <c r="I3474" i="1"/>
  <c r="J3474" i="1"/>
  <c r="K3474" i="1"/>
  <c r="L3474" i="1"/>
  <c r="M3474" i="1"/>
  <c r="N3474" i="1"/>
  <c r="A3475" i="1"/>
  <c r="B3475" i="1"/>
  <c r="F3475" i="1"/>
  <c r="G3475" i="1"/>
  <c r="H3475" i="1"/>
  <c r="I3475" i="1"/>
  <c r="J3475" i="1"/>
  <c r="K3475" i="1"/>
  <c r="L3475" i="1"/>
  <c r="M3475" i="1"/>
  <c r="N3475" i="1"/>
  <c r="A3476" i="1"/>
  <c r="B3476" i="1"/>
  <c r="F3476" i="1"/>
  <c r="G3476" i="1"/>
  <c r="H3476" i="1"/>
  <c r="I3476" i="1"/>
  <c r="J3476" i="1"/>
  <c r="K3476" i="1"/>
  <c r="L3476" i="1"/>
  <c r="M3476" i="1"/>
  <c r="N3476" i="1"/>
  <c r="A3477" i="1"/>
  <c r="B3477" i="1"/>
  <c r="F3477" i="1"/>
  <c r="G3477" i="1"/>
  <c r="H3477" i="1"/>
  <c r="I3477" i="1"/>
  <c r="J3477" i="1"/>
  <c r="K3477" i="1"/>
  <c r="L3477" i="1"/>
  <c r="M3477" i="1"/>
  <c r="N3477" i="1"/>
  <c r="A3478" i="1"/>
  <c r="B3478" i="1"/>
  <c r="F3478" i="1"/>
  <c r="G3478" i="1"/>
  <c r="H3478" i="1"/>
  <c r="I3478" i="1"/>
  <c r="J3478" i="1"/>
  <c r="K3478" i="1"/>
  <c r="L3478" i="1"/>
  <c r="M3478" i="1"/>
  <c r="N3478" i="1"/>
  <c r="A3479" i="1"/>
  <c r="B3479" i="1"/>
  <c r="F3479" i="1"/>
  <c r="G3479" i="1"/>
  <c r="H3479" i="1"/>
  <c r="I3479" i="1"/>
  <c r="J3479" i="1"/>
  <c r="K3479" i="1"/>
  <c r="L3479" i="1"/>
  <c r="M3479" i="1"/>
  <c r="N3479" i="1"/>
  <c r="A3480" i="1"/>
  <c r="B3480" i="1"/>
  <c r="F3480" i="1"/>
  <c r="G3480" i="1"/>
  <c r="H3480" i="1"/>
  <c r="I3480" i="1"/>
  <c r="J3480" i="1"/>
  <c r="K3480" i="1"/>
  <c r="L3480" i="1"/>
  <c r="M3480" i="1"/>
  <c r="N3480" i="1"/>
  <c r="A3481" i="1"/>
  <c r="B3481" i="1"/>
  <c r="F3481" i="1"/>
  <c r="G3481" i="1"/>
  <c r="H3481" i="1"/>
  <c r="I3481" i="1"/>
  <c r="J3481" i="1"/>
  <c r="K3481" i="1"/>
  <c r="L3481" i="1"/>
  <c r="M3481" i="1"/>
  <c r="N3481" i="1"/>
  <c r="A3482" i="1"/>
  <c r="B3482" i="1"/>
  <c r="F3482" i="1"/>
  <c r="G3482" i="1"/>
  <c r="H3482" i="1"/>
  <c r="I3482" i="1"/>
  <c r="J3482" i="1"/>
  <c r="K3482" i="1"/>
  <c r="L3482" i="1"/>
  <c r="M3482" i="1"/>
  <c r="N3482" i="1"/>
  <c r="A3483" i="1"/>
  <c r="B3483" i="1"/>
  <c r="F3483" i="1"/>
  <c r="G3483" i="1"/>
  <c r="H3483" i="1"/>
  <c r="I3483" i="1"/>
  <c r="J3483" i="1"/>
  <c r="K3483" i="1"/>
  <c r="L3483" i="1"/>
  <c r="M3483" i="1"/>
  <c r="N3483" i="1"/>
  <c r="A3484" i="1"/>
  <c r="B3484" i="1"/>
  <c r="F3484" i="1"/>
  <c r="G3484" i="1"/>
  <c r="H3484" i="1"/>
  <c r="I3484" i="1"/>
  <c r="J3484" i="1"/>
  <c r="K3484" i="1"/>
  <c r="L3484" i="1"/>
  <c r="M3484" i="1"/>
  <c r="N3484" i="1"/>
  <c r="A3485" i="1"/>
  <c r="B3485" i="1"/>
  <c r="F3485" i="1"/>
  <c r="G3485" i="1"/>
  <c r="H3485" i="1"/>
  <c r="I3485" i="1"/>
  <c r="J3485" i="1"/>
  <c r="K3485" i="1"/>
  <c r="L3485" i="1"/>
  <c r="M3485" i="1"/>
  <c r="N3485" i="1"/>
  <c r="A3486" i="1"/>
  <c r="B3486" i="1"/>
  <c r="F3486" i="1"/>
  <c r="G3486" i="1"/>
  <c r="H3486" i="1"/>
  <c r="I3486" i="1"/>
  <c r="J3486" i="1"/>
  <c r="K3486" i="1"/>
  <c r="L3486" i="1"/>
  <c r="M3486" i="1"/>
  <c r="N3486" i="1"/>
  <c r="A3487" i="1"/>
  <c r="B3487" i="1"/>
  <c r="F3487" i="1"/>
  <c r="G3487" i="1"/>
  <c r="H3487" i="1"/>
  <c r="I3487" i="1"/>
  <c r="J3487" i="1"/>
  <c r="K3487" i="1"/>
  <c r="L3487" i="1"/>
  <c r="M3487" i="1"/>
  <c r="N3487" i="1"/>
  <c r="A3488" i="1"/>
  <c r="B3488" i="1"/>
  <c r="F3488" i="1"/>
  <c r="G3488" i="1"/>
  <c r="H3488" i="1"/>
  <c r="I3488" i="1"/>
  <c r="J3488" i="1"/>
  <c r="K3488" i="1"/>
  <c r="L3488" i="1"/>
  <c r="M3488" i="1"/>
  <c r="N3488" i="1"/>
  <c r="A3489" i="1"/>
  <c r="B3489" i="1"/>
  <c r="F3489" i="1"/>
  <c r="G3489" i="1"/>
  <c r="H3489" i="1"/>
  <c r="I3489" i="1"/>
  <c r="J3489" i="1"/>
  <c r="K3489" i="1"/>
  <c r="L3489" i="1"/>
  <c r="M3489" i="1"/>
  <c r="N3489" i="1"/>
  <c r="A3490" i="1"/>
  <c r="B3490" i="1"/>
  <c r="F3490" i="1"/>
  <c r="G3490" i="1"/>
  <c r="H3490" i="1"/>
  <c r="I3490" i="1"/>
  <c r="J3490" i="1"/>
  <c r="K3490" i="1"/>
  <c r="L3490" i="1"/>
  <c r="M3490" i="1"/>
  <c r="N3490" i="1"/>
  <c r="A3491" i="1"/>
  <c r="B3491" i="1"/>
  <c r="F3491" i="1"/>
  <c r="G3491" i="1"/>
  <c r="H3491" i="1"/>
  <c r="I3491" i="1"/>
  <c r="J3491" i="1"/>
  <c r="K3491" i="1"/>
  <c r="L3491" i="1"/>
  <c r="M3491" i="1"/>
  <c r="N3491" i="1"/>
  <c r="A3492" i="1"/>
  <c r="B3492" i="1"/>
  <c r="F3492" i="1"/>
  <c r="G3492" i="1"/>
  <c r="H3492" i="1"/>
  <c r="I3492" i="1"/>
  <c r="J3492" i="1"/>
  <c r="K3492" i="1"/>
  <c r="L3492" i="1"/>
  <c r="M3492" i="1"/>
  <c r="N3492" i="1"/>
  <c r="A3493" i="1"/>
  <c r="B3493" i="1"/>
  <c r="F3493" i="1"/>
  <c r="G3493" i="1"/>
  <c r="H3493" i="1"/>
  <c r="I3493" i="1"/>
  <c r="J3493" i="1"/>
  <c r="K3493" i="1"/>
  <c r="L3493" i="1"/>
  <c r="M3493" i="1"/>
  <c r="N3493" i="1"/>
  <c r="A3494" i="1"/>
  <c r="B3494" i="1"/>
  <c r="F3494" i="1"/>
  <c r="G3494" i="1"/>
  <c r="H3494" i="1"/>
  <c r="I3494" i="1"/>
  <c r="J3494" i="1"/>
  <c r="K3494" i="1"/>
  <c r="L3494" i="1"/>
  <c r="M3494" i="1"/>
  <c r="N3494" i="1"/>
  <c r="A3495" i="1"/>
  <c r="B3495" i="1"/>
  <c r="F3495" i="1"/>
  <c r="G3495" i="1"/>
  <c r="H3495" i="1"/>
  <c r="I3495" i="1"/>
  <c r="J3495" i="1"/>
  <c r="K3495" i="1"/>
  <c r="L3495" i="1"/>
  <c r="M3495" i="1"/>
  <c r="N3495" i="1"/>
  <c r="A3496" i="1"/>
  <c r="B3496" i="1"/>
  <c r="F3496" i="1"/>
  <c r="G3496" i="1"/>
  <c r="H3496" i="1"/>
  <c r="I3496" i="1"/>
  <c r="J3496" i="1"/>
  <c r="K3496" i="1"/>
  <c r="L3496" i="1"/>
  <c r="M3496" i="1"/>
  <c r="N3496" i="1"/>
  <c r="A3497" i="1"/>
  <c r="B3497" i="1"/>
  <c r="F3497" i="1"/>
  <c r="G3497" i="1"/>
  <c r="H3497" i="1"/>
  <c r="I3497" i="1"/>
  <c r="J3497" i="1"/>
  <c r="K3497" i="1"/>
  <c r="L3497" i="1"/>
  <c r="M3497" i="1"/>
  <c r="N3497" i="1"/>
  <c r="A3498" i="1"/>
  <c r="B3498" i="1"/>
  <c r="F3498" i="1"/>
  <c r="G3498" i="1"/>
  <c r="H3498" i="1"/>
  <c r="I3498" i="1"/>
  <c r="J3498" i="1"/>
  <c r="K3498" i="1"/>
  <c r="L3498" i="1"/>
  <c r="M3498" i="1"/>
  <c r="N3498" i="1"/>
  <c r="A3499" i="1"/>
  <c r="B3499" i="1"/>
  <c r="F3499" i="1"/>
  <c r="G3499" i="1"/>
  <c r="H3499" i="1"/>
  <c r="I3499" i="1"/>
  <c r="J3499" i="1"/>
  <c r="K3499" i="1"/>
  <c r="L3499" i="1"/>
  <c r="M3499" i="1"/>
  <c r="N3499" i="1"/>
  <c r="A3500" i="1"/>
  <c r="B3500" i="1"/>
  <c r="F3500" i="1"/>
  <c r="G3500" i="1"/>
  <c r="H3500" i="1"/>
  <c r="I3500" i="1"/>
  <c r="J3500" i="1"/>
  <c r="K3500" i="1"/>
  <c r="L3500" i="1"/>
  <c r="M3500" i="1"/>
  <c r="N3500" i="1"/>
  <c r="A3501" i="1"/>
  <c r="B3501" i="1"/>
  <c r="F3501" i="1"/>
  <c r="G3501" i="1"/>
  <c r="H3501" i="1"/>
  <c r="I3501" i="1"/>
  <c r="J3501" i="1"/>
  <c r="K3501" i="1"/>
  <c r="L3501" i="1"/>
  <c r="M3501" i="1"/>
  <c r="N3501" i="1"/>
  <c r="A3502" i="1"/>
  <c r="B3502" i="1"/>
  <c r="F3502" i="1"/>
  <c r="G3502" i="1"/>
  <c r="H3502" i="1"/>
  <c r="I3502" i="1"/>
  <c r="J3502" i="1"/>
  <c r="K3502" i="1"/>
  <c r="L3502" i="1"/>
  <c r="M3502" i="1"/>
  <c r="N3502" i="1"/>
  <c r="A3503" i="1"/>
  <c r="B3503" i="1"/>
  <c r="F3503" i="1"/>
  <c r="G3503" i="1"/>
  <c r="H3503" i="1"/>
  <c r="I3503" i="1"/>
  <c r="J3503" i="1"/>
  <c r="K3503" i="1"/>
  <c r="L3503" i="1"/>
  <c r="M3503" i="1"/>
  <c r="N3503" i="1"/>
  <c r="A3504" i="1"/>
  <c r="B3504" i="1"/>
  <c r="F3504" i="1"/>
  <c r="G3504" i="1"/>
  <c r="H3504" i="1"/>
  <c r="I3504" i="1"/>
  <c r="J3504" i="1"/>
  <c r="K3504" i="1"/>
  <c r="L3504" i="1"/>
  <c r="M3504" i="1"/>
  <c r="N3504" i="1"/>
  <c r="A3505" i="1"/>
  <c r="B3505" i="1"/>
  <c r="F3505" i="1"/>
  <c r="G3505" i="1"/>
  <c r="H3505" i="1"/>
  <c r="I3505" i="1"/>
  <c r="J3505" i="1"/>
  <c r="K3505" i="1"/>
  <c r="L3505" i="1"/>
  <c r="M3505" i="1"/>
  <c r="N3505" i="1"/>
  <c r="A3506" i="1"/>
  <c r="B3506" i="1"/>
  <c r="F3506" i="1"/>
  <c r="G3506" i="1"/>
  <c r="H3506" i="1"/>
  <c r="I3506" i="1"/>
  <c r="J3506" i="1"/>
  <c r="K3506" i="1"/>
  <c r="L3506" i="1"/>
  <c r="M3506" i="1"/>
  <c r="N3506" i="1"/>
  <c r="A3507" i="1"/>
  <c r="B3507" i="1"/>
  <c r="F3507" i="1"/>
  <c r="G3507" i="1"/>
  <c r="H3507" i="1"/>
  <c r="I3507" i="1"/>
  <c r="J3507" i="1"/>
  <c r="K3507" i="1"/>
  <c r="L3507" i="1"/>
  <c r="M3507" i="1"/>
  <c r="N3507" i="1"/>
  <c r="A3508" i="1"/>
  <c r="B3508" i="1"/>
  <c r="F3508" i="1"/>
  <c r="G3508" i="1"/>
  <c r="H3508" i="1"/>
  <c r="I3508" i="1"/>
  <c r="J3508" i="1"/>
  <c r="K3508" i="1"/>
  <c r="L3508" i="1"/>
  <c r="M3508" i="1"/>
  <c r="N3508" i="1"/>
  <c r="A3509" i="1"/>
  <c r="B3509" i="1"/>
  <c r="F3509" i="1"/>
  <c r="G3509" i="1"/>
  <c r="H3509" i="1"/>
  <c r="I3509" i="1"/>
  <c r="J3509" i="1"/>
  <c r="K3509" i="1"/>
  <c r="L3509" i="1"/>
  <c r="M3509" i="1"/>
  <c r="N3509" i="1"/>
  <c r="A3510" i="1"/>
  <c r="B3510" i="1"/>
  <c r="F3510" i="1"/>
  <c r="G3510" i="1"/>
  <c r="H3510" i="1"/>
  <c r="I3510" i="1"/>
  <c r="J3510" i="1"/>
  <c r="K3510" i="1"/>
  <c r="L3510" i="1"/>
  <c r="M3510" i="1"/>
  <c r="N3510" i="1"/>
  <c r="A3511" i="1"/>
  <c r="B3511" i="1"/>
  <c r="F3511" i="1"/>
  <c r="G3511" i="1"/>
  <c r="H3511" i="1"/>
  <c r="I3511" i="1"/>
  <c r="J3511" i="1"/>
  <c r="K3511" i="1"/>
  <c r="L3511" i="1"/>
  <c r="M3511" i="1"/>
  <c r="N3511" i="1"/>
  <c r="A3512" i="1"/>
  <c r="B3512" i="1"/>
  <c r="F3512" i="1"/>
  <c r="G3512" i="1"/>
  <c r="H3512" i="1"/>
  <c r="I3512" i="1"/>
  <c r="J3512" i="1"/>
  <c r="K3512" i="1"/>
  <c r="L3512" i="1"/>
  <c r="M3512" i="1"/>
  <c r="N3512" i="1"/>
  <c r="A3513" i="1"/>
  <c r="B3513" i="1"/>
  <c r="F3513" i="1"/>
  <c r="G3513" i="1"/>
  <c r="H3513" i="1"/>
  <c r="I3513" i="1"/>
  <c r="J3513" i="1"/>
  <c r="K3513" i="1"/>
  <c r="L3513" i="1"/>
  <c r="M3513" i="1"/>
  <c r="N3513" i="1"/>
  <c r="A3514" i="1"/>
  <c r="B3514" i="1"/>
  <c r="F3514" i="1"/>
  <c r="G3514" i="1"/>
  <c r="H3514" i="1"/>
  <c r="I3514" i="1"/>
  <c r="J3514" i="1"/>
  <c r="K3514" i="1"/>
  <c r="L3514" i="1"/>
  <c r="M3514" i="1"/>
  <c r="N3514" i="1"/>
  <c r="A3515" i="1"/>
  <c r="B3515" i="1"/>
  <c r="F3515" i="1"/>
  <c r="G3515" i="1"/>
  <c r="H3515" i="1"/>
  <c r="I3515" i="1"/>
  <c r="J3515" i="1"/>
  <c r="K3515" i="1"/>
  <c r="L3515" i="1"/>
  <c r="M3515" i="1"/>
  <c r="N3515" i="1"/>
  <c r="A3516" i="1"/>
  <c r="B3516" i="1"/>
  <c r="F3516" i="1"/>
  <c r="G3516" i="1"/>
  <c r="H3516" i="1"/>
  <c r="I3516" i="1"/>
  <c r="J3516" i="1"/>
  <c r="K3516" i="1"/>
  <c r="L3516" i="1"/>
  <c r="M3516" i="1"/>
  <c r="N3516" i="1"/>
  <c r="A3517" i="1"/>
  <c r="B3517" i="1"/>
  <c r="F3517" i="1"/>
  <c r="G3517" i="1"/>
  <c r="H3517" i="1"/>
  <c r="I3517" i="1"/>
  <c r="J3517" i="1"/>
  <c r="K3517" i="1"/>
  <c r="L3517" i="1"/>
  <c r="M3517" i="1"/>
  <c r="N3517" i="1"/>
  <c r="A3518" i="1"/>
  <c r="B3518" i="1"/>
  <c r="F3518" i="1"/>
  <c r="G3518" i="1"/>
  <c r="H3518" i="1"/>
  <c r="I3518" i="1"/>
  <c r="J3518" i="1"/>
  <c r="K3518" i="1"/>
  <c r="L3518" i="1"/>
  <c r="M3518" i="1"/>
  <c r="N3518" i="1"/>
  <c r="A3519" i="1"/>
  <c r="B3519" i="1"/>
  <c r="F3519" i="1"/>
  <c r="G3519" i="1"/>
  <c r="H3519" i="1"/>
  <c r="I3519" i="1"/>
  <c r="J3519" i="1"/>
  <c r="K3519" i="1"/>
  <c r="L3519" i="1"/>
  <c r="M3519" i="1"/>
  <c r="N3519" i="1"/>
  <c r="A3520" i="1"/>
  <c r="B3520" i="1"/>
  <c r="F3520" i="1"/>
  <c r="G3520" i="1"/>
  <c r="H3520" i="1"/>
  <c r="I3520" i="1"/>
  <c r="J3520" i="1"/>
  <c r="K3520" i="1"/>
  <c r="L3520" i="1"/>
  <c r="M3520" i="1"/>
  <c r="N3520" i="1"/>
  <c r="A3521" i="1"/>
  <c r="B3521" i="1"/>
  <c r="F3521" i="1"/>
  <c r="G3521" i="1"/>
  <c r="H3521" i="1"/>
  <c r="I3521" i="1"/>
  <c r="J3521" i="1"/>
  <c r="K3521" i="1"/>
  <c r="L3521" i="1"/>
  <c r="M3521" i="1"/>
  <c r="N3521" i="1"/>
  <c r="A3522" i="1"/>
  <c r="B3522" i="1"/>
  <c r="F3522" i="1"/>
  <c r="G3522" i="1"/>
  <c r="H3522" i="1"/>
  <c r="I3522" i="1"/>
  <c r="J3522" i="1"/>
  <c r="K3522" i="1"/>
  <c r="L3522" i="1"/>
  <c r="M3522" i="1"/>
  <c r="N3522" i="1"/>
  <c r="A3523" i="1"/>
  <c r="B3523" i="1"/>
  <c r="F3523" i="1"/>
  <c r="G3523" i="1"/>
  <c r="H3523" i="1"/>
  <c r="I3523" i="1"/>
  <c r="J3523" i="1"/>
  <c r="K3523" i="1"/>
  <c r="L3523" i="1"/>
  <c r="M3523" i="1"/>
  <c r="N3523" i="1"/>
  <c r="A3524" i="1"/>
  <c r="B3524" i="1"/>
  <c r="F3524" i="1"/>
  <c r="G3524" i="1"/>
  <c r="H3524" i="1"/>
  <c r="I3524" i="1"/>
  <c r="J3524" i="1"/>
  <c r="K3524" i="1"/>
  <c r="L3524" i="1"/>
  <c r="M3524" i="1"/>
  <c r="N3524" i="1"/>
  <c r="A3525" i="1"/>
  <c r="B3525" i="1"/>
  <c r="F3525" i="1"/>
  <c r="G3525" i="1"/>
  <c r="H3525" i="1"/>
  <c r="I3525" i="1"/>
  <c r="J3525" i="1"/>
  <c r="K3525" i="1"/>
  <c r="L3525" i="1"/>
  <c r="M3525" i="1"/>
  <c r="N3525" i="1"/>
  <c r="A3526" i="1"/>
  <c r="B3526" i="1"/>
  <c r="F3526" i="1"/>
  <c r="G3526" i="1"/>
  <c r="H3526" i="1"/>
  <c r="I3526" i="1"/>
  <c r="J3526" i="1"/>
  <c r="K3526" i="1"/>
  <c r="L3526" i="1"/>
  <c r="M3526" i="1"/>
  <c r="N3526" i="1"/>
  <c r="A3527" i="1"/>
  <c r="B3527" i="1"/>
  <c r="F3527" i="1"/>
  <c r="G3527" i="1"/>
  <c r="H3527" i="1"/>
  <c r="I3527" i="1"/>
  <c r="J3527" i="1"/>
  <c r="K3527" i="1"/>
  <c r="L3527" i="1"/>
  <c r="M3527" i="1"/>
  <c r="N3527" i="1"/>
  <c r="A3528" i="1"/>
  <c r="B3528" i="1"/>
  <c r="F3528" i="1"/>
  <c r="G3528" i="1"/>
  <c r="H3528" i="1"/>
  <c r="I3528" i="1"/>
  <c r="J3528" i="1"/>
  <c r="K3528" i="1"/>
  <c r="L3528" i="1"/>
  <c r="M3528" i="1"/>
  <c r="N3528" i="1"/>
  <c r="A3529" i="1"/>
  <c r="B3529" i="1"/>
  <c r="F3529" i="1"/>
  <c r="G3529" i="1"/>
  <c r="H3529" i="1"/>
  <c r="I3529" i="1"/>
  <c r="J3529" i="1"/>
  <c r="K3529" i="1"/>
  <c r="L3529" i="1"/>
  <c r="M3529" i="1"/>
  <c r="N3529" i="1"/>
  <c r="A3530" i="1"/>
  <c r="B3530" i="1"/>
  <c r="F3530" i="1"/>
  <c r="G3530" i="1"/>
  <c r="H3530" i="1"/>
  <c r="I3530" i="1"/>
  <c r="J3530" i="1"/>
  <c r="K3530" i="1"/>
  <c r="L3530" i="1"/>
  <c r="M3530" i="1"/>
  <c r="N3530" i="1"/>
  <c r="A3531" i="1"/>
  <c r="B3531" i="1"/>
  <c r="F3531" i="1"/>
  <c r="G3531" i="1"/>
  <c r="H3531" i="1"/>
  <c r="I3531" i="1"/>
  <c r="J3531" i="1"/>
  <c r="K3531" i="1"/>
  <c r="L3531" i="1"/>
  <c r="M3531" i="1"/>
  <c r="N3531" i="1"/>
  <c r="A3532" i="1"/>
  <c r="B3532" i="1"/>
  <c r="F3532" i="1"/>
  <c r="G3532" i="1"/>
  <c r="H3532" i="1"/>
  <c r="I3532" i="1"/>
  <c r="J3532" i="1"/>
  <c r="K3532" i="1"/>
  <c r="L3532" i="1"/>
  <c r="M3532" i="1"/>
  <c r="N3532" i="1"/>
  <c r="A3533" i="1"/>
  <c r="B3533" i="1"/>
  <c r="F3533" i="1"/>
  <c r="G3533" i="1"/>
  <c r="H3533" i="1"/>
  <c r="I3533" i="1"/>
  <c r="J3533" i="1"/>
  <c r="K3533" i="1"/>
  <c r="L3533" i="1"/>
  <c r="M3533" i="1"/>
  <c r="N3533" i="1"/>
  <c r="A3534" i="1"/>
  <c r="B3534" i="1"/>
  <c r="F3534" i="1"/>
  <c r="G3534" i="1"/>
  <c r="H3534" i="1"/>
  <c r="I3534" i="1"/>
  <c r="J3534" i="1"/>
  <c r="K3534" i="1"/>
  <c r="L3534" i="1"/>
  <c r="M3534" i="1"/>
  <c r="N3534" i="1"/>
  <c r="A3535" i="1"/>
  <c r="B3535" i="1"/>
  <c r="F3535" i="1"/>
  <c r="G3535" i="1"/>
  <c r="H3535" i="1"/>
  <c r="I3535" i="1"/>
  <c r="J3535" i="1"/>
  <c r="K3535" i="1"/>
  <c r="L3535" i="1"/>
  <c r="M3535" i="1"/>
  <c r="N3535" i="1"/>
  <c r="A3536" i="1"/>
  <c r="B3536" i="1"/>
  <c r="F3536" i="1"/>
  <c r="G3536" i="1"/>
  <c r="H3536" i="1"/>
  <c r="I3536" i="1"/>
  <c r="J3536" i="1"/>
  <c r="K3536" i="1"/>
  <c r="L3536" i="1"/>
  <c r="M3536" i="1"/>
  <c r="N3536" i="1"/>
  <c r="A3537" i="1"/>
  <c r="B3537" i="1"/>
  <c r="F3537" i="1"/>
  <c r="G3537" i="1"/>
  <c r="H3537" i="1"/>
  <c r="I3537" i="1"/>
  <c r="J3537" i="1"/>
  <c r="K3537" i="1"/>
  <c r="L3537" i="1"/>
  <c r="M3537" i="1"/>
  <c r="N3537" i="1"/>
  <c r="A3538" i="1"/>
  <c r="B3538" i="1"/>
  <c r="F3538" i="1"/>
  <c r="G3538" i="1"/>
  <c r="H3538" i="1"/>
  <c r="I3538" i="1"/>
  <c r="J3538" i="1"/>
  <c r="K3538" i="1"/>
  <c r="L3538" i="1"/>
  <c r="M3538" i="1"/>
  <c r="N3538" i="1"/>
  <c r="A3539" i="1"/>
  <c r="B3539" i="1"/>
  <c r="F3539" i="1"/>
  <c r="G3539" i="1"/>
  <c r="H3539" i="1"/>
  <c r="I3539" i="1"/>
  <c r="J3539" i="1"/>
  <c r="K3539" i="1"/>
  <c r="L3539" i="1"/>
  <c r="M3539" i="1"/>
  <c r="N3539" i="1"/>
  <c r="A3540" i="1"/>
  <c r="B3540" i="1"/>
  <c r="F3540" i="1"/>
  <c r="G3540" i="1"/>
  <c r="H3540" i="1"/>
  <c r="I3540" i="1"/>
  <c r="J3540" i="1"/>
  <c r="K3540" i="1"/>
  <c r="L3540" i="1"/>
  <c r="M3540" i="1"/>
  <c r="N3540" i="1"/>
  <c r="A3541" i="1"/>
  <c r="B3541" i="1"/>
  <c r="F3541" i="1"/>
  <c r="G3541" i="1"/>
  <c r="H3541" i="1"/>
  <c r="I3541" i="1"/>
  <c r="J3541" i="1"/>
  <c r="K3541" i="1"/>
  <c r="L3541" i="1"/>
  <c r="M3541" i="1"/>
  <c r="N3541" i="1"/>
  <c r="A3542" i="1"/>
  <c r="B3542" i="1"/>
  <c r="F3542" i="1"/>
  <c r="G3542" i="1"/>
  <c r="H3542" i="1"/>
  <c r="I3542" i="1"/>
  <c r="J3542" i="1"/>
  <c r="K3542" i="1"/>
  <c r="L3542" i="1"/>
  <c r="M3542" i="1"/>
  <c r="N3542" i="1"/>
  <c r="A3543" i="1"/>
  <c r="B3543" i="1"/>
  <c r="F3543" i="1"/>
  <c r="G3543" i="1"/>
  <c r="H3543" i="1"/>
  <c r="I3543" i="1"/>
  <c r="J3543" i="1"/>
  <c r="K3543" i="1"/>
  <c r="L3543" i="1"/>
  <c r="M3543" i="1"/>
  <c r="N3543" i="1"/>
  <c r="A3544" i="1"/>
  <c r="B3544" i="1"/>
  <c r="F3544" i="1"/>
  <c r="G3544" i="1"/>
  <c r="H3544" i="1"/>
  <c r="I3544" i="1"/>
  <c r="J3544" i="1"/>
  <c r="K3544" i="1"/>
  <c r="L3544" i="1"/>
  <c r="M3544" i="1"/>
  <c r="N3544" i="1"/>
  <c r="A3545" i="1"/>
  <c r="B3545" i="1"/>
  <c r="F3545" i="1"/>
  <c r="G3545" i="1"/>
  <c r="H3545" i="1"/>
  <c r="I3545" i="1"/>
  <c r="J3545" i="1"/>
  <c r="K3545" i="1"/>
  <c r="L3545" i="1"/>
  <c r="M3545" i="1"/>
  <c r="N3545" i="1"/>
  <c r="A3546" i="1"/>
  <c r="B3546" i="1"/>
  <c r="F3546" i="1"/>
  <c r="G3546" i="1"/>
  <c r="H3546" i="1"/>
  <c r="I3546" i="1"/>
  <c r="J3546" i="1"/>
  <c r="K3546" i="1"/>
  <c r="L3546" i="1"/>
  <c r="M3546" i="1"/>
  <c r="N3546" i="1"/>
  <c r="A3547" i="1"/>
  <c r="B3547" i="1"/>
  <c r="F3547" i="1"/>
  <c r="G3547" i="1"/>
  <c r="H3547" i="1"/>
  <c r="I3547" i="1"/>
  <c r="J3547" i="1"/>
  <c r="K3547" i="1"/>
  <c r="L3547" i="1"/>
  <c r="M3547" i="1"/>
  <c r="N3547" i="1"/>
  <c r="A3548" i="1"/>
  <c r="B3548" i="1"/>
  <c r="F3548" i="1"/>
  <c r="G3548" i="1"/>
  <c r="H3548" i="1"/>
  <c r="I3548" i="1"/>
  <c r="J3548" i="1"/>
  <c r="K3548" i="1"/>
  <c r="L3548" i="1"/>
  <c r="M3548" i="1"/>
  <c r="N3548" i="1"/>
  <c r="A3549" i="1"/>
  <c r="B3549" i="1"/>
  <c r="F3549" i="1"/>
  <c r="G3549" i="1"/>
  <c r="H3549" i="1"/>
  <c r="I3549" i="1"/>
  <c r="J3549" i="1"/>
  <c r="K3549" i="1"/>
  <c r="L3549" i="1"/>
  <c r="M3549" i="1"/>
  <c r="N3549" i="1"/>
  <c r="A3550" i="1"/>
  <c r="B3550" i="1"/>
  <c r="F3550" i="1"/>
  <c r="G3550" i="1"/>
  <c r="H3550" i="1"/>
  <c r="I3550" i="1"/>
  <c r="J3550" i="1"/>
  <c r="K3550" i="1"/>
  <c r="L3550" i="1"/>
  <c r="M3550" i="1"/>
  <c r="N3550" i="1"/>
  <c r="A3551" i="1"/>
  <c r="B3551" i="1"/>
  <c r="F3551" i="1"/>
  <c r="G3551" i="1"/>
  <c r="H3551" i="1"/>
  <c r="I3551" i="1"/>
  <c r="J3551" i="1"/>
  <c r="K3551" i="1"/>
  <c r="L3551" i="1"/>
  <c r="M3551" i="1"/>
  <c r="N3551" i="1"/>
  <c r="A3552" i="1"/>
  <c r="B3552" i="1"/>
  <c r="F3552" i="1"/>
  <c r="G3552" i="1"/>
  <c r="H3552" i="1"/>
  <c r="I3552" i="1"/>
  <c r="J3552" i="1"/>
  <c r="K3552" i="1"/>
  <c r="L3552" i="1"/>
  <c r="M3552" i="1"/>
  <c r="N3552" i="1"/>
  <c r="A3553" i="1"/>
  <c r="B3553" i="1"/>
  <c r="F3553" i="1"/>
  <c r="G3553" i="1"/>
  <c r="H3553" i="1"/>
  <c r="I3553" i="1"/>
  <c r="J3553" i="1"/>
  <c r="K3553" i="1"/>
  <c r="L3553" i="1"/>
  <c r="M3553" i="1"/>
  <c r="N3553" i="1"/>
  <c r="A3554" i="1"/>
  <c r="B3554" i="1"/>
  <c r="F3554" i="1"/>
  <c r="G3554" i="1"/>
  <c r="H3554" i="1"/>
  <c r="I3554" i="1"/>
  <c r="J3554" i="1"/>
  <c r="K3554" i="1"/>
  <c r="L3554" i="1"/>
  <c r="M3554" i="1"/>
  <c r="N3554" i="1"/>
  <c r="A3555" i="1"/>
  <c r="B3555" i="1"/>
  <c r="F3555" i="1"/>
  <c r="G3555" i="1"/>
  <c r="H3555" i="1"/>
  <c r="I3555" i="1"/>
  <c r="J3555" i="1"/>
  <c r="K3555" i="1"/>
  <c r="L3555" i="1"/>
  <c r="M3555" i="1"/>
  <c r="N3555" i="1"/>
  <c r="A3556" i="1"/>
  <c r="B3556" i="1"/>
  <c r="F3556" i="1"/>
  <c r="G3556" i="1"/>
  <c r="H3556" i="1"/>
  <c r="I3556" i="1"/>
  <c r="J3556" i="1"/>
  <c r="K3556" i="1"/>
  <c r="L3556" i="1"/>
  <c r="M3556" i="1"/>
  <c r="N3556" i="1"/>
  <c r="A3557" i="1"/>
  <c r="B3557" i="1"/>
  <c r="F3557" i="1"/>
  <c r="G3557" i="1"/>
  <c r="H3557" i="1"/>
  <c r="I3557" i="1"/>
  <c r="J3557" i="1"/>
  <c r="K3557" i="1"/>
  <c r="L3557" i="1"/>
  <c r="M3557" i="1"/>
  <c r="N3557" i="1"/>
  <c r="A3558" i="1"/>
  <c r="B3558" i="1"/>
  <c r="F3558" i="1"/>
  <c r="G3558" i="1"/>
  <c r="H3558" i="1"/>
  <c r="I3558" i="1"/>
  <c r="J3558" i="1"/>
  <c r="K3558" i="1"/>
  <c r="L3558" i="1"/>
  <c r="M3558" i="1"/>
  <c r="N3558" i="1"/>
  <c r="A3559" i="1"/>
  <c r="B3559" i="1"/>
  <c r="F3559" i="1"/>
  <c r="G3559" i="1"/>
  <c r="H3559" i="1"/>
  <c r="I3559" i="1"/>
  <c r="J3559" i="1"/>
  <c r="K3559" i="1"/>
  <c r="L3559" i="1"/>
  <c r="M3559" i="1"/>
  <c r="N3559" i="1"/>
  <c r="A3560" i="1"/>
  <c r="B3560" i="1"/>
  <c r="F3560" i="1"/>
  <c r="G3560" i="1"/>
  <c r="H3560" i="1"/>
  <c r="I3560" i="1"/>
  <c r="J3560" i="1"/>
  <c r="K3560" i="1"/>
  <c r="L3560" i="1"/>
  <c r="M3560" i="1"/>
  <c r="N3560" i="1"/>
  <c r="A3561" i="1"/>
  <c r="B3561" i="1"/>
  <c r="F3561" i="1"/>
  <c r="G3561" i="1"/>
  <c r="H3561" i="1"/>
  <c r="I3561" i="1"/>
  <c r="J3561" i="1"/>
  <c r="K3561" i="1"/>
  <c r="L3561" i="1"/>
  <c r="M3561" i="1"/>
  <c r="N3561" i="1"/>
  <c r="A3562" i="1"/>
  <c r="B3562" i="1"/>
  <c r="F3562" i="1"/>
  <c r="G3562" i="1"/>
  <c r="H3562" i="1"/>
  <c r="I3562" i="1"/>
  <c r="J3562" i="1"/>
  <c r="K3562" i="1"/>
  <c r="L3562" i="1"/>
  <c r="M3562" i="1"/>
  <c r="N3562" i="1"/>
  <c r="A3563" i="1"/>
  <c r="B3563" i="1"/>
  <c r="F3563" i="1"/>
  <c r="G3563" i="1"/>
  <c r="H3563" i="1"/>
  <c r="I3563" i="1"/>
  <c r="J3563" i="1"/>
  <c r="K3563" i="1"/>
  <c r="L3563" i="1"/>
  <c r="M3563" i="1"/>
  <c r="N3563" i="1"/>
  <c r="A3564" i="1"/>
  <c r="B3564" i="1"/>
  <c r="F3564" i="1"/>
  <c r="G3564" i="1"/>
  <c r="H3564" i="1"/>
  <c r="I3564" i="1"/>
  <c r="J3564" i="1"/>
  <c r="K3564" i="1"/>
  <c r="L3564" i="1"/>
  <c r="M3564" i="1"/>
  <c r="N3564" i="1"/>
  <c r="A3565" i="1"/>
  <c r="B3565" i="1"/>
  <c r="F3565" i="1"/>
  <c r="G3565" i="1"/>
  <c r="H3565" i="1"/>
  <c r="I3565" i="1"/>
  <c r="J3565" i="1"/>
  <c r="K3565" i="1"/>
  <c r="L3565" i="1"/>
  <c r="M3565" i="1"/>
  <c r="N3565" i="1"/>
  <c r="A3566" i="1"/>
  <c r="B3566" i="1"/>
  <c r="F3566" i="1"/>
  <c r="G3566" i="1"/>
  <c r="H3566" i="1"/>
  <c r="I3566" i="1"/>
  <c r="J3566" i="1"/>
  <c r="K3566" i="1"/>
  <c r="L3566" i="1"/>
  <c r="M3566" i="1"/>
  <c r="N3566" i="1"/>
  <c r="A3567" i="1"/>
  <c r="B3567" i="1"/>
  <c r="F3567" i="1"/>
  <c r="G3567" i="1"/>
  <c r="H3567" i="1"/>
  <c r="I3567" i="1"/>
  <c r="J3567" i="1"/>
  <c r="K3567" i="1"/>
  <c r="L3567" i="1"/>
  <c r="M3567" i="1"/>
  <c r="N3567" i="1"/>
  <c r="A3568" i="1"/>
  <c r="B3568" i="1"/>
  <c r="F3568" i="1"/>
  <c r="G3568" i="1"/>
  <c r="H3568" i="1"/>
  <c r="I3568" i="1"/>
  <c r="J3568" i="1"/>
  <c r="K3568" i="1"/>
  <c r="L3568" i="1"/>
  <c r="M3568" i="1"/>
  <c r="N3568" i="1"/>
  <c r="A3569" i="1"/>
  <c r="B3569" i="1"/>
  <c r="F3569" i="1"/>
  <c r="G3569" i="1"/>
  <c r="H3569" i="1"/>
  <c r="I3569" i="1"/>
  <c r="J3569" i="1"/>
  <c r="K3569" i="1"/>
  <c r="L3569" i="1"/>
  <c r="M3569" i="1"/>
  <c r="N3569" i="1"/>
  <c r="A3570" i="1"/>
  <c r="B3570" i="1"/>
  <c r="F3570" i="1"/>
  <c r="G3570" i="1"/>
  <c r="H3570" i="1"/>
  <c r="I3570" i="1"/>
  <c r="J3570" i="1"/>
  <c r="K3570" i="1"/>
  <c r="L3570" i="1"/>
  <c r="M3570" i="1"/>
  <c r="N3570" i="1"/>
  <c r="A3571" i="1"/>
  <c r="B3571" i="1"/>
  <c r="F3571" i="1"/>
  <c r="G3571" i="1"/>
  <c r="H3571" i="1"/>
  <c r="I3571" i="1"/>
  <c r="J3571" i="1"/>
  <c r="K3571" i="1"/>
  <c r="L3571" i="1"/>
  <c r="M3571" i="1"/>
  <c r="N3571" i="1"/>
  <c r="A3572" i="1"/>
  <c r="B3572" i="1"/>
  <c r="F3572" i="1"/>
  <c r="G3572" i="1"/>
  <c r="H3572" i="1"/>
  <c r="I3572" i="1"/>
  <c r="J3572" i="1"/>
  <c r="K3572" i="1"/>
  <c r="L3572" i="1"/>
  <c r="M3572" i="1"/>
  <c r="N3572" i="1"/>
  <c r="A3573" i="1"/>
  <c r="B3573" i="1"/>
  <c r="F3573" i="1"/>
  <c r="G3573" i="1"/>
  <c r="H3573" i="1"/>
  <c r="I3573" i="1"/>
  <c r="J3573" i="1"/>
  <c r="K3573" i="1"/>
  <c r="L3573" i="1"/>
  <c r="M3573" i="1"/>
  <c r="N3573" i="1"/>
  <c r="A3574" i="1"/>
  <c r="B3574" i="1"/>
  <c r="F3574" i="1"/>
  <c r="G3574" i="1"/>
  <c r="H3574" i="1"/>
  <c r="I3574" i="1"/>
  <c r="J3574" i="1"/>
  <c r="K3574" i="1"/>
  <c r="L3574" i="1"/>
  <c r="M3574" i="1"/>
  <c r="N3574" i="1"/>
  <c r="A3575" i="1"/>
  <c r="B3575" i="1"/>
  <c r="F3575" i="1"/>
  <c r="G3575" i="1"/>
  <c r="H3575" i="1"/>
  <c r="I3575" i="1"/>
  <c r="J3575" i="1"/>
  <c r="K3575" i="1"/>
  <c r="L3575" i="1"/>
  <c r="M3575" i="1"/>
  <c r="N3575" i="1"/>
  <c r="A3576" i="1"/>
  <c r="B3576" i="1"/>
  <c r="F3576" i="1"/>
  <c r="G3576" i="1"/>
  <c r="H3576" i="1"/>
  <c r="I3576" i="1"/>
  <c r="J3576" i="1"/>
  <c r="K3576" i="1"/>
  <c r="L3576" i="1"/>
  <c r="M3576" i="1"/>
  <c r="N3576" i="1"/>
  <c r="A3577" i="1"/>
  <c r="B3577" i="1"/>
  <c r="F3577" i="1"/>
  <c r="G3577" i="1"/>
  <c r="H3577" i="1"/>
  <c r="I3577" i="1"/>
  <c r="J3577" i="1"/>
  <c r="K3577" i="1"/>
  <c r="L3577" i="1"/>
  <c r="M3577" i="1"/>
  <c r="N3577" i="1"/>
  <c r="A3578" i="1"/>
  <c r="B3578" i="1"/>
  <c r="F3578" i="1"/>
  <c r="G3578" i="1"/>
  <c r="H3578" i="1"/>
  <c r="I3578" i="1"/>
  <c r="J3578" i="1"/>
  <c r="K3578" i="1"/>
  <c r="L3578" i="1"/>
  <c r="M3578" i="1"/>
  <c r="N3578" i="1"/>
  <c r="A3579" i="1"/>
  <c r="B3579" i="1"/>
  <c r="F3579" i="1"/>
  <c r="G3579" i="1"/>
  <c r="H3579" i="1"/>
  <c r="I3579" i="1"/>
  <c r="J3579" i="1"/>
  <c r="K3579" i="1"/>
  <c r="L3579" i="1"/>
  <c r="M3579" i="1"/>
  <c r="N3579" i="1"/>
  <c r="A3580" i="1"/>
  <c r="B3580" i="1"/>
  <c r="F3580" i="1"/>
  <c r="G3580" i="1"/>
  <c r="H3580" i="1"/>
  <c r="I3580" i="1"/>
  <c r="J3580" i="1"/>
  <c r="K3580" i="1"/>
  <c r="L3580" i="1"/>
  <c r="M3580" i="1"/>
  <c r="N3580" i="1"/>
  <c r="A3581" i="1"/>
  <c r="B3581" i="1"/>
  <c r="F3581" i="1"/>
  <c r="G3581" i="1"/>
  <c r="H3581" i="1"/>
  <c r="I3581" i="1"/>
  <c r="J3581" i="1"/>
  <c r="K3581" i="1"/>
  <c r="L3581" i="1"/>
  <c r="M3581" i="1"/>
  <c r="N3581" i="1"/>
  <c r="A3582" i="1"/>
  <c r="B3582" i="1"/>
  <c r="F3582" i="1"/>
  <c r="G3582" i="1"/>
  <c r="H3582" i="1"/>
  <c r="I3582" i="1"/>
  <c r="J3582" i="1"/>
  <c r="K3582" i="1"/>
  <c r="L3582" i="1"/>
  <c r="M3582" i="1"/>
  <c r="N3582" i="1"/>
  <c r="A3583" i="1"/>
  <c r="B3583" i="1"/>
  <c r="F3583" i="1"/>
  <c r="G3583" i="1"/>
  <c r="H3583" i="1"/>
  <c r="I3583" i="1"/>
  <c r="J3583" i="1"/>
  <c r="K3583" i="1"/>
  <c r="L3583" i="1"/>
  <c r="M3583" i="1"/>
  <c r="N3583" i="1"/>
  <c r="A3584" i="1"/>
  <c r="B3584" i="1"/>
  <c r="F3584" i="1"/>
  <c r="G3584" i="1"/>
  <c r="H3584" i="1"/>
  <c r="I3584" i="1"/>
  <c r="J3584" i="1"/>
  <c r="K3584" i="1"/>
  <c r="L3584" i="1"/>
  <c r="M3584" i="1"/>
  <c r="N3584" i="1"/>
  <c r="A3585" i="1"/>
  <c r="B3585" i="1"/>
  <c r="F3585" i="1"/>
  <c r="G3585" i="1"/>
  <c r="H3585" i="1"/>
  <c r="I3585" i="1"/>
  <c r="J3585" i="1"/>
  <c r="K3585" i="1"/>
  <c r="L3585" i="1"/>
  <c r="M3585" i="1"/>
  <c r="N3585" i="1"/>
  <c r="A3586" i="1"/>
  <c r="B3586" i="1"/>
  <c r="F3586" i="1"/>
  <c r="G3586" i="1"/>
  <c r="H3586" i="1"/>
  <c r="I3586" i="1"/>
  <c r="J3586" i="1"/>
  <c r="K3586" i="1"/>
  <c r="L3586" i="1"/>
  <c r="M3586" i="1"/>
  <c r="N3586" i="1"/>
  <c r="A3587" i="1"/>
  <c r="B3587" i="1"/>
  <c r="F3587" i="1"/>
  <c r="G3587" i="1"/>
  <c r="H3587" i="1"/>
  <c r="I3587" i="1"/>
  <c r="J3587" i="1"/>
  <c r="K3587" i="1"/>
  <c r="L3587" i="1"/>
  <c r="M3587" i="1"/>
  <c r="N3587" i="1"/>
  <c r="A3588" i="1"/>
  <c r="B3588" i="1"/>
  <c r="F3588" i="1"/>
  <c r="G3588" i="1"/>
  <c r="H3588" i="1"/>
  <c r="I3588" i="1"/>
  <c r="J3588" i="1"/>
  <c r="K3588" i="1"/>
  <c r="L3588" i="1"/>
  <c r="M3588" i="1"/>
  <c r="N3588" i="1"/>
  <c r="A3589" i="1"/>
  <c r="B3589" i="1"/>
  <c r="F3589" i="1"/>
  <c r="G3589" i="1"/>
  <c r="H3589" i="1"/>
  <c r="I3589" i="1"/>
  <c r="J3589" i="1"/>
  <c r="K3589" i="1"/>
  <c r="L3589" i="1"/>
  <c r="M3589" i="1"/>
  <c r="N3589" i="1"/>
  <c r="A3590" i="1"/>
  <c r="B3590" i="1"/>
  <c r="F3590" i="1"/>
  <c r="G3590" i="1"/>
  <c r="H3590" i="1"/>
  <c r="I3590" i="1"/>
  <c r="J3590" i="1"/>
  <c r="K3590" i="1"/>
  <c r="L3590" i="1"/>
  <c r="M3590" i="1"/>
  <c r="N3590" i="1"/>
  <c r="A3591" i="1"/>
  <c r="B3591" i="1"/>
  <c r="F3591" i="1"/>
  <c r="G3591" i="1"/>
  <c r="H3591" i="1"/>
  <c r="I3591" i="1"/>
  <c r="J3591" i="1"/>
  <c r="K3591" i="1"/>
  <c r="L3591" i="1"/>
  <c r="M3591" i="1"/>
  <c r="N3591" i="1"/>
  <c r="A3592" i="1"/>
  <c r="B3592" i="1"/>
  <c r="F3592" i="1"/>
  <c r="G3592" i="1"/>
  <c r="H3592" i="1"/>
  <c r="I3592" i="1"/>
  <c r="J3592" i="1"/>
  <c r="K3592" i="1"/>
  <c r="L3592" i="1"/>
  <c r="M3592" i="1"/>
  <c r="N3592" i="1"/>
  <c r="A3593" i="1"/>
  <c r="B3593" i="1"/>
  <c r="F3593" i="1"/>
  <c r="G3593" i="1"/>
  <c r="H3593" i="1"/>
  <c r="I3593" i="1"/>
  <c r="J3593" i="1"/>
  <c r="K3593" i="1"/>
  <c r="L3593" i="1"/>
  <c r="M3593" i="1"/>
  <c r="N3593" i="1"/>
  <c r="A3594" i="1"/>
  <c r="B3594" i="1"/>
  <c r="F3594" i="1"/>
  <c r="G3594" i="1"/>
  <c r="H3594" i="1"/>
  <c r="I3594" i="1"/>
  <c r="J3594" i="1"/>
  <c r="K3594" i="1"/>
  <c r="L3594" i="1"/>
  <c r="M3594" i="1"/>
  <c r="N3594" i="1"/>
  <c r="A3595" i="1"/>
  <c r="B3595" i="1"/>
  <c r="F3595" i="1"/>
  <c r="G3595" i="1"/>
  <c r="H3595" i="1"/>
  <c r="I3595" i="1"/>
  <c r="J3595" i="1"/>
  <c r="K3595" i="1"/>
  <c r="L3595" i="1"/>
  <c r="M3595" i="1"/>
  <c r="N3595" i="1"/>
  <c r="A3596" i="1"/>
  <c r="B3596" i="1"/>
  <c r="F3596" i="1"/>
  <c r="G3596" i="1"/>
  <c r="H3596" i="1"/>
  <c r="I3596" i="1"/>
  <c r="J3596" i="1"/>
  <c r="K3596" i="1"/>
  <c r="L3596" i="1"/>
  <c r="M3596" i="1"/>
  <c r="N3596" i="1"/>
  <c r="A3597" i="1"/>
  <c r="B3597" i="1"/>
  <c r="F3597" i="1"/>
  <c r="G3597" i="1"/>
  <c r="H3597" i="1"/>
  <c r="I3597" i="1"/>
  <c r="J3597" i="1"/>
  <c r="K3597" i="1"/>
  <c r="L3597" i="1"/>
  <c r="M3597" i="1"/>
  <c r="N3597" i="1"/>
  <c r="A3598" i="1"/>
  <c r="B3598" i="1"/>
  <c r="F3598" i="1"/>
  <c r="G3598" i="1"/>
  <c r="H3598" i="1"/>
  <c r="I3598" i="1"/>
  <c r="J3598" i="1"/>
  <c r="K3598" i="1"/>
  <c r="L3598" i="1"/>
  <c r="M3598" i="1"/>
  <c r="N3598" i="1"/>
  <c r="A3599" i="1"/>
  <c r="B3599" i="1"/>
  <c r="F3599" i="1"/>
  <c r="G3599" i="1"/>
  <c r="H3599" i="1"/>
  <c r="I3599" i="1"/>
  <c r="J3599" i="1"/>
  <c r="K3599" i="1"/>
  <c r="L3599" i="1"/>
  <c r="M3599" i="1"/>
  <c r="N3599" i="1"/>
  <c r="A3600" i="1"/>
  <c r="B3600" i="1"/>
  <c r="F3600" i="1"/>
  <c r="G3600" i="1"/>
  <c r="H3600" i="1"/>
  <c r="I3600" i="1"/>
  <c r="J3600" i="1"/>
  <c r="K3600" i="1"/>
  <c r="L3600" i="1"/>
  <c r="M3600" i="1"/>
  <c r="N3600" i="1"/>
  <c r="A3601" i="1"/>
  <c r="B3601" i="1"/>
  <c r="F3601" i="1"/>
  <c r="G3601" i="1"/>
  <c r="H3601" i="1"/>
  <c r="I3601" i="1"/>
  <c r="J3601" i="1"/>
  <c r="K3601" i="1"/>
  <c r="L3601" i="1"/>
  <c r="M3601" i="1"/>
  <c r="N3601" i="1"/>
  <c r="A3602" i="1"/>
  <c r="B3602" i="1"/>
  <c r="F3602" i="1"/>
  <c r="G3602" i="1"/>
  <c r="H3602" i="1"/>
  <c r="I3602" i="1"/>
  <c r="J3602" i="1"/>
  <c r="K3602" i="1"/>
  <c r="L3602" i="1"/>
  <c r="M3602" i="1"/>
  <c r="N3602" i="1"/>
  <c r="A3603" i="1"/>
  <c r="B3603" i="1"/>
  <c r="F3603" i="1"/>
  <c r="G3603" i="1"/>
  <c r="H3603" i="1"/>
  <c r="I3603" i="1"/>
  <c r="J3603" i="1"/>
  <c r="K3603" i="1"/>
  <c r="L3603" i="1"/>
  <c r="M3603" i="1"/>
  <c r="N3603" i="1"/>
  <c r="A3604" i="1"/>
  <c r="B3604" i="1"/>
  <c r="F3604" i="1"/>
  <c r="G3604" i="1"/>
  <c r="H3604" i="1"/>
  <c r="I3604" i="1"/>
  <c r="J3604" i="1"/>
  <c r="K3604" i="1"/>
  <c r="L3604" i="1"/>
  <c r="M3604" i="1"/>
  <c r="N3604" i="1"/>
  <c r="A3605" i="1"/>
  <c r="B3605" i="1"/>
  <c r="F3605" i="1"/>
  <c r="G3605" i="1"/>
  <c r="H3605" i="1"/>
  <c r="I3605" i="1"/>
  <c r="J3605" i="1"/>
  <c r="K3605" i="1"/>
  <c r="L3605" i="1"/>
  <c r="M3605" i="1"/>
  <c r="N3605" i="1"/>
  <c r="A3606" i="1"/>
  <c r="B3606" i="1"/>
  <c r="F3606" i="1"/>
  <c r="G3606" i="1"/>
  <c r="H3606" i="1"/>
  <c r="I3606" i="1"/>
  <c r="J3606" i="1"/>
  <c r="K3606" i="1"/>
  <c r="L3606" i="1"/>
  <c r="M3606" i="1"/>
  <c r="N3606" i="1"/>
  <c r="A3607" i="1"/>
  <c r="B3607" i="1"/>
  <c r="F3607" i="1"/>
  <c r="G3607" i="1"/>
  <c r="H3607" i="1"/>
  <c r="I3607" i="1"/>
  <c r="J3607" i="1"/>
  <c r="K3607" i="1"/>
  <c r="L3607" i="1"/>
  <c r="M3607" i="1"/>
  <c r="N3607" i="1"/>
  <c r="A3608" i="1"/>
  <c r="B3608" i="1"/>
  <c r="F3608" i="1"/>
  <c r="G3608" i="1"/>
  <c r="H3608" i="1"/>
  <c r="I3608" i="1"/>
  <c r="J3608" i="1"/>
  <c r="K3608" i="1"/>
  <c r="L3608" i="1"/>
  <c r="M3608" i="1"/>
  <c r="N3608" i="1"/>
  <c r="A3609" i="1"/>
  <c r="B3609" i="1"/>
  <c r="F3609" i="1"/>
  <c r="G3609" i="1"/>
  <c r="H3609" i="1"/>
  <c r="I3609" i="1"/>
  <c r="J3609" i="1"/>
  <c r="K3609" i="1"/>
  <c r="L3609" i="1"/>
  <c r="M3609" i="1"/>
  <c r="N3609" i="1"/>
  <c r="A3610" i="1"/>
  <c r="B3610" i="1"/>
  <c r="F3610" i="1"/>
  <c r="G3610" i="1"/>
  <c r="H3610" i="1"/>
  <c r="I3610" i="1"/>
  <c r="J3610" i="1"/>
  <c r="K3610" i="1"/>
  <c r="L3610" i="1"/>
  <c r="M3610" i="1"/>
  <c r="N3610" i="1"/>
  <c r="A3611" i="1"/>
  <c r="B3611" i="1"/>
  <c r="F3611" i="1"/>
  <c r="G3611" i="1"/>
  <c r="H3611" i="1"/>
  <c r="I3611" i="1"/>
  <c r="J3611" i="1"/>
  <c r="K3611" i="1"/>
  <c r="L3611" i="1"/>
  <c r="M3611" i="1"/>
  <c r="N3611" i="1"/>
  <c r="A3612" i="1"/>
  <c r="B3612" i="1"/>
  <c r="F3612" i="1"/>
  <c r="G3612" i="1"/>
  <c r="H3612" i="1"/>
  <c r="I3612" i="1"/>
  <c r="J3612" i="1"/>
  <c r="K3612" i="1"/>
  <c r="L3612" i="1"/>
  <c r="M3612" i="1"/>
  <c r="N3612" i="1"/>
  <c r="A3613" i="1"/>
  <c r="B3613" i="1"/>
  <c r="F3613" i="1"/>
  <c r="G3613" i="1"/>
  <c r="H3613" i="1"/>
  <c r="I3613" i="1"/>
  <c r="J3613" i="1"/>
  <c r="K3613" i="1"/>
  <c r="L3613" i="1"/>
  <c r="M3613" i="1"/>
  <c r="N3613" i="1"/>
  <c r="A3614" i="1"/>
  <c r="B3614" i="1"/>
  <c r="F3614" i="1"/>
  <c r="G3614" i="1"/>
  <c r="H3614" i="1"/>
  <c r="I3614" i="1"/>
  <c r="J3614" i="1"/>
  <c r="K3614" i="1"/>
  <c r="L3614" i="1"/>
  <c r="M3614" i="1"/>
  <c r="N3614" i="1"/>
  <c r="A3615" i="1"/>
  <c r="B3615" i="1"/>
  <c r="F3615" i="1"/>
  <c r="G3615" i="1"/>
  <c r="H3615" i="1"/>
  <c r="I3615" i="1"/>
  <c r="J3615" i="1"/>
  <c r="K3615" i="1"/>
  <c r="L3615" i="1"/>
  <c r="M3615" i="1"/>
  <c r="N3615" i="1"/>
  <c r="A3616" i="1"/>
  <c r="B3616" i="1"/>
  <c r="F3616" i="1"/>
  <c r="G3616" i="1"/>
  <c r="H3616" i="1"/>
  <c r="I3616" i="1"/>
  <c r="J3616" i="1"/>
  <c r="K3616" i="1"/>
  <c r="L3616" i="1"/>
  <c r="M3616" i="1"/>
  <c r="N3616" i="1"/>
  <c r="A3617" i="1"/>
  <c r="B3617" i="1"/>
  <c r="F3617" i="1"/>
  <c r="G3617" i="1"/>
  <c r="H3617" i="1"/>
  <c r="I3617" i="1"/>
  <c r="J3617" i="1"/>
  <c r="K3617" i="1"/>
  <c r="L3617" i="1"/>
  <c r="M3617" i="1"/>
  <c r="N3617" i="1"/>
  <c r="A3618" i="1"/>
  <c r="B3618" i="1"/>
  <c r="F3618" i="1"/>
  <c r="G3618" i="1"/>
  <c r="H3618" i="1"/>
  <c r="I3618" i="1"/>
  <c r="J3618" i="1"/>
  <c r="K3618" i="1"/>
  <c r="L3618" i="1"/>
  <c r="M3618" i="1"/>
  <c r="N3618" i="1"/>
  <c r="A3619" i="1"/>
  <c r="B3619" i="1"/>
  <c r="F3619" i="1"/>
  <c r="G3619" i="1"/>
  <c r="H3619" i="1"/>
  <c r="I3619" i="1"/>
  <c r="J3619" i="1"/>
  <c r="K3619" i="1"/>
  <c r="L3619" i="1"/>
  <c r="M3619" i="1"/>
  <c r="N3619" i="1"/>
  <c r="A3620" i="1"/>
  <c r="B3620" i="1"/>
  <c r="F3620" i="1"/>
  <c r="G3620" i="1"/>
  <c r="H3620" i="1"/>
  <c r="I3620" i="1"/>
  <c r="J3620" i="1"/>
  <c r="K3620" i="1"/>
  <c r="L3620" i="1"/>
  <c r="M3620" i="1"/>
  <c r="N3620" i="1"/>
  <c r="A3621" i="1"/>
  <c r="B3621" i="1"/>
  <c r="F3621" i="1"/>
  <c r="G3621" i="1"/>
  <c r="H3621" i="1"/>
  <c r="I3621" i="1"/>
  <c r="J3621" i="1"/>
  <c r="K3621" i="1"/>
  <c r="L3621" i="1"/>
  <c r="M3621" i="1"/>
  <c r="N3621" i="1"/>
  <c r="A3622" i="1"/>
  <c r="B3622" i="1"/>
  <c r="F3622" i="1"/>
  <c r="G3622" i="1"/>
  <c r="H3622" i="1"/>
  <c r="I3622" i="1"/>
  <c r="J3622" i="1"/>
  <c r="K3622" i="1"/>
  <c r="L3622" i="1"/>
  <c r="M3622" i="1"/>
  <c r="N3622" i="1"/>
  <c r="A3623" i="1"/>
  <c r="B3623" i="1"/>
  <c r="F3623" i="1"/>
  <c r="G3623" i="1"/>
  <c r="H3623" i="1"/>
  <c r="I3623" i="1"/>
  <c r="J3623" i="1"/>
  <c r="K3623" i="1"/>
  <c r="L3623" i="1"/>
  <c r="M3623" i="1"/>
  <c r="N3623" i="1"/>
  <c r="A3624" i="1"/>
  <c r="B3624" i="1"/>
  <c r="F3624" i="1"/>
  <c r="G3624" i="1"/>
  <c r="H3624" i="1"/>
  <c r="I3624" i="1"/>
  <c r="J3624" i="1"/>
  <c r="K3624" i="1"/>
  <c r="L3624" i="1"/>
  <c r="M3624" i="1"/>
  <c r="N3624" i="1"/>
  <c r="A3625" i="1"/>
  <c r="B3625" i="1"/>
  <c r="F3625" i="1"/>
  <c r="G3625" i="1"/>
  <c r="H3625" i="1"/>
  <c r="I3625" i="1"/>
  <c r="J3625" i="1"/>
  <c r="K3625" i="1"/>
  <c r="L3625" i="1"/>
  <c r="M3625" i="1"/>
  <c r="N3625" i="1"/>
  <c r="A3626" i="1"/>
  <c r="B3626" i="1"/>
  <c r="F3626" i="1"/>
  <c r="G3626" i="1"/>
  <c r="H3626" i="1"/>
  <c r="I3626" i="1"/>
  <c r="J3626" i="1"/>
  <c r="K3626" i="1"/>
  <c r="L3626" i="1"/>
  <c r="M3626" i="1"/>
  <c r="N3626" i="1"/>
  <c r="A3627" i="1"/>
  <c r="B3627" i="1"/>
  <c r="F3627" i="1"/>
  <c r="G3627" i="1"/>
  <c r="H3627" i="1"/>
  <c r="I3627" i="1"/>
  <c r="J3627" i="1"/>
  <c r="K3627" i="1"/>
  <c r="L3627" i="1"/>
  <c r="M3627" i="1"/>
  <c r="N3627" i="1"/>
  <c r="A3628" i="1"/>
  <c r="B3628" i="1"/>
  <c r="F3628" i="1"/>
  <c r="G3628" i="1"/>
  <c r="H3628" i="1"/>
  <c r="I3628" i="1"/>
  <c r="J3628" i="1"/>
  <c r="K3628" i="1"/>
  <c r="L3628" i="1"/>
  <c r="M3628" i="1"/>
  <c r="N3628" i="1"/>
  <c r="A3629" i="1"/>
  <c r="B3629" i="1"/>
  <c r="F3629" i="1"/>
  <c r="G3629" i="1"/>
  <c r="H3629" i="1"/>
  <c r="I3629" i="1"/>
  <c r="J3629" i="1"/>
  <c r="K3629" i="1"/>
  <c r="L3629" i="1"/>
  <c r="M3629" i="1"/>
  <c r="N3629" i="1"/>
  <c r="A3630" i="1"/>
  <c r="B3630" i="1"/>
  <c r="F3630" i="1"/>
  <c r="G3630" i="1"/>
  <c r="H3630" i="1"/>
  <c r="I3630" i="1"/>
  <c r="J3630" i="1"/>
  <c r="K3630" i="1"/>
  <c r="L3630" i="1"/>
  <c r="M3630" i="1"/>
  <c r="N3630" i="1"/>
  <c r="A3631" i="1"/>
  <c r="B3631" i="1"/>
  <c r="F3631" i="1"/>
  <c r="G3631" i="1"/>
  <c r="H3631" i="1"/>
  <c r="I3631" i="1"/>
  <c r="J3631" i="1"/>
  <c r="K3631" i="1"/>
  <c r="L3631" i="1"/>
  <c r="M3631" i="1"/>
  <c r="N3631" i="1"/>
  <c r="A3632" i="1"/>
  <c r="B3632" i="1"/>
  <c r="F3632" i="1"/>
  <c r="G3632" i="1"/>
  <c r="H3632" i="1"/>
  <c r="I3632" i="1"/>
  <c r="J3632" i="1"/>
  <c r="K3632" i="1"/>
  <c r="L3632" i="1"/>
  <c r="M3632" i="1"/>
  <c r="N3632" i="1"/>
  <c r="A3633" i="1"/>
  <c r="B3633" i="1"/>
  <c r="F3633" i="1"/>
  <c r="G3633" i="1"/>
  <c r="H3633" i="1"/>
  <c r="I3633" i="1"/>
  <c r="J3633" i="1"/>
  <c r="K3633" i="1"/>
  <c r="L3633" i="1"/>
  <c r="M3633" i="1"/>
  <c r="N3633" i="1"/>
  <c r="A3634" i="1"/>
  <c r="B3634" i="1"/>
  <c r="F3634" i="1"/>
  <c r="G3634" i="1"/>
  <c r="H3634" i="1"/>
  <c r="I3634" i="1"/>
  <c r="J3634" i="1"/>
  <c r="K3634" i="1"/>
  <c r="L3634" i="1"/>
  <c r="M3634" i="1"/>
  <c r="N3634" i="1"/>
  <c r="A3635" i="1"/>
  <c r="B3635" i="1"/>
  <c r="F3635" i="1"/>
  <c r="G3635" i="1"/>
  <c r="H3635" i="1"/>
  <c r="I3635" i="1"/>
  <c r="J3635" i="1"/>
  <c r="K3635" i="1"/>
  <c r="L3635" i="1"/>
  <c r="M3635" i="1"/>
  <c r="N3635" i="1"/>
  <c r="A3636" i="1"/>
  <c r="B3636" i="1"/>
  <c r="F3636" i="1"/>
  <c r="G3636" i="1"/>
  <c r="H3636" i="1"/>
  <c r="I3636" i="1"/>
  <c r="J3636" i="1"/>
  <c r="K3636" i="1"/>
  <c r="L3636" i="1"/>
  <c r="M3636" i="1"/>
  <c r="N3636" i="1"/>
  <c r="A3637" i="1"/>
  <c r="B3637" i="1"/>
  <c r="F3637" i="1"/>
  <c r="G3637" i="1"/>
  <c r="H3637" i="1"/>
  <c r="I3637" i="1"/>
  <c r="J3637" i="1"/>
  <c r="K3637" i="1"/>
  <c r="L3637" i="1"/>
  <c r="M3637" i="1"/>
  <c r="N3637" i="1"/>
  <c r="A3638" i="1"/>
  <c r="B3638" i="1"/>
  <c r="F3638" i="1"/>
  <c r="G3638" i="1"/>
  <c r="H3638" i="1"/>
  <c r="I3638" i="1"/>
  <c r="J3638" i="1"/>
  <c r="K3638" i="1"/>
  <c r="L3638" i="1"/>
  <c r="M3638" i="1"/>
  <c r="N3638" i="1"/>
  <c r="A3639" i="1"/>
  <c r="B3639" i="1"/>
  <c r="F3639" i="1"/>
  <c r="G3639" i="1"/>
  <c r="H3639" i="1"/>
  <c r="I3639" i="1"/>
  <c r="J3639" i="1"/>
  <c r="K3639" i="1"/>
  <c r="L3639" i="1"/>
  <c r="M3639" i="1"/>
  <c r="N3639" i="1"/>
  <c r="A3640" i="1"/>
  <c r="B3640" i="1"/>
  <c r="F3640" i="1"/>
  <c r="G3640" i="1"/>
  <c r="H3640" i="1"/>
  <c r="I3640" i="1"/>
  <c r="J3640" i="1"/>
  <c r="K3640" i="1"/>
  <c r="L3640" i="1"/>
  <c r="M3640" i="1"/>
  <c r="N3640" i="1"/>
  <c r="A3641" i="1"/>
  <c r="B3641" i="1"/>
  <c r="F3641" i="1"/>
  <c r="G3641" i="1"/>
  <c r="H3641" i="1"/>
  <c r="I3641" i="1"/>
  <c r="J3641" i="1"/>
  <c r="K3641" i="1"/>
  <c r="L3641" i="1"/>
  <c r="M3641" i="1"/>
  <c r="N3641" i="1"/>
  <c r="A3642" i="1"/>
  <c r="B3642" i="1"/>
  <c r="F3642" i="1"/>
  <c r="G3642" i="1"/>
  <c r="H3642" i="1"/>
  <c r="I3642" i="1"/>
  <c r="J3642" i="1"/>
  <c r="K3642" i="1"/>
  <c r="L3642" i="1"/>
  <c r="M3642" i="1"/>
  <c r="N3642" i="1"/>
  <c r="A3643" i="1"/>
  <c r="B3643" i="1"/>
  <c r="F3643" i="1"/>
  <c r="G3643" i="1"/>
  <c r="H3643" i="1"/>
  <c r="I3643" i="1"/>
  <c r="J3643" i="1"/>
  <c r="K3643" i="1"/>
  <c r="L3643" i="1"/>
  <c r="M3643" i="1"/>
  <c r="N3643" i="1"/>
  <c r="A3644" i="1"/>
  <c r="B3644" i="1"/>
  <c r="F3644" i="1"/>
  <c r="G3644" i="1"/>
  <c r="H3644" i="1"/>
  <c r="I3644" i="1"/>
  <c r="J3644" i="1"/>
  <c r="K3644" i="1"/>
  <c r="L3644" i="1"/>
  <c r="M3644" i="1"/>
  <c r="N3644" i="1"/>
  <c r="A3645" i="1"/>
  <c r="B3645" i="1"/>
  <c r="F3645" i="1"/>
  <c r="G3645" i="1"/>
  <c r="H3645" i="1"/>
  <c r="I3645" i="1"/>
  <c r="J3645" i="1"/>
  <c r="K3645" i="1"/>
  <c r="L3645" i="1"/>
  <c r="M3645" i="1"/>
  <c r="N3645" i="1"/>
  <c r="A3646" i="1"/>
  <c r="B3646" i="1"/>
  <c r="F3646" i="1"/>
  <c r="G3646" i="1"/>
  <c r="H3646" i="1"/>
  <c r="I3646" i="1"/>
  <c r="J3646" i="1"/>
  <c r="K3646" i="1"/>
  <c r="L3646" i="1"/>
  <c r="M3646" i="1"/>
  <c r="N3646" i="1"/>
  <c r="A3647" i="1"/>
  <c r="B3647" i="1"/>
  <c r="F3647" i="1"/>
  <c r="G3647" i="1"/>
  <c r="H3647" i="1"/>
  <c r="I3647" i="1"/>
  <c r="J3647" i="1"/>
  <c r="K3647" i="1"/>
  <c r="L3647" i="1"/>
  <c r="M3647" i="1"/>
  <c r="N3647" i="1"/>
  <c r="A3648" i="1"/>
  <c r="B3648" i="1"/>
  <c r="F3648" i="1"/>
  <c r="G3648" i="1"/>
  <c r="H3648" i="1"/>
  <c r="I3648" i="1"/>
  <c r="J3648" i="1"/>
  <c r="K3648" i="1"/>
  <c r="L3648" i="1"/>
  <c r="M3648" i="1"/>
  <c r="N3648" i="1"/>
  <c r="A3649" i="1"/>
  <c r="B3649" i="1"/>
  <c r="F3649" i="1"/>
  <c r="G3649" i="1"/>
  <c r="H3649" i="1"/>
  <c r="I3649" i="1"/>
  <c r="J3649" i="1"/>
  <c r="K3649" i="1"/>
  <c r="L3649" i="1"/>
  <c r="M3649" i="1"/>
  <c r="N3649" i="1"/>
  <c r="A3650" i="1"/>
  <c r="B3650" i="1"/>
  <c r="F3650" i="1"/>
  <c r="G3650" i="1"/>
  <c r="H3650" i="1"/>
  <c r="I3650" i="1"/>
  <c r="J3650" i="1"/>
  <c r="K3650" i="1"/>
  <c r="L3650" i="1"/>
  <c r="M3650" i="1"/>
  <c r="N3650" i="1"/>
  <c r="A3651" i="1"/>
  <c r="B3651" i="1"/>
  <c r="F3651" i="1"/>
  <c r="G3651" i="1"/>
  <c r="H3651" i="1"/>
  <c r="I3651" i="1"/>
  <c r="J3651" i="1"/>
  <c r="K3651" i="1"/>
  <c r="L3651" i="1"/>
  <c r="M3651" i="1"/>
  <c r="N3651" i="1"/>
  <c r="A3652" i="1"/>
  <c r="B3652" i="1"/>
  <c r="F3652" i="1"/>
  <c r="G3652" i="1"/>
  <c r="H3652" i="1"/>
  <c r="I3652" i="1"/>
  <c r="J3652" i="1"/>
  <c r="K3652" i="1"/>
  <c r="L3652" i="1"/>
  <c r="M3652" i="1"/>
  <c r="N3652" i="1"/>
  <c r="A3653" i="1"/>
  <c r="B3653" i="1"/>
  <c r="F3653" i="1"/>
  <c r="G3653" i="1"/>
  <c r="H3653" i="1"/>
  <c r="I3653" i="1"/>
  <c r="J3653" i="1"/>
  <c r="K3653" i="1"/>
  <c r="L3653" i="1"/>
  <c r="M3653" i="1"/>
  <c r="N3653" i="1"/>
  <c r="A3654" i="1"/>
  <c r="B3654" i="1"/>
  <c r="F3654" i="1"/>
  <c r="G3654" i="1"/>
  <c r="H3654" i="1"/>
  <c r="I3654" i="1"/>
  <c r="J3654" i="1"/>
  <c r="K3654" i="1"/>
  <c r="L3654" i="1"/>
  <c r="M3654" i="1"/>
  <c r="N3654" i="1"/>
  <c r="A3655" i="1"/>
  <c r="B3655" i="1"/>
  <c r="F3655" i="1"/>
  <c r="G3655" i="1"/>
  <c r="H3655" i="1"/>
  <c r="I3655" i="1"/>
  <c r="J3655" i="1"/>
  <c r="K3655" i="1"/>
  <c r="L3655" i="1"/>
  <c r="M3655" i="1"/>
  <c r="N3655" i="1"/>
  <c r="A3656" i="1"/>
  <c r="B3656" i="1"/>
  <c r="F3656" i="1"/>
  <c r="G3656" i="1"/>
  <c r="H3656" i="1"/>
  <c r="I3656" i="1"/>
  <c r="J3656" i="1"/>
  <c r="K3656" i="1"/>
  <c r="L3656" i="1"/>
  <c r="M3656" i="1"/>
  <c r="N3656" i="1"/>
  <c r="A3657" i="1"/>
  <c r="B3657" i="1"/>
  <c r="F3657" i="1"/>
  <c r="G3657" i="1"/>
  <c r="H3657" i="1"/>
  <c r="I3657" i="1"/>
  <c r="J3657" i="1"/>
  <c r="K3657" i="1"/>
  <c r="L3657" i="1"/>
  <c r="M3657" i="1"/>
  <c r="N3657" i="1"/>
  <c r="A3658" i="1"/>
  <c r="B3658" i="1"/>
  <c r="F3658" i="1"/>
  <c r="G3658" i="1"/>
  <c r="H3658" i="1"/>
  <c r="I3658" i="1"/>
  <c r="J3658" i="1"/>
  <c r="K3658" i="1"/>
  <c r="L3658" i="1"/>
  <c r="M3658" i="1"/>
  <c r="N3658" i="1"/>
  <c r="A3659" i="1"/>
  <c r="B3659" i="1"/>
  <c r="F3659" i="1"/>
  <c r="G3659" i="1"/>
  <c r="H3659" i="1"/>
  <c r="I3659" i="1"/>
  <c r="J3659" i="1"/>
  <c r="K3659" i="1"/>
  <c r="L3659" i="1"/>
  <c r="M3659" i="1"/>
  <c r="N3659" i="1"/>
  <c r="A3660" i="1"/>
  <c r="B3660" i="1"/>
  <c r="F3660" i="1"/>
  <c r="G3660" i="1"/>
  <c r="H3660" i="1"/>
  <c r="I3660" i="1"/>
  <c r="J3660" i="1"/>
  <c r="K3660" i="1"/>
  <c r="L3660" i="1"/>
  <c r="M3660" i="1"/>
  <c r="N3660" i="1"/>
  <c r="A3661" i="1"/>
  <c r="B3661" i="1"/>
  <c r="F3661" i="1"/>
  <c r="G3661" i="1"/>
  <c r="H3661" i="1"/>
  <c r="I3661" i="1"/>
  <c r="J3661" i="1"/>
  <c r="K3661" i="1"/>
  <c r="L3661" i="1"/>
  <c r="M3661" i="1"/>
  <c r="N3661" i="1"/>
  <c r="A3662" i="1"/>
  <c r="B3662" i="1"/>
  <c r="F3662" i="1"/>
  <c r="G3662" i="1"/>
  <c r="H3662" i="1"/>
  <c r="I3662" i="1"/>
  <c r="J3662" i="1"/>
  <c r="K3662" i="1"/>
  <c r="L3662" i="1"/>
  <c r="M3662" i="1"/>
  <c r="N3662" i="1"/>
  <c r="A3663" i="1"/>
  <c r="B3663" i="1"/>
  <c r="F3663" i="1"/>
  <c r="G3663" i="1"/>
  <c r="H3663" i="1"/>
  <c r="I3663" i="1"/>
  <c r="J3663" i="1"/>
  <c r="K3663" i="1"/>
  <c r="L3663" i="1"/>
  <c r="M3663" i="1"/>
  <c r="N3663" i="1"/>
  <c r="A3664" i="1"/>
  <c r="B3664" i="1"/>
  <c r="F3664" i="1"/>
  <c r="G3664" i="1"/>
  <c r="H3664" i="1"/>
  <c r="I3664" i="1"/>
  <c r="J3664" i="1"/>
  <c r="K3664" i="1"/>
  <c r="L3664" i="1"/>
  <c r="M3664" i="1"/>
  <c r="N3664" i="1"/>
  <c r="A3665" i="1"/>
  <c r="B3665" i="1"/>
  <c r="F3665" i="1"/>
  <c r="G3665" i="1"/>
  <c r="H3665" i="1"/>
  <c r="I3665" i="1"/>
  <c r="J3665" i="1"/>
  <c r="K3665" i="1"/>
  <c r="L3665" i="1"/>
  <c r="M3665" i="1"/>
  <c r="N3665" i="1"/>
  <c r="A3666" i="1"/>
  <c r="B3666" i="1"/>
  <c r="F3666" i="1"/>
  <c r="G3666" i="1"/>
  <c r="H3666" i="1"/>
  <c r="I3666" i="1"/>
  <c r="J3666" i="1"/>
  <c r="K3666" i="1"/>
  <c r="L3666" i="1"/>
  <c r="M3666" i="1"/>
  <c r="N3666" i="1"/>
  <c r="A3667" i="1"/>
  <c r="B3667" i="1"/>
  <c r="F3667" i="1"/>
  <c r="G3667" i="1"/>
  <c r="H3667" i="1"/>
  <c r="I3667" i="1"/>
  <c r="J3667" i="1"/>
  <c r="K3667" i="1"/>
  <c r="L3667" i="1"/>
  <c r="M3667" i="1"/>
  <c r="N3667" i="1"/>
  <c r="A3668" i="1"/>
  <c r="B3668" i="1"/>
  <c r="F3668" i="1"/>
  <c r="G3668" i="1"/>
  <c r="H3668" i="1"/>
  <c r="I3668" i="1"/>
  <c r="J3668" i="1"/>
  <c r="K3668" i="1"/>
  <c r="L3668" i="1"/>
  <c r="M3668" i="1"/>
  <c r="N3668" i="1"/>
  <c r="A3669" i="1"/>
  <c r="B3669" i="1"/>
  <c r="F3669" i="1"/>
  <c r="G3669" i="1"/>
  <c r="H3669" i="1"/>
  <c r="I3669" i="1"/>
  <c r="J3669" i="1"/>
  <c r="K3669" i="1"/>
  <c r="L3669" i="1"/>
  <c r="M3669" i="1"/>
  <c r="N3669" i="1"/>
  <c r="A3670" i="1"/>
  <c r="B3670" i="1"/>
  <c r="F3670" i="1"/>
  <c r="G3670" i="1"/>
  <c r="H3670" i="1"/>
  <c r="I3670" i="1"/>
  <c r="J3670" i="1"/>
  <c r="K3670" i="1"/>
  <c r="L3670" i="1"/>
  <c r="M3670" i="1"/>
  <c r="N3670" i="1"/>
  <c r="A3671" i="1"/>
  <c r="B3671" i="1"/>
  <c r="F3671" i="1"/>
  <c r="G3671" i="1"/>
  <c r="H3671" i="1"/>
  <c r="I3671" i="1"/>
  <c r="J3671" i="1"/>
  <c r="K3671" i="1"/>
  <c r="L3671" i="1"/>
  <c r="M3671" i="1"/>
  <c r="N3671" i="1"/>
  <c r="A3672" i="1"/>
  <c r="B3672" i="1"/>
  <c r="F3672" i="1"/>
  <c r="G3672" i="1"/>
  <c r="H3672" i="1"/>
  <c r="I3672" i="1"/>
  <c r="J3672" i="1"/>
  <c r="K3672" i="1"/>
  <c r="L3672" i="1"/>
  <c r="M3672" i="1"/>
  <c r="N3672" i="1"/>
  <c r="A3673" i="1"/>
  <c r="B3673" i="1"/>
  <c r="F3673" i="1"/>
  <c r="G3673" i="1"/>
  <c r="H3673" i="1"/>
  <c r="I3673" i="1"/>
  <c r="J3673" i="1"/>
  <c r="K3673" i="1"/>
  <c r="L3673" i="1"/>
  <c r="M3673" i="1"/>
  <c r="N3673" i="1"/>
  <c r="A3674" i="1"/>
  <c r="B3674" i="1"/>
  <c r="F3674" i="1"/>
  <c r="G3674" i="1"/>
  <c r="H3674" i="1"/>
  <c r="I3674" i="1"/>
  <c r="J3674" i="1"/>
  <c r="K3674" i="1"/>
  <c r="L3674" i="1"/>
  <c r="M3674" i="1"/>
  <c r="N3674" i="1"/>
  <c r="A3675" i="1"/>
  <c r="B3675" i="1"/>
  <c r="F3675" i="1"/>
  <c r="G3675" i="1"/>
  <c r="H3675" i="1"/>
  <c r="I3675" i="1"/>
  <c r="J3675" i="1"/>
  <c r="K3675" i="1"/>
  <c r="L3675" i="1"/>
  <c r="M3675" i="1"/>
  <c r="N3675" i="1"/>
  <c r="A3676" i="1"/>
  <c r="B3676" i="1"/>
  <c r="F3676" i="1"/>
  <c r="G3676" i="1"/>
  <c r="H3676" i="1"/>
  <c r="I3676" i="1"/>
  <c r="J3676" i="1"/>
  <c r="K3676" i="1"/>
  <c r="L3676" i="1"/>
  <c r="M3676" i="1"/>
  <c r="N3676" i="1"/>
  <c r="A3677" i="1"/>
  <c r="B3677" i="1"/>
  <c r="F3677" i="1"/>
  <c r="G3677" i="1"/>
  <c r="H3677" i="1"/>
  <c r="I3677" i="1"/>
  <c r="J3677" i="1"/>
  <c r="K3677" i="1"/>
  <c r="L3677" i="1"/>
  <c r="M3677" i="1"/>
  <c r="N3677" i="1"/>
  <c r="A3678" i="1"/>
  <c r="B3678" i="1"/>
  <c r="F3678" i="1"/>
  <c r="G3678" i="1"/>
  <c r="H3678" i="1"/>
  <c r="I3678" i="1"/>
  <c r="J3678" i="1"/>
  <c r="K3678" i="1"/>
  <c r="L3678" i="1"/>
  <c r="M3678" i="1"/>
  <c r="N3678" i="1"/>
  <c r="A3679" i="1"/>
  <c r="B3679" i="1"/>
  <c r="F3679" i="1"/>
  <c r="G3679" i="1"/>
  <c r="H3679" i="1"/>
  <c r="I3679" i="1"/>
  <c r="J3679" i="1"/>
  <c r="K3679" i="1"/>
  <c r="L3679" i="1"/>
  <c r="M3679" i="1"/>
  <c r="N3679" i="1"/>
  <c r="A3680" i="1"/>
  <c r="B3680" i="1"/>
  <c r="F3680" i="1"/>
  <c r="G3680" i="1"/>
  <c r="H3680" i="1"/>
  <c r="I3680" i="1"/>
  <c r="J3680" i="1"/>
  <c r="K3680" i="1"/>
  <c r="L3680" i="1"/>
  <c r="M3680" i="1"/>
  <c r="N3680" i="1"/>
  <c r="A3681" i="1"/>
  <c r="B3681" i="1"/>
  <c r="F3681" i="1"/>
  <c r="G3681" i="1"/>
  <c r="H3681" i="1"/>
  <c r="I3681" i="1"/>
  <c r="J3681" i="1"/>
  <c r="K3681" i="1"/>
  <c r="L3681" i="1"/>
  <c r="M3681" i="1"/>
  <c r="N3681" i="1"/>
  <c r="A3682" i="1"/>
  <c r="B3682" i="1"/>
  <c r="F3682" i="1"/>
  <c r="G3682" i="1"/>
  <c r="H3682" i="1"/>
  <c r="I3682" i="1"/>
  <c r="J3682" i="1"/>
  <c r="K3682" i="1"/>
  <c r="L3682" i="1"/>
  <c r="M3682" i="1"/>
  <c r="N3682" i="1"/>
  <c r="A3683" i="1"/>
  <c r="B3683" i="1"/>
  <c r="F3683" i="1"/>
  <c r="G3683" i="1"/>
  <c r="H3683" i="1"/>
  <c r="I3683" i="1"/>
  <c r="J3683" i="1"/>
  <c r="K3683" i="1"/>
  <c r="L3683" i="1"/>
  <c r="M3683" i="1"/>
  <c r="N3683" i="1"/>
  <c r="A3684" i="1"/>
  <c r="B3684" i="1"/>
  <c r="F3684" i="1"/>
  <c r="G3684" i="1"/>
  <c r="H3684" i="1"/>
  <c r="I3684" i="1"/>
  <c r="J3684" i="1"/>
  <c r="K3684" i="1"/>
  <c r="L3684" i="1"/>
  <c r="M3684" i="1"/>
  <c r="N3684" i="1"/>
  <c r="A3685" i="1"/>
  <c r="B3685" i="1"/>
  <c r="F3685" i="1"/>
  <c r="G3685" i="1"/>
  <c r="H3685" i="1"/>
  <c r="I3685" i="1"/>
  <c r="J3685" i="1"/>
  <c r="K3685" i="1"/>
  <c r="L3685" i="1"/>
  <c r="M3685" i="1"/>
  <c r="N3685" i="1"/>
  <c r="A3686" i="1"/>
  <c r="B3686" i="1"/>
  <c r="F3686" i="1"/>
  <c r="G3686" i="1"/>
  <c r="H3686" i="1"/>
  <c r="I3686" i="1"/>
  <c r="J3686" i="1"/>
  <c r="K3686" i="1"/>
  <c r="L3686" i="1"/>
  <c r="M3686" i="1"/>
  <c r="N3686" i="1"/>
  <c r="A3687" i="1"/>
  <c r="B3687" i="1"/>
  <c r="F3687" i="1"/>
  <c r="G3687" i="1"/>
  <c r="H3687" i="1"/>
  <c r="I3687" i="1"/>
  <c r="J3687" i="1"/>
  <c r="K3687" i="1"/>
  <c r="L3687" i="1"/>
  <c r="M3687" i="1"/>
  <c r="N3687" i="1"/>
  <c r="A3688" i="1"/>
  <c r="B3688" i="1"/>
  <c r="F3688" i="1"/>
  <c r="G3688" i="1"/>
  <c r="H3688" i="1"/>
  <c r="I3688" i="1"/>
  <c r="J3688" i="1"/>
  <c r="K3688" i="1"/>
  <c r="L3688" i="1"/>
  <c r="M3688" i="1"/>
  <c r="N3688" i="1"/>
  <c r="A3689" i="1"/>
  <c r="B3689" i="1"/>
  <c r="F3689" i="1"/>
  <c r="G3689" i="1"/>
  <c r="H3689" i="1"/>
  <c r="I3689" i="1"/>
  <c r="J3689" i="1"/>
  <c r="K3689" i="1"/>
  <c r="L3689" i="1"/>
  <c r="M3689" i="1"/>
  <c r="N3689" i="1"/>
  <c r="A3690" i="1"/>
  <c r="B3690" i="1"/>
  <c r="F3690" i="1"/>
  <c r="G3690" i="1"/>
  <c r="H3690" i="1"/>
  <c r="I3690" i="1"/>
  <c r="J3690" i="1"/>
  <c r="K3690" i="1"/>
  <c r="L3690" i="1"/>
  <c r="M3690" i="1"/>
  <c r="N3690" i="1"/>
  <c r="A3691" i="1"/>
  <c r="B3691" i="1"/>
  <c r="F3691" i="1"/>
  <c r="G3691" i="1"/>
  <c r="H3691" i="1"/>
  <c r="I3691" i="1"/>
  <c r="J3691" i="1"/>
  <c r="K3691" i="1"/>
  <c r="L3691" i="1"/>
  <c r="M3691" i="1"/>
  <c r="N3691" i="1"/>
  <c r="A3692" i="1"/>
  <c r="B3692" i="1"/>
  <c r="F3692" i="1"/>
  <c r="G3692" i="1"/>
  <c r="H3692" i="1"/>
  <c r="I3692" i="1"/>
  <c r="J3692" i="1"/>
  <c r="K3692" i="1"/>
  <c r="L3692" i="1"/>
  <c r="M3692" i="1"/>
  <c r="N3692" i="1"/>
  <c r="A3693" i="1"/>
  <c r="B3693" i="1"/>
  <c r="F3693" i="1"/>
  <c r="G3693" i="1"/>
  <c r="H3693" i="1"/>
  <c r="I3693" i="1"/>
  <c r="J3693" i="1"/>
  <c r="K3693" i="1"/>
  <c r="L3693" i="1"/>
  <c r="M3693" i="1"/>
  <c r="N3693" i="1"/>
  <c r="A3694" i="1"/>
  <c r="B3694" i="1"/>
  <c r="F3694" i="1"/>
  <c r="G3694" i="1"/>
  <c r="H3694" i="1"/>
  <c r="I3694" i="1"/>
  <c r="J3694" i="1"/>
  <c r="K3694" i="1"/>
  <c r="L3694" i="1"/>
  <c r="M3694" i="1"/>
  <c r="N3694" i="1"/>
  <c r="A3695" i="1"/>
  <c r="B3695" i="1"/>
  <c r="F3695" i="1"/>
  <c r="G3695" i="1"/>
  <c r="H3695" i="1"/>
  <c r="I3695" i="1"/>
  <c r="J3695" i="1"/>
  <c r="K3695" i="1"/>
  <c r="L3695" i="1"/>
  <c r="M3695" i="1"/>
  <c r="N3695" i="1"/>
  <c r="A3696" i="1"/>
  <c r="B3696" i="1"/>
  <c r="F3696" i="1"/>
  <c r="G3696" i="1"/>
  <c r="H3696" i="1"/>
  <c r="I3696" i="1"/>
  <c r="J3696" i="1"/>
  <c r="K3696" i="1"/>
  <c r="L3696" i="1"/>
  <c r="M3696" i="1"/>
  <c r="N3696" i="1"/>
  <c r="A3697" i="1"/>
  <c r="B3697" i="1"/>
  <c r="F3697" i="1"/>
  <c r="G3697" i="1"/>
  <c r="H3697" i="1"/>
  <c r="I3697" i="1"/>
  <c r="J3697" i="1"/>
  <c r="K3697" i="1"/>
  <c r="L3697" i="1"/>
  <c r="M3697" i="1"/>
  <c r="N3697" i="1"/>
  <c r="A3698" i="1"/>
  <c r="B3698" i="1"/>
  <c r="F3698" i="1"/>
  <c r="G3698" i="1"/>
  <c r="H3698" i="1"/>
  <c r="I3698" i="1"/>
  <c r="J3698" i="1"/>
  <c r="K3698" i="1"/>
  <c r="L3698" i="1"/>
  <c r="M3698" i="1"/>
  <c r="N3698" i="1"/>
  <c r="A3699" i="1"/>
  <c r="B3699" i="1"/>
  <c r="F3699" i="1"/>
  <c r="G3699" i="1"/>
  <c r="H3699" i="1"/>
  <c r="I3699" i="1"/>
  <c r="J3699" i="1"/>
  <c r="K3699" i="1"/>
  <c r="L3699" i="1"/>
  <c r="M3699" i="1"/>
  <c r="N3699" i="1"/>
  <c r="A3700" i="1"/>
  <c r="B3700" i="1"/>
  <c r="F3700" i="1"/>
  <c r="G3700" i="1"/>
  <c r="H3700" i="1"/>
  <c r="I3700" i="1"/>
  <c r="J3700" i="1"/>
  <c r="K3700" i="1"/>
  <c r="L3700" i="1"/>
  <c r="M3700" i="1"/>
  <c r="N3700" i="1"/>
  <c r="A3701" i="1"/>
  <c r="B3701" i="1"/>
  <c r="F3701" i="1"/>
  <c r="G3701" i="1"/>
  <c r="H3701" i="1"/>
  <c r="I3701" i="1"/>
  <c r="J3701" i="1"/>
  <c r="K3701" i="1"/>
  <c r="L3701" i="1"/>
  <c r="M3701" i="1"/>
  <c r="N3701" i="1"/>
  <c r="A3702" i="1"/>
  <c r="B3702" i="1"/>
  <c r="F3702" i="1"/>
  <c r="G3702" i="1"/>
  <c r="H3702" i="1"/>
  <c r="I3702" i="1"/>
  <c r="J3702" i="1"/>
  <c r="K3702" i="1"/>
  <c r="L3702" i="1"/>
  <c r="M3702" i="1"/>
  <c r="N3702" i="1"/>
  <c r="A3703" i="1"/>
  <c r="B3703" i="1"/>
  <c r="F3703" i="1"/>
  <c r="G3703" i="1"/>
  <c r="H3703" i="1"/>
  <c r="I3703" i="1"/>
  <c r="J3703" i="1"/>
  <c r="K3703" i="1"/>
  <c r="L3703" i="1"/>
  <c r="M3703" i="1"/>
  <c r="N3703" i="1"/>
  <c r="A3704" i="1"/>
  <c r="B3704" i="1"/>
  <c r="F3704" i="1"/>
  <c r="G3704" i="1"/>
  <c r="H3704" i="1"/>
  <c r="I3704" i="1"/>
  <c r="J3704" i="1"/>
  <c r="K3704" i="1"/>
  <c r="L3704" i="1"/>
  <c r="M3704" i="1"/>
  <c r="N3704" i="1"/>
  <c r="A3705" i="1"/>
  <c r="B3705" i="1"/>
  <c r="F3705" i="1"/>
  <c r="G3705" i="1"/>
  <c r="H3705" i="1"/>
  <c r="I3705" i="1"/>
  <c r="J3705" i="1"/>
  <c r="K3705" i="1"/>
  <c r="L3705" i="1"/>
  <c r="M3705" i="1"/>
  <c r="N3705" i="1"/>
  <c r="A3706" i="1"/>
  <c r="B3706" i="1"/>
  <c r="F3706" i="1"/>
  <c r="G3706" i="1"/>
  <c r="H3706" i="1"/>
  <c r="I3706" i="1"/>
  <c r="J3706" i="1"/>
  <c r="K3706" i="1"/>
  <c r="L3706" i="1"/>
  <c r="M3706" i="1"/>
  <c r="N3706" i="1"/>
  <c r="A3707" i="1"/>
  <c r="B3707" i="1"/>
  <c r="F3707" i="1"/>
  <c r="G3707" i="1"/>
  <c r="H3707" i="1"/>
  <c r="I3707" i="1"/>
  <c r="J3707" i="1"/>
  <c r="K3707" i="1"/>
  <c r="L3707" i="1"/>
  <c r="M3707" i="1"/>
  <c r="N3707" i="1"/>
  <c r="A3708" i="1"/>
  <c r="B3708" i="1"/>
  <c r="F3708" i="1"/>
  <c r="G3708" i="1"/>
  <c r="H3708" i="1"/>
  <c r="I3708" i="1"/>
  <c r="J3708" i="1"/>
  <c r="K3708" i="1"/>
  <c r="L3708" i="1"/>
  <c r="M3708" i="1"/>
  <c r="N3708" i="1"/>
  <c r="A3709" i="1"/>
  <c r="B3709" i="1"/>
  <c r="F3709" i="1"/>
  <c r="G3709" i="1"/>
  <c r="H3709" i="1"/>
  <c r="I3709" i="1"/>
  <c r="J3709" i="1"/>
  <c r="K3709" i="1"/>
  <c r="L3709" i="1"/>
  <c r="M3709" i="1"/>
  <c r="N3709" i="1"/>
  <c r="A3710" i="1"/>
  <c r="B3710" i="1"/>
  <c r="F3710" i="1"/>
  <c r="G3710" i="1"/>
  <c r="H3710" i="1"/>
  <c r="I3710" i="1"/>
  <c r="J3710" i="1"/>
  <c r="K3710" i="1"/>
  <c r="L3710" i="1"/>
  <c r="M3710" i="1"/>
  <c r="N3710" i="1"/>
  <c r="A3711" i="1"/>
  <c r="B3711" i="1"/>
  <c r="F3711" i="1"/>
  <c r="G3711" i="1"/>
  <c r="H3711" i="1"/>
  <c r="I3711" i="1"/>
  <c r="J3711" i="1"/>
  <c r="K3711" i="1"/>
  <c r="L3711" i="1"/>
  <c r="M3711" i="1"/>
  <c r="N3711" i="1"/>
  <c r="A3712" i="1"/>
  <c r="B3712" i="1"/>
  <c r="F3712" i="1"/>
  <c r="G3712" i="1"/>
  <c r="H3712" i="1"/>
  <c r="I3712" i="1"/>
  <c r="J3712" i="1"/>
  <c r="K3712" i="1"/>
  <c r="L3712" i="1"/>
  <c r="M3712" i="1"/>
  <c r="N3712" i="1"/>
  <c r="A3713" i="1"/>
  <c r="B3713" i="1"/>
  <c r="F3713" i="1"/>
  <c r="G3713" i="1"/>
  <c r="H3713" i="1"/>
  <c r="I3713" i="1"/>
  <c r="J3713" i="1"/>
  <c r="K3713" i="1"/>
  <c r="L3713" i="1"/>
  <c r="M3713" i="1"/>
  <c r="N3713" i="1"/>
  <c r="A3714" i="1"/>
  <c r="B3714" i="1"/>
  <c r="F3714" i="1"/>
  <c r="G3714" i="1"/>
  <c r="H3714" i="1"/>
  <c r="I3714" i="1"/>
  <c r="J3714" i="1"/>
  <c r="K3714" i="1"/>
  <c r="L3714" i="1"/>
  <c r="M3714" i="1"/>
  <c r="N3714" i="1"/>
  <c r="A3715" i="1"/>
  <c r="B3715" i="1"/>
  <c r="F3715" i="1"/>
  <c r="G3715" i="1"/>
  <c r="H3715" i="1"/>
  <c r="I3715" i="1"/>
  <c r="J3715" i="1"/>
  <c r="K3715" i="1"/>
  <c r="L3715" i="1"/>
  <c r="M3715" i="1"/>
  <c r="N3715" i="1"/>
  <c r="A3716" i="1"/>
  <c r="B3716" i="1"/>
  <c r="F3716" i="1"/>
  <c r="G3716" i="1"/>
  <c r="H3716" i="1"/>
  <c r="I3716" i="1"/>
  <c r="J3716" i="1"/>
  <c r="K3716" i="1"/>
  <c r="L3716" i="1"/>
  <c r="M3716" i="1"/>
  <c r="N3716" i="1"/>
  <c r="A3717" i="1"/>
  <c r="B3717" i="1"/>
  <c r="F3717" i="1"/>
  <c r="G3717" i="1"/>
  <c r="H3717" i="1"/>
  <c r="I3717" i="1"/>
  <c r="J3717" i="1"/>
  <c r="K3717" i="1"/>
  <c r="L3717" i="1"/>
  <c r="M3717" i="1"/>
  <c r="N3717" i="1"/>
  <c r="A3718" i="1"/>
  <c r="B3718" i="1"/>
  <c r="F3718" i="1"/>
  <c r="G3718" i="1"/>
  <c r="H3718" i="1"/>
  <c r="I3718" i="1"/>
  <c r="J3718" i="1"/>
  <c r="K3718" i="1"/>
  <c r="L3718" i="1"/>
  <c r="M3718" i="1"/>
  <c r="N3718" i="1"/>
  <c r="A3719" i="1"/>
  <c r="B3719" i="1"/>
  <c r="F3719" i="1"/>
  <c r="G3719" i="1"/>
  <c r="H3719" i="1"/>
  <c r="I3719" i="1"/>
  <c r="J3719" i="1"/>
  <c r="K3719" i="1"/>
  <c r="L3719" i="1"/>
  <c r="M3719" i="1"/>
  <c r="N3719" i="1"/>
  <c r="A3720" i="1"/>
  <c r="B3720" i="1"/>
  <c r="F3720" i="1"/>
  <c r="G3720" i="1"/>
  <c r="H3720" i="1"/>
  <c r="I3720" i="1"/>
  <c r="J3720" i="1"/>
  <c r="K3720" i="1"/>
  <c r="L3720" i="1"/>
  <c r="M3720" i="1"/>
  <c r="N3720" i="1"/>
  <c r="A3721" i="1"/>
  <c r="B3721" i="1"/>
  <c r="F3721" i="1"/>
  <c r="G3721" i="1"/>
  <c r="H3721" i="1"/>
  <c r="I3721" i="1"/>
  <c r="J3721" i="1"/>
  <c r="K3721" i="1"/>
  <c r="L3721" i="1"/>
  <c r="M3721" i="1"/>
  <c r="N3721" i="1"/>
  <c r="A3722" i="1"/>
  <c r="B3722" i="1"/>
  <c r="F3722" i="1"/>
  <c r="G3722" i="1"/>
  <c r="H3722" i="1"/>
  <c r="I3722" i="1"/>
  <c r="J3722" i="1"/>
  <c r="K3722" i="1"/>
  <c r="L3722" i="1"/>
  <c r="M3722" i="1"/>
  <c r="N3722" i="1"/>
  <c r="A3723" i="1"/>
  <c r="B3723" i="1"/>
  <c r="F3723" i="1"/>
  <c r="G3723" i="1"/>
  <c r="H3723" i="1"/>
  <c r="I3723" i="1"/>
  <c r="J3723" i="1"/>
  <c r="K3723" i="1"/>
  <c r="L3723" i="1"/>
  <c r="M3723" i="1"/>
  <c r="N3723" i="1"/>
  <c r="A3724" i="1"/>
  <c r="B3724" i="1"/>
  <c r="F3724" i="1"/>
  <c r="G3724" i="1"/>
  <c r="H3724" i="1"/>
  <c r="I3724" i="1"/>
  <c r="J3724" i="1"/>
  <c r="K3724" i="1"/>
  <c r="L3724" i="1"/>
  <c r="M3724" i="1"/>
  <c r="N3724" i="1"/>
  <c r="A3725" i="1"/>
  <c r="B3725" i="1"/>
  <c r="F3725" i="1"/>
  <c r="G3725" i="1"/>
  <c r="H3725" i="1"/>
  <c r="I3725" i="1"/>
  <c r="J3725" i="1"/>
  <c r="K3725" i="1"/>
  <c r="L3725" i="1"/>
  <c r="M3725" i="1"/>
  <c r="N3725" i="1"/>
  <c r="A3726" i="1"/>
  <c r="B3726" i="1"/>
  <c r="F3726" i="1"/>
  <c r="G3726" i="1"/>
  <c r="H3726" i="1"/>
  <c r="I3726" i="1"/>
  <c r="J3726" i="1"/>
  <c r="K3726" i="1"/>
  <c r="L3726" i="1"/>
  <c r="M3726" i="1"/>
  <c r="N3726" i="1"/>
  <c r="A3727" i="1"/>
  <c r="B3727" i="1"/>
  <c r="F3727" i="1"/>
  <c r="G3727" i="1"/>
  <c r="H3727" i="1"/>
  <c r="I3727" i="1"/>
  <c r="J3727" i="1"/>
  <c r="K3727" i="1"/>
  <c r="L3727" i="1"/>
  <c r="M3727" i="1"/>
  <c r="N3727" i="1"/>
  <c r="A3728" i="1"/>
  <c r="B3728" i="1"/>
  <c r="F3728" i="1"/>
  <c r="G3728" i="1"/>
  <c r="H3728" i="1"/>
  <c r="I3728" i="1"/>
  <c r="J3728" i="1"/>
  <c r="K3728" i="1"/>
  <c r="L3728" i="1"/>
  <c r="M3728" i="1"/>
  <c r="N3728" i="1"/>
  <c r="A3729" i="1"/>
  <c r="B3729" i="1"/>
  <c r="F3729" i="1"/>
  <c r="G3729" i="1"/>
  <c r="H3729" i="1"/>
  <c r="I3729" i="1"/>
  <c r="J3729" i="1"/>
  <c r="K3729" i="1"/>
  <c r="L3729" i="1"/>
  <c r="M3729" i="1"/>
  <c r="N3729" i="1"/>
  <c r="A3730" i="1"/>
  <c r="B3730" i="1"/>
  <c r="F3730" i="1"/>
  <c r="G3730" i="1"/>
  <c r="H3730" i="1"/>
  <c r="I3730" i="1"/>
  <c r="J3730" i="1"/>
  <c r="K3730" i="1"/>
  <c r="L3730" i="1"/>
  <c r="M3730" i="1"/>
  <c r="N3730" i="1"/>
  <c r="A3731" i="1"/>
  <c r="B3731" i="1"/>
  <c r="F3731" i="1"/>
  <c r="G3731" i="1"/>
  <c r="H3731" i="1"/>
  <c r="I3731" i="1"/>
  <c r="J3731" i="1"/>
  <c r="K3731" i="1"/>
  <c r="L3731" i="1"/>
  <c r="M3731" i="1"/>
  <c r="N3731" i="1"/>
  <c r="A3732" i="1"/>
  <c r="B3732" i="1"/>
  <c r="F3732" i="1"/>
  <c r="G3732" i="1"/>
  <c r="H3732" i="1"/>
  <c r="I3732" i="1"/>
  <c r="J3732" i="1"/>
  <c r="K3732" i="1"/>
  <c r="L3732" i="1"/>
  <c r="M3732" i="1"/>
  <c r="N3732" i="1"/>
  <c r="A3733" i="1"/>
  <c r="B3733" i="1"/>
  <c r="F3733" i="1"/>
  <c r="G3733" i="1"/>
  <c r="H3733" i="1"/>
  <c r="I3733" i="1"/>
  <c r="J3733" i="1"/>
  <c r="K3733" i="1"/>
  <c r="L3733" i="1"/>
  <c r="M3733" i="1"/>
  <c r="N3733" i="1"/>
  <c r="A3734" i="1"/>
  <c r="B3734" i="1"/>
  <c r="F3734" i="1"/>
  <c r="G3734" i="1"/>
  <c r="H3734" i="1"/>
  <c r="I3734" i="1"/>
  <c r="J3734" i="1"/>
  <c r="K3734" i="1"/>
  <c r="L3734" i="1"/>
  <c r="M3734" i="1"/>
  <c r="N3734" i="1"/>
  <c r="A3735" i="1"/>
  <c r="B3735" i="1"/>
  <c r="F3735" i="1"/>
  <c r="G3735" i="1"/>
  <c r="H3735" i="1"/>
  <c r="I3735" i="1"/>
  <c r="J3735" i="1"/>
  <c r="K3735" i="1"/>
  <c r="L3735" i="1"/>
  <c r="M3735" i="1"/>
  <c r="N3735" i="1"/>
  <c r="A3736" i="1"/>
  <c r="B3736" i="1"/>
  <c r="F3736" i="1"/>
  <c r="G3736" i="1"/>
  <c r="H3736" i="1"/>
  <c r="I3736" i="1"/>
  <c r="J3736" i="1"/>
  <c r="K3736" i="1"/>
  <c r="L3736" i="1"/>
  <c r="M3736" i="1"/>
  <c r="N3736" i="1"/>
  <c r="A3737" i="1"/>
  <c r="B3737" i="1"/>
  <c r="F3737" i="1"/>
  <c r="G3737" i="1"/>
  <c r="H3737" i="1"/>
  <c r="I3737" i="1"/>
  <c r="J3737" i="1"/>
  <c r="K3737" i="1"/>
  <c r="L3737" i="1"/>
  <c r="M3737" i="1"/>
  <c r="N3737" i="1"/>
  <c r="A3738" i="1"/>
  <c r="B3738" i="1"/>
  <c r="F3738" i="1"/>
  <c r="G3738" i="1"/>
  <c r="H3738" i="1"/>
  <c r="I3738" i="1"/>
  <c r="J3738" i="1"/>
  <c r="K3738" i="1"/>
  <c r="L3738" i="1"/>
  <c r="M3738" i="1"/>
  <c r="N3738" i="1"/>
  <c r="A3739" i="1"/>
  <c r="B3739" i="1"/>
  <c r="F3739" i="1"/>
  <c r="G3739" i="1"/>
  <c r="H3739" i="1"/>
  <c r="I3739" i="1"/>
  <c r="J3739" i="1"/>
  <c r="K3739" i="1"/>
  <c r="L3739" i="1"/>
  <c r="M3739" i="1"/>
  <c r="N3739" i="1"/>
  <c r="A3740" i="1"/>
  <c r="B3740" i="1"/>
  <c r="F3740" i="1"/>
  <c r="G3740" i="1"/>
  <c r="H3740" i="1"/>
  <c r="I3740" i="1"/>
  <c r="J3740" i="1"/>
  <c r="K3740" i="1"/>
  <c r="L3740" i="1"/>
  <c r="M3740" i="1"/>
  <c r="N3740" i="1"/>
  <c r="A3741" i="1"/>
  <c r="B3741" i="1"/>
  <c r="F3741" i="1"/>
  <c r="G3741" i="1"/>
  <c r="H3741" i="1"/>
  <c r="I3741" i="1"/>
  <c r="J3741" i="1"/>
  <c r="K3741" i="1"/>
  <c r="L3741" i="1"/>
  <c r="M3741" i="1"/>
  <c r="N3741" i="1"/>
  <c r="A3742" i="1"/>
  <c r="B3742" i="1"/>
  <c r="F3742" i="1"/>
  <c r="G3742" i="1"/>
  <c r="H3742" i="1"/>
  <c r="I3742" i="1"/>
  <c r="J3742" i="1"/>
  <c r="K3742" i="1"/>
  <c r="L3742" i="1"/>
  <c r="M3742" i="1"/>
  <c r="N3742" i="1"/>
  <c r="A3743" i="1"/>
  <c r="B3743" i="1"/>
  <c r="F3743" i="1"/>
  <c r="G3743" i="1"/>
  <c r="H3743" i="1"/>
  <c r="I3743" i="1"/>
  <c r="J3743" i="1"/>
  <c r="K3743" i="1"/>
  <c r="L3743" i="1"/>
  <c r="M3743" i="1"/>
  <c r="N3743" i="1"/>
  <c r="A3744" i="1"/>
  <c r="B3744" i="1"/>
  <c r="F3744" i="1"/>
  <c r="G3744" i="1"/>
  <c r="H3744" i="1"/>
  <c r="I3744" i="1"/>
  <c r="J3744" i="1"/>
  <c r="K3744" i="1"/>
  <c r="L3744" i="1"/>
  <c r="M3744" i="1"/>
  <c r="N3744" i="1"/>
  <c r="A3745" i="1"/>
  <c r="B3745" i="1"/>
  <c r="F3745" i="1"/>
  <c r="G3745" i="1"/>
  <c r="H3745" i="1"/>
  <c r="I3745" i="1"/>
  <c r="J3745" i="1"/>
  <c r="K3745" i="1"/>
  <c r="L3745" i="1"/>
  <c r="M3745" i="1"/>
  <c r="N3745" i="1"/>
  <c r="A3746" i="1"/>
  <c r="B3746" i="1"/>
  <c r="F3746" i="1"/>
  <c r="G3746" i="1"/>
  <c r="H3746" i="1"/>
  <c r="I3746" i="1"/>
  <c r="J3746" i="1"/>
  <c r="K3746" i="1"/>
  <c r="L3746" i="1"/>
  <c r="M3746" i="1"/>
  <c r="N3746" i="1"/>
  <c r="A3747" i="1"/>
  <c r="B3747" i="1"/>
  <c r="F3747" i="1"/>
  <c r="G3747" i="1"/>
  <c r="H3747" i="1"/>
  <c r="I3747" i="1"/>
  <c r="J3747" i="1"/>
  <c r="K3747" i="1"/>
  <c r="L3747" i="1"/>
  <c r="M3747" i="1"/>
  <c r="N3747" i="1"/>
  <c r="A3748" i="1"/>
  <c r="B3748" i="1"/>
  <c r="F3748" i="1"/>
  <c r="G3748" i="1"/>
  <c r="H3748" i="1"/>
  <c r="I3748" i="1"/>
  <c r="J3748" i="1"/>
  <c r="K3748" i="1"/>
  <c r="L3748" i="1"/>
  <c r="M3748" i="1"/>
  <c r="N3748" i="1"/>
  <c r="A3749" i="1"/>
  <c r="B3749" i="1"/>
  <c r="F3749" i="1"/>
  <c r="G3749" i="1"/>
  <c r="H3749" i="1"/>
  <c r="I3749" i="1"/>
  <c r="J3749" i="1"/>
  <c r="K3749" i="1"/>
  <c r="L3749" i="1"/>
  <c r="M3749" i="1"/>
  <c r="N3749" i="1"/>
  <c r="A3750" i="1"/>
  <c r="B3750" i="1"/>
  <c r="F3750" i="1"/>
  <c r="G3750" i="1"/>
  <c r="H3750" i="1"/>
  <c r="I3750" i="1"/>
  <c r="J3750" i="1"/>
  <c r="K3750" i="1"/>
  <c r="L3750" i="1"/>
  <c r="M3750" i="1"/>
  <c r="N3750" i="1"/>
  <c r="A3751" i="1"/>
  <c r="B3751" i="1"/>
  <c r="F3751" i="1"/>
  <c r="G3751" i="1"/>
  <c r="H3751" i="1"/>
  <c r="I3751" i="1"/>
  <c r="J3751" i="1"/>
  <c r="K3751" i="1"/>
  <c r="L3751" i="1"/>
  <c r="M3751" i="1"/>
  <c r="N3751" i="1"/>
  <c r="A3752" i="1"/>
  <c r="B3752" i="1"/>
  <c r="F3752" i="1"/>
  <c r="G3752" i="1"/>
  <c r="H3752" i="1"/>
  <c r="I3752" i="1"/>
  <c r="J3752" i="1"/>
  <c r="K3752" i="1"/>
  <c r="L3752" i="1"/>
  <c r="M3752" i="1"/>
  <c r="N3752" i="1"/>
  <c r="A3753" i="1"/>
  <c r="B3753" i="1"/>
  <c r="F3753" i="1"/>
  <c r="G3753" i="1"/>
  <c r="H3753" i="1"/>
  <c r="I3753" i="1"/>
  <c r="J3753" i="1"/>
  <c r="K3753" i="1"/>
  <c r="L3753" i="1"/>
  <c r="M3753" i="1"/>
  <c r="N3753" i="1"/>
  <c r="A3754" i="1"/>
  <c r="B3754" i="1"/>
  <c r="F3754" i="1"/>
  <c r="G3754" i="1"/>
  <c r="H3754" i="1"/>
  <c r="I3754" i="1"/>
  <c r="J3754" i="1"/>
  <c r="K3754" i="1"/>
  <c r="L3754" i="1"/>
  <c r="M3754" i="1"/>
  <c r="N3754" i="1"/>
  <c r="A3755" i="1"/>
  <c r="B3755" i="1"/>
  <c r="F3755" i="1"/>
  <c r="G3755" i="1"/>
  <c r="H3755" i="1"/>
  <c r="I3755" i="1"/>
  <c r="J3755" i="1"/>
  <c r="K3755" i="1"/>
  <c r="L3755" i="1"/>
  <c r="M3755" i="1"/>
  <c r="N3755" i="1"/>
  <c r="A3756" i="1"/>
  <c r="B3756" i="1"/>
  <c r="F3756" i="1"/>
  <c r="G3756" i="1"/>
  <c r="H3756" i="1"/>
  <c r="I3756" i="1"/>
  <c r="J3756" i="1"/>
  <c r="K3756" i="1"/>
  <c r="L3756" i="1"/>
  <c r="M3756" i="1"/>
  <c r="N3756" i="1"/>
  <c r="A3757" i="1"/>
  <c r="B3757" i="1"/>
  <c r="F3757" i="1"/>
  <c r="G3757" i="1"/>
  <c r="H3757" i="1"/>
  <c r="I3757" i="1"/>
  <c r="J3757" i="1"/>
  <c r="K3757" i="1"/>
  <c r="L3757" i="1"/>
  <c r="M3757" i="1"/>
  <c r="N3757" i="1"/>
  <c r="A3758" i="1"/>
  <c r="B3758" i="1"/>
  <c r="F3758" i="1"/>
  <c r="G3758" i="1"/>
  <c r="H3758" i="1"/>
  <c r="I3758" i="1"/>
  <c r="J3758" i="1"/>
  <c r="K3758" i="1"/>
  <c r="L3758" i="1"/>
  <c r="M3758" i="1"/>
  <c r="N3758" i="1"/>
  <c r="A3759" i="1"/>
  <c r="B3759" i="1"/>
  <c r="F3759" i="1"/>
  <c r="G3759" i="1"/>
  <c r="H3759" i="1"/>
  <c r="I3759" i="1"/>
  <c r="J3759" i="1"/>
  <c r="K3759" i="1"/>
  <c r="L3759" i="1"/>
  <c r="M3759" i="1"/>
  <c r="N3759" i="1"/>
  <c r="A3760" i="1"/>
  <c r="B3760" i="1"/>
  <c r="F3760" i="1"/>
  <c r="G3760" i="1"/>
  <c r="H3760" i="1"/>
  <c r="I3760" i="1"/>
  <c r="J3760" i="1"/>
  <c r="K3760" i="1"/>
  <c r="L3760" i="1"/>
  <c r="M3760" i="1"/>
  <c r="N3760" i="1"/>
  <c r="A3761" i="1"/>
  <c r="B3761" i="1"/>
  <c r="F3761" i="1"/>
  <c r="G3761" i="1"/>
  <c r="H3761" i="1"/>
  <c r="I3761" i="1"/>
  <c r="J3761" i="1"/>
  <c r="K3761" i="1"/>
  <c r="L3761" i="1"/>
  <c r="M3761" i="1"/>
  <c r="N3761" i="1"/>
  <c r="A3762" i="1"/>
  <c r="B3762" i="1"/>
  <c r="F3762" i="1"/>
  <c r="G3762" i="1"/>
  <c r="H3762" i="1"/>
  <c r="I3762" i="1"/>
  <c r="J3762" i="1"/>
  <c r="K3762" i="1"/>
  <c r="L3762" i="1"/>
  <c r="M3762" i="1"/>
  <c r="N3762" i="1"/>
  <c r="A3763" i="1"/>
  <c r="B3763" i="1"/>
  <c r="F3763" i="1"/>
  <c r="G3763" i="1"/>
  <c r="H3763" i="1"/>
  <c r="I3763" i="1"/>
  <c r="J3763" i="1"/>
  <c r="K3763" i="1"/>
  <c r="L3763" i="1"/>
  <c r="M3763" i="1"/>
  <c r="N3763" i="1"/>
  <c r="A3764" i="1"/>
  <c r="B3764" i="1"/>
  <c r="F3764" i="1"/>
  <c r="G3764" i="1"/>
  <c r="H3764" i="1"/>
  <c r="I3764" i="1"/>
  <c r="J3764" i="1"/>
  <c r="K3764" i="1"/>
  <c r="L3764" i="1"/>
  <c r="M3764" i="1"/>
  <c r="N3764" i="1"/>
  <c r="A3765" i="1"/>
  <c r="B3765" i="1"/>
  <c r="F3765" i="1"/>
  <c r="G3765" i="1"/>
  <c r="H3765" i="1"/>
  <c r="I3765" i="1"/>
  <c r="J3765" i="1"/>
  <c r="K3765" i="1"/>
  <c r="L3765" i="1"/>
  <c r="M3765" i="1"/>
  <c r="N3765" i="1"/>
  <c r="A3766" i="1"/>
  <c r="B3766" i="1"/>
  <c r="F3766" i="1"/>
  <c r="G3766" i="1"/>
  <c r="H3766" i="1"/>
  <c r="I3766" i="1"/>
  <c r="J3766" i="1"/>
  <c r="K3766" i="1"/>
  <c r="L3766" i="1"/>
  <c r="M3766" i="1"/>
  <c r="N3766" i="1"/>
  <c r="A3767" i="1"/>
  <c r="B3767" i="1"/>
  <c r="F3767" i="1"/>
  <c r="G3767" i="1"/>
  <c r="H3767" i="1"/>
  <c r="I3767" i="1"/>
  <c r="J3767" i="1"/>
  <c r="K3767" i="1"/>
  <c r="L3767" i="1"/>
  <c r="M3767" i="1"/>
  <c r="N3767" i="1"/>
  <c r="A3768" i="1"/>
  <c r="B3768" i="1"/>
  <c r="F3768" i="1"/>
  <c r="G3768" i="1"/>
  <c r="H3768" i="1"/>
  <c r="I3768" i="1"/>
  <c r="J3768" i="1"/>
  <c r="K3768" i="1"/>
  <c r="L3768" i="1"/>
  <c r="M3768" i="1"/>
  <c r="N3768" i="1"/>
  <c r="A3769" i="1"/>
  <c r="B3769" i="1"/>
  <c r="F3769" i="1"/>
  <c r="G3769" i="1"/>
  <c r="H3769" i="1"/>
  <c r="I3769" i="1"/>
  <c r="J3769" i="1"/>
  <c r="K3769" i="1"/>
  <c r="L3769" i="1"/>
  <c r="M3769" i="1"/>
  <c r="N3769" i="1"/>
  <c r="A3770" i="1"/>
  <c r="B3770" i="1"/>
  <c r="F3770" i="1"/>
  <c r="G3770" i="1"/>
  <c r="H3770" i="1"/>
  <c r="I3770" i="1"/>
  <c r="J3770" i="1"/>
  <c r="K3770" i="1"/>
  <c r="L3770" i="1"/>
  <c r="M3770" i="1"/>
  <c r="N3770" i="1"/>
  <c r="A3771" i="1"/>
  <c r="B3771" i="1"/>
  <c r="F3771" i="1"/>
  <c r="G3771" i="1"/>
  <c r="H3771" i="1"/>
  <c r="I3771" i="1"/>
  <c r="J3771" i="1"/>
  <c r="K3771" i="1"/>
  <c r="L3771" i="1"/>
  <c r="M3771" i="1"/>
  <c r="N3771" i="1"/>
  <c r="A3772" i="1"/>
  <c r="B3772" i="1"/>
  <c r="F3772" i="1"/>
  <c r="G3772" i="1"/>
  <c r="H3772" i="1"/>
  <c r="I3772" i="1"/>
  <c r="J3772" i="1"/>
  <c r="K3772" i="1"/>
  <c r="L3772" i="1"/>
  <c r="M3772" i="1"/>
  <c r="N3772" i="1"/>
  <c r="A3773" i="1"/>
  <c r="B3773" i="1"/>
  <c r="F3773" i="1"/>
  <c r="G3773" i="1"/>
  <c r="H3773" i="1"/>
  <c r="I3773" i="1"/>
  <c r="J3773" i="1"/>
  <c r="K3773" i="1"/>
  <c r="L3773" i="1"/>
  <c r="M3773" i="1"/>
  <c r="N3773" i="1"/>
  <c r="A3774" i="1"/>
  <c r="B3774" i="1"/>
  <c r="F3774" i="1"/>
  <c r="G3774" i="1"/>
  <c r="H3774" i="1"/>
  <c r="I3774" i="1"/>
  <c r="J3774" i="1"/>
  <c r="K3774" i="1"/>
  <c r="L3774" i="1"/>
  <c r="M3774" i="1"/>
  <c r="N3774" i="1"/>
  <c r="A3775" i="1"/>
  <c r="B3775" i="1"/>
  <c r="F3775" i="1"/>
  <c r="G3775" i="1"/>
  <c r="H3775" i="1"/>
  <c r="I3775" i="1"/>
  <c r="J3775" i="1"/>
  <c r="K3775" i="1"/>
  <c r="L3775" i="1"/>
  <c r="M3775" i="1"/>
  <c r="N3775" i="1"/>
  <c r="A3776" i="1"/>
  <c r="B3776" i="1"/>
  <c r="F3776" i="1"/>
  <c r="G3776" i="1"/>
  <c r="H3776" i="1"/>
  <c r="I3776" i="1"/>
  <c r="J3776" i="1"/>
  <c r="K3776" i="1"/>
  <c r="L3776" i="1"/>
  <c r="M3776" i="1"/>
  <c r="N3776" i="1"/>
  <c r="A3777" i="1"/>
  <c r="B3777" i="1"/>
  <c r="F3777" i="1"/>
  <c r="G3777" i="1"/>
  <c r="H3777" i="1"/>
  <c r="I3777" i="1"/>
  <c r="J3777" i="1"/>
  <c r="K3777" i="1"/>
  <c r="L3777" i="1"/>
  <c r="M3777" i="1"/>
  <c r="N3777" i="1"/>
  <c r="A3778" i="1"/>
  <c r="B3778" i="1"/>
  <c r="F3778" i="1"/>
  <c r="G3778" i="1"/>
  <c r="H3778" i="1"/>
  <c r="I3778" i="1"/>
  <c r="J3778" i="1"/>
  <c r="K3778" i="1"/>
  <c r="L3778" i="1"/>
  <c r="M3778" i="1"/>
  <c r="N3778" i="1"/>
  <c r="A3779" i="1"/>
  <c r="B3779" i="1"/>
  <c r="F3779" i="1"/>
  <c r="G3779" i="1"/>
  <c r="H3779" i="1"/>
  <c r="I3779" i="1"/>
  <c r="J3779" i="1"/>
  <c r="K3779" i="1"/>
  <c r="L3779" i="1"/>
  <c r="M3779" i="1"/>
  <c r="N3779" i="1"/>
  <c r="A3780" i="1"/>
  <c r="B3780" i="1"/>
  <c r="F3780" i="1"/>
  <c r="G3780" i="1"/>
  <c r="H3780" i="1"/>
  <c r="I3780" i="1"/>
  <c r="J3780" i="1"/>
  <c r="K3780" i="1"/>
  <c r="L3780" i="1"/>
  <c r="M3780" i="1"/>
  <c r="N3780" i="1"/>
  <c r="A3781" i="1"/>
  <c r="B3781" i="1"/>
  <c r="F3781" i="1"/>
  <c r="G3781" i="1"/>
  <c r="H3781" i="1"/>
  <c r="I3781" i="1"/>
  <c r="J3781" i="1"/>
  <c r="K3781" i="1"/>
  <c r="L3781" i="1"/>
  <c r="M3781" i="1"/>
  <c r="N3781" i="1"/>
  <c r="A3782" i="1"/>
  <c r="B3782" i="1"/>
  <c r="F3782" i="1"/>
  <c r="G3782" i="1"/>
  <c r="H3782" i="1"/>
  <c r="I3782" i="1"/>
  <c r="J3782" i="1"/>
  <c r="K3782" i="1"/>
  <c r="L3782" i="1"/>
  <c r="M3782" i="1"/>
  <c r="N3782" i="1"/>
  <c r="A3783" i="1"/>
  <c r="B3783" i="1"/>
  <c r="F3783" i="1"/>
  <c r="G3783" i="1"/>
  <c r="H3783" i="1"/>
  <c r="I3783" i="1"/>
  <c r="J3783" i="1"/>
  <c r="K3783" i="1"/>
  <c r="L3783" i="1"/>
  <c r="M3783" i="1"/>
  <c r="N3783" i="1"/>
  <c r="A3784" i="1"/>
  <c r="B3784" i="1"/>
  <c r="F3784" i="1"/>
  <c r="G3784" i="1"/>
  <c r="H3784" i="1"/>
  <c r="I3784" i="1"/>
  <c r="J3784" i="1"/>
  <c r="K3784" i="1"/>
  <c r="L3784" i="1"/>
  <c r="M3784" i="1"/>
  <c r="N3784" i="1"/>
  <c r="A3785" i="1"/>
  <c r="B3785" i="1"/>
  <c r="F3785" i="1"/>
  <c r="G3785" i="1"/>
  <c r="H3785" i="1"/>
  <c r="I3785" i="1"/>
  <c r="J3785" i="1"/>
  <c r="K3785" i="1"/>
  <c r="L3785" i="1"/>
  <c r="M3785" i="1"/>
  <c r="N3785" i="1"/>
  <c r="A3786" i="1"/>
  <c r="B3786" i="1"/>
  <c r="F3786" i="1"/>
  <c r="G3786" i="1"/>
  <c r="H3786" i="1"/>
  <c r="I3786" i="1"/>
  <c r="J3786" i="1"/>
  <c r="K3786" i="1"/>
  <c r="L3786" i="1"/>
  <c r="M3786" i="1"/>
  <c r="N3786" i="1"/>
  <c r="A3787" i="1"/>
  <c r="B3787" i="1"/>
  <c r="F3787" i="1"/>
  <c r="G3787" i="1"/>
  <c r="H3787" i="1"/>
  <c r="I3787" i="1"/>
  <c r="J3787" i="1"/>
  <c r="K3787" i="1"/>
  <c r="L3787" i="1"/>
  <c r="M3787" i="1"/>
  <c r="N3787" i="1"/>
  <c r="A3788" i="1"/>
  <c r="B3788" i="1"/>
  <c r="F3788" i="1"/>
  <c r="G3788" i="1"/>
  <c r="H3788" i="1"/>
  <c r="I3788" i="1"/>
  <c r="J3788" i="1"/>
  <c r="K3788" i="1"/>
  <c r="L3788" i="1"/>
  <c r="M3788" i="1"/>
  <c r="N3788" i="1"/>
  <c r="A3789" i="1"/>
  <c r="B3789" i="1"/>
  <c r="F3789" i="1"/>
  <c r="G3789" i="1"/>
  <c r="H3789" i="1"/>
  <c r="I3789" i="1"/>
  <c r="J3789" i="1"/>
  <c r="K3789" i="1"/>
  <c r="L3789" i="1"/>
  <c r="M3789" i="1"/>
  <c r="N3789" i="1"/>
  <c r="A3790" i="1"/>
  <c r="B3790" i="1"/>
  <c r="F3790" i="1"/>
  <c r="G3790" i="1"/>
  <c r="H3790" i="1"/>
  <c r="I3790" i="1"/>
  <c r="J3790" i="1"/>
  <c r="K3790" i="1"/>
  <c r="L3790" i="1"/>
  <c r="M3790" i="1"/>
  <c r="N3790" i="1"/>
  <c r="A3791" i="1"/>
  <c r="B3791" i="1"/>
  <c r="F3791" i="1"/>
  <c r="G3791" i="1"/>
  <c r="H3791" i="1"/>
  <c r="I3791" i="1"/>
  <c r="J3791" i="1"/>
  <c r="K3791" i="1"/>
  <c r="L3791" i="1"/>
  <c r="M3791" i="1"/>
  <c r="N3791" i="1"/>
  <c r="A3792" i="1"/>
  <c r="B3792" i="1"/>
  <c r="F3792" i="1"/>
  <c r="G3792" i="1"/>
  <c r="H3792" i="1"/>
  <c r="I3792" i="1"/>
  <c r="J3792" i="1"/>
  <c r="K3792" i="1"/>
  <c r="L3792" i="1"/>
  <c r="M3792" i="1"/>
  <c r="N3792" i="1"/>
  <c r="A3793" i="1"/>
  <c r="B3793" i="1"/>
  <c r="F3793" i="1"/>
  <c r="G3793" i="1"/>
  <c r="H3793" i="1"/>
  <c r="I3793" i="1"/>
  <c r="J3793" i="1"/>
  <c r="K3793" i="1"/>
  <c r="L3793" i="1"/>
  <c r="M3793" i="1"/>
  <c r="N3793" i="1"/>
  <c r="A3794" i="1"/>
  <c r="B3794" i="1"/>
  <c r="F3794" i="1"/>
  <c r="G3794" i="1"/>
  <c r="H3794" i="1"/>
  <c r="I3794" i="1"/>
  <c r="J3794" i="1"/>
  <c r="K3794" i="1"/>
  <c r="L3794" i="1"/>
  <c r="M3794" i="1"/>
  <c r="N3794" i="1"/>
  <c r="A3795" i="1"/>
  <c r="B3795" i="1"/>
  <c r="F3795" i="1"/>
  <c r="G3795" i="1"/>
  <c r="H3795" i="1"/>
  <c r="I3795" i="1"/>
  <c r="J3795" i="1"/>
  <c r="K3795" i="1"/>
  <c r="L3795" i="1"/>
  <c r="M3795" i="1"/>
  <c r="N3795" i="1"/>
  <c r="A3796" i="1"/>
  <c r="B3796" i="1"/>
  <c r="F3796" i="1"/>
  <c r="G3796" i="1"/>
  <c r="H3796" i="1"/>
  <c r="I3796" i="1"/>
  <c r="J3796" i="1"/>
  <c r="K3796" i="1"/>
  <c r="L3796" i="1"/>
  <c r="M3796" i="1"/>
  <c r="N3796" i="1"/>
  <c r="A3797" i="1"/>
  <c r="B3797" i="1"/>
  <c r="F3797" i="1"/>
  <c r="G3797" i="1"/>
  <c r="H3797" i="1"/>
  <c r="I3797" i="1"/>
  <c r="J3797" i="1"/>
  <c r="K3797" i="1"/>
  <c r="L3797" i="1"/>
  <c r="M3797" i="1"/>
  <c r="N3797" i="1"/>
  <c r="A3798" i="1"/>
  <c r="B3798" i="1"/>
  <c r="F3798" i="1"/>
  <c r="G3798" i="1"/>
  <c r="H3798" i="1"/>
  <c r="I3798" i="1"/>
  <c r="J3798" i="1"/>
  <c r="K3798" i="1"/>
  <c r="L3798" i="1"/>
  <c r="M3798" i="1"/>
  <c r="N3798" i="1"/>
  <c r="A3799" i="1"/>
  <c r="B3799" i="1"/>
  <c r="F3799" i="1"/>
  <c r="G3799" i="1"/>
  <c r="H3799" i="1"/>
  <c r="I3799" i="1"/>
  <c r="J3799" i="1"/>
  <c r="K3799" i="1"/>
  <c r="L3799" i="1"/>
  <c r="M3799" i="1"/>
  <c r="N3799" i="1"/>
  <c r="A3800" i="1"/>
  <c r="B3800" i="1"/>
  <c r="F3800" i="1"/>
  <c r="G3800" i="1"/>
  <c r="H3800" i="1"/>
  <c r="I3800" i="1"/>
  <c r="J3800" i="1"/>
  <c r="K3800" i="1"/>
  <c r="L3800" i="1"/>
  <c r="M3800" i="1"/>
  <c r="N3800" i="1"/>
  <c r="A3801" i="1"/>
  <c r="B3801" i="1"/>
  <c r="F3801" i="1"/>
  <c r="G3801" i="1"/>
  <c r="H3801" i="1"/>
  <c r="I3801" i="1"/>
  <c r="J3801" i="1"/>
  <c r="K3801" i="1"/>
  <c r="L3801" i="1"/>
  <c r="M3801" i="1"/>
  <c r="N3801" i="1"/>
  <c r="A3802" i="1"/>
  <c r="B3802" i="1"/>
  <c r="F3802" i="1"/>
  <c r="G3802" i="1"/>
  <c r="H3802" i="1"/>
  <c r="I3802" i="1"/>
  <c r="J3802" i="1"/>
  <c r="K3802" i="1"/>
  <c r="L3802" i="1"/>
  <c r="M3802" i="1"/>
  <c r="N3802" i="1"/>
  <c r="A3803" i="1"/>
  <c r="B3803" i="1"/>
  <c r="F3803" i="1"/>
  <c r="G3803" i="1"/>
  <c r="H3803" i="1"/>
  <c r="I3803" i="1"/>
  <c r="J3803" i="1"/>
  <c r="K3803" i="1"/>
  <c r="L3803" i="1"/>
  <c r="M3803" i="1"/>
  <c r="N3803" i="1"/>
  <c r="A3804" i="1"/>
  <c r="B3804" i="1"/>
  <c r="F3804" i="1"/>
  <c r="G3804" i="1"/>
  <c r="H3804" i="1"/>
  <c r="I3804" i="1"/>
  <c r="J3804" i="1"/>
  <c r="K3804" i="1"/>
  <c r="L3804" i="1"/>
  <c r="M3804" i="1"/>
  <c r="N3804" i="1"/>
  <c r="A3805" i="1"/>
  <c r="B3805" i="1"/>
  <c r="F3805" i="1"/>
  <c r="G3805" i="1"/>
  <c r="H3805" i="1"/>
  <c r="I3805" i="1"/>
  <c r="J3805" i="1"/>
  <c r="K3805" i="1"/>
  <c r="L3805" i="1"/>
  <c r="M3805" i="1"/>
  <c r="N3805" i="1"/>
  <c r="A3806" i="1"/>
  <c r="B3806" i="1"/>
  <c r="F3806" i="1"/>
  <c r="G3806" i="1"/>
  <c r="H3806" i="1"/>
  <c r="I3806" i="1"/>
  <c r="J3806" i="1"/>
  <c r="K3806" i="1"/>
  <c r="L3806" i="1"/>
  <c r="M3806" i="1"/>
  <c r="N3806" i="1"/>
  <c r="A3807" i="1"/>
  <c r="B3807" i="1"/>
  <c r="F3807" i="1"/>
  <c r="G3807" i="1"/>
  <c r="H3807" i="1"/>
  <c r="I3807" i="1"/>
  <c r="J3807" i="1"/>
  <c r="K3807" i="1"/>
  <c r="L3807" i="1"/>
  <c r="M3807" i="1"/>
  <c r="N3807" i="1"/>
  <c r="A3808" i="1"/>
  <c r="B3808" i="1"/>
  <c r="F3808" i="1"/>
  <c r="G3808" i="1"/>
  <c r="H3808" i="1"/>
  <c r="I3808" i="1"/>
  <c r="J3808" i="1"/>
  <c r="K3808" i="1"/>
  <c r="L3808" i="1"/>
  <c r="M3808" i="1"/>
  <c r="N3808" i="1"/>
  <c r="A3809" i="1"/>
  <c r="B3809" i="1"/>
  <c r="F3809" i="1"/>
  <c r="G3809" i="1"/>
  <c r="H3809" i="1"/>
  <c r="I3809" i="1"/>
  <c r="J3809" i="1"/>
  <c r="K3809" i="1"/>
  <c r="L3809" i="1"/>
  <c r="M3809" i="1"/>
  <c r="N3809" i="1"/>
  <c r="A3810" i="1"/>
  <c r="B3810" i="1"/>
  <c r="F3810" i="1"/>
  <c r="G3810" i="1"/>
  <c r="H3810" i="1"/>
  <c r="I3810" i="1"/>
  <c r="J3810" i="1"/>
  <c r="K3810" i="1"/>
  <c r="L3810" i="1"/>
  <c r="M3810" i="1"/>
  <c r="N3810" i="1"/>
  <c r="A3811" i="1"/>
  <c r="B3811" i="1"/>
  <c r="F3811" i="1"/>
  <c r="G3811" i="1"/>
  <c r="H3811" i="1"/>
  <c r="I3811" i="1"/>
  <c r="J3811" i="1"/>
  <c r="K3811" i="1"/>
  <c r="L3811" i="1"/>
  <c r="M3811" i="1"/>
  <c r="N3811" i="1"/>
  <c r="A3812" i="1"/>
  <c r="B3812" i="1"/>
  <c r="F3812" i="1"/>
  <c r="G3812" i="1"/>
  <c r="H3812" i="1"/>
  <c r="I3812" i="1"/>
  <c r="J3812" i="1"/>
  <c r="K3812" i="1"/>
  <c r="L3812" i="1"/>
  <c r="M3812" i="1"/>
  <c r="N3812" i="1"/>
  <c r="A3813" i="1"/>
  <c r="B3813" i="1"/>
  <c r="F3813" i="1"/>
  <c r="G3813" i="1"/>
  <c r="H3813" i="1"/>
  <c r="I3813" i="1"/>
  <c r="J3813" i="1"/>
  <c r="K3813" i="1"/>
  <c r="L3813" i="1"/>
  <c r="M3813" i="1"/>
  <c r="N3813" i="1"/>
  <c r="A3814" i="1"/>
  <c r="B3814" i="1"/>
  <c r="F3814" i="1"/>
  <c r="G3814" i="1"/>
  <c r="H3814" i="1"/>
  <c r="I3814" i="1"/>
  <c r="J3814" i="1"/>
  <c r="K3814" i="1"/>
  <c r="L3814" i="1"/>
  <c r="M3814" i="1"/>
  <c r="N3814" i="1"/>
  <c r="A3815" i="1"/>
  <c r="B3815" i="1"/>
  <c r="F3815" i="1"/>
  <c r="G3815" i="1"/>
  <c r="H3815" i="1"/>
  <c r="I3815" i="1"/>
  <c r="J3815" i="1"/>
  <c r="K3815" i="1"/>
  <c r="L3815" i="1"/>
  <c r="M3815" i="1"/>
  <c r="N3815" i="1"/>
  <c r="A3816" i="1"/>
  <c r="B3816" i="1"/>
  <c r="F3816" i="1"/>
  <c r="G3816" i="1"/>
  <c r="H3816" i="1"/>
  <c r="I3816" i="1"/>
  <c r="J3816" i="1"/>
  <c r="K3816" i="1"/>
  <c r="L3816" i="1"/>
  <c r="M3816" i="1"/>
  <c r="N3816" i="1"/>
  <c r="A3817" i="1"/>
  <c r="B3817" i="1"/>
  <c r="F3817" i="1"/>
  <c r="G3817" i="1"/>
  <c r="H3817" i="1"/>
  <c r="I3817" i="1"/>
  <c r="J3817" i="1"/>
  <c r="K3817" i="1"/>
  <c r="L3817" i="1"/>
  <c r="M3817" i="1"/>
  <c r="N3817" i="1"/>
  <c r="A3818" i="1"/>
  <c r="B3818" i="1"/>
  <c r="F3818" i="1"/>
  <c r="G3818" i="1"/>
  <c r="H3818" i="1"/>
  <c r="I3818" i="1"/>
  <c r="J3818" i="1"/>
  <c r="K3818" i="1"/>
  <c r="L3818" i="1"/>
  <c r="M3818" i="1"/>
  <c r="N3818" i="1"/>
  <c r="A3819" i="1"/>
  <c r="B3819" i="1"/>
  <c r="F3819" i="1"/>
  <c r="G3819" i="1"/>
  <c r="H3819" i="1"/>
  <c r="I3819" i="1"/>
  <c r="J3819" i="1"/>
  <c r="K3819" i="1"/>
  <c r="L3819" i="1"/>
  <c r="M3819" i="1"/>
  <c r="N3819" i="1"/>
  <c r="A3820" i="1"/>
  <c r="B3820" i="1"/>
  <c r="F3820" i="1"/>
  <c r="G3820" i="1"/>
  <c r="H3820" i="1"/>
  <c r="I3820" i="1"/>
  <c r="J3820" i="1"/>
  <c r="K3820" i="1"/>
  <c r="L3820" i="1"/>
  <c r="M3820" i="1"/>
  <c r="N3820" i="1"/>
  <c r="A3821" i="1"/>
  <c r="B3821" i="1"/>
  <c r="F3821" i="1"/>
  <c r="G3821" i="1"/>
  <c r="H3821" i="1"/>
  <c r="I3821" i="1"/>
  <c r="J3821" i="1"/>
  <c r="K3821" i="1"/>
  <c r="L3821" i="1"/>
  <c r="M3821" i="1"/>
  <c r="N3821" i="1"/>
  <c r="A3822" i="1"/>
  <c r="B3822" i="1"/>
  <c r="F3822" i="1"/>
  <c r="G3822" i="1"/>
  <c r="H3822" i="1"/>
  <c r="I3822" i="1"/>
  <c r="J3822" i="1"/>
  <c r="K3822" i="1"/>
  <c r="L3822" i="1"/>
  <c r="M3822" i="1"/>
  <c r="N3822" i="1"/>
  <c r="A3823" i="1"/>
  <c r="B3823" i="1"/>
  <c r="F3823" i="1"/>
  <c r="G3823" i="1"/>
  <c r="H3823" i="1"/>
  <c r="I3823" i="1"/>
  <c r="J3823" i="1"/>
  <c r="K3823" i="1"/>
  <c r="L3823" i="1"/>
  <c r="M3823" i="1"/>
  <c r="N3823" i="1"/>
  <c r="A3824" i="1"/>
  <c r="B3824" i="1"/>
  <c r="F3824" i="1"/>
  <c r="G3824" i="1"/>
  <c r="H3824" i="1"/>
  <c r="I3824" i="1"/>
  <c r="J3824" i="1"/>
  <c r="K3824" i="1"/>
  <c r="L3824" i="1"/>
  <c r="M3824" i="1"/>
  <c r="N3824" i="1"/>
  <c r="A3825" i="1"/>
  <c r="B3825" i="1"/>
  <c r="F3825" i="1"/>
  <c r="G3825" i="1"/>
  <c r="H3825" i="1"/>
  <c r="I3825" i="1"/>
  <c r="J3825" i="1"/>
  <c r="K3825" i="1"/>
  <c r="L3825" i="1"/>
  <c r="M3825" i="1"/>
  <c r="N3825" i="1"/>
  <c r="A3826" i="1"/>
  <c r="B3826" i="1"/>
  <c r="F3826" i="1"/>
  <c r="G3826" i="1"/>
  <c r="H3826" i="1"/>
  <c r="I3826" i="1"/>
  <c r="J3826" i="1"/>
  <c r="K3826" i="1"/>
  <c r="L3826" i="1"/>
  <c r="M3826" i="1"/>
  <c r="N3826" i="1"/>
  <c r="A3827" i="1"/>
  <c r="B3827" i="1"/>
  <c r="F3827" i="1"/>
  <c r="G3827" i="1"/>
  <c r="H3827" i="1"/>
  <c r="I3827" i="1"/>
  <c r="J3827" i="1"/>
  <c r="K3827" i="1"/>
  <c r="L3827" i="1"/>
  <c r="M3827" i="1"/>
  <c r="N3827" i="1"/>
  <c r="A3828" i="1"/>
  <c r="B3828" i="1"/>
  <c r="F3828" i="1"/>
  <c r="G3828" i="1"/>
  <c r="H3828" i="1"/>
  <c r="I3828" i="1"/>
  <c r="J3828" i="1"/>
  <c r="K3828" i="1"/>
  <c r="L3828" i="1"/>
  <c r="M3828" i="1"/>
  <c r="N3828" i="1"/>
  <c r="A3829" i="1"/>
  <c r="B3829" i="1"/>
  <c r="F3829" i="1"/>
  <c r="G3829" i="1"/>
  <c r="H3829" i="1"/>
  <c r="I3829" i="1"/>
  <c r="J3829" i="1"/>
  <c r="K3829" i="1"/>
  <c r="L3829" i="1"/>
  <c r="M3829" i="1"/>
  <c r="N3829" i="1"/>
  <c r="A3830" i="1"/>
  <c r="B3830" i="1"/>
  <c r="F3830" i="1"/>
  <c r="G3830" i="1"/>
  <c r="H3830" i="1"/>
  <c r="I3830" i="1"/>
  <c r="J3830" i="1"/>
  <c r="K3830" i="1"/>
  <c r="L3830" i="1"/>
  <c r="M3830" i="1"/>
  <c r="N3830" i="1"/>
  <c r="A3831" i="1"/>
  <c r="B3831" i="1"/>
  <c r="F3831" i="1"/>
  <c r="G3831" i="1"/>
  <c r="H3831" i="1"/>
  <c r="I3831" i="1"/>
  <c r="J3831" i="1"/>
  <c r="K3831" i="1"/>
  <c r="L3831" i="1"/>
  <c r="M3831" i="1"/>
  <c r="N3831" i="1"/>
  <c r="A3832" i="1"/>
  <c r="B3832" i="1"/>
  <c r="F3832" i="1"/>
  <c r="G3832" i="1"/>
  <c r="H3832" i="1"/>
  <c r="I3832" i="1"/>
  <c r="J3832" i="1"/>
  <c r="K3832" i="1"/>
  <c r="L3832" i="1"/>
  <c r="M3832" i="1"/>
  <c r="N3832" i="1"/>
  <c r="A3833" i="1"/>
  <c r="B3833" i="1"/>
  <c r="F3833" i="1"/>
  <c r="G3833" i="1"/>
  <c r="H3833" i="1"/>
  <c r="I3833" i="1"/>
  <c r="J3833" i="1"/>
  <c r="K3833" i="1"/>
  <c r="L3833" i="1"/>
  <c r="M3833" i="1"/>
  <c r="N3833" i="1"/>
  <c r="A3834" i="1"/>
  <c r="B3834" i="1"/>
  <c r="F3834" i="1"/>
  <c r="G3834" i="1"/>
  <c r="H3834" i="1"/>
  <c r="I3834" i="1"/>
  <c r="J3834" i="1"/>
  <c r="K3834" i="1"/>
  <c r="L3834" i="1"/>
  <c r="M3834" i="1"/>
  <c r="N3834" i="1"/>
  <c r="A3835" i="1"/>
  <c r="B3835" i="1"/>
  <c r="F3835" i="1"/>
  <c r="G3835" i="1"/>
  <c r="H3835" i="1"/>
  <c r="I3835" i="1"/>
  <c r="J3835" i="1"/>
  <c r="K3835" i="1"/>
  <c r="L3835" i="1"/>
  <c r="M3835" i="1"/>
  <c r="N3835" i="1"/>
  <c r="A3836" i="1"/>
  <c r="B3836" i="1"/>
  <c r="F3836" i="1"/>
  <c r="G3836" i="1"/>
  <c r="H3836" i="1"/>
  <c r="I3836" i="1"/>
  <c r="J3836" i="1"/>
  <c r="K3836" i="1"/>
  <c r="L3836" i="1"/>
  <c r="M3836" i="1"/>
  <c r="N3836" i="1"/>
  <c r="A3837" i="1"/>
  <c r="B3837" i="1"/>
  <c r="F3837" i="1"/>
  <c r="G3837" i="1"/>
  <c r="H3837" i="1"/>
  <c r="I3837" i="1"/>
  <c r="J3837" i="1"/>
  <c r="K3837" i="1"/>
  <c r="L3837" i="1"/>
  <c r="M3837" i="1"/>
  <c r="N3837" i="1"/>
  <c r="A3838" i="1"/>
  <c r="B3838" i="1"/>
  <c r="F3838" i="1"/>
  <c r="G3838" i="1"/>
  <c r="H3838" i="1"/>
  <c r="I3838" i="1"/>
  <c r="J3838" i="1"/>
  <c r="K3838" i="1"/>
  <c r="L3838" i="1"/>
  <c r="M3838" i="1"/>
  <c r="N3838" i="1"/>
  <c r="A3839" i="1"/>
  <c r="B3839" i="1"/>
  <c r="F3839" i="1"/>
  <c r="G3839" i="1"/>
  <c r="H3839" i="1"/>
  <c r="I3839" i="1"/>
  <c r="J3839" i="1"/>
  <c r="K3839" i="1"/>
  <c r="L3839" i="1"/>
  <c r="M3839" i="1"/>
  <c r="N3839" i="1"/>
  <c r="A3840" i="1"/>
  <c r="B3840" i="1"/>
  <c r="F3840" i="1"/>
  <c r="G3840" i="1"/>
  <c r="H3840" i="1"/>
  <c r="I3840" i="1"/>
  <c r="J3840" i="1"/>
  <c r="K3840" i="1"/>
  <c r="L3840" i="1"/>
  <c r="M3840" i="1"/>
  <c r="N3840" i="1"/>
  <c r="A3841" i="1"/>
  <c r="B3841" i="1"/>
  <c r="F3841" i="1"/>
  <c r="G3841" i="1"/>
  <c r="H3841" i="1"/>
  <c r="I3841" i="1"/>
  <c r="J3841" i="1"/>
  <c r="K3841" i="1"/>
  <c r="L3841" i="1"/>
  <c r="M3841" i="1"/>
  <c r="N3841" i="1"/>
  <c r="A3842" i="1"/>
  <c r="B3842" i="1"/>
  <c r="F3842" i="1"/>
  <c r="G3842" i="1"/>
  <c r="H3842" i="1"/>
  <c r="I3842" i="1"/>
  <c r="J3842" i="1"/>
  <c r="K3842" i="1"/>
  <c r="L3842" i="1"/>
  <c r="M3842" i="1"/>
  <c r="N3842" i="1"/>
  <c r="A3843" i="1"/>
  <c r="B3843" i="1"/>
  <c r="F3843" i="1"/>
  <c r="G3843" i="1"/>
  <c r="H3843" i="1"/>
  <c r="I3843" i="1"/>
  <c r="J3843" i="1"/>
  <c r="K3843" i="1"/>
  <c r="L3843" i="1"/>
  <c r="M3843" i="1"/>
  <c r="N3843" i="1"/>
  <c r="A3844" i="1"/>
  <c r="B3844" i="1"/>
  <c r="F3844" i="1"/>
  <c r="G3844" i="1"/>
  <c r="H3844" i="1"/>
  <c r="I3844" i="1"/>
  <c r="J3844" i="1"/>
  <c r="K3844" i="1"/>
  <c r="L3844" i="1"/>
  <c r="M3844" i="1"/>
  <c r="N3844" i="1"/>
  <c r="A3845" i="1"/>
  <c r="B3845" i="1"/>
  <c r="F3845" i="1"/>
  <c r="G3845" i="1"/>
  <c r="H3845" i="1"/>
  <c r="I3845" i="1"/>
  <c r="J3845" i="1"/>
  <c r="K3845" i="1"/>
  <c r="L3845" i="1"/>
  <c r="M3845" i="1"/>
  <c r="N3845" i="1"/>
  <c r="A3846" i="1"/>
  <c r="B3846" i="1"/>
  <c r="F3846" i="1"/>
  <c r="G3846" i="1"/>
  <c r="H3846" i="1"/>
  <c r="I3846" i="1"/>
  <c r="J3846" i="1"/>
  <c r="K3846" i="1"/>
  <c r="L3846" i="1"/>
  <c r="M3846" i="1"/>
  <c r="N3846" i="1"/>
  <c r="A3847" i="1"/>
  <c r="B3847" i="1"/>
  <c r="F3847" i="1"/>
  <c r="G3847" i="1"/>
  <c r="H3847" i="1"/>
  <c r="I3847" i="1"/>
  <c r="J3847" i="1"/>
  <c r="K3847" i="1"/>
  <c r="L3847" i="1"/>
  <c r="M3847" i="1"/>
  <c r="N3847" i="1"/>
  <c r="A3848" i="1"/>
  <c r="B3848" i="1"/>
  <c r="F3848" i="1"/>
  <c r="G3848" i="1"/>
  <c r="H3848" i="1"/>
  <c r="I3848" i="1"/>
  <c r="J3848" i="1"/>
  <c r="K3848" i="1"/>
  <c r="L3848" i="1"/>
  <c r="M3848" i="1"/>
  <c r="N3848" i="1"/>
  <c r="A3849" i="1"/>
  <c r="B3849" i="1"/>
  <c r="F3849" i="1"/>
  <c r="G3849" i="1"/>
  <c r="H3849" i="1"/>
  <c r="I3849" i="1"/>
  <c r="J3849" i="1"/>
  <c r="K3849" i="1"/>
  <c r="L3849" i="1"/>
  <c r="M3849" i="1"/>
  <c r="N3849" i="1"/>
  <c r="A3850" i="1"/>
  <c r="B3850" i="1"/>
  <c r="F3850" i="1"/>
  <c r="G3850" i="1"/>
  <c r="H3850" i="1"/>
  <c r="I3850" i="1"/>
  <c r="J3850" i="1"/>
  <c r="K3850" i="1"/>
  <c r="L3850" i="1"/>
  <c r="M3850" i="1"/>
  <c r="N3850" i="1"/>
  <c r="A3851" i="1"/>
  <c r="B3851" i="1"/>
  <c r="F3851" i="1"/>
  <c r="G3851" i="1"/>
  <c r="H3851" i="1"/>
  <c r="I3851" i="1"/>
  <c r="J3851" i="1"/>
  <c r="K3851" i="1"/>
  <c r="L3851" i="1"/>
  <c r="M3851" i="1"/>
  <c r="N3851" i="1"/>
  <c r="A3852" i="1"/>
  <c r="B3852" i="1"/>
  <c r="F3852" i="1"/>
  <c r="G3852" i="1"/>
  <c r="H3852" i="1"/>
  <c r="I3852" i="1"/>
  <c r="J3852" i="1"/>
  <c r="K3852" i="1"/>
  <c r="L3852" i="1"/>
  <c r="M3852" i="1"/>
  <c r="N3852" i="1"/>
  <c r="A3853" i="1"/>
  <c r="B3853" i="1"/>
  <c r="F3853" i="1"/>
  <c r="G3853" i="1"/>
  <c r="H3853" i="1"/>
  <c r="I3853" i="1"/>
  <c r="J3853" i="1"/>
  <c r="K3853" i="1"/>
  <c r="L3853" i="1"/>
  <c r="M3853" i="1"/>
  <c r="N3853" i="1"/>
  <c r="A3854" i="1"/>
  <c r="B3854" i="1"/>
  <c r="F3854" i="1"/>
  <c r="G3854" i="1"/>
  <c r="H3854" i="1"/>
  <c r="I3854" i="1"/>
  <c r="J3854" i="1"/>
  <c r="K3854" i="1"/>
  <c r="L3854" i="1"/>
  <c r="M3854" i="1"/>
  <c r="N3854" i="1"/>
  <c r="A3855" i="1"/>
  <c r="B3855" i="1"/>
  <c r="F3855" i="1"/>
  <c r="G3855" i="1"/>
  <c r="H3855" i="1"/>
  <c r="I3855" i="1"/>
  <c r="J3855" i="1"/>
  <c r="K3855" i="1"/>
  <c r="L3855" i="1"/>
  <c r="M3855" i="1"/>
  <c r="N3855" i="1"/>
  <c r="A3856" i="1"/>
  <c r="B3856" i="1"/>
  <c r="F3856" i="1"/>
  <c r="G3856" i="1"/>
  <c r="H3856" i="1"/>
  <c r="I3856" i="1"/>
  <c r="J3856" i="1"/>
  <c r="K3856" i="1"/>
  <c r="L3856" i="1"/>
  <c r="M3856" i="1"/>
  <c r="N3856" i="1"/>
  <c r="A3857" i="1"/>
  <c r="B3857" i="1"/>
  <c r="F3857" i="1"/>
  <c r="G3857" i="1"/>
  <c r="H3857" i="1"/>
  <c r="I3857" i="1"/>
  <c r="J3857" i="1"/>
  <c r="K3857" i="1"/>
  <c r="L3857" i="1"/>
  <c r="M3857" i="1"/>
  <c r="N3857" i="1"/>
  <c r="A3858" i="1"/>
  <c r="B3858" i="1"/>
  <c r="F3858" i="1"/>
  <c r="G3858" i="1"/>
  <c r="H3858" i="1"/>
  <c r="I3858" i="1"/>
  <c r="J3858" i="1"/>
  <c r="K3858" i="1"/>
  <c r="L3858" i="1"/>
  <c r="M3858" i="1"/>
  <c r="N3858" i="1"/>
  <c r="A3859" i="1"/>
  <c r="B3859" i="1"/>
  <c r="F3859" i="1"/>
  <c r="G3859" i="1"/>
  <c r="H3859" i="1"/>
  <c r="I3859" i="1"/>
  <c r="J3859" i="1"/>
  <c r="K3859" i="1"/>
  <c r="L3859" i="1"/>
  <c r="M3859" i="1"/>
  <c r="N3859" i="1"/>
  <c r="A3860" i="1"/>
  <c r="B3860" i="1"/>
  <c r="F3860" i="1"/>
  <c r="G3860" i="1"/>
  <c r="H3860" i="1"/>
  <c r="I3860" i="1"/>
  <c r="J3860" i="1"/>
  <c r="K3860" i="1"/>
  <c r="L3860" i="1"/>
  <c r="M3860" i="1"/>
  <c r="N3860" i="1"/>
  <c r="A3861" i="1"/>
  <c r="B3861" i="1"/>
  <c r="F3861" i="1"/>
  <c r="G3861" i="1"/>
  <c r="H3861" i="1"/>
  <c r="I3861" i="1"/>
  <c r="J3861" i="1"/>
  <c r="K3861" i="1"/>
  <c r="L3861" i="1"/>
  <c r="M3861" i="1"/>
  <c r="N3861" i="1"/>
  <c r="A3862" i="1"/>
  <c r="B3862" i="1"/>
  <c r="F3862" i="1"/>
  <c r="G3862" i="1"/>
  <c r="H3862" i="1"/>
  <c r="I3862" i="1"/>
  <c r="J3862" i="1"/>
  <c r="K3862" i="1"/>
  <c r="L3862" i="1"/>
  <c r="M3862" i="1"/>
  <c r="N3862" i="1"/>
  <c r="A3863" i="1"/>
  <c r="B3863" i="1"/>
  <c r="F3863" i="1"/>
  <c r="G3863" i="1"/>
  <c r="H3863" i="1"/>
  <c r="I3863" i="1"/>
  <c r="J3863" i="1"/>
  <c r="K3863" i="1"/>
  <c r="L3863" i="1"/>
  <c r="M3863" i="1"/>
  <c r="N3863" i="1"/>
  <c r="A3864" i="1"/>
  <c r="B3864" i="1"/>
  <c r="F3864" i="1"/>
  <c r="G3864" i="1"/>
  <c r="H3864" i="1"/>
  <c r="I3864" i="1"/>
  <c r="J3864" i="1"/>
  <c r="K3864" i="1"/>
  <c r="L3864" i="1"/>
  <c r="M3864" i="1"/>
  <c r="N3864" i="1"/>
  <c r="A3865" i="1"/>
  <c r="B3865" i="1"/>
  <c r="F3865" i="1"/>
  <c r="G3865" i="1"/>
  <c r="H3865" i="1"/>
  <c r="I3865" i="1"/>
  <c r="J3865" i="1"/>
  <c r="K3865" i="1"/>
  <c r="L3865" i="1"/>
  <c r="M3865" i="1"/>
  <c r="N3865" i="1"/>
  <c r="A3866" i="1"/>
  <c r="B3866" i="1"/>
  <c r="F3866" i="1"/>
  <c r="G3866" i="1"/>
  <c r="H3866" i="1"/>
  <c r="I3866" i="1"/>
  <c r="J3866" i="1"/>
  <c r="K3866" i="1"/>
  <c r="L3866" i="1"/>
  <c r="M3866" i="1"/>
  <c r="N3866" i="1"/>
  <c r="A3867" i="1"/>
  <c r="B3867" i="1"/>
  <c r="F3867" i="1"/>
  <c r="G3867" i="1"/>
  <c r="H3867" i="1"/>
  <c r="I3867" i="1"/>
  <c r="J3867" i="1"/>
  <c r="K3867" i="1"/>
  <c r="L3867" i="1"/>
  <c r="M3867" i="1"/>
  <c r="N3867" i="1"/>
  <c r="A3868" i="1"/>
  <c r="B3868" i="1"/>
  <c r="F3868" i="1"/>
  <c r="G3868" i="1"/>
  <c r="H3868" i="1"/>
  <c r="I3868" i="1"/>
  <c r="J3868" i="1"/>
  <c r="K3868" i="1"/>
  <c r="L3868" i="1"/>
  <c r="M3868" i="1"/>
  <c r="N3868" i="1"/>
  <c r="A3869" i="1"/>
  <c r="B3869" i="1"/>
  <c r="F3869" i="1"/>
  <c r="G3869" i="1"/>
  <c r="H3869" i="1"/>
  <c r="I3869" i="1"/>
  <c r="J3869" i="1"/>
  <c r="K3869" i="1"/>
  <c r="L3869" i="1"/>
  <c r="M3869" i="1"/>
  <c r="N3869" i="1"/>
  <c r="A3870" i="1"/>
  <c r="B3870" i="1"/>
  <c r="F3870" i="1"/>
  <c r="G3870" i="1"/>
  <c r="H3870" i="1"/>
  <c r="I3870" i="1"/>
  <c r="J3870" i="1"/>
  <c r="K3870" i="1"/>
  <c r="L3870" i="1"/>
  <c r="M3870" i="1"/>
  <c r="N3870" i="1"/>
  <c r="A3871" i="1"/>
  <c r="B3871" i="1"/>
  <c r="F3871" i="1"/>
  <c r="G3871" i="1"/>
  <c r="H3871" i="1"/>
  <c r="I3871" i="1"/>
  <c r="J3871" i="1"/>
  <c r="K3871" i="1"/>
  <c r="L3871" i="1"/>
  <c r="M3871" i="1"/>
  <c r="N3871" i="1"/>
  <c r="A3872" i="1"/>
  <c r="B3872" i="1"/>
  <c r="F3872" i="1"/>
  <c r="G3872" i="1"/>
  <c r="H3872" i="1"/>
  <c r="I3872" i="1"/>
  <c r="J3872" i="1"/>
  <c r="K3872" i="1"/>
  <c r="L3872" i="1"/>
  <c r="M3872" i="1"/>
  <c r="N3872" i="1"/>
  <c r="A3873" i="1"/>
  <c r="B3873" i="1"/>
  <c r="F3873" i="1"/>
  <c r="G3873" i="1"/>
  <c r="H3873" i="1"/>
  <c r="I3873" i="1"/>
  <c r="J3873" i="1"/>
  <c r="K3873" i="1"/>
  <c r="L3873" i="1"/>
  <c r="M3873" i="1"/>
  <c r="N3873" i="1"/>
  <c r="A3874" i="1"/>
  <c r="B3874" i="1"/>
  <c r="F3874" i="1"/>
  <c r="G3874" i="1"/>
  <c r="H3874" i="1"/>
  <c r="I3874" i="1"/>
  <c r="J3874" i="1"/>
  <c r="K3874" i="1"/>
  <c r="L3874" i="1"/>
  <c r="M3874" i="1"/>
  <c r="N3874" i="1"/>
  <c r="A3875" i="1"/>
  <c r="B3875" i="1"/>
  <c r="F3875" i="1"/>
  <c r="G3875" i="1"/>
  <c r="H3875" i="1"/>
  <c r="I3875" i="1"/>
  <c r="J3875" i="1"/>
  <c r="K3875" i="1"/>
  <c r="L3875" i="1"/>
  <c r="M3875" i="1"/>
  <c r="N3875" i="1"/>
  <c r="A3876" i="1"/>
  <c r="B3876" i="1"/>
  <c r="F3876" i="1"/>
  <c r="G3876" i="1"/>
  <c r="H3876" i="1"/>
  <c r="I3876" i="1"/>
  <c r="J3876" i="1"/>
  <c r="K3876" i="1"/>
  <c r="L3876" i="1"/>
  <c r="M3876" i="1"/>
  <c r="N3876" i="1"/>
  <c r="A3877" i="1"/>
  <c r="B3877" i="1"/>
  <c r="F3877" i="1"/>
  <c r="G3877" i="1"/>
  <c r="H3877" i="1"/>
  <c r="I3877" i="1"/>
  <c r="J3877" i="1"/>
  <c r="K3877" i="1"/>
  <c r="L3877" i="1"/>
  <c r="M3877" i="1"/>
  <c r="N3877" i="1"/>
  <c r="A3878" i="1"/>
  <c r="B3878" i="1"/>
  <c r="F3878" i="1"/>
  <c r="G3878" i="1"/>
  <c r="H3878" i="1"/>
  <c r="I3878" i="1"/>
  <c r="J3878" i="1"/>
  <c r="K3878" i="1"/>
  <c r="L3878" i="1"/>
  <c r="M3878" i="1"/>
  <c r="N3878" i="1"/>
  <c r="A3879" i="1"/>
  <c r="B3879" i="1"/>
  <c r="F3879" i="1"/>
  <c r="G3879" i="1"/>
  <c r="H3879" i="1"/>
  <c r="I3879" i="1"/>
  <c r="J3879" i="1"/>
  <c r="K3879" i="1"/>
  <c r="L3879" i="1"/>
  <c r="M3879" i="1"/>
  <c r="N3879" i="1"/>
  <c r="A3880" i="1"/>
  <c r="B3880" i="1"/>
  <c r="F3880" i="1"/>
  <c r="G3880" i="1"/>
  <c r="H3880" i="1"/>
  <c r="I3880" i="1"/>
  <c r="J3880" i="1"/>
  <c r="K3880" i="1"/>
  <c r="L3880" i="1"/>
  <c r="M3880" i="1"/>
  <c r="N3880" i="1"/>
  <c r="A3881" i="1"/>
  <c r="B3881" i="1"/>
  <c r="F3881" i="1"/>
  <c r="G3881" i="1"/>
  <c r="H3881" i="1"/>
  <c r="I3881" i="1"/>
  <c r="J3881" i="1"/>
  <c r="K3881" i="1"/>
  <c r="L3881" i="1"/>
  <c r="M3881" i="1"/>
  <c r="N3881" i="1"/>
  <c r="A3882" i="1"/>
  <c r="B3882" i="1"/>
  <c r="F3882" i="1"/>
  <c r="G3882" i="1"/>
  <c r="H3882" i="1"/>
  <c r="I3882" i="1"/>
  <c r="J3882" i="1"/>
  <c r="K3882" i="1"/>
  <c r="L3882" i="1"/>
  <c r="M3882" i="1"/>
  <c r="N3882" i="1"/>
  <c r="A3883" i="1"/>
  <c r="B3883" i="1"/>
  <c r="F3883" i="1"/>
  <c r="G3883" i="1"/>
  <c r="H3883" i="1"/>
  <c r="I3883" i="1"/>
  <c r="J3883" i="1"/>
  <c r="K3883" i="1"/>
  <c r="L3883" i="1"/>
  <c r="M3883" i="1"/>
  <c r="N3883" i="1"/>
  <c r="A3884" i="1"/>
  <c r="B3884" i="1"/>
  <c r="F3884" i="1"/>
  <c r="G3884" i="1"/>
  <c r="H3884" i="1"/>
  <c r="I3884" i="1"/>
  <c r="J3884" i="1"/>
  <c r="K3884" i="1"/>
  <c r="L3884" i="1"/>
  <c r="M3884" i="1"/>
  <c r="N3884" i="1"/>
  <c r="A3885" i="1"/>
  <c r="B3885" i="1"/>
  <c r="F3885" i="1"/>
  <c r="G3885" i="1"/>
  <c r="H3885" i="1"/>
  <c r="I3885" i="1"/>
  <c r="J3885" i="1"/>
  <c r="K3885" i="1"/>
  <c r="L3885" i="1"/>
  <c r="M3885" i="1"/>
  <c r="N3885" i="1"/>
  <c r="A3886" i="1"/>
  <c r="B3886" i="1"/>
  <c r="F3886" i="1"/>
  <c r="G3886" i="1"/>
  <c r="H3886" i="1"/>
  <c r="I3886" i="1"/>
  <c r="J3886" i="1"/>
  <c r="K3886" i="1"/>
  <c r="L3886" i="1"/>
  <c r="M3886" i="1"/>
  <c r="N3886" i="1"/>
  <c r="A3887" i="1"/>
  <c r="B3887" i="1"/>
  <c r="F3887" i="1"/>
  <c r="G3887" i="1"/>
  <c r="H3887" i="1"/>
  <c r="I3887" i="1"/>
  <c r="J3887" i="1"/>
  <c r="K3887" i="1"/>
  <c r="L3887" i="1"/>
  <c r="M3887" i="1"/>
  <c r="N3887" i="1"/>
  <c r="A3888" i="1"/>
  <c r="B3888" i="1"/>
  <c r="F3888" i="1"/>
  <c r="G3888" i="1"/>
  <c r="H3888" i="1"/>
  <c r="I3888" i="1"/>
  <c r="J3888" i="1"/>
  <c r="K3888" i="1"/>
  <c r="L3888" i="1"/>
  <c r="M3888" i="1"/>
  <c r="N3888" i="1"/>
  <c r="A3889" i="1"/>
  <c r="B3889" i="1"/>
  <c r="F3889" i="1"/>
  <c r="G3889" i="1"/>
  <c r="H3889" i="1"/>
  <c r="I3889" i="1"/>
  <c r="J3889" i="1"/>
  <c r="K3889" i="1"/>
  <c r="L3889" i="1"/>
  <c r="M3889" i="1"/>
  <c r="N3889" i="1"/>
  <c r="A3890" i="1"/>
  <c r="B3890" i="1"/>
  <c r="F3890" i="1"/>
  <c r="G3890" i="1"/>
  <c r="H3890" i="1"/>
  <c r="I3890" i="1"/>
  <c r="J3890" i="1"/>
  <c r="K3890" i="1"/>
  <c r="L3890" i="1"/>
  <c r="M3890" i="1"/>
  <c r="N3890" i="1"/>
  <c r="A3891" i="1"/>
  <c r="B3891" i="1"/>
  <c r="F3891" i="1"/>
  <c r="G3891" i="1"/>
  <c r="H3891" i="1"/>
  <c r="I3891" i="1"/>
  <c r="J3891" i="1"/>
  <c r="K3891" i="1"/>
  <c r="L3891" i="1"/>
  <c r="M3891" i="1"/>
  <c r="N3891" i="1"/>
  <c r="A3892" i="1"/>
  <c r="B3892" i="1"/>
  <c r="F3892" i="1"/>
  <c r="G3892" i="1"/>
  <c r="H3892" i="1"/>
  <c r="I3892" i="1"/>
  <c r="J3892" i="1"/>
  <c r="K3892" i="1"/>
  <c r="L3892" i="1"/>
  <c r="M3892" i="1"/>
  <c r="N3892" i="1"/>
  <c r="A3893" i="1"/>
  <c r="B3893" i="1"/>
  <c r="F3893" i="1"/>
  <c r="G3893" i="1"/>
  <c r="H3893" i="1"/>
  <c r="I3893" i="1"/>
  <c r="J3893" i="1"/>
  <c r="K3893" i="1"/>
  <c r="L3893" i="1"/>
  <c r="M3893" i="1"/>
  <c r="N3893" i="1"/>
  <c r="A3894" i="1"/>
  <c r="B3894" i="1"/>
  <c r="F3894" i="1"/>
  <c r="G3894" i="1"/>
  <c r="H3894" i="1"/>
  <c r="I3894" i="1"/>
  <c r="J3894" i="1"/>
  <c r="K3894" i="1"/>
  <c r="L3894" i="1"/>
  <c r="M3894" i="1"/>
  <c r="N3894" i="1"/>
  <c r="A3895" i="1"/>
  <c r="B3895" i="1"/>
  <c r="F3895" i="1"/>
  <c r="G3895" i="1"/>
  <c r="H3895" i="1"/>
  <c r="I3895" i="1"/>
  <c r="J3895" i="1"/>
  <c r="K3895" i="1"/>
  <c r="L3895" i="1"/>
  <c r="M3895" i="1"/>
  <c r="N3895" i="1"/>
  <c r="A3896" i="1"/>
  <c r="B3896" i="1"/>
  <c r="F3896" i="1"/>
  <c r="G3896" i="1"/>
  <c r="H3896" i="1"/>
  <c r="I3896" i="1"/>
  <c r="J3896" i="1"/>
  <c r="K3896" i="1"/>
  <c r="L3896" i="1"/>
  <c r="M3896" i="1"/>
  <c r="N3896" i="1"/>
  <c r="A3897" i="1"/>
  <c r="B3897" i="1"/>
  <c r="F3897" i="1"/>
  <c r="G3897" i="1"/>
  <c r="H3897" i="1"/>
  <c r="I3897" i="1"/>
  <c r="J3897" i="1"/>
  <c r="K3897" i="1"/>
  <c r="L3897" i="1"/>
  <c r="M3897" i="1"/>
  <c r="N3897" i="1"/>
  <c r="A3898" i="1"/>
  <c r="B3898" i="1"/>
  <c r="F3898" i="1"/>
  <c r="G3898" i="1"/>
  <c r="H3898" i="1"/>
  <c r="I3898" i="1"/>
  <c r="J3898" i="1"/>
  <c r="K3898" i="1"/>
  <c r="L3898" i="1"/>
  <c r="M3898" i="1"/>
  <c r="N3898" i="1"/>
  <c r="A3899" i="1"/>
  <c r="B3899" i="1"/>
  <c r="F3899" i="1"/>
  <c r="G3899" i="1"/>
  <c r="H3899" i="1"/>
  <c r="I3899" i="1"/>
  <c r="J3899" i="1"/>
  <c r="K3899" i="1"/>
  <c r="L3899" i="1"/>
  <c r="M3899" i="1"/>
  <c r="N3899" i="1"/>
  <c r="A3900" i="1"/>
  <c r="B3900" i="1"/>
  <c r="F3900" i="1"/>
  <c r="G3900" i="1"/>
  <c r="H3900" i="1"/>
  <c r="I3900" i="1"/>
  <c r="J3900" i="1"/>
  <c r="K3900" i="1"/>
  <c r="L3900" i="1"/>
  <c r="M3900" i="1"/>
  <c r="N3900" i="1"/>
  <c r="A3901" i="1"/>
  <c r="B3901" i="1"/>
  <c r="F3901" i="1"/>
  <c r="G3901" i="1"/>
  <c r="H3901" i="1"/>
  <c r="I3901" i="1"/>
  <c r="J3901" i="1"/>
  <c r="K3901" i="1"/>
  <c r="L3901" i="1"/>
  <c r="M3901" i="1"/>
  <c r="N3901" i="1"/>
  <c r="A3902" i="1"/>
  <c r="B3902" i="1"/>
  <c r="F3902" i="1"/>
  <c r="G3902" i="1"/>
  <c r="H3902" i="1"/>
  <c r="I3902" i="1"/>
  <c r="J3902" i="1"/>
  <c r="K3902" i="1"/>
  <c r="L3902" i="1"/>
  <c r="M3902" i="1"/>
  <c r="N3902" i="1"/>
  <c r="A3903" i="1"/>
  <c r="B3903" i="1"/>
  <c r="F3903" i="1"/>
  <c r="G3903" i="1"/>
  <c r="H3903" i="1"/>
  <c r="I3903" i="1"/>
  <c r="J3903" i="1"/>
  <c r="K3903" i="1"/>
  <c r="L3903" i="1"/>
  <c r="M3903" i="1"/>
  <c r="N3903" i="1"/>
  <c r="A3904" i="1"/>
  <c r="B3904" i="1"/>
  <c r="F3904" i="1"/>
  <c r="G3904" i="1"/>
  <c r="H3904" i="1"/>
  <c r="I3904" i="1"/>
  <c r="J3904" i="1"/>
  <c r="K3904" i="1"/>
  <c r="L3904" i="1"/>
  <c r="M3904" i="1"/>
  <c r="N3904" i="1"/>
  <c r="A3905" i="1"/>
  <c r="B3905" i="1"/>
  <c r="F3905" i="1"/>
  <c r="G3905" i="1"/>
  <c r="H3905" i="1"/>
  <c r="I3905" i="1"/>
  <c r="J3905" i="1"/>
  <c r="K3905" i="1"/>
  <c r="L3905" i="1"/>
  <c r="M3905" i="1"/>
  <c r="N3905" i="1"/>
  <c r="A3906" i="1"/>
  <c r="B3906" i="1"/>
  <c r="F3906" i="1"/>
  <c r="G3906" i="1"/>
  <c r="H3906" i="1"/>
  <c r="I3906" i="1"/>
  <c r="J3906" i="1"/>
  <c r="K3906" i="1"/>
  <c r="L3906" i="1"/>
  <c r="M3906" i="1"/>
  <c r="N3906" i="1"/>
  <c r="A3907" i="1"/>
  <c r="B3907" i="1"/>
  <c r="F3907" i="1"/>
  <c r="G3907" i="1"/>
  <c r="H3907" i="1"/>
  <c r="I3907" i="1"/>
  <c r="J3907" i="1"/>
  <c r="K3907" i="1"/>
  <c r="L3907" i="1"/>
  <c r="M3907" i="1"/>
  <c r="N3907" i="1"/>
  <c r="A3908" i="1"/>
  <c r="B3908" i="1"/>
  <c r="F3908" i="1"/>
  <c r="G3908" i="1"/>
  <c r="H3908" i="1"/>
  <c r="I3908" i="1"/>
  <c r="J3908" i="1"/>
  <c r="K3908" i="1"/>
  <c r="L3908" i="1"/>
  <c r="M3908" i="1"/>
  <c r="N3908" i="1"/>
  <c r="A3909" i="1"/>
  <c r="B3909" i="1"/>
  <c r="F3909" i="1"/>
  <c r="G3909" i="1"/>
  <c r="H3909" i="1"/>
  <c r="I3909" i="1"/>
  <c r="J3909" i="1"/>
  <c r="K3909" i="1"/>
  <c r="L3909" i="1"/>
  <c r="M3909" i="1"/>
  <c r="N3909" i="1"/>
  <c r="A3910" i="1"/>
  <c r="B3910" i="1"/>
  <c r="F3910" i="1"/>
  <c r="G3910" i="1"/>
  <c r="H3910" i="1"/>
  <c r="I3910" i="1"/>
  <c r="J3910" i="1"/>
  <c r="K3910" i="1"/>
  <c r="L3910" i="1"/>
  <c r="M3910" i="1"/>
  <c r="N3910" i="1"/>
  <c r="A3911" i="1"/>
  <c r="B3911" i="1"/>
  <c r="F3911" i="1"/>
  <c r="G3911" i="1"/>
  <c r="H3911" i="1"/>
  <c r="I3911" i="1"/>
  <c r="J3911" i="1"/>
  <c r="K3911" i="1"/>
  <c r="L3911" i="1"/>
  <c r="M3911" i="1"/>
  <c r="N3911" i="1"/>
  <c r="A3912" i="1"/>
  <c r="B3912" i="1"/>
  <c r="F3912" i="1"/>
  <c r="G3912" i="1"/>
  <c r="H3912" i="1"/>
  <c r="I3912" i="1"/>
  <c r="J3912" i="1"/>
  <c r="K3912" i="1"/>
  <c r="L3912" i="1"/>
  <c r="M3912" i="1"/>
  <c r="N3912" i="1"/>
  <c r="A3913" i="1"/>
  <c r="B3913" i="1"/>
  <c r="F3913" i="1"/>
  <c r="G3913" i="1"/>
  <c r="H3913" i="1"/>
  <c r="I3913" i="1"/>
  <c r="J3913" i="1"/>
  <c r="K3913" i="1"/>
  <c r="L3913" i="1"/>
  <c r="M3913" i="1"/>
  <c r="N3913" i="1"/>
  <c r="A3914" i="1"/>
  <c r="B3914" i="1"/>
  <c r="F3914" i="1"/>
  <c r="G3914" i="1"/>
  <c r="H3914" i="1"/>
  <c r="I3914" i="1"/>
  <c r="J3914" i="1"/>
  <c r="K3914" i="1"/>
  <c r="L3914" i="1"/>
  <c r="M3914" i="1"/>
  <c r="N3914" i="1"/>
  <c r="A3915" i="1"/>
  <c r="B3915" i="1"/>
  <c r="F3915" i="1"/>
  <c r="G3915" i="1"/>
  <c r="H3915" i="1"/>
  <c r="I3915" i="1"/>
  <c r="J3915" i="1"/>
  <c r="K3915" i="1"/>
  <c r="L3915" i="1"/>
  <c r="M3915" i="1"/>
  <c r="N3915" i="1"/>
  <c r="A3916" i="1"/>
  <c r="B3916" i="1"/>
  <c r="F3916" i="1"/>
  <c r="G3916" i="1"/>
  <c r="H3916" i="1"/>
  <c r="I3916" i="1"/>
  <c r="J3916" i="1"/>
  <c r="K3916" i="1"/>
  <c r="L3916" i="1"/>
  <c r="M3916" i="1"/>
  <c r="N3916" i="1"/>
  <c r="A3917" i="1"/>
  <c r="B3917" i="1"/>
  <c r="F3917" i="1"/>
  <c r="G3917" i="1"/>
  <c r="H3917" i="1"/>
  <c r="I3917" i="1"/>
  <c r="J3917" i="1"/>
  <c r="K3917" i="1"/>
  <c r="L3917" i="1"/>
  <c r="M3917" i="1"/>
  <c r="N3917" i="1"/>
  <c r="A3918" i="1"/>
  <c r="B3918" i="1"/>
  <c r="F3918" i="1"/>
  <c r="G3918" i="1"/>
  <c r="H3918" i="1"/>
  <c r="I3918" i="1"/>
  <c r="J3918" i="1"/>
  <c r="K3918" i="1"/>
  <c r="L3918" i="1"/>
  <c r="M3918" i="1"/>
  <c r="N3918" i="1"/>
  <c r="A3919" i="1"/>
  <c r="B3919" i="1"/>
  <c r="F3919" i="1"/>
  <c r="G3919" i="1"/>
  <c r="H3919" i="1"/>
  <c r="I3919" i="1"/>
  <c r="J3919" i="1"/>
  <c r="K3919" i="1"/>
  <c r="L3919" i="1"/>
  <c r="M3919" i="1"/>
  <c r="N3919" i="1"/>
  <c r="A3920" i="1"/>
  <c r="B3920" i="1"/>
  <c r="F3920" i="1"/>
  <c r="G3920" i="1"/>
  <c r="H3920" i="1"/>
  <c r="I3920" i="1"/>
  <c r="J3920" i="1"/>
  <c r="K3920" i="1"/>
  <c r="L3920" i="1"/>
  <c r="M3920" i="1"/>
  <c r="N3920" i="1"/>
  <c r="A3921" i="1"/>
  <c r="B3921" i="1"/>
  <c r="F3921" i="1"/>
  <c r="G3921" i="1"/>
  <c r="H3921" i="1"/>
  <c r="I3921" i="1"/>
  <c r="J3921" i="1"/>
  <c r="K3921" i="1"/>
  <c r="L3921" i="1"/>
  <c r="M3921" i="1"/>
  <c r="N3921" i="1"/>
  <c r="A3922" i="1"/>
  <c r="B3922" i="1"/>
  <c r="F3922" i="1"/>
  <c r="G3922" i="1"/>
  <c r="H3922" i="1"/>
  <c r="I3922" i="1"/>
  <c r="J3922" i="1"/>
  <c r="K3922" i="1"/>
  <c r="L3922" i="1"/>
  <c r="M3922" i="1"/>
  <c r="N3922" i="1"/>
  <c r="A3923" i="1"/>
  <c r="B3923" i="1"/>
  <c r="F3923" i="1"/>
  <c r="G3923" i="1"/>
  <c r="H3923" i="1"/>
  <c r="I3923" i="1"/>
  <c r="J3923" i="1"/>
  <c r="K3923" i="1"/>
  <c r="L3923" i="1"/>
  <c r="M3923" i="1"/>
  <c r="N3923" i="1"/>
  <c r="A3924" i="1"/>
  <c r="B3924" i="1"/>
  <c r="F3924" i="1"/>
  <c r="G3924" i="1"/>
  <c r="H3924" i="1"/>
  <c r="I3924" i="1"/>
  <c r="J3924" i="1"/>
  <c r="K3924" i="1"/>
  <c r="L3924" i="1"/>
  <c r="M3924" i="1"/>
  <c r="N3924" i="1"/>
  <c r="A3925" i="1"/>
  <c r="B3925" i="1"/>
  <c r="F3925" i="1"/>
  <c r="G3925" i="1"/>
  <c r="H3925" i="1"/>
  <c r="I3925" i="1"/>
  <c r="J3925" i="1"/>
  <c r="K3925" i="1"/>
  <c r="L3925" i="1"/>
  <c r="M3925" i="1"/>
  <c r="N3925" i="1"/>
  <c r="A3926" i="1"/>
  <c r="B3926" i="1"/>
  <c r="F3926" i="1"/>
  <c r="G3926" i="1"/>
  <c r="H3926" i="1"/>
  <c r="I3926" i="1"/>
  <c r="J3926" i="1"/>
  <c r="K3926" i="1"/>
  <c r="L3926" i="1"/>
  <c r="M3926" i="1"/>
  <c r="N3926" i="1"/>
  <c r="A3927" i="1"/>
  <c r="B3927" i="1"/>
  <c r="F3927" i="1"/>
  <c r="G3927" i="1"/>
  <c r="H3927" i="1"/>
  <c r="I3927" i="1"/>
  <c r="J3927" i="1"/>
  <c r="K3927" i="1"/>
  <c r="L3927" i="1"/>
  <c r="M3927" i="1"/>
  <c r="N3927" i="1"/>
  <c r="A3928" i="1"/>
  <c r="B3928" i="1"/>
  <c r="F3928" i="1"/>
  <c r="G3928" i="1"/>
  <c r="H3928" i="1"/>
  <c r="I3928" i="1"/>
  <c r="J3928" i="1"/>
  <c r="K3928" i="1"/>
  <c r="L3928" i="1"/>
  <c r="M3928" i="1"/>
  <c r="N3928" i="1"/>
  <c r="A3929" i="1"/>
  <c r="B3929" i="1"/>
  <c r="F3929" i="1"/>
  <c r="G3929" i="1"/>
  <c r="H3929" i="1"/>
  <c r="I3929" i="1"/>
  <c r="J3929" i="1"/>
  <c r="K3929" i="1"/>
  <c r="L3929" i="1"/>
  <c r="M3929" i="1"/>
  <c r="N3929" i="1"/>
  <c r="A3930" i="1"/>
  <c r="B3930" i="1"/>
  <c r="F3930" i="1"/>
  <c r="G3930" i="1"/>
  <c r="H3930" i="1"/>
  <c r="I3930" i="1"/>
  <c r="J3930" i="1"/>
  <c r="K3930" i="1"/>
  <c r="L3930" i="1"/>
  <c r="M3930" i="1"/>
  <c r="N3930" i="1"/>
  <c r="A3931" i="1"/>
  <c r="B3931" i="1"/>
  <c r="F3931" i="1"/>
  <c r="G3931" i="1"/>
  <c r="H3931" i="1"/>
  <c r="I3931" i="1"/>
  <c r="J3931" i="1"/>
  <c r="K3931" i="1"/>
  <c r="L3931" i="1"/>
  <c r="M3931" i="1"/>
  <c r="N3931" i="1"/>
  <c r="A3932" i="1"/>
  <c r="B3932" i="1"/>
  <c r="F3932" i="1"/>
  <c r="G3932" i="1"/>
  <c r="H3932" i="1"/>
  <c r="I3932" i="1"/>
  <c r="J3932" i="1"/>
  <c r="K3932" i="1"/>
  <c r="L3932" i="1"/>
  <c r="M3932" i="1"/>
  <c r="N3932" i="1"/>
  <c r="A3933" i="1"/>
  <c r="B3933" i="1"/>
  <c r="F3933" i="1"/>
  <c r="G3933" i="1"/>
  <c r="H3933" i="1"/>
  <c r="I3933" i="1"/>
  <c r="J3933" i="1"/>
  <c r="K3933" i="1"/>
  <c r="L3933" i="1"/>
  <c r="M3933" i="1"/>
  <c r="N3933" i="1"/>
  <c r="A3934" i="1"/>
  <c r="B3934" i="1"/>
  <c r="F3934" i="1"/>
  <c r="G3934" i="1"/>
  <c r="H3934" i="1"/>
  <c r="I3934" i="1"/>
  <c r="J3934" i="1"/>
  <c r="K3934" i="1"/>
  <c r="L3934" i="1"/>
  <c r="M3934" i="1"/>
  <c r="N3934" i="1"/>
  <c r="A3935" i="1"/>
  <c r="B3935" i="1"/>
  <c r="F3935" i="1"/>
  <c r="G3935" i="1"/>
  <c r="H3935" i="1"/>
  <c r="I3935" i="1"/>
  <c r="J3935" i="1"/>
  <c r="K3935" i="1"/>
  <c r="L3935" i="1"/>
  <c r="M3935" i="1"/>
  <c r="N3935" i="1"/>
  <c r="A3936" i="1"/>
  <c r="B3936" i="1"/>
  <c r="F3936" i="1"/>
  <c r="G3936" i="1"/>
  <c r="H3936" i="1"/>
  <c r="I3936" i="1"/>
  <c r="J3936" i="1"/>
  <c r="K3936" i="1"/>
  <c r="L3936" i="1"/>
  <c r="M3936" i="1"/>
  <c r="N3936" i="1"/>
  <c r="A3937" i="1"/>
  <c r="B3937" i="1"/>
  <c r="F3937" i="1"/>
  <c r="G3937" i="1"/>
  <c r="H3937" i="1"/>
  <c r="I3937" i="1"/>
  <c r="J3937" i="1"/>
  <c r="K3937" i="1"/>
  <c r="L3937" i="1"/>
  <c r="M3937" i="1"/>
  <c r="N3937" i="1"/>
  <c r="A3938" i="1"/>
  <c r="B3938" i="1"/>
  <c r="F3938" i="1"/>
  <c r="G3938" i="1"/>
  <c r="H3938" i="1"/>
  <c r="I3938" i="1"/>
  <c r="J3938" i="1"/>
  <c r="K3938" i="1"/>
  <c r="L3938" i="1"/>
  <c r="M3938" i="1"/>
  <c r="N3938" i="1"/>
  <c r="A3939" i="1"/>
  <c r="B3939" i="1"/>
  <c r="F3939" i="1"/>
  <c r="G3939" i="1"/>
  <c r="H3939" i="1"/>
  <c r="I3939" i="1"/>
  <c r="J3939" i="1"/>
  <c r="K3939" i="1"/>
  <c r="L3939" i="1"/>
  <c r="M3939" i="1"/>
  <c r="N3939" i="1"/>
  <c r="A3940" i="1"/>
  <c r="B3940" i="1"/>
  <c r="F3940" i="1"/>
  <c r="G3940" i="1"/>
  <c r="H3940" i="1"/>
  <c r="I3940" i="1"/>
  <c r="J3940" i="1"/>
  <c r="K3940" i="1"/>
  <c r="L3940" i="1"/>
  <c r="M3940" i="1"/>
  <c r="N3940" i="1"/>
  <c r="A3941" i="1"/>
  <c r="B3941" i="1"/>
  <c r="F3941" i="1"/>
  <c r="G3941" i="1"/>
  <c r="H3941" i="1"/>
  <c r="I3941" i="1"/>
  <c r="J3941" i="1"/>
  <c r="K3941" i="1"/>
  <c r="L3941" i="1"/>
  <c r="M3941" i="1"/>
  <c r="N3941" i="1"/>
  <c r="A3942" i="1"/>
  <c r="B3942" i="1"/>
  <c r="F3942" i="1"/>
  <c r="G3942" i="1"/>
  <c r="H3942" i="1"/>
  <c r="I3942" i="1"/>
  <c r="J3942" i="1"/>
  <c r="K3942" i="1"/>
  <c r="L3942" i="1"/>
  <c r="M3942" i="1"/>
  <c r="N3942" i="1"/>
  <c r="A3943" i="1"/>
  <c r="B3943" i="1"/>
  <c r="F3943" i="1"/>
  <c r="G3943" i="1"/>
  <c r="H3943" i="1"/>
  <c r="I3943" i="1"/>
  <c r="J3943" i="1"/>
  <c r="K3943" i="1"/>
  <c r="L3943" i="1"/>
  <c r="M3943" i="1"/>
  <c r="N3943" i="1"/>
  <c r="A3944" i="1"/>
  <c r="B3944" i="1"/>
  <c r="F3944" i="1"/>
  <c r="G3944" i="1"/>
  <c r="H3944" i="1"/>
  <c r="I3944" i="1"/>
  <c r="J3944" i="1"/>
  <c r="K3944" i="1"/>
  <c r="L3944" i="1"/>
  <c r="M3944" i="1"/>
  <c r="N3944" i="1"/>
  <c r="A3945" i="1"/>
  <c r="B3945" i="1"/>
  <c r="F3945" i="1"/>
  <c r="G3945" i="1"/>
  <c r="H3945" i="1"/>
  <c r="I3945" i="1"/>
  <c r="J3945" i="1"/>
  <c r="K3945" i="1"/>
  <c r="L3945" i="1"/>
  <c r="M3945" i="1"/>
  <c r="N3945" i="1"/>
  <c r="A3946" i="1"/>
  <c r="B3946" i="1"/>
  <c r="F3946" i="1"/>
  <c r="G3946" i="1"/>
  <c r="H3946" i="1"/>
  <c r="I3946" i="1"/>
  <c r="J3946" i="1"/>
  <c r="K3946" i="1"/>
  <c r="L3946" i="1"/>
  <c r="M3946" i="1"/>
  <c r="N3946" i="1"/>
  <c r="A3947" i="1"/>
  <c r="B3947" i="1"/>
  <c r="F3947" i="1"/>
  <c r="G3947" i="1"/>
  <c r="H3947" i="1"/>
  <c r="I3947" i="1"/>
  <c r="J3947" i="1"/>
  <c r="K3947" i="1"/>
  <c r="L3947" i="1"/>
  <c r="M3947" i="1"/>
  <c r="N3947" i="1"/>
  <c r="A3948" i="1"/>
  <c r="B3948" i="1"/>
  <c r="F3948" i="1"/>
  <c r="G3948" i="1"/>
  <c r="H3948" i="1"/>
  <c r="I3948" i="1"/>
  <c r="J3948" i="1"/>
  <c r="K3948" i="1"/>
  <c r="L3948" i="1"/>
  <c r="M3948" i="1"/>
  <c r="N3948" i="1"/>
  <c r="A3949" i="1"/>
  <c r="B3949" i="1"/>
  <c r="F3949" i="1"/>
  <c r="G3949" i="1"/>
  <c r="H3949" i="1"/>
  <c r="I3949" i="1"/>
  <c r="J3949" i="1"/>
  <c r="K3949" i="1"/>
  <c r="L3949" i="1"/>
  <c r="M3949" i="1"/>
  <c r="N3949" i="1"/>
  <c r="A3950" i="1"/>
  <c r="B3950" i="1"/>
  <c r="F3950" i="1"/>
  <c r="G3950" i="1"/>
  <c r="H3950" i="1"/>
  <c r="I3950" i="1"/>
  <c r="J3950" i="1"/>
  <c r="K3950" i="1"/>
  <c r="L3950" i="1"/>
  <c r="M3950" i="1"/>
  <c r="N3950" i="1"/>
  <c r="A3951" i="1"/>
  <c r="B3951" i="1"/>
  <c r="F3951" i="1"/>
  <c r="G3951" i="1"/>
  <c r="H3951" i="1"/>
  <c r="I3951" i="1"/>
  <c r="J3951" i="1"/>
  <c r="K3951" i="1"/>
  <c r="L3951" i="1"/>
  <c r="M3951" i="1"/>
  <c r="N3951" i="1"/>
  <c r="A3952" i="1"/>
  <c r="B3952" i="1"/>
  <c r="F3952" i="1"/>
  <c r="G3952" i="1"/>
  <c r="H3952" i="1"/>
  <c r="I3952" i="1"/>
  <c r="J3952" i="1"/>
  <c r="K3952" i="1"/>
  <c r="L3952" i="1"/>
  <c r="M3952" i="1"/>
  <c r="N3952" i="1"/>
  <c r="A3953" i="1"/>
  <c r="B3953" i="1"/>
  <c r="F3953" i="1"/>
  <c r="G3953" i="1"/>
  <c r="H3953" i="1"/>
  <c r="I3953" i="1"/>
  <c r="J3953" i="1"/>
  <c r="K3953" i="1"/>
  <c r="L3953" i="1"/>
  <c r="M3953" i="1"/>
  <c r="N3953" i="1"/>
  <c r="A3954" i="1"/>
  <c r="B3954" i="1"/>
  <c r="F3954" i="1"/>
  <c r="G3954" i="1"/>
  <c r="H3954" i="1"/>
  <c r="I3954" i="1"/>
  <c r="J3954" i="1"/>
  <c r="K3954" i="1"/>
  <c r="L3954" i="1"/>
  <c r="M3954" i="1"/>
  <c r="N3954" i="1"/>
  <c r="A3955" i="1"/>
  <c r="B3955" i="1"/>
  <c r="F3955" i="1"/>
  <c r="G3955" i="1"/>
  <c r="H3955" i="1"/>
  <c r="I3955" i="1"/>
  <c r="J3955" i="1"/>
  <c r="K3955" i="1"/>
  <c r="L3955" i="1"/>
  <c r="M3955" i="1"/>
  <c r="N3955" i="1"/>
  <c r="A3956" i="1"/>
  <c r="B3956" i="1"/>
  <c r="F3956" i="1"/>
  <c r="G3956" i="1"/>
  <c r="H3956" i="1"/>
  <c r="I3956" i="1"/>
  <c r="J3956" i="1"/>
  <c r="K3956" i="1"/>
  <c r="L3956" i="1"/>
  <c r="M3956" i="1"/>
  <c r="N3956" i="1"/>
  <c r="A3957" i="1"/>
  <c r="B3957" i="1"/>
  <c r="F3957" i="1"/>
  <c r="G3957" i="1"/>
  <c r="H3957" i="1"/>
  <c r="I3957" i="1"/>
  <c r="J3957" i="1"/>
  <c r="K3957" i="1"/>
  <c r="L3957" i="1"/>
  <c r="M3957" i="1"/>
  <c r="N3957" i="1"/>
  <c r="A3958" i="1"/>
  <c r="B3958" i="1"/>
  <c r="F3958" i="1"/>
  <c r="G3958" i="1"/>
  <c r="H3958" i="1"/>
  <c r="I3958" i="1"/>
  <c r="J3958" i="1"/>
  <c r="K3958" i="1"/>
  <c r="L3958" i="1"/>
  <c r="M3958" i="1"/>
  <c r="N3958" i="1"/>
  <c r="A3959" i="1"/>
  <c r="B3959" i="1"/>
  <c r="F3959" i="1"/>
  <c r="G3959" i="1"/>
  <c r="H3959" i="1"/>
  <c r="I3959" i="1"/>
  <c r="J3959" i="1"/>
  <c r="K3959" i="1"/>
  <c r="L3959" i="1"/>
  <c r="M3959" i="1"/>
  <c r="N3959" i="1"/>
  <c r="A3960" i="1"/>
  <c r="B3960" i="1"/>
  <c r="F3960" i="1"/>
  <c r="G3960" i="1"/>
  <c r="H3960" i="1"/>
  <c r="I3960" i="1"/>
  <c r="J3960" i="1"/>
  <c r="K3960" i="1"/>
  <c r="L3960" i="1"/>
  <c r="M3960" i="1"/>
  <c r="N3960" i="1"/>
  <c r="A3961" i="1"/>
  <c r="B3961" i="1"/>
  <c r="F3961" i="1"/>
  <c r="G3961" i="1"/>
  <c r="H3961" i="1"/>
  <c r="I3961" i="1"/>
  <c r="J3961" i="1"/>
  <c r="K3961" i="1"/>
  <c r="L3961" i="1"/>
  <c r="M3961" i="1"/>
  <c r="N3961" i="1"/>
  <c r="A3962" i="1"/>
  <c r="B3962" i="1"/>
  <c r="F3962" i="1"/>
  <c r="G3962" i="1"/>
  <c r="H3962" i="1"/>
  <c r="I3962" i="1"/>
  <c r="J3962" i="1"/>
  <c r="K3962" i="1"/>
  <c r="L3962" i="1"/>
  <c r="M3962" i="1"/>
  <c r="N3962" i="1"/>
  <c r="A3963" i="1"/>
  <c r="B3963" i="1"/>
  <c r="F3963" i="1"/>
  <c r="G3963" i="1"/>
  <c r="H3963" i="1"/>
  <c r="I3963" i="1"/>
  <c r="J3963" i="1"/>
  <c r="K3963" i="1"/>
  <c r="L3963" i="1"/>
  <c r="M3963" i="1"/>
  <c r="N3963" i="1"/>
  <c r="A3964" i="1"/>
  <c r="B3964" i="1"/>
  <c r="F3964" i="1"/>
  <c r="G3964" i="1"/>
  <c r="H3964" i="1"/>
  <c r="I3964" i="1"/>
  <c r="J3964" i="1"/>
  <c r="K3964" i="1"/>
  <c r="L3964" i="1"/>
  <c r="M3964" i="1"/>
  <c r="N3964" i="1"/>
  <c r="A3965" i="1"/>
  <c r="B3965" i="1"/>
  <c r="F3965" i="1"/>
  <c r="G3965" i="1"/>
  <c r="H3965" i="1"/>
  <c r="I3965" i="1"/>
  <c r="J3965" i="1"/>
  <c r="K3965" i="1"/>
  <c r="L3965" i="1"/>
  <c r="M3965" i="1"/>
  <c r="N3965" i="1"/>
  <c r="A3966" i="1"/>
  <c r="B3966" i="1"/>
  <c r="F3966" i="1"/>
  <c r="G3966" i="1"/>
  <c r="H3966" i="1"/>
  <c r="I3966" i="1"/>
  <c r="J3966" i="1"/>
  <c r="K3966" i="1"/>
  <c r="L3966" i="1"/>
  <c r="M3966" i="1"/>
  <c r="N3966" i="1"/>
  <c r="A3967" i="1"/>
  <c r="B3967" i="1"/>
  <c r="F3967" i="1"/>
  <c r="G3967" i="1"/>
  <c r="H3967" i="1"/>
  <c r="I3967" i="1"/>
  <c r="J3967" i="1"/>
  <c r="K3967" i="1"/>
  <c r="L3967" i="1"/>
  <c r="M3967" i="1"/>
  <c r="N3967" i="1"/>
  <c r="A3968" i="1"/>
  <c r="B3968" i="1"/>
  <c r="F3968" i="1"/>
  <c r="G3968" i="1"/>
  <c r="H3968" i="1"/>
  <c r="I3968" i="1"/>
  <c r="J3968" i="1"/>
  <c r="K3968" i="1"/>
  <c r="L3968" i="1"/>
  <c r="M3968" i="1"/>
  <c r="N3968" i="1"/>
  <c r="A3969" i="1"/>
  <c r="B3969" i="1"/>
  <c r="F3969" i="1"/>
  <c r="G3969" i="1"/>
  <c r="H3969" i="1"/>
  <c r="I3969" i="1"/>
  <c r="J3969" i="1"/>
  <c r="K3969" i="1"/>
  <c r="L3969" i="1"/>
  <c r="M3969" i="1"/>
  <c r="N3969" i="1"/>
  <c r="A3970" i="1"/>
  <c r="B3970" i="1"/>
  <c r="F3970" i="1"/>
  <c r="G3970" i="1"/>
  <c r="H3970" i="1"/>
  <c r="I3970" i="1"/>
  <c r="J3970" i="1"/>
  <c r="K3970" i="1"/>
  <c r="L3970" i="1"/>
  <c r="M3970" i="1"/>
  <c r="N3970" i="1"/>
  <c r="A3971" i="1"/>
  <c r="B3971" i="1"/>
  <c r="F3971" i="1"/>
  <c r="G3971" i="1"/>
  <c r="H3971" i="1"/>
  <c r="I3971" i="1"/>
  <c r="J3971" i="1"/>
  <c r="K3971" i="1"/>
  <c r="L3971" i="1"/>
  <c r="M3971" i="1"/>
  <c r="N3971" i="1"/>
  <c r="A3972" i="1"/>
  <c r="B3972" i="1"/>
  <c r="F3972" i="1"/>
  <c r="G3972" i="1"/>
  <c r="H3972" i="1"/>
  <c r="I3972" i="1"/>
  <c r="J3972" i="1"/>
  <c r="K3972" i="1"/>
  <c r="L3972" i="1"/>
  <c r="M3972" i="1"/>
  <c r="N3972" i="1"/>
  <c r="A3973" i="1"/>
  <c r="B3973" i="1"/>
  <c r="F3973" i="1"/>
  <c r="G3973" i="1"/>
  <c r="H3973" i="1"/>
  <c r="I3973" i="1"/>
  <c r="J3973" i="1"/>
  <c r="K3973" i="1"/>
  <c r="L3973" i="1"/>
  <c r="M3973" i="1"/>
  <c r="N3973" i="1"/>
  <c r="A3974" i="1"/>
  <c r="B3974" i="1"/>
  <c r="F3974" i="1"/>
  <c r="G3974" i="1"/>
  <c r="H3974" i="1"/>
  <c r="I3974" i="1"/>
  <c r="J3974" i="1"/>
  <c r="K3974" i="1"/>
  <c r="L3974" i="1"/>
  <c r="M3974" i="1"/>
  <c r="N3974" i="1"/>
  <c r="A3975" i="1"/>
  <c r="B3975" i="1"/>
  <c r="F3975" i="1"/>
  <c r="G3975" i="1"/>
  <c r="H3975" i="1"/>
  <c r="I3975" i="1"/>
  <c r="J3975" i="1"/>
  <c r="K3975" i="1"/>
  <c r="L3975" i="1"/>
  <c r="M3975" i="1"/>
  <c r="N3975" i="1"/>
  <c r="A3976" i="1"/>
  <c r="B3976" i="1"/>
  <c r="F3976" i="1"/>
  <c r="G3976" i="1"/>
  <c r="H3976" i="1"/>
  <c r="I3976" i="1"/>
  <c r="J3976" i="1"/>
  <c r="K3976" i="1"/>
  <c r="L3976" i="1"/>
  <c r="M3976" i="1"/>
  <c r="N3976" i="1"/>
  <c r="A3977" i="1"/>
  <c r="B3977" i="1"/>
  <c r="F3977" i="1"/>
  <c r="G3977" i="1"/>
  <c r="H3977" i="1"/>
  <c r="I3977" i="1"/>
  <c r="J3977" i="1"/>
  <c r="K3977" i="1"/>
  <c r="L3977" i="1"/>
  <c r="M3977" i="1"/>
  <c r="N3977" i="1"/>
  <c r="A3978" i="1"/>
  <c r="B3978" i="1"/>
  <c r="F3978" i="1"/>
  <c r="G3978" i="1"/>
  <c r="H3978" i="1"/>
  <c r="I3978" i="1"/>
  <c r="J3978" i="1"/>
  <c r="K3978" i="1"/>
  <c r="L3978" i="1"/>
  <c r="M3978" i="1"/>
  <c r="N3978" i="1"/>
  <c r="A3979" i="1"/>
  <c r="B3979" i="1"/>
  <c r="F3979" i="1"/>
  <c r="G3979" i="1"/>
  <c r="H3979" i="1"/>
  <c r="I3979" i="1"/>
  <c r="J3979" i="1"/>
  <c r="K3979" i="1"/>
  <c r="L3979" i="1"/>
  <c r="M3979" i="1"/>
  <c r="N3979" i="1"/>
  <c r="A3980" i="1"/>
  <c r="B3980" i="1"/>
  <c r="F3980" i="1"/>
  <c r="G3980" i="1"/>
  <c r="H3980" i="1"/>
  <c r="I3980" i="1"/>
  <c r="J3980" i="1"/>
  <c r="K3980" i="1"/>
  <c r="L3980" i="1"/>
  <c r="M3980" i="1"/>
  <c r="N3980" i="1"/>
  <c r="A3981" i="1"/>
  <c r="B3981" i="1"/>
  <c r="F3981" i="1"/>
  <c r="G3981" i="1"/>
  <c r="H3981" i="1"/>
  <c r="I3981" i="1"/>
  <c r="J3981" i="1"/>
  <c r="K3981" i="1"/>
  <c r="L3981" i="1"/>
  <c r="M3981" i="1"/>
  <c r="N3981" i="1"/>
  <c r="A3982" i="1"/>
  <c r="B3982" i="1"/>
  <c r="F3982" i="1"/>
  <c r="G3982" i="1"/>
  <c r="H3982" i="1"/>
  <c r="I3982" i="1"/>
  <c r="J3982" i="1"/>
  <c r="K3982" i="1"/>
  <c r="L3982" i="1"/>
  <c r="M3982" i="1"/>
  <c r="N3982" i="1"/>
  <c r="A3983" i="1"/>
  <c r="B3983" i="1"/>
  <c r="F3983" i="1"/>
  <c r="G3983" i="1"/>
  <c r="H3983" i="1"/>
  <c r="I3983" i="1"/>
  <c r="J3983" i="1"/>
  <c r="K3983" i="1"/>
  <c r="L3983" i="1"/>
  <c r="M3983" i="1"/>
  <c r="N3983" i="1"/>
  <c r="A3984" i="1"/>
  <c r="B3984" i="1"/>
  <c r="F3984" i="1"/>
  <c r="G3984" i="1"/>
  <c r="H3984" i="1"/>
  <c r="I3984" i="1"/>
  <c r="J3984" i="1"/>
  <c r="K3984" i="1"/>
  <c r="L3984" i="1"/>
  <c r="M3984" i="1"/>
  <c r="N3984" i="1"/>
  <c r="A3985" i="1"/>
  <c r="B3985" i="1"/>
  <c r="F3985" i="1"/>
  <c r="G3985" i="1"/>
  <c r="H3985" i="1"/>
  <c r="I3985" i="1"/>
  <c r="J3985" i="1"/>
  <c r="K3985" i="1"/>
  <c r="L3985" i="1"/>
  <c r="M3985" i="1"/>
  <c r="N3985" i="1"/>
  <c r="A3986" i="1"/>
  <c r="B3986" i="1"/>
  <c r="F3986" i="1"/>
  <c r="G3986" i="1"/>
  <c r="H3986" i="1"/>
  <c r="I3986" i="1"/>
  <c r="J3986" i="1"/>
  <c r="K3986" i="1"/>
  <c r="L3986" i="1"/>
  <c r="M3986" i="1"/>
  <c r="N3986" i="1"/>
  <c r="A3987" i="1"/>
  <c r="B3987" i="1"/>
  <c r="F3987" i="1"/>
  <c r="G3987" i="1"/>
  <c r="H3987" i="1"/>
  <c r="I3987" i="1"/>
  <c r="J3987" i="1"/>
  <c r="K3987" i="1"/>
  <c r="L3987" i="1"/>
  <c r="M3987" i="1"/>
  <c r="N3987" i="1"/>
  <c r="A3988" i="1"/>
  <c r="B3988" i="1"/>
  <c r="F3988" i="1"/>
  <c r="G3988" i="1"/>
  <c r="H3988" i="1"/>
  <c r="I3988" i="1"/>
  <c r="J3988" i="1"/>
  <c r="K3988" i="1"/>
  <c r="L3988" i="1"/>
  <c r="M3988" i="1"/>
  <c r="N3988" i="1"/>
  <c r="A3989" i="1"/>
  <c r="B3989" i="1"/>
  <c r="F3989" i="1"/>
  <c r="G3989" i="1"/>
  <c r="H3989" i="1"/>
  <c r="I3989" i="1"/>
  <c r="J3989" i="1"/>
  <c r="K3989" i="1"/>
  <c r="L3989" i="1"/>
  <c r="M3989" i="1"/>
  <c r="N3989" i="1"/>
  <c r="A3990" i="1"/>
  <c r="B3990" i="1"/>
  <c r="F3990" i="1"/>
  <c r="G3990" i="1"/>
  <c r="H3990" i="1"/>
  <c r="I3990" i="1"/>
  <c r="J3990" i="1"/>
  <c r="K3990" i="1"/>
  <c r="L3990" i="1"/>
  <c r="M3990" i="1"/>
  <c r="N3990" i="1"/>
  <c r="A3991" i="1"/>
  <c r="B3991" i="1"/>
  <c r="F3991" i="1"/>
  <c r="G3991" i="1"/>
  <c r="H3991" i="1"/>
  <c r="I3991" i="1"/>
  <c r="J3991" i="1"/>
  <c r="K3991" i="1"/>
  <c r="L3991" i="1"/>
  <c r="M3991" i="1"/>
  <c r="N3991" i="1"/>
  <c r="A3992" i="1"/>
  <c r="B3992" i="1"/>
  <c r="F3992" i="1"/>
  <c r="G3992" i="1"/>
  <c r="H3992" i="1"/>
  <c r="I3992" i="1"/>
  <c r="J3992" i="1"/>
  <c r="K3992" i="1"/>
  <c r="L3992" i="1"/>
  <c r="M3992" i="1"/>
  <c r="N3992" i="1"/>
  <c r="A3993" i="1"/>
  <c r="B3993" i="1"/>
  <c r="F3993" i="1"/>
  <c r="G3993" i="1"/>
  <c r="H3993" i="1"/>
  <c r="I3993" i="1"/>
  <c r="J3993" i="1"/>
  <c r="K3993" i="1"/>
  <c r="L3993" i="1"/>
  <c r="M3993" i="1"/>
  <c r="N3993" i="1"/>
  <c r="A3994" i="1"/>
  <c r="B3994" i="1"/>
  <c r="F3994" i="1"/>
  <c r="G3994" i="1"/>
  <c r="H3994" i="1"/>
  <c r="I3994" i="1"/>
  <c r="J3994" i="1"/>
  <c r="K3994" i="1"/>
  <c r="L3994" i="1"/>
  <c r="M3994" i="1"/>
  <c r="N3994" i="1"/>
  <c r="A3995" i="1"/>
  <c r="B3995" i="1"/>
  <c r="F3995" i="1"/>
  <c r="G3995" i="1"/>
  <c r="H3995" i="1"/>
  <c r="I3995" i="1"/>
  <c r="J3995" i="1"/>
  <c r="K3995" i="1"/>
  <c r="L3995" i="1"/>
  <c r="M3995" i="1"/>
  <c r="N3995" i="1"/>
  <c r="A3996" i="1"/>
  <c r="B3996" i="1"/>
  <c r="F3996" i="1"/>
  <c r="G3996" i="1"/>
  <c r="H3996" i="1"/>
  <c r="I3996" i="1"/>
  <c r="J3996" i="1"/>
  <c r="K3996" i="1"/>
  <c r="L3996" i="1"/>
  <c r="M3996" i="1"/>
  <c r="N3996" i="1"/>
  <c r="A3997" i="1"/>
  <c r="B3997" i="1"/>
  <c r="F3997" i="1"/>
  <c r="G3997" i="1"/>
  <c r="H3997" i="1"/>
  <c r="I3997" i="1"/>
  <c r="J3997" i="1"/>
  <c r="K3997" i="1"/>
  <c r="L3997" i="1"/>
  <c r="M3997" i="1"/>
  <c r="N3997" i="1"/>
  <c r="A3998" i="1"/>
  <c r="B3998" i="1"/>
  <c r="F3998" i="1"/>
  <c r="G3998" i="1"/>
  <c r="H3998" i="1"/>
  <c r="I3998" i="1"/>
  <c r="J3998" i="1"/>
  <c r="K3998" i="1"/>
  <c r="L3998" i="1"/>
  <c r="M3998" i="1"/>
  <c r="N3998" i="1"/>
  <c r="A3999" i="1"/>
  <c r="B3999" i="1"/>
  <c r="F3999" i="1"/>
  <c r="G3999" i="1"/>
  <c r="H3999" i="1"/>
  <c r="I3999" i="1"/>
  <c r="J3999" i="1"/>
  <c r="K3999" i="1"/>
  <c r="L3999" i="1"/>
  <c r="M3999" i="1"/>
  <c r="N3999" i="1"/>
  <c r="A4000" i="1"/>
  <c r="B4000" i="1"/>
  <c r="F4000" i="1"/>
  <c r="G4000" i="1"/>
  <c r="H4000" i="1"/>
  <c r="I4000" i="1"/>
  <c r="J4000" i="1"/>
  <c r="K4000" i="1"/>
  <c r="L4000" i="1"/>
  <c r="M4000" i="1"/>
  <c r="N4000" i="1"/>
  <c r="A4001" i="1"/>
  <c r="B4001" i="1"/>
  <c r="F4001" i="1"/>
  <c r="G4001" i="1"/>
  <c r="H4001" i="1"/>
  <c r="I4001" i="1"/>
  <c r="J4001" i="1"/>
  <c r="K4001" i="1"/>
  <c r="L4001" i="1"/>
  <c r="M4001" i="1"/>
  <c r="N4001" i="1"/>
  <c r="A4002" i="1"/>
  <c r="B4002" i="1"/>
  <c r="F4002" i="1"/>
  <c r="G4002" i="1"/>
  <c r="H4002" i="1"/>
  <c r="I4002" i="1"/>
  <c r="J4002" i="1"/>
  <c r="K4002" i="1"/>
  <c r="L4002" i="1"/>
  <c r="M4002" i="1"/>
  <c r="N4002" i="1"/>
  <c r="A4003" i="1"/>
  <c r="B4003" i="1"/>
  <c r="F4003" i="1"/>
  <c r="G4003" i="1"/>
  <c r="H4003" i="1"/>
  <c r="I4003" i="1"/>
  <c r="J4003" i="1"/>
  <c r="K4003" i="1"/>
  <c r="L4003" i="1"/>
  <c r="M4003" i="1"/>
  <c r="N4003" i="1"/>
  <c r="A4004" i="1"/>
  <c r="B4004" i="1"/>
  <c r="F4004" i="1"/>
  <c r="G4004" i="1"/>
  <c r="H4004" i="1"/>
  <c r="I4004" i="1"/>
  <c r="J4004" i="1"/>
  <c r="K4004" i="1"/>
  <c r="L4004" i="1"/>
  <c r="M4004" i="1"/>
  <c r="N4004" i="1"/>
  <c r="A4005" i="1"/>
  <c r="B4005" i="1"/>
  <c r="F4005" i="1"/>
  <c r="G4005" i="1"/>
  <c r="H4005" i="1"/>
  <c r="I4005" i="1"/>
  <c r="J4005" i="1"/>
  <c r="K4005" i="1"/>
  <c r="L4005" i="1"/>
  <c r="M4005" i="1"/>
  <c r="N4005" i="1"/>
  <c r="A4006" i="1"/>
  <c r="B4006" i="1"/>
  <c r="F4006" i="1"/>
  <c r="G4006" i="1"/>
  <c r="H4006" i="1"/>
  <c r="I4006" i="1"/>
  <c r="J4006" i="1"/>
  <c r="K4006" i="1"/>
  <c r="L4006" i="1"/>
  <c r="M4006" i="1"/>
  <c r="N4006" i="1"/>
  <c r="A4007" i="1"/>
  <c r="B4007" i="1"/>
  <c r="F4007" i="1"/>
  <c r="G4007" i="1"/>
  <c r="H4007" i="1"/>
  <c r="I4007" i="1"/>
  <c r="J4007" i="1"/>
  <c r="K4007" i="1"/>
  <c r="L4007" i="1"/>
  <c r="M4007" i="1"/>
  <c r="N4007" i="1"/>
  <c r="A4008" i="1"/>
  <c r="B4008" i="1"/>
  <c r="F4008" i="1"/>
  <c r="G4008" i="1"/>
  <c r="H4008" i="1"/>
  <c r="I4008" i="1"/>
  <c r="J4008" i="1"/>
  <c r="K4008" i="1"/>
  <c r="L4008" i="1"/>
  <c r="M4008" i="1"/>
  <c r="N4008" i="1"/>
  <c r="A4009" i="1"/>
  <c r="B4009" i="1"/>
  <c r="F4009" i="1"/>
  <c r="G4009" i="1"/>
  <c r="H4009" i="1"/>
  <c r="I4009" i="1"/>
  <c r="J4009" i="1"/>
  <c r="K4009" i="1"/>
  <c r="L4009" i="1"/>
  <c r="M4009" i="1"/>
  <c r="N4009" i="1"/>
  <c r="A4010" i="1"/>
  <c r="B4010" i="1"/>
  <c r="F4010" i="1"/>
  <c r="G4010" i="1"/>
  <c r="H4010" i="1"/>
  <c r="I4010" i="1"/>
  <c r="J4010" i="1"/>
  <c r="K4010" i="1"/>
  <c r="L4010" i="1"/>
  <c r="M4010" i="1"/>
  <c r="N4010" i="1"/>
  <c r="A4011" i="1"/>
  <c r="B4011" i="1"/>
  <c r="F4011" i="1"/>
  <c r="G4011" i="1"/>
  <c r="H4011" i="1"/>
  <c r="I4011" i="1"/>
  <c r="J4011" i="1"/>
  <c r="K4011" i="1"/>
  <c r="L4011" i="1"/>
  <c r="M4011" i="1"/>
  <c r="N4011" i="1"/>
  <c r="A4012" i="1"/>
  <c r="B4012" i="1"/>
  <c r="F4012" i="1"/>
  <c r="G4012" i="1"/>
  <c r="H4012" i="1"/>
  <c r="I4012" i="1"/>
  <c r="J4012" i="1"/>
  <c r="K4012" i="1"/>
  <c r="L4012" i="1"/>
  <c r="M4012" i="1"/>
  <c r="N4012" i="1"/>
  <c r="A4013" i="1"/>
  <c r="B4013" i="1"/>
  <c r="F4013" i="1"/>
  <c r="G4013" i="1"/>
  <c r="H4013" i="1"/>
  <c r="I4013" i="1"/>
  <c r="J4013" i="1"/>
  <c r="K4013" i="1"/>
  <c r="L4013" i="1"/>
  <c r="M4013" i="1"/>
  <c r="N4013" i="1"/>
  <c r="A4014" i="1"/>
  <c r="B4014" i="1"/>
  <c r="F4014" i="1"/>
  <c r="G4014" i="1"/>
  <c r="H4014" i="1"/>
  <c r="I4014" i="1"/>
  <c r="J4014" i="1"/>
  <c r="K4014" i="1"/>
  <c r="L4014" i="1"/>
  <c r="M4014" i="1"/>
  <c r="N4014" i="1"/>
  <c r="A4015" i="1"/>
  <c r="B4015" i="1"/>
  <c r="F4015" i="1"/>
  <c r="G4015" i="1"/>
  <c r="H4015" i="1"/>
  <c r="I4015" i="1"/>
  <c r="J4015" i="1"/>
  <c r="K4015" i="1"/>
  <c r="L4015" i="1"/>
  <c r="M4015" i="1"/>
  <c r="N4015" i="1"/>
  <c r="A4016" i="1"/>
  <c r="B4016" i="1"/>
  <c r="F4016" i="1"/>
  <c r="G4016" i="1"/>
  <c r="H4016" i="1"/>
  <c r="I4016" i="1"/>
  <c r="J4016" i="1"/>
  <c r="K4016" i="1"/>
  <c r="L4016" i="1"/>
  <c r="M4016" i="1"/>
  <c r="N4016" i="1"/>
  <c r="A4017" i="1"/>
  <c r="B4017" i="1"/>
  <c r="F4017" i="1"/>
  <c r="G4017" i="1"/>
  <c r="H4017" i="1"/>
  <c r="I4017" i="1"/>
  <c r="J4017" i="1"/>
  <c r="K4017" i="1"/>
  <c r="L4017" i="1"/>
  <c r="M4017" i="1"/>
  <c r="N4017" i="1"/>
  <c r="A4018" i="1"/>
  <c r="B4018" i="1"/>
  <c r="F4018" i="1"/>
  <c r="G4018" i="1"/>
  <c r="H4018" i="1"/>
  <c r="I4018" i="1"/>
  <c r="J4018" i="1"/>
  <c r="K4018" i="1"/>
  <c r="L4018" i="1"/>
  <c r="M4018" i="1"/>
  <c r="N4018" i="1"/>
  <c r="A4019" i="1"/>
  <c r="B4019" i="1"/>
  <c r="F4019" i="1"/>
  <c r="G4019" i="1"/>
  <c r="H4019" i="1"/>
  <c r="I4019" i="1"/>
  <c r="J4019" i="1"/>
  <c r="K4019" i="1"/>
  <c r="L4019" i="1"/>
  <c r="M4019" i="1"/>
  <c r="N4019" i="1"/>
  <c r="A4020" i="1"/>
  <c r="B4020" i="1"/>
  <c r="F4020" i="1"/>
  <c r="G4020" i="1"/>
  <c r="H4020" i="1"/>
  <c r="I4020" i="1"/>
  <c r="J4020" i="1"/>
  <c r="K4020" i="1"/>
  <c r="L4020" i="1"/>
  <c r="M4020" i="1"/>
  <c r="N4020" i="1"/>
  <c r="A4021" i="1"/>
  <c r="B4021" i="1"/>
  <c r="F4021" i="1"/>
  <c r="G4021" i="1"/>
  <c r="H4021" i="1"/>
  <c r="I4021" i="1"/>
  <c r="J4021" i="1"/>
  <c r="K4021" i="1"/>
  <c r="L4021" i="1"/>
  <c r="M4021" i="1"/>
  <c r="N4021" i="1"/>
  <c r="A4022" i="1"/>
  <c r="B4022" i="1"/>
  <c r="F4022" i="1"/>
  <c r="G4022" i="1"/>
  <c r="H4022" i="1"/>
  <c r="I4022" i="1"/>
  <c r="J4022" i="1"/>
  <c r="K4022" i="1"/>
  <c r="L4022" i="1"/>
  <c r="M4022" i="1"/>
  <c r="N4022" i="1"/>
  <c r="A4023" i="1"/>
  <c r="B4023" i="1"/>
  <c r="F4023" i="1"/>
  <c r="G4023" i="1"/>
  <c r="H4023" i="1"/>
  <c r="I4023" i="1"/>
  <c r="J4023" i="1"/>
  <c r="K4023" i="1"/>
  <c r="L4023" i="1"/>
  <c r="M4023" i="1"/>
  <c r="N4023" i="1"/>
  <c r="A4024" i="1"/>
  <c r="B4024" i="1"/>
  <c r="F4024" i="1"/>
  <c r="G4024" i="1"/>
  <c r="H4024" i="1"/>
  <c r="I4024" i="1"/>
  <c r="J4024" i="1"/>
  <c r="K4024" i="1"/>
  <c r="L4024" i="1"/>
  <c r="M4024" i="1"/>
  <c r="N4024" i="1"/>
  <c r="A4025" i="1"/>
  <c r="B4025" i="1"/>
  <c r="F4025" i="1"/>
  <c r="G4025" i="1"/>
  <c r="H4025" i="1"/>
  <c r="I4025" i="1"/>
  <c r="J4025" i="1"/>
  <c r="K4025" i="1"/>
  <c r="L4025" i="1"/>
  <c r="M4025" i="1"/>
  <c r="N4025" i="1"/>
  <c r="A4026" i="1"/>
  <c r="B4026" i="1"/>
  <c r="F4026" i="1"/>
  <c r="G4026" i="1"/>
  <c r="H4026" i="1"/>
  <c r="I4026" i="1"/>
  <c r="J4026" i="1"/>
  <c r="K4026" i="1"/>
  <c r="L4026" i="1"/>
  <c r="M4026" i="1"/>
  <c r="N4026" i="1"/>
  <c r="A4027" i="1"/>
  <c r="B4027" i="1"/>
  <c r="F4027" i="1"/>
  <c r="G4027" i="1"/>
  <c r="H4027" i="1"/>
  <c r="I4027" i="1"/>
  <c r="J4027" i="1"/>
  <c r="K4027" i="1"/>
  <c r="L4027" i="1"/>
  <c r="M4027" i="1"/>
  <c r="N4027" i="1"/>
  <c r="A4028" i="1"/>
  <c r="B4028" i="1"/>
  <c r="F4028" i="1"/>
  <c r="G4028" i="1"/>
  <c r="H4028" i="1"/>
  <c r="I4028" i="1"/>
  <c r="J4028" i="1"/>
  <c r="K4028" i="1"/>
  <c r="L4028" i="1"/>
  <c r="M4028" i="1"/>
  <c r="N4028" i="1"/>
  <c r="A4029" i="1"/>
  <c r="B4029" i="1"/>
  <c r="F4029" i="1"/>
  <c r="G4029" i="1"/>
  <c r="H4029" i="1"/>
  <c r="I4029" i="1"/>
  <c r="J4029" i="1"/>
  <c r="K4029" i="1"/>
  <c r="L4029" i="1"/>
  <c r="M4029" i="1"/>
  <c r="N4029" i="1"/>
  <c r="A4030" i="1"/>
  <c r="B4030" i="1"/>
  <c r="F4030" i="1"/>
  <c r="G4030" i="1"/>
  <c r="H4030" i="1"/>
  <c r="I4030" i="1"/>
  <c r="J4030" i="1"/>
  <c r="K4030" i="1"/>
  <c r="L4030" i="1"/>
  <c r="M4030" i="1"/>
  <c r="N4030" i="1"/>
  <c r="A4031" i="1"/>
  <c r="B4031" i="1"/>
  <c r="F4031" i="1"/>
  <c r="G4031" i="1"/>
  <c r="H4031" i="1"/>
  <c r="I4031" i="1"/>
  <c r="J4031" i="1"/>
  <c r="K4031" i="1"/>
  <c r="L4031" i="1"/>
  <c r="M4031" i="1"/>
  <c r="N4031" i="1"/>
  <c r="A4032" i="1"/>
  <c r="B4032" i="1"/>
  <c r="F4032" i="1"/>
  <c r="G4032" i="1"/>
  <c r="H4032" i="1"/>
  <c r="I4032" i="1"/>
  <c r="J4032" i="1"/>
  <c r="K4032" i="1"/>
  <c r="L4032" i="1"/>
  <c r="M4032" i="1"/>
  <c r="N4032" i="1"/>
  <c r="A4033" i="1"/>
  <c r="B4033" i="1"/>
  <c r="F4033" i="1"/>
  <c r="G4033" i="1"/>
  <c r="H4033" i="1"/>
  <c r="I4033" i="1"/>
  <c r="J4033" i="1"/>
  <c r="K4033" i="1"/>
  <c r="L4033" i="1"/>
  <c r="M4033" i="1"/>
  <c r="N4033" i="1"/>
  <c r="A4034" i="1"/>
  <c r="B4034" i="1"/>
  <c r="F4034" i="1"/>
  <c r="G4034" i="1"/>
  <c r="H4034" i="1"/>
  <c r="I4034" i="1"/>
  <c r="J4034" i="1"/>
  <c r="K4034" i="1"/>
  <c r="L4034" i="1"/>
  <c r="M4034" i="1"/>
  <c r="N4034" i="1"/>
  <c r="A4035" i="1"/>
  <c r="B4035" i="1"/>
  <c r="F4035" i="1"/>
  <c r="G4035" i="1"/>
  <c r="H4035" i="1"/>
  <c r="I4035" i="1"/>
  <c r="J4035" i="1"/>
  <c r="K4035" i="1"/>
  <c r="L4035" i="1"/>
  <c r="M4035" i="1"/>
  <c r="N4035" i="1"/>
  <c r="A4036" i="1"/>
  <c r="B4036" i="1"/>
  <c r="F4036" i="1"/>
  <c r="G4036" i="1"/>
  <c r="H4036" i="1"/>
  <c r="I4036" i="1"/>
  <c r="J4036" i="1"/>
  <c r="K4036" i="1"/>
  <c r="L4036" i="1"/>
  <c r="M4036" i="1"/>
  <c r="N4036" i="1"/>
  <c r="A4037" i="1"/>
  <c r="B4037" i="1"/>
  <c r="F4037" i="1"/>
  <c r="G4037" i="1"/>
  <c r="H4037" i="1"/>
  <c r="I4037" i="1"/>
  <c r="J4037" i="1"/>
  <c r="K4037" i="1"/>
  <c r="L4037" i="1"/>
  <c r="M4037" i="1"/>
  <c r="N4037" i="1"/>
  <c r="A4038" i="1"/>
  <c r="B4038" i="1"/>
  <c r="F4038" i="1"/>
  <c r="G4038" i="1"/>
  <c r="H4038" i="1"/>
  <c r="I4038" i="1"/>
  <c r="J4038" i="1"/>
  <c r="K4038" i="1"/>
  <c r="L4038" i="1"/>
  <c r="M4038" i="1"/>
  <c r="N4038" i="1"/>
  <c r="A4039" i="1"/>
  <c r="B4039" i="1"/>
  <c r="F4039" i="1"/>
  <c r="G4039" i="1"/>
  <c r="H4039" i="1"/>
  <c r="I4039" i="1"/>
  <c r="J4039" i="1"/>
  <c r="K4039" i="1"/>
  <c r="L4039" i="1"/>
  <c r="M4039" i="1"/>
  <c r="N4039" i="1"/>
  <c r="A4040" i="1"/>
  <c r="B4040" i="1"/>
  <c r="F4040" i="1"/>
  <c r="G4040" i="1"/>
  <c r="H4040" i="1"/>
  <c r="I4040" i="1"/>
  <c r="J4040" i="1"/>
  <c r="K4040" i="1"/>
  <c r="L4040" i="1"/>
  <c r="M4040" i="1"/>
  <c r="N4040" i="1"/>
  <c r="A4041" i="1"/>
  <c r="B4041" i="1"/>
  <c r="F4041" i="1"/>
  <c r="G4041" i="1"/>
  <c r="H4041" i="1"/>
  <c r="I4041" i="1"/>
  <c r="J4041" i="1"/>
  <c r="K4041" i="1"/>
  <c r="L4041" i="1"/>
  <c r="M4041" i="1"/>
  <c r="N4041" i="1"/>
  <c r="A4042" i="1"/>
  <c r="B4042" i="1"/>
  <c r="F4042" i="1"/>
  <c r="G4042" i="1"/>
  <c r="H4042" i="1"/>
  <c r="I4042" i="1"/>
  <c r="J4042" i="1"/>
  <c r="K4042" i="1"/>
  <c r="L4042" i="1"/>
  <c r="M4042" i="1"/>
  <c r="N4042" i="1"/>
  <c r="A4043" i="1"/>
  <c r="B4043" i="1"/>
  <c r="F4043" i="1"/>
  <c r="G4043" i="1"/>
  <c r="H4043" i="1"/>
  <c r="I4043" i="1"/>
  <c r="J4043" i="1"/>
  <c r="K4043" i="1"/>
  <c r="L4043" i="1"/>
  <c r="M4043" i="1"/>
  <c r="N4043" i="1"/>
  <c r="A4044" i="1"/>
  <c r="B4044" i="1"/>
  <c r="F4044" i="1"/>
  <c r="G4044" i="1"/>
  <c r="H4044" i="1"/>
  <c r="I4044" i="1"/>
  <c r="J4044" i="1"/>
  <c r="K4044" i="1"/>
  <c r="L4044" i="1"/>
  <c r="M4044" i="1"/>
  <c r="N4044" i="1"/>
  <c r="A4045" i="1"/>
  <c r="B4045" i="1"/>
  <c r="F4045" i="1"/>
  <c r="G4045" i="1"/>
  <c r="H4045" i="1"/>
  <c r="I4045" i="1"/>
  <c r="J4045" i="1"/>
  <c r="K4045" i="1"/>
  <c r="L4045" i="1"/>
  <c r="M4045" i="1"/>
  <c r="N4045" i="1"/>
  <c r="A4046" i="1"/>
  <c r="B4046" i="1"/>
  <c r="F4046" i="1"/>
  <c r="G4046" i="1"/>
  <c r="H4046" i="1"/>
  <c r="I4046" i="1"/>
  <c r="J4046" i="1"/>
  <c r="K4046" i="1"/>
  <c r="L4046" i="1"/>
  <c r="M4046" i="1"/>
  <c r="N4046" i="1"/>
  <c r="A4047" i="1"/>
  <c r="B4047" i="1"/>
  <c r="F4047" i="1"/>
  <c r="G4047" i="1"/>
  <c r="H4047" i="1"/>
  <c r="I4047" i="1"/>
  <c r="J4047" i="1"/>
  <c r="K4047" i="1"/>
  <c r="L4047" i="1"/>
  <c r="M4047" i="1"/>
  <c r="N4047" i="1"/>
  <c r="A4048" i="1"/>
  <c r="B4048" i="1"/>
  <c r="F4048" i="1"/>
  <c r="G4048" i="1"/>
  <c r="H4048" i="1"/>
  <c r="I4048" i="1"/>
  <c r="J4048" i="1"/>
  <c r="K4048" i="1"/>
  <c r="L4048" i="1"/>
  <c r="M4048" i="1"/>
  <c r="N4048" i="1"/>
  <c r="A4049" i="1"/>
  <c r="B4049" i="1"/>
  <c r="F4049" i="1"/>
  <c r="G4049" i="1"/>
  <c r="H4049" i="1"/>
  <c r="I4049" i="1"/>
  <c r="J4049" i="1"/>
  <c r="K4049" i="1"/>
  <c r="L4049" i="1"/>
  <c r="M4049" i="1"/>
  <c r="N4049" i="1"/>
  <c r="A4050" i="1"/>
  <c r="B4050" i="1"/>
  <c r="F4050" i="1"/>
  <c r="G4050" i="1"/>
  <c r="H4050" i="1"/>
  <c r="I4050" i="1"/>
  <c r="J4050" i="1"/>
  <c r="K4050" i="1"/>
  <c r="L4050" i="1"/>
  <c r="M4050" i="1"/>
  <c r="N4050" i="1"/>
  <c r="A4051" i="1"/>
  <c r="B4051" i="1"/>
  <c r="F4051" i="1"/>
  <c r="G4051" i="1"/>
  <c r="H4051" i="1"/>
  <c r="I4051" i="1"/>
  <c r="J4051" i="1"/>
  <c r="K4051" i="1"/>
  <c r="L4051" i="1"/>
  <c r="M4051" i="1"/>
  <c r="N4051" i="1"/>
  <c r="A4052" i="1"/>
  <c r="B4052" i="1"/>
  <c r="F4052" i="1"/>
  <c r="G4052" i="1"/>
  <c r="H4052" i="1"/>
  <c r="I4052" i="1"/>
  <c r="J4052" i="1"/>
  <c r="K4052" i="1"/>
  <c r="L4052" i="1"/>
  <c r="M4052" i="1"/>
  <c r="N4052" i="1"/>
  <c r="A4053" i="1"/>
  <c r="B4053" i="1"/>
  <c r="F4053" i="1"/>
  <c r="G4053" i="1"/>
  <c r="H4053" i="1"/>
  <c r="I4053" i="1"/>
  <c r="J4053" i="1"/>
  <c r="K4053" i="1"/>
  <c r="L4053" i="1"/>
  <c r="M4053" i="1"/>
  <c r="N4053" i="1"/>
  <c r="A4054" i="1"/>
  <c r="B4054" i="1"/>
  <c r="F4054" i="1"/>
  <c r="G4054" i="1"/>
  <c r="H4054" i="1"/>
  <c r="I4054" i="1"/>
  <c r="J4054" i="1"/>
  <c r="K4054" i="1"/>
  <c r="L4054" i="1"/>
  <c r="M4054" i="1"/>
  <c r="N4054" i="1"/>
  <c r="A4055" i="1"/>
  <c r="B4055" i="1"/>
  <c r="F4055" i="1"/>
  <c r="G4055" i="1"/>
  <c r="H4055" i="1"/>
  <c r="I4055" i="1"/>
  <c r="J4055" i="1"/>
  <c r="K4055" i="1"/>
  <c r="L4055" i="1"/>
  <c r="M4055" i="1"/>
  <c r="N4055" i="1"/>
  <c r="A4056" i="1"/>
  <c r="B4056" i="1"/>
  <c r="F4056" i="1"/>
  <c r="G4056" i="1"/>
  <c r="H4056" i="1"/>
  <c r="I4056" i="1"/>
  <c r="J4056" i="1"/>
  <c r="K4056" i="1"/>
  <c r="L4056" i="1"/>
  <c r="M4056" i="1"/>
  <c r="N4056" i="1"/>
  <c r="A4057" i="1"/>
  <c r="B4057" i="1"/>
  <c r="F4057" i="1"/>
  <c r="G4057" i="1"/>
  <c r="H4057" i="1"/>
  <c r="I4057" i="1"/>
  <c r="J4057" i="1"/>
  <c r="K4057" i="1"/>
  <c r="L4057" i="1"/>
  <c r="M4057" i="1"/>
  <c r="N4057" i="1"/>
  <c r="A4058" i="1"/>
  <c r="B4058" i="1"/>
  <c r="F4058" i="1"/>
  <c r="G4058" i="1"/>
  <c r="H4058" i="1"/>
  <c r="I4058" i="1"/>
  <c r="J4058" i="1"/>
  <c r="K4058" i="1"/>
  <c r="L4058" i="1"/>
  <c r="M4058" i="1"/>
  <c r="N4058" i="1"/>
  <c r="A4059" i="1"/>
  <c r="B4059" i="1"/>
  <c r="F4059" i="1"/>
  <c r="G4059" i="1"/>
  <c r="H4059" i="1"/>
  <c r="I4059" i="1"/>
  <c r="J4059" i="1"/>
  <c r="K4059" i="1"/>
  <c r="L4059" i="1"/>
  <c r="M4059" i="1"/>
  <c r="N4059" i="1"/>
  <c r="A4060" i="1"/>
  <c r="B4060" i="1"/>
  <c r="F4060" i="1"/>
  <c r="G4060" i="1"/>
  <c r="H4060" i="1"/>
  <c r="I4060" i="1"/>
  <c r="J4060" i="1"/>
  <c r="K4060" i="1"/>
  <c r="L4060" i="1"/>
  <c r="M4060" i="1"/>
  <c r="N4060" i="1"/>
  <c r="A4061" i="1"/>
  <c r="B4061" i="1"/>
  <c r="F4061" i="1"/>
  <c r="G4061" i="1"/>
  <c r="H4061" i="1"/>
  <c r="I4061" i="1"/>
  <c r="J4061" i="1"/>
  <c r="K4061" i="1"/>
  <c r="L4061" i="1"/>
  <c r="M4061" i="1"/>
  <c r="N4061" i="1"/>
  <c r="A4062" i="1"/>
  <c r="B4062" i="1"/>
  <c r="F4062" i="1"/>
  <c r="G4062" i="1"/>
  <c r="H4062" i="1"/>
  <c r="I4062" i="1"/>
  <c r="J4062" i="1"/>
  <c r="K4062" i="1"/>
  <c r="L4062" i="1"/>
  <c r="M4062" i="1"/>
  <c r="N4062" i="1"/>
  <c r="A4063" i="1"/>
  <c r="B4063" i="1"/>
  <c r="F4063" i="1"/>
  <c r="G4063" i="1"/>
  <c r="H4063" i="1"/>
  <c r="I4063" i="1"/>
  <c r="J4063" i="1"/>
  <c r="K4063" i="1"/>
  <c r="L4063" i="1"/>
  <c r="M4063" i="1"/>
  <c r="N4063" i="1"/>
  <c r="A4064" i="1"/>
  <c r="B4064" i="1"/>
  <c r="F4064" i="1"/>
  <c r="G4064" i="1"/>
  <c r="H4064" i="1"/>
  <c r="I4064" i="1"/>
  <c r="J4064" i="1"/>
  <c r="K4064" i="1"/>
  <c r="L4064" i="1"/>
  <c r="M4064" i="1"/>
  <c r="N4064" i="1"/>
  <c r="A4065" i="1"/>
  <c r="B4065" i="1"/>
  <c r="F4065" i="1"/>
  <c r="G4065" i="1"/>
  <c r="H4065" i="1"/>
  <c r="I4065" i="1"/>
  <c r="J4065" i="1"/>
  <c r="K4065" i="1"/>
  <c r="L4065" i="1"/>
  <c r="M4065" i="1"/>
  <c r="N4065" i="1"/>
  <c r="A4066" i="1"/>
  <c r="B4066" i="1"/>
  <c r="F4066" i="1"/>
  <c r="G4066" i="1"/>
  <c r="H4066" i="1"/>
  <c r="I4066" i="1"/>
  <c r="J4066" i="1"/>
  <c r="K4066" i="1"/>
  <c r="L4066" i="1"/>
  <c r="M4066" i="1"/>
  <c r="N4066" i="1"/>
  <c r="A4067" i="1"/>
  <c r="B4067" i="1"/>
  <c r="F4067" i="1"/>
  <c r="G4067" i="1"/>
  <c r="H4067" i="1"/>
  <c r="I4067" i="1"/>
  <c r="J4067" i="1"/>
  <c r="K4067" i="1"/>
  <c r="L4067" i="1"/>
  <c r="M4067" i="1"/>
  <c r="N4067" i="1"/>
  <c r="A4068" i="1"/>
  <c r="B4068" i="1"/>
  <c r="F4068" i="1"/>
  <c r="G4068" i="1"/>
  <c r="H4068" i="1"/>
  <c r="I4068" i="1"/>
  <c r="J4068" i="1"/>
  <c r="K4068" i="1"/>
  <c r="L4068" i="1"/>
  <c r="M4068" i="1"/>
  <c r="N4068" i="1"/>
  <c r="A4069" i="1"/>
  <c r="B4069" i="1"/>
  <c r="F4069" i="1"/>
  <c r="G4069" i="1"/>
  <c r="H4069" i="1"/>
  <c r="I4069" i="1"/>
  <c r="J4069" i="1"/>
  <c r="K4069" i="1"/>
  <c r="L4069" i="1"/>
  <c r="M4069" i="1"/>
  <c r="N4069" i="1"/>
  <c r="A4070" i="1"/>
  <c r="B4070" i="1"/>
  <c r="F4070" i="1"/>
  <c r="G4070" i="1"/>
  <c r="H4070" i="1"/>
  <c r="I4070" i="1"/>
  <c r="J4070" i="1"/>
  <c r="K4070" i="1"/>
  <c r="L4070" i="1"/>
  <c r="M4070" i="1"/>
  <c r="N4070" i="1"/>
  <c r="A4071" i="1"/>
  <c r="B4071" i="1"/>
  <c r="F4071" i="1"/>
  <c r="G4071" i="1"/>
  <c r="H4071" i="1"/>
  <c r="I4071" i="1"/>
  <c r="J4071" i="1"/>
  <c r="K4071" i="1"/>
  <c r="L4071" i="1"/>
  <c r="M4071" i="1"/>
  <c r="N4071" i="1"/>
  <c r="A4072" i="1"/>
  <c r="B4072" i="1"/>
  <c r="F4072" i="1"/>
  <c r="G4072" i="1"/>
  <c r="H4072" i="1"/>
  <c r="I4072" i="1"/>
  <c r="J4072" i="1"/>
  <c r="K4072" i="1"/>
  <c r="L4072" i="1"/>
  <c r="M4072" i="1"/>
  <c r="N4072" i="1"/>
  <c r="A4073" i="1"/>
  <c r="B4073" i="1"/>
  <c r="F4073" i="1"/>
  <c r="G4073" i="1"/>
  <c r="H4073" i="1"/>
  <c r="I4073" i="1"/>
  <c r="J4073" i="1"/>
  <c r="K4073" i="1"/>
  <c r="L4073" i="1"/>
  <c r="M4073" i="1"/>
  <c r="N4073" i="1"/>
  <c r="A4074" i="1"/>
  <c r="B4074" i="1"/>
  <c r="F4074" i="1"/>
  <c r="G4074" i="1"/>
  <c r="H4074" i="1"/>
  <c r="I4074" i="1"/>
  <c r="J4074" i="1"/>
  <c r="K4074" i="1"/>
  <c r="L4074" i="1"/>
  <c r="M4074" i="1"/>
  <c r="N4074" i="1"/>
  <c r="A4075" i="1"/>
  <c r="B4075" i="1"/>
  <c r="F4075" i="1"/>
  <c r="G4075" i="1"/>
  <c r="H4075" i="1"/>
  <c r="I4075" i="1"/>
  <c r="J4075" i="1"/>
  <c r="K4075" i="1"/>
  <c r="L4075" i="1"/>
  <c r="M4075" i="1"/>
  <c r="N4075" i="1"/>
  <c r="A4076" i="1"/>
  <c r="B4076" i="1"/>
  <c r="F4076" i="1"/>
  <c r="G4076" i="1"/>
  <c r="H4076" i="1"/>
  <c r="I4076" i="1"/>
  <c r="J4076" i="1"/>
  <c r="K4076" i="1"/>
  <c r="L4076" i="1"/>
  <c r="M4076" i="1"/>
  <c r="N4076" i="1"/>
  <c r="A4077" i="1"/>
  <c r="B4077" i="1"/>
  <c r="F4077" i="1"/>
  <c r="G4077" i="1"/>
  <c r="H4077" i="1"/>
  <c r="I4077" i="1"/>
  <c r="J4077" i="1"/>
  <c r="K4077" i="1"/>
  <c r="L4077" i="1"/>
  <c r="M4077" i="1"/>
  <c r="N4077" i="1"/>
  <c r="A4078" i="1"/>
  <c r="B4078" i="1"/>
  <c r="F4078" i="1"/>
  <c r="G4078" i="1"/>
  <c r="H4078" i="1"/>
  <c r="I4078" i="1"/>
  <c r="J4078" i="1"/>
  <c r="K4078" i="1"/>
  <c r="L4078" i="1"/>
  <c r="M4078" i="1"/>
  <c r="N4078" i="1"/>
  <c r="A4079" i="1"/>
  <c r="B4079" i="1"/>
  <c r="F4079" i="1"/>
  <c r="G4079" i="1"/>
  <c r="H4079" i="1"/>
  <c r="I4079" i="1"/>
  <c r="J4079" i="1"/>
  <c r="K4079" i="1"/>
  <c r="L4079" i="1"/>
  <c r="M4079" i="1"/>
  <c r="N4079" i="1"/>
  <c r="A4080" i="1"/>
  <c r="B4080" i="1"/>
  <c r="F4080" i="1"/>
  <c r="G4080" i="1"/>
  <c r="H4080" i="1"/>
  <c r="I4080" i="1"/>
  <c r="J4080" i="1"/>
  <c r="K4080" i="1"/>
  <c r="L4080" i="1"/>
  <c r="M4080" i="1"/>
  <c r="N4080" i="1"/>
  <c r="A4081" i="1"/>
  <c r="B4081" i="1"/>
  <c r="F4081" i="1"/>
  <c r="G4081" i="1"/>
  <c r="H4081" i="1"/>
  <c r="I4081" i="1"/>
  <c r="J4081" i="1"/>
  <c r="K4081" i="1"/>
  <c r="L4081" i="1"/>
  <c r="M4081" i="1"/>
  <c r="N4081" i="1"/>
  <c r="A4082" i="1"/>
  <c r="B4082" i="1"/>
  <c r="F4082" i="1"/>
  <c r="G4082" i="1"/>
  <c r="H4082" i="1"/>
  <c r="I4082" i="1"/>
  <c r="J4082" i="1"/>
  <c r="K4082" i="1"/>
  <c r="L4082" i="1"/>
  <c r="M4082" i="1"/>
  <c r="N4082" i="1"/>
  <c r="A4083" i="1"/>
  <c r="B4083" i="1"/>
  <c r="F4083" i="1"/>
  <c r="G4083" i="1"/>
  <c r="H4083" i="1"/>
  <c r="I4083" i="1"/>
  <c r="J4083" i="1"/>
  <c r="K4083" i="1"/>
  <c r="L4083" i="1"/>
  <c r="M4083" i="1"/>
  <c r="N4083" i="1"/>
  <c r="A4084" i="1"/>
  <c r="B4084" i="1"/>
  <c r="F4084" i="1"/>
  <c r="G4084" i="1"/>
  <c r="H4084" i="1"/>
  <c r="I4084" i="1"/>
  <c r="J4084" i="1"/>
  <c r="K4084" i="1"/>
  <c r="L4084" i="1"/>
  <c r="M4084" i="1"/>
  <c r="N4084" i="1"/>
  <c r="A4085" i="1"/>
  <c r="B4085" i="1"/>
  <c r="F4085" i="1"/>
  <c r="G4085" i="1"/>
  <c r="H4085" i="1"/>
  <c r="I4085" i="1"/>
  <c r="J4085" i="1"/>
  <c r="K4085" i="1"/>
  <c r="L4085" i="1"/>
  <c r="M4085" i="1"/>
  <c r="N4085" i="1"/>
  <c r="A4086" i="1"/>
  <c r="B4086" i="1"/>
  <c r="F4086" i="1"/>
  <c r="G4086" i="1"/>
  <c r="H4086" i="1"/>
  <c r="I4086" i="1"/>
  <c r="J4086" i="1"/>
  <c r="K4086" i="1"/>
  <c r="L4086" i="1"/>
  <c r="M4086" i="1"/>
  <c r="N4086" i="1"/>
  <c r="A4087" i="1"/>
  <c r="B4087" i="1"/>
  <c r="F4087" i="1"/>
  <c r="G4087" i="1"/>
  <c r="H4087" i="1"/>
  <c r="I4087" i="1"/>
  <c r="J4087" i="1"/>
  <c r="K4087" i="1"/>
  <c r="L4087" i="1"/>
  <c r="M4087" i="1"/>
  <c r="N4087" i="1"/>
  <c r="A4088" i="1"/>
  <c r="B4088" i="1"/>
  <c r="F4088" i="1"/>
  <c r="G4088" i="1"/>
  <c r="H4088" i="1"/>
  <c r="I4088" i="1"/>
  <c r="J4088" i="1"/>
  <c r="K4088" i="1"/>
  <c r="L4088" i="1"/>
  <c r="M4088" i="1"/>
  <c r="N4088" i="1"/>
  <c r="A4089" i="1"/>
  <c r="B4089" i="1"/>
  <c r="F4089" i="1"/>
  <c r="G4089" i="1"/>
  <c r="H4089" i="1"/>
  <c r="I4089" i="1"/>
  <c r="J4089" i="1"/>
  <c r="K4089" i="1"/>
  <c r="L4089" i="1"/>
  <c r="M4089" i="1"/>
  <c r="N4089" i="1"/>
  <c r="A4090" i="1"/>
  <c r="B4090" i="1"/>
  <c r="F4090" i="1"/>
  <c r="G4090" i="1"/>
  <c r="H4090" i="1"/>
  <c r="I4090" i="1"/>
  <c r="J4090" i="1"/>
  <c r="K4090" i="1"/>
  <c r="L4090" i="1"/>
  <c r="M4090" i="1"/>
  <c r="N4090" i="1"/>
  <c r="A4091" i="1"/>
  <c r="B4091" i="1"/>
  <c r="F4091" i="1"/>
  <c r="G4091" i="1"/>
  <c r="H4091" i="1"/>
  <c r="I4091" i="1"/>
  <c r="J4091" i="1"/>
  <c r="K4091" i="1"/>
  <c r="L4091" i="1"/>
  <c r="M4091" i="1"/>
  <c r="N4091" i="1"/>
  <c r="A4092" i="1"/>
  <c r="B4092" i="1"/>
  <c r="F4092" i="1"/>
  <c r="G4092" i="1"/>
  <c r="H4092" i="1"/>
  <c r="I4092" i="1"/>
  <c r="J4092" i="1"/>
  <c r="K4092" i="1"/>
  <c r="L4092" i="1"/>
  <c r="M4092" i="1"/>
  <c r="N4092" i="1"/>
  <c r="A4093" i="1"/>
  <c r="B4093" i="1"/>
  <c r="F4093" i="1"/>
  <c r="G4093" i="1"/>
  <c r="H4093" i="1"/>
  <c r="I4093" i="1"/>
  <c r="J4093" i="1"/>
  <c r="K4093" i="1"/>
  <c r="L4093" i="1"/>
  <c r="M4093" i="1"/>
  <c r="N4093" i="1"/>
  <c r="A4094" i="1"/>
  <c r="B4094" i="1"/>
  <c r="F4094" i="1"/>
  <c r="G4094" i="1"/>
  <c r="H4094" i="1"/>
  <c r="I4094" i="1"/>
  <c r="J4094" i="1"/>
  <c r="K4094" i="1"/>
  <c r="L4094" i="1"/>
  <c r="M4094" i="1"/>
  <c r="N4094" i="1"/>
  <c r="A4095" i="1"/>
  <c r="B4095" i="1"/>
  <c r="F4095" i="1"/>
  <c r="G4095" i="1"/>
  <c r="H4095" i="1"/>
  <c r="I4095" i="1"/>
  <c r="J4095" i="1"/>
  <c r="K4095" i="1"/>
  <c r="L4095" i="1"/>
  <c r="M4095" i="1"/>
  <c r="N4095" i="1"/>
  <c r="A4096" i="1"/>
  <c r="B4096" i="1"/>
  <c r="F4096" i="1"/>
  <c r="G4096" i="1"/>
  <c r="H4096" i="1"/>
  <c r="I4096" i="1"/>
  <c r="J4096" i="1"/>
  <c r="K4096" i="1"/>
  <c r="L4096" i="1"/>
  <c r="M4096" i="1"/>
  <c r="N4096" i="1"/>
  <c r="A4097" i="1"/>
  <c r="B4097" i="1"/>
  <c r="F4097" i="1"/>
  <c r="G4097" i="1"/>
  <c r="H4097" i="1"/>
  <c r="I4097" i="1"/>
  <c r="J4097" i="1"/>
  <c r="K4097" i="1"/>
  <c r="L4097" i="1"/>
  <c r="M4097" i="1"/>
  <c r="N4097" i="1"/>
  <c r="A4098" i="1"/>
  <c r="B4098" i="1"/>
  <c r="F4098" i="1"/>
  <c r="G4098" i="1"/>
  <c r="H4098" i="1"/>
  <c r="I4098" i="1"/>
  <c r="J4098" i="1"/>
  <c r="K4098" i="1"/>
  <c r="L4098" i="1"/>
  <c r="M4098" i="1"/>
  <c r="N4098" i="1"/>
  <c r="A4099" i="1"/>
  <c r="B4099" i="1"/>
  <c r="F4099" i="1"/>
  <c r="G4099" i="1"/>
  <c r="H4099" i="1"/>
  <c r="I4099" i="1"/>
  <c r="J4099" i="1"/>
  <c r="K4099" i="1"/>
  <c r="L4099" i="1"/>
  <c r="M4099" i="1"/>
  <c r="N4099" i="1"/>
  <c r="A4100" i="1"/>
  <c r="B4100" i="1"/>
  <c r="F4100" i="1"/>
  <c r="G4100" i="1"/>
  <c r="H4100" i="1"/>
  <c r="I4100" i="1"/>
  <c r="J4100" i="1"/>
  <c r="K4100" i="1"/>
  <c r="L4100" i="1"/>
  <c r="M4100" i="1"/>
  <c r="N4100" i="1"/>
  <c r="A4101" i="1"/>
  <c r="B4101" i="1"/>
  <c r="F4101" i="1"/>
  <c r="G4101" i="1"/>
  <c r="H4101" i="1"/>
  <c r="I4101" i="1"/>
  <c r="J4101" i="1"/>
  <c r="K4101" i="1"/>
  <c r="L4101" i="1"/>
  <c r="M4101" i="1"/>
  <c r="N4101" i="1"/>
  <c r="A4102" i="1"/>
  <c r="B4102" i="1"/>
  <c r="F4102" i="1"/>
  <c r="G4102" i="1"/>
  <c r="H4102" i="1"/>
  <c r="I4102" i="1"/>
  <c r="J4102" i="1"/>
  <c r="K4102" i="1"/>
  <c r="L4102" i="1"/>
  <c r="M4102" i="1"/>
  <c r="N4102" i="1"/>
  <c r="A4103" i="1"/>
  <c r="B4103" i="1"/>
  <c r="F4103" i="1"/>
  <c r="G4103" i="1"/>
  <c r="H4103" i="1"/>
  <c r="I4103" i="1"/>
  <c r="J4103" i="1"/>
  <c r="K4103" i="1"/>
  <c r="L4103" i="1"/>
  <c r="M4103" i="1"/>
  <c r="N4103" i="1"/>
  <c r="A4104" i="1"/>
  <c r="B4104" i="1"/>
  <c r="F4104" i="1"/>
  <c r="G4104" i="1"/>
  <c r="H4104" i="1"/>
  <c r="I4104" i="1"/>
  <c r="J4104" i="1"/>
  <c r="K4104" i="1"/>
  <c r="L4104" i="1"/>
  <c r="M4104" i="1"/>
  <c r="N4104" i="1"/>
  <c r="A4105" i="1"/>
  <c r="B4105" i="1"/>
  <c r="F4105" i="1"/>
  <c r="G4105" i="1"/>
  <c r="H4105" i="1"/>
  <c r="I4105" i="1"/>
  <c r="J4105" i="1"/>
  <c r="K4105" i="1"/>
  <c r="L4105" i="1"/>
  <c r="M4105" i="1"/>
  <c r="N4105" i="1"/>
  <c r="A4106" i="1"/>
  <c r="B4106" i="1"/>
  <c r="F4106" i="1"/>
  <c r="G4106" i="1"/>
  <c r="H4106" i="1"/>
  <c r="I4106" i="1"/>
  <c r="J4106" i="1"/>
  <c r="K4106" i="1"/>
  <c r="L4106" i="1"/>
  <c r="M4106" i="1"/>
  <c r="N4106" i="1"/>
  <c r="A4107" i="1"/>
  <c r="B4107" i="1"/>
  <c r="F4107" i="1"/>
  <c r="G4107" i="1"/>
  <c r="H4107" i="1"/>
  <c r="I4107" i="1"/>
  <c r="J4107" i="1"/>
  <c r="K4107" i="1"/>
  <c r="L4107" i="1"/>
  <c r="M4107" i="1"/>
  <c r="N4107" i="1"/>
  <c r="A4108" i="1"/>
  <c r="B4108" i="1"/>
  <c r="F4108" i="1"/>
  <c r="G4108" i="1"/>
  <c r="H4108" i="1"/>
  <c r="I4108" i="1"/>
  <c r="J4108" i="1"/>
  <c r="K4108" i="1"/>
  <c r="L4108" i="1"/>
  <c r="M4108" i="1"/>
  <c r="N4108" i="1"/>
  <c r="A4109" i="1"/>
  <c r="B4109" i="1"/>
  <c r="F4109" i="1"/>
  <c r="G4109" i="1"/>
  <c r="H4109" i="1"/>
  <c r="I4109" i="1"/>
  <c r="J4109" i="1"/>
  <c r="K4109" i="1"/>
  <c r="L4109" i="1"/>
  <c r="M4109" i="1"/>
  <c r="N4109" i="1"/>
  <c r="A4110" i="1"/>
  <c r="B4110" i="1"/>
  <c r="F4110" i="1"/>
  <c r="G4110" i="1"/>
  <c r="H4110" i="1"/>
  <c r="I4110" i="1"/>
  <c r="J4110" i="1"/>
  <c r="K4110" i="1"/>
  <c r="L4110" i="1"/>
  <c r="M4110" i="1"/>
  <c r="N4110" i="1"/>
  <c r="A4111" i="1"/>
  <c r="B4111" i="1"/>
  <c r="F4111" i="1"/>
  <c r="G4111" i="1"/>
  <c r="H4111" i="1"/>
  <c r="I4111" i="1"/>
  <c r="J4111" i="1"/>
  <c r="K4111" i="1"/>
  <c r="L4111" i="1"/>
  <c r="M4111" i="1"/>
  <c r="N4111" i="1"/>
  <c r="A4112" i="1"/>
  <c r="B4112" i="1"/>
  <c r="F4112" i="1"/>
  <c r="G4112" i="1"/>
  <c r="H4112" i="1"/>
  <c r="I4112" i="1"/>
  <c r="J4112" i="1"/>
  <c r="K4112" i="1"/>
  <c r="L4112" i="1"/>
  <c r="M4112" i="1"/>
  <c r="N4112" i="1"/>
  <c r="A4113" i="1"/>
  <c r="B4113" i="1"/>
  <c r="F4113" i="1"/>
  <c r="G4113" i="1"/>
  <c r="H4113" i="1"/>
  <c r="I4113" i="1"/>
  <c r="J4113" i="1"/>
  <c r="K4113" i="1"/>
  <c r="L4113" i="1"/>
  <c r="M4113" i="1"/>
  <c r="N4113" i="1"/>
  <c r="A4114" i="1"/>
  <c r="B4114" i="1"/>
  <c r="F4114" i="1"/>
  <c r="G4114" i="1"/>
  <c r="H4114" i="1"/>
  <c r="I4114" i="1"/>
  <c r="J4114" i="1"/>
  <c r="K4114" i="1"/>
  <c r="L4114" i="1"/>
  <c r="M4114" i="1"/>
  <c r="N4114" i="1"/>
  <c r="A4115" i="1"/>
  <c r="B4115" i="1"/>
  <c r="F4115" i="1"/>
  <c r="G4115" i="1"/>
  <c r="H4115" i="1"/>
  <c r="I4115" i="1"/>
  <c r="J4115" i="1"/>
  <c r="K4115" i="1"/>
  <c r="L4115" i="1"/>
  <c r="M4115" i="1"/>
  <c r="N4115" i="1"/>
  <c r="A4116" i="1"/>
  <c r="B4116" i="1"/>
  <c r="F4116" i="1"/>
  <c r="G4116" i="1"/>
  <c r="H4116" i="1"/>
  <c r="I4116" i="1"/>
  <c r="J4116" i="1"/>
  <c r="K4116" i="1"/>
  <c r="L4116" i="1"/>
  <c r="M4116" i="1"/>
  <c r="N4116" i="1"/>
  <c r="A4117" i="1"/>
  <c r="B4117" i="1"/>
  <c r="F4117" i="1"/>
  <c r="G4117" i="1"/>
  <c r="H4117" i="1"/>
  <c r="I4117" i="1"/>
  <c r="J4117" i="1"/>
  <c r="K4117" i="1"/>
  <c r="L4117" i="1"/>
  <c r="M4117" i="1"/>
  <c r="N4117" i="1"/>
  <c r="A4118" i="1"/>
  <c r="B4118" i="1"/>
  <c r="F4118" i="1"/>
  <c r="G4118" i="1"/>
  <c r="H4118" i="1"/>
  <c r="I4118" i="1"/>
  <c r="J4118" i="1"/>
  <c r="K4118" i="1"/>
  <c r="L4118" i="1"/>
  <c r="M4118" i="1"/>
  <c r="N4118" i="1"/>
  <c r="A4119" i="1"/>
  <c r="B4119" i="1"/>
  <c r="F4119" i="1"/>
  <c r="G4119" i="1"/>
  <c r="H4119" i="1"/>
  <c r="I4119" i="1"/>
  <c r="J4119" i="1"/>
  <c r="K4119" i="1"/>
  <c r="L4119" i="1"/>
  <c r="M4119" i="1"/>
  <c r="N4119" i="1"/>
  <c r="A4120" i="1"/>
  <c r="B4120" i="1"/>
  <c r="F4120" i="1"/>
  <c r="G4120" i="1"/>
  <c r="H4120" i="1"/>
  <c r="I4120" i="1"/>
  <c r="J4120" i="1"/>
  <c r="K4120" i="1"/>
  <c r="L4120" i="1"/>
  <c r="M4120" i="1"/>
  <c r="N4120" i="1"/>
  <c r="A4121" i="1"/>
  <c r="B4121" i="1"/>
  <c r="F4121" i="1"/>
  <c r="G4121" i="1"/>
  <c r="H4121" i="1"/>
  <c r="I4121" i="1"/>
  <c r="J4121" i="1"/>
  <c r="K4121" i="1"/>
  <c r="L4121" i="1"/>
  <c r="M4121" i="1"/>
  <c r="N4121" i="1"/>
  <c r="A4122" i="1"/>
  <c r="B4122" i="1"/>
  <c r="F4122" i="1"/>
  <c r="G4122" i="1"/>
  <c r="H4122" i="1"/>
  <c r="I4122" i="1"/>
  <c r="J4122" i="1"/>
  <c r="K4122" i="1"/>
  <c r="L4122" i="1"/>
  <c r="M4122" i="1"/>
  <c r="N4122" i="1"/>
  <c r="A4123" i="1"/>
  <c r="B4123" i="1"/>
  <c r="F4123" i="1"/>
  <c r="G4123" i="1"/>
  <c r="H4123" i="1"/>
  <c r="I4123" i="1"/>
  <c r="J4123" i="1"/>
  <c r="K4123" i="1"/>
  <c r="L4123" i="1"/>
  <c r="M4123" i="1"/>
  <c r="N4123" i="1"/>
  <c r="A4124" i="1"/>
  <c r="B4124" i="1"/>
  <c r="F4124" i="1"/>
  <c r="G4124" i="1"/>
  <c r="H4124" i="1"/>
  <c r="I4124" i="1"/>
  <c r="J4124" i="1"/>
  <c r="K4124" i="1"/>
  <c r="L4124" i="1"/>
  <c r="M4124" i="1"/>
  <c r="N4124" i="1"/>
  <c r="A4125" i="1"/>
  <c r="B4125" i="1"/>
  <c r="F4125" i="1"/>
  <c r="G4125" i="1"/>
  <c r="H4125" i="1"/>
  <c r="I4125" i="1"/>
  <c r="J4125" i="1"/>
  <c r="K4125" i="1"/>
  <c r="L4125" i="1"/>
  <c r="M4125" i="1"/>
  <c r="N4125" i="1"/>
  <c r="A4126" i="1"/>
  <c r="B4126" i="1"/>
  <c r="F4126" i="1"/>
  <c r="G4126" i="1"/>
  <c r="H4126" i="1"/>
  <c r="I4126" i="1"/>
  <c r="J4126" i="1"/>
  <c r="K4126" i="1"/>
  <c r="L4126" i="1"/>
  <c r="M4126" i="1"/>
  <c r="N4126" i="1"/>
  <c r="A4127" i="1"/>
  <c r="B4127" i="1"/>
  <c r="F4127" i="1"/>
  <c r="G4127" i="1"/>
  <c r="H4127" i="1"/>
  <c r="I4127" i="1"/>
  <c r="J4127" i="1"/>
  <c r="K4127" i="1"/>
  <c r="L4127" i="1"/>
  <c r="M4127" i="1"/>
  <c r="N4127" i="1"/>
  <c r="A4128" i="1"/>
  <c r="B4128" i="1"/>
  <c r="F4128" i="1"/>
  <c r="G4128" i="1"/>
  <c r="H4128" i="1"/>
  <c r="I4128" i="1"/>
  <c r="J4128" i="1"/>
  <c r="K4128" i="1"/>
  <c r="L4128" i="1"/>
  <c r="M4128" i="1"/>
  <c r="N4128" i="1"/>
  <c r="A4129" i="1"/>
  <c r="B4129" i="1"/>
  <c r="F4129" i="1"/>
  <c r="G4129" i="1"/>
  <c r="H4129" i="1"/>
  <c r="I4129" i="1"/>
  <c r="J4129" i="1"/>
  <c r="K4129" i="1"/>
  <c r="L4129" i="1"/>
  <c r="M4129" i="1"/>
  <c r="N4129" i="1"/>
  <c r="A4130" i="1"/>
  <c r="B4130" i="1"/>
  <c r="F4130" i="1"/>
  <c r="G4130" i="1"/>
  <c r="H4130" i="1"/>
  <c r="I4130" i="1"/>
  <c r="J4130" i="1"/>
  <c r="K4130" i="1"/>
  <c r="L4130" i="1"/>
  <c r="M4130" i="1"/>
  <c r="N4130" i="1"/>
  <c r="A4131" i="1"/>
  <c r="B4131" i="1"/>
  <c r="F4131" i="1"/>
  <c r="G4131" i="1"/>
  <c r="H4131" i="1"/>
  <c r="I4131" i="1"/>
  <c r="J4131" i="1"/>
  <c r="K4131" i="1"/>
  <c r="L4131" i="1"/>
  <c r="M4131" i="1"/>
  <c r="N4131" i="1"/>
  <c r="A4132" i="1"/>
  <c r="B4132" i="1"/>
  <c r="F4132" i="1"/>
  <c r="G4132" i="1"/>
  <c r="H4132" i="1"/>
  <c r="I4132" i="1"/>
  <c r="J4132" i="1"/>
  <c r="K4132" i="1"/>
  <c r="L4132" i="1"/>
  <c r="M4132" i="1"/>
  <c r="N4132" i="1"/>
  <c r="A4133" i="1"/>
  <c r="B4133" i="1"/>
  <c r="F4133" i="1"/>
  <c r="G4133" i="1"/>
  <c r="H4133" i="1"/>
  <c r="I4133" i="1"/>
  <c r="J4133" i="1"/>
  <c r="K4133" i="1"/>
  <c r="L4133" i="1"/>
  <c r="M4133" i="1"/>
  <c r="N4133" i="1"/>
  <c r="A4134" i="1"/>
  <c r="B4134" i="1"/>
  <c r="F4134" i="1"/>
  <c r="G4134" i="1"/>
  <c r="H4134" i="1"/>
  <c r="I4134" i="1"/>
  <c r="J4134" i="1"/>
  <c r="K4134" i="1"/>
  <c r="L4134" i="1"/>
  <c r="M4134" i="1"/>
  <c r="N4134" i="1"/>
  <c r="A4135" i="1"/>
  <c r="B4135" i="1"/>
  <c r="F4135" i="1"/>
  <c r="G4135" i="1"/>
  <c r="H4135" i="1"/>
  <c r="I4135" i="1"/>
  <c r="J4135" i="1"/>
  <c r="K4135" i="1"/>
  <c r="L4135" i="1"/>
  <c r="M4135" i="1"/>
  <c r="N4135" i="1"/>
  <c r="A4136" i="1"/>
  <c r="B4136" i="1"/>
  <c r="F4136" i="1"/>
  <c r="G4136" i="1"/>
  <c r="H4136" i="1"/>
  <c r="I4136" i="1"/>
  <c r="J4136" i="1"/>
  <c r="K4136" i="1"/>
  <c r="L4136" i="1"/>
  <c r="M4136" i="1"/>
  <c r="N4136" i="1"/>
  <c r="A4137" i="1"/>
  <c r="B4137" i="1"/>
  <c r="F4137" i="1"/>
  <c r="G4137" i="1"/>
  <c r="H4137" i="1"/>
  <c r="I4137" i="1"/>
  <c r="J4137" i="1"/>
  <c r="K4137" i="1"/>
  <c r="L4137" i="1"/>
  <c r="M4137" i="1"/>
  <c r="N4137" i="1"/>
  <c r="A4138" i="1"/>
  <c r="B4138" i="1"/>
  <c r="F4138" i="1"/>
  <c r="G4138" i="1"/>
  <c r="H4138" i="1"/>
  <c r="I4138" i="1"/>
  <c r="J4138" i="1"/>
  <c r="K4138" i="1"/>
  <c r="L4138" i="1"/>
  <c r="M4138" i="1"/>
  <c r="N4138" i="1"/>
  <c r="A4139" i="1"/>
  <c r="B4139" i="1"/>
  <c r="F4139" i="1"/>
  <c r="G4139" i="1"/>
  <c r="H4139" i="1"/>
  <c r="I4139" i="1"/>
  <c r="J4139" i="1"/>
  <c r="K4139" i="1"/>
  <c r="L4139" i="1"/>
  <c r="M4139" i="1"/>
  <c r="N4139" i="1"/>
  <c r="A4140" i="1"/>
  <c r="B4140" i="1"/>
  <c r="F4140" i="1"/>
  <c r="G4140" i="1"/>
  <c r="H4140" i="1"/>
  <c r="I4140" i="1"/>
  <c r="J4140" i="1"/>
  <c r="K4140" i="1"/>
  <c r="L4140" i="1"/>
  <c r="M4140" i="1"/>
  <c r="N4140" i="1"/>
  <c r="A4141" i="1"/>
  <c r="B4141" i="1"/>
  <c r="F4141" i="1"/>
  <c r="G4141" i="1"/>
  <c r="H4141" i="1"/>
  <c r="I4141" i="1"/>
  <c r="J4141" i="1"/>
  <c r="K4141" i="1"/>
  <c r="L4141" i="1"/>
  <c r="M4141" i="1"/>
  <c r="N4141" i="1"/>
  <c r="A4142" i="1"/>
  <c r="B4142" i="1"/>
  <c r="F4142" i="1"/>
  <c r="G4142" i="1"/>
  <c r="H4142" i="1"/>
  <c r="I4142" i="1"/>
  <c r="J4142" i="1"/>
  <c r="K4142" i="1"/>
  <c r="L4142" i="1"/>
  <c r="M4142" i="1"/>
  <c r="N4142" i="1"/>
  <c r="A4143" i="1"/>
  <c r="B4143" i="1"/>
  <c r="F4143" i="1"/>
  <c r="G4143" i="1"/>
  <c r="H4143" i="1"/>
  <c r="I4143" i="1"/>
  <c r="J4143" i="1"/>
  <c r="K4143" i="1"/>
  <c r="L4143" i="1"/>
  <c r="M4143" i="1"/>
  <c r="N4143" i="1"/>
  <c r="A4144" i="1"/>
  <c r="B4144" i="1"/>
  <c r="F4144" i="1"/>
  <c r="G4144" i="1"/>
  <c r="H4144" i="1"/>
  <c r="I4144" i="1"/>
  <c r="J4144" i="1"/>
  <c r="K4144" i="1"/>
  <c r="L4144" i="1"/>
  <c r="M4144" i="1"/>
  <c r="N4144" i="1"/>
  <c r="A4145" i="1"/>
  <c r="B4145" i="1"/>
  <c r="F4145" i="1"/>
  <c r="G4145" i="1"/>
  <c r="H4145" i="1"/>
  <c r="I4145" i="1"/>
  <c r="J4145" i="1"/>
  <c r="K4145" i="1"/>
  <c r="L4145" i="1"/>
  <c r="M4145" i="1"/>
  <c r="N4145" i="1"/>
  <c r="A4146" i="1"/>
  <c r="B4146" i="1"/>
  <c r="F4146" i="1"/>
  <c r="G4146" i="1"/>
  <c r="H4146" i="1"/>
  <c r="I4146" i="1"/>
  <c r="J4146" i="1"/>
  <c r="K4146" i="1"/>
  <c r="L4146" i="1"/>
  <c r="M4146" i="1"/>
  <c r="N4146" i="1"/>
  <c r="A4147" i="1"/>
  <c r="B4147" i="1"/>
  <c r="F4147" i="1"/>
  <c r="G4147" i="1"/>
  <c r="H4147" i="1"/>
  <c r="I4147" i="1"/>
  <c r="J4147" i="1"/>
  <c r="K4147" i="1"/>
  <c r="L4147" i="1"/>
  <c r="M4147" i="1"/>
  <c r="N4147" i="1"/>
  <c r="A4148" i="1"/>
  <c r="B4148" i="1"/>
  <c r="F4148" i="1"/>
  <c r="G4148" i="1"/>
  <c r="H4148" i="1"/>
  <c r="I4148" i="1"/>
  <c r="J4148" i="1"/>
  <c r="K4148" i="1"/>
  <c r="L4148" i="1"/>
  <c r="M4148" i="1"/>
  <c r="N4148" i="1"/>
  <c r="A4149" i="1"/>
  <c r="B4149" i="1"/>
  <c r="F4149" i="1"/>
  <c r="G4149" i="1"/>
  <c r="H4149" i="1"/>
  <c r="I4149" i="1"/>
  <c r="J4149" i="1"/>
  <c r="K4149" i="1"/>
  <c r="L4149" i="1"/>
  <c r="M4149" i="1"/>
  <c r="N4149" i="1"/>
  <c r="A4150" i="1"/>
  <c r="B4150" i="1"/>
  <c r="F4150" i="1"/>
  <c r="G4150" i="1"/>
  <c r="H4150" i="1"/>
  <c r="I4150" i="1"/>
  <c r="J4150" i="1"/>
  <c r="K4150" i="1"/>
  <c r="L4150" i="1"/>
  <c r="M4150" i="1"/>
  <c r="N4150" i="1"/>
  <c r="A4151" i="1"/>
  <c r="B4151" i="1"/>
  <c r="F4151" i="1"/>
  <c r="G4151" i="1"/>
  <c r="H4151" i="1"/>
  <c r="I4151" i="1"/>
  <c r="J4151" i="1"/>
  <c r="K4151" i="1"/>
  <c r="L4151" i="1"/>
  <c r="M4151" i="1"/>
  <c r="N4151" i="1"/>
  <c r="A4152" i="1"/>
  <c r="B4152" i="1"/>
  <c r="F4152" i="1"/>
  <c r="G4152" i="1"/>
  <c r="H4152" i="1"/>
  <c r="I4152" i="1"/>
  <c r="J4152" i="1"/>
  <c r="K4152" i="1"/>
  <c r="L4152" i="1"/>
  <c r="M4152" i="1"/>
  <c r="N4152" i="1"/>
  <c r="A4153" i="1"/>
  <c r="B4153" i="1"/>
  <c r="F4153" i="1"/>
  <c r="G4153" i="1"/>
  <c r="H4153" i="1"/>
  <c r="I4153" i="1"/>
  <c r="J4153" i="1"/>
  <c r="K4153" i="1"/>
  <c r="L4153" i="1"/>
  <c r="M4153" i="1"/>
  <c r="N4153" i="1"/>
  <c r="A4154" i="1"/>
  <c r="B4154" i="1"/>
  <c r="F4154" i="1"/>
  <c r="G4154" i="1"/>
  <c r="H4154" i="1"/>
  <c r="I4154" i="1"/>
  <c r="J4154" i="1"/>
  <c r="K4154" i="1"/>
  <c r="L4154" i="1"/>
  <c r="M4154" i="1"/>
  <c r="N4154" i="1"/>
  <c r="A4155" i="1"/>
  <c r="B4155" i="1"/>
  <c r="F4155" i="1"/>
  <c r="G4155" i="1"/>
  <c r="H4155" i="1"/>
  <c r="I4155" i="1"/>
  <c r="J4155" i="1"/>
  <c r="K4155" i="1"/>
  <c r="L4155" i="1"/>
  <c r="M4155" i="1"/>
  <c r="N4155" i="1"/>
  <c r="A4156" i="1"/>
  <c r="B4156" i="1"/>
  <c r="F4156" i="1"/>
  <c r="G4156" i="1"/>
  <c r="H4156" i="1"/>
  <c r="I4156" i="1"/>
  <c r="J4156" i="1"/>
  <c r="K4156" i="1"/>
  <c r="L4156" i="1"/>
  <c r="M4156" i="1"/>
  <c r="N4156" i="1"/>
  <c r="A4157" i="1"/>
  <c r="B4157" i="1"/>
  <c r="F4157" i="1"/>
  <c r="G4157" i="1"/>
  <c r="H4157" i="1"/>
  <c r="I4157" i="1"/>
  <c r="J4157" i="1"/>
  <c r="K4157" i="1"/>
  <c r="L4157" i="1"/>
  <c r="M4157" i="1"/>
  <c r="N4157" i="1"/>
  <c r="A4158" i="1"/>
  <c r="B4158" i="1"/>
  <c r="F4158" i="1"/>
  <c r="G4158" i="1"/>
  <c r="H4158" i="1"/>
  <c r="I4158" i="1"/>
  <c r="J4158" i="1"/>
  <c r="K4158" i="1"/>
  <c r="L4158" i="1"/>
  <c r="M4158" i="1"/>
  <c r="N4158" i="1"/>
  <c r="A4159" i="1"/>
  <c r="B4159" i="1"/>
  <c r="F4159" i="1"/>
  <c r="G4159" i="1"/>
  <c r="H4159" i="1"/>
  <c r="I4159" i="1"/>
  <c r="J4159" i="1"/>
  <c r="K4159" i="1"/>
  <c r="L4159" i="1"/>
  <c r="M4159" i="1"/>
  <c r="N4159" i="1"/>
  <c r="A4160" i="1"/>
  <c r="B4160" i="1"/>
  <c r="F4160" i="1"/>
  <c r="G4160" i="1"/>
  <c r="H4160" i="1"/>
  <c r="I4160" i="1"/>
  <c r="J4160" i="1"/>
  <c r="K4160" i="1"/>
  <c r="L4160" i="1"/>
  <c r="M4160" i="1"/>
  <c r="N4160" i="1"/>
  <c r="A4161" i="1"/>
  <c r="B4161" i="1"/>
  <c r="F4161" i="1"/>
  <c r="G4161" i="1"/>
  <c r="H4161" i="1"/>
  <c r="I4161" i="1"/>
  <c r="J4161" i="1"/>
  <c r="K4161" i="1"/>
  <c r="L4161" i="1"/>
  <c r="M4161" i="1"/>
  <c r="N4161" i="1"/>
  <c r="A4162" i="1"/>
  <c r="B4162" i="1"/>
  <c r="F4162" i="1"/>
  <c r="G4162" i="1"/>
  <c r="H4162" i="1"/>
  <c r="I4162" i="1"/>
  <c r="J4162" i="1"/>
  <c r="K4162" i="1"/>
  <c r="L4162" i="1"/>
  <c r="M4162" i="1"/>
  <c r="N4162" i="1"/>
  <c r="A4163" i="1"/>
  <c r="B4163" i="1"/>
  <c r="F4163" i="1"/>
  <c r="G4163" i="1"/>
  <c r="H4163" i="1"/>
  <c r="I4163" i="1"/>
  <c r="J4163" i="1"/>
  <c r="K4163" i="1"/>
  <c r="L4163" i="1"/>
  <c r="M4163" i="1"/>
  <c r="N4163" i="1"/>
  <c r="A4164" i="1"/>
  <c r="B4164" i="1"/>
  <c r="F4164" i="1"/>
  <c r="G4164" i="1"/>
  <c r="H4164" i="1"/>
  <c r="I4164" i="1"/>
  <c r="J4164" i="1"/>
  <c r="K4164" i="1"/>
  <c r="L4164" i="1"/>
  <c r="M4164" i="1"/>
  <c r="N4164" i="1"/>
  <c r="A4165" i="1"/>
  <c r="B4165" i="1"/>
  <c r="F4165" i="1"/>
  <c r="G4165" i="1"/>
  <c r="H4165" i="1"/>
  <c r="I4165" i="1"/>
  <c r="J4165" i="1"/>
  <c r="K4165" i="1"/>
  <c r="L4165" i="1"/>
  <c r="M4165" i="1"/>
  <c r="N4165" i="1"/>
  <c r="A4166" i="1"/>
  <c r="B4166" i="1"/>
  <c r="F4166" i="1"/>
  <c r="G4166" i="1"/>
  <c r="H4166" i="1"/>
  <c r="I4166" i="1"/>
  <c r="J4166" i="1"/>
  <c r="K4166" i="1"/>
  <c r="L4166" i="1"/>
  <c r="M4166" i="1"/>
  <c r="N4166" i="1"/>
  <c r="A4167" i="1"/>
  <c r="B4167" i="1"/>
  <c r="F4167" i="1"/>
  <c r="G4167" i="1"/>
  <c r="H4167" i="1"/>
  <c r="I4167" i="1"/>
  <c r="J4167" i="1"/>
  <c r="K4167" i="1"/>
  <c r="L4167" i="1"/>
  <c r="M4167" i="1"/>
  <c r="N4167" i="1"/>
  <c r="A4168" i="1"/>
  <c r="B4168" i="1"/>
  <c r="F4168" i="1"/>
  <c r="G4168" i="1"/>
  <c r="H4168" i="1"/>
  <c r="I4168" i="1"/>
  <c r="J4168" i="1"/>
  <c r="K4168" i="1"/>
  <c r="L4168" i="1"/>
  <c r="M4168" i="1"/>
  <c r="N4168" i="1"/>
  <c r="A4169" i="1"/>
  <c r="B4169" i="1"/>
  <c r="F4169" i="1"/>
  <c r="G4169" i="1"/>
  <c r="H4169" i="1"/>
  <c r="I4169" i="1"/>
  <c r="J4169" i="1"/>
  <c r="K4169" i="1"/>
  <c r="L4169" i="1"/>
  <c r="M4169" i="1"/>
  <c r="N4169" i="1"/>
  <c r="A4170" i="1"/>
  <c r="B4170" i="1"/>
  <c r="F4170" i="1"/>
  <c r="G4170" i="1"/>
  <c r="H4170" i="1"/>
  <c r="I4170" i="1"/>
  <c r="J4170" i="1"/>
  <c r="K4170" i="1"/>
  <c r="L4170" i="1"/>
  <c r="M4170" i="1"/>
  <c r="N4170" i="1"/>
  <c r="A4171" i="1"/>
  <c r="B4171" i="1"/>
  <c r="F4171" i="1"/>
  <c r="G4171" i="1"/>
  <c r="H4171" i="1"/>
  <c r="I4171" i="1"/>
  <c r="J4171" i="1"/>
  <c r="K4171" i="1"/>
  <c r="L4171" i="1"/>
  <c r="M4171" i="1"/>
  <c r="N4171" i="1"/>
  <c r="A4172" i="1"/>
  <c r="B4172" i="1"/>
  <c r="F4172" i="1"/>
  <c r="G4172" i="1"/>
  <c r="H4172" i="1"/>
  <c r="I4172" i="1"/>
  <c r="J4172" i="1"/>
  <c r="K4172" i="1"/>
  <c r="L4172" i="1"/>
  <c r="M4172" i="1"/>
  <c r="N4172" i="1"/>
  <c r="A4173" i="1"/>
  <c r="B4173" i="1"/>
  <c r="F4173" i="1"/>
  <c r="G4173" i="1"/>
  <c r="H4173" i="1"/>
  <c r="I4173" i="1"/>
  <c r="J4173" i="1"/>
  <c r="K4173" i="1"/>
  <c r="L4173" i="1"/>
  <c r="M4173" i="1"/>
  <c r="N4173" i="1"/>
  <c r="A4174" i="1"/>
  <c r="B4174" i="1"/>
  <c r="F4174" i="1"/>
  <c r="G4174" i="1"/>
  <c r="H4174" i="1"/>
  <c r="I4174" i="1"/>
  <c r="J4174" i="1"/>
  <c r="K4174" i="1"/>
  <c r="L4174" i="1"/>
  <c r="M4174" i="1"/>
  <c r="N4174" i="1"/>
  <c r="A4175" i="1"/>
  <c r="B4175" i="1"/>
  <c r="F4175" i="1"/>
  <c r="G4175" i="1"/>
  <c r="H4175" i="1"/>
  <c r="I4175" i="1"/>
  <c r="J4175" i="1"/>
  <c r="K4175" i="1"/>
  <c r="L4175" i="1"/>
  <c r="M4175" i="1"/>
  <c r="N4175" i="1"/>
  <c r="A4176" i="1"/>
  <c r="B4176" i="1"/>
  <c r="F4176" i="1"/>
  <c r="G4176" i="1"/>
  <c r="H4176" i="1"/>
  <c r="I4176" i="1"/>
  <c r="J4176" i="1"/>
  <c r="K4176" i="1"/>
  <c r="L4176" i="1"/>
  <c r="M4176" i="1"/>
  <c r="N4176" i="1"/>
  <c r="A4177" i="1"/>
  <c r="B4177" i="1"/>
  <c r="F4177" i="1"/>
  <c r="G4177" i="1"/>
  <c r="H4177" i="1"/>
  <c r="I4177" i="1"/>
  <c r="J4177" i="1"/>
  <c r="K4177" i="1"/>
  <c r="L4177" i="1"/>
  <c r="M4177" i="1"/>
  <c r="N4177" i="1"/>
  <c r="A4178" i="1"/>
  <c r="B4178" i="1"/>
  <c r="F4178" i="1"/>
  <c r="G4178" i="1"/>
  <c r="H4178" i="1"/>
  <c r="I4178" i="1"/>
  <c r="J4178" i="1"/>
  <c r="K4178" i="1"/>
  <c r="L4178" i="1"/>
  <c r="M4178" i="1"/>
  <c r="N4178" i="1"/>
  <c r="A4179" i="1"/>
  <c r="B4179" i="1"/>
  <c r="F4179" i="1"/>
  <c r="G4179" i="1"/>
  <c r="H4179" i="1"/>
  <c r="I4179" i="1"/>
  <c r="J4179" i="1"/>
  <c r="K4179" i="1"/>
  <c r="L4179" i="1"/>
  <c r="M4179" i="1"/>
  <c r="N4179" i="1"/>
  <c r="A4180" i="1"/>
  <c r="B4180" i="1"/>
  <c r="F4180" i="1"/>
  <c r="G4180" i="1"/>
  <c r="H4180" i="1"/>
  <c r="I4180" i="1"/>
  <c r="J4180" i="1"/>
  <c r="K4180" i="1"/>
  <c r="L4180" i="1"/>
  <c r="M4180" i="1"/>
  <c r="N4180" i="1"/>
  <c r="A4181" i="1"/>
  <c r="B4181" i="1"/>
  <c r="F4181" i="1"/>
  <c r="G4181" i="1"/>
  <c r="H4181" i="1"/>
  <c r="I4181" i="1"/>
  <c r="J4181" i="1"/>
  <c r="K4181" i="1"/>
  <c r="L4181" i="1"/>
  <c r="M4181" i="1"/>
  <c r="N4181" i="1"/>
  <c r="A4182" i="1"/>
  <c r="B4182" i="1"/>
  <c r="F4182" i="1"/>
  <c r="G4182" i="1"/>
  <c r="H4182" i="1"/>
  <c r="I4182" i="1"/>
  <c r="J4182" i="1"/>
  <c r="K4182" i="1"/>
  <c r="L4182" i="1"/>
  <c r="M4182" i="1"/>
  <c r="N4182" i="1"/>
  <c r="A4183" i="1"/>
  <c r="B4183" i="1"/>
  <c r="F4183" i="1"/>
  <c r="G4183" i="1"/>
  <c r="H4183" i="1"/>
  <c r="I4183" i="1"/>
  <c r="J4183" i="1"/>
  <c r="K4183" i="1"/>
  <c r="L4183" i="1"/>
  <c r="M4183" i="1"/>
  <c r="N4183" i="1"/>
  <c r="A4184" i="1"/>
  <c r="B4184" i="1"/>
  <c r="F4184" i="1"/>
  <c r="G4184" i="1"/>
  <c r="H4184" i="1"/>
  <c r="I4184" i="1"/>
  <c r="J4184" i="1"/>
  <c r="K4184" i="1"/>
  <c r="L4184" i="1"/>
  <c r="M4184" i="1"/>
  <c r="N4184" i="1"/>
  <c r="A4185" i="1"/>
  <c r="B4185" i="1"/>
  <c r="F4185" i="1"/>
  <c r="G4185" i="1"/>
  <c r="H4185" i="1"/>
  <c r="I4185" i="1"/>
  <c r="J4185" i="1"/>
  <c r="K4185" i="1"/>
  <c r="L4185" i="1"/>
  <c r="M4185" i="1"/>
  <c r="N4185" i="1"/>
  <c r="A4186" i="1"/>
  <c r="B4186" i="1"/>
  <c r="F4186" i="1"/>
  <c r="G4186" i="1"/>
  <c r="H4186" i="1"/>
  <c r="I4186" i="1"/>
  <c r="J4186" i="1"/>
  <c r="K4186" i="1"/>
  <c r="L4186" i="1"/>
  <c r="M4186" i="1"/>
  <c r="N4186" i="1"/>
  <c r="A4187" i="1"/>
  <c r="B4187" i="1"/>
  <c r="F4187" i="1"/>
  <c r="G4187" i="1"/>
  <c r="H4187" i="1"/>
  <c r="I4187" i="1"/>
  <c r="J4187" i="1"/>
  <c r="K4187" i="1"/>
  <c r="L4187" i="1"/>
  <c r="M4187" i="1"/>
  <c r="N4187" i="1"/>
  <c r="A4188" i="1"/>
  <c r="B4188" i="1"/>
  <c r="F4188" i="1"/>
  <c r="G4188" i="1"/>
  <c r="H4188" i="1"/>
  <c r="I4188" i="1"/>
  <c r="J4188" i="1"/>
  <c r="K4188" i="1"/>
  <c r="L4188" i="1"/>
  <c r="M4188" i="1"/>
  <c r="N4188" i="1"/>
  <c r="A4189" i="1"/>
  <c r="B4189" i="1"/>
  <c r="F4189" i="1"/>
  <c r="G4189" i="1"/>
  <c r="H4189" i="1"/>
  <c r="I4189" i="1"/>
  <c r="J4189" i="1"/>
  <c r="K4189" i="1"/>
  <c r="L4189" i="1"/>
  <c r="M4189" i="1"/>
  <c r="N4189" i="1"/>
  <c r="A4190" i="1"/>
  <c r="B4190" i="1"/>
  <c r="F4190" i="1"/>
  <c r="G4190" i="1"/>
  <c r="H4190" i="1"/>
  <c r="I4190" i="1"/>
  <c r="J4190" i="1"/>
  <c r="K4190" i="1"/>
  <c r="L4190" i="1"/>
  <c r="M4190" i="1"/>
  <c r="N4190" i="1"/>
  <c r="A4191" i="1"/>
  <c r="B4191" i="1"/>
  <c r="F4191" i="1"/>
  <c r="G4191" i="1"/>
  <c r="H4191" i="1"/>
  <c r="I4191" i="1"/>
  <c r="J4191" i="1"/>
  <c r="K4191" i="1"/>
  <c r="L4191" i="1"/>
  <c r="M4191" i="1"/>
  <c r="N4191" i="1"/>
  <c r="A4192" i="1"/>
  <c r="B4192" i="1"/>
  <c r="F4192" i="1"/>
  <c r="G4192" i="1"/>
  <c r="H4192" i="1"/>
  <c r="I4192" i="1"/>
  <c r="J4192" i="1"/>
  <c r="K4192" i="1"/>
  <c r="L4192" i="1"/>
  <c r="M4192" i="1"/>
  <c r="N4192" i="1"/>
  <c r="A4193" i="1"/>
  <c r="B4193" i="1"/>
  <c r="F4193" i="1"/>
  <c r="G4193" i="1"/>
  <c r="H4193" i="1"/>
  <c r="I4193" i="1"/>
  <c r="J4193" i="1"/>
  <c r="K4193" i="1"/>
  <c r="L4193" i="1"/>
  <c r="M4193" i="1"/>
  <c r="N4193" i="1"/>
  <c r="A4194" i="1"/>
  <c r="B4194" i="1"/>
  <c r="F4194" i="1"/>
  <c r="G4194" i="1"/>
  <c r="H4194" i="1"/>
  <c r="I4194" i="1"/>
  <c r="J4194" i="1"/>
  <c r="K4194" i="1"/>
  <c r="L4194" i="1"/>
  <c r="M4194" i="1"/>
  <c r="N4194" i="1"/>
  <c r="A4195" i="1"/>
  <c r="B4195" i="1"/>
  <c r="F4195" i="1"/>
  <c r="G4195" i="1"/>
  <c r="H4195" i="1"/>
  <c r="I4195" i="1"/>
  <c r="J4195" i="1"/>
  <c r="K4195" i="1"/>
  <c r="L4195" i="1"/>
  <c r="M4195" i="1"/>
  <c r="N4195" i="1"/>
  <c r="A4196" i="1"/>
  <c r="B4196" i="1"/>
  <c r="F4196" i="1"/>
  <c r="G4196" i="1"/>
  <c r="H4196" i="1"/>
  <c r="I4196" i="1"/>
  <c r="J4196" i="1"/>
  <c r="K4196" i="1"/>
  <c r="L4196" i="1"/>
  <c r="M4196" i="1"/>
  <c r="N4196" i="1"/>
  <c r="A4197" i="1"/>
  <c r="B4197" i="1"/>
  <c r="F4197" i="1"/>
  <c r="G4197" i="1"/>
  <c r="H4197" i="1"/>
  <c r="I4197" i="1"/>
  <c r="J4197" i="1"/>
  <c r="K4197" i="1"/>
  <c r="L4197" i="1"/>
  <c r="M4197" i="1"/>
  <c r="N4197" i="1"/>
  <c r="A4198" i="1"/>
  <c r="B4198" i="1"/>
  <c r="F4198" i="1"/>
  <c r="G4198" i="1"/>
  <c r="H4198" i="1"/>
  <c r="I4198" i="1"/>
  <c r="J4198" i="1"/>
  <c r="K4198" i="1"/>
  <c r="L4198" i="1"/>
  <c r="M4198" i="1"/>
  <c r="N4198" i="1"/>
  <c r="A4199" i="1"/>
  <c r="B4199" i="1"/>
  <c r="F4199" i="1"/>
  <c r="G4199" i="1"/>
  <c r="H4199" i="1"/>
  <c r="I4199" i="1"/>
  <c r="J4199" i="1"/>
  <c r="K4199" i="1"/>
  <c r="L4199" i="1"/>
  <c r="M4199" i="1"/>
  <c r="N4199" i="1"/>
  <c r="A4200" i="1"/>
  <c r="B4200" i="1"/>
  <c r="F4200" i="1"/>
  <c r="G4200" i="1"/>
  <c r="H4200" i="1"/>
  <c r="I4200" i="1"/>
  <c r="J4200" i="1"/>
  <c r="K4200" i="1"/>
  <c r="L4200" i="1"/>
  <c r="M4200" i="1"/>
  <c r="N4200" i="1"/>
  <c r="A4201" i="1"/>
  <c r="B4201" i="1"/>
  <c r="F4201" i="1"/>
  <c r="G4201" i="1"/>
  <c r="H4201" i="1"/>
  <c r="I4201" i="1"/>
  <c r="J4201" i="1"/>
  <c r="K4201" i="1"/>
  <c r="L4201" i="1"/>
  <c r="M4201" i="1"/>
  <c r="N4201" i="1"/>
  <c r="A4202" i="1"/>
  <c r="B4202" i="1"/>
  <c r="F4202" i="1"/>
  <c r="G4202" i="1"/>
  <c r="H4202" i="1"/>
  <c r="I4202" i="1"/>
  <c r="J4202" i="1"/>
  <c r="K4202" i="1"/>
  <c r="L4202" i="1"/>
  <c r="M4202" i="1"/>
  <c r="N4202" i="1"/>
  <c r="A4203" i="1"/>
  <c r="B4203" i="1"/>
  <c r="F4203" i="1"/>
  <c r="G4203" i="1"/>
  <c r="H4203" i="1"/>
  <c r="I4203" i="1"/>
  <c r="J4203" i="1"/>
  <c r="K4203" i="1"/>
  <c r="L4203" i="1"/>
  <c r="M4203" i="1"/>
  <c r="N4203" i="1"/>
  <c r="A4204" i="1"/>
  <c r="B4204" i="1"/>
  <c r="F4204" i="1"/>
  <c r="G4204" i="1"/>
  <c r="H4204" i="1"/>
  <c r="I4204" i="1"/>
  <c r="J4204" i="1"/>
  <c r="K4204" i="1"/>
  <c r="L4204" i="1"/>
  <c r="M4204" i="1"/>
  <c r="N4204" i="1"/>
  <c r="A4205" i="1"/>
  <c r="B4205" i="1"/>
  <c r="F4205" i="1"/>
  <c r="G4205" i="1"/>
  <c r="H4205" i="1"/>
  <c r="I4205" i="1"/>
  <c r="J4205" i="1"/>
  <c r="K4205" i="1"/>
  <c r="L4205" i="1"/>
  <c r="M4205" i="1"/>
  <c r="N4205" i="1"/>
  <c r="A4206" i="1"/>
  <c r="B4206" i="1"/>
  <c r="F4206" i="1"/>
  <c r="G4206" i="1"/>
  <c r="H4206" i="1"/>
  <c r="I4206" i="1"/>
  <c r="J4206" i="1"/>
  <c r="K4206" i="1"/>
  <c r="L4206" i="1"/>
  <c r="M4206" i="1"/>
  <c r="N4206" i="1"/>
  <c r="A4207" i="1"/>
  <c r="B4207" i="1"/>
  <c r="F4207" i="1"/>
  <c r="G4207" i="1"/>
  <c r="H4207" i="1"/>
  <c r="I4207" i="1"/>
  <c r="J4207" i="1"/>
  <c r="K4207" i="1"/>
  <c r="L4207" i="1"/>
  <c r="M4207" i="1"/>
  <c r="N4207" i="1"/>
  <c r="A4208" i="1"/>
  <c r="B4208" i="1"/>
  <c r="F4208" i="1"/>
  <c r="G4208" i="1"/>
  <c r="H4208" i="1"/>
  <c r="I4208" i="1"/>
  <c r="J4208" i="1"/>
  <c r="K4208" i="1"/>
  <c r="L4208" i="1"/>
  <c r="M4208" i="1"/>
  <c r="N4208" i="1"/>
  <c r="A4209" i="1"/>
  <c r="B4209" i="1"/>
  <c r="F4209" i="1"/>
  <c r="G4209" i="1"/>
  <c r="H4209" i="1"/>
  <c r="I4209" i="1"/>
  <c r="J4209" i="1"/>
  <c r="K4209" i="1"/>
  <c r="L4209" i="1"/>
  <c r="M4209" i="1"/>
  <c r="N4209" i="1"/>
  <c r="A4210" i="1"/>
  <c r="B4210" i="1"/>
  <c r="F4210" i="1"/>
  <c r="G4210" i="1"/>
  <c r="H4210" i="1"/>
  <c r="I4210" i="1"/>
  <c r="J4210" i="1"/>
  <c r="K4210" i="1"/>
  <c r="L4210" i="1"/>
  <c r="M4210" i="1"/>
  <c r="N4210" i="1"/>
  <c r="A4211" i="1"/>
  <c r="B4211" i="1"/>
  <c r="F4211" i="1"/>
  <c r="G4211" i="1"/>
  <c r="H4211" i="1"/>
  <c r="I4211" i="1"/>
  <c r="J4211" i="1"/>
  <c r="K4211" i="1"/>
  <c r="L4211" i="1"/>
  <c r="M4211" i="1"/>
  <c r="N4211" i="1"/>
  <c r="A4212" i="1"/>
  <c r="B4212" i="1"/>
  <c r="F4212" i="1"/>
  <c r="G4212" i="1"/>
  <c r="H4212" i="1"/>
  <c r="I4212" i="1"/>
  <c r="J4212" i="1"/>
  <c r="K4212" i="1"/>
  <c r="L4212" i="1"/>
  <c r="M4212" i="1"/>
  <c r="N4212" i="1"/>
  <c r="A4213" i="1"/>
  <c r="B4213" i="1"/>
  <c r="F4213" i="1"/>
  <c r="G4213" i="1"/>
  <c r="H4213" i="1"/>
  <c r="I4213" i="1"/>
  <c r="J4213" i="1"/>
  <c r="K4213" i="1"/>
  <c r="L4213" i="1"/>
  <c r="M4213" i="1"/>
  <c r="N4213" i="1"/>
  <c r="A4214" i="1"/>
  <c r="B4214" i="1"/>
  <c r="F4214" i="1"/>
  <c r="G4214" i="1"/>
  <c r="H4214" i="1"/>
  <c r="I4214" i="1"/>
  <c r="J4214" i="1"/>
  <c r="K4214" i="1"/>
  <c r="L4214" i="1"/>
  <c r="M4214" i="1"/>
  <c r="N4214" i="1"/>
  <c r="A4215" i="1"/>
  <c r="B4215" i="1"/>
  <c r="F4215" i="1"/>
  <c r="G4215" i="1"/>
  <c r="H4215" i="1"/>
  <c r="I4215" i="1"/>
  <c r="J4215" i="1"/>
  <c r="K4215" i="1"/>
  <c r="L4215" i="1"/>
  <c r="M4215" i="1"/>
  <c r="N4215" i="1"/>
  <c r="A4216" i="1"/>
  <c r="B4216" i="1"/>
  <c r="F4216" i="1"/>
  <c r="G4216" i="1"/>
  <c r="H4216" i="1"/>
  <c r="I4216" i="1"/>
  <c r="J4216" i="1"/>
  <c r="K4216" i="1"/>
  <c r="L4216" i="1"/>
  <c r="M4216" i="1"/>
  <c r="N4216" i="1"/>
  <c r="A4217" i="1"/>
  <c r="B4217" i="1"/>
  <c r="F4217" i="1"/>
  <c r="G4217" i="1"/>
  <c r="H4217" i="1"/>
  <c r="I4217" i="1"/>
  <c r="J4217" i="1"/>
  <c r="K4217" i="1"/>
  <c r="L4217" i="1"/>
  <c r="M4217" i="1"/>
  <c r="N4217" i="1"/>
  <c r="A4218" i="1"/>
  <c r="B4218" i="1"/>
  <c r="F4218" i="1"/>
  <c r="G4218" i="1"/>
  <c r="H4218" i="1"/>
  <c r="I4218" i="1"/>
  <c r="J4218" i="1"/>
  <c r="K4218" i="1"/>
  <c r="L4218" i="1"/>
  <c r="M4218" i="1"/>
  <c r="N4218" i="1"/>
  <c r="A4219" i="1"/>
  <c r="B4219" i="1"/>
  <c r="F4219" i="1"/>
  <c r="G4219" i="1"/>
  <c r="H4219" i="1"/>
  <c r="I4219" i="1"/>
  <c r="J4219" i="1"/>
  <c r="K4219" i="1"/>
  <c r="L4219" i="1"/>
  <c r="M4219" i="1"/>
  <c r="N4219" i="1"/>
  <c r="A4220" i="1"/>
  <c r="B4220" i="1"/>
  <c r="F4220" i="1"/>
  <c r="G4220" i="1"/>
  <c r="H4220" i="1"/>
  <c r="I4220" i="1"/>
  <c r="J4220" i="1"/>
  <c r="K4220" i="1"/>
  <c r="L4220" i="1"/>
  <c r="M4220" i="1"/>
  <c r="N4220" i="1"/>
  <c r="A4221" i="1"/>
  <c r="B4221" i="1"/>
  <c r="F4221" i="1"/>
  <c r="G4221" i="1"/>
  <c r="H4221" i="1"/>
  <c r="I4221" i="1"/>
  <c r="J4221" i="1"/>
  <c r="K4221" i="1"/>
  <c r="L4221" i="1"/>
  <c r="M4221" i="1"/>
  <c r="N4221" i="1"/>
  <c r="A4222" i="1"/>
  <c r="B4222" i="1"/>
  <c r="F4222" i="1"/>
  <c r="G4222" i="1"/>
  <c r="H4222" i="1"/>
  <c r="I4222" i="1"/>
  <c r="J4222" i="1"/>
  <c r="K4222" i="1"/>
  <c r="L4222" i="1"/>
  <c r="M4222" i="1"/>
  <c r="N4222" i="1"/>
  <c r="A4223" i="1"/>
  <c r="B4223" i="1"/>
  <c r="F4223" i="1"/>
  <c r="G4223" i="1"/>
  <c r="H4223" i="1"/>
  <c r="I4223" i="1"/>
  <c r="J4223" i="1"/>
  <c r="K4223" i="1"/>
  <c r="L4223" i="1"/>
  <c r="M4223" i="1"/>
  <c r="N4223" i="1"/>
  <c r="A4224" i="1"/>
  <c r="B4224" i="1"/>
  <c r="F4224" i="1"/>
  <c r="G4224" i="1"/>
  <c r="H4224" i="1"/>
  <c r="I4224" i="1"/>
  <c r="J4224" i="1"/>
  <c r="K4224" i="1"/>
  <c r="L4224" i="1"/>
  <c r="M4224" i="1"/>
  <c r="N4224" i="1"/>
  <c r="A4225" i="1"/>
  <c r="B4225" i="1"/>
  <c r="F4225" i="1"/>
  <c r="G4225" i="1"/>
  <c r="H4225" i="1"/>
  <c r="I4225" i="1"/>
  <c r="J4225" i="1"/>
  <c r="K4225" i="1"/>
  <c r="L4225" i="1"/>
  <c r="M4225" i="1"/>
  <c r="N4225" i="1"/>
  <c r="A4226" i="1"/>
  <c r="B4226" i="1"/>
  <c r="F4226" i="1"/>
  <c r="G4226" i="1"/>
  <c r="H4226" i="1"/>
  <c r="I4226" i="1"/>
  <c r="J4226" i="1"/>
  <c r="K4226" i="1"/>
  <c r="L4226" i="1"/>
  <c r="M4226" i="1"/>
  <c r="N4226" i="1"/>
  <c r="A4227" i="1"/>
  <c r="B4227" i="1"/>
  <c r="F4227" i="1"/>
  <c r="G4227" i="1"/>
  <c r="H4227" i="1"/>
  <c r="I4227" i="1"/>
  <c r="J4227" i="1"/>
  <c r="K4227" i="1"/>
  <c r="L4227" i="1"/>
  <c r="M4227" i="1"/>
  <c r="N4227" i="1"/>
  <c r="A4228" i="1"/>
  <c r="B4228" i="1"/>
  <c r="F4228" i="1"/>
  <c r="G4228" i="1"/>
  <c r="H4228" i="1"/>
  <c r="I4228" i="1"/>
  <c r="J4228" i="1"/>
  <c r="K4228" i="1"/>
  <c r="L4228" i="1"/>
  <c r="M4228" i="1"/>
  <c r="N4228" i="1"/>
  <c r="A4229" i="1"/>
  <c r="B4229" i="1"/>
  <c r="F4229" i="1"/>
  <c r="G4229" i="1"/>
  <c r="H4229" i="1"/>
  <c r="I4229" i="1"/>
  <c r="J4229" i="1"/>
  <c r="K4229" i="1"/>
  <c r="L4229" i="1"/>
  <c r="M4229" i="1"/>
  <c r="N4229" i="1"/>
  <c r="A4230" i="1"/>
  <c r="B4230" i="1"/>
  <c r="F4230" i="1"/>
  <c r="G4230" i="1"/>
  <c r="H4230" i="1"/>
  <c r="I4230" i="1"/>
  <c r="J4230" i="1"/>
  <c r="K4230" i="1"/>
  <c r="L4230" i="1"/>
  <c r="M4230" i="1"/>
  <c r="N4230" i="1"/>
  <c r="A4231" i="1"/>
  <c r="B4231" i="1"/>
  <c r="F4231" i="1"/>
  <c r="G4231" i="1"/>
  <c r="H4231" i="1"/>
  <c r="I4231" i="1"/>
  <c r="J4231" i="1"/>
  <c r="K4231" i="1"/>
  <c r="L4231" i="1"/>
  <c r="M4231" i="1"/>
  <c r="N4231" i="1"/>
  <c r="A4232" i="1"/>
  <c r="B4232" i="1"/>
  <c r="F4232" i="1"/>
  <c r="G4232" i="1"/>
  <c r="H4232" i="1"/>
  <c r="I4232" i="1"/>
  <c r="J4232" i="1"/>
  <c r="K4232" i="1"/>
  <c r="L4232" i="1"/>
  <c r="M4232" i="1"/>
  <c r="N4232" i="1"/>
  <c r="A4233" i="1"/>
  <c r="B4233" i="1"/>
  <c r="F4233" i="1"/>
  <c r="G4233" i="1"/>
  <c r="H4233" i="1"/>
  <c r="I4233" i="1"/>
  <c r="J4233" i="1"/>
  <c r="K4233" i="1"/>
  <c r="L4233" i="1"/>
  <c r="M4233" i="1"/>
  <c r="N4233" i="1"/>
  <c r="A4234" i="1"/>
  <c r="B4234" i="1"/>
  <c r="F4234" i="1"/>
  <c r="G4234" i="1"/>
  <c r="H4234" i="1"/>
  <c r="I4234" i="1"/>
  <c r="J4234" i="1"/>
  <c r="K4234" i="1"/>
  <c r="L4234" i="1"/>
  <c r="M4234" i="1"/>
  <c r="N4234" i="1"/>
  <c r="A4235" i="1"/>
  <c r="B4235" i="1"/>
  <c r="F4235" i="1"/>
  <c r="G4235" i="1"/>
  <c r="H4235" i="1"/>
  <c r="I4235" i="1"/>
  <c r="J4235" i="1"/>
  <c r="K4235" i="1"/>
  <c r="L4235" i="1"/>
  <c r="M4235" i="1"/>
  <c r="N4235" i="1"/>
  <c r="A4236" i="1"/>
  <c r="B4236" i="1"/>
  <c r="F4236" i="1"/>
  <c r="G4236" i="1"/>
  <c r="H4236" i="1"/>
  <c r="I4236" i="1"/>
  <c r="J4236" i="1"/>
  <c r="K4236" i="1"/>
  <c r="L4236" i="1"/>
  <c r="M4236" i="1"/>
  <c r="N4236" i="1"/>
  <c r="A4237" i="1"/>
  <c r="B4237" i="1"/>
  <c r="F4237" i="1"/>
  <c r="G4237" i="1"/>
  <c r="H4237" i="1"/>
  <c r="I4237" i="1"/>
  <c r="J4237" i="1"/>
  <c r="K4237" i="1"/>
  <c r="L4237" i="1"/>
  <c r="M4237" i="1"/>
  <c r="N4237" i="1"/>
  <c r="A4238" i="1"/>
  <c r="B4238" i="1"/>
  <c r="F4238" i="1"/>
  <c r="G4238" i="1"/>
  <c r="H4238" i="1"/>
  <c r="I4238" i="1"/>
  <c r="J4238" i="1"/>
  <c r="K4238" i="1"/>
  <c r="L4238" i="1"/>
  <c r="M4238" i="1"/>
  <c r="N4238" i="1"/>
  <c r="A4239" i="1"/>
  <c r="B4239" i="1"/>
  <c r="F4239" i="1"/>
  <c r="G4239" i="1"/>
  <c r="H4239" i="1"/>
  <c r="I4239" i="1"/>
  <c r="J4239" i="1"/>
  <c r="K4239" i="1"/>
  <c r="L4239" i="1"/>
  <c r="M4239" i="1"/>
  <c r="N4239" i="1"/>
  <c r="A4240" i="1"/>
  <c r="B4240" i="1"/>
  <c r="F4240" i="1"/>
  <c r="G4240" i="1"/>
  <c r="H4240" i="1"/>
  <c r="I4240" i="1"/>
  <c r="J4240" i="1"/>
  <c r="K4240" i="1"/>
  <c r="L4240" i="1"/>
  <c r="M4240" i="1"/>
  <c r="N4240" i="1"/>
  <c r="A4241" i="1"/>
  <c r="B4241" i="1"/>
  <c r="F4241" i="1"/>
  <c r="G4241" i="1"/>
  <c r="H4241" i="1"/>
  <c r="I4241" i="1"/>
  <c r="J4241" i="1"/>
  <c r="K4241" i="1"/>
  <c r="L4241" i="1"/>
  <c r="M4241" i="1"/>
  <c r="N4241" i="1"/>
  <c r="A4242" i="1"/>
  <c r="B4242" i="1"/>
  <c r="F4242" i="1"/>
  <c r="G4242" i="1"/>
  <c r="H4242" i="1"/>
  <c r="I4242" i="1"/>
  <c r="J4242" i="1"/>
  <c r="K4242" i="1"/>
  <c r="L4242" i="1"/>
  <c r="M4242" i="1"/>
  <c r="N4242" i="1"/>
  <c r="A4243" i="1"/>
  <c r="B4243" i="1"/>
  <c r="F4243" i="1"/>
  <c r="G4243" i="1"/>
  <c r="H4243" i="1"/>
  <c r="I4243" i="1"/>
  <c r="J4243" i="1"/>
  <c r="K4243" i="1"/>
  <c r="L4243" i="1"/>
  <c r="M4243" i="1"/>
  <c r="N4243" i="1"/>
  <c r="A4244" i="1"/>
  <c r="B4244" i="1"/>
  <c r="F4244" i="1"/>
  <c r="G4244" i="1"/>
  <c r="H4244" i="1"/>
  <c r="I4244" i="1"/>
  <c r="J4244" i="1"/>
  <c r="K4244" i="1"/>
  <c r="L4244" i="1"/>
  <c r="M4244" i="1"/>
  <c r="N4244" i="1"/>
  <c r="A4245" i="1"/>
  <c r="B4245" i="1"/>
  <c r="F4245" i="1"/>
  <c r="G4245" i="1"/>
  <c r="H4245" i="1"/>
  <c r="I4245" i="1"/>
  <c r="J4245" i="1"/>
  <c r="K4245" i="1"/>
  <c r="L4245" i="1"/>
  <c r="M4245" i="1"/>
  <c r="N4245" i="1"/>
  <c r="A4246" i="1"/>
  <c r="B4246" i="1"/>
  <c r="F4246" i="1"/>
  <c r="G4246" i="1"/>
  <c r="H4246" i="1"/>
  <c r="I4246" i="1"/>
  <c r="J4246" i="1"/>
  <c r="K4246" i="1"/>
  <c r="L4246" i="1"/>
  <c r="M4246" i="1"/>
  <c r="N4246" i="1"/>
  <c r="A4247" i="1"/>
  <c r="B4247" i="1"/>
  <c r="F4247" i="1"/>
  <c r="G4247" i="1"/>
  <c r="H4247" i="1"/>
  <c r="I4247" i="1"/>
  <c r="J4247" i="1"/>
  <c r="K4247" i="1"/>
  <c r="L4247" i="1"/>
  <c r="M4247" i="1"/>
  <c r="N4247" i="1"/>
  <c r="A4248" i="1"/>
  <c r="B4248" i="1"/>
  <c r="F4248" i="1"/>
  <c r="G4248" i="1"/>
  <c r="H4248" i="1"/>
  <c r="I4248" i="1"/>
  <c r="J4248" i="1"/>
  <c r="K4248" i="1"/>
  <c r="L4248" i="1"/>
  <c r="M4248" i="1"/>
  <c r="N4248" i="1"/>
  <c r="A4249" i="1"/>
  <c r="B4249" i="1"/>
  <c r="F4249" i="1"/>
  <c r="G4249" i="1"/>
  <c r="H4249" i="1"/>
  <c r="I4249" i="1"/>
  <c r="J4249" i="1"/>
  <c r="K4249" i="1"/>
  <c r="L4249" i="1"/>
  <c r="M4249" i="1"/>
  <c r="N4249" i="1"/>
  <c r="A4250" i="1"/>
  <c r="B4250" i="1"/>
  <c r="F4250" i="1"/>
  <c r="G4250" i="1"/>
  <c r="H4250" i="1"/>
  <c r="I4250" i="1"/>
  <c r="J4250" i="1"/>
  <c r="K4250" i="1"/>
  <c r="L4250" i="1"/>
  <c r="M4250" i="1"/>
  <c r="N4250" i="1"/>
  <c r="A4251" i="1"/>
  <c r="B4251" i="1"/>
  <c r="F4251" i="1"/>
  <c r="G4251" i="1"/>
  <c r="H4251" i="1"/>
  <c r="I4251" i="1"/>
  <c r="J4251" i="1"/>
  <c r="K4251" i="1"/>
  <c r="L4251" i="1"/>
  <c r="M4251" i="1"/>
  <c r="N4251" i="1"/>
  <c r="A4252" i="1"/>
  <c r="B4252" i="1"/>
  <c r="F4252" i="1"/>
  <c r="G4252" i="1"/>
  <c r="H4252" i="1"/>
  <c r="I4252" i="1"/>
  <c r="J4252" i="1"/>
  <c r="K4252" i="1"/>
  <c r="L4252" i="1"/>
  <c r="M4252" i="1"/>
  <c r="N4252" i="1"/>
  <c r="A4253" i="1"/>
  <c r="B4253" i="1"/>
  <c r="F4253" i="1"/>
  <c r="G4253" i="1"/>
  <c r="H4253" i="1"/>
  <c r="I4253" i="1"/>
  <c r="J4253" i="1"/>
  <c r="K4253" i="1"/>
  <c r="L4253" i="1"/>
  <c r="M4253" i="1"/>
  <c r="N4253" i="1"/>
  <c r="A4254" i="1"/>
  <c r="B4254" i="1"/>
  <c r="F4254" i="1"/>
  <c r="G4254" i="1"/>
  <c r="H4254" i="1"/>
  <c r="I4254" i="1"/>
  <c r="J4254" i="1"/>
  <c r="K4254" i="1"/>
  <c r="L4254" i="1"/>
  <c r="M4254" i="1"/>
  <c r="N4254" i="1"/>
  <c r="A4255" i="1"/>
  <c r="B4255" i="1"/>
  <c r="F4255" i="1"/>
  <c r="G4255" i="1"/>
  <c r="H4255" i="1"/>
  <c r="I4255" i="1"/>
  <c r="J4255" i="1"/>
  <c r="K4255" i="1"/>
  <c r="L4255" i="1"/>
  <c r="M4255" i="1"/>
  <c r="N4255" i="1"/>
  <c r="A4256" i="1"/>
  <c r="B4256" i="1"/>
  <c r="F4256" i="1"/>
  <c r="G4256" i="1"/>
  <c r="H4256" i="1"/>
  <c r="I4256" i="1"/>
  <c r="J4256" i="1"/>
  <c r="K4256" i="1"/>
  <c r="L4256" i="1"/>
  <c r="M4256" i="1"/>
  <c r="N4256" i="1"/>
  <c r="A4257" i="1"/>
  <c r="B4257" i="1"/>
  <c r="F4257" i="1"/>
  <c r="G4257" i="1"/>
  <c r="H4257" i="1"/>
  <c r="I4257" i="1"/>
  <c r="J4257" i="1"/>
  <c r="K4257" i="1"/>
  <c r="L4257" i="1"/>
  <c r="M4257" i="1"/>
  <c r="N4257" i="1"/>
  <c r="A4258" i="1"/>
  <c r="B4258" i="1"/>
  <c r="F4258" i="1"/>
  <c r="G4258" i="1"/>
  <c r="H4258" i="1"/>
  <c r="I4258" i="1"/>
  <c r="J4258" i="1"/>
  <c r="K4258" i="1"/>
  <c r="L4258" i="1"/>
  <c r="M4258" i="1"/>
  <c r="N4258" i="1"/>
  <c r="A4259" i="1"/>
  <c r="B4259" i="1"/>
  <c r="F4259" i="1"/>
  <c r="G4259" i="1"/>
  <c r="H4259" i="1"/>
  <c r="I4259" i="1"/>
  <c r="J4259" i="1"/>
  <c r="K4259" i="1"/>
  <c r="L4259" i="1"/>
  <c r="M4259" i="1"/>
  <c r="N4259" i="1"/>
  <c r="A4260" i="1"/>
  <c r="B4260" i="1"/>
  <c r="F4260" i="1"/>
  <c r="G4260" i="1"/>
  <c r="H4260" i="1"/>
  <c r="I4260" i="1"/>
  <c r="J4260" i="1"/>
  <c r="K4260" i="1"/>
  <c r="L4260" i="1"/>
  <c r="M4260" i="1"/>
  <c r="N4260" i="1"/>
  <c r="A4261" i="1"/>
  <c r="B4261" i="1"/>
  <c r="F4261" i="1"/>
  <c r="G4261" i="1"/>
  <c r="H4261" i="1"/>
  <c r="I4261" i="1"/>
  <c r="J4261" i="1"/>
  <c r="K4261" i="1"/>
  <c r="L4261" i="1"/>
  <c r="M4261" i="1"/>
  <c r="N4261" i="1"/>
  <c r="A4262" i="1"/>
  <c r="B4262" i="1"/>
  <c r="F4262" i="1"/>
  <c r="G4262" i="1"/>
  <c r="H4262" i="1"/>
  <c r="I4262" i="1"/>
  <c r="J4262" i="1"/>
  <c r="K4262" i="1"/>
  <c r="L4262" i="1"/>
  <c r="M4262" i="1"/>
  <c r="N4262" i="1"/>
  <c r="A4263" i="1"/>
  <c r="B4263" i="1"/>
  <c r="F4263" i="1"/>
  <c r="G4263" i="1"/>
  <c r="H4263" i="1"/>
  <c r="I4263" i="1"/>
  <c r="J4263" i="1"/>
  <c r="K4263" i="1"/>
  <c r="L4263" i="1"/>
  <c r="M4263" i="1"/>
  <c r="N4263" i="1"/>
  <c r="A4264" i="1"/>
  <c r="B4264" i="1"/>
  <c r="F4264" i="1"/>
  <c r="G4264" i="1"/>
  <c r="H4264" i="1"/>
  <c r="I4264" i="1"/>
  <c r="J4264" i="1"/>
  <c r="K4264" i="1"/>
  <c r="L4264" i="1"/>
  <c r="M4264" i="1"/>
  <c r="N4264" i="1"/>
  <c r="A4265" i="1"/>
  <c r="B4265" i="1"/>
  <c r="F4265" i="1"/>
  <c r="G4265" i="1"/>
  <c r="H4265" i="1"/>
  <c r="I4265" i="1"/>
  <c r="J4265" i="1"/>
  <c r="K4265" i="1"/>
  <c r="L4265" i="1"/>
  <c r="M4265" i="1"/>
  <c r="N4265" i="1"/>
  <c r="A4266" i="1"/>
  <c r="B4266" i="1"/>
  <c r="F4266" i="1"/>
  <c r="G4266" i="1"/>
  <c r="H4266" i="1"/>
  <c r="I4266" i="1"/>
  <c r="J4266" i="1"/>
  <c r="K4266" i="1"/>
  <c r="L4266" i="1"/>
  <c r="M4266" i="1"/>
  <c r="N4266" i="1"/>
  <c r="A4267" i="1"/>
  <c r="B4267" i="1"/>
  <c r="F4267" i="1"/>
  <c r="G4267" i="1"/>
  <c r="H4267" i="1"/>
  <c r="I4267" i="1"/>
  <c r="J4267" i="1"/>
  <c r="K4267" i="1"/>
  <c r="L4267" i="1"/>
  <c r="M4267" i="1"/>
  <c r="N4267" i="1"/>
  <c r="A4268" i="1"/>
  <c r="B4268" i="1"/>
  <c r="F4268" i="1"/>
  <c r="G4268" i="1"/>
  <c r="H4268" i="1"/>
  <c r="I4268" i="1"/>
  <c r="J4268" i="1"/>
  <c r="K4268" i="1"/>
  <c r="L4268" i="1"/>
  <c r="M4268" i="1"/>
  <c r="N4268" i="1"/>
  <c r="A4269" i="1"/>
  <c r="B4269" i="1"/>
  <c r="F4269" i="1"/>
  <c r="G4269" i="1"/>
  <c r="H4269" i="1"/>
  <c r="I4269" i="1"/>
  <c r="J4269" i="1"/>
  <c r="K4269" i="1"/>
  <c r="L4269" i="1"/>
  <c r="M4269" i="1"/>
  <c r="N4269" i="1"/>
  <c r="A4270" i="1"/>
  <c r="B4270" i="1"/>
  <c r="F4270" i="1"/>
  <c r="G4270" i="1"/>
  <c r="H4270" i="1"/>
  <c r="I4270" i="1"/>
  <c r="J4270" i="1"/>
  <c r="K4270" i="1"/>
  <c r="L4270" i="1"/>
  <c r="M4270" i="1"/>
  <c r="N4270" i="1"/>
  <c r="A4271" i="1"/>
  <c r="B4271" i="1"/>
  <c r="F4271" i="1"/>
  <c r="G4271" i="1"/>
  <c r="H4271" i="1"/>
  <c r="I4271" i="1"/>
  <c r="J4271" i="1"/>
  <c r="K4271" i="1"/>
  <c r="L4271" i="1"/>
  <c r="M4271" i="1"/>
  <c r="N4271" i="1"/>
  <c r="A4272" i="1"/>
  <c r="B4272" i="1"/>
  <c r="F4272" i="1"/>
  <c r="G4272" i="1"/>
  <c r="H4272" i="1"/>
  <c r="I4272" i="1"/>
  <c r="J4272" i="1"/>
  <c r="K4272" i="1"/>
  <c r="L4272" i="1"/>
  <c r="M4272" i="1"/>
  <c r="N4272" i="1"/>
  <c r="A4273" i="1"/>
  <c r="B4273" i="1"/>
  <c r="F4273" i="1"/>
  <c r="G4273" i="1"/>
  <c r="H4273" i="1"/>
  <c r="I4273" i="1"/>
  <c r="J4273" i="1"/>
  <c r="K4273" i="1"/>
  <c r="L4273" i="1"/>
  <c r="M4273" i="1"/>
  <c r="N4273" i="1"/>
  <c r="A4274" i="1"/>
  <c r="B4274" i="1"/>
  <c r="F4274" i="1"/>
  <c r="G4274" i="1"/>
  <c r="H4274" i="1"/>
  <c r="I4274" i="1"/>
  <c r="J4274" i="1"/>
  <c r="K4274" i="1"/>
  <c r="L4274" i="1"/>
  <c r="M4274" i="1"/>
  <c r="N4274" i="1"/>
  <c r="A4275" i="1"/>
  <c r="B4275" i="1"/>
  <c r="F4275" i="1"/>
  <c r="G4275" i="1"/>
  <c r="H4275" i="1"/>
  <c r="I4275" i="1"/>
  <c r="J4275" i="1"/>
  <c r="K4275" i="1"/>
  <c r="L4275" i="1"/>
  <c r="M4275" i="1"/>
  <c r="N4275" i="1"/>
  <c r="A4276" i="1"/>
  <c r="B4276" i="1"/>
  <c r="F4276" i="1"/>
  <c r="G4276" i="1"/>
  <c r="H4276" i="1"/>
  <c r="I4276" i="1"/>
  <c r="J4276" i="1"/>
  <c r="K4276" i="1"/>
  <c r="L4276" i="1"/>
  <c r="M4276" i="1"/>
  <c r="N4276" i="1"/>
  <c r="A4277" i="1"/>
  <c r="B4277" i="1"/>
  <c r="F4277" i="1"/>
  <c r="G4277" i="1"/>
  <c r="H4277" i="1"/>
  <c r="I4277" i="1"/>
  <c r="J4277" i="1"/>
  <c r="K4277" i="1"/>
  <c r="L4277" i="1"/>
  <c r="M4277" i="1"/>
  <c r="N4277" i="1"/>
  <c r="A4278" i="1"/>
  <c r="B4278" i="1"/>
  <c r="F4278" i="1"/>
  <c r="G4278" i="1"/>
  <c r="H4278" i="1"/>
  <c r="I4278" i="1"/>
  <c r="J4278" i="1"/>
  <c r="K4278" i="1"/>
  <c r="L4278" i="1"/>
  <c r="M4278" i="1"/>
  <c r="N4278" i="1"/>
  <c r="A4279" i="1"/>
  <c r="B4279" i="1"/>
  <c r="F4279" i="1"/>
  <c r="G4279" i="1"/>
  <c r="H4279" i="1"/>
  <c r="I4279" i="1"/>
  <c r="J4279" i="1"/>
  <c r="K4279" i="1"/>
  <c r="L4279" i="1"/>
  <c r="M4279" i="1"/>
  <c r="N4279" i="1"/>
  <c r="A4280" i="1"/>
  <c r="B4280" i="1"/>
  <c r="F4280" i="1"/>
  <c r="G4280" i="1"/>
  <c r="H4280" i="1"/>
  <c r="I4280" i="1"/>
  <c r="J4280" i="1"/>
  <c r="K4280" i="1"/>
  <c r="L4280" i="1"/>
  <c r="M4280" i="1"/>
  <c r="N4280" i="1"/>
  <c r="A4281" i="1"/>
  <c r="B4281" i="1"/>
  <c r="F4281" i="1"/>
  <c r="G4281" i="1"/>
  <c r="H4281" i="1"/>
  <c r="I4281" i="1"/>
  <c r="J4281" i="1"/>
  <c r="K4281" i="1"/>
  <c r="L4281" i="1"/>
  <c r="M4281" i="1"/>
  <c r="N4281" i="1"/>
  <c r="A4282" i="1"/>
  <c r="B4282" i="1"/>
  <c r="F4282" i="1"/>
  <c r="G4282" i="1"/>
  <c r="H4282" i="1"/>
  <c r="I4282" i="1"/>
  <c r="J4282" i="1"/>
  <c r="K4282" i="1"/>
  <c r="L4282" i="1"/>
  <c r="M4282" i="1"/>
  <c r="N4282" i="1"/>
  <c r="A4283" i="1"/>
  <c r="B4283" i="1"/>
  <c r="F4283" i="1"/>
  <c r="G4283" i="1"/>
  <c r="H4283" i="1"/>
  <c r="I4283" i="1"/>
  <c r="J4283" i="1"/>
  <c r="K4283" i="1"/>
  <c r="L4283" i="1"/>
  <c r="M4283" i="1"/>
  <c r="N4283" i="1"/>
  <c r="A4284" i="1"/>
  <c r="B4284" i="1"/>
  <c r="F4284" i="1"/>
  <c r="G4284" i="1"/>
  <c r="H4284" i="1"/>
  <c r="I4284" i="1"/>
  <c r="J4284" i="1"/>
  <c r="K4284" i="1"/>
  <c r="L4284" i="1"/>
  <c r="M4284" i="1"/>
  <c r="N4284" i="1"/>
  <c r="A4285" i="1"/>
  <c r="B4285" i="1"/>
  <c r="F4285" i="1"/>
  <c r="G4285" i="1"/>
  <c r="H4285" i="1"/>
  <c r="I4285" i="1"/>
  <c r="J4285" i="1"/>
  <c r="K4285" i="1"/>
  <c r="L4285" i="1"/>
  <c r="M4285" i="1"/>
  <c r="N4285" i="1"/>
  <c r="A4286" i="1"/>
  <c r="B4286" i="1"/>
  <c r="F4286" i="1"/>
  <c r="G4286" i="1"/>
  <c r="H4286" i="1"/>
  <c r="I4286" i="1"/>
  <c r="J4286" i="1"/>
  <c r="K4286" i="1"/>
  <c r="L4286" i="1"/>
  <c r="M4286" i="1"/>
  <c r="N4286" i="1"/>
  <c r="A4287" i="1"/>
  <c r="B4287" i="1"/>
  <c r="F4287" i="1"/>
  <c r="G4287" i="1"/>
  <c r="H4287" i="1"/>
  <c r="I4287" i="1"/>
  <c r="J4287" i="1"/>
  <c r="K4287" i="1"/>
  <c r="L4287" i="1"/>
  <c r="M4287" i="1"/>
  <c r="N4287" i="1"/>
  <c r="A4288" i="1"/>
  <c r="B4288" i="1"/>
  <c r="F4288" i="1"/>
  <c r="G4288" i="1"/>
  <c r="H4288" i="1"/>
  <c r="I4288" i="1"/>
  <c r="J4288" i="1"/>
  <c r="K4288" i="1"/>
  <c r="L4288" i="1"/>
  <c r="M4288" i="1"/>
  <c r="N4288" i="1"/>
  <c r="A4289" i="1"/>
  <c r="B4289" i="1"/>
  <c r="F4289" i="1"/>
  <c r="G4289" i="1"/>
  <c r="H4289" i="1"/>
  <c r="I4289" i="1"/>
  <c r="J4289" i="1"/>
  <c r="K4289" i="1"/>
  <c r="L4289" i="1"/>
  <c r="M4289" i="1"/>
  <c r="N4289" i="1"/>
  <c r="A4290" i="1"/>
  <c r="B4290" i="1"/>
  <c r="F4290" i="1"/>
  <c r="G4290" i="1"/>
  <c r="H4290" i="1"/>
  <c r="I4290" i="1"/>
  <c r="J4290" i="1"/>
  <c r="K4290" i="1"/>
  <c r="L4290" i="1"/>
  <c r="M4290" i="1"/>
  <c r="N4290" i="1"/>
  <c r="A4291" i="1"/>
  <c r="B4291" i="1"/>
  <c r="F4291" i="1"/>
  <c r="G4291" i="1"/>
  <c r="H4291" i="1"/>
  <c r="I4291" i="1"/>
  <c r="J4291" i="1"/>
  <c r="K4291" i="1"/>
  <c r="L4291" i="1"/>
  <c r="M4291" i="1"/>
  <c r="N4291" i="1"/>
  <c r="A4292" i="1"/>
  <c r="B4292" i="1"/>
  <c r="F4292" i="1"/>
  <c r="G4292" i="1"/>
  <c r="H4292" i="1"/>
  <c r="I4292" i="1"/>
  <c r="J4292" i="1"/>
  <c r="K4292" i="1"/>
  <c r="L4292" i="1"/>
  <c r="M4292" i="1"/>
  <c r="N4292" i="1"/>
  <c r="A4293" i="1"/>
  <c r="B4293" i="1"/>
  <c r="F4293" i="1"/>
  <c r="G4293" i="1"/>
  <c r="H4293" i="1"/>
  <c r="I4293" i="1"/>
  <c r="J4293" i="1"/>
  <c r="K4293" i="1"/>
  <c r="L4293" i="1"/>
  <c r="M4293" i="1"/>
  <c r="N4293" i="1"/>
  <c r="A4294" i="1"/>
  <c r="B4294" i="1"/>
  <c r="F4294" i="1"/>
  <c r="G4294" i="1"/>
  <c r="H4294" i="1"/>
  <c r="I4294" i="1"/>
  <c r="J4294" i="1"/>
  <c r="K4294" i="1"/>
  <c r="L4294" i="1"/>
  <c r="M4294" i="1"/>
  <c r="N4294" i="1"/>
  <c r="A4295" i="1"/>
  <c r="B4295" i="1"/>
  <c r="F4295" i="1"/>
  <c r="G4295" i="1"/>
  <c r="H4295" i="1"/>
  <c r="I4295" i="1"/>
  <c r="J4295" i="1"/>
  <c r="K4295" i="1"/>
  <c r="L4295" i="1"/>
  <c r="M4295" i="1"/>
  <c r="N4295" i="1"/>
  <c r="A4296" i="1"/>
  <c r="B4296" i="1"/>
  <c r="F4296" i="1"/>
  <c r="G4296" i="1"/>
  <c r="H4296" i="1"/>
  <c r="I4296" i="1"/>
  <c r="J4296" i="1"/>
  <c r="K4296" i="1"/>
  <c r="L4296" i="1"/>
  <c r="M4296" i="1"/>
  <c r="N4296" i="1"/>
  <c r="A4297" i="1"/>
  <c r="B4297" i="1"/>
  <c r="F4297" i="1"/>
  <c r="G4297" i="1"/>
  <c r="H4297" i="1"/>
  <c r="I4297" i="1"/>
  <c r="J4297" i="1"/>
  <c r="K4297" i="1"/>
  <c r="L4297" i="1"/>
  <c r="M4297" i="1"/>
  <c r="N4297" i="1"/>
  <c r="A4298" i="1"/>
  <c r="B4298" i="1"/>
  <c r="F4298" i="1"/>
  <c r="G4298" i="1"/>
  <c r="H4298" i="1"/>
  <c r="I4298" i="1"/>
  <c r="J4298" i="1"/>
  <c r="K4298" i="1"/>
  <c r="L4298" i="1"/>
  <c r="M4298" i="1"/>
  <c r="N4298" i="1"/>
  <c r="A4299" i="1"/>
  <c r="B4299" i="1"/>
  <c r="F4299" i="1"/>
  <c r="G4299" i="1"/>
  <c r="H4299" i="1"/>
  <c r="I4299" i="1"/>
  <c r="J4299" i="1"/>
  <c r="K4299" i="1"/>
  <c r="L4299" i="1"/>
  <c r="M4299" i="1"/>
  <c r="N4299" i="1"/>
  <c r="A4300" i="1"/>
  <c r="B4300" i="1"/>
  <c r="F4300" i="1"/>
  <c r="G4300" i="1"/>
  <c r="H4300" i="1"/>
  <c r="I4300" i="1"/>
  <c r="J4300" i="1"/>
  <c r="K4300" i="1"/>
  <c r="L4300" i="1"/>
  <c r="M4300" i="1"/>
  <c r="N4300" i="1"/>
  <c r="A4301" i="1"/>
  <c r="B4301" i="1"/>
  <c r="F4301" i="1"/>
  <c r="G4301" i="1"/>
  <c r="H4301" i="1"/>
  <c r="I4301" i="1"/>
  <c r="J4301" i="1"/>
  <c r="K4301" i="1"/>
  <c r="L4301" i="1"/>
  <c r="M4301" i="1"/>
  <c r="N4301" i="1"/>
  <c r="A4302" i="1"/>
  <c r="B4302" i="1"/>
  <c r="F4302" i="1"/>
  <c r="G4302" i="1"/>
  <c r="H4302" i="1"/>
  <c r="I4302" i="1"/>
  <c r="J4302" i="1"/>
  <c r="K4302" i="1"/>
  <c r="L4302" i="1"/>
  <c r="M4302" i="1"/>
  <c r="N4302" i="1"/>
  <c r="A4303" i="1"/>
  <c r="B4303" i="1"/>
  <c r="F4303" i="1"/>
  <c r="G4303" i="1"/>
  <c r="H4303" i="1"/>
  <c r="I4303" i="1"/>
  <c r="J4303" i="1"/>
  <c r="K4303" i="1"/>
  <c r="L4303" i="1"/>
  <c r="M4303" i="1"/>
  <c r="N4303" i="1"/>
  <c r="A4304" i="1"/>
  <c r="B4304" i="1"/>
  <c r="F4304" i="1"/>
  <c r="G4304" i="1"/>
  <c r="H4304" i="1"/>
  <c r="I4304" i="1"/>
  <c r="J4304" i="1"/>
  <c r="K4304" i="1"/>
  <c r="L4304" i="1"/>
  <c r="M4304" i="1"/>
  <c r="N4304" i="1"/>
  <c r="A4305" i="1"/>
  <c r="B4305" i="1"/>
  <c r="F4305" i="1"/>
  <c r="G4305" i="1"/>
  <c r="H4305" i="1"/>
  <c r="I4305" i="1"/>
  <c r="J4305" i="1"/>
  <c r="K4305" i="1"/>
  <c r="L4305" i="1"/>
  <c r="M4305" i="1"/>
  <c r="N4305" i="1"/>
  <c r="A4306" i="1"/>
  <c r="B4306" i="1"/>
  <c r="F4306" i="1"/>
  <c r="G4306" i="1"/>
  <c r="H4306" i="1"/>
  <c r="I4306" i="1"/>
  <c r="J4306" i="1"/>
  <c r="K4306" i="1"/>
  <c r="L4306" i="1"/>
  <c r="M4306" i="1"/>
  <c r="N4306" i="1"/>
  <c r="A4307" i="1"/>
  <c r="B4307" i="1"/>
  <c r="F4307" i="1"/>
  <c r="G4307" i="1"/>
  <c r="H4307" i="1"/>
  <c r="I4307" i="1"/>
  <c r="J4307" i="1"/>
  <c r="K4307" i="1"/>
  <c r="L4307" i="1"/>
  <c r="M4307" i="1"/>
  <c r="N4307" i="1"/>
  <c r="A4308" i="1"/>
  <c r="B4308" i="1"/>
  <c r="F4308" i="1"/>
  <c r="G4308" i="1"/>
  <c r="H4308" i="1"/>
  <c r="I4308" i="1"/>
  <c r="J4308" i="1"/>
  <c r="K4308" i="1"/>
  <c r="L4308" i="1"/>
  <c r="M4308" i="1"/>
  <c r="N4308" i="1"/>
  <c r="A4309" i="1"/>
  <c r="B4309" i="1"/>
  <c r="F4309" i="1"/>
  <c r="G4309" i="1"/>
  <c r="H4309" i="1"/>
  <c r="I4309" i="1"/>
  <c r="J4309" i="1"/>
  <c r="K4309" i="1"/>
  <c r="L4309" i="1"/>
  <c r="M4309" i="1"/>
  <c r="N4309" i="1"/>
  <c r="A4310" i="1"/>
  <c r="B4310" i="1"/>
  <c r="F4310" i="1"/>
  <c r="G4310" i="1"/>
  <c r="H4310" i="1"/>
  <c r="I4310" i="1"/>
  <c r="J4310" i="1"/>
  <c r="K4310" i="1"/>
  <c r="L4310" i="1"/>
  <c r="M4310" i="1"/>
  <c r="N4310" i="1"/>
  <c r="A4311" i="1"/>
  <c r="B4311" i="1"/>
  <c r="F4311" i="1"/>
  <c r="G4311" i="1"/>
  <c r="H4311" i="1"/>
  <c r="I4311" i="1"/>
  <c r="J4311" i="1"/>
  <c r="K4311" i="1"/>
  <c r="L4311" i="1"/>
  <c r="M4311" i="1"/>
  <c r="N4311" i="1"/>
  <c r="A4312" i="1"/>
  <c r="B4312" i="1"/>
  <c r="F4312" i="1"/>
  <c r="G4312" i="1"/>
  <c r="H4312" i="1"/>
  <c r="I4312" i="1"/>
  <c r="J4312" i="1"/>
  <c r="K4312" i="1"/>
  <c r="L4312" i="1"/>
  <c r="M4312" i="1"/>
  <c r="N4312" i="1"/>
  <c r="A4313" i="1"/>
  <c r="B4313" i="1"/>
  <c r="F4313" i="1"/>
  <c r="G4313" i="1"/>
  <c r="H4313" i="1"/>
  <c r="I4313" i="1"/>
  <c r="J4313" i="1"/>
  <c r="K4313" i="1"/>
  <c r="L4313" i="1"/>
  <c r="M4313" i="1"/>
  <c r="N4313" i="1"/>
  <c r="A4314" i="1"/>
  <c r="B4314" i="1"/>
  <c r="F4314" i="1"/>
  <c r="G4314" i="1"/>
  <c r="H4314" i="1"/>
  <c r="I4314" i="1"/>
  <c r="J4314" i="1"/>
  <c r="K4314" i="1"/>
  <c r="L4314" i="1"/>
  <c r="M4314" i="1"/>
  <c r="N4314" i="1"/>
  <c r="A4315" i="1"/>
  <c r="B4315" i="1"/>
  <c r="F4315" i="1"/>
  <c r="G4315" i="1"/>
  <c r="H4315" i="1"/>
  <c r="I4315" i="1"/>
  <c r="J4315" i="1"/>
  <c r="K4315" i="1"/>
  <c r="L4315" i="1"/>
  <c r="M4315" i="1"/>
  <c r="N4315" i="1"/>
  <c r="A4316" i="1"/>
  <c r="B4316" i="1"/>
  <c r="F4316" i="1"/>
  <c r="G4316" i="1"/>
  <c r="H4316" i="1"/>
  <c r="I4316" i="1"/>
  <c r="J4316" i="1"/>
  <c r="K4316" i="1"/>
  <c r="L4316" i="1"/>
  <c r="M4316" i="1"/>
  <c r="N4316" i="1"/>
  <c r="A4317" i="1"/>
  <c r="B4317" i="1"/>
  <c r="F4317" i="1"/>
  <c r="G4317" i="1"/>
  <c r="H4317" i="1"/>
  <c r="I4317" i="1"/>
  <c r="J4317" i="1"/>
  <c r="K4317" i="1"/>
  <c r="L4317" i="1"/>
  <c r="M4317" i="1"/>
  <c r="N4317" i="1"/>
  <c r="A4318" i="1"/>
  <c r="B4318" i="1"/>
  <c r="F4318" i="1"/>
  <c r="G4318" i="1"/>
  <c r="H4318" i="1"/>
  <c r="I4318" i="1"/>
  <c r="J4318" i="1"/>
  <c r="K4318" i="1"/>
  <c r="L4318" i="1"/>
  <c r="M4318" i="1"/>
  <c r="N4318" i="1"/>
  <c r="A4319" i="1"/>
  <c r="B4319" i="1"/>
  <c r="F4319" i="1"/>
  <c r="G4319" i="1"/>
  <c r="H4319" i="1"/>
  <c r="I4319" i="1"/>
  <c r="J4319" i="1"/>
  <c r="K4319" i="1"/>
  <c r="L4319" i="1"/>
  <c r="M4319" i="1"/>
  <c r="N4319" i="1"/>
  <c r="A4320" i="1"/>
  <c r="B4320" i="1"/>
  <c r="F4320" i="1"/>
  <c r="G4320" i="1"/>
  <c r="H4320" i="1"/>
  <c r="I4320" i="1"/>
  <c r="J4320" i="1"/>
  <c r="K4320" i="1"/>
  <c r="L4320" i="1"/>
  <c r="M4320" i="1"/>
  <c r="N4320" i="1"/>
  <c r="A4321" i="1"/>
  <c r="B4321" i="1"/>
  <c r="F4321" i="1"/>
  <c r="G4321" i="1"/>
  <c r="H4321" i="1"/>
  <c r="I4321" i="1"/>
  <c r="J4321" i="1"/>
  <c r="K4321" i="1"/>
  <c r="L4321" i="1"/>
  <c r="M4321" i="1"/>
  <c r="N4321" i="1"/>
  <c r="A4322" i="1"/>
  <c r="B4322" i="1"/>
  <c r="F4322" i="1"/>
  <c r="G4322" i="1"/>
  <c r="H4322" i="1"/>
  <c r="I4322" i="1"/>
  <c r="J4322" i="1"/>
  <c r="K4322" i="1"/>
  <c r="L4322" i="1"/>
  <c r="M4322" i="1"/>
  <c r="N4322" i="1"/>
  <c r="A4323" i="1"/>
  <c r="B4323" i="1"/>
  <c r="F4323" i="1"/>
  <c r="G4323" i="1"/>
  <c r="H4323" i="1"/>
  <c r="I4323" i="1"/>
  <c r="J4323" i="1"/>
  <c r="K4323" i="1"/>
  <c r="L4323" i="1"/>
  <c r="M4323" i="1"/>
  <c r="N4323" i="1"/>
  <c r="A4324" i="1"/>
  <c r="B4324" i="1"/>
  <c r="F4324" i="1"/>
  <c r="G4324" i="1"/>
  <c r="H4324" i="1"/>
  <c r="I4324" i="1"/>
  <c r="J4324" i="1"/>
  <c r="K4324" i="1"/>
  <c r="L4324" i="1"/>
  <c r="M4324" i="1"/>
  <c r="N4324" i="1"/>
  <c r="A4325" i="1"/>
  <c r="B4325" i="1"/>
  <c r="F4325" i="1"/>
  <c r="G4325" i="1"/>
  <c r="H4325" i="1"/>
  <c r="I4325" i="1"/>
  <c r="J4325" i="1"/>
  <c r="K4325" i="1"/>
  <c r="L4325" i="1"/>
  <c r="M4325" i="1"/>
  <c r="N4325" i="1"/>
  <c r="A4326" i="1"/>
  <c r="B4326" i="1"/>
  <c r="F4326" i="1"/>
  <c r="G4326" i="1"/>
  <c r="H4326" i="1"/>
  <c r="I4326" i="1"/>
  <c r="J4326" i="1"/>
  <c r="K4326" i="1"/>
  <c r="L4326" i="1"/>
  <c r="M4326" i="1"/>
  <c r="N4326" i="1"/>
  <c r="A4327" i="1"/>
  <c r="B4327" i="1"/>
  <c r="F4327" i="1"/>
  <c r="G4327" i="1"/>
  <c r="H4327" i="1"/>
  <c r="I4327" i="1"/>
  <c r="J4327" i="1"/>
  <c r="K4327" i="1"/>
  <c r="L4327" i="1"/>
  <c r="M4327" i="1"/>
  <c r="N4327" i="1"/>
  <c r="A4328" i="1"/>
  <c r="B4328" i="1"/>
  <c r="F4328" i="1"/>
  <c r="G4328" i="1"/>
  <c r="H4328" i="1"/>
  <c r="I4328" i="1"/>
  <c r="J4328" i="1"/>
  <c r="K4328" i="1"/>
  <c r="L4328" i="1"/>
  <c r="M4328" i="1"/>
  <c r="N4328" i="1"/>
  <c r="A4329" i="1"/>
  <c r="B4329" i="1"/>
  <c r="F4329" i="1"/>
  <c r="G4329" i="1"/>
  <c r="H4329" i="1"/>
  <c r="I4329" i="1"/>
  <c r="J4329" i="1"/>
  <c r="K4329" i="1"/>
  <c r="L4329" i="1"/>
  <c r="M4329" i="1"/>
  <c r="N4329" i="1"/>
  <c r="A4330" i="1"/>
  <c r="B4330" i="1"/>
  <c r="F4330" i="1"/>
  <c r="G4330" i="1"/>
  <c r="H4330" i="1"/>
  <c r="I4330" i="1"/>
  <c r="J4330" i="1"/>
  <c r="K4330" i="1"/>
  <c r="L4330" i="1"/>
  <c r="M4330" i="1"/>
  <c r="N4330" i="1"/>
  <c r="A4331" i="1"/>
  <c r="B4331" i="1"/>
  <c r="F4331" i="1"/>
  <c r="G4331" i="1"/>
  <c r="H4331" i="1"/>
  <c r="I4331" i="1"/>
  <c r="J4331" i="1"/>
  <c r="K4331" i="1"/>
  <c r="L4331" i="1"/>
  <c r="M4331" i="1"/>
  <c r="N4331" i="1"/>
  <c r="A4332" i="1"/>
  <c r="B4332" i="1"/>
  <c r="F4332" i="1"/>
  <c r="G4332" i="1"/>
  <c r="H4332" i="1"/>
  <c r="I4332" i="1"/>
  <c r="J4332" i="1"/>
  <c r="K4332" i="1"/>
  <c r="L4332" i="1"/>
  <c r="M4332" i="1"/>
  <c r="N4332" i="1"/>
  <c r="A4333" i="1"/>
  <c r="B4333" i="1"/>
  <c r="F4333" i="1"/>
  <c r="G4333" i="1"/>
  <c r="H4333" i="1"/>
  <c r="I4333" i="1"/>
  <c r="J4333" i="1"/>
  <c r="K4333" i="1"/>
  <c r="L4333" i="1"/>
  <c r="M4333" i="1"/>
  <c r="N4333" i="1"/>
  <c r="A4334" i="1"/>
  <c r="B4334" i="1"/>
  <c r="F4334" i="1"/>
  <c r="G4334" i="1"/>
  <c r="H4334" i="1"/>
  <c r="I4334" i="1"/>
  <c r="J4334" i="1"/>
  <c r="K4334" i="1"/>
  <c r="L4334" i="1"/>
  <c r="M4334" i="1"/>
  <c r="N4334" i="1"/>
  <c r="A4335" i="1"/>
  <c r="B4335" i="1"/>
  <c r="F4335" i="1"/>
  <c r="G4335" i="1"/>
  <c r="H4335" i="1"/>
  <c r="I4335" i="1"/>
  <c r="J4335" i="1"/>
  <c r="K4335" i="1"/>
  <c r="L4335" i="1"/>
  <c r="M4335" i="1"/>
  <c r="N4335" i="1"/>
  <c r="A4336" i="1"/>
  <c r="B4336" i="1"/>
  <c r="F4336" i="1"/>
  <c r="G4336" i="1"/>
  <c r="H4336" i="1"/>
  <c r="I4336" i="1"/>
  <c r="J4336" i="1"/>
  <c r="K4336" i="1"/>
  <c r="L4336" i="1"/>
  <c r="M4336" i="1"/>
  <c r="N4336" i="1"/>
  <c r="A4337" i="1"/>
  <c r="B4337" i="1"/>
  <c r="F4337" i="1"/>
  <c r="G4337" i="1"/>
  <c r="H4337" i="1"/>
  <c r="I4337" i="1"/>
  <c r="J4337" i="1"/>
  <c r="K4337" i="1"/>
  <c r="L4337" i="1"/>
  <c r="M4337" i="1"/>
  <c r="N4337" i="1"/>
  <c r="A4338" i="1"/>
  <c r="B4338" i="1"/>
  <c r="F4338" i="1"/>
  <c r="G4338" i="1"/>
  <c r="H4338" i="1"/>
  <c r="I4338" i="1"/>
  <c r="J4338" i="1"/>
  <c r="K4338" i="1"/>
  <c r="L4338" i="1"/>
  <c r="M4338" i="1"/>
  <c r="N4338" i="1"/>
  <c r="A4339" i="1"/>
  <c r="B4339" i="1"/>
  <c r="F4339" i="1"/>
  <c r="G4339" i="1"/>
  <c r="H4339" i="1"/>
  <c r="I4339" i="1"/>
  <c r="J4339" i="1"/>
  <c r="K4339" i="1"/>
  <c r="L4339" i="1"/>
  <c r="M4339" i="1"/>
  <c r="N4339" i="1"/>
  <c r="A4340" i="1"/>
  <c r="B4340" i="1"/>
  <c r="F4340" i="1"/>
  <c r="G4340" i="1"/>
  <c r="H4340" i="1"/>
  <c r="I4340" i="1"/>
  <c r="J4340" i="1"/>
  <c r="K4340" i="1"/>
  <c r="L4340" i="1"/>
  <c r="M4340" i="1"/>
  <c r="N4340" i="1"/>
  <c r="A4341" i="1"/>
  <c r="B4341" i="1"/>
  <c r="F4341" i="1"/>
  <c r="G4341" i="1"/>
  <c r="H4341" i="1"/>
  <c r="I4341" i="1"/>
  <c r="J4341" i="1"/>
  <c r="K4341" i="1"/>
  <c r="L4341" i="1"/>
  <c r="M4341" i="1"/>
  <c r="N4341" i="1"/>
  <c r="A4342" i="1"/>
  <c r="B4342" i="1"/>
  <c r="F4342" i="1"/>
  <c r="G4342" i="1"/>
  <c r="H4342" i="1"/>
  <c r="I4342" i="1"/>
  <c r="J4342" i="1"/>
  <c r="K4342" i="1"/>
  <c r="L4342" i="1"/>
  <c r="M4342" i="1"/>
  <c r="N4342" i="1"/>
  <c r="A4343" i="1"/>
  <c r="B4343" i="1"/>
  <c r="F4343" i="1"/>
  <c r="G4343" i="1"/>
  <c r="H4343" i="1"/>
  <c r="I4343" i="1"/>
  <c r="J4343" i="1"/>
  <c r="K4343" i="1"/>
  <c r="L4343" i="1"/>
  <c r="M4343" i="1"/>
  <c r="N4343" i="1"/>
  <c r="A4344" i="1"/>
  <c r="B4344" i="1"/>
  <c r="F4344" i="1"/>
  <c r="G4344" i="1"/>
  <c r="H4344" i="1"/>
  <c r="I4344" i="1"/>
  <c r="J4344" i="1"/>
  <c r="K4344" i="1"/>
  <c r="L4344" i="1"/>
  <c r="M4344" i="1"/>
  <c r="N4344" i="1"/>
  <c r="A4345" i="1"/>
  <c r="B4345" i="1"/>
  <c r="F4345" i="1"/>
  <c r="G4345" i="1"/>
  <c r="H4345" i="1"/>
  <c r="I4345" i="1"/>
  <c r="J4345" i="1"/>
  <c r="K4345" i="1"/>
  <c r="L4345" i="1"/>
  <c r="M4345" i="1"/>
  <c r="N4345" i="1"/>
  <c r="A4346" i="1"/>
  <c r="B4346" i="1"/>
  <c r="F4346" i="1"/>
  <c r="G4346" i="1"/>
  <c r="H4346" i="1"/>
  <c r="I4346" i="1"/>
  <c r="J4346" i="1"/>
  <c r="K4346" i="1"/>
  <c r="L4346" i="1"/>
  <c r="M4346" i="1"/>
  <c r="N4346" i="1"/>
  <c r="A4347" i="1"/>
  <c r="B4347" i="1"/>
  <c r="F4347" i="1"/>
  <c r="G4347" i="1"/>
  <c r="H4347" i="1"/>
  <c r="I4347" i="1"/>
  <c r="J4347" i="1"/>
  <c r="K4347" i="1"/>
  <c r="L4347" i="1"/>
  <c r="M4347" i="1"/>
  <c r="N4347" i="1"/>
  <c r="A4348" i="1"/>
  <c r="B4348" i="1"/>
  <c r="F4348" i="1"/>
  <c r="G4348" i="1"/>
  <c r="H4348" i="1"/>
  <c r="I4348" i="1"/>
  <c r="J4348" i="1"/>
  <c r="K4348" i="1"/>
  <c r="L4348" i="1"/>
  <c r="M4348" i="1"/>
  <c r="N4348" i="1"/>
  <c r="A4349" i="1"/>
  <c r="B4349" i="1"/>
  <c r="F4349" i="1"/>
  <c r="G4349" i="1"/>
  <c r="H4349" i="1"/>
  <c r="I4349" i="1"/>
  <c r="J4349" i="1"/>
  <c r="K4349" i="1"/>
  <c r="L4349" i="1"/>
  <c r="M4349" i="1"/>
  <c r="N4349" i="1"/>
  <c r="A4350" i="1"/>
  <c r="B4350" i="1"/>
  <c r="F4350" i="1"/>
  <c r="G4350" i="1"/>
  <c r="H4350" i="1"/>
  <c r="I4350" i="1"/>
  <c r="J4350" i="1"/>
  <c r="K4350" i="1"/>
  <c r="L4350" i="1"/>
  <c r="M4350" i="1"/>
  <c r="N4350" i="1"/>
  <c r="A4351" i="1"/>
  <c r="B4351" i="1"/>
  <c r="F4351" i="1"/>
  <c r="G4351" i="1"/>
  <c r="H4351" i="1"/>
  <c r="I4351" i="1"/>
  <c r="J4351" i="1"/>
  <c r="K4351" i="1"/>
  <c r="L4351" i="1"/>
  <c r="M4351" i="1"/>
  <c r="N4351" i="1"/>
  <c r="A4352" i="1"/>
  <c r="B4352" i="1"/>
  <c r="F4352" i="1"/>
  <c r="G4352" i="1"/>
  <c r="H4352" i="1"/>
  <c r="I4352" i="1"/>
  <c r="J4352" i="1"/>
  <c r="K4352" i="1"/>
  <c r="L4352" i="1"/>
  <c r="M4352" i="1"/>
  <c r="N4352" i="1"/>
  <c r="A4353" i="1"/>
  <c r="B4353" i="1"/>
  <c r="F4353" i="1"/>
  <c r="G4353" i="1"/>
  <c r="H4353" i="1"/>
  <c r="I4353" i="1"/>
  <c r="J4353" i="1"/>
  <c r="K4353" i="1"/>
  <c r="L4353" i="1"/>
  <c r="M4353" i="1"/>
  <c r="N4353" i="1"/>
  <c r="A4354" i="1"/>
  <c r="B4354" i="1"/>
  <c r="F4354" i="1"/>
  <c r="G4354" i="1"/>
  <c r="H4354" i="1"/>
  <c r="I4354" i="1"/>
  <c r="J4354" i="1"/>
  <c r="K4354" i="1"/>
  <c r="L4354" i="1"/>
  <c r="M4354" i="1"/>
  <c r="N4354" i="1"/>
  <c r="A4355" i="1"/>
  <c r="B4355" i="1"/>
  <c r="F4355" i="1"/>
  <c r="G4355" i="1"/>
  <c r="H4355" i="1"/>
  <c r="I4355" i="1"/>
  <c r="J4355" i="1"/>
  <c r="K4355" i="1"/>
  <c r="L4355" i="1"/>
  <c r="M4355" i="1"/>
  <c r="N4355" i="1"/>
  <c r="A4356" i="1"/>
  <c r="B4356" i="1"/>
  <c r="F4356" i="1"/>
  <c r="G4356" i="1"/>
  <c r="H4356" i="1"/>
  <c r="I4356" i="1"/>
  <c r="J4356" i="1"/>
  <c r="K4356" i="1"/>
  <c r="L4356" i="1"/>
  <c r="M4356" i="1"/>
  <c r="N4356" i="1"/>
  <c r="A4357" i="1"/>
  <c r="B4357" i="1"/>
  <c r="F4357" i="1"/>
  <c r="G4357" i="1"/>
  <c r="H4357" i="1"/>
  <c r="I4357" i="1"/>
  <c r="J4357" i="1"/>
  <c r="K4357" i="1"/>
  <c r="L4357" i="1"/>
  <c r="M4357" i="1"/>
  <c r="N4357" i="1"/>
  <c r="A4358" i="1"/>
  <c r="B4358" i="1"/>
  <c r="F4358" i="1"/>
  <c r="G4358" i="1"/>
  <c r="H4358" i="1"/>
  <c r="I4358" i="1"/>
  <c r="J4358" i="1"/>
  <c r="K4358" i="1"/>
  <c r="L4358" i="1"/>
  <c r="M4358" i="1"/>
  <c r="N4358" i="1"/>
  <c r="A4359" i="1"/>
  <c r="B4359" i="1"/>
  <c r="F4359" i="1"/>
  <c r="G4359" i="1"/>
  <c r="H4359" i="1"/>
  <c r="I4359" i="1"/>
  <c r="J4359" i="1"/>
  <c r="K4359" i="1"/>
  <c r="L4359" i="1"/>
  <c r="M4359" i="1"/>
  <c r="N4359" i="1"/>
  <c r="A4360" i="1"/>
  <c r="B4360" i="1"/>
  <c r="F4360" i="1"/>
  <c r="G4360" i="1"/>
  <c r="H4360" i="1"/>
  <c r="I4360" i="1"/>
  <c r="J4360" i="1"/>
  <c r="K4360" i="1"/>
  <c r="L4360" i="1"/>
  <c r="M4360" i="1"/>
  <c r="N4360" i="1"/>
  <c r="A4361" i="1"/>
  <c r="B4361" i="1"/>
  <c r="F4361" i="1"/>
  <c r="G4361" i="1"/>
  <c r="H4361" i="1"/>
  <c r="I4361" i="1"/>
  <c r="J4361" i="1"/>
  <c r="K4361" i="1"/>
  <c r="L4361" i="1"/>
  <c r="M4361" i="1"/>
  <c r="N4361" i="1"/>
  <c r="A4362" i="1"/>
  <c r="B4362" i="1"/>
  <c r="F4362" i="1"/>
  <c r="G4362" i="1"/>
  <c r="H4362" i="1"/>
  <c r="I4362" i="1"/>
  <c r="J4362" i="1"/>
  <c r="K4362" i="1"/>
  <c r="L4362" i="1"/>
  <c r="M4362" i="1"/>
  <c r="N4362" i="1"/>
  <c r="A4363" i="1"/>
  <c r="B4363" i="1"/>
  <c r="F4363" i="1"/>
  <c r="G4363" i="1"/>
  <c r="H4363" i="1"/>
  <c r="I4363" i="1"/>
  <c r="J4363" i="1"/>
  <c r="K4363" i="1"/>
  <c r="L4363" i="1"/>
  <c r="M4363" i="1"/>
  <c r="N4363" i="1"/>
  <c r="A4364" i="1"/>
  <c r="B4364" i="1"/>
  <c r="F4364" i="1"/>
  <c r="G4364" i="1"/>
  <c r="H4364" i="1"/>
  <c r="I4364" i="1"/>
  <c r="J4364" i="1"/>
  <c r="K4364" i="1"/>
  <c r="L4364" i="1"/>
  <c r="M4364" i="1"/>
  <c r="N4364" i="1"/>
  <c r="A4365" i="1"/>
  <c r="B4365" i="1"/>
  <c r="F4365" i="1"/>
  <c r="G4365" i="1"/>
  <c r="H4365" i="1"/>
  <c r="I4365" i="1"/>
  <c r="J4365" i="1"/>
  <c r="K4365" i="1"/>
  <c r="L4365" i="1"/>
  <c r="M4365" i="1"/>
  <c r="N4365" i="1"/>
  <c r="A4366" i="1"/>
  <c r="B4366" i="1"/>
  <c r="F4366" i="1"/>
  <c r="G4366" i="1"/>
  <c r="H4366" i="1"/>
  <c r="I4366" i="1"/>
  <c r="J4366" i="1"/>
  <c r="K4366" i="1"/>
  <c r="L4366" i="1"/>
  <c r="M4366" i="1"/>
  <c r="N4366" i="1"/>
  <c r="A4367" i="1"/>
  <c r="B4367" i="1"/>
  <c r="F4367" i="1"/>
  <c r="G4367" i="1"/>
  <c r="H4367" i="1"/>
  <c r="I4367" i="1"/>
  <c r="J4367" i="1"/>
  <c r="K4367" i="1"/>
  <c r="L4367" i="1"/>
  <c r="M4367" i="1"/>
  <c r="N4367" i="1"/>
  <c r="A4368" i="1"/>
  <c r="B4368" i="1"/>
  <c r="F4368" i="1"/>
  <c r="G4368" i="1"/>
  <c r="H4368" i="1"/>
  <c r="I4368" i="1"/>
  <c r="J4368" i="1"/>
  <c r="K4368" i="1"/>
  <c r="L4368" i="1"/>
  <c r="M4368" i="1"/>
  <c r="N4368" i="1"/>
  <c r="A4369" i="1"/>
  <c r="B4369" i="1"/>
  <c r="F4369" i="1"/>
  <c r="G4369" i="1"/>
  <c r="H4369" i="1"/>
  <c r="I4369" i="1"/>
  <c r="J4369" i="1"/>
  <c r="K4369" i="1"/>
  <c r="L4369" i="1"/>
  <c r="M4369" i="1"/>
  <c r="N4369" i="1"/>
  <c r="A4370" i="1"/>
  <c r="B4370" i="1"/>
  <c r="F4370" i="1"/>
  <c r="G4370" i="1"/>
  <c r="H4370" i="1"/>
  <c r="I4370" i="1"/>
  <c r="J4370" i="1"/>
  <c r="K4370" i="1"/>
  <c r="L4370" i="1"/>
  <c r="M4370" i="1"/>
  <c r="N4370" i="1"/>
  <c r="A4371" i="1"/>
  <c r="B4371" i="1"/>
  <c r="F4371" i="1"/>
  <c r="G4371" i="1"/>
  <c r="H4371" i="1"/>
  <c r="I4371" i="1"/>
  <c r="J4371" i="1"/>
  <c r="K4371" i="1"/>
  <c r="L4371" i="1"/>
  <c r="M4371" i="1"/>
  <c r="N4371" i="1"/>
  <c r="A4372" i="1"/>
  <c r="B4372" i="1"/>
  <c r="F4372" i="1"/>
  <c r="G4372" i="1"/>
  <c r="H4372" i="1"/>
  <c r="I4372" i="1"/>
  <c r="J4372" i="1"/>
  <c r="K4372" i="1"/>
  <c r="L4372" i="1"/>
  <c r="M4372" i="1"/>
  <c r="N4372" i="1"/>
  <c r="A4373" i="1"/>
  <c r="B4373" i="1"/>
  <c r="F4373" i="1"/>
  <c r="G4373" i="1"/>
  <c r="H4373" i="1"/>
  <c r="I4373" i="1"/>
  <c r="J4373" i="1"/>
  <c r="K4373" i="1"/>
  <c r="L4373" i="1"/>
  <c r="M4373" i="1"/>
  <c r="N4373" i="1"/>
  <c r="A4374" i="1"/>
  <c r="B4374" i="1"/>
  <c r="F4374" i="1"/>
  <c r="G4374" i="1"/>
  <c r="H4374" i="1"/>
  <c r="I4374" i="1"/>
  <c r="J4374" i="1"/>
  <c r="K4374" i="1"/>
  <c r="L4374" i="1"/>
  <c r="M4374" i="1"/>
  <c r="N4374" i="1"/>
  <c r="A4375" i="1"/>
  <c r="B4375" i="1"/>
  <c r="F4375" i="1"/>
  <c r="G4375" i="1"/>
  <c r="H4375" i="1"/>
  <c r="I4375" i="1"/>
  <c r="J4375" i="1"/>
  <c r="K4375" i="1"/>
  <c r="L4375" i="1"/>
  <c r="M4375" i="1"/>
  <c r="N4375" i="1"/>
  <c r="A4376" i="1"/>
  <c r="B4376" i="1"/>
  <c r="F4376" i="1"/>
  <c r="G4376" i="1"/>
  <c r="H4376" i="1"/>
  <c r="I4376" i="1"/>
  <c r="J4376" i="1"/>
  <c r="K4376" i="1"/>
  <c r="L4376" i="1"/>
  <c r="M4376" i="1"/>
  <c r="N4376" i="1"/>
  <c r="A4377" i="1"/>
  <c r="B4377" i="1"/>
  <c r="F4377" i="1"/>
  <c r="G4377" i="1"/>
  <c r="H4377" i="1"/>
  <c r="I4377" i="1"/>
  <c r="J4377" i="1"/>
  <c r="K4377" i="1"/>
  <c r="L4377" i="1"/>
  <c r="M4377" i="1"/>
  <c r="N4377" i="1"/>
  <c r="A4378" i="1"/>
  <c r="B4378" i="1"/>
  <c r="F4378" i="1"/>
  <c r="G4378" i="1"/>
  <c r="H4378" i="1"/>
  <c r="I4378" i="1"/>
  <c r="J4378" i="1"/>
  <c r="K4378" i="1"/>
  <c r="L4378" i="1"/>
  <c r="M4378" i="1"/>
  <c r="N4378" i="1"/>
  <c r="A4379" i="1"/>
  <c r="B4379" i="1"/>
  <c r="F4379" i="1"/>
  <c r="G4379" i="1"/>
  <c r="H4379" i="1"/>
  <c r="I4379" i="1"/>
  <c r="J4379" i="1"/>
  <c r="K4379" i="1"/>
  <c r="L4379" i="1"/>
  <c r="M4379" i="1"/>
  <c r="N4379" i="1"/>
  <c r="A4380" i="1"/>
  <c r="B4380" i="1"/>
  <c r="F4380" i="1"/>
  <c r="G4380" i="1"/>
  <c r="H4380" i="1"/>
  <c r="I4380" i="1"/>
  <c r="J4380" i="1"/>
  <c r="K4380" i="1"/>
  <c r="L4380" i="1"/>
  <c r="M4380" i="1"/>
  <c r="N4380" i="1"/>
  <c r="A4381" i="1"/>
  <c r="B4381" i="1"/>
  <c r="F4381" i="1"/>
  <c r="G4381" i="1"/>
  <c r="H4381" i="1"/>
  <c r="I4381" i="1"/>
  <c r="J4381" i="1"/>
  <c r="K4381" i="1"/>
  <c r="L4381" i="1"/>
  <c r="M4381" i="1"/>
  <c r="N4381" i="1"/>
  <c r="A4382" i="1"/>
  <c r="B4382" i="1"/>
  <c r="F4382" i="1"/>
  <c r="G4382" i="1"/>
  <c r="H4382" i="1"/>
  <c r="I4382" i="1"/>
  <c r="J4382" i="1"/>
  <c r="K4382" i="1"/>
  <c r="L4382" i="1"/>
  <c r="M4382" i="1"/>
  <c r="N4382" i="1"/>
  <c r="A4383" i="1"/>
  <c r="B4383" i="1"/>
  <c r="F4383" i="1"/>
  <c r="G4383" i="1"/>
  <c r="H4383" i="1"/>
  <c r="I4383" i="1"/>
  <c r="J4383" i="1"/>
  <c r="K4383" i="1"/>
  <c r="L4383" i="1"/>
  <c r="M4383" i="1"/>
  <c r="N4383" i="1"/>
  <c r="A4384" i="1"/>
  <c r="B4384" i="1"/>
  <c r="F4384" i="1"/>
  <c r="G4384" i="1"/>
  <c r="H4384" i="1"/>
  <c r="I4384" i="1"/>
  <c r="J4384" i="1"/>
  <c r="K4384" i="1"/>
  <c r="L4384" i="1"/>
  <c r="M4384" i="1"/>
  <c r="N4384" i="1"/>
  <c r="A4385" i="1"/>
  <c r="B4385" i="1"/>
  <c r="F4385" i="1"/>
  <c r="G4385" i="1"/>
  <c r="H4385" i="1"/>
  <c r="I4385" i="1"/>
  <c r="J4385" i="1"/>
  <c r="K4385" i="1"/>
  <c r="L4385" i="1"/>
  <c r="M4385" i="1"/>
  <c r="N4385" i="1"/>
  <c r="A4386" i="1"/>
  <c r="B4386" i="1"/>
  <c r="F4386" i="1"/>
  <c r="G4386" i="1"/>
  <c r="H4386" i="1"/>
  <c r="I4386" i="1"/>
  <c r="J4386" i="1"/>
  <c r="K4386" i="1"/>
  <c r="L4386" i="1"/>
  <c r="M4386" i="1"/>
  <c r="N4386" i="1"/>
  <c r="A4387" i="1"/>
  <c r="B4387" i="1"/>
  <c r="F4387" i="1"/>
  <c r="G4387" i="1"/>
  <c r="H4387" i="1"/>
  <c r="I4387" i="1"/>
  <c r="J4387" i="1"/>
  <c r="K4387" i="1"/>
  <c r="L4387" i="1"/>
  <c r="M4387" i="1"/>
  <c r="N4387" i="1"/>
  <c r="A4388" i="1"/>
  <c r="B4388" i="1"/>
  <c r="F4388" i="1"/>
  <c r="G4388" i="1"/>
  <c r="H4388" i="1"/>
  <c r="I4388" i="1"/>
  <c r="J4388" i="1"/>
  <c r="K4388" i="1"/>
  <c r="L4388" i="1"/>
  <c r="M4388" i="1"/>
  <c r="N4388" i="1"/>
  <c r="A4389" i="1"/>
  <c r="B4389" i="1"/>
  <c r="F4389" i="1"/>
  <c r="G4389" i="1"/>
  <c r="H4389" i="1"/>
  <c r="I4389" i="1"/>
  <c r="J4389" i="1"/>
  <c r="K4389" i="1"/>
  <c r="L4389" i="1"/>
  <c r="M4389" i="1"/>
  <c r="N4389" i="1"/>
  <c r="A4390" i="1"/>
  <c r="B4390" i="1"/>
  <c r="F4390" i="1"/>
  <c r="G4390" i="1"/>
  <c r="H4390" i="1"/>
  <c r="I4390" i="1"/>
  <c r="J4390" i="1"/>
  <c r="K4390" i="1"/>
  <c r="L4390" i="1"/>
  <c r="M4390" i="1"/>
  <c r="N4390" i="1"/>
  <c r="A4391" i="1"/>
  <c r="B4391" i="1"/>
  <c r="F4391" i="1"/>
  <c r="G4391" i="1"/>
  <c r="H4391" i="1"/>
  <c r="I4391" i="1"/>
  <c r="J4391" i="1"/>
  <c r="K4391" i="1"/>
  <c r="L4391" i="1"/>
  <c r="M4391" i="1"/>
  <c r="N4391" i="1"/>
  <c r="A4392" i="1"/>
  <c r="B4392" i="1"/>
  <c r="F4392" i="1"/>
  <c r="G4392" i="1"/>
  <c r="H4392" i="1"/>
  <c r="I4392" i="1"/>
  <c r="J4392" i="1"/>
  <c r="K4392" i="1"/>
  <c r="L4392" i="1"/>
  <c r="M4392" i="1"/>
  <c r="N4392" i="1"/>
  <c r="A4393" i="1"/>
  <c r="B4393" i="1"/>
  <c r="F4393" i="1"/>
  <c r="G4393" i="1"/>
  <c r="H4393" i="1"/>
  <c r="I4393" i="1"/>
  <c r="J4393" i="1"/>
  <c r="K4393" i="1"/>
  <c r="L4393" i="1"/>
  <c r="M4393" i="1"/>
  <c r="N4393" i="1"/>
  <c r="A4394" i="1"/>
  <c r="B4394" i="1"/>
  <c r="F4394" i="1"/>
  <c r="G4394" i="1"/>
  <c r="H4394" i="1"/>
  <c r="I4394" i="1"/>
  <c r="J4394" i="1"/>
  <c r="K4394" i="1"/>
  <c r="L4394" i="1"/>
  <c r="M4394" i="1"/>
  <c r="N4394" i="1"/>
  <c r="A4395" i="1"/>
  <c r="B4395" i="1"/>
  <c r="F4395" i="1"/>
  <c r="G4395" i="1"/>
  <c r="H4395" i="1"/>
  <c r="I4395" i="1"/>
  <c r="J4395" i="1"/>
  <c r="K4395" i="1"/>
  <c r="L4395" i="1"/>
  <c r="M4395" i="1"/>
  <c r="N4395" i="1"/>
  <c r="A4396" i="1"/>
  <c r="B4396" i="1"/>
  <c r="F4396" i="1"/>
  <c r="G4396" i="1"/>
  <c r="H4396" i="1"/>
  <c r="I4396" i="1"/>
  <c r="J4396" i="1"/>
  <c r="K4396" i="1"/>
  <c r="L4396" i="1"/>
  <c r="M4396" i="1"/>
  <c r="N4396" i="1"/>
  <c r="A4397" i="1"/>
  <c r="B4397" i="1"/>
  <c r="F4397" i="1"/>
  <c r="G4397" i="1"/>
  <c r="H4397" i="1"/>
  <c r="I4397" i="1"/>
  <c r="J4397" i="1"/>
  <c r="K4397" i="1"/>
  <c r="L4397" i="1"/>
  <c r="M4397" i="1"/>
  <c r="N4397" i="1"/>
  <c r="A4398" i="1"/>
  <c r="B4398" i="1"/>
  <c r="F4398" i="1"/>
  <c r="G4398" i="1"/>
  <c r="H4398" i="1"/>
  <c r="I4398" i="1"/>
  <c r="J4398" i="1"/>
  <c r="K4398" i="1"/>
  <c r="L4398" i="1"/>
  <c r="M4398" i="1"/>
  <c r="N4398" i="1"/>
  <c r="A4399" i="1"/>
  <c r="B4399" i="1"/>
  <c r="F4399" i="1"/>
  <c r="G4399" i="1"/>
  <c r="H4399" i="1"/>
  <c r="I4399" i="1"/>
  <c r="J4399" i="1"/>
  <c r="K4399" i="1"/>
  <c r="L4399" i="1"/>
  <c r="M4399" i="1"/>
  <c r="N4399" i="1"/>
  <c r="A4400" i="1"/>
  <c r="B4400" i="1"/>
  <c r="F4400" i="1"/>
  <c r="G4400" i="1"/>
  <c r="H4400" i="1"/>
  <c r="I4400" i="1"/>
  <c r="J4400" i="1"/>
  <c r="K4400" i="1"/>
  <c r="L4400" i="1"/>
  <c r="M4400" i="1"/>
  <c r="N4400" i="1"/>
  <c r="A4401" i="1"/>
  <c r="B4401" i="1"/>
  <c r="F4401" i="1"/>
  <c r="G4401" i="1"/>
  <c r="H4401" i="1"/>
  <c r="I4401" i="1"/>
  <c r="J4401" i="1"/>
  <c r="K4401" i="1"/>
  <c r="L4401" i="1"/>
  <c r="M4401" i="1"/>
  <c r="N4401" i="1"/>
  <c r="A4402" i="1"/>
  <c r="B4402" i="1"/>
  <c r="F4402" i="1"/>
  <c r="G4402" i="1"/>
  <c r="H4402" i="1"/>
  <c r="I4402" i="1"/>
  <c r="J4402" i="1"/>
  <c r="K4402" i="1"/>
  <c r="L4402" i="1"/>
  <c r="M4402" i="1"/>
  <c r="N4402" i="1"/>
  <c r="A4403" i="1"/>
  <c r="B4403" i="1"/>
  <c r="F4403" i="1"/>
  <c r="G4403" i="1"/>
  <c r="H4403" i="1"/>
  <c r="I4403" i="1"/>
  <c r="J4403" i="1"/>
  <c r="K4403" i="1"/>
  <c r="L4403" i="1"/>
  <c r="M4403" i="1"/>
  <c r="N4403" i="1"/>
  <c r="A4404" i="1"/>
  <c r="B4404" i="1"/>
  <c r="F4404" i="1"/>
  <c r="G4404" i="1"/>
  <c r="H4404" i="1"/>
  <c r="I4404" i="1"/>
  <c r="J4404" i="1"/>
  <c r="K4404" i="1"/>
  <c r="L4404" i="1"/>
  <c r="M4404" i="1"/>
  <c r="N4404" i="1"/>
  <c r="A4405" i="1"/>
  <c r="B4405" i="1"/>
  <c r="F4405" i="1"/>
  <c r="G4405" i="1"/>
  <c r="H4405" i="1"/>
  <c r="I4405" i="1"/>
  <c r="J4405" i="1"/>
  <c r="K4405" i="1"/>
  <c r="L4405" i="1"/>
  <c r="M4405" i="1"/>
  <c r="N4405" i="1"/>
  <c r="A4406" i="1"/>
  <c r="B4406" i="1"/>
  <c r="F4406" i="1"/>
  <c r="G4406" i="1"/>
  <c r="H4406" i="1"/>
  <c r="I4406" i="1"/>
  <c r="J4406" i="1"/>
  <c r="K4406" i="1"/>
  <c r="L4406" i="1"/>
  <c r="M4406" i="1"/>
  <c r="N4406" i="1"/>
  <c r="A4407" i="1"/>
  <c r="B4407" i="1"/>
  <c r="F4407" i="1"/>
  <c r="G4407" i="1"/>
  <c r="H4407" i="1"/>
  <c r="I4407" i="1"/>
  <c r="J4407" i="1"/>
  <c r="K4407" i="1"/>
  <c r="L4407" i="1"/>
  <c r="M4407" i="1"/>
  <c r="N4407" i="1"/>
  <c r="A4408" i="1"/>
  <c r="B4408" i="1"/>
  <c r="F4408" i="1"/>
  <c r="G4408" i="1"/>
  <c r="H4408" i="1"/>
  <c r="I4408" i="1"/>
  <c r="J4408" i="1"/>
  <c r="K4408" i="1"/>
  <c r="L4408" i="1"/>
  <c r="M4408" i="1"/>
  <c r="N4408" i="1"/>
  <c r="A4409" i="1"/>
  <c r="B4409" i="1"/>
  <c r="F4409" i="1"/>
  <c r="G4409" i="1"/>
  <c r="H4409" i="1"/>
  <c r="I4409" i="1"/>
  <c r="J4409" i="1"/>
  <c r="K4409" i="1"/>
  <c r="L4409" i="1"/>
  <c r="M4409" i="1"/>
  <c r="N4409" i="1"/>
  <c r="A4410" i="1"/>
  <c r="B4410" i="1"/>
  <c r="F4410" i="1"/>
  <c r="G4410" i="1"/>
  <c r="H4410" i="1"/>
  <c r="I4410" i="1"/>
  <c r="J4410" i="1"/>
  <c r="K4410" i="1"/>
  <c r="L4410" i="1"/>
  <c r="M4410" i="1"/>
  <c r="N4410" i="1"/>
  <c r="A4411" i="1"/>
  <c r="B4411" i="1"/>
  <c r="F4411" i="1"/>
  <c r="G4411" i="1"/>
  <c r="H4411" i="1"/>
  <c r="I4411" i="1"/>
  <c r="J4411" i="1"/>
  <c r="K4411" i="1"/>
  <c r="L4411" i="1"/>
  <c r="M4411" i="1"/>
  <c r="N4411" i="1"/>
  <c r="A4412" i="1"/>
  <c r="B4412" i="1"/>
  <c r="F4412" i="1"/>
  <c r="G4412" i="1"/>
  <c r="H4412" i="1"/>
  <c r="I4412" i="1"/>
  <c r="J4412" i="1"/>
  <c r="K4412" i="1"/>
  <c r="L4412" i="1"/>
  <c r="M4412" i="1"/>
  <c r="N4412" i="1"/>
  <c r="A4413" i="1"/>
  <c r="B4413" i="1"/>
  <c r="F4413" i="1"/>
  <c r="G4413" i="1"/>
  <c r="H4413" i="1"/>
  <c r="I4413" i="1"/>
  <c r="J4413" i="1"/>
  <c r="K4413" i="1"/>
  <c r="L4413" i="1"/>
  <c r="M4413" i="1"/>
  <c r="N4413" i="1"/>
  <c r="A4414" i="1"/>
  <c r="B4414" i="1"/>
  <c r="F4414" i="1"/>
  <c r="G4414" i="1"/>
  <c r="H4414" i="1"/>
  <c r="I4414" i="1"/>
  <c r="J4414" i="1"/>
  <c r="K4414" i="1"/>
  <c r="L4414" i="1"/>
  <c r="M4414" i="1"/>
  <c r="N4414" i="1"/>
  <c r="A4415" i="1"/>
  <c r="B4415" i="1"/>
  <c r="F4415" i="1"/>
  <c r="G4415" i="1"/>
  <c r="H4415" i="1"/>
  <c r="I4415" i="1"/>
  <c r="J4415" i="1"/>
  <c r="K4415" i="1"/>
  <c r="L4415" i="1"/>
  <c r="M4415" i="1"/>
  <c r="N4415" i="1"/>
  <c r="A4416" i="1"/>
  <c r="B4416" i="1"/>
  <c r="F4416" i="1"/>
  <c r="G4416" i="1"/>
  <c r="H4416" i="1"/>
  <c r="I4416" i="1"/>
  <c r="J4416" i="1"/>
  <c r="K4416" i="1"/>
  <c r="L4416" i="1"/>
  <c r="M4416" i="1"/>
  <c r="N4416" i="1"/>
  <c r="A4417" i="1"/>
  <c r="B4417" i="1"/>
  <c r="F4417" i="1"/>
  <c r="G4417" i="1"/>
  <c r="H4417" i="1"/>
  <c r="I4417" i="1"/>
  <c r="J4417" i="1"/>
  <c r="K4417" i="1"/>
  <c r="L4417" i="1"/>
  <c r="M4417" i="1"/>
  <c r="N4417" i="1"/>
  <c r="A4418" i="1"/>
  <c r="B4418" i="1"/>
  <c r="F4418" i="1"/>
  <c r="G4418" i="1"/>
  <c r="H4418" i="1"/>
  <c r="I4418" i="1"/>
  <c r="J4418" i="1"/>
  <c r="K4418" i="1"/>
  <c r="L4418" i="1"/>
  <c r="M4418" i="1"/>
  <c r="N4418" i="1"/>
  <c r="A4419" i="1"/>
  <c r="B4419" i="1"/>
  <c r="F4419" i="1"/>
  <c r="G4419" i="1"/>
  <c r="H4419" i="1"/>
  <c r="I4419" i="1"/>
  <c r="J4419" i="1"/>
  <c r="K4419" i="1"/>
  <c r="L4419" i="1"/>
  <c r="M4419" i="1"/>
  <c r="N4419" i="1"/>
  <c r="A4420" i="1"/>
  <c r="B4420" i="1"/>
  <c r="F4420" i="1"/>
  <c r="G4420" i="1"/>
  <c r="H4420" i="1"/>
  <c r="I4420" i="1"/>
  <c r="J4420" i="1"/>
  <c r="K4420" i="1"/>
  <c r="L4420" i="1"/>
  <c r="M4420" i="1"/>
  <c r="N4420" i="1"/>
  <c r="A4421" i="1"/>
  <c r="B4421" i="1"/>
  <c r="F4421" i="1"/>
  <c r="G4421" i="1"/>
  <c r="H4421" i="1"/>
  <c r="I4421" i="1"/>
  <c r="J4421" i="1"/>
  <c r="K4421" i="1"/>
  <c r="L4421" i="1"/>
  <c r="M4421" i="1"/>
  <c r="N4421" i="1"/>
  <c r="A4422" i="1"/>
  <c r="B4422" i="1"/>
  <c r="F4422" i="1"/>
  <c r="G4422" i="1"/>
  <c r="H4422" i="1"/>
  <c r="I4422" i="1"/>
  <c r="J4422" i="1"/>
  <c r="K4422" i="1"/>
  <c r="L4422" i="1"/>
  <c r="M4422" i="1"/>
  <c r="N4422" i="1"/>
  <c r="A4423" i="1"/>
  <c r="B4423" i="1"/>
  <c r="F4423" i="1"/>
  <c r="G4423" i="1"/>
  <c r="H4423" i="1"/>
  <c r="I4423" i="1"/>
  <c r="J4423" i="1"/>
  <c r="K4423" i="1"/>
  <c r="L4423" i="1"/>
  <c r="M4423" i="1"/>
  <c r="N4423" i="1"/>
  <c r="A4424" i="1"/>
  <c r="B4424" i="1"/>
  <c r="F4424" i="1"/>
  <c r="G4424" i="1"/>
  <c r="H4424" i="1"/>
  <c r="I4424" i="1"/>
  <c r="J4424" i="1"/>
  <c r="K4424" i="1"/>
  <c r="L4424" i="1"/>
  <c r="M4424" i="1"/>
  <c r="N4424" i="1"/>
  <c r="A4425" i="1"/>
  <c r="B4425" i="1"/>
  <c r="F4425" i="1"/>
  <c r="G4425" i="1"/>
  <c r="H4425" i="1"/>
  <c r="I4425" i="1"/>
  <c r="J4425" i="1"/>
  <c r="K4425" i="1"/>
  <c r="L4425" i="1"/>
  <c r="M4425" i="1"/>
  <c r="N4425" i="1"/>
  <c r="A4426" i="1"/>
  <c r="B4426" i="1"/>
  <c r="F4426" i="1"/>
  <c r="G4426" i="1"/>
  <c r="H4426" i="1"/>
  <c r="I4426" i="1"/>
  <c r="J4426" i="1"/>
  <c r="K4426" i="1"/>
  <c r="L4426" i="1"/>
  <c r="M4426" i="1"/>
  <c r="N4426" i="1"/>
  <c r="A4427" i="1"/>
  <c r="B4427" i="1"/>
  <c r="F4427" i="1"/>
  <c r="G4427" i="1"/>
  <c r="H4427" i="1"/>
  <c r="I4427" i="1"/>
  <c r="J4427" i="1"/>
  <c r="K4427" i="1"/>
  <c r="L4427" i="1"/>
  <c r="M4427" i="1"/>
  <c r="N4427" i="1"/>
  <c r="A4428" i="1"/>
  <c r="B4428" i="1"/>
  <c r="F4428" i="1"/>
  <c r="G4428" i="1"/>
  <c r="H4428" i="1"/>
  <c r="I4428" i="1"/>
  <c r="J4428" i="1"/>
  <c r="K4428" i="1"/>
  <c r="L4428" i="1"/>
  <c r="M4428" i="1"/>
  <c r="N4428" i="1"/>
  <c r="A4429" i="1"/>
  <c r="B4429" i="1"/>
  <c r="F4429" i="1"/>
  <c r="G4429" i="1"/>
  <c r="H4429" i="1"/>
  <c r="I4429" i="1"/>
  <c r="J4429" i="1"/>
  <c r="K4429" i="1"/>
  <c r="L4429" i="1"/>
  <c r="M4429" i="1"/>
  <c r="N4429" i="1"/>
  <c r="A4430" i="1"/>
  <c r="B4430" i="1"/>
  <c r="F4430" i="1"/>
  <c r="G4430" i="1"/>
  <c r="H4430" i="1"/>
  <c r="I4430" i="1"/>
  <c r="J4430" i="1"/>
  <c r="K4430" i="1"/>
  <c r="L4430" i="1"/>
  <c r="M4430" i="1"/>
  <c r="N4430" i="1"/>
  <c r="A4431" i="1"/>
  <c r="B4431" i="1"/>
  <c r="F4431" i="1"/>
  <c r="G4431" i="1"/>
  <c r="H4431" i="1"/>
  <c r="I4431" i="1"/>
  <c r="J4431" i="1"/>
  <c r="K4431" i="1"/>
  <c r="L4431" i="1"/>
  <c r="M4431" i="1"/>
  <c r="N4431" i="1"/>
  <c r="A4432" i="1"/>
  <c r="B4432" i="1"/>
  <c r="F4432" i="1"/>
  <c r="G4432" i="1"/>
  <c r="H4432" i="1"/>
  <c r="I4432" i="1"/>
  <c r="J4432" i="1"/>
  <c r="K4432" i="1"/>
  <c r="L4432" i="1"/>
  <c r="M4432" i="1"/>
  <c r="N4432" i="1"/>
  <c r="A4433" i="1"/>
  <c r="B4433" i="1"/>
  <c r="F4433" i="1"/>
  <c r="G4433" i="1"/>
  <c r="H4433" i="1"/>
  <c r="I4433" i="1"/>
  <c r="J4433" i="1"/>
  <c r="K4433" i="1"/>
  <c r="L4433" i="1"/>
  <c r="M4433" i="1"/>
  <c r="N4433" i="1"/>
  <c r="A4434" i="1"/>
  <c r="B4434" i="1"/>
  <c r="F4434" i="1"/>
  <c r="G4434" i="1"/>
  <c r="H4434" i="1"/>
  <c r="I4434" i="1"/>
  <c r="J4434" i="1"/>
  <c r="K4434" i="1"/>
  <c r="L4434" i="1"/>
  <c r="M4434" i="1"/>
  <c r="N4434" i="1"/>
  <c r="A4435" i="1"/>
  <c r="B4435" i="1"/>
  <c r="F4435" i="1"/>
  <c r="G4435" i="1"/>
  <c r="H4435" i="1"/>
  <c r="I4435" i="1"/>
  <c r="J4435" i="1"/>
  <c r="K4435" i="1"/>
  <c r="L4435" i="1"/>
  <c r="M4435" i="1"/>
  <c r="N4435" i="1"/>
  <c r="A4436" i="1"/>
  <c r="B4436" i="1"/>
  <c r="F4436" i="1"/>
  <c r="G4436" i="1"/>
  <c r="H4436" i="1"/>
  <c r="I4436" i="1"/>
  <c r="J4436" i="1"/>
  <c r="K4436" i="1"/>
  <c r="L4436" i="1"/>
  <c r="M4436" i="1"/>
  <c r="N4436" i="1"/>
  <c r="A4437" i="1"/>
  <c r="B4437" i="1"/>
  <c r="F4437" i="1"/>
  <c r="G4437" i="1"/>
  <c r="H4437" i="1"/>
  <c r="I4437" i="1"/>
  <c r="J4437" i="1"/>
  <c r="K4437" i="1"/>
  <c r="L4437" i="1"/>
  <c r="M4437" i="1"/>
  <c r="N4437" i="1"/>
  <c r="A4438" i="1"/>
  <c r="B4438" i="1"/>
  <c r="F4438" i="1"/>
  <c r="G4438" i="1"/>
  <c r="H4438" i="1"/>
  <c r="I4438" i="1"/>
  <c r="J4438" i="1"/>
  <c r="K4438" i="1"/>
  <c r="L4438" i="1"/>
  <c r="M4438" i="1"/>
  <c r="N4438" i="1"/>
  <c r="A4439" i="1"/>
  <c r="B4439" i="1"/>
  <c r="F4439" i="1"/>
  <c r="G4439" i="1"/>
  <c r="H4439" i="1"/>
  <c r="I4439" i="1"/>
  <c r="J4439" i="1"/>
  <c r="K4439" i="1"/>
  <c r="L4439" i="1"/>
  <c r="M4439" i="1"/>
  <c r="N4439" i="1"/>
  <c r="A4440" i="1"/>
  <c r="B4440" i="1"/>
  <c r="F4440" i="1"/>
  <c r="G4440" i="1"/>
  <c r="H4440" i="1"/>
  <c r="I4440" i="1"/>
  <c r="J4440" i="1"/>
  <c r="K4440" i="1"/>
  <c r="L4440" i="1"/>
  <c r="M4440" i="1"/>
  <c r="N4440" i="1"/>
  <c r="A4441" i="1"/>
  <c r="B4441" i="1"/>
  <c r="F4441" i="1"/>
  <c r="G4441" i="1"/>
  <c r="H4441" i="1"/>
  <c r="I4441" i="1"/>
  <c r="J4441" i="1"/>
  <c r="K4441" i="1"/>
  <c r="L4441" i="1"/>
  <c r="M4441" i="1"/>
  <c r="N4441" i="1"/>
  <c r="A4442" i="1"/>
  <c r="B4442" i="1"/>
  <c r="F4442" i="1"/>
  <c r="G4442" i="1"/>
  <c r="H4442" i="1"/>
  <c r="I4442" i="1"/>
  <c r="J4442" i="1"/>
  <c r="K4442" i="1"/>
  <c r="L4442" i="1"/>
  <c r="M4442" i="1"/>
  <c r="N4442" i="1"/>
  <c r="A4443" i="1"/>
  <c r="B4443" i="1"/>
  <c r="F4443" i="1"/>
  <c r="G4443" i="1"/>
  <c r="H4443" i="1"/>
  <c r="I4443" i="1"/>
  <c r="J4443" i="1"/>
  <c r="K4443" i="1"/>
  <c r="L4443" i="1"/>
  <c r="M4443" i="1"/>
  <c r="N4443" i="1"/>
  <c r="A4444" i="1"/>
  <c r="B4444" i="1"/>
  <c r="F4444" i="1"/>
  <c r="G4444" i="1"/>
  <c r="H4444" i="1"/>
  <c r="I4444" i="1"/>
  <c r="J4444" i="1"/>
  <c r="K4444" i="1"/>
  <c r="L4444" i="1"/>
  <c r="M4444" i="1"/>
  <c r="N4444" i="1"/>
  <c r="A4445" i="1"/>
  <c r="B4445" i="1"/>
  <c r="F4445" i="1"/>
  <c r="G4445" i="1"/>
  <c r="H4445" i="1"/>
  <c r="I4445" i="1"/>
  <c r="J4445" i="1"/>
  <c r="K4445" i="1"/>
  <c r="L4445" i="1"/>
  <c r="M4445" i="1"/>
  <c r="N4445" i="1"/>
  <c r="A4446" i="1"/>
  <c r="B4446" i="1"/>
  <c r="F4446" i="1"/>
  <c r="G4446" i="1"/>
  <c r="H4446" i="1"/>
  <c r="I4446" i="1"/>
  <c r="J4446" i="1"/>
  <c r="K4446" i="1"/>
  <c r="L4446" i="1"/>
  <c r="M4446" i="1"/>
  <c r="N4446" i="1"/>
  <c r="A4447" i="1"/>
  <c r="B4447" i="1"/>
  <c r="F4447" i="1"/>
  <c r="G4447" i="1"/>
  <c r="H4447" i="1"/>
  <c r="I4447" i="1"/>
  <c r="J4447" i="1"/>
  <c r="K4447" i="1"/>
  <c r="L4447" i="1"/>
  <c r="M4447" i="1"/>
  <c r="N4447" i="1"/>
  <c r="A4448" i="1"/>
  <c r="B4448" i="1"/>
  <c r="F4448" i="1"/>
  <c r="G4448" i="1"/>
  <c r="H4448" i="1"/>
  <c r="I4448" i="1"/>
  <c r="J4448" i="1"/>
  <c r="K4448" i="1"/>
  <c r="L4448" i="1"/>
  <c r="M4448" i="1"/>
  <c r="N4448" i="1"/>
  <c r="A4449" i="1"/>
  <c r="B4449" i="1"/>
  <c r="F4449" i="1"/>
  <c r="G4449" i="1"/>
  <c r="H4449" i="1"/>
  <c r="I4449" i="1"/>
  <c r="J4449" i="1"/>
  <c r="K4449" i="1"/>
  <c r="L4449" i="1"/>
  <c r="M4449" i="1"/>
  <c r="N4449" i="1"/>
  <c r="A4450" i="1"/>
  <c r="B4450" i="1"/>
  <c r="F4450" i="1"/>
  <c r="G4450" i="1"/>
  <c r="H4450" i="1"/>
  <c r="I4450" i="1"/>
  <c r="J4450" i="1"/>
  <c r="K4450" i="1"/>
  <c r="L4450" i="1"/>
  <c r="M4450" i="1"/>
  <c r="N4450" i="1"/>
  <c r="A4451" i="1"/>
  <c r="B4451" i="1"/>
  <c r="F4451" i="1"/>
  <c r="G4451" i="1"/>
  <c r="H4451" i="1"/>
  <c r="I4451" i="1"/>
  <c r="J4451" i="1"/>
  <c r="K4451" i="1"/>
  <c r="L4451" i="1"/>
  <c r="M4451" i="1"/>
  <c r="N4451" i="1"/>
  <c r="A4452" i="1"/>
  <c r="B4452" i="1"/>
  <c r="F4452" i="1"/>
  <c r="G4452" i="1"/>
  <c r="H4452" i="1"/>
  <c r="I4452" i="1"/>
  <c r="J4452" i="1"/>
  <c r="K4452" i="1"/>
  <c r="L4452" i="1"/>
  <c r="M4452" i="1"/>
  <c r="N4452" i="1"/>
  <c r="A4453" i="1"/>
  <c r="B4453" i="1"/>
  <c r="F4453" i="1"/>
  <c r="G4453" i="1"/>
  <c r="H4453" i="1"/>
  <c r="I4453" i="1"/>
  <c r="J4453" i="1"/>
  <c r="K4453" i="1"/>
  <c r="L4453" i="1"/>
  <c r="M4453" i="1"/>
  <c r="N4453" i="1"/>
  <c r="A4454" i="1"/>
  <c r="B4454" i="1"/>
  <c r="F4454" i="1"/>
  <c r="G4454" i="1"/>
  <c r="H4454" i="1"/>
  <c r="I4454" i="1"/>
  <c r="J4454" i="1"/>
  <c r="K4454" i="1"/>
  <c r="L4454" i="1"/>
  <c r="M4454" i="1"/>
  <c r="N4454" i="1"/>
  <c r="A4455" i="1"/>
  <c r="B4455" i="1"/>
  <c r="F4455" i="1"/>
  <c r="G4455" i="1"/>
  <c r="H4455" i="1"/>
  <c r="I4455" i="1"/>
  <c r="J4455" i="1"/>
  <c r="K4455" i="1"/>
  <c r="L4455" i="1"/>
  <c r="M4455" i="1"/>
  <c r="N4455" i="1"/>
  <c r="A4456" i="1"/>
  <c r="B4456" i="1"/>
  <c r="F4456" i="1"/>
  <c r="G4456" i="1"/>
  <c r="H4456" i="1"/>
  <c r="I4456" i="1"/>
  <c r="J4456" i="1"/>
  <c r="K4456" i="1"/>
  <c r="L4456" i="1"/>
  <c r="M4456" i="1"/>
  <c r="N4456" i="1"/>
  <c r="A4457" i="1"/>
  <c r="B4457" i="1"/>
  <c r="F4457" i="1"/>
  <c r="G4457" i="1"/>
  <c r="H4457" i="1"/>
  <c r="I4457" i="1"/>
  <c r="J4457" i="1"/>
  <c r="K4457" i="1"/>
  <c r="L4457" i="1"/>
  <c r="M4457" i="1"/>
  <c r="N4457" i="1"/>
  <c r="A4458" i="1"/>
  <c r="B4458" i="1"/>
  <c r="F4458" i="1"/>
  <c r="G4458" i="1"/>
  <c r="H4458" i="1"/>
  <c r="I4458" i="1"/>
  <c r="J4458" i="1"/>
  <c r="K4458" i="1"/>
  <c r="L4458" i="1"/>
  <c r="M4458" i="1"/>
  <c r="N4458" i="1"/>
  <c r="A4459" i="1"/>
  <c r="B4459" i="1"/>
  <c r="F4459" i="1"/>
  <c r="G4459" i="1"/>
  <c r="H4459" i="1"/>
  <c r="I4459" i="1"/>
  <c r="J4459" i="1"/>
  <c r="K4459" i="1"/>
  <c r="L4459" i="1"/>
  <c r="M4459" i="1"/>
  <c r="N4459" i="1"/>
  <c r="A4460" i="1"/>
  <c r="B4460" i="1"/>
  <c r="F4460" i="1"/>
  <c r="G4460" i="1"/>
  <c r="H4460" i="1"/>
  <c r="I4460" i="1"/>
  <c r="J4460" i="1"/>
  <c r="K4460" i="1"/>
  <c r="L4460" i="1"/>
  <c r="M4460" i="1"/>
  <c r="N4460" i="1"/>
  <c r="A4461" i="1"/>
  <c r="B4461" i="1"/>
  <c r="F4461" i="1"/>
  <c r="G4461" i="1"/>
  <c r="H4461" i="1"/>
  <c r="I4461" i="1"/>
  <c r="J4461" i="1"/>
  <c r="K4461" i="1"/>
  <c r="L4461" i="1"/>
  <c r="M4461" i="1"/>
  <c r="N4461" i="1"/>
  <c r="A4462" i="1"/>
  <c r="B4462" i="1"/>
  <c r="F4462" i="1"/>
  <c r="G4462" i="1"/>
  <c r="H4462" i="1"/>
  <c r="I4462" i="1"/>
  <c r="J4462" i="1"/>
  <c r="K4462" i="1"/>
  <c r="L4462" i="1"/>
  <c r="M4462" i="1"/>
  <c r="N4462" i="1"/>
  <c r="A4463" i="1"/>
  <c r="B4463" i="1"/>
  <c r="F4463" i="1"/>
  <c r="G4463" i="1"/>
  <c r="H4463" i="1"/>
  <c r="I4463" i="1"/>
  <c r="J4463" i="1"/>
  <c r="K4463" i="1"/>
  <c r="L4463" i="1"/>
  <c r="M4463" i="1"/>
  <c r="N4463" i="1"/>
  <c r="A4464" i="1"/>
  <c r="B4464" i="1"/>
  <c r="F4464" i="1"/>
  <c r="G4464" i="1"/>
  <c r="H4464" i="1"/>
  <c r="I4464" i="1"/>
  <c r="J4464" i="1"/>
  <c r="K4464" i="1"/>
  <c r="L4464" i="1"/>
  <c r="M4464" i="1"/>
  <c r="N4464" i="1"/>
  <c r="A4465" i="1"/>
  <c r="B4465" i="1"/>
  <c r="F4465" i="1"/>
  <c r="G4465" i="1"/>
  <c r="H4465" i="1"/>
  <c r="I4465" i="1"/>
  <c r="J4465" i="1"/>
  <c r="K4465" i="1"/>
  <c r="L4465" i="1"/>
  <c r="M4465" i="1"/>
  <c r="N4465" i="1"/>
  <c r="A4466" i="1"/>
  <c r="B4466" i="1"/>
  <c r="F4466" i="1"/>
  <c r="G4466" i="1"/>
  <c r="H4466" i="1"/>
  <c r="I4466" i="1"/>
  <c r="J4466" i="1"/>
  <c r="K4466" i="1"/>
  <c r="L4466" i="1"/>
  <c r="M4466" i="1"/>
  <c r="N4466" i="1"/>
  <c r="A4467" i="1"/>
  <c r="B4467" i="1"/>
  <c r="F4467" i="1"/>
  <c r="G4467" i="1"/>
  <c r="H4467" i="1"/>
  <c r="I4467" i="1"/>
  <c r="J4467" i="1"/>
  <c r="K4467" i="1"/>
  <c r="L4467" i="1"/>
  <c r="M4467" i="1"/>
  <c r="N4467" i="1"/>
  <c r="A4468" i="1"/>
  <c r="B4468" i="1"/>
  <c r="F4468" i="1"/>
  <c r="G4468" i="1"/>
  <c r="H4468" i="1"/>
  <c r="I4468" i="1"/>
  <c r="J4468" i="1"/>
  <c r="K4468" i="1"/>
  <c r="L4468" i="1"/>
  <c r="M4468" i="1"/>
  <c r="N4468" i="1"/>
  <c r="A4469" i="1"/>
  <c r="B4469" i="1"/>
  <c r="F4469" i="1"/>
  <c r="G4469" i="1"/>
  <c r="H4469" i="1"/>
  <c r="I4469" i="1"/>
  <c r="J4469" i="1"/>
  <c r="K4469" i="1"/>
  <c r="L4469" i="1"/>
  <c r="M4469" i="1"/>
  <c r="N4469" i="1"/>
  <c r="A4470" i="1"/>
  <c r="B4470" i="1"/>
  <c r="F4470" i="1"/>
  <c r="G4470" i="1"/>
  <c r="H4470" i="1"/>
  <c r="I4470" i="1"/>
  <c r="J4470" i="1"/>
  <c r="K4470" i="1"/>
  <c r="L4470" i="1"/>
  <c r="M4470" i="1"/>
  <c r="N4470" i="1"/>
  <c r="A4471" i="1"/>
  <c r="B4471" i="1"/>
  <c r="F4471" i="1"/>
  <c r="G4471" i="1"/>
  <c r="H4471" i="1"/>
  <c r="I4471" i="1"/>
  <c r="J4471" i="1"/>
  <c r="K4471" i="1"/>
  <c r="L4471" i="1"/>
  <c r="M4471" i="1"/>
  <c r="N4471" i="1"/>
  <c r="A4472" i="1"/>
  <c r="B4472" i="1"/>
  <c r="F4472" i="1"/>
  <c r="G4472" i="1"/>
  <c r="H4472" i="1"/>
  <c r="I4472" i="1"/>
  <c r="J4472" i="1"/>
  <c r="K4472" i="1"/>
  <c r="L4472" i="1"/>
  <c r="M4472" i="1"/>
  <c r="N4472" i="1"/>
  <c r="A4473" i="1"/>
  <c r="B4473" i="1"/>
  <c r="F4473" i="1"/>
  <c r="G4473" i="1"/>
  <c r="H4473" i="1"/>
  <c r="I4473" i="1"/>
  <c r="J4473" i="1"/>
  <c r="K4473" i="1"/>
  <c r="L4473" i="1"/>
  <c r="M4473" i="1"/>
  <c r="N4473" i="1"/>
  <c r="A4474" i="1"/>
  <c r="B4474" i="1"/>
  <c r="F4474" i="1"/>
  <c r="G4474" i="1"/>
  <c r="H4474" i="1"/>
  <c r="I4474" i="1"/>
  <c r="J4474" i="1"/>
  <c r="K4474" i="1"/>
  <c r="L4474" i="1"/>
  <c r="M4474" i="1"/>
  <c r="N4474" i="1"/>
  <c r="A4475" i="1"/>
  <c r="B4475" i="1"/>
  <c r="F4475" i="1"/>
  <c r="G4475" i="1"/>
  <c r="H4475" i="1"/>
  <c r="I4475" i="1"/>
  <c r="J4475" i="1"/>
  <c r="K4475" i="1"/>
  <c r="L4475" i="1"/>
  <c r="M4475" i="1"/>
  <c r="N4475" i="1"/>
  <c r="A4476" i="1"/>
  <c r="B4476" i="1"/>
  <c r="F4476" i="1"/>
  <c r="G4476" i="1"/>
  <c r="H4476" i="1"/>
  <c r="I4476" i="1"/>
  <c r="J4476" i="1"/>
  <c r="K4476" i="1"/>
  <c r="L4476" i="1"/>
  <c r="M4476" i="1"/>
  <c r="N4476" i="1"/>
  <c r="A4477" i="1"/>
  <c r="B4477" i="1"/>
  <c r="F4477" i="1"/>
  <c r="G4477" i="1"/>
  <c r="H4477" i="1"/>
  <c r="I4477" i="1"/>
  <c r="J4477" i="1"/>
  <c r="K4477" i="1"/>
  <c r="L4477" i="1"/>
  <c r="M4477" i="1"/>
  <c r="N4477" i="1"/>
  <c r="A4478" i="1"/>
  <c r="B4478" i="1"/>
  <c r="F4478" i="1"/>
  <c r="G4478" i="1"/>
  <c r="H4478" i="1"/>
  <c r="I4478" i="1"/>
  <c r="J4478" i="1"/>
  <c r="K4478" i="1"/>
  <c r="L4478" i="1"/>
  <c r="M4478" i="1"/>
  <c r="N4478" i="1"/>
  <c r="A4479" i="1"/>
  <c r="B4479" i="1"/>
  <c r="F4479" i="1"/>
  <c r="G4479" i="1"/>
  <c r="H4479" i="1"/>
  <c r="I4479" i="1"/>
  <c r="J4479" i="1"/>
  <c r="K4479" i="1"/>
  <c r="L4479" i="1"/>
  <c r="M4479" i="1"/>
  <c r="N4479" i="1"/>
  <c r="A4480" i="1"/>
  <c r="B4480" i="1"/>
  <c r="F4480" i="1"/>
  <c r="G4480" i="1"/>
  <c r="H4480" i="1"/>
  <c r="I4480" i="1"/>
  <c r="J4480" i="1"/>
  <c r="K4480" i="1"/>
  <c r="L4480" i="1"/>
  <c r="M4480" i="1"/>
  <c r="N4480" i="1"/>
  <c r="A4481" i="1"/>
  <c r="B4481" i="1"/>
  <c r="F4481" i="1"/>
  <c r="G4481" i="1"/>
  <c r="H4481" i="1"/>
  <c r="I4481" i="1"/>
  <c r="J4481" i="1"/>
  <c r="K4481" i="1"/>
  <c r="L4481" i="1"/>
  <c r="M4481" i="1"/>
  <c r="N4481" i="1"/>
  <c r="A4482" i="1"/>
  <c r="B4482" i="1"/>
  <c r="F4482" i="1"/>
  <c r="G4482" i="1"/>
  <c r="H4482" i="1"/>
  <c r="I4482" i="1"/>
  <c r="J4482" i="1"/>
  <c r="K4482" i="1"/>
  <c r="L4482" i="1"/>
  <c r="M4482" i="1"/>
  <c r="N4482" i="1"/>
  <c r="A4483" i="1"/>
  <c r="B4483" i="1"/>
  <c r="F4483" i="1"/>
  <c r="G4483" i="1"/>
  <c r="H4483" i="1"/>
  <c r="I4483" i="1"/>
  <c r="J4483" i="1"/>
  <c r="K4483" i="1"/>
  <c r="L4483" i="1"/>
  <c r="M4483" i="1"/>
  <c r="N4483" i="1"/>
  <c r="A4484" i="1"/>
  <c r="B4484" i="1"/>
  <c r="F4484" i="1"/>
  <c r="G4484" i="1"/>
  <c r="H4484" i="1"/>
  <c r="I4484" i="1"/>
  <c r="J4484" i="1"/>
  <c r="K4484" i="1"/>
  <c r="L4484" i="1"/>
  <c r="M4484" i="1"/>
  <c r="N4484" i="1"/>
  <c r="A4485" i="1"/>
  <c r="B4485" i="1"/>
  <c r="F4485" i="1"/>
  <c r="G4485" i="1"/>
  <c r="H4485" i="1"/>
  <c r="I4485" i="1"/>
  <c r="J4485" i="1"/>
  <c r="K4485" i="1"/>
  <c r="L4485" i="1"/>
  <c r="M4485" i="1"/>
  <c r="N4485" i="1"/>
  <c r="A4486" i="1"/>
  <c r="B4486" i="1"/>
  <c r="F4486" i="1"/>
  <c r="G4486" i="1"/>
  <c r="H4486" i="1"/>
  <c r="I4486" i="1"/>
  <c r="J4486" i="1"/>
  <c r="K4486" i="1"/>
  <c r="L4486" i="1"/>
  <c r="M4486" i="1"/>
  <c r="N4486" i="1"/>
  <c r="A4487" i="1"/>
  <c r="B4487" i="1"/>
  <c r="F4487" i="1"/>
  <c r="G4487" i="1"/>
  <c r="H4487" i="1"/>
  <c r="I4487" i="1"/>
  <c r="J4487" i="1"/>
  <c r="K4487" i="1"/>
  <c r="L4487" i="1"/>
  <c r="M4487" i="1"/>
  <c r="N4487" i="1"/>
  <c r="A4488" i="1"/>
  <c r="B4488" i="1"/>
  <c r="F4488" i="1"/>
  <c r="G4488" i="1"/>
  <c r="H4488" i="1"/>
  <c r="I4488" i="1"/>
  <c r="J4488" i="1"/>
  <c r="K4488" i="1"/>
  <c r="L4488" i="1"/>
  <c r="M4488" i="1"/>
  <c r="N4488" i="1"/>
  <c r="A4489" i="1"/>
  <c r="B4489" i="1"/>
  <c r="F4489" i="1"/>
  <c r="G4489" i="1"/>
  <c r="H4489" i="1"/>
  <c r="I4489" i="1"/>
  <c r="J4489" i="1"/>
  <c r="K4489" i="1"/>
  <c r="L4489" i="1"/>
  <c r="M4489" i="1"/>
  <c r="N4489" i="1"/>
  <c r="A4490" i="1"/>
  <c r="B4490" i="1"/>
  <c r="F4490" i="1"/>
  <c r="G4490" i="1"/>
  <c r="H4490" i="1"/>
  <c r="I4490" i="1"/>
  <c r="J4490" i="1"/>
  <c r="K4490" i="1"/>
  <c r="L4490" i="1"/>
  <c r="M4490" i="1"/>
  <c r="N4490" i="1"/>
  <c r="A4491" i="1"/>
  <c r="B4491" i="1"/>
  <c r="F4491" i="1"/>
  <c r="G4491" i="1"/>
  <c r="H4491" i="1"/>
  <c r="I4491" i="1"/>
  <c r="J4491" i="1"/>
  <c r="K4491" i="1"/>
  <c r="L4491" i="1"/>
  <c r="M4491" i="1"/>
  <c r="N4491" i="1"/>
  <c r="A4492" i="1"/>
  <c r="B4492" i="1"/>
  <c r="F4492" i="1"/>
  <c r="G4492" i="1"/>
  <c r="H4492" i="1"/>
  <c r="I4492" i="1"/>
  <c r="J4492" i="1"/>
  <c r="K4492" i="1"/>
  <c r="L4492" i="1"/>
  <c r="M4492" i="1"/>
  <c r="N4492" i="1"/>
  <c r="A4493" i="1"/>
  <c r="B4493" i="1"/>
  <c r="F4493" i="1"/>
  <c r="G4493" i="1"/>
  <c r="H4493" i="1"/>
  <c r="I4493" i="1"/>
  <c r="J4493" i="1"/>
  <c r="K4493" i="1"/>
  <c r="L4493" i="1"/>
  <c r="M4493" i="1"/>
  <c r="N4493" i="1"/>
  <c r="A4494" i="1"/>
  <c r="B4494" i="1"/>
  <c r="F4494" i="1"/>
  <c r="G4494" i="1"/>
  <c r="H4494" i="1"/>
  <c r="I4494" i="1"/>
  <c r="J4494" i="1"/>
  <c r="K4494" i="1"/>
  <c r="L4494" i="1"/>
  <c r="M4494" i="1"/>
  <c r="N4494" i="1"/>
  <c r="A4495" i="1"/>
  <c r="B4495" i="1"/>
  <c r="F4495" i="1"/>
  <c r="G4495" i="1"/>
  <c r="H4495" i="1"/>
  <c r="I4495" i="1"/>
  <c r="J4495" i="1"/>
  <c r="K4495" i="1"/>
  <c r="L4495" i="1"/>
  <c r="M4495" i="1"/>
  <c r="N4495" i="1"/>
  <c r="A4496" i="1"/>
  <c r="B4496" i="1"/>
  <c r="F4496" i="1"/>
  <c r="G4496" i="1"/>
  <c r="H4496" i="1"/>
  <c r="I4496" i="1"/>
  <c r="J4496" i="1"/>
  <c r="K4496" i="1"/>
  <c r="L4496" i="1"/>
  <c r="M4496" i="1"/>
  <c r="N4496" i="1"/>
  <c r="A4497" i="1"/>
  <c r="B4497" i="1"/>
  <c r="F4497" i="1"/>
  <c r="G4497" i="1"/>
  <c r="H4497" i="1"/>
  <c r="I4497" i="1"/>
  <c r="J4497" i="1"/>
  <c r="K4497" i="1"/>
  <c r="L4497" i="1"/>
  <c r="M4497" i="1"/>
  <c r="N4497" i="1"/>
  <c r="A4498" i="1"/>
  <c r="B4498" i="1"/>
  <c r="F4498" i="1"/>
  <c r="G4498" i="1"/>
  <c r="H4498" i="1"/>
  <c r="I4498" i="1"/>
  <c r="J4498" i="1"/>
  <c r="K4498" i="1"/>
  <c r="L4498" i="1"/>
  <c r="M4498" i="1"/>
  <c r="N4498" i="1"/>
  <c r="A4499" i="1"/>
  <c r="B4499" i="1"/>
  <c r="F4499" i="1"/>
  <c r="G4499" i="1"/>
  <c r="H4499" i="1"/>
  <c r="I4499" i="1"/>
  <c r="J4499" i="1"/>
  <c r="K4499" i="1"/>
  <c r="L4499" i="1"/>
  <c r="M4499" i="1"/>
  <c r="N4499" i="1"/>
  <c r="A4500" i="1"/>
  <c r="B4500" i="1"/>
  <c r="F4500" i="1"/>
  <c r="G4500" i="1"/>
  <c r="H4500" i="1"/>
  <c r="I4500" i="1"/>
  <c r="J4500" i="1"/>
  <c r="K4500" i="1"/>
  <c r="L4500" i="1"/>
  <c r="M4500" i="1"/>
  <c r="N4500" i="1"/>
  <c r="A4501" i="1"/>
  <c r="B4501" i="1"/>
  <c r="F4501" i="1"/>
  <c r="G4501" i="1"/>
  <c r="H4501" i="1"/>
  <c r="I4501" i="1"/>
  <c r="J4501" i="1"/>
  <c r="K4501" i="1"/>
  <c r="L4501" i="1"/>
  <c r="M4501" i="1"/>
  <c r="N4501" i="1"/>
  <c r="A4502" i="1"/>
  <c r="B4502" i="1"/>
  <c r="F4502" i="1"/>
  <c r="G4502" i="1"/>
  <c r="H4502" i="1"/>
  <c r="I4502" i="1"/>
  <c r="J4502" i="1"/>
  <c r="K4502" i="1"/>
  <c r="L4502" i="1"/>
  <c r="M4502" i="1"/>
  <c r="N4502" i="1"/>
  <c r="A4503" i="1"/>
  <c r="B4503" i="1"/>
  <c r="F4503" i="1"/>
  <c r="G4503" i="1"/>
  <c r="H4503" i="1"/>
  <c r="I4503" i="1"/>
  <c r="J4503" i="1"/>
  <c r="K4503" i="1"/>
  <c r="L4503" i="1"/>
  <c r="M4503" i="1"/>
  <c r="N4503" i="1"/>
  <c r="A4504" i="1"/>
  <c r="B4504" i="1"/>
  <c r="F4504" i="1"/>
  <c r="G4504" i="1"/>
  <c r="H4504" i="1"/>
  <c r="I4504" i="1"/>
  <c r="J4504" i="1"/>
  <c r="K4504" i="1"/>
  <c r="L4504" i="1"/>
  <c r="M4504" i="1"/>
  <c r="N4504" i="1"/>
  <c r="A4505" i="1"/>
  <c r="B4505" i="1"/>
  <c r="F4505" i="1"/>
  <c r="G4505" i="1"/>
  <c r="H4505" i="1"/>
  <c r="I4505" i="1"/>
  <c r="J4505" i="1"/>
  <c r="K4505" i="1"/>
  <c r="L4505" i="1"/>
  <c r="M4505" i="1"/>
  <c r="N4505" i="1"/>
  <c r="A4506" i="1"/>
  <c r="B4506" i="1"/>
  <c r="F4506" i="1"/>
  <c r="G4506" i="1"/>
  <c r="H4506" i="1"/>
  <c r="I4506" i="1"/>
  <c r="J4506" i="1"/>
  <c r="K4506" i="1"/>
  <c r="L4506" i="1"/>
  <c r="M4506" i="1"/>
  <c r="N4506" i="1"/>
  <c r="A4507" i="1"/>
  <c r="B4507" i="1"/>
  <c r="F4507" i="1"/>
  <c r="G4507" i="1"/>
  <c r="H4507" i="1"/>
  <c r="I4507" i="1"/>
  <c r="J4507" i="1"/>
  <c r="K4507" i="1"/>
  <c r="L4507" i="1"/>
  <c r="M4507" i="1"/>
  <c r="N4507" i="1"/>
  <c r="A4508" i="1"/>
  <c r="B4508" i="1"/>
  <c r="F4508" i="1"/>
  <c r="G4508" i="1"/>
  <c r="H4508" i="1"/>
  <c r="I4508" i="1"/>
  <c r="J4508" i="1"/>
  <c r="K4508" i="1"/>
  <c r="L4508" i="1"/>
  <c r="M4508" i="1"/>
  <c r="N4508" i="1"/>
  <c r="A4509" i="1"/>
  <c r="B4509" i="1"/>
  <c r="F4509" i="1"/>
  <c r="G4509" i="1"/>
  <c r="H4509" i="1"/>
  <c r="I4509" i="1"/>
  <c r="J4509" i="1"/>
  <c r="K4509" i="1"/>
  <c r="L4509" i="1"/>
  <c r="M4509" i="1"/>
  <c r="N4509" i="1"/>
  <c r="A4510" i="1"/>
  <c r="B4510" i="1"/>
  <c r="F4510" i="1"/>
  <c r="G4510" i="1"/>
  <c r="H4510" i="1"/>
  <c r="I4510" i="1"/>
  <c r="J4510" i="1"/>
  <c r="K4510" i="1"/>
  <c r="L4510" i="1"/>
  <c r="M4510" i="1"/>
  <c r="N4510" i="1"/>
  <c r="A4511" i="1"/>
  <c r="B4511" i="1"/>
  <c r="F4511" i="1"/>
  <c r="G4511" i="1"/>
  <c r="H4511" i="1"/>
  <c r="I4511" i="1"/>
  <c r="J4511" i="1"/>
  <c r="K4511" i="1"/>
  <c r="L4511" i="1"/>
  <c r="M4511" i="1"/>
  <c r="N4511" i="1"/>
  <c r="A4512" i="1"/>
  <c r="B4512" i="1"/>
  <c r="F4512" i="1"/>
  <c r="G4512" i="1"/>
  <c r="H4512" i="1"/>
  <c r="I4512" i="1"/>
  <c r="J4512" i="1"/>
  <c r="K4512" i="1"/>
  <c r="L4512" i="1"/>
  <c r="M4512" i="1"/>
  <c r="N4512" i="1"/>
  <c r="A4513" i="1"/>
  <c r="B4513" i="1"/>
  <c r="F4513" i="1"/>
  <c r="G4513" i="1"/>
  <c r="H4513" i="1"/>
  <c r="I4513" i="1"/>
  <c r="J4513" i="1"/>
  <c r="K4513" i="1"/>
  <c r="L4513" i="1"/>
  <c r="M4513" i="1"/>
  <c r="N4513" i="1"/>
  <c r="A4514" i="1"/>
  <c r="B4514" i="1"/>
  <c r="F4514" i="1"/>
  <c r="G4514" i="1"/>
  <c r="H4514" i="1"/>
  <c r="I4514" i="1"/>
  <c r="J4514" i="1"/>
  <c r="K4514" i="1"/>
  <c r="L4514" i="1"/>
  <c r="M4514" i="1"/>
  <c r="N4514" i="1"/>
  <c r="A4515" i="1"/>
  <c r="B4515" i="1"/>
  <c r="F4515" i="1"/>
  <c r="G4515" i="1"/>
  <c r="H4515" i="1"/>
  <c r="I4515" i="1"/>
  <c r="J4515" i="1"/>
  <c r="K4515" i="1"/>
  <c r="L4515" i="1"/>
  <c r="M4515" i="1"/>
  <c r="N4515" i="1"/>
  <c r="A4516" i="1"/>
  <c r="B4516" i="1"/>
  <c r="F4516" i="1"/>
  <c r="G4516" i="1"/>
  <c r="H4516" i="1"/>
  <c r="I4516" i="1"/>
  <c r="J4516" i="1"/>
  <c r="K4516" i="1"/>
  <c r="L4516" i="1"/>
  <c r="M4516" i="1"/>
  <c r="N4516" i="1"/>
  <c r="A4517" i="1"/>
  <c r="B4517" i="1"/>
  <c r="F4517" i="1"/>
  <c r="G4517" i="1"/>
  <c r="H4517" i="1"/>
  <c r="I4517" i="1"/>
  <c r="J4517" i="1"/>
  <c r="K4517" i="1"/>
  <c r="L4517" i="1"/>
  <c r="M4517" i="1"/>
  <c r="N4517" i="1"/>
  <c r="A4518" i="1"/>
  <c r="B4518" i="1"/>
  <c r="F4518" i="1"/>
  <c r="G4518" i="1"/>
  <c r="H4518" i="1"/>
  <c r="I4518" i="1"/>
  <c r="J4518" i="1"/>
  <c r="K4518" i="1"/>
  <c r="L4518" i="1"/>
  <c r="M4518" i="1"/>
  <c r="N4518" i="1"/>
  <c r="A4519" i="1"/>
  <c r="B4519" i="1"/>
  <c r="F4519" i="1"/>
  <c r="G4519" i="1"/>
  <c r="H4519" i="1"/>
  <c r="I4519" i="1"/>
  <c r="J4519" i="1"/>
  <c r="K4519" i="1"/>
  <c r="L4519" i="1"/>
  <c r="M4519" i="1"/>
  <c r="N4519" i="1"/>
  <c r="A4520" i="1"/>
  <c r="B4520" i="1"/>
  <c r="F4520" i="1"/>
  <c r="G4520" i="1"/>
  <c r="H4520" i="1"/>
  <c r="I4520" i="1"/>
  <c r="J4520" i="1"/>
  <c r="K4520" i="1"/>
  <c r="L4520" i="1"/>
  <c r="M4520" i="1"/>
  <c r="N4520" i="1"/>
  <c r="A4521" i="1"/>
  <c r="B4521" i="1"/>
  <c r="F4521" i="1"/>
  <c r="G4521" i="1"/>
  <c r="H4521" i="1"/>
  <c r="I4521" i="1"/>
  <c r="J4521" i="1"/>
  <c r="K4521" i="1"/>
  <c r="L4521" i="1"/>
  <c r="M4521" i="1"/>
  <c r="N4521" i="1"/>
  <c r="A4522" i="1"/>
  <c r="B4522" i="1"/>
  <c r="F4522" i="1"/>
  <c r="G4522" i="1"/>
  <c r="H4522" i="1"/>
  <c r="I4522" i="1"/>
  <c r="J4522" i="1"/>
  <c r="K4522" i="1"/>
  <c r="L4522" i="1"/>
  <c r="M4522" i="1"/>
  <c r="N4522" i="1"/>
  <c r="A4523" i="1"/>
  <c r="B4523" i="1"/>
  <c r="F4523" i="1"/>
  <c r="G4523" i="1"/>
  <c r="H4523" i="1"/>
  <c r="I4523" i="1"/>
  <c r="J4523" i="1"/>
  <c r="K4523" i="1"/>
  <c r="L4523" i="1"/>
  <c r="M4523" i="1"/>
  <c r="N4523" i="1"/>
  <c r="A4524" i="1"/>
  <c r="B4524" i="1"/>
  <c r="F4524" i="1"/>
  <c r="G4524" i="1"/>
  <c r="H4524" i="1"/>
  <c r="I4524" i="1"/>
  <c r="J4524" i="1"/>
  <c r="K4524" i="1"/>
  <c r="L4524" i="1"/>
  <c r="M4524" i="1"/>
  <c r="N4524" i="1"/>
  <c r="A4525" i="1"/>
  <c r="B4525" i="1"/>
  <c r="F4525" i="1"/>
  <c r="G4525" i="1"/>
  <c r="H4525" i="1"/>
  <c r="I4525" i="1"/>
  <c r="J4525" i="1"/>
  <c r="K4525" i="1"/>
  <c r="L4525" i="1"/>
  <c r="M4525" i="1"/>
  <c r="N4525" i="1"/>
  <c r="A4526" i="1"/>
  <c r="B4526" i="1"/>
  <c r="F4526" i="1"/>
  <c r="G4526" i="1"/>
  <c r="H4526" i="1"/>
  <c r="I4526" i="1"/>
  <c r="J4526" i="1"/>
  <c r="K4526" i="1"/>
  <c r="L4526" i="1"/>
  <c r="M4526" i="1"/>
  <c r="N4526" i="1"/>
  <c r="A4527" i="1"/>
  <c r="B4527" i="1"/>
  <c r="F4527" i="1"/>
  <c r="G4527" i="1"/>
  <c r="H4527" i="1"/>
  <c r="I4527" i="1"/>
  <c r="J4527" i="1"/>
  <c r="K4527" i="1"/>
  <c r="L4527" i="1"/>
  <c r="M4527" i="1"/>
  <c r="N4527" i="1"/>
  <c r="A4528" i="1"/>
  <c r="B4528" i="1"/>
  <c r="F4528" i="1"/>
  <c r="G4528" i="1"/>
  <c r="H4528" i="1"/>
  <c r="I4528" i="1"/>
  <c r="J4528" i="1"/>
  <c r="K4528" i="1"/>
  <c r="L4528" i="1"/>
  <c r="M4528" i="1"/>
  <c r="N4528" i="1"/>
  <c r="A4529" i="1"/>
  <c r="B4529" i="1"/>
  <c r="F4529" i="1"/>
  <c r="G4529" i="1"/>
  <c r="H4529" i="1"/>
  <c r="I4529" i="1"/>
  <c r="J4529" i="1"/>
  <c r="K4529" i="1"/>
  <c r="L4529" i="1"/>
  <c r="M4529" i="1"/>
  <c r="N4529" i="1"/>
  <c r="A4530" i="1"/>
  <c r="B4530" i="1"/>
  <c r="F4530" i="1"/>
  <c r="G4530" i="1"/>
  <c r="H4530" i="1"/>
  <c r="I4530" i="1"/>
  <c r="J4530" i="1"/>
  <c r="K4530" i="1"/>
  <c r="L4530" i="1"/>
  <c r="M4530" i="1"/>
  <c r="N4530" i="1"/>
  <c r="A4531" i="1"/>
  <c r="B4531" i="1"/>
  <c r="F4531" i="1"/>
  <c r="G4531" i="1"/>
  <c r="H4531" i="1"/>
  <c r="I4531" i="1"/>
  <c r="J4531" i="1"/>
  <c r="K4531" i="1"/>
  <c r="L4531" i="1"/>
  <c r="M4531" i="1"/>
  <c r="N4531" i="1"/>
  <c r="A4532" i="1"/>
  <c r="B4532" i="1"/>
  <c r="F4532" i="1"/>
  <c r="G4532" i="1"/>
  <c r="H4532" i="1"/>
  <c r="I4532" i="1"/>
  <c r="J4532" i="1"/>
  <c r="K4532" i="1"/>
  <c r="L4532" i="1"/>
  <c r="M4532" i="1"/>
  <c r="N4532" i="1"/>
  <c r="A4533" i="1"/>
  <c r="B4533" i="1"/>
  <c r="F4533" i="1"/>
  <c r="G4533" i="1"/>
  <c r="H4533" i="1"/>
  <c r="I4533" i="1"/>
  <c r="J4533" i="1"/>
  <c r="K4533" i="1"/>
  <c r="L4533" i="1"/>
  <c r="M4533" i="1"/>
  <c r="N4533" i="1"/>
  <c r="A4534" i="1"/>
  <c r="B4534" i="1"/>
  <c r="F4534" i="1"/>
  <c r="G4534" i="1"/>
  <c r="H4534" i="1"/>
  <c r="I4534" i="1"/>
  <c r="J4534" i="1"/>
  <c r="K4534" i="1"/>
  <c r="L4534" i="1"/>
  <c r="M4534" i="1"/>
  <c r="N4534" i="1"/>
  <c r="A4535" i="1"/>
  <c r="B4535" i="1"/>
  <c r="F4535" i="1"/>
  <c r="G4535" i="1"/>
  <c r="H4535" i="1"/>
  <c r="I4535" i="1"/>
  <c r="J4535" i="1"/>
  <c r="K4535" i="1"/>
  <c r="L4535" i="1"/>
  <c r="M4535" i="1"/>
  <c r="N4535" i="1"/>
  <c r="A4536" i="1"/>
  <c r="B4536" i="1"/>
  <c r="F4536" i="1"/>
  <c r="G4536" i="1"/>
  <c r="H4536" i="1"/>
  <c r="I4536" i="1"/>
  <c r="J4536" i="1"/>
  <c r="K4536" i="1"/>
  <c r="L4536" i="1"/>
  <c r="M4536" i="1"/>
  <c r="N4536" i="1"/>
  <c r="A4537" i="1"/>
  <c r="B4537" i="1"/>
  <c r="F4537" i="1"/>
  <c r="G4537" i="1"/>
  <c r="H4537" i="1"/>
  <c r="I4537" i="1"/>
  <c r="J4537" i="1"/>
  <c r="K4537" i="1"/>
  <c r="L4537" i="1"/>
  <c r="M4537" i="1"/>
  <c r="N4537" i="1"/>
  <c r="A4538" i="1"/>
  <c r="B4538" i="1"/>
  <c r="F4538" i="1"/>
  <c r="G4538" i="1"/>
  <c r="H4538" i="1"/>
  <c r="I4538" i="1"/>
  <c r="J4538" i="1"/>
  <c r="K4538" i="1"/>
  <c r="L4538" i="1"/>
  <c r="M4538" i="1"/>
  <c r="N4538" i="1"/>
  <c r="A4539" i="1"/>
  <c r="B4539" i="1"/>
  <c r="F4539" i="1"/>
  <c r="G4539" i="1"/>
  <c r="H4539" i="1"/>
  <c r="I4539" i="1"/>
  <c r="J4539" i="1"/>
  <c r="K4539" i="1"/>
  <c r="L4539" i="1"/>
  <c r="M4539" i="1"/>
  <c r="N4539" i="1"/>
  <c r="A4540" i="1"/>
  <c r="B4540" i="1"/>
  <c r="F4540" i="1"/>
  <c r="G4540" i="1"/>
  <c r="H4540" i="1"/>
  <c r="I4540" i="1"/>
  <c r="J4540" i="1"/>
  <c r="K4540" i="1"/>
  <c r="L4540" i="1"/>
  <c r="M4540" i="1"/>
  <c r="N4540" i="1"/>
  <c r="A4541" i="1"/>
  <c r="B4541" i="1"/>
  <c r="F4541" i="1"/>
  <c r="G4541" i="1"/>
  <c r="H4541" i="1"/>
  <c r="I4541" i="1"/>
  <c r="J4541" i="1"/>
  <c r="K4541" i="1"/>
  <c r="L4541" i="1"/>
  <c r="M4541" i="1"/>
  <c r="N4541" i="1"/>
  <c r="A4542" i="1"/>
  <c r="B4542" i="1"/>
  <c r="F4542" i="1"/>
  <c r="G4542" i="1"/>
  <c r="H4542" i="1"/>
  <c r="I4542" i="1"/>
  <c r="J4542" i="1"/>
  <c r="K4542" i="1"/>
  <c r="L4542" i="1"/>
  <c r="M4542" i="1"/>
  <c r="N4542" i="1"/>
  <c r="A4543" i="1"/>
  <c r="B4543" i="1"/>
  <c r="F4543" i="1"/>
  <c r="G4543" i="1"/>
  <c r="H4543" i="1"/>
  <c r="I4543" i="1"/>
  <c r="J4543" i="1"/>
  <c r="K4543" i="1"/>
  <c r="L4543" i="1"/>
  <c r="M4543" i="1"/>
  <c r="N4543" i="1"/>
  <c r="A4544" i="1"/>
  <c r="B4544" i="1"/>
  <c r="F4544" i="1"/>
  <c r="G4544" i="1"/>
  <c r="H4544" i="1"/>
  <c r="I4544" i="1"/>
  <c r="J4544" i="1"/>
  <c r="K4544" i="1"/>
  <c r="L4544" i="1"/>
  <c r="M4544" i="1"/>
  <c r="N4544" i="1"/>
  <c r="A4545" i="1"/>
  <c r="B4545" i="1"/>
  <c r="F4545" i="1"/>
  <c r="G4545" i="1"/>
  <c r="H4545" i="1"/>
  <c r="I4545" i="1"/>
  <c r="J4545" i="1"/>
  <c r="K4545" i="1"/>
  <c r="L4545" i="1"/>
  <c r="M4545" i="1"/>
  <c r="N4545" i="1"/>
  <c r="A4546" i="1"/>
  <c r="B4546" i="1"/>
  <c r="F4546" i="1"/>
  <c r="G4546" i="1"/>
  <c r="H4546" i="1"/>
  <c r="I4546" i="1"/>
  <c r="J4546" i="1"/>
  <c r="K4546" i="1"/>
  <c r="L4546" i="1"/>
  <c r="M4546" i="1"/>
  <c r="N4546" i="1"/>
  <c r="A4547" i="1"/>
  <c r="B4547" i="1"/>
  <c r="F4547" i="1"/>
  <c r="G4547" i="1"/>
  <c r="H4547" i="1"/>
  <c r="I4547" i="1"/>
  <c r="J4547" i="1"/>
  <c r="K4547" i="1"/>
  <c r="L4547" i="1"/>
  <c r="M4547" i="1"/>
  <c r="N4547" i="1"/>
  <c r="A4548" i="1"/>
  <c r="B4548" i="1"/>
  <c r="F4548" i="1"/>
  <c r="G4548" i="1"/>
  <c r="H4548" i="1"/>
  <c r="I4548" i="1"/>
  <c r="J4548" i="1"/>
  <c r="K4548" i="1"/>
  <c r="L4548" i="1"/>
  <c r="M4548" i="1"/>
  <c r="N4548" i="1"/>
  <c r="A4549" i="1"/>
  <c r="B4549" i="1"/>
  <c r="F4549" i="1"/>
  <c r="G4549" i="1"/>
  <c r="H4549" i="1"/>
  <c r="I4549" i="1"/>
  <c r="J4549" i="1"/>
  <c r="K4549" i="1"/>
  <c r="L4549" i="1"/>
  <c r="M4549" i="1"/>
  <c r="N4549" i="1"/>
  <c r="A4550" i="1"/>
  <c r="B4550" i="1"/>
  <c r="F4550" i="1"/>
  <c r="G4550" i="1"/>
  <c r="H4550" i="1"/>
  <c r="I4550" i="1"/>
  <c r="J4550" i="1"/>
  <c r="K4550" i="1"/>
  <c r="L4550" i="1"/>
  <c r="M4550" i="1"/>
  <c r="N4550" i="1"/>
  <c r="A4551" i="1"/>
  <c r="B4551" i="1"/>
  <c r="F4551" i="1"/>
  <c r="G4551" i="1"/>
  <c r="H4551" i="1"/>
  <c r="I4551" i="1"/>
  <c r="J4551" i="1"/>
  <c r="K4551" i="1"/>
  <c r="L4551" i="1"/>
  <c r="M4551" i="1"/>
  <c r="N4551" i="1"/>
  <c r="A4552" i="1"/>
  <c r="B4552" i="1"/>
  <c r="F4552" i="1"/>
  <c r="G4552" i="1"/>
  <c r="H4552" i="1"/>
  <c r="I4552" i="1"/>
  <c r="J4552" i="1"/>
  <c r="K4552" i="1"/>
  <c r="L4552" i="1"/>
  <c r="M4552" i="1"/>
  <c r="N4552" i="1"/>
  <c r="A4553" i="1"/>
  <c r="B4553" i="1"/>
  <c r="F4553" i="1"/>
  <c r="G4553" i="1"/>
  <c r="H4553" i="1"/>
  <c r="I4553" i="1"/>
  <c r="J4553" i="1"/>
  <c r="K4553" i="1"/>
  <c r="L4553" i="1"/>
  <c r="M4553" i="1"/>
  <c r="N4553" i="1"/>
  <c r="A4554" i="1"/>
  <c r="B4554" i="1"/>
  <c r="F4554" i="1"/>
  <c r="G4554" i="1"/>
  <c r="H4554" i="1"/>
  <c r="I4554" i="1"/>
  <c r="J4554" i="1"/>
  <c r="K4554" i="1"/>
  <c r="L4554" i="1"/>
  <c r="M4554" i="1"/>
  <c r="N4554" i="1"/>
  <c r="A4555" i="1"/>
  <c r="B4555" i="1"/>
  <c r="F4555" i="1"/>
  <c r="G4555" i="1"/>
  <c r="H4555" i="1"/>
  <c r="I4555" i="1"/>
  <c r="J4555" i="1"/>
  <c r="K4555" i="1"/>
  <c r="L4555" i="1"/>
  <c r="M4555" i="1"/>
  <c r="N4555" i="1"/>
  <c r="A4556" i="1"/>
  <c r="B4556" i="1"/>
  <c r="F4556" i="1"/>
  <c r="G4556" i="1"/>
  <c r="H4556" i="1"/>
  <c r="I4556" i="1"/>
  <c r="J4556" i="1"/>
  <c r="K4556" i="1"/>
  <c r="L4556" i="1"/>
  <c r="M4556" i="1"/>
  <c r="N4556" i="1"/>
  <c r="A4557" i="1"/>
  <c r="B4557" i="1"/>
  <c r="F4557" i="1"/>
  <c r="G4557" i="1"/>
  <c r="H4557" i="1"/>
  <c r="I4557" i="1"/>
  <c r="J4557" i="1"/>
  <c r="K4557" i="1"/>
  <c r="L4557" i="1"/>
  <c r="M4557" i="1"/>
  <c r="N4557" i="1"/>
  <c r="A4558" i="1"/>
  <c r="B4558" i="1"/>
  <c r="F4558" i="1"/>
  <c r="G4558" i="1"/>
  <c r="H4558" i="1"/>
  <c r="I4558" i="1"/>
  <c r="J4558" i="1"/>
  <c r="K4558" i="1"/>
  <c r="L4558" i="1"/>
  <c r="M4558" i="1"/>
  <c r="N4558" i="1"/>
  <c r="A4559" i="1"/>
  <c r="B4559" i="1"/>
  <c r="F4559" i="1"/>
  <c r="G4559" i="1"/>
  <c r="H4559" i="1"/>
  <c r="I4559" i="1"/>
  <c r="J4559" i="1"/>
  <c r="K4559" i="1"/>
  <c r="L4559" i="1"/>
  <c r="M4559" i="1"/>
  <c r="N4559" i="1"/>
  <c r="A4560" i="1"/>
  <c r="B4560" i="1"/>
  <c r="F4560" i="1"/>
  <c r="G4560" i="1"/>
  <c r="H4560" i="1"/>
  <c r="I4560" i="1"/>
  <c r="J4560" i="1"/>
  <c r="K4560" i="1"/>
  <c r="L4560" i="1"/>
  <c r="M4560" i="1"/>
  <c r="N4560" i="1"/>
  <c r="A4561" i="1"/>
  <c r="B4561" i="1"/>
  <c r="F4561" i="1"/>
  <c r="G4561" i="1"/>
  <c r="H4561" i="1"/>
  <c r="I4561" i="1"/>
  <c r="J4561" i="1"/>
  <c r="K4561" i="1"/>
  <c r="L4561" i="1"/>
  <c r="M4561" i="1"/>
  <c r="N4561" i="1"/>
  <c r="A4562" i="1"/>
  <c r="B4562" i="1"/>
  <c r="F4562" i="1"/>
  <c r="G4562" i="1"/>
  <c r="H4562" i="1"/>
  <c r="I4562" i="1"/>
  <c r="J4562" i="1"/>
  <c r="K4562" i="1"/>
  <c r="L4562" i="1"/>
  <c r="M4562" i="1"/>
  <c r="N4562" i="1"/>
  <c r="A4563" i="1"/>
  <c r="B4563" i="1"/>
  <c r="F4563" i="1"/>
  <c r="G4563" i="1"/>
  <c r="H4563" i="1"/>
  <c r="I4563" i="1"/>
  <c r="J4563" i="1"/>
  <c r="K4563" i="1"/>
  <c r="L4563" i="1"/>
  <c r="M4563" i="1"/>
  <c r="N4563" i="1"/>
  <c r="A4564" i="1"/>
  <c r="B4564" i="1"/>
  <c r="F4564" i="1"/>
  <c r="G4564" i="1"/>
  <c r="H4564" i="1"/>
  <c r="I4564" i="1"/>
  <c r="J4564" i="1"/>
  <c r="K4564" i="1"/>
  <c r="L4564" i="1"/>
  <c r="M4564" i="1"/>
  <c r="N4564" i="1"/>
  <c r="A4565" i="1"/>
  <c r="B4565" i="1"/>
  <c r="F4565" i="1"/>
  <c r="G4565" i="1"/>
  <c r="H4565" i="1"/>
  <c r="I4565" i="1"/>
  <c r="J4565" i="1"/>
  <c r="K4565" i="1"/>
  <c r="L4565" i="1"/>
  <c r="M4565" i="1"/>
  <c r="N4565" i="1"/>
  <c r="A4566" i="1"/>
  <c r="B4566" i="1"/>
  <c r="F4566" i="1"/>
  <c r="G4566" i="1"/>
  <c r="H4566" i="1"/>
  <c r="I4566" i="1"/>
  <c r="J4566" i="1"/>
  <c r="K4566" i="1"/>
  <c r="L4566" i="1"/>
  <c r="M4566" i="1"/>
  <c r="N4566" i="1"/>
  <c r="A4567" i="1"/>
  <c r="B4567" i="1"/>
  <c r="F4567" i="1"/>
  <c r="G4567" i="1"/>
  <c r="H4567" i="1"/>
  <c r="I4567" i="1"/>
  <c r="J4567" i="1"/>
  <c r="K4567" i="1"/>
  <c r="L4567" i="1"/>
  <c r="M4567" i="1"/>
  <c r="N4567" i="1"/>
  <c r="A4568" i="1"/>
  <c r="B4568" i="1"/>
  <c r="F4568" i="1"/>
  <c r="G4568" i="1"/>
  <c r="H4568" i="1"/>
  <c r="I4568" i="1"/>
  <c r="J4568" i="1"/>
  <c r="K4568" i="1"/>
  <c r="L4568" i="1"/>
  <c r="M4568" i="1"/>
  <c r="N4568" i="1"/>
  <c r="A4569" i="1"/>
  <c r="B4569" i="1"/>
  <c r="F4569" i="1"/>
  <c r="G4569" i="1"/>
  <c r="H4569" i="1"/>
  <c r="I4569" i="1"/>
  <c r="J4569" i="1"/>
  <c r="K4569" i="1"/>
  <c r="L4569" i="1"/>
  <c r="M4569" i="1"/>
  <c r="N4569" i="1"/>
  <c r="A4570" i="1"/>
  <c r="B4570" i="1"/>
  <c r="F4570" i="1"/>
  <c r="G4570" i="1"/>
  <c r="H4570" i="1"/>
  <c r="I4570" i="1"/>
  <c r="J4570" i="1"/>
  <c r="K4570" i="1"/>
  <c r="L4570" i="1"/>
  <c r="M4570" i="1"/>
  <c r="N4570" i="1"/>
  <c r="A4571" i="1"/>
  <c r="B4571" i="1"/>
  <c r="F4571" i="1"/>
  <c r="G4571" i="1"/>
  <c r="H4571" i="1"/>
  <c r="I4571" i="1"/>
  <c r="J4571" i="1"/>
  <c r="K4571" i="1"/>
  <c r="L4571" i="1"/>
  <c r="M4571" i="1"/>
  <c r="N4571" i="1"/>
  <c r="A4572" i="1"/>
  <c r="B4572" i="1"/>
  <c r="F4572" i="1"/>
  <c r="G4572" i="1"/>
  <c r="H4572" i="1"/>
  <c r="I4572" i="1"/>
  <c r="J4572" i="1"/>
  <c r="K4572" i="1"/>
  <c r="L4572" i="1"/>
  <c r="M4572" i="1"/>
  <c r="N4572" i="1"/>
  <c r="A4573" i="1"/>
  <c r="B4573" i="1"/>
  <c r="F4573" i="1"/>
  <c r="G4573" i="1"/>
  <c r="H4573" i="1"/>
  <c r="I4573" i="1"/>
  <c r="J4573" i="1"/>
  <c r="K4573" i="1"/>
  <c r="L4573" i="1"/>
  <c r="M4573" i="1"/>
  <c r="N4573" i="1"/>
  <c r="A4574" i="1"/>
  <c r="B4574" i="1"/>
  <c r="F4574" i="1"/>
  <c r="G4574" i="1"/>
  <c r="H4574" i="1"/>
  <c r="I4574" i="1"/>
  <c r="J4574" i="1"/>
  <c r="K4574" i="1"/>
  <c r="L4574" i="1"/>
  <c r="M4574" i="1"/>
  <c r="N4574" i="1"/>
  <c r="A4575" i="1"/>
  <c r="B4575" i="1"/>
  <c r="F4575" i="1"/>
  <c r="G4575" i="1"/>
  <c r="H4575" i="1"/>
  <c r="I4575" i="1"/>
  <c r="J4575" i="1"/>
  <c r="K4575" i="1"/>
  <c r="L4575" i="1"/>
  <c r="M4575" i="1"/>
  <c r="N4575" i="1"/>
  <c r="A4576" i="1"/>
  <c r="B4576" i="1"/>
  <c r="F4576" i="1"/>
  <c r="G4576" i="1"/>
  <c r="H4576" i="1"/>
  <c r="I4576" i="1"/>
  <c r="J4576" i="1"/>
  <c r="K4576" i="1"/>
  <c r="L4576" i="1"/>
  <c r="M4576" i="1"/>
  <c r="N4576" i="1"/>
  <c r="A4577" i="1"/>
  <c r="B4577" i="1"/>
  <c r="F4577" i="1"/>
  <c r="G4577" i="1"/>
  <c r="H4577" i="1"/>
  <c r="I4577" i="1"/>
  <c r="J4577" i="1"/>
  <c r="K4577" i="1"/>
  <c r="L4577" i="1"/>
  <c r="M4577" i="1"/>
  <c r="N4577" i="1"/>
  <c r="A4578" i="1"/>
  <c r="B4578" i="1"/>
  <c r="F4578" i="1"/>
  <c r="G4578" i="1"/>
  <c r="H4578" i="1"/>
  <c r="I4578" i="1"/>
  <c r="J4578" i="1"/>
  <c r="K4578" i="1"/>
  <c r="L4578" i="1"/>
  <c r="M4578" i="1"/>
  <c r="N4578" i="1"/>
  <c r="A4579" i="1"/>
  <c r="B4579" i="1"/>
  <c r="F4579" i="1"/>
  <c r="G4579" i="1"/>
  <c r="H4579" i="1"/>
  <c r="I4579" i="1"/>
  <c r="J4579" i="1"/>
  <c r="K4579" i="1"/>
  <c r="L4579" i="1"/>
  <c r="M4579" i="1"/>
  <c r="N4579" i="1"/>
  <c r="A4580" i="1"/>
  <c r="B4580" i="1"/>
  <c r="F4580" i="1"/>
  <c r="G4580" i="1"/>
  <c r="H4580" i="1"/>
  <c r="I4580" i="1"/>
  <c r="J4580" i="1"/>
  <c r="K4580" i="1"/>
  <c r="L4580" i="1"/>
  <c r="M4580" i="1"/>
  <c r="N4580" i="1"/>
  <c r="A4581" i="1"/>
  <c r="B4581" i="1"/>
  <c r="F4581" i="1"/>
  <c r="G4581" i="1"/>
  <c r="H4581" i="1"/>
  <c r="I4581" i="1"/>
  <c r="J4581" i="1"/>
  <c r="K4581" i="1"/>
  <c r="L4581" i="1"/>
  <c r="M4581" i="1"/>
  <c r="N4581" i="1"/>
  <c r="A4582" i="1"/>
  <c r="B4582" i="1"/>
  <c r="F4582" i="1"/>
  <c r="G4582" i="1"/>
  <c r="H4582" i="1"/>
  <c r="I4582" i="1"/>
  <c r="J4582" i="1"/>
  <c r="K4582" i="1"/>
  <c r="L4582" i="1"/>
  <c r="M4582" i="1"/>
  <c r="N4582" i="1"/>
  <c r="A4583" i="1"/>
  <c r="B4583" i="1"/>
  <c r="F4583" i="1"/>
  <c r="G4583" i="1"/>
  <c r="H4583" i="1"/>
  <c r="I4583" i="1"/>
  <c r="J4583" i="1"/>
  <c r="K4583" i="1"/>
  <c r="L4583" i="1"/>
  <c r="M4583" i="1"/>
  <c r="N4583" i="1"/>
  <c r="A4584" i="1"/>
  <c r="B4584" i="1"/>
  <c r="F4584" i="1"/>
  <c r="G4584" i="1"/>
  <c r="H4584" i="1"/>
  <c r="I4584" i="1"/>
  <c r="J4584" i="1"/>
  <c r="K4584" i="1"/>
  <c r="L4584" i="1"/>
  <c r="M4584" i="1"/>
  <c r="N4584" i="1"/>
  <c r="A4585" i="1"/>
  <c r="B4585" i="1"/>
  <c r="F4585" i="1"/>
  <c r="G4585" i="1"/>
  <c r="H4585" i="1"/>
  <c r="I4585" i="1"/>
  <c r="J4585" i="1"/>
  <c r="K4585" i="1"/>
  <c r="L4585" i="1"/>
  <c r="M4585" i="1"/>
  <c r="N4585" i="1"/>
  <c r="A4586" i="1"/>
  <c r="B4586" i="1"/>
  <c r="F4586" i="1"/>
  <c r="G4586" i="1"/>
  <c r="H4586" i="1"/>
  <c r="I4586" i="1"/>
  <c r="J4586" i="1"/>
  <c r="K4586" i="1"/>
  <c r="L4586" i="1"/>
  <c r="M4586" i="1"/>
  <c r="N4586" i="1"/>
  <c r="A4587" i="1"/>
  <c r="B4587" i="1"/>
  <c r="F4587" i="1"/>
  <c r="G4587" i="1"/>
  <c r="H4587" i="1"/>
  <c r="I4587" i="1"/>
  <c r="J4587" i="1"/>
  <c r="K4587" i="1"/>
  <c r="L4587" i="1"/>
  <c r="M4587" i="1"/>
  <c r="N4587" i="1"/>
  <c r="A4588" i="1"/>
  <c r="B4588" i="1"/>
  <c r="F4588" i="1"/>
  <c r="G4588" i="1"/>
  <c r="H4588" i="1"/>
  <c r="I4588" i="1"/>
  <c r="J4588" i="1"/>
  <c r="K4588" i="1"/>
  <c r="L4588" i="1"/>
  <c r="M4588" i="1"/>
  <c r="N4588" i="1"/>
  <c r="A4589" i="1"/>
  <c r="B4589" i="1"/>
  <c r="F4589" i="1"/>
  <c r="G4589" i="1"/>
  <c r="H4589" i="1"/>
  <c r="I4589" i="1"/>
  <c r="J4589" i="1"/>
  <c r="K4589" i="1"/>
  <c r="L4589" i="1"/>
  <c r="M4589" i="1"/>
  <c r="N4589" i="1"/>
  <c r="A4590" i="1"/>
  <c r="B4590" i="1"/>
  <c r="F4590" i="1"/>
  <c r="G4590" i="1"/>
  <c r="H4590" i="1"/>
  <c r="I4590" i="1"/>
  <c r="J4590" i="1"/>
  <c r="K4590" i="1"/>
  <c r="L4590" i="1"/>
  <c r="M4590" i="1"/>
  <c r="N4590" i="1"/>
  <c r="A4591" i="1"/>
  <c r="B4591" i="1"/>
  <c r="F4591" i="1"/>
  <c r="G4591" i="1"/>
  <c r="H4591" i="1"/>
  <c r="I4591" i="1"/>
  <c r="J4591" i="1"/>
  <c r="K4591" i="1"/>
  <c r="L4591" i="1"/>
  <c r="M4591" i="1"/>
  <c r="N4591" i="1"/>
  <c r="A4592" i="1"/>
  <c r="B4592" i="1"/>
  <c r="F4592" i="1"/>
  <c r="G4592" i="1"/>
  <c r="H4592" i="1"/>
  <c r="I4592" i="1"/>
  <c r="J4592" i="1"/>
  <c r="K4592" i="1"/>
  <c r="L4592" i="1"/>
  <c r="M4592" i="1"/>
  <c r="N4592" i="1"/>
  <c r="A4593" i="1"/>
  <c r="B4593" i="1"/>
  <c r="F4593" i="1"/>
  <c r="G4593" i="1"/>
  <c r="H4593" i="1"/>
  <c r="I4593" i="1"/>
  <c r="J4593" i="1"/>
  <c r="K4593" i="1"/>
  <c r="L4593" i="1"/>
  <c r="M4593" i="1"/>
  <c r="N4593" i="1"/>
  <c r="A4594" i="1"/>
  <c r="B4594" i="1"/>
  <c r="F4594" i="1"/>
  <c r="G4594" i="1"/>
  <c r="H4594" i="1"/>
  <c r="I4594" i="1"/>
  <c r="J4594" i="1"/>
  <c r="K4594" i="1"/>
  <c r="L4594" i="1"/>
  <c r="M4594" i="1"/>
  <c r="N4594" i="1"/>
  <c r="A4595" i="1"/>
  <c r="B4595" i="1"/>
  <c r="F4595" i="1"/>
  <c r="G4595" i="1"/>
  <c r="H4595" i="1"/>
  <c r="I4595" i="1"/>
  <c r="J4595" i="1"/>
  <c r="K4595" i="1"/>
  <c r="L4595" i="1"/>
  <c r="M4595" i="1"/>
  <c r="N4595" i="1"/>
  <c r="A4596" i="1"/>
  <c r="B4596" i="1"/>
  <c r="F4596" i="1"/>
  <c r="G4596" i="1"/>
  <c r="H4596" i="1"/>
  <c r="I4596" i="1"/>
  <c r="J4596" i="1"/>
  <c r="K4596" i="1"/>
  <c r="L4596" i="1"/>
  <c r="M4596" i="1"/>
  <c r="N4596" i="1"/>
  <c r="A4597" i="1"/>
  <c r="B4597" i="1"/>
  <c r="F4597" i="1"/>
  <c r="G4597" i="1"/>
  <c r="H4597" i="1"/>
  <c r="I4597" i="1"/>
  <c r="J4597" i="1"/>
  <c r="K4597" i="1"/>
  <c r="L4597" i="1"/>
  <c r="M4597" i="1"/>
  <c r="N4597" i="1"/>
  <c r="A4598" i="1"/>
  <c r="B4598" i="1"/>
  <c r="F4598" i="1"/>
  <c r="G4598" i="1"/>
  <c r="H4598" i="1"/>
  <c r="I4598" i="1"/>
  <c r="J4598" i="1"/>
  <c r="K4598" i="1"/>
  <c r="L4598" i="1"/>
  <c r="M4598" i="1"/>
  <c r="N4598" i="1"/>
  <c r="A4599" i="1"/>
  <c r="B4599" i="1"/>
  <c r="F4599" i="1"/>
  <c r="G4599" i="1"/>
  <c r="H4599" i="1"/>
  <c r="I4599" i="1"/>
  <c r="J4599" i="1"/>
  <c r="K4599" i="1"/>
  <c r="L4599" i="1"/>
  <c r="M4599" i="1"/>
  <c r="N4599" i="1"/>
  <c r="A4600" i="1"/>
  <c r="B4600" i="1"/>
  <c r="F4600" i="1"/>
  <c r="G4600" i="1"/>
  <c r="H4600" i="1"/>
  <c r="I4600" i="1"/>
  <c r="J4600" i="1"/>
  <c r="K4600" i="1"/>
  <c r="L4600" i="1"/>
  <c r="M4600" i="1"/>
  <c r="N4600" i="1"/>
  <c r="A4601" i="1"/>
  <c r="B4601" i="1"/>
  <c r="F4601" i="1"/>
  <c r="G4601" i="1"/>
  <c r="H4601" i="1"/>
  <c r="I4601" i="1"/>
  <c r="J4601" i="1"/>
  <c r="K4601" i="1"/>
  <c r="L4601" i="1"/>
  <c r="M4601" i="1"/>
  <c r="N4601" i="1"/>
  <c r="A4602" i="1"/>
  <c r="B4602" i="1"/>
  <c r="F4602" i="1"/>
  <c r="G4602" i="1"/>
  <c r="H4602" i="1"/>
  <c r="I4602" i="1"/>
  <c r="J4602" i="1"/>
  <c r="K4602" i="1"/>
  <c r="L4602" i="1"/>
  <c r="M4602" i="1"/>
  <c r="N4602" i="1"/>
  <c r="A4603" i="1"/>
  <c r="B4603" i="1"/>
  <c r="F4603" i="1"/>
  <c r="G4603" i="1"/>
  <c r="H4603" i="1"/>
  <c r="I4603" i="1"/>
  <c r="J4603" i="1"/>
  <c r="K4603" i="1"/>
  <c r="L4603" i="1"/>
  <c r="M4603" i="1"/>
  <c r="N4603" i="1"/>
  <c r="A4604" i="1"/>
  <c r="B4604" i="1"/>
  <c r="F4604" i="1"/>
  <c r="G4604" i="1"/>
  <c r="H4604" i="1"/>
  <c r="I4604" i="1"/>
  <c r="J4604" i="1"/>
  <c r="K4604" i="1"/>
  <c r="L4604" i="1"/>
  <c r="M4604" i="1"/>
  <c r="N4604" i="1"/>
  <c r="A4605" i="1"/>
  <c r="B4605" i="1"/>
  <c r="F4605" i="1"/>
  <c r="G4605" i="1"/>
  <c r="H4605" i="1"/>
  <c r="I4605" i="1"/>
  <c r="J4605" i="1"/>
  <c r="K4605" i="1"/>
  <c r="L4605" i="1"/>
  <c r="M4605" i="1"/>
  <c r="N4605" i="1"/>
  <c r="A4606" i="1"/>
  <c r="B4606" i="1"/>
  <c r="F4606" i="1"/>
  <c r="G4606" i="1"/>
  <c r="H4606" i="1"/>
  <c r="I4606" i="1"/>
  <c r="J4606" i="1"/>
  <c r="K4606" i="1"/>
  <c r="L4606" i="1"/>
  <c r="M4606" i="1"/>
  <c r="N4606" i="1"/>
  <c r="A4607" i="1"/>
  <c r="B4607" i="1"/>
  <c r="F4607" i="1"/>
  <c r="G4607" i="1"/>
  <c r="H4607" i="1"/>
  <c r="I4607" i="1"/>
  <c r="J4607" i="1"/>
  <c r="K4607" i="1"/>
  <c r="L4607" i="1"/>
  <c r="M4607" i="1"/>
  <c r="N4607" i="1"/>
  <c r="A4608" i="1"/>
  <c r="B4608" i="1"/>
  <c r="F4608" i="1"/>
  <c r="G4608" i="1"/>
  <c r="H4608" i="1"/>
  <c r="I4608" i="1"/>
  <c r="J4608" i="1"/>
  <c r="K4608" i="1"/>
  <c r="L4608" i="1"/>
  <c r="M4608" i="1"/>
  <c r="N4608" i="1"/>
  <c r="A4609" i="1"/>
  <c r="B4609" i="1"/>
  <c r="F4609" i="1"/>
  <c r="G4609" i="1"/>
  <c r="H4609" i="1"/>
  <c r="I4609" i="1"/>
  <c r="J4609" i="1"/>
  <c r="K4609" i="1"/>
  <c r="L4609" i="1"/>
  <c r="M4609" i="1"/>
  <c r="N4609" i="1"/>
  <c r="A4610" i="1"/>
  <c r="B4610" i="1"/>
  <c r="F4610" i="1"/>
  <c r="G4610" i="1"/>
  <c r="H4610" i="1"/>
  <c r="I4610" i="1"/>
  <c r="J4610" i="1"/>
  <c r="K4610" i="1"/>
  <c r="L4610" i="1"/>
  <c r="M4610" i="1"/>
  <c r="N4610" i="1"/>
  <c r="A4611" i="1"/>
  <c r="B4611" i="1"/>
  <c r="F4611" i="1"/>
  <c r="G4611" i="1"/>
  <c r="H4611" i="1"/>
  <c r="I4611" i="1"/>
  <c r="J4611" i="1"/>
  <c r="K4611" i="1"/>
  <c r="L4611" i="1"/>
  <c r="M4611" i="1"/>
  <c r="N4611" i="1"/>
  <c r="A4612" i="1"/>
  <c r="B4612" i="1"/>
  <c r="F4612" i="1"/>
  <c r="G4612" i="1"/>
  <c r="H4612" i="1"/>
  <c r="I4612" i="1"/>
  <c r="J4612" i="1"/>
  <c r="K4612" i="1"/>
  <c r="L4612" i="1"/>
  <c r="M4612" i="1"/>
  <c r="N4612" i="1"/>
  <c r="A4613" i="1"/>
  <c r="B4613" i="1"/>
  <c r="F4613" i="1"/>
  <c r="G4613" i="1"/>
  <c r="H4613" i="1"/>
  <c r="I4613" i="1"/>
  <c r="J4613" i="1"/>
  <c r="K4613" i="1"/>
  <c r="L4613" i="1"/>
  <c r="M4613" i="1"/>
  <c r="N4613" i="1"/>
  <c r="A4614" i="1"/>
  <c r="B4614" i="1"/>
  <c r="F4614" i="1"/>
  <c r="G4614" i="1"/>
  <c r="H4614" i="1"/>
  <c r="I4614" i="1"/>
  <c r="J4614" i="1"/>
  <c r="K4614" i="1"/>
  <c r="L4614" i="1"/>
  <c r="M4614" i="1"/>
  <c r="N4614" i="1"/>
  <c r="A4615" i="1"/>
  <c r="B4615" i="1"/>
  <c r="F4615" i="1"/>
  <c r="G4615" i="1"/>
  <c r="H4615" i="1"/>
  <c r="I4615" i="1"/>
  <c r="J4615" i="1"/>
  <c r="K4615" i="1"/>
  <c r="L4615" i="1"/>
  <c r="M4615" i="1"/>
  <c r="N4615" i="1"/>
  <c r="A4616" i="1"/>
  <c r="B4616" i="1"/>
  <c r="F4616" i="1"/>
  <c r="G4616" i="1"/>
  <c r="H4616" i="1"/>
  <c r="I4616" i="1"/>
  <c r="J4616" i="1"/>
  <c r="K4616" i="1"/>
  <c r="L4616" i="1"/>
  <c r="M4616" i="1"/>
  <c r="N4616" i="1"/>
  <c r="A4617" i="1"/>
  <c r="B4617" i="1"/>
  <c r="F4617" i="1"/>
  <c r="G4617" i="1"/>
  <c r="H4617" i="1"/>
  <c r="I4617" i="1"/>
  <c r="J4617" i="1"/>
  <c r="K4617" i="1"/>
  <c r="L4617" i="1"/>
  <c r="M4617" i="1"/>
  <c r="N4617" i="1"/>
  <c r="A4618" i="1"/>
  <c r="B4618" i="1"/>
  <c r="F4618" i="1"/>
  <c r="G4618" i="1"/>
  <c r="H4618" i="1"/>
  <c r="I4618" i="1"/>
  <c r="J4618" i="1"/>
  <c r="K4618" i="1"/>
  <c r="L4618" i="1"/>
  <c r="M4618" i="1"/>
  <c r="N4618" i="1"/>
  <c r="A4619" i="1"/>
  <c r="B4619" i="1"/>
  <c r="F4619" i="1"/>
  <c r="G4619" i="1"/>
  <c r="H4619" i="1"/>
  <c r="I4619" i="1"/>
  <c r="J4619" i="1"/>
  <c r="K4619" i="1"/>
  <c r="L4619" i="1"/>
  <c r="M4619" i="1"/>
  <c r="N4619" i="1"/>
  <c r="A4620" i="1"/>
  <c r="B4620" i="1"/>
  <c r="F4620" i="1"/>
  <c r="G4620" i="1"/>
  <c r="H4620" i="1"/>
  <c r="I4620" i="1"/>
  <c r="J4620" i="1"/>
  <c r="K4620" i="1"/>
  <c r="L4620" i="1"/>
  <c r="M4620" i="1"/>
  <c r="N4620" i="1"/>
  <c r="A4621" i="1"/>
  <c r="B4621" i="1"/>
  <c r="F4621" i="1"/>
  <c r="G4621" i="1"/>
  <c r="H4621" i="1"/>
  <c r="I4621" i="1"/>
  <c r="J4621" i="1"/>
  <c r="K4621" i="1"/>
  <c r="L4621" i="1"/>
  <c r="M4621" i="1"/>
  <c r="N4621" i="1"/>
  <c r="A4622" i="1"/>
  <c r="B4622" i="1"/>
  <c r="F4622" i="1"/>
  <c r="G4622" i="1"/>
  <c r="H4622" i="1"/>
  <c r="I4622" i="1"/>
  <c r="J4622" i="1"/>
  <c r="K4622" i="1"/>
  <c r="L4622" i="1"/>
  <c r="M4622" i="1"/>
  <c r="N4622" i="1"/>
  <c r="A4623" i="1"/>
  <c r="B4623" i="1"/>
  <c r="F4623" i="1"/>
  <c r="G4623" i="1"/>
  <c r="H4623" i="1"/>
  <c r="I4623" i="1"/>
  <c r="J4623" i="1"/>
  <c r="K4623" i="1"/>
  <c r="L4623" i="1"/>
  <c r="M4623" i="1"/>
  <c r="N4623" i="1"/>
  <c r="A4624" i="1"/>
  <c r="B4624" i="1"/>
  <c r="F4624" i="1"/>
  <c r="G4624" i="1"/>
  <c r="H4624" i="1"/>
  <c r="I4624" i="1"/>
  <c r="J4624" i="1"/>
  <c r="K4624" i="1"/>
  <c r="L4624" i="1"/>
  <c r="M4624" i="1"/>
  <c r="N4624" i="1"/>
  <c r="A4625" i="1"/>
  <c r="B4625" i="1"/>
  <c r="F4625" i="1"/>
  <c r="G4625" i="1"/>
  <c r="H4625" i="1"/>
  <c r="I4625" i="1"/>
  <c r="J4625" i="1"/>
  <c r="K4625" i="1"/>
  <c r="L4625" i="1"/>
  <c r="M4625" i="1"/>
  <c r="N4625" i="1"/>
  <c r="A4626" i="1"/>
  <c r="B4626" i="1"/>
  <c r="F4626" i="1"/>
  <c r="G4626" i="1"/>
  <c r="H4626" i="1"/>
  <c r="I4626" i="1"/>
  <c r="J4626" i="1"/>
  <c r="K4626" i="1"/>
  <c r="L4626" i="1"/>
  <c r="M4626" i="1"/>
  <c r="N4626" i="1"/>
  <c r="A4627" i="1"/>
  <c r="B4627" i="1"/>
  <c r="F4627" i="1"/>
  <c r="G4627" i="1"/>
  <c r="H4627" i="1"/>
  <c r="I4627" i="1"/>
  <c r="J4627" i="1"/>
  <c r="K4627" i="1"/>
  <c r="L4627" i="1"/>
  <c r="M4627" i="1"/>
  <c r="N4627" i="1"/>
  <c r="A4628" i="1"/>
  <c r="B4628" i="1"/>
  <c r="F4628" i="1"/>
  <c r="G4628" i="1"/>
  <c r="H4628" i="1"/>
  <c r="I4628" i="1"/>
  <c r="J4628" i="1"/>
  <c r="K4628" i="1"/>
  <c r="L4628" i="1"/>
  <c r="M4628" i="1"/>
  <c r="N4628" i="1"/>
  <c r="A4629" i="1"/>
  <c r="B4629" i="1"/>
  <c r="F4629" i="1"/>
  <c r="G4629" i="1"/>
  <c r="H4629" i="1"/>
  <c r="I4629" i="1"/>
  <c r="J4629" i="1"/>
  <c r="K4629" i="1"/>
  <c r="L4629" i="1"/>
  <c r="M4629" i="1"/>
  <c r="N4629" i="1"/>
  <c r="A4630" i="1"/>
  <c r="B4630" i="1"/>
  <c r="F4630" i="1"/>
  <c r="G4630" i="1"/>
  <c r="H4630" i="1"/>
  <c r="I4630" i="1"/>
  <c r="J4630" i="1"/>
  <c r="K4630" i="1"/>
  <c r="L4630" i="1"/>
  <c r="M4630" i="1"/>
  <c r="N4630" i="1"/>
  <c r="A4631" i="1"/>
  <c r="B4631" i="1"/>
  <c r="F4631" i="1"/>
  <c r="G4631" i="1"/>
  <c r="H4631" i="1"/>
  <c r="I4631" i="1"/>
  <c r="J4631" i="1"/>
  <c r="K4631" i="1"/>
  <c r="L4631" i="1"/>
  <c r="M4631" i="1"/>
  <c r="N4631" i="1"/>
  <c r="A4632" i="1"/>
  <c r="B4632" i="1"/>
  <c r="F4632" i="1"/>
  <c r="G4632" i="1"/>
  <c r="H4632" i="1"/>
  <c r="I4632" i="1"/>
  <c r="J4632" i="1"/>
  <c r="K4632" i="1"/>
  <c r="L4632" i="1"/>
  <c r="M4632" i="1"/>
  <c r="N4632" i="1"/>
  <c r="A4633" i="1"/>
  <c r="B4633" i="1"/>
  <c r="F4633" i="1"/>
  <c r="G4633" i="1"/>
  <c r="H4633" i="1"/>
  <c r="I4633" i="1"/>
  <c r="J4633" i="1"/>
  <c r="K4633" i="1"/>
  <c r="L4633" i="1"/>
  <c r="M4633" i="1"/>
  <c r="N4633" i="1"/>
  <c r="A4634" i="1"/>
  <c r="B4634" i="1"/>
  <c r="F4634" i="1"/>
  <c r="G4634" i="1"/>
  <c r="H4634" i="1"/>
  <c r="I4634" i="1"/>
  <c r="J4634" i="1"/>
  <c r="K4634" i="1"/>
  <c r="L4634" i="1"/>
  <c r="M4634" i="1"/>
  <c r="N4634" i="1"/>
  <c r="A4635" i="1"/>
  <c r="B4635" i="1"/>
  <c r="F4635" i="1"/>
  <c r="G4635" i="1"/>
  <c r="H4635" i="1"/>
  <c r="I4635" i="1"/>
  <c r="J4635" i="1"/>
  <c r="K4635" i="1"/>
  <c r="L4635" i="1"/>
  <c r="M4635" i="1"/>
  <c r="N4635" i="1"/>
  <c r="A4636" i="1"/>
  <c r="B4636" i="1"/>
  <c r="F4636" i="1"/>
  <c r="G4636" i="1"/>
  <c r="H4636" i="1"/>
  <c r="I4636" i="1"/>
  <c r="J4636" i="1"/>
  <c r="K4636" i="1"/>
  <c r="L4636" i="1"/>
  <c r="M4636" i="1"/>
  <c r="N4636" i="1"/>
  <c r="A4637" i="1"/>
  <c r="B4637" i="1"/>
  <c r="F4637" i="1"/>
  <c r="G4637" i="1"/>
  <c r="H4637" i="1"/>
  <c r="I4637" i="1"/>
  <c r="J4637" i="1"/>
  <c r="K4637" i="1"/>
  <c r="L4637" i="1"/>
  <c r="M4637" i="1"/>
  <c r="N4637" i="1"/>
  <c r="A4638" i="1"/>
  <c r="B4638" i="1"/>
  <c r="F4638" i="1"/>
  <c r="G4638" i="1"/>
  <c r="H4638" i="1"/>
  <c r="I4638" i="1"/>
  <c r="J4638" i="1"/>
  <c r="K4638" i="1"/>
  <c r="L4638" i="1"/>
  <c r="M4638" i="1"/>
  <c r="N4638" i="1"/>
  <c r="A4639" i="1"/>
  <c r="B4639" i="1"/>
  <c r="F4639" i="1"/>
  <c r="G4639" i="1"/>
  <c r="H4639" i="1"/>
  <c r="I4639" i="1"/>
  <c r="J4639" i="1"/>
  <c r="K4639" i="1"/>
  <c r="L4639" i="1"/>
  <c r="M4639" i="1"/>
  <c r="N4639" i="1"/>
  <c r="A4640" i="1"/>
  <c r="B4640" i="1"/>
  <c r="F4640" i="1"/>
  <c r="G4640" i="1"/>
  <c r="H4640" i="1"/>
  <c r="I4640" i="1"/>
  <c r="J4640" i="1"/>
  <c r="K4640" i="1"/>
  <c r="L4640" i="1"/>
  <c r="M4640" i="1"/>
  <c r="N4640" i="1"/>
  <c r="A4641" i="1"/>
  <c r="B4641" i="1"/>
  <c r="F4641" i="1"/>
  <c r="G4641" i="1"/>
  <c r="H4641" i="1"/>
  <c r="I4641" i="1"/>
  <c r="J4641" i="1"/>
  <c r="K4641" i="1"/>
  <c r="L4641" i="1"/>
  <c r="M4641" i="1"/>
  <c r="N4641" i="1"/>
  <c r="A4642" i="1"/>
  <c r="B4642" i="1"/>
  <c r="F4642" i="1"/>
  <c r="G4642" i="1"/>
  <c r="H4642" i="1"/>
  <c r="I4642" i="1"/>
  <c r="J4642" i="1"/>
  <c r="K4642" i="1"/>
  <c r="L4642" i="1"/>
  <c r="M4642" i="1"/>
  <c r="N4642" i="1"/>
  <c r="A4643" i="1"/>
  <c r="B4643" i="1"/>
  <c r="F4643" i="1"/>
  <c r="G4643" i="1"/>
  <c r="H4643" i="1"/>
  <c r="I4643" i="1"/>
  <c r="J4643" i="1"/>
  <c r="K4643" i="1"/>
  <c r="L4643" i="1"/>
  <c r="M4643" i="1"/>
  <c r="N4643" i="1"/>
  <c r="A4644" i="1"/>
  <c r="B4644" i="1"/>
  <c r="F4644" i="1"/>
  <c r="G4644" i="1"/>
  <c r="H4644" i="1"/>
  <c r="I4644" i="1"/>
  <c r="J4644" i="1"/>
  <c r="K4644" i="1"/>
  <c r="L4644" i="1"/>
  <c r="M4644" i="1"/>
  <c r="N4644" i="1"/>
  <c r="A4645" i="1"/>
  <c r="B4645" i="1"/>
  <c r="F4645" i="1"/>
  <c r="G4645" i="1"/>
  <c r="H4645" i="1"/>
  <c r="I4645" i="1"/>
  <c r="J4645" i="1"/>
  <c r="K4645" i="1"/>
  <c r="L4645" i="1"/>
  <c r="M4645" i="1"/>
  <c r="N4645" i="1"/>
  <c r="A4646" i="1"/>
  <c r="B4646" i="1"/>
  <c r="F4646" i="1"/>
  <c r="G4646" i="1"/>
  <c r="H4646" i="1"/>
  <c r="I4646" i="1"/>
  <c r="J4646" i="1"/>
  <c r="K4646" i="1"/>
  <c r="L4646" i="1"/>
  <c r="M4646" i="1"/>
  <c r="N4646" i="1"/>
  <c r="A4647" i="1"/>
  <c r="B4647" i="1"/>
  <c r="F4647" i="1"/>
  <c r="G4647" i="1"/>
  <c r="H4647" i="1"/>
  <c r="I4647" i="1"/>
  <c r="J4647" i="1"/>
  <c r="K4647" i="1"/>
  <c r="L4647" i="1"/>
  <c r="M4647" i="1"/>
  <c r="N4647" i="1"/>
  <c r="A4648" i="1"/>
  <c r="B4648" i="1"/>
  <c r="F4648" i="1"/>
  <c r="G4648" i="1"/>
  <c r="H4648" i="1"/>
  <c r="I4648" i="1"/>
  <c r="J4648" i="1"/>
  <c r="K4648" i="1"/>
  <c r="L4648" i="1"/>
  <c r="M4648" i="1"/>
  <c r="N4648" i="1"/>
  <c r="A4649" i="1"/>
  <c r="B4649" i="1"/>
  <c r="F4649" i="1"/>
  <c r="G4649" i="1"/>
  <c r="H4649" i="1"/>
  <c r="I4649" i="1"/>
  <c r="J4649" i="1"/>
  <c r="K4649" i="1"/>
  <c r="L4649" i="1"/>
  <c r="M4649" i="1"/>
  <c r="N4649" i="1"/>
  <c r="A4650" i="1"/>
  <c r="B4650" i="1"/>
  <c r="F4650" i="1"/>
  <c r="G4650" i="1"/>
  <c r="H4650" i="1"/>
  <c r="I4650" i="1"/>
  <c r="J4650" i="1"/>
  <c r="K4650" i="1"/>
  <c r="L4650" i="1"/>
  <c r="M4650" i="1"/>
  <c r="N4650" i="1"/>
  <c r="A4651" i="1"/>
  <c r="B4651" i="1"/>
  <c r="F4651" i="1"/>
  <c r="G4651" i="1"/>
  <c r="H4651" i="1"/>
  <c r="I4651" i="1"/>
  <c r="J4651" i="1"/>
  <c r="K4651" i="1"/>
  <c r="L4651" i="1"/>
  <c r="M4651" i="1"/>
  <c r="N4651" i="1"/>
  <c r="A4652" i="1"/>
  <c r="B4652" i="1"/>
  <c r="F4652" i="1"/>
  <c r="G4652" i="1"/>
  <c r="H4652" i="1"/>
  <c r="I4652" i="1"/>
  <c r="J4652" i="1"/>
  <c r="K4652" i="1"/>
  <c r="L4652" i="1"/>
  <c r="M4652" i="1"/>
  <c r="N4652" i="1"/>
  <c r="A4653" i="1"/>
  <c r="B4653" i="1"/>
  <c r="F4653" i="1"/>
  <c r="G4653" i="1"/>
  <c r="H4653" i="1"/>
  <c r="I4653" i="1"/>
  <c r="J4653" i="1"/>
  <c r="K4653" i="1"/>
  <c r="L4653" i="1"/>
  <c r="M4653" i="1"/>
  <c r="N4653" i="1"/>
  <c r="A4654" i="1"/>
  <c r="B4654" i="1"/>
  <c r="F4654" i="1"/>
  <c r="G4654" i="1"/>
  <c r="H4654" i="1"/>
  <c r="I4654" i="1"/>
  <c r="J4654" i="1"/>
  <c r="K4654" i="1"/>
  <c r="L4654" i="1"/>
  <c r="M4654" i="1"/>
  <c r="N4654" i="1"/>
  <c r="A4655" i="1"/>
  <c r="B4655" i="1"/>
  <c r="F4655" i="1"/>
  <c r="G4655" i="1"/>
  <c r="H4655" i="1"/>
  <c r="I4655" i="1"/>
  <c r="J4655" i="1"/>
  <c r="K4655" i="1"/>
  <c r="L4655" i="1"/>
  <c r="M4655" i="1"/>
  <c r="N4655" i="1"/>
  <c r="A4656" i="1"/>
  <c r="B4656" i="1"/>
  <c r="F4656" i="1"/>
  <c r="G4656" i="1"/>
  <c r="H4656" i="1"/>
  <c r="I4656" i="1"/>
  <c r="J4656" i="1"/>
  <c r="K4656" i="1"/>
  <c r="L4656" i="1"/>
  <c r="M4656" i="1"/>
  <c r="N4656" i="1"/>
  <c r="A4657" i="1"/>
  <c r="B4657" i="1"/>
  <c r="F4657" i="1"/>
  <c r="G4657" i="1"/>
  <c r="H4657" i="1"/>
  <c r="I4657" i="1"/>
  <c r="J4657" i="1"/>
  <c r="K4657" i="1"/>
  <c r="L4657" i="1"/>
  <c r="M4657" i="1"/>
  <c r="N4657" i="1"/>
  <c r="A4658" i="1"/>
  <c r="B4658" i="1"/>
  <c r="F4658" i="1"/>
  <c r="G4658" i="1"/>
  <c r="H4658" i="1"/>
  <c r="I4658" i="1"/>
  <c r="J4658" i="1"/>
  <c r="K4658" i="1"/>
  <c r="L4658" i="1"/>
  <c r="M4658" i="1"/>
  <c r="N4658" i="1"/>
  <c r="A4659" i="1"/>
  <c r="B4659" i="1"/>
  <c r="F4659" i="1"/>
  <c r="G4659" i="1"/>
  <c r="H4659" i="1"/>
  <c r="I4659" i="1"/>
  <c r="J4659" i="1"/>
  <c r="K4659" i="1"/>
  <c r="L4659" i="1"/>
  <c r="M4659" i="1"/>
  <c r="N4659" i="1"/>
  <c r="A4660" i="1"/>
  <c r="B4660" i="1"/>
  <c r="F4660" i="1"/>
  <c r="G4660" i="1"/>
  <c r="H4660" i="1"/>
  <c r="I4660" i="1"/>
  <c r="J4660" i="1"/>
  <c r="K4660" i="1"/>
  <c r="L4660" i="1"/>
  <c r="M4660" i="1"/>
  <c r="N4660" i="1"/>
  <c r="A4661" i="1"/>
  <c r="B4661" i="1"/>
  <c r="F4661" i="1"/>
  <c r="G4661" i="1"/>
  <c r="H4661" i="1"/>
  <c r="I4661" i="1"/>
  <c r="J4661" i="1"/>
  <c r="K4661" i="1"/>
  <c r="L4661" i="1"/>
  <c r="M4661" i="1"/>
  <c r="N4661" i="1"/>
  <c r="A4662" i="1"/>
  <c r="B4662" i="1"/>
  <c r="F4662" i="1"/>
  <c r="G4662" i="1"/>
  <c r="H4662" i="1"/>
  <c r="I4662" i="1"/>
  <c r="J4662" i="1"/>
  <c r="K4662" i="1"/>
  <c r="L4662" i="1"/>
  <c r="M4662" i="1"/>
  <c r="N4662" i="1"/>
  <c r="A4663" i="1"/>
  <c r="B4663" i="1"/>
  <c r="F4663" i="1"/>
  <c r="G4663" i="1"/>
  <c r="H4663" i="1"/>
  <c r="I4663" i="1"/>
  <c r="J4663" i="1"/>
  <c r="K4663" i="1"/>
  <c r="L4663" i="1"/>
  <c r="M4663" i="1"/>
  <c r="N4663" i="1"/>
  <c r="A4664" i="1"/>
  <c r="B4664" i="1"/>
  <c r="F4664" i="1"/>
  <c r="G4664" i="1"/>
  <c r="H4664" i="1"/>
  <c r="I4664" i="1"/>
  <c r="J4664" i="1"/>
  <c r="K4664" i="1"/>
  <c r="L4664" i="1"/>
  <c r="M4664" i="1"/>
  <c r="N4664" i="1"/>
  <c r="A4665" i="1"/>
  <c r="B4665" i="1"/>
  <c r="F4665" i="1"/>
  <c r="G4665" i="1"/>
  <c r="H4665" i="1"/>
  <c r="I4665" i="1"/>
  <c r="J4665" i="1"/>
  <c r="K4665" i="1"/>
  <c r="L4665" i="1"/>
  <c r="M4665" i="1"/>
  <c r="N4665" i="1"/>
  <c r="A4666" i="1"/>
  <c r="B4666" i="1"/>
  <c r="F4666" i="1"/>
  <c r="G4666" i="1"/>
  <c r="H4666" i="1"/>
  <c r="I4666" i="1"/>
  <c r="J4666" i="1"/>
  <c r="K4666" i="1"/>
  <c r="L4666" i="1"/>
  <c r="M4666" i="1"/>
  <c r="N4666" i="1"/>
  <c r="A4667" i="1"/>
  <c r="B4667" i="1"/>
  <c r="F4667" i="1"/>
  <c r="G4667" i="1"/>
  <c r="H4667" i="1"/>
  <c r="I4667" i="1"/>
  <c r="J4667" i="1"/>
  <c r="K4667" i="1"/>
  <c r="L4667" i="1"/>
  <c r="M4667" i="1"/>
  <c r="N4667" i="1"/>
  <c r="A4668" i="1"/>
  <c r="B4668" i="1"/>
  <c r="F4668" i="1"/>
  <c r="G4668" i="1"/>
  <c r="H4668" i="1"/>
  <c r="I4668" i="1"/>
  <c r="J4668" i="1"/>
  <c r="K4668" i="1"/>
  <c r="L4668" i="1"/>
  <c r="M4668" i="1"/>
  <c r="N4668" i="1"/>
  <c r="A4669" i="1"/>
  <c r="B4669" i="1"/>
  <c r="F4669" i="1"/>
  <c r="G4669" i="1"/>
  <c r="H4669" i="1"/>
  <c r="I4669" i="1"/>
  <c r="J4669" i="1"/>
  <c r="K4669" i="1"/>
  <c r="L4669" i="1"/>
  <c r="M4669" i="1"/>
  <c r="N4669" i="1"/>
  <c r="A4670" i="1"/>
  <c r="B4670" i="1"/>
  <c r="F4670" i="1"/>
  <c r="G4670" i="1"/>
  <c r="H4670" i="1"/>
  <c r="I4670" i="1"/>
  <c r="J4670" i="1"/>
  <c r="K4670" i="1"/>
  <c r="L4670" i="1"/>
  <c r="M4670" i="1"/>
  <c r="N4670" i="1"/>
  <c r="A4671" i="1"/>
  <c r="B4671" i="1"/>
  <c r="F4671" i="1"/>
  <c r="G4671" i="1"/>
  <c r="H4671" i="1"/>
  <c r="I4671" i="1"/>
  <c r="J4671" i="1"/>
  <c r="K4671" i="1"/>
  <c r="L4671" i="1"/>
  <c r="M4671" i="1"/>
  <c r="N4671" i="1"/>
  <c r="A4672" i="1"/>
  <c r="B4672" i="1"/>
  <c r="F4672" i="1"/>
  <c r="G4672" i="1"/>
  <c r="H4672" i="1"/>
  <c r="I4672" i="1"/>
  <c r="J4672" i="1"/>
  <c r="K4672" i="1"/>
  <c r="L4672" i="1"/>
  <c r="M4672" i="1"/>
  <c r="N4672" i="1"/>
  <c r="A4673" i="1"/>
  <c r="B4673" i="1"/>
  <c r="F4673" i="1"/>
  <c r="G4673" i="1"/>
  <c r="H4673" i="1"/>
  <c r="I4673" i="1"/>
  <c r="J4673" i="1"/>
  <c r="K4673" i="1"/>
  <c r="L4673" i="1"/>
  <c r="M4673" i="1"/>
  <c r="N4673" i="1"/>
  <c r="A4674" i="1"/>
  <c r="B4674" i="1"/>
  <c r="F4674" i="1"/>
  <c r="G4674" i="1"/>
  <c r="H4674" i="1"/>
  <c r="I4674" i="1"/>
  <c r="J4674" i="1"/>
  <c r="K4674" i="1"/>
  <c r="L4674" i="1"/>
  <c r="M4674" i="1"/>
  <c r="N4674" i="1"/>
  <c r="A4675" i="1"/>
  <c r="B4675" i="1"/>
  <c r="F4675" i="1"/>
  <c r="G4675" i="1"/>
  <c r="H4675" i="1"/>
  <c r="I4675" i="1"/>
  <c r="J4675" i="1"/>
  <c r="K4675" i="1"/>
  <c r="L4675" i="1"/>
  <c r="M4675" i="1"/>
  <c r="N4675" i="1"/>
  <c r="A4676" i="1"/>
  <c r="B4676" i="1"/>
  <c r="F4676" i="1"/>
  <c r="G4676" i="1"/>
  <c r="H4676" i="1"/>
  <c r="I4676" i="1"/>
  <c r="J4676" i="1"/>
  <c r="K4676" i="1"/>
  <c r="L4676" i="1"/>
  <c r="M4676" i="1"/>
  <c r="N4676" i="1"/>
  <c r="A4677" i="1"/>
  <c r="B4677" i="1"/>
  <c r="F4677" i="1"/>
  <c r="G4677" i="1"/>
  <c r="H4677" i="1"/>
  <c r="I4677" i="1"/>
  <c r="J4677" i="1"/>
  <c r="K4677" i="1"/>
  <c r="L4677" i="1"/>
  <c r="M4677" i="1"/>
  <c r="N4677" i="1"/>
  <c r="A4678" i="1"/>
  <c r="B4678" i="1"/>
  <c r="F4678" i="1"/>
  <c r="G4678" i="1"/>
  <c r="H4678" i="1"/>
  <c r="I4678" i="1"/>
  <c r="J4678" i="1"/>
  <c r="K4678" i="1"/>
  <c r="L4678" i="1"/>
  <c r="M4678" i="1"/>
  <c r="N4678" i="1"/>
  <c r="A4679" i="1"/>
  <c r="B4679" i="1"/>
  <c r="F4679" i="1"/>
  <c r="G4679" i="1"/>
  <c r="H4679" i="1"/>
  <c r="I4679" i="1"/>
  <c r="J4679" i="1"/>
  <c r="K4679" i="1"/>
  <c r="L4679" i="1"/>
  <c r="M4679" i="1"/>
  <c r="N4679" i="1"/>
  <c r="A4680" i="1"/>
  <c r="B4680" i="1"/>
  <c r="F4680" i="1"/>
  <c r="G4680" i="1"/>
  <c r="H4680" i="1"/>
  <c r="I4680" i="1"/>
  <c r="J4680" i="1"/>
  <c r="K4680" i="1"/>
  <c r="L4680" i="1"/>
  <c r="M4680" i="1"/>
  <c r="N4680" i="1"/>
  <c r="A4681" i="1"/>
  <c r="B4681" i="1"/>
  <c r="F4681" i="1"/>
  <c r="G4681" i="1"/>
  <c r="H4681" i="1"/>
  <c r="I4681" i="1"/>
  <c r="J4681" i="1"/>
  <c r="K4681" i="1"/>
  <c r="L4681" i="1"/>
  <c r="M4681" i="1"/>
  <c r="N4681" i="1"/>
  <c r="A4682" i="1"/>
  <c r="B4682" i="1"/>
  <c r="F4682" i="1"/>
  <c r="G4682" i="1"/>
  <c r="H4682" i="1"/>
  <c r="I4682" i="1"/>
  <c r="J4682" i="1"/>
  <c r="K4682" i="1"/>
  <c r="L4682" i="1"/>
  <c r="M4682" i="1"/>
  <c r="N4682" i="1"/>
  <c r="A4683" i="1"/>
  <c r="B4683" i="1"/>
  <c r="F4683" i="1"/>
  <c r="G4683" i="1"/>
  <c r="H4683" i="1"/>
  <c r="I4683" i="1"/>
  <c r="J4683" i="1"/>
  <c r="K4683" i="1"/>
  <c r="L4683" i="1"/>
  <c r="M4683" i="1"/>
  <c r="N4683" i="1"/>
  <c r="A4684" i="1"/>
  <c r="B4684" i="1"/>
  <c r="F4684" i="1"/>
  <c r="G4684" i="1"/>
  <c r="H4684" i="1"/>
  <c r="I4684" i="1"/>
  <c r="J4684" i="1"/>
  <c r="K4684" i="1"/>
  <c r="L4684" i="1"/>
  <c r="M4684" i="1"/>
  <c r="N4684" i="1"/>
  <c r="A4685" i="1"/>
  <c r="B4685" i="1"/>
  <c r="F4685" i="1"/>
  <c r="G4685" i="1"/>
  <c r="H4685" i="1"/>
  <c r="I4685" i="1"/>
  <c r="J4685" i="1"/>
  <c r="K4685" i="1"/>
  <c r="L4685" i="1"/>
  <c r="M4685" i="1"/>
  <c r="N4685" i="1"/>
  <c r="A4686" i="1"/>
  <c r="B4686" i="1"/>
  <c r="F4686" i="1"/>
  <c r="G4686" i="1"/>
  <c r="H4686" i="1"/>
  <c r="I4686" i="1"/>
  <c r="J4686" i="1"/>
  <c r="K4686" i="1"/>
  <c r="L4686" i="1"/>
  <c r="M4686" i="1"/>
  <c r="N4686" i="1"/>
  <c r="A4687" i="1"/>
  <c r="B4687" i="1"/>
  <c r="F4687" i="1"/>
  <c r="G4687" i="1"/>
  <c r="H4687" i="1"/>
  <c r="I4687" i="1"/>
  <c r="J4687" i="1"/>
  <c r="K4687" i="1"/>
  <c r="L4687" i="1"/>
  <c r="M4687" i="1"/>
  <c r="N4687" i="1"/>
  <c r="A4688" i="1"/>
  <c r="B4688" i="1"/>
  <c r="F4688" i="1"/>
  <c r="G4688" i="1"/>
  <c r="H4688" i="1"/>
  <c r="I4688" i="1"/>
  <c r="J4688" i="1"/>
  <c r="K4688" i="1"/>
  <c r="L4688" i="1"/>
  <c r="M4688" i="1"/>
  <c r="N4688" i="1"/>
  <c r="A4689" i="1"/>
  <c r="B4689" i="1"/>
  <c r="F4689" i="1"/>
  <c r="G4689" i="1"/>
  <c r="H4689" i="1"/>
  <c r="I4689" i="1"/>
  <c r="J4689" i="1"/>
  <c r="K4689" i="1"/>
  <c r="L4689" i="1"/>
  <c r="M4689" i="1"/>
  <c r="N4689" i="1"/>
  <c r="A4690" i="1"/>
  <c r="B4690" i="1"/>
  <c r="F4690" i="1"/>
  <c r="G4690" i="1"/>
  <c r="H4690" i="1"/>
  <c r="I4690" i="1"/>
  <c r="J4690" i="1"/>
  <c r="K4690" i="1"/>
  <c r="L4690" i="1"/>
  <c r="M4690" i="1"/>
  <c r="N4690" i="1"/>
  <c r="A4691" i="1"/>
  <c r="B4691" i="1"/>
  <c r="F4691" i="1"/>
  <c r="G4691" i="1"/>
  <c r="H4691" i="1"/>
  <c r="I4691" i="1"/>
  <c r="J4691" i="1"/>
  <c r="K4691" i="1"/>
  <c r="L4691" i="1"/>
  <c r="M4691" i="1"/>
  <c r="N4691" i="1"/>
  <c r="A4692" i="1"/>
  <c r="B4692" i="1"/>
  <c r="F4692" i="1"/>
  <c r="G4692" i="1"/>
  <c r="H4692" i="1"/>
  <c r="I4692" i="1"/>
  <c r="J4692" i="1"/>
  <c r="K4692" i="1"/>
  <c r="L4692" i="1"/>
  <c r="M4692" i="1"/>
  <c r="N4692" i="1"/>
  <c r="A4693" i="1"/>
  <c r="B4693" i="1"/>
  <c r="F4693" i="1"/>
  <c r="G4693" i="1"/>
  <c r="H4693" i="1"/>
  <c r="I4693" i="1"/>
  <c r="J4693" i="1"/>
  <c r="K4693" i="1"/>
  <c r="L4693" i="1"/>
  <c r="M4693" i="1"/>
  <c r="N4693" i="1"/>
  <c r="A4694" i="1"/>
  <c r="B4694" i="1"/>
  <c r="F4694" i="1"/>
  <c r="G4694" i="1"/>
  <c r="H4694" i="1"/>
  <c r="I4694" i="1"/>
  <c r="J4694" i="1"/>
  <c r="K4694" i="1"/>
  <c r="L4694" i="1"/>
  <c r="M4694" i="1"/>
  <c r="N4694" i="1"/>
  <c r="A4695" i="1"/>
  <c r="B4695" i="1"/>
  <c r="F4695" i="1"/>
  <c r="G4695" i="1"/>
  <c r="H4695" i="1"/>
  <c r="I4695" i="1"/>
  <c r="J4695" i="1"/>
  <c r="K4695" i="1"/>
  <c r="L4695" i="1"/>
  <c r="M4695" i="1"/>
  <c r="N4695" i="1"/>
  <c r="A4696" i="1"/>
  <c r="B4696" i="1"/>
  <c r="F4696" i="1"/>
  <c r="G4696" i="1"/>
  <c r="H4696" i="1"/>
  <c r="I4696" i="1"/>
  <c r="J4696" i="1"/>
  <c r="K4696" i="1"/>
  <c r="L4696" i="1"/>
  <c r="M4696" i="1"/>
  <c r="N4696" i="1"/>
  <c r="A4697" i="1"/>
  <c r="B4697" i="1"/>
  <c r="F4697" i="1"/>
  <c r="G4697" i="1"/>
  <c r="H4697" i="1"/>
  <c r="I4697" i="1"/>
  <c r="J4697" i="1"/>
  <c r="K4697" i="1"/>
  <c r="L4697" i="1"/>
  <c r="M4697" i="1"/>
  <c r="N4697" i="1"/>
  <c r="A4698" i="1"/>
  <c r="B4698" i="1"/>
  <c r="F4698" i="1"/>
  <c r="G4698" i="1"/>
  <c r="H4698" i="1"/>
  <c r="I4698" i="1"/>
  <c r="J4698" i="1"/>
  <c r="K4698" i="1"/>
  <c r="L4698" i="1"/>
  <c r="M4698" i="1"/>
  <c r="N4698" i="1"/>
  <c r="A4699" i="1"/>
  <c r="B4699" i="1"/>
  <c r="F4699" i="1"/>
  <c r="G4699" i="1"/>
  <c r="H4699" i="1"/>
  <c r="I4699" i="1"/>
  <c r="J4699" i="1"/>
  <c r="K4699" i="1"/>
  <c r="L4699" i="1"/>
  <c r="M4699" i="1"/>
  <c r="N4699" i="1"/>
  <c r="A4700" i="1"/>
  <c r="B4700" i="1"/>
  <c r="F4700" i="1"/>
  <c r="G4700" i="1"/>
  <c r="H4700" i="1"/>
  <c r="I4700" i="1"/>
  <c r="J4700" i="1"/>
  <c r="K4700" i="1"/>
  <c r="L4700" i="1"/>
  <c r="M4700" i="1"/>
  <c r="N4700" i="1"/>
  <c r="A4701" i="1"/>
  <c r="B4701" i="1"/>
  <c r="F4701" i="1"/>
  <c r="G4701" i="1"/>
  <c r="H4701" i="1"/>
  <c r="I4701" i="1"/>
  <c r="J4701" i="1"/>
  <c r="K4701" i="1"/>
  <c r="L4701" i="1"/>
  <c r="M4701" i="1"/>
  <c r="N4701" i="1"/>
  <c r="A4702" i="1"/>
  <c r="B4702" i="1"/>
  <c r="F4702" i="1"/>
  <c r="G4702" i="1"/>
  <c r="H4702" i="1"/>
  <c r="I4702" i="1"/>
  <c r="J4702" i="1"/>
  <c r="K4702" i="1"/>
  <c r="L4702" i="1"/>
  <c r="M4702" i="1"/>
  <c r="N4702" i="1"/>
  <c r="A4703" i="1"/>
  <c r="B4703" i="1"/>
  <c r="F4703" i="1"/>
  <c r="G4703" i="1"/>
  <c r="H4703" i="1"/>
  <c r="I4703" i="1"/>
  <c r="J4703" i="1"/>
  <c r="K4703" i="1"/>
  <c r="L4703" i="1"/>
  <c r="M4703" i="1"/>
  <c r="N4703" i="1"/>
  <c r="A4704" i="1"/>
  <c r="B4704" i="1"/>
  <c r="F4704" i="1"/>
  <c r="G4704" i="1"/>
  <c r="H4704" i="1"/>
  <c r="I4704" i="1"/>
  <c r="J4704" i="1"/>
  <c r="K4704" i="1"/>
  <c r="L4704" i="1"/>
  <c r="M4704" i="1"/>
  <c r="N4704" i="1"/>
  <c r="A4705" i="1"/>
  <c r="B4705" i="1"/>
  <c r="F4705" i="1"/>
  <c r="G4705" i="1"/>
  <c r="H4705" i="1"/>
  <c r="I4705" i="1"/>
  <c r="J4705" i="1"/>
  <c r="K4705" i="1"/>
  <c r="L4705" i="1"/>
  <c r="M4705" i="1"/>
  <c r="N4705" i="1"/>
  <c r="A4706" i="1"/>
  <c r="B4706" i="1"/>
  <c r="F4706" i="1"/>
  <c r="G4706" i="1"/>
  <c r="H4706" i="1"/>
  <c r="I4706" i="1"/>
  <c r="J4706" i="1"/>
  <c r="K4706" i="1"/>
  <c r="L4706" i="1"/>
  <c r="M4706" i="1"/>
  <c r="N4706" i="1"/>
  <c r="A4707" i="1"/>
  <c r="B4707" i="1"/>
  <c r="F4707" i="1"/>
  <c r="G4707" i="1"/>
  <c r="H4707" i="1"/>
  <c r="I4707" i="1"/>
  <c r="J4707" i="1"/>
  <c r="K4707" i="1"/>
  <c r="L4707" i="1"/>
  <c r="M4707" i="1"/>
  <c r="N4707" i="1"/>
  <c r="A4708" i="1"/>
  <c r="B4708" i="1"/>
  <c r="F4708" i="1"/>
  <c r="G4708" i="1"/>
  <c r="H4708" i="1"/>
  <c r="I4708" i="1"/>
  <c r="J4708" i="1"/>
  <c r="K4708" i="1"/>
  <c r="L4708" i="1"/>
  <c r="M4708" i="1"/>
  <c r="N4708" i="1"/>
  <c r="A4709" i="1"/>
  <c r="B4709" i="1"/>
  <c r="F4709" i="1"/>
  <c r="G4709" i="1"/>
  <c r="H4709" i="1"/>
  <c r="I4709" i="1"/>
  <c r="J4709" i="1"/>
  <c r="K4709" i="1"/>
  <c r="L4709" i="1"/>
  <c r="M4709" i="1"/>
  <c r="N4709" i="1"/>
  <c r="A4710" i="1"/>
  <c r="B4710" i="1"/>
  <c r="F4710" i="1"/>
  <c r="G4710" i="1"/>
  <c r="H4710" i="1"/>
  <c r="I4710" i="1"/>
  <c r="J4710" i="1"/>
  <c r="K4710" i="1"/>
  <c r="L4710" i="1"/>
  <c r="M4710" i="1"/>
  <c r="N4710" i="1"/>
  <c r="A4711" i="1"/>
  <c r="B4711" i="1"/>
  <c r="F4711" i="1"/>
  <c r="G4711" i="1"/>
  <c r="H4711" i="1"/>
  <c r="I4711" i="1"/>
  <c r="J4711" i="1"/>
  <c r="K4711" i="1"/>
  <c r="L4711" i="1"/>
  <c r="M4711" i="1"/>
  <c r="N4711" i="1"/>
  <c r="A4712" i="1"/>
  <c r="B4712" i="1"/>
  <c r="F4712" i="1"/>
  <c r="G4712" i="1"/>
  <c r="H4712" i="1"/>
  <c r="I4712" i="1"/>
  <c r="J4712" i="1"/>
  <c r="K4712" i="1"/>
  <c r="L4712" i="1"/>
  <c r="M4712" i="1"/>
  <c r="N4712" i="1"/>
  <c r="A4713" i="1"/>
  <c r="B4713" i="1"/>
  <c r="F4713" i="1"/>
  <c r="G4713" i="1"/>
  <c r="H4713" i="1"/>
  <c r="I4713" i="1"/>
  <c r="J4713" i="1"/>
  <c r="K4713" i="1"/>
  <c r="L4713" i="1"/>
  <c r="M4713" i="1"/>
  <c r="N4713" i="1"/>
  <c r="A4714" i="1"/>
  <c r="B4714" i="1"/>
  <c r="F4714" i="1"/>
  <c r="G4714" i="1"/>
  <c r="H4714" i="1"/>
  <c r="I4714" i="1"/>
  <c r="J4714" i="1"/>
  <c r="K4714" i="1"/>
  <c r="L4714" i="1"/>
  <c r="M4714" i="1"/>
  <c r="N4714" i="1"/>
  <c r="A4715" i="1"/>
  <c r="B4715" i="1"/>
  <c r="F4715" i="1"/>
  <c r="G4715" i="1"/>
  <c r="H4715" i="1"/>
  <c r="I4715" i="1"/>
  <c r="J4715" i="1"/>
  <c r="K4715" i="1"/>
  <c r="L4715" i="1"/>
  <c r="M4715" i="1"/>
  <c r="N4715" i="1"/>
  <c r="A4716" i="1"/>
  <c r="B4716" i="1"/>
  <c r="F4716" i="1"/>
  <c r="G4716" i="1"/>
  <c r="H4716" i="1"/>
  <c r="I4716" i="1"/>
  <c r="J4716" i="1"/>
  <c r="K4716" i="1"/>
  <c r="L4716" i="1"/>
  <c r="M4716" i="1"/>
  <c r="N4716" i="1"/>
  <c r="A4717" i="1"/>
  <c r="B4717" i="1"/>
  <c r="F4717" i="1"/>
  <c r="G4717" i="1"/>
  <c r="H4717" i="1"/>
  <c r="I4717" i="1"/>
  <c r="J4717" i="1"/>
  <c r="K4717" i="1"/>
  <c r="L4717" i="1"/>
  <c r="M4717" i="1"/>
  <c r="N4717" i="1"/>
  <c r="A4718" i="1"/>
  <c r="B4718" i="1"/>
  <c r="F4718" i="1"/>
  <c r="G4718" i="1"/>
  <c r="H4718" i="1"/>
  <c r="I4718" i="1"/>
  <c r="J4718" i="1"/>
  <c r="K4718" i="1"/>
  <c r="L4718" i="1"/>
  <c r="M4718" i="1"/>
  <c r="N4718" i="1"/>
  <c r="A4719" i="1"/>
  <c r="B4719" i="1"/>
  <c r="F4719" i="1"/>
  <c r="G4719" i="1"/>
  <c r="H4719" i="1"/>
  <c r="I4719" i="1"/>
  <c r="J4719" i="1"/>
  <c r="K4719" i="1"/>
  <c r="L4719" i="1"/>
  <c r="M4719" i="1"/>
  <c r="N4719" i="1"/>
  <c r="A4720" i="1"/>
  <c r="B4720" i="1"/>
  <c r="F4720" i="1"/>
  <c r="G4720" i="1"/>
  <c r="H4720" i="1"/>
  <c r="I4720" i="1"/>
  <c r="J4720" i="1"/>
  <c r="K4720" i="1"/>
  <c r="L4720" i="1"/>
  <c r="M4720" i="1"/>
  <c r="N4720" i="1"/>
  <c r="A4721" i="1"/>
  <c r="B4721" i="1"/>
  <c r="F4721" i="1"/>
  <c r="G4721" i="1"/>
  <c r="H4721" i="1"/>
  <c r="I4721" i="1"/>
  <c r="J4721" i="1"/>
  <c r="K4721" i="1"/>
  <c r="L4721" i="1"/>
  <c r="M4721" i="1"/>
  <c r="N4721" i="1"/>
  <c r="A4722" i="1"/>
  <c r="B4722" i="1"/>
  <c r="F4722" i="1"/>
  <c r="G4722" i="1"/>
  <c r="H4722" i="1"/>
  <c r="I4722" i="1"/>
  <c r="J4722" i="1"/>
  <c r="K4722" i="1"/>
  <c r="L4722" i="1"/>
  <c r="M4722" i="1"/>
  <c r="N4722" i="1"/>
  <c r="A4723" i="1"/>
  <c r="B4723" i="1"/>
  <c r="F4723" i="1"/>
  <c r="G4723" i="1"/>
  <c r="H4723" i="1"/>
  <c r="I4723" i="1"/>
  <c r="J4723" i="1"/>
  <c r="K4723" i="1"/>
  <c r="L4723" i="1"/>
  <c r="M4723" i="1"/>
  <c r="N4723" i="1"/>
  <c r="A4724" i="1"/>
  <c r="B4724" i="1"/>
  <c r="F4724" i="1"/>
  <c r="G4724" i="1"/>
  <c r="H4724" i="1"/>
  <c r="I4724" i="1"/>
  <c r="J4724" i="1"/>
  <c r="K4724" i="1"/>
  <c r="L4724" i="1"/>
  <c r="M4724" i="1"/>
  <c r="N4724" i="1"/>
  <c r="A4725" i="1"/>
  <c r="B4725" i="1"/>
  <c r="F4725" i="1"/>
  <c r="G4725" i="1"/>
  <c r="H4725" i="1"/>
  <c r="I4725" i="1"/>
  <c r="J4725" i="1"/>
  <c r="K4725" i="1"/>
  <c r="L4725" i="1"/>
  <c r="M4725" i="1"/>
  <c r="N4725" i="1"/>
  <c r="A4726" i="1"/>
  <c r="B4726" i="1"/>
  <c r="F4726" i="1"/>
  <c r="G4726" i="1"/>
  <c r="H4726" i="1"/>
  <c r="I4726" i="1"/>
  <c r="J4726" i="1"/>
  <c r="K4726" i="1"/>
  <c r="L4726" i="1"/>
  <c r="M4726" i="1"/>
  <c r="N4726" i="1"/>
  <c r="A4727" i="1"/>
  <c r="B4727" i="1"/>
  <c r="F4727" i="1"/>
  <c r="G4727" i="1"/>
  <c r="H4727" i="1"/>
  <c r="I4727" i="1"/>
  <c r="J4727" i="1"/>
  <c r="K4727" i="1"/>
  <c r="L4727" i="1"/>
  <c r="M4727" i="1"/>
  <c r="N4727" i="1"/>
  <c r="A4728" i="1"/>
  <c r="B4728" i="1"/>
  <c r="F4728" i="1"/>
  <c r="G4728" i="1"/>
  <c r="H4728" i="1"/>
  <c r="I4728" i="1"/>
  <c r="J4728" i="1"/>
  <c r="K4728" i="1"/>
  <c r="L4728" i="1"/>
  <c r="M4728" i="1"/>
  <c r="N4728" i="1"/>
  <c r="A4729" i="1"/>
  <c r="B4729" i="1"/>
  <c r="F4729" i="1"/>
  <c r="G4729" i="1"/>
  <c r="H4729" i="1"/>
  <c r="I4729" i="1"/>
  <c r="J4729" i="1"/>
  <c r="K4729" i="1"/>
  <c r="L4729" i="1"/>
  <c r="M4729" i="1"/>
  <c r="N4729" i="1"/>
  <c r="A4730" i="1"/>
  <c r="B4730" i="1"/>
  <c r="F4730" i="1"/>
  <c r="G4730" i="1"/>
  <c r="H4730" i="1"/>
  <c r="I4730" i="1"/>
  <c r="J4730" i="1"/>
  <c r="K4730" i="1"/>
  <c r="L4730" i="1"/>
  <c r="M4730" i="1"/>
  <c r="N4730" i="1"/>
  <c r="A4731" i="1"/>
  <c r="B4731" i="1"/>
  <c r="F4731" i="1"/>
  <c r="G4731" i="1"/>
  <c r="H4731" i="1"/>
  <c r="I4731" i="1"/>
  <c r="J4731" i="1"/>
  <c r="K4731" i="1"/>
  <c r="L4731" i="1"/>
  <c r="M4731" i="1"/>
  <c r="N4731" i="1"/>
  <c r="A4732" i="1"/>
  <c r="B4732" i="1"/>
  <c r="F4732" i="1"/>
  <c r="G4732" i="1"/>
  <c r="H4732" i="1"/>
  <c r="I4732" i="1"/>
  <c r="J4732" i="1"/>
  <c r="K4732" i="1"/>
  <c r="L4732" i="1"/>
  <c r="M4732" i="1"/>
  <c r="N4732" i="1"/>
  <c r="A4733" i="1"/>
  <c r="B4733" i="1"/>
  <c r="F4733" i="1"/>
  <c r="G4733" i="1"/>
  <c r="H4733" i="1"/>
  <c r="I4733" i="1"/>
  <c r="J4733" i="1"/>
  <c r="K4733" i="1"/>
  <c r="L4733" i="1"/>
  <c r="M4733" i="1"/>
  <c r="N4733" i="1"/>
  <c r="A4734" i="1"/>
  <c r="B4734" i="1"/>
  <c r="F4734" i="1"/>
  <c r="G4734" i="1"/>
  <c r="H4734" i="1"/>
  <c r="I4734" i="1"/>
  <c r="J4734" i="1"/>
  <c r="K4734" i="1"/>
  <c r="L4734" i="1"/>
  <c r="M4734" i="1"/>
  <c r="N4734" i="1"/>
  <c r="A4735" i="1"/>
  <c r="B4735" i="1"/>
  <c r="F4735" i="1"/>
  <c r="G4735" i="1"/>
  <c r="H4735" i="1"/>
  <c r="I4735" i="1"/>
  <c r="J4735" i="1"/>
  <c r="K4735" i="1"/>
  <c r="L4735" i="1"/>
  <c r="M4735" i="1"/>
  <c r="N4735" i="1"/>
  <c r="A4736" i="1"/>
  <c r="B4736" i="1"/>
  <c r="F4736" i="1"/>
  <c r="G4736" i="1"/>
  <c r="H4736" i="1"/>
  <c r="I4736" i="1"/>
  <c r="J4736" i="1"/>
  <c r="K4736" i="1"/>
  <c r="L4736" i="1"/>
  <c r="M4736" i="1"/>
  <c r="N4736" i="1"/>
  <c r="A4737" i="1"/>
  <c r="B4737" i="1"/>
  <c r="F4737" i="1"/>
  <c r="G4737" i="1"/>
  <c r="H4737" i="1"/>
  <c r="I4737" i="1"/>
  <c r="J4737" i="1"/>
  <c r="K4737" i="1"/>
  <c r="L4737" i="1"/>
  <c r="M4737" i="1"/>
  <c r="N4737" i="1"/>
  <c r="A4738" i="1"/>
  <c r="B4738" i="1"/>
  <c r="F4738" i="1"/>
  <c r="G4738" i="1"/>
  <c r="H4738" i="1"/>
  <c r="I4738" i="1"/>
  <c r="J4738" i="1"/>
  <c r="K4738" i="1"/>
  <c r="L4738" i="1"/>
  <c r="M4738" i="1"/>
  <c r="N4738" i="1"/>
  <c r="A4739" i="1"/>
  <c r="B4739" i="1"/>
  <c r="F4739" i="1"/>
  <c r="G4739" i="1"/>
  <c r="H4739" i="1"/>
  <c r="I4739" i="1"/>
  <c r="J4739" i="1"/>
  <c r="K4739" i="1"/>
  <c r="L4739" i="1"/>
  <c r="M4739" i="1"/>
  <c r="N4739" i="1"/>
  <c r="A4740" i="1"/>
  <c r="B4740" i="1"/>
  <c r="F4740" i="1"/>
  <c r="G4740" i="1"/>
  <c r="H4740" i="1"/>
  <c r="I4740" i="1"/>
  <c r="J4740" i="1"/>
  <c r="K4740" i="1"/>
  <c r="L4740" i="1"/>
  <c r="M4740" i="1"/>
  <c r="N4740" i="1"/>
  <c r="A4741" i="1"/>
  <c r="B4741" i="1"/>
  <c r="F4741" i="1"/>
  <c r="G4741" i="1"/>
  <c r="H4741" i="1"/>
  <c r="I4741" i="1"/>
  <c r="J4741" i="1"/>
  <c r="K4741" i="1"/>
  <c r="L4741" i="1"/>
  <c r="M4741" i="1"/>
  <c r="N4741" i="1"/>
  <c r="A4742" i="1"/>
  <c r="B4742" i="1"/>
  <c r="F4742" i="1"/>
  <c r="G4742" i="1"/>
  <c r="H4742" i="1"/>
  <c r="I4742" i="1"/>
  <c r="J4742" i="1"/>
  <c r="K4742" i="1"/>
  <c r="L4742" i="1"/>
  <c r="M4742" i="1"/>
  <c r="N4742" i="1"/>
  <c r="A4743" i="1"/>
  <c r="B4743" i="1"/>
  <c r="F4743" i="1"/>
  <c r="G4743" i="1"/>
  <c r="H4743" i="1"/>
  <c r="I4743" i="1"/>
  <c r="J4743" i="1"/>
  <c r="K4743" i="1"/>
  <c r="L4743" i="1"/>
  <c r="M4743" i="1"/>
  <c r="N4743" i="1"/>
  <c r="A4744" i="1"/>
  <c r="B4744" i="1"/>
  <c r="F4744" i="1"/>
  <c r="G4744" i="1"/>
  <c r="H4744" i="1"/>
  <c r="I4744" i="1"/>
  <c r="J4744" i="1"/>
  <c r="K4744" i="1"/>
  <c r="L4744" i="1"/>
  <c r="M4744" i="1"/>
  <c r="N4744" i="1"/>
  <c r="A4745" i="1"/>
  <c r="B4745" i="1"/>
  <c r="F4745" i="1"/>
  <c r="G4745" i="1"/>
  <c r="H4745" i="1"/>
  <c r="I4745" i="1"/>
  <c r="J4745" i="1"/>
  <c r="K4745" i="1"/>
  <c r="L4745" i="1"/>
  <c r="M4745" i="1"/>
  <c r="N4745" i="1"/>
  <c r="A4746" i="1"/>
  <c r="B4746" i="1"/>
  <c r="F4746" i="1"/>
  <c r="G4746" i="1"/>
  <c r="H4746" i="1"/>
  <c r="I4746" i="1"/>
  <c r="J4746" i="1"/>
  <c r="K4746" i="1"/>
  <c r="L4746" i="1"/>
  <c r="M4746" i="1"/>
  <c r="N4746" i="1"/>
  <c r="A4747" i="1"/>
  <c r="B4747" i="1"/>
  <c r="F4747" i="1"/>
  <c r="G4747" i="1"/>
  <c r="H4747" i="1"/>
  <c r="I4747" i="1"/>
  <c r="J4747" i="1"/>
  <c r="K4747" i="1"/>
  <c r="L4747" i="1"/>
  <c r="M4747" i="1"/>
  <c r="N4747" i="1"/>
  <c r="A4748" i="1"/>
  <c r="B4748" i="1"/>
  <c r="F4748" i="1"/>
  <c r="G4748" i="1"/>
  <c r="H4748" i="1"/>
  <c r="I4748" i="1"/>
  <c r="J4748" i="1"/>
  <c r="K4748" i="1"/>
  <c r="L4748" i="1"/>
  <c r="M4748" i="1"/>
  <c r="N4748" i="1"/>
  <c r="A4749" i="1"/>
  <c r="B4749" i="1"/>
  <c r="F4749" i="1"/>
  <c r="G4749" i="1"/>
  <c r="H4749" i="1"/>
  <c r="I4749" i="1"/>
  <c r="J4749" i="1"/>
  <c r="K4749" i="1"/>
  <c r="L4749" i="1"/>
  <c r="M4749" i="1"/>
  <c r="N4749" i="1"/>
  <c r="A4750" i="1"/>
  <c r="B4750" i="1"/>
  <c r="F4750" i="1"/>
  <c r="G4750" i="1"/>
  <c r="H4750" i="1"/>
  <c r="I4750" i="1"/>
  <c r="J4750" i="1"/>
  <c r="K4750" i="1"/>
  <c r="L4750" i="1"/>
  <c r="M4750" i="1"/>
  <c r="N4750" i="1"/>
  <c r="A4751" i="1"/>
  <c r="B4751" i="1"/>
  <c r="F4751" i="1"/>
  <c r="G4751" i="1"/>
  <c r="H4751" i="1"/>
  <c r="I4751" i="1"/>
  <c r="J4751" i="1"/>
  <c r="K4751" i="1"/>
  <c r="L4751" i="1"/>
  <c r="M4751" i="1"/>
  <c r="N4751" i="1"/>
  <c r="A4752" i="1"/>
  <c r="B4752" i="1"/>
  <c r="F4752" i="1"/>
  <c r="G4752" i="1"/>
  <c r="H4752" i="1"/>
  <c r="I4752" i="1"/>
  <c r="J4752" i="1"/>
  <c r="K4752" i="1"/>
  <c r="L4752" i="1"/>
  <c r="M4752" i="1"/>
  <c r="N4752" i="1"/>
  <c r="A4753" i="1"/>
  <c r="B4753" i="1"/>
  <c r="F4753" i="1"/>
  <c r="G4753" i="1"/>
  <c r="H4753" i="1"/>
  <c r="I4753" i="1"/>
  <c r="J4753" i="1"/>
  <c r="K4753" i="1"/>
  <c r="L4753" i="1"/>
  <c r="M4753" i="1"/>
  <c r="N4753" i="1"/>
  <c r="A4754" i="1"/>
  <c r="B4754" i="1"/>
  <c r="F4754" i="1"/>
  <c r="G4754" i="1"/>
  <c r="H4754" i="1"/>
  <c r="I4754" i="1"/>
  <c r="J4754" i="1"/>
  <c r="K4754" i="1"/>
  <c r="L4754" i="1"/>
  <c r="M4754" i="1"/>
  <c r="N4754" i="1"/>
  <c r="A4755" i="1"/>
  <c r="B4755" i="1"/>
  <c r="F4755" i="1"/>
  <c r="G4755" i="1"/>
  <c r="H4755" i="1"/>
  <c r="I4755" i="1"/>
  <c r="J4755" i="1"/>
  <c r="K4755" i="1"/>
  <c r="L4755" i="1"/>
  <c r="M4755" i="1"/>
  <c r="N4755" i="1"/>
  <c r="A4756" i="1"/>
  <c r="B4756" i="1"/>
  <c r="F4756" i="1"/>
  <c r="G4756" i="1"/>
  <c r="H4756" i="1"/>
  <c r="I4756" i="1"/>
  <c r="J4756" i="1"/>
  <c r="K4756" i="1"/>
  <c r="L4756" i="1"/>
  <c r="M4756" i="1"/>
  <c r="N4756" i="1"/>
  <c r="A4757" i="1"/>
  <c r="B4757" i="1"/>
  <c r="F4757" i="1"/>
  <c r="G4757" i="1"/>
  <c r="H4757" i="1"/>
  <c r="I4757" i="1"/>
  <c r="J4757" i="1"/>
  <c r="K4757" i="1"/>
  <c r="L4757" i="1"/>
  <c r="M4757" i="1"/>
  <c r="N4757" i="1"/>
  <c r="A4758" i="1"/>
  <c r="B4758" i="1"/>
  <c r="F4758" i="1"/>
  <c r="G4758" i="1"/>
  <c r="H4758" i="1"/>
  <c r="I4758" i="1"/>
  <c r="J4758" i="1"/>
  <c r="K4758" i="1"/>
  <c r="L4758" i="1"/>
  <c r="M4758" i="1"/>
  <c r="N4758" i="1"/>
  <c r="A4759" i="1"/>
  <c r="B4759" i="1"/>
  <c r="F4759" i="1"/>
  <c r="G4759" i="1"/>
  <c r="H4759" i="1"/>
  <c r="I4759" i="1"/>
  <c r="J4759" i="1"/>
  <c r="K4759" i="1"/>
  <c r="L4759" i="1"/>
  <c r="M4759" i="1"/>
  <c r="N4759" i="1"/>
  <c r="A4760" i="1"/>
  <c r="B4760" i="1"/>
  <c r="F4760" i="1"/>
  <c r="G4760" i="1"/>
  <c r="H4760" i="1"/>
  <c r="I4760" i="1"/>
  <c r="J4760" i="1"/>
  <c r="K4760" i="1"/>
  <c r="L4760" i="1"/>
  <c r="M4760" i="1"/>
  <c r="N4760" i="1"/>
  <c r="A4761" i="1"/>
  <c r="B4761" i="1"/>
  <c r="F4761" i="1"/>
  <c r="G4761" i="1"/>
  <c r="H4761" i="1"/>
  <c r="I4761" i="1"/>
  <c r="J4761" i="1"/>
  <c r="K4761" i="1"/>
  <c r="L4761" i="1"/>
  <c r="M4761" i="1"/>
  <c r="N4761" i="1"/>
  <c r="A4762" i="1"/>
  <c r="B4762" i="1"/>
  <c r="F4762" i="1"/>
  <c r="G4762" i="1"/>
  <c r="H4762" i="1"/>
  <c r="I4762" i="1"/>
  <c r="J4762" i="1"/>
  <c r="K4762" i="1"/>
  <c r="L4762" i="1"/>
  <c r="M4762" i="1"/>
  <c r="N4762" i="1"/>
  <c r="A4763" i="1"/>
  <c r="B4763" i="1"/>
  <c r="F4763" i="1"/>
  <c r="G4763" i="1"/>
  <c r="H4763" i="1"/>
  <c r="I4763" i="1"/>
  <c r="J4763" i="1"/>
  <c r="K4763" i="1"/>
  <c r="L4763" i="1"/>
  <c r="M4763" i="1"/>
  <c r="N4763" i="1"/>
  <c r="A4764" i="1"/>
  <c r="B4764" i="1"/>
  <c r="F4764" i="1"/>
  <c r="G4764" i="1"/>
  <c r="H4764" i="1"/>
  <c r="I4764" i="1"/>
  <c r="J4764" i="1"/>
  <c r="K4764" i="1"/>
  <c r="L4764" i="1"/>
  <c r="M4764" i="1"/>
  <c r="N4764" i="1"/>
  <c r="A4765" i="1"/>
  <c r="B4765" i="1"/>
  <c r="F4765" i="1"/>
  <c r="G4765" i="1"/>
  <c r="H4765" i="1"/>
  <c r="I4765" i="1"/>
  <c r="J4765" i="1"/>
  <c r="K4765" i="1"/>
  <c r="L4765" i="1"/>
  <c r="M4765" i="1"/>
  <c r="N4765" i="1"/>
  <c r="A4766" i="1"/>
  <c r="B4766" i="1"/>
  <c r="F4766" i="1"/>
  <c r="G4766" i="1"/>
  <c r="H4766" i="1"/>
  <c r="I4766" i="1"/>
  <c r="J4766" i="1"/>
  <c r="K4766" i="1"/>
  <c r="L4766" i="1"/>
  <c r="M4766" i="1"/>
  <c r="N4766" i="1"/>
  <c r="A4767" i="1"/>
  <c r="B4767" i="1"/>
  <c r="F4767" i="1"/>
  <c r="G4767" i="1"/>
  <c r="H4767" i="1"/>
  <c r="I4767" i="1"/>
  <c r="J4767" i="1"/>
  <c r="K4767" i="1"/>
  <c r="L4767" i="1"/>
  <c r="M4767" i="1"/>
  <c r="N4767" i="1"/>
  <c r="A4768" i="1"/>
  <c r="B4768" i="1"/>
  <c r="F4768" i="1"/>
  <c r="G4768" i="1"/>
  <c r="H4768" i="1"/>
  <c r="I4768" i="1"/>
  <c r="J4768" i="1"/>
  <c r="K4768" i="1"/>
  <c r="L4768" i="1"/>
  <c r="M4768" i="1"/>
  <c r="N4768" i="1"/>
  <c r="A4769" i="1"/>
  <c r="B4769" i="1"/>
  <c r="F4769" i="1"/>
  <c r="G4769" i="1"/>
  <c r="H4769" i="1"/>
  <c r="I4769" i="1"/>
  <c r="J4769" i="1"/>
  <c r="K4769" i="1"/>
  <c r="L4769" i="1"/>
  <c r="M4769" i="1"/>
  <c r="N4769" i="1"/>
  <c r="A4770" i="1"/>
  <c r="B4770" i="1"/>
  <c r="F4770" i="1"/>
  <c r="G4770" i="1"/>
  <c r="H4770" i="1"/>
  <c r="I4770" i="1"/>
  <c r="J4770" i="1"/>
  <c r="K4770" i="1"/>
  <c r="L4770" i="1"/>
  <c r="M4770" i="1"/>
  <c r="N4770" i="1"/>
  <c r="A4771" i="1"/>
  <c r="B4771" i="1"/>
  <c r="F4771" i="1"/>
  <c r="G4771" i="1"/>
  <c r="H4771" i="1"/>
  <c r="I4771" i="1"/>
  <c r="J4771" i="1"/>
  <c r="K4771" i="1"/>
  <c r="L4771" i="1"/>
  <c r="M4771" i="1"/>
  <c r="N4771" i="1"/>
  <c r="A4772" i="1"/>
  <c r="B4772" i="1"/>
  <c r="F4772" i="1"/>
  <c r="G4772" i="1"/>
  <c r="H4772" i="1"/>
  <c r="I4772" i="1"/>
  <c r="J4772" i="1"/>
  <c r="K4772" i="1"/>
  <c r="L4772" i="1"/>
  <c r="M4772" i="1"/>
  <c r="N4772" i="1"/>
  <c r="A4773" i="1"/>
  <c r="B4773" i="1"/>
  <c r="F4773" i="1"/>
  <c r="G4773" i="1"/>
  <c r="H4773" i="1"/>
  <c r="I4773" i="1"/>
  <c r="J4773" i="1"/>
  <c r="K4773" i="1"/>
  <c r="L4773" i="1"/>
  <c r="M4773" i="1"/>
  <c r="N4773" i="1"/>
  <c r="A4774" i="1"/>
  <c r="B4774" i="1"/>
  <c r="F4774" i="1"/>
  <c r="G4774" i="1"/>
  <c r="H4774" i="1"/>
  <c r="I4774" i="1"/>
  <c r="J4774" i="1"/>
  <c r="K4774" i="1"/>
  <c r="L4774" i="1"/>
  <c r="M4774" i="1"/>
  <c r="N4774" i="1"/>
  <c r="A4775" i="1"/>
  <c r="B4775" i="1"/>
  <c r="F4775" i="1"/>
  <c r="G4775" i="1"/>
  <c r="H4775" i="1"/>
  <c r="I4775" i="1"/>
  <c r="J4775" i="1"/>
  <c r="K4775" i="1"/>
  <c r="L4775" i="1"/>
  <c r="M4775" i="1"/>
  <c r="N4775" i="1"/>
  <c r="A4776" i="1"/>
  <c r="B4776" i="1"/>
  <c r="F4776" i="1"/>
  <c r="G4776" i="1"/>
  <c r="H4776" i="1"/>
  <c r="I4776" i="1"/>
  <c r="J4776" i="1"/>
  <c r="K4776" i="1"/>
  <c r="L4776" i="1"/>
  <c r="M4776" i="1"/>
  <c r="N4776" i="1"/>
  <c r="A4777" i="1"/>
  <c r="B4777" i="1"/>
  <c r="F4777" i="1"/>
  <c r="G4777" i="1"/>
  <c r="H4777" i="1"/>
  <c r="I4777" i="1"/>
  <c r="J4777" i="1"/>
  <c r="K4777" i="1"/>
  <c r="L4777" i="1"/>
  <c r="M4777" i="1"/>
  <c r="N4777" i="1"/>
  <c r="A4778" i="1"/>
  <c r="B4778" i="1"/>
  <c r="F4778" i="1"/>
  <c r="G4778" i="1"/>
  <c r="H4778" i="1"/>
  <c r="I4778" i="1"/>
  <c r="J4778" i="1"/>
  <c r="K4778" i="1"/>
  <c r="L4778" i="1"/>
  <c r="M4778" i="1"/>
  <c r="N4778" i="1"/>
  <c r="A4779" i="1"/>
  <c r="B4779" i="1"/>
  <c r="F4779" i="1"/>
  <c r="G4779" i="1"/>
  <c r="H4779" i="1"/>
  <c r="I4779" i="1"/>
  <c r="J4779" i="1"/>
  <c r="K4779" i="1"/>
  <c r="L4779" i="1"/>
  <c r="M4779" i="1"/>
  <c r="N4779" i="1"/>
  <c r="A4780" i="1"/>
  <c r="B4780" i="1"/>
  <c r="F4780" i="1"/>
  <c r="G4780" i="1"/>
  <c r="H4780" i="1"/>
  <c r="I4780" i="1"/>
  <c r="J4780" i="1"/>
  <c r="K4780" i="1"/>
  <c r="L4780" i="1"/>
  <c r="M4780" i="1"/>
  <c r="N4780" i="1"/>
  <c r="A4781" i="1"/>
  <c r="B4781" i="1"/>
  <c r="F4781" i="1"/>
  <c r="G4781" i="1"/>
  <c r="H4781" i="1"/>
  <c r="I4781" i="1"/>
  <c r="J4781" i="1"/>
  <c r="K4781" i="1"/>
  <c r="L4781" i="1"/>
  <c r="M4781" i="1"/>
  <c r="N4781" i="1"/>
  <c r="A4782" i="1"/>
  <c r="B4782" i="1"/>
  <c r="F4782" i="1"/>
  <c r="G4782" i="1"/>
  <c r="H4782" i="1"/>
  <c r="I4782" i="1"/>
  <c r="J4782" i="1"/>
  <c r="K4782" i="1"/>
  <c r="L4782" i="1"/>
  <c r="M4782" i="1"/>
  <c r="N4782" i="1"/>
  <c r="A4783" i="1"/>
  <c r="B4783" i="1"/>
  <c r="F4783" i="1"/>
  <c r="G4783" i="1"/>
  <c r="H4783" i="1"/>
  <c r="I4783" i="1"/>
  <c r="J4783" i="1"/>
  <c r="K4783" i="1"/>
  <c r="L4783" i="1"/>
  <c r="M4783" i="1"/>
  <c r="N4783" i="1"/>
  <c r="A4784" i="1"/>
  <c r="B4784" i="1"/>
  <c r="F4784" i="1"/>
  <c r="G4784" i="1"/>
  <c r="H4784" i="1"/>
  <c r="I4784" i="1"/>
  <c r="J4784" i="1"/>
  <c r="K4784" i="1"/>
  <c r="L4784" i="1"/>
  <c r="M4784" i="1"/>
  <c r="N4784" i="1"/>
  <c r="A4785" i="1"/>
  <c r="B4785" i="1"/>
  <c r="F4785" i="1"/>
  <c r="G4785" i="1"/>
  <c r="H4785" i="1"/>
  <c r="I4785" i="1"/>
  <c r="J4785" i="1"/>
  <c r="K4785" i="1"/>
  <c r="L4785" i="1"/>
  <c r="M4785" i="1"/>
  <c r="N4785" i="1"/>
  <c r="A4786" i="1"/>
  <c r="B4786" i="1"/>
  <c r="F4786" i="1"/>
  <c r="G4786" i="1"/>
  <c r="H4786" i="1"/>
  <c r="I4786" i="1"/>
  <c r="J4786" i="1"/>
  <c r="K4786" i="1"/>
  <c r="L4786" i="1"/>
  <c r="M4786" i="1"/>
  <c r="N4786" i="1"/>
  <c r="A4787" i="1"/>
  <c r="B4787" i="1"/>
  <c r="F4787" i="1"/>
  <c r="G4787" i="1"/>
  <c r="H4787" i="1"/>
  <c r="I4787" i="1"/>
  <c r="J4787" i="1"/>
  <c r="K4787" i="1"/>
  <c r="L4787" i="1"/>
  <c r="M4787" i="1"/>
  <c r="N4787" i="1"/>
  <c r="A4788" i="1"/>
  <c r="B4788" i="1"/>
  <c r="F4788" i="1"/>
  <c r="G4788" i="1"/>
  <c r="H4788" i="1"/>
  <c r="I4788" i="1"/>
  <c r="J4788" i="1"/>
  <c r="K4788" i="1"/>
  <c r="L4788" i="1"/>
  <c r="M4788" i="1"/>
  <c r="N4788" i="1"/>
  <c r="A4789" i="1"/>
  <c r="B4789" i="1"/>
  <c r="F4789" i="1"/>
  <c r="G4789" i="1"/>
  <c r="H4789" i="1"/>
  <c r="I4789" i="1"/>
  <c r="J4789" i="1"/>
  <c r="K4789" i="1"/>
  <c r="L4789" i="1"/>
  <c r="M4789" i="1"/>
  <c r="N4789" i="1"/>
  <c r="A4790" i="1"/>
  <c r="B4790" i="1"/>
  <c r="F4790" i="1"/>
  <c r="G4790" i="1"/>
  <c r="H4790" i="1"/>
  <c r="I4790" i="1"/>
  <c r="J4790" i="1"/>
  <c r="K4790" i="1"/>
  <c r="L4790" i="1"/>
  <c r="M4790" i="1"/>
  <c r="N4790" i="1"/>
  <c r="A4791" i="1"/>
  <c r="B4791" i="1"/>
  <c r="F4791" i="1"/>
  <c r="G4791" i="1"/>
  <c r="H4791" i="1"/>
  <c r="I4791" i="1"/>
  <c r="J4791" i="1"/>
  <c r="K4791" i="1"/>
  <c r="L4791" i="1"/>
  <c r="M4791" i="1"/>
  <c r="N4791" i="1"/>
  <c r="A4792" i="1"/>
  <c r="B4792" i="1"/>
  <c r="F4792" i="1"/>
  <c r="G4792" i="1"/>
  <c r="H4792" i="1"/>
  <c r="I4792" i="1"/>
  <c r="J4792" i="1"/>
  <c r="K4792" i="1"/>
  <c r="L4792" i="1"/>
  <c r="M4792" i="1"/>
  <c r="N4792" i="1"/>
  <c r="A4793" i="1"/>
  <c r="B4793" i="1"/>
  <c r="F4793" i="1"/>
  <c r="G4793" i="1"/>
  <c r="H4793" i="1"/>
  <c r="I4793" i="1"/>
  <c r="J4793" i="1"/>
  <c r="K4793" i="1"/>
  <c r="L4793" i="1"/>
  <c r="M4793" i="1"/>
  <c r="N4793" i="1"/>
  <c r="A4794" i="1"/>
  <c r="B4794" i="1"/>
  <c r="F4794" i="1"/>
  <c r="G4794" i="1"/>
  <c r="H4794" i="1"/>
  <c r="I4794" i="1"/>
  <c r="J4794" i="1"/>
  <c r="K4794" i="1"/>
  <c r="L4794" i="1"/>
  <c r="M4794" i="1"/>
  <c r="N4794" i="1"/>
  <c r="A4795" i="1"/>
  <c r="B4795" i="1"/>
  <c r="F4795" i="1"/>
  <c r="G4795" i="1"/>
  <c r="H4795" i="1"/>
  <c r="I4795" i="1"/>
  <c r="J4795" i="1"/>
  <c r="K4795" i="1"/>
  <c r="L4795" i="1"/>
  <c r="M4795" i="1"/>
  <c r="N4795" i="1"/>
  <c r="A4796" i="1"/>
  <c r="B4796" i="1"/>
  <c r="F4796" i="1"/>
  <c r="G4796" i="1"/>
  <c r="H4796" i="1"/>
  <c r="I4796" i="1"/>
  <c r="J4796" i="1"/>
  <c r="K4796" i="1"/>
  <c r="L4796" i="1"/>
  <c r="M4796" i="1"/>
  <c r="N4796" i="1"/>
  <c r="A4797" i="1"/>
  <c r="B4797" i="1"/>
  <c r="F4797" i="1"/>
  <c r="G4797" i="1"/>
  <c r="H4797" i="1"/>
  <c r="I4797" i="1"/>
  <c r="J4797" i="1"/>
  <c r="K4797" i="1"/>
  <c r="L4797" i="1"/>
  <c r="M4797" i="1"/>
  <c r="N4797" i="1"/>
  <c r="A4798" i="1"/>
  <c r="B4798" i="1"/>
  <c r="F4798" i="1"/>
  <c r="G4798" i="1"/>
  <c r="H4798" i="1"/>
  <c r="I4798" i="1"/>
  <c r="J4798" i="1"/>
  <c r="K4798" i="1"/>
  <c r="L4798" i="1"/>
  <c r="M4798" i="1"/>
  <c r="N4798" i="1"/>
  <c r="A4799" i="1"/>
  <c r="B4799" i="1"/>
  <c r="F4799" i="1"/>
  <c r="G4799" i="1"/>
  <c r="H4799" i="1"/>
  <c r="I4799" i="1"/>
  <c r="J4799" i="1"/>
  <c r="K4799" i="1"/>
  <c r="L4799" i="1"/>
  <c r="M4799" i="1"/>
  <c r="N4799" i="1"/>
  <c r="A4800" i="1"/>
  <c r="B4800" i="1"/>
  <c r="F4800" i="1"/>
  <c r="G4800" i="1"/>
  <c r="H4800" i="1"/>
  <c r="I4800" i="1"/>
  <c r="J4800" i="1"/>
  <c r="K4800" i="1"/>
  <c r="L4800" i="1"/>
  <c r="M4800" i="1"/>
  <c r="N4800" i="1"/>
  <c r="A4801" i="1"/>
  <c r="B4801" i="1"/>
  <c r="F4801" i="1"/>
  <c r="G4801" i="1"/>
  <c r="H4801" i="1"/>
  <c r="I4801" i="1"/>
  <c r="J4801" i="1"/>
  <c r="K4801" i="1"/>
  <c r="L4801" i="1"/>
  <c r="M4801" i="1"/>
  <c r="N4801" i="1"/>
  <c r="A4802" i="1"/>
  <c r="B4802" i="1"/>
  <c r="F4802" i="1"/>
  <c r="G4802" i="1"/>
  <c r="H4802" i="1"/>
  <c r="I4802" i="1"/>
  <c r="J4802" i="1"/>
  <c r="K4802" i="1"/>
  <c r="L4802" i="1"/>
  <c r="M4802" i="1"/>
  <c r="N4802" i="1"/>
  <c r="A4803" i="1"/>
  <c r="B4803" i="1"/>
  <c r="F4803" i="1"/>
  <c r="G4803" i="1"/>
  <c r="H4803" i="1"/>
  <c r="I4803" i="1"/>
  <c r="J4803" i="1"/>
  <c r="K4803" i="1"/>
  <c r="L4803" i="1"/>
  <c r="M4803" i="1"/>
  <c r="N4803" i="1"/>
  <c r="A4804" i="1"/>
  <c r="B4804" i="1"/>
  <c r="F4804" i="1"/>
  <c r="G4804" i="1"/>
  <c r="H4804" i="1"/>
  <c r="I4804" i="1"/>
  <c r="J4804" i="1"/>
  <c r="K4804" i="1"/>
  <c r="L4804" i="1"/>
  <c r="M4804" i="1"/>
  <c r="N4804" i="1"/>
  <c r="A4805" i="1"/>
  <c r="B4805" i="1"/>
  <c r="F4805" i="1"/>
  <c r="G4805" i="1"/>
  <c r="H4805" i="1"/>
  <c r="I4805" i="1"/>
  <c r="J4805" i="1"/>
  <c r="K4805" i="1"/>
  <c r="L4805" i="1"/>
  <c r="M4805" i="1"/>
  <c r="N4805" i="1"/>
  <c r="A4806" i="1"/>
  <c r="B4806" i="1"/>
  <c r="F4806" i="1"/>
  <c r="G4806" i="1"/>
  <c r="H4806" i="1"/>
  <c r="I4806" i="1"/>
  <c r="J4806" i="1"/>
  <c r="K4806" i="1"/>
  <c r="L4806" i="1"/>
  <c r="M4806" i="1"/>
  <c r="N4806" i="1"/>
  <c r="A4807" i="1"/>
  <c r="B4807" i="1"/>
  <c r="F4807" i="1"/>
  <c r="G4807" i="1"/>
  <c r="H4807" i="1"/>
  <c r="I4807" i="1"/>
  <c r="J4807" i="1"/>
  <c r="K4807" i="1"/>
  <c r="L4807" i="1"/>
  <c r="M4807" i="1"/>
  <c r="N4807" i="1"/>
  <c r="A4808" i="1"/>
  <c r="B4808" i="1"/>
  <c r="F4808" i="1"/>
  <c r="G4808" i="1"/>
  <c r="H4808" i="1"/>
  <c r="I4808" i="1"/>
  <c r="J4808" i="1"/>
  <c r="K4808" i="1"/>
  <c r="L4808" i="1"/>
  <c r="M4808" i="1"/>
  <c r="N4808" i="1"/>
  <c r="A4809" i="1"/>
  <c r="B4809" i="1"/>
  <c r="F4809" i="1"/>
  <c r="G4809" i="1"/>
  <c r="H4809" i="1"/>
  <c r="I4809" i="1"/>
  <c r="J4809" i="1"/>
  <c r="K4809" i="1"/>
  <c r="L4809" i="1"/>
  <c r="M4809" i="1"/>
  <c r="N4809" i="1"/>
  <c r="A4810" i="1"/>
  <c r="B4810" i="1"/>
  <c r="F4810" i="1"/>
  <c r="G4810" i="1"/>
  <c r="H4810" i="1"/>
  <c r="I4810" i="1"/>
  <c r="J4810" i="1"/>
  <c r="K4810" i="1"/>
  <c r="L4810" i="1"/>
  <c r="M4810" i="1"/>
  <c r="N4810" i="1"/>
  <c r="A4811" i="1"/>
  <c r="B4811" i="1"/>
  <c r="F4811" i="1"/>
  <c r="G4811" i="1"/>
  <c r="H4811" i="1"/>
  <c r="I4811" i="1"/>
  <c r="J4811" i="1"/>
  <c r="K4811" i="1"/>
  <c r="L4811" i="1"/>
  <c r="M4811" i="1"/>
  <c r="N4811" i="1"/>
  <c r="A4812" i="1"/>
  <c r="B4812" i="1"/>
  <c r="F4812" i="1"/>
  <c r="G4812" i="1"/>
  <c r="H4812" i="1"/>
  <c r="I4812" i="1"/>
  <c r="J4812" i="1"/>
  <c r="K4812" i="1"/>
  <c r="L4812" i="1"/>
  <c r="M4812" i="1"/>
  <c r="N4812" i="1"/>
  <c r="A4813" i="1"/>
  <c r="B4813" i="1"/>
  <c r="F4813" i="1"/>
  <c r="G4813" i="1"/>
  <c r="H4813" i="1"/>
  <c r="I4813" i="1"/>
  <c r="J4813" i="1"/>
  <c r="K4813" i="1"/>
  <c r="L4813" i="1"/>
  <c r="M4813" i="1"/>
  <c r="N4813" i="1"/>
  <c r="A4814" i="1"/>
  <c r="B4814" i="1"/>
  <c r="F4814" i="1"/>
  <c r="G4814" i="1"/>
  <c r="H4814" i="1"/>
  <c r="I4814" i="1"/>
  <c r="J4814" i="1"/>
  <c r="K4814" i="1"/>
  <c r="L4814" i="1"/>
  <c r="M4814" i="1"/>
  <c r="N4814" i="1"/>
  <c r="A4815" i="1"/>
  <c r="B4815" i="1"/>
  <c r="F4815" i="1"/>
  <c r="G4815" i="1"/>
  <c r="H4815" i="1"/>
  <c r="I4815" i="1"/>
  <c r="J4815" i="1"/>
  <c r="K4815" i="1"/>
  <c r="L4815" i="1"/>
  <c r="M4815" i="1"/>
  <c r="N4815" i="1"/>
  <c r="A4816" i="1"/>
  <c r="B4816" i="1"/>
  <c r="F4816" i="1"/>
  <c r="G4816" i="1"/>
  <c r="H4816" i="1"/>
  <c r="I4816" i="1"/>
  <c r="J4816" i="1"/>
  <c r="K4816" i="1"/>
  <c r="L4816" i="1"/>
  <c r="M4816" i="1"/>
  <c r="N4816" i="1"/>
  <c r="A4817" i="1"/>
  <c r="B4817" i="1"/>
  <c r="F4817" i="1"/>
  <c r="G4817" i="1"/>
  <c r="H4817" i="1"/>
  <c r="I4817" i="1"/>
  <c r="J4817" i="1"/>
  <c r="K4817" i="1"/>
  <c r="L4817" i="1"/>
  <c r="M4817" i="1"/>
  <c r="N4817" i="1"/>
  <c r="A4818" i="1"/>
  <c r="B4818" i="1"/>
  <c r="F4818" i="1"/>
  <c r="G4818" i="1"/>
  <c r="H4818" i="1"/>
  <c r="I4818" i="1"/>
  <c r="J4818" i="1"/>
  <c r="K4818" i="1"/>
  <c r="L4818" i="1"/>
  <c r="M4818" i="1"/>
  <c r="N4818" i="1"/>
  <c r="A4819" i="1"/>
  <c r="B4819" i="1"/>
  <c r="F4819" i="1"/>
  <c r="G4819" i="1"/>
  <c r="H4819" i="1"/>
  <c r="I4819" i="1"/>
  <c r="J4819" i="1"/>
  <c r="K4819" i="1"/>
  <c r="L4819" i="1"/>
  <c r="M4819" i="1"/>
  <c r="N4819" i="1"/>
  <c r="A4820" i="1"/>
  <c r="B4820" i="1"/>
  <c r="F4820" i="1"/>
  <c r="G4820" i="1"/>
  <c r="H4820" i="1"/>
  <c r="I4820" i="1"/>
  <c r="J4820" i="1"/>
  <c r="K4820" i="1"/>
  <c r="L4820" i="1"/>
  <c r="M4820" i="1"/>
  <c r="N4820" i="1"/>
  <c r="A4821" i="1"/>
  <c r="B4821" i="1"/>
  <c r="F4821" i="1"/>
  <c r="G4821" i="1"/>
  <c r="H4821" i="1"/>
  <c r="I4821" i="1"/>
  <c r="J4821" i="1"/>
  <c r="K4821" i="1"/>
  <c r="L4821" i="1"/>
  <c r="M4821" i="1"/>
  <c r="N4821" i="1"/>
  <c r="A4822" i="1"/>
  <c r="B4822" i="1"/>
  <c r="F4822" i="1"/>
  <c r="G4822" i="1"/>
  <c r="H4822" i="1"/>
  <c r="I4822" i="1"/>
  <c r="J4822" i="1"/>
  <c r="K4822" i="1"/>
  <c r="L4822" i="1"/>
  <c r="M4822" i="1"/>
  <c r="N4822" i="1"/>
  <c r="A4823" i="1"/>
  <c r="B4823" i="1"/>
  <c r="F4823" i="1"/>
  <c r="G4823" i="1"/>
  <c r="H4823" i="1"/>
  <c r="I4823" i="1"/>
  <c r="J4823" i="1"/>
  <c r="K4823" i="1"/>
  <c r="L4823" i="1"/>
  <c r="M4823" i="1"/>
  <c r="N4823" i="1"/>
  <c r="A4824" i="1"/>
  <c r="B4824" i="1"/>
  <c r="F4824" i="1"/>
  <c r="G4824" i="1"/>
  <c r="H4824" i="1"/>
  <c r="I4824" i="1"/>
  <c r="J4824" i="1"/>
  <c r="K4824" i="1"/>
  <c r="L4824" i="1"/>
  <c r="M4824" i="1"/>
  <c r="N4824" i="1"/>
  <c r="A4825" i="1"/>
  <c r="B4825" i="1"/>
  <c r="F4825" i="1"/>
  <c r="G4825" i="1"/>
  <c r="H4825" i="1"/>
  <c r="I4825" i="1"/>
  <c r="J4825" i="1"/>
  <c r="K4825" i="1"/>
  <c r="L4825" i="1"/>
  <c r="M4825" i="1"/>
  <c r="N4825" i="1"/>
  <c r="A4826" i="1"/>
  <c r="B4826" i="1"/>
  <c r="F4826" i="1"/>
  <c r="G4826" i="1"/>
  <c r="H4826" i="1"/>
  <c r="I4826" i="1"/>
  <c r="J4826" i="1"/>
  <c r="K4826" i="1"/>
  <c r="L4826" i="1"/>
  <c r="M4826" i="1"/>
  <c r="N4826" i="1"/>
  <c r="A4827" i="1"/>
  <c r="B4827" i="1"/>
  <c r="F4827" i="1"/>
  <c r="G4827" i="1"/>
  <c r="H4827" i="1"/>
  <c r="I4827" i="1"/>
  <c r="J4827" i="1"/>
  <c r="K4827" i="1"/>
  <c r="L4827" i="1"/>
  <c r="M4827" i="1"/>
  <c r="N4827" i="1"/>
  <c r="A4828" i="1"/>
  <c r="B4828" i="1"/>
  <c r="F4828" i="1"/>
  <c r="G4828" i="1"/>
  <c r="H4828" i="1"/>
  <c r="I4828" i="1"/>
  <c r="J4828" i="1"/>
  <c r="K4828" i="1"/>
  <c r="L4828" i="1"/>
  <c r="M4828" i="1"/>
  <c r="N4828" i="1"/>
  <c r="A4829" i="1"/>
  <c r="B4829" i="1"/>
  <c r="F4829" i="1"/>
  <c r="G4829" i="1"/>
  <c r="H4829" i="1"/>
  <c r="I4829" i="1"/>
  <c r="J4829" i="1"/>
  <c r="K4829" i="1"/>
  <c r="L4829" i="1"/>
  <c r="M4829" i="1"/>
  <c r="N4829" i="1"/>
  <c r="A4830" i="1"/>
  <c r="B4830" i="1"/>
  <c r="F4830" i="1"/>
  <c r="G4830" i="1"/>
  <c r="H4830" i="1"/>
  <c r="I4830" i="1"/>
  <c r="J4830" i="1"/>
  <c r="K4830" i="1"/>
  <c r="L4830" i="1"/>
  <c r="M4830" i="1"/>
  <c r="N4830" i="1"/>
  <c r="A4831" i="1"/>
  <c r="B4831" i="1"/>
  <c r="F4831" i="1"/>
  <c r="G4831" i="1"/>
  <c r="H4831" i="1"/>
  <c r="I4831" i="1"/>
  <c r="J4831" i="1"/>
  <c r="K4831" i="1"/>
  <c r="L4831" i="1"/>
  <c r="M4831" i="1"/>
  <c r="N4831" i="1"/>
  <c r="A4832" i="1"/>
  <c r="B4832" i="1"/>
  <c r="F4832" i="1"/>
  <c r="G4832" i="1"/>
  <c r="H4832" i="1"/>
  <c r="I4832" i="1"/>
  <c r="J4832" i="1"/>
  <c r="K4832" i="1"/>
  <c r="L4832" i="1"/>
  <c r="M4832" i="1"/>
  <c r="N4832" i="1"/>
  <c r="A4833" i="1"/>
  <c r="B4833" i="1"/>
  <c r="F4833" i="1"/>
  <c r="G4833" i="1"/>
  <c r="H4833" i="1"/>
  <c r="I4833" i="1"/>
  <c r="J4833" i="1"/>
  <c r="K4833" i="1"/>
  <c r="L4833" i="1"/>
  <c r="M4833" i="1"/>
  <c r="N4833" i="1"/>
  <c r="A4834" i="1"/>
  <c r="B4834" i="1"/>
  <c r="F4834" i="1"/>
  <c r="G4834" i="1"/>
  <c r="H4834" i="1"/>
  <c r="I4834" i="1"/>
  <c r="J4834" i="1"/>
  <c r="K4834" i="1"/>
  <c r="L4834" i="1"/>
  <c r="M4834" i="1"/>
  <c r="N4834" i="1"/>
  <c r="A4835" i="1"/>
  <c r="B4835" i="1"/>
  <c r="F4835" i="1"/>
  <c r="G4835" i="1"/>
  <c r="H4835" i="1"/>
  <c r="I4835" i="1"/>
  <c r="J4835" i="1"/>
  <c r="K4835" i="1"/>
  <c r="L4835" i="1"/>
  <c r="M4835" i="1"/>
  <c r="N4835" i="1"/>
  <c r="A4836" i="1"/>
  <c r="B4836" i="1"/>
  <c r="F4836" i="1"/>
  <c r="G4836" i="1"/>
  <c r="H4836" i="1"/>
  <c r="I4836" i="1"/>
  <c r="J4836" i="1"/>
  <c r="K4836" i="1"/>
  <c r="L4836" i="1"/>
  <c r="M4836" i="1"/>
  <c r="N4836" i="1"/>
  <c r="A4837" i="1"/>
  <c r="B4837" i="1"/>
  <c r="F4837" i="1"/>
  <c r="G4837" i="1"/>
  <c r="H4837" i="1"/>
  <c r="I4837" i="1"/>
  <c r="J4837" i="1"/>
  <c r="K4837" i="1"/>
  <c r="L4837" i="1"/>
  <c r="M4837" i="1"/>
  <c r="N4837" i="1"/>
  <c r="A4838" i="1"/>
  <c r="B4838" i="1"/>
  <c r="F4838" i="1"/>
  <c r="G4838" i="1"/>
  <c r="H4838" i="1"/>
  <c r="I4838" i="1"/>
  <c r="J4838" i="1"/>
  <c r="K4838" i="1"/>
  <c r="L4838" i="1"/>
  <c r="M4838" i="1"/>
  <c r="N4838" i="1"/>
  <c r="A4839" i="1"/>
  <c r="B4839" i="1"/>
  <c r="F4839" i="1"/>
  <c r="G4839" i="1"/>
  <c r="H4839" i="1"/>
  <c r="I4839" i="1"/>
  <c r="J4839" i="1"/>
  <c r="K4839" i="1"/>
  <c r="L4839" i="1"/>
  <c r="M4839" i="1"/>
  <c r="N4839" i="1"/>
  <c r="A4840" i="1"/>
  <c r="B4840" i="1"/>
  <c r="F4840" i="1"/>
  <c r="G4840" i="1"/>
  <c r="H4840" i="1"/>
  <c r="I4840" i="1"/>
  <c r="J4840" i="1"/>
  <c r="K4840" i="1"/>
  <c r="L4840" i="1"/>
  <c r="M4840" i="1"/>
  <c r="N4840" i="1"/>
  <c r="A4841" i="1"/>
  <c r="B4841" i="1"/>
  <c r="F4841" i="1"/>
  <c r="G4841" i="1"/>
  <c r="H4841" i="1"/>
  <c r="I4841" i="1"/>
  <c r="J4841" i="1"/>
  <c r="K4841" i="1"/>
  <c r="L4841" i="1"/>
  <c r="M4841" i="1"/>
  <c r="N4841" i="1"/>
  <c r="A4842" i="1"/>
  <c r="B4842" i="1"/>
  <c r="F4842" i="1"/>
  <c r="G4842" i="1"/>
  <c r="H4842" i="1"/>
  <c r="I4842" i="1"/>
  <c r="J4842" i="1"/>
  <c r="K4842" i="1"/>
  <c r="L4842" i="1"/>
  <c r="M4842" i="1"/>
  <c r="N4842" i="1"/>
  <c r="A4843" i="1"/>
  <c r="B4843" i="1"/>
  <c r="F4843" i="1"/>
  <c r="G4843" i="1"/>
  <c r="H4843" i="1"/>
  <c r="I4843" i="1"/>
  <c r="J4843" i="1"/>
  <c r="K4843" i="1"/>
  <c r="L4843" i="1"/>
  <c r="M4843" i="1"/>
  <c r="N4843" i="1"/>
  <c r="A4844" i="1"/>
  <c r="B4844" i="1"/>
  <c r="F4844" i="1"/>
  <c r="G4844" i="1"/>
  <c r="H4844" i="1"/>
  <c r="I4844" i="1"/>
  <c r="J4844" i="1"/>
  <c r="K4844" i="1"/>
  <c r="L4844" i="1"/>
  <c r="M4844" i="1"/>
  <c r="N4844" i="1"/>
  <c r="A4845" i="1"/>
  <c r="B4845" i="1"/>
  <c r="F4845" i="1"/>
  <c r="G4845" i="1"/>
  <c r="H4845" i="1"/>
  <c r="I4845" i="1"/>
  <c r="J4845" i="1"/>
  <c r="K4845" i="1"/>
  <c r="L4845" i="1"/>
  <c r="M4845" i="1"/>
  <c r="N4845" i="1"/>
  <c r="A4846" i="1"/>
  <c r="B4846" i="1"/>
  <c r="F4846" i="1"/>
  <c r="G4846" i="1"/>
  <c r="H4846" i="1"/>
  <c r="I4846" i="1"/>
  <c r="J4846" i="1"/>
  <c r="K4846" i="1"/>
  <c r="L4846" i="1"/>
  <c r="M4846" i="1"/>
  <c r="N4846" i="1"/>
  <c r="A4847" i="1"/>
  <c r="B4847" i="1"/>
  <c r="F4847" i="1"/>
  <c r="G4847" i="1"/>
  <c r="H4847" i="1"/>
  <c r="I4847" i="1"/>
  <c r="J4847" i="1"/>
  <c r="K4847" i="1"/>
  <c r="L4847" i="1"/>
  <c r="M4847" i="1"/>
  <c r="N4847" i="1"/>
  <c r="A4848" i="1"/>
  <c r="B4848" i="1"/>
  <c r="F4848" i="1"/>
  <c r="G4848" i="1"/>
  <c r="H4848" i="1"/>
  <c r="I4848" i="1"/>
  <c r="J4848" i="1"/>
  <c r="K4848" i="1"/>
  <c r="L4848" i="1"/>
  <c r="M4848" i="1"/>
  <c r="N4848" i="1"/>
  <c r="A4849" i="1"/>
  <c r="B4849" i="1"/>
  <c r="F4849" i="1"/>
  <c r="G4849" i="1"/>
  <c r="H4849" i="1"/>
  <c r="I4849" i="1"/>
  <c r="J4849" i="1"/>
  <c r="K4849" i="1"/>
  <c r="L4849" i="1"/>
  <c r="M4849" i="1"/>
  <c r="N4849" i="1"/>
  <c r="A4850" i="1"/>
  <c r="B4850" i="1"/>
  <c r="F4850" i="1"/>
  <c r="G4850" i="1"/>
  <c r="H4850" i="1"/>
  <c r="I4850" i="1"/>
  <c r="J4850" i="1"/>
  <c r="K4850" i="1"/>
  <c r="L4850" i="1"/>
  <c r="M4850" i="1"/>
  <c r="N4850" i="1"/>
  <c r="A4851" i="1"/>
  <c r="B4851" i="1"/>
  <c r="F4851" i="1"/>
  <c r="G4851" i="1"/>
  <c r="H4851" i="1"/>
  <c r="I4851" i="1"/>
  <c r="J4851" i="1"/>
  <c r="K4851" i="1"/>
  <c r="L4851" i="1"/>
  <c r="M4851" i="1"/>
  <c r="N4851" i="1"/>
  <c r="A4852" i="1"/>
  <c r="B4852" i="1"/>
  <c r="F4852" i="1"/>
  <c r="G4852" i="1"/>
  <c r="H4852" i="1"/>
  <c r="I4852" i="1"/>
  <c r="J4852" i="1"/>
  <c r="K4852" i="1"/>
  <c r="L4852" i="1"/>
  <c r="M4852" i="1"/>
  <c r="N4852" i="1"/>
  <c r="A4853" i="1"/>
  <c r="B4853" i="1"/>
  <c r="F4853" i="1"/>
  <c r="G4853" i="1"/>
  <c r="H4853" i="1"/>
  <c r="I4853" i="1"/>
  <c r="J4853" i="1"/>
  <c r="K4853" i="1"/>
  <c r="L4853" i="1"/>
  <c r="M4853" i="1"/>
  <c r="N4853" i="1"/>
  <c r="A4854" i="1"/>
  <c r="B4854" i="1"/>
  <c r="F4854" i="1"/>
  <c r="G4854" i="1"/>
  <c r="H4854" i="1"/>
  <c r="I4854" i="1"/>
  <c r="J4854" i="1"/>
  <c r="K4854" i="1"/>
  <c r="L4854" i="1"/>
  <c r="M4854" i="1"/>
  <c r="N4854" i="1"/>
  <c r="A4855" i="1"/>
  <c r="B4855" i="1"/>
  <c r="F4855" i="1"/>
  <c r="G4855" i="1"/>
  <c r="H4855" i="1"/>
  <c r="I4855" i="1"/>
  <c r="J4855" i="1"/>
  <c r="K4855" i="1"/>
  <c r="L4855" i="1"/>
  <c r="M4855" i="1"/>
  <c r="N4855" i="1"/>
  <c r="A4856" i="1"/>
  <c r="B4856" i="1"/>
  <c r="F4856" i="1"/>
  <c r="G4856" i="1"/>
  <c r="H4856" i="1"/>
  <c r="I4856" i="1"/>
  <c r="J4856" i="1"/>
  <c r="K4856" i="1"/>
  <c r="L4856" i="1"/>
  <c r="M4856" i="1"/>
  <c r="N4856" i="1"/>
  <c r="A4857" i="1"/>
  <c r="B4857" i="1"/>
  <c r="F4857" i="1"/>
  <c r="G4857" i="1"/>
  <c r="H4857" i="1"/>
  <c r="I4857" i="1"/>
  <c r="J4857" i="1"/>
  <c r="K4857" i="1"/>
  <c r="L4857" i="1"/>
  <c r="M4857" i="1"/>
  <c r="N4857" i="1"/>
  <c r="A4858" i="1"/>
  <c r="B4858" i="1"/>
  <c r="F4858" i="1"/>
  <c r="G4858" i="1"/>
  <c r="H4858" i="1"/>
  <c r="I4858" i="1"/>
  <c r="J4858" i="1"/>
  <c r="K4858" i="1"/>
  <c r="L4858" i="1"/>
  <c r="M4858" i="1"/>
  <c r="N4858" i="1"/>
  <c r="A4859" i="1"/>
  <c r="B4859" i="1"/>
  <c r="F4859" i="1"/>
  <c r="G4859" i="1"/>
  <c r="H4859" i="1"/>
  <c r="I4859" i="1"/>
  <c r="J4859" i="1"/>
  <c r="K4859" i="1"/>
  <c r="L4859" i="1"/>
  <c r="M4859" i="1"/>
  <c r="N4859" i="1"/>
  <c r="A4860" i="1"/>
  <c r="B4860" i="1"/>
  <c r="F4860" i="1"/>
  <c r="G4860" i="1"/>
  <c r="H4860" i="1"/>
  <c r="I4860" i="1"/>
  <c r="J4860" i="1"/>
  <c r="K4860" i="1"/>
  <c r="L4860" i="1"/>
  <c r="M4860" i="1"/>
  <c r="N4860" i="1"/>
  <c r="A4861" i="1"/>
  <c r="B4861" i="1"/>
  <c r="F4861" i="1"/>
  <c r="G4861" i="1"/>
  <c r="H4861" i="1"/>
  <c r="I4861" i="1"/>
  <c r="J4861" i="1"/>
  <c r="K4861" i="1"/>
  <c r="L4861" i="1"/>
  <c r="M4861" i="1"/>
  <c r="N4861" i="1"/>
  <c r="A4862" i="1"/>
  <c r="B4862" i="1"/>
  <c r="F4862" i="1"/>
  <c r="G4862" i="1"/>
  <c r="H4862" i="1"/>
  <c r="I4862" i="1"/>
  <c r="J4862" i="1"/>
  <c r="K4862" i="1"/>
  <c r="L4862" i="1"/>
  <c r="M4862" i="1"/>
  <c r="N4862" i="1"/>
  <c r="A4863" i="1"/>
  <c r="B4863" i="1"/>
  <c r="F4863" i="1"/>
  <c r="G4863" i="1"/>
  <c r="H4863" i="1"/>
  <c r="I4863" i="1"/>
  <c r="J4863" i="1"/>
  <c r="K4863" i="1"/>
  <c r="L4863" i="1"/>
  <c r="M4863" i="1"/>
  <c r="N4863" i="1"/>
  <c r="A4864" i="1"/>
  <c r="B4864" i="1"/>
  <c r="F4864" i="1"/>
  <c r="G4864" i="1"/>
  <c r="H4864" i="1"/>
  <c r="I4864" i="1"/>
  <c r="J4864" i="1"/>
  <c r="K4864" i="1"/>
  <c r="L4864" i="1"/>
  <c r="M4864" i="1"/>
  <c r="N4864" i="1"/>
  <c r="A4865" i="1"/>
  <c r="B4865" i="1"/>
  <c r="F4865" i="1"/>
  <c r="G4865" i="1"/>
  <c r="H4865" i="1"/>
  <c r="I4865" i="1"/>
  <c r="J4865" i="1"/>
  <c r="K4865" i="1"/>
  <c r="L4865" i="1"/>
  <c r="M4865" i="1"/>
  <c r="N4865" i="1"/>
  <c r="A4866" i="1"/>
  <c r="B4866" i="1"/>
  <c r="F4866" i="1"/>
  <c r="G4866" i="1"/>
  <c r="H4866" i="1"/>
  <c r="I4866" i="1"/>
  <c r="J4866" i="1"/>
  <c r="K4866" i="1"/>
  <c r="L4866" i="1"/>
  <c r="M4866" i="1"/>
  <c r="N4866" i="1"/>
  <c r="A4867" i="1"/>
  <c r="B4867" i="1"/>
  <c r="F4867" i="1"/>
  <c r="G4867" i="1"/>
  <c r="H4867" i="1"/>
  <c r="I4867" i="1"/>
  <c r="J4867" i="1"/>
  <c r="K4867" i="1"/>
  <c r="L4867" i="1"/>
  <c r="M4867" i="1"/>
  <c r="N4867" i="1"/>
  <c r="A4868" i="1"/>
  <c r="B4868" i="1"/>
  <c r="F4868" i="1"/>
  <c r="G4868" i="1"/>
  <c r="H4868" i="1"/>
  <c r="I4868" i="1"/>
  <c r="J4868" i="1"/>
  <c r="K4868" i="1"/>
  <c r="L4868" i="1"/>
  <c r="M4868" i="1"/>
  <c r="N4868" i="1"/>
  <c r="A4869" i="1"/>
  <c r="B4869" i="1"/>
  <c r="F4869" i="1"/>
  <c r="G4869" i="1"/>
  <c r="H4869" i="1"/>
  <c r="I4869" i="1"/>
  <c r="J4869" i="1"/>
  <c r="K4869" i="1"/>
  <c r="L4869" i="1"/>
  <c r="M4869" i="1"/>
  <c r="N4869" i="1"/>
  <c r="A4870" i="1"/>
  <c r="B4870" i="1"/>
  <c r="F4870" i="1"/>
  <c r="G4870" i="1"/>
  <c r="H4870" i="1"/>
  <c r="I4870" i="1"/>
  <c r="J4870" i="1"/>
  <c r="K4870" i="1"/>
  <c r="L4870" i="1"/>
  <c r="M4870" i="1"/>
  <c r="N4870" i="1"/>
  <c r="A4871" i="1"/>
  <c r="B4871" i="1"/>
  <c r="F4871" i="1"/>
  <c r="G4871" i="1"/>
  <c r="H4871" i="1"/>
  <c r="I4871" i="1"/>
  <c r="J4871" i="1"/>
  <c r="K4871" i="1"/>
  <c r="L4871" i="1"/>
  <c r="M4871" i="1"/>
  <c r="N4871" i="1"/>
  <c r="A4872" i="1"/>
  <c r="B4872" i="1"/>
  <c r="F4872" i="1"/>
  <c r="G4872" i="1"/>
  <c r="H4872" i="1"/>
  <c r="I4872" i="1"/>
  <c r="J4872" i="1"/>
  <c r="K4872" i="1"/>
  <c r="L4872" i="1"/>
  <c r="M4872" i="1"/>
  <c r="N4872" i="1"/>
  <c r="A4873" i="1"/>
  <c r="B4873" i="1"/>
  <c r="F4873" i="1"/>
  <c r="G4873" i="1"/>
  <c r="H4873" i="1"/>
  <c r="I4873" i="1"/>
  <c r="J4873" i="1"/>
  <c r="K4873" i="1"/>
  <c r="L4873" i="1"/>
  <c r="M4873" i="1"/>
  <c r="N4873" i="1"/>
  <c r="A4874" i="1"/>
  <c r="B4874" i="1"/>
  <c r="F4874" i="1"/>
  <c r="G4874" i="1"/>
  <c r="H4874" i="1"/>
  <c r="I4874" i="1"/>
  <c r="J4874" i="1"/>
  <c r="K4874" i="1"/>
  <c r="L4874" i="1"/>
  <c r="M4874" i="1"/>
  <c r="N4874" i="1"/>
  <c r="A4875" i="1"/>
  <c r="B4875" i="1"/>
  <c r="F4875" i="1"/>
  <c r="G4875" i="1"/>
  <c r="H4875" i="1"/>
  <c r="I4875" i="1"/>
  <c r="J4875" i="1"/>
  <c r="K4875" i="1"/>
  <c r="L4875" i="1"/>
  <c r="M4875" i="1"/>
  <c r="N4875" i="1"/>
  <c r="A4876" i="1"/>
  <c r="B4876" i="1"/>
  <c r="F4876" i="1"/>
  <c r="G4876" i="1"/>
  <c r="H4876" i="1"/>
  <c r="I4876" i="1"/>
  <c r="J4876" i="1"/>
  <c r="K4876" i="1"/>
  <c r="L4876" i="1"/>
  <c r="M4876" i="1"/>
  <c r="N4876" i="1"/>
  <c r="A4877" i="1"/>
  <c r="B4877" i="1"/>
  <c r="F4877" i="1"/>
  <c r="G4877" i="1"/>
  <c r="H4877" i="1"/>
  <c r="I4877" i="1"/>
  <c r="J4877" i="1"/>
  <c r="K4877" i="1"/>
  <c r="L4877" i="1"/>
  <c r="M4877" i="1"/>
  <c r="N4877" i="1"/>
  <c r="A4878" i="1"/>
  <c r="B4878" i="1"/>
  <c r="F4878" i="1"/>
  <c r="G4878" i="1"/>
  <c r="H4878" i="1"/>
  <c r="I4878" i="1"/>
  <c r="J4878" i="1"/>
  <c r="K4878" i="1"/>
  <c r="L4878" i="1"/>
  <c r="M4878" i="1"/>
  <c r="N4878" i="1"/>
  <c r="A4879" i="1"/>
  <c r="B4879" i="1"/>
  <c r="F4879" i="1"/>
  <c r="G4879" i="1"/>
  <c r="H4879" i="1"/>
  <c r="I4879" i="1"/>
  <c r="J4879" i="1"/>
  <c r="K4879" i="1"/>
  <c r="L4879" i="1"/>
  <c r="M4879" i="1"/>
  <c r="N4879" i="1"/>
  <c r="A4880" i="1"/>
  <c r="B4880" i="1"/>
  <c r="F4880" i="1"/>
  <c r="G4880" i="1"/>
  <c r="H4880" i="1"/>
  <c r="I4880" i="1"/>
  <c r="J4880" i="1"/>
  <c r="K4880" i="1"/>
  <c r="L4880" i="1"/>
  <c r="M4880" i="1"/>
  <c r="N4880" i="1"/>
  <c r="A4881" i="1"/>
  <c r="B4881" i="1"/>
  <c r="F4881" i="1"/>
  <c r="G4881" i="1"/>
  <c r="H4881" i="1"/>
  <c r="I4881" i="1"/>
  <c r="J4881" i="1"/>
  <c r="K4881" i="1"/>
  <c r="L4881" i="1"/>
  <c r="M4881" i="1"/>
  <c r="N4881" i="1"/>
  <c r="A4882" i="1"/>
  <c r="B4882" i="1"/>
  <c r="F4882" i="1"/>
  <c r="G4882" i="1"/>
  <c r="H4882" i="1"/>
  <c r="I4882" i="1"/>
  <c r="J4882" i="1"/>
  <c r="K4882" i="1"/>
  <c r="L4882" i="1"/>
  <c r="M4882" i="1"/>
  <c r="N4882" i="1"/>
  <c r="A4883" i="1"/>
  <c r="B4883" i="1"/>
  <c r="F4883" i="1"/>
  <c r="G4883" i="1"/>
  <c r="H4883" i="1"/>
  <c r="I4883" i="1"/>
  <c r="J4883" i="1"/>
  <c r="K4883" i="1"/>
  <c r="L4883" i="1"/>
  <c r="M4883" i="1"/>
  <c r="N4883" i="1"/>
  <c r="A4884" i="1"/>
  <c r="B4884" i="1"/>
  <c r="F4884" i="1"/>
  <c r="G4884" i="1"/>
  <c r="H4884" i="1"/>
  <c r="I4884" i="1"/>
  <c r="J4884" i="1"/>
  <c r="K4884" i="1"/>
  <c r="L4884" i="1"/>
  <c r="M4884" i="1"/>
  <c r="N4884" i="1"/>
  <c r="A4885" i="1"/>
  <c r="B4885" i="1"/>
  <c r="F4885" i="1"/>
  <c r="G4885" i="1"/>
  <c r="H4885" i="1"/>
  <c r="I4885" i="1"/>
  <c r="J4885" i="1"/>
  <c r="K4885" i="1"/>
  <c r="L4885" i="1"/>
  <c r="M4885" i="1"/>
  <c r="N4885" i="1"/>
  <c r="A4886" i="1"/>
  <c r="B4886" i="1"/>
  <c r="F4886" i="1"/>
  <c r="G4886" i="1"/>
  <c r="H4886" i="1"/>
  <c r="I4886" i="1"/>
  <c r="J4886" i="1"/>
  <c r="K4886" i="1"/>
  <c r="L4886" i="1"/>
  <c r="M4886" i="1"/>
  <c r="N4886" i="1"/>
  <c r="A4887" i="1"/>
  <c r="B4887" i="1"/>
  <c r="F4887" i="1"/>
  <c r="G4887" i="1"/>
  <c r="H4887" i="1"/>
  <c r="I4887" i="1"/>
  <c r="J4887" i="1"/>
  <c r="K4887" i="1"/>
  <c r="L4887" i="1"/>
  <c r="M4887" i="1"/>
  <c r="N4887" i="1"/>
  <c r="A4888" i="1"/>
  <c r="B4888" i="1"/>
  <c r="F4888" i="1"/>
  <c r="G4888" i="1"/>
  <c r="H4888" i="1"/>
  <c r="I4888" i="1"/>
  <c r="J4888" i="1"/>
  <c r="K4888" i="1"/>
  <c r="L4888" i="1"/>
  <c r="M4888" i="1"/>
  <c r="N4888" i="1"/>
  <c r="A4889" i="1"/>
  <c r="B4889" i="1"/>
  <c r="F4889" i="1"/>
  <c r="G4889" i="1"/>
  <c r="H4889" i="1"/>
  <c r="I4889" i="1"/>
  <c r="J4889" i="1"/>
  <c r="K4889" i="1"/>
  <c r="L4889" i="1"/>
  <c r="M4889" i="1"/>
  <c r="N4889" i="1"/>
  <c r="A4890" i="1"/>
  <c r="B4890" i="1"/>
  <c r="F4890" i="1"/>
  <c r="G4890" i="1"/>
  <c r="H4890" i="1"/>
  <c r="I4890" i="1"/>
  <c r="J4890" i="1"/>
  <c r="K4890" i="1"/>
  <c r="L4890" i="1"/>
  <c r="M4890" i="1"/>
  <c r="N4890" i="1"/>
  <c r="A4891" i="1"/>
  <c r="B4891" i="1"/>
  <c r="F4891" i="1"/>
  <c r="G4891" i="1"/>
  <c r="H4891" i="1"/>
  <c r="I4891" i="1"/>
  <c r="J4891" i="1"/>
  <c r="K4891" i="1"/>
  <c r="L4891" i="1"/>
  <c r="M4891" i="1"/>
  <c r="N4891" i="1"/>
  <c r="A4892" i="1"/>
  <c r="B4892" i="1"/>
  <c r="F4892" i="1"/>
  <c r="G4892" i="1"/>
  <c r="H4892" i="1"/>
  <c r="I4892" i="1"/>
  <c r="J4892" i="1"/>
  <c r="K4892" i="1"/>
  <c r="L4892" i="1"/>
  <c r="M4892" i="1"/>
  <c r="N4892" i="1"/>
  <c r="A4893" i="1"/>
  <c r="B4893" i="1"/>
  <c r="F4893" i="1"/>
  <c r="G4893" i="1"/>
  <c r="H4893" i="1"/>
  <c r="I4893" i="1"/>
  <c r="J4893" i="1"/>
  <c r="K4893" i="1"/>
  <c r="L4893" i="1"/>
  <c r="M4893" i="1"/>
  <c r="N4893" i="1"/>
  <c r="A4894" i="1"/>
  <c r="B4894" i="1"/>
  <c r="F4894" i="1"/>
  <c r="G4894" i="1"/>
  <c r="H4894" i="1"/>
  <c r="I4894" i="1"/>
  <c r="J4894" i="1"/>
  <c r="K4894" i="1"/>
  <c r="L4894" i="1"/>
  <c r="M4894" i="1"/>
  <c r="N4894" i="1"/>
  <c r="A4895" i="1"/>
  <c r="B4895" i="1"/>
  <c r="F4895" i="1"/>
  <c r="G4895" i="1"/>
  <c r="H4895" i="1"/>
  <c r="I4895" i="1"/>
  <c r="J4895" i="1"/>
  <c r="K4895" i="1"/>
  <c r="L4895" i="1"/>
  <c r="M4895" i="1"/>
  <c r="N4895" i="1"/>
  <c r="A4896" i="1"/>
  <c r="B4896" i="1"/>
  <c r="F4896" i="1"/>
  <c r="G4896" i="1"/>
  <c r="H4896" i="1"/>
  <c r="I4896" i="1"/>
  <c r="J4896" i="1"/>
  <c r="K4896" i="1"/>
  <c r="L4896" i="1"/>
  <c r="M4896" i="1"/>
  <c r="N4896" i="1"/>
  <c r="A4897" i="1"/>
  <c r="B4897" i="1"/>
  <c r="F4897" i="1"/>
  <c r="G4897" i="1"/>
  <c r="H4897" i="1"/>
  <c r="I4897" i="1"/>
  <c r="J4897" i="1"/>
  <c r="K4897" i="1"/>
  <c r="L4897" i="1"/>
  <c r="M4897" i="1"/>
  <c r="N4897" i="1"/>
  <c r="A4898" i="1"/>
  <c r="B4898" i="1"/>
  <c r="F4898" i="1"/>
  <c r="G4898" i="1"/>
  <c r="H4898" i="1"/>
  <c r="I4898" i="1"/>
  <c r="J4898" i="1"/>
  <c r="K4898" i="1"/>
  <c r="L4898" i="1"/>
  <c r="M4898" i="1"/>
  <c r="N4898" i="1"/>
  <c r="A4899" i="1"/>
  <c r="B4899" i="1"/>
  <c r="F4899" i="1"/>
  <c r="G4899" i="1"/>
  <c r="H4899" i="1"/>
  <c r="I4899" i="1"/>
  <c r="J4899" i="1"/>
  <c r="K4899" i="1"/>
  <c r="L4899" i="1"/>
  <c r="M4899" i="1"/>
  <c r="N4899" i="1"/>
  <c r="A4900" i="1"/>
  <c r="B4900" i="1"/>
  <c r="F4900" i="1"/>
  <c r="G4900" i="1"/>
  <c r="H4900" i="1"/>
  <c r="I4900" i="1"/>
  <c r="J4900" i="1"/>
  <c r="K4900" i="1"/>
  <c r="L4900" i="1"/>
  <c r="M4900" i="1"/>
  <c r="N4900" i="1"/>
  <c r="A4901" i="1"/>
  <c r="B4901" i="1"/>
  <c r="F4901" i="1"/>
  <c r="G4901" i="1"/>
  <c r="H4901" i="1"/>
  <c r="I4901" i="1"/>
  <c r="J4901" i="1"/>
  <c r="K4901" i="1"/>
  <c r="L4901" i="1"/>
  <c r="M4901" i="1"/>
  <c r="N4901" i="1"/>
  <c r="A4902" i="1"/>
  <c r="B4902" i="1"/>
  <c r="F4902" i="1"/>
  <c r="G4902" i="1"/>
  <c r="H4902" i="1"/>
  <c r="I4902" i="1"/>
  <c r="J4902" i="1"/>
  <c r="K4902" i="1"/>
  <c r="L4902" i="1"/>
  <c r="M4902" i="1"/>
  <c r="N4902" i="1"/>
  <c r="A4903" i="1"/>
  <c r="B4903" i="1"/>
  <c r="F4903" i="1"/>
  <c r="G4903" i="1"/>
  <c r="H4903" i="1"/>
  <c r="I4903" i="1"/>
  <c r="J4903" i="1"/>
  <c r="K4903" i="1"/>
  <c r="L4903" i="1"/>
  <c r="M4903" i="1"/>
  <c r="N4903" i="1"/>
  <c r="A4904" i="1"/>
  <c r="B4904" i="1"/>
  <c r="F4904" i="1"/>
  <c r="G4904" i="1"/>
  <c r="H4904" i="1"/>
  <c r="I4904" i="1"/>
  <c r="J4904" i="1"/>
  <c r="K4904" i="1"/>
  <c r="L4904" i="1"/>
  <c r="M4904" i="1"/>
  <c r="N4904" i="1"/>
  <c r="A4905" i="1"/>
  <c r="B4905" i="1"/>
  <c r="F4905" i="1"/>
  <c r="G4905" i="1"/>
  <c r="H4905" i="1"/>
  <c r="I4905" i="1"/>
  <c r="J4905" i="1"/>
  <c r="K4905" i="1"/>
  <c r="L4905" i="1"/>
  <c r="M4905" i="1"/>
  <c r="N4905" i="1"/>
  <c r="A4906" i="1"/>
  <c r="B4906" i="1"/>
  <c r="F4906" i="1"/>
  <c r="G4906" i="1"/>
  <c r="H4906" i="1"/>
  <c r="I4906" i="1"/>
  <c r="J4906" i="1"/>
  <c r="K4906" i="1"/>
  <c r="L4906" i="1"/>
  <c r="M4906" i="1"/>
  <c r="N4906" i="1"/>
  <c r="A4907" i="1"/>
  <c r="B4907" i="1"/>
  <c r="F4907" i="1"/>
  <c r="G4907" i="1"/>
  <c r="H4907" i="1"/>
  <c r="I4907" i="1"/>
  <c r="J4907" i="1"/>
  <c r="K4907" i="1"/>
  <c r="L4907" i="1"/>
  <c r="M4907" i="1"/>
  <c r="N4907" i="1"/>
  <c r="A4908" i="1"/>
  <c r="B4908" i="1"/>
  <c r="F4908" i="1"/>
  <c r="G4908" i="1"/>
  <c r="H4908" i="1"/>
  <c r="I4908" i="1"/>
  <c r="J4908" i="1"/>
  <c r="K4908" i="1"/>
  <c r="L4908" i="1"/>
  <c r="M4908" i="1"/>
  <c r="N4908" i="1"/>
  <c r="A4909" i="1"/>
  <c r="B4909" i="1"/>
  <c r="F4909" i="1"/>
  <c r="G4909" i="1"/>
  <c r="H4909" i="1"/>
  <c r="I4909" i="1"/>
  <c r="J4909" i="1"/>
  <c r="K4909" i="1"/>
  <c r="L4909" i="1"/>
  <c r="M4909" i="1"/>
  <c r="N4909" i="1"/>
  <c r="A4910" i="1"/>
  <c r="B4910" i="1"/>
  <c r="F4910" i="1"/>
  <c r="G4910" i="1"/>
  <c r="H4910" i="1"/>
  <c r="I4910" i="1"/>
  <c r="J4910" i="1"/>
  <c r="K4910" i="1"/>
  <c r="L4910" i="1"/>
  <c r="M4910" i="1"/>
  <c r="N4910" i="1"/>
  <c r="A4911" i="1"/>
  <c r="B4911" i="1"/>
  <c r="F4911" i="1"/>
  <c r="G4911" i="1"/>
  <c r="H4911" i="1"/>
  <c r="I4911" i="1"/>
  <c r="J4911" i="1"/>
  <c r="K4911" i="1"/>
  <c r="L4911" i="1"/>
  <c r="M4911" i="1"/>
  <c r="N4911" i="1"/>
  <c r="A4912" i="1"/>
  <c r="B4912" i="1"/>
  <c r="F4912" i="1"/>
  <c r="G4912" i="1"/>
  <c r="H4912" i="1"/>
  <c r="I4912" i="1"/>
  <c r="J4912" i="1"/>
  <c r="K4912" i="1"/>
  <c r="L4912" i="1"/>
  <c r="M4912" i="1"/>
  <c r="N4912" i="1"/>
  <c r="A4913" i="1"/>
  <c r="B4913" i="1"/>
  <c r="F4913" i="1"/>
  <c r="G4913" i="1"/>
  <c r="H4913" i="1"/>
  <c r="I4913" i="1"/>
  <c r="J4913" i="1"/>
  <c r="K4913" i="1"/>
  <c r="L4913" i="1"/>
  <c r="M4913" i="1"/>
  <c r="N4913" i="1"/>
  <c r="A4914" i="1"/>
  <c r="B4914" i="1"/>
  <c r="F4914" i="1"/>
  <c r="G4914" i="1"/>
  <c r="H4914" i="1"/>
  <c r="I4914" i="1"/>
  <c r="J4914" i="1"/>
  <c r="K4914" i="1"/>
  <c r="L4914" i="1"/>
  <c r="M4914" i="1"/>
  <c r="N4914" i="1"/>
  <c r="A4915" i="1"/>
  <c r="B4915" i="1"/>
  <c r="F4915" i="1"/>
  <c r="G4915" i="1"/>
  <c r="H4915" i="1"/>
  <c r="I4915" i="1"/>
  <c r="J4915" i="1"/>
  <c r="K4915" i="1"/>
  <c r="L4915" i="1"/>
  <c r="M4915" i="1"/>
  <c r="N4915" i="1"/>
  <c r="A4916" i="1"/>
  <c r="B4916" i="1"/>
  <c r="F4916" i="1"/>
  <c r="G4916" i="1"/>
  <c r="H4916" i="1"/>
  <c r="I4916" i="1"/>
  <c r="J4916" i="1"/>
  <c r="K4916" i="1"/>
  <c r="L4916" i="1"/>
  <c r="M4916" i="1"/>
  <c r="N4916" i="1"/>
  <c r="A4917" i="1"/>
  <c r="B4917" i="1"/>
  <c r="F4917" i="1"/>
  <c r="G4917" i="1"/>
  <c r="H4917" i="1"/>
  <c r="I4917" i="1"/>
  <c r="J4917" i="1"/>
  <c r="K4917" i="1"/>
  <c r="L4917" i="1"/>
  <c r="M4917" i="1"/>
  <c r="N4917" i="1"/>
  <c r="A4918" i="1"/>
  <c r="B4918" i="1"/>
  <c r="F4918" i="1"/>
  <c r="G4918" i="1"/>
  <c r="H4918" i="1"/>
  <c r="I4918" i="1"/>
  <c r="J4918" i="1"/>
  <c r="K4918" i="1"/>
  <c r="L4918" i="1"/>
  <c r="M4918" i="1"/>
  <c r="N4918" i="1"/>
  <c r="A4919" i="1"/>
  <c r="B4919" i="1"/>
  <c r="F4919" i="1"/>
  <c r="G4919" i="1"/>
  <c r="H4919" i="1"/>
  <c r="I4919" i="1"/>
  <c r="J4919" i="1"/>
  <c r="K4919" i="1"/>
  <c r="L4919" i="1"/>
  <c r="M4919" i="1"/>
  <c r="N4919" i="1"/>
  <c r="A4920" i="1"/>
  <c r="B4920" i="1"/>
  <c r="F4920" i="1"/>
  <c r="G4920" i="1"/>
  <c r="H4920" i="1"/>
  <c r="I4920" i="1"/>
  <c r="J4920" i="1"/>
  <c r="K4920" i="1"/>
  <c r="L4920" i="1"/>
  <c r="M4920" i="1"/>
  <c r="N4920" i="1"/>
  <c r="A4921" i="1"/>
  <c r="B4921" i="1"/>
  <c r="F4921" i="1"/>
  <c r="G4921" i="1"/>
  <c r="H4921" i="1"/>
  <c r="I4921" i="1"/>
  <c r="J4921" i="1"/>
  <c r="K4921" i="1"/>
  <c r="L4921" i="1"/>
  <c r="M4921" i="1"/>
  <c r="N4921" i="1"/>
  <c r="A4922" i="1"/>
  <c r="B4922" i="1"/>
  <c r="F4922" i="1"/>
  <c r="G4922" i="1"/>
  <c r="H4922" i="1"/>
  <c r="I4922" i="1"/>
  <c r="J4922" i="1"/>
  <c r="K4922" i="1"/>
  <c r="L4922" i="1"/>
  <c r="M4922" i="1"/>
  <c r="N4922" i="1"/>
  <c r="A4923" i="1"/>
  <c r="B4923" i="1"/>
  <c r="F4923" i="1"/>
  <c r="G4923" i="1"/>
  <c r="H4923" i="1"/>
  <c r="I4923" i="1"/>
  <c r="J4923" i="1"/>
  <c r="K4923" i="1"/>
  <c r="L4923" i="1"/>
  <c r="M4923" i="1"/>
  <c r="N4923" i="1"/>
  <c r="A4924" i="1"/>
  <c r="B4924" i="1"/>
  <c r="F4924" i="1"/>
  <c r="G4924" i="1"/>
  <c r="H4924" i="1"/>
  <c r="I4924" i="1"/>
  <c r="J4924" i="1"/>
  <c r="K4924" i="1"/>
  <c r="L4924" i="1"/>
  <c r="M4924" i="1"/>
  <c r="N4924" i="1"/>
  <c r="A4925" i="1"/>
  <c r="B4925" i="1"/>
  <c r="F4925" i="1"/>
  <c r="G4925" i="1"/>
  <c r="H4925" i="1"/>
  <c r="I4925" i="1"/>
  <c r="J4925" i="1"/>
  <c r="K4925" i="1"/>
  <c r="L4925" i="1"/>
  <c r="M4925" i="1"/>
  <c r="N4925" i="1"/>
  <c r="A4926" i="1"/>
  <c r="B4926" i="1"/>
  <c r="F4926" i="1"/>
  <c r="G4926" i="1"/>
  <c r="H4926" i="1"/>
  <c r="I4926" i="1"/>
  <c r="J4926" i="1"/>
  <c r="K4926" i="1"/>
  <c r="L4926" i="1"/>
  <c r="M4926" i="1"/>
  <c r="N4926" i="1"/>
  <c r="A4927" i="1"/>
  <c r="B4927" i="1"/>
  <c r="F4927" i="1"/>
  <c r="G4927" i="1"/>
  <c r="H4927" i="1"/>
  <c r="I4927" i="1"/>
  <c r="J4927" i="1"/>
  <c r="K4927" i="1"/>
  <c r="L4927" i="1"/>
  <c r="M4927" i="1"/>
  <c r="N4927" i="1"/>
  <c r="A4928" i="1"/>
  <c r="B4928" i="1"/>
  <c r="F4928" i="1"/>
  <c r="G4928" i="1"/>
  <c r="H4928" i="1"/>
  <c r="I4928" i="1"/>
  <c r="J4928" i="1"/>
  <c r="K4928" i="1"/>
  <c r="L4928" i="1"/>
  <c r="M4928" i="1"/>
  <c r="N4928" i="1"/>
  <c r="A4929" i="1"/>
  <c r="B4929" i="1"/>
  <c r="F4929" i="1"/>
  <c r="G4929" i="1"/>
  <c r="H4929" i="1"/>
  <c r="I4929" i="1"/>
  <c r="J4929" i="1"/>
  <c r="K4929" i="1"/>
  <c r="L4929" i="1"/>
  <c r="M4929" i="1"/>
  <c r="N4929" i="1"/>
  <c r="A4930" i="1"/>
  <c r="B4930" i="1"/>
  <c r="F4930" i="1"/>
  <c r="G4930" i="1"/>
  <c r="H4930" i="1"/>
  <c r="I4930" i="1"/>
  <c r="J4930" i="1"/>
  <c r="K4930" i="1"/>
  <c r="L4930" i="1"/>
  <c r="M4930" i="1"/>
  <c r="N4930" i="1"/>
  <c r="A4931" i="1"/>
  <c r="B4931" i="1"/>
  <c r="F4931" i="1"/>
  <c r="G4931" i="1"/>
  <c r="H4931" i="1"/>
  <c r="I4931" i="1"/>
  <c r="J4931" i="1"/>
  <c r="K4931" i="1"/>
  <c r="L4931" i="1"/>
  <c r="M4931" i="1"/>
  <c r="N4931" i="1"/>
  <c r="A4932" i="1"/>
  <c r="B4932" i="1"/>
  <c r="F4932" i="1"/>
  <c r="G4932" i="1"/>
  <c r="H4932" i="1"/>
  <c r="I4932" i="1"/>
  <c r="J4932" i="1"/>
  <c r="K4932" i="1"/>
  <c r="L4932" i="1"/>
  <c r="M4932" i="1"/>
  <c r="N4932" i="1"/>
  <c r="A4933" i="1"/>
  <c r="B4933" i="1"/>
  <c r="F4933" i="1"/>
  <c r="G4933" i="1"/>
  <c r="H4933" i="1"/>
  <c r="I4933" i="1"/>
  <c r="J4933" i="1"/>
  <c r="K4933" i="1"/>
  <c r="L4933" i="1"/>
  <c r="M4933" i="1"/>
  <c r="N4933" i="1"/>
  <c r="A4934" i="1"/>
  <c r="B4934" i="1"/>
  <c r="F4934" i="1"/>
  <c r="G4934" i="1"/>
  <c r="H4934" i="1"/>
  <c r="I4934" i="1"/>
  <c r="J4934" i="1"/>
  <c r="K4934" i="1"/>
  <c r="L4934" i="1"/>
  <c r="M4934" i="1"/>
  <c r="N4934" i="1"/>
  <c r="A4935" i="1"/>
  <c r="B4935" i="1"/>
  <c r="F4935" i="1"/>
  <c r="G4935" i="1"/>
  <c r="H4935" i="1"/>
  <c r="I4935" i="1"/>
  <c r="J4935" i="1"/>
  <c r="K4935" i="1"/>
  <c r="L4935" i="1"/>
  <c r="M4935" i="1"/>
  <c r="N4935" i="1"/>
  <c r="A4936" i="1"/>
  <c r="B4936" i="1"/>
  <c r="F4936" i="1"/>
  <c r="G4936" i="1"/>
  <c r="H4936" i="1"/>
  <c r="I4936" i="1"/>
  <c r="J4936" i="1"/>
  <c r="K4936" i="1"/>
  <c r="L4936" i="1"/>
  <c r="M4936" i="1"/>
  <c r="N4936" i="1"/>
  <c r="A4937" i="1"/>
  <c r="B4937" i="1"/>
  <c r="F4937" i="1"/>
  <c r="G4937" i="1"/>
  <c r="H4937" i="1"/>
  <c r="I4937" i="1"/>
  <c r="J4937" i="1"/>
  <c r="K4937" i="1"/>
  <c r="L4937" i="1"/>
  <c r="M4937" i="1"/>
  <c r="N4937" i="1"/>
  <c r="A4938" i="1"/>
  <c r="B4938" i="1"/>
  <c r="F4938" i="1"/>
  <c r="G4938" i="1"/>
  <c r="H4938" i="1"/>
  <c r="I4938" i="1"/>
  <c r="J4938" i="1"/>
  <c r="K4938" i="1"/>
  <c r="L4938" i="1"/>
  <c r="M4938" i="1"/>
  <c r="N4938" i="1"/>
  <c r="A4939" i="1"/>
  <c r="B4939" i="1"/>
  <c r="F4939" i="1"/>
  <c r="G4939" i="1"/>
  <c r="H4939" i="1"/>
  <c r="I4939" i="1"/>
  <c r="J4939" i="1"/>
  <c r="K4939" i="1"/>
  <c r="L4939" i="1"/>
  <c r="M4939" i="1"/>
  <c r="N4939" i="1"/>
  <c r="A4940" i="1"/>
  <c r="B4940" i="1"/>
  <c r="F4940" i="1"/>
  <c r="G4940" i="1"/>
  <c r="H4940" i="1"/>
  <c r="I4940" i="1"/>
  <c r="J4940" i="1"/>
  <c r="K4940" i="1"/>
  <c r="L4940" i="1"/>
  <c r="M4940" i="1"/>
  <c r="N4940" i="1"/>
  <c r="A4941" i="1"/>
  <c r="B4941" i="1"/>
  <c r="F4941" i="1"/>
  <c r="G4941" i="1"/>
  <c r="H4941" i="1"/>
  <c r="I4941" i="1"/>
  <c r="J4941" i="1"/>
  <c r="K4941" i="1"/>
  <c r="L4941" i="1"/>
  <c r="M4941" i="1"/>
  <c r="N4941" i="1"/>
  <c r="A4942" i="1"/>
  <c r="B4942" i="1"/>
  <c r="F4942" i="1"/>
  <c r="G4942" i="1"/>
  <c r="H4942" i="1"/>
  <c r="I4942" i="1"/>
  <c r="J4942" i="1"/>
  <c r="K4942" i="1"/>
  <c r="L4942" i="1"/>
  <c r="M4942" i="1"/>
  <c r="N4942" i="1"/>
  <c r="A4943" i="1"/>
  <c r="B4943" i="1"/>
  <c r="F4943" i="1"/>
  <c r="G4943" i="1"/>
  <c r="H4943" i="1"/>
  <c r="I4943" i="1"/>
  <c r="J4943" i="1"/>
  <c r="K4943" i="1"/>
  <c r="L4943" i="1"/>
  <c r="M4943" i="1"/>
  <c r="N4943" i="1"/>
  <c r="A4944" i="1"/>
  <c r="B4944" i="1"/>
  <c r="F4944" i="1"/>
  <c r="G4944" i="1"/>
  <c r="H4944" i="1"/>
  <c r="I4944" i="1"/>
  <c r="J4944" i="1"/>
  <c r="K4944" i="1"/>
  <c r="L4944" i="1"/>
  <c r="M4944" i="1"/>
  <c r="N4944" i="1"/>
  <c r="A4945" i="1"/>
  <c r="B4945" i="1"/>
  <c r="F4945" i="1"/>
  <c r="G4945" i="1"/>
  <c r="H4945" i="1"/>
  <c r="I4945" i="1"/>
  <c r="J4945" i="1"/>
  <c r="K4945" i="1"/>
  <c r="L4945" i="1"/>
  <c r="M4945" i="1"/>
  <c r="N4945" i="1"/>
  <c r="A4946" i="1"/>
  <c r="B4946" i="1"/>
  <c r="F4946" i="1"/>
  <c r="G4946" i="1"/>
  <c r="H4946" i="1"/>
  <c r="I4946" i="1"/>
  <c r="J4946" i="1"/>
  <c r="K4946" i="1"/>
  <c r="L4946" i="1"/>
  <c r="M4946" i="1"/>
  <c r="N4946" i="1"/>
  <c r="A4947" i="1"/>
  <c r="B4947" i="1"/>
  <c r="F4947" i="1"/>
  <c r="G4947" i="1"/>
  <c r="H4947" i="1"/>
  <c r="I4947" i="1"/>
  <c r="J4947" i="1"/>
  <c r="K4947" i="1"/>
  <c r="L4947" i="1"/>
  <c r="M4947" i="1"/>
  <c r="N4947" i="1"/>
  <c r="A4948" i="1"/>
  <c r="B4948" i="1"/>
  <c r="F4948" i="1"/>
  <c r="G4948" i="1"/>
  <c r="H4948" i="1"/>
  <c r="I4948" i="1"/>
  <c r="J4948" i="1"/>
  <c r="K4948" i="1"/>
  <c r="L4948" i="1"/>
  <c r="M4948" i="1"/>
  <c r="N4948" i="1"/>
  <c r="A4949" i="1"/>
  <c r="B4949" i="1"/>
  <c r="F4949" i="1"/>
  <c r="G4949" i="1"/>
  <c r="H4949" i="1"/>
  <c r="I4949" i="1"/>
  <c r="J4949" i="1"/>
  <c r="K4949" i="1"/>
  <c r="L4949" i="1"/>
  <c r="M4949" i="1"/>
  <c r="N4949" i="1"/>
  <c r="A4950" i="1"/>
  <c r="B4950" i="1"/>
  <c r="F4950" i="1"/>
  <c r="G4950" i="1"/>
  <c r="H4950" i="1"/>
  <c r="I4950" i="1"/>
  <c r="J4950" i="1"/>
  <c r="K4950" i="1"/>
  <c r="L4950" i="1"/>
  <c r="M4950" i="1"/>
  <c r="N4950" i="1"/>
  <c r="A4951" i="1"/>
  <c r="B4951" i="1"/>
  <c r="F4951" i="1"/>
  <c r="G4951" i="1"/>
  <c r="H4951" i="1"/>
  <c r="I4951" i="1"/>
  <c r="J4951" i="1"/>
  <c r="K4951" i="1"/>
  <c r="L4951" i="1"/>
  <c r="M4951" i="1"/>
  <c r="N4951" i="1"/>
  <c r="A4952" i="1"/>
  <c r="B4952" i="1"/>
  <c r="F4952" i="1"/>
  <c r="G4952" i="1"/>
  <c r="H4952" i="1"/>
  <c r="I4952" i="1"/>
  <c r="J4952" i="1"/>
  <c r="K4952" i="1"/>
  <c r="L4952" i="1"/>
  <c r="M4952" i="1"/>
  <c r="N4952" i="1"/>
  <c r="A4953" i="1"/>
  <c r="B4953" i="1"/>
  <c r="F4953" i="1"/>
  <c r="G4953" i="1"/>
  <c r="H4953" i="1"/>
  <c r="I4953" i="1"/>
  <c r="J4953" i="1"/>
  <c r="K4953" i="1"/>
  <c r="L4953" i="1"/>
  <c r="M4953" i="1"/>
  <c r="N4953" i="1"/>
  <c r="A4954" i="1"/>
  <c r="B4954" i="1"/>
  <c r="F4954" i="1"/>
  <c r="G4954" i="1"/>
  <c r="H4954" i="1"/>
  <c r="I4954" i="1"/>
  <c r="J4954" i="1"/>
  <c r="K4954" i="1"/>
  <c r="L4954" i="1"/>
  <c r="M4954" i="1"/>
  <c r="N4954" i="1"/>
  <c r="A4955" i="1"/>
  <c r="B4955" i="1"/>
  <c r="F4955" i="1"/>
  <c r="G4955" i="1"/>
  <c r="H4955" i="1"/>
  <c r="I4955" i="1"/>
  <c r="J4955" i="1"/>
  <c r="K4955" i="1"/>
  <c r="L4955" i="1"/>
  <c r="M4955" i="1"/>
  <c r="N4955" i="1"/>
  <c r="A4956" i="1"/>
  <c r="B4956" i="1"/>
  <c r="F4956" i="1"/>
  <c r="G4956" i="1"/>
  <c r="H4956" i="1"/>
  <c r="I4956" i="1"/>
  <c r="J4956" i="1"/>
  <c r="K4956" i="1"/>
  <c r="L4956" i="1"/>
  <c r="M4956" i="1"/>
  <c r="N4956" i="1"/>
  <c r="A4957" i="1"/>
  <c r="B4957" i="1"/>
  <c r="F4957" i="1"/>
  <c r="G4957" i="1"/>
  <c r="H4957" i="1"/>
  <c r="I4957" i="1"/>
  <c r="J4957" i="1"/>
  <c r="K4957" i="1"/>
  <c r="L4957" i="1"/>
  <c r="M4957" i="1"/>
  <c r="N4957" i="1"/>
  <c r="A4958" i="1"/>
  <c r="B4958" i="1"/>
  <c r="F4958" i="1"/>
  <c r="G4958" i="1"/>
  <c r="H4958" i="1"/>
  <c r="I4958" i="1"/>
  <c r="J4958" i="1"/>
  <c r="K4958" i="1"/>
  <c r="L4958" i="1"/>
  <c r="M4958" i="1"/>
  <c r="N4958" i="1"/>
  <c r="A4959" i="1"/>
  <c r="B4959" i="1"/>
  <c r="F4959" i="1"/>
  <c r="G4959" i="1"/>
  <c r="H4959" i="1"/>
  <c r="I4959" i="1"/>
  <c r="J4959" i="1"/>
  <c r="K4959" i="1"/>
  <c r="L4959" i="1"/>
  <c r="M4959" i="1"/>
  <c r="N4959" i="1"/>
  <c r="A4960" i="1"/>
  <c r="B4960" i="1"/>
  <c r="F4960" i="1"/>
  <c r="G4960" i="1"/>
  <c r="H4960" i="1"/>
  <c r="I4960" i="1"/>
  <c r="J4960" i="1"/>
  <c r="K4960" i="1"/>
  <c r="L4960" i="1"/>
  <c r="M4960" i="1"/>
  <c r="N4960" i="1"/>
  <c r="A4961" i="1"/>
  <c r="B4961" i="1"/>
  <c r="F4961" i="1"/>
  <c r="G4961" i="1"/>
  <c r="H4961" i="1"/>
  <c r="I4961" i="1"/>
  <c r="J4961" i="1"/>
  <c r="K4961" i="1"/>
  <c r="L4961" i="1"/>
  <c r="M4961" i="1"/>
  <c r="N4961" i="1"/>
  <c r="A4962" i="1"/>
  <c r="B4962" i="1"/>
  <c r="F4962" i="1"/>
  <c r="G4962" i="1"/>
  <c r="H4962" i="1"/>
  <c r="I4962" i="1"/>
  <c r="J4962" i="1"/>
  <c r="K4962" i="1"/>
  <c r="L4962" i="1"/>
  <c r="M4962" i="1"/>
  <c r="N4962" i="1"/>
  <c r="A4963" i="1"/>
  <c r="B4963" i="1"/>
  <c r="F4963" i="1"/>
  <c r="G4963" i="1"/>
  <c r="H4963" i="1"/>
  <c r="I4963" i="1"/>
  <c r="J4963" i="1"/>
  <c r="K4963" i="1"/>
  <c r="L4963" i="1"/>
  <c r="M4963" i="1"/>
  <c r="N4963" i="1"/>
  <c r="A4964" i="1"/>
  <c r="B4964" i="1"/>
  <c r="F4964" i="1"/>
  <c r="G4964" i="1"/>
  <c r="H4964" i="1"/>
  <c r="I4964" i="1"/>
  <c r="J4964" i="1"/>
  <c r="K4964" i="1"/>
  <c r="L4964" i="1"/>
  <c r="M4964" i="1"/>
  <c r="N4964" i="1"/>
  <c r="A4965" i="1"/>
  <c r="B4965" i="1"/>
  <c r="F4965" i="1"/>
  <c r="G4965" i="1"/>
  <c r="H4965" i="1"/>
  <c r="I4965" i="1"/>
  <c r="J4965" i="1"/>
  <c r="K4965" i="1"/>
  <c r="L4965" i="1"/>
  <c r="M4965" i="1"/>
  <c r="N4965" i="1"/>
  <c r="A4966" i="1"/>
  <c r="B4966" i="1"/>
  <c r="F4966" i="1"/>
  <c r="G4966" i="1"/>
  <c r="H4966" i="1"/>
  <c r="I4966" i="1"/>
  <c r="J4966" i="1"/>
  <c r="K4966" i="1"/>
  <c r="L4966" i="1"/>
  <c r="M4966" i="1"/>
  <c r="N4966" i="1"/>
  <c r="A4967" i="1"/>
  <c r="B4967" i="1"/>
  <c r="F4967" i="1"/>
  <c r="G4967" i="1"/>
  <c r="H4967" i="1"/>
  <c r="I4967" i="1"/>
  <c r="J4967" i="1"/>
  <c r="K4967" i="1"/>
  <c r="L4967" i="1"/>
  <c r="M4967" i="1"/>
  <c r="N4967" i="1"/>
  <c r="A4968" i="1"/>
  <c r="B4968" i="1"/>
  <c r="F4968" i="1"/>
  <c r="G4968" i="1"/>
  <c r="H4968" i="1"/>
  <c r="I4968" i="1"/>
  <c r="J4968" i="1"/>
  <c r="K4968" i="1"/>
  <c r="L4968" i="1"/>
  <c r="M4968" i="1"/>
  <c r="N4968" i="1"/>
  <c r="A4969" i="1"/>
  <c r="B4969" i="1"/>
  <c r="F4969" i="1"/>
  <c r="G4969" i="1"/>
  <c r="H4969" i="1"/>
  <c r="I4969" i="1"/>
  <c r="J4969" i="1"/>
  <c r="K4969" i="1"/>
  <c r="L4969" i="1"/>
  <c r="M4969" i="1"/>
  <c r="N4969" i="1"/>
  <c r="A4970" i="1"/>
  <c r="B4970" i="1"/>
  <c r="F4970" i="1"/>
  <c r="G4970" i="1"/>
  <c r="H4970" i="1"/>
  <c r="I4970" i="1"/>
  <c r="J4970" i="1"/>
  <c r="K4970" i="1"/>
  <c r="L4970" i="1"/>
  <c r="M4970" i="1"/>
  <c r="N4970" i="1"/>
  <c r="A4971" i="1"/>
  <c r="B4971" i="1"/>
  <c r="F4971" i="1"/>
  <c r="G4971" i="1"/>
  <c r="H4971" i="1"/>
  <c r="I4971" i="1"/>
  <c r="J4971" i="1"/>
  <c r="K4971" i="1"/>
  <c r="L4971" i="1"/>
  <c r="M4971" i="1"/>
  <c r="N4971" i="1"/>
  <c r="A4972" i="1"/>
  <c r="B4972" i="1"/>
  <c r="F4972" i="1"/>
  <c r="G4972" i="1"/>
  <c r="H4972" i="1"/>
  <c r="I4972" i="1"/>
  <c r="J4972" i="1"/>
  <c r="K4972" i="1"/>
  <c r="L4972" i="1"/>
  <c r="M4972" i="1"/>
  <c r="N4972" i="1"/>
  <c r="A4973" i="1"/>
  <c r="B4973" i="1"/>
  <c r="F4973" i="1"/>
  <c r="G4973" i="1"/>
  <c r="H4973" i="1"/>
  <c r="I4973" i="1"/>
  <c r="J4973" i="1"/>
  <c r="K4973" i="1"/>
  <c r="L4973" i="1"/>
  <c r="M4973" i="1"/>
  <c r="N4973" i="1"/>
  <c r="A4974" i="1"/>
  <c r="B4974" i="1"/>
  <c r="F4974" i="1"/>
  <c r="G4974" i="1"/>
  <c r="H4974" i="1"/>
  <c r="I4974" i="1"/>
  <c r="J4974" i="1"/>
  <c r="K4974" i="1"/>
  <c r="L4974" i="1"/>
  <c r="M4974" i="1"/>
  <c r="N4974" i="1"/>
  <c r="A4975" i="1"/>
  <c r="B4975" i="1"/>
  <c r="F4975" i="1"/>
  <c r="G4975" i="1"/>
  <c r="H4975" i="1"/>
  <c r="I4975" i="1"/>
  <c r="J4975" i="1"/>
  <c r="K4975" i="1"/>
  <c r="L4975" i="1"/>
  <c r="M4975" i="1"/>
  <c r="N4975" i="1"/>
  <c r="A4976" i="1"/>
  <c r="B4976" i="1"/>
  <c r="F4976" i="1"/>
  <c r="G4976" i="1"/>
  <c r="H4976" i="1"/>
  <c r="I4976" i="1"/>
  <c r="J4976" i="1"/>
  <c r="K4976" i="1"/>
  <c r="L4976" i="1"/>
  <c r="M4976" i="1"/>
  <c r="N4976" i="1"/>
  <c r="A4977" i="1"/>
  <c r="B4977" i="1"/>
  <c r="F4977" i="1"/>
  <c r="G4977" i="1"/>
  <c r="H4977" i="1"/>
  <c r="I4977" i="1"/>
  <c r="J4977" i="1"/>
  <c r="K4977" i="1"/>
  <c r="L4977" i="1"/>
  <c r="M4977" i="1"/>
  <c r="N4977" i="1"/>
  <c r="A4978" i="1"/>
  <c r="B4978" i="1"/>
  <c r="F4978" i="1"/>
  <c r="G4978" i="1"/>
  <c r="H4978" i="1"/>
  <c r="I4978" i="1"/>
  <c r="J4978" i="1"/>
  <c r="K4978" i="1"/>
  <c r="L4978" i="1"/>
  <c r="M4978" i="1"/>
  <c r="N4978" i="1"/>
  <c r="A4979" i="1"/>
  <c r="B4979" i="1"/>
  <c r="F4979" i="1"/>
  <c r="G4979" i="1"/>
  <c r="H4979" i="1"/>
  <c r="I4979" i="1"/>
  <c r="J4979" i="1"/>
  <c r="K4979" i="1"/>
  <c r="L4979" i="1"/>
  <c r="M4979" i="1"/>
  <c r="N4979" i="1"/>
  <c r="A4980" i="1"/>
  <c r="B4980" i="1"/>
  <c r="F4980" i="1"/>
  <c r="G4980" i="1"/>
  <c r="H4980" i="1"/>
  <c r="I4980" i="1"/>
  <c r="J4980" i="1"/>
  <c r="K4980" i="1"/>
  <c r="L4980" i="1"/>
  <c r="M4980" i="1"/>
  <c r="N4980" i="1"/>
  <c r="A4981" i="1"/>
  <c r="B4981" i="1"/>
  <c r="F4981" i="1"/>
  <c r="G4981" i="1"/>
  <c r="H4981" i="1"/>
  <c r="I4981" i="1"/>
  <c r="J4981" i="1"/>
  <c r="K4981" i="1"/>
  <c r="L4981" i="1"/>
  <c r="M4981" i="1"/>
  <c r="N4981" i="1"/>
  <c r="A4982" i="1"/>
  <c r="B4982" i="1"/>
  <c r="F4982" i="1"/>
  <c r="G4982" i="1"/>
  <c r="H4982" i="1"/>
  <c r="I4982" i="1"/>
  <c r="J4982" i="1"/>
  <c r="K4982" i="1"/>
  <c r="L4982" i="1"/>
  <c r="M4982" i="1"/>
  <c r="N4982" i="1"/>
  <c r="A4983" i="1"/>
  <c r="B4983" i="1"/>
  <c r="F4983" i="1"/>
  <c r="G4983" i="1"/>
  <c r="H4983" i="1"/>
  <c r="I4983" i="1"/>
  <c r="J4983" i="1"/>
  <c r="K4983" i="1"/>
  <c r="L4983" i="1"/>
  <c r="M4983" i="1"/>
  <c r="N4983" i="1"/>
  <c r="A4984" i="1"/>
  <c r="B4984" i="1"/>
  <c r="F4984" i="1"/>
  <c r="G4984" i="1"/>
  <c r="H4984" i="1"/>
  <c r="I4984" i="1"/>
  <c r="J4984" i="1"/>
  <c r="K4984" i="1"/>
  <c r="L4984" i="1"/>
  <c r="M4984" i="1"/>
  <c r="N4984" i="1"/>
  <c r="A4985" i="1"/>
  <c r="B4985" i="1"/>
  <c r="F4985" i="1"/>
  <c r="G4985" i="1"/>
  <c r="H4985" i="1"/>
  <c r="I4985" i="1"/>
  <c r="J4985" i="1"/>
  <c r="K4985" i="1"/>
  <c r="L4985" i="1"/>
  <c r="M4985" i="1"/>
  <c r="N4985" i="1"/>
  <c r="A4986" i="1"/>
  <c r="B4986" i="1"/>
  <c r="F4986" i="1"/>
  <c r="G4986" i="1"/>
  <c r="H4986" i="1"/>
  <c r="I4986" i="1"/>
  <c r="J4986" i="1"/>
  <c r="K4986" i="1"/>
  <c r="L4986" i="1"/>
  <c r="M4986" i="1"/>
  <c r="N4986" i="1"/>
  <c r="A4987" i="1"/>
  <c r="B4987" i="1"/>
  <c r="F4987" i="1"/>
  <c r="G4987" i="1"/>
  <c r="H4987" i="1"/>
  <c r="I4987" i="1"/>
  <c r="J4987" i="1"/>
  <c r="K4987" i="1"/>
  <c r="L4987" i="1"/>
  <c r="M4987" i="1"/>
  <c r="N4987" i="1"/>
  <c r="A4988" i="1"/>
  <c r="B4988" i="1"/>
  <c r="F4988" i="1"/>
  <c r="G4988" i="1"/>
  <c r="H4988" i="1"/>
  <c r="I4988" i="1"/>
  <c r="J4988" i="1"/>
  <c r="K4988" i="1"/>
  <c r="L4988" i="1"/>
  <c r="M4988" i="1"/>
  <c r="N4988" i="1"/>
  <c r="A4989" i="1"/>
  <c r="B4989" i="1"/>
  <c r="F4989" i="1"/>
  <c r="G4989" i="1"/>
  <c r="H4989" i="1"/>
  <c r="I4989" i="1"/>
  <c r="J4989" i="1"/>
  <c r="K4989" i="1"/>
  <c r="L4989" i="1"/>
  <c r="M4989" i="1"/>
  <c r="N4989" i="1"/>
  <c r="A4990" i="1"/>
  <c r="B4990" i="1"/>
  <c r="F4990" i="1"/>
  <c r="G4990" i="1"/>
  <c r="H4990" i="1"/>
  <c r="I4990" i="1"/>
  <c r="J4990" i="1"/>
  <c r="K4990" i="1"/>
  <c r="L4990" i="1"/>
  <c r="M4990" i="1"/>
  <c r="N4990" i="1"/>
  <c r="A4991" i="1"/>
  <c r="B4991" i="1"/>
  <c r="F4991" i="1"/>
  <c r="G4991" i="1"/>
  <c r="H4991" i="1"/>
  <c r="I4991" i="1"/>
  <c r="J4991" i="1"/>
  <c r="K4991" i="1"/>
  <c r="L4991" i="1"/>
  <c r="M4991" i="1"/>
  <c r="N4991" i="1"/>
  <c r="A4992" i="1"/>
  <c r="B4992" i="1"/>
  <c r="F4992" i="1"/>
  <c r="G4992" i="1"/>
  <c r="H4992" i="1"/>
  <c r="I4992" i="1"/>
  <c r="J4992" i="1"/>
  <c r="K4992" i="1"/>
  <c r="L4992" i="1"/>
  <c r="M4992" i="1"/>
  <c r="N4992" i="1"/>
  <c r="A4993" i="1"/>
  <c r="B4993" i="1"/>
  <c r="F4993" i="1"/>
  <c r="G4993" i="1"/>
  <c r="H4993" i="1"/>
  <c r="I4993" i="1"/>
  <c r="J4993" i="1"/>
  <c r="K4993" i="1"/>
  <c r="L4993" i="1"/>
  <c r="M4993" i="1"/>
  <c r="N4993" i="1"/>
  <c r="A4994" i="1"/>
  <c r="B4994" i="1"/>
  <c r="F4994" i="1"/>
  <c r="G4994" i="1"/>
  <c r="H4994" i="1"/>
  <c r="I4994" i="1"/>
  <c r="J4994" i="1"/>
  <c r="K4994" i="1"/>
  <c r="L4994" i="1"/>
  <c r="M4994" i="1"/>
  <c r="N4994" i="1"/>
  <c r="A4995" i="1"/>
  <c r="B4995" i="1"/>
  <c r="F4995" i="1"/>
  <c r="G4995" i="1"/>
  <c r="H4995" i="1"/>
  <c r="I4995" i="1"/>
  <c r="J4995" i="1"/>
  <c r="K4995" i="1"/>
  <c r="L4995" i="1"/>
  <c r="M4995" i="1"/>
  <c r="N4995" i="1"/>
  <c r="A4996" i="1"/>
  <c r="B4996" i="1"/>
  <c r="F4996" i="1"/>
  <c r="G4996" i="1"/>
  <c r="H4996" i="1"/>
  <c r="I4996" i="1"/>
  <c r="J4996" i="1"/>
  <c r="K4996" i="1"/>
  <c r="L4996" i="1"/>
  <c r="M4996" i="1"/>
  <c r="N4996" i="1"/>
  <c r="A4997" i="1"/>
  <c r="B4997" i="1"/>
  <c r="F4997" i="1"/>
  <c r="G4997" i="1"/>
  <c r="H4997" i="1"/>
  <c r="I4997" i="1"/>
  <c r="J4997" i="1"/>
  <c r="K4997" i="1"/>
  <c r="L4997" i="1"/>
  <c r="M4997" i="1"/>
  <c r="N4997" i="1"/>
  <c r="A4998" i="1"/>
  <c r="B4998" i="1"/>
  <c r="F4998" i="1"/>
  <c r="G4998" i="1"/>
  <c r="H4998" i="1"/>
  <c r="I4998" i="1"/>
  <c r="J4998" i="1"/>
  <c r="K4998" i="1"/>
  <c r="L4998" i="1"/>
  <c r="M4998" i="1"/>
  <c r="N4998" i="1"/>
  <c r="A4999" i="1"/>
  <c r="B4999" i="1"/>
  <c r="F4999" i="1"/>
  <c r="G4999" i="1"/>
  <c r="H4999" i="1"/>
  <c r="I4999" i="1"/>
  <c r="J4999" i="1"/>
  <c r="K4999" i="1"/>
  <c r="L4999" i="1"/>
  <c r="M4999" i="1"/>
  <c r="N4999" i="1"/>
  <c r="A5000" i="1"/>
  <c r="B5000" i="1"/>
  <c r="F5000" i="1"/>
  <c r="G5000" i="1"/>
  <c r="H5000" i="1"/>
  <c r="I5000" i="1"/>
  <c r="J5000" i="1"/>
  <c r="K5000" i="1"/>
  <c r="L5000" i="1"/>
  <c r="M5000" i="1"/>
  <c r="N5000" i="1"/>
  <c r="A5001" i="1"/>
  <c r="B5001" i="1"/>
  <c r="F5001" i="1"/>
  <c r="G5001" i="1"/>
  <c r="H5001" i="1"/>
  <c r="I5001" i="1"/>
  <c r="J5001" i="1"/>
  <c r="K5001" i="1"/>
  <c r="L5001" i="1"/>
  <c r="M5001" i="1"/>
  <c r="N5001" i="1"/>
  <c r="A5002" i="1"/>
  <c r="B5002" i="1"/>
  <c r="F5002" i="1"/>
  <c r="G5002" i="1"/>
  <c r="H5002" i="1"/>
  <c r="I5002" i="1"/>
  <c r="J5002" i="1"/>
  <c r="K5002" i="1"/>
  <c r="L5002" i="1"/>
  <c r="M5002" i="1"/>
  <c r="N5002" i="1"/>
  <c r="A5003" i="1"/>
  <c r="B5003" i="1"/>
  <c r="F5003" i="1"/>
  <c r="G5003" i="1"/>
  <c r="H5003" i="1"/>
  <c r="I5003" i="1"/>
  <c r="J5003" i="1"/>
  <c r="K5003" i="1"/>
  <c r="L5003" i="1"/>
  <c r="M5003" i="1"/>
  <c r="N5003" i="1"/>
  <c r="A5004" i="1"/>
  <c r="B5004" i="1"/>
  <c r="F5004" i="1"/>
  <c r="G5004" i="1"/>
  <c r="H5004" i="1"/>
  <c r="I5004" i="1"/>
  <c r="J5004" i="1"/>
  <c r="K5004" i="1"/>
  <c r="L5004" i="1"/>
  <c r="M5004" i="1"/>
  <c r="N5004" i="1"/>
  <c r="A5005" i="1"/>
  <c r="B5005" i="1"/>
  <c r="F5005" i="1"/>
  <c r="G5005" i="1"/>
  <c r="H5005" i="1"/>
  <c r="I5005" i="1"/>
  <c r="J5005" i="1"/>
  <c r="K5005" i="1"/>
  <c r="L5005" i="1"/>
  <c r="M5005" i="1"/>
  <c r="N5005" i="1"/>
  <c r="A5006" i="1"/>
  <c r="B5006" i="1"/>
  <c r="F5006" i="1"/>
  <c r="G5006" i="1"/>
  <c r="H5006" i="1"/>
  <c r="I5006" i="1"/>
  <c r="J5006" i="1"/>
  <c r="K5006" i="1"/>
  <c r="L5006" i="1"/>
  <c r="M5006" i="1"/>
  <c r="N5006" i="1"/>
  <c r="A5007" i="1"/>
  <c r="B5007" i="1"/>
  <c r="F5007" i="1"/>
  <c r="G5007" i="1"/>
  <c r="H5007" i="1"/>
  <c r="I5007" i="1"/>
  <c r="J5007" i="1"/>
  <c r="K5007" i="1"/>
  <c r="L5007" i="1"/>
  <c r="M5007" i="1"/>
  <c r="N5007" i="1"/>
  <c r="A5008" i="1"/>
  <c r="B5008" i="1"/>
  <c r="F5008" i="1"/>
  <c r="G5008" i="1"/>
  <c r="H5008" i="1"/>
  <c r="I5008" i="1"/>
  <c r="J5008" i="1"/>
  <c r="K5008" i="1"/>
  <c r="L5008" i="1"/>
  <c r="M5008" i="1"/>
  <c r="N5008" i="1"/>
  <c r="A5009" i="1"/>
  <c r="B5009" i="1"/>
  <c r="F5009" i="1"/>
  <c r="G5009" i="1"/>
  <c r="H5009" i="1"/>
  <c r="I5009" i="1"/>
  <c r="J5009" i="1"/>
  <c r="K5009" i="1"/>
  <c r="L5009" i="1"/>
  <c r="M5009" i="1"/>
  <c r="N5009" i="1"/>
  <c r="A5010" i="1"/>
  <c r="B5010" i="1"/>
  <c r="F5010" i="1"/>
  <c r="G5010" i="1"/>
  <c r="H5010" i="1"/>
  <c r="I5010" i="1"/>
  <c r="J5010" i="1"/>
  <c r="K5010" i="1"/>
  <c r="L5010" i="1"/>
  <c r="M5010" i="1"/>
  <c r="N5010" i="1"/>
  <c r="A5011" i="1"/>
  <c r="B5011" i="1"/>
  <c r="F5011" i="1"/>
  <c r="G5011" i="1"/>
  <c r="H5011" i="1"/>
  <c r="I5011" i="1"/>
  <c r="J5011" i="1"/>
  <c r="K5011" i="1"/>
  <c r="L5011" i="1"/>
  <c r="M5011" i="1"/>
  <c r="N5011" i="1"/>
  <c r="A5012" i="1"/>
  <c r="B5012" i="1"/>
  <c r="F5012" i="1"/>
  <c r="G5012" i="1"/>
  <c r="H5012" i="1"/>
  <c r="I5012" i="1"/>
  <c r="J5012" i="1"/>
  <c r="K5012" i="1"/>
  <c r="L5012" i="1"/>
  <c r="M5012" i="1"/>
  <c r="N5012" i="1"/>
  <c r="A5013" i="1"/>
  <c r="B5013" i="1"/>
  <c r="F5013" i="1"/>
  <c r="G5013" i="1"/>
  <c r="H5013" i="1"/>
  <c r="I5013" i="1"/>
  <c r="J5013" i="1"/>
  <c r="K5013" i="1"/>
  <c r="L5013" i="1"/>
  <c r="M5013" i="1"/>
  <c r="N5013" i="1"/>
  <c r="A5014" i="1"/>
  <c r="B5014" i="1"/>
  <c r="F5014" i="1"/>
  <c r="G5014" i="1"/>
  <c r="H5014" i="1"/>
  <c r="I5014" i="1"/>
  <c r="J5014" i="1"/>
  <c r="K5014" i="1"/>
  <c r="L5014" i="1"/>
  <c r="M5014" i="1"/>
  <c r="N5014" i="1"/>
  <c r="A5015" i="1"/>
  <c r="B5015" i="1"/>
  <c r="F5015" i="1"/>
  <c r="G5015" i="1"/>
  <c r="H5015" i="1"/>
  <c r="I5015" i="1"/>
  <c r="J5015" i="1"/>
  <c r="K5015" i="1"/>
  <c r="L5015" i="1"/>
  <c r="M5015" i="1"/>
  <c r="N5015" i="1"/>
  <c r="A5016" i="1"/>
  <c r="B5016" i="1"/>
  <c r="F5016" i="1"/>
  <c r="G5016" i="1"/>
  <c r="H5016" i="1"/>
  <c r="I5016" i="1"/>
  <c r="J5016" i="1"/>
  <c r="K5016" i="1"/>
  <c r="L5016" i="1"/>
  <c r="M5016" i="1"/>
  <c r="N5016" i="1"/>
  <c r="A5017" i="1"/>
  <c r="B5017" i="1"/>
  <c r="F5017" i="1"/>
  <c r="G5017" i="1"/>
  <c r="H5017" i="1"/>
  <c r="I5017" i="1"/>
  <c r="J5017" i="1"/>
  <c r="K5017" i="1"/>
  <c r="L5017" i="1"/>
  <c r="M5017" i="1"/>
  <c r="N5017" i="1"/>
  <c r="A5018" i="1"/>
  <c r="B5018" i="1"/>
  <c r="F5018" i="1"/>
  <c r="G5018" i="1"/>
  <c r="H5018" i="1"/>
  <c r="I5018" i="1"/>
  <c r="J5018" i="1"/>
  <c r="K5018" i="1"/>
  <c r="L5018" i="1"/>
  <c r="M5018" i="1"/>
  <c r="N5018" i="1"/>
  <c r="A5019" i="1"/>
  <c r="B5019" i="1"/>
  <c r="F5019" i="1"/>
  <c r="G5019" i="1"/>
  <c r="H5019" i="1"/>
  <c r="I5019" i="1"/>
  <c r="J5019" i="1"/>
  <c r="K5019" i="1"/>
  <c r="L5019" i="1"/>
  <c r="M5019" i="1"/>
  <c r="N5019" i="1"/>
  <c r="A5020" i="1"/>
  <c r="B5020" i="1"/>
  <c r="F5020" i="1"/>
  <c r="G5020" i="1"/>
  <c r="H5020" i="1"/>
  <c r="I5020" i="1"/>
  <c r="J5020" i="1"/>
  <c r="K5020" i="1"/>
  <c r="L5020" i="1"/>
  <c r="M5020" i="1"/>
  <c r="N5020" i="1"/>
  <c r="A5021" i="1"/>
  <c r="B5021" i="1"/>
  <c r="F5021" i="1"/>
  <c r="G5021" i="1"/>
  <c r="H5021" i="1"/>
  <c r="I5021" i="1"/>
  <c r="J5021" i="1"/>
  <c r="K5021" i="1"/>
  <c r="L5021" i="1"/>
  <c r="M5021" i="1"/>
  <c r="N5021" i="1"/>
  <c r="A5022" i="1"/>
  <c r="B5022" i="1"/>
  <c r="F5022" i="1"/>
  <c r="G5022" i="1"/>
  <c r="H5022" i="1"/>
  <c r="I5022" i="1"/>
  <c r="J5022" i="1"/>
  <c r="K5022" i="1"/>
  <c r="L5022" i="1"/>
  <c r="M5022" i="1"/>
  <c r="N5022" i="1"/>
  <c r="A5023" i="1"/>
  <c r="B5023" i="1"/>
  <c r="F5023" i="1"/>
  <c r="G5023" i="1"/>
  <c r="H5023" i="1"/>
  <c r="I5023" i="1"/>
  <c r="J5023" i="1"/>
  <c r="K5023" i="1"/>
  <c r="L5023" i="1"/>
  <c r="M5023" i="1"/>
  <c r="N5023" i="1"/>
  <c r="A5024" i="1"/>
  <c r="B5024" i="1"/>
  <c r="F5024" i="1"/>
  <c r="G5024" i="1"/>
  <c r="H5024" i="1"/>
  <c r="I5024" i="1"/>
  <c r="J5024" i="1"/>
  <c r="K5024" i="1"/>
  <c r="L5024" i="1"/>
  <c r="M5024" i="1"/>
  <c r="N5024" i="1"/>
  <c r="A5025" i="1"/>
  <c r="B5025" i="1"/>
  <c r="F5025" i="1"/>
  <c r="G5025" i="1"/>
  <c r="H5025" i="1"/>
  <c r="I5025" i="1"/>
  <c r="J5025" i="1"/>
  <c r="K5025" i="1"/>
  <c r="L5025" i="1"/>
  <c r="M5025" i="1"/>
  <c r="N5025" i="1"/>
  <c r="A5026" i="1"/>
  <c r="B5026" i="1"/>
  <c r="F5026" i="1"/>
  <c r="G5026" i="1"/>
  <c r="H5026" i="1"/>
  <c r="I5026" i="1"/>
  <c r="J5026" i="1"/>
  <c r="K5026" i="1"/>
  <c r="L5026" i="1"/>
  <c r="M5026" i="1"/>
  <c r="N5026" i="1"/>
  <c r="A5027" i="1"/>
  <c r="B5027" i="1"/>
  <c r="F5027" i="1"/>
  <c r="G5027" i="1"/>
  <c r="H5027" i="1"/>
  <c r="I5027" i="1"/>
  <c r="J5027" i="1"/>
  <c r="K5027" i="1"/>
  <c r="L5027" i="1"/>
  <c r="M5027" i="1"/>
  <c r="N5027" i="1"/>
  <c r="A5028" i="1"/>
  <c r="B5028" i="1"/>
  <c r="F5028" i="1"/>
  <c r="G5028" i="1"/>
  <c r="H5028" i="1"/>
  <c r="I5028" i="1"/>
  <c r="J5028" i="1"/>
  <c r="K5028" i="1"/>
  <c r="L5028" i="1"/>
  <c r="M5028" i="1"/>
  <c r="N5028" i="1"/>
  <c r="A5029" i="1"/>
  <c r="B5029" i="1"/>
  <c r="F5029" i="1"/>
  <c r="G5029" i="1"/>
  <c r="H5029" i="1"/>
  <c r="I5029" i="1"/>
  <c r="J5029" i="1"/>
  <c r="K5029" i="1"/>
  <c r="L5029" i="1"/>
  <c r="M5029" i="1"/>
  <c r="N5029" i="1"/>
  <c r="A5030" i="1"/>
  <c r="B5030" i="1"/>
  <c r="F5030" i="1"/>
  <c r="G5030" i="1"/>
  <c r="H5030" i="1"/>
  <c r="I5030" i="1"/>
  <c r="J5030" i="1"/>
  <c r="K5030" i="1"/>
  <c r="L5030" i="1"/>
  <c r="M5030" i="1"/>
  <c r="N5030" i="1"/>
  <c r="A5031" i="1"/>
  <c r="B5031" i="1"/>
  <c r="F5031" i="1"/>
  <c r="G5031" i="1"/>
  <c r="H5031" i="1"/>
  <c r="I5031" i="1"/>
  <c r="J5031" i="1"/>
  <c r="K5031" i="1"/>
  <c r="L5031" i="1"/>
  <c r="M5031" i="1"/>
  <c r="N5031" i="1"/>
  <c r="A5032" i="1"/>
  <c r="B5032" i="1"/>
  <c r="F5032" i="1"/>
  <c r="G5032" i="1"/>
  <c r="H5032" i="1"/>
  <c r="I5032" i="1"/>
  <c r="J5032" i="1"/>
  <c r="K5032" i="1"/>
  <c r="L5032" i="1"/>
  <c r="M5032" i="1"/>
  <c r="N5032" i="1"/>
  <c r="A5033" i="1"/>
  <c r="B5033" i="1"/>
  <c r="F5033" i="1"/>
  <c r="G5033" i="1"/>
  <c r="H5033" i="1"/>
  <c r="I5033" i="1"/>
  <c r="J5033" i="1"/>
  <c r="K5033" i="1"/>
  <c r="L5033" i="1"/>
  <c r="M5033" i="1"/>
  <c r="N5033" i="1"/>
  <c r="A5034" i="1"/>
  <c r="B5034" i="1"/>
  <c r="F5034" i="1"/>
  <c r="G5034" i="1"/>
  <c r="H5034" i="1"/>
  <c r="I5034" i="1"/>
  <c r="J5034" i="1"/>
  <c r="K5034" i="1"/>
  <c r="L5034" i="1"/>
  <c r="M5034" i="1"/>
  <c r="N5034" i="1"/>
  <c r="A5035" i="1"/>
  <c r="B5035" i="1"/>
  <c r="F5035" i="1"/>
  <c r="G5035" i="1"/>
  <c r="H5035" i="1"/>
  <c r="I5035" i="1"/>
  <c r="J5035" i="1"/>
  <c r="K5035" i="1"/>
  <c r="L5035" i="1"/>
  <c r="M5035" i="1"/>
  <c r="N5035" i="1"/>
  <c r="A5036" i="1"/>
  <c r="B5036" i="1"/>
  <c r="F5036" i="1"/>
  <c r="G5036" i="1"/>
  <c r="H5036" i="1"/>
  <c r="I5036" i="1"/>
  <c r="J5036" i="1"/>
  <c r="K5036" i="1"/>
  <c r="L5036" i="1"/>
  <c r="M5036" i="1"/>
  <c r="N5036" i="1"/>
  <c r="A5037" i="1"/>
  <c r="B5037" i="1"/>
  <c r="F5037" i="1"/>
  <c r="G5037" i="1"/>
  <c r="H5037" i="1"/>
  <c r="I5037" i="1"/>
  <c r="J5037" i="1"/>
  <c r="K5037" i="1"/>
  <c r="L5037" i="1"/>
  <c r="M5037" i="1"/>
  <c r="N5037" i="1"/>
  <c r="A5038" i="1"/>
  <c r="B5038" i="1"/>
  <c r="F5038" i="1"/>
  <c r="G5038" i="1"/>
  <c r="H5038" i="1"/>
  <c r="I5038" i="1"/>
  <c r="J5038" i="1"/>
  <c r="K5038" i="1"/>
  <c r="L5038" i="1"/>
  <c r="M5038" i="1"/>
  <c r="N5038" i="1"/>
  <c r="A5039" i="1"/>
  <c r="B5039" i="1"/>
  <c r="F5039" i="1"/>
  <c r="G5039" i="1"/>
  <c r="H5039" i="1"/>
  <c r="I5039" i="1"/>
  <c r="J5039" i="1"/>
  <c r="K5039" i="1"/>
  <c r="L5039" i="1"/>
  <c r="M5039" i="1"/>
  <c r="N5039" i="1"/>
  <c r="A5040" i="1"/>
  <c r="B5040" i="1"/>
  <c r="F5040" i="1"/>
  <c r="G5040" i="1"/>
  <c r="H5040" i="1"/>
  <c r="I5040" i="1"/>
  <c r="J5040" i="1"/>
  <c r="K5040" i="1"/>
  <c r="L5040" i="1"/>
  <c r="M5040" i="1"/>
  <c r="N5040" i="1"/>
  <c r="A5041" i="1"/>
  <c r="B5041" i="1"/>
  <c r="F5041" i="1"/>
  <c r="G5041" i="1"/>
  <c r="H5041" i="1"/>
  <c r="I5041" i="1"/>
  <c r="J5041" i="1"/>
  <c r="K5041" i="1"/>
  <c r="L5041" i="1"/>
  <c r="M5041" i="1"/>
  <c r="N5041" i="1"/>
  <c r="A5042" i="1"/>
  <c r="B5042" i="1"/>
  <c r="F5042" i="1"/>
  <c r="G5042" i="1"/>
  <c r="H5042" i="1"/>
  <c r="I5042" i="1"/>
  <c r="J5042" i="1"/>
  <c r="K5042" i="1"/>
  <c r="L5042" i="1"/>
  <c r="M5042" i="1"/>
  <c r="N5042" i="1"/>
  <c r="A5043" i="1"/>
  <c r="B5043" i="1"/>
  <c r="F5043" i="1"/>
  <c r="G5043" i="1"/>
  <c r="H5043" i="1"/>
  <c r="I5043" i="1"/>
  <c r="J5043" i="1"/>
  <c r="K5043" i="1"/>
  <c r="L5043" i="1"/>
  <c r="M5043" i="1"/>
  <c r="N5043" i="1"/>
  <c r="A5044" i="1"/>
  <c r="B5044" i="1"/>
  <c r="F5044" i="1"/>
  <c r="G5044" i="1"/>
  <c r="H5044" i="1"/>
  <c r="I5044" i="1"/>
  <c r="J5044" i="1"/>
  <c r="K5044" i="1"/>
  <c r="L5044" i="1"/>
  <c r="M5044" i="1"/>
  <c r="N5044" i="1"/>
  <c r="A5045" i="1"/>
  <c r="B5045" i="1"/>
  <c r="F5045" i="1"/>
  <c r="G5045" i="1"/>
  <c r="H5045" i="1"/>
  <c r="I5045" i="1"/>
  <c r="J5045" i="1"/>
  <c r="K5045" i="1"/>
  <c r="L5045" i="1"/>
  <c r="M5045" i="1"/>
  <c r="N5045" i="1"/>
  <c r="A5046" i="1"/>
  <c r="B5046" i="1"/>
  <c r="F5046" i="1"/>
  <c r="G5046" i="1"/>
  <c r="H5046" i="1"/>
  <c r="I5046" i="1"/>
  <c r="J5046" i="1"/>
  <c r="K5046" i="1"/>
  <c r="L5046" i="1"/>
  <c r="M5046" i="1"/>
  <c r="N5046" i="1"/>
  <c r="A5047" i="1"/>
  <c r="B5047" i="1"/>
  <c r="F5047" i="1"/>
  <c r="G5047" i="1"/>
  <c r="H5047" i="1"/>
  <c r="I5047" i="1"/>
  <c r="J5047" i="1"/>
  <c r="K5047" i="1"/>
  <c r="L5047" i="1"/>
  <c r="M5047" i="1"/>
  <c r="N5047" i="1"/>
  <c r="A5048" i="1"/>
  <c r="B5048" i="1"/>
  <c r="F5048" i="1"/>
  <c r="G5048" i="1"/>
  <c r="H5048" i="1"/>
  <c r="I5048" i="1"/>
  <c r="J5048" i="1"/>
  <c r="K5048" i="1"/>
  <c r="L5048" i="1"/>
  <c r="M5048" i="1"/>
  <c r="N5048" i="1"/>
  <c r="A5049" i="1"/>
  <c r="B5049" i="1"/>
  <c r="F5049" i="1"/>
  <c r="G5049" i="1"/>
  <c r="H5049" i="1"/>
  <c r="I5049" i="1"/>
  <c r="J5049" i="1"/>
  <c r="K5049" i="1"/>
  <c r="L5049" i="1"/>
  <c r="M5049" i="1"/>
  <c r="N5049" i="1"/>
  <c r="A5050" i="1"/>
  <c r="B5050" i="1"/>
  <c r="F5050" i="1"/>
  <c r="G5050" i="1"/>
  <c r="H5050" i="1"/>
  <c r="I5050" i="1"/>
  <c r="J5050" i="1"/>
  <c r="K5050" i="1"/>
  <c r="L5050" i="1"/>
  <c r="M5050" i="1"/>
  <c r="N5050" i="1"/>
  <c r="A5051" i="1"/>
  <c r="B5051" i="1"/>
  <c r="F5051" i="1"/>
  <c r="G5051" i="1"/>
  <c r="H5051" i="1"/>
  <c r="I5051" i="1"/>
  <c r="J5051" i="1"/>
  <c r="K5051" i="1"/>
  <c r="L5051" i="1"/>
  <c r="M5051" i="1"/>
  <c r="N5051" i="1"/>
  <c r="A5052" i="1"/>
  <c r="B5052" i="1"/>
  <c r="F5052" i="1"/>
  <c r="G5052" i="1"/>
  <c r="H5052" i="1"/>
  <c r="I5052" i="1"/>
  <c r="J5052" i="1"/>
  <c r="K5052" i="1"/>
  <c r="L5052" i="1"/>
  <c r="M5052" i="1"/>
  <c r="N5052" i="1"/>
  <c r="A5053" i="1"/>
  <c r="B5053" i="1"/>
  <c r="F5053" i="1"/>
  <c r="G5053" i="1"/>
  <c r="H5053" i="1"/>
  <c r="I5053" i="1"/>
  <c r="J5053" i="1"/>
  <c r="K5053" i="1"/>
  <c r="L5053" i="1"/>
  <c r="M5053" i="1"/>
  <c r="N5053" i="1"/>
  <c r="A5054" i="1"/>
  <c r="B5054" i="1"/>
  <c r="F5054" i="1"/>
  <c r="G5054" i="1"/>
  <c r="H5054" i="1"/>
  <c r="I5054" i="1"/>
  <c r="J5054" i="1"/>
  <c r="K5054" i="1"/>
  <c r="L5054" i="1"/>
  <c r="M5054" i="1"/>
  <c r="N5054" i="1"/>
  <c r="A5055" i="1"/>
  <c r="B5055" i="1"/>
  <c r="F5055" i="1"/>
  <c r="G5055" i="1"/>
  <c r="H5055" i="1"/>
  <c r="I5055" i="1"/>
  <c r="J5055" i="1"/>
  <c r="K5055" i="1"/>
  <c r="L5055" i="1"/>
  <c r="M5055" i="1"/>
  <c r="N5055" i="1"/>
  <c r="A5056" i="1"/>
  <c r="B5056" i="1"/>
  <c r="F5056" i="1"/>
  <c r="G5056" i="1"/>
  <c r="H5056" i="1"/>
  <c r="I5056" i="1"/>
  <c r="J5056" i="1"/>
  <c r="K5056" i="1"/>
  <c r="L5056" i="1"/>
  <c r="M5056" i="1"/>
  <c r="N5056" i="1"/>
  <c r="A5057" i="1"/>
  <c r="B5057" i="1"/>
  <c r="F5057" i="1"/>
  <c r="G5057" i="1"/>
  <c r="H5057" i="1"/>
  <c r="I5057" i="1"/>
  <c r="J5057" i="1"/>
  <c r="K5057" i="1"/>
  <c r="L5057" i="1"/>
  <c r="M5057" i="1"/>
  <c r="N5057" i="1"/>
  <c r="A5058" i="1"/>
  <c r="B5058" i="1"/>
  <c r="F5058" i="1"/>
  <c r="G5058" i="1"/>
  <c r="H5058" i="1"/>
  <c r="I5058" i="1"/>
  <c r="J5058" i="1"/>
  <c r="K5058" i="1"/>
  <c r="L5058" i="1"/>
  <c r="M5058" i="1"/>
  <c r="N5058" i="1"/>
  <c r="A5059" i="1"/>
  <c r="B5059" i="1"/>
  <c r="F5059" i="1"/>
  <c r="G5059" i="1"/>
  <c r="H5059" i="1"/>
  <c r="I5059" i="1"/>
  <c r="J5059" i="1"/>
  <c r="K5059" i="1"/>
  <c r="L5059" i="1"/>
  <c r="M5059" i="1"/>
  <c r="N5059" i="1"/>
  <c r="A5060" i="1"/>
  <c r="B5060" i="1"/>
  <c r="F5060" i="1"/>
  <c r="G5060" i="1"/>
  <c r="H5060" i="1"/>
  <c r="I5060" i="1"/>
  <c r="J5060" i="1"/>
  <c r="K5060" i="1"/>
  <c r="L5060" i="1"/>
  <c r="M5060" i="1"/>
  <c r="N5060" i="1"/>
  <c r="A5061" i="1"/>
  <c r="B5061" i="1"/>
  <c r="F5061" i="1"/>
  <c r="G5061" i="1"/>
  <c r="H5061" i="1"/>
  <c r="I5061" i="1"/>
  <c r="J5061" i="1"/>
  <c r="K5061" i="1"/>
  <c r="L5061" i="1"/>
  <c r="M5061" i="1"/>
  <c r="N5061" i="1"/>
  <c r="A5062" i="1"/>
  <c r="B5062" i="1"/>
  <c r="F5062" i="1"/>
  <c r="G5062" i="1"/>
  <c r="H5062" i="1"/>
  <c r="I5062" i="1"/>
  <c r="J5062" i="1"/>
  <c r="K5062" i="1"/>
  <c r="L5062" i="1"/>
  <c r="M5062" i="1"/>
  <c r="N5062" i="1"/>
  <c r="A5063" i="1"/>
  <c r="B5063" i="1"/>
  <c r="F5063" i="1"/>
  <c r="G5063" i="1"/>
  <c r="H5063" i="1"/>
  <c r="I5063" i="1"/>
  <c r="J5063" i="1"/>
  <c r="K5063" i="1"/>
  <c r="L5063" i="1"/>
  <c r="M5063" i="1"/>
  <c r="N5063" i="1"/>
  <c r="A5064" i="1"/>
  <c r="B5064" i="1"/>
  <c r="F5064" i="1"/>
  <c r="G5064" i="1"/>
  <c r="H5064" i="1"/>
  <c r="I5064" i="1"/>
  <c r="J5064" i="1"/>
  <c r="K5064" i="1"/>
  <c r="L5064" i="1"/>
  <c r="M5064" i="1"/>
  <c r="N5064" i="1"/>
  <c r="A5065" i="1"/>
  <c r="B5065" i="1"/>
  <c r="F5065" i="1"/>
  <c r="G5065" i="1"/>
  <c r="H5065" i="1"/>
  <c r="I5065" i="1"/>
  <c r="J5065" i="1"/>
  <c r="K5065" i="1"/>
  <c r="L5065" i="1"/>
  <c r="M5065" i="1"/>
  <c r="N5065" i="1"/>
  <c r="A5066" i="1"/>
  <c r="B5066" i="1"/>
  <c r="F5066" i="1"/>
  <c r="G5066" i="1"/>
  <c r="H5066" i="1"/>
  <c r="I5066" i="1"/>
  <c r="J5066" i="1"/>
  <c r="K5066" i="1"/>
  <c r="L5066" i="1"/>
  <c r="M5066" i="1"/>
  <c r="N5066" i="1"/>
  <c r="A5067" i="1"/>
  <c r="B5067" i="1"/>
  <c r="F5067" i="1"/>
  <c r="G5067" i="1"/>
  <c r="H5067" i="1"/>
  <c r="I5067" i="1"/>
  <c r="J5067" i="1"/>
  <c r="K5067" i="1"/>
  <c r="L5067" i="1"/>
  <c r="M5067" i="1"/>
  <c r="N5067" i="1"/>
  <c r="A5068" i="1"/>
  <c r="B5068" i="1"/>
  <c r="F5068" i="1"/>
  <c r="G5068" i="1"/>
  <c r="H5068" i="1"/>
  <c r="I5068" i="1"/>
  <c r="J5068" i="1"/>
  <c r="K5068" i="1"/>
  <c r="L5068" i="1"/>
  <c r="M5068" i="1"/>
  <c r="N5068" i="1"/>
  <c r="A5069" i="1"/>
  <c r="B5069" i="1"/>
  <c r="F5069" i="1"/>
  <c r="G5069" i="1"/>
  <c r="H5069" i="1"/>
  <c r="I5069" i="1"/>
  <c r="J5069" i="1"/>
  <c r="K5069" i="1"/>
  <c r="L5069" i="1"/>
  <c r="M5069" i="1"/>
  <c r="N5069" i="1"/>
  <c r="A5070" i="1"/>
  <c r="B5070" i="1"/>
  <c r="F5070" i="1"/>
  <c r="G5070" i="1"/>
  <c r="H5070" i="1"/>
  <c r="I5070" i="1"/>
  <c r="J5070" i="1"/>
  <c r="K5070" i="1"/>
  <c r="L5070" i="1"/>
  <c r="M5070" i="1"/>
  <c r="N5070" i="1"/>
  <c r="A5071" i="1"/>
  <c r="B5071" i="1"/>
  <c r="F5071" i="1"/>
  <c r="G5071" i="1"/>
  <c r="H5071" i="1"/>
  <c r="I5071" i="1"/>
  <c r="J5071" i="1"/>
  <c r="K5071" i="1"/>
  <c r="L5071" i="1"/>
  <c r="M5071" i="1"/>
  <c r="N5071" i="1"/>
  <c r="A5072" i="1"/>
  <c r="B5072" i="1"/>
  <c r="F5072" i="1"/>
  <c r="G5072" i="1"/>
  <c r="H5072" i="1"/>
  <c r="I5072" i="1"/>
  <c r="J5072" i="1"/>
  <c r="K5072" i="1"/>
  <c r="L5072" i="1"/>
  <c r="M5072" i="1"/>
  <c r="N5072" i="1"/>
  <c r="A5073" i="1"/>
  <c r="B5073" i="1"/>
  <c r="F5073" i="1"/>
  <c r="G5073" i="1"/>
  <c r="H5073" i="1"/>
  <c r="I5073" i="1"/>
  <c r="J5073" i="1"/>
  <c r="K5073" i="1"/>
  <c r="L5073" i="1"/>
  <c r="M5073" i="1"/>
  <c r="N5073" i="1"/>
  <c r="A5074" i="1"/>
  <c r="B5074" i="1"/>
  <c r="F5074" i="1"/>
  <c r="G5074" i="1"/>
  <c r="H5074" i="1"/>
  <c r="I5074" i="1"/>
  <c r="J5074" i="1"/>
  <c r="K5074" i="1"/>
  <c r="L5074" i="1"/>
  <c r="M5074" i="1"/>
  <c r="N5074" i="1"/>
  <c r="A5075" i="1"/>
  <c r="B5075" i="1"/>
  <c r="F5075" i="1"/>
  <c r="G5075" i="1"/>
  <c r="H5075" i="1"/>
  <c r="I5075" i="1"/>
  <c r="J5075" i="1"/>
  <c r="K5075" i="1"/>
  <c r="L5075" i="1"/>
  <c r="M5075" i="1"/>
  <c r="N5075" i="1"/>
  <c r="A5076" i="1"/>
  <c r="B5076" i="1"/>
  <c r="F5076" i="1"/>
  <c r="G5076" i="1"/>
  <c r="H5076" i="1"/>
  <c r="I5076" i="1"/>
  <c r="J5076" i="1"/>
  <c r="K5076" i="1"/>
  <c r="L5076" i="1"/>
  <c r="M5076" i="1"/>
  <c r="N5076" i="1"/>
  <c r="A5077" i="1"/>
  <c r="B5077" i="1"/>
  <c r="F5077" i="1"/>
  <c r="G5077" i="1"/>
  <c r="H5077" i="1"/>
  <c r="I5077" i="1"/>
  <c r="J5077" i="1"/>
  <c r="K5077" i="1"/>
  <c r="L5077" i="1"/>
  <c r="M5077" i="1"/>
  <c r="N5077" i="1"/>
  <c r="A5078" i="1"/>
  <c r="B5078" i="1"/>
  <c r="F5078" i="1"/>
  <c r="G5078" i="1"/>
  <c r="H5078" i="1"/>
  <c r="I5078" i="1"/>
  <c r="J5078" i="1"/>
  <c r="K5078" i="1"/>
  <c r="L5078" i="1"/>
  <c r="M5078" i="1"/>
  <c r="N5078" i="1"/>
  <c r="A5079" i="1"/>
  <c r="B5079" i="1"/>
  <c r="F5079" i="1"/>
  <c r="G5079" i="1"/>
  <c r="H5079" i="1"/>
  <c r="I5079" i="1"/>
  <c r="J5079" i="1"/>
  <c r="K5079" i="1"/>
  <c r="L5079" i="1"/>
  <c r="M5079" i="1"/>
  <c r="N5079" i="1"/>
  <c r="A5080" i="1"/>
  <c r="B5080" i="1"/>
  <c r="F5080" i="1"/>
  <c r="G5080" i="1"/>
  <c r="H5080" i="1"/>
  <c r="I5080" i="1"/>
  <c r="J5080" i="1"/>
  <c r="K5080" i="1"/>
  <c r="L5080" i="1"/>
  <c r="M5080" i="1"/>
  <c r="N5080" i="1"/>
  <c r="A5081" i="1"/>
  <c r="B5081" i="1"/>
  <c r="F5081" i="1"/>
  <c r="G5081" i="1"/>
  <c r="H5081" i="1"/>
  <c r="I5081" i="1"/>
  <c r="J5081" i="1"/>
  <c r="K5081" i="1"/>
  <c r="L5081" i="1"/>
  <c r="M5081" i="1"/>
  <c r="N5081" i="1"/>
  <c r="A5082" i="1"/>
  <c r="B5082" i="1"/>
  <c r="F5082" i="1"/>
  <c r="G5082" i="1"/>
  <c r="H5082" i="1"/>
  <c r="I5082" i="1"/>
  <c r="J5082" i="1"/>
  <c r="K5082" i="1"/>
  <c r="L5082" i="1"/>
  <c r="M5082" i="1"/>
  <c r="N5082" i="1"/>
  <c r="A5083" i="1"/>
  <c r="B5083" i="1"/>
  <c r="F5083" i="1"/>
  <c r="G5083" i="1"/>
  <c r="H5083" i="1"/>
  <c r="I5083" i="1"/>
  <c r="J5083" i="1"/>
  <c r="K5083" i="1"/>
  <c r="L5083" i="1"/>
  <c r="M5083" i="1"/>
  <c r="N5083" i="1"/>
  <c r="A5084" i="1"/>
  <c r="B5084" i="1"/>
  <c r="F5084" i="1"/>
  <c r="G5084" i="1"/>
  <c r="H5084" i="1"/>
  <c r="I5084" i="1"/>
  <c r="J5084" i="1"/>
  <c r="K5084" i="1"/>
  <c r="L5084" i="1"/>
  <c r="M5084" i="1"/>
  <c r="N5084" i="1"/>
  <c r="A5085" i="1"/>
  <c r="B5085" i="1"/>
  <c r="F5085" i="1"/>
  <c r="G5085" i="1"/>
  <c r="H5085" i="1"/>
  <c r="I5085" i="1"/>
  <c r="J5085" i="1"/>
  <c r="K5085" i="1"/>
  <c r="L5085" i="1"/>
  <c r="M5085" i="1"/>
  <c r="N5085" i="1"/>
  <c r="A5086" i="1"/>
  <c r="B5086" i="1"/>
  <c r="F5086" i="1"/>
  <c r="G5086" i="1"/>
  <c r="H5086" i="1"/>
  <c r="I5086" i="1"/>
  <c r="J5086" i="1"/>
  <c r="K5086" i="1"/>
  <c r="L5086" i="1"/>
  <c r="M5086" i="1"/>
  <c r="N5086" i="1"/>
  <c r="A5087" i="1"/>
  <c r="B5087" i="1"/>
  <c r="F5087" i="1"/>
  <c r="G5087" i="1"/>
  <c r="H5087" i="1"/>
  <c r="I5087" i="1"/>
  <c r="J5087" i="1"/>
  <c r="K5087" i="1"/>
  <c r="L5087" i="1"/>
  <c r="M5087" i="1"/>
  <c r="N5087" i="1"/>
  <c r="A5088" i="1"/>
  <c r="B5088" i="1"/>
  <c r="F5088" i="1"/>
  <c r="G5088" i="1"/>
  <c r="H5088" i="1"/>
  <c r="I5088" i="1"/>
  <c r="J5088" i="1"/>
  <c r="K5088" i="1"/>
  <c r="L5088" i="1"/>
  <c r="M5088" i="1"/>
  <c r="N5088" i="1"/>
  <c r="A5089" i="1"/>
  <c r="B5089" i="1"/>
  <c r="F5089" i="1"/>
  <c r="G5089" i="1"/>
  <c r="H5089" i="1"/>
  <c r="I5089" i="1"/>
  <c r="J5089" i="1"/>
  <c r="K5089" i="1"/>
  <c r="L5089" i="1"/>
  <c r="M5089" i="1"/>
  <c r="N5089" i="1"/>
  <c r="A5090" i="1"/>
  <c r="B5090" i="1"/>
  <c r="F5090" i="1"/>
  <c r="G5090" i="1"/>
  <c r="H5090" i="1"/>
  <c r="I5090" i="1"/>
  <c r="J5090" i="1"/>
  <c r="K5090" i="1"/>
  <c r="L5090" i="1"/>
  <c r="M5090" i="1"/>
  <c r="N5090" i="1"/>
  <c r="A5091" i="1"/>
  <c r="B5091" i="1"/>
  <c r="F5091" i="1"/>
  <c r="G5091" i="1"/>
  <c r="H5091" i="1"/>
  <c r="I5091" i="1"/>
  <c r="J5091" i="1"/>
  <c r="K5091" i="1"/>
  <c r="L5091" i="1"/>
  <c r="M5091" i="1"/>
  <c r="N5091" i="1"/>
  <c r="A5092" i="1"/>
  <c r="B5092" i="1"/>
  <c r="F5092" i="1"/>
  <c r="G5092" i="1"/>
  <c r="H5092" i="1"/>
  <c r="I5092" i="1"/>
  <c r="J5092" i="1"/>
  <c r="K5092" i="1"/>
  <c r="L5092" i="1"/>
  <c r="M5092" i="1"/>
  <c r="N5092" i="1"/>
  <c r="A5093" i="1"/>
  <c r="B5093" i="1"/>
  <c r="F5093" i="1"/>
  <c r="G5093" i="1"/>
  <c r="H5093" i="1"/>
  <c r="I5093" i="1"/>
  <c r="J5093" i="1"/>
  <c r="K5093" i="1"/>
  <c r="L5093" i="1"/>
  <c r="M5093" i="1"/>
  <c r="N5093" i="1"/>
  <c r="A5094" i="1"/>
  <c r="B5094" i="1"/>
  <c r="F5094" i="1"/>
  <c r="G5094" i="1"/>
  <c r="H5094" i="1"/>
  <c r="I5094" i="1"/>
  <c r="J5094" i="1"/>
  <c r="K5094" i="1"/>
  <c r="L5094" i="1"/>
  <c r="M5094" i="1"/>
  <c r="N5094" i="1"/>
  <c r="A5095" i="1"/>
  <c r="B5095" i="1"/>
  <c r="F5095" i="1"/>
  <c r="G5095" i="1"/>
  <c r="H5095" i="1"/>
  <c r="I5095" i="1"/>
  <c r="J5095" i="1"/>
  <c r="K5095" i="1"/>
  <c r="L5095" i="1"/>
  <c r="M5095" i="1"/>
  <c r="N5095" i="1"/>
  <c r="A5096" i="1"/>
  <c r="B5096" i="1"/>
  <c r="F5096" i="1"/>
  <c r="G5096" i="1"/>
  <c r="H5096" i="1"/>
  <c r="I5096" i="1"/>
  <c r="J5096" i="1"/>
  <c r="K5096" i="1"/>
  <c r="L5096" i="1"/>
  <c r="M5096" i="1"/>
  <c r="N5096" i="1"/>
  <c r="A5097" i="1"/>
  <c r="B5097" i="1"/>
  <c r="F5097" i="1"/>
  <c r="G5097" i="1"/>
  <c r="H5097" i="1"/>
  <c r="I5097" i="1"/>
  <c r="J5097" i="1"/>
  <c r="K5097" i="1"/>
  <c r="L5097" i="1"/>
  <c r="M5097" i="1"/>
  <c r="N5097" i="1"/>
  <c r="A5098" i="1"/>
  <c r="B5098" i="1"/>
  <c r="F5098" i="1"/>
  <c r="G5098" i="1"/>
  <c r="H5098" i="1"/>
  <c r="I5098" i="1"/>
  <c r="J5098" i="1"/>
  <c r="K5098" i="1"/>
  <c r="L5098" i="1"/>
  <c r="M5098" i="1"/>
  <c r="N5098" i="1"/>
  <c r="A5099" i="1"/>
  <c r="B5099" i="1"/>
  <c r="F5099" i="1"/>
  <c r="G5099" i="1"/>
  <c r="H5099" i="1"/>
  <c r="I5099" i="1"/>
  <c r="J5099" i="1"/>
  <c r="K5099" i="1"/>
  <c r="L5099" i="1"/>
  <c r="M5099" i="1"/>
  <c r="N5099" i="1"/>
  <c r="A5100" i="1"/>
  <c r="B5100" i="1"/>
  <c r="F5100" i="1"/>
  <c r="G5100" i="1"/>
  <c r="H5100" i="1"/>
  <c r="I5100" i="1"/>
  <c r="J5100" i="1"/>
  <c r="K5100" i="1"/>
  <c r="L5100" i="1"/>
  <c r="M5100" i="1"/>
  <c r="N5100" i="1"/>
  <c r="A5101" i="1"/>
  <c r="B5101" i="1"/>
  <c r="F5101" i="1"/>
  <c r="G5101" i="1"/>
  <c r="H5101" i="1"/>
  <c r="I5101" i="1"/>
  <c r="J5101" i="1"/>
  <c r="K5101" i="1"/>
  <c r="L5101" i="1"/>
  <c r="M5101" i="1"/>
  <c r="N5101" i="1"/>
  <c r="A5102" i="1"/>
  <c r="B5102" i="1"/>
  <c r="F5102" i="1"/>
  <c r="G5102" i="1"/>
  <c r="H5102" i="1"/>
  <c r="I5102" i="1"/>
  <c r="J5102" i="1"/>
  <c r="K5102" i="1"/>
  <c r="L5102" i="1"/>
  <c r="M5102" i="1"/>
  <c r="N5102" i="1"/>
  <c r="A5103" i="1"/>
  <c r="B5103" i="1"/>
  <c r="F5103" i="1"/>
  <c r="G5103" i="1"/>
  <c r="H5103" i="1"/>
  <c r="I5103" i="1"/>
  <c r="J5103" i="1"/>
  <c r="K5103" i="1"/>
  <c r="L5103" i="1"/>
  <c r="M5103" i="1"/>
  <c r="N5103" i="1"/>
  <c r="A5104" i="1"/>
  <c r="B5104" i="1"/>
  <c r="F5104" i="1"/>
  <c r="G5104" i="1"/>
  <c r="H5104" i="1"/>
  <c r="I5104" i="1"/>
  <c r="J5104" i="1"/>
  <c r="K5104" i="1"/>
  <c r="L5104" i="1"/>
  <c r="M5104" i="1"/>
  <c r="N5104" i="1"/>
  <c r="A5105" i="1"/>
  <c r="B5105" i="1"/>
  <c r="F5105" i="1"/>
  <c r="G5105" i="1"/>
  <c r="H5105" i="1"/>
  <c r="I5105" i="1"/>
  <c r="J5105" i="1"/>
  <c r="K5105" i="1"/>
  <c r="L5105" i="1"/>
  <c r="M5105" i="1"/>
  <c r="N5105" i="1"/>
  <c r="A5106" i="1"/>
  <c r="B5106" i="1"/>
  <c r="F5106" i="1"/>
  <c r="G5106" i="1"/>
  <c r="H5106" i="1"/>
  <c r="I5106" i="1"/>
  <c r="J5106" i="1"/>
  <c r="K5106" i="1"/>
  <c r="L5106" i="1"/>
  <c r="M5106" i="1"/>
  <c r="N5106" i="1"/>
  <c r="A5107" i="1"/>
  <c r="B5107" i="1"/>
  <c r="F5107" i="1"/>
  <c r="G5107" i="1"/>
  <c r="H5107" i="1"/>
  <c r="I5107" i="1"/>
  <c r="J5107" i="1"/>
  <c r="K5107" i="1"/>
  <c r="L5107" i="1"/>
  <c r="M5107" i="1"/>
  <c r="N5107" i="1"/>
  <c r="A5108" i="1"/>
  <c r="B5108" i="1"/>
  <c r="F5108" i="1"/>
  <c r="G5108" i="1"/>
  <c r="H5108" i="1"/>
  <c r="I5108" i="1"/>
  <c r="J5108" i="1"/>
  <c r="K5108" i="1"/>
  <c r="L5108" i="1"/>
  <c r="M5108" i="1"/>
  <c r="N5108" i="1"/>
  <c r="A5109" i="1"/>
  <c r="B5109" i="1"/>
  <c r="F5109" i="1"/>
  <c r="G5109" i="1"/>
  <c r="H5109" i="1"/>
  <c r="I5109" i="1"/>
  <c r="J5109" i="1"/>
  <c r="K5109" i="1"/>
  <c r="L5109" i="1"/>
  <c r="M5109" i="1"/>
  <c r="N5109" i="1"/>
  <c r="A5110" i="1"/>
  <c r="B5110" i="1"/>
  <c r="F5110" i="1"/>
  <c r="G5110" i="1"/>
  <c r="H5110" i="1"/>
  <c r="I5110" i="1"/>
  <c r="J5110" i="1"/>
  <c r="K5110" i="1"/>
  <c r="L5110" i="1"/>
  <c r="M5110" i="1"/>
  <c r="N5110" i="1"/>
  <c r="A5111" i="1"/>
  <c r="B5111" i="1"/>
  <c r="F5111" i="1"/>
  <c r="G5111" i="1"/>
  <c r="H5111" i="1"/>
  <c r="I5111" i="1"/>
  <c r="J5111" i="1"/>
  <c r="K5111" i="1"/>
  <c r="L5111" i="1"/>
  <c r="M5111" i="1"/>
  <c r="N5111" i="1"/>
  <c r="A5112" i="1"/>
  <c r="B5112" i="1"/>
  <c r="F5112" i="1"/>
  <c r="G5112" i="1"/>
  <c r="H5112" i="1"/>
  <c r="I5112" i="1"/>
  <c r="J5112" i="1"/>
  <c r="K5112" i="1"/>
  <c r="L5112" i="1"/>
  <c r="M5112" i="1"/>
  <c r="N5112" i="1"/>
  <c r="A5113" i="1"/>
  <c r="B5113" i="1"/>
  <c r="F5113" i="1"/>
  <c r="G5113" i="1"/>
  <c r="H5113" i="1"/>
  <c r="I5113" i="1"/>
  <c r="J5113" i="1"/>
  <c r="K5113" i="1"/>
  <c r="L5113" i="1"/>
  <c r="M5113" i="1"/>
  <c r="N5113" i="1"/>
  <c r="A5114" i="1"/>
  <c r="B5114" i="1"/>
  <c r="F5114" i="1"/>
  <c r="G5114" i="1"/>
  <c r="H5114" i="1"/>
  <c r="I5114" i="1"/>
  <c r="J5114" i="1"/>
  <c r="K5114" i="1"/>
  <c r="L5114" i="1"/>
  <c r="M5114" i="1"/>
  <c r="N5114" i="1"/>
  <c r="A5115" i="1"/>
  <c r="B5115" i="1"/>
  <c r="F5115" i="1"/>
  <c r="G5115" i="1"/>
  <c r="H5115" i="1"/>
  <c r="I5115" i="1"/>
  <c r="J5115" i="1"/>
  <c r="K5115" i="1"/>
  <c r="L5115" i="1"/>
  <c r="M5115" i="1"/>
  <c r="N5115" i="1"/>
  <c r="A5116" i="1"/>
  <c r="B5116" i="1"/>
  <c r="F5116" i="1"/>
  <c r="G5116" i="1"/>
  <c r="H5116" i="1"/>
  <c r="I5116" i="1"/>
  <c r="J5116" i="1"/>
  <c r="K5116" i="1"/>
  <c r="L5116" i="1"/>
  <c r="M5116" i="1"/>
  <c r="N5116" i="1"/>
  <c r="A5117" i="1"/>
  <c r="B5117" i="1"/>
  <c r="F5117" i="1"/>
  <c r="G5117" i="1"/>
  <c r="H5117" i="1"/>
  <c r="I5117" i="1"/>
  <c r="J5117" i="1"/>
  <c r="K5117" i="1"/>
  <c r="L5117" i="1"/>
  <c r="M5117" i="1"/>
  <c r="N5117" i="1"/>
  <c r="A5118" i="1"/>
  <c r="B5118" i="1"/>
  <c r="F5118" i="1"/>
  <c r="G5118" i="1"/>
  <c r="H5118" i="1"/>
  <c r="I5118" i="1"/>
  <c r="J5118" i="1"/>
  <c r="K5118" i="1"/>
  <c r="L5118" i="1"/>
  <c r="M5118" i="1"/>
  <c r="N5118" i="1"/>
  <c r="A5119" i="1"/>
  <c r="B5119" i="1"/>
  <c r="F5119" i="1"/>
  <c r="G5119" i="1"/>
  <c r="H5119" i="1"/>
  <c r="I5119" i="1"/>
  <c r="J5119" i="1"/>
  <c r="K5119" i="1"/>
  <c r="L5119" i="1"/>
  <c r="M5119" i="1"/>
  <c r="N5119" i="1"/>
  <c r="A5120" i="1"/>
  <c r="B5120" i="1"/>
  <c r="F5120" i="1"/>
  <c r="G5120" i="1"/>
  <c r="H5120" i="1"/>
  <c r="I5120" i="1"/>
  <c r="J5120" i="1"/>
  <c r="K5120" i="1"/>
  <c r="L5120" i="1"/>
  <c r="M5120" i="1"/>
  <c r="N5120" i="1"/>
  <c r="A5121" i="1"/>
  <c r="B5121" i="1"/>
  <c r="F5121" i="1"/>
  <c r="G5121" i="1"/>
  <c r="H5121" i="1"/>
  <c r="I5121" i="1"/>
  <c r="J5121" i="1"/>
  <c r="K5121" i="1"/>
  <c r="L5121" i="1"/>
  <c r="M5121" i="1"/>
  <c r="N5121" i="1"/>
  <c r="A5122" i="1"/>
  <c r="B5122" i="1"/>
  <c r="F5122" i="1"/>
  <c r="G5122" i="1"/>
  <c r="H5122" i="1"/>
  <c r="I5122" i="1"/>
  <c r="J5122" i="1"/>
  <c r="K5122" i="1"/>
  <c r="L5122" i="1"/>
  <c r="M5122" i="1"/>
  <c r="N5122" i="1"/>
  <c r="A5123" i="1"/>
  <c r="B5123" i="1"/>
  <c r="F5123" i="1"/>
  <c r="G5123" i="1"/>
  <c r="H5123" i="1"/>
  <c r="I5123" i="1"/>
  <c r="J5123" i="1"/>
  <c r="K5123" i="1"/>
  <c r="L5123" i="1"/>
  <c r="M5123" i="1"/>
  <c r="N5123" i="1"/>
  <c r="A5124" i="1"/>
  <c r="B5124" i="1"/>
  <c r="F5124" i="1"/>
  <c r="G5124" i="1"/>
  <c r="H5124" i="1"/>
  <c r="I5124" i="1"/>
  <c r="J5124" i="1"/>
  <c r="K5124" i="1"/>
  <c r="L5124" i="1"/>
  <c r="M5124" i="1"/>
  <c r="N5124" i="1"/>
  <c r="A5125" i="1"/>
  <c r="B5125" i="1"/>
  <c r="F5125" i="1"/>
  <c r="G5125" i="1"/>
  <c r="H5125" i="1"/>
  <c r="I5125" i="1"/>
  <c r="J5125" i="1"/>
  <c r="K5125" i="1"/>
  <c r="L5125" i="1"/>
  <c r="M5125" i="1"/>
  <c r="N5125" i="1"/>
  <c r="A5126" i="1"/>
  <c r="B5126" i="1"/>
  <c r="F5126" i="1"/>
  <c r="G5126" i="1"/>
  <c r="H5126" i="1"/>
  <c r="I5126" i="1"/>
  <c r="J5126" i="1"/>
  <c r="K5126" i="1"/>
  <c r="L5126" i="1"/>
  <c r="M5126" i="1"/>
  <c r="N5126" i="1"/>
  <c r="A5127" i="1"/>
  <c r="B5127" i="1"/>
  <c r="F5127" i="1"/>
  <c r="G5127" i="1"/>
  <c r="H5127" i="1"/>
  <c r="I5127" i="1"/>
  <c r="J5127" i="1"/>
  <c r="K5127" i="1"/>
  <c r="L5127" i="1"/>
  <c r="M5127" i="1"/>
  <c r="N5127" i="1"/>
  <c r="A5128" i="1"/>
  <c r="B5128" i="1"/>
  <c r="F5128" i="1"/>
  <c r="G5128" i="1"/>
  <c r="H5128" i="1"/>
  <c r="I5128" i="1"/>
  <c r="J5128" i="1"/>
  <c r="K5128" i="1"/>
  <c r="L5128" i="1"/>
  <c r="M5128" i="1"/>
  <c r="N5128" i="1"/>
  <c r="A5129" i="1"/>
  <c r="B5129" i="1"/>
  <c r="F5129" i="1"/>
  <c r="G5129" i="1"/>
  <c r="H5129" i="1"/>
  <c r="I5129" i="1"/>
  <c r="J5129" i="1"/>
  <c r="K5129" i="1"/>
  <c r="L5129" i="1"/>
  <c r="M5129" i="1"/>
  <c r="N5129" i="1"/>
  <c r="A5130" i="1"/>
  <c r="B5130" i="1"/>
  <c r="F5130" i="1"/>
  <c r="G5130" i="1"/>
  <c r="H5130" i="1"/>
  <c r="I5130" i="1"/>
  <c r="J5130" i="1"/>
  <c r="K5130" i="1"/>
  <c r="L5130" i="1"/>
  <c r="M5130" i="1"/>
  <c r="N5130" i="1"/>
  <c r="A5131" i="1"/>
  <c r="B5131" i="1"/>
  <c r="F5131" i="1"/>
  <c r="G5131" i="1"/>
  <c r="H5131" i="1"/>
  <c r="I5131" i="1"/>
  <c r="J5131" i="1"/>
  <c r="K5131" i="1"/>
  <c r="L5131" i="1"/>
  <c r="M5131" i="1"/>
  <c r="N5131" i="1"/>
  <c r="A5132" i="1"/>
  <c r="B5132" i="1"/>
  <c r="F5132" i="1"/>
  <c r="G5132" i="1"/>
  <c r="H5132" i="1"/>
  <c r="I5132" i="1"/>
  <c r="J5132" i="1"/>
  <c r="K5132" i="1"/>
  <c r="L5132" i="1"/>
  <c r="M5132" i="1"/>
  <c r="N5132" i="1"/>
  <c r="A5133" i="1"/>
  <c r="B5133" i="1"/>
  <c r="F5133" i="1"/>
  <c r="G5133" i="1"/>
  <c r="H5133" i="1"/>
  <c r="I5133" i="1"/>
  <c r="J5133" i="1"/>
  <c r="K5133" i="1"/>
  <c r="L5133" i="1"/>
  <c r="M5133" i="1"/>
  <c r="N5133" i="1"/>
  <c r="A5134" i="1"/>
  <c r="B5134" i="1"/>
  <c r="F5134" i="1"/>
  <c r="G5134" i="1"/>
  <c r="H5134" i="1"/>
  <c r="I5134" i="1"/>
  <c r="J5134" i="1"/>
  <c r="K5134" i="1"/>
  <c r="L5134" i="1"/>
  <c r="M5134" i="1"/>
  <c r="N5134" i="1"/>
  <c r="A5135" i="1"/>
  <c r="B5135" i="1"/>
  <c r="F5135" i="1"/>
  <c r="G5135" i="1"/>
  <c r="H5135" i="1"/>
  <c r="I5135" i="1"/>
  <c r="J5135" i="1"/>
  <c r="K5135" i="1"/>
  <c r="L5135" i="1"/>
  <c r="M5135" i="1"/>
  <c r="N5135" i="1"/>
  <c r="A5136" i="1"/>
  <c r="B5136" i="1"/>
  <c r="F5136" i="1"/>
  <c r="G5136" i="1"/>
  <c r="H5136" i="1"/>
  <c r="I5136" i="1"/>
  <c r="J5136" i="1"/>
  <c r="K5136" i="1"/>
  <c r="L5136" i="1"/>
  <c r="M5136" i="1"/>
  <c r="N5136" i="1"/>
  <c r="A5137" i="1"/>
  <c r="B5137" i="1"/>
  <c r="F5137" i="1"/>
  <c r="G5137" i="1"/>
  <c r="H5137" i="1"/>
  <c r="I5137" i="1"/>
  <c r="J5137" i="1"/>
  <c r="K5137" i="1"/>
  <c r="L5137" i="1"/>
  <c r="M5137" i="1"/>
  <c r="N5137" i="1"/>
  <c r="A5138" i="1"/>
  <c r="B5138" i="1"/>
  <c r="F5138" i="1"/>
  <c r="G5138" i="1"/>
  <c r="H5138" i="1"/>
  <c r="I5138" i="1"/>
  <c r="J5138" i="1"/>
  <c r="K5138" i="1"/>
  <c r="L5138" i="1"/>
  <c r="M5138" i="1"/>
  <c r="N5138" i="1"/>
  <c r="A5139" i="1"/>
  <c r="B5139" i="1"/>
  <c r="F5139" i="1"/>
  <c r="G5139" i="1"/>
  <c r="H5139" i="1"/>
  <c r="I5139" i="1"/>
  <c r="J5139" i="1"/>
  <c r="K5139" i="1"/>
  <c r="L5139" i="1"/>
  <c r="M5139" i="1"/>
  <c r="N5139" i="1"/>
  <c r="A5140" i="1"/>
  <c r="B5140" i="1"/>
  <c r="F5140" i="1"/>
  <c r="G5140" i="1"/>
  <c r="H5140" i="1"/>
  <c r="I5140" i="1"/>
  <c r="J5140" i="1"/>
  <c r="K5140" i="1"/>
  <c r="L5140" i="1"/>
  <c r="M5140" i="1"/>
  <c r="N5140" i="1"/>
  <c r="A5141" i="1"/>
  <c r="B5141" i="1"/>
  <c r="F5141" i="1"/>
  <c r="G5141" i="1"/>
  <c r="H5141" i="1"/>
  <c r="I5141" i="1"/>
  <c r="J5141" i="1"/>
  <c r="K5141" i="1"/>
  <c r="L5141" i="1"/>
  <c r="M5141" i="1"/>
  <c r="N5141" i="1"/>
  <c r="A5142" i="1"/>
  <c r="B5142" i="1"/>
  <c r="F5142" i="1"/>
  <c r="G5142" i="1"/>
  <c r="H5142" i="1"/>
  <c r="I5142" i="1"/>
  <c r="J5142" i="1"/>
  <c r="K5142" i="1"/>
  <c r="L5142" i="1"/>
  <c r="M5142" i="1"/>
  <c r="N5142" i="1"/>
  <c r="A5143" i="1"/>
  <c r="B5143" i="1"/>
  <c r="F5143" i="1"/>
  <c r="G5143" i="1"/>
  <c r="H5143" i="1"/>
  <c r="I5143" i="1"/>
  <c r="J5143" i="1"/>
  <c r="K5143" i="1"/>
  <c r="L5143" i="1"/>
  <c r="M5143" i="1"/>
  <c r="N5143" i="1"/>
  <c r="A5144" i="1"/>
  <c r="B5144" i="1"/>
  <c r="F5144" i="1"/>
  <c r="G5144" i="1"/>
  <c r="H5144" i="1"/>
  <c r="I5144" i="1"/>
  <c r="J5144" i="1"/>
  <c r="K5144" i="1"/>
  <c r="L5144" i="1"/>
  <c r="M5144" i="1"/>
  <c r="N5144" i="1"/>
  <c r="A5145" i="1"/>
  <c r="B5145" i="1"/>
  <c r="F5145" i="1"/>
  <c r="G5145" i="1"/>
  <c r="H5145" i="1"/>
  <c r="I5145" i="1"/>
  <c r="J5145" i="1"/>
  <c r="K5145" i="1"/>
  <c r="L5145" i="1"/>
  <c r="M5145" i="1"/>
  <c r="N5145" i="1"/>
  <c r="A5146" i="1"/>
  <c r="B5146" i="1"/>
  <c r="F5146" i="1"/>
  <c r="G5146" i="1"/>
  <c r="H5146" i="1"/>
  <c r="I5146" i="1"/>
  <c r="J5146" i="1"/>
  <c r="K5146" i="1"/>
  <c r="L5146" i="1"/>
  <c r="M5146" i="1"/>
  <c r="N5146" i="1"/>
  <c r="A5147" i="1"/>
  <c r="B5147" i="1"/>
  <c r="F5147" i="1"/>
  <c r="G5147" i="1"/>
  <c r="H5147" i="1"/>
  <c r="I5147" i="1"/>
  <c r="J5147" i="1"/>
  <c r="K5147" i="1"/>
  <c r="L5147" i="1"/>
  <c r="M5147" i="1"/>
  <c r="N5147" i="1"/>
  <c r="A5148" i="1"/>
  <c r="B5148" i="1"/>
  <c r="F5148" i="1"/>
  <c r="G5148" i="1"/>
  <c r="H5148" i="1"/>
  <c r="I5148" i="1"/>
  <c r="J5148" i="1"/>
  <c r="K5148" i="1"/>
  <c r="L5148" i="1"/>
  <c r="M5148" i="1"/>
  <c r="N5148" i="1"/>
  <c r="A5149" i="1"/>
  <c r="B5149" i="1"/>
  <c r="F5149" i="1"/>
  <c r="G5149" i="1"/>
  <c r="H5149" i="1"/>
  <c r="I5149" i="1"/>
  <c r="J5149" i="1"/>
  <c r="K5149" i="1"/>
  <c r="L5149" i="1"/>
  <c r="M5149" i="1"/>
  <c r="N5149" i="1"/>
  <c r="A5150" i="1"/>
  <c r="B5150" i="1"/>
  <c r="F5150" i="1"/>
  <c r="G5150" i="1"/>
  <c r="H5150" i="1"/>
  <c r="I5150" i="1"/>
  <c r="J5150" i="1"/>
  <c r="K5150" i="1"/>
  <c r="L5150" i="1"/>
  <c r="M5150" i="1"/>
  <c r="N5150" i="1"/>
  <c r="A5151" i="1"/>
  <c r="B5151" i="1"/>
  <c r="F5151" i="1"/>
  <c r="G5151" i="1"/>
  <c r="H5151" i="1"/>
  <c r="I5151" i="1"/>
  <c r="J5151" i="1"/>
  <c r="K5151" i="1"/>
  <c r="L5151" i="1"/>
  <c r="M5151" i="1"/>
  <c r="N5151" i="1"/>
  <c r="A5152" i="1"/>
  <c r="B5152" i="1"/>
  <c r="F5152" i="1"/>
  <c r="G5152" i="1"/>
  <c r="H5152" i="1"/>
  <c r="I5152" i="1"/>
  <c r="J5152" i="1"/>
  <c r="K5152" i="1"/>
  <c r="L5152" i="1"/>
  <c r="M5152" i="1"/>
  <c r="N5152" i="1"/>
  <c r="A5153" i="1"/>
  <c r="B5153" i="1"/>
  <c r="F5153" i="1"/>
  <c r="G5153" i="1"/>
  <c r="H5153" i="1"/>
  <c r="I5153" i="1"/>
  <c r="J5153" i="1"/>
  <c r="K5153" i="1"/>
  <c r="L5153" i="1"/>
  <c r="M5153" i="1"/>
  <c r="N5153" i="1"/>
  <c r="A5154" i="1"/>
  <c r="B5154" i="1"/>
  <c r="F5154" i="1"/>
  <c r="G5154" i="1"/>
  <c r="H5154" i="1"/>
  <c r="I5154" i="1"/>
  <c r="J5154" i="1"/>
  <c r="K5154" i="1"/>
  <c r="L5154" i="1"/>
  <c r="M5154" i="1"/>
  <c r="N5154" i="1"/>
  <c r="A5155" i="1"/>
  <c r="B5155" i="1"/>
  <c r="F5155" i="1"/>
  <c r="G5155" i="1"/>
  <c r="H5155" i="1"/>
  <c r="I5155" i="1"/>
  <c r="J5155" i="1"/>
  <c r="K5155" i="1"/>
  <c r="L5155" i="1"/>
  <c r="M5155" i="1"/>
  <c r="N5155" i="1"/>
  <c r="A5156" i="1"/>
  <c r="B5156" i="1"/>
  <c r="F5156" i="1"/>
  <c r="G5156" i="1"/>
  <c r="H5156" i="1"/>
  <c r="I5156" i="1"/>
  <c r="J5156" i="1"/>
  <c r="K5156" i="1"/>
  <c r="L5156" i="1"/>
  <c r="M5156" i="1"/>
  <c r="N5156" i="1"/>
  <c r="A5157" i="1"/>
  <c r="B5157" i="1"/>
  <c r="F5157" i="1"/>
  <c r="G5157" i="1"/>
  <c r="H5157" i="1"/>
  <c r="I5157" i="1"/>
  <c r="J5157" i="1"/>
  <c r="K5157" i="1"/>
  <c r="L5157" i="1"/>
  <c r="M5157" i="1"/>
  <c r="N5157" i="1"/>
  <c r="A5158" i="1"/>
  <c r="B5158" i="1"/>
  <c r="F5158" i="1"/>
  <c r="G5158" i="1"/>
  <c r="H5158" i="1"/>
  <c r="I5158" i="1"/>
  <c r="J5158" i="1"/>
  <c r="K5158" i="1"/>
  <c r="L5158" i="1"/>
  <c r="M5158" i="1"/>
  <c r="N5158" i="1"/>
  <c r="A5159" i="1"/>
  <c r="B5159" i="1"/>
  <c r="F5159" i="1"/>
  <c r="G5159" i="1"/>
  <c r="H5159" i="1"/>
  <c r="I5159" i="1"/>
  <c r="J5159" i="1"/>
  <c r="K5159" i="1"/>
  <c r="L5159" i="1"/>
  <c r="M5159" i="1"/>
  <c r="N5159" i="1"/>
  <c r="A5160" i="1"/>
  <c r="B5160" i="1"/>
  <c r="F5160" i="1"/>
  <c r="G5160" i="1"/>
  <c r="H5160" i="1"/>
  <c r="I5160" i="1"/>
  <c r="J5160" i="1"/>
  <c r="K5160" i="1"/>
  <c r="L5160" i="1"/>
  <c r="M5160" i="1"/>
  <c r="N5160" i="1"/>
  <c r="A5161" i="1"/>
  <c r="B5161" i="1"/>
  <c r="F5161" i="1"/>
  <c r="G5161" i="1"/>
  <c r="H5161" i="1"/>
  <c r="I5161" i="1"/>
  <c r="J5161" i="1"/>
  <c r="K5161" i="1"/>
  <c r="L5161" i="1"/>
  <c r="M5161" i="1"/>
  <c r="N5161" i="1"/>
  <c r="A5162" i="1"/>
  <c r="B5162" i="1"/>
  <c r="F5162" i="1"/>
  <c r="G5162" i="1"/>
  <c r="H5162" i="1"/>
  <c r="I5162" i="1"/>
  <c r="J5162" i="1"/>
  <c r="K5162" i="1"/>
  <c r="L5162" i="1"/>
  <c r="M5162" i="1"/>
  <c r="N5162" i="1"/>
  <c r="A5163" i="1"/>
  <c r="B5163" i="1"/>
  <c r="F5163" i="1"/>
  <c r="G5163" i="1"/>
  <c r="H5163" i="1"/>
  <c r="I5163" i="1"/>
  <c r="J5163" i="1"/>
  <c r="K5163" i="1"/>
  <c r="L5163" i="1"/>
  <c r="M5163" i="1"/>
  <c r="N5163" i="1"/>
  <c r="A5164" i="1"/>
  <c r="B5164" i="1"/>
  <c r="F5164" i="1"/>
  <c r="G5164" i="1"/>
  <c r="H5164" i="1"/>
  <c r="I5164" i="1"/>
  <c r="J5164" i="1"/>
  <c r="K5164" i="1"/>
  <c r="L5164" i="1"/>
  <c r="M5164" i="1"/>
  <c r="N5164" i="1"/>
  <c r="A5165" i="1"/>
  <c r="B5165" i="1"/>
  <c r="F5165" i="1"/>
  <c r="G5165" i="1"/>
  <c r="H5165" i="1"/>
  <c r="I5165" i="1"/>
  <c r="J5165" i="1"/>
  <c r="K5165" i="1"/>
  <c r="L5165" i="1"/>
  <c r="M5165" i="1"/>
  <c r="N5165" i="1"/>
  <c r="A5166" i="1"/>
  <c r="B5166" i="1"/>
  <c r="F5166" i="1"/>
  <c r="G5166" i="1"/>
  <c r="H5166" i="1"/>
  <c r="I5166" i="1"/>
  <c r="J5166" i="1"/>
  <c r="K5166" i="1"/>
  <c r="L5166" i="1"/>
  <c r="M5166" i="1"/>
  <c r="N5166" i="1"/>
  <c r="A5167" i="1"/>
  <c r="B5167" i="1"/>
  <c r="F5167" i="1"/>
  <c r="G5167" i="1"/>
  <c r="H5167" i="1"/>
  <c r="I5167" i="1"/>
  <c r="J5167" i="1"/>
  <c r="K5167" i="1"/>
  <c r="L5167" i="1"/>
  <c r="M5167" i="1"/>
  <c r="N5167" i="1"/>
  <c r="A5168" i="1"/>
  <c r="B5168" i="1"/>
  <c r="F5168" i="1"/>
  <c r="G5168" i="1"/>
  <c r="H5168" i="1"/>
  <c r="I5168" i="1"/>
  <c r="J5168" i="1"/>
  <c r="K5168" i="1"/>
  <c r="L5168" i="1"/>
  <c r="M5168" i="1"/>
  <c r="N5168" i="1"/>
  <c r="A5169" i="1"/>
  <c r="B5169" i="1"/>
  <c r="F5169" i="1"/>
  <c r="G5169" i="1"/>
  <c r="H5169" i="1"/>
  <c r="I5169" i="1"/>
  <c r="J5169" i="1"/>
  <c r="K5169" i="1"/>
  <c r="L5169" i="1"/>
  <c r="M5169" i="1"/>
  <c r="N5169" i="1"/>
  <c r="A5170" i="1"/>
  <c r="B5170" i="1"/>
  <c r="F5170" i="1"/>
  <c r="G5170" i="1"/>
  <c r="H5170" i="1"/>
  <c r="I5170" i="1"/>
  <c r="J5170" i="1"/>
  <c r="K5170" i="1"/>
  <c r="L5170" i="1"/>
  <c r="M5170" i="1"/>
  <c r="N5170" i="1"/>
  <c r="A5171" i="1"/>
  <c r="B5171" i="1"/>
  <c r="F5171" i="1"/>
  <c r="G5171" i="1"/>
  <c r="H5171" i="1"/>
  <c r="I5171" i="1"/>
  <c r="J5171" i="1"/>
  <c r="K5171" i="1"/>
  <c r="L5171" i="1"/>
  <c r="M5171" i="1"/>
  <c r="N5171" i="1"/>
  <c r="A5172" i="1"/>
  <c r="B5172" i="1"/>
  <c r="F5172" i="1"/>
  <c r="G5172" i="1"/>
  <c r="H5172" i="1"/>
  <c r="I5172" i="1"/>
  <c r="J5172" i="1"/>
  <c r="K5172" i="1"/>
  <c r="L5172" i="1"/>
  <c r="M5172" i="1"/>
  <c r="N5172" i="1"/>
  <c r="A5173" i="1"/>
  <c r="B5173" i="1"/>
  <c r="F5173" i="1"/>
  <c r="G5173" i="1"/>
  <c r="H5173" i="1"/>
  <c r="I5173" i="1"/>
  <c r="J5173" i="1"/>
  <c r="K5173" i="1"/>
  <c r="L5173" i="1"/>
  <c r="M5173" i="1"/>
  <c r="N5173" i="1"/>
  <c r="A5174" i="1"/>
  <c r="B5174" i="1"/>
  <c r="F5174" i="1"/>
  <c r="G5174" i="1"/>
  <c r="H5174" i="1"/>
  <c r="I5174" i="1"/>
  <c r="J5174" i="1"/>
  <c r="K5174" i="1"/>
  <c r="L5174" i="1"/>
  <c r="M5174" i="1"/>
  <c r="N5174" i="1"/>
  <c r="A5175" i="1"/>
  <c r="B5175" i="1"/>
  <c r="F5175" i="1"/>
  <c r="G5175" i="1"/>
  <c r="H5175" i="1"/>
  <c r="I5175" i="1"/>
  <c r="J5175" i="1"/>
  <c r="K5175" i="1"/>
  <c r="L5175" i="1"/>
  <c r="M5175" i="1"/>
  <c r="N5175" i="1"/>
  <c r="A5176" i="1"/>
  <c r="B5176" i="1"/>
  <c r="F5176" i="1"/>
  <c r="G5176" i="1"/>
  <c r="H5176" i="1"/>
  <c r="I5176" i="1"/>
  <c r="J5176" i="1"/>
  <c r="K5176" i="1"/>
  <c r="L5176" i="1"/>
  <c r="M5176" i="1"/>
  <c r="N5176" i="1"/>
  <c r="A5177" i="1"/>
  <c r="B5177" i="1"/>
  <c r="F5177" i="1"/>
  <c r="G5177" i="1"/>
  <c r="H5177" i="1"/>
  <c r="I5177" i="1"/>
  <c r="J5177" i="1"/>
  <c r="K5177" i="1"/>
  <c r="L5177" i="1"/>
  <c r="M5177" i="1"/>
  <c r="N5177" i="1"/>
  <c r="A5178" i="1"/>
  <c r="B5178" i="1"/>
  <c r="F5178" i="1"/>
  <c r="G5178" i="1"/>
  <c r="H5178" i="1"/>
  <c r="I5178" i="1"/>
  <c r="J5178" i="1"/>
  <c r="K5178" i="1"/>
  <c r="L5178" i="1"/>
  <c r="M5178" i="1"/>
  <c r="N5178" i="1"/>
  <c r="A5179" i="1"/>
  <c r="B5179" i="1"/>
  <c r="F5179" i="1"/>
  <c r="G5179" i="1"/>
  <c r="H5179" i="1"/>
  <c r="I5179" i="1"/>
  <c r="J5179" i="1"/>
  <c r="K5179" i="1"/>
  <c r="L5179" i="1"/>
  <c r="M5179" i="1"/>
  <c r="N5179" i="1"/>
  <c r="A5180" i="1"/>
  <c r="B5180" i="1"/>
  <c r="F5180" i="1"/>
  <c r="G5180" i="1"/>
  <c r="H5180" i="1"/>
  <c r="I5180" i="1"/>
  <c r="J5180" i="1"/>
  <c r="K5180" i="1"/>
  <c r="L5180" i="1"/>
  <c r="M5180" i="1"/>
  <c r="N5180" i="1"/>
  <c r="A5181" i="1"/>
  <c r="B5181" i="1"/>
  <c r="F5181" i="1"/>
  <c r="G5181" i="1"/>
  <c r="H5181" i="1"/>
  <c r="I5181" i="1"/>
  <c r="J5181" i="1"/>
  <c r="K5181" i="1"/>
  <c r="L5181" i="1"/>
  <c r="M5181" i="1"/>
  <c r="N5181" i="1"/>
  <c r="A5182" i="1"/>
  <c r="B5182" i="1"/>
  <c r="F5182" i="1"/>
  <c r="G5182" i="1"/>
  <c r="H5182" i="1"/>
  <c r="I5182" i="1"/>
  <c r="J5182" i="1"/>
  <c r="K5182" i="1"/>
  <c r="L5182" i="1"/>
  <c r="M5182" i="1"/>
  <c r="N5182" i="1"/>
  <c r="A5183" i="1"/>
  <c r="B5183" i="1"/>
  <c r="F5183" i="1"/>
  <c r="G5183" i="1"/>
  <c r="H5183" i="1"/>
  <c r="I5183" i="1"/>
  <c r="J5183" i="1"/>
  <c r="K5183" i="1"/>
  <c r="L5183" i="1"/>
  <c r="M5183" i="1"/>
  <c r="N5183" i="1"/>
  <c r="A5184" i="1"/>
  <c r="B5184" i="1"/>
  <c r="F5184" i="1"/>
  <c r="G5184" i="1"/>
  <c r="H5184" i="1"/>
  <c r="I5184" i="1"/>
  <c r="J5184" i="1"/>
  <c r="K5184" i="1"/>
  <c r="L5184" i="1"/>
  <c r="M5184" i="1"/>
  <c r="N5184" i="1"/>
  <c r="A5185" i="1"/>
  <c r="B5185" i="1"/>
  <c r="F5185" i="1"/>
  <c r="G5185" i="1"/>
  <c r="H5185" i="1"/>
  <c r="I5185" i="1"/>
  <c r="J5185" i="1"/>
  <c r="K5185" i="1"/>
  <c r="L5185" i="1"/>
  <c r="M5185" i="1"/>
  <c r="N5185" i="1"/>
  <c r="A5186" i="1"/>
  <c r="B5186" i="1"/>
  <c r="F5186" i="1"/>
  <c r="G5186" i="1"/>
  <c r="H5186" i="1"/>
  <c r="I5186" i="1"/>
  <c r="J5186" i="1"/>
  <c r="K5186" i="1"/>
  <c r="L5186" i="1"/>
  <c r="M5186" i="1"/>
  <c r="N5186" i="1"/>
  <c r="A5187" i="1"/>
  <c r="B5187" i="1"/>
  <c r="F5187" i="1"/>
  <c r="G5187" i="1"/>
  <c r="H5187" i="1"/>
  <c r="I5187" i="1"/>
  <c r="J5187" i="1"/>
  <c r="K5187" i="1"/>
  <c r="L5187" i="1"/>
  <c r="M5187" i="1"/>
  <c r="N5187" i="1"/>
  <c r="A5188" i="1"/>
  <c r="B5188" i="1"/>
  <c r="F5188" i="1"/>
  <c r="G5188" i="1"/>
  <c r="H5188" i="1"/>
  <c r="I5188" i="1"/>
  <c r="J5188" i="1"/>
  <c r="K5188" i="1"/>
  <c r="L5188" i="1"/>
  <c r="M5188" i="1"/>
  <c r="N5188" i="1"/>
  <c r="A5189" i="1"/>
  <c r="B5189" i="1"/>
  <c r="F5189" i="1"/>
  <c r="G5189" i="1"/>
  <c r="H5189" i="1"/>
  <c r="I5189" i="1"/>
  <c r="J5189" i="1"/>
  <c r="K5189" i="1"/>
  <c r="L5189" i="1"/>
  <c r="M5189" i="1"/>
  <c r="N5189" i="1"/>
  <c r="A5190" i="1"/>
  <c r="B5190" i="1"/>
  <c r="F5190" i="1"/>
  <c r="G5190" i="1"/>
  <c r="H5190" i="1"/>
  <c r="I5190" i="1"/>
  <c r="J5190" i="1"/>
  <c r="K5190" i="1"/>
  <c r="L5190" i="1"/>
  <c r="M5190" i="1"/>
  <c r="N5190" i="1"/>
  <c r="A5191" i="1"/>
  <c r="B5191" i="1"/>
  <c r="F5191" i="1"/>
  <c r="G5191" i="1"/>
  <c r="H5191" i="1"/>
  <c r="I5191" i="1"/>
  <c r="J5191" i="1"/>
  <c r="K5191" i="1"/>
  <c r="L5191" i="1"/>
  <c r="M5191" i="1"/>
  <c r="N5191" i="1"/>
  <c r="A5192" i="1"/>
  <c r="B5192" i="1"/>
  <c r="F5192" i="1"/>
  <c r="G5192" i="1"/>
  <c r="H5192" i="1"/>
  <c r="I5192" i="1"/>
  <c r="J5192" i="1"/>
  <c r="K5192" i="1"/>
  <c r="L5192" i="1"/>
  <c r="M5192" i="1"/>
  <c r="N5192" i="1"/>
  <c r="A5193" i="1"/>
  <c r="B5193" i="1"/>
  <c r="F5193" i="1"/>
  <c r="G5193" i="1"/>
  <c r="H5193" i="1"/>
  <c r="I5193" i="1"/>
  <c r="J5193" i="1"/>
  <c r="K5193" i="1"/>
  <c r="L5193" i="1"/>
  <c r="M5193" i="1"/>
  <c r="N5193" i="1"/>
  <c r="A5194" i="1"/>
  <c r="B5194" i="1"/>
  <c r="F5194" i="1"/>
  <c r="G5194" i="1"/>
  <c r="H5194" i="1"/>
  <c r="I5194" i="1"/>
  <c r="J5194" i="1"/>
  <c r="K5194" i="1"/>
  <c r="L5194" i="1"/>
  <c r="M5194" i="1"/>
  <c r="N5194" i="1"/>
  <c r="A5195" i="1"/>
  <c r="B5195" i="1"/>
  <c r="F5195" i="1"/>
  <c r="G5195" i="1"/>
  <c r="H5195" i="1"/>
  <c r="I5195" i="1"/>
  <c r="J5195" i="1"/>
  <c r="K5195" i="1"/>
  <c r="L5195" i="1"/>
  <c r="M5195" i="1"/>
  <c r="N5195" i="1"/>
  <c r="A5196" i="1"/>
  <c r="B5196" i="1"/>
  <c r="F5196" i="1"/>
  <c r="G5196" i="1"/>
  <c r="H5196" i="1"/>
  <c r="I5196" i="1"/>
  <c r="J5196" i="1"/>
  <c r="K5196" i="1"/>
  <c r="L5196" i="1"/>
  <c r="M5196" i="1"/>
  <c r="N5196" i="1"/>
  <c r="A5197" i="1"/>
  <c r="B5197" i="1"/>
  <c r="F5197" i="1"/>
  <c r="G5197" i="1"/>
  <c r="H5197" i="1"/>
  <c r="I5197" i="1"/>
  <c r="J5197" i="1"/>
  <c r="K5197" i="1"/>
  <c r="L5197" i="1"/>
  <c r="M5197" i="1"/>
  <c r="N5197" i="1"/>
  <c r="A5198" i="1"/>
  <c r="B5198" i="1"/>
  <c r="F5198" i="1"/>
  <c r="G5198" i="1"/>
  <c r="H5198" i="1"/>
  <c r="I5198" i="1"/>
  <c r="J5198" i="1"/>
  <c r="K5198" i="1"/>
  <c r="L5198" i="1"/>
  <c r="M5198" i="1"/>
  <c r="N5198" i="1"/>
  <c r="A5199" i="1"/>
  <c r="B5199" i="1"/>
  <c r="F5199" i="1"/>
  <c r="G5199" i="1"/>
  <c r="H5199" i="1"/>
  <c r="I5199" i="1"/>
  <c r="J5199" i="1"/>
  <c r="K5199" i="1"/>
  <c r="L5199" i="1"/>
  <c r="M5199" i="1"/>
  <c r="N5199" i="1"/>
  <c r="A5200" i="1"/>
  <c r="B5200" i="1"/>
  <c r="F5200" i="1"/>
  <c r="G5200" i="1"/>
  <c r="H5200" i="1"/>
  <c r="I5200" i="1"/>
  <c r="J5200" i="1"/>
  <c r="K5200" i="1"/>
  <c r="L5200" i="1"/>
  <c r="M5200" i="1"/>
  <c r="N5200" i="1"/>
  <c r="A5201" i="1"/>
  <c r="B5201" i="1"/>
  <c r="F5201" i="1"/>
  <c r="G5201" i="1"/>
  <c r="H5201" i="1"/>
  <c r="I5201" i="1"/>
  <c r="J5201" i="1"/>
  <c r="K5201" i="1"/>
  <c r="L5201" i="1"/>
  <c r="M5201" i="1"/>
  <c r="N5201" i="1"/>
  <c r="A5202" i="1"/>
  <c r="B5202" i="1"/>
  <c r="F5202" i="1"/>
  <c r="G5202" i="1"/>
  <c r="H5202" i="1"/>
  <c r="I5202" i="1"/>
  <c r="J5202" i="1"/>
  <c r="K5202" i="1"/>
  <c r="L5202" i="1"/>
  <c r="M5202" i="1"/>
  <c r="N5202" i="1"/>
  <c r="A5203" i="1"/>
  <c r="B5203" i="1"/>
  <c r="F5203" i="1"/>
  <c r="G5203" i="1"/>
  <c r="H5203" i="1"/>
  <c r="I5203" i="1"/>
  <c r="J5203" i="1"/>
  <c r="K5203" i="1"/>
  <c r="L5203" i="1"/>
  <c r="M5203" i="1"/>
  <c r="N5203" i="1"/>
  <c r="A5204" i="1"/>
  <c r="B5204" i="1"/>
  <c r="F5204" i="1"/>
  <c r="G5204" i="1"/>
  <c r="H5204" i="1"/>
  <c r="I5204" i="1"/>
  <c r="J5204" i="1"/>
  <c r="K5204" i="1"/>
  <c r="L5204" i="1"/>
  <c r="M5204" i="1"/>
  <c r="N5204" i="1"/>
  <c r="A5205" i="1"/>
  <c r="B5205" i="1"/>
  <c r="F5205" i="1"/>
  <c r="G5205" i="1"/>
  <c r="H5205" i="1"/>
  <c r="I5205" i="1"/>
  <c r="J5205" i="1"/>
  <c r="K5205" i="1"/>
  <c r="L5205" i="1"/>
  <c r="M5205" i="1"/>
  <c r="N5205" i="1"/>
  <c r="A5206" i="1"/>
  <c r="B5206" i="1"/>
  <c r="F5206" i="1"/>
  <c r="G5206" i="1"/>
  <c r="H5206" i="1"/>
  <c r="I5206" i="1"/>
  <c r="J5206" i="1"/>
  <c r="K5206" i="1"/>
  <c r="L5206" i="1"/>
  <c r="M5206" i="1"/>
  <c r="N5206" i="1"/>
  <c r="A5207" i="1"/>
  <c r="B5207" i="1"/>
  <c r="F5207" i="1"/>
  <c r="G5207" i="1"/>
  <c r="H5207" i="1"/>
  <c r="I5207" i="1"/>
  <c r="J5207" i="1"/>
  <c r="K5207" i="1"/>
  <c r="L5207" i="1"/>
  <c r="M5207" i="1"/>
  <c r="N5207" i="1"/>
  <c r="A5208" i="1"/>
  <c r="B5208" i="1"/>
  <c r="F5208" i="1"/>
  <c r="G5208" i="1"/>
  <c r="H5208" i="1"/>
  <c r="I5208" i="1"/>
  <c r="J5208" i="1"/>
  <c r="K5208" i="1"/>
  <c r="L5208" i="1"/>
  <c r="M5208" i="1"/>
  <c r="N5208" i="1"/>
  <c r="A5209" i="1"/>
  <c r="B5209" i="1"/>
  <c r="F5209" i="1"/>
  <c r="G5209" i="1"/>
  <c r="H5209" i="1"/>
  <c r="I5209" i="1"/>
  <c r="J5209" i="1"/>
  <c r="K5209" i="1"/>
  <c r="L5209" i="1"/>
  <c r="M5209" i="1"/>
  <c r="N5209" i="1"/>
  <c r="A5210" i="1"/>
  <c r="B5210" i="1"/>
  <c r="F5210" i="1"/>
  <c r="G5210" i="1"/>
  <c r="H5210" i="1"/>
  <c r="I5210" i="1"/>
  <c r="J5210" i="1"/>
  <c r="K5210" i="1"/>
  <c r="L5210" i="1"/>
  <c r="M5210" i="1"/>
  <c r="N5210" i="1"/>
  <c r="A5211" i="1"/>
  <c r="B5211" i="1"/>
  <c r="F5211" i="1"/>
  <c r="G5211" i="1"/>
  <c r="H5211" i="1"/>
  <c r="I5211" i="1"/>
  <c r="J5211" i="1"/>
  <c r="K5211" i="1"/>
  <c r="L5211" i="1"/>
  <c r="M5211" i="1"/>
  <c r="N5211" i="1"/>
  <c r="A5212" i="1"/>
  <c r="B5212" i="1"/>
  <c r="F5212" i="1"/>
  <c r="G5212" i="1"/>
  <c r="H5212" i="1"/>
  <c r="I5212" i="1"/>
  <c r="J5212" i="1"/>
  <c r="K5212" i="1"/>
  <c r="L5212" i="1"/>
  <c r="M5212" i="1"/>
  <c r="N5212" i="1"/>
  <c r="A5213" i="1"/>
  <c r="B5213" i="1"/>
  <c r="F5213" i="1"/>
  <c r="G5213" i="1"/>
  <c r="H5213" i="1"/>
  <c r="I5213" i="1"/>
  <c r="J5213" i="1"/>
  <c r="K5213" i="1"/>
  <c r="L5213" i="1"/>
  <c r="M5213" i="1"/>
  <c r="N5213" i="1"/>
  <c r="A5214" i="1"/>
  <c r="B5214" i="1"/>
  <c r="F5214" i="1"/>
  <c r="G5214" i="1"/>
  <c r="H5214" i="1"/>
  <c r="I5214" i="1"/>
  <c r="J5214" i="1"/>
  <c r="K5214" i="1"/>
  <c r="L5214" i="1"/>
  <c r="M5214" i="1"/>
  <c r="N5214" i="1"/>
  <c r="A5215" i="1"/>
  <c r="B5215" i="1"/>
  <c r="F5215" i="1"/>
  <c r="G5215" i="1"/>
  <c r="H5215" i="1"/>
  <c r="I5215" i="1"/>
  <c r="J5215" i="1"/>
  <c r="K5215" i="1"/>
  <c r="L5215" i="1"/>
  <c r="M5215" i="1"/>
  <c r="N5215" i="1"/>
  <c r="A5216" i="1"/>
  <c r="B5216" i="1"/>
  <c r="F5216" i="1"/>
  <c r="G5216" i="1"/>
  <c r="H5216" i="1"/>
  <c r="I5216" i="1"/>
  <c r="J5216" i="1"/>
  <c r="K5216" i="1"/>
  <c r="L5216" i="1"/>
  <c r="M5216" i="1"/>
  <c r="N5216" i="1"/>
  <c r="A5217" i="1"/>
  <c r="B5217" i="1"/>
  <c r="F5217" i="1"/>
  <c r="G5217" i="1"/>
  <c r="H5217" i="1"/>
  <c r="I5217" i="1"/>
  <c r="J5217" i="1"/>
  <c r="K5217" i="1"/>
  <c r="L5217" i="1"/>
  <c r="M5217" i="1"/>
  <c r="N5217" i="1"/>
  <c r="A5218" i="1"/>
  <c r="B5218" i="1"/>
  <c r="F5218" i="1"/>
  <c r="G5218" i="1"/>
  <c r="H5218" i="1"/>
  <c r="I5218" i="1"/>
  <c r="J5218" i="1"/>
  <c r="K5218" i="1"/>
  <c r="L5218" i="1"/>
  <c r="M5218" i="1"/>
  <c r="N5218" i="1"/>
  <c r="A5219" i="1"/>
  <c r="B5219" i="1"/>
  <c r="F5219" i="1"/>
  <c r="G5219" i="1"/>
  <c r="H5219" i="1"/>
  <c r="I5219" i="1"/>
  <c r="J5219" i="1"/>
  <c r="K5219" i="1"/>
  <c r="L5219" i="1"/>
  <c r="M5219" i="1"/>
  <c r="N5219" i="1"/>
  <c r="A5220" i="1"/>
  <c r="B5220" i="1"/>
  <c r="F5220" i="1"/>
  <c r="G5220" i="1"/>
  <c r="H5220" i="1"/>
  <c r="I5220" i="1"/>
  <c r="J5220" i="1"/>
  <c r="K5220" i="1"/>
  <c r="L5220" i="1"/>
  <c r="M5220" i="1"/>
  <c r="N5220" i="1"/>
  <c r="A5221" i="1"/>
  <c r="B5221" i="1"/>
  <c r="F5221" i="1"/>
  <c r="G5221" i="1"/>
  <c r="H5221" i="1"/>
  <c r="I5221" i="1"/>
  <c r="J5221" i="1"/>
  <c r="K5221" i="1"/>
  <c r="L5221" i="1"/>
  <c r="M5221" i="1"/>
  <c r="N5221" i="1"/>
  <c r="A5222" i="1"/>
  <c r="B5222" i="1"/>
  <c r="F5222" i="1"/>
  <c r="G5222" i="1"/>
  <c r="H5222" i="1"/>
  <c r="I5222" i="1"/>
  <c r="J5222" i="1"/>
  <c r="K5222" i="1"/>
  <c r="L5222" i="1"/>
  <c r="M5222" i="1"/>
  <c r="N5222" i="1"/>
  <c r="A5223" i="1"/>
  <c r="B5223" i="1"/>
  <c r="F5223" i="1"/>
  <c r="G5223" i="1"/>
  <c r="H5223" i="1"/>
  <c r="I5223" i="1"/>
  <c r="J5223" i="1"/>
  <c r="K5223" i="1"/>
  <c r="L5223" i="1"/>
  <c r="M5223" i="1"/>
  <c r="N5223" i="1"/>
  <c r="A5224" i="1"/>
  <c r="B5224" i="1"/>
  <c r="F5224" i="1"/>
  <c r="G5224" i="1"/>
  <c r="H5224" i="1"/>
  <c r="I5224" i="1"/>
  <c r="J5224" i="1"/>
  <c r="K5224" i="1"/>
  <c r="L5224" i="1"/>
  <c r="M5224" i="1"/>
  <c r="N5224" i="1"/>
  <c r="A5225" i="1"/>
  <c r="B5225" i="1"/>
  <c r="F5225" i="1"/>
  <c r="G5225" i="1"/>
  <c r="H5225" i="1"/>
  <c r="I5225" i="1"/>
  <c r="J5225" i="1"/>
  <c r="K5225" i="1"/>
  <c r="L5225" i="1"/>
  <c r="M5225" i="1"/>
  <c r="N5225" i="1"/>
  <c r="A5226" i="1"/>
  <c r="B5226" i="1"/>
  <c r="F5226" i="1"/>
  <c r="G5226" i="1"/>
  <c r="H5226" i="1"/>
  <c r="I5226" i="1"/>
  <c r="J5226" i="1"/>
  <c r="K5226" i="1"/>
  <c r="L5226" i="1"/>
  <c r="M5226" i="1"/>
  <c r="N5226" i="1"/>
  <c r="A5227" i="1"/>
  <c r="B5227" i="1"/>
  <c r="F5227" i="1"/>
  <c r="G5227" i="1"/>
  <c r="H5227" i="1"/>
  <c r="I5227" i="1"/>
  <c r="J5227" i="1"/>
  <c r="K5227" i="1"/>
  <c r="L5227" i="1"/>
  <c r="M5227" i="1"/>
  <c r="N5227" i="1"/>
  <c r="A5228" i="1"/>
  <c r="B5228" i="1"/>
  <c r="F5228" i="1"/>
  <c r="G5228" i="1"/>
  <c r="H5228" i="1"/>
  <c r="I5228" i="1"/>
  <c r="J5228" i="1"/>
  <c r="K5228" i="1"/>
  <c r="L5228" i="1"/>
  <c r="M5228" i="1"/>
  <c r="N5228" i="1"/>
  <c r="A5229" i="1"/>
  <c r="B5229" i="1"/>
  <c r="F5229" i="1"/>
  <c r="G5229" i="1"/>
  <c r="H5229" i="1"/>
  <c r="I5229" i="1"/>
  <c r="J5229" i="1"/>
  <c r="K5229" i="1"/>
  <c r="L5229" i="1"/>
  <c r="M5229" i="1"/>
  <c r="N5229" i="1"/>
  <c r="A5230" i="1"/>
  <c r="B5230" i="1"/>
  <c r="F5230" i="1"/>
  <c r="G5230" i="1"/>
  <c r="H5230" i="1"/>
  <c r="I5230" i="1"/>
  <c r="J5230" i="1"/>
  <c r="K5230" i="1"/>
  <c r="L5230" i="1"/>
  <c r="M5230" i="1"/>
  <c r="N5230" i="1"/>
  <c r="A5231" i="1"/>
  <c r="B5231" i="1"/>
  <c r="F5231" i="1"/>
  <c r="G5231" i="1"/>
  <c r="H5231" i="1"/>
  <c r="I5231" i="1"/>
  <c r="J5231" i="1"/>
  <c r="K5231" i="1"/>
  <c r="L5231" i="1"/>
  <c r="M5231" i="1"/>
  <c r="N5231" i="1"/>
  <c r="A5232" i="1"/>
  <c r="B5232" i="1"/>
  <c r="F5232" i="1"/>
  <c r="G5232" i="1"/>
  <c r="H5232" i="1"/>
  <c r="I5232" i="1"/>
  <c r="J5232" i="1"/>
  <c r="K5232" i="1"/>
  <c r="L5232" i="1"/>
  <c r="M5232" i="1"/>
  <c r="N5232" i="1"/>
  <c r="A5233" i="1"/>
  <c r="B5233" i="1"/>
  <c r="F5233" i="1"/>
  <c r="G5233" i="1"/>
  <c r="H5233" i="1"/>
  <c r="I5233" i="1"/>
  <c r="J5233" i="1"/>
  <c r="K5233" i="1"/>
  <c r="L5233" i="1"/>
  <c r="M5233" i="1"/>
  <c r="N5233" i="1"/>
  <c r="A5234" i="1"/>
  <c r="B5234" i="1"/>
  <c r="F5234" i="1"/>
  <c r="G5234" i="1"/>
  <c r="H5234" i="1"/>
  <c r="I5234" i="1"/>
  <c r="J5234" i="1"/>
  <c r="K5234" i="1"/>
  <c r="L5234" i="1"/>
  <c r="M5234" i="1"/>
  <c r="N5234" i="1"/>
  <c r="A5235" i="1"/>
  <c r="B5235" i="1"/>
  <c r="F5235" i="1"/>
  <c r="G5235" i="1"/>
  <c r="H5235" i="1"/>
  <c r="I5235" i="1"/>
  <c r="J5235" i="1"/>
  <c r="K5235" i="1"/>
  <c r="L5235" i="1"/>
  <c r="M5235" i="1"/>
  <c r="N5235" i="1"/>
  <c r="A5236" i="1"/>
  <c r="B5236" i="1"/>
  <c r="F5236" i="1"/>
  <c r="G5236" i="1"/>
  <c r="H5236" i="1"/>
  <c r="I5236" i="1"/>
  <c r="J5236" i="1"/>
  <c r="K5236" i="1"/>
  <c r="L5236" i="1"/>
  <c r="M5236" i="1"/>
  <c r="N5236" i="1"/>
  <c r="A5237" i="1"/>
  <c r="B5237" i="1"/>
  <c r="F5237" i="1"/>
  <c r="G5237" i="1"/>
  <c r="H5237" i="1"/>
  <c r="I5237" i="1"/>
  <c r="J5237" i="1"/>
  <c r="K5237" i="1"/>
  <c r="L5237" i="1"/>
  <c r="M5237" i="1"/>
  <c r="N5237" i="1"/>
  <c r="A5238" i="1"/>
  <c r="B5238" i="1"/>
  <c r="F5238" i="1"/>
  <c r="G5238" i="1"/>
  <c r="H5238" i="1"/>
  <c r="I5238" i="1"/>
  <c r="J5238" i="1"/>
  <c r="K5238" i="1"/>
  <c r="L5238" i="1"/>
  <c r="M5238" i="1"/>
  <c r="N5238" i="1"/>
  <c r="A5239" i="1"/>
  <c r="B5239" i="1"/>
  <c r="F5239" i="1"/>
  <c r="G5239" i="1"/>
  <c r="H5239" i="1"/>
  <c r="I5239" i="1"/>
  <c r="J5239" i="1"/>
  <c r="K5239" i="1"/>
  <c r="L5239" i="1"/>
  <c r="M5239" i="1"/>
  <c r="N5239" i="1"/>
  <c r="A5240" i="1"/>
  <c r="B5240" i="1"/>
  <c r="F5240" i="1"/>
  <c r="G5240" i="1"/>
  <c r="H5240" i="1"/>
  <c r="I5240" i="1"/>
  <c r="J5240" i="1"/>
  <c r="K5240" i="1"/>
  <c r="L5240" i="1"/>
  <c r="M5240" i="1"/>
  <c r="N5240" i="1"/>
  <c r="A5241" i="1"/>
  <c r="B5241" i="1"/>
  <c r="F5241" i="1"/>
  <c r="G5241" i="1"/>
  <c r="H5241" i="1"/>
  <c r="I5241" i="1"/>
  <c r="J5241" i="1"/>
  <c r="K5241" i="1"/>
  <c r="L5241" i="1"/>
  <c r="M5241" i="1"/>
  <c r="N5241" i="1"/>
  <c r="A5242" i="1"/>
  <c r="B5242" i="1"/>
  <c r="F5242" i="1"/>
  <c r="G5242" i="1"/>
  <c r="H5242" i="1"/>
  <c r="I5242" i="1"/>
  <c r="J5242" i="1"/>
  <c r="K5242" i="1"/>
  <c r="L5242" i="1"/>
  <c r="M5242" i="1"/>
  <c r="N5242" i="1"/>
  <c r="A5243" i="1"/>
  <c r="B5243" i="1"/>
  <c r="F5243" i="1"/>
  <c r="G5243" i="1"/>
  <c r="H5243" i="1"/>
  <c r="I5243" i="1"/>
  <c r="J5243" i="1"/>
  <c r="K5243" i="1"/>
  <c r="L5243" i="1"/>
  <c r="M5243" i="1"/>
  <c r="N5243" i="1"/>
  <c r="A5244" i="1"/>
  <c r="B5244" i="1"/>
  <c r="F5244" i="1"/>
  <c r="G5244" i="1"/>
  <c r="H5244" i="1"/>
  <c r="I5244" i="1"/>
  <c r="J5244" i="1"/>
  <c r="K5244" i="1"/>
  <c r="L5244" i="1"/>
  <c r="M5244" i="1"/>
  <c r="N5244" i="1"/>
  <c r="A5245" i="1"/>
  <c r="B5245" i="1"/>
  <c r="F5245" i="1"/>
  <c r="G5245" i="1"/>
  <c r="H5245" i="1"/>
  <c r="I5245" i="1"/>
  <c r="J5245" i="1"/>
  <c r="K5245" i="1"/>
  <c r="L5245" i="1"/>
  <c r="M5245" i="1"/>
  <c r="N5245" i="1"/>
  <c r="A5246" i="1"/>
  <c r="B5246" i="1"/>
  <c r="F5246" i="1"/>
  <c r="G5246" i="1"/>
  <c r="H5246" i="1"/>
  <c r="I5246" i="1"/>
  <c r="J5246" i="1"/>
  <c r="K5246" i="1"/>
  <c r="L5246" i="1"/>
  <c r="M5246" i="1"/>
  <c r="N5246" i="1"/>
  <c r="A5247" i="1"/>
  <c r="B5247" i="1"/>
  <c r="F5247" i="1"/>
  <c r="G5247" i="1"/>
  <c r="H5247" i="1"/>
  <c r="I5247" i="1"/>
  <c r="J5247" i="1"/>
  <c r="K5247" i="1"/>
  <c r="L5247" i="1"/>
  <c r="M5247" i="1"/>
  <c r="N5247" i="1"/>
  <c r="A5248" i="1"/>
  <c r="B5248" i="1"/>
  <c r="F5248" i="1"/>
  <c r="G5248" i="1"/>
  <c r="H5248" i="1"/>
  <c r="I5248" i="1"/>
  <c r="J5248" i="1"/>
  <c r="K5248" i="1"/>
  <c r="L5248" i="1"/>
  <c r="M5248" i="1"/>
  <c r="N5248" i="1"/>
  <c r="A5249" i="1"/>
  <c r="B5249" i="1"/>
  <c r="F5249" i="1"/>
  <c r="G5249" i="1"/>
  <c r="H5249" i="1"/>
  <c r="I5249" i="1"/>
  <c r="J5249" i="1"/>
  <c r="K5249" i="1"/>
  <c r="L5249" i="1"/>
  <c r="M5249" i="1"/>
  <c r="N5249" i="1"/>
  <c r="A5250" i="1"/>
  <c r="B5250" i="1"/>
  <c r="F5250" i="1"/>
  <c r="G5250" i="1"/>
  <c r="H5250" i="1"/>
  <c r="I5250" i="1"/>
  <c r="J5250" i="1"/>
  <c r="K5250" i="1"/>
  <c r="L5250" i="1"/>
  <c r="M5250" i="1"/>
  <c r="N5250" i="1"/>
  <c r="A5251" i="1"/>
  <c r="B5251" i="1"/>
  <c r="F5251" i="1"/>
  <c r="G5251" i="1"/>
  <c r="H5251" i="1"/>
  <c r="I5251" i="1"/>
  <c r="J5251" i="1"/>
  <c r="K5251" i="1"/>
  <c r="L5251" i="1"/>
  <c r="M5251" i="1"/>
  <c r="N5251" i="1"/>
  <c r="A5252" i="1"/>
  <c r="B5252" i="1"/>
  <c r="F5252" i="1"/>
  <c r="G5252" i="1"/>
  <c r="H5252" i="1"/>
  <c r="I5252" i="1"/>
  <c r="J5252" i="1"/>
  <c r="K5252" i="1"/>
  <c r="L5252" i="1"/>
  <c r="M5252" i="1"/>
  <c r="N5252" i="1"/>
  <c r="A5253" i="1"/>
  <c r="B5253" i="1"/>
  <c r="F5253" i="1"/>
  <c r="G5253" i="1"/>
  <c r="H5253" i="1"/>
  <c r="I5253" i="1"/>
  <c r="J5253" i="1"/>
  <c r="K5253" i="1"/>
  <c r="L5253" i="1"/>
  <c r="M5253" i="1"/>
  <c r="N5253" i="1"/>
  <c r="A5254" i="1"/>
  <c r="B5254" i="1"/>
  <c r="F5254" i="1"/>
  <c r="G5254" i="1"/>
  <c r="H5254" i="1"/>
  <c r="I5254" i="1"/>
  <c r="J5254" i="1"/>
  <c r="K5254" i="1"/>
  <c r="L5254" i="1"/>
  <c r="M5254" i="1"/>
  <c r="N5254" i="1"/>
  <c r="A5255" i="1"/>
  <c r="B5255" i="1"/>
  <c r="F5255" i="1"/>
  <c r="G5255" i="1"/>
  <c r="H5255" i="1"/>
  <c r="I5255" i="1"/>
  <c r="J5255" i="1"/>
  <c r="K5255" i="1"/>
  <c r="L5255" i="1"/>
  <c r="M5255" i="1"/>
  <c r="N5255" i="1"/>
  <c r="A5256" i="1"/>
  <c r="B5256" i="1"/>
  <c r="F5256" i="1"/>
  <c r="G5256" i="1"/>
  <c r="H5256" i="1"/>
  <c r="I5256" i="1"/>
  <c r="J5256" i="1"/>
  <c r="K5256" i="1"/>
  <c r="L5256" i="1"/>
  <c r="M5256" i="1"/>
  <c r="N5256" i="1"/>
  <c r="A5257" i="1"/>
  <c r="B5257" i="1"/>
  <c r="F5257" i="1"/>
  <c r="G5257" i="1"/>
  <c r="H5257" i="1"/>
  <c r="I5257" i="1"/>
  <c r="J5257" i="1"/>
  <c r="K5257" i="1"/>
  <c r="L5257" i="1"/>
  <c r="M5257" i="1"/>
  <c r="N5257" i="1"/>
  <c r="A5258" i="1"/>
  <c r="B5258" i="1"/>
  <c r="F5258" i="1"/>
  <c r="G5258" i="1"/>
  <c r="H5258" i="1"/>
  <c r="I5258" i="1"/>
  <c r="J5258" i="1"/>
  <c r="K5258" i="1"/>
  <c r="L5258" i="1"/>
  <c r="M5258" i="1"/>
  <c r="N5258" i="1"/>
  <c r="A5259" i="1"/>
  <c r="B5259" i="1"/>
  <c r="F5259" i="1"/>
  <c r="G5259" i="1"/>
  <c r="H5259" i="1"/>
  <c r="I5259" i="1"/>
  <c r="J5259" i="1"/>
  <c r="K5259" i="1"/>
  <c r="L5259" i="1"/>
  <c r="M5259" i="1"/>
  <c r="N5259" i="1"/>
  <c r="A5260" i="1"/>
  <c r="B5260" i="1"/>
  <c r="F5260" i="1"/>
  <c r="G5260" i="1"/>
  <c r="H5260" i="1"/>
  <c r="I5260" i="1"/>
  <c r="J5260" i="1"/>
  <c r="K5260" i="1"/>
  <c r="L5260" i="1"/>
  <c r="M5260" i="1"/>
  <c r="N5260" i="1"/>
  <c r="A5261" i="1"/>
  <c r="B5261" i="1"/>
  <c r="F5261" i="1"/>
  <c r="G5261" i="1"/>
  <c r="H5261" i="1"/>
  <c r="I5261" i="1"/>
  <c r="J5261" i="1"/>
  <c r="K5261" i="1"/>
  <c r="L5261" i="1"/>
  <c r="M5261" i="1"/>
  <c r="N5261" i="1"/>
  <c r="A5262" i="1"/>
  <c r="B5262" i="1"/>
  <c r="F5262" i="1"/>
  <c r="G5262" i="1"/>
  <c r="H5262" i="1"/>
  <c r="I5262" i="1"/>
  <c r="J5262" i="1"/>
  <c r="K5262" i="1"/>
  <c r="L5262" i="1"/>
  <c r="M5262" i="1"/>
  <c r="N5262" i="1"/>
  <c r="A5263" i="1"/>
  <c r="B5263" i="1"/>
  <c r="F5263" i="1"/>
  <c r="G5263" i="1"/>
  <c r="H5263" i="1"/>
  <c r="I5263" i="1"/>
  <c r="J5263" i="1"/>
  <c r="K5263" i="1"/>
  <c r="L5263" i="1"/>
  <c r="M5263" i="1"/>
  <c r="N5263" i="1"/>
  <c r="A5264" i="1"/>
  <c r="B5264" i="1"/>
  <c r="F5264" i="1"/>
  <c r="G5264" i="1"/>
  <c r="H5264" i="1"/>
  <c r="I5264" i="1"/>
  <c r="J5264" i="1"/>
  <c r="K5264" i="1"/>
  <c r="L5264" i="1"/>
  <c r="M5264" i="1"/>
  <c r="N5264" i="1"/>
  <c r="A5265" i="1"/>
  <c r="B5265" i="1"/>
  <c r="F5265" i="1"/>
  <c r="G5265" i="1"/>
  <c r="H5265" i="1"/>
  <c r="I5265" i="1"/>
  <c r="J5265" i="1"/>
  <c r="K5265" i="1"/>
  <c r="L5265" i="1"/>
  <c r="M5265" i="1"/>
  <c r="N5265" i="1"/>
  <c r="A5266" i="1"/>
  <c r="B5266" i="1"/>
  <c r="F5266" i="1"/>
  <c r="G5266" i="1"/>
  <c r="H5266" i="1"/>
  <c r="I5266" i="1"/>
  <c r="J5266" i="1"/>
  <c r="K5266" i="1"/>
  <c r="L5266" i="1"/>
  <c r="M5266" i="1"/>
  <c r="N5266" i="1"/>
  <c r="A5267" i="1"/>
  <c r="B5267" i="1"/>
  <c r="F5267" i="1"/>
  <c r="G5267" i="1"/>
  <c r="H5267" i="1"/>
  <c r="I5267" i="1"/>
  <c r="J5267" i="1"/>
  <c r="K5267" i="1"/>
  <c r="L5267" i="1"/>
  <c r="M5267" i="1"/>
  <c r="N5267" i="1"/>
  <c r="A5268" i="1"/>
  <c r="B5268" i="1"/>
  <c r="F5268" i="1"/>
  <c r="G5268" i="1"/>
  <c r="H5268" i="1"/>
  <c r="I5268" i="1"/>
  <c r="J5268" i="1"/>
  <c r="K5268" i="1"/>
  <c r="L5268" i="1"/>
  <c r="M5268" i="1"/>
  <c r="N5268" i="1"/>
  <c r="A5269" i="1"/>
  <c r="B5269" i="1"/>
  <c r="F5269" i="1"/>
  <c r="G5269" i="1"/>
  <c r="H5269" i="1"/>
  <c r="I5269" i="1"/>
  <c r="J5269" i="1"/>
  <c r="K5269" i="1"/>
  <c r="L5269" i="1"/>
  <c r="M5269" i="1"/>
  <c r="N5269" i="1"/>
  <c r="A5270" i="1"/>
  <c r="B5270" i="1"/>
  <c r="F5270" i="1"/>
  <c r="G5270" i="1"/>
  <c r="H5270" i="1"/>
  <c r="I5270" i="1"/>
  <c r="J5270" i="1"/>
  <c r="K5270" i="1"/>
  <c r="L5270" i="1"/>
  <c r="M5270" i="1"/>
  <c r="N5270" i="1"/>
  <c r="A5271" i="1"/>
  <c r="B5271" i="1"/>
  <c r="F5271" i="1"/>
  <c r="G5271" i="1"/>
  <c r="H5271" i="1"/>
  <c r="I5271" i="1"/>
  <c r="J5271" i="1"/>
  <c r="K5271" i="1"/>
  <c r="L5271" i="1"/>
  <c r="M5271" i="1"/>
  <c r="N5271" i="1"/>
  <c r="A5272" i="1"/>
  <c r="B5272" i="1"/>
  <c r="F5272" i="1"/>
  <c r="G5272" i="1"/>
  <c r="H5272" i="1"/>
  <c r="I5272" i="1"/>
  <c r="J5272" i="1"/>
  <c r="K5272" i="1"/>
  <c r="L5272" i="1"/>
  <c r="M5272" i="1"/>
  <c r="N5272" i="1"/>
  <c r="A5273" i="1"/>
  <c r="B5273" i="1"/>
  <c r="F5273" i="1"/>
  <c r="G5273" i="1"/>
  <c r="H5273" i="1"/>
  <c r="I5273" i="1"/>
  <c r="J5273" i="1"/>
  <c r="K5273" i="1"/>
  <c r="L5273" i="1"/>
  <c r="M5273" i="1"/>
  <c r="N5273" i="1"/>
  <c r="A5274" i="1"/>
  <c r="B5274" i="1"/>
  <c r="F5274" i="1"/>
  <c r="G5274" i="1"/>
  <c r="H5274" i="1"/>
  <c r="I5274" i="1"/>
  <c r="J5274" i="1"/>
  <c r="K5274" i="1"/>
  <c r="L5274" i="1"/>
  <c r="M5274" i="1"/>
  <c r="N5274" i="1"/>
  <c r="A5275" i="1"/>
  <c r="B5275" i="1"/>
  <c r="F5275" i="1"/>
  <c r="G5275" i="1"/>
  <c r="H5275" i="1"/>
  <c r="I5275" i="1"/>
  <c r="J5275" i="1"/>
  <c r="K5275" i="1"/>
  <c r="L5275" i="1"/>
  <c r="M5275" i="1"/>
  <c r="N5275" i="1"/>
  <c r="A5276" i="1"/>
  <c r="B5276" i="1"/>
  <c r="F5276" i="1"/>
  <c r="G5276" i="1"/>
  <c r="H5276" i="1"/>
  <c r="I5276" i="1"/>
  <c r="J5276" i="1"/>
  <c r="K5276" i="1"/>
  <c r="L5276" i="1"/>
  <c r="M5276" i="1"/>
  <c r="N5276" i="1"/>
  <c r="A5277" i="1"/>
  <c r="B5277" i="1"/>
  <c r="F5277" i="1"/>
  <c r="G5277" i="1"/>
  <c r="H5277" i="1"/>
  <c r="I5277" i="1"/>
  <c r="J5277" i="1"/>
  <c r="K5277" i="1"/>
  <c r="L5277" i="1"/>
  <c r="M5277" i="1"/>
  <c r="N5277" i="1"/>
  <c r="A5278" i="1"/>
  <c r="B5278" i="1"/>
  <c r="F5278" i="1"/>
  <c r="G5278" i="1"/>
  <c r="H5278" i="1"/>
  <c r="I5278" i="1"/>
  <c r="J5278" i="1"/>
  <c r="K5278" i="1"/>
  <c r="L5278" i="1"/>
  <c r="M5278" i="1"/>
  <c r="N5278" i="1"/>
  <c r="A5279" i="1"/>
  <c r="B5279" i="1"/>
  <c r="F5279" i="1"/>
  <c r="G5279" i="1"/>
  <c r="H5279" i="1"/>
  <c r="I5279" i="1"/>
  <c r="J5279" i="1"/>
  <c r="K5279" i="1"/>
  <c r="L5279" i="1"/>
  <c r="M5279" i="1"/>
  <c r="N5279" i="1"/>
  <c r="A5280" i="1"/>
  <c r="B5280" i="1"/>
  <c r="F5280" i="1"/>
  <c r="G5280" i="1"/>
  <c r="H5280" i="1"/>
  <c r="I5280" i="1"/>
  <c r="J5280" i="1"/>
  <c r="K5280" i="1"/>
  <c r="L5280" i="1"/>
  <c r="M5280" i="1"/>
  <c r="N5280" i="1"/>
  <c r="A5281" i="1"/>
  <c r="B5281" i="1"/>
  <c r="F5281" i="1"/>
  <c r="G5281" i="1"/>
  <c r="H5281" i="1"/>
  <c r="I5281" i="1"/>
  <c r="J5281" i="1"/>
  <c r="K5281" i="1"/>
  <c r="L5281" i="1"/>
  <c r="M5281" i="1"/>
  <c r="N5281" i="1"/>
  <c r="A5282" i="1"/>
  <c r="B5282" i="1"/>
  <c r="F5282" i="1"/>
  <c r="G5282" i="1"/>
  <c r="H5282" i="1"/>
  <c r="I5282" i="1"/>
  <c r="J5282" i="1"/>
  <c r="K5282" i="1"/>
  <c r="L5282" i="1"/>
  <c r="M5282" i="1"/>
  <c r="N5282" i="1"/>
  <c r="A5283" i="1"/>
  <c r="B5283" i="1"/>
  <c r="F5283" i="1"/>
  <c r="G5283" i="1"/>
  <c r="H5283" i="1"/>
  <c r="I5283" i="1"/>
  <c r="J5283" i="1"/>
  <c r="K5283" i="1"/>
  <c r="L5283" i="1"/>
  <c r="M5283" i="1"/>
  <c r="N5283" i="1"/>
  <c r="A5284" i="1"/>
  <c r="B5284" i="1"/>
  <c r="F5284" i="1"/>
  <c r="G5284" i="1"/>
  <c r="H5284" i="1"/>
  <c r="I5284" i="1"/>
  <c r="J5284" i="1"/>
  <c r="K5284" i="1"/>
  <c r="L5284" i="1"/>
  <c r="M5284" i="1"/>
  <c r="N5284" i="1"/>
  <c r="A5285" i="1"/>
  <c r="B5285" i="1"/>
  <c r="F5285" i="1"/>
  <c r="G5285" i="1"/>
  <c r="H5285" i="1"/>
  <c r="I5285" i="1"/>
  <c r="J5285" i="1"/>
  <c r="K5285" i="1"/>
  <c r="L5285" i="1"/>
  <c r="M5285" i="1"/>
  <c r="N5285" i="1"/>
  <c r="A5286" i="1"/>
  <c r="B5286" i="1"/>
  <c r="F5286" i="1"/>
  <c r="G5286" i="1"/>
  <c r="H5286" i="1"/>
  <c r="I5286" i="1"/>
  <c r="J5286" i="1"/>
  <c r="K5286" i="1"/>
  <c r="L5286" i="1"/>
  <c r="M5286" i="1"/>
  <c r="N5286" i="1"/>
  <c r="A5287" i="1"/>
  <c r="B5287" i="1"/>
  <c r="F5287" i="1"/>
  <c r="G5287" i="1"/>
  <c r="H5287" i="1"/>
  <c r="I5287" i="1"/>
  <c r="J5287" i="1"/>
  <c r="K5287" i="1"/>
  <c r="L5287" i="1"/>
  <c r="M5287" i="1"/>
  <c r="N5287" i="1"/>
  <c r="A5288" i="1"/>
  <c r="B5288" i="1"/>
  <c r="F5288" i="1"/>
  <c r="G5288" i="1"/>
  <c r="H5288" i="1"/>
  <c r="I5288" i="1"/>
  <c r="J5288" i="1"/>
  <c r="K5288" i="1"/>
  <c r="L5288" i="1"/>
  <c r="M5288" i="1"/>
  <c r="N5288" i="1"/>
  <c r="A5289" i="1"/>
  <c r="B5289" i="1"/>
  <c r="F5289" i="1"/>
  <c r="G5289" i="1"/>
  <c r="H5289" i="1"/>
  <c r="I5289" i="1"/>
  <c r="J5289" i="1"/>
  <c r="K5289" i="1"/>
  <c r="L5289" i="1"/>
  <c r="M5289" i="1"/>
  <c r="N5289" i="1"/>
  <c r="A5290" i="1"/>
  <c r="B5290" i="1"/>
  <c r="F5290" i="1"/>
  <c r="G5290" i="1"/>
  <c r="H5290" i="1"/>
  <c r="I5290" i="1"/>
  <c r="J5290" i="1"/>
  <c r="K5290" i="1"/>
  <c r="L5290" i="1"/>
  <c r="M5290" i="1"/>
  <c r="N5290" i="1"/>
  <c r="A5291" i="1"/>
  <c r="B5291" i="1"/>
  <c r="F5291" i="1"/>
  <c r="G5291" i="1"/>
  <c r="H5291" i="1"/>
  <c r="I5291" i="1"/>
  <c r="J5291" i="1"/>
  <c r="K5291" i="1"/>
  <c r="L5291" i="1"/>
  <c r="M5291" i="1"/>
  <c r="N5291" i="1"/>
  <c r="A5292" i="1"/>
  <c r="B5292" i="1"/>
  <c r="F5292" i="1"/>
  <c r="G5292" i="1"/>
  <c r="H5292" i="1"/>
  <c r="I5292" i="1"/>
  <c r="J5292" i="1"/>
  <c r="K5292" i="1"/>
  <c r="L5292" i="1"/>
  <c r="M5292" i="1"/>
  <c r="N5292" i="1"/>
  <c r="A5293" i="1"/>
  <c r="B5293" i="1"/>
  <c r="F5293" i="1"/>
  <c r="G5293" i="1"/>
  <c r="H5293" i="1"/>
  <c r="I5293" i="1"/>
  <c r="J5293" i="1"/>
  <c r="K5293" i="1"/>
  <c r="L5293" i="1"/>
  <c r="M5293" i="1"/>
  <c r="N5293" i="1"/>
  <c r="A5294" i="1"/>
  <c r="B5294" i="1"/>
  <c r="F5294" i="1"/>
  <c r="G5294" i="1"/>
  <c r="H5294" i="1"/>
  <c r="I5294" i="1"/>
  <c r="J5294" i="1"/>
  <c r="K5294" i="1"/>
  <c r="L5294" i="1"/>
  <c r="M5294" i="1"/>
  <c r="N5294" i="1"/>
  <c r="A5295" i="1"/>
  <c r="B5295" i="1"/>
  <c r="F5295" i="1"/>
  <c r="G5295" i="1"/>
  <c r="H5295" i="1"/>
  <c r="I5295" i="1"/>
  <c r="J5295" i="1"/>
  <c r="K5295" i="1"/>
  <c r="L5295" i="1"/>
  <c r="M5295" i="1"/>
  <c r="N5295" i="1"/>
  <c r="A5296" i="1"/>
  <c r="B5296" i="1"/>
  <c r="F5296" i="1"/>
  <c r="G5296" i="1"/>
  <c r="H5296" i="1"/>
  <c r="I5296" i="1"/>
  <c r="J5296" i="1"/>
  <c r="K5296" i="1"/>
  <c r="L5296" i="1"/>
  <c r="M5296" i="1"/>
  <c r="N5296" i="1"/>
  <c r="A5297" i="1"/>
  <c r="B5297" i="1"/>
  <c r="F5297" i="1"/>
  <c r="G5297" i="1"/>
  <c r="H5297" i="1"/>
  <c r="I5297" i="1"/>
  <c r="J5297" i="1"/>
  <c r="K5297" i="1"/>
  <c r="L5297" i="1"/>
  <c r="M5297" i="1"/>
  <c r="N5297" i="1"/>
  <c r="A5298" i="1"/>
  <c r="B5298" i="1"/>
  <c r="F5298" i="1"/>
  <c r="G5298" i="1"/>
  <c r="H5298" i="1"/>
  <c r="I5298" i="1"/>
  <c r="J5298" i="1"/>
  <c r="K5298" i="1"/>
  <c r="L5298" i="1"/>
  <c r="M5298" i="1"/>
  <c r="N5298" i="1"/>
  <c r="A5299" i="1"/>
  <c r="B5299" i="1"/>
  <c r="F5299" i="1"/>
  <c r="G5299" i="1"/>
  <c r="H5299" i="1"/>
  <c r="I5299" i="1"/>
  <c r="J5299" i="1"/>
  <c r="K5299" i="1"/>
  <c r="L5299" i="1"/>
  <c r="M5299" i="1"/>
  <c r="N5299" i="1"/>
  <c r="A5300" i="1"/>
  <c r="B5300" i="1"/>
  <c r="F5300" i="1"/>
  <c r="G5300" i="1"/>
  <c r="H5300" i="1"/>
  <c r="I5300" i="1"/>
  <c r="J5300" i="1"/>
  <c r="K5300" i="1"/>
  <c r="L5300" i="1"/>
  <c r="M5300" i="1"/>
  <c r="N5300" i="1"/>
  <c r="A5301" i="1"/>
  <c r="B5301" i="1"/>
  <c r="F5301" i="1"/>
  <c r="G5301" i="1"/>
  <c r="H5301" i="1"/>
  <c r="I5301" i="1"/>
  <c r="J5301" i="1"/>
  <c r="K5301" i="1"/>
  <c r="L5301" i="1"/>
  <c r="M5301" i="1"/>
  <c r="N5301" i="1"/>
  <c r="A5302" i="1"/>
  <c r="B5302" i="1"/>
  <c r="F5302" i="1"/>
  <c r="G5302" i="1"/>
  <c r="H5302" i="1"/>
  <c r="I5302" i="1"/>
  <c r="J5302" i="1"/>
  <c r="K5302" i="1"/>
  <c r="L5302" i="1"/>
  <c r="M5302" i="1"/>
  <c r="N5302" i="1"/>
  <c r="A5303" i="1"/>
  <c r="B5303" i="1"/>
  <c r="F5303" i="1"/>
  <c r="G5303" i="1"/>
  <c r="H5303" i="1"/>
  <c r="I5303" i="1"/>
  <c r="J5303" i="1"/>
  <c r="K5303" i="1"/>
  <c r="L5303" i="1"/>
  <c r="M5303" i="1"/>
  <c r="N5303" i="1"/>
  <c r="A5304" i="1"/>
  <c r="B5304" i="1"/>
  <c r="F5304" i="1"/>
  <c r="G5304" i="1"/>
  <c r="H5304" i="1"/>
  <c r="I5304" i="1"/>
  <c r="J5304" i="1"/>
  <c r="K5304" i="1"/>
  <c r="L5304" i="1"/>
  <c r="M5304" i="1"/>
  <c r="N5304" i="1"/>
  <c r="A5305" i="1"/>
  <c r="B5305" i="1"/>
  <c r="F5305" i="1"/>
  <c r="G5305" i="1"/>
  <c r="H5305" i="1"/>
  <c r="I5305" i="1"/>
  <c r="J5305" i="1"/>
  <c r="K5305" i="1"/>
  <c r="L5305" i="1"/>
  <c r="M5305" i="1"/>
  <c r="N5305" i="1"/>
  <c r="A5306" i="1"/>
  <c r="B5306" i="1"/>
  <c r="F5306" i="1"/>
  <c r="G5306" i="1"/>
  <c r="H5306" i="1"/>
  <c r="I5306" i="1"/>
  <c r="J5306" i="1"/>
  <c r="K5306" i="1"/>
  <c r="L5306" i="1"/>
  <c r="M5306" i="1"/>
  <c r="N5306" i="1"/>
  <c r="A5307" i="1"/>
  <c r="B5307" i="1"/>
  <c r="F5307" i="1"/>
  <c r="G5307" i="1"/>
  <c r="H5307" i="1"/>
  <c r="I5307" i="1"/>
  <c r="J5307" i="1"/>
  <c r="K5307" i="1"/>
  <c r="L5307" i="1"/>
  <c r="M5307" i="1"/>
  <c r="N5307" i="1"/>
  <c r="A5308" i="1"/>
  <c r="B5308" i="1"/>
  <c r="F5308" i="1"/>
  <c r="G5308" i="1"/>
  <c r="H5308" i="1"/>
  <c r="I5308" i="1"/>
  <c r="J5308" i="1"/>
  <c r="K5308" i="1"/>
  <c r="L5308" i="1"/>
  <c r="M5308" i="1"/>
  <c r="N5308" i="1"/>
  <c r="A5309" i="1"/>
  <c r="B5309" i="1"/>
  <c r="F5309" i="1"/>
  <c r="G5309" i="1"/>
  <c r="H5309" i="1"/>
  <c r="I5309" i="1"/>
  <c r="J5309" i="1"/>
  <c r="K5309" i="1"/>
  <c r="L5309" i="1"/>
  <c r="M5309" i="1"/>
  <c r="N5309" i="1"/>
  <c r="A5310" i="1"/>
  <c r="B5310" i="1"/>
  <c r="F5310" i="1"/>
  <c r="G5310" i="1"/>
  <c r="H5310" i="1"/>
  <c r="I5310" i="1"/>
  <c r="J5310" i="1"/>
  <c r="K5310" i="1"/>
  <c r="L5310" i="1"/>
  <c r="M5310" i="1"/>
  <c r="N5310" i="1"/>
  <c r="A5311" i="1"/>
  <c r="B5311" i="1"/>
  <c r="F5311" i="1"/>
  <c r="G5311" i="1"/>
  <c r="H5311" i="1"/>
  <c r="I5311" i="1"/>
  <c r="J5311" i="1"/>
  <c r="K5311" i="1"/>
  <c r="L5311" i="1"/>
  <c r="M5311" i="1"/>
  <c r="N5311" i="1"/>
  <c r="A5312" i="1"/>
  <c r="B5312" i="1"/>
  <c r="F5312" i="1"/>
  <c r="G5312" i="1"/>
  <c r="H5312" i="1"/>
  <c r="I5312" i="1"/>
  <c r="J5312" i="1"/>
  <c r="K5312" i="1"/>
  <c r="L5312" i="1"/>
  <c r="M5312" i="1"/>
  <c r="N5312" i="1"/>
  <c r="A5313" i="1"/>
  <c r="B5313" i="1"/>
  <c r="F5313" i="1"/>
  <c r="G5313" i="1"/>
  <c r="H5313" i="1"/>
  <c r="I5313" i="1"/>
  <c r="J5313" i="1"/>
  <c r="K5313" i="1"/>
  <c r="L5313" i="1"/>
  <c r="M5313" i="1"/>
  <c r="N5313" i="1"/>
  <c r="A5314" i="1"/>
  <c r="B5314" i="1"/>
  <c r="F5314" i="1"/>
  <c r="G5314" i="1"/>
  <c r="H5314" i="1"/>
  <c r="I5314" i="1"/>
  <c r="J5314" i="1"/>
  <c r="K5314" i="1"/>
  <c r="L5314" i="1"/>
  <c r="M5314" i="1"/>
  <c r="N5314" i="1"/>
  <c r="A5315" i="1"/>
  <c r="B5315" i="1"/>
  <c r="F5315" i="1"/>
  <c r="G5315" i="1"/>
  <c r="H5315" i="1"/>
  <c r="I5315" i="1"/>
  <c r="J5315" i="1"/>
  <c r="K5315" i="1"/>
  <c r="L5315" i="1"/>
  <c r="M5315" i="1"/>
  <c r="N5315" i="1"/>
  <c r="A5316" i="1"/>
  <c r="B5316" i="1"/>
  <c r="F5316" i="1"/>
  <c r="G5316" i="1"/>
  <c r="H5316" i="1"/>
  <c r="I5316" i="1"/>
  <c r="J5316" i="1"/>
  <c r="K5316" i="1"/>
  <c r="L5316" i="1"/>
  <c r="M5316" i="1"/>
  <c r="N5316" i="1"/>
  <c r="A5317" i="1"/>
  <c r="B5317" i="1"/>
  <c r="F5317" i="1"/>
  <c r="G5317" i="1"/>
  <c r="H5317" i="1"/>
  <c r="I5317" i="1"/>
  <c r="J5317" i="1"/>
  <c r="K5317" i="1"/>
  <c r="L5317" i="1"/>
  <c r="M5317" i="1"/>
  <c r="N5317" i="1"/>
  <c r="A5318" i="1"/>
  <c r="B5318" i="1"/>
  <c r="F5318" i="1"/>
  <c r="G5318" i="1"/>
  <c r="H5318" i="1"/>
  <c r="I5318" i="1"/>
  <c r="J5318" i="1"/>
  <c r="K5318" i="1"/>
  <c r="L5318" i="1"/>
  <c r="M5318" i="1"/>
  <c r="N5318" i="1"/>
  <c r="A5319" i="1"/>
  <c r="B5319" i="1"/>
  <c r="F5319" i="1"/>
  <c r="G5319" i="1"/>
  <c r="H5319" i="1"/>
  <c r="I5319" i="1"/>
  <c r="J5319" i="1"/>
  <c r="K5319" i="1"/>
  <c r="L5319" i="1"/>
  <c r="M5319" i="1"/>
  <c r="N5319" i="1"/>
  <c r="A5320" i="1"/>
  <c r="B5320" i="1"/>
  <c r="F5320" i="1"/>
  <c r="G5320" i="1"/>
  <c r="H5320" i="1"/>
  <c r="I5320" i="1"/>
  <c r="J5320" i="1"/>
  <c r="K5320" i="1"/>
  <c r="L5320" i="1"/>
  <c r="M5320" i="1"/>
  <c r="N5320" i="1"/>
  <c r="A5321" i="1"/>
  <c r="B5321" i="1"/>
  <c r="F5321" i="1"/>
  <c r="G5321" i="1"/>
  <c r="H5321" i="1"/>
  <c r="I5321" i="1"/>
  <c r="J5321" i="1"/>
  <c r="K5321" i="1"/>
  <c r="L5321" i="1"/>
  <c r="M5321" i="1"/>
  <c r="N5321" i="1"/>
  <c r="A5322" i="1"/>
  <c r="B5322" i="1"/>
  <c r="F5322" i="1"/>
  <c r="G5322" i="1"/>
  <c r="H5322" i="1"/>
  <c r="I5322" i="1"/>
  <c r="J5322" i="1"/>
  <c r="K5322" i="1"/>
  <c r="L5322" i="1"/>
  <c r="M5322" i="1"/>
  <c r="N5322" i="1"/>
  <c r="A5323" i="1"/>
  <c r="B5323" i="1"/>
  <c r="F5323" i="1"/>
  <c r="G5323" i="1"/>
  <c r="H5323" i="1"/>
  <c r="I5323" i="1"/>
  <c r="J5323" i="1"/>
  <c r="K5323" i="1"/>
  <c r="L5323" i="1"/>
  <c r="M5323" i="1"/>
  <c r="N5323" i="1"/>
  <c r="A5324" i="1"/>
  <c r="B5324" i="1"/>
  <c r="F5324" i="1"/>
  <c r="G5324" i="1"/>
  <c r="H5324" i="1"/>
  <c r="I5324" i="1"/>
  <c r="J5324" i="1"/>
  <c r="K5324" i="1"/>
  <c r="L5324" i="1"/>
  <c r="M5324" i="1"/>
  <c r="N5324" i="1"/>
  <c r="A5325" i="1"/>
  <c r="B5325" i="1"/>
  <c r="F5325" i="1"/>
  <c r="G5325" i="1"/>
  <c r="H5325" i="1"/>
  <c r="I5325" i="1"/>
  <c r="J5325" i="1"/>
  <c r="K5325" i="1"/>
  <c r="L5325" i="1"/>
  <c r="M5325" i="1"/>
  <c r="N5325" i="1"/>
  <c r="A5326" i="1"/>
  <c r="B5326" i="1"/>
  <c r="F5326" i="1"/>
  <c r="G5326" i="1"/>
  <c r="H5326" i="1"/>
  <c r="I5326" i="1"/>
  <c r="J5326" i="1"/>
  <c r="K5326" i="1"/>
  <c r="L5326" i="1"/>
  <c r="M5326" i="1"/>
  <c r="N5326" i="1"/>
  <c r="A5327" i="1"/>
  <c r="B5327" i="1"/>
  <c r="F5327" i="1"/>
  <c r="G5327" i="1"/>
  <c r="H5327" i="1"/>
  <c r="I5327" i="1"/>
  <c r="J5327" i="1"/>
  <c r="K5327" i="1"/>
  <c r="L5327" i="1"/>
  <c r="M5327" i="1"/>
  <c r="N5327" i="1"/>
  <c r="A5328" i="1"/>
  <c r="B5328" i="1"/>
  <c r="F5328" i="1"/>
  <c r="G5328" i="1"/>
  <c r="H5328" i="1"/>
  <c r="I5328" i="1"/>
  <c r="J5328" i="1"/>
  <c r="K5328" i="1"/>
  <c r="L5328" i="1"/>
  <c r="M5328" i="1"/>
  <c r="N5328" i="1"/>
  <c r="A5329" i="1"/>
  <c r="B5329" i="1"/>
  <c r="F5329" i="1"/>
  <c r="G5329" i="1"/>
  <c r="H5329" i="1"/>
  <c r="I5329" i="1"/>
  <c r="J5329" i="1"/>
  <c r="K5329" i="1"/>
  <c r="L5329" i="1"/>
  <c r="M5329" i="1"/>
  <c r="N5329" i="1"/>
  <c r="A5330" i="1"/>
  <c r="B5330" i="1"/>
  <c r="F5330" i="1"/>
  <c r="G5330" i="1"/>
  <c r="H5330" i="1"/>
  <c r="I5330" i="1"/>
  <c r="J5330" i="1"/>
  <c r="K5330" i="1"/>
  <c r="L5330" i="1"/>
  <c r="M5330" i="1"/>
  <c r="N5330" i="1"/>
  <c r="A5331" i="1"/>
  <c r="B5331" i="1"/>
  <c r="F5331" i="1"/>
  <c r="G5331" i="1"/>
  <c r="H5331" i="1"/>
  <c r="I5331" i="1"/>
  <c r="J5331" i="1"/>
  <c r="K5331" i="1"/>
  <c r="L5331" i="1"/>
  <c r="M5331" i="1"/>
  <c r="N5331" i="1"/>
  <c r="A5332" i="1"/>
  <c r="B5332" i="1"/>
  <c r="F5332" i="1"/>
  <c r="G5332" i="1"/>
  <c r="H5332" i="1"/>
  <c r="I5332" i="1"/>
  <c r="J5332" i="1"/>
  <c r="K5332" i="1"/>
  <c r="L5332" i="1"/>
  <c r="M5332" i="1"/>
  <c r="N5332" i="1"/>
  <c r="A5333" i="1"/>
  <c r="B5333" i="1"/>
  <c r="F5333" i="1"/>
  <c r="G5333" i="1"/>
  <c r="H5333" i="1"/>
  <c r="I5333" i="1"/>
  <c r="J5333" i="1"/>
  <c r="K5333" i="1"/>
  <c r="L5333" i="1"/>
  <c r="M5333" i="1"/>
  <c r="N5333" i="1"/>
  <c r="A5334" i="1"/>
  <c r="B5334" i="1"/>
  <c r="F5334" i="1"/>
  <c r="G5334" i="1"/>
  <c r="H5334" i="1"/>
  <c r="I5334" i="1"/>
  <c r="J5334" i="1"/>
  <c r="K5334" i="1"/>
  <c r="L5334" i="1"/>
  <c r="M5334" i="1"/>
  <c r="N5334" i="1"/>
  <c r="A5335" i="1"/>
  <c r="B5335" i="1"/>
  <c r="F5335" i="1"/>
  <c r="G5335" i="1"/>
  <c r="H5335" i="1"/>
  <c r="I5335" i="1"/>
  <c r="J5335" i="1"/>
  <c r="K5335" i="1"/>
  <c r="L5335" i="1"/>
  <c r="M5335" i="1"/>
  <c r="N5335" i="1"/>
  <c r="A5336" i="1"/>
  <c r="B5336" i="1"/>
  <c r="F5336" i="1"/>
  <c r="G5336" i="1"/>
  <c r="H5336" i="1"/>
  <c r="I5336" i="1"/>
  <c r="J5336" i="1"/>
  <c r="K5336" i="1"/>
  <c r="L5336" i="1"/>
  <c r="M5336" i="1"/>
  <c r="N5336" i="1"/>
  <c r="A5337" i="1"/>
  <c r="B5337" i="1"/>
  <c r="F5337" i="1"/>
  <c r="G5337" i="1"/>
  <c r="H5337" i="1"/>
  <c r="I5337" i="1"/>
  <c r="J5337" i="1"/>
  <c r="K5337" i="1"/>
  <c r="L5337" i="1"/>
  <c r="M5337" i="1"/>
  <c r="N5337" i="1"/>
  <c r="A5338" i="1"/>
  <c r="B5338" i="1"/>
  <c r="F5338" i="1"/>
  <c r="G5338" i="1"/>
  <c r="H5338" i="1"/>
  <c r="I5338" i="1"/>
  <c r="J5338" i="1"/>
  <c r="K5338" i="1"/>
  <c r="L5338" i="1"/>
  <c r="M5338" i="1"/>
  <c r="N5338" i="1"/>
  <c r="A5339" i="1"/>
  <c r="B5339" i="1"/>
  <c r="F5339" i="1"/>
  <c r="G5339" i="1"/>
  <c r="H5339" i="1"/>
  <c r="I5339" i="1"/>
  <c r="J5339" i="1"/>
  <c r="K5339" i="1"/>
  <c r="L5339" i="1"/>
  <c r="M5339" i="1"/>
  <c r="N5339" i="1"/>
  <c r="A5340" i="1"/>
  <c r="B5340" i="1"/>
  <c r="F5340" i="1"/>
  <c r="G5340" i="1"/>
  <c r="H5340" i="1"/>
  <c r="I5340" i="1"/>
  <c r="J5340" i="1"/>
  <c r="K5340" i="1"/>
  <c r="L5340" i="1"/>
  <c r="M5340" i="1"/>
  <c r="N5340" i="1"/>
  <c r="A5341" i="1"/>
  <c r="B5341" i="1"/>
  <c r="F5341" i="1"/>
  <c r="G5341" i="1"/>
  <c r="H5341" i="1"/>
  <c r="I5341" i="1"/>
  <c r="J5341" i="1"/>
  <c r="K5341" i="1"/>
  <c r="L5341" i="1"/>
  <c r="M5341" i="1"/>
  <c r="N5341" i="1"/>
  <c r="A5342" i="1"/>
  <c r="B5342" i="1"/>
  <c r="F5342" i="1"/>
  <c r="G5342" i="1"/>
  <c r="H5342" i="1"/>
  <c r="I5342" i="1"/>
  <c r="J5342" i="1"/>
  <c r="K5342" i="1"/>
  <c r="L5342" i="1"/>
  <c r="M5342" i="1"/>
  <c r="N5342" i="1"/>
  <c r="A5343" i="1"/>
  <c r="B5343" i="1"/>
  <c r="F5343" i="1"/>
  <c r="G5343" i="1"/>
  <c r="H5343" i="1"/>
  <c r="I5343" i="1"/>
  <c r="J5343" i="1"/>
  <c r="K5343" i="1"/>
  <c r="L5343" i="1"/>
  <c r="M5343" i="1"/>
  <c r="N5343" i="1"/>
  <c r="A5344" i="1"/>
  <c r="B5344" i="1"/>
  <c r="F5344" i="1"/>
  <c r="G5344" i="1"/>
  <c r="H5344" i="1"/>
  <c r="I5344" i="1"/>
  <c r="J5344" i="1"/>
  <c r="K5344" i="1"/>
  <c r="L5344" i="1"/>
  <c r="M5344" i="1"/>
  <c r="N5344" i="1"/>
  <c r="A5345" i="1"/>
  <c r="B5345" i="1"/>
  <c r="F5345" i="1"/>
  <c r="G5345" i="1"/>
  <c r="H5345" i="1"/>
  <c r="I5345" i="1"/>
  <c r="J5345" i="1"/>
  <c r="K5345" i="1"/>
  <c r="L5345" i="1"/>
  <c r="M5345" i="1"/>
  <c r="N5345" i="1"/>
  <c r="A5346" i="1"/>
  <c r="B5346" i="1"/>
  <c r="F5346" i="1"/>
  <c r="G5346" i="1"/>
  <c r="H5346" i="1"/>
  <c r="I5346" i="1"/>
  <c r="J5346" i="1"/>
  <c r="K5346" i="1"/>
  <c r="L5346" i="1"/>
  <c r="M5346" i="1"/>
  <c r="N5346" i="1"/>
  <c r="A5347" i="1"/>
  <c r="B5347" i="1"/>
  <c r="F5347" i="1"/>
  <c r="G5347" i="1"/>
  <c r="H5347" i="1"/>
  <c r="I5347" i="1"/>
  <c r="J5347" i="1"/>
  <c r="K5347" i="1"/>
  <c r="L5347" i="1"/>
  <c r="M5347" i="1"/>
  <c r="N5347" i="1"/>
  <c r="A5348" i="1"/>
  <c r="B5348" i="1"/>
  <c r="F5348" i="1"/>
  <c r="G5348" i="1"/>
  <c r="H5348" i="1"/>
  <c r="I5348" i="1"/>
  <c r="J5348" i="1"/>
  <c r="K5348" i="1"/>
  <c r="L5348" i="1"/>
  <c r="M5348" i="1"/>
  <c r="N5348" i="1"/>
  <c r="A5349" i="1"/>
  <c r="B5349" i="1"/>
  <c r="F5349" i="1"/>
  <c r="G5349" i="1"/>
  <c r="H5349" i="1"/>
  <c r="I5349" i="1"/>
  <c r="J5349" i="1"/>
  <c r="K5349" i="1"/>
  <c r="L5349" i="1"/>
  <c r="M5349" i="1"/>
  <c r="N5349" i="1"/>
  <c r="A5350" i="1"/>
  <c r="B5350" i="1"/>
  <c r="F5350" i="1"/>
  <c r="G5350" i="1"/>
  <c r="H5350" i="1"/>
  <c r="I5350" i="1"/>
  <c r="J5350" i="1"/>
  <c r="K5350" i="1"/>
  <c r="L5350" i="1"/>
  <c r="M5350" i="1"/>
  <c r="N5350" i="1"/>
  <c r="A5351" i="1"/>
  <c r="B5351" i="1"/>
  <c r="F5351" i="1"/>
  <c r="G5351" i="1"/>
  <c r="H5351" i="1"/>
  <c r="I5351" i="1"/>
  <c r="J5351" i="1"/>
  <c r="K5351" i="1"/>
  <c r="L5351" i="1"/>
  <c r="M5351" i="1"/>
  <c r="N5351" i="1"/>
  <c r="A5352" i="1"/>
  <c r="B5352" i="1"/>
  <c r="F5352" i="1"/>
  <c r="G5352" i="1"/>
  <c r="H5352" i="1"/>
  <c r="I5352" i="1"/>
  <c r="J5352" i="1"/>
  <c r="K5352" i="1"/>
  <c r="L5352" i="1"/>
  <c r="M5352" i="1"/>
  <c r="N5352" i="1"/>
  <c r="A5353" i="1"/>
  <c r="B5353" i="1"/>
  <c r="F5353" i="1"/>
  <c r="G5353" i="1"/>
  <c r="H5353" i="1"/>
  <c r="I5353" i="1"/>
  <c r="J5353" i="1"/>
  <c r="K5353" i="1"/>
  <c r="L5353" i="1"/>
  <c r="M5353" i="1"/>
  <c r="N5353" i="1"/>
  <c r="A5354" i="1"/>
  <c r="B5354" i="1"/>
  <c r="F5354" i="1"/>
  <c r="G5354" i="1"/>
  <c r="H5354" i="1"/>
  <c r="I5354" i="1"/>
  <c r="J5354" i="1"/>
  <c r="K5354" i="1"/>
  <c r="L5354" i="1"/>
  <c r="M5354" i="1"/>
  <c r="N5354" i="1"/>
  <c r="A5355" i="1"/>
  <c r="B5355" i="1"/>
  <c r="F5355" i="1"/>
  <c r="G5355" i="1"/>
  <c r="H5355" i="1"/>
  <c r="I5355" i="1"/>
  <c r="J5355" i="1"/>
  <c r="K5355" i="1"/>
  <c r="L5355" i="1"/>
  <c r="M5355" i="1"/>
  <c r="N5355" i="1"/>
  <c r="A5356" i="1"/>
  <c r="B5356" i="1"/>
  <c r="F5356" i="1"/>
  <c r="G5356" i="1"/>
  <c r="H5356" i="1"/>
  <c r="I5356" i="1"/>
  <c r="J5356" i="1"/>
  <c r="K5356" i="1"/>
  <c r="L5356" i="1"/>
  <c r="M5356" i="1"/>
  <c r="N5356" i="1"/>
  <c r="A5357" i="1"/>
  <c r="B5357" i="1"/>
  <c r="F5357" i="1"/>
  <c r="G5357" i="1"/>
  <c r="H5357" i="1"/>
  <c r="I5357" i="1"/>
  <c r="J5357" i="1"/>
  <c r="K5357" i="1"/>
  <c r="L5357" i="1"/>
  <c r="M5357" i="1"/>
  <c r="N5357" i="1"/>
  <c r="A5358" i="1"/>
  <c r="B5358" i="1"/>
  <c r="F5358" i="1"/>
  <c r="G5358" i="1"/>
  <c r="H5358" i="1"/>
  <c r="I5358" i="1"/>
  <c r="J5358" i="1"/>
  <c r="K5358" i="1"/>
  <c r="L5358" i="1"/>
  <c r="M5358" i="1"/>
  <c r="N5358" i="1"/>
  <c r="A5359" i="1"/>
  <c r="B5359" i="1"/>
  <c r="F5359" i="1"/>
  <c r="G5359" i="1"/>
  <c r="H5359" i="1"/>
  <c r="I5359" i="1"/>
  <c r="J5359" i="1"/>
  <c r="K5359" i="1"/>
  <c r="L5359" i="1"/>
  <c r="M5359" i="1"/>
  <c r="N5359" i="1"/>
  <c r="A5360" i="1"/>
  <c r="B5360" i="1"/>
  <c r="F5360" i="1"/>
  <c r="G5360" i="1"/>
  <c r="H5360" i="1"/>
  <c r="I5360" i="1"/>
  <c r="J5360" i="1"/>
  <c r="K5360" i="1"/>
  <c r="L5360" i="1"/>
  <c r="M5360" i="1"/>
  <c r="N5360" i="1"/>
  <c r="A5361" i="1"/>
  <c r="B5361" i="1"/>
  <c r="F5361" i="1"/>
  <c r="G5361" i="1"/>
  <c r="H5361" i="1"/>
  <c r="I5361" i="1"/>
  <c r="J5361" i="1"/>
  <c r="K5361" i="1"/>
  <c r="L5361" i="1"/>
  <c r="M5361" i="1"/>
  <c r="N5361" i="1"/>
  <c r="A5362" i="1"/>
  <c r="B5362" i="1"/>
  <c r="F5362" i="1"/>
  <c r="G5362" i="1"/>
  <c r="H5362" i="1"/>
  <c r="I5362" i="1"/>
  <c r="J5362" i="1"/>
  <c r="K5362" i="1"/>
  <c r="L5362" i="1"/>
  <c r="M5362" i="1"/>
  <c r="N5362" i="1"/>
  <c r="A5363" i="1"/>
  <c r="B5363" i="1"/>
  <c r="F5363" i="1"/>
  <c r="G5363" i="1"/>
  <c r="H5363" i="1"/>
  <c r="I5363" i="1"/>
  <c r="J5363" i="1"/>
  <c r="K5363" i="1"/>
  <c r="L5363" i="1"/>
  <c r="M5363" i="1"/>
  <c r="N5363" i="1"/>
  <c r="A5364" i="1"/>
  <c r="B5364" i="1"/>
  <c r="F5364" i="1"/>
  <c r="G5364" i="1"/>
  <c r="H5364" i="1"/>
  <c r="I5364" i="1"/>
  <c r="J5364" i="1"/>
  <c r="K5364" i="1"/>
  <c r="L5364" i="1"/>
  <c r="M5364" i="1"/>
  <c r="N5364" i="1"/>
  <c r="A5365" i="1"/>
  <c r="B5365" i="1"/>
  <c r="F5365" i="1"/>
  <c r="G5365" i="1"/>
  <c r="H5365" i="1"/>
  <c r="I5365" i="1"/>
  <c r="J5365" i="1"/>
  <c r="K5365" i="1"/>
  <c r="L5365" i="1"/>
  <c r="M5365" i="1"/>
  <c r="N5365" i="1"/>
  <c r="A5366" i="1"/>
  <c r="B5366" i="1"/>
  <c r="F5366" i="1"/>
  <c r="G5366" i="1"/>
  <c r="H5366" i="1"/>
  <c r="I5366" i="1"/>
  <c r="J5366" i="1"/>
  <c r="K5366" i="1"/>
  <c r="L5366" i="1"/>
  <c r="M5366" i="1"/>
  <c r="N5366" i="1"/>
  <c r="A5367" i="1"/>
  <c r="B5367" i="1"/>
  <c r="F5367" i="1"/>
  <c r="G5367" i="1"/>
  <c r="H5367" i="1"/>
  <c r="I5367" i="1"/>
  <c r="J5367" i="1"/>
  <c r="K5367" i="1"/>
  <c r="L5367" i="1"/>
  <c r="M5367" i="1"/>
  <c r="N5367" i="1"/>
  <c r="A5368" i="1"/>
  <c r="B5368" i="1"/>
  <c r="F5368" i="1"/>
  <c r="G5368" i="1"/>
  <c r="H5368" i="1"/>
  <c r="I5368" i="1"/>
  <c r="J5368" i="1"/>
  <c r="K5368" i="1"/>
  <c r="L5368" i="1"/>
  <c r="M5368" i="1"/>
  <c r="N5368" i="1"/>
  <c r="A5369" i="1"/>
  <c r="B5369" i="1"/>
  <c r="F5369" i="1"/>
  <c r="G5369" i="1"/>
  <c r="H5369" i="1"/>
  <c r="I5369" i="1"/>
  <c r="J5369" i="1"/>
  <c r="K5369" i="1"/>
  <c r="L5369" i="1"/>
  <c r="M5369" i="1"/>
  <c r="N5369" i="1"/>
  <c r="A5370" i="1"/>
  <c r="B5370" i="1"/>
  <c r="F5370" i="1"/>
  <c r="G5370" i="1"/>
  <c r="H5370" i="1"/>
  <c r="I5370" i="1"/>
  <c r="J5370" i="1"/>
  <c r="K5370" i="1"/>
  <c r="L5370" i="1"/>
  <c r="M5370" i="1"/>
  <c r="N5370" i="1"/>
  <c r="A5371" i="1"/>
  <c r="B5371" i="1"/>
  <c r="F5371" i="1"/>
  <c r="G5371" i="1"/>
  <c r="H5371" i="1"/>
  <c r="I5371" i="1"/>
  <c r="J5371" i="1"/>
  <c r="K5371" i="1"/>
  <c r="L5371" i="1"/>
  <c r="M5371" i="1"/>
  <c r="N5371" i="1"/>
  <c r="A5372" i="1"/>
  <c r="B5372" i="1"/>
  <c r="F5372" i="1"/>
  <c r="G5372" i="1"/>
  <c r="H5372" i="1"/>
  <c r="I5372" i="1"/>
  <c r="J5372" i="1"/>
  <c r="K5372" i="1"/>
  <c r="L5372" i="1"/>
  <c r="M5372" i="1"/>
  <c r="N5372" i="1"/>
  <c r="A5373" i="1"/>
  <c r="B5373" i="1"/>
  <c r="F5373" i="1"/>
  <c r="G5373" i="1"/>
  <c r="H5373" i="1"/>
  <c r="I5373" i="1"/>
  <c r="J5373" i="1"/>
  <c r="K5373" i="1"/>
  <c r="L5373" i="1"/>
  <c r="M5373" i="1"/>
  <c r="N5373" i="1"/>
  <c r="A5374" i="1"/>
  <c r="B5374" i="1"/>
  <c r="F5374" i="1"/>
  <c r="G5374" i="1"/>
  <c r="H5374" i="1"/>
  <c r="I5374" i="1"/>
  <c r="J5374" i="1"/>
  <c r="K5374" i="1"/>
  <c r="L5374" i="1"/>
  <c r="M5374" i="1"/>
  <c r="N5374" i="1"/>
  <c r="A5375" i="1"/>
  <c r="B5375" i="1"/>
  <c r="F5375" i="1"/>
  <c r="G5375" i="1"/>
  <c r="H5375" i="1"/>
  <c r="I5375" i="1"/>
  <c r="J5375" i="1"/>
  <c r="K5375" i="1"/>
  <c r="L5375" i="1"/>
  <c r="M5375" i="1"/>
  <c r="N5375" i="1"/>
  <c r="A5376" i="1"/>
  <c r="B5376" i="1"/>
  <c r="F5376" i="1"/>
  <c r="G5376" i="1"/>
  <c r="H5376" i="1"/>
  <c r="I5376" i="1"/>
  <c r="J5376" i="1"/>
  <c r="K5376" i="1"/>
  <c r="L5376" i="1"/>
  <c r="M5376" i="1"/>
  <c r="N5376" i="1"/>
  <c r="A5377" i="1"/>
  <c r="B5377" i="1"/>
  <c r="F5377" i="1"/>
  <c r="G5377" i="1"/>
  <c r="H5377" i="1"/>
  <c r="I5377" i="1"/>
  <c r="J5377" i="1"/>
  <c r="K5377" i="1"/>
  <c r="L5377" i="1"/>
  <c r="M5377" i="1"/>
  <c r="N5377" i="1"/>
  <c r="A5378" i="1"/>
  <c r="B5378" i="1"/>
  <c r="F5378" i="1"/>
  <c r="G5378" i="1"/>
  <c r="H5378" i="1"/>
  <c r="I5378" i="1"/>
  <c r="J5378" i="1"/>
  <c r="K5378" i="1"/>
  <c r="L5378" i="1"/>
  <c r="M5378" i="1"/>
  <c r="N5378" i="1"/>
  <c r="A5379" i="1"/>
  <c r="B5379" i="1"/>
  <c r="F5379" i="1"/>
  <c r="G5379" i="1"/>
  <c r="H5379" i="1"/>
  <c r="I5379" i="1"/>
  <c r="J5379" i="1"/>
  <c r="K5379" i="1"/>
  <c r="L5379" i="1"/>
  <c r="M5379" i="1"/>
  <c r="N5379" i="1"/>
</calcChain>
</file>

<file path=xl/sharedStrings.xml><?xml version="1.0" encoding="utf-8"?>
<sst xmlns="http://schemas.openxmlformats.org/spreadsheetml/2006/main" count="49" uniqueCount="13">
  <si>
    <t>="Enc.Losch " Landherz"</t>
  </si>
  <si>
    <t>="ENC.LOSCH "RARE FORM"</t>
  </si>
  <si>
    <t>="ENC.LOSCH "LANDHERZL"</t>
  </si>
  <si>
    <t>="ENC.LOSCH "BARBARA""</t>
  </si>
  <si>
    <t>????????</t>
  </si>
  <si>
    <t>Cliente</t>
  </si>
  <si>
    <t>Obs. Tinturaria</t>
  </si>
  <si>
    <t>Obs. F. Cru</t>
  </si>
  <si>
    <t>Obs. Tec.</t>
  </si>
  <si>
    <t>Obs. Embalagem</t>
  </si>
  <si>
    <t>Obs. Confeção Felpos</t>
  </si>
  <si>
    <t>Obs. Confeção Roupões</t>
  </si>
  <si>
    <t>Obs. Gerais Encomenda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</si>
</sst>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49" fontId="16" fillId="33" borderId="0" xfId="0" applyNumberFormat="1" applyFont="1" applyFill="1" applyAlignment="1">
      <alignment horizontal="center"/>
    </xf>
    <xf numFmtId="14" fontId="16" fillId="33" borderId="0" xfId="0" applyNumberFormat="1" applyFont="1" applyFill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14" fontId="16" fillId="3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6608-2B1C-4CB5-B988-4A737D39E662}">
  <dimension ref="A1:AO5379"/>
  <sheetViews>
    <sheetView tabSelected="1" topLeftCell="T1" workbookViewId="0">
      <pane ySplit="1" topLeftCell="A2" activePane="bottomLeft" state="frozenSplit"/>
      <selection pane="bottomLeft" activeCell="AG2" sqref="AG2"/>
    </sheetView>
  </sheetViews>
  <sheetFormatPr defaultRowHeight="15" x14ac:dyDescent="0.25"/>
  <cols>
    <col min="1" max="1" width="18.42578125" style="6" customWidth="1"/>
    <col min="2" max="2" width="11.7109375" style="6" bestFit="1" customWidth="1"/>
    <col min="3" max="3" width="15.42578125" style="7" bestFit="1" customWidth="1"/>
    <col min="4" max="4" width="14.28515625" style="7" bestFit="1" customWidth="1"/>
    <col min="5" max="5" width="8.28515625" style="8" bestFit="1" customWidth="1"/>
    <col min="6" max="6" width="25.7109375" style="6" bestFit="1" customWidth="1"/>
    <col min="7" max="7" width="17.42578125" style="6" bestFit="1" customWidth="1"/>
    <col min="8" max="8" width="23.42578125" style="6" bestFit="1" customWidth="1"/>
    <col min="9" max="9" width="7.5703125" style="6" bestFit="1" customWidth="1"/>
    <col min="10" max="10" width="20.85546875" style="6" bestFit="1" customWidth="1"/>
    <col min="11" max="11" width="7" style="6" bestFit="1" customWidth="1"/>
    <col min="12" max="12" width="15.7109375" style="6" bestFit="1" customWidth="1"/>
    <col min="13" max="13" width="11.7109375" style="6" bestFit="1" customWidth="1"/>
    <col min="14" max="14" width="14.140625" style="6" bestFit="1" customWidth="1"/>
    <col min="15" max="15" width="13.140625" style="8" bestFit="1" customWidth="1"/>
    <col min="16" max="16" width="13.85546875" style="7" bestFit="1" customWidth="1"/>
    <col min="17" max="17" width="13.85546875" style="7" customWidth="1"/>
    <col min="18" max="18" width="14.28515625" style="8" bestFit="1" customWidth="1"/>
    <col min="19" max="19" width="14.85546875" style="7" bestFit="1" customWidth="1"/>
    <col min="20" max="20" width="14.85546875" style="7" customWidth="1"/>
    <col min="21" max="21" width="12.7109375" style="8" bestFit="1" customWidth="1"/>
    <col min="22" max="22" width="12.5703125" style="7" bestFit="1" customWidth="1"/>
    <col min="23" max="23" width="16.42578125" style="7" bestFit="1" customWidth="1"/>
    <col min="24" max="24" width="21.28515625" style="8" bestFit="1" customWidth="1"/>
    <col min="25" max="25" width="21.28515625" style="8" customWidth="1"/>
    <col min="26" max="26" width="18.85546875" style="8" bestFit="1" customWidth="1"/>
    <col min="27" max="27" width="15" style="7" bestFit="1" customWidth="1"/>
    <col min="28" max="28" width="15" style="7" customWidth="1"/>
    <col min="29" max="29" width="14.28515625" style="8" bestFit="1" customWidth="1"/>
    <col min="30" max="30" width="14.28515625" style="8" customWidth="1"/>
    <col min="31" max="31" width="18.85546875" style="7" bestFit="1" customWidth="1"/>
    <col min="32" max="32" width="12" style="8" bestFit="1" customWidth="1"/>
    <col min="33" max="33" width="15.7109375" style="8" bestFit="1" customWidth="1"/>
    <col min="34" max="34" width="13.7109375" style="7" bestFit="1" customWidth="1"/>
    <col min="35" max="35" width="18.140625" style="7" bestFit="1" customWidth="1"/>
    <col min="36" max="36" width="17.140625" style="7" bestFit="1" customWidth="1"/>
    <col min="37" max="37" width="17.85546875" style="7" bestFit="1" customWidth="1"/>
    <col min="38" max="39" width="19.28515625" style="7" bestFit="1" customWidth="1"/>
    <col min="40" max="40" width="13.140625" style="8" bestFit="1" customWidth="1"/>
    <col min="41" max="41" width="13.42578125" style="8" bestFit="1" customWidth="1"/>
    <col min="42" max="16384" width="9.140625" style="5"/>
  </cols>
  <sheetData>
    <row r="1" spans="1:41" x14ac:dyDescent="0.25">
      <c r="A1" s="1" t="str">
        <f>"Nr.Documento"</f>
        <v>Nr.Documento</v>
      </c>
      <c r="B1" s="1" t="s">
        <v>5</v>
      </c>
      <c r="C1" s="2" t="str">
        <f>"Data Emissão "</f>
        <v xml:space="preserve">Data Emissão </v>
      </c>
      <c r="D1" s="2" t="str">
        <f>"Data Pedida "</f>
        <v xml:space="preserve">Data Pedida </v>
      </c>
      <c r="E1" s="3" t="str">
        <f>"Item  "</f>
        <v xml:space="preserve">Item  </v>
      </c>
      <c r="F1" s="1" t="str">
        <f>"PO"</f>
        <v>PO</v>
      </c>
      <c r="G1" s="1" t="str">
        <f>"Cod.Artigo"</f>
        <v>Cod.Artigo</v>
      </c>
      <c r="H1" s="1" t="str">
        <f>"Referencia   "</f>
        <v xml:space="preserve">Referencia   </v>
      </c>
      <c r="I1" s="1" t="str">
        <f>"Cor   "</f>
        <v xml:space="preserve">Cor   </v>
      </c>
      <c r="J1" s="1" t="str">
        <f>"Descricao"</f>
        <v>Descricao</v>
      </c>
      <c r="K1" s="1" t="str">
        <f>"Tam"</f>
        <v>Tam</v>
      </c>
      <c r="L1" s="1" t="str">
        <f>"Familia"</f>
        <v>Familia</v>
      </c>
      <c r="M1" s="1" t="str">
        <f>"Descricao"</f>
        <v>Descricao</v>
      </c>
      <c r="N1" s="1" t="str">
        <f>"EAN"</f>
        <v>EAN</v>
      </c>
      <c r="O1" s="3" t="str">
        <f>"Qtd Pedida"</f>
        <v>Qtd Pedida</v>
      </c>
      <c r="P1" s="2" t="str">
        <f>"Data Tec.      "</f>
        <v xml:space="preserve">Data Tec.      </v>
      </c>
      <c r="Q1" s="4" t="s">
        <v>8</v>
      </c>
      <c r="R1" s="3" t="str">
        <f>"Felpo Cru      "</f>
        <v xml:space="preserve">Felpo Cru      </v>
      </c>
      <c r="S1" s="2" t="str">
        <f>"Data F.Cru      "</f>
        <v xml:space="preserve">Data F.Cru      </v>
      </c>
      <c r="T1" s="4" t="s">
        <v>7</v>
      </c>
      <c r="U1" s="3" t="str">
        <f>" Tinturaria "</f>
        <v xml:space="preserve"> Tinturaria </v>
      </c>
      <c r="V1" s="2" t="str">
        <f>" Data Tint. "</f>
        <v xml:space="preserve"> Data Tint. </v>
      </c>
      <c r="W1" s="4" t="s">
        <v>6</v>
      </c>
      <c r="X1" s="3" t="str">
        <f>"Confeccao Roupoes "</f>
        <v xml:space="preserve">Confeccao Roupoes </v>
      </c>
      <c r="Y1" s="4" t="s">
        <v>11</v>
      </c>
      <c r="Z1" s="3" t="str">
        <f>"Confeccao Felpos"</f>
        <v>Confeccao Felpos</v>
      </c>
      <c r="AA1" s="2" t="str">
        <f>"Data Conf.      "</f>
        <v xml:space="preserve">Data Conf.      </v>
      </c>
      <c r="AB1" s="4" t="s">
        <v>10</v>
      </c>
      <c r="AC1" s="3" t="str">
        <f>" Emb./Acab. "</f>
        <v xml:space="preserve"> Emb./Acab. </v>
      </c>
      <c r="AD1" s="4" t="s">
        <v>9</v>
      </c>
      <c r="AE1" s="2" t="str">
        <f>"Data Arm. Exp.      "</f>
        <v xml:space="preserve">Data Arm. Exp.      </v>
      </c>
      <c r="AF1" s="3" t="str">
        <f>" Stock Cx. "</f>
        <v xml:space="preserve"> Stock Cx. </v>
      </c>
      <c r="AG1" s="4" t="s">
        <v>12</v>
      </c>
      <c r="AH1" s="2" t="str">
        <f>"Data Ent.      "</f>
        <v xml:space="preserve">Data Ent.      </v>
      </c>
      <c r="AI1" s="2" t="str">
        <f>"Data Especial.      "</f>
        <v xml:space="preserve">Data Especial.      </v>
      </c>
      <c r="AJ1" s="2" t="str">
        <f>"Data Printer.      "</f>
        <v xml:space="preserve">Data Printer.      </v>
      </c>
      <c r="AK1" s="2" t="str">
        <f>"Data Debuxo.      "</f>
        <v xml:space="preserve">Data Debuxo.      </v>
      </c>
      <c r="AL1" s="2" t="str">
        <f>"Data Amostras.      "</f>
        <v xml:space="preserve">Data Amostras.      </v>
      </c>
      <c r="AM1" s="2" t="str">
        <f>"Data Bordados.      "</f>
        <v xml:space="preserve">Data Bordados.      </v>
      </c>
      <c r="AN1" s="3" t="str">
        <f>"  Facturada "</f>
        <v xml:space="preserve">  Facturada </v>
      </c>
      <c r="AO1" s="3" t="str">
        <f>" Em Aberto "</f>
        <v xml:space="preserve"> Em Aberto </v>
      </c>
    </row>
    <row r="2" spans="1:41" x14ac:dyDescent="0.25">
      <c r="A2" s="6" t="str">
        <f>"520-2025001079"</f>
        <v>520-2025001079</v>
      </c>
      <c r="B2" s="6" t="str">
        <f>"KROMA -"</f>
        <v>KROMA -</v>
      </c>
      <c r="C2" s="7">
        <v>45930</v>
      </c>
      <c r="D2" s="7">
        <v>46031</v>
      </c>
      <c r="E2" s="8">
        <v>5</v>
      </c>
      <c r="F2" s="6" t="str">
        <f>"BADER 99130001722298"</f>
        <v>BADER 99130001722298</v>
      </c>
      <c r="G2" s="6" t="str">
        <f>"R300316635000000"</f>
        <v>R300316635000000</v>
      </c>
      <c r="H2" s="6" t="str">
        <f>"R 3166 - PLR 3425 (m"</f>
        <v>R 3166 - PLR 3425 (m</v>
      </c>
      <c r="I2" s="6" t="str">
        <f>"203598"</f>
        <v>203598</v>
      </c>
      <c r="J2" s="6" t="str">
        <f>"ROSA 3598"</f>
        <v>ROSA 3598</v>
      </c>
      <c r="K2" s="6" t="str">
        <f>"5002"</f>
        <v>5002</v>
      </c>
      <c r="L2" s="6" t="str">
        <f>"Roupões Adulto"</f>
        <v>Roupões Adulto</v>
      </c>
      <c r="M2" s="6" t="str">
        <f>"S"</f>
        <v>S</v>
      </c>
      <c r="N2" s="6" t="str">
        <f>"5605247943193"</f>
        <v>5605247943193</v>
      </c>
      <c r="O2" s="8">
        <v>42</v>
      </c>
      <c r="P2" s="7">
        <v>45975</v>
      </c>
      <c r="R2" s="8">
        <v>1121</v>
      </c>
      <c r="S2" s="7">
        <v>45980</v>
      </c>
      <c r="U2" s="8">
        <v>827</v>
      </c>
      <c r="V2" s="7">
        <v>45985</v>
      </c>
      <c r="X2" s="8">
        <v>827</v>
      </c>
      <c r="Z2" s="8">
        <v>0</v>
      </c>
      <c r="AA2" s="7">
        <v>45996</v>
      </c>
      <c r="AC2" s="8">
        <v>42</v>
      </c>
      <c r="AE2" s="7">
        <v>46001</v>
      </c>
      <c r="AF2" s="8">
        <v>42</v>
      </c>
      <c r="AH2" s="7">
        <v>46031</v>
      </c>
      <c r="AN2" s="8">
        <v>42</v>
      </c>
      <c r="AO2" s="8">
        <v>0</v>
      </c>
    </row>
    <row r="3" spans="1:41" x14ac:dyDescent="0.25">
      <c r="A3" s="6" t="str">
        <f>"520-2025001079"</f>
        <v>520-2025001079</v>
      </c>
      <c r="B3" s="6" t="str">
        <f>"KROMA -"</f>
        <v>KROMA -</v>
      </c>
      <c r="C3" s="7">
        <v>45930</v>
      </c>
      <c r="D3" s="7">
        <v>46031</v>
      </c>
      <c r="E3" s="8">
        <v>6</v>
      </c>
      <c r="F3" s="6" t="str">
        <f>"BADER 99130001722298"</f>
        <v>BADER 99130001722298</v>
      </c>
      <c r="G3" s="6" t="str">
        <f>"R300316635000000"</f>
        <v>R300316635000000</v>
      </c>
      <c r="H3" s="6" t="str">
        <f>"R 3166 - PLR 3425 (m"</f>
        <v>R 3166 - PLR 3425 (m</v>
      </c>
      <c r="I3" s="6" t="str">
        <f>"203598"</f>
        <v>203598</v>
      </c>
      <c r="J3" s="6" t="str">
        <f>"ROSA 3598"</f>
        <v>ROSA 3598</v>
      </c>
      <c r="K3" s="6" t="str">
        <f>"5004"</f>
        <v>5004</v>
      </c>
      <c r="L3" s="6" t="str">
        <f>"Roupões Adulto"</f>
        <v>Roupões Adulto</v>
      </c>
      <c r="M3" s="6" t="str">
        <f>"M"</f>
        <v>M</v>
      </c>
      <c r="N3" s="6" t="str">
        <f>"5605247943100"</f>
        <v>5605247943100</v>
      </c>
      <c r="O3" s="8">
        <v>114</v>
      </c>
      <c r="P3" s="7">
        <v>45975</v>
      </c>
      <c r="R3" s="8">
        <v>0</v>
      </c>
      <c r="S3" s="7">
        <v>45980</v>
      </c>
      <c r="U3" s="8">
        <v>0</v>
      </c>
      <c r="V3" s="7">
        <v>45985</v>
      </c>
      <c r="X3" s="8">
        <v>0</v>
      </c>
      <c r="Z3" s="8">
        <v>0</v>
      </c>
      <c r="AA3" s="7">
        <v>45996</v>
      </c>
      <c r="AC3" s="8">
        <v>114</v>
      </c>
      <c r="AE3" s="7">
        <v>46001</v>
      </c>
      <c r="AF3" s="8">
        <v>114</v>
      </c>
      <c r="AH3" s="7">
        <v>46031</v>
      </c>
      <c r="AN3" s="8">
        <v>114</v>
      </c>
      <c r="AO3" s="8">
        <v>0</v>
      </c>
    </row>
    <row r="4" spans="1:41" x14ac:dyDescent="0.25">
      <c r="A4" s="6" t="str">
        <f>"520-2025001079"</f>
        <v>520-2025001079</v>
      </c>
      <c r="B4" s="6" t="str">
        <f>"KROMA -"</f>
        <v>KROMA -</v>
      </c>
      <c r="C4" s="7">
        <v>45930</v>
      </c>
      <c r="D4" s="7">
        <v>46031</v>
      </c>
      <c r="E4" s="8">
        <v>7</v>
      </c>
      <c r="F4" s="6" t="str">
        <f>"BADER 99130001722298"</f>
        <v>BADER 99130001722298</v>
      </c>
      <c r="G4" s="6" t="str">
        <f>"R300316635000000"</f>
        <v>R300316635000000</v>
      </c>
      <c r="H4" s="6" t="str">
        <f>"R 3166 - PLR 3425 (m"</f>
        <v>R 3166 - PLR 3425 (m</v>
      </c>
      <c r="I4" s="6" t="str">
        <f>"203598"</f>
        <v>203598</v>
      </c>
      <c r="J4" s="6" t="str">
        <f>"ROSA 3598"</f>
        <v>ROSA 3598</v>
      </c>
      <c r="K4" s="6" t="str">
        <f>"5006"</f>
        <v>5006</v>
      </c>
      <c r="L4" s="6" t="str">
        <f>"Roupões Adulto"</f>
        <v>Roupões Adulto</v>
      </c>
      <c r="M4" s="6" t="str">
        <f>"L"</f>
        <v>L</v>
      </c>
      <c r="N4" s="6" t="str">
        <f>"5605247943117"</f>
        <v>5605247943117</v>
      </c>
      <c r="O4" s="8">
        <v>141</v>
      </c>
      <c r="P4" s="7">
        <v>45975</v>
      </c>
      <c r="R4" s="8">
        <v>0</v>
      </c>
      <c r="S4" s="7">
        <v>45980</v>
      </c>
      <c r="U4" s="8">
        <v>0</v>
      </c>
      <c r="V4" s="7">
        <v>45985</v>
      </c>
      <c r="X4" s="8">
        <v>0</v>
      </c>
      <c r="Z4" s="8">
        <v>0</v>
      </c>
      <c r="AA4" s="7">
        <v>45996</v>
      </c>
      <c r="AC4" s="8">
        <v>141</v>
      </c>
      <c r="AE4" s="7">
        <v>46001</v>
      </c>
      <c r="AF4" s="8">
        <v>141</v>
      </c>
      <c r="AH4" s="7">
        <v>46031</v>
      </c>
      <c r="AN4" s="8">
        <v>141</v>
      </c>
      <c r="AO4" s="8">
        <v>0</v>
      </c>
    </row>
    <row r="5" spans="1:41" x14ac:dyDescent="0.25">
      <c r="A5" s="6" t="str">
        <f>"520-2025001079"</f>
        <v>520-2025001079</v>
      </c>
      <c r="B5" s="6" t="str">
        <f>"KROMA -"</f>
        <v>KROMA -</v>
      </c>
      <c r="C5" s="7">
        <v>45930</v>
      </c>
      <c r="D5" s="7">
        <v>46031</v>
      </c>
      <c r="E5" s="8">
        <v>8</v>
      </c>
      <c r="F5" s="6" t="str">
        <f>"BADER 99130001722298"</f>
        <v>BADER 99130001722298</v>
      </c>
      <c r="G5" s="6" t="str">
        <f>"R300316635000000"</f>
        <v>R300316635000000</v>
      </c>
      <c r="H5" s="6" t="str">
        <f>"R 3166 - PLR 3425 (m"</f>
        <v>R 3166 - PLR 3425 (m</v>
      </c>
      <c r="I5" s="6" t="str">
        <f>"203598"</f>
        <v>203598</v>
      </c>
      <c r="J5" s="6" t="str">
        <f>"ROSA 3598"</f>
        <v>ROSA 3598</v>
      </c>
      <c r="K5" s="6" t="str">
        <f>"5008"</f>
        <v>5008</v>
      </c>
      <c r="L5" s="6" t="str">
        <f>"Roupões Adulto"</f>
        <v>Roupões Adulto</v>
      </c>
      <c r="M5" s="6" t="str">
        <f>"XL"</f>
        <v>XL</v>
      </c>
      <c r="N5" s="6" t="str">
        <f>"5605247943124"</f>
        <v>5605247943124</v>
      </c>
      <c r="O5" s="8">
        <v>69</v>
      </c>
      <c r="P5" s="7">
        <v>45975</v>
      </c>
      <c r="R5" s="8">
        <v>0</v>
      </c>
      <c r="S5" s="7">
        <v>45980</v>
      </c>
      <c r="U5" s="8">
        <v>0</v>
      </c>
      <c r="V5" s="7">
        <v>45985</v>
      </c>
      <c r="X5" s="8">
        <v>0</v>
      </c>
      <c r="Z5" s="8">
        <v>0</v>
      </c>
      <c r="AA5" s="7">
        <v>45996</v>
      </c>
      <c r="AC5" s="8">
        <v>69</v>
      </c>
      <c r="AE5" s="7">
        <v>46001</v>
      </c>
      <c r="AF5" s="8">
        <v>69</v>
      </c>
      <c r="AH5" s="7">
        <v>46031</v>
      </c>
      <c r="AN5" s="8">
        <v>69</v>
      </c>
      <c r="AO5" s="8">
        <v>0</v>
      </c>
    </row>
    <row r="6" spans="1:41" x14ac:dyDescent="0.25">
      <c r="A6" s="6" t="str">
        <f>"520-2025001079"</f>
        <v>520-2025001079</v>
      </c>
      <c r="B6" s="6" t="str">
        <f>"KROMA -"</f>
        <v>KROMA -</v>
      </c>
      <c r="C6" s="7">
        <v>45930</v>
      </c>
      <c r="D6" s="7">
        <v>46031</v>
      </c>
      <c r="E6" s="8">
        <v>9</v>
      </c>
      <c r="F6" s="6" t="str">
        <f>"BADER 99130001722298"</f>
        <v>BADER 99130001722298</v>
      </c>
      <c r="G6" s="6" t="str">
        <f>"R300316635000000"</f>
        <v>R300316635000000</v>
      </c>
      <c r="H6" s="6" t="str">
        <f>"R 3166 - PLR 3425 (m"</f>
        <v>R 3166 - PLR 3425 (m</v>
      </c>
      <c r="I6" s="6" t="str">
        <f>"203598"</f>
        <v>203598</v>
      </c>
      <c r="J6" s="6" t="str">
        <f>"ROSA 3598"</f>
        <v>ROSA 3598</v>
      </c>
      <c r="K6" s="6" t="str">
        <f>"5010"</f>
        <v>5010</v>
      </c>
      <c r="L6" s="6" t="str">
        <f>"Roupões Adulto"</f>
        <v>Roupões Adulto</v>
      </c>
      <c r="M6" s="6" t="str">
        <f>"XXL"</f>
        <v>XXL</v>
      </c>
      <c r="N6" s="6" t="str">
        <f>"5605247943131"</f>
        <v>5605247943131</v>
      </c>
      <c r="O6" s="8">
        <v>39</v>
      </c>
      <c r="P6" s="7">
        <v>45975</v>
      </c>
      <c r="R6" s="8">
        <v>0</v>
      </c>
      <c r="S6" s="7">
        <v>45980</v>
      </c>
      <c r="U6" s="8">
        <v>0</v>
      </c>
      <c r="V6" s="7">
        <v>45985</v>
      </c>
      <c r="X6" s="8">
        <v>0</v>
      </c>
      <c r="Z6" s="8">
        <v>0</v>
      </c>
      <c r="AA6" s="7">
        <v>45996</v>
      </c>
      <c r="AC6" s="8">
        <v>39</v>
      </c>
      <c r="AE6" s="7">
        <v>46001</v>
      </c>
      <c r="AF6" s="8">
        <v>39</v>
      </c>
      <c r="AH6" s="7">
        <v>46031</v>
      </c>
      <c r="AN6" s="8">
        <v>39</v>
      </c>
      <c r="AO6" s="8">
        <v>0</v>
      </c>
    </row>
    <row r="7" spans="1:41" x14ac:dyDescent="0.25">
      <c r="A7" s="6" t="str">
        <f>"520-2025001196"</f>
        <v>520-2025001196</v>
      </c>
      <c r="B7" s="6" t="str">
        <f>"S. LOURE"</f>
        <v>S. LOURE</v>
      </c>
      <c r="C7" s="7">
        <v>45952</v>
      </c>
      <c r="D7" s="7">
        <v>46031</v>
      </c>
      <c r="E7" s="8">
        <v>2</v>
      </c>
      <c r="F7" s="6" t="str">
        <f>"CHINELOS"</f>
        <v>CHINELOS</v>
      </c>
      <c r="G7" s="6" t="str">
        <f>"K010205732000000"</f>
        <v>K010205732000000</v>
      </c>
      <c r="H7" s="6" t="str">
        <f>"KB 2057 - Ketten (m)"</f>
        <v>KB 2057 - Ketten (m)</v>
      </c>
      <c r="I7" s="6" t="str">
        <f>"5765"</f>
        <v>5765</v>
      </c>
      <c r="J7" s="6" t="str">
        <f>"BEGE 5765"</f>
        <v>BEGE 5765</v>
      </c>
      <c r="K7" s="6" t="str">
        <f>"4810"</f>
        <v>4810</v>
      </c>
      <c r="L7" s="6" t="str">
        <f>"Chinelos"</f>
        <v>Chinelos</v>
      </c>
      <c r="M7" s="6" t="str">
        <f>"40"</f>
        <v>40</v>
      </c>
      <c r="N7" s="6" t="str">
        <f>" "</f>
        <v xml:space="preserve"> </v>
      </c>
      <c r="O7" s="8">
        <v>700</v>
      </c>
      <c r="P7" s="7">
        <v>45967</v>
      </c>
      <c r="R7" s="8">
        <v>2540</v>
      </c>
      <c r="S7" s="7">
        <v>45972</v>
      </c>
      <c r="U7" s="8">
        <v>384</v>
      </c>
      <c r="V7" s="7">
        <v>45981</v>
      </c>
      <c r="X7" s="8">
        <v>384</v>
      </c>
      <c r="Z7" s="8">
        <v>0</v>
      </c>
      <c r="AA7" s="7">
        <v>45994</v>
      </c>
      <c r="AC7" s="8">
        <v>710</v>
      </c>
      <c r="AE7" s="7">
        <v>45996</v>
      </c>
      <c r="AF7" s="8">
        <v>710</v>
      </c>
      <c r="AH7" s="7">
        <v>46031</v>
      </c>
      <c r="AN7" s="8">
        <v>710</v>
      </c>
      <c r="AO7" s="8">
        <v>-10</v>
      </c>
    </row>
    <row r="8" spans="1:41" x14ac:dyDescent="0.25">
      <c r="A8" s="6" t="str">
        <f>"520-2025001196"</f>
        <v>520-2025001196</v>
      </c>
      <c r="B8" s="6" t="str">
        <f>"S. LOURE"</f>
        <v>S. LOURE</v>
      </c>
      <c r="C8" s="7">
        <v>45952</v>
      </c>
      <c r="D8" s="7">
        <v>46031</v>
      </c>
      <c r="E8" s="8">
        <v>3</v>
      </c>
      <c r="F8" s="6" t="str">
        <f>"CHINELOS"</f>
        <v>CHINELOS</v>
      </c>
      <c r="G8" s="6" t="str">
        <f>"K010205732000000"</f>
        <v>K010205732000000</v>
      </c>
      <c r="H8" s="6" t="str">
        <f>"KB 2057 - Ketten (m)"</f>
        <v>KB 2057 - Ketten (m)</v>
      </c>
      <c r="I8" s="6" t="str">
        <f>"5765"</f>
        <v>5765</v>
      </c>
      <c r="J8" s="6" t="str">
        <f>"BEGE 5765"</f>
        <v>BEGE 5765</v>
      </c>
      <c r="K8" s="6" t="str">
        <f>"4814"</f>
        <v>4814</v>
      </c>
      <c r="L8" s="6" t="str">
        <f>"Chinelos"</f>
        <v>Chinelos</v>
      </c>
      <c r="M8" s="6" t="str">
        <f>"44"</f>
        <v>44</v>
      </c>
      <c r="N8" s="6" t="str">
        <f>" "</f>
        <v xml:space="preserve"> </v>
      </c>
      <c r="O8" s="8">
        <v>700</v>
      </c>
      <c r="P8" s="7">
        <v>45967</v>
      </c>
      <c r="R8" s="8">
        <v>0</v>
      </c>
      <c r="S8" s="7">
        <v>45972</v>
      </c>
      <c r="U8" s="8">
        <v>0</v>
      </c>
      <c r="V8" s="7">
        <v>45981</v>
      </c>
      <c r="X8" s="8">
        <v>0</v>
      </c>
      <c r="Z8" s="8">
        <v>0</v>
      </c>
      <c r="AA8" s="7">
        <v>45994</v>
      </c>
      <c r="AC8" s="8">
        <v>711</v>
      </c>
      <c r="AE8" s="7">
        <v>45996</v>
      </c>
      <c r="AF8" s="8">
        <v>711</v>
      </c>
      <c r="AH8" s="7">
        <v>46031</v>
      </c>
      <c r="AN8" s="8">
        <v>711</v>
      </c>
      <c r="AO8" s="8">
        <v>-11</v>
      </c>
    </row>
    <row r="9" spans="1:41" x14ac:dyDescent="0.25">
      <c r="A9" s="6" t="str">
        <f>"520-2025001251"</f>
        <v>520-2025001251</v>
      </c>
      <c r="B9" s="6" t="str">
        <f>"TORCEX -"</f>
        <v>TORCEX -</v>
      </c>
      <c r="C9" s="7">
        <v>45980</v>
      </c>
      <c r="D9" s="7">
        <v>46045</v>
      </c>
      <c r="E9" s="8">
        <v>2</v>
      </c>
      <c r="F9" s="6" t="str">
        <f>"APPENZELLER KÄSE"</f>
        <v>APPENZELLER KÄSE</v>
      </c>
      <c r="G9" s="6" t="str">
        <f>"C001195524000000"</f>
        <v>C001195524000000</v>
      </c>
      <c r="H9" s="6" t="str">
        <f>"CZJ 1955 - 240 g/m²"</f>
        <v>CZJ 1955 - 240 g/m²</v>
      </c>
      <c r="I9" s="6" t="str">
        <f>"203935"</f>
        <v>203935</v>
      </c>
      <c r="J9" s="6" t="str">
        <f>"AZUL 3935"</f>
        <v>AZUL 3935</v>
      </c>
      <c r="K9" s="6" t="str">
        <f>"0830"</f>
        <v>0830</v>
      </c>
      <c r="L9" s="6" t="str">
        <f>"Cozinha"</f>
        <v>Cozinha</v>
      </c>
      <c r="M9" s="6" t="str">
        <f>"50x70"</f>
        <v>50x70</v>
      </c>
      <c r="N9" s="6" t="str">
        <f>" "</f>
        <v xml:space="preserve"> </v>
      </c>
      <c r="O9" s="8">
        <v>5000</v>
      </c>
      <c r="P9" s="7">
        <v>46021</v>
      </c>
      <c r="R9" s="8">
        <v>5236</v>
      </c>
      <c r="S9" s="7">
        <v>46029</v>
      </c>
      <c r="U9" s="8">
        <v>5236</v>
      </c>
      <c r="V9" s="7">
        <v>46038</v>
      </c>
      <c r="X9" s="8">
        <v>0</v>
      </c>
      <c r="Z9" s="8">
        <v>5236</v>
      </c>
      <c r="AA9" s="7">
        <v>46050</v>
      </c>
      <c r="AC9" s="8">
        <v>5173</v>
      </c>
      <c r="AE9" s="7">
        <v>46052</v>
      </c>
      <c r="AF9" s="8">
        <v>5173</v>
      </c>
      <c r="AH9" s="7">
        <v>46045</v>
      </c>
      <c r="AN9" s="8">
        <v>5173</v>
      </c>
      <c r="AO9" s="8">
        <v>-173</v>
      </c>
    </row>
    <row r="10" spans="1:41" x14ac:dyDescent="0.25">
      <c r="A10" s="6" t="str">
        <f t="shared" ref="A10:A15" si="0">"520-2025001258"</f>
        <v>520-2025001258</v>
      </c>
      <c r="B10" s="6" t="str">
        <f t="shared" ref="B10:B15" si="1">"ACL IMPE"</f>
        <v>ACL IMPE</v>
      </c>
      <c r="C10" s="7">
        <v>45986</v>
      </c>
      <c r="D10" s="7">
        <v>46038</v>
      </c>
      <c r="E10" s="8">
        <v>1</v>
      </c>
      <c r="F10" s="6" t="str">
        <f t="shared" ref="F10:F15" si="2">"P03661.1"</f>
        <v>P03661.1</v>
      </c>
      <c r="G10" s="6" t="str">
        <f t="shared" ref="G10:G15" si="3">"F161900120000005"</f>
        <v>F161900120000005</v>
      </c>
      <c r="H10" s="6" t="str">
        <f t="shared" ref="H10:H15" si="4">"TA DREAM 2018 - 2100"</f>
        <v>TA DREAM 2018 - 2100</v>
      </c>
      <c r="I10" s="6" t="str">
        <f>"3235"</f>
        <v>3235</v>
      </c>
      <c r="J10" s="6" t="str">
        <f>"CINZA 3235"</f>
        <v>CINZA 3235</v>
      </c>
      <c r="K10" s="6" t="str">
        <f>"3013"</f>
        <v>3013</v>
      </c>
      <c r="L10" s="6" t="str">
        <f t="shared" ref="L10:L15" si="5">"Tapetes"</f>
        <v>Tapetes</v>
      </c>
      <c r="M10" s="6" t="str">
        <f>"60x90"</f>
        <v>60x90</v>
      </c>
      <c r="N10" s="6" t="str">
        <f>"5605247643468"</f>
        <v>5605247643468</v>
      </c>
      <c r="O10" s="8">
        <v>10</v>
      </c>
      <c r="P10" s="7">
        <v>45986</v>
      </c>
      <c r="R10" s="8">
        <v>0</v>
      </c>
      <c r="U10" s="8">
        <v>0</v>
      </c>
      <c r="X10" s="8">
        <v>0</v>
      </c>
      <c r="Z10" s="8">
        <v>0</v>
      </c>
      <c r="AC10" s="8">
        <v>0</v>
      </c>
      <c r="AE10" s="7">
        <v>45994</v>
      </c>
      <c r="AF10" s="8">
        <v>0</v>
      </c>
      <c r="AH10" s="7">
        <v>46038</v>
      </c>
      <c r="AN10" s="8">
        <v>0</v>
      </c>
      <c r="AO10" s="8">
        <v>10</v>
      </c>
    </row>
    <row r="11" spans="1:41" x14ac:dyDescent="0.25">
      <c r="A11" s="6" t="str">
        <f t="shared" si="0"/>
        <v>520-2025001258</v>
      </c>
      <c r="B11" s="6" t="str">
        <f t="shared" si="1"/>
        <v>ACL IMPE</v>
      </c>
      <c r="C11" s="7">
        <v>45986</v>
      </c>
      <c r="D11" s="7">
        <v>46038</v>
      </c>
      <c r="E11" s="8">
        <v>2</v>
      </c>
      <c r="F11" s="6" t="str">
        <f t="shared" si="2"/>
        <v>P03661.1</v>
      </c>
      <c r="G11" s="6" t="str">
        <f t="shared" si="3"/>
        <v>F161900120000005</v>
      </c>
      <c r="H11" s="6" t="str">
        <f t="shared" si="4"/>
        <v>TA DREAM 2018 - 2100</v>
      </c>
      <c r="I11" s="6" t="str">
        <f>"3235"</f>
        <v>3235</v>
      </c>
      <c r="J11" s="6" t="str">
        <f>"CINZA 3235"</f>
        <v>CINZA 3235</v>
      </c>
      <c r="K11" s="6" t="str">
        <f>"3042"</f>
        <v>3042</v>
      </c>
      <c r="L11" s="6" t="str">
        <f t="shared" si="5"/>
        <v>Tapetes</v>
      </c>
      <c r="M11" s="6" t="str">
        <f>"70x120"</f>
        <v>70x120</v>
      </c>
      <c r="N11" s="6" t="str">
        <f>"5605247643475"</f>
        <v>5605247643475</v>
      </c>
      <c r="O11" s="8">
        <v>5</v>
      </c>
      <c r="P11" s="7">
        <v>45986</v>
      </c>
      <c r="R11" s="8">
        <v>0</v>
      </c>
      <c r="U11" s="8">
        <v>0</v>
      </c>
      <c r="X11" s="8">
        <v>0</v>
      </c>
      <c r="Z11" s="8">
        <v>0</v>
      </c>
      <c r="AC11" s="8">
        <v>0</v>
      </c>
      <c r="AE11" s="7">
        <v>45994</v>
      </c>
      <c r="AF11" s="8">
        <v>0</v>
      </c>
      <c r="AH11" s="7">
        <v>46038</v>
      </c>
      <c r="AN11" s="8">
        <v>0</v>
      </c>
      <c r="AO11" s="8">
        <v>5</v>
      </c>
    </row>
    <row r="12" spans="1:41" x14ac:dyDescent="0.25">
      <c r="A12" s="6" t="str">
        <f t="shared" si="0"/>
        <v>520-2025001258</v>
      </c>
      <c r="B12" s="6" t="str">
        <f t="shared" si="1"/>
        <v>ACL IMPE</v>
      </c>
      <c r="C12" s="7">
        <v>45986</v>
      </c>
      <c r="D12" s="7">
        <v>46038</v>
      </c>
      <c r="E12" s="8">
        <v>3</v>
      </c>
      <c r="F12" s="6" t="str">
        <f t="shared" si="2"/>
        <v>P03661.1</v>
      </c>
      <c r="G12" s="6" t="str">
        <f t="shared" si="3"/>
        <v>F161900120000005</v>
      </c>
      <c r="H12" s="6" t="str">
        <f t="shared" si="4"/>
        <v>TA DREAM 2018 - 2100</v>
      </c>
      <c r="I12" s="6" t="str">
        <f>"2620"</f>
        <v>2620</v>
      </c>
      <c r="J12" s="6" t="str">
        <f>"CINZA 2620"</f>
        <v>CINZA 2620</v>
      </c>
      <c r="K12" s="6" t="str">
        <f>"3013"</f>
        <v>3013</v>
      </c>
      <c r="L12" s="6" t="str">
        <f t="shared" si="5"/>
        <v>Tapetes</v>
      </c>
      <c r="M12" s="6" t="str">
        <f>"60x90"</f>
        <v>60x90</v>
      </c>
      <c r="N12" s="6" t="str">
        <f>"5605247643437"</f>
        <v>5605247643437</v>
      </c>
      <c r="O12" s="8">
        <v>10</v>
      </c>
      <c r="P12" s="7">
        <v>45986</v>
      </c>
      <c r="R12" s="8">
        <v>0</v>
      </c>
      <c r="U12" s="8">
        <v>0</v>
      </c>
      <c r="X12" s="8">
        <v>0</v>
      </c>
      <c r="Z12" s="8">
        <v>0</v>
      </c>
      <c r="AC12" s="8">
        <v>0</v>
      </c>
      <c r="AE12" s="7">
        <v>45994</v>
      </c>
      <c r="AF12" s="8">
        <v>0</v>
      </c>
      <c r="AH12" s="7">
        <v>46038</v>
      </c>
      <c r="AN12" s="8">
        <v>0</v>
      </c>
      <c r="AO12" s="8">
        <v>10</v>
      </c>
    </row>
    <row r="13" spans="1:41" x14ac:dyDescent="0.25">
      <c r="A13" s="6" t="str">
        <f t="shared" si="0"/>
        <v>520-2025001258</v>
      </c>
      <c r="B13" s="6" t="str">
        <f t="shared" si="1"/>
        <v>ACL IMPE</v>
      </c>
      <c r="C13" s="7">
        <v>45986</v>
      </c>
      <c r="D13" s="7">
        <v>46038</v>
      </c>
      <c r="E13" s="8">
        <v>4</v>
      </c>
      <c r="F13" s="6" t="str">
        <f t="shared" si="2"/>
        <v>P03661.1</v>
      </c>
      <c r="G13" s="6" t="str">
        <f t="shared" si="3"/>
        <v>F161900120000005</v>
      </c>
      <c r="H13" s="6" t="str">
        <f t="shared" si="4"/>
        <v>TA DREAM 2018 - 2100</v>
      </c>
      <c r="I13" s="6" t="str">
        <f>"2620"</f>
        <v>2620</v>
      </c>
      <c r="J13" s="6" t="str">
        <f>"CINZA 2620"</f>
        <v>CINZA 2620</v>
      </c>
      <c r="K13" s="6" t="str">
        <f>"3042"</f>
        <v>3042</v>
      </c>
      <c r="L13" s="6" t="str">
        <f t="shared" si="5"/>
        <v>Tapetes</v>
      </c>
      <c r="M13" s="6" t="str">
        <f>"70x120"</f>
        <v>70x120</v>
      </c>
      <c r="N13" s="6" t="str">
        <f>"5605247643444"</f>
        <v>5605247643444</v>
      </c>
      <c r="O13" s="8">
        <v>5</v>
      </c>
      <c r="P13" s="7">
        <v>45986</v>
      </c>
      <c r="R13" s="8">
        <v>0</v>
      </c>
      <c r="U13" s="8">
        <v>0</v>
      </c>
      <c r="X13" s="8">
        <v>0</v>
      </c>
      <c r="Z13" s="8">
        <v>0</v>
      </c>
      <c r="AC13" s="8">
        <v>0</v>
      </c>
      <c r="AE13" s="7">
        <v>45994</v>
      </c>
      <c r="AF13" s="8">
        <v>0</v>
      </c>
      <c r="AH13" s="7">
        <v>46038</v>
      </c>
      <c r="AN13" s="8">
        <v>0</v>
      </c>
      <c r="AO13" s="8">
        <v>5</v>
      </c>
    </row>
    <row r="14" spans="1:41" x14ac:dyDescent="0.25">
      <c r="A14" s="6" t="str">
        <f t="shared" si="0"/>
        <v>520-2025001258</v>
      </c>
      <c r="B14" s="6" t="str">
        <f t="shared" si="1"/>
        <v>ACL IMPE</v>
      </c>
      <c r="C14" s="7">
        <v>45986</v>
      </c>
      <c r="D14" s="7">
        <v>46038</v>
      </c>
      <c r="E14" s="8">
        <v>5</v>
      </c>
      <c r="F14" s="6" t="str">
        <f t="shared" si="2"/>
        <v>P03661.1</v>
      </c>
      <c r="G14" s="6" t="str">
        <f t="shared" si="3"/>
        <v>F161900120000005</v>
      </c>
      <c r="H14" s="6" t="str">
        <f t="shared" si="4"/>
        <v>TA DREAM 2018 - 2100</v>
      </c>
      <c r="I14" s="6" t="str">
        <f>"2129"</f>
        <v>2129</v>
      </c>
      <c r="J14" s="6" t="str">
        <f>"BEGE 2129"</f>
        <v>BEGE 2129</v>
      </c>
      <c r="K14" s="6" t="str">
        <f>"3013"</f>
        <v>3013</v>
      </c>
      <c r="L14" s="6" t="str">
        <f t="shared" si="5"/>
        <v>Tapetes</v>
      </c>
      <c r="M14" s="6" t="str">
        <f>"60x90"</f>
        <v>60x90</v>
      </c>
      <c r="N14" s="6" t="str">
        <f>"5605247643345"</f>
        <v>5605247643345</v>
      </c>
      <c r="O14" s="8">
        <v>10</v>
      </c>
      <c r="P14" s="7">
        <v>45986</v>
      </c>
      <c r="R14" s="8">
        <v>0</v>
      </c>
      <c r="U14" s="8">
        <v>0</v>
      </c>
      <c r="X14" s="8">
        <v>0</v>
      </c>
      <c r="Z14" s="8">
        <v>0</v>
      </c>
      <c r="AC14" s="8">
        <v>0</v>
      </c>
      <c r="AE14" s="7">
        <v>45994</v>
      </c>
      <c r="AF14" s="8">
        <v>0</v>
      </c>
      <c r="AH14" s="7">
        <v>46038</v>
      </c>
      <c r="AN14" s="8">
        <v>0</v>
      </c>
      <c r="AO14" s="8">
        <v>10</v>
      </c>
    </row>
    <row r="15" spans="1:41" x14ac:dyDescent="0.25">
      <c r="A15" s="6" t="str">
        <f t="shared" si="0"/>
        <v>520-2025001258</v>
      </c>
      <c r="B15" s="6" t="str">
        <f t="shared" si="1"/>
        <v>ACL IMPE</v>
      </c>
      <c r="C15" s="7">
        <v>45986</v>
      </c>
      <c r="D15" s="7">
        <v>46038</v>
      </c>
      <c r="E15" s="8">
        <v>6</v>
      </c>
      <c r="F15" s="6" t="str">
        <f t="shared" si="2"/>
        <v>P03661.1</v>
      </c>
      <c r="G15" s="6" t="str">
        <f t="shared" si="3"/>
        <v>F161900120000005</v>
      </c>
      <c r="H15" s="6" t="str">
        <f t="shared" si="4"/>
        <v>TA DREAM 2018 - 2100</v>
      </c>
      <c r="I15" s="6" t="str">
        <f>"2129"</f>
        <v>2129</v>
      </c>
      <c r="J15" s="6" t="str">
        <f>"BEGE 2129"</f>
        <v>BEGE 2129</v>
      </c>
      <c r="K15" s="6" t="str">
        <f>"3042"</f>
        <v>3042</v>
      </c>
      <c r="L15" s="6" t="str">
        <f t="shared" si="5"/>
        <v>Tapetes</v>
      </c>
      <c r="M15" s="6" t="str">
        <f>"70x120"</f>
        <v>70x120</v>
      </c>
      <c r="N15" s="6" t="str">
        <f>"5605247643352"</f>
        <v>5605247643352</v>
      </c>
      <c r="O15" s="8">
        <v>5</v>
      </c>
      <c r="P15" s="7">
        <v>45986</v>
      </c>
      <c r="R15" s="8">
        <v>0</v>
      </c>
      <c r="U15" s="8">
        <v>0</v>
      </c>
      <c r="X15" s="8">
        <v>0</v>
      </c>
      <c r="Z15" s="8">
        <v>0</v>
      </c>
      <c r="AC15" s="8">
        <v>0</v>
      </c>
      <c r="AE15" s="7">
        <v>45994</v>
      </c>
      <c r="AF15" s="8">
        <v>0</v>
      </c>
      <c r="AH15" s="7">
        <v>46038</v>
      </c>
      <c r="AN15" s="8">
        <v>0</v>
      </c>
      <c r="AO15" s="8">
        <v>5</v>
      </c>
    </row>
    <row r="16" spans="1:41" x14ac:dyDescent="0.25">
      <c r="A16" s="6" t="str">
        <f>"520-2025001292"</f>
        <v>520-2025001292</v>
      </c>
      <c r="B16" s="6" t="str">
        <f>"JOAQUIM"</f>
        <v>JOAQUIM</v>
      </c>
      <c r="C16" s="7">
        <v>46008</v>
      </c>
      <c r="D16" s="7">
        <v>46031</v>
      </c>
      <c r="E16" s="8">
        <v>1</v>
      </c>
      <c r="F16" s="6" t="str">
        <f>"PEDIDO 17/12"</f>
        <v>PEDIDO 17/12</v>
      </c>
      <c r="G16" s="6" t="str">
        <f>"C090999900000003"</f>
        <v>C090999900000003</v>
      </c>
      <c r="H16" s="6" t="str">
        <f>"ENCHIMENTOS (PARIS)"</f>
        <v>ENCHIMENTOS (PARIS)</v>
      </c>
      <c r="I16" s="6" t="str">
        <f>"1"</f>
        <v>1</v>
      </c>
      <c r="J16" s="6" t="str">
        <f>"BRANCO"</f>
        <v>BRANCO</v>
      </c>
      <c r="K16" s="6" t="str">
        <f>"6711"</f>
        <v>6711</v>
      </c>
      <c r="L16" s="6" t="str">
        <f>"Enchimento"</f>
        <v>Enchimento</v>
      </c>
      <c r="M16" s="6" t="str">
        <f>"160x220"</f>
        <v>160x220</v>
      </c>
      <c r="N16" s="6" t="str">
        <f>"5602972267341"</f>
        <v>5602972267341</v>
      </c>
      <c r="O16" s="8">
        <v>5</v>
      </c>
      <c r="P16" s="7">
        <v>46008</v>
      </c>
      <c r="R16" s="8">
        <v>0</v>
      </c>
      <c r="U16" s="8">
        <v>0</v>
      </c>
      <c r="X16" s="8">
        <v>0</v>
      </c>
      <c r="Z16" s="8">
        <v>0</v>
      </c>
      <c r="AC16" s="8">
        <v>5</v>
      </c>
      <c r="AE16" s="7">
        <v>46020</v>
      </c>
      <c r="AF16" s="8">
        <v>5</v>
      </c>
      <c r="AH16" s="7">
        <v>46031</v>
      </c>
      <c r="AN16" s="8">
        <v>5</v>
      </c>
      <c r="AO16" s="8">
        <v>0</v>
      </c>
    </row>
    <row r="17" spans="1:41" x14ac:dyDescent="0.25">
      <c r="A17" s="6" t="str">
        <f t="shared" ref="A17:A25" si="6">"520-2025001298"</f>
        <v>520-2025001298</v>
      </c>
      <c r="B17" s="6" t="str">
        <f t="shared" ref="B17:B25" si="7">"AUCHAN R"</f>
        <v>AUCHAN R</v>
      </c>
      <c r="C17" s="7">
        <v>46020</v>
      </c>
      <c r="D17" s="7">
        <v>46027</v>
      </c>
      <c r="E17" s="8">
        <v>1</v>
      </c>
      <c r="F17" s="6" t="str">
        <f t="shared" ref="F17:F25" si="8">"1061285680"</f>
        <v>1061285680</v>
      </c>
      <c r="G17" s="6" t="str">
        <f>"F310631555000000"</f>
        <v>F310631555000000</v>
      </c>
      <c r="H17" s="6" t="str">
        <f>"PLAR 6315 - 550 g/m²"</f>
        <v>PLAR 6315 - 550 g/m²</v>
      </c>
      <c r="I17" s="6" t="str">
        <f>"204037"</f>
        <v>204037</v>
      </c>
      <c r="J17" s="6" t="str">
        <f>"AZUL 4037"</f>
        <v>AZUL 4037</v>
      </c>
      <c r="K17" s="6" t="str">
        <f>"2020"</f>
        <v>2020</v>
      </c>
      <c r="L17" s="6" t="str">
        <f>"Lençóis"</f>
        <v>Lençóis</v>
      </c>
      <c r="M17" s="6" t="str">
        <f>"100x150"</f>
        <v>100x150</v>
      </c>
      <c r="N17" s="6" t="str">
        <f>"5602972280852"</f>
        <v>5602972280852</v>
      </c>
      <c r="O17" s="8">
        <v>12</v>
      </c>
      <c r="P17" s="7">
        <v>46020</v>
      </c>
      <c r="R17" s="8">
        <v>0</v>
      </c>
      <c r="U17" s="8">
        <v>0</v>
      </c>
      <c r="X17" s="8">
        <v>0</v>
      </c>
      <c r="Z17" s="8">
        <v>0</v>
      </c>
      <c r="AC17" s="8">
        <v>12</v>
      </c>
      <c r="AE17" s="7">
        <v>46030</v>
      </c>
      <c r="AF17" s="8">
        <v>12</v>
      </c>
      <c r="AH17" s="7">
        <v>46027</v>
      </c>
      <c r="AN17" s="8">
        <v>12</v>
      </c>
      <c r="AO17" s="8">
        <v>0</v>
      </c>
    </row>
    <row r="18" spans="1:41" x14ac:dyDescent="0.25">
      <c r="A18" s="6" t="str">
        <f t="shared" si="6"/>
        <v>520-2025001298</v>
      </c>
      <c r="B18" s="6" t="str">
        <f t="shared" si="7"/>
        <v>AUCHAN R</v>
      </c>
      <c r="C18" s="7">
        <v>46020</v>
      </c>
      <c r="D18" s="7">
        <v>46027</v>
      </c>
      <c r="E18" s="8">
        <v>2</v>
      </c>
      <c r="F18" s="6" t="str">
        <f t="shared" si="8"/>
        <v>1061285680</v>
      </c>
      <c r="G18" s="6" t="str">
        <f>"F300374155000000"</f>
        <v>F300374155000000</v>
      </c>
      <c r="H18" s="6" t="str">
        <f>"PLR 3741 - 550 g/m²"</f>
        <v>PLR 3741 - 550 g/m²</v>
      </c>
      <c r="I18" s="6" t="str">
        <f>"203634"</f>
        <v>203634</v>
      </c>
      <c r="J18" s="6" t="str">
        <f>"ROSA 3634"</f>
        <v>ROSA 3634</v>
      </c>
      <c r="K18" s="6" t="str">
        <f>"2020"</f>
        <v>2020</v>
      </c>
      <c r="L18" s="6" t="str">
        <f>"Lençóis"</f>
        <v>Lençóis</v>
      </c>
      <c r="M18" s="6" t="str">
        <f>"100x150"</f>
        <v>100x150</v>
      </c>
      <c r="N18" s="6" t="str">
        <f>"5602972280883"</f>
        <v>5602972280883</v>
      </c>
      <c r="O18" s="8">
        <v>12</v>
      </c>
      <c r="P18" s="7">
        <v>46020</v>
      </c>
      <c r="R18" s="8">
        <v>0</v>
      </c>
      <c r="U18" s="8">
        <v>0</v>
      </c>
      <c r="X18" s="8">
        <v>0</v>
      </c>
      <c r="Z18" s="8">
        <v>0</v>
      </c>
      <c r="AC18" s="8">
        <v>12</v>
      </c>
      <c r="AE18" s="7">
        <v>46030</v>
      </c>
      <c r="AF18" s="8">
        <v>12</v>
      </c>
      <c r="AH18" s="7">
        <v>46027</v>
      </c>
      <c r="AN18" s="8">
        <v>12</v>
      </c>
      <c r="AO18" s="8">
        <v>0</v>
      </c>
    </row>
    <row r="19" spans="1:41" x14ac:dyDescent="0.25">
      <c r="A19" s="6" t="str">
        <f t="shared" si="6"/>
        <v>520-2025001298</v>
      </c>
      <c r="B19" s="6" t="str">
        <f t="shared" si="7"/>
        <v>AUCHAN R</v>
      </c>
      <c r="C19" s="7">
        <v>46020</v>
      </c>
      <c r="D19" s="7">
        <v>46027</v>
      </c>
      <c r="E19" s="8">
        <v>3</v>
      </c>
      <c r="F19" s="6" t="str">
        <f t="shared" si="8"/>
        <v>1061285680</v>
      </c>
      <c r="G19" s="6" t="str">
        <f>"F310620958000000"</f>
        <v>F310620958000000</v>
      </c>
      <c r="H19" s="6" t="str">
        <f>"PLAR 6209 C/ Franja"</f>
        <v>PLAR 6209 C/ Franja</v>
      </c>
      <c r="I19" s="6" t="str">
        <f>"203699"</f>
        <v>203699</v>
      </c>
      <c r="J19" s="6" t="str">
        <f>"BEGE 3699"</f>
        <v>BEGE 3699</v>
      </c>
      <c r="K19" s="6" t="str">
        <f>"2093"</f>
        <v>2093</v>
      </c>
      <c r="L19" s="6" t="str">
        <f>"Lençóis"</f>
        <v>Lençóis</v>
      </c>
      <c r="M19" s="6" t="str">
        <f>"100x150+8"</f>
        <v>100x150+8</v>
      </c>
      <c r="N19" s="6" t="str">
        <f>"5602972280944"</f>
        <v>5602972280944</v>
      </c>
      <c r="O19" s="8">
        <v>9</v>
      </c>
      <c r="P19" s="7">
        <v>46020</v>
      </c>
      <c r="R19" s="8">
        <v>0</v>
      </c>
      <c r="U19" s="8">
        <v>0</v>
      </c>
      <c r="X19" s="8">
        <v>0</v>
      </c>
      <c r="Z19" s="8">
        <v>0</v>
      </c>
      <c r="AC19" s="8">
        <v>9</v>
      </c>
      <c r="AE19" s="7">
        <v>46030</v>
      </c>
      <c r="AF19" s="8">
        <v>9</v>
      </c>
      <c r="AH19" s="7">
        <v>46027</v>
      </c>
      <c r="AN19" s="8">
        <v>9</v>
      </c>
      <c r="AO19" s="8">
        <v>0</v>
      </c>
    </row>
    <row r="20" spans="1:41" x14ac:dyDescent="0.25">
      <c r="A20" s="6" t="str">
        <f t="shared" si="6"/>
        <v>520-2025001298</v>
      </c>
      <c r="B20" s="6" t="str">
        <f t="shared" si="7"/>
        <v>AUCHAN R</v>
      </c>
      <c r="C20" s="7">
        <v>46020</v>
      </c>
      <c r="D20" s="7">
        <v>46027</v>
      </c>
      <c r="E20" s="8">
        <v>4</v>
      </c>
      <c r="F20" s="6" t="str">
        <f t="shared" si="8"/>
        <v>1061285680</v>
      </c>
      <c r="G20" s="6" t="str">
        <f>"F110329745000000"</f>
        <v>F110329745000000</v>
      </c>
      <c r="H20" s="6" t="str">
        <f>"FAJ 3297 - 450 g/m²"</f>
        <v>FAJ 3297 - 450 g/m²</v>
      </c>
      <c r="I20" s="6" t="str">
        <f>"2"</f>
        <v>2</v>
      </c>
      <c r="J20" s="6" t="str">
        <f>"NATURAL"</f>
        <v>NATURAL</v>
      </c>
      <c r="K20" s="6" t="str">
        <f>"0520"</f>
        <v>0520</v>
      </c>
      <c r="L20" s="6" t="str">
        <f>"Toalhetes"</f>
        <v>Toalhetes</v>
      </c>
      <c r="M20" s="6" t="str">
        <f>"30x50"</f>
        <v>30x50</v>
      </c>
      <c r="N20" s="6" t="str">
        <f>"5602972277852"</f>
        <v>5602972277852</v>
      </c>
      <c r="O20" s="8">
        <v>12</v>
      </c>
      <c r="P20" s="7">
        <v>46020</v>
      </c>
      <c r="R20" s="8">
        <v>0</v>
      </c>
      <c r="U20" s="8">
        <v>0</v>
      </c>
      <c r="X20" s="8">
        <v>0</v>
      </c>
      <c r="Z20" s="8">
        <v>0</v>
      </c>
      <c r="AC20" s="8">
        <v>0</v>
      </c>
      <c r="AE20" s="7">
        <v>46030</v>
      </c>
      <c r="AF20" s="8">
        <v>0</v>
      </c>
      <c r="AH20" s="7">
        <v>46027</v>
      </c>
      <c r="AN20" s="8">
        <v>0</v>
      </c>
      <c r="AO20" s="8">
        <v>12</v>
      </c>
    </row>
    <row r="21" spans="1:41" x14ac:dyDescent="0.25">
      <c r="A21" s="6" t="str">
        <f t="shared" si="6"/>
        <v>520-2025001298</v>
      </c>
      <c r="B21" s="6" t="str">
        <f t="shared" si="7"/>
        <v>AUCHAN R</v>
      </c>
      <c r="C21" s="7">
        <v>46020</v>
      </c>
      <c r="D21" s="7">
        <v>46027</v>
      </c>
      <c r="E21" s="8">
        <v>5</v>
      </c>
      <c r="F21" s="6" t="str">
        <f t="shared" si="8"/>
        <v>1061285680</v>
      </c>
      <c r="G21" s="6" t="str">
        <f>"K110069138500000"</f>
        <v>K110069138500000</v>
      </c>
      <c r="H21" s="6" t="str">
        <f>"KB 691 - Ketten 385"</f>
        <v>KB 691 - Ketten 385</v>
      </c>
      <c r="I21" s="6" t="str">
        <f>"1"</f>
        <v>1</v>
      </c>
      <c r="J21" s="6" t="str">
        <f>"BRANCO"</f>
        <v>BRANCO</v>
      </c>
      <c r="K21" s="6" t="str">
        <f>"8001"</f>
        <v>8001</v>
      </c>
      <c r="L21" s="6" t="str">
        <f>"Diversos"</f>
        <v>Diversos</v>
      </c>
      <c r="M21" s="6" t="str">
        <f>"Único"</f>
        <v>Único</v>
      </c>
      <c r="N21" s="6" t="str">
        <f>"5600000135174"</f>
        <v>5600000135174</v>
      </c>
      <c r="O21" s="8">
        <v>12</v>
      </c>
      <c r="P21" s="7">
        <v>46020</v>
      </c>
      <c r="R21" s="8">
        <v>0</v>
      </c>
      <c r="U21" s="8">
        <v>0</v>
      </c>
      <c r="X21" s="8">
        <v>0</v>
      </c>
      <c r="Z21" s="8">
        <v>0</v>
      </c>
      <c r="AC21" s="8">
        <v>12</v>
      </c>
      <c r="AE21" s="7">
        <v>46030</v>
      </c>
      <c r="AF21" s="8">
        <v>12</v>
      </c>
      <c r="AH21" s="7">
        <v>46027</v>
      </c>
      <c r="AN21" s="8">
        <v>12</v>
      </c>
      <c r="AO21" s="8">
        <v>0</v>
      </c>
    </row>
    <row r="22" spans="1:41" x14ac:dyDescent="0.25">
      <c r="A22" s="6" t="str">
        <f t="shared" si="6"/>
        <v>520-2025001298</v>
      </c>
      <c r="B22" s="6" t="str">
        <f t="shared" si="7"/>
        <v>AUCHAN R</v>
      </c>
      <c r="C22" s="7">
        <v>46020</v>
      </c>
      <c r="D22" s="7">
        <v>46027</v>
      </c>
      <c r="E22" s="8">
        <v>6</v>
      </c>
      <c r="F22" s="6" t="str">
        <f t="shared" si="8"/>
        <v>1061285680</v>
      </c>
      <c r="G22" s="6" t="str">
        <f>"F300374155000000"</f>
        <v>F300374155000000</v>
      </c>
      <c r="H22" s="6" t="str">
        <f>"PLR 3741 - 550 g/m²"</f>
        <v>PLR 3741 - 550 g/m²</v>
      </c>
      <c r="I22" s="6" t="str">
        <f>"203634"</f>
        <v>203634</v>
      </c>
      <c r="J22" s="6" t="str">
        <f>"ROSA 3634"</f>
        <v>ROSA 3634</v>
      </c>
      <c r="K22" s="6" t="str">
        <f>"1024"</f>
        <v>1024</v>
      </c>
      <c r="L22" s="6" t="str">
        <f>"Toalhas"</f>
        <v>Toalhas</v>
      </c>
      <c r="M22" s="6" t="str">
        <f>"50x100"</f>
        <v>50x100</v>
      </c>
      <c r="N22" s="6" t="str">
        <f>"5602972280876"</f>
        <v>5602972280876</v>
      </c>
      <c r="O22" s="8">
        <v>12</v>
      </c>
      <c r="P22" s="7">
        <v>46020</v>
      </c>
      <c r="R22" s="8">
        <v>0</v>
      </c>
      <c r="U22" s="8">
        <v>0</v>
      </c>
      <c r="X22" s="8">
        <v>0</v>
      </c>
      <c r="Z22" s="8">
        <v>0</v>
      </c>
      <c r="AC22" s="8">
        <v>12</v>
      </c>
      <c r="AE22" s="7">
        <v>46030</v>
      </c>
      <c r="AF22" s="8">
        <v>12</v>
      </c>
      <c r="AH22" s="7">
        <v>46027</v>
      </c>
      <c r="AN22" s="8">
        <v>12</v>
      </c>
      <c r="AO22" s="8">
        <v>0</v>
      </c>
    </row>
    <row r="23" spans="1:41" x14ac:dyDescent="0.25">
      <c r="A23" s="6" t="str">
        <f t="shared" si="6"/>
        <v>520-2025001298</v>
      </c>
      <c r="B23" s="6" t="str">
        <f t="shared" si="7"/>
        <v>AUCHAN R</v>
      </c>
      <c r="C23" s="7">
        <v>46020</v>
      </c>
      <c r="D23" s="7">
        <v>46027</v>
      </c>
      <c r="E23" s="8">
        <v>7</v>
      </c>
      <c r="F23" s="6" t="str">
        <f t="shared" si="8"/>
        <v>1061285680</v>
      </c>
      <c r="G23" s="6" t="str">
        <f>"F100021455000010"</f>
        <v>F100021455000010</v>
      </c>
      <c r="H23" s="6" t="str">
        <f>"FA 214 Bio GOTS - 55"</f>
        <v>FA 214 Bio GOTS - 55</v>
      </c>
      <c r="I23" s="6" t="str">
        <f>"1"</f>
        <v>1</v>
      </c>
      <c r="J23" s="6" t="str">
        <f>"BRANCO"</f>
        <v>BRANCO</v>
      </c>
      <c r="K23" s="6" t="str">
        <f>"1024"</f>
        <v>1024</v>
      </c>
      <c r="L23" s="6" t="str">
        <f>"Toalhas"</f>
        <v>Toalhas</v>
      </c>
      <c r="M23" s="6" t="str">
        <f>"50x100"</f>
        <v>50x100</v>
      </c>
      <c r="N23" s="6" t="str">
        <f>"5602972278583"</f>
        <v>5602972278583</v>
      </c>
      <c r="O23" s="8">
        <v>12</v>
      </c>
      <c r="P23" s="7">
        <v>46020</v>
      </c>
      <c r="R23" s="8">
        <v>0</v>
      </c>
      <c r="U23" s="8">
        <v>0</v>
      </c>
      <c r="X23" s="8">
        <v>0</v>
      </c>
      <c r="Z23" s="8">
        <v>0</v>
      </c>
      <c r="AC23" s="8">
        <v>12</v>
      </c>
      <c r="AE23" s="7">
        <v>46030</v>
      </c>
      <c r="AF23" s="8">
        <v>12</v>
      </c>
      <c r="AH23" s="7">
        <v>46027</v>
      </c>
      <c r="AN23" s="8">
        <v>12</v>
      </c>
      <c r="AO23" s="8">
        <v>0</v>
      </c>
    </row>
    <row r="24" spans="1:41" x14ac:dyDescent="0.25">
      <c r="A24" s="6" t="str">
        <f t="shared" si="6"/>
        <v>520-2025001298</v>
      </c>
      <c r="B24" s="6" t="str">
        <f t="shared" si="7"/>
        <v>AUCHAN R</v>
      </c>
      <c r="C24" s="7">
        <v>46020</v>
      </c>
      <c r="D24" s="7">
        <v>46027</v>
      </c>
      <c r="E24" s="8">
        <v>8</v>
      </c>
      <c r="F24" s="6" t="str">
        <f t="shared" si="8"/>
        <v>1061285680</v>
      </c>
      <c r="G24" s="6" t="str">
        <f>"C090008212000118"</f>
        <v>C090008212000118</v>
      </c>
      <c r="H24" s="6" t="str">
        <f>"Conj. LT 82 - 150 Fi"</f>
        <v>Conj. LT 82 - 150 Fi</v>
      </c>
      <c r="I24" s="6" t="str">
        <f>"600001"</f>
        <v>600001</v>
      </c>
      <c r="J24" s="6" t="str">
        <f>"Branco"</f>
        <v>Branco</v>
      </c>
      <c r="K24" s="6" t="str">
        <f>"4014"</f>
        <v>4014</v>
      </c>
      <c r="L24" s="6" t="str">
        <f>"Conjunto/Jogos"</f>
        <v>Conjunto/Jogos</v>
      </c>
      <c r="M24" s="6" t="str">
        <f>"(2 Pcs)"</f>
        <v>(2 Pcs)</v>
      </c>
      <c r="N24" s="6" t="str">
        <f>"5602972279849"</f>
        <v>5602972279849</v>
      </c>
      <c r="O24" s="8">
        <v>36</v>
      </c>
      <c r="P24" s="7">
        <v>46020</v>
      </c>
      <c r="R24" s="8">
        <v>0</v>
      </c>
      <c r="U24" s="8">
        <v>0</v>
      </c>
      <c r="X24" s="8">
        <v>0</v>
      </c>
      <c r="Z24" s="8">
        <v>0</v>
      </c>
      <c r="AC24" s="8">
        <v>36</v>
      </c>
      <c r="AE24" s="7">
        <v>46030</v>
      </c>
      <c r="AF24" s="8">
        <v>36</v>
      </c>
      <c r="AH24" s="7">
        <v>46027</v>
      </c>
      <c r="AN24" s="8">
        <v>36</v>
      </c>
      <c r="AO24" s="8">
        <v>0</v>
      </c>
    </row>
    <row r="25" spans="1:41" x14ac:dyDescent="0.25">
      <c r="A25" s="6" t="str">
        <f t="shared" si="6"/>
        <v>520-2025001298</v>
      </c>
      <c r="B25" s="6" t="str">
        <f t="shared" si="7"/>
        <v>AUCHAN R</v>
      </c>
      <c r="C25" s="7">
        <v>46020</v>
      </c>
      <c r="D25" s="7">
        <v>46027</v>
      </c>
      <c r="E25" s="8">
        <v>9</v>
      </c>
      <c r="F25" s="6" t="str">
        <f t="shared" si="8"/>
        <v>1061285680</v>
      </c>
      <c r="G25" s="6" t="str">
        <f>"C090020000000085"</f>
        <v>C090020000000085</v>
      </c>
      <c r="H25" s="6" t="str">
        <f>"Conj. Cetim 200 Fios"</f>
        <v>Conj. Cetim 200 Fios</v>
      </c>
      <c r="I25" s="6" t="str">
        <f>"600001"</f>
        <v>600001</v>
      </c>
      <c r="J25" s="6" t="str">
        <f>"Branco"</f>
        <v>Branco</v>
      </c>
      <c r="K25" s="6" t="str">
        <f>"4014"</f>
        <v>4014</v>
      </c>
      <c r="L25" s="6" t="str">
        <f>"Conjunto/Jogos"</f>
        <v>Conjunto/Jogos</v>
      </c>
      <c r="M25" s="6" t="str">
        <f>"(2 Pcs)"</f>
        <v>(2 Pcs)</v>
      </c>
      <c r="N25" s="6" t="str">
        <f>"5602972279856"</f>
        <v>5602972279856</v>
      </c>
      <c r="O25" s="8">
        <v>24</v>
      </c>
      <c r="P25" s="7">
        <v>46020</v>
      </c>
      <c r="R25" s="8">
        <v>0</v>
      </c>
      <c r="U25" s="8">
        <v>0</v>
      </c>
      <c r="X25" s="8">
        <v>0</v>
      </c>
      <c r="Z25" s="8">
        <v>0</v>
      </c>
      <c r="AC25" s="8">
        <v>24</v>
      </c>
      <c r="AE25" s="7">
        <v>46030</v>
      </c>
      <c r="AF25" s="8">
        <v>24</v>
      </c>
      <c r="AH25" s="7">
        <v>46027</v>
      </c>
      <c r="AN25" s="8">
        <v>24</v>
      </c>
      <c r="AO25" s="8">
        <v>0</v>
      </c>
    </row>
    <row r="26" spans="1:41" x14ac:dyDescent="0.25">
      <c r="A26" s="6" t="str">
        <f>"520-2025001299"</f>
        <v>520-2025001299</v>
      </c>
      <c r="B26" s="6" t="str">
        <f>"TORCEX -"</f>
        <v>TORCEX -</v>
      </c>
      <c r="C26" s="7">
        <v>46020</v>
      </c>
      <c r="D26" s="7">
        <v>46094</v>
      </c>
      <c r="E26" s="8">
        <v>1</v>
      </c>
      <c r="F26" s="6" t="str">
        <f>"DIE APPENZELLERIN 20"</f>
        <v>DIE APPENZELLERIN 20</v>
      </c>
      <c r="G26" s="6" t="str">
        <f>"C001246526000000"</f>
        <v>C001246526000000</v>
      </c>
      <c r="H26" s="6" t="str">
        <f>"CZJ 2465 - 260 g/m²"</f>
        <v>CZJ 2465 - 260 g/m²</v>
      </c>
      <c r="I26" s="6" t="str">
        <f>"204838"</f>
        <v>204838</v>
      </c>
      <c r="J26" s="6" t="str">
        <f>"ROSA 4838"</f>
        <v>ROSA 4838</v>
      </c>
      <c r="K26" s="6" t="str">
        <f>"0830"</f>
        <v>0830</v>
      </c>
      <c r="L26" s="6" t="str">
        <f>"Cozinha"</f>
        <v>Cozinha</v>
      </c>
      <c r="M26" s="6" t="str">
        <f>"50x70"</f>
        <v>50x70</v>
      </c>
      <c r="N26" s="6" t="str">
        <f>" "</f>
        <v xml:space="preserve"> </v>
      </c>
      <c r="O26" s="8">
        <v>15000</v>
      </c>
      <c r="P26" s="7">
        <v>46072</v>
      </c>
      <c r="R26" s="8">
        <v>0</v>
      </c>
      <c r="S26" s="7">
        <v>46077</v>
      </c>
      <c r="U26" s="8">
        <v>0</v>
      </c>
      <c r="V26" s="7">
        <v>46080</v>
      </c>
      <c r="X26" s="8">
        <v>0</v>
      </c>
      <c r="Z26" s="8">
        <v>0</v>
      </c>
      <c r="AA26" s="7">
        <v>46092</v>
      </c>
      <c r="AC26" s="8">
        <v>0</v>
      </c>
      <c r="AE26" s="7">
        <v>46094</v>
      </c>
      <c r="AF26" s="8">
        <v>0</v>
      </c>
      <c r="AH26" s="7">
        <v>46094</v>
      </c>
      <c r="AN26" s="8">
        <v>0</v>
      </c>
      <c r="AO26" s="8">
        <v>15000</v>
      </c>
    </row>
    <row r="27" spans="1:41" x14ac:dyDescent="0.25">
      <c r="A27" s="6" t="str">
        <f t="shared" ref="A27:A38" si="9">"520-2025001300"</f>
        <v>520-2025001300</v>
      </c>
      <c r="B27" s="6" t="str">
        <f t="shared" ref="B27:B62" si="10">"AUCHAN R"</f>
        <v>AUCHAN R</v>
      </c>
      <c r="C27" s="7">
        <v>46020</v>
      </c>
      <c r="D27" s="7">
        <v>46027</v>
      </c>
      <c r="E27" s="8">
        <v>1</v>
      </c>
      <c r="F27" s="6" t="str">
        <f t="shared" ref="F27:F38" si="11">"1072231770"</f>
        <v>1072231770</v>
      </c>
      <c r="G27" s="6" t="str">
        <f>"F300374155000000"</f>
        <v>F300374155000000</v>
      </c>
      <c r="H27" s="6" t="str">
        <f>"PLR 3741 - 550 g/m²"</f>
        <v>PLR 3741 - 550 g/m²</v>
      </c>
      <c r="I27" s="6" t="str">
        <f>"203634"</f>
        <v>203634</v>
      </c>
      <c r="J27" s="6" t="str">
        <f>"ROSA 3634"</f>
        <v>ROSA 3634</v>
      </c>
      <c r="K27" s="6" t="str">
        <f>"2020"</f>
        <v>2020</v>
      </c>
      <c r="L27" s="6" t="str">
        <f>"Lençóis"</f>
        <v>Lençóis</v>
      </c>
      <c r="M27" s="6" t="str">
        <f>"100x150"</f>
        <v>100x150</v>
      </c>
      <c r="N27" s="6" t="str">
        <f>"5602972280883"</f>
        <v>5602972280883</v>
      </c>
      <c r="O27" s="8">
        <v>6</v>
      </c>
      <c r="P27" s="7">
        <v>46020</v>
      </c>
      <c r="R27" s="8">
        <v>0</v>
      </c>
      <c r="U27" s="8">
        <v>0</v>
      </c>
      <c r="X27" s="8">
        <v>0</v>
      </c>
      <c r="Z27" s="8">
        <v>0</v>
      </c>
      <c r="AC27" s="8">
        <v>6</v>
      </c>
      <c r="AE27" s="7">
        <v>46030</v>
      </c>
      <c r="AF27" s="8">
        <v>6</v>
      </c>
      <c r="AH27" s="7">
        <v>46027</v>
      </c>
      <c r="AN27" s="8">
        <v>6</v>
      </c>
      <c r="AO27" s="8">
        <v>0</v>
      </c>
    </row>
    <row r="28" spans="1:41" x14ac:dyDescent="0.25">
      <c r="A28" s="6" t="str">
        <f t="shared" si="9"/>
        <v>520-2025001300</v>
      </c>
      <c r="B28" s="6" t="str">
        <f t="shared" si="10"/>
        <v>AUCHAN R</v>
      </c>
      <c r="C28" s="7">
        <v>46020</v>
      </c>
      <c r="D28" s="7">
        <v>46027</v>
      </c>
      <c r="E28" s="8">
        <v>2</v>
      </c>
      <c r="F28" s="6" t="str">
        <f t="shared" si="11"/>
        <v>1072231770</v>
      </c>
      <c r="G28" s="6" t="str">
        <f>"F310620958000000"</f>
        <v>F310620958000000</v>
      </c>
      <c r="H28" s="6" t="str">
        <f>"PLAR 6209 C/ Franja"</f>
        <v>PLAR 6209 C/ Franja</v>
      </c>
      <c r="I28" s="6" t="str">
        <f>"203699"</f>
        <v>203699</v>
      </c>
      <c r="J28" s="6" t="str">
        <f>"BEGE 3699"</f>
        <v>BEGE 3699</v>
      </c>
      <c r="K28" s="6" t="str">
        <f>"2093"</f>
        <v>2093</v>
      </c>
      <c r="L28" s="6" t="str">
        <f>"Lençóis"</f>
        <v>Lençóis</v>
      </c>
      <c r="M28" s="6" t="str">
        <f>"100x150+8"</f>
        <v>100x150+8</v>
      </c>
      <c r="N28" s="6" t="str">
        <f>"5602972280944"</f>
        <v>5602972280944</v>
      </c>
      <c r="O28" s="8">
        <v>3</v>
      </c>
      <c r="P28" s="7">
        <v>46020</v>
      </c>
      <c r="R28" s="8">
        <v>0</v>
      </c>
      <c r="U28" s="8">
        <v>0</v>
      </c>
      <c r="X28" s="8">
        <v>0</v>
      </c>
      <c r="Z28" s="8">
        <v>0</v>
      </c>
      <c r="AC28" s="8">
        <v>3</v>
      </c>
      <c r="AE28" s="7">
        <v>46030</v>
      </c>
      <c r="AF28" s="8">
        <v>3</v>
      </c>
      <c r="AH28" s="7">
        <v>46027</v>
      </c>
      <c r="AN28" s="8">
        <v>3</v>
      </c>
      <c r="AO28" s="8">
        <v>0</v>
      </c>
    </row>
    <row r="29" spans="1:41" x14ac:dyDescent="0.25">
      <c r="A29" s="6" t="str">
        <f t="shared" si="9"/>
        <v>520-2025001300</v>
      </c>
      <c r="B29" s="6" t="str">
        <f t="shared" si="10"/>
        <v>AUCHAN R</v>
      </c>
      <c r="C29" s="7">
        <v>46020</v>
      </c>
      <c r="D29" s="7">
        <v>46027</v>
      </c>
      <c r="E29" s="8">
        <v>3</v>
      </c>
      <c r="F29" s="6" t="str">
        <f t="shared" si="11"/>
        <v>1072231770</v>
      </c>
      <c r="G29" s="6" t="str">
        <f>"F100021455000010"</f>
        <v>F100021455000010</v>
      </c>
      <c r="H29" s="6" t="str">
        <f>"FA 214 Bio GOTS - 55"</f>
        <v>FA 214 Bio GOTS - 55</v>
      </c>
      <c r="I29" s="6" t="str">
        <f>"19"</f>
        <v>19</v>
      </c>
      <c r="J29" s="6" t="str">
        <f>"PRETO REACTIVO 570"</f>
        <v>PRETO REACTIVO 570</v>
      </c>
      <c r="K29" s="6" t="str">
        <f>"2020"</f>
        <v>2020</v>
      </c>
      <c r="L29" s="6" t="str">
        <f>"Lençóis"</f>
        <v>Lençóis</v>
      </c>
      <c r="M29" s="6" t="str">
        <f>"100x150"</f>
        <v>100x150</v>
      </c>
      <c r="N29" s="6" t="str">
        <f>"5602972278620"</f>
        <v>5602972278620</v>
      </c>
      <c r="O29" s="8">
        <v>3</v>
      </c>
      <c r="P29" s="7">
        <v>46020</v>
      </c>
      <c r="R29" s="8">
        <v>0</v>
      </c>
      <c r="U29" s="8">
        <v>0</v>
      </c>
      <c r="X29" s="8">
        <v>0</v>
      </c>
      <c r="Z29" s="8">
        <v>0</v>
      </c>
      <c r="AC29" s="8">
        <v>3</v>
      </c>
      <c r="AE29" s="7">
        <v>46030</v>
      </c>
      <c r="AF29" s="8">
        <v>3</v>
      </c>
      <c r="AH29" s="7">
        <v>46027</v>
      </c>
      <c r="AN29" s="8">
        <v>3</v>
      </c>
      <c r="AO29" s="8">
        <v>0</v>
      </c>
    </row>
    <row r="30" spans="1:41" x14ac:dyDescent="0.25">
      <c r="A30" s="6" t="str">
        <f t="shared" si="9"/>
        <v>520-2025001300</v>
      </c>
      <c r="B30" s="6" t="str">
        <f t="shared" si="10"/>
        <v>AUCHAN R</v>
      </c>
      <c r="C30" s="7">
        <v>46020</v>
      </c>
      <c r="D30" s="7">
        <v>46027</v>
      </c>
      <c r="E30" s="8">
        <v>4</v>
      </c>
      <c r="F30" s="6" t="str">
        <f t="shared" si="11"/>
        <v>1072231770</v>
      </c>
      <c r="G30" s="6" t="str">
        <f>"F310620958000000"</f>
        <v>F310620958000000</v>
      </c>
      <c r="H30" s="6" t="str">
        <f>"PLAR 6209 C/ Franja"</f>
        <v>PLAR 6209 C/ Franja</v>
      </c>
      <c r="I30" s="6" t="str">
        <f>"203699"</f>
        <v>203699</v>
      </c>
      <c r="J30" s="6" t="str">
        <f>"BEGE 3699"</f>
        <v>BEGE 3699</v>
      </c>
      <c r="K30" s="6" t="str">
        <f>"0585"</f>
        <v>0585</v>
      </c>
      <c r="L30" s="6" t="str">
        <f>"Toalhetes"</f>
        <v>Toalhetes</v>
      </c>
      <c r="M30" s="6" t="str">
        <f>"33x50+8"</f>
        <v>33x50+8</v>
      </c>
      <c r="N30" s="6" t="str">
        <f>"5602972280920"</f>
        <v>5602972280920</v>
      </c>
      <c r="O30" s="8">
        <v>12</v>
      </c>
      <c r="P30" s="7">
        <v>46020</v>
      </c>
      <c r="R30" s="8">
        <v>0</v>
      </c>
      <c r="U30" s="8">
        <v>0</v>
      </c>
      <c r="X30" s="8">
        <v>0</v>
      </c>
      <c r="Z30" s="8">
        <v>0</v>
      </c>
      <c r="AC30" s="8">
        <v>12</v>
      </c>
      <c r="AE30" s="7">
        <v>46030</v>
      </c>
      <c r="AF30" s="8">
        <v>12</v>
      </c>
      <c r="AH30" s="7">
        <v>46027</v>
      </c>
      <c r="AN30" s="8">
        <v>12</v>
      </c>
      <c r="AO30" s="8">
        <v>0</v>
      </c>
    </row>
    <row r="31" spans="1:41" x14ac:dyDescent="0.25">
      <c r="A31" s="6" t="str">
        <f t="shared" si="9"/>
        <v>520-2025001300</v>
      </c>
      <c r="B31" s="6" t="str">
        <f t="shared" si="10"/>
        <v>AUCHAN R</v>
      </c>
      <c r="C31" s="7">
        <v>46020</v>
      </c>
      <c r="D31" s="7">
        <v>46027</v>
      </c>
      <c r="E31" s="8">
        <v>5</v>
      </c>
      <c r="F31" s="6" t="str">
        <f t="shared" si="11"/>
        <v>1072231770</v>
      </c>
      <c r="G31" s="6" t="str">
        <f>"F300374155000000"</f>
        <v>F300374155000000</v>
      </c>
      <c r="H31" s="6" t="str">
        <f>"PLR 3741 - 550 g/m²"</f>
        <v>PLR 3741 - 550 g/m²</v>
      </c>
      <c r="I31" s="6" t="str">
        <f>"203634"</f>
        <v>203634</v>
      </c>
      <c r="J31" s="6" t="str">
        <f>"ROSA 3634"</f>
        <v>ROSA 3634</v>
      </c>
      <c r="K31" s="6" t="str">
        <f>"0530"</f>
        <v>0530</v>
      </c>
      <c r="L31" s="6" t="str">
        <f>"Toalhetes"</f>
        <v>Toalhetes</v>
      </c>
      <c r="M31" s="6" t="str">
        <f>"33x50"</f>
        <v>33x50</v>
      </c>
      <c r="N31" s="6" t="str">
        <f>"5602972280869"</f>
        <v>5602972280869</v>
      </c>
      <c r="O31" s="8">
        <v>12</v>
      </c>
      <c r="P31" s="7">
        <v>46020</v>
      </c>
      <c r="R31" s="8">
        <v>0</v>
      </c>
      <c r="U31" s="8">
        <v>0</v>
      </c>
      <c r="X31" s="8">
        <v>0</v>
      </c>
      <c r="Z31" s="8">
        <v>0</v>
      </c>
      <c r="AC31" s="8">
        <v>12</v>
      </c>
      <c r="AE31" s="7">
        <v>46030</v>
      </c>
      <c r="AF31" s="8">
        <v>12</v>
      </c>
      <c r="AH31" s="7">
        <v>46027</v>
      </c>
      <c r="AN31" s="8">
        <v>12</v>
      </c>
      <c r="AO31" s="8">
        <v>0</v>
      </c>
    </row>
    <row r="32" spans="1:41" x14ac:dyDescent="0.25">
      <c r="A32" s="6" t="str">
        <f t="shared" si="9"/>
        <v>520-2025001300</v>
      </c>
      <c r="B32" s="6" t="str">
        <f t="shared" si="10"/>
        <v>AUCHAN R</v>
      </c>
      <c r="C32" s="7">
        <v>46020</v>
      </c>
      <c r="D32" s="7">
        <v>46027</v>
      </c>
      <c r="E32" s="8">
        <v>6</v>
      </c>
      <c r="F32" s="6" t="str">
        <f t="shared" si="11"/>
        <v>1072231770</v>
      </c>
      <c r="G32" s="6" t="str">
        <f>"F100021455000010"</f>
        <v>F100021455000010</v>
      </c>
      <c r="H32" s="6" t="str">
        <f>"FA 214 Bio GOTS - 55"</f>
        <v>FA 214 Bio GOTS - 55</v>
      </c>
      <c r="I32" s="6" t="str">
        <f>"19"</f>
        <v>19</v>
      </c>
      <c r="J32" s="6" t="str">
        <f>"PRETO REACTIVO 570"</f>
        <v>PRETO REACTIVO 570</v>
      </c>
      <c r="K32" s="6" t="str">
        <f>"0530"</f>
        <v>0530</v>
      </c>
      <c r="L32" s="6" t="str">
        <f>"Toalhetes"</f>
        <v>Toalhetes</v>
      </c>
      <c r="M32" s="6" t="str">
        <f>"33x50"</f>
        <v>33x50</v>
      </c>
      <c r="N32" s="6" t="str">
        <f>"5602972278606"</f>
        <v>5602972278606</v>
      </c>
      <c r="O32" s="8">
        <v>12</v>
      </c>
      <c r="P32" s="7">
        <v>46020</v>
      </c>
      <c r="R32" s="8">
        <v>0</v>
      </c>
      <c r="U32" s="8">
        <v>0</v>
      </c>
      <c r="X32" s="8">
        <v>0</v>
      </c>
      <c r="Z32" s="8">
        <v>0</v>
      </c>
      <c r="AC32" s="8">
        <v>0</v>
      </c>
      <c r="AE32" s="7">
        <v>46030</v>
      </c>
      <c r="AF32" s="8">
        <v>0</v>
      </c>
      <c r="AH32" s="7">
        <v>46027</v>
      </c>
      <c r="AN32" s="8">
        <v>0</v>
      </c>
      <c r="AO32" s="8">
        <v>12</v>
      </c>
    </row>
    <row r="33" spans="1:41" x14ac:dyDescent="0.25">
      <c r="A33" s="6" t="str">
        <f t="shared" si="9"/>
        <v>520-2025001300</v>
      </c>
      <c r="B33" s="6" t="str">
        <f t="shared" si="10"/>
        <v>AUCHAN R</v>
      </c>
      <c r="C33" s="7">
        <v>46020</v>
      </c>
      <c r="D33" s="7">
        <v>46027</v>
      </c>
      <c r="E33" s="8">
        <v>7</v>
      </c>
      <c r="F33" s="6" t="str">
        <f t="shared" si="11"/>
        <v>1072231770</v>
      </c>
      <c r="G33" s="6" t="str">
        <f>"F300374155000000"</f>
        <v>F300374155000000</v>
      </c>
      <c r="H33" s="6" t="str">
        <f>"PLR 3741 - 550 g/m²"</f>
        <v>PLR 3741 - 550 g/m²</v>
      </c>
      <c r="I33" s="6" t="str">
        <f>"203634"</f>
        <v>203634</v>
      </c>
      <c r="J33" s="6" t="str">
        <f>"ROSA 3634"</f>
        <v>ROSA 3634</v>
      </c>
      <c r="K33" s="6" t="str">
        <f>"1024"</f>
        <v>1024</v>
      </c>
      <c r="L33" s="6" t="str">
        <f>"Toalhas"</f>
        <v>Toalhas</v>
      </c>
      <c r="M33" s="6" t="str">
        <f>"50x100"</f>
        <v>50x100</v>
      </c>
      <c r="N33" s="6" t="str">
        <f>"5602972280876"</f>
        <v>5602972280876</v>
      </c>
      <c r="O33" s="8">
        <v>12</v>
      </c>
      <c r="P33" s="7">
        <v>46020</v>
      </c>
      <c r="R33" s="8">
        <v>0</v>
      </c>
      <c r="U33" s="8">
        <v>0</v>
      </c>
      <c r="X33" s="8">
        <v>0</v>
      </c>
      <c r="Z33" s="8">
        <v>0</v>
      </c>
      <c r="AC33" s="8">
        <v>12</v>
      </c>
      <c r="AE33" s="7">
        <v>46030</v>
      </c>
      <c r="AF33" s="8">
        <v>12</v>
      </c>
      <c r="AH33" s="7">
        <v>46027</v>
      </c>
      <c r="AN33" s="8">
        <v>12</v>
      </c>
      <c r="AO33" s="8">
        <v>0</v>
      </c>
    </row>
    <row r="34" spans="1:41" x14ac:dyDescent="0.25">
      <c r="A34" s="6" t="str">
        <f t="shared" si="9"/>
        <v>520-2025001300</v>
      </c>
      <c r="B34" s="6" t="str">
        <f t="shared" si="10"/>
        <v>AUCHAN R</v>
      </c>
      <c r="C34" s="7">
        <v>46020</v>
      </c>
      <c r="D34" s="7">
        <v>46027</v>
      </c>
      <c r="E34" s="8">
        <v>8</v>
      </c>
      <c r="F34" s="6" t="str">
        <f t="shared" si="11"/>
        <v>1072231770</v>
      </c>
      <c r="G34" s="6" t="str">
        <f>"F100021455000010"</f>
        <v>F100021455000010</v>
      </c>
      <c r="H34" s="6" t="str">
        <f>"FA 214 Bio GOTS - 55"</f>
        <v>FA 214 Bio GOTS - 55</v>
      </c>
      <c r="I34" s="6" t="str">
        <f>"2094"</f>
        <v>2094</v>
      </c>
      <c r="J34" s="6" t="str">
        <f>"AZUL 2094"</f>
        <v>AZUL 2094</v>
      </c>
      <c r="K34" s="6" t="str">
        <f>"1024"</f>
        <v>1024</v>
      </c>
      <c r="L34" s="6" t="str">
        <f>"Toalhas"</f>
        <v>Toalhas</v>
      </c>
      <c r="M34" s="6" t="str">
        <f>"50x100"</f>
        <v>50x100</v>
      </c>
      <c r="N34" s="6" t="str">
        <f>"5602972278644"</f>
        <v>5602972278644</v>
      </c>
      <c r="O34" s="8">
        <v>12</v>
      </c>
      <c r="P34" s="7">
        <v>46020</v>
      </c>
      <c r="R34" s="8">
        <v>0</v>
      </c>
      <c r="U34" s="8">
        <v>0</v>
      </c>
      <c r="X34" s="8">
        <v>0</v>
      </c>
      <c r="Z34" s="8">
        <v>0</v>
      </c>
      <c r="AC34" s="8">
        <v>12</v>
      </c>
      <c r="AE34" s="7">
        <v>46030</v>
      </c>
      <c r="AF34" s="8">
        <v>12</v>
      </c>
      <c r="AH34" s="7">
        <v>46027</v>
      </c>
      <c r="AN34" s="8">
        <v>12</v>
      </c>
      <c r="AO34" s="8">
        <v>0</v>
      </c>
    </row>
    <row r="35" spans="1:41" x14ac:dyDescent="0.25">
      <c r="A35" s="6" t="str">
        <f t="shared" si="9"/>
        <v>520-2025001300</v>
      </c>
      <c r="B35" s="6" t="str">
        <f t="shared" si="10"/>
        <v>AUCHAN R</v>
      </c>
      <c r="C35" s="7">
        <v>46020</v>
      </c>
      <c r="D35" s="7">
        <v>46027</v>
      </c>
      <c r="E35" s="8">
        <v>9</v>
      </c>
      <c r="F35" s="6" t="str">
        <f t="shared" si="11"/>
        <v>1072231770</v>
      </c>
      <c r="G35" s="6" t="str">
        <f>"F100021455000010"</f>
        <v>F100021455000010</v>
      </c>
      <c r="H35" s="6" t="str">
        <f>"FA 214 Bio GOTS - 55"</f>
        <v>FA 214 Bio GOTS - 55</v>
      </c>
      <c r="I35" s="6" t="str">
        <f>"19"</f>
        <v>19</v>
      </c>
      <c r="J35" s="6" t="str">
        <f>"PRETO REACTIVO 570"</f>
        <v>PRETO REACTIVO 570</v>
      </c>
      <c r="K35" s="6" t="str">
        <f>"1024"</f>
        <v>1024</v>
      </c>
      <c r="L35" s="6" t="str">
        <f>"Toalhas"</f>
        <v>Toalhas</v>
      </c>
      <c r="M35" s="6" t="str">
        <f>"50x100"</f>
        <v>50x100</v>
      </c>
      <c r="N35" s="6" t="str">
        <f>"5602972278613"</f>
        <v>5602972278613</v>
      </c>
      <c r="O35" s="8">
        <v>12</v>
      </c>
      <c r="P35" s="7">
        <v>46020</v>
      </c>
      <c r="R35" s="8">
        <v>0</v>
      </c>
      <c r="U35" s="8">
        <v>0</v>
      </c>
      <c r="X35" s="8">
        <v>0</v>
      </c>
      <c r="Z35" s="8">
        <v>0</v>
      </c>
      <c r="AC35" s="8">
        <v>12</v>
      </c>
      <c r="AE35" s="7">
        <v>46030</v>
      </c>
      <c r="AF35" s="8">
        <v>12</v>
      </c>
      <c r="AH35" s="7">
        <v>46027</v>
      </c>
      <c r="AN35" s="8">
        <v>12</v>
      </c>
      <c r="AO35" s="8">
        <v>0</v>
      </c>
    </row>
    <row r="36" spans="1:41" x14ac:dyDescent="0.25">
      <c r="A36" s="6" t="str">
        <f t="shared" si="9"/>
        <v>520-2025001300</v>
      </c>
      <c r="B36" s="6" t="str">
        <f t="shared" si="10"/>
        <v>AUCHAN R</v>
      </c>
      <c r="C36" s="7">
        <v>46020</v>
      </c>
      <c r="D36" s="7">
        <v>46027</v>
      </c>
      <c r="E36" s="8">
        <v>10</v>
      </c>
      <c r="F36" s="6" t="str">
        <f t="shared" si="11"/>
        <v>1072231770</v>
      </c>
      <c r="G36" s="6" t="str">
        <f>"F110110840000003"</f>
        <v>F110110840000003</v>
      </c>
      <c r="H36" s="6" t="str">
        <f>"FAJ 1108 - 400 g/m²"</f>
        <v>FAJ 1108 - 400 g/m²</v>
      </c>
      <c r="I36" s="6" t="str">
        <f>"3073"</f>
        <v>3073</v>
      </c>
      <c r="J36" s="6" t="str">
        <f>"CINZA 3073"</f>
        <v>CINZA 3073</v>
      </c>
      <c r="K36" s="6" t="str">
        <f>"0830"</f>
        <v>0830</v>
      </c>
      <c r="L36" s="6" t="str">
        <f>"Cozinha"</f>
        <v>Cozinha</v>
      </c>
      <c r="M36" s="6" t="str">
        <f>"50x70"</f>
        <v>50x70</v>
      </c>
      <c r="N36" s="6" t="str">
        <f>"5602972279535"</f>
        <v>5602972279535</v>
      </c>
      <c r="O36" s="8">
        <v>12</v>
      </c>
      <c r="P36" s="7">
        <v>46020</v>
      </c>
      <c r="R36" s="8">
        <v>0</v>
      </c>
      <c r="U36" s="8">
        <v>0</v>
      </c>
      <c r="X36" s="8">
        <v>0</v>
      </c>
      <c r="Z36" s="8">
        <v>0</v>
      </c>
      <c r="AC36" s="8">
        <v>12</v>
      </c>
      <c r="AE36" s="7">
        <v>46030</v>
      </c>
      <c r="AF36" s="8">
        <v>12</v>
      </c>
      <c r="AH36" s="7">
        <v>46027</v>
      </c>
      <c r="AN36" s="8">
        <v>12</v>
      </c>
      <c r="AO36" s="8">
        <v>0</v>
      </c>
    </row>
    <row r="37" spans="1:41" x14ac:dyDescent="0.25">
      <c r="A37" s="6" t="str">
        <f t="shared" si="9"/>
        <v>520-2025001300</v>
      </c>
      <c r="B37" s="6" t="str">
        <f t="shared" si="10"/>
        <v>AUCHAN R</v>
      </c>
      <c r="C37" s="7">
        <v>46020</v>
      </c>
      <c r="D37" s="7">
        <v>46027</v>
      </c>
      <c r="E37" s="8">
        <v>11</v>
      </c>
      <c r="F37" s="6" t="str">
        <f t="shared" si="11"/>
        <v>1072231770</v>
      </c>
      <c r="G37" s="6" t="str">
        <f>"K001223323000000"</f>
        <v>K001223323000000</v>
      </c>
      <c r="H37" s="6" t="str">
        <f>"KB 2233 - Avental -"</f>
        <v>KB 2233 - Avental -</v>
      </c>
      <c r="I37" s="6" t="str">
        <f>"3073"</f>
        <v>3073</v>
      </c>
      <c r="J37" s="6" t="str">
        <f>"CINZA 3073"</f>
        <v>CINZA 3073</v>
      </c>
      <c r="K37" s="6" t="str">
        <f>"8803"</f>
        <v>8803</v>
      </c>
      <c r="L37" s="6" t="str">
        <f>"Cozinha"</f>
        <v>Cozinha</v>
      </c>
      <c r="M37" s="6" t="str">
        <f>"03 Avental"</f>
        <v>03 Avental</v>
      </c>
      <c r="N37" s="6" t="str">
        <f>"5602972279542"</f>
        <v>5602972279542</v>
      </c>
      <c r="O37" s="8">
        <v>12</v>
      </c>
      <c r="P37" s="7">
        <v>46020</v>
      </c>
      <c r="R37" s="8">
        <v>0</v>
      </c>
      <c r="U37" s="8">
        <v>0</v>
      </c>
      <c r="X37" s="8">
        <v>0</v>
      </c>
      <c r="Z37" s="8">
        <v>0</v>
      </c>
      <c r="AC37" s="8">
        <v>12</v>
      </c>
      <c r="AE37" s="7">
        <v>46030</v>
      </c>
      <c r="AF37" s="8">
        <v>12</v>
      </c>
      <c r="AH37" s="7">
        <v>46027</v>
      </c>
      <c r="AN37" s="8">
        <v>12</v>
      </c>
      <c r="AO37" s="8">
        <v>0</v>
      </c>
    </row>
    <row r="38" spans="1:41" x14ac:dyDescent="0.25">
      <c r="A38" s="6" t="str">
        <f t="shared" si="9"/>
        <v>520-2025001300</v>
      </c>
      <c r="B38" s="6" t="str">
        <f t="shared" si="10"/>
        <v>AUCHAN R</v>
      </c>
      <c r="C38" s="7">
        <v>46020</v>
      </c>
      <c r="D38" s="7">
        <v>46027</v>
      </c>
      <c r="E38" s="8">
        <v>12</v>
      </c>
      <c r="F38" s="6" t="str">
        <f t="shared" si="11"/>
        <v>1072231770</v>
      </c>
      <c r="G38" s="6" t="str">
        <f>"K001223523000000"</f>
        <v>K001223523000000</v>
      </c>
      <c r="H38" s="6" t="str">
        <f>"KB 2235 - Pega - CZJ"</f>
        <v>KB 2235 - Pega - CZJ</v>
      </c>
      <c r="I38" s="6" t="str">
        <f>"3073"</f>
        <v>3073</v>
      </c>
      <c r="J38" s="6" t="str">
        <f>"CINZA 3073"</f>
        <v>CINZA 3073</v>
      </c>
      <c r="K38" s="6" t="str">
        <f>"8805"</f>
        <v>8805</v>
      </c>
      <c r="L38" s="6" t="str">
        <f>"Cozinha"</f>
        <v>Cozinha</v>
      </c>
      <c r="M38" s="6" t="str">
        <f>"05 Pega"</f>
        <v>05 Pega</v>
      </c>
      <c r="N38" s="6" t="str">
        <f>"5602972279566"</f>
        <v>5602972279566</v>
      </c>
      <c r="O38" s="8">
        <v>12</v>
      </c>
      <c r="P38" s="7">
        <v>46020</v>
      </c>
      <c r="R38" s="8">
        <v>0</v>
      </c>
      <c r="U38" s="8">
        <v>0</v>
      </c>
      <c r="X38" s="8">
        <v>0</v>
      </c>
      <c r="Z38" s="8">
        <v>0</v>
      </c>
      <c r="AC38" s="8">
        <v>12</v>
      </c>
      <c r="AE38" s="7">
        <v>46030</v>
      </c>
      <c r="AF38" s="8">
        <v>12</v>
      </c>
      <c r="AH38" s="7">
        <v>46027</v>
      </c>
      <c r="AN38" s="8">
        <v>12</v>
      </c>
      <c r="AO38" s="8">
        <v>0</v>
      </c>
    </row>
    <row r="39" spans="1:41" x14ac:dyDescent="0.25">
      <c r="A39" s="6" t="str">
        <f t="shared" ref="A39:A46" si="12">"520-2025001301"</f>
        <v>520-2025001301</v>
      </c>
      <c r="B39" s="6" t="str">
        <f t="shared" si="10"/>
        <v>AUCHAN R</v>
      </c>
      <c r="C39" s="7">
        <v>46020</v>
      </c>
      <c r="D39" s="7">
        <v>46027</v>
      </c>
      <c r="E39" s="8">
        <v>1</v>
      </c>
      <c r="F39" s="6" t="str">
        <f t="shared" ref="F39:F46" si="13">"1072806997"</f>
        <v>1072806997</v>
      </c>
      <c r="G39" s="6" t="str">
        <f>"F100021455000010"</f>
        <v>F100021455000010</v>
      </c>
      <c r="H39" s="6" t="str">
        <f>"FA 214 Bio GOTS - 55"</f>
        <v>FA 214 Bio GOTS - 55</v>
      </c>
      <c r="I39" s="6" t="str">
        <f>"19"</f>
        <v>19</v>
      </c>
      <c r="J39" s="6" t="str">
        <f>"PRETO REACTIVO 570"</f>
        <v>PRETO REACTIVO 570</v>
      </c>
      <c r="K39" s="6" t="str">
        <f>"2020"</f>
        <v>2020</v>
      </c>
      <c r="L39" s="6" t="str">
        <f>"Lençóis"</f>
        <v>Lençóis</v>
      </c>
      <c r="M39" s="6" t="str">
        <f>"100x150"</f>
        <v>100x150</v>
      </c>
      <c r="N39" s="6" t="str">
        <f>"5602972278620"</f>
        <v>5602972278620</v>
      </c>
      <c r="O39" s="8">
        <v>6</v>
      </c>
      <c r="P39" s="7">
        <v>46020</v>
      </c>
      <c r="R39" s="8">
        <v>0</v>
      </c>
      <c r="U39" s="8">
        <v>0</v>
      </c>
      <c r="X39" s="8">
        <v>0</v>
      </c>
      <c r="Z39" s="8">
        <v>0</v>
      </c>
      <c r="AC39" s="8">
        <v>6</v>
      </c>
      <c r="AE39" s="7">
        <v>46030</v>
      </c>
      <c r="AF39" s="8">
        <v>6</v>
      </c>
      <c r="AH39" s="7">
        <v>46027</v>
      </c>
      <c r="AN39" s="8">
        <v>6</v>
      </c>
      <c r="AO39" s="8">
        <v>0</v>
      </c>
    </row>
    <row r="40" spans="1:41" x14ac:dyDescent="0.25">
      <c r="A40" s="6" t="str">
        <f t="shared" si="12"/>
        <v>520-2025001301</v>
      </c>
      <c r="B40" s="6" t="str">
        <f t="shared" si="10"/>
        <v>AUCHAN R</v>
      </c>
      <c r="C40" s="7">
        <v>46020</v>
      </c>
      <c r="D40" s="7">
        <v>46027</v>
      </c>
      <c r="E40" s="8">
        <v>2</v>
      </c>
      <c r="F40" s="6" t="str">
        <f t="shared" si="13"/>
        <v>1072806997</v>
      </c>
      <c r="G40" s="6" t="str">
        <f>"F110329745000000"</f>
        <v>F110329745000000</v>
      </c>
      <c r="H40" s="6" t="str">
        <f>"FAJ 3297 - 450 g/m²"</f>
        <v>FAJ 3297 - 450 g/m²</v>
      </c>
      <c r="I40" s="6" t="str">
        <f>"2"</f>
        <v>2</v>
      </c>
      <c r="J40" s="6" t="str">
        <f>"NATURAL"</f>
        <v>NATURAL</v>
      </c>
      <c r="K40" s="6" t="str">
        <f>"0520"</f>
        <v>0520</v>
      </c>
      <c r="L40" s="6" t="str">
        <f>"Toalhetes"</f>
        <v>Toalhetes</v>
      </c>
      <c r="M40" s="6" t="str">
        <f>"30x50"</f>
        <v>30x50</v>
      </c>
      <c r="N40" s="6" t="str">
        <f>"5602972277852"</f>
        <v>5602972277852</v>
      </c>
      <c r="O40" s="8">
        <v>12</v>
      </c>
      <c r="P40" s="7">
        <v>46020</v>
      </c>
      <c r="R40" s="8">
        <v>0</v>
      </c>
      <c r="U40" s="8">
        <v>0</v>
      </c>
      <c r="X40" s="8">
        <v>0</v>
      </c>
      <c r="Z40" s="8">
        <v>0</v>
      </c>
      <c r="AC40" s="8">
        <v>0</v>
      </c>
      <c r="AE40" s="7">
        <v>46030</v>
      </c>
      <c r="AF40" s="8">
        <v>0</v>
      </c>
      <c r="AH40" s="7">
        <v>46027</v>
      </c>
      <c r="AN40" s="8">
        <v>0</v>
      </c>
      <c r="AO40" s="8">
        <v>12</v>
      </c>
    </row>
    <row r="41" spans="1:41" x14ac:dyDescent="0.25">
      <c r="A41" s="6" t="str">
        <f t="shared" si="12"/>
        <v>520-2025001301</v>
      </c>
      <c r="B41" s="6" t="str">
        <f t="shared" si="10"/>
        <v>AUCHAN R</v>
      </c>
      <c r="C41" s="7">
        <v>46020</v>
      </c>
      <c r="D41" s="7">
        <v>46027</v>
      </c>
      <c r="E41" s="8">
        <v>3</v>
      </c>
      <c r="F41" s="6" t="str">
        <f t="shared" si="13"/>
        <v>1072806997</v>
      </c>
      <c r="G41" s="6" t="str">
        <f>"F110329745000000"</f>
        <v>F110329745000000</v>
      </c>
      <c r="H41" s="6" t="str">
        <f>"FAJ 3297 - 450 g/m²"</f>
        <v>FAJ 3297 - 450 g/m²</v>
      </c>
      <c r="I41" s="6" t="str">
        <f>"2"</f>
        <v>2</v>
      </c>
      <c r="J41" s="6" t="str">
        <f>"NATURAL"</f>
        <v>NATURAL</v>
      </c>
      <c r="K41" s="6" t="str">
        <f>"1024"</f>
        <v>1024</v>
      </c>
      <c r="L41" s="6" t="str">
        <f>"Toalhas"</f>
        <v>Toalhas</v>
      </c>
      <c r="M41" s="6" t="str">
        <f>"50x100"</f>
        <v>50x100</v>
      </c>
      <c r="N41" s="6" t="str">
        <f>"5602972277869"</f>
        <v>5602972277869</v>
      </c>
      <c r="O41" s="8">
        <v>6</v>
      </c>
      <c r="P41" s="7">
        <v>46020</v>
      </c>
      <c r="R41" s="8">
        <v>0</v>
      </c>
      <c r="U41" s="8">
        <v>0</v>
      </c>
      <c r="X41" s="8">
        <v>0</v>
      </c>
      <c r="Z41" s="8">
        <v>0</v>
      </c>
      <c r="AC41" s="8">
        <v>6</v>
      </c>
      <c r="AE41" s="7">
        <v>46030</v>
      </c>
      <c r="AF41" s="8">
        <v>6</v>
      </c>
      <c r="AH41" s="7">
        <v>46027</v>
      </c>
      <c r="AN41" s="8">
        <v>6</v>
      </c>
      <c r="AO41" s="8">
        <v>0</v>
      </c>
    </row>
    <row r="42" spans="1:41" x14ac:dyDescent="0.25">
      <c r="A42" s="6" t="str">
        <f t="shared" si="12"/>
        <v>520-2025001301</v>
      </c>
      <c r="B42" s="6" t="str">
        <f t="shared" si="10"/>
        <v>AUCHAN R</v>
      </c>
      <c r="C42" s="7">
        <v>46020</v>
      </c>
      <c r="D42" s="7">
        <v>46027</v>
      </c>
      <c r="E42" s="8">
        <v>4</v>
      </c>
      <c r="F42" s="6" t="str">
        <f t="shared" si="13"/>
        <v>1072806997</v>
      </c>
      <c r="G42" s="6" t="str">
        <f>"F100021455000010"</f>
        <v>F100021455000010</v>
      </c>
      <c r="H42" s="6" t="str">
        <f>"FA 214 Bio GOTS - 55"</f>
        <v>FA 214 Bio GOTS - 55</v>
      </c>
      <c r="I42" s="6" t="str">
        <f>"19"</f>
        <v>19</v>
      </c>
      <c r="J42" s="6" t="str">
        <f>"PRETO REACTIVO 570"</f>
        <v>PRETO REACTIVO 570</v>
      </c>
      <c r="K42" s="6" t="str">
        <f>"1024"</f>
        <v>1024</v>
      </c>
      <c r="L42" s="6" t="str">
        <f>"Toalhas"</f>
        <v>Toalhas</v>
      </c>
      <c r="M42" s="6" t="str">
        <f>"50x100"</f>
        <v>50x100</v>
      </c>
      <c r="N42" s="6" t="str">
        <f>"5602972278613"</f>
        <v>5602972278613</v>
      </c>
      <c r="O42" s="8">
        <v>12</v>
      </c>
      <c r="P42" s="7">
        <v>46020</v>
      </c>
      <c r="R42" s="8">
        <v>0</v>
      </c>
      <c r="U42" s="8">
        <v>0</v>
      </c>
      <c r="X42" s="8">
        <v>0</v>
      </c>
      <c r="Z42" s="8">
        <v>0</v>
      </c>
      <c r="AC42" s="8">
        <v>12</v>
      </c>
      <c r="AE42" s="7">
        <v>46030</v>
      </c>
      <c r="AF42" s="8">
        <v>12</v>
      </c>
      <c r="AH42" s="7">
        <v>46027</v>
      </c>
      <c r="AN42" s="8">
        <v>12</v>
      </c>
      <c r="AO42" s="8">
        <v>0</v>
      </c>
    </row>
    <row r="43" spans="1:41" x14ac:dyDescent="0.25">
      <c r="A43" s="6" t="str">
        <f t="shared" si="12"/>
        <v>520-2025001301</v>
      </c>
      <c r="B43" s="6" t="str">
        <f t="shared" si="10"/>
        <v>AUCHAN R</v>
      </c>
      <c r="C43" s="7">
        <v>46020</v>
      </c>
      <c r="D43" s="7">
        <v>46027</v>
      </c>
      <c r="E43" s="8">
        <v>5</v>
      </c>
      <c r="F43" s="6" t="str">
        <f t="shared" si="13"/>
        <v>1072806997</v>
      </c>
      <c r="G43" s="6" t="str">
        <f>"F100021455000010"</f>
        <v>F100021455000010</v>
      </c>
      <c r="H43" s="6" t="str">
        <f>"FA 214 Bio GOTS - 55"</f>
        <v>FA 214 Bio GOTS - 55</v>
      </c>
      <c r="I43" s="6" t="str">
        <f>"4855"</f>
        <v>4855</v>
      </c>
      <c r="J43" s="6" t="str">
        <f>"ROSA 4855"</f>
        <v>ROSA 4855</v>
      </c>
      <c r="K43" s="6" t="str">
        <f>"1024"</f>
        <v>1024</v>
      </c>
      <c r="L43" s="6" t="str">
        <f>"Toalhas"</f>
        <v>Toalhas</v>
      </c>
      <c r="M43" s="6" t="str">
        <f>"50x100"</f>
        <v>50x100</v>
      </c>
      <c r="N43" s="6" t="str">
        <f>"5602972274585"</f>
        <v>5602972274585</v>
      </c>
      <c r="O43" s="8">
        <v>6</v>
      </c>
      <c r="P43" s="7">
        <v>46020</v>
      </c>
      <c r="R43" s="8">
        <v>0</v>
      </c>
      <c r="U43" s="8">
        <v>0</v>
      </c>
      <c r="X43" s="8">
        <v>0</v>
      </c>
      <c r="Z43" s="8">
        <v>0</v>
      </c>
      <c r="AC43" s="8">
        <v>6</v>
      </c>
      <c r="AE43" s="7">
        <v>46030</v>
      </c>
      <c r="AF43" s="8">
        <v>6</v>
      </c>
      <c r="AH43" s="7">
        <v>46027</v>
      </c>
      <c r="AN43" s="8">
        <v>6</v>
      </c>
      <c r="AO43" s="8">
        <v>0</v>
      </c>
    </row>
    <row r="44" spans="1:41" x14ac:dyDescent="0.25">
      <c r="A44" s="6" t="str">
        <f t="shared" si="12"/>
        <v>520-2025001301</v>
      </c>
      <c r="B44" s="6" t="str">
        <f t="shared" si="10"/>
        <v>AUCHAN R</v>
      </c>
      <c r="C44" s="7">
        <v>46020</v>
      </c>
      <c r="D44" s="7">
        <v>46027</v>
      </c>
      <c r="E44" s="8">
        <v>6</v>
      </c>
      <c r="F44" s="6" t="str">
        <f t="shared" si="13"/>
        <v>1072806997</v>
      </c>
      <c r="G44" s="6" t="str">
        <f>"C001101823000000"</f>
        <v>C001101823000000</v>
      </c>
      <c r="H44" s="6" t="str">
        <f>"CZJ 1018 - 230 gr/m²"</f>
        <v>CZJ 1018 - 230 gr/m²</v>
      </c>
      <c r="I44" s="6" t="str">
        <f>"3073"</f>
        <v>3073</v>
      </c>
      <c r="J44" s="6" t="str">
        <f>"CINZA 3073"</f>
        <v>CINZA 3073</v>
      </c>
      <c r="K44" s="6" t="str">
        <f>"0830"</f>
        <v>0830</v>
      </c>
      <c r="L44" s="6" t="str">
        <f>"Cozinha"</f>
        <v>Cozinha</v>
      </c>
      <c r="M44" s="6" t="str">
        <f>"50x70"</f>
        <v>50x70</v>
      </c>
      <c r="N44" s="6" t="str">
        <f>"5602972758740"</f>
        <v>5602972758740</v>
      </c>
      <c r="O44" s="8">
        <v>24</v>
      </c>
      <c r="P44" s="7">
        <v>46020</v>
      </c>
      <c r="R44" s="8">
        <v>0</v>
      </c>
      <c r="U44" s="8">
        <v>0</v>
      </c>
      <c r="X44" s="8">
        <v>0</v>
      </c>
      <c r="Z44" s="8">
        <v>0</v>
      </c>
      <c r="AC44" s="8">
        <v>24</v>
      </c>
      <c r="AE44" s="7">
        <v>46030</v>
      </c>
      <c r="AF44" s="8">
        <v>24</v>
      </c>
      <c r="AH44" s="7">
        <v>46027</v>
      </c>
      <c r="AN44" s="8">
        <v>24</v>
      </c>
      <c r="AO44" s="8">
        <v>0</v>
      </c>
    </row>
    <row r="45" spans="1:41" x14ac:dyDescent="0.25">
      <c r="A45" s="6" t="str">
        <f t="shared" si="12"/>
        <v>520-2025001301</v>
      </c>
      <c r="B45" s="6" t="str">
        <f t="shared" si="10"/>
        <v>AUCHAN R</v>
      </c>
      <c r="C45" s="7">
        <v>46020</v>
      </c>
      <c r="D45" s="7">
        <v>46027</v>
      </c>
      <c r="E45" s="8">
        <v>7</v>
      </c>
      <c r="F45" s="6" t="str">
        <f t="shared" si="13"/>
        <v>1072806997</v>
      </c>
      <c r="G45" s="6" t="str">
        <f>"F110110840000003"</f>
        <v>F110110840000003</v>
      </c>
      <c r="H45" s="6" t="str">
        <f>"FAJ 1108 - 400 g/m²"</f>
        <v>FAJ 1108 - 400 g/m²</v>
      </c>
      <c r="I45" s="6" t="str">
        <f>"3073"</f>
        <v>3073</v>
      </c>
      <c r="J45" s="6" t="str">
        <f>"CINZA 3073"</f>
        <v>CINZA 3073</v>
      </c>
      <c r="K45" s="6" t="str">
        <f>"0830"</f>
        <v>0830</v>
      </c>
      <c r="L45" s="6" t="str">
        <f>"Cozinha"</f>
        <v>Cozinha</v>
      </c>
      <c r="M45" s="6" t="str">
        <f>"50x70"</f>
        <v>50x70</v>
      </c>
      <c r="N45" s="6" t="str">
        <f>"5602972279535"</f>
        <v>5602972279535</v>
      </c>
      <c r="O45" s="8">
        <v>12</v>
      </c>
      <c r="P45" s="7">
        <v>46020</v>
      </c>
      <c r="R45" s="8">
        <v>0</v>
      </c>
      <c r="U45" s="8">
        <v>0</v>
      </c>
      <c r="X45" s="8">
        <v>0</v>
      </c>
      <c r="Z45" s="8">
        <v>0</v>
      </c>
      <c r="AC45" s="8">
        <v>12</v>
      </c>
      <c r="AE45" s="7">
        <v>46030</v>
      </c>
      <c r="AF45" s="8">
        <v>12</v>
      </c>
      <c r="AH45" s="7">
        <v>46027</v>
      </c>
      <c r="AN45" s="8">
        <v>12</v>
      </c>
      <c r="AO45" s="8">
        <v>0</v>
      </c>
    </row>
    <row r="46" spans="1:41" x14ac:dyDescent="0.25">
      <c r="A46" s="6" t="str">
        <f t="shared" si="12"/>
        <v>520-2025001301</v>
      </c>
      <c r="B46" s="6" t="str">
        <f t="shared" si="10"/>
        <v>AUCHAN R</v>
      </c>
      <c r="C46" s="7">
        <v>46020</v>
      </c>
      <c r="D46" s="7">
        <v>46027</v>
      </c>
      <c r="E46" s="8">
        <v>8</v>
      </c>
      <c r="F46" s="6" t="str">
        <f t="shared" si="13"/>
        <v>1072806997</v>
      </c>
      <c r="G46" s="6" t="str">
        <f>"K001223523000000"</f>
        <v>K001223523000000</v>
      </c>
      <c r="H46" s="6" t="str">
        <f>"KB 2235 - Pega - CZJ"</f>
        <v>KB 2235 - Pega - CZJ</v>
      </c>
      <c r="I46" s="6" t="str">
        <f>"3073"</f>
        <v>3073</v>
      </c>
      <c r="J46" s="6" t="str">
        <f>"CINZA 3073"</f>
        <v>CINZA 3073</v>
      </c>
      <c r="K46" s="6" t="str">
        <f>"8805"</f>
        <v>8805</v>
      </c>
      <c r="L46" s="6" t="str">
        <f>"Cozinha"</f>
        <v>Cozinha</v>
      </c>
      <c r="M46" s="6" t="str">
        <f>"05 Pega"</f>
        <v>05 Pega</v>
      </c>
      <c r="N46" s="6" t="str">
        <f>"5602972279566"</f>
        <v>5602972279566</v>
      </c>
      <c r="O46" s="8">
        <v>24</v>
      </c>
      <c r="P46" s="7">
        <v>46020</v>
      </c>
      <c r="R46" s="8">
        <v>0</v>
      </c>
      <c r="U46" s="8">
        <v>0</v>
      </c>
      <c r="X46" s="8">
        <v>0</v>
      </c>
      <c r="Z46" s="8">
        <v>0</v>
      </c>
      <c r="AC46" s="8">
        <v>24</v>
      </c>
      <c r="AE46" s="7">
        <v>46030</v>
      </c>
      <c r="AF46" s="8">
        <v>24</v>
      </c>
      <c r="AH46" s="7">
        <v>46027</v>
      </c>
      <c r="AN46" s="8">
        <v>24</v>
      </c>
      <c r="AO46" s="8">
        <v>0</v>
      </c>
    </row>
    <row r="47" spans="1:41" x14ac:dyDescent="0.25">
      <c r="A47" s="6" t="str">
        <f t="shared" ref="A47:A54" si="14">"520-2026000001"</f>
        <v>520-2026000001</v>
      </c>
      <c r="B47" s="6" t="str">
        <f t="shared" si="10"/>
        <v>AUCHAN R</v>
      </c>
      <c r="C47" s="7">
        <v>46027</v>
      </c>
      <c r="D47" s="7">
        <v>46029</v>
      </c>
      <c r="E47" s="8">
        <v>1</v>
      </c>
      <c r="F47" s="6" t="str">
        <f t="shared" ref="F47:F54" si="15">"1061389773"</f>
        <v>1061389773</v>
      </c>
      <c r="G47" s="6" t="str">
        <f>"F100021455000000"</f>
        <v>F100021455000000</v>
      </c>
      <c r="H47" s="6" t="str">
        <f>"FA 214 - PURE - 550"</f>
        <v>FA 214 - PURE - 550</v>
      </c>
      <c r="I47" s="6" t="str">
        <f>"1"</f>
        <v>1</v>
      </c>
      <c r="J47" s="6" t="str">
        <f>"BRANCO"</f>
        <v>BRANCO</v>
      </c>
      <c r="K47" s="6" t="str">
        <f>"0112"</f>
        <v>0112</v>
      </c>
      <c r="L47" s="6" t="str">
        <f>"Luvas"</f>
        <v>Luvas</v>
      </c>
      <c r="M47" s="6" t="str">
        <f>"16x21"</f>
        <v>16x21</v>
      </c>
      <c r="N47" s="6" t="str">
        <f>"5602972836233"</f>
        <v>5602972836233</v>
      </c>
      <c r="O47" s="8">
        <v>12</v>
      </c>
      <c r="P47" s="7">
        <v>46027</v>
      </c>
      <c r="R47" s="8">
        <v>0</v>
      </c>
      <c r="U47" s="8">
        <v>0</v>
      </c>
      <c r="X47" s="8">
        <v>0</v>
      </c>
      <c r="Z47" s="8">
        <v>0</v>
      </c>
      <c r="AC47" s="8">
        <v>12</v>
      </c>
      <c r="AE47" s="7">
        <v>46034</v>
      </c>
      <c r="AF47" s="8">
        <v>12</v>
      </c>
      <c r="AH47" s="7">
        <v>46029</v>
      </c>
      <c r="AN47" s="8">
        <v>12</v>
      </c>
      <c r="AO47" s="8">
        <v>0</v>
      </c>
    </row>
    <row r="48" spans="1:41" x14ac:dyDescent="0.25">
      <c r="A48" s="6" t="str">
        <f t="shared" si="14"/>
        <v>520-2026000001</v>
      </c>
      <c r="B48" s="6" t="str">
        <f t="shared" si="10"/>
        <v>AUCHAN R</v>
      </c>
      <c r="C48" s="7">
        <v>46027</v>
      </c>
      <c r="D48" s="7">
        <v>46029</v>
      </c>
      <c r="E48" s="8">
        <v>2</v>
      </c>
      <c r="F48" s="6" t="str">
        <f t="shared" si="15"/>
        <v>1061389773</v>
      </c>
      <c r="G48" s="6" t="str">
        <f>"F300374155000000"</f>
        <v>F300374155000000</v>
      </c>
      <c r="H48" s="6" t="str">
        <f>"PLR 3741 - 550 g/m²"</f>
        <v>PLR 3741 - 550 g/m²</v>
      </c>
      <c r="I48" s="6" t="str">
        <f>"203634"</f>
        <v>203634</v>
      </c>
      <c r="J48" s="6" t="str">
        <f>"ROSA 3634"</f>
        <v>ROSA 3634</v>
      </c>
      <c r="K48" s="6" t="str">
        <f>"0530"</f>
        <v>0530</v>
      </c>
      <c r="L48" s="6" t="str">
        <f>"Toalhetes"</f>
        <v>Toalhetes</v>
      </c>
      <c r="M48" s="6" t="str">
        <f>"33x50"</f>
        <v>33x50</v>
      </c>
      <c r="N48" s="6" t="str">
        <f>"5602972280869"</f>
        <v>5602972280869</v>
      </c>
      <c r="O48" s="8">
        <v>24</v>
      </c>
      <c r="P48" s="7">
        <v>46027</v>
      </c>
      <c r="R48" s="8">
        <v>0</v>
      </c>
      <c r="U48" s="8">
        <v>0</v>
      </c>
      <c r="X48" s="8">
        <v>0</v>
      </c>
      <c r="Z48" s="8">
        <v>0</v>
      </c>
      <c r="AC48" s="8">
        <v>24</v>
      </c>
      <c r="AE48" s="7">
        <v>46034</v>
      </c>
      <c r="AF48" s="8">
        <v>24</v>
      </c>
      <c r="AH48" s="7">
        <v>46029</v>
      </c>
      <c r="AN48" s="8">
        <v>24</v>
      </c>
      <c r="AO48" s="8">
        <v>0</v>
      </c>
    </row>
    <row r="49" spans="1:41" x14ac:dyDescent="0.25">
      <c r="A49" s="6" t="str">
        <f t="shared" si="14"/>
        <v>520-2026000001</v>
      </c>
      <c r="B49" s="6" t="str">
        <f t="shared" si="10"/>
        <v>AUCHAN R</v>
      </c>
      <c r="C49" s="7">
        <v>46027</v>
      </c>
      <c r="D49" s="7">
        <v>46029</v>
      </c>
      <c r="E49" s="8">
        <v>3</v>
      </c>
      <c r="F49" s="6" t="str">
        <f t="shared" si="15"/>
        <v>1061389773</v>
      </c>
      <c r="G49" s="6" t="str">
        <f>"F310631555000000"</f>
        <v>F310631555000000</v>
      </c>
      <c r="H49" s="6" t="str">
        <f>"PLAR 6315 - 550 g/m²"</f>
        <v>PLAR 6315 - 550 g/m²</v>
      </c>
      <c r="I49" s="6" t="str">
        <f>"204037"</f>
        <v>204037</v>
      </c>
      <c r="J49" s="6" t="str">
        <f>"AZUL 4037"</f>
        <v>AZUL 4037</v>
      </c>
      <c r="K49" s="6" t="str">
        <f>"1024"</f>
        <v>1024</v>
      </c>
      <c r="L49" s="6" t="str">
        <f>"Toalhas"</f>
        <v>Toalhas</v>
      </c>
      <c r="M49" s="6" t="str">
        <f>"50x100"</f>
        <v>50x100</v>
      </c>
      <c r="N49" s="6" t="str">
        <f>"5602972280845"</f>
        <v>5602972280845</v>
      </c>
      <c r="O49" s="8">
        <v>12</v>
      </c>
      <c r="P49" s="7">
        <v>46027</v>
      </c>
      <c r="R49" s="8">
        <v>0</v>
      </c>
      <c r="U49" s="8">
        <v>0</v>
      </c>
      <c r="X49" s="8">
        <v>0</v>
      </c>
      <c r="Z49" s="8">
        <v>0</v>
      </c>
      <c r="AC49" s="8">
        <v>12</v>
      </c>
      <c r="AE49" s="7">
        <v>46034</v>
      </c>
      <c r="AF49" s="8">
        <v>12</v>
      </c>
      <c r="AH49" s="7">
        <v>46029</v>
      </c>
      <c r="AN49" s="8">
        <v>12</v>
      </c>
      <c r="AO49" s="8">
        <v>0</v>
      </c>
    </row>
    <row r="50" spans="1:41" x14ac:dyDescent="0.25">
      <c r="A50" s="6" t="str">
        <f t="shared" si="14"/>
        <v>520-2026000001</v>
      </c>
      <c r="B50" s="6" t="str">
        <f t="shared" si="10"/>
        <v>AUCHAN R</v>
      </c>
      <c r="C50" s="7">
        <v>46027</v>
      </c>
      <c r="D50" s="7">
        <v>46029</v>
      </c>
      <c r="E50" s="8">
        <v>4</v>
      </c>
      <c r="F50" s="6" t="str">
        <f t="shared" si="15"/>
        <v>1061389773</v>
      </c>
      <c r="G50" s="6" t="str">
        <f>"F310631555000000"</f>
        <v>F310631555000000</v>
      </c>
      <c r="H50" s="6" t="str">
        <f>"PLAR 6315 - 550 g/m²"</f>
        <v>PLAR 6315 - 550 g/m²</v>
      </c>
      <c r="I50" s="6" t="str">
        <f>"201646"</f>
        <v>201646</v>
      </c>
      <c r="J50" s="6" t="str">
        <f>"MUSTARDA 1646"</f>
        <v>MUSTARDA 1646</v>
      </c>
      <c r="K50" s="6" t="str">
        <f>"1024"</f>
        <v>1024</v>
      </c>
      <c r="L50" s="6" t="str">
        <f>"Toalhas"</f>
        <v>Toalhas</v>
      </c>
      <c r="M50" s="6" t="str">
        <f>"50x100"</f>
        <v>50x100</v>
      </c>
      <c r="N50" s="6" t="str">
        <f>"5602972280814"</f>
        <v>5602972280814</v>
      </c>
      <c r="O50" s="8">
        <v>12</v>
      </c>
      <c r="P50" s="7">
        <v>46027</v>
      </c>
      <c r="R50" s="8">
        <v>0</v>
      </c>
      <c r="U50" s="8">
        <v>0</v>
      </c>
      <c r="X50" s="8">
        <v>0</v>
      </c>
      <c r="Z50" s="8">
        <v>0</v>
      </c>
      <c r="AC50" s="8">
        <v>12</v>
      </c>
      <c r="AE50" s="7">
        <v>46034</v>
      </c>
      <c r="AF50" s="8">
        <v>12</v>
      </c>
      <c r="AH50" s="7">
        <v>46029</v>
      </c>
      <c r="AN50" s="8">
        <v>12</v>
      </c>
      <c r="AO50" s="8">
        <v>0</v>
      </c>
    </row>
    <row r="51" spans="1:41" x14ac:dyDescent="0.25">
      <c r="A51" s="6" t="str">
        <f t="shared" si="14"/>
        <v>520-2026000001</v>
      </c>
      <c r="B51" s="6" t="str">
        <f t="shared" si="10"/>
        <v>AUCHAN R</v>
      </c>
      <c r="C51" s="7">
        <v>46027</v>
      </c>
      <c r="D51" s="7">
        <v>46029</v>
      </c>
      <c r="E51" s="8">
        <v>5</v>
      </c>
      <c r="F51" s="6" t="str">
        <f t="shared" si="15"/>
        <v>1061389773</v>
      </c>
      <c r="G51" s="6" t="str">
        <f>"F300374155000000"</f>
        <v>F300374155000000</v>
      </c>
      <c r="H51" s="6" t="str">
        <f>"PLR 3741 - 550 g/m²"</f>
        <v>PLR 3741 - 550 g/m²</v>
      </c>
      <c r="I51" s="6" t="str">
        <f>"203634"</f>
        <v>203634</v>
      </c>
      <c r="J51" s="6" t="str">
        <f>"ROSA 3634"</f>
        <v>ROSA 3634</v>
      </c>
      <c r="K51" s="6" t="str">
        <f>"1024"</f>
        <v>1024</v>
      </c>
      <c r="L51" s="6" t="str">
        <f>"Toalhas"</f>
        <v>Toalhas</v>
      </c>
      <c r="M51" s="6" t="str">
        <f>"50x100"</f>
        <v>50x100</v>
      </c>
      <c r="N51" s="6" t="str">
        <f>"5602972280876"</f>
        <v>5602972280876</v>
      </c>
      <c r="O51" s="8">
        <v>12</v>
      </c>
      <c r="P51" s="7">
        <v>46027</v>
      </c>
      <c r="R51" s="8">
        <v>0</v>
      </c>
      <c r="U51" s="8">
        <v>0</v>
      </c>
      <c r="X51" s="8">
        <v>0</v>
      </c>
      <c r="Z51" s="8">
        <v>0</v>
      </c>
      <c r="AC51" s="8">
        <v>12</v>
      </c>
      <c r="AE51" s="7">
        <v>46034</v>
      </c>
      <c r="AF51" s="8">
        <v>12</v>
      </c>
      <c r="AH51" s="7">
        <v>46029</v>
      </c>
      <c r="AN51" s="8">
        <v>12</v>
      </c>
      <c r="AO51" s="8">
        <v>0</v>
      </c>
    </row>
    <row r="52" spans="1:41" x14ac:dyDescent="0.25">
      <c r="A52" s="6" t="str">
        <f t="shared" si="14"/>
        <v>520-2026000001</v>
      </c>
      <c r="B52" s="6" t="str">
        <f t="shared" si="10"/>
        <v>AUCHAN R</v>
      </c>
      <c r="C52" s="7">
        <v>46027</v>
      </c>
      <c r="D52" s="7">
        <v>46029</v>
      </c>
      <c r="E52" s="8">
        <v>6</v>
      </c>
      <c r="F52" s="6" t="str">
        <f t="shared" si="15"/>
        <v>1061389773</v>
      </c>
      <c r="G52" s="6" t="str">
        <f>"F310620958000000"</f>
        <v>F310620958000000</v>
      </c>
      <c r="H52" s="6" t="str">
        <f>"PLAR 6209 C/ Franja"</f>
        <v>PLAR 6209 C/ Franja</v>
      </c>
      <c r="I52" s="6" t="str">
        <f>"203699"</f>
        <v>203699</v>
      </c>
      <c r="J52" s="6" t="str">
        <f>"BEGE 3699"</f>
        <v>BEGE 3699</v>
      </c>
      <c r="K52" s="6" t="str">
        <f>"1047"</f>
        <v>1047</v>
      </c>
      <c r="L52" s="6" t="str">
        <f>"Toalhas"</f>
        <v>Toalhas</v>
      </c>
      <c r="M52" s="6" t="str">
        <f>"50x100+8"</f>
        <v>50x100+8</v>
      </c>
      <c r="N52" s="6" t="str">
        <f>"5602972280937"</f>
        <v>5602972280937</v>
      </c>
      <c r="O52" s="8">
        <v>12</v>
      </c>
      <c r="P52" s="7">
        <v>46027</v>
      </c>
      <c r="R52" s="8">
        <v>0</v>
      </c>
      <c r="U52" s="8">
        <v>0</v>
      </c>
      <c r="X52" s="8">
        <v>0</v>
      </c>
      <c r="Z52" s="8">
        <v>0</v>
      </c>
      <c r="AC52" s="8">
        <v>12</v>
      </c>
      <c r="AE52" s="7">
        <v>46034</v>
      </c>
      <c r="AF52" s="8">
        <v>12</v>
      </c>
      <c r="AH52" s="7">
        <v>46029</v>
      </c>
      <c r="AN52" s="8">
        <v>12</v>
      </c>
      <c r="AO52" s="8">
        <v>0</v>
      </c>
    </row>
    <row r="53" spans="1:41" x14ac:dyDescent="0.25">
      <c r="A53" s="6" t="str">
        <f t="shared" si="14"/>
        <v>520-2026000001</v>
      </c>
      <c r="B53" s="6" t="str">
        <f t="shared" si="10"/>
        <v>AUCHAN R</v>
      </c>
      <c r="C53" s="7">
        <v>46027</v>
      </c>
      <c r="D53" s="7">
        <v>46029</v>
      </c>
      <c r="E53" s="8">
        <v>7</v>
      </c>
      <c r="F53" s="6" t="str">
        <f t="shared" si="15"/>
        <v>1061389773</v>
      </c>
      <c r="G53" s="6" t="str">
        <f>"F110110840000003"</f>
        <v>F110110840000003</v>
      </c>
      <c r="H53" s="6" t="str">
        <f>"FAJ 1108 - 400 g/m²"</f>
        <v>FAJ 1108 - 400 g/m²</v>
      </c>
      <c r="I53" s="6" t="str">
        <f>"3073"</f>
        <v>3073</v>
      </c>
      <c r="J53" s="6" t="str">
        <f>"CINZA 3073"</f>
        <v>CINZA 3073</v>
      </c>
      <c r="K53" s="6" t="str">
        <f>"0830"</f>
        <v>0830</v>
      </c>
      <c r="L53" s="6" t="str">
        <f>"Cozinha"</f>
        <v>Cozinha</v>
      </c>
      <c r="M53" s="6" t="str">
        <f>"50x70"</f>
        <v>50x70</v>
      </c>
      <c r="N53" s="6" t="str">
        <f>"5602972279535"</f>
        <v>5602972279535</v>
      </c>
      <c r="O53" s="8">
        <v>24</v>
      </c>
      <c r="P53" s="7">
        <v>46027</v>
      </c>
      <c r="R53" s="8">
        <v>0</v>
      </c>
      <c r="U53" s="8">
        <v>0</v>
      </c>
      <c r="X53" s="8">
        <v>0</v>
      </c>
      <c r="Z53" s="8">
        <v>0</v>
      </c>
      <c r="AC53" s="8">
        <v>24</v>
      </c>
      <c r="AE53" s="7">
        <v>46034</v>
      </c>
      <c r="AF53" s="8">
        <v>24</v>
      </c>
      <c r="AH53" s="7">
        <v>46029</v>
      </c>
      <c r="AN53" s="8">
        <v>24</v>
      </c>
      <c r="AO53" s="8">
        <v>0</v>
      </c>
    </row>
    <row r="54" spans="1:41" x14ac:dyDescent="0.25">
      <c r="A54" s="6" t="str">
        <f t="shared" si="14"/>
        <v>520-2026000001</v>
      </c>
      <c r="B54" s="6" t="str">
        <f t="shared" si="10"/>
        <v>AUCHAN R</v>
      </c>
      <c r="C54" s="7">
        <v>46027</v>
      </c>
      <c r="D54" s="7">
        <v>46029</v>
      </c>
      <c r="E54" s="8">
        <v>8</v>
      </c>
      <c r="F54" s="6" t="str">
        <f t="shared" si="15"/>
        <v>1061389773</v>
      </c>
      <c r="G54" s="6" t="str">
        <f>"K001223323000000"</f>
        <v>K001223323000000</v>
      </c>
      <c r="H54" s="6" t="str">
        <f>"KB 2233 - Avental -"</f>
        <v>KB 2233 - Avental -</v>
      </c>
      <c r="I54" s="6" t="str">
        <f>"3073"</f>
        <v>3073</v>
      </c>
      <c r="J54" s="6" t="str">
        <f>"CINZA 3073"</f>
        <v>CINZA 3073</v>
      </c>
      <c r="K54" s="6" t="str">
        <f>"8803"</f>
        <v>8803</v>
      </c>
      <c r="L54" s="6" t="str">
        <f>"Cozinha"</f>
        <v>Cozinha</v>
      </c>
      <c r="M54" s="6" t="str">
        <f>"03 Avental"</f>
        <v>03 Avental</v>
      </c>
      <c r="N54" s="6" t="str">
        <f>"5602972279542"</f>
        <v>5602972279542</v>
      </c>
      <c r="O54" s="8">
        <v>12</v>
      </c>
      <c r="P54" s="7">
        <v>46027</v>
      </c>
      <c r="R54" s="8">
        <v>0</v>
      </c>
      <c r="U54" s="8">
        <v>0</v>
      </c>
      <c r="X54" s="8">
        <v>0</v>
      </c>
      <c r="Z54" s="8">
        <v>0</v>
      </c>
      <c r="AC54" s="8">
        <v>12</v>
      </c>
      <c r="AE54" s="7">
        <v>46034</v>
      </c>
      <c r="AF54" s="8">
        <v>12</v>
      </c>
      <c r="AH54" s="7">
        <v>46029</v>
      </c>
      <c r="AN54" s="8">
        <v>12</v>
      </c>
      <c r="AO54" s="8">
        <v>0</v>
      </c>
    </row>
    <row r="55" spans="1:41" x14ac:dyDescent="0.25">
      <c r="A55" s="6" t="str">
        <f t="shared" ref="A55:A62" si="16">"520-2026000002"</f>
        <v>520-2026000002</v>
      </c>
      <c r="B55" s="6" t="str">
        <f t="shared" si="10"/>
        <v>AUCHAN R</v>
      </c>
      <c r="C55" s="7">
        <v>46027</v>
      </c>
      <c r="D55" s="7">
        <v>46029</v>
      </c>
      <c r="E55" s="8">
        <v>1</v>
      </c>
      <c r="F55" s="6" t="str">
        <f t="shared" ref="F55:F62" si="17">"1062871086"</f>
        <v>1062871086</v>
      </c>
      <c r="G55" s="6" t="str">
        <f>"F100021455000000"</f>
        <v>F100021455000000</v>
      </c>
      <c r="H55" s="6" t="str">
        <f>"FA 214 - PURE - 550"</f>
        <v>FA 214 - PURE - 550</v>
      </c>
      <c r="I55" s="6" t="str">
        <f>"1"</f>
        <v>1</v>
      </c>
      <c r="J55" s="6" t="str">
        <f>"BRANCO"</f>
        <v>BRANCO</v>
      </c>
      <c r="K55" s="6" t="str">
        <f>"0112"</f>
        <v>0112</v>
      </c>
      <c r="L55" s="6" t="str">
        <f>"Luvas"</f>
        <v>Luvas</v>
      </c>
      <c r="M55" s="6" t="str">
        <f>"16x21"</f>
        <v>16x21</v>
      </c>
      <c r="N55" s="6" t="str">
        <f>"5602972836233"</f>
        <v>5602972836233</v>
      </c>
      <c r="O55" s="8">
        <v>24</v>
      </c>
      <c r="P55" s="7">
        <v>46027</v>
      </c>
      <c r="R55" s="8">
        <v>0</v>
      </c>
      <c r="U55" s="8">
        <v>0</v>
      </c>
      <c r="X55" s="8">
        <v>0</v>
      </c>
      <c r="Z55" s="8">
        <v>0</v>
      </c>
      <c r="AC55" s="8">
        <v>24</v>
      </c>
      <c r="AE55" s="7">
        <v>46034</v>
      </c>
      <c r="AF55" s="8">
        <v>24</v>
      </c>
      <c r="AH55" s="7">
        <v>46029</v>
      </c>
      <c r="AN55" s="8">
        <v>24</v>
      </c>
      <c r="AO55" s="8">
        <v>0</v>
      </c>
    </row>
    <row r="56" spans="1:41" x14ac:dyDescent="0.25">
      <c r="A56" s="6" t="str">
        <f t="shared" si="16"/>
        <v>520-2026000002</v>
      </c>
      <c r="B56" s="6" t="str">
        <f t="shared" si="10"/>
        <v>AUCHAN R</v>
      </c>
      <c r="C56" s="7">
        <v>46027</v>
      </c>
      <c r="D56" s="7">
        <v>46029</v>
      </c>
      <c r="E56" s="8">
        <v>2</v>
      </c>
      <c r="F56" s="6" t="str">
        <f t="shared" si="17"/>
        <v>1062871086</v>
      </c>
      <c r="G56" s="6" t="str">
        <f>"F300374155000000"</f>
        <v>F300374155000000</v>
      </c>
      <c r="H56" s="6" t="str">
        <f>"PLR 3741 - 550 g/m²"</f>
        <v>PLR 3741 - 550 g/m²</v>
      </c>
      <c r="I56" s="6" t="str">
        <f>"203634"</f>
        <v>203634</v>
      </c>
      <c r="J56" s="6" t="str">
        <f>"ROSA 3634"</f>
        <v>ROSA 3634</v>
      </c>
      <c r="K56" s="6" t="str">
        <f>"2020"</f>
        <v>2020</v>
      </c>
      <c r="L56" s="6" t="str">
        <f>"Lençóis"</f>
        <v>Lençóis</v>
      </c>
      <c r="M56" s="6" t="str">
        <f>"100x150"</f>
        <v>100x150</v>
      </c>
      <c r="N56" s="6" t="str">
        <f>"5602972280883"</f>
        <v>5602972280883</v>
      </c>
      <c r="O56" s="8">
        <v>3</v>
      </c>
      <c r="P56" s="7">
        <v>46027</v>
      </c>
      <c r="R56" s="8">
        <v>0</v>
      </c>
      <c r="U56" s="8">
        <v>0</v>
      </c>
      <c r="X56" s="8">
        <v>0</v>
      </c>
      <c r="Z56" s="8">
        <v>0</v>
      </c>
      <c r="AC56" s="8">
        <v>3</v>
      </c>
      <c r="AE56" s="7">
        <v>46034</v>
      </c>
      <c r="AF56" s="8">
        <v>3</v>
      </c>
      <c r="AH56" s="7">
        <v>46029</v>
      </c>
      <c r="AN56" s="8">
        <v>3</v>
      </c>
      <c r="AO56" s="8">
        <v>0</v>
      </c>
    </row>
    <row r="57" spans="1:41" x14ac:dyDescent="0.25">
      <c r="A57" s="6" t="str">
        <f t="shared" si="16"/>
        <v>520-2026000002</v>
      </c>
      <c r="B57" s="6" t="str">
        <f t="shared" si="10"/>
        <v>AUCHAN R</v>
      </c>
      <c r="C57" s="7">
        <v>46027</v>
      </c>
      <c r="D57" s="7">
        <v>46029</v>
      </c>
      <c r="E57" s="8">
        <v>3</v>
      </c>
      <c r="F57" s="6" t="str">
        <f t="shared" si="17"/>
        <v>1062871086</v>
      </c>
      <c r="G57" s="6" t="str">
        <f>"F310620958000000"</f>
        <v>F310620958000000</v>
      </c>
      <c r="H57" s="6" t="str">
        <f>"PLAR 6209 C/ Franja"</f>
        <v>PLAR 6209 C/ Franja</v>
      </c>
      <c r="I57" s="6" t="str">
        <f>"203699"</f>
        <v>203699</v>
      </c>
      <c r="J57" s="6" t="str">
        <f>"BEGE 3699"</f>
        <v>BEGE 3699</v>
      </c>
      <c r="K57" s="6" t="str">
        <f>"2093"</f>
        <v>2093</v>
      </c>
      <c r="L57" s="6" t="str">
        <f>"Lençóis"</f>
        <v>Lençóis</v>
      </c>
      <c r="M57" s="6" t="str">
        <f>"100x150+8"</f>
        <v>100x150+8</v>
      </c>
      <c r="N57" s="6" t="str">
        <f>"5602972280944"</f>
        <v>5602972280944</v>
      </c>
      <c r="O57" s="8">
        <v>3</v>
      </c>
      <c r="P57" s="7">
        <v>46027</v>
      </c>
      <c r="R57" s="8">
        <v>0</v>
      </c>
      <c r="U57" s="8">
        <v>0</v>
      </c>
      <c r="X57" s="8">
        <v>0</v>
      </c>
      <c r="Z57" s="8">
        <v>0</v>
      </c>
      <c r="AC57" s="8">
        <v>3</v>
      </c>
      <c r="AE57" s="7">
        <v>46034</v>
      </c>
      <c r="AF57" s="8">
        <v>3</v>
      </c>
      <c r="AH57" s="7">
        <v>46029</v>
      </c>
      <c r="AN57" s="8">
        <v>3</v>
      </c>
      <c r="AO57" s="8">
        <v>0</v>
      </c>
    </row>
    <row r="58" spans="1:41" x14ac:dyDescent="0.25">
      <c r="A58" s="6" t="str">
        <f t="shared" si="16"/>
        <v>520-2026000002</v>
      </c>
      <c r="B58" s="6" t="str">
        <f t="shared" si="10"/>
        <v>AUCHAN R</v>
      </c>
      <c r="C58" s="7">
        <v>46027</v>
      </c>
      <c r="D58" s="7">
        <v>46029</v>
      </c>
      <c r="E58" s="8">
        <v>4</v>
      </c>
      <c r="F58" s="6" t="str">
        <f t="shared" si="17"/>
        <v>1062871086</v>
      </c>
      <c r="G58" s="6" t="str">
        <f>"F300374155000000"</f>
        <v>F300374155000000</v>
      </c>
      <c r="H58" s="6" t="str">
        <f>"PLR 3741 - 550 g/m²"</f>
        <v>PLR 3741 - 550 g/m²</v>
      </c>
      <c r="I58" s="6" t="str">
        <f>"203634"</f>
        <v>203634</v>
      </c>
      <c r="J58" s="6" t="str">
        <f>"ROSA 3634"</f>
        <v>ROSA 3634</v>
      </c>
      <c r="K58" s="6" t="str">
        <f>"0530"</f>
        <v>0530</v>
      </c>
      <c r="L58" s="6" t="str">
        <f>"Toalhetes"</f>
        <v>Toalhetes</v>
      </c>
      <c r="M58" s="6" t="str">
        <f>"33x50"</f>
        <v>33x50</v>
      </c>
      <c r="N58" s="6" t="str">
        <f>"5602972280869"</f>
        <v>5602972280869</v>
      </c>
      <c r="O58" s="8">
        <v>12</v>
      </c>
      <c r="P58" s="7">
        <v>46027</v>
      </c>
      <c r="R58" s="8">
        <v>0</v>
      </c>
      <c r="U58" s="8">
        <v>0</v>
      </c>
      <c r="X58" s="8">
        <v>0</v>
      </c>
      <c r="Z58" s="8">
        <v>0</v>
      </c>
      <c r="AC58" s="8">
        <v>12</v>
      </c>
      <c r="AE58" s="7">
        <v>46034</v>
      </c>
      <c r="AF58" s="8">
        <v>12</v>
      </c>
      <c r="AH58" s="7">
        <v>46029</v>
      </c>
      <c r="AN58" s="8">
        <v>12</v>
      </c>
      <c r="AO58" s="8">
        <v>0</v>
      </c>
    </row>
    <row r="59" spans="1:41" x14ac:dyDescent="0.25">
      <c r="A59" s="6" t="str">
        <f t="shared" si="16"/>
        <v>520-2026000002</v>
      </c>
      <c r="B59" s="6" t="str">
        <f t="shared" si="10"/>
        <v>AUCHAN R</v>
      </c>
      <c r="C59" s="7">
        <v>46027</v>
      </c>
      <c r="D59" s="7">
        <v>46029</v>
      </c>
      <c r="E59" s="8">
        <v>5</v>
      </c>
      <c r="F59" s="6" t="str">
        <f t="shared" si="17"/>
        <v>1062871086</v>
      </c>
      <c r="G59" s="6" t="str">
        <f>"F110329745000000"</f>
        <v>F110329745000000</v>
      </c>
      <c r="H59" s="6" t="str">
        <f>"FAJ 3297 - 450 g/m²"</f>
        <v>FAJ 3297 - 450 g/m²</v>
      </c>
      <c r="I59" s="6" t="str">
        <f>"2"</f>
        <v>2</v>
      </c>
      <c r="J59" s="6" t="str">
        <f>"NATURAL"</f>
        <v>NATURAL</v>
      </c>
      <c r="K59" s="6" t="str">
        <f>"0520"</f>
        <v>0520</v>
      </c>
      <c r="L59" s="6" t="str">
        <f>"Toalhetes"</f>
        <v>Toalhetes</v>
      </c>
      <c r="M59" s="6" t="str">
        <f>"30x50"</f>
        <v>30x50</v>
      </c>
      <c r="N59" s="6" t="str">
        <f>"5602972277852"</f>
        <v>5602972277852</v>
      </c>
      <c r="O59" s="8">
        <v>18</v>
      </c>
      <c r="P59" s="7">
        <v>46027</v>
      </c>
      <c r="R59" s="8">
        <v>0</v>
      </c>
      <c r="U59" s="8">
        <v>0</v>
      </c>
      <c r="X59" s="8">
        <v>0</v>
      </c>
      <c r="Z59" s="8">
        <v>0</v>
      </c>
      <c r="AC59" s="8">
        <v>0</v>
      </c>
      <c r="AE59" s="7">
        <v>46034</v>
      </c>
      <c r="AF59" s="8">
        <v>0</v>
      </c>
      <c r="AH59" s="7">
        <v>46029</v>
      </c>
      <c r="AN59" s="8">
        <v>0</v>
      </c>
      <c r="AO59" s="8">
        <v>18</v>
      </c>
    </row>
    <row r="60" spans="1:41" x14ac:dyDescent="0.25">
      <c r="A60" s="6" t="str">
        <f t="shared" si="16"/>
        <v>520-2026000002</v>
      </c>
      <c r="B60" s="6" t="str">
        <f t="shared" si="10"/>
        <v>AUCHAN R</v>
      </c>
      <c r="C60" s="7">
        <v>46027</v>
      </c>
      <c r="D60" s="7">
        <v>46029</v>
      </c>
      <c r="E60" s="8">
        <v>6</v>
      </c>
      <c r="F60" s="6" t="str">
        <f t="shared" si="17"/>
        <v>1062871086</v>
      </c>
      <c r="G60" s="6" t="str">
        <f>"F300374155000000"</f>
        <v>F300374155000000</v>
      </c>
      <c r="H60" s="6" t="str">
        <f>"PLR 3741 - 550 g/m²"</f>
        <v>PLR 3741 - 550 g/m²</v>
      </c>
      <c r="I60" s="6" t="str">
        <f>"203634"</f>
        <v>203634</v>
      </c>
      <c r="J60" s="6" t="str">
        <f>"ROSA 3634"</f>
        <v>ROSA 3634</v>
      </c>
      <c r="K60" s="6" t="str">
        <f>"1024"</f>
        <v>1024</v>
      </c>
      <c r="L60" s="6" t="str">
        <f>"Toalhas"</f>
        <v>Toalhas</v>
      </c>
      <c r="M60" s="6" t="str">
        <f>"50x100"</f>
        <v>50x100</v>
      </c>
      <c r="N60" s="6" t="str">
        <f>"5602972280876"</f>
        <v>5602972280876</v>
      </c>
      <c r="O60" s="8">
        <v>12</v>
      </c>
      <c r="P60" s="7">
        <v>46027</v>
      </c>
      <c r="R60" s="8">
        <v>0</v>
      </c>
      <c r="U60" s="8">
        <v>0</v>
      </c>
      <c r="X60" s="8">
        <v>0</v>
      </c>
      <c r="Z60" s="8">
        <v>0</v>
      </c>
      <c r="AC60" s="8">
        <v>12</v>
      </c>
      <c r="AE60" s="7">
        <v>46034</v>
      </c>
      <c r="AF60" s="8">
        <v>12</v>
      </c>
      <c r="AH60" s="7">
        <v>46029</v>
      </c>
      <c r="AN60" s="8">
        <v>12</v>
      </c>
      <c r="AO60" s="8">
        <v>0</v>
      </c>
    </row>
    <row r="61" spans="1:41" x14ac:dyDescent="0.25">
      <c r="A61" s="6" t="str">
        <f t="shared" si="16"/>
        <v>520-2026000002</v>
      </c>
      <c r="B61" s="6" t="str">
        <f t="shared" si="10"/>
        <v>AUCHAN R</v>
      </c>
      <c r="C61" s="7">
        <v>46027</v>
      </c>
      <c r="D61" s="7">
        <v>46029</v>
      </c>
      <c r="E61" s="8">
        <v>7</v>
      </c>
      <c r="F61" s="6" t="str">
        <f t="shared" si="17"/>
        <v>1062871086</v>
      </c>
      <c r="G61" s="6" t="str">
        <f>"F110329745000000"</f>
        <v>F110329745000000</v>
      </c>
      <c r="H61" s="6" t="str">
        <f>"FAJ 3297 - 450 g/m²"</f>
        <v>FAJ 3297 - 450 g/m²</v>
      </c>
      <c r="I61" s="6" t="str">
        <f>"2"</f>
        <v>2</v>
      </c>
      <c r="J61" s="6" t="str">
        <f>"NATURAL"</f>
        <v>NATURAL</v>
      </c>
      <c r="K61" s="6" t="str">
        <f>"1024"</f>
        <v>1024</v>
      </c>
      <c r="L61" s="6" t="str">
        <f>"Toalhas"</f>
        <v>Toalhas</v>
      </c>
      <c r="M61" s="6" t="str">
        <f>"50x100"</f>
        <v>50x100</v>
      </c>
      <c r="N61" s="6" t="str">
        <f>"5602972277869"</f>
        <v>5602972277869</v>
      </c>
      <c r="O61" s="8">
        <v>6</v>
      </c>
      <c r="P61" s="7">
        <v>46027</v>
      </c>
      <c r="R61" s="8">
        <v>0</v>
      </c>
      <c r="U61" s="8">
        <v>0</v>
      </c>
      <c r="X61" s="8">
        <v>0</v>
      </c>
      <c r="Z61" s="8">
        <v>0</v>
      </c>
      <c r="AC61" s="8">
        <v>6</v>
      </c>
      <c r="AE61" s="7">
        <v>46034</v>
      </c>
      <c r="AF61" s="8">
        <v>6</v>
      </c>
      <c r="AH61" s="7">
        <v>46029</v>
      </c>
      <c r="AN61" s="8">
        <v>6</v>
      </c>
      <c r="AO61" s="8">
        <v>0</v>
      </c>
    </row>
    <row r="62" spans="1:41" x14ac:dyDescent="0.25">
      <c r="A62" s="6" t="str">
        <f t="shared" si="16"/>
        <v>520-2026000002</v>
      </c>
      <c r="B62" s="6" t="str">
        <f t="shared" si="10"/>
        <v>AUCHAN R</v>
      </c>
      <c r="C62" s="7">
        <v>46027</v>
      </c>
      <c r="D62" s="7">
        <v>46029</v>
      </c>
      <c r="E62" s="8">
        <v>8</v>
      </c>
      <c r="F62" s="6" t="str">
        <f t="shared" si="17"/>
        <v>1062871086</v>
      </c>
      <c r="G62" s="6" t="str">
        <f>"K001223323000000"</f>
        <v>K001223323000000</v>
      </c>
      <c r="H62" s="6" t="str">
        <f>"KB 2233 - Avental -"</f>
        <v>KB 2233 - Avental -</v>
      </c>
      <c r="I62" s="6" t="str">
        <f>"3073"</f>
        <v>3073</v>
      </c>
      <c r="J62" s="6" t="str">
        <f>"CINZA 3073"</f>
        <v>CINZA 3073</v>
      </c>
      <c r="K62" s="6" t="str">
        <f>"8803"</f>
        <v>8803</v>
      </c>
      <c r="L62" s="6" t="str">
        <f>"Cozinha"</f>
        <v>Cozinha</v>
      </c>
      <c r="M62" s="6" t="str">
        <f>"03 Avental"</f>
        <v>03 Avental</v>
      </c>
      <c r="N62" s="6" t="str">
        <f>"5602972279542"</f>
        <v>5602972279542</v>
      </c>
      <c r="O62" s="8">
        <v>12</v>
      </c>
      <c r="P62" s="7">
        <v>46027</v>
      </c>
      <c r="R62" s="8">
        <v>0</v>
      </c>
      <c r="U62" s="8">
        <v>0</v>
      </c>
      <c r="X62" s="8">
        <v>0</v>
      </c>
      <c r="Z62" s="8">
        <v>0</v>
      </c>
      <c r="AC62" s="8">
        <v>12</v>
      </c>
      <c r="AE62" s="7">
        <v>46034</v>
      </c>
      <c r="AF62" s="8">
        <v>12</v>
      </c>
      <c r="AH62" s="7">
        <v>46029</v>
      </c>
      <c r="AN62" s="8">
        <v>12</v>
      </c>
      <c r="AO62" s="8">
        <v>0</v>
      </c>
    </row>
    <row r="63" spans="1:41" x14ac:dyDescent="0.25">
      <c r="A63" s="6" t="str">
        <f>"520-2026000003"</f>
        <v>520-2026000003</v>
      </c>
      <c r="B63" s="6" t="str">
        <f>"NATURAPU"</f>
        <v>NATURAPU</v>
      </c>
      <c r="C63" s="7">
        <v>46027</v>
      </c>
      <c r="D63" s="7">
        <v>46087</v>
      </c>
      <c r="E63" s="8">
        <v>3</v>
      </c>
      <c r="F63" s="6" t="str">
        <f>"PO# 2026BO107/2"</f>
        <v>PO# 2026BO107/2</v>
      </c>
      <c r="G63" s="6" t="str">
        <f>"F100000140000000"</f>
        <v>F100000140000000</v>
      </c>
      <c r="H63" s="6" t="str">
        <f>"FA Liso Bio GOTS (m)"</f>
        <v>FA Liso Bio GOTS (m)</v>
      </c>
      <c r="I63" s="6" t="str">
        <f>"6029"</f>
        <v>6029</v>
      </c>
      <c r="J63" s="6" t="str">
        <f>"NATURAL 6029 ALCAL"</f>
        <v>NATURAL 6029 ALCAL</v>
      </c>
      <c r="K63" s="6" t="str">
        <f>"2558"</f>
        <v>2558</v>
      </c>
      <c r="L63" s="6" t="str">
        <f>"A Metro"</f>
        <v>A Metro</v>
      </c>
      <c r="M63" s="6" t="str">
        <f>"222x"</f>
        <v>222x</v>
      </c>
      <c r="N63" s="6" t="str">
        <f>" "</f>
        <v xml:space="preserve"> </v>
      </c>
      <c r="O63" s="8">
        <v>600</v>
      </c>
      <c r="P63" s="7">
        <v>46058</v>
      </c>
      <c r="R63" s="8">
        <v>676</v>
      </c>
      <c r="S63" s="7">
        <v>46080</v>
      </c>
      <c r="U63" s="8">
        <v>0</v>
      </c>
      <c r="V63" s="7">
        <v>46077</v>
      </c>
      <c r="X63" s="8">
        <v>0</v>
      </c>
      <c r="Z63" s="8">
        <v>0</v>
      </c>
      <c r="AC63" s="8">
        <v>0</v>
      </c>
      <c r="AF63" s="8">
        <v>0</v>
      </c>
      <c r="AH63" s="7">
        <v>46087</v>
      </c>
      <c r="AN63" s="8">
        <v>0</v>
      </c>
      <c r="AO63" s="8">
        <v>600</v>
      </c>
    </row>
    <row r="64" spans="1:41" x14ac:dyDescent="0.25">
      <c r="A64" s="6" t="str">
        <f>"520-2026000004"</f>
        <v>520-2026000004</v>
      </c>
      <c r="B64" s="6" t="str">
        <f>"CIFRÕES"</f>
        <v>CIFRÕES</v>
      </c>
      <c r="C64" s="7">
        <v>46027</v>
      </c>
      <c r="D64" s="7">
        <v>46122</v>
      </c>
      <c r="E64" s="8">
        <v>7</v>
      </c>
      <c r="F64" s="6" t="str">
        <f>"ERICEIRA"</f>
        <v>ERICEIRA</v>
      </c>
      <c r="G64" s="6" t="str">
        <f>"K120235838000000"</f>
        <v>K120235838000000</v>
      </c>
      <c r="H64" s="6" t="str">
        <f>"KB 2358 - FAJA 3456"</f>
        <v>KB 2358 - FAJA 3456</v>
      </c>
      <c r="I64" s="6" t="str">
        <f>"5973"</f>
        <v>5973</v>
      </c>
      <c r="J64" s="6" t="str">
        <f>"AZUL 5973"</f>
        <v>AZUL 5973</v>
      </c>
      <c r="K64" s="6" t="str">
        <f>"5877"</f>
        <v>5877</v>
      </c>
      <c r="L64" s="6" t="str">
        <f>"Poncho"</f>
        <v>Poncho</v>
      </c>
      <c r="M64" s="6" t="str">
        <f>"Tamanho 2"</f>
        <v>Tamanho 2</v>
      </c>
      <c r="N64" s="6" t="str">
        <f>" "</f>
        <v xml:space="preserve"> </v>
      </c>
      <c r="O64" s="8">
        <v>50</v>
      </c>
      <c r="P64" s="7">
        <v>46086</v>
      </c>
      <c r="R64" s="8">
        <v>0</v>
      </c>
      <c r="S64" s="7">
        <v>46091</v>
      </c>
      <c r="U64" s="8">
        <v>0</v>
      </c>
      <c r="V64" s="7">
        <v>46100</v>
      </c>
      <c r="X64" s="8">
        <v>0</v>
      </c>
      <c r="Z64" s="8">
        <v>0</v>
      </c>
      <c r="AA64" s="7">
        <v>46112</v>
      </c>
      <c r="AC64" s="8">
        <v>0</v>
      </c>
      <c r="AE64" s="7">
        <v>46114</v>
      </c>
      <c r="AF64" s="8">
        <v>0</v>
      </c>
      <c r="AH64" s="7">
        <v>46122</v>
      </c>
      <c r="AN64" s="8">
        <v>0</v>
      </c>
      <c r="AO64" s="8">
        <v>50</v>
      </c>
    </row>
    <row r="65" spans="1:41" x14ac:dyDescent="0.25">
      <c r="A65" s="6" t="str">
        <f>"520-2026000004"</f>
        <v>520-2026000004</v>
      </c>
      <c r="B65" s="6" t="str">
        <f>"CIFRÕES"</f>
        <v>CIFRÕES</v>
      </c>
      <c r="C65" s="7">
        <v>46027</v>
      </c>
      <c r="D65" s="7">
        <v>46122</v>
      </c>
      <c r="E65" s="8">
        <v>8</v>
      </c>
      <c r="F65" s="6" t="str">
        <f>"ERICEIRA"</f>
        <v>ERICEIRA</v>
      </c>
      <c r="G65" s="6" t="str">
        <f>"K120235838000000"</f>
        <v>K120235838000000</v>
      </c>
      <c r="H65" s="6" t="str">
        <f>"KB 2358 - FAJA 3456"</f>
        <v>KB 2358 - FAJA 3456</v>
      </c>
      <c r="I65" s="6" t="str">
        <f>"5973"</f>
        <v>5973</v>
      </c>
      <c r="J65" s="6" t="str">
        <f>"AZUL 5973"</f>
        <v>AZUL 5973</v>
      </c>
      <c r="K65" s="6" t="str">
        <f>"5876"</f>
        <v>5876</v>
      </c>
      <c r="L65" s="6" t="str">
        <f>"Poncho"</f>
        <v>Poncho</v>
      </c>
      <c r="M65" s="6" t="str">
        <f>"Tamanho 1"</f>
        <v>Tamanho 1</v>
      </c>
      <c r="N65" s="6" t="str">
        <f>" "</f>
        <v xml:space="preserve"> </v>
      </c>
      <c r="O65" s="8">
        <v>75</v>
      </c>
      <c r="P65" s="7">
        <v>46086</v>
      </c>
      <c r="R65" s="8">
        <v>0</v>
      </c>
      <c r="S65" s="7">
        <v>46091</v>
      </c>
      <c r="U65" s="8">
        <v>0</v>
      </c>
      <c r="V65" s="7">
        <v>46100</v>
      </c>
      <c r="X65" s="8">
        <v>0</v>
      </c>
      <c r="Z65" s="8">
        <v>0</v>
      </c>
      <c r="AA65" s="7">
        <v>46112</v>
      </c>
      <c r="AC65" s="8">
        <v>0</v>
      </c>
      <c r="AE65" s="7">
        <v>46114</v>
      </c>
      <c r="AF65" s="8">
        <v>0</v>
      </c>
      <c r="AH65" s="7">
        <v>46122</v>
      </c>
      <c r="AN65" s="8">
        <v>0</v>
      </c>
      <c r="AO65" s="8">
        <v>75</v>
      </c>
    </row>
    <row r="66" spans="1:41" x14ac:dyDescent="0.25">
      <c r="A66" s="6" t="str">
        <f>"520-2026000004"</f>
        <v>520-2026000004</v>
      </c>
      <c r="B66" s="6" t="str">
        <f>"CIFRÕES"</f>
        <v>CIFRÕES</v>
      </c>
      <c r="C66" s="7">
        <v>46027</v>
      </c>
      <c r="D66" s="7">
        <v>46122</v>
      </c>
      <c r="E66" s="8">
        <v>9</v>
      </c>
      <c r="F66" s="6" t="str">
        <f>"ERICEIRA"</f>
        <v>ERICEIRA</v>
      </c>
      <c r="G66" s="6" t="str">
        <f>"K120235838000000"</f>
        <v>K120235838000000</v>
      </c>
      <c r="H66" s="6" t="str">
        <f>"KB 2358 - FAJA 3456"</f>
        <v>KB 2358 - FAJA 3456</v>
      </c>
      <c r="I66" s="6" t="str">
        <f>"5973"</f>
        <v>5973</v>
      </c>
      <c r="J66" s="6" t="str">
        <f>"AZUL 5973"</f>
        <v>AZUL 5973</v>
      </c>
      <c r="K66" s="6" t="str">
        <f>"5878"</f>
        <v>5878</v>
      </c>
      <c r="L66" s="6" t="str">
        <f>"Poncho"</f>
        <v>Poncho</v>
      </c>
      <c r="M66" s="6" t="str">
        <f>"Tamanho 3"</f>
        <v>Tamanho 3</v>
      </c>
      <c r="N66" s="6" t="str">
        <f>" "</f>
        <v xml:space="preserve"> </v>
      </c>
      <c r="O66" s="8">
        <v>50</v>
      </c>
      <c r="P66" s="7">
        <v>46086</v>
      </c>
      <c r="R66" s="8">
        <v>0</v>
      </c>
      <c r="S66" s="7">
        <v>46091</v>
      </c>
      <c r="U66" s="8">
        <v>0</v>
      </c>
      <c r="V66" s="7">
        <v>46100</v>
      </c>
      <c r="X66" s="8">
        <v>0</v>
      </c>
      <c r="Z66" s="8">
        <v>0</v>
      </c>
      <c r="AA66" s="7">
        <v>46112</v>
      </c>
      <c r="AC66" s="8">
        <v>0</v>
      </c>
      <c r="AE66" s="7">
        <v>46114</v>
      </c>
      <c r="AF66" s="8">
        <v>0</v>
      </c>
      <c r="AH66" s="7">
        <v>46122</v>
      </c>
      <c r="AN66" s="8">
        <v>0</v>
      </c>
      <c r="AO66" s="8">
        <v>50</v>
      </c>
    </row>
    <row r="67" spans="1:41" x14ac:dyDescent="0.25">
      <c r="A67" s="6" t="str">
        <f>"520-2026000004"</f>
        <v>520-2026000004</v>
      </c>
      <c r="B67" s="6" t="str">
        <f>"CIFRÕES"</f>
        <v>CIFRÕES</v>
      </c>
      <c r="C67" s="7">
        <v>46027</v>
      </c>
      <c r="D67" s="7">
        <v>46122</v>
      </c>
      <c r="E67" s="8">
        <v>10</v>
      </c>
      <c r="F67" s="6" t="str">
        <f>"ERICEIRA"</f>
        <v>ERICEIRA</v>
      </c>
      <c r="G67" s="6" t="str">
        <f>"K120235538000000"</f>
        <v>K120235538000000</v>
      </c>
      <c r="H67" s="6" t="str">
        <f>"KB 2355 - FAJA 3456"</f>
        <v>KB 2355 - FAJA 3456</v>
      </c>
      <c r="I67" s="6" t="str">
        <f>"5973"</f>
        <v>5973</v>
      </c>
      <c r="J67" s="6" t="str">
        <f>"AZUL 5973"</f>
        <v>AZUL 5973</v>
      </c>
      <c r="K67" s="6" t="str">
        <f>"3530"</f>
        <v>3530</v>
      </c>
      <c r="L67" s="6" t="str">
        <f>"Praia"</f>
        <v>Praia</v>
      </c>
      <c r="M67" s="6" t="str">
        <f>"100x180"</f>
        <v>100x180</v>
      </c>
      <c r="N67" s="6" t="str">
        <f>" "</f>
        <v xml:space="preserve"> </v>
      </c>
      <c r="O67" s="8">
        <v>50</v>
      </c>
      <c r="P67" s="7">
        <v>46086</v>
      </c>
      <c r="R67" s="8">
        <v>0</v>
      </c>
      <c r="S67" s="7">
        <v>46091</v>
      </c>
      <c r="U67" s="8">
        <v>0</v>
      </c>
      <c r="V67" s="7">
        <v>46100</v>
      </c>
      <c r="X67" s="8">
        <v>0</v>
      </c>
      <c r="Z67" s="8">
        <v>0</v>
      </c>
      <c r="AA67" s="7">
        <v>46112</v>
      </c>
      <c r="AC67" s="8">
        <v>0</v>
      </c>
      <c r="AE67" s="7">
        <v>46114</v>
      </c>
      <c r="AF67" s="8">
        <v>0</v>
      </c>
      <c r="AH67" s="7">
        <v>46122</v>
      </c>
      <c r="AN67" s="8">
        <v>0</v>
      </c>
      <c r="AO67" s="8">
        <v>50</v>
      </c>
    </row>
    <row r="68" spans="1:41" x14ac:dyDescent="0.25">
      <c r="A68" s="6" t="str">
        <f>"520-2026000005"</f>
        <v>520-2026000005</v>
      </c>
      <c r="B68" s="6" t="str">
        <f t="shared" ref="B68:B76" si="18">"AUCHAN R"</f>
        <v>AUCHAN R</v>
      </c>
      <c r="C68" s="7">
        <v>46028</v>
      </c>
      <c r="D68" s="7">
        <v>46029</v>
      </c>
      <c r="E68" s="8">
        <v>1</v>
      </c>
      <c r="F68" s="6" t="str">
        <f>"1062077456"</f>
        <v>1062077456</v>
      </c>
      <c r="G68" s="6" t="str">
        <f>"F100021455000000"</f>
        <v>F100021455000000</v>
      </c>
      <c r="H68" s="6" t="str">
        <f>"FA 214 - PURE - 550"</f>
        <v>FA 214 - PURE - 550</v>
      </c>
      <c r="I68" s="6" t="str">
        <f>"1"</f>
        <v>1</v>
      </c>
      <c r="J68" s="6" t="str">
        <f>"BRANCO"</f>
        <v>BRANCO</v>
      </c>
      <c r="K68" s="6" t="str">
        <f>"0112"</f>
        <v>0112</v>
      </c>
      <c r="L68" s="6" t="str">
        <f>"Luvas"</f>
        <v>Luvas</v>
      </c>
      <c r="M68" s="6" t="str">
        <f>"16x21"</f>
        <v>16x21</v>
      </c>
      <c r="N68" s="6" t="str">
        <f>"5602972836233"</f>
        <v>5602972836233</v>
      </c>
      <c r="O68" s="8">
        <v>12</v>
      </c>
      <c r="P68" s="7">
        <v>46028</v>
      </c>
      <c r="R68" s="8">
        <v>0</v>
      </c>
      <c r="U68" s="8">
        <v>0</v>
      </c>
      <c r="X68" s="8">
        <v>0</v>
      </c>
      <c r="Z68" s="8">
        <v>0</v>
      </c>
      <c r="AC68" s="8">
        <v>12</v>
      </c>
      <c r="AE68" s="7">
        <v>46035</v>
      </c>
      <c r="AF68" s="8">
        <v>12</v>
      </c>
      <c r="AH68" s="7">
        <v>46029</v>
      </c>
      <c r="AN68" s="8">
        <v>12</v>
      </c>
      <c r="AO68" s="8">
        <v>0</v>
      </c>
    </row>
    <row r="69" spans="1:41" x14ac:dyDescent="0.25">
      <c r="A69" s="6" t="str">
        <f>"520-2026000005"</f>
        <v>520-2026000005</v>
      </c>
      <c r="B69" s="6" t="str">
        <f t="shared" si="18"/>
        <v>AUCHAN R</v>
      </c>
      <c r="C69" s="7">
        <v>46028</v>
      </c>
      <c r="D69" s="7">
        <v>46029</v>
      </c>
      <c r="E69" s="8">
        <v>2</v>
      </c>
      <c r="F69" s="6" t="str">
        <f>"1062077456"</f>
        <v>1062077456</v>
      </c>
      <c r="G69" s="6" t="str">
        <f>"F310620958000000"</f>
        <v>F310620958000000</v>
      </c>
      <c r="H69" s="6" t="str">
        <f>"PLAR 6209 C/ Franja"</f>
        <v>PLAR 6209 C/ Franja</v>
      </c>
      <c r="I69" s="6" t="str">
        <f>"203699"</f>
        <v>203699</v>
      </c>
      <c r="J69" s="6" t="str">
        <f>"BEGE 3699"</f>
        <v>BEGE 3699</v>
      </c>
      <c r="K69" s="6" t="str">
        <f>"1047"</f>
        <v>1047</v>
      </c>
      <c r="L69" s="6" t="str">
        <f>"Toalhas"</f>
        <v>Toalhas</v>
      </c>
      <c r="M69" s="6" t="str">
        <f>"50x100+8"</f>
        <v>50x100+8</v>
      </c>
      <c r="N69" s="6" t="str">
        <f>"5602972280937"</f>
        <v>5602972280937</v>
      </c>
      <c r="O69" s="8">
        <v>12</v>
      </c>
      <c r="P69" s="7">
        <v>46028</v>
      </c>
      <c r="R69" s="8">
        <v>0</v>
      </c>
      <c r="U69" s="8">
        <v>0</v>
      </c>
      <c r="X69" s="8">
        <v>0</v>
      </c>
      <c r="Z69" s="8">
        <v>0</v>
      </c>
      <c r="AC69" s="8">
        <v>12</v>
      </c>
      <c r="AE69" s="7">
        <v>46035</v>
      </c>
      <c r="AF69" s="8">
        <v>12</v>
      </c>
      <c r="AH69" s="7">
        <v>46029</v>
      </c>
      <c r="AN69" s="8">
        <v>12</v>
      </c>
      <c r="AO69" s="8">
        <v>0</v>
      </c>
    </row>
    <row r="70" spans="1:41" x14ac:dyDescent="0.25">
      <c r="A70" s="6" t="str">
        <f>"520-2026000005"</f>
        <v>520-2026000005</v>
      </c>
      <c r="B70" s="6" t="str">
        <f t="shared" si="18"/>
        <v>AUCHAN R</v>
      </c>
      <c r="C70" s="7">
        <v>46028</v>
      </c>
      <c r="D70" s="7">
        <v>46029</v>
      </c>
      <c r="E70" s="8">
        <v>3</v>
      </c>
      <c r="F70" s="6" t="str">
        <f>"1062077456"</f>
        <v>1062077456</v>
      </c>
      <c r="G70" s="6" t="str">
        <f>"F110329745000000"</f>
        <v>F110329745000000</v>
      </c>
      <c r="H70" s="6" t="str">
        <f>"FAJ 3297 - 450 g/m²"</f>
        <v>FAJ 3297 - 450 g/m²</v>
      </c>
      <c r="I70" s="6" t="str">
        <f>"2"</f>
        <v>2</v>
      </c>
      <c r="J70" s="6" t="str">
        <f>"NATURAL"</f>
        <v>NATURAL</v>
      </c>
      <c r="K70" s="6" t="str">
        <f>"1024"</f>
        <v>1024</v>
      </c>
      <c r="L70" s="6" t="str">
        <f>"Toalhas"</f>
        <v>Toalhas</v>
      </c>
      <c r="M70" s="6" t="str">
        <f>"50x100"</f>
        <v>50x100</v>
      </c>
      <c r="N70" s="6" t="str">
        <f>"5602972277869"</f>
        <v>5602972277869</v>
      </c>
      <c r="O70" s="8">
        <v>12</v>
      </c>
      <c r="P70" s="7">
        <v>46028</v>
      </c>
      <c r="R70" s="8">
        <v>0</v>
      </c>
      <c r="U70" s="8">
        <v>0</v>
      </c>
      <c r="X70" s="8">
        <v>0</v>
      </c>
      <c r="Z70" s="8">
        <v>0</v>
      </c>
      <c r="AC70" s="8">
        <v>12</v>
      </c>
      <c r="AE70" s="7">
        <v>46035</v>
      </c>
      <c r="AF70" s="8">
        <v>12</v>
      </c>
      <c r="AH70" s="7">
        <v>46029</v>
      </c>
      <c r="AN70" s="8">
        <v>12</v>
      </c>
      <c r="AO70" s="8">
        <v>0</v>
      </c>
    </row>
    <row r="71" spans="1:41" x14ac:dyDescent="0.25">
      <c r="A71" s="6" t="str">
        <f>"520-2026000005"</f>
        <v>520-2026000005</v>
      </c>
      <c r="B71" s="6" t="str">
        <f t="shared" si="18"/>
        <v>AUCHAN R</v>
      </c>
      <c r="C71" s="7">
        <v>46028</v>
      </c>
      <c r="D71" s="7">
        <v>46029</v>
      </c>
      <c r="E71" s="8">
        <v>4</v>
      </c>
      <c r="F71" s="6" t="str">
        <f>"1062077456"</f>
        <v>1062077456</v>
      </c>
      <c r="G71" s="6" t="str">
        <f>"F110110840000003"</f>
        <v>F110110840000003</v>
      </c>
      <c r="H71" s="6" t="str">
        <f>"FAJ 1108 - 400 g/m²"</f>
        <v>FAJ 1108 - 400 g/m²</v>
      </c>
      <c r="I71" s="6" t="str">
        <f>"3073"</f>
        <v>3073</v>
      </c>
      <c r="J71" s="6" t="str">
        <f>"CINZA 3073"</f>
        <v>CINZA 3073</v>
      </c>
      <c r="K71" s="6" t="str">
        <f>"0830"</f>
        <v>0830</v>
      </c>
      <c r="L71" s="6" t="str">
        <f>"Cozinha"</f>
        <v>Cozinha</v>
      </c>
      <c r="M71" s="6" t="str">
        <f>"50x70"</f>
        <v>50x70</v>
      </c>
      <c r="N71" s="6" t="str">
        <f>"5602972279535"</f>
        <v>5602972279535</v>
      </c>
      <c r="O71" s="8">
        <v>12</v>
      </c>
      <c r="P71" s="7">
        <v>46028</v>
      </c>
      <c r="R71" s="8">
        <v>0</v>
      </c>
      <c r="U71" s="8">
        <v>0</v>
      </c>
      <c r="X71" s="8">
        <v>0</v>
      </c>
      <c r="Z71" s="8">
        <v>0</v>
      </c>
      <c r="AC71" s="8">
        <v>12</v>
      </c>
      <c r="AE71" s="7">
        <v>46035</v>
      </c>
      <c r="AF71" s="8">
        <v>12</v>
      </c>
      <c r="AH71" s="7">
        <v>46029</v>
      </c>
      <c r="AN71" s="8">
        <v>12</v>
      </c>
      <c r="AO71" s="8">
        <v>0</v>
      </c>
    </row>
    <row r="72" spans="1:41" x14ac:dyDescent="0.25">
      <c r="A72" s="6" t="str">
        <f>"520-2026000005"</f>
        <v>520-2026000005</v>
      </c>
      <c r="B72" s="6" t="str">
        <f t="shared" si="18"/>
        <v>AUCHAN R</v>
      </c>
      <c r="C72" s="7">
        <v>46028</v>
      </c>
      <c r="D72" s="7">
        <v>46029</v>
      </c>
      <c r="E72" s="8">
        <v>5</v>
      </c>
      <c r="F72" s="6" t="str">
        <f>"1062077456"</f>
        <v>1062077456</v>
      </c>
      <c r="G72" s="6" t="str">
        <f>"K001223323000000"</f>
        <v>K001223323000000</v>
      </c>
      <c r="H72" s="6" t="str">
        <f>"KB 2233 - Avental -"</f>
        <v>KB 2233 - Avental -</v>
      </c>
      <c r="I72" s="6" t="str">
        <f>"3073"</f>
        <v>3073</v>
      </c>
      <c r="J72" s="6" t="str">
        <f>"CINZA 3073"</f>
        <v>CINZA 3073</v>
      </c>
      <c r="K72" s="6" t="str">
        <f>"8803"</f>
        <v>8803</v>
      </c>
      <c r="L72" s="6" t="str">
        <f>"Cozinha"</f>
        <v>Cozinha</v>
      </c>
      <c r="M72" s="6" t="str">
        <f>"03 Avental"</f>
        <v>03 Avental</v>
      </c>
      <c r="N72" s="6" t="str">
        <f>"5602972279542"</f>
        <v>5602972279542</v>
      </c>
      <c r="O72" s="8">
        <v>12</v>
      </c>
      <c r="P72" s="7">
        <v>46028</v>
      </c>
      <c r="R72" s="8">
        <v>0</v>
      </c>
      <c r="U72" s="8">
        <v>0</v>
      </c>
      <c r="X72" s="8">
        <v>0</v>
      </c>
      <c r="Z72" s="8">
        <v>0</v>
      </c>
      <c r="AC72" s="8">
        <v>12</v>
      </c>
      <c r="AE72" s="7">
        <v>46035</v>
      </c>
      <c r="AF72" s="8">
        <v>12</v>
      </c>
      <c r="AH72" s="7">
        <v>46029</v>
      </c>
      <c r="AN72" s="8">
        <v>12</v>
      </c>
      <c r="AO72" s="8">
        <v>0</v>
      </c>
    </row>
    <row r="73" spans="1:41" x14ac:dyDescent="0.25">
      <c r="A73" s="6" t="str">
        <f>"520-2026000006"</f>
        <v>520-2026000006</v>
      </c>
      <c r="B73" s="6" t="str">
        <f t="shared" si="18"/>
        <v>AUCHAN R</v>
      </c>
      <c r="C73" s="7">
        <v>46028</v>
      </c>
      <c r="D73" s="7">
        <v>46031</v>
      </c>
      <c r="E73" s="8">
        <v>1</v>
      </c>
      <c r="F73" s="6" t="str">
        <f>"1061293349"</f>
        <v>1061293349</v>
      </c>
      <c r="G73" s="6" t="str">
        <f>"F100021455000000"</f>
        <v>F100021455000000</v>
      </c>
      <c r="H73" s="6" t="str">
        <f>"FA 214 - PURE - 550"</f>
        <v>FA 214 - PURE - 550</v>
      </c>
      <c r="I73" s="6" t="str">
        <f>"1"</f>
        <v>1</v>
      </c>
      <c r="J73" s="6" t="str">
        <f>"BRANCO"</f>
        <v>BRANCO</v>
      </c>
      <c r="K73" s="6" t="str">
        <f>"0112"</f>
        <v>0112</v>
      </c>
      <c r="L73" s="6" t="str">
        <f>"Luvas"</f>
        <v>Luvas</v>
      </c>
      <c r="M73" s="6" t="str">
        <f>"16x21"</f>
        <v>16x21</v>
      </c>
      <c r="N73" s="6" t="str">
        <f>"5602972836233"</f>
        <v>5602972836233</v>
      </c>
      <c r="O73" s="8">
        <v>48</v>
      </c>
      <c r="P73" s="7">
        <v>46028</v>
      </c>
      <c r="R73" s="8">
        <v>0</v>
      </c>
      <c r="U73" s="8">
        <v>0</v>
      </c>
      <c r="X73" s="8">
        <v>0</v>
      </c>
      <c r="Z73" s="8">
        <v>0</v>
      </c>
      <c r="AC73" s="8">
        <v>24</v>
      </c>
      <c r="AE73" s="7">
        <v>46035</v>
      </c>
      <c r="AF73" s="8">
        <v>24</v>
      </c>
      <c r="AH73" s="7">
        <v>46031</v>
      </c>
      <c r="AN73" s="8">
        <v>24</v>
      </c>
      <c r="AO73" s="8">
        <v>24</v>
      </c>
    </row>
    <row r="74" spans="1:41" x14ac:dyDescent="0.25">
      <c r="A74" s="6" t="str">
        <f>"520-2026000006"</f>
        <v>520-2026000006</v>
      </c>
      <c r="B74" s="6" t="str">
        <f t="shared" si="18"/>
        <v>AUCHAN R</v>
      </c>
      <c r="C74" s="7">
        <v>46028</v>
      </c>
      <c r="D74" s="7">
        <v>46031</v>
      </c>
      <c r="E74" s="8">
        <v>2</v>
      </c>
      <c r="F74" s="6" t="str">
        <f>"1061293349"</f>
        <v>1061293349</v>
      </c>
      <c r="G74" s="6" t="str">
        <f>"F310620958000000"</f>
        <v>F310620958000000</v>
      </c>
      <c r="H74" s="6" t="str">
        <f>"PLAR 6209 C/ Franja"</f>
        <v>PLAR 6209 C/ Franja</v>
      </c>
      <c r="I74" s="6" t="str">
        <f>"203699"</f>
        <v>203699</v>
      </c>
      <c r="J74" s="6" t="str">
        <f>"BEGE 3699"</f>
        <v>BEGE 3699</v>
      </c>
      <c r="K74" s="6" t="str">
        <f>"2093"</f>
        <v>2093</v>
      </c>
      <c r="L74" s="6" t="str">
        <f>"Lençóis"</f>
        <v>Lençóis</v>
      </c>
      <c r="M74" s="6" t="str">
        <f>"100x150+8"</f>
        <v>100x150+8</v>
      </c>
      <c r="N74" s="6" t="str">
        <f>"5602972280944"</f>
        <v>5602972280944</v>
      </c>
      <c r="O74" s="8">
        <v>9</v>
      </c>
      <c r="P74" s="7">
        <v>46028</v>
      </c>
      <c r="R74" s="8">
        <v>0</v>
      </c>
      <c r="U74" s="8">
        <v>0</v>
      </c>
      <c r="X74" s="8">
        <v>0</v>
      </c>
      <c r="Z74" s="8">
        <v>0</v>
      </c>
      <c r="AC74" s="8">
        <v>9</v>
      </c>
      <c r="AE74" s="7">
        <v>46035</v>
      </c>
      <c r="AF74" s="8">
        <v>9</v>
      </c>
      <c r="AH74" s="7">
        <v>46031</v>
      </c>
      <c r="AN74" s="8">
        <v>9</v>
      </c>
      <c r="AO74" s="8">
        <v>0</v>
      </c>
    </row>
    <row r="75" spans="1:41" x14ac:dyDescent="0.25">
      <c r="A75" s="6" t="str">
        <f>"520-2026000006"</f>
        <v>520-2026000006</v>
      </c>
      <c r="B75" s="6" t="str">
        <f t="shared" si="18"/>
        <v>AUCHAN R</v>
      </c>
      <c r="C75" s="7">
        <v>46028</v>
      </c>
      <c r="D75" s="7">
        <v>46031</v>
      </c>
      <c r="E75" s="8">
        <v>3</v>
      </c>
      <c r="F75" s="6" t="str">
        <f>"1061293349"</f>
        <v>1061293349</v>
      </c>
      <c r="G75" s="6" t="str">
        <f>"F310620958000000"</f>
        <v>F310620958000000</v>
      </c>
      <c r="H75" s="6" t="str">
        <f>"PLAR 6209 C/ Franja"</f>
        <v>PLAR 6209 C/ Franja</v>
      </c>
      <c r="I75" s="6" t="str">
        <f>"203699"</f>
        <v>203699</v>
      </c>
      <c r="J75" s="6" t="str">
        <f>"BEGE 3699"</f>
        <v>BEGE 3699</v>
      </c>
      <c r="K75" s="6" t="str">
        <f>"1047"</f>
        <v>1047</v>
      </c>
      <c r="L75" s="6" t="str">
        <f>"Toalhas"</f>
        <v>Toalhas</v>
      </c>
      <c r="M75" s="6" t="str">
        <f>"50x100+8"</f>
        <v>50x100+8</v>
      </c>
      <c r="N75" s="6" t="str">
        <f>"5602972280937"</f>
        <v>5602972280937</v>
      </c>
      <c r="O75" s="8">
        <v>18</v>
      </c>
      <c r="P75" s="7">
        <v>46028</v>
      </c>
      <c r="R75" s="8">
        <v>0</v>
      </c>
      <c r="U75" s="8">
        <v>0</v>
      </c>
      <c r="X75" s="8">
        <v>0</v>
      </c>
      <c r="Z75" s="8">
        <v>0</v>
      </c>
      <c r="AC75" s="8">
        <v>18</v>
      </c>
      <c r="AE75" s="7">
        <v>46035</v>
      </c>
      <c r="AF75" s="8">
        <v>18</v>
      </c>
      <c r="AH75" s="7">
        <v>46031</v>
      </c>
      <c r="AN75" s="8">
        <v>18</v>
      </c>
      <c r="AO75" s="8">
        <v>0</v>
      </c>
    </row>
    <row r="76" spans="1:41" x14ac:dyDescent="0.25">
      <c r="A76" s="6" t="str">
        <f>"520-2026000006"</f>
        <v>520-2026000006</v>
      </c>
      <c r="B76" s="6" t="str">
        <f t="shared" si="18"/>
        <v>AUCHAN R</v>
      </c>
      <c r="C76" s="7">
        <v>46028</v>
      </c>
      <c r="D76" s="7">
        <v>46031</v>
      </c>
      <c r="E76" s="8">
        <v>4</v>
      </c>
      <c r="F76" s="6" t="str">
        <f>"1061293349"</f>
        <v>1061293349</v>
      </c>
      <c r="G76" s="6" t="str">
        <f>"K001223423000000"</f>
        <v>K001223423000000</v>
      </c>
      <c r="H76" s="6" t="str">
        <f>"KB 2234 - Pano - CZJ"</f>
        <v>KB 2234 - Pano - CZJ</v>
      </c>
      <c r="I76" s="6" t="str">
        <f>"3073"</f>
        <v>3073</v>
      </c>
      <c r="J76" s="6" t="str">
        <f>"CINZA 3073"</f>
        <v>CINZA 3073</v>
      </c>
      <c r="K76" s="6" t="str">
        <f>"8802"</f>
        <v>8802</v>
      </c>
      <c r="L76" s="6" t="str">
        <f>"Cozinha"</f>
        <v>Cozinha</v>
      </c>
      <c r="M76" s="6" t="str">
        <f>"02 Pano Te"</f>
        <v>02 Pano Te</v>
      </c>
      <c r="N76" s="6" t="str">
        <f>"5602972279559"</f>
        <v>5602972279559</v>
      </c>
      <c r="O76" s="8">
        <v>24</v>
      </c>
      <c r="P76" s="7">
        <v>46028</v>
      </c>
      <c r="R76" s="8">
        <v>0</v>
      </c>
      <c r="U76" s="8">
        <v>0</v>
      </c>
      <c r="X76" s="8">
        <v>0</v>
      </c>
      <c r="Z76" s="8">
        <v>0</v>
      </c>
      <c r="AC76" s="8">
        <v>24</v>
      </c>
      <c r="AE76" s="7">
        <v>46035</v>
      </c>
      <c r="AF76" s="8">
        <v>24</v>
      </c>
      <c r="AH76" s="7">
        <v>46031</v>
      </c>
      <c r="AN76" s="8">
        <v>24</v>
      </c>
      <c r="AO76" s="8">
        <v>0</v>
      </c>
    </row>
    <row r="77" spans="1:41" x14ac:dyDescent="0.25">
      <c r="A77" s="6" t="str">
        <f>"520-2026000007"</f>
        <v>520-2026000007</v>
      </c>
      <c r="B77" s="6" t="str">
        <f>"CIFRÕES"</f>
        <v>CIFRÕES</v>
      </c>
      <c r="C77" s="7">
        <v>46028</v>
      </c>
      <c r="D77" s="7">
        <v>46122</v>
      </c>
      <c r="E77" s="8">
        <v>6</v>
      </c>
      <c r="F77" s="6" t="str">
        <f>"BEDU"</f>
        <v>BEDU</v>
      </c>
      <c r="G77" s="6" t="str">
        <f>"K330235938000000"</f>
        <v>K330235938000000</v>
      </c>
      <c r="H77" s="6" t="str">
        <f>"KB 2359 - PLA 3039 B"</f>
        <v>KB 2359 - PLA 3039 B</v>
      </c>
      <c r="I77" s="6" t="str">
        <f>"504757"</f>
        <v>504757</v>
      </c>
      <c r="J77" s="6" t="str">
        <f>"BRANCO/AZUL 4757"</f>
        <v>BRANCO/AZUL 4757</v>
      </c>
      <c r="K77" s="6" t="str">
        <f>"5878"</f>
        <v>5878</v>
      </c>
      <c r="L77" s="6" t="str">
        <f>"Poncho"</f>
        <v>Poncho</v>
      </c>
      <c r="M77" s="6" t="str">
        <f>"Tamanho 3"</f>
        <v>Tamanho 3</v>
      </c>
      <c r="N77" s="6" t="str">
        <f>" "</f>
        <v xml:space="preserve"> </v>
      </c>
      <c r="O77" s="8">
        <v>120</v>
      </c>
      <c r="P77" s="7">
        <v>46092</v>
      </c>
      <c r="R77" s="8">
        <v>0</v>
      </c>
      <c r="S77" s="7">
        <v>46097</v>
      </c>
      <c r="U77" s="8">
        <v>0</v>
      </c>
      <c r="V77" s="7">
        <v>46100</v>
      </c>
      <c r="X77" s="8">
        <v>0</v>
      </c>
      <c r="Z77" s="8">
        <v>0</v>
      </c>
      <c r="AA77" s="7">
        <v>46112</v>
      </c>
      <c r="AC77" s="8">
        <v>0</v>
      </c>
      <c r="AE77" s="7">
        <v>46114</v>
      </c>
      <c r="AF77" s="8">
        <v>0</v>
      </c>
      <c r="AH77" s="7">
        <v>46122</v>
      </c>
      <c r="AN77" s="8">
        <v>0</v>
      </c>
      <c r="AO77" s="8">
        <v>120</v>
      </c>
    </row>
    <row r="78" spans="1:41" x14ac:dyDescent="0.25">
      <c r="A78" s="6" t="str">
        <f>"520-2026000007"</f>
        <v>520-2026000007</v>
      </c>
      <c r="B78" s="6" t="str">
        <f>"CIFRÕES"</f>
        <v>CIFRÕES</v>
      </c>
      <c r="C78" s="7">
        <v>46028</v>
      </c>
      <c r="D78" s="7">
        <v>46122</v>
      </c>
      <c r="E78" s="8">
        <v>7</v>
      </c>
      <c r="F78" s="6" t="str">
        <f>"BEDU"</f>
        <v>BEDU</v>
      </c>
      <c r="G78" s="6" t="str">
        <f>"K330235638000000"</f>
        <v>K330235638000000</v>
      </c>
      <c r="H78" s="6" t="str">
        <f>"KB 2356 - PLA 3039 B"</f>
        <v>KB 2356 - PLA 3039 B</v>
      </c>
      <c r="I78" s="6" t="str">
        <f>"504757"</f>
        <v>504757</v>
      </c>
      <c r="J78" s="6" t="str">
        <f>"BRANCO/AZUL 4757"</f>
        <v>BRANCO/AZUL 4757</v>
      </c>
      <c r="K78" s="6" t="str">
        <f>"3530"</f>
        <v>3530</v>
      </c>
      <c r="L78" s="6" t="str">
        <f>"Praia"</f>
        <v>Praia</v>
      </c>
      <c r="M78" s="6" t="str">
        <f>"100x180"</f>
        <v>100x180</v>
      </c>
      <c r="N78" s="6" t="str">
        <f>" "</f>
        <v xml:space="preserve"> </v>
      </c>
      <c r="O78" s="8">
        <v>100</v>
      </c>
      <c r="P78" s="7">
        <v>46092</v>
      </c>
      <c r="R78" s="8">
        <v>0</v>
      </c>
      <c r="S78" s="7">
        <v>46097</v>
      </c>
      <c r="U78" s="8">
        <v>0</v>
      </c>
      <c r="V78" s="7">
        <v>46100</v>
      </c>
      <c r="X78" s="8">
        <v>0</v>
      </c>
      <c r="Z78" s="8">
        <v>0</v>
      </c>
      <c r="AA78" s="7">
        <v>46112</v>
      </c>
      <c r="AC78" s="8">
        <v>0</v>
      </c>
      <c r="AE78" s="7">
        <v>46114</v>
      </c>
      <c r="AF78" s="8">
        <v>0</v>
      </c>
      <c r="AH78" s="7">
        <v>46122</v>
      </c>
      <c r="AN78" s="8">
        <v>0</v>
      </c>
      <c r="AO78" s="8">
        <v>100</v>
      </c>
    </row>
    <row r="79" spans="1:41" x14ac:dyDescent="0.25">
      <c r="A79" s="6" t="str">
        <f>"520-2026000008"</f>
        <v>520-2026000008</v>
      </c>
      <c r="B79" s="6" t="str">
        <f t="shared" ref="B79:B98" si="19">"KROMA -"</f>
        <v>KROMA -</v>
      </c>
      <c r="C79" s="7">
        <v>46028</v>
      </c>
      <c r="D79" s="7">
        <v>46094</v>
      </c>
      <c r="E79" s="8">
        <v>5</v>
      </c>
      <c r="F79" s="6" t="str">
        <f>"BADER 99130001832659"</f>
        <v>BADER 99130001832659</v>
      </c>
      <c r="G79" s="6" t="str">
        <f t="shared" ref="G79:G98" si="20">"R300316635000000"</f>
        <v>R300316635000000</v>
      </c>
      <c r="H79" s="6" t="str">
        <f t="shared" ref="H79:H98" si="21">"R 3166 - PLR 3425 (m"</f>
        <v>R 3166 - PLR 3425 (m</v>
      </c>
      <c r="I79" s="6" t="str">
        <f>"203598"</f>
        <v>203598</v>
      </c>
      <c r="J79" s="6" t="str">
        <f>"ROSA 3598"</f>
        <v>ROSA 3598</v>
      </c>
      <c r="K79" s="6" t="str">
        <f>"5002"</f>
        <v>5002</v>
      </c>
      <c r="L79" s="6" t="str">
        <f t="shared" ref="L79:L98" si="22">"Roupões Adulto"</f>
        <v>Roupões Adulto</v>
      </c>
      <c r="M79" s="6" t="str">
        <f>"S"</f>
        <v>S</v>
      </c>
      <c r="N79" s="6" t="str">
        <f>"5605247943193"</f>
        <v>5605247943193</v>
      </c>
      <c r="O79" s="8">
        <v>51</v>
      </c>
      <c r="P79" s="7">
        <v>46072</v>
      </c>
      <c r="R79" s="8">
        <v>803</v>
      </c>
      <c r="S79" s="7">
        <v>46077</v>
      </c>
      <c r="U79" s="8">
        <v>0</v>
      </c>
      <c r="V79" s="7">
        <v>46080</v>
      </c>
      <c r="X79" s="8">
        <v>0</v>
      </c>
      <c r="Z79" s="8">
        <v>0</v>
      </c>
      <c r="AA79" s="7">
        <v>46092</v>
      </c>
      <c r="AC79" s="8">
        <v>0</v>
      </c>
      <c r="AE79" s="7">
        <v>46094</v>
      </c>
      <c r="AF79" s="8">
        <v>0</v>
      </c>
      <c r="AH79" s="7">
        <v>46094</v>
      </c>
      <c r="AN79" s="8">
        <v>0</v>
      </c>
      <c r="AO79" s="8">
        <v>51</v>
      </c>
    </row>
    <row r="80" spans="1:41" x14ac:dyDescent="0.25">
      <c r="A80" s="6" t="str">
        <f>"520-2026000008"</f>
        <v>520-2026000008</v>
      </c>
      <c r="B80" s="6" t="str">
        <f t="shared" si="19"/>
        <v>KROMA -</v>
      </c>
      <c r="C80" s="7">
        <v>46028</v>
      </c>
      <c r="D80" s="7">
        <v>46094</v>
      </c>
      <c r="E80" s="8">
        <v>6</v>
      </c>
      <c r="F80" s="6" t="str">
        <f>"BADER 99130001832659"</f>
        <v>BADER 99130001832659</v>
      </c>
      <c r="G80" s="6" t="str">
        <f t="shared" si="20"/>
        <v>R300316635000000</v>
      </c>
      <c r="H80" s="6" t="str">
        <f t="shared" si="21"/>
        <v>R 3166 - PLR 3425 (m</v>
      </c>
      <c r="I80" s="6" t="str">
        <f>"203598"</f>
        <v>203598</v>
      </c>
      <c r="J80" s="6" t="str">
        <f>"ROSA 3598"</f>
        <v>ROSA 3598</v>
      </c>
      <c r="K80" s="6" t="str">
        <f>"5004"</f>
        <v>5004</v>
      </c>
      <c r="L80" s="6" t="str">
        <f t="shared" si="22"/>
        <v>Roupões Adulto</v>
      </c>
      <c r="M80" s="6" t="str">
        <f>"M"</f>
        <v>M</v>
      </c>
      <c r="N80" s="6" t="str">
        <f>"5605247943100"</f>
        <v>5605247943100</v>
      </c>
      <c r="O80" s="8">
        <v>81</v>
      </c>
      <c r="P80" s="7">
        <v>46072</v>
      </c>
      <c r="R80" s="8">
        <v>0</v>
      </c>
      <c r="S80" s="7">
        <v>46077</v>
      </c>
      <c r="U80" s="8">
        <v>0</v>
      </c>
      <c r="V80" s="7">
        <v>46080</v>
      </c>
      <c r="X80" s="8">
        <v>0</v>
      </c>
      <c r="Z80" s="8">
        <v>0</v>
      </c>
      <c r="AA80" s="7">
        <v>46092</v>
      </c>
      <c r="AC80" s="8">
        <v>0</v>
      </c>
      <c r="AE80" s="7">
        <v>46094</v>
      </c>
      <c r="AF80" s="8">
        <v>0</v>
      </c>
      <c r="AH80" s="7">
        <v>46094</v>
      </c>
      <c r="AN80" s="8">
        <v>0</v>
      </c>
      <c r="AO80" s="8">
        <v>81</v>
      </c>
    </row>
    <row r="81" spans="1:41" x14ac:dyDescent="0.25">
      <c r="A81" s="6" t="str">
        <f>"520-2026000008"</f>
        <v>520-2026000008</v>
      </c>
      <c r="B81" s="6" t="str">
        <f t="shared" si="19"/>
        <v>KROMA -</v>
      </c>
      <c r="C81" s="7">
        <v>46028</v>
      </c>
      <c r="D81" s="7">
        <v>46094</v>
      </c>
      <c r="E81" s="8">
        <v>7</v>
      </c>
      <c r="F81" s="6" t="str">
        <f>"BADER 99130001832659"</f>
        <v>BADER 99130001832659</v>
      </c>
      <c r="G81" s="6" t="str">
        <f t="shared" si="20"/>
        <v>R300316635000000</v>
      </c>
      <c r="H81" s="6" t="str">
        <f t="shared" si="21"/>
        <v>R 3166 - PLR 3425 (m</v>
      </c>
      <c r="I81" s="6" t="str">
        <f>"203598"</f>
        <v>203598</v>
      </c>
      <c r="J81" s="6" t="str">
        <f>"ROSA 3598"</f>
        <v>ROSA 3598</v>
      </c>
      <c r="K81" s="6" t="str">
        <f>"5006"</f>
        <v>5006</v>
      </c>
      <c r="L81" s="6" t="str">
        <f t="shared" si="22"/>
        <v>Roupões Adulto</v>
      </c>
      <c r="M81" s="6" t="str">
        <f>"L"</f>
        <v>L</v>
      </c>
      <c r="N81" s="6" t="str">
        <f>"5605247943117"</f>
        <v>5605247943117</v>
      </c>
      <c r="O81" s="8">
        <v>81</v>
      </c>
      <c r="P81" s="7">
        <v>46072</v>
      </c>
      <c r="R81" s="8">
        <v>0</v>
      </c>
      <c r="S81" s="7">
        <v>46077</v>
      </c>
      <c r="U81" s="8">
        <v>0</v>
      </c>
      <c r="V81" s="7">
        <v>46080</v>
      </c>
      <c r="X81" s="8">
        <v>0</v>
      </c>
      <c r="Z81" s="8">
        <v>0</v>
      </c>
      <c r="AA81" s="7">
        <v>46092</v>
      </c>
      <c r="AC81" s="8">
        <v>0</v>
      </c>
      <c r="AE81" s="7">
        <v>46094</v>
      </c>
      <c r="AF81" s="8">
        <v>0</v>
      </c>
      <c r="AH81" s="7">
        <v>46094</v>
      </c>
      <c r="AN81" s="8">
        <v>0</v>
      </c>
      <c r="AO81" s="8">
        <v>81</v>
      </c>
    </row>
    <row r="82" spans="1:41" x14ac:dyDescent="0.25">
      <c r="A82" s="6" t="str">
        <f>"520-2026000008"</f>
        <v>520-2026000008</v>
      </c>
      <c r="B82" s="6" t="str">
        <f t="shared" si="19"/>
        <v>KROMA -</v>
      </c>
      <c r="C82" s="7">
        <v>46028</v>
      </c>
      <c r="D82" s="7">
        <v>46094</v>
      </c>
      <c r="E82" s="8">
        <v>8</v>
      </c>
      <c r="F82" s="6" t="str">
        <f>"BADER 99130001832659"</f>
        <v>BADER 99130001832659</v>
      </c>
      <c r="G82" s="6" t="str">
        <f t="shared" si="20"/>
        <v>R300316635000000</v>
      </c>
      <c r="H82" s="6" t="str">
        <f t="shared" si="21"/>
        <v>R 3166 - PLR 3425 (m</v>
      </c>
      <c r="I82" s="6" t="str">
        <f>"203598"</f>
        <v>203598</v>
      </c>
      <c r="J82" s="6" t="str">
        <f>"ROSA 3598"</f>
        <v>ROSA 3598</v>
      </c>
      <c r="K82" s="6" t="str">
        <f>"5008"</f>
        <v>5008</v>
      </c>
      <c r="L82" s="6" t="str">
        <f t="shared" si="22"/>
        <v>Roupões Adulto</v>
      </c>
      <c r="M82" s="6" t="str">
        <f>"XL"</f>
        <v>XL</v>
      </c>
      <c r="N82" s="6" t="str">
        <f>"5605247943124"</f>
        <v>5605247943124</v>
      </c>
      <c r="O82" s="8">
        <v>66</v>
      </c>
      <c r="P82" s="7">
        <v>46072</v>
      </c>
      <c r="R82" s="8">
        <v>0</v>
      </c>
      <c r="S82" s="7">
        <v>46077</v>
      </c>
      <c r="U82" s="8">
        <v>0</v>
      </c>
      <c r="V82" s="7">
        <v>46080</v>
      </c>
      <c r="X82" s="8">
        <v>0</v>
      </c>
      <c r="Z82" s="8">
        <v>0</v>
      </c>
      <c r="AA82" s="7">
        <v>46092</v>
      </c>
      <c r="AC82" s="8">
        <v>0</v>
      </c>
      <c r="AE82" s="7">
        <v>46094</v>
      </c>
      <c r="AF82" s="8">
        <v>0</v>
      </c>
      <c r="AH82" s="7">
        <v>46094</v>
      </c>
      <c r="AN82" s="8">
        <v>0</v>
      </c>
      <c r="AO82" s="8">
        <v>66</v>
      </c>
    </row>
    <row r="83" spans="1:41" x14ac:dyDescent="0.25">
      <c r="A83" s="6" t="str">
        <f>"520-2026000008"</f>
        <v>520-2026000008</v>
      </c>
      <c r="B83" s="6" t="str">
        <f t="shared" si="19"/>
        <v>KROMA -</v>
      </c>
      <c r="C83" s="7">
        <v>46028</v>
      </c>
      <c r="D83" s="7">
        <v>46094</v>
      </c>
      <c r="E83" s="8">
        <v>9</v>
      </c>
      <c r="F83" s="6" t="str">
        <f>"BADER 99130001832659"</f>
        <v>BADER 99130001832659</v>
      </c>
      <c r="G83" s="6" t="str">
        <f t="shared" si="20"/>
        <v>R300316635000000</v>
      </c>
      <c r="H83" s="6" t="str">
        <f t="shared" si="21"/>
        <v>R 3166 - PLR 3425 (m</v>
      </c>
      <c r="I83" s="6" t="str">
        <f>"203598"</f>
        <v>203598</v>
      </c>
      <c r="J83" s="6" t="str">
        <f>"ROSA 3598"</f>
        <v>ROSA 3598</v>
      </c>
      <c r="K83" s="6" t="str">
        <f>"5010"</f>
        <v>5010</v>
      </c>
      <c r="L83" s="6" t="str">
        <f t="shared" si="22"/>
        <v>Roupões Adulto</v>
      </c>
      <c r="M83" s="6" t="str">
        <f>"XXL"</f>
        <v>XXL</v>
      </c>
      <c r="N83" s="6" t="str">
        <f>"5605247943131"</f>
        <v>5605247943131</v>
      </c>
      <c r="O83" s="8">
        <v>39</v>
      </c>
      <c r="P83" s="7">
        <v>46072</v>
      </c>
      <c r="R83" s="8">
        <v>0</v>
      </c>
      <c r="S83" s="7">
        <v>46077</v>
      </c>
      <c r="U83" s="8">
        <v>0</v>
      </c>
      <c r="V83" s="7">
        <v>46080</v>
      </c>
      <c r="X83" s="8">
        <v>0</v>
      </c>
      <c r="Z83" s="8">
        <v>0</v>
      </c>
      <c r="AA83" s="7">
        <v>46092</v>
      </c>
      <c r="AC83" s="8">
        <v>0</v>
      </c>
      <c r="AE83" s="7">
        <v>46094</v>
      </c>
      <c r="AF83" s="8">
        <v>0</v>
      </c>
      <c r="AH83" s="7">
        <v>46094</v>
      </c>
      <c r="AN83" s="8">
        <v>0</v>
      </c>
      <c r="AO83" s="8">
        <v>39</v>
      </c>
    </row>
    <row r="84" spans="1:41" x14ac:dyDescent="0.25">
      <c r="A84" s="6" t="str">
        <f>"520-2026000009"</f>
        <v>520-2026000009</v>
      </c>
      <c r="B84" s="6" t="str">
        <f t="shared" si="19"/>
        <v>KROMA -</v>
      </c>
      <c r="C84" s="7">
        <v>46028</v>
      </c>
      <c r="D84" s="7">
        <v>46094</v>
      </c>
      <c r="E84" s="8">
        <v>6</v>
      </c>
      <c r="F84" s="6" t="str">
        <f>"BADER 99130001832658"</f>
        <v>BADER 99130001832658</v>
      </c>
      <c r="G84" s="6" t="str">
        <f t="shared" si="20"/>
        <v>R300316635000000</v>
      </c>
      <c r="H84" s="6" t="str">
        <f t="shared" si="21"/>
        <v>R 3166 - PLR 3425 (m</v>
      </c>
      <c r="I84" s="6" t="str">
        <f>"203835"</f>
        <v>203835</v>
      </c>
      <c r="J84" s="6" t="str">
        <f>"TURQUESA 3835"</f>
        <v>TURQUESA 3835</v>
      </c>
      <c r="K84" s="6" t="str">
        <f>"5002"</f>
        <v>5002</v>
      </c>
      <c r="L84" s="6" t="str">
        <f t="shared" si="22"/>
        <v>Roupões Adulto</v>
      </c>
      <c r="M84" s="6" t="str">
        <f>"S"</f>
        <v>S</v>
      </c>
      <c r="N84" s="6" t="str">
        <f>"5605247938717"</f>
        <v>5605247938717</v>
      </c>
      <c r="O84" s="8">
        <v>72</v>
      </c>
      <c r="P84" s="7">
        <v>46072</v>
      </c>
      <c r="R84" s="8">
        <v>806</v>
      </c>
      <c r="S84" s="7">
        <v>46077</v>
      </c>
      <c r="U84" s="8">
        <v>0</v>
      </c>
      <c r="V84" s="7">
        <v>46080</v>
      </c>
      <c r="X84" s="8">
        <v>0</v>
      </c>
      <c r="Z84" s="8">
        <v>0</v>
      </c>
      <c r="AA84" s="7">
        <v>46092</v>
      </c>
      <c r="AC84" s="8">
        <v>0</v>
      </c>
      <c r="AE84" s="7">
        <v>46094</v>
      </c>
      <c r="AF84" s="8">
        <v>0</v>
      </c>
      <c r="AH84" s="7">
        <v>46094</v>
      </c>
      <c r="AN84" s="8">
        <v>0</v>
      </c>
      <c r="AO84" s="8">
        <v>72</v>
      </c>
    </row>
    <row r="85" spans="1:41" x14ac:dyDescent="0.25">
      <c r="A85" s="6" t="str">
        <f>"520-2026000009"</f>
        <v>520-2026000009</v>
      </c>
      <c r="B85" s="6" t="str">
        <f t="shared" si="19"/>
        <v>KROMA -</v>
      </c>
      <c r="C85" s="7">
        <v>46028</v>
      </c>
      <c r="D85" s="7">
        <v>46094</v>
      </c>
      <c r="E85" s="8">
        <v>7</v>
      </c>
      <c r="F85" s="6" t="str">
        <f>"BADER 99130001832658"</f>
        <v>BADER 99130001832658</v>
      </c>
      <c r="G85" s="6" t="str">
        <f t="shared" si="20"/>
        <v>R300316635000000</v>
      </c>
      <c r="H85" s="6" t="str">
        <f t="shared" si="21"/>
        <v>R 3166 - PLR 3425 (m</v>
      </c>
      <c r="I85" s="6" t="str">
        <f>"203835"</f>
        <v>203835</v>
      </c>
      <c r="J85" s="6" t="str">
        <f>"TURQUESA 3835"</f>
        <v>TURQUESA 3835</v>
      </c>
      <c r="K85" s="6" t="str">
        <f>"5004"</f>
        <v>5004</v>
      </c>
      <c r="L85" s="6" t="str">
        <f t="shared" si="22"/>
        <v>Roupões Adulto</v>
      </c>
      <c r="M85" s="6" t="str">
        <f>"M"</f>
        <v>M</v>
      </c>
      <c r="N85" s="6" t="str">
        <f>"5605247938724"</f>
        <v>5605247938724</v>
      </c>
      <c r="O85" s="8">
        <v>168</v>
      </c>
      <c r="P85" s="7">
        <v>46072</v>
      </c>
      <c r="R85" s="8">
        <v>0</v>
      </c>
      <c r="S85" s="7">
        <v>46077</v>
      </c>
      <c r="U85" s="8">
        <v>0</v>
      </c>
      <c r="V85" s="7">
        <v>46080</v>
      </c>
      <c r="X85" s="8">
        <v>0</v>
      </c>
      <c r="Z85" s="8">
        <v>0</v>
      </c>
      <c r="AA85" s="7">
        <v>46092</v>
      </c>
      <c r="AC85" s="8">
        <v>0</v>
      </c>
      <c r="AE85" s="7">
        <v>46094</v>
      </c>
      <c r="AF85" s="8">
        <v>0</v>
      </c>
      <c r="AH85" s="7">
        <v>46094</v>
      </c>
      <c r="AN85" s="8">
        <v>0</v>
      </c>
      <c r="AO85" s="8">
        <v>168</v>
      </c>
    </row>
    <row r="86" spans="1:41" x14ac:dyDescent="0.25">
      <c r="A86" s="6" t="str">
        <f>"520-2026000009"</f>
        <v>520-2026000009</v>
      </c>
      <c r="B86" s="6" t="str">
        <f t="shared" si="19"/>
        <v>KROMA -</v>
      </c>
      <c r="C86" s="7">
        <v>46028</v>
      </c>
      <c r="D86" s="7">
        <v>46094</v>
      </c>
      <c r="E86" s="8">
        <v>8</v>
      </c>
      <c r="F86" s="6" t="str">
        <f>"BADER 99130001832658"</f>
        <v>BADER 99130001832658</v>
      </c>
      <c r="G86" s="6" t="str">
        <f t="shared" si="20"/>
        <v>R300316635000000</v>
      </c>
      <c r="H86" s="6" t="str">
        <f t="shared" si="21"/>
        <v>R 3166 - PLR 3425 (m</v>
      </c>
      <c r="I86" s="6" t="str">
        <f>"203835"</f>
        <v>203835</v>
      </c>
      <c r="J86" s="6" t="str">
        <f>"TURQUESA 3835"</f>
        <v>TURQUESA 3835</v>
      </c>
      <c r="K86" s="6" t="str">
        <f>"5006"</f>
        <v>5006</v>
      </c>
      <c r="L86" s="6" t="str">
        <f t="shared" si="22"/>
        <v>Roupões Adulto</v>
      </c>
      <c r="M86" s="6" t="str">
        <f>"L"</f>
        <v>L</v>
      </c>
      <c r="N86" s="6" t="str">
        <f>"5605247938731"</f>
        <v>5605247938731</v>
      </c>
      <c r="O86" s="8">
        <v>129</v>
      </c>
      <c r="P86" s="7">
        <v>46072</v>
      </c>
      <c r="R86" s="8">
        <v>0</v>
      </c>
      <c r="S86" s="7">
        <v>46077</v>
      </c>
      <c r="U86" s="8">
        <v>0</v>
      </c>
      <c r="V86" s="7">
        <v>46080</v>
      </c>
      <c r="X86" s="8">
        <v>0</v>
      </c>
      <c r="Z86" s="8">
        <v>0</v>
      </c>
      <c r="AA86" s="7">
        <v>46092</v>
      </c>
      <c r="AC86" s="8">
        <v>0</v>
      </c>
      <c r="AE86" s="7">
        <v>46094</v>
      </c>
      <c r="AF86" s="8">
        <v>0</v>
      </c>
      <c r="AH86" s="7">
        <v>46094</v>
      </c>
      <c r="AN86" s="8">
        <v>0</v>
      </c>
      <c r="AO86" s="8">
        <v>129</v>
      </c>
    </row>
    <row r="87" spans="1:41" x14ac:dyDescent="0.25">
      <c r="A87" s="6" t="str">
        <f>"520-2026000009"</f>
        <v>520-2026000009</v>
      </c>
      <c r="B87" s="6" t="str">
        <f t="shared" si="19"/>
        <v>KROMA -</v>
      </c>
      <c r="C87" s="7">
        <v>46028</v>
      </c>
      <c r="D87" s="7">
        <v>46094</v>
      </c>
      <c r="E87" s="8">
        <v>9</v>
      </c>
      <c r="F87" s="6" t="str">
        <f>"BADER 99130001832658"</f>
        <v>BADER 99130001832658</v>
      </c>
      <c r="G87" s="6" t="str">
        <f t="shared" si="20"/>
        <v>R300316635000000</v>
      </c>
      <c r="H87" s="6" t="str">
        <f t="shared" si="21"/>
        <v>R 3166 - PLR 3425 (m</v>
      </c>
      <c r="I87" s="6" t="str">
        <f>"203835"</f>
        <v>203835</v>
      </c>
      <c r="J87" s="6" t="str">
        <f>"TURQUESA 3835"</f>
        <v>TURQUESA 3835</v>
      </c>
      <c r="K87" s="6" t="str">
        <f>"5008"</f>
        <v>5008</v>
      </c>
      <c r="L87" s="6" t="str">
        <f t="shared" si="22"/>
        <v>Roupões Adulto</v>
      </c>
      <c r="M87" s="6" t="str">
        <f>"XL"</f>
        <v>XL</v>
      </c>
      <c r="N87" s="6" t="str">
        <f>"5605247938748"</f>
        <v>5605247938748</v>
      </c>
      <c r="O87" s="8">
        <v>84</v>
      </c>
      <c r="P87" s="7">
        <v>46072</v>
      </c>
      <c r="R87" s="8">
        <v>0</v>
      </c>
      <c r="S87" s="7">
        <v>46077</v>
      </c>
      <c r="U87" s="8">
        <v>0</v>
      </c>
      <c r="V87" s="7">
        <v>46080</v>
      </c>
      <c r="X87" s="8">
        <v>0</v>
      </c>
      <c r="Z87" s="8">
        <v>0</v>
      </c>
      <c r="AA87" s="7">
        <v>46092</v>
      </c>
      <c r="AC87" s="8">
        <v>0</v>
      </c>
      <c r="AE87" s="7">
        <v>46094</v>
      </c>
      <c r="AF87" s="8">
        <v>0</v>
      </c>
      <c r="AH87" s="7">
        <v>46094</v>
      </c>
      <c r="AN87" s="8">
        <v>0</v>
      </c>
      <c r="AO87" s="8">
        <v>84</v>
      </c>
    </row>
    <row r="88" spans="1:41" x14ac:dyDescent="0.25">
      <c r="A88" s="6" t="str">
        <f>"520-2026000009"</f>
        <v>520-2026000009</v>
      </c>
      <c r="B88" s="6" t="str">
        <f t="shared" si="19"/>
        <v>KROMA -</v>
      </c>
      <c r="C88" s="7">
        <v>46028</v>
      </c>
      <c r="D88" s="7">
        <v>46094</v>
      </c>
      <c r="E88" s="8">
        <v>10</v>
      </c>
      <c r="F88" s="6" t="str">
        <f>"BADER 99130001832658"</f>
        <v>BADER 99130001832658</v>
      </c>
      <c r="G88" s="6" t="str">
        <f t="shared" si="20"/>
        <v>R300316635000000</v>
      </c>
      <c r="H88" s="6" t="str">
        <f t="shared" si="21"/>
        <v>R 3166 - PLR 3425 (m</v>
      </c>
      <c r="I88" s="6" t="str">
        <f>"203835"</f>
        <v>203835</v>
      </c>
      <c r="J88" s="6" t="str">
        <f>"TURQUESA 3835"</f>
        <v>TURQUESA 3835</v>
      </c>
      <c r="K88" s="6" t="str">
        <f>"5010"</f>
        <v>5010</v>
      </c>
      <c r="L88" s="6" t="str">
        <f t="shared" si="22"/>
        <v>Roupões Adulto</v>
      </c>
      <c r="M88" s="6" t="str">
        <f>"XXL"</f>
        <v>XXL</v>
      </c>
      <c r="N88" s="6" t="str">
        <f>"5605247938755"</f>
        <v>5605247938755</v>
      </c>
      <c r="O88" s="8">
        <v>48</v>
      </c>
      <c r="P88" s="7">
        <v>46072</v>
      </c>
      <c r="R88" s="8">
        <v>0</v>
      </c>
      <c r="S88" s="7">
        <v>46077</v>
      </c>
      <c r="U88" s="8">
        <v>0</v>
      </c>
      <c r="V88" s="7">
        <v>46080</v>
      </c>
      <c r="X88" s="8">
        <v>0</v>
      </c>
      <c r="Z88" s="8">
        <v>0</v>
      </c>
      <c r="AA88" s="7">
        <v>46092</v>
      </c>
      <c r="AC88" s="8">
        <v>0</v>
      </c>
      <c r="AE88" s="7">
        <v>46094</v>
      </c>
      <c r="AF88" s="8">
        <v>0</v>
      </c>
      <c r="AH88" s="7">
        <v>46094</v>
      </c>
      <c r="AN88" s="8">
        <v>0</v>
      </c>
      <c r="AO88" s="8">
        <v>48</v>
      </c>
    </row>
    <row r="89" spans="1:41" x14ac:dyDescent="0.25">
      <c r="A89" s="6" t="str">
        <f>"520-2026000010"</f>
        <v>520-2026000010</v>
      </c>
      <c r="B89" s="6" t="str">
        <f t="shared" si="19"/>
        <v>KROMA -</v>
      </c>
      <c r="C89" s="7">
        <v>46028</v>
      </c>
      <c r="D89" s="7">
        <v>46101</v>
      </c>
      <c r="E89" s="8">
        <v>8</v>
      </c>
      <c r="F89" s="6" t="str">
        <f>"BADER 99130001832660"</f>
        <v>BADER 99130001832660</v>
      </c>
      <c r="G89" s="6" t="str">
        <f t="shared" si="20"/>
        <v>R300316635000000</v>
      </c>
      <c r="H89" s="6" t="str">
        <f t="shared" si="21"/>
        <v>R 3166 - PLR 3425 (m</v>
      </c>
      <c r="I89" s="6" t="str">
        <f>"200241"</f>
        <v>200241</v>
      </c>
      <c r="J89" s="6" t="str">
        <f>"CINZA 241"</f>
        <v>CINZA 241</v>
      </c>
      <c r="K89" s="6" t="str">
        <f>"5002"</f>
        <v>5002</v>
      </c>
      <c r="L89" s="6" t="str">
        <f t="shared" si="22"/>
        <v>Roupões Adulto</v>
      </c>
      <c r="M89" s="6" t="str">
        <f>"S"</f>
        <v>S</v>
      </c>
      <c r="N89" s="6" t="str">
        <f>"5605247932067"</f>
        <v>5605247932067</v>
      </c>
      <c r="O89" s="8">
        <v>75</v>
      </c>
      <c r="P89" s="7">
        <v>46072</v>
      </c>
      <c r="R89" s="8">
        <v>0</v>
      </c>
      <c r="S89" s="7">
        <v>46077</v>
      </c>
      <c r="U89" s="8">
        <v>0</v>
      </c>
      <c r="V89" s="7">
        <v>46080</v>
      </c>
      <c r="X89" s="8">
        <v>0</v>
      </c>
      <c r="Z89" s="8">
        <v>0</v>
      </c>
      <c r="AA89" s="7">
        <v>46092</v>
      </c>
      <c r="AC89" s="8">
        <v>0</v>
      </c>
      <c r="AE89" s="7">
        <v>46094</v>
      </c>
      <c r="AF89" s="8">
        <v>0</v>
      </c>
      <c r="AH89" s="7">
        <v>46101</v>
      </c>
      <c r="AN89" s="8">
        <v>0</v>
      </c>
      <c r="AO89" s="8">
        <v>75</v>
      </c>
    </row>
    <row r="90" spans="1:41" x14ac:dyDescent="0.25">
      <c r="A90" s="6" t="str">
        <f>"520-2026000010"</f>
        <v>520-2026000010</v>
      </c>
      <c r="B90" s="6" t="str">
        <f t="shared" si="19"/>
        <v>KROMA -</v>
      </c>
      <c r="C90" s="7">
        <v>46028</v>
      </c>
      <c r="D90" s="7">
        <v>46101</v>
      </c>
      <c r="E90" s="8">
        <v>9</v>
      </c>
      <c r="F90" s="6" t="str">
        <f>"BADER 99130001832660"</f>
        <v>BADER 99130001832660</v>
      </c>
      <c r="G90" s="6" t="str">
        <f t="shared" si="20"/>
        <v>R300316635000000</v>
      </c>
      <c r="H90" s="6" t="str">
        <f t="shared" si="21"/>
        <v>R 3166 - PLR 3425 (m</v>
      </c>
      <c r="I90" s="6" t="str">
        <f>"200241"</f>
        <v>200241</v>
      </c>
      <c r="J90" s="6" t="str">
        <f>"CINZA 241"</f>
        <v>CINZA 241</v>
      </c>
      <c r="K90" s="6" t="str">
        <f>"5004"</f>
        <v>5004</v>
      </c>
      <c r="L90" s="6" t="str">
        <f t="shared" si="22"/>
        <v>Roupões Adulto</v>
      </c>
      <c r="M90" s="6" t="str">
        <f>"M"</f>
        <v>M</v>
      </c>
      <c r="N90" s="6" t="str">
        <f>"5605247932074"</f>
        <v>5605247932074</v>
      </c>
      <c r="O90" s="8">
        <v>51</v>
      </c>
      <c r="P90" s="7">
        <v>46072</v>
      </c>
      <c r="R90" s="8">
        <v>0</v>
      </c>
      <c r="S90" s="7">
        <v>46077</v>
      </c>
      <c r="U90" s="8">
        <v>0</v>
      </c>
      <c r="V90" s="7">
        <v>46080</v>
      </c>
      <c r="X90" s="8">
        <v>0</v>
      </c>
      <c r="Z90" s="8">
        <v>0</v>
      </c>
      <c r="AA90" s="7">
        <v>46092</v>
      </c>
      <c r="AC90" s="8">
        <v>0</v>
      </c>
      <c r="AE90" s="7">
        <v>46094</v>
      </c>
      <c r="AF90" s="8">
        <v>0</v>
      </c>
      <c r="AH90" s="7">
        <v>46101</v>
      </c>
      <c r="AN90" s="8">
        <v>0</v>
      </c>
      <c r="AO90" s="8">
        <v>51</v>
      </c>
    </row>
    <row r="91" spans="1:41" x14ac:dyDescent="0.25">
      <c r="A91" s="6" t="str">
        <f>"520-2026000010"</f>
        <v>520-2026000010</v>
      </c>
      <c r="B91" s="6" t="str">
        <f t="shared" si="19"/>
        <v>KROMA -</v>
      </c>
      <c r="C91" s="7">
        <v>46028</v>
      </c>
      <c r="D91" s="7">
        <v>46101</v>
      </c>
      <c r="E91" s="8">
        <v>10</v>
      </c>
      <c r="F91" s="6" t="str">
        <f>"BADER 99130001832660"</f>
        <v>BADER 99130001832660</v>
      </c>
      <c r="G91" s="6" t="str">
        <f t="shared" si="20"/>
        <v>R300316635000000</v>
      </c>
      <c r="H91" s="6" t="str">
        <f t="shared" si="21"/>
        <v>R 3166 - PLR 3425 (m</v>
      </c>
      <c r="I91" s="6" t="str">
        <f>"200241"</f>
        <v>200241</v>
      </c>
      <c r="J91" s="6" t="str">
        <f>"CINZA 241"</f>
        <v>CINZA 241</v>
      </c>
      <c r="K91" s="6" t="str">
        <f>"5006"</f>
        <v>5006</v>
      </c>
      <c r="L91" s="6" t="str">
        <f t="shared" si="22"/>
        <v>Roupões Adulto</v>
      </c>
      <c r="M91" s="6" t="str">
        <f>"L"</f>
        <v>L</v>
      </c>
      <c r="N91" s="6" t="str">
        <f>"5605247932081"</f>
        <v>5605247932081</v>
      </c>
      <c r="O91" s="8">
        <v>99</v>
      </c>
      <c r="P91" s="7">
        <v>46072</v>
      </c>
      <c r="R91" s="8">
        <v>0</v>
      </c>
      <c r="S91" s="7">
        <v>46077</v>
      </c>
      <c r="U91" s="8">
        <v>0</v>
      </c>
      <c r="V91" s="7">
        <v>46080</v>
      </c>
      <c r="X91" s="8">
        <v>0</v>
      </c>
      <c r="Z91" s="8">
        <v>0</v>
      </c>
      <c r="AA91" s="7">
        <v>46092</v>
      </c>
      <c r="AC91" s="8">
        <v>0</v>
      </c>
      <c r="AE91" s="7">
        <v>46094</v>
      </c>
      <c r="AF91" s="8">
        <v>0</v>
      </c>
      <c r="AH91" s="7">
        <v>46101</v>
      </c>
      <c r="AN91" s="8">
        <v>0</v>
      </c>
      <c r="AO91" s="8">
        <v>99</v>
      </c>
    </row>
    <row r="92" spans="1:41" x14ac:dyDescent="0.25">
      <c r="A92" s="6" t="str">
        <f>"520-2026000010"</f>
        <v>520-2026000010</v>
      </c>
      <c r="B92" s="6" t="str">
        <f t="shared" si="19"/>
        <v>KROMA -</v>
      </c>
      <c r="C92" s="7">
        <v>46028</v>
      </c>
      <c r="D92" s="7">
        <v>46101</v>
      </c>
      <c r="E92" s="8">
        <v>11</v>
      </c>
      <c r="F92" s="6" t="str">
        <f>"BADER 99130001832660"</f>
        <v>BADER 99130001832660</v>
      </c>
      <c r="G92" s="6" t="str">
        <f t="shared" si="20"/>
        <v>R300316635000000</v>
      </c>
      <c r="H92" s="6" t="str">
        <f t="shared" si="21"/>
        <v>R 3166 - PLR 3425 (m</v>
      </c>
      <c r="I92" s="6" t="str">
        <f>"200241"</f>
        <v>200241</v>
      </c>
      <c r="J92" s="6" t="str">
        <f>"CINZA 241"</f>
        <v>CINZA 241</v>
      </c>
      <c r="K92" s="6" t="str">
        <f>"5008"</f>
        <v>5008</v>
      </c>
      <c r="L92" s="6" t="str">
        <f t="shared" si="22"/>
        <v>Roupões Adulto</v>
      </c>
      <c r="M92" s="6" t="str">
        <f>"XL"</f>
        <v>XL</v>
      </c>
      <c r="N92" s="6" t="str">
        <f>"5605247932098"</f>
        <v>5605247932098</v>
      </c>
      <c r="O92" s="8">
        <v>18</v>
      </c>
      <c r="P92" s="7">
        <v>46072</v>
      </c>
      <c r="R92" s="8">
        <v>0</v>
      </c>
      <c r="S92" s="7">
        <v>46077</v>
      </c>
      <c r="U92" s="8">
        <v>0</v>
      </c>
      <c r="V92" s="7">
        <v>46080</v>
      </c>
      <c r="X92" s="8">
        <v>0</v>
      </c>
      <c r="Z92" s="8">
        <v>0</v>
      </c>
      <c r="AA92" s="7">
        <v>46092</v>
      </c>
      <c r="AC92" s="8">
        <v>0</v>
      </c>
      <c r="AE92" s="7">
        <v>46094</v>
      </c>
      <c r="AF92" s="8">
        <v>0</v>
      </c>
      <c r="AH92" s="7">
        <v>46101</v>
      </c>
      <c r="AN92" s="8">
        <v>0</v>
      </c>
      <c r="AO92" s="8">
        <v>18</v>
      </c>
    </row>
    <row r="93" spans="1:41" x14ac:dyDescent="0.25">
      <c r="A93" s="6" t="str">
        <f>"520-2026000010"</f>
        <v>520-2026000010</v>
      </c>
      <c r="B93" s="6" t="str">
        <f t="shared" si="19"/>
        <v>KROMA -</v>
      </c>
      <c r="C93" s="7">
        <v>46028</v>
      </c>
      <c r="D93" s="7">
        <v>46101</v>
      </c>
      <c r="E93" s="8">
        <v>12</v>
      </c>
      <c r="F93" s="6" t="str">
        <f>"BADER 99130001832660"</f>
        <v>BADER 99130001832660</v>
      </c>
      <c r="G93" s="6" t="str">
        <f t="shared" si="20"/>
        <v>R300316635000000</v>
      </c>
      <c r="H93" s="6" t="str">
        <f t="shared" si="21"/>
        <v>R 3166 - PLR 3425 (m</v>
      </c>
      <c r="I93" s="6" t="str">
        <f>"200241"</f>
        <v>200241</v>
      </c>
      <c r="J93" s="6" t="str">
        <f>"CINZA 241"</f>
        <v>CINZA 241</v>
      </c>
      <c r="K93" s="6" t="str">
        <f>"5010"</f>
        <v>5010</v>
      </c>
      <c r="L93" s="6" t="str">
        <f t="shared" si="22"/>
        <v>Roupões Adulto</v>
      </c>
      <c r="M93" s="6" t="str">
        <f>"XXL"</f>
        <v>XXL</v>
      </c>
      <c r="N93" s="6" t="str">
        <f>"5605247932104"</f>
        <v>5605247932104</v>
      </c>
      <c r="O93" s="8">
        <v>9</v>
      </c>
      <c r="P93" s="7">
        <v>46072</v>
      </c>
      <c r="R93" s="8">
        <v>0</v>
      </c>
      <c r="S93" s="7">
        <v>46077</v>
      </c>
      <c r="U93" s="8">
        <v>0</v>
      </c>
      <c r="V93" s="7">
        <v>46080</v>
      </c>
      <c r="X93" s="8">
        <v>0</v>
      </c>
      <c r="Z93" s="8">
        <v>0</v>
      </c>
      <c r="AA93" s="7">
        <v>46092</v>
      </c>
      <c r="AC93" s="8">
        <v>0</v>
      </c>
      <c r="AE93" s="7">
        <v>46094</v>
      </c>
      <c r="AF93" s="8">
        <v>0</v>
      </c>
      <c r="AH93" s="7">
        <v>46101</v>
      </c>
      <c r="AN93" s="8">
        <v>0</v>
      </c>
      <c r="AO93" s="8">
        <v>9</v>
      </c>
    </row>
    <row r="94" spans="1:41" x14ac:dyDescent="0.25">
      <c r="A94" s="6" t="str">
        <f>"520-2026000011"</f>
        <v>520-2026000011</v>
      </c>
      <c r="B94" s="6" t="str">
        <f t="shared" si="19"/>
        <v>KROMA -</v>
      </c>
      <c r="C94" s="7">
        <v>46028</v>
      </c>
      <c r="D94" s="7">
        <v>46101</v>
      </c>
      <c r="E94" s="8">
        <v>9</v>
      </c>
      <c r="F94" s="6" t="str">
        <f>"BADER 99130001832661"</f>
        <v>BADER 99130001832661</v>
      </c>
      <c r="G94" s="6" t="str">
        <f t="shared" si="20"/>
        <v>R300316635000000</v>
      </c>
      <c r="H94" s="6" t="str">
        <f t="shared" si="21"/>
        <v>R 3166 - PLR 3425 (m</v>
      </c>
      <c r="I94" s="6" t="str">
        <f>"200186"</f>
        <v>200186</v>
      </c>
      <c r="J94" s="6" t="str">
        <f>"VERDE 186"</f>
        <v>VERDE 186</v>
      </c>
      <c r="K94" s="6" t="str">
        <f>"5002"</f>
        <v>5002</v>
      </c>
      <c r="L94" s="6" t="str">
        <f t="shared" si="22"/>
        <v>Roupões Adulto</v>
      </c>
      <c r="M94" s="6" t="str">
        <f>"S"</f>
        <v>S</v>
      </c>
      <c r="N94" s="6" t="str">
        <f>"5605247938632"</f>
        <v>5605247938632</v>
      </c>
      <c r="O94" s="8">
        <v>51</v>
      </c>
      <c r="P94" s="7">
        <v>46072</v>
      </c>
      <c r="R94" s="8">
        <v>479</v>
      </c>
      <c r="S94" s="7">
        <v>46077</v>
      </c>
      <c r="U94" s="8">
        <v>0</v>
      </c>
      <c r="V94" s="7">
        <v>46080</v>
      </c>
      <c r="X94" s="8">
        <v>0</v>
      </c>
      <c r="Z94" s="8">
        <v>0</v>
      </c>
      <c r="AA94" s="7">
        <v>46092</v>
      </c>
      <c r="AC94" s="8">
        <v>0</v>
      </c>
      <c r="AE94" s="7">
        <v>46094</v>
      </c>
      <c r="AF94" s="8">
        <v>0</v>
      </c>
      <c r="AH94" s="7">
        <v>46101</v>
      </c>
      <c r="AN94" s="8">
        <v>0</v>
      </c>
      <c r="AO94" s="8">
        <v>51</v>
      </c>
    </row>
    <row r="95" spans="1:41" x14ac:dyDescent="0.25">
      <c r="A95" s="6" t="str">
        <f>"520-2026000011"</f>
        <v>520-2026000011</v>
      </c>
      <c r="B95" s="6" t="str">
        <f t="shared" si="19"/>
        <v>KROMA -</v>
      </c>
      <c r="C95" s="7">
        <v>46028</v>
      </c>
      <c r="D95" s="7">
        <v>46101</v>
      </c>
      <c r="E95" s="8">
        <v>10</v>
      </c>
      <c r="F95" s="6" t="str">
        <f>"BADER 99130001832661"</f>
        <v>BADER 99130001832661</v>
      </c>
      <c r="G95" s="6" t="str">
        <f t="shared" si="20"/>
        <v>R300316635000000</v>
      </c>
      <c r="H95" s="6" t="str">
        <f t="shared" si="21"/>
        <v>R 3166 - PLR 3425 (m</v>
      </c>
      <c r="I95" s="6" t="str">
        <f>"200186"</f>
        <v>200186</v>
      </c>
      <c r="J95" s="6" t="str">
        <f>"VERDE 186"</f>
        <v>VERDE 186</v>
      </c>
      <c r="K95" s="6" t="str">
        <f>"5004"</f>
        <v>5004</v>
      </c>
      <c r="L95" s="6" t="str">
        <f t="shared" si="22"/>
        <v>Roupões Adulto</v>
      </c>
      <c r="M95" s="6" t="str">
        <f>"M"</f>
        <v>M</v>
      </c>
      <c r="N95" s="6" t="str">
        <f>"5605247938649"</f>
        <v>5605247938649</v>
      </c>
      <c r="O95" s="8">
        <v>90</v>
      </c>
      <c r="P95" s="7">
        <v>46072</v>
      </c>
      <c r="R95" s="8">
        <v>0</v>
      </c>
      <c r="S95" s="7">
        <v>46077</v>
      </c>
      <c r="U95" s="8">
        <v>0</v>
      </c>
      <c r="V95" s="7">
        <v>46080</v>
      </c>
      <c r="X95" s="8">
        <v>0</v>
      </c>
      <c r="Z95" s="8">
        <v>0</v>
      </c>
      <c r="AA95" s="7">
        <v>46092</v>
      </c>
      <c r="AC95" s="8">
        <v>0</v>
      </c>
      <c r="AE95" s="7">
        <v>46094</v>
      </c>
      <c r="AF95" s="8">
        <v>0</v>
      </c>
      <c r="AH95" s="7">
        <v>46101</v>
      </c>
      <c r="AN95" s="8">
        <v>0</v>
      </c>
      <c r="AO95" s="8">
        <v>90</v>
      </c>
    </row>
    <row r="96" spans="1:41" x14ac:dyDescent="0.25">
      <c r="A96" s="6" t="str">
        <f>"520-2026000011"</f>
        <v>520-2026000011</v>
      </c>
      <c r="B96" s="6" t="str">
        <f t="shared" si="19"/>
        <v>KROMA -</v>
      </c>
      <c r="C96" s="7">
        <v>46028</v>
      </c>
      <c r="D96" s="7">
        <v>46101</v>
      </c>
      <c r="E96" s="8">
        <v>11</v>
      </c>
      <c r="F96" s="6" t="str">
        <f>"BADER 99130001832661"</f>
        <v>BADER 99130001832661</v>
      </c>
      <c r="G96" s="6" t="str">
        <f t="shared" si="20"/>
        <v>R300316635000000</v>
      </c>
      <c r="H96" s="6" t="str">
        <f t="shared" si="21"/>
        <v>R 3166 - PLR 3425 (m</v>
      </c>
      <c r="I96" s="6" t="str">
        <f>"200186"</f>
        <v>200186</v>
      </c>
      <c r="J96" s="6" t="str">
        <f>"VERDE 186"</f>
        <v>VERDE 186</v>
      </c>
      <c r="K96" s="6" t="str">
        <f>"5006"</f>
        <v>5006</v>
      </c>
      <c r="L96" s="6" t="str">
        <f t="shared" si="22"/>
        <v>Roupões Adulto</v>
      </c>
      <c r="M96" s="6" t="str">
        <f>"L"</f>
        <v>L</v>
      </c>
      <c r="N96" s="6" t="str">
        <f>"5605247938656"</f>
        <v>5605247938656</v>
      </c>
      <c r="O96" s="8">
        <v>60</v>
      </c>
      <c r="P96" s="7">
        <v>46072</v>
      </c>
      <c r="R96" s="8">
        <v>0</v>
      </c>
      <c r="S96" s="7">
        <v>46077</v>
      </c>
      <c r="U96" s="8">
        <v>0</v>
      </c>
      <c r="V96" s="7">
        <v>46080</v>
      </c>
      <c r="X96" s="8">
        <v>0</v>
      </c>
      <c r="Z96" s="8">
        <v>0</v>
      </c>
      <c r="AA96" s="7">
        <v>46092</v>
      </c>
      <c r="AC96" s="8">
        <v>0</v>
      </c>
      <c r="AE96" s="7">
        <v>46094</v>
      </c>
      <c r="AF96" s="8">
        <v>0</v>
      </c>
      <c r="AH96" s="7">
        <v>46101</v>
      </c>
      <c r="AN96" s="8">
        <v>0</v>
      </c>
      <c r="AO96" s="8">
        <v>60</v>
      </c>
    </row>
    <row r="97" spans="1:41" x14ac:dyDescent="0.25">
      <c r="A97" s="6" t="str">
        <f>"520-2026000011"</f>
        <v>520-2026000011</v>
      </c>
      <c r="B97" s="6" t="str">
        <f t="shared" si="19"/>
        <v>KROMA -</v>
      </c>
      <c r="C97" s="7">
        <v>46028</v>
      </c>
      <c r="D97" s="7">
        <v>46101</v>
      </c>
      <c r="E97" s="8">
        <v>12</v>
      </c>
      <c r="F97" s="6" t="str">
        <f>"BADER 99130001832661"</f>
        <v>BADER 99130001832661</v>
      </c>
      <c r="G97" s="6" t="str">
        <f t="shared" si="20"/>
        <v>R300316635000000</v>
      </c>
      <c r="H97" s="6" t="str">
        <f t="shared" si="21"/>
        <v>R 3166 - PLR 3425 (m</v>
      </c>
      <c r="I97" s="6" t="str">
        <f>"200186"</f>
        <v>200186</v>
      </c>
      <c r="J97" s="6" t="str">
        <f>"VERDE 186"</f>
        <v>VERDE 186</v>
      </c>
      <c r="K97" s="6" t="str">
        <f>"5008"</f>
        <v>5008</v>
      </c>
      <c r="L97" s="6" t="str">
        <f t="shared" si="22"/>
        <v>Roupões Adulto</v>
      </c>
      <c r="M97" s="6" t="str">
        <f>"XL"</f>
        <v>XL</v>
      </c>
      <c r="N97" s="6" t="str">
        <f>"5605247938663"</f>
        <v>5605247938663</v>
      </c>
      <c r="O97" s="8">
        <v>42</v>
      </c>
      <c r="P97" s="7">
        <v>46072</v>
      </c>
      <c r="R97" s="8">
        <v>0</v>
      </c>
      <c r="S97" s="7">
        <v>46077</v>
      </c>
      <c r="U97" s="8">
        <v>0</v>
      </c>
      <c r="V97" s="7">
        <v>46080</v>
      </c>
      <c r="X97" s="8">
        <v>0</v>
      </c>
      <c r="Z97" s="8">
        <v>0</v>
      </c>
      <c r="AA97" s="7">
        <v>46092</v>
      </c>
      <c r="AC97" s="8">
        <v>0</v>
      </c>
      <c r="AE97" s="7">
        <v>46094</v>
      </c>
      <c r="AF97" s="8">
        <v>0</v>
      </c>
      <c r="AH97" s="7">
        <v>46101</v>
      </c>
      <c r="AN97" s="8">
        <v>0</v>
      </c>
      <c r="AO97" s="8">
        <v>42</v>
      </c>
    </row>
    <row r="98" spans="1:41" x14ac:dyDescent="0.25">
      <c r="A98" s="6" t="str">
        <f>"520-2026000011"</f>
        <v>520-2026000011</v>
      </c>
      <c r="B98" s="6" t="str">
        <f t="shared" si="19"/>
        <v>KROMA -</v>
      </c>
      <c r="C98" s="7">
        <v>46028</v>
      </c>
      <c r="D98" s="7">
        <v>46101</v>
      </c>
      <c r="E98" s="8">
        <v>13</v>
      </c>
      <c r="F98" s="6" t="str">
        <f>"BADER 99130001832661"</f>
        <v>BADER 99130001832661</v>
      </c>
      <c r="G98" s="6" t="str">
        <f t="shared" si="20"/>
        <v>R300316635000000</v>
      </c>
      <c r="H98" s="6" t="str">
        <f t="shared" si="21"/>
        <v>R 3166 - PLR 3425 (m</v>
      </c>
      <c r="I98" s="6" t="str">
        <f>"200186"</f>
        <v>200186</v>
      </c>
      <c r="J98" s="6" t="str">
        <f>"VERDE 186"</f>
        <v>VERDE 186</v>
      </c>
      <c r="K98" s="6" t="str">
        <f>"5010"</f>
        <v>5010</v>
      </c>
      <c r="L98" s="6" t="str">
        <f t="shared" si="22"/>
        <v>Roupões Adulto</v>
      </c>
      <c r="M98" s="6" t="str">
        <f>"XXL"</f>
        <v>XXL</v>
      </c>
      <c r="N98" s="6" t="str">
        <f>"5605247938670"</f>
        <v>5605247938670</v>
      </c>
      <c r="O98" s="8">
        <v>9</v>
      </c>
      <c r="P98" s="7">
        <v>46072</v>
      </c>
      <c r="R98" s="8">
        <v>0</v>
      </c>
      <c r="S98" s="7">
        <v>46077</v>
      </c>
      <c r="U98" s="8">
        <v>0</v>
      </c>
      <c r="V98" s="7">
        <v>46080</v>
      </c>
      <c r="X98" s="8">
        <v>0</v>
      </c>
      <c r="Z98" s="8">
        <v>0</v>
      </c>
      <c r="AA98" s="7">
        <v>46092</v>
      </c>
      <c r="AC98" s="8">
        <v>0</v>
      </c>
      <c r="AE98" s="7">
        <v>46094</v>
      </c>
      <c r="AF98" s="8">
        <v>0</v>
      </c>
      <c r="AH98" s="7">
        <v>46101</v>
      </c>
      <c r="AN98" s="8">
        <v>0</v>
      </c>
      <c r="AO98" s="8">
        <v>9</v>
      </c>
    </row>
    <row r="99" spans="1:41" x14ac:dyDescent="0.25">
      <c r="A99" s="6" t="str">
        <f>"520-2026000012"</f>
        <v>520-2026000012</v>
      </c>
      <c r="B99" s="6" t="str">
        <f>"MERCAN P"</f>
        <v>MERCAN P</v>
      </c>
      <c r="C99" s="7">
        <v>46029</v>
      </c>
      <c r="D99" s="7">
        <v>46029</v>
      </c>
      <c r="E99" s="8">
        <v>1</v>
      </c>
      <c r="F99" s="6" t="str">
        <f>"GUARDANAPOS"</f>
        <v>GUARDANAPOS</v>
      </c>
      <c r="G99" s="6" t="str">
        <f>"C090000025000011"</f>
        <v>C090000025000011</v>
      </c>
      <c r="H99" s="6" t="str">
        <f>"TMJ Liso Cotton/Poly"</f>
        <v>TMJ Liso Cotton/Poly</v>
      </c>
      <c r="I99" s="6" t="str">
        <f>"600001"</f>
        <v>600001</v>
      </c>
      <c r="J99" s="6" t="str">
        <f>"Branco"</f>
        <v>Branco</v>
      </c>
      <c r="K99" s="6" t="str">
        <f>"7200"</f>
        <v>7200</v>
      </c>
      <c r="L99" s="6" t="str">
        <f>"Mesa"</f>
        <v>Mesa</v>
      </c>
      <c r="M99" s="6" t="str">
        <f>"Único"</f>
        <v>Único</v>
      </c>
      <c r="N99" s="6" t="str">
        <f>" "</f>
        <v xml:space="preserve"> </v>
      </c>
      <c r="O99" s="8">
        <v>150</v>
      </c>
      <c r="R99" s="8">
        <v>0</v>
      </c>
      <c r="U99" s="8">
        <v>0</v>
      </c>
      <c r="X99" s="8">
        <v>0</v>
      </c>
      <c r="Z99" s="8">
        <v>0</v>
      </c>
      <c r="AC99" s="8">
        <v>156</v>
      </c>
      <c r="AF99" s="8">
        <v>156</v>
      </c>
      <c r="AN99" s="8">
        <v>156</v>
      </c>
      <c r="AO99" s="8">
        <v>-6</v>
      </c>
    </row>
    <row r="100" spans="1:41" x14ac:dyDescent="0.25">
      <c r="A100" s="6" t="str">
        <f>"520-2026000012"</f>
        <v>520-2026000012</v>
      </c>
      <c r="B100" s="6" t="str">
        <f>"MERCAN P"</f>
        <v>MERCAN P</v>
      </c>
      <c r="C100" s="7">
        <v>46029</v>
      </c>
      <c r="D100" s="7">
        <v>46029</v>
      </c>
      <c r="E100" s="8">
        <v>2</v>
      </c>
      <c r="F100" s="6" t="str">
        <f>"GUARDANAPOS"</f>
        <v>GUARDANAPOS</v>
      </c>
      <c r="G100" s="6" t="str">
        <f>"C090000025000047"</f>
        <v>C090000025000047</v>
      </c>
      <c r="H100" s="6" t="str">
        <f>"TMJ Liso Cotton/Poly"</f>
        <v>TMJ Liso Cotton/Poly</v>
      </c>
      <c r="I100" s="6" t="str">
        <f>"600001"</f>
        <v>600001</v>
      </c>
      <c r="J100" s="6" t="str">
        <f>"Branco"</f>
        <v>Branco</v>
      </c>
      <c r="K100" s="6" t="str">
        <f>"7200"</f>
        <v>7200</v>
      </c>
      <c r="L100" s="6" t="str">
        <f>"Mesa"</f>
        <v>Mesa</v>
      </c>
      <c r="M100" s="6" t="str">
        <f>"Único"</f>
        <v>Único</v>
      </c>
      <c r="N100" s="6" t="str">
        <f>" "</f>
        <v xml:space="preserve"> </v>
      </c>
      <c r="O100" s="8">
        <v>100</v>
      </c>
      <c r="R100" s="8">
        <v>0</v>
      </c>
      <c r="U100" s="8">
        <v>0</v>
      </c>
      <c r="X100" s="8">
        <v>0</v>
      </c>
      <c r="Z100" s="8">
        <v>0</v>
      </c>
      <c r="AC100" s="8">
        <v>102</v>
      </c>
      <c r="AF100" s="8">
        <v>102</v>
      </c>
      <c r="AN100" s="8">
        <v>102</v>
      </c>
      <c r="AO100" s="8">
        <v>-2</v>
      </c>
    </row>
    <row r="101" spans="1:41" x14ac:dyDescent="0.25">
      <c r="A101" s="6" t="str">
        <f t="shared" ref="A101:A108" si="23">"520-2026000013"</f>
        <v>520-2026000013</v>
      </c>
      <c r="B101" s="6" t="str">
        <f t="shared" ref="B101:B135" si="24">"AUCHAN R"</f>
        <v>AUCHAN R</v>
      </c>
      <c r="C101" s="7">
        <v>46029</v>
      </c>
      <c r="D101" s="7">
        <v>46029</v>
      </c>
      <c r="E101" s="8">
        <v>1</v>
      </c>
      <c r="F101" s="6" t="str">
        <f t="shared" ref="F101:F108" si="25">"1063271184"</f>
        <v>1063271184</v>
      </c>
      <c r="G101" s="6" t="str">
        <f>"F100021455000000"</f>
        <v>F100021455000000</v>
      </c>
      <c r="H101" s="6" t="str">
        <f>"FA 214 - PURE - 550"</f>
        <v>FA 214 - PURE - 550</v>
      </c>
      <c r="I101" s="6" t="str">
        <f>"1"</f>
        <v>1</v>
      </c>
      <c r="J101" s="6" t="str">
        <f>"BRANCO"</f>
        <v>BRANCO</v>
      </c>
      <c r="K101" s="6" t="str">
        <f>"0112"</f>
        <v>0112</v>
      </c>
      <c r="L101" s="6" t="str">
        <f>"Luvas"</f>
        <v>Luvas</v>
      </c>
      <c r="M101" s="6" t="str">
        <f>"16x21"</f>
        <v>16x21</v>
      </c>
      <c r="N101" s="6" t="str">
        <f>"5602972836233"</f>
        <v>5602972836233</v>
      </c>
      <c r="O101" s="8">
        <v>12</v>
      </c>
      <c r="P101" s="7">
        <v>46029</v>
      </c>
      <c r="R101" s="8">
        <v>0</v>
      </c>
      <c r="U101" s="8">
        <v>0</v>
      </c>
      <c r="X101" s="8">
        <v>0</v>
      </c>
      <c r="Z101" s="8">
        <v>0</v>
      </c>
      <c r="AC101" s="8">
        <v>0</v>
      </c>
      <c r="AE101" s="7">
        <v>46036</v>
      </c>
      <c r="AF101" s="8">
        <v>0</v>
      </c>
      <c r="AH101" s="7">
        <v>46029</v>
      </c>
      <c r="AN101" s="8">
        <v>0</v>
      </c>
      <c r="AO101" s="8">
        <v>12</v>
      </c>
    </row>
    <row r="102" spans="1:41" x14ac:dyDescent="0.25">
      <c r="A102" s="6" t="str">
        <f t="shared" si="23"/>
        <v>520-2026000013</v>
      </c>
      <c r="B102" s="6" t="str">
        <f t="shared" si="24"/>
        <v>AUCHAN R</v>
      </c>
      <c r="C102" s="7">
        <v>46029</v>
      </c>
      <c r="D102" s="7">
        <v>46029</v>
      </c>
      <c r="E102" s="8">
        <v>2</v>
      </c>
      <c r="F102" s="6" t="str">
        <f t="shared" si="25"/>
        <v>1063271184</v>
      </c>
      <c r="G102" s="6" t="str">
        <f>"F310631555000000"</f>
        <v>F310631555000000</v>
      </c>
      <c r="H102" s="6" t="str">
        <f>"PLAR 6315 - 550 g/m²"</f>
        <v>PLAR 6315 - 550 g/m²</v>
      </c>
      <c r="I102" s="6" t="str">
        <f>"204037"</f>
        <v>204037</v>
      </c>
      <c r="J102" s="6" t="str">
        <f>"AZUL 4037"</f>
        <v>AZUL 4037</v>
      </c>
      <c r="K102" s="6" t="str">
        <f>"2020"</f>
        <v>2020</v>
      </c>
      <c r="L102" s="6" t="str">
        <f>"Lençóis"</f>
        <v>Lençóis</v>
      </c>
      <c r="M102" s="6" t="str">
        <f>"100x150"</f>
        <v>100x150</v>
      </c>
      <c r="N102" s="6" t="str">
        <f>"5602972280852"</f>
        <v>5602972280852</v>
      </c>
      <c r="O102" s="8">
        <v>6</v>
      </c>
      <c r="P102" s="7">
        <v>46029</v>
      </c>
      <c r="R102" s="8">
        <v>0</v>
      </c>
      <c r="U102" s="8">
        <v>0</v>
      </c>
      <c r="X102" s="8">
        <v>0</v>
      </c>
      <c r="Z102" s="8">
        <v>0</v>
      </c>
      <c r="AC102" s="8">
        <v>6</v>
      </c>
      <c r="AE102" s="7">
        <v>46036</v>
      </c>
      <c r="AF102" s="8">
        <v>6</v>
      </c>
      <c r="AH102" s="7">
        <v>46029</v>
      </c>
      <c r="AN102" s="8">
        <v>6</v>
      </c>
      <c r="AO102" s="8">
        <v>0</v>
      </c>
    </row>
    <row r="103" spans="1:41" x14ac:dyDescent="0.25">
      <c r="A103" s="6" t="str">
        <f t="shared" si="23"/>
        <v>520-2026000013</v>
      </c>
      <c r="B103" s="6" t="str">
        <f t="shared" si="24"/>
        <v>AUCHAN R</v>
      </c>
      <c r="C103" s="7">
        <v>46029</v>
      </c>
      <c r="D103" s="7">
        <v>46029</v>
      </c>
      <c r="E103" s="8">
        <v>3</v>
      </c>
      <c r="F103" s="6" t="str">
        <f t="shared" si="25"/>
        <v>1063271184</v>
      </c>
      <c r="G103" s="6" t="str">
        <f>"F300374155000000"</f>
        <v>F300374155000000</v>
      </c>
      <c r="H103" s="6" t="str">
        <f>"PLR 3741 - 550 g/m²"</f>
        <v>PLR 3741 - 550 g/m²</v>
      </c>
      <c r="I103" s="6" t="str">
        <f>"203634"</f>
        <v>203634</v>
      </c>
      <c r="J103" s="6" t="str">
        <f>"ROSA 3634"</f>
        <v>ROSA 3634</v>
      </c>
      <c r="K103" s="6" t="str">
        <f>"2020"</f>
        <v>2020</v>
      </c>
      <c r="L103" s="6" t="str">
        <f>"Lençóis"</f>
        <v>Lençóis</v>
      </c>
      <c r="M103" s="6" t="str">
        <f>"100x150"</f>
        <v>100x150</v>
      </c>
      <c r="N103" s="6" t="str">
        <f>"5602972280883"</f>
        <v>5602972280883</v>
      </c>
      <c r="O103" s="8">
        <v>6</v>
      </c>
      <c r="P103" s="7">
        <v>46029</v>
      </c>
      <c r="R103" s="8">
        <v>0</v>
      </c>
      <c r="U103" s="8">
        <v>0</v>
      </c>
      <c r="X103" s="8">
        <v>0</v>
      </c>
      <c r="Z103" s="8">
        <v>0</v>
      </c>
      <c r="AC103" s="8">
        <v>3</v>
      </c>
      <c r="AE103" s="7">
        <v>46036</v>
      </c>
      <c r="AF103" s="8">
        <v>3</v>
      </c>
      <c r="AH103" s="7">
        <v>46029</v>
      </c>
      <c r="AN103" s="8">
        <v>3</v>
      </c>
      <c r="AO103" s="8">
        <v>3</v>
      </c>
    </row>
    <row r="104" spans="1:41" x14ac:dyDescent="0.25">
      <c r="A104" s="6" t="str">
        <f t="shared" si="23"/>
        <v>520-2026000013</v>
      </c>
      <c r="B104" s="6" t="str">
        <f t="shared" si="24"/>
        <v>AUCHAN R</v>
      </c>
      <c r="C104" s="7">
        <v>46029</v>
      </c>
      <c r="D104" s="7">
        <v>46029</v>
      </c>
      <c r="E104" s="8">
        <v>4</v>
      </c>
      <c r="F104" s="6" t="str">
        <f t="shared" si="25"/>
        <v>1063271184</v>
      </c>
      <c r="G104" s="6" t="str">
        <f>"F310620958000000"</f>
        <v>F310620958000000</v>
      </c>
      <c r="H104" s="6" t="str">
        <f>"PLAR 6209 C/ Franja"</f>
        <v>PLAR 6209 C/ Franja</v>
      </c>
      <c r="I104" s="6" t="str">
        <f>"203699"</f>
        <v>203699</v>
      </c>
      <c r="J104" s="6" t="str">
        <f>"BEGE 3699"</f>
        <v>BEGE 3699</v>
      </c>
      <c r="K104" s="6" t="str">
        <f>"2093"</f>
        <v>2093</v>
      </c>
      <c r="L104" s="6" t="str">
        <f>"Lençóis"</f>
        <v>Lençóis</v>
      </c>
      <c r="M104" s="6" t="str">
        <f>"100x150+8"</f>
        <v>100x150+8</v>
      </c>
      <c r="N104" s="6" t="str">
        <f>"5602972280944"</f>
        <v>5602972280944</v>
      </c>
      <c r="O104" s="8">
        <v>3</v>
      </c>
      <c r="P104" s="7">
        <v>46029</v>
      </c>
      <c r="R104" s="8">
        <v>0</v>
      </c>
      <c r="U104" s="8">
        <v>0</v>
      </c>
      <c r="X104" s="8">
        <v>0</v>
      </c>
      <c r="Z104" s="8">
        <v>0</v>
      </c>
      <c r="AC104" s="8">
        <v>3</v>
      </c>
      <c r="AE104" s="7">
        <v>46036</v>
      </c>
      <c r="AF104" s="8">
        <v>3</v>
      </c>
      <c r="AH104" s="7">
        <v>46029</v>
      </c>
      <c r="AN104" s="8">
        <v>3</v>
      </c>
      <c r="AO104" s="8">
        <v>0</v>
      </c>
    </row>
    <row r="105" spans="1:41" x14ac:dyDescent="0.25">
      <c r="A105" s="6" t="str">
        <f t="shared" si="23"/>
        <v>520-2026000013</v>
      </c>
      <c r="B105" s="6" t="str">
        <f t="shared" si="24"/>
        <v>AUCHAN R</v>
      </c>
      <c r="C105" s="7">
        <v>46029</v>
      </c>
      <c r="D105" s="7">
        <v>46029</v>
      </c>
      <c r="E105" s="8">
        <v>5</v>
      </c>
      <c r="F105" s="6" t="str">
        <f t="shared" si="25"/>
        <v>1063271184</v>
      </c>
      <c r="G105" s="6" t="str">
        <f>"F310620958000000"</f>
        <v>F310620958000000</v>
      </c>
      <c r="H105" s="6" t="str">
        <f>"PLAR 6209 C/ Franja"</f>
        <v>PLAR 6209 C/ Franja</v>
      </c>
      <c r="I105" s="6" t="str">
        <f>"203699"</f>
        <v>203699</v>
      </c>
      <c r="J105" s="6" t="str">
        <f>"BEGE 3699"</f>
        <v>BEGE 3699</v>
      </c>
      <c r="K105" s="6" t="str">
        <f>"0585"</f>
        <v>0585</v>
      </c>
      <c r="L105" s="6" t="str">
        <f>"Toalhetes"</f>
        <v>Toalhetes</v>
      </c>
      <c r="M105" s="6" t="str">
        <f>"33x50+8"</f>
        <v>33x50+8</v>
      </c>
      <c r="N105" s="6" t="str">
        <f>"5602972280920"</f>
        <v>5602972280920</v>
      </c>
      <c r="O105" s="8">
        <v>12</v>
      </c>
      <c r="P105" s="7">
        <v>46029</v>
      </c>
      <c r="R105" s="8">
        <v>0</v>
      </c>
      <c r="U105" s="8">
        <v>0</v>
      </c>
      <c r="X105" s="8">
        <v>0</v>
      </c>
      <c r="Z105" s="8">
        <v>0</v>
      </c>
      <c r="AC105" s="8">
        <v>12</v>
      </c>
      <c r="AE105" s="7">
        <v>46036</v>
      </c>
      <c r="AF105" s="8">
        <v>12</v>
      </c>
      <c r="AH105" s="7">
        <v>46029</v>
      </c>
      <c r="AN105" s="8">
        <v>12</v>
      </c>
      <c r="AO105" s="8">
        <v>0</v>
      </c>
    </row>
    <row r="106" spans="1:41" x14ac:dyDescent="0.25">
      <c r="A106" s="6" t="str">
        <f t="shared" si="23"/>
        <v>520-2026000013</v>
      </c>
      <c r="B106" s="6" t="str">
        <f t="shared" si="24"/>
        <v>AUCHAN R</v>
      </c>
      <c r="C106" s="7">
        <v>46029</v>
      </c>
      <c r="D106" s="7">
        <v>46029</v>
      </c>
      <c r="E106" s="8">
        <v>6</v>
      </c>
      <c r="F106" s="6" t="str">
        <f t="shared" si="25"/>
        <v>1063271184</v>
      </c>
      <c r="G106" s="6" t="str">
        <f>"F310631555000000"</f>
        <v>F310631555000000</v>
      </c>
      <c r="H106" s="6" t="str">
        <f>"PLAR 6315 - 550 g/m²"</f>
        <v>PLAR 6315 - 550 g/m²</v>
      </c>
      <c r="I106" s="6" t="str">
        <f>"204037"</f>
        <v>204037</v>
      </c>
      <c r="J106" s="6" t="str">
        <f>"AZUL 4037"</f>
        <v>AZUL 4037</v>
      </c>
      <c r="K106" s="6" t="str">
        <f>"0530"</f>
        <v>0530</v>
      </c>
      <c r="L106" s="6" t="str">
        <f>"Toalhetes"</f>
        <v>Toalhetes</v>
      </c>
      <c r="M106" s="6" t="str">
        <f>"33x50"</f>
        <v>33x50</v>
      </c>
      <c r="N106" s="6" t="str">
        <f>"5602972280838"</f>
        <v>5602972280838</v>
      </c>
      <c r="O106" s="8">
        <v>12</v>
      </c>
      <c r="P106" s="7">
        <v>46029</v>
      </c>
      <c r="R106" s="8">
        <v>0</v>
      </c>
      <c r="U106" s="8">
        <v>0</v>
      </c>
      <c r="X106" s="8">
        <v>0</v>
      </c>
      <c r="Z106" s="8">
        <v>0</v>
      </c>
      <c r="AC106" s="8">
        <v>12</v>
      </c>
      <c r="AE106" s="7">
        <v>46036</v>
      </c>
      <c r="AF106" s="8">
        <v>12</v>
      </c>
      <c r="AH106" s="7">
        <v>46029</v>
      </c>
      <c r="AN106" s="8">
        <v>12</v>
      </c>
      <c r="AO106" s="8">
        <v>0</v>
      </c>
    </row>
    <row r="107" spans="1:41" x14ac:dyDescent="0.25">
      <c r="A107" s="6" t="str">
        <f t="shared" si="23"/>
        <v>520-2026000013</v>
      </c>
      <c r="B107" s="6" t="str">
        <f t="shared" si="24"/>
        <v>AUCHAN R</v>
      </c>
      <c r="C107" s="7">
        <v>46029</v>
      </c>
      <c r="D107" s="7">
        <v>46029</v>
      </c>
      <c r="E107" s="8">
        <v>7</v>
      </c>
      <c r="F107" s="6" t="str">
        <f t="shared" si="25"/>
        <v>1063271184</v>
      </c>
      <c r="G107" s="6" t="str">
        <f>"F300374155000000"</f>
        <v>F300374155000000</v>
      </c>
      <c r="H107" s="6" t="str">
        <f>"PLR 3741 - 550 g/m²"</f>
        <v>PLR 3741 - 550 g/m²</v>
      </c>
      <c r="I107" s="6" t="str">
        <f>"203634"</f>
        <v>203634</v>
      </c>
      <c r="J107" s="6" t="str">
        <f>"ROSA 3634"</f>
        <v>ROSA 3634</v>
      </c>
      <c r="K107" s="6" t="str">
        <f>"0530"</f>
        <v>0530</v>
      </c>
      <c r="L107" s="6" t="str">
        <f>"Toalhetes"</f>
        <v>Toalhetes</v>
      </c>
      <c r="M107" s="6" t="str">
        <f>"33x50"</f>
        <v>33x50</v>
      </c>
      <c r="N107" s="6" t="str">
        <f>"5602972280869"</f>
        <v>5602972280869</v>
      </c>
      <c r="O107" s="8">
        <v>12</v>
      </c>
      <c r="P107" s="7">
        <v>46029</v>
      </c>
      <c r="R107" s="8">
        <v>0</v>
      </c>
      <c r="U107" s="8">
        <v>0</v>
      </c>
      <c r="X107" s="8">
        <v>0</v>
      </c>
      <c r="Z107" s="8">
        <v>0</v>
      </c>
      <c r="AC107" s="8">
        <v>12</v>
      </c>
      <c r="AE107" s="7">
        <v>46036</v>
      </c>
      <c r="AF107" s="8">
        <v>12</v>
      </c>
      <c r="AH107" s="7">
        <v>46029</v>
      </c>
      <c r="AN107" s="8">
        <v>12</v>
      </c>
      <c r="AO107" s="8">
        <v>0</v>
      </c>
    </row>
    <row r="108" spans="1:41" x14ac:dyDescent="0.25">
      <c r="A108" s="6" t="str">
        <f t="shared" si="23"/>
        <v>520-2026000013</v>
      </c>
      <c r="B108" s="6" t="str">
        <f t="shared" si="24"/>
        <v>AUCHAN R</v>
      </c>
      <c r="C108" s="7">
        <v>46029</v>
      </c>
      <c r="D108" s="7">
        <v>46029</v>
      </c>
      <c r="E108" s="8">
        <v>8</v>
      </c>
      <c r="F108" s="6" t="str">
        <f t="shared" si="25"/>
        <v>1063271184</v>
      </c>
      <c r="G108" s="6" t="str">
        <f>"F310631555000000"</f>
        <v>F310631555000000</v>
      </c>
      <c r="H108" s="6" t="str">
        <f>"PLAR 6315 - 550 g/m²"</f>
        <v>PLAR 6315 - 550 g/m²</v>
      </c>
      <c r="I108" s="6" t="str">
        <f>"204037"</f>
        <v>204037</v>
      </c>
      <c r="J108" s="6" t="str">
        <f>"AZUL 4037"</f>
        <v>AZUL 4037</v>
      </c>
      <c r="K108" s="6" t="str">
        <f>"1024"</f>
        <v>1024</v>
      </c>
      <c r="L108" s="6" t="str">
        <f>"Toalhas"</f>
        <v>Toalhas</v>
      </c>
      <c r="M108" s="6" t="str">
        <f>"50x100"</f>
        <v>50x100</v>
      </c>
      <c r="N108" s="6" t="str">
        <f>"5602972280845"</f>
        <v>5602972280845</v>
      </c>
      <c r="O108" s="8">
        <v>6</v>
      </c>
      <c r="P108" s="7">
        <v>46029</v>
      </c>
      <c r="R108" s="8">
        <v>0</v>
      </c>
      <c r="U108" s="8">
        <v>0</v>
      </c>
      <c r="X108" s="8">
        <v>0</v>
      </c>
      <c r="Z108" s="8">
        <v>0</v>
      </c>
      <c r="AC108" s="8">
        <v>6</v>
      </c>
      <c r="AE108" s="7">
        <v>46036</v>
      </c>
      <c r="AF108" s="8">
        <v>6</v>
      </c>
      <c r="AH108" s="7">
        <v>46029</v>
      </c>
      <c r="AN108" s="8">
        <v>6</v>
      </c>
      <c r="AO108" s="8">
        <v>0</v>
      </c>
    </row>
    <row r="109" spans="1:41" x14ac:dyDescent="0.25">
      <c r="A109" s="6" t="str">
        <f t="shared" ref="A109:A126" si="26">"520-2026000014"</f>
        <v>520-2026000014</v>
      </c>
      <c r="B109" s="6" t="str">
        <f t="shared" si="24"/>
        <v>AUCHAN R</v>
      </c>
      <c r="C109" s="7">
        <v>46031</v>
      </c>
      <c r="D109" s="7">
        <v>46031</v>
      </c>
      <c r="E109" s="8">
        <v>1</v>
      </c>
      <c r="F109" s="6" t="str">
        <f t="shared" ref="F109:F126" si="27">"1073110464"</f>
        <v>1073110464</v>
      </c>
      <c r="G109" s="6" t="str">
        <f>"F100021455000000"</f>
        <v>F100021455000000</v>
      </c>
      <c r="H109" s="6" t="str">
        <f>"FA 214 - PURE - 550"</f>
        <v>FA 214 - PURE - 550</v>
      </c>
      <c r="I109" s="6" t="str">
        <f>"1"</f>
        <v>1</v>
      </c>
      <c r="J109" s="6" t="str">
        <f>"BRANCO"</f>
        <v>BRANCO</v>
      </c>
      <c r="K109" s="6" t="str">
        <f>"0112"</f>
        <v>0112</v>
      </c>
      <c r="L109" s="6" t="str">
        <f>"Luvas"</f>
        <v>Luvas</v>
      </c>
      <c r="M109" s="6" t="str">
        <f>"16x21"</f>
        <v>16x21</v>
      </c>
      <c r="N109" s="6" t="str">
        <f>"5602972836233"</f>
        <v>5602972836233</v>
      </c>
      <c r="O109" s="8">
        <v>36</v>
      </c>
      <c r="P109" s="7">
        <v>46031</v>
      </c>
      <c r="R109" s="8">
        <v>0</v>
      </c>
      <c r="U109" s="8">
        <v>0</v>
      </c>
      <c r="X109" s="8">
        <v>0</v>
      </c>
      <c r="Z109" s="8">
        <v>0</v>
      </c>
      <c r="AC109" s="8">
        <v>0</v>
      </c>
      <c r="AE109" s="7">
        <v>46038</v>
      </c>
      <c r="AF109" s="8">
        <v>0</v>
      </c>
      <c r="AH109" s="7">
        <v>46031</v>
      </c>
      <c r="AN109" s="8">
        <v>0</v>
      </c>
      <c r="AO109" s="8">
        <v>36</v>
      </c>
    </row>
    <row r="110" spans="1:41" x14ac:dyDescent="0.25">
      <c r="A110" s="6" t="str">
        <f t="shared" si="26"/>
        <v>520-2026000014</v>
      </c>
      <c r="B110" s="6" t="str">
        <f t="shared" si="24"/>
        <v>AUCHAN R</v>
      </c>
      <c r="C110" s="7">
        <v>46031</v>
      </c>
      <c r="D110" s="7">
        <v>46031</v>
      </c>
      <c r="E110" s="8">
        <v>2</v>
      </c>
      <c r="F110" s="6" t="str">
        <f t="shared" si="27"/>
        <v>1073110464</v>
      </c>
      <c r="G110" s="6" t="str">
        <f>"F310631555000000"</f>
        <v>F310631555000000</v>
      </c>
      <c r="H110" s="6" t="str">
        <f>"PLAR 6315 - 550 g/m²"</f>
        <v>PLAR 6315 - 550 g/m²</v>
      </c>
      <c r="I110" s="6" t="str">
        <f>"204037"</f>
        <v>204037</v>
      </c>
      <c r="J110" s="6" t="str">
        <f>"AZUL 4037"</f>
        <v>AZUL 4037</v>
      </c>
      <c r="K110" s="6" t="str">
        <f>"2020"</f>
        <v>2020</v>
      </c>
      <c r="L110" s="6" t="str">
        <f>"Lençóis"</f>
        <v>Lençóis</v>
      </c>
      <c r="M110" s="6" t="str">
        <f>"100x150"</f>
        <v>100x150</v>
      </c>
      <c r="N110" s="6" t="str">
        <f>"5602972280852"</f>
        <v>5602972280852</v>
      </c>
      <c r="O110" s="8">
        <v>6</v>
      </c>
      <c r="P110" s="7">
        <v>46031</v>
      </c>
      <c r="R110" s="8">
        <v>0</v>
      </c>
      <c r="U110" s="8">
        <v>0</v>
      </c>
      <c r="X110" s="8">
        <v>0</v>
      </c>
      <c r="Z110" s="8">
        <v>0</v>
      </c>
      <c r="AC110" s="8">
        <v>6</v>
      </c>
      <c r="AE110" s="7">
        <v>46038</v>
      </c>
      <c r="AF110" s="8">
        <v>6</v>
      </c>
      <c r="AH110" s="7">
        <v>46031</v>
      </c>
      <c r="AN110" s="8">
        <v>6</v>
      </c>
      <c r="AO110" s="8">
        <v>0</v>
      </c>
    </row>
    <row r="111" spans="1:41" x14ac:dyDescent="0.25">
      <c r="A111" s="6" t="str">
        <f t="shared" si="26"/>
        <v>520-2026000014</v>
      </c>
      <c r="B111" s="6" t="str">
        <f t="shared" si="24"/>
        <v>AUCHAN R</v>
      </c>
      <c r="C111" s="7">
        <v>46031</v>
      </c>
      <c r="D111" s="7">
        <v>46031</v>
      </c>
      <c r="E111" s="8">
        <v>3</v>
      </c>
      <c r="F111" s="6" t="str">
        <f t="shared" si="27"/>
        <v>1073110464</v>
      </c>
      <c r="G111" s="6" t="str">
        <f>"F310631555000000"</f>
        <v>F310631555000000</v>
      </c>
      <c r="H111" s="6" t="str">
        <f>"PLAR 6315 - 550 g/m²"</f>
        <v>PLAR 6315 - 550 g/m²</v>
      </c>
      <c r="I111" s="6" t="str">
        <f>"201646"</f>
        <v>201646</v>
      </c>
      <c r="J111" s="6" t="str">
        <f>"MUSTARDA 1646"</f>
        <v>MUSTARDA 1646</v>
      </c>
      <c r="K111" s="6" t="str">
        <f>"2020"</f>
        <v>2020</v>
      </c>
      <c r="L111" s="6" t="str">
        <f>"Lençóis"</f>
        <v>Lençóis</v>
      </c>
      <c r="M111" s="6" t="str">
        <f>"100x150"</f>
        <v>100x150</v>
      </c>
      <c r="N111" s="6" t="str">
        <f>"5602972280821"</f>
        <v>5602972280821</v>
      </c>
      <c r="O111" s="8">
        <v>6</v>
      </c>
      <c r="P111" s="7">
        <v>46031</v>
      </c>
      <c r="R111" s="8">
        <v>0</v>
      </c>
      <c r="U111" s="8">
        <v>0</v>
      </c>
      <c r="X111" s="8">
        <v>0</v>
      </c>
      <c r="Z111" s="8">
        <v>0</v>
      </c>
      <c r="AC111" s="8">
        <v>6</v>
      </c>
      <c r="AE111" s="7">
        <v>46038</v>
      </c>
      <c r="AF111" s="8">
        <v>6</v>
      </c>
      <c r="AH111" s="7">
        <v>46031</v>
      </c>
      <c r="AN111" s="8">
        <v>6</v>
      </c>
      <c r="AO111" s="8">
        <v>0</v>
      </c>
    </row>
    <row r="112" spans="1:41" x14ac:dyDescent="0.25">
      <c r="A112" s="6" t="str">
        <f t="shared" si="26"/>
        <v>520-2026000014</v>
      </c>
      <c r="B112" s="6" t="str">
        <f t="shared" si="24"/>
        <v>AUCHAN R</v>
      </c>
      <c r="C112" s="7">
        <v>46031</v>
      </c>
      <c r="D112" s="7">
        <v>46031</v>
      </c>
      <c r="E112" s="8">
        <v>4</v>
      </c>
      <c r="F112" s="6" t="str">
        <f t="shared" si="27"/>
        <v>1073110464</v>
      </c>
      <c r="G112" s="6" t="str">
        <f>"F300374155000000"</f>
        <v>F300374155000000</v>
      </c>
      <c r="H112" s="6" t="str">
        <f>"PLR 3741 - 550 g/m²"</f>
        <v>PLR 3741 - 550 g/m²</v>
      </c>
      <c r="I112" s="6" t="str">
        <f>"203634"</f>
        <v>203634</v>
      </c>
      <c r="J112" s="6" t="str">
        <f>"ROSA 3634"</f>
        <v>ROSA 3634</v>
      </c>
      <c r="K112" s="6" t="str">
        <f>"2020"</f>
        <v>2020</v>
      </c>
      <c r="L112" s="6" t="str">
        <f>"Lençóis"</f>
        <v>Lençóis</v>
      </c>
      <c r="M112" s="6" t="str">
        <f>"100x150"</f>
        <v>100x150</v>
      </c>
      <c r="N112" s="6" t="str">
        <f>"5602972280883"</f>
        <v>5602972280883</v>
      </c>
      <c r="O112" s="8">
        <v>6</v>
      </c>
      <c r="P112" s="7">
        <v>46031</v>
      </c>
      <c r="R112" s="8">
        <v>0</v>
      </c>
      <c r="U112" s="8">
        <v>0</v>
      </c>
      <c r="X112" s="8">
        <v>0</v>
      </c>
      <c r="Z112" s="8">
        <v>0</v>
      </c>
      <c r="AC112" s="8">
        <v>0</v>
      </c>
      <c r="AE112" s="7">
        <v>46038</v>
      </c>
      <c r="AF112" s="8">
        <v>0</v>
      </c>
      <c r="AH112" s="7">
        <v>46031</v>
      </c>
      <c r="AN112" s="8">
        <v>0</v>
      </c>
      <c r="AO112" s="8">
        <v>6</v>
      </c>
    </row>
    <row r="113" spans="1:41" x14ac:dyDescent="0.25">
      <c r="A113" s="6" t="str">
        <f t="shared" si="26"/>
        <v>520-2026000014</v>
      </c>
      <c r="B113" s="6" t="str">
        <f t="shared" si="24"/>
        <v>AUCHAN R</v>
      </c>
      <c r="C113" s="7">
        <v>46031</v>
      </c>
      <c r="D113" s="7">
        <v>46031</v>
      </c>
      <c r="E113" s="8">
        <v>5</v>
      </c>
      <c r="F113" s="6" t="str">
        <f t="shared" si="27"/>
        <v>1073110464</v>
      </c>
      <c r="G113" s="6" t="str">
        <f>"F310620958000000"</f>
        <v>F310620958000000</v>
      </c>
      <c r="H113" s="6" t="str">
        <f>"PLAR 6209 C/ Franja"</f>
        <v>PLAR 6209 C/ Franja</v>
      </c>
      <c r="I113" s="6" t="str">
        <f>"203699"</f>
        <v>203699</v>
      </c>
      <c r="J113" s="6" t="str">
        <f>"BEGE 3699"</f>
        <v>BEGE 3699</v>
      </c>
      <c r="K113" s="6" t="str">
        <f>"2093"</f>
        <v>2093</v>
      </c>
      <c r="L113" s="6" t="str">
        <f>"Lençóis"</f>
        <v>Lençóis</v>
      </c>
      <c r="M113" s="6" t="str">
        <f>"100x150+8"</f>
        <v>100x150+8</v>
      </c>
      <c r="N113" s="6" t="str">
        <f>"5602972280944"</f>
        <v>5602972280944</v>
      </c>
      <c r="O113" s="8">
        <v>6</v>
      </c>
      <c r="P113" s="7">
        <v>46031</v>
      </c>
      <c r="R113" s="8">
        <v>0</v>
      </c>
      <c r="U113" s="8">
        <v>0</v>
      </c>
      <c r="X113" s="8">
        <v>0</v>
      </c>
      <c r="Z113" s="8">
        <v>0</v>
      </c>
      <c r="AC113" s="8">
        <v>6</v>
      </c>
      <c r="AE113" s="7">
        <v>46038</v>
      </c>
      <c r="AF113" s="8">
        <v>6</v>
      </c>
      <c r="AH113" s="7">
        <v>46031</v>
      </c>
      <c r="AN113" s="8">
        <v>6</v>
      </c>
      <c r="AO113" s="8">
        <v>0</v>
      </c>
    </row>
    <row r="114" spans="1:41" x14ac:dyDescent="0.25">
      <c r="A114" s="6" t="str">
        <f t="shared" si="26"/>
        <v>520-2026000014</v>
      </c>
      <c r="B114" s="6" t="str">
        <f t="shared" si="24"/>
        <v>AUCHAN R</v>
      </c>
      <c r="C114" s="7">
        <v>46031</v>
      </c>
      <c r="D114" s="7">
        <v>46031</v>
      </c>
      <c r="E114" s="8">
        <v>6</v>
      </c>
      <c r="F114" s="6" t="str">
        <f t="shared" si="27"/>
        <v>1073110464</v>
      </c>
      <c r="G114" s="6" t="str">
        <f>"F310620958000000"</f>
        <v>F310620958000000</v>
      </c>
      <c r="H114" s="6" t="str">
        <f>"PLAR 6209 C/ Franja"</f>
        <v>PLAR 6209 C/ Franja</v>
      </c>
      <c r="I114" s="6" t="str">
        <f>"203699"</f>
        <v>203699</v>
      </c>
      <c r="J114" s="6" t="str">
        <f>"BEGE 3699"</f>
        <v>BEGE 3699</v>
      </c>
      <c r="K114" s="6" t="str">
        <f>"0585"</f>
        <v>0585</v>
      </c>
      <c r="L114" s="6" t="str">
        <f>"Toalhetes"</f>
        <v>Toalhetes</v>
      </c>
      <c r="M114" s="6" t="str">
        <f>"33x50+8"</f>
        <v>33x50+8</v>
      </c>
      <c r="N114" s="6" t="str">
        <f>"5602972280920"</f>
        <v>5602972280920</v>
      </c>
      <c r="O114" s="8">
        <v>12</v>
      </c>
      <c r="P114" s="7">
        <v>46031</v>
      </c>
      <c r="R114" s="8">
        <v>0</v>
      </c>
      <c r="U114" s="8">
        <v>0</v>
      </c>
      <c r="X114" s="8">
        <v>0</v>
      </c>
      <c r="Z114" s="8">
        <v>0</v>
      </c>
      <c r="AC114" s="8">
        <v>12</v>
      </c>
      <c r="AE114" s="7">
        <v>46038</v>
      </c>
      <c r="AF114" s="8">
        <v>12</v>
      </c>
      <c r="AH114" s="7">
        <v>46031</v>
      </c>
      <c r="AN114" s="8">
        <v>12</v>
      </c>
      <c r="AO114" s="8">
        <v>0</v>
      </c>
    </row>
    <row r="115" spans="1:41" x14ac:dyDescent="0.25">
      <c r="A115" s="6" t="str">
        <f t="shared" si="26"/>
        <v>520-2026000014</v>
      </c>
      <c r="B115" s="6" t="str">
        <f t="shared" si="24"/>
        <v>AUCHAN R</v>
      </c>
      <c r="C115" s="7">
        <v>46031</v>
      </c>
      <c r="D115" s="7">
        <v>46031</v>
      </c>
      <c r="E115" s="8">
        <v>7</v>
      </c>
      <c r="F115" s="6" t="str">
        <f t="shared" si="27"/>
        <v>1073110464</v>
      </c>
      <c r="G115" s="6" t="str">
        <f>"F310631555000000"</f>
        <v>F310631555000000</v>
      </c>
      <c r="H115" s="6" t="str">
        <f>"PLAR 6315 - 550 g/m²"</f>
        <v>PLAR 6315 - 550 g/m²</v>
      </c>
      <c r="I115" s="6" t="str">
        <f>"204037"</f>
        <v>204037</v>
      </c>
      <c r="J115" s="6" t="str">
        <f>"AZUL 4037"</f>
        <v>AZUL 4037</v>
      </c>
      <c r="K115" s="6" t="str">
        <f>"0530"</f>
        <v>0530</v>
      </c>
      <c r="L115" s="6" t="str">
        <f>"Toalhetes"</f>
        <v>Toalhetes</v>
      </c>
      <c r="M115" s="6" t="str">
        <f>"33x50"</f>
        <v>33x50</v>
      </c>
      <c r="N115" s="6" t="str">
        <f>"5602972280838"</f>
        <v>5602972280838</v>
      </c>
      <c r="O115" s="8">
        <v>12</v>
      </c>
      <c r="P115" s="7">
        <v>46031</v>
      </c>
      <c r="R115" s="8">
        <v>0</v>
      </c>
      <c r="U115" s="8">
        <v>0</v>
      </c>
      <c r="X115" s="8">
        <v>0</v>
      </c>
      <c r="Z115" s="8">
        <v>0</v>
      </c>
      <c r="AC115" s="8">
        <v>12</v>
      </c>
      <c r="AE115" s="7">
        <v>46038</v>
      </c>
      <c r="AF115" s="8">
        <v>12</v>
      </c>
      <c r="AH115" s="7">
        <v>46031</v>
      </c>
      <c r="AN115" s="8">
        <v>12</v>
      </c>
      <c r="AO115" s="8">
        <v>0</v>
      </c>
    </row>
    <row r="116" spans="1:41" x14ac:dyDescent="0.25">
      <c r="A116" s="6" t="str">
        <f t="shared" si="26"/>
        <v>520-2026000014</v>
      </c>
      <c r="B116" s="6" t="str">
        <f t="shared" si="24"/>
        <v>AUCHAN R</v>
      </c>
      <c r="C116" s="7">
        <v>46031</v>
      </c>
      <c r="D116" s="7">
        <v>46031</v>
      </c>
      <c r="E116" s="8">
        <v>8</v>
      </c>
      <c r="F116" s="6" t="str">
        <f t="shared" si="27"/>
        <v>1073110464</v>
      </c>
      <c r="G116" s="6" t="str">
        <f>"F300374155000000"</f>
        <v>F300374155000000</v>
      </c>
      <c r="H116" s="6" t="str">
        <f>"PLR 3741 - 550 g/m²"</f>
        <v>PLR 3741 - 550 g/m²</v>
      </c>
      <c r="I116" s="6" t="str">
        <f>"203634"</f>
        <v>203634</v>
      </c>
      <c r="J116" s="6" t="str">
        <f>"ROSA 3634"</f>
        <v>ROSA 3634</v>
      </c>
      <c r="K116" s="6" t="str">
        <f>"0530"</f>
        <v>0530</v>
      </c>
      <c r="L116" s="6" t="str">
        <f>"Toalhetes"</f>
        <v>Toalhetes</v>
      </c>
      <c r="M116" s="6" t="str">
        <f>"33x50"</f>
        <v>33x50</v>
      </c>
      <c r="N116" s="6" t="str">
        <f>"5602972280869"</f>
        <v>5602972280869</v>
      </c>
      <c r="O116" s="8">
        <v>48</v>
      </c>
      <c r="P116" s="7">
        <v>46031</v>
      </c>
      <c r="R116" s="8">
        <v>0</v>
      </c>
      <c r="U116" s="8">
        <v>0</v>
      </c>
      <c r="X116" s="8">
        <v>0</v>
      </c>
      <c r="Z116" s="8">
        <v>0</v>
      </c>
      <c r="AC116" s="8">
        <v>48</v>
      </c>
      <c r="AE116" s="7">
        <v>46038</v>
      </c>
      <c r="AF116" s="8">
        <v>48</v>
      </c>
      <c r="AH116" s="7">
        <v>46031</v>
      </c>
      <c r="AN116" s="8">
        <v>48</v>
      </c>
      <c r="AO116" s="8">
        <v>0</v>
      </c>
    </row>
    <row r="117" spans="1:41" x14ac:dyDescent="0.25">
      <c r="A117" s="6" t="str">
        <f t="shared" si="26"/>
        <v>520-2026000014</v>
      </c>
      <c r="B117" s="6" t="str">
        <f t="shared" si="24"/>
        <v>AUCHAN R</v>
      </c>
      <c r="C117" s="7">
        <v>46031</v>
      </c>
      <c r="D117" s="7">
        <v>46031</v>
      </c>
      <c r="E117" s="8">
        <v>9</v>
      </c>
      <c r="F117" s="6" t="str">
        <f t="shared" si="27"/>
        <v>1073110464</v>
      </c>
      <c r="G117" s="6" t="str">
        <f>"F110329745000000"</f>
        <v>F110329745000000</v>
      </c>
      <c r="H117" s="6" t="str">
        <f>"FAJ 3297 - 450 g/m²"</f>
        <v>FAJ 3297 - 450 g/m²</v>
      </c>
      <c r="I117" s="6" t="str">
        <f>"2"</f>
        <v>2</v>
      </c>
      <c r="J117" s="6" t="str">
        <f>"NATURAL"</f>
        <v>NATURAL</v>
      </c>
      <c r="K117" s="6" t="str">
        <f>"0520"</f>
        <v>0520</v>
      </c>
      <c r="L117" s="6" t="str">
        <f>"Toalhetes"</f>
        <v>Toalhetes</v>
      </c>
      <c r="M117" s="6" t="str">
        <f>"30x50"</f>
        <v>30x50</v>
      </c>
      <c r="N117" s="6" t="str">
        <f>"5602972277852"</f>
        <v>5602972277852</v>
      </c>
      <c r="O117" s="8">
        <v>24</v>
      </c>
      <c r="P117" s="7">
        <v>46031</v>
      </c>
      <c r="R117" s="8">
        <v>0</v>
      </c>
      <c r="U117" s="8">
        <v>0</v>
      </c>
      <c r="X117" s="8">
        <v>0</v>
      </c>
      <c r="Z117" s="8">
        <v>0</v>
      </c>
      <c r="AC117" s="8">
        <v>0</v>
      </c>
      <c r="AE117" s="7">
        <v>46038</v>
      </c>
      <c r="AF117" s="8">
        <v>0</v>
      </c>
      <c r="AH117" s="7">
        <v>46031</v>
      </c>
      <c r="AN117" s="8">
        <v>0</v>
      </c>
      <c r="AO117" s="8">
        <v>24</v>
      </c>
    </row>
    <row r="118" spans="1:41" x14ac:dyDescent="0.25">
      <c r="A118" s="6" t="str">
        <f t="shared" si="26"/>
        <v>520-2026000014</v>
      </c>
      <c r="B118" s="6" t="str">
        <f t="shared" si="24"/>
        <v>AUCHAN R</v>
      </c>
      <c r="C118" s="7">
        <v>46031</v>
      </c>
      <c r="D118" s="7">
        <v>46031</v>
      </c>
      <c r="E118" s="8">
        <v>10</v>
      </c>
      <c r="F118" s="6" t="str">
        <f t="shared" si="27"/>
        <v>1073110464</v>
      </c>
      <c r="G118" s="6" t="str">
        <f>"F310631555000000"</f>
        <v>F310631555000000</v>
      </c>
      <c r="H118" s="6" t="str">
        <f>"PLAR 6315 - 550 g/m²"</f>
        <v>PLAR 6315 - 550 g/m²</v>
      </c>
      <c r="I118" s="6" t="str">
        <f>"204037"</f>
        <v>204037</v>
      </c>
      <c r="J118" s="6" t="str">
        <f>"AZUL 4037"</f>
        <v>AZUL 4037</v>
      </c>
      <c r="K118" s="6" t="str">
        <f>"1024"</f>
        <v>1024</v>
      </c>
      <c r="L118" s="6" t="str">
        <f>"Toalhas"</f>
        <v>Toalhas</v>
      </c>
      <c r="M118" s="6" t="str">
        <f>"50x100"</f>
        <v>50x100</v>
      </c>
      <c r="N118" s="6" t="str">
        <f>"5602972280845"</f>
        <v>5602972280845</v>
      </c>
      <c r="O118" s="8">
        <v>12</v>
      </c>
      <c r="P118" s="7">
        <v>46031</v>
      </c>
      <c r="R118" s="8">
        <v>0</v>
      </c>
      <c r="U118" s="8">
        <v>0</v>
      </c>
      <c r="X118" s="8">
        <v>0</v>
      </c>
      <c r="Z118" s="8">
        <v>0</v>
      </c>
      <c r="AC118" s="8">
        <v>12</v>
      </c>
      <c r="AE118" s="7">
        <v>46038</v>
      </c>
      <c r="AF118" s="8">
        <v>12</v>
      </c>
      <c r="AH118" s="7">
        <v>46031</v>
      </c>
      <c r="AN118" s="8">
        <v>12</v>
      </c>
      <c r="AO118" s="8">
        <v>0</v>
      </c>
    </row>
    <row r="119" spans="1:41" x14ac:dyDescent="0.25">
      <c r="A119" s="6" t="str">
        <f t="shared" si="26"/>
        <v>520-2026000014</v>
      </c>
      <c r="B119" s="6" t="str">
        <f t="shared" si="24"/>
        <v>AUCHAN R</v>
      </c>
      <c r="C119" s="7">
        <v>46031</v>
      </c>
      <c r="D119" s="7">
        <v>46031</v>
      </c>
      <c r="E119" s="8">
        <v>11</v>
      </c>
      <c r="F119" s="6" t="str">
        <f t="shared" si="27"/>
        <v>1073110464</v>
      </c>
      <c r="G119" s="6" t="str">
        <f>"F310631555000000"</f>
        <v>F310631555000000</v>
      </c>
      <c r="H119" s="6" t="str">
        <f>"PLAR 6315 - 550 g/m²"</f>
        <v>PLAR 6315 - 550 g/m²</v>
      </c>
      <c r="I119" s="6" t="str">
        <f>"201646"</f>
        <v>201646</v>
      </c>
      <c r="J119" s="6" t="str">
        <f>"MUSTARDA 1646"</f>
        <v>MUSTARDA 1646</v>
      </c>
      <c r="K119" s="6" t="str">
        <f>"1024"</f>
        <v>1024</v>
      </c>
      <c r="L119" s="6" t="str">
        <f>"Toalhas"</f>
        <v>Toalhas</v>
      </c>
      <c r="M119" s="6" t="str">
        <f>"50x100"</f>
        <v>50x100</v>
      </c>
      <c r="N119" s="6" t="str">
        <f>"5602972280814"</f>
        <v>5602972280814</v>
      </c>
      <c r="O119" s="8">
        <v>12</v>
      </c>
      <c r="P119" s="7">
        <v>46031</v>
      </c>
      <c r="R119" s="8">
        <v>0</v>
      </c>
      <c r="U119" s="8">
        <v>0</v>
      </c>
      <c r="X119" s="8">
        <v>0</v>
      </c>
      <c r="Z119" s="8">
        <v>0</v>
      </c>
      <c r="AC119" s="8">
        <v>12</v>
      </c>
      <c r="AE119" s="7">
        <v>46038</v>
      </c>
      <c r="AF119" s="8">
        <v>12</v>
      </c>
      <c r="AH119" s="7">
        <v>46031</v>
      </c>
      <c r="AN119" s="8">
        <v>12</v>
      </c>
      <c r="AO119" s="8">
        <v>0</v>
      </c>
    </row>
    <row r="120" spans="1:41" x14ac:dyDescent="0.25">
      <c r="A120" s="6" t="str">
        <f t="shared" si="26"/>
        <v>520-2026000014</v>
      </c>
      <c r="B120" s="6" t="str">
        <f t="shared" si="24"/>
        <v>AUCHAN R</v>
      </c>
      <c r="C120" s="7">
        <v>46031</v>
      </c>
      <c r="D120" s="7">
        <v>46031</v>
      </c>
      <c r="E120" s="8">
        <v>12</v>
      </c>
      <c r="F120" s="6" t="str">
        <f t="shared" si="27"/>
        <v>1073110464</v>
      </c>
      <c r="G120" s="6" t="str">
        <f>"F300374155000000"</f>
        <v>F300374155000000</v>
      </c>
      <c r="H120" s="6" t="str">
        <f>"PLR 3741 - 550 g/m²"</f>
        <v>PLR 3741 - 550 g/m²</v>
      </c>
      <c r="I120" s="6" t="str">
        <f>"203634"</f>
        <v>203634</v>
      </c>
      <c r="J120" s="6" t="str">
        <f>"ROSA 3634"</f>
        <v>ROSA 3634</v>
      </c>
      <c r="K120" s="6" t="str">
        <f>"1024"</f>
        <v>1024</v>
      </c>
      <c r="L120" s="6" t="str">
        <f>"Toalhas"</f>
        <v>Toalhas</v>
      </c>
      <c r="M120" s="6" t="str">
        <f>"50x100"</f>
        <v>50x100</v>
      </c>
      <c r="N120" s="6" t="str">
        <f>"5602972280876"</f>
        <v>5602972280876</v>
      </c>
      <c r="O120" s="8">
        <v>12</v>
      </c>
      <c r="P120" s="7">
        <v>46031</v>
      </c>
      <c r="R120" s="8">
        <v>0</v>
      </c>
      <c r="U120" s="8">
        <v>0</v>
      </c>
      <c r="X120" s="8">
        <v>0</v>
      </c>
      <c r="Z120" s="8">
        <v>0</v>
      </c>
      <c r="AC120" s="8">
        <v>12</v>
      </c>
      <c r="AE120" s="7">
        <v>46038</v>
      </c>
      <c r="AF120" s="8">
        <v>12</v>
      </c>
      <c r="AH120" s="7">
        <v>46031</v>
      </c>
      <c r="AN120" s="8">
        <v>12</v>
      </c>
      <c r="AO120" s="8">
        <v>0</v>
      </c>
    </row>
    <row r="121" spans="1:41" x14ac:dyDescent="0.25">
      <c r="A121" s="6" t="str">
        <f t="shared" si="26"/>
        <v>520-2026000014</v>
      </c>
      <c r="B121" s="6" t="str">
        <f t="shared" si="24"/>
        <v>AUCHAN R</v>
      </c>
      <c r="C121" s="7">
        <v>46031</v>
      </c>
      <c r="D121" s="7">
        <v>46031</v>
      </c>
      <c r="E121" s="8">
        <v>13</v>
      </c>
      <c r="F121" s="6" t="str">
        <f t="shared" si="27"/>
        <v>1073110464</v>
      </c>
      <c r="G121" s="6" t="str">
        <f>"F310620958000000"</f>
        <v>F310620958000000</v>
      </c>
      <c r="H121" s="6" t="str">
        <f>"PLAR 6209 C/ Franja"</f>
        <v>PLAR 6209 C/ Franja</v>
      </c>
      <c r="I121" s="6" t="str">
        <f>"203699"</f>
        <v>203699</v>
      </c>
      <c r="J121" s="6" t="str">
        <f>"BEGE 3699"</f>
        <v>BEGE 3699</v>
      </c>
      <c r="K121" s="6" t="str">
        <f>"1047"</f>
        <v>1047</v>
      </c>
      <c r="L121" s="6" t="str">
        <f>"Toalhas"</f>
        <v>Toalhas</v>
      </c>
      <c r="M121" s="6" t="str">
        <f>"50x100+8"</f>
        <v>50x100+8</v>
      </c>
      <c r="N121" s="6" t="str">
        <f>"5602972280937"</f>
        <v>5602972280937</v>
      </c>
      <c r="O121" s="8">
        <v>18</v>
      </c>
      <c r="P121" s="7">
        <v>46031</v>
      </c>
      <c r="R121" s="8">
        <v>0</v>
      </c>
      <c r="U121" s="8">
        <v>0</v>
      </c>
      <c r="X121" s="8">
        <v>0</v>
      </c>
      <c r="Z121" s="8">
        <v>0</v>
      </c>
      <c r="AC121" s="8">
        <v>18</v>
      </c>
      <c r="AE121" s="7">
        <v>46038</v>
      </c>
      <c r="AF121" s="8">
        <v>18</v>
      </c>
      <c r="AH121" s="7">
        <v>46031</v>
      </c>
      <c r="AN121" s="8">
        <v>18</v>
      </c>
      <c r="AO121" s="8">
        <v>0</v>
      </c>
    </row>
    <row r="122" spans="1:41" x14ac:dyDescent="0.25">
      <c r="A122" s="6" t="str">
        <f t="shared" si="26"/>
        <v>520-2026000014</v>
      </c>
      <c r="B122" s="6" t="str">
        <f t="shared" si="24"/>
        <v>AUCHAN R</v>
      </c>
      <c r="C122" s="7">
        <v>46031</v>
      </c>
      <c r="D122" s="7">
        <v>46031</v>
      </c>
      <c r="E122" s="8">
        <v>14</v>
      </c>
      <c r="F122" s="6" t="str">
        <f t="shared" si="27"/>
        <v>1073110464</v>
      </c>
      <c r="G122" s="6" t="str">
        <f>"F110329745000000"</f>
        <v>F110329745000000</v>
      </c>
      <c r="H122" s="6" t="str">
        <f>"FAJ 3297 - 450 g/m²"</f>
        <v>FAJ 3297 - 450 g/m²</v>
      </c>
      <c r="I122" s="6" t="str">
        <f>"2"</f>
        <v>2</v>
      </c>
      <c r="J122" s="6" t="str">
        <f>"NATURAL"</f>
        <v>NATURAL</v>
      </c>
      <c r="K122" s="6" t="str">
        <f>"1024"</f>
        <v>1024</v>
      </c>
      <c r="L122" s="6" t="str">
        <f>"Toalhas"</f>
        <v>Toalhas</v>
      </c>
      <c r="M122" s="6" t="str">
        <f>"50x100"</f>
        <v>50x100</v>
      </c>
      <c r="N122" s="6" t="str">
        <f>"5602972277869"</f>
        <v>5602972277869</v>
      </c>
      <c r="O122" s="8">
        <v>18</v>
      </c>
      <c r="P122" s="7">
        <v>46031</v>
      </c>
      <c r="R122" s="8">
        <v>0</v>
      </c>
      <c r="U122" s="8">
        <v>0</v>
      </c>
      <c r="X122" s="8">
        <v>0</v>
      </c>
      <c r="Z122" s="8">
        <v>0</v>
      </c>
      <c r="AC122" s="8">
        <v>18</v>
      </c>
      <c r="AE122" s="7">
        <v>46038</v>
      </c>
      <c r="AF122" s="8">
        <v>18</v>
      </c>
      <c r="AH122" s="7">
        <v>46031</v>
      </c>
      <c r="AN122" s="8">
        <v>18</v>
      </c>
      <c r="AO122" s="8">
        <v>0</v>
      </c>
    </row>
    <row r="123" spans="1:41" x14ac:dyDescent="0.25">
      <c r="A123" s="6" t="str">
        <f t="shared" si="26"/>
        <v>520-2026000014</v>
      </c>
      <c r="B123" s="6" t="str">
        <f t="shared" si="24"/>
        <v>AUCHAN R</v>
      </c>
      <c r="C123" s="7">
        <v>46031</v>
      </c>
      <c r="D123" s="7">
        <v>46031</v>
      </c>
      <c r="E123" s="8">
        <v>15</v>
      </c>
      <c r="F123" s="6" t="str">
        <f t="shared" si="27"/>
        <v>1073110464</v>
      </c>
      <c r="G123" s="6" t="str">
        <f>"C090020000000085"</f>
        <v>C090020000000085</v>
      </c>
      <c r="H123" s="6" t="str">
        <f>"Conj. Cetim 200 Fios"</f>
        <v>Conj. Cetim 200 Fios</v>
      </c>
      <c r="I123" s="6" t="str">
        <f>"600001"</f>
        <v>600001</v>
      </c>
      <c r="J123" s="6" t="str">
        <f>"Branco"</f>
        <v>Branco</v>
      </c>
      <c r="K123" s="6" t="str">
        <f>"4014"</f>
        <v>4014</v>
      </c>
      <c r="L123" s="6" t="str">
        <f>"Conjunto/Jogos"</f>
        <v>Conjunto/Jogos</v>
      </c>
      <c r="M123" s="6" t="str">
        <f>"(2 Pcs)"</f>
        <v>(2 Pcs)</v>
      </c>
      <c r="N123" s="6" t="str">
        <f>"5602972279856"</f>
        <v>5602972279856</v>
      </c>
      <c r="O123" s="8">
        <v>24</v>
      </c>
      <c r="P123" s="7">
        <v>46031</v>
      </c>
      <c r="R123" s="8">
        <v>0</v>
      </c>
      <c r="U123" s="8">
        <v>0</v>
      </c>
      <c r="X123" s="8">
        <v>0</v>
      </c>
      <c r="Z123" s="8">
        <v>0</v>
      </c>
      <c r="AC123" s="8">
        <v>24</v>
      </c>
      <c r="AE123" s="7">
        <v>46038</v>
      </c>
      <c r="AF123" s="8">
        <v>24</v>
      </c>
      <c r="AH123" s="7">
        <v>46031</v>
      </c>
      <c r="AN123" s="8">
        <v>24</v>
      </c>
      <c r="AO123" s="8">
        <v>0</v>
      </c>
    </row>
    <row r="124" spans="1:41" x14ac:dyDescent="0.25">
      <c r="A124" s="6" t="str">
        <f t="shared" si="26"/>
        <v>520-2026000014</v>
      </c>
      <c r="B124" s="6" t="str">
        <f t="shared" si="24"/>
        <v>AUCHAN R</v>
      </c>
      <c r="C124" s="7">
        <v>46031</v>
      </c>
      <c r="D124" s="7">
        <v>46031</v>
      </c>
      <c r="E124" s="8">
        <v>16</v>
      </c>
      <c r="F124" s="6" t="str">
        <f t="shared" si="27"/>
        <v>1073110464</v>
      </c>
      <c r="G124" s="6" t="str">
        <f>"C001101823000000"</f>
        <v>C001101823000000</v>
      </c>
      <c r="H124" s="6" t="str">
        <f>"CZJ 1018 - 230 gr/m²"</f>
        <v>CZJ 1018 - 230 gr/m²</v>
      </c>
      <c r="I124" s="6" t="str">
        <f>"3073"</f>
        <v>3073</v>
      </c>
      <c r="J124" s="6" t="str">
        <f>"CINZA 3073"</f>
        <v>CINZA 3073</v>
      </c>
      <c r="K124" s="6" t="str">
        <f>"0830"</f>
        <v>0830</v>
      </c>
      <c r="L124" s="6" t="str">
        <f>"Cozinha"</f>
        <v>Cozinha</v>
      </c>
      <c r="M124" s="6" t="str">
        <f>"50x70"</f>
        <v>50x70</v>
      </c>
      <c r="N124" s="6" t="str">
        <f>"5602972758740"</f>
        <v>5602972758740</v>
      </c>
      <c r="O124" s="8">
        <v>24</v>
      </c>
      <c r="P124" s="7">
        <v>46031</v>
      </c>
      <c r="R124" s="8">
        <v>0</v>
      </c>
      <c r="U124" s="8">
        <v>0</v>
      </c>
      <c r="X124" s="8">
        <v>0</v>
      </c>
      <c r="Z124" s="8">
        <v>0</v>
      </c>
      <c r="AC124" s="8">
        <v>24</v>
      </c>
      <c r="AE124" s="7">
        <v>46038</v>
      </c>
      <c r="AF124" s="8">
        <v>24</v>
      </c>
      <c r="AH124" s="7">
        <v>46031</v>
      </c>
      <c r="AN124" s="8">
        <v>24</v>
      </c>
      <c r="AO124" s="8">
        <v>0</v>
      </c>
    </row>
    <row r="125" spans="1:41" x14ac:dyDescent="0.25">
      <c r="A125" s="6" t="str">
        <f t="shared" si="26"/>
        <v>520-2026000014</v>
      </c>
      <c r="B125" s="6" t="str">
        <f t="shared" si="24"/>
        <v>AUCHAN R</v>
      </c>
      <c r="C125" s="7">
        <v>46031</v>
      </c>
      <c r="D125" s="7">
        <v>46031</v>
      </c>
      <c r="E125" s="8">
        <v>17</v>
      </c>
      <c r="F125" s="6" t="str">
        <f t="shared" si="27"/>
        <v>1073110464</v>
      </c>
      <c r="G125" s="6" t="str">
        <f>"F110110840000003"</f>
        <v>F110110840000003</v>
      </c>
      <c r="H125" s="6" t="str">
        <f>"FAJ 1108 - 400 g/m²"</f>
        <v>FAJ 1108 - 400 g/m²</v>
      </c>
      <c r="I125" s="6" t="str">
        <f>"3073"</f>
        <v>3073</v>
      </c>
      <c r="J125" s="6" t="str">
        <f>"CINZA 3073"</f>
        <v>CINZA 3073</v>
      </c>
      <c r="K125" s="6" t="str">
        <f>"0830"</f>
        <v>0830</v>
      </c>
      <c r="L125" s="6" t="str">
        <f>"Cozinha"</f>
        <v>Cozinha</v>
      </c>
      <c r="M125" s="6" t="str">
        <f>"50x70"</f>
        <v>50x70</v>
      </c>
      <c r="N125" s="6" t="str">
        <f>"5602972279535"</f>
        <v>5602972279535</v>
      </c>
      <c r="O125" s="8">
        <v>24</v>
      </c>
      <c r="P125" s="7">
        <v>46031</v>
      </c>
      <c r="R125" s="8">
        <v>0</v>
      </c>
      <c r="U125" s="8">
        <v>0</v>
      </c>
      <c r="X125" s="8">
        <v>0</v>
      </c>
      <c r="Z125" s="8">
        <v>0</v>
      </c>
      <c r="AC125" s="8">
        <v>24</v>
      </c>
      <c r="AE125" s="7">
        <v>46038</v>
      </c>
      <c r="AF125" s="8">
        <v>24</v>
      </c>
      <c r="AH125" s="7">
        <v>46031</v>
      </c>
      <c r="AN125" s="8">
        <v>24</v>
      </c>
      <c r="AO125" s="8">
        <v>0</v>
      </c>
    </row>
    <row r="126" spans="1:41" x14ac:dyDescent="0.25">
      <c r="A126" s="6" t="str">
        <f t="shared" si="26"/>
        <v>520-2026000014</v>
      </c>
      <c r="B126" s="6" t="str">
        <f t="shared" si="24"/>
        <v>AUCHAN R</v>
      </c>
      <c r="C126" s="7">
        <v>46031</v>
      </c>
      <c r="D126" s="7">
        <v>46031</v>
      </c>
      <c r="E126" s="8">
        <v>18</v>
      </c>
      <c r="F126" s="6" t="str">
        <f t="shared" si="27"/>
        <v>1073110464</v>
      </c>
      <c r="G126" s="6" t="str">
        <f>"K001223323000000"</f>
        <v>K001223323000000</v>
      </c>
      <c r="H126" s="6" t="str">
        <f>"KB 2233 - Avental -"</f>
        <v>KB 2233 - Avental -</v>
      </c>
      <c r="I126" s="6" t="str">
        <f>"3073"</f>
        <v>3073</v>
      </c>
      <c r="J126" s="6" t="str">
        <f>"CINZA 3073"</f>
        <v>CINZA 3073</v>
      </c>
      <c r="K126" s="6" t="str">
        <f>"8803"</f>
        <v>8803</v>
      </c>
      <c r="L126" s="6" t="str">
        <f>"Cozinha"</f>
        <v>Cozinha</v>
      </c>
      <c r="M126" s="6" t="str">
        <f>"03 Avental"</f>
        <v>03 Avental</v>
      </c>
      <c r="N126" s="6" t="str">
        <f>"5602972279542"</f>
        <v>5602972279542</v>
      </c>
      <c r="O126" s="8">
        <v>12</v>
      </c>
      <c r="P126" s="7">
        <v>46031</v>
      </c>
      <c r="R126" s="8">
        <v>0</v>
      </c>
      <c r="U126" s="8">
        <v>0</v>
      </c>
      <c r="X126" s="8">
        <v>0</v>
      </c>
      <c r="Z126" s="8">
        <v>0</v>
      </c>
      <c r="AC126" s="8">
        <v>12</v>
      </c>
      <c r="AE126" s="7">
        <v>46038</v>
      </c>
      <c r="AF126" s="8">
        <v>12</v>
      </c>
      <c r="AH126" s="7">
        <v>46031</v>
      </c>
      <c r="AN126" s="8">
        <v>12</v>
      </c>
      <c r="AO126" s="8">
        <v>0</v>
      </c>
    </row>
    <row r="127" spans="1:41" x14ac:dyDescent="0.25">
      <c r="A127" s="6" t="str">
        <f t="shared" ref="A127:A135" si="28">"520-2026000015"</f>
        <v>520-2026000015</v>
      </c>
      <c r="B127" s="6" t="str">
        <f t="shared" si="24"/>
        <v>AUCHAN R</v>
      </c>
      <c r="C127" s="7">
        <v>46031</v>
      </c>
      <c r="D127" s="7">
        <v>46031</v>
      </c>
      <c r="E127" s="8">
        <v>1</v>
      </c>
      <c r="F127" s="6" t="str">
        <f t="shared" ref="F127:F135" si="29">"1061196676"</f>
        <v>1061196676</v>
      </c>
      <c r="G127" s="6" t="str">
        <f>"F300374155000000"</f>
        <v>F300374155000000</v>
      </c>
      <c r="H127" s="6" t="str">
        <f>"PLR 3741 - 550 g/m²"</f>
        <v>PLR 3741 - 550 g/m²</v>
      </c>
      <c r="I127" s="6" t="str">
        <f>"203634"</f>
        <v>203634</v>
      </c>
      <c r="J127" s="6" t="str">
        <f>"ROSA 3634"</f>
        <v>ROSA 3634</v>
      </c>
      <c r="K127" s="6" t="str">
        <f>"2020"</f>
        <v>2020</v>
      </c>
      <c r="L127" s="6" t="str">
        <f>"Lençóis"</f>
        <v>Lençóis</v>
      </c>
      <c r="M127" s="6" t="str">
        <f>"100x150"</f>
        <v>100x150</v>
      </c>
      <c r="N127" s="6" t="str">
        <f>"5602972280883"</f>
        <v>5602972280883</v>
      </c>
      <c r="O127" s="8">
        <v>6</v>
      </c>
      <c r="P127" s="7">
        <v>46031</v>
      </c>
      <c r="R127" s="8">
        <v>0</v>
      </c>
      <c r="U127" s="8">
        <v>0</v>
      </c>
      <c r="X127" s="8">
        <v>0</v>
      </c>
      <c r="Z127" s="8">
        <v>0</v>
      </c>
      <c r="AC127" s="8">
        <v>0</v>
      </c>
      <c r="AE127" s="7">
        <v>46038</v>
      </c>
      <c r="AF127" s="8">
        <v>0</v>
      </c>
      <c r="AH127" s="7">
        <v>46031</v>
      </c>
      <c r="AN127" s="8">
        <v>0</v>
      </c>
      <c r="AO127" s="8">
        <v>6</v>
      </c>
    </row>
    <row r="128" spans="1:41" x14ac:dyDescent="0.25">
      <c r="A128" s="6" t="str">
        <f t="shared" si="28"/>
        <v>520-2026000015</v>
      </c>
      <c r="B128" s="6" t="str">
        <f t="shared" si="24"/>
        <v>AUCHAN R</v>
      </c>
      <c r="C128" s="7">
        <v>46031</v>
      </c>
      <c r="D128" s="7">
        <v>46031</v>
      </c>
      <c r="E128" s="8">
        <v>2</v>
      </c>
      <c r="F128" s="6" t="str">
        <f t="shared" si="29"/>
        <v>1061196676</v>
      </c>
      <c r="G128" s="6" t="str">
        <f>"F310620958000000"</f>
        <v>F310620958000000</v>
      </c>
      <c r="H128" s="6" t="str">
        <f>"PLAR 6209 C/ Franja"</f>
        <v>PLAR 6209 C/ Franja</v>
      </c>
      <c r="I128" s="6" t="str">
        <f>"203699"</f>
        <v>203699</v>
      </c>
      <c r="J128" s="6" t="str">
        <f>"BEGE 3699"</f>
        <v>BEGE 3699</v>
      </c>
      <c r="K128" s="6" t="str">
        <f>"2093"</f>
        <v>2093</v>
      </c>
      <c r="L128" s="6" t="str">
        <f>"Lençóis"</f>
        <v>Lençóis</v>
      </c>
      <c r="M128" s="6" t="str">
        <f>"100x150+8"</f>
        <v>100x150+8</v>
      </c>
      <c r="N128" s="6" t="str">
        <f>"5602972280944"</f>
        <v>5602972280944</v>
      </c>
      <c r="O128" s="8">
        <v>3</v>
      </c>
      <c r="P128" s="7">
        <v>46031</v>
      </c>
      <c r="R128" s="8">
        <v>0</v>
      </c>
      <c r="U128" s="8">
        <v>0</v>
      </c>
      <c r="X128" s="8">
        <v>0</v>
      </c>
      <c r="Z128" s="8">
        <v>0</v>
      </c>
      <c r="AC128" s="8">
        <v>3</v>
      </c>
      <c r="AE128" s="7">
        <v>46038</v>
      </c>
      <c r="AF128" s="8">
        <v>3</v>
      </c>
      <c r="AH128" s="7">
        <v>46031</v>
      </c>
      <c r="AN128" s="8">
        <v>3</v>
      </c>
      <c r="AO128" s="8">
        <v>0</v>
      </c>
    </row>
    <row r="129" spans="1:41" x14ac:dyDescent="0.25">
      <c r="A129" s="6" t="str">
        <f t="shared" si="28"/>
        <v>520-2026000015</v>
      </c>
      <c r="B129" s="6" t="str">
        <f t="shared" si="24"/>
        <v>AUCHAN R</v>
      </c>
      <c r="C129" s="7">
        <v>46031</v>
      </c>
      <c r="D129" s="7">
        <v>46031</v>
      </c>
      <c r="E129" s="8">
        <v>3</v>
      </c>
      <c r="F129" s="6" t="str">
        <f t="shared" si="29"/>
        <v>1061196676</v>
      </c>
      <c r="G129" s="6" t="str">
        <f>"F110329745000000"</f>
        <v>F110329745000000</v>
      </c>
      <c r="H129" s="6" t="str">
        <f>"FAJ 3297 - 450 g/m²"</f>
        <v>FAJ 3297 - 450 g/m²</v>
      </c>
      <c r="I129" s="6" t="str">
        <f>"2"</f>
        <v>2</v>
      </c>
      <c r="J129" s="6" t="str">
        <f>"NATURAL"</f>
        <v>NATURAL</v>
      </c>
      <c r="K129" s="6" t="str">
        <f>"0520"</f>
        <v>0520</v>
      </c>
      <c r="L129" s="6" t="str">
        <f>"Toalhetes"</f>
        <v>Toalhetes</v>
      </c>
      <c r="M129" s="6" t="str">
        <f>"30x50"</f>
        <v>30x50</v>
      </c>
      <c r="N129" s="6" t="str">
        <f>"5602972277852"</f>
        <v>5602972277852</v>
      </c>
      <c r="O129" s="8">
        <v>6</v>
      </c>
      <c r="P129" s="7">
        <v>46031</v>
      </c>
      <c r="R129" s="8">
        <v>0</v>
      </c>
      <c r="U129" s="8">
        <v>0</v>
      </c>
      <c r="X129" s="8">
        <v>0</v>
      </c>
      <c r="Z129" s="8">
        <v>0</v>
      </c>
      <c r="AC129" s="8">
        <v>0</v>
      </c>
      <c r="AE129" s="7">
        <v>46038</v>
      </c>
      <c r="AF129" s="8">
        <v>0</v>
      </c>
      <c r="AH129" s="7">
        <v>46031</v>
      </c>
      <c r="AN129" s="8">
        <v>0</v>
      </c>
      <c r="AO129" s="8">
        <v>6</v>
      </c>
    </row>
    <row r="130" spans="1:41" x14ac:dyDescent="0.25">
      <c r="A130" s="6" t="str">
        <f t="shared" si="28"/>
        <v>520-2026000015</v>
      </c>
      <c r="B130" s="6" t="str">
        <f t="shared" si="24"/>
        <v>AUCHAN R</v>
      </c>
      <c r="C130" s="7">
        <v>46031</v>
      </c>
      <c r="D130" s="7">
        <v>46031</v>
      </c>
      <c r="E130" s="8">
        <v>4</v>
      </c>
      <c r="F130" s="6" t="str">
        <f t="shared" si="29"/>
        <v>1061196676</v>
      </c>
      <c r="G130" s="6" t="str">
        <f>"F300374155000000"</f>
        <v>F300374155000000</v>
      </c>
      <c r="H130" s="6" t="str">
        <f>"PLR 3741 - 550 g/m²"</f>
        <v>PLR 3741 - 550 g/m²</v>
      </c>
      <c r="I130" s="6" t="str">
        <f>"203634"</f>
        <v>203634</v>
      </c>
      <c r="J130" s="6" t="str">
        <f>"ROSA 3634"</f>
        <v>ROSA 3634</v>
      </c>
      <c r="K130" s="6" t="str">
        <f>"1024"</f>
        <v>1024</v>
      </c>
      <c r="L130" s="6" t="str">
        <f>"Toalhas"</f>
        <v>Toalhas</v>
      </c>
      <c r="M130" s="6" t="str">
        <f>"50x100"</f>
        <v>50x100</v>
      </c>
      <c r="N130" s="6" t="str">
        <f>"5602972280876"</f>
        <v>5602972280876</v>
      </c>
      <c r="O130" s="8">
        <v>12</v>
      </c>
      <c r="P130" s="7">
        <v>46031</v>
      </c>
      <c r="R130" s="8">
        <v>0</v>
      </c>
      <c r="U130" s="8">
        <v>0</v>
      </c>
      <c r="X130" s="8">
        <v>0</v>
      </c>
      <c r="Z130" s="8">
        <v>0</v>
      </c>
      <c r="AC130" s="8">
        <v>12</v>
      </c>
      <c r="AE130" s="7">
        <v>46038</v>
      </c>
      <c r="AF130" s="8">
        <v>12</v>
      </c>
      <c r="AH130" s="7">
        <v>46031</v>
      </c>
      <c r="AN130" s="8">
        <v>12</v>
      </c>
      <c r="AO130" s="8">
        <v>0</v>
      </c>
    </row>
    <row r="131" spans="1:41" x14ac:dyDescent="0.25">
      <c r="A131" s="6" t="str">
        <f t="shared" si="28"/>
        <v>520-2026000015</v>
      </c>
      <c r="B131" s="6" t="str">
        <f t="shared" si="24"/>
        <v>AUCHAN R</v>
      </c>
      <c r="C131" s="7">
        <v>46031</v>
      </c>
      <c r="D131" s="7">
        <v>46031</v>
      </c>
      <c r="E131" s="8">
        <v>5</v>
      </c>
      <c r="F131" s="6" t="str">
        <f t="shared" si="29"/>
        <v>1061196676</v>
      </c>
      <c r="G131" s="6" t="str">
        <f>"C090008212000118"</f>
        <v>C090008212000118</v>
      </c>
      <c r="H131" s="6" t="str">
        <f>"Conj. LT 82 - 150 Fi"</f>
        <v>Conj. LT 82 - 150 Fi</v>
      </c>
      <c r="I131" s="6" t="str">
        <f>"600001"</f>
        <v>600001</v>
      </c>
      <c r="J131" s="6" t="str">
        <f>"Branco"</f>
        <v>Branco</v>
      </c>
      <c r="K131" s="6" t="str">
        <f>"4014"</f>
        <v>4014</v>
      </c>
      <c r="L131" s="6" t="str">
        <f>"Conjunto/Jogos"</f>
        <v>Conjunto/Jogos</v>
      </c>
      <c r="M131" s="6" t="str">
        <f>"(2 Pcs)"</f>
        <v>(2 Pcs)</v>
      </c>
      <c r="N131" s="6" t="str">
        <f>"5602972279849"</f>
        <v>5602972279849</v>
      </c>
      <c r="O131" s="8">
        <v>12</v>
      </c>
      <c r="P131" s="7">
        <v>46031</v>
      </c>
      <c r="R131" s="8">
        <v>0</v>
      </c>
      <c r="U131" s="8">
        <v>0</v>
      </c>
      <c r="X131" s="8">
        <v>0</v>
      </c>
      <c r="Z131" s="8">
        <v>0</v>
      </c>
      <c r="AC131" s="8">
        <v>12</v>
      </c>
      <c r="AE131" s="7">
        <v>46038</v>
      </c>
      <c r="AF131" s="8">
        <v>12</v>
      </c>
      <c r="AH131" s="7">
        <v>46031</v>
      </c>
      <c r="AN131" s="8">
        <v>12</v>
      </c>
      <c r="AO131" s="8">
        <v>0</v>
      </c>
    </row>
    <row r="132" spans="1:41" x14ac:dyDescent="0.25">
      <c r="A132" s="6" t="str">
        <f t="shared" si="28"/>
        <v>520-2026000015</v>
      </c>
      <c r="B132" s="6" t="str">
        <f t="shared" si="24"/>
        <v>AUCHAN R</v>
      </c>
      <c r="C132" s="7">
        <v>46031</v>
      </c>
      <c r="D132" s="7">
        <v>46031</v>
      </c>
      <c r="E132" s="8">
        <v>6</v>
      </c>
      <c r="F132" s="6" t="str">
        <f t="shared" si="29"/>
        <v>1061196676</v>
      </c>
      <c r="G132" s="6" t="str">
        <f>"K001223423000000"</f>
        <v>K001223423000000</v>
      </c>
      <c r="H132" s="6" t="str">
        <f>"KB 2234 - Pano - CZJ"</f>
        <v>KB 2234 - Pano - CZJ</v>
      </c>
      <c r="I132" s="6" t="str">
        <f>"3073"</f>
        <v>3073</v>
      </c>
      <c r="J132" s="6" t="str">
        <f>"CINZA 3073"</f>
        <v>CINZA 3073</v>
      </c>
      <c r="K132" s="6" t="str">
        <f>"8802"</f>
        <v>8802</v>
      </c>
      <c r="L132" s="6" t="str">
        <f>"Cozinha"</f>
        <v>Cozinha</v>
      </c>
      <c r="M132" s="6" t="str">
        <f>"02 Pano Te"</f>
        <v>02 Pano Te</v>
      </c>
      <c r="N132" s="6" t="str">
        <f>"5602972279559"</f>
        <v>5602972279559</v>
      </c>
      <c r="O132" s="8">
        <v>24</v>
      </c>
      <c r="P132" s="7">
        <v>46031</v>
      </c>
      <c r="R132" s="8">
        <v>0</v>
      </c>
      <c r="U132" s="8">
        <v>0</v>
      </c>
      <c r="X132" s="8">
        <v>0</v>
      </c>
      <c r="Z132" s="8">
        <v>0</v>
      </c>
      <c r="AC132" s="8">
        <v>24</v>
      </c>
      <c r="AE132" s="7">
        <v>46038</v>
      </c>
      <c r="AF132" s="8">
        <v>24</v>
      </c>
      <c r="AH132" s="7">
        <v>46031</v>
      </c>
      <c r="AN132" s="8">
        <v>24</v>
      </c>
      <c r="AO132" s="8">
        <v>0</v>
      </c>
    </row>
    <row r="133" spans="1:41" x14ac:dyDescent="0.25">
      <c r="A133" s="6" t="str">
        <f t="shared" si="28"/>
        <v>520-2026000015</v>
      </c>
      <c r="B133" s="6" t="str">
        <f t="shared" si="24"/>
        <v>AUCHAN R</v>
      </c>
      <c r="C133" s="7">
        <v>46031</v>
      </c>
      <c r="D133" s="7">
        <v>46031</v>
      </c>
      <c r="E133" s="8">
        <v>7</v>
      </c>
      <c r="F133" s="6" t="str">
        <f t="shared" si="29"/>
        <v>1061196676</v>
      </c>
      <c r="G133" s="6" t="str">
        <f>"C001101823000000"</f>
        <v>C001101823000000</v>
      </c>
      <c r="H133" s="6" t="str">
        <f>"CZJ 1018 - 230 gr/m²"</f>
        <v>CZJ 1018 - 230 gr/m²</v>
      </c>
      <c r="I133" s="6" t="str">
        <f>"3073"</f>
        <v>3073</v>
      </c>
      <c r="J133" s="6" t="str">
        <f>"CINZA 3073"</f>
        <v>CINZA 3073</v>
      </c>
      <c r="K133" s="6" t="str">
        <f>"0830"</f>
        <v>0830</v>
      </c>
      <c r="L133" s="6" t="str">
        <f>"Cozinha"</f>
        <v>Cozinha</v>
      </c>
      <c r="M133" s="6" t="str">
        <f>"50x70"</f>
        <v>50x70</v>
      </c>
      <c r="N133" s="6" t="str">
        <f>"5602972758740"</f>
        <v>5602972758740</v>
      </c>
      <c r="O133" s="8">
        <v>12</v>
      </c>
      <c r="P133" s="7">
        <v>46031</v>
      </c>
      <c r="R133" s="8">
        <v>0</v>
      </c>
      <c r="U133" s="8">
        <v>0</v>
      </c>
      <c r="X133" s="8">
        <v>0</v>
      </c>
      <c r="Z133" s="8">
        <v>0</v>
      </c>
      <c r="AC133" s="8">
        <v>12</v>
      </c>
      <c r="AE133" s="7">
        <v>46038</v>
      </c>
      <c r="AF133" s="8">
        <v>12</v>
      </c>
      <c r="AH133" s="7">
        <v>46031</v>
      </c>
      <c r="AN133" s="8">
        <v>12</v>
      </c>
      <c r="AO133" s="8">
        <v>0</v>
      </c>
    </row>
    <row r="134" spans="1:41" x14ac:dyDescent="0.25">
      <c r="A134" s="6" t="str">
        <f t="shared" si="28"/>
        <v>520-2026000015</v>
      </c>
      <c r="B134" s="6" t="str">
        <f t="shared" si="24"/>
        <v>AUCHAN R</v>
      </c>
      <c r="C134" s="7">
        <v>46031</v>
      </c>
      <c r="D134" s="7">
        <v>46031</v>
      </c>
      <c r="E134" s="8">
        <v>8</v>
      </c>
      <c r="F134" s="6" t="str">
        <f t="shared" si="29"/>
        <v>1061196676</v>
      </c>
      <c r="G134" s="6" t="str">
        <f>"F110110840000003"</f>
        <v>F110110840000003</v>
      </c>
      <c r="H134" s="6" t="str">
        <f>"FAJ 1108 - 400 g/m²"</f>
        <v>FAJ 1108 - 400 g/m²</v>
      </c>
      <c r="I134" s="6" t="str">
        <f>"3073"</f>
        <v>3073</v>
      </c>
      <c r="J134" s="6" t="str">
        <f>"CINZA 3073"</f>
        <v>CINZA 3073</v>
      </c>
      <c r="K134" s="6" t="str">
        <f>"0830"</f>
        <v>0830</v>
      </c>
      <c r="L134" s="6" t="str">
        <f>"Cozinha"</f>
        <v>Cozinha</v>
      </c>
      <c r="M134" s="6" t="str">
        <f>"50x70"</f>
        <v>50x70</v>
      </c>
      <c r="N134" s="6" t="str">
        <f>"5602972279535"</f>
        <v>5602972279535</v>
      </c>
      <c r="O134" s="8">
        <v>12</v>
      </c>
      <c r="P134" s="7">
        <v>46031</v>
      </c>
      <c r="R134" s="8">
        <v>0</v>
      </c>
      <c r="U134" s="8">
        <v>0</v>
      </c>
      <c r="X134" s="8">
        <v>0</v>
      </c>
      <c r="Z134" s="8">
        <v>0</v>
      </c>
      <c r="AC134" s="8">
        <v>12</v>
      </c>
      <c r="AE134" s="7">
        <v>46038</v>
      </c>
      <c r="AF134" s="8">
        <v>12</v>
      </c>
      <c r="AH134" s="7">
        <v>46031</v>
      </c>
      <c r="AN134" s="8">
        <v>12</v>
      </c>
      <c r="AO134" s="8">
        <v>0</v>
      </c>
    </row>
    <row r="135" spans="1:41" x14ac:dyDescent="0.25">
      <c r="A135" s="6" t="str">
        <f t="shared" si="28"/>
        <v>520-2026000015</v>
      </c>
      <c r="B135" s="6" t="str">
        <f t="shared" si="24"/>
        <v>AUCHAN R</v>
      </c>
      <c r="C135" s="7">
        <v>46031</v>
      </c>
      <c r="D135" s="7">
        <v>46031</v>
      </c>
      <c r="E135" s="8">
        <v>9</v>
      </c>
      <c r="F135" s="6" t="str">
        <f t="shared" si="29"/>
        <v>1061196676</v>
      </c>
      <c r="G135" s="6" t="str">
        <f>"K001223323000000"</f>
        <v>K001223323000000</v>
      </c>
      <c r="H135" s="6" t="str">
        <f>"KB 2233 - Avental -"</f>
        <v>KB 2233 - Avental -</v>
      </c>
      <c r="I135" s="6" t="str">
        <f>"3073"</f>
        <v>3073</v>
      </c>
      <c r="J135" s="6" t="str">
        <f>"CINZA 3073"</f>
        <v>CINZA 3073</v>
      </c>
      <c r="K135" s="6" t="str">
        <f>"8803"</f>
        <v>8803</v>
      </c>
      <c r="L135" s="6" t="str">
        <f>"Cozinha"</f>
        <v>Cozinha</v>
      </c>
      <c r="M135" s="6" t="str">
        <f>"03 Avental"</f>
        <v>03 Avental</v>
      </c>
      <c r="N135" s="6" t="str">
        <f>"5602972279542"</f>
        <v>5602972279542</v>
      </c>
      <c r="O135" s="8">
        <v>12</v>
      </c>
      <c r="P135" s="7">
        <v>46031</v>
      </c>
      <c r="R135" s="8">
        <v>0</v>
      </c>
      <c r="U135" s="8">
        <v>0</v>
      </c>
      <c r="X135" s="8">
        <v>0</v>
      </c>
      <c r="Z135" s="8">
        <v>0</v>
      </c>
      <c r="AC135" s="8">
        <v>12</v>
      </c>
      <c r="AE135" s="7">
        <v>46038</v>
      </c>
      <c r="AF135" s="8">
        <v>12</v>
      </c>
      <c r="AH135" s="7">
        <v>46031</v>
      </c>
      <c r="AN135" s="8">
        <v>12</v>
      </c>
      <c r="AO135" s="8">
        <v>0</v>
      </c>
    </row>
    <row r="136" spans="1:41" x14ac:dyDescent="0.25">
      <c r="A136" s="6" t="str">
        <f>"520-2026000016"</f>
        <v>520-2026000016</v>
      </c>
      <c r="B136" s="6" t="str">
        <f>"LUZMONTE"</f>
        <v>LUZMONTE</v>
      </c>
      <c r="C136" s="7">
        <v>46031</v>
      </c>
      <c r="D136" s="7">
        <v>46031</v>
      </c>
      <c r="E136" s="8">
        <v>2</v>
      </c>
      <c r="F136" s="6" t="str">
        <f>"MACKENZIE"</f>
        <v>MACKENZIE</v>
      </c>
      <c r="G136" s="6" t="str">
        <f>"T854000025000001"</f>
        <v>T854000025000001</v>
      </c>
      <c r="H136" s="6" t="str">
        <f>"TMJ Liso (m) - 250 g"</f>
        <v>TMJ Liso (m) - 250 g</v>
      </c>
      <c r="I136" s="6" t="str">
        <f>"0"</f>
        <v>0</v>
      </c>
      <c r="J136" s="6" t="str">
        <f>"Crú"</f>
        <v>Crú</v>
      </c>
      <c r="K136" s="6" t="str">
        <f>"2531"</f>
        <v>2531</v>
      </c>
      <c r="L136" s="6" t="str">
        <f>"A Metro"</f>
        <v>A Metro</v>
      </c>
      <c r="M136" s="6" t="str">
        <f>"168x"</f>
        <v>168x</v>
      </c>
      <c r="N136" s="6" t="str">
        <f>" "</f>
        <v xml:space="preserve"> </v>
      </c>
      <c r="O136" s="8">
        <v>3400</v>
      </c>
      <c r="P136" s="7">
        <v>46034</v>
      </c>
      <c r="R136" s="8">
        <v>0</v>
      </c>
      <c r="U136" s="8">
        <v>0</v>
      </c>
      <c r="X136" s="8">
        <v>0</v>
      </c>
      <c r="Z136" s="8">
        <v>0</v>
      </c>
      <c r="AC136" s="8">
        <v>0</v>
      </c>
      <c r="AF136" s="8">
        <v>0</v>
      </c>
      <c r="AH136" s="7">
        <v>46031</v>
      </c>
      <c r="AN136" s="8">
        <v>0</v>
      </c>
      <c r="AO136" s="8">
        <v>3400</v>
      </c>
    </row>
    <row r="137" spans="1:41" x14ac:dyDescent="0.25">
      <c r="A137" s="6" t="str">
        <f>"520-2026000016"</f>
        <v>520-2026000016</v>
      </c>
      <c r="B137" s="6" t="str">
        <f>"LUZMONTE"</f>
        <v>LUZMONTE</v>
      </c>
      <c r="C137" s="7">
        <v>46031</v>
      </c>
      <c r="D137" s="7">
        <v>46031</v>
      </c>
      <c r="E137" s="8">
        <v>3</v>
      </c>
      <c r="F137" s="6" t="str">
        <f>"MACKENZIE"</f>
        <v>MACKENZIE</v>
      </c>
      <c r="G137" s="6" t="str">
        <f>"T851000023017206"</f>
        <v>T851000023017206</v>
      </c>
      <c r="H137" s="6" t="str">
        <f>"LT PANAMÁ / 17206 (m"</f>
        <v>LT PANAMÁ / 17206 (m</v>
      </c>
      <c r="I137" s="6" t="str">
        <f>"0"</f>
        <v>0</v>
      </c>
      <c r="J137" s="6" t="str">
        <f>"Crú"</f>
        <v>Crú</v>
      </c>
      <c r="K137" s="6" t="str">
        <f>"2558"</f>
        <v>2558</v>
      </c>
      <c r="L137" s="6" t="str">
        <f>"A Metro"</f>
        <v>A Metro</v>
      </c>
      <c r="M137" s="6" t="str">
        <f>"222x"</f>
        <v>222x</v>
      </c>
      <c r="N137" s="6" t="str">
        <f>" "</f>
        <v xml:space="preserve"> </v>
      </c>
      <c r="O137" s="8">
        <v>1000</v>
      </c>
      <c r="P137" s="7">
        <v>46034</v>
      </c>
      <c r="R137" s="8">
        <v>0</v>
      </c>
      <c r="U137" s="8">
        <v>0</v>
      </c>
      <c r="X137" s="8">
        <v>0</v>
      </c>
      <c r="Z137" s="8">
        <v>0</v>
      </c>
      <c r="AC137" s="8">
        <v>0</v>
      </c>
      <c r="AF137" s="8">
        <v>0</v>
      </c>
      <c r="AH137" s="7">
        <v>46031</v>
      </c>
      <c r="AN137" s="8">
        <v>0</v>
      </c>
      <c r="AO137" s="8">
        <v>1000</v>
      </c>
    </row>
    <row r="138" spans="1:41" x14ac:dyDescent="0.25">
      <c r="A138" s="6" t="str">
        <f>"520-2026000017"</f>
        <v>520-2026000017</v>
      </c>
      <c r="B138" s="6" t="str">
        <f>"LANA 202"</f>
        <v>LANA 202</v>
      </c>
      <c r="C138" s="7">
        <v>46031</v>
      </c>
      <c r="D138" s="7">
        <v>46031</v>
      </c>
      <c r="E138" s="8">
        <v>1</v>
      </c>
      <c r="F138" s="6" t="str">
        <f>"Nº 22"</f>
        <v>Nº 22</v>
      </c>
      <c r="G138" s="6" t="str">
        <f>"C090999900000004"</f>
        <v>C090999900000004</v>
      </c>
      <c r="H138" s="6" t="str">
        <f>"ALMOFADAS (ALASCA)"</f>
        <v>ALMOFADAS (ALASCA)</v>
      </c>
      <c r="I138" s="6" t="str">
        <f>"1"</f>
        <v>1</v>
      </c>
      <c r="J138" s="6" t="str">
        <f>"BRANCO"</f>
        <v>BRANCO</v>
      </c>
      <c r="K138" s="6" t="str">
        <f>"0405"</f>
        <v>0405</v>
      </c>
      <c r="L138" s="6" t="str">
        <f>"Almofada"</f>
        <v>Almofada</v>
      </c>
      <c r="M138" s="6" t="str">
        <f>"50x70"</f>
        <v>50x70</v>
      </c>
      <c r="N138" s="6" t="str">
        <f>"5602972267730"</f>
        <v>5602972267730</v>
      </c>
      <c r="O138" s="8">
        <v>4</v>
      </c>
      <c r="P138" s="7">
        <v>46031</v>
      </c>
      <c r="R138" s="8">
        <v>0</v>
      </c>
      <c r="U138" s="8">
        <v>0</v>
      </c>
      <c r="X138" s="8">
        <v>0</v>
      </c>
      <c r="Z138" s="8">
        <v>0</v>
      </c>
      <c r="AC138" s="8">
        <v>4</v>
      </c>
      <c r="AE138" s="7">
        <v>46038</v>
      </c>
      <c r="AF138" s="8">
        <v>4</v>
      </c>
      <c r="AH138" s="7">
        <v>46031</v>
      </c>
      <c r="AN138" s="8">
        <v>4</v>
      </c>
      <c r="AO138" s="8">
        <v>0</v>
      </c>
    </row>
    <row r="139" spans="1:41" x14ac:dyDescent="0.25">
      <c r="A139" s="6" t="str">
        <f t="shared" ref="A139:A144" si="30">"520-2026000018"</f>
        <v>520-2026000018</v>
      </c>
      <c r="B139" s="6" t="str">
        <f t="shared" ref="B139:B144" si="31">"AUCHAN R"</f>
        <v>AUCHAN R</v>
      </c>
      <c r="C139" s="7">
        <v>46034</v>
      </c>
      <c r="D139" s="7">
        <v>46038</v>
      </c>
      <c r="E139" s="8">
        <v>1</v>
      </c>
      <c r="F139" s="6" t="str">
        <f t="shared" ref="F139:F144" si="32">"1072817845"</f>
        <v>1072817845</v>
      </c>
      <c r="G139" s="6" t="str">
        <f>"F110329745000000"</f>
        <v>F110329745000000</v>
      </c>
      <c r="H139" s="6" t="str">
        <f>"FAJ 3297 - 450 g/m²"</f>
        <v>FAJ 3297 - 450 g/m²</v>
      </c>
      <c r="I139" s="6" t="str">
        <f>"2"</f>
        <v>2</v>
      </c>
      <c r="J139" s="6" t="str">
        <f>"NATURAL"</f>
        <v>NATURAL</v>
      </c>
      <c r="K139" s="6" t="str">
        <f>"0520"</f>
        <v>0520</v>
      </c>
      <c r="L139" s="6" t="str">
        <f>"Toalhetes"</f>
        <v>Toalhetes</v>
      </c>
      <c r="M139" s="6" t="str">
        <f>"30x50"</f>
        <v>30x50</v>
      </c>
      <c r="N139" s="6" t="str">
        <f>"5602972277852"</f>
        <v>5602972277852</v>
      </c>
      <c r="O139" s="8">
        <v>12</v>
      </c>
      <c r="P139" s="7">
        <v>46034</v>
      </c>
      <c r="R139" s="8">
        <v>0</v>
      </c>
      <c r="U139" s="8">
        <v>0</v>
      </c>
      <c r="X139" s="8">
        <v>0</v>
      </c>
      <c r="Z139" s="8">
        <v>0</v>
      </c>
      <c r="AC139" s="8">
        <v>0</v>
      </c>
      <c r="AE139" s="7">
        <v>46041</v>
      </c>
      <c r="AF139" s="8">
        <v>0</v>
      </c>
      <c r="AH139" s="7">
        <v>46038</v>
      </c>
      <c r="AN139" s="8">
        <v>0</v>
      </c>
      <c r="AO139" s="8">
        <v>12</v>
      </c>
    </row>
    <row r="140" spans="1:41" x14ac:dyDescent="0.25">
      <c r="A140" s="6" t="str">
        <f t="shared" si="30"/>
        <v>520-2026000018</v>
      </c>
      <c r="B140" s="6" t="str">
        <f t="shared" si="31"/>
        <v>AUCHAN R</v>
      </c>
      <c r="C140" s="7">
        <v>46034</v>
      </c>
      <c r="D140" s="7">
        <v>46038</v>
      </c>
      <c r="E140" s="8">
        <v>2</v>
      </c>
      <c r="F140" s="6" t="str">
        <f t="shared" si="32"/>
        <v>1072817845</v>
      </c>
      <c r="G140" s="6" t="str">
        <f>"F110329745000000"</f>
        <v>F110329745000000</v>
      </c>
      <c r="H140" s="6" t="str">
        <f>"FAJ 3297 - 450 g/m²"</f>
        <v>FAJ 3297 - 450 g/m²</v>
      </c>
      <c r="I140" s="6" t="str">
        <f>"2"</f>
        <v>2</v>
      </c>
      <c r="J140" s="6" t="str">
        <f>"NATURAL"</f>
        <v>NATURAL</v>
      </c>
      <c r="K140" s="6" t="str">
        <f>"1024"</f>
        <v>1024</v>
      </c>
      <c r="L140" s="6" t="str">
        <f>"Toalhas"</f>
        <v>Toalhas</v>
      </c>
      <c r="M140" s="6" t="str">
        <f>"50x100"</f>
        <v>50x100</v>
      </c>
      <c r="N140" s="6" t="str">
        <f>"5602972277869"</f>
        <v>5602972277869</v>
      </c>
      <c r="O140" s="8">
        <v>6</v>
      </c>
      <c r="P140" s="7">
        <v>46034</v>
      </c>
      <c r="R140" s="8">
        <v>0</v>
      </c>
      <c r="U140" s="8">
        <v>0</v>
      </c>
      <c r="X140" s="8">
        <v>0</v>
      </c>
      <c r="Z140" s="8">
        <v>0</v>
      </c>
      <c r="AC140" s="8">
        <v>6</v>
      </c>
      <c r="AE140" s="7">
        <v>46041</v>
      </c>
      <c r="AF140" s="8">
        <v>6</v>
      </c>
      <c r="AH140" s="7">
        <v>46038</v>
      </c>
      <c r="AN140" s="8">
        <v>6</v>
      </c>
      <c r="AO140" s="8">
        <v>0</v>
      </c>
    </row>
    <row r="141" spans="1:41" x14ac:dyDescent="0.25">
      <c r="A141" s="6" t="str">
        <f t="shared" si="30"/>
        <v>520-2026000018</v>
      </c>
      <c r="B141" s="6" t="str">
        <f t="shared" si="31"/>
        <v>AUCHAN R</v>
      </c>
      <c r="C141" s="7">
        <v>46034</v>
      </c>
      <c r="D141" s="7">
        <v>46038</v>
      </c>
      <c r="E141" s="8">
        <v>3</v>
      </c>
      <c r="F141" s="6" t="str">
        <f t="shared" si="32"/>
        <v>1072817845</v>
      </c>
      <c r="G141" s="6" t="str">
        <f>"F100021455000010"</f>
        <v>F100021455000010</v>
      </c>
      <c r="H141" s="6" t="str">
        <f>"FA 214 Bio GOTS - 55"</f>
        <v>FA 214 Bio GOTS - 55</v>
      </c>
      <c r="I141" s="6" t="str">
        <f>"1"</f>
        <v>1</v>
      </c>
      <c r="J141" s="6" t="str">
        <f>"BRANCO"</f>
        <v>BRANCO</v>
      </c>
      <c r="K141" s="6" t="str">
        <f>"1024"</f>
        <v>1024</v>
      </c>
      <c r="L141" s="6" t="str">
        <f>"Toalhas"</f>
        <v>Toalhas</v>
      </c>
      <c r="M141" s="6" t="str">
        <f>"50x100"</f>
        <v>50x100</v>
      </c>
      <c r="N141" s="6" t="str">
        <f>"5602972278583"</f>
        <v>5602972278583</v>
      </c>
      <c r="O141" s="8">
        <v>6</v>
      </c>
      <c r="P141" s="7">
        <v>46034</v>
      </c>
      <c r="R141" s="8">
        <v>0</v>
      </c>
      <c r="U141" s="8">
        <v>0</v>
      </c>
      <c r="X141" s="8">
        <v>0</v>
      </c>
      <c r="Z141" s="8">
        <v>0</v>
      </c>
      <c r="AC141" s="8">
        <v>6</v>
      </c>
      <c r="AE141" s="7">
        <v>46041</v>
      </c>
      <c r="AF141" s="8">
        <v>6</v>
      </c>
      <c r="AH141" s="7">
        <v>46038</v>
      </c>
      <c r="AN141" s="8">
        <v>6</v>
      </c>
      <c r="AO141" s="8">
        <v>0</v>
      </c>
    </row>
    <row r="142" spans="1:41" x14ac:dyDescent="0.25">
      <c r="A142" s="6" t="str">
        <f t="shared" si="30"/>
        <v>520-2026000018</v>
      </c>
      <c r="B142" s="6" t="str">
        <f t="shared" si="31"/>
        <v>AUCHAN R</v>
      </c>
      <c r="C142" s="7">
        <v>46034</v>
      </c>
      <c r="D142" s="7">
        <v>46038</v>
      </c>
      <c r="E142" s="8">
        <v>4</v>
      </c>
      <c r="F142" s="6" t="str">
        <f t="shared" si="32"/>
        <v>1072817845</v>
      </c>
      <c r="G142" s="6" t="str">
        <f>"F100021455000010"</f>
        <v>F100021455000010</v>
      </c>
      <c r="H142" s="6" t="str">
        <f>"FA 214 Bio GOTS - 55"</f>
        <v>FA 214 Bio GOTS - 55</v>
      </c>
      <c r="I142" s="6" t="str">
        <f>"19"</f>
        <v>19</v>
      </c>
      <c r="J142" s="6" t="str">
        <f>"PRETO REACTIVO 570"</f>
        <v>PRETO REACTIVO 570</v>
      </c>
      <c r="K142" s="6" t="str">
        <f>"1024"</f>
        <v>1024</v>
      </c>
      <c r="L142" s="6" t="str">
        <f>"Toalhas"</f>
        <v>Toalhas</v>
      </c>
      <c r="M142" s="6" t="str">
        <f>"50x100"</f>
        <v>50x100</v>
      </c>
      <c r="N142" s="6" t="str">
        <f>"5602972278613"</f>
        <v>5602972278613</v>
      </c>
      <c r="O142" s="8">
        <v>6</v>
      </c>
      <c r="P142" s="7">
        <v>46034</v>
      </c>
      <c r="R142" s="8">
        <v>0</v>
      </c>
      <c r="U142" s="8">
        <v>0</v>
      </c>
      <c r="X142" s="8">
        <v>0</v>
      </c>
      <c r="Z142" s="8">
        <v>0</v>
      </c>
      <c r="AC142" s="8">
        <v>6</v>
      </c>
      <c r="AE142" s="7">
        <v>46041</v>
      </c>
      <c r="AF142" s="8">
        <v>6</v>
      </c>
      <c r="AH142" s="7">
        <v>46038</v>
      </c>
      <c r="AN142" s="8">
        <v>6</v>
      </c>
      <c r="AO142" s="8">
        <v>0</v>
      </c>
    </row>
    <row r="143" spans="1:41" x14ac:dyDescent="0.25">
      <c r="A143" s="6" t="str">
        <f t="shared" si="30"/>
        <v>520-2026000018</v>
      </c>
      <c r="B143" s="6" t="str">
        <f t="shared" si="31"/>
        <v>AUCHAN R</v>
      </c>
      <c r="C143" s="7">
        <v>46034</v>
      </c>
      <c r="D143" s="7">
        <v>46038</v>
      </c>
      <c r="E143" s="8">
        <v>5</v>
      </c>
      <c r="F143" s="6" t="str">
        <f t="shared" si="32"/>
        <v>1072817845</v>
      </c>
      <c r="G143" s="6" t="str">
        <f>"C090020000000085"</f>
        <v>C090020000000085</v>
      </c>
      <c r="H143" s="6" t="str">
        <f>"Conj. Cetim 200 Fios"</f>
        <v>Conj. Cetim 200 Fios</v>
      </c>
      <c r="I143" s="6" t="str">
        <f>"600001"</f>
        <v>600001</v>
      </c>
      <c r="J143" s="6" t="str">
        <f>"Branco"</f>
        <v>Branco</v>
      </c>
      <c r="K143" s="6" t="str">
        <f>"4014"</f>
        <v>4014</v>
      </c>
      <c r="L143" s="6" t="str">
        <f>"Conjunto/Jogos"</f>
        <v>Conjunto/Jogos</v>
      </c>
      <c r="M143" s="6" t="str">
        <f>"(2 Pcs)"</f>
        <v>(2 Pcs)</v>
      </c>
      <c r="N143" s="6" t="str">
        <f>"5602972279856"</f>
        <v>5602972279856</v>
      </c>
      <c r="O143" s="8">
        <v>24</v>
      </c>
      <c r="P143" s="7">
        <v>46034</v>
      </c>
      <c r="R143" s="8">
        <v>0</v>
      </c>
      <c r="U143" s="8">
        <v>0</v>
      </c>
      <c r="X143" s="8">
        <v>0</v>
      </c>
      <c r="Z143" s="8">
        <v>0</v>
      </c>
      <c r="AC143" s="8">
        <v>24</v>
      </c>
      <c r="AE143" s="7">
        <v>46041</v>
      </c>
      <c r="AF143" s="8">
        <v>24</v>
      </c>
      <c r="AH143" s="7">
        <v>46038</v>
      </c>
      <c r="AN143" s="8">
        <v>24</v>
      </c>
      <c r="AO143" s="8">
        <v>0</v>
      </c>
    </row>
    <row r="144" spans="1:41" x14ac:dyDescent="0.25">
      <c r="A144" s="6" t="str">
        <f t="shared" si="30"/>
        <v>520-2026000018</v>
      </c>
      <c r="B144" s="6" t="str">
        <f t="shared" si="31"/>
        <v>AUCHAN R</v>
      </c>
      <c r="C144" s="7">
        <v>46034</v>
      </c>
      <c r="D144" s="7">
        <v>46038</v>
      </c>
      <c r="E144" s="8">
        <v>6</v>
      </c>
      <c r="F144" s="6" t="str">
        <f t="shared" si="32"/>
        <v>1072817845</v>
      </c>
      <c r="G144" s="6" t="str">
        <f>"K001223323000000"</f>
        <v>K001223323000000</v>
      </c>
      <c r="H144" s="6" t="str">
        <f>"KB 2233 - Avental -"</f>
        <v>KB 2233 - Avental -</v>
      </c>
      <c r="I144" s="6" t="str">
        <f>"3073"</f>
        <v>3073</v>
      </c>
      <c r="J144" s="6" t="str">
        <f>"CINZA 3073"</f>
        <v>CINZA 3073</v>
      </c>
      <c r="K144" s="6" t="str">
        <f>"8803"</f>
        <v>8803</v>
      </c>
      <c r="L144" s="6" t="str">
        <f>"Cozinha"</f>
        <v>Cozinha</v>
      </c>
      <c r="M144" s="6" t="str">
        <f>"03 Avental"</f>
        <v>03 Avental</v>
      </c>
      <c r="N144" s="6" t="str">
        <f>"5602972279542"</f>
        <v>5602972279542</v>
      </c>
      <c r="O144" s="8">
        <v>24</v>
      </c>
      <c r="P144" s="7">
        <v>46034</v>
      </c>
      <c r="R144" s="8">
        <v>0</v>
      </c>
      <c r="U144" s="8">
        <v>0</v>
      </c>
      <c r="X144" s="8">
        <v>0</v>
      </c>
      <c r="Z144" s="8">
        <v>0</v>
      </c>
      <c r="AC144" s="8">
        <v>24</v>
      </c>
      <c r="AE144" s="7">
        <v>46041</v>
      </c>
      <c r="AF144" s="8">
        <v>24</v>
      </c>
      <c r="AH144" s="7">
        <v>46038</v>
      </c>
      <c r="AN144" s="8">
        <v>24</v>
      </c>
      <c r="AO144" s="8">
        <v>0</v>
      </c>
    </row>
    <row r="145" spans="1:41" x14ac:dyDescent="0.25">
      <c r="A145" s="6" t="str">
        <f t="shared" ref="A145:A152" si="33">"520-2026000019"</f>
        <v>520-2026000019</v>
      </c>
      <c r="B145" s="6" t="str">
        <f t="shared" ref="B145:B156" si="34">"CIFRÕES"</f>
        <v>CIFRÕES</v>
      </c>
      <c r="C145" s="7">
        <v>46034</v>
      </c>
      <c r="D145" s="7">
        <v>46122</v>
      </c>
      <c r="E145" s="8">
        <v>11</v>
      </c>
      <c r="F145" s="6" t="str">
        <f t="shared" ref="F145:F152" si="35">"ERICEIRA - NOVAS COR"</f>
        <v>ERICEIRA - NOVAS COR</v>
      </c>
      <c r="G145" s="6" t="str">
        <f>"K120235838000000"</f>
        <v>K120235838000000</v>
      </c>
      <c r="H145" s="6" t="str">
        <f>"KB 2358 - FAJA 3456"</f>
        <v>KB 2358 - FAJA 3456</v>
      </c>
      <c r="I145" s="6" t="str">
        <f>"6041"</f>
        <v>6041</v>
      </c>
      <c r="J145" s="6" t="str">
        <f>"SALMÃO 6041"</f>
        <v>SALMÃO 6041</v>
      </c>
      <c r="K145" s="6" t="str">
        <f>"5876"</f>
        <v>5876</v>
      </c>
      <c r="L145" s="6" t="str">
        <f>"Poncho"</f>
        <v>Poncho</v>
      </c>
      <c r="M145" s="6" t="str">
        <f>"Tamanho 1"</f>
        <v>Tamanho 1</v>
      </c>
      <c r="N145" s="6" t="str">
        <f>" "</f>
        <v xml:space="preserve"> </v>
      </c>
      <c r="O145" s="8">
        <v>75</v>
      </c>
      <c r="P145" s="7">
        <v>46086</v>
      </c>
      <c r="R145" s="8">
        <v>0</v>
      </c>
      <c r="S145" s="7">
        <v>46091</v>
      </c>
      <c r="U145" s="8">
        <v>0</v>
      </c>
      <c r="V145" s="7">
        <v>46100</v>
      </c>
      <c r="X145" s="8">
        <v>0</v>
      </c>
      <c r="Z145" s="8">
        <v>0</v>
      </c>
      <c r="AA145" s="7">
        <v>46114</v>
      </c>
      <c r="AC145" s="8">
        <v>0</v>
      </c>
      <c r="AE145" s="7">
        <v>46120</v>
      </c>
      <c r="AF145" s="8">
        <v>0</v>
      </c>
      <c r="AH145" s="7">
        <v>46122</v>
      </c>
      <c r="AN145" s="8">
        <v>0</v>
      </c>
      <c r="AO145" s="8">
        <v>75</v>
      </c>
    </row>
    <row r="146" spans="1:41" x14ac:dyDescent="0.25">
      <c r="A146" s="6" t="str">
        <f t="shared" si="33"/>
        <v>520-2026000019</v>
      </c>
      <c r="B146" s="6" t="str">
        <f t="shared" si="34"/>
        <v>CIFRÕES</v>
      </c>
      <c r="C146" s="7">
        <v>46034</v>
      </c>
      <c r="D146" s="7">
        <v>46122</v>
      </c>
      <c r="E146" s="8">
        <v>12</v>
      </c>
      <c r="F146" s="6" t="str">
        <f t="shared" si="35"/>
        <v>ERICEIRA - NOVAS COR</v>
      </c>
      <c r="G146" s="6" t="str">
        <f>"K120235838000000"</f>
        <v>K120235838000000</v>
      </c>
      <c r="H146" s="6" t="str">
        <f>"KB 2358 - FAJA 3456"</f>
        <v>KB 2358 - FAJA 3456</v>
      </c>
      <c r="I146" s="6" t="str">
        <f>"6041"</f>
        <v>6041</v>
      </c>
      <c r="J146" s="6" t="str">
        <f>"SALMÃO 6041"</f>
        <v>SALMÃO 6041</v>
      </c>
      <c r="K146" s="6" t="str">
        <f>"5877"</f>
        <v>5877</v>
      </c>
      <c r="L146" s="6" t="str">
        <f>"Poncho"</f>
        <v>Poncho</v>
      </c>
      <c r="M146" s="6" t="str">
        <f>"Tamanho 2"</f>
        <v>Tamanho 2</v>
      </c>
      <c r="N146" s="6" t="str">
        <f>" "</f>
        <v xml:space="preserve"> </v>
      </c>
      <c r="O146" s="8">
        <v>50</v>
      </c>
      <c r="P146" s="7">
        <v>46086</v>
      </c>
      <c r="R146" s="8">
        <v>0</v>
      </c>
      <c r="S146" s="7">
        <v>46091</v>
      </c>
      <c r="U146" s="8">
        <v>0</v>
      </c>
      <c r="V146" s="7">
        <v>46100</v>
      </c>
      <c r="X146" s="8">
        <v>0</v>
      </c>
      <c r="Z146" s="8">
        <v>0</v>
      </c>
      <c r="AA146" s="7">
        <v>46114</v>
      </c>
      <c r="AC146" s="8">
        <v>0</v>
      </c>
      <c r="AE146" s="7">
        <v>46120</v>
      </c>
      <c r="AF146" s="8">
        <v>0</v>
      </c>
      <c r="AH146" s="7">
        <v>46122</v>
      </c>
      <c r="AN146" s="8">
        <v>0</v>
      </c>
      <c r="AO146" s="8">
        <v>50</v>
      </c>
    </row>
    <row r="147" spans="1:41" x14ac:dyDescent="0.25">
      <c r="A147" s="6" t="str">
        <f t="shared" si="33"/>
        <v>520-2026000019</v>
      </c>
      <c r="B147" s="6" t="str">
        <f t="shared" si="34"/>
        <v>CIFRÕES</v>
      </c>
      <c r="C147" s="7">
        <v>46034</v>
      </c>
      <c r="D147" s="7">
        <v>46122</v>
      </c>
      <c r="E147" s="8">
        <v>13</v>
      </c>
      <c r="F147" s="6" t="str">
        <f t="shared" si="35"/>
        <v>ERICEIRA - NOVAS COR</v>
      </c>
      <c r="G147" s="6" t="str">
        <f>"K120235838000000"</f>
        <v>K120235838000000</v>
      </c>
      <c r="H147" s="6" t="str">
        <f>"KB 2358 - FAJA 3456"</f>
        <v>KB 2358 - FAJA 3456</v>
      </c>
      <c r="I147" s="6" t="str">
        <f>"6041"</f>
        <v>6041</v>
      </c>
      <c r="J147" s="6" t="str">
        <f>"SALMÃO 6041"</f>
        <v>SALMÃO 6041</v>
      </c>
      <c r="K147" s="6" t="str">
        <f>"5878"</f>
        <v>5878</v>
      </c>
      <c r="L147" s="6" t="str">
        <f>"Poncho"</f>
        <v>Poncho</v>
      </c>
      <c r="M147" s="6" t="str">
        <f>"Tamanho 3"</f>
        <v>Tamanho 3</v>
      </c>
      <c r="N147" s="6" t="str">
        <f>" "</f>
        <v xml:space="preserve"> </v>
      </c>
      <c r="O147" s="8">
        <v>120</v>
      </c>
      <c r="P147" s="7">
        <v>46086</v>
      </c>
      <c r="R147" s="8">
        <v>0</v>
      </c>
      <c r="S147" s="7">
        <v>46091</v>
      </c>
      <c r="U147" s="8">
        <v>0</v>
      </c>
      <c r="V147" s="7">
        <v>46100</v>
      </c>
      <c r="X147" s="8">
        <v>0</v>
      </c>
      <c r="Z147" s="8">
        <v>0</v>
      </c>
      <c r="AA147" s="7">
        <v>46114</v>
      </c>
      <c r="AC147" s="8">
        <v>0</v>
      </c>
      <c r="AE147" s="7">
        <v>46120</v>
      </c>
      <c r="AF147" s="8">
        <v>0</v>
      </c>
      <c r="AH147" s="7">
        <v>46122</v>
      </c>
      <c r="AN147" s="8">
        <v>0</v>
      </c>
      <c r="AO147" s="8">
        <v>120</v>
      </c>
    </row>
    <row r="148" spans="1:41" x14ac:dyDescent="0.25">
      <c r="A148" s="6" t="str">
        <f t="shared" si="33"/>
        <v>520-2026000019</v>
      </c>
      <c r="B148" s="6" t="str">
        <f t="shared" si="34"/>
        <v>CIFRÕES</v>
      </c>
      <c r="C148" s="7">
        <v>46034</v>
      </c>
      <c r="D148" s="7">
        <v>46122</v>
      </c>
      <c r="E148" s="8">
        <v>14</v>
      </c>
      <c r="F148" s="6" t="str">
        <f t="shared" si="35"/>
        <v>ERICEIRA - NOVAS COR</v>
      </c>
      <c r="G148" s="6" t="str">
        <f>"K120235838000000"</f>
        <v>K120235838000000</v>
      </c>
      <c r="H148" s="6" t="str">
        <f>"KB 2358 - FAJA 3456"</f>
        <v>KB 2358 - FAJA 3456</v>
      </c>
      <c r="I148" s="6" t="str">
        <f>"6040"</f>
        <v>6040</v>
      </c>
      <c r="J148" s="6" t="str">
        <f>"VERDE 6040"</f>
        <v>VERDE 6040</v>
      </c>
      <c r="K148" s="6" t="str">
        <f>"5878"</f>
        <v>5878</v>
      </c>
      <c r="L148" s="6" t="str">
        <f>"Poncho"</f>
        <v>Poncho</v>
      </c>
      <c r="M148" s="6" t="str">
        <f>"Tamanho 3"</f>
        <v>Tamanho 3</v>
      </c>
      <c r="N148" s="6" t="str">
        <f>" "</f>
        <v xml:space="preserve"> </v>
      </c>
      <c r="O148" s="8">
        <v>1</v>
      </c>
      <c r="P148" s="7">
        <v>46086</v>
      </c>
      <c r="R148" s="8">
        <v>0</v>
      </c>
      <c r="S148" s="7">
        <v>46091</v>
      </c>
      <c r="U148" s="8">
        <v>0</v>
      </c>
      <c r="V148" s="7">
        <v>46100</v>
      </c>
      <c r="X148" s="8">
        <v>0</v>
      </c>
      <c r="Z148" s="8">
        <v>0</v>
      </c>
      <c r="AA148" s="7">
        <v>46114</v>
      </c>
      <c r="AC148" s="8">
        <v>0</v>
      </c>
      <c r="AE148" s="7">
        <v>46120</v>
      </c>
      <c r="AF148" s="8">
        <v>0</v>
      </c>
      <c r="AH148" s="7">
        <v>46122</v>
      </c>
      <c r="AN148" s="8">
        <v>0</v>
      </c>
      <c r="AO148" s="8">
        <v>1</v>
      </c>
    </row>
    <row r="149" spans="1:41" x14ac:dyDescent="0.25">
      <c r="A149" s="6" t="str">
        <f t="shared" si="33"/>
        <v>520-2026000019</v>
      </c>
      <c r="B149" s="6" t="str">
        <f t="shared" si="34"/>
        <v>CIFRÕES</v>
      </c>
      <c r="C149" s="7">
        <v>46034</v>
      </c>
      <c r="D149" s="7">
        <v>46122</v>
      </c>
      <c r="E149" s="8">
        <v>15</v>
      </c>
      <c r="F149" s="6" t="str">
        <f t="shared" si="35"/>
        <v>ERICEIRA - NOVAS COR</v>
      </c>
      <c r="G149" s="6" t="str">
        <f>"K120235538000000"</f>
        <v>K120235538000000</v>
      </c>
      <c r="H149" s="6" t="str">
        <f>"KB 2355 - FAJA 3456"</f>
        <v>KB 2355 - FAJA 3456</v>
      </c>
      <c r="I149" s="6" t="str">
        <f>"6040"</f>
        <v>6040</v>
      </c>
      <c r="J149" s="6" t="str">
        <f>"VERDE 6040"</f>
        <v>VERDE 6040</v>
      </c>
      <c r="K149" s="6" t="str">
        <f>"3530"</f>
        <v>3530</v>
      </c>
      <c r="L149" s="6" t="str">
        <f>"Praia"</f>
        <v>Praia</v>
      </c>
      <c r="M149" s="6" t="str">
        <f>"100x180"</f>
        <v>100x180</v>
      </c>
      <c r="N149" s="6" t="str">
        <f>"5602972285178"</f>
        <v>5602972285178</v>
      </c>
      <c r="O149" s="8">
        <v>1</v>
      </c>
      <c r="P149" s="7">
        <v>46086</v>
      </c>
      <c r="R149" s="8">
        <v>0</v>
      </c>
      <c r="S149" s="7">
        <v>46091</v>
      </c>
      <c r="U149" s="8">
        <v>0</v>
      </c>
      <c r="V149" s="7">
        <v>46100</v>
      </c>
      <c r="X149" s="8">
        <v>0</v>
      </c>
      <c r="Z149" s="8">
        <v>0</v>
      </c>
      <c r="AA149" s="7">
        <v>46114</v>
      </c>
      <c r="AC149" s="8">
        <v>0</v>
      </c>
      <c r="AE149" s="7">
        <v>46120</v>
      </c>
      <c r="AF149" s="8">
        <v>0</v>
      </c>
      <c r="AH149" s="7">
        <v>46122</v>
      </c>
      <c r="AN149" s="8">
        <v>0</v>
      </c>
      <c r="AO149" s="8">
        <v>1</v>
      </c>
    </row>
    <row r="150" spans="1:41" x14ac:dyDescent="0.25">
      <c r="A150" s="6" t="str">
        <f t="shared" si="33"/>
        <v>520-2026000019</v>
      </c>
      <c r="B150" s="6" t="str">
        <f t="shared" si="34"/>
        <v>CIFRÕES</v>
      </c>
      <c r="C150" s="7">
        <v>46034</v>
      </c>
      <c r="D150" s="7">
        <v>46122</v>
      </c>
      <c r="E150" s="8">
        <v>16</v>
      </c>
      <c r="F150" s="6" t="str">
        <f t="shared" si="35"/>
        <v>ERICEIRA - NOVAS COR</v>
      </c>
      <c r="G150" s="6" t="str">
        <f>"K120235538000000"</f>
        <v>K120235538000000</v>
      </c>
      <c r="H150" s="6" t="str">
        <f>"KB 2355 - FAJA 3456"</f>
        <v>KB 2355 - FAJA 3456</v>
      </c>
      <c r="I150" s="6" t="str">
        <f>"6041"</f>
        <v>6041</v>
      </c>
      <c r="J150" s="6" t="str">
        <f>"SALMÃO 6041"</f>
        <v>SALMÃO 6041</v>
      </c>
      <c r="K150" s="6" t="str">
        <f>"3530"</f>
        <v>3530</v>
      </c>
      <c r="L150" s="6" t="str">
        <f>"Praia"</f>
        <v>Praia</v>
      </c>
      <c r="M150" s="6" t="str">
        <f>"100x180"</f>
        <v>100x180</v>
      </c>
      <c r="N150" s="6" t="str">
        <f>"5602972285185"</f>
        <v>5602972285185</v>
      </c>
      <c r="O150" s="8">
        <v>100</v>
      </c>
      <c r="P150" s="7">
        <v>46086</v>
      </c>
      <c r="R150" s="8">
        <v>0</v>
      </c>
      <c r="S150" s="7">
        <v>46091</v>
      </c>
      <c r="U150" s="8">
        <v>0</v>
      </c>
      <c r="V150" s="7">
        <v>46100</v>
      </c>
      <c r="X150" s="8">
        <v>0</v>
      </c>
      <c r="Z150" s="8">
        <v>0</v>
      </c>
      <c r="AA150" s="7">
        <v>46114</v>
      </c>
      <c r="AC150" s="8">
        <v>0</v>
      </c>
      <c r="AE150" s="7">
        <v>46120</v>
      </c>
      <c r="AF150" s="8">
        <v>0</v>
      </c>
      <c r="AH150" s="7">
        <v>46122</v>
      </c>
      <c r="AN150" s="8">
        <v>0</v>
      </c>
      <c r="AO150" s="8">
        <v>100</v>
      </c>
    </row>
    <row r="151" spans="1:41" x14ac:dyDescent="0.25">
      <c r="A151" s="6" t="str">
        <f t="shared" si="33"/>
        <v>520-2026000019</v>
      </c>
      <c r="B151" s="6" t="str">
        <f t="shared" si="34"/>
        <v>CIFRÕES</v>
      </c>
      <c r="C151" s="7">
        <v>46034</v>
      </c>
      <c r="D151" s="7">
        <v>46122</v>
      </c>
      <c r="E151" s="8">
        <v>17</v>
      </c>
      <c r="F151" s="6" t="str">
        <f t="shared" si="35"/>
        <v>ERICEIRA - NOVAS COR</v>
      </c>
      <c r="G151" s="6" t="str">
        <f>"K120235838000000"</f>
        <v>K120235838000000</v>
      </c>
      <c r="H151" s="6" t="str">
        <f>"KB 2358 - FAJA 3456"</f>
        <v>KB 2358 - FAJA 3456</v>
      </c>
      <c r="I151" s="6" t="str">
        <f>"6042"</f>
        <v>6042</v>
      </c>
      <c r="J151" s="6" t="str">
        <f>"VERDE 6042"</f>
        <v>VERDE 6042</v>
      </c>
      <c r="K151" s="6" t="str">
        <f>"5878"</f>
        <v>5878</v>
      </c>
      <c r="L151" s="6" t="str">
        <f>"Poncho"</f>
        <v>Poncho</v>
      </c>
      <c r="M151" s="6" t="str">
        <f>"Tamanho 3"</f>
        <v>Tamanho 3</v>
      </c>
      <c r="N151" s="6" t="str">
        <f t="shared" ref="N151:N156" si="36">" "</f>
        <v xml:space="preserve"> </v>
      </c>
      <c r="O151" s="8">
        <v>120</v>
      </c>
      <c r="P151" s="7">
        <v>46086</v>
      </c>
      <c r="R151" s="8">
        <v>0</v>
      </c>
      <c r="S151" s="7">
        <v>46091</v>
      </c>
      <c r="U151" s="8">
        <v>0</v>
      </c>
      <c r="V151" s="7">
        <v>46100</v>
      </c>
      <c r="X151" s="8">
        <v>0</v>
      </c>
      <c r="Z151" s="8">
        <v>0</v>
      </c>
      <c r="AA151" s="7">
        <v>46114</v>
      </c>
      <c r="AC151" s="8">
        <v>0</v>
      </c>
      <c r="AE151" s="7">
        <v>46120</v>
      </c>
      <c r="AF151" s="8">
        <v>0</v>
      </c>
      <c r="AH151" s="7">
        <v>46122</v>
      </c>
      <c r="AN151" s="8">
        <v>0</v>
      </c>
      <c r="AO151" s="8">
        <v>120</v>
      </c>
    </row>
    <row r="152" spans="1:41" x14ac:dyDescent="0.25">
      <c r="A152" s="6" t="str">
        <f t="shared" si="33"/>
        <v>520-2026000019</v>
      </c>
      <c r="B152" s="6" t="str">
        <f t="shared" si="34"/>
        <v>CIFRÕES</v>
      </c>
      <c r="C152" s="7">
        <v>46034</v>
      </c>
      <c r="D152" s="7">
        <v>46122</v>
      </c>
      <c r="E152" s="8">
        <v>18</v>
      </c>
      <c r="F152" s="6" t="str">
        <f t="shared" si="35"/>
        <v>ERICEIRA - NOVAS COR</v>
      </c>
      <c r="G152" s="6" t="str">
        <f>"K120235538000000"</f>
        <v>K120235538000000</v>
      </c>
      <c r="H152" s="6" t="str">
        <f>"KB 2355 - FAJA 3456"</f>
        <v>KB 2355 - FAJA 3456</v>
      </c>
      <c r="I152" s="6" t="str">
        <f>"6042"</f>
        <v>6042</v>
      </c>
      <c r="J152" s="6" t="str">
        <f>"VERDE 6042"</f>
        <v>VERDE 6042</v>
      </c>
      <c r="K152" s="6" t="str">
        <f>"3530"</f>
        <v>3530</v>
      </c>
      <c r="L152" s="6" t="str">
        <f>"Praia"</f>
        <v>Praia</v>
      </c>
      <c r="M152" s="6" t="str">
        <f>"100x180"</f>
        <v>100x180</v>
      </c>
      <c r="N152" s="6" t="str">
        <f t="shared" si="36"/>
        <v xml:space="preserve"> </v>
      </c>
      <c r="O152" s="8">
        <v>100</v>
      </c>
      <c r="P152" s="7">
        <v>46086</v>
      </c>
      <c r="R152" s="8">
        <v>0</v>
      </c>
      <c r="S152" s="7">
        <v>46091</v>
      </c>
      <c r="U152" s="8">
        <v>0</v>
      </c>
      <c r="V152" s="7">
        <v>46100</v>
      </c>
      <c r="X152" s="8">
        <v>0</v>
      </c>
      <c r="Z152" s="8">
        <v>0</v>
      </c>
      <c r="AA152" s="7">
        <v>46114</v>
      </c>
      <c r="AC152" s="8">
        <v>0</v>
      </c>
      <c r="AE152" s="7">
        <v>46120</v>
      </c>
      <c r="AF152" s="8">
        <v>0</v>
      </c>
      <c r="AH152" s="7">
        <v>46122</v>
      </c>
      <c r="AN152" s="8">
        <v>0</v>
      </c>
      <c r="AO152" s="8">
        <v>100</v>
      </c>
    </row>
    <row r="153" spans="1:41" x14ac:dyDescent="0.25">
      <c r="A153" s="6" t="str">
        <f>"520-2026000020"</f>
        <v>520-2026000020</v>
      </c>
      <c r="B153" s="6" t="str">
        <f t="shared" si="34"/>
        <v>CIFRÕES</v>
      </c>
      <c r="C153" s="7">
        <v>46034</v>
      </c>
      <c r="D153" s="7">
        <v>46122</v>
      </c>
      <c r="E153" s="8">
        <v>9</v>
      </c>
      <c r="F153" s="6" t="str">
        <f>"BEDU - NOVAS CORES"</f>
        <v>BEDU - NOVAS CORES</v>
      </c>
      <c r="G153" s="6" t="str">
        <f>"K330235938000000"</f>
        <v>K330235938000000</v>
      </c>
      <c r="H153" s="6" t="str">
        <f>"KB 2359 - PLA 3039 B"</f>
        <v>KB 2359 - PLA 3039 B</v>
      </c>
      <c r="I153" s="6" t="str">
        <f>"204947"</f>
        <v>204947</v>
      </c>
      <c r="J153" s="6" t="str">
        <f>"SALMÃO 4947"</f>
        <v>SALMÃO 4947</v>
      </c>
      <c r="K153" s="6" t="str">
        <f>"5878"</f>
        <v>5878</v>
      </c>
      <c r="L153" s="6" t="str">
        <f>"Poncho"</f>
        <v>Poncho</v>
      </c>
      <c r="M153" s="6" t="str">
        <f>"Tamanho 3"</f>
        <v>Tamanho 3</v>
      </c>
      <c r="N153" s="6" t="str">
        <f t="shared" si="36"/>
        <v xml:space="preserve"> </v>
      </c>
      <c r="O153" s="8">
        <v>120</v>
      </c>
      <c r="P153" s="7">
        <v>46092</v>
      </c>
      <c r="R153" s="8">
        <v>0</v>
      </c>
      <c r="S153" s="7">
        <v>46097</v>
      </c>
      <c r="U153" s="8">
        <v>0</v>
      </c>
      <c r="V153" s="7">
        <v>46100</v>
      </c>
      <c r="X153" s="8">
        <v>0</v>
      </c>
      <c r="Z153" s="8">
        <v>0</v>
      </c>
      <c r="AA153" s="7">
        <v>46112</v>
      </c>
      <c r="AC153" s="8">
        <v>0</v>
      </c>
      <c r="AE153" s="7">
        <v>46114</v>
      </c>
      <c r="AF153" s="8">
        <v>0</v>
      </c>
      <c r="AH153" s="7">
        <v>46122</v>
      </c>
      <c r="AN153" s="8">
        <v>0</v>
      </c>
      <c r="AO153" s="8">
        <v>120</v>
      </c>
    </row>
    <row r="154" spans="1:41" x14ac:dyDescent="0.25">
      <c r="A154" s="6" t="str">
        <f>"520-2026000020"</f>
        <v>520-2026000020</v>
      </c>
      <c r="B154" s="6" t="str">
        <f t="shared" si="34"/>
        <v>CIFRÕES</v>
      </c>
      <c r="C154" s="7">
        <v>46034</v>
      </c>
      <c r="D154" s="7">
        <v>46122</v>
      </c>
      <c r="E154" s="8">
        <v>11</v>
      </c>
      <c r="F154" s="6" t="str">
        <f>"BEDU - NOVAS CORES"</f>
        <v>BEDU - NOVAS CORES</v>
      </c>
      <c r="G154" s="6" t="str">
        <f>"K330235638000000"</f>
        <v>K330235638000000</v>
      </c>
      <c r="H154" s="6" t="str">
        <f>"KB 2356 - PLA 3039 B"</f>
        <v>KB 2356 - PLA 3039 B</v>
      </c>
      <c r="I154" s="6" t="str">
        <f>"204947"</f>
        <v>204947</v>
      </c>
      <c r="J154" s="6" t="str">
        <f>"SALMÃO 4947"</f>
        <v>SALMÃO 4947</v>
      </c>
      <c r="K154" s="6" t="str">
        <f>"3530"</f>
        <v>3530</v>
      </c>
      <c r="L154" s="6" t="str">
        <f>"Praia"</f>
        <v>Praia</v>
      </c>
      <c r="M154" s="6" t="str">
        <f>"100x180"</f>
        <v>100x180</v>
      </c>
      <c r="N154" s="6" t="str">
        <f t="shared" si="36"/>
        <v xml:space="preserve"> </v>
      </c>
      <c r="O154" s="8">
        <v>100</v>
      </c>
      <c r="P154" s="7">
        <v>46092</v>
      </c>
      <c r="R154" s="8">
        <v>0</v>
      </c>
      <c r="S154" s="7">
        <v>46097</v>
      </c>
      <c r="U154" s="8">
        <v>0</v>
      </c>
      <c r="V154" s="7">
        <v>46100</v>
      </c>
      <c r="X154" s="8">
        <v>0</v>
      </c>
      <c r="Z154" s="8">
        <v>0</v>
      </c>
      <c r="AA154" s="7">
        <v>46112</v>
      </c>
      <c r="AC154" s="8">
        <v>0</v>
      </c>
      <c r="AE154" s="7">
        <v>46114</v>
      </c>
      <c r="AF154" s="8">
        <v>0</v>
      </c>
      <c r="AH154" s="7">
        <v>46122</v>
      </c>
      <c r="AN154" s="8">
        <v>0</v>
      </c>
      <c r="AO154" s="8">
        <v>100</v>
      </c>
    </row>
    <row r="155" spans="1:41" x14ac:dyDescent="0.25">
      <c r="A155" s="6" t="str">
        <f>"520-2026000020"</f>
        <v>520-2026000020</v>
      </c>
      <c r="B155" s="6" t="str">
        <f t="shared" si="34"/>
        <v>CIFRÕES</v>
      </c>
      <c r="C155" s="7">
        <v>46034</v>
      </c>
      <c r="D155" s="7">
        <v>46122</v>
      </c>
      <c r="E155" s="8">
        <v>12</v>
      </c>
      <c r="F155" s="6" t="str">
        <f>"BEDU - NOVAS CORES"</f>
        <v>BEDU - NOVAS CORES</v>
      </c>
      <c r="G155" s="6" t="str">
        <f>"K330235938000000"</f>
        <v>K330235938000000</v>
      </c>
      <c r="H155" s="6" t="str">
        <f>"KB 2359 - PLA 3039 B"</f>
        <v>KB 2359 - PLA 3039 B</v>
      </c>
      <c r="I155" s="6" t="str">
        <f>"204949"</f>
        <v>204949</v>
      </c>
      <c r="J155" s="6" t="str">
        <f>"VERDE 4949"</f>
        <v>VERDE 4949</v>
      </c>
      <c r="K155" s="6" t="str">
        <f>"5878"</f>
        <v>5878</v>
      </c>
      <c r="L155" s="6" t="str">
        <f>"Poncho"</f>
        <v>Poncho</v>
      </c>
      <c r="M155" s="6" t="str">
        <f>"Tamanho 3"</f>
        <v>Tamanho 3</v>
      </c>
      <c r="N155" s="6" t="str">
        <f t="shared" si="36"/>
        <v xml:space="preserve"> </v>
      </c>
      <c r="O155" s="8">
        <v>120</v>
      </c>
      <c r="P155" s="7">
        <v>46092</v>
      </c>
      <c r="R155" s="8">
        <v>0</v>
      </c>
      <c r="S155" s="7">
        <v>46097</v>
      </c>
      <c r="U155" s="8">
        <v>0</v>
      </c>
      <c r="V155" s="7">
        <v>46100</v>
      </c>
      <c r="X155" s="8">
        <v>0</v>
      </c>
      <c r="Z155" s="8">
        <v>0</v>
      </c>
      <c r="AA155" s="7">
        <v>46112</v>
      </c>
      <c r="AC155" s="8">
        <v>0</v>
      </c>
      <c r="AE155" s="7">
        <v>46114</v>
      </c>
      <c r="AF155" s="8">
        <v>0</v>
      </c>
      <c r="AH155" s="7">
        <v>46122</v>
      </c>
      <c r="AN155" s="8">
        <v>0</v>
      </c>
      <c r="AO155" s="8">
        <v>120</v>
      </c>
    </row>
    <row r="156" spans="1:41" x14ac:dyDescent="0.25">
      <c r="A156" s="6" t="str">
        <f>"520-2026000020"</f>
        <v>520-2026000020</v>
      </c>
      <c r="B156" s="6" t="str">
        <f t="shared" si="34"/>
        <v>CIFRÕES</v>
      </c>
      <c r="C156" s="7">
        <v>46034</v>
      </c>
      <c r="D156" s="7">
        <v>46122</v>
      </c>
      <c r="E156" s="8">
        <v>13</v>
      </c>
      <c r="F156" s="6" t="str">
        <f>"BEDU - NOVAS CORES"</f>
        <v>BEDU - NOVAS CORES</v>
      </c>
      <c r="G156" s="6" t="str">
        <f>"K330235638000000"</f>
        <v>K330235638000000</v>
      </c>
      <c r="H156" s="6" t="str">
        <f>"KB 2356 - PLA 3039 B"</f>
        <v>KB 2356 - PLA 3039 B</v>
      </c>
      <c r="I156" s="6" t="str">
        <f>"204949"</f>
        <v>204949</v>
      </c>
      <c r="J156" s="6" t="str">
        <f>"VERDE 4949"</f>
        <v>VERDE 4949</v>
      </c>
      <c r="K156" s="6" t="str">
        <f>"3530"</f>
        <v>3530</v>
      </c>
      <c r="L156" s="6" t="str">
        <f>"Praia"</f>
        <v>Praia</v>
      </c>
      <c r="M156" s="6" t="str">
        <f>"100x180"</f>
        <v>100x180</v>
      </c>
      <c r="N156" s="6" t="str">
        <f t="shared" si="36"/>
        <v xml:space="preserve"> </v>
      </c>
      <c r="O156" s="8">
        <v>100</v>
      </c>
      <c r="P156" s="7">
        <v>46092</v>
      </c>
      <c r="R156" s="8">
        <v>0</v>
      </c>
      <c r="S156" s="7">
        <v>46097</v>
      </c>
      <c r="U156" s="8">
        <v>0</v>
      </c>
      <c r="V156" s="7">
        <v>46100</v>
      </c>
      <c r="X156" s="8">
        <v>0</v>
      </c>
      <c r="Z156" s="8">
        <v>0</v>
      </c>
      <c r="AA156" s="7">
        <v>46112</v>
      </c>
      <c r="AC156" s="8">
        <v>0</v>
      </c>
      <c r="AE156" s="7">
        <v>46114</v>
      </c>
      <c r="AF156" s="8">
        <v>0</v>
      </c>
      <c r="AH156" s="7">
        <v>46122</v>
      </c>
      <c r="AN156" s="8">
        <v>0</v>
      </c>
      <c r="AO156" s="8">
        <v>100</v>
      </c>
    </row>
    <row r="157" spans="1:41" x14ac:dyDescent="0.25">
      <c r="A157" s="6" t="str">
        <f>"520-2026000021"</f>
        <v>520-2026000021</v>
      </c>
      <c r="B157" s="6" t="str">
        <f>"AUCHAN R"</f>
        <v>AUCHAN R</v>
      </c>
      <c r="C157" s="7">
        <v>46034</v>
      </c>
      <c r="D157" s="7">
        <v>46038</v>
      </c>
      <c r="E157" s="8">
        <v>1</v>
      </c>
      <c r="F157" s="6" t="str">
        <f>"1072244289"</f>
        <v>1072244289</v>
      </c>
      <c r="G157" s="6" t="str">
        <f>"F300374155000000"</f>
        <v>F300374155000000</v>
      </c>
      <c r="H157" s="6" t="str">
        <f>"PLR 3741 - 550 g/m²"</f>
        <v>PLR 3741 - 550 g/m²</v>
      </c>
      <c r="I157" s="6" t="str">
        <f>"203634"</f>
        <v>203634</v>
      </c>
      <c r="J157" s="6" t="str">
        <f>"ROSA 3634"</f>
        <v>ROSA 3634</v>
      </c>
      <c r="K157" s="6" t="str">
        <f>"2020"</f>
        <v>2020</v>
      </c>
      <c r="L157" s="6" t="str">
        <f>"Lençóis"</f>
        <v>Lençóis</v>
      </c>
      <c r="M157" s="6" t="str">
        <f>"100x150"</f>
        <v>100x150</v>
      </c>
      <c r="N157" s="6" t="str">
        <f>"5602972280883"</f>
        <v>5602972280883</v>
      </c>
      <c r="O157" s="8">
        <v>6</v>
      </c>
      <c r="P157" s="7">
        <v>46034</v>
      </c>
      <c r="R157" s="8">
        <v>0</v>
      </c>
      <c r="U157" s="8">
        <v>0</v>
      </c>
      <c r="X157" s="8">
        <v>0</v>
      </c>
      <c r="Z157" s="8">
        <v>0</v>
      </c>
      <c r="AC157" s="8">
        <v>6</v>
      </c>
      <c r="AE157" s="7">
        <v>46041</v>
      </c>
      <c r="AF157" s="8">
        <v>6</v>
      </c>
      <c r="AH157" s="7">
        <v>46038</v>
      </c>
      <c r="AN157" s="8">
        <v>6</v>
      </c>
      <c r="AO157" s="8">
        <v>0</v>
      </c>
    </row>
    <row r="158" spans="1:41" x14ac:dyDescent="0.25">
      <c r="A158" s="6" t="str">
        <f>"520-2026000021"</f>
        <v>520-2026000021</v>
      </c>
      <c r="B158" s="6" t="str">
        <f>"AUCHAN R"</f>
        <v>AUCHAN R</v>
      </c>
      <c r="C158" s="7">
        <v>46034</v>
      </c>
      <c r="D158" s="7">
        <v>46038</v>
      </c>
      <c r="E158" s="8">
        <v>2</v>
      </c>
      <c r="F158" s="6" t="str">
        <f>"1072244289"</f>
        <v>1072244289</v>
      </c>
      <c r="G158" s="6" t="str">
        <f>"F100021455000010"</f>
        <v>F100021455000010</v>
      </c>
      <c r="H158" s="6" t="str">
        <f>"FA 214 Bio GOTS - 55"</f>
        <v>FA 214 Bio GOTS - 55</v>
      </c>
      <c r="I158" s="6" t="str">
        <f>"19"</f>
        <v>19</v>
      </c>
      <c r="J158" s="6" t="str">
        <f>"PRETO REACTIVO 570"</f>
        <v>PRETO REACTIVO 570</v>
      </c>
      <c r="K158" s="6" t="str">
        <f>"2020"</f>
        <v>2020</v>
      </c>
      <c r="L158" s="6" t="str">
        <f>"Lençóis"</f>
        <v>Lençóis</v>
      </c>
      <c r="M158" s="6" t="str">
        <f>"100x150"</f>
        <v>100x150</v>
      </c>
      <c r="N158" s="6" t="str">
        <f>"5602972278620"</f>
        <v>5602972278620</v>
      </c>
      <c r="O158" s="8">
        <v>3</v>
      </c>
      <c r="P158" s="7">
        <v>46034</v>
      </c>
      <c r="R158" s="8">
        <v>0</v>
      </c>
      <c r="U158" s="8">
        <v>0</v>
      </c>
      <c r="X158" s="8">
        <v>0</v>
      </c>
      <c r="Z158" s="8">
        <v>0</v>
      </c>
      <c r="AC158" s="8">
        <v>3</v>
      </c>
      <c r="AE158" s="7">
        <v>46041</v>
      </c>
      <c r="AF158" s="8">
        <v>3</v>
      </c>
      <c r="AH158" s="7">
        <v>46038</v>
      </c>
      <c r="AN158" s="8">
        <v>3</v>
      </c>
      <c r="AO158" s="8">
        <v>0</v>
      </c>
    </row>
    <row r="159" spans="1:41" x14ac:dyDescent="0.25">
      <c r="A159" s="6" t="str">
        <f>"520-2026000021"</f>
        <v>520-2026000021</v>
      </c>
      <c r="B159" s="6" t="str">
        <f>"AUCHAN R"</f>
        <v>AUCHAN R</v>
      </c>
      <c r="C159" s="7">
        <v>46034</v>
      </c>
      <c r="D159" s="7">
        <v>46038</v>
      </c>
      <c r="E159" s="8">
        <v>3</v>
      </c>
      <c r="F159" s="6" t="str">
        <f>"1072244289"</f>
        <v>1072244289</v>
      </c>
      <c r="G159" s="6" t="str">
        <f>"F110329745000000"</f>
        <v>F110329745000000</v>
      </c>
      <c r="H159" s="6" t="str">
        <f>"FAJ 3297 - 450 g/m²"</f>
        <v>FAJ 3297 - 450 g/m²</v>
      </c>
      <c r="I159" s="6" t="str">
        <f>"2"</f>
        <v>2</v>
      </c>
      <c r="J159" s="6" t="str">
        <f>"NATURAL"</f>
        <v>NATURAL</v>
      </c>
      <c r="K159" s="6" t="str">
        <f>"0520"</f>
        <v>0520</v>
      </c>
      <c r="L159" s="6" t="str">
        <f>"Toalhetes"</f>
        <v>Toalhetes</v>
      </c>
      <c r="M159" s="6" t="str">
        <f>"30x50"</f>
        <v>30x50</v>
      </c>
      <c r="N159" s="6" t="str">
        <f>"5602972277852"</f>
        <v>5602972277852</v>
      </c>
      <c r="O159" s="8">
        <v>12</v>
      </c>
      <c r="P159" s="7">
        <v>46034</v>
      </c>
      <c r="R159" s="8">
        <v>0</v>
      </c>
      <c r="U159" s="8">
        <v>0</v>
      </c>
      <c r="X159" s="8">
        <v>0</v>
      </c>
      <c r="Z159" s="8">
        <v>0</v>
      </c>
      <c r="AC159" s="8">
        <v>0</v>
      </c>
      <c r="AE159" s="7">
        <v>46041</v>
      </c>
      <c r="AF159" s="8">
        <v>0</v>
      </c>
      <c r="AH159" s="7">
        <v>46038</v>
      </c>
      <c r="AN159" s="8">
        <v>0</v>
      </c>
      <c r="AO159" s="8">
        <v>12</v>
      </c>
    </row>
    <row r="160" spans="1:41" x14ac:dyDescent="0.25">
      <c r="A160" s="6" t="str">
        <f>"520-2026000021"</f>
        <v>520-2026000021</v>
      </c>
      <c r="B160" s="6" t="str">
        <f>"AUCHAN R"</f>
        <v>AUCHAN R</v>
      </c>
      <c r="C160" s="7">
        <v>46034</v>
      </c>
      <c r="D160" s="7">
        <v>46038</v>
      </c>
      <c r="E160" s="8">
        <v>4</v>
      </c>
      <c r="F160" s="6" t="str">
        <f>"1072244289"</f>
        <v>1072244289</v>
      </c>
      <c r="G160" s="6" t="str">
        <f>"F300374155000000"</f>
        <v>F300374155000000</v>
      </c>
      <c r="H160" s="6" t="str">
        <f>"PLR 3741 - 550 g/m²"</f>
        <v>PLR 3741 - 550 g/m²</v>
      </c>
      <c r="I160" s="6" t="str">
        <f>"203634"</f>
        <v>203634</v>
      </c>
      <c r="J160" s="6" t="str">
        <f>"ROSA 3634"</f>
        <v>ROSA 3634</v>
      </c>
      <c r="K160" s="6" t="str">
        <f>"1024"</f>
        <v>1024</v>
      </c>
      <c r="L160" s="6" t="str">
        <f>"Toalhas"</f>
        <v>Toalhas</v>
      </c>
      <c r="M160" s="6" t="str">
        <f>"50x100"</f>
        <v>50x100</v>
      </c>
      <c r="N160" s="6" t="str">
        <f>"5602972280876"</f>
        <v>5602972280876</v>
      </c>
      <c r="O160" s="8">
        <v>12</v>
      </c>
      <c r="P160" s="7">
        <v>46034</v>
      </c>
      <c r="R160" s="8">
        <v>0</v>
      </c>
      <c r="U160" s="8">
        <v>0</v>
      </c>
      <c r="X160" s="8">
        <v>0</v>
      </c>
      <c r="Z160" s="8">
        <v>0</v>
      </c>
      <c r="AC160" s="8">
        <v>0</v>
      </c>
      <c r="AE160" s="7">
        <v>46041</v>
      </c>
      <c r="AF160" s="8">
        <v>0</v>
      </c>
      <c r="AH160" s="7">
        <v>46038</v>
      </c>
      <c r="AN160" s="8">
        <v>0</v>
      </c>
      <c r="AO160" s="8">
        <v>12</v>
      </c>
    </row>
    <row r="161" spans="1:41" x14ac:dyDescent="0.25">
      <c r="A161" s="6" t="str">
        <f>"520-2026000021"</f>
        <v>520-2026000021</v>
      </c>
      <c r="B161" s="6" t="str">
        <f>"AUCHAN R"</f>
        <v>AUCHAN R</v>
      </c>
      <c r="C161" s="7">
        <v>46034</v>
      </c>
      <c r="D161" s="7">
        <v>46038</v>
      </c>
      <c r="E161" s="8">
        <v>5</v>
      </c>
      <c r="F161" s="6" t="str">
        <f>"1072244289"</f>
        <v>1072244289</v>
      </c>
      <c r="G161" s="6" t="str">
        <f>"F100021455000010"</f>
        <v>F100021455000010</v>
      </c>
      <c r="H161" s="6" t="str">
        <f>"FA 214 Bio GOTS - 55"</f>
        <v>FA 214 Bio GOTS - 55</v>
      </c>
      <c r="I161" s="6" t="str">
        <f>"1"</f>
        <v>1</v>
      </c>
      <c r="J161" s="6" t="str">
        <f>"BRANCO"</f>
        <v>BRANCO</v>
      </c>
      <c r="K161" s="6" t="str">
        <f>"1024"</f>
        <v>1024</v>
      </c>
      <c r="L161" s="6" t="str">
        <f>"Toalhas"</f>
        <v>Toalhas</v>
      </c>
      <c r="M161" s="6" t="str">
        <f>"50x100"</f>
        <v>50x100</v>
      </c>
      <c r="N161" s="6" t="str">
        <f>"5602972278583"</f>
        <v>5602972278583</v>
      </c>
      <c r="O161" s="8">
        <v>12</v>
      </c>
      <c r="P161" s="7">
        <v>46034</v>
      </c>
      <c r="R161" s="8">
        <v>0</v>
      </c>
      <c r="U161" s="8">
        <v>0</v>
      </c>
      <c r="X161" s="8">
        <v>0</v>
      </c>
      <c r="Z161" s="8">
        <v>0</v>
      </c>
      <c r="AC161" s="8">
        <v>12</v>
      </c>
      <c r="AE161" s="7">
        <v>46041</v>
      </c>
      <c r="AF161" s="8">
        <v>12</v>
      </c>
      <c r="AH161" s="7">
        <v>46038</v>
      </c>
      <c r="AN161" s="8">
        <v>12</v>
      </c>
      <c r="AO161" s="8">
        <v>0</v>
      </c>
    </row>
    <row r="162" spans="1:41" x14ac:dyDescent="0.25">
      <c r="A162" s="6" t="str">
        <f>"520-2026000022"</f>
        <v>520-2026000022</v>
      </c>
      <c r="B162" s="6" t="str">
        <f>"PATRICIO"</f>
        <v>PATRICIO</v>
      </c>
      <c r="C162" s="7">
        <v>46034</v>
      </c>
      <c r="D162" s="7">
        <v>46034</v>
      </c>
      <c r="E162" s="8">
        <v>1</v>
      </c>
      <c r="F162" s="6" t="str">
        <f>"FELPO (KG) SN"</f>
        <v>FELPO (KG) SN</v>
      </c>
      <c r="G162" s="6" t="str">
        <f>"F902000299900000"</f>
        <v>F902000299900000</v>
      </c>
      <c r="H162" s="6" t="str">
        <f>"Felpo Diverso (kg)"</f>
        <v>Felpo Diverso (kg)</v>
      </c>
      <c r="I162" s="6" t="str">
        <f>"300001"</f>
        <v>300001</v>
      </c>
      <c r="J162" s="6" t="str">
        <f>"SORTIDAS 1"</f>
        <v>SORTIDAS 1</v>
      </c>
      <c r="K162" s="6" t="str">
        <f>"3099"</f>
        <v>3099</v>
      </c>
      <c r="L162" s="6" t="str">
        <f>"Tapetes"</f>
        <v>Tapetes</v>
      </c>
      <c r="M162" s="6" t="str">
        <f>"Diversos"</f>
        <v>Diversos</v>
      </c>
      <c r="N162" s="6" t="str">
        <f>"5600000008775"</f>
        <v>5600000008775</v>
      </c>
      <c r="O162" s="8">
        <v>900</v>
      </c>
      <c r="P162" s="7">
        <v>46034</v>
      </c>
      <c r="R162" s="8">
        <v>0</v>
      </c>
      <c r="U162" s="8">
        <v>0</v>
      </c>
      <c r="X162" s="8">
        <v>0</v>
      </c>
      <c r="Z162" s="8">
        <v>0</v>
      </c>
      <c r="AC162" s="8">
        <v>823</v>
      </c>
      <c r="AE162" s="7">
        <v>46041</v>
      </c>
      <c r="AF162" s="8">
        <v>823</v>
      </c>
      <c r="AH162" s="7">
        <v>46034</v>
      </c>
      <c r="AN162" s="8">
        <v>823</v>
      </c>
      <c r="AO162" s="8">
        <v>77</v>
      </c>
    </row>
    <row r="163" spans="1:41" x14ac:dyDescent="0.25">
      <c r="A163" s="6" t="str">
        <f>"520-2026000023"</f>
        <v>520-2026000023</v>
      </c>
      <c r="B163" s="6" t="str">
        <f>"LASKASAS"</f>
        <v>LASKASAS</v>
      </c>
      <c r="C163" s="7">
        <v>46034</v>
      </c>
      <c r="D163" s="7">
        <v>46094</v>
      </c>
      <c r="E163" s="8">
        <v>6</v>
      </c>
      <c r="F163" s="6" t="str">
        <f>"F003/260000234"</f>
        <v>F003/260000234</v>
      </c>
      <c r="G163" s="6" t="str">
        <f>"R119368540000000"</f>
        <v>R119368540000000</v>
      </c>
      <c r="H163" s="6" t="str">
        <f>"R 3685 - Ketten (m)"</f>
        <v>R 3685 - Ketten (m)</v>
      </c>
      <c r="I163" s="6" t="str">
        <f>"502151"</f>
        <v>502151</v>
      </c>
      <c r="J163" s="6" t="str">
        <f>"CINZA 3235 / Branc"</f>
        <v>CINZA 3235 / Branc</v>
      </c>
      <c r="K163" s="6" t="str">
        <f>"5016"</f>
        <v>5016</v>
      </c>
      <c r="L163" s="6" t="str">
        <f>"Roupões Adulto"</f>
        <v>Roupões Adulto</v>
      </c>
      <c r="M163" s="6" t="str">
        <f>"S/M"</f>
        <v>S/M</v>
      </c>
      <c r="N163" s="6" t="str">
        <f>" "</f>
        <v xml:space="preserve"> </v>
      </c>
      <c r="O163" s="8">
        <v>30</v>
      </c>
      <c r="P163" s="7">
        <v>46058</v>
      </c>
      <c r="R163" s="8">
        <v>0</v>
      </c>
      <c r="S163" s="7">
        <v>46063</v>
      </c>
      <c r="U163" s="8">
        <v>0</v>
      </c>
      <c r="V163" s="7">
        <v>46076</v>
      </c>
      <c r="X163" s="8">
        <v>0</v>
      </c>
      <c r="Z163" s="8">
        <v>0</v>
      </c>
      <c r="AA163" s="7">
        <v>46086</v>
      </c>
      <c r="AC163" s="8">
        <v>0</v>
      </c>
      <c r="AE163" s="7">
        <v>46090</v>
      </c>
      <c r="AF163" s="8">
        <v>0</v>
      </c>
      <c r="AH163" s="7">
        <v>46094</v>
      </c>
      <c r="AN163" s="8">
        <v>0</v>
      </c>
      <c r="AO163" s="8">
        <v>30</v>
      </c>
    </row>
    <row r="164" spans="1:41" x14ac:dyDescent="0.25">
      <c r="A164" s="6" t="str">
        <f>"520-2026000023"</f>
        <v>520-2026000023</v>
      </c>
      <c r="B164" s="6" t="str">
        <f>"LASKASAS"</f>
        <v>LASKASAS</v>
      </c>
      <c r="C164" s="7">
        <v>46034</v>
      </c>
      <c r="D164" s="7">
        <v>46094</v>
      </c>
      <c r="E164" s="8">
        <v>7</v>
      </c>
      <c r="F164" s="6" t="str">
        <f>"F003/260000234"</f>
        <v>F003/260000234</v>
      </c>
      <c r="G164" s="6" t="str">
        <f>"R119368540000000"</f>
        <v>R119368540000000</v>
      </c>
      <c r="H164" s="6" t="str">
        <f>"R 3685 - Ketten (m)"</f>
        <v>R 3685 - Ketten (m)</v>
      </c>
      <c r="I164" s="6" t="str">
        <f>"502151"</f>
        <v>502151</v>
      </c>
      <c r="J164" s="6" t="str">
        <f>"CINZA 3235 / Branc"</f>
        <v>CINZA 3235 / Branc</v>
      </c>
      <c r="K164" s="6" t="str">
        <f>"5018"</f>
        <v>5018</v>
      </c>
      <c r="L164" s="6" t="str">
        <f>"Roupões Adulto"</f>
        <v>Roupões Adulto</v>
      </c>
      <c r="M164" s="6" t="str">
        <f>"L/XL"</f>
        <v>L/XL</v>
      </c>
      <c r="N164" s="6" t="str">
        <f>" "</f>
        <v xml:space="preserve"> </v>
      </c>
      <c r="O164" s="8">
        <v>30</v>
      </c>
      <c r="P164" s="7">
        <v>46058</v>
      </c>
      <c r="R164" s="8">
        <v>0</v>
      </c>
      <c r="S164" s="7">
        <v>46063</v>
      </c>
      <c r="U164" s="8">
        <v>0</v>
      </c>
      <c r="V164" s="7">
        <v>46076</v>
      </c>
      <c r="X164" s="8">
        <v>0</v>
      </c>
      <c r="Z164" s="8">
        <v>0</v>
      </c>
      <c r="AA164" s="7">
        <v>46086</v>
      </c>
      <c r="AC164" s="8">
        <v>0</v>
      </c>
      <c r="AE164" s="7">
        <v>46090</v>
      </c>
      <c r="AF164" s="8">
        <v>0</v>
      </c>
      <c r="AH164" s="7">
        <v>46094</v>
      </c>
      <c r="AN164" s="8">
        <v>0</v>
      </c>
      <c r="AO164" s="8">
        <v>30</v>
      </c>
    </row>
    <row r="165" spans="1:41" x14ac:dyDescent="0.25">
      <c r="A165" s="6" t="str">
        <f>"520-2026000024"</f>
        <v>520-2026000024</v>
      </c>
      <c r="B165" s="6" t="str">
        <f>"BUBBLES"</f>
        <v>BUBBLES</v>
      </c>
      <c r="C165" s="7">
        <v>46035</v>
      </c>
      <c r="D165" s="7">
        <v>46035</v>
      </c>
      <c r="E165" s="8">
        <v>1</v>
      </c>
      <c r="F165" s="6" t="str">
        <f>"PEDIDO 15/12"</f>
        <v>PEDIDO 15/12</v>
      </c>
      <c r="G165" s="6" t="str">
        <f>"F100023140000000"</f>
        <v>F100023140000000</v>
      </c>
      <c r="H165" s="6" t="str">
        <f>"FA 231 - 400 g/m²"</f>
        <v>FA 231 - 400 g/m²</v>
      </c>
      <c r="I165" s="6" t="str">
        <f>"2094"</f>
        <v>2094</v>
      </c>
      <c r="J165" s="6" t="str">
        <f>"AZUL 2094"</f>
        <v>AZUL 2094</v>
      </c>
      <c r="K165" s="6" t="str">
        <f>"1020"</f>
        <v>1020</v>
      </c>
      <c r="L165" s="6" t="str">
        <f>"Toalhas"</f>
        <v>Toalhas</v>
      </c>
      <c r="M165" s="6" t="str">
        <f>"50x90"</f>
        <v>50x90</v>
      </c>
      <c r="N165" s="6" t="str">
        <f>"5602972713442"</f>
        <v>5602972713442</v>
      </c>
      <c r="O165" s="8">
        <v>78</v>
      </c>
      <c r="P165" s="7">
        <v>46035</v>
      </c>
      <c r="R165" s="8">
        <v>0</v>
      </c>
      <c r="U165" s="8">
        <v>0</v>
      </c>
      <c r="X165" s="8">
        <v>0</v>
      </c>
      <c r="Z165" s="8">
        <v>0</v>
      </c>
      <c r="AC165" s="8">
        <v>78</v>
      </c>
      <c r="AE165" s="7">
        <v>46042</v>
      </c>
      <c r="AF165" s="8">
        <v>78</v>
      </c>
      <c r="AH165" s="7">
        <v>46035</v>
      </c>
      <c r="AN165" s="8">
        <v>78</v>
      </c>
      <c r="AO165" s="8">
        <v>0</v>
      </c>
    </row>
    <row r="166" spans="1:41" x14ac:dyDescent="0.25">
      <c r="A166" s="6" t="str">
        <f t="shared" ref="A166:A171" si="37">"520-2026000025"</f>
        <v>520-2026000025</v>
      </c>
      <c r="B166" s="6" t="str">
        <f t="shared" ref="B166:B184" si="38">"AUCHAN R"</f>
        <v>AUCHAN R</v>
      </c>
      <c r="C166" s="7">
        <v>46035</v>
      </c>
      <c r="D166" s="7">
        <v>46038</v>
      </c>
      <c r="E166" s="8">
        <v>1</v>
      </c>
      <c r="F166" s="6" t="str">
        <f t="shared" ref="F166:F171" si="39">"1065665934"</f>
        <v>1065665934</v>
      </c>
      <c r="G166" s="6" t="str">
        <f>"F100021455000000"</f>
        <v>F100021455000000</v>
      </c>
      <c r="H166" s="6" t="str">
        <f>"FA 214 - PURE - 550"</f>
        <v>FA 214 - PURE - 550</v>
      </c>
      <c r="I166" s="6" t="str">
        <f>"1"</f>
        <v>1</v>
      </c>
      <c r="J166" s="6" t="str">
        <f>"BRANCO"</f>
        <v>BRANCO</v>
      </c>
      <c r="K166" s="6" t="str">
        <f>"0112"</f>
        <v>0112</v>
      </c>
      <c r="L166" s="6" t="str">
        <f>"Luvas"</f>
        <v>Luvas</v>
      </c>
      <c r="M166" s="6" t="str">
        <f>"16x21"</f>
        <v>16x21</v>
      </c>
      <c r="N166" s="6" t="str">
        <f>"5602972836233"</f>
        <v>5602972836233</v>
      </c>
      <c r="O166" s="8">
        <v>12</v>
      </c>
      <c r="P166" s="7">
        <v>46035</v>
      </c>
      <c r="R166" s="8">
        <v>0</v>
      </c>
      <c r="U166" s="8">
        <v>0</v>
      </c>
      <c r="X166" s="8">
        <v>0</v>
      </c>
      <c r="Z166" s="8">
        <v>0</v>
      </c>
      <c r="AC166" s="8">
        <v>0</v>
      </c>
      <c r="AE166" s="7">
        <v>46042</v>
      </c>
      <c r="AF166" s="8">
        <v>0</v>
      </c>
      <c r="AH166" s="7">
        <v>46038</v>
      </c>
      <c r="AN166" s="8">
        <v>0</v>
      </c>
      <c r="AO166" s="8">
        <v>12</v>
      </c>
    </row>
    <row r="167" spans="1:41" x14ac:dyDescent="0.25">
      <c r="A167" s="6" t="str">
        <f t="shared" si="37"/>
        <v>520-2026000025</v>
      </c>
      <c r="B167" s="6" t="str">
        <f t="shared" si="38"/>
        <v>AUCHAN R</v>
      </c>
      <c r="C167" s="7">
        <v>46035</v>
      </c>
      <c r="D167" s="7">
        <v>46038</v>
      </c>
      <c r="E167" s="8">
        <v>2</v>
      </c>
      <c r="F167" s="6" t="str">
        <f t="shared" si="39"/>
        <v>1065665934</v>
      </c>
      <c r="G167" s="6" t="str">
        <f>"F300374155000000"</f>
        <v>F300374155000000</v>
      </c>
      <c r="H167" s="6" t="str">
        <f>"PLR 3741 - 550 g/m²"</f>
        <v>PLR 3741 - 550 g/m²</v>
      </c>
      <c r="I167" s="6" t="str">
        <f>"203634"</f>
        <v>203634</v>
      </c>
      <c r="J167" s="6" t="str">
        <f>"ROSA 3634"</f>
        <v>ROSA 3634</v>
      </c>
      <c r="K167" s="6" t="str">
        <f>"2020"</f>
        <v>2020</v>
      </c>
      <c r="L167" s="6" t="str">
        <f>"Lençóis"</f>
        <v>Lençóis</v>
      </c>
      <c r="M167" s="6" t="str">
        <f>"100x150"</f>
        <v>100x150</v>
      </c>
      <c r="N167" s="6" t="str">
        <f>"5602972280883"</f>
        <v>5602972280883</v>
      </c>
      <c r="O167" s="8">
        <v>3</v>
      </c>
      <c r="P167" s="7">
        <v>46035</v>
      </c>
      <c r="R167" s="8">
        <v>0</v>
      </c>
      <c r="U167" s="8">
        <v>0</v>
      </c>
      <c r="X167" s="8">
        <v>0</v>
      </c>
      <c r="Z167" s="8">
        <v>0</v>
      </c>
      <c r="AC167" s="8">
        <v>0</v>
      </c>
      <c r="AE167" s="7">
        <v>46042</v>
      </c>
      <c r="AF167" s="8">
        <v>0</v>
      </c>
      <c r="AH167" s="7">
        <v>46038</v>
      </c>
      <c r="AN167" s="8">
        <v>0</v>
      </c>
      <c r="AO167" s="8">
        <v>3</v>
      </c>
    </row>
    <row r="168" spans="1:41" x14ac:dyDescent="0.25">
      <c r="A168" s="6" t="str">
        <f t="shared" si="37"/>
        <v>520-2026000025</v>
      </c>
      <c r="B168" s="6" t="str">
        <f t="shared" si="38"/>
        <v>AUCHAN R</v>
      </c>
      <c r="C168" s="7">
        <v>46035</v>
      </c>
      <c r="D168" s="7">
        <v>46038</v>
      </c>
      <c r="E168" s="8">
        <v>3</v>
      </c>
      <c r="F168" s="6" t="str">
        <f t="shared" si="39"/>
        <v>1065665934</v>
      </c>
      <c r="G168" s="6" t="str">
        <f>"F300374155000000"</f>
        <v>F300374155000000</v>
      </c>
      <c r="H168" s="6" t="str">
        <f>"PLR 3741 - 550 g/m²"</f>
        <v>PLR 3741 - 550 g/m²</v>
      </c>
      <c r="I168" s="6" t="str">
        <f>"203634"</f>
        <v>203634</v>
      </c>
      <c r="J168" s="6" t="str">
        <f>"ROSA 3634"</f>
        <v>ROSA 3634</v>
      </c>
      <c r="K168" s="6" t="str">
        <f>"1024"</f>
        <v>1024</v>
      </c>
      <c r="L168" s="6" t="str">
        <f>"Toalhas"</f>
        <v>Toalhas</v>
      </c>
      <c r="M168" s="6" t="str">
        <f>"50x100"</f>
        <v>50x100</v>
      </c>
      <c r="N168" s="6" t="str">
        <f>"5602972280876"</f>
        <v>5602972280876</v>
      </c>
      <c r="O168" s="8">
        <v>6</v>
      </c>
      <c r="P168" s="7">
        <v>46035</v>
      </c>
      <c r="R168" s="8">
        <v>0</v>
      </c>
      <c r="U168" s="8">
        <v>0</v>
      </c>
      <c r="X168" s="8">
        <v>0</v>
      </c>
      <c r="Z168" s="8">
        <v>0</v>
      </c>
      <c r="AC168" s="8">
        <v>6</v>
      </c>
      <c r="AE168" s="7">
        <v>46042</v>
      </c>
      <c r="AF168" s="8">
        <v>6</v>
      </c>
      <c r="AH168" s="7">
        <v>46038</v>
      </c>
      <c r="AN168" s="8">
        <v>6</v>
      </c>
      <c r="AO168" s="8">
        <v>0</v>
      </c>
    </row>
    <row r="169" spans="1:41" x14ac:dyDescent="0.25">
      <c r="A169" s="6" t="str">
        <f t="shared" si="37"/>
        <v>520-2026000025</v>
      </c>
      <c r="B169" s="6" t="str">
        <f t="shared" si="38"/>
        <v>AUCHAN R</v>
      </c>
      <c r="C169" s="7">
        <v>46035</v>
      </c>
      <c r="D169" s="7">
        <v>46038</v>
      </c>
      <c r="E169" s="8">
        <v>4</v>
      </c>
      <c r="F169" s="6" t="str">
        <f t="shared" si="39"/>
        <v>1065665934</v>
      </c>
      <c r="G169" s="6" t="str">
        <f>"F310620958000000"</f>
        <v>F310620958000000</v>
      </c>
      <c r="H169" s="6" t="str">
        <f>"PLAR 6209 C/ Franja"</f>
        <v>PLAR 6209 C/ Franja</v>
      </c>
      <c r="I169" s="6" t="str">
        <f>"203699"</f>
        <v>203699</v>
      </c>
      <c r="J169" s="6" t="str">
        <f>"BEGE 3699"</f>
        <v>BEGE 3699</v>
      </c>
      <c r="K169" s="6" t="str">
        <f>"1047"</f>
        <v>1047</v>
      </c>
      <c r="L169" s="6" t="str">
        <f>"Toalhas"</f>
        <v>Toalhas</v>
      </c>
      <c r="M169" s="6" t="str">
        <f>"50x100+8"</f>
        <v>50x100+8</v>
      </c>
      <c r="N169" s="6" t="str">
        <f>"5602972280937"</f>
        <v>5602972280937</v>
      </c>
      <c r="O169" s="8">
        <v>6</v>
      </c>
      <c r="P169" s="7">
        <v>46035</v>
      </c>
      <c r="R169" s="8">
        <v>0</v>
      </c>
      <c r="U169" s="8">
        <v>0</v>
      </c>
      <c r="X169" s="8">
        <v>0</v>
      </c>
      <c r="Z169" s="8">
        <v>0</v>
      </c>
      <c r="AC169" s="8">
        <v>6</v>
      </c>
      <c r="AE169" s="7">
        <v>46042</v>
      </c>
      <c r="AF169" s="8">
        <v>6</v>
      </c>
      <c r="AH169" s="7">
        <v>46038</v>
      </c>
      <c r="AN169" s="8">
        <v>6</v>
      </c>
      <c r="AO169" s="8">
        <v>0</v>
      </c>
    </row>
    <row r="170" spans="1:41" x14ac:dyDescent="0.25">
      <c r="A170" s="6" t="str">
        <f t="shared" si="37"/>
        <v>520-2026000025</v>
      </c>
      <c r="B170" s="6" t="str">
        <f t="shared" si="38"/>
        <v>AUCHAN R</v>
      </c>
      <c r="C170" s="7">
        <v>46035</v>
      </c>
      <c r="D170" s="7">
        <v>46038</v>
      </c>
      <c r="E170" s="8">
        <v>5</v>
      </c>
      <c r="F170" s="6" t="str">
        <f t="shared" si="39"/>
        <v>1065665934</v>
      </c>
      <c r="G170" s="6" t="str">
        <f>"F110329745000000"</f>
        <v>F110329745000000</v>
      </c>
      <c r="H170" s="6" t="str">
        <f>"FAJ 3297 - 450 g/m²"</f>
        <v>FAJ 3297 - 450 g/m²</v>
      </c>
      <c r="I170" s="6" t="str">
        <f>"2"</f>
        <v>2</v>
      </c>
      <c r="J170" s="6" t="str">
        <f>"NATURAL"</f>
        <v>NATURAL</v>
      </c>
      <c r="K170" s="6" t="str">
        <f>"1024"</f>
        <v>1024</v>
      </c>
      <c r="L170" s="6" t="str">
        <f>"Toalhas"</f>
        <v>Toalhas</v>
      </c>
      <c r="M170" s="6" t="str">
        <f>"50x100"</f>
        <v>50x100</v>
      </c>
      <c r="N170" s="6" t="str">
        <f>"5602972277869"</f>
        <v>5602972277869</v>
      </c>
      <c r="O170" s="8">
        <v>6</v>
      </c>
      <c r="P170" s="7">
        <v>46035</v>
      </c>
      <c r="R170" s="8">
        <v>0</v>
      </c>
      <c r="U170" s="8">
        <v>0</v>
      </c>
      <c r="X170" s="8">
        <v>0</v>
      </c>
      <c r="Z170" s="8">
        <v>0</v>
      </c>
      <c r="AC170" s="8">
        <v>6</v>
      </c>
      <c r="AE170" s="7">
        <v>46042</v>
      </c>
      <c r="AF170" s="8">
        <v>6</v>
      </c>
      <c r="AH170" s="7">
        <v>46038</v>
      </c>
      <c r="AN170" s="8">
        <v>6</v>
      </c>
      <c r="AO170" s="8">
        <v>0</v>
      </c>
    </row>
    <row r="171" spans="1:41" x14ac:dyDescent="0.25">
      <c r="A171" s="6" t="str">
        <f t="shared" si="37"/>
        <v>520-2026000025</v>
      </c>
      <c r="B171" s="6" t="str">
        <f t="shared" si="38"/>
        <v>AUCHAN R</v>
      </c>
      <c r="C171" s="7">
        <v>46035</v>
      </c>
      <c r="D171" s="7">
        <v>46038</v>
      </c>
      <c r="E171" s="8">
        <v>6</v>
      </c>
      <c r="F171" s="6" t="str">
        <f t="shared" si="39"/>
        <v>1065665934</v>
      </c>
      <c r="G171" s="6" t="str">
        <f>"C090008212000118"</f>
        <v>C090008212000118</v>
      </c>
      <c r="H171" s="6" t="str">
        <f>"Conj. LT 82 - 150 Fi"</f>
        <v>Conj. LT 82 - 150 Fi</v>
      </c>
      <c r="I171" s="6" t="str">
        <f>"600001"</f>
        <v>600001</v>
      </c>
      <c r="J171" s="6" t="str">
        <f>"Branco"</f>
        <v>Branco</v>
      </c>
      <c r="K171" s="6" t="str">
        <f>"4014"</f>
        <v>4014</v>
      </c>
      <c r="L171" s="6" t="str">
        <f>"Conjunto/Jogos"</f>
        <v>Conjunto/Jogos</v>
      </c>
      <c r="M171" s="6" t="str">
        <f>"(2 Pcs)"</f>
        <v>(2 Pcs)</v>
      </c>
      <c r="N171" s="6" t="str">
        <f>"5602972279849"</f>
        <v>5602972279849</v>
      </c>
      <c r="O171" s="8">
        <v>12</v>
      </c>
      <c r="P171" s="7">
        <v>46035</v>
      </c>
      <c r="R171" s="8">
        <v>0</v>
      </c>
      <c r="U171" s="8">
        <v>0</v>
      </c>
      <c r="X171" s="8">
        <v>0</v>
      </c>
      <c r="Z171" s="8">
        <v>0</v>
      </c>
      <c r="AC171" s="8">
        <v>12</v>
      </c>
      <c r="AE171" s="7">
        <v>46042</v>
      </c>
      <c r="AF171" s="8">
        <v>12</v>
      </c>
      <c r="AH171" s="7">
        <v>46038</v>
      </c>
      <c r="AN171" s="8">
        <v>12</v>
      </c>
      <c r="AO171" s="8">
        <v>0</v>
      </c>
    </row>
    <row r="172" spans="1:41" x14ac:dyDescent="0.25">
      <c r="A172" s="6" t="str">
        <f t="shared" ref="A172:A184" si="40">"520-2026000026"</f>
        <v>520-2026000026</v>
      </c>
      <c r="B172" s="6" t="str">
        <f t="shared" si="38"/>
        <v>AUCHAN R</v>
      </c>
      <c r="C172" s="7">
        <v>46036</v>
      </c>
      <c r="D172" s="7">
        <v>46038</v>
      </c>
      <c r="E172" s="8">
        <v>1</v>
      </c>
      <c r="F172" s="6" t="str">
        <f t="shared" ref="F172:F184" si="41">"1064968702"</f>
        <v>1064968702</v>
      </c>
      <c r="G172" s="6" t="str">
        <f>"F100021455000000"</f>
        <v>F100021455000000</v>
      </c>
      <c r="H172" s="6" t="str">
        <f>"FA 214 - PURE - 550"</f>
        <v>FA 214 - PURE - 550</v>
      </c>
      <c r="I172" s="6" t="str">
        <f>"1"</f>
        <v>1</v>
      </c>
      <c r="J172" s="6" t="str">
        <f>"BRANCO"</f>
        <v>BRANCO</v>
      </c>
      <c r="K172" s="6" t="str">
        <f>"0112"</f>
        <v>0112</v>
      </c>
      <c r="L172" s="6" t="str">
        <f>"Luvas"</f>
        <v>Luvas</v>
      </c>
      <c r="M172" s="6" t="str">
        <f>"16x21"</f>
        <v>16x21</v>
      </c>
      <c r="N172" s="6" t="str">
        <f>"5602972836233"</f>
        <v>5602972836233</v>
      </c>
      <c r="O172" s="8">
        <v>48</v>
      </c>
      <c r="P172" s="7">
        <v>46036</v>
      </c>
      <c r="R172" s="8">
        <v>0</v>
      </c>
      <c r="U172" s="8">
        <v>0</v>
      </c>
      <c r="X172" s="8">
        <v>0</v>
      </c>
      <c r="Z172" s="8">
        <v>0</v>
      </c>
      <c r="AC172" s="8">
        <v>0</v>
      </c>
      <c r="AE172" s="7">
        <v>46043</v>
      </c>
      <c r="AF172" s="8">
        <v>0</v>
      </c>
      <c r="AH172" s="7">
        <v>46038</v>
      </c>
      <c r="AN172" s="8">
        <v>0</v>
      </c>
      <c r="AO172" s="8">
        <v>48</v>
      </c>
    </row>
    <row r="173" spans="1:41" x14ac:dyDescent="0.25">
      <c r="A173" s="6" t="str">
        <f t="shared" si="40"/>
        <v>520-2026000026</v>
      </c>
      <c r="B173" s="6" t="str">
        <f t="shared" si="38"/>
        <v>AUCHAN R</v>
      </c>
      <c r="C173" s="7">
        <v>46036</v>
      </c>
      <c r="D173" s="7">
        <v>46038</v>
      </c>
      <c r="E173" s="8">
        <v>2</v>
      </c>
      <c r="F173" s="6" t="str">
        <f t="shared" si="41"/>
        <v>1064968702</v>
      </c>
      <c r="G173" s="6" t="str">
        <f>"F310631555000000"</f>
        <v>F310631555000000</v>
      </c>
      <c r="H173" s="6" t="str">
        <f>"PLAR 6315 - 550 g/m²"</f>
        <v>PLAR 6315 - 550 g/m²</v>
      </c>
      <c r="I173" s="6" t="str">
        <f>"204037"</f>
        <v>204037</v>
      </c>
      <c r="J173" s="6" t="str">
        <f>"AZUL 4037"</f>
        <v>AZUL 4037</v>
      </c>
      <c r="K173" s="6" t="str">
        <f>"2020"</f>
        <v>2020</v>
      </c>
      <c r="L173" s="6" t="str">
        <f>"Lençóis"</f>
        <v>Lençóis</v>
      </c>
      <c r="M173" s="6" t="str">
        <f>"100x150"</f>
        <v>100x150</v>
      </c>
      <c r="N173" s="6" t="str">
        <f>"5602972280852"</f>
        <v>5602972280852</v>
      </c>
      <c r="O173" s="8">
        <v>3</v>
      </c>
      <c r="P173" s="7">
        <v>46036</v>
      </c>
      <c r="R173" s="8">
        <v>0</v>
      </c>
      <c r="U173" s="8">
        <v>0</v>
      </c>
      <c r="X173" s="8">
        <v>0</v>
      </c>
      <c r="Z173" s="8">
        <v>0</v>
      </c>
      <c r="AC173" s="8">
        <v>3</v>
      </c>
      <c r="AE173" s="7">
        <v>46043</v>
      </c>
      <c r="AF173" s="8">
        <v>3</v>
      </c>
      <c r="AH173" s="7">
        <v>46038</v>
      </c>
      <c r="AN173" s="8">
        <v>3</v>
      </c>
      <c r="AO173" s="8">
        <v>0</v>
      </c>
    </row>
    <row r="174" spans="1:41" x14ac:dyDescent="0.25">
      <c r="A174" s="6" t="str">
        <f t="shared" si="40"/>
        <v>520-2026000026</v>
      </c>
      <c r="B174" s="6" t="str">
        <f t="shared" si="38"/>
        <v>AUCHAN R</v>
      </c>
      <c r="C174" s="7">
        <v>46036</v>
      </c>
      <c r="D174" s="7">
        <v>46038</v>
      </c>
      <c r="E174" s="8">
        <v>3</v>
      </c>
      <c r="F174" s="6" t="str">
        <f t="shared" si="41"/>
        <v>1064968702</v>
      </c>
      <c r="G174" s="6" t="str">
        <f>"F310620958000000"</f>
        <v>F310620958000000</v>
      </c>
      <c r="H174" s="6" t="str">
        <f>"PLAR 6209 C/ Franja"</f>
        <v>PLAR 6209 C/ Franja</v>
      </c>
      <c r="I174" s="6" t="str">
        <f>"203699"</f>
        <v>203699</v>
      </c>
      <c r="J174" s="6" t="str">
        <f>"BEGE 3699"</f>
        <v>BEGE 3699</v>
      </c>
      <c r="K174" s="6" t="str">
        <f>"2093"</f>
        <v>2093</v>
      </c>
      <c r="L174" s="6" t="str">
        <f>"Lençóis"</f>
        <v>Lençóis</v>
      </c>
      <c r="M174" s="6" t="str">
        <f>"100x150+8"</f>
        <v>100x150+8</v>
      </c>
      <c r="N174" s="6" t="str">
        <f>"5602972280944"</f>
        <v>5602972280944</v>
      </c>
      <c r="O174" s="8">
        <v>3</v>
      </c>
      <c r="P174" s="7">
        <v>46036</v>
      </c>
      <c r="R174" s="8">
        <v>0</v>
      </c>
      <c r="U174" s="8">
        <v>0</v>
      </c>
      <c r="X174" s="8">
        <v>0</v>
      </c>
      <c r="Z174" s="8">
        <v>0</v>
      </c>
      <c r="AC174" s="8">
        <v>3</v>
      </c>
      <c r="AE174" s="7">
        <v>46043</v>
      </c>
      <c r="AF174" s="8">
        <v>3</v>
      </c>
      <c r="AH174" s="7">
        <v>46038</v>
      </c>
      <c r="AN174" s="8">
        <v>3</v>
      </c>
      <c r="AO174" s="8">
        <v>0</v>
      </c>
    </row>
    <row r="175" spans="1:41" x14ac:dyDescent="0.25">
      <c r="A175" s="6" t="str">
        <f t="shared" si="40"/>
        <v>520-2026000026</v>
      </c>
      <c r="B175" s="6" t="str">
        <f t="shared" si="38"/>
        <v>AUCHAN R</v>
      </c>
      <c r="C175" s="7">
        <v>46036</v>
      </c>
      <c r="D175" s="7">
        <v>46038</v>
      </c>
      <c r="E175" s="8">
        <v>4</v>
      </c>
      <c r="F175" s="6" t="str">
        <f t="shared" si="41"/>
        <v>1064968702</v>
      </c>
      <c r="G175" s="6" t="str">
        <f>"F310620958000000"</f>
        <v>F310620958000000</v>
      </c>
      <c r="H175" s="6" t="str">
        <f>"PLAR 6209 C/ Franja"</f>
        <v>PLAR 6209 C/ Franja</v>
      </c>
      <c r="I175" s="6" t="str">
        <f>"203699"</f>
        <v>203699</v>
      </c>
      <c r="J175" s="6" t="str">
        <f>"BEGE 3699"</f>
        <v>BEGE 3699</v>
      </c>
      <c r="K175" s="6" t="str">
        <f>"0585"</f>
        <v>0585</v>
      </c>
      <c r="L175" s="6" t="str">
        <f>"Toalhetes"</f>
        <v>Toalhetes</v>
      </c>
      <c r="M175" s="6" t="str">
        <f>"33x50+8"</f>
        <v>33x50+8</v>
      </c>
      <c r="N175" s="6" t="str">
        <f>"5602972280920"</f>
        <v>5602972280920</v>
      </c>
      <c r="O175" s="8">
        <v>48</v>
      </c>
      <c r="P175" s="7">
        <v>46036</v>
      </c>
      <c r="R175" s="8">
        <v>0</v>
      </c>
      <c r="U175" s="8">
        <v>0</v>
      </c>
      <c r="X175" s="8">
        <v>0</v>
      </c>
      <c r="Z175" s="8">
        <v>0</v>
      </c>
      <c r="AC175" s="8">
        <v>48</v>
      </c>
      <c r="AE175" s="7">
        <v>46043</v>
      </c>
      <c r="AF175" s="8">
        <v>48</v>
      </c>
      <c r="AH175" s="7">
        <v>46038</v>
      </c>
      <c r="AN175" s="8">
        <v>48</v>
      </c>
      <c r="AO175" s="8">
        <v>0</v>
      </c>
    </row>
    <row r="176" spans="1:41" x14ac:dyDescent="0.25">
      <c r="A176" s="6" t="str">
        <f t="shared" si="40"/>
        <v>520-2026000026</v>
      </c>
      <c r="B176" s="6" t="str">
        <f t="shared" si="38"/>
        <v>AUCHAN R</v>
      </c>
      <c r="C176" s="7">
        <v>46036</v>
      </c>
      <c r="D176" s="7">
        <v>46038</v>
      </c>
      <c r="E176" s="8">
        <v>5</v>
      </c>
      <c r="F176" s="6" t="str">
        <f t="shared" si="41"/>
        <v>1064968702</v>
      </c>
      <c r="G176" s="6" t="str">
        <f>"F300374155000000"</f>
        <v>F300374155000000</v>
      </c>
      <c r="H176" s="6" t="str">
        <f>"PLR 3741 - 550 g/m²"</f>
        <v>PLR 3741 - 550 g/m²</v>
      </c>
      <c r="I176" s="6" t="str">
        <f>"203634"</f>
        <v>203634</v>
      </c>
      <c r="J176" s="6" t="str">
        <f>"ROSA 3634"</f>
        <v>ROSA 3634</v>
      </c>
      <c r="K176" s="6" t="str">
        <f>"0530"</f>
        <v>0530</v>
      </c>
      <c r="L176" s="6" t="str">
        <f>"Toalhetes"</f>
        <v>Toalhetes</v>
      </c>
      <c r="M176" s="6" t="str">
        <f>"33x50"</f>
        <v>33x50</v>
      </c>
      <c r="N176" s="6" t="str">
        <f>"5602972280869"</f>
        <v>5602972280869</v>
      </c>
      <c r="O176" s="8">
        <v>12</v>
      </c>
      <c r="P176" s="7">
        <v>46036</v>
      </c>
      <c r="R176" s="8">
        <v>0</v>
      </c>
      <c r="U176" s="8">
        <v>0</v>
      </c>
      <c r="X176" s="8">
        <v>0</v>
      </c>
      <c r="Z176" s="8">
        <v>0</v>
      </c>
      <c r="AC176" s="8">
        <v>0</v>
      </c>
      <c r="AE176" s="7">
        <v>46043</v>
      </c>
      <c r="AF176" s="8">
        <v>0</v>
      </c>
      <c r="AH176" s="7">
        <v>46038</v>
      </c>
      <c r="AN176" s="8">
        <v>0</v>
      </c>
      <c r="AO176" s="8">
        <v>12</v>
      </c>
    </row>
    <row r="177" spans="1:41" x14ac:dyDescent="0.25">
      <c r="A177" s="6" t="str">
        <f t="shared" si="40"/>
        <v>520-2026000026</v>
      </c>
      <c r="B177" s="6" t="str">
        <f t="shared" si="38"/>
        <v>AUCHAN R</v>
      </c>
      <c r="C177" s="7">
        <v>46036</v>
      </c>
      <c r="D177" s="7">
        <v>46038</v>
      </c>
      <c r="E177" s="8">
        <v>6</v>
      </c>
      <c r="F177" s="6" t="str">
        <f t="shared" si="41"/>
        <v>1064968702</v>
      </c>
      <c r="G177" s="6" t="str">
        <f>"F110329745000000"</f>
        <v>F110329745000000</v>
      </c>
      <c r="H177" s="6" t="str">
        <f>"FAJ 3297 - 450 g/m²"</f>
        <v>FAJ 3297 - 450 g/m²</v>
      </c>
      <c r="I177" s="6" t="str">
        <f>"2"</f>
        <v>2</v>
      </c>
      <c r="J177" s="6" t="str">
        <f>"NATURAL"</f>
        <v>NATURAL</v>
      </c>
      <c r="K177" s="6" t="str">
        <f>"0520"</f>
        <v>0520</v>
      </c>
      <c r="L177" s="6" t="str">
        <f>"Toalhetes"</f>
        <v>Toalhetes</v>
      </c>
      <c r="M177" s="6" t="str">
        <f>"30x50"</f>
        <v>30x50</v>
      </c>
      <c r="N177" s="6" t="str">
        <f>"5602972277852"</f>
        <v>5602972277852</v>
      </c>
      <c r="O177" s="8">
        <v>12</v>
      </c>
      <c r="P177" s="7">
        <v>46036</v>
      </c>
      <c r="R177" s="8">
        <v>0</v>
      </c>
      <c r="U177" s="8">
        <v>0</v>
      </c>
      <c r="X177" s="8">
        <v>0</v>
      </c>
      <c r="Z177" s="8">
        <v>0</v>
      </c>
      <c r="AC177" s="8">
        <v>0</v>
      </c>
      <c r="AE177" s="7">
        <v>46043</v>
      </c>
      <c r="AF177" s="8">
        <v>0</v>
      </c>
      <c r="AH177" s="7">
        <v>46038</v>
      </c>
      <c r="AN177" s="8">
        <v>0</v>
      </c>
      <c r="AO177" s="8">
        <v>12</v>
      </c>
    </row>
    <row r="178" spans="1:41" x14ac:dyDescent="0.25">
      <c r="A178" s="6" t="str">
        <f t="shared" si="40"/>
        <v>520-2026000026</v>
      </c>
      <c r="B178" s="6" t="str">
        <f t="shared" si="38"/>
        <v>AUCHAN R</v>
      </c>
      <c r="C178" s="7">
        <v>46036</v>
      </c>
      <c r="D178" s="7">
        <v>46038</v>
      </c>
      <c r="E178" s="8">
        <v>7</v>
      </c>
      <c r="F178" s="6" t="str">
        <f t="shared" si="41"/>
        <v>1064968702</v>
      </c>
      <c r="G178" s="6" t="str">
        <f>"F100021455000010"</f>
        <v>F100021455000010</v>
      </c>
      <c r="H178" s="6" t="str">
        <f>"FA 214 Bio GOTS - 55"</f>
        <v>FA 214 Bio GOTS - 55</v>
      </c>
      <c r="I178" s="6" t="str">
        <f>"2094"</f>
        <v>2094</v>
      </c>
      <c r="J178" s="6" t="str">
        <f>"AZUL 2094"</f>
        <v>AZUL 2094</v>
      </c>
      <c r="K178" s="6" t="str">
        <f>"0530"</f>
        <v>0530</v>
      </c>
      <c r="L178" s="6" t="str">
        <f>"Toalhetes"</f>
        <v>Toalhetes</v>
      </c>
      <c r="M178" s="6" t="str">
        <f>"33x50"</f>
        <v>33x50</v>
      </c>
      <c r="N178" s="6" t="str">
        <f>"5602972278637"</f>
        <v>5602972278637</v>
      </c>
      <c r="O178" s="8">
        <v>12</v>
      </c>
      <c r="P178" s="7">
        <v>46036</v>
      </c>
      <c r="R178" s="8">
        <v>0</v>
      </c>
      <c r="U178" s="8">
        <v>0</v>
      </c>
      <c r="X178" s="8">
        <v>0</v>
      </c>
      <c r="Z178" s="8">
        <v>0</v>
      </c>
      <c r="AC178" s="8">
        <v>12</v>
      </c>
      <c r="AE178" s="7">
        <v>46043</v>
      </c>
      <c r="AF178" s="8">
        <v>12</v>
      </c>
      <c r="AH178" s="7">
        <v>46038</v>
      </c>
      <c r="AN178" s="8">
        <v>12</v>
      </c>
      <c r="AO178" s="8">
        <v>0</v>
      </c>
    </row>
    <row r="179" spans="1:41" x14ac:dyDescent="0.25">
      <c r="A179" s="6" t="str">
        <f t="shared" si="40"/>
        <v>520-2026000026</v>
      </c>
      <c r="B179" s="6" t="str">
        <f t="shared" si="38"/>
        <v>AUCHAN R</v>
      </c>
      <c r="C179" s="7">
        <v>46036</v>
      </c>
      <c r="D179" s="7">
        <v>46038</v>
      </c>
      <c r="E179" s="8">
        <v>8</v>
      </c>
      <c r="F179" s="6" t="str">
        <f t="shared" si="41"/>
        <v>1064968702</v>
      </c>
      <c r="G179" s="6" t="str">
        <f>"F300374155000000"</f>
        <v>F300374155000000</v>
      </c>
      <c r="H179" s="6" t="str">
        <f>"PLR 3741 - 550 g/m²"</f>
        <v>PLR 3741 - 550 g/m²</v>
      </c>
      <c r="I179" s="6" t="str">
        <f>"203634"</f>
        <v>203634</v>
      </c>
      <c r="J179" s="6" t="str">
        <f>"ROSA 3634"</f>
        <v>ROSA 3634</v>
      </c>
      <c r="K179" s="6" t="str">
        <f>"1024"</f>
        <v>1024</v>
      </c>
      <c r="L179" s="6" t="str">
        <f>"Toalhas"</f>
        <v>Toalhas</v>
      </c>
      <c r="M179" s="6" t="str">
        <f>"50x100"</f>
        <v>50x100</v>
      </c>
      <c r="N179" s="6" t="str">
        <f>"5602972280876"</f>
        <v>5602972280876</v>
      </c>
      <c r="O179" s="8">
        <v>6</v>
      </c>
      <c r="P179" s="7">
        <v>46036</v>
      </c>
      <c r="R179" s="8">
        <v>0</v>
      </c>
      <c r="U179" s="8">
        <v>0</v>
      </c>
      <c r="X179" s="8">
        <v>0</v>
      </c>
      <c r="Z179" s="8">
        <v>0</v>
      </c>
      <c r="AC179" s="8">
        <v>6</v>
      </c>
      <c r="AE179" s="7">
        <v>46043</v>
      </c>
      <c r="AF179" s="8">
        <v>6</v>
      </c>
      <c r="AH179" s="7">
        <v>46038</v>
      </c>
      <c r="AN179" s="8">
        <v>6</v>
      </c>
      <c r="AO179" s="8">
        <v>0</v>
      </c>
    </row>
    <row r="180" spans="1:41" x14ac:dyDescent="0.25">
      <c r="A180" s="6" t="str">
        <f t="shared" si="40"/>
        <v>520-2026000026</v>
      </c>
      <c r="B180" s="6" t="str">
        <f t="shared" si="38"/>
        <v>AUCHAN R</v>
      </c>
      <c r="C180" s="7">
        <v>46036</v>
      </c>
      <c r="D180" s="7">
        <v>46038</v>
      </c>
      <c r="E180" s="8">
        <v>9</v>
      </c>
      <c r="F180" s="6" t="str">
        <f t="shared" si="41"/>
        <v>1064968702</v>
      </c>
      <c r="G180" s="6" t="str">
        <f>"F310620958000000"</f>
        <v>F310620958000000</v>
      </c>
      <c r="H180" s="6" t="str">
        <f>"PLAR 6209 C/ Franja"</f>
        <v>PLAR 6209 C/ Franja</v>
      </c>
      <c r="I180" s="6" t="str">
        <f>"203699"</f>
        <v>203699</v>
      </c>
      <c r="J180" s="6" t="str">
        <f>"BEGE 3699"</f>
        <v>BEGE 3699</v>
      </c>
      <c r="K180" s="6" t="str">
        <f>"1047"</f>
        <v>1047</v>
      </c>
      <c r="L180" s="6" t="str">
        <f>"Toalhas"</f>
        <v>Toalhas</v>
      </c>
      <c r="M180" s="6" t="str">
        <f>"50x100+8"</f>
        <v>50x100+8</v>
      </c>
      <c r="N180" s="6" t="str">
        <f>"5602972280937"</f>
        <v>5602972280937</v>
      </c>
      <c r="O180" s="8">
        <v>6</v>
      </c>
      <c r="P180" s="7">
        <v>46036</v>
      </c>
      <c r="R180" s="8">
        <v>0</v>
      </c>
      <c r="U180" s="8">
        <v>0</v>
      </c>
      <c r="X180" s="8">
        <v>0</v>
      </c>
      <c r="Z180" s="8">
        <v>0</v>
      </c>
      <c r="AC180" s="8">
        <v>6</v>
      </c>
      <c r="AE180" s="7">
        <v>46043</v>
      </c>
      <c r="AF180" s="8">
        <v>6</v>
      </c>
      <c r="AH180" s="7">
        <v>46038</v>
      </c>
      <c r="AN180" s="8">
        <v>6</v>
      </c>
      <c r="AO180" s="8">
        <v>0</v>
      </c>
    </row>
    <row r="181" spans="1:41" x14ac:dyDescent="0.25">
      <c r="A181" s="6" t="str">
        <f t="shared" si="40"/>
        <v>520-2026000026</v>
      </c>
      <c r="B181" s="6" t="str">
        <f t="shared" si="38"/>
        <v>AUCHAN R</v>
      </c>
      <c r="C181" s="7">
        <v>46036</v>
      </c>
      <c r="D181" s="7">
        <v>46038</v>
      </c>
      <c r="E181" s="8">
        <v>10</v>
      </c>
      <c r="F181" s="6" t="str">
        <f t="shared" si="41"/>
        <v>1064968702</v>
      </c>
      <c r="G181" s="6" t="str">
        <f>"F100021455000010"</f>
        <v>F100021455000010</v>
      </c>
      <c r="H181" s="6" t="str">
        <f>"FA 214 Bio GOTS - 55"</f>
        <v>FA 214 Bio GOTS - 55</v>
      </c>
      <c r="I181" s="6" t="str">
        <f>"1"</f>
        <v>1</v>
      </c>
      <c r="J181" s="6" t="str">
        <f>"BRANCO"</f>
        <v>BRANCO</v>
      </c>
      <c r="K181" s="6" t="str">
        <f>"1024"</f>
        <v>1024</v>
      </c>
      <c r="L181" s="6" t="str">
        <f>"Toalhas"</f>
        <v>Toalhas</v>
      </c>
      <c r="M181" s="6" t="str">
        <f>"50x100"</f>
        <v>50x100</v>
      </c>
      <c r="N181" s="6" t="str">
        <f>"5602972278583"</f>
        <v>5602972278583</v>
      </c>
      <c r="O181" s="8">
        <v>12</v>
      </c>
      <c r="P181" s="7">
        <v>46036</v>
      </c>
      <c r="R181" s="8">
        <v>0</v>
      </c>
      <c r="U181" s="8">
        <v>0</v>
      </c>
      <c r="X181" s="8">
        <v>0</v>
      </c>
      <c r="Z181" s="8">
        <v>0</v>
      </c>
      <c r="AC181" s="8">
        <v>12</v>
      </c>
      <c r="AE181" s="7">
        <v>46043</v>
      </c>
      <c r="AF181" s="8">
        <v>12</v>
      </c>
      <c r="AH181" s="7">
        <v>46038</v>
      </c>
      <c r="AN181" s="8">
        <v>12</v>
      </c>
      <c r="AO181" s="8">
        <v>0</v>
      </c>
    </row>
    <row r="182" spans="1:41" x14ac:dyDescent="0.25">
      <c r="A182" s="6" t="str">
        <f t="shared" si="40"/>
        <v>520-2026000026</v>
      </c>
      <c r="B182" s="6" t="str">
        <f t="shared" si="38"/>
        <v>AUCHAN R</v>
      </c>
      <c r="C182" s="7">
        <v>46036</v>
      </c>
      <c r="D182" s="7">
        <v>46038</v>
      </c>
      <c r="E182" s="8">
        <v>11</v>
      </c>
      <c r="F182" s="6" t="str">
        <f t="shared" si="41"/>
        <v>1064968702</v>
      </c>
      <c r="G182" s="6" t="str">
        <f>"F100021455000010"</f>
        <v>F100021455000010</v>
      </c>
      <c r="H182" s="6" t="str">
        <f>"FA 214 Bio GOTS - 55"</f>
        <v>FA 214 Bio GOTS - 55</v>
      </c>
      <c r="I182" s="6" t="str">
        <f>"2094"</f>
        <v>2094</v>
      </c>
      <c r="J182" s="6" t="str">
        <f>"AZUL 2094"</f>
        <v>AZUL 2094</v>
      </c>
      <c r="K182" s="6" t="str">
        <f>"1024"</f>
        <v>1024</v>
      </c>
      <c r="L182" s="6" t="str">
        <f>"Toalhas"</f>
        <v>Toalhas</v>
      </c>
      <c r="M182" s="6" t="str">
        <f>"50x100"</f>
        <v>50x100</v>
      </c>
      <c r="N182" s="6" t="str">
        <f>"5602972278644"</f>
        <v>5602972278644</v>
      </c>
      <c r="O182" s="8">
        <v>12</v>
      </c>
      <c r="P182" s="7">
        <v>46036</v>
      </c>
      <c r="R182" s="8">
        <v>0</v>
      </c>
      <c r="U182" s="8">
        <v>0</v>
      </c>
      <c r="X182" s="8">
        <v>0</v>
      </c>
      <c r="Z182" s="8">
        <v>0</v>
      </c>
      <c r="AC182" s="8">
        <v>12</v>
      </c>
      <c r="AE182" s="7">
        <v>46043</v>
      </c>
      <c r="AF182" s="8">
        <v>12</v>
      </c>
      <c r="AH182" s="7">
        <v>46038</v>
      </c>
      <c r="AN182" s="8">
        <v>12</v>
      </c>
      <c r="AO182" s="8">
        <v>0</v>
      </c>
    </row>
    <row r="183" spans="1:41" x14ac:dyDescent="0.25">
      <c r="A183" s="6" t="str">
        <f t="shared" si="40"/>
        <v>520-2026000026</v>
      </c>
      <c r="B183" s="6" t="str">
        <f t="shared" si="38"/>
        <v>AUCHAN R</v>
      </c>
      <c r="C183" s="7">
        <v>46036</v>
      </c>
      <c r="D183" s="7">
        <v>46038</v>
      </c>
      <c r="E183" s="8">
        <v>12</v>
      </c>
      <c r="F183" s="6" t="str">
        <f t="shared" si="41"/>
        <v>1064968702</v>
      </c>
      <c r="G183" s="6" t="str">
        <f>"F100021455000010"</f>
        <v>F100021455000010</v>
      </c>
      <c r="H183" s="6" t="str">
        <f>"FA 214 Bio GOTS - 55"</f>
        <v>FA 214 Bio GOTS - 55</v>
      </c>
      <c r="I183" s="6" t="str">
        <f>"4855"</f>
        <v>4855</v>
      </c>
      <c r="J183" s="6" t="str">
        <f>"ROSA 4855"</f>
        <v>ROSA 4855</v>
      </c>
      <c r="K183" s="6" t="str">
        <f>"1024"</f>
        <v>1024</v>
      </c>
      <c r="L183" s="6" t="str">
        <f>"Toalhas"</f>
        <v>Toalhas</v>
      </c>
      <c r="M183" s="6" t="str">
        <f>"50x100"</f>
        <v>50x100</v>
      </c>
      <c r="N183" s="6" t="str">
        <f>"5602972274585"</f>
        <v>5602972274585</v>
      </c>
      <c r="O183" s="8">
        <v>12</v>
      </c>
      <c r="P183" s="7">
        <v>46036</v>
      </c>
      <c r="R183" s="8">
        <v>0</v>
      </c>
      <c r="U183" s="8">
        <v>0</v>
      </c>
      <c r="X183" s="8">
        <v>0</v>
      </c>
      <c r="Z183" s="8">
        <v>0</v>
      </c>
      <c r="AC183" s="8">
        <v>12</v>
      </c>
      <c r="AE183" s="7">
        <v>46043</v>
      </c>
      <c r="AF183" s="8">
        <v>12</v>
      </c>
      <c r="AH183" s="7">
        <v>46038</v>
      </c>
      <c r="AN183" s="8">
        <v>12</v>
      </c>
      <c r="AO183" s="8">
        <v>0</v>
      </c>
    </row>
    <row r="184" spans="1:41" x14ac:dyDescent="0.25">
      <c r="A184" s="6" t="str">
        <f t="shared" si="40"/>
        <v>520-2026000026</v>
      </c>
      <c r="B184" s="6" t="str">
        <f t="shared" si="38"/>
        <v>AUCHAN R</v>
      </c>
      <c r="C184" s="7">
        <v>46036</v>
      </c>
      <c r="D184" s="7">
        <v>46038</v>
      </c>
      <c r="E184" s="8">
        <v>13</v>
      </c>
      <c r="F184" s="6" t="str">
        <f t="shared" si="41"/>
        <v>1064968702</v>
      </c>
      <c r="G184" s="6" t="str">
        <f>"C090008212000118"</f>
        <v>C090008212000118</v>
      </c>
      <c r="H184" s="6" t="str">
        <f>"Conj. LT 82 - 150 Fi"</f>
        <v>Conj. LT 82 - 150 Fi</v>
      </c>
      <c r="I184" s="6" t="str">
        <f>"600001"</f>
        <v>600001</v>
      </c>
      <c r="J184" s="6" t="str">
        <f>"Branco"</f>
        <v>Branco</v>
      </c>
      <c r="K184" s="6" t="str">
        <f>"4014"</f>
        <v>4014</v>
      </c>
      <c r="L184" s="6" t="str">
        <f>"Conjunto/Jogos"</f>
        <v>Conjunto/Jogos</v>
      </c>
      <c r="M184" s="6" t="str">
        <f>"(2 Pcs)"</f>
        <v>(2 Pcs)</v>
      </c>
      <c r="N184" s="6" t="str">
        <f>"5602972279849"</f>
        <v>5602972279849</v>
      </c>
      <c r="O184" s="8">
        <v>24</v>
      </c>
      <c r="P184" s="7">
        <v>46036</v>
      </c>
      <c r="R184" s="8">
        <v>0</v>
      </c>
      <c r="U184" s="8">
        <v>0</v>
      </c>
      <c r="X184" s="8">
        <v>0</v>
      </c>
      <c r="Z184" s="8">
        <v>0</v>
      </c>
      <c r="AC184" s="8">
        <v>24</v>
      </c>
      <c r="AE184" s="7">
        <v>46043</v>
      </c>
      <c r="AF184" s="8">
        <v>24</v>
      </c>
      <c r="AH184" s="7">
        <v>46038</v>
      </c>
      <c r="AN184" s="8">
        <v>24</v>
      </c>
      <c r="AO184" s="8">
        <v>0</v>
      </c>
    </row>
    <row r="185" spans="1:41" x14ac:dyDescent="0.25">
      <c r="A185" s="6" t="str">
        <f>"520-2026000028"</f>
        <v>520-2026000028</v>
      </c>
      <c r="B185" s="6" t="str">
        <f>"ACL IMPE"</f>
        <v>ACL IMPE</v>
      </c>
      <c r="C185" s="7">
        <v>46037</v>
      </c>
      <c r="D185" s="7">
        <v>46037</v>
      </c>
      <c r="E185" s="8">
        <v>1</v>
      </c>
      <c r="F185" s="6" t="str">
        <f>"PO260074"</f>
        <v>PO260074</v>
      </c>
      <c r="G185" s="6" t="str">
        <f>"R108341226000000"</f>
        <v>R108341226000000</v>
      </c>
      <c r="H185" s="6" t="str">
        <f>"R 3412 (WAFFLE) - FA"</f>
        <v>R 3412 (WAFFLE) - FA</v>
      </c>
      <c r="I185" s="6" t="str">
        <f>"1"</f>
        <v>1</v>
      </c>
      <c r="J185" s="6" t="str">
        <f>"BRANCO"</f>
        <v>BRANCO</v>
      </c>
      <c r="K185" s="6" t="str">
        <f>"5004"</f>
        <v>5004</v>
      </c>
      <c r="L185" s="6" t="str">
        <f>"Roupões Adulto"</f>
        <v>Roupões Adulto</v>
      </c>
      <c r="M185" s="6" t="str">
        <f>"M"</f>
        <v>M</v>
      </c>
      <c r="N185" s="6" t="str">
        <f>"5602972265408"</f>
        <v>5602972265408</v>
      </c>
      <c r="O185" s="8">
        <v>6</v>
      </c>
      <c r="P185" s="7">
        <v>46037</v>
      </c>
      <c r="R185" s="8">
        <v>0</v>
      </c>
      <c r="U185" s="8">
        <v>0</v>
      </c>
      <c r="X185" s="8">
        <v>0</v>
      </c>
      <c r="Z185" s="8">
        <v>0</v>
      </c>
      <c r="AC185" s="8">
        <v>6</v>
      </c>
      <c r="AE185" s="7">
        <v>46044</v>
      </c>
      <c r="AF185" s="8">
        <v>6</v>
      </c>
      <c r="AH185" s="7">
        <v>46042</v>
      </c>
      <c r="AN185" s="8">
        <v>6</v>
      </c>
      <c r="AO185" s="8">
        <v>0</v>
      </c>
    </row>
    <row r="186" spans="1:41" x14ac:dyDescent="0.25">
      <c r="A186" s="6" t="str">
        <f>"520-2026000028"</f>
        <v>520-2026000028</v>
      </c>
      <c r="B186" s="6" t="str">
        <f>"ACL IMPE"</f>
        <v>ACL IMPE</v>
      </c>
      <c r="C186" s="7">
        <v>46037</v>
      </c>
      <c r="D186" s="7">
        <v>46042</v>
      </c>
      <c r="E186" s="8">
        <v>2</v>
      </c>
      <c r="F186" s="6" t="str">
        <f>"PO260074"</f>
        <v>PO260074</v>
      </c>
      <c r="G186" s="6" t="str">
        <f>"R108341226000000"</f>
        <v>R108341226000000</v>
      </c>
      <c r="H186" s="6" t="str">
        <f>"R 3412 (WAFFLE) - FA"</f>
        <v>R 3412 (WAFFLE) - FA</v>
      </c>
      <c r="I186" s="6" t="str">
        <f>"1"</f>
        <v>1</v>
      </c>
      <c r="J186" s="6" t="str">
        <f>"BRANCO"</f>
        <v>BRANCO</v>
      </c>
      <c r="K186" s="6" t="str">
        <f>"5008"</f>
        <v>5008</v>
      </c>
      <c r="L186" s="6" t="str">
        <f>"Roupões Adulto"</f>
        <v>Roupões Adulto</v>
      </c>
      <c r="M186" s="6" t="str">
        <f>"XL"</f>
        <v>XL</v>
      </c>
      <c r="N186" s="6" t="str">
        <f>"5602972265415"</f>
        <v>5602972265415</v>
      </c>
      <c r="O186" s="8">
        <v>6</v>
      </c>
      <c r="P186" s="7">
        <v>46037</v>
      </c>
      <c r="R186" s="8">
        <v>0</v>
      </c>
      <c r="U186" s="8">
        <v>0</v>
      </c>
      <c r="X186" s="8">
        <v>0</v>
      </c>
      <c r="Z186" s="8">
        <v>0</v>
      </c>
      <c r="AC186" s="8">
        <v>6</v>
      </c>
      <c r="AE186" s="7">
        <v>46044</v>
      </c>
      <c r="AF186" s="8">
        <v>6</v>
      </c>
      <c r="AH186" s="7">
        <v>46042</v>
      </c>
      <c r="AN186" s="8">
        <v>6</v>
      </c>
      <c r="AO186" s="8">
        <v>0</v>
      </c>
    </row>
    <row r="187" spans="1:41" x14ac:dyDescent="0.25">
      <c r="A187" s="6" t="str">
        <f>"520-2026000029"</f>
        <v>520-2026000029</v>
      </c>
      <c r="B187" s="6" t="str">
        <f>"AUCHAN R"</f>
        <v>AUCHAN R</v>
      </c>
      <c r="C187" s="7">
        <v>46037</v>
      </c>
      <c r="D187" s="7">
        <v>46041</v>
      </c>
      <c r="E187" s="8">
        <v>1</v>
      </c>
      <c r="F187" s="6" t="str">
        <f>"1065169972"</f>
        <v>1065169972</v>
      </c>
      <c r="G187" s="6" t="str">
        <f>"C090008212000118"</f>
        <v>C090008212000118</v>
      </c>
      <c r="H187" s="6" t="str">
        <f>"Conj. LT 82 - 150 Fi"</f>
        <v>Conj. LT 82 - 150 Fi</v>
      </c>
      <c r="I187" s="6" t="str">
        <f>"600001"</f>
        <v>600001</v>
      </c>
      <c r="J187" s="6" t="str">
        <f>"Branco"</f>
        <v>Branco</v>
      </c>
      <c r="K187" s="6" t="str">
        <f>"4014"</f>
        <v>4014</v>
      </c>
      <c r="L187" s="6" t="str">
        <f>"Conjunto/Jogos"</f>
        <v>Conjunto/Jogos</v>
      </c>
      <c r="M187" s="6" t="str">
        <f>"(2 Pcs)"</f>
        <v>(2 Pcs)</v>
      </c>
      <c r="N187" s="6" t="str">
        <f>"5602972279849"</f>
        <v>5602972279849</v>
      </c>
      <c r="O187" s="8">
        <v>24</v>
      </c>
      <c r="P187" s="7">
        <v>46037</v>
      </c>
      <c r="R187" s="8">
        <v>0</v>
      </c>
      <c r="U187" s="8">
        <v>0</v>
      </c>
      <c r="X187" s="8">
        <v>0</v>
      </c>
      <c r="Z187" s="8">
        <v>0</v>
      </c>
      <c r="AC187" s="8">
        <v>24</v>
      </c>
      <c r="AE187" s="7">
        <v>46044</v>
      </c>
      <c r="AF187" s="8">
        <v>24</v>
      </c>
      <c r="AH187" s="7">
        <v>46041</v>
      </c>
      <c r="AN187" s="8">
        <v>24</v>
      </c>
      <c r="AO187" s="8">
        <v>0</v>
      </c>
    </row>
    <row r="188" spans="1:41" x14ac:dyDescent="0.25">
      <c r="A188" s="6" t="str">
        <f>"520-2026000030"</f>
        <v>520-2026000030</v>
      </c>
      <c r="B188" s="6" t="str">
        <f>"ADRIANO"</f>
        <v>ADRIANO</v>
      </c>
      <c r="C188" s="7">
        <v>46038</v>
      </c>
      <c r="D188" s="7">
        <v>46038</v>
      </c>
      <c r="E188" s="8">
        <v>1</v>
      </c>
      <c r="F188" s="6" t="str">
        <f>"STOCK (KG)"</f>
        <v>STOCK (KG)</v>
      </c>
      <c r="G188" s="6" t="str">
        <f>"F902000299900000"</f>
        <v>F902000299900000</v>
      </c>
      <c r="H188" s="6" t="str">
        <f>"Felpo Diverso (kg)"</f>
        <v>Felpo Diverso (kg)</v>
      </c>
      <c r="I188" s="6" t="str">
        <f>"300001"</f>
        <v>300001</v>
      </c>
      <c r="J188" s="6" t="str">
        <f>"SORTIDAS 1"</f>
        <v>SORTIDAS 1</v>
      </c>
      <c r="K188" s="6" t="str">
        <f>"3099"</f>
        <v>3099</v>
      </c>
      <c r="L188" s="6" t="str">
        <f>"Tapetes"</f>
        <v>Tapetes</v>
      </c>
      <c r="M188" s="6" t="str">
        <f>"Diversos"</f>
        <v>Diversos</v>
      </c>
      <c r="N188" s="6" t="str">
        <f>"5600000008775"</f>
        <v>5600000008775</v>
      </c>
      <c r="O188" s="8">
        <v>236</v>
      </c>
      <c r="P188" s="7">
        <v>46038</v>
      </c>
      <c r="R188" s="8">
        <v>0</v>
      </c>
      <c r="U188" s="8">
        <v>0</v>
      </c>
      <c r="X188" s="8">
        <v>0</v>
      </c>
      <c r="Z188" s="8">
        <v>0</v>
      </c>
      <c r="AC188" s="8">
        <v>220</v>
      </c>
      <c r="AE188" s="7">
        <v>46045</v>
      </c>
      <c r="AF188" s="8">
        <v>220</v>
      </c>
      <c r="AH188" s="7">
        <v>46038</v>
      </c>
      <c r="AN188" s="8">
        <v>220</v>
      </c>
      <c r="AO188" s="8">
        <v>16</v>
      </c>
    </row>
    <row r="189" spans="1:41" x14ac:dyDescent="0.25">
      <c r="A189" s="6" t="str">
        <f>"520-2026000031"</f>
        <v>520-2026000031</v>
      </c>
      <c r="B189" s="6" t="str">
        <f>"FEIRA RE"</f>
        <v>FEIRA RE</v>
      </c>
      <c r="C189" s="7">
        <v>46038</v>
      </c>
      <c r="D189" s="7">
        <v>46038</v>
      </c>
      <c r="E189" s="8">
        <v>1</v>
      </c>
      <c r="F189" s="6" t="str">
        <f>"STOCK (KG)"</f>
        <v>STOCK (KG)</v>
      </c>
      <c r="G189" s="6" t="str">
        <f>"F902000299900000"</f>
        <v>F902000299900000</v>
      </c>
      <c r="H189" s="6" t="str">
        <f>"Felpo Diverso (kg)"</f>
        <v>Felpo Diverso (kg)</v>
      </c>
      <c r="I189" s="6" t="str">
        <f>"300001"</f>
        <v>300001</v>
      </c>
      <c r="J189" s="6" t="str">
        <f>"SORTIDAS 1"</f>
        <v>SORTIDAS 1</v>
      </c>
      <c r="K189" s="6" t="str">
        <f>"8001"</f>
        <v>8001</v>
      </c>
      <c r="L189" s="6" t="str">
        <f>"Diversos"</f>
        <v>Diversos</v>
      </c>
      <c r="M189" s="6" t="str">
        <f>"Único"</f>
        <v>Único</v>
      </c>
      <c r="N189" s="6" t="str">
        <f>"5602972914788"</f>
        <v>5602972914788</v>
      </c>
      <c r="O189" s="8">
        <v>75</v>
      </c>
      <c r="P189" s="7">
        <v>46038</v>
      </c>
      <c r="R189" s="8">
        <v>0</v>
      </c>
      <c r="U189" s="8">
        <v>0</v>
      </c>
      <c r="X189" s="8">
        <v>0</v>
      </c>
      <c r="Z189" s="8">
        <v>0</v>
      </c>
      <c r="AC189" s="8">
        <v>65</v>
      </c>
      <c r="AE189" s="7">
        <v>46045</v>
      </c>
      <c r="AF189" s="8">
        <v>65</v>
      </c>
      <c r="AH189" s="7">
        <v>46038</v>
      </c>
      <c r="AN189" s="8">
        <v>65</v>
      </c>
      <c r="AO189" s="8">
        <v>10</v>
      </c>
    </row>
    <row r="190" spans="1:41" x14ac:dyDescent="0.25">
      <c r="A190" s="6" t="str">
        <f t="shared" ref="A190:A199" si="42">"520-2026000032"</f>
        <v>520-2026000032</v>
      </c>
      <c r="B190" s="6" t="str">
        <f t="shared" ref="B190:B199" si="43">"TURISMO"</f>
        <v>TURISMO</v>
      </c>
      <c r="C190" s="7">
        <v>46038</v>
      </c>
      <c r="D190" s="7">
        <v>46038</v>
      </c>
      <c r="E190" s="8">
        <v>1</v>
      </c>
      <c r="F190" s="6" t="str">
        <f t="shared" ref="F190:F199" si="44">"PEDIDO 16/01"</f>
        <v>PEDIDO 16/01</v>
      </c>
      <c r="G190" s="6" t="str">
        <f>"C090999900000003"</f>
        <v>C090999900000003</v>
      </c>
      <c r="H190" s="6" t="str">
        <f>"ENCHIMENTOS (PARIS)"</f>
        <v>ENCHIMENTOS (PARIS)</v>
      </c>
      <c r="I190" s="6" t="str">
        <f t="shared" ref="I190:I199" si="45">"1"</f>
        <v>1</v>
      </c>
      <c r="J190" s="6" t="str">
        <f t="shared" ref="J190:J199" si="46">"BRANCO"</f>
        <v>BRANCO</v>
      </c>
      <c r="K190" s="6" t="str">
        <f>"6716"</f>
        <v>6716</v>
      </c>
      <c r="L190" s="6" t="str">
        <f>"Enchimento"</f>
        <v>Enchimento</v>
      </c>
      <c r="M190" s="6" t="str">
        <f>"240x220"</f>
        <v>240x220</v>
      </c>
      <c r="N190" s="6" t="str">
        <f>"5602972267655"</f>
        <v>5602972267655</v>
      </c>
      <c r="O190" s="8">
        <v>16</v>
      </c>
      <c r="P190" s="7">
        <v>46038</v>
      </c>
      <c r="R190" s="8">
        <v>0</v>
      </c>
      <c r="U190" s="8">
        <v>0</v>
      </c>
      <c r="X190" s="8">
        <v>0</v>
      </c>
      <c r="Z190" s="8">
        <v>0</v>
      </c>
      <c r="AC190" s="8">
        <v>16</v>
      </c>
      <c r="AE190" s="7">
        <v>46045</v>
      </c>
      <c r="AF190" s="8">
        <v>16</v>
      </c>
      <c r="AH190" s="7">
        <v>46038</v>
      </c>
      <c r="AN190" s="8">
        <v>0</v>
      </c>
      <c r="AO190" s="8">
        <v>16</v>
      </c>
    </row>
    <row r="191" spans="1:41" x14ac:dyDescent="0.25">
      <c r="A191" s="6" t="str">
        <f t="shared" si="42"/>
        <v>520-2026000032</v>
      </c>
      <c r="B191" s="6" t="str">
        <f t="shared" si="43"/>
        <v>TURISMO</v>
      </c>
      <c r="C191" s="7">
        <v>46038</v>
      </c>
      <c r="D191" s="7">
        <v>46038</v>
      </c>
      <c r="E191" s="8">
        <v>2</v>
      </c>
      <c r="F191" s="6" t="str">
        <f t="shared" si="44"/>
        <v>PEDIDO 16/01</v>
      </c>
      <c r="G191" s="6" t="str">
        <f>"C090999900000003"</f>
        <v>C090999900000003</v>
      </c>
      <c r="H191" s="6" t="str">
        <f>"ENCHIMENTOS (PARIS)"</f>
        <v>ENCHIMENTOS (PARIS)</v>
      </c>
      <c r="I191" s="6" t="str">
        <f t="shared" si="45"/>
        <v>1</v>
      </c>
      <c r="J191" s="6" t="str">
        <f t="shared" si="46"/>
        <v>BRANCO</v>
      </c>
      <c r="K191" s="6" t="str">
        <f>"6711"</f>
        <v>6711</v>
      </c>
      <c r="L191" s="6" t="str">
        <f>"Enchimento"</f>
        <v>Enchimento</v>
      </c>
      <c r="M191" s="6" t="str">
        <f>"160x220"</f>
        <v>160x220</v>
      </c>
      <c r="N191" s="6" t="str">
        <f>"5602972267341"</f>
        <v>5602972267341</v>
      </c>
      <c r="O191" s="8">
        <v>12</v>
      </c>
      <c r="P191" s="7">
        <v>46038</v>
      </c>
      <c r="R191" s="8">
        <v>0</v>
      </c>
      <c r="U191" s="8">
        <v>0</v>
      </c>
      <c r="X191" s="8">
        <v>0</v>
      </c>
      <c r="Z191" s="8">
        <v>0</v>
      </c>
      <c r="AC191" s="8">
        <v>12</v>
      </c>
      <c r="AE191" s="7">
        <v>46045</v>
      </c>
      <c r="AF191" s="8">
        <v>12</v>
      </c>
      <c r="AH191" s="7">
        <v>46038</v>
      </c>
      <c r="AN191" s="8">
        <v>0</v>
      </c>
      <c r="AO191" s="8">
        <v>12</v>
      </c>
    </row>
    <row r="192" spans="1:41" x14ac:dyDescent="0.25">
      <c r="A192" s="6" t="str">
        <f t="shared" si="42"/>
        <v>520-2026000032</v>
      </c>
      <c r="B192" s="6" t="str">
        <f t="shared" si="43"/>
        <v>TURISMO</v>
      </c>
      <c r="C192" s="7">
        <v>46038</v>
      </c>
      <c r="D192" s="7">
        <v>46038</v>
      </c>
      <c r="E192" s="8">
        <v>3</v>
      </c>
      <c r="F192" s="6" t="str">
        <f t="shared" si="44"/>
        <v>PEDIDO 16/01</v>
      </c>
      <c r="G192" s="6" t="str">
        <f>"C090999900000007"</f>
        <v>C090999900000007</v>
      </c>
      <c r="H192" s="6" t="str">
        <f>"ENCHIMENTOS (ESTOCOL"</f>
        <v>ENCHIMENTOS (ESTOCOL</v>
      </c>
      <c r="I192" s="6" t="str">
        <f t="shared" si="45"/>
        <v>1</v>
      </c>
      <c r="J192" s="6" t="str">
        <f t="shared" si="46"/>
        <v>BRANCO</v>
      </c>
      <c r="K192" s="6" t="str">
        <f>"6716"</f>
        <v>6716</v>
      </c>
      <c r="L192" s="6" t="str">
        <f>"Enchimento"</f>
        <v>Enchimento</v>
      </c>
      <c r="M192" s="6" t="str">
        <f>"240x220"</f>
        <v>240x220</v>
      </c>
      <c r="N192" s="6" t="str">
        <f>"5602972267402"</f>
        <v>5602972267402</v>
      </c>
      <c r="O192" s="8">
        <v>16</v>
      </c>
      <c r="P192" s="7">
        <v>46038</v>
      </c>
      <c r="R192" s="8">
        <v>0</v>
      </c>
      <c r="U192" s="8">
        <v>0</v>
      </c>
      <c r="X192" s="8">
        <v>0</v>
      </c>
      <c r="Z192" s="8">
        <v>0</v>
      </c>
      <c r="AC192" s="8">
        <v>16</v>
      </c>
      <c r="AE192" s="7">
        <v>46045</v>
      </c>
      <c r="AF192" s="8">
        <v>16</v>
      </c>
      <c r="AH192" s="7">
        <v>46038</v>
      </c>
      <c r="AN192" s="8">
        <v>0</v>
      </c>
      <c r="AO192" s="8">
        <v>16</v>
      </c>
    </row>
    <row r="193" spans="1:41" x14ac:dyDescent="0.25">
      <c r="A193" s="6" t="str">
        <f t="shared" si="42"/>
        <v>520-2026000032</v>
      </c>
      <c r="B193" s="6" t="str">
        <f t="shared" si="43"/>
        <v>TURISMO</v>
      </c>
      <c r="C193" s="7">
        <v>46038</v>
      </c>
      <c r="D193" s="7">
        <v>46038</v>
      </c>
      <c r="E193" s="8">
        <v>4</v>
      </c>
      <c r="F193" s="6" t="str">
        <f t="shared" si="44"/>
        <v>PEDIDO 16/01</v>
      </c>
      <c r="G193" s="6" t="str">
        <f>"C090999900000007"</f>
        <v>C090999900000007</v>
      </c>
      <c r="H193" s="6" t="str">
        <f>"ENCHIMENTOS (ESTOCOL"</f>
        <v>ENCHIMENTOS (ESTOCOL</v>
      </c>
      <c r="I193" s="6" t="str">
        <f t="shared" si="45"/>
        <v>1</v>
      </c>
      <c r="J193" s="6" t="str">
        <f t="shared" si="46"/>
        <v>BRANCO</v>
      </c>
      <c r="K193" s="6" t="str">
        <f>"6711"</f>
        <v>6711</v>
      </c>
      <c r="L193" s="6" t="str">
        <f>"Enchimento"</f>
        <v>Enchimento</v>
      </c>
      <c r="M193" s="6" t="str">
        <f>"160x220"</f>
        <v>160x220</v>
      </c>
      <c r="N193" s="6" t="str">
        <f>"5602972267372"</f>
        <v>5602972267372</v>
      </c>
      <c r="O193" s="8">
        <v>12</v>
      </c>
      <c r="P193" s="7">
        <v>46038</v>
      </c>
      <c r="R193" s="8">
        <v>0</v>
      </c>
      <c r="U193" s="8">
        <v>0</v>
      </c>
      <c r="X193" s="8">
        <v>0</v>
      </c>
      <c r="Z193" s="8">
        <v>0</v>
      </c>
      <c r="AC193" s="8">
        <v>12</v>
      </c>
      <c r="AE193" s="7">
        <v>46045</v>
      </c>
      <c r="AF193" s="8">
        <v>12</v>
      </c>
      <c r="AH193" s="7">
        <v>46038</v>
      </c>
      <c r="AN193" s="8">
        <v>0</v>
      </c>
      <c r="AO193" s="8">
        <v>12</v>
      </c>
    </row>
    <row r="194" spans="1:41" x14ac:dyDescent="0.25">
      <c r="A194" s="6" t="str">
        <f t="shared" si="42"/>
        <v>520-2026000032</v>
      </c>
      <c r="B194" s="6" t="str">
        <f t="shared" si="43"/>
        <v>TURISMO</v>
      </c>
      <c r="C194" s="7">
        <v>46038</v>
      </c>
      <c r="D194" s="7">
        <v>46038</v>
      </c>
      <c r="E194" s="8">
        <v>5</v>
      </c>
      <c r="F194" s="6" t="str">
        <f t="shared" si="44"/>
        <v>PEDIDO 16/01</v>
      </c>
      <c r="G194" s="6" t="str">
        <f>"C090999900000014"</f>
        <v>C090999900000014</v>
      </c>
      <c r="H194" s="6" t="str">
        <f>"Protector (PILLOW WA"</f>
        <v>Protector (PILLOW WA</v>
      </c>
      <c r="I194" s="6" t="str">
        <f t="shared" si="45"/>
        <v>1</v>
      </c>
      <c r="J194" s="6" t="str">
        <f t="shared" si="46"/>
        <v>BRANCO</v>
      </c>
      <c r="K194" s="6" t="str">
        <f>"7850"</f>
        <v>7850</v>
      </c>
      <c r="L194" s="6" t="str">
        <f>"Protector"</f>
        <v>Protector</v>
      </c>
      <c r="M194" s="6" t="str">
        <f>"50x70+15"</f>
        <v>50x70+15</v>
      </c>
      <c r="N194" s="6" t="str">
        <f>"5602972269659"</f>
        <v>5602972269659</v>
      </c>
      <c r="O194" s="8">
        <v>128</v>
      </c>
      <c r="P194" s="7">
        <v>46038</v>
      </c>
      <c r="R194" s="8">
        <v>0</v>
      </c>
      <c r="U194" s="8">
        <v>0</v>
      </c>
      <c r="X194" s="8">
        <v>0</v>
      </c>
      <c r="Z194" s="8">
        <v>0</v>
      </c>
      <c r="AC194" s="8">
        <v>128</v>
      </c>
      <c r="AE194" s="7">
        <v>46045</v>
      </c>
      <c r="AF194" s="8">
        <v>128</v>
      </c>
      <c r="AH194" s="7">
        <v>46038</v>
      </c>
      <c r="AN194" s="8">
        <v>0</v>
      </c>
      <c r="AO194" s="8">
        <v>128</v>
      </c>
    </row>
    <row r="195" spans="1:41" x14ac:dyDescent="0.25">
      <c r="A195" s="6" t="str">
        <f t="shared" si="42"/>
        <v>520-2026000032</v>
      </c>
      <c r="B195" s="6" t="str">
        <f t="shared" si="43"/>
        <v>TURISMO</v>
      </c>
      <c r="C195" s="7">
        <v>46038</v>
      </c>
      <c r="D195" s="7">
        <v>46038</v>
      </c>
      <c r="E195" s="8">
        <v>6</v>
      </c>
      <c r="F195" s="6" t="str">
        <f t="shared" si="44"/>
        <v>PEDIDO 16/01</v>
      </c>
      <c r="G195" s="6" t="str">
        <f>"C090000267000022"</f>
        <v>C090000267000022</v>
      </c>
      <c r="H195" s="6" t="str">
        <f>"Protectores para col"</f>
        <v>Protectores para col</v>
      </c>
      <c r="I195" s="6" t="str">
        <f t="shared" si="45"/>
        <v>1</v>
      </c>
      <c r="J195" s="6" t="str">
        <f t="shared" si="46"/>
        <v>BRANCO</v>
      </c>
      <c r="K195" s="6" t="str">
        <f>"7000"</f>
        <v>7000</v>
      </c>
      <c r="L195" s="6" t="str">
        <f>"Cama"</f>
        <v>Cama</v>
      </c>
      <c r="M195" s="6" t="str">
        <f>"Único"</f>
        <v>Único</v>
      </c>
      <c r="N195" s="6" t="str">
        <f>"5600000084793"</f>
        <v>5600000084793</v>
      </c>
      <c r="O195" s="8">
        <v>128</v>
      </c>
      <c r="P195" s="7">
        <v>46038</v>
      </c>
      <c r="R195" s="8">
        <v>0</v>
      </c>
      <c r="U195" s="8">
        <v>0</v>
      </c>
      <c r="X195" s="8">
        <v>0</v>
      </c>
      <c r="Z195" s="8">
        <v>0</v>
      </c>
      <c r="AC195" s="8">
        <v>128</v>
      </c>
      <c r="AE195" s="7">
        <v>46045</v>
      </c>
      <c r="AF195" s="8">
        <v>128</v>
      </c>
      <c r="AH195" s="7">
        <v>46038</v>
      </c>
      <c r="AN195" s="8">
        <v>0</v>
      </c>
      <c r="AO195" s="8">
        <v>128</v>
      </c>
    </row>
    <row r="196" spans="1:41" x14ac:dyDescent="0.25">
      <c r="A196" s="6" t="str">
        <f t="shared" si="42"/>
        <v>520-2026000032</v>
      </c>
      <c r="B196" s="6" t="str">
        <f t="shared" si="43"/>
        <v>TURISMO</v>
      </c>
      <c r="C196" s="7">
        <v>46038</v>
      </c>
      <c r="D196" s="7">
        <v>46038</v>
      </c>
      <c r="E196" s="8">
        <v>7</v>
      </c>
      <c r="F196" s="6" t="str">
        <f t="shared" si="44"/>
        <v>PEDIDO 16/01</v>
      </c>
      <c r="G196" s="6" t="str">
        <f>"C090999900000004"</f>
        <v>C090999900000004</v>
      </c>
      <c r="H196" s="6" t="str">
        <f>"ALMOFADAS (ALASCA)"</f>
        <v>ALMOFADAS (ALASCA)</v>
      </c>
      <c r="I196" s="6" t="str">
        <f t="shared" si="45"/>
        <v>1</v>
      </c>
      <c r="J196" s="6" t="str">
        <f t="shared" si="46"/>
        <v>BRANCO</v>
      </c>
      <c r="K196" s="6" t="str">
        <f>"0405"</f>
        <v>0405</v>
      </c>
      <c r="L196" s="6" t="str">
        <f>"Almofada"</f>
        <v>Almofada</v>
      </c>
      <c r="M196" s="6" t="str">
        <f>"50x70"</f>
        <v>50x70</v>
      </c>
      <c r="N196" s="6" t="str">
        <f>"5602972267730"</f>
        <v>5602972267730</v>
      </c>
      <c r="O196" s="8">
        <v>76</v>
      </c>
      <c r="P196" s="7">
        <v>46038</v>
      </c>
      <c r="R196" s="8">
        <v>0</v>
      </c>
      <c r="U196" s="8">
        <v>0</v>
      </c>
      <c r="X196" s="8">
        <v>0</v>
      </c>
      <c r="Z196" s="8">
        <v>0</v>
      </c>
      <c r="AC196" s="8">
        <v>76</v>
      </c>
      <c r="AE196" s="7">
        <v>46045</v>
      </c>
      <c r="AF196" s="8">
        <v>76</v>
      </c>
      <c r="AH196" s="7">
        <v>46038</v>
      </c>
      <c r="AN196" s="8">
        <v>0</v>
      </c>
      <c r="AO196" s="8">
        <v>76</v>
      </c>
    </row>
    <row r="197" spans="1:41" x14ac:dyDescent="0.25">
      <c r="A197" s="6" t="str">
        <f t="shared" si="42"/>
        <v>520-2026000032</v>
      </c>
      <c r="B197" s="6" t="str">
        <f t="shared" si="43"/>
        <v>TURISMO</v>
      </c>
      <c r="C197" s="7">
        <v>46038</v>
      </c>
      <c r="D197" s="7">
        <v>46038</v>
      </c>
      <c r="E197" s="8">
        <v>8</v>
      </c>
      <c r="F197" s="6" t="str">
        <f t="shared" si="44"/>
        <v>PEDIDO 16/01</v>
      </c>
      <c r="G197" s="6" t="str">
        <f>"C090999900000004"</f>
        <v>C090999900000004</v>
      </c>
      <c r="H197" s="6" t="str">
        <f>"ALMOFADAS (ALASCA)"</f>
        <v>ALMOFADAS (ALASCA)</v>
      </c>
      <c r="I197" s="6" t="str">
        <f t="shared" si="45"/>
        <v>1</v>
      </c>
      <c r="J197" s="6" t="str">
        <f t="shared" si="46"/>
        <v>BRANCO</v>
      </c>
      <c r="K197" s="6" t="str">
        <f>"0419"</f>
        <v>0419</v>
      </c>
      <c r="L197" s="6" t="str">
        <f>"Almofada"</f>
        <v>Almofada</v>
      </c>
      <c r="M197" s="6" t="str">
        <f>"45x60"</f>
        <v>45x60</v>
      </c>
      <c r="N197" s="6" t="str">
        <f>"5602972267525"</f>
        <v>5602972267525</v>
      </c>
      <c r="O197" s="8">
        <v>76</v>
      </c>
      <c r="P197" s="7">
        <v>46038</v>
      </c>
      <c r="R197" s="8">
        <v>0</v>
      </c>
      <c r="U197" s="8">
        <v>0</v>
      </c>
      <c r="X197" s="8">
        <v>0</v>
      </c>
      <c r="Z197" s="8">
        <v>0</v>
      </c>
      <c r="AC197" s="8">
        <v>76</v>
      </c>
      <c r="AE197" s="7">
        <v>46045</v>
      </c>
      <c r="AF197" s="8">
        <v>76</v>
      </c>
      <c r="AH197" s="7">
        <v>46038</v>
      </c>
      <c r="AN197" s="8">
        <v>0</v>
      </c>
      <c r="AO197" s="8">
        <v>76</v>
      </c>
    </row>
    <row r="198" spans="1:41" x14ac:dyDescent="0.25">
      <c r="A198" s="6" t="str">
        <f t="shared" si="42"/>
        <v>520-2026000032</v>
      </c>
      <c r="B198" s="6" t="str">
        <f t="shared" si="43"/>
        <v>TURISMO</v>
      </c>
      <c r="C198" s="7">
        <v>46038</v>
      </c>
      <c r="D198" s="7">
        <v>46038</v>
      </c>
      <c r="E198" s="8">
        <v>9</v>
      </c>
      <c r="F198" s="6" t="str">
        <f t="shared" si="44"/>
        <v>PEDIDO 16/01</v>
      </c>
      <c r="G198" s="6" t="str">
        <f>"C090999900000001"</f>
        <v>C090999900000001</v>
      </c>
      <c r="H198" s="6" t="str">
        <f>"Protector (PROTECH W"</f>
        <v>Protector (PROTECH W</v>
      </c>
      <c r="I198" s="6" t="str">
        <f t="shared" si="45"/>
        <v>1</v>
      </c>
      <c r="J198" s="6" t="str">
        <f t="shared" si="46"/>
        <v>BRANCO</v>
      </c>
      <c r="K198" s="6" t="str">
        <f>"7832"</f>
        <v>7832</v>
      </c>
      <c r="L198" s="6" t="str">
        <f>"Protector"</f>
        <v>Protector</v>
      </c>
      <c r="M198" s="6" t="str">
        <f>"160x200"</f>
        <v>160x200</v>
      </c>
      <c r="N198" s="6" t="str">
        <f>"5602972269444"</f>
        <v>5602972269444</v>
      </c>
      <c r="O198" s="8">
        <v>24</v>
      </c>
      <c r="P198" s="7">
        <v>46038</v>
      </c>
      <c r="R198" s="8">
        <v>0</v>
      </c>
      <c r="U198" s="8">
        <v>0</v>
      </c>
      <c r="X198" s="8">
        <v>0</v>
      </c>
      <c r="Z198" s="8">
        <v>0</v>
      </c>
      <c r="AC198" s="8">
        <v>24</v>
      </c>
      <c r="AE198" s="7">
        <v>46045</v>
      </c>
      <c r="AF198" s="8">
        <v>24</v>
      </c>
      <c r="AH198" s="7">
        <v>46038</v>
      </c>
      <c r="AN198" s="8">
        <v>0</v>
      </c>
      <c r="AO198" s="8">
        <v>24</v>
      </c>
    </row>
    <row r="199" spans="1:41" x14ac:dyDescent="0.25">
      <c r="A199" s="6" t="str">
        <f t="shared" si="42"/>
        <v>520-2026000032</v>
      </c>
      <c r="B199" s="6" t="str">
        <f t="shared" si="43"/>
        <v>TURISMO</v>
      </c>
      <c r="C199" s="7">
        <v>46038</v>
      </c>
      <c r="D199" s="7">
        <v>46038</v>
      </c>
      <c r="E199" s="8">
        <v>10</v>
      </c>
      <c r="F199" s="6" t="str">
        <f t="shared" si="44"/>
        <v>PEDIDO 16/01</v>
      </c>
      <c r="G199" s="6" t="str">
        <f>"C090999900000001"</f>
        <v>C090999900000001</v>
      </c>
      <c r="H199" s="6" t="str">
        <f>"Protector (PROTECH W"</f>
        <v>Protector (PROTECH W</v>
      </c>
      <c r="I199" s="6" t="str">
        <f t="shared" si="45"/>
        <v>1</v>
      </c>
      <c r="J199" s="6" t="str">
        <f t="shared" si="46"/>
        <v>BRANCO</v>
      </c>
      <c r="K199" s="6" t="str">
        <f>"7816"</f>
        <v>7816</v>
      </c>
      <c r="L199" s="6" t="str">
        <f>"Protector"</f>
        <v>Protector</v>
      </c>
      <c r="M199" s="6" t="str">
        <f>"90x200"</f>
        <v>90x200</v>
      </c>
      <c r="N199" s="6" t="str">
        <f>"5602972269390"</f>
        <v>5602972269390</v>
      </c>
      <c r="O199" s="8">
        <v>16</v>
      </c>
      <c r="P199" s="7">
        <v>46038</v>
      </c>
      <c r="R199" s="8">
        <v>0</v>
      </c>
      <c r="U199" s="8">
        <v>0</v>
      </c>
      <c r="X199" s="8">
        <v>0</v>
      </c>
      <c r="Z199" s="8">
        <v>0</v>
      </c>
      <c r="AC199" s="8">
        <v>16</v>
      </c>
      <c r="AE199" s="7">
        <v>46045</v>
      </c>
      <c r="AF199" s="8">
        <v>16</v>
      </c>
      <c r="AH199" s="7">
        <v>46038</v>
      </c>
      <c r="AN199" s="8">
        <v>0</v>
      </c>
      <c r="AO199" s="8">
        <v>16</v>
      </c>
    </row>
    <row r="200" spans="1:41" x14ac:dyDescent="0.25">
      <c r="A200" s="6" t="str">
        <f>"520-2026000033"</f>
        <v>520-2026000033</v>
      </c>
      <c r="B200" s="6" t="str">
        <f t="shared" ref="B200:B223" si="47">"AUCHAN R"</f>
        <v>AUCHAN R</v>
      </c>
      <c r="C200" s="7">
        <v>46041</v>
      </c>
      <c r="D200" s="7">
        <v>46042</v>
      </c>
      <c r="E200" s="8">
        <v>1</v>
      </c>
      <c r="F200" s="6" t="str">
        <f>"1062882525"</f>
        <v>1062882525</v>
      </c>
      <c r="G200" s="6" t="str">
        <f>"F110329745000000"</f>
        <v>F110329745000000</v>
      </c>
      <c r="H200" s="6" t="str">
        <f>"FAJ 3297 - 450 g/m²"</f>
        <v>FAJ 3297 - 450 g/m²</v>
      </c>
      <c r="I200" s="6" t="str">
        <f>"2"</f>
        <v>2</v>
      </c>
      <c r="J200" s="6" t="str">
        <f>"NATURAL"</f>
        <v>NATURAL</v>
      </c>
      <c r="K200" s="6" t="str">
        <f>"0520"</f>
        <v>0520</v>
      </c>
      <c r="L200" s="6" t="str">
        <f>"Toalhetes"</f>
        <v>Toalhetes</v>
      </c>
      <c r="M200" s="6" t="str">
        <f>"30x50"</f>
        <v>30x50</v>
      </c>
      <c r="N200" s="6" t="str">
        <f>"5602972277852"</f>
        <v>5602972277852</v>
      </c>
      <c r="O200" s="8">
        <v>24</v>
      </c>
      <c r="P200" s="7">
        <v>46041</v>
      </c>
      <c r="R200" s="8">
        <v>0</v>
      </c>
      <c r="U200" s="8">
        <v>0</v>
      </c>
      <c r="X200" s="8">
        <v>0</v>
      </c>
      <c r="Z200" s="8">
        <v>0</v>
      </c>
      <c r="AC200" s="8">
        <v>0</v>
      </c>
      <c r="AE200" s="7">
        <v>46048</v>
      </c>
      <c r="AF200" s="8">
        <v>0</v>
      </c>
      <c r="AH200" s="7">
        <v>46042</v>
      </c>
      <c r="AN200" s="8">
        <v>0</v>
      </c>
      <c r="AO200" s="8">
        <v>24</v>
      </c>
    </row>
    <row r="201" spans="1:41" x14ac:dyDescent="0.25">
      <c r="A201" s="6" t="str">
        <f>"520-2026000033"</f>
        <v>520-2026000033</v>
      </c>
      <c r="B201" s="6" t="str">
        <f t="shared" si="47"/>
        <v>AUCHAN R</v>
      </c>
      <c r="C201" s="7">
        <v>46041</v>
      </c>
      <c r="D201" s="7">
        <v>46042</v>
      </c>
      <c r="E201" s="8">
        <v>2</v>
      </c>
      <c r="F201" s="6" t="str">
        <f>"1062882525"</f>
        <v>1062882525</v>
      </c>
      <c r="G201" s="6" t="str">
        <f>"F100021455000010"</f>
        <v>F100021455000010</v>
      </c>
      <c r="H201" s="6" t="str">
        <f>"FA 214 Bio GOTS - 55"</f>
        <v>FA 214 Bio GOTS - 55</v>
      </c>
      <c r="I201" s="6" t="str">
        <f>"19"</f>
        <v>19</v>
      </c>
      <c r="J201" s="6" t="str">
        <f>"PRETO REACTIVO 570"</f>
        <v>PRETO REACTIVO 570</v>
      </c>
      <c r="K201" s="6" t="str">
        <f>"1024"</f>
        <v>1024</v>
      </c>
      <c r="L201" s="6" t="str">
        <f>"Toalhas"</f>
        <v>Toalhas</v>
      </c>
      <c r="M201" s="6" t="str">
        <f>"50x100"</f>
        <v>50x100</v>
      </c>
      <c r="N201" s="6" t="str">
        <f>"5602972278613"</f>
        <v>5602972278613</v>
      </c>
      <c r="O201" s="8">
        <v>12</v>
      </c>
      <c r="P201" s="7">
        <v>46041</v>
      </c>
      <c r="R201" s="8">
        <v>0</v>
      </c>
      <c r="U201" s="8">
        <v>0</v>
      </c>
      <c r="X201" s="8">
        <v>0</v>
      </c>
      <c r="Z201" s="8">
        <v>0</v>
      </c>
      <c r="AC201" s="8">
        <v>12</v>
      </c>
      <c r="AE201" s="7">
        <v>46048</v>
      </c>
      <c r="AF201" s="8">
        <v>12</v>
      </c>
      <c r="AH201" s="7">
        <v>46042</v>
      </c>
      <c r="AN201" s="8">
        <v>12</v>
      </c>
      <c r="AO201" s="8">
        <v>0</v>
      </c>
    </row>
    <row r="202" spans="1:41" x14ac:dyDescent="0.25">
      <c r="A202" s="6" t="str">
        <f t="shared" ref="A202:A207" si="48">"520-2026000034"</f>
        <v>520-2026000034</v>
      </c>
      <c r="B202" s="6" t="str">
        <f t="shared" si="47"/>
        <v>AUCHAN R</v>
      </c>
      <c r="C202" s="7">
        <v>46041</v>
      </c>
      <c r="D202" s="7">
        <v>46041</v>
      </c>
      <c r="E202" s="8">
        <v>1</v>
      </c>
      <c r="F202" s="6" t="str">
        <f t="shared" ref="F202:F207" si="49">"1065968696"</f>
        <v>1065968696</v>
      </c>
      <c r="G202" s="6" t="str">
        <f>"F310620958000000"</f>
        <v>F310620958000000</v>
      </c>
      <c r="H202" s="6" t="str">
        <f>"PLAR 6209 C/ Franja"</f>
        <v>PLAR 6209 C/ Franja</v>
      </c>
      <c r="I202" s="6" t="str">
        <f>"203699"</f>
        <v>203699</v>
      </c>
      <c r="J202" s="6" t="str">
        <f>"BEGE 3699"</f>
        <v>BEGE 3699</v>
      </c>
      <c r="K202" s="6" t="str">
        <f>"0585"</f>
        <v>0585</v>
      </c>
      <c r="L202" s="6" t="str">
        <f>"Toalhetes"</f>
        <v>Toalhetes</v>
      </c>
      <c r="M202" s="6" t="str">
        <f>"33x50+8"</f>
        <v>33x50+8</v>
      </c>
      <c r="N202" s="6" t="str">
        <f>"5602972280920"</f>
        <v>5602972280920</v>
      </c>
      <c r="O202" s="8">
        <v>12</v>
      </c>
      <c r="P202" s="7">
        <v>46041</v>
      </c>
      <c r="R202" s="8">
        <v>0</v>
      </c>
      <c r="U202" s="8">
        <v>0</v>
      </c>
      <c r="X202" s="8">
        <v>0</v>
      </c>
      <c r="Z202" s="8">
        <v>0</v>
      </c>
      <c r="AC202" s="8">
        <v>12</v>
      </c>
      <c r="AE202" s="7">
        <v>46048</v>
      </c>
      <c r="AF202" s="8">
        <v>12</v>
      </c>
      <c r="AH202" s="7">
        <v>46041</v>
      </c>
      <c r="AN202" s="8">
        <v>12</v>
      </c>
      <c r="AO202" s="8">
        <v>0</v>
      </c>
    </row>
    <row r="203" spans="1:41" x14ac:dyDescent="0.25">
      <c r="A203" s="6" t="str">
        <f t="shared" si="48"/>
        <v>520-2026000034</v>
      </c>
      <c r="B203" s="6" t="str">
        <f t="shared" si="47"/>
        <v>AUCHAN R</v>
      </c>
      <c r="C203" s="7">
        <v>46041</v>
      </c>
      <c r="D203" s="7">
        <v>46041</v>
      </c>
      <c r="E203" s="8">
        <v>2</v>
      </c>
      <c r="F203" s="6" t="str">
        <f t="shared" si="49"/>
        <v>1065968696</v>
      </c>
      <c r="G203" s="6" t="str">
        <f>"F110329745000000"</f>
        <v>F110329745000000</v>
      </c>
      <c r="H203" s="6" t="str">
        <f>"FAJ 3297 - 450 g/m²"</f>
        <v>FAJ 3297 - 450 g/m²</v>
      </c>
      <c r="I203" s="6" t="str">
        <f>"2"</f>
        <v>2</v>
      </c>
      <c r="J203" s="6" t="str">
        <f>"NATURAL"</f>
        <v>NATURAL</v>
      </c>
      <c r="K203" s="6" t="str">
        <f>"1024"</f>
        <v>1024</v>
      </c>
      <c r="L203" s="6" t="str">
        <f>"Toalhas"</f>
        <v>Toalhas</v>
      </c>
      <c r="M203" s="6" t="str">
        <f>"50x100"</f>
        <v>50x100</v>
      </c>
      <c r="N203" s="6" t="str">
        <f>"5602972277869"</f>
        <v>5602972277869</v>
      </c>
      <c r="O203" s="8">
        <v>6</v>
      </c>
      <c r="P203" s="7">
        <v>46041</v>
      </c>
      <c r="R203" s="8">
        <v>0</v>
      </c>
      <c r="U203" s="8">
        <v>0</v>
      </c>
      <c r="X203" s="8">
        <v>0</v>
      </c>
      <c r="Z203" s="8">
        <v>0</v>
      </c>
      <c r="AC203" s="8">
        <v>0</v>
      </c>
      <c r="AE203" s="7">
        <v>46048</v>
      </c>
      <c r="AF203" s="8">
        <v>0</v>
      </c>
      <c r="AH203" s="7">
        <v>46041</v>
      </c>
      <c r="AN203" s="8">
        <v>0</v>
      </c>
      <c r="AO203" s="8">
        <v>6</v>
      </c>
    </row>
    <row r="204" spans="1:41" x14ac:dyDescent="0.25">
      <c r="A204" s="6" t="str">
        <f t="shared" si="48"/>
        <v>520-2026000034</v>
      </c>
      <c r="B204" s="6" t="str">
        <f t="shared" si="47"/>
        <v>AUCHAN R</v>
      </c>
      <c r="C204" s="7">
        <v>46041</v>
      </c>
      <c r="D204" s="7">
        <v>46041</v>
      </c>
      <c r="E204" s="8">
        <v>3</v>
      </c>
      <c r="F204" s="6" t="str">
        <f t="shared" si="49"/>
        <v>1065968696</v>
      </c>
      <c r="G204" s="6" t="str">
        <f>"F100021455000010"</f>
        <v>F100021455000010</v>
      </c>
      <c r="H204" s="6" t="str">
        <f>"FA 214 Bio GOTS - 55"</f>
        <v>FA 214 Bio GOTS - 55</v>
      </c>
      <c r="I204" s="6" t="str">
        <f>"2094"</f>
        <v>2094</v>
      </c>
      <c r="J204" s="6" t="str">
        <f>"AZUL 2094"</f>
        <v>AZUL 2094</v>
      </c>
      <c r="K204" s="6" t="str">
        <f>"1024"</f>
        <v>1024</v>
      </c>
      <c r="L204" s="6" t="str">
        <f>"Toalhas"</f>
        <v>Toalhas</v>
      </c>
      <c r="M204" s="6" t="str">
        <f>"50x100"</f>
        <v>50x100</v>
      </c>
      <c r="N204" s="6" t="str">
        <f>"5602972278644"</f>
        <v>5602972278644</v>
      </c>
      <c r="O204" s="8">
        <v>6</v>
      </c>
      <c r="P204" s="7">
        <v>46041</v>
      </c>
      <c r="R204" s="8">
        <v>0</v>
      </c>
      <c r="U204" s="8">
        <v>0</v>
      </c>
      <c r="X204" s="8">
        <v>0</v>
      </c>
      <c r="Z204" s="8">
        <v>0</v>
      </c>
      <c r="AC204" s="8">
        <v>6</v>
      </c>
      <c r="AE204" s="7">
        <v>46048</v>
      </c>
      <c r="AF204" s="8">
        <v>6</v>
      </c>
      <c r="AH204" s="7">
        <v>46041</v>
      </c>
      <c r="AN204" s="8">
        <v>6</v>
      </c>
      <c r="AO204" s="8">
        <v>0</v>
      </c>
    </row>
    <row r="205" spans="1:41" x14ac:dyDescent="0.25">
      <c r="A205" s="6" t="str">
        <f t="shared" si="48"/>
        <v>520-2026000034</v>
      </c>
      <c r="B205" s="6" t="str">
        <f t="shared" si="47"/>
        <v>AUCHAN R</v>
      </c>
      <c r="C205" s="7">
        <v>46041</v>
      </c>
      <c r="D205" s="7">
        <v>46041</v>
      </c>
      <c r="E205" s="8">
        <v>4</v>
      </c>
      <c r="F205" s="6" t="str">
        <f t="shared" si="49"/>
        <v>1065968696</v>
      </c>
      <c r="G205" s="6" t="str">
        <f>"F100021455000010"</f>
        <v>F100021455000010</v>
      </c>
      <c r="H205" s="6" t="str">
        <f>"FA 214 Bio GOTS - 55"</f>
        <v>FA 214 Bio GOTS - 55</v>
      </c>
      <c r="I205" s="6" t="str">
        <f>"4855"</f>
        <v>4855</v>
      </c>
      <c r="J205" s="6" t="str">
        <f>"ROSA 4855"</f>
        <v>ROSA 4855</v>
      </c>
      <c r="K205" s="6" t="str">
        <f>"1024"</f>
        <v>1024</v>
      </c>
      <c r="L205" s="6" t="str">
        <f>"Toalhas"</f>
        <v>Toalhas</v>
      </c>
      <c r="M205" s="6" t="str">
        <f>"50x100"</f>
        <v>50x100</v>
      </c>
      <c r="N205" s="6" t="str">
        <f>"5602972274585"</f>
        <v>5602972274585</v>
      </c>
      <c r="O205" s="8">
        <v>6</v>
      </c>
      <c r="P205" s="7">
        <v>46041</v>
      </c>
      <c r="R205" s="8">
        <v>0</v>
      </c>
      <c r="U205" s="8">
        <v>0</v>
      </c>
      <c r="X205" s="8">
        <v>0</v>
      </c>
      <c r="Z205" s="8">
        <v>0</v>
      </c>
      <c r="AC205" s="8">
        <v>6</v>
      </c>
      <c r="AE205" s="7">
        <v>46048</v>
      </c>
      <c r="AF205" s="8">
        <v>6</v>
      </c>
      <c r="AH205" s="7">
        <v>46041</v>
      </c>
      <c r="AN205" s="8">
        <v>6</v>
      </c>
      <c r="AO205" s="8">
        <v>0</v>
      </c>
    </row>
    <row r="206" spans="1:41" x14ac:dyDescent="0.25">
      <c r="A206" s="6" t="str">
        <f t="shared" si="48"/>
        <v>520-2026000034</v>
      </c>
      <c r="B206" s="6" t="str">
        <f t="shared" si="47"/>
        <v>AUCHAN R</v>
      </c>
      <c r="C206" s="7">
        <v>46041</v>
      </c>
      <c r="D206" s="7">
        <v>46041</v>
      </c>
      <c r="E206" s="8">
        <v>5</v>
      </c>
      <c r="F206" s="6" t="str">
        <f t="shared" si="49"/>
        <v>1065968696</v>
      </c>
      <c r="G206" s="6" t="str">
        <f>"F110110840000003"</f>
        <v>F110110840000003</v>
      </c>
      <c r="H206" s="6" t="str">
        <f>"FAJ 1108 - 400 g/m²"</f>
        <v>FAJ 1108 - 400 g/m²</v>
      </c>
      <c r="I206" s="6" t="str">
        <f>"3073"</f>
        <v>3073</v>
      </c>
      <c r="J206" s="6" t="str">
        <f>"CINZA 3073"</f>
        <v>CINZA 3073</v>
      </c>
      <c r="K206" s="6" t="str">
        <f>"0830"</f>
        <v>0830</v>
      </c>
      <c r="L206" s="6" t="str">
        <f>"Cozinha"</f>
        <v>Cozinha</v>
      </c>
      <c r="M206" s="6" t="str">
        <f>"50x70"</f>
        <v>50x70</v>
      </c>
      <c r="N206" s="6" t="str">
        <f>"5602972279535"</f>
        <v>5602972279535</v>
      </c>
      <c r="O206" s="8">
        <v>24</v>
      </c>
      <c r="P206" s="7">
        <v>46041</v>
      </c>
      <c r="R206" s="8">
        <v>0</v>
      </c>
      <c r="U206" s="8">
        <v>0</v>
      </c>
      <c r="X206" s="8">
        <v>0</v>
      </c>
      <c r="Z206" s="8">
        <v>0</v>
      </c>
      <c r="AC206" s="8">
        <v>24</v>
      </c>
      <c r="AE206" s="7">
        <v>46048</v>
      </c>
      <c r="AF206" s="8">
        <v>24</v>
      </c>
      <c r="AH206" s="7">
        <v>46041</v>
      </c>
      <c r="AN206" s="8">
        <v>24</v>
      </c>
      <c r="AO206" s="8">
        <v>0</v>
      </c>
    </row>
    <row r="207" spans="1:41" x14ac:dyDescent="0.25">
      <c r="A207" s="6" t="str">
        <f t="shared" si="48"/>
        <v>520-2026000034</v>
      </c>
      <c r="B207" s="6" t="str">
        <f t="shared" si="47"/>
        <v>AUCHAN R</v>
      </c>
      <c r="C207" s="7">
        <v>46041</v>
      </c>
      <c r="D207" s="7">
        <v>46041</v>
      </c>
      <c r="E207" s="8">
        <v>6</v>
      </c>
      <c r="F207" s="6" t="str">
        <f t="shared" si="49"/>
        <v>1065968696</v>
      </c>
      <c r="G207" s="6" t="str">
        <f>"K001223323000000"</f>
        <v>K001223323000000</v>
      </c>
      <c r="H207" s="6" t="str">
        <f>"KB 2233 - Avental -"</f>
        <v>KB 2233 - Avental -</v>
      </c>
      <c r="I207" s="6" t="str">
        <f>"3073"</f>
        <v>3073</v>
      </c>
      <c r="J207" s="6" t="str">
        <f>"CINZA 3073"</f>
        <v>CINZA 3073</v>
      </c>
      <c r="K207" s="6" t="str">
        <f>"8803"</f>
        <v>8803</v>
      </c>
      <c r="L207" s="6" t="str">
        <f>"Cozinha"</f>
        <v>Cozinha</v>
      </c>
      <c r="M207" s="6" t="str">
        <f>"03 Avental"</f>
        <v>03 Avental</v>
      </c>
      <c r="N207" s="6" t="str">
        <f>"5602972279542"</f>
        <v>5602972279542</v>
      </c>
      <c r="O207" s="8">
        <v>12</v>
      </c>
      <c r="P207" s="7">
        <v>46041</v>
      </c>
      <c r="R207" s="8">
        <v>0</v>
      </c>
      <c r="U207" s="8">
        <v>0</v>
      </c>
      <c r="X207" s="8">
        <v>0</v>
      </c>
      <c r="Z207" s="8">
        <v>0</v>
      </c>
      <c r="AC207" s="8">
        <v>12</v>
      </c>
      <c r="AE207" s="7">
        <v>46048</v>
      </c>
      <c r="AF207" s="8">
        <v>12</v>
      </c>
      <c r="AH207" s="7">
        <v>46041</v>
      </c>
      <c r="AN207" s="8">
        <v>12</v>
      </c>
      <c r="AO207" s="8">
        <v>0</v>
      </c>
    </row>
    <row r="208" spans="1:41" x14ac:dyDescent="0.25">
      <c r="A208" s="6" t="str">
        <f>"520-2026000035"</f>
        <v>520-2026000035</v>
      </c>
      <c r="B208" s="6" t="str">
        <f t="shared" si="47"/>
        <v>AUCHAN R</v>
      </c>
      <c r="C208" s="7">
        <v>46041</v>
      </c>
      <c r="D208" s="7">
        <v>46041</v>
      </c>
      <c r="E208" s="8">
        <v>1</v>
      </c>
      <c r="F208" s="6" t="str">
        <f>"1063279917"</f>
        <v>1063279917</v>
      </c>
      <c r="G208" s="6" t="str">
        <f>"F100021455000000"</f>
        <v>F100021455000000</v>
      </c>
      <c r="H208" s="6" t="str">
        <f>"FA 214 - PURE - 550"</f>
        <v>FA 214 - PURE - 550</v>
      </c>
      <c r="I208" s="6" t="str">
        <f>"1"</f>
        <v>1</v>
      </c>
      <c r="J208" s="6" t="str">
        <f>"BRANCO"</f>
        <v>BRANCO</v>
      </c>
      <c r="K208" s="6" t="str">
        <f>"0112"</f>
        <v>0112</v>
      </c>
      <c r="L208" s="6" t="str">
        <f>"Luvas"</f>
        <v>Luvas</v>
      </c>
      <c r="M208" s="6" t="str">
        <f>"16x21"</f>
        <v>16x21</v>
      </c>
      <c r="N208" s="6" t="str">
        <f>"5602972836233"</f>
        <v>5602972836233</v>
      </c>
      <c r="O208" s="8">
        <v>24</v>
      </c>
      <c r="P208" s="7">
        <v>46041</v>
      </c>
      <c r="R208" s="8">
        <v>0</v>
      </c>
      <c r="U208" s="8">
        <v>0</v>
      </c>
      <c r="X208" s="8">
        <v>0</v>
      </c>
      <c r="Z208" s="8">
        <v>0</v>
      </c>
      <c r="AC208" s="8">
        <v>24</v>
      </c>
      <c r="AE208" s="7">
        <v>46048</v>
      </c>
      <c r="AF208" s="8">
        <v>24</v>
      </c>
      <c r="AH208" s="7">
        <v>46041</v>
      </c>
      <c r="AN208" s="8">
        <v>24</v>
      </c>
      <c r="AO208" s="8">
        <v>0</v>
      </c>
    </row>
    <row r="209" spans="1:41" x14ac:dyDescent="0.25">
      <c r="A209" s="6" t="str">
        <f>"520-2026000035"</f>
        <v>520-2026000035</v>
      </c>
      <c r="B209" s="6" t="str">
        <f t="shared" si="47"/>
        <v>AUCHAN R</v>
      </c>
      <c r="C209" s="7">
        <v>46041</v>
      </c>
      <c r="D209" s="7">
        <v>46041</v>
      </c>
      <c r="E209" s="8">
        <v>2</v>
      </c>
      <c r="F209" s="6" t="str">
        <f>"1063279917"</f>
        <v>1063279917</v>
      </c>
      <c r="G209" s="6" t="str">
        <f>"F310620958000000"</f>
        <v>F310620958000000</v>
      </c>
      <c r="H209" s="6" t="str">
        <f>"PLAR 6209 C/ Franja"</f>
        <v>PLAR 6209 C/ Franja</v>
      </c>
      <c r="I209" s="6" t="str">
        <f>"203699"</f>
        <v>203699</v>
      </c>
      <c r="J209" s="6" t="str">
        <f>"BEGE 3699"</f>
        <v>BEGE 3699</v>
      </c>
      <c r="K209" s="6" t="str">
        <f>"2093"</f>
        <v>2093</v>
      </c>
      <c r="L209" s="6" t="str">
        <f>"Lençóis"</f>
        <v>Lençóis</v>
      </c>
      <c r="M209" s="6" t="str">
        <f>"100x150+8"</f>
        <v>100x150+8</v>
      </c>
      <c r="N209" s="6" t="str">
        <f>"5602972280944"</f>
        <v>5602972280944</v>
      </c>
      <c r="O209" s="8">
        <v>6</v>
      </c>
      <c r="P209" s="7">
        <v>46041</v>
      </c>
      <c r="R209" s="8">
        <v>0</v>
      </c>
      <c r="U209" s="8">
        <v>0</v>
      </c>
      <c r="X209" s="8">
        <v>0</v>
      </c>
      <c r="Z209" s="8">
        <v>0</v>
      </c>
      <c r="AC209" s="8">
        <v>6</v>
      </c>
      <c r="AE209" s="7">
        <v>46048</v>
      </c>
      <c r="AF209" s="8">
        <v>6</v>
      </c>
      <c r="AH209" s="7">
        <v>46041</v>
      </c>
      <c r="AN209" s="8">
        <v>6</v>
      </c>
      <c r="AO209" s="8">
        <v>0</v>
      </c>
    </row>
    <row r="210" spans="1:41" x14ac:dyDescent="0.25">
      <c r="A210" s="6" t="str">
        <f>"520-2026000035"</f>
        <v>520-2026000035</v>
      </c>
      <c r="B210" s="6" t="str">
        <f t="shared" si="47"/>
        <v>AUCHAN R</v>
      </c>
      <c r="C210" s="7">
        <v>46041</v>
      </c>
      <c r="D210" s="7">
        <v>46041</v>
      </c>
      <c r="E210" s="8">
        <v>3</v>
      </c>
      <c r="F210" s="6" t="str">
        <f>"1063279917"</f>
        <v>1063279917</v>
      </c>
      <c r="G210" s="6" t="str">
        <f>"C001101823000000"</f>
        <v>C001101823000000</v>
      </c>
      <c r="H210" s="6" t="str">
        <f>"CZJ 1018 - 230 gr/m²"</f>
        <v>CZJ 1018 - 230 gr/m²</v>
      </c>
      <c r="I210" s="6" t="str">
        <f>"3073"</f>
        <v>3073</v>
      </c>
      <c r="J210" s="6" t="str">
        <f>"CINZA 3073"</f>
        <v>CINZA 3073</v>
      </c>
      <c r="K210" s="6" t="str">
        <f>"0830"</f>
        <v>0830</v>
      </c>
      <c r="L210" s="6" t="str">
        <f>"Cozinha"</f>
        <v>Cozinha</v>
      </c>
      <c r="M210" s="6" t="str">
        <f>"50x70"</f>
        <v>50x70</v>
      </c>
      <c r="N210" s="6" t="str">
        <f>"5602972758740"</f>
        <v>5602972758740</v>
      </c>
      <c r="O210" s="8">
        <v>12</v>
      </c>
      <c r="P210" s="7">
        <v>46041</v>
      </c>
      <c r="R210" s="8">
        <v>0</v>
      </c>
      <c r="U210" s="8">
        <v>0</v>
      </c>
      <c r="X210" s="8">
        <v>0</v>
      </c>
      <c r="Z210" s="8">
        <v>0</v>
      </c>
      <c r="AC210" s="8">
        <v>12</v>
      </c>
      <c r="AE210" s="7">
        <v>46048</v>
      </c>
      <c r="AF210" s="8">
        <v>12</v>
      </c>
      <c r="AH210" s="7">
        <v>46041</v>
      </c>
      <c r="AN210" s="8">
        <v>12</v>
      </c>
      <c r="AO210" s="8">
        <v>0</v>
      </c>
    </row>
    <row r="211" spans="1:41" x14ac:dyDescent="0.25">
      <c r="A211" s="6" t="str">
        <f t="shared" ref="A211:A223" si="50">"520-2026000036"</f>
        <v>520-2026000036</v>
      </c>
      <c r="B211" s="6" t="str">
        <f t="shared" si="47"/>
        <v>AUCHAN R</v>
      </c>
      <c r="C211" s="7">
        <v>46041</v>
      </c>
      <c r="D211" s="7">
        <v>46042</v>
      </c>
      <c r="E211" s="8">
        <v>1</v>
      </c>
      <c r="F211" s="6" t="str">
        <f t="shared" ref="F211:F223" si="51">"1061992288"</f>
        <v>1061992288</v>
      </c>
      <c r="G211" s="6" t="str">
        <f>"F310631555000000"</f>
        <v>F310631555000000</v>
      </c>
      <c r="H211" s="6" t="str">
        <f>"PLAR 6315 - 550 g/m²"</f>
        <v>PLAR 6315 - 550 g/m²</v>
      </c>
      <c r="I211" s="6" t="str">
        <f>"204037"</f>
        <v>204037</v>
      </c>
      <c r="J211" s="6" t="str">
        <f>"AZUL 4037"</f>
        <v>AZUL 4037</v>
      </c>
      <c r="K211" s="6" t="str">
        <f>"2020"</f>
        <v>2020</v>
      </c>
      <c r="L211" s="6" t="str">
        <f>"Lençóis"</f>
        <v>Lençóis</v>
      </c>
      <c r="M211" s="6" t="str">
        <f>"100x150"</f>
        <v>100x150</v>
      </c>
      <c r="N211" s="6" t="str">
        <f>"5602972280852"</f>
        <v>5602972280852</v>
      </c>
      <c r="O211" s="8">
        <v>3</v>
      </c>
      <c r="P211" s="7">
        <v>46041</v>
      </c>
      <c r="R211" s="8">
        <v>0</v>
      </c>
      <c r="U211" s="8">
        <v>0</v>
      </c>
      <c r="X211" s="8">
        <v>0</v>
      </c>
      <c r="Z211" s="8">
        <v>0</v>
      </c>
      <c r="AC211" s="8">
        <v>3</v>
      </c>
      <c r="AE211" s="7">
        <v>46048</v>
      </c>
      <c r="AF211" s="8">
        <v>3</v>
      </c>
      <c r="AH211" s="7">
        <v>46042</v>
      </c>
      <c r="AN211" s="8">
        <v>3</v>
      </c>
      <c r="AO211" s="8">
        <v>0</v>
      </c>
    </row>
    <row r="212" spans="1:41" x14ac:dyDescent="0.25">
      <c r="A212" s="6" t="str">
        <f t="shared" si="50"/>
        <v>520-2026000036</v>
      </c>
      <c r="B212" s="6" t="str">
        <f t="shared" si="47"/>
        <v>AUCHAN R</v>
      </c>
      <c r="C212" s="7">
        <v>46041</v>
      </c>
      <c r="D212" s="7">
        <v>46042</v>
      </c>
      <c r="E212" s="8">
        <v>2</v>
      </c>
      <c r="F212" s="6" t="str">
        <f t="shared" si="51"/>
        <v>1061992288</v>
      </c>
      <c r="G212" s="6" t="str">
        <f>"F300374155000000"</f>
        <v>F300374155000000</v>
      </c>
      <c r="H212" s="6" t="str">
        <f>"PLR 3741 - 550 g/m²"</f>
        <v>PLR 3741 - 550 g/m²</v>
      </c>
      <c r="I212" s="6" t="str">
        <f>"203634"</f>
        <v>203634</v>
      </c>
      <c r="J212" s="6" t="str">
        <f>"ROSA 3634"</f>
        <v>ROSA 3634</v>
      </c>
      <c r="K212" s="6" t="str">
        <f>"2020"</f>
        <v>2020</v>
      </c>
      <c r="L212" s="6" t="str">
        <f>"Lençóis"</f>
        <v>Lençóis</v>
      </c>
      <c r="M212" s="6" t="str">
        <f>"100x150"</f>
        <v>100x150</v>
      </c>
      <c r="N212" s="6" t="str">
        <f>"5602972280883"</f>
        <v>5602972280883</v>
      </c>
      <c r="O212" s="8">
        <v>6</v>
      </c>
      <c r="P212" s="7">
        <v>46041</v>
      </c>
      <c r="R212" s="8">
        <v>0</v>
      </c>
      <c r="U212" s="8">
        <v>0</v>
      </c>
      <c r="X212" s="8">
        <v>0</v>
      </c>
      <c r="Z212" s="8">
        <v>0</v>
      </c>
      <c r="AC212" s="8">
        <v>0</v>
      </c>
      <c r="AE212" s="7">
        <v>46048</v>
      </c>
      <c r="AF212" s="8">
        <v>0</v>
      </c>
      <c r="AH212" s="7">
        <v>46042</v>
      </c>
      <c r="AN212" s="8">
        <v>0</v>
      </c>
      <c r="AO212" s="8">
        <v>6</v>
      </c>
    </row>
    <row r="213" spans="1:41" x14ac:dyDescent="0.25">
      <c r="A213" s="6" t="str">
        <f t="shared" si="50"/>
        <v>520-2026000036</v>
      </c>
      <c r="B213" s="6" t="str">
        <f t="shared" si="47"/>
        <v>AUCHAN R</v>
      </c>
      <c r="C213" s="7">
        <v>46041</v>
      </c>
      <c r="D213" s="7">
        <v>46042</v>
      </c>
      <c r="E213" s="8">
        <v>3</v>
      </c>
      <c r="F213" s="6" t="str">
        <f t="shared" si="51"/>
        <v>1061992288</v>
      </c>
      <c r="G213" s="6" t="str">
        <f>"F310620958000000"</f>
        <v>F310620958000000</v>
      </c>
      <c r="H213" s="6" t="str">
        <f>"PLAR 6209 C/ Franja"</f>
        <v>PLAR 6209 C/ Franja</v>
      </c>
      <c r="I213" s="6" t="str">
        <f>"203699"</f>
        <v>203699</v>
      </c>
      <c r="J213" s="6" t="str">
        <f>"BEGE 3699"</f>
        <v>BEGE 3699</v>
      </c>
      <c r="K213" s="6" t="str">
        <f>"0585"</f>
        <v>0585</v>
      </c>
      <c r="L213" s="6" t="str">
        <f>"Toalhetes"</f>
        <v>Toalhetes</v>
      </c>
      <c r="M213" s="6" t="str">
        <f>"33x50+8"</f>
        <v>33x50+8</v>
      </c>
      <c r="N213" s="6" t="str">
        <f>"5602972280920"</f>
        <v>5602972280920</v>
      </c>
      <c r="O213" s="8">
        <v>12</v>
      </c>
      <c r="P213" s="7">
        <v>46041</v>
      </c>
      <c r="R213" s="8">
        <v>0</v>
      </c>
      <c r="U213" s="8">
        <v>0</v>
      </c>
      <c r="X213" s="8">
        <v>0</v>
      </c>
      <c r="Z213" s="8">
        <v>0</v>
      </c>
      <c r="AC213" s="8">
        <v>12</v>
      </c>
      <c r="AE213" s="7">
        <v>46048</v>
      </c>
      <c r="AF213" s="8">
        <v>12</v>
      </c>
      <c r="AH213" s="7">
        <v>46042</v>
      </c>
      <c r="AN213" s="8">
        <v>12</v>
      </c>
      <c r="AO213" s="8">
        <v>0</v>
      </c>
    </row>
    <row r="214" spans="1:41" x14ac:dyDescent="0.25">
      <c r="A214" s="6" t="str">
        <f t="shared" si="50"/>
        <v>520-2026000036</v>
      </c>
      <c r="B214" s="6" t="str">
        <f t="shared" si="47"/>
        <v>AUCHAN R</v>
      </c>
      <c r="C214" s="7">
        <v>46041</v>
      </c>
      <c r="D214" s="7">
        <v>46042</v>
      </c>
      <c r="E214" s="8">
        <v>4</v>
      </c>
      <c r="F214" s="6" t="str">
        <f t="shared" si="51"/>
        <v>1061992288</v>
      </c>
      <c r="G214" s="6" t="str">
        <f>"F300374155000000"</f>
        <v>F300374155000000</v>
      </c>
      <c r="H214" s="6" t="str">
        <f>"PLR 3741 - 550 g/m²"</f>
        <v>PLR 3741 - 550 g/m²</v>
      </c>
      <c r="I214" s="6" t="str">
        <f>"203634"</f>
        <v>203634</v>
      </c>
      <c r="J214" s="6" t="str">
        <f>"ROSA 3634"</f>
        <v>ROSA 3634</v>
      </c>
      <c r="K214" s="6" t="str">
        <f>"0530"</f>
        <v>0530</v>
      </c>
      <c r="L214" s="6" t="str">
        <f>"Toalhetes"</f>
        <v>Toalhetes</v>
      </c>
      <c r="M214" s="6" t="str">
        <f>"33x50"</f>
        <v>33x50</v>
      </c>
      <c r="N214" s="6" t="str">
        <f>"5602972280869"</f>
        <v>5602972280869</v>
      </c>
      <c r="O214" s="8">
        <v>12</v>
      </c>
      <c r="P214" s="7">
        <v>46041</v>
      </c>
      <c r="R214" s="8">
        <v>0</v>
      </c>
      <c r="U214" s="8">
        <v>0</v>
      </c>
      <c r="X214" s="8">
        <v>0</v>
      </c>
      <c r="Z214" s="8">
        <v>0</v>
      </c>
      <c r="AC214" s="8">
        <v>0</v>
      </c>
      <c r="AE214" s="7">
        <v>46048</v>
      </c>
      <c r="AF214" s="8">
        <v>0</v>
      </c>
      <c r="AH214" s="7">
        <v>46042</v>
      </c>
      <c r="AN214" s="8">
        <v>0</v>
      </c>
      <c r="AO214" s="8">
        <v>12</v>
      </c>
    </row>
    <row r="215" spans="1:41" x14ac:dyDescent="0.25">
      <c r="A215" s="6" t="str">
        <f t="shared" si="50"/>
        <v>520-2026000036</v>
      </c>
      <c r="B215" s="6" t="str">
        <f t="shared" si="47"/>
        <v>AUCHAN R</v>
      </c>
      <c r="C215" s="7">
        <v>46041</v>
      </c>
      <c r="D215" s="7">
        <v>46042</v>
      </c>
      <c r="E215" s="8">
        <v>5</v>
      </c>
      <c r="F215" s="6" t="str">
        <f t="shared" si="51"/>
        <v>1061992288</v>
      </c>
      <c r="G215" s="6" t="str">
        <f>"F110329745000000"</f>
        <v>F110329745000000</v>
      </c>
      <c r="H215" s="6" t="str">
        <f>"FAJ 3297 - 450 g/m²"</f>
        <v>FAJ 3297 - 450 g/m²</v>
      </c>
      <c r="I215" s="6" t="str">
        <f>"2"</f>
        <v>2</v>
      </c>
      <c r="J215" s="6" t="str">
        <f>"NATURAL"</f>
        <v>NATURAL</v>
      </c>
      <c r="K215" s="6" t="str">
        <f>"0520"</f>
        <v>0520</v>
      </c>
      <c r="L215" s="6" t="str">
        <f>"Toalhetes"</f>
        <v>Toalhetes</v>
      </c>
      <c r="M215" s="6" t="str">
        <f>"30x50"</f>
        <v>30x50</v>
      </c>
      <c r="N215" s="6" t="str">
        <f>"5602972277852"</f>
        <v>5602972277852</v>
      </c>
      <c r="O215" s="8">
        <v>6</v>
      </c>
      <c r="P215" s="7">
        <v>46041</v>
      </c>
      <c r="R215" s="8">
        <v>0</v>
      </c>
      <c r="U215" s="8">
        <v>0</v>
      </c>
      <c r="X215" s="8">
        <v>0</v>
      </c>
      <c r="Z215" s="8">
        <v>0</v>
      </c>
      <c r="AC215" s="8">
        <v>0</v>
      </c>
      <c r="AE215" s="7">
        <v>46048</v>
      </c>
      <c r="AF215" s="8">
        <v>0</v>
      </c>
      <c r="AH215" s="7">
        <v>46042</v>
      </c>
      <c r="AN215" s="8">
        <v>0</v>
      </c>
      <c r="AO215" s="8">
        <v>6</v>
      </c>
    </row>
    <row r="216" spans="1:41" x14ac:dyDescent="0.25">
      <c r="A216" s="6" t="str">
        <f t="shared" si="50"/>
        <v>520-2026000036</v>
      </c>
      <c r="B216" s="6" t="str">
        <f t="shared" si="47"/>
        <v>AUCHAN R</v>
      </c>
      <c r="C216" s="7">
        <v>46041</v>
      </c>
      <c r="D216" s="7">
        <v>46042</v>
      </c>
      <c r="E216" s="8">
        <v>6</v>
      </c>
      <c r="F216" s="6" t="str">
        <f t="shared" si="51"/>
        <v>1061992288</v>
      </c>
      <c r="G216" s="6" t="str">
        <f>"F100021455000010"</f>
        <v>F100021455000010</v>
      </c>
      <c r="H216" s="6" t="str">
        <f>"FA 214 Bio GOTS - 55"</f>
        <v>FA 214 Bio GOTS - 55</v>
      </c>
      <c r="I216" s="6" t="str">
        <f>"2094"</f>
        <v>2094</v>
      </c>
      <c r="J216" s="6" t="str">
        <f>"AZUL 2094"</f>
        <v>AZUL 2094</v>
      </c>
      <c r="K216" s="6" t="str">
        <f>"0530"</f>
        <v>0530</v>
      </c>
      <c r="L216" s="6" t="str">
        <f>"Toalhetes"</f>
        <v>Toalhetes</v>
      </c>
      <c r="M216" s="6" t="str">
        <f>"33x50"</f>
        <v>33x50</v>
      </c>
      <c r="N216" s="6" t="str">
        <f>"5602972278637"</f>
        <v>5602972278637</v>
      </c>
      <c r="O216" s="8">
        <v>12</v>
      </c>
      <c r="P216" s="7">
        <v>46041</v>
      </c>
      <c r="R216" s="8">
        <v>0</v>
      </c>
      <c r="U216" s="8">
        <v>0</v>
      </c>
      <c r="X216" s="8">
        <v>0</v>
      </c>
      <c r="Z216" s="8">
        <v>0</v>
      </c>
      <c r="AC216" s="8">
        <v>12</v>
      </c>
      <c r="AE216" s="7">
        <v>46048</v>
      </c>
      <c r="AF216" s="8">
        <v>12</v>
      </c>
      <c r="AH216" s="7">
        <v>46042</v>
      </c>
      <c r="AN216" s="8">
        <v>12</v>
      </c>
      <c r="AO216" s="8">
        <v>0</v>
      </c>
    </row>
    <row r="217" spans="1:41" x14ac:dyDescent="0.25">
      <c r="A217" s="6" t="str">
        <f t="shared" si="50"/>
        <v>520-2026000036</v>
      </c>
      <c r="B217" s="6" t="str">
        <f t="shared" si="47"/>
        <v>AUCHAN R</v>
      </c>
      <c r="C217" s="7">
        <v>46041</v>
      </c>
      <c r="D217" s="7">
        <v>46042</v>
      </c>
      <c r="E217" s="8">
        <v>7</v>
      </c>
      <c r="F217" s="6" t="str">
        <f t="shared" si="51"/>
        <v>1061992288</v>
      </c>
      <c r="G217" s="6" t="str">
        <f>"F300374155000000"</f>
        <v>F300374155000000</v>
      </c>
      <c r="H217" s="6" t="str">
        <f>"PLR 3741 - 550 g/m²"</f>
        <v>PLR 3741 - 550 g/m²</v>
      </c>
      <c r="I217" s="6" t="str">
        <f>"203634"</f>
        <v>203634</v>
      </c>
      <c r="J217" s="6" t="str">
        <f>"ROSA 3634"</f>
        <v>ROSA 3634</v>
      </c>
      <c r="K217" s="6" t="str">
        <f>"1024"</f>
        <v>1024</v>
      </c>
      <c r="L217" s="6" t="str">
        <f t="shared" ref="L217:L222" si="52">"Toalhas"</f>
        <v>Toalhas</v>
      </c>
      <c r="M217" s="6" t="str">
        <f>"50x100"</f>
        <v>50x100</v>
      </c>
      <c r="N217" s="6" t="str">
        <f>"5602972280876"</f>
        <v>5602972280876</v>
      </c>
      <c r="O217" s="8">
        <v>24</v>
      </c>
      <c r="P217" s="7">
        <v>46041</v>
      </c>
      <c r="R217" s="8">
        <v>0</v>
      </c>
      <c r="U217" s="8">
        <v>0</v>
      </c>
      <c r="X217" s="8">
        <v>0</v>
      </c>
      <c r="Z217" s="8">
        <v>0</v>
      </c>
      <c r="AC217" s="8">
        <v>24</v>
      </c>
      <c r="AE217" s="7">
        <v>46048</v>
      </c>
      <c r="AF217" s="8">
        <v>24</v>
      </c>
      <c r="AH217" s="7">
        <v>46042</v>
      </c>
      <c r="AN217" s="8">
        <v>24</v>
      </c>
      <c r="AO217" s="8">
        <v>0</v>
      </c>
    </row>
    <row r="218" spans="1:41" x14ac:dyDescent="0.25">
      <c r="A218" s="6" t="str">
        <f t="shared" si="50"/>
        <v>520-2026000036</v>
      </c>
      <c r="B218" s="6" t="str">
        <f t="shared" si="47"/>
        <v>AUCHAN R</v>
      </c>
      <c r="C218" s="7">
        <v>46041</v>
      </c>
      <c r="D218" s="7">
        <v>46042</v>
      </c>
      <c r="E218" s="8">
        <v>8</v>
      </c>
      <c r="F218" s="6" t="str">
        <f t="shared" si="51"/>
        <v>1061992288</v>
      </c>
      <c r="G218" s="6" t="str">
        <f>"F310620958000000"</f>
        <v>F310620958000000</v>
      </c>
      <c r="H218" s="6" t="str">
        <f>"PLAR 6209 C/ Franja"</f>
        <v>PLAR 6209 C/ Franja</v>
      </c>
      <c r="I218" s="6" t="str">
        <f>"203699"</f>
        <v>203699</v>
      </c>
      <c r="J218" s="6" t="str">
        <f>"BEGE 3699"</f>
        <v>BEGE 3699</v>
      </c>
      <c r="K218" s="6" t="str">
        <f>"1047"</f>
        <v>1047</v>
      </c>
      <c r="L218" s="6" t="str">
        <f t="shared" si="52"/>
        <v>Toalhas</v>
      </c>
      <c r="M218" s="6" t="str">
        <f>"50x100+8"</f>
        <v>50x100+8</v>
      </c>
      <c r="N218" s="6" t="str">
        <f>"5602972280937"</f>
        <v>5602972280937</v>
      </c>
      <c r="O218" s="8">
        <v>24</v>
      </c>
      <c r="P218" s="7">
        <v>46041</v>
      </c>
      <c r="R218" s="8">
        <v>0</v>
      </c>
      <c r="U218" s="8">
        <v>0</v>
      </c>
      <c r="X218" s="8">
        <v>0</v>
      </c>
      <c r="Z218" s="8">
        <v>0</v>
      </c>
      <c r="AC218" s="8">
        <v>24</v>
      </c>
      <c r="AE218" s="7">
        <v>46048</v>
      </c>
      <c r="AF218" s="8">
        <v>24</v>
      </c>
      <c r="AH218" s="7">
        <v>46042</v>
      </c>
      <c r="AN218" s="8">
        <v>24</v>
      </c>
      <c r="AO218" s="8">
        <v>0</v>
      </c>
    </row>
    <row r="219" spans="1:41" x14ac:dyDescent="0.25">
      <c r="A219" s="6" t="str">
        <f t="shared" si="50"/>
        <v>520-2026000036</v>
      </c>
      <c r="B219" s="6" t="str">
        <f t="shared" si="47"/>
        <v>AUCHAN R</v>
      </c>
      <c r="C219" s="7">
        <v>46041</v>
      </c>
      <c r="D219" s="7">
        <v>46042</v>
      </c>
      <c r="E219" s="8">
        <v>9</v>
      </c>
      <c r="F219" s="6" t="str">
        <f t="shared" si="51"/>
        <v>1061992288</v>
      </c>
      <c r="G219" s="6" t="str">
        <f>"F110329745000000"</f>
        <v>F110329745000000</v>
      </c>
      <c r="H219" s="6" t="str">
        <f>"FAJ 3297 - 450 g/m²"</f>
        <v>FAJ 3297 - 450 g/m²</v>
      </c>
      <c r="I219" s="6" t="str">
        <f>"2"</f>
        <v>2</v>
      </c>
      <c r="J219" s="6" t="str">
        <f>"NATURAL"</f>
        <v>NATURAL</v>
      </c>
      <c r="K219" s="6" t="str">
        <f>"1024"</f>
        <v>1024</v>
      </c>
      <c r="L219" s="6" t="str">
        <f t="shared" si="52"/>
        <v>Toalhas</v>
      </c>
      <c r="M219" s="6" t="str">
        <f>"50x100"</f>
        <v>50x100</v>
      </c>
      <c r="N219" s="6" t="str">
        <f>"5602972277869"</f>
        <v>5602972277869</v>
      </c>
      <c r="O219" s="8">
        <v>12</v>
      </c>
      <c r="P219" s="7">
        <v>46041</v>
      </c>
      <c r="R219" s="8">
        <v>0</v>
      </c>
      <c r="U219" s="8">
        <v>0</v>
      </c>
      <c r="X219" s="8">
        <v>0</v>
      </c>
      <c r="Z219" s="8">
        <v>0</v>
      </c>
      <c r="AC219" s="8">
        <v>0</v>
      </c>
      <c r="AE219" s="7">
        <v>46048</v>
      </c>
      <c r="AF219" s="8">
        <v>0</v>
      </c>
      <c r="AH219" s="7">
        <v>46042</v>
      </c>
      <c r="AN219" s="8">
        <v>0</v>
      </c>
      <c r="AO219" s="8">
        <v>12</v>
      </c>
    </row>
    <row r="220" spans="1:41" x14ac:dyDescent="0.25">
      <c r="A220" s="6" t="str">
        <f t="shared" si="50"/>
        <v>520-2026000036</v>
      </c>
      <c r="B220" s="6" t="str">
        <f t="shared" si="47"/>
        <v>AUCHAN R</v>
      </c>
      <c r="C220" s="7">
        <v>46041</v>
      </c>
      <c r="D220" s="7">
        <v>46042</v>
      </c>
      <c r="E220" s="8">
        <v>10</v>
      </c>
      <c r="F220" s="6" t="str">
        <f t="shared" si="51"/>
        <v>1061992288</v>
      </c>
      <c r="G220" s="6" t="str">
        <f>"F100021455000010"</f>
        <v>F100021455000010</v>
      </c>
      <c r="H220" s="6" t="str">
        <f>"FA 214 Bio GOTS - 55"</f>
        <v>FA 214 Bio GOTS - 55</v>
      </c>
      <c r="I220" s="6" t="str">
        <f>"1"</f>
        <v>1</v>
      </c>
      <c r="J220" s="6" t="str">
        <f>"BRANCO"</f>
        <v>BRANCO</v>
      </c>
      <c r="K220" s="6" t="str">
        <f>"1024"</f>
        <v>1024</v>
      </c>
      <c r="L220" s="6" t="str">
        <f t="shared" si="52"/>
        <v>Toalhas</v>
      </c>
      <c r="M220" s="6" t="str">
        <f>"50x100"</f>
        <v>50x100</v>
      </c>
      <c r="N220" s="6" t="str">
        <f>"5602972278583"</f>
        <v>5602972278583</v>
      </c>
      <c r="O220" s="8">
        <v>18</v>
      </c>
      <c r="P220" s="7">
        <v>46041</v>
      </c>
      <c r="R220" s="8">
        <v>0</v>
      </c>
      <c r="U220" s="8">
        <v>0</v>
      </c>
      <c r="X220" s="8">
        <v>0</v>
      </c>
      <c r="Z220" s="8">
        <v>0</v>
      </c>
      <c r="AC220" s="8">
        <v>18</v>
      </c>
      <c r="AE220" s="7">
        <v>46048</v>
      </c>
      <c r="AF220" s="8">
        <v>18</v>
      </c>
      <c r="AH220" s="7">
        <v>46042</v>
      </c>
      <c r="AN220" s="8">
        <v>18</v>
      </c>
      <c r="AO220" s="8">
        <v>0</v>
      </c>
    </row>
    <row r="221" spans="1:41" x14ac:dyDescent="0.25">
      <c r="A221" s="6" t="str">
        <f t="shared" si="50"/>
        <v>520-2026000036</v>
      </c>
      <c r="B221" s="6" t="str">
        <f t="shared" si="47"/>
        <v>AUCHAN R</v>
      </c>
      <c r="C221" s="7">
        <v>46041</v>
      </c>
      <c r="D221" s="7">
        <v>46042</v>
      </c>
      <c r="E221" s="8">
        <v>11</v>
      </c>
      <c r="F221" s="6" t="str">
        <f t="shared" si="51"/>
        <v>1061992288</v>
      </c>
      <c r="G221" s="6" t="str">
        <f>"F100021455000010"</f>
        <v>F100021455000010</v>
      </c>
      <c r="H221" s="6" t="str">
        <f>"FA 214 Bio GOTS - 55"</f>
        <v>FA 214 Bio GOTS - 55</v>
      </c>
      <c r="I221" s="6" t="str">
        <f>"2094"</f>
        <v>2094</v>
      </c>
      <c r="J221" s="6" t="str">
        <f>"AZUL 2094"</f>
        <v>AZUL 2094</v>
      </c>
      <c r="K221" s="6" t="str">
        <f>"1024"</f>
        <v>1024</v>
      </c>
      <c r="L221" s="6" t="str">
        <f t="shared" si="52"/>
        <v>Toalhas</v>
      </c>
      <c r="M221" s="6" t="str">
        <f>"50x100"</f>
        <v>50x100</v>
      </c>
      <c r="N221" s="6" t="str">
        <f>"5602972278644"</f>
        <v>5602972278644</v>
      </c>
      <c r="O221" s="8">
        <v>12</v>
      </c>
      <c r="P221" s="7">
        <v>46041</v>
      </c>
      <c r="R221" s="8">
        <v>0</v>
      </c>
      <c r="U221" s="8">
        <v>0</v>
      </c>
      <c r="X221" s="8">
        <v>0</v>
      </c>
      <c r="Z221" s="8">
        <v>0</v>
      </c>
      <c r="AC221" s="8">
        <v>12</v>
      </c>
      <c r="AE221" s="7">
        <v>46048</v>
      </c>
      <c r="AF221" s="8">
        <v>12</v>
      </c>
      <c r="AH221" s="7">
        <v>46042</v>
      </c>
      <c r="AN221" s="8">
        <v>12</v>
      </c>
      <c r="AO221" s="8">
        <v>0</v>
      </c>
    </row>
    <row r="222" spans="1:41" x14ac:dyDescent="0.25">
      <c r="A222" s="6" t="str">
        <f t="shared" si="50"/>
        <v>520-2026000036</v>
      </c>
      <c r="B222" s="6" t="str">
        <f t="shared" si="47"/>
        <v>AUCHAN R</v>
      </c>
      <c r="C222" s="7">
        <v>46041</v>
      </c>
      <c r="D222" s="7">
        <v>46042</v>
      </c>
      <c r="E222" s="8">
        <v>12</v>
      </c>
      <c r="F222" s="6" t="str">
        <f t="shared" si="51"/>
        <v>1061992288</v>
      </c>
      <c r="G222" s="6" t="str">
        <f>"F100021455000010"</f>
        <v>F100021455000010</v>
      </c>
      <c r="H222" s="6" t="str">
        <f>"FA 214 Bio GOTS - 55"</f>
        <v>FA 214 Bio GOTS - 55</v>
      </c>
      <c r="I222" s="6" t="str">
        <f>"4855"</f>
        <v>4855</v>
      </c>
      <c r="J222" s="6" t="str">
        <f>"ROSA 4855"</f>
        <v>ROSA 4855</v>
      </c>
      <c r="K222" s="6" t="str">
        <f>"1024"</f>
        <v>1024</v>
      </c>
      <c r="L222" s="6" t="str">
        <f t="shared" si="52"/>
        <v>Toalhas</v>
      </c>
      <c r="M222" s="6" t="str">
        <f>"50x100"</f>
        <v>50x100</v>
      </c>
      <c r="N222" s="6" t="str">
        <f>"5602972274585"</f>
        <v>5602972274585</v>
      </c>
      <c r="O222" s="8">
        <v>12</v>
      </c>
      <c r="P222" s="7">
        <v>46041</v>
      </c>
      <c r="R222" s="8">
        <v>0</v>
      </c>
      <c r="U222" s="8">
        <v>0</v>
      </c>
      <c r="X222" s="8">
        <v>0</v>
      </c>
      <c r="Z222" s="8">
        <v>0</v>
      </c>
      <c r="AC222" s="8">
        <v>12</v>
      </c>
      <c r="AE222" s="7">
        <v>46048</v>
      </c>
      <c r="AF222" s="8">
        <v>12</v>
      </c>
      <c r="AH222" s="7">
        <v>46042</v>
      </c>
      <c r="AN222" s="8">
        <v>12</v>
      </c>
      <c r="AO222" s="8">
        <v>0</v>
      </c>
    </row>
    <row r="223" spans="1:41" x14ac:dyDescent="0.25">
      <c r="A223" s="6" t="str">
        <f t="shared" si="50"/>
        <v>520-2026000036</v>
      </c>
      <c r="B223" s="6" t="str">
        <f t="shared" si="47"/>
        <v>AUCHAN R</v>
      </c>
      <c r="C223" s="7">
        <v>46041</v>
      </c>
      <c r="D223" s="7">
        <v>46042</v>
      </c>
      <c r="E223" s="8">
        <v>13</v>
      </c>
      <c r="F223" s="6" t="str">
        <f t="shared" si="51"/>
        <v>1061992288</v>
      </c>
      <c r="G223" s="6" t="str">
        <f>"C090008212000118"</f>
        <v>C090008212000118</v>
      </c>
      <c r="H223" s="6" t="str">
        <f>"Conj. LT 82 - 150 Fi"</f>
        <v>Conj. LT 82 - 150 Fi</v>
      </c>
      <c r="I223" s="6" t="str">
        <f>"600001"</f>
        <v>600001</v>
      </c>
      <c r="J223" s="6" t="str">
        <f>"Branco"</f>
        <v>Branco</v>
      </c>
      <c r="K223" s="6" t="str">
        <f>"4014"</f>
        <v>4014</v>
      </c>
      <c r="L223" s="6" t="str">
        <f>"Conjunto/Jogos"</f>
        <v>Conjunto/Jogos</v>
      </c>
      <c r="M223" s="6" t="str">
        <f>"(2 Pcs)"</f>
        <v>(2 Pcs)</v>
      </c>
      <c r="N223" s="6" t="str">
        <f>"5602972279849"</f>
        <v>5602972279849</v>
      </c>
      <c r="O223" s="8">
        <v>12</v>
      </c>
      <c r="P223" s="7">
        <v>46041</v>
      </c>
      <c r="R223" s="8">
        <v>0</v>
      </c>
      <c r="U223" s="8">
        <v>0</v>
      </c>
      <c r="X223" s="8">
        <v>0</v>
      </c>
      <c r="Z223" s="8">
        <v>0</v>
      </c>
      <c r="AC223" s="8">
        <v>0</v>
      </c>
      <c r="AE223" s="7">
        <v>46048</v>
      </c>
      <c r="AF223" s="8">
        <v>0</v>
      </c>
      <c r="AH223" s="7">
        <v>46042</v>
      </c>
      <c r="AN223" s="8">
        <v>0</v>
      </c>
      <c r="AO223" s="8">
        <v>12</v>
      </c>
    </row>
    <row r="224" spans="1:41" x14ac:dyDescent="0.25">
      <c r="A224" s="6" t="str">
        <f>"520-2026000037"</f>
        <v>520-2026000037</v>
      </c>
      <c r="B224" s="6" t="str">
        <f>"PAULA MA"</f>
        <v>PAULA MA</v>
      </c>
      <c r="C224" s="7">
        <v>46041</v>
      </c>
      <c r="D224" s="7">
        <v>46045</v>
      </c>
      <c r="E224" s="8">
        <v>1</v>
      </c>
      <c r="F224" s="6" t="str">
        <f>"PEDIDO 19/01"</f>
        <v>PEDIDO 19/01</v>
      </c>
      <c r="G224" s="6" t="str">
        <f>"C090999900000003"</f>
        <v>C090999900000003</v>
      </c>
      <c r="H224" s="6" t="str">
        <f>"ENCHIMENTOS (PARIS)"</f>
        <v>ENCHIMENTOS (PARIS)</v>
      </c>
      <c r="I224" s="6" t="str">
        <f>"1"</f>
        <v>1</v>
      </c>
      <c r="J224" s="6" t="str">
        <f>"BRANCO"</f>
        <v>BRANCO</v>
      </c>
      <c r="K224" s="6" t="str">
        <f>"6711"</f>
        <v>6711</v>
      </c>
      <c r="L224" s="6" t="str">
        <f>"Enchimento"</f>
        <v>Enchimento</v>
      </c>
      <c r="M224" s="6" t="str">
        <f>"160x220"</f>
        <v>160x220</v>
      </c>
      <c r="N224" s="6" t="str">
        <f>"5602972267341"</f>
        <v>5602972267341</v>
      </c>
      <c r="O224" s="8">
        <v>1</v>
      </c>
      <c r="P224" s="7">
        <v>46041</v>
      </c>
      <c r="R224" s="8">
        <v>0</v>
      </c>
      <c r="U224" s="8">
        <v>0</v>
      </c>
      <c r="X224" s="8">
        <v>0</v>
      </c>
      <c r="Z224" s="8">
        <v>0</v>
      </c>
      <c r="AC224" s="8">
        <v>1</v>
      </c>
      <c r="AE224" s="7">
        <v>46048</v>
      </c>
      <c r="AF224" s="8">
        <v>1</v>
      </c>
      <c r="AH224" s="7">
        <v>46045</v>
      </c>
      <c r="AN224" s="8">
        <v>0</v>
      </c>
      <c r="AO224" s="8">
        <v>1</v>
      </c>
    </row>
    <row r="225" spans="1:41" x14ac:dyDescent="0.25">
      <c r="A225" s="6" t="str">
        <f>"520-2026000037"</f>
        <v>520-2026000037</v>
      </c>
      <c r="B225" s="6" t="str">
        <f>"PAULA MA"</f>
        <v>PAULA MA</v>
      </c>
      <c r="C225" s="7">
        <v>46041</v>
      </c>
      <c r="D225" s="7">
        <v>46045</v>
      </c>
      <c r="E225" s="8">
        <v>2</v>
      </c>
      <c r="F225" s="6" t="str">
        <f>"PEDIDO 19/01"</f>
        <v>PEDIDO 19/01</v>
      </c>
      <c r="G225" s="6" t="str">
        <f>"C090999900000003"</f>
        <v>C090999900000003</v>
      </c>
      <c r="H225" s="6" t="str">
        <f>"ENCHIMENTOS (PARIS)"</f>
        <v>ENCHIMENTOS (PARIS)</v>
      </c>
      <c r="I225" s="6" t="str">
        <f>"1"</f>
        <v>1</v>
      </c>
      <c r="J225" s="6" t="str">
        <f>"BRANCO"</f>
        <v>BRANCO</v>
      </c>
      <c r="K225" s="6" t="str">
        <f>"6716"</f>
        <v>6716</v>
      </c>
      <c r="L225" s="6" t="str">
        <f>"Enchimento"</f>
        <v>Enchimento</v>
      </c>
      <c r="M225" s="6" t="str">
        <f>"240x220"</f>
        <v>240x220</v>
      </c>
      <c r="N225" s="6" t="str">
        <f>"5602972267655"</f>
        <v>5602972267655</v>
      </c>
      <c r="O225" s="8">
        <v>1</v>
      </c>
      <c r="P225" s="7">
        <v>46041</v>
      </c>
      <c r="R225" s="8">
        <v>0</v>
      </c>
      <c r="U225" s="8">
        <v>0</v>
      </c>
      <c r="X225" s="8">
        <v>0</v>
      </c>
      <c r="Z225" s="8">
        <v>0</v>
      </c>
      <c r="AC225" s="8">
        <v>1</v>
      </c>
      <c r="AE225" s="7">
        <v>46048</v>
      </c>
      <c r="AF225" s="8">
        <v>1</v>
      </c>
      <c r="AH225" s="7">
        <v>46045</v>
      </c>
      <c r="AN225" s="8">
        <v>1</v>
      </c>
      <c r="AO225" s="8">
        <v>0</v>
      </c>
    </row>
    <row r="226" spans="1:41" x14ac:dyDescent="0.25">
      <c r="A226" s="6" t="str">
        <f t="shared" ref="A226:A233" si="53">"520-2026000038"</f>
        <v>520-2026000038</v>
      </c>
      <c r="B226" s="6" t="str">
        <f t="shared" ref="B226:B233" si="54">"AUCHAN R"</f>
        <v>AUCHAN R</v>
      </c>
      <c r="C226" s="7">
        <v>46041</v>
      </c>
      <c r="D226" s="7">
        <v>46045</v>
      </c>
      <c r="E226" s="8">
        <v>1</v>
      </c>
      <c r="F226" s="6" t="str">
        <f t="shared" ref="F226:F233" si="55">"1065071844"</f>
        <v>1065071844</v>
      </c>
      <c r="G226" s="6" t="str">
        <f>"F310631555000000"</f>
        <v>F310631555000000</v>
      </c>
      <c r="H226" s="6" t="str">
        <f>"PLAR 6315 - 550 g/m²"</f>
        <v>PLAR 6315 - 550 g/m²</v>
      </c>
      <c r="I226" s="6" t="str">
        <f>"204037"</f>
        <v>204037</v>
      </c>
      <c r="J226" s="6" t="str">
        <f>"AZUL 4037"</f>
        <v>AZUL 4037</v>
      </c>
      <c r="K226" s="6" t="str">
        <f>"2020"</f>
        <v>2020</v>
      </c>
      <c r="L226" s="6" t="str">
        <f>"Lençóis"</f>
        <v>Lençóis</v>
      </c>
      <c r="M226" s="6" t="str">
        <f>"100x150"</f>
        <v>100x150</v>
      </c>
      <c r="N226" s="6" t="str">
        <f>"5602972280852"</f>
        <v>5602972280852</v>
      </c>
      <c r="O226" s="8">
        <v>3</v>
      </c>
      <c r="P226" s="7">
        <v>46041</v>
      </c>
      <c r="R226" s="8">
        <v>0</v>
      </c>
      <c r="U226" s="8">
        <v>0</v>
      </c>
      <c r="X226" s="8">
        <v>0</v>
      </c>
      <c r="Z226" s="8">
        <v>0</v>
      </c>
      <c r="AC226" s="8">
        <v>3</v>
      </c>
      <c r="AE226" s="7">
        <v>46048</v>
      </c>
      <c r="AF226" s="8">
        <v>3</v>
      </c>
      <c r="AH226" s="7">
        <v>46045</v>
      </c>
      <c r="AN226" s="8">
        <v>3</v>
      </c>
      <c r="AO226" s="8">
        <v>0</v>
      </c>
    </row>
    <row r="227" spans="1:41" x14ac:dyDescent="0.25">
      <c r="A227" s="6" t="str">
        <f t="shared" si="53"/>
        <v>520-2026000038</v>
      </c>
      <c r="B227" s="6" t="str">
        <f t="shared" si="54"/>
        <v>AUCHAN R</v>
      </c>
      <c r="C227" s="7">
        <v>46041</v>
      </c>
      <c r="D227" s="7">
        <v>46045</v>
      </c>
      <c r="E227" s="8">
        <v>2</v>
      </c>
      <c r="F227" s="6" t="str">
        <f t="shared" si="55"/>
        <v>1065071844</v>
      </c>
      <c r="G227" s="6" t="str">
        <f>"F300374155000000"</f>
        <v>F300374155000000</v>
      </c>
      <c r="H227" s="6" t="str">
        <f>"PLR 3741 - 550 g/m²"</f>
        <v>PLR 3741 - 550 g/m²</v>
      </c>
      <c r="I227" s="6" t="str">
        <f>"203634"</f>
        <v>203634</v>
      </c>
      <c r="J227" s="6" t="str">
        <f>"ROSA 3634"</f>
        <v>ROSA 3634</v>
      </c>
      <c r="K227" s="6" t="str">
        <f>"2020"</f>
        <v>2020</v>
      </c>
      <c r="L227" s="6" t="str">
        <f>"Lençóis"</f>
        <v>Lençóis</v>
      </c>
      <c r="M227" s="6" t="str">
        <f>"100x150"</f>
        <v>100x150</v>
      </c>
      <c r="N227" s="6" t="str">
        <f>"5602972280883"</f>
        <v>5602972280883</v>
      </c>
      <c r="O227" s="8">
        <v>6</v>
      </c>
      <c r="P227" s="7">
        <v>46041</v>
      </c>
      <c r="R227" s="8">
        <v>0</v>
      </c>
      <c r="U227" s="8">
        <v>0</v>
      </c>
      <c r="X227" s="8">
        <v>0</v>
      </c>
      <c r="Z227" s="8">
        <v>0</v>
      </c>
      <c r="AC227" s="8">
        <v>0</v>
      </c>
      <c r="AE227" s="7">
        <v>46048</v>
      </c>
      <c r="AF227" s="8">
        <v>0</v>
      </c>
      <c r="AH227" s="7">
        <v>46045</v>
      </c>
      <c r="AN227" s="8">
        <v>0</v>
      </c>
      <c r="AO227" s="8">
        <v>6</v>
      </c>
    </row>
    <row r="228" spans="1:41" x14ac:dyDescent="0.25">
      <c r="A228" s="6" t="str">
        <f t="shared" si="53"/>
        <v>520-2026000038</v>
      </c>
      <c r="B228" s="6" t="str">
        <f t="shared" si="54"/>
        <v>AUCHAN R</v>
      </c>
      <c r="C228" s="7">
        <v>46041</v>
      </c>
      <c r="D228" s="7">
        <v>46045</v>
      </c>
      <c r="E228" s="8">
        <v>3</v>
      </c>
      <c r="F228" s="6" t="str">
        <f t="shared" si="55"/>
        <v>1065071844</v>
      </c>
      <c r="G228" s="6" t="str">
        <f>"F310620958000000"</f>
        <v>F310620958000000</v>
      </c>
      <c r="H228" s="6" t="str">
        <f>"PLAR 6209 C/ Franja"</f>
        <v>PLAR 6209 C/ Franja</v>
      </c>
      <c r="I228" s="6" t="str">
        <f>"203699"</f>
        <v>203699</v>
      </c>
      <c r="J228" s="6" t="str">
        <f>"BEGE 3699"</f>
        <v>BEGE 3699</v>
      </c>
      <c r="K228" s="6" t="str">
        <f>"2093"</f>
        <v>2093</v>
      </c>
      <c r="L228" s="6" t="str">
        <f>"Lençóis"</f>
        <v>Lençóis</v>
      </c>
      <c r="M228" s="6" t="str">
        <f>"100x150+8"</f>
        <v>100x150+8</v>
      </c>
      <c r="N228" s="6" t="str">
        <f>"5602972280944"</f>
        <v>5602972280944</v>
      </c>
      <c r="O228" s="8">
        <v>6</v>
      </c>
      <c r="P228" s="7">
        <v>46041</v>
      </c>
      <c r="R228" s="8">
        <v>0</v>
      </c>
      <c r="U228" s="8">
        <v>0</v>
      </c>
      <c r="X228" s="8">
        <v>0</v>
      </c>
      <c r="Z228" s="8">
        <v>0</v>
      </c>
      <c r="AC228" s="8">
        <v>6</v>
      </c>
      <c r="AE228" s="7">
        <v>46048</v>
      </c>
      <c r="AF228" s="8">
        <v>6</v>
      </c>
      <c r="AH228" s="7">
        <v>46045</v>
      </c>
      <c r="AN228" s="8">
        <v>6</v>
      </c>
      <c r="AO228" s="8">
        <v>0</v>
      </c>
    </row>
    <row r="229" spans="1:41" x14ac:dyDescent="0.25">
      <c r="A229" s="6" t="str">
        <f t="shared" si="53"/>
        <v>520-2026000038</v>
      </c>
      <c r="B229" s="6" t="str">
        <f t="shared" si="54"/>
        <v>AUCHAN R</v>
      </c>
      <c r="C229" s="7">
        <v>46041</v>
      </c>
      <c r="D229" s="7">
        <v>46045</v>
      </c>
      <c r="E229" s="8">
        <v>4</v>
      </c>
      <c r="F229" s="6" t="str">
        <f t="shared" si="55"/>
        <v>1065071844</v>
      </c>
      <c r="G229" s="6" t="str">
        <f>"F110329745000000"</f>
        <v>F110329745000000</v>
      </c>
      <c r="H229" s="6" t="str">
        <f>"FAJ 3297 - 450 g/m²"</f>
        <v>FAJ 3297 - 450 g/m²</v>
      </c>
      <c r="I229" s="6" t="str">
        <f>"2"</f>
        <v>2</v>
      </c>
      <c r="J229" s="6" t="str">
        <f>"NATURAL"</f>
        <v>NATURAL</v>
      </c>
      <c r="K229" s="6" t="str">
        <f>"0520"</f>
        <v>0520</v>
      </c>
      <c r="L229" s="6" t="str">
        <f>"Toalhetes"</f>
        <v>Toalhetes</v>
      </c>
      <c r="M229" s="6" t="str">
        <f>"30x50"</f>
        <v>30x50</v>
      </c>
      <c r="N229" s="6" t="str">
        <f>"5602972277852"</f>
        <v>5602972277852</v>
      </c>
      <c r="O229" s="8">
        <v>12</v>
      </c>
      <c r="P229" s="7">
        <v>46041</v>
      </c>
      <c r="R229" s="8">
        <v>0</v>
      </c>
      <c r="U229" s="8">
        <v>0</v>
      </c>
      <c r="X229" s="8">
        <v>0</v>
      </c>
      <c r="Z229" s="8">
        <v>0</v>
      </c>
      <c r="AC229" s="8">
        <v>0</v>
      </c>
      <c r="AE229" s="7">
        <v>46048</v>
      </c>
      <c r="AF229" s="8">
        <v>0</v>
      </c>
      <c r="AH229" s="7">
        <v>46045</v>
      </c>
      <c r="AN229" s="8">
        <v>0</v>
      </c>
      <c r="AO229" s="8">
        <v>12</v>
      </c>
    </row>
    <row r="230" spans="1:41" x14ac:dyDescent="0.25">
      <c r="A230" s="6" t="str">
        <f t="shared" si="53"/>
        <v>520-2026000038</v>
      </c>
      <c r="B230" s="6" t="str">
        <f t="shared" si="54"/>
        <v>AUCHAN R</v>
      </c>
      <c r="C230" s="7">
        <v>46041</v>
      </c>
      <c r="D230" s="7">
        <v>46045</v>
      </c>
      <c r="E230" s="8">
        <v>5</v>
      </c>
      <c r="F230" s="6" t="str">
        <f t="shared" si="55"/>
        <v>1065071844</v>
      </c>
      <c r="G230" s="6" t="str">
        <f>"F100021455000010"</f>
        <v>F100021455000010</v>
      </c>
      <c r="H230" s="6" t="str">
        <f>"FA 214 Bio GOTS - 55"</f>
        <v>FA 214 Bio GOTS - 55</v>
      </c>
      <c r="I230" s="6" t="str">
        <f>"2094"</f>
        <v>2094</v>
      </c>
      <c r="J230" s="6" t="str">
        <f>"AZUL 2094"</f>
        <v>AZUL 2094</v>
      </c>
      <c r="K230" s="6" t="str">
        <f>"0530"</f>
        <v>0530</v>
      </c>
      <c r="L230" s="6" t="str">
        <f>"Toalhetes"</f>
        <v>Toalhetes</v>
      </c>
      <c r="M230" s="6" t="str">
        <f>"33x50"</f>
        <v>33x50</v>
      </c>
      <c r="N230" s="6" t="str">
        <f>"5602972278637"</f>
        <v>5602972278637</v>
      </c>
      <c r="O230" s="8">
        <v>12</v>
      </c>
      <c r="P230" s="7">
        <v>46041</v>
      </c>
      <c r="R230" s="8">
        <v>0</v>
      </c>
      <c r="U230" s="8">
        <v>0</v>
      </c>
      <c r="X230" s="8">
        <v>0</v>
      </c>
      <c r="Z230" s="8">
        <v>0</v>
      </c>
      <c r="AC230" s="8">
        <v>12</v>
      </c>
      <c r="AE230" s="7">
        <v>46048</v>
      </c>
      <c r="AF230" s="8">
        <v>12</v>
      </c>
      <c r="AH230" s="7">
        <v>46045</v>
      </c>
      <c r="AN230" s="8">
        <v>12</v>
      </c>
      <c r="AO230" s="8">
        <v>0</v>
      </c>
    </row>
    <row r="231" spans="1:41" x14ac:dyDescent="0.25">
      <c r="A231" s="6" t="str">
        <f t="shared" si="53"/>
        <v>520-2026000038</v>
      </c>
      <c r="B231" s="6" t="str">
        <f t="shared" si="54"/>
        <v>AUCHAN R</v>
      </c>
      <c r="C231" s="7">
        <v>46041</v>
      </c>
      <c r="D231" s="7">
        <v>46045</v>
      </c>
      <c r="E231" s="8">
        <v>6</v>
      </c>
      <c r="F231" s="6" t="str">
        <f t="shared" si="55"/>
        <v>1065071844</v>
      </c>
      <c r="G231" s="6" t="str">
        <f>"F300374155000000"</f>
        <v>F300374155000000</v>
      </c>
      <c r="H231" s="6" t="str">
        <f>"PLR 3741 - 550 g/m²"</f>
        <v>PLR 3741 - 550 g/m²</v>
      </c>
      <c r="I231" s="6" t="str">
        <f>"203634"</f>
        <v>203634</v>
      </c>
      <c r="J231" s="6" t="str">
        <f>"ROSA 3634"</f>
        <v>ROSA 3634</v>
      </c>
      <c r="K231" s="6" t="str">
        <f>"1024"</f>
        <v>1024</v>
      </c>
      <c r="L231" s="6" t="str">
        <f>"Toalhas"</f>
        <v>Toalhas</v>
      </c>
      <c r="M231" s="6" t="str">
        <f>"50x100"</f>
        <v>50x100</v>
      </c>
      <c r="N231" s="6" t="str">
        <f>"5602972280876"</f>
        <v>5602972280876</v>
      </c>
      <c r="O231" s="8">
        <v>6</v>
      </c>
      <c r="P231" s="7">
        <v>46041</v>
      </c>
      <c r="R231" s="8">
        <v>0</v>
      </c>
      <c r="U231" s="8">
        <v>0</v>
      </c>
      <c r="X231" s="8">
        <v>0</v>
      </c>
      <c r="Z231" s="8">
        <v>0</v>
      </c>
      <c r="AC231" s="8">
        <v>6</v>
      </c>
      <c r="AE231" s="7">
        <v>46048</v>
      </c>
      <c r="AF231" s="8">
        <v>6</v>
      </c>
      <c r="AH231" s="7">
        <v>46045</v>
      </c>
      <c r="AN231" s="8">
        <v>6</v>
      </c>
      <c r="AO231" s="8">
        <v>0</v>
      </c>
    </row>
    <row r="232" spans="1:41" x14ac:dyDescent="0.25">
      <c r="A232" s="6" t="str">
        <f t="shared" si="53"/>
        <v>520-2026000038</v>
      </c>
      <c r="B232" s="6" t="str">
        <f t="shared" si="54"/>
        <v>AUCHAN R</v>
      </c>
      <c r="C232" s="7">
        <v>46041</v>
      </c>
      <c r="D232" s="7">
        <v>46045</v>
      </c>
      <c r="E232" s="8">
        <v>7</v>
      </c>
      <c r="F232" s="6" t="str">
        <f t="shared" si="55"/>
        <v>1065071844</v>
      </c>
      <c r="G232" s="6" t="str">
        <f>"F310620958000000"</f>
        <v>F310620958000000</v>
      </c>
      <c r="H232" s="6" t="str">
        <f>"PLAR 6209 C/ Franja"</f>
        <v>PLAR 6209 C/ Franja</v>
      </c>
      <c r="I232" s="6" t="str">
        <f>"203699"</f>
        <v>203699</v>
      </c>
      <c r="J232" s="6" t="str">
        <f>"BEGE 3699"</f>
        <v>BEGE 3699</v>
      </c>
      <c r="K232" s="6" t="str">
        <f>"1047"</f>
        <v>1047</v>
      </c>
      <c r="L232" s="6" t="str">
        <f>"Toalhas"</f>
        <v>Toalhas</v>
      </c>
      <c r="M232" s="6" t="str">
        <f>"50x100+8"</f>
        <v>50x100+8</v>
      </c>
      <c r="N232" s="6" t="str">
        <f>"5602972280937"</f>
        <v>5602972280937</v>
      </c>
      <c r="O232" s="8">
        <v>6</v>
      </c>
      <c r="P232" s="7">
        <v>46041</v>
      </c>
      <c r="R232" s="8">
        <v>0</v>
      </c>
      <c r="U232" s="8">
        <v>0</v>
      </c>
      <c r="X232" s="8">
        <v>0</v>
      </c>
      <c r="Z232" s="8">
        <v>0</v>
      </c>
      <c r="AC232" s="8">
        <v>6</v>
      </c>
      <c r="AE232" s="7">
        <v>46048</v>
      </c>
      <c r="AF232" s="8">
        <v>6</v>
      </c>
      <c r="AH232" s="7">
        <v>46045</v>
      </c>
      <c r="AN232" s="8">
        <v>6</v>
      </c>
      <c r="AO232" s="8">
        <v>0</v>
      </c>
    </row>
    <row r="233" spans="1:41" x14ac:dyDescent="0.25">
      <c r="A233" s="6" t="str">
        <f t="shared" si="53"/>
        <v>520-2026000038</v>
      </c>
      <c r="B233" s="6" t="str">
        <f t="shared" si="54"/>
        <v>AUCHAN R</v>
      </c>
      <c r="C233" s="7">
        <v>46041</v>
      </c>
      <c r="D233" s="7">
        <v>46045</v>
      </c>
      <c r="E233" s="8">
        <v>8</v>
      </c>
      <c r="F233" s="6" t="str">
        <f t="shared" si="55"/>
        <v>1065071844</v>
      </c>
      <c r="G233" s="6" t="str">
        <f>"C090008212000118"</f>
        <v>C090008212000118</v>
      </c>
      <c r="H233" s="6" t="str">
        <f>"Conj. LT 82 - 150 Fi"</f>
        <v>Conj. LT 82 - 150 Fi</v>
      </c>
      <c r="I233" s="6" t="str">
        <f>"600001"</f>
        <v>600001</v>
      </c>
      <c r="J233" s="6" t="str">
        <f>"Branco"</f>
        <v>Branco</v>
      </c>
      <c r="K233" s="6" t="str">
        <f>"4014"</f>
        <v>4014</v>
      </c>
      <c r="L233" s="6" t="str">
        <f>"Conjunto/Jogos"</f>
        <v>Conjunto/Jogos</v>
      </c>
      <c r="M233" s="6" t="str">
        <f>"(2 Pcs)"</f>
        <v>(2 Pcs)</v>
      </c>
      <c r="N233" s="6" t="str">
        <f>"5602972279849"</f>
        <v>5602972279849</v>
      </c>
      <c r="O233" s="8">
        <v>12</v>
      </c>
      <c r="P233" s="7">
        <v>46041</v>
      </c>
      <c r="R233" s="8">
        <v>0</v>
      </c>
      <c r="U233" s="8">
        <v>0</v>
      </c>
      <c r="X233" s="8">
        <v>0</v>
      </c>
      <c r="Z233" s="8">
        <v>0</v>
      </c>
      <c r="AC233" s="8">
        <v>0</v>
      </c>
      <c r="AE233" s="7">
        <v>46048</v>
      </c>
      <c r="AF233" s="8">
        <v>0</v>
      </c>
      <c r="AH233" s="7">
        <v>46045</v>
      </c>
      <c r="AN233" s="8">
        <v>0</v>
      </c>
      <c r="AO233" s="8">
        <v>12</v>
      </c>
    </row>
    <row r="234" spans="1:41" x14ac:dyDescent="0.25">
      <c r="A234" s="6" t="str">
        <f>"520-2026000039"</f>
        <v>520-2026000039</v>
      </c>
      <c r="B234" s="6" t="str">
        <f>"TURISMO"</f>
        <v>TURISMO</v>
      </c>
      <c r="C234" s="7">
        <v>46041</v>
      </c>
      <c r="D234" s="7">
        <v>46041</v>
      </c>
      <c r="E234" s="8">
        <v>1</v>
      </c>
      <c r="F234" s="6" t="str">
        <f>"PEDIDO 19/01"</f>
        <v>PEDIDO 19/01</v>
      </c>
      <c r="G234" s="6" t="str">
        <f>"C090000267000055"</f>
        <v>C090000267000055</v>
      </c>
      <c r="H234" s="6" t="str">
        <f>"Protectores para col"</f>
        <v>Protectores para col</v>
      </c>
      <c r="I234" s="6" t="str">
        <f>"1"</f>
        <v>1</v>
      </c>
      <c r="J234" s="6" t="str">
        <f>"BRANCO"</f>
        <v>BRANCO</v>
      </c>
      <c r="K234" s="6" t="str">
        <f t="shared" ref="K234:K239" si="56">"7000"</f>
        <v>7000</v>
      </c>
      <c r="L234" s="6" t="str">
        <f t="shared" ref="L234:L239" si="57">"Cama"</f>
        <v>Cama</v>
      </c>
      <c r="M234" s="6" t="str">
        <f t="shared" ref="M234:M239" si="58">"Único"</f>
        <v>Único</v>
      </c>
      <c r="N234" s="6" t="str">
        <f>"5600000146217"</f>
        <v>5600000146217</v>
      </c>
      <c r="O234" s="8">
        <v>100</v>
      </c>
      <c r="P234" s="7">
        <v>46041</v>
      </c>
      <c r="R234" s="8">
        <v>0</v>
      </c>
      <c r="U234" s="8">
        <v>0</v>
      </c>
      <c r="X234" s="8">
        <v>0</v>
      </c>
      <c r="Z234" s="8">
        <v>0</v>
      </c>
      <c r="AC234" s="8">
        <v>100</v>
      </c>
      <c r="AE234" s="7">
        <v>46048</v>
      </c>
      <c r="AF234" s="8">
        <v>100</v>
      </c>
      <c r="AH234" s="7">
        <v>46041</v>
      </c>
      <c r="AN234" s="8">
        <v>0</v>
      </c>
      <c r="AO234" s="8">
        <v>100</v>
      </c>
    </row>
    <row r="235" spans="1:41" x14ac:dyDescent="0.25">
      <c r="A235" s="6" t="str">
        <f>"520-2026000040"</f>
        <v>520-2026000040</v>
      </c>
      <c r="B235" s="6" t="str">
        <f>"FORMOSIN"</f>
        <v>FORMOSIN</v>
      </c>
      <c r="C235" s="7">
        <v>46041</v>
      </c>
      <c r="D235" s="7">
        <v>46059</v>
      </c>
      <c r="E235" s="8">
        <v>1</v>
      </c>
      <c r="F235" s="6" t="str">
        <f>"PEDIDO CAMA"</f>
        <v>PEDIDO CAMA</v>
      </c>
      <c r="G235" s="6" t="str">
        <f>"C090008212000157"</f>
        <v>C090008212000157</v>
      </c>
      <c r="H235" s="6" t="str">
        <f>"LT 82 - 16290 - 120"</f>
        <v>LT 82 - 16290 - 120</v>
      </c>
      <c r="I235" s="6" t="str">
        <f>"901001"</f>
        <v>901001</v>
      </c>
      <c r="J235" s="6" t="str">
        <f>"Cor 1"</f>
        <v>Cor 1</v>
      </c>
      <c r="K235" s="6" t="str">
        <f t="shared" si="56"/>
        <v>7000</v>
      </c>
      <c r="L235" s="6" t="str">
        <f t="shared" si="57"/>
        <v>Cama</v>
      </c>
      <c r="M235" s="6" t="str">
        <f t="shared" si="58"/>
        <v>Único</v>
      </c>
      <c r="N235" s="6" t="str">
        <f t="shared" ref="N235:N240" si="59">" "</f>
        <v xml:space="preserve"> </v>
      </c>
      <c r="O235" s="8">
        <v>20</v>
      </c>
      <c r="R235" s="8">
        <v>0</v>
      </c>
      <c r="U235" s="8">
        <v>0</v>
      </c>
      <c r="X235" s="8">
        <v>0</v>
      </c>
      <c r="Z235" s="8">
        <v>0</v>
      </c>
      <c r="AC235" s="8">
        <v>0</v>
      </c>
      <c r="AF235" s="8">
        <v>0</v>
      </c>
      <c r="AN235" s="8">
        <v>0</v>
      </c>
      <c r="AO235" s="8">
        <v>20</v>
      </c>
    </row>
    <row r="236" spans="1:41" x14ac:dyDescent="0.25">
      <c r="A236" s="6" t="str">
        <f>"520-2026000040"</f>
        <v>520-2026000040</v>
      </c>
      <c r="B236" s="6" t="str">
        <f>"FORMOSIN"</f>
        <v>FORMOSIN</v>
      </c>
      <c r="C236" s="7">
        <v>46041</v>
      </c>
      <c r="D236" s="7">
        <v>46059</v>
      </c>
      <c r="E236" s="8">
        <v>2</v>
      </c>
      <c r="F236" s="6" t="str">
        <f>"PEDIDO CAMA"</f>
        <v>PEDIDO CAMA</v>
      </c>
      <c r="G236" s="6" t="str">
        <f>"C090008212000158"</f>
        <v>C090008212000158</v>
      </c>
      <c r="H236" s="6" t="str">
        <f>"LT 82 - 16290 - 120"</f>
        <v>LT 82 - 16290 - 120</v>
      </c>
      <c r="I236" s="6" t="str">
        <f>"901001"</f>
        <v>901001</v>
      </c>
      <c r="J236" s="6" t="str">
        <f>"Cor 1"</f>
        <v>Cor 1</v>
      </c>
      <c r="K236" s="6" t="str">
        <f t="shared" si="56"/>
        <v>7000</v>
      </c>
      <c r="L236" s="6" t="str">
        <f t="shared" si="57"/>
        <v>Cama</v>
      </c>
      <c r="M236" s="6" t="str">
        <f t="shared" si="58"/>
        <v>Único</v>
      </c>
      <c r="N236" s="6" t="str">
        <f t="shared" si="59"/>
        <v xml:space="preserve"> </v>
      </c>
      <c r="O236" s="8">
        <v>2</v>
      </c>
      <c r="R236" s="8">
        <v>0</v>
      </c>
      <c r="U236" s="8">
        <v>0</v>
      </c>
      <c r="X236" s="8">
        <v>0</v>
      </c>
      <c r="Z236" s="8">
        <v>0</v>
      </c>
      <c r="AC236" s="8">
        <v>0</v>
      </c>
      <c r="AF236" s="8">
        <v>0</v>
      </c>
      <c r="AN236" s="8">
        <v>0</v>
      </c>
      <c r="AO236" s="8">
        <v>2</v>
      </c>
    </row>
    <row r="237" spans="1:41" x14ac:dyDescent="0.25">
      <c r="A237" s="6" t="str">
        <f>"520-2026000040"</f>
        <v>520-2026000040</v>
      </c>
      <c r="B237" s="6" t="str">
        <f>"FORMOSIN"</f>
        <v>FORMOSIN</v>
      </c>
      <c r="C237" s="7">
        <v>46041</v>
      </c>
      <c r="D237" s="7">
        <v>46059</v>
      </c>
      <c r="E237" s="8">
        <v>3</v>
      </c>
      <c r="F237" s="6" t="str">
        <f>"PEDIDO CAMA"</f>
        <v>PEDIDO CAMA</v>
      </c>
      <c r="G237" s="6" t="str">
        <f>"C090008212000155"</f>
        <v>C090008212000155</v>
      </c>
      <c r="H237" s="6" t="str">
        <f>"LT 82 - 16290 - 120"</f>
        <v>LT 82 - 16290 - 120</v>
      </c>
      <c r="I237" s="6" t="str">
        <f>"901001"</f>
        <v>901001</v>
      </c>
      <c r="J237" s="6" t="str">
        <f>"Cor 1"</f>
        <v>Cor 1</v>
      </c>
      <c r="K237" s="6" t="str">
        <f t="shared" si="56"/>
        <v>7000</v>
      </c>
      <c r="L237" s="6" t="str">
        <f t="shared" si="57"/>
        <v>Cama</v>
      </c>
      <c r="M237" s="6" t="str">
        <f t="shared" si="58"/>
        <v>Único</v>
      </c>
      <c r="N237" s="6" t="str">
        <f t="shared" si="59"/>
        <v xml:space="preserve"> </v>
      </c>
      <c r="O237" s="8">
        <v>22</v>
      </c>
      <c r="R237" s="8">
        <v>0</v>
      </c>
      <c r="U237" s="8">
        <v>0</v>
      </c>
      <c r="X237" s="8">
        <v>0</v>
      </c>
      <c r="Z237" s="8">
        <v>0</v>
      </c>
      <c r="AC237" s="8">
        <v>0</v>
      </c>
      <c r="AF237" s="8">
        <v>0</v>
      </c>
      <c r="AN237" s="8">
        <v>0</v>
      </c>
      <c r="AO237" s="8">
        <v>22</v>
      </c>
    </row>
    <row r="238" spans="1:41" x14ac:dyDescent="0.25">
      <c r="A238" s="6" t="str">
        <f>"520-2026000040"</f>
        <v>520-2026000040</v>
      </c>
      <c r="B238" s="6" t="str">
        <f>"FORMOSIN"</f>
        <v>FORMOSIN</v>
      </c>
      <c r="C238" s="7">
        <v>46041</v>
      </c>
      <c r="D238" s="7">
        <v>46059</v>
      </c>
      <c r="E238" s="8">
        <v>4</v>
      </c>
      <c r="F238" s="6" t="str">
        <f>"PEDIDO CAMA"</f>
        <v>PEDIDO CAMA</v>
      </c>
      <c r="G238" s="6" t="str">
        <f>"C090008212000156"</f>
        <v>C090008212000156</v>
      </c>
      <c r="H238" s="6" t="str">
        <f>"LT 82 - 16290 - 120"</f>
        <v>LT 82 - 16290 - 120</v>
      </c>
      <c r="I238" s="6" t="str">
        <f>"901001"</f>
        <v>901001</v>
      </c>
      <c r="J238" s="6" t="str">
        <f>"Cor 1"</f>
        <v>Cor 1</v>
      </c>
      <c r="K238" s="6" t="str">
        <f t="shared" si="56"/>
        <v>7000</v>
      </c>
      <c r="L238" s="6" t="str">
        <f t="shared" si="57"/>
        <v>Cama</v>
      </c>
      <c r="M238" s="6" t="str">
        <f t="shared" si="58"/>
        <v>Único</v>
      </c>
      <c r="N238" s="6" t="str">
        <f t="shared" si="59"/>
        <v xml:space="preserve"> </v>
      </c>
      <c r="O238" s="8">
        <v>20</v>
      </c>
      <c r="R238" s="8">
        <v>0</v>
      </c>
      <c r="U238" s="8">
        <v>0</v>
      </c>
      <c r="X238" s="8">
        <v>0</v>
      </c>
      <c r="Z238" s="8">
        <v>0</v>
      </c>
      <c r="AC238" s="8">
        <v>0</v>
      </c>
      <c r="AF238" s="8">
        <v>0</v>
      </c>
      <c r="AN238" s="8">
        <v>0</v>
      </c>
      <c r="AO238" s="8">
        <v>20</v>
      </c>
    </row>
    <row r="239" spans="1:41" x14ac:dyDescent="0.25">
      <c r="A239" s="6" t="str">
        <f>"520-2026000041"</f>
        <v>520-2026000041</v>
      </c>
      <c r="B239" s="6" t="str">
        <f>"TURISMO"</f>
        <v>TURISMO</v>
      </c>
      <c r="C239" s="7">
        <v>46041</v>
      </c>
      <c r="D239" s="7">
        <v>46041</v>
      </c>
      <c r="E239" s="8">
        <v>1</v>
      </c>
      <c r="F239" s="6" t="str">
        <f>"CAMA"</f>
        <v>CAMA</v>
      </c>
      <c r="G239" s="6" t="str">
        <f>"C090008812000566"</f>
        <v>C090008812000566</v>
      </c>
      <c r="H239" s="6" t="str">
        <f>"LT 0088 Básicos - Al"</f>
        <v>LT 0088 Básicos - Al</v>
      </c>
      <c r="I239" s="6" t="str">
        <f>"600001"</f>
        <v>600001</v>
      </c>
      <c r="J239" s="6" t="str">
        <f>"Branco"</f>
        <v>Branco</v>
      </c>
      <c r="K239" s="6" t="str">
        <f t="shared" si="56"/>
        <v>7000</v>
      </c>
      <c r="L239" s="6" t="str">
        <f t="shared" si="57"/>
        <v>Cama</v>
      </c>
      <c r="M239" s="6" t="str">
        <f t="shared" si="58"/>
        <v>Único</v>
      </c>
      <c r="N239" s="6" t="str">
        <f t="shared" si="59"/>
        <v xml:space="preserve"> </v>
      </c>
      <c r="O239" s="8">
        <v>128</v>
      </c>
      <c r="R239" s="8">
        <v>0</v>
      </c>
      <c r="U239" s="8">
        <v>0</v>
      </c>
      <c r="X239" s="8">
        <v>0</v>
      </c>
      <c r="Z239" s="8">
        <v>0</v>
      </c>
      <c r="AC239" s="8">
        <v>0</v>
      </c>
      <c r="AF239" s="8">
        <v>0</v>
      </c>
      <c r="AN239" s="8">
        <v>0</v>
      </c>
      <c r="AO239" s="8">
        <v>128</v>
      </c>
    </row>
    <row r="240" spans="1:41" x14ac:dyDescent="0.25">
      <c r="A240" s="6" t="str">
        <f>"520-2026000042"</f>
        <v>520-2026000042</v>
      </c>
      <c r="B240" s="6" t="str">
        <f>"LOVABLE"</f>
        <v>LOVABLE</v>
      </c>
      <c r="C240" s="7">
        <v>46041</v>
      </c>
      <c r="D240" s="7">
        <v>46108</v>
      </c>
      <c r="E240" s="8">
        <v>1</v>
      </c>
      <c r="F240" s="6" t="str">
        <f>"CHATEAU ST. MARTIN"</f>
        <v>CHATEAU ST. MARTIN</v>
      </c>
      <c r="G240" s="6" t="str">
        <f>"F600189329006595"</f>
        <v>F600189329006595</v>
      </c>
      <c r="H240" s="6" t="str">
        <f>"10-1893 / 6595 - 290"</f>
        <v>10-1893 / 6595 - 290</v>
      </c>
      <c r="I240" s="6" t="str">
        <f>"204140"</f>
        <v>204140</v>
      </c>
      <c r="J240" s="6" t="str">
        <f>"ROSA 4140"</f>
        <v>ROSA 4140</v>
      </c>
      <c r="K240" s="6" t="str">
        <f>"3539"</f>
        <v>3539</v>
      </c>
      <c r="L240" s="6" t="str">
        <f>"Praia"</f>
        <v>Praia</v>
      </c>
      <c r="M240" s="6" t="str">
        <f>"100x180+8"</f>
        <v>100x180+8</v>
      </c>
      <c r="N240" s="6" t="str">
        <f t="shared" si="59"/>
        <v xml:space="preserve"> </v>
      </c>
      <c r="O240" s="8">
        <v>500</v>
      </c>
      <c r="P240" s="7">
        <v>46079</v>
      </c>
      <c r="R240" s="8">
        <v>0</v>
      </c>
      <c r="S240" s="7">
        <v>46084</v>
      </c>
      <c r="U240" s="8">
        <v>0</v>
      </c>
      <c r="V240" s="7">
        <v>46087</v>
      </c>
      <c r="X240" s="8">
        <v>0</v>
      </c>
      <c r="Z240" s="8">
        <v>0</v>
      </c>
      <c r="AA240" s="7">
        <v>46099</v>
      </c>
      <c r="AC240" s="8">
        <v>0</v>
      </c>
      <c r="AE240" s="7">
        <v>46101</v>
      </c>
      <c r="AF240" s="8">
        <v>0</v>
      </c>
      <c r="AH240" s="7">
        <v>46108</v>
      </c>
      <c r="AN240" s="8">
        <v>0</v>
      </c>
      <c r="AO240" s="8">
        <v>500</v>
      </c>
    </row>
    <row r="241" spans="1:41" x14ac:dyDescent="0.25">
      <c r="A241" s="6" t="str">
        <f t="shared" ref="A241:A278" si="60">"520-2026000043"</f>
        <v>520-2026000043</v>
      </c>
      <c r="B241" s="6" t="str">
        <f t="shared" ref="B241:B278" si="61">"ELSA MAR"</f>
        <v>ELSA MAR</v>
      </c>
      <c r="C241" s="7">
        <v>46041</v>
      </c>
      <c r="D241" s="7">
        <v>46041</v>
      </c>
      <c r="E241" s="8">
        <v>1</v>
      </c>
      <c r="F241" s="6" t="str">
        <f t="shared" ref="F241:F278" si="62">"PEDIDO 13/01"</f>
        <v>PEDIDO 13/01</v>
      </c>
      <c r="G241" s="6" t="str">
        <f>"C001233626000000"</f>
        <v>C001233626000000</v>
      </c>
      <c r="H241" s="6" t="str">
        <f>"CZJ 2336 - 260 g/m²"</f>
        <v>CZJ 2336 - 260 g/m²</v>
      </c>
      <c r="I241" s="6" t="str">
        <f>"200571"</f>
        <v>200571</v>
      </c>
      <c r="J241" s="6" t="str">
        <f>"AMARELO 571"</f>
        <v>AMARELO 571</v>
      </c>
      <c r="K241" s="6" t="str">
        <f>"0830"</f>
        <v>0830</v>
      </c>
      <c r="L241" s="6" t="str">
        <f t="shared" ref="L241:L252" si="63">"Cozinha"</f>
        <v>Cozinha</v>
      </c>
      <c r="M241" s="6" t="str">
        <f>"50x70"</f>
        <v>50x70</v>
      </c>
      <c r="N241" s="6" t="str">
        <f>"5602972513950"</f>
        <v>5602972513950</v>
      </c>
      <c r="O241" s="8">
        <v>8</v>
      </c>
      <c r="P241" s="7">
        <v>46041</v>
      </c>
      <c r="R241" s="8">
        <v>0</v>
      </c>
      <c r="U241" s="8">
        <v>0</v>
      </c>
      <c r="X241" s="8">
        <v>0</v>
      </c>
      <c r="Z241" s="8">
        <v>0</v>
      </c>
      <c r="AC241" s="8">
        <v>8</v>
      </c>
      <c r="AE241" s="7">
        <v>46048</v>
      </c>
      <c r="AF241" s="8">
        <v>8</v>
      </c>
      <c r="AH241" s="7">
        <v>46041</v>
      </c>
      <c r="AN241" s="8">
        <v>8</v>
      </c>
      <c r="AO241" s="8">
        <v>0</v>
      </c>
    </row>
    <row r="242" spans="1:41" x14ac:dyDescent="0.25">
      <c r="A242" s="6" t="str">
        <f t="shared" si="60"/>
        <v>520-2026000043</v>
      </c>
      <c r="B242" s="6" t="str">
        <f t="shared" si="61"/>
        <v>ELSA MAR</v>
      </c>
      <c r="C242" s="7">
        <v>46041</v>
      </c>
      <c r="D242" s="7">
        <v>46041</v>
      </c>
      <c r="E242" s="8">
        <v>2</v>
      </c>
      <c r="F242" s="6" t="str">
        <f t="shared" si="62"/>
        <v>PEDIDO 13/01</v>
      </c>
      <c r="G242" s="6" t="str">
        <f>"C001233626000000"</f>
        <v>C001233626000000</v>
      </c>
      <c r="H242" s="6" t="str">
        <f>"CZJ 2336 - 260 g/m²"</f>
        <v>CZJ 2336 - 260 g/m²</v>
      </c>
      <c r="I242" s="6" t="str">
        <f>"204312"</f>
        <v>204312</v>
      </c>
      <c r="J242" s="6" t="str">
        <f>"AZUL4312"</f>
        <v>AZUL4312</v>
      </c>
      <c r="K242" s="6" t="str">
        <f>"0830"</f>
        <v>0830</v>
      </c>
      <c r="L242" s="6" t="str">
        <f t="shared" si="63"/>
        <v>Cozinha</v>
      </c>
      <c r="M242" s="6" t="str">
        <f>"50x70"</f>
        <v>50x70</v>
      </c>
      <c r="N242" s="6" t="str">
        <f>"5602972513981"</f>
        <v>5602972513981</v>
      </c>
      <c r="O242" s="8">
        <v>8</v>
      </c>
      <c r="P242" s="7">
        <v>46041</v>
      </c>
      <c r="R242" s="8">
        <v>0</v>
      </c>
      <c r="U242" s="8">
        <v>0</v>
      </c>
      <c r="X242" s="8">
        <v>0</v>
      </c>
      <c r="Z242" s="8">
        <v>0</v>
      </c>
      <c r="AC242" s="8">
        <v>8</v>
      </c>
      <c r="AE242" s="7">
        <v>46048</v>
      </c>
      <c r="AF242" s="8">
        <v>8</v>
      </c>
      <c r="AH242" s="7">
        <v>46041</v>
      </c>
      <c r="AN242" s="8">
        <v>8</v>
      </c>
      <c r="AO242" s="8">
        <v>0</v>
      </c>
    </row>
    <row r="243" spans="1:41" x14ac:dyDescent="0.25">
      <c r="A243" s="6" t="str">
        <f t="shared" si="60"/>
        <v>520-2026000043</v>
      </c>
      <c r="B243" s="6" t="str">
        <f t="shared" si="61"/>
        <v>ELSA MAR</v>
      </c>
      <c r="C243" s="7">
        <v>46041</v>
      </c>
      <c r="D243" s="7">
        <v>46041</v>
      </c>
      <c r="E243" s="8">
        <v>3</v>
      </c>
      <c r="F243" s="6" t="str">
        <f t="shared" si="62"/>
        <v>PEDIDO 13/01</v>
      </c>
      <c r="G243" s="6" t="str">
        <f>"C001233626000000"</f>
        <v>C001233626000000</v>
      </c>
      <c r="H243" s="6" t="str">
        <f>"CZJ 2336 - 260 g/m²"</f>
        <v>CZJ 2336 - 260 g/m²</v>
      </c>
      <c r="I243" s="6" t="str">
        <f>"203157"</f>
        <v>203157</v>
      </c>
      <c r="J243" s="6" t="str">
        <f>"CINZA 3157"</f>
        <v>CINZA 3157</v>
      </c>
      <c r="K243" s="6" t="str">
        <f>"0830"</f>
        <v>0830</v>
      </c>
      <c r="L243" s="6" t="str">
        <f t="shared" si="63"/>
        <v>Cozinha</v>
      </c>
      <c r="M243" s="6" t="str">
        <f>"50x70"</f>
        <v>50x70</v>
      </c>
      <c r="N243" s="6" t="str">
        <f>"5602972513974"</f>
        <v>5602972513974</v>
      </c>
      <c r="O243" s="8">
        <v>8</v>
      </c>
      <c r="P243" s="7">
        <v>46041</v>
      </c>
      <c r="R243" s="8">
        <v>0</v>
      </c>
      <c r="U243" s="8">
        <v>0</v>
      </c>
      <c r="X243" s="8">
        <v>0</v>
      </c>
      <c r="Z243" s="8">
        <v>0</v>
      </c>
      <c r="AC243" s="8">
        <v>8</v>
      </c>
      <c r="AE243" s="7">
        <v>46048</v>
      </c>
      <c r="AF243" s="8">
        <v>8</v>
      </c>
      <c r="AH243" s="7">
        <v>46041</v>
      </c>
      <c r="AN243" s="8">
        <v>8</v>
      </c>
      <c r="AO243" s="8">
        <v>0</v>
      </c>
    </row>
    <row r="244" spans="1:41" x14ac:dyDescent="0.25">
      <c r="A244" s="6" t="str">
        <f t="shared" si="60"/>
        <v>520-2026000043</v>
      </c>
      <c r="B244" s="6" t="str">
        <f t="shared" si="61"/>
        <v>ELSA MAR</v>
      </c>
      <c r="C244" s="7">
        <v>46041</v>
      </c>
      <c r="D244" s="7">
        <v>46041</v>
      </c>
      <c r="E244" s="8">
        <v>4</v>
      </c>
      <c r="F244" s="6" t="str">
        <f t="shared" si="62"/>
        <v>PEDIDO 13/01</v>
      </c>
      <c r="G244" s="6" t="str">
        <f>"C001233626000000"</f>
        <v>C001233626000000</v>
      </c>
      <c r="H244" s="6" t="str">
        <f>"CZJ 2336 - 260 g/m²"</f>
        <v>CZJ 2336 - 260 g/m²</v>
      </c>
      <c r="I244" s="6" t="str">
        <f>"201006"</f>
        <v>201006</v>
      </c>
      <c r="J244" s="6" t="str">
        <f>"VERDE 1006"</f>
        <v>VERDE 1006</v>
      </c>
      <c r="K244" s="6" t="str">
        <f>"0830"</f>
        <v>0830</v>
      </c>
      <c r="L244" s="6" t="str">
        <f t="shared" si="63"/>
        <v>Cozinha</v>
      </c>
      <c r="M244" s="6" t="str">
        <f>"50x70"</f>
        <v>50x70</v>
      </c>
      <c r="N244" s="6" t="str">
        <f>"5602972513967"</f>
        <v>5602972513967</v>
      </c>
      <c r="O244" s="8">
        <v>8</v>
      </c>
      <c r="P244" s="7">
        <v>46041</v>
      </c>
      <c r="R244" s="8">
        <v>0</v>
      </c>
      <c r="U244" s="8">
        <v>0</v>
      </c>
      <c r="X244" s="8">
        <v>0</v>
      </c>
      <c r="Z244" s="8">
        <v>0</v>
      </c>
      <c r="AC244" s="8">
        <v>8</v>
      </c>
      <c r="AE244" s="7">
        <v>46048</v>
      </c>
      <c r="AF244" s="8">
        <v>8</v>
      </c>
      <c r="AH244" s="7">
        <v>46041</v>
      </c>
      <c r="AN244" s="8">
        <v>8</v>
      </c>
      <c r="AO244" s="8">
        <v>0</v>
      </c>
    </row>
    <row r="245" spans="1:41" x14ac:dyDescent="0.25">
      <c r="A245" s="6" t="str">
        <f t="shared" si="60"/>
        <v>520-2026000043</v>
      </c>
      <c r="B245" s="6" t="str">
        <f t="shared" si="61"/>
        <v>ELSA MAR</v>
      </c>
      <c r="C245" s="7">
        <v>46041</v>
      </c>
      <c r="D245" s="7">
        <v>46041</v>
      </c>
      <c r="E245" s="8">
        <v>5</v>
      </c>
      <c r="F245" s="6" t="str">
        <f t="shared" si="62"/>
        <v>PEDIDO 13/01</v>
      </c>
      <c r="G245" s="6" t="str">
        <f>"C001234326000000"</f>
        <v>C001234326000000</v>
      </c>
      <c r="H245" s="6" t="str">
        <f>"CZJ 2343 - 260 g/m²"</f>
        <v>CZJ 2343 - 260 g/m²</v>
      </c>
      <c r="I245" s="6" t="str">
        <f>"200759"</f>
        <v>200759</v>
      </c>
      <c r="J245" s="6" t="str">
        <f>"TIJOLO 759"</f>
        <v>TIJOLO 759</v>
      </c>
      <c r="K245" s="6" t="str">
        <f>"0860"</f>
        <v>0860</v>
      </c>
      <c r="L245" s="6" t="str">
        <f t="shared" si="63"/>
        <v>Cozinha</v>
      </c>
      <c r="M245" s="6" t="str">
        <f>"70x50"</f>
        <v>70x50</v>
      </c>
      <c r="N245" s="6" t="str">
        <f>"5602972514414"</f>
        <v>5602972514414</v>
      </c>
      <c r="O245" s="8">
        <v>8</v>
      </c>
      <c r="P245" s="7">
        <v>46041</v>
      </c>
      <c r="R245" s="8">
        <v>0</v>
      </c>
      <c r="U245" s="8">
        <v>0</v>
      </c>
      <c r="X245" s="8">
        <v>0</v>
      </c>
      <c r="Z245" s="8">
        <v>0</v>
      </c>
      <c r="AC245" s="8">
        <v>8</v>
      </c>
      <c r="AE245" s="7">
        <v>46048</v>
      </c>
      <c r="AF245" s="8">
        <v>8</v>
      </c>
      <c r="AH245" s="7">
        <v>46041</v>
      </c>
      <c r="AN245" s="8">
        <v>8</v>
      </c>
      <c r="AO245" s="8">
        <v>0</v>
      </c>
    </row>
    <row r="246" spans="1:41" x14ac:dyDescent="0.25">
      <c r="A246" s="6" t="str">
        <f t="shared" si="60"/>
        <v>520-2026000043</v>
      </c>
      <c r="B246" s="6" t="str">
        <f t="shared" si="61"/>
        <v>ELSA MAR</v>
      </c>
      <c r="C246" s="7">
        <v>46041</v>
      </c>
      <c r="D246" s="7">
        <v>46041</v>
      </c>
      <c r="E246" s="8">
        <v>6</v>
      </c>
      <c r="F246" s="6" t="str">
        <f t="shared" si="62"/>
        <v>PEDIDO 13/01</v>
      </c>
      <c r="G246" s="6" t="str">
        <f>"C001234326000000"</f>
        <v>C001234326000000</v>
      </c>
      <c r="H246" s="6" t="str">
        <f>"CZJ 2343 - 260 g/m²"</f>
        <v>CZJ 2343 - 260 g/m²</v>
      </c>
      <c r="I246" s="6" t="str">
        <f>"201006"</f>
        <v>201006</v>
      </c>
      <c r="J246" s="6" t="str">
        <f>"VERDE 1006"</f>
        <v>VERDE 1006</v>
      </c>
      <c r="K246" s="6" t="str">
        <f>"0860"</f>
        <v>0860</v>
      </c>
      <c r="L246" s="6" t="str">
        <f t="shared" si="63"/>
        <v>Cozinha</v>
      </c>
      <c r="M246" s="6" t="str">
        <f>"70x50"</f>
        <v>70x50</v>
      </c>
      <c r="N246" s="6" t="str">
        <f>"5602972514421"</f>
        <v>5602972514421</v>
      </c>
      <c r="O246" s="8">
        <v>8</v>
      </c>
      <c r="P246" s="7">
        <v>46041</v>
      </c>
      <c r="R246" s="8">
        <v>0</v>
      </c>
      <c r="U246" s="8">
        <v>0</v>
      </c>
      <c r="X246" s="8">
        <v>0</v>
      </c>
      <c r="Z246" s="8">
        <v>0</v>
      </c>
      <c r="AC246" s="8">
        <v>8</v>
      </c>
      <c r="AE246" s="7">
        <v>46048</v>
      </c>
      <c r="AF246" s="8">
        <v>8</v>
      </c>
      <c r="AH246" s="7">
        <v>46041</v>
      </c>
      <c r="AN246" s="8">
        <v>8</v>
      </c>
      <c r="AO246" s="8">
        <v>0</v>
      </c>
    </row>
    <row r="247" spans="1:41" x14ac:dyDescent="0.25">
      <c r="A247" s="6" t="str">
        <f t="shared" si="60"/>
        <v>520-2026000043</v>
      </c>
      <c r="B247" s="6" t="str">
        <f t="shared" si="61"/>
        <v>ELSA MAR</v>
      </c>
      <c r="C247" s="7">
        <v>46041</v>
      </c>
      <c r="D247" s="7">
        <v>46041</v>
      </c>
      <c r="E247" s="8">
        <v>7</v>
      </c>
      <c r="F247" s="6" t="str">
        <f t="shared" si="62"/>
        <v>PEDIDO 13/01</v>
      </c>
      <c r="G247" s="6" t="str">
        <f>"C001240426000000"</f>
        <v>C001240426000000</v>
      </c>
      <c r="H247" s="6" t="str">
        <f>"CZJ 2404 - 260 g/m²"</f>
        <v>CZJ 2404 - 260 g/m²</v>
      </c>
      <c r="I247" s="6" t="str">
        <f>"204269"</f>
        <v>204269</v>
      </c>
      <c r="J247" s="6" t="str">
        <f>"AZUL 4269"</f>
        <v>AZUL 4269</v>
      </c>
      <c r="K247" s="6" t="str">
        <f t="shared" ref="K247:K252" si="64">"0830"</f>
        <v>0830</v>
      </c>
      <c r="L247" s="6" t="str">
        <f t="shared" si="63"/>
        <v>Cozinha</v>
      </c>
      <c r="M247" s="6" t="str">
        <f t="shared" ref="M247:M252" si="65">"50x70"</f>
        <v>50x70</v>
      </c>
      <c r="N247" s="6" t="str">
        <f>"5602972517552"</f>
        <v>5602972517552</v>
      </c>
      <c r="O247" s="8">
        <v>8</v>
      </c>
      <c r="P247" s="7">
        <v>46041</v>
      </c>
      <c r="R247" s="8">
        <v>0</v>
      </c>
      <c r="U247" s="8">
        <v>0</v>
      </c>
      <c r="X247" s="8">
        <v>0</v>
      </c>
      <c r="Z247" s="8">
        <v>0</v>
      </c>
      <c r="AC247" s="8">
        <v>8</v>
      </c>
      <c r="AE247" s="7">
        <v>46048</v>
      </c>
      <c r="AF247" s="8">
        <v>8</v>
      </c>
      <c r="AH247" s="7">
        <v>46041</v>
      </c>
      <c r="AN247" s="8">
        <v>8</v>
      </c>
      <c r="AO247" s="8">
        <v>0</v>
      </c>
    </row>
    <row r="248" spans="1:41" x14ac:dyDescent="0.25">
      <c r="A248" s="6" t="str">
        <f t="shared" si="60"/>
        <v>520-2026000043</v>
      </c>
      <c r="B248" s="6" t="str">
        <f t="shared" si="61"/>
        <v>ELSA MAR</v>
      </c>
      <c r="C248" s="7">
        <v>46041</v>
      </c>
      <c r="D248" s="7">
        <v>46041</v>
      </c>
      <c r="E248" s="8">
        <v>8</v>
      </c>
      <c r="F248" s="6" t="str">
        <f t="shared" si="62"/>
        <v>PEDIDO 13/01</v>
      </c>
      <c r="G248" s="6" t="str">
        <f>"C001240426000000"</f>
        <v>C001240426000000</v>
      </c>
      <c r="H248" s="6" t="str">
        <f>"CZJ 2404 - 260 g/m²"</f>
        <v>CZJ 2404 - 260 g/m²</v>
      </c>
      <c r="I248" s="6" t="str">
        <f>"203944"</f>
        <v>203944</v>
      </c>
      <c r="J248" s="6" t="str">
        <f>"CASTANHO 3944"</f>
        <v>CASTANHO 3944</v>
      </c>
      <c r="K248" s="6" t="str">
        <f t="shared" si="64"/>
        <v>0830</v>
      </c>
      <c r="L248" s="6" t="str">
        <f t="shared" si="63"/>
        <v>Cozinha</v>
      </c>
      <c r="M248" s="6" t="str">
        <f t="shared" si="65"/>
        <v>50x70</v>
      </c>
      <c r="N248" s="6" t="str">
        <f>"5602972517545"</f>
        <v>5602972517545</v>
      </c>
      <c r="O248" s="8">
        <v>8</v>
      </c>
      <c r="P248" s="7">
        <v>46041</v>
      </c>
      <c r="R248" s="8">
        <v>0</v>
      </c>
      <c r="U248" s="8">
        <v>0</v>
      </c>
      <c r="X248" s="8">
        <v>0</v>
      </c>
      <c r="Z248" s="8">
        <v>0</v>
      </c>
      <c r="AC248" s="8">
        <v>8</v>
      </c>
      <c r="AE248" s="7">
        <v>46048</v>
      </c>
      <c r="AF248" s="8">
        <v>8</v>
      </c>
      <c r="AH248" s="7">
        <v>46041</v>
      </c>
      <c r="AN248" s="8">
        <v>8</v>
      </c>
      <c r="AO248" s="8">
        <v>0</v>
      </c>
    </row>
    <row r="249" spans="1:41" x14ac:dyDescent="0.25">
      <c r="A249" s="6" t="str">
        <f t="shared" si="60"/>
        <v>520-2026000043</v>
      </c>
      <c r="B249" s="6" t="str">
        <f t="shared" si="61"/>
        <v>ELSA MAR</v>
      </c>
      <c r="C249" s="7">
        <v>46041</v>
      </c>
      <c r="D249" s="7">
        <v>46041</v>
      </c>
      <c r="E249" s="8">
        <v>9</v>
      </c>
      <c r="F249" s="6" t="str">
        <f t="shared" si="62"/>
        <v>PEDIDO 13/01</v>
      </c>
      <c r="G249" s="6" t="str">
        <f>"C001240426000000"</f>
        <v>C001240426000000</v>
      </c>
      <c r="H249" s="6" t="str">
        <f>"CZJ 2404 - 260 g/m²"</f>
        <v>CZJ 2404 - 260 g/m²</v>
      </c>
      <c r="I249" s="6" t="str">
        <f>"200393"</f>
        <v>200393</v>
      </c>
      <c r="J249" s="6" t="str">
        <f>"VERDE 393"</f>
        <v>VERDE 393</v>
      </c>
      <c r="K249" s="6" t="str">
        <f t="shared" si="64"/>
        <v>0830</v>
      </c>
      <c r="L249" s="6" t="str">
        <f t="shared" si="63"/>
        <v>Cozinha</v>
      </c>
      <c r="M249" s="6" t="str">
        <f t="shared" si="65"/>
        <v>50x70</v>
      </c>
      <c r="N249" s="6" t="str">
        <f>"5602972517538"</f>
        <v>5602972517538</v>
      </c>
      <c r="O249" s="8">
        <v>8</v>
      </c>
      <c r="P249" s="7">
        <v>46041</v>
      </c>
      <c r="R249" s="8">
        <v>0</v>
      </c>
      <c r="U249" s="8">
        <v>0</v>
      </c>
      <c r="X249" s="8">
        <v>0</v>
      </c>
      <c r="Z249" s="8">
        <v>0</v>
      </c>
      <c r="AC249" s="8">
        <v>8</v>
      </c>
      <c r="AE249" s="7">
        <v>46048</v>
      </c>
      <c r="AF249" s="8">
        <v>8</v>
      </c>
      <c r="AH249" s="7">
        <v>46041</v>
      </c>
      <c r="AN249" s="8">
        <v>8</v>
      </c>
      <c r="AO249" s="8">
        <v>0</v>
      </c>
    </row>
    <row r="250" spans="1:41" x14ac:dyDescent="0.25">
      <c r="A250" s="6" t="str">
        <f t="shared" si="60"/>
        <v>520-2026000043</v>
      </c>
      <c r="B250" s="6" t="str">
        <f t="shared" si="61"/>
        <v>ELSA MAR</v>
      </c>
      <c r="C250" s="7">
        <v>46041</v>
      </c>
      <c r="D250" s="7">
        <v>46041</v>
      </c>
      <c r="E250" s="8">
        <v>10</v>
      </c>
      <c r="F250" s="6" t="str">
        <f t="shared" si="62"/>
        <v>PEDIDO 13/01</v>
      </c>
      <c r="G250" s="6" t="str">
        <f>"C001242724500000"</f>
        <v>C001242724500000</v>
      </c>
      <c r="H250" s="6" t="str">
        <f>"CZJ 2427 - 245 g/m²"</f>
        <v>CZJ 2427 - 245 g/m²</v>
      </c>
      <c r="I250" s="6" t="str">
        <f>"201652"</f>
        <v>201652</v>
      </c>
      <c r="J250" s="6" t="str">
        <f>"MOSTARDA 1652"</f>
        <v>MOSTARDA 1652</v>
      </c>
      <c r="K250" s="6" t="str">
        <f t="shared" si="64"/>
        <v>0830</v>
      </c>
      <c r="L250" s="6" t="str">
        <f t="shared" si="63"/>
        <v>Cozinha</v>
      </c>
      <c r="M250" s="6" t="str">
        <f t="shared" si="65"/>
        <v>50x70</v>
      </c>
      <c r="N250" s="6" t="str">
        <f>"5602972517880"</f>
        <v>5602972517880</v>
      </c>
      <c r="O250" s="8">
        <v>8</v>
      </c>
      <c r="P250" s="7">
        <v>46041</v>
      </c>
      <c r="R250" s="8">
        <v>0</v>
      </c>
      <c r="U250" s="8">
        <v>0</v>
      </c>
      <c r="X250" s="8">
        <v>0</v>
      </c>
      <c r="Z250" s="8">
        <v>0</v>
      </c>
      <c r="AC250" s="8">
        <v>8</v>
      </c>
      <c r="AE250" s="7">
        <v>46048</v>
      </c>
      <c r="AF250" s="8">
        <v>8</v>
      </c>
      <c r="AH250" s="7">
        <v>46041</v>
      </c>
      <c r="AN250" s="8">
        <v>8</v>
      </c>
      <c r="AO250" s="8">
        <v>0</v>
      </c>
    </row>
    <row r="251" spans="1:41" x14ac:dyDescent="0.25">
      <c r="A251" s="6" t="str">
        <f t="shared" si="60"/>
        <v>520-2026000043</v>
      </c>
      <c r="B251" s="6" t="str">
        <f t="shared" si="61"/>
        <v>ELSA MAR</v>
      </c>
      <c r="C251" s="7">
        <v>46041</v>
      </c>
      <c r="D251" s="7">
        <v>46041</v>
      </c>
      <c r="E251" s="8">
        <v>11</v>
      </c>
      <c r="F251" s="6" t="str">
        <f t="shared" si="62"/>
        <v>PEDIDO 13/01</v>
      </c>
      <c r="G251" s="6" t="str">
        <f>"C001242724500000"</f>
        <v>C001242724500000</v>
      </c>
      <c r="H251" s="6" t="str">
        <f>"CZJ 2427 - 245 g/m²"</f>
        <v>CZJ 2427 - 245 g/m²</v>
      </c>
      <c r="I251" s="6" t="str">
        <f>"204042"</f>
        <v>204042</v>
      </c>
      <c r="J251" s="6" t="str">
        <f>"TIJOLO 4042"</f>
        <v>TIJOLO 4042</v>
      </c>
      <c r="K251" s="6" t="str">
        <f t="shared" si="64"/>
        <v>0830</v>
      </c>
      <c r="L251" s="6" t="str">
        <f t="shared" si="63"/>
        <v>Cozinha</v>
      </c>
      <c r="M251" s="6" t="str">
        <f t="shared" si="65"/>
        <v>50x70</v>
      </c>
      <c r="N251" s="6" t="str">
        <f>"5602972517910"</f>
        <v>5602972517910</v>
      </c>
      <c r="O251" s="8">
        <v>8</v>
      </c>
      <c r="P251" s="7">
        <v>46041</v>
      </c>
      <c r="R251" s="8">
        <v>0</v>
      </c>
      <c r="U251" s="8">
        <v>0</v>
      </c>
      <c r="X251" s="8">
        <v>0</v>
      </c>
      <c r="Z251" s="8">
        <v>0</v>
      </c>
      <c r="AC251" s="8">
        <v>8</v>
      </c>
      <c r="AE251" s="7">
        <v>46048</v>
      </c>
      <c r="AF251" s="8">
        <v>8</v>
      </c>
      <c r="AH251" s="7">
        <v>46041</v>
      </c>
      <c r="AN251" s="8">
        <v>8</v>
      </c>
      <c r="AO251" s="8">
        <v>0</v>
      </c>
    </row>
    <row r="252" spans="1:41" x14ac:dyDescent="0.25">
      <c r="A252" s="6" t="str">
        <f t="shared" si="60"/>
        <v>520-2026000043</v>
      </c>
      <c r="B252" s="6" t="str">
        <f t="shared" si="61"/>
        <v>ELSA MAR</v>
      </c>
      <c r="C252" s="7">
        <v>46041</v>
      </c>
      <c r="D252" s="7">
        <v>46041</v>
      </c>
      <c r="E252" s="8">
        <v>12</v>
      </c>
      <c r="F252" s="6" t="str">
        <f t="shared" si="62"/>
        <v>PEDIDO 13/01</v>
      </c>
      <c r="G252" s="6" t="str">
        <f>"C001242724500000"</f>
        <v>C001242724500000</v>
      </c>
      <c r="H252" s="6" t="str">
        <f>"CZJ 2427 - 245 g/m²"</f>
        <v>CZJ 2427 - 245 g/m²</v>
      </c>
      <c r="I252" s="6" t="str">
        <f>"201515"</f>
        <v>201515</v>
      </c>
      <c r="J252" s="6" t="str">
        <f>"VERDE 1515"</f>
        <v>VERDE 1515</v>
      </c>
      <c r="K252" s="6" t="str">
        <f t="shared" si="64"/>
        <v>0830</v>
      </c>
      <c r="L252" s="6" t="str">
        <f t="shared" si="63"/>
        <v>Cozinha</v>
      </c>
      <c r="M252" s="6" t="str">
        <f t="shared" si="65"/>
        <v>50x70</v>
      </c>
      <c r="N252" s="6" t="str">
        <f>"5602972517873"</f>
        <v>5602972517873</v>
      </c>
      <c r="O252" s="8">
        <v>8</v>
      </c>
      <c r="P252" s="7">
        <v>46041</v>
      </c>
      <c r="R252" s="8">
        <v>0</v>
      </c>
      <c r="U252" s="8">
        <v>0</v>
      </c>
      <c r="X252" s="8">
        <v>0</v>
      </c>
      <c r="Z252" s="8">
        <v>0</v>
      </c>
      <c r="AC252" s="8">
        <v>8</v>
      </c>
      <c r="AE252" s="7">
        <v>46048</v>
      </c>
      <c r="AF252" s="8">
        <v>8</v>
      </c>
      <c r="AH252" s="7">
        <v>46041</v>
      </c>
      <c r="AN252" s="8">
        <v>8</v>
      </c>
      <c r="AO252" s="8">
        <v>0</v>
      </c>
    </row>
    <row r="253" spans="1:41" x14ac:dyDescent="0.25">
      <c r="A253" s="6" t="str">
        <f t="shared" si="60"/>
        <v>520-2026000043</v>
      </c>
      <c r="B253" s="6" t="str">
        <f t="shared" si="61"/>
        <v>ELSA MAR</v>
      </c>
      <c r="C253" s="7">
        <v>46041</v>
      </c>
      <c r="D253" s="7">
        <v>46041</v>
      </c>
      <c r="E253" s="8">
        <v>13</v>
      </c>
      <c r="F253" s="6" t="str">
        <f t="shared" si="62"/>
        <v>PEDIDO 13/01</v>
      </c>
      <c r="G253" s="6" t="str">
        <f t="shared" ref="G253:G261" si="66">"F100021455000000"</f>
        <v>F100021455000000</v>
      </c>
      <c r="H253" s="6" t="str">
        <f t="shared" ref="H253:H261" si="67">"FA 214 - PURE - 550"</f>
        <v>FA 214 - PURE - 550</v>
      </c>
      <c r="I253" s="6" t="str">
        <f>"1670"</f>
        <v>1670</v>
      </c>
      <c r="J253" s="6" t="str">
        <f>"BEGE 1670"</f>
        <v>BEGE 1670</v>
      </c>
      <c r="K253" s="6" t="str">
        <f>"2020"</f>
        <v>2020</v>
      </c>
      <c r="L253" s="6" t="str">
        <f>"Lençóis"</f>
        <v>Lençóis</v>
      </c>
      <c r="M253" s="6" t="str">
        <f>"100x150"</f>
        <v>100x150</v>
      </c>
      <c r="N253" s="6" t="str">
        <f>"5602972836325"</f>
        <v>5602972836325</v>
      </c>
      <c r="O253" s="8">
        <v>6</v>
      </c>
      <c r="P253" s="7">
        <v>46041</v>
      </c>
      <c r="R253" s="8">
        <v>0</v>
      </c>
      <c r="U253" s="8">
        <v>0</v>
      </c>
      <c r="X253" s="8">
        <v>0</v>
      </c>
      <c r="Z253" s="8">
        <v>0</v>
      </c>
      <c r="AC253" s="8">
        <v>6</v>
      </c>
      <c r="AE253" s="7">
        <v>46048</v>
      </c>
      <c r="AF253" s="8">
        <v>6</v>
      </c>
      <c r="AH253" s="7">
        <v>46041</v>
      </c>
      <c r="AN253" s="8">
        <v>6</v>
      </c>
      <c r="AO253" s="8">
        <v>0</v>
      </c>
    </row>
    <row r="254" spans="1:41" x14ac:dyDescent="0.25">
      <c r="A254" s="6" t="str">
        <f t="shared" si="60"/>
        <v>520-2026000043</v>
      </c>
      <c r="B254" s="6" t="str">
        <f t="shared" si="61"/>
        <v>ELSA MAR</v>
      </c>
      <c r="C254" s="7">
        <v>46041</v>
      </c>
      <c r="D254" s="7">
        <v>46041</v>
      </c>
      <c r="E254" s="8">
        <v>14</v>
      </c>
      <c r="F254" s="6" t="str">
        <f t="shared" si="62"/>
        <v>PEDIDO 13/01</v>
      </c>
      <c r="G254" s="6" t="str">
        <f t="shared" si="66"/>
        <v>F100021455000000</v>
      </c>
      <c r="H254" s="6" t="str">
        <f t="shared" si="67"/>
        <v>FA 214 - PURE - 550</v>
      </c>
      <c r="I254" s="6" t="str">
        <f>"1"</f>
        <v>1</v>
      </c>
      <c r="J254" s="6" t="str">
        <f>"BRANCO"</f>
        <v>BRANCO</v>
      </c>
      <c r="K254" s="6" t="str">
        <f>"2020"</f>
        <v>2020</v>
      </c>
      <c r="L254" s="6" t="str">
        <f>"Lençóis"</f>
        <v>Lençóis</v>
      </c>
      <c r="M254" s="6" t="str">
        <f>"100x150"</f>
        <v>100x150</v>
      </c>
      <c r="N254" s="6" t="str">
        <f>"5602972836271"</f>
        <v>5602972836271</v>
      </c>
      <c r="O254" s="8">
        <v>6</v>
      </c>
      <c r="P254" s="7">
        <v>46041</v>
      </c>
      <c r="R254" s="8">
        <v>0</v>
      </c>
      <c r="U254" s="8">
        <v>0</v>
      </c>
      <c r="X254" s="8">
        <v>0</v>
      </c>
      <c r="Z254" s="8">
        <v>0</v>
      </c>
      <c r="AC254" s="8">
        <v>6</v>
      </c>
      <c r="AE254" s="7">
        <v>46048</v>
      </c>
      <c r="AF254" s="8">
        <v>6</v>
      </c>
      <c r="AH254" s="7">
        <v>46041</v>
      </c>
      <c r="AN254" s="8">
        <v>6</v>
      </c>
      <c r="AO254" s="8">
        <v>0</v>
      </c>
    </row>
    <row r="255" spans="1:41" x14ac:dyDescent="0.25">
      <c r="A255" s="6" t="str">
        <f t="shared" si="60"/>
        <v>520-2026000043</v>
      </c>
      <c r="B255" s="6" t="str">
        <f t="shared" si="61"/>
        <v>ELSA MAR</v>
      </c>
      <c r="C255" s="7">
        <v>46041</v>
      </c>
      <c r="D255" s="7">
        <v>46041</v>
      </c>
      <c r="E255" s="8">
        <v>15</v>
      </c>
      <c r="F255" s="6" t="str">
        <f t="shared" si="62"/>
        <v>PEDIDO 13/01</v>
      </c>
      <c r="G255" s="6" t="str">
        <f t="shared" si="66"/>
        <v>F100021455000000</v>
      </c>
      <c r="H255" s="6" t="str">
        <f t="shared" si="67"/>
        <v>FA 214 - PURE - 550</v>
      </c>
      <c r="I255" s="6" t="str">
        <f>"3234"</f>
        <v>3234</v>
      </c>
      <c r="J255" s="6" t="str">
        <f>"CASTANHO 3234"</f>
        <v>CASTANHO 3234</v>
      </c>
      <c r="K255" s="6" t="str">
        <f>"2020"</f>
        <v>2020</v>
      </c>
      <c r="L255" s="6" t="str">
        <f>"Lençóis"</f>
        <v>Lençóis</v>
      </c>
      <c r="M255" s="6" t="str">
        <f>"100x150"</f>
        <v>100x150</v>
      </c>
      <c r="N255" s="6" t="str">
        <f>"5602972895261"</f>
        <v>5602972895261</v>
      </c>
      <c r="O255" s="8">
        <v>6</v>
      </c>
      <c r="P255" s="7">
        <v>46041</v>
      </c>
      <c r="R255" s="8">
        <v>0</v>
      </c>
      <c r="U255" s="8">
        <v>0</v>
      </c>
      <c r="X255" s="8">
        <v>0</v>
      </c>
      <c r="Z255" s="8">
        <v>0</v>
      </c>
      <c r="AC255" s="8">
        <v>6</v>
      </c>
      <c r="AE255" s="7">
        <v>46048</v>
      </c>
      <c r="AF255" s="8">
        <v>6</v>
      </c>
      <c r="AH255" s="7">
        <v>46041</v>
      </c>
      <c r="AN255" s="8">
        <v>6</v>
      </c>
      <c r="AO255" s="8">
        <v>0</v>
      </c>
    </row>
    <row r="256" spans="1:41" x14ac:dyDescent="0.25">
      <c r="A256" s="6" t="str">
        <f t="shared" si="60"/>
        <v>520-2026000043</v>
      </c>
      <c r="B256" s="6" t="str">
        <f t="shared" si="61"/>
        <v>ELSA MAR</v>
      </c>
      <c r="C256" s="7">
        <v>46041</v>
      </c>
      <c r="D256" s="7">
        <v>46041</v>
      </c>
      <c r="E256" s="8">
        <v>16</v>
      </c>
      <c r="F256" s="6" t="str">
        <f t="shared" si="62"/>
        <v>PEDIDO 13/01</v>
      </c>
      <c r="G256" s="6" t="str">
        <f t="shared" si="66"/>
        <v>F100021455000000</v>
      </c>
      <c r="H256" s="6" t="str">
        <f t="shared" si="67"/>
        <v>FA 214 - PURE - 550</v>
      </c>
      <c r="I256" s="6" t="str">
        <f>"2610"</f>
        <v>2610</v>
      </c>
      <c r="J256" s="6" t="str">
        <f>"BEGE 2610"</f>
        <v>BEGE 2610</v>
      </c>
      <c r="K256" s="6" t="str">
        <f>"0112"</f>
        <v>0112</v>
      </c>
      <c r="L256" s="6" t="str">
        <f>"Luvas"</f>
        <v>Luvas</v>
      </c>
      <c r="M256" s="6" t="str">
        <f>"16x21"</f>
        <v>16x21</v>
      </c>
      <c r="N256" s="6" t="str">
        <f>"5602972836332"</f>
        <v>5602972836332</v>
      </c>
      <c r="O256" s="8">
        <v>6</v>
      </c>
      <c r="P256" s="7">
        <v>46041</v>
      </c>
      <c r="R256" s="8">
        <v>0</v>
      </c>
      <c r="U256" s="8">
        <v>0</v>
      </c>
      <c r="X256" s="8">
        <v>0</v>
      </c>
      <c r="Z256" s="8">
        <v>0</v>
      </c>
      <c r="AC256" s="8">
        <v>6</v>
      </c>
      <c r="AE256" s="7">
        <v>46048</v>
      </c>
      <c r="AF256" s="8">
        <v>6</v>
      </c>
      <c r="AH256" s="7">
        <v>46041</v>
      </c>
      <c r="AN256" s="8">
        <v>6</v>
      </c>
      <c r="AO256" s="8">
        <v>0</v>
      </c>
    </row>
    <row r="257" spans="1:41" x14ac:dyDescent="0.25">
      <c r="A257" s="6" t="str">
        <f t="shared" si="60"/>
        <v>520-2026000043</v>
      </c>
      <c r="B257" s="6" t="str">
        <f t="shared" si="61"/>
        <v>ELSA MAR</v>
      </c>
      <c r="C257" s="7">
        <v>46041</v>
      </c>
      <c r="D257" s="7">
        <v>46041</v>
      </c>
      <c r="E257" s="8">
        <v>17</v>
      </c>
      <c r="F257" s="6" t="str">
        <f t="shared" si="62"/>
        <v>PEDIDO 13/01</v>
      </c>
      <c r="G257" s="6" t="str">
        <f t="shared" si="66"/>
        <v>F100021455000000</v>
      </c>
      <c r="H257" s="6" t="str">
        <f t="shared" si="67"/>
        <v>FA 214 - PURE - 550</v>
      </c>
      <c r="I257" s="6" t="str">
        <f>"1"</f>
        <v>1</v>
      </c>
      <c r="J257" s="6" t="str">
        <f>"BRANCO"</f>
        <v>BRANCO</v>
      </c>
      <c r="K257" s="6" t="str">
        <f>"0112"</f>
        <v>0112</v>
      </c>
      <c r="L257" s="6" t="str">
        <f>"Luvas"</f>
        <v>Luvas</v>
      </c>
      <c r="M257" s="6" t="str">
        <f>"16x21"</f>
        <v>16x21</v>
      </c>
      <c r="N257" s="6" t="str">
        <f>"5602972836233"</f>
        <v>5602972836233</v>
      </c>
      <c r="O257" s="8">
        <v>6</v>
      </c>
      <c r="P257" s="7">
        <v>46041</v>
      </c>
      <c r="R257" s="8">
        <v>0</v>
      </c>
      <c r="U257" s="8">
        <v>0</v>
      </c>
      <c r="X257" s="8">
        <v>0</v>
      </c>
      <c r="Z257" s="8">
        <v>0</v>
      </c>
      <c r="AC257" s="8">
        <v>6</v>
      </c>
      <c r="AE257" s="7">
        <v>46048</v>
      </c>
      <c r="AF257" s="8">
        <v>6</v>
      </c>
      <c r="AH257" s="7">
        <v>46041</v>
      </c>
      <c r="AN257" s="8">
        <v>6</v>
      </c>
      <c r="AO257" s="8">
        <v>0</v>
      </c>
    </row>
    <row r="258" spans="1:41" x14ac:dyDescent="0.25">
      <c r="A258" s="6" t="str">
        <f t="shared" si="60"/>
        <v>520-2026000043</v>
      </c>
      <c r="B258" s="6" t="str">
        <f t="shared" si="61"/>
        <v>ELSA MAR</v>
      </c>
      <c r="C258" s="7">
        <v>46041</v>
      </c>
      <c r="D258" s="7">
        <v>46041</v>
      </c>
      <c r="E258" s="8">
        <v>18</v>
      </c>
      <c r="F258" s="6" t="str">
        <f t="shared" si="62"/>
        <v>PEDIDO 13/01</v>
      </c>
      <c r="G258" s="6" t="str">
        <f t="shared" si="66"/>
        <v>F100021455000000</v>
      </c>
      <c r="H258" s="6" t="str">
        <f t="shared" si="67"/>
        <v>FA 214 - PURE - 550</v>
      </c>
      <c r="I258" s="6" t="str">
        <f>"3073"</f>
        <v>3073</v>
      </c>
      <c r="J258" s="6" t="str">
        <f>"CINZA 3073"</f>
        <v>CINZA 3073</v>
      </c>
      <c r="K258" s="6" t="str">
        <f>"0112"</f>
        <v>0112</v>
      </c>
      <c r="L258" s="6" t="str">
        <f>"Luvas"</f>
        <v>Luvas</v>
      </c>
      <c r="M258" s="6" t="str">
        <f>"16x21"</f>
        <v>16x21</v>
      </c>
      <c r="N258" s="6" t="str">
        <f>"5602972877878"</f>
        <v>5602972877878</v>
      </c>
      <c r="O258" s="8">
        <v>6</v>
      </c>
      <c r="P258" s="7">
        <v>46041</v>
      </c>
      <c r="R258" s="8">
        <v>0</v>
      </c>
      <c r="U258" s="8">
        <v>0</v>
      </c>
      <c r="X258" s="8">
        <v>0</v>
      </c>
      <c r="Z258" s="8">
        <v>0</v>
      </c>
      <c r="AC258" s="8">
        <v>6</v>
      </c>
      <c r="AE258" s="7">
        <v>46048</v>
      </c>
      <c r="AF258" s="8">
        <v>6</v>
      </c>
      <c r="AH258" s="7">
        <v>46041</v>
      </c>
      <c r="AN258" s="8">
        <v>6</v>
      </c>
      <c r="AO258" s="8">
        <v>0</v>
      </c>
    </row>
    <row r="259" spans="1:41" x14ac:dyDescent="0.25">
      <c r="A259" s="6" t="str">
        <f t="shared" si="60"/>
        <v>520-2026000043</v>
      </c>
      <c r="B259" s="6" t="str">
        <f t="shared" si="61"/>
        <v>ELSA MAR</v>
      </c>
      <c r="C259" s="7">
        <v>46041</v>
      </c>
      <c r="D259" s="7">
        <v>46041</v>
      </c>
      <c r="E259" s="8">
        <v>19</v>
      </c>
      <c r="F259" s="6" t="str">
        <f t="shared" si="62"/>
        <v>PEDIDO 13/01</v>
      </c>
      <c r="G259" s="6" t="str">
        <f t="shared" si="66"/>
        <v>F100021455000000</v>
      </c>
      <c r="H259" s="6" t="str">
        <f t="shared" si="67"/>
        <v>FA 214 - PURE - 550</v>
      </c>
      <c r="I259" s="6" t="str">
        <f>"1670"</f>
        <v>1670</v>
      </c>
      <c r="J259" s="6" t="str">
        <f>"BEGE 1670"</f>
        <v>BEGE 1670</v>
      </c>
      <c r="K259" s="6" t="str">
        <f>"1024"</f>
        <v>1024</v>
      </c>
      <c r="L259" s="6" t="str">
        <f>"Toalhas"</f>
        <v>Toalhas</v>
      </c>
      <c r="M259" s="6" t="str">
        <f>"50x100"</f>
        <v>50x100</v>
      </c>
      <c r="N259" s="6" t="str">
        <f>"5602972836301"</f>
        <v>5602972836301</v>
      </c>
      <c r="O259" s="8">
        <v>6</v>
      </c>
      <c r="P259" s="7">
        <v>46041</v>
      </c>
      <c r="R259" s="8">
        <v>0</v>
      </c>
      <c r="U259" s="8">
        <v>0</v>
      </c>
      <c r="X259" s="8">
        <v>0</v>
      </c>
      <c r="Z259" s="8">
        <v>0</v>
      </c>
      <c r="AC259" s="8">
        <v>6</v>
      </c>
      <c r="AE259" s="7">
        <v>46048</v>
      </c>
      <c r="AF259" s="8">
        <v>6</v>
      </c>
      <c r="AH259" s="7">
        <v>46041</v>
      </c>
      <c r="AN259" s="8">
        <v>6</v>
      </c>
      <c r="AO259" s="8">
        <v>0</v>
      </c>
    </row>
    <row r="260" spans="1:41" x14ac:dyDescent="0.25">
      <c r="A260" s="6" t="str">
        <f t="shared" si="60"/>
        <v>520-2026000043</v>
      </c>
      <c r="B260" s="6" t="str">
        <f t="shared" si="61"/>
        <v>ELSA MAR</v>
      </c>
      <c r="C260" s="7">
        <v>46041</v>
      </c>
      <c r="D260" s="7">
        <v>46041</v>
      </c>
      <c r="E260" s="8">
        <v>20</v>
      </c>
      <c r="F260" s="6" t="str">
        <f t="shared" si="62"/>
        <v>PEDIDO 13/01</v>
      </c>
      <c r="G260" s="6" t="str">
        <f t="shared" si="66"/>
        <v>F100021455000000</v>
      </c>
      <c r="H260" s="6" t="str">
        <f t="shared" si="67"/>
        <v>FA 214 - PURE - 550</v>
      </c>
      <c r="I260" s="6" t="str">
        <f>"1"</f>
        <v>1</v>
      </c>
      <c r="J260" s="6" t="str">
        <f>"BRANCO"</f>
        <v>BRANCO</v>
      </c>
      <c r="K260" s="6" t="str">
        <f>"1024"</f>
        <v>1024</v>
      </c>
      <c r="L260" s="6" t="str">
        <f>"Toalhas"</f>
        <v>Toalhas</v>
      </c>
      <c r="M260" s="6" t="str">
        <f>"50x100"</f>
        <v>50x100</v>
      </c>
      <c r="N260" s="6" t="str">
        <f>"5602972836257"</f>
        <v>5602972836257</v>
      </c>
      <c r="O260" s="8">
        <v>6</v>
      </c>
      <c r="P260" s="7">
        <v>46041</v>
      </c>
      <c r="R260" s="8">
        <v>0</v>
      </c>
      <c r="U260" s="8">
        <v>0</v>
      </c>
      <c r="X260" s="8">
        <v>0</v>
      </c>
      <c r="Z260" s="8">
        <v>0</v>
      </c>
      <c r="AC260" s="8">
        <v>6</v>
      </c>
      <c r="AE260" s="7">
        <v>46048</v>
      </c>
      <c r="AF260" s="8">
        <v>6</v>
      </c>
      <c r="AH260" s="7">
        <v>46041</v>
      </c>
      <c r="AN260" s="8">
        <v>6</v>
      </c>
      <c r="AO260" s="8">
        <v>0</v>
      </c>
    </row>
    <row r="261" spans="1:41" x14ac:dyDescent="0.25">
      <c r="A261" s="6" t="str">
        <f t="shared" si="60"/>
        <v>520-2026000043</v>
      </c>
      <c r="B261" s="6" t="str">
        <f t="shared" si="61"/>
        <v>ELSA MAR</v>
      </c>
      <c r="C261" s="7">
        <v>46041</v>
      </c>
      <c r="D261" s="7">
        <v>46041</v>
      </c>
      <c r="E261" s="8">
        <v>21</v>
      </c>
      <c r="F261" s="6" t="str">
        <f t="shared" si="62"/>
        <v>PEDIDO 13/01</v>
      </c>
      <c r="G261" s="6" t="str">
        <f t="shared" si="66"/>
        <v>F100021455000000</v>
      </c>
      <c r="H261" s="6" t="str">
        <f t="shared" si="67"/>
        <v>FA 214 - PURE - 550</v>
      </c>
      <c r="I261" s="6" t="str">
        <f>"3234"</f>
        <v>3234</v>
      </c>
      <c r="J261" s="6" t="str">
        <f>"CASTANHO 3234"</f>
        <v>CASTANHO 3234</v>
      </c>
      <c r="K261" s="6" t="str">
        <f>"1024"</f>
        <v>1024</v>
      </c>
      <c r="L261" s="6" t="str">
        <f>"Toalhas"</f>
        <v>Toalhas</v>
      </c>
      <c r="M261" s="6" t="str">
        <f>"50x100"</f>
        <v>50x100</v>
      </c>
      <c r="N261" s="6" t="str">
        <f>"5602972895247"</f>
        <v>5602972895247</v>
      </c>
      <c r="O261" s="8">
        <v>6</v>
      </c>
      <c r="P261" s="7">
        <v>46041</v>
      </c>
      <c r="R261" s="8">
        <v>0</v>
      </c>
      <c r="U261" s="8">
        <v>0</v>
      </c>
      <c r="X261" s="8">
        <v>0</v>
      </c>
      <c r="Z261" s="8">
        <v>0</v>
      </c>
      <c r="AC261" s="8">
        <v>6</v>
      </c>
      <c r="AE261" s="7">
        <v>46048</v>
      </c>
      <c r="AF261" s="8">
        <v>6</v>
      </c>
      <c r="AH261" s="7">
        <v>46041</v>
      </c>
      <c r="AN261" s="8">
        <v>6</v>
      </c>
      <c r="AO261" s="8">
        <v>0</v>
      </c>
    </row>
    <row r="262" spans="1:41" x14ac:dyDescent="0.25">
      <c r="A262" s="6" t="str">
        <f t="shared" si="60"/>
        <v>520-2026000043</v>
      </c>
      <c r="B262" s="6" t="str">
        <f t="shared" si="61"/>
        <v>ELSA MAR</v>
      </c>
      <c r="C262" s="7">
        <v>46041</v>
      </c>
      <c r="D262" s="7">
        <v>46041</v>
      </c>
      <c r="E262" s="8">
        <v>22</v>
      </c>
      <c r="F262" s="6" t="str">
        <f t="shared" si="62"/>
        <v>PEDIDO 13/01</v>
      </c>
      <c r="G262" s="6" t="str">
        <f>"F300371144000000"</f>
        <v>F300371144000000</v>
      </c>
      <c r="H262" s="6" t="str">
        <f>"PLR 3711 - 440 g/m²"</f>
        <v>PLR 3711 - 440 g/m²</v>
      </c>
      <c r="I262" s="6" t="str">
        <f>"201860"</f>
        <v>201860</v>
      </c>
      <c r="J262" s="6" t="str">
        <f>"SALMÃO 1860"</f>
        <v>SALMÃO 1860</v>
      </c>
      <c r="K262" s="6" t="str">
        <f t="shared" ref="K262:K277" si="68">"0820"</f>
        <v>0820</v>
      </c>
      <c r="L262" s="6" t="str">
        <f t="shared" ref="L262:L277" si="69">"Cozinha"</f>
        <v>Cozinha</v>
      </c>
      <c r="M262" s="6" t="str">
        <f t="shared" ref="M262:M277" si="70">"50x50"</f>
        <v>50x50</v>
      </c>
      <c r="N262" s="6" t="str">
        <f>"5602972514391"</f>
        <v>5602972514391</v>
      </c>
      <c r="O262" s="8">
        <v>8</v>
      </c>
      <c r="P262" s="7">
        <v>46041</v>
      </c>
      <c r="R262" s="8">
        <v>0</v>
      </c>
      <c r="U262" s="8">
        <v>0</v>
      </c>
      <c r="X262" s="8">
        <v>0</v>
      </c>
      <c r="Z262" s="8">
        <v>0</v>
      </c>
      <c r="AC262" s="8">
        <v>8</v>
      </c>
      <c r="AE262" s="7">
        <v>46048</v>
      </c>
      <c r="AF262" s="8">
        <v>8</v>
      </c>
      <c r="AH262" s="7">
        <v>46041</v>
      </c>
      <c r="AN262" s="8">
        <v>8</v>
      </c>
      <c r="AO262" s="8">
        <v>0</v>
      </c>
    </row>
    <row r="263" spans="1:41" x14ac:dyDescent="0.25">
      <c r="A263" s="6" t="str">
        <f t="shared" si="60"/>
        <v>520-2026000043</v>
      </c>
      <c r="B263" s="6" t="str">
        <f t="shared" si="61"/>
        <v>ELSA MAR</v>
      </c>
      <c r="C263" s="7">
        <v>46041</v>
      </c>
      <c r="D263" s="7">
        <v>46041</v>
      </c>
      <c r="E263" s="8">
        <v>23</v>
      </c>
      <c r="F263" s="6" t="str">
        <f t="shared" si="62"/>
        <v>PEDIDO 13/01</v>
      </c>
      <c r="G263" s="6" t="str">
        <f>"F300371144000000"</f>
        <v>F300371144000000</v>
      </c>
      <c r="H263" s="6" t="str">
        <f>"PLR 3711 - 440 g/m²"</f>
        <v>PLR 3711 - 440 g/m²</v>
      </c>
      <c r="I263" s="6" t="str">
        <f>"202606"</f>
        <v>202606</v>
      </c>
      <c r="J263" s="6" t="str">
        <f>"VERDE 2606"</f>
        <v>VERDE 2606</v>
      </c>
      <c r="K263" s="6" t="str">
        <f t="shared" si="68"/>
        <v>0820</v>
      </c>
      <c r="L263" s="6" t="str">
        <f t="shared" si="69"/>
        <v>Cozinha</v>
      </c>
      <c r="M263" s="6" t="str">
        <f t="shared" si="70"/>
        <v>50x50</v>
      </c>
      <c r="N263" s="6" t="str">
        <f>"5602972514407"</f>
        <v>5602972514407</v>
      </c>
      <c r="O263" s="8">
        <v>8</v>
      </c>
      <c r="P263" s="7">
        <v>46041</v>
      </c>
      <c r="R263" s="8">
        <v>0</v>
      </c>
      <c r="U263" s="8">
        <v>0</v>
      </c>
      <c r="X263" s="8">
        <v>0</v>
      </c>
      <c r="Z263" s="8">
        <v>0</v>
      </c>
      <c r="AC263" s="8">
        <v>8</v>
      </c>
      <c r="AE263" s="7">
        <v>46048</v>
      </c>
      <c r="AF263" s="8">
        <v>8</v>
      </c>
      <c r="AH263" s="7">
        <v>46041</v>
      </c>
      <c r="AN263" s="8">
        <v>8</v>
      </c>
      <c r="AO263" s="8">
        <v>0</v>
      </c>
    </row>
    <row r="264" spans="1:41" x14ac:dyDescent="0.25">
      <c r="A264" s="6" t="str">
        <f t="shared" si="60"/>
        <v>520-2026000043</v>
      </c>
      <c r="B264" s="6" t="str">
        <f t="shared" si="61"/>
        <v>ELSA MAR</v>
      </c>
      <c r="C264" s="7">
        <v>46041</v>
      </c>
      <c r="D264" s="7">
        <v>46041</v>
      </c>
      <c r="E264" s="8">
        <v>24</v>
      </c>
      <c r="F264" s="6" t="str">
        <f t="shared" si="62"/>
        <v>PEDIDO 13/01</v>
      </c>
      <c r="G264" s="6" t="str">
        <f t="shared" ref="G264:G269" si="71">"F300374044000000"</f>
        <v>F300374044000000</v>
      </c>
      <c r="H264" s="6" t="str">
        <f t="shared" ref="H264:H269" si="72">"PLR 3740 - 440 g/m²"</f>
        <v>PLR 3740 - 440 g/m²</v>
      </c>
      <c r="I264" s="6" t="str">
        <f>"203922"</f>
        <v>203922</v>
      </c>
      <c r="J264" s="6" t="str">
        <f>"AZUL 3922"</f>
        <v>AZUL 3922</v>
      </c>
      <c r="K264" s="6" t="str">
        <f t="shared" si="68"/>
        <v>0820</v>
      </c>
      <c r="L264" s="6" t="str">
        <f t="shared" si="69"/>
        <v>Cozinha</v>
      </c>
      <c r="M264" s="6" t="str">
        <f t="shared" si="70"/>
        <v>50x50</v>
      </c>
      <c r="N264" s="6" t="str">
        <f>"5602972517835"</f>
        <v>5602972517835</v>
      </c>
      <c r="O264" s="8">
        <v>8</v>
      </c>
      <c r="P264" s="7">
        <v>46041</v>
      </c>
      <c r="R264" s="8">
        <v>0</v>
      </c>
      <c r="U264" s="8">
        <v>0</v>
      </c>
      <c r="X264" s="8">
        <v>0</v>
      </c>
      <c r="Z264" s="8">
        <v>0</v>
      </c>
      <c r="AC264" s="8">
        <v>8</v>
      </c>
      <c r="AE264" s="7">
        <v>46048</v>
      </c>
      <c r="AF264" s="8">
        <v>8</v>
      </c>
      <c r="AH264" s="7">
        <v>46041</v>
      </c>
      <c r="AN264" s="8">
        <v>8</v>
      </c>
      <c r="AO264" s="8">
        <v>0</v>
      </c>
    </row>
    <row r="265" spans="1:41" x14ac:dyDescent="0.25">
      <c r="A265" s="6" t="str">
        <f t="shared" si="60"/>
        <v>520-2026000043</v>
      </c>
      <c r="B265" s="6" t="str">
        <f t="shared" si="61"/>
        <v>ELSA MAR</v>
      </c>
      <c r="C265" s="7">
        <v>46041</v>
      </c>
      <c r="D265" s="7">
        <v>46041</v>
      </c>
      <c r="E265" s="8">
        <v>25</v>
      </c>
      <c r="F265" s="6" t="str">
        <f t="shared" si="62"/>
        <v>PEDIDO 13/01</v>
      </c>
      <c r="G265" s="6" t="str">
        <f t="shared" si="71"/>
        <v>F300374044000000</v>
      </c>
      <c r="H265" s="6" t="str">
        <f t="shared" si="72"/>
        <v>PLR 3740 - 440 g/m²</v>
      </c>
      <c r="I265" s="6" t="str">
        <f>"204243"</f>
        <v>204243</v>
      </c>
      <c r="J265" s="6" t="str">
        <f>"BEGE 4243"</f>
        <v>BEGE 4243</v>
      </c>
      <c r="K265" s="6" t="str">
        <f t="shared" si="68"/>
        <v>0820</v>
      </c>
      <c r="L265" s="6" t="str">
        <f t="shared" si="69"/>
        <v>Cozinha</v>
      </c>
      <c r="M265" s="6" t="str">
        <f t="shared" si="70"/>
        <v>50x50</v>
      </c>
      <c r="N265" s="6" t="str">
        <f>"5602972517859"</f>
        <v>5602972517859</v>
      </c>
      <c r="O265" s="8">
        <v>8</v>
      </c>
      <c r="P265" s="7">
        <v>46041</v>
      </c>
      <c r="R265" s="8">
        <v>0</v>
      </c>
      <c r="U265" s="8">
        <v>0</v>
      </c>
      <c r="X265" s="8">
        <v>0</v>
      </c>
      <c r="Z265" s="8">
        <v>0</v>
      </c>
      <c r="AC265" s="8">
        <v>8</v>
      </c>
      <c r="AE265" s="7">
        <v>46048</v>
      </c>
      <c r="AF265" s="8">
        <v>8</v>
      </c>
      <c r="AH265" s="7">
        <v>46041</v>
      </c>
      <c r="AN265" s="8">
        <v>8</v>
      </c>
      <c r="AO265" s="8">
        <v>0</v>
      </c>
    </row>
    <row r="266" spans="1:41" x14ac:dyDescent="0.25">
      <c r="A266" s="6" t="str">
        <f t="shared" si="60"/>
        <v>520-2026000043</v>
      </c>
      <c r="B266" s="6" t="str">
        <f t="shared" si="61"/>
        <v>ELSA MAR</v>
      </c>
      <c r="C266" s="7">
        <v>46041</v>
      </c>
      <c r="D266" s="7">
        <v>46041</v>
      </c>
      <c r="E266" s="8">
        <v>26</v>
      </c>
      <c r="F266" s="6" t="str">
        <f t="shared" si="62"/>
        <v>PEDIDO 13/01</v>
      </c>
      <c r="G266" s="6" t="str">
        <f t="shared" si="71"/>
        <v>F300374044000000</v>
      </c>
      <c r="H266" s="6" t="str">
        <f t="shared" si="72"/>
        <v>PLR 3740 - 440 g/m²</v>
      </c>
      <c r="I266" s="6" t="str">
        <f>"202332"</f>
        <v>202332</v>
      </c>
      <c r="J266" s="6" t="str">
        <f>"CINZA 2332"</f>
        <v>CINZA 2332</v>
      </c>
      <c r="K266" s="6" t="str">
        <f t="shared" si="68"/>
        <v>0820</v>
      </c>
      <c r="L266" s="6" t="str">
        <f t="shared" si="69"/>
        <v>Cozinha</v>
      </c>
      <c r="M266" s="6" t="str">
        <f t="shared" si="70"/>
        <v>50x50</v>
      </c>
      <c r="N266" s="6" t="str">
        <f>"5602972517828"</f>
        <v>5602972517828</v>
      </c>
      <c r="O266" s="8">
        <v>8</v>
      </c>
      <c r="P266" s="7">
        <v>46041</v>
      </c>
      <c r="R266" s="8">
        <v>0</v>
      </c>
      <c r="U266" s="8">
        <v>0</v>
      </c>
      <c r="X266" s="8">
        <v>0</v>
      </c>
      <c r="Z266" s="8">
        <v>0</v>
      </c>
      <c r="AC266" s="8">
        <v>8</v>
      </c>
      <c r="AE266" s="7">
        <v>46048</v>
      </c>
      <c r="AF266" s="8">
        <v>8</v>
      </c>
      <c r="AH266" s="7">
        <v>46041</v>
      </c>
      <c r="AN266" s="8">
        <v>8</v>
      </c>
      <c r="AO266" s="8">
        <v>0</v>
      </c>
    </row>
    <row r="267" spans="1:41" x14ac:dyDescent="0.25">
      <c r="A267" s="6" t="str">
        <f t="shared" si="60"/>
        <v>520-2026000043</v>
      </c>
      <c r="B267" s="6" t="str">
        <f t="shared" si="61"/>
        <v>ELSA MAR</v>
      </c>
      <c r="C267" s="7">
        <v>46041</v>
      </c>
      <c r="D267" s="7">
        <v>46041</v>
      </c>
      <c r="E267" s="8">
        <v>27</v>
      </c>
      <c r="F267" s="6" t="str">
        <f t="shared" si="62"/>
        <v>PEDIDO 13/01</v>
      </c>
      <c r="G267" s="6" t="str">
        <f t="shared" si="71"/>
        <v>F300374044000000</v>
      </c>
      <c r="H267" s="6" t="str">
        <f t="shared" si="72"/>
        <v>PLR 3740 - 440 g/m²</v>
      </c>
      <c r="I267" s="6" t="str">
        <f>"204042"</f>
        <v>204042</v>
      </c>
      <c r="J267" s="6" t="str">
        <f>"TIJOLO 4042"</f>
        <v>TIJOLO 4042</v>
      </c>
      <c r="K267" s="6" t="str">
        <f t="shared" si="68"/>
        <v>0820</v>
      </c>
      <c r="L267" s="6" t="str">
        <f t="shared" si="69"/>
        <v>Cozinha</v>
      </c>
      <c r="M267" s="6" t="str">
        <f t="shared" si="70"/>
        <v>50x50</v>
      </c>
      <c r="N267" s="6" t="str">
        <f>"5602972517842"</f>
        <v>5602972517842</v>
      </c>
      <c r="O267" s="8">
        <v>8</v>
      </c>
      <c r="P267" s="7">
        <v>46041</v>
      </c>
      <c r="R267" s="8">
        <v>0</v>
      </c>
      <c r="U267" s="8">
        <v>0</v>
      </c>
      <c r="X267" s="8">
        <v>0</v>
      </c>
      <c r="Z267" s="8">
        <v>0</v>
      </c>
      <c r="AC267" s="8">
        <v>8</v>
      </c>
      <c r="AE267" s="7">
        <v>46048</v>
      </c>
      <c r="AF267" s="8">
        <v>8</v>
      </c>
      <c r="AH267" s="7">
        <v>46041</v>
      </c>
      <c r="AN267" s="8">
        <v>8</v>
      </c>
      <c r="AO267" s="8">
        <v>0</v>
      </c>
    </row>
    <row r="268" spans="1:41" x14ac:dyDescent="0.25">
      <c r="A268" s="6" t="str">
        <f t="shared" si="60"/>
        <v>520-2026000043</v>
      </c>
      <c r="B268" s="6" t="str">
        <f t="shared" si="61"/>
        <v>ELSA MAR</v>
      </c>
      <c r="C268" s="7">
        <v>46041</v>
      </c>
      <c r="D268" s="7">
        <v>46041</v>
      </c>
      <c r="E268" s="8">
        <v>28</v>
      </c>
      <c r="F268" s="6" t="str">
        <f t="shared" si="62"/>
        <v>PEDIDO 13/01</v>
      </c>
      <c r="G268" s="6" t="str">
        <f t="shared" si="71"/>
        <v>F300374044000000</v>
      </c>
      <c r="H268" s="6" t="str">
        <f t="shared" si="72"/>
        <v>PLR 3740 - 440 g/m²</v>
      </c>
      <c r="I268" s="6" t="str">
        <f>"201515"</f>
        <v>201515</v>
      </c>
      <c r="J268" s="6" t="str">
        <f>"VERDE 1515"</f>
        <v>VERDE 1515</v>
      </c>
      <c r="K268" s="6" t="str">
        <f t="shared" si="68"/>
        <v>0820</v>
      </c>
      <c r="L268" s="6" t="str">
        <f t="shared" si="69"/>
        <v>Cozinha</v>
      </c>
      <c r="M268" s="6" t="str">
        <f t="shared" si="70"/>
        <v>50x50</v>
      </c>
      <c r="N268" s="6" t="str">
        <f>"5602972517804"</f>
        <v>5602972517804</v>
      </c>
      <c r="O268" s="8">
        <v>8</v>
      </c>
      <c r="P268" s="7">
        <v>46041</v>
      </c>
      <c r="R268" s="8">
        <v>0</v>
      </c>
      <c r="U268" s="8">
        <v>0</v>
      </c>
      <c r="X268" s="8">
        <v>0</v>
      </c>
      <c r="Z268" s="8">
        <v>0</v>
      </c>
      <c r="AC268" s="8">
        <v>8</v>
      </c>
      <c r="AE268" s="7">
        <v>46048</v>
      </c>
      <c r="AF268" s="8">
        <v>8</v>
      </c>
      <c r="AH268" s="7">
        <v>46041</v>
      </c>
      <c r="AN268" s="8">
        <v>8</v>
      </c>
      <c r="AO268" s="8">
        <v>0</v>
      </c>
    </row>
    <row r="269" spans="1:41" x14ac:dyDescent="0.25">
      <c r="A269" s="6" t="str">
        <f t="shared" si="60"/>
        <v>520-2026000043</v>
      </c>
      <c r="B269" s="6" t="str">
        <f t="shared" si="61"/>
        <v>ELSA MAR</v>
      </c>
      <c r="C269" s="7">
        <v>46041</v>
      </c>
      <c r="D269" s="7">
        <v>46041</v>
      </c>
      <c r="E269" s="8">
        <v>29</v>
      </c>
      <c r="F269" s="6" t="str">
        <f t="shared" si="62"/>
        <v>PEDIDO 13/01</v>
      </c>
      <c r="G269" s="6" t="str">
        <f t="shared" si="71"/>
        <v>F300374044000000</v>
      </c>
      <c r="H269" s="6" t="str">
        <f t="shared" si="72"/>
        <v>PLR 3740 - 440 g/m²</v>
      </c>
      <c r="I269" s="6" t="str">
        <f>"200952"</f>
        <v>200952</v>
      </c>
      <c r="J269" s="6" t="str">
        <f>"VERDE 952"</f>
        <v>VERDE 952</v>
      </c>
      <c r="K269" s="6" t="str">
        <f t="shared" si="68"/>
        <v>0820</v>
      </c>
      <c r="L269" s="6" t="str">
        <f t="shared" si="69"/>
        <v>Cozinha</v>
      </c>
      <c r="M269" s="6" t="str">
        <f t="shared" si="70"/>
        <v>50x50</v>
      </c>
      <c r="N269" s="6" t="str">
        <f>"5602972517798"</f>
        <v>5602972517798</v>
      </c>
      <c r="O269" s="8">
        <v>8</v>
      </c>
      <c r="P269" s="7">
        <v>46041</v>
      </c>
      <c r="R269" s="8">
        <v>0</v>
      </c>
      <c r="U269" s="8">
        <v>0</v>
      </c>
      <c r="X269" s="8">
        <v>0</v>
      </c>
      <c r="Z269" s="8">
        <v>0</v>
      </c>
      <c r="AC269" s="8">
        <v>8</v>
      </c>
      <c r="AE269" s="7">
        <v>46048</v>
      </c>
      <c r="AF269" s="8">
        <v>8</v>
      </c>
      <c r="AH269" s="7">
        <v>46041</v>
      </c>
      <c r="AN269" s="8">
        <v>8</v>
      </c>
      <c r="AO269" s="8">
        <v>0</v>
      </c>
    </row>
    <row r="270" spans="1:41" x14ac:dyDescent="0.25">
      <c r="A270" s="6" t="str">
        <f t="shared" si="60"/>
        <v>520-2026000043</v>
      </c>
      <c r="B270" s="6" t="str">
        <f t="shared" si="61"/>
        <v>ELSA MAR</v>
      </c>
      <c r="C270" s="7">
        <v>46041</v>
      </c>
      <c r="D270" s="7">
        <v>46041</v>
      </c>
      <c r="E270" s="8">
        <v>30</v>
      </c>
      <c r="F270" s="6" t="str">
        <f t="shared" si="62"/>
        <v>PEDIDO 13/01</v>
      </c>
      <c r="G270" s="6" t="str">
        <f>"F330301244000000"</f>
        <v>F330301244000000</v>
      </c>
      <c r="H270" s="6" t="str">
        <f>"PLA 3012 - 440 g/m²"</f>
        <v>PLA 3012 - 440 g/m²</v>
      </c>
      <c r="I270" s="6" t="str">
        <f>"200571"</f>
        <v>200571</v>
      </c>
      <c r="J270" s="6" t="str">
        <f>"AMARELO 571"</f>
        <v>AMARELO 571</v>
      </c>
      <c r="K270" s="6" t="str">
        <f t="shared" si="68"/>
        <v>0820</v>
      </c>
      <c r="L270" s="6" t="str">
        <f t="shared" si="69"/>
        <v>Cozinha</v>
      </c>
      <c r="M270" s="6" t="str">
        <f t="shared" si="70"/>
        <v>50x50</v>
      </c>
      <c r="N270" s="6" t="str">
        <f>"5602972513912"</f>
        <v>5602972513912</v>
      </c>
      <c r="O270" s="8">
        <v>8</v>
      </c>
      <c r="P270" s="7">
        <v>46041</v>
      </c>
      <c r="R270" s="8">
        <v>0</v>
      </c>
      <c r="U270" s="8">
        <v>0</v>
      </c>
      <c r="X270" s="8">
        <v>0</v>
      </c>
      <c r="Z270" s="8">
        <v>0</v>
      </c>
      <c r="AC270" s="8">
        <v>8</v>
      </c>
      <c r="AE270" s="7">
        <v>46048</v>
      </c>
      <c r="AF270" s="8">
        <v>8</v>
      </c>
      <c r="AH270" s="7">
        <v>46041</v>
      </c>
      <c r="AN270" s="8">
        <v>8</v>
      </c>
      <c r="AO270" s="8">
        <v>0</v>
      </c>
    </row>
    <row r="271" spans="1:41" x14ac:dyDescent="0.25">
      <c r="A271" s="6" t="str">
        <f t="shared" si="60"/>
        <v>520-2026000043</v>
      </c>
      <c r="B271" s="6" t="str">
        <f t="shared" si="61"/>
        <v>ELSA MAR</v>
      </c>
      <c r="C271" s="7">
        <v>46041</v>
      </c>
      <c r="D271" s="7">
        <v>46041</v>
      </c>
      <c r="E271" s="8">
        <v>31</v>
      </c>
      <c r="F271" s="6" t="str">
        <f t="shared" si="62"/>
        <v>PEDIDO 13/01</v>
      </c>
      <c r="G271" s="6" t="str">
        <f>"F330301244000000"</f>
        <v>F330301244000000</v>
      </c>
      <c r="H271" s="6" t="str">
        <f>"PLA 3012 - 440 g/m²"</f>
        <v>PLA 3012 - 440 g/m²</v>
      </c>
      <c r="I271" s="6" t="str">
        <f>"204312"</f>
        <v>204312</v>
      </c>
      <c r="J271" s="6" t="str">
        <f>"AZUL4312"</f>
        <v>AZUL4312</v>
      </c>
      <c r="K271" s="6" t="str">
        <f t="shared" si="68"/>
        <v>0820</v>
      </c>
      <c r="L271" s="6" t="str">
        <f t="shared" si="69"/>
        <v>Cozinha</v>
      </c>
      <c r="M271" s="6" t="str">
        <f t="shared" si="70"/>
        <v>50x50</v>
      </c>
      <c r="N271" s="6" t="str">
        <f>"5602972513943"</f>
        <v>5602972513943</v>
      </c>
      <c r="O271" s="8">
        <v>8</v>
      </c>
      <c r="P271" s="7">
        <v>46041</v>
      </c>
      <c r="R271" s="8">
        <v>0</v>
      </c>
      <c r="U271" s="8">
        <v>0</v>
      </c>
      <c r="X271" s="8">
        <v>0</v>
      </c>
      <c r="Z271" s="8">
        <v>0</v>
      </c>
      <c r="AC271" s="8">
        <v>8</v>
      </c>
      <c r="AE271" s="7">
        <v>46048</v>
      </c>
      <c r="AF271" s="8">
        <v>8</v>
      </c>
      <c r="AH271" s="7">
        <v>46041</v>
      </c>
      <c r="AN271" s="8">
        <v>8</v>
      </c>
      <c r="AO271" s="8">
        <v>0</v>
      </c>
    </row>
    <row r="272" spans="1:41" x14ac:dyDescent="0.25">
      <c r="A272" s="6" t="str">
        <f t="shared" si="60"/>
        <v>520-2026000043</v>
      </c>
      <c r="B272" s="6" t="str">
        <f t="shared" si="61"/>
        <v>ELSA MAR</v>
      </c>
      <c r="C272" s="7">
        <v>46041</v>
      </c>
      <c r="D272" s="7">
        <v>46041</v>
      </c>
      <c r="E272" s="8">
        <v>32</v>
      </c>
      <c r="F272" s="6" t="str">
        <f t="shared" si="62"/>
        <v>PEDIDO 13/01</v>
      </c>
      <c r="G272" s="6" t="str">
        <f>"F330301244000000"</f>
        <v>F330301244000000</v>
      </c>
      <c r="H272" s="6" t="str">
        <f>"PLA 3012 - 440 g/m²"</f>
        <v>PLA 3012 - 440 g/m²</v>
      </c>
      <c r="I272" s="6" t="str">
        <f>"203157"</f>
        <v>203157</v>
      </c>
      <c r="J272" s="6" t="str">
        <f>"CINZA 3157"</f>
        <v>CINZA 3157</v>
      </c>
      <c r="K272" s="6" t="str">
        <f t="shared" si="68"/>
        <v>0820</v>
      </c>
      <c r="L272" s="6" t="str">
        <f t="shared" si="69"/>
        <v>Cozinha</v>
      </c>
      <c r="M272" s="6" t="str">
        <f t="shared" si="70"/>
        <v>50x50</v>
      </c>
      <c r="N272" s="6" t="str">
        <f>"5602972513936"</f>
        <v>5602972513936</v>
      </c>
      <c r="O272" s="8">
        <v>8</v>
      </c>
      <c r="P272" s="7">
        <v>46041</v>
      </c>
      <c r="R272" s="8">
        <v>0</v>
      </c>
      <c r="U272" s="8">
        <v>0</v>
      </c>
      <c r="X272" s="8">
        <v>0</v>
      </c>
      <c r="Z272" s="8">
        <v>0</v>
      </c>
      <c r="AC272" s="8">
        <v>8</v>
      </c>
      <c r="AE272" s="7">
        <v>46048</v>
      </c>
      <c r="AF272" s="8">
        <v>8</v>
      </c>
      <c r="AH272" s="7">
        <v>46041</v>
      </c>
      <c r="AN272" s="8">
        <v>8</v>
      </c>
      <c r="AO272" s="8">
        <v>0</v>
      </c>
    </row>
    <row r="273" spans="1:41" x14ac:dyDescent="0.25">
      <c r="A273" s="6" t="str">
        <f t="shared" si="60"/>
        <v>520-2026000043</v>
      </c>
      <c r="B273" s="6" t="str">
        <f t="shared" si="61"/>
        <v>ELSA MAR</v>
      </c>
      <c r="C273" s="7">
        <v>46041</v>
      </c>
      <c r="D273" s="7">
        <v>46041</v>
      </c>
      <c r="E273" s="8">
        <v>33</v>
      </c>
      <c r="F273" s="6" t="str">
        <f t="shared" si="62"/>
        <v>PEDIDO 13/01</v>
      </c>
      <c r="G273" s="6" t="str">
        <f>"F330301244000000"</f>
        <v>F330301244000000</v>
      </c>
      <c r="H273" s="6" t="str">
        <f>"PLA 3012 - 440 g/m²"</f>
        <v>PLA 3012 - 440 g/m²</v>
      </c>
      <c r="I273" s="6" t="str">
        <f>"201006"</f>
        <v>201006</v>
      </c>
      <c r="J273" s="6" t="str">
        <f>"VERDE 1006"</f>
        <v>VERDE 1006</v>
      </c>
      <c r="K273" s="6" t="str">
        <f t="shared" si="68"/>
        <v>0820</v>
      </c>
      <c r="L273" s="6" t="str">
        <f t="shared" si="69"/>
        <v>Cozinha</v>
      </c>
      <c r="M273" s="6" t="str">
        <f t="shared" si="70"/>
        <v>50x50</v>
      </c>
      <c r="N273" s="6" t="str">
        <f>"5602972513929"</f>
        <v>5602972513929</v>
      </c>
      <c r="O273" s="8">
        <v>8</v>
      </c>
      <c r="P273" s="7">
        <v>46041</v>
      </c>
      <c r="R273" s="8">
        <v>0</v>
      </c>
      <c r="U273" s="8">
        <v>0</v>
      </c>
      <c r="X273" s="8">
        <v>0</v>
      </c>
      <c r="Z273" s="8">
        <v>0</v>
      </c>
      <c r="AC273" s="8">
        <v>8</v>
      </c>
      <c r="AE273" s="7">
        <v>46048</v>
      </c>
      <c r="AF273" s="8">
        <v>8</v>
      </c>
      <c r="AH273" s="7">
        <v>46041</v>
      </c>
      <c r="AN273" s="8">
        <v>8</v>
      </c>
      <c r="AO273" s="8">
        <v>0</v>
      </c>
    </row>
    <row r="274" spans="1:41" x14ac:dyDescent="0.25">
      <c r="A274" s="6" t="str">
        <f t="shared" si="60"/>
        <v>520-2026000043</v>
      </c>
      <c r="B274" s="6" t="str">
        <f t="shared" si="61"/>
        <v>ELSA MAR</v>
      </c>
      <c r="C274" s="7">
        <v>46041</v>
      </c>
      <c r="D274" s="7">
        <v>46041</v>
      </c>
      <c r="E274" s="8">
        <v>34</v>
      </c>
      <c r="F274" s="6" t="str">
        <f t="shared" si="62"/>
        <v>PEDIDO 13/01</v>
      </c>
      <c r="G274" s="6" t="str">
        <f>"F330307344000000"</f>
        <v>F330307344000000</v>
      </c>
      <c r="H274" s="6" t="str">
        <f>"PLA 3073 - 440 g/m²"</f>
        <v>PLA 3073 - 440 g/m²</v>
      </c>
      <c r="I274" s="6" t="str">
        <f>"204269"</f>
        <v>204269</v>
      </c>
      <c r="J274" s="6" t="str">
        <f>"AZUL 4269"</f>
        <v>AZUL 4269</v>
      </c>
      <c r="K274" s="6" t="str">
        <f t="shared" si="68"/>
        <v>0820</v>
      </c>
      <c r="L274" s="6" t="str">
        <f t="shared" si="69"/>
        <v>Cozinha</v>
      </c>
      <c r="M274" s="6" t="str">
        <f t="shared" si="70"/>
        <v>50x50</v>
      </c>
      <c r="N274" s="6" t="str">
        <f>"5602972517514"</f>
        <v>5602972517514</v>
      </c>
      <c r="O274" s="8">
        <v>8</v>
      </c>
      <c r="P274" s="7">
        <v>46041</v>
      </c>
      <c r="R274" s="8">
        <v>0</v>
      </c>
      <c r="U274" s="8">
        <v>0</v>
      </c>
      <c r="X274" s="8">
        <v>0</v>
      </c>
      <c r="Z274" s="8">
        <v>0</v>
      </c>
      <c r="AC274" s="8">
        <v>8</v>
      </c>
      <c r="AE274" s="7">
        <v>46048</v>
      </c>
      <c r="AF274" s="8">
        <v>8</v>
      </c>
      <c r="AH274" s="7">
        <v>46041</v>
      </c>
      <c r="AN274" s="8">
        <v>8</v>
      </c>
      <c r="AO274" s="8">
        <v>0</v>
      </c>
    </row>
    <row r="275" spans="1:41" x14ac:dyDescent="0.25">
      <c r="A275" s="6" t="str">
        <f t="shared" si="60"/>
        <v>520-2026000043</v>
      </c>
      <c r="B275" s="6" t="str">
        <f t="shared" si="61"/>
        <v>ELSA MAR</v>
      </c>
      <c r="C275" s="7">
        <v>46041</v>
      </c>
      <c r="D275" s="7">
        <v>46041</v>
      </c>
      <c r="E275" s="8">
        <v>35</v>
      </c>
      <c r="F275" s="6" t="str">
        <f t="shared" si="62"/>
        <v>PEDIDO 13/01</v>
      </c>
      <c r="G275" s="6" t="str">
        <f>"F330307344000000"</f>
        <v>F330307344000000</v>
      </c>
      <c r="H275" s="6" t="str">
        <f>"PLA 3073 - 440 g/m²"</f>
        <v>PLA 3073 - 440 g/m²</v>
      </c>
      <c r="I275" s="6" t="str">
        <f>"203944"</f>
        <v>203944</v>
      </c>
      <c r="J275" s="6" t="str">
        <f>"CASTANHO 3944"</f>
        <v>CASTANHO 3944</v>
      </c>
      <c r="K275" s="6" t="str">
        <f t="shared" si="68"/>
        <v>0820</v>
      </c>
      <c r="L275" s="6" t="str">
        <f t="shared" si="69"/>
        <v>Cozinha</v>
      </c>
      <c r="M275" s="6" t="str">
        <f t="shared" si="70"/>
        <v>50x50</v>
      </c>
      <c r="N275" s="6" t="str">
        <f>"5602972517507"</f>
        <v>5602972517507</v>
      </c>
      <c r="O275" s="8">
        <v>8</v>
      </c>
      <c r="P275" s="7">
        <v>46041</v>
      </c>
      <c r="R275" s="8">
        <v>0</v>
      </c>
      <c r="U275" s="8">
        <v>0</v>
      </c>
      <c r="X275" s="8">
        <v>0</v>
      </c>
      <c r="Z275" s="8">
        <v>0</v>
      </c>
      <c r="AC275" s="8">
        <v>8</v>
      </c>
      <c r="AE275" s="7">
        <v>46048</v>
      </c>
      <c r="AF275" s="8">
        <v>8</v>
      </c>
      <c r="AH275" s="7">
        <v>46041</v>
      </c>
      <c r="AN275" s="8">
        <v>8</v>
      </c>
      <c r="AO275" s="8">
        <v>0</v>
      </c>
    </row>
    <row r="276" spans="1:41" x14ac:dyDescent="0.25">
      <c r="A276" s="6" t="str">
        <f t="shared" si="60"/>
        <v>520-2026000043</v>
      </c>
      <c r="B276" s="6" t="str">
        <f t="shared" si="61"/>
        <v>ELSA MAR</v>
      </c>
      <c r="C276" s="7">
        <v>46041</v>
      </c>
      <c r="D276" s="7">
        <v>46041</v>
      </c>
      <c r="E276" s="8">
        <v>36</v>
      </c>
      <c r="F276" s="6" t="str">
        <f t="shared" si="62"/>
        <v>PEDIDO 13/01</v>
      </c>
      <c r="G276" s="6" t="str">
        <f>"F330307344000000"</f>
        <v>F330307344000000</v>
      </c>
      <c r="H276" s="6" t="str">
        <f>"PLA 3073 - 440 g/m²"</f>
        <v>PLA 3073 - 440 g/m²</v>
      </c>
      <c r="I276" s="6" t="str">
        <f>"204413"</f>
        <v>204413</v>
      </c>
      <c r="J276" s="6" t="str">
        <f>"CASTANHO 4413"</f>
        <v>CASTANHO 4413</v>
      </c>
      <c r="K276" s="6" t="str">
        <f t="shared" si="68"/>
        <v>0820</v>
      </c>
      <c r="L276" s="6" t="str">
        <f t="shared" si="69"/>
        <v>Cozinha</v>
      </c>
      <c r="M276" s="6" t="str">
        <f t="shared" si="70"/>
        <v>50x50</v>
      </c>
      <c r="N276" s="6" t="str">
        <f>"5602972517521"</f>
        <v>5602972517521</v>
      </c>
      <c r="O276" s="8">
        <v>8</v>
      </c>
      <c r="P276" s="7">
        <v>46041</v>
      </c>
      <c r="R276" s="8">
        <v>0</v>
      </c>
      <c r="U276" s="8">
        <v>0</v>
      </c>
      <c r="X276" s="8">
        <v>0</v>
      </c>
      <c r="Z276" s="8">
        <v>0</v>
      </c>
      <c r="AC276" s="8">
        <v>8</v>
      </c>
      <c r="AE276" s="7">
        <v>46048</v>
      </c>
      <c r="AF276" s="8">
        <v>8</v>
      </c>
      <c r="AH276" s="7">
        <v>46041</v>
      </c>
      <c r="AN276" s="8">
        <v>8</v>
      </c>
      <c r="AO276" s="8">
        <v>0</v>
      </c>
    </row>
    <row r="277" spans="1:41" x14ac:dyDescent="0.25">
      <c r="A277" s="6" t="str">
        <f t="shared" si="60"/>
        <v>520-2026000043</v>
      </c>
      <c r="B277" s="6" t="str">
        <f t="shared" si="61"/>
        <v>ELSA MAR</v>
      </c>
      <c r="C277" s="7">
        <v>46041</v>
      </c>
      <c r="D277" s="7">
        <v>46041</v>
      </c>
      <c r="E277" s="8">
        <v>37</v>
      </c>
      <c r="F277" s="6" t="str">
        <f t="shared" si="62"/>
        <v>PEDIDO 13/01</v>
      </c>
      <c r="G277" s="6" t="str">
        <f>"F330307344000000"</f>
        <v>F330307344000000</v>
      </c>
      <c r="H277" s="6" t="str">
        <f>"PLA 3073 - 440 g/m²"</f>
        <v>PLA 3073 - 440 g/m²</v>
      </c>
      <c r="I277" s="6" t="str">
        <f>"200393"</f>
        <v>200393</v>
      </c>
      <c r="J277" s="6" t="str">
        <f>"VERDE 393"</f>
        <v>VERDE 393</v>
      </c>
      <c r="K277" s="6" t="str">
        <f t="shared" si="68"/>
        <v>0820</v>
      </c>
      <c r="L277" s="6" t="str">
        <f t="shared" si="69"/>
        <v>Cozinha</v>
      </c>
      <c r="M277" s="6" t="str">
        <f t="shared" si="70"/>
        <v>50x50</v>
      </c>
      <c r="N277" s="6" t="str">
        <f>"5602972517491"</f>
        <v>5602972517491</v>
      </c>
      <c r="O277" s="8">
        <v>8</v>
      </c>
      <c r="P277" s="7">
        <v>46041</v>
      </c>
      <c r="R277" s="8">
        <v>0</v>
      </c>
      <c r="U277" s="8">
        <v>0</v>
      </c>
      <c r="X277" s="8">
        <v>0</v>
      </c>
      <c r="Z277" s="8">
        <v>0</v>
      </c>
      <c r="AC277" s="8">
        <v>8</v>
      </c>
      <c r="AE277" s="7">
        <v>46048</v>
      </c>
      <c r="AF277" s="8">
        <v>8</v>
      </c>
      <c r="AH277" s="7">
        <v>46041</v>
      </c>
      <c r="AN277" s="8">
        <v>8</v>
      </c>
      <c r="AO277" s="8">
        <v>0</v>
      </c>
    </row>
    <row r="278" spans="1:41" x14ac:dyDescent="0.25">
      <c r="A278" s="6" t="str">
        <f t="shared" si="60"/>
        <v>520-2026000043</v>
      </c>
      <c r="B278" s="6" t="str">
        <f t="shared" si="61"/>
        <v>ELSA MAR</v>
      </c>
      <c r="C278" s="7">
        <v>46041</v>
      </c>
      <c r="D278" s="7">
        <v>46041</v>
      </c>
      <c r="E278" s="8">
        <v>38</v>
      </c>
      <c r="F278" s="6" t="str">
        <f t="shared" si="62"/>
        <v>PEDIDO 13/01</v>
      </c>
      <c r="G278" s="6" t="str">
        <f>"R013000138500000"</f>
        <v>R013000138500000</v>
      </c>
      <c r="H278" s="6" t="str">
        <f>"Star PURE - Ketten 3"</f>
        <v>Star PURE - Ketten 3</v>
      </c>
      <c r="I278" s="6" t="str">
        <f>"3235"</f>
        <v>3235</v>
      </c>
      <c r="J278" s="6" t="str">
        <f>"CINZA 3235"</f>
        <v>CINZA 3235</v>
      </c>
      <c r="K278" s="6" t="str">
        <f>"5212"</f>
        <v>5212</v>
      </c>
      <c r="L278" s="6" t="str">
        <f>"Roupões Criança"</f>
        <v>Roupões Criança</v>
      </c>
      <c r="M278" s="6" t="str">
        <f>"12 Anos"</f>
        <v>12 Anos</v>
      </c>
      <c r="N278" s="6" t="str">
        <f>"5602972796353"</f>
        <v>5602972796353</v>
      </c>
      <c r="O278" s="8">
        <v>1</v>
      </c>
      <c r="P278" s="7">
        <v>46041</v>
      </c>
      <c r="R278" s="8">
        <v>0</v>
      </c>
      <c r="U278" s="8">
        <v>0</v>
      </c>
      <c r="X278" s="8">
        <v>0</v>
      </c>
      <c r="Z278" s="8">
        <v>0</v>
      </c>
      <c r="AC278" s="8">
        <v>1</v>
      </c>
      <c r="AE278" s="7">
        <v>46048</v>
      </c>
      <c r="AF278" s="8">
        <v>1</v>
      </c>
      <c r="AH278" s="7">
        <v>46041</v>
      </c>
      <c r="AN278" s="8">
        <v>1</v>
      </c>
      <c r="AO278" s="8">
        <v>0</v>
      </c>
    </row>
    <row r="279" spans="1:41" x14ac:dyDescent="0.25">
      <c r="A279" s="6" t="str">
        <f>"520-2026000044"</f>
        <v>520-2026000044</v>
      </c>
      <c r="B279" s="6" t="str">
        <f>"SOCUNHA"</f>
        <v>SOCUNHA</v>
      </c>
      <c r="C279" s="7">
        <v>46041</v>
      </c>
      <c r="D279" s="7">
        <v>46041</v>
      </c>
      <c r="E279" s="8">
        <v>1</v>
      </c>
      <c r="F279" s="6" t="str">
        <f>"PO 44 - BROWN'S CENT"</f>
        <v>PO 44 - BROWN'S CENT</v>
      </c>
      <c r="G279" s="6" t="str">
        <f>"F123347265000000"</f>
        <v>F123347265000000</v>
      </c>
      <c r="H279" s="6" t="str">
        <f>"FAJA 3472 M - 650 g/"</f>
        <v>FAJA 3472 M - 650 g/</v>
      </c>
      <c r="I279" s="6" t="str">
        <f>"1"</f>
        <v>1</v>
      </c>
      <c r="J279" s="6" t="str">
        <f>"BRANCO"</f>
        <v>BRANCO</v>
      </c>
      <c r="K279" s="6" t="str">
        <f>"1024"</f>
        <v>1024</v>
      </c>
      <c r="L279" s="6" t="str">
        <f>"Toalhas"</f>
        <v>Toalhas</v>
      </c>
      <c r="M279" s="6" t="str">
        <f>"50x100"</f>
        <v>50x100</v>
      </c>
      <c r="N279" s="6" t="str">
        <f>" "</f>
        <v xml:space="preserve"> </v>
      </c>
      <c r="O279" s="8">
        <v>412</v>
      </c>
      <c r="P279" s="7">
        <v>46042</v>
      </c>
      <c r="R279" s="8">
        <v>0</v>
      </c>
      <c r="U279" s="8">
        <v>0</v>
      </c>
      <c r="X279" s="8">
        <v>0</v>
      </c>
      <c r="Z279" s="8">
        <v>0</v>
      </c>
      <c r="AC279" s="8">
        <v>0</v>
      </c>
      <c r="AF279" s="8">
        <v>0</v>
      </c>
      <c r="AH279" s="7">
        <v>46041</v>
      </c>
      <c r="AN279" s="8">
        <v>0</v>
      </c>
      <c r="AO279" s="8">
        <v>412</v>
      </c>
    </row>
    <row r="280" spans="1:41" x14ac:dyDescent="0.25">
      <c r="A280" s="6" t="str">
        <f>"520-2026000044"</f>
        <v>520-2026000044</v>
      </c>
      <c r="B280" s="6" t="str">
        <f>"SOCUNHA"</f>
        <v>SOCUNHA</v>
      </c>
      <c r="C280" s="7">
        <v>46041</v>
      </c>
      <c r="D280" s="7">
        <v>46041</v>
      </c>
      <c r="E280" s="8">
        <v>2</v>
      </c>
      <c r="F280" s="6" t="str">
        <f>"PO 44 - BROWN'S CENT"</f>
        <v>PO 44 - BROWN'S CENT</v>
      </c>
      <c r="G280" s="6" t="str">
        <f>"F123347265000000"</f>
        <v>F123347265000000</v>
      </c>
      <c r="H280" s="6" t="str">
        <f>"FAJA 3472 M - 650 g/"</f>
        <v>FAJA 3472 M - 650 g/</v>
      </c>
      <c r="I280" s="6" t="str">
        <f>"1"</f>
        <v>1</v>
      </c>
      <c r="J280" s="6" t="str">
        <f>"BRANCO"</f>
        <v>BRANCO</v>
      </c>
      <c r="K280" s="6" t="str">
        <f>"2020"</f>
        <v>2020</v>
      </c>
      <c r="L280" s="6" t="str">
        <f>"Lençóis"</f>
        <v>Lençóis</v>
      </c>
      <c r="M280" s="6" t="str">
        <f>"100x150"</f>
        <v>100x150</v>
      </c>
      <c r="N280" s="6" t="str">
        <f>" "</f>
        <v xml:space="preserve"> </v>
      </c>
      <c r="O280" s="8">
        <v>404</v>
      </c>
      <c r="P280" s="7">
        <v>46042</v>
      </c>
      <c r="R280" s="8">
        <v>0</v>
      </c>
      <c r="U280" s="8">
        <v>0</v>
      </c>
      <c r="X280" s="8">
        <v>0</v>
      </c>
      <c r="Z280" s="8">
        <v>0</v>
      </c>
      <c r="AC280" s="8">
        <v>0</v>
      </c>
      <c r="AF280" s="8">
        <v>0</v>
      </c>
      <c r="AH280" s="7">
        <v>46041</v>
      </c>
      <c r="AN280" s="8">
        <v>0</v>
      </c>
      <c r="AO280" s="8">
        <v>404</v>
      </c>
    </row>
    <row r="281" spans="1:41" x14ac:dyDescent="0.25">
      <c r="A281" s="6" t="str">
        <f t="shared" ref="A281:A287" si="73">"520-2026000045"</f>
        <v>520-2026000045</v>
      </c>
      <c r="B281" s="6" t="str">
        <f t="shared" ref="B281:B295" si="74">"AUCHAN R"</f>
        <v>AUCHAN R</v>
      </c>
      <c r="C281" s="7">
        <v>46042</v>
      </c>
      <c r="D281" s="7">
        <v>46045</v>
      </c>
      <c r="E281" s="8">
        <v>1</v>
      </c>
      <c r="F281" s="6" t="str">
        <f t="shared" ref="F281:F287" si="75">"1073221169"</f>
        <v>1073221169</v>
      </c>
      <c r="G281" s="6" t="str">
        <f>"F100021455000000"</f>
        <v>F100021455000000</v>
      </c>
      <c r="H281" s="6" t="str">
        <f>"FA 214 - PURE - 550"</f>
        <v>FA 214 - PURE - 550</v>
      </c>
      <c r="I281" s="6" t="str">
        <f>"1"</f>
        <v>1</v>
      </c>
      <c r="J281" s="6" t="str">
        <f>"BRANCO"</f>
        <v>BRANCO</v>
      </c>
      <c r="K281" s="6" t="str">
        <f>"0112"</f>
        <v>0112</v>
      </c>
      <c r="L281" s="6" t="str">
        <f>"Luvas"</f>
        <v>Luvas</v>
      </c>
      <c r="M281" s="6" t="str">
        <f>"16x21"</f>
        <v>16x21</v>
      </c>
      <c r="N281" s="6" t="str">
        <f>"5602972836233"</f>
        <v>5602972836233</v>
      </c>
      <c r="O281" s="8">
        <v>24</v>
      </c>
      <c r="P281" s="7">
        <v>46042</v>
      </c>
      <c r="R281" s="8">
        <v>0</v>
      </c>
      <c r="U281" s="8">
        <v>0</v>
      </c>
      <c r="X281" s="8">
        <v>0</v>
      </c>
      <c r="Z281" s="8">
        <v>0</v>
      </c>
      <c r="AC281" s="8">
        <v>24</v>
      </c>
      <c r="AE281" s="7">
        <v>46049</v>
      </c>
      <c r="AF281" s="8">
        <v>24</v>
      </c>
      <c r="AH281" s="7">
        <v>46045</v>
      </c>
      <c r="AN281" s="8">
        <v>24</v>
      </c>
      <c r="AO281" s="8">
        <v>0</v>
      </c>
    </row>
    <row r="282" spans="1:41" x14ac:dyDescent="0.25">
      <c r="A282" s="6" t="str">
        <f t="shared" si="73"/>
        <v>520-2026000045</v>
      </c>
      <c r="B282" s="6" t="str">
        <f t="shared" si="74"/>
        <v>AUCHAN R</v>
      </c>
      <c r="C282" s="7">
        <v>46042</v>
      </c>
      <c r="D282" s="7">
        <v>46045</v>
      </c>
      <c r="E282" s="8">
        <v>2</v>
      </c>
      <c r="F282" s="6" t="str">
        <f t="shared" si="75"/>
        <v>1073221169</v>
      </c>
      <c r="G282" s="6" t="str">
        <f>"F300374155000000"</f>
        <v>F300374155000000</v>
      </c>
      <c r="H282" s="6" t="str">
        <f>"PLR 3741 - 550 g/m²"</f>
        <v>PLR 3741 - 550 g/m²</v>
      </c>
      <c r="I282" s="6" t="str">
        <f>"203634"</f>
        <v>203634</v>
      </c>
      <c r="J282" s="6" t="str">
        <f>"ROSA 3634"</f>
        <v>ROSA 3634</v>
      </c>
      <c r="K282" s="6" t="str">
        <f>"2020"</f>
        <v>2020</v>
      </c>
      <c r="L282" s="6" t="str">
        <f>"Lençóis"</f>
        <v>Lençóis</v>
      </c>
      <c r="M282" s="6" t="str">
        <f>"100x150"</f>
        <v>100x150</v>
      </c>
      <c r="N282" s="6" t="str">
        <f>"5602972280883"</f>
        <v>5602972280883</v>
      </c>
      <c r="O282" s="8">
        <v>9</v>
      </c>
      <c r="P282" s="7">
        <v>46042</v>
      </c>
      <c r="R282" s="8">
        <v>0</v>
      </c>
      <c r="U282" s="8">
        <v>0</v>
      </c>
      <c r="X282" s="8">
        <v>0</v>
      </c>
      <c r="Z282" s="8">
        <v>0</v>
      </c>
      <c r="AC282" s="8">
        <v>3</v>
      </c>
      <c r="AE282" s="7">
        <v>46049</v>
      </c>
      <c r="AF282" s="8">
        <v>3</v>
      </c>
      <c r="AH282" s="7">
        <v>46045</v>
      </c>
      <c r="AN282" s="8">
        <v>3</v>
      </c>
      <c r="AO282" s="8">
        <v>6</v>
      </c>
    </row>
    <row r="283" spans="1:41" x14ac:dyDescent="0.25">
      <c r="A283" s="6" t="str">
        <f t="shared" si="73"/>
        <v>520-2026000045</v>
      </c>
      <c r="B283" s="6" t="str">
        <f t="shared" si="74"/>
        <v>AUCHAN R</v>
      </c>
      <c r="C283" s="7">
        <v>46042</v>
      </c>
      <c r="D283" s="7">
        <v>46045</v>
      </c>
      <c r="E283" s="8">
        <v>3</v>
      </c>
      <c r="F283" s="6" t="str">
        <f t="shared" si="75"/>
        <v>1073221169</v>
      </c>
      <c r="G283" s="6" t="str">
        <f>"F100021455000010"</f>
        <v>F100021455000010</v>
      </c>
      <c r="H283" s="6" t="str">
        <f>"FA 214 Bio GOTS - 55"</f>
        <v>FA 214 Bio GOTS - 55</v>
      </c>
      <c r="I283" s="6" t="str">
        <f>"19"</f>
        <v>19</v>
      </c>
      <c r="J283" s="6" t="str">
        <f>"PRETO REACTIVO 570"</f>
        <v>PRETO REACTIVO 570</v>
      </c>
      <c r="K283" s="6" t="str">
        <f>"2020"</f>
        <v>2020</v>
      </c>
      <c r="L283" s="6" t="str">
        <f>"Lençóis"</f>
        <v>Lençóis</v>
      </c>
      <c r="M283" s="6" t="str">
        <f>"100x150"</f>
        <v>100x150</v>
      </c>
      <c r="N283" s="6" t="str">
        <f>"5602972278620"</f>
        <v>5602972278620</v>
      </c>
      <c r="O283" s="8">
        <v>12</v>
      </c>
      <c r="P283" s="7">
        <v>46042</v>
      </c>
      <c r="R283" s="8">
        <v>0</v>
      </c>
      <c r="U283" s="8">
        <v>0</v>
      </c>
      <c r="X283" s="8">
        <v>0</v>
      </c>
      <c r="Z283" s="8">
        <v>0</v>
      </c>
      <c r="AC283" s="8">
        <v>12</v>
      </c>
      <c r="AE283" s="7">
        <v>46049</v>
      </c>
      <c r="AF283" s="8">
        <v>12</v>
      </c>
      <c r="AH283" s="7">
        <v>46045</v>
      </c>
      <c r="AN283" s="8">
        <v>12</v>
      </c>
      <c r="AO283" s="8">
        <v>0</v>
      </c>
    </row>
    <row r="284" spans="1:41" x14ac:dyDescent="0.25">
      <c r="A284" s="6" t="str">
        <f t="shared" si="73"/>
        <v>520-2026000045</v>
      </c>
      <c r="B284" s="6" t="str">
        <f t="shared" si="74"/>
        <v>AUCHAN R</v>
      </c>
      <c r="C284" s="7">
        <v>46042</v>
      </c>
      <c r="D284" s="7">
        <v>46045</v>
      </c>
      <c r="E284" s="8">
        <v>4</v>
      </c>
      <c r="F284" s="6" t="str">
        <f t="shared" si="75"/>
        <v>1073221169</v>
      </c>
      <c r="G284" s="6" t="str">
        <f>"F110329745000000"</f>
        <v>F110329745000000</v>
      </c>
      <c r="H284" s="6" t="str">
        <f>"FAJ 3297 - 450 g/m²"</f>
        <v>FAJ 3297 - 450 g/m²</v>
      </c>
      <c r="I284" s="6" t="str">
        <f>"2"</f>
        <v>2</v>
      </c>
      <c r="J284" s="6" t="str">
        <f>"NATURAL"</f>
        <v>NATURAL</v>
      </c>
      <c r="K284" s="6" t="str">
        <f>"0520"</f>
        <v>0520</v>
      </c>
      <c r="L284" s="6" t="str">
        <f>"Toalhetes"</f>
        <v>Toalhetes</v>
      </c>
      <c r="M284" s="6" t="str">
        <f>"30x50"</f>
        <v>30x50</v>
      </c>
      <c r="N284" s="6" t="str">
        <f>"5602972277852"</f>
        <v>5602972277852</v>
      </c>
      <c r="O284" s="8">
        <v>36</v>
      </c>
      <c r="P284" s="7">
        <v>46042</v>
      </c>
      <c r="R284" s="8">
        <v>0</v>
      </c>
      <c r="U284" s="8">
        <v>0</v>
      </c>
      <c r="X284" s="8">
        <v>0</v>
      </c>
      <c r="Z284" s="8">
        <v>0</v>
      </c>
      <c r="AC284" s="8">
        <v>0</v>
      </c>
      <c r="AE284" s="7">
        <v>46049</v>
      </c>
      <c r="AF284" s="8">
        <v>0</v>
      </c>
      <c r="AH284" s="7">
        <v>46045</v>
      </c>
      <c r="AN284" s="8">
        <v>0</v>
      </c>
      <c r="AO284" s="8">
        <v>36</v>
      </c>
    </row>
    <row r="285" spans="1:41" x14ac:dyDescent="0.25">
      <c r="A285" s="6" t="str">
        <f t="shared" si="73"/>
        <v>520-2026000045</v>
      </c>
      <c r="B285" s="6" t="str">
        <f t="shared" si="74"/>
        <v>AUCHAN R</v>
      </c>
      <c r="C285" s="7">
        <v>46042</v>
      </c>
      <c r="D285" s="7">
        <v>46045</v>
      </c>
      <c r="E285" s="8">
        <v>5</v>
      </c>
      <c r="F285" s="6" t="str">
        <f t="shared" si="75"/>
        <v>1073221169</v>
      </c>
      <c r="G285" s="6" t="str">
        <f>"F310631555000000"</f>
        <v>F310631555000000</v>
      </c>
      <c r="H285" s="6" t="str">
        <f>"PLAR 6315 - 550 g/m²"</f>
        <v>PLAR 6315 - 550 g/m²</v>
      </c>
      <c r="I285" s="6" t="str">
        <f>"201646"</f>
        <v>201646</v>
      </c>
      <c r="J285" s="6" t="str">
        <f>"MUSTARDA 1646"</f>
        <v>MUSTARDA 1646</v>
      </c>
      <c r="K285" s="6" t="str">
        <f>"1024"</f>
        <v>1024</v>
      </c>
      <c r="L285" s="6" t="str">
        <f>"Toalhas"</f>
        <v>Toalhas</v>
      </c>
      <c r="M285" s="6" t="str">
        <f>"50x100"</f>
        <v>50x100</v>
      </c>
      <c r="N285" s="6" t="str">
        <f>"5602972280814"</f>
        <v>5602972280814</v>
      </c>
      <c r="O285" s="8">
        <v>12</v>
      </c>
      <c r="P285" s="7">
        <v>46042</v>
      </c>
      <c r="R285" s="8">
        <v>0</v>
      </c>
      <c r="U285" s="8">
        <v>0</v>
      </c>
      <c r="X285" s="8">
        <v>0</v>
      </c>
      <c r="Z285" s="8">
        <v>0</v>
      </c>
      <c r="AC285" s="8">
        <v>12</v>
      </c>
      <c r="AE285" s="7">
        <v>46049</v>
      </c>
      <c r="AF285" s="8">
        <v>12</v>
      </c>
      <c r="AH285" s="7">
        <v>46045</v>
      </c>
      <c r="AN285" s="8">
        <v>12</v>
      </c>
      <c r="AO285" s="8">
        <v>0</v>
      </c>
    </row>
    <row r="286" spans="1:41" x14ac:dyDescent="0.25">
      <c r="A286" s="6" t="str">
        <f t="shared" si="73"/>
        <v>520-2026000045</v>
      </c>
      <c r="B286" s="6" t="str">
        <f t="shared" si="74"/>
        <v>AUCHAN R</v>
      </c>
      <c r="C286" s="7">
        <v>46042</v>
      </c>
      <c r="D286" s="7">
        <v>46045</v>
      </c>
      <c r="E286" s="8">
        <v>6</v>
      </c>
      <c r="F286" s="6" t="str">
        <f t="shared" si="75"/>
        <v>1073221169</v>
      </c>
      <c r="G286" s="6" t="str">
        <f>"F110329745000000"</f>
        <v>F110329745000000</v>
      </c>
      <c r="H286" s="6" t="str">
        <f>"FAJ 3297 - 450 g/m²"</f>
        <v>FAJ 3297 - 450 g/m²</v>
      </c>
      <c r="I286" s="6" t="str">
        <f>"2"</f>
        <v>2</v>
      </c>
      <c r="J286" s="6" t="str">
        <f>"NATURAL"</f>
        <v>NATURAL</v>
      </c>
      <c r="K286" s="6" t="str">
        <f>"1024"</f>
        <v>1024</v>
      </c>
      <c r="L286" s="6" t="str">
        <f>"Toalhas"</f>
        <v>Toalhas</v>
      </c>
      <c r="M286" s="6" t="str">
        <f>"50x100"</f>
        <v>50x100</v>
      </c>
      <c r="N286" s="6" t="str">
        <f>"5602972277869"</f>
        <v>5602972277869</v>
      </c>
      <c r="O286" s="8">
        <v>24</v>
      </c>
      <c r="P286" s="7">
        <v>46042</v>
      </c>
      <c r="R286" s="8">
        <v>0</v>
      </c>
      <c r="U286" s="8">
        <v>0</v>
      </c>
      <c r="X286" s="8">
        <v>0</v>
      </c>
      <c r="Z286" s="8">
        <v>0</v>
      </c>
      <c r="AC286" s="8">
        <v>6</v>
      </c>
      <c r="AE286" s="7">
        <v>46049</v>
      </c>
      <c r="AF286" s="8">
        <v>6</v>
      </c>
      <c r="AH286" s="7">
        <v>46045</v>
      </c>
      <c r="AN286" s="8">
        <v>6</v>
      </c>
      <c r="AO286" s="8">
        <v>18</v>
      </c>
    </row>
    <row r="287" spans="1:41" x14ac:dyDescent="0.25">
      <c r="A287" s="6" t="str">
        <f t="shared" si="73"/>
        <v>520-2026000045</v>
      </c>
      <c r="B287" s="6" t="str">
        <f t="shared" si="74"/>
        <v>AUCHAN R</v>
      </c>
      <c r="C287" s="7">
        <v>46042</v>
      </c>
      <c r="D287" s="7">
        <v>46045</v>
      </c>
      <c r="E287" s="8">
        <v>7</v>
      </c>
      <c r="F287" s="6" t="str">
        <f t="shared" si="75"/>
        <v>1073221169</v>
      </c>
      <c r="G287" s="6" t="str">
        <f>"C090008212000118"</f>
        <v>C090008212000118</v>
      </c>
      <c r="H287" s="6" t="str">
        <f>"Conj. LT 82 - 150 Fi"</f>
        <v>Conj. LT 82 - 150 Fi</v>
      </c>
      <c r="I287" s="6" t="str">
        <f>"600001"</f>
        <v>600001</v>
      </c>
      <c r="J287" s="6" t="str">
        <f>"Branco"</f>
        <v>Branco</v>
      </c>
      <c r="K287" s="6" t="str">
        <f>"4014"</f>
        <v>4014</v>
      </c>
      <c r="L287" s="6" t="str">
        <f>"Conjunto/Jogos"</f>
        <v>Conjunto/Jogos</v>
      </c>
      <c r="M287" s="6" t="str">
        <f>"(2 Pcs)"</f>
        <v>(2 Pcs)</v>
      </c>
      <c r="N287" s="6" t="str">
        <f>"5602972279849"</f>
        <v>5602972279849</v>
      </c>
      <c r="O287" s="8">
        <v>12</v>
      </c>
      <c r="P287" s="7">
        <v>46042</v>
      </c>
      <c r="R287" s="8">
        <v>0</v>
      </c>
      <c r="U287" s="8">
        <v>0</v>
      </c>
      <c r="X287" s="8">
        <v>0</v>
      </c>
      <c r="Z287" s="8">
        <v>0</v>
      </c>
      <c r="AC287" s="8">
        <v>12</v>
      </c>
      <c r="AE287" s="7">
        <v>46049</v>
      </c>
      <c r="AF287" s="8">
        <v>12</v>
      </c>
      <c r="AH287" s="7">
        <v>46045</v>
      </c>
      <c r="AN287" s="8">
        <v>12</v>
      </c>
      <c r="AO287" s="8">
        <v>0</v>
      </c>
    </row>
    <row r="288" spans="1:41" x14ac:dyDescent="0.25">
      <c r="A288" s="6" t="str">
        <f t="shared" ref="A288:A295" si="76">"520-2026000046"</f>
        <v>520-2026000046</v>
      </c>
      <c r="B288" s="6" t="str">
        <f t="shared" si="74"/>
        <v>AUCHAN R</v>
      </c>
      <c r="C288" s="7">
        <v>46042</v>
      </c>
      <c r="D288" s="7">
        <v>46042</v>
      </c>
      <c r="E288" s="8">
        <v>1</v>
      </c>
      <c r="F288" s="6" t="str">
        <f t="shared" ref="F288:F295" si="77">"1073713923"</f>
        <v>1073713923</v>
      </c>
      <c r="G288" s="6" t="str">
        <f>"F100021455000000"</f>
        <v>F100021455000000</v>
      </c>
      <c r="H288" s="6" t="str">
        <f>"FA 214 - PURE - 550"</f>
        <v>FA 214 - PURE - 550</v>
      </c>
      <c r="I288" s="6" t="str">
        <f>"1"</f>
        <v>1</v>
      </c>
      <c r="J288" s="6" t="str">
        <f>"BRANCO"</f>
        <v>BRANCO</v>
      </c>
      <c r="K288" s="6" t="str">
        <f>"0112"</f>
        <v>0112</v>
      </c>
      <c r="L288" s="6" t="str">
        <f>"Luvas"</f>
        <v>Luvas</v>
      </c>
      <c r="M288" s="6" t="str">
        <f>"16x21"</f>
        <v>16x21</v>
      </c>
      <c r="N288" s="6" t="str">
        <f>"5602972836233"</f>
        <v>5602972836233</v>
      </c>
      <c r="O288" s="8">
        <v>24</v>
      </c>
      <c r="P288" s="7">
        <v>46042</v>
      </c>
      <c r="R288" s="8">
        <v>0</v>
      </c>
      <c r="U288" s="8">
        <v>0</v>
      </c>
      <c r="X288" s="8">
        <v>0</v>
      </c>
      <c r="Z288" s="8">
        <v>0</v>
      </c>
      <c r="AC288" s="8">
        <v>24</v>
      </c>
      <c r="AE288" s="7">
        <v>46049</v>
      </c>
      <c r="AF288" s="8">
        <v>24</v>
      </c>
      <c r="AH288" s="7">
        <v>46042</v>
      </c>
      <c r="AN288" s="8">
        <v>24</v>
      </c>
      <c r="AO288" s="8">
        <v>0</v>
      </c>
    </row>
    <row r="289" spans="1:41" x14ac:dyDescent="0.25">
      <c r="A289" s="6" t="str">
        <f t="shared" si="76"/>
        <v>520-2026000046</v>
      </c>
      <c r="B289" s="6" t="str">
        <f t="shared" si="74"/>
        <v>AUCHAN R</v>
      </c>
      <c r="C289" s="7">
        <v>46042</v>
      </c>
      <c r="D289" s="7">
        <v>46042</v>
      </c>
      <c r="E289" s="8">
        <v>2</v>
      </c>
      <c r="F289" s="6" t="str">
        <f t="shared" si="77"/>
        <v>1073713923</v>
      </c>
      <c r="G289" s="6" t="str">
        <f>"F310631555000000"</f>
        <v>F310631555000000</v>
      </c>
      <c r="H289" s="6" t="str">
        <f>"PLAR 6315 - 550 g/m²"</f>
        <v>PLAR 6315 - 550 g/m²</v>
      </c>
      <c r="I289" s="6" t="str">
        <f>"204037"</f>
        <v>204037</v>
      </c>
      <c r="J289" s="6" t="str">
        <f>"AZUL 4037"</f>
        <v>AZUL 4037</v>
      </c>
      <c r="K289" s="6" t="str">
        <f>"2020"</f>
        <v>2020</v>
      </c>
      <c r="L289" s="6" t="str">
        <f>"Lençóis"</f>
        <v>Lençóis</v>
      </c>
      <c r="M289" s="6" t="str">
        <f>"100x150"</f>
        <v>100x150</v>
      </c>
      <c r="N289" s="6" t="str">
        <f>"5602972280852"</f>
        <v>5602972280852</v>
      </c>
      <c r="O289" s="8">
        <v>3</v>
      </c>
      <c r="P289" s="7">
        <v>46042</v>
      </c>
      <c r="R289" s="8">
        <v>0</v>
      </c>
      <c r="U289" s="8">
        <v>0</v>
      </c>
      <c r="X289" s="8">
        <v>0</v>
      </c>
      <c r="Z289" s="8">
        <v>0</v>
      </c>
      <c r="AC289" s="8">
        <v>3</v>
      </c>
      <c r="AE289" s="7">
        <v>46049</v>
      </c>
      <c r="AF289" s="8">
        <v>3</v>
      </c>
      <c r="AH289" s="7">
        <v>46042</v>
      </c>
      <c r="AN289" s="8">
        <v>3</v>
      </c>
      <c r="AO289" s="8">
        <v>0</v>
      </c>
    </row>
    <row r="290" spans="1:41" x14ac:dyDescent="0.25">
      <c r="A290" s="6" t="str">
        <f t="shared" si="76"/>
        <v>520-2026000046</v>
      </c>
      <c r="B290" s="6" t="str">
        <f t="shared" si="74"/>
        <v>AUCHAN R</v>
      </c>
      <c r="C290" s="7">
        <v>46042</v>
      </c>
      <c r="D290" s="7">
        <v>46042</v>
      </c>
      <c r="E290" s="8">
        <v>3</v>
      </c>
      <c r="F290" s="6" t="str">
        <f t="shared" si="77"/>
        <v>1073713923</v>
      </c>
      <c r="G290" s="6" t="str">
        <f>"F300374155000000"</f>
        <v>F300374155000000</v>
      </c>
      <c r="H290" s="6" t="str">
        <f>"PLR 3741 - 550 g/m²"</f>
        <v>PLR 3741 - 550 g/m²</v>
      </c>
      <c r="I290" s="6" t="str">
        <f>"203634"</f>
        <v>203634</v>
      </c>
      <c r="J290" s="6" t="str">
        <f>"ROSA 3634"</f>
        <v>ROSA 3634</v>
      </c>
      <c r="K290" s="6" t="str">
        <f>"2020"</f>
        <v>2020</v>
      </c>
      <c r="L290" s="6" t="str">
        <f>"Lençóis"</f>
        <v>Lençóis</v>
      </c>
      <c r="M290" s="6" t="str">
        <f>"100x150"</f>
        <v>100x150</v>
      </c>
      <c r="N290" s="6" t="str">
        <f>"5602972280883"</f>
        <v>5602972280883</v>
      </c>
      <c r="O290" s="8">
        <v>6</v>
      </c>
      <c r="P290" s="7">
        <v>46042</v>
      </c>
      <c r="R290" s="8">
        <v>0</v>
      </c>
      <c r="U290" s="8">
        <v>0</v>
      </c>
      <c r="X290" s="8">
        <v>0</v>
      </c>
      <c r="Z290" s="8">
        <v>0</v>
      </c>
      <c r="AC290" s="8">
        <v>0</v>
      </c>
      <c r="AE290" s="7">
        <v>46049</v>
      </c>
      <c r="AF290" s="8">
        <v>0</v>
      </c>
      <c r="AH290" s="7">
        <v>46042</v>
      </c>
      <c r="AN290" s="8">
        <v>0</v>
      </c>
      <c r="AO290" s="8">
        <v>6</v>
      </c>
    </row>
    <row r="291" spans="1:41" x14ac:dyDescent="0.25">
      <c r="A291" s="6" t="str">
        <f t="shared" si="76"/>
        <v>520-2026000046</v>
      </c>
      <c r="B291" s="6" t="str">
        <f t="shared" si="74"/>
        <v>AUCHAN R</v>
      </c>
      <c r="C291" s="7">
        <v>46042</v>
      </c>
      <c r="D291" s="7">
        <v>46042</v>
      </c>
      <c r="E291" s="8">
        <v>4</v>
      </c>
      <c r="F291" s="6" t="str">
        <f t="shared" si="77"/>
        <v>1073713923</v>
      </c>
      <c r="G291" s="6" t="str">
        <f>"F310620958000000"</f>
        <v>F310620958000000</v>
      </c>
      <c r="H291" s="6" t="str">
        <f>"PLAR 6209 C/ Franja"</f>
        <v>PLAR 6209 C/ Franja</v>
      </c>
      <c r="I291" s="6" t="str">
        <f>"203699"</f>
        <v>203699</v>
      </c>
      <c r="J291" s="6" t="str">
        <f>"BEGE 3699"</f>
        <v>BEGE 3699</v>
      </c>
      <c r="K291" s="6" t="str">
        <f>"2093"</f>
        <v>2093</v>
      </c>
      <c r="L291" s="6" t="str">
        <f>"Lençóis"</f>
        <v>Lençóis</v>
      </c>
      <c r="M291" s="6" t="str">
        <f>"100x150+8"</f>
        <v>100x150+8</v>
      </c>
      <c r="N291" s="6" t="str">
        <f>"5602972280944"</f>
        <v>5602972280944</v>
      </c>
      <c r="O291" s="8">
        <v>3</v>
      </c>
      <c r="P291" s="7">
        <v>46042</v>
      </c>
      <c r="R291" s="8">
        <v>0</v>
      </c>
      <c r="U291" s="8">
        <v>0</v>
      </c>
      <c r="X291" s="8">
        <v>0</v>
      </c>
      <c r="Z291" s="8">
        <v>0</v>
      </c>
      <c r="AC291" s="8">
        <v>3</v>
      </c>
      <c r="AE291" s="7">
        <v>46049</v>
      </c>
      <c r="AF291" s="8">
        <v>3</v>
      </c>
      <c r="AH291" s="7">
        <v>46042</v>
      </c>
      <c r="AN291" s="8">
        <v>3</v>
      </c>
      <c r="AO291" s="8">
        <v>0</v>
      </c>
    </row>
    <row r="292" spans="1:41" x14ac:dyDescent="0.25">
      <c r="A292" s="6" t="str">
        <f t="shared" si="76"/>
        <v>520-2026000046</v>
      </c>
      <c r="B292" s="6" t="str">
        <f t="shared" si="74"/>
        <v>AUCHAN R</v>
      </c>
      <c r="C292" s="7">
        <v>46042</v>
      </c>
      <c r="D292" s="7">
        <v>46042</v>
      </c>
      <c r="E292" s="8">
        <v>5</v>
      </c>
      <c r="F292" s="6" t="str">
        <f t="shared" si="77"/>
        <v>1073713923</v>
      </c>
      <c r="G292" s="6" t="str">
        <f>"F300374155000000"</f>
        <v>F300374155000000</v>
      </c>
      <c r="H292" s="6" t="str">
        <f>"PLR 3741 - 550 g/m²"</f>
        <v>PLR 3741 - 550 g/m²</v>
      </c>
      <c r="I292" s="6" t="str">
        <f>"203634"</f>
        <v>203634</v>
      </c>
      <c r="J292" s="6" t="str">
        <f>"ROSA 3634"</f>
        <v>ROSA 3634</v>
      </c>
      <c r="K292" s="6" t="str">
        <f>"1024"</f>
        <v>1024</v>
      </c>
      <c r="L292" s="6" t="str">
        <f>"Toalhas"</f>
        <v>Toalhas</v>
      </c>
      <c r="M292" s="6" t="str">
        <f>"50x100"</f>
        <v>50x100</v>
      </c>
      <c r="N292" s="6" t="str">
        <f>"5602972280876"</f>
        <v>5602972280876</v>
      </c>
      <c r="O292" s="8">
        <v>12</v>
      </c>
      <c r="P292" s="7">
        <v>46042</v>
      </c>
      <c r="R292" s="8">
        <v>0</v>
      </c>
      <c r="U292" s="8">
        <v>0</v>
      </c>
      <c r="X292" s="8">
        <v>0</v>
      </c>
      <c r="Z292" s="8">
        <v>0</v>
      </c>
      <c r="AC292" s="8">
        <v>0</v>
      </c>
      <c r="AE292" s="7">
        <v>46049</v>
      </c>
      <c r="AF292" s="8">
        <v>0</v>
      </c>
      <c r="AH292" s="7">
        <v>46042</v>
      </c>
      <c r="AN292" s="8">
        <v>0</v>
      </c>
      <c r="AO292" s="8">
        <v>12</v>
      </c>
    </row>
    <row r="293" spans="1:41" x14ac:dyDescent="0.25">
      <c r="A293" s="6" t="str">
        <f t="shared" si="76"/>
        <v>520-2026000046</v>
      </c>
      <c r="B293" s="6" t="str">
        <f t="shared" si="74"/>
        <v>AUCHAN R</v>
      </c>
      <c r="C293" s="7">
        <v>46042</v>
      </c>
      <c r="D293" s="7">
        <v>46042</v>
      </c>
      <c r="E293" s="8">
        <v>6</v>
      </c>
      <c r="F293" s="6" t="str">
        <f t="shared" si="77"/>
        <v>1073713923</v>
      </c>
      <c r="G293" s="6" t="str">
        <f>"F110329745000000"</f>
        <v>F110329745000000</v>
      </c>
      <c r="H293" s="6" t="str">
        <f>"FAJ 3297 - 450 g/m²"</f>
        <v>FAJ 3297 - 450 g/m²</v>
      </c>
      <c r="I293" s="6" t="str">
        <f>"2"</f>
        <v>2</v>
      </c>
      <c r="J293" s="6" t="str">
        <f>"NATURAL"</f>
        <v>NATURAL</v>
      </c>
      <c r="K293" s="6" t="str">
        <f>"1024"</f>
        <v>1024</v>
      </c>
      <c r="L293" s="6" t="str">
        <f>"Toalhas"</f>
        <v>Toalhas</v>
      </c>
      <c r="M293" s="6" t="str">
        <f>"50x100"</f>
        <v>50x100</v>
      </c>
      <c r="N293" s="6" t="str">
        <f>"5602972277869"</f>
        <v>5602972277869</v>
      </c>
      <c r="O293" s="8">
        <v>12</v>
      </c>
      <c r="P293" s="7">
        <v>46042</v>
      </c>
      <c r="R293" s="8">
        <v>0</v>
      </c>
      <c r="U293" s="8">
        <v>0</v>
      </c>
      <c r="X293" s="8">
        <v>0</v>
      </c>
      <c r="Z293" s="8">
        <v>0</v>
      </c>
      <c r="AC293" s="8">
        <v>0</v>
      </c>
      <c r="AE293" s="7">
        <v>46049</v>
      </c>
      <c r="AF293" s="8">
        <v>0</v>
      </c>
      <c r="AH293" s="7">
        <v>46042</v>
      </c>
      <c r="AN293" s="8">
        <v>0</v>
      </c>
      <c r="AO293" s="8">
        <v>12</v>
      </c>
    </row>
    <row r="294" spans="1:41" x14ac:dyDescent="0.25">
      <c r="A294" s="6" t="str">
        <f t="shared" si="76"/>
        <v>520-2026000046</v>
      </c>
      <c r="B294" s="6" t="str">
        <f t="shared" si="74"/>
        <v>AUCHAN R</v>
      </c>
      <c r="C294" s="7">
        <v>46042</v>
      </c>
      <c r="D294" s="7">
        <v>46042</v>
      </c>
      <c r="E294" s="8">
        <v>7</v>
      </c>
      <c r="F294" s="6" t="str">
        <f t="shared" si="77"/>
        <v>1073713923</v>
      </c>
      <c r="G294" s="6" t="str">
        <f>"C090020000000085"</f>
        <v>C090020000000085</v>
      </c>
      <c r="H294" s="6" t="str">
        <f>"Conj. Cetim 200 Fios"</f>
        <v>Conj. Cetim 200 Fios</v>
      </c>
      <c r="I294" s="6" t="str">
        <f>"600001"</f>
        <v>600001</v>
      </c>
      <c r="J294" s="6" t="str">
        <f>"Branco"</f>
        <v>Branco</v>
      </c>
      <c r="K294" s="6" t="str">
        <f>"4014"</f>
        <v>4014</v>
      </c>
      <c r="L294" s="6" t="str">
        <f>"Conjunto/Jogos"</f>
        <v>Conjunto/Jogos</v>
      </c>
      <c r="M294" s="6" t="str">
        <f>"(2 Pcs)"</f>
        <v>(2 Pcs)</v>
      </c>
      <c r="N294" s="6" t="str">
        <f>"5602972279856"</f>
        <v>5602972279856</v>
      </c>
      <c r="O294" s="8">
        <v>24</v>
      </c>
      <c r="P294" s="7">
        <v>46042</v>
      </c>
      <c r="R294" s="8">
        <v>0</v>
      </c>
      <c r="U294" s="8">
        <v>0</v>
      </c>
      <c r="X294" s="8">
        <v>0</v>
      </c>
      <c r="Z294" s="8">
        <v>0</v>
      </c>
      <c r="AC294" s="8">
        <v>24</v>
      </c>
      <c r="AE294" s="7">
        <v>46049</v>
      </c>
      <c r="AF294" s="8">
        <v>24</v>
      </c>
      <c r="AH294" s="7">
        <v>46042</v>
      </c>
      <c r="AN294" s="8">
        <v>24</v>
      </c>
      <c r="AO294" s="8">
        <v>0</v>
      </c>
    </row>
    <row r="295" spans="1:41" x14ac:dyDescent="0.25">
      <c r="A295" s="6" t="str">
        <f t="shared" si="76"/>
        <v>520-2026000046</v>
      </c>
      <c r="B295" s="6" t="str">
        <f t="shared" si="74"/>
        <v>AUCHAN R</v>
      </c>
      <c r="C295" s="7">
        <v>46042</v>
      </c>
      <c r="D295" s="7">
        <v>46042</v>
      </c>
      <c r="E295" s="8">
        <v>8</v>
      </c>
      <c r="F295" s="6" t="str">
        <f t="shared" si="77"/>
        <v>1073713923</v>
      </c>
      <c r="G295" s="6" t="str">
        <f>"F110110840000003"</f>
        <v>F110110840000003</v>
      </c>
      <c r="H295" s="6" t="str">
        <f>"FAJ 1108 - 400 g/m²"</f>
        <v>FAJ 1108 - 400 g/m²</v>
      </c>
      <c r="I295" s="6" t="str">
        <f>"3073"</f>
        <v>3073</v>
      </c>
      <c r="J295" s="6" t="str">
        <f>"CINZA 3073"</f>
        <v>CINZA 3073</v>
      </c>
      <c r="K295" s="6" t="str">
        <f>"0830"</f>
        <v>0830</v>
      </c>
      <c r="L295" s="6" t="str">
        <f>"Cozinha"</f>
        <v>Cozinha</v>
      </c>
      <c r="M295" s="6" t="str">
        <f>"50x70"</f>
        <v>50x70</v>
      </c>
      <c r="N295" s="6" t="str">
        <f>"5602972279535"</f>
        <v>5602972279535</v>
      </c>
      <c r="O295" s="8">
        <v>24</v>
      </c>
      <c r="P295" s="7">
        <v>46042</v>
      </c>
      <c r="R295" s="8">
        <v>0</v>
      </c>
      <c r="U295" s="8">
        <v>0</v>
      </c>
      <c r="X295" s="8">
        <v>0</v>
      </c>
      <c r="Z295" s="8">
        <v>0</v>
      </c>
      <c r="AC295" s="8">
        <v>24</v>
      </c>
      <c r="AE295" s="7">
        <v>46049</v>
      </c>
      <c r="AF295" s="8">
        <v>24</v>
      </c>
      <c r="AH295" s="7">
        <v>46042</v>
      </c>
      <c r="AN295" s="8">
        <v>24</v>
      </c>
      <c r="AO295" s="8">
        <v>0</v>
      </c>
    </row>
    <row r="296" spans="1:41" x14ac:dyDescent="0.25">
      <c r="A296" s="6" t="str">
        <f>"520-2026000047"</f>
        <v>520-2026000047</v>
      </c>
      <c r="B296" s="6" t="str">
        <f>"M. CLASS"</f>
        <v>M. CLASS</v>
      </c>
      <c r="C296" s="7">
        <v>46043</v>
      </c>
      <c r="D296" s="7">
        <v>46043</v>
      </c>
      <c r="E296" s="8">
        <v>1</v>
      </c>
      <c r="F296" s="6" t="str">
        <f>"MAIL 20.01.2026"</f>
        <v>MAIL 20.01.2026</v>
      </c>
      <c r="G296" s="6" t="str">
        <f>"F902000299900000"</f>
        <v>F902000299900000</v>
      </c>
      <c r="H296" s="6" t="str">
        <f>"Felpo Diverso (kg)"</f>
        <v>Felpo Diverso (kg)</v>
      </c>
      <c r="I296" s="6" t="str">
        <f>"300001"</f>
        <v>300001</v>
      </c>
      <c r="J296" s="6" t="str">
        <f>"SORTIDAS 1"</f>
        <v>SORTIDAS 1</v>
      </c>
      <c r="K296" s="6" t="str">
        <f>"2020"</f>
        <v>2020</v>
      </c>
      <c r="L296" s="6" t="str">
        <f>"Lençóis"</f>
        <v>Lençóis</v>
      </c>
      <c r="M296" s="6" t="str">
        <f>"100x150"</f>
        <v>100x150</v>
      </c>
      <c r="N296" s="6" t="str">
        <f>"5600000020500"</f>
        <v>5600000020500</v>
      </c>
      <c r="O296" s="8">
        <v>30</v>
      </c>
      <c r="P296" s="7">
        <v>46043</v>
      </c>
      <c r="R296" s="8">
        <v>0</v>
      </c>
      <c r="U296" s="8">
        <v>0</v>
      </c>
      <c r="X296" s="8">
        <v>0</v>
      </c>
      <c r="Z296" s="8">
        <v>0</v>
      </c>
      <c r="AC296" s="8">
        <v>60</v>
      </c>
      <c r="AF296" s="8">
        <v>60</v>
      </c>
      <c r="AH296" s="7">
        <v>46043</v>
      </c>
      <c r="AN296" s="8">
        <v>30</v>
      </c>
      <c r="AO296" s="8">
        <v>0</v>
      </c>
    </row>
    <row r="297" spans="1:41" x14ac:dyDescent="0.25">
      <c r="A297" s="6" t="str">
        <f>"520-2026000047"</f>
        <v>520-2026000047</v>
      </c>
      <c r="B297" s="6" t="str">
        <f>"M. CLASS"</f>
        <v>M. CLASS</v>
      </c>
      <c r="C297" s="7">
        <v>46043</v>
      </c>
      <c r="D297" s="7">
        <v>46043</v>
      </c>
      <c r="E297" s="8">
        <v>2</v>
      </c>
      <c r="F297" s="6" t="str">
        <f>"MAIL 20.01.2026"</f>
        <v>MAIL 20.01.2026</v>
      </c>
      <c r="G297" s="6" t="str">
        <f>"F902000299900000"</f>
        <v>F902000299900000</v>
      </c>
      <c r="H297" s="6" t="str">
        <f>"Felpo Diverso (kg)"</f>
        <v>Felpo Diverso (kg)</v>
      </c>
      <c r="I297" s="6" t="str">
        <f>"300001"</f>
        <v>300001</v>
      </c>
      <c r="J297" s="6" t="str">
        <f>"SORTIDAS 1"</f>
        <v>SORTIDAS 1</v>
      </c>
      <c r="K297" s="6" t="str">
        <f>"1535"</f>
        <v>1535</v>
      </c>
      <c r="L297" s="6" t="str">
        <f>"Toalhões"</f>
        <v>Toalhões</v>
      </c>
      <c r="M297" s="6" t="str">
        <f>"70x140"</f>
        <v>70x140</v>
      </c>
      <c r="N297" s="6" t="str">
        <f>"5605247904125"</f>
        <v>5605247904125</v>
      </c>
      <c r="O297" s="8">
        <v>30</v>
      </c>
      <c r="P297" s="7">
        <v>46043</v>
      </c>
      <c r="R297" s="8">
        <v>0</v>
      </c>
      <c r="U297" s="8">
        <v>0</v>
      </c>
      <c r="X297" s="8">
        <v>0</v>
      </c>
      <c r="Z297" s="8">
        <v>0</v>
      </c>
      <c r="AC297" s="8">
        <v>60</v>
      </c>
      <c r="AF297" s="8">
        <v>60</v>
      </c>
      <c r="AH297" s="7">
        <v>46043</v>
      </c>
      <c r="AN297" s="8">
        <v>30</v>
      </c>
      <c r="AO297" s="8">
        <v>0</v>
      </c>
    </row>
    <row r="298" spans="1:41" x14ac:dyDescent="0.25">
      <c r="A298" s="6" t="str">
        <f>"520-2026000047"</f>
        <v>520-2026000047</v>
      </c>
      <c r="B298" s="6" t="str">
        <f>"M. CLASS"</f>
        <v>M. CLASS</v>
      </c>
      <c r="C298" s="7">
        <v>46043</v>
      </c>
      <c r="D298" s="7">
        <v>46043</v>
      </c>
      <c r="E298" s="8">
        <v>3</v>
      </c>
      <c r="F298" s="6" t="str">
        <f>"MAIL 20.01.2026"</f>
        <v>MAIL 20.01.2026</v>
      </c>
      <c r="G298" s="6" t="str">
        <f>"F902000299900000"</f>
        <v>F902000299900000</v>
      </c>
      <c r="H298" s="6" t="str">
        <f>"Felpo Diverso (kg)"</f>
        <v>Felpo Diverso (kg)</v>
      </c>
      <c r="I298" s="6" t="str">
        <f>"300001"</f>
        <v>300001</v>
      </c>
      <c r="J298" s="6" t="str">
        <f>"SORTIDAS 1"</f>
        <v>SORTIDAS 1</v>
      </c>
      <c r="K298" s="6" t="str">
        <f>"1024"</f>
        <v>1024</v>
      </c>
      <c r="L298" s="6" t="str">
        <f>"Toalhas"</f>
        <v>Toalhas</v>
      </c>
      <c r="M298" s="6" t="str">
        <f>"50x100"</f>
        <v>50x100</v>
      </c>
      <c r="N298" s="6" t="str">
        <f>"5605247904132"</f>
        <v>5605247904132</v>
      </c>
      <c r="O298" s="8">
        <v>30</v>
      </c>
      <c r="P298" s="7">
        <v>46043</v>
      </c>
      <c r="R298" s="8">
        <v>0</v>
      </c>
      <c r="U298" s="8">
        <v>0</v>
      </c>
      <c r="X298" s="8">
        <v>0</v>
      </c>
      <c r="Z298" s="8">
        <v>0</v>
      </c>
      <c r="AC298" s="8">
        <v>60</v>
      </c>
      <c r="AF298" s="8">
        <v>60</v>
      </c>
      <c r="AH298" s="7">
        <v>46043</v>
      </c>
      <c r="AN298" s="8">
        <v>30</v>
      </c>
      <c r="AO298" s="8">
        <v>0</v>
      </c>
    </row>
    <row r="299" spans="1:41" x14ac:dyDescent="0.25">
      <c r="A299" s="6" t="str">
        <f>"520-2026000047"</f>
        <v>520-2026000047</v>
      </c>
      <c r="B299" s="6" t="str">
        <f>"M. CLASS"</f>
        <v>M. CLASS</v>
      </c>
      <c r="C299" s="7">
        <v>46043</v>
      </c>
      <c r="D299" s="7">
        <v>46043</v>
      </c>
      <c r="E299" s="8">
        <v>4</v>
      </c>
      <c r="F299" s="6" t="str">
        <f>"MAIL 20.01.2026"</f>
        <v>MAIL 20.01.2026</v>
      </c>
      <c r="G299" s="6" t="str">
        <f>"F902000299900000"</f>
        <v>F902000299900000</v>
      </c>
      <c r="H299" s="6" t="str">
        <f>"Felpo Diverso (kg)"</f>
        <v>Felpo Diverso (kg)</v>
      </c>
      <c r="I299" s="6" t="str">
        <f>"300001"</f>
        <v>300001</v>
      </c>
      <c r="J299" s="6" t="str">
        <f>"SORTIDAS 1"</f>
        <v>SORTIDAS 1</v>
      </c>
      <c r="K299" s="6" t="str">
        <f>"0530"</f>
        <v>0530</v>
      </c>
      <c r="L299" s="6" t="str">
        <f>"Toalhetes"</f>
        <v>Toalhetes</v>
      </c>
      <c r="M299" s="6" t="str">
        <f>"33x50"</f>
        <v>33x50</v>
      </c>
      <c r="N299" s="6" t="str">
        <f>"5600000030080"</f>
        <v>5600000030080</v>
      </c>
      <c r="O299" s="8">
        <v>2</v>
      </c>
      <c r="P299" s="7">
        <v>46043</v>
      </c>
      <c r="R299" s="8">
        <v>0</v>
      </c>
      <c r="U299" s="8">
        <v>0</v>
      </c>
      <c r="X299" s="8">
        <v>0</v>
      </c>
      <c r="Z299" s="8">
        <v>0</v>
      </c>
      <c r="AC299" s="8">
        <v>4</v>
      </c>
      <c r="AF299" s="8">
        <v>4</v>
      </c>
      <c r="AH299" s="7">
        <v>46043</v>
      </c>
      <c r="AN299" s="8">
        <v>2</v>
      </c>
      <c r="AO299" s="8">
        <v>0</v>
      </c>
    </row>
    <row r="300" spans="1:41" x14ac:dyDescent="0.25">
      <c r="A300" s="6" t="str">
        <f>"520-2026000048"</f>
        <v>520-2026000048</v>
      </c>
      <c r="B300" s="6" t="str">
        <f>"SEARA AM"</f>
        <v>SEARA AM</v>
      </c>
      <c r="C300" s="7">
        <v>46043</v>
      </c>
      <c r="D300" s="7">
        <v>46043</v>
      </c>
      <c r="E300" s="8">
        <v>1</v>
      </c>
      <c r="F300" s="6" t="str">
        <f>"PRAIAS"</f>
        <v>PRAIAS</v>
      </c>
      <c r="G300" s="6" t="str">
        <f>"F902000000000008"</f>
        <v>F902000000000008</v>
      </c>
      <c r="H300" s="6" t="str">
        <f>"Toalhas de Praia Sor"</f>
        <v>Toalhas de Praia Sor</v>
      </c>
      <c r="I300" s="6" t="str">
        <f>"300001"</f>
        <v>300001</v>
      </c>
      <c r="J300" s="6" t="str">
        <f>"SORTIDAS 1"</f>
        <v>SORTIDAS 1</v>
      </c>
      <c r="K300" s="6" t="str">
        <f>"3501"</f>
        <v>3501</v>
      </c>
      <c r="L300" s="6" t="str">
        <f>"Praia"</f>
        <v>Praia</v>
      </c>
      <c r="M300" s="6" t="str">
        <f>"Sortidos"</f>
        <v>Sortidos</v>
      </c>
      <c r="N300" s="6" t="str">
        <f>"5602972281019"</f>
        <v>5602972281019</v>
      </c>
      <c r="O300" s="8">
        <v>1046</v>
      </c>
      <c r="P300" s="7">
        <v>46043</v>
      </c>
      <c r="R300" s="8">
        <v>0</v>
      </c>
      <c r="U300" s="8">
        <v>0</v>
      </c>
      <c r="X300" s="8">
        <v>0</v>
      </c>
      <c r="Z300" s="8">
        <v>0</v>
      </c>
      <c r="AC300" s="8">
        <v>923</v>
      </c>
      <c r="AF300" s="8">
        <v>923</v>
      </c>
      <c r="AH300" s="7">
        <v>46043</v>
      </c>
      <c r="AN300" s="8">
        <v>923</v>
      </c>
      <c r="AO300" s="8">
        <v>123</v>
      </c>
    </row>
    <row r="301" spans="1:41" x14ac:dyDescent="0.25">
      <c r="A301" s="6" t="str">
        <f t="shared" ref="A301:A310" si="78">"520-2026000051"</f>
        <v>520-2026000051</v>
      </c>
      <c r="B301" s="6" t="str">
        <f t="shared" ref="B301:B321" si="79">"AUCHAN R"</f>
        <v>AUCHAN R</v>
      </c>
      <c r="C301" s="7">
        <v>46045</v>
      </c>
      <c r="D301" s="7">
        <v>46048</v>
      </c>
      <c r="E301" s="8">
        <v>1</v>
      </c>
      <c r="F301" s="6" t="str">
        <f t="shared" ref="F301:F310" si="80">"1073717572"</f>
        <v>1073717572</v>
      </c>
      <c r="G301" s="6" t="str">
        <f>"F310631555000000"</f>
        <v>F310631555000000</v>
      </c>
      <c r="H301" s="6" t="str">
        <f>"PLAR 6315 - 550 g/m²"</f>
        <v>PLAR 6315 - 550 g/m²</v>
      </c>
      <c r="I301" s="6" t="str">
        <f>"201646"</f>
        <v>201646</v>
      </c>
      <c r="J301" s="6" t="str">
        <f>"MUSTARDA 1646"</f>
        <v>MUSTARDA 1646</v>
      </c>
      <c r="K301" s="6" t="str">
        <f>"2020"</f>
        <v>2020</v>
      </c>
      <c r="L301" s="6" t="str">
        <f>"Lençóis"</f>
        <v>Lençóis</v>
      </c>
      <c r="M301" s="6" t="str">
        <f>"100x150"</f>
        <v>100x150</v>
      </c>
      <c r="N301" s="6" t="str">
        <f>"5602972280821"</f>
        <v>5602972280821</v>
      </c>
      <c r="O301" s="8">
        <v>3</v>
      </c>
      <c r="P301" s="7">
        <v>46045</v>
      </c>
      <c r="R301" s="8">
        <v>0</v>
      </c>
      <c r="U301" s="8">
        <v>0</v>
      </c>
      <c r="X301" s="8">
        <v>0</v>
      </c>
      <c r="Z301" s="8">
        <v>0</v>
      </c>
      <c r="AC301" s="8">
        <v>3</v>
      </c>
      <c r="AE301" s="7">
        <v>46052</v>
      </c>
      <c r="AF301" s="8">
        <v>3</v>
      </c>
      <c r="AH301" s="7">
        <v>46048</v>
      </c>
      <c r="AN301" s="8">
        <v>3</v>
      </c>
      <c r="AO301" s="8">
        <v>0</v>
      </c>
    </row>
    <row r="302" spans="1:41" x14ac:dyDescent="0.25">
      <c r="A302" s="6" t="str">
        <f t="shared" si="78"/>
        <v>520-2026000051</v>
      </c>
      <c r="B302" s="6" t="str">
        <f t="shared" si="79"/>
        <v>AUCHAN R</v>
      </c>
      <c r="C302" s="7">
        <v>46045</v>
      </c>
      <c r="D302" s="7">
        <v>46048</v>
      </c>
      <c r="E302" s="8">
        <v>2</v>
      </c>
      <c r="F302" s="6" t="str">
        <f t="shared" si="80"/>
        <v>1073717572</v>
      </c>
      <c r="G302" s="6" t="str">
        <f>"F300374155000000"</f>
        <v>F300374155000000</v>
      </c>
      <c r="H302" s="6" t="str">
        <f>"PLR 3741 - 550 g/m²"</f>
        <v>PLR 3741 - 550 g/m²</v>
      </c>
      <c r="I302" s="6" t="str">
        <f>"203634"</f>
        <v>203634</v>
      </c>
      <c r="J302" s="6" t="str">
        <f>"ROSA 3634"</f>
        <v>ROSA 3634</v>
      </c>
      <c r="K302" s="6" t="str">
        <f>"2020"</f>
        <v>2020</v>
      </c>
      <c r="L302" s="6" t="str">
        <f>"Lençóis"</f>
        <v>Lençóis</v>
      </c>
      <c r="M302" s="6" t="str">
        <f>"100x150"</f>
        <v>100x150</v>
      </c>
      <c r="N302" s="6" t="str">
        <f>"5602972280883"</f>
        <v>5602972280883</v>
      </c>
      <c r="O302" s="8">
        <v>6</v>
      </c>
      <c r="P302" s="7">
        <v>46045</v>
      </c>
      <c r="R302" s="8">
        <v>0</v>
      </c>
      <c r="U302" s="8">
        <v>0</v>
      </c>
      <c r="X302" s="8">
        <v>0</v>
      </c>
      <c r="Z302" s="8">
        <v>0</v>
      </c>
      <c r="AC302" s="8">
        <v>0</v>
      </c>
      <c r="AE302" s="7">
        <v>46052</v>
      </c>
      <c r="AF302" s="8">
        <v>0</v>
      </c>
      <c r="AH302" s="7">
        <v>46048</v>
      </c>
      <c r="AN302" s="8">
        <v>0</v>
      </c>
      <c r="AO302" s="8">
        <v>6</v>
      </c>
    </row>
    <row r="303" spans="1:41" x14ac:dyDescent="0.25">
      <c r="A303" s="6" t="str">
        <f t="shared" si="78"/>
        <v>520-2026000051</v>
      </c>
      <c r="B303" s="6" t="str">
        <f t="shared" si="79"/>
        <v>AUCHAN R</v>
      </c>
      <c r="C303" s="7">
        <v>46045</v>
      </c>
      <c r="D303" s="7">
        <v>46048</v>
      </c>
      <c r="E303" s="8">
        <v>3</v>
      </c>
      <c r="F303" s="6" t="str">
        <f t="shared" si="80"/>
        <v>1073717572</v>
      </c>
      <c r="G303" s="6" t="str">
        <f>"F310620958000000"</f>
        <v>F310620958000000</v>
      </c>
      <c r="H303" s="6" t="str">
        <f>"PLAR 6209 C/ Franja"</f>
        <v>PLAR 6209 C/ Franja</v>
      </c>
      <c r="I303" s="6" t="str">
        <f>"203699"</f>
        <v>203699</v>
      </c>
      <c r="J303" s="6" t="str">
        <f>"BEGE 3699"</f>
        <v>BEGE 3699</v>
      </c>
      <c r="K303" s="6" t="str">
        <f>"2093"</f>
        <v>2093</v>
      </c>
      <c r="L303" s="6" t="str">
        <f>"Lençóis"</f>
        <v>Lençóis</v>
      </c>
      <c r="M303" s="6" t="str">
        <f>"100x150+8"</f>
        <v>100x150+8</v>
      </c>
      <c r="N303" s="6" t="str">
        <f>"5602972280944"</f>
        <v>5602972280944</v>
      </c>
      <c r="O303" s="8">
        <v>3</v>
      </c>
      <c r="P303" s="7">
        <v>46045</v>
      </c>
      <c r="R303" s="8">
        <v>0</v>
      </c>
      <c r="U303" s="8">
        <v>0</v>
      </c>
      <c r="X303" s="8">
        <v>0</v>
      </c>
      <c r="Z303" s="8">
        <v>0</v>
      </c>
      <c r="AC303" s="8">
        <v>3</v>
      </c>
      <c r="AE303" s="7">
        <v>46052</v>
      </c>
      <c r="AF303" s="8">
        <v>3</v>
      </c>
      <c r="AH303" s="7">
        <v>46048</v>
      </c>
      <c r="AN303" s="8">
        <v>3</v>
      </c>
      <c r="AO303" s="8">
        <v>0</v>
      </c>
    </row>
    <row r="304" spans="1:41" x14ac:dyDescent="0.25">
      <c r="A304" s="6" t="str">
        <f t="shared" si="78"/>
        <v>520-2026000051</v>
      </c>
      <c r="B304" s="6" t="str">
        <f t="shared" si="79"/>
        <v>AUCHAN R</v>
      </c>
      <c r="C304" s="7">
        <v>46045</v>
      </c>
      <c r="D304" s="7">
        <v>46048</v>
      </c>
      <c r="E304" s="8">
        <v>4</v>
      </c>
      <c r="F304" s="6" t="str">
        <f t="shared" si="80"/>
        <v>1073717572</v>
      </c>
      <c r="G304" s="6" t="str">
        <f>"F100021455000010"</f>
        <v>F100021455000010</v>
      </c>
      <c r="H304" s="6" t="str">
        <f>"FA 214 Bio GOTS - 55"</f>
        <v>FA 214 Bio GOTS - 55</v>
      </c>
      <c r="I304" s="6" t="str">
        <f>"19"</f>
        <v>19</v>
      </c>
      <c r="J304" s="6" t="str">
        <f>"PRETO REACTIVO 570"</f>
        <v>PRETO REACTIVO 570</v>
      </c>
      <c r="K304" s="6" t="str">
        <f>"2020"</f>
        <v>2020</v>
      </c>
      <c r="L304" s="6" t="str">
        <f>"Lençóis"</f>
        <v>Lençóis</v>
      </c>
      <c r="M304" s="6" t="str">
        <f>"100x150"</f>
        <v>100x150</v>
      </c>
      <c r="N304" s="6" t="str">
        <f>"5602972278620"</f>
        <v>5602972278620</v>
      </c>
      <c r="O304" s="8">
        <v>3</v>
      </c>
      <c r="P304" s="7">
        <v>46045</v>
      </c>
      <c r="R304" s="8">
        <v>0</v>
      </c>
      <c r="U304" s="8">
        <v>0</v>
      </c>
      <c r="X304" s="8">
        <v>0</v>
      </c>
      <c r="Z304" s="8">
        <v>0</v>
      </c>
      <c r="AC304" s="8">
        <v>3</v>
      </c>
      <c r="AE304" s="7">
        <v>46052</v>
      </c>
      <c r="AF304" s="8">
        <v>3</v>
      </c>
      <c r="AH304" s="7">
        <v>46048</v>
      </c>
      <c r="AN304" s="8">
        <v>3</v>
      </c>
      <c r="AO304" s="8">
        <v>0</v>
      </c>
    </row>
    <row r="305" spans="1:41" x14ac:dyDescent="0.25">
      <c r="A305" s="6" t="str">
        <f t="shared" si="78"/>
        <v>520-2026000051</v>
      </c>
      <c r="B305" s="6" t="str">
        <f t="shared" si="79"/>
        <v>AUCHAN R</v>
      </c>
      <c r="C305" s="7">
        <v>46045</v>
      </c>
      <c r="D305" s="7">
        <v>46048</v>
      </c>
      <c r="E305" s="8">
        <v>5</v>
      </c>
      <c r="F305" s="6" t="str">
        <f t="shared" si="80"/>
        <v>1073717572</v>
      </c>
      <c r="G305" s="6" t="str">
        <f>"F110329745000000"</f>
        <v>F110329745000000</v>
      </c>
      <c r="H305" s="6" t="str">
        <f>"FAJ 3297 - 450 g/m²"</f>
        <v>FAJ 3297 - 450 g/m²</v>
      </c>
      <c r="I305" s="6" t="str">
        <f>"2"</f>
        <v>2</v>
      </c>
      <c r="J305" s="6" t="str">
        <f>"NATURAL"</f>
        <v>NATURAL</v>
      </c>
      <c r="K305" s="6" t="str">
        <f>"0520"</f>
        <v>0520</v>
      </c>
      <c r="L305" s="6" t="str">
        <f>"Toalhetes"</f>
        <v>Toalhetes</v>
      </c>
      <c r="M305" s="6" t="str">
        <f>"30x50"</f>
        <v>30x50</v>
      </c>
      <c r="N305" s="6" t="str">
        <f>"5602972277852"</f>
        <v>5602972277852</v>
      </c>
      <c r="O305" s="8">
        <v>18</v>
      </c>
      <c r="P305" s="7">
        <v>46045</v>
      </c>
      <c r="R305" s="8">
        <v>0</v>
      </c>
      <c r="U305" s="8">
        <v>0</v>
      </c>
      <c r="X305" s="8">
        <v>0</v>
      </c>
      <c r="Z305" s="8">
        <v>0</v>
      </c>
      <c r="AC305" s="8">
        <v>0</v>
      </c>
      <c r="AE305" s="7">
        <v>46052</v>
      </c>
      <c r="AF305" s="8">
        <v>0</v>
      </c>
      <c r="AH305" s="7">
        <v>46048</v>
      </c>
      <c r="AN305" s="8">
        <v>0</v>
      </c>
      <c r="AO305" s="8">
        <v>18</v>
      </c>
    </row>
    <row r="306" spans="1:41" x14ac:dyDescent="0.25">
      <c r="A306" s="6" t="str">
        <f t="shared" si="78"/>
        <v>520-2026000051</v>
      </c>
      <c r="B306" s="6" t="str">
        <f t="shared" si="79"/>
        <v>AUCHAN R</v>
      </c>
      <c r="C306" s="7">
        <v>46045</v>
      </c>
      <c r="D306" s="7">
        <v>46048</v>
      </c>
      <c r="E306" s="8">
        <v>6</v>
      </c>
      <c r="F306" s="6" t="str">
        <f t="shared" si="80"/>
        <v>1073717572</v>
      </c>
      <c r="G306" s="6" t="str">
        <f>"F310631555000000"</f>
        <v>F310631555000000</v>
      </c>
      <c r="H306" s="6" t="str">
        <f>"PLAR 6315 - 550 g/m²"</f>
        <v>PLAR 6315 - 550 g/m²</v>
      </c>
      <c r="I306" s="6" t="str">
        <f>"201646"</f>
        <v>201646</v>
      </c>
      <c r="J306" s="6" t="str">
        <f>"MUSTARDA 1646"</f>
        <v>MUSTARDA 1646</v>
      </c>
      <c r="K306" s="6" t="str">
        <f>"1024"</f>
        <v>1024</v>
      </c>
      <c r="L306" s="6" t="str">
        <f>"Toalhas"</f>
        <v>Toalhas</v>
      </c>
      <c r="M306" s="6" t="str">
        <f>"50x100"</f>
        <v>50x100</v>
      </c>
      <c r="N306" s="6" t="str">
        <f>"5602972280814"</f>
        <v>5602972280814</v>
      </c>
      <c r="O306" s="8">
        <v>12</v>
      </c>
      <c r="P306" s="7">
        <v>46045</v>
      </c>
      <c r="R306" s="8">
        <v>0</v>
      </c>
      <c r="U306" s="8">
        <v>0</v>
      </c>
      <c r="X306" s="8">
        <v>0</v>
      </c>
      <c r="Z306" s="8">
        <v>0</v>
      </c>
      <c r="AC306" s="8">
        <v>12</v>
      </c>
      <c r="AE306" s="7">
        <v>46052</v>
      </c>
      <c r="AF306" s="8">
        <v>12</v>
      </c>
      <c r="AH306" s="7">
        <v>46048</v>
      </c>
      <c r="AN306" s="8">
        <v>12</v>
      </c>
      <c r="AO306" s="8">
        <v>0</v>
      </c>
    </row>
    <row r="307" spans="1:41" x14ac:dyDescent="0.25">
      <c r="A307" s="6" t="str">
        <f t="shared" si="78"/>
        <v>520-2026000051</v>
      </c>
      <c r="B307" s="6" t="str">
        <f t="shared" si="79"/>
        <v>AUCHAN R</v>
      </c>
      <c r="C307" s="7">
        <v>46045</v>
      </c>
      <c r="D307" s="7">
        <v>46048</v>
      </c>
      <c r="E307" s="8">
        <v>7</v>
      </c>
      <c r="F307" s="6" t="str">
        <f t="shared" si="80"/>
        <v>1073717572</v>
      </c>
      <c r="G307" s="6" t="str">
        <f>"F300374155000000"</f>
        <v>F300374155000000</v>
      </c>
      <c r="H307" s="6" t="str">
        <f>"PLR 3741 - 550 g/m²"</f>
        <v>PLR 3741 - 550 g/m²</v>
      </c>
      <c r="I307" s="6" t="str">
        <f>"203634"</f>
        <v>203634</v>
      </c>
      <c r="J307" s="6" t="str">
        <f>"ROSA 3634"</f>
        <v>ROSA 3634</v>
      </c>
      <c r="K307" s="6" t="str">
        <f>"1024"</f>
        <v>1024</v>
      </c>
      <c r="L307" s="6" t="str">
        <f>"Toalhas"</f>
        <v>Toalhas</v>
      </c>
      <c r="M307" s="6" t="str">
        <f>"50x100"</f>
        <v>50x100</v>
      </c>
      <c r="N307" s="6" t="str">
        <f>"5602972280876"</f>
        <v>5602972280876</v>
      </c>
      <c r="O307" s="8">
        <v>24</v>
      </c>
      <c r="P307" s="7">
        <v>46045</v>
      </c>
      <c r="R307" s="8">
        <v>0</v>
      </c>
      <c r="U307" s="8">
        <v>0</v>
      </c>
      <c r="X307" s="8">
        <v>0</v>
      </c>
      <c r="Z307" s="8">
        <v>0</v>
      </c>
      <c r="AC307" s="8">
        <v>12</v>
      </c>
      <c r="AE307" s="7">
        <v>46052</v>
      </c>
      <c r="AF307" s="8">
        <v>12</v>
      </c>
      <c r="AH307" s="7">
        <v>46048</v>
      </c>
      <c r="AN307" s="8">
        <v>12</v>
      </c>
      <c r="AO307" s="8">
        <v>12</v>
      </c>
    </row>
    <row r="308" spans="1:41" x14ac:dyDescent="0.25">
      <c r="A308" s="6" t="str">
        <f t="shared" si="78"/>
        <v>520-2026000051</v>
      </c>
      <c r="B308" s="6" t="str">
        <f t="shared" si="79"/>
        <v>AUCHAN R</v>
      </c>
      <c r="C308" s="7">
        <v>46045</v>
      </c>
      <c r="D308" s="7">
        <v>46048</v>
      </c>
      <c r="E308" s="8">
        <v>8</v>
      </c>
      <c r="F308" s="6" t="str">
        <f t="shared" si="80"/>
        <v>1073717572</v>
      </c>
      <c r="G308" s="6" t="str">
        <f>"F110329745000000"</f>
        <v>F110329745000000</v>
      </c>
      <c r="H308" s="6" t="str">
        <f>"FAJ 3297 - 450 g/m²"</f>
        <v>FAJ 3297 - 450 g/m²</v>
      </c>
      <c r="I308" s="6" t="str">
        <f>"2"</f>
        <v>2</v>
      </c>
      <c r="J308" s="6" t="str">
        <f>"NATURAL"</f>
        <v>NATURAL</v>
      </c>
      <c r="K308" s="6" t="str">
        <f>"1024"</f>
        <v>1024</v>
      </c>
      <c r="L308" s="6" t="str">
        <f>"Toalhas"</f>
        <v>Toalhas</v>
      </c>
      <c r="M308" s="6" t="str">
        <f>"50x100"</f>
        <v>50x100</v>
      </c>
      <c r="N308" s="6" t="str">
        <f>"5602972277869"</f>
        <v>5602972277869</v>
      </c>
      <c r="O308" s="8">
        <v>18</v>
      </c>
      <c r="P308" s="7">
        <v>46045</v>
      </c>
      <c r="R308" s="8">
        <v>0</v>
      </c>
      <c r="U308" s="8">
        <v>0</v>
      </c>
      <c r="X308" s="8">
        <v>0</v>
      </c>
      <c r="Z308" s="8">
        <v>0</v>
      </c>
      <c r="AC308" s="8">
        <v>0</v>
      </c>
      <c r="AE308" s="7">
        <v>46052</v>
      </c>
      <c r="AF308" s="8">
        <v>0</v>
      </c>
      <c r="AH308" s="7">
        <v>46048</v>
      </c>
      <c r="AN308" s="8">
        <v>0</v>
      </c>
      <c r="AO308" s="8">
        <v>18</v>
      </c>
    </row>
    <row r="309" spans="1:41" x14ac:dyDescent="0.25">
      <c r="A309" s="6" t="str">
        <f t="shared" si="78"/>
        <v>520-2026000051</v>
      </c>
      <c r="B309" s="6" t="str">
        <f t="shared" si="79"/>
        <v>AUCHAN R</v>
      </c>
      <c r="C309" s="7">
        <v>46045</v>
      </c>
      <c r="D309" s="7">
        <v>46048</v>
      </c>
      <c r="E309" s="8">
        <v>9</v>
      </c>
      <c r="F309" s="6" t="str">
        <f t="shared" si="80"/>
        <v>1073717572</v>
      </c>
      <c r="G309" s="6" t="str">
        <f>"F100021455000010"</f>
        <v>F100021455000010</v>
      </c>
      <c r="H309" s="6" t="str">
        <f>"FA 214 Bio GOTS - 55"</f>
        <v>FA 214 Bio GOTS - 55</v>
      </c>
      <c r="I309" s="6" t="str">
        <f>"2094"</f>
        <v>2094</v>
      </c>
      <c r="J309" s="6" t="str">
        <f>"AZUL 2094"</f>
        <v>AZUL 2094</v>
      </c>
      <c r="K309" s="6" t="str">
        <f>"1024"</f>
        <v>1024</v>
      </c>
      <c r="L309" s="6" t="str">
        <f>"Toalhas"</f>
        <v>Toalhas</v>
      </c>
      <c r="M309" s="6" t="str">
        <f>"50x100"</f>
        <v>50x100</v>
      </c>
      <c r="N309" s="6" t="str">
        <f>"5602972278644"</f>
        <v>5602972278644</v>
      </c>
      <c r="O309" s="8">
        <v>18</v>
      </c>
      <c r="P309" s="7">
        <v>46045</v>
      </c>
      <c r="R309" s="8">
        <v>0</v>
      </c>
      <c r="U309" s="8">
        <v>0</v>
      </c>
      <c r="X309" s="8">
        <v>0</v>
      </c>
      <c r="Z309" s="8">
        <v>0</v>
      </c>
      <c r="AC309" s="8">
        <v>18</v>
      </c>
      <c r="AE309" s="7">
        <v>46052</v>
      </c>
      <c r="AF309" s="8">
        <v>18</v>
      </c>
      <c r="AH309" s="7">
        <v>46048</v>
      </c>
      <c r="AN309" s="8">
        <v>18</v>
      </c>
      <c r="AO309" s="8">
        <v>0</v>
      </c>
    </row>
    <row r="310" spans="1:41" x14ac:dyDescent="0.25">
      <c r="A310" s="6" t="str">
        <f t="shared" si="78"/>
        <v>520-2026000051</v>
      </c>
      <c r="B310" s="6" t="str">
        <f t="shared" si="79"/>
        <v>AUCHAN R</v>
      </c>
      <c r="C310" s="7">
        <v>46045</v>
      </c>
      <c r="D310" s="7">
        <v>46048</v>
      </c>
      <c r="E310" s="8">
        <v>10</v>
      </c>
      <c r="F310" s="6" t="str">
        <f t="shared" si="80"/>
        <v>1073717572</v>
      </c>
      <c r="G310" s="6" t="str">
        <f>"F100021455000010"</f>
        <v>F100021455000010</v>
      </c>
      <c r="H310" s="6" t="str">
        <f>"FA 214 Bio GOTS - 55"</f>
        <v>FA 214 Bio GOTS - 55</v>
      </c>
      <c r="I310" s="6" t="str">
        <f>"4855"</f>
        <v>4855</v>
      </c>
      <c r="J310" s="6" t="str">
        <f>"ROSA 4855"</f>
        <v>ROSA 4855</v>
      </c>
      <c r="K310" s="6" t="str">
        <f>"1024"</f>
        <v>1024</v>
      </c>
      <c r="L310" s="6" t="str">
        <f>"Toalhas"</f>
        <v>Toalhas</v>
      </c>
      <c r="M310" s="6" t="str">
        <f>"50x100"</f>
        <v>50x100</v>
      </c>
      <c r="N310" s="6" t="str">
        <f>"5602972274585"</f>
        <v>5602972274585</v>
      </c>
      <c r="O310" s="8">
        <v>12</v>
      </c>
      <c r="P310" s="7">
        <v>46045</v>
      </c>
      <c r="R310" s="8">
        <v>0</v>
      </c>
      <c r="U310" s="8">
        <v>0</v>
      </c>
      <c r="X310" s="8">
        <v>0</v>
      </c>
      <c r="Z310" s="8">
        <v>0</v>
      </c>
      <c r="AC310" s="8">
        <v>12</v>
      </c>
      <c r="AE310" s="7">
        <v>46052</v>
      </c>
      <c r="AF310" s="8">
        <v>12</v>
      </c>
      <c r="AH310" s="7">
        <v>46048</v>
      </c>
      <c r="AN310" s="8">
        <v>12</v>
      </c>
      <c r="AO310" s="8">
        <v>0</v>
      </c>
    </row>
    <row r="311" spans="1:41" x14ac:dyDescent="0.25">
      <c r="A311" s="6" t="str">
        <f>"520-2026000052"</f>
        <v>520-2026000052</v>
      </c>
      <c r="B311" s="6" t="str">
        <f t="shared" si="79"/>
        <v>AUCHAN R</v>
      </c>
      <c r="C311" s="7">
        <v>46045</v>
      </c>
      <c r="D311" s="7">
        <v>46048</v>
      </c>
      <c r="E311" s="8">
        <v>1</v>
      </c>
      <c r="F311" s="6" t="str">
        <f>"1065475668"</f>
        <v>1065475668</v>
      </c>
      <c r="G311" s="6" t="str">
        <f>"F300374155000000"</f>
        <v>F300374155000000</v>
      </c>
      <c r="H311" s="6" t="str">
        <f>"PLR 3741 - 550 g/m²"</f>
        <v>PLR 3741 - 550 g/m²</v>
      </c>
      <c r="I311" s="6" t="str">
        <f>"203634"</f>
        <v>203634</v>
      </c>
      <c r="J311" s="6" t="str">
        <f>"ROSA 3634"</f>
        <v>ROSA 3634</v>
      </c>
      <c r="K311" s="6" t="str">
        <f>"2020"</f>
        <v>2020</v>
      </c>
      <c r="L311" s="6" t="str">
        <f>"Lençóis"</f>
        <v>Lençóis</v>
      </c>
      <c r="M311" s="6" t="str">
        <f>"100x150"</f>
        <v>100x150</v>
      </c>
      <c r="N311" s="6" t="str">
        <f>"5602972280883"</f>
        <v>5602972280883</v>
      </c>
      <c r="O311" s="8">
        <v>3</v>
      </c>
      <c r="P311" s="7">
        <v>46045</v>
      </c>
      <c r="R311" s="8">
        <v>0</v>
      </c>
      <c r="U311" s="8">
        <v>0</v>
      </c>
      <c r="X311" s="8">
        <v>0</v>
      </c>
      <c r="Z311" s="8">
        <v>0</v>
      </c>
      <c r="AC311" s="8">
        <v>0</v>
      </c>
      <c r="AE311" s="7">
        <v>46052</v>
      </c>
      <c r="AF311" s="8">
        <v>0</v>
      </c>
      <c r="AH311" s="7">
        <v>46048</v>
      </c>
      <c r="AN311" s="8">
        <v>0</v>
      </c>
      <c r="AO311" s="8">
        <v>3</v>
      </c>
    </row>
    <row r="312" spans="1:41" x14ac:dyDescent="0.25">
      <c r="A312" s="6" t="str">
        <f>"520-2026000052"</f>
        <v>520-2026000052</v>
      </c>
      <c r="B312" s="6" t="str">
        <f t="shared" si="79"/>
        <v>AUCHAN R</v>
      </c>
      <c r="C312" s="7">
        <v>46045</v>
      </c>
      <c r="D312" s="7">
        <v>46048</v>
      </c>
      <c r="E312" s="8">
        <v>2</v>
      </c>
      <c r="F312" s="6" t="str">
        <f>"1065475668"</f>
        <v>1065475668</v>
      </c>
      <c r="G312" s="6" t="str">
        <f>"F300374155000000"</f>
        <v>F300374155000000</v>
      </c>
      <c r="H312" s="6" t="str">
        <f>"PLR 3741 - 550 g/m²"</f>
        <v>PLR 3741 - 550 g/m²</v>
      </c>
      <c r="I312" s="6" t="str">
        <f>"203634"</f>
        <v>203634</v>
      </c>
      <c r="J312" s="6" t="str">
        <f>"ROSA 3634"</f>
        <v>ROSA 3634</v>
      </c>
      <c r="K312" s="6" t="str">
        <f>"1024"</f>
        <v>1024</v>
      </c>
      <c r="L312" s="6" t="str">
        <f>"Toalhas"</f>
        <v>Toalhas</v>
      </c>
      <c r="M312" s="6" t="str">
        <f>"50x100"</f>
        <v>50x100</v>
      </c>
      <c r="N312" s="6" t="str">
        <f>"5602972280876"</f>
        <v>5602972280876</v>
      </c>
      <c r="O312" s="8">
        <v>6</v>
      </c>
      <c r="P312" s="7">
        <v>46045</v>
      </c>
      <c r="R312" s="8">
        <v>0</v>
      </c>
      <c r="U312" s="8">
        <v>0</v>
      </c>
      <c r="X312" s="8">
        <v>0</v>
      </c>
      <c r="Z312" s="8">
        <v>0</v>
      </c>
      <c r="AC312" s="8">
        <v>6</v>
      </c>
      <c r="AE312" s="7">
        <v>46052</v>
      </c>
      <c r="AF312" s="8">
        <v>6</v>
      </c>
      <c r="AH312" s="7">
        <v>46048</v>
      </c>
      <c r="AN312" s="8">
        <v>6</v>
      </c>
      <c r="AO312" s="8">
        <v>0</v>
      </c>
    </row>
    <row r="313" spans="1:41" x14ac:dyDescent="0.25">
      <c r="A313" s="6" t="str">
        <f t="shared" ref="A313:A321" si="81">"520-2026000053"</f>
        <v>520-2026000053</v>
      </c>
      <c r="B313" s="6" t="str">
        <f t="shared" si="79"/>
        <v>AUCHAN R</v>
      </c>
      <c r="C313" s="7">
        <v>46048</v>
      </c>
      <c r="D313" s="7">
        <v>46049</v>
      </c>
      <c r="E313" s="8">
        <v>1</v>
      </c>
      <c r="F313" s="6" t="str">
        <f t="shared" ref="F313:F321" si="82">"1074603330"</f>
        <v>1074603330</v>
      </c>
      <c r="G313" s="6" t="str">
        <f>"F100021455000000"</f>
        <v>F100021455000000</v>
      </c>
      <c r="H313" s="6" t="str">
        <f>"FA 214 - PURE - 550"</f>
        <v>FA 214 - PURE - 550</v>
      </c>
      <c r="I313" s="6" t="str">
        <f>"1"</f>
        <v>1</v>
      </c>
      <c r="J313" s="6" t="str">
        <f>"BRANCO"</f>
        <v>BRANCO</v>
      </c>
      <c r="K313" s="6" t="str">
        <f>"0112"</f>
        <v>0112</v>
      </c>
      <c r="L313" s="6" t="str">
        <f>"Luvas"</f>
        <v>Luvas</v>
      </c>
      <c r="M313" s="6" t="str">
        <f>"16x21"</f>
        <v>16x21</v>
      </c>
      <c r="N313" s="6" t="str">
        <f>"5602972836233"</f>
        <v>5602972836233</v>
      </c>
      <c r="O313" s="8">
        <v>24</v>
      </c>
      <c r="P313" s="7">
        <v>46048</v>
      </c>
      <c r="R313" s="8">
        <v>0</v>
      </c>
      <c r="U313" s="8">
        <v>0</v>
      </c>
      <c r="X313" s="8">
        <v>0</v>
      </c>
      <c r="Z313" s="8">
        <v>0</v>
      </c>
      <c r="AC313" s="8">
        <v>24</v>
      </c>
      <c r="AE313" s="7">
        <v>46055</v>
      </c>
      <c r="AF313" s="8">
        <v>24</v>
      </c>
      <c r="AH313" s="7">
        <v>46049</v>
      </c>
      <c r="AN313" s="8">
        <v>24</v>
      </c>
      <c r="AO313" s="8">
        <v>0</v>
      </c>
    </row>
    <row r="314" spans="1:41" x14ac:dyDescent="0.25">
      <c r="A314" s="6" t="str">
        <f t="shared" si="81"/>
        <v>520-2026000053</v>
      </c>
      <c r="B314" s="6" t="str">
        <f t="shared" si="79"/>
        <v>AUCHAN R</v>
      </c>
      <c r="C314" s="7">
        <v>46048</v>
      </c>
      <c r="D314" s="7">
        <v>46049</v>
      </c>
      <c r="E314" s="8">
        <v>2</v>
      </c>
      <c r="F314" s="6" t="str">
        <f t="shared" si="82"/>
        <v>1074603330</v>
      </c>
      <c r="G314" s="6" t="str">
        <f>"F300374155000000"</f>
        <v>F300374155000000</v>
      </c>
      <c r="H314" s="6" t="str">
        <f>"PLR 3741 - 550 g/m²"</f>
        <v>PLR 3741 - 550 g/m²</v>
      </c>
      <c r="I314" s="6" t="str">
        <f>"203634"</f>
        <v>203634</v>
      </c>
      <c r="J314" s="6" t="str">
        <f>"ROSA 3634"</f>
        <v>ROSA 3634</v>
      </c>
      <c r="K314" s="6" t="str">
        <f>"2020"</f>
        <v>2020</v>
      </c>
      <c r="L314" s="6" t="str">
        <f>"Lençóis"</f>
        <v>Lençóis</v>
      </c>
      <c r="M314" s="6" t="str">
        <f>"100x150"</f>
        <v>100x150</v>
      </c>
      <c r="N314" s="6" t="str">
        <f>"5602972280883"</f>
        <v>5602972280883</v>
      </c>
      <c r="O314" s="8">
        <v>3</v>
      </c>
      <c r="P314" s="7">
        <v>46048</v>
      </c>
      <c r="R314" s="8">
        <v>0</v>
      </c>
      <c r="U314" s="8">
        <v>0</v>
      </c>
      <c r="X314" s="8">
        <v>0</v>
      </c>
      <c r="Z314" s="8">
        <v>0</v>
      </c>
      <c r="AC314" s="8">
        <v>0</v>
      </c>
      <c r="AE314" s="7">
        <v>46055</v>
      </c>
      <c r="AF314" s="8">
        <v>0</v>
      </c>
      <c r="AH314" s="7">
        <v>46049</v>
      </c>
      <c r="AN314" s="8">
        <v>0</v>
      </c>
      <c r="AO314" s="8">
        <v>3</v>
      </c>
    </row>
    <row r="315" spans="1:41" x14ac:dyDescent="0.25">
      <c r="A315" s="6" t="str">
        <f t="shared" si="81"/>
        <v>520-2026000053</v>
      </c>
      <c r="B315" s="6" t="str">
        <f t="shared" si="79"/>
        <v>AUCHAN R</v>
      </c>
      <c r="C315" s="7">
        <v>46048</v>
      </c>
      <c r="D315" s="7">
        <v>46049</v>
      </c>
      <c r="E315" s="8">
        <v>3</v>
      </c>
      <c r="F315" s="6" t="str">
        <f t="shared" si="82"/>
        <v>1074603330</v>
      </c>
      <c r="G315" s="6" t="str">
        <f>"F100021455000010"</f>
        <v>F100021455000010</v>
      </c>
      <c r="H315" s="6" t="str">
        <f>"FA 214 Bio GOTS - 55"</f>
        <v>FA 214 Bio GOTS - 55</v>
      </c>
      <c r="I315" s="6" t="str">
        <f>"19"</f>
        <v>19</v>
      </c>
      <c r="J315" s="6" t="str">
        <f>"PRETO REACTIVO 570"</f>
        <v>PRETO REACTIVO 570</v>
      </c>
      <c r="K315" s="6" t="str">
        <f>"2020"</f>
        <v>2020</v>
      </c>
      <c r="L315" s="6" t="str">
        <f>"Lençóis"</f>
        <v>Lençóis</v>
      </c>
      <c r="M315" s="6" t="str">
        <f>"100x150"</f>
        <v>100x150</v>
      </c>
      <c r="N315" s="6" t="str">
        <f>"5602972278620"</f>
        <v>5602972278620</v>
      </c>
      <c r="O315" s="8">
        <v>3</v>
      </c>
      <c r="P315" s="7">
        <v>46048</v>
      </c>
      <c r="R315" s="8">
        <v>0</v>
      </c>
      <c r="U315" s="8">
        <v>0</v>
      </c>
      <c r="X315" s="8">
        <v>0</v>
      </c>
      <c r="Z315" s="8">
        <v>0</v>
      </c>
      <c r="AC315" s="8">
        <v>3</v>
      </c>
      <c r="AE315" s="7">
        <v>46055</v>
      </c>
      <c r="AF315" s="8">
        <v>3</v>
      </c>
      <c r="AH315" s="7">
        <v>46049</v>
      </c>
      <c r="AN315" s="8">
        <v>3</v>
      </c>
      <c r="AO315" s="8">
        <v>0</v>
      </c>
    </row>
    <row r="316" spans="1:41" x14ac:dyDescent="0.25">
      <c r="A316" s="6" t="str">
        <f t="shared" si="81"/>
        <v>520-2026000053</v>
      </c>
      <c r="B316" s="6" t="str">
        <f t="shared" si="79"/>
        <v>AUCHAN R</v>
      </c>
      <c r="C316" s="7">
        <v>46048</v>
      </c>
      <c r="D316" s="7">
        <v>46049</v>
      </c>
      <c r="E316" s="8">
        <v>4</v>
      </c>
      <c r="F316" s="6" t="str">
        <f t="shared" si="82"/>
        <v>1074603330</v>
      </c>
      <c r="G316" s="6" t="str">
        <f>"F110329745000000"</f>
        <v>F110329745000000</v>
      </c>
      <c r="H316" s="6" t="str">
        <f>"FAJ 3297 - 450 g/m²"</f>
        <v>FAJ 3297 - 450 g/m²</v>
      </c>
      <c r="I316" s="6" t="str">
        <f>"2"</f>
        <v>2</v>
      </c>
      <c r="J316" s="6" t="str">
        <f>"NATURAL"</f>
        <v>NATURAL</v>
      </c>
      <c r="K316" s="6" t="str">
        <f>"0520"</f>
        <v>0520</v>
      </c>
      <c r="L316" s="6" t="str">
        <f>"Toalhetes"</f>
        <v>Toalhetes</v>
      </c>
      <c r="M316" s="6" t="str">
        <f>"30x50"</f>
        <v>30x50</v>
      </c>
      <c r="N316" s="6" t="str">
        <f>"5602972277852"</f>
        <v>5602972277852</v>
      </c>
      <c r="O316" s="8">
        <v>18</v>
      </c>
      <c r="P316" s="7">
        <v>46048</v>
      </c>
      <c r="R316" s="8">
        <v>0</v>
      </c>
      <c r="U316" s="8">
        <v>0</v>
      </c>
      <c r="X316" s="8">
        <v>0</v>
      </c>
      <c r="Z316" s="8">
        <v>0</v>
      </c>
      <c r="AC316" s="8">
        <v>0</v>
      </c>
      <c r="AE316" s="7">
        <v>46055</v>
      </c>
      <c r="AF316" s="8">
        <v>0</v>
      </c>
      <c r="AH316" s="7">
        <v>46049</v>
      </c>
      <c r="AN316" s="8">
        <v>0</v>
      </c>
      <c r="AO316" s="8">
        <v>18</v>
      </c>
    </row>
    <row r="317" spans="1:41" x14ac:dyDescent="0.25">
      <c r="A317" s="6" t="str">
        <f t="shared" si="81"/>
        <v>520-2026000053</v>
      </c>
      <c r="B317" s="6" t="str">
        <f t="shared" si="79"/>
        <v>AUCHAN R</v>
      </c>
      <c r="C317" s="7">
        <v>46048</v>
      </c>
      <c r="D317" s="7">
        <v>46049</v>
      </c>
      <c r="E317" s="8">
        <v>5</v>
      </c>
      <c r="F317" s="6" t="str">
        <f t="shared" si="82"/>
        <v>1074603330</v>
      </c>
      <c r="G317" s="6" t="str">
        <f>"F300374155000000"</f>
        <v>F300374155000000</v>
      </c>
      <c r="H317" s="6" t="str">
        <f>"PLR 3741 - 550 g/m²"</f>
        <v>PLR 3741 - 550 g/m²</v>
      </c>
      <c r="I317" s="6" t="str">
        <f>"203634"</f>
        <v>203634</v>
      </c>
      <c r="J317" s="6" t="str">
        <f>"ROSA 3634"</f>
        <v>ROSA 3634</v>
      </c>
      <c r="K317" s="6" t="str">
        <f>"1024"</f>
        <v>1024</v>
      </c>
      <c r="L317" s="6" t="str">
        <f>"Toalhas"</f>
        <v>Toalhas</v>
      </c>
      <c r="M317" s="6" t="str">
        <f>"50x100"</f>
        <v>50x100</v>
      </c>
      <c r="N317" s="6" t="str">
        <f>"5602972280876"</f>
        <v>5602972280876</v>
      </c>
      <c r="O317" s="8">
        <v>6</v>
      </c>
      <c r="P317" s="7">
        <v>46048</v>
      </c>
      <c r="R317" s="8">
        <v>0</v>
      </c>
      <c r="U317" s="8">
        <v>0</v>
      </c>
      <c r="X317" s="8">
        <v>0</v>
      </c>
      <c r="Z317" s="8">
        <v>0</v>
      </c>
      <c r="AC317" s="8">
        <v>0</v>
      </c>
      <c r="AE317" s="7">
        <v>46055</v>
      </c>
      <c r="AF317" s="8">
        <v>0</v>
      </c>
      <c r="AH317" s="7">
        <v>46049</v>
      </c>
      <c r="AN317" s="8">
        <v>0</v>
      </c>
      <c r="AO317" s="8">
        <v>6</v>
      </c>
    </row>
    <row r="318" spans="1:41" x14ac:dyDescent="0.25">
      <c r="A318" s="6" t="str">
        <f t="shared" si="81"/>
        <v>520-2026000053</v>
      </c>
      <c r="B318" s="6" t="str">
        <f t="shared" si="79"/>
        <v>AUCHAN R</v>
      </c>
      <c r="C318" s="7">
        <v>46048</v>
      </c>
      <c r="D318" s="7">
        <v>46049</v>
      </c>
      <c r="E318" s="8">
        <v>6</v>
      </c>
      <c r="F318" s="6" t="str">
        <f t="shared" si="82"/>
        <v>1074603330</v>
      </c>
      <c r="G318" s="6" t="str">
        <f>"F310620958000000"</f>
        <v>F310620958000000</v>
      </c>
      <c r="H318" s="6" t="str">
        <f>"PLAR 6209 C/ Franja"</f>
        <v>PLAR 6209 C/ Franja</v>
      </c>
      <c r="I318" s="6" t="str">
        <f>"203699"</f>
        <v>203699</v>
      </c>
      <c r="J318" s="6" t="str">
        <f>"BEGE 3699"</f>
        <v>BEGE 3699</v>
      </c>
      <c r="K318" s="6" t="str">
        <f>"1047"</f>
        <v>1047</v>
      </c>
      <c r="L318" s="6" t="str">
        <f>"Toalhas"</f>
        <v>Toalhas</v>
      </c>
      <c r="M318" s="6" t="str">
        <f>"50x100+8"</f>
        <v>50x100+8</v>
      </c>
      <c r="N318" s="6" t="str">
        <f>"5602972280937"</f>
        <v>5602972280937</v>
      </c>
      <c r="O318" s="8">
        <v>6</v>
      </c>
      <c r="P318" s="7">
        <v>46048</v>
      </c>
      <c r="R318" s="8">
        <v>0</v>
      </c>
      <c r="U318" s="8">
        <v>0</v>
      </c>
      <c r="X318" s="8">
        <v>0</v>
      </c>
      <c r="Z318" s="8">
        <v>0</v>
      </c>
      <c r="AC318" s="8">
        <v>6</v>
      </c>
      <c r="AE318" s="7">
        <v>46055</v>
      </c>
      <c r="AF318" s="8">
        <v>6</v>
      </c>
      <c r="AH318" s="7">
        <v>46049</v>
      </c>
      <c r="AN318" s="8">
        <v>6</v>
      </c>
      <c r="AO318" s="8">
        <v>0</v>
      </c>
    </row>
    <row r="319" spans="1:41" x14ac:dyDescent="0.25">
      <c r="A319" s="6" t="str">
        <f t="shared" si="81"/>
        <v>520-2026000053</v>
      </c>
      <c r="B319" s="6" t="str">
        <f t="shared" si="79"/>
        <v>AUCHAN R</v>
      </c>
      <c r="C319" s="7">
        <v>46048</v>
      </c>
      <c r="D319" s="7">
        <v>46049</v>
      </c>
      <c r="E319" s="8">
        <v>7</v>
      </c>
      <c r="F319" s="6" t="str">
        <f t="shared" si="82"/>
        <v>1074603330</v>
      </c>
      <c r="G319" s="6" t="str">
        <f>"F110329745000000"</f>
        <v>F110329745000000</v>
      </c>
      <c r="H319" s="6" t="str">
        <f>"FAJ 3297 - 450 g/m²"</f>
        <v>FAJ 3297 - 450 g/m²</v>
      </c>
      <c r="I319" s="6" t="str">
        <f>"2"</f>
        <v>2</v>
      </c>
      <c r="J319" s="6" t="str">
        <f>"NATURAL"</f>
        <v>NATURAL</v>
      </c>
      <c r="K319" s="6" t="str">
        <f>"1024"</f>
        <v>1024</v>
      </c>
      <c r="L319" s="6" t="str">
        <f>"Toalhas"</f>
        <v>Toalhas</v>
      </c>
      <c r="M319" s="6" t="str">
        <f>"50x100"</f>
        <v>50x100</v>
      </c>
      <c r="N319" s="6" t="str">
        <f>"5602972277869"</f>
        <v>5602972277869</v>
      </c>
      <c r="O319" s="8">
        <v>6</v>
      </c>
      <c r="P319" s="7">
        <v>46048</v>
      </c>
      <c r="R319" s="8">
        <v>0</v>
      </c>
      <c r="U319" s="8">
        <v>0</v>
      </c>
      <c r="X319" s="8">
        <v>0</v>
      </c>
      <c r="Z319" s="8">
        <v>0</v>
      </c>
      <c r="AC319" s="8">
        <v>0</v>
      </c>
      <c r="AE319" s="7">
        <v>46055</v>
      </c>
      <c r="AF319" s="8">
        <v>0</v>
      </c>
      <c r="AH319" s="7">
        <v>46049</v>
      </c>
      <c r="AN319" s="8">
        <v>0</v>
      </c>
      <c r="AO319" s="8">
        <v>6</v>
      </c>
    </row>
    <row r="320" spans="1:41" x14ac:dyDescent="0.25">
      <c r="A320" s="6" t="str">
        <f t="shared" si="81"/>
        <v>520-2026000053</v>
      </c>
      <c r="B320" s="6" t="str">
        <f t="shared" si="79"/>
        <v>AUCHAN R</v>
      </c>
      <c r="C320" s="7">
        <v>46048</v>
      </c>
      <c r="D320" s="7">
        <v>46049</v>
      </c>
      <c r="E320" s="8">
        <v>8</v>
      </c>
      <c r="F320" s="6" t="str">
        <f t="shared" si="82"/>
        <v>1074603330</v>
      </c>
      <c r="G320" s="6" t="str">
        <f>"F100021455000010"</f>
        <v>F100021455000010</v>
      </c>
      <c r="H320" s="6" t="str">
        <f>"FA 214 Bio GOTS - 55"</f>
        <v>FA 214 Bio GOTS - 55</v>
      </c>
      <c r="I320" s="6" t="str">
        <f>"1"</f>
        <v>1</v>
      </c>
      <c r="J320" s="6" t="str">
        <f>"BRANCO"</f>
        <v>BRANCO</v>
      </c>
      <c r="K320" s="6" t="str">
        <f>"1024"</f>
        <v>1024</v>
      </c>
      <c r="L320" s="6" t="str">
        <f>"Toalhas"</f>
        <v>Toalhas</v>
      </c>
      <c r="M320" s="6" t="str">
        <f>"50x100"</f>
        <v>50x100</v>
      </c>
      <c r="N320" s="6" t="str">
        <f>"5602972278583"</f>
        <v>5602972278583</v>
      </c>
      <c r="O320" s="8">
        <v>6</v>
      </c>
      <c r="P320" s="7">
        <v>46048</v>
      </c>
      <c r="R320" s="8">
        <v>0</v>
      </c>
      <c r="U320" s="8">
        <v>0</v>
      </c>
      <c r="X320" s="8">
        <v>0</v>
      </c>
      <c r="Z320" s="8">
        <v>0</v>
      </c>
      <c r="AC320" s="8">
        <v>6</v>
      </c>
      <c r="AE320" s="7">
        <v>46055</v>
      </c>
      <c r="AF320" s="8">
        <v>6</v>
      </c>
      <c r="AH320" s="7">
        <v>46049</v>
      </c>
      <c r="AN320" s="8">
        <v>6</v>
      </c>
      <c r="AO320" s="8">
        <v>0</v>
      </c>
    </row>
    <row r="321" spans="1:41" x14ac:dyDescent="0.25">
      <c r="A321" s="6" t="str">
        <f t="shared" si="81"/>
        <v>520-2026000053</v>
      </c>
      <c r="B321" s="6" t="str">
        <f t="shared" si="79"/>
        <v>AUCHAN R</v>
      </c>
      <c r="C321" s="7">
        <v>46048</v>
      </c>
      <c r="D321" s="7">
        <v>46049</v>
      </c>
      <c r="E321" s="8">
        <v>9</v>
      </c>
      <c r="F321" s="6" t="str">
        <f t="shared" si="82"/>
        <v>1074603330</v>
      </c>
      <c r="G321" s="6" t="str">
        <f>"K001223323000000"</f>
        <v>K001223323000000</v>
      </c>
      <c r="H321" s="6" t="str">
        <f>"KB 2233 - Avental -"</f>
        <v>KB 2233 - Avental -</v>
      </c>
      <c r="I321" s="6" t="str">
        <f>"3073"</f>
        <v>3073</v>
      </c>
      <c r="J321" s="6" t="str">
        <f>"CINZA 3073"</f>
        <v>CINZA 3073</v>
      </c>
      <c r="K321" s="6" t="str">
        <f>"8803"</f>
        <v>8803</v>
      </c>
      <c r="L321" s="6" t="str">
        <f>"Cozinha"</f>
        <v>Cozinha</v>
      </c>
      <c r="M321" s="6" t="str">
        <f>"03 Avental"</f>
        <v>03 Avental</v>
      </c>
      <c r="N321" s="6" t="str">
        <f>"5602972279542"</f>
        <v>5602972279542</v>
      </c>
      <c r="O321" s="8">
        <v>12</v>
      </c>
      <c r="P321" s="7">
        <v>46048</v>
      </c>
      <c r="R321" s="8">
        <v>0</v>
      </c>
      <c r="U321" s="8">
        <v>0</v>
      </c>
      <c r="X321" s="8">
        <v>0</v>
      </c>
      <c r="Z321" s="8">
        <v>0</v>
      </c>
      <c r="AC321" s="8">
        <v>12</v>
      </c>
      <c r="AE321" s="7">
        <v>46055</v>
      </c>
      <c r="AF321" s="8">
        <v>12</v>
      </c>
      <c r="AH321" s="7">
        <v>46049</v>
      </c>
      <c r="AN321" s="8">
        <v>12</v>
      </c>
      <c r="AO321" s="8">
        <v>0</v>
      </c>
    </row>
    <row r="322" spans="1:41" x14ac:dyDescent="0.25">
      <c r="A322" s="6" t="str">
        <f>"520-2026000054"</f>
        <v>520-2026000054</v>
      </c>
      <c r="B322" s="6" t="str">
        <f>"MONTE BE"</f>
        <v>MONTE BE</v>
      </c>
      <c r="C322" s="7">
        <v>46048</v>
      </c>
      <c r="D322" s="7">
        <v>46059</v>
      </c>
      <c r="E322" s="8">
        <v>1</v>
      </c>
      <c r="F322" s="6" t="str">
        <f>"PEDIDO 01"</f>
        <v>PEDIDO 01</v>
      </c>
      <c r="G322" s="6" t="str">
        <f>"C001008812000000"</f>
        <v>C001008812000000</v>
      </c>
      <c r="H322" s="6" t="str">
        <f>"LT 88 (EARTH) - Almo"</f>
        <v>LT 88 (EARTH) - Almo</v>
      </c>
      <c r="I322" s="6" t="str">
        <f>"1"</f>
        <v>1</v>
      </c>
      <c r="J322" s="6" t="str">
        <f>"BRANCO"</f>
        <v>BRANCO</v>
      </c>
      <c r="K322" s="6" t="str">
        <f>"6516"</f>
        <v>6516</v>
      </c>
      <c r="L322" s="6" t="str">
        <f>"Lençol Cima"</f>
        <v>Lençol Cima</v>
      </c>
      <c r="M322" s="6" t="str">
        <f>"240x300"</f>
        <v>240x300</v>
      </c>
      <c r="N322" s="6" t="str">
        <f>"5602972266368"</f>
        <v>5602972266368</v>
      </c>
      <c r="O322" s="8">
        <v>24</v>
      </c>
      <c r="R322" s="8">
        <v>0</v>
      </c>
      <c r="U322" s="8">
        <v>0</v>
      </c>
      <c r="X322" s="8">
        <v>0</v>
      </c>
      <c r="Z322" s="8">
        <v>0</v>
      </c>
      <c r="AC322" s="8">
        <v>0</v>
      </c>
      <c r="AF322" s="8">
        <v>0</v>
      </c>
      <c r="AN322" s="8">
        <v>0</v>
      </c>
      <c r="AO322" s="8">
        <v>24</v>
      </c>
    </row>
    <row r="323" spans="1:41" x14ac:dyDescent="0.25">
      <c r="A323" s="6" t="str">
        <f>"520-2026000054"</f>
        <v>520-2026000054</v>
      </c>
      <c r="B323" s="6" t="str">
        <f>"MONTE BE"</f>
        <v>MONTE BE</v>
      </c>
      <c r="C323" s="7">
        <v>46048</v>
      </c>
      <c r="D323" s="7">
        <v>46059</v>
      </c>
      <c r="E323" s="8">
        <v>2</v>
      </c>
      <c r="F323" s="6" t="str">
        <f>"PEDIDO 01"</f>
        <v>PEDIDO 01</v>
      </c>
      <c r="G323" s="6" t="str">
        <f>"C001008812000000"</f>
        <v>C001008812000000</v>
      </c>
      <c r="H323" s="6" t="str">
        <f>"LT 88 (EARTH) - Almo"</f>
        <v>LT 88 (EARTH) - Almo</v>
      </c>
      <c r="I323" s="6" t="str">
        <f>"1"</f>
        <v>1</v>
      </c>
      <c r="J323" s="6" t="str">
        <f>"BRANCO"</f>
        <v>BRANCO</v>
      </c>
      <c r="K323" s="6" t="str">
        <f>"0405"</f>
        <v>0405</v>
      </c>
      <c r="L323" s="6" t="str">
        <f>"Almofada"</f>
        <v>Almofada</v>
      </c>
      <c r="M323" s="6" t="str">
        <f>"50x70"</f>
        <v>50x70</v>
      </c>
      <c r="N323" s="6" t="str">
        <f>"5602972266429"</f>
        <v>5602972266429</v>
      </c>
      <c r="O323" s="8">
        <v>32</v>
      </c>
      <c r="R323" s="8">
        <v>0</v>
      </c>
      <c r="U323" s="8">
        <v>0</v>
      </c>
      <c r="X323" s="8">
        <v>0</v>
      </c>
      <c r="Z323" s="8">
        <v>0</v>
      </c>
      <c r="AC323" s="8">
        <v>0</v>
      </c>
      <c r="AF323" s="8">
        <v>0</v>
      </c>
      <c r="AN323" s="8">
        <v>0</v>
      </c>
      <c r="AO323" s="8">
        <v>32</v>
      </c>
    </row>
    <row r="324" spans="1:41" x14ac:dyDescent="0.25">
      <c r="A324" s="6" t="str">
        <f>"520-2026000054"</f>
        <v>520-2026000054</v>
      </c>
      <c r="B324" s="6" t="str">
        <f>"MONTE BE"</f>
        <v>MONTE BE</v>
      </c>
      <c r="C324" s="7">
        <v>46048</v>
      </c>
      <c r="D324" s="7">
        <v>46059</v>
      </c>
      <c r="E324" s="8">
        <v>3</v>
      </c>
      <c r="F324" s="6" t="str">
        <f>"PEDIDO 01"</f>
        <v>PEDIDO 01</v>
      </c>
      <c r="G324" s="6" t="str">
        <f>"C090008812000071"</f>
        <v>C090008812000071</v>
      </c>
      <c r="H324" s="6" t="str">
        <f>"LT 0088/4621 - Almof"</f>
        <v>LT 0088/4621 - Almof</v>
      </c>
      <c r="I324" s="6" t="str">
        <f>"600001"</f>
        <v>600001</v>
      </c>
      <c r="J324" s="6" t="str">
        <f>"Branco"</f>
        <v>Branco</v>
      </c>
      <c r="K324" s="6" t="str">
        <f>"7000"</f>
        <v>7000</v>
      </c>
      <c r="L324" s="6" t="str">
        <f>"Cama"</f>
        <v>Cama</v>
      </c>
      <c r="M324" s="6" t="str">
        <f>"Único"</f>
        <v>Único</v>
      </c>
      <c r="N324" s="6" t="str">
        <f>"5600000144220"</f>
        <v>5600000144220</v>
      </c>
      <c r="O324" s="8">
        <v>24</v>
      </c>
      <c r="R324" s="8">
        <v>0</v>
      </c>
      <c r="U324" s="8">
        <v>0</v>
      </c>
      <c r="X324" s="8">
        <v>0</v>
      </c>
      <c r="Z324" s="8">
        <v>0</v>
      </c>
      <c r="AC324" s="8">
        <v>0</v>
      </c>
      <c r="AF324" s="8">
        <v>0</v>
      </c>
      <c r="AN324" s="8">
        <v>0</v>
      </c>
      <c r="AO324" s="8">
        <v>24</v>
      </c>
    </row>
    <row r="325" spans="1:41" x14ac:dyDescent="0.25">
      <c r="A325" s="6" t="str">
        <f>"520-2026000055"</f>
        <v>520-2026000055</v>
      </c>
      <c r="B325" s="6" t="str">
        <f t="shared" ref="B325:B346" si="83">"AUCHAN R"</f>
        <v>AUCHAN R</v>
      </c>
      <c r="C325" s="7">
        <v>46048</v>
      </c>
      <c r="D325" s="7">
        <v>46064</v>
      </c>
      <c r="E325" s="8">
        <v>1</v>
      </c>
      <c r="F325" s="6" t="str">
        <f>"1065776268"</f>
        <v>1065776268</v>
      </c>
      <c r="G325" s="6" t="str">
        <f>"K001223323000000"</f>
        <v>K001223323000000</v>
      </c>
      <c r="H325" s="6" t="str">
        <f>"KB 2233 - Avental -"</f>
        <v>KB 2233 - Avental -</v>
      </c>
      <c r="I325" s="6" t="str">
        <f t="shared" ref="I325:I346" si="84">"3073"</f>
        <v>3073</v>
      </c>
      <c r="J325" s="6" t="str">
        <f t="shared" ref="J325:J346" si="85">"CINZA 3073"</f>
        <v>CINZA 3073</v>
      </c>
      <c r="K325" s="6" t="str">
        <f>"8803"</f>
        <v>8803</v>
      </c>
      <c r="L325" s="6" t="str">
        <f t="shared" ref="L325:L346" si="86">"Cozinha"</f>
        <v>Cozinha</v>
      </c>
      <c r="M325" s="6" t="str">
        <f>"03 Avental"</f>
        <v>03 Avental</v>
      </c>
      <c r="N325" s="6" t="str">
        <f>"5602972279542"</f>
        <v>5602972279542</v>
      </c>
      <c r="O325" s="8">
        <v>12</v>
      </c>
      <c r="P325" s="7">
        <v>46048</v>
      </c>
      <c r="R325" s="8">
        <v>0</v>
      </c>
      <c r="U325" s="8">
        <v>0</v>
      </c>
      <c r="X325" s="8">
        <v>0</v>
      </c>
      <c r="Z325" s="8">
        <v>0</v>
      </c>
      <c r="AC325" s="8">
        <v>12</v>
      </c>
      <c r="AE325" s="7">
        <v>46055</v>
      </c>
      <c r="AF325" s="8">
        <v>12</v>
      </c>
      <c r="AH325" s="7">
        <v>46064</v>
      </c>
      <c r="AN325" s="8">
        <v>0</v>
      </c>
      <c r="AO325" s="8">
        <v>12</v>
      </c>
    </row>
    <row r="326" spans="1:41" x14ac:dyDescent="0.25">
      <c r="A326" s="6" t="str">
        <f>"520-2026000056"</f>
        <v>520-2026000056</v>
      </c>
      <c r="B326" s="6" t="str">
        <f t="shared" si="83"/>
        <v>AUCHAN R</v>
      </c>
      <c r="C326" s="7">
        <v>46048</v>
      </c>
      <c r="D326" s="7">
        <v>46064</v>
      </c>
      <c r="E326" s="8">
        <v>1</v>
      </c>
      <c r="F326" s="6" t="str">
        <f>"1073125240"</f>
        <v>1073125240</v>
      </c>
      <c r="G326" s="6" t="str">
        <f>"K001223323000000"</f>
        <v>K001223323000000</v>
      </c>
      <c r="H326" s="6" t="str">
        <f>"KB 2233 - Avental -"</f>
        <v>KB 2233 - Avental -</v>
      </c>
      <c r="I326" s="6" t="str">
        <f t="shared" si="84"/>
        <v>3073</v>
      </c>
      <c r="J326" s="6" t="str">
        <f t="shared" si="85"/>
        <v>CINZA 3073</v>
      </c>
      <c r="K326" s="6" t="str">
        <f>"8803"</f>
        <v>8803</v>
      </c>
      <c r="L326" s="6" t="str">
        <f t="shared" si="86"/>
        <v>Cozinha</v>
      </c>
      <c r="M326" s="6" t="str">
        <f>"03 Avental"</f>
        <v>03 Avental</v>
      </c>
      <c r="N326" s="6" t="str">
        <f>"5602972279542"</f>
        <v>5602972279542</v>
      </c>
      <c r="O326" s="8">
        <v>12</v>
      </c>
      <c r="P326" s="7">
        <v>46048</v>
      </c>
      <c r="R326" s="8">
        <v>0</v>
      </c>
      <c r="U326" s="8">
        <v>0</v>
      </c>
      <c r="X326" s="8">
        <v>0</v>
      </c>
      <c r="Z326" s="8">
        <v>0</v>
      </c>
      <c r="AC326" s="8">
        <v>12</v>
      </c>
      <c r="AE326" s="7">
        <v>46055</v>
      </c>
      <c r="AF326" s="8">
        <v>12</v>
      </c>
      <c r="AH326" s="7">
        <v>46064</v>
      </c>
      <c r="AN326" s="8">
        <v>0</v>
      </c>
      <c r="AO326" s="8">
        <v>12</v>
      </c>
    </row>
    <row r="327" spans="1:41" x14ac:dyDescent="0.25">
      <c r="A327" s="6" t="str">
        <f>"520-2026000056"</f>
        <v>520-2026000056</v>
      </c>
      <c r="B327" s="6" t="str">
        <f t="shared" si="83"/>
        <v>AUCHAN R</v>
      </c>
      <c r="C327" s="7">
        <v>46048</v>
      </c>
      <c r="D327" s="7">
        <v>46064</v>
      </c>
      <c r="E327" s="8">
        <v>2</v>
      </c>
      <c r="F327" s="6" t="str">
        <f>"1073125240"</f>
        <v>1073125240</v>
      </c>
      <c r="G327" s="6" t="str">
        <f>"C001101823000000"</f>
        <v>C001101823000000</v>
      </c>
      <c r="H327" s="6" t="str">
        <f>"CZJ 1018 - 230 gr/m²"</f>
        <v>CZJ 1018 - 230 gr/m²</v>
      </c>
      <c r="I327" s="6" t="str">
        <f t="shared" si="84"/>
        <v>3073</v>
      </c>
      <c r="J327" s="6" t="str">
        <f t="shared" si="85"/>
        <v>CINZA 3073</v>
      </c>
      <c r="K327" s="6" t="str">
        <f>"0830"</f>
        <v>0830</v>
      </c>
      <c r="L327" s="6" t="str">
        <f t="shared" si="86"/>
        <v>Cozinha</v>
      </c>
      <c r="M327" s="6" t="str">
        <f>"50x70"</f>
        <v>50x70</v>
      </c>
      <c r="N327" s="6" t="str">
        <f>"5602972758740"</f>
        <v>5602972758740</v>
      </c>
      <c r="O327" s="8">
        <v>12</v>
      </c>
      <c r="P327" s="7">
        <v>46048</v>
      </c>
      <c r="R327" s="8">
        <v>0</v>
      </c>
      <c r="U327" s="8">
        <v>0</v>
      </c>
      <c r="X327" s="8">
        <v>0</v>
      </c>
      <c r="Z327" s="8">
        <v>0</v>
      </c>
      <c r="AC327" s="8">
        <v>12</v>
      </c>
      <c r="AE327" s="7">
        <v>46055</v>
      </c>
      <c r="AF327" s="8">
        <v>12</v>
      </c>
      <c r="AH327" s="7">
        <v>46064</v>
      </c>
      <c r="AN327" s="8">
        <v>0</v>
      </c>
      <c r="AO327" s="8">
        <v>12</v>
      </c>
    </row>
    <row r="328" spans="1:41" x14ac:dyDescent="0.25">
      <c r="A328" s="6" t="str">
        <f>"520-2026000056"</f>
        <v>520-2026000056</v>
      </c>
      <c r="B328" s="6" t="str">
        <f t="shared" si="83"/>
        <v>AUCHAN R</v>
      </c>
      <c r="C328" s="7">
        <v>46048</v>
      </c>
      <c r="D328" s="7">
        <v>46064</v>
      </c>
      <c r="E328" s="8">
        <v>3</v>
      </c>
      <c r="F328" s="6" t="str">
        <f>"1073125240"</f>
        <v>1073125240</v>
      </c>
      <c r="G328" s="6" t="str">
        <f>"F110110840000003"</f>
        <v>F110110840000003</v>
      </c>
      <c r="H328" s="6" t="str">
        <f>"FAJ 1108 - 400 g/m²"</f>
        <v>FAJ 1108 - 400 g/m²</v>
      </c>
      <c r="I328" s="6" t="str">
        <f t="shared" si="84"/>
        <v>3073</v>
      </c>
      <c r="J328" s="6" t="str">
        <f t="shared" si="85"/>
        <v>CINZA 3073</v>
      </c>
      <c r="K328" s="6" t="str">
        <f>"0830"</f>
        <v>0830</v>
      </c>
      <c r="L328" s="6" t="str">
        <f t="shared" si="86"/>
        <v>Cozinha</v>
      </c>
      <c r="M328" s="6" t="str">
        <f>"50x70"</f>
        <v>50x70</v>
      </c>
      <c r="N328" s="6" t="str">
        <f>"5602972279535"</f>
        <v>5602972279535</v>
      </c>
      <c r="O328" s="8">
        <v>12</v>
      </c>
      <c r="P328" s="7">
        <v>46048</v>
      </c>
      <c r="R328" s="8">
        <v>0</v>
      </c>
      <c r="U328" s="8">
        <v>0</v>
      </c>
      <c r="X328" s="8">
        <v>0</v>
      </c>
      <c r="Z328" s="8">
        <v>0</v>
      </c>
      <c r="AC328" s="8">
        <v>12</v>
      </c>
      <c r="AE328" s="7">
        <v>46055</v>
      </c>
      <c r="AF328" s="8">
        <v>12</v>
      </c>
      <c r="AH328" s="7">
        <v>46064</v>
      </c>
      <c r="AN328" s="8">
        <v>0</v>
      </c>
      <c r="AO328" s="8">
        <v>12</v>
      </c>
    </row>
    <row r="329" spans="1:41" x14ac:dyDescent="0.25">
      <c r="A329" s="6" t="str">
        <f>"520-2026000056"</f>
        <v>520-2026000056</v>
      </c>
      <c r="B329" s="6" t="str">
        <f t="shared" si="83"/>
        <v>AUCHAN R</v>
      </c>
      <c r="C329" s="7">
        <v>46048</v>
      </c>
      <c r="D329" s="7">
        <v>46064</v>
      </c>
      <c r="E329" s="8">
        <v>4</v>
      </c>
      <c r="F329" s="6" t="str">
        <f>"1073125240"</f>
        <v>1073125240</v>
      </c>
      <c r="G329" s="6" t="str">
        <f>"K001223523000000"</f>
        <v>K001223523000000</v>
      </c>
      <c r="H329" s="6" t="str">
        <f>"KB 2235 - Pega - CZJ"</f>
        <v>KB 2235 - Pega - CZJ</v>
      </c>
      <c r="I329" s="6" t="str">
        <f t="shared" si="84"/>
        <v>3073</v>
      </c>
      <c r="J329" s="6" t="str">
        <f t="shared" si="85"/>
        <v>CINZA 3073</v>
      </c>
      <c r="K329" s="6" t="str">
        <f>"8805"</f>
        <v>8805</v>
      </c>
      <c r="L329" s="6" t="str">
        <f t="shared" si="86"/>
        <v>Cozinha</v>
      </c>
      <c r="M329" s="6" t="str">
        <f>"05 Pega"</f>
        <v>05 Pega</v>
      </c>
      <c r="N329" s="6" t="str">
        <f>"5602972279566"</f>
        <v>5602972279566</v>
      </c>
      <c r="O329" s="8">
        <v>12</v>
      </c>
      <c r="P329" s="7">
        <v>46048</v>
      </c>
      <c r="R329" s="8">
        <v>0</v>
      </c>
      <c r="U329" s="8">
        <v>0</v>
      </c>
      <c r="X329" s="8">
        <v>0</v>
      </c>
      <c r="Z329" s="8">
        <v>0</v>
      </c>
      <c r="AC329" s="8">
        <v>12</v>
      </c>
      <c r="AE329" s="7">
        <v>46055</v>
      </c>
      <c r="AF329" s="8">
        <v>12</v>
      </c>
      <c r="AH329" s="7">
        <v>46064</v>
      </c>
      <c r="AN329" s="8">
        <v>0</v>
      </c>
      <c r="AO329" s="8">
        <v>12</v>
      </c>
    </row>
    <row r="330" spans="1:41" x14ac:dyDescent="0.25">
      <c r="A330" s="6" t="str">
        <f>"520-2026000057"</f>
        <v>520-2026000057</v>
      </c>
      <c r="B330" s="6" t="str">
        <f t="shared" si="83"/>
        <v>AUCHAN R</v>
      </c>
      <c r="C330" s="7">
        <v>46048</v>
      </c>
      <c r="D330" s="7">
        <v>46064</v>
      </c>
      <c r="E330" s="8">
        <v>1</v>
      </c>
      <c r="F330" s="6" t="str">
        <f>"1062094612"</f>
        <v>1062094612</v>
      </c>
      <c r="G330" s="6" t="str">
        <f>"F110110840000003"</f>
        <v>F110110840000003</v>
      </c>
      <c r="H330" s="6" t="str">
        <f>"FAJ 1108 - 400 g/m²"</f>
        <v>FAJ 1108 - 400 g/m²</v>
      </c>
      <c r="I330" s="6" t="str">
        <f t="shared" si="84"/>
        <v>3073</v>
      </c>
      <c r="J330" s="6" t="str">
        <f t="shared" si="85"/>
        <v>CINZA 3073</v>
      </c>
      <c r="K330" s="6" t="str">
        <f>"0830"</f>
        <v>0830</v>
      </c>
      <c r="L330" s="6" t="str">
        <f t="shared" si="86"/>
        <v>Cozinha</v>
      </c>
      <c r="M330" s="6" t="str">
        <f>"50x70"</f>
        <v>50x70</v>
      </c>
      <c r="N330" s="6" t="str">
        <f>"5602972279535"</f>
        <v>5602972279535</v>
      </c>
      <c r="O330" s="8">
        <v>12</v>
      </c>
      <c r="P330" s="7">
        <v>46048</v>
      </c>
      <c r="R330" s="8">
        <v>0</v>
      </c>
      <c r="U330" s="8">
        <v>0</v>
      </c>
      <c r="X330" s="8">
        <v>0</v>
      </c>
      <c r="Z330" s="8">
        <v>0</v>
      </c>
      <c r="AC330" s="8">
        <v>12</v>
      </c>
      <c r="AE330" s="7">
        <v>46055</v>
      </c>
      <c r="AF330" s="8">
        <v>12</v>
      </c>
      <c r="AH330" s="7">
        <v>46064</v>
      </c>
      <c r="AN330" s="8">
        <v>0</v>
      </c>
      <c r="AO330" s="8">
        <v>12</v>
      </c>
    </row>
    <row r="331" spans="1:41" x14ac:dyDescent="0.25">
      <c r="A331" s="6" t="str">
        <f>"520-2026000058"</f>
        <v>520-2026000058</v>
      </c>
      <c r="B331" s="6" t="str">
        <f t="shared" si="83"/>
        <v>AUCHAN R</v>
      </c>
      <c r="C331" s="7">
        <v>46048</v>
      </c>
      <c r="D331" s="7">
        <v>46064</v>
      </c>
      <c r="E331" s="8">
        <v>1</v>
      </c>
      <c r="F331" s="6" t="str">
        <f>"1072831590"</f>
        <v>1072831590</v>
      </c>
      <c r="G331" s="6" t="str">
        <f>"F110110840000003"</f>
        <v>F110110840000003</v>
      </c>
      <c r="H331" s="6" t="str">
        <f>"FAJ 1108 - 400 g/m²"</f>
        <v>FAJ 1108 - 400 g/m²</v>
      </c>
      <c r="I331" s="6" t="str">
        <f t="shared" si="84"/>
        <v>3073</v>
      </c>
      <c r="J331" s="6" t="str">
        <f t="shared" si="85"/>
        <v>CINZA 3073</v>
      </c>
      <c r="K331" s="6" t="str">
        <f>"0830"</f>
        <v>0830</v>
      </c>
      <c r="L331" s="6" t="str">
        <f t="shared" si="86"/>
        <v>Cozinha</v>
      </c>
      <c r="M331" s="6" t="str">
        <f>"50x70"</f>
        <v>50x70</v>
      </c>
      <c r="N331" s="6" t="str">
        <f>"5602972279535"</f>
        <v>5602972279535</v>
      </c>
      <c r="O331" s="8">
        <v>12</v>
      </c>
      <c r="P331" s="7">
        <v>46048</v>
      </c>
      <c r="R331" s="8">
        <v>0</v>
      </c>
      <c r="U331" s="8">
        <v>0</v>
      </c>
      <c r="X331" s="8">
        <v>0</v>
      </c>
      <c r="Z331" s="8">
        <v>0</v>
      </c>
      <c r="AC331" s="8">
        <v>12</v>
      </c>
      <c r="AE331" s="7">
        <v>46055</v>
      </c>
      <c r="AF331" s="8">
        <v>12</v>
      </c>
      <c r="AH331" s="7">
        <v>46064</v>
      </c>
      <c r="AN331" s="8">
        <v>0</v>
      </c>
      <c r="AO331" s="8">
        <v>12</v>
      </c>
    </row>
    <row r="332" spans="1:41" x14ac:dyDescent="0.25">
      <c r="A332" s="6" t="str">
        <f>"520-2026000058"</f>
        <v>520-2026000058</v>
      </c>
      <c r="B332" s="6" t="str">
        <f t="shared" si="83"/>
        <v>AUCHAN R</v>
      </c>
      <c r="C332" s="7">
        <v>46048</v>
      </c>
      <c r="D332" s="7">
        <v>46064</v>
      </c>
      <c r="E332" s="8">
        <v>2</v>
      </c>
      <c r="F332" s="6" t="str">
        <f>"1072831590"</f>
        <v>1072831590</v>
      </c>
      <c r="G332" s="6" t="str">
        <f>"K001223523000000"</f>
        <v>K001223523000000</v>
      </c>
      <c r="H332" s="6" t="str">
        <f>"KB 2235 - Pega - CZJ"</f>
        <v>KB 2235 - Pega - CZJ</v>
      </c>
      <c r="I332" s="6" t="str">
        <f t="shared" si="84"/>
        <v>3073</v>
      </c>
      <c r="J332" s="6" t="str">
        <f t="shared" si="85"/>
        <v>CINZA 3073</v>
      </c>
      <c r="K332" s="6" t="str">
        <f>"8805"</f>
        <v>8805</v>
      </c>
      <c r="L332" s="6" t="str">
        <f t="shared" si="86"/>
        <v>Cozinha</v>
      </c>
      <c r="M332" s="6" t="str">
        <f>"05 Pega"</f>
        <v>05 Pega</v>
      </c>
      <c r="N332" s="6" t="str">
        <f>"5602972279566"</f>
        <v>5602972279566</v>
      </c>
      <c r="O332" s="8">
        <v>12</v>
      </c>
      <c r="P332" s="7">
        <v>46048</v>
      </c>
      <c r="R332" s="8">
        <v>0</v>
      </c>
      <c r="U332" s="8">
        <v>0</v>
      </c>
      <c r="X332" s="8">
        <v>0</v>
      </c>
      <c r="Z332" s="8">
        <v>0</v>
      </c>
      <c r="AC332" s="8">
        <v>12</v>
      </c>
      <c r="AE332" s="7">
        <v>46055</v>
      </c>
      <c r="AF332" s="8">
        <v>12</v>
      </c>
      <c r="AH332" s="7">
        <v>46064</v>
      </c>
      <c r="AN332" s="8">
        <v>0</v>
      </c>
      <c r="AO332" s="8">
        <v>12</v>
      </c>
    </row>
    <row r="333" spans="1:41" x14ac:dyDescent="0.25">
      <c r="A333" s="6" t="str">
        <f>"520-2026000059"</f>
        <v>520-2026000059</v>
      </c>
      <c r="B333" s="6" t="str">
        <f t="shared" si="83"/>
        <v>AUCHAN R</v>
      </c>
      <c r="C333" s="7">
        <v>46048</v>
      </c>
      <c r="D333" s="7">
        <v>46064</v>
      </c>
      <c r="E333" s="8">
        <v>1</v>
      </c>
      <c r="F333" s="6" t="str">
        <f>"1072257518"</f>
        <v>1072257518</v>
      </c>
      <c r="G333" s="6" t="str">
        <f>"K001223323000000"</f>
        <v>K001223323000000</v>
      </c>
      <c r="H333" s="6" t="str">
        <f>"KB 2233 - Avental -"</f>
        <v>KB 2233 - Avental -</v>
      </c>
      <c r="I333" s="6" t="str">
        <f t="shared" si="84"/>
        <v>3073</v>
      </c>
      <c r="J333" s="6" t="str">
        <f t="shared" si="85"/>
        <v>CINZA 3073</v>
      </c>
      <c r="K333" s="6" t="str">
        <f>"8803"</f>
        <v>8803</v>
      </c>
      <c r="L333" s="6" t="str">
        <f t="shared" si="86"/>
        <v>Cozinha</v>
      </c>
      <c r="M333" s="6" t="str">
        <f>"03 Avental"</f>
        <v>03 Avental</v>
      </c>
      <c r="N333" s="6" t="str">
        <f>"5602972279542"</f>
        <v>5602972279542</v>
      </c>
      <c r="O333" s="8">
        <v>12</v>
      </c>
      <c r="P333" s="7">
        <v>46048</v>
      </c>
      <c r="R333" s="8">
        <v>0</v>
      </c>
      <c r="U333" s="8">
        <v>0</v>
      </c>
      <c r="X333" s="8">
        <v>0</v>
      </c>
      <c r="Z333" s="8">
        <v>0</v>
      </c>
      <c r="AC333" s="8">
        <v>12</v>
      </c>
      <c r="AE333" s="7">
        <v>46055</v>
      </c>
      <c r="AF333" s="8">
        <v>12</v>
      </c>
      <c r="AH333" s="7">
        <v>46064</v>
      </c>
      <c r="AN333" s="8">
        <v>0</v>
      </c>
      <c r="AO333" s="8">
        <v>12</v>
      </c>
    </row>
    <row r="334" spans="1:41" x14ac:dyDescent="0.25">
      <c r="A334" s="6" t="str">
        <f>"520-2026000059"</f>
        <v>520-2026000059</v>
      </c>
      <c r="B334" s="6" t="str">
        <f t="shared" si="83"/>
        <v>AUCHAN R</v>
      </c>
      <c r="C334" s="7">
        <v>46048</v>
      </c>
      <c r="D334" s="7">
        <v>46064</v>
      </c>
      <c r="E334" s="8">
        <v>2</v>
      </c>
      <c r="F334" s="6" t="str">
        <f>"1072257518"</f>
        <v>1072257518</v>
      </c>
      <c r="G334" s="6" t="str">
        <f>"C001101823000000"</f>
        <v>C001101823000000</v>
      </c>
      <c r="H334" s="6" t="str">
        <f>"CZJ 1018 - 230 gr/m²"</f>
        <v>CZJ 1018 - 230 gr/m²</v>
      </c>
      <c r="I334" s="6" t="str">
        <f t="shared" si="84"/>
        <v>3073</v>
      </c>
      <c r="J334" s="6" t="str">
        <f t="shared" si="85"/>
        <v>CINZA 3073</v>
      </c>
      <c r="K334" s="6" t="str">
        <f>"0830"</f>
        <v>0830</v>
      </c>
      <c r="L334" s="6" t="str">
        <f t="shared" si="86"/>
        <v>Cozinha</v>
      </c>
      <c r="M334" s="6" t="str">
        <f>"50x70"</f>
        <v>50x70</v>
      </c>
      <c r="N334" s="6" t="str">
        <f>"5602972758740"</f>
        <v>5602972758740</v>
      </c>
      <c r="O334" s="8">
        <v>12</v>
      </c>
      <c r="P334" s="7">
        <v>46048</v>
      </c>
      <c r="R334" s="8">
        <v>0</v>
      </c>
      <c r="U334" s="8">
        <v>0</v>
      </c>
      <c r="X334" s="8">
        <v>0</v>
      </c>
      <c r="Z334" s="8">
        <v>0</v>
      </c>
      <c r="AC334" s="8">
        <v>12</v>
      </c>
      <c r="AE334" s="7">
        <v>46055</v>
      </c>
      <c r="AF334" s="8">
        <v>12</v>
      </c>
      <c r="AH334" s="7">
        <v>46064</v>
      </c>
      <c r="AN334" s="8">
        <v>0</v>
      </c>
      <c r="AO334" s="8">
        <v>12</v>
      </c>
    </row>
    <row r="335" spans="1:41" x14ac:dyDescent="0.25">
      <c r="A335" s="6" t="str">
        <f>"520-2026000059"</f>
        <v>520-2026000059</v>
      </c>
      <c r="B335" s="6" t="str">
        <f t="shared" si="83"/>
        <v>AUCHAN R</v>
      </c>
      <c r="C335" s="7">
        <v>46048</v>
      </c>
      <c r="D335" s="7">
        <v>46064</v>
      </c>
      <c r="E335" s="8">
        <v>3</v>
      </c>
      <c r="F335" s="6" t="str">
        <f>"1072257518"</f>
        <v>1072257518</v>
      </c>
      <c r="G335" s="6" t="str">
        <f>"F110110840000003"</f>
        <v>F110110840000003</v>
      </c>
      <c r="H335" s="6" t="str">
        <f>"FAJ 1108 - 400 g/m²"</f>
        <v>FAJ 1108 - 400 g/m²</v>
      </c>
      <c r="I335" s="6" t="str">
        <f t="shared" si="84"/>
        <v>3073</v>
      </c>
      <c r="J335" s="6" t="str">
        <f t="shared" si="85"/>
        <v>CINZA 3073</v>
      </c>
      <c r="K335" s="6" t="str">
        <f>"0830"</f>
        <v>0830</v>
      </c>
      <c r="L335" s="6" t="str">
        <f t="shared" si="86"/>
        <v>Cozinha</v>
      </c>
      <c r="M335" s="6" t="str">
        <f>"50x70"</f>
        <v>50x70</v>
      </c>
      <c r="N335" s="6" t="str">
        <f>"5602972279535"</f>
        <v>5602972279535</v>
      </c>
      <c r="O335" s="8">
        <v>12</v>
      </c>
      <c r="P335" s="7">
        <v>46048</v>
      </c>
      <c r="R335" s="8">
        <v>0</v>
      </c>
      <c r="U335" s="8">
        <v>0</v>
      </c>
      <c r="X335" s="8">
        <v>0</v>
      </c>
      <c r="Z335" s="8">
        <v>0</v>
      </c>
      <c r="AC335" s="8">
        <v>12</v>
      </c>
      <c r="AE335" s="7">
        <v>46055</v>
      </c>
      <c r="AF335" s="8">
        <v>12</v>
      </c>
      <c r="AH335" s="7">
        <v>46064</v>
      </c>
      <c r="AN335" s="8">
        <v>0</v>
      </c>
      <c r="AO335" s="8">
        <v>12</v>
      </c>
    </row>
    <row r="336" spans="1:41" x14ac:dyDescent="0.25">
      <c r="A336" s="6" t="str">
        <f>"520-2026000059"</f>
        <v>520-2026000059</v>
      </c>
      <c r="B336" s="6" t="str">
        <f t="shared" si="83"/>
        <v>AUCHAN R</v>
      </c>
      <c r="C336" s="7">
        <v>46048</v>
      </c>
      <c r="D336" s="7">
        <v>46064</v>
      </c>
      <c r="E336" s="8">
        <v>4</v>
      </c>
      <c r="F336" s="6" t="str">
        <f>"1072257518"</f>
        <v>1072257518</v>
      </c>
      <c r="G336" s="6" t="str">
        <f>"K001223523000000"</f>
        <v>K001223523000000</v>
      </c>
      <c r="H336" s="6" t="str">
        <f>"KB 2235 - Pega - CZJ"</f>
        <v>KB 2235 - Pega - CZJ</v>
      </c>
      <c r="I336" s="6" t="str">
        <f t="shared" si="84"/>
        <v>3073</v>
      </c>
      <c r="J336" s="6" t="str">
        <f t="shared" si="85"/>
        <v>CINZA 3073</v>
      </c>
      <c r="K336" s="6" t="str">
        <f>"8805"</f>
        <v>8805</v>
      </c>
      <c r="L336" s="6" t="str">
        <f t="shared" si="86"/>
        <v>Cozinha</v>
      </c>
      <c r="M336" s="6" t="str">
        <f>"05 Pega"</f>
        <v>05 Pega</v>
      </c>
      <c r="N336" s="6" t="str">
        <f>"5602972279566"</f>
        <v>5602972279566</v>
      </c>
      <c r="O336" s="8">
        <v>12</v>
      </c>
      <c r="P336" s="7">
        <v>46048</v>
      </c>
      <c r="R336" s="8">
        <v>0</v>
      </c>
      <c r="U336" s="8">
        <v>0</v>
      </c>
      <c r="X336" s="8">
        <v>0</v>
      </c>
      <c r="Z336" s="8">
        <v>0</v>
      </c>
      <c r="AC336" s="8">
        <v>12</v>
      </c>
      <c r="AE336" s="7">
        <v>46055</v>
      </c>
      <c r="AF336" s="8">
        <v>12</v>
      </c>
      <c r="AH336" s="7">
        <v>46064</v>
      </c>
      <c r="AN336" s="8">
        <v>0</v>
      </c>
      <c r="AO336" s="8">
        <v>12</v>
      </c>
    </row>
    <row r="337" spans="1:41" x14ac:dyDescent="0.25">
      <c r="A337" s="6" t="str">
        <f>"520-2026000060"</f>
        <v>520-2026000060</v>
      </c>
      <c r="B337" s="6" t="str">
        <f t="shared" si="83"/>
        <v>AUCHAN R</v>
      </c>
      <c r="C337" s="7">
        <v>46048</v>
      </c>
      <c r="D337" s="7">
        <v>46064</v>
      </c>
      <c r="E337" s="8">
        <v>1</v>
      </c>
      <c r="F337" s="6" t="str">
        <f>"1061898300"</f>
        <v>1061898300</v>
      </c>
      <c r="G337" s="6" t="str">
        <f>"K001223323000000"</f>
        <v>K001223323000000</v>
      </c>
      <c r="H337" s="6" t="str">
        <f>"KB 2233 - Avental -"</f>
        <v>KB 2233 - Avental -</v>
      </c>
      <c r="I337" s="6" t="str">
        <f t="shared" si="84"/>
        <v>3073</v>
      </c>
      <c r="J337" s="6" t="str">
        <f t="shared" si="85"/>
        <v>CINZA 3073</v>
      </c>
      <c r="K337" s="6" t="str">
        <f>"8803"</f>
        <v>8803</v>
      </c>
      <c r="L337" s="6" t="str">
        <f t="shared" si="86"/>
        <v>Cozinha</v>
      </c>
      <c r="M337" s="6" t="str">
        <f>"03 Avental"</f>
        <v>03 Avental</v>
      </c>
      <c r="N337" s="6" t="str">
        <f>"5602972279542"</f>
        <v>5602972279542</v>
      </c>
      <c r="O337" s="8">
        <v>12</v>
      </c>
      <c r="P337" s="7">
        <v>46048</v>
      </c>
      <c r="R337" s="8">
        <v>0</v>
      </c>
      <c r="U337" s="8">
        <v>0</v>
      </c>
      <c r="X337" s="8">
        <v>0</v>
      </c>
      <c r="Z337" s="8">
        <v>0</v>
      </c>
      <c r="AC337" s="8">
        <v>12</v>
      </c>
      <c r="AE337" s="7">
        <v>46055</v>
      </c>
      <c r="AF337" s="8">
        <v>12</v>
      </c>
      <c r="AH337" s="7">
        <v>46064</v>
      </c>
      <c r="AN337" s="8">
        <v>0</v>
      </c>
      <c r="AO337" s="8">
        <v>12</v>
      </c>
    </row>
    <row r="338" spans="1:41" x14ac:dyDescent="0.25">
      <c r="A338" s="6" t="str">
        <f>"520-2026000061"</f>
        <v>520-2026000061</v>
      </c>
      <c r="B338" s="6" t="str">
        <f t="shared" si="83"/>
        <v>AUCHAN R</v>
      </c>
      <c r="C338" s="7">
        <v>46048</v>
      </c>
      <c r="D338" s="7">
        <v>46064</v>
      </c>
      <c r="E338" s="8">
        <v>1</v>
      </c>
      <c r="F338" s="6" t="str">
        <f>"1063784322"</f>
        <v>1063784322</v>
      </c>
      <c r="G338" s="6" t="str">
        <f>"K001223323000000"</f>
        <v>K001223323000000</v>
      </c>
      <c r="H338" s="6" t="str">
        <f>"KB 2233 - Avental -"</f>
        <v>KB 2233 - Avental -</v>
      </c>
      <c r="I338" s="6" t="str">
        <f t="shared" si="84"/>
        <v>3073</v>
      </c>
      <c r="J338" s="6" t="str">
        <f t="shared" si="85"/>
        <v>CINZA 3073</v>
      </c>
      <c r="K338" s="6" t="str">
        <f>"8803"</f>
        <v>8803</v>
      </c>
      <c r="L338" s="6" t="str">
        <f t="shared" si="86"/>
        <v>Cozinha</v>
      </c>
      <c r="M338" s="6" t="str">
        <f>"03 Avental"</f>
        <v>03 Avental</v>
      </c>
      <c r="N338" s="6" t="str">
        <f>"5602972279542"</f>
        <v>5602972279542</v>
      </c>
      <c r="O338" s="8">
        <v>12</v>
      </c>
      <c r="P338" s="7">
        <v>46048</v>
      </c>
      <c r="R338" s="8">
        <v>0</v>
      </c>
      <c r="U338" s="8">
        <v>0</v>
      </c>
      <c r="X338" s="8">
        <v>0</v>
      </c>
      <c r="Z338" s="8">
        <v>0</v>
      </c>
      <c r="AC338" s="8">
        <v>12</v>
      </c>
      <c r="AE338" s="7">
        <v>46055</v>
      </c>
      <c r="AF338" s="8">
        <v>12</v>
      </c>
      <c r="AH338" s="7">
        <v>46064</v>
      </c>
      <c r="AN338" s="8">
        <v>0</v>
      </c>
      <c r="AO338" s="8">
        <v>12</v>
      </c>
    </row>
    <row r="339" spans="1:41" x14ac:dyDescent="0.25">
      <c r="A339" s="6" t="str">
        <f>"520-2026000062"</f>
        <v>520-2026000062</v>
      </c>
      <c r="B339" s="6" t="str">
        <f t="shared" si="83"/>
        <v>AUCHAN R</v>
      </c>
      <c r="C339" s="7">
        <v>46048</v>
      </c>
      <c r="D339" s="7">
        <v>46064</v>
      </c>
      <c r="E339" s="8">
        <v>1</v>
      </c>
      <c r="F339" s="6" t="str">
        <f>"1073718845"</f>
        <v>1073718845</v>
      </c>
      <c r="G339" s="6" t="str">
        <f>"K001223323000000"</f>
        <v>K001223323000000</v>
      </c>
      <c r="H339" s="6" t="str">
        <f>"KB 2233 - Avental -"</f>
        <v>KB 2233 - Avental -</v>
      </c>
      <c r="I339" s="6" t="str">
        <f t="shared" si="84"/>
        <v>3073</v>
      </c>
      <c r="J339" s="6" t="str">
        <f t="shared" si="85"/>
        <v>CINZA 3073</v>
      </c>
      <c r="K339" s="6" t="str">
        <f>"8803"</f>
        <v>8803</v>
      </c>
      <c r="L339" s="6" t="str">
        <f t="shared" si="86"/>
        <v>Cozinha</v>
      </c>
      <c r="M339" s="6" t="str">
        <f>"03 Avental"</f>
        <v>03 Avental</v>
      </c>
      <c r="N339" s="6" t="str">
        <f>"5602972279542"</f>
        <v>5602972279542</v>
      </c>
      <c r="O339" s="8">
        <v>12</v>
      </c>
      <c r="P339" s="7">
        <v>46048</v>
      </c>
      <c r="R339" s="8">
        <v>0</v>
      </c>
      <c r="U339" s="8">
        <v>0</v>
      </c>
      <c r="X339" s="8">
        <v>0</v>
      </c>
      <c r="Z339" s="8">
        <v>0</v>
      </c>
      <c r="AC339" s="8">
        <v>12</v>
      </c>
      <c r="AE339" s="7">
        <v>46055</v>
      </c>
      <c r="AF339" s="8">
        <v>12</v>
      </c>
      <c r="AH339" s="7">
        <v>46064</v>
      </c>
      <c r="AN339" s="8">
        <v>0</v>
      </c>
      <c r="AO339" s="8">
        <v>12</v>
      </c>
    </row>
    <row r="340" spans="1:41" x14ac:dyDescent="0.25">
      <c r="A340" s="6" t="str">
        <f>"520-2026000062"</f>
        <v>520-2026000062</v>
      </c>
      <c r="B340" s="6" t="str">
        <f t="shared" si="83"/>
        <v>AUCHAN R</v>
      </c>
      <c r="C340" s="7">
        <v>46048</v>
      </c>
      <c r="D340" s="7">
        <v>46064</v>
      </c>
      <c r="E340" s="8">
        <v>2</v>
      </c>
      <c r="F340" s="6" t="str">
        <f>"1073718845"</f>
        <v>1073718845</v>
      </c>
      <c r="G340" s="6" t="str">
        <f>"C001101823000000"</f>
        <v>C001101823000000</v>
      </c>
      <c r="H340" s="6" t="str">
        <f>"CZJ 1018 - 230 gr/m²"</f>
        <v>CZJ 1018 - 230 gr/m²</v>
      </c>
      <c r="I340" s="6" t="str">
        <f t="shared" si="84"/>
        <v>3073</v>
      </c>
      <c r="J340" s="6" t="str">
        <f t="shared" si="85"/>
        <v>CINZA 3073</v>
      </c>
      <c r="K340" s="6" t="str">
        <f>"0830"</f>
        <v>0830</v>
      </c>
      <c r="L340" s="6" t="str">
        <f t="shared" si="86"/>
        <v>Cozinha</v>
      </c>
      <c r="M340" s="6" t="str">
        <f>"50x70"</f>
        <v>50x70</v>
      </c>
      <c r="N340" s="6" t="str">
        <f>"5602972758740"</f>
        <v>5602972758740</v>
      </c>
      <c r="O340" s="8">
        <v>12</v>
      </c>
      <c r="P340" s="7">
        <v>46048</v>
      </c>
      <c r="R340" s="8">
        <v>0</v>
      </c>
      <c r="U340" s="8">
        <v>0</v>
      </c>
      <c r="X340" s="8">
        <v>0</v>
      </c>
      <c r="Z340" s="8">
        <v>0</v>
      </c>
      <c r="AC340" s="8">
        <v>12</v>
      </c>
      <c r="AE340" s="7">
        <v>46055</v>
      </c>
      <c r="AF340" s="8">
        <v>12</v>
      </c>
      <c r="AH340" s="7">
        <v>46064</v>
      </c>
      <c r="AN340" s="8">
        <v>0</v>
      </c>
      <c r="AO340" s="8">
        <v>12</v>
      </c>
    </row>
    <row r="341" spans="1:41" x14ac:dyDescent="0.25">
      <c r="A341" s="6" t="str">
        <f>"520-2026000062"</f>
        <v>520-2026000062</v>
      </c>
      <c r="B341" s="6" t="str">
        <f t="shared" si="83"/>
        <v>AUCHAN R</v>
      </c>
      <c r="C341" s="7">
        <v>46048</v>
      </c>
      <c r="D341" s="7">
        <v>46064</v>
      </c>
      <c r="E341" s="8">
        <v>3</v>
      </c>
      <c r="F341" s="6" t="str">
        <f>"1073718845"</f>
        <v>1073718845</v>
      </c>
      <c r="G341" s="6" t="str">
        <f>"F110110840000003"</f>
        <v>F110110840000003</v>
      </c>
      <c r="H341" s="6" t="str">
        <f>"FAJ 1108 - 400 g/m²"</f>
        <v>FAJ 1108 - 400 g/m²</v>
      </c>
      <c r="I341" s="6" t="str">
        <f t="shared" si="84"/>
        <v>3073</v>
      </c>
      <c r="J341" s="6" t="str">
        <f t="shared" si="85"/>
        <v>CINZA 3073</v>
      </c>
      <c r="K341" s="6" t="str">
        <f>"0830"</f>
        <v>0830</v>
      </c>
      <c r="L341" s="6" t="str">
        <f t="shared" si="86"/>
        <v>Cozinha</v>
      </c>
      <c r="M341" s="6" t="str">
        <f>"50x70"</f>
        <v>50x70</v>
      </c>
      <c r="N341" s="6" t="str">
        <f>"5602972279535"</f>
        <v>5602972279535</v>
      </c>
      <c r="O341" s="8">
        <v>12</v>
      </c>
      <c r="P341" s="7">
        <v>46048</v>
      </c>
      <c r="R341" s="8">
        <v>0</v>
      </c>
      <c r="U341" s="8">
        <v>0</v>
      </c>
      <c r="X341" s="8">
        <v>0</v>
      </c>
      <c r="Z341" s="8">
        <v>0</v>
      </c>
      <c r="AC341" s="8">
        <v>12</v>
      </c>
      <c r="AE341" s="7">
        <v>46055</v>
      </c>
      <c r="AF341" s="8">
        <v>12</v>
      </c>
      <c r="AH341" s="7">
        <v>46064</v>
      </c>
      <c r="AN341" s="8">
        <v>0</v>
      </c>
      <c r="AO341" s="8">
        <v>12</v>
      </c>
    </row>
    <row r="342" spans="1:41" x14ac:dyDescent="0.25">
      <c r="A342" s="6" t="str">
        <f>"520-2026000062"</f>
        <v>520-2026000062</v>
      </c>
      <c r="B342" s="6" t="str">
        <f t="shared" si="83"/>
        <v>AUCHAN R</v>
      </c>
      <c r="C342" s="7">
        <v>46048</v>
      </c>
      <c r="D342" s="7">
        <v>46064</v>
      </c>
      <c r="E342" s="8">
        <v>4</v>
      </c>
      <c r="F342" s="6" t="str">
        <f>"1073718845"</f>
        <v>1073718845</v>
      </c>
      <c r="G342" s="6" t="str">
        <f>"K001223523000000"</f>
        <v>K001223523000000</v>
      </c>
      <c r="H342" s="6" t="str">
        <f>"KB 2235 - Pega - CZJ"</f>
        <v>KB 2235 - Pega - CZJ</v>
      </c>
      <c r="I342" s="6" t="str">
        <f t="shared" si="84"/>
        <v>3073</v>
      </c>
      <c r="J342" s="6" t="str">
        <f t="shared" si="85"/>
        <v>CINZA 3073</v>
      </c>
      <c r="K342" s="6" t="str">
        <f>"8805"</f>
        <v>8805</v>
      </c>
      <c r="L342" s="6" t="str">
        <f t="shared" si="86"/>
        <v>Cozinha</v>
      </c>
      <c r="M342" s="6" t="str">
        <f>"05 Pega"</f>
        <v>05 Pega</v>
      </c>
      <c r="N342" s="6" t="str">
        <f>"5602972279566"</f>
        <v>5602972279566</v>
      </c>
      <c r="O342" s="8">
        <v>12</v>
      </c>
      <c r="P342" s="7">
        <v>46048</v>
      </c>
      <c r="R342" s="8">
        <v>0</v>
      </c>
      <c r="U342" s="8">
        <v>0</v>
      </c>
      <c r="X342" s="8">
        <v>0</v>
      </c>
      <c r="Z342" s="8">
        <v>0</v>
      </c>
      <c r="AC342" s="8">
        <v>12</v>
      </c>
      <c r="AE342" s="7">
        <v>46055</v>
      </c>
      <c r="AF342" s="8">
        <v>12</v>
      </c>
      <c r="AH342" s="7">
        <v>46064</v>
      </c>
      <c r="AN342" s="8">
        <v>0</v>
      </c>
      <c r="AO342" s="8">
        <v>12</v>
      </c>
    </row>
    <row r="343" spans="1:41" x14ac:dyDescent="0.25">
      <c r="A343" s="6" t="str">
        <f>"520-2026000063"</f>
        <v>520-2026000063</v>
      </c>
      <c r="B343" s="6" t="str">
        <f t="shared" si="83"/>
        <v>AUCHAN R</v>
      </c>
      <c r="C343" s="7">
        <v>46048</v>
      </c>
      <c r="D343" s="7">
        <v>46064</v>
      </c>
      <c r="E343" s="8">
        <v>1</v>
      </c>
      <c r="F343" s="6" t="str">
        <f>"1074011020"</f>
        <v>1074011020</v>
      </c>
      <c r="G343" s="6" t="str">
        <f>"K001223323000000"</f>
        <v>K001223323000000</v>
      </c>
      <c r="H343" s="6" t="str">
        <f>"KB 2233 - Avental -"</f>
        <v>KB 2233 - Avental -</v>
      </c>
      <c r="I343" s="6" t="str">
        <f t="shared" si="84"/>
        <v>3073</v>
      </c>
      <c r="J343" s="6" t="str">
        <f t="shared" si="85"/>
        <v>CINZA 3073</v>
      </c>
      <c r="K343" s="6" t="str">
        <f>"8803"</f>
        <v>8803</v>
      </c>
      <c r="L343" s="6" t="str">
        <f t="shared" si="86"/>
        <v>Cozinha</v>
      </c>
      <c r="M343" s="6" t="str">
        <f>"03 Avental"</f>
        <v>03 Avental</v>
      </c>
      <c r="N343" s="6" t="str">
        <f>"5602972279542"</f>
        <v>5602972279542</v>
      </c>
      <c r="O343" s="8">
        <v>12</v>
      </c>
      <c r="P343" s="7">
        <v>46048</v>
      </c>
      <c r="R343" s="8">
        <v>0</v>
      </c>
      <c r="U343" s="8">
        <v>0</v>
      </c>
      <c r="X343" s="8">
        <v>0</v>
      </c>
      <c r="Z343" s="8">
        <v>0</v>
      </c>
      <c r="AC343" s="8">
        <v>12</v>
      </c>
      <c r="AE343" s="7">
        <v>46055</v>
      </c>
      <c r="AF343" s="8">
        <v>12</v>
      </c>
      <c r="AH343" s="7">
        <v>46064</v>
      </c>
      <c r="AN343" s="8">
        <v>0</v>
      </c>
      <c r="AO343" s="8">
        <v>12</v>
      </c>
    </row>
    <row r="344" spans="1:41" x14ac:dyDescent="0.25">
      <c r="A344" s="6" t="str">
        <f>"520-2026000063"</f>
        <v>520-2026000063</v>
      </c>
      <c r="B344" s="6" t="str">
        <f t="shared" si="83"/>
        <v>AUCHAN R</v>
      </c>
      <c r="C344" s="7">
        <v>46048</v>
      </c>
      <c r="D344" s="7">
        <v>46064</v>
      </c>
      <c r="E344" s="8">
        <v>2</v>
      </c>
      <c r="F344" s="6" t="str">
        <f>"1074011020"</f>
        <v>1074011020</v>
      </c>
      <c r="G344" s="6" t="str">
        <f>"C001101823000000"</f>
        <v>C001101823000000</v>
      </c>
      <c r="H344" s="6" t="str">
        <f>"CZJ 1018 - 230 gr/m²"</f>
        <v>CZJ 1018 - 230 gr/m²</v>
      </c>
      <c r="I344" s="6" t="str">
        <f t="shared" si="84"/>
        <v>3073</v>
      </c>
      <c r="J344" s="6" t="str">
        <f t="shared" si="85"/>
        <v>CINZA 3073</v>
      </c>
      <c r="K344" s="6" t="str">
        <f>"0830"</f>
        <v>0830</v>
      </c>
      <c r="L344" s="6" t="str">
        <f t="shared" si="86"/>
        <v>Cozinha</v>
      </c>
      <c r="M344" s="6" t="str">
        <f>"50x70"</f>
        <v>50x70</v>
      </c>
      <c r="N344" s="6" t="str">
        <f>"5602972758740"</f>
        <v>5602972758740</v>
      </c>
      <c r="O344" s="8">
        <v>12</v>
      </c>
      <c r="P344" s="7">
        <v>46048</v>
      </c>
      <c r="R344" s="8">
        <v>0</v>
      </c>
      <c r="U344" s="8">
        <v>0</v>
      </c>
      <c r="X344" s="8">
        <v>0</v>
      </c>
      <c r="Z344" s="8">
        <v>0</v>
      </c>
      <c r="AC344" s="8">
        <v>12</v>
      </c>
      <c r="AE344" s="7">
        <v>46055</v>
      </c>
      <c r="AF344" s="8">
        <v>12</v>
      </c>
      <c r="AH344" s="7">
        <v>46064</v>
      </c>
      <c r="AN344" s="8">
        <v>0</v>
      </c>
      <c r="AO344" s="8">
        <v>12</v>
      </c>
    </row>
    <row r="345" spans="1:41" x14ac:dyDescent="0.25">
      <c r="A345" s="6" t="str">
        <f>"520-2026000063"</f>
        <v>520-2026000063</v>
      </c>
      <c r="B345" s="6" t="str">
        <f t="shared" si="83"/>
        <v>AUCHAN R</v>
      </c>
      <c r="C345" s="7">
        <v>46048</v>
      </c>
      <c r="D345" s="7">
        <v>46064</v>
      </c>
      <c r="E345" s="8">
        <v>3</v>
      </c>
      <c r="F345" s="6" t="str">
        <f>"1074011020"</f>
        <v>1074011020</v>
      </c>
      <c r="G345" s="6" t="str">
        <f>"F110110840000003"</f>
        <v>F110110840000003</v>
      </c>
      <c r="H345" s="6" t="str">
        <f>"FAJ 1108 - 400 g/m²"</f>
        <v>FAJ 1108 - 400 g/m²</v>
      </c>
      <c r="I345" s="6" t="str">
        <f t="shared" si="84"/>
        <v>3073</v>
      </c>
      <c r="J345" s="6" t="str">
        <f t="shared" si="85"/>
        <v>CINZA 3073</v>
      </c>
      <c r="K345" s="6" t="str">
        <f>"0830"</f>
        <v>0830</v>
      </c>
      <c r="L345" s="6" t="str">
        <f t="shared" si="86"/>
        <v>Cozinha</v>
      </c>
      <c r="M345" s="6" t="str">
        <f>"50x70"</f>
        <v>50x70</v>
      </c>
      <c r="N345" s="6" t="str">
        <f>"5602972279535"</f>
        <v>5602972279535</v>
      </c>
      <c r="O345" s="8">
        <v>12</v>
      </c>
      <c r="P345" s="7">
        <v>46048</v>
      </c>
      <c r="R345" s="8">
        <v>0</v>
      </c>
      <c r="U345" s="8">
        <v>0</v>
      </c>
      <c r="X345" s="8">
        <v>0</v>
      </c>
      <c r="Z345" s="8">
        <v>0</v>
      </c>
      <c r="AC345" s="8">
        <v>12</v>
      </c>
      <c r="AE345" s="7">
        <v>46055</v>
      </c>
      <c r="AF345" s="8">
        <v>12</v>
      </c>
      <c r="AH345" s="7">
        <v>46064</v>
      </c>
      <c r="AN345" s="8">
        <v>0</v>
      </c>
      <c r="AO345" s="8">
        <v>12</v>
      </c>
    </row>
    <row r="346" spans="1:41" x14ac:dyDescent="0.25">
      <c r="A346" s="6" t="str">
        <f>"520-2026000063"</f>
        <v>520-2026000063</v>
      </c>
      <c r="B346" s="6" t="str">
        <f t="shared" si="83"/>
        <v>AUCHAN R</v>
      </c>
      <c r="C346" s="7">
        <v>46048</v>
      </c>
      <c r="D346" s="7">
        <v>46064</v>
      </c>
      <c r="E346" s="8">
        <v>4</v>
      </c>
      <c r="F346" s="6" t="str">
        <f>"1074011020"</f>
        <v>1074011020</v>
      </c>
      <c r="G346" s="6" t="str">
        <f>"K001223523000000"</f>
        <v>K001223523000000</v>
      </c>
      <c r="H346" s="6" t="str">
        <f>"KB 2235 - Pega - CZJ"</f>
        <v>KB 2235 - Pega - CZJ</v>
      </c>
      <c r="I346" s="6" t="str">
        <f t="shared" si="84"/>
        <v>3073</v>
      </c>
      <c r="J346" s="6" t="str">
        <f t="shared" si="85"/>
        <v>CINZA 3073</v>
      </c>
      <c r="K346" s="6" t="str">
        <f>"8805"</f>
        <v>8805</v>
      </c>
      <c r="L346" s="6" t="str">
        <f t="shared" si="86"/>
        <v>Cozinha</v>
      </c>
      <c r="M346" s="6" t="str">
        <f>"05 Pega"</f>
        <v>05 Pega</v>
      </c>
      <c r="N346" s="6" t="str">
        <f>"5602972279566"</f>
        <v>5602972279566</v>
      </c>
      <c r="O346" s="8">
        <v>12</v>
      </c>
      <c r="P346" s="7">
        <v>46048</v>
      </c>
      <c r="R346" s="8">
        <v>0</v>
      </c>
      <c r="U346" s="8">
        <v>0</v>
      </c>
      <c r="X346" s="8">
        <v>0</v>
      </c>
      <c r="Z346" s="8">
        <v>0</v>
      </c>
      <c r="AC346" s="8">
        <v>12</v>
      </c>
      <c r="AE346" s="7">
        <v>46055</v>
      </c>
      <c r="AF346" s="8">
        <v>12</v>
      </c>
      <c r="AH346" s="7">
        <v>46064</v>
      </c>
      <c r="AN346" s="8">
        <v>0</v>
      </c>
      <c r="AO346" s="8">
        <v>12</v>
      </c>
    </row>
    <row r="347" spans="1:41" x14ac:dyDescent="0.25">
      <c r="A347" s="6" t="str">
        <f>"520-2026000064"</f>
        <v>520-2026000064</v>
      </c>
      <c r="B347" s="6" t="str">
        <f>"CRIAÇÕES"</f>
        <v>CRIAÇÕES</v>
      </c>
      <c r="C347" s="7">
        <v>46048</v>
      </c>
      <c r="D347" s="7">
        <v>46094</v>
      </c>
      <c r="E347" s="8">
        <v>10</v>
      </c>
      <c r="F347" s="6" t="str">
        <f>"POÇA D. BEIJA"</f>
        <v>POÇA D. BEIJA</v>
      </c>
      <c r="G347" s="6" t="str">
        <f>"F100021455003503"</f>
        <v>F100021455003503</v>
      </c>
      <c r="H347" s="6" t="str">
        <f>"FA 214 - PURE / 3503"</f>
        <v>FA 214 - PURE / 3503</v>
      </c>
      <c r="I347" s="6" t="str">
        <f>"1359"</f>
        <v>1359</v>
      </c>
      <c r="J347" s="6" t="str">
        <f>"CASTANHO 1359"</f>
        <v>CASTANHO 1359</v>
      </c>
      <c r="K347" s="6" t="str">
        <f>"2020"</f>
        <v>2020</v>
      </c>
      <c r="L347" s="6" t="str">
        <f>"Lençóis"</f>
        <v>Lençóis</v>
      </c>
      <c r="M347" s="6" t="str">
        <f>"100x150"</f>
        <v>100x150</v>
      </c>
      <c r="N347" s="6" t="str">
        <f>"5600000076699"</f>
        <v>5600000076699</v>
      </c>
      <c r="O347" s="8">
        <v>100</v>
      </c>
      <c r="P347" s="7">
        <v>46094</v>
      </c>
      <c r="R347" s="8">
        <v>0</v>
      </c>
      <c r="U347" s="8">
        <v>0</v>
      </c>
      <c r="X347" s="8">
        <v>0</v>
      </c>
      <c r="Z347" s="8">
        <v>0</v>
      </c>
      <c r="AC347" s="8">
        <v>0</v>
      </c>
      <c r="AE347" s="7">
        <v>46101</v>
      </c>
      <c r="AF347" s="8">
        <v>0</v>
      </c>
      <c r="AH347" s="7">
        <v>46094</v>
      </c>
      <c r="AN347" s="8">
        <v>0</v>
      </c>
      <c r="AO347" s="8">
        <v>100</v>
      </c>
    </row>
    <row r="348" spans="1:41" x14ac:dyDescent="0.25">
      <c r="A348" s="6" t="str">
        <f t="shared" ref="A348:A357" si="87">"520-2026000065"</f>
        <v>520-2026000065</v>
      </c>
      <c r="B348" s="6" t="str">
        <f t="shared" ref="B348:B367" si="88">"AUCHAN R"</f>
        <v>AUCHAN R</v>
      </c>
      <c r="C348" s="7">
        <v>46048</v>
      </c>
      <c r="D348" s="7">
        <v>46049</v>
      </c>
      <c r="E348" s="8">
        <v>1</v>
      </c>
      <c r="F348" s="6" t="str">
        <f t="shared" ref="F348:F357" si="89">"1072257563"</f>
        <v>1072257563</v>
      </c>
      <c r="G348" s="6" t="str">
        <f>"F100021455000000"</f>
        <v>F100021455000000</v>
      </c>
      <c r="H348" s="6" t="str">
        <f>"FA 214 - PURE - 550"</f>
        <v>FA 214 - PURE - 550</v>
      </c>
      <c r="I348" s="6" t="str">
        <f>"1"</f>
        <v>1</v>
      </c>
      <c r="J348" s="6" t="str">
        <f>"BRANCO"</f>
        <v>BRANCO</v>
      </c>
      <c r="K348" s="6" t="str">
        <f>"0112"</f>
        <v>0112</v>
      </c>
      <c r="L348" s="6" t="str">
        <f>"Luvas"</f>
        <v>Luvas</v>
      </c>
      <c r="M348" s="6" t="str">
        <f>"16x21"</f>
        <v>16x21</v>
      </c>
      <c r="N348" s="6" t="str">
        <f>"5602972836233"</f>
        <v>5602972836233</v>
      </c>
      <c r="O348" s="8">
        <v>24</v>
      </c>
      <c r="P348" s="7">
        <v>46048</v>
      </c>
      <c r="R348" s="8">
        <v>0</v>
      </c>
      <c r="U348" s="8">
        <v>0</v>
      </c>
      <c r="X348" s="8">
        <v>0</v>
      </c>
      <c r="Z348" s="8">
        <v>0</v>
      </c>
      <c r="AC348" s="8">
        <v>24</v>
      </c>
      <c r="AE348" s="7">
        <v>46055</v>
      </c>
      <c r="AF348" s="8">
        <v>24</v>
      </c>
      <c r="AH348" s="7">
        <v>46049</v>
      </c>
      <c r="AN348" s="8">
        <v>24</v>
      </c>
      <c r="AO348" s="8">
        <v>0</v>
      </c>
    </row>
    <row r="349" spans="1:41" x14ac:dyDescent="0.25">
      <c r="A349" s="6" t="str">
        <f t="shared" si="87"/>
        <v>520-2026000065</v>
      </c>
      <c r="B349" s="6" t="str">
        <f t="shared" si="88"/>
        <v>AUCHAN R</v>
      </c>
      <c r="C349" s="7">
        <v>46048</v>
      </c>
      <c r="D349" s="7">
        <v>46049</v>
      </c>
      <c r="E349" s="8">
        <v>2</v>
      </c>
      <c r="F349" s="6" t="str">
        <f t="shared" si="89"/>
        <v>1072257563</v>
      </c>
      <c r="G349" s="6" t="str">
        <f>"F310631555000000"</f>
        <v>F310631555000000</v>
      </c>
      <c r="H349" s="6" t="str">
        <f>"PLAR 6315 - 550 g/m²"</f>
        <v>PLAR 6315 - 550 g/m²</v>
      </c>
      <c r="I349" s="6" t="str">
        <f>"204037"</f>
        <v>204037</v>
      </c>
      <c r="J349" s="6" t="str">
        <f>"AZUL 4037"</f>
        <v>AZUL 4037</v>
      </c>
      <c r="K349" s="6" t="str">
        <f>"2020"</f>
        <v>2020</v>
      </c>
      <c r="L349" s="6" t="str">
        <f>"Lençóis"</f>
        <v>Lençóis</v>
      </c>
      <c r="M349" s="6" t="str">
        <f>"100x150"</f>
        <v>100x150</v>
      </c>
      <c r="N349" s="6" t="str">
        <f>"5602972280852"</f>
        <v>5602972280852</v>
      </c>
      <c r="O349" s="8">
        <v>9</v>
      </c>
      <c r="P349" s="7">
        <v>46048</v>
      </c>
      <c r="R349" s="8">
        <v>0</v>
      </c>
      <c r="U349" s="8">
        <v>0</v>
      </c>
      <c r="X349" s="8">
        <v>0</v>
      </c>
      <c r="Z349" s="8">
        <v>0</v>
      </c>
      <c r="AC349" s="8">
        <v>9</v>
      </c>
      <c r="AE349" s="7">
        <v>46055</v>
      </c>
      <c r="AF349" s="8">
        <v>9</v>
      </c>
      <c r="AH349" s="7">
        <v>46049</v>
      </c>
      <c r="AN349" s="8">
        <v>9</v>
      </c>
      <c r="AO349" s="8">
        <v>0</v>
      </c>
    </row>
    <row r="350" spans="1:41" x14ac:dyDescent="0.25">
      <c r="A350" s="6" t="str">
        <f t="shared" si="87"/>
        <v>520-2026000065</v>
      </c>
      <c r="B350" s="6" t="str">
        <f t="shared" si="88"/>
        <v>AUCHAN R</v>
      </c>
      <c r="C350" s="7">
        <v>46048</v>
      </c>
      <c r="D350" s="7">
        <v>46049</v>
      </c>
      <c r="E350" s="8">
        <v>3</v>
      </c>
      <c r="F350" s="6" t="str">
        <f t="shared" si="89"/>
        <v>1072257563</v>
      </c>
      <c r="G350" s="6" t="str">
        <f>"F300374155000000"</f>
        <v>F300374155000000</v>
      </c>
      <c r="H350" s="6" t="str">
        <f>"PLR 3741 - 550 g/m²"</f>
        <v>PLR 3741 - 550 g/m²</v>
      </c>
      <c r="I350" s="6" t="str">
        <f>"203634"</f>
        <v>203634</v>
      </c>
      <c r="J350" s="6" t="str">
        <f>"ROSA 3634"</f>
        <v>ROSA 3634</v>
      </c>
      <c r="K350" s="6" t="str">
        <f>"2020"</f>
        <v>2020</v>
      </c>
      <c r="L350" s="6" t="str">
        <f>"Lençóis"</f>
        <v>Lençóis</v>
      </c>
      <c r="M350" s="6" t="str">
        <f>"100x150"</f>
        <v>100x150</v>
      </c>
      <c r="N350" s="6" t="str">
        <f>"5602972280883"</f>
        <v>5602972280883</v>
      </c>
      <c r="O350" s="8">
        <v>12</v>
      </c>
      <c r="P350" s="7">
        <v>46048</v>
      </c>
      <c r="R350" s="8">
        <v>0</v>
      </c>
      <c r="U350" s="8">
        <v>0</v>
      </c>
      <c r="X350" s="8">
        <v>0</v>
      </c>
      <c r="Z350" s="8">
        <v>0</v>
      </c>
      <c r="AC350" s="8">
        <v>0</v>
      </c>
      <c r="AE350" s="7">
        <v>46055</v>
      </c>
      <c r="AF350" s="8">
        <v>0</v>
      </c>
      <c r="AH350" s="7">
        <v>46049</v>
      </c>
      <c r="AN350" s="8">
        <v>0</v>
      </c>
      <c r="AO350" s="8">
        <v>12</v>
      </c>
    </row>
    <row r="351" spans="1:41" x14ac:dyDescent="0.25">
      <c r="A351" s="6" t="str">
        <f t="shared" si="87"/>
        <v>520-2026000065</v>
      </c>
      <c r="B351" s="6" t="str">
        <f t="shared" si="88"/>
        <v>AUCHAN R</v>
      </c>
      <c r="C351" s="7">
        <v>46048</v>
      </c>
      <c r="D351" s="7">
        <v>46049</v>
      </c>
      <c r="E351" s="8">
        <v>4</v>
      </c>
      <c r="F351" s="6" t="str">
        <f t="shared" si="89"/>
        <v>1072257563</v>
      </c>
      <c r="G351" s="6" t="str">
        <f>"F100021455000010"</f>
        <v>F100021455000010</v>
      </c>
      <c r="H351" s="6" t="str">
        <f>"FA 214 Bio GOTS - 55"</f>
        <v>FA 214 Bio GOTS - 55</v>
      </c>
      <c r="I351" s="6" t="str">
        <f>"19"</f>
        <v>19</v>
      </c>
      <c r="J351" s="6" t="str">
        <f>"PRETO REACTIVO 570"</f>
        <v>PRETO REACTIVO 570</v>
      </c>
      <c r="K351" s="6" t="str">
        <f>"2020"</f>
        <v>2020</v>
      </c>
      <c r="L351" s="6" t="str">
        <f>"Lençóis"</f>
        <v>Lençóis</v>
      </c>
      <c r="M351" s="6" t="str">
        <f>"100x150"</f>
        <v>100x150</v>
      </c>
      <c r="N351" s="6" t="str">
        <f>"5602972278620"</f>
        <v>5602972278620</v>
      </c>
      <c r="O351" s="8">
        <v>6</v>
      </c>
      <c r="P351" s="7">
        <v>46048</v>
      </c>
      <c r="R351" s="8">
        <v>0</v>
      </c>
      <c r="U351" s="8">
        <v>0</v>
      </c>
      <c r="X351" s="8">
        <v>0</v>
      </c>
      <c r="Z351" s="8">
        <v>0</v>
      </c>
      <c r="AC351" s="8">
        <v>6</v>
      </c>
      <c r="AE351" s="7">
        <v>46055</v>
      </c>
      <c r="AF351" s="8">
        <v>6</v>
      </c>
      <c r="AH351" s="7">
        <v>46049</v>
      </c>
      <c r="AN351" s="8">
        <v>6</v>
      </c>
      <c r="AO351" s="8">
        <v>0</v>
      </c>
    </row>
    <row r="352" spans="1:41" x14ac:dyDescent="0.25">
      <c r="A352" s="6" t="str">
        <f t="shared" si="87"/>
        <v>520-2026000065</v>
      </c>
      <c r="B352" s="6" t="str">
        <f t="shared" si="88"/>
        <v>AUCHAN R</v>
      </c>
      <c r="C352" s="7">
        <v>46048</v>
      </c>
      <c r="D352" s="7">
        <v>46049</v>
      </c>
      <c r="E352" s="8">
        <v>5</v>
      </c>
      <c r="F352" s="6" t="str">
        <f t="shared" si="89"/>
        <v>1072257563</v>
      </c>
      <c r="G352" s="6" t="str">
        <f>"F300374155000000"</f>
        <v>F300374155000000</v>
      </c>
      <c r="H352" s="6" t="str">
        <f>"PLR 3741 - 550 g/m²"</f>
        <v>PLR 3741 - 550 g/m²</v>
      </c>
      <c r="I352" s="6" t="str">
        <f>"203634"</f>
        <v>203634</v>
      </c>
      <c r="J352" s="6" t="str">
        <f>"ROSA 3634"</f>
        <v>ROSA 3634</v>
      </c>
      <c r="K352" s="6" t="str">
        <f>"0530"</f>
        <v>0530</v>
      </c>
      <c r="L352" s="6" t="str">
        <f>"Toalhetes"</f>
        <v>Toalhetes</v>
      </c>
      <c r="M352" s="6" t="str">
        <f>"33x50"</f>
        <v>33x50</v>
      </c>
      <c r="N352" s="6" t="str">
        <f>"5602972280869"</f>
        <v>5602972280869</v>
      </c>
      <c r="O352" s="8">
        <v>12</v>
      </c>
      <c r="P352" s="7">
        <v>46048</v>
      </c>
      <c r="R352" s="8">
        <v>0</v>
      </c>
      <c r="U352" s="8">
        <v>0</v>
      </c>
      <c r="X352" s="8">
        <v>0</v>
      </c>
      <c r="Z352" s="8">
        <v>0</v>
      </c>
      <c r="AC352" s="8">
        <v>12</v>
      </c>
      <c r="AE352" s="7">
        <v>46055</v>
      </c>
      <c r="AF352" s="8">
        <v>12</v>
      </c>
      <c r="AH352" s="7">
        <v>46049</v>
      </c>
      <c r="AN352" s="8">
        <v>12</v>
      </c>
      <c r="AO352" s="8">
        <v>0</v>
      </c>
    </row>
    <row r="353" spans="1:41" x14ac:dyDescent="0.25">
      <c r="A353" s="6" t="str">
        <f t="shared" si="87"/>
        <v>520-2026000065</v>
      </c>
      <c r="B353" s="6" t="str">
        <f t="shared" si="88"/>
        <v>AUCHAN R</v>
      </c>
      <c r="C353" s="7">
        <v>46048</v>
      </c>
      <c r="D353" s="7">
        <v>46049</v>
      </c>
      <c r="E353" s="8">
        <v>6</v>
      </c>
      <c r="F353" s="6" t="str">
        <f t="shared" si="89"/>
        <v>1072257563</v>
      </c>
      <c r="G353" s="6" t="str">
        <f>"F110329745000000"</f>
        <v>F110329745000000</v>
      </c>
      <c r="H353" s="6" t="str">
        <f>"FAJ 3297 - 450 g/m²"</f>
        <v>FAJ 3297 - 450 g/m²</v>
      </c>
      <c r="I353" s="6" t="str">
        <f>"2"</f>
        <v>2</v>
      </c>
      <c r="J353" s="6" t="str">
        <f>"NATURAL"</f>
        <v>NATURAL</v>
      </c>
      <c r="K353" s="6" t="str">
        <f>"0520"</f>
        <v>0520</v>
      </c>
      <c r="L353" s="6" t="str">
        <f>"Toalhetes"</f>
        <v>Toalhetes</v>
      </c>
      <c r="M353" s="6" t="str">
        <f>"30x50"</f>
        <v>30x50</v>
      </c>
      <c r="N353" s="6" t="str">
        <f>"5602972277852"</f>
        <v>5602972277852</v>
      </c>
      <c r="O353" s="8">
        <v>12</v>
      </c>
      <c r="P353" s="7">
        <v>46048</v>
      </c>
      <c r="R353" s="8">
        <v>0</v>
      </c>
      <c r="U353" s="8">
        <v>0</v>
      </c>
      <c r="X353" s="8">
        <v>0</v>
      </c>
      <c r="Z353" s="8">
        <v>0</v>
      </c>
      <c r="AC353" s="8">
        <v>0</v>
      </c>
      <c r="AE353" s="7">
        <v>46055</v>
      </c>
      <c r="AF353" s="8">
        <v>0</v>
      </c>
      <c r="AH353" s="7">
        <v>46049</v>
      </c>
      <c r="AN353" s="8">
        <v>0</v>
      </c>
      <c r="AO353" s="8">
        <v>12</v>
      </c>
    </row>
    <row r="354" spans="1:41" x14ac:dyDescent="0.25">
      <c r="A354" s="6" t="str">
        <f t="shared" si="87"/>
        <v>520-2026000065</v>
      </c>
      <c r="B354" s="6" t="str">
        <f t="shared" si="88"/>
        <v>AUCHAN R</v>
      </c>
      <c r="C354" s="7">
        <v>46048</v>
      </c>
      <c r="D354" s="7">
        <v>46049</v>
      </c>
      <c r="E354" s="8">
        <v>7</v>
      </c>
      <c r="F354" s="6" t="str">
        <f t="shared" si="89"/>
        <v>1072257563</v>
      </c>
      <c r="G354" s="6" t="str">
        <f>"F310631555000000"</f>
        <v>F310631555000000</v>
      </c>
      <c r="H354" s="6" t="str">
        <f>"PLAR 6315 - 550 g/m²"</f>
        <v>PLAR 6315 - 550 g/m²</v>
      </c>
      <c r="I354" s="6" t="str">
        <f>"201646"</f>
        <v>201646</v>
      </c>
      <c r="J354" s="6" t="str">
        <f>"MUSTARDA 1646"</f>
        <v>MUSTARDA 1646</v>
      </c>
      <c r="K354" s="6" t="str">
        <f>"1024"</f>
        <v>1024</v>
      </c>
      <c r="L354" s="6" t="str">
        <f>"Toalhas"</f>
        <v>Toalhas</v>
      </c>
      <c r="M354" s="6" t="str">
        <f>"50x100"</f>
        <v>50x100</v>
      </c>
      <c r="N354" s="6" t="str">
        <f>"5602972280814"</f>
        <v>5602972280814</v>
      </c>
      <c r="O354" s="8">
        <v>6</v>
      </c>
      <c r="P354" s="7">
        <v>46048</v>
      </c>
      <c r="R354" s="8">
        <v>0</v>
      </c>
      <c r="U354" s="8">
        <v>0</v>
      </c>
      <c r="X354" s="8">
        <v>0</v>
      </c>
      <c r="Z354" s="8">
        <v>0</v>
      </c>
      <c r="AC354" s="8">
        <v>6</v>
      </c>
      <c r="AE354" s="7">
        <v>46055</v>
      </c>
      <c r="AF354" s="8">
        <v>6</v>
      </c>
      <c r="AH354" s="7">
        <v>46049</v>
      </c>
      <c r="AN354" s="8">
        <v>6</v>
      </c>
      <c r="AO354" s="8">
        <v>0</v>
      </c>
    </row>
    <row r="355" spans="1:41" x14ac:dyDescent="0.25">
      <c r="A355" s="6" t="str">
        <f t="shared" si="87"/>
        <v>520-2026000065</v>
      </c>
      <c r="B355" s="6" t="str">
        <f t="shared" si="88"/>
        <v>AUCHAN R</v>
      </c>
      <c r="C355" s="7">
        <v>46048</v>
      </c>
      <c r="D355" s="7">
        <v>46049</v>
      </c>
      <c r="E355" s="8">
        <v>8</v>
      </c>
      <c r="F355" s="6" t="str">
        <f t="shared" si="89"/>
        <v>1072257563</v>
      </c>
      <c r="G355" s="6" t="str">
        <f>"F300374155000000"</f>
        <v>F300374155000000</v>
      </c>
      <c r="H355" s="6" t="str">
        <f>"PLR 3741 - 550 g/m²"</f>
        <v>PLR 3741 - 550 g/m²</v>
      </c>
      <c r="I355" s="6" t="str">
        <f>"203634"</f>
        <v>203634</v>
      </c>
      <c r="J355" s="6" t="str">
        <f>"ROSA 3634"</f>
        <v>ROSA 3634</v>
      </c>
      <c r="K355" s="6" t="str">
        <f>"1024"</f>
        <v>1024</v>
      </c>
      <c r="L355" s="6" t="str">
        <f>"Toalhas"</f>
        <v>Toalhas</v>
      </c>
      <c r="M355" s="6" t="str">
        <f>"50x100"</f>
        <v>50x100</v>
      </c>
      <c r="N355" s="6" t="str">
        <f>"5602972280876"</f>
        <v>5602972280876</v>
      </c>
      <c r="O355" s="8">
        <v>12</v>
      </c>
      <c r="P355" s="7">
        <v>46048</v>
      </c>
      <c r="R355" s="8">
        <v>0</v>
      </c>
      <c r="U355" s="8">
        <v>0</v>
      </c>
      <c r="X355" s="8">
        <v>0</v>
      </c>
      <c r="Z355" s="8">
        <v>0</v>
      </c>
      <c r="AC355" s="8">
        <v>0</v>
      </c>
      <c r="AE355" s="7">
        <v>46055</v>
      </c>
      <c r="AF355" s="8">
        <v>0</v>
      </c>
      <c r="AH355" s="7">
        <v>46049</v>
      </c>
      <c r="AN355" s="8">
        <v>0</v>
      </c>
      <c r="AO355" s="8">
        <v>12</v>
      </c>
    </row>
    <row r="356" spans="1:41" x14ac:dyDescent="0.25">
      <c r="A356" s="6" t="str">
        <f t="shared" si="87"/>
        <v>520-2026000065</v>
      </c>
      <c r="B356" s="6" t="str">
        <f t="shared" si="88"/>
        <v>AUCHAN R</v>
      </c>
      <c r="C356" s="7">
        <v>46048</v>
      </c>
      <c r="D356" s="7">
        <v>46049</v>
      </c>
      <c r="E356" s="8">
        <v>9</v>
      </c>
      <c r="F356" s="6" t="str">
        <f t="shared" si="89"/>
        <v>1072257563</v>
      </c>
      <c r="G356" s="6" t="str">
        <f>"F100021455000010"</f>
        <v>F100021455000010</v>
      </c>
      <c r="H356" s="6" t="str">
        <f>"FA 214 Bio GOTS - 55"</f>
        <v>FA 214 Bio GOTS - 55</v>
      </c>
      <c r="I356" s="6" t="str">
        <f>"1"</f>
        <v>1</v>
      </c>
      <c r="J356" s="6" t="str">
        <f>"BRANCO"</f>
        <v>BRANCO</v>
      </c>
      <c r="K356" s="6" t="str">
        <f>"1024"</f>
        <v>1024</v>
      </c>
      <c r="L356" s="6" t="str">
        <f>"Toalhas"</f>
        <v>Toalhas</v>
      </c>
      <c r="M356" s="6" t="str">
        <f>"50x100"</f>
        <v>50x100</v>
      </c>
      <c r="N356" s="6" t="str">
        <f>"5602972278583"</f>
        <v>5602972278583</v>
      </c>
      <c r="O356" s="8">
        <v>6</v>
      </c>
      <c r="P356" s="7">
        <v>46048</v>
      </c>
      <c r="R356" s="8">
        <v>0</v>
      </c>
      <c r="U356" s="8">
        <v>0</v>
      </c>
      <c r="X356" s="8">
        <v>0</v>
      </c>
      <c r="Z356" s="8">
        <v>0</v>
      </c>
      <c r="AC356" s="8">
        <v>6</v>
      </c>
      <c r="AE356" s="7">
        <v>46055</v>
      </c>
      <c r="AF356" s="8">
        <v>6</v>
      </c>
      <c r="AH356" s="7">
        <v>46049</v>
      </c>
      <c r="AN356" s="8">
        <v>6</v>
      </c>
      <c r="AO356" s="8">
        <v>0</v>
      </c>
    </row>
    <row r="357" spans="1:41" x14ac:dyDescent="0.25">
      <c r="A357" s="6" t="str">
        <f t="shared" si="87"/>
        <v>520-2026000065</v>
      </c>
      <c r="B357" s="6" t="str">
        <f t="shared" si="88"/>
        <v>AUCHAN R</v>
      </c>
      <c r="C357" s="7">
        <v>46048</v>
      </c>
      <c r="D357" s="7">
        <v>46049</v>
      </c>
      <c r="E357" s="8">
        <v>10</v>
      </c>
      <c r="F357" s="6" t="str">
        <f t="shared" si="89"/>
        <v>1072257563</v>
      </c>
      <c r="G357" s="6" t="str">
        <f>"F100021455000010"</f>
        <v>F100021455000010</v>
      </c>
      <c r="H357" s="6" t="str">
        <f>"FA 214 Bio GOTS - 55"</f>
        <v>FA 214 Bio GOTS - 55</v>
      </c>
      <c r="I357" s="6" t="str">
        <f>"19"</f>
        <v>19</v>
      </c>
      <c r="J357" s="6" t="str">
        <f>"PRETO REACTIVO 570"</f>
        <v>PRETO REACTIVO 570</v>
      </c>
      <c r="K357" s="6" t="str">
        <f>"1024"</f>
        <v>1024</v>
      </c>
      <c r="L357" s="6" t="str">
        <f>"Toalhas"</f>
        <v>Toalhas</v>
      </c>
      <c r="M357" s="6" t="str">
        <f>"50x100"</f>
        <v>50x100</v>
      </c>
      <c r="N357" s="6" t="str">
        <f>"5602972278613"</f>
        <v>5602972278613</v>
      </c>
      <c r="O357" s="8">
        <v>6</v>
      </c>
      <c r="P357" s="7">
        <v>46048</v>
      </c>
      <c r="R357" s="8">
        <v>0</v>
      </c>
      <c r="U357" s="8">
        <v>0</v>
      </c>
      <c r="X357" s="8">
        <v>0</v>
      </c>
      <c r="Z357" s="8">
        <v>0</v>
      </c>
      <c r="AC357" s="8">
        <v>6</v>
      </c>
      <c r="AE357" s="7">
        <v>46055</v>
      </c>
      <c r="AF357" s="8">
        <v>6</v>
      </c>
      <c r="AH357" s="7">
        <v>46049</v>
      </c>
      <c r="AN357" s="8">
        <v>6</v>
      </c>
      <c r="AO357" s="8">
        <v>0</v>
      </c>
    </row>
    <row r="358" spans="1:41" x14ac:dyDescent="0.25">
      <c r="A358" s="6" t="str">
        <f t="shared" ref="A358:A367" si="90">"520-2026000066"</f>
        <v>520-2026000066</v>
      </c>
      <c r="B358" s="6" t="str">
        <f t="shared" si="88"/>
        <v>AUCHAN R</v>
      </c>
      <c r="C358" s="7">
        <v>46048</v>
      </c>
      <c r="D358" s="7">
        <v>46050</v>
      </c>
      <c r="E358" s="8">
        <v>1</v>
      </c>
      <c r="F358" s="6" t="str">
        <f t="shared" ref="F358:F367" si="91">"1074011062"</f>
        <v>1074011062</v>
      </c>
      <c r="G358" s="6" t="str">
        <f>"F100021455000000"</f>
        <v>F100021455000000</v>
      </c>
      <c r="H358" s="6" t="str">
        <f>"FA 214 - PURE - 550"</f>
        <v>FA 214 - PURE - 550</v>
      </c>
      <c r="I358" s="6" t="str">
        <f>"1"</f>
        <v>1</v>
      </c>
      <c r="J358" s="6" t="str">
        <f>"BRANCO"</f>
        <v>BRANCO</v>
      </c>
      <c r="K358" s="6" t="str">
        <f>"0112"</f>
        <v>0112</v>
      </c>
      <c r="L358" s="6" t="str">
        <f>"Luvas"</f>
        <v>Luvas</v>
      </c>
      <c r="M358" s="6" t="str">
        <f>"16x21"</f>
        <v>16x21</v>
      </c>
      <c r="N358" s="6" t="str">
        <f>"5602972836233"</f>
        <v>5602972836233</v>
      </c>
      <c r="O358" s="8">
        <v>60</v>
      </c>
      <c r="P358" s="7">
        <v>46048</v>
      </c>
      <c r="R358" s="8">
        <v>0</v>
      </c>
      <c r="U358" s="8">
        <v>0</v>
      </c>
      <c r="X358" s="8">
        <v>0</v>
      </c>
      <c r="Z358" s="8">
        <v>0</v>
      </c>
      <c r="AC358" s="8">
        <v>60</v>
      </c>
      <c r="AE358" s="7">
        <v>46055</v>
      </c>
      <c r="AF358" s="8">
        <v>60</v>
      </c>
      <c r="AH358" s="7">
        <v>46050</v>
      </c>
      <c r="AN358" s="8">
        <v>60</v>
      </c>
      <c r="AO358" s="8">
        <v>0</v>
      </c>
    </row>
    <row r="359" spans="1:41" x14ac:dyDescent="0.25">
      <c r="A359" s="6" t="str">
        <f t="shared" si="90"/>
        <v>520-2026000066</v>
      </c>
      <c r="B359" s="6" t="str">
        <f t="shared" si="88"/>
        <v>AUCHAN R</v>
      </c>
      <c r="C359" s="7">
        <v>46048</v>
      </c>
      <c r="D359" s="7">
        <v>46050</v>
      </c>
      <c r="E359" s="8">
        <v>2</v>
      </c>
      <c r="F359" s="6" t="str">
        <f t="shared" si="91"/>
        <v>1074011062</v>
      </c>
      <c r="G359" s="6" t="str">
        <f>"F300374155000000"</f>
        <v>F300374155000000</v>
      </c>
      <c r="H359" s="6" t="str">
        <f>"PLR 3741 - 550 g/m²"</f>
        <v>PLR 3741 - 550 g/m²</v>
      </c>
      <c r="I359" s="6" t="str">
        <f>"203634"</f>
        <v>203634</v>
      </c>
      <c r="J359" s="6" t="str">
        <f>"ROSA 3634"</f>
        <v>ROSA 3634</v>
      </c>
      <c r="K359" s="6" t="str">
        <f>"2020"</f>
        <v>2020</v>
      </c>
      <c r="L359" s="6" t="str">
        <f>"Lençóis"</f>
        <v>Lençóis</v>
      </c>
      <c r="M359" s="6" t="str">
        <f>"100x150"</f>
        <v>100x150</v>
      </c>
      <c r="N359" s="6" t="str">
        <f>"5602972280883"</f>
        <v>5602972280883</v>
      </c>
      <c r="O359" s="8">
        <v>6</v>
      </c>
      <c r="P359" s="7">
        <v>46048</v>
      </c>
      <c r="R359" s="8">
        <v>0</v>
      </c>
      <c r="U359" s="8">
        <v>0</v>
      </c>
      <c r="X359" s="8">
        <v>0</v>
      </c>
      <c r="Z359" s="8">
        <v>0</v>
      </c>
      <c r="AC359" s="8">
        <v>0</v>
      </c>
      <c r="AE359" s="7">
        <v>46055</v>
      </c>
      <c r="AF359" s="8">
        <v>0</v>
      </c>
      <c r="AH359" s="7">
        <v>46050</v>
      </c>
      <c r="AN359" s="8">
        <v>0</v>
      </c>
      <c r="AO359" s="8">
        <v>6</v>
      </c>
    </row>
    <row r="360" spans="1:41" x14ac:dyDescent="0.25">
      <c r="A360" s="6" t="str">
        <f t="shared" si="90"/>
        <v>520-2026000066</v>
      </c>
      <c r="B360" s="6" t="str">
        <f t="shared" si="88"/>
        <v>AUCHAN R</v>
      </c>
      <c r="C360" s="7">
        <v>46048</v>
      </c>
      <c r="D360" s="7">
        <v>46050</v>
      </c>
      <c r="E360" s="8">
        <v>3</v>
      </c>
      <c r="F360" s="6" t="str">
        <f t="shared" si="91"/>
        <v>1074011062</v>
      </c>
      <c r="G360" s="6" t="str">
        <f>"F310620958000000"</f>
        <v>F310620958000000</v>
      </c>
      <c r="H360" s="6" t="str">
        <f>"PLAR 6209 C/ Franja"</f>
        <v>PLAR 6209 C/ Franja</v>
      </c>
      <c r="I360" s="6" t="str">
        <f>"203699"</f>
        <v>203699</v>
      </c>
      <c r="J360" s="6" t="str">
        <f>"BEGE 3699"</f>
        <v>BEGE 3699</v>
      </c>
      <c r="K360" s="6" t="str">
        <f>"2093"</f>
        <v>2093</v>
      </c>
      <c r="L360" s="6" t="str">
        <f>"Lençóis"</f>
        <v>Lençóis</v>
      </c>
      <c r="M360" s="6" t="str">
        <f>"100x150+8"</f>
        <v>100x150+8</v>
      </c>
      <c r="N360" s="6" t="str">
        <f>"5602972280944"</f>
        <v>5602972280944</v>
      </c>
      <c r="O360" s="8">
        <v>3</v>
      </c>
      <c r="P360" s="7">
        <v>46048</v>
      </c>
      <c r="R360" s="8">
        <v>0</v>
      </c>
      <c r="U360" s="8">
        <v>0</v>
      </c>
      <c r="X360" s="8">
        <v>0</v>
      </c>
      <c r="Z360" s="8">
        <v>0</v>
      </c>
      <c r="AC360" s="8">
        <v>3</v>
      </c>
      <c r="AE360" s="7">
        <v>46055</v>
      </c>
      <c r="AF360" s="8">
        <v>3</v>
      </c>
      <c r="AH360" s="7">
        <v>46050</v>
      </c>
      <c r="AN360" s="8">
        <v>3</v>
      </c>
      <c r="AO360" s="8">
        <v>0</v>
      </c>
    </row>
    <row r="361" spans="1:41" x14ac:dyDescent="0.25">
      <c r="A361" s="6" t="str">
        <f t="shared" si="90"/>
        <v>520-2026000066</v>
      </c>
      <c r="B361" s="6" t="str">
        <f t="shared" si="88"/>
        <v>AUCHAN R</v>
      </c>
      <c r="C361" s="7">
        <v>46048</v>
      </c>
      <c r="D361" s="7">
        <v>46050</v>
      </c>
      <c r="E361" s="8">
        <v>4</v>
      </c>
      <c r="F361" s="6" t="str">
        <f t="shared" si="91"/>
        <v>1074011062</v>
      </c>
      <c r="G361" s="6" t="str">
        <f>"F100021455000010"</f>
        <v>F100021455000010</v>
      </c>
      <c r="H361" s="6" t="str">
        <f>"FA 214 Bio GOTS - 55"</f>
        <v>FA 214 Bio GOTS - 55</v>
      </c>
      <c r="I361" s="6" t="str">
        <f>"19"</f>
        <v>19</v>
      </c>
      <c r="J361" s="6" t="str">
        <f>"PRETO REACTIVO 570"</f>
        <v>PRETO REACTIVO 570</v>
      </c>
      <c r="K361" s="6" t="str">
        <f>"2020"</f>
        <v>2020</v>
      </c>
      <c r="L361" s="6" t="str">
        <f>"Lençóis"</f>
        <v>Lençóis</v>
      </c>
      <c r="M361" s="6" t="str">
        <f>"100x150"</f>
        <v>100x150</v>
      </c>
      <c r="N361" s="6" t="str">
        <f>"5602972278620"</f>
        <v>5602972278620</v>
      </c>
      <c r="O361" s="8">
        <v>9</v>
      </c>
      <c r="P361" s="7">
        <v>46048</v>
      </c>
      <c r="R361" s="8">
        <v>0</v>
      </c>
      <c r="U361" s="8">
        <v>0</v>
      </c>
      <c r="X361" s="8">
        <v>0</v>
      </c>
      <c r="Z361" s="8">
        <v>0</v>
      </c>
      <c r="AC361" s="8">
        <v>9</v>
      </c>
      <c r="AE361" s="7">
        <v>46055</v>
      </c>
      <c r="AF361" s="8">
        <v>9</v>
      </c>
      <c r="AH361" s="7">
        <v>46050</v>
      </c>
      <c r="AN361" s="8">
        <v>9</v>
      </c>
      <c r="AO361" s="8">
        <v>0</v>
      </c>
    </row>
    <row r="362" spans="1:41" x14ac:dyDescent="0.25">
      <c r="A362" s="6" t="str">
        <f t="shared" si="90"/>
        <v>520-2026000066</v>
      </c>
      <c r="B362" s="6" t="str">
        <f t="shared" si="88"/>
        <v>AUCHAN R</v>
      </c>
      <c r="C362" s="7">
        <v>46048</v>
      </c>
      <c r="D362" s="7">
        <v>46050</v>
      </c>
      <c r="E362" s="8">
        <v>5</v>
      </c>
      <c r="F362" s="6" t="str">
        <f t="shared" si="91"/>
        <v>1074011062</v>
      </c>
      <c r="G362" s="6" t="str">
        <f>"F110329745000000"</f>
        <v>F110329745000000</v>
      </c>
      <c r="H362" s="6" t="str">
        <f>"FAJ 3297 - 450 g/m²"</f>
        <v>FAJ 3297 - 450 g/m²</v>
      </c>
      <c r="I362" s="6" t="str">
        <f>"2"</f>
        <v>2</v>
      </c>
      <c r="J362" s="6" t="str">
        <f>"NATURAL"</f>
        <v>NATURAL</v>
      </c>
      <c r="K362" s="6" t="str">
        <f>"0520"</f>
        <v>0520</v>
      </c>
      <c r="L362" s="6" t="str">
        <f>"Toalhetes"</f>
        <v>Toalhetes</v>
      </c>
      <c r="M362" s="6" t="str">
        <f>"30x50"</f>
        <v>30x50</v>
      </c>
      <c r="N362" s="6" t="str">
        <f>"5602972277852"</f>
        <v>5602972277852</v>
      </c>
      <c r="O362" s="8">
        <v>18</v>
      </c>
      <c r="P362" s="7">
        <v>46048</v>
      </c>
      <c r="R362" s="8">
        <v>0</v>
      </c>
      <c r="U362" s="8">
        <v>0</v>
      </c>
      <c r="X362" s="8">
        <v>0</v>
      </c>
      <c r="Z362" s="8">
        <v>0</v>
      </c>
      <c r="AC362" s="8">
        <v>0</v>
      </c>
      <c r="AE362" s="7">
        <v>46055</v>
      </c>
      <c r="AF362" s="8">
        <v>0</v>
      </c>
      <c r="AH362" s="7">
        <v>46050</v>
      </c>
      <c r="AN362" s="8">
        <v>0</v>
      </c>
      <c r="AO362" s="8">
        <v>18</v>
      </c>
    </row>
    <row r="363" spans="1:41" x14ac:dyDescent="0.25">
      <c r="A363" s="6" t="str">
        <f t="shared" si="90"/>
        <v>520-2026000066</v>
      </c>
      <c r="B363" s="6" t="str">
        <f t="shared" si="88"/>
        <v>AUCHAN R</v>
      </c>
      <c r="C363" s="7">
        <v>46048</v>
      </c>
      <c r="D363" s="7">
        <v>46050</v>
      </c>
      <c r="E363" s="8">
        <v>6</v>
      </c>
      <c r="F363" s="6" t="str">
        <f t="shared" si="91"/>
        <v>1074011062</v>
      </c>
      <c r="G363" s="6" t="str">
        <f>"F100021455000010"</f>
        <v>F100021455000010</v>
      </c>
      <c r="H363" s="6" t="str">
        <f>"FA 214 Bio GOTS - 55"</f>
        <v>FA 214 Bio GOTS - 55</v>
      </c>
      <c r="I363" s="6" t="str">
        <f>"19"</f>
        <v>19</v>
      </c>
      <c r="J363" s="6" t="str">
        <f>"PRETO REACTIVO 570"</f>
        <v>PRETO REACTIVO 570</v>
      </c>
      <c r="K363" s="6" t="str">
        <f>"1024"</f>
        <v>1024</v>
      </c>
      <c r="L363" s="6" t="str">
        <f>"Toalhas"</f>
        <v>Toalhas</v>
      </c>
      <c r="M363" s="6" t="str">
        <f>"50x100"</f>
        <v>50x100</v>
      </c>
      <c r="N363" s="6" t="str">
        <f>"5602972278613"</f>
        <v>5602972278613</v>
      </c>
      <c r="O363" s="8">
        <v>12</v>
      </c>
      <c r="P363" s="7">
        <v>46048</v>
      </c>
      <c r="R363" s="8">
        <v>0</v>
      </c>
      <c r="U363" s="8">
        <v>0</v>
      </c>
      <c r="X363" s="8">
        <v>0</v>
      </c>
      <c r="Z363" s="8">
        <v>0</v>
      </c>
      <c r="AC363" s="8">
        <v>12</v>
      </c>
      <c r="AE363" s="7">
        <v>46055</v>
      </c>
      <c r="AF363" s="8">
        <v>12</v>
      </c>
      <c r="AH363" s="7">
        <v>46050</v>
      </c>
      <c r="AN363" s="8">
        <v>12</v>
      </c>
      <c r="AO363" s="8">
        <v>0</v>
      </c>
    </row>
    <row r="364" spans="1:41" x14ac:dyDescent="0.25">
      <c r="A364" s="6" t="str">
        <f t="shared" si="90"/>
        <v>520-2026000066</v>
      </c>
      <c r="B364" s="6" t="str">
        <f t="shared" si="88"/>
        <v>AUCHAN R</v>
      </c>
      <c r="C364" s="7">
        <v>46048</v>
      </c>
      <c r="D364" s="7">
        <v>46050</v>
      </c>
      <c r="E364" s="8">
        <v>7</v>
      </c>
      <c r="F364" s="6" t="str">
        <f t="shared" si="91"/>
        <v>1074011062</v>
      </c>
      <c r="G364" s="6" t="str">
        <f>"F100021455000010"</f>
        <v>F100021455000010</v>
      </c>
      <c r="H364" s="6" t="str">
        <f>"FA 214 Bio GOTS - 55"</f>
        <v>FA 214 Bio GOTS - 55</v>
      </c>
      <c r="I364" s="6" t="str">
        <f>"4855"</f>
        <v>4855</v>
      </c>
      <c r="J364" s="6" t="str">
        <f>"ROSA 4855"</f>
        <v>ROSA 4855</v>
      </c>
      <c r="K364" s="6" t="str">
        <f>"1024"</f>
        <v>1024</v>
      </c>
      <c r="L364" s="6" t="str">
        <f>"Toalhas"</f>
        <v>Toalhas</v>
      </c>
      <c r="M364" s="6" t="str">
        <f>"50x100"</f>
        <v>50x100</v>
      </c>
      <c r="N364" s="6" t="str">
        <f>"5602972274585"</f>
        <v>5602972274585</v>
      </c>
      <c r="O364" s="8">
        <v>6</v>
      </c>
      <c r="P364" s="7">
        <v>46048</v>
      </c>
      <c r="R364" s="8">
        <v>0</v>
      </c>
      <c r="U364" s="8">
        <v>0</v>
      </c>
      <c r="X364" s="8">
        <v>0</v>
      </c>
      <c r="Z364" s="8">
        <v>0</v>
      </c>
      <c r="AC364" s="8">
        <v>6</v>
      </c>
      <c r="AE364" s="7">
        <v>46055</v>
      </c>
      <c r="AF364" s="8">
        <v>6</v>
      </c>
      <c r="AH364" s="7">
        <v>46050</v>
      </c>
      <c r="AN364" s="8">
        <v>6</v>
      </c>
      <c r="AO364" s="8">
        <v>0</v>
      </c>
    </row>
    <row r="365" spans="1:41" x14ac:dyDescent="0.25">
      <c r="A365" s="6" t="str">
        <f t="shared" si="90"/>
        <v>520-2026000066</v>
      </c>
      <c r="B365" s="6" t="str">
        <f t="shared" si="88"/>
        <v>AUCHAN R</v>
      </c>
      <c r="C365" s="7">
        <v>46048</v>
      </c>
      <c r="D365" s="7">
        <v>46050</v>
      </c>
      <c r="E365" s="8">
        <v>8</v>
      </c>
      <c r="F365" s="6" t="str">
        <f t="shared" si="91"/>
        <v>1074011062</v>
      </c>
      <c r="G365" s="6" t="str">
        <f>"C090008212000118"</f>
        <v>C090008212000118</v>
      </c>
      <c r="H365" s="6" t="str">
        <f>"Conj. LT 82 - 150 Fi"</f>
        <v>Conj. LT 82 - 150 Fi</v>
      </c>
      <c r="I365" s="6" t="str">
        <f>"600001"</f>
        <v>600001</v>
      </c>
      <c r="J365" s="6" t="str">
        <f>"Branco"</f>
        <v>Branco</v>
      </c>
      <c r="K365" s="6" t="str">
        <f>"4014"</f>
        <v>4014</v>
      </c>
      <c r="L365" s="6" t="str">
        <f>"Conjunto/Jogos"</f>
        <v>Conjunto/Jogos</v>
      </c>
      <c r="M365" s="6" t="str">
        <f>"(2 Pcs)"</f>
        <v>(2 Pcs)</v>
      </c>
      <c r="N365" s="6" t="str">
        <f>"5602972279849"</f>
        <v>5602972279849</v>
      </c>
      <c r="O365" s="8">
        <v>12</v>
      </c>
      <c r="P365" s="7">
        <v>46048</v>
      </c>
      <c r="R365" s="8">
        <v>0</v>
      </c>
      <c r="U365" s="8">
        <v>0</v>
      </c>
      <c r="X365" s="8">
        <v>0</v>
      </c>
      <c r="Z365" s="8">
        <v>0</v>
      </c>
      <c r="AC365" s="8">
        <v>12</v>
      </c>
      <c r="AE365" s="7">
        <v>46055</v>
      </c>
      <c r="AF365" s="8">
        <v>12</v>
      </c>
      <c r="AH365" s="7">
        <v>46050</v>
      </c>
      <c r="AN365" s="8">
        <v>12</v>
      </c>
      <c r="AO365" s="8">
        <v>0</v>
      </c>
    </row>
    <row r="366" spans="1:41" x14ac:dyDescent="0.25">
      <c r="A366" s="6" t="str">
        <f t="shared" si="90"/>
        <v>520-2026000066</v>
      </c>
      <c r="B366" s="6" t="str">
        <f t="shared" si="88"/>
        <v>AUCHAN R</v>
      </c>
      <c r="C366" s="7">
        <v>46048</v>
      </c>
      <c r="D366" s="7">
        <v>46050</v>
      </c>
      <c r="E366" s="8">
        <v>9</v>
      </c>
      <c r="F366" s="6" t="str">
        <f t="shared" si="91"/>
        <v>1074011062</v>
      </c>
      <c r="G366" s="6" t="str">
        <f>"F110110840000003"</f>
        <v>F110110840000003</v>
      </c>
      <c r="H366" s="6" t="str">
        <f>"FAJ 1108 - 400 g/m²"</f>
        <v>FAJ 1108 - 400 g/m²</v>
      </c>
      <c r="I366" s="6" t="str">
        <f>"3073"</f>
        <v>3073</v>
      </c>
      <c r="J366" s="6" t="str">
        <f>"CINZA 3073"</f>
        <v>CINZA 3073</v>
      </c>
      <c r="K366" s="6" t="str">
        <f>"0830"</f>
        <v>0830</v>
      </c>
      <c r="L366" s="6" t="str">
        <f>"Cozinha"</f>
        <v>Cozinha</v>
      </c>
      <c r="M366" s="6" t="str">
        <f>"50x70"</f>
        <v>50x70</v>
      </c>
      <c r="N366" s="6" t="str">
        <f>"5602972279535"</f>
        <v>5602972279535</v>
      </c>
      <c r="O366" s="8">
        <v>12</v>
      </c>
      <c r="P366" s="7">
        <v>46048</v>
      </c>
      <c r="R366" s="8">
        <v>0</v>
      </c>
      <c r="U366" s="8">
        <v>0</v>
      </c>
      <c r="X366" s="8">
        <v>0</v>
      </c>
      <c r="Z366" s="8">
        <v>0</v>
      </c>
      <c r="AC366" s="8">
        <v>12</v>
      </c>
      <c r="AE366" s="7">
        <v>46055</v>
      </c>
      <c r="AF366" s="8">
        <v>12</v>
      </c>
      <c r="AH366" s="7">
        <v>46050</v>
      </c>
      <c r="AN366" s="8">
        <v>12</v>
      </c>
      <c r="AO366" s="8">
        <v>0</v>
      </c>
    </row>
    <row r="367" spans="1:41" x14ac:dyDescent="0.25">
      <c r="A367" s="6" t="str">
        <f t="shared" si="90"/>
        <v>520-2026000066</v>
      </c>
      <c r="B367" s="6" t="str">
        <f t="shared" si="88"/>
        <v>AUCHAN R</v>
      </c>
      <c r="C367" s="7">
        <v>46048</v>
      </c>
      <c r="D367" s="7">
        <v>46050</v>
      </c>
      <c r="E367" s="8">
        <v>10</v>
      </c>
      <c r="F367" s="6" t="str">
        <f t="shared" si="91"/>
        <v>1074011062</v>
      </c>
      <c r="G367" s="6" t="str">
        <f>"K001223323000000"</f>
        <v>K001223323000000</v>
      </c>
      <c r="H367" s="6" t="str">
        <f>"KB 2233 - Avental -"</f>
        <v>KB 2233 - Avental -</v>
      </c>
      <c r="I367" s="6" t="str">
        <f>"3073"</f>
        <v>3073</v>
      </c>
      <c r="J367" s="6" t="str">
        <f>"CINZA 3073"</f>
        <v>CINZA 3073</v>
      </c>
      <c r="K367" s="6" t="str">
        <f>"8803"</f>
        <v>8803</v>
      </c>
      <c r="L367" s="6" t="str">
        <f>"Cozinha"</f>
        <v>Cozinha</v>
      </c>
      <c r="M367" s="6" t="str">
        <f>"03 Avental"</f>
        <v>03 Avental</v>
      </c>
      <c r="N367" s="6" t="str">
        <f>"5602972279542"</f>
        <v>5602972279542</v>
      </c>
      <c r="O367" s="8">
        <v>12</v>
      </c>
      <c r="P367" s="7">
        <v>46048</v>
      </c>
      <c r="R367" s="8">
        <v>0</v>
      </c>
      <c r="U367" s="8">
        <v>0</v>
      </c>
      <c r="X367" s="8">
        <v>0</v>
      </c>
      <c r="Z367" s="8">
        <v>0</v>
      </c>
      <c r="AC367" s="8">
        <v>12</v>
      </c>
      <c r="AE367" s="7">
        <v>46055</v>
      </c>
      <c r="AF367" s="8">
        <v>12</v>
      </c>
      <c r="AH367" s="7">
        <v>46050</v>
      </c>
      <c r="AN367" s="8">
        <v>12</v>
      </c>
      <c r="AO367" s="8">
        <v>0</v>
      </c>
    </row>
    <row r="368" spans="1:41" x14ac:dyDescent="0.25">
      <c r="A368" s="6" t="str">
        <f>"520-2026000068"</f>
        <v>520-2026000068</v>
      </c>
      <c r="B368" s="6" t="str">
        <f>"SOCUNHA"</f>
        <v>SOCUNHA</v>
      </c>
      <c r="C368" s="7">
        <v>46048</v>
      </c>
      <c r="D368" s="7">
        <v>46041</v>
      </c>
      <c r="E368" s="8">
        <v>1</v>
      </c>
      <c r="F368" s="6" t="str">
        <f>"PO 69 - BROWNS AVENU"</f>
        <v>PO 69 - BROWNS AVENU</v>
      </c>
      <c r="G368" s="6" t="str">
        <f>"F123347265000000"</f>
        <v>F123347265000000</v>
      </c>
      <c r="H368" s="6" t="str">
        <f>"FAJA 3472 M - 650 g/"</f>
        <v>FAJA 3472 M - 650 g/</v>
      </c>
      <c r="I368" s="6" t="str">
        <f>"1"</f>
        <v>1</v>
      </c>
      <c r="J368" s="6" t="str">
        <f>"BRANCO"</f>
        <v>BRANCO</v>
      </c>
      <c r="K368" s="6" t="str">
        <f>"1024"</f>
        <v>1024</v>
      </c>
      <c r="L368" s="6" t="str">
        <f>"Toalhas"</f>
        <v>Toalhas</v>
      </c>
      <c r="M368" s="6" t="str">
        <f>"50x100"</f>
        <v>50x100</v>
      </c>
      <c r="N368" s="6" t="str">
        <f>" "</f>
        <v xml:space="preserve"> </v>
      </c>
      <c r="O368" s="8">
        <v>200</v>
      </c>
      <c r="P368" s="7">
        <v>46049</v>
      </c>
      <c r="R368" s="8">
        <v>0</v>
      </c>
      <c r="U368" s="8">
        <v>0</v>
      </c>
      <c r="X368" s="8">
        <v>0</v>
      </c>
      <c r="Z368" s="8">
        <v>0</v>
      </c>
      <c r="AC368" s="8">
        <v>0</v>
      </c>
      <c r="AF368" s="8">
        <v>0</v>
      </c>
      <c r="AH368" s="7">
        <v>46048</v>
      </c>
      <c r="AN368" s="8">
        <v>0</v>
      </c>
      <c r="AO368" s="8">
        <v>200</v>
      </c>
    </row>
    <row r="369" spans="1:41" x14ac:dyDescent="0.25">
      <c r="A369" s="6" t="str">
        <f>"520-2026000068"</f>
        <v>520-2026000068</v>
      </c>
      <c r="B369" s="6" t="str">
        <f>"SOCUNHA"</f>
        <v>SOCUNHA</v>
      </c>
      <c r="C369" s="7">
        <v>46048</v>
      </c>
      <c r="D369" s="7">
        <v>46041</v>
      </c>
      <c r="E369" s="8">
        <v>2</v>
      </c>
      <c r="F369" s="6" t="str">
        <f>"PO 69 - BROWNS AVENU"</f>
        <v>PO 69 - BROWNS AVENU</v>
      </c>
      <c r="G369" s="6" t="str">
        <f>"F123347265000000"</f>
        <v>F123347265000000</v>
      </c>
      <c r="H369" s="6" t="str">
        <f>"FAJA 3472 M - 650 g/"</f>
        <v>FAJA 3472 M - 650 g/</v>
      </c>
      <c r="I369" s="6" t="str">
        <f>"1"</f>
        <v>1</v>
      </c>
      <c r="J369" s="6" t="str">
        <f>"BRANCO"</f>
        <v>BRANCO</v>
      </c>
      <c r="K369" s="6" t="str">
        <f>"2020"</f>
        <v>2020</v>
      </c>
      <c r="L369" s="6" t="str">
        <f>"Lençóis"</f>
        <v>Lençóis</v>
      </c>
      <c r="M369" s="6" t="str">
        <f>"100x150"</f>
        <v>100x150</v>
      </c>
      <c r="N369" s="6" t="str">
        <f>" "</f>
        <v xml:space="preserve"> </v>
      </c>
      <c r="O369" s="8">
        <v>200</v>
      </c>
      <c r="P369" s="7">
        <v>46049</v>
      </c>
      <c r="R369" s="8">
        <v>0</v>
      </c>
      <c r="U369" s="8">
        <v>0</v>
      </c>
      <c r="X369" s="8">
        <v>0</v>
      </c>
      <c r="Z369" s="8">
        <v>0</v>
      </c>
      <c r="AC369" s="8">
        <v>0</v>
      </c>
      <c r="AF369" s="8">
        <v>0</v>
      </c>
      <c r="AH369" s="7">
        <v>46048</v>
      </c>
      <c r="AN369" s="8">
        <v>0</v>
      </c>
      <c r="AO369" s="8">
        <v>200</v>
      </c>
    </row>
    <row r="370" spans="1:41" x14ac:dyDescent="0.25">
      <c r="A370" s="6" t="str">
        <f t="shared" ref="A370:A375" si="92">"520-2026000069"</f>
        <v>520-2026000069</v>
      </c>
      <c r="B370" s="6" t="str">
        <f t="shared" ref="B370:B375" si="93">"AUCHAN R"</f>
        <v>AUCHAN R</v>
      </c>
      <c r="C370" s="7">
        <v>46048</v>
      </c>
      <c r="D370" s="7">
        <v>46055</v>
      </c>
      <c r="E370" s="8">
        <v>1</v>
      </c>
      <c r="F370" s="6" t="str">
        <f t="shared" ref="F370:F375" si="94">"1074109994"</f>
        <v>1074109994</v>
      </c>
      <c r="G370" s="6" t="str">
        <f>"F100021455000000"</f>
        <v>F100021455000000</v>
      </c>
      <c r="H370" s="6" t="str">
        <f>"FA 214 - PURE - 550"</f>
        <v>FA 214 - PURE - 550</v>
      </c>
      <c r="I370" s="6" t="str">
        <f>"1"</f>
        <v>1</v>
      </c>
      <c r="J370" s="6" t="str">
        <f>"BRANCO"</f>
        <v>BRANCO</v>
      </c>
      <c r="K370" s="6" t="str">
        <f>"0112"</f>
        <v>0112</v>
      </c>
      <c r="L370" s="6" t="str">
        <f>"Luvas"</f>
        <v>Luvas</v>
      </c>
      <c r="M370" s="6" t="str">
        <f>"16x21"</f>
        <v>16x21</v>
      </c>
      <c r="N370" s="6" t="str">
        <f>"5602972836233"</f>
        <v>5602972836233</v>
      </c>
      <c r="O370" s="8">
        <v>60</v>
      </c>
      <c r="P370" s="7">
        <v>46048</v>
      </c>
      <c r="R370" s="8">
        <v>0</v>
      </c>
      <c r="U370" s="8">
        <v>0</v>
      </c>
      <c r="X370" s="8">
        <v>0</v>
      </c>
      <c r="Z370" s="8">
        <v>0</v>
      </c>
      <c r="AC370" s="8">
        <v>60</v>
      </c>
      <c r="AE370" s="7">
        <v>46055</v>
      </c>
      <c r="AF370" s="8">
        <v>60</v>
      </c>
      <c r="AH370" s="7">
        <v>46052</v>
      </c>
      <c r="AN370" s="8">
        <v>0</v>
      </c>
      <c r="AO370" s="8">
        <v>60</v>
      </c>
    </row>
    <row r="371" spans="1:41" x14ac:dyDescent="0.25">
      <c r="A371" s="6" t="str">
        <f t="shared" si="92"/>
        <v>520-2026000069</v>
      </c>
      <c r="B371" s="6" t="str">
        <f t="shared" si="93"/>
        <v>AUCHAN R</v>
      </c>
      <c r="C371" s="7">
        <v>46048</v>
      </c>
      <c r="D371" s="7">
        <v>46055</v>
      </c>
      <c r="E371" s="8">
        <v>2</v>
      </c>
      <c r="F371" s="6" t="str">
        <f t="shared" si="94"/>
        <v>1074109994</v>
      </c>
      <c r="G371" s="6" t="str">
        <f>"F310620958000000"</f>
        <v>F310620958000000</v>
      </c>
      <c r="H371" s="6" t="str">
        <f>"PLAR 6209 C/ Franja"</f>
        <v>PLAR 6209 C/ Franja</v>
      </c>
      <c r="I371" s="6" t="str">
        <f>"203699"</f>
        <v>203699</v>
      </c>
      <c r="J371" s="6" t="str">
        <f>"BEGE 3699"</f>
        <v>BEGE 3699</v>
      </c>
      <c r="K371" s="6" t="str">
        <f>"0585"</f>
        <v>0585</v>
      </c>
      <c r="L371" s="6" t="str">
        <f>"Toalhetes"</f>
        <v>Toalhetes</v>
      </c>
      <c r="M371" s="6" t="str">
        <f>"33x50+8"</f>
        <v>33x50+8</v>
      </c>
      <c r="N371" s="6" t="str">
        <f>"5602972280920"</f>
        <v>5602972280920</v>
      </c>
      <c r="O371" s="8">
        <v>24</v>
      </c>
      <c r="P371" s="7">
        <v>46048</v>
      </c>
      <c r="R371" s="8">
        <v>0</v>
      </c>
      <c r="U371" s="8">
        <v>0</v>
      </c>
      <c r="X371" s="8">
        <v>0</v>
      </c>
      <c r="Z371" s="8">
        <v>0</v>
      </c>
      <c r="AC371" s="8">
        <v>24</v>
      </c>
      <c r="AE371" s="7">
        <v>46055</v>
      </c>
      <c r="AF371" s="8">
        <v>24</v>
      </c>
      <c r="AH371" s="7">
        <v>46052</v>
      </c>
      <c r="AN371" s="8">
        <v>0</v>
      </c>
      <c r="AO371" s="8">
        <v>24</v>
      </c>
    </row>
    <row r="372" spans="1:41" x14ac:dyDescent="0.25">
      <c r="A372" s="6" t="str">
        <f t="shared" si="92"/>
        <v>520-2026000069</v>
      </c>
      <c r="B372" s="6" t="str">
        <f t="shared" si="93"/>
        <v>AUCHAN R</v>
      </c>
      <c r="C372" s="7">
        <v>46048</v>
      </c>
      <c r="D372" s="7">
        <v>46055</v>
      </c>
      <c r="E372" s="8">
        <v>3</v>
      </c>
      <c r="F372" s="6" t="str">
        <f t="shared" si="94"/>
        <v>1074109994</v>
      </c>
      <c r="G372" s="6" t="str">
        <f>"F310631555000000"</f>
        <v>F310631555000000</v>
      </c>
      <c r="H372" s="6" t="str">
        <f>"PLAR 6315 - 550 g/m²"</f>
        <v>PLAR 6315 - 550 g/m²</v>
      </c>
      <c r="I372" s="6" t="str">
        <f>"204037"</f>
        <v>204037</v>
      </c>
      <c r="J372" s="6" t="str">
        <f>"AZUL 4037"</f>
        <v>AZUL 4037</v>
      </c>
      <c r="K372" s="6" t="str">
        <f>"0530"</f>
        <v>0530</v>
      </c>
      <c r="L372" s="6" t="str">
        <f>"Toalhetes"</f>
        <v>Toalhetes</v>
      </c>
      <c r="M372" s="6" t="str">
        <f>"33x50"</f>
        <v>33x50</v>
      </c>
      <c r="N372" s="6" t="str">
        <f>"5602972280838"</f>
        <v>5602972280838</v>
      </c>
      <c r="O372" s="8">
        <v>24</v>
      </c>
      <c r="P372" s="7">
        <v>46048</v>
      </c>
      <c r="R372" s="8">
        <v>0</v>
      </c>
      <c r="U372" s="8">
        <v>0</v>
      </c>
      <c r="X372" s="8">
        <v>0</v>
      </c>
      <c r="Z372" s="8">
        <v>0</v>
      </c>
      <c r="AC372" s="8">
        <v>24</v>
      </c>
      <c r="AE372" s="7">
        <v>46055</v>
      </c>
      <c r="AF372" s="8">
        <v>24</v>
      </c>
      <c r="AH372" s="7">
        <v>46052</v>
      </c>
      <c r="AN372" s="8">
        <v>0</v>
      </c>
      <c r="AO372" s="8">
        <v>24</v>
      </c>
    </row>
    <row r="373" spans="1:41" x14ac:dyDescent="0.25">
      <c r="A373" s="6" t="str">
        <f t="shared" si="92"/>
        <v>520-2026000069</v>
      </c>
      <c r="B373" s="6" t="str">
        <f t="shared" si="93"/>
        <v>AUCHAN R</v>
      </c>
      <c r="C373" s="7">
        <v>46048</v>
      </c>
      <c r="D373" s="7">
        <v>46055</v>
      </c>
      <c r="E373" s="8">
        <v>4</v>
      </c>
      <c r="F373" s="6" t="str">
        <f t="shared" si="94"/>
        <v>1074109994</v>
      </c>
      <c r="G373" s="6" t="str">
        <f>"F300374155000000"</f>
        <v>F300374155000000</v>
      </c>
      <c r="H373" s="6" t="str">
        <f>"PLR 3741 - 550 g/m²"</f>
        <v>PLR 3741 - 550 g/m²</v>
      </c>
      <c r="I373" s="6" t="str">
        <f>"203634"</f>
        <v>203634</v>
      </c>
      <c r="J373" s="6" t="str">
        <f>"ROSA 3634"</f>
        <v>ROSA 3634</v>
      </c>
      <c r="K373" s="6" t="str">
        <f>"0530"</f>
        <v>0530</v>
      </c>
      <c r="L373" s="6" t="str">
        <f>"Toalhetes"</f>
        <v>Toalhetes</v>
      </c>
      <c r="M373" s="6" t="str">
        <f>"33x50"</f>
        <v>33x50</v>
      </c>
      <c r="N373" s="6" t="str">
        <f>"5602972280869"</f>
        <v>5602972280869</v>
      </c>
      <c r="O373" s="8">
        <v>24</v>
      </c>
      <c r="P373" s="7">
        <v>46048</v>
      </c>
      <c r="R373" s="8">
        <v>0</v>
      </c>
      <c r="U373" s="8">
        <v>0</v>
      </c>
      <c r="X373" s="8">
        <v>0</v>
      </c>
      <c r="Z373" s="8">
        <v>0</v>
      </c>
      <c r="AC373" s="8">
        <v>0</v>
      </c>
      <c r="AE373" s="7">
        <v>46055</v>
      </c>
      <c r="AF373" s="8">
        <v>0</v>
      </c>
      <c r="AH373" s="7">
        <v>46052</v>
      </c>
      <c r="AN373" s="8">
        <v>0</v>
      </c>
      <c r="AO373" s="8">
        <v>24</v>
      </c>
    </row>
    <row r="374" spans="1:41" x14ac:dyDescent="0.25">
      <c r="A374" s="6" t="str">
        <f t="shared" si="92"/>
        <v>520-2026000069</v>
      </c>
      <c r="B374" s="6" t="str">
        <f t="shared" si="93"/>
        <v>AUCHAN R</v>
      </c>
      <c r="C374" s="7">
        <v>46048</v>
      </c>
      <c r="D374" s="7">
        <v>46055</v>
      </c>
      <c r="E374" s="8">
        <v>5</v>
      </c>
      <c r="F374" s="6" t="str">
        <f t="shared" si="94"/>
        <v>1074109994</v>
      </c>
      <c r="G374" s="6" t="str">
        <f>"F110329745000000"</f>
        <v>F110329745000000</v>
      </c>
      <c r="H374" s="6" t="str">
        <f>"FAJ 3297 - 450 g/m²"</f>
        <v>FAJ 3297 - 450 g/m²</v>
      </c>
      <c r="I374" s="6" t="str">
        <f>"2"</f>
        <v>2</v>
      </c>
      <c r="J374" s="6" t="str">
        <f>"NATURAL"</f>
        <v>NATURAL</v>
      </c>
      <c r="K374" s="6" t="str">
        <f>"0520"</f>
        <v>0520</v>
      </c>
      <c r="L374" s="6" t="str">
        <f>"Toalhetes"</f>
        <v>Toalhetes</v>
      </c>
      <c r="M374" s="6" t="str">
        <f>"30x50"</f>
        <v>30x50</v>
      </c>
      <c r="N374" s="6" t="str">
        <f>"5602972277852"</f>
        <v>5602972277852</v>
      </c>
      <c r="O374" s="8">
        <v>24</v>
      </c>
      <c r="P374" s="7">
        <v>46048</v>
      </c>
      <c r="R374" s="8">
        <v>0</v>
      </c>
      <c r="U374" s="8">
        <v>0</v>
      </c>
      <c r="X374" s="8">
        <v>0</v>
      </c>
      <c r="Z374" s="8">
        <v>0</v>
      </c>
      <c r="AC374" s="8">
        <v>0</v>
      </c>
      <c r="AE374" s="7">
        <v>46055</v>
      </c>
      <c r="AF374" s="8">
        <v>0</v>
      </c>
      <c r="AH374" s="7">
        <v>46052</v>
      </c>
      <c r="AN374" s="8">
        <v>0</v>
      </c>
      <c r="AO374" s="8">
        <v>24</v>
      </c>
    </row>
    <row r="375" spans="1:41" x14ac:dyDescent="0.25">
      <c r="A375" s="6" t="str">
        <f t="shared" si="92"/>
        <v>520-2026000069</v>
      </c>
      <c r="B375" s="6" t="str">
        <f t="shared" si="93"/>
        <v>AUCHAN R</v>
      </c>
      <c r="C375" s="7">
        <v>46048</v>
      </c>
      <c r="D375" s="7">
        <v>46055</v>
      </c>
      <c r="E375" s="8">
        <v>6</v>
      </c>
      <c r="F375" s="6" t="str">
        <f t="shared" si="94"/>
        <v>1074109994</v>
      </c>
      <c r="G375" s="6" t="str">
        <f>"K001223423000000"</f>
        <v>K001223423000000</v>
      </c>
      <c r="H375" s="6" t="str">
        <f>"KB 2234 - Pano - CZJ"</f>
        <v>KB 2234 - Pano - CZJ</v>
      </c>
      <c r="I375" s="6" t="str">
        <f>"3073"</f>
        <v>3073</v>
      </c>
      <c r="J375" s="6" t="str">
        <f>"CINZA 3073"</f>
        <v>CINZA 3073</v>
      </c>
      <c r="K375" s="6" t="str">
        <f>"8802"</f>
        <v>8802</v>
      </c>
      <c r="L375" s="6" t="str">
        <f>"Cozinha"</f>
        <v>Cozinha</v>
      </c>
      <c r="M375" s="6" t="str">
        <f>"02 Pano Te"</f>
        <v>02 Pano Te</v>
      </c>
      <c r="N375" s="6" t="str">
        <f>"5602972279559"</f>
        <v>5602972279559</v>
      </c>
      <c r="O375" s="8">
        <v>12</v>
      </c>
      <c r="P375" s="7">
        <v>46048</v>
      </c>
      <c r="R375" s="8">
        <v>0</v>
      </c>
      <c r="U375" s="8">
        <v>0</v>
      </c>
      <c r="X375" s="8">
        <v>0</v>
      </c>
      <c r="Z375" s="8">
        <v>0</v>
      </c>
      <c r="AC375" s="8">
        <v>12</v>
      </c>
      <c r="AE375" s="7">
        <v>46055</v>
      </c>
      <c r="AF375" s="8">
        <v>12</v>
      </c>
      <c r="AH375" s="7">
        <v>46052</v>
      </c>
      <c r="AN375" s="8">
        <v>0</v>
      </c>
      <c r="AO375" s="8">
        <v>12</v>
      </c>
    </row>
    <row r="376" spans="1:41" x14ac:dyDescent="0.25">
      <c r="A376" s="6" t="str">
        <f>"520-2026000070"</f>
        <v>520-2026000070</v>
      </c>
      <c r="B376" s="6" t="str">
        <f>"SOCUNHA"</f>
        <v>SOCUNHA</v>
      </c>
      <c r="C376" s="7">
        <v>46049</v>
      </c>
      <c r="D376" s="7">
        <v>46049</v>
      </c>
      <c r="E376" s="8">
        <v>1</v>
      </c>
      <c r="F376" s="6" t="str">
        <f>"EDREDÃO"</f>
        <v>EDREDÃO</v>
      </c>
      <c r="G376" s="6" t="str">
        <f>"C090999900000003"</f>
        <v>C090999900000003</v>
      </c>
      <c r="H376" s="6" t="str">
        <f>"ENCHIMENTOS (PARIS)"</f>
        <v>ENCHIMENTOS (PARIS)</v>
      </c>
      <c r="I376" s="6" t="str">
        <f>"1"</f>
        <v>1</v>
      </c>
      <c r="J376" s="6" t="str">
        <f>"BRANCO"</f>
        <v>BRANCO</v>
      </c>
      <c r="K376" s="6" t="str">
        <f>"6716"</f>
        <v>6716</v>
      </c>
      <c r="L376" s="6" t="str">
        <f>"Enchimento"</f>
        <v>Enchimento</v>
      </c>
      <c r="M376" s="6" t="str">
        <f>"240x220"</f>
        <v>240x220</v>
      </c>
      <c r="N376" s="6" t="str">
        <f>"5602972267655"</f>
        <v>5602972267655</v>
      </c>
      <c r="O376" s="8">
        <v>1</v>
      </c>
      <c r="P376" s="7">
        <v>46049</v>
      </c>
      <c r="R376" s="8">
        <v>0</v>
      </c>
      <c r="U376" s="8">
        <v>0</v>
      </c>
      <c r="X376" s="8">
        <v>0</v>
      </c>
      <c r="Z376" s="8">
        <v>0</v>
      </c>
      <c r="AC376" s="8">
        <v>1</v>
      </c>
      <c r="AE376" s="7">
        <v>46056</v>
      </c>
      <c r="AF376" s="8">
        <v>1</v>
      </c>
      <c r="AH376" s="7">
        <v>46049</v>
      </c>
      <c r="AN376" s="8">
        <v>1</v>
      </c>
      <c r="AO376" s="8">
        <v>0</v>
      </c>
    </row>
    <row r="377" spans="1:41" x14ac:dyDescent="0.25">
      <c r="A377" s="6" t="str">
        <f>"520-2026000071"</f>
        <v>520-2026000071</v>
      </c>
      <c r="B377" s="6" t="str">
        <f>"SOCUNHA"</f>
        <v>SOCUNHA</v>
      </c>
      <c r="C377" s="7">
        <v>46049</v>
      </c>
      <c r="D377" s="7">
        <v>46049</v>
      </c>
      <c r="E377" s="8">
        <v>3</v>
      </c>
      <c r="F377" s="6" t="str">
        <f>"PO# 71/2026"</f>
        <v>PO# 71/2026</v>
      </c>
      <c r="G377" s="6" t="str">
        <f>"R010091230000000"</f>
        <v>R010091230000000</v>
      </c>
      <c r="H377" s="6" t="str">
        <f>"R 912 - Ketten 300 g"</f>
        <v>R 912 - Ketten 300 g</v>
      </c>
      <c r="I377" s="6" t="str">
        <f>"1"</f>
        <v>1</v>
      </c>
      <c r="J377" s="6" t="str">
        <f>"BRANCO"</f>
        <v>BRANCO</v>
      </c>
      <c r="K377" s="6" t="str">
        <f>"5008"</f>
        <v>5008</v>
      </c>
      <c r="L377" s="6" t="str">
        <f>"Roupões Adulto"</f>
        <v>Roupões Adulto</v>
      </c>
      <c r="M377" s="6" t="str">
        <f>"XL"</f>
        <v>XL</v>
      </c>
      <c r="N377" s="6" t="str">
        <f>"5600000034170"</f>
        <v>5600000034170</v>
      </c>
      <c r="O377" s="8">
        <v>50</v>
      </c>
      <c r="P377" s="7">
        <v>46050</v>
      </c>
      <c r="R377" s="8">
        <v>0</v>
      </c>
      <c r="U377" s="8">
        <v>0</v>
      </c>
      <c r="X377" s="8">
        <v>0</v>
      </c>
      <c r="Z377" s="8">
        <v>0</v>
      </c>
      <c r="AC377" s="8">
        <v>0</v>
      </c>
      <c r="AF377" s="8">
        <v>0</v>
      </c>
      <c r="AH377" s="7">
        <v>46049</v>
      </c>
      <c r="AN377" s="8">
        <v>0</v>
      </c>
      <c r="AO377" s="8">
        <v>50</v>
      </c>
    </row>
    <row r="378" spans="1:41" x14ac:dyDescent="0.25">
      <c r="A378" s="6" t="str">
        <f>"520-2026000072"</f>
        <v>520-2026000072</v>
      </c>
      <c r="B378" s="6" t="str">
        <f>"OITO EM"</f>
        <v>OITO EM</v>
      </c>
      <c r="C378" s="7">
        <v>46050</v>
      </c>
      <c r="D378" s="7">
        <v>46073</v>
      </c>
      <c r="E378" s="8">
        <v>1</v>
      </c>
      <c r="F378" s="6" t="str">
        <f>"ECF 2025/661"</f>
        <v>ECF 2025/661</v>
      </c>
      <c r="G378" s="6" t="str">
        <f>"T854000025000002"</f>
        <v>T854000025000002</v>
      </c>
      <c r="H378" s="6" t="str">
        <f>"TMJ Liso (m) 100% Al"</f>
        <v>TMJ Liso (m) 100% Al</v>
      </c>
      <c r="I378" s="6" t="str">
        <f>"602707"</f>
        <v>602707</v>
      </c>
      <c r="J378" s="6" t="str">
        <f>"PRETO 2707"</f>
        <v>PRETO 2707</v>
      </c>
      <c r="K378" s="6" t="str">
        <f>"2590"</f>
        <v>2590</v>
      </c>
      <c r="L378" s="6" t="str">
        <f>"A Metro"</f>
        <v>A Metro</v>
      </c>
      <c r="M378" s="6" t="str">
        <f>"300x"</f>
        <v>300x</v>
      </c>
      <c r="N378" s="6" t="str">
        <f>" "</f>
        <v xml:space="preserve"> </v>
      </c>
      <c r="O378" s="8">
        <v>500</v>
      </c>
      <c r="P378" s="7">
        <v>46006</v>
      </c>
      <c r="R378" s="8">
        <v>0</v>
      </c>
      <c r="S378" s="7">
        <v>46009</v>
      </c>
      <c r="U378" s="8">
        <v>0</v>
      </c>
      <c r="V378" s="7">
        <v>46028</v>
      </c>
      <c r="X378" s="8">
        <v>0</v>
      </c>
      <c r="Z378" s="8">
        <v>0</v>
      </c>
      <c r="AA378" s="7">
        <v>46038</v>
      </c>
      <c r="AC378" s="8">
        <v>0</v>
      </c>
      <c r="AE378" s="7">
        <v>46042</v>
      </c>
      <c r="AF378" s="8">
        <v>0</v>
      </c>
      <c r="AH378" s="7">
        <v>46073</v>
      </c>
      <c r="AN378" s="8">
        <v>0</v>
      </c>
      <c r="AO378" s="8">
        <v>500</v>
      </c>
    </row>
    <row r="379" spans="1:41" x14ac:dyDescent="0.25">
      <c r="A379" s="6" t="str">
        <f t="shared" ref="A379:A386" si="95">"520-2026000073"</f>
        <v>520-2026000073</v>
      </c>
      <c r="B379" s="6" t="str">
        <f t="shared" ref="B379:B386" si="96">"AUCHAN R"</f>
        <v>AUCHAN R</v>
      </c>
      <c r="C379" s="7">
        <v>46051</v>
      </c>
      <c r="D379" s="7">
        <v>46052</v>
      </c>
      <c r="E379" s="8">
        <v>1</v>
      </c>
      <c r="F379" s="6" t="str">
        <f t="shared" ref="F379:F386" si="97">"1063886169"</f>
        <v>1063886169</v>
      </c>
      <c r="G379" s="6" t="str">
        <f>"F100021455000000"</f>
        <v>F100021455000000</v>
      </c>
      <c r="H379" s="6" t="str">
        <f>"FA 214 - PURE - 550"</f>
        <v>FA 214 - PURE - 550</v>
      </c>
      <c r="I379" s="6" t="str">
        <f>"1"</f>
        <v>1</v>
      </c>
      <c r="J379" s="6" t="str">
        <f>"BRANCO"</f>
        <v>BRANCO</v>
      </c>
      <c r="K379" s="6" t="str">
        <f>"0112"</f>
        <v>0112</v>
      </c>
      <c r="L379" s="6" t="str">
        <f>"Luvas"</f>
        <v>Luvas</v>
      </c>
      <c r="M379" s="6" t="str">
        <f>"16x21"</f>
        <v>16x21</v>
      </c>
      <c r="N379" s="6" t="str">
        <f>"5602972836233"</f>
        <v>5602972836233</v>
      </c>
      <c r="O379" s="8">
        <v>24</v>
      </c>
      <c r="P379" s="7">
        <v>46051</v>
      </c>
      <c r="R379" s="8">
        <v>0</v>
      </c>
      <c r="U379" s="8">
        <v>0</v>
      </c>
      <c r="X379" s="8">
        <v>0</v>
      </c>
      <c r="Z379" s="8">
        <v>0</v>
      </c>
      <c r="AC379" s="8">
        <v>24</v>
      </c>
      <c r="AE379" s="7">
        <v>46058</v>
      </c>
      <c r="AF379" s="8">
        <v>24</v>
      </c>
      <c r="AH379" s="7">
        <v>46052</v>
      </c>
      <c r="AN379" s="8">
        <v>0</v>
      </c>
      <c r="AO379" s="8">
        <v>24</v>
      </c>
    </row>
    <row r="380" spans="1:41" x14ac:dyDescent="0.25">
      <c r="A380" s="6" t="str">
        <f t="shared" si="95"/>
        <v>520-2026000073</v>
      </c>
      <c r="B380" s="6" t="str">
        <f t="shared" si="96"/>
        <v>AUCHAN R</v>
      </c>
      <c r="C380" s="7">
        <v>46051</v>
      </c>
      <c r="D380" s="7">
        <v>46052</v>
      </c>
      <c r="E380" s="8">
        <v>2</v>
      </c>
      <c r="F380" s="6" t="str">
        <f t="shared" si="97"/>
        <v>1063886169</v>
      </c>
      <c r="G380" s="6" t="str">
        <f>"F300374155000000"</f>
        <v>F300374155000000</v>
      </c>
      <c r="H380" s="6" t="str">
        <f>"PLR 3741 - 550 g/m²"</f>
        <v>PLR 3741 - 550 g/m²</v>
      </c>
      <c r="I380" s="6" t="str">
        <f>"203634"</f>
        <v>203634</v>
      </c>
      <c r="J380" s="6" t="str">
        <f>"ROSA 3634"</f>
        <v>ROSA 3634</v>
      </c>
      <c r="K380" s="6" t="str">
        <f>"2020"</f>
        <v>2020</v>
      </c>
      <c r="L380" s="6" t="str">
        <f>"Lençóis"</f>
        <v>Lençóis</v>
      </c>
      <c r="M380" s="6" t="str">
        <f>"100x150"</f>
        <v>100x150</v>
      </c>
      <c r="N380" s="6" t="str">
        <f>"5602972280883"</f>
        <v>5602972280883</v>
      </c>
      <c r="O380" s="8">
        <v>3</v>
      </c>
      <c r="P380" s="7">
        <v>46051</v>
      </c>
      <c r="R380" s="8">
        <v>0</v>
      </c>
      <c r="U380" s="8">
        <v>0</v>
      </c>
      <c r="X380" s="8">
        <v>0</v>
      </c>
      <c r="Z380" s="8">
        <v>0</v>
      </c>
      <c r="AC380" s="8">
        <v>0</v>
      </c>
      <c r="AE380" s="7">
        <v>46058</v>
      </c>
      <c r="AF380" s="8">
        <v>0</v>
      </c>
      <c r="AH380" s="7">
        <v>46052</v>
      </c>
      <c r="AN380" s="8">
        <v>0</v>
      </c>
      <c r="AO380" s="8">
        <v>3</v>
      </c>
    </row>
    <row r="381" spans="1:41" x14ac:dyDescent="0.25">
      <c r="A381" s="6" t="str">
        <f t="shared" si="95"/>
        <v>520-2026000073</v>
      </c>
      <c r="B381" s="6" t="str">
        <f t="shared" si="96"/>
        <v>AUCHAN R</v>
      </c>
      <c r="C381" s="7">
        <v>46051</v>
      </c>
      <c r="D381" s="7">
        <v>46052</v>
      </c>
      <c r="E381" s="8">
        <v>3</v>
      </c>
      <c r="F381" s="6" t="str">
        <f t="shared" si="97"/>
        <v>1063886169</v>
      </c>
      <c r="G381" s="6" t="str">
        <f>"F110329745000000"</f>
        <v>F110329745000000</v>
      </c>
      <c r="H381" s="6" t="str">
        <f>"FAJ 3297 - 450 g/m²"</f>
        <v>FAJ 3297 - 450 g/m²</v>
      </c>
      <c r="I381" s="6" t="str">
        <f>"2"</f>
        <v>2</v>
      </c>
      <c r="J381" s="6" t="str">
        <f>"NATURAL"</f>
        <v>NATURAL</v>
      </c>
      <c r="K381" s="6" t="str">
        <f>"0520"</f>
        <v>0520</v>
      </c>
      <c r="L381" s="6" t="str">
        <f>"Toalhetes"</f>
        <v>Toalhetes</v>
      </c>
      <c r="M381" s="6" t="str">
        <f>"30x50"</f>
        <v>30x50</v>
      </c>
      <c r="N381" s="6" t="str">
        <f>"5602972277852"</f>
        <v>5602972277852</v>
      </c>
      <c r="O381" s="8">
        <v>6</v>
      </c>
      <c r="P381" s="7">
        <v>46051</v>
      </c>
      <c r="R381" s="8">
        <v>0</v>
      </c>
      <c r="U381" s="8">
        <v>0</v>
      </c>
      <c r="X381" s="8">
        <v>0</v>
      </c>
      <c r="Z381" s="8">
        <v>0</v>
      </c>
      <c r="AC381" s="8">
        <v>6</v>
      </c>
      <c r="AE381" s="7">
        <v>46058</v>
      </c>
      <c r="AF381" s="8">
        <v>6</v>
      </c>
      <c r="AH381" s="7">
        <v>46052</v>
      </c>
      <c r="AN381" s="8">
        <v>0</v>
      </c>
      <c r="AO381" s="8">
        <v>6</v>
      </c>
    </row>
    <row r="382" spans="1:41" x14ac:dyDescent="0.25">
      <c r="A382" s="6" t="str">
        <f t="shared" si="95"/>
        <v>520-2026000073</v>
      </c>
      <c r="B382" s="6" t="str">
        <f t="shared" si="96"/>
        <v>AUCHAN R</v>
      </c>
      <c r="C382" s="7">
        <v>46051</v>
      </c>
      <c r="D382" s="7">
        <v>46052</v>
      </c>
      <c r="E382" s="8">
        <v>4</v>
      </c>
      <c r="F382" s="6" t="str">
        <f t="shared" si="97"/>
        <v>1063886169</v>
      </c>
      <c r="G382" s="6" t="str">
        <f>"F310620958000000"</f>
        <v>F310620958000000</v>
      </c>
      <c r="H382" s="6" t="str">
        <f>"PLAR 6209 C/ Franja"</f>
        <v>PLAR 6209 C/ Franja</v>
      </c>
      <c r="I382" s="6" t="str">
        <f>"203699"</f>
        <v>203699</v>
      </c>
      <c r="J382" s="6" t="str">
        <f>"BEGE 3699"</f>
        <v>BEGE 3699</v>
      </c>
      <c r="K382" s="6" t="str">
        <f>"1047"</f>
        <v>1047</v>
      </c>
      <c r="L382" s="6" t="str">
        <f>"Toalhas"</f>
        <v>Toalhas</v>
      </c>
      <c r="M382" s="6" t="str">
        <f>"50x100+8"</f>
        <v>50x100+8</v>
      </c>
      <c r="N382" s="6" t="str">
        <f>"5602972280937"</f>
        <v>5602972280937</v>
      </c>
      <c r="O382" s="8">
        <v>6</v>
      </c>
      <c r="P382" s="7">
        <v>46051</v>
      </c>
      <c r="R382" s="8">
        <v>0</v>
      </c>
      <c r="U382" s="8">
        <v>0</v>
      </c>
      <c r="X382" s="8">
        <v>0</v>
      </c>
      <c r="Z382" s="8">
        <v>0</v>
      </c>
      <c r="AC382" s="8">
        <v>6</v>
      </c>
      <c r="AE382" s="7">
        <v>46058</v>
      </c>
      <c r="AF382" s="8">
        <v>6</v>
      </c>
      <c r="AH382" s="7">
        <v>46052</v>
      </c>
      <c r="AN382" s="8">
        <v>0</v>
      </c>
      <c r="AO382" s="8">
        <v>6</v>
      </c>
    </row>
    <row r="383" spans="1:41" x14ac:dyDescent="0.25">
      <c r="A383" s="6" t="str">
        <f t="shared" si="95"/>
        <v>520-2026000073</v>
      </c>
      <c r="B383" s="6" t="str">
        <f t="shared" si="96"/>
        <v>AUCHAN R</v>
      </c>
      <c r="C383" s="7">
        <v>46051</v>
      </c>
      <c r="D383" s="7">
        <v>46052</v>
      </c>
      <c r="E383" s="8">
        <v>5</v>
      </c>
      <c r="F383" s="6" t="str">
        <f t="shared" si="97"/>
        <v>1063886169</v>
      </c>
      <c r="G383" s="6" t="str">
        <f>"F100021455000010"</f>
        <v>F100021455000010</v>
      </c>
      <c r="H383" s="6" t="str">
        <f>"FA 214 Bio GOTS - 55"</f>
        <v>FA 214 Bio GOTS - 55</v>
      </c>
      <c r="I383" s="6" t="str">
        <f>"2094"</f>
        <v>2094</v>
      </c>
      <c r="J383" s="6" t="str">
        <f>"AZUL 2094"</f>
        <v>AZUL 2094</v>
      </c>
      <c r="K383" s="6" t="str">
        <f>"1024"</f>
        <v>1024</v>
      </c>
      <c r="L383" s="6" t="str">
        <f>"Toalhas"</f>
        <v>Toalhas</v>
      </c>
      <c r="M383" s="6" t="str">
        <f>"50x100"</f>
        <v>50x100</v>
      </c>
      <c r="N383" s="6" t="str">
        <f>"5602972278644"</f>
        <v>5602972278644</v>
      </c>
      <c r="O383" s="8">
        <v>6</v>
      </c>
      <c r="P383" s="7">
        <v>46051</v>
      </c>
      <c r="R383" s="8">
        <v>0</v>
      </c>
      <c r="U383" s="8">
        <v>0</v>
      </c>
      <c r="X383" s="8">
        <v>0</v>
      </c>
      <c r="Z383" s="8">
        <v>0</v>
      </c>
      <c r="AC383" s="8">
        <v>6</v>
      </c>
      <c r="AE383" s="7">
        <v>46058</v>
      </c>
      <c r="AF383" s="8">
        <v>6</v>
      </c>
      <c r="AH383" s="7">
        <v>46052</v>
      </c>
      <c r="AN383" s="8">
        <v>0</v>
      </c>
      <c r="AO383" s="8">
        <v>6</v>
      </c>
    </row>
    <row r="384" spans="1:41" x14ac:dyDescent="0.25">
      <c r="A384" s="6" t="str">
        <f t="shared" si="95"/>
        <v>520-2026000073</v>
      </c>
      <c r="B384" s="6" t="str">
        <f t="shared" si="96"/>
        <v>AUCHAN R</v>
      </c>
      <c r="C384" s="7">
        <v>46051</v>
      </c>
      <c r="D384" s="7">
        <v>46052</v>
      </c>
      <c r="E384" s="8">
        <v>6</v>
      </c>
      <c r="F384" s="6" t="str">
        <f t="shared" si="97"/>
        <v>1063886169</v>
      </c>
      <c r="G384" s="6" t="str">
        <f>"C001101823000000"</f>
        <v>C001101823000000</v>
      </c>
      <c r="H384" s="6" t="str">
        <f>"CZJ 1018 - 230 gr/m²"</f>
        <v>CZJ 1018 - 230 gr/m²</v>
      </c>
      <c r="I384" s="6" t="str">
        <f>"3073"</f>
        <v>3073</v>
      </c>
      <c r="J384" s="6" t="str">
        <f>"CINZA 3073"</f>
        <v>CINZA 3073</v>
      </c>
      <c r="K384" s="6" t="str">
        <f>"0830"</f>
        <v>0830</v>
      </c>
      <c r="L384" s="6" t="str">
        <f>"Cozinha"</f>
        <v>Cozinha</v>
      </c>
      <c r="M384" s="6" t="str">
        <f>"50x70"</f>
        <v>50x70</v>
      </c>
      <c r="N384" s="6" t="str">
        <f>"5602972758740"</f>
        <v>5602972758740</v>
      </c>
      <c r="O384" s="8">
        <v>12</v>
      </c>
      <c r="P384" s="7">
        <v>46051</v>
      </c>
      <c r="R384" s="8">
        <v>0</v>
      </c>
      <c r="U384" s="8">
        <v>0</v>
      </c>
      <c r="X384" s="8">
        <v>0</v>
      </c>
      <c r="Z384" s="8">
        <v>0</v>
      </c>
      <c r="AC384" s="8">
        <v>12</v>
      </c>
      <c r="AE384" s="7">
        <v>46058</v>
      </c>
      <c r="AF384" s="8">
        <v>12</v>
      </c>
      <c r="AH384" s="7">
        <v>46052</v>
      </c>
      <c r="AN384" s="8">
        <v>0</v>
      </c>
      <c r="AO384" s="8">
        <v>12</v>
      </c>
    </row>
    <row r="385" spans="1:41" x14ac:dyDescent="0.25">
      <c r="A385" s="6" t="str">
        <f t="shared" si="95"/>
        <v>520-2026000073</v>
      </c>
      <c r="B385" s="6" t="str">
        <f t="shared" si="96"/>
        <v>AUCHAN R</v>
      </c>
      <c r="C385" s="7">
        <v>46051</v>
      </c>
      <c r="D385" s="7">
        <v>46052</v>
      </c>
      <c r="E385" s="8">
        <v>7</v>
      </c>
      <c r="F385" s="6" t="str">
        <f t="shared" si="97"/>
        <v>1063886169</v>
      </c>
      <c r="G385" s="6" t="str">
        <f>"K001223323000000"</f>
        <v>K001223323000000</v>
      </c>
      <c r="H385" s="6" t="str">
        <f>"KB 2233 - Avental -"</f>
        <v>KB 2233 - Avental -</v>
      </c>
      <c r="I385" s="6" t="str">
        <f>"3073"</f>
        <v>3073</v>
      </c>
      <c r="J385" s="6" t="str">
        <f>"CINZA 3073"</f>
        <v>CINZA 3073</v>
      </c>
      <c r="K385" s="6" t="str">
        <f>"8803"</f>
        <v>8803</v>
      </c>
      <c r="L385" s="6" t="str">
        <f>"Cozinha"</f>
        <v>Cozinha</v>
      </c>
      <c r="M385" s="6" t="str">
        <f>"03 Avental"</f>
        <v>03 Avental</v>
      </c>
      <c r="N385" s="6" t="str">
        <f>"5602972279542"</f>
        <v>5602972279542</v>
      </c>
      <c r="O385" s="8">
        <v>12</v>
      </c>
      <c r="P385" s="7">
        <v>46051</v>
      </c>
      <c r="R385" s="8">
        <v>0</v>
      </c>
      <c r="U385" s="8">
        <v>0</v>
      </c>
      <c r="X385" s="8">
        <v>0</v>
      </c>
      <c r="Z385" s="8">
        <v>0</v>
      </c>
      <c r="AC385" s="8">
        <v>6</v>
      </c>
      <c r="AE385" s="7">
        <v>46058</v>
      </c>
      <c r="AF385" s="8">
        <v>6</v>
      </c>
      <c r="AH385" s="7">
        <v>46052</v>
      </c>
      <c r="AN385" s="8">
        <v>0</v>
      </c>
      <c r="AO385" s="8">
        <v>12</v>
      </c>
    </row>
    <row r="386" spans="1:41" x14ac:dyDescent="0.25">
      <c r="A386" s="6" t="str">
        <f t="shared" si="95"/>
        <v>520-2026000073</v>
      </c>
      <c r="B386" s="6" t="str">
        <f t="shared" si="96"/>
        <v>AUCHAN R</v>
      </c>
      <c r="C386" s="7">
        <v>46051</v>
      </c>
      <c r="D386" s="7">
        <v>46052</v>
      </c>
      <c r="E386" s="8">
        <v>8</v>
      </c>
      <c r="F386" s="6" t="str">
        <f t="shared" si="97"/>
        <v>1063886169</v>
      </c>
      <c r="G386" s="6" t="str">
        <f>"K001223523000000"</f>
        <v>K001223523000000</v>
      </c>
      <c r="H386" s="6" t="str">
        <f>"KB 2235 - Pega - CZJ"</f>
        <v>KB 2235 - Pega - CZJ</v>
      </c>
      <c r="I386" s="6" t="str">
        <f>"3073"</f>
        <v>3073</v>
      </c>
      <c r="J386" s="6" t="str">
        <f>"CINZA 3073"</f>
        <v>CINZA 3073</v>
      </c>
      <c r="K386" s="6" t="str">
        <f>"8805"</f>
        <v>8805</v>
      </c>
      <c r="L386" s="6" t="str">
        <f>"Cozinha"</f>
        <v>Cozinha</v>
      </c>
      <c r="M386" s="6" t="str">
        <f>"05 Pega"</f>
        <v>05 Pega</v>
      </c>
      <c r="N386" s="6" t="str">
        <f>"5602972279566"</f>
        <v>5602972279566</v>
      </c>
      <c r="O386" s="8">
        <v>12</v>
      </c>
      <c r="P386" s="7">
        <v>46051</v>
      </c>
      <c r="R386" s="8">
        <v>0</v>
      </c>
      <c r="U386" s="8">
        <v>0</v>
      </c>
      <c r="X386" s="8">
        <v>0</v>
      </c>
      <c r="Z386" s="8">
        <v>0</v>
      </c>
      <c r="AC386" s="8">
        <v>12</v>
      </c>
      <c r="AE386" s="7">
        <v>46058</v>
      </c>
      <c r="AF386" s="8">
        <v>12</v>
      </c>
      <c r="AH386" s="7">
        <v>46052</v>
      </c>
      <c r="AN386" s="8">
        <v>0</v>
      </c>
      <c r="AO386" s="8">
        <v>12</v>
      </c>
    </row>
    <row r="387" spans="1:41" x14ac:dyDescent="0.25">
      <c r="A387" s="6" t="str">
        <f>"521-2025000523"</f>
        <v>521-2025000523</v>
      </c>
      <c r="B387" s="6" t="str">
        <f t="shared" ref="B387:B402" si="98">"WORLD MA"</f>
        <v>WORLD MA</v>
      </c>
      <c r="C387" s="7">
        <v>45877</v>
      </c>
      <c r="D387" s="7">
        <v>46059</v>
      </c>
      <c r="E387" s="8">
        <v>1</v>
      </c>
      <c r="F387" s="6" t="str">
        <f>"200727842"</f>
        <v>200727842</v>
      </c>
      <c r="G387" s="6" t="str">
        <f>"F310629555000000"</f>
        <v>F310629555000000</v>
      </c>
      <c r="H387" s="6" t="str">
        <f>"PLAR 6295 FD - 550 g"</f>
        <v>PLAR 6295 FD - 550 g</v>
      </c>
      <c r="I387" s="6" t="str">
        <f>"203402"</f>
        <v>203402</v>
      </c>
      <c r="J387" s="6" t="str">
        <f>"AMARELO 3402"</f>
        <v>AMARELO 3402</v>
      </c>
      <c r="K387" s="6" t="str">
        <f>"1534"</f>
        <v>1534</v>
      </c>
      <c r="L387" s="6" t="str">
        <f>"Toalhões"</f>
        <v>Toalhões</v>
      </c>
      <c r="M387" s="6" t="str">
        <f>"70x137"</f>
        <v>70x137</v>
      </c>
      <c r="N387" s="6" t="str">
        <f t="shared" ref="N387:N432" si="99">" "</f>
        <v xml:space="preserve"> </v>
      </c>
      <c r="O387" s="8">
        <v>592</v>
      </c>
      <c r="P387" s="7">
        <v>46013</v>
      </c>
      <c r="R387" s="8">
        <v>1308</v>
      </c>
      <c r="S387" s="7">
        <v>46021</v>
      </c>
      <c r="U387" s="8">
        <v>639</v>
      </c>
      <c r="V387" s="7">
        <v>46029</v>
      </c>
      <c r="X387" s="8">
        <v>0</v>
      </c>
      <c r="Z387" s="8">
        <v>639</v>
      </c>
      <c r="AA387" s="7">
        <v>46041</v>
      </c>
      <c r="AC387" s="8">
        <v>592</v>
      </c>
      <c r="AE387" s="7">
        <v>46043</v>
      </c>
      <c r="AF387" s="8">
        <v>592</v>
      </c>
      <c r="AH387" s="7">
        <v>46041</v>
      </c>
      <c r="AN387" s="8">
        <v>592</v>
      </c>
      <c r="AO387" s="8">
        <v>0</v>
      </c>
    </row>
    <row r="388" spans="1:41" x14ac:dyDescent="0.25">
      <c r="A388" s="6" t="str">
        <f>"521-2025000523"</f>
        <v>521-2025000523</v>
      </c>
      <c r="B388" s="6" t="str">
        <f t="shared" si="98"/>
        <v>WORLD MA</v>
      </c>
      <c r="C388" s="7">
        <v>45877</v>
      </c>
      <c r="D388" s="7">
        <v>46059</v>
      </c>
      <c r="E388" s="8">
        <v>2</v>
      </c>
      <c r="F388" s="6" t="str">
        <f>"200727842"</f>
        <v>200727842</v>
      </c>
      <c r="G388" s="6" t="str">
        <f>"F310629555000000"</f>
        <v>F310629555000000</v>
      </c>
      <c r="H388" s="6" t="str">
        <f>"PLAR 6295 FD - 550 g"</f>
        <v>PLAR 6295 FD - 550 g</v>
      </c>
      <c r="I388" s="6" t="str">
        <f>"203402"</f>
        <v>203402</v>
      </c>
      <c r="J388" s="6" t="str">
        <f>"AMARELO 3402"</f>
        <v>AMARELO 3402</v>
      </c>
      <c r="K388" s="6" t="str">
        <f>"1004"</f>
        <v>1004</v>
      </c>
      <c r="L388" s="6" t="str">
        <f>"Toalhas"</f>
        <v>Toalhas</v>
      </c>
      <c r="M388" s="6" t="str">
        <f>"41x71"</f>
        <v>41x71</v>
      </c>
      <c r="N388" s="6" t="str">
        <f t="shared" si="99"/>
        <v xml:space="preserve"> </v>
      </c>
      <c r="O388" s="8">
        <v>714</v>
      </c>
      <c r="P388" s="7">
        <v>46013</v>
      </c>
      <c r="R388" s="8">
        <v>2104</v>
      </c>
      <c r="S388" s="7">
        <v>46021</v>
      </c>
      <c r="U388" s="8">
        <v>820</v>
      </c>
      <c r="V388" s="7">
        <v>46029</v>
      </c>
      <c r="X388" s="8">
        <v>0</v>
      </c>
      <c r="Z388" s="8">
        <v>820</v>
      </c>
      <c r="AA388" s="7">
        <v>46041</v>
      </c>
      <c r="AC388" s="8">
        <v>714</v>
      </c>
      <c r="AE388" s="7">
        <v>46043</v>
      </c>
      <c r="AF388" s="8">
        <v>714</v>
      </c>
      <c r="AH388" s="7">
        <v>46041</v>
      </c>
      <c r="AN388" s="8">
        <v>714</v>
      </c>
      <c r="AO388" s="8">
        <v>0</v>
      </c>
    </row>
    <row r="389" spans="1:41" x14ac:dyDescent="0.25">
      <c r="A389" s="6" t="str">
        <f>"521-2025000523"</f>
        <v>521-2025000523</v>
      </c>
      <c r="B389" s="6" t="str">
        <f t="shared" si="98"/>
        <v>WORLD MA</v>
      </c>
      <c r="C389" s="7">
        <v>45877</v>
      </c>
      <c r="D389" s="7">
        <v>46059</v>
      </c>
      <c r="E389" s="8">
        <v>3</v>
      </c>
      <c r="F389" s="6" t="str">
        <f>"200727842"</f>
        <v>200727842</v>
      </c>
      <c r="G389" s="6" t="str">
        <f>"F330312855000000"</f>
        <v>F330312855000000</v>
      </c>
      <c r="H389" s="6" t="str">
        <f>"PLA 3128 - 550 g/m²"</f>
        <v>PLA 3128 - 550 g/m²</v>
      </c>
      <c r="I389" s="6" t="str">
        <f>"202009"</f>
        <v>202009</v>
      </c>
      <c r="J389" s="6" t="str">
        <f>"AZUL 2009"</f>
        <v>AZUL 2009</v>
      </c>
      <c r="K389" s="6" t="str">
        <f>"1534"</f>
        <v>1534</v>
      </c>
      <c r="L389" s="6" t="str">
        <f>"Toalhões"</f>
        <v>Toalhões</v>
      </c>
      <c r="M389" s="6" t="str">
        <f>"70x137"</f>
        <v>70x137</v>
      </c>
      <c r="N389" s="6" t="str">
        <f t="shared" si="99"/>
        <v xml:space="preserve"> </v>
      </c>
      <c r="O389" s="8">
        <v>512</v>
      </c>
      <c r="P389" s="7">
        <v>46013</v>
      </c>
      <c r="R389" s="8">
        <v>1875</v>
      </c>
      <c r="S389" s="7">
        <v>46021</v>
      </c>
      <c r="U389" s="8">
        <v>567</v>
      </c>
      <c r="V389" s="7">
        <v>46029</v>
      </c>
      <c r="X389" s="8">
        <v>0</v>
      </c>
      <c r="Z389" s="8">
        <v>567</v>
      </c>
      <c r="AA389" s="7">
        <v>46041</v>
      </c>
      <c r="AC389" s="8">
        <v>512</v>
      </c>
      <c r="AE389" s="7">
        <v>46043</v>
      </c>
      <c r="AF389" s="8">
        <v>512</v>
      </c>
      <c r="AH389" s="7">
        <v>46041</v>
      </c>
      <c r="AN389" s="8">
        <v>512</v>
      </c>
      <c r="AO389" s="8">
        <v>0</v>
      </c>
    </row>
    <row r="390" spans="1:41" x14ac:dyDescent="0.25">
      <c r="A390" s="6" t="str">
        <f>"521-2025000523"</f>
        <v>521-2025000523</v>
      </c>
      <c r="B390" s="6" t="str">
        <f t="shared" si="98"/>
        <v>WORLD MA</v>
      </c>
      <c r="C390" s="7">
        <v>45877</v>
      </c>
      <c r="D390" s="7">
        <v>46059</v>
      </c>
      <c r="E390" s="8">
        <v>4</v>
      </c>
      <c r="F390" s="6" t="str">
        <f>"200727842"</f>
        <v>200727842</v>
      </c>
      <c r="G390" s="6" t="str">
        <f>"F330312855000000"</f>
        <v>F330312855000000</v>
      </c>
      <c r="H390" s="6" t="str">
        <f>"PLA 3128 - 550 g/m²"</f>
        <v>PLA 3128 - 550 g/m²</v>
      </c>
      <c r="I390" s="6" t="str">
        <f>"202009"</f>
        <v>202009</v>
      </c>
      <c r="J390" s="6" t="str">
        <f>"AZUL 2009"</f>
        <v>AZUL 2009</v>
      </c>
      <c r="K390" s="6" t="str">
        <f>"1004"</f>
        <v>1004</v>
      </c>
      <c r="L390" s="6" t="str">
        <f>"Toalhas"</f>
        <v>Toalhas</v>
      </c>
      <c r="M390" s="6" t="str">
        <f>"41x71"</f>
        <v>41x71</v>
      </c>
      <c r="N390" s="6" t="str">
        <f t="shared" si="99"/>
        <v xml:space="preserve"> </v>
      </c>
      <c r="O390" s="8">
        <v>588</v>
      </c>
      <c r="P390" s="7">
        <v>46013</v>
      </c>
      <c r="R390" s="8">
        <v>3032</v>
      </c>
      <c r="S390" s="7">
        <v>46021</v>
      </c>
      <c r="U390" s="8">
        <v>624</v>
      </c>
      <c r="V390" s="7">
        <v>46029</v>
      </c>
      <c r="X390" s="8">
        <v>0</v>
      </c>
      <c r="Z390" s="8">
        <v>624</v>
      </c>
      <c r="AA390" s="7">
        <v>46041</v>
      </c>
      <c r="AC390" s="8">
        <v>588</v>
      </c>
      <c r="AE390" s="7">
        <v>46043</v>
      </c>
      <c r="AF390" s="8">
        <v>588</v>
      </c>
      <c r="AH390" s="7">
        <v>46041</v>
      </c>
      <c r="AN390" s="8">
        <v>588</v>
      </c>
      <c r="AO390" s="8">
        <v>0</v>
      </c>
    </row>
    <row r="391" spans="1:41" x14ac:dyDescent="0.25">
      <c r="A391" s="6" t="str">
        <f>"521-2025000524"</f>
        <v>521-2025000524</v>
      </c>
      <c r="B391" s="6" t="str">
        <f t="shared" si="98"/>
        <v>WORLD MA</v>
      </c>
      <c r="C391" s="7">
        <v>45877</v>
      </c>
      <c r="D391" s="7">
        <v>46073</v>
      </c>
      <c r="E391" s="8">
        <v>1</v>
      </c>
      <c r="F391" s="6" t="str">
        <f>"400727842"</f>
        <v>400727842</v>
      </c>
      <c r="G391" s="6" t="str">
        <f>"F310629555000000"</f>
        <v>F310629555000000</v>
      </c>
      <c r="H391" s="6" t="str">
        <f>"PLAR 6295 FD - 550 g"</f>
        <v>PLAR 6295 FD - 550 g</v>
      </c>
      <c r="I391" s="6" t="str">
        <f>"203402"</f>
        <v>203402</v>
      </c>
      <c r="J391" s="6" t="str">
        <f>"AMARELO 3402"</f>
        <v>AMARELO 3402</v>
      </c>
      <c r="K391" s="6" t="str">
        <f>"1534"</f>
        <v>1534</v>
      </c>
      <c r="L391" s="6" t="str">
        <f>"Toalhões"</f>
        <v>Toalhões</v>
      </c>
      <c r="M391" s="6" t="str">
        <f>"70x137"</f>
        <v>70x137</v>
      </c>
      <c r="N391" s="6" t="str">
        <f t="shared" si="99"/>
        <v xml:space="preserve"> </v>
      </c>
      <c r="O391" s="8">
        <v>480</v>
      </c>
      <c r="P391" s="7">
        <v>46013</v>
      </c>
      <c r="R391" s="8">
        <v>0</v>
      </c>
      <c r="S391" s="7">
        <v>46021</v>
      </c>
      <c r="U391" s="8">
        <v>669</v>
      </c>
      <c r="V391" s="7">
        <v>46029</v>
      </c>
      <c r="X391" s="8">
        <v>0</v>
      </c>
      <c r="Z391" s="8">
        <v>669</v>
      </c>
      <c r="AA391" s="7">
        <v>46041</v>
      </c>
      <c r="AC391" s="8">
        <v>480</v>
      </c>
      <c r="AE391" s="7">
        <v>46043</v>
      </c>
      <c r="AF391" s="8">
        <v>480</v>
      </c>
      <c r="AH391" s="7">
        <v>46041</v>
      </c>
      <c r="AN391" s="8">
        <v>480</v>
      </c>
      <c r="AO391" s="8">
        <v>0</v>
      </c>
    </row>
    <row r="392" spans="1:41" x14ac:dyDescent="0.25">
      <c r="A392" s="6" t="str">
        <f>"521-2025000524"</f>
        <v>521-2025000524</v>
      </c>
      <c r="B392" s="6" t="str">
        <f t="shared" si="98"/>
        <v>WORLD MA</v>
      </c>
      <c r="C392" s="7">
        <v>45877</v>
      </c>
      <c r="D392" s="7">
        <v>46073</v>
      </c>
      <c r="E392" s="8">
        <v>2</v>
      </c>
      <c r="F392" s="6" t="str">
        <f>"400727842"</f>
        <v>400727842</v>
      </c>
      <c r="G392" s="6" t="str">
        <f>"F310629555000000"</f>
        <v>F310629555000000</v>
      </c>
      <c r="H392" s="6" t="str">
        <f>"PLAR 6295 FD - 550 g"</f>
        <v>PLAR 6295 FD - 550 g</v>
      </c>
      <c r="I392" s="6" t="str">
        <f>"203402"</f>
        <v>203402</v>
      </c>
      <c r="J392" s="6" t="str">
        <f>"AMARELO 3402"</f>
        <v>AMARELO 3402</v>
      </c>
      <c r="K392" s="6" t="str">
        <f>"1004"</f>
        <v>1004</v>
      </c>
      <c r="L392" s="6" t="str">
        <f>"Toalhas"</f>
        <v>Toalhas</v>
      </c>
      <c r="M392" s="6" t="str">
        <f>"41x71"</f>
        <v>41x71</v>
      </c>
      <c r="N392" s="6" t="str">
        <f t="shared" si="99"/>
        <v xml:space="preserve"> </v>
      </c>
      <c r="O392" s="8">
        <v>588</v>
      </c>
      <c r="P392" s="7">
        <v>46013</v>
      </c>
      <c r="R392" s="8">
        <v>0</v>
      </c>
      <c r="S392" s="7">
        <v>46021</v>
      </c>
      <c r="U392" s="8">
        <v>748</v>
      </c>
      <c r="V392" s="7">
        <v>46029</v>
      </c>
      <c r="X392" s="8">
        <v>0</v>
      </c>
      <c r="Z392" s="8">
        <v>748</v>
      </c>
      <c r="AA392" s="7">
        <v>46041</v>
      </c>
      <c r="AC392" s="8">
        <v>588</v>
      </c>
      <c r="AE392" s="7">
        <v>46043</v>
      </c>
      <c r="AF392" s="8">
        <v>588</v>
      </c>
      <c r="AH392" s="7">
        <v>46041</v>
      </c>
      <c r="AN392" s="8">
        <v>588</v>
      </c>
      <c r="AO392" s="8">
        <v>0</v>
      </c>
    </row>
    <row r="393" spans="1:41" x14ac:dyDescent="0.25">
      <c r="A393" s="6" t="str">
        <f>"521-2025000524"</f>
        <v>521-2025000524</v>
      </c>
      <c r="B393" s="6" t="str">
        <f t="shared" si="98"/>
        <v>WORLD MA</v>
      </c>
      <c r="C393" s="7">
        <v>45877</v>
      </c>
      <c r="D393" s="7">
        <v>46073</v>
      </c>
      <c r="E393" s="8">
        <v>3</v>
      </c>
      <c r="F393" s="6" t="str">
        <f>"400727842"</f>
        <v>400727842</v>
      </c>
      <c r="G393" s="6" t="str">
        <f t="shared" ref="G393:G399" si="100">"F330312855000000"</f>
        <v>F330312855000000</v>
      </c>
      <c r="H393" s="6" t="str">
        <f t="shared" ref="H393:H399" si="101">"PLA 3128 - 550 g/m²"</f>
        <v>PLA 3128 - 550 g/m²</v>
      </c>
      <c r="I393" s="6" t="str">
        <f t="shared" ref="I393:I399" si="102">"202009"</f>
        <v>202009</v>
      </c>
      <c r="J393" s="6" t="str">
        <f t="shared" ref="J393:J399" si="103">"AZUL 2009"</f>
        <v>AZUL 2009</v>
      </c>
      <c r="K393" s="6" t="str">
        <f>"1004"</f>
        <v>1004</v>
      </c>
      <c r="L393" s="6" t="str">
        <f>"Toalhas"</f>
        <v>Toalhas</v>
      </c>
      <c r="M393" s="6" t="str">
        <f>"41x71"</f>
        <v>41x71</v>
      </c>
      <c r="N393" s="6" t="str">
        <f t="shared" si="99"/>
        <v xml:space="preserve"> </v>
      </c>
      <c r="O393" s="8">
        <v>504</v>
      </c>
      <c r="P393" s="7">
        <v>46013</v>
      </c>
      <c r="R393" s="8">
        <v>0</v>
      </c>
      <c r="S393" s="7">
        <v>46021</v>
      </c>
      <c r="U393" s="8">
        <v>532</v>
      </c>
      <c r="V393" s="7">
        <v>46029</v>
      </c>
      <c r="X393" s="8">
        <v>0</v>
      </c>
      <c r="Z393" s="8">
        <v>532</v>
      </c>
      <c r="AA393" s="7">
        <v>46041</v>
      </c>
      <c r="AC393" s="8">
        <v>504</v>
      </c>
      <c r="AE393" s="7">
        <v>46043</v>
      </c>
      <c r="AF393" s="8">
        <v>504</v>
      </c>
      <c r="AH393" s="7">
        <v>46041</v>
      </c>
      <c r="AN393" s="8">
        <v>504</v>
      </c>
      <c r="AO393" s="8">
        <v>0</v>
      </c>
    </row>
    <row r="394" spans="1:41" x14ac:dyDescent="0.25">
      <c r="A394" s="6" t="str">
        <f>"521-2025000524"</f>
        <v>521-2025000524</v>
      </c>
      <c r="B394" s="6" t="str">
        <f t="shared" si="98"/>
        <v>WORLD MA</v>
      </c>
      <c r="C394" s="7">
        <v>45877</v>
      </c>
      <c r="D394" s="7">
        <v>46073</v>
      </c>
      <c r="E394" s="8">
        <v>4</v>
      </c>
      <c r="F394" s="6" t="str">
        <f>"400727842"</f>
        <v>400727842</v>
      </c>
      <c r="G394" s="6" t="str">
        <f t="shared" si="100"/>
        <v>F330312855000000</v>
      </c>
      <c r="H394" s="6" t="str">
        <f t="shared" si="101"/>
        <v>PLA 3128 - 550 g/m²</v>
      </c>
      <c r="I394" s="6" t="str">
        <f t="shared" si="102"/>
        <v>202009</v>
      </c>
      <c r="J394" s="6" t="str">
        <f t="shared" si="103"/>
        <v>AZUL 2009</v>
      </c>
      <c r="K394" s="6" t="str">
        <f>"1534"</f>
        <v>1534</v>
      </c>
      <c r="L394" s="6" t="str">
        <f>"Toalhões"</f>
        <v>Toalhões</v>
      </c>
      <c r="M394" s="6" t="str">
        <f>"70x137"</f>
        <v>70x137</v>
      </c>
      <c r="N394" s="6" t="str">
        <f t="shared" si="99"/>
        <v xml:space="preserve"> </v>
      </c>
      <c r="O394" s="8">
        <v>368</v>
      </c>
      <c r="P394" s="7">
        <v>46013</v>
      </c>
      <c r="R394" s="8">
        <v>0</v>
      </c>
      <c r="S394" s="7">
        <v>46021</v>
      </c>
      <c r="U394" s="8">
        <v>390</v>
      </c>
      <c r="V394" s="7">
        <v>46029</v>
      </c>
      <c r="X394" s="8">
        <v>0</v>
      </c>
      <c r="Z394" s="8">
        <v>390</v>
      </c>
      <c r="AA394" s="7">
        <v>46041</v>
      </c>
      <c r="AC394" s="8">
        <v>368</v>
      </c>
      <c r="AE394" s="7">
        <v>46043</v>
      </c>
      <c r="AF394" s="8">
        <v>368</v>
      </c>
      <c r="AH394" s="7">
        <v>46041</v>
      </c>
      <c r="AN394" s="8">
        <v>368</v>
      </c>
      <c r="AO394" s="8">
        <v>0</v>
      </c>
    </row>
    <row r="395" spans="1:41" x14ac:dyDescent="0.25">
      <c r="A395" s="6" t="str">
        <f>"521-2025000525"</f>
        <v>521-2025000525</v>
      </c>
      <c r="B395" s="6" t="str">
        <f t="shared" si="98"/>
        <v>WORLD MA</v>
      </c>
      <c r="C395" s="7">
        <v>45877</v>
      </c>
      <c r="D395" s="7">
        <v>46041</v>
      </c>
      <c r="E395" s="8">
        <v>3</v>
      </c>
      <c r="F395" s="6" t="str">
        <f>"200728550"</f>
        <v>200728550</v>
      </c>
      <c r="G395" s="6" t="str">
        <f t="shared" si="100"/>
        <v>F330312855000000</v>
      </c>
      <c r="H395" s="6" t="str">
        <f t="shared" si="101"/>
        <v>PLA 3128 - 550 g/m²</v>
      </c>
      <c r="I395" s="6" t="str">
        <f t="shared" si="102"/>
        <v>202009</v>
      </c>
      <c r="J395" s="6" t="str">
        <f t="shared" si="103"/>
        <v>AZUL 2009</v>
      </c>
      <c r="K395" s="6" t="str">
        <f>"1004"</f>
        <v>1004</v>
      </c>
      <c r="L395" s="6" t="str">
        <f>"Toalhas"</f>
        <v>Toalhas</v>
      </c>
      <c r="M395" s="6" t="str">
        <f>"41x71"</f>
        <v>41x71</v>
      </c>
      <c r="N395" s="6" t="str">
        <f t="shared" si="99"/>
        <v xml:space="preserve"> </v>
      </c>
      <c r="O395" s="8">
        <v>882</v>
      </c>
      <c r="P395" s="7">
        <v>46006</v>
      </c>
      <c r="R395" s="8">
        <v>0</v>
      </c>
      <c r="S395" s="7">
        <v>46009</v>
      </c>
      <c r="U395" s="8">
        <v>936</v>
      </c>
      <c r="V395" s="7">
        <v>46014</v>
      </c>
      <c r="X395" s="8">
        <v>0</v>
      </c>
      <c r="Z395" s="8">
        <v>936</v>
      </c>
      <c r="AA395" s="7">
        <v>46027</v>
      </c>
      <c r="AC395" s="8">
        <v>882</v>
      </c>
      <c r="AE395" s="7">
        <v>46029</v>
      </c>
      <c r="AF395" s="8">
        <v>882</v>
      </c>
      <c r="AH395" s="7">
        <v>46041</v>
      </c>
      <c r="AN395" s="8">
        <v>882</v>
      </c>
      <c r="AO395" s="8">
        <v>0</v>
      </c>
    </row>
    <row r="396" spans="1:41" x14ac:dyDescent="0.25">
      <c r="A396" s="6" t="str">
        <f>"521-2025000525"</f>
        <v>521-2025000525</v>
      </c>
      <c r="B396" s="6" t="str">
        <f t="shared" si="98"/>
        <v>WORLD MA</v>
      </c>
      <c r="C396" s="7">
        <v>45877</v>
      </c>
      <c r="D396" s="7">
        <v>46041</v>
      </c>
      <c r="E396" s="8">
        <v>4</v>
      </c>
      <c r="F396" s="6" t="str">
        <f>"200728550"</f>
        <v>200728550</v>
      </c>
      <c r="G396" s="6" t="str">
        <f t="shared" si="100"/>
        <v>F330312855000000</v>
      </c>
      <c r="H396" s="6" t="str">
        <f t="shared" si="101"/>
        <v>PLA 3128 - 550 g/m²</v>
      </c>
      <c r="I396" s="6" t="str">
        <f t="shared" si="102"/>
        <v>202009</v>
      </c>
      <c r="J396" s="6" t="str">
        <f t="shared" si="103"/>
        <v>AZUL 2009</v>
      </c>
      <c r="K396" s="6" t="str">
        <f>"1534"</f>
        <v>1534</v>
      </c>
      <c r="L396" s="6" t="str">
        <f>"Toalhões"</f>
        <v>Toalhões</v>
      </c>
      <c r="M396" s="6" t="str">
        <f>"70x137"</f>
        <v>70x137</v>
      </c>
      <c r="N396" s="6" t="str">
        <f t="shared" si="99"/>
        <v xml:space="preserve"> </v>
      </c>
      <c r="O396" s="8">
        <v>480</v>
      </c>
      <c r="P396" s="7">
        <v>46006</v>
      </c>
      <c r="R396" s="8">
        <v>0</v>
      </c>
      <c r="S396" s="7">
        <v>46009</v>
      </c>
      <c r="U396" s="8">
        <v>510</v>
      </c>
      <c r="V396" s="7">
        <v>46014</v>
      </c>
      <c r="X396" s="8">
        <v>0</v>
      </c>
      <c r="Z396" s="8">
        <v>510</v>
      </c>
      <c r="AA396" s="7">
        <v>46027</v>
      </c>
      <c r="AC396" s="8">
        <v>480</v>
      </c>
      <c r="AE396" s="7">
        <v>46029</v>
      </c>
      <c r="AF396" s="8">
        <v>480</v>
      </c>
      <c r="AH396" s="7">
        <v>46041</v>
      </c>
      <c r="AN396" s="8">
        <v>480</v>
      </c>
      <c r="AO396" s="8">
        <v>0</v>
      </c>
    </row>
    <row r="397" spans="1:41" x14ac:dyDescent="0.25">
      <c r="A397" s="6" t="str">
        <f>"521-2025000526"</f>
        <v>521-2025000526</v>
      </c>
      <c r="B397" s="6" t="str">
        <f t="shared" si="98"/>
        <v>WORLD MA</v>
      </c>
      <c r="C397" s="7">
        <v>45877</v>
      </c>
      <c r="D397" s="7">
        <v>46059</v>
      </c>
      <c r="E397" s="8">
        <v>3</v>
      </c>
      <c r="F397" s="6" t="str">
        <f>"400728550"</f>
        <v>400728550</v>
      </c>
      <c r="G397" s="6" t="str">
        <f t="shared" si="100"/>
        <v>F330312855000000</v>
      </c>
      <c r="H397" s="6" t="str">
        <f t="shared" si="101"/>
        <v>PLA 3128 - 550 g/m²</v>
      </c>
      <c r="I397" s="6" t="str">
        <f t="shared" si="102"/>
        <v>202009</v>
      </c>
      <c r="J397" s="6" t="str">
        <f t="shared" si="103"/>
        <v>AZUL 2009</v>
      </c>
      <c r="K397" s="6" t="str">
        <f>"1004"</f>
        <v>1004</v>
      </c>
      <c r="L397" s="6" t="str">
        <f>"Toalhas"</f>
        <v>Toalhas</v>
      </c>
      <c r="M397" s="6" t="str">
        <f>"41x71"</f>
        <v>41x71</v>
      </c>
      <c r="N397" s="6" t="str">
        <f t="shared" si="99"/>
        <v xml:space="preserve"> </v>
      </c>
      <c r="O397" s="8">
        <v>672</v>
      </c>
      <c r="P397" s="7">
        <v>46013</v>
      </c>
      <c r="R397" s="8">
        <v>0</v>
      </c>
      <c r="S397" s="7">
        <v>46020</v>
      </c>
      <c r="U397" s="8">
        <v>712</v>
      </c>
      <c r="V397" s="7">
        <v>46027</v>
      </c>
      <c r="X397" s="8">
        <v>0</v>
      </c>
      <c r="Z397" s="8">
        <v>712</v>
      </c>
      <c r="AA397" s="7">
        <v>46037</v>
      </c>
      <c r="AC397" s="8">
        <v>672</v>
      </c>
      <c r="AE397" s="7">
        <v>46041</v>
      </c>
      <c r="AF397" s="8">
        <v>672</v>
      </c>
      <c r="AH397" s="7">
        <v>46041</v>
      </c>
      <c r="AN397" s="8">
        <v>672</v>
      </c>
      <c r="AO397" s="8">
        <v>0</v>
      </c>
    </row>
    <row r="398" spans="1:41" x14ac:dyDescent="0.25">
      <c r="A398" s="6" t="str">
        <f>"521-2025000526"</f>
        <v>521-2025000526</v>
      </c>
      <c r="B398" s="6" t="str">
        <f t="shared" si="98"/>
        <v>WORLD MA</v>
      </c>
      <c r="C398" s="7">
        <v>45877</v>
      </c>
      <c r="D398" s="7">
        <v>46059</v>
      </c>
      <c r="E398" s="8">
        <v>4</v>
      </c>
      <c r="F398" s="6" t="str">
        <f>"400728550"</f>
        <v>400728550</v>
      </c>
      <c r="G398" s="6" t="str">
        <f t="shared" si="100"/>
        <v>F330312855000000</v>
      </c>
      <c r="H398" s="6" t="str">
        <f t="shared" si="101"/>
        <v>PLA 3128 - 550 g/m²</v>
      </c>
      <c r="I398" s="6" t="str">
        <f t="shared" si="102"/>
        <v>202009</v>
      </c>
      <c r="J398" s="6" t="str">
        <f t="shared" si="103"/>
        <v>AZUL 2009</v>
      </c>
      <c r="K398" s="6" t="str">
        <f>"1534"</f>
        <v>1534</v>
      </c>
      <c r="L398" s="6" t="str">
        <f>"Toalhões"</f>
        <v>Toalhões</v>
      </c>
      <c r="M398" s="6" t="str">
        <f>"70x137"</f>
        <v>70x137</v>
      </c>
      <c r="N398" s="6" t="str">
        <f t="shared" si="99"/>
        <v xml:space="preserve"> </v>
      </c>
      <c r="O398" s="8">
        <v>384</v>
      </c>
      <c r="P398" s="7">
        <v>46013</v>
      </c>
      <c r="R398" s="8">
        <v>0</v>
      </c>
      <c r="S398" s="7">
        <v>46020</v>
      </c>
      <c r="U398" s="8">
        <v>408</v>
      </c>
      <c r="V398" s="7">
        <v>46027</v>
      </c>
      <c r="X398" s="8">
        <v>0</v>
      </c>
      <c r="Z398" s="8">
        <v>408</v>
      </c>
      <c r="AA398" s="7">
        <v>46037</v>
      </c>
      <c r="AC398" s="8">
        <v>384</v>
      </c>
      <c r="AE398" s="7">
        <v>46041</v>
      </c>
      <c r="AF398" s="8">
        <v>384</v>
      </c>
      <c r="AH398" s="7">
        <v>46041</v>
      </c>
      <c r="AN398" s="8">
        <v>384</v>
      </c>
      <c r="AO398" s="8">
        <v>0</v>
      </c>
    </row>
    <row r="399" spans="1:41" x14ac:dyDescent="0.25">
      <c r="A399" s="6" t="str">
        <f>"521-2025000527"</f>
        <v>521-2025000527</v>
      </c>
      <c r="B399" s="6" t="str">
        <f t="shared" si="98"/>
        <v>WORLD MA</v>
      </c>
      <c r="C399" s="7">
        <v>45877</v>
      </c>
      <c r="D399" s="7">
        <v>46055</v>
      </c>
      <c r="E399" s="8">
        <v>3</v>
      </c>
      <c r="F399" s="6" t="str">
        <f>"200727809"</f>
        <v>200727809</v>
      </c>
      <c r="G399" s="6" t="str">
        <f t="shared" si="100"/>
        <v>F330312855000000</v>
      </c>
      <c r="H399" s="6" t="str">
        <f t="shared" si="101"/>
        <v>PLA 3128 - 550 g/m²</v>
      </c>
      <c r="I399" s="6" t="str">
        <f t="shared" si="102"/>
        <v>202009</v>
      </c>
      <c r="J399" s="6" t="str">
        <f t="shared" si="103"/>
        <v>AZUL 2009</v>
      </c>
      <c r="K399" s="6" t="str">
        <f>"1004"</f>
        <v>1004</v>
      </c>
      <c r="L399" s="6" t="str">
        <f>"Toalhas"</f>
        <v>Toalhas</v>
      </c>
      <c r="M399" s="6" t="str">
        <f>"41x71"</f>
        <v>41x71</v>
      </c>
      <c r="N399" s="6" t="str">
        <f t="shared" si="99"/>
        <v xml:space="preserve"> </v>
      </c>
      <c r="O399" s="8">
        <v>294</v>
      </c>
      <c r="P399" s="7">
        <v>46027</v>
      </c>
      <c r="R399" s="8">
        <v>0</v>
      </c>
      <c r="S399" s="7">
        <v>46030</v>
      </c>
      <c r="U399" s="8">
        <v>356</v>
      </c>
      <c r="V399" s="7">
        <v>46035</v>
      </c>
      <c r="X399" s="8">
        <v>0</v>
      </c>
      <c r="Z399" s="8">
        <v>356</v>
      </c>
      <c r="AA399" s="7">
        <v>46045</v>
      </c>
      <c r="AC399" s="8">
        <v>0</v>
      </c>
      <c r="AE399" s="7">
        <v>46049</v>
      </c>
      <c r="AF399" s="8">
        <v>0</v>
      </c>
      <c r="AH399" s="7">
        <v>46055</v>
      </c>
      <c r="AN399" s="8">
        <v>0</v>
      </c>
      <c r="AO399" s="8">
        <v>294</v>
      </c>
    </row>
    <row r="400" spans="1:41" x14ac:dyDescent="0.25">
      <c r="A400" s="6" t="str">
        <f>"521-2025000527"</f>
        <v>521-2025000527</v>
      </c>
      <c r="B400" s="6" t="str">
        <f t="shared" si="98"/>
        <v>WORLD MA</v>
      </c>
      <c r="C400" s="7">
        <v>45877</v>
      </c>
      <c r="D400" s="7">
        <v>46055</v>
      </c>
      <c r="E400" s="8">
        <v>4</v>
      </c>
      <c r="F400" s="6" t="str">
        <f>"200727809"</f>
        <v>200727809</v>
      </c>
      <c r="G400" s="6" t="str">
        <f>"F310629555000000"</f>
        <v>F310629555000000</v>
      </c>
      <c r="H400" s="6" t="str">
        <f>"PLAR 6295 FD - 550 g"</f>
        <v>PLAR 6295 FD - 550 g</v>
      </c>
      <c r="I400" s="6" t="str">
        <f>"203402"</f>
        <v>203402</v>
      </c>
      <c r="J400" s="6" t="str">
        <f>"AMARELO 3402"</f>
        <v>AMARELO 3402</v>
      </c>
      <c r="K400" s="6" t="str">
        <f>"1004"</f>
        <v>1004</v>
      </c>
      <c r="L400" s="6" t="str">
        <f>"Toalhas"</f>
        <v>Toalhas</v>
      </c>
      <c r="M400" s="6" t="str">
        <f>"41x71"</f>
        <v>41x71</v>
      </c>
      <c r="N400" s="6" t="str">
        <f t="shared" si="99"/>
        <v xml:space="preserve"> </v>
      </c>
      <c r="O400" s="8">
        <v>294</v>
      </c>
      <c r="P400" s="7">
        <v>46027</v>
      </c>
      <c r="R400" s="8">
        <v>0</v>
      </c>
      <c r="S400" s="7">
        <v>46030</v>
      </c>
      <c r="U400" s="8">
        <v>316</v>
      </c>
      <c r="V400" s="7">
        <v>46035</v>
      </c>
      <c r="X400" s="8">
        <v>0</v>
      </c>
      <c r="Z400" s="8">
        <v>316</v>
      </c>
      <c r="AA400" s="7">
        <v>46045</v>
      </c>
      <c r="AC400" s="8">
        <v>0</v>
      </c>
      <c r="AE400" s="7">
        <v>46049</v>
      </c>
      <c r="AF400" s="8">
        <v>0</v>
      </c>
      <c r="AH400" s="7">
        <v>46055</v>
      </c>
      <c r="AN400" s="8">
        <v>0</v>
      </c>
      <c r="AO400" s="8">
        <v>294</v>
      </c>
    </row>
    <row r="401" spans="1:41" x14ac:dyDescent="0.25">
      <c r="A401" s="6" t="str">
        <f>"521-2025000528"</f>
        <v>521-2025000528</v>
      </c>
      <c r="B401" s="6" t="str">
        <f t="shared" si="98"/>
        <v>WORLD MA</v>
      </c>
      <c r="C401" s="7">
        <v>45877</v>
      </c>
      <c r="D401" s="7">
        <v>46072</v>
      </c>
      <c r="E401" s="8">
        <v>3</v>
      </c>
      <c r="F401" s="6" t="str">
        <f>"400727809"</f>
        <v>400727809</v>
      </c>
      <c r="G401" s="6" t="str">
        <f>"F330312855000000"</f>
        <v>F330312855000000</v>
      </c>
      <c r="H401" s="6" t="str">
        <f>"PLA 3128 - 550 g/m²"</f>
        <v>PLA 3128 - 550 g/m²</v>
      </c>
      <c r="I401" s="6" t="str">
        <f>"202009"</f>
        <v>202009</v>
      </c>
      <c r="J401" s="6" t="str">
        <f>"AZUL 2009"</f>
        <v>AZUL 2009</v>
      </c>
      <c r="K401" s="6" t="str">
        <f>"1004"</f>
        <v>1004</v>
      </c>
      <c r="L401" s="6" t="str">
        <f>"Toalhas"</f>
        <v>Toalhas</v>
      </c>
      <c r="M401" s="6" t="str">
        <f>"41x71"</f>
        <v>41x71</v>
      </c>
      <c r="N401" s="6" t="str">
        <f t="shared" si="99"/>
        <v xml:space="preserve"> </v>
      </c>
      <c r="O401" s="8">
        <v>168</v>
      </c>
      <c r="P401" s="7">
        <v>46013</v>
      </c>
      <c r="R401" s="8">
        <v>0</v>
      </c>
      <c r="S401" s="7">
        <v>46020</v>
      </c>
      <c r="U401" s="8">
        <v>180</v>
      </c>
      <c r="V401" s="7">
        <v>46027</v>
      </c>
      <c r="X401" s="8">
        <v>0</v>
      </c>
      <c r="Z401" s="8">
        <v>180</v>
      </c>
      <c r="AA401" s="7">
        <v>46037</v>
      </c>
      <c r="AC401" s="8">
        <v>168</v>
      </c>
      <c r="AE401" s="7">
        <v>46041</v>
      </c>
      <c r="AF401" s="8">
        <v>168</v>
      </c>
      <c r="AH401" s="7">
        <v>46041</v>
      </c>
      <c r="AN401" s="8">
        <v>168</v>
      </c>
      <c r="AO401" s="8">
        <v>0</v>
      </c>
    </row>
    <row r="402" spans="1:41" x14ac:dyDescent="0.25">
      <c r="A402" s="6" t="str">
        <f>"521-2025000528"</f>
        <v>521-2025000528</v>
      </c>
      <c r="B402" s="6" t="str">
        <f t="shared" si="98"/>
        <v>WORLD MA</v>
      </c>
      <c r="C402" s="7">
        <v>45877</v>
      </c>
      <c r="D402" s="7">
        <v>46072</v>
      </c>
      <c r="E402" s="8">
        <v>4</v>
      </c>
      <c r="F402" s="6" t="str">
        <f>"400727809"</f>
        <v>400727809</v>
      </c>
      <c r="G402" s="6" t="str">
        <f>"F310629555000000"</f>
        <v>F310629555000000</v>
      </c>
      <c r="H402" s="6" t="str">
        <f>"PLAR 6295 FD - 550 g"</f>
        <v>PLAR 6295 FD - 550 g</v>
      </c>
      <c r="I402" s="6" t="str">
        <f>"203402"</f>
        <v>203402</v>
      </c>
      <c r="J402" s="6" t="str">
        <f>"AMARELO 3402"</f>
        <v>AMARELO 3402</v>
      </c>
      <c r="K402" s="6" t="str">
        <f>"1004"</f>
        <v>1004</v>
      </c>
      <c r="L402" s="6" t="str">
        <f>"Toalhas"</f>
        <v>Toalhas</v>
      </c>
      <c r="M402" s="6" t="str">
        <f>"41x71"</f>
        <v>41x71</v>
      </c>
      <c r="N402" s="6" t="str">
        <f t="shared" si="99"/>
        <v xml:space="preserve"> </v>
      </c>
      <c r="O402" s="8">
        <v>210</v>
      </c>
      <c r="P402" s="7">
        <v>46013</v>
      </c>
      <c r="R402" s="8">
        <v>0</v>
      </c>
      <c r="S402" s="7">
        <v>46020</v>
      </c>
      <c r="U402" s="8">
        <v>220</v>
      </c>
      <c r="V402" s="7">
        <v>46027</v>
      </c>
      <c r="X402" s="8">
        <v>0</v>
      </c>
      <c r="Z402" s="8">
        <v>220</v>
      </c>
      <c r="AA402" s="7">
        <v>46037</v>
      </c>
      <c r="AC402" s="8">
        <v>210</v>
      </c>
      <c r="AE402" s="7">
        <v>46041</v>
      </c>
      <c r="AF402" s="8">
        <v>210</v>
      </c>
      <c r="AH402" s="7">
        <v>46041</v>
      </c>
      <c r="AN402" s="8">
        <v>210</v>
      </c>
      <c r="AO402" s="8">
        <v>0</v>
      </c>
    </row>
    <row r="403" spans="1:41" x14ac:dyDescent="0.25">
      <c r="A403" s="6" t="str">
        <f>"521-2025000537"</f>
        <v>521-2025000537</v>
      </c>
      <c r="B403" s="6" t="str">
        <f>"FRANCOIS"</f>
        <v>FRANCOIS</v>
      </c>
      <c r="C403" s="7">
        <v>45901</v>
      </c>
      <c r="D403" s="7">
        <v>46038</v>
      </c>
      <c r="E403" s="8">
        <v>1</v>
      </c>
      <c r="F403" s="6" t="str">
        <f>"543147"</f>
        <v>543147</v>
      </c>
      <c r="G403" s="6" t="str">
        <f>"J001174224000000"</f>
        <v>J001174224000000</v>
      </c>
      <c r="H403" s="6" t="str">
        <f>"Conj. CZJ 1742 - 240"</f>
        <v>Conj. CZJ 1742 - 240</v>
      </c>
      <c r="I403" s="6" t="str">
        <f>"300001"</f>
        <v>300001</v>
      </c>
      <c r="J403" s="6" t="str">
        <f>"SORTIDAS 1"</f>
        <v>SORTIDAS 1</v>
      </c>
      <c r="K403" s="6" t="str">
        <f>"4015"</f>
        <v>4015</v>
      </c>
      <c r="L403" s="6" t="str">
        <f>"Conjunto/Jogos"</f>
        <v>Conjunto/Jogos</v>
      </c>
      <c r="M403" s="6" t="str">
        <f>"(3 Pcs)"</f>
        <v>(3 Pcs)</v>
      </c>
      <c r="N403" s="6" t="str">
        <f t="shared" si="99"/>
        <v xml:space="preserve"> </v>
      </c>
      <c r="O403" s="8">
        <v>1200</v>
      </c>
      <c r="P403" s="7">
        <v>46021</v>
      </c>
      <c r="R403" s="8">
        <v>3792</v>
      </c>
      <c r="S403" s="7">
        <v>46025</v>
      </c>
      <c r="U403" s="8">
        <v>3792</v>
      </c>
      <c r="V403" s="7">
        <v>46028</v>
      </c>
      <c r="X403" s="8">
        <v>0</v>
      </c>
      <c r="Z403" s="8">
        <v>3792</v>
      </c>
      <c r="AA403" s="7">
        <v>46036</v>
      </c>
      <c r="AC403" s="8">
        <v>1235</v>
      </c>
      <c r="AE403" s="7">
        <v>46038</v>
      </c>
      <c r="AF403" s="8">
        <v>1235</v>
      </c>
      <c r="AH403" s="7">
        <v>46038</v>
      </c>
      <c r="AN403" s="8">
        <v>1235</v>
      </c>
      <c r="AO403" s="8">
        <v>-35</v>
      </c>
    </row>
    <row r="404" spans="1:41" x14ac:dyDescent="0.25">
      <c r="A404" s="6" t="str">
        <f>"521-2025000539"</f>
        <v>521-2025000539</v>
      </c>
      <c r="B404" s="6" t="str">
        <f>"FRANCOIS"</f>
        <v>FRANCOIS</v>
      </c>
      <c r="C404" s="7">
        <v>45901</v>
      </c>
      <c r="D404" s="7">
        <v>46059</v>
      </c>
      <c r="E404" s="8">
        <v>1</v>
      </c>
      <c r="F404" s="6" t="str">
        <f>"543148"</f>
        <v>543148</v>
      </c>
      <c r="G404" s="6" t="str">
        <f>"F300368440000000"</f>
        <v>F300368440000000</v>
      </c>
      <c r="H404" s="6" t="str">
        <f>"PLR 3684 - 400 g/m²"</f>
        <v>PLR 3684 - 400 g/m²</v>
      </c>
      <c r="I404" s="6" t="str">
        <f>"201240"</f>
        <v>201240</v>
      </c>
      <c r="J404" s="6" t="str">
        <f>"BEGE 1240"</f>
        <v>BEGE 1240</v>
      </c>
      <c r="K404" s="6" t="str">
        <f>"1020"</f>
        <v>1020</v>
      </c>
      <c r="L404" s="6" t="str">
        <f>"Toalhas"</f>
        <v>Toalhas</v>
      </c>
      <c r="M404" s="6" t="str">
        <f>"50x90"</f>
        <v>50x90</v>
      </c>
      <c r="N404" s="6" t="str">
        <f t="shared" si="99"/>
        <v xml:space="preserve"> </v>
      </c>
      <c r="O404" s="8">
        <v>1200</v>
      </c>
      <c r="P404" s="7">
        <v>46043</v>
      </c>
      <c r="R404" s="8">
        <v>2556</v>
      </c>
      <c r="S404" s="7">
        <v>46046</v>
      </c>
      <c r="U404" s="8">
        <v>1288</v>
      </c>
      <c r="V404" s="7">
        <v>46049</v>
      </c>
      <c r="X404" s="8">
        <v>0</v>
      </c>
      <c r="Z404" s="8">
        <v>1288</v>
      </c>
      <c r="AA404" s="7">
        <v>46057</v>
      </c>
      <c r="AC404" s="8">
        <v>0</v>
      </c>
      <c r="AE404" s="7">
        <v>46059</v>
      </c>
      <c r="AF404" s="8">
        <v>0</v>
      </c>
      <c r="AH404" s="7">
        <v>46059</v>
      </c>
      <c r="AN404" s="8">
        <v>0</v>
      </c>
      <c r="AO404" s="8">
        <v>1200</v>
      </c>
    </row>
    <row r="405" spans="1:41" x14ac:dyDescent="0.25">
      <c r="A405" s="6" t="str">
        <f>"521-2025000539"</f>
        <v>521-2025000539</v>
      </c>
      <c r="B405" s="6" t="str">
        <f>"FRANCOIS"</f>
        <v>FRANCOIS</v>
      </c>
      <c r="C405" s="7">
        <v>45901</v>
      </c>
      <c r="D405" s="7">
        <v>46059</v>
      </c>
      <c r="E405" s="8">
        <v>2</v>
      </c>
      <c r="F405" s="6" t="str">
        <f>"543148"</f>
        <v>543148</v>
      </c>
      <c r="G405" s="6" t="str">
        <f>"F300368440000000"</f>
        <v>F300368440000000</v>
      </c>
      <c r="H405" s="6" t="str">
        <f>"PLR 3684 - 400 g/m²"</f>
        <v>PLR 3684 - 400 g/m²</v>
      </c>
      <c r="I405" s="6" t="str">
        <f>"201240"</f>
        <v>201240</v>
      </c>
      <c r="J405" s="6" t="str">
        <f>"BEGE 1240"</f>
        <v>BEGE 1240</v>
      </c>
      <c r="K405" s="6" t="str">
        <f>"1532"</f>
        <v>1532</v>
      </c>
      <c r="L405" s="6" t="str">
        <f>"Toalhões"</f>
        <v>Toalhões</v>
      </c>
      <c r="M405" s="6" t="str">
        <f>"70x130"</f>
        <v>70x130</v>
      </c>
      <c r="N405" s="6" t="str">
        <f t="shared" si="99"/>
        <v xml:space="preserve"> </v>
      </c>
      <c r="O405" s="8">
        <v>756</v>
      </c>
      <c r="P405" s="7">
        <v>46043</v>
      </c>
      <c r="R405" s="8">
        <v>1737</v>
      </c>
      <c r="S405" s="7">
        <v>46046</v>
      </c>
      <c r="U405" s="8">
        <v>837</v>
      </c>
      <c r="V405" s="7">
        <v>46049</v>
      </c>
      <c r="X405" s="8">
        <v>0</v>
      </c>
      <c r="Z405" s="8">
        <v>837</v>
      </c>
      <c r="AA405" s="7">
        <v>46057</v>
      </c>
      <c r="AC405" s="8">
        <v>0</v>
      </c>
      <c r="AE405" s="7">
        <v>46059</v>
      </c>
      <c r="AF405" s="8">
        <v>0</v>
      </c>
      <c r="AH405" s="7">
        <v>46059</v>
      </c>
      <c r="AN405" s="8">
        <v>0</v>
      </c>
      <c r="AO405" s="8">
        <v>756</v>
      </c>
    </row>
    <row r="406" spans="1:41" x14ac:dyDescent="0.25">
      <c r="A406" s="6" t="str">
        <f>"521-2025000539"</f>
        <v>521-2025000539</v>
      </c>
      <c r="B406" s="6" t="str">
        <f>"FRANCOIS"</f>
        <v>FRANCOIS</v>
      </c>
      <c r="C406" s="7">
        <v>45901</v>
      </c>
      <c r="D406" s="7">
        <v>46059</v>
      </c>
      <c r="E406" s="8">
        <v>4</v>
      </c>
      <c r="F406" s="6" t="str">
        <f>"543148"</f>
        <v>543148</v>
      </c>
      <c r="G406" s="6" t="str">
        <f>"J300368440000000"</f>
        <v>J300368440000000</v>
      </c>
      <c r="H406" s="6" t="str">
        <f>"Conj. PLR 3684 - 400"</f>
        <v>Conj. PLR 3684 - 400</v>
      </c>
      <c r="I406" s="6" t="str">
        <f>"201240"</f>
        <v>201240</v>
      </c>
      <c r="J406" s="6" t="str">
        <f>"BEGE 1240"</f>
        <v>BEGE 1240</v>
      </c>
      <c r="K406" s="6" t="str">
        <f>"4014"</f>
        <v>4014</v>
      </c>
      <c r="L406" s="6" t="str">
        <f>"Conjunto/Jogos"</f>
        <v>Conjunto/Jogos</v>
      </c>
      <c r="M406" s="6" t="str">
        <f>"(2 Pcs)"</f>
        <v>(2 Pcs)</v>
      </c>
      <c r="N406" s="6" t="str">
        <f t="shared" si="99"/>
        <v xml:space="preserve"> </v>
      </c>
      <c r="O406" s="8">
        <v>1000</v>
      </c>
      <c r="P406" s="7">
        <v>46043</v>
      </c>
      <c r="R406" s="8">
        <v>2220</v>
      </c>
      <c r="S406" s="7">
        <v>46046</v>
      </c>
      <c r="U406" s="8">
        <v>2220</v>
      </c>
      <c r="V406" s="7">
        <v>46049</v>
      </c>
      <c r="X406" s="8">
        <v>0</v>
      </c>
      <c r="Z406" s="8">
        <v>2220</v>
      </c>
      <c r="AA406" s="7">
        <v>46057</v>
      </c>
      <c r="AC406" s="8">
        <v>0</v>
      </c>
      <c r="AE406" s="7">
        <v>46059</v>
      </c>
      <c r="AF406" s="8">
        <v>0</v>
      </c>
      <c r="AH406" s="7">
        <v>46059</v>
      </c>
      <c r="AN406" s="8">
        <v>0</v>
      </c>
      <c r="AO406" s="8">
        <v>1000</v>
      </c>
    </row>
    <row r="407" spans="1:41" x14ac:dyDescent="0.25">
      <c r="A407" s="6" t="str">
        <f>"521-2025000539"</f>
        <v>521-2025000539</v>
      </c>
      <c r="B407" s="6" t="str">
        <f>"FRANCOIS"</f>
        <v>FRANCOIS</v>
      </c>
      <c r="C407" s="7">
        <v>45901</v>
      </c>
      <c r="D407" s="7">
        <v>46059</v>
      </c>
      <c r="E407" s="8">
        <v>5</v>
      </c>
      <c r="F407" s="6" t="str">
        <f>"543148"</f>
        <v>543148</v>
      </c>
      <c r="G407" s="6" t="str">
        <f>"F300368440000000"</f>
        <v>F300368440000000</v>
      </c>
      <c r="H407" s="6" t="str">
        <f>"PLR 3684 - 400 g/m²"</f>
        <v>PLR 3684 - 400 g/m²</v>
      </c>
      <c r="I407" s="6" t="str">
        <f>"201240"</f>
        <v>201240</v>
      </c>
      <c r="J407" s="6" t="str">
        <f>"BEGE 1240"</f>
        <v>BEGE 1240</v>
      </c>
      <c r="K407" s="6" t="str">
        <f>"2020"</f>
        <v>2020</v>
      </c>
      <c r="L407" s="6" t="str">
        <f>"Lençóis"</f>
        <v>Lençóis</v>
      </c>
      <c r="M407" s="6" t="str">
        <f>"100x150"</f>
        <v>100x150</v>
      </c>
      <c r="N407" s="6" t="str">
        <f t="shared" si="99"/>
        <v xml:space="preserve"> </v>
      </c>
      <c r="O407" s="8">
        <v>504</v>
      </c>
      <c r="P407" s="7">
        <v>46043</v>
      </c>
      <c r="R407" s="8">
        <v>548</v>
      </c>
      <c r="S407" s="7">
        <v>46046</v>
      </c>
      <c r="U407" s="8">
        <v>548</v>
      </c>
      <c r="V407" s="7">
        <v>46049</v>
      </c>
      <c r="X407" s="8">
        <v>0</v>
      </c>
      <c r="Z407" s="8">
        <v>548</v>
      </c>
      <c r="AA407" s="7">
        <v>46057</v>
      </c>
      <c r="AC407" s="8">
        <v>0</v>
      </c>
      <c r="AE407" s="7">
        <v>46059</v>
      </c>
      <c r="AF407" s="8">
        <v>0</v>
      </c>
      <c r="AH407" s="7">
        <v>46059</v>
      </c>
      <c r="AN407" s="8">
        <v>0</v>
      </c>
      <c r="AO407" s="8">
        <v>504</v>
      </c>
    </row>
    <row r="408" spans="1:41" x14ac:dyDescent="0.25">
      <c r="A408" s="6" t="str">
        <f t="shared" ref="A408:A413" si="104">"521-2025000561"</f>
        <v>521-2025000561</v>
      </c>
      <c r="B408" s="6" t="str">
        <f t="shared" ref="B408:B413" si="105">"SOCIETE"</f>
        <v>SOCIETE</v>
      </c>
      <c r="C408" s="7">
        <v>45905</v>
      </c>
      <c r="D408" s="7">
        <v>46045</v>
      </c>
      <c r="E408" s="8">
        <v>1</v>
      </c>
      <c r="F408" s="6" t="str">
        <f t="shared" ref="F408:F413" si="106">"1079090"</f>
        <v>1079090</v>
      </c>
      <c r="G408" s="6" t="str">
        <f>"J310633455000000"</f>
        <v>J310633455000000</v>
      </c>
      <c r="H408" s="6" t="str">
        <f>"Conj. PLAR 6334 - 55"</f>
        <v>Conj. PLAR 6334 - 55</v>
      </c>
      <c r="I408" s="6" t="str">
        <f t="shared" ref="I408:I413" si="107">"204831"</f>
        <v>204831</v>
      </c>
      <c r="J408" s="6" t="str">
        <f t="shared" ref="J408:J413" si="108">"AZUL 4831"</f>
        <v>AZUL 4831</v>
      </c>
      <c r="K408" s="6" t="str">
        <f>"4014"</f>
        <v>4014</v>
      </c>
      <c r="L408" s="6" t="str">
        <f>"Conjunto/Jogos"</f>
        <v>Conjunto/Jogos</v>
      </c>
      <c r="M408" s="6" t="str">
        <f>"(2 Pcs)"</f>
        <v>(2 Pcs)</v>
      </c>
      <c r="N408" s="6" t="str">
        <f t="shared" si="99"/>
        <v xml:space="preserve"> </v>
      </c>
      <c r="O408" s="8">
        <v>480</v>
      </c>
      <c r="P408" s="7">
        <v>46029</v>
      </c>
      <c r="R408" s="8">
        <v>0</v>
      </c>
      <c r="S408" s="7">
        <v>46034</v>
      </c>
      <c r="U408" s="8">
        <v>1008</v>
      </c>
      <c r="V408" s="7">
        <v>46037</v>
      </c>
      <c r="X408" s="8">
        <v>0</v>
      </c>
      <c r="Z408" s="8">
        <v>1008</v>
      </c>
      <c r="AA408" s="7">
        <v>46049</v>
      </c>
      <c r="AC408" s="8">
        <v>501</v>
      </c>
      <c r="AE408" s="7">
        <v>46051</v>
      </c>
      <c r="AF408" s="8">
        <v>501</v>
      </c>
      <c r="AH408" s="7">
        <v>46045</v>
      </c>
      <c r="AN408" s="8">
        <v>501</v>
      </c>
      <c r="AO408" s="8">
        <v>-21</v>
      </c>
    </row>
    <row r="409" spans="1:41" x14ac:dyDescent="0.25">
      <c r="A409" s="6" t="str">
        <f t="shared" si="104"/>
        <v>521-2025000561</v>
      </c>
      <c r="B409" s="6" t="str">
        <f t="shared" si="105"/>
        <v>SOCIETE</v>
      </c>
      <c r="C409" s="7">
        <v>45905</v>
      </c>
      <c r="D409" s="7">
        <v>46045</v>
      </c>
      <c r="E409" s="8">
        <v>2</v>
      </c>
      <c r="F409" s="6" t="str">
        <f t="shared" si="106"/>
        <v>1079090</v>
      </c>
      <c r="G409" s="6" t="str">
        <f>"F310633455000000"</f>
        <v>F310633455000000</v>
      </c>
      <c r="H409" s="6" t="str">
        <f>"PLAR 6334 - 550 g/m²"</f>
        <v>PLAR 6334 - 550 g/m²</v>
      </c>
      <c r="I409" s="6" t="str">
        <f t="shared" si="107"/>
        <v>204831</v>
      </c>
      <c r="J409" s="6" t="str">
        <f t="shared" si="108"/>
        <v>AZUL 4831</v>
      </c>
      <c r="K409" s="6" t="str">
        <f>"0520"</f>
        <v>0520</v>
      </c>
      <c r="L409" s="6" t="str">
        <f>"Toalhetes"</f>
        <v>Toalhetes</v>
      </c>
      <c r="M409" s="6" t="str">
        <f>"30x50"</f>
        <v>30x50</v>
      </c>
      <c r="N409" s="6" t="str">
        <f t="shared" si="99"/>
        <v xml:space="preserve"> </v>
      </c>
      <c r="O409" s="8">
        <v>640</v>
      </c>
      <c r="P409" s="7">
        <v>46029</v>
      </c>
      <c r="R409" s="8">
        <v>0</v>
      </c>
      <c r="S409" s="7">
        <v>46034</v>
      </c>
      <c r="U409" s="8">
        <v>624</v>
      </c>
      <c r="V409" s="7">
        <v>46037</v>
      </c>
      <c r="X409" s="8">
        <v>0</v>
      </c>
      <c r="Z409" s="8">
        <v>0</v>
      </c>
      <c r="AA409" s="7">
        <v>46049</v>
      </c>
      <c r="AC409" s="8">
        <v>276</v>
      </c>
      <c r="AE409" s="7">
        <v>46051</v>
      </c>
      <c r="AF409" s="8">
        <v>276</v>
      </c>
      <c r="AH409" s="7">
        <v>46045</v>
      </c>
      <c r="AN409" s="8">
        <v>276</v>
      </c>
      <c r="AO409" s="8">
        <v>364</v>
      </c>
    </row>
    <row r="410" spans="1:41" x14ac:dyDescent="0.25">
      <c r="A410" s="6" t="str">
        <f t="shared" si="104"/>
        <v>521-2025000561</v>
      </c>
      <c r="B410" s="6" t="str">
        <f t="shared" si="105"/>
        <v>SOCIETE</v>
      </c>
      <c r="C410" s="7">
        <v>45905</v>
      </c>
      <c r="D410" s="7">
        <v>46045</v>
      </c>
      <c r="E410" s="8">
        <v>3</v>
      </c>
      <c r="F410" s="6" t="str">
        <f t="shared" si="106"/>
        <v>1079090</v>
      </c>
      <c r="G410" s="6" t="str">
        <f>"F310633455000000"</f>
        <v>F310633455000000</v>
      </c>
      <c r="H410" s="6" t="str">
        <f>"PLAR 6334 - 550 g/m²"</f>
        <v>PLAR 6334 - 550 g/m²</v>
      </c>
      <c r="I410" s="6" t="str">
        <f t="shared" si="107"/>
        <v>204831</v>
      </c>
      <c r="J410" s="6" t="str">
        <f t="shared" si="108"/>
        <v>AZUL 4831</v>
      </c>
      <c r="K410" s="6" t="str">
        <f>"1024"</f>
        <v>1024</v>
      </c>
      <c r="L410" s="6" t="str">
        <f>"Toalhas"</f>
        <v>Toalhas</v>
      </c>
      <c r="M410" s="6" t="str">
        <f>"50x100"</f>
        <v>50x100</v>
      </c>
      <c r="N410" s="6" t="str">
        <f t="shared" si="99"/>
        <v xml:space="preserve"> </v>
      </c>
      <c r="O410" s="8">
        <v>720</v>
      </c>
      <c r="P410" s="7">
        <v>46029</v>
      </c>
      <c r="R410" s="8">
        <v>0</v>
      </c>
      <c r="S410" s="7">
        <v>46034</v>
      </c>
      <c r="U410" s="8">
        <v>776</v>
      </c>
      <c r="V410" s="7">
        <v>46037</v>
      </c>
      <c r="X410" s="8">
        <v>0</v>
      </c>
      <c r="Z410" s="8">
        <v>776</v>
      </c>
      <c r="AA410" s="7">
        <v>46049</v>
      </c>
      <c r="AC410" s="8">
        <v>743</v>
      </c>
      <c r="AE410" s="7">
        <v>46051</v>
      </c>
      <c r="AF410" s="8">
        <v>743</v>
      </c>
      <c r="AH410" s="7">
        <v>46045</v>
      </c>
      <c r="AN410" s="8">
        <v>743</v>
      </c>
      <c r="AO410" s="8">
        <v>-23</v>
      </c>
    </row>
    <row r="411" spans="1:41" x14ac:dyDescent="0.25">
      <c r="A411" s="6" t="str">
        <f t="shared" si="104"/>
        <v>521-2025000561</v>
      </c>
      <c r="B411" s="6" t="str">
        <f t="shared" si="105"/>
        <v>SOCIETE</v>
      </c>
      <c r="C411" s="7">
        <v>45905</v>
      </c>
      <c r="D411" s="7">
        <v>46045</v>
      </c>
      <c r="E411" s="8">
        <v>4</v>
      </c>
      <c r="F411" s="6" t="str">
        <f t="shared" si="106"/>
        <v>1079090</v>
      </c>
      <c r="G411" s="6" t="str">
        <f>"F310633455000000"</f>
        <v>F310633455000000</v>
      </c>
      <c r="H411" s="6" t="str">
        <f>"PLAR 6334 - 550 g/m²"</f>
        <v>PLAR 6334 - 550 g/m²</v>
      </c>
      <c r="I411" s="6" t="str">
        <f t="shared" si="107"/>
        <v>204831</v>
      </c>
      <c r="J411" s="6" t="str">
        <f t="shared" si="108"/>
        <v>AZUL 4831</v>
      </c>
      <c r="K411" s="6" t="str">
        <f>"1535"</f>
        <v>1535</v>
      </c>
      <c r="L411" s="6" t="str">
        <f>"Toalhões"</f>
        <v>Toalhões</v>
      </c>
      <c r="M411" s="6" t="str">
        <f>"70x140"</f>
        <v>70x140</v>
      </c>
      <c r="N411" s="6" t="str">
        <f t="shared" si="99"/>
        <v xml:space="preserve"> </v>
      </c>
      <c r="O411" s="8">
        <v>400</v>
      </c>
      <c r="P411" s="7">
        <v>46029</v>
      </c>
      <c r="R411" s="8">
        <v>0</v>
      </c>
      <c r="S411" s="7">
        <v>46034</v>
      </c>
      <c r="U411" s="8">
        <v>462</v>
      </c>
      <c r="V411" s="7">
        <v>46037</v>
      </c>
      <c r="X411" s="8">
        <v>0</v>
      </c>
      <c r="Z411" s="8">
        <v>462</v>
      </c>
      <c r="AA411" s="7">
        <v>46049</v>
      </c>
      <c r="AC411" s="8">
        <v>406</v>
      </c>
      <c r="AE411" s="7">
        <v>46051</v>
      </c>
      <c r="AF411" s="8">
        <v>406</v>
      </c>
      <c r="AH411" s="7">
        <v>46045</v>
      </c>
      <c r="AN411" s="8">
        <v>391</v>
      </c>
      <c r="AO411" s="8">
        <v>9</v>
      </c>
    </row>
    <row r="412" spans="1:41" x14ac:dyDescent="0.25">
      <c r="A412" s="6" t="str">
        <f t="shared" si="104"/>
        <v>521-2025000561</v>
      </c>
      <c r="B412" s="6" t="str">
        <f t="shared" si="105"/>
        <v>SOCIETE</v>
      </c>
      <c r="C412" s="7">
        <v>45905</v>
      </c>
      <c r="D412" s="7">
        <v>46045</v>
      </c>
      <c r="E412" s="8">
        <v>5</v>
      </c>
      <c r="F412" s="6" t="str">
        <f t="shared" si="106"/>
        <v>1079090</v>
      </c>
      <c r="G412" s="6" t="str">
        <f>"F310633455000000"</f>
        <v>F310633455000000</v>
      </c>
      <c r="H412" s="6" t="str">
        <f>"PLAR 6334 - 550 g/m²"</f>
        <v>PLAR 6334 - 550 g/m²</v>
      </c>
      <c r="I412" s="6" t="str">
        <f t="shared" si="107"/>
        <v>204831</v>
      </c>
      <c r="J412" s="6" t="str">
        <f t="shared" si="108"/>
        <v>AZUL 4831</v>
      </c>
      <c r="K412" s="6" t="str">
        <f>"2020"</f>
        <v>2020</v>
      </c>
      <c r="L412" s="6" t="str">
        <f>"Lençóis"</f>
        <v>Lençóis</v>
      </c>
      <c r="M412" s="6" t="str">
        <f>"100x150"</f>
        <v>100x150</v>
      </c>
      <c r="N412" s="6" t="str">
        <f t="shared" si="99"/>
        <v xml:space="preserve"> </v>
      </c>
      <c r="O412" s="8">
        <v>225</v>
      </c>
      <c r="P412" s="7">
        <v>46029</v>
      </c>
      <c r="R412" s="8">
        <v>0</v>
      </c>
      <c r="S412" s="7">
        <v>46034</v>
      </c>
      <c r="U412" s="8">
        <v>234</v>
      </c>
      <c r="V412" s="7">
        <v>46037</v>
      </c>
      <c r="X412" s="8">
        <v>0</v>
      </c>
      <c r="Z412" s="8">
        <v>234</v>
      </c>
      <c r="AA412" s="7">
        <v>46049</v>
      </c>
      <c r="AC412" s="8">
        <v>231</v>
      </c>
      <c r="AE412" s="7">
        <v>46051</v>
      </c>
      <c r="AF412" s="8">
        <v>231</v>
      </c>
      <c r="AH412" s="7">
        <v>46045</v>
      </c>
      <c r="AN412" s="8">
        <v>231</v>
      </c>
      <c r="AO412" s="8">
        <v>-6</v>
      </c>
    </row>
    <row r="413" spans="1:41" x14ac:dyDescent="0.25">
      <c r="A413" s="6" t="str">
        <f t="shared" si="104"/>
        <v>521-2025000561</v>
      </c>
      <c r="B413" s="6" t="str">
        <f t="shared" si="105"/>
        <v>SOCIETE</v>
      </c>
      <c r="C413" s="7">
        <v>45905</v>
      </c>
      <c r="D413" s="7">
        <v>46045</v>
      </c>
      <c r="E413" s="8">
        <v>6</v>
      </c>
      <c r="F413" s="6" t="str">
        <f t="shared" si="106"/>
        <v>1079090</v>
      </c>
      <c r="G413" s="6" t="str">
        <f>"F310633495000000"</f>
        <v>F310633495000000</v>
      </c>
      <c r="H413" s="6" t="str">
        <f>"PLAR 6334 TA - 950 g"</f>
        <v>PLAR 6334 TA - 950 g</v>
      </c>
      <c r="I413" s="6" t="str">
        <f t="shared" si="107"/>
        <v>204831</v>
      </c>
      <c r="J413" s="6" t="str">
        <f t="shared" si="108"/>
        <v>AZUL 4831</v>
      </c>
      <c r="K413" s="6" t="str">
        <f>"3020"</f>
        <v>3020</v>
      </c>
      <c r="L413" s="6" t="str">
        <f>"Tapetes"</f>
        <v>Tapetes</v>
      </c>
      <c r="M413" s="6" t="str">
        <f>"50x80"</f>
        <v>50x80</v>
      </c>
      <c r="N413" s="6" t="str">
        <f t="shared" si="99"/>
        <v xml:space="preserve"> </v>
      </c>
      <c r="O413" s="8">
        <v>648</v>
      </c>
      <c r="P413" s="7">
        <v>46029</v>
      </c>
      <c r="R413" s="8">
        <v>0</v>
      </c>
      <c r="S413" s="7">
        <v>46034</v>
      </c>
      <c r="U413" s="8">
        <v>656</v>
      </c>
      <c r="V413" s="7">
        <v>46037</v>
      </c>
      <c r="X413" s="8">
        <v>0</v>
      </c>
      <c r="Z413" s="8">
        <v>656</v>
      </c>
      <c r="AA413" s="7">
        <v>46049</v>
      </c>
      <c r="AC413" s="8">
        <v>633</v>
      </c>
      <c r="AE413" s="7">
        <v>46051</v>
      </c>
      <c r="AF413" s="8">
        <v>633</v>
      </c>
      <c r="AH413" s="7">
        <v>46045</v>
      </c>
      <c r="AN413" s="8">
        <v>633</v>
      </c>
      <c r="AO413" s="8">
        <v>15</v>
      </c>
    </row>
    <row r="414" spans="1:41" x14ac:dyDescent="0.25">
      <c r="A414" s="6" t="str">
        <f>"521-2025000566"</f>
        <v>521-2025000566</v>
      </c>
      <c r="B414" s="6" t="str">
        <f t="shared" ref="B414:B422" si="109">"SA CINQ"</f>
        <v>SA CINQ</v>
      </c>
      <c r="C414" s="7">
        <v>45909</v>
      </c>
      <c r="D414" s="7">
        <v>46038</v>
      </c>
      <c r="E414" s="8">
        <v>3</v>
      </c>
      <c r="F414" s="6" t="str">
        <f t="shared" ref="F414:F422" si="110">" "</f>
        <v xml:space="preserve"> </v>
      </c>
      <c r="G414" s="6" t="str">
        <f>"F310606850000000"</f>
        <v>F310606850000000</v>
      </c>
      <c r="H414" s="6" t="str">
        <f>"PLAR 6068 - 500 g/m²"</f>
        <v>PLAR 6068 - 500 g/m²</v>
      </c>
      <c r="I414" s="6" t="str">
        <f>"204808"</f>
        <v>204808</v>
      </c>
      <c r="J414" s="6" t="str">
        <f>"AZUL 4808"</f>
        <v>AZUL 4808</v>
      </c>
      <c r="K414" s="6" t="str">
        <f>"2030"</f>
        <v>2030</v>
      </c>
      <c r="L414" s="6" t="str">
        <f>"Lençóis"</f>
        <v>Lençóis</v>
      </c>
      <c r="M414" s="6" t="str">
        <f>"100x180"</f>
        <v>100x180</v>
      </c>
      <c r="N414" s="6" t="str">
        <f t="shared" si="99"/>
        <v xml:space="preserve"> </v>
      </c>
      <c r="O414" s="8">
        <v>350</v>
      </c>
      <c r="P414" s="7">
        <v>45995</v>
      </c>
      <c r="R414" s="8">
        <v>380</v>
      </c>
      <c r="S414" s="7">
        <v>46001</v>
      </c>
      <c r="U414" s="8">
        <v>380</v>
      </c>
      <c r="V414" s="7">
        <v>46006</v>
      </c>
      <c r="X414" s="8">
        <v>0</v>
      </c>
      <c r="Z414" s="8">
        <v>380</v>
      </c>
      <c r="AA414" s="7">
        <v>46021</v>
      </c>
      <c r="AC414" s="8">
        <v>204</v>
      </c>
      <c r="AE414" s="7">
        <v>46049</v>
      </c>
      <c r="AF414" s="8">
        <v>204</v>
      </c>
      <c r="AH414" s="7">
        <v>46038</v>
      </c>
      <c r="AI414" s="7">
        <v>46045</v>
      </c>
      <c r="AN414" s="8">
        <v>0</v>
      </c>
      <c r="AO414" s="8">
        <v>350</v>
      </c>
    </row>
    <row r="415" spans="1:41" x14ac:dyDescent="0.25">
      <c r="A415" s="6" t="str">
        <f t="shared" ref="A415:A420" si="111">"521-2025000567"</f>
        <v>521-2025000567</v>
      </c>
      <c r="B415" s="6" t="str">
        <f t="shared" si="109"/>
        <v>SA CINQ</v>
      </c>
      <c r="C415" s="7">
        <v>45909</v>
      </c>
      <c r="D415" s="7">
        <v>46038</v>
      </c>
      <c r="E415" s="8">
        <v>1</v>
      </c>
      <c r="F415" s="6" t="str">
        <f t="shared" si="110"/>
        <v xml:space="preserve"> </v>
      </c>
      <c r="G415" s="6" t="str">
        <f t="shared" ref="G415:G420" si="112">"F120349755000000"</f>
        <v>F120349755000000</v>
      </c>
      <c r="H415" s="6" t="str">
        <f t="shared" ref="H415:H420" si="113">"FAJA 3497 C/ Franja"</f>
        <v>FAJA 3497 C/ Franja</v>
      </c>
      <c r="I415" s="6" t="str">
        <f>"1"</f>
        <v>1</v>
      </c>
      <c r="J415" s="6" t="str">
        <f>"BRANCO"</f>
        <v>BRANCO</v>
      </c>
      <c r="K415" s="6" t="str">
        <f>"1044"</f>
        <v>1044</v>
      </c>
      <c r="L415" s="6" t="str">
        <f>"Toalhas"</f>
        <v>Toalhas</v>
      </c>
      <c r="M415" s="6" t="str">
        <f>"50x100+6"</f>
        <v>50x100+6</v>
      </c>
      <c r="N415" s="6" t="str">
        <f t="shared" si="99"/>
        <v xml:space="preserve"> </v>
      </c>
      <c r="O415" s="8">
        <v>300</v>
      </c>
      <c r="P415" s="7">
        <v>45985</v>
      </c>
      <c r="R415" s="8">
        <v>0</v>
      </c>
      <c r="S415" s="7">
        <v>45988</v>
      </c>
      <c r="U415" s="8">
        <v>352</v>
      </c>
      <c r="V415" s="7">
        <v>46001</v>
      </c>
      <c r="X415" s="8">
        <v>0</v>
      </c>
      <c r="Z415" s="8">
        <v>352</v>
      </c>
      <c r="AA415" s="7">
        <v>46020</v>
      </c>
      <c r="AC415" s="8">
        <v>200</v>
      </c>
      <c r="AE415" s="7">
        <v>46049</v>
      </c>
      <c r="AF415" s="8">
        <v>200</v>
      </c>
      <c r="AH415" s="7">
        <v>46038</v>
      </c>
      <c r="AI415" s="7">
        <v>46044</v>
      </c>
      <c r="AN415" s="8">
        <v>0</v>
      </c>
      <c r="AO415" s="8">
        <v>300</v>
      </c>
    </row>
    <row r="416" spans="1:41" x14ac:dyDescent="0.25">
      <c r="A416" s="6" t="str">
        <f t="shared" si="111"/>
        <v>521-2025000567</v>
      </c>
      <c r="B416" s="6" t="str">
        <f t="shared" si="109"/>
        <v>SA CINQ</v>
      </c>
      <c r="C416" s="7">
        <v>45909</v>
      </c>
      <c r="D416" s="7">
        <v>46038</v>
      </c>
      <c r="E416" s="8">
        <v>2</v>
      </c>
      <c r="F416" s="6" t="str">
        <f t="shared" si="110"/>
        <v xml:space="preserve"> </v>
      </c>
      <c r="G416" s="6" t="str">
        <f t="shared" si="112"/>
        <v>F120349755000000</v>
      </c>
      <c r="H416" s="6" t="str">
        <f t="shared" si="113"/>
        <v>FAJA 3497 C/ Franja</v>
      </c>
      <c r="I416" s="6" t="str">
        <f>"5944"</f>
        <v>5944</v>
      </c>
      <c r="J416" s="6" t="str">
        <f>"AZUL 5944"</f>
        <v>AZUL 5944</v>
      </c>
      <c r="K416" s="6" t="str">
        <f>"1044"</f>
        <v>1044</v>
      </c>
      <c r="L416" s="6" t="str">
        <f>"Toalhas"</f>
        <v>Toalhas</v>
      </c>
      <c r="M416" s="6" t="str">
        <f>"50x100+6"</f>
        <v>50x100+6</v>
      </c>
      <c r="N416" s="6" t="str">
        <f t="shared" si="99"/>
        <v xml:space="preserve"> </v>
      </c>
      <c r="O416" s="8">
        <v>300</v>
      </c>
      <c r="P416" s="7">
        <v>45985</v>
      </c>
      <c r="R416" s="8">
        <v>1008</v>
      </c>
      <c r="S416" s="7">
        <v>45988</v>
      </c>
      <c r="U416" s="8">
        <v>328</v>
      </c>
      <c r="V416" s="7">
        <v>46001</v>
      </c>
      <c r="X416" s="8">
        <v>0</v>
      </c>
      <c r="Z416" s="8">
        <v>328</v>
      </c>
      <c r="AA416" s="7">
        <v>46020</v>
      </c>
      <c r="AC416" s="8">
        <v>280</v>
      </c>
      <c r="AE416" s="7">
        <v>46049</v>
      </c>
      <c r="AF416" s="8">
        <v>280</v>
      </c>
      <c r="AH416" s="7">
        <v>46038</v>
      </c>
      <c r="AI416" s="7">
        <v>46044</v>
      </c>
      <c r="AN416" s="8">
        <v>0</v>
      </c>
      <c r="AO416" s="8">
        <v>300</v>
      </c>
    </row>
    <row r="417" spans="1:41" x14ac:dyDescent="0.25">
      <c r="A417" s="6" t="str">
        <f t="shared" si="111"/>
        <v>521-2025000567</v>
      </c>
      <c r="B417" s="6" t="str">
        <f t="shared" si="109"/>
        <v>SA CINQ</v>
      </c>
      <c r="C417" s="7">
        <v>45909</v>
      </c>
      <c r="D417" s="7">
        <v>46038</v>
      </c>
      <c r="E417" s="8">
        <v>3</v>
      </c>
      <c r="F417" s="6" t="str">
        <f t="shared" si="110"/>
        <v xml:space="preserve"> </v>
      </c>
      <c r="G417" s="6" t="str">
        <f t="shared" si="112"/>
        <v>F120349755000000</v>
      </c>
      <c r="H417" s="6" t="str">
        <f t="shared" si="113"/>
        <v>FAJA 3497 C/ Franja</v>
      </c>
      <c r="I417" s="6" t="str">
        <f>"5945"</f>
        <v>5945</v>
      </c>
      <c r="J417" s="6" t="str">
        <f>"ROSA 5945"</f>
        <v>ROSA 5945</v>
      </c>
      <c r="K417" s="6" t="str">
        <f>"1044"</f>
        <v>1044</v>
      </c>
      <c r="L417" s="6" t="str">
        <f>"Toalhas"</f>
        <v>Toalhas</v>
      </c>
      <c r="M417" s="6" t="str">
        <f>"50x100+6"</f>
        <v>50x100+6</v>
      </c>
      <c r="N417" s="6" t="str">
        <f t="shared" si="99"/>
        <v xml:space="preserve"> </v>
      </c>
      <c r="O417" s="8">
        <v>300</v>
      </c>
      <c r="P417" s="7">
        <v>45985</v>
      </c>
      <c r="R417" s="8">
        <v>0</v>
      </c>
      <c r="S417" s="7">
        <v>45988</v>
      </c>
      <c r="U417" s="8">
        <v>328</v>
      </c>
      <c r="V417" s="7">
        <v>46001</v>
      </c>
      <c r="X417" s="8">
        <v>0</v>
      </c>
      <c r="Z417" s="8">
        <v>328</v>
      </c>
      <c r="AA417" s="7">
        <v>46020</v>
      </c>
      <c r="AC417" s="8">
        <v>280</v>
      </c>
      <c r="AE417" s="7">
        <v>46049</v>
      </c>
      <c r="AF417" s="8">
        <v>280</v>
      </c>
      <c r="AH417" s="7">
        <v>46038</v>
      </c>
      <c r="AI417" s="7">
        <v>46044</v>
      </c>
      <c r="AN417" s="8">
        <v>0</v>
      </c>
      <c r="AO417" s="8">
        <v>300</v>
      </c>
    </row>
    <row r="418" spans="1:41" x14ac:dyDescent="0.25">
      <c r="A418" s="6" t="str">
        <f t="shared" si="111"/>
        <v>521-2025000567</v>
      </c>
      <c r="B418" s="6" t="str">
        <f t="shared" si="109"/>
        <v>SA CINQ</v>
      </c>
      <c r="C418" s="7">
        <v>45909</v>
      </c>
      <c r="D418" s="7">
        <v>46038</v>
      </c>
      <c r="E418" s="8">
        <v>4</v>
      </c>
      <c r="F418" s="6" t="str">
        <f t="shared" si="110"/>
        <v xml:space="preserve"> </v>
      </c>
      <c r="G418" s="6" t="str">
        <f t="shared" si="112"/>
        <v>F120349755000000</v>
      </c>
      <c r="H418" s="6" t="str">
        <f t="shared" si="113"/>
        <v>FAJA 3497 C/ Franja</v>
      </c>
      <c r="I418" s="6" t="str">
        <f>"1"</f>
        <v>1</v>
      </c>
      <c r="J418" s="6" t="str">
        <f>"BRANCO"</f>
        <v>BRANCO</v>
      </c>
      <c r="K418" s="6" t="str">
        <f>"2076"</f>
        <v>2076</v>
      </c>
      <c r="L418" s="6" t="str">
        <f>"Lençóis"</f>
        <v>Lençóis</v>
      </c>
      <c r="M418" s="6" t="str">
        <f>"100x150+6"</f>
        <v>100x150+6</v>
      </c>
      <c r="N418" s="6" t="str">
        <f t="shared" si="99"/>
        <v xml:space="preserve"> </v>
      </c>
      <c r="O418" s="8">
        <v>300</v>
      </c>
      <c r="P418" s="7">
        <v>45985</v>
      </c>
      <c r="R418" s="8">
        <v>0</v>
      </c>
      <c r="S418" s="7">
        <v>45988</v>
      </c>
      <c r="U418" s="8">
        <v>348</v>
      </c>
      <c r="V418" s="7">
        <v>46001</v>
      </c>
      <c r="X418" s="8">
        <v>0</v>
      </c>
      <c r="Z418" s="8">
        <v>348</v>
      </c>
      <c r="AA418" s="7">
        <v>46020</v>
      </c>
      <c r="AC418" s="8">
        <v>28</v>
      </c>
      <c r="AE418" s="7">
        <v>46049</v>
      </c>
      <c r="AF418" s="8">
        <v>28</v>
      </c>
      <c r="AH418" s="7">
        <v>46038</v>
      </c>
      <c r="AI418" s="7">
        <v>46044</v>
      </c>
      <c r="AN418" s="8">
        <v>0</v>
      </c>
      <c r="AO418" s="8">
        <v>300</v>
      </c>
    </row>
    <row r="419" spans="1:41" x14ac:dyDescent="0.25">
      <c r="A419" s="6" t="str">
        <f t="shared" si="111"/>
        <v>521-2025000567</v>
      </c>
      <c r="B419" s="6" t="str">
        <f t="shared" si="109"/>
        <v>SA CINQ</v>
      </c>
      <c r="C419" s="7">
        <v>45909</v>
      </c>
      <c r="D419" s="7">
        <v>46038</v>
      </c>
      <c r="E419" s="8">
        <v>5</v>
      </c>
      <c r="F419" s="6" t="str">
        <f t="shared" si="110"/>
        <v xml:space="preserve"> </v>
      </c>
      <c r="G419" s="6" t="str">
        <f t="shared" si="112"/>
        <v>F120349755000000</v>
      </c>
      <c r="H419" s="6" t="str">
        <f t="shared" si="113"/>
        <v>FAJA 3497 C/ Franja</v>
      </c>
      <c r="I419" s="6" t="str">
        <f>"5944"</f>
        <v>5944</v>
      </c>
      <c r="J419" s="6" t="str">
        <f>"AZUL 5944"</f>
        <v>AZUL 5944</v>
      </c>
      <c r="K419" s="6" t="str">
        <f>"2076"</f>
        <v>2076</v>
      </c>
      <c r="L419" s="6" t="str">
        <f>"Lençóis"</f>
        <v>Lençóis</v>
      </c>
      <c r="M419" s="6" t="str">
        <f>"100x150+6"</f>
        <v>100x150+6</v>
      </c>
      <c r="N419" s="6" t="str">
        <f t="shared" si="99"/>
        <v xml:space="preserve"> </v>
      </c>
      <c r="O419" s="8">
        <v>300</v>
      </c>
      <c r="P419" s="7">
        <v>45985</v>
      </c>
      <c r="R419" s="8">
        <v>0</v>
      </c>
      <c r="S419" s="7">
        <v>45988</v>
      </c>
      <c r="U419" s="8">
        <v>330</v>
      </c>
      <c r="V419" s="7">
        <v>46001</v>
      </c>
      <c r="X419" s="8">
        <v>0</v>
      </c>
      <c r="Z419" s="8">
        <v>330</v>
      </c>
      <c r="AA419" s="7">
        <v>46020</v>
      </c>
      <c r="AC419" s="8">
        <v>294</v>
      </c>
      <c r="AE419" s="7">
        <v>46049</v>
      </c>
      <c r="AF419" s="8">
        <v>294</v>
      </c>
      <c r="AH419" s="7">
        <v>46038</v>
      </c>
      <c r="AI419" s="7">
        <v>46044</v>
      </c>
      <c r="AN419" s="8">
        <v>0</v>
      </c>
      <c r="AO419" s="8">
        <v>300</v>
      </c>
    </row>
    <row r="420" spans="1:41" x14ac:dyDescent="0.25">
      <c r="A420" s="6" t="str">
        <f t="shared" si="111"/>
        <v>521-2025000567</v>
      </c>
      <c r="B420" s="6" t="str">
        <f t="shared" si="109"/>
        <v>SA CINQ</v>
      </c>
      <c r="C420" s="7">
        <v>45909</v>
      </c>
      <c r="D420" s="7">
        <v>46038</v>
      </c>
      <c r="E420" s="8">
        <v>6</v>
      </c>
      <c r="F420" s="6" t="str">
        <f t="shared" si="110"/>
        <v xml:space="preserve"> </v>
      </c>
      <c r="G420" s="6" t="str">
        <f t="shared" si="112"/>
        <v>F120349755000000</v>
      </c>
      <c r="H420" s="6" t="str">
        <f t="shared" si="113"/>
        <v>FAJA 3497 C/ Franja</v>
      </c>
      <c r="I420" s="6" t="str">
        <f>"5945"</f>
        <v>5945</v>
      </c>
      <c r="J420" s="6" t="str">
        <f>"ROSA 5945"</f>
        <v>ROSA 5945</v>
      </c>
      <c r="K420" s="6" t="str">
        <f>"2076"</f>
        <v>2076</v>
      </c>
      <c r="L420" s="6" t="str">
        <f>"Lençóis"</f>
        <v>Lençóis</v>
      </c>
      <c r="M420" s="6" t="str">
        <f>"100x150+6"</f>
        <v>100x150+6</v>
      </c>
      <c r="N420" s="6" t="str">
        <f t="shared" si="99"/>
        <v xml:space="preserve"> </v>
      </c>
      <c r="O420" s="8">
        <v>300</v>
      </c>
      <c r="P420" s="7">
        <v>45985</v>
      </c>
      <c r="R420" s="8">
        <v>1008</v>
      </c>
      <c r="S420" s="7">
        <v>45988</v>
      </c>
      <c r="U420" s="8">
        <v>330</v>
      </c>
      <c r="V420" s="7">
        <v>46001</v>
      </c>
      <c r="X420" s="8">
        <v>0</v>
      </c>
      <c r="Z420" s="8">
        <v>330</v>
      </c>
      <c r="AA420" s="7">
        <v>46020</v>
      </c>
      <c r="AC420" s="8">
        <v>294</v>
      </c>
      <c r="AE420" s="7">
        <v>46049</v>
      </c>
      <c r="AF420" s="8">
        <v>294</v>
      </c>
      <c r="AH420" s="7">
        <v>46038</v>
      </c>
      <c r="AI420" s="7">
        <v>46044</v>
      </c>
      <c r="AN420" s="8">
        <v>0</v>
      </c>
      <c r="AO420" s="8">
        <v>300</v>
      </c>
    </row>
    <row r="421" spans="1:41" x14ac:dyDescent="0.25">
      <c r="A421" s="6" t="str">
        <f>"521-2025000568"</f>
        <v>521-2025000568</v>
      </c>
      <c r="B421" s="6" t="str">
        <f t="shared" si="109"/>
        <v>SA CINQ</v>
      </c>
      <c r="C421" s="7">
        <v>45909</v>
      </c>
      <c r="D421" s="7">
        <v>46038</v>
      </c>
      <c r="E421" s="8">
        <v>1</v>
      </c>
      <c r="F421" s="6" t="str">
        <f t="shared" si="110"/>
        <v xml:space="preserve"> </v>
      </c>
      <c r="G421" s="6" t="str">
        <f>"F122349355004894"</f>
        <v>F122349355004894</v>
      </c>
      <c r="H421" s="6" t="str">
        <f>"FAJA 3493 PO / 4894"</f>
        <v>FAJA 3493 PO / 4894</v>
      </c>
      <c r="I421" s="6" t="str">
        <f>"5899"</f>
        <v>5899</v>
      </c>
      <c r="J421" s="6" t="str">
        <f>"AZUL 5899"</f>
        <v>AZUL 5899</v>
      </c>
      <c r="K421" s="6" t="str">
        <f>"2030"</f>
        <v>2030</v>
      </c>
      <c r="L421" s="6" t="str">
        <f>"Lençóis"</f>
        <v>Lençóis</v>
      </c>
      <c r="M421" s="6" t="str">
        <f>"100x180"</f>
        <v>100x180</v>
      </c>
      <c r="N421" s="6" t="str">
        <f t="shared" si="99"/>
        <v xml:space="preserve"> </v>
      </c>
      <c r="O421" s="8">
        <v>540</v>
      </c>
      <c r="P421" s="7">
        <v>45988</v>
      </c>
      <c r="R421" s="8">
        <v>610</v>
      </c>
      <c r="S421" s="7">
        <v>45994</v>
      </c>
      <c r="U421" s="8">
        <v>610</v>
      </c>
      <c r="V421" s="7">
        <v>46006</v>
      </c>
      <c r="X421" s="8">
        <v>0</v>
      </c>
      <c r="Z421" s="8">
        <v>610</v>
      </c>
      <c r="AA421" s="7">
        <v>46021</v>
      </c>
      <c r="AC421" s="8">
        <v>0</v>
      </c>
      <c r="AE421" s="7">
        <v>46049</v>
      </c>
      <c r="AF421" s="8">
        <v>0</v>
      </c>
      <c r="AH421" s="7">
        <v>46038</v>
      </c>
      <c r="AI421" s="7">
        <v>46045</v>
      </c>
      <c r="AN421" s="8">
        <v>0</v>
      </c>
      <c r="AO421" s="8">
        <v>540</v>
      </c>
    </row>
    <row r="422" spans="1:41" x14ac:dyDescent="0.25">
      <c r="A422" s="6" t="str">
        <f>"521-2025000568"</f>
        <v>521-2025000568</v>
      </c>
      <c r="B422" s="6" t="str">
        <f t="shared" si="109"/>
        <v>SA CINQ</v>
      </c>
      <c r="C422" s="7">
        <v>45909</v>
      </c>
      <c r="D422" s="7">
        <v>46038</v>
      </c>
      <c r="E422" s="8">
        <v>2</v>
      </c>
      <c r="F422" s="6" t="str">
        <f t="shared" si="110"/>
        <v xml:space="preserve"> </v>
      </c>
      <c r="G422" s="6" t="str">
        <f>"F122349355004894"</f>
        <v>F122349355004894</v>
      </c>
      <c r="H422" s="6" t="str">
        <f>"FAJA 3493 PO / 4894"</f>
        <v>FAJA 3493 PO / 4894</v>
      </c>
      <c r="I422" s="6" t="str">
        <f>"5944"</f>
        <v>5944</v>
      </c>
      <c r="J422" s="6" t="str">
        <f>"AZUL 5944"</f>
        <v>AZUL 5944</v>
      </c>
      <c r="K422" s="6" t="str">
        <f>"2030"</f>
        <v>2030</v>
      </c>
      <c r="L422" s="6" t="str">
        <f>"Lençóis"</f>
        <v>Lençóis</v>
      </c>
      <c r="M422" s="6" t="str">
        <f>"100x180"</f>
        <v>100x180</v>
      </c>
      <c r="N422" s="6" t="str">
        <f t="shared" si="99"/>
        <v xml:space="preserve"> </v>
      </c>
      <c r="O422" s="8">
        <v>300</v>
      </c>
      <c r="P422" s="7">
        <v>45988</v>
      </c>
      <c r="R422" s="8">
        <v>340</v>
      </c>
      <c r="S422" s="7">
        <v>45994</v>
      </c>
      <c r="U422" s="8">
        <v>340</v>
      </c>
      <c r="V422" s="7">
        <v>46006</v>
      </c>
      <c r="X422" s="8">
        <v>0</v>
      </c>
      <c r="Z422" s="8">
        <v>340</v>
      </c>
      <c r="AA422" s="7">
        <v>46021</v>
      </c>
      <c r="AC422" s="8">
        <v>40</v>
      </c>
      <c r="AE422" s="7">
        <v>46049</v>
      </c>
      <c r="AF422" s="8">
        <v>40</v>
      </c>
      <c r="AH422" s="7">
        <v>46038</v>
      </c>
      <c r="AI422" s="7">
        <v>46045</v>
      </c>
      <c r="AN422" s="8">
        <v>0</v>
      </c>
      <c r="AO422" s="8">
        <v>300</v>
      </c>
    </row>
    <row r="423" spans="1:41" x14ac:dyDescent="0.25">
      <c r="A423" s="6" t="str">
        <f>"521-2025000574"</f>
        <v>521-2025000574</v>
      </c>
      <c r="B423" s="6" t="str">
        <f>"WORLD MA"</f>
        <v>WORLD MA</v>
      </c>
      <c r="C423" s="7">
        <v>45910</v>
      </c>
      <c r="D423" s="7">
        <v>46038</v>
      </c>
      <c r="E423" s="8">
        <v>1</v>
      </c>
      <c r="F423" s="6" t="str">
        <f>"PO 200731539"</f>
        <v>PO 200731539</v>
      </c>
      <c r="G423" s="6" t="str">
        <f>"F310615650000000"</f>
        <v>F310615650000000</v>
      </c>
      <c r="H423" s="6" t="str">
        <f>"PLAR 6156 - 500 g/m²"</f>
        <v>PLAR 6156 - 500 g/m²</v>
      </c>
      <c r="I423" s="6" t="str">
        <f>"204017"</f>
        <v>204017</v>
      </c>
      <c r="J423" s="6" t="str">
        <f>"AMARELO 4017"</f>
        <v>AMARELO 4017</v>
      </c>
      <c r="K423" s="6" t="str">
        <f>"1534"</f>
        <v>1534</v>
      </c>
      <c r="L423" s="6" t="str">
        <f>"Toalhões"</f>
        <v>Toalhões</v>
      </c>
      <c r="M423" s="6" t="str">
        <f>"70x137"</f>
        <v>70x137</v>
      </c>
      <c r="N423" s="6" t="str">
        <f t="shared" si="99"/>
        <v xml:space="preserve"> </v>
      </c>
      <c r="O423" s="8">
        <v>992</v>
      </c>
      <c r="P423" s="7">
        <v>46009</v>
      </c>
      <c r="R423" s="8">
        <v>1722</v>
      </c>
      <c r="S423" s="7">
        <v>46014</v>
      </c>
      <c r="U423" s="8">
        <v>1134</v>
      </c>
      <c r="V423" s="7">
        <v>46027</v>
      </c>
      <c r="X423" s="8">
        <v>0</v>
      </c>
      <c r="Z423" s="8">
        <v>1134</v>
      </c>
      <c r="AA423" s="7">
        <v>46037</v>
      </c>
      <c r="AC423" s="8">
        <v>992</v>
      </c>
      <c r="AE423" s="7">
        <v>46041</v>
      </c>
      <c r="AF423" s="8">
        <v>992</v>
      </c>
      <c r="AH423" s="7">
        <v>46038</v>
      </c>
      <c r="AN423" s="8">
        <v>992</v>
      </c>
      <c r="AO423" s="8">
        <v>0</v>
      </c>
    </row>
    <row r="424" spans="1:41" x14ac:dyDescent="0.25">
      <c r="A424" s="6" t="str">
        <f>"521-2025000574"</f>
        <v>521-2025000574</v>
      </c>
      <c r="B424" s="6" t="str">
        <f>"WORLD MA"</f>
        <v>WORLD MA</v>
      </c>
      <c r="C424" s="7">
        <v>45910</v>
      </c>
      <c r="D424" s="7">
        <v>46038</v>
      </c>
      <c r="E424" s="8">
        <v>2</v>
      </c>
      <c r="F424" s="6" t="str">
        <f>"PO 200731539"</f>
        <v>PO 200731539</v>
      </c>
      <c r="G424" s="6" t="str">
        <f>"F310615650000000"</f>
        <v>F310615650000000</v>
      </c>
      <c r="H424" s="6" t="str">
        <f>"PLAR 6156 - 500 g/m²"</f>
        <v>PLAR 6156 - 500 g/m²</v>
      </c>
      <c r="I424" s="6" t="str">
        <f>"204017"</f>
        <v>204017</v>
      </c>
      <c r="J424" s="6" t="str">
        <f>"AMARELO 4017"</f>
        <v>AMARELO 4017</v>
      </c>
      <c r="K424" s="6" t="str">
        <f>"1004"</f>
        <v>1004</v>
      </c>
      <c r="L424" s="6" t="str">
        <f>"Toalhas"</f>
        <v>Toalhas</v>
      </c>
      <c r="M424" s="6" t="str">
        <f>"41x71"</f>
        <v>41x71</v>
      </c>
      <c r="N424" s="6" t="str">
        <f t="shared" si="99"/>
        <v xml:space="preserve"> </v>
      </c>
      <c r="O424" s="8">
        <v>1722</v>
      </c>
      <c r="P424" s="7">
        <v>46009</v>
      </c>
      <c r="R424" s="8">
        <v>3172</v>
      </c>
      <c r="S424" s="7">
        <v>46014</v>
      </c>
      <c r="U424" s="8">
        <v>1992</v>
      </c>
      <c r="V424" s="7">
        <v>46027</v>
      </c>
      <c r="X424" s="8">
        <v>0</v>
      </c>
      <c r="Z424" s="8">
        <v>1992</v>
      </c>
      <c r="AA424" s="7">
        <v>46037</v>
      </c>
      <c r="AC424" s="8">
        <v>1722</v>
      </c>
      <c r="AE424" s="7">
        <v>46041</v>
      </c>
      <c r="AF424" s="8">
        <v>1722</v>
      </c>
      <c r="AH424" s="7">
        <v>46038</v>
      </c>
      <c r="AN424" s="8">
        <v>1722</v>
      </c>
      <c r="AO424" s="8">
        <v>0</v>
      </c>
    </row>
    <row r="425" spans="1:41" x14ac:dyDescent="0.25">
      <c r="A425" s="6" t="str">
        <f>"521-2025000575"</f>
        <v>521-2025000575</v>
      </c>
      <c r="B425" s="6" t="str">
        <f>"WORLD MA"</f>
        <v>WORLD MA</v>
      </c>
      <c r="C425" s="7">
        <v>45910</v>
      </c>
      <c r="D425" s="7">
        <v>46038</v>
      </c>
      <c r="E425" s="8">
        <v>1</v>
      </c>
      <c r="F425" s="6" t="str">
        <f>"PO 400731539"</f>
        <v>PO 400731539</v>
      </c>
      <c r="G425" s="6" t="str">
        <f>"F310615650000000"</f>
        <v>F310615650000000</v>
      </c>
      <c r="H425" s="6" t="str">
        <f>"PLAR 6156 - 500 g/m²"</f>
        <v>PLAR 6156 - 500 g/m²</v>
      </c>
      <c r="I425" s="6" t="str">
        <f>"204017"</f>
        <v>204017</v>
      </c>
      <c r="J425" s="6" t="str">
        <f>"AMARELO 4017"</f>
        <v>AMARELO 4017</v>
      </c>
      <c r="K425" s="6" t="str">
        <f>"1534"</f>
        <v>1534</v>
      </c>
      <c r="L425" s="6" t="str">
        <f>"Toalhões"</f>
        <v>Toalhões</v>
      </c>
      <c r="M425" s="6" t="str">
        <f>"70x137"</f>
        <v>70x137</v>
      </c>
      <c r="N425" s="6" t="str">
        <f t="shared" si="99"/>
        <v xml:space="preserve"> </v>
      </c>
      <c r="O425" s="8">
        <v>832</v>
      </c>
      <c r="P425" s="7">
        <v>46009</v>
      </c>
      <c r="R425" s="8">
        <v>0</v>
      </c>
      <c r="S425" s="7">
        <v>46014</v>
      </c>
      <c r="U425" s="8">
        <v>900</v>
      </c>
      <c r="V425" s="7">
        <v>46021</v>
      </c>
      <c r="X425" s="8">
        <v>0</v>
      </c>
      <c r="Z425" s="8">
        <v>900</v>
      </c>
      <c r="AA425" s="7">
        <v>46030</v>
      </c>
      <c r="AC425" s="8">
        <v>832</v>
      </c>
      <c r="AE425" s="7">
        <v>46032</v>
      </c>
      <c r="AF425" s="8">
        <v>832</v>
      </c>
      <c r="AH425" s="7">
        <v>46038</v>
      </c>
      <c r="AN425" s="8">
        <v>832</v>
      </c>
      <c r="AO425" s="8">
        <v>0</v>
      </c>
    </row>
    <row r="426" spans="1:41" x14ac:dyDescent="0.25">
      <c r="A426" s="6" t="str">
        <f>"521-2025000575"</f>
        <v>521-2025000575</v>
      </c>
      <c r="B426" s="6" t="str">
        <f>"WORLD MA"</f>
        <v>WORLD MA</v>
      </c>
      <c r="C426" s="7">
        <v>45910</v>
      </c>
      <c r="D426" s="7">
        <v>46038</v>
      </c>
      <c r="E426" s="8">
        <v>2</v>
      </c>
      <c r="F426" s="6" t="str">
        <f>"PO 400731539"</f>
        <v>PO 400731539</v>
      </c>
      <c r="G426" s="6" t="str">
        <f>"F310615650000000"</f>
        <v>F310615650000000</v>
      </c>
      <c r="H426" s="6" t="str">
        <f>"PLAR 6156 - 500 g/m²"</f>
        <v>PLAR 6156 - 500 g/m²</v>
      </c>
      <c r="I426" s="6" t="str">
        <f>"204017"</f>
        <v>204017</v>
      </c>
      <c r="J426" s="6" t="str">
        <f>"AMARELO 4017"</f>
        <v>AMARELO 4017</v>
      </c>
      <c r="K426" s="6" t="str">
        <f>"1004"</f>
        <v>1004</v>
      </c>
      <c r="L426" s="6" t="str">
        <f>"Toalhas"</f>
        <v>Toalhas</v>
      </c>
      <c r="M426" s="6" t="str">
        <f>"41x71"</f>
        <v>41x71</v>
      </c>
      <c r="N426" s="6" t="str">
        <f t="shared" si="99"/>
        <v xml:space="preserve"> </v>
      </c>
      <c r="O426" s="8">
        <v>1470</v>
      </c>
      <c r="P426" s="7">
        <v>46009</v>
      </c>
      <c r="R426" s="8">
        <v>0</v>
      </c>
      <c r="S426" s="7">
        <v>46014</v>
      </c>
      <c r="U426" s="8">
        <v>1560</v>
      </c>
      <c r="V426" s="7">
        <v>46021</v>
      </c>
      <c r="X426" s="8">
        <v>0</v>
      </c>
      <c r="Z426" s="8">
        <v>1560</v>
      </c>
      <c r="AA426" s="7">
        <v>46030</v>
      </c>
      <c r="AC426" s="8">
        <v>1470</v>
      </c>
      <c r="AE426" s="7">
        <v>46032</v>
      </c>
      <c r="AF426" s="8">
        <v>1470</v>
      </c>
      <c r="AH426" s="7">
        <v>46038</v>
      </c>
      <c r="AN426" s="8">
        <v>1470</v>
      </c>
      <c r="AO426" s="8">
        <v>0</v>
      </c>
    </row>
    <row r="427" spans="1:41" x14ac:dyDescent="0.25">
      <c r="A427" s="6" t="str">
        <f>"521-2025000604"</f>
        <v>521-2025000604</v>
      </c>
      <c r="B427" s="6" t="str">
        <f>"CARRE BL"</f>
        <v>CARRE BL</v>
      </c>
      <c r="C427" s="7">
        <v>45919</v>
      </c>
      <c r="D427" s="7">
        <v>46087</v>
      </c>
      <c r="E427" s="8">
        <v>1</v>
      </c>
      <c r="F427" s="6" t="str">
        <f>"513359"</f>
        <v>513359</v>
      </c>
      <c r="G427" s="6" t="str">
        <f>"F310630950000000"</f>
        <v>F310630950000000</v>
      </c>
      <c r="H427" s="6" t="str">
        <f>"PLAR 6309 Bio GOTS -"</f>
        <v>PLAR 6309 Bio GOTS -</v>
      </c>
      <c r="I427" s="6" t="str">
        <f>"200525"</f>
        <v>200525</v>
      </c>
      <c r="J427" s="6" t="str">
        <f>"AZUL 525"</f>
        <v>AZUL 525</v>
      </c>
      <c r="K427" s="6" t="str">
        <f>"1520"</f>
        <v>1520</v>
      </c>
      <c r="L427" s="6" t="str">
        <f>"Toalhões"</f>
        <v>Toalhões</v>
      </c>
      <c r="M427" s="6" t="str">
        <f>"70x105"</f>
        <v>70x105</v>
      </c>
      <c r="N427" s="6" t="str">
        <f t="shared" si="99"/>
        <v xml:space="preserve"> </v>
      </c>
      <c r="O427" s="8">
        <v>2200</v>
      </c>
      <c r="P427" s="7">
        <v>46051</v>
      </c>
      <c r="R427" s="8">
        <v>2337</v>
      </c>
      <c r="S427" s="7">
        <v>46056</v>
      </c>
      <c r="U427" s="8">
        <v>0</v>
      </c>
      <c r="V427" s="7">
        <v>46059</v>
      </c>
      <c r="X427" s="8">
        <v>0</v>
      </c>
      <c r="Z427" s="8">
        <v>0</v>
      </c>
      <c r="AA427" s="7">
        <v>46073</v>
      </c>
      <c r="AC427" s="8">
        <v>0</v>
      </c>
      <c r="AE427" s="7">
        <v>46105</v>
      </c>
      <c r="AF427" s="8">
        <v>0</v>
      </c>
      <c r="AH427" s="7">
        <v>46087</v>
      </c>
      <c r="AI427" s="7">
        <v>46101</v>
      </c>
      <c r="AN427" s="8">
        <v>0</v>
      </c>
      <c r="AO427" s="8">
        <v>2200</v>
      </c>
    </row>
    <row r="428" spans="1:41" x14ac:dyDescent="0.25">
      <c r="A428" s="6" t="str">
        <f>"521-2025000604"</f>
        <v>521-2025000604</v>
      </c>
      <c r="B428" s="6" t="str">
        <f>"CARRE BL"</f>
        <v>CARRE BL</v>
      </c>
      <c r="C428" s="7">
        <v>45919</v>
      </c>
      <c r="D428" s="7">
        <v>46087</v>
      </c>
      <c r="E428" s="8">
        <v>4</v>
      </c>
      <c r="F428" s="6" t="str">
        <f>"513359"</f>
        <v>513359</v>
      </c>
      <c r="G428" s="6" t="str">
        <f>"F310631050004011"</f>
        <v>F310631050004011</v>
      </c>
      <c r="H428" s="6" t="str">
        <f>"PLAR 6310 Bio GOTS /"</f>
        <v>PLAR 6310 Bio GOTS /</v>
      </c>
      <c r="I428" s="6" t="str">
        <f>"204037"</f>
        <v>204037</v>
      </c>
      <c r="J428" s="6" t="str">
        <f>"AZUL 4037"</f>
        <v>AZUL 4037</v>
      </c>
      <c r="K428" s="6" t="str">
        <f>"1520"</f>
        <v>1520</v>
      </c>
      <c r="L428" s="6" t="str">
        <f>"Toalhões"</f>
        <v>Toalhões</v>
      </c>
      <c r="M428" s="6" t="str">
        <f>"70x105"</f>
        <v>70x105</v>
      </c>
      <c r="N428" s="6" t="str">
        <f t="shared" si="99"/>
        <v xml:space="preserve"> </v>
      </c>
      <c r="O428" s="8">
        <v>2000</v>
      </c>
      <c r="P428" s="7">
        <v>46051</v>
      </c>
      <c r="R428" s="8">
        <v>2142</v>
      </c>
      <c r="S428" s="7">
        <v>46056</v>
      </c>
      <c r="U428" s="8">
        <v>0</v>
      </c>
      <c r="V428" s="7">
        <v>46059</v>
      </c>
      <c r="X428" s="8">
        <v>0</v>
      </c>
      <c r="Z428" s="8">
        <v>0</v>
      </c>
      <c r="AA428" s="7">
        <v>46073</v>
      </c>
      <c r="AC428" s="8">
        <v>0</v>
      </c>
      <c r="AE428" s="7">
        <v>46105</v>
      </c>
      <c r="AF428" s="8">
        <v>0</v>
      </c>
      <c r="AH428" s="7">
        <v>46087</v>
      </c>
      <c r="AI428" s="7">
        <v>46101</v>
      </c>
      <c r="AN428" s="8">
        <v>0</v>
      </c>
      <c r="AO428" s="8">
        <v>2000</v>
      </c>
    </row>
    <row r="429" spans="1:41" x14ac:dyDescent="0.25">
      <c r="A429" s="6" t="str">
        <f>"521-2025000604"</f>
        <v>521-2025000604</v>
      </c>
      <c r="B429" s="6" t="str">
        <f>"CARRE BL"</f>
        <v>CARRE BL</v>
      </c>
      <c r="C429" s="7">
        <v>45919</v>
      </c>
      <c r="D429" s="7">
        <v>46087</v>
      </c>
      <c r="E429" s="8">
        <v>5</v>
      </c>
      <c r="F429" s="6" t="str">
        <f>"513359"</f>
        <v>513359</v>
      </c>
      <c r="G429" s="6" t="str">
        <f>"F310630950000000"</f>
        <v>F310630950000000</v>
      </c>
      <c r="H429" s="6" t="str">
        <f>"PLAR 6309 Bio GOTS -"</f>
        <v>PLAR 6309 Bio GOTS -</v>
      </c>
      <c r="I429" s="6" t="str">
        <f>"200525"</f>
        <v>200525</v>
      </c>
      <c r="J429" s="6" t="str">
        <f>"AZUL 525"</f>
        <v>AZUL 525</v>
      </c>
      <c r="K429" s="6" t="str">
        <f>"2027"</f>
        <v>2027</v>
      </c>
      <c r="L429" s="6" t="str">
        <f>"Lençóis"</f>
        <v>Lençóis</v>
      </c>
      <c r="M429" s="6" t="str">
        <f>"100x170"</f>
        <v>100x170</v>
      </c>
      <c r="N429" s="6" t="str">
        <f t="shared" si="99"/>
        <v xml:space="preserve"> </v>
      </c>
      <c r="O429" s="8">
        <v>800</v>
      </c>
      <c r="P429" s="7">
        <v>46051</v>
      </c>
      <c r="R429" s="8">
        <v>468</v>
      </c>
      <c r="S429" s="7">
        <v>46056</v>
      </c>
      <c r="U429" s="8">
        <v>0</v>
      </c>
      <c r="V429" s="7">
        <v>46059</v>
      </c>
      <c r="X429" s="8">
        <v>0</v>
      </c>
      <c r="Z429" s="8">
        <v>0</v>
      </c>
      <c r="AA429" s="7">
        <v>46073</v>
      </c>
      <c r="AC429" s="8">
        <v>0</v>
      </c>
      <c r="AE429" s="7">
        <v>46105</v>
      </c>
      <c r="AF429" s="8">
        <v>0</v>
      </c>
      <c r="AH429" s="7">
        <v>46087</v>
      </c>
      <c r="AI429" s="7">
        <v>46101</v>
      </c>
      <c r="AN429" s="8">
        <v>0</v>
      </c>
      <c r="AO429" s="8">
        <v>800</v>
      </c>
    </row>
    <row r="430" spans="1:41" x14ac:dyDescent="0.25">
      <c r="A430" s="6" t="str">
        <f>"521-2025000604"</f>
        <v>521-2025000604</v>
      </c>
      <c r="B430" s="6" t="str">
        <f>"CARRE BL"</f>
        <v>CARRE BL</v>
      </c>
      <c r="C430" s="7">
        <v>45919</v>
      </c>
      <c r="D430" s="7">
        <v>46087</v>
      </c>
      <c r="E430" s="8">
        <v>6</v>
      </c>
      <c r="F430" s="6" t="str">
        <f>"513359"</f>
        <v>513359</v>
      </c>
      <c r="G430" s="6" t="str">
        <f>"F310631050004011"</f>
        <v>F310631050004011</v>
      </c>
      <c r="H430" s="6" t="str">
        <f>"PLAR 6310 Bio GOTS /"</f>
        <v>PLAR 6310 Bio GOTS /</v>
      </c>
      <c r="I430" s="6" t="str">
        <f>"204037"</f>
        <v>204037</v>
      </c>
      <c r="J430" s="6" t="str">
        <f>"AZUL 4037"</f>
        <v>AZUL 4037</v>
      </c>
      <c r="K430" s="6" t="str">
        <f>"2027"</f>
        <v>2027</v>
      </c>
      <c r="L430" s="6" t="str">
        <f>"Lençóis"</f>
        <v>Lençóis</v>
      </c>
      <c r="M430" s="6" t="str">
        <f>"100x170"</f>
        <v>100x170</v>
      </c>
      <c r="N430" s="6" t="str">
        <f t="shared" si="99"/>
        <v xml:space="preserve"> </v>
      </c>
      <c r="O430" s="8">
        <v>800</v>
      </c>
      <c r="P430" s="7">
        <v>46051</v>
      </c>
      <c r="R430" s="8">
        <v>0</v>
      </c>
      <c r="S430" s="7">
        <v>46056</v>
      </c>
      <c r="U430" s="8">
        <v>0</v>
      </c>
      <c r="V430" s="7">
        <v>46059</v>
      </c>
      <c r="X430" s="8">
        <v>0</v>
      </c>
      <c r="Z430" s="8">
        <v>0</v>
      </c>
      <c r="AA430" s="7">
        <v>46073</v>
      </c>
      <c r="AC430" s="8">
        <v>0</v>
      </c>
      <c r="AE430" s="7">
        <v>46105</v>
      </c>
      <c r="AF430" s="8">
        <v>0</v>
      </c>
      <c r="AH430" s="7">
        <v>46087</v>
      </c>
      <c r="AI430" s="7">
        <v>46101</v>
      </c>
      <c r="AN430" s="8">
        <v>0</v>
      </c>
      <c r="AO430" s="8">
        <v>800</v>
      </c>
    </row>
    <row r="431" spans="1:41" x14ac:dyDescent="0.25">
      <c r="A431" s="6" t="str">
        <f>"521-2025000609"</f>
        <v>521-2025000609</v>
      </c>
      <c r="B431" s="6" t="str">
        <f>"CARRE BL"</f>
        <v>CARRE BL</v>
      </c>
      <c r="C431" s="7">
        <v>45922</v>
      </c>
      <c r="D431" s="7">
        <v>46066</v>
      </c>
      <c r="E431" s="8">
        <v>2</v>
      </c>
      <c r="F431" s="6" t="str">
        <f>"513373"</f>
        <v>513373</v>
      </c>
      <c r="G431" s="6" t="str">
        <f>"K120260140024184"</f>
        <v>K120260140024184</v>
      </c>
      <c r="H431" s="6" t="str">
        <f>"KB 2261/Est 240184 -"</f>
        <v>KB 2261/Est 240184 -</v>
      </c>
      <c r="I431" s="6" t="str">
        <f>"4761"</f>
        <v>4761</v>
      </c>
      <c r="J431" s="6" t="str">
        <f>"BRANCO 4761"</f>
        <v>BRANCO 4761</v>
      </c>
      <c r="K431" s="6" t="str">
        <f>"3528"</f>
        <v>3528</v>
      </c>
      <c r="L431" s="6" t="str">
        <f>"Praia"</f>
        <v>Praia</v>
      </c>
      <c r="M431" s="6" t="str">
        <f>"100x170"</f>
        <v>100x170</v>
      </c>
      <c r="N431" s="6" t="str">
        <f t="shared" si="99"/>
        <v xml:space="preserve"> </v>
      </c>
      <c r="O431" s="8">
        <v>2000</v>
      </c>
      <c r="P431" s="7">
        <v>46024</v>
      </c>
      <c r="R431" s="8">
        <v>4720</v>
      </c>
      <c r="S431" s="7">
        <v>46036</v>
      </c>
      <c r="U431" s="8">
        <v>4720</v>
      </c>
      <c r="V431" s="7">
        <v>46034</v>
      </c>
      <c r="X431" s="8">
        <v>0</v>
      </c>
      <c r="Z431" s="8">
        <v>0</v>
      </c>
      <c r="AA431" s="7">
        <v>46045</v>
      </c>
      <c r="AC431" s="8">
        <v>0</v>
      </c>
      <c r="AE431" s="7">
        <v>46086</v>
      </c>
      <c r="AF431" s="8">
        <v>0</v>
      </c>
      <c r="AH431" s="7">
        <v>46066</v>
      </c>
      <c r="AI431" s="7">
        <v>46084</v>
      </c>
      <c r="AN431" s="8">
        <v>0</v>
      </c>
      <c r="AO431" s="8">
        <v>2000</v>
      </c>
    </row>
    <row r="432" spans="1:41" x14ac:dyDescent="0.25">
      <c r="A432" s="6" t="str">
        <f>"521-2025000614"</f>
        <v>521-2025000614</v>
      </c>
      <c r="B432" s="6" t="str">
        <f>"FRANCOIS"</f>
        <v>FRANCOIS</v>
      </c>
      <c r="C432" s="7">
        <v>45924</v>
      </c>
      <c r="D432" s="7">
        <v>46045</v>
      </c>
      <c r="E432" s="8">
        <v>1</v>
      </c>
      <c r="F432" s="6" t="str">
        <f>"543315"</f>
        <v>543315</v>
      </c>
      <c r="G432" s="6" t="str">
        <f>"J300367844000000"</f>
        <v>J300367844000000</v>
      </c>
      <c r="H432" s="6" t="str">
        <f>"Conj. PLR 3678+PLR 3"</f>
        <v>Conj. PLR 3678+PLR 3</v>
      </c>
      <c r="I432" s="6" t="str">
        <f>"300001"</f>
        <v>300001</v>
      </c>
      <c r="J432" s="6" t="str">
        <f>"SORTIDAS 1"</f>
        <v>SORTIDAS 1</v>
      </c>
      <c r="K432" s="6" t="str">
        <f>"4014"</f>
        <v>4014</v>
      </c>
      <c r="L432" s="6" t="str">
        <f>"Conjunto/Jogos"</f>
        <v>Conjunto/Jogos</v>
      </c>
      <c r="M432" s="6" t="str">
        <f>"(2 Pcs)"</f>
        <v>(2 Pcs)</v>
      </c>
      <c r="N432" s="6" t="str">
        <f t="shared" si="99"/>
        <v xml:space="preserve"> </v>
      </c>
      <c r="O432" s="8">
        <v>1200</v>
      </c>
      <c r="P432" s="7">
        <v>46029</v>
      </c>
      <c r="R432" s="8">
        <v>2640</v>
      </c>
      <c r="S432" s="7">
        <v>46032</v>
      </c>
      <c r="U432" s="8">
        <v>2640</v>
      </c>
      <c r="V432" s="7">
        <v>46035</v>
      </c>
      <c r="X432" s="8">
        <v>0</v>
      </c>
      <c r="Z432" s="8">
        <v>2640</v>
      </c>
      <c r="AA432" s="7">
        <v>46043</v>
      </c>
      <c r="AC432" s="8">
        <v>1246</v>
      </c>
      <c r="AE432" s="7">
        <v>46045</v>
      </c>
      <c r="AF432" s="8">
        <v>1246</v>
      </c>
      <c r="AH432" s="7">
        <v>46045</v>
      </c>
      <c r="AN432" s="8">
        <v>1246</v>
      </c>
      <c r="AO432" s="8">
        <v>-46</v>
      </c>
    </row>
    <row r="433" spans="1:41" x14ac:dyDescent="0.25">
      <c r="A433" s="6" t="str">
        <f t="shared" ref="A433:A438" si="114">"521-2025000617"</f>
        <v>521-2025000617</v>
      </c>
      <c r="B433" s="6" t="str">
        <f t="shared" ref="B433:B438" si="115">"TEKLA AP"</f>
        <v>TEKLA AP</v>
      </c>
      <c r="C433" s="7">
        <v>45926</v>
      </c>
      <c r="D433" s="7">
        <v>46368</v>
      </c>
      <c r="E433" s="8">
        <v>1</v>
      </c>
      <c r="F433" s="6" t="str">
        <f t="shared" ref="F433:F438" si="116">"PO10000408"</f>
        <v>PO10000408</v>
      </c>
      <c r="G433" s="6" t="str">
        <f>"F330312755000000"</f>
        <v>F330312755000000</v>
      </c>
      <c r="H433" s="6" t="str">
        <f>"PLA LN 3127 Bio OCS"</f>
        <v>PLA LN 3127 Bio OCS</v>
      </c>
      <c r="I433" s="6" t="str">
        <f>"203044"</f>
        <v>203044</v>
      </c>
      <c r="J433" s="6" t="str">
        <f>"CASTANHO 3044"</f>
        <v>CASTANHO 3044</v>
      </c>
      <c r="K433" s="6" t="str">
        <f>"0320"</f>
        <v>0320</v>
      </c>
      <c r="L433" s="6" t="str">
        <f>"Panos"</f>
        <v>Panos</v>
      </c>
      <c r="M433" s="6" t="str">
        <f>"30x30"</f>
        <v>30x30</v>
      </c>
      <c r="N433" s="6" t="str">
        <f>"5740014960451"</f>
        <v>5740014960451</v>
      </c>
      <c r="O433" s="8">
        <v>950</v>
      </c>
      <c r="P433" s="7">
        <v>45972</v>
      </c>
      <c r="R433" s="8">
        <v>1026</v>
      </c>
      <c r="S433" s="7">
        <v>45975</v>
      </c>
      <c r="U433" s="8">
        <v>1026</v>
      </c>
      <c r="V433" s="7">
        <v>45982</v>
      </c>
      <c r="X433" s="8">
        <v>0</v>
      </c>
      <c r="Z433" s="8">
        <v>1026</v>
      </c>
      <c r="AA433" s="7">
        <v>46000</v>
      </c>
      <c r="AC433" s="8">
        <v>896</v>
      </c>
      <c r="AE433" s="7">
        <v>46003</v>
      </c>
      <c r="AF433" s="8">
        <v>896</v>
      </c>
      <c r="AH433" s="7">
        <v>46031</v>
      </c>
      <c r="AN433" s="8">
        <v>896</v>
      </c>
      <c r="AO433" s="8">
        <v>54</v>
      </c>
    </row>
    <row r="434" spans="1:41" x14ac:dyDescent="0.25">
      <c r="A434" s="6" t="str">
        <f t="shared" si="114"/>
        <v>521-2025000617</v>
      </c>
      <c r="B434" s="6" t="str">
        <f t="shared" si="115"/>
        <v>TEKLA AP</v>
      </c>
      <c r="C434" s="7">
        <v>45926</v>
      </c>
      <c r="D434" s="7">
        <v>46368</v>
      </c>
      <c r="E434" s="8">
        <v>2</v>
      </c>
      <c r="F434" s="6" t="str">
        <f t="shared" si="116"/>
        <v>PO10000408</v>
      </c>
      <c r="G434" s="6" t="str">
        <f>"F330312755000000"</f>
        <v>F330312755000000</v>
      </c>
      <c r="H434" s="6" t="str">
        <f>"PLA LN 3127 Bio OCS"</f>
        <v>PLA LN 3127 Bio OCS</v>
      </c>
      <c r="I434" s="6" t="str">
        <f>"204810"</f>
        <v>204810</v>
      </c>
      <c r="J434" s="6" t="str">
        <f>"AZUL 4810"</f>
        <v>AZUL 4810</v>
      </c>
      <c r="K434" s="6" t="str">
        <f>"0320"</f>
        <v>0320</v>
      </c>
      <c r="L434" s="6" t="str">
        <f>"Panos"</f>
        <v>Panos</v>
      </c>
      <c r="M434" s="6" t="str">
        <f>"30x30"</f>
        <v>30x30</v>
      </c>
      <c r="N434" s="6" t="str">
        <f>"5740014960468"</f>
        <v>5740014960468</v>
      </c>
      <c r="O434" s="8">
        <v>950</v>
      </c>
      <c r="P434" s="7">
        <v>45972</v>
      </c>
      <c r="R434" s="8">
        <v>972</v>
      </c>
      <c r="S434" s="7">
        <v>45975</v>
      </c>
      <c r="U434" s="8">
        <v>972</v>
      </c>
      <c r="V434" s="7">
        <v>45982</v>
      </c>
      <c r="X434" s="8">
        <v>0</v>
      </c>
      <c r="Z434" s="8">
        <v>972</v>
      </c>
      <c r="AA434" s="7">
        <v>46000</v>
      </c>
      <c r="AC434" s="8">
        <v>916</v>
      </c>
      <c r="AE434" s="7">
        <v>46003</v>
      </c>
      <c r="AF434" s="8">
        <v>916</v>
      </c>
      <c r="AH434" s="7">
        <v>46031</v>
      </c>
      <c r="AN434" s="8">
        <v>916</v>
      </c>
      <c r="AO434" s="8">
        <v>34</v>
      </c>
    </row>
    <row r="435" spans="1:41" x14ac:dyDescent="0.25">
      <c r="A435" s="6" t="str">
        <f t="shared" si="114"/>
        <v>521-2025000617</v>
      </c>
      <c r="B435" s="6" t="str">
        <f t="shared" si="115"/>
        <v>TEKLA AP</v>
      </c>
      <c r="C435" s="7">
        <v>45926</v>
      </c>
      <c r="D435" s="7">
        <v>46368</v>
      </c>
      <c r="E435" s="8">
        <v>3</v>
      </c>
      <c r="F435" s="6" t="str">
        <f t="shared" si="116"/>
        <v>PO10000408</v>
      </c>
      <c r="G435" s="6" t="str">
        <f>"F330312755000000"</f>
        <v>F330312755000000</v>
      </c>
      <c r="H435" s="6" t="str">
        <f>"PLA LN 3127 Bio OCS"</f>
        <v>PLA LN 3127 Bio OCS</v>
      </c>
      <c r="I435" s="6" t="str">
        <f>"200596"</f>
        <v>200596</v>
      </c>
      <c r="J435" s="6" t="str">
        <f>"BEGE 596"</f>
        <v>BEGE 596</v>
      </c>
      <c r="K435" s="6" t="str">
        <f>"0320"</f>
        <v>0320</v>
      </c>
      <c r="L435" s="6" t="str">
        <f>"Panos"</f>
        <v>Panos</v>
      </c>
      <c r="M435" s="6" t="str">
        <f>"30x30"</f>
        <v>30x30</v>
      </c>
      <c r="N435" s="6" t="str">
        <f>"5740014960475"</f>
        <v>5740014960475</v>
      </c>
      <c r="O435" s="8">
        <v>950</v>
      </c>
      <c r="P435" s="7">
        <v>45972</v>
      </c>
      <c r="R435" s="8">
        <v>1008</v>
      </c>
      <c r="S435" s="7">
        <v>45975</v>
      </c>
      <c r="U435" s="8">
        <v>1008</v>
      </c>
      <c r="V435" s="7">
        <v>45982</v>
      </c>
      <c r="X435" s="8">
        <v>0</v>
      </c>
      <c r="Z435" s="8">
        <v>1008</v>
      </c>
      <c r="AA435" s="7">
        <v>46000</v>
      </c>
      <c r="AC435" s="8">
        <v>920</v>
      </c>
      <c r="AE435" s="7">
        <v>46003</v>
      </c>
      <c r="AF435" s="8">
        <v>920</v>
      </c>
      <c r="AH435" s="7">
        <v>46031</v>
      </c>
      <c r="AN435" s="8">
        <v>920</v>
      </c>
      <c r="AO435" s="8">
        <v>30</v>
      </c>
    </row>
    <row r="436" spans="1:41" x14ac:dyDescent="0.25">
      <c r="A436" s="6" t="str">
        <f t="shared" si="114"/>
        <v>521-2025000617</v>
      </c>
      <c r="B436" s="6" t="str">
        <f t="shared" si="115"/>
        <v>TEKLA AP</v>
      </c>
      <c r="C436" s="7">
        <v>45926</v>
      </c>
      <c r="D436" s="7">
        <v>46368</v>
      </c>
      <c r="E436" s="8">
        <v>4</v>
      </c>
      <c r="F436" s="6" t="str">
        <f t="shared" si="116"/>
        <v>PO10000408</v>
      </c>
      <c r="G436" s="6" t="str">
        <f>"F330311255000000"</f>
        <v>F330311255000000</v>
      </c>
      <c r="H436" s="6" t="str">
        <f>"PLA LN 3112 Bio OCS"</f>
        <v>PLA LN 3112 Bio OCS</v>
      </c>
      <c r="I436" s="6" t="str">
        <f>"203044"</f>
        <v>203044</v>
      </c>
      <c r="J436" s="6" t="str">
        <f>"CASTANHO 3044"</f>
        <v>CASTANHO 3044</v>
      </c>
      <c r="K436" s="6" t="str">
        <f>"0624"</f>
        <v>0624</v>
      </c>
      <c r="L436" s="6" t="str">
        <f>"Toalhetes"</f>
        <v>Toalhetes</v>
      </c>
      <c r="M436" s="6" t="str">
        <f>"33x110"</f>
        <v>33x110</v>
      </c>
      <c r="N436" s="6" t="str">
        <f>"5740014960482"</f>
        <v>5740014960482</v>
      </c>
      <c r="O436" s="8">
        <v>600</v>
      </c>
      <c r="P436" s="7">
        <v>45972</v>
      </c>
      <c r="R436" s="8">
        <v>642</v>
      </c>
      <c r="S436" s="7">
        <v>45975</v>
      </c>
      <c r="U436" s="8">
        <v>642</v>
      </c>
      <c r="V436" s="7">
        <v>45982</v>
      </c>
      <c r="X436" s="8">
        <v>0</v>
      </c>
      <c r="Z436" s="8">
        <v>642</v>
      </c>
      <c r="AA436" s="7">
        <v>46000</v>
      </c>
      <c r="AC436" s="8">
        <v>521</v>
      </c>
      <c r="AE436" s="7">
        <v>46003</v>
      </c>
      <c r="AF436" s="8">
        <v>521</v>
      </c>
      <c r="AH436" s="7">
        <v>46031</v>
      </c>
      <c r="AN436" s="8">
        <v>521</v>
      </c>
      <c r="AO436" s="8">
        <v>79</v>
      </c>
    </row>
    <row r="437" spans="1:41" x14ac:dyDescent="0.25">
      <c r="A437" s="6" t="str">
        <f t="shared" si="114"/>
        <v>521-2025000617</v>
      </c>
      <c r="B437" s="6" t="str">
        <f t="shared" si="115"/>
        <v>TEKLA AP</v>
      </c>
      <c r="C437" s="7">
        <v>45926</v>
      </c>
      <c r="D437" s="7">
        <v>46368</v>
      </c>
      <c r="E437" s="8">
        <v>5</v>
      </c>
      <c r="F437" s="6" t="str">
        <f t="shared" si="116"/>
        <v>PO10000408</v>
      </c>
      <c r="G437" s="6" t="str">
        <f>"F330311255000000"</f>
        <v>F330311255000000</v>
      </c>
      <c r="H437" s="6" t="str">
        <f>"PLA LN 3112 Bio OCS"</f>
        <v>PLA LN 3112 Bio OCS</v>
      </c>
      <c r="I437" s="6" t="str">
        <f>"204810"</f>
        <v>204810</v>
      </c>
      <c r="J437" s="6" t="str">
        <f>"AZUL 4810"</f>
        <v>AZUL 4810</v>
      </c>
      <c r="K437" s="6" t="str">
        <f>"0624"</f>
        <v>0624</v>
      </c>
      <c r="L437" s="6" t="str">
        <f>"Toalhetes"</f>
        <v>Toalhetes</v>
      </c>
      <c r="M437" s="6" t="str">
        <f>"33x110"</f>
        <v>33x110</v>
      </c>
      <c r="N437" s="6" t="str">
        <f>"5740014960499"</f>
        <v>5740014960499</v>
      </c>
      <c r="O437" s="8">
        <v>600</v>
      </c>
      <c r="P437" s="7">
        <v>45972</v>
      </c>
      <c r="R437" s="8">
        <v>582</v>
      </c>
      <c r="S437" s="7">
        <v>45975</v>
      </c>
      <c r="U437" s="8">
        <v>582</v>
      </c>
      <c r="V437" s="7">
        <v>45982</v>
      </c>
      <c r="X437" s="8">
        <v>0</v>
      </c>
      <c r="Z437" s="8">
        <v>582</v>
      </c>
      <c r="AA437" s="7">
        <v>46000</v>
      </c>
      <c r="AC437" s="8">
        <v>534</v>
      </c>
      <c r="AE437" s="7">
        <v>46003</v>
      </c>
      <c r="AF437" s="8">
        <v>534</v>
      </c>
      <c r="AH437" s="7">
        <v>46031</v>
      </c>
      <c r="AN437" s="8">
        <v>534</v>
      </c>
      <c r="AO437" s="8">
        <v>66</v>
      </c>
    </row>
    <row r="438" spans="1:41" x14ac:dyDescent="0.25">
      <c r="A438" s="6" t="str">
        <f t="shared" si="114"/>
        <v>521-2025000617</v>
      </c>
      <c r="B438" s="6" t="str">
        <f t="shared" si="115"/>
        <v>TEKLA AP</v>
      </c>
      <c r="C438" s="7">
        <v>45926</v>
      </c>
      <c r="D438" s="7">
        <v>46368</v>
      </c>
      <c r="E438" s="8">
        <v>6</v>
      </c>
      <c r="F438" s="6" t="str">
        <f t="shared" si="116"/>
        <v>PO10000408</v>
      </c>
      <c r="G438" s="6" t="str">
        <f>"F330311255000000"</f>
        <v>F330311255000000</v>
      </c>
      <c r="H438" s="6" t="str">
        <f>"PLA LN 3112 Bio OCS"</f>
        <v>PLA LN 3112 Bio OCS</v>
      </c>
      <c r="I438" s="6" t="str">
        <f>"200596"</f>
        <v>200596</v>
      </c>
      <c r="J438" s="6" t="str">
        <f>"BEGE 596"</f>
        <v>BEGE 596</v>
      </c>
      <c r="K438" s="6" t="str">
        <f>"0624"</f>
        <v>0624</v>
      </c>
      <c r="L438" s="6" t="str">
        <f>"Toalhetes"</f>
        <v>Toalhetes</v>
      </c>
      <c r="M438" s="6" t="str">
        <f>"33x110"</f>
        <v>33x110</v>
      </c>
      <c r="N438" s="6" t="str">
        <f>"5740014960505"</f>
        <v>5740014960505</v>
      </c>
      <c r="O438" s="8">
        <v>600</v>
      </c>
      <c r="P438" s="7">
        <v>45972</v>
      </c>
      <c r="R438" s="8">
        <v>660</v>
      </c>
      <c r="S438" s="7">
        <v>45975</v>
      </c>
      <c r="U438" s="8">
        <v>660</v>
      </c>
      <c r="V438" s="7">
        <v>45982</v>
      </c>
      <c r="X438" s="8">
        <v>0</v>
      </c>
      <c r="Z438" s="8">
        <v>660</v>
      </c>
      <c r="AA438" s="7">
        <v>46000</v>
      </c>
      <c r="AC438" s="8">
        <v>492</v>
      </c>
      <c r="AE438" s="7">
        <v>46003</v>
      </c>
      <c r="AF438" s="8">
        <v>492</v>
      </c>
      <c r="AH438" s="7">
        <v>46031</v>
      </c>
      <c r="AN438" s="8">
        <v>492</v>
      </c>
      <c r="AO438" s="8">
        <v>108</v>
      </c>
    </row>
    <row r="439" spans="1:41" x14ac:dyDescent="0.25">
      <c r="A439" s="6" t="str">
        <f t="shared" ref="A439:A459" si="117">"521-2025000623"</f>
        <v>521-2025000623</v>
      </c>
      <c r="B439" s="6" t="str">
        <f t="shared" ref="B439:B459" si="118">"ARMADA R"</f>
        <v>ARMADA R</v>
      </c>
      <c r="C439" s="7">
        <v>45929</v>
      </c>
      <c r="D439" s="7">
        <v>46031</v>
      </c>
      <c r="E439" s="8">
        <v>1</v>
      </c>
      <c r="F439" s="6" t="str">
        <f t="shared" ref="F439:F459" si="119">"251023559"</f>
        <v>251023559</v>
      </c>
      <c r="G439" s="6" t="str">
        <f>"J330309850000000"</f>
        <v>J330309850000000</v>
      </c>
      <c r="H439" s="6" t="str">
        <f>"Conj. PLA 3098 - 500"</f>
        <v>Conj. PLA 3098 - 500</v>
      </c>
      <c r="I439" s="6" t="str">
        <f>"200922"</f>
        <v>200922</v>
      </c>
      <c r="J439" s="6" t="str">
        <f>"AZUL 922"</f>
        <v>AZUL 922</v>
      </c>
      <c r="K439" s="6" t="str">
        <f>"4014"</f>
        <v>4014</v>
      </c>
      <c r="L439" s="6" t="str">
        <f>"Conjunto/Jogos"</f>
        <v>Conjunto/Jogos</v>
      </c>
      <c r="M439" s="6" t="str">
        <f>"(2 Pcs)"</f>
        <v>(2 Pcs)</v>
      </c>
      <c r="N439" s="6" t="str">
        <f>" "</f>
        <v xml:space="preserve"> </v>
      </c>
      <c r="O439" s="8">
        <v>0</v>
      </c>
      <c r="P439" s="7">
        <v>45987</v>
      </c>
      <c r="R439" s="8">
        <v>348</v>
      </c>
      <c r="S439" s="7">
        <v>45993</v>
      </c>
      <c r="U439" s="8">
        <v>0</v>
      </c>
      <c r="V439" s="7">
        <v>46001</v>
      </c>
      <c r="X439" s="8">
        <v>0</v>
      </c>
      <c r="Z439" s="8">
        <v>0</v>
      </c>
      <c r="AA439" s="7">
        <v>46020</v>
      </c>
      <c r="AC439" s="8">
        <v>0</v>
      </c>
      <c r="AE439" s="7">
        <v>46028</v>
      </c>
      <c r="AF439" s="8">
        <v>0</v>
      </c>
      <c r="AH439" s="7">
        <v>46031</v>
      </c>
      <c r="AN439" s="8">
        <v>0</v>
      </c>
      <c r="AO439" s="8">
        <v>0</v>
      </c>
    </row>
    <row r="440" spans="1:41" x14ac:dyDescent="0.25">
      <c r="A440" s="6" t="str">
        <f t="shared" si="117"/>
        <v>521-2025000623</v>
      </c>
      <c r="B440" s="6" t="str">
        <f t="shared" si="118"/>
        <v>ARMADA R</v>
      </c>
      <c r="C440" s="7">
        <v>45929</v>
      </c>
      <c r="D440" s="7">
        <v>46031</v>
      </c>
      <c r="E440" s="8">
        <v>2</v>
      </c>
      <c r="F440" s="6" t="str">
        <f t="shared" si="119"/>
        <v>251023559</v>
      </c>
      <c r="G440" s="6" t="str">
        <f>"J330309850000001"</f>
        <v>J330309850000001</v>
      </c>
      <c r="H440" s="6" t="str">
        <f>"Conj. PLA 3098 - 500"</f>
        <v>Conj. PLA 3098 - 500</v>
      </c>
      <c r="I440" s="6" t="str">
        <f>"200922"</f>
        <v>200922</v>
      </c>
      <c r="J440" s="6" t="str">
        <f>"AZUL 922"</f>
        <v>AZUL 922</v>
      </c>
      <c r="K440" s="6" t="str">
        <f>"4014"</f>
        <v>4014</v>
      </c>
      <c r="L440" s="6" t="str">
        <f>"Conjunto/Jogos"</f>
        <v>Conjunto/Jogos</v>
      </c>
      <c r="M440" s="6" t="str">
        <f>"(2 Pcs)"</f>
        <v>(2 Pcs)</v>
      </c>
      <c r="N440" s="6" t="str">
        <f>" "</f>
        <v xml:space="preserve"> </v>
      </c>
      <c r="O440" s="8">
        <v>0</v>
      </c>
      <c r="P440" s="7">
        <v>45987</v>
      </c>
      <c r="R440" s="8">
        <v>352</v>
      </c>
      <c r="S440" s="7">
        <v>45993</v>
      </c>
      <c r="U440" s="8">
        <v>0</v>
      </c>
      <c r="V440" s="7">
        <v>46001</v>
      </c>
      <c r="X440" s="8">
        <v>0</v>
      </c>
      <c r="Z440" s="8">
        <v>0</v>
      </c>
      <c r="AA440" s="7">
        <v>46020</v>
      </c>
      <c r="AC440" s="8">
        <v>0</v>
      </c>
      <c r="AE440" s="7">
        <v>46028</v>
      </c>
      <c r="AF440" s="8">
        <v>0</v>
      </c>
      <c r="AH440" s="7">
        <v>46031</v>
      </c>
      <c r="AN440" s="8">
        <v>0</v>
      </c>
      <c r="AO440" s="8">
        <v>0</v>
      </c>
    </row>
    <row r="441" spans="1:41" x14ac:dyDescent="0.25">
      <c r="A441" s="6" t="str">
        <f t="shared" si="117"/>
        <v>521-2025000623</v>
      </c>
      <c r="B441" s="6" t="str">
        <f t="shared" si="118"/>
        <v>ARMADA R</v>
      </c>
      <c r="C441" s="7">
        <v>45929</v>
      </c>
      <c r="D441" s="7">
        <v>46031</v>
      </c>
      <c r="E441" s="8">
        <v>3</v>
      </c>
      <c r="F441" s="6" t="str">
        <f t="shared" si="119"/>
        <v>251023559</v>
      </c>
      <c r="G441" s="6" t="str">
        <f>"F330309850000000"</f>
        <v>F330309850000000</v>
      </c>
      <c r="H441" s="6" t="str">
        <f>"PLA 3098 - 500 g/m²"</f>
        <v>PLA 3098 - 500 g/m²</v>
      </c>
      <c r="I441" s="6" t="str">
        <f>"200922"</f>
        <v>200922</v>
      </c>
      <c r="J441" s="6" t="str">
        <f>"AZUL 922"</f>
        <v>AZUL 922</v>
      </c>
      <c r="K441" s="6" t="str">
        <f>"2020"</f>
        <v>2020</v>
      </c>
      <c r="L441" s="6" t="str">
        <f>"Lençóis"</f>
        <v>Lençóis</v>
      </c>
      <c r="M441" s="6" t="str">
        <f>"100x150"</f>
        <v>100x150</v>
      </c>
      <c r="N441" s="6" t="str">
        <f>"5602972519198"</f>
        <v>5602972519198</v>
      </c>
      <c r="O441" s="8">
        <v>0</v>
      </c>
      <c r="P441" s="7">
        <v>45987</v>
      </c>
      <c r="R441" s="8">
        <v>158</v>
      </c>
      <c r="S441" s="7">
        <v>45993</v>
      </c>
      <c r="U441" s="8">
        <v>0</v>
      </c>
      <c r="V441" s="7">
        <v>46001</v>
      </c>
      <c r="X441" s="8">
        <v>0</v>
      </c>
      <c r="Z441" s="8">
        <v>0</v>
      </c>
      <c r="AA441" s="7">
        <v>46020</v>
      </c>
      <c r="AC441" s="8">
        <v>0</v>
      </c>
      <c r="AE441" s="7">
        <v>46028</v>
      </c>
      <c r="AF441" s="8">
        <v>0</v>
      </c>
      <c r="AH441" s="7">
        <v>46031</v>
      </c>
      <c r="AN441" s="8">
        <v>0</v>
      </c>
      <c r="AO441" s="8">
        <v>0</v>
      </c>
    </row>
    <row r="442" spans="1:41" x14ac:dyDescent="0.25">
      <c r="A442" s="6" t="str">
        <f t="shared" si="117"/>
        <v>521-2025000623</v>
      </c>
      <c r="B442" s="6" t="str">
        <f t="shared" si="118"/>
        <v>ARMADA R</v>
      </c>
      <c r="C442" s="7">
        <v>45929</v>
      </c>
      <c r="D442" s="7">
        <v>46031</v>
      </c>
      <c r="E442" s="8">
        <v>4</v>
      </c>
      <c r="F442" s="6" t="str">
        <f t="shared" si="119"/>
        <v>251023559</v>
      </c>
      <c r="G442" s="6" t="str">
        <f>"J330309850000000"</f>
        <v>J330309850000000</v>
      </c>
      <c r="H442" s="6" t="str">
        <f>"Conj. PLA 3098 - 500"</f>
        <v>Conj. PLA 3098 - 500</v>
      </c>
      <c r="I442" s="6" t="str">
        <f>"200549"</f>
        <v>200549</v>
      </c>
      <c r="J442" s="6" t="str">
        <f>"CASTANHO 549"</f>
        <v>CASTANHO 549</v>
      </c>
      <c r="K442" s="6" t="str">
        <f>"4014"</f>
        <v>4014</v>
      </c>
      <c r="L442" s="6" t="str">
        <f>"Conjunto/Jogos"</f>
        <v>Conjunto/Jogos</v>
      </c>
      <c r="M442" s="6" t="str">
        <f>"(2 Pcs)"</f>
        <v>(2 Pcs)</v>
      </c>
      <c r="N442" s="6" t="str">
        <f>" "</f>
        <v xml:space="preserve"> </v>
      </c>
      <c r="O442" s="8">
        <v>100</v>
      </c>
      <c r="P442" s="7">
        <v>45987</v>
      </c>
      <c r="R442" s="8">
        <v>216</v>
      </c>
      <c r="S442" s="7">
        <v>45993</v>
      </c>
      <c r="U442" s="8">
        <v>216</v>
      </c>
      <c r="V442" s="7">
        <v>46001</v>
      </c>
      <c r="X442" s="8">
        <v>0</v>
      </c>
      <c r="Z442" s="8">
        <v>216</v>
      </c>
      <c r="AA442" s="7">
        <v>46020</v>
      </c>
      <c r="AC442" s="8">
        <v>103</v>
      </c>
      <c r="AE442" s="7">
        <v>46028</v>
      </c>
      <c r="AF442" s="8">
        <v>103</v>
      </c>
      <c r="AH442" s="7">
        <v>46031</v>
      </c>
      <c r="AN442" s="8">
        <v>103</v>
      </c>
      <c r="AO442" s="8">
        <v>-3</v>
      </c>
    </row>
    <row r="443" spans="1:41" x14ac:dyDescent="0.25">
      <c r="A443" s="6" t="str">
        <f t="shared" si="117"/>
        <v>521-2025000623</v>
      </c>
      <c r="B443" s="6" t="str">
        <f t="shared" si="118"/>
        <v>ARMADA R</v>
      </c>
      <c r="C443" s="7">
        <v>45929</v>
      </c>
      <c r="D443" s="7">
        <v>46031</v>
      </c>
      <c r="E443" s="8">
        <v>5</v>
      </c>
      <c r="F443" s="6" t="str">
        <f t="shared" si="119"/>
        <v>251023559</v>
      </c>
      <c r="G443" s="6" t="str">
        <f>"J330309850000001"</f>
        <v>J330309850000001</v>
      </c>
      <c r="H443" s="6" t="str">
        <f>"Conj. PLA 3098 - 500"</f>
        <v>Conj. PLA 3098 - 500</v>
      </c>
      <c r="I443" s="6" t="str">
        <f>"200549"</f>
        <v>200549</v>
      </c>
      <c r="J443" s="6" t="str">
        <f>"CASTANHO 549"</f>
        <v>CASTANHO 549</v>
      </c>
      <c r="K443" s="6" t="str">
        <f>"4014"</f>
        <v>4014</v>
      </c>
      <c r="L443" s="6" t="str">
        <f>"Conjunto/Jogos"</f>
        <v>Conjunto/Jogos</v>
      </c>
      <c r="M443" s="6" t="str">
        <f>"(2 Pcs)"</f>
        <v>(2 Pcs)</v>
      </c>
      <c r="N443" s="6" t="str">
        <f>" "</f>
        <v xml:space="preserve"> </v>
      </c>
      <c r="O443" s="8">
        <v>100</v>
      </c>
      <c r="P443" s="7">
        <v>45987</v>
      </c>
      <c r="R443" s="8">
        <v>420</v>
      </c>
      <c r="S443" s="7">
        <v>45993</v>
      </c>
      <c r="U443" s="8">
        <v>220</v>
      </c>
      <c r="V443" s="7">
        <v>46001</v>
      </c>
      <c r="X443" s="8">
        <v>0</v>
      </c>
      <c r="Z443" s="8">
        <v>220</v>
      </c>
      <c r="AA443" s="7">
        <v>46020</v>
      </c>
      <c r="AC443" s="8">
        <v>97</v>
      </c>
      <c r="AE443" s="7">
        <v>46028</v>
      </c>
      <c r="AF443" s="8">
        <v>97</v>
      </c>
      <c r="AH443" s="7">
        <v>46031</v>
      </c>
      <c r="AN443" s="8">
        <v>97</v>
      </c>
      <c r="AO443" s="8">
        <v>3</v>
      </c>
    </row>
    <row r="444" spans="1:41" x14ac:dyDescent="0.25">
      <c r="A444" s="6" t="str">
        <f t="shared" si="117"/>
        <v>521-2025000623</v>
      </c>
      <c r="B444" s="6" t="str">
        <f t="shared" si="118"/>
        <v>ARMADA R</v>
      </c>
      <c r="C444" s="7">
        <v>45929</v>
      </c>
      <c r="D444" s="7">
        <v>46031</v>
      </c>
      <c r="E444" s="8">
        <v>6</v>
      </c>
      <c r="F444" s="6" t="str">
        <f t="shared" si="119"/>
        <v>251023559</v>
      </c>
      <c r="G444" s="6" t="str">
        <f>"F330309850000000"</f>
        <v>F330309850000000</v>
      </c>
      <c r="H444" s="6" t="str">
        <f>"PLA 3098 - 500 g/m²"</f>
        <v>PLA 3098 - 500 g/m²</v>
      </c>
      <c r="I444" s="6" t="str">
        <f>"200549"</f>
        <v>200549</v>
      </c>
      <c r="J444" s="6" t="str">
        <f>"CASTANHO 549"</f>
        <v>CASTANHO 549</v>
      </c>
      <c r="K444" s="6" t="str">
        <f>"2020"</f>
        <v>2020</v>
      </c>
      <c r="L444" s="6" t="str">
        <f>"Lençóis"</f>
        <v>Lençóis</v>
      </c>
      <c r="M444" s="6" t="str">
        <f>"100x150"</f>
        <v>100x150</v>
      </c>
      <c r="N444" s="6" t="str">
        <f>"5602972519143"</f>
        <v>5602972519143</v>
      </c>
      <c r="O444" s="8">
        <v>60</v>
      </c>
      <c r="P444" s="7">
        <v>45987</v>
      </c>
      <c r="R444" s="8">
        <v>136</v>
      </c>
      <c r="S444" s="7">
        <v>45993</v>
      </c>
      <c r="U444" s="8">
        <v>68</v>
      </c>
      <c r="V444" s="7">
        <v>46001</v>
      </c>
      <c r="X444" s="8">
        <v>0</v>
      </c>
      <c r="Z444" s="8">
        <v>68</v>
      </c>
      <c r="AA444" s="7">
        <v>46020</v>
      </c>
      <c r="AC444" s="8">
        <v>63</v>
      </c>
      <c r="AE444" s="7">
        <v>46028</v>
      </c>
      <c r="AF444" s="8">
        <v>63</v>
      </c>
      <c r="AH444" s="7">
        <v>46031</v>
      </c>
      <c r="AN444" s="8">
        <v>63</v>
      </c>
      <c r="AO444" s="8">
        <v>-3</v>
      </c>
    </row>
    <row r="445" spans="1:41" x14ac:dyDescent="0.25">
      <c r="A445" s="6" t="str">
        <f t="shared" si="117"/>
        <v>521-2025000623</v>
      </c>
      <c r="B445" s="6" t="str">
        <f t="shared" si="118"/>
        <v>ARMADA R</v>
      </c>
      <c r="C445" s="7">
        <v>45929</v>
      </c>
      <c r="D445" s="7">
        <v>46031</v>
      </c>
      <c r="E445" s="8">
        <v>7</v>
      </c>
      <c r="F445" s="6" t="str">
        <f t="shared" si="119"/>
        <v>251023559</v>
      </c>
      <c r="G445" s="6" t="str">
        <f>"J330309850000000"</f>
        <v>J330309850000000</v>
      </c>
      <c r="H445" s="6" t="str">
        <f>"Conj. PLA 3098 - 500"</f>
        <v>Conj. PLA 3098 - 500</v>
      </c>
      <c r="I445" s="6" t="str">
        <f>"203687"</f>
        <v>203687</v>
      </c>
      <c r="J445" s="6" t="str">
        <f>"CINZA 3687"</f>
        <v>CINZA 3687</v>
      </c>
      <c r="K445" s="6" t="str">
        <f>"4014"</f>
        <v>4014</v>
      </c>
      <c r="L445" s="6" t="str">
        <f>"Conjunto/Jogos"</f>
        <v>Conjunto/Jogos</v>
      </c>
      <c r="M445" s="6" t="str">
        <f>"(2 Pcs)"</f>
        <v>(2 Pcs)</v>
      </c>
      <c r="N445" s="6" t="str">
        <f>" "</f>
        <v xml:space="preserve"> </v>
      </c>
      <c r="O445" s="8">
        <v>100</v>
      </c>
      <c r="P445" s="7">
        <v>45987</v>
      </c>
      <c r="R445" s="8">
        <v>348</v>
      </c>
      <c r="S445" s="7">
        <v>45993</v>
      </c>
      <c r="U445" s="8">
        <v>210</v>
      </c>
      <c r="V445" s="7">
        <v>46001</v>
      </c>
      <c r="X445" s="8">
        <v>210</v>
      </c>
      <c r="Z445" s="8">
        <v>0</v>
      </c>
      <c r="AA445" s="7">
        <v>46020</v>
      </c>
      <c r="AC445" s="8">
        <v>98</v>
      </c>
      <c r="AE445" s="7">
        <v>46028</v>
      </c>
      <c r="AF445" s="8">
        <v>98</v>
      </c>
      <c r="AH445" s="7">
        <v>46031</v>
      </c>
      <c r="AN445" s="8">
        <v>98</v>
      </c>
      <c r="AO445" s="8">
        <v>2</v>
      </c>
    </row>
    <row r="446" spans="1:41" x14ac:dyDescent="0.25">
      <c r="A446" s="6" t="str">
        <f t="shared" si="117"/>
        <v>521-2025000623</v>
      </c>
      <c r="B446" s="6" t="str">
        <f t="shared" si="118"/>
        <v>ARMADA R</v>
      </c>
      <c r="C446" s="7">
        <v>45929</v>
      </c>
      <c r="D446" s="7">
        <v>46031</v>
      </c>
      <c r="E446" s="8">
        <v>8</v>
      </c>
      <c r="F446" s="6" t="str">
        <f t="shared" si="119"/>
        <v>251023559</v>
      </c>
      <c r="G446" s="6" t="str">
        <f>"J330309850000001"</f>
        <v>J330309850000001</v>
      </c>
      <c r="H446" s="6" t="str">
        <f>"Conj. PLA 3098 - 500"</f>
        <v>Conj. PLA 3098 - 500</v>
      </c>
      <c r="I446" s="6" t="str">
        <f>"203687"</f>
        <v>203687</v>
      </c>
      <c r="J446" s="6" t="str">
        <f>"CINZA 3687"</f>
        <v>CINZA 3687</v>
      </c>
      <c r="K446" s="6" t="str">
        <f>"4014"</f>
        <v>4014</v>
      </c>
      <c r="L446" s="6" t="str">
        <f>"Conjunto/Jogos"</f>
        <v>Conjunto/Jogos</v>
      </c>
      <c r="M446" s="6" t="str">
        <f>"(2 Pcs)"</f>
        <v>(2 Pcs)</v>
      </c>
      <c r="N446" s="6" t="str">
        <f>" "</f>
        <v xml:space="preserve"> </v>
      </c>
      <c r="O446" s="8">
        <v>100</v>
      </c>
      <c r="P446" s="7">
        <v>45987</v>
      </c>
      <c r="R446" s="8">
        <v>424</v>
      </c>
      <c r="S446" s="7">
        <v>45993</v>
      </c>
      <c r="U446" s="8">
        <v>216</v>
      </c>
      <c r="V446" s="7">
        <v>46001</v>
      </c>
      <c r="X446" s="8">
        <v>216</v>
      </c>
      <c r="Z446" s="8">
        <v>0</v>
      </c>
      <c r="AA446" s="7">
        <v>46020</v>
      </c>
      <c r="AC446" s="8">
        <v>102</v>
      </c>
      <c r="AE446" s="7">
        <v>46028</v>
      </c>
      <c r="AF446" s="8">
        <v>102</v>
      </c>
      <c r="AH446" s="7">
        <v>46031</v>
      </c>
      <c r="AN446" s="8">
        <v>102</v>
      </c>
      <c r="AO446" s="8">
        <v>-2</v>
      </c>
    </row>
    <row r="447" spans="1:41" x14ac:dyDescent="0.25">
      <c r="A447" s="6" t="str">
        <f t="shared" si="117"/>
        <v>521-2025000623</v>
      </c>
      <c r="B447" s="6" t="str">
        <f t="shared" si="118"/>
        <v>ARMADA R</v>
      </c>
      <c r="C447" s="7">
        <v>45929</v>
      </c>
      <c r="D447" s="7">
        <v>46031</v>
      </c>
      <c r="E447" s="8">
        <v>9</v>
      </c>
      <c r="F447" s="6" t="str">
        <f t="shared" si="119"/>
        <v>251023559</v>
      </c>
      <c r="G447" s="6" t="str">
        <f>"F330309850000000"</f>
        <v>F330309850000000</v>
      </c>
      <c r="H447" s="6" t="str">
        <f>"PLA 3098 - 500 g/m²"</f>
        <v>PLA 3098 - 500 g/m²</v>
      </c>
      <c r="I447" s="6" t="str">
        <f>"203687"</f>
        <v>203687</v>
      </c>
      <c r="J447" s="6" t="str">
        <f>"CINZA 3687"</f>
        <v>CINZA 3687</v>
      </c>
      <c r="K447" s="6" t="str">
        <f>"2020"</f>
        <v>2020</v>
      </c>
      <c r="L447" s="6" t="str">
        <f>"Lençóis"</f>
        <v>Lençóis</v>
      </c>
      <c r="M447" s="6" t="str">
        <f>"100x150"</f>
        <v>100x150</v>
      </c>
      <c r="N447" s="6" t="str">
        <f>"5602972519242"</f>
        <v>5602972519242</v>
      </c>
      <c r="O447" s="8">
        <v>60</v>
      </c>
      <c r="P447" s="7">
        <v>45987</v>
      </c>
      <c r="R447" s="8">
        <v>172</v>
      </c>
      <c r="S447" s="7">
        <v>45993</v>
      </c>
      <c r="U447" s="8">
        <v>66</v>
      </c>
      <c r="V447" s="7">
        <v>46001</v>
      </c>
      <c r="X447" s="8">
        <v>66</v>
      </c>
      <c r="Z447" s="8">
        <v>0</v>
      </c>
      <c r="AA447" s="7">
        <v>46020</v>
      </c>
      <c r="AC447" s="8">
        <v>65</v>
      </c>
      <c r="AE447" s="7">
        <v>46028</v>
      </c>
      <c r="AF447" s="8">
        <v>65</v>
      </c>
      <c r="AH447" s="7">
        <v>46031</v>
      </c>
      <c r="AN447" s="8">
        <v>65</v>
      </c>
      <c r="AO447" s="8">
        <v>-5</v>
      </c>
    </row>
    <row r="448" spans="1:41" x14ac:dyDescent="0.25">
      <c r="A448" s="6" t="str">
        <f t="shared" si="117"/>
        <v>521-2025000623</v>
      </c>
      <c r="B448" s="6" t="str">
        <f t="shared" si="118"/>
        <v>ARMADA R</v>
      </c>
      <c r="C448" s="7">
        <v>45929</v>
      </c>
      <c r="D448" s="7">
        <v>46031</v>
      </c>
      <c r="E448" s="8">
        <v>10</v>
      </c>
      <c r="F448" s="6" t="str">
        <f t="shared" si="119"/>
        <v>251023559</v>
      </c>
      <c r="G448" s="6" t="str">
        <f t="shared" ref="G448:G459" si="120">"R330380138000000"</f>
        <v>R330380138000000</v>
      </c>
      <c r="H448" s="6" t="str">
        <f t="shared" ref="H448:H459" si="121">"R 3801 - PLA 3098 (m"</f>
        <v>R 3801 - PLA 3098 (m</v>
      </c>
      <c r="I448" s="6" t="str">
        <f>"200922"</f>
        <v>200922</v>
      </c>
      <c r="J448" s="6" t="str">
        <f>"AZUL 922"</f>
        <v>AZUL 922</v>
      </c>
      <c r="K448" s="6" t="str">
        <f>"5002"</f>
        <v>5002</v>
      </c>
      <c r="L448" s="6" t="str">
        <f t="shared" ref="L448:L459" si="122">"Roupões Adulto"</f>
        <v>Roupões Adulto</v>
      </c>
      <c r="M448" s="6" t="str">
        <f>"S"</f>
        <v>S</v>
      </c>
      <c r="N448" s="6" t="str">
        <f>"5602972519655"</f>
        <v>5602972519655</v>
      </c>
      <c r="O448" s="8">
        <v>0</v>
      </c>
      <c r="P448" s="7">
        <v>45987</v>
      </c>
      <c r="R448" s="8">
        <v>471</v>
      </c>
      <c r="S448" s="7">
        <v>45993</v>
      </c>
      <c r="U448" s="8">
        <v>0</v>
      </c>
      <c r="V448" s="7">
        <v>46001</v>
      </c>
      <c r="X448" s="8">
        <v>0</v>
      </c>
      <c r="Z448" s="8">
        <v>0</v>
      </c>
      <c r="AA448" s="7">
        <v>46020</v>
      </c>
      <c r="AC448" s="8">
        <v>0</v>
      </c>
      <c r="AE448" s="7">
        <v>46028</v>
      </c>
      <c r="AF448" s="8">
        <v>0</v>
      </c>
      <c r="AH448" s="7">
        <v>46031</v>
      </c>
      <c r="AN448" s="8">
        <v>0</v>
      </c>
      <c r="AO448" s="8">
        <v>0</v>
      </c>
    </row>
    <row r="449" spans="1:41" x14ac:dyDescent="0.25">
      <c r="A449" s="6" t="str">
        <f t="shared" si="117"/>
        <v>521-2025000623</v>
      </c>
      <c r="B449" s="6" t="str">
        <f t="shared" si="118"/>
        <v>ARMADA R</v>
      </c>
      <c r="C449" s="7">
        <v>45929</v>
      </c>
      <c r="D449" s="7">
        <v>46031</v>
      </c>
      <c r="E449" s="8">
        <v>11</v>
      </c>
      <c r="F449" s="6" t="str">
        <f t="shared" si="119"/>
        <v>251023559</v>
      </c>
      <c r="G449" s="6" t="str">
        <f t="shared" si="120"/>
        <v>R330380138000000</v>
      </c>
      <c r="H449" s="6" t="str">
        <f t="shared" si="121"/>
        <v>R 3801 - PLA 3098 (m</v>
      </c>
      <c r="I449" s="6" t="str">
        <f>"200922"</f>
        <v>200922</v>
      </c>
      <c r="J449" s="6" t="str">
        <f>"AZUL 922"</f>
        <v>AZUL 922</v>
      </c>
      <c r="K449" s="6" t="str">
        <f>"5004"</f>
        <v>5004</v>
      </c>
      <c r="L449" s="6" t="str">
        <f t="shared" si="122"/>
        <v>Roupões Adulto</v>
      </c>
      <c r="M449" s="6" t="str">
        <f>"M"</f>
        <v>M</v>
      </c>
      <c r="N449" s="6" t="str">
        <f>"5602972519662"</f>
        <v>5602972519662</v>
      </c>
      <c r="O449" s="8">
        <v>0</v>
      </c>
      <c r="P449" s="7">
        <v>45987</v>
      </c>
      <c r="R449" s="8">
        <v>0</v>
      </c>
      <c r="S449" s="7">
        <v>45993</v>
      </c>
      <c r="U449" s="8">
        <v>0</v>
      </c>
      <c r="V449" s="7">
        <v>46001</v>
      </c>
      <c r="X449" s="8">
        <v>0</v>
      </c>
      <c r="Z449" s="8">
        <v>0</v>
      </c>
      <c r="AA449" s="7">
        <v>46020</v>
      </c>
      <c r="AC449" s="8">
        <v>0</v>
      </c>
      <c r="AE449" s="7">
        <v>46028</v>
      </c>
      <c r="AF449" s="8">
        <v>0</v>
      </c>
      <c r="AH449" s="7">
        <v>46031</v>
      </c>
      <c r="AN449" s="8">
        <v>0</v>
      </c>
      <c r="AO449" s="8">
        <v>0</v>
      </c>
    </row>
    <row r="450" spans="1:41" x14ac:dyDescent="0.25">
      <c r="A450" s="6" t="str">
        <f t="shared" si="117"/>
        <v>521-2025000623</v>
      </c>
      <c r="B450" s="6" t="str">
        <f t="shared" si="118"/>
        <v>ARMADA R</v>
      </c>
      <c r="C450" s="7">
        <v>45929</v>
      </c>
      <c r="D450" s="7">
        <v>46031</v>
      </c>
      <c r="E450" s="8">
        <v>12</v>
      </c>
      <c r="F450" s="6" t="str">
        <f t="shared" si="119"/>
        <v>251023559</v>
      </c>
      <c r="G450" s="6" t="str">
        <f t="shared" si="120"/>
        <v>R330380138000000</v>
      </c>
      <c r="H450" s="6" t="str">
        <f t="shared" si="121"/>
        <v>R 3801 - PLA 3098 (m</v>
      </c>
      <c r="I450" s="6" t="str">
        <f>"200922"</f>
        <v>200922</v>
      </c>
      <c r="J450" s="6" t="str">
        <f>"AZUL 922"</f>
        <v>AZUL 922</v>
      </c>
      <c r="K450" s="6" t="str">
        <f>"5006"</f>
        <v>5006</v>
      </c>
      <c r="L450" s="6" t="str">
        <f t="shared" si="122"/>
        <v>Roupões Adulto</v>
      </c>
      <c r="M450" s="6" t="str">
        <f>"L"</f>
        <v>L</v>
      </c>
      <c r="N450" s="6" t="str">
        <f>"5602972519679"</f>
        <v>5602972519679</v>
      </c>
      <c r="O450" s="8">
        <v>0</v>
      </c>
      <c r="P450" s="7">
        <v>45987</v>
      </c>
      <c r="R450" s="8">
        <v>0</v>
      </c>
      <c r="S450" s="7">
        <v>45993</v>
      </c>
      <c r="U450" s="8">
        <v>0</v>
      </c>
      <c r="V450" s="7">
        <v>46001</v>
      </c>
      <c r="X450" s="8">
        <v>0</v>
      </c>
      <c r="Z450" s="8">
        <v>0</v>
      </c>
      <c r="AA450" s="7">
        <v>46020</v>
      </c>
      <c r="AC450" s="8">
        <v>0</v>
      </c>
      <c r="AE450" s="7">
        <v>46028</v>
      </c>
      <c r="AF450" s="8">
        <v>0</v>
      </c>
      <c r="AH450" s="7">
        <v>46031</v>
      </c>
      <c r="AN450" s="8">
        <v>0</v>
      </c>
      <c r="AO450" s="8">
        <v>0</v>
      </c>
    </row>
    <row r="451" spans="1:41" x14ac:dyDescent="0.25">
      <c r="A451" s="6" t="str">
        <f t="shared" si="117"/>
        <v>521-2025000623</v>
      </c>
      <c r="B451" s="6" t="str">
        <f t="shared" si="118"/>
        <v>ARMADA R</v>
      </c>
      <c r="C451" s="7">
        <v>45929</v>
      </c>
      <c r="D451" s="7">
        <v>46031</v>
      </c>
      <c r="E451" s="8">
        <v>13</v>
      </c>
      <c r="F451" s="6" t="str">
        <f t="shared" si="119"/>
        <v>251023559</v>
      </c>
      <c r="G451" s="6" t="str">
        <f t="shared" si="120"/>
        <v>R330380138000000</v>
      </c>
      <c r="H451" s="6" t="str">
        <f t="shared" si="121"/>
        <v>R 3801 - PLA 3098 (m</v>
      </c>
      <c r="I451" s="6" t="str">
        <f>"200922"</f>
        <v>200922</v>
      </c>
      <c r="J451" s="6" t="str">
        <f>"AZUL 922"</f>
        <v>AZUL 922</v>
      </c>
      <c r="K451" s="6" t="str">
        <f>"5008"</f>
        <v>5008</v>
      </c>
      <c r="L451" s="6" t="str">
        <f t="shared" si="122"/>
        <v>Roupões Adulto</v>
      </c>
      <c r="M451" s="6" t="str">
        <f>"XL"</f>
        <v>XL</v>
      </c>
      <c r="N451" s="6" t="str">
        <f>"5602972519686"</f>
        <v>5602972519686</v>
      </c>
      <c r="O451" s="8">
        <v>0</v>
      </c>
      <c r="P451" s="7">
        <v>45987</v>
      </c>
      <c r="R451" s="8">
        <v>0</v>
      </c>
      <c r="S451" s="7">
        <v>45993</v>
      </c>
      <c r="U451" s="8">
        <v>0</v>
      </c>
      <c r="V451" s="7">
        <v>46001</v>
      </c>
      <c r="X451" s="8">
        <v>0</v>
      </c>
      <c r="Z451" s="8">
        <v>0</v>
      </c>
      <c r="AA451" s="7">
        <v>46020</v>
      </c>
      <c r="AC451" s="8">
        <v>0</v>
      </c>
      <c r="AE451" s="7">
        <v>46028</v>
      </c>
      <c r="AF451" s="8">
        <v>0</v>
      </c>
      <c r="AH451" s="7">
        <v>46031</v>
      </c>
      <c r="AN451" s="8">
        <v>0</v>
      </c>
      <c r="AO451" s="8">
        <v>0</v>
      </c>
    </row>
    <row r="452" spans="1:41" x14ac:dyDescent="0.25">
      <c r="A452" s="6" t="str">
        <f t="shared" si="117"/>
        <v>521-2025000623</v>
      </c>
      <c r="B452" s="6" t="str">
        <f t="shared" si="118"/>
        <v>ARMADA R</v>
      </c>
      <c r="C452" s="7">
        <v>45929</v>
      </c>
      <c r="D452" s="7">
        <v>46031</v>
      </c>
      <c r="E452" s="8">
        <v>14</v>
      </c>
      <c r="F452" s="6" t="str">
        <f t="shared" si="119"/>
        <v>251023559</v>
      </c>
      <c r="G452" s="6" t="str">
        <f t="shared" si="120"/>
        <v>R330380138000000</v>
      </c>
      <c r="H452" s="6" t="str">
        <f t="shared" si="121"/>
        <v>R 3801 - PLA 3098 (m</v>
      </c>
      <c r="I452" s="6" t="str">
        <f>"200549"</f>
        <v>200549</v>
      </c>
      <c r="J452" s="6" t="str">
        <f>"CASTANHO 549"</f>
        <v>CASTANHO 549</v>
      </c>
      <c r="K452" s="6" t="str">
        <f>"5002"</f>
        <v>5002</v>
      </c>
      <c r="L452" s="6" t="str">
        <f t="shared" si="122"/>
        <v>Roupões Adulto</v>
      </c>
      <c r="M452" s="6" t="str">
        <f>"S"</f>
        <v>S</v>
      </c>
      <c r="N452" s="6" t="str">
        <f>"5602972519617"</f>
        <v>5602972519617</v>
      </c>
      <c r="O452" s="8">
        <v>20</v>
      </c>
      <c r="P452" s="7">
        <v>45987</v>
      </c>
      <c r="R452" s="8">
        <v>423</v>
      </c>
      <c r="S452" s="7">
        <v>45993</v>
      </c>
      <c r="U452" s="8">
        <v>200</v>
      </c>
      <c r="V452" s="7">
        <v>46001</v>
      </c>
      <c r="X452" s="8">
        <v>200</v>
      </c>
      <c r="Z452" s="8">
        <v>0</v>
      </c>
      <c r="AA452" s="7">
        <v>46020</v>
      </c>
      <c r="AC452" s="8">
        <v>20</v>
      </c>
      <c r="AE452" s="7">
        <v>46028</v>
      </c>
      <c r="AF452" s="8">
        <v>20</v>
      </c>
      <c r="AH452" s="7">
        <v>46031</v>
      </c>
      <c r="AN452" s="8">
        <v>20</v>
      </c>
      <c r="AO452" s="8">
        <v>0</v>
      </c>
    </row>
    <row r="453" spans="1:41" x14ac:dyDescent="0.25">
      <c r="A453" s="6" t="str">
        <f t="shared" si="117"/>
        <v>521-2025000623</v>
      </c>
      <c r="B453" s="6" t="str">
        <f t="shared" si="118"/>
        <v>ARMADA R</v>
      </c>
      <c r="C453" s="7">
        <v>45929</v>
      </c>
      <c r="D453" s="7">
        <v>46031</v>
      </c>
      <c r="E453" s="8">
        <v>15</v>
      </c>
      <c r="F453" s="6" t="str">
        <f t="shared" si="119"/>
        <v>251023559</v>
      </c>
      <c r="G453" s="6" t="str">
        <f t="shared" si="120"/>
        <v>R330380138000000</v>
      </c>
      <c r="H453" s="6" t="str">
        <f t="shared" si="121"/>
        <v>R 3801 - PLA 3098 (m</v>
      </c>
      <c r="I453" s="6" t="str">
        <f>"200549"</f>
        <v>200549</v>
      </c>
      <c r="J453" s="6" t="str">
        <f>"CASTANHO 549"</f>
        <v>CASTANHO 549</v>
      </c>
      <c r="K453" s="6" t="str">
        <f>"5004"</f>
        <v>5004</v>
      </c>
      <c r="L453" s="6" t="str">
        <f t="shared" si="122"/>
        <v>Roupões Adulto</v>
      </c>
      <c r="M453" s="6" t="str">
        <f>"M"</f>
        <v>M</v>
      </c>
      <c r="N453" s="6" t="str">
        <f>"5602972519624"</f>
        <v>5602972519624</v>
      </c>
      <c r="O453" s="8">
        <v>20</v>
      </c>
      <c r="P453" s="7">
        <v>45987</v>
      </c>
      <c r="R453" s="8">
        <v>0</v>
      </c>
      <c r="S453" s="7">
        <v>45993</v>
      </c>
      <c r="U453" s="8">
        <v>0</v>
      </c>
      <c r="V453" s="7">
        <v>46001</v>
      </c>
      <c r="X453" s="8">
        <v>0</v>
      </c>
      <c r="Z453" s="8">
        <v>0</v>
      </c>
      <c r="AA453" s="7">
        <v>46020</v>
      </c>
      <c r="AC453" s="8">
        <v>23</v>
      </c>
      <c r="AE453" s="7">
        <v>46028</v>
      </c>
      <c r="AF453" s="8">
        <v>23</v>
      </c>
      <c r="AH453" s="7">
        <v>46031</v>
      </c>
      <c r="AN453" s="8">
        <v>23</v>
      </c>
      <c r="AO453" s="8">
        <v>-3</v>
      </c>
    </row>
    <row r="454" spans="1:41" x14ac:dyDescent="0.25">
      <c r="A454" s="6" t="str">
        <f t="shared" si="117"/>
        <v>521-2025000623</v>
      </c>
      <c r="B454" s="6" t="str">
        <f t="shared" si="118"/>
        <v>ARMADA R</v>
      </c>
      <c r="C454" s="7">
        <v>45929</v>
      </c>
      <c r="D454" s="7">
        <v>46031</v>
      </c>
      <c r="E454" s="8">
        <v>16</v>
      </c>
      <c r="F454" s="6" t="str">
        <f t="shared" si="119"/>
        <v>251023559</v>
      </c>
      <c r="G454" s="6" t="str">
        <f t="shared" si="120"/>
        <v>R330380138000000</v>
      </c>
      <c r="H454" s="6" t="str">
        <f t="shared" si="121"/>
        <v>R 3801 - PLA 3098 (m</v>
      </c>
      <c r="I454" s="6" t="str">
        <f>"200549"</f>
        <v>200549</v>
      </c>
      <c r="J454" s="6" t="str">
        <f>"CASTANHO 549"</f>
        <v>CASTANHO 549</v>
      </c>
      <c r="K454" s="6" t="str">
        <f>"5006"</f>
        <v>5006</v>
      </c>
      <c r="L454" s="6" t="str">
        <f t="shared" si="122"/>
        <v>Roupões Adulto</v>
      </c>
      <c r="M454" s="6" t="str">
        <f>"L"</f>
        <v>L</v>
      </c>
      <c r="N454" s="6" t="str">
        <f>"5602972519631"</f>
        <v>5602972519631</v>
      </c>
      <c r="O454" s="8">
        <v>20</v>
      </c>
      <c r="P454" s="7">
        <v>45987</v>
      </c>
      <c r="R454" s="8">
        <v>0</v>
      </c>
      <c r="S454" s="7">
        <v>45993</v>
      </c>
      <c r="U454" s="8">
        <v>0</v>
      </c>
      <c r="V454" s="7">
        <v>46001</v>
      </c>
      <c r="X454" s="8">
        <v>0</v>
      </c>
      <c r="Z454" s="8">
        <v>0</v>
      </c>
      <c r="AA454" s="7">
        <v>46020</v>
      </c>
      <c r="AC454" s="8">
        <v>20</v>
      </c>
      <c r="AE454" s="7">
        <v>46028</v>
      </c>
      <c r="AF454" s="8">
        <v>20</v>
      </c>
      <c r="AH454" s="7">
        <v>46031</v>
      </c>
      <c r="AN454" s="8">
        <v>20</v>
      </c>
      <c r="AO454" s="8">
        <v>0</v>
      </c>
    </row>
    <row r="455" spans="1:41" x14ac:dyDescent="0.25">
      <c r="A455" s="6" t="str">
        <f t="shared" si="117"/>
        <v>521-2025000623</v>
      </c>
      <c r="B455" s="6" t="str">
        <f t="shared" si="118"/>
        <v>ARMADA R</v>
      </c>
      <c r="C455" s="7">
        <v>45929</v>
      </c>
      <c r="D455" s="7">
        <v>46031</v>
      </c>
      <c r="E455" s="8">
        <v>17</v>
      </c>
      <c r="F455" s="6" t="str">
        <f t="shared" si="119"/>
        <v>251023559</v>
      </c>
      <c r="G455" s="6" t="str">
        <f t="shared" si="120"/>
        <v>R330380138000000</v>
      </c>
      <c r="H455" s="6" t="str">
        <f t="shared" si="121"/>
        <v>R 3801 - PLA 3098 (m</v>
      </c>
      <c r="I455" s="6" t="str">
        <f>"200549"</f>
        <v>200549</v>
      </c>
      <c r="J455" s="6" t="str">
        <f>"CASTANHO 549"</f>
        <v>CASTANHO 549</v>
      </c>
      <c r="K455" s="6" t="str">
        <f>"5008"</f>
        <v>5008</v>
      </c>
      <c r="L455" s="6" t="str">
        <f t="shared" si="122"/>
        <v>Roupões Adulto</v>
      </c>
      <c r="M455" s="6" t="str">
        <f>"XL"</f>
        <v>XL</v>
      </c>
      <c r="N455" s="6" t="str">
        <f>"5602972519648"</f>
        <v>5602972519648</v>
      </c>
      <c r="O455" s="8">
        <v>20</v>
      </c>
      <c r="P455" s="7">
        <v>45987</v>
      </c>
      <c r="R455" s="8">
        <v>0</v>
      </c>
      <c r="S455" s="7">
        <v>45993</v>
      </c>
      <c r="U455" s="8">
        <v>0</v>
      </c>
      <c r="V455" s="7">
        <v>46001</v>
      </c>
      <c r="X455" s="8">
        <v>0</v>
      </c>
      <c r="Z455" s="8">
        <v>0</v>
      </c>
      <c r="AA455" s="7">
        <v>46020</v>
      </c>
      <c r="AC455" s="8">
        <v>23</v>
      </c>
      <c r="AE455" s="7">
        <v>46028</v>
      </c>
      <c r="AF455" s="8">
        <v>23</v>
      </c>
      <c r="AH455" s="7">
        <v>46031</v>
      </c>
      <c r="AN455" s="8">
        <v>23</v>
      </c>
      <c r="AO455" s="8">
        <v>-3</v>
      </c>
    </row>
    <row r="456" spans="1:41" x14ac:dyDescent="0.25">
      <c r="A456" s="6" t="str">
        <f t="shared" si="117"/>
        <v>521-2025000623</v>
      </c>
      <c r="B456" s="6" t="str">
        <f t="shared" si="118"/>
        <v>ARMADA R</v>
      </c>
      <c r="C456" s="7">
        <v>45929</v>
      </c>
      <c r="D456" s="7">
        <v>46031</v>
      </c>
      <c r="E456" s="8">
        <v>18</v>
      </c>
      <c r="F456" s="6" t="str">
        <f t="shared" si="119"/>
        <v>251023559</v>
      </c>
      <c r="G456" s="6" t="str">
        <f t="shared" si="120"/>
        <v>R330380138000000</v>
      </c>
      <c r="H456" s="6" t="str">
        <f t="shared" si="121"/>
        <v>R 3801 - PLA 3098 (m</v>
      </c>
      <c r="I456" s="6" t="str">
        <f>"203687"</f>
        <v>203687</v>
      </c>
      <c r="J456" s="6" t="str">
        <f>"CINZA 3687"</f>
        <v>CINZA 3687</v>
      </c>
      <c r="K456" s="6" t="str">
        <f>"5002"</f>
        <v>5002</v>
      </c>
      <c r="L456" s="6" t="str">
        <f t="shared" si="122"/>
        <v>Roupões Adulto</v>
      </c>
      <c r="M456" s="6" t="str">
        <f>"S"</f>
        <v>S</v>
      </c>
      <c r="N456" s="6" t="str">
        <f>"5602972519693"</f>
        <v>5602972519693</v>
      </c>
      <c r="O456" s="8">
        <v>20</v>
      </c>
      <c r="P456" s="7">
        <v>45987</v>
      </c>
      <c r="R456" s="8">
        <v>424</v>
      </c>
      <c r="S456" s="7">
        <v>45993</v>
      </c>
      <c r="U456" s="8">
        <v>200</v>
      </c>
      <c r="V456" s="7">
        <v>46001</v>
      </c>
      <c r="X456" s="8">
        <v>0</v>
      </c>
      <c r="Z456" s="8">
        <v>0</v>
      </c>
      <c r="AA456" s="7">
        <v>46020</v>
      </c>
      <c r="AC456" s="8">
        <v>20</v>
      </c>
      <c r="AE456" s="7">
        <v>46028</v>
      </c>
      <c r="AF456" s="8">
        <v>20</v>
      </c>
      <c r="AH456" s="7">
        <v>46031</v>
      </c>
      <c r="AN456" s="8">
        <v>20</v>
      </c>
      <c r="AO456" s="8">
        <v>0</v>
      </c>
    </row>
    <row r="457" spans="1:41" x14ac:dyDescent="0.25">
      <c r="A457" s="6" t="str">
        <f t="shared" si="117"/>
        <v>521-2025000623</v>
      </c>
      <c r="B457" s="6" t="str">
        <f t="shared" si="118"/>
        <v>ARMADA R</v>
      </c>
      <c r="C457" s="7">
        <v>45929</v>
      </c>
      <c r="D457" s="7">
        <v>46031</v>
      </c>
      <c r="E457" s="8">
        <v>19</v>
      </c>
      <c r="F457" s="6" t="str">
        <f t="shared" si="119"/>
        <v>251023559</v>
      </c>
      <c r="G457" s="6" t="str">
        <f t="shared" si="120"/>
        <v>R330380138000000</v>
      </c>
      <c r="H457" s="6" t="str">
        <f t="shared" si="121"/>
        <v>R 3801 - PLA 3098 (m</v>
      </c>
      <c r="I457" s="6" t="str">
        <f>"203687"</f>
        <v>203687</v>
      </c>
      <c r="J457" s="6" t="str">
        <f>"CINZA 3687"</f>
        <v>CINZA 3687</v>
      </c>
      <c r="K457" s="6" t="str">
        <f>"5004"</f>
        <v>5004</v>
      </c>
      <c r="L457" s="6" t="str">
        <f t="shared" si="122"/>
        <v>Roupões Adulto</v>
      </c>
      <c r="M457" s="6" t="str">
        <f>"M"</f>
        <v>M</v>
      </c>
      <c r="N457" s="6" t="str">
        <f>"5602972519709"</f>
        <v>5602972519709</v>
      </c>
      <c r="O457" s="8">
        <v>20</v>
      </c>
      <c r="P457" s="7">
        <v>45987</v>
      </c>
      <c r="R457" s="8">
        <v>0</v>
      </c>
      <c r="S457" s="7">
        <v>45993</v>
      </c>
      <c r="U457" s="8">
        <v>0</v>
      </c>
      <c r="V457" s="7">
        <v>46001</v>
      </c>
      <c r="X457" s="8">
        <v>0</v>
      </c>
      <c r="Z457" s="8">
        <v>0</v>
      </c>
      <c r="AA457" s="7">
        <v>46020</v>
      </c>
      <c r="AC457" s="8">
        <v>21</v>
      </c>
      <c r="AE457" s="7">
        <v>46028</v>
      </c>
      <c r="AF457" s="8">
        <v>21</v>
      </c>
      <c r="AH457" s="7">
        <v>46031</v>
      </c>
      <c r="AN457" s="8">
        <v>21</v>
      </c>
      <c r="AO457" s="8">
        <v>-1</v>
      </c>
    </row>
    <row r="458" spans="1:41" x14ac:dyDescent="0.25">
      <c r="A458" s="6" t="str">
        <f t="shared" si="117"/>
        <v>521-2025000623</v>
      </c>
      <c r="B458" s="6" t="str">
        <f t="shared" si="118"/>
        <v>ARMADA R</v>
      </c>
      <c r="C458" s="7">
        <v>45929</v>
      </c>
      <c r="D458" s="7">
        <v>46031</v>
      </c>
      <c r="E458" s="8">
        <v>20</v>
      </c>
      <c r="F458" s="6" t="str">
        <f t="shared" si="119"/>
        <v>251023559</v>
      </c>
      <c r="G458" s="6" t="str">
        <f t="shared" si="120"/>
        <v>R330380138000000</v>
      </c>
      <c r="H458" s="6" t="str">
        <f t="shared" si="121"/>
        <v>R 3801 - PLA 3098 (m</v>
      </c>
      <c r="I458" s="6" t="str">
        <f>"203687"</f>
        <v>203687</v>
      </c>
      <c r="J458" s="6" t="str">
        <f>"CINZA 3687"</f>
        <v>CINZA 3687</v>
      </c>
      <c r="K458" s="6" t="str">
        <f>"5006"</f>
        <v>5006</v>
      </c>
      <c r="L458" s="6" t="str">
        <f t="shared" si="122"/>
        <v>Roupões Adulto</v>
      </c>
      <c r="M458" s="6" t="str">
        <f>"L"</f>
        <v>L</v>
      </c>
      <c r="N458" s="6" t="str">
        <f>"5602972519716"</f>
        <v>5602972519716</v>
      </c>
      <c r="O458" s="8">
        <v>20</v>
      </c>
      <c r="P458" s="7">
        <v>45987</v>
      </c>
      <c r="R458" s="8">
        <v>0</v>
      </c>
      <c r="S458" s="7">
        <v>45993</v>
      </c>
      <c r="U458" s="8">
        <v>0</v>
      </c>
      <c r="V458" s="7">
        <v>46001</v>
      </c>
      <c r="X458" s="8">
        <v>0</v>
      </c>
      <c r="Z458" s="8">
        <v>0</v>
      </c>
      <c r="AA458" s="7">
        <v>46020</v>
      </c>
      <c r="AC458" s="8">
        <v>20</v>
      </c>
      <c r="AE458" s="7">
        <v>46028</v>
      </c>
      <c r="AF458" s="8">
        <v>20</v>
      </c>
      <c r="AH458" s="7">
        <v>46031</v>
      </c>
      <c r="AN458" s="8">
        <v>20</v>
      </c>
      <c r="AO458" s="8">
        <v>0</v>
      </c>
    </row>
    <row r="459" spans="1:41" x14ac:dyDescent="0.25">
      <c r="A459" s="6" t="str">
        <f t="shared" si="117"/>
        <v>521-2025000623</v>
      </c>
      <c r="B459" s="6" t="str">
        <f t="shared" si="118"/>
        <v>ARMADA R</v>
      </c>
      <c r="C459" s="7">
        <v>45929</v>
      </c>
      <c r="D459" s="7">
        <v>46031</v>
      </c>
      <c r="E459" s="8">
        <v>21</v>
      </c>
      <c r="F459" s="6" t="str">
        <f t="shared" si="119"/>
        <v>251023559</v>
      </c>
      <c r="G459" s="6" t="str">
        <f t="shared" si="120"/>
        <v>R330380138000000</v>
      </c>
      <c r="H459" s="6" t="str">
        <f t="shared" si="121"/>
        <v>R 3801 - PLA 3098 (m</v>
      </c>
      <c r="I459" s="6" t="str">
        <f>"203687"</f>
        <v>203687</v>
      </c>
      <c r="J459" s="6" t="str">
        <f>"CINZA 3687"</f>
        <v>CINZA 3687</v>
      </c>
      <c r="K459" s="6" t="str">
        <f>"5008"</f>
        <v>5008</v>
      </c>
      <c r="L459" s="6" t="str">
        <f t="shared" si="122"/>
        <v>Roupões Adulto</v>
      </c>
      <c r="M459" s="6" t="str">
        <f>"XL"</f>
        <v>XL</v>
      </c>
      <c r="N459" s="6" t="str">
        <f>"5602972519723"</f>
        <v>5602972519723</v>
      </c>
      <c r="O459" s="8">
        <v>20</v>
      </c>
      <c r="P459" s="7">
        <v>45987</v>
      </c>
      <c r="R459" s="8">
        <v>0</v>
      </c>
      <c r="S459" s="7">
        <v>45993</v>
      </c>
      <c r="U459" s="8">
        <v>0</v>
      </c>
      <c r="V459" s="7">
        <v>46001</v>
      </c>
      <c r="X459" s="8">
        <v>0</v>
      </c>
      <c r="Z459" s="8">
        <v>0</v>
      </c>
      <c r="AA459" s="7">
        <v>46020</v>
      </c>
      <c r="AC459" s="8">
        <v>22</v>
      </c>
      <c r="AE459" s="7">
        <v>46028</v>
      </c>
      <c r="AF459" s="8">
        <v>22</v>
      </c>
      <c r="AH459" s="7">
        <v>46031</v>
      </c>
      <c r="AN459" s="8">
        <v>22</v>
      </c>
      <c r="AO459" s="8">
        <v>-2</v>
      </c>
    </row>
    <row r="460" spans="1:41" x14ac:dyDescent="0.25">
      <c r="A460" s="6" t="str">
        <f t="shared" ref="A460:A468" si="123">"521-2025000634"</f>
        <v>521-2025000634</v>
      </c>
      <c r="B460" s="6" t="str">
        <f t="shared" ref="B460:B479" si="124">"BEDECK L"</f>
        <v>BEDECK L</v>
      </c>
      <c r="C460" s="7">
        <v>45931</v>
      </c>
      <c r="D460" s="7">
        <v>46038</v>
      </c>
      <c r="E460" s="8">
        <v>1</v>
      </c>
      <c r="F460" s="6" t="str">
        <f t="shared" ref="F460:F468" si="125">"P043365 TOALHAS"</f>
        <v>P043365 TOALHAS</v>
      </c>
      <c r="G460" s="6" t="str">
        <f t="shared" ref="G460:G468" si="126">"F120291440000001"</f>
        <v>F120291440000001</v>
      </c>
      <c r="H460" s="6" t="str">
        <f t="shared" ref="H460:H468" si="127">"FAJA 2914 - 400 g/m²"</f>
        <v>FAJA 2914 - 400 g/m²</v>
      </c>
      <c r="I460" s="6" t="str">
        <f>"5565"</f>
        <v>5565</v>
      </c>
      <c r="J460" s="6" t="str">
        <f>"CINZA 5565"</f>
        <v>CINZA 5565</v>
      </c>
      <c r="K460" s="6" t="str">
        <f>"1020"</f>
        <v>1020</v>
      </c>
      <c r="L460" s="6" t="str">
        <f>"Toalhas"</f>
        <v>Toalhas</v>
      </c>
      <c r="M460" s="6" t="str">
        <f>"50x90"</f>
        <v>50x90</v>
      </c>
      <c r="N460" s="6" t="str">
        <f t="shared" ref="N460:N491" si="128">" "</f>
        <v xml:space="preserve"> </v>
      </c>
      <c r="O460" s="8">
        <v>200</v>
      </c>
      <c r="P460" s="7">
        <v>46001</v>
      </c>
      <c r="R460" s="8">
        <v>1632</v>
      </c>
      <c r="S460" s="7">
        <v>46006</v>
      </c>
      <c r="U460" s="8">
        <v>208</v>
      </c>
      <c r="V460" s="7">
        <v>46020</v>
      </c>
      <c r="X460" s="8">
        <v>0</v>
      </c>
      <c r="Z460" s="8">
        <v>208</v>
      </c>
      <c r="AA460" s="7">
        <v>46037</v>
      </c>
      <c r="AC460" s="8">
        <v>198</v>
      </c>
      <c r="AE460" s="7">
        <v>46042</v>
      </c>
      <c r="AF460" s="8">
        <v>198</v>
      </c>
      <c r="AH460" s="7">
        <v>46038</v>
      </c>
      <c r="AN460" s="8">
        <v>198</v>
      </c>
      <c r="AO460" s="8">
        <v>2</v>
      </c>
    </row>
    <row r="461" spans="1:41" x14ac:dyDescent="0.25">
      <c r="A461" s="6" t="str">
        <f t="shared" si="123"/>
        <v>521-2025000634</v>
      </c>
      <c r="B461" s="6" t="str">
        <f t="shared" si="124"/>
        <v>BEDECK L</v>
      </c>
      <c r="C461" s="7">
        <v>45931</v>
      </c>
      <c r="D461" s="7">
        <v>46038</v>
      </c>
      <c r="E461" s="8">
        <v>2</v>
      </c>
      <c r="F461" s="6" t="str">
        <f t="shared" si="125"/>
        <v>P043365 TOALHAS</v>
      </c>
      <c r="G461" s="6" t="str">
        <f t="shared" si="126"/>
        <v>F120291440000001</v>
      </c>
      <c r="H461" s="6" t="str">
        <f t="shared" si="127"/>
        <v>FAJA 2914 - 400 g/m²</v>
      </c>
      <c r="I461" s="6" t="str">
        <f>"5565"</f>
        <v>5565</v>
      </c>
      <c r="J461" s="6" t="str">
        <f>"CINZA 5565"</f>
        <v>CINZA 5565</v>
      </c>
      <c r="K461" s="6" t="str">
        <f>"1532"</f>
        <v>1532</v>
      </c>
      <c r="L461" s="6" t="str">
        <f>"Toalhões"</f>
        <v>Toalhões</v>
      </c>
      <c r="M461" s="6" t="str">
        <f>"70x130"</f>
        <v>70x130</v>
      </c>
      <c r="N461" s="6" t="str">
        <f t="shared" si="128"/>
        <v xml:space="preserve"> </v>
      </c>
      <c r="O461" s="8">
        <v>180</v>
      </c>
      <c r="P461" s="7">
        <v>46001</v>
      </c>
      <c r="R461" s="8">
        <v>774</v>
      </c>
      <c r="S461" s="7">
        <v>46006</v>
      </c>
      <c r="U461" s="8">
        <v>231</v>
      </c>
      <c r="V461" s="7">
        <v>46020</v>
      </c>
      <c r="X461" s="8">
        <v>0</v>
      </c>
      <c r="Z461" s="8">
        <v>231</v>
      </c>
      <c r="AA461" s="7">
        <v>46037</v>
      </c>
      <c r="AC461" s="8">
        <v>198</v>
      </c>
      <c r="AE461" s="7">
        <v>46042</v>
      </c>
      <c r="AF461" s="8">
        <v>198</v>
      </c>
      <c r="AH461" s="7">
        <v>46038</v>
      </c>
      <c r="AN461" s="8">
        <v>198</v>
      </c>
      <c r="AO461" s="8">
        <v>-18</v>
      </c>
    </row>
    <row r="462" spans="1:41" x14ac:dyDescent="0.25">
      <c r="A462" s="6" t="str">
        <f t="shared" si="123"/>
        <v>521-2025000634</v>
      </c>
      <c r="B462" s="6" t="str">
        <f t="shared" si="124"/>
        <v>BEDECK L</v>
      </c>
      <c r="C462" s="7">
        <v>45931</v>
      </c>
      <c r="D462" s="7">
        <v>46038</v>
      </c>
      <c r="E462" s="8">
        <v>3</v>
      </c>
      <c r="F462" s="6" t="str">
        <f t="shared" si="125"/>
        <v>P043365 TOALHAS</v>
      </c>
      <c r="G462" s="6" t="str">
        <f t="shared" si="126"/>
        <v>F120291440000001</v>
      </c>
      <c r="H462" s="6" t="str">
        <f t="shared" si="127"/>
        <v>FAJA 2914 - 400 g/m²</v>
      </c>
      <c r="I462" s="6" t="str">
        <f>"5565"</f>
        <v>5565</v>
      </c>
      <c r="J462" s="6" t="str">
        <f>"CINZA 5565"</f>
        <v>CINZA 5565</v>
      </c>
      <c r="K462" s="6" t="str">
        <f>"2002"</f>
        <v>2002</v>
      </c>
      <c r="L462" s="6" t="str">
        <f>"Lençóis"</f>
        <v>Lençóis</v>
      </c>
      <c r="M462" s="6" t="str">
        <f>"90x150"</f>
        <v>90x150</v>
      </c>
      <c r="N462" s="6" t="str">
        <f t="shared" si="128"/>
        <v xml:space="preserve"> </v>
      </c>
      <c r="O462" s="8">
        <v>90</v>
      </c>
      <c r="P462" s="7">
        <v>46001</v>
      </c>
      <c r="R462" s="8">
        <v>552</v>
      </c>
      <c r="S462" s="7">
        <v>46006</v>
      </c>
      <c r="U462" s="8">
        <v>100</v>
      </c>
      <c r="V462" s="7">
        <v>46020</v>
      </c>
      <c r="X462" s="8">
        <v>0</v>
      </c>
      <c r="Z462" s="8">
        <v>100</v>
      </c>
      <c r="AA462" s="7">
        <v>46037</v>
      </c>
      <c r="AC462" s="8">
        <v>51</v>
      </c>
      <c r="AE462" s="7">
        <v>46042</v>
      </c>
      <c r="AF462" s="8">
        <v>51</v>
      </c>
      <c r="AH462" s="7">
        <v>46038</v>
      </c>
      <c r="AN462" s="8">
        <v>51</v>
      </c>
      <c r="AO462" s="8">
        <v>39</v>
      </c>
    </row>
    <row r="463" spans="1:41" x14ac:dyDescent="0.25">
      <c r="A463" s="6" t="str">
        <f t="shared" si="123"/>
        <v>521-2025000634</v>
      </c>
      <c r="B463" s="6" t="str">
        <f t="shared" si="124"/>
        <v>BEDECK L</v>
      </c>
      <c r="C463" s="7">
        <v>45931</v>
      </c>
      <c r="D463" s="7">
        <v>46038</v>
      </c>
      <c r="E463" s="8">
        <v>4</v>
      </c>
      <c r="F463" s="6" t="str">
        <f t="shared" si="125"/>
        <v>P043365 TOALHAS</v>
      </c>
      <c r="G463" s="6" t="str">
        <f t="shared" si="126"/>
        <v>F120291440000001</v>
      </c>
      <c r="H463" s="6" t="str">
        <f t="shared" si="127"/>
        <v>FAJA 2914 - 400 g/m²</v>
      </c>
      <c r="I463" s="6" t="str">
        <f>"5551"</f>
        <v>5551</v>
      </c>
      <c r="J463" s="6" t="str">
        <f>"ROSA 5551"</f>
        <v>ROSA 5551</v>
      </c>
      <c r="K463" s="6" t="str">
        <f>"1020"</f>
        <v>1020</v>
      </c>
      <c r="L463" s="6" t="str">
        <f>"Toalhas"</f>
        <v>Toalhas</v>
      </c>
      <c r="M463" s="6" t="str">
        <f>"50x90"</f>
        <v>50x90</v>
      </c>
      <c r="N463" s="6" t="str">
        <f t="shared" si="128"/>
        <v xml:space="preserve"> </v>
      </c>
      <c r="O463" s="8">
        <v>535</v>
      </c>
      <c r="P463" s="7">
        <v>46001</v>
      </c>
      <c r="R463" s="8">
        <v>0</v>
      </c>
      <c r="S463" s="7">
        <v>46006</v>
      </c>
      <c r="U463" s="8">
        <v>584</v>
      </c>
      <c r="V463" s="7">
        <v>46020</v>
      </c>
      <c r="X463" s="8">
        <v>0</v>
      </c>
      <c r="Z463" s="8">
        <v>584</v>
      </c>
      <c r="AA463" s="7">
        <v>46037</v>
      </c>
      <c r="AC463" s="8">
        <v>556</v>
      </c>
      <c r="AE463" s="7">
        <v>46042</v>
      </c>
      <c r="AF463" s="8">
        <v>556</v>
      </c>
      <c r="AH463" s="7">
        <v>46038</v>
      </c>
      <c r="AN463" s="8">
        <v>556</v>
      </c>
      <c r="AO463" s="8">
        <v>-21</v>
      </c>
    </row>
    <row r="464" spans="1:41" x14ac:dyDescent="0.25">
      <c r="A464" s="6" t="str">
        <f t="shared" si="123"/>
        <v>521-2025000634</v>
      </c>
      <c r="B464" s="6" t="str">
        <f t="shared" si="124"/>
        <v>BEDECK L</v>
      </c>
      <c r="C464" s="7">
        <v>45931</v>
      </c>
      <c r="D464" s="7">
        <v>46038</v>
      </c>
      <c r="E464" s="8">
        <v>5</v>
      </c>
      <c r="F464" s="6" t="str">
        <f t="shared" si="125"/>
        <v>P043365 TOALHAS</v>
      </c>
      <c r="G464" s="6" t="str">
        <f t="shared" si="126"/>
        <v>F120291440000001</v>
      </c>
      <c r="H464" s="6" t="str">
        <f t="shared" si="127"/>
        <v>FAJA 2914 - 400 g/m²</v>
      </c>
      <c r="I464" s="6" t="str">
        <f>"5551"</f>
        <v>5551</v>
      </c>
      <c r="J464" s="6" t="str">
        <f>"ROSA 5551"</f>
        <v>ROSA 5551</v>
      </c>
      <c r="K464" s="6" t="str">
        <f>"1532"</f>
        <v>1532</v>
      </c>
      <c r="L464" s="6" t="str">
        <f>"Toalhões"</f>
        <v>Toalhões</v>
      </c>
      <c r="M464" s="6" t="str">
        <f>"70x130"</f>
        <v>70x130</v>
      </c>
      <c r="N464" s="6" t="str">
        <f t="shared" si="128"/>
        <v xml:space="preserve"> </v>
      </c>
      <c r="O464" s="8">
        <v>260</v>
      </c>
      <c r="P464" s="7">
        <v>46001</v>
      </c>
      <c r="R464" s="8">
        <v>0</v>
      </c>
      <c r="S464" s="7">
        <v>46006</v>
      </c>
      <c r="U464" s="8">
        <v>300</v>
      </c>
      <c r="V464" s="7">
        <v>46020</v>
      </c>
      <c r="X464" s="8">
        <v>0</v>
      </c>
      <c r="Z464" s="8">
        <v>300</v>
      </c>
      <c r="AA464" s="7">
        <v>46037</v>
      </c>
      <c r="AC464" s="8">
        <v>282</v>
      </c>
      <c r="AE464" s="7">
        <v>46042</v>
      </c>
      <c r="AF464" s="8">
        <v>282</v>
      </c>
      <c r="AH464" s="7">
        <v>46038</v>
      </c>
      <c r="AN464" s="8">
        <v>282</v>
      </c>
      <c r="AO464" s="8">
        <v>-22</v>
      </c>
    </row>
    <row r="465" spans="1:41" x14ac:dyDescent="0.25">
      <c r="A465" s="6" t="str">
        <f t="shared" si="123"/>
        <v>521-2025000634</v>
      </c>
      <c r="B465" s="6" t="str">
        <f t="shared" si="124"/>
        <v>BEDECK L</v>
      </c>
      <c r="C465" s="7">
        <v>45931</v>
      </c>
      <c r="D465" s="7">
        <v>46038</v>
      </c>
      <c r="E465" s="8">
        <v>6</v>
      </c>
      <c r="F465" s="6" t="str">
        <f t="shared" si="125"/>
        <v>P043365 TOALHAS</v>
      </c>
      <c r="G465" s="6" t="str">
        <f t="shared" si="126"/>
        <v>F120291440000001</v>
      </c>
      <c r="H465" s="6" t="str">
        <f t="shared" si="127"/>
        <v>FAJA 2914 - 400 g/m²</v>
      </c>
      <c r="I465" s="6" t="str">
        <f>"5551"</f>
        <v>5551</v>
      </c>
      <c r="J465" s="6" t="str">
        <f>"ROSA 5551"</f>
        <v>ROSA 5551</v>
      </c>
      <c r="K465" s="6" t="str">
        <f>"2002"</f>
        <v>2002</v>
      </c>
      <c r="L465" s="6" t="str">
        <f>"Lençóis"</f>
        <v>Lençóis</v>
      </c>
      <c r="M465" s="6" t="str">
        <f>"90x150"</f>
        <v>90x150</v>
      </c>
      <c r="N465" s="6" t="str">
        <f t="shared" si="128"/>
        <v xml:space="preserve"> </v>
      </c>
      <c r="O465" s="8">
        <v>210</v>
      </c>
      <c r="P465" s="7">
        <v>46001</v>
      </c>
      <c r="R465" s="8">
        <v>0</v>
      </c>
      <c r="S465" s="7">
        <v>46006</v>
      </c>
      <c r="U465" s="8">
        <v>232</v>
      </c>
      <c r="V465" s="7">
        <v>46020</v>
      </c>
      <c r="X465" s="8">
        <v>0</v>
      </c>
      <c r="Z465" s="8">
        <v>232</v>
      </c>
      <c r="AA465" s="7">
        <v>46037</v>
      </c>
      <c r="AC465" s="8">
        <v>193</v>
      </c>
      <c r="AE465" s="7">
        <v>46042</v>
      </c>
      <c r="AF465" s="8">
        <v>193</v>
      </c>
      <c r="AH465" s="7">
        <v>46038</v>
      </c>
      <c r="AN465" s="8">
        <v>193</v>
      </c>
      <c r="AO465" s="8">
        <v>17</v>
      </c>
    </row>
    <row r="466" spans="1:41" x14ac:dyDescent="0.25">
      <c r="A466" s="6" t="str">
        <f t="shared" si="123"/>
        <v>521-2025000634</v>
      </c>
      <c r="B466" s="6" t="str">
        <f t="shared" si="124"/>
        <v>BEDECK L</v>
      </c>
      <c r="C466" s="7">
        <v>45931</v>
      </c>
      <c r="D466" s="7">
        <v>46038</v>
      </c>
      <c r="E466" s="8">
        <v>7</v>
      </c>
      <c r="F466" s="6" t="str">
        <f t="shared" si="125"/>
        <v>P043365 TOALHAS</v>
      </c>
      <c r="G466" s="6" t="str">
        <f t="shared" si="126"/>
        <v>F120291440000001</v>
      </c>
      <c r="H466" s="6" t="str">
        <f t="shared" si="127"/>
        <v>FAJA 2914 - 400 g/m²</v>
      </c>
      <c r="I466" s="6" t="str">
        <f>"1"</f>
        <v>1</v>
      </c>
      <c r="J466" s="6" t="str">
        <f>"BRANCO"</f>
        <v>BRANCO</v>
      </c>
      <c r="K466" s="6" t="str">
        <f>"1020"</f>
        <v>1020</v>
      </c>
      <c r="L466" s="6" t="str">
        <f>"Toalhas"</f>
        <v>Toalhas</v>
      </c>
      <c r="M466" s="6" t="str">
        <f>"50x90"</f>
        <v>50x90</v>
      </c>
      <c r="N466" s="6" t="str">
        <f t="shared" si="128"/>
        <v xml:space="preserve"> </v>
      </c>
      <c r="O466" s="8">
        <v>750</v>
      </c>
      <c r="P466" s="7">
        <v>46001</v>
      </c>
      <c r="R466" s="8">
        <v>0</v>
      </c>
      <c r="S466" s="7">
        <v>46006</v>
      </c>
      <c r="U466" s="8">
        <v>840</v>
      </c>
      <c r="V466" s="7">
        <v>46020</v>
      </c>
      <c r="X466" s="8">
        <v>0</v>
      </c>
      <c r="Z466" s="8">
        <v>840</v>
      </c>
      <c r="AA466" s="7">
        <v>46037</v>
      </c>
      <c r="AC466" s="8">
        <v>735</v>
      </c>
      <c r="AE466" s="7">
        <v>46042</v>
      </c>
      <c r="AF466" s="8">
        <v>735</v>
      </c>
      <c r="AH466" s="7">
        <v>46038</v>
      </c>
      <c r="AN466" s="8">
        <v>735</v>
      </c>
      <c r="AO466" s="8">
        <v>15</v>
      </c>
    </row>
    <row r="467" spans="1:41" x14ac:dyDescent="0.25">
      <c r="A467" s="6" t="str">
        <f t="shared" si="123"/>
        <v>521-2025000634</v>
      </c>
      <c r="B467" s="6" t="str">
        <f t="shared" si="124"/>
        <v>BEDECK L</v>
      </c>
      <c r="C467" s="7">
        <v>45931</v>
      </c>
      <c r="D467" s="7">
        <v>46038</v>
      </c>
      <c r="E467" s="8">
        <v>8</v>
      </c>
      <c r="F467" s="6" t="str">
        <f t="shared" si="125"/>
        <v>P043365 TOALHAS</v>
      </c>
      <c r="G467" s="6" t="str">
        <f t="shared" si="126"/>
        <v>F120291440000001</v>
      </c>
      <c r="H467" s="6" t="str">
        <f t="shared" si="127"/>
        <v>FAJA 2914 - 400 g/m²</v>
      </c>
      <c r="I467" s="6" t="str">
        <f>"1"</f>
        <v>1</v>
      </c>
      <c r="J467" s="6" t="str">
        <f>"BRANCO"</f>
        <v>BRANCO</v>
      </c>
      <c r="K467" s="6" t="str">
        <f>"1532"</f>
        <v>1532</v>
      </c>
      <c r="L467" s="6" t="str">
        <f>"Toalhões"</f>
        <v>Toalhões</v>
      </c>
      <c r="M467" s="6" t="str">
        <f>"70x130"</f>
        <v>70x130</v>
      </c>
      <c r="N467" s="6" t="str">
        <f t="shared" si="128"/>
        <v xml:space="preserve"> </v>
      </c>
      <c r="O467" s="8">
        <v>200</v>
      </c>
      <c r="P467" s="7">
        <v>46001</v>
      </c>
      <c r="R467" s="8">
        <v>0</v>
      </c>
      <c r="S467" s="7">
        <v>46006</v>
      </c>
      <c r="U467" s="8">
        <v>243</v>
      </c>
      <c r="V467" s="7">
        <v>46020</v>
      </c>
      <c r="X467" s="8">
        <v>0</v>
      </c>
      <c r="Z467" s="8">
        <v>243</v>
      </c>
      <c r="AA467" s="7">
        <v>46037</v>
      </c>
      <c r="AC467" s="8">
        <v>204</v>
      </c>
      <c r="AE467" s="7">
        <v>46042</v>
      </c>
      <c r="AF467" s="8">
        <v>204</v>
      </c>
      <c r="AH467" s="7">
        <v>46038</v>
      </c>
      <c r="AN467" s="8">
        <v>204</v>
      </c>
      <c r="AO467" s="8">
        <v>-4</v>
      </c>
    </row>
    <row r="468" spans="1:41" x14ac:dyDescent="0.25">
      <c r="A468" s="6" t="str">
        <f t="shared" si="123"/>
        <v>521-2025000634</v>
      </c>
      <c r="B468" s="6" t="str">
        <f t="shared" si="124"/>
        <v>BEDECK L</v>
      </c>
      <c r="C468" s="7">
        <v>45931</v>
      </c>
      <c r="D468" s="7">
        <v>46038</v>
      </c>
      <c r="E468" s="8">
        <v>9</v>
      </c>
      <c r="F468" s="6" t="str">
        <f t="shared" si="125"/>
        <v>P043365 TOALHAS</v>
      </c>
      <c r="G468" s="6" t="str">
        <f t="shared" si="126"/>
        <v>F120291440000001</v>
      </c>
      <c r="H468" s="6" t="str">
        <f t="shared" si="127"/>
        <v>FAJA 2914 - 400 g/m²</v>
      </c>
      <c r="I468" s="6" t="str">
        <f>"1"</f>
        <v>1</v>
      </c>
      <c r="J468" s="6" t="str">
        <f>"BRANCO"</f>
        <v>BRANCO</v>
      </c>
      <c r="K468" s="6" t="str">
        <f>"2002"</f>
        <v>2002</v>
      </c>
      <c r="L468" s="6" t="str">
        <f>"Lençóis"</f>
        <v>Lençóis</v>
      </c>
      <c r="M468" s="6" t="str">
        <f>"90x150"</f>
        <v>90x150</v>
      </c>
      <c r="N468" s="6" t="str">
        <f t="shared" si="128"/>
        <v xml:space="preserve"> </v>
      </c>
      <c r="O468" s="8">
        <v>200</v>
      </c>
      <c r="P468" s="7">
        <v>46001</v>
      </c>
      <c r="R468" s="8">
        <v>0</v>
      </c>
      <c r="S468" s="7">
        <v>46006</v>
      </c>
      <c r="U468" s="8">
        <v>220</v>
      </c>
      <c r="V468" s="7">
        <v>46020</v>
      </c>
      <c r="X468" s="8">
        <v>0</v>
      </c>
      <c r="Z468" s="8">
        <v>220</v>
      </c>
      <c r="AA468" s="7">
        <v>46037</v>
      </c>
      <c r="AC468" s="8">
        <v>167</v>
      </c>
      <c r="AE468" s="7">
        <v>46042</v>
      </c>
      <c r="AF468" s="8">
        <v>167</v>
      </c>
      <c r="AH468" s="7">
        <v>46038</v>
      </c>
      <c r="AN468" s="8">
        <v>167</v>
      </c>
      <c r="AO468" s="8">
        <v>33</v>
      </c>
    </row>
    <row r="469" spans="1:41" x14ac:dyDescent="0.25">
      <c r="A469" s="6" t="str">
        <f t="shared" ref="A469:A479" si="129">"521-2025000636"</f>
        <v>521-2025000636</v>
      </c>
      <c r="B469" s="6" t="str">
        <f t="shared" si="124"/>
        <v>BEDECK L</v>
      </c>
      <c r="C469" s="7">
        <v>45931</v>
      </c>
      <c r="D469" s="7">
        <v>46038</v>
      </c>
      <c r="E469" s="8">
        <v>1</v>
      </c>
      <c r="F469" s="6" t="str">
        <f t="shared" ref="F469:F479" si="130">"PO43365 ROUPÕES + BA"</f>
        <v>PO43365 ROUPÕES + BA</v>
      </c>
      <c r="G469" s="6" t="str">
        <f t="shared" ref="G469:G474" si="131">"R120319540000002"</f>
        <v>R120319540000002</v>
      </c>
      <c r="H469" s="6" t="str">
        <f t="shared" ref="H469:H474" si="132">"R 3195 - FAJA 2617 F"</f>
        <v>R 3195 - FAJA 2617 F</v>
      </c>
      <c r="I469" s="6" t="str">
        <f>"5565"</f>
        <v>5565</v>
      </c>
      <c r="J469" s="6" t="str">
        <f>"CINZA 5565"</f>
        <v>CINZA 5565</v>
      </c>
      <c r="K469" s="6" t="str">
        <f>"5016"</f>
        <v>5016</v>
      </c>
      <c r="L469" s="6" t="str">
        <f t="shared" ref="L469:L474" si="133">"Roupões Adulto"</f>
        <v>Roupões Adulto</v>
      </c>
      <c r="M469" s="6" t="str">
        <f>"S/M"</f>
        <v>S/M</v>
      </c>
      <c r="N469" s="6" t="str">
        <f t="shared" si="128"/>
        <v xml:space="preserve"> </v>
      </c>
      <c r="O469" s="8">
        <v>100</v>
      </c>
      <c r="P469" s="7">
        <v>45993</v>
      </c>
      <c r="R469" s="8">
        <v>1414</v>
      </c>
      <c r="S469" s="7">
        <v>45996</v>
      </c>
      <c r="U469" s="8">
        <v>380</v>
      </c>
      <c r="V469" s="7">
        <v>46008</v>
      </c>
      <c r="X469" s="8">
        <v>380</v>
      </c>
      <c r="Z469" s="8">
        <v>0</v>
      </c>
      <c r="AA469" s="7">
        <v>46030</v>
      </c>
      <c r="AC469" s="8">
        <v>106</v>
      </c>
      <c r="AE469" s="7">
        <v>46035</v>
      </c>
      <c r="AF469" s="8">
        <v>106</v>
      </c>
      <c r="AH469" s="7">
        <v>46038</v>
      </c>
      <c r="AN469" s="8">
        <v>106</v>
      </c>
      <c r="AO469" s="8">
        <v>-6</v>
      </c>
    </row>
    <row r="470" spans="1:41" x14ac:dyDescent="0.25">
      <c r="A470" s="6" t="str">
        <f t="shared" si="129"/>
        <v>521-2025000636</v>
      </c>
      <c r="B470" s="6" t="str">
        <f t="shared" si="124"/>
        <v>BEDECK L</v>
      </c>
      <c r="C470" s="7">
        <v>45931</v>
      </c>
      <c r="D470" s="7">
        <v>46038</v>
      </c>
      <c r="E470" s="8">
        <v>2</v>
      </c>
      <c r="F470" s="6" t="str">
        <f t="shared" si="130"/>
        <v>PO43365 ROUPÕES + BA</v>
      </c>
      <c r="G470" s="6" t="str">
        <f t="shared" si="131"/>
        <v>R120319540000002</v>
      </c>
      <c r="H470" s="6" t="str">
        <f t="shared" si="132"/>
        <v>R 3195 - FAJA 2617 F</v>
      </c>
      <c r="I470" s="6" t="str">
        <f>"5565"</f>
        <v>5565</v>
      </c>
      <c r="J470" s="6" t="str">
        <f>"CINZA 5565"</f>
        <v>CINZA 5565</v>
      </c>
      <c r="K470" s="6" t="str">
        <f>"5018"</f>
        <v>5018</v>
      </c>
      <c r="L470" s="6" t="str">
        <f t="shared" si="133"/>
        <v>Roupões Adulto</v>
      </c>
      <c r="M470" s="6" t="str">
        <f>"L/XL"</f>
        <v>L/XL</v>
      </c>
      <c r="N470" s="6" t="str">
        <f t="shared" si="128"/>
        <v xml:space="preserve"> </v>
      </c>
      <c r="O470" s="8">
        <v>80</v>
      </c>
      <c r="P470" s="7">
        <v>45993</v>
      </c>
      <c r="R470" s="8">
        <v>0</v>
      </c>
      <c r="S470" s="7">
        <v>45996</v>
      </c>
      <c r="U470" s="8">
        <v>0</v>
      </c>
      <c r="V470" s="7">
        <v>46008</v>
      </c>
      <c r="X470" s="8">
        <v>0</v>
      </c>
      <c r="Z470" s="8">
        <v>0</v>
      </c>
      <c r="AA470" s="7">
        <v>46030</v>
      </c>
      <c r="AC470" s="8">
        <v>91</v>
      </c>
      <c r="AE470" s="7">
        <v>46035</v>
      </c>
      <c r="AF470" s="8">
        <v>91</v>
      </c>
      <c r="AH470" s="7">
        <v>46038</v>
      </c>
      <c r="AN470" s="8">
        <v>91</v>
      </c>
      <c r="AO470" s="8">
        <v>-11</v>
      </c>
    </row>
    <row r="471" spans="1:41" x14ac:dyDescent="0.25">
      <c r="A471" s="6" t="str">
        <f t="shared" si="129"/>
        <v>521-2025000636</v>
      </c>
      <c r="B471" s="6" t="str">
        <f t="shared" si="124"/>
        <v>BEDECK L</v>
      </c>
      <c r="C471" s="7">
        <v>45931</v>
      </c>
      <c r="D471" s="7">
        <v>46038</v>
      </c>
      <c r="E471" s="8">
        <v>3</v>
      </c>
      <c r="F471" s="6" t="str">
        <f t="shared" si="130"/>
        <v>PO43365 ROUPÕES + BA</v>
      </c>
      <c r="G471" s="6" t="str">
        <f t="shared" si="131"/>
        <v>R120319540000002</v>
      </c>
      <c r="H471" s="6" t="str">
        <f t="shared" si="132"/>
        <v>R 3195 - FAJA 2617 F</v>
      </c>
      <c r="I471" s="6" t="str">
        <f>"5551"</f>
        <v>5551</v>
      </c>
      <c r="J471" s="6" t="str">
        <f>"ROSA 5551"</f>
        <v>ROSA 5551</v>
      </c>
      <c r="K471" s="6" t="str">
        <f>"5016"</f>
        <v>5016</v>
      </c>
      <c r="L471" s="6" t="str">
        <f t="shared" si="133"/>
        <v>Roupões Adulto</v>
      </c>
      <c r="M471" s="6" t="str">
        <f>"S/M"</f>
        <v>S/M</v>
      </c>
      <c r="N471" s="6" t="str">
        <f t="shared" si="128"/>
        <v xml:space="preserve"> </v>
      </c>
      <c r="O471" s="8">
        <v>125</v>
      </c>
      <c r="P471" s="7">
        <v>45993</v>
      </c>
      <c r="R471" s="8">
        <v>0</v>
      </c>
      <c r="S471" s="7">
        <v>45996</v>
      </c>
      <c r="U471" s="8">
        <v>434</v>
      </c>
      <c r="V471" s="7">
        <v>46008</v>
      </c>
      <c r="X471" s="8">
        <v>434</v>
      </c>
      <c r="Z471" s="8">
        <v>0</v>
      </c>
      <c r="AA471" s="7">
        <v>46030</v>
      </c>
      <c r="AC471" s="8">
        <v>116</v>
      </c>
      <c r="AE471" s="7">
        <v>46035</v>
      </c>
      <c r="AF471" s="8">
        <v>116</v>
      </c>
      <c r="AH471" s="7">
        <v>46038</v>
      </c>
      <c r="AN471" s="8">
        <v>116</v>
      </c>
      <c r="AO471" s="8">
        <v>9</v>
      </c>
    </row>
    <row r="472" spans="1:41" x14ac:dyDescent="0.25">
      <c r="A472" s="6" t="str">
        <f t="shared" si="129"/>
        <v>521-2025000636</v>
      </c>
      <c r="B472" s="6" t="str">
        <f t="shared" si="124"/>
        <v>BEDECK L</v>
      </c>
      <c r="C472" s="7">
        <v>45931</v>
      </c>
      <c r="D472" s="7">
        <v>46038</v>
      </c>
      <c r="E472" s="8">
        <v>4</v>
      </c>
      <c r="F472" s="6" t="str">
        <f t="shared" si="130"/>
        <v>PO43365 ROUPÕES + BA</v>
      </c>
      <c r="G472" s="6" t="str">
        <f t="shared" si="131"/>
        <v>R120319540000002</v>
      </c>
      <c r="H472" s="6" t="str">
        <f t="shared" si="132"/>
        <v>R 3195 - FAJA 2617 F</v>
      </c>
      <c r="I472" s="6" t="str">
        <f>"5551"</f>
        <v>5551</v>
      </c>
      <c r="J472" s="6" t="str">
        <f>"ROSA 5551"</f>
        <v>ROSA 5551</v>
      </c>
      <c r="K472" s="6" t="str">
        <f>"5018"</f>
        <v>5018</v>
      </c>
      <c r="L472" s="6" t="str">
        <f t="shared" si="133"/>
        <v>Roupões Adulto</v>
      </c>
      <c r="M472" s="6" t="str">
        <f>"L/XL"</f>
        <v>L/XL</v>
      </c>
      <c r="N472" s="6" t="str">
        <f t="shared" si="128"/>
        <v xml:space="preserve"> </v>
      </c>
      <c r="O472" s="8">
        <v>80</v>
      </c>
      <c r="P472" s="7">
        <v>45993</v>
      </c>
      <c r="R472" s="8">
        <v>0</v>
      </c>
      <c r="S472" s="7">
        <v>45996</v>
      </c>
      <c r="U472" s="8">
        <v>0</v>
      </c>
      <c r="V472" s="7">
        <v>46008</v>
      </c>
      <c r="X472" s="8">
        <v>0</v>
      </c>
      <c r="Z472" s="8">
        <v>0</v>
      </c>
      <c r="AA472" s="7">
        <v>46030</v>
      </c>
      <c r="AC472" s="8">
        <v>103</v>
      </c>
      <c r="AE472" s="7">
        <v>46035</v>
      </c>
      <c r="AF472" s="8">
        <v>103</v>
      </c>
      <c r="AH472" s="7">
        <v>46038</v>
      </c>
      <c r="AN472" s="8">
        <v>103</v>
      </c>
      <c r="AO472" s="8">
        <v>-23</v>
      </c>
    </row>
    <row r="473" spans="1:41" x14ac:dyDescent="0.25">
      <c r="A473" s="6" t="str">
        <f t="shared" si="129"/>
        <v>521-2025000636</v>
      </c>
      <c r="B473" s="6" t="str">
        <f t="shared" si="124"/>
        <v>BEDECK L</v>
      </c>
      <c r="C473" s="7">
        <v>45931</v>
      </c>
      <c r="D473" s="7">
        <v>46038</v>
      </c>
      <c r="E473" s="8">
        <v>5</v>
      </c>
      <c r="F473" s="6" t="str">
        <f t="shared" si="130"/>
        <v>PO43365 ROUPÕES + BA</v>
      </c>
      <c r="G473" s="6" t="str">
        <f t="shared" si="131"/>
        <v>R120319540000002</v>
      </c>
      <c r="H473" s="6" t="str">
        <f t="shared" si="132"/>
        <v>R 3195 - FAJA 2617 F</v>
      </c>
      <c r="I473" s="6" t="str">
        <f>"1"</f>
        <v>1</v>
      </c>
      <c r="J473" s="6" t="str">
        <f>"BRANCO"</f>
        <v>BRANCO</v>
      </c>
      <c r="K473" s="6" t="str">
        <f>"5016"</f>
        <v>5016</v>
      </c>
      <c r="L473" s="6" t="str">
        <f t="shared" si="133"/>
        <v>Roupões Adulto</v>
      </c>
      <c r="M473" s="6" t="str">
        <f>"S/M"</f>
        <v>S/M</v>
      </c>
      <c r="N473" s="6" t="str">
        <f t="shared" si="128"/>
        <v xml:space="preserve"> </v>
      </c>
      <c r="O473" s="8">
        <v>180</v>
      </c>
      <c r="P473" s="7">
        <v>45993</v>
      </c>
      <c r="R473" s="8">
        <v>0</v>
      </c>
      <c r="S473" s="7">
        <v>45996</v>
      </c>
      <c r="U473" s="8">
        <v>600</v>
      </c>
      <c r="V473" s="7">
        <v>46008</v>
      </c>
      <c r="X473" s="8">
        <v>600</v>
      </c>
      <c r="Z473" s="8">
        <v>0</v>
      </c>
      <c r="AA473" s="7">
        <v>46030</v>
      </c>
      <c r="AC473" s="8">
        <v>135</v>
      </c>
      <c r="AE473" s="7">
        <v>46035</v>
      </c>
      <c r="AF473" s="8">
        <v>135</v>
      </c>
      <c r="AH473" s="7">
        <v>46038</v>
      </c>
      <c r="AN473" s="8">
        <v>135</v>
      </c>
      <c r="AO473" s="8">
        <v>45</v>
      </c>
    </row>
    <row r="474" spans="1:41" x14ac:dyDescent="0.25">
      <c r="A474" s="6" t="str">
        <f t="shared" si="129"/>
        <v>521-2025000636</v>
      </c>
      <c r="B474" s="6" t="str">
        <f t="shared" si="124"/>
        <v>BEDECK L</v>
      </c>
      <c r="C474" s="7">
        <v>45931</v>
      </c>
      <c r="D474" s="7">
        <v>46038</v>
      </c>
      <c r="E474" s="8">
        <v>6</v>
      </c>
      <c r="F474" s="6" t="str">
        <f t="shared" si="130"/>
        <v>PO43365 ROUPÕES + BA</v>
      </c>
      <c r="G474" s="6" t="str">
        <f t="shared" si="131"/>
        <v>R120319540000002</v>
      </c>
      <c r="H474" s="6" t="str">
        <f t="shared" si="132"/>
        <v>R 3195 - FAJA 2617 F</v>
      </c>
      <c r="I474" s="6" t="str">
        <f>"1"</f>
        <v>1</v>
      </c>
      <c r="J474" s="6" t="str">
        <f>"BRANCO"</f>
        <v>BRANCO</v>
      </c>
      <c r="K474" s="6" t="str">
        <f>"5018"</f>
        <v>5018</v>
      </c>
      <c r="L474" s="6" t="str">
        <f t="shared" si="133"/>
        <v>Roupões Adulto</v>
      </c>
      <c r="M474" s="6" t="str">
        <f>"L/XL"</f>
        <v>L/XL</v>
      </c>
      <c r="N474" s="6" t="str">
        <f t="shared" si="128"/>
        <v xml:space="preserve"> </v>
      </c>
      <c r="O474" s="8">
        <v>100</v>
      </c>
      <c r="P474" s="7">
        <v>45993</v>
      </c>
      <c r="R474" s="8">
        <v>0</v>
      </c>
      <c r="S474" s="7">
        <v>45996</v>
      </c>
      <c r="U474" s="8">
        <v>0</v>
      </c>
      <c r="V474" s="7">
        <v>46008</v>
      </c>
      <c r="X474" s="8">
        <v>0</v>
      </c>
      <c r="Z474" s="8">
        <v>0</v>
      </c>
      <c r="AA474" s="7">
        <v>46030</v>
      </c>
      <c r="AC474" s="8">
        <v>101</v>
      </c>
      <c r="AE474" s="7">
        <v>46035</v>
      </c>
      <c r="AF474" s="8">
        <v>101</v>
      </c>
      <c r="AH474" s="7">
        <v>46038</v>
      </c>
      <c r="AN474" s="8">
        <v>101</v>
      </c>
      <c r="AO474" s="8">
        <v>-1</v>
      </c>
    </row>
    <row r="475" spans="1:41" x14ac:dyDescent="0.25">
      <c r="A475" s="6" t="str">
        <f t="shared" si="129"/>
        <v>521-2025000636</v>
      </c>
      <c r="B475" s="6" t="str">
        <f t="shared" si="124"/>
        <v>BEDECK L</v>
      </c>
      <c r="C475" s="7">
        <v>45931</v>
      </c>
      <c r="D475" s="7">
        <v>46038</v>
      </c>
      <c r="E475" s="8">
        <v>8</v>
      </c>
      <c r="F475" s="6" t="str">
        <f t="shared" si="130"/>
        <v>PO43365 ROUPÕES + BA</v>
      </c>
      <c r="G475" s="6" t="str">
        <f>"K120179930000001"</f>
        <v>K120179930000001</v>
      </c>
      <c r="H475" s="6" t="str">
        <f>"KB 1799 - FAJA 3040"</f>
        <v>KB 1799 - FAJA 3040</v>
      </c>
      <c r="I475" s="6" t="str">
        <f>"5551"</f>
        <v>5551</v>
      </c>
      <c r="J475" s="6" t="str">
        <f>"ROSA 5551"</f>
        <v>ROSA 5551</v>
      </c>
      <c r="K475" s="6" t="str">
        <f>"8501"</f>
        <v>8501</v>
      </c>
      <c r="L475" s="6" t="str">
        <f>"Bolsas"</f>
        <v>Bolsas</v>
      </c>
      <c r="M475" s="6" t="str">
        <f>"Único"</f>
        <v>Único</v>
      </c>
      <c r="N475" s="6" t="str">
        <f t="shared" si="128"/>
        <v xml:space="preserve"> </v>
      </c>
      <c r="O475" s="8">
        <v>100</v>
      </c>
      <c r="P475" s="7">
        <v>45993</v>
      </c>
      <c r="R475" s="8">
        <v>0</v>
      </c>
      <c r="S475" s="7">
        <v>45996</v>
      </c>
      <c r="U475" s="8">
        <v>85</v>
      </c>
      <c r="V475" s="7">
        <v>46008</v>
      </c>
      <c r="X475" s="8">
        <v>0</v>
      </c>
      <c r="Z475" s="8">
        <v>0</v>
      </c>
      <c r="AA475" s="7">
        <v>46030</v>
      </c>
      <c r="AC475" s="8">
        <v>109</v>
      </c>
      <c r="AE475" s="7">
        <v>46035</v>
      </c>
      <c r="AF475" s="8">
        <v>109</v>
      </c>
      <c r="AH475" s="7">
        <v>46038</v>
      </c>
      <c r="AN475" s="8">
        <v>109</v>
      </c>
      <c r="AO475" s="8">
        <v>-9</v>
      </c>
    </row>
    <row r="476" spans="1:41" x14ac:dyDescent="0.25">
      <c r="A476" s="6" t="str">
        <f t="shared" si="129"/>
        <v>521-2025000636</v>
      </c>
      <c r="B476" s="6" t="str">
        <f t="shared" si="124"/>
        <v>BEDECK L</v>
      </c>
      <c r="C476" s="7">
        <v>45931</v>
      </c>
      <c r="D476" s="7">
        <v>46038</v>
      </c>
      <c r="E476" s="8">
        <v>9</v>
      </c>
      <c r="F476" s="6" t="str">
        <f t="shared" si="130"/>
        <v>PO43365 ROUPÕES + BA</v>
      </c>
      <c r="G476" s="6" t="str">
        <f>"K120179930000001"</f>
        <v>K120179930000001</v>
      </c>
      <c r="H476" s="6" t="str">
        <f>"KB 1799 - FAJA 3040"</f>
        <v>KB 1799 - FAJA 3040</v>
      </c>
      <c r="I476" s="6" t="str">
        <f>"1"</f>
        <v>1</v>
      </c>
      <c r="J476" s="6" t="str">
        <f>"BRANCO"</f>
        <v>BRANCO</v>
      </c>
      <c r="K476" s="6" t="str">
        <f>"8501"</f>
        <v>8501</v>
      </c>
      <c r="L476" s="6" t="str">
        <f>"Bolsas"</f>
        <v>Bolsas</v>
      </c>
      <c r="M476" s="6" t="str">
        <f>"Único"</f>
        <v>Único</v>
      </c>
      <c r="N476" s="6" t="str">
        <f t="shared" si="128"/>
        <v xml:space="preserve"> </v>
      </c>
      <c r="O476" s="8">
        <v>50</v>
      </c>
      <c r="P476" s="7">
        <v>45993</v>
      </c>
      <c r="R476" s="8">
        <v>0</v>
      </c>
      <c r="S476" s="7">
        <v>45996</v>
      </c>
      <c r="U476" s="8">
        <v>77</v>
      </c>
      <c r="V476" s="7">
        <v>46008</v>
      </c>
      <c r="X476" s="8">
        <v>0</v>
      </c>
      <c r="Z476" s="8">
        <v>0</v>
      </c>
      <c r="AA476" s="7">
        <v>46030</v>
      </c>
      <c r="AC476" s="8">
        <v>59</v>
      </c>
      <c r="AE476" s="7">
        <v>46035</v>
      </c>
      <c r="AF476" s="8">
        <v>59</v>
      </c>
      <c r="AH476" s="7">
        <v>46038</v>
      </c>
      <c r="AN476" s="8">
        <v>59</v>
      </c>
      <c r="AO476" s="8">
        <v>-9</v>
      </c>
    </row>
    <row r="477" spans="1:41" x14ac:dyDescent="0.25">
      <c r="A477" s="6" t="str">
        <f t="shared" si="129"/>
        <v>521-2025000636</v>
      </c>
      <c r="B477" s="6" t="str">
        <f t="shared" si="124"/>
        <v>BEDECK L</v>
      </c>
      <c r="C477" s="7">
        <v>45931</v>
      </c>
      <c r="D477" s="7">
        <v>46038</v>
      </c>
      <c r="E477" s="8">
        <v>10</v>
      </c>
      <c r="F477" s="6" t="str">
        <f t="shared" si="130"/>
        <v>PO43365 ROUPÕES + BA</v>
      </c>
      <c r="G477" s="6" t="str">
        <f>"K120180030000001"</f>
        <v>K120180030000001</v>
      </c>
      <c r="H477" s="6" t="str">
        <f>"KB 1800 - FAJA 3040"</f>
        <v>KB 1800 - FAJA 3040</v>
      </c>
      <c r="I477" s="6" t="str">
        <f>"5565"</f>
        <v>5565</v>
      </c>
      <c r="J477" s="6" t="str">
        <f>"CINZA 5565"</f>
        <v>CINZA 5565</v>
      </c>
      <c r="K477" s="6" t="str">
        <f>"4801"</f>
        <v>4801</v>
      </c>
      <c r="L477" s="6" t="str">
        <f>"Chinelos"</f>
        <v>Chinelos</v>
      </c>
      <c r="M477" s="6" t="str">
        <f>"Unico"</f>
        <v>Unico</v>
      </c>
      <c r="N477" s="6" t="str">
        <f t="shared" si="128"/>
        <v xml:space="preserve"> </v>
      </c>
      <c r="O477" s="8">
        <v>200</v>
      </c>
      <c r="P477" s="7">
        <v>45993</v>
      </c>
      <c r="R477" s="8">
        <v>0</v>
      </c>
      <c r="S477" s="7">
        <v>45996</v>
      </c>
      <c r="U477" s="8">
        <v>50</v>
      </c>
      <c r="V477" s="7">
        <v>46008</v>
      </c>
      <c r="X477" s="8">
        <v>0</v>
      </c>
      <c r="Z477" s="8">
        <v>0</v>
      </c>
      <c r="AA477" s="7">
        <v>46030</v>
      </c>
      <c r="AC477" s="8">
        <v>211</v>
      </c>
      <c r="AE477" s="7">
        <v>46035</v>
      </c>
      <c r="AF477" s="8">
        <v>211</v>
      </c>
      <c r="AH477" s="7">
        <v>46038</v>
      </c>
      <c r="AN477" s="8">
        <v>211</v>
      </c>
      <c r="AO477" s="8">
        <v>-11</v>
      </c>
    </row>
    <row r="478" spans="1:41" x14ac:dyDescent="0.25">
      <c r="A478" s="6" t="str">
        <f t="shared" si="129"/>
        <v>521-2025000636</v>
      </c>
      <c r="B478" s="6" t="str">
        <f t="shared" si="124"/>
        <v>BEDECK L</v>
      </c>
      <c r="C478" s="7">
        <v>45931</v>
      </c>
      <c r="D478" s="7">
        <v>46038</v>
      </c>
      <c r="E478" s="8">
        <v>11</v>
      </c>
      <c r="F478" s="6" t="str">
        <f t="shared" si="130"/>
        <v>PO43365 ROUPÕES + BA</v>
      </c>
      <c r="G478" s="6" t="str">
        <f>"K120180030000001"</f>
        <v>K120180030000001</v>
      </c>
      <c r="H478" s="6" t="str">
        <f>"KB 1800 - FAJA 3040"</f>
        <v>KB 1800 - FAJA 3040</v>
      </c>
      <c r="I478" s="6" t="str">
        <f>"5551"</f>
        <v>5551</v>
      </c>
      <c r="J478" s="6" t="str">
        <f>"ROSA 5551"</f>
        <v>ROSA 5551</v>
      </c>
      <c r="K478" s="6" t="str">
        <f>"4801"</f>
        <v>4801</v>
      </c>
      <c r="L478" s="6" t="str">
        <f>"Chinelos"</f>
        <v>Chinelos</v>
      </c>
      <c r="M478" s="6" t="str">
        <f>"Unico"</f>
        <v>Unico</v>
      </c>
      <c r="N478" s="6" t="str">
        <f t="shared" si="128"/>
        <v xml:space="preserve"> </v>
      </c>
      <c r="O478" s="8">
        <v>305</v>
      </c>
      <c r="P478" s="7">
        <v>45993</v>
      </c>
      <c r="R478" s="8">
        <v>0</v>
      </c>
      <c r="S478" s="7">
        <v>45996</v>
      </c>
      <c r="U478" s="8">
        <v>0</v>
      </c>
      <c r="V478" s="7">
        <v>46008</v>
      </c>
      <c r="X478" s="8">
        <v>0</v>
      </c>
      <c r="Z478" s="8">
        <v>0</v>
      </c>
      <c r="AA478" s="7">
        <v>46030</v>
      </c>
      <c r="AC478" s="8">
        <v>316</v>
      </c>
      <c r="AE478" s="7">
        <v>46035</v>
      </c>
      <c r="AF478" s="8">
        <v>316</v>
      </c>
      <c r="AH478" s="7">
        <v>46038</v>
      </c>
      <c r="AN478" s="8">
        <v>316</v>
      </c>
      <c r="AO478" s="8">
        <v>-11</v>
      </c>
    </row>
    <row r="479" spans="1:41" x14ac:dyDescent="0.25">
      <c r="A479" s="6" t="str">
        <f t="shared" si="129"/>
        <v>521-2025000636</v>
      </c>
      <c r="B479" s="6" t="str">
        <f t="shared" si="124"/>
        <v>BEDECK L</v>
      </c>
      <c r="C479" s="7">
        <v>45931</v>
      </c>
      <c r="D479" s="7">
        <v>46038</v>
      </c>
      <c r="E479" s="8">
        <v>12</v>
      </c>
      <c r="F479" s="6" t="str">
        <f t="shared" si="130"/>
        <v>PO43365 ROUPÕES + BA</v>
      </c>
      <c r="G479" s="6" t="str">
        <f>"K120180030000001"</f>
        <v>K120180030000001</v>
      </c>
      <c r="H479" s="6" t="str">
        <f>"KB 1800 - FAJA 3040"</f>
        <v>KB 1800 - FAJA 3040</v>
      </c>
      <c r="I479" s="6" t="str">
        <f>"1"</f>
        <v>1</v>
      </c>
      <c r="J479" s="6" t="str">
        <f>"BRANCO"</f>
        <v>BRANCO</v>
      </c>
      <c r="K479" s="6" t="str">
        <f>"4801"</f>
        <v>4801</v>
      </c>
      <c r="L479" s="6" t="str">
        <f>"Chinelos"</f>
        <v>Chinelos</v>
      </c>
      <c r="M479" s="6" t="str">
        <f>"Unico"</f>
        <v>Unico</v>
      </c>
      <c r="N479" s="6" t="str">
        <f t="shared" si="128"/>
        <v xml:space="preserve"> </v>
      </c>
      <c r="O479" s="8">
        <v>300</v>
      </c>
      <c r="P479" s="7">
        <v>45993</v>
      </c>
      <c r="R479" s="8">
        <v>213</v>
      </c>
      <c r="S479" s="7">
        <v>45996</v>
      </c>
      <c r="U479" s="8">
        <v>0</v>
      </c>
      <c r="V479" s="7">
        <v>46008</v>
      </c>
      <c r="X479" s="8">
        <v>0</v>
      </c>
      <c r="Z479" s="8">
        <v>0</v>
      </c>
      <c r="AA479" s="7">
        <v>46030</v>
      </c>
      <c r="AC479" s="8">
        <v>315</v>
      </c>
      <c r="AE479" s="7">
        <v>46035</v>
      </c>
      <c r="AF479" s="8">
        <v>315</v>
      </c>
      <c r="AH479" s="7">
        <v>46038</v>
      </c>
      <c r="AN479" s="8">
        <v>315</v>
      </c>
      <c r="AO479" s="8">
        <v>-15</v>
      </c>
    </row>
    <row r="480" spans="1:41" x14ac:dyDescent="0.25">
      <c r="A480" s="6" t="str">
        <f>"521-2025000638"</f>
        <v>521-2025000638</v>
      </c>
      <c r="B480" s="6" t="str">
        <f>"CENTRE E"</f>
        <v>CENTRE E</v>
      </c>
      <c r="C480" s="7">
        <v>45931</v>
      </c>
      <c r="D480" s="7">
        <v>46038</v>
      </c>
      <c r="E480" s="8">
        <v>1</v>
      </c>
      <c r="F480" s="6" t="str">
        <f>"RN ACADEMY - 2ST SHI"</f>
        <v>RN ACADEMY - 2ST SHI</v>
      </c>
      <c r="G480" s="6" t="str">
        <f>"F310631155000000"</f>
        <v>F310631155000000</v>
      </c>
      <c r="H480" s="6" t="str">
        <f>"PLAR 6311 - 550 g/m²"</f>
        <v>PLAR 6311 - 550 g/m²</v>
      </c>
      <c r="I480" s="6" t="str">
        <f>"204814"</f>
        <v>204814</v>
      </c>
      <c r="J480" s="6" t="str">
        <f>"AZUL 4814"</f>
        <v>AZUL 4814</v>
      </c>
      <c r="K480" s="6" t="str">
        <f>"1024"</f>
        <v>1024</v>
      </c>
      <c r="L480" s="6" t="str">
        <f>"Toalhas"</f>
        <v>Toalhas</v>
      </c>
      <c r="M480" s="6" t="str">
        <f>"50x100"</f>
        <v>50x100</v>
      </c>
      <c r="N480" s="6" t="str">
        <f t="shared" si="128"/>
        <v xml:space="preserve"> </v>
      </c>
      <c r="O480" s="8">
        <v>1575</v>
      </c>
      <c r="P480" s="7">
        <v>46007</v>
      </c>
      <c r="R480" s="8">
        <v>0</v>
      </c>
      <c r="S480" s="7">
        <v>46027</v>
      </c>
      <c r="U480" s="8">
        <v>1728</v>
      </c>
      <c r="V480" s="7">
        <v>46020</v>
      </c>
      <c r="X480" s="8">
        <v>0</v>
      </c>
      <c r="Z480" s="8">
        <v>1728</v>
      </c>
      <c r="AA480" s="7">
        <v>46036</v>
      </c>
      <c r="AC480" s="8">
        <v>1626</v>
      </c>
      <c r="AE480" s="7">
        <v>46038</v>
      </c>
      <c r="AF480" s="8">
        <v>1626</v>
      </c>
      <c r="AH480" s="7">
        <v>46038</v>
      </c>
      <c r="AN480" s="8">
        <v>1626</v>
      </c>
      <c r="AO480" s="8">
        <v>-51</v>
      </c>
    </row>
    <row r="481" spans="1:41" x14ac:dyDescent="0.25">
      <c r="A481" s="6" t="str">
        <f>"521-2025000638"</f>
        <v>521-2025000638</v>
      </c>
      <c r="B481" s="6" t="str">
        <f>"CENTRE E"</f>
        <v>CENTRE E</v>
      </c>
      <c r="C481" s="7">
        <v>45931</v>
      </c>
      <c r="D481" s="7">
        <v>46038</v>
      </c>
      <c r="E481" s="8">
        <v>2</v>
      </c>
      <c r="F481" s="6" t="str">
        <f>"RN ACADEMY - 2ST SHI"</f>
        <v>RN ACADEMY - 2ST SHI</v>
      </c>
      <c r="G481" s="6" t="str">
        <f>"F310631155000000"</f>
        <v>F310631155000000</v>
      </c>
      <c r="H481" s="6" t="str">
        <f>"PLAR 6311 - 550 g/m²"</f>
        <v>PLAR 6311 - 550 g/m²</v>
      </c>
      <c r="I481" s="6" t="str">
        <f>"204816"</f>
        <v>204816</v>
      </c>
      <c r="J481" s="6" t="str">
        <f>"LARANJA 4816"</f>
        <v>LARANJA 4816</v>
      </c>
      <c r="K481" s="6" t="str">
        <f>"1024"</f>
        <v>1024</v>
      </c>
      <c r="L481" s="6" t="str">
        <f>"Toalhas"</f>
        <v>Toalhas</v>
      </c>
      <c r="M481" s="6" t="str">
        <f>"50x100"</f>
        <v>50x100</v>
      </c>
      <c r="N481" s="6" t="str">
        <f t="shared" si="128"/>
        <v xml:space="preserve"> </v>
      </c>
      <c r="O481" s="8">
        <v>1575</v>
      </c>
      <c r="P481" s="7">
        <v>46007</v>
      </c>
      <c r="R481" s="8">
        <v>0</v>
      </c>
      <c r="S481" s="7">
        <v>46027</v>
      </c>
      <c r="U481" s="8">
        <v>1728</v>
      </c>
      <c r="V481" s="7">
        <v>46020</v>
      </c>
      <c r="X481" s="8">
        <v>0</v>
      </c>
      <c r="Z481" s="8">
        <v>1728</v>
      </c>
      <c r="AA481" s="7">
        <v>46036</v>
      </c>
      <c r="AC481" s="8">
        <v>1733</v>
      </c>
      <c r="AE481" s="7">
        <v>46038</v>
      </c>
      <c r="AF481" s="8">
        <v>1733</v>
      </c>
      <c r="AH481" s="7">
        <v>46038</v>
      </c>
      <c r="AN481" s="8">
        <v>1733</v>
      </c>
      <c r="AO481" s="8">
        <v>-158</v>
      </c>
    </row>
    <row r="482" spans="1:41" x14ac:dyDescent="0.25">
      <c r="A482" s="6" t="str">
        <f>"521-2025000639"</f>
        <v>521-2025000639</v>
      </c>
      <c r="B482" s="6" t="str">
        <f>"CENTRE E"</f>
        <v>CENTRE E</v>
      </c>
      <c r="C482" s="7">
        <v>45931</v>
      </c>
      <c r="D482" s="7">
        <v>46087</v>
      </c>
      <c r="E482" s="8">
        <v>1</v>
      </c>
      <c r="F482" s="6" t="str">
        <f>"RN ACADEMY - 3ST SHI"</f>
        <v>RN ACADEMY - 3ST SHI</v>
      </c>
      <c r="G482" s="6" t="str">
        <f>"F310631155000000"</f>
        <v>F310631155000000</v>
      </c>
      <c r="H482" s="6" t="str">
        <f>"PLAR 6311 - 550 g/m²"</f>
        <v>PLAR 6311 - 550 g/m²</v>
      </c>
      <c r="I482" s="6" t="str">
        <f>"204814"</f>
        <v>204814</v>
      </c>
      <c r="J482" s="6" t="str">
        <f>"AZUL 4814"</f>
        <v>AZUL 4814</v>
      </c>
      <c r="K482" s="6" t="str">
        <f>"1024"</f>
        <v>1024</v>
      </c>
      <c r="L482" s="6" t="str">
        <f>"Toalhas"</f>
        <v>Toalhas</v>
      </c>
      <c r="M482" s="6" t="str">
        <f>"50x100"</f>
        <v>50x100</v>
      </c>
      <c r="N482" s="6" t="str">
        <f t="shared" si="128"/>
        <v xml:space="preserve"> </v>
      </c>
      <c r="O482" s="8">
        <v>1600</v>
      </c>
      <c r="P482" s="7">
        <v>45690</v>
      </c>
      <c r="R482" s="8">
        <v>5216</v>
      </c>
      <c r="S482" s="7">
        <v>45700</v>
      </c>
      <c r="U482" s="8">
        <v>0</v>
      </c>
      <c r="V482" s="7">
        <v>45698</v>
      </c>
      <c r="X482" s="8">
        <v>0</v>
      </c>
      <c r="Z482" s="8">
        <v>0</v>
      </c>
      <c r="AA482" s="7">
        <v>45709</v>
      </c>
      <c r="AC482" s="8">
        <v>0</v>
      </c>
      <c r="AE482" s="7">
        <v>45713</v>
      </c>
      <c r="AF482" s="8">
        <v>0</v>
      </c>
      <c r="AH482" s="7">
        <v>46087</v>
      </c>
      <c r="AN482" s="8">
        <v>0</v>
      </c>
      <c r="AO482" s="8">
        <v>1600</v>
      </c>
    </row>
    <row r="483" spans="1:41" x14ac:dyDescent="0.25">
      <c r="A483" s="6" t="str">
        <f>"521-2025000639"</f>
        <v>521-2025000639</v>
      </c>
      <c r="B483" s="6" t="str">
        <f>"CENTRE E"</f>
        <v>CENTRE E</v>
      </c>
      <c r="C483" s="7">
        <v>45931</v>
      </c>
      <c r="D483" s="7">
        <v>46087</v>
      </c>
      <c r="E483" s="8">
        <v>2</v>
      </c>
      <c r="F483" s="6" t="str">
        <f>"RN ACADEMY - 3ST SHI"</f>
        <v>RN ACADEMY - 3ST SHI</v>
      </c>
      <c r="G483" s="6" t="str">
        <f>"F310631155000000"</f>
        <v>F310631155000000</v>
      </c>
      <c r="H483" s="6" t="str">
        <f>"PLAR 6311 - 550 g/m²"</f>
        <v>PLAR 6311 - 550 g/m²</v>
      </c>
      <c r="I483" s="6" t="str">
        <f>"204816"</f>
        <v>204816</v>
      </c>
      <c r="J483" s="6" t="str">
        <f>"LARANJA 4816"</f>
        <v>LARANJA 4816</v>
      </c>
      <c r="K483" s="6" t="str">
        <f>"1024"</f>
        <v>1024</v>
      </c>
      <c r="L483" s="6" t="str">
        <f>"Toalhas"</f>
        <v>Toalhas</v>
      </c>
      <c r="M483" s="6" t="str">
        <f>"50x100"</f>
        <v>50x100</v>
      </c>
      <c r="N483" s="6" t="str">
        <f t="shared" si="128"/>
        <v xml:space="preserve"> </v>
      </c>
      <c r="O483" s="8">
        <v>1600</v>
      </c>
      <c r="P483" s="7">
        <v>45690</v>
      </c>
      <c r="R483" s="8">
        <v>5264</v>
      </c>
      <c r="S483" s="7">
        <v>45700</v>
      </c>
      <c r="U483" s="8">
        <v>0</v>
      </c>
      <c r="V483" s="7">
        <v>45698</v>
      </c>
      <c r="X483" s="8">
        <v>0</v>
      </c>
      <c r="Z483" s="8">
        <v>0</v>
      </c>
      <c r="AA483" s="7">
        <v>45709</v>
      </c>
      <c r="AC483" s="8">
        <v>0</v>
      </c>
      <c r="AE483" s="7">
        <v>45713</v>
      </c>
      <c r="AF483" s="8">
        <v>0</v>
      </c>
      <c r="AH483" s="7">
        <v>46087</v>
      </c>
      <c r="AN483" s="8">
        <v>0</v>
      </c>
      <c r="AO483" s="8">
        <v>1600</v>
      </c>
    </row>
    <row r="484" spans="1:41" x14ac:dyDescent="0.25">
      <c r="A484" s="6" t="str">
        <f>"521-2025000644"</f>
        <v>521-2025000644</v>
      </c>
      <c r="B484" s="6" t="str">
        <f>"CARRE BL"</f>
        <v>CARRE BL</v>
      </c>
      <c r="C484" s="7">
        <v>45932</v>
      </c>
      <c r="D484" s="7">
        <v>46066</v>
      </c>
      <c r="E484" s="8">
        <v>1</v>
      </c>
      <c r="F484" s="6" t="str">
        <f>"513379"</f>
        <v>513379</v>
      </c>
      <c r="G484" s="6" t="str">
        <f>"F310630950000000"</f>
        <v>F310630950000000</v>
      </c>
      <c r="H484" s="6" t="str">
        <f>"PLAR 6309 Bio GOTS -"</f>
        <v>PLAR 6309 Bio GOTS -</v>
      </c>
      <c r="I484" s="6" t="str">
        <f>"200525"</f>
        <v>200525</v>
      </c>
      <c r="J484" s="6" t="str">
        <f>"AZUL 525"</f>
        <v>AZUL 525</v>
      </c>
      <c r="K484" s="6" t="str">
        <f>"1520"</f>
        <v>1520</v>
      </c>
      <c r="L484" s="6" t="str">
        <f>"Toalhões"</f>
        <v>Toalhões</v>
      </c>
      <c r="M484" s="6" t="str">
        <f>"70x105"</f>
        <v>70x105</v>
      </c>
      <c r="N484" s="6" t="str">
        <f t="shared" si="128"/>
        <v xml:space="preserve"> </v>
      </c>
      <c r="O484" s="8">
        <v>1008</v>
      </c>
      <c r="P484" s="7">
        <v>46040</v>
      </c>
      <c r="R484" s="8">
        <v>0</v>
      </c>
      <c r="S484" s="7">
        <v>46043</v>
      </c>
      <c r="U484" s="8">
        <v>1068</v>
      </c>
      <c r="V484" s="7">
        <v>46048</v>
      </c>
      <c r="X484" s="8">
        <v>0</v>
      </c>
      <c r="Z484" s="8">
        <v>1068</v>
      </c>
      <c r="AA484" s="7">
        <v>46058</v>
      </c>
      <c r="AC484" s="8">
        <v>0</v>
      </c>
      <c r="AE484" s="7">
        <v>46078</v>
      </c>
      <c r="AF484" s="8">
        <v>0</v>
      </c>
      <c r="AH484" s="7">
        <v>46066</v>
      </c>
      <c r="AI484" s="7">
        <v>46076</v>
      </c>
      <c r="AN484" s="8">
        <v>0</v>
      </c>
      <c r="AO484" s="8">
        <v>1008</v>
      </c>
    </row>
    <row r="485" spans="1:41" x14ac:dyDescent="0.25">
      <c r="A485" s="6" t="str">
        <f>"521-2025000646"</f>
        <v>521-2025000646</v>
      </c>
      <c r="B485" s="6" t="str">
        <f>"CARRE BL"</f>
        <v>CARRE BL</v>
      </c>
      <c r="C485" s="7">
        <v>45932</v>
      </c>
      <c r="D485" s="7">
        <v>46066</v>
      </c>
      <c r="E485" s="8">
        <v>1</v>
      </c>
      <c r="F485" s="6" t="str">
        <f>"513380"</f>
        <v>513380</v>
      </c>
      <c r="G485" s="6" t="str">
        <f>"F310630950000000"</f>
        <v>F310630950000000</v>
      </c>
      <c r="H485" s="6" t="str">
        <f>"PLAR 6309 Bio GOTS -"</f>
        <v>PLAR 6309 Bio GOTS -</v>
      </c>
      <c r="I485" s="6" t="str">
        <f>"200525"</f>
        <v>200525</v>
      </c>
      <c r="J485" s="6" t="str">
        <f>"AZUL 525"</f>
        <v>AZUL 525</v>
      </c>
      <c r="K485" s="6" t="str">
        <f>"1520"</f>
        <v>1520</v>
      </c>
      <c r="L485" s="6" t="str">
        <f>"Toalhões"</f>
        <v>Toalhões</v>
      </c>
      <c r="M485" s="6" t="str">
        <f>"70x105"</f>
        <v>70x105</v>
      </c>
      <c r="N485" s="6" t="str">
        <f t="shared" si="128"/>
        <v xml:space="preserve"> </v>
      </c>
      <c r="O485" s="8">
        <v>1590</v>
      </c>
      <c r="P485" s="7">
        <v>46040</v>
      </c>
      <c r="R485" s="8">
        <v>2856</v>
      </c>
      <c r="S485" s="7">
        <v>46043</v>
      </c>
      <c r="U485" s="8">
        <v>1686</v>
      </c>
      <c r="V485" s="7">
        <v>46048</v>
      </c>
      <c r="X485" s="8">
        <v>0</v>
      </c>
      <c r="Z485" s="8">
        <v>198</v>
      </c>
      <c r="AA485" s="7">
        <v>46058</v>
      </c>
      <c r="AC485" s="8">
        <v>0</v>
      </c>
      <c r="AE485" s="7">
        <v>46078</v>
      </c>
      <c r="AF485" s="8">
        <v>0</v>
      </c>
      <c r="AH485" s="7">
        <v>46066</v>
      </c>
      <c r="AI485" s="7">
        <v>46076</v>
      </c>
      <c r="AN485" s="8">
        <v>0</v>
      </c>
      <c r="AO485" s="8">
        <v>1590</v>
      </c>
    </row>
    <row r="486" spans="1:41" x14ac:dyDescent="0.25">
      <c r="A486" s="6" t="str">
        <f>"521-2025000646"</f>
        <v>521-2025000646</v>
      </c>
      <c r="B486" s="6" t="str">
        <f>"CARRE BL"</f>
        <v>CARRE BL</v>
      </c>
      <c r="C486" s="7">
        <v>45932</v>
      </c>
      <c r="D486" s="7">
        <v>46066</v>
      </c>
      <c r="E486" s="8">
        <v>4</v>
      </c>
      <c r="F486" s="6" t="str">
        <f>"513380"</f>
        <v>513380</v>
      </c>
      <c r="G486" s="6" t="str">
        <f>"F310631050004011"</f>
        <v>F310631050004011</v>
      </c>
      <c r="H486" s="6" t="str">
        <f>"PLAR 6310 Bio GOTS /"</f>
        <v>PLAR 6310 Bio GOTS /</v>
      </c>
      <c r="I486" s="6" t="str">
        <f>"204037"</f>
        <v>204037</v>
      </c>
      <c r="J486" s="6" t="str">
        <f>"AZUL 4037"</f>
        <v>AZUL 4037</v>
      </c>
      <c r="K486" s="6" t="str">
        <f>"1520"</f>
        <v>1520</v>
      </c>
      <c r="L486" s="6" t="str">
        <f>"Toalhões"</f>
        <v>Toalhões</v>
      </c>
      <c r="M486" s="6" t="str">
        <f>"70x105"</f>
        <v>70x105</v>
      </c>
      <c r="N486" s="6" t="str">
        <f t="shared" si="128"/>
        <v xml:space="preserve"> </v>
      </c>
      <c r="O486" s="8">
        <v>1110</v>
      </c>
      <c r="P486" s="7">
        <v>46040</v>
      </c>
      <c r="R486" s="8">
        <v>1152</v>
      </c>
      <c r="S486" s="7">
        <v>46043</v>
      </c>
      <c r="U486" s="8">
        <v>1233</v>
      </c>
      <c r="V486" s="7">
        <v>46048</v>
      </c>
      <c r="X486" s="8">
        <v>0</v>
      </c>
      <c r="Z486" s="8">
        <v>0</v>
      </c>
      <c r="AA486" s="7">
        <v>46058</v>
      </c>
      <c r="AC486" s="8">
        <v>0</v>
      </c>
      <c r="AE486" s="7">
        <v>46078</v>
      </c>
      <c r="AF486" s="8">
        <v>0</v>
      </c>
      <c r="AH486" s="7">
        <v>46066</v>
      </c>
      <c r="AI486" s="7">
        <v>46076</v>
      </c>
      <c r="AN486" s="8">
        <v>0</v>
      </c>
      <c r="AO486" s="8">
        <v>1110</v>
      </c>
    </row>
    <row r="487" spans="1:41" x14ac:dyDescent="0.25">
      <c r="A487" s="6" t="str">
        <f>"521-2025000646"</f>
        <v>521-2025000646</v>
      </c>
      <c r="B487" s="6" t="str">
        <f>"CARRE BL"</f>
        <v>CARRE BL</v>
      </c>
      <c r="C487" s="7">
        <v>45932</v>
      </c>
      <c r="D487" s="7">
        <v>46066</v>
      </c>
      <c r="E487" s="8">
        <v>5</v>
      </c>
      <c r="F487" s="6" t="str">
        <f>"513380"</f>
        <v>513380</v>
      </c>
      <c r="G487" s="6" t="str">
        <f>"F310630950000000"</f>
        <v>F310630950000000</v>
      </c>
      <c r="H487" s="6" t="str">
        <f>"PLAR 6309 Bio GOTS -"</f>
        <v>PLAR 6309 Bio GOTS -</v>
      </c>
      <c r="I487" s="6" t="str">
        <f>"200525"</f>
        <v>200525</v>
      </c>
      <c r="J487" s="6" t="str">
        <f>"AZUL 525"</f>
        <v>AZUL 525</v>
      </c>
      <c r="K487" s="6" t="str">
        <f>"2027"</f>
        <v>2027</v>
      </c>
      <c r="L487" s="6" t="str">
        <f>"Lençóis"</f>
        <v>Lençóis</v>
      </c>
      <c r="M487" s="6" t="str">
        <f>"100x170"</f>
        <v>100x170</v>
      </c>
      <c r="N487" s="6" t="str">
        <f t="shared" si="128"/>
        <v xml:space="preserve"> </v>
      </c>
      <c r="O487" s="8">
        <v>400</v>
      </c>
      <c r="P487" s="7">
        <v>46040</v>
      </c>
      <c r="R487" s="8">
        <v>0</v>
      </c>
      <c r="S487" s="7">
        <v>46043</v>
      </c>
      <c r="U487" s="8">
        <v>424</v>
      </c>
      <c r="V487" s="7">
        <v>46048</v>
      </c>
      <c r="X487" s="8">
        <v>0</v>
      </c>
      <c r="Z487" s="8">
        <v>424</v>
      </c>
      <c r="AA487" s="7">
        <v>46058</v>
      </c>
      <c r="AC487" s="8">
        <v>0</v>
      </c>
      <c r="AE487" s="7">
        <v>46078</v>
      </c>
      <c r="AF487" s="8">
        <v>0</v>
      </c>
      <c r="AH487" s="7">
        <v>46066</v>
      </c>
      <c r="AI487" s="7">
        <v>46076</v>
      </c>
      <c r="AN487" s="8">
        <v>0</v>
      </c>
      <c r="AO487" s="8">
        <v>400</v>
      </c>
    </row>
    <row r="488" spans="1:41" x14ac:dyDescent="0.25">
      <c r="A488" s="6" t="str">
        <f>"521-2025000646"</f>
        <v>521-2025000646</v>
      </c>
      <c r="B488" s="6" t="str">
        <f>"CARRE BL"</f>
        <v>CARRE BL</v>
      </c>
      <c r="C488" s="7">
        <v>45932</v>
      </c>
      <c r="D488" s="7">
        <v>46066</v>
      </c>
      <c r="E488" s="8">
        <v>6</v>
      </c>
      <c r="F488" s="6" t="str">
        <f>"513380"</f>
        <v>513380</v>
      </c>
      <c r="G488" s="6" t="str">
        <f>"F310631050004011"</f>
        <v>F310631050004011</v>
      </c>
      <c r="H488" s="6" t="str">
        <f>"PLAR 6310 Bio GOTS /"</f>
        <v>PLAR 6310 Bio GOTS /</v>
      </c>
      <c r="I488" s="6" t="str">
        <f>"204037"</f>
        <v>204037</v>
      </c>
      <c r="J488" s="6" t="str">
        <f>"AZUL 4037"</f>
        <v>AZUL 4037</v>
      </c>
      <c r="K488" s="6" t="str">
        <f>"2027"</f>
        <v>2027</v>
      </c>
      <c r="L488" s="6" t="str">
        <f>"Lençóis"</f>
        <v>Lençóis</v>
      </c>
      <c r="M488" s="6" t="str">
        <f>"100x170"</f>
        <v>100x170</v>
      </c>
      <c r="N488" s="6" t="str">
        <f t="shared" si="128"/>
        <v xml:space="preserve"> </v>
      </c>
      <c r="O488" s="8">
        <v>295</v>
      </c>
      <c r="P488" s="7">
        <v>46040</v>
      </c>
      <c r="R488" s="8">
        <v>0</v>
      </c>
      <c r="S488" s="7">
        <v>46043</v>
      </c>
      <c r="U488" s="8">
        <v>0</v>
      </c>
      <c r="V488" s="7">
        <v>46048</v>
      </c>
      <c r="X488" s="8">
        <v>0</v>
      </c>
      <c r="Z488" s="8">
        <v>0</v>
      </c>
      <c r="AA488" s="7">
        <v>46058</v>
      </c>
      <c r="AC488" s="8">
        <v>0</v>
      </c>
      <c r="AE488" s="7">
        <v>46078</v>
      </c>
      <c r="AF488" s="8">
        <v>0</v>
      </c>
      <c r="AH488" s="7">
        <v>46066</v>
      </c>
      <c r="AI488" s="7">
        <v>46076</v>
      </c>
      <c r="AN488" s="8">
        <v>0</v>
      </c>
      <c r="AO488" s="8">
        <v>295</v>
      </c>
    </row>
    <row r="489" spans="1:41" x14ac:dyDescent="0.25">
      <c r="A489" s="6" t="str">
        <f>"521-2025000659"</f>
        <v>521-2025000659</v>
      </c>
      <c r="B489" s="6" t="str">
        <f>"FOEKJE F"</f>
        <v>FOEKJE F</v>
      </c>
      <c r="C489" s="7">
        <v>45939</v>
      </c>
      <c r="D489" s="7">
        <v>46038</v>
      </c>
      <c r="E489" s="8">
        <v>1</v>
      </c>
      <c r="F489" s="6" t="str">
        <f>"#106 WILD WEAVE KITC"</f>
        <v>#106 WILD WEAVE KITC</v>
      </c>
      <c r="G489" s="6" t="str">
        <f>"F310637138000000"</f>
        <v>F310637138000000</v>
      </c>
      <c r="H489" s="6" t="str">
        <f>"PLAR 6371 - 380 g/m²"</f>
        <v>PLAR 6371 - 380 g/m²</v>
      </c>
      <c r="I489" s="6" t="str">
        <f>"202628"</f>
        <v>202628</v>
      </c>
      <c r="J489" s="6" t="str">
        <f>"VERDE 2628"</f>
        <v>VERDE 2628</v>
      </c>
      <c r="K489" s="6" t="str">
        <f>"0820"</f>
        <v>0820</v>
      </c>
      <c r="L489" s="6" t="str">
        <f>"Cozinha"</f>
        <v>Cozinha</v>
      </c>
      <c r="M489" s="6" t="str">
        <f>"50x50"</f>
        <v>50x50</v>
      </c>
      <c r="N489" s="6" t="str">
        <f t="shared" si="128"/>
        <v xml:space="preserve"> </v>
      </c>
      <c r="O489" s="8">
        <v>2500</v>
      </c>
      <c r="P489" s="7">
        <v>46010</v>
      </c>
      <c r="R489" s="8">
        <v>2692</v>
      </c>
      <c r="S489" s="7">
        <v>46015</v>
      </c>
      <c r="U489" s="8">
        <v>2692</v>
      </c>
      <c r="V489" s="7">
        <v>46024</v>
      </c>
      <c r="X489" s="8">
        <v>0</v>
      </c>
      <c r="Z489" s="8">
        <v>2692</v>
      </c>
      <c r="AA489" s="7">
        <v>46036</v>
      </c>
      <c r="AC489" s="8">
        <v>1680</v>
      </c>
      <c r="AE489" s="7">
        <v>46038</v>
      </c>
      <c r="AF489" s="8">
        <v>1680</v>
      </c>
      <c r="AH489" s="7">
        <v>46038</v>
      </c>
      <c r="AN489" s="8">
        <v>0</v>
      </c>
      <c r="AO489" s="8">
        <v>2500</v>
      </c>
    </row>
    <row r="490" spans="1:41" x14ac:dyDescent="0.25">
      <c r="A490" s="6" t="str">
        <f>"521-2025000660"</f>
        <v>521-2025000660</v>
      </c>
      <c r="B490" s="6" t="str">
        <f>"FOEKJE F"</f>
        <v>FOEKJE F</v>
      </c>
      <c r="C490" s="7">
        <v>45939</v>
      </c>
      <c r="D490" s="7">
        <v>46038</v>
      </c>
      <c r="E490" s="8">
        <v>1</v>
      </c>
      <c r="F490" s="6" t="str">
        <f>"#104 A-1 A-2 B-1 B-2"</f>
        <v>#104 A-1 A-2 B-1 B-2</v>
      </c>
      <c r="G490" s="6" t="str">
        <f>"C001245724500000"</f>
        <v>C001245724500000</v>
      </c>
      <c r="H490" s="6" t="str">
        <f>"CZJ 2457 - 245 g/m²"</f>
        <v>CZJ 2457 - 245 g/m²</v>
      </c>
      <c r="I490" s="6" t="str">
        <f>"200732"</f>
        <v>200732</v>
      </c>
      <c r="J490" s="6" t="str">
        <f>"AZUL 732"</f>
        <v>AZUL 732</v>
      </c>
      <c r="K490" s="6" t="str">
        <f>"0830"</f>
        <v>0830</v>
      </c>
      <c r="L490" s="6" t="str">
        <f>"Cozinha"</f>
        <v>Cozinha</v>
      </c>
      <c r="M490" s="6" t="str">
        <f>"50x70"</f>
        <v>50x70</v>
      </c>
      <c r="N490" s="6" t="str">
        <f t="shared" si="128"/>
        <v xml:space="preserve"> </v>
      </c>
      <c r="O490" s="8">
        <v>1250</v>
      </c>
      <c r="P490" s="7">
        <v>46003</v>
      </c>
      <c r="R490" s="8">
        <v>1420</v>
      </c>
      <c r="S490" s="7">
        <v>46008</v>
      </c>
      <c r="U490" s="8">
        <v>1420</v>
      </c>
      <c r="V490" s="7">
        <v>46015</v>
      </c>
      <c r="X490" s="8">
        <v>0</v>
      </c>
      <c r="Z490" s="8">
        <v>1420</v>
      </c>
      <c r="AA490" s="7">
        <v>46035</v>
      </c>
      <c r="AC490" s="8">
        <v>1390</v>
      </c>
      <c r="AE490" s="7">
        <v>46038</v>
      </c>
      <c r="AF490" s="8">
        <v>1390</v>
      </c>
      <c r="AH490" s="7">
        <v>46038</v>
      </c>
      <c r="AN490" s="8">
        <v>1390</v>
      </c>
      <c r="AO490" s="8">
        <v>-140</v>
      </c>
    </row>
    <row r="491" spans="1:41" x14ac:dyDescent="0.25">
      <c r="A491" s="6" t="str">
        <f>"521-2025000660"</f>
        <v>521-2025000660</v>
      </c>
      <c r="B491" s="6" t="str">
        <f>"FOEKJE F"</f>
        <v>FOEKJE F</v>
      </c>
      <c r="C491" s="7">
        <v>45939</v>
      </c>
      <c r="D491" s="7">
        <v>46038</v>
      </c>
      <c r="E491" s="8">
        <v>2</v>
      </c>
      <c r="F491" s="6" t="str">
        <f>"#104 A-1 A-2 B-1 B-2"</f>
        <v>#104 A-1 A-2 B-1 B-2</v>
      </c>
      <c r="G491" s="6" t="str">
        <f>"C001245724500000"</f>
        <v>C001245724500000</v>
      </c>
      <c r="H491" s="6" t="str">
        <f>"CZJ 2457 - 245 g/m²"</f>
        <v>CZJ 2457 - 245 g/m²</v>
      </c>
      <c r="I491" s="6" t="str">
        <f>"204423"</f>
        <v>204423</v>
      </c>
      <c r="J491" s="6" t="str">
        <f>"VERDE 4423"</f>
        <v>VERDE 4423</v>
      </c>
      <c r="K491" s="6" t="str">
        <f>"0830"</f>
        <v>0830</v>
      </c>
      <c r="L491" s="6" t="str">
        <f>"Cozinha"</f>
        <v>Cozinha</v>
      </c>
      <c r="M491" s="6" t="str">
        <f>"50x70"</f>
        <v>50x70</v>
      </c>
      <c r="N491" s="6" t="str">
        <f t="shared" si="128"/>
        <v xml:space="preserve"> </v>
      </c>
      <c r="O491" s="8">
        <v>1250</v>
      </c>
      <c r="P491" s="7">
        <v>46003</v>
      </c>
      <c r="R491" s="8">
        <v>1400</v>
      </c>
      <c r="S491" s="7">
        <v>46008</v>
      </c>
      <c r="U491" s="8">
        <v>1400</v>
      </c>
      <c r="V491" s="7">
        <v>46015</v>
      </c>
      <c r="X491" s="8">
        <v>0</v>
      </c>
      <c r="Z491" s="8">
        <v>1400</v>
      </c>
      <c r="AA491" s="7">
        <v>46035</v>
      </c>
      <c r="AC491" s="8">
        <v>1292</v>
      </c>
      <c r="AE491" s="7">
        <v>46038</v>
      </c>
      <c r="AF491" s="8">
        <v>1292</v>
      </c>
      <c r="AH491" s="7">
        <v>46038</v>
      </c>
      <c r="AN491" s="8">
        <v>1292</v>
      </c>
      <c r="AO491" s="8">
        <v>-42</v>
      </c>
    </row>
    <row r="492" spans="1:41" x14ac:dyDescent="0.25">
      <c r="A492" s="6" t="str">
        <f>"521-2025000660"</f>
        <v>521-2025000660</v>
      </c>
      <c r="B492" s="6" t="str">
        <f>"FOEKJE F"</f>
        <v>FOEKJE F</v>
      </c>
      <c r="C492" s="7">
        <v>45939</v>
      </c>
      <c r="D492" s="7">
        <v>46038</v>
      </c>
      <c r="E492" s="8">
        <v>3</v>
      </c>
      <c r="F492" s="6" t="str">
        <f>"#104 A-1 A-2 B-1 B-2"</f>
        <v>#104 A-1 A-2 B-1 B-2</v>
      </c>
      <c r="G492" s="6" t="str">
        <f>"C001245824500000"</f>
        <v>C001245824500000</v>
      </c>
      <c r="H492" s="6" t="str">
        <f>"CZJ 2458 - 245 g/m²"</f>
        <v>CZJ 2458 - 245 g/m²</v>
      </c>
      <c r="I492" s="6" t="str">
        <f>"204659"</f>
        <v>204659</v>
      </c>
      <c r="J492" s="6" t="str">
        <f>"VERDE 4659"</f>
        <v>VERDE 4659</v>
      </c>
      <c r="K492" s="6" t="str">
        <f>"0830"</f>
        <v>0830</v>
      </c>
      <c r="L492" s="6" t="str">
        <f>"Cozinha"</f>
        <v>Cozinha</v>
      </c>
      <c r="M492" s="6" t="str">
        <f>"50x70"</f>
        <v>50x70</v>
      </c>
      <c r="N492" s="6" t="str">
        <f t="shared" ref="N492:N523" si="134">" "</f>
        <v xml:space="preserve"> </v>
      </c>
      <c r="O492" s="8">
        <v>1250</v>
      </c>
      <c r="P492" s="7">
        <v>46003</v>
      </c>
      <c r="R492" s="8">
        <v>1380</v>
      </c>
      <c r="S492" s="7">
        <v>46008</v>
      </c>
      <c r="U492" s="8">
        <v>1380</v>
      </c>
      <c r="V492" s="7">
        <v>46015</v>
      </c>
      <c r="X492" s="8">
        <v>0</v>
      </c>
      <c r="Z492" s="8">
        <v>1380</v>
      </c>
      <c r="AA492" s="7">
        <v>46035</v>
      </c>
      <c r="AC492" s="8">
        <v>1397</v>
      </c>
      <c r="AE492" s="7">
        <v>46038</v>
      </c>
      <c r="AF492" s="8">
        <v>1397</v>
      </c>
      <c r="AH492" s="7">
        <v>46038</v>
      </c>
      <c r="AN492" s="8">
        <v>1397</v>
      </c>
      <c r="AO492" s="8">
        <v>-147</v>
      </c>
    </row>
    <row r="493" spans="1:41" x14ac:dyDescent="0.25">
      <c r="A493" s="6" t="str">
        <f>"521-2025000660"</f>
        <v>521-2025000660</v>
      </c>
      <c r="B493" s="6" t="str">
        <f>"FOEKJE F"</f>
        <v>FOEKJE F</v>
      </c>
      <c r="C493" s="7">
        <v>45939</v>
      </c>
      <c r="D493" s="7">
        <v>46038</v>
      </c>
      <c r="E493" s="8">
        <v>4</v>
      </c>
      <c r="F493" s="6" t="str">
        <f>"#104 A-1 A-2 B-1 B-2"</f>
        <v>#104 A-1 A-2 B-1 B-2</v>
      </c>
      <c r="G493" s="6" t="str">
        <f>"C001245824500000"</f>
        <v>C001245824500000</v>
      </c>
      <c r="H493" s="6" t="str">
        <f>"CZJ 2458 - 245 g/m²"</f>
        <v>CZJ 2458 - 245 g/m²</v>
      </c>
      <c r="I493" s="6" t="str">
        <f>"203849"</f>
        <v>203849</v>
      </c>
      <c r="J493" s="6" t="str">
        <f>"AMARELO 3849"</f>
        <v>AMARELO 3849</v>
      </c>
      <c r="K493" s="6" t="str">
        <f>"0830"</f>
        <v>0830</v>
      </c>
      <c r="L493" s="6" t="str">
        <f>"Cozinha"</f>
        <v>Cozinha</v>
      </c>
      <c r="M493" s="6" t="str">
        <f>"50x70"</f>
        <v>50x70</v>
      </c>
      <c r="N493" s="6" t="str">
        <f t="shared" si="134"/>
        <v xml:space="preserve"> </v>
      </c>
      <c r="O493" s="8">
        <v>1250</v>
      </c>
      <c r="P493" s="7">
        <v>46003</v>
      </c>
      <c r="R493" s="8">
        <v>1412</v>
      </c>
      <c r="S493" s="7">
        <v>46008</v>
      </c>
      <c r="U493" s="8">
        <v>1412</v>
      </c>
      <c r="V493" s="7">
        <v>46015</v>
      </c>
      <c r="X493" s="8">
        <v>0</v>
      </c>
      <c r="Z493" s="8">
        <v>1412</v>
      </c>
      <c r="AA493" s="7">
        <v>46035</v>
      </c>
      <c r="AC493" s="8">
        <v>1367</v>
      </c>
      <c r="AE493" s="7">
        <v>46038</v>
      </c>
      <c r="AF493" s="8">
        <v>1367</v>
      </c>
      <c r="AH493" s="7">
        <v>46038</v>
      </c>
      <c r="AN493" s="8">
        <v>1367</v>
      </c>
      <c r="AO493" s="8">
        <v>-117</v>
      </c>
    </row>
    <row r="494" spans="1:41" x14ac:dyDescent="0.25">
      <c r="A494" s="6" t="str">
        <f t="shared" ref="A494:A499" si="135">"521-2025000661"</f>
        <v>521-2025000661</v>
      </c>
      <c r="B494" s="6" t="str">
        <f t="shared" ref="B494:B509" si="136">"CARRE BL"</f>
        <v>CARRE BL</v>
      </c>
      <c r="C494" s="7">
        <v>45939</v>
      </c>
      <c r="D494" s="7">
        <v>46080</v>
      </c>
      <c r="E494" s="8">
        <v>2</v>
      </c>
      <c r="F494" s="6" t="str">
        <f t="shared" ref="F494:F499" si="137">"513402"</f>
        <v>513402</v>
      </c>
      <c r="G494" s="6" t="str">
        <f>"F310630950000000"</f>
        <v>F310630950000000</v>
      </c>
      <c r="H494" s="6" t="str">
        <f>"PLAR 6309 Bio GOTS -"</f>
        <v>PLAR 6309 Bio GOTS -</v>
      </c>
      <c r="I494" s="6" t="str">
        <f>"200525"</f>
        <v>200525</v>
      </c>
      <c r="J494" s="6" t="str">
        <f>"AZUL 525"</f>
        <v>AZUL 525</v>
      </c>
      <c r="K494" s="6" t="str">
        <f>"2027"</f>
        <v>2027</v>
      </c>
      <c r="L494" s="6" t="str">
        <f>"Lençóis"</f>
        <v>Lençóis</v>
      </c>
      <c r="M494" s="6" t="str">
        <f>"100x170"</f>
        <v>100x170</v>
      </c>
      <c r="N494" s="6" t="str">
        <f t="shared" si="134"/>
        <v xml:space="preserve"> </v>
      </c>
      <c r="O494" s="8">
        <v>2740</v>
      </c>
      <c r="P494" s="7">
        <v>46014</v>
      </c>
      <c r="R494" s="8">
        <v>3912</v>
      </c>
      <c r="S494" s="7">
        <v>46027</v>
      </c>
      <c r="U494" s="8">
        <v>2600</v>
      </c>
      <c r="V494" s="7">
        <v>46034</v>
      </c>
      <c r="X494" s="8">
        <v>0</v>
      </c>
      <c r="Z494" s="8">
        <v>1340</v>
      </c>
      <c r="AA494" s="7">
        <v>46048</v>
      </c>
      <c r="AC494" s="8">
        <v>0</v>
      </c>
      <c r="AE494" s="7">
        <v>46083</v>
      </c>
      <c r="AF494" s="8">
        <v>0</v>
      </c>
      <c r="AH494" s="7">
        <v>46080</v>
      </c>
      <c r="AI494" s="7">
        <v>46078</v>
      </c>
      <c r="AN494" s="8">
        <v>0</v>
      </c>
      <c r="AO494" s="8">
        <v>2740</v>
      </c>
    </row>
    <row r="495" spans="1:41" x14ac:dyDescent="0.25">
      <c r="A495" s="6" t="str">
        <f t="shared" si="135"/>
        <v>521-2025000661</v>
      </c>
      <c r="B495" s="6" t="str">
        <f t="shared" si="136"/>
        <v>CARRE BL</v>
      </c>
      <c r="C495" s="7">
        <v>45939</v>
      </c>
      <c r="D495" s="7">
        <v>46080</v>
      </c>
      <c r="E495" s="8">
        <v>3</v>
      </c>
      <c r="F495" s="6" t="str">
        <f t="shared" si="137"/>
        <v>513402</v>
      </c>
      <c r="G495" s="6" t="str">
        <f>"F310631050004011"</f>
        <v>F310631050004011</v>
      </c>
      <c r="H495" s="6" t="str">
        <f>"PLAR 6310 Bio GOTS /"</f>
        <v>PLAR 6310 Bio GOTS /</v>
      </c>
      <c r="I495" s="6" t="str">
        <f>"204037"</f>
        <v>204037</v>
      </c>
      <c r="J495" s="6" t="str">
        <f>"AZUL 4037"</f>
        <v>AZUL 4037</v>
      </c>
      <c r="K495" s="6" t="str">
        <f>"2027"</f>
        <v>2027</v>
      </c>
      <c r="L495" s="6" t="str">
        <f>"Lençóis"</f>
        <v>Lençóis</v>
      </c>
      <c r="M495" s="6" t="str">
        <f>"100x170"</f>
        <v>100x170</v>
      </c>
      <c r="N495" s="6" t="str">
        <f t="shared" si="134"/>
        <v xml:space="preserve"> </v>
      </c>
      <c r="O495" s="8">
        <v>2115</v>
      </c>
      <c r="P495" s="7">
        <v>46014</v>
      </c>
      <c r="R495" s="8">
        <v>2972</v>
      </c>
      <c r="S495" s="7">
        <v>46027</v>
      </c>
      <c r="U495" s="8">
        <v>2222</v>
      </c>
      <c r="V495" s="7">
        <v>46034</v>
      </c>
      <c r="X495" s="8">
        <v>0</v>
      </c>
      <c r="Z495" s="8">
        <v>1464</v>
      </c>
      <c r="AA495" s="7">
        <v>46048</v>
      </c>
      <c r="AC495" s="8">
        <v>0</v>
      </c>
      <c r="AE495" s="7">
        <v>46083</v>
      </c>
      <c r="AF495" s="8">
        <v>0</v>
      </c>
      <c r="AH495" s="7">
        <v>46080</v>
      </c>
      <c r="AI495" s="7">
        <v>46078</v>
      </c>
      <c r="AN495" s="8">
        <v>0</v>
      </c>
      <c r="AO495" s="8">
        <v>2115</v>
      </c>
    </row>
    <row r="496" spans="1:41" x14ac:dyDescent="0.25">
      <c r="A496" s="6" t="str">
        <f t="shared" si="135"/>
        <v>521-2025000661</v>
      </c>
      <c r="B496" s="6" t="str">
        <f t="shared" si="136"/>
        <v>CARRE BL</v>
      </c>
      <c r="C496" s="7">
        <v>45939</v>
      </c>
      <c r="D496" s="7">
        <v>46080</v>
      </c>
      <c r="E496" s="8">
        <v>4</v>
      </c>
      <c r="F496" s="6" t="str">
        <f t="shared" si="137"/>
        <v>513402</v>
      </c>
      <c r="G496" s="6" t="str">
        <f>"F310631050004011"</f>
        <v>F310631050004011</v>
      </c>
      <c r="H496" s="6" t="str">
        <f>"PLAR 6310 Bio GOTS /"</f>
        <v>PLAR 6310 Bio GOTS /</v>
      </c>
      <c r="I496" s="6" t="str">
        <f>"204037"</f>
        <v>204037</v>
      </c>
      <c r="J496" s="6" t="str">
        <f>"AZUL 4037"</f>
        <v>AZUL 4037</v>
      </c>
      <c r="K496" s="6" t="str">
        <f>"1520"</f>
        <v>1520</v>
      </c>
      <c r="L496" s="6" t="str">
        <f>"Toalhões"</f>
        <v>Toalhões</v>
      </c>
      <c r="M496" s="6" t="str">
        <f>"70x105"</f>
        <v>70x105</v>
      </c>
      <c r="N496" s="6" t="str">
        <f t="shared" si="134"/>
        <v xml:space="preserve"> </v>
      </c>
      <c r="O496" s="8">
        <v>10718</v>
      </c>
      <c r="P496" s="7">
        <v>46014</v>
      </c>
      <c r="R496" s="8">
        <v>12204</v>
      </c>
      <c r="S496" s="7">
        <v>46027</v>
      </c>
      <c r="U496" s="8">
        <v>7470</v>
      </c>
      <c r="V496" s="7">
        <v>46034</v>
      </c>
      <c r="X496" s="8">
        <v>0</v>
      </c>
      <c r="Z496" s="8">
        <v>2526</v>
      </c>
      <c r="AA496" s="7">
        <v>46048</v>
      </c>
      <c r="AC496" s="8">
        <v>0</v>
      </c>
      <c r="AE496" s="7">
        <v>46083</v>
      </c>
      <c r="AF496" s="8">
        <v>0</v>
      </c>
      <c r="AH496" s="7">
        <v>46080</v>
      </c>
      <c r="AI496" s="7">
        <v>46078</v>
      </c>
      <c r="AN496" s="8">
        <v>0</v>
      </c>
      <c r="AO496" s="8">
        <v>10718</v>
      </c>
    </row>
    <row r="497" spans="1:41" x14ac:dyDescent="0.25">
      <c r="A497" s="6" t="str">
        <f t="shared" si="135"/>
        <v>521-2025000661</v>
      </c>
      <c r="B497" s="6" t="str">
        <f t="shared" si="136"/>
        <v>CARRE BL</v>
      </c>
      <c r="C497" s="7">
        <v>45939</v>
      </c>
      <c r="D497" s="7">
        <v>46080</v>
      </c>
      <c r="E497" s="8">
        <v>5</v>
      </c>
      <c r="F497" s="6" t="str">
        <f t="shared" si="137"/>
        <v>513402</v>
      </c>
      <c r="G497" s="6" t="str">
        <f>"F310634250000000"</f>
        <v>F310634250000000</v>
      </c>
      <c r="H497" s="6" t="str">
        <f>"PLAR 6342 Bio GOTS -"</f>
        <v>PLAR 6342 Bio GOTS -</v>
      </c>
      <c r="I497" s="6" t="str">
        <f>"201696"</f>
        <v>201696</v>
      </c>
      <c r="J497" s="6" t="str">
        <f>"LARANJA 1696"</f>
        <v>LARANJA 1696</v>
      </c>
      <c r="K497" s="6" t="str">
        <f>"1520"</f>
        <v>1520</v>
      </c>
      <c r="L497" s="6" t="str">
        <f>"Toalhões"</f>
        <v>Toalhões</v>
      </c>
      <c r="M497" s="6" t="str">
        <f>"70x105"</f>
        <v>70x105</v>
      </c>
      <c r="N497" s="6" t="str">
        <f t="shared" si="134"/>
        <v xml:space="preserve"> </v>
      </c>
      <c r="O497" s="8">
        <v>1389</v>
      </c>
      <c r="P497" s="7">
        <v>46014</v>
      </c>
      <c r="R497" s="8">
        <v>2316</v>
      </c>
      <c r="S497" s="7">
        <v>46027</v>
      </c>
      <c r="U497" s="8">
        <v>1716</v>
      </c>
      <c r="V497" s="7">
        <v>46034</v>
      </c>
      <c r="X497" s="8">
        <v>0</v>
      </c>
      <c r="Z497" s="8">
        <v>1716</v>
      </c>
      <c r="AA497" s="7">
        <v>46048</v>
      </c>
      <c r="AC497" s="8">
        <v>0</v>
      </c>
      <c r="AE497" s="7">
        <v>46083</v>
      </c>
      <c r="AF497" s="8">
        <v>0</v>
      </c>
      <c r="AH497" s="7">
        <v>46080</v>
      </c>
      <c r="AI497" s="7">
        <v>46078</v>
      </c>
      <c r="AN497" s="8">
        <v>0</v>
      </c>
      <c r="AO497" s="8">
        <v>1389</v>
      </c>
    </row>
    <row r="498" spans="1:41" x14ac:dyDescent="0.25">
      <c r="A498" s="6" t="str">
        <f t="shared" si="135"/>
        <v>521-2025000661</v>
      </c>
      <c r="B498" s="6" t="str">
        <f t="shared" si="136"/>
        <v>CARRE BL</v>
      </c>
      <c r="C498" s="7">
        <v>45939</v>
      </c>
      <c r="D498" s="7">
        <v>46080</v>
      </c>
      <c r="E498" s="8">
        <v>6</v>
      </c>
      <c r="F498" s="6" t="str">
        <f t="shared" si="137"/>
        <v>513402</v>
      </c>
      <c r="G498" s="6" t="str">
        <f>"F310634250000000"</f>
        <v>F310634250000000</v>
      </c>
      <c r="H498" s="6" t="str">
        <f>"PLAR 6342 Bio GOTS -"</f>
        <v>PLAR 6342 Bio GOTS -</v>
      </c>
      <c r="I498" s="6" t="str">
        <f>"204188"</f>
        <v>204188</v>
      </c>
      <c r="J498" s="6" t="str">
        <f>"VERDE 4188"</f>
        <v>VERDE 4188</v>
      </c>
      <c r="K498" s="6" t="str">
        <f>"1520"</f>
        <v>1520</v>
      </c>
      <c r="L498" s="6" t="str">
        <f>"Toalhões"</f>
        <v>Toalhões</v>
      </c>
      <c r="M498" s="6" t="str">
        <f>"70x105"</f>
        <v>70x105</v>
      </c>
      <c r="N498" s="6" t="str">
        <f t="shared" si="134"/>
        <v xml:space="preserve"> </v>
      </c>
      <c r="O498" s="8">
        <v>1308</v>
      </c>
      <c r="P498" s="7">
        <v>46014</v>
      </c>
      <c r="R498" s="8">
        <v>2139</v>
      </c>
      <c r="S498" s="7">
        <v>46027</v>
      </c>
      <c r="U498" s="8">
        <v>1539</v>
      </c>
      <c r="V498" s="7">
        <v>46034</v>
      </c>
      <c r="X498" s="8">
        <v>0</v>
      </c>
      <c r="Z498" s="8">
        <v>1539</v>
      </c>
      <c r="AA498" s="7">
        <v>46048</v>
      </c>
      <c r="AC498" s="8">
        <v>0</v>
      </c>
      <c r="AE498" s="7">
        <v>46083</v>
      </c>
      <c r="AF498" s="8">
        <v>0</v>
      </c>
      <c r="AH498" s="7">
        <v>46080</v>
      </c>
      <c r="AI498" s="7">
        <v>46078</v>
      </c>
      <c r="AN498" s="8">
        <v>0</v>
      </c>
      <c r="AO498" s="8">
        <v>1308</v>
      </c>
    </row>
    <row r="499" spans="1:41" x14ac:dyDescent="0.25">
      <c r="A499" s="6" t="str">
        <f t="shared" si="135"/>
        <v>521-2025000661</v>
      </c>
      <c r="B499" s="6" t="str">
        <f t="shared" si="136"/>
        <v>CARRE BL</v>
      </c>
      <c r="C499" s="7">
        <v>45939</v>
      </c>
      <c r="D499" s="7">
        <v>46080</v>
      </c>
      <c r="E499" s="8">
        <v>7</v>
      </c>
      <c r="F499" s="6" t="str">
        <f t="shared" si="137"/>
        <v>513402</v>
      </c>
      <c r="G499" s="6" t="str">
        <f>"J310630950000000"</f>
        <v>J310630950000000</v>
      </c>
      <c r="H499" s="6" t="str">
        <f>"Conj. PLAR 6309 + PL"</f>
        <v>Conj. PLAR 6309 + PL</v>
      </c>
      <c r="I499" s="6" t="str">
        <f>"300001"</f>
        <v>300001</v>
      </c>
      <c r="J499" s="6" t="str">
        <f>"SORTIDAS 1"</f>
        <v>SORTIDAS 1</v>
      </c>
      <c r="K499" s="6" t="str">
        <f>"4014"</f>
        <v>4014</v>
      </c>
      <c r="L499" s="6" t="str">
        <f>"Conjunto/Jogos"</f>
        <v>Conjunto/Jogos</v>
      </c>
      <c r="M499" s="6" t="str">
        <f>"(2 Pcs)"</f>
        <v>(2 Pcs)</v>
      </c>
      <c r="N499" s="6" t="str">
        <f t="shared" si="134"/>
        <v xml:space="preserve"> </v>
      </c>
      <c r="O499" s="8">
        <v>2000</v>
      </c>
      <c r="P499" s="7">
        <v>46014</v>
      </c>
      <c r="R499" s="8">
        <v>3712</v>
      </c>
      <c r="S499" s="7">
        <v>46027</v>
      </c>
      <c r="U499" s="8">
        <v>0</v>
      </c>
      <c r="V499" s="7">
        <v>46034</v>
      </c>
      <c r="X499" s="8">
        <v>0</v>
      </c>
      <c r="Z499" s="8">
        <v>0</v>
      </c>
      <c r="AA499" s="7">
        <v>46048</v>
      </c>
      <c r="AC499" s="8">
        <v>0</v>
      </c>
      <c r="AE499" s="7">
        <v>46083</v>
      </c>
      <c r="AF499" s="8">
        <v>0</v>
      </c>
      <c r="AH499" s="7">
        <v>46080</v>
      </c>
      <c r="AI499" s="7">
        <v>46078</v>
      </c>
      <c r="AN499" s="8">
        <v>0</v>
      </c>
      <c r="AO499" s="8">
        <v>2000</v>
      </c>
    </row>
    <row r="500" spans="1:41" x14ac:dyDescent="0.25">
      <c r="A500" s="6" t="str">
        <f t="shared" ref="A500:A505" si="138">"521-2025000662"</f>
        <v>521-2025000662</v>
      </c>
      <c r="B500" s="6" t="str">
        <f t="shared" si="136"/>
        <v>CARRE BL</v>
      </c>
      <c r="C500" s="7">
        <v>45939</v>
      </c>
      <c r="D500" s="7">
        <v>46080</v>
      </c>
      <c r="E500" s="8">
        <v>1</v>
      </c>
      <c r="F500" s="6" t="str">
        <f t="shared" ref="F500:F505" si="139">"513403"</f>
        <v>513403</v>
      </c>
      <c r="G500" s="6" t="str">
        <f>"F310630950000000"</f>
        <v>F310630950000000</v>
      </c>
      <c r="H500" s="6" t="str">
        <f>"PLAR 6309 Bio GOTS -"</f>
        <v>PLAR 6309 Bio GOTS -</v>
      </c>
      <c r="I500" s="6" t="str">
        <f>"200525"</f>
        <v>200525</v>
      </c>
      <c r="J500" s="6" t="str">
        <f>"AZUL 525"</f>
        <v>AZUL 525</v>
      </c>
      <c r="K500" s="6" t="str">
        <f>"1520"</f>
        <v>1520</v>
      </c>
      <c r="L500" s="6" t="str">
        <f>"Toalhões"</f>
        <v>Toalhões</v>
      </c>
      <c r="M500" s="6" t="str">
        <f>"70x105"</f>
        <v>70x105</v>
      </c>
      <c r="N500" s="6" t="str">
        <f t="shared" si="134"/>
        <v xml:space="preserve"> </v>
      </c>
      <c r="O500" s="8">
        <v>3000</v>
      </c>
      <c r="P500" s="7">
        <v>46013</v>
      </c>
      <c r="R500" s="8">
        <v>0</v>
      </c>
      <c r="S500" s="7">
        <v>46021</v>
      </c>
      <c r="U500" s="8">
        <v>3180</v>
      </c>
      <c r="V500" s="7">
        <v>46031</v>
      </c>
      <c r="X500" s="8">
        <v>0</v>
      </c>
      <c r="Z500" s="8">
        <v>3180</v>
      </c>
      <c r="AA500" s="7">
        <v>46045</v>
      </c>
      <c r="AC500" s="8">
        <v>0</v>
      </c>
      <c r="AE500" s="7">
        <v>46080</v>
      </c>
      <c r="AF500" s="8">
        <v>0</v>
      </c>
      <c r="AH500" s="7">
        <v>46080</v>
      </c>
      <c r="AI500" s="7">
        <v>46077</v>
      </c>
      <c r="AN500" s="8">
        <v>0</v>
      </c>
      <c r="AO500" s="8">
        <v>3000</v>
      </c>
    </row>
    <row r="501" spans="1:41" x14ac:dyDescent="0.25">
      <c r="A501" s="6" t="str">
        <f t="shared" si="138"/>
        <v>521-2025000662</v>
      </c>
      <c r="B501" s="6" t="str">
        <f t="shared" si="136"/>
        <v>CARRE BL</v>
      </c>
      <c r="C501" s="7">
        <v>45939</v>
      </c>
      <c r="D501" s="7">
        <v>46080</v>
      </c>
      <c r="E501" s="8">
        <v>2</v>
      </c>
      <c r="F501" s="6" t="str">
        <f t="shared" si="139"/>
        <v>513403</v>
      </c>
      <c r="G501" s="6" t="str">
        <f>"F310630950000000"</f>
        <v>F310630950000000</v>
      </c>
      <c r="H501" s="6" t="str">
        <f>"PLAR 6309 Bio GOTS -"</f>
        <v>PLAR 6309 Bio GOTS -</v>
      </c>
      <c r="I501" s="6" t="str">
        <f>"200525"</f>
        <v>200525</v>
      </c>
      <c r="J501" s="6" t="str">
        <f>"AZUL 525"</f>
        <v>AZUL 525</v>
      </c>
      <c r="K501" s="6" t="str">
        <f>"2027"</f>
        <v>2027</v>
      </c>
      <c r="L501" s="6" t="str">
        <f>"Lençóis"</f>
        <v>Lençóis</v>
      </c>
      <c r="M501" s="6" t="str">
        <f>"100x170"</f>
        <v>100x170</v>
      </c>
      <c r="N501" s="6" t="str">
        <f t="shared" si="134"/>
        <v xml:space="preserve"> </v>
      </c>
      <c r="O501" s="8">
        <v>912</v>
      </c>
      <c r="P501" s="7">
        <v>46013</v>
      </c>
      <c r="R501" s="8">
        <v>0</v>
      </c>
      <c r="S501" s="7">
        <v>46021</v>
      </c>
      <c r="U501" s="8">
        <v>966</v>
      </c>
      <c r="V501" s="7">
        <v>46031</v>
      </c>
      <c r="X501" s="8">
        <v>0</v>
      </c>
      <c r="Z501" s="8">
        <v>966</v>
      </c>
      <c r="AA501" s="7">
        <v>46045</v>
      </c>
      <c r="AC501" s="8">
        <v>0</v>
      </c>
      <c r="AE501" s="7">
        <v>46080</v>
      </c>
      <c r="AF501" s="8">
        <v>0</v>
      </c>
      <c r="AH501" s="7">
        <v>46080</v>
      </c>
      <c r="AI501" s="7">
        <v>46077</v>
      </c>
      <c r="AN501" s="8">
        <v>0</v>
      </c>
      <c r="AO501" s="8">
        <v>912</v>
      </c>
    </row>
    <row r="502" spans="1:41" x14ac:dyDescent="0.25">
      <c r="A502" s="6" t="str">
        <f t="shared" si="138"/>
        <v>521-2025000662</v>
      </c>
      <c r="B502" s="6" t="str">
        <f t="shared" si="136"/>
        <v>CARRE BL</v>
      </c>
      <c r="C502" s="7">
        <v>45939</v>
      </c>
      <c r="D502" s="7">
        <v>46080</v>
      </c>
      <c r="E502" s="8">
        <v>3</v>
      </c>
      <c r="F502" s="6" t="str">
        <f t="shared" si="139"/>
        <v>513403</v>
      </c>
      <c r="G502" s="6" t="str">
        <f>"F310631050004011"</f>
        <v>F310631050004011</v>
      </c>
      <c r="H502" s="6" t="str">
        <f>"PLAR 6310 Bio GOTS /"</f>
        <v>PLAR 6310 Bio GOTS /</v>
      </c>
      <c r="I502" s="6" t="str">
        <f>"204037"</f>
        <v>204037</v>
      </c>
      <c r="J502" s="6" t="str">
        <f>"AZUL 4037"</f>
        <v>AZUL 4037</v>
      </c>
      <c r="K502" s="6" t="str">
        <f>"2027"</f>
        <v>2027</v>
      </c>
      <c r="L502" s="6" t="str">
        <f>"Lençóis"</f>
        <v>Lençóis</v>
      </c>
      <c r="M502" s="6" t="str">
        <f>"100x170"</f>
        <v>100x170</v>
      </c>
      <c r="N502" s="6" t="str">
        <f t="shared" si="134"/>
        <v xml:space="preserve"> </v>
      </c>
      <c r="O502" s="8">
        <v>708</v>
      </c>
      <c r="P502" s="7">
        <v>46013</v>
      </c>
      <c r="R502" s="8">
        <v>0</v>
      </c>
      <c r="S502" s="7">
        <v>46021</v>
      </c>
      <c r="U502" s="8">
        <v>750</v>
      </c>
      <c r="V502" s="7">
        <v>46031</v>
      </c>
      <c r="X502" s="8">
        <v>0</v>
      </c>
      <c r="Z502" s="8">
        <v>202</v>
      </c>
      <c r="AA502" s="7">
        <v>46045</v>
      </c>
      <c r="AC502" s="8">
        <v>0</v>
      </c>
      <c r="AE502" s="7">
        <v>46080</v>
      </c>
      <c r="AF502" s="8">
        <v>0</v>
      </c>
      <c r="AH502" s="7">
        <v>46080</v>
      </c>
      <c r="AI502" s="7">
        <v>46077</v>
      </c>
      <c r="AN502" s="8">
        <v>0</v>
      </c>
      <c r="AO502" s="8">
        <v>708</v>
      </c>
    </row>
    <row r="503" spans="1:41" x14ac:dyDescent="0.25">
      <c r="A503" s="6" t="str">
        <f t="shared" si="138"/>
        <v>521-2025000662</v>
      </c>
      <c r="B503" s="6" t="str">
        <f t="shared" si="136"/>
        <v>CARRE BL</v>
      </c>
      <c r="C503" s="7">
        <v>45939</v>
      </c>
      <c r="D503" s="7">
        <v>46080</v>
      </c>
      <c r="E503" s="8">
        <v>4</v>
      </c>
      <c r="F503" s="6" t="str">
        <f t="shared" si="139"/>
        <v>513403</v>
      </c>
      <c r="G503" s="6" t="str">
        <f>"F310631050004011"</f>
        <v>F310631050004011</v>
      </c>
      <c r="H503" s="6" t="str">
        <f>"PLAR 6310 Bio GOTS /"</f>
        <v>PLAR 6310 Bio GOTS /</v>
      </c>
      <c r="I503" s="6" t="str">
        <f>"204037"</f>
        <v>204037</v>
      </c>
      <c r="J503" s="6" t="str">
        <f>"AZUL 4037"</f>
        <v>AZUL 4037</v>
      </c>
      <c r="K503" s="6" t="str">
        <f t="shared" ref="K503:K509" si="140">"1520"</f>
        <v>1520</v>
      </c>
      <c r="L503" s="6" t="str">
        <f t="shared" ref="L503:L509" si="141">"Toalhões"</f>
        <v>Toalhões</v>
      </c>
      <c r="M503" s="6" t="str">
        <f t="shared" ref="M503:M509" si="142">"70x105"</f>
        <v>70x105</v>
      </c>
      <c r="N503" s="6" t="str">
        <f t="shared" si="134"/>
        <v xml:space="preserve"> </v>
      </c>
      <c r="O503" s="8">
        <v>2188</v>
      </c>
      <c r="P503" s="7">
        <v>46013</v>
      </c>
      <c r="R503" s="8">
        <v>0</v>
      </c>
      <c r="S503" s="7">
        <v>46021</v>
      </c>
      <c r="U503" s="8">
        <v>2319</v>
      </c>
      <c r="V503" s="7">
        <v>46031</v>
      </c>
      <c r="X503" s="8">
        <v>0</v>
      </c>
      <c r="Z503" s="8">
        <v>1263</v>
      </c>
      <c r="AA503" s="7">
        <v>46045</v>
      </c>
      <c r="AC503" s="8">
        <v>0</v>
      </c>
      <c r="AE503" s="7">
        <v>46080</v>
      </c>
      <c r="AF503" s="8">
        <v>0</v>
      </c>
      <c r="AH503" s="7">
        <v>46080</v>
      </c>
      <c r="AI503" s="7">
        <v>46077</v>
      </c>
      <c r="AN503" s="8">
        <v>0</v>
      </c>
      <c r="AO503" s="8">
        <v>2188</v>
      </c>
    </row>
    <row r="504" spans="1:41" x14ac:dyDescent="0.25">
      <c r="A504" s="6" t="str">
        <f t="shared" si="138"/>
        <v>521-2025000662</v>
      </c>
      <c r="B504" s="6" t="str">
        <f t="shared" si="136"/>
        <v>CARRE BL</v>
      </c>
      <c r="C504" s="7">
        <v>45939</v>
      </c>
      <c r="D504" s="7">
        <v>46080</v>
      </c>
      <c r="E504" s="8">
        <v>5</v>
      </c>
      <c r="F504" s="6" t="str">
        <f t="shared" si="139"/>
        <v>513403</v>
      </c>
      <c r="G504" s="6" t="str">
        <f>"F310634250000000"</f>
        <v>F310634250000000</v>
      </c>
      <c r="H504" s="6" t="str">
        <f>"PLAR 6342 Bio GOTS -"</f>
        <v>PLAR 6342 Bio GOTS -</v>
      </c>
      <c r="I504" s="6" t="str">
        <f>"201696"</f>
        <v>201696</v>
      </c>
      <c r="J504" s="6" t="str">
        <f>"LARANJA 1696"</f>
        <v>LARANJA 1696</v>
      </c>
      <c r="K504" s="6" t="str">
        <f t="shared" si="140"/>
        <v>1520</v>
      </c>
      <c r="L504" s="6" t="str">
        <f t="shared" si="141"/>
        <v>Toalhões</v>
      </c>
      <c r="M504" s="6" t="str">
        <f t="shared" si="142"/>
        <v>70x105</v>
      </c>
      <c r="N504" s="6" t="str">
        <f t="shared" si="134"/>
        <v xml:space="preserve"> </v>
      </c>
      <c r="O504" s="8">
        <v>552</v>
      </c>
      <c r="P504" s="7">
        <v>46013</v>
      </c>
      <c r="R504" s="8">
        <v>0</v>
      </c>
      <c r="S504" s="7">
        <v>46021</v>
      </c>
      <c r="U504" s="8">
        <v>600</v>
      </c>
      <c r="V504" s="7">
        <v>46031</v>
      </c>
      <c r="X504" s="8">
        <v>0</v>
      </c>
      <c r="Z504" s="8">
        <v>600</v>
      </c>
      <c r="AA504" s="7">
        <v>46045</v>
      </c>
      <c r="AC504" s="8">
        <v>0</v>
      </c>
      <c r="AE504" s="7">
        <v>46080</v>
      </c>
      <c r="AF504" s="8">
        <v>0</v>
      </c>
      <c r="AH504" s="7">
        <v>46080</v>
      </c>
      <c r="AI504" s="7">
        <v>46077</v>
      </c>
      <c r="AN504" s="8">
        <v>0</v>
      </c>
      <c r="AO504" s="8">
        <v>552</v>
      </c>
    </row>
    <row r="505" spans="1:41" x14ac:dyDescent="0.25">
      <c r="A505" s="6" t="str">
        <f t="shared" si="138"/>
        <v>521-2025000662</v>
      </c>
      <c r="B505" s="6" t="str">
        <f t="shared" si="136"/>
        <v>CARRE BL</v>
      </c>
      <c r="C505" s="7">
        <v>45939</v>
      </c>
      <c r="D505" s="7">
        <v>46080</v>
      </c>
      <c r="E505" s="8">
        <v>6</v>
      </c>
      <c r="F505" s="6" t="str">
        <f t="shared" si="139"/>
        <v>513403</v>
      </c>
      <c r="G505" s="6" t="str">
        <f>"F310634250000000"</f>
        <v>F310634250000000</v>
      </c>
      <c r="H505" s="6" t="str">
        <f>"PLAR 6342 Bio GOTS -"</f>
        <v>PLAR 6342 Bio GOTS -</v>
      </c>
      <c r="I505" s="6" t="str">
        <f>"204188"</f>
        <v>204188</v>
      </c>
      <c r="J505" s="6" t="str">
        <f>"VERDE 4188"</f>
        <v>VERDE 4188</v>
      </c>
      <c r="K505" s="6" t="str">
        <f t="shared" si="140"/>
        <v>1520</v>
      </c>
      <c r="L505" s="6" t="str">
        <f t="shared" si="141"/>
        <v>Toalhões</v>
      </c>
      <c r="M505" s="6" t="str">
        <f t="shared" si="142"/>
        <v>70x105</v>
      </c>
      <c r="N505" s="6" t="str">
        <f t="shared" si="134"/>
        <v xml:space="preserve"> </v>
      </c>
      <c r="O505" s="8">
        <v>552</v>
      </c>
      <c r="P505" s="7">
        <v>46013</v>
      </c>
      <c r="R505" s="8">
        <v>0</v>
      </c>
      <c r="S505" s="7">
        <v>46021</v>
      </c>
      <c r="U505" s="8">
        <v>600</v>
      </c>
      <c r="V505" s="7">
        <v>46031</v>
      </c>
      <c r="X505" s="8">
        <v>0</v>
      </c>
      <c r="Z505" s="8">
        <v>600</v>
      </c>
      <c r="AA505" s="7">
        <v>46045</v>
      </c>
      <c r="AC505" s="8">
        <v>0</v>
      </c>
      <c r="AE505" s="7">
        <v>46080</v>
      </c>
      <c r="AF505" s="8">
        <v>0</v>
      </c>
      <c r="AH505" s="7">
        <v>46080</v>
      </c>
      <c r="AI505" s="7">
        <v>46077</v>
      </c>
      <c r="AN505" s="8">
        <v>0</v>
      </c>
      <c r="AO505" s="8">
        <v>552</v>
      </c>
    </row>
    <row r="506" spans="1:41" x14ac:dyDescent="0.25">
      <c r="A506" s="6" t="str">
        <f>"521-2025000663"</f>
        <v>521-2025000663</v>
      </c>
      <c r="B506" s="6" t="str">
        <f t="shared" si="136"/>
        <v>CARRE BL</v>
      </c>
      <c r="C506" s="7">
        <v>45939</v>
      </c>
      <c r="D506" s="7">
        <v>46101</v>
      </c>
      <c r="E506" s="8">
        <v>1</v>
      </c>
      <c r="F506" s="6" t="str">
        <f>"513418"</f>
        <v>513418</v>
      </c>
      <c r="G506" s="6" t="str">
        <f>"F310630950000000"</f>
        <v>F310630950000000</v>
      </c>
      <c r="H506" s="6" t="str">
        <f>"PLAR 6309 Bio GOTS -"</f>
        <v>PLAR 6309 Bio GOTS -</v>
      </c>
      <c r="I506" s="6" t="str">
        <f>"200525"</f>
        <v>200525</v>
      </c>
      <c r="J506" s="6" t="str">
        <f>"AZUL 525"</f>
        <v>AZUL 525</v>
      </c>
      <c r="K506" s="6" t="str">
        <f t="shared" si="140"/>
        <v>1520</v>
      </c>
      <c r="L506" s="6" t="str">
        <f t="shared" si="141"/>
        <v>Toalhões</v>
      </c>
      <c r="M506" s="6" t="str">
        <f t="shared" si="142"/>
        <v>70x105</v>
      </c>
      <c r="N506" s="6" t="str">
        <f t="shared" si="134"/>
        <v xml:space="preserve"> </v>
      </c>
      <c r="O506" s="8">
        <v>2630</v>
      </c>
      <c r="P506" s="7">
        <v>46042</v>
      </c>
      <c r="R506" s="8">
        <v>0</v>
      </c>
      <c r="S506" s="7">
        <v>46045</v>
      </c>
      <c r="U506" s="8">
        <v>2787</v>
      </c>
      <c r="V506" s="7">
        <v>46052</v>
      </c>
      <c r="X506" s="8">
        <v>0</v>
      </c>
      <c r="Z506" s="8">
        <v>1308</v>
      </c>
      <c r="AA506" s="7">
        <v>46066</v>
      </c>
      <c r="AC506" s="8">
        <v>0</v>
      </c>
      <c r="AE506" s="7">
        <v>46101</v>
      </c>
      <c r="AF506" s="8">
        <v>0</v>
      </c>
      <c r="AH506" s="7">
        <v>46101</v>
      </c>
      <c r="AI506" s="7">
        <v>46098</v>
      </c>
      <c r="AN506" s="8">
        <v>0</v>
      </c>
      <c r="AO506" s="8">
        <v>2630</v>
      </c>
    </row>
    <row r="507" spans="1:41" x14ac:dyDescent="0.25">
      <c r="A507" s="6" t="str">
        <f>"521-2025000663"</f>
        <v>521-2025000663</v>
      </c>
      <c r="B507" s="6" t="str">
        <f t="shared" si="136"/>
        <v>CARRE BL</v>
      </c>
      <c r="C507" s="7">
        <v>45939</v>
      </c>
      <c r="D507" s="7">
        <v>46101</v>
      </c>
      <c r="E507" s="8">
        <v>4</v>
      </c>
      <c r="F507" s="6" t="str">
        <f>"513418"</f>
        <v>513418</v>
      </c>
      <c r="G507" s="6" t="str">
        <f>"F310631050004011"</f>
        <v>F310631050004011</v>
      </c>
      <c r="H507" s="6" t="str">
        <f>"PLAR 6310 Bio GOTS /"</f>
        <v>PLAR 6310 Bio GOTS /</v>
      </c>
      <c r="I507" s="6" t="str">
        <f>"204037"</f>
        <v>204037</v>
      </c>
      <c r="J507" s="6" t="str">
        <f>"AZUL 4037"</f>
        <v>AZUL 4037</v>
      </c>
      <c r="K507" s="6" t="str">
        <f t="shared" si="140"/>
        <v>1520</v>
      </c>
      <c r="L507" s="6" t="str">
        <f t="shared" si="141"/>
        <v>Toalhões</v>
      </c>
      <c r="M507" s="6" t="str">
        <f t="shared" si="142"/>
        <v>70x105</v>
      </c>
      <c r="N507" s="6" t="str">
        <f t="shared" si="134"/>
        <v xml:space="preserve"> </v>
      </c>
      <c r="O507" s="8">
        <v>2630</v>
      </c>
      <c r="P507" s="7">
        <v>46042</v>
      </c>
      <c r="R507" s="8">
        <v>0</v>
      </c>
      <c r="S507" s="7">
        <v>46045</v>
      </c>
      <c r="U507" s="8">
        <v>2796</v>
      </c>
      <c r="V507" s="7">
        <v>46052</v>
      </c>
      <c r="X507" s="8">
        <v>0</v>
      </c>
      <c r="Z507" s="8">
        <v>0</v>
      </c>
      <c r="AA507" s="7">
        <v>46066</v>
      </c>
      <c r="AC507" s="8">
        <v>0</v>
      </c>
      <c r="AE507" s="7">
        <v>46101</v>
      </c>
      <c r="AF507" s="8">
        <v>0</v>
      </c>
      <c r="AH507" s="7">
        <v>46101</v>
      </c>
      <c r="AI507" s="7">
        <v>46098</v>
      </c>
      <c r="AN507" s="8">
        <v>0</v>
      </c>
      <c r="AO507" s="8">
        <v>2630</v>
      </c>
    </row>
    <row r="508" spans="1:41" x14ac:dyDescent="0.25">
      <c r="A508" s="6" t="str">
        <f>"521-2025000663"</f>
        <v>521-2025000663</v>
      </c>
      <c r="B508" s="6" t="str">
        <f t="shared" si="136"/>
        <v>CARRE BL</v>
      </c>
      <c r="C508" s="7">
        <v>45939</v>
      </c>
      <c r="D508" s="7">
        <v>46101</v>
      </c>
      <c r="E508" s="8">
        <v>5</v>
      </c>
      <c r="F508" s="6" t="str">
        <f>"513418"</f>
        <v>513418</v>
      </c>
      <c r="G508" s="6" t="str">
        <f>"F310634250000000"</f>
        <v>F310634250000000</v>
      </c>
      <c r="H508" s="6" t="str">
        <f>"PLAR 6342 Bio GOTS -"</f>
        <v>PLAR 6342 Bio GOTS -</v>
      </c>
      <c r="I508" s="6" t="str">
        <f>"201696"</f>
        <v>201696</v>
      </c>
      <c r="J508" s="6" t="str">
        <f>"LARANJA 1696"</f>
        <v>LARANJA 1696</v>
      </c>
      <c r="K508" s="6" t="str">
        <f t="shared" si="140"/>
        <v>1520</v>
      </c>
      <c r="L508" s="6" t="str">
        <f t="shared" si="141"/>
        <v>Toalhões</v>
      </c>
      <c r="M508" s="6" t="str">
        <f t="shared" si="142"/>
        <v>70x105</v>
      </c>
      <c r="N508" s="6" t="str">
        <f t="shared" si="134"/>
        <v xml:space="preserve"> </v>
      </c>
      <c r="O508" s="8">
        <v>200</v>
      </c>
      <c r="P508" s="7">
        <v>46042</v>
      </c>
      <c r="R508" s="8">
        <v>0</v>
      </c>
      <c r="S508" s="7">
        <v>46045</v>
      </c>
      <c r="U508" s="8">
        <v>0</v>
      </c>
      <c r="V508" s="7">
        <v>46052</v>
      </c>
      <c r="X508" s="8">
        <v>0</v>
      </c>
      <c r="Z508" s="8">
        <v>0</v>
      </c>
      <c r="AA508" s="7">
        <v>46066</v>
      </c>
      <c r="AC508" s="8">
        <v>0</v>
      </c>
      <c r="AE508" s="7">
        <v>46101</v>
      </c>
      <c r="AF508" s="8">
        <v>0</v>
      </c>
      <c r="AH508" s="7">
        <v>46101</v>
      </c>
      <c r="AI508" s="7">
        <v>46098</v>
      </c>
      <c r="AN508" s="8">
        <v>0</v>
      </c>
      <c r="AO508" s="8">
        <v>200</v>
      </c>
    </row>
    <row r="509" spans="1:41" x14ac:dyDescent="0.25">
      <c r="A509" s="6" t="str">
        <f>"521-2025000663"</f>
        <v>521-2025000663</v>
      </c>
      <c r="B509" s="6" t="str">
        <f t="shared" si="136"/>
        <v>CARRE BL</v>
      </c>
      <c r="C509" s="7">
        <v>45939</v>
      </c>
      <c r="D509" s="7">
        <v>46101</v>
      </c>
      <c r="E509" s="8">
        <v>6</v>
      </c>
      <c r="F509" s="6" t="str">
        <f>"513418"</f>
        <v>513418</v>
      </c>
      <c r="G509" s="6" t="str">
        <f>"F310634250000000"</f>
        <v>F310634250000000</v>
      </c>
      <c r="H509" s="6" t="str">
        <f>"PLAR 6342 Bio GOTS -"</f>
        <v>PLAR 6342 Bio GOTS -</v>
      </c>
      <c r="I509" s="6" t="str">
        <f>"204188"</f>
        <v>204188</v>
      </c>
      <c r="J509" s="6" t="str">
        <f>"VERDE 4188"</f>
        <v>VERDE 4188</v>
      </c>
      <c r="K509" s="6" t="str">
        <f t="shared" si="140"/>
        <v>1520</v>
      </c>
      <c r="L509" s="6" t="str">
        <f t="shared" si="141"/>
        <v>Toalhões</v>
      </c>
      <c r="M509" s="6" t="str">
        <f t="shared" si="142"/>
        <v>70x105</v>
      </c>
      <c r="N509" s="6" t="str">
        <f t="shared" si="134"/>
        <v xml:space="preserve"> </v>
      </c>
      <c r="O509" s="8">
        <v>200</v>
      </c>
      <c r="P509" s="7">
        <v>46042</v>
      </c>
      <c r="R509" s="8">
        <v>0</v>
      </c>
      <c r="S509" s="7">
        <v>46045</v>
      </c>
      <c r="U509" s="8">
        <v>0</v>
      </c>
      <c r="V509" s="7">
        <v>46052</v>
      </c>
      <c r="X509" s="8">
        <v>0</v>
      </c>
      <c r="Z509" s="8">
        <v>0</v>
      </c>
      <c r="AA509" s="7">
        <v>46066</v>
      </c>
      <c r="AC509" s="8">
        <v>0</v>
      </c>
      <c r="AE509" s="7">
        <v>46101</v>
      </c>
      <c r="AF509" s="8">
        <v>0</v>
      </c>
      <c r="AH509" s="7">
        <v>46101</v>
      </c>
      <c r="AI509" s="7">
        <v>46098</v>
      </c>
      <c r="AN509" s="8">
        <v>0</v>
      </c>
      <c r="AO509" s="8">
        <v>200</v>
      </c>
    </row>
    <row r="510" spans="1:41" x14ac:dyDescent="0.25">
      <c r="A510" s="6" t="str">
        <f t="shared" ref="A510:A516" si="143">"521-2025000666"</f>
        <v>521-2025000666</v>
      </c>
      <c r="B510" s="6" t="str">
        <f t="shared" ref="B510:B516" si="144">"DUSEN DU"</f>
        <v>DUSEN DU</v>
      </c>
      <c r="C510" s="7">
        <v>45943</v>
      </c>
      <c r="D510" s="7">
        <v>46031</v>
      </c>
      <c r="E510" s="8">
        <v>1</v>
      </c>
      <c r="F510" s="6" t="str">
        <f t="shared" ref="F510:F516" si="145">"DD26LS1"</f>
        <v>DD26LS1</v>
      </c>
      <c r="G510" s="6" t="str">
        <f>"F600938145000000"</f>
        <v>F600938145000000</v>
      </c>
      <c r="H510" s="6" t="str">
        <f>"9381 P - 450 g/m²"</f>
        <v>9381 P - 450 g/m²</v>
      </c>
      <c r="I510" s="6" t="str">
        <f>"204479"</f>
        <v>204479</v>
      </c>
      <c r="J510" s="6" t="str">
        <f>"AZUL 4479"</f>
        <v>AZUL 4479</v>
      </c>
      <c r="K510" s="6" t="str">
        <f>"3525"</f>
        <v>3525</v>
      </c>
      <c r="L510" s="6" t="str">
        <f t="shared" ref="L510:L516" si="146">"Praia"</f>
        <v>Praia</v>
      </c>
      <c r="M510" s="6" t="str">
        <f>"90x180"</f>
        <v>90x180</v>
      </c>
      <c r="N510" s="6" t="str">
        <f t="shared" si="134"/>
        <v xml:space="preserve"> </v>
      </c>
      <c r="O510" s="8">
        <v>250</v>
      </c>
      <c r="P510" s="7">
        <v>45995</v>
      </c>
      <c r="R510" s="8">
        <v>276</v>
      </c>
      <c r="S510" s="7">
        <v>46001</v>
      </c>
      <c r="U510" s="8">
        <v>276</v>
      </c>
      <c r="V510" s="7">
        <v>46008</v>
      </c>
      <c r="X510" s="8">
        <v>0</v>
      </c>
      <c r="Z510" s="8">
        <v>276</v>
      </c>
      <c r="AA510" s="7">
        <v>46030</v>
      </c>
      <c r="AC510" s="8">
        <v>259</v>
      </c>
      <c r="AE510" s="7">
        <v>46035</v>
      </c>
      <c r="AF510" s="8">
        <v>259</v>
      </c>
      <c r="AH510" s="7">
        <v>46031</v>
      </c>
      <c r="AN510" s="8">
        <v>259</v>
      </c>
      <c r="AO510" s="8">
        <v>-9</v>
      </c>
    </row>
    <row r="511" spans="1:41" x14ac:dyDescent="0.25">
      <c r="A511" s="6" t="str">
        <f t="shared" si="143"/>
        <v>521-2025000666</v>
      </c>
      <c r="B511" s="6" t="str">
        <f t="shared" si="144"/>
        <v>DUSEN DU</v>
      </c>
      <c r="C511" s="7">
        <v>45943</v>
      </c>
      <c r="D511" s="7">
        <v>46031</v>
      </c>
      <c r="E511" s="8">
        <v>2</v>
      </c>
      <c r="F511" s="6" t="str">
        <f t="shared" si="145"/>
        <v>DD26LS1</v>
      </c>
      <c r="G511" s="6" t="str">
        <f>"F601900245000000"</f>
        <v>F601900245000000</v>
      </c>
      <c r="H511" s="6" t="str">
        <f>"19002 P - 450 g/m²"</f>
        <v>19002 P - 450 g/m²</v>
      </c>
      <c r="I511" s="6" t="str">
        <f>"203945"</f>
        <v>203945</v>
      </c>
      <c r="J511" s="6" t="str">
        <f>"BEGE 3945"</f>
        <v>BEGE 3945</v>
      </c>
      <c r="K511" s="6" t="str">
        <f>"3540"</f>
        <v>3540</v>
      </c>
      <c r="L511" s="6" t="str">
        <f t="shared" si="146"/>
        <v>Praia</v>
      </c>
      <c r="M511" s="6" t="str">
        <f>"180x90"</f>
        <v>180x90</v>
      </c>
      <c r="N511" s="6" t="str">
        <f t="shared" si="134"/>
        <v xml:space="preserve"> </v>
      </c>
      <c r="O511" s="8">
        <v>250</v>
      </c>
      <c r="P511" s="7">
        <v>45995</v>
      </c>
      <c r="R511" s="8">
        <v>283</v>
      </c>
      <c r="S511" s="7">
        <v>46001</v>
      </c>
      <c r="U511" s="8">
        <v>283</v>
      </c>
      <c r="V511" s="7">
        <v>46008</v>
      </c>
      <c r="X511" s="8">
        <v>0</v>
      </c>
      <c r="Z511" s="8">
        <v>283</v>
      </c>
      <c r="AA511" s="7">
        <v>46030</v>
      </c>
      <c r="AC511" s="8">
        <v>268</v>
      </c>
      <c r="AE511" s="7">
        <v>46035</v>
      </c>
      <c r="AF511" s="8">
        <v>268</v>
      </c>
      <c r="AH511" s="7">
        <v>46031</v>
      </c>
      <c r="AN511" s="8">
        <v>268</v>
      </c>
      <c r="AO511" s="8">
        <v>-18</v>
      </c>
    </row>
    <row r="512" spans="1:41" x14ac:dyDescent="0.25">
      <c r="A512" s="6" t="str">
        <f t="shared" si="143"/>
        <v>521-2025000666</v>
      </c>
      <c r="B512" s="6" t="str">
        <f t="shared" si="144"/>
        <v>DUSEN DU</v>
      </c>
      <c r="C512" s="7">
        <v>45943</v>
      </c>
      <c r="D512" s="7">
        <v>46031</v>
      </c>
      <c r="E512" s="8">
        <v>3</v>
      </c>
      <c r="F512" s="6" t="str">
        <f t="shared" si="145"/>
        <v>DD26LS1</v>
      </c>
      <c r="G512" s="6" t="str">
        <f>"F600937945000000"</f>
        <v>F600937945000000</v>
      </c>
      <c r="H512" s="6" t="str">
        <f>"9379 P - 450 g/m²"</f>
        <v>9379 P - 450 g/m²</v>
      </c>
      <c r="I512" s="6" t="str">
        <f>"201844"</f>
        <v>201844</v>
      </c>
      <c r="J512" s="6" t="str">
        <f>"ROSA 1844"</f>
        <v>ROSA 1844</v>
      </c>
      <c r="K512" s="6" t="str">
        <f>"3525"</f>
        <v>3525</v>
      </c>
      <c r="L512" s="6" t="str">
        <f t="shared" si="146"/>
        <v>Praia</v>
      </c>
      <c r="M512" s="6" t="str">
        <f>"90x180"</f>
        <v>90x180</v>
      </c>
      <c r="N512" s="6" t="str">
        <f t="shared" si="134"/>
        <v xml:space="preserve"> </v>
      </c>
      <c r="O512" s="8">
        <v>250</v>
      </c>
      <c r="P512" s="7">
        <v>45995</v>
      </c>
      <c r="R512" s="8">
        <v>270</v>
      </c>
      <c r="S512" s="7">
        <v>46001</v>
      </c>
      <c r="U512" s="8">
        <v>270</v>
      </c>
      <c r="V512" s="7">
        <v>46008</v>
      </c>
      <c r="X512" s="8">
        <v>0</v>
      </c>
      <c r="Z512" s="8">
        <v>270</v>
      </c>
      <c r="AA512" s="7">
        <v>46030</v>
      </c>
      <c r="AC512" s="8">
        <v>256</v>
      </c>
      <c r="AE512" s="7">
        <v>46035</v>
      </c>
      <c r="AF512" s="8">
        <v>256</v>
      </c>
      <c r="AH512" s="7">
        <v>46031</v>
      </c>
      <c r="AN512" s="8">
        <v>256</v>
      </c>
      <c r="AO512" s="8">
        <v>-6</v>
      </c>
    </row>
    <row r="513" spans="1:41" x14ac:dyDescent="0.25">
      <c r="A513" s="6" t="str">
        <f t="shared" si="143"/>
        <v>521-2025000666</v>
      </c>
      <c r="B513" s="6" t="str">
        <f t="shared" si="144"/>
        <v>DUSEN DU</v>
      </c>
      <c r="C513" s="7">
        <v>45943</v>
      </c>
      <c r="D513" s="7">
        <v>46031</v>
      </c>
      <c r="E513" s="8">
        <v>4</v>
      </c>
      <c r="F513" s="6" t="str">
        <f t="shared" si="145"/>
        <v>DD26LS1</v>
      </c>
      <c r="G513" s="6" t="str">
        <f>"F600938045000000"</f>
        <v>F600938045000000</v>
      </c>
      <c r="H513" s="6" t="str">
        <f>"9380 P - 450 g/m²"</f>
        <v>9380 P - 450 g/m²</v>
      </c>
      <c r="I513" s="6" t="str">
        <f>"201844"</f>
        <v>201844</v>
      </c>
      <c r="J513" s="6" t="str">
        <f>"ROSA 1844"</f>
        <v>ROSA 1844</v>
      </c>
      <c r="K513" s="6" t="str">
        <f>"3525"</f>
        <v>3525</v>
      </c>
      <c r="L513" s="6" t="str">
        <f t="shared" si="146"/>
        <v>Praia</v>
      </c>
      <c r="M513" s="6" t="str">
        <f>"90x180"</f>
        <v>90x180</v>
      </c>
      <c r="N513" s="6" t="str">
        <f t="shared" si="134"/>
        <v xml:space="preserve"> </v>
      </c>
      <c r="O513" s="8">
        <v>250</v>
      </c>
      <c r="P513" s="7">
        <v>45995</v>
      </c>
      <c r="R513" s="8">
        <v>276</v>
      </c>
      <c r="S513" s="7">
        <v>46001</v>
      </c>
      <c r="U513" s="8">
        <v>276</v>
      </c>
      <c r="V513" s="7">
        <v>46008</v>
      </c>
      <c r="X513" s="8">
        <v>0</v>
      </c>
      <c r="Z513" s="8">
        <v>276</v>
      </c>
      <c r="AA513" s="7">
        <v>46030</v>
      </c>
      <c r="AC513" s="8">
        <v>263</v>
      </c>
      <c r="AE513" s="7">
        <v>46035</v>
      </c>
      <c r="AF513" s="8">
        <v>263</v>
      </c>
      <c r="AH513" s="7">
        <v>46031</v>
      </c>
      <c r="AN513" s="8">
        <v>263</v>
      </c>
      <c r="AO513" s="8">
        <v>-13</v>
      </c>
    </row>
    <row r="514" spans="1:41" x14ac:dyDescent="0.25">
      <c r="A514" s="6" t="str">
        <f t="shared" si="143"/>
        <v>521-2025000666</v>
      </c>
      <c r="B514" s="6" t="str">
        <f t="shared" si="144"/>
        <v>DUSEN DU</v>
      </c>
      <c r="C514" s="7">
        <v>45943</v>
      </c>
      <c r="D514" s="7">
        <v>46031</v>
      </c>
      <c r="E514" s="8">
        <v>5</v>
      </c>
      <c r="F514" s="6" t="str">
        <f t="shared" si="145"/>
        <v>DD26LS1</v>
      </c>
      <c r="G514" s="6" t="str">
        <f>"F600938445000000"</f>
        <v>F600938445000000</v>
      </c>
      <c r="H514" s="6" t="str">
        <f>"9384 P - 450 g/m²"</f>
        <v>9384 P - 450 g/m²</v>
      </c>
      <c r="I514" s="6" t="str">
        <f>"204525"</f>
        <v>204525</v>
      </c>
      <c r="J514" s="6" t="str">
        <f>"VERDE 4525"</f>
        <v>VERDE 4525</v>
      </c>
      <c r="K514" s="6" t="str">
        <f>"3525"</f>
        <v>3525</v>
      </c>
      <c r="L514" s="6" t="str">
        <f t="shared" si="146"/>
        <v>Praia</v>
      </c>
      <c r="M514" s="6" t="str">
        <f>"90x180"</f>
        <v>90x180</v>
      </c>
      <c r="N514" s="6" t="str">
        <f t="shared" si="134"/>
        <v xml:space="preserve"> </v>
      </c>
      <c r="O514" s="8">
        <v>350</v>
      </c>
      <c r="P514" s="7">
        <v>45995</v>
      </c>
      <c r="R514" s="8">
        <v>386</v>
      </c>
      <c r="S514" s="7">
        <v>46001</v>
      </c>
      <c r="U514" s="8">
        <v>386</v>
      </c>
      <c r="V514" s="7">
        <v>46008</v>
      </c>
      <c r="X514" s="8">
        <v>0</v>
      </c>
      <c r="Z514" s="8">
        <v>386</v>
      </c>
      <c r="AA514" s="7">
        <v>46030</v>
      </c>
      <c r="AC514" s="8">
        <v>365</v>
      </c>
      <c r="AE514" s="7">
        <v>46035</v>
      </c>
      <c r="AF514" s="8">
        <v>365</v>
      </c>
      <c r="AH514" s="7">
        <v>46031</v>
      </c>
      <c r="AN514" s="8">
        <v>365</v>
      </c>
      <c r="AO514" s="8">
        <v>-15</v>
      </c>
    </row>
    <row r="515" spans="1:41" x14ac:dyDescent="0.25">
      <c r="A515" s="6" t="str">
        <f t="shared" si="143"/>
        <v>521-2025000666</v>
      </c>
      <c r="B515" s="6" t="str">
        <f t="shared" si="144"/>
        <v>DUSEN DU</v>
      </c>
      <c r="C515" s="7">
        <v>45943</v>
      </c>
      <c r="D515" s="7">
        <v>46031</v>
      </c>
      <c r="E515" s="8">
        <v>6</v>
      </c>
      <c r="F515" s="6" t="str">
        <f t="shared" si="145"/>
        <v>DD26LS1</v>
      </c>
      <c r="G515" s="6" t="str">
        <f>"F600938345000000"</f>
        <v>F600938345000000</v>
      </c>
      <c r="H515" s="6" t="str">
        <f>"9383 P - 450 g/m²"</f>
        <v>9383 P - 450 g/m²</v>
      </c>
      <c r="I515" s="6" t="str">
        <f>"201142"</f>
        <v>201142</v>
      </c>
      <c r="J515" s="6" t="str">
        <f>"AMARELO 1142"</f>
        <v>AMARELO 1142</v>
      </c>
      <c r="K515" s="6" t="str">
        <f>"3525"</f>
        <v>3525</v>
      </c>
      <c r="L515" s="6" t="str">
        <f t="shared" si="146"/>
        <v>Praia</v>
      </c>
      <c r="M515" s="6" t="str">
        <f>"90x180"</f>
        <v>90x180</v>
      </c>
      <c r="N515" s="6" t="str">
        <f t="shared" si="134"/>
        <v xml:space="preserve"> </v>
      </c>
      <c r="O515" s="8">
        <v>350</v>
      </c>
      <c r="P515" s="7">
        <v>45995</v>
      </c>
      <c r="R515" s="8">
        <v>390</v>
      </c>
      <c r="S515" s="7">
        <v>46001</v>
      </c>
      <c r="U515" s="8">
        <v>390</v>
      </c>
      <c r="V515" s="7">
        <v>46008</v>
      </c>
      <c r="X515" s="8">
        <v>0</v>
      </c>
      <c r="Z515" s="8">
        <v>390</v>
      </c>
      <c r="AA515" s="7">
        <v>46030</v>
      </c>
      <c r="AC515" s="8">
        <v>375</v>
      </c>
      <c r="AE515" s="7">
        <v>46035</v>
      </c>
      <c r="AF515" s="8">
        <v>375</v>
      </c>
      <c r="AH515" s="7">
        <v>46031</v>
      </c>
      <c r="AN515" s="8">
        <v>375</v>
      </c>
      <c r="AO515" s="8">
        <v>-25</v>
      </c>
    </row>
    <row r="516" spans="1:41" x14ac:dyDescent="0.25">
      <c r="A516" s="6" t="str">
        <f t="shared" si="143"/>
        <v>521-2025000666</v>
      </c>
      <c r="B516" s="6" t="str">
        <f t="shared" si="144"/>
        <v>DUSEN DU</v>
      </c>
      <c r="C516" s="7">
        <v>45943</v>
      </c>
      <c r="D516" s="7">
        <v>46031</v>
      </c>
      <c r="E516" s="8">
        <v>7</v>
      </c>
      <c r="F516" s="6" t="str">
        <f t="shared" si="145"/>
        <v>DD26LS1</v>
      </c>
      <c r="G516" s="6" t="str">
        <f>"F601898645000000"</f>
        <v>F601898645000000</v>
      </c>
      <c r="H516" s="6" t="str">
        <f>"18986 P - 450 g/m²"</f>
        <v>18986 P - 450 g/m²</v>
      </c>
      <c r="I516" s="6" t="str">
        <f>"200021"</f>
        <v>200021</v>
      </c>
      <c r="J516" s="6" t="str">
        <f>"AZUL 21"</f>
        <v>AZUL 21</v>
      </c>
      <c r="K516" s="6" t="str">
        <f>"3540"</f>
        <v>3540</v>
      </c>
      <c r="L516" s="6" t="str">
        <f t="shared" si="146"/>
        <v>Praia</v>
      </c>
      <c r="M516" s="6" t="str">
        <f>"180x90"</f>
        <v>180x90</v>
      </c>
      <c r="N516" s="6" t="str">
        <f t="shared" si="134"/>
        <v xml:space="preserve"> </v>
      </c>
      <c r="O516" s="8">
        <v>350</v>
      </c>
      <c r="P516" s="7">
        <v>45995</v>
      </c>
      <c r="R516" s="8">
        <v>386</v>
      </c>
      <c r="S516" s="7">
        <v>46001</v>
      </c>
      <c r="U516" s="8">
        <v>386</v>
      </c>
      <c r="V516" s="7">
        <v>46008</v>
      </c>
      <c r="X516" s="8">
        <v>0</v>
      </c>
      <c r="Z516" s="8">
        <v>386</v>
      </c>
      <c r="AA516" s="7">
        <v>46030</v>
      </c>
      <c r="AC516" s="8">
        <v>360</v>
      </c>
      <c r="AE516" s="7">
        <v>46035</v>
      </c>
      <c r="AF516" s="8">
        <v>360</v>
      </c>
      <c r="AH516" s="7">
        <v>46031</v>
      </c>
      <c r="AN516" s="8">
        <v>360</v>
      </c>
      <c r="AO516" s="8">
        <v>-10</v>
      </c>
    </row>
    <row r="517" spans="1:41" x14ac:dyDescent="0.25">
      <c r="A517" s="6" t="str">
        <f>"521-2025000668"</f>
        <v>521-2025000668</v>
      </c>
      <c r="B517" s="6" t="str">
        <f t="shared" ref="B517:B530" si="147">"WORLD MA"</f>
        <v>WORLD MA</v>
      </c>
      <c r="C517" s="7">
        <v>45944</v>
      </c>
      <c r="D517" s="7">
        <v>46038</v>
      </c>
      <c r="E517" s="8">
        <v>1</v>
      </c>
      <c r="F517" s="6" t="str">
        <f>"200732899"</f>
        <v>200732899</v>
      </c>
      <c r="G517" s="6" t="str">
        <f>"F310593055000000"</f>
        <v>F310593055000000</v>
      </c>
      <c r="H517" s="6" t="str">
        <f>"PLAR 5930 - 550 g/m²"</f>
        <v>PLAR 5930 - 550 g/m²</v>
      </c>
      <c r="I517" s="6" t="str">
        <f>"200870"</f>
        <v>200870</v>
      </c>
      <c r="J517" s="6" t="str">
        <f>"BEGE 870"</f>
        <v>BEGE 870</v>
      </c>
      <c r="K517" s="6" t="str">
        <f>"1004"</f>
        <v>1004</v>
      </c>
      <c r="L517" s="6" t="str">
        <f>"Toalhas"</f>
        <v>Toalhas</v>
      </c>
      <c r="M517" s="6" t="str">
        <f>"41x71"</f>
        <v>41x71</v>
      </c>
      <c r="N517" s="6" t="str">
        <f t="shared" si="134"/>
        <v xml:space="preserve"> </v>
      </c>
      <c r="O517" s="8">
        <v>840</v>
      </c>
      <c r="P517" s="7">
        <v>45986</v>
      </c>
      <c r="R517" s="8">
        <v>0</v>
      </c>
      <c r="S517" s="7">
        <v>45989</v>
      </c>
      <c r="U517" s="8">
        <v>892</v>
      </c>
      <c r="V517" s="7">
        <v>45995</v>
      </c>
      <c r="X517" s="8">
        <v>0</v>
      </c>
      <c r="Z517" s="8">
        <v>892</v>
      </c>
      <c r="AA517" s="7">
        <v>46008</v>
      </c>
      <c r="AC517" s="8">
        <v>840</v>
      </c>
      <c r="AE517" s="7">
        <v>46010</v>
      </c>
      <c r="AF517" s="8">
        <v>840</v>
      </c>
      <c r="AH517" s="7">
        <v>46010</v>
      </c>
      <c r="AN517" s="8">
        <v>840</v>
      </c>
      <c r="AO517" s="8">
        <v>0</v>
      </c>
    </row>
    <row r="518" spans="1:41" x14ac:dyDescent="0.25">
      <c r="A518" s="6" t="str">
        <f>"521-2025000668"</f>
        <v>521-2025000668</v>
      </c>
      <c r="B518" s="6" t="str">
        <f t="shared" si="147"/>
        <v>WORLD MA</v>
      </c>
      <c r="C518" s="7">
        <v>45944</v>
      </c>
      <c r="D518" s="7">
        <v>46038</v>
      </c>
      <c r="E518" s="8">
        <v>2</v>
      </c>
      <c r="F518" s="6" t="str">
        <f>"200732899"</f>
        <v>200732899</v>
      </c>
      <c r="G518" s="6" t="str">
        <f>"F310593055000000"</f>
        <v>F310593055000000</v>
      </c>
      <c r="H518" s="6" t="str">
        <f>"PLAR 5930 - 550 g/m²"</f>
        <v>PLAR 5930 - 550 g/m²</v>
      </c>
      <c r="I518" s="6" t="str">
        <f>"200870"</f>
        <v>200870</v>
      </c>
      <c r="J518" s="6" t="str">
        <f>"BEGE 870"</f>
        <v>BEGE 870</v>
      </c>
      <c r="K518" s="6" t="str">
        <f>"1534"</f>
        <v>1534</v>
      </c>
      <c r="L518" s="6" t="str">
        <f>"Toalhões"</f>
        <v>Toalhões</v>
      </c>
      <c r="M518" s="6" t="str">
        <f>"70x137"</f>
        <v>70x137</v>
      </c>
      <c r="N518" s="6" t="str">
        <f t="shared" si="134"/>
        <v xml:space="preserve"> </v>
      </c>
      <c r="O518" s="8">
        <v>272</v>
      </c>
      <c r="P518" s="7">
        <v>45986</v>
      </c>
      <c r="R518" s="8">
        <v>0</v>
      </c>
      <c r="S518" s="7">
        <v>45989</v>
      </c>
      <c r="U518" s="8">
        <v>300</v>
      </c>
      <c r="V518" s="7">
        <v>45995</v>
      </c>
      <c r="X518" s="8">
        <v>0</v>
      </c>
      <c r="Z518" s="8">
        <v>300</v>
      </c>
      <c r="AA518" s="7">
        <v>46008</v>
      </c>
      <c r="AC518" s="8">
        <v>272</v>
      </c>
      <c r="AE518" s="7">
        <v>46010</v>
      </c>
      <c r="AF518" s="8">
        <v>272</v>
      </c>
      <c r="AH518" s="7">
        <v>46010</v>
      </c>
      <c r="AN518" s="8">
        <v>272</v>
      </c>
      <c r="AO518" s="8">
        <v>0</v>
      </c>
    </row>
    <row r="519" spans="1:41" x14ac:dyDescent="0.25">
      <c r="A519" s="6" t="str">
        <f>"521-2025000669"</f>
        <v>521-2025000669</v>
      </c>
      <c r="B519" s="6" t="str">
        <f t="shared" si="147"/>
        <v>WORLD MA</v>
      </c>
      <c r="C519" s="7">
        <v>45944</v>
      </c>
      <c r="D519" s="7">
        <v>46038</v>
      </c>
      <c r="E519" s="8">
        <v>1</v>
      </c>
      <c r="F519" s="6" t="str">
        <f>"400732899"</f>
        <v>400732899</v>
      </c>
      <c r="G519" s="6" t="str">
        <f>"F310593055000000"</f>
        <v>F310593055000000</v>
      </c>
      <c r="H519" s="6" t="str">
        <f>"PLAR 5930 - 550 g/m²"</f>
        <v>PLAR 5930 - 550 g/m²</v>
      </c>
      <c r="I519" s="6" t="str">
        <f>"200870"</f>
        <v>200870</v>
      </c>
      <c r="J519" s="6" t="str">
        <f>"BEGE 870"</f>
        <v>BEGE 870</v>
      </c>
      <c r="K519" s="6" t="str">
        <f>"1004"</f>
        <v>1004</v>
      </c>
      <c r="L519" s="6" t="str">
        <f>"Toalhas"</f>
        <v>Toalhas</v>
      </c>
      <c r="M519" s="6" t="str">
        <f>"41x71"</f>
        <v>41x71</v>
      </c>
      <c r="N519" s="6" t="str">
        <f t="shared" si="134"/>
        <v xml:space="preserve"> </v>
      </c>
      <c r="O519" s="8">
        <v>1176</v>
      </c>
      <c r="P519" s="7">
        <v>45986</v>
      </c>
      <c r="R519" s="8">
        <v>2152</v>
      </c>
      <c r="S519" s="7">
        <v>45989</v>
      </c>
      <c r="U519" s="8">
        <v>1260</v>
      </c>
      <c r="V519" s="7">
        <v>45995</v>
      </c>
      <c r="X519" s="8">
        <v>0</v>
      </c>
      <c r="Z519" s="8">
        <v>1260</v>
      </c>
      <c r="AA519" s="7">
        <v>46008</v>
      </c>
      <c r="AC519" s="8">
        <v>1176</v>
      </c>
      <c r="AE519" s="7">
        <v>46010</v>
      </c>
      <c r="AF519" s="8">
        <v>1176</v>
      </c>
      <c r="AH519" s="7">
        <v>46010</v>
      </c>
      <c r="AN519" s="8">
        <v>1176</v>
      </c>
      <c r="AO519" s="8">
        <v>0</v>
      </c>
    </row>
    <row r="520" spans="1:41" x14ac:dyDescent="0.25">
      <c r="A520" s="6" t="str">
        <f>"521-2025000669"</f>
        <v>521-2025000669</v>
      </c>
      <c r="B520" s="6" t="str">
        <f t="shared" si="147"/>
        <v>WORLD MA</v>
      </c>
      <c r="C520" s="7">
        <v>45944</v>
      </c>
      <c r="D520" s="7">
        <v>46038</v>
      </c>
      <c r="E520" s="8">
        <v>2</v>
      </c>
      <c r="F520" s="6" t="str">
        <f>"400732899"</f>
        <v>400732899</v>
      </c>
      <c r="G520" s="6" t="str">
        <f>"F310593055000000"</f>
        <v>F310593055000000</v>
      </c>
      <c r="H520" s="6" t="str">
        <f>"PLAR 5930 - 550 g/m²"</f>
        <v>PLAR 5930 - 550 g/m²</v>
      </c>
      <c r="I520" s="6" t="str">
        <f>"200870"</f>
        <v>200870</v>
      </c>
      <c r="J520" s="6" t="str">
        <f>"BEGE 870"</f>
        <v>BEGE 870</v>
      </c>
      <c r="K520" s="6" t="str">
        <f>"1534"</f>
        <v>1534</v>
      </c>
      <c r="L520" s="6" t="str">
        <f>"Toalhões"</f>
        <v>Toalhões</v>
      </c>
      <c r="M520" s="6" t="str">
        <f>"70x137"</f>
        <v>70x137</v>
      </c>
      <c r="N520" s="6" t="str">
        <f t="shared" si="134"/>
        <v xml:space="preserve"> </v>
      </c>
      <c r="O520" s="8">
        <v>384</v>
      </c>
      <c r="P520" s="7">
        <v>45986</v>
      </c>
      <c r="R520" s="8">
        <v>756</v>
      </c>
      <c r="S520" s="7">
        <v>45989</v>
      </c>
      <c r="U520" s="8">
        <v>456</v>
      </c>
      <c r="V520" s="7">
        <v>45995</v>
      </c>
      <c r="X520" s="8">
        <v>0</v>
      </c>
      <c r="Z520" s="8">
        <v>456</v>
      </c>
      <c r="AA520" s="7">
        <v>46008</v>
      </c>
      <c r="AC520" s="8">
        <v>384</v>
      </c>
      <c r="AE520" s="7">
        <v>46010</v>
      </c>
      <c r="AF520" s="8">
        <v>384</v>
      </c>
      <c r="AH520" s="7">
        <v>46010</v>
      </c>
      <c r="AN520" s="8">
        <v>384</v>
      </c>
      <c r="AO520" s="8">
        <v>0</v>
      </c>
    </row>
    <row r="521" spans="1:41" x14ac:dyDescent="0.25">
      <c r="A521" s="6" t="str">
        <f>"521-2025000670"</f>
        <v>521-2025000670</v>
      </c>
      <c r="B521" s="6" t="str">
        <f t="shared" si="147"/>
        <v>WORLD MA</v>
      </c>
      <c r="C521" s="7">
        <v>45944</v>
      </c>
      <c r="D521" s="7">
        <v>46038</v>
      </c>
      <c r="E521" s="8">
        <v>1</v>
      </c>
      <c r="F521" s="6" t="str">
        <f>"400732906"</f>
        <v>400732906</v>
      </c>
      <c r="G521" s="6" t="str">
        <f>"F310605055000000"</f>
        <v>F310605055000000</v>
      </c>
      <c r="H521" s="6" t="str">
        <f>"PLAR 6050 - 550 g/m²"</f>
        <v>PLAR 6050 - 550 g/m²</v>
      </c>
      <c r="I521" s="6" t="str">
        <f>"201006"</f>
        <v>201006</v>
      </c>
      <c r="J521" s="6" t="str">
        <f>"VERDE 1006"</f>
        <v>VERDE 1006</v>
      </c>
      <c r="K521" s="6" t="str">
        <f>"1534"</f>
        <v>1534</v>
      </c>
      <c r="L521" s="6" t="str">
        <f>"Toalhões"</f>
        <v>Toalhões</v>
      </c>
      <c r="M521" s="6" t="str">
        <f>"70x137"</f>
        <v>70x137</v>
      </c>
      <c r="N521" s="6" t="str">
        <f t="shared" si="134"/>
        <v xml:space="preserve"> </v>
      </c>
      <c r="O521" s="8">
        <v>640</v>
      </c>
      <c r="P521" s="7">
        <v>46003</v>
      </c>
      <c r="R521" s="8">
        <v>1413</v>
      </c>
      <c r="S521" s="7">
        <v>46008</v>
      </c>
      <c r="U521" s="8">
        <v>690</v>
      </c>
      <c r="V521" s="7">
        <v>46020</v>
      </c>
      <c r="X521" s="8">
        <v>0</v>
      </c>
      <c r="Z521" s="8">
        <v>690</v>
      </c>
      <c r="AA521" s="7">
        <v>46037</v>
      </c>
      <c r="AC521" s="8">
        <v>640</v>
      </c>
      <c r="AE521" s="7">
        <v>46042</v>
      </c>
      <c r="AF521" s="8">
        <v>640</v>
      </c>
      <c r="AH521" s="7">
        <v>46038</v>
      </c>
      <c r="AN521" s="8">
        <v>640</v>
      </c>
      <c r="AO521" s="8">
        <v>0</v>
      </c>
    </row>
    <row r="522" spans="1:41" x14ac:dyDescent="0.25">
      <c r="A522" s="6" t="str">
        <f>"521-2025000670"</f>
        <v>521-2025000670</v>
      </c>
      <c r="B522" s="6" t="str">
        <f t="shared" si="147"/>
        <v>WORLD MA</v>
      </c>
      <c r="C522" s="7">
        <v>45944</v>
      </c>
      <c r="D522" s="7">
        <v>46038</v>
      </c>
      <c r="E522" s="8">
        <v>2</v>
      </c>
      <c r="F522" s="6" t="str">
        <f>"400732906"</f>
        <v>400732906</v>
      </c>
      <c r="G522" s="6" t="str">
        <f>"F310614750000000"</f>
        <v>F310614750000000</v>
      </c>
      <c r="H522" s="6" t="str">
        <f>"PLAR 6147 - 500 g/m²"</f>
        <v>PLAR 6147 - 500 g/m²</v>
      </c>
      <c r="I522" s="6" t="str">
        <f>"203042"</f>
        <v>203042</v>
      </c>
      <c r="J522" s="6" t="str">
        <f>"AZUL 3042"</f>
        <v>AZUL 3042</v>
      </c>
      <c r="K522" s="6" t="str">
        <f>"1534"</f>
        <v>1534</v>
      </c>
      <c r="L522" s="6" t="str">
        <f>"Toalhões"</f>
        <v>Toalhões</v>
      </c>
      <c r="M522" s="6" t="str">
        <f>"70x137"</f>
        <v>70x137</v>
      </c>
      <c r="N522" s="6" t="str">
        <f t="shared" si="134"/>
        <v xml:space="preserve"> </v>
      </c>
      <c r="O522" s="8">
        <v>528</v>
      </c>
      <c r="P522" s="7">
        <v>46003</v>
      </c>
      <c r="R522" s="8">
        <v>1164</v>
      </c>
      <c r="S522" s="7">
        <v>46008</v>
      </c>
      <c r="U522" s="8">
        <v>570</v>
      </c>
      <c r="V522" s="7">
        <v>46020</v>
      </c>
      <c r="X522" s="8">
        <v>0</v>
      </c>
      <c r="Z522" s="8">
        <v>570</v>
      </c>
      <c r="AA522" s="7">
        <v>46037</v>
      </c>
      <c r="AC522" s="8">
        <v>528</v>
      </c>
      <c r="AE522" s="7">
        <v>46042</v>
      </c>
      <c r="AF522" s="8">
        <v>528</v>
      </c>
      <c r="AH522" s="7">
        <v>46038</v>
      </c>
      <c r="AN522" s="8">
        <v>528</v>
      </c>
      <c r="AO522" s="8">
        <v>0</v>
      </c>
    </row>
    <row r="523" spans="1:41" x14ac:dyDescent="0.25">
      <c r="A523" s="6" t="str">
        <f>"521-2025000670"</f>
        <v>521-2025000670</v>
      </c>
      <c r="B523" s="6" t="str">
        <f t="shared" si="147"/>
        <v>WORLD MA</v>
      </c>
      <c r="C523" s="7">
        <v>45944</v>
      </c>
      <c r="D523" s="7">
        <v>46038</v>
      </c>
      <c r="E523" s="8">
        <v>3</v>
      </c>
      <c r="F523" s="6" t="str">
        <f>"400732906"</f>
        <v>400732906</v>
      </c>
      <c r="G523" s="6" t="str">
        <f>"F310614750000000"</f>
        <v>F310614750000000</v>
      </c>
      <c r="H523" s="6" t="str">
        <f>"PLAR 6147 - 500 g/m²"</f>
        <v>PLAR 6147 - 500 g/m²</v>
      </c>
      <c r="I523" s="6" t="str">
        <f>"203042"</f>
        <v>203042</v>
      </c>
      <c r="J523" s="6" t="str">
        <f>"AZUL 3042"</f>
        <v>AZUL 3042</v>
      </c>
      <c r="K523" s="6" t="str">
        <f>"1004"</f>
        <v>1004</v>
      </c>
      <c r="L523" s="6" t="str">
        <f>"Toalhas"</f>
        <v>Toalhas</v>
      </c>
      <c r="M523" s="6" t="str">
        <f>"41x71"</f>
        <v>41x71</v>
      </c>
      <c r="N523" s="6" t="str">
        <f t="shared" si="134"/>
        <v xml:space="preserve"> </v>
      </c>
      <c r="O523" s="8">
        <v>1092</v>
      </c>
      <c r="P523" s="7">
        <v>46003</v>
      </c>
      <c r="R523" s="8">
        <v>2556</v>
      </c>
      <c r="S523" s="7">
        <v>46008</v>
      </c>
      <c r="U523" s="8">
        <v>1160</v>
      </c>
      <c r="V523" s="7">
        <v>46020</v>
      </c>
      <c r="X523" s="8">
        <v>0</v>
      </c>
      <c r="Z523" s="8">
        <v>1160</v>
      </c>
      <c r="AA523" s="7">
        <v>46037</v>
      </c>
      <c r="AC523" s="8">
        <v>1092</v>
      </c>
      <c r="AE523" s="7">
        <v>46042</v>
      </c>
      <c r="AF523" s="8">
        <v>1092</v>
      </c>
      <c r="AH523" s="7">
        <v>46038</v>
      </c>
      <c r="AN523" s="8">
        <v>1092</v>
      </c>
      <c r="AO523" s="8">
        <v>0</v>
      </c>
    </row>
    <row r="524" spans="1:41" x14ac:dyDescent="0.25">
      <c r="A524" s="6" t="str">
        <f>"521-2025000670"</f>
        <v>521-2025000670</v>
      </c>
      <c r="B524" s="6" t="str">
        <f t="shared" si="147"/>
        <v>WORLD MA</v>
      </c>
      <c r="C524" s="7">
        <v>45944</v>
      </c>
      <c r="D524" s="7">
        <v>46038</v>
      </c>
      <c r="E524" s="8">
        <v>4</v>
      </c>
      <c r="F524" s="6" t="str">
        <f>"400732906"</f>
        <v>400732906</v>
      </c>
      <c r="G524" s="6" t="str">
        <f>"F310549155000000"</f>
        <v>F310549155000000</v>
      </c>
      <c r="H524" s="6" t="str">
        <f>"PLAR 5491 C/ Franja"</f>
        <v>PLAR 5491 C/ Franja</v>
      </c>
      <c r="I524" s="6" t="str">
        <f>"201540"</f>
        <v>201540</v>
      </c>
      <c r="J524" s="6" t="str">
        <f>"AMARELO 1540"</f>
        <v>AMARELO 1540</v>
      </c>
      <c r="K524" s="6" t="str">
        <f>"1062"</f>
        <v>1062</v>
      </c>
      <c r="L524" s="6" t="str">
        <f>"Toalhas"</f>
        <v>Toalhas</v>
      </c>
      <c r="M524" s="6" t="str">
        <f>"41x71+8"</f>
        <v>41x71+8</v>
      </c>
      <c r="N524" s="6" t="str">
        <f t="shared" ref="N524:N555" si="148">" "</f>
        <v xml:space="preserve"> </v>
      </c>
      <c r="O524" s="8">
        <v>1092</v>
      </c>
      <c r="P524" s="7">
        <v>46003</v>
      </c>
      <c r="R524" s="8">
        <v>2804</v>
      </c>
      <c r="S524" s="7">
        <v>46008</v>
      </c>
      <c r="U524" s="8">
        <v>1160</v>
      </c>
      <c r="V524" s="7">
        <v>46020</v>
      </c>
      <c r="X524" s="8">
        <v>0</v>
      </c>
      <c r="Z524" s="8">
        <v>1160</v>
      </c>
      <c r="AA524" s="7">
        <v>46037</v>
      </c>
      <c r="AC524" s="8">
        <v>1092</v>
      </c>
      <c r="AE524" s="7">
        <v>46042</v>
      </c>
      <c r="AF524" s="8">
        <v>1092</v>
      </c>
      <c r="AH524" s="7">
        <v>46038</v>
      </c>
      <c r="AN524" s="8">
        <v>1092</v>
      </c>
      <c r="AO524" s="8">
        <v>0</v>
      </c>
    </row>
    <row r="525" spans="1:41" x14ac:dyDescent="0.25">
      <c r="A525" s="6" t="str">
        <f>"521-2025000670"</f>
        <v>521-2025000670</v>
      </c>
      <c r="B525" s="6" t="str">
        <f t="shared" si="147"/>
        <v>WORLD MA</v>
      </c>
      <c r="C525" s="7">
        <v>45944</v>
      </c>
      <c r="D525" s="7">
        <v>46038</v>
      </c>
      <c r="E525" s="8">
        <v>5</v>
      </c>
      <c r="F525" s="6" t="str">
        <f>"400732906"</f>
        <v>400732906</v>
      </c>
      <c r="G525" s="6" t="str">
        <f>"F310605055000000"</f>
        <v>F310605055000000</v>
      </c>
      <c r="H525" s="6" t="str">
        <f>"PLAR 6050 - 550 g/m²"</f>
        <v>PLAR 6050 - 550 g/m²</v>
      </c>
      <c r="I525" s="6" t="str">
        <f>"201006"</f>
        <v>201006</v>
      </c>
      <c r="J525" s="6" t="str">
        <f>"VERDE 1006"</f>
        <v>VERDE 1006</v>
      </c>
      <c r="K525" s="6" t="str">
        <f>"1004"</f>
        <v>1004</v>
      </c>
      <c r="L525" s="6" t="str">
        <f>"Toalhas"</f>
        <v>Toalhas</v>
      </c>
      <c r="M525" s="6" t="str">
        <f>"41x71"</f>
        <v>41x71</v>
      </c>
      <c r="N525" s="6" t="str">
        <f t="shared" si="148"/>
        <v xml:space="preserve"> </v>
      </c>
      <c r="O525" s="8">
        <v>840</v>
      </c>
      <c r="P525" s="7">
        <v>46003</v>
      </c>
      <c r="R525" s="8">
        <v>0</v>
      </c>
      <c r="S525" s="7">
        <v>46008</v>
      </c>
      <c r="U525" s="8">
        <v>0</v>
      </c>
      <c r="V525" s="7">
        <v>46020</v>
      </c>
      <c r="X525" s="8">
        <v>0</v>
      </c>
      <c r="Z525" s="8">
        <v>0</v>
      </c>
      <c r="AA525" s="7">
        <v>46037</v>
      </c>
      <c r="AC525" s="8">
        <v>840</v>
      </c>
      <c r="AE525" s="7">
        <v>46042</v>
      </c>
      <c r="AF525" s="8">
        <v>840</v>
      </c>
      <c r="AH525" s="7">
        <v>46038</v>
      </c>
      <c r="AN525" s="8">
        <v>840</v>
      </c>
      <c r="AO525" s="8">
        <v>0</v>
      </c>
    </row>
    <row r="526" spans="1:41" x14ac:dyDescent="0.25">
      <c r="A526" s="6" t="str">
        <f>"521-2025000671"</f>
        <v>521-2025000671</v>
      </c>
      <c r="B526" s="6" t="str">
        <f t="shared" si="147"/>
        <v>WORLD MA</v>
      </c>
      <c r="C526" s="7">
        <v>45944</v>
      </c>
      <c r="D526" s="7">
        <v>46038</v>
      </c>
      <c r="E526" s="8">
        <v>1</v>
      </c>
      <c r="F526" s="6" t="str">
        <f>"200732906"</f>
        <v>200732906</v>
      </c>
      <c r="G526" s="6" t="str">
        <f>"F310605055000000"</f>
        <v>F310605055000000</v>
      </c>
      <c r="H526" s="6" t="str">
        <f>"PLAR 6050 - 550 g/m²"</f>
        <v>PLAR 6050 - 550 g/m²</v>
      </c>
      <c r="I526" s="6" t="str">
        <f>"201006"</f>
        <v>201006</v>
      </c>
      <c r="J526" s="6" t="str">
        <f>"VERDE 1006"</f>
        <v>VERDE 1006</v>
      </c>
      <c r="K526" s="6" t="str">
        <f>"1534"</f>
        <v>1534</v>
      </c>
      <c r="L526" s="6" t="str">
        <f>"Toalhões"</f>
        <v>Toalhões</v>
      </c>
      <c r="M526" s="6" t="str">
        <f>"70x137"</f>
        <v>70x137</v>
      </c>
      <c r="N526" s="6" t="str">
        <f t="shared" si="148"/>
        <v xml:space="preserve"> </v>
      </c>
      <c r="O526" s="8">
        <v>736</v>
      </c>
      <c r="P526" s="7">
        <v>46003</v>
      </c>
      <c r="R526" s="8">
        <v>0</v>
      </c>
      <c r="S526" s="7">
        <v>46008</v>
      </c>
      <c r="U526" s="8">
        <v>723</v>
      </c>
      <c r="V526" s="7">
        <v>46020</v>
      </c>
      <c r="X526" s="8">
        <v>0</v>
      </c>
      <c r="Z526" s="8">
        <v>723</v>
      </c>
      <c r="AA526" s="7">
        <v>46037</v>
      </c>
      <c r="AC526" s="8">
        <v>736</v>
      </c>
      <c r="AE526" s="7">
        <v>46042</v>
      </c>
      <c r="AF526" s="8">
        <v>736</v>
      </c>
      <c r="AH526" s="7">
        <v>46038</v>
      </c>
      <c r="AN526" s="8">
        <v>0</v>
      </c>
      <c r="AO526" s="8">
        <v>736</v>
      </c>
    </row>
    <row r="527" spans="1:41" x14ac:dyDescent="0.25">
      <c r="A527" s="6" t="str">
        <f>"521-2025000671"</f>
        <v>521-2025000671</v>
      </c>
      <c r="B527" s="6" t="str">
        <f t="shared" si="147"/>
        <v>WORLD MA</v>
      </c>
      <c r="C527" s="7">
        <v>45944</v>
      </c>
      <c r="D527" s="7">
        <v>46038</v>
      </c>
      <c r="E527" s="8">
        <v>2</v>
      </c>
      <c r="F527" s="6" t="str">
        <f>"200732906"</f>
        <v>200732906</v>
      </c>
      <c r="G527" s="6" t="str">
        <f>"F310614750000000"</f>
        <v>F310614750000000</v>
      </c>
      <c r="H527" s="6" t="str">
        <f>"PLAR 6147 - 500 g/m²"</f>
        <v>PLAR 6147 - 500 g/m²</v>
      </c>
      <c r="I527" s="6" t="str">
        <f>"203042"</f>
        <v>203042</v>
      </c>
      <c r="J527" s="6" t="str">
        <f>"AZUL 3042"</f>
        <v>AZUL 3042</v>
      </c>
      <c r="K527" s="6" t="str">
        <f>"1534"</f>
        <v>1534</v>
      </c>
      <c r="L527" s="6" t="str">
        <f>"Toalhões"</f>
        <v>Toalhões</v>
      </c>
      <c r="M527" s="6" t="str">
        <f>"70x137"</f>
        <v>70x137</v>
      </c>
      <c r="N527" s="6" t="str">
        <f t="shared" si="148"/>
        <v xml:space="preserve"> </v>
      </c>
      <c r="O527" s="8">
        <v>544</v>
      </c>
      <c r="P527" s="7">
        <v>46003</v>
      </c>
      <c r="R527" s="8">
        <v>0</v>
      </c>
      <c r="S527" s="7">
        <v>46008</v>
      </c>
      <c r="U527" s="8">
        <v>594</v>
      </c>
      <c r="V527" s="7">
        <v>46020</v>
      </c>
      <c r="X527" s="8">
        <v>0</v>
      </c>
      <c r="Z527" s="8">
        <v>594</v>
      </c>
      <c r="AA527" s="7">
        <v>46037</v>
      </c>
      <c r="AC527" s="8">
        <v>544</v>
      </c>
      <c r="AE527" s="7">
        <v>46042</v>
      </c>
      <c r="AF527" s="8">
        <v>544</v>
      </c>
      <c r="AH527" s="7">
        <v>46038</v>
      </c>
      <c r="AN527" s="8">
        <v>0</v>
      </c>
      <c r="AO527" s="8">
        <v>544</v>
      </c>
    </row>
    <row r="528" spans="1:41" x14ac:dyDescent="0.25">
      <c r="A528" s="6" t="str">
        <f>"521-2025000671"</f>
        <v>521-2025000671</v>
      </c>
      <c r="B528" s="6" t="str">
        <f t="shared" si="147"/>
        <v>WORLD MA</v>
      </c>
      <c r="C528" s="7">
        <v>45944</v>
      </c>
      <c r="D528" s="7">
        <v>46038</v>
      </c>
      <c r="E528" s="8">
        <v>3</v>
      </c>
      <c r="F528" s="6" t="str">
        <f>"200732906"</f>
        <v>200732906</v>
      </c>
      <c r="G528" s="6" t="str">
        <f>"F310614750000000"</f>
        <v>F310614750000000</v>
      </c>
      <c r="H528" s="6" t="str">
        <f>"PLAR 6147 - 500 g/m²"</f>
        <v>PLAR 6147 - 500 g/m²</v>
      </c>
      <c r="I528" s="6" t="str">
        <f>"203042"</f>
        <v>203042</v>
      </c>
      <c r="J528" s="6" t="str">
        <f>"AZUL 3042"</f>
        <v>AZUL 3042</v>
      </c>
      <c r="K528" s="6" t="str">
        <f>"1004"</f>
        <v>1004</v>
      </c>
      <c r="L528" s="6" t="str">
        <f>"Toalhas"</f>
        <v>Toalhas</v>
      </c>
      <c r="M528" s="6" t="str">
        <f>"41x71"</f>
        <v>41x71</v>
      </c>
      <c r="N528" s="6" t="str">
        <f t="shared" si="148"/>
        <v xml:space="preserve"> </v>
      </c>
      <c r="O528" s="8">
        <v>1260</v>
      </c>
      <c r="P528" s="7">
        <v>46003</v>
      </c>
      <c r="R528" s="8">
        <v>0</v>
      </c>
      <c r="S528" s="7">
        <v>46008</v>
      </c>
      <c r="U528" s="8">
        <v>1396</v>
      </c>
      <c r="V528" s="7">
        <v>46020</v>
      </c>
      <c r="X528" s="8">
        <v>0</v>
      </c>
      <c r="Z528" s="8">
        <v>1396</v>
      </c>
      <c r="AA528" s="7">
        <v>46037</v>
      </c>
      <c r="AC528" s="8">
        <v>1260</v>
      </c>
      <c r="AE528" s="7">
        <v>46042</v>
      </c>
      <c r="AF528" s="8">
        <v>1260</v>
      </c>
      <c r="AH528" s="7">
        <v>46038</v>
      </c>
      <c r="AN528" s="8">
        <v>0</v>
      </c>
      <c r="AO528" s="8">
        <v>1260</v>
      </c>
    </row>
    <row r="529" spans="1:41" x14ac:dyDescent="0.25">
      <c r="A529" s="6" t="str">
        <f>"521-2025000671"</f>
        <v>521-2025000671</v>
      </c>
      <c r="B529" s="6" t="str">
        <f t="shared" si="147"/>
        <v>WORLD MA</v>
      </c>
      <c r="C529" s="7">
        <v>45944</v>
      </c>
      <c r="D529" s="7">
        <v>46038</v>
      </c>
      <c r="E529" s="8">
        <v>4</v>
      </c>
      <c r="F529" s="6" t="str">
        <f>"200732906"</f>
        <v>200732906</v>
      </c>
      <c r="G529" s="6" t="str">
        <f>"F310549155000000"</f>
        <v>F310549155000000</v>
      </c>
      <c r="H529" s="6" t="str">
        <f>"PLAR 5491 C/ Franja"</f>
        <v>PLAR 5491 C/ Franja</v>
      </c>
      <c r="I529" s="6" t="str">
        <f>"201540"</f>
        <v>201540</v>
      </c>
      <c r="J529" s="6" t="str">
        <f>"AMARELO 1540"</f>
        <v>AMARELO 1540</v>
      </c>
      <c r="K529" s="6" t="str">
        <f>"1062"</f>
        <v>1062</v>
      </c>
      <c r="L529" s="6" t="str">
        <f>"Toalhas"</f>
        <v>Toalhas</v>
      </c>
      <c r="M529" s="6" t="str">
        <f>"41x71+8"</f>
        <v>41x71+8</v>
      </c>
      <c r="N529" s="6" t="str">
        <f t="shared" si="148"/>
        <v xml:space="preserve"> </v>
      </c>
      <c r="O529" s="8">
        <v>1386</v>
      </c>
      <c r="P529" s="7">
        <v>46003</v>
      </c>
      <c r="R529" s="8">
        <v>0</v>
      </c>
      <c r="S529" s="7">
        <v>46008</v>
      </c>
      <c r="U529" s="8">
        <v>1644</v>
      </c>
      <c r="V529" s="7">
        <v>46020</v>
      </c>
      <c r="X529" s="8">
        <v>0</v>
      </c>
      <c r="Z529" s="8">
        <v>1644</v>
      </c>
      <c r="AA529" s="7">
        <v>46037</v>
      </c>
      <c r="AC529" s="8">
        <v>1386</v>
      </c>
      <c r="AE529" s="7">
        <v>46042</v>
      </c>
      <c r="AF529" s="8">
        <v>1386</v>
      </c>
      <c r="AH529" s="7">
        <v>46038</v>
      </c>
      <c r="AN529" s="8">
        <v>0</v>
      </c>
      <c r="AO529" s="8">
        <v>1386</v>
      </c>
    </row>
    <row r="530" spans="1:41" x14ac:dyDescent="0.25">
      <c r="A530" s="6" t="str">
        <f>"521-2025000671"</f>
        <v>521-2025000671</v>
      </c>
      <c r="B530" s="6" t="str">
        <f t="shared" si="147"/>
        <v>WORLD MA</v>
      </c>
      <c r="C530" s="7">
        <v>45944</v>
      </c>
      <c r="D530" s="7">
        <v>46038</v>
      </c>
      <c r="E530" s="8">
        <v>5</v>
      </c>
      <c r="F530" s="6" t="str">
        <f>"200732906"</f>
        <v>200732906</v>
      </c>
      <c r="G530" s="6" t="str">
        <f>"F310605055000000"</f>
        <v>F310605055000000</v>
      </c>
      <c r="H530" s="6" t="str">
        <f>"PLAR 6050 - 550 g/m²"</f>
        <v>PLAR 6050 - 550 g/m²</v>
      </c>
      <c r="I530" s="6" t="str">
        <f>"201006"</f>
        <v>201006</v>
      </c>
      <c r="J530" s="6" t="str">
        <f>"VERDE 1006"</f>
        <v>VERDE 1006</v>
      </c>
      <c r="K530" s="6" t="str">
        <f>"1004"</f>
        <v>1004</v>
      </c>
      <c r="L530" s="6" t="str">
        <f>"Toalhas"</f>
        <v>Toalhas</v>
      </c>
      <c r="M530" s="6" t="str">
        <f>"41x71"</f>
        <v>41x71</v>
      </c>
      <c r="N530" s="6" t="str">
        <f t="shared" si="148"/>
        <v xml:space="preserve"> </v>
      </c>
      <c r="O530" s="8">
        <v>924</v>
      </c>
      <c r="P530" s="7">
        <v>46003</v>
      </c>
      <c r="R530" s="8">
        <v>0</v>
      </c>
      <c r="S530" s="7">
        <v>46008</v>
      </c>
      <c r="U530" s="8">
        <v>0</v>
      </c>
      <c r="V530" s="7">
        <v>46020</v>
      </c>
      <c r="X530" s="8">
        <v>0</v>
      </c>
      <c r="Z530" s="8">
        <v>0</v>
      </c>
      <c r="AA530" s="7">
        <v>46037</v>
      </c>
      <c r="AC530" s="8">
        <v>0</v>
      </c>
      <c r="AE530" s="7">
        <v>46042</v>
      </c>
      <c r="AF530" s="8">
        <v>0</v>
      </c>
      <c r="AH530" s="7">
        <v>46038</v>
      </c>
      <c r="AN530" s="8">
        <v>0</v>
      </c>
      <c r="AO530" s="8">
        <v>924</v>
      </c>
    </row>
    <row r="531" spans="1:41" x14ac:dyDescent="0.25">
      <c r="A531" s="6" t="str">
        <f>"521-2025000675"</f>
        <v>521-2025000675</v>
      </c>
      <c r="B531" s="6" t="str">
        <f>"MISSONI"</f>
        <v>MISSONI</v>
      </c>
      <c r="C531" s="7">
        <v>45945</v>
      </c>
      <c r="D531" s="7">
        <v>46031</v>
      </c>
      <c r="E531" s="8">
        <v>3</v>
      </c>
      <c r="F531" s="6" t="str">
        <f>"01H 2025 643"</f>
        <v>01H 2025 643</v>
      </c>
      <c r="G531" s="6" t="str">
        <f>"F600893345000000"</f>
        <v>F600893345000000</v>
      </c>
      <c r="H531" s="6" t="str">
        <f>"18933 - 450 g/m²"</f>
        <v>18933 - 450 g/m²</v>
      </c>
      <c r="I531" s="6" t="str">
        <f>"200832"</f>
        <v>200832</v>
      </c>
      <c r="J531" s="6" t="str">
        <f>"CINZA 832"</f>
        <v>CINZA 832</v>
      </c>
      <c r="K531" s="6" t="str">
        <f>"3550"</f>
        <v>3550</v>
      </c>
      <c r="L531" s="6" t="str">
        <f>"Praia"</f>
        <v>Praia</v>
      </c>
      <c r="M531" s="6" t="str">
        <f>"180x100"</f>
        <v>180x100</v>
      </c>
      <c r="N531" s="6" t="str">
        <f t="shared" si="148"/>
        <v xml:space="preserve"> </v>
      </c>
      <c r="O531" s="8">
        <v>500</v>
      </c>
      <c r="P531" s="7">
        <v>46003</v>
      </c>
      <c r="R531" s="8">
        <v>0</v>
      </c>
      <c r="S531" s="7">
        <v>46008</v>
      </c>
      <c r="U531" s="8">
        <v>0</v>
      </c>
      <c r="V531" s="7">
        <v>46013</v>
      </c>
      <c r="X531" s="8">
        <v>0</v>
      </c>
      <c r="Z531" s="8">
        <v>0</v>
      </c>
      <c r="AA531" s="7">
        <v>46029</v>
      </c>
      <c r="AC531" s="8">
        <v>0</v>
      </c>
      <c r="AE531" s="7">
        <v>46031</v>
      </c>
      <c r="AF531" s="8">
        <v>0</v>
      </c>
      <c r="AH531" s="7">
        <v>46031</v>
      </c>
      <c r="AN531" s="8">
        <v>0</v>
      </c>
      <c r="AO531" s="8">
        <v>500</v>
      </c>
    </row>
    <row r="532" spans="1:41" x14ac:dyDescent="0.25">
      <c r="A532" s="6" t="str">
        <f>"521-2025000675"</f>
        <v>521-2025000675</v>
      </c>
      <c r="B532" s="6" t="str">
        <f>"MISSONI"</f>
        <v>MISSONI</v>
      </c>
      <c r="C532" s="7">
        <v>45945</v>
      </c>
      <c r="D532" s="7">
        <v>46031</v>
      </c>
      <c r="E532" s="8">
        <v>6</v>
      </c>
      <c r="F532" s="6" t="str">
        <f>"01H 2025 643"</f>
        <v>01H 2025 643</v>
      </c>
      <c r="G532" s="6" t="str">
        <f>"J330283845000003"</f>
        <v>J330283845000003</v>
      </c>
      <c r="H532" s="6" t="str">
        <f>"Conj. PLA 2838 - 450"</f>
        <v>Conj. PLA 2838 - 450</v>
      </c>
      <c r="I532" s="6" t="str">
        <f>"200832"</f>
        <v>200832</v>
      </c>
      <c r="J532" s="6" t="str">
        <f>"CINZA 832"</f>
        <v>CINZA 832</v>
      </c>
      <c r="K532" s="6" t="str">
        <f>"4020"</f>
        <v>4020</v>
      </c>
      <c r="L532" s="6" t="str">
        <f>"Conjunto/Jogos"</f>
        <v>Conjunto/Jogos</v>
      </c>
      <c r="M532" s="6" t="str">
        <f>"(6 Pcs)"</f>
        <v>(6 Pcs)</v>
      </c>
      <c r="N532" s="6" t="str">
        <f t="shared" si="148"/>
        <v xml:space="preserve"> </v>
      </c>
      <c r="O532" s="8">
        <v>300</v>
      </c>
      <c r="P532" s="7">
        <v>46003</v>
      </c>
      <c r="R532" s="8">
        <v>0</v>
      </c>
      <c r="S532" s="7">
        <v>46008</v>
      </c>
      <c r="U532" s="8">
        <v>0</v>
      </c>
      <c r="V532" s="7">
        <v>46013</v>
      </c>
      <c r="X532" s="8">
        <v>0</v>
      </c>
      <c r="Z532" s="8">
        <v>0</v>
      </c>
      <c r="AA532" s="7">
        <v>46029</v>
      </c>
      <c r="AC532" s="8">
        <v>0</v>
      </c>
      <c r="AE532" s="7">
        <v>46031</v>
      </c>
      <c r="AF532" s="8">
        <v>0</v>
      </c>
      <c r="AH532" s="7">
        <v>46031</v>
      </c>
      <c r="AN532" s="8">
        <v>0</v>
      </c>
      <c r="AO532" s="8">
        <v>300</v>
      </c>
    </row>
    <row r="533" spans="1:41" x14ac:dyDescent="0.25">
      <c r="A533" s="6" t="str">
        <f>"521-2025000682"</f>
        <v>521-2025000682</v>
      </c>
      <c r="B533" s="6" t="str">
        <f>"SARL LYS"</f>
        <v>SARL LYS</v>
      </c>
      <c r="C533" s="7">
        <v>45947</v>
      </c>
      <c r="D533" s="7">
        <v>46031</v>
      </c>
      <c r="E533" s="8">
        <v>1</v>
      </c>
      <c r="F533" s="6" t="str">
        <f>"PO2510-291"</f>
        <v>PO2510-291</v>
      </c>
      <c r="G533" s="6" t="str">
        <f>"F500195633000000"</f>
        <v>F500195633000000</v>
      </c>
      <c r="H533" s="6" t="str">
        <f>"PLA 1956 - 330 g/m²"</f>
        <v>PLA 1956 - 330 g/m²</v>
      </c>
      <c r="I533" s="6" t="str">
        <f>"200799"</f>
        <v>200799</v>
      </c>
      <c r="J533" s="6" t="str">
        <f>"AZUL 799"</f>
        <v>AZUL 799</v>
      </c>
      <c r="K533" s="6" t="str">
        <f>"0858"</f>
        <v>0858</v>
      </c>
      <c r="L533" s="6" t="str">
        <f>"Cozinha"</f>
        <v>Cozinha</v>
      </c>
      <c r="M533" s="6" t="str">
        <f>"50x63"</f>
        <v>50x63</v>
      </c>
      <c r="N533" s="6" t="str">
        <f t="shared" si="148"/>
        <v xml:space="preserve"> </v>
      </c>
      <c r="O533" s="8">
        <v>2000</v>
      </c>
      <c r="P533" s="7">
        <v>46003</v>
      </c>
      <c r="R533" s="8">
        <v>2212</v>
      </c>
      <c r="S533" s="7">
        <v>46008</v>
      </c>
      <c r="U533" s="8">
        <v>2212</v>
      </c>
      <c r="V533" s="7">
        <v>46013</v>
      </c>
      <c r="X533" s="8">
        <v>0</v>
      </c>
      <c r="Z533" s="8">
        <v>2212</v>
      </c>
      <c r="AA533" s="7">
        <v>46029</v>
      </c>
      <c r="AC533" s="8">
        <v>2175</v>
      </c>
      <c r="AE533" s="7">
        <v>46031</v>
      </c>
      <c r="AF533" s="8">
        <v>2175</v>
      </c>
      <c r="AH533" s="7">
        <v>46031</v>
      </c>
      <c r="AN533" s="8">
        <v>2175</v>
      </c>
      <c r="AO533" s="8">
        <v>-175</v>
      </c>
    </row>
    <row r="534" spans="1:41" x14ac:dyDescent="0.25">
      <c r="A534" s="6" t="str">
        <f>"521-2025000682"</f>
        <v>521-2025000682</v>
      </c>
      <c r="B534" s="6" t="str">
        <f>"SARL LYS"</f>
        <v>SARL LYS</v>
      </c>
      <c r="C534" s="7">
        <v>45947</v>
      </c>
      <c r="D534" s="7">
        <v>46031</v>
      </c>
      <c r="E534" s="8">
        <v>3</v>
      </c>
      <c r="F534" s="6" t="str">
        <f>"PO2510-291"</f>
        <v>PO2510-291</v>
      </c>
      <c r="G534" s="6" t="str">
        <f>"F330195533000000"</f>
        <v>F330195533000000</v>
      </c>
      <c r="H534" s="6" t="str">
        <f>"PLA 1955 - 330 g/m²"</f>
        <v>PLA 1955 - 330 g/m²</v>
      </c>
      <c r="I534" s="6" t="str">
        <f>"200682"</f>
        <v>200682</v>
      </c>
      <c r="J534" s="6" t="str">
        <f>"ROSA 682"</f>
        <v>ROSA 682</v>
      </c>
      <c r="K534" s="6" t="str">
        <f>"0858"</f>
        <v>0858</v>
      </c>
      <c r="L534" s="6" t="str">
        <f>"Cozinha"</f>
        <v>Cozinha</v>
      </c>
      <c r="M534" s="6" t="str">
        <f>"50x63"</f>
        <v>50x63</v>
      </c>
      <c r="N534" s="6" t="str">
        <f t="shared" si="148"/>
        <v xml:space="preserve"> </v>
      </c>
      <c r="O534" s="8">
        <v>1500</v>
      </c>
      <c r="P534" s="7">
        <v>46003</v>
      </c>
      <c r="R534" s="8">
        <v>1600</v>
      </c>
      <c r="S534" s="7">
        <v>46008</v>
      </c>
      <c r="U534" s="8">
        <v>1600</v>
      </c>
      <c r="V534" s="7">
        <v>46013</v>
      </c>
      <c r="X534" s="8">
        <v>0</v>
      </c>
      <c r="Z534" s="8">
        <v>1600</v>
      </c>
      <c r="AA534" s="7">
        <v>46029</v>
      </c>
      <c r="AC534" s="8">
        <v>1550</v>
      </c>
      <c r="AE534" s="7">
        <v>46031</v>
      </c>
      <c r="AF534" s="8">
        <v>1550</v>
      </c>
      <c r="AH534" s="7">
        <v>46031</v>
      </c>
      <c r="AN534" s="8">
        <v>1550</v>
      </c>
      <c r="AO534" s="8">
        <v>-50</v>
      </c>
    </row>
    <row r="535" spans="1:41" x14ac:dyDescent="0.25">
      <c r="A535" s="6" t="str">
        <f>"521-2025000685"</f>
        <v>521-2025000685</v>
      </c>
      <c r="B535" s="6" t="str">
        <f>"BVBA COT"</f>
        <v>BVBA COT</v>
      </c>
      <c r="C535" s="7">
        <v>45950</v>
      </c>
      <c r="D535" s="7">
        <v>46031</v>
      </c>
      <c r="E535" s="8">
        <v>1</v>
      </c>
      <c r="F535" s="6" t="str">
        <f>"PO 7984"</f>
        <v>PO 7984</v>
      </c>
      <c r="G535" s="6" t="str">
        <f>"J001225126000000"</f>
        <v>J001225126000000</v>
      </c>
      <c r="H535" s="6" t="str">
        <f>"Conj. CZJ 2251 + CZJ"</f>
        <v>Conj. CZJ 2251 + CZJ</v>
      </c>
      <c r="I535" s="6" t="str">
        <f>"203348"</f>
        <v>203348</v>
      </c>
      <c r="J535" s="6" t="str">
        <f>"VERMELHO 3348"</f>
        <v>VERMELHO 3348</v>
      </c>
      <c r="K535" s="6" t="str">
        <f>"4073"</f>
        <v>4073</v>
      </c>
      <c r="L535" s="6" t="str">
        <f>"Conjunto/Jogos"</f>
        <v>Conjunto/Jogos</v>
      </c>
      <c r="M535" s="6" t="str">
        <f>"(100 Pcs)"</f>
        <v>(100 Pcs)</v>
      </c>
      <c r="N535" s="6" t="str">
        <f t="shared" si="148"/>
        <v xml:space="preserve"> </v>
      </c>
      <c r="O535" s="8">
        <v>55</v>
      </c>
      <c r="P535" s="7">
        <v>46003</v>
      </c>
      <c r="R535" s="8">
        <v>5960</v>
      </c>
      <c r="S535" s="7">
        <v>46008</v>
      </c>
      <c r="U535" s="8">
        <v>5960</v>
      </c>
      <c r="V535" s="7">
        <v>46013</v>
      </c>
      <c r="X535" s="8">
        <v>0</v>
      </c>
      <c r="Z535" s="8">
        <v>5960</v>
      </c>
      <c r="AA535" s="7">
        <v>46031</v>
      </c>
      <c r="AC535" s="8">
        <v>59</v>
      </c>
      <c r="AE535" s="7">
        <v>46035</v>
      </c>
      <c r="AF535" s="8">
        <v>59</v>
      </c>
      <c r="AH535" s="7">
        <v>46031</v>
      </c>
      <c r="AN535" s="8">
        <v>59</v>
      </c>
      <c r="AO535" s="8">
        <v>-4</v>
      </c>
    </row>
    <row r="536" spans="1:41" x14ac:dyDescent="0.25">
      <c r="A536" s="6" t="str">
        <f>"521-2025000687"</f>
        <v>521-2025000687</v>
      </c>
      <c r="B536" s="6" t="str">
        <f>"ASHLEY W"</f>
        <v>ASHLEY W</v>
      </c>
      <c r="C536" s="7">
        <v>45952</v>
      </c>
      <c r="D536" s="7">
        <v>46031</v>
      </c>
      <c r="E536" s="8">
        <v>5</v>
      </c>
      <c r="F536" s="6" t="str">
        <f>"P36235 - OK - STEM C"</f>
        <v>P36235 - OK - STEM C</v>
      </c>
      <c r="G536" s="6" t="str">
        <f>"F310614958000000"</f>
        <v>F310614958000000</v>
      </c>
      <c r="H536" s="6" t="str">
        <f>"PLAR 6149 - 580 g/m²"</f>
        <v>PLAR 6149 - 580 g/m²</v>
      </c>
      <c r="I536" s="6" t="str">
        <f>"204654"</f>
        <v>204654</v>
      </c>
      <c r="J536" s="6" t="str">
        <f>"VERDE 4654"</f>
        <v>VERDE 4654</v>
      </c>
      <c r="K536" s="6" t="str">
        <f>"1020"</f>
        <v>1020</v>
      </c>
      <c r="L536" s="6" t="str">
        <f>"Toalhas"</f>
        <v>Toalhas</v>
      </c>
      <c r="M536" s="6" t="str">
        <f>"50x90"</f>
        <v>50x90</v>
      </c>
      <c r="N536" s="6" t="str">
        <f t="shared" si="148"/>
        <v xml:space="preserve"> </v>
      </c>
      <c r="O536" s="8">
        <v>700</v>
      </c>
      <c r="P536" s="7">
        <v>46003</v>
      </c>
      <c r="R536" s="8">
        <v>728</v>
      </c>
      <c r="S536" s="7">
        <v>46008</v>
      </c>
      <c r="U536" s="8">
        <v>728</v>
      </c>
      <c r="V536" s="7">
        <v>46013</v>
      </c>
      <c r="X536" s="8">
        <v>0</v>
      </c>
      <c r="Z536" s="8">
        <v>728</v>
      </c>
      <c r="AA536" s="7">
        <v>46031</v>
      </c>
      <c r="AC536" s="8">
        <v>724</v>
      </c>
      <c r="AE536" s="7">
        <v>46035</v>
      </c>
      <c r="AF536" s="8">
        <v>724</v>
      </c>
      <c r="AH536" s="7">
        <v>46031</v>
      </c>
      <c r="AN536" s="8">
        <v>724</v>
      </c>
      <c r="AO536" s="8">
        <v>-24</v>
      </c>
    </row>
    <row r="537" spans="1:41" x14ac:dyDescent="0.25">
      <c r="A537" s="6" t="str">
        <f>"521-2025000687"</f>
        <v>521-2025000687</v>
      </c>
      <c r="B537" s="6" t="str">
        <f>"ASHLEY W"</f>
        <v>ASHLEY W</v>
      </c>
      <c r="C537" s="7">
        <v>45952</v>
      </c>
      <c r="D537" s="7">
        <v>46031</v>
      </c>
      <c r="E537" s="8">
        <v>6</v>
      </c>
      <c r="F537" s="6" t="str">
        <f>"P36235 - OK - STEM C"</f>
        <v>P36235 - OK - STEM C</v>
      </c>
      <c r="G537" s="6" t="str">
        <f>"F310614958000000"</f>
        <v>F310614958000000</v>
      </c>
      <c r="H537" s="6" t="str">
        <f>"PLAR 6149 - 580 g/m²"</f>
        <v>PLAR 6149 - 580 g/m²</v>
      </c>
      <c r="I537" s="6" t="str">
        <f>"204654"</f>
        <v>204654</v>
      </c>
      <c r="J537" s="6" t="str">
        <f>"VERDE 4654"</f>
        <v>VERDE 4654</v>
      </c>
      <c r="K537" s="6" t="str">
        <f>"1528"</f>
        <v>1528</v>
      </c>
      <c r="L537" s="6" t="str">
        <f>"Toalhões"</f>
        <v>Toalhões</v>
      </c>
      <c r="M537" s="6" t="str">
        <f>"70x125"</f>
        <v>70x125</v>
      </c>
      <c r="N537" s="6" t="str">
        <f t="shared" si="148"/>
        <v xml:space="preserve"> </v>
      </c>
      <c r="O537" s="8">
        <v>350</v>
      </c>
      <c r="P537" s="7">
        <v>46003</v>
      </c>
      <c r="R537" s="8">
        <v>399</v>
      </c>
      <c r="S537" s="7">
        <v>46008</v>
      </c>
      <c r="U537" s="8">
        <v>399</v>
      </c>
      <c r="V537" s="7">
        <v>46013</v>
      </c>
      <c r="X537" s="8">
        <v>0</v>
      </c>
      <c r="Z537" s="8">
        <v>399</v>
      </c>
      <c r="AA537" s="7">
        <v>46031</v>
      </c>
      <c r="AC537" s="8">
        <v>365</v>
      </c>
      <c r="AE537" s="7">
        <v>46035</v>
      </c>
      <c r="AF537" s="8">
        <v>365</v>
      </c>
      <c r="AH537" s="7">
        <v>46031</v>
      </c>
      <c r="AN537" s="8">
        <v>365</v>
      </c>
      <c r="AO537" s="8">
        <v>-15</v>
      </c>
    </row>
    <row r="538" spans="1:41" x14ac:dyDescent="0.25">
      <c r="A538" s="6" t="str">
        <f>"521-2025000687"</f>
        <v>521-2025000687</v>
      </c>
      <c r="B538" s="6" t="str">
        <f>"ASHLEY W"</f>
        <v>ASHLEY W</v>
      </c>
      <c r="C538" s="7">
        <v>45952</v>
      </c>
      <c r="D538" s="7">
        <v>46031</v>
      </c>
      <c r="E538" s="8">
        <v>7</v>
      </c>
      <c r="F538" s="6" t="str">
        <f>"P36235 - OK - STEM C"</f>
        <v>P36235 - OK - STEM C</v>
      </c>
      <c r="G538" s="6" t="str">
        <f>"F310614958000000"</f>
        <v>F310614958000000</v>
      </c>
      <c r="H538" s="6" t="str">
        <f>"PLAR 6149 - 580 g/m²"</f>
        <v>PLAR 6149 - 580 g/m²</v>
      </c>
      <c r="I538" s="6" t="str">
        <f>"204654"</f>
        <v>204654</v>
      </c>
      <c r="J538" s="6" t="str">
        <f>"VERDE 4654"</f>
        <v>VERDE 4654</v>
      </c>
      <c r="K538" s="6" t="str">
        <f>"2020"</f>
        <v>2020</v>
      </c>
      <c r="L538" s="6" t="str">
        <f>"Lençóis"</f>
        <v>Lençóis</v>
      </c>
      <c r="M538" s="6" t="str">
        <f>"100x150"</f>
        <v>100x150</v>
      </c>
      <c r="N538" s="6" t="str">
        <f t="shared" si="148"/>
        <v xml:space="preserve"> </v>
      </c>
      <c r="O538" s="8">
        <v>200</v>
      </c>
      <c r="P538" s="7">
        <v>46003</v>
      </c>
      <c r="R538" s="8">
        <v>208</v>
      </c>
      <c r="S538" s="7">
        <v>46008</v>
      </c>
      <c r="U538" s="8">
        <v>208</v>
      </c>
      <c r="V538" s="7">
        <v>46013</v>
      </c>
      <c r="X538" s="8">
        <v>0</v>
      </c>
      <c r="Z538" s="8">
        <v>208</v>
      </c>
      <c r="AA538" s="7">
        <v>46031</v>
      </c>
      <c r="AC538" s="8">
        <v>203</v>
      </c>
      <c r="AE538" s="7">
        <v>46035</v>
      </c>
      <c r="AF538" s="8">
        <v>203</v>
      </c>
      <c r="AH538" s="7">
        <v>46031</v>
      </c>
      <c r="AN538" s="8">
        <v>203</v>
      </c>
      <c r="AO538" s="8">
        <v>-3</v>
      </c>
    </row>
    <row r="539" spans="1:41" x14ac:dyDescent="0.25">
      <c r="A539" s="6" t="str">
        <f>"521-2025000688"</f>
        <v>521-2025000688</v>
      </c>
      <c r="B539" s="6" t="str">
        <f>"ASHLEY W"</f>
        <v>ASHLEY W</v>
      </c>
      <c r="C539" s="7">
        <v>45952</v>
      </c>
      <c r="D539" s="7">
        <v>46031</v>
      </c>
      <c r="E539" s="8">
        <v>3</v>
      </c>
      <c r="F539" s="6" t="str">
        <f>"P36236 - OK - LINEAR"</f>
        <v>P36236 - OK - LINEAR</v>
      </c>
      <c r="G539" s="6" t="str">
        <f>"F310624958000000"</f>
        <v>F310624958000000</v>
      </c>
      <c r="H539" s="6" t="str">
        <f>"PLAR 6249 - 580 g/m²"</f>
        <v>PLAR 6249 - 580 g/m²</v>
      </c>
      <c r="I539" s="6" t="str">
        <f>"204649"</f>
        <v>204649</v>
      </c>
      <c r="J539" s="6" t="str">
        <f>"AZUL 4649"</f>
        <v>AZUL 4649</v>
      </c>
      <c r="K539" s="6" t="str">
        <f>"2020"</f>
        <v>2020</v>
      </c>
      <c r="L539" s="6" t="str">
        <f>"Lençóis"</f>
        <v>Lençóis</v>
      </c>
      <c r="M539" s="6" t="str">
        <f>"100x150"</f>
        <v>100x150</v>
      </c>
      <c r="N539" s="6" t="str">
        <f t="shared" si="148"/>
        <v xml:space="preserve"> </v>
      </c>
      <c r="O539" s="8">
        <v>200</v>
      </c>
      <c r="P539" s="7">
        <v>46003</v>
      </c>
      <c r="R539" s="8">
        <v>218</v>
      </c>
      <c r="S539" s="7">
        <v>46008</v>
      </c>
      <c r="U539" s="8">
        <v>218</v>
      </c>
      <c r="V539" s="7">
        <v>46013</v>
      </c>
      <c r="X539" s="8">
        <v>0</v>
      </c>
      <c r="Z539" s="8">
        <v>218</v>
      </c>
      <c r="AA539" s="7">
        <v>46031</v>
      </c>
      <c r="AC539" s="8">
        <v>216</v>
      </c>
      <c r="AE539" s="7">
        <v>46035</v>
      </c>
      <c r="AF539" s="8">
        <v>216</v>
      </c>
      <c r="AH539" s="7">
        <v>46031</v>
      </c>
      <c r="AN539" s="8">
        <v>216</v>
      </c>
      <c r="AO539" s="8">
        <v>-16</v>
      </c>
    </row>
    <row r="540" spans="1:41" x14ac:dyDescent="0.25">
      <c r="A540" s="6" t="str">
        <f>"521-2025000688"</f>
        <v>521-2025000688</v>
      </c>
      <c r="B540" s="6" t="str">
        <f>"ASHLEY W"</f>
        <v>ASHLEY W</v>
      </c>
      <c r="C540" s="7">
        <v>45952</v>
      </c>
      <c r="D540" s="7">
        <v>46031</v>
      </c>
      <c r="E540" s="8">
        <v>4</v>
      </c>
      <c r="F540" s="6" t="str">
        <f>"P36236 - OK - LINEAR"</f>
        <v>P36236 - OK - LINEAR</v>
      </c>
      <c r="G540" s="6" t="str">
        <f>"F310624958000000"</f>
        <v>F310624958000000</v>
      </c>
      <c r="H540" s="6" t="str">
        <f>"PLAR 6249 - 580 g/m²"</f>
        <v>PLAR 6249 - 580 g/m²</v>
      </c>
      <c r="I540" s="6" t="str">
        <f>"204649"</f>
        <v>204649</v>
      </c>
      <c r="J540" s="6" t="str">
        <f>"AZUL 4649"</f>
        <v>AZUL 4649</v>
      </c>
      <c r="K540" s="6" t="str">
        <f>"1020"</f>
        <v>1020</v>
      </c>
      <c r="L540" s="6" t="str">
        <f>"Toalhas"</f>
        <v>Toalhas</v>
      </c>
      <c r="M540" s="6" t="str">
        <f>"50x90"</f>
        <v>50x90</v>
      </c>
      <c r="N540" s="6" t="str">
        <f t="shared" si="148"/>
        <v xml:space="preserve"> </v>
      </c>
      <c r="O540" s="8">
        <v>700</v>
      </c>
      <c r="P540" s="7">
        <v>46003</v>
      </c>
      <c r="R540" s="8">
        <v>744</v>
      </c>
      <c r="S540" s="7">
        <v>46008</v>
      </c>
      <c r="U540" s="8">
        <v>744</v>
      </c>
      <c r="V540" s="7">
        <v>46013</v>
      </c>
      <c r="X540" s="8">
        <v>0</v>
      </c>
      <c r="Z540" s="8">
        <v>744</v>
      </c>
      <c r="AA540" s="7">
        <v>46031</v>
      </c>
      <c r="AC540" s="8">
        <v>730</v>
      </c>
      <c r="AE540" s="7">
        <v>46035</v>
      </c>
      <c r="AF540" s="8">
        <v>730</v>
      </c>
      <c r="AH540" s="7">
        <v>46031</v>
      </c>
      <c r="AN540" s="8">
        <v>730</v>
      </c>
      <c r="AO540" s="8">
        <v>-30</v>
      </c>
    </row>
    <row r="541" spans="1:41" x14ac:dyDescent="0.25">
      <c r="A541" s="6" t="str">
        <f>"521-2025000692"</f>
        <v>521-2025000692</v>
      </c>
      <c r="B541" s="6" t="str">
        <f>"CARRE BL"</f>
        <v>CARRE BL</v>
      </c>
      <c r="C541" s="7">
        <v>45957</v>
      </c>
      <c r="D541" s="7">
        <v>46038</v>
      </c>
      <c r="E541" s="8">
        <v>1</v>
      </c>
      <c r="F541" s="6" t="str">
        <f>"513351"</f>
        <v>513351</v>
      </c>
      <c r="G541" s="6" t="str">
        <f>"F310634955000000"</f>
        <v>F310634955000000</v>
      </c>
      <c r="H541" s="6" t="str">
        <f>"PLAR 6349 - 550 g/m²"</f>
        <v>PLAR 6349 - 550 g/m²</v>
      </c>
      <c r="I541" s="6" t="str">
        <f>"202455"</f>
        <v>202455</v>
      </c>
      <c r="J541" s="6" t="str">
        <f>"AZUL 2455"</f>
        <v>AZUL 2455</v>
      </c>
      <c r="K541" s="6" t="str">
        <f>"0112"</f>
        <v>0112</v>
      </c>
      <c r="L541" s="6" t="str">
        <f>"Luvas"</f>
        <v>Luvas</v>
      </c>
      <c r="M541" s="6" t="str">
        <f>"16x21"</f>
        <v>16x21</v>
      </c>
      <c r="N541" s="6" t="str">
        <f t="shared" si="148"/>
        <v xml:space="preserve"> </v>
      </c>
      <c r="O541" s="8">
        <v>1200</v>
      </c>
      <c r="P541" s="7">
        <v>46010</v>
      </c>
      <c r="R541" s="8">
        <v>1260</v>
      </c>
      <c r="S541" s="7">
        <v>46020</v>
      </c>
      <c r="U541" s="8">
        <v>1260</v>
      </c>
      <c r="V541" s="7">
        <v>46028</v>
      </c>
      <c r="X541" s="8">
        <v>0</v>
      </c>
      <c r="Z541" s="8">
        <v>1260</v>
      </c>
      <c r="AA541" s="7">
        <v>46038</v>
      </c>
      <c r="AC541" s="8">
        <v>1258</v>
      </c>
      <c r="AE541" s="7">
        <v>46042</v>
      </c>
      <c r="AF541" s="8">
        <v>1258</v>
      </c>
      <c r="AH541" s="7">
        <v>46038</v>
      </c>
      <c r="AN541" s="8">
        <v>1258</v>
      </c>
      <c r="AO541" s="8">
        <v>-58</v>
      </c>
    </row>
    <row r="542" spans="1:41" x14ac:dyDescent="0.25">
      <c r="A542" s="6" t="str">
        <f>"521-2025000692"</f>
        <v>521-2025000692</v>
      </c>
      <c r="B542" s="6" t="str">
        <f>"CARRE BL"</f>
        <v>CARRE BL</v>
      </c>
      <c r="C542" s="7">
        <v>45957</v>
      </c>
      <c r="D542" s="7">
        <v>46038</v>
      </c>
      <c r="E542" s="8">
        <v>2</v>
      </c>
      <c r="F542" s="6" t="str">
        <f>"513351"</f>
        <v>513351</v>
      </c>
      <c r="G542" s="6" t="str">
        <f>"F310634955000000"</f>
        <v>F310634955000000</v>
      </c>
      <c r="H542" s="6" t="str">
        <f>"PLAR 6349 - 550 g/m²"</f>
        <v>PLAR 6349 - 550 g/m²</v>
      </c>
      <c r="I542" s="6" t="str">
        <f>"202455"</f>
        <v>202455</v>
      </c>
      <c r="J542" s="6" t="str">
        <f>"AZUL 2455"</f>
        <v>AZUL 2455</v>
      </c>
      <c r="K542" s="6" t="str">
        <f>"0520"</f>
        <v>0520</v>
      </c>
      <c r="L542" s="6" t="str">
        <f>"Toalhetes"</f>
        <v>Toalhetes</v>
      </c>
      <c r="M542" s="6" t="str">
        <f>"30x50"</f>
        <v>30x50</v>
      </c>
      <c r="N542" s="6" t="str">
        <f t="shared" si="148"/>
        <v xml:space="preserve"> </v>
      </c>
      <c r="O542" s="8">
        <v>1000</v>
      </c>
      <c r="P542" s="7">
        <v>46010</v>
      </c>
      <c r="R542" s="8">
        <v>1104</v>
      </c>
      <c r="S542" s="7">
        <v>46020</v>
      </c>
      <c r="U542" s="8">
        <v>1104</v>
      </c>
      <c r="V542" s="7">
        <v>46028</v>
      </c>
      <c r="X542" s="8">
        <v>0</v>
      </c>
      <c r="Z542" s="8">
        <v>1104</v>
      </c>
      <c r="AA542" s="7">
        <v>46038</v>
      </c>
      <c r="AC542" s="8">
        <v>1061</v>
      </c>
      <c r="AE542" s="7">
        <v>46042</v>
      </c>
      <c r="AF542" s="8">
        <v>1061</v>
      </c>
      <c r="AH542" s="7">
        <v>46038</v>
      </c>
      <c r="AN542" s="8">
        <v>1061</v>
      </c>
      <c r="AO542" s="8">
        <v>-61</v>
      </c>
    </row>
    <row r="543" spans="1:41" x14ac:dyDescent="0.25">
      <c r="A543" s="6" t="str">
        <f>"521-2025000692"</f>
        <v>521-2025000692</v>
      </c>
      <c r="B543" s="6" t="str">
        <f>"CARRE BL"</f>
        <v>CARRE BL</v>
      </c>
      <c r="C543" s="7">
        <v>45957</v>
      </c>
      <c r="D543" s="7">
        <v>46038</v>
      </c>
      <c r="E543" s="8">
        <v>3</v>
      </c>
      <c r="F543" s="6" t="str">
        <f>"513351"</f>
        <v>513351</v>
      </c>
      <c r="G543" s="6" t="str">
        <f>"F310634955000000"</f>
        <v>F310634955000000</v>
      </c>
      <c r="H543" s="6" t="str">
        <f>"PLAR 6349 - 550 g/m²"</f>
        <v>PLAR 6349 - 550 g/m²</v>
      </c>
      <c r="I543" s="6" t="str">
        <f>"202455"</f>
        <v>202455</v>
      </c>
      <c r="J543" s="6" t="str">
        <f>"AZUL 2455"</f>
        <v>AZUL 2455</v>
      </c>
      <c r="K543" s="6" t="str">
        <f>"1020"</f>
        <v>1020</v>
      </c>
      <c r="L543" s="6" t="str">
        <f>"Toalhas"</f>
        <v>Toalhas</v>
      </c>
      <c r="M543" s="6" t="str">
        <f>"50x90"</f>
        <v>50x90</v>
      </c>
      <c r="N543" s="6" t="str">
        <f t="shared" si="148"/>
        <v xml:space="preserve"> </v>
      </c>
      <c r="O543" s="8">
        <v>1300</v>
      </c>
      <c r="P543" s="7">
        <v>46010</v>
      </c>
      <c r="R543" s="8">
        <v>1432</v>
      </c>
      <c r="S543" s="7">
        <v>46020</v>
      </c>
      <c r="U543" s="8">
        <v>1432</v>
      </c>
      <c r="V543" s="7">
        <v>46028</v>
      </c>
      <c r="X543" s="8">
        <v>0</v>
      </c>
      <c r="Z543" s="8">
        <v>1432</v>
      </c>
      <c r="AA543" s="7">
        <v>46038</v>
      </c>
      <c r="AC543" s="8">
        <v>1394</v>
      </c>
      <c r="AE543" s="7">
        <v>46042</v>
      </c>
      <c r="AF543" s="8">
        <v>1394</v>
      </c>
      <c r="AH543" s="7">
        <v>46038</v>
      </c>
      <c r="AN543" s="8">
        <v>1394</v>
      </c>
      <c r="AO543" s="8">
        <v>-94</v>
      </c>
    </row>
    <row r="544" spans="1:41" x14ac:dyDescent="0.25">
      <c r="A544" s="6" t="str">
        <f>"521-2025000692"</f>
        <v>521-2025000692</v>
      </c>
      <c r="B544" s="6" t="str">
        <f>"CARRE BL"</f>
        <v>CARRE BL</v>
      </c>
      <c r="C544" s="7">
        <v>45957</v>
      </c>
      <c r="D544" s="7">
        <v>46038</v>
      </c>
      <c r="E544" s="8">
        <v>4</v>
      </c>
      <c r="F544" s="6" t="str">
        <f>"513351"</f>
        <v>513351</v>
      </c>
      <c r="G544" s="6" t="str">
        <f>"F310634955000000"</f>
        <v>F310634955000000</v>
      </c>
      <c r="H544" s="6" t="str">
        <f>"PLAR 6349 - 550 g/m²"</f>
        <v>PLAR 6349 - 550 g/m²</v>
      </c>
      <c r="I544" s="6" t="str">
        <f>"202455"</f>
        <v>202455</v>
      </c>
      <c r="J544" s="6" t="str">
        <f>"AZUL 2455"</f>
        <v>AZUL 2455</v>
      </c>
      <c r="K544" s="6" t="str">
        <f>"1526"</f>
        <v>1526</v>
      </c>
      <c r="L544" s="6" t="str">
        <f>"Toalhões"</f>
        <v>Toalhões</v>
      </c>
      <c r="M544" s="6" t="str">
        <f>"70x120"</f>
        <v>70x120</v>
      </c>
      <c r="N544" s="6" t="str">
        <f t="shared" si="148"/>
        <v xml:space="preserve"> </v>
      </c>
      <c r="O544" s="8">
        <v>1200</v>
      </c>
      <c r="P544" s="7">
        <v>46010</v>
      </c>
      <c r="R544" s="8">
        <v>1308</v>
      </c>
      <c r="S544" s="7">
        <v>46020</v>
      </c>
      <c r="U544" s="8">
        <v>1308</v>
      </c>
      <c r="V544" s="7">
        <v>46028</v>
      </c>
      <c r="X544" s="8">
        <v>0</v>
      </c>
      <c r="Z544" s="8">
        <v>1308</v>
      </c>
      <c r="AA544" s="7">
        <v>46038</v>
      </c>
      <c r="AC544" s="8">
        <v>1249</v>
      </c>
      <c r="AE544" s="7">
        <v>46042</v>
      </c>
      <c r="AF544" s="8">
        <v>1249</v>
      </c>
      <c r="AH544" s="7">
        <v>46038</v>
      </c>
      <c r="AN544" s="8">
        <v>1249</v>
      </c>
      <c r="AO544" s="8">
        <v>-49</v>
      </c>
    </row>
    <row r="545" spans="1:41" x14ac:dyDescent="0.25">
      <c r="A545" s="6" t="str">
        <f>"521-2025000692"</f>
        <v>521-2025000692</v>
      </c>
      <c r="B545" s="6" t="str">
        <f>"CARRE BL"</f>
        <v>CARRE BL</v>
      </c>
      <c r="C545" s="7">
        <v>45957</v>
      </c>
      <c r="D545" s="7">
        <v>46038</v>
      </c>
      <c r="E545" s="8">
        <v>5</v>
      </c>
      <c r="F545" s="6" t="str">
        <f>"513351"</f>
        <v>513351</v>
      </c>
      <c r="G545" s="6" t="str">
        <f>"F310634955000000"</f>
        <v>F310634955000000</v>
      </c>
      <c r="H545" s="6" t="str">
        <f>"PLAR 6349 - 550 g/m²"</f>
        <v>PLAR 6349 - 550 g/m²</v>
      </c>
      <c r="I545" s="6" t="str">
        <f>"202455"</f>
        <v>202455</v>
      </c>
      <c r="J545" s="6" t="str">
        <f>"AZUL 2455"</f>
        <v>AZUL 2455</v>
      </c>
      <c r="K545" s="6" t="str">
        <f>"2002"</f>
        <v>2002</v>
      </c>
      <c r="L545" s="6" t="str">
        <f>"Lençóis"</f>
        <v>Lençóis</v>
      </c>
      <c r="M545" s="6" t="str">
        <f>"90x150"</f>
        <v>90x150</v>
      </c>
      <c r="N545" s="6" t="str">
        <f t="shared" si="148"/>
        <v xml:space="preserve"> </v>
      </c>
      <c r="O545" s="8">
        <v>1100</v>
      </c>
      <c r="P545" s="7">
        <v>46010</v>
      </c>
      <c r="R545" s="8">
        <v>1200</v>
      </c>
      <c r="S545" s="7">
        <v>46020</v>
      </c>
      <c r="U545" s="8">
        <v>1200</v>
      </c>
      <c r="V545" s="7">
        <v>46028</v>
      </c>
      <c r="X545" s="8">
        <v>0</v>
      </c>
      <c r="Z545" s="8">
        <v>1200</v>
      </c>
      <c r="AA545" s="7">
        <v>46038</v>
      </c>
      <c r="AC545" s="8">
        <v>1148</v>
      </c>
      <c r="AE545" s="7">
        <v>46042</v>
      </c>
      <c r="AF545" s="8">
        <v>1148</v>
      </c>
      <c r="AH545" s="7">
        <v>46038</v>
      </c>
      <c r="AN545" s="8">
        <v>1148</v>
      </c>
      <c r="AO545" s="8">
        <v>-48</v>
      </c>
    </row>
    <row r="546" spans="1:41" x14ac:dyDescent="0.25">
      <c r="A546" s="6" t="str">
        <f>"521-2025000693"</f>
        <v>521-2025000693</v>
      </c>
      <c r="B546" s="6" t="str">
        <f>"LOTS OF"</f>
        <v>LOTS OF</v>
      </c>
      <c r="C546" s="7">
        <v>45957</v>
      </c>
      <c r="D546" s="7">
        <v>46031</v>
      </c>
      <c r="E546" s="8">
        <v>1</v>
      </c>
      <c r="F546" s="6" t="str">
        <f>"66-2025"</f>
        <v>66-2025</v>
      </c>
      <c r="G546" s="6" t="str">
        <f>"F110353643006520"</f>
        <v>F110353643006520</v>
      </c>
      <c r="H546" s="6" t="str">
        <f>"FAJ 3536 / 6520 - 43"</f>
        <v>FAJ 3536 / 6520 - 43</v>
      </c>
      <c r="I546" s="6" t="str">
        <f>"1"</f>
        <v>1</v>
      </c>
      <c r="J546" s="6" t="str">
        <f>"BRANCO"</f>
        <v>BRANCO</v>
      </c>
      <c r="K546" s="6" t="str">
        <f>"1024"</f>
        <v>1024</v>
      </c>
      <c r="L546" s="6" t="str">
        <f>"Toalhas"</f>
        <v>Toalhas</v>
      </c>
      <c r="M546" s="6" t="str">
        <f>"50x100"</f>
        <v>50x100</v>
      </c>
      <c r="N546" s="6" t="str">
        <f t="shared" si="148"/>
        <v xml:space="preserve"> </v>
      </c>
      <c r="O546" s="8">
        <v>1500</v>
      </c>
      <c r="P546" s="7">
        <v>45988</v>
      </c>
      <c r="R546" s="8">
        <v>1664</v>
      </c>
      <c r="S546" s="7">
        <v>45994</v>
      </c>
      <c r="U546" s="8">
        <v>1664</v>
      </c>
      <c r="V546" s="7">
        <v>46006</v>
      </c>
      <c r="X546" s="8">
        <v>0</v>
      </c>
      <c r="Z546" s="8">
        <v>1664</v>
      </c>
      <c r="AA546" s="7">
        <v>46021</v>
      </c>
      <c r="AC546" s="8">
        <v>1442</v>
      </c>
      <c r="AE546" s="7">
        <v>46035</v>
      </c>
      <c r="AF546" s="8">
        <v>1442</v>
      </c>
      <c r="AH546" s="7">
        <v>46031</v>
      </c>
      <c r="AI546" s="7">
        <v>46031</v>
      </c>
      <c r="AN546" s="8">
        <v>1442</v>
      </c>
      <c r="AO546" s="8">
        <v>58</v>
      </c>
    </row>
    <row r="547" spans="1:41" x14ac:dyDescent="0.25">
      <c r="A547" s="6" t="str">
        <f>"521-2025000694"</f>
        <v>521-2025000694</v>
      </c>
      <c r="B547" s="6" t="str">
        <f>"STILUS T"</f>
        <v>STILUS T</v>
      </c>
      <c r="C547" s="7">
        <v>45957</v>
      </c>
      <c r="D547" s="7">
        <v>46037</v>
      </c>
      <c r="E547" s="8">
        <v>1</v>
      </c>
      <c r="F547" s="6" t="str">
        <f>"LT 211"</f>
        <v>LT 211</v>
      </c>
      <c r="G547" s="6" t="str">
        <f>"C090005510000000"</f>
        <v>C090005510000000</v>
      </c>
      <c r="H547" s="6" t="str">
        <f>"LT 211 - 14319 (m) 2"</f>
        <v>LT 211 - 14319 (m) 2</v>
      </c>
      <c r="I547" s="6" t="str">
        <f>"500152"</f>
        <v>500152</v>
      </c>
      <c r="J547" s="6" t="str">
        <f>"Cor 2"</f>
        <v>Cor 2</v>
      </c>
      <c r="K547" s="6" t="str">
        <f>"8001"</f>
        <v>8001</v>
      </c>
      <c r="L547" s="6" t="str">
        <f>"Diversos"</f>
        <v>Diversos</v>
      </c>
      <c r="M547" s="6" t="str">
        <f>"Único"</f>
        <v>Único</v>
      </c>
      <c r="N547" s="6" t="str">
        <f t="shared" si="148"/>
        <v xml:space="preserve"> </v>
      </c>
      <c r="O547" s="8">
        <v>500</v>
      </c>
      <c r="P547" s="7">
        <v>46010</v>
      </c>
      <c r="R547" s="8">
        <v>513</v>
      </c>
      <c r="S547" s="7">
        <v>46020</v>
      </c>
      <c r="U547" s="8">
        <v>0</v>
      </c>
      <c r="V547" s="7">
        <v>46028</v>
      </c>
      <c r="X547" s="8">
        <v>0</v>
      </c>
      <c r="Z547" s="8">
        <v>0</v>
      </c>
      <c r="AA547" s="7">
        <v>46038</v>
      </c>
      <c r="AC547" s="8">
        <v>510</v>
      </c>
      <c r="AE547" s="7">
        <v>46042</v>
      </c>
      <c r="AF547" s="8">
        <v>510</v>
      </c>
      <c r="AH547" s="7">
        <v>46037</v>
      </c>
      <c r="AN547" s="8">
        <v>510</v>
      </c>
      <c r="AO547" s="8">
        <v>-10</v>
      </c>
    </row>
    <row r="548" spans="1:41" x14ac:dyDescent="0.25">
      <c r="A548" s="6" t="str">
        <f>"521-2025000696"</f>
        <v>521-2025000696</v>
      </c>
      <c r="B548" s="6" t="str">
        <f>"TARTA GE"</f>
        <v>TARTA GE</v>
      </c>
      <c r="C548" s="7">
        <v>45958</v>
      </c>
      <c r="D548" s="7">
        <v>46045</v>
      </c>
      <c r="E548" s="8">
        <v>1</v>
      </c>
      <c r="F548" s="6" t="str">
        <f>"O250054"</f>
        <v>O250054</v>
      </c>
      <c r="G548" s="6" t="str">
        <f>"K310218260000000"</f>
        <v>K310218260000000</v>
      </c>
      <c r="H548" s="6" t="str">
        <f>"KB 2182 - PLAR 5870"</f>
        <v>KB 2182 - PLAR 5870</v>
      </c>
      <c r="I548" s="6" t="str">
        <f>"200980"</f>
        <v>200980</v>
      </c>
      <c r="J548" s="6" t="str">
        <f>"PESSEGO 980"</f>
        <v>PESSEGO 980</v>
      </c>
      <c r="K548" s="6" t="str">
        <f>"8000"</f>
        <v>8000</v>
      </c>
      <c r="L548" s="6" t="str">
        <f>"Diversos"</f>
        <v>Diversos</v>
      </c>
      <c r="M548" s="6" t="str">
        <f>"Único"</f>
        <v>Único</v>
      </c>
      <c r="N548" s="6" t="str">
        <f t="shared" si="148"/>
        <v xml:space="preserve"> </v>
      </c>
      <c r="O548" s="8">
        <v>300</v>
      </c>
      <c r="P548" s="7">
        <v>45996</v>
      </c>
      <c r="R548" s="8">
        <v>555</v>
      </c>
      <c r="S548" s="7">
        <v>46002</v>
      </c>
      <c r="U548" s="8">
        <v>555</v>
      </c>
      <c r="V548" s="7">
        <v>46007</v>
      </c>
      <c r="X548" s="8">
        <v>555</v>
      </c>
      <c r="Z548" s="8">
        <v>0</v>
      </c>
      <c r="AA548" s="7">
        <v>46027</v>
      </c>
      <c r="AC548" s="8">
        <v>347</v>
      </c>
      <c r="AE548" s="7">
        <v>46029</v>
      </c>
      <c r="AF548" s="8">
        <v>347</v>
      </c>
      <c r="AH548" s="7">
        <v>46045</v>
      </c>
      <c r="AN548" s="8">
        <v>347</v>
      </c>
      <c r="AO548" s="8">
        <v>-47</v>
      </c>
    </row>
    <row r="549" spans="1:41" x14ac:dyDescent="0.25">
      <c r="A549" s="6" t="str">
        <f>"521-2025000696"</f>
        <v>521-2025000696</v>
      </c>
      <c r="B549" s="6" t="str">
        <f>"TARTA GE"</f>
        <v>TARTA GE</v>
      </c>
      <c r="C549" s="7">
        <v>45958</v>
      </c>
      <c r="D549" s="7">
        <v>46045</v>
      </c>
      <c r="E549" s="8">
        <v>2</v>
      </c>
      <c r="F549" s="6" t="str">
        <f>"O250054"</f>
        <v>O250054</v>
      </c>
      <c r="G549" s="6" t="str">
        <f>"K310221160000000"</f>
        <v>K310221160000000</v>
      </c>
      <c r="H549" s="6" t="str">
        <f>"KB 2211 - PLAR 6037"</f>
        <v>KB 2211 - PLAR 6037</v>
      </c>
      <c r="I549" s="6" t="str">
        <f>"204598"</f>
        <v>204598</v>
      </c>
      <c r="J549" s="6" t="str">
        <f>"VERDE 4598"</f>
        <v>VERDE 4598</v>
      </c>
      <c r="K549" s="6" t="str">
        <f>"8000"</f>
        <v>8000</v>
      </c>
      <c r="L549" s="6" t="str">
        <f>"Diversos"</f>
        <v>Diversos</v>
      </c>
      <c r="M549" s="6" t="str">
        <f>"Único"</f>
        <v>Único</v>
      </c>
      <c r="N549" s="6" t="str">
        <f t="shared" si="148"/>
        <v xml:space="preserve"> </v>
      </c>
      <c r="O549" s="8">
        <v>300</v>
      </c>
      <c r="P549" s="7">
        <v>45996</v>
      </c>
      <c r="R549" s="8">
        <v>549</v>
      </c>
      <c r="S549" s="7">
        <v>46002</v>
      </c>
      <c r="U549" s="8">
        <v>559</v>
      </c>
      <c r="V549" s="7">
        <v>46007</v>
      </c>
      <c r="X549" s="8">
        <v>559</v>
      </c>
      <c r="Z549" s="8">
        <v>0</v>
      </c>
      <c r="AA549" s="7">
        <v>46027</v>
      </c>
      <c r="AC549" s="8">
        <v>314</v>
      </c>
      <c r="AE549" s="7">
        <v>46029</v>
      </c>
      <c r="AF549" s="8">
        <v>314</v>
      </c>
      <c r="AH549" s="7">
        <v>46045</v>
      </c>
      <c r="AN549" s="8">
        <v>314</v>
      </c>
      <c r="AO549" s="8">
        <v>-14</v>
      </c>
    </row>
    <row r="550" spans="1:41" x14ac:dyDescent="0.25">
      <c r="A550" s="6" t="str">
        <f>"521-2025000697"</f>
        <v>521-2025000697</v>
      </c>
      <c r="B550" s="6" t="str">
        <f>"SEFR AB"</f>
        <v>SEFR AB</v>
      </c>
      <c r="C550" s="7">
        <v>45958</v>
      </c>
      <c r="D550" s="7">
        <v>46052</v>
      </c>
      <c r="E550" s="8">
        <v>1</v>
      </c>
      <c r="F550" s="6" t="str">
        <f>"SS26TOWEL"</f>
        <v>SS26TOWEL</v>
      </c>
      <c r="G550" s="6" t="str">
        <f>"F600937050000000"</f>
        <v>F600937050000000</v>
      </c>
      <c r="H550" s="6" t="str">
        <f>"9370 - 500 g/m²"</f>
        <v>9370 - 500 g/m²</v>
      </c>
      <c r="I550" s="6" t="str">
        <f>"202495"</f>
        <v>202495</v>
      </c>
      <c r="J550" s="6" t="str">
        <f>"VERDE 2495"</f>
        <v>VERDE 2495</v>
      </c>
      <c r="K550" s="6" t="str">
        <f>"3520"</f>
        <v>3520</v>
      </c>
      <c r="L550" s="6" t="str">
        <f>"Praia"</f>
        <v>Praia</v>
      </c>
      <c r="M550" s="6" t="str">
        <f>"90x160"</f>
        <v>90x160</v>
      </c>
      <c r="N550" s="6" t="str">
        <f t="shared" si="148"/>
        <v xml:space="preserve"> </v>
      </c>
      <c r="O550" s="8">
        <v>300</v>
      </c>
      <c r="P550" s="7">
        <v>46030</v>
      </c>
      <c r="R550" s="8">
        <v>334</v>
      </c>
      <c r="S550" s="7">
        <v>46035</v>
      </c>
      <c r="U550" s="8">
        <v>334</v>
      </c>
      <c r="V550" s="7">
        <v>46038</v>
      </c>
      <c r="X550" s="8">
        <v>0</v>
      </c>
      <c r="Z550" s="8">
        <v>334</v>
      </c>
      <c r="AA550" s="7">
        <v>46050</v>
      </c>
      <c r="AC550" s="8">
        <v>0</v>
      </c>
      <c r="AE550" s="7">
        <v>46052</v>
      </c>
      <c r="AF550" s="8">
        <v>0</v>
      </c>
      <c r="AH550" s="7">
        <v>46059</v>
      </c>
      <c r="AN550" s="8">
        <v>0</v>
      </c>
      <c r="AO550" s="8">
        <v>300</v>
      </c>
    </row>
    <row r="551" spans="1:41" x14ac:dyDescent="0.25">
      <c r="A551" s="6" t="str">
        <f t="shared" ref="A551:A558" si="149">"521-2025000698"</f>
        <v>521-2025000698</v>
      </c>
      <c r="B551" s="6" t="str">
        <f t="shared" ref="B551:B558" si="150">"MILLE NO"</f>
        <v>MILLE NO</v>
      </c>
      <c r="C551" s="7">
        <v>45958</v>
      </c>
      <c r="D551" s="7">
        <v>46094</v>
      </c>
      <c r="E551" s="8">
        <v>1</v>
      </c>
      <c r="F551" s="6" t="str">
        <f t="shared" ref="F551:F558" si="151">"IOR002071"</f>
        <v>IOR002071</v>
      </c>
      <c r="G551" s="6" t="str">
        <f t="shared" ref="G551:G558" si="152">"K320203938006415"</f>
        <v>K320203938006415</v>
      </c>
      <c r="H551" s="6" t="str">
        <f t="shared" ref="H551:H558" si="153">"KB 2039 / 6415 - PL"</f>
        <v>KB 2039 / 6415 - PL</v>
      </c>
      <c r="I551" s="6" t="str">
        <f>"200469"</f>
        <v>200469</v>
      </c>
      <c r="J551" s="6" t="str">
        <f>"AZUL 469"</f>
        <v>AZUL 469</v>
      </c>
      <c r="K551" s="6" t="str">
        <f>"5202"</f>
        <v>5202</v>
      </c>
      <c r="L551" s="6" t="str">
        <f t="shared" ref="L551:L558" si="154">"Roupões Criança"</f>
        <v>Roupões Criança</v>
      </c>
      <c r="M551" s="6" t="str">
        <f>"2 Anos"</f>
        <v>2 Anos</v>
      </c>
      <c r="N551" s="6" t="str">
        <f t="shared" si="148"/>
        <v xml:space="preserve"> </v>
      </c>
      <c r="O551" s="8">
        <v>20</v>
      </c>
      <c r="P551" s="7">
        <v>45959</v>
      </c>
      <c r="R551" s="8">
        <v>0</v>
      </c>
      <c r="U551" s="8">
        <v>0</v>
      </c>
      <c r="X551" s="8">
        <v>0</v>
      </c>
      <c r="Z551" s="8">
        <v>0</v>
      </c>
      <c r="AC551" s="8">
        <v>0</v>
      </c>
      <c r="AF551" s="8">
        <v>0</v>
      </c>
      <c r="AH551" s="7">
        <v>46094</v>
      </c>
      <c r="AN551" s="8">
        <v>0</v>
      </c>
      <c r="AO551" s="8">
        <v>20</v>
      </c>
    </row>
    <row r="552" spans="1:41" x14ac:dyDescent="0.25">
      <c r="A552" s="6" t="str">
        <f t="shared" si="149"/>
        <v>521-2025000698</v>
      </c>
      <c r="B552" s="6" t="str">
        <f t="shared" si="150"/>
        <v>MILLE NO</v>
      </c>
      <c r="C552" s="7">
        <v>45958</v>
      </c>
      <c r="D552" s="7">
        <v>46094</v>
      </c>
      <c r="E552" s="8">
        <v>2</v>
      </c>
      <c r="F552" s="6" t="str">
        <f t="shared" si="151"/>
        <v>IOR002071</v>
      </c>
      <c r="G552" s="6" t="str">
        <f t="shared" si="152"/>
        <v>K320203938006415</v>
      </c>
      <c r="H552" s="6" t="str">
        <f t="shared" si="153"/>
        <v>KB 2039 / 6415 - PL</v>
      </c>
      <c r="I552" s="6" t="str">
        <f>"200469"</f>
        <v>200469</v>
      </c>
      <c r="J552" s="6" t="str">
        <f>"AZUL 469"</f>
        <v>AZUL 469</v>
      </c>
      <c r="K552" s="6" t="str">
        <f>"5204"</f>
        <v>5204</v>
      </c>
      <c r="L552" s="6" t="str">
        <f t="shared" si="154"/>
        <v>Roupões Criança</v>
      </c>
      <c r="M552" s="6" t="str">
        <f>"4 Anos"</f>
        <v>4 Anos</v>
      </c>
      <c r="N552" s="6" t="str">
        <f t="shared" si="148"/>
        <v xml:space="preserve"> </v>
      </c>
      <c r="O552" s="8">
        <v>20</v>
      </c>
      <c r="P552" s="7">
        <v>45959</v>
      </c>
      <c r="R552" s="8">
        <v>0</v>
      </c>
      <c r="U552" s="8">
        <v>0</v>
      </c>
      <c r="X552" s="8">
        <v>0</v>
      </c>
      <c r="Z552" s="8">
        <v>0</v>
      </c>
      <c r="AC552" s="8">
        <v>0</v>
      </c>
      <c r="AF552" s="8">
        <v>0</v>
      </c>
      <c r="AH552" s="7">
        <v>46094</v>
      </c>
      <c r="AN552" s="8">
        <v>0</v>
      </c>
      <c r="AO552" s="8">
        <v>20</v>
      </c>
    </row>
    <row r="553" spans="1:41" x14ac:dyDescent="0.25">
      <c r="A553" s="6" t="str">
        <f t="shared" si="149"/>
        <v>521-2025000698</v>
      </c>
      <c r="B553" s="6" t="str">
        <f t="shared" si="150"/>
        <v>MILLE NO</v>
      </c>
      <c r="C553" s="7">
        <v>45958</v>
      </c>
      <c r="D553" s="7">
        <v>46094</v>
      </c>
      <c r="E553" s="8">
        <v>3</v>
      </c>
      <c r="F553" s="6" t="str">
        <f t="shared" si="151"/>
        <v>IOR002071</v>
      </c>
      <c r="G553" s="6" t="str">
        <f t="shared" si="152"/>
        <v>K320203938006415</v>
      </c>
      <c r="H553" s="6" t="str">
        <f t="shared" si="153"/>
        <v>KB 2039 / 6415 - PL</v>
      </c>
      <c r="I553" s="6" t="str">
        <f>"200469"</f>
        <v>200469</v>
      </c>
      <c r="J553" s="6" t="str">
        <f>"AZUL 469"</f>
        <v>AZUL 469</v>
      </c>
      <c r="K553" s="6" t="str">
        <f>"5206"</f>
        <v>5206</v>
      </c>
      <c r="L553" s="6" t="str">
        <f t="shared" si="154"/>
        <v>Roupões Criança</v>
      </c>
      <c r="M553" s="6" t="str">
        <f>"6 Anos"</f>
        <v>6 Anos</v>
      </c>
      <c r="N553" s="6" t="str">
        <f t="shared" si="148"/>
        <v xml:space="preserve"> </v>
      </c>
      <c r="O553" s="8">
        <v>20</v>
      </c>
      <c r="P553" s="7">
        <v>45959</v>
      </c>
      <c r="R553" s="8">
        <v>0</v>
      </c>
      <c r="U553" s="8">
        <v>0</v>
      </c>
      <c r="X553" s="8">
        <v>0</v>
      </c>
      <c r="Z553" s="8">
        <v>0</v>
      </c>
      <c r="AC553" s="8">
        <v>0</v>
      </c>
      <c r="AF553" s="8">
        <v>0</v>
      </c>
      <c r="AH553" s="7">
        <v>46094</v>
      </c>
      <c r="AN553" s="8">
        <v>0</v>
      </c>
      <c r="AO553" s="8">
        <v>20</v>
      </c>
    </row>
    <row r="554" spans="1:41" x14ac:dyDescent="0.25">
      <c r="A554" s="6" t="str">
        <f t="shared" si="149"/>
        <v>521-2025000698</v>
      </c>
      <c r="B554" s="6" t="str">
        <f t="shared" si="150"/>
        <v>MILLE NO</v>
      </c>
      <c r="C554" s="7">
        <v>45958</v>
      </c>
      <c r="D554" s="7">
        <v>46094</v>
      </c>
      <c r="E554" s="8">
        <v>4</v>
      </c>
      <c r="F554" s="6" t="str">
        <f t="shared" si="151"/>
        <v>IOR002071</v>
      </c>
      <c r="G554" s="6" t="str">
        <f t="shared" si="152"/>
        <v>K320203938006415</v>
      </c>
      <c r="H554" s="6" t="str">
        <f t="shared" si="153"/>
        <v>KB 2039 / 6415 - PL</v>
      </c>
      <c r="I554" s="6" t="str">
        <f>"200469"</f>
        <v>200469</v>
      </c>
      <c r="J554" s="6" t="str">
        <f>"AZUL 469"</f>
        <v>AZUL 469</v>
      </c>
      <c r="K554" s="6" t="str">
        <f>"5208"</f>
        <v>5208</v>
      </c>
      <c r="L554" s="6" t="str">
        <f t="shared" si="154"/>
        <v>Roupões Criança</v>
      </c>
      <c r="M554" s="6" t="str">
        <f>"8 Anos"</f>
        <v>8 Anos</v>
      </c>
      <c r="N554" s="6" t="str">
        <f t="shared" si="148"/>
        <v xml:space="preserve"> </v>
      </c>
      <c r="O554" s="8">
        <v>20</v>
      </c>
      <c r="P554" s="7">
        <v>45959</v>
      </c>
      <c r="R554" s="8">
        <v>0</v>
      </c>
      <c r="U554" s="8">
        <v>0</v>
      </c>
      <c r="X554" s="8">
        <v>0</v>
      </c>
      <c r="Z554" s="8">
        <v>0</v>
      </c>
      <c r="AC554" s="8">
        <v>0</v>
      </c>
      <c r="AF554" s="8">
        <v>0</v>
      </c>
      <c r="AH554" s="7">
        <v>46094</v>
      </c>
      <c r="AN554" s="8">
        <v>0</v>
      </c>
      <c r="AO554" s="8">
        <v>20</v>
      </c>
    </row>
    <row r="555" spans="1:41" x14ac:dyDescent="0.25">
      <c r="A555" s="6" t="str">
        <f t="shared" si="149"/>
        <v>521-2025000698</v>
      </c>
      <c r="B555" s="6" t="str">
        <f t="shared" si="150"/>
        <v>MILLE NO</v>
      </c>
      <c r="C555" s="7">
        <v>45958</v>
      </c>
      <c r="D555" s="7">
        <v>46094</v>
      </c>
      <c r="E555" s="8">
        <v>5</v>
      </c>
      <c r="F555" s="6" t="str">
        <f t="shared" si="151"/>
        <v>IOR002071</v>
      </c>
      <c r="G555" s="6" t="str">
        <f t="shared" si="152"/>
        <v>K320203938006415</v>
      </c>
      <c r="H555" s="6" t="str">
        <f t="shared" si="153"/>
        <v>KB 2039 / 6415 - PL</v>
      </c>
      <c r="I555" s="6" t="str">
        <f>"200731"</f>
        <v>200731</v>
      </c>
      <c r="J555" s="6" t="str">
        <f>"PESSEGO 731"</f>
        <v>PESSEGO 731</v>
      </c>
      <c r="K555" s="6" t="str">
        <f>"5202"</f>
        <v>5202</v>
      </c>
      <c r="L555" s="6" t="str">
        <f t="shared" si="154"/>
        <v>Roupões Criança</v>
      </c>
      <c r="M555" s="6" t="str">
        <f>"2 Anos"</f>
        <v>2 Anos</v>
      </c>
      <c r="N555" s="6" t="str">
        <f t="shared" si="148"/>
        <v xml:space="preserve"> </v>
      </c>
      <c r="O555" s="8">
        <v>20</v>
      </c>
      <c r="P555" s="7">
        <v>45959</v>
      </c>
      <c r="R555" s="8">
        <v>0</v>
      </c>
      <c r="U555" s="8">
        <v>0</v>
      </c>
      <c r="X555" s="8">
        <v>0</v>
      </c>
      <c r="Z555" s="8">
        <v>0</v>
      </c>
      <c r="AC555" s="8">
        <v>0</v>
      </c>
      <c r="AF555" s="8">
        <v>0</v>
      </c>
      <c r="AH555" s="7">
        <v>46094</v>
      </c>
      <c r="AN555" s="8">
        <v>0</v>
      </c>
      <c r="AO555" s="8">
        <v>20</v>
      </c>
    </row>
    <row r="556" spans="1:41" x14ac:dyDescent="0.25">
      <c r="A556" s="6" t="str">
        <f t="shared" si="149"/>
        <v>521-2025000698</v>
      </c>
      <c r="B556" s="6" t="str">
        <f t="shared" si="150"/>
        <v>MILLE NO</v>
      </c>
      <c r="C556" s="7">
        <v>45958</v>
      </c>
      <c r="D556" s="7">
        <v>46094</v>
      </c>
      <c r="E556" s="8">
        <v>6</v>
      </c>
      <c r="F556" s="6" t="str">
        <f t="shared" si="151"/>
        <v>IOR002071</v>
      </c>
      <c r="G556" s="6" t="str">
        <f t="shared" si="152"/>
        <v>K320203938006415</v>
      </c>
      <c r="H556" s="6" t="str">
        <f t="shared" si="153"/>
        <v>KB 2039 / 6415 - PL</v>
      </c>
      <c r="I556" s="6" t="str">
        <f>"200731"</f>
        <v>200731</v>
      </c>
      <c r="J556" s="6" t="str">
        <f>"PESSEGO 731"</f>
        <v>PESSEGO 731</v>
      </c>
      <c r="K556" s="6" t="str">
        <f>"5204"</f>
        <v>5204</v>
      </c>
      <c r="L556" s="6" t="str">
        <f t="shared" si="154"/>
        <v>Roupões Criança</v>
      </c>
      <c r="M556" s="6" t="str">
        <f>"4 Anos"</f>
        <v>4 Anos</v>
      </c>
      <c r="N556" s="6" t="str">
        <f t="shared" ref="N556:N587" si="155">" "</f>
        <v xml:space="preserve"> </v>
      </c>
      <c r="O556" s="8">
        <v>20</v>
      </c>
      <c r="P556" s="7">
        <v>45959</v>
      </c>
      <c r="R556" s="8">
        <v>0</v>
      </c>
      <c r="U556" s="8">
        <v>0</v>
      </c>
      <c r="X556" s="8">
        <v>0</v>
      </c>
      <c r="Z556" s="8">
        <v>0</v>
      </c>
      <c r="AC556" s="8">
        <v>0</v>
      </c>
      <c r="AF556" s="8">
        <v>0</v>
      </c>
      <c r="AH556" s="7">
        <v>46094</v>
      </c>
      <c r="AN556" s="8">
        <v>0</v>
      </c>
      <c r="AO556" s="8">
        <v>20</v>
      </c>
    </row>
    <row r="557" spans="1:41" x14ac:dyDescent="0.25">
      <c r="A557" s="6" t="str">
        <f t="shared" si="149"/>
        <v>521-2025000698</v>
      </c>
      <c r="B557" s="6" t="str">
        <f t="shared" si="150"/>
        <v>MILLE NO</v>
      </c>
      <c r="C557" s="7">
        <v>45958</v>
      </c>
      <c r="D557" s="7">
        <v>46094</v>
      </c>
      <c r="E557" s="8">
        <v>7</v>
      </c>
      <c r="F557" s="6" t="str">
        <f t="shared" si="151"/>
        <v>IOR002071</v>
      </c>
      <c r="G557" s="6" t="str">
        <f t="shared" si="152"/>
        <v>K320203938006415</v>
      </c>
      <c r="H557" s="6" t="str">
        <f t="shared" si="153"/>
        <v>KB 2039 / 6415 - PL</v>
      </c>
      <c r="I557" s="6" t="str">
        <f>"200731"</f>
        <v>200731</v>
      </c>
      <c r="J557" s="6" t="str">
        <f>"PESSEGO 731"</f>
        <v>PESSEGO 731</v>
      </c>
      <c r="K557" s="6" t="str">
        <f>"5206"</f>
        <v>5206</v>
      </c>
      <c r="L557" s="6" t="str">
        <f t="shared" si="154"/>
        <v>Roupões Criança</v>
      </c>
      <c r="M557" s="6" t="str">
        <f>"6 Anos"</f>
        <v>6 Anos</v>
      </c>
      <c r="N557" s="6" t="str">
        <f t="shared" si="155"/>
        <v xml:space="preserve"> </v>
      </c>
      <c r="O557" s="8">
        <v>20</v>
      </c>
      <c r="P557" s="7">
        <v>45959</v>
      </c>
      <c r="R557" s="8">
        <v>0</v>
      </c>
      <c r="U557" s="8">
        <v>0</v>
      </c>
      <c r="X557" s="8">
        <v>0</v>
      </c>
      <c r="Z557" s="8">
        <v>0</v>
      </c>
      <c r="AC557" s="8">
        <v>0</v>
      </c>
      <c r="AF557" s="8">
        <v>0</v>
      </c>
      <c r="AH557" s="7">
        <v>46094</v>
      </c>
      <c r="AN557" s="8">
        <v>0</v>
      </c>
      <c r="AO557" s="8">
        <v>20</v>
      </c>
    </row>
    <row r="558" spans="1:41" x14ac:dyDescent="0.25">
      <c r="A558" s="6" t="str">
        <f t="shared" si="149"/>
        <v>521-2025000698</v>
      </c>
      <c r="B558" s="6" t="str">
        <f t="shared" si="150"/>
        <v>MILLE NO</v>
      </c>
      <c r="C558" s="7">
        <v>45958</v>
      </c>
      <c r="D558" s="7">
        <v>46094</v>
      </c>
      <c r="E558" s="8">
        <v>8</v>
      </c>
      <c r="F558" s="6" t="str">
        <f t="shared" si="151"/>
        <v>IOR002071</v>
      </c>
      <c r="G558" s="6" t="str">
        <f t="shared" si="152"/>
        <v>K320203938006415</v>
      </c>
      <c r="H558" s="6" t="str">
        <f t="shared" si="153"/>
        <v>KB 2039 / 6415 - PL</v>
      </c>
      <c r="I558" s="6" t="str">
        <f>"200731"</f>
        <v>200731</v>
      </c>
      <c r="J558" s="6" t="str">
        <f>"PESSEGO 731"</f>
        <v>PESSEGO 731</v>
      </c>
      <c r="K558" s="6" t="str">
        <f>"5208"</f>
        <v>5208</v>
      </c>
      <c r="L558" s="6" t="str">
        <f t="shared" si="154"/>
        <v>Roupões Criança</v>
      </c>
      <c r="M558" s="6" t="str">
        <f>"8 Anos"</f>
        <v>8 Anos</v>
      </c>
      <c r="N558" s="6" t="str">
        <f t="shared" si="155"/>
        <v xml:space="preserve"> </v>
      </c>
      <c r="O558" s="8">
        <v>20</v>
      </c>
      <c r="P558" s="7">
        <v>45959</v>
      </c>
      <c r="R558" s="8">
        <v>0</v>
      </c>
      <c r="U558" s="8">
        <v>0</v>
      </c>
      <c r="X558" s="8">
        <v>0</v>
      </c>
      <c r="Z558" s="8">
        <v>0</v>
      </c>
      <c r="AC558" s="8">
        <v>0</v>
      </c>
      <c r="AF558" s="8">
        <v>0</v>
      </c>
      <c r="AH558" s="7">
        <v>46094</v>
      </c>
      <c r="AN558" s="8">
        <v>0</v>
      </c>
      <c r="AO558" s="8">
        <v>20</v>
      </c>
    </row>
    <row r="559" spans="1:41" x14ac:dyDescent="0.25">
      <c r="A559" s="6" t="str">
        <f t="shared" ref="A559:A566" si="156">"521-2025000700"</f>
        <v>521-2025000700</v>
      </c>
      <c r="B559" s="6" t="str">
        <f t="shared" ref="B559:B566" si="157">"TESSITUR"</f>
        <v>TESSITUR</v>
      </c>
      <c r="C559" s="7">
        <v>45958</v>
      </c>
      <c r="D559" s="7">
        <v>46052</v>
      </c>
      <c r="E559" s="8">
        <v>1</v>
      </c>
      <c r="F559" s="6" t="str">
        <f t="shared" ref="F559:F566" si="158">"192 Randi"</f>
        <v>192 Randi</v>
      </c>
      <c r="G559" s="6" t="str">
        <f t="shared" ref="G559:G566" si="159">"C090000350000002"</f>
        <v>C090000350000002</v>
      </c>
      <c r="H559" s="6" t="str">
        <f t="shared" ref="H559:H566" si="160">"Favo 0003 - 500 g/m²"</f>
        <v>Favo 0003 - 500 g/m²</v>
      </c>
      <c r="I559" s="6" t="str">
        <f>"602326"</f>
        <v>602326</v>
      </c>
      <c r="J559" s="6" t="str">
        <f>"SALVIA 2326"</f>
        <v>SALVIA 2326</v>
      </c>
      <c r="K559" s="6" t="str">
        <f t="shared" ref="K559:K566" si="161">"7000"</f>
        <v>7000</v>
      </c>
      <c r="L559" s="6" t="str">
        <f t="shared" ref="L559:L566" si="162">"Cama"</f>
        <v>Cama</v>
      </c>
      <c r="M559" s="6" t="str">
        <f t="shared" ref="M559:M566" si="163">"Único"</f>
        <v>Único</v>
      </c>
      <c r="N559" s="6" t="str">
        <f t="shared" si="155"/>
        <v xml:space="preserve"> </v>
      </c>
      <c r="O559" s="8">
        <v>30</v>
      </c>
      <c r="P559" s="7">
        <v>46023</v>
      </c>
      <c r="R559" s="8">
        <v>0</v>
      </c>
      <c r="S559" s="7">
        <v>46029</v>
      </c>
      <c r="U559" s="8">
        <v>0</v>
      </c>
      <c r="V559" s="7">
        <v>46036</v>
      </c>
      <c r="X559" s="8">
        <v>0</v>
      </c>
      <c r="Z559" s="8">
        <v>0</v>
      </c>
      <c r="AA559" s="7">
        <v>46050</v>
      </c>
      <c r="AC559" s="8">
        <v>0</v>
      </c>
      <c r="AE559" s="7">
        <v>46055</v>
      </c>
      <c r="AF559" s="8">
        <v>0</v>
      </c>
      <c r="AH559" s="7">
        <v>46052</v>
      </c>
      <c r="AN559" s="8">
        <v>0</v>
      </c>
      <c r="AO559" s="8">
        <v>30</v>
      </c>
    </row>
    <row r="560" spans="1:41" x14ac:dyDescent="0.25">
      <c r="A560" s="6" t="str">
        <f t="shared" si="156"/>
        <v>521-2025000700</v>
      </c>
      <c r="B560" s="6" t="str">
        <f t="shared" si="157"/>
        <v>TESSITUR</v>
      </c>
      <c r="C560" s="7">
        <v>45958</v>
      </c>
      <c r="D560" s="7">
        <v>46052</v>
      </c>
      <c r="E560" s="8">
        <v>2</v>
      </c>
      <c r="F560" s="6" t="str">
        <f t="shared" si="158"/>
        <v>192 Randi</v>
      </c>
      <c r="G560" s="6" t="str">
        <f t="shared" si="159"/>
        <v>C090000350000002</v>
      </c>
      <c r="H560" s="6" t="str">
        <f t="shared" si="160"/>
        <v>Favo 0003 - 500 g/m²</v>
      </c>
      <c r="I560" s="6" t="str">
        <f>"602228"</f>
        <v>602228</v>
      </c>
      <c r="J560" s="6" t="str">
        <f>"ROSA 2228"</f>
        <v>ROSA 2228</v>
      </c>
      <c r="K560" s="6" t="str">
        <f t="shared" si="161"/>
        <v>7000</v>
      </c>
      <c r="L560" s="6" t="str">
        <f t="shared" si="162"/>
        <v>Cama</v>
      </c>
      <c r="M560" s="6" t="str">
        <f t="shared" si="163"/>
        <v>Único</v>
      </c>
      <c r="N560" s="6" t="str">
        <f t="shared" si="155"/>
        <v xml:space="preserve"> </v>
      </c>
      <c r="O560" s="8">
        <v>35</v>
      </c>
      <c r="P560" s="7">
        <v>46023</v>
      </c>
      <c r="R560" s="8">
        <v>0</v>
      </c>
      <c r="S560" s="7">
        <v>46029</v>
      </c>
      <c r="U560" s="8">
        <v>0</v>
      </c>
      <c r="V560" s="7">
        <v>46036</v>
      </c>
      <c r="X560" s="8">
        <v>0</v>
      </c>
      <c r="Z560" s="8">
        <v>0</v>
      </c>
      <c r="AA560" s="7">
        <v>46050</v>
      </c>
      <c r="AC560" s="8">
        <v>0</v>
      </c>
      <c r="AE560" s="7">
        <v>46055</v>
      </c>
      <c r="AF560" s="8">
        <v>0</v>
      </c>
      <c r="AH560" s="7">
        <v>46052</v>
      </c>
      <c r="AN560" s="8">
        <v>0</v>
      </c>
      <c r="AO560" s="8">
        <v>35</v>
      </c>
    </row>
    <row r="561" spans="1:41" x14ac:dyDescent="0.25">
      <c r="A561" s="6" t="str">
        <f t="shared" si="156"/>
        <v>521-2025000700</v>
      </c>
      <c r="B561" s="6" t="str">
        <f t="shared" si="157"/>
        <v>TESSITUR</v>
      </c>
      <c r="C561" s="7">
        <v>45958</v>
      </c>
      <c r="D561" s="7">
        <v>46052</v>
      </c>
      <c r="E561" s="8">
        <v>3</v>
      </c>
      <c r="F561" s="6" t="str">
        <f t="shared" si="158"/>
        <v>192 Randi</v>
      </c>
      <c r="G561" s="6" t="str">
        <f t="shared" si="159"/>
        <v>C090000350000002</v>
      </c>
      <c r="H561" s="6" t="str">
        <f t="shared" si="160"/>
        <v>Favo 0003 - 500 g/m²</v>
      </c>
      <c r="I561" s="6" t="str">
        <f>"603004"</f>
        <v>603004</v>
      </c>
      <c r="J561" s="6" t="str">
        <f>"AZUL 3004"</f>
        <v>AZUL 3004</v>
      </c>
      <c r="K561" s="6" t="str">
        <f t="shared" si="161"/>
        <v>7000</v>
      </c>
      <c r="L561" s="6" t="str">
        <f t="shared" si="162"/>
        <v>Cama</v>
      </c>
      <c r="M561" s="6" t="str">
        <f t="shared" si="163"/>
        <v>Único</v>
      </c>
      <c r="N561" s="6" t="str">
        <f t="shared" si="155"/>
        <v xml:space="preserve"> </v>
      </c>
      <c r="O561" s="8">
        <v>65</v>
      </c>
      <c r="P561" s="7">
        <v>46023</v>
      </c>
      <c r="R561" s="8">
        <v>0</v>
      </c>
      <c r="S561" s="7">
        <v>46029</v>
      </c>
      <c r="U561" s="8">
        <v>0</v>
      </c>
      <c r="V561" s="7">
        <v>46036</v>
      </c>
      <c r="X561" s="8">
        <v>0</v>
      </c>
      <c r="Z561" s="8">
        <v>0</v>
      </c>
      <c r="AA561" s="7">
        <v>46050</v>
      </c>
      <c r="AC561" s="8">
        <v>0</v>
      </c>
      <c r="AE561" s="7">
        <v>46055</v>
      </c>
      <c r="AF561" s="8">
        <v>0</v>
      </c>
      <c r="AH561" s="7">
        <v>46052</v>
      </c>
      <c r="AN561" s="8">
        <v>0</v>
      </c>
      <c r="AO561" s="8">
        <v>65</v>
      </c>
    </row>
    <row r="562" spans="1:41" x14ac:dyDescent="0.25">
      <c r="A562" s="6" t="str">
        <f t="shared" si="156"/>
        <v>521-2025000700</v>
      </c>
      <c r="B562" s="6" t="str">
        <f t="shared" si="157"/>
        <v>TESSITUR</v>
      </c>
      <c r="C562" s="7">
        <v>45958</v>
      </c>
      <c r="D562" s="7">
        <v>46052</v>
      </c>
      <c r="E562" s="8">
        <v>4</v>
      </c>
      <c r="F562" s="6" t="str">
        <f t="shared" si="158"/>
        <v>192 Randi</v>
      </c>
      <c r="G562" s="6" t="str">
        <f t="shared" si="159"/>
        <v>C090000350000002</v>
      </c>
      <c r="H562" s="6" t="str">
        <f t="shared" si="160"/>
        <v>Favo 0003 - 500 g/m²</v>
      </c>
      <c r="I562" s="6" t="str">
        <f>"602330"</f>
        <v>602330</v>
      </c>
      <c r="J562" s="6" t="str">
        <f>"BEGE 2330"</f>
        <v>BEGE 2330</v>
      </c>
      <c r="K562" s="6" t="str">
        <f t="shared" si="161"/>
        <v>7000</v>
      </c>
      <c r="L562" s="6" t="str">
        <f t="shared" si="162"/>
        <v>Cama</v>
      </c>
      <c r="M562" s="6" t="str">
        <f t="shared" si="163"/>
        <v>Único</v>
      </c>
      <c r="N562" s="6" t="str">
        <f t="shared" si="155"/>
        <v xml:space="preserve"> </v>
      </c>
      <c r="O562" s="8">
        <v>75</v>
      </c>
      <c r="P562" s="7">
        <v>46023</v>
      </c>
      <c r="R562" s="8">
        <v>0</v>
      </c>
      <c r="S562" s="7">
        <v>46029</v>
      </c>
      <c r="U562" s="8">
        <v>0</v>
      </c>
      <c r="V562" s="7">
        <v>46036</v>
      </c>
      <c r="X562" s="8">
        <v>0</v>
      </c>
      <c r="Z562" s="8">
        <v>0</v>
      </c>
      <c r="AA562" s="7">
        <v>46050</v>
      </c>
      <c r="AC562" s="8">
        <v>0</v>
      </c>
      <c r="AE562" s="7">
        <v>46055</v>
      </c>
      <c r="AF562" s="8">
        <v>0</v>
      </c>
      <c r="AH562" s="7">
        <v>46052</v>
      </c>
      <c r="AN562" s="8">
        <v>0</v>
      </c>
      <c r="AO562" s="8">
        <v>75</v>
      </c>
    </row>
    <row r="563" spans="1:41" x14ac:dyDescent="0.25">
      <c r="A563" s="6" t="str">
        <f t="shared" si="156"/>
        <v>521-2025000700</v>
      </c>
      <c r="B563" s="6" t="str">
        <f t="shared" si="157"/>
        <v>TESSITUR</v>
      </c>
      <c r="C563" s="7">
        <v>45958</v>
      </c>
      <c r="D563" s="7">
        <v>46052</v>
      </c>
      <c r="E563" s="8">
        <v>5</v>
      </c>
      <c r="F563" s="6" t="str">
        <f t="shared" si="158"/>
        <v>192 Randi</v>
      </c>
      <c r="G563" s="6" t="str">
        <f t="shared" si="159"/>
        <v>C090000350000002</v>
      </c>
      <c r="H563" s="6" t="str">
        <f t="shared" si="160"/>
        <v>Favo 0003 - 500 g/m²</v>
      </c>
      <c r="I563" s="6" t="str">
        <f>"602834"</f>
        <v>602834</v>
      </c>
      <c r="J563" s="6" t="str">
        <f>"SAGE 2834"</f>
        <v>SAGE 2834</v>
      </c>
      <c r="K563" s="6" t="str">
        <f t="shared" si="161"/>
        <v>7000</v>
      </c>
      <c r="L563" s="6" t="str">
        <f t="shared" si="162"/>
        <v>Cama</v>
      </c>
      <c r="M563" s="6" t="str">
        <f t="shared" si="163"/>
        <v>Único</v>
      </c>
      <c r="N563" s="6" t="str">
        <f t="shared" si="155"/>
        <v xml:space="preserve"> </v>
      </c>
      <c r="O563" s="8">
        <v>36</v>
      </c>
      <c r="P563" s="7">
        <v>46023</v>
      </c>
      <c r="R563" s="8">
        <v>0</v>
      </c>
      <c r="S563" s="7">
        <v>46029</v>
      </c>
      <c r="U563" s="8">
        <v>0</v>
      </c>
      <c r="V563" s="7">
        <v>46036</v>
      </c>
      <c r="X563" s="8">
        <v>0</v>
      </c>
      <c r="Z563" s="8">
        <v>0</v>
      </c>
      <c r="AA563" s="7">
        <v>46050</v>
      </c>
      <c r="AC563" s="8">
        <v>0</v>
      </c>
      <c r="AE563" s="7">
        <v>46055</v>
      </c>
      <c r="AF563" s="8">
        <v>0</v>
      </c>
      <c r="AH563" s="7">
        <v>46052</v>
      </c>
      <c r="AN563" s="8">
        <v>0</v>
      </c>
      <c r="AO563" s="8">
        <v>36</v>
      </c>
    </row>
    <row r="564" spans="1:41" x14ac:dyDescent="0.25">
      <c r="A564" s="6" t="str">
        <f t="shared" si="156"/>
        <v>521-2025000700</v>
      </c>
      <c r="B564" s="6" t="str">
        <f t="shared" si="157"/>
        <v>TESSITUR</v>
      </c>
      <c r="C564" s="7">
        <v>45958</v>
      </c>
      <c r="D564" s="7">
        <v>46052</v>
      </c>
      <c r="E564" s="8">
        <v>6</v>
      </c>
      <c r="F564" s="6" t="str">
        <f t="shared" si="158"/>
        <v>192 Randi</v>
      </c>
      <c r="G564" s="6" t="str">
        <f t="shared" si="159"/>
        <v>C090000350000002</v>
      </c>
      <c r="H564" s="6" t="str">
        <f t="shared" si="160"/>
        <v>Favo 0003 - 500 g/m²</v>
      </c>
      <c r="I564" s="6" t="str">
        <f>"602491"</f>
        <v>602491</v>
      </c>
      <c r="J564" s="6" t="str">
        <f>"AMARELO 2491"</f>
        <v>AMARELO 2491</v>
      </c>
      <c r="K564" s="6" t="str">
        <f t="shared" si="161"/>
        <v>7000</v>
      </c>
      <c r="L564" s="6" t="str">
        <f t="shared" si="162"/>
        <v>Cama</v>
      </c>
      <c r="M564" s="6" t="str">
        <f t="shared" si="163"/>
        <v>Único</v>
      </c>
      <c r="N564" s="6" t="str">
        <f t="shared" si="155"/>
        <v xml:space="preserve"> </v>
      </c>
      <c r="O564" s="8">
        <v>50</v>
      </c>
      <c r="P564" s="7">
        <v>46023</v>
      </c>
      <c r="R564" s="8">
        <v>0</v>
      </c>
      <c r="S564" s="7">
        <v>46029</v>
      </c>
      <c r="U564" s="8">
        <v>0</v>
      </c>
      <c r="V564" s="7">
        <v>46036</v>
      </c>
      <c r="X564" s="8">
        <v>0</v>
      </c>
      <c r="Z564" s="8">
        <v>0</v>
      </c>
      <c r="AA564" s="7">
        <v>46050</v>
      </c>
      <c r="AC564" s="8">
        <v>0</v>
      </c>
      <c r="AE564" s="7">
        <v>46055</v>
      </c>
      <c r="AF564" s="8">
        <v>0</v>
      </c>
      <c r="AH564" s="7">
        <v>46052</v>
      </c>
      <c r="AN564" s="8">
        <v>0</v>
      </c>
      <c r="AO564" s="8">
        <v>50</v>
      </c>
    </row>
    <row r="565" spans="1:41" x14ac:dyDescent="0.25">
      <c r="A565" s="6" t="str">
        <f t="shared" si="156"/>
        <v>521-2025000700</v>
      </c>
      <c r="B565" s="6" t="str">
        <f t="shared" si="157"/>
        <v>TESSITUR</v>
      </c>
      <c r="C565" s="7">
        <v>45958</v>
      </c>
      <c r="D565" s="7">
        <v>46052</v>
      </c>
      <c r="E565" s="8">
        <v>7</v>
      </c>
      <c r="F565" s="6" t="str">
        <f t="shared" si="158"/>
        <v>192 Randi</v>
      </c>
      <c r="G565" s="6" t="str">
        <f t="shared" si="159"/>
        <v>C090000350000002</v>
      </c>
      <c r="H565" s="6" t="str">
        <f t="shared" si="160"/>
        <v>Favo 0003 - 500 g/m²</v>
      </c>
      <c r="I565" s="6" t="str">
        <f>"602421"</f>
        <v>602421</v>
      </c>
      <c r="J565" s="6" t="str">
        <f>"LILAS 2421"</f>
        <v>LILAS 2421</v>
      </c>
      <c r="K565" s="6" t="str">
        <f t="shared" si="161"/>
        <v>7000</v>
      </c>
      <c r="L565" s="6" t="str">
        <f t="shared" si="162"/>
        <v>Cama</v>
      </c>
      <c r="M565" s="6" t="str">
        <f t="shared" si="163"/>
        <v>Único</v>
      </c>
      <c r="N565" s="6" t="str">
        <f t="shared" si="155"/>
        <v xml:space="preserve"> </v>
      </c>
      <c r="O565" s="8">
        <v>20</v>
      </c>
      <c r="P565" s="7">
        <v>46023</v>
      </c>
      <c r="R565" s="8">
        <v>0</v>
      </c>
      <c r="S565" s="7">
        <v>46029</v>
      </c>
      <c r="U565" s="8">
        <v>0</v>
      </c>
      <c r="V565" s="7">
        <v>46036</v>
      </c>
      <c r="X565" s="8">
        <v>0</v>
      </c>
      <c r="Z565" s="8">
        <v>0</v>
      </c>
      <c r="AA565" s="7">
        <v>46050</v>
      </c>
      <c r="AC565" s="8">
        <v>0</v>
      </c>
      <c r="AE565" s="7">
        <v>46055</v>
      </c>
      <c r="AF565" s="8">
        <v>0</v>
      </c>
      <c r="AH565" s="7">
        <v>46052</v>
      </c>
      <c r="AN565" s="8">
        <v>0</v>
      </c>
      <c r="AO565" s="8">
        <v>20</v>
      </c>
    </row>
    <row r="566" spans="1:41" x14ac:dyDescent="0.25">
      <c r="A566" s="6" t="str">
        <f t="shared" si="156"/>
        <v>521-2025000700</v>
      </c>
      <c r="B566" s="6" t="str">
        <f t="shared" si="157"/>
        <v>TESSITUR</v>
      </c>
      <c r="C566" s="7">
        <v>45958</v>
      </c>
      <c r="D566" s="7">
        <v>46052</v>
      </c>
      <c r="E566" s="8">
        <v>8</v>
      </c>
      <c r="F566" s="6" t="str">
        <f t="shared" si="158"/>
        <v>192 Randi</v>
      </c>
      <c r="G566" s="6" t="str">
        <f t="shared" si="159"/>
        <v>C090000350000002</v>
      </c>
      <c r="H566" s="6" t="str">
        <f t="shared" si="160"/>
        <v>Favo 0003 - 500 g/m²</v>
      </c>
      <c r="I566" s="6" t="str">
        <f>"602248"</f>
        <v>602248</v>
      </c>
      <c r="J566" s="6" t="str">
        <f>"AZUL 2248"</f>
        <v>AZUL 2248</v>
      </c>
      <c r="K566" s="6" t="str">
        <f t="shared" si="161"/>
        <v>7000</v>
      </c>
      <c r="L566" s="6" t="str">
        <f t="shared" si="162"/>
        <v>Cama</v>
      </c>
      <c r="M566" s="6" t="str">
        <f t="shared" si="163"/>
        <v>Único</v>
      </c>
      <c r="N566" s="6" t="str">
        <f t="shared" si="155"/>
        <v xml:space="preserve"> </v>
      </c>
      <c r="O566" s="8">
        <v>20</v>
      </c>
      <c r="P566" s="7">
        <v>46023</v>
      </c>
      <c r="R566" s="8">
        <v>0</v>
      </c>
      <c r="S566" s="7">
        <v>46029</v>
      </c>
      <c r="U566" s="8">
        <v>0</v>
      </c>
      <c r="V566" s="7">
        <v>46036</v>
      </c>
      <c r="X566" s="8">
        <v>0</v>
      </c>
      <c r="Z566" s="8">
        <v>0</v>
      </c>
      <c r="AA566" s="7">
        <v>46050</v>
      </c>
      <c r="AC566" s="8">
        <v>0</v>
      </c>
      <c r="AE566" s="7">
        <v>46055</v>
      </c>
      <c r="AF566" s="8">
        <v>0</v>
      </c>
      <c r="AH566" s="7">
        <v>46052</v>
      </c>
      <c r="AN566" s="8">
        <v>0</v>
      </c>
      <c r="AO566" s="8">
        <v>20</v>
      </c>
    </row>
    <row r="567" spans="1:41" x14ac:dyDescent="0.25">
      <c r="A567" s="6" t="str">
        <f>"521-2025000702"</f>
        <v>521-2025000702</v>
      </c>
      <c r="B567" s="6" t="str">
        <f>"FRANCOIS"</f>
        <v>FRANCOIS</v>
      </c>
      <c r="C567" s="7">
        <v>45960</v>
      </c>
      <c r="D567" s="7">
        <v>46038</v>
      </c>
      <c r="E567" s="8">
        <v>1</v>
      </c>
      <c r="F567" s="6" t="str">
        <f>"543483"</f>
        <v>543483</v>
      </c>
      <c r="G567" s="6" t="str">
        <f>"J300364344000000"</f>
        <v>J300364344000000</v>
      </c>
      <c r="H567" s="6" t="str">
        <f>"Conj. PLR 3643 + PLR"</f>
        <v>Conj. PLR 3643 + PLR</v>
      </c>
      <c r="I567" s="6" t="str">
        <f>"300001"</f>
        <v>300001</v>
      </c>
      <c r="J567" s="6" t="str">
        <f>"SORTIDAS 1"</f>
        <v>SORTIDAS 1</v>
      </c>
      <c r="K567" s="6" t="str">
        <f>"4014"</f>
        <v>4014</v>
      </c>
      <c r="L567" s="6" t="str">
        <f>"Conjunto/Jogos"</f>
        <v>Conjunto/Jogos</v>
      </c>
      <c r="M567" s="6" t="str">
        <f>"(2 Pcs)"</f>
        <v>(2 Pcs)</v>
      </c>
      <c r="N567" s="6" t="str">
        <f t="shared" si="155"/>
        <v xml:space="preserve"> </v>
      </c>
      <c r="O567" s="8">
        <v>1200</v>
      </c>
      <c r="P567" s="7">
        <v>46010</v>
      </c>
      <c r="R567" s="8">
        <v>2660</v>
      </c>
      <c r="S567" s="7">
        <v>46020</v>
      </c>
      <c r="U567" s="8">
        <v>2660</v>
      </c>
      <c r="V567" s="7">
        <v>46028</v>
      </c>
      <c r="X567" s="8">
        <v>0</v>
      </c>
      <c r="Z567" s="8">
        <v>2660</v>
      </c>
      <c r="AA567" s="7">
        <v>46038</v>
      </c>
      <c r="AC567" s="8">
        <v>1000</v>
      </c>
      <c r="AE567" s="7">
        <v>46042</v>
      </c>
      <c r="AF567" s="8">
        <v>1000</v>
      </c>
      <c r="AH567" s="7">
        <v>46038</v>
      </c>
      <c r="AN567" s="8">
        <v>300</v>
      </c>
      <c r="AO567" s="8">
        <v>900</v>
      </c>
    </row>
    <row r="568" spans="1:41" x14ac:dyDescent="0.25">
      <c r="A568" s="6" t="str">
        <f>"521-2025000703"</f>
        <v>521-2025000703</v>
      </c>
      <c r="B568" s="6" t="str">
        <f>"FRANCOIS"</f>
        <v>FRANCOIS</v>
      </c>
      <c r="C568" s="7">
        <v>45960</v>
      </c>
      <c r="D568" s="7">
        <v>46059</v>
      </c>
      <c r="E568" s="8">
        <v>1</v>
      </c>
      <c r="F568" s="6" t="str">
        <f>"543481"</f>
        <v>543481</v>
      </c>
      <c r="G568" s="6" t="str">
        <f>"J320101144000000"</f>
        <v>J320101144000000</v>
      </c>
      <c r="H568" s="6" t="str">
        <f>"Conj. PL 1011 + PL 1"</f>
        <v>Conj. PL 1011 + PL 1</v>
      </c>
      <c r="I568" s="6" t="str">
        <f>"300001"</f>
        <v>300001</v>
      </c>
      <c r="J568" s="6" t="str">
        <f>"SORTIDAS 1"</f>
        <v>SORTIDAS 1</v>
      </c>
      <c r="K568" s="6" t="str">
        <f>"4014"</f>
        <v>4014</v>
      </c>
      <c r="L568" s="6" t="str">
        <f>"Conjunto/Jogos"</f>
        <v>Conjunto/Jogos</v>
      </c>
      <c r="M568" s="6" t="str">
        <f>"(2 Pcs)"</f>
        <v>(2 Pcs)</v>
      </c>
      <c r="N568" s="6" t="str">
        <f t="shared" si="155"/>
        <v xml:space="preserve"> </v>
      </c>
      <c r="O568" s="8">
        <v>1200</v>
      </c>
      <c r="P568" s="7">
        <v>46037</v>
      </c>
      <c r="R568" s="8">
        <v>2640</v>
      </c>
      <c r="S568" s="7">
        <v>46042</v>
      </c>
      <c r="U568" s="8">
        <v>2640</v>
      </c>
      <c r="V568" s="7">
        <v>46045</v>
      </c>
      <c r="X568" s="8">
        <v>0</v>
      </c>
      <c r="Z568" s="8">
        <v>0</v>
      </c>
      <c r="AA568" s="7">
        <v>46057</v>
      </c>
      <c r="AC568" s="8">
        <v>0</v>
      </c>
      <c r="AE568" s="7">
        <v>46059</v>
      </c>
      <c r="AF568" s="8">
        <v>0</v>
      </c>
      <c r="AH568" s="7">
        <v>46059</v>
      </c>
      <c r="AN568" s="8">
        <v>0</v>
      </c>
      <c r="AO568" s="8">
        <v>1200</v>
      </c>
    </row>
    <row r="569" spans="1:41" x14ac:dyDescent="0.25">
      <c r="A569" s="6" t="str">
        <f>"521-2025000704"</f>
        <v>521-2025000704</v>
      </c>
      <c r="B569" s="6" t="str">
        <f>"FRANCOIS"</f>
        <v>FRANCOIS</v>
      </c>
      <c r="C569" s="7">
        <v>45960</v>
      </c>
      <c r="D569" s="7">
        <v>46080</v>
      </c>
      <c r="E569" s="8">
        <v>1</v>
      </c>
      <c r="F569" s="6" t="str">
        <f>"543482"</f>
        <v>543482</v>
      </c>
      <c r="G569" s="6" t="str">
        <f>"J300371444000000"</f>
        <v>J300371444000000</v>
      </c>
      <c r="H569" s="6" t="str">
        <f>"Conj. PLR 3714+PLR 3"</f>
        <v>Conj. PLR 3714+PLR 3</v>
      </c>
      <c r="I569" s="6" t="str">
        <f>"204705"</f>
        <v>204705</v>
      </c>
      <c r="J569" s="6" t="str">
        <f>"BEGE 4705"</f>
        <v>BEGE 4705</v>
      </c>
      <c r="K569" s="6" t="str">
        <f>"4014"</f>
        <v>4014</v>
      </c>
      <c r="L569" s="6" t="str">
        <f>"Conjunto/Jogos"</f>
        <v>Conjunto/Jogos</v>
      </c>
      <c r="M569" s="6" t="str">
        <f>"(2 Pcs)"</f>
        <v>(2 Pcs)</v>
      </c>
      <c r="N569" s="6" t="str">
        <f t="shared" si="155"/>
        <v xml:space="preserve"> </v>
      </c>
      <c r="O569" s="8">
        <v>1500</v>
      </c>
      <c r="P569" s="7">
        <v>46056</v>
      </c>
      <c r="R569" s="8">
        <v>3372</v>
      </c>
      <c r="S569" s="7">
        <v>46059</v>
      </c>
      <c r="U569" s="8">
        <v>0</v>
      </c>
      <c r="V569" s="7">
        <v>46064</v>
      </c>
      <c r="X569" s="8">
        <v>0</v>
      </c>
      <c r="Z569" s="8">
        <v>0</v>
      </c>
      <c r="AA569" s="7">
        <v>46078</v>
      </c>
      <c r="AC569" s="8">
        <v>0</v>
      </c>
      <c r="AE569" s="7">
        <v>46080</v>
      </c>
      <c r="AF569" s="8">
        <v>0</v>
      </c>
      <c r="AH569" s="7">
        <v>46080</v>
      </c>
      <c r="AN569" s="8">
        <v>0</v>
      </c>
      <c r="AO569" s="8">
        <v>1500</v>
      </c>
    </row>
    <row r="570" spans="1:41" x14ac:dyDescent="0.25">
      <c r="A570" s="6" t="str">
        <f>"521-2025000705"</f>
        <v>521-2025000705</v>
      </c>
      <c r="B570" s="6" t="str">
        <f>"FRANCOIS"</f>
        <v>FRANCOIS</v>
      </c>
      <c r="C570" s="7">
        <v>45960</v>
      </c>
      <c r="D570" s="7">
        <v>46108</v>
      </c>
      <c r="E570" s="8">
        <v>1</v>
      </c>
      <c r="F570" s="6" t="str">
        <f>"543484"</f>
        <v>543484</v>
      </c>
      <c r="G570" s="6" t="str">
        <f>"F300368440000000"</f>
        <v>F300368440000000</v>
      </c>
      <c r="H570" s="6" t="str">
        <f>"PLR 3684 - 400 g/m²"</f>
        <v>PLR 3684 - 400 g/m²</v>
      </c>
      <c r="I570" s="6" t="str">
        <f>"201240"</f>
        <v>201240</v>
      </c>
      <c r="J570" s="6" t="str">
        <f>"BEGE 1240"</f>
        <v>BEGE 1240</v>
      </c>
      <c r="K570" s="6" t="str">
        <f>"1020"</f>
        <v>1020</v>
      </c>
      <c r="L570" s="6" t="str">
        <f>"Toalhas"</f>
        <v>Toalhas</v>
      </c>
      <c r="M570" s="6" t="str">
        <f>"50x90"</f>
        <v>50x90</v>
      </c>
      <c r="N570" s="6" t="str">
        <f t="shared" si="155"/>
        <v xml:space="preserve"> </v>
      </c>
      <c r="O570" s="8">
        <v>1200</v>
      </c>
      <c r="P570" s="7">
        <v>46086</v>
      </c>
      <c r="R570" s="8">
        <v>0</v>
      </c>
      <c r="S570" s="7">
        <v>46091</v>
      </c>
      <c r="U570" s="8">
        <v>0</v>
      </c>
      <c r="V570" s="7">
        <v>46094</v>
      </c>
      <c r="X570" s="8">
        <v>0</v>
      </c>
      <c r="Z570" s="8">
        <v>0</v>
      </c>
      <c r="AA570" s="7">
        <v>46106</v>
      </c>
      <c r="AC570" s="8">
        <v>0</v>
      </c>
      <c r="AE570" s="7">
        <v>46108</v>
      </c>
      <c r="AF570" s="8">
        <v>0</v>
      </c>
      <c r="AH570" s="7">
        <v>46108</v>
      </c>
      <c r="AN570" s="8">
        <v>0</v>
      </c>
      <c r="AO570" s="8">
        <v>1200</v>
      </c>
    </row>
    <row r="571" spans="1:41" x14ac:dyDescent="0.25">
      <c r="A571" s="6" t="str">
        <f>"521-2025000705"</f>
        <v>521-2025000705</v>
      </c>
      <c r="B571" s="6" t="str">
        <f>"FRANCOIS"</f>
        <v>FRANCOIS</v>
      </c>
      <c r="C571" s="7">
        <v>45960</v>
      </c>
      <c r="D571" s="7">
        <v>46108</v>
      </c>
      <c r="E571" s="8">
        <v>2</v>
      </c>
      <c r="F571" s="6" t="str">
        <f>"543484"</f>
        <v>543484</v>
      </c>
      <c r="G571" s="6" t="str">
        <f>"F300368440000000"</f>
        <v>F300368440000000</v>
      </c>
      <c r="H571" s="6" t="str">
        <f>"PLR 3684 - 400 g/m²"</f>
        <v>PLR 3684 - 400 g/m²</v>
      </c>
      <c r="I571" s="6" t="str">
        <f>"201240"</f>
        <v>201240</v>
      </c>
      <c r="J571" s="6" t="str">
        <f>"BEGE 1240"</f>
        <v>BEGE 1240</v>
      </c>
      <c r="K571" s="6" t="str">
        <f>"1532"</f>
        <v>1532</v>
      </c>
      <c r="L571" s="6" t="str">
        <f>"Toalhões"</f>
        <v>Toalhões</v>
      </c>
      <c r="M571" s="6" t="str">
        <f>"70x130"</f>
        <v>70x130</v>
      </c>
      <c r="N571" s="6" t="str">
        <f t="shared" si="155"/>
        <v xml:space="preserve"> </v>
      </c>
      <c r="O571" s="8">
        <v>756</v>
      </c>
      <c r="P571" s="7">
        <v>46086</v>
      </c>
      <c r="R571" s="8">
        <v>0</v>
      </c>
      <c r="S571" s="7">
        <v>46091</v>
      </c>
      <c r="U571" s="8">
        <v>0</v>
      </c>
      <c r="V571" s="7">
        <v>46094</v>
      </c>
      <c r="X571" s="8">
        <v>0</v>
      </c>
      <c r="Z571" s="8">
        <v>0</v>
      </c>
      <c r="AA571" s="7">
        <v>46106</v>
      </c>
      <c r="AC571" s="8">
        <v>0</v>
      </c>
      <c r="AE571" s="7">
        <v>46108</v>
      </c>
      <c r="AF571" s="8">
        <v>0</v>
      </c>
      <c r="AH571" s="7">
        <v>46108</v>
      </c>
      <c r="AN571" s="8">
        <v>0</v>
      </c>
      <c r="AO571" s="8">
        <v>756</v>
      </c>
    </row>
    <row r="572" spans="1:41" x14ac:dyDescent="0.25">
      <c r="A572" s="6" t="str">
        <f t="shared" ref="A572:A581" si="164">"521-2025000707"</f>
        <v>521-2025000707</v>
      </c>
      <c r="B572" s="6" t="str">
        <f t="shared" ref="B572:B581" si="165">"EMMA OCH"</f>
        <v>EMMA OCH</v>
      </c>
      <c r="C572" s="7">
        <v>45961</v>
      </c>
      <c r="D572" s="7">
        <v>46038</v>
      </c>
      <c r="E572" s="8">
        <v>7</v>
      </c>
      <c r="F572" s="6" t="str">
        <f t="shared" ref="F572:F581" si="166">"PO 491/9"</f>
        <v>PO 491/9</v>
      </c>
      <c r="G572" s="6" t="str">
        <f>"F600181545000000"</f>
        <v>F600181545000000</v>
      </c>
      <c r="H572" s="6" t="str">
        <f>"1815 c/ Franja com N"</f>
        <v>1815 c/ Franja com N</v>
      </c>
      <c r="I572" s="6" t="str">
        <f>"202531"</f>
        <v>202531</v>
      </c>
      <c r="J572" s="6" t="str">
        <f>"AZUL 2531"</f>
        <v>AZUL 2531</v>
      </c>
      <c r="K572" s="6" t="str">
        <f>"2067"</f>
        <v>2067</v>
      </c>
      <c r="L572" s="6" t="str">
        <f>"Lençóis"</f>
        <v>Lençóis</v>
      </c>
      <c r="M572" s="6" t="str">
        <f>"100x180+20"</f>
        <v>100x180+20</v>
      </c>
      <c r="N572" s="6" t="str">
        <f t="shared" si="155"/>
        <v xml:space="preserve"> </v>
      </c>
      <c r="O572" s="8">
        <v>200</v>
      </c>
      <c r="P572" s="7">
        <v>46010</v>
      </c>
      <c r="R572" s="8">
        <v>216</v>
      </c>
      <c r="S572" s="7">
        <v>46020</v>
      </c>
      <c r="U572" s="8">
        <v>216</v>
      </c>
      <c r="V572" s="7">
        <v>46028</v>
      </c>
      <c r="X572" s="8">
        <v>0</v>
      </c>
      <c r="Z572" s="8">
        <v>216</v>
      </c>
      <c r="AA572" s="7">
        <v>46038</v>
      </c>
      <c r="AC572" s="8">
        <v>0</v>
      </c>
      <c r="AE572" s="7">
        <v>46042</v>
      </c>
      <c r="AF572" s="8">
        <v>0</v>
      </c>
      <c r="AH572" s="7">
        <v>46045</v>
      </c>
      <c r="AN572" s="8">
        <v>0</v>
      </c>
      <c r="AO572" s="8">
        <v>200</v>
      </c>
    </row>
    <row r="573" spans="1:41" x14ac:dyDescent="0.25">
      <c r="A573" s="6" t="str">
        <f t="shared" si="164"/>
        <v>521-2025000707</v>
      </c>
      <c r="B573" s="6" t="str">
        <f t="shared" si="165"/>
        <v>EMMA OCH</v>
      </c>
      <c r="C573" s="7">
        <v>45961</v>
      </c>
      <c r="D573" s="7">
        <v>46038</v>
      </c>
      <c r="E573" s="8">
        <v>8</v>
      </c>
      <c r="F573" s="6" t="str">
        <f t="shared" si="166"/>
        <v>PO 491/9</v>
      </c>
      <c r="G573" s="6" t="str">
        <f>"F600181545000000"</f>
        <v>F600181545000000</v>
      </c>
      <c r="H573" s="6" t="str">
        <f>"1815 c/ Franja com N"</f>
        <v>1815 c/ Franja com N</v>
      </c>
      <c r="I573" s="6" t="str">
        <f>"202162"</f>
        <v>202162</v>
      </c>
      <c r="J573" s="6" t="str">
        <f>"MARINHO 2162"</f>
        <v>MARINHO 2162</v>
      </c>
      <c r="K573" s="6" t="str">
        <f>"2067"</f>
        <v>2067</v>
      </c>
      <c r="L573" s="6" t="str">
        <f>"Lençóis"</f>
        <v>Lençóis</v>
      </c>
      <c r="M573" s="6" t="str">
        <f>"100x180+20"</f>
        <v>100x180+20</v>
      </c>
      <c r="N573" s="6" t="str">
        <f t="shared" si="155"/>
        <v xml:space="preserve"> </v>
      </c>
      <c r="O573" s="8">
        <v>200</v>
      </c>
      <c r="P573" s="7">
        <v>46010</v>
      </c>
      <c r="R573" s="8">
        <v>228</v>
      </c>
      <c r="S573" s="7">
        <v>46020</v>
      </c>
      <c r="U573" s="8">
        <v>228</v>
      </c>
      <c r="V573" s="7">
        <v>46028</v>
      </c>
      <c r="X573" s="8">
        <v>0</v>
      </c>
      <c r="Z573" s="8">
        <v>228</v>
      </c>
      <c r="AA573" s="7">
        <v>46038</v>
      </c>
      <c r="AC573" s="8">
        <v>0</v>
      </c>
      <c r="AE573" s="7">
        <v>46042</v>
      </c>
      <c r="AF573" s="8">
        <v>0</v>
      </c>
      <c r="AH573" s="7">
        <v>46045</v>
      </c>
      <c r="AN573" s="8">
        <v>0</v>
      </c>
      <c r="AO573" s="8">
        <v>200</v>
      </c>
    </row>
    <row r="574" spans="1:41" x14ac:dyDescent="0.25">
      <c r="A574" s="6" t="str">
        <f t="shared" si="164"/>
        <v>521-2025000707</v>
      </c>
      <c r="B574" s="6" t="str">
        <f t="shared" si="165"/>
        <v>EMMA OCH</v>
      </c>
      <c r="C574" s="7">
        <v>45961</v>
      </c>
      <c r="D574" s="7">
        <v>46038</v>
      </c>
      <c r="E574" s="8">
        <v>9</v>
      </c>
      <c r="F574" s="6" t="str">
        <f t="shared" si="166"/>
        <v>PO 491/9</v>
      </c>
      <c r="G574" s="6" t="str">
        <f>"R600290640000000"</f>
        <v>R600290640000000</v>
      </c>
      <c r="H574" s="6" t="str">
        <f>"R 2906 - 1815 (m) -"</f>
        <v>R 2906 - 1815 (m) -</v>
      </c>
      <c r="I574" s="6" t="str">
        <f>"202531"</f>
        <v>202531</v>
      </c>
      <c r="J574" s="6" t="str">
        <f>"AZUL 2531"</f>
        <v>AZUL 2531</v>
      </c>
      <c r="K574" s="6" t="str">
        <f>"5015"</f>
        <v>5015</v>
      </c>
      <c r="L574" s="6" t="str">
        <f t="shared" ref="L574:L579" si="167">"Roupões Adulto"</f>
        <v>Roupões Adulto</v>
      </c>
      <c r="M574" s="6" t="str">
        <f>"XS/S"</f>
        <v>XS/S</v>
      </c>
      <c r="N574" s="6" t="str">
        <f t="shared" si="155"/>
        <v xml:space="preserve"> </v>
      </c>
      <c r="O574" s="8">
        <v>150</v>
      </c>
      <c r="P574" s="7">
        <v>46010</v>
      </c>
      <c r="R574" s="8">
        <v>561</v>
      </c>
      <c r="S574" s="7">
        <v>46020</v>
      </c>
      <c r="U574" s="8">
        <v>639</v>
      </c>
      <c r="V574" s="7">
        <v>46028</v>
      </c>
      <c r="X574" s="8">
        <v>639</v>
      </c>
      <c r="Z574" s="8">
        <v>0</v>
      </c>
      <c r="AA574" s="7">
        <v>46038</v>
      </c>
      <c r="AC574" s="8">
        <v>0</v>
      </c>
      <c r="AE574" s="7">
        <v>46042</v>
      </c>
      <c r="AF574" s="8">
        <v>0</v>
      </c>
      <c r="AH574" s="7">
        <v>46045</v>
      </c>
      <c r="AN574" s="8">
        <v>0</v>
      </c>
      <c r="AO574" s="8">
        <v>150</v>
      </c>
    </row>
    <row r="575" spans="1:41" x14ac:dyDescent="0.25">
      <c r="A575" s="6" t="str">
        <f t="shared" si="164"/>
        <v>521-2025000707</v>
      </c>
      <c r="B575" s="6" t="str">
        <f t="shared" si="165"/>
        <v>EMMA OCH</v>
      </c>
      <c r="C575" s="7">
        <v>45961</v>
      </c>
      <c r="D575" s="7">
        <v>46038</v>
      </c>
      <c r="E575" s="8">
        <v>10</v>
      </c>
      <c r="F575" s="6" t="str">
        <f t="shared" si="166"/>
        <v>PO 491/9</v>
      </c>
      <c r="G575" s="6" t="str">
        <f>"R600290640000000"</f>
        <v>R600290640000000</v>
      </c>
      <c r="H575" s="6" t="str">
        <f>"R 2906 - 1815 (m) -"</f>
        <v>R 2906 - 1815 (m) -</v>
      </c>
      <c r="I575" s="6" t="str">
        <f>"202531"</f>
        <v>202531</v>
      </c>
      <c r="J575" s="6" t="str">
        <f>"AZUL 2531"</f>
        <v>AZUL 2531</v>
      </c>
      <c r="K575" s="6" t="str">
        <f>"5017"</f>
        <v>5017</v>
      </c>
      <c r="L575" s="6" t="str">
        <f t="shared" si="167"/>
        <v>Roupões Adulto</v>
      </c>
      <c r="M575" s="6" t="str">
        <f>"M/L"</f>
        <v>M/L</v>
      </c>
      <c r="N575" s="6" t="str">
        <f t="shared" si="155"/>
        <v xml:space="preserve"> </v>
      </c>
      <c r="O575" s="8">
        <v>150</v>
      </c>
      <c r="P575" s="7">
        <v>46010</v>
      </c>
      <c r="R575" s="8">
        <v>0</v>
      </c>
      <c r="S575" s="7">
        <v>46020</v>
      </c>
      <c r="U575" s="8">
        <v>0</v>
      </c>
      <c r="V575" s="7">
        <v>46028</v>
      </c>
      <c r="X575" s="8">
        <v>0</v>
      </c>
      <c r="Z575" s="8">
        <v>0</v>
      </c>
      <c r="AA575" s="7">
        <v>46038</v>
      </c>
      <c r="AC575" s="8">
        <v>0</v>
      </c>
      <c r="AE575" s="7">
        <v>46042</v>
      </c>
      <c r="AF575" s="8">
        <v>0</v>
      </c>
      <c r="AH575" s="7">
        <v>46045</v>
      </c>
      <c r="AN575" s="8">
        <v>0</v>
      </c>
      <c r="AO575" s="8">
        <v>150</v>
      </c>
    </row>
    <row r="576" spans="1:41" x14ac:dyDescent="0.25">
      <c r="A576" s="6" t="str">
        <f t="shared" si="164"/>
        <v>521-2025000707</v>
      </c>
      <c r="B576" s="6" t="str">
        <f t="shared" si="165"/>
        <v>EMMA OCH</v>
      </c>
      <c r="C576" s="7">
        <v>45961</v>
      </c>
      <c r="D576" s="7">
        <v>46038</v>
      </c>
      <c r="E576" s="8">
        <v>13</v>
      </c>
      <c r="F576" s="6" t="str">
        <f t="shared" si="166"/>
        <v>PO 491/9</v>
      </c>
      <c r="G576" s="6" t="str">
        <f>"R600290640000000"</f>
        <v>R600290640000000</v>
      </c>
      <c r="H576" s="6" t="str">
        <f>"R 2906 - 1815 (m) -"</f>
        <v>R 2906 - 1815 (m) -</v>
      </c>
      <c r="I576" s="6" t="str">
        <f>"202162"</f>
        <v>202162</v>
      </c>
      <c r="J576" s="6" t="str">
        <f>"MARINHO 2162"</f>
        <v>MARINHO 2162</v>
      </c>
      <c r="K576" s="6" t="str">
        <f>"5015"</f>
        <v>5015</v>
      </c>
      <c r="L576" s="6" t="str">
        <f t="shared" si="167"/>
        <v>Roupões Adulto</v>
      </c>
      <c r="M576" s="6" t="str">
        <f>"XS/S"</f>
        <v>XS/S</v>
      </c>
      <c r="N576" s="6" t="str">
        <f t="shared" si="155"/>
        <v xml:space="preserve"> </v>
      </c>
      <c r="O576" s="8">
        <v>150</v>
      </c>
      <c r="P576" s="7">
        <v>46010</v>
      </c>
      <c r="R576" s="8">
        <v>1508</v>
      </c>
      <c r="S576" s="7">
        <v>46020</v>
      </c>
      <c r="U576" s="8">
        <v>1079</v>
      </c>
      <c r="V576" s="7">
        <v>46028</v>
      </c>
      <c r="X576" s="8">
        <v>1079</v>
      </c>
      <c r="Z576" s="8">
        <v>0</v>
      </c>
      <c r="AA576" s="7">
        <v>46038</v>
      </c>
      <c r="AC576" s="8">
        <v>0</v>
      </c>
      <c r="AE576" s="7">
        <v>46042</v>
      </c>
      <c r="AF576" s="8">
        <v>0</v>
      </c>
      <c r="AH576" s="7">
        <v>46045</v>
      </c>
      <c r="AN576" s="8">
        <v>0</v>
      </c>
      <c r="AO576" s="8">
        <v>150</v>
      </c>
    </row>
    <row r="577" spans="1:41" x14ac:dyDescent="0.25">
      <c r="A577" s="6" t="str">
        <f t="shared" si="164"/>
        <v>521-2025000707</v>
      </c>
      <c r="B577" s="6" t="str">
        <f t="shared" si="165"/>
        <v>EMMA OCH</v>
      </c>
      <c r="C577" s="7">
        <v>45961</v>
      </c>
      <c r="D577" s="7">
        <v>46038</v>
      </c>
      <c r="E577" s="8">
        <v>14</v>
      </c>
      <c r="F577" s="6" t="str">
        <f t="shared" si="166"/>
        <v>PO 491/9</v>
      </c>
      <c r="G577" s="6" t="str">
        <f>"R600290640000000"</f>
        <v>R600290640000000</v>
      </c>
      <c r="H577" s="6" t="str">
        <f>"R 2906 - 1815 (m) -"</f>
        <v>R 2906 - 1815 (m) -</v>
      </c>
      <c r="I577" s="6" t="str">
        <f>"202162"</f>
        <v>202162</v>
      </c>
      <c r="J577" s="6" t="str">
        <f>"MARINHO 2162"</f>
        <v>MARINHO 2162</v>
      </c>
      <c r="K577" s="6" t="str">
        <f>"5017"</f>
        <v>5017</v>
      </c>
      <c r="L577" s="6" t="str">
        <f t="shared" si="167"/>
        <v>Roupões Adulto</v>
      </c>
      <c r="M577" s="6" t="str">
        <f>"M/L"</f>
        <v>M/L</v>
      </c>
      <c r="N577" s="6" t="str">
        <f t="shared" si="155"/>
        <v xml:space="preserve"> </v>
      </c>
      <c r="O577" s="8">
        <v>150</v>
      </c>
      <c r="P577" s="7">
        <v>46010</v>
      </c>
      <c r="R577" s="8">
        <v>0</v>
      </c>
      <c r="S577" s="7">
        <v>46020</v>
      </c>
      <c r="U577" s="8">
        <v>0</v>
      </c>
      <c r="V577" s="7">
        <v>46028</v>
      </c>
      <c r="X577" s="8">
        <v>0</v>
      </c>
      <c r="Z577" s="8">
        <v>0</v>
      </c>
      <c r="AA577" s="7">
        <v>46038</v>
      </c>
      <c r="AC577" s="8">
        <v>0</v>
      </c>
      <c r="AE577" s="7">
        <v>46042</v>
      </c>
      <c r="AF577" s="8">
        <v>0</v>
      </c>
      <c r="AH577" s="7">
        <v>46045</v>
      </c>
      <c r="AN577" s="8">
        <v>0</v>
      </c>
      <c r="AO577" s="8">
        <v>150</v>
      </c>
    </row>
    <row r="578" spans="1:41" x14ac:dyDescent="0.25">
      <c r="A578" s="6" t="str">
        <f t="shared" si="164"/>
        <v>521-2025000707</v>
      </c>
      <c r="B578" s="6" t="str">
        <f t="shared" si="165"/>
        <v>EMMA OCH</v>
      </c>
      <c r="C578" s="7">
        <v>45961</v>
      </c>
      <c r="D578" s="7">
        <v>46038</v>
      </c>
      <c r="E578" s="8">
        <v>15</v>
      </c>
      <c r="F578" s="6" t="str">
        <f t="shared" si="166"/>
        <v>PO 491/9</v>
      </c>
      <c r="G578" s="6" t="str">
        <f>"R600343440000000"</f>
        <v>R600343440000000</v>
      </c>
      <c r="H578" s="6" t="str">
        <f>"R 3434 - 1815 (m) -"</f>
        <v>R 3434 - 1815 (m) -</v>
      </c>
      <c r="I578" s="6" t="str">
        <f>"202162"</f>
        <v>202162</v>
      </c>
      <c r="J578" s="6" t="str">
        <f>"MARINHO 2162"</f>
        <v>MARINHO 2162</v>
      </c>
      <c r="K578" s="6" t="str">
        <f>"5016"</f>
        <v>5016</v>
      </c>
      <c r="L578" s="6" t="str">
        <f t="shared" si="167"/>
        <v>Roupões Adulto</v>
      </c>
      <c r="M578" s="6" t="str">
        <f>"S/M"</f>
        <v>S/M</v>
      </c>
      <c r="N578" s="6" t="str">
        <f t="shared" si="155"/>
        <v xml:space="preserve"> </v>
      </c>
      <c r="O578" s="8">
        <v>100</v>
      </c>
      <c r="P578" s="7">
        <v>46010</v>
      </c>
      <c r="R578" s="8">
        <v>0</v>
      </c>
      <c r="S578" s="7">
        <v>46020</v>
      </c>
      <c r="U578" s="8">
        <v>0</v>
      </c>
      <c r="V578" s="7">
        <v>46028</v>
      </c>
      <c r="X578" s="8">
        <v>0</v>
      </c>
      <c r="Z578" s="8">
        <v>0</v>
      </c>
      <c r="AA578" s="7">
        <v>46038</v>
      </c>
      <c r="AC578" s="8">
        <v>0</v>
      </c>
      <c r="AE578" s="7">
        <v>46042</v>
      </c>
      <c r="AF578" s="8">
        <v>0</v>
      </c>
      <c r="AH578" s="7">
        <v>46045</v>
      </c>
      <c r="AN578" s="8">
        <v>0</v>
      </c>
      <c r="AO578" s="8">
        <v>100</v>
      </c>
    </row>
    <row r="579" spans="1:41" x14ac:dyDescent="0.25">
      <c r="A579" s="6" t="str">
        <f t="shared" si="164"/>
        <v>521-2025000707</v>
      </c>
      <c r="B579" s="6" t="str">
        <f t="shared" si="165"/>
        <v>EMMA OCH</v>
      </c>
      <c r="C579" s="7">
        <v>45961</v>
      </c>
      <c r="D579" s="7">
        <v>46038</v>
      </c>
      <c r="E579" s="8">
        <v>16</v>
      </c>
      <c r="F579" s="6" t="str">
        <f t="shared" si="166"/>
        <v>PO 491/9</v>
      </c>
      <c r="G579" s="6" t="str">
        <f>"R600343440000000"</f>
        <v>R600343440000000</v>
      </c>
      <c r="H579" s="6" t="str">
        <f>"R 3434 - 1815 (m) -"</f>
        <v>R 3434 - 1815 (m) -</v>
      </c>
      <c r="I579" s="6" t="str">
        <f>"202162"</f>
        <v>202162</v>
      </c>
      <c r="J579" s="6" t="str">
        <f>"MARINHO 2162"</f>
        <v>MARINHO 2162</v>
      </c>
      <c r="K579" s="6" t="str">
        <f>"5018"</f>
        <v>5018</v>
      </c>
      <c r="L579" s="6" t="str">
        <f t="shared" si="167"/>
        <v>Roupões Adulto</v>
      </c>
      <c r="M579" s="6" t="str">
        <f>"L/XL"</f>
        <v>L/XL</v>
      </c>
      <c r="N579" s="6" t="str">
        <f t="shared" si="155"/>
        <v xml:space="preserve"> </v>
      </c>
      <c r="O579" s="8">
        <v>100</v>
      </c>
      <c r="P579" s="7">
        <v>46010</v>
      </c>
      <c r="R579" s="8">
        <v>0</v>
      </c>
      <c r="S579" s="7">
        <v>46020</v>
      </c>
      <c r="U579" s="8">
        <v>0</v>
      </c>
      <c r="V579" s="7">
        <v>46028</v>
      </c>
      <c r="X579" s="8">
        <v>0</v>
      </c>
      <c r="Z579" s="8">
        <v>0</v>
      </c>
      <c r="AA579" s="7">
        <v>46038</v>
      </c>
      <c r="AC579" s="8">
        <v>0</v>
      </c>
      <c r="AE579" s="7">
        <v>46042</v>
      </c>
      <c r="AF579" s="8">
        <v>0</v>
      </c>
      <c r="AH579" s="7">
        <v>46045</v>
      </c>
      <c r="AN579" s="8">
        <v>0</v>
      </c>
      <c r="AO579" s="8">
        <v>100</v>
      </c>
    </row>
    <row r="580" spans="1:41" x14ac:dyDescent="0.25">
      <c r="A580" s="6" t="str">
        <f t="shared" si="164"/>
        <v>521-2025000707</v>
      </c>
      <c r="B580" s="6" t="str">
        <f t="shared" si="165"/>
        <v>EMMA OCH</v>
      </c>
      <c r="C580" s="7">
        <v>45961</v>
      </c>
      <c r="D580" s="7">
        <v>46038</v>
      </c>
      <c r="E580" s="8">
        <v>17</v>
      </c>
      <c r="F580" s="6" t="str">
        <f t="shared" si="166"/>
        <v>PO 491/9</v>
      </c>
      <c r="G580" s="6" t="str">
        <f>"K600198340000000"</f>
        <v>K600198340000000</v>
      </c>
      <c r="H580" s="6" t="str">
        <f>"KB 1983 - 1815 (m) -"</f>
        <v>KB 1983 - 1815 (m) -</v>
      </c>
      <c r="I580" s="6" t="str">
        <f>"202531"</f>
        <v>202531</v>
      </c>
      <c r="J580" s="6" t="str">
        <f>"AZUL 2531"</f>
        <v>AZUL 2531</v>
      </c>
      <c r="K580" s="6" t="str">
        <f>"5800"</f>
        <v>5800</v>
      </c>
      <c r="L580" s="6" t="str">
        <f>"Poncho"</f>
        <v>Poncho</v>
      </c>
      <c r="M580" s="6" t="str">
        <f>"Único"</f>
        <v>Único</v>
      </c>
      <c r="N580" s="6" t="str">
        <f t="shared" si="155"/>
        <v xml:space="preserve"> </v>
      </c>
      <c r="O580" s="8">
        <v>100</v>
      </c>
      <c r="P580" s="7">
        <v>46010</v>
      </c>
      <c r="R580" s="8">
        <v>0</v>
      </c>
      <c r="S580" s="7">
        <v>46020</v>
      </c>
      <c r="U580" s="8">
        <v>0</v>
      </c>
      <c r="V580" s="7">
        <v>46028</v>
      </c>
      <c r="X580" s="8">
        <v>0</v>
      </c>
      <c r="Z580" s="8">
        <v>0</v>
      </c>
      <c r="AA580" s="7">
        <v>46038</v>
      </c>
      <c r="AC580" s="8">
        <v>0</v>
      </c>
      <c r="AE580" s="7">
        <v>46042</v>
      </c>
      <c r="AF580" s="8">
        <v>0</v>
      </c>
      <c r="AH580" s="7">
        <v>46045</v>
      </c>
      <c r="AN580" s="8">
        <v>0</v>
      </c>
      <c r="AO580" s="8">
        <v>100</v>
      </c>
    </row>
    <row r="581" spans="1:41" x14ac:dyDescent="0.25">
      <c r="A581" s="6" t="str">
        <f t="shared" si="164"/>
        <v>521-2025000707</v>
      </c>
      <c r="B581" s="6" t="str">
        <f t="shared" si="165"/>
        <v>EMMA OCH</v>
      </c>
      <c r="C581" s="7">
        <v>45961</v>
      </c>
      <c r="D581" s="7">
        <v>46038</v>
      </c>
      <c r="E581" s="8">
        <v>18</v>
      </c>
      <c r="F581" s="6" t="str">
        <f t="shared" si="166"/>
        <v>PO 491/9</v>
      </c>
      <c r="G581" s="6" t="str">
        <f>"K600198340000000"</f>
        <v>K600198340000000</v>
      </c>
      <c r="H581" s="6" t="str">
        <f>"KB 1983 - 1815 (m) -"</f>
        <v>KB 1983 - 1815 (m) -</v>
      </c>
      <c r="I581" s="6" t="str">
        <f>"202162"</f>
        <v>202162</v>
      </c>
      <c r="J581" s="6" t="str">
        <f>"MARINHO 2162"</f>
        <v>MARINHO 2162</v>
      </c>
      <c r="K581" s="6" t="str">
        <f>"5800"</f>
        <v>5800</v>
      </c>
      <c r="L581" s="6" t="str">
        <f>"Poncho"</f>
        <v>Poncho</v>
      </c>
      <c r="M581" s="6" t="str">
        <f>"Único"</f>
        <v>Único</v>
      </c>
      <c r="N581" s="6" t="str">
        <f t="shared" si="155"/>
        <v xml:space="preserve"> </v>
      </c>
      <c r="O581" s="8">
        <v>100</v>
      </c>
      <c r="P581" s="7">
        <v>46010</v>
      </c>
      <c r="R581" s="8">
        <v>0</v>
      </c>
      <c r="S581" s="7">
        <v>46020</v>
      </c>
      <c r="U581" s="8">
        <v>0</v>
      </c>
      <c r="V581" s="7">
        <v>46028</v>
      </c>
      <c r="X581" s="8">
        <v>0</v>
      </c>
      <c r="Z581" s="8">
        <v>0</v>
      </c>
      <c r="AA581" s="7">
        <v>46038</v>
      </c>
      <c r="AC581" s="8">
        <v>0</v>
      </c>
      <c r="AE581" s="7">
        <v>46042</v>
      </c>
      <c r="AF581" s="8">
        <v>0</v>
      </c>
      <c r="AH581" s="7">
        <v>46045</v>
      </c>
      <c r="AN581" s="8">
        <v>0</v>
      </c>
      <c r="AO581" s="8">
        <v>100</v>
      </c>
    </row>
    <row r="582" spans="1:41" x14ac:dyDescent="0.25">
      <c r="A582" s="6" t="str">
        <f>"521-2025000708"</f>
        <v>521-2025000708</v>
      </c>
      <c r="B582" s="6" t="str">
        <f>"FRANCOIS"</f>
        <v>FRANCOIS</v>
      </c>
      <c r="C582" s="7">
        <v>45964</v>
      </c>
      <c r="D582" s="7">
        <v>46038</v>
      </c>
      <c r="E582" s="8">
        <v>2</v>
      </c>
      <c r="F582" s="6" t="str">
        <f>"543555"</f>
        <v>543555</v>
      </c>
      <c r="G582" s="6" t="str">
        <f>"J300371844000001"</f>
        <v>J300371844000001</v>
      </c>
      <c r="H582" s="6" t="str">
        <f>"Conj. PLR 3718+PLR 3"</f>
        <v>Conj. PLR 3718+PLR 3</v>
      </c>
      <c r="I582" s="6" t="str">
        <f>"300001"</f>
        <v>300001</v>
      </c>
      <c r="J582" s="6" t="str">
        <f>"SORTIDAS 1"</f>
        <v>SORTIDAS 1</v>
      </c>
      <c r="K582" s="6" t="str">
        <f>"4015"</f>
        <v>4015</v>
      </c>
      <c r="L582" s="6" t="str">
        <f>"Conjunto/Jogos"</f>
        <v>Conjunto/Jogos</v>
      </c>
      <c r="M582" s="6" t="str">
        <f>"(3 Pcs)"</f>
        <v>(3 Pcs)</v>
      </c>
      <c r="N582" s="6" t="str">
        <f t="shared" si="155"/>
        <v xml:space="preserve"> </v>
      </c>
      <c r="O582" s="8">
        <v>1700</v>
      </c>
      <c r="P582" s="7">
        <v>46010</v>
      </c>
      <c r="R582" s="8">
        <v>5212</v>
      </c>
      <c r="S582" s="7">
        <v>46020</v>
      </c>
      <c r="U582" s="8">
        <v>5212</v>
      </c>
      <c r="V582" s="7">
        <v>46028</v>
      </c>
      <c r="X582" s="8">
        <v>0</v>
      </c>
      <c r="Z582" s="8">
        <v>5212</v>
      </c>
      <c r="AA582" s="7">
        <v>46038</v>
      </c>
      <c r="AC582" s="8">
        <v>1587</v>
      </c>
      <c r="AE582" s="7">
        <v>46042</v>
      </c>
      <c r="AF582" s="8">
        <v>1587</v>
      </c>
      <c r="AH582" s="7">
        <v>46038</v>
      </c>
      <c r="AN582" s="8">
        <v>1587</v>
      </c>
      <c r="AO582" s="8">
        <v>113</v>
      </c>
    </row>
    <row r="583" spans="1:41" x14ac:dyDescent="0.25">
      <c r="A583" s="6" t="str">
        <f>"521-2025000709"</f>
        <v>521-2025000709</v>
      </c>
      <c r="B583" s="6" t="str">
        <f>"FRANCOIS"</f>
        <v>FRANCOIS</v>
      </c>
      <c r="C583" s="7">
        <v>45964</v>
      </c>
      <c r="D583" s="7">
        <v>46038</v>
      </c>
      <c r="E583" s="8">
        <v>1</v>
      </c>
      <c r="F583" s="6" t="str">
        <f>"543480"</f>
        <v>543480</v>
      </c>
      <c r="G583" s="6" t="str">
        <f>"J300364744000000"</f>
        <v>J300364744000000</v>
      </c>
      <c r="H583" s="6" t="str">
        <f>"Conj. PLR 3647 + PLR"</f>
        <v>Conj. PLR 3647 + PLR</v>
      </c>
      <c r="I583" s="6" t="str">
        <f>"300001"</f>
        <v>300001</v>
      </c>
      <c r="J583" s="6" t="str">
        <f>"SORTIDAS 1"</f>
        <v>SORTIDAS 1</v>
      </c>
      <c r="K583" s="6" t="str">
        <f>"4014"</f>
        <v>4014</v>
      </c>
      <c r="L583" s="6" t="str">
        <f>"Conjunto/Jogos"</f>
        <v>Conjunto/Jogos</v>
      </c>
      <c r="M583" s="6" t="str">
        <f>"(2 Pcs)"</f>
        <v>(2 Pcs)</v>
      </c>
      <c r="N583" s="6" t="str">
        <f t="shared" si="155"/>
        <v xml:space="preserve"> </v>
      </c>
      <c r="O583" s="8">
        <v>2000</v>
      </c>
      <c r="P583" s="7">
        <v>46010</v>
      </c>
      <c r="R583" s="8">
        <v>4420</v>
      </c>
      <c r="S583" s="7">
        <v>46015</v>
      </c>
      <c r="U583" s="8">
        <v>4420</v>
      </c>
      <c r="V583" s="7">
        <v>46024</v>
      </c>
      <c r="X583" s="8">
        <v>0</v>
      </c>
      <c r="Z583" s="8">
        <v>4420</v>
      </c>
      <c r="AA583" s="7">
        <v>46036</v>
      </c>
      <c r="AC583" s="8">
        <v>2157</v>
      </c>
      <c r="AE583" s="7">
        <v>46038</v>
      </c>
      <c r="AF583" s="8">
        <v>2157</v>
      </c>
      <c r="AH583" s="7">
        <v>46038</v>
      </c>
      <c r="AN583" s="8">
        <v>2157</v>
      </c>
      <c r="AO583" s="8">
        <v>-157</v>
      </c>
    </row>
    <row r="584" spans="1:41" x14ac:dyDescent="0.25">
      <c r="A584" s="6" t="str">
        <f>"521-2025000710"</f>
        <v>521-2025000710</v>
      </c>
      <c r="B584" s="6" t="str">
        <f>"FRANCOIS"</f>
        <v>FRANCOIS</v>
      </c>
      <c r="C584" s="7">
        <v>45964</v>
      </c>
      <c r="D584" s="7">
        <v>46101</v>
      </c>
      <c r="E584" s="8">
        <v>1</v>
      </c>
      <c r="F584" s="6" t="str">
        <f>"543556"</f>
        <v>543556</v>
      </c>
      <c r="G584" s="6" t="str">
        <f>"J320115444000000"</f>
        <v>J320115444000000</v>
      </c>
      <c r="H584" s="6" t="str">
        <f>"Conj. PL 1154 + PL 1"</f>
        <v>Conj. PL 1154 + PL 1</v>
      </c>
      <c r="I584" s="6" t="str">
        <f>"300001"</f>
        <v>300001</v>
      </c>
      <c r="J584" s="6" t="str">
        <f>"SORTIDAS 1"</f>
        <v>SORTIDAS 1</v>
      </c>
      <c r="K584" s="6" t="str">
        <f>"4014"</f>
        <v>4014</v>
      </c>
      <c r="L584" s="6" t="str">
        <f>"Conjunto/Jogos"</f>
        <v>Conjunto/Jogos</v>
      </c>
      <c r="M584" s="6" t="str">
        <f>"(2 Pcs)"</f>
        <v>(2 Pcs)</v>
      </c>
      <c r="N584" s="6" t="str">
        <f t="shared" si="155"/>
        <v xml:space="preserve"> </v>
      </c>
      <c r="O584" s="8">
        <v>1200</v>
      </c>
      <c r="P584" s="7">
        <v>46077</v>
      </c>
      <c r="R584" s="8">
        <v>2692</v>
      </c>
      <c r="S584" s="7">
        <v>46080</v>
      </c>
      <c r="U584" s="8">
        <v>0</v>
      </c>
      <c r="V584" s="7">
        <v>46085</v>
      </c>
      <c r="X584" s="8">
        <v>0</v>
      </c>
      <c r="Z584" s="8">
        <v>0</v>
      </c>
      <c r="AA584" s="7">
        <v>46097</v>
      </c>
      <c r="AC584" s="8">
        <v>0</v>
      </c>
      <c r="AE584" s="7">
        <v>46099</v>
      </c>
      <c r="AF584" s="8">
        <v>0</v>
      </c>
      <c r="AH584" s="7">
        <v>46101</v>
      </c>
      <c r="AN584" s="8">
        <v>0</v>
      </c>
      <c r="AO584" s="8">
        <v>1200</v>
      </c>
    </row>
    <row r="585" spans="1:41" x14ac:dyDescent="0.25">
      <c r="A585" s="6" t="str">
        <f>"521-2025000711"</f>
        <v>521-2025000711</v>
      </c>
      <c r="B585" s="6" t="str">
        <f>"STUDIO F"</f>
        <v>STUDIO F</v>
      </c>
      <c r="C585" s="7">
        <v>45965</v>
      </c>
      <c r="D585" s="7">
        <v>46038</v>
      </c>
      <c r="E585" s="8">
        <v>9</v>
      </c>
      <c r="F585" s="6" t="str">
        <f>"PO 1134"</f>
        <v>PO 1134</v>
      </c>
      <c r="G585" s="6" t="str">
        <f>"F330285145000000"</f>
        <v>F330285145000000</v>
      </c>
      <c r="H585" s="6" t="str">
        <f>"PLA 2851 Bio GOTS -"</f>
        <v>PLA 2851 Bio GOTS -</v>
      </c>
      <c r="I585" s="6" t="str">
        <f>"204435"</f>
        <v>204435</v>
      </c>
      <c r="J585" s="6" t="str">
        <f>"AZUL 4435"</f>
        <v>AZUL 4435</v>
      </c>
      <c r="K585" s="6" t="str">
        <f>"1535"</f>
        <v>1535</v>
      </c>
      <c r="L585" s="6" t="str">
        <f>"Toalhões"</f>
        <v>Toalhões</v>
      </c>
      <c r="M585" s="6" t="str">
        <f>"70x140"</f>
        <v>70x140</v>
      </c>
      <c r="N585" s="6" t="str">
        <f t="shared" si="155"/>
        <v xml:space="preserve"> </v>
      </c>
      <c r="O585" s="8">
        <v>600</v>
      </c>
      <c r="P585" s="7">
        <v>46010</v>
      </c>
      <c r="R585" s="8">
        <v>666</v>
      </c>
      <c r="S585" s="7">
        <v>46020</v>
      </c>
      <c r="U585" s="8">
        <v>666</v>
      </c>
      <c r="V585" s="7">
        <v>46028</v>
      </c>
      <c r="X585" s="8">
        <v>0</v>
      </c>
      <c r="Z585" s="8">
        <v>666</v>
      </c>
      <c r="AA585" s="7">
        <v>46038</v>
      </c>
      <c r="AC585" s="8">
        <v>622</v>
      </c>
      <c r="AE585" s="7">
        <v>46042</v>
      </c>
      <c r="AF585" s="8">
        <v>622</v>
      </c>
      <c r="AH585" s="7">
        <v>46038</v>
      </c>
      <c r="AN585" s="8">
        <v>622</v>
      </c>
      <c r="AO585" s="8">
        <v>-22</v>
      </c>
    </row>
    <row r="586" spans="1:41" x14ac:dyDescent="0.25">
      <c r="A586" s="6" t="str">
        <f>"521-2025000711"</f>
        <v>521-2025000711</v>
      </c>
      <c r="B586" s="6" t="str">
        <f>"STUDIO F"</f>
        <v>STUDIO F</v>
      </c>
      <c r="C586" s="7">
        <v>45965</v>
      </c>
      <c r="D586" s="7">
        <v>46038</v>
      </c>
      <c r="E586" s="8">
        <v>10</v>
      </c>
      <c r="F586" s="6" t="str">
        <f>"PO 1134"</f>
        <v>PO 1134</v>
      </c>
      <c r="G586" s="6" t="str">
        <f>"F330285145000000"</f>
        <v>F330285145000000</v>
      </c>
      <c r="H586" s="6" t="str">
        <f>"PLA 2851 Bio GOTS -"</f>
        <v>PLA 2851 Bio GOTS -</v>
      </c>
      <c r="I586" s="6" t="str">
        <f>"204675"</f>
        <v>204675</v>
      </c>
      <c r="J586" s="6" t="str">
        <f>"CASTANHO 4675"</f>
        <v>CASTANHO 4675</v>
      </c>
      <c r="K586" s="6" t="str">
        <f>"1535"</f>
        <v>1535</v>
      </c>
      <c r="L586" s="6" t="str">
        <f>"Toalhões"</f>
        <v>Toalhões</v>
      </c>
      <c r="M586" s="6" t="str">
        <f>"70x140"</f>
        <v>70x140</v>
      </c>
      <c r="N586" s="6" t="str">
        <f t="shared" si="155"/>
        <v xml:space="preserve"> </v>
      </c>
      <c r="O586" s="8">
        <v>400</v>
      </c>
      <c r="P586" s="7">
        <v>46010</v>
      </c>
      <c r="R586" s="8">
        <v>414</v>
      </c>
      <c r="S586" s="7">
        <v>46020</v>
      </c>
      <c r="U586" s="8">
        <v>414</v>
      </c>
      <c r="V586" s="7">
        <v>46028</v>
      </c>
      <c r="X586" s="8">
        <v>0</v>
      </c>
      <c r="Z586" s="8">
        <v>414</v>
      </c>
      <c r="AA586" s="7">
        <v>46038</v>
      </c>
      <c r="AC586" s="8">
        <v>392</v>
      </c>
      <c r="AE586" s="7">
        <v>46042</v>
      </c>
      <c r="AF586" s="8">
        <v>392</v>
      </c>
      <c r="AH586" s="7">
        <v>46038</v>
      </c>
      <c r="AN586" s="8">
        <v>392</v>
      </c>
      <c r="AO586" s="8">
        <v>8</v>
      </c>
    </row>
    <row r="587" spans="1:41" x14ac:dyDescent="0.25">
      <c r="A587" s="6" t="str">
        <f t="shared" ref="A587:A594" si="168">"521-2025000712"</f>
        <v>521-2025000712</v>
      </c>
      <c r="B587" s="6" t="str">
        <f t="shared" ref="B587:B594" si="169">"ASHLEY W"</f>
        <v>ASHLEY W</v>
      </c>
      <c r="C587" s="7">
        <v>45965</v>
      </c>
      <c r="D587" s="7">
        <v>46045</v>
      </c>
      <c r="E587" s="8">
        <v>2</v>
      </c>
      <c r="F587" s="6" t="str">
        <f t="shared" ref="F587:F594" si="170">"P36447 - WM"</f>
        <v>P36447 - WM</v>
      </c>
      <c r="G587" s="6" t="str">
        <f>"F310617658000000"</f>
        <v>F310617658000000</v>
      </c>
      <c r="H587" s="6" t="str">
        <f>"PLAR 6176 - 580 g/m²"</f>
        <v>PLAR 6176 - 580 g/m²</v>
      </c>
      <c r="I587" s="6" t="str">
        <f>"204690"</f>
        <v>204690</v>
      </c>
      <c r="J587" s="6" t="str">
        <f>"BEGE 4690"</f>
        <v>BEGE 4690</v>
      </c>
      <c r="K587" s="6" t="str">
        <f>"1528"</f>
        <v>1528</v>
      </c>
      <c r="L587" s="6" t="str">
        <f>"Toalhões"</f>
        <v>Toalhões</v>
      </c>
      <c r="M587" s="6" t="str">
        <f>"70x125"</f>
        <v>70x125</v>
      </c>
      <c r="N587" s="6" t="str">
        <f t="shared" si="155"/>
        <v xml:space="preserve"> </v>
      </c>
      <c r="O587" s="8">
        <v>350</v>
      </c>
      <c r="P587" s="7">
        <v>46010</v>
      </c>
      <c r="R587" s="8">
        <v>387</v>
      </c>
      <c r="S587" s="7">
        <v>46015</v>
      </c>
      <c r="U587" s="8">
        <v>387</v>
      </c>
      <c r="V587" s="7">
        <v>46028</v>
      </c>
      <c r="X587" s="8">
        <v>0</v>
      </c>
      <c r="Z587" s="8">
        <v>387</v>
      </c>
      <c r="AA587" s="7">
        <v>46042</v>
      </c>
      <c r="AC587" s="8">
        <v>368</v>
      </c>
      <c r="AE587" s="7">
        <v>46045</v>
      </c>
      <c r="AF587" s="8">
        <v>368</v>
      </c>
      <c r="AH587" s="7">
        <v>46045</v>
      </c>
      <c r="AN587" s="8">
        <v>368</v>
      </c>
      <c r="AO587" s="8">
        <v>-18</v>
      </c>
    </row>
    <row r="588" spans="1:41" x14ac:dyDescent="0.25">
      <c r="A588" s="6" t="str">
        <f t="shared" si="168"/>
        <v>521-2025000712</v>
      </c>
      <c r="B588" s="6" t="str">
        <f t="shared" si="169"/>
        <v>ASHLEY W</v>
      </c>
      <c r="C588" s="7">
        <v>45965</v>
      </c>
      <c r="D588" s="7">
        <v>46045</v>
      </c>
      <c r="E588" s="8">
        <v>3</v>
      </c>
      <c r="F588" s="6" t="str">
        <f t="shared" si="170"/>
        <v>P36447 - WM</v>
      </c>
      <c r="G588" s="6" t="str">
        <f>"F310617658000000"</f>
        <v>F310617658000000</v>
      </c>
      <c r="H588" s="6" t="str">
        <f>"PLAR 6176 - 580 g/m²"</f>
        <v>PLAR 6176 - 580 g/m²</v>
      </c>
      <c r="I588" s="6" t="str">
        <f>"204690"</f>
        <v>204690</v>
      </c>
      <c r="J588" s="6" t="str">
        <f>"BEGE 4690"</f>
        <v>BEGE 4690</v>
      </c>
      <c r="K588" s="6" t="str">
        <f>"2020"</f>
        <v>2020</v>
      </c>
      <c r="L588" s="6" t="str">
        <f>"Lençóis"</f>
        <v>Lençóis</v>
      </c>
      <c r="M588" s="6" t="str">
        <f>"100x150"</f>
        <v>100x150</v>
      </c>
      <c r="N588" s="6" t="str">
        <f t="shared" ref="N588:N619" si="171">" "</f>
        <v xml:space="preserve"> </v>
      </c>
      <c r="O588" s="8">
        <v>200</v>
      </c>
      <c r="P588" s="7">
        <v>46010</v>
      </c>
      <c r="R588" s="8">
        <v>224</v>
      </c>
      <c r="S588" s="7">
        <v>46015</v>
      </c>
      <c r="U588" s="8">
        <v>224</v>
      </c>
      <c r="V588" s="7">
        <v>46028</v>
      </c>
      <c r="X588" s="8">
        <v>0</v>
      </c>
      <c r="Z588" s="8">
        <v>224</v>
      </c>
      <c r="AA588" s="7">
        <v>46042</v>
      </c>
      <c r="AC588" s="8">
        <v>224</v>
      </c>
      <c r="AE588" s="7">
        <v>46045</v>
      </c>
      <c r="AF588" s="8">
        <v>224</v>
      </c>
      <c r="AH588" s="7">
        <v>46045</v>
      </c>
      <c r="AN588" s="8">
        <v>224</v>
      </c>
      <c r="AO588" s="8">
        <v>-24</v>
      </c>
    </row>
    <row r="589" spans="1:41" x14ac:dyDescent="0.25">
      <c r="A589" s="6" t="str">
        <f t="shared" si="168"/>
        <v>521-2025000712</v>
      </c>
      <c r="B589" s="6" t="str">
        <f t="shared" si="169"/>
        <v>ASHLEY W</v>
      </c>
      <c r="C589" s="7">
        <v>45965</v>
      </c>
      <c r="D589" s="7">
        <v>46045</v>
      </c>
      <c r="E589" s="8">
        <v>4</v>
      </c>
      <c r="F589" s="6" t="str">
        <f t="shared" si="170"/>
        <v>P36447 - WM</v>
      </c>
      <c r="G589" s="6" t="str">
        <f>"F310605195000000"</f>
        <v>F310605195000000</v>
      </c>
      <c r="H589" s="6" t="str">
        <f>"PLAR 6051 TA - 950 g"</f>
        <v>PLAR 6051 TA - 950 g</v>
      </c>
      <c r="I589" s="6" t="str">
        <f>"204546"</f>
        <v>204546</v>
      </c>
      <c r="J589" s="6" t="str">
        <f>"AZUL 4546"</f>
        <v>AZUL 4546</v>
      </c>
      <c r="K589" s="6" t="str">
        <f>"3026"</f>
        <v>3026</v>
      </c>
      <c r="L589" s="6" t="str">
        <f>"Tapetes"</f>
        <v>Tapetes</v>
      </c>
      <c r="M589" s="6" t="str">
        <f>"50x90"</f>
        <v>50x90</v>
      </c>
      <c r="N589" s="6" t="str">
        <f t="shared" si="171"/>
        <v xml:space="preserve"> </v>
      </c>
      <c r="O589" s="8">
        <v>500</v>
      </c>
      <c r="P589" s="7">
        <v>46010</v>
      </c>
      <c r="R589" s="8">
        <v>500</v>
      </c>
      <c r="S589" s="7">
        <v>46015</v>
      </c>
      <c r="U589" s="8">
        <v>500</v>
      </c>
      <c r="V589" s="7">
        <v>46028</v>
      </c>
      <c r="X589" s="8">
        <v>0</v>
      </c>
      <c r="Z589" s="8">
        <v>500</v>
      </c>
      <c r="AA589" s="7">
        <v>46042</v>
      </c>
      <c r="AC589" s="8">
        <v>489</v>
      </c>
      <c r="AE589" s="7">
        <v>46045</v>
      </c>
      <c r="AF589" s="8">
        <v>489</v>
      </c>
      <c r="AH589" s="7">
        <v>46045</v>
      </c>
      <c r="AN589" s="8">
        <v>489</v>
      </c>
      <c r="AO589" s="8">
        <v>11</v>
      </c>
    </row>
    <row r="590" spans="1:41" x14ac:dyDescent="0.25">
      <c r="A590" s="6" t="str">
        <f t="shared" si="168"/>
        <v>521-2025000712</v>
      </c>
      <c r="B590" s="6" t="str">
        <f t="shared" si="169"/>
        <v>ASHLEY W</v>
      </c>
      <c r="C590" s="7">
        <v>45965</v>
      </c>
      <c r="D590" s="7">
        <v>46045</v>
      </c>
      <c r="E590" s="8">
        <v>5</v>
      </c>
      <c r="F590" s="6" t="str">
        <f t="shared" si="170"/>
        <v>P36447 - WM</v>
      </c>
      <c r="G590" s="6" t="str">
        <f>"F310605158000000"</f>
        <v>F310605158000000</v>
      </c>
      <c r="H590" s="6" t="str">
        <f>"PLAR 6051 - 580 g/m²"</f>
        <v>PLAR 6051 - 580 g/m²</v>
      </c>
      <c r="I590" s="6" t="str">
        <f>"204546"</f>
        <v>204546</v>
      </c>
      <c r="J590" s="6" t="str">
        <f>"AZUL 4546"</f>
        <v>AZUL 4546</v>
      </c>
      <c r="K590" s="6" t="str">
        <f>"2020"</f>
        <v>2020</v>
      </c>
      <c r="L590" s="6" t="str">
        <f>"Lençóis"</f>
        <v>Lençóis</v>
      </c>
      <c r="M590" s="6" t="str">
        <f>"100x150"</f>
        <v>100x150</v>
      </c>
      <c r="N590" s="6" t="str">
        <f t="shared" si="171"/>
        <v xml:space="preserve"> </v>
      </c>
      <c r="O590" s="8">
        <v>200</v>
      </c>
      <c r="P590" s="7">
        <v>46010</v>
      </c>
      <c r="R590" s="8">
        <v>216</v>
      </c>
      <c r="S590" s="7">
        <v>46015</v>
      </c>
      <c r="U590" s="8">
        <v>216</v>
      </c>
      <c r="V590" s="7">
        <v>46028</v>
      </c>
      <c r="X590" s="8">
        <v>0</v>
      </c>
      <c r="Z590" s="8">
        <v>216</v>
      </c>
      <c r="AA590" s="7">
        <v>46042</v>
      </c>
      <c r="AC590" s="8">
        <v>214</v>
      </c>
      <c r="AE590" s="7">
        <v>46045</v>
      </c>
      <c r="AF590" s="8">
        <v>214</v>
      </c>
      <c r="AH590" s="7">
        <v>46045</v>
      </c>
      <c r="AN590" s="8">
        <v>214</v>
      </c>
      <c r="AO590" s="8">
        <v>-14</v>
      </c>
    </row>
    <row r="591" spans="1:41" x14ac:dyDescent="0.25">
      <c r="A591" s="6" t="str">
        <f t="shared" si="168"/>
        <v>521-2025000712</v>
      </c>
      <c r="B591" s="6" t="str">
        <f t="shared" si="169"/>
        <v>ASHLEY W</v>
      </c>
      <c r="C591" s="7">
        <v>45965</v>
      </c>
      <c r="D591" s="7">
        <v>46045</v>
      </c>
      <c r="E591" s="8">
        <v>6</v>
      </c>
      <c r="F591" s="6" t="str">
        <f t="shared" si="170"/>
        <v>P36447 - WM</v>
      </c>
      <c r="G591" s="6" t="str">
        <f>"F310605258000000"</f>
        <v>F310605258000000</v>
      </c>
      <c r="H591" s="6" t="str">
        <f>"PLAR 6052 - 580 g/m²"</f>
        <v>PLAR 6052 - 580 g/m²</v>
      </c>
      <c r="I591" s="6" t="str">
        <f>"204436"</f>
        <v>204436</v>
      </c>
      <c r="J591" s="6" t="str">
        <f>"CINZA 4436"</f>
        <v>CINZA 4436</v>
      </c>
      <c r="K591" s="6" t="str">
        <f>"1528"</f>
        <v>1528</v>
      </c>
      <c r="L591" s="6" t="str">
        <f>"Toalhões"</f>
        <v>Toalhões</v>
      </c>
      <c r="M591" s="6" t="str">
        <f>"70x125"</f>
        <v>70x125</v>
      </c>
      <c r="N591" s="6" t="str">
        <f t="shared" si="171"/>
        <v xml:space="preserve"> </v>
      </c>
      <c r="O591" s="8">
        <v>350</v>
      </c>
      <c r="P591" s="7">
        <v>46010</v>
      </c>
      <c r="R591" s="8">
        <v>378</v>
      </c>
      <c r="S591" s="7">
        <v>46015</v>
      </c>
      <c r="U591" s="8">
        <v>378</v>
      </c>
      <c r="V591" s="7">
        <v>46028</v>
      </c>
      <c r="X591" s="8">
        <v>0</v>
      </c>
      <c r="Z591" s="8">
        <v>378</v>
      </c>
      <c r="AA591" s="7">
        <v>46042</v>
      </c>
      <c r="AC591" s="8">
        <v>376</v>
      </c>
      <c r="AE591" s="7">
        <v>46045</v>
      </c>
      <c r="AF591" s="8">
        <v>376</v>
      </c>
      <c r="AH591" s="7">
        <v>46045</v>
      </c>
      <c r="AN591" s="8">
        <v>376</v>
      </c>
      <c r="AO591" s="8">
        <v>-26</v>
      </c>
    </row>
    <row r="592" spans="1:41" x14ac:dyDescent="0.25">
      <c r="A592" s="6" t="str">
        <f t="shared" si="168"/>
        <v>521-2025000712</v>
      </c>
      <c r="B592" s="6" t="str">
        <f t="shared" si="169"/>
        <v>ASHLEY W</v>
      </c>
      <c r="C592" s="7">
        <v>45965</v>
      </c>
      <c r="D592" s="7">
        <v>46045</v>
      </c>
      <c r="E592" s="8">
        <v>7</v>
      </c>
      <c r="F592" s="6" t="str">
        <f t="shared" si="170"/>
        <v>P36447 - WM</v>
      </c>
      <c r="G592" s="6" t="str">
        <f>"F310605258000000"</f>
        <v>F310605258000000</v>
      </c>
      <c r="H592" s="6" t="str">
        <f>"PLAR 6052 - 580 g/m²"</f>
        <v>PLAR 6052 - 580 g/m²</v>
      </c>
      <c r="I592" s="6" t="str">
        <f>"204436"</f>
        <v>204436</v>
      </c>
      <c r="J592" s="6" t="str">
        <f>"CINZA 4436"</f>
        <v>CINZA 4436</v>
      </c>
      <c r="K592" s="6" t="str">
        <f>"2020"</f>
        <v>2020</v>
      </c>
      <c r="L592" s="6" t="str">
        <f>"Lençóis"</f>
        <v>Lençóis</v>
      </c>
      <c r="M592" s="6" t="str">
        <f>"100x150"</f>
        <v>100x150</v>
      </c>
      <c r="N592" s="6" t="str">
        <f t="shared" si="171"/>
        <v xml:space="preserve"> </v>
      </c>
      <c r="O592" s="8">
        <v>200</v>
      </c>
      <c r="P592" s="7">
        <v>46010</v>
      </c>
      <c r="R592" s="8">
        <v>214</v>
      </c>
      <c r="S592" s="7">
        <v>46015</v>
      </c>
      <c r="U592" s="8">
        <v>214</v>
      </c>
      <c r="V592" s="7">
        <v>46028</v>
      </c>
      <c r="X592" s="8">
        <v>0</v>
      </c>
      <c r="Z592" s="8">
        <v>214</v>
      </c>
      <c r="AA592" s="7">
        <v>46042</v>
      </c>
      <c r="AC592" s="8">
        <v>213</v>
      </c>
      <c r="AE592" s="7">
        <v>46045</v>
      </c>
      <c r="AF592" s="8">
        <v>213</v>
      </c>
      <c r="AH592" s="7">
        <v>46045</v>
      </c>
      <c r="AN592" s="8">
        <v>213</v>
      </c>
      <c r="AO592" s="8">
        <v>-13</v>
      </c>
    </row>
    <row r="593" spans="1:41" x14ac:dyDescent="0.25">
      <c r="A593" s="6" t="str">
        <f t="shared" si="168"/>
        <v>521-2025000712</v>
      </c>
      <c r="B593" s="6" t="str">
        <f t="shared" si="169"/>
        <v>ASHLEY W</v>
      </c>
      <c r="C593" s="7">
        <v>45965</v>
      </c>
      <c r="D593" s="7">
        <v>46045</v>
      </c>
      <c r="E593" s="8">
        <v>8</v>
      </c>
      <c r="F593" s="6" t="str">
        <f t="shared" si="170"/>
        <v>P36447 - WM</v>
      </c>
      <c r="G593" s="6" t="str">
        <f>"F310617458000000"</f>
        <v>F310617458000000</v>
      </c>
      <c r="H593" s="6" t="str">
        <f>"PLAR 6174 - 580 g/m²"</f>
        <v>PLAR 6174 - 580 g/m²</v>
      </c>
      <c r="I593" s="6" t="str">
        <f>"204439"</f>
        <v>204439</v>
      </c>
      <c r="J593" s="6" t="str">
        <f>"AZUL 4439"</f>
        <v>AZUL 4439</v>
      </c>
      <c r="K593" s="6" t="str">
        <f>"1528"</f>
        <v>1528</v>
      </c>
      <c r="L593" s="6" t="str">
        <f>"Toalhões"</f>
        <v>Toalhões</v>
      </c>
      <c r="M593" s="6" t="str">
        <f>"70x125"</f>
        <v>70x125</v>
      </c>
      <c r="N593" s="6" t="str">
        <f t="shared" si="171"/>
        <v xml:space="preserve"> </v>
      </c>
      <c r="O593" s="8">
        <v>350</v>
      </c>
      <c r="P593" s="7">
        <v>46010</v>
      </c>
      <c r="R593" s="8">
        <v>378</v>
      </c>
      <c r="S593" s="7">
        <v>46015</v>
      </c>
      <c r="U593" s="8">
        <v>378</v>
      </c>
      <c r="V593" s="7">
        <v>46028</v>
      </c>
      <c r="X593" s="8">
        <v>0</v>
      </c>
      <c r="Z593" s="8">
        <v>378</v>
      </c>
      <c r="AA593" s="7">
        <v>46042</v>
      </c>
      <c r="AC593" s="8">
        <v>375</v>
      </c>
      <c r="AE593" s="7">
        <v>46045</v>
      </c>
      <c r="AF593" s="8">
        <v>375</v>
      </c>
      <c r="AH593" s="7">
        <v>46045</v>
      </c>
      <c r="AN593" s="8">
        <v>375</v>
      </c>
      <c r="AO593" s="8">
        <v>-25</v>
      </c>
    </row>
    <row r="594" spans="1:41" x14ac:dyDescent="0.25">
      <c r="A594" s="6" t="str">
        <f t="shared" si="168"/>
        <v>521-2025000712</v>
      </c>
      <c r="B594" s="6" t="str">
        <f t="shared" si="169"/>
        <v>ASHLEY W</v>
      </c>
      <c r="C594" s="7">
        <v>45965</v>
      </c>
      <c r="D594" s="7">
        <v>46045</v>
      </c>
      <c r="E594" s="8">
        <v>9</v>
      </c>
      <c r="F594" s="6" t="str">
        <f t="shared" si="170"/>
        <v>P36447 - WM</v>
      </c>
      <c r="G594" s="6" t="str">
        <f>"F310617458000000"</f>
        <v>F310617458000000</v>
      </c>
      <c r="H594" s="6" t="str">
        <f>"PLAR 6174 - 580 g/m²"</f>
        <v>PLAR 6174 - 580 g/m²</v>
      </c>
      <c r="I594" s="6" t="str">
        <f>"204439"</f>
        <v>204439</v>
      </c>
      <c r="J594" s="6" t="str">
        <f>"AZUL 4439"</f>
        <v>AZUL 4439</v>
      </c>
      <c r="K594" s="6" t="str">
        <f>"1020"</f>
        <v>1020</v>
      </c>
      <c r="L594" s="6" t="str">
        <f>"Toalhas"</f>
        <v>Toalhas</v>
      </c>
      <c r="M594" s="6" t="str">
        <f>"50x90"</f>
        <v>50x90</v>
      </c>
      <c r="N594" s="6" t="str">
        <f t="shared" si="171"/>
        <v xml:space="preserve"> </v>
      </c>
      <c r="O594" s="8">
        <v>700</v>
      </c>
      <c r="P594" s="7">
        <v>46010</v>
      </c>
      <c r="R594" s="8">
        <v>768</v>
      </c>
      <c r="S594" s="7">
        <v>46015</v>
      </c>
      <c r="U594" s="8">
        <v>768</v>
      </c>
      <c r="V594" s="7">
        <v>46028</v>
      </c>
      <c r="X594" s="8">
        <v>0</v>
      </c>
      <c r="Z594" s="8">
        <v>768</v>
      </c>
      <c r="AA594" s="7">
        <v>46042</v>
      </c>
      <c r="AC594" s="8">
        <v>767</v>
      </c>
      <c r="AE594" s="7">
        <v>46045</v>
      </c>
      <c r="AF594" s="8">
        <v>767</v>
      </c>
      <c r="AH594" s="7">
        <v>46045</v>
      </c>
      <c r="AN594" s="8">
        <v>767</v>
      </c>
      <c r="AO594" s="8">
        <v>-67</v>
      </c>
    </row>
    <row r="595" spans="1:41" x14ac:dyDescent="0.25">
      <c r="A595" s="6" t="str">
        <f>"521-2025000713"</f>
        <v>521-2025000713</v>
      </c>
      <c r="B595" s="6" t="str">
        <f>"SUITE 70"</f>
        <v>SUITE 70</v>
      </c>
      <c r="C595" s="7">
        <v>45965</v>
      </c>
      <c r="D595" s="7">
        <v>46038</v>
      </c>
      <c r="E595" s="8">
        <v>1</v>
      </c>
      <c r="F595" s="6" t="str">
        <f>"PO2511300"</f>
        <v>PO2511300</v>
      </c>
      <c r="G595" s="6" t="str">
        <f>"F330313842000000"</f>
        <v>F330313842000000</v>
      </c>
      <c r="H595" s="6" t="str">
        <f>"PLA P 3138 Bio GOTS"</f>
        <v>PLA P 3138 Bio GOTS</v>
      </c>
      <c r="I595" s="6" t="str">
        <f>"201740"</f>
        <v>201740</v>
      </c>
      <c r="J595" s="6" t="str">
        <f>"AMARELO 1740"</f>
        <v>AMARELO 1740</v>
      </c>
      <c r="K595" s="6" t="str">
        <f>"2011"</f>
        <v>2011</v>
      </c>
      <c r="L595" s="6" t="str">
        <f>"Lençóis"</f>
        <v>Lençóis</v>
      </c>
      <c r="M595" s="6" t="str">
        <f>"90x180"</f>
        <v>90x180</v>
      </c>
      <c r="N595" s="6" t="str">
        <f t="shared" si="171"/>
        <v xml:space="preserve"> </v>
      </c>
      <c r="O595" s="8">
        <v>1000</v>
      </c>
      <c r="P595" s="7">
        <v>46010</v>
      </c>
      <c r="R595" s="8">
        <v>1126</v>
      </c>
      <c r="S595" s="7">
        <v>46020</v>
      </c>
      <c r="U595" s="8">
        <v>1126</v>
      </c>
      <c r="V595" s="7">
        <v>46028</v>
      </c>
      <c r="X595" s="8">
        <v>0</v>
      </c>
      <c r="Z595" s="8">
        <v>1126</v>
      </c>
      <c r="AA595" s="7">
        <v>46038</v>
      </c>
      <c r="AC595" s="8">
        <v>615</v>
      </c>
      <c r="AE595" s="7">
        <v>46042</v>
      </c>
      <c r="AF595" s="8">
        <v>615</v>
      </c>
      <c r="AH595" s="7">
        <v>46038</v>
      </c>
      <c r="AN595" s="8">
        <v>615</v>
      </c>
      <c r="AO595" s="8">
        <v>385</v>
      </c>
    </row>
    <row r="596" spans="1:41" x14ac:dyDescent="0.25">
      <c r="A596" s="6" t="str">
        <f>"521-2025000713"</f>
        <v>521-2025000713</v>
      </c>
      <c r="B596" s="6" t="str">
        <f>"SUITE 70"</f>
        <v>SUITE 70</v>
      </c>
      <c r="C596" s="7">
        <v>45965</v>
      </c>
      <c r="D596" s="7">
        <v>46038</v>
      </c>
      <c r="E596" s="8">
        <v>2</v>
      </c>
      <c r="F596" s="6" t="str">
        <f>"PO2511300"</f>
        <v>PO2511300</v>
      </c>
      <c r="G596" s="6" t="str">
        <f>"F330313742000000"</f>
        <v>F330313742000000</v>
      </c>
      <c r="H596" s="6" t="str">
        <f>"PLA P 3137 Bio GOTS"</f>
        <v>PLA P 3137 Bio GOTS</v>
      </c>
      <c r="I596" s="6" t="str">
        <f>"201231"</f>
        <v>201231</v>
      </c>
      <c r="J596" s="6" t="str">
        <f>"ROSA 1231"</f>
        <v>ROSA 1231</v>
      </c>
      <c r="K596" s="6" t="str">
        <f>"2011"</f>
        <v>2011</v>
      </c>
      <c r="L596" s="6" t="str">
        <f>"Lençóis"</f>
        <v>Lençóis</v>
      </c>
      <c r="M596" s="6" t="str">
        <f>"90x180"</f>
        <v>90x180</v>
      </c>
      <c r="N596" s="6" t="str">
        <f t="shared" si="171"/>
        <v xml:space="preserve"> </v>
      </c>
      <c r="O596" s="8">
        <v>1000</v>
      </c>
      <c r="P596" s="7">
        <v>46010</v>
      </c>
      <c r="R596" s="8">
        <v>1076</v>
      </c>
      <c r="S596" s="7">
        <v>46020</v>
      </c>
      <c r="U596" s="8">
        <v>1076</v>
      </c>
      <c r="V596" s="7">
        <v>46028</v>
      </c>
      <c r="X596" s="8">
        <v>0</v>
      </c>
      <c r="Z596" s="8">
        <v>1076</v>
      </c>
      <c r="AA596" s="7">
        <v>46038</v>
      </c>
      <c r="AC596" s="8">
        <v>862</v>
      </c>
      <c r="AE596" s="7">
        <v>46042</v>
      </c>
      <c r="AF596" s="8">
        <v>862</v>
      </c>
      <c r="AH596" s="7">
        <v>46038</v>
      </c>
      <c r="AN596" s="8">
        <v>862</v>
      </c>
      <c r="AO596" s="8">
        <v>138</v>
      </c>
    </row>
    <row r="597" spans="1:41" x14ac:dyDescent="0.25">
      <c r="A597" s="6" t="str">
        <f>"521-2025000714"</f>
        <v>521-2025000714</v>
      </c>
      <c r="B597" s="6" t="str">
        <f>"SOCIETE"</f>
        <v>SOCIETE</v>
      </c>
      <c r="C597" s="7">
        <v>45965</v>
      </c>
      <c r="D597" s="7">
        <v>46094</v>
      </c>
      <c r="E597" s="8">
        <v>1</v>
      </c>
      <c r="F597" s="6" t="str">
        <f>"1080507"</f>
        <v>1080507</v>
      </c>
      <c r="G597" s="6" t="str">
        <f>"F600241929000001"</f>
        <v>F600241929000001</v>
      </c>
      <c r="H597" s="6" t="str">
        <f>"10-2419 C/ Franja -"</f>
        <v>10-2419 C/ Franja -</v>
      </c>
      <c r="I597" s="6" t="str">
        <f>"201457"</f>
        <v>201457</v>
      </c>
      <c r="J597" s="6" t="str">
        <f>"BORDEAUX 1457"</f>
        <v>BORDEAUX 1457</v>
      </c>
      <c r="K597" s="6" t="str">
        <f>"3539"</f>
        <v>3539</v>
      </c>
      <c r="L597" s="6" t="str">
        <f t="shared" ref="L597:L602" si="172">"Praia"</f>
        <v>Praia</v>
      </c>
      <c r="M597" s="6" t="str">
        <f>"100x180+8"</f>
        <v>100x180+8</v>
      </c>
      <c r="N597" s="6" t="str">
        <f t="shared" si="171"/>
        <v xml:space="preserve"> </v>
      </c>
      <c r="O597" s="8">
        <v>680</v>
      </c>
      <c r="P597" s="7">
        <v>46072</v>
      </c>
      <c r="R597" s="8">
        <v>0</v>
      </c>
      <c r="S597" s="7">
        <v>46077</v>
      </c>
      <c r="U597" s="8">
        <v>0</v>
      </c>
      <c r="V597" s="7">
        <v>46080</v>
      </c>
      <c r="X597" s="8">
        <v>0</v>
      </c>
      <c r="Z597" s="8">
        <v>0</v>
      </c>
      <c r="AA597" s="7">
        <v>46092</v>
      </c>
      <c r="AC597" s="8">
        <v>0</v>
      </c>
      <c r="AE597" s="7">
        <v>46094</v>
      </c>
      <c r="AF597" s="8">
        <v>0</v>
      </c>
      <c r="AH597" s="7">
        <v>46094</v>
      </c>
      <c r="AN597" s="8">
        <v>0</v>
      </c>
      <c r="AO597" s="8">
        <v>680</v>
      </c>
    </row>
    <row r="598" spans="1:41" x14ac:dyDescent="0.25">
      <c r="A598" s="6" t="str">
        <f>"521-2025000715"</f>
        <v>521-2025000715</v>
      </c>
      <c r="B598" s="6" t="str">
        <f>"SOCIETE"</f>
        <v>SOCIETE</v>
      </c>
      <c r="C598" s="7">
        <v>45965</v>
      </c>
      <c r="D598" s="7">
        <v>46150</v>
      </c>
      <c r="E598" s="8">
        <v>1</v>
      </c>
      <c r="F598" s="6" t="str">
        <f>"1080508"</f>
        <v>1080508</v>
      </c>
      <c r="G598" s="6" t="str">
        <f>"F600241929000001"</f>
        <v>F600241929000001</v>
      </c>
      <c r="H598" s="6" t="str">
        <f>"10-2419 C/ Franja -"</f>
        <v>10-2419 C/ Franja -</v>
      </c>
      <c r="I598" s="6" t="str">
        <f>"201457"</f>
        <v>201457</v>
      </c>
      <c r="J598" s="6" t="str">
        <f>"BORDEAUX 1457"</f>
        <v>BORDEAUX 1457</v>
      </c>
      <c r="K598" s="6" t="str">
        <f>"3539"</f>
        <v>3539</v>
      </c>
      <c r="L598" s="6" t="str">
        <f t="shared" si="172"/>
        <v>Praia</v>
      </c>
      <c r="M598" s="6" t="str">
        <f>"100x180+8"</f>
        <v>100x180+8</v>
      </c>
      <c r="N598" s="6" t="str">
        <f t="shared" si="171"/>
        <v xml:space="preserve"> </v>
      </c>
      <c r="O598" s="8">
        <v>460</v>
      </c>
      <c r="P598" s="7">
        <v>46127</v>
      </c>
      <c r="R598" s="8">
        <v>0</v>
      </c>
      <c r="S598" s="7">
        <v>46132</v>
      </c>
      <c r="U598" s="8">
        <v>0</v>
      </c>
      <c r="V598" s="7">
        <v>46135</v>
      </c>
      <c r="X598" s="8">
        <v>0</v>
      </c>
      <c r="Z598" s="8">
        <v>0</v>
      </c>
      <c r="AA598" s="7">
        <v>46148</v>
      </c>
      <c r="AC598" s="8">
        <v>0</v>
      </c>
      <c r="AE598" s="7">
        <v>46150</v>
      </c>
      <c r="AF598" s="8">
        <v>0</v>
      </c>
      <c r="AH598" s="7">
        <v>46150</v>
      </c>
      <c r="AN598" s="8">
        <v>0</v>
      </c>
      <c r="AO598" s="8">
        <v>460</v>
      </c>
    </row>
    <row r="599" spans="1:41" x14ac:dyDescent="0.25">
      <c r="A599" s="6" t="str">
        <f>"521-2025000717"</f>
        <v>521-2025000717</v>
      </c>
      <c r="B599" s="6" t="str">
        <f>"SANDER A"</f>
        <v>SANDER A</v>
      </c>
      <c r="C599" s="7">
        <v>45967</v>
      </c>
      <c r="D599" s="7">
        <v>46052</v>
      </c>
      <c r="E599" s="8">
        <v>1</v>
      </c>
      <c r="F599" s="6" t="str">
        <f>"109765 MANOR"</f>
        <v>109765 MANOR</v>
      </c>
      <c r="G599" s="6" t="str">
        <f>"F600938838000000"</f>
        <v>F600938838000000</v>
      </c>
      <c r="H599" s="6" t="str">
        <f>"9388 - 380 g/m²"</f>
        <v>9388 - 380 g/m²</v>
      </c>
      <c r="I599" s="6" t="str">
        <f>"203450"</f>
        <v>203450</v>
      </c>
      <c r="J599" s="6" t="str">
        <f>"LARANJA 3450"</f>
        <v>LARANJA 3450</v>
      </c>
      <c r="K599" s="6" t="str">
        <f>"3525"</f>
        <v>3525</v>
      </c>
      <c r="L599" s="6" t="str">
        <f t="shared" si="172"/>
        <v>Praia</v>
      </c>
      <c r="M599" s="6" t="str">
        <f>"90x180"</f>
        <v>90x180</v>
      </c>
      <c r="N599" s="6" t="str">
        <f t="shared" si="171"/>
        <v xml:space="preserve"> </v>
      </c>
      <c r="O599" s="8">
        <v>1</v>
      </c>
      <c r="P599" s="7">
        <v>46030</v>
      </c>
      <c r="R599" s="8">
        <v>0</v>
      </c>
      <c r="S599" s="7">
        <v>46035</v>
      </c>
      <c r="U599" s="8">
        <v>0</v>
      </c>
      <c r="V599" s="7">
        <v>46038</v>
      </c>
      <c r="X599" s="8">
        <v>0</v>
      </c>
      <c r="Z599" s="8">
        <v>0</v>
      </c>
      <c r="AA599" s="7">
        <v>46050</v>
      </c>
      <c r="AC599" s="8">
        <v>0</v>
      </c>
      <c r="AE599" s="7">
        <v>46052</v>
      </c>
      <c r="AF599" s="8">
        <v>0</v>
      </c>
      <c r="AH599" s="7">
        <v>46052</v>
      </c>
      <c r="AN599" s="8">
        <v>0</v>
      </c>
      <c r="AO599" s="8">
        <v>1</v>
      </c>
    </row>
    <row r="600" spans="1:41" x14ac:dyDescent="0.25">
      <c r="A600" s="6" t="str">
        <f>"521-2025000717"</f>
        <v>521-2025000717</v>
      </c>
      <c r="B600" s="6" t="str">
        <f>"SANDER A"</f>
        <v>SANDER A</v>
      </c>
      <c r="C600" s="7">
        <v>45967</v>
      </c>
      <c r="D600" s="7">
        <v>46052</v>
      </c>
      <c r="E600" s="8">
        <v>2</v>
      </c>
      <c r="F600" s="6" t="str">
        <f>"109765 MANOR"</f>
        <v>109765 MANOR</v>
      </c>
      <c r="G600" s="6" t="str">
        <f>"F600938738000000"</f>
        <v>F600938738000000</v>
      </c>
      <c r="H600" s="6" t="str">
        <f>"9387 - 380 g/m²"</f>
        <v>9387 - 380 g/m²</v>
      </c>
      <c r="I600" s="6" t="str">
        <f>"201060"</f>
        <v>201060</v>
      </c>
      <c r="J600" s="6" t="str">
        <f>"TURQUESA 1060"</f>
        <v>TURQUESA 1060</v>
      </c>
      <c r="K600" s="6" t="str">
        <f>"3525"</f>
        <v>3525</v>
      </c>
      <c r="L600" s="6" t="str">
        <f t="shared" si="172"/>
        <v>Praia</v>
      </c>
      <c r="M600" s="6" t="str">
        <f>"90x180"</f>
        <v>90x180</v>
      </c>
      <c r="N600" s="6" t="str">
        <f t="shared" si="171"/>
        <v xml:space="preserve"> </v>
      </c>
      <c r="O600" s="8">
        <v>1</v>
      </c>
      <c r="P600" s="7">
        <v>46030</v>
      </c>
      <c r="R600" s="8">
        <v>62</v>
      </c>
      <c r="S600" s="7">
        <v>46035</v>
      </c>
      <c r="U600" s="8">
        <v>0</v>
      </c>
      <c r="V600" s="7">
        <v>46038</v>
      </c>
      <c r="X600" s="8">
        <v>0</v>
      </c>
      <c r="Z600" s="8">
        <v>0</v>
      </c>
      <c r="AA600" s="7">
        <v>46050</v>
      </c>
      <c r="AC600" s="8">
        <v>0</v>
      </c>
      <c r="AE600" s="7">
        <v>46052</v>
      </c>
      <c r="AF600" s="8">
        <v>0</v>
      </c>
      <c r="AH600" s="7">
        <v>46052</v>
      </c>
      <c r="AN600" s="8">
        <v>0</v>
      </c>
      <c r="AO600" s="8">
        <v>1</v>
      </c>
    </row>
    <row r="601" spans="1:41" x14ac:dyDescent="0.25">
      <c r="A601" s="6" t="str">
        <f>"521-2025000717"</f>
        <v>521-2025000717</v>
      </c>
      <c r="B601" s="6" t="str">
        <f>"SANDER A"</f>
        <v>SANDER A</v>
      </c>
      <c r="C601" s="7">
        <v>45967</v>
      </c>
      <c r="D601" s="7">
        <v>46052</v>
      </c>
      <c r="E601" s="8">
        <v>3</v>
      </c>
      <c r="F601" s="6" t="str">
        <f>"109765 MANOR"</f>
        <v>109765 MANOR</v>
      </c>
      <c r="G601" s="6" t="str">
        <f>"F600938745000000"</f>
        <v>F600938745000000</v>
      </c>
      <c r="H601" s="6" t="str">
        <f>"9387 - 450 g/m²"</f>
        <v>9387 - 450 g/m²</v>
      </c>
      <c r="I601" s="6" t="str">
        <f>"201060"</f>
        <v>201060</v>
      </c>
      <c r="J601" s="6" t="str">
        <f>"TURQUESA 1060"</f>
        <v>TURQUESA 1060</v>
      </c>
      <c r="K601" s="6" t="str">
        <f>"3525"</f>
        <v>3525</v>
      </c>
      <c r="L601" s="6" t="str">
        <f t="shared" si="172"/>
        <v>Praia</v>
      </c>
      <c r="M601" s="6" t="str">
        <f>"90x180"</f>
        <v>90x180</v>
      </c>
      <c r="N601" s="6" t="str">
        <f t="shared" si="171"/>
        <v xml:space="preserve"> </v>
      </c>
      <c r="O601" s="8">
        <v>800</v>
      </c>
      <c r="P601" s="7">
        <v>46030</v>
      </c>
      <c r="R601" s="8">
        <v>874</v>
      </c>
      <c r="S601" s="7">
        <v>46035</v>
      </c>
      <c r="U601" s="8">
        <v>874</v>
      </c>
      <c r="V601" s="7">
        <v>46038</v>
      </c>
      <c r="X601" s="8">
        <v>0</v>
      </c>
      <c r="Z601" s="8">
        <v>0</v>
      </c>
      <c r="AA601" s="7">
        <v>46050</v>
      </c>
      <c r="AC601" s="8">
        <v>0</v>
      </c>
      <c r="AE601" s="7">
        <v>46052</v>
      </c>
      <c r="AF601" s="8">
        <v>0</v>
      </c>
      <c r="AH601" s="7">
        <v>46052</v>
      </c>
      <c r="AN601" s="8">
        <v>0</v>
      </c>
      <c r="AO601" s="8">
        <v>800</v>
      </c>
    </row>
    <row r="602" spans="1:41" x14ac:dyDescent="0.25">
      <c r="A602" s="6" t="str">
        <f>"521-2025000717"</f>
        <v>521-2025000717</v>
      </c>
      <c r="B602" s="6" t="str">
        <f>"SANDER A"</f>
        <v>SANDER A</v>
      </c>
      <c r="C602" s="7">
        <v>45967</v>
      </c>
      <c r="D602" s="7">
        <v>46052</v>
      </c>
      <c r="E602" s="8">
        <v>4</v>
      </c>
      <c r="F602" s="6" t="str">
        <f>"109765 MANOR"</f>
        <v>109765 MANOR</v>
      </c>
      <c r="G602" s="6" t="str">
        <f>"F600938845000000"</f>
        <v>F600938845000000</v>
      </c>
      <c r="H602" s="6" t="str">
        <f>"9388 - 450 g/m²"</f>
        <v>9388 - 450 g/m²</v>
      </c>
      <c r="I602" s="6" t="str">
        <f>"203450"</f>
        <v>203450</v>
      </c>
      <c r="J602" s="6" t="str">
        <f>"LARANJA 3450"</f>
        <v>LARANJA 3450</v>
      </c>
      <c r="K602" s="6" t="str">
        <f>"3525"</f>
        <v>3525</v>
      </c>
      <c r="L602" s="6" t="str">
        <f t="shared" si="172"/>
        <v>Praia</v>
      </c>
      <c r="M602" s="6" t="str">
        <f>"90x180"</f>
        <v>90x180</v>
      </c>
      <c r="N602" s="6" t="str">
        <f t="shared" si="171"/>
        <v xml:space="preserve"> </v>
      </c>
      <c r="O602" s="8">
        <v>800</v>
      </c>
      <c r="P602" s="7">
        <v>46030</v>
      </c>
      <c r="R602" s="8">
        <v>812</v>
      </c>
      <c r="S602" s="7">
        <v>46035</v>
      </c>
      <c r="U602" s="8">
        <v>640</v>
      </c>
      <c r="V602" s="7">
        <v>46038</v>
      </c>
      <c r="X602" s="8">
        <v>0</v>
      </c>
      <c r="Z602" s="8">
        <v>0</v>
      </c>
      <c r="AA602" s="7">
        <v>46050</v>
      </c>
      <c r="AC602" s="8">
        <v>0</v>
      </c>
      <c r="AE602" s="7">
        <v>46052</v>
      </c>
      <c r="AF602" s="8">
        <v>0</v>
      </c>
      <c r="AH602" s="7">
        <v>46052</v>
      </c>
      <c r="AN602" s="8">
        <v>0</v>
      </c>
      <c r="AO602" s="8">
        <v>800</v>
      </c>
    </row>
    <row r="603" spans="1:41" x14ac:dyDescent="0.25">
      <c r="A603" s="6" t="str">
        <f>"521-2025000718"</f>
        <v>521-2025000718</v>
      </c>
      <c r="B603" s="6" t="str">
        <f>"SASU SDE"</f>
        <v>SASU SDE</v>
      </c>
      <c r="C603" s="7">
        <v>45968</v>
      </c>
      <c r="D603" s="7">
        <v>46038</v>
      </c>
      <c r="E603" s="8">
        <v>2</v>
      </c>
      <c r="F603" s="6" t="str">
        <f>"113196"</f>
        <v>113196</v>
      </c>
      <c r="G603" s="6" t="str">
        <f>"C001119223000000"</f>
        <v>C001119223000000</v>
      </c>
      <c r="H603" s="6" t="str">
        <f>"CZJ 1192 - 230 g/m²"</f>
        <v>CZJ 1192 - 230 g/m²</v>
      </c>
      <c r="I603" s="6" t="str">
        <f>"201204"</f>
        <v>201204</v>
      </c>
      <c r="J603" s="6" t="str">
        <f>"BORDEAUX 1204"</f>
        <v>BORDEAUX 1204</v>
      </c>
      <c r="K603" s="6" t="str">
        <f>"0830"</f>
        <v>0830</v>
      </c>
      <c r="L603" s="6" t="str">
        <f>"Cozinha"</f>
        <v>Cozinha</v>
      </c>
      <c r="M603" s="6" t="str">
        <f>"50x70"</f>
        <v>50x70</v>
      </c>
      <c r="N603" s="6" t="str">
        <f t="shared" si="171"/>
        <v xml:space="preserve"> </v>
      </c>
      <c r="O603" s="8">
        <v>1500</v>
      </c>
      <c r="P603" s="7">
        <v>46010</v>
      </c>
      <c r="R603" s="8">
        <v>1576</v>
      </c>
      <c r="S603" s="7">
        <v>46020</v>
      </c>
      <c r="U603" s="8">
        <v>1576</v>
      </c>
      <c r="V603" s="7">
        <v>46028</v>
      </c>
      <c r="X603" s="8">
        <v>0</v>
      </c>
      <c r="Z603" s="8">
        <v>1576</v>
      </c>
      <c r="AA603" s="7">
        <v>46038</v>
      </c>
      <c r="AC603" s="8">
        <v>1488</v>
      </c>
      <c r="AE603" s="7">
        <v>46042</v>
      </c>
      <c r="AF603" s="8">
        <v>1488</v>
      </c>
      <c r="AH603" s="7">
        <v>46038</v>
      </c>
      <c r="AN603" s="8">
        <v>1488</v>
      </c>
      <c r="AO603" s="8">
        <v>12</v>
      </c>
    </row>
    <row r="604" spans="1:41" x14ac:dyDescent="0.25">
      <c r="A604" s="6" t="str">
        <f>"521-2025000719"</f>
        <v>521-2025000719</v>
      </c>
      <c r="B604" s="6" t="str">
        <f>"WORLD MA"</f>
        <v>WORLD MA</v>
      </c>
      <c r="C604" s="7">
        <v>45968</v>
      </c>
      <c r="D604" s="7">
        <v>46066</v>
      </c>
      <c r="E604" s="8">
        <v>3</v>
      </c>
      <c r="F604" s="6" t="str">
        <f>"PO 200733777"</f>
        <v>PO 200733777</v>
      </c>
      <c r="G604" s="6" t="str">
        <f>"F310593055000000"</f>
        <v>F310593055000000</v>
      </c>
      <c r="H604" s="6" t="str">
        <f>"PLAR 5930 - 550 g/m²"</f>
        <v>PLAR 5930 - 550 g/m²</v>
      </c>
      <c r="I604" s="6" t="str">
        <f>"200870"</f>
        <v>200870</v>
      </c>
      <c r="J604" s="6" t="str">
        <f>"BEGE 870"</f>
        <v>BEGE 870</v>
      </c>
      <c r="K604" s="6" t="str">
        <f>"1004"</f>
        <v>1004</v>
      </c>
      <c r="L604" s="6" t="str">
        <f>"Toalhas"</f>
        <v>Toalhas</v>
      </c>
      <c r="M604" s="6" t="str">
        <f>"41x71"</f>
        <v>41x71</v>
      </c>
      <c r="N604" s="6" t="str">
        <f t="shared" si="171"/>
        <v xml:space="preserve"> </v>
      </c>
      <c r="O604" s="8">
        <v>1092</v>
      </c>
      <c r="P604" s="7">
        <v>45679</v>
      </c>
      <c r="R604" s="8">
        <v>1888</v>
      </c>
      <c r="S604" s="7">
        <v>45684</v>
      </c>
      <c r="U604" s="8">
        <v>1088</v>
      </c>
      <c r="V604" s="7">
        <v>45687</v>
      </c>
      <c r="X604" s="8">
        <v>0</v>
      </c>
      <c r="Z604" s="8">
        <v>1088</v>
      </c>
      <c r="AA604" s="7">
        <v>45699</v>
      </c>
      <c r="AC604" s="8">
        <v>0</v>
      </c>
      <c r="AE604" s="7">
        <v>45701</v>
      </c>
      <c r="AF604" s="8">
        <v>0</v>
      </c>
      <c r="AH604" s="7">
        <v>46066</v>
      </c>
      <c r="AN604" s="8">
        <v>0</v>
      </c>
      <c r="AO604" s="8">
        <v>1092</v>
      </c>
    </row>
    <row r="605" spans="1:41" x14ac:dyDescent="0.25">
      <c r="A605" s="6" t="str">
        <f>"521-2025000719"</f>
        <v>521-2025000719</v>
      </c>
      <c r="B605" s="6" t="str">
        <f>"WORLD MA"</f>
        <v>WORLD MA</v>
      </c>
      <c r="C605" s="7">
        <v>45968</v>
      </c>
      <c r="D605" s="7">
        <v>46066</v>
      </c>
      <c r="E605" s="8">
        <v>4</v>
      </c>
      <c r="F605" s="6" t="str">
        <f>"PO 200733777"</f>
        <v>PO 200733777</v>
      </c>
      <c r="G605" s="6" t="str">
        <f>"F310593055000000"</f>
        <v>F310593055000000</v>
      </c>
      <c r="H605" s="6" t="str">
        <f>"PLAR 5930 - 550 g/m²"</f>
        <v>PLAR 5930 - 550 g/m²</v>
      </c>
      <c r="I605" s="6" t="str">
        <f>"200870"</f>
        <v>200870</v>
      </c>
      <c r="J605" s="6" t="str">
        <f>"BEGE 870"</f>
        <v>BEGE 870</v>
      </c>
      <c r="K605" s="6" t="str">
        <f>"1534"</f>
        <v>1534</v>
      </c>
      <c r="L605" s="6" t="str">
        <f>"Toalhões"</f>
        <v>Toalhões</v>
      </c>
      <c r="M605" s="6" t="str">
        <f>"70x137"</f>
        <v>70x137</v>
      </c>
      <c r="N605" s="6" t="str">
        <f t="shared" si="171"/>
        <v xml:space="preserve"> </v>
      </c>
      <c r="O605" s="8">
        <v>896</v>
      </c>
      <c r="P605" s="7">
        <v>45679</v>
      </c>
      <c r="R605" s="8">
        <v>1311</v>
      </c>
      <c r="S605" s="7">
        <v>45684</v>
      </c>
      <c r="U605" s="8">
        <v>966</v>
      </c>
      <c r="V605" s="7">
        <v>45687</v>
      </c>
      <c r="X605" s="8">
        <v>0</v>
      </c>
      <c r="Z605" s="8">
        <v>966</v>
      </c>
      <c r="AA605" s="7">
        <v>45699</v>
      </c>
      <c r="AC605" s="8">
        <v>0</v>
      </c>
      <c r="AE605" s="7">
        <v>45701</v>
      </c>
      <c r="AF605" s="8">
        <v>0</v>
      </c>
      <c r="AH605" s="7">
        <v>46066</v>
      </c>
      <c r="AN605" s="8">
        <v>0</v>
      </c>
      <c r="AO605" s="8">
        <v>896</v>
      </c>
    </row>
    <row r="606" spans="1:41" x14ac:dyDescent="0.25">
      <c r="A606" s="6" t="str">
        <f>"521-2025000720"</f>
        <v>521-2025000720</v>
      </c>
      <c r="B606" s="6" t="str">
        <f>"WORLD MA"</f>
        <v>WORLD MA</v>
      </c>
      <c r="C606" s="7">
        <v>45968</v>
      </c>
      <c r="D606" s="7">
        <v>46066</v>
      </c>
      <c r="E606" s="8">
        <v>3</v>
      </c>
      <c r="F606" s="6" t="str">
        <f>"PO 400733777"</f>
        <v>PO 400733777</v>
      </c>
      <c r="G606" s="6" t="str">
        <f>"F310593055000000"</f>
        <v>F310593055000000</v>
      </c>
      <c r="H606" s="6" t="str">
        <f>"PLAR 5930 - 550 g/m²"</f>
        <v>PLAR 5930 - 550 g/m²</v>
      </c>
      <c r="I606" s="6" t="str">
        <f>"200870"</f>
        <v>200870</v>
      </c>
      <c r="J606" s="6" t="str">
        <f>"BEGE 870"</f>
        <v>BEGE 870</v>
      </c>
      <c r="K606" s="6" t="str">
        <f>"1004"</f>
        <v>1004</v>
      </c>
      <c r="L606" s="6" t="str">
        <f>"Toalhas"</f>
        <v>Toalhas</v>
      </c>
      <c r="M606" s="6" t="str">
        <f>"41x71"</f>
        <v>41x71</v>
      </c>
      <c r="N606" s="6" t="str">
        <f t="shared" si="171"/>
        <v xml:space="preserve"> </v>
      </c>
      <c r="O606" s="8">
        <v>756</v>
      </c>
      <c r="P606" s="7">
        <v>45679</v>
      </c>
      <c r="R606" s="8">
        <v>0</v>
      </c>
      <c r="S606" s="7">
        <v>45684</v>
      </c>
      <c r="U606" s="8">
        <v>800</v>
      </c>
      <c r="V606" s="7">
        <v>45687</v>
      </c>
      <c r="X606" s="8">
        <v>0</v>
      </c>
      <c r="Z606" s="8">
        <v>800</v>
      </c>
      <c r="AA606" s="7">
        <v>45699</v>
      </c>
      <c r="AC606" s="8">
        <v>0</v>
      </c>
      <c r="AE606" s="7">
        <v>45701</v>
      </c>
      <c r="AF606" s="8">
        <v>0</v>
      </c>
      <c r="AH606" s="7">
        <v>46066</v>
      </c>
      <c r="AN606" s="8">
        <v>0</v>
      </c>
      <c r="AO606" s="8">
        <v>756</v>
      </c>
    </row>
    <row r="607" spans="1:41" x14ac:dyDescent="0.25">
      <c r="A607" s="6" t="str">
        <f>"521-2025000720"</f>
        <v>521-2025000720</v>
      </c>
      <c r="B607" s="6" t="str">
        <f>"WORLD MA"</f>
        <v>WORLD MA</v>
      </c>
      <c r="C607" s="7">
        <v>45968</v>
      </c>
      <c r="D607" s="7">
        <v>46066</v>
      </c>
      <c r="E607" s="8">
        <v>4</v>
      </c>
      <c r="F607" s="6" t="str">
        <f>"PO 400733777"</f>
        <v>PO 400733777</v>
      </c>
      <c r="G607" s="6" t="str">
        <f>"F310593055000000"</f>
        <v>F310593055000000</v>
      </c>
      <c r="H607" s="6" t="str">
        <f>"PLAR 5930 - 550 g/m²"</f>
        <v>PLAR 5930 - 550 g/m²</v>
      </c>
      <c r="I607" s="6" t="str">
        <f>"200870"</f>
        <v>200870</v>
      </c>
      <c r="J607" s="6" t="str">
        <f>"BEGE 870"</f>
        <v>BEGE 870</v>
      </c>
      <c r="K607" s="6" t="str">
        <f>"1534"</f>
        <v>1534</v>
      </c>
      <c r="L607" s="6" t="str">
        <f>"Toalhões"</f>
        <v>Toalhões</v>
      </c>
      <c r="M607" s="6" t="str">
        <f>"70x137"</f>
        <v>70x137</v>
      </c>
      <c r="N607" s="6" t="str">
        <f t="shared" si="171"/>
        <v xml:space="preserve"> </v>
      </c>
      <c r="O607" s="8">
        <v>752</v>
      </c>
      <c r="P607" s="7">
        <v>45679</v>
      </c>
      <c r="R607" s="8">
        <v>0</v>
      </c>
      <c r="S607" s="7">
        <v>45684</v>
      </c>
      <c r="U607" s="8">
        <v>345</v>
      </c>
      <c r="V607" s="7">
        <v>45687</v>
      </c>
      <c r="X607" s="8">
        <v>0</v>
      </c>
      <c r="Z607" s="8">
        <v>345</v>
      </c>
      <c r="AA607" s="7">
        <v>45699</v>
      </c>
      <c r="AC607" s="8">
        <v>0</v>
      </c>
      <c r="AE607" s="7">
        <v>45701</v>
      </c>
      <c r="AF607" s="8">
        <v>0</v>
      </c>
      <c r="AH607" s="7">
        <v>46066</v>
      </c>
      <c r="AN607" s="8">
        <v>0</v>
      </c>
      <c r="AO607" s="8">
        <v>752</v>
      </c>
    </row>
    <row r="608" spans="1:41" x14ac:dyDescent="0.25">
      <c r="A608" s="6" t="str">
        <f>"521-2025000721"</f>
        <v>521-2025000721</v>
      </c>
      <c r="B608" s="6" t="str">
        <f>"FRANCOIS"</f>
        <v>FRANCOIS</v>
      </c>
      <c r="C608" s="7">
        <v>45968</v>
      </c>
      <c r="D608" s="7">
        <v>46101</v>
      </c>
      <c r="E608" s="8">
        <v>4</v>
      </c>
      <c r="F608" s="6" t="str">
        <f>"543627"</f>
        <v>543627</v>
      </c>
      <c r="G608" s="6" t="str">
        <f>"J300363840000000"</f>
        <v>J300363840000000</v>
      </c>
      <c r="H608" s="6" t="str">
        <f>"Conj. PLR 3638 - 400"</f>
        <v>Conj. PLR 3638 - 400</v>
      </c>
      <c r="I608" s="6" t="str">
        <f>"204371"</f>
        <v>204371</v>
      </c>
      <c r="J608" s="6" t="str">
        <f>"TIJOLO 4371"</f>
        <v>TIJOLO 4371</v>
      </c>
      <c r="K608" s="6" t="str">
        <f>"4014"</f>
        <v>4014</v>
      </c>
      <c r="L608" s="6" t="str">
        <f>"Conjunto/Jogos"</f>
        <v>Conjunto/Jogos</v>
      </c>
      <c r="M608" s="6" t="str">
        <f>"(2 Pcs)"</f>
        <v>(2 Pcs)</v>
      </c>
      <c r="N608" s="6" t="str">
        <f t="shared" si="171"/>
        <v xml:space="preserve"> </v>
      </c>
      <c r="O608" s="8">
        <v>1000</v>
      </c>
      <c r="P608" s="7">
        <v>46077</v>
      </c>
      <c r="R608" s="8">
        <v>2100</v>
      </c>
      <c r="S608" s="7">
        <v>46080</v>
      </c>
      <c r="U608" s="8">
        <v>0</v>
      </c>
      <c r="V608" s="7">
        <v>46085</v>
      </c>
      <c r="X608" s="8">
        <v>0</v>
      </c>
      <c r="Z608" s="8">
        <v>0</v>
      </c>
      <c r="AA608" s="7">
        <v>46097</v>
      </c>
      <c r="AC608" s="8">
        <v>0</v>
      </c>
      <c r="AE608" s="7">
        <v>46099</v>
      </c>
      <c r="AF608" s="8">
        <v>0</v>
      </c>
      <c r="AH608" s="7">
        <v>46101</v>
      </c>
      <c r="AN608" s="8">
        <v>0</v>
      </c>
      <c r="AO608" s="8">
        <v>1000</v>
      </c>
    </row>
    <row r="609" spans="1:41" x14ac:dyDescent="0.25">
      <c r="A609" s="6" t="str">
        <f>"521-2025000722"</f>
        <v>521-2025000722</v>
      </c>
      <c r="B609" s="6" t="str">
        <f>"VERTRIEB"</f>
        <v>VERTRIEB</v>
      </c>
      <c r="C609" s="7">
        <v>45968</v>
      </c>
      <c r="D609" s="7">
        <v>46052</v>
      </c>
      <c r="E609" s="8">
        <v>1</v>
      </c>
      <c r="F609" s="6" t="str">
        <f>"V26065 HSV"</f>
        <v>V26065 HSV</v>
      </c>
      <c r="G609" s="6" t="str">
        <f>"F300329140000003"</f>
        <v>F300329140000003</v>
      </c>
      <c r="H609" s="6" t="str">
        <f>"PLR 3291 (b) Bio GOT"</f>
        <v>PLR 3291 (b) Bio GOT</v>
      </c>
      <c r="I609" s="6" t="str">
        <f>"202589"</f>
        <v>202589</v>
      </c>
      <c r="J609" s="6" t="str">
        <f>"AZUL 2589"</f>
        <v>AZUL 2589</v>
      </c>
      <c r="K609" s="6" t="str">
        <f>"1024"</f>
        <v>1024</v>
      </c>
      <c r="L609" s="6" t="str">
        <f>"Toalhas"</f>
        <v>Toalhas</v>
      </c>
      <c r="M609" s="6" t="str">
        <f>"50x100"</f>
        <v>50x100</v>
      </c>
      <c r="N609" s="6" t="str">
        <f t="shared" si="171"/>
        <v xml:space="preserve"> </v>
      </c>
      <c r="O609" s="8">
        <v>1500</v>
      </c>
      <c r="P609" s="7">
        <v>46031</v>
      </c>
      <c r="R609" s="8">
        <v>1584</v>
      </c>
      <c r="S609" s="7">
        <v>46036</v>
      </c>
      <c r="U609" s="8">
        <v>1584</v>
      </c>
      <c r="V609" s="7">
        <v>46041</v>
      </c>
      <c r="X609" s="8">
        <v>0</v>
      </c>
      <c r="Z609" s="8">
        <v>1584</v>
      </c>
      <c r="AA609" s="7">
        <v>46051</v>
      </c>
      <c r="AC609" s="8">
        <v>0</v>
      </c>
      <c r="AE609" s="7">
        <v>46055</v>
      </c>
      <c r="AF609" s="8">
        <v>0</v>
      </c>
      <c r="AH609" s="7">
        <v>46052</v>
      </c>
      <c r="AN609" s="8">
        <v>0</v>
      </c>
      <c r="AO609" s="8">
        <v>1500</v>
      </c>
    </row>
    <row r="610" spans="1:41" x14ac:dyDescent="0.25">
      <c r="A610" s="6" t="str">
        <f>"521-2025000722"</f>
        <v>521-2025000722</v>
      </c>
      <c r="B610" s="6" t="str">
        <f>"VERTRIEB"</f>
        <v>VERTRIEB</v>
      </c>
      <c r="C610" s="7">
        <v>45968</v>
      </c>
      <c r="D610" s="7">
        <v>46052</v>
      </c>
      <c r="E610" s="8">
        <v>2</v>
      </c>
      <c r="F610" s="6" t="str">
        <f>"V26065 HSV"</f>
        <v>V26065 HSV</v>
      </c>
      <c r="G610" s="6" t="str">
        <f>"F300329140000003"</f>
        <v>F300329140000003</v>
      </c>
      <c r="H610" s="6" t="str">
        <f>"PLR 3291 (b) Bio GOT"</f>
        <v>PLR 3291 (b) Bio GOT</v>
      </c>
      <c r="I610" s="6" t="str">
        <f>"202589"</f>
        <v>202589</v>
      </c>
      <c r="J610" s="6" t="str">
        <f>"AZUL 2589"</f>
        <v>AZUL 2589</v>
      </c>
      <c r="K610" s="6" t="str">
        <f>"1535"</f>
        <v>1535</v>
      </c>
      <c r="L610" s="6" t="str">
        <f>"Toalhões"</f>
        <v>Toalhões</v>
      </c>
      <c r="M610" s="6" t="str">
        <f>"70x140"</f>
        <v>70x140</v>
      </c>
      <c r="N610" s="6" t="str">
        <f t="shared" si="171"/>
        <v xml:space="preserve"> </v>
      </c>
      <c r="O610" s="8">
        <v>1000</v>
      </c>
      <c r="P610" s="7">
        <v>46031</v>
      </c>
      <c r="R610" s="8">
        <v>1092</v>
      </c>
      <c r="S610" s="7">
        <v>46036</v>
      </c>
      <c r="U610" s="8">
        <v>1092</v>
      </c>
      <c r="V610" s="7">
        <v>46041</v>
      </c>
      <c r="X610" s="8">
        <v>0</v>
      </c>
      <c r="Z610" s="8">
        <v>1092</v>
      </c>
      <c r="AA610" s="7">
        <v>46051</v>
      </c>
      <c r="AC610" s="8">
        <v>0</v>
      </c>
      <c r="AE610" s="7">
        <v>46055</v>
      </c>
      <c r="AF610" s="8">
        <v>0</v>
      </c>
      <c r="AH610" s="7">
        <v>46052</v>
      </c>
      <c r="AN610" s="8">
        <v>0</v>
      </c>
      <c r="AO610" s="8">
        <v>1000</v>
      </c>
    </row>
    <row r="611" spans="1:41" x14ac:dyDescent="0.25">
      <c r="A611" s="6" t="str">
        <f>"521-2025000722"</f>
        <v>521-2025000722</v>
      </c>
      <c r="B611" s="6" t="str">
        <f>"VERTRIEB"</f>
        <v>VERTRIEB</v>
      </c>
      <c r="C611" s="7">
        <v>45968</v>
      </c>
      <c r="D611" s="7">
        <v>46052</v>
      </c>
      <c r="E611" s="8">
        <v>3</v>
      </c>
      <c r="F611" s="6" t="str">
        <f>"V26065 HSV"</f>
        <v>V26065 HSV</v>
      </c>
      <c r="G611" s="6" t="str">
        <f>"F300329140000003"</f>
        <v>F300329140000003</v>
      </c>
      <c r="H611" s="6" t="str">
        <f>"PLR 3291 (b) Bio GOT"</f>
        <v>PLR 3291 (b) Bio GOT</v>
      </c>
      <c r="I611" s="6" t="str">
        <f>"202589"</f>
        <v>202589</v>
      </c>
      <c r="J611" s="6" t="str">
        <f>"AZUL 2589"</f>
        <v>AZUL 2589</v>
      </c>
      <c r="K611" s="6" t="str">
        <f>"1545"</f>
        <v>1545</v>
      </c>
      <c r="L611" s="6" t="str">
        <f>"Toalhões"</f>
        <v>Toalhões</v>
      </c>
      <c r="M611" s="6" t="str">
        <f>"70x180"</f>
        <v>70x180</v>
      </c>
      <c r="N611" s="6" t="str">
        <f t="shared" si="171"/>
        <v xml:space="preserve"> </v>
      </c>
      <c r="O611" s="8">
        <v>500</v>
      </c>
      <c r="P611" s="7">
        <v>46031</v>
      </c>
      <c r="R611" s="8">
        <v>552</v>
      </c>
      <c r="S611" s="7">
        <v>46036</v>
      </c>
      <c r="U611" s="8">
        <v>552</v>
      </c>
      <c r="V611" s="7">
        <v>46041</v>
      </c>
      <c r="X611" s="8">
        <v>0</v>
      </c>
      <c r="Z611" s="8">
        <v>552</v>
      </c>
      <c r="AA611" s="7">
        <v>46051</v>
      </c>
      <c r="AC611" s="8">
        <v>0</v>
      </c>
      <c r="AE611" s="7">
        <v>46055</v>
      </c>
      <c r="AF611" s="8">
        <v>0</v>
      </c>
      <c r="AH611" s="7">
        <v>46052</v>
      </c>
      <c r="AN611" s="8">
        <v>0</v>
      </c>
      <c r="AO611" s="8">
        <v>500</v>
      </c>
    </row>
    <row r="612" spans="1:41" x14ac:dyDescent="0.25">
      <c r="A612" s="6" t="str">
        <f>"521-2025000725"</f>
        <v>521-2025000725</v>
      </c>
      <c r="B612" s="6" t="str">
        <f t="shared" ref="B612:B618" si="173">"ASHLEY W"</f>
        <v>ASHLEY W</v>
      </c>
      <c r="C612" s="7">
        <v>45972</v>
      </c>
      <c r="D612" s="7">
        <v>46052</v>
      </c>
      <c r="E612" s="8">
        <v>4</v>
      </c>
      <c r="F612" s="6" t="str">
        <f>"P36526 - OK - RETRO"</f>
        <v>P36526 - OK - RETRO</v>
      </c>
      <c r="G612" s="6" t="str">
        <f>"F310594758000000"</f>
        <v>F310594758000000</v>
      </c>
      <c r="H612" s="6" t="str">
        <f>"PLAR 5947 - 580 g/m²"</f>
        <v>PLAR 5947 - 580 g/m²</v>
      </c>
      <c r="I612" s="6" t="str">
        <f>"204425"</f>
        <v>204425</v>
      </c>
      <c r="J612" s="6" t="str">
        <f>"VERDE 4425"</f>
        <v>VERDE 4425</v>
      </c>
      <c r="K612" s="6" t="str">
        <f>"1020"</f>
        <v>1020</v>
      </c>
      <c r="L612" s="6" t="str">
        <f>"Toalhas"</f>
        <v>Toalhas</v>
      </c>
      <c r="M612" s="6" t="str">
        <f>"50x90"</f>
        <v>50x90</v>
      </c>
      <c r="N612" s="6" t="str">
        <f t="shared" si="171"/>
        <v xml:space="preserve"> </v>
      </c>
      <c r="O612" s="8">
        <v>700</v>
      </c>
      <c r="P612" s="7">
        <v>46021</v>
      </c>
      <c r="R612" s="8">
        <v>720</v>
      </c>
      <c r="S612" s="7">
        <v>46028</v>
      </c>
      <c r="U612" s="8">
        <v>720</v>
      </c>
      <c r="V612" s="7">
        <v>46031</v>
      </c>
      <c r="X612" s="8">
        <v>0</v>
      </c>
      <c r="Z612" s="8">
        <v>720</v>
      </c>
      <c r="AA612" s="7">
        <v>46043</v>
      </c>
      <c r="AC612" s="8">
        <v>510</v>
      </c>
      <c r="AE612" s="7">
        <v>46045</v>
      </c>
      <c r="AF612" s="8">
        <v>510</v>
      </c>
      <c r="AH612" s="7">
        <v>46052</v>
      </c>
      <c r="AN612" s="8">
        <v>0</v>
      </c>
      <c r="AO612" s="8">
        <v>700</v>
      </c>
    </row>
    <row r="613" spans="1:41" x14ac:dyDescent="0.25">
      <c r="A613" s="6" t="str">
        <f>"521-2025000725"</f>
        <v>521-2025000725</v>
      </c>
      <c r="B613" s="6" t="str">
        <f t="shared" si="173"/>
        <v>ASHLEY W</v>
      </c>
      <c r="C613" s="7">
        <v>45972</v>
      </c>
      <c r="D613" s="7">
        <v>46052</v>
      </c>
      <c r="E613" s="8">
        <v>5</v>
      </c>
      <c r="F613" s="6" t="str">
        <f>"P36526 - OK - RETRO"</f>
        <v>P36526 - OK - RETRO</v>
      </c>
      <c r="G613" s="6" t="str">
        <f>"F310594758000000"</f>
        <v>F310594758000000</v>
      </c>
      <c r="H613" s="6" t="str">
        <f>"PLAR 5947 - 580 g/m²"</f>
        <v>PLAR 5947 - 580 g/m²</v>
      </c>
      <c r="I613" s="6" t="str">
        <f>"204425"</f>
        <v>204425</v>
      </c>
      <c r="J613" s="6" t="str">
        <f>"VERDE 4425"</f>
        <v>VERDE 4425</v>
      </c>
      <c r="K613" s="6" t="str">
        <f>"1528"</f>
        <v>1528</v>
      </c>
      <c r="L613" s="6" t="str">
        <f>"Toalhões"</f>
        <v>Toalhões</v>
      </c>
      <c r="M613" s="6" t="str">
        <f>"70x125"</f>
        <v>70x125</v>
      </c>
      <c r="N613" s="6" t="str">
        <f t="shared" si="171"/>
        <v xml:space="preserve"> </v>
      </c>
      <c r="O613" s="8">
        <v>350</v>
      </c>
      <c r="P613" s="7">
        <v>46021</v>
      </c>
      <c r="R613" s="8">
        <v>381</v>
      </c>
      <c r="S613" s="7">
        <v>46028</v>
      </c>
      <c r="U613" s="8">
        <v>381</v>
      </c>
      <c r="V613" s="7">
        <v>46031</v>
      </c>
      <c r="X613" s="8">
        <v>0</v>
      </c>
      <c r="Z613" s="8">
        <v>381</v>
      </c>
      <c r="AA613" s="7">
        <v>46043</v>
      </c>
      <c r="AC613" s="8">
        <v>0</v>
      </c>
      <c r="AE613" s="7">
        <v>46045</v>
      </c>
      <c r="AF613" s="8">
        <v>0</v>
      </c>
      <c r="AH613" s="7">
        <v>46052</v>
      </c>
      <c r="AN613" s="8">
        <v>0</v>
      </c>
      <c r="AO613" s="8">
        <v>350</v>
      </c>
    </row>
    <row r="614" spans="1:41" x14ac:dyDescent="0.25">
      <c r="A614" s="6" t="str">
        <f>"521-2025000725"</f>
        <v>521-2025000725</v>
      </c>
      <c r="B614" s="6" t="str">
        <f t="shared" si="173"/>
        <v>ASHLEY W</v>
      </c>
      <c r="C614" s="7">
        <v>45972</v>
      </c>
      <c r="D614" s="7">
        <v>46052</v>
      </c>
      <c r="E614" s="8">
        <v>6</v>
      </c>
      <c r="F614" s="6" t="str">
        <f>"P36526 - OK - RETRO"</f>
        <v>P36526 - OK - RETRO</v>
      </c>
      <c r="G614" s="6" t="str">
        <f>"F310594795000000"</f>
        <v>F310594795000000</v>
      </c>
      <c r="H614" s="6" t="str">
        <f>"PLAR 5947 TA - 950 g"</f>
        <v>PLAR 5947 TA - 950 g</v>
      </c>
      <c r="I614" s="6" t="str">
        <f>"204425"</f>
        <v>204425</v>
      </c>
      <c r="J614" s="6" t="str">
        <f>"VERDE 4425"</f>
        <v>VERDE 4425</v>
      </c>
      <c r="K614" s="6" t="str">
        <f>"3071"</f>
        <v>3071</v>
      </c>
      <c r="L614" s="6" t="str">
        <f>"Tapetes"</f>
        <v>Tapetes</v>
      </c>
      <c r="M614" s="6" t="str">
        <f>"90x50"</f>
        <v>90x50</v>
      </c>
      <c r="N614" s="6" t="str">
        <f t="shared" si="171"/>
        <v xml:space="preserve"> </v>
      </c>
      <c r="O614" s="8">
        <v>500</v>
      </c>
      <c r="P614" s="7">
        <v>46021</v>
      </c>
      <c r="R614" s="8">
        <v>548</v>
      </c>
      <c r="S614" s="7">
        <v>46028</v>
      </c>
      <c r="U614" s="8">
        <v>548</v>
      </c>
      <c r="V614" s="7">
        <v>46031</v>
      </c>
      <c r="X614" s="8">
        <v>0</v>
      </c>
      <c r="Z614" s="8">
        <v>548</v>
      </c>
      <c r="AA614" s="7">
        <v>46043</v>
      </c>
      <c r="AC614" s="8">
        <v>500</v>
      </c>
      <c r="AE614" s="7">
        <v>46045</v>
      </c>
      <c r="AF614" s="8">
        <v>500</v>
      </c>
      <c r="AH614" s="7">
        <v>46052</v>
      </c>
      <c r="AN614" s="8">
        <v>0</v>
      </c>
      <c r="AO614" s="8">
        <v>500</v>
      </c>
    </row>
    <row r="615" spans="1:41" x14ac:dyDescent="0.25">
      <c r="A615" s="6" t="str">
        <f>"521-2025000726"</f>
        <v>521-2025000726</v>
      </c>
      <c r="B615" s="6" t="str">
        <f t="shared" si="173"/>
        <v>ASHLEY W</v>
      </c>
      <c r="C615" s="7">
        <v>45972</v>
      </c>
      <c r="D615" s="7">
        <v>46052</v>
      </c>
      <c r="E615" s="8">
        <v>3</v>
      </c>
      <c r="F615" s="6" t="str">
        <f>"P36527 - OK - LINEAR"</f>
        <v>P36527 - OK - LINEAR</v>
      </c>
      <c r="G615" s="6" t="str">
        <f>"F310624958000000"</f>
        <v>F310624958000000</v>
      </c>
      <c r="H615" s="6" t="str">
        <f>"PLAR 6249 - 580 g/m²"</f>
        <v>PLAR 6249 - 580 g/m²</v>
      </c>
      <c r="I615" s="6" t="str">
        <f>"204649"</f>
        <v>204649</v>
      </c>
      <c r="J615" s="6" t="str">
        <f>"AZUL 4649"</f>
        <v>AZUL 4649</v>
      </c>
      <c r="K615" s="6" t="str">
        <f>"1020"</f>
        <v>1020</v>
      </c>
      <c r="L615" s="6" t="str">
        <f>"Toalhas"</f>
        <v>Toalhas</v>
      </c>
      <c r="M615" s="6" t="str">
        <f>"50x90"</f>
        <v>50x90</v>
      </c>
      <c r="N615" s="6" t="str">
        <f t="shared" si="171"/>
        <v xml:space="preserve"> </v>
      </c>
      <c r="O615" s="8">
        <v>700</v>
      </c>
      <c r="P615" s="7">
        <v>46021</v>
      </c>
      <c r="R615" s="8">
        <v>780</v>
      </c>
      <c r="S615" s="7">
        <v>46028</v>
      </c>
      <c r="U615" s="8">
        <v>780</v>
      </c>
      <c r="V615" s="7">
        <v>46031</v>
      </c>
      <c r="X615" s="8">
        <v>0</v>
      </c>
      <c r="Z615" s="8">
        <v>780</v>
      </c>
      <c r="AA615" s="7">
        <v>46043</v>
      </c>
      <c r="AC615" s="8">
        <v>0</v>
      </c>
      <c r="AE615" s="7">
        <v>46045</v>
      </c>
      <c r="AF615" s="8">
        <v>0</v>
      </c>
      <c r="AH615" s="7">
        <v>46052</v>
      </c>
      <c r="AN615" s="8">
        <v>0</v>
      </c>
      <c r="AO615" s="8">
        <v>700</v>
      </c>
    </row>
    <row r="616" spans="1:41" x14ac:dyDescent="0.25">
      <c r="A616" s="6" t="str">
        <f>"521-2025000727"</f>
        <v>521-2025000727</v>
      </c>
      <c r="B616" s="6" t="str">
        <f t="shared" si="173"/>
        <v>ASHLEY W</v>
      </c>
      <c r="C616" s="7">
        <v>45972</v>
      </c>
      <c r="D616" s="7">
        <v>46052</v>
      </c>
      <c r="E616" s="8">
        <v>4</v>
      </c>
      <c r="F616" s="6" t="str">
        <f>"P36528 - OK - LINEAR"</f>
        <v>P36528 - OK - LINEAR</v>
      </c>
      <c r="G616" s="6" t="str">
        <f>"F310624958000000"</f>
        <v>F310624958000000</v>
      </c>
      <c r="H616" s="6" t="str">
        <f>"PLAR 6249 - 580 g/m²"</f>
        <v>PLAR 6249 - 580 g/m²</v>
      </c>
      <c r="I616" s="6" t="str">
        <f>"204649"</f>
        <v>204649</v>
      </c>
      <c r="J616" s="6" t="str">
        <f>"AZUL 4649"</f>
        <v>AZUL 4649</v>
      </c>
      <c r="K616" s="6" t="str">
        <f>"1528"</f>
        <v>1528</v>
      </c>
      <c r="L616" s="6" t="str">
        <f>"Toalhões"</f>
        <v>Toalhões</v>
      </c>
      <c r="M616" s="6" t="str">
        <f>"70x125"</f>
        <v>70x125</v>
      </c>
      <c r="N616" s="6" t="str">
        <f t="shared" si="171"/>
        <v xml:space="preserve"> </v>
      </c>
      <c r="O616" s="8">
        <v>350</v>
      </c>
      <c r="P616" s="7">
        <v>46021</v>
      </c>
      <c r="R616" s="8">
        <v>372</v>
      </c>
      <c r="S616" s="7">
        <v>46028</v>
      </c>
      <c r="U616" s="8">
        <v>372</v>
      </c>
      <c r="V616" s="7">
        <v>46031</v>
      </c>
      <c r="X616" s="8">
        <v>0</v>
      </c>
      <c r="Z616" s="8">
        <v>372</v>
      </c>
      <c r="AA616" s="7">
        <v>46043</v>
      </c>
      <c r="AC616" s="8">
        <v>0</v>
      </c>
      <c r="AE616" s="7">
        <v>46045</v>
      </c>
      <c r="AF616" s="8">
        <v>0</v>
      </c>
      <c r="AH616" s="7">
        <v>46052</v>
      </c>
      <c r="AN616" s="8">
        <v>0</v>
      </c>
      <c r="AO616" s="8">
        <v>350</v>
      </c>
    </row>
    <row r="617" spans="1:41" x14ac:dyDescent="0.25">
      <c r="A617" s="6" t="str">
        <f>"521-2025000728"</f>
        <v>521-2025000728</v>
      </c>
      <c r="B617" s="6" t="str">
        <f t="shared" si="173"/>
        <v>ASHLEY W</v>
      </c>
      <c r="C617" s="7">
        <v>45972</v>
      </c>
      <c r="D617" s="7">
        <v>46052</v>
      </c>
      <c r="E617" s="8">
        <v>3</v>
      </c>
      <c r="F617" s="6" t="str">
        <f>"P36529 - OK - WILDFL"</f>
        <v>P36529 - OK - WILDFL</v>
      </c>
      <c r="G617" s="6" t="str">
        <f>"F310628558000000"</f>
        <v>F310628558000000</v>
      </c>
      <c r="H617" s="6" t="str">
        <f>"PLAR 6285 - 580 g/m²"</f>
        <v>PLAR 6285 - 580 g/m²</v>
      </c>
      <c r="I617" s="6" t="str">
        <f>"204781"</f>
        <v>204781</v>
      </c>
      <c r="J617" s="6" t="str">
        <f>"VERDE 4781"</f>
        <v>VERDE 4781</v>
      </c>
      <c r="K617" s="6" t="str">
        <f>"2020"</f>
        <v>2020</v>
      </c>
      <c r="L617" s="6" t="str">
        <f>"Lençóis"</f>
        <v>Lençóis</v>
      </c>
      <c r="M617" s="6" t="str">
        <f>"100x150"</f>
        <v>100x150</v>
      </c>
      <c r="N617" s="6" t="str">
        <f t="shared" si="171"/>
        <v xml:space="preserve"> </v>
      </c>
      <c r="O617" s="8">
        <v>200</v>
      </c>
      <c r="P617" s="7">
        <v>46021</v>
      </c>
      <c r="R617" s="8">
        <v>288</v>
      </c>
      <c r="S617" s="7">
        <v>46028</v>
      </c>
      <c r="U617" s="8">
        <v>216</v>
      </c>
      <c r="V617" s="7">
        <v>46031</v>
      </c>
      <c r="X617" s="8">
        <v>0</v>
      </c>
      <c r="Z617" s="8">
        <v>216</v>
      </c>
      <c r="AA617" s="7">
        <v>46043</v>
      </c>
      <c r="AC617" s="8">
        <v>0</v>
      </c>
      <c r="AE617" s="7">
        <v>46045</v>
      </c>
      <c r="AF617" s="8">
        <v>0</v>
      </c>
      <c r="AH617" s="7">
        <v>46052</v>
      </c>
      <c r="AN617" s="8">
        <v>0</v>
      </c>
      <c r="AO617" s="8">
        <v>200</v>
      </c>
    </row>
    <row r="618" spans="1:41" x14ac:dyDescent="0.25">
      <c r="A618" s="6" t="str">
        <f>"521-2025000729"</f>
        <v>521-2025000729</v>
      </c>
      <c r="B618" s="6" t="str">
        <f t="shared" si="173"/>
        <v>ASHLEY W</v>
      </c>
      <c r="C618" s="7">
        <v>45972</v>
      </c>
      <c r="D618" s="7">
        <v>46052</v>
      </c>
      <c r="E618" s="8">
        <v>4</v>
      </c>
      <c r="F618" s="6" t="str">
        <f>"P36530 - OK - STEM B"</f>
        <v>P36530 - OK - STEM B</v>
      </c>
      <c r="G618" s="6" t="str">
        <f>"F310624195000000"</f>
        <v>F310624195000000</v>
      </c>
      <c r="H618" s="6" t="str">
        <f>"PLAR 6241 TA - 950 g"</f>
        <v>PLAR 6241 TA - 950 g</v>
      </c>
      <c r="I618" s="6" t="str">
        <f>"204459"</f>
        <v>204459</v>
      </c>
      <c r="J618" s="6" t="str">
        <f>"ROSA 4459"</f>
        <v>ROSA 4459</v>
      </c>
      <c r="K618" s="6" t="str">
        <f>"3071"</f>
        <v>3071</v>
      </c>
      <c r="L618" s="6" t="str">
        <f>"Tapetes"</f>
        <v>Tapetes</v>
      </c>
      <c r="M618" s="6" t="str">
        <f>"90x50"</f>
        <v>90x50</v>
      </c>
      <c r="N618" s="6" t="str">
        <f t="shared" si="171"/>
        <v xml:space="preserve"> </v>
      </c>
      <c r="O618" s="8">
        <v>500</v>
      </c>
      <c r="P618" s="7">
        <v>46021</v>
      </c>
      <c r="R618" s="8">
        <v>580</v>
      </c>
      <c r="S618" s="7">
        <v>46029</v>
      </c>
      <c r="U618" s="8">
        <v>580</v>
      </c>
      <c r="V618" s="7">
        <v>46034</v>
      </c>
      <c r="X618" s="8">
        <v>0</v>
      </c>
      <c r="Z618" s="8">
        <v>580</v>
      </c>
      <c r="AA618" s="7">
        <v>46044</v>
      </c>
      <c r="AC618" s="8">
        <v>0</v>
      </c>
      <c r="AE618" s="7">
        <v>46048</v>
      </c>
      <c r="AF618" s="8">
        <v>0</v>
      </c>
      <c r="AH618" s="7">
        <v>46052</v>
      </c>
      <c r="AN618" s="8">
        <v>0</v>
      </c>
      <c r="AO618" s="8">
        <v>500</v>
      </c>
    </row>
    <row r="619" spans="1:41" x14ac:dyDescent="0.25">
      <c r="A619" s="6" t="str">
        <f>"521-2025000730"</f>
        <v>521-2025000730</v>
      </c>
      <c r="B619" s="6" t="str">
        <f>"VARG KLÄ"</f>
        <v>VARG KLÄ</v>
      </c>
      <c r="C619" s="7">
        <v>45972</v>
      </c>
      <c r="D619" s="7">
        <v>46066</v>
      </c>
      <c r="E619" s="8">
        <v>1</v>
      </c>
      <c r="F619" s="6" t="str">
        <f>"SP901 - TORO PONCHO"</f>
        <v>SP901 - TORO PONCHO</v>
      </c>
      <c r="G619" s="6" t="str">
        <f>"K119244738004088"</f>
        <v>K119244738004088</v>
      </c>
      <c r="H619" s="6" t="str">
        <f>"KB 2447 / 4088+4089"</f>
        <v>KB 2447 / 4088+4089</v>
      </c>
      <c r="I619" s="6" t="str">
        <f>"204922"</f>
        <v>204922</v>
      </c>
      <c r="J619" s="6" t="str">
        <f>"AZUL 4922"</f>
        <v>AZUL 4922</v>
      </c>
      <c r="K619" s="6" t="str">
        <f>"5840"</f>
        <v>5840</v>
      </c>
      <c r="L619" s="6" t="str">
        <f>"Poncho"</f>
        <v>Poncho</v>
      </c>
      <c r="M619" s="6" t="str">
        <f>"Curto"</f>
        <v>Curto</v>
      </c>
      <c r="N619" s="6" t="str">
        <f t="shared" si="171"/>
        <v xml:space="preserve"> </v>
      </c>
      <c r="O619" s="8">
        <v>150</v>
      </c>
      <c r="P619" s="7">
        <v>46044</v>
      </c>
      <c r="R619" s="8">
        <v>380</v>
      </c>
      <c r="S619" s="7">
        <v>46049</v>
      </c>
      <c r="U619" s="8">
        <v>0</v>
      </c>
      <c r="V619" s="7">
        <v>46058</v>
      </c>
      <c r="X619" s="8">
        <v>0</v>
      </c>
      <c r="Z619" s="8">
        <v>0</v>
      </c>
      <c r="AA619" s="7">
        <v>46072</v>
      </c>
      <c r="AC619" s="8">
        <v>0</v>
      </c>
      <c r="AE619" s="7">
        <v>46076</v>
      </c>
      <c r="AF619" s="8">
        <v>0</v>
      </c>
      <c r="AH619" s="7">
        <v>46066</v>
      </c>
      <c r="AN619" s="8">
        <v>0</v>
      </c>
      <c r="AO619" s="8">
        <v>150</v>
      </c>
    </row>
    <row r="620" spans="1:41" x14ac:dyDescent="0.25">
      <c r="A620" s="6" t="str">
        <f>"521-2025000730"</f>
        <v>521-2025000730</v>
      </c>
      <c r="B620" s="6" t="str">
        <f>"VARG KLÄ"</f>
        <v>VARG KLÄ</v>
      </c>
      <c r="C620" s="7">
        <v>45972</v>
      </c>
      <c r="D620" s="7">
        <v>46066</v>
      </c>
      <c r="E620" s="8">
        <v>2</v>
      </c>
      <c r="F620" s="6" t="str">
        <f>"SP901 - TORO PONCHO"</f>
        <v>SP901 - TORO PONCHO</v>
      </c>
      <c r="G620" s="6" t="str">
        <f>"K119244738004088"</f>
        <v>K119244738004088</v>
      </c>
      <c r="H620" s="6" t="str">
        <f>"KB 2447 / 4088+4089"</f>
        <v>KB 2447 / 4088+4089</v>
      </c>
      <c r="I620" s="6" t="str">
        <f>"204922"</f>
        <v>204922</v>
      </c>
      <c r="J620" s="6" t="str">
        <f>"AZUL 4922"</f>
        <v>AZUL 4922</v>
      </c>
      <c r="K620" s="6" t="str">
        <f>"5842"</f>
        <v>5842</v>
      </c>
      <c r="L620" s="6" t="str">
        <f>"Poncho"</f>
        <v>Poncho</v>
      </c>
      <c r="M620" s="6" t="str">
        <f>"Comprido"</f>
        <v>Comprido</v>
      </c>
      <c r="N620" s="6" t="str">
        <f t="shared" ref="N620:N626" si="174">" "</f>
        <v xml:space="preserve"> </v>
      </c>
      <c r="O620" s="8">
        <v>150</v>
      </c>
      <c r="P620" s="7">
        <v>46044</v>
      </c>
      <c r="R620" s="8">
        <v>0</v>
      </c>
      <c r="S620" s="7">
        <v>46049</v>
      </c>
      <c r="U620" s="8">
        <v>0</v>
      </c>
      <c r="V620" s="7">
        <v>46058</v>
      </c>
      <c r="X620" s="8">
        <v>0</v>
      </c>
      <c r="Z620" s="8">
        <v>0</v>
      </c>
      <c r="AA620" s="7">
        <v>46072</v>
      </c>
      <c r="AC620" s="8">
        <v>0</v>
      </c>
      <c r="AE620" s="7">
        <v>46076</v>
      </c>
      <c r="AF620" s="8">
        <v>0</v>
      </c>
      <c r="AH620" s="7">
        <v>46066</v>
      </c>
      <c r="AN620" s="8">
        <v>0</v>
      </c>
      <c r="AO620" s="8">
        <v>150</v>
      </c>
    </row>
    <row r="621" spans="1:41" x14ac:dyDescent="0.25">
      <c r="A621" s="6" t="str">
        <f t="shared" ref="A621:A626" si="175">"521-2025000731"</f>
        <v>521-2025000731</v>
      </c>
      <c r="B621" s="6" t="str">
        <f t="shared" ref="B621:B626" si="176">"ELLOS AB"</f>
        <v>ELLOS AB</v>
      </c>
      <c r="C621" s="7">
        <v>45972</v>
      </c>
      <c r="D621" s="7">
        <v>46045</v>
      </c>
      <c r="E621" s="8">
        <v>1</v>
      </c>
      <c r="F621" s="6" t="str">
        <f t="shared" ref="F621:F626" si="177">"103983892"</f>
        <v>103983892</v>
      </c>
      <c r="G621" s="6" t="str">
        <f>"F330305848000000"</f>
        <v>F330305848000000</v>
      </c>
      <c r="H621" s="6" t="str">
        <f>"PLA 3058 BCI - 480 g"</f>
        <v>PLA 3058 BCI - 480 g</v>
      </c>
      <c r="I621" s="6" t="str">
        <f>"204578"</f>
        <v>204578</v>
      </c>
      <c r="J621" s="6" t="str">
        <f>"AZUL 4578"</f>
        <v>AZUL 4578</v>
      </c>
      <c r="K621" s="6" t="str">
        <f>"1008"</f>
        <v>1008</v>
      </c>
      <c r="L621" s="6" t="str">
        <f>"Toalhas"</f>
        <v>Toalhas</v>
      </c>
      <c r="M621" s="6" t="str">
        <f>"50x70"</f>
        <v>50x70</v>
      </c>
      <c r="N621" s="6" t="str">
        <f t="shared" si="174"/>
        <v xml:space="preserve"> </v>
      </c>
      <c r="O621" s="8">
        <v>600</v>
      </c>
      <c r="P621" s="7">
        <v>46010</v>
      </c>
      <c r="R621" s="8">
        <v>668</v>
      </c>
      <c r="S621" s="7">
        <v>46020</v>
      </c>
      <c r="U621" s="8">
        <v>668</v>
      </c>
      <c r="V621" s="7">
        <v>46030</v>
      </c>
      <c r="X621" s="8">
        <v>0</v>
      </c>
      <c r="Z621" s="8">
        <v>668</v>
      </c>
      <c r="AA621" s="7">
        <v>46044</v>
      </c>
      <c r="AC621" s="8">
        <v>0</v>
      </c>
      <c r="AE621" s="7">
        <v>46049</v>
      </c>
      <c r="AF621" s="8">
        <v>0</v>
      </c>
      <c r="AH621" s="7">
        <v>46045</v>
      </c>
      <c r="AN621" s="8">
        <v>0</v>
      </c>
      <c r="AO621" s="8">
        <v>600</v>
      </c>
    </row>
    <row r="622" spans="1:41" x14ac:dyDescent="0.25">
      <c r="A622" s="6" t="str">
        <f t="shared" si="175"/>
        <v>521-2025000731</v>
      </c>
      <c r="B622" s="6" t="str">
        <f t="shared" si="176"/>
        <v>ELLOS AB</v>
      </c>
      <c r="C622" s="7">
        <v>45972</v>
      </c>
      <c r="D622" s="7">
        <v>46045</v>
      </c>
      <c r="E622" s="8">
        <v>2</v>
      </c>
      <c r="F622" s="6" t="str">
        <f t="shared" si="177"/>
        <v>103983892</v>
      </c>
      <c r="G622" s="6" t="str">
        <f>"F330305848000000"</f>
        <v>F330305848000000</v>
      </c>
      <c r="H622" s="6" t="str">
        <f>"PLA 3058 BCI - 480 g"</f>
        <v>PLA 3058 BCI - 480 g</v>
      </c>
      <c r="I622" s="6" t="str">
        <f>"204578"</f>
        <v>204578</v>
      </c>
      <c r="J622" s="6" t="str">
        <f>"AZUL 4578"</f>
        <v>AZUL 4578</v>
      </c>
      <c r="K622" s="6" t="str">
        <f>"2002"</f>
        <v>2002</v>
      </c>
      <c r="L622" s="6" t="str">
        <f>"Lençóis"</f>
        <v>Lençóis</v>
      </c>
      <c r="M622" s="6" t="str">
        <f>"90x150"</f>
        <v>90x150</v>
      </c>
      <c r="N622" s="6" t="str">
        <f t="shared" si="174"/>
        <v xml:space="preserve"> </v>
      </c>
      <c r="O622" s="8">
        <v>300</v>
      </c>
      <c r="P622" s="7">
        <v>46010</v>
      </c>
      <c r="R622" s="8">
        <v>332</v>
      </c>
      <c r="S622" s="7">
        <v>46020</v>
      </c>
      <c r="U622" s="8">
        <v>332</v>
      </c>
      <c r="V622" s="7">
        <v>46030</v>
      </c>
      <c r="X622" s="8">
        <v>0</v>
      </c>
      <c r="Z622" s="8">
        <v>332</v>
      </c>
      <c r="AA622" s="7">
        <v>46044</v>
      </c>
      <c r="AC622" s="8">
        <v>0</v>
      </c>
      <c r="AE622" s="7">
        <v>46049</v>
      </c>
      <c r="AF622" s="8">
        <v>0</v>
      </c>
      <c r="AH622" s="7">
        <v>46045</v>
      </c>
      <c r="AN622" s="8">
        <v>0</v>
      </c>
      <c r="AO622" s="8">
        <v>300</v>
      </c>
    </row>
    <row r="623" spans="1:41" x14ac:dyDescent="0.25">
      <c r="A623" s="6" t="str">
        <f t="shared" si="175"/>
        <v>521-2025000731</v>
      </c>
      <c r="B623" s="6" t="str">
        <f t="shared" si="176"/>
        <v>ELLOS AB</v>
      </c>
      <c r="C623" s="7">
        <v>45972</v>
      </c>
      <c r="D623" s="7">
        <v>46045</v>
      </c>
      <c r="E623" s="8">
        <v>3</v>
      </c>
      <c r="F623" s="6" t="str">
        <f t="shared" si="177"/>
        <v>103983892</v>
      </c>
      <c r="G623" s="6" t="str">
        <f>"F330305848000000"</f>
        <v>F330305848000000</v>
      </c>
      <c r="H623" s="6" t="str">
        <f>"PLA 3058 BCI - 480 g"</f>
        <v>PLA 3058 BCI - 480 g</v>
      </c>
      <c r="I623" s="6" t="str">
        <f>"203855"</f>
        <v>203855</v>
      </c>
      <c r="J623" s="6" t="str">
        <f>"ROSA 3855"</f>
        <v>ROSA 3855</v>
      </c>
      <c r="K623" s="6" t="str">
        <f>"1008"</f>
        <v>1008</v>
      </c>
      <c r="L623" s="6" t="str">
        <f>"Toalhas"</f>
        <v>Toalhas</v>
      </c>
      <c r="M623" s="6" t="str">
        <f>"50x70"</f>
        <v>50x70</v>
      </c>
      <c r="N623" s="6" t="str">
        <f t="shared" si="174"/>
        <v xml:space="preserve"> </v>
      </c>
      <c r="O623" s="8">
        <v>600</v>
      </c>
      <c r="P623" s="7">
        <v>46010</v>
      </c>
      <c r="R623" s="8">
        <v>648</v>
      </c>
      <c r="S623" s="7">
        <v>46020</v>
      </c>
      <c r="U623" s="8">
        <v>648</v>
      </c>
      <c r="V623" s="7">
        <v>46030</v>
      </c>
      <c r="X623" s="8">
        <v>0</v>
      </c>
      <c r="Z623" s="8">
        <v>648</v>
      </c>
      <c r="AA623" s="7">
        <v>46044</v>
      </c>
      <c r="AC623" s="8">
        <v>0</v>
      </c>
      <c r="AE623" s="7">
        <v>46049</v>
      </c>
      <c r="AF623" s="8">
        <v>0</v>
      </c>
      <c r="AH623" s="7">
        <v>46045</v>
      </c>
      <c r="AN623" s="8">
        <v>0</v>
      </c>
      <c r="AO623" s="8">
        <v>600</v>
      </c>
    </row>
    <row r="624" spans="1:41" x14ac:dyDescent="0.25">
      <c r="A624" s="6" t="str">
        <f t="shared" si="175"/>
        <v>521-2025000731</v>
      </c>
      <c r="B624" s="6" t="str">
        <f t="shared" si="176"/>
        <v>ELLOS AB</v>
      </c>
      <c r="C624" s="7">
        <v>45972</v>
      </c>
      <c r="D624" s="7">
        <v>46045</v>
      </c>
      <c r="E624" s="8">
        <v>4</v>
      </c>
      <c r="F624" s="6" t="str">
        <f t="shared" si="177"/>
        <v>103983892</v>
      </c>
      <c r="G624" s="6" t="str">
        <f>"F330305848000000"</f>
        <v>F330305848000000</v>
      </c>
      <c r="H624" s="6" t="str">
        <f>"PLA 3058 BCI - 480 g"</f>
        <v>PLA 3058 BCI - 480 g</v>
      </c>
      <c r="I624" s="6" t="str">
        <f>"203855"</f>
        <v>203855</v>
      </c>
      <c r="J624" s="6" t="str">
        <f>"ROSA 3855"</f>
        <v>ROSA 3855</v>
      </c>
      <c r="K624" s="6" t="str">
        <f>"2002"</f>
        <v>2002</v>
      </c>
      <c r="L624" s="6" t="str">
        <f>"Lençóis"</f>
        <v>Lençóis</v>
      </c>
      <c r="M624" s="6" t="str">
        <f>"90x150"</f>
        <v>90x150</v>
      </c>
      <c r="N624" s="6" t="str">
        <f t="shared" si="174"/>
        <v xml:space="preserve"> </v>
      </c>
      <c r="O624" s="8">
        <v>300</v>
      </c>
      <c r="P624" s="7">
        <v>46010</v>
      </c>
      <c r="R624" s="8">
        <v>344</v>
      </c>
      <c r="S624" s="7">
        <v>46020</v>
      </c>
      <c r="U624" s="8">
        <v>344</v>
      </c>
      <c r="V624" s="7">
        <v>46030</v>
      </c>
      <c r="X624" s="8">
        <v>0</v>
      </c>
      <c r="Z624" s="8">
        <v>344</v>
      </c>
      <c r="AA624" s="7">
        <v>46044</v>
      </c>
      <c r="AC624" s="8">
        <v>0</v>
      </c>
      <c r="AE624" s="7">
        <v>46049</v>
      </c>
      <c r="AF624" s="8">
        <v>0</v>
      </c>
      <c r="AH624" s="7">
        <v>46045</v>
      </c>
      <c r="AN624" s="8">
        <v>0</v>
      </c>
      <c r="AO624" s="8">
        <v>300</v>
      </c>
    </row>
    <row r="625" spans="1:41" x14ac:dyDescent="0.25">
      <c r="A625" s="6" t="str">
        <f t="shared" si="175"/>
        <v>521-2025000731</v>
      </c>
      <c r="B625" s="6" t="str">
        <f t="shared" si="176"/>
        <v>ELLOS AB</v>
      </c>
      <c r="C625" s="7">
        <v>45972</v>
      </c>
      <c r="D625" s="7">
        <v>46045</v>
      </c>
      <c r="E625" s="8">
        <v>5</v>
      </c>
      <c r="F625" s="6" t="str">
        <f t="shared" si="177"/>
        <v>103983892</v>
      </c>
      <c r="G625" s="6" t="str">
        <f>"F310624548000000"</f>
        <v>F310624548000000</v>
      </c>
      <c r="H625" s="6" t="str">
        <f>"PLAR 6245 FD BCI - 4"</f>
        <v>PLAR 6245 FD BCI - 4</v>
      </c>
      <c r="I625" s="6" t="str">
        <f>"201178"</f>
        <v>201178</v>
      </c>
      <c r="J625" s="6" t="str">
        <f>"AZUL 1178"</f>
        <v>AZUL 1178</v>
      </c>
      <c r="K625" s="6" t="str">
        <f>"1008"</f>
        <v>1008</v>
      </c>
      <c r="L625" s="6" t="str">
        <f>"Toalhas"</f>
        <v>Toalhas</v>
      </c>
      <c r="M625" s="6" t="str">
        <f>"50x70"</f>
        <v>50x70</v>
      </c>
      <c r="N625" s="6" t="str">
        <f t="shared" si="174"/>
        <v xml:space="preserve"> </v>
      </c>
      <c r="O625" s="8">
        <v>600</v>
      </c>
      <c r="P625" s="7">
        <v>46010</v>
      </c>
      <c r="R625" s="8">
        <v>668</v>
      </c>
      <c r="S625" s="7">
        <v>46020</v>
      </c>
      <c r="U625" s="8">
        <v>668</v>
      </c>
      <c r="V625" s="7">
        <v>46030</v>
      </c>
      <c r="X625" s="8">
        <v>0</v>
      </c>
      <c r="Z625" s="8">
        <v>668</v>
      </c>
      <c r="AA625" s="7">
        <v>46044</v>
      </c>
      <c r="AC625" s="8">
        <v>0</v>
      </c>
      <c r="AE625" s="7">
        <v>46049</v>
      </c>
      <c r="AF625" s="8">
        <v>0</v>
      </c>
      <c r="AH625" s="7">
        <v>46045</v>
      </c>
      <c r="AN625" s="8">
        <v>0</v>
      </c>
      <c r="AO625" s="8">
        <v>600</v>
      </c>
    </row>
    <row r="626" spans="1:41" x14ac:dyDescent="0.25">
      <c r="A626" s="6" t="str">
        <f t="shared" si="175"/>
        <v>521-2025000731</v>
      </c>
      <c r="B626" s="6" t="str">
        <f t="shared" si="176"/>
        <v>ELLOS AB</v>
      </c>
      <c r="C626" s="7">
        <v>45972</v>
      </c>
      <c r="D626" s="7">
        <v>46045</v>
      </c>
      <c r="E626" s="8">
        <v>6</v>
      </c>
      <c r="F626" s="6" t="str">
        <f t="shared" si="177"/>
        <v>103983892</v>
      </c>
      <c r="G626" s="6" t="str">
        <f>"F310624548000000"</f>
        <v>F310624548000000</v>
      </c>
      <c r="H626" s="6" t="str">
        <f>"PLAR 6245 FD BCI - 4"</f>
        <v>PLAR 6245 FD BCI - 4</v>
      </c>
      <c r="I626" s="6" t="str">
        <f>"201178"</f>
        <v>201178</v>
      </c>
      <c r="J626" s="6" t="str">
        <f>"AZUL 1178"</f>
        <v>AZUL 1178</v>
      </c>
      <c r="K626" s="6" t="str">
        <f>"2002"</f>
        <v>2002</v>
      </c>
      <c r="L626" s="6" t="str">
        <f>"Lençóis"</f>
        <v>Lençóis</v>
      </c>
      <c r="M626" s="6" t="str">
        <f>"90x150"</f>
        <v>90x150</v>
      </c>
      <c r="N626" s="6" t="str">
        <f t="shared" si="174"/>
        <v xml:space="preserve"> </v>
      </c>
      <c r="O626" s="8">
        <v>300</v>
      </c>
      <c r="P626" s="7">
        <v>46010</v>
      </c>
      <c r="R626" s="8">
        <v>336</v>
      </c>
      <c r="S626" s="7">
        <v>46020</v>
      </c>
      <c r="U626" s="8">
        <v>336</v>
      </c>
      <c r="V626" s="7">
        <v>46030</v>
      </c>
      <c r="X626" s="8">
        <v>0</v>
      </c>
      <c r="Z626" s="8">
        <v>336</v>
      </c>
      <c r="AA626" s="7">
        <v>46044</v>
      </c>
      <c r="AC626" s="8">
        <v>0</v>
      </c>
      <c r="AE626" s="7">
        <v>46049</v>
      </c>
      <c r="AF626" s="8">
        <v>0</v>
      </c>
      <c r="AH626" s="7">
        <v>46045</v>
      </c>
      <c r="AN626" s="8">
        <v>0</v>
      </c>
      <c r="AO626" s="8">
        <v>300</v>
      </c>
    </row>
    <row r="627" spans="1:41" x14ac:dyDescent="0.25">
      <c r="A627" s="6" t="str">
        <f t="shared" ref="A627:A633" si="178">"521-2025000732"</f>
        <v>521-2025000732</v>
      </c>
      <c r="B627" s="6" t="str">
        <f t="shared" ref="B627:B633" si="179">"LOSCH HA"</f>
        <v>LOSCH HA</v>
      </c>
      <c r="C627" s="7">
        <v>45974</v>
      </c>
      <c r="D627" s="7">
        <v>46059</v>
      </c>
      <c r="E627" s="8">
        <v>1</v>
      </c>
      <c r="F627" s="6" t="s">
        <v>0</v>
      </c>
      <c r="G627" s="6" t="str">
        <f>"C001090426004066"</f>
        <v>C001090426004066</v>
      </c>
      <c r="H627" s="6" t="str">
        <f>"CZJ 0904 / 4066 - 26"</f>
        <v>CZJ 0904 / 4066 - 26</v>
      </c>
      <c r="I627" s="6" t="str">
        <f>"200498"</f>
        <v>200498</v>
      </c>
      <c r="J627" s="6" t="str">
        <f>"VERMELHO 498"</f>
        <v>VERMELHO 498</v>
      </c>
      <c r="K627" s="6" t="str">
        <f t="shared" ref="K627:K633" si="180">"0830"</f>
        <v>0830</v>
      </c>
      <c r="L627" s="6" t="str">
        <f t="shared" ref="L627:L633" si="181">"Cozinha"</f>
        <v>Cozinha</v>
      </c>
      <c r="M627" s="6" t="str">
        <f t="shared" ref="M627:M633" si="182">"50x70"</f>
        <v>50x70</v>
      </c>
      <c r="N627" s="6" t="str">
        <f>"5605247644298"</f>
        <v>5605247644298</v>
      </c>
      <c r="O627" s="8">
        <v>96</v>
      </c>
      <c r="P627" s="7">
        <v>45974</v>
      </c>
      <c r="R627" s="8">
        <v>0</v>
      </c>
      <c r="U627" s="8">
        <v>0</v>
      </c>
      <c r="X627" s="8">
        <v>0</v>
      </c>
      <c r="Z627" s="8">
        <v>0</v>
      </c>
      <c r="AC627" s="8">
        <v>96</v>
      </c>
      <c r="AE627" s="7">
        <v>45981</v>
      </c>
      <c r="AF627" s="8">
        <v>96</v>
      </c>
      <c r="AH627" s="7">
        <v>46059</v>
      </c>
      <c r="AN627" s="8">
        <v>96</v>
      </c>
      <c r="AO627" s="8">
        <v>0</v>
      </c>
    </row>
    <row r="628" spans="1:41" x14ac:dyDescent="0.25">
      <c r="A628" s="6" t="str">
        <f t="shared" si="178"/>
        <v>521-2025000732</v>
      </c>
      <c r="B628" s="6" t="str">
        <f t="shared" si="179"/>
        <v>LOSCH HA</v>
      </c>
      <c r="C628" s="7">
        <v>45974</v>
      </c>
      <c r="D628" s="7">
        <v>46059</v>
      </c>
      <c r="E628" s="8">
        <v>2</v>
      </c>
      <c r="F628" s="6" t="s">
        <v>0</v>
      </c>
      <c r="G628" s="6" t="str">
        <f>"C001090426004067"</f>
        <v>C001090426004067</v>
      </c>
      <c r="H628" s="6" t="str">
        <f>"CZJ 0904 / 4067 - 26"</f>
        <v>CZJ 0904 / 4067 - 26</v>
      </c>
      <c r="I628" s="6" t="str">
        <f>"201013"</f>
        <v>201013</v>
      </c>
      <c r="J628" s="6" t="str">
        <f>"AZUL 1013"</f>
        <v>AZUL 1013</v>
      </c>
      <c r="K628" s="6" t="str">
        <f t="shared" si="180"/>
        <v>0830</v>
      </c>
      <c r="L628" s="6" t="str">
        <f t="shared" si="181"/>
        <v>Cozinha</v>
      </c>
      <c r="M628" s="6" t="str">
        <f t="shared" si="182"/>
        <v>50x70</v>
      </c>
      <c r="N628" s="6" t="str">
        <f>"5605247644304"</f>
        <v>5605247644304</v>
      </c>
      <c r="O628" s="8">
        <v>60</v>
      </c>
      <c r="P628" s="7">
        <v>45974</v>
      </c>
      <c r="R628" s="8">
        <v>0</v>
      </c>
      <c r="U628" s="8">
        <v>0</v>
      </c>
      <c r="X628" s="8">
        <v>0</v>
      </c>
      <c r="Z628" s="8">
        <v>0</v>
      </c>
      <c r="AC628" s="8">
        <v>60</v>
      </c>
      <c r="AE628" s="7">
        <v>45981</v>
      </c>
      <c r="AF628" s="8">
        <v>60</v>
      </c>
      <c r="AH628" s="7">
        <v>46059</v>
      </c>
      <c r="AN628" s="8">
        <v>60</v>
      </c>
      <c r="AO628" s="8">
        <v>0</v>
      </c>
    </row>
    <row r="629" spans="1:41" x14ac:dyDescent="0.25">
      <c r="A629" s="6" t="str">
        <f t="shared" si="178"/>
        <v>521-2025000732</v>
      </c>
      <c r="B629" s="6" t="str">
        <f t="shared" si="179"/>
        <v>LOSCH HA</v>
      </c>
      <c r="C629" s="7">
        <v>45974</v>
      </c>
      <c r="D629" s="7">
        <v>46059</v>
      </c>
      <c r="E629" s="8">
        <v>3</v>
      </c>
      <c r="F629" s="6" t="s">
        <v>0</v>
      </c>
      <c r="G629" s="6" t="str">
        <f>"C001090426004068"</f>
        <v>C001090426004068</v>
      </c>
      <c r="H629" s="6" t="str">
        <f>"CZJ 0904 / 4068 - 26"</f>
        <v>CZJ 0904 / 4068 - 26</v>
      </c>
      <c r="I629" s="6" t="str">
        <f>"200498"</f>
        <v>200498</v>
      </c>
      <c r="J629" s="6" t="str">
        <f>"VERMELHO 498"</f>
        <v>VERMELHO 498</v>
      </c>
      <c r="K629" s="6" t="str">
        <f t="shared" si="180"/>
        <v>0830</v>
      </c>
      <c r="L629" s="6" t="str">
        <f t="shared" si="181"/>
        <v>Cozinha</v>
      </c>
      <c r="M629" s="6" t="str">
        <f t="shared" si="182"/>
        <v>50x70</v>
      </c>
      <c r="N629" s="6" t="str">
        <f>"5605247644328"</f>
        <v>5605247644328</v>
      </c>
      <c r="O629" s="8">
        <v>60</v>
      </c>
      <c r="P629" s="7">
        <v>45974</v>
      </c>
      <c r="R629" s="8">
        <v>0</v>
      </c>
      <c r="U629" s="8">
        <v>0</v>
      </c>
      <c r="X629" s="8">
        <v>0</v>
      </c>
      <c r="Z629" s="8">
        <v>0</v>
      </c>
      <c r="AC629" s="8">
        <v>60</v>
      </c>
      <c r="AE629" s="7">
        <v>45981</v>
      </c>
      <c r="AF629" s="8">
        <v>60</v>
      </c>
      <c r="AH629" s="7">
        <v>46059</v>
      </c>
      <c r="AN629" s="8">
        <v>60</v>
      </c>
      <c r="AO629" s="8">
        <v>0</v>
      </c>
    </row>
    <row r="630" spans="1:41" x14ac:dyDescent="0.25">
      <c r="A630" s="6" t="str">
        <f t="shared" si="178"/>
        <v>521-2025000732</v>
      </c>
      <c r="B630" s="6" t="str">
        <f t="shared" si="179"/>
        <v>LOSCH HA</v>
      </c>
      <c r="C630" s="7">
        <v>45974</v>
      </c>
      <c r="D630" s="7">
        <v>46059</v>
      </c>
      <c r="E630" s="8">
        <v>4</v>
      </c>
      <c r="F630" s="6" t="s">
        <v>0</v>
      </c>
      <c r="G630" s="6" t="str">
        <f>"C001090426004090"</f>
        <v>C001090426004090</v>
      </c>
      <c r="H630" s="6" t="str">
        <f>"CZJ 0904 / 4090 - 26"</f>
        <v>CZJ 0904 / 4090 - 26</v>
      </c>
      <c r="I630" s="6" t="str">
        <f>"200532"</f>
        <v>200532</v>
      </c>
      <c r="J630" s="6" t="str">
        <f>"VERDE 532"</f>
        <v>VERDE 532</v>
      </c>
      <c r="K630" s="6" t="str">
        <f t="shared" si="180"/>
        <v>0830</v>
      </c>
      <c r="L630" s="6" t="str">
        <f t="shared" si="181"/>
        <v>Cozinha</v>
      </c>
      <c r="M630" s="6" t="str">
        <f t="shared" si="182"/>
        <v>50x70</v>
      </c>
      <c r="N630" s="6" t="str">
        <f>"5605247933576"</f>
        <v>5605247933576</v>
      </c>
      <c r="O630" s="8">
        <v>180</v>
      </c>
      <c r="P630" s="7">
        <v>45974</v>
      </c>
      <c r="R630" s="8">
        <v>0</v>
      </c>
      <c r="U630" s="8">
        <v>0</v>
      </c>
      <c r="X630" s="8">
        <v>0</v>
      </c>
      <c r="Z630" s="8">
        <v>0</v>
      </c>
      <c r="AC630" s="8">
        <v>180</v>
      </c>
      <c r="AE630" s="7">
        <v>45981</v>
      </c>
      <c r="AF630" s="8">
        <v>180</v>
      </c>
      <c r="AH630" s="7">
        <v>46059</v>
      </c>
      <c r="AN630" s="8">
        <v>180</v>
      </c>
      <c r="AO630" s="8">
        <v>0</v>
      </c>
    </row>
    <row r="631" spans="1:41" x14ac:dyDescent="0.25">
      <c r="A631" s="6" t="str">
        <f t="shared" si="178"/>
        <v>521-2025000732</v>
      </c>
      <c r="B631" s="6" t="str">
        <f t="shared" si="179"/>
        <v>LOSCH HA</v>
      </c>
      <c r="C631" s="7">
        <v>45974</v>
      </c>
      <c r="D631" s="7">
        <v>46059</v>
      </c>
      <c r="E631" s="8">
        <v>5</v>
      </c>
      <c r="F631" s="6" t="s">
        <v>0</v>
      </c>
      <c r="G631" s="6" t="str">
        <f>"C001090426004876"</f>
        <v>C001090426004876</v>
      </c>
      <c r="H631" s="6" t="str">
        <f>"CZJ 0904 / 4876 - 26"</f>
        <v>CZJ 0904 / 4876 - 26</v>
      </c>
      <c r="I631" s="6" t="str">
        <f>"201013"</f>
        <v>201013</v>
      </c>
      <c r="J631" s="6" t="str">
        <f>"AZUL 1013"</f>
        <v>AZUL 1013</v>
      </c>
      <c r="K631" s="6" t="str">
        <f t="shared" si="180"/>
        <v>0830</v>
      </c>
      <c r="L631" s="6" t="str">
        <f t="shared" si="181"/>
        <v>Cozinha</v>
      </c>
      <c r="M631" s="6" t="str">
        <f t="shared" si="182"/>
        <v>50x70</v>
      </c>
      <c r="N631" s="6" t="str">
        <f>"5605247944329"</f>
        <v>5605247944329</v>
      </c>
      <c r="O631" s="8">
        <v>120</v>
      </c>
      <c r="P631" s="7">
        <v>45974</v>
      </c>
      <c r="R631" s="8">
        <v>0</v>
      </c>
      <c r="U631" s="8">
        <v>0</v>
      </c>
      <c r="X631" s="8">
        <v>0</v>
      </c>
      <c r="Z631" s="8">
        <v>0</v>
      </c>
      <c r="AC631" s="8">
        <v>120</v>
      </c>
      <c r="AE631" s="7">
        <v>45981</v>
      </c>
      <c r="AF631" s="8">
        <v>120</v>
      </c>
      <c r="AH631" s="7">
        <v>46059</v>
      </c>
      <c r="AN631" s="8">
        <v>120</v>
      </c>
      <c r="AO631" s="8">
        <v>0</v>
      </c>
    </row>
    <row r="632" spans="1:41" x14ac:dyDescent="0.25">
      <c r="A632" s="6" t="str">
        <f t="shared" si="178"/>
        <v>521-2025000732</v>
      </c>
      <c r="B632" s="6" t="str">
        <f t="shared" si="179"/>
        <v>LOSCH HA</v>
      </c>
      <c r="C632" s="7">
        <v>45974</v>
      </c>
      <c r="D632" s="7">
        <v>46059</v>
      </c>
      <c r="E632" s="8">
        <v>6</v>
      </c>
      <c r="F632" s="6" t="s">
        <v>0</v>
      </c>
      <c r="G632" s="6" t="str">
        <f>"C001090426004879"</f>
        <v>C001090426004879</v>
      </c>
      <c r="H632" s="6" t="str">
        <f>"CZJ 0904 / 4879 - 26"</f>
        <v>CZJ 0904 / 4879 - 26</v>
      </c>
      <c r="I632" s="6" t="str">
        <f>"200532"</f>
        <v>200532</v>
      </c>
      <c r="J632" s="6" t="str">
        <f>"VERDE 532"</f>
        <v>VERDE 532</v>
      </c>
      <c r="K632" s="6" t="str">
        <f t="shared" si="180"/>
        <v>0830</v>
      </c>
      <c r="L632" s="6" t="str">
        <f t="shared" si="181"/>
        <v>Cozinha</v>
      </c>
      <c r="M632" s="6" t="str">
        <f t="shared" si="182"/>
        <v>50x70</v>
      </c>
      <c r="N632" s="6" t="str">
        <f>"5605247944381"</f>
        <v>5605247944381</v>
      </c>
      <c r="O632" s="8">
        <v>60</v>
      </c>
      <c r="P632" s="7">
        <v>45974</v>
      </c>
      <c r="R632" s="8">
        <v>0</v>
      </c>
      <c r="U632" s="8">
        <v>0</v>
      </c>
      <c r="X632" s="8">
        <v>0</v>
      </c>
      <c r="Z632" s="8">
        <v>0</v>
      </c>
      <c r="AC632" s="8">
        <v>60</v>
      </c>
      <c r="AE632" s="7">
        <v>45981</v>
      </c>
      <c r="AF632" s="8">
        <v>60</v>
      </c>
      <c r="AH632" s="7">
        <v>46059</v>
      </c>
      <c r="AN632" s="8">
        <v>60</v>
      </c>
      <c r="AO632" s="8">
        <v>0</v>
      </c>
    </row>
    <row r="633" spans="1:41" x14ac:dyDescent="0.25">
      <c r="A633" s="6" t="str">
        <f t="shared" si="178"/>
        <v>521-2025000732</v>
      </c>
      <c r="B633" s="6" t="str">
        <f t="shared" si="179"/>
        <v>LOSCH HA</v>
      </c>
      <c r="C633" s="7">
        <v>45974</v>
      </c>
      <c r="D633" s="7">
        <v>46059</v>
      </c>
      <c r="E633" s="8">
        <v>7</v>
      </c>
      <c r="F633" s="6" t="s">
        <v>0</v>
      </c>
      <c r="G633" s="6" t="str">
        <f>"C001090426004282"</f>
        <v>C001090426004282</v>
      </c>
      <c r="H633" s="6" t="str">
        <f>"CZJ 0904 / 4282 - 26"</f>
        <v>CZJ 0904 / 4282 - 26</v>
      </c>
      <c r="I633" s="6" t="str">
        <f>"200532"</f>
        <v>200532</v>
      </c>
      <c r="J633" s="6" t="str">
        <f>"VERDE 532"</f>
        <v>VERDE 532</v>
      </c>
      <c r="K633" s="6" t="str">
        <f t="shared" si="180"/>
        <v>0830</v>
      </c>
      <c r="L633" s="6" t="str">
        <f t="shared" si="181"/>
        <v>Cozinha</v>
      </c>
      <c r="M633" s="6" t="str">
        <f t="shared" si="182"/>
        <v>50x70</v>
      </c>
      <c r="N633" s="6" t="str">
        <f>"5605247935907"</f>
        <v>5605247935907</v>
      </c>
      <c r="O633" s="8">
        <v>60</v>
      </c>
      <c r="P633" s="7">
        <v>45974</v>
      </c>
      <c r="R633" s="8">
        <v>0</v>
      </c>
      <c r="U633" s="8">
        <v>0</v>
      </c>
      <c r="X633" s="8">
        <v>0</v>
      </c>
      <c r="Z633" s="8">
        <v>0</v>
      </c>
      <c r="AC633" s="8">
        <v>60</v>
      </c>
      <c r="AE633" s="7">
        <v>45981</v>
      </c>
      <c r="AF633" s="8">
        <v>60</v>
      </c>
      <c r="AH633" s="7">
        <v>46059</v>
      </c>
      <c r="AN633" s="8">
        <v>60</v>
      </c>
      <c r="AO633" s="8">
        <v>0</v>
      </c>
    </row>
    <row r="634" spans="1:41" x14ac:dyDescent="0.25">
      <c r="A634" s="6" t="str">
        <f t="shared" ref="A634:A641" si="183">"521-2025000733"</f>
        <v>521-2025000733</v>
      </c>
      <c r="B634" s="6" t="str">
        <f t="shared" ref="B634:B641" si="184">"SANDER A"</f>
        <v>SANDER A</v>
      </c>
      <c r="C634" s="7">
        <v>45974</v>
      </c>
      <c r="D634" s="7">
        <v>46073</v>
      </c>
      <c r="E634" s="8">
        <v>4</v>
      </c>
      <c r="F634" s="6" t="str">
        <f t="shared" ref="F634:F641" si="185">"KAITO 109778"</f>
        <v>KAITO 109778</v>
      </c>
      <c r="G634" s="6" t="str">
        <f>"C090052015500002"</f>
        <v>C090052015500002</v>
      </c>
      <c r="H634" s="6" t="str">
        <f t="shared" ref="H634:H641" si="186">"LJ 0520 - 1550 g/m²"</f>
        <v>LJ 0520 - 1550 g/m²</v>
      </c>
      <c r="I634" s="6" t="str">
        <f>"202696"</f>
        <v>202696</v>
      </c>
      <c r="J634" s="6" t="str">
        <f>"CINZA 2696"</f>
        <v>CINZA 2696</v>
      </c>
      <c r="K634" s="6" t="str">
        <f t="shared" ref="K634:K641" si="187">"7000"</f>
        <v>7000</v>
      </c>
      <c r="L634" s="6" t="str">
        <f t="shared" ref="L634:L641" si="188">"Cama"</f>
        <v>Cama</v>
      </c>
      <c r="M634" s="6" t="str">
        <f t="shared" ref="M634:M641" si="189">"Único"</f>
        <v>Único</v>
      </c>
      <c r="N634" s="6" t="str">
        <f t="shared" ref="N634:N665" si="190">" "</f>
        <v xml:space="preserve"> </v>
      </c>
      <c r="O634" s="8">
        <v>60</v>
      </c>
      <c r="P634" s="7">
        <v>46041</v>
      </c>
      <c r="R634" s="8">
        <v>0</v>
      </c>
      <c r="S634" s="7">
        <v>46044</v>
      </c>
      <c r="U634" s="8">
        <v>0</v>
      </c>
      <c r="V634" s="7">
        <v>46051</v>
      </c>
      <c r="X634" s="8">
        <v>0</v>
      </c>
      <c r="Z634" s="8">
        <v>0</v>
      </c>
      <c r="AA634" s="7">
        <v>46065</v>
      </c>
      <c r="AC634" s="8">
        <v>0</v>
      </c>
      <c r="AE634" s="7">
        <v>46072</v>
      </c>
      <c r="AF634" s="8">
        <v>0</v>
      </c>
      <c r="AH634" s="7">
        <v>46073</v>
      </c>
      <c r="AN634" s="8">
        <v>0</v>
      </c>
      <c r="AO634" s="8">
        <v>60</v>
      </c>
    </row>
    <row r="635" spans="1:41" x14ac:dyDescent="0.25">
      <c r="A635" s="6" t="str">
        <f t="shared" si="183"/>
        <v>521-2025000733</v>
      </c>
      <c r="B635" s="6" t="str">
        <f t="shared" si="184"/>
        <v>SANDER A</v>
      </c>
      <c r="C635" s="7">
        <v>45974</v>
      </c>
      <c r="D635" s="7">
        <v>46073</v>
      </c>
      <c r="E635" s="8">
        <v>11</v>
      </c>
      <c r="F635" s="6" t="str">
        <f t="shared" si="185"/>
        <v>KAITO 109778</v>
      </c>
      <c r="G635" s="6" t="str">
        <f>"C090052015500003"</f>
        <v>C090052015500003</v>
      </c>
      <c r="H635" s="6" t="str">
        <f t="shared" si="186"/>
        <v>LJ 0520 - 1550 g/m²</v>
      </c>
      <c r="I635" s="6" t="str">
        <f>"203656"</f>
        <v>203656</v>
      </c>
      <c r="J635" s="6" t="str">
        <f>"VERDE 3656"</f>
        <v>VERDE 3656</v>
      </c>
      <c r="K635" s="6" t="str">
        <f t="shared" si="187"/>
        <v>7000</v>
      </c>
      <c r="L635" s="6" t="str">
        <f t="shared" si="188"/>
        <v>Cama</v>
      </c>
      <c r="M635" s="6" t="str">
        <f t="shared" si="189"/>
        <v>Único</v>
      </c>
      <c r="N635" s="6" t="str">
        <f t="shared" si="190"/>
        <v xml:space="preserve"> </v>
      </c>
      <c r="O635" s="8">
        <v>60</v>
      </c>
      <c r="P635" s="7">
        <v>46041</v>
      </c>
      <c r="R635" s="8">
        <v>0</v>
      </c>
      <c r="S635" s="7">
        <v>46044</v>
      </c>
      <c r="U635" s="8">
        <v>0</v>
      </c>
      <c r="V635" s="7">
        <v>46051</v>
      </c>
      <c r="X635" s="8">
        <v>0</v>
      </c>
      <c r="Z635" s="8">
        <v>0</v>
      </c>
      <c r="AA635" s="7">
        <v>46065</v>
      </c>
      <c r="AC635" s="8">
        <v>0</v>
      </c>
      <c r="AE635" s="7">
        <v>46072</v>
      </c>
      <c r="AF635" s="8">
        <v>0</v>
      </c>
      <c r="AH635" s="7">
        <v>46073</v>
      </c>
      <c r="AN635" s="8">
        <v>0</v>
      </c>
      <c r="AO635" s="8">
        <v>60</v>
      </c>
    </row>
    <row r="636" spans="1:41" x14ac:dyDescent="0.25">
      <c r="A636" s="6" t="str">
        <f t="shared" si="183"/>
        <v>521-2025000733</v>
      </c>
      <c r="B636" s="6" t="str">
        <f t="shared" si="184"/>
        <v>SANDER A</v>
      </c>
      <c r="C636" s="7">
        <v>45974</v>
      </c>
      <c r="D636" s="7">
        <v>46073</v>
      </c>
      <c r="E636" s="8">
        <v>12</v>
      </c>
      <c r="F636" s="6" t="str">
        <f t="shared" si="185"/>
        <v>KAITO 109778</v>
      </c>
      <c r="G636" s="6" t="str">
        <f>"C090052015500003"</f>
        <v>C090052015500003</v>
      </c>
      <c r="H636" s="6" t="str">
        <f t="shared" si="186"/>
        <v>LJ 0520 - 1550 g/m²</v>
      </c>
      <c r="I636" s="6" t="str">
        <f>"202696"</f>
        <v>202696</v>
      </c>
      <c r="J636" s="6" t="str">
        <f>"CINZA 2696"</f>
        <v>CINZA 2696</v>
      </c>
      <c r="K636" s="6" t="str">
        <f t="shared" si="187"/>
        <v>7000</v>
      </c>
      <c r="L636" s="6" t="str">
        <f t="shared" si="188"/>
        <v>Cama</v>
      </c>
      <c r="M636" s="6" t="str">
        <f t="shared" si="189"/>
        <v>Único</v>
      </c>
      <c r="N636" s="6" t="str">
        <f t="shared" si="190"/>
        <v xml:space="preserve"> </v>
      </c>
      <c r="O636" s="8">
        <v>60</v>
      </c>
      <c r="P636" s="7">
        <v>46041</v>
      </c>
      <c r="R636" s="8">
        <v>0</v>
      </c>
      <c r="S636" s="7">
        <v>46044</v>
      </c>
      <c r="U636" s="8">
        <v>0</v>
      </c>
      <c r="V636" s="7">
        <v>46051</v>
      </c>
      <c r="X636" s="8">
        <v>0</v>
      </c>
      <c r="Z636" s="8">
        <v>0</v>
      </c>
      <c r="AA636" s="7">
        <v>46065</v>
      </c>
      <c r="AC636" s="8">
        <v>0</v>
      </c>
      <c r="AE636" s="7">
        <v>46072</v>
      </c>
      <c r="AF636" s="8">
        <v>0</v>
      </c>
      <c r="AH636" s="7">
        <v>46073</v>
      </c>
      <c r="AN636" s="8">
        <v>0</v>
      </c>
      <c r="AO636" s="8">
        <v>60</v>
      </c>
    </row>
    <row r="637" spans="1:41" x14ac:dyDescent="0.25">
      <c r="A637" s="6" t="str">
        <f t="shared" si="183"/>
        <v>521-2025000733</v>
      </c>
      <c r="B637" s="6" t="str">
        <f t="shared" si="184"/>
        <v>SANDER A</v>
      </c>
      <c r="C637" s="7">
        <v>45974</v>
      </c>
      <c r="D637" s="7">
        <v>46073</v>
      </c>
      <c r="E637" s="8">
        <v>15</v>
      </c>
      <c r="F637" s="6" t="str">
        <f t="shared" si="185"/>
        <v>KAITO 109778</v>
      </c>
      <c r="G637" s="6" t="str">
        <f>"C090052015500004"</f>
        <v>C090052015500004</v>
      </c>
      <c r="H637" s="6" t="str">
        <f t="shared" si="186"/>
        <v>LJ 0520 - 1550 g/m²</v>
      </c>
      <c r="I637" s="6" t="str">
        <f>"203656"</f>
        <v>203656</v>
      </c>
      <c r="J637" s="6" t="str">
        <f>"VERDE 3656"</f>
        <v>VERDE 3656</v>
      </c>
      <c r="K637" s="6" t="str">
        <f t="shared" si="187"/>
        <v>7000</v>
      </c>
      <c r="L637" s="6" t="str">
        <f t="shared" si="188"/>
        <v>Cama</v>
      </c>
      <c r="M637" s="6" t="str">
        <f t="shared" si="189"/>
        <v>Único</v>
      </c>
      <c r="N637" s="6" t="str">
        <f t="shared" si="190"/>
        <v xml:space="preserve"> </v>
      </c>
      <c r="O637" s="8">
        <v>120</v>
      </c>
      <c r="P637" s="7">
        <v>46041</v>
      </c>
      <c r="R637" s="8">
        <v>0</v>
      </c>
      <c r="S637" s="7">
        <v>46044</v>
      </c>
      <c r="U637" s="8">
        <v>0</v>
      </c>
      <c r="V637" s="7">
        <v>46051</v>
      </c>
      <c r="X637" s="8">
        <v>0</v>
      </c>
      <c r="Z637" s="8">
        <v>0</v>
      </c>
      <c r="AA637" s="7">
        <v>46065</v>
      </c>
      <c r="AC637" s="8">
        <v>0</v>
      </c>
      <c r="AE637" s="7">
        <v>46072</v>
      </c>
      <c r="AF637" s="8">
        <v>0</v>
      </c>
      <c r="AH637" s="7">
        <v>46073</v>
      </c>
      <c r="AN637" s="8">
        <v>0</v>
      </c>
      <c r="AO637" s="8">
        <v>120</v>
      </c>
    </row>
    <row r="638" spans="1:41" x14ac:dyDescent="0.25">
      <c r="A638" s="6" t="str">
        <f t="shared" si="183"/>
        <v>521-2025000733</v>
      </c>
      <c r="B638" s="6" t="str">
        <f t="shared" si="184"/>
        <v>SANDER A</v>
      </c>
      <c r="C638" s="7">
        <v>45974</v>
      </c>
      <c r="D638" s="7">
        <v>46073</v>
      </c>
      <c r="E638" s="8">
        <v>16</v>
      </c>
      <c r="F638" s="6" t="str">
        <f t="shared" si="185"/>
        <v>KAITO 109778</v>
      </c>
      <c r="G638" s="6" t="str">
        <f>"C090052015500004"</f>
        <v>C090052015500004</v>
      </c>
      <c r="H638" s="6" t="str">
        <f t="shared" si="186"/>
        <v>LJ 0520 - 1550 g/m²</v>
      </c>
      <c r="I638" s="6" t="str">
        <f>"202696"</f>
        <v>202696</v>
      </c>
      <c r="J638" s="6" t="str">
        <f>"CINZA 2696"</f>
        <v>CINZA 2696</v>
      </c>
      <c r="K638" s="6" t="str">
        <f t="shared" si="187"/>
        <v>7000</v>
      </c>
      <c r="L638" s="6" t="str">
        <f t="shared" si="188"/>
        <v>Cama</v>
      </c>
      <c r="M638" s="6" t="str">
        <f t="shared" si="189"/>
        <v>Único</v>
      </c>
      <c r="N638" s="6" t="str">
        <f t="shared" si="190"/>
        <v xml:space="preserve"> </v>
      </c>
      <c r="O638" s="8">
        <v>60</v>
      </c>
      <c r="P638" s="7">
        <v>46041</v>
      </c>
      <c r="R638" s="8">
        <v>0</v>
      </c>
      <c r="S638" s="7">
        <v>46044</v>
      </c>
      <c r="U638" s="8">
        <v>0</v>
      </c>
      <c r="V638" s="7">
        <v>46051</v>
      </c>
      <c r="X638" s="8">
        <v>0</v>
      </c>
      <c r="Z638" s="8">
        <v>0</v>
      </c>
      <c r="AA638" s="7">
        <v>46065</v>
      </c>
      <c r="AC638" s="8">
        <v>0</v>
      </c>
      <c r="AE638" s="7">
        <v>46072</v>
      </c>
      <c r="AF638" s="8">
        <v>0</v>
      </c>
      <c r="AH638" s="7">
        <v>46073</v>
      </c>
      <c r="AN638" s="8">
        <v>0</v>
      </c>
      <c r="AO638" s="8">
        <v>60</v>
      </c>
    </row>
    <row r="639" spans="1:41" x14ac:dyDescent="0.25">
      <c r="A639" s="6" t="str">
        <f t="shared" si="183"/>
        <v>521-2025000733</v>
      </c>
      <c r="B639" s="6" t="str">
        <f t="shared" si="184"/>
        <v>SANDER A</v>
      </c>
      <c r="C639" s="7">
        <v>45974</v>
      </c>
      <c r="D639" s="7">
        <v>46073</v>
      </c>
      <c r="E639" s="8">
        <v>17</v>
      </c>
      <c r="F639" s="6" t="str">
        <f t="shared" si="185"/>
        <v>KAITO 109778</v>
      </c>
      <c r="G639" s="6" t="str">
        <f>"C090052015500005"</f>
        <v>C090052015500005</v>
      </c>
      <c r="H639" s="6" t="str">
        <f t="shared" si="186"/>
        <v>LJ 0520 - 1550 g/m²</v>
      </c>
      <c r="I639" s="6" t="str">
        <f>"202701"</f>
        <v>202701</v>
      </c>
      <c r="J639" s="6" t="str">
        <f>"CINZA 2701"</f>
        <v>CINZA 2701</v>
      </c>
      <c r="K639" s="6" t="str">
        <f t="shared" si="187"/>
        <v>7000</v>
      </c>
      <c r="L639" s="6" t="str">
        <f t="shared" si="188"/>
        <v>Cama</v>
      </c>
      <c r="M639" s="6" t="str">
        <f t="shared" si="189"/>
        <v>Único</v>
      </c>
      <c r="N639" s="6" t="str">
        <f t="shared" si="190"/>
        <v xml:space="preserve"> </v>
      </c>
      <c r="O639" s="8">
        <v>40</v>
      </c>
      <c r="P639" s="7">
        <v>46041</v>
      </c>
      <c r="R639" s="8">
        <v>0</v>
      </c>
      <c r="S639" s="7">
        <v>46044</v>
      </c>
      <c r="U639" s="8">
        <v>0</v>
      </c>
      <c r="V639" s="7">
        <v>46051</v>
      </c>
      <c r="X639" s="8">
        <v>0</v>
      </c>
      <c r="Z639" s="8">
        <v>0</v>
      </c>
      <c r="AA639" s="7">
        <v>46065</v>
      </c>
      <c r="AC639" s="8">
        <v>0</v>
      </c>
      <c r="AE639" s="7">
        <v>46072</v>
      </c>
      <c r="AF639" s="8">
        <v>0</v>
      </c>
      <c r="AH639" s="7">
        <v>46073</v>
      </c>
      <c r="AN639" s="8">
        <v>0</v>
      </c>
      <c r="AO639" s="8">
        <v>40</v>
      </c>
    </row>
    <row r="640" spans="1:41" x14ac:dyDescent="0.25">
      <c r="A640" s="6" t="str">
        <f t="shared" si="183"/>
        <v>521-2025000733</v>
      </c>
      <c r="B640" s="6" t="str">
        <f t="shared" si="184"/>
        <v>SANDER A</v>
      </c>
      <c r="C640" s="7">
        <v>45974</v>
      </c>
      <c r="D640" s="7">
        <v>46073</v>
      </c>
      <c r="E640" s="8">
        <v>19</v>
      </c>
      <c r="F640" s="6" t="str">
        <f t="shared" si="185"/>
        <v>KAITO 109778</v>
      </c>
      <c r="G640" s="6" t="str">
        <f>"C090052015500005"</f>
        <v>C090052015500005</v>
      </c>
      <c r="H640" s="6" t="str">
        <f t="shared" si="186"/>
        <v>LJ 0520 - 1550 g/m²</v>
      </c>
      <c r="I640" s="6" t="str">
        <f>"203656"</f>
        <v>203656</v>
      </c>
      <c r="J640" s="6" t="str">
        <f>"VERDE 3656"</f>
        <v>VERDE 3656</v>
      </c>
      <c r="K640" s="6" t="str">
        <f t="shared" si="187"/>
        <v>7000</v>
      </c>
      <c r="L640" s="6" t="str">
        <f t="shared" si="188"/>
        <v>Cama</v>
      </c>
      <c r="M640" s="6" t="str">
        <f t="shared" si="189"/>
        <v>Único</v>
      </c>
      <c r="N640" s="6" t="str">
        <f t="shared" si="190"/>
        <v xml:space="preserve"> </v>
      </c>
      <c r="O640" s="8">
        <v>60</v>
      </c>
      <c r="P640" s="7">
        <v>46041</v>
      </c>
      <c r="R640" s="8">
        <v>0</v>
      </c>
      <c r="S640" s="7">
        <v>46044</v>
      </c>
      <c r="U640" s="8">
        <v>0</v>
      </c>
      <c r="V640" s="7">
        <v>46051</v>
      </c>
      <c r="X640" s="8">
        <v>0</v>
      </c>
      <c r="Z640" s="8">
        <v>0</v>
      </c>
      <c r="AA640" s="7">
        <v>46065</v>
      </c>
      <c r="AC640" s="8">
        <v>0</v>
      </c>
      <c r="AE640" s="7">
        <v>46072</v>
      </c>
      <c r="AF640" s="8">
        <v>0</v>
      </c>
      <c r="AH640" s="7">
        <v>46073</v>
      </c>
      <c r="AN640" s="8">
        <v>0</v>
      </c>
      <c r="AO640" s="8">
        <v>60</v>
      </c>
    </row>
    <row r="641" spans="1:41" x14ac:dyDescent="0.25">
      <c r="A641" s="6" t="str">
        <f t="shared" si="183"/>
        <v>521-2025000733</v>
      </c>
      <c r="B641" s="6" t="str">
        <f t="shared" si="184"/>
        <v>SANDER A</v>
      </c>
      <c r="C641" s="7">
        <v>45974</v>
      </c>
      <c r="D641" s="7">
        <v>46073</v>
      </c>
      <c r="E641" s="8">
        <v>20</v>
      </c>
      <c r="F641" s="6" t="str">
        <f t="shared" si="185"/>
        <v>KAITO 109778</v>
      </c>
      <c r="G641" s="6" t="str">
        <f>"C090052015500005"</f>
        <v>C090052015500005</v>
      </c>
      <c r="H641" s="6" t="str">
        <f t="shared" si="186"/>
        <v>LJ 0520 - 1550 g/m²</v>
      </c>
      <c r="I641" s="6" t="str">
        <f>"202696"</f>
        <v>202696</v>
      </c>
      <c r="J641" s="6" t="str">
        <f>"CINZA 2696"</f>
        <v>CINZA 2696</v>
      </c>
      <c r="K641" s="6" t="str">
        <f t="shared" si="187"/>
        <v>7000</v>
      </c>
      <c r="L641" s="6" t="str">
        <f t="shared" si="188"/>
        <v>Cama</v>
      </c>
      <c r="M641" s="6" t="str">
        <f t="shared" si="189"/>
        <v>Único</v>
      </c>
      <c r="N641" s="6" t="str">
        <f t="shared" si="190"/>
        <v xml:space="preserve"> </v>
      </c>
      <c r="O641" s="8">
        <v>60</v>
      </c>
      <c r="P641" s="7">
        <v>46041</v>
      </c>
      <c r="R641" s="8">
        <v>0</v>
      </c>
      <c r="S641" s="7">
        <v>46044</v>
      </c>
      <c r="U641" s="8">
        <v>0</v>
      </c>
      <c r="V641" s="7">
        <v>46051</v>
      </c>
      <c r="X641" s="8">
        <v>0</v>
      </c>
      <c r="Z641" s="8">
        <v>0</v>
      </c>
      <c r="AA641" s="7">
        <v>46065</v>
      </c>
      <c r="AC641" s="8">
        <v>0</v>
      </c>
      <c r="AE641" s="7">
        <v>46072</v>
      </c>
      <c r="AF641" s="8">
        <v>0</v>
      </c>
      <c r="AH641" s="7">
        <v>46073</v>
      </c>
      <c r="AN641" s="8">
        <v>0</v>
      </c>
      <c r="AO641" s="8">
        <v>60</v>
      </c>
    </row>
    <row r="642" spans="1:41" x14ac:dyDescent="0.25">
      <c r="A642" s="6" t="str">
        <f>"521-2025000734"</f>
        <v>521-2025000734</v>
      </c>
      <c r="B642" s="6" t="str">
        <f>"LA BOTTE"</f>
        <v>LA BOTTE</v>
      </c>
      <c r="C642" s="7">
        <v>45979</v>
      </c>
      <c r="D642" s="7">
        <v>46052</v>
      </c>
      <c r="E642" s="8">
        <v>1</v>
      </c>
      <c r="F642" s="6" t="str">
        <f>"7.184/00"</f>
        <v>7.184/00</v>
      </c>
      <c r="G642" s="6" t="str">
        <f>"K120244845025130"</f>
        <v>K120244845025130</v>
      </c>
      <c r="H642" s="6" t="str">
        <f>"KB 2448/Est 250130 -"</f>
        <v>KB 2448/Est 250130 -</v>
      </c>
      <c r="I642" s="6" t="str">
        <f>"4761"</f>
        <v>4761</v>
      </c>
      <c r="J642" s="6" t="str">
        <f>"BRANCO 4761"</f>
        <v>BRANCO 4761</v>
      </c>
      <c r="K642" s="6" t="str">
        <f>"3530"</f>
        <v>3530</v>
      </c>
      <c r="L642" s="6" t="str">
        <f>"Praia"</f>
        <v>Praia</v>
      </c>
      <c r="M642" s="6" t="str">
        <f>"100x180"</f>
        <v>100x180</v>
      </c>
      <c r="N642" s="6" t="str">
        <f t="shared" si="190"/>
        <v xml:space="preserve"> </v>
      </c>
      <c r="O642" s="8">
        <v>600</v>
      </c>
      <c r="P642" s="7">
        <v>45987</v>
      </c>
      <c r="R642" s="8">
        <v>705</v>
      </c>
      <c r="S642" s="7">
        <v>45993</v>
      </c>
      <c r="U642" s="8">
        <v>705</v>
      </c>
      <c r="V642" s="7">
        <v>46003</v>
      </c>
      <c r="X642" s="8">
        <v>0</v>
      </c>
      <c r="Z642" s="8">
        <v>0</v>
      </c>
      <c r="AA642" s="7">
        <v>46020</v>
      </c>
      <c r="AC642" s="8">
        <v>0</v>
      </c>
      <c r="AE642" s="7">
        <v>46027</v>
      </c>
      <c r="AF642" s="8">
        <v>0</v>
      </c>
      <c r="AH642" s="7">
        <v>46052</v>
      </c>
      <c r="AN642" s="8">
        <v>0</v>
      </c>
      <c r="AO642" s="8">
        <v>600</v>
      </c>
    </row>
    <row r="643" spans="1:41" x14ac:dyDescent="0.25">
      <c r="A643" s="6" t="str">
        <f>"521-2025000735"</f>
        <v>521-2025000735</v>
      </c>
      <c r="B643" s="6" t="str">
        <f>"SOCIETE"</f>
        <v>SOCIETE</v>
      </c>
      <c r="C643" s="7">
        <v>45979</v>
      </c>
      <c r="D643" s="7">
        <v>46045</v>
      </c>
      <c r="E643" s="8">
        <v>3</v>
      </c>
      <c r="F643" s="6" t="str">
        <f>"1080605"</f>
        <v>1080605</v>
      </c>
      <c r="G643" s="6" t="str">
        <f>"F310515555000000"</f>
        <v>F310515555000000</v>
      </c>
      <c r="H643" s="6" t="str">
        <f>"PLAR 5155 - 550 g/m²"</f>
        <v>PLAR 5155 - 550 g/m²</v>
      </c>
      <c r="I643" s="6" t="str">
        <f>"201853"</f>
        <v>201853</v>
      </c>
      <c r="J643" s="6" t="str">
        <f>"CINZA 1853"</f>
        <v>CINZA 1853</v>
      </c>
      <c r="K643" s="6" t="str">
        <f>"1024"</f>
        <v>1024</v>
      </c>
      <c r="L643" s="6" t="str">
        <f>"Toalhas"</f>
        <v>Toalhas</v>
      </c>
      <c r="M643" s="6" t="str">
        <f>"50x100"</f>
        <v>50x100</v>
      </c>
      <c r="N643" s="6" t="str">
        <f t="shared" si="190"/>
        <v xml:space="preserve"> </v>
      </c>
      <c r="O643" s="8">
        <v>800</v>
      </c>
      <c r="P643" s="7">
        <v>46021</v>
      </c>
      <c r="R643" s="8">
        <v>796</v>
      </c>
      <c r="S643" s="7">
        <v>46029</v>
      </c>
      <c r="U643" s="8">
        <v>796</v>
      </c>
      <c r="V643" s="7">
        <v>46034</v>
      </c>
      <c r="X643" s="8">
        <v>0</v>
      </c>
      <c r="Z643" s="8">
        <v>796</v>
      </c>
      <c r="AA643" s="7">
        <v>46044</v>
      </c>
      <c r="AC643" s="8">
        <v>690</v>
      </c>
      <c r="AE643" s="7">
        <v>46048</v>
      </c>
      <c r="AF643" s="8">
        <v>690</v>
      </c>
      <c r="AH643" s="7">
        <v>46045</v>
      </c>
      <c r="AN643" s="8">
        <v>690</v>
      </c>
      <c r="AO643" s="8">
        <v>110</v>
      </c>
    </row>
    <row r="644" spans="1:41" x14ac:dyDescent="0.25">
      <c r="A644" s="6" t="str">
        <f>"521-2025000736"</f>
        <v>521-2025000736</v>
      </c>
      <c r="B644" s="6" t="str">
        <f>"SOCIETE"</f>
        <v>SOCIETE</v>
      </c>
      <c r="C644" s="7">
        <v>45979</v>
      </c>
      <c r="D644" s="7">
        <v>46157</v>
      </c>
      <c r="E644" s="8">
        <v>1</v>
      </c>
      <c r="F644" s="6" t="str">
        <f>"1080668"</f>
        <v>1080668</v>
      </c>
      <c r="G644" s="6" t="str">
        <f>"F600239429000000"</f>
        <v>F600239429000000</v>
      </c>
      <c r="H644" s="6" t="str">
        <f>"10-2394 C/ Franja -"</f>
        <v>10-2394 C/ Franja -</v>
      </c>
      <c r="I644" s="6" t="str">
        <f>"201483"</f>
        <v>201483</v>
      </c>
      <c r="J644" s="6" t="str">
        <f>"LARANJA 1483"</f>
        <v>LARANJA 1483</v>
      </c>
      <c r="K644" s="6" t="str">
        <f>"3539"</f>
        <v>3539</v>
      </c>
      <c r="L644" s="6" t="str">
        <f>"Praia"</f>
        <v>Praia</v>
      </c>
      <c r="M644" s="6" t="str">
        <f>"100x180+8"</f>
        <v>100x180+8</v>
      </c>
      <c r="N644" s="6" t="str">
        <f t="shared" si="190"/>
        <v xml:space="preserve"> </v>
      </c>
      <c r="O644" s="8">
        <v>500</v>
      </c>
      <c r="P644" s="7">
        <v>46134</v>
      </c>
      <c r="R644" s="8">
        <v>0</v>
      </c>
      <c r="S644" s="7">
        <v>46139</v>
      </c>
      <c r="U644" s="8">
        <v>0</v>
      </c>
      <c r="V644" s="7">
        <v>46142</v>
      </c>
      <c r="X644" s="8">
        <v>0</v>
      </c>
      <c r="Z644" s="8">
        <v>0</v>
      </c>
      <c r="AA644" s="7">
        <v>46155</v>
      </c>
      <c r="AC644" s="8">
        <v>0</v>
      </c>
      <c r="AE644" s="7">
        <v>46157</v>
      </c>
      <c r="AF644" s="8">
        <v>0</v>
      </c>
      <c r="AH644" s="7">
        <v>46157</v>
      </c>
      <c r="AN644" s="8">
        <v>0</v>
      </c>
      <c r="AO644" s="8">
        <v>500</v>
      </c>
    </row>
    <row r="645" spans="1:41" x14ac:dyDescent="0.25">
      <c r="A645" s="6" t="str">
        <f>"521-2025000738"</f>
        <v>521-2025000738</v>
      </c>
      <c r="B645" s="6" t="str">
        <f t="shared" ref="B645:B676" si="191">"MISSONI"</f>
        <v>MISSONI</v>
      </c>
      <c r="C645" s="7">
        <v>45980</v>
      </c>
      <c r="D645" s="7">
        <v>46052</v>
      </c>
      <c r="E645" s="8">
        <v>1</v>
      </c>
      <c r="F645" s="6" t="str">
        <f>"01H 2025 730"</f>
        <v>01H 2025 730</v>
      </c>
      <c r="G645" s="6" t="str">
        <f>"F600901245000000"</f>
        <v>F600901245000000</v>
      </c>
      <c r="H645" s="6" t="str">
        <f>"19012 - 450 g/m²"</f>
        <v>19012 - 450 g/m²</v>
      </c>
      <c r="I645" s="6" t="str">
        <f>"202457"</f>
        <v>202457</v>
      </c>
      <c r="J645" s="6" t="str">
        <f>"LARANJA 2457"</f>
        <v>LARANJA 2457</v>
      </c>
      <c r="K645" s="6" t="str">
        <f>"3550"</f>
        <v>3550</v>
      </c>
      <c r="L645" s="6" t="str">
        <f>"Praia"</f>
        <v>Praia</v>
      </c>
      <c r="M645" s="6" t="str">
        <f>"180x100"</f>
        <v>180x100</v>
      </c>
      <c r="N645" s="6" t="str">
        <f t="shared" si="190"/>
        <v xml:space="preserve"> </v>
      </c>
      <c r="O645" s="8">
        <v>25</v>
      </c>
      <c r="P645" s="7">
        <v>46021</v>
      </c>
      <c r="R645" s="8">
        <v>672</v>
      </c>
      <c r="S645" s="7">
        <v>46028</v>
      </c>
      <c r="U645" s="8">
        <v>30</v>
      </c>
      <c r="V645" s="7">
        <v>46035</v>
      </c>
      <c r="X645" s="8">
        <v>0</v>
      </c>
      <c r="Z645" s="8">
        <v>30</v>
      </c>
      <c r="AA645" s="7">
        <v>46049</v>
      </c>
      <c r="AC645" s="8">
        <v>0</v>
      </c>
      <c r="AE645" s="7">
        <v>46052</v>
      </c>
      <c r="AF645" s="8">
        <v>0</v>
      </c>
      <c r="AH645" s="7">
        <v>46052</v>
      </c>
      <c r="AN645" s="8">
        <v>0</v>
      </c>
      <c r="AO645" s="8">
        <v>25</v>
      </c>
    </row>
    <row r="646" spans="1:41" x14ac:dyDescent="0.25">
      <c r="A646" s="6" t="str">
        <f>"521-2025000738"</f>
        <v>521-2025000738</v>
      </c>
      <c r="B646" s="6" t="str">
        <f t="shared" si="191"/>
        <v>MISSONI</v>
      </c>
      <c r="C646" s="7">
        <v>45980</v>
      </c>
      <c r="D646" s="7">
        <v>46052</v>
      </c>
      <c r="E646" s="8">
        <v>2</v>
      </c>
      <c r="F646" s="6" t="str">
        <f>"01H 2025 730"</f>
        <v>01H 2025 730</v>
      </c>
      <c r="G646" s="6" t="str">
        <f>"F600901245000000"</f>
        <v>F600901245000000</v>
      </c>
      <c r="H646" s="6" t="str">
        <f>"19012 - 450 g/m²"</f>
        <v>19012 - 450 g/m²</v>
      </c>
      <c r="I646" s="6" t="str">
        <f>"203206"</f>
        <v>203206</v>
      </c>
      <c r="J646" s="6" t="str">
        <f>"VERMELHO 3206"</f>
        <v>VERMELHO 3206</v>
      </c>
      <c r="K646" s="6" t="str">
        <f>"3550"</f>
        <v>3550</v>
      </c>
      <c r="L646" s="6" t="str">
        <f>"Praia"</f>
        <v>Praia</v>
      </c>
      <c r="M646" s="6" t="str">
        <f>"180x100"</f>
        <v>180x100</v>
      </c>
      <c r="N646" s="6" t="str">
        <f t="shared" si="190"/>
        <v xml:space="preserve"> </v>
      </c>
      <c r="O646" s="8">
        <v>25</v>
      </c>
      <c r="P646" s="7">
        <v>46021</v>
      </c>
      <c r="R646" s="8">
        <v>432</v>
      </c>
      <c r="S646" s="7">
        <v>46028</v>
      </c>
      <c r="U646" s="8">
        <v>30</v>
      </c>
      <c r="V646" s="7">
        <v>46035</v>
      </c>
      <c r="X646" s="8">
        <v>0</v>
      </c>
      <c r="Z646" s="8">
        <v>30</v>
      </c>
      <c r="AA646" s="7">
        <v>46049</v>
      </c>
      <c r="AC646" s="8">
        <v>0</v>
      </c>
      <c r="AE646" s="7">
        <v>46052</v>
      </c>
      <c r="AF646" s="8">
        <v>0</v>
      </c>
      <c r="AH646" s="7">
        <v>46052</v>
      </c>
      <c r="AN646" s="8">
        <v>0</v>
      </c>
      <c r="AO646" s="8">
        <v>25</v>
      </c>
    </row>
    <row r="647" spans="1:41" x14ac:dyDescent="0.25">
      <c r="A647" s="6" t="str">
        <f>"521-2025000738"</f>
        <v>521-2025000738</v>
      </c>
      <c r="B647" s="6" t="str">
        <f t="shared" si="191"/>
        <v>MISSONI</v>
      </c>
      <c r="C647" s="7">
        <v>45980</v>
      </c>
      <c r="D647" s="7">
        <v>46052</v>
      </c>
      <c r="E647" s="8">
        <v>3</v>
      </c>
      <c r="F647" s="6" t="str">
        <f>"01H 2025 730"</f>
        <v>01H 2025 730</v>
      </c>
      <c r="G647" s="6" t="str">
        <f>"F600901245000000"</f>
        <v>F600901245000000</v>
      </c>
      <c r="H647" s="6" t="str">
        <f>"19012 - 450 g/m²"</f>
        <v>19012 - 450 g/m²</v>
      </c>
      <c r="I647" s="6" t="str">
        <f>"201619"</f>
        <v>201619</v>
      </c>
      <c r="J647" s="6" t="str">
        <f>"AMARELO 1619"</f>
        <v>AMARELO 1619</v>
      </c>
      <c r="K647" s="6" t="str">
        <f>"3550"</f>
        <v>3550</v>
      </c>
      <c r="L647" s="6" t="str">
        <f>"Praia"</f>
        <v>Praia</v>
      </c>
      <c r="M647" s="6" t="str">
        <f>"180x100"</f>
        <v>180x100</v>
      </c>
      <c r="N647" s="6" t="str">
        <f t="shared" si="190"/>
        <v xml:space="preserve"> </v>
      </c>
      <c r="O647" s="8">
        <v>25</v>
      </c>
      <c r="P647" s="7">
        <v>46021</v>
      </c>
      <c r="R647" s="8">
        <v>598</v>
      </c>
      <c r="S647" s="7">
        <v>46028</v>
      </c>
      <c r="U647" s="8">
        <v>30</v>
      </c>
      <c r="V647" s="7">
        <v>46035</v>
      </c>
      <c r="X647" s="8">
        <v>0</v>
      </c>
      <c r="Z647" s="8">
        <v>30</v>
      </c>
      <c r="AA647" s="7">
        <v>46049</v>
      </c>
      <c r="AC647" s="8">
        <v>0</v>
      </c>
      <c r="AE647" s="7">
        <v>46052</v>
      </c>
      <c r="AF647" s="8">
        <v>0</v>
      </c>
      <c r="AH647" s="7">
        <v>46052</v>
      </c>
      <c r="AN647" s="8">
        <v>0</v>
      </c>
      <c r="AO647" s="8">
        <v>25</v>
      </c>
    </row>
    <row r="648" spans="1:41" x14ac:dyDescent="0.25">
      <c r="A648" s="6" t="str">
        <f t="shared" ref="A648:A662" si="192">"521-2025000739"</f>
        <v>521-2025000739</v>
      </c>
      <c r="B648" s="6" t="str">
        <f t="shared" si="191"/>
        <v>MISSONI</v>
      </c>
      <c r="C648" s="7">
        <v>45980</v>
      </c>
      <c r="D648" s="7">
        <v>46073</v>
      </c>
      <c r="E648" s="8">
        <v>1</v>
      </c>
      <c r="F648" s="6" t="str">
        <f t="shared" ref="F648:F662" si="193">"01H 2025 750"</f>
        <v>01H 2025 750</v>
      </c>
      <c r="G648" s="6" t="str">
        <f>"R330376545000000"</f>
        <v>R330376545000000</v>
      </c>
      <c r="H648" s="6" t="str">
        <f>"R 3765 - PLA 2941(m)"</f>
        <v>R 3765 - PLA 2941(m)</v>
      </c>
      <c r="I648" s="6" t="str">
        <f t="shared" ref="I648:I657" si="194">"202457"</f>
        <v>202457</v>
      </c>
      <c r="J648" s="6" t="str">
        <f t="shared" ref="J648:J657" si="195">"LARANJA 2457"</f>
        <v>LARANJA 2457</v>
      </c>
      <c r="K648" s="6" t="str">
        <f>"5002"</f>
        <v>5002</v>
      </c>
      <c r="L648" s="6" t="str">
        <f>"Roupões Adulto"</f>
        <v>Roupões Adulto</v>
      </c>
      <c r="M648" s="6" t="str">
        <f>"S"</f>
        <v>S</v>
      </c>
      <c r="N648" s="6" t="str">
        <f t="shared" si="190"/>
        <v xml:space="preserve"> </v>
      </c>
      <c r="O648" s="8">
        <v>198</v>
      </c>
      <c r="P648" s="7">
        <v>46042</v>
      </c>
      <c r="R648" s="8">
        <v>0</v>
      </c>
      <c r="S648" s="7">
        <v>46045</v>
      </c>
      <c r="U648" s="8">
        <v>0</v>
      </c>
      <c r="V648" s="7">
        <v>46056</v>
      </c>
      <c r="X648" s="8">
        <v>0</v>
      </c>
      <c r="Z648" s="8">
        <v>0</v>
      </c>
      <c r="AA648" s="7">
        <v>46066</v>
      </c>
      <c r="AC648" s="8">
        <v>0</v>
      </c>
      <c r="AE648" s="7">
        <v>46072</v>
      </c>
      <c r="AF648" s="8">
        <v>0</v>
      </c>
      <c r="AH648" s="7">
        <v>46073</v>
      </c>
      <c r="AN648" s="8">
        <v>0</v>
      </c>
      <c r="AO648" s="8">
        <v>198</v>
      </c>
    </row>
    <row r="649" spans="1:41" x14ac:dyDescent="0.25">
      <c r="A649" s="6" t="str">
        <f t="shared" si="192"/>
        <v>521-2025000739</v>
      </c>
      <c r="B649" s="6" t="str">
        <f t="shared" si="191"/>
        <v>MISSONI</v>
      </c>
      <c r="C649" s="7">
        <v>45980</v>
      </c>
      <c r="D649" s="7">
        <v>46073</v>
      </c>
      <c r="E649" s="8">
        <v>2</v>
      </c>
      <c r="F649" s="6" t="str">
        <f t="shared" si="193"/>
        <v>01H 2025 750</v>
      </c>
      <c r="G649" s="6" t="str">
        <f>"R330376545000000"</f>
        <v>R330376545000000</v>
      </c>
      <c r="H649" s="6" t="str">
        <f>"R 3765 - PLA 2941(m)"</f>
        <v>R 3765 - PLA 2941(m)</v>
      </c>
      <c r="I649" s="6" t="str">
        <f t="shared" si="194"/>
        <v>202457</v>
      </c>
      <c r="J649" s="6" t="str">
        <f t="shared" si="195"/>
        <v>LARANJA 2457</v>
      </c>
      <c r="K649" s="6" t="str">
        <f>"5004"</f>
        <v>5004</v>
      </c>
      <c r="L649" s="6" t="str">
        <f>"Roupões Adulto"</f>
        <v>Roupões Adulto</v>
      </c>
      <c r="M649" s="6" t="str">
        <f>"M"</f>
        <v>M</v>
      </c>
      <c r="N649" s="6" t="str">
        <f t="shared" si="190"/>
        <v xml:space="preserve"> </v>
      </c>
      <c r="O649" s="8">
        <v>242</v>
      </c>
      <c r="P649" s="7">
        <v>46042</v>
      </c>
      <c r="R649" s="8">
        <v>0</v>
      </c>
      <c r="S649" s="7">
        <v>46045</v>
      </c>
      <c r="U649" s="8">
        <v>0</v>
      </c>
      <c r="V649" s="7">
        <v>46056</v>
      </c>
      <c r="X649" s="8">
        <v>0</v>
      </c>
      <c r="Z649" s="8">
        <v>0</v>
      </c>
      <c r="AA649" s="7">
        <v>46066</v>
      </c>
      <c r="AC649" s="8">
        <v>0</v>
      </c>
      <c r="AE649" s="7">
        <v>46072</v>
      </c>
      <c r="AF649" s="8">
        <v>0</v>
      </c>
      <c r="AH649" s="7">
        <v>46073</v>
      </c>
      <c r="AN649" s="8">
        <v>0</v>
      </c>
      <c r="AO649" s="8">
        <v>242</v>
      </c>
    </row>
    <row r="650" spans="1:41" x14ac:dyDescent="0.25">
      <c r="A650" s="6" t="str">
        <f t="shared" si="192"/>
        <v>521-2025000739</v>
      </c>
      <c r="B650" s="6" t="str">
        <f t="shared" si="191"/>
        <v>MISSONI</v>
      </c>
      <c r="C650" s="7">
        <v>45980</v>
      </c>
      <c r="D650" s="7">
        <v>46073</v>
      </c>
      <c r="E650" s="8">
        <v>3</v>
      </c>
      <c r="F650" s="6" t="str">
        <f t="shared" si="193"/>
        <v>01H 2025 750</v>
      </c>
      <c r="G650" s="6" t="str">
        <f>"R330376545000000"</f>
        <v>R330376545000000</v>
      </c>
      <c r="H650" s="6" t="str">
        <f>"R 3765 - PLA 2941(m)"</f>
        <v>R 3765 - PLA 2941(m)</v>
      </c>
      <c r="I650" s="6" t="str">
        <f t="shared" si="194"/>
        <v>202457</v>
      </c>
      <c r="J650" s="6" t="str">
        <f t="shared" si="195"/>
        <v>LARANJA 2457</v>
      </c>
      <c r="K650" s="6" t="str">
        <f>"5006"</f>
        <v>5006</v>
      </c>
      <c r="L650" s="6" t="str">
        <f>"Roupões Adulto"</f>
        <v>Roupões Adulto</v>
      </c>
      <c r="M650" s="6" t="str">
        <f>"L"</f>
        <v>L</v>
      </c>
      <c r="N650" s="6" t="str">
        <f t="shared" si="190"/>
        <v xml:space="preserve"> </v>
      </c>
      <c r="O650" s="8">
        <v>240</v>
      </c>
      <c r="P650" s="7">
        <v>46042</v>
      </c>
      <c r="R650" s="8">
        <v>0</v>
      </c>
      <c r="S650" s="7">
        <v>46045</v>
      </c>
      <c r="U650" s="8">
        <v>0</v>
      </c>
      <c r="V650" s="7">
        <v>46056</v>
      </c>
      <c r="X650" s="8">
        <v>0</v>
      </c>
      <c r="Z650" s="8">
        <v>0</v>
      </c>
      <c r="AA650" s="7">
        <v>46066</v>
      </c>
      <c r="AC650" s="8">
        <v>0</v>
      </c>
      <c r="AE650" s="7">
        <v>46072</v>
      </c>
      <c r="AF650" s="8">
        <v>0</v>
      </c>
      <c r="AH650" s="7">
        <v>46073</v>
      </c>
      <c r="AN650" s="8">
        <v>0</v>
      </c>
      <c r="AO650" s="8">
        <v>240</v>
      </c>
    </row>
    <row r="651" spans="1:41" x14ac:dyDescent="0.25">
      <c r="A651" s="6" t="str">
        <f t="shared" si="192"/>
        <v>521-2025000739</v>
      </c>
      <c r="B651" s="6" t="str">
        <f t="shared" si="191"/>
        <v>MISSONI</v>
      </c>
      <c r="C651" s="7">
        <v>45980</v>
      </c>
      <c r="D651" s="7">
        <v>46073</v>
      </c>
      <c r="E651" s="8">
        <v>4</v>
      </c>
      <c r="F651" s="6" t="str">
        <f t="shared" si="193"/>
        <v>01H 2025 750</v>
      </c>
      <c r="G651" s="6" t="str">
        <f>"R330376545000000"</f>
        <v>R330376545000000</v>
      </c>
      <c r="H651" s="6" t="str">
        <f>"R 3765 - PLA 2941(m)"</f>
        <v>R 3765 - PLA 2941(m)</v>
      </c>
      <c r="I651" s="6" t="str">
        <f t="shared" si="194"/>
        <v>202457</v>
      </c>
      <c r="J651" s="6" t="str">
        <f t="shared" si="195"/>
        <v>LARANJA 2457</v>
      </c>
      <c r="K651" s="6" t="str">
        <f>"5008"</f>
        <v>5008</v>
      </c>
      <c r="L651" s="6" t="str">
        <f>"Roupões Adulto"</f>
        <v>Roupões Adulto</v>
      </c>
      <c r="M651" s="6" t="str">
        <f>"XL"</f>
        <v>XL</v>
      </c>
      <c r="N651" s="6" t="str">
        <f t="shared" si="190"/>
        <v xml:space="preserve"> </v>
      </c>
      <c r="O651" s="8">
        <v>120</v>
      </c>
      <c r="P651" s="7">
        <v>46042</v>
      </c>
      <c r="R651" s="8">
        <v>0</v>
      </c>
      <c r="S651" s="7">
        <v>46045</v>
      </c>
      <c r="U651" s="8">
        <v>0</v>
      </c>
      <c r="V651" s="7">
        <v>46056</v>
      </c>
      <c r="X651" s="8">
        <v>0</v>
      </c>
      <c r="Z651" s="8">
        <v>0</v>
      </c>
      <c r="AA651" s="7">
        <v>46066</v>
      </c>
      <c r="AC651" s="8">
        <v>0</v>
      </c>
      <c r="AE651" s="7">
        <v>46072</v>
      </c>
      <c r="AF651" s="8">
        <v>0</v>
      </c>
      <c r="AH651" s="7">
        <v>46073</v>
      </c>
      <c r="AN651" s="8">
        <v>0</v>
      </c>
      <c r="AO651" s="8">
        <v>120</v>
      </c>
    </row>
    <row r="652" spans="1:41" x14ac:dyDescent="0.25">
      <c r="A652" s="6" t="str">
        <f t="shared" si="192"/>
        <v>521-2025000739</v>
      </c>
      <c r="B652" s="6" t="str">
        <f t="shared" si="191"/>
        <v>MISSONI</v>
      </c>
      <c r="C652" s="7">
        <v>45980</v>
      </c>
      <c r="D652" s="7">
        <v>46073</v>
      </c>
      <c r="E652" s="8">
        <v>5</v>
      </c>
      <c r="F652" s="6" t="str">
        <f t="shared" si="193"/>
        <v>01H 2025 750</v>
      </c>
      <c r="G652" s="6" t="str">
        <f>"K330225445000000"</f>
        <v>K330225445000000</v>
      </c>
      <c r="H652" s="6" t="str">
        <f>"KB 2254 - PLA 2941 ("</f>
        <v>KB 2254 - PLA 2941 (</v>
      </c>
      <c r="I652" s="6" t="str">
        <f t="shared" si="194"/>
        <v>202457</v>
      </c>
      <c r="J652" s="6" t="str">
        <f t="shared" si="195"/>
        <v>LARANJA 2457</v>
      </c>
      <c r="K652" s="6" t="str">
        <f>"4881"</f>
        <v>4881</v>
      </c>
      <c r="L652" s="6" t="str">
        <f>"Chinelos"</f>
        <v>Chinelos</v>
      </c>
      <c r="M652" s="6" t="str">
        <f>"S"</f>
        <v>S</v>
      </c>
      <c r="N652" s="6" t="str">
        <f t="shared" si="190"/>
        <v xml:space="preserve"> </v>
      </c>
      <c r="O652" s="8">
        <v>135</v>
      </c>
      <c r="P652" s="7">
        <v>46042</v>
      </c>
      <c r="R652" s="8">
        <v>0</v>
      </c>
      <c r="S652" s="7">
        <v>46045</v>
      </c>
      <c r="U652" s="8">
        <v>0</v>
      </c>
      <c r="V652" s="7">
        <v>46056</v>
      </c>
      <c r="X652" s="8">
        <v>0</v>
      </c>
      <c r="Z652" s="8">
        <v>0</v>
      </c>
      <c r="AA652" s="7">
        <v>46066</v>
      </c>
      <c r="AC652" s="8">
        <v>0</v>
      </c>
      <c r="AE652" s="7">
        <v>46072</v>
      </c>
      <c r="AF652" s="8">
        <v>0</v>
      </c>
      <c r="AH652" s="7">
        <v>46073</v>
      </c>
      <c r="AN652" s="8">
        <v>0</v>
      </c>
      <c r="AO652" s="8">
        <v>135</v>
      </c>
    </row>
    <row r="653" spans="1:41" x14ac:dyDescent="0.25">
      <c r="A653" s="6" t="str">
        <f t="shared" si="192"/>
        <v>521-2025000739</v>
      </c>
      <c r="B653" s="6" t="str">
        <f t="shared" si="191"/>
        <v>MISSONI</v>
      </c>
      <c r="C653" s="7">
        <v>45980</v>
      </c>
      <c r="D653" s="7">
        <v>46073</v>
      </c>
      <c r="E653" s="8">
        <v>6</v>
      </c>
      <c r="F653" s="6" t="str">
        <f t="shared" si="193"/>
        <v>01H 2025 750</v>
      </c>
      <c r="G653" s="6" t="str">
        <f>"K330225445000000"</f>
        <v>K330225445000000</v>
      </c>
      <c r="H653" s="6" t="str">
        <f>"KB 2254 - PLA 2941 ("</f>
        <v>KB 2254 - PLA 2941 (</v>
      </c>
      <c r="I653" s="6" t="str">
        <f t="shared" si="194"/>
        <v>202457</v>
      </c>
      <c r="J653" s="6" t="str">
        <f t="shared" si="195"/>
        <v>LARANJA 2457</v>
      </c>
      <c r="K653" s="6" t="str">
        <f>"4882"</f>
        <v>4882</v>
      </c>
      <c r="L653" s="6" t="str">
        <f>"Chinelos"</f>
        <v>Chinelos</v>
      </c>
      <c r="M653" s="6" t="str">
        <f>"M"</f>
        <v>M</v>
      </c>
      <c r="N653" s="6" t="str">
        <f t="shared" si="190"/>
        <v xml:space="preserve"> </v>
      </c>
      <c r="O653" s="8">
        <v>180</v>
      </c>
      <c r="P653" s="7">
        <v>46042</v>
      </c>
      <c r="R653" s="8">
        <v>0</v>
      </c>
      <c r="S653" s="7">
        <v>46045</v>
      </c>
      <c r="U653" s="8">
        <v>0</v>
      </c>
      <c r="V653" s="7">
        <v>46056</v>
      </c>
      <c r="X653" s="8">
        <v>0</v>
      </c>
      <c r="Z653" s="8">
        <v>0</v>
      </c>
      <c r="AA653" s="7">
        <v>46066</v>
      </c>
      <c r="AC653" s="8">
        <v>0</v>
      </c>
      <c r="AE653" s="7">
        <v>46072</v>
      </c>
      <c r="AF653" s="8">
        <v>0</v>
      </c>
      <c r="AH653" s="7">
        <v>46073</v>
      </c>
      <c r="AN653" s="8">
        <v>0</v>
      </c>
      <c r="AO653" s="8">
        <v>180</v>
      </c>
    </row>
    <row r="654" spans="1:41" x14ac:dyDescent="0.25">
      <c r="A654" s="6" t="str">
        <f t="shared" si="192"/>
        <v>521-2025000739</v>
      </c>
      <c r="B654" s="6" t="str">
        <f t="shared" si="191"/>
        <v>MISSONI</v>
      </c>
      <c r="C654" s="7">
        <v>45980</v>
      </c>
      <c r="D654" s="7">
        <v>46073</v>
      </c>
      <c r="E654" s="8">
        <v>7</v>
      </c>
      <c r="F654" s="6" t="str">
        <f t="shared" si="193"/>
        <v>01H 2025 750</v>
      </c>
      <c r="G654" s="6" t="str">
        <f>"K330225445000000"</f>
        <v>K330225445000000</v>
      </c>
      <c r="H654" s="6" t="str">
        <f>"KB 2254 - PLA 2941 ("</f>
        <v>KB 2254 - PLA 2941 (</v>
      </c>
      <c r="I654" s="6" t="str">
        <f t="shared" si="194"/>
        <v>202457</v>
      </c>
      <c r="J654" s="6" t="str">
        <f t="shared" si="195"/>
        <v>LARANJA 2457</v>
      </c>
      <c r="K654" s="6" t="str">
        <f>"4883"</f>
        <v>4883</v>
      </c>
      <c r="L654" s="6" t="str">
        <f>"Chinelos"</f>
        <v>Chinelos</v>
      </c>
      <c r="M654" s="6" t="str">
        <f>"L"</f>
        <v>L</v>
      </c>
      <c r="N654" s="6" t="str">
        <f t="shared" si="190"/>
        <v xml:space="preserve"> </v>
      </c>
      <c r="O654" s="8">
        <v>135</v>
      </c>
      <c r="P654" s="7">
        <v>46042</v>
      </c>
      <c r="R654" s="8">
        <v>0</v>
      </c>
      <c r="S654" s="7">
        <v>46045</v>
      </c>
      <c r="U654" s="8">
        <v>0</v>
      </c>
      <c r="V654" s="7">
        <v>46056</v>
      </c>
      <c r="X654" s="8">
        <v>0</v>
      </c>
      <c r="Z654" s="8">
        <v>0</v>
      </c>
      <c r="AA654" s="7">
        <v>46066</v>
      </c>
      <c r="AC654" s="8">
        <v>0</v>
      </c>
      <c r="AE654" s="7">
        <v>46072</v>
      </c>
      <c r="AF654" s="8">
        <v>0</v>
      </c>
      <c r="AH654" s="7">
        <v>46073</v>
      </c>
      <c r="AN654" s="8">
        <v>0</v>
      </c>
      <c r="AO654" s="8">
        <v>135</v>
      </c>
    </row>
    <row r="655" spans="1:41" x14ac:dyDescent="0.25">
      <c r="A655" s="6" t="str">
        <f t="shared" si="192"/>
        <v>521-2025000739</v>
      </c>
      <c r="B655" s="6" t="str">
        <f t="shared" si="191"/>
        <v>MISSONI</v>
      </c>
      <c r="C655" s="7">
        <v>45980</v>
      </c>
      <c r="D655" s="7">
        <v>46073</v>
      </c>
      <c r="E655" s="8">
        <v>8</v>
      </c>
      <c r="F655" s="6" t="str">
        <f t="shared" si="193"/>
        <v>01H 2025 750</v>
      </c>
      <c r="G655" s="6" t="str">
        <f>"F330294145000000"</f>
        <v>F330294145000000</v>
      </c>
      <c r="H655" s="6" t="str">
        <f>"PLA 2941 - 450 g/m²"</f>
        <v>PLA 2941 - 450 g/m²</v>
      </c>
      <c r="I655" s="6" t="str">
        <f t="shared" si="194"/>
        <v>202457</v>
      </c>
      <c r="J655" s="6" t="str">
        <f t="shared" si="195"/>
        <v>LARANJA 2457</v>
      </c>
      <c r="K655" s="6" t="str">
        <f>"2020"</f>
        <v>2020</v>
      </c>
      <c r="L655" s="6" t="str">
        <f>"Lençóis"</f>
        <v>Lençóis</v>
      </c>
      <c r="M655" s="6" t="str">
        <f>"100x150"</f>
        <v>100x150</v>
      </c>
      <c r="N655" s="6" t="str">
        <f t="shared" si="190"/>
        <v xml:space="preserve"> </v>
      </c>
      <c r="O655" s="8">
        <v>600</v>
      </c>
      <c r="P655" s="7">
        <v>46042</v>
      </c>
      <c r="R655" s="8">
        <v>0</v>
      </c>
      <c r="S655" s="7">
        <v>46045</v>
      </c>
      <c r="U655" s="8">
        <v>0</v>
      </c>
      <c r="V655" s="7">
        <v>46056</v>
      </c>
      <c r="X655" s="8">
        <v>0</v>
      </c>
      <c r="Z655" s="8">
        <v>0</v>
      </c>
      <c r="AA655" s="7">
        <v>46066</v>
      </c>
      <c r="AC655" s="8">
        <v>0</v>
      </c>
      <c r="AE655" s="7">
        <v>46072</v>
      </c>
      <c r="AF655" s="8">
        <v>0</v>
      </c>
      <c r="AH655" s="7">
        <v>46073</v>
      </c>
      <c r="AN655" s="8">
        <v>0</v>
      </c>
      <c r="AO655" s="8">
        <v>600</v>
      </c>
    </row>
    <row r="656" spans="1:41" x14ac:dyDescent="0.25">
      <c r="A656" s="6" t="str">
        <f t="shared" si="192"/>
        <v>521-2025000739</v>
      </c>
      <c r="B656" s="6" t="str">
        <f t="shared" si="191"/>
        <v>MISSONI</v>
      </c>
      <c r="C656" s="7">
        <v>45980</v>
      </c>
      <c r="D656" s="7">
        <v>46073</v>
      </c>
      <c r="E656" s="8">
        <v>9</v>
      </c>
      <c r="F656" s="6" t="str">
        <f t="shared" si="193"/>
        <v>01H 2025 750</v>
      </c>
      <c r="G656" s="6" t="str">
        <f>"F330294145000000"</f>
        <v>F330294145000000</v>
      </c>
      <c r="H656" s="6" t="str">
        <f>"PLA 2941 - 450 g/m²"</f>
        <v>PLA 2941 - 450 g/m²</v>
      </c>
      <c r="I656" s="6" t="str">
        <f t="shared" si="194"/>
        <v>202457</v>
      </c>
      <c r="J656" s="6" t="str">
        <f t="shared" si="195"/>
        <v>LARANJA 2457</v>
      </c>
      <c r="K656" s="6" t="str">
        <f>"1525"</f>
        <v>1525</v>
      </c>
      <c r="L656" s="6" t="str">
        <f>"Toalhões"</f>
        <v>Toalhões</v>
      </c>
      <c r="M656" s="6" t="str">
        <f>"70x115"</f>
        <v>70x115</v>
      </c>
      <c r="N656" s="6" t="str">
        <f t="shared" si="190"/>
        <v xml:space="preserve"> </v>
      </c>
      <c r="O656" s="8">
        <v>1300</v>
      </c>
      <c r="P656" s="7">
        <v>46042</v>
      </c>
      <c r="R656" s="8">
        <v>0</v>
      </c>
      <c r="S656" s="7">
        <v>46045</v>
      </c>
      <c r="U656" s="8">
        <v>0</v>
      </c>
      <c r="V656" s="7">
        <v>46056</v>
      </c>
      <c r="X656" s="8">
        <v>0</v>
      </c>
      <c r="Z656" s="8">
        <v>0</v>
      </c>
      <c r="AA656" s="7">
        <v>46066</v>
      </c>
      <c r="AC656" s="8">
        <v>0</v>
      </c>
      <c r="AE656" s="7">
        <v>46072</v>
      </c>
      <c r="AF656" s="8">
        <v>0</v>
      </c>
      <c r="AH656" s="7">
        <v>46073</v>
      </c>
      <c r="AN656" s="8">
        <v>0</v>
      </c>
      <c r="AO656" s="8">
        <v>1300</v>
      </c>
    </row>
    <row r="657" spans="1:41" x14ac:dyDescent="0.25">
      <c r="A657" s="6" t="str">
        <f t="shared" si="192"/>
        <v>521-2025000739</v>
      </c>
      <c r="B657" s="6" t="str">
        <f t="shared" si="191"/>
        <v>MISSONI</v>
      </c>
      <c r="C657" s="7">
        <v>45980</v>
      </c>
      <c r="D657" s="7">
        <v>46073</v>
      </c>
      <c r="E657" s="8">
        <v>10</v>
      </c>
      <c r="F657" s="6" t="str">
        <f t="shared" si="193"/>
        <v>01H 2025 750</v>
      </c>
      <c r="G657" s="6" t="str">
        <f>"F330294145000000"</f>
        <v>F330294145000000</v>
      </c>
      <c r="H657" s="6" t="str">
        <f>"PLA 2941 - 450 g/m²"</f>
        <v>PLA 2941 - 450 g/m²</v>
      </c>
      <c r="I657" s="6" t="str">
        <f t="shared" si="194"/>
        <v>202457</v>
      </c>
      <c r="J657" s="6" t="str">
        <f t="shared" si="195"/>
        <v>LARANJA 2457</v>
      </c>
      <c r="K657" s="6" t="str">
        <f>"0581"</f>
        <v>0581</v>
      </c>
      <c r="L657" s="6" t="str">
        <f>"Toalhetes"</f>
        <v>Toalhetes</v>
      </c>
      <c r="M657" s="6" t="str">
        <f>"70x40"</f>
        <v>70x40</v>
      </c>
      <c r="N657" s="6" t="str">
        <f t="shared" si="190"/>
        <v xml:space="preserve"> </v>
      </c>
      <c r="O657" s="8">
        <v>3000</v>
      </c>
      <c r="P657" s="7">
        <v>46042</v>
      </c>
      <c r="R657" s="8">
        <v>2688</v>
      </c>
      <c r="S657" s="7">
        <v>46045</v>
      </c>
      <c r="U657" s="8">
        <v>0</v>
      </c>
      <c r="V657" s="7">
        <v>46056</v>
      </c>
      <c r="X657" s="8">
        <v>0</v>
      </c>
      <c r="Z657" s="8">
        <v>0</v>
      </c>
      <c r="AA657" s="7">
        <v>46066</v>
      </c>
      <c r="AC657" s="8">
        <v>0</v>
      </c>
      <c r="AE657" s="7">
        <v>46072</v>
      </c>
      <c r="AF657" s="8">
        <v>0</v>
      </c>
      <c r="AH657" s="7">
        <v>46073</v>
      </c>
      <c r="AN657" s="8">
        <v>0</v>
      </c>
      <c r="AO657" s="8">
        <v>3000</v>
      </c>
    </row>
    <row r="658" spans="1:41" x14ac:dyDescent="0.25">
      <c r="A658" s="6" t="str">
        <f t="shared" si="192"/>
        <v>521-2025000739</v>
      </c>
      <c r="B658" s="6" t="str">
        <f t="shared" si="191"/>
        <v>MISSONI</v>
      </c>
      <c r="C658" s="7">
        <v>45980</v>
      </c>
      <c r="D658" s="7">
        <v>46073</v>
      </c>
      <c r="E658" s="8">
        <v>11</v>
      </c>
      <c r="F658" s="6" t="str">
        <f t="shared" si="193"/>
        <v>01H 2025 750</v>
      </c>
      <c r="G658" s="6" t="str">
        <f>"C001006200006247"</f>
        <v>C001006200006247</v>
      </c>
      <c r="H658" s="6" t="str">
        <f>"MT 0062 / 6247A C/ F"</f>
        <v>MT 0062 / 6247A C/ F</v>
      </c>
      <c r="I658" s="6" t="str">
        <f>"201250"</f>
        <v>201250</v>
      </c>
      <c r="J658" s="6" t="str">
        <f>"VERDE 1250"</f>
        <v>VERDE 1250</v>
      </c>
      <c r="K658" s="6" t="str">
        <f>"9224"</f>
        <v>9224</v>
      </c>
      <c r="L658" s="6" t="str">
        <f>"Manta"</f>
        <v>Manta</v>
      </c>
      <c r="M658" s="6" t="str">
        <f>"140+6x180+"</f>
        <v>140+6x180+</v>
      </c>
      <c r="N658" s="6" t="str">
        <f t="shared" si="190"/>
        <v xml:space="preserve"> </v>
      </c>
      <c r="O658" s="8">
        <v>450</v>
      </c>
      <c r="P658" s="7">
        <v>46042</v>
      </c>
      <c r="R658" s="8">
        <v>213</v>
      </c>
      <c r="S658" s="7">
        <v>46045</v>
      </c>
      <c r="U658" s="8">
        <v>0</v>
      </c>
      <c r="V658" s="7">
        <v>46056</v>
      </c>
      <c r="X658" s="8">
        <v>0</v>
      </c>
      <c r="Z658" s="8">
        <v>0</v>
      </c>
      <c r="AA658" s="7">
        <v>46066</v>
      </c>
      <c r="AC658" s="8">
        <v>0</v>
      </c>
      <c r="AE658" s="7">
        <v>46072</v>
      </c>
      <c r="AF658" s="8">
        <v>0</v>
      </c>
      <c r="AH658" s="7">
        <v>46073</v>
      </c>
      <c r="AN658" s="8">
        <v>0</v>
      </c>
      <c r="AO658" s="8">
        <v>450</v>
      </c>
    </row>
    <row r="659" spans="1:41" x14ac:dyDescent="0.25">
      <c r="A659" s="6" t="str">
        <f t="shared" si="192"/>
        <v>521-2025000739</v>
      </c>
      <c r="B659" s="6" t="str">
        <f t="shared" si="191"/>
        <v>MISSONI</v>
      </c>
      <c r="C659" s="7">
        <v>45980</v>
      </c>
      <c r="D659" s="7">
        <v>46073</v>
      </c>
      <c r="E659" s="8">
        <v>12</v>
      </c>
      <c r="F659" s="6" t="str">
        <f t="shared" si="193"/>
        <v>01H 2025 750</v>
      </c>
      <c r="G659" s="6" t="str">
        <f>"J330294145000000"</f>
        <v>J330294145000000</v>
      </c>
      <c r="H659" s="6" t="str">
        <f>"Conj. PLA 2941 - 450"</f>
        <v>Conj. PLA 2941 - 450</v>
      </c>
      <c r="I659" s="6" t="str">
        <f>"202457"</f>
        <v>202457</v>
      </c>
      <c r="J659" s="6" t="str">
        <f>"LARANJA 2457"</f>
        <v>LARANJA 2457</v>
      </c>
      <c r="K659" s="6" t="str">
        <f>"4014"</f>
        <v>4014</v>
      </c>
      <c r="L659" s="6" t="str">
        <f>"Conjunto/Jogos"</f>
        <v>Conjunto/Jogos</v>
      </c>
      <c r="M659" s="6" t="str">
        <f>"(2 Pcs)"</f>
        <v>(2 Pcs)</v>
      </c>
      <c r="N659" s="6" t="str">
        <f t="shared" si="190"/>
        <v xml:space="preserve"> </v>
      </c>
      <c r="O659" s="8">
        <v>200</v>
      </c>
      <c r="P659" s="7">
        <v>46042</v>
      </c>
      <c r="R659" s="8">
        <v>0</v>
      </c>
      <c r="S659" s="7">
        <v>46045</v>
      </c>
      <c r="U659" s="8">
        <v>0</v>
      </c>
      <c r="V659" s="7">
        <v>46056</v>
      </c>
      <c r="X659" s="8">
        <v>0</v>
      </c>
      <c r="Z659" s="8">
        <v>0</v>
      </c>
      <c r="AA659" s="7">
        <v>46066</v>
      </c>
      <c r="AC659" s="8">
        <v>0</v>
      </c>
      <c r="AE659" s="7">
        <v>46072</v>
      </c>
      <c r="AF659" s="8">
        <v>0</v>
      </c>
      <c r="AH659" s="7">
        <v>46073</v>
      </c>
      <c r="AN659" s="8">
        <v>0</v>
      </c>
      <c r="AO659" s="8">
        <v>200</v>
      </c>
    </row>
    <row r="660" spans="1:41" x14ac:dyDescent="0.25">
      <c r="A660" s="6" t="str">
        <f t="shared" si="192"/>
        <v>521-2025000739</v>
      </c>
      <c r="B660" s="6" t="str">
        <f t="shared" si="191"/>
        <v>MISSONI</v>
      </c>
      <c r="C660" s="7">
        <v>45980</v>
      </c>
      <c r="D660" s="7">
        <v>46073</v>
      </c>
      <c r="E660" s="8">
        <v>13</v>
      </c>
      <c r="F660" s="6" t="str">
        <f t="shared" si="193"/>
        <v>01H 2025 750</v>
      </c>
      <c r="G660" s="6" t="str">
        <f>"J330294145000001"</f>
        <v>J330294145000001</v>
      </c>
      <c r="H660" s="6" t="str">
        <f>"Conj. PLA 2941 - 450"</f>
        <v>Conj. PLA 2941 - 450</v>
      </c>
      <c r="I660" s="6" t="str">
        <f>"202457"</f>
        <v>202457</v>
      </c>
      <c r="J660" s="6" t="str">
        <f>"LARANJA 2457"</f>
        <v>LARANJA 2457</v>
      </c>
      <c r="K660" s="6" t="str">
        <f>"4018"</f>
        <v>4018</v>
      </c>
      <c r="L660" s="6" t="str">
        <f>"Conjunto/Jogos"</f>
        <v>Conjunto/Jogos</v>
      </c>
      <c r="M660" s="6" t="str">
        <f>"(5 Pcs)"</f>
        <v>(5 Pcs)</v>
      </c>
      <c r="N660" s="6" t="str">
        <f t="shared" si="190"/>
        <v xml:space="preserve"> </v>
      </c>
      <c r="O660" s="8">
        <v>150</v>
      </c>
      <c r="P660" s="7">
        <v>46042</v>
      </c>
      <c r="R660" s="8">
        <v>0</v>
      </c>
      <c r="S660" s="7">
        <v>46045</v>
      </c>
      <c r="U660" s="8">
        <v>0</v>
      </c>
      <c r="V660" s="7">
        <v>46056</v>
      </c>
      <c r="X660" s="8">
        <v>0</v>
      </c>
      <c r="Z660" s="8">
        <v>0</v>
      </c>
      <c r="AA660" s="7">
        <v>46066</v>
      </c>
      <c r="AC660" s="8">
        <v>0</v>
      </c>
      <c r="AE660" s="7">
        <v>46072</v>
      </c>
      <c r="AF660" s="8">
        <v>0</v>
      </c>
      <c r="AH660" s="7">
        <v>46073</v>
      </c>
      <c r="AN660" s="8">
        <v>0</v>
      </c>
      <c r="AO660" s="8">
        <v>150</v>
      </c>
    </row>
    <row r="661" spans="1:41" x14ac:dyDescent="0.25">
      <c r="A661" s="6" t="str">
        <f t="shared" si="192"/>
        <v>521-2025000739</v>
      </c>
      <c r="B661" s="6" t="str">
        <f t="shared" si="191"/>
        <v>MISSONI</v>
      </c>
      <c r="C661" s="7">
        <v>45980</v>
      </c>
      <c r="D661" s="7">
        <v>46073</v>
      </c>
      <c r="E661" s="8">
        <v>14</v>
      </c>
      <c r="F661" s="6" t="str">
        <f t="shared" si="193"/>
        <v>01H 2025 750</v>
      </c>
      <c r="G661" s="6" t="str">
        <f>"J330294145000002"</f>
        <v>J330294145000002</v>
      </c>
      <c r="H661" s="6" t="str">
        <f>"Conj. PLA 2941 - 450"</f>
        <v>Conj. PLA 2941 - 450</v>
      </c>
      <c r="I661" s="6" t="str">
        <f>"202457"</f>
        <v>202457</v>
      </c>
      <c r="J661" s="6" t="str">
        <f>"LARANJA 2457"</f>
        <v>LARANJA 2457</v>
      </c>
      <c r="K661" s="6" t="str">
        <f>"4020"</f>
        <v>4020</v>
      </c>
      <c r="L661" s="6" t="str">
        <f>"Conjunto/Jogos"</f>
        <v>Conjunto/Jogos</v>
      </c>
      <c r="M661" s="6" t="str">
        <f>"(6 Pcs)"</f>
        <v>(6 Pcs)</v>
      </c>
      <c r="N661" s="6" t="str">
        <f t="shared" si="190"/>
        <v xml:space="preserve"> </v>
      </c>
      <c r="O661" s="8">
        <v>600</v>
      </c>
      <c r="P661" s="7">
        <v>46042</v>
      </c>
      <c r="R661" s="8">
        <v>0</v>
      </c>
      <c r="S661" s="7">
        <v>46045</v>
      </c>
      <c r="U661" s="8">
        <v>0</v>
      </c>
      <c r="V661" s="7">
        <v>46056</v>
      </c>
      <c r="X661" s="8">
        <v>0</v>
      </c>
      <c r="Z661" s="8">
        <v>0</v>
      </c>
      <c r="AA661" s="7">
        <v>46066</v>
      </c>
      <c r="AC661" s="8">
        <v>0</v>
      </c>
      <c r="AE661" s="7">
        <v>46072</v>
      </c>
      <c r="AF661" s="8">
        <v>0</v>
      </c>
      <c r="AH661" s="7">
        <v>46073</v>
      </c>
      <c r="AN661" s="8">
        <v>0</v>
      </c>
      <c r="AO661" s="8">
        <v>600</v>
      </c>
    </row>
    <row r="662" spans="1:41" x14ac:dyDescent="0.25">
      <c r="A662" s="6" t="str">
        <f t="shared" si="192"/>
        <v>521-2025000739</v>
      </c>
      <c r="B662" s="6" t="str">
        <f t="shared" si="191"/>
        <v>MISSONI</v>
      </c>
      <c r="C662" s="7">
        <v>45980</v>
      </c>
      <c r="D662" s="7">
        <v>46073</v>
      </c>
      <c r="E662" s="8">
        <v>15</v>
      </c>
      <c r="F662" s="6" t="str">
        <f t="shared" si="193"/>
        <v>01H 2025 750</v>
      </c>
      <c r="G662" s="6" t="str">
        <f>"F370294110000000"</f>
        <v>F370294110000000</v>
      </c>
      <c r="H662" s="6" t="str">
        <f>"PLA 2941 TA - 1000 g"</f>
        <v>PLA 2941 TA - 1000 g</v>
      </c>
      <c r="I662" s="6" t="str">
        <f>"202457"</f>
        <v>202457</v>
      </c>
      <c r="J662" s="6" t="str">
        <f>"LARANJA 2457"</f>
        <v>LARANJA 2457</v>
      </c>
      <c r="K662" s="6" t="str">
        <f>"3078"</f>
        <v>3078</v>
      </c>
      <c r="L662" s="6" t="str">
        <f>"Tapetes"</f>
        <v>Tapetes</v>
      </c>
      <c r="M662" s="6" t="str">
        <f>"90x60"</f>
        <v>90x60</v>
      </c>
      <c r="N662" s="6" t="str">
        <f t="shared" si="190"/>
        <v xml:space="preserve"> </v>
      </c>
      <c r="O662" s="8">
        <v>600</v>
      </c>
      <c r="P662" s="7">
        <v>46042</v>
      </c>
      <c r="R662" s="8">
        <v>0</v>
      </c>
      <c r="S662" s="7">
        <v>46045</v>
      </c>
      <c r="U662" s="8">
        <v>0</v>
      </c>
      <c r="V662" s="7">
        <v>46056</v>
      </c>
      <c r="X662" s="8">
        <v>0</v>
      </c>
      <c r="Z662" s="8">
        <v>0</v>
      </c>
      <c r="AA662" s="7">
        <v>46066</v>
      </c>
      <c r="AC662" s="8">
        <v>0</v>
      </c>
      <c r="AE662" s="7">
        <v>46072</v>
      </c>
      <c r="AF662" s="8">
        <v>0</v>
      </c>
      <c r="AH662" s="7">
        <v>46073</v>
      </c>
      <c r="AN662" s="8">
        <v>0</v>
      </c>
      <c r="AO662" s="8">
        <v>600</v>
      </c>
    </row>
    <row r="663" spans="1:41" x14ac:dyDescent="0.25">
      <c r="A663" s="6" t="str">
        <f>"521-2025000740"</f>
        <v>521-2025000740</v>
      </c>
      <c r="B663" s="6" t="str">
        <f t="shared" si="191"/>
        <v>MISSONI</v>
      </c>
      <c r="C663" s="7">
        <v>45980</v>
      </c>
      <c r="D663" s="7">
        <v>46073</v>
      </c>
      <c r="E663" s="8">
        <v>1</v>
      </c>
      <c r="F663" s="6" t="str">
        <f>"01H 2025 751"</f>
        <v>01H 2025 751</v>
      </c>
      <c r="G663" s="6" t="str">
        <f>"F600901245000000"</f>
        <v>F600901245000000</v>
      </c>
      <c r="H663" s="6" t="str">
        <f>"19012 - 450 g/m²"</f>
        <v>19012 - 450 g/m²</v>
      </c>
      <c r="I663" s="6" t="str">
        <f>"202457"</f>
        <v>202457</v>
      </c>
      <c r="J663" s="6" t="str">
        <f>"LARANJA 2457"</f>
        <v>LARANJA 2457</v>
      </c>
      <c r="K663" s="6" t="str">
        <f>"3550"</f>
        <v>3550</v>
      </c>
      <c r="L663" s="6" t="str">
        <f>"Praia"</f>
        <v>Praia</v>
      </c>
      <c r="M663" s="6" t="str">
        <f>"180x100"</f>
        <v>180x100</v>
      </c>
      <c r="N663" s="6" t="str">
        <f t="shared" si="190"/>
        <v xml:space="preserve"> </v>
      </c>
      <c r="O663" s="8">
        <v>600</v>
      </c>
      <c r="P663" s="7">
        <v>46044</v>
      </c>
      <c r="R663" s="8">
        <v>0</v>
      </c>
      <c r="S663" s="7">
        <v>46049</v>
      </c>
      <c r="U663" s="8">
        <v>642</v>
      </c>
      <c r="V663" s="7">
        <v>46056</v>
      </c>
      <c r="X663" s="8">
        <v>0</v>
      </c>
      <c r="Z663" s="8">
        <v>642</v>
      </c>
      <c r="AA663" s="7">
        <v>46072</v>
      </c>
      <c r="AC663" s="8">
        <v>0</v>
      </c>
      <c r="AE663" s="7">
        <v>46077</v>
      </c>
      <c r="AF663" s="8">
        <v>0</v>
      </c>
      <c r="AH663" s="7">
        <v>46073</v>
      </c>
      <c r="AN663" s="8">
        <v>0</v>
      </c>
      <c r="AO663" s="8">
        <v>600</v>
      </c>
    </row>
    <row r="664" spans="1:41" x14ac:dyDescent="0.25">
      <c r="A664" s="6" t="str">
        <f>"521-2025000740"</f>
        <v>521-2025000740</v>
      </c>
      <c r="B664" s="6" t="str">
        <f t="shared" si="191"/>
        <v>MISSONI</v>
      </c>
      <c r="C664" s="7">
        <v>45980</v>
      </c>
      <c r="D664" s="7">
        <v>46073</v>
      </c>
      <c r="E664" s="8">
        <v>2</v>
      </c>
      <c r="F664" s="6" t="str">
        <f>"01H 2025 751"</f>
        <v>01H 2025 751</v>
      </c>
      <c r="G664" s="6" t="str">
        <f>"F600901245000000"</f>
        <v>F600901245000000</v>
      </c>
      <c r="H664" s="6" t="str">
        <f>"19012 - 450 g/m²"</f>
        <v>19012 - 450 g/m²</v>
      </c>
      <c r="I664" s="6" t="str">
        <f>"203206"</f>
        <v>203206</v>
      </c>
      <c r="J664" s="6" t="str">
        <f>"VERMELHO 3206"</f>
        <v>VERMELHO 3206</v>
      </c>
      <c r="K664" s="6" t="str">
        <f>"3550"</f>
        <v>3550</v>
      </c>
      <c r="L664" s="6" t="str">
        <f>"Praia"</f>
        <v>Praia</v>
      </c>
      <c r="M664" s="6" t="str">
        <f>"180x100"</f>
        <v>180x100</v>
      </c>
      <c r="N664" s="6" t="str">
        <f t="shared" si="190"/>
        <v xml:space="preserve"> </v>
      </c>
      <c r="O664" s="8">
        <v>600</v>
      </c>
      <c r="P664" s="7">
        <v>46044</v>
      </c>
      <c r="R664" s="8">
        <v>0</v>
      </c>
      <c r="S664" s="7">
        <v>46049</v>
      </c>
      <c r="U664" s="8">
        <v>159</v>
      </c>
      <c r="V664" s="7">
        <v>46056</v>
      </c>
      <c r="X664" s="8">
        <v>0</v>
      </c>
      <c r="Z664" s="8">
        <v>159</v>
      </c>
      <c r="AA664" s="7">
        <v>46072</v>
      </c>
      <c r="AC664" s="8">
        <v>0</v>
      </c>
      <c r="AE664" s="7">
        <v>46077</v>
      </c>
      <c r="AF664" s="8">
        <v>0</v>
      </c>
      <c r="AH664" s="7">
        <v>46073</v>
      </c>
      <c r="AN664" s="8">
        <v>0</v>
      </c>
      <c r="AO664" s="8">
        <v>600</v>
      </c>
    </row>
    <row r="665" spans="1:41" x14ac:dyDescent="0.25">
      <c r="A665" s="6" t="str">
        <f>"521-2025000740"</f>
        <v>521-2025000740</v>
      </c>
      <c r="B665" s="6" t="str">
        <f t="shared" si="191"/>
        <v>MISSONI</v>
      </c>
      <c r="C665" s="7">
        <v>45980</v>
      </c>
      <c r="D665" s="7">
        <v>46073</v>
      </c>
      <c r="E665" s="8">
        <v>3</v>
      </c>
      <c r="F665" s="6" t="str">
        <f>"01H 2025 751"</f>
        <v>01H 2025 751</v>
      </c>
      <c r="G665" s="6" t="str">
        <f>"F600901245000000"</f>
        <v>F600901245000000</v>
      </c>
      <c r="H665" s="6" t="str">
        <f>"19012 - 450 g/m²"</f>
        <v>19012 - 450 g/m²</v>
      </c>
      <c r="I665" s="6" t="str">
        <f>"201619"</f>
        <v>201619</v>
      </c>
      <c r="J665" s="6" t="str">
        <f>"AMARELO 1619"</f>
        <v>AMARELO 1619</v>
      </c>
      <c r="K665" s="6" t="str">
        <f>"3550"</f>
        <v>3550</v>
      </c>
      <c r="L665" s="6" t="str">
        <f>"Praia"</f>
        <v>Praia</v>
      </c>
      <c r="M665" s="6" t="str">
        <f>"180x100"</f>
        <v>180x100</v>
      </c>
      <c r="N665" s="6" t="str">
        <f t="shared" si="190"/>
        <v xml:space="preserve"> </v>
      </c>
      <c r="O665" s="8">
        <v>600</v>
      </c>
      <c r="P665" s="7">
        <v>46044</v>
      </c>
      <c r="R665" s="8">
        <v>0</v>
      </c>
      <c r="S665" s="7">
        <v>46049</v>
      </c>
      <c r="U665" s="8">
        <v>243</v>
      </c>
      <c r="V665" s="7">
        <v>46056</v>
      </c>
      <c r="X665" s="8">
        <v>0</v>
      </c>
      <c r="Z665" s="8">
        <v>243</v>
      </c>
      <c r="AA665" s="7">
        <v>46072</v>
      </c>
      <c r="AC665" s="8">
        <v>0</v>
      </c>
      <c r="AE665" s="7">
        <v>46077</v>
      </c>
      <c r="AF665" s="8">
        <v>0</v>
      </c>
      <c r="AH665" s="7">
        <v>46073</v>
      </c>
      <c r="AN665" s="8">
        <v>0</v>
      </c>
      <c r="AO665" s="8">
        <v>600</v>
      </c>
    </row>
    <row r="666" spans="1:41" x14ac:dyDescent="0.25">
      <c r="A666" s="6" t="str">
        <f>"521-2025000741"</f>
        <v>521-2025000741</v>
      </c>
      <c r="B666" s="6" t="str">
        <f t="shared" si="191"/>
        <v>MISSONI</v>
      </c>
      <c r="C666" s="7">
        <v>45980</v>
      </c>
      <c r="D666" s="7">
        <v>46073</v>
      </c>
      <c r="E666" s="8">
        <v>1</v>
      </c>
      <c r="F666" s="6" t="str">
        <f>"01H 2025 752"</f>
        <v>01H 2025 752</v>
      </c>
      <c r="G666" s="6" t="str">
        <f>"F600899845000000"</f>
        <v>F600899845000000</v>
      </c>
      <c r="H666" s="6" t="str">
        <f>"18998 - 450 g/m²"</f>
        <v>18998 - 450 g/m²</v>
      </c>
      <c r="I666" s="6" t="str">
        <f>"203718"</f>
        <v>203718</v>
      </c>
      <c r="J666" s="6" t="str">
        <f>"BEGE 3718"</f>
        <v>BEGE 3718</v>
      </c>
      <c r="K666" s="6" t="str">
        <f>"3550"</f>
        <v>3550</v>
      </c>
      <c r="L666" s="6" t="str">
        <f>"Praia"</f>
        <v>Praia</v>
      </c>
      <c r="M666" s="6" t="str">
        <f>"180x100"</f>
        <v>180x100</v>
      </c>
      <c r="N666" s="6" t="str">
        <f t="shared" ref="N666:N696" si="196">" "</f>
        <v xml:space="preserve"> </v>
      </c>
      <c r="O666" s="8">
        <v>800</v>
      </c>
      <c r="P666" s="7">
        <v>46051</v>
      </c>
      <c r="R666" s="8">
        <v>0</v>
      </c>
      <c r="S666" s="7">
        <v>46056</v>
      </c>
      <c r="U666" s="8">
        <v>0</v>
      </c>
      <c r="V666" s="7">
        <v>46059</v>
      </c>
      <c r="X666" s="8">
        <v>0</v>
      </c>
      <c r="Z666" s="8">
        <v>0</v>
      </c>
      <c r="AA666" s="7">
        <v>46073</v>
      </c>
      <c r="AC666" s="8">
        <v>0</v>
      </c>
      <c r="AE666" s="7">
        <v>46077</v>
      </c>
      <c r="AF666" s="8">
        <v>0</v>
      </c>
      <c r="AH666" s="7">
        <v>46073</v>
      </c>
      <c r="AN666" s="8">
        <v>0</v>
      </c>
      <c r="AO666" s="8">
        <v>800</v>
      </c>
    </row>
    <row r="667" spans="1:41" x14ac:dyDescent="0.25">
      <c r="A667" s="6" t="str">
        <f t="shared" ref="A667:A676" si="197">"521-2025000742"</f>
        <v>521-2025000742</v>
      </c>
      <c r="B667" s="6" t="str">
        <f t="shared" si="191"/>
        <v>MISSONI</v>
      </c>
      <c r="C667" s="7">
        <v>45980</v>
      </c>
      <c r="D667" s="7">
        <v>46073</v>
      </c>
      <c r="E667" s="8">
        <v>1</v>
      </c>
      <c r="F667" s="6" t="str">
        <f t="shared" ref="F667:F676" si="198">"01H 2025 749"</f>
        <v>01H 2025 749</v>
      </c>
      <c r="G667" s="6" t="str">
        <f>"R330383945000000"</f>
        <v>R330383945000000</v>
      </c>
      <c r="H667" s="6" t="str">
        <f>"R 3839 - PLA 3109 (m"</f>
        <v>R 3839 - PLA 3109 (m</v>
      </c>
      <c r="I667" s="6" t="str">
        <f>"200832"</f>
        <v>200832</v>
      </c>
      <c r="J667" s="6" t="str">
        <f>"CINZA 832"</f>
        <v>CINZA 832</v>
      </c>
      <c r="K667" s="6" t="str">
        <f>"5002"</f>
        <v>5002</v>
      </c>
      <c r="L667" s="6" t="str">
        <f>"Roupões Adulto"</f>
        <v>Roupões Adulto</v>
      </c>
      <c r="M667" s="6" t="str">
        <f>"S"</f>
        <v>S</v>
      </c>
      <c r="N667" s="6" t="str">
        <f t="shared" si="196"/>
        <v xml:space="preserve"> </v>
      </c>
      <c r="O667" s="8">
        <v>180</v>
      </c>
      <c r="P667" s="7">
        <v>46048</v>
      </c>
      <c r="R667" s="8">
        <v>191</v>
      </c>
      <c r="S667" s="7">
        <v>46058</v>
      </c>
      <c r="U667" s="8">
        <v>0</v>
      </c>
      <c r="V667" s="7">
        <v>46056</v>
      </c>
      <c r="X667" s="8">
        <v>0</v>
      </c>
      <c r="Z667" s="8">
        <v>0</v>
      </c>
      <c r="AA667" s="7">
        <v>46071</v>
      </c>
      <c r="AC667" s="8">
        <v>0</v>
      </c>
      <c r="AE667" s="7">
        <v>46073</v>
      </c>
      <c r="AF667" s="8">
        <v>0</v>
      </c>
      <c r="AH667" s="7">
        <v>46080</v>
      </c>
      <c r="AN667" s="8">
        <v>0</v>
      </c>
      <c r="AO667" s="8">
        <v>180</v>
      </c>
    </row>
    <row r="668" spans="1:41" x14ac:dyDescent="0.25">
      <c r="A668" s="6" t="str">
        <f t="shared" si="197"/>
        <v>521-2025000742</v>
      </c>
      <c r="B668" s="6" t="str">
        <f t="shared" si="191"/>
        <v>MISSONI</v>
      </c>
      <c r="C668" s="7">
        <v>45980</v>
      </c>
      <c r="D668" s="7">
        <v>46073</v>
      </c>
      <c r="E668" s="8">
        <v>2</v>
      </c>
      <c r="F668" s="6" t="str">
        <f t="shared" si="198"/>
        <v>01H 2025 749</v>
      </c>
      <c r="G668" s="6" t="str">
        <f>"R330383945000000"</f>
        <v>R330383945000000</v>
      </c>
      <c r="H668" s="6" t="str">
        <f>"R 3839 - PLA 3109 (m"</f>
        <v>R 3839 - PLA 3109 (m</v>
      </c>
      <c r="I668" s="6" t="str">
        <f>"200832"</f>
        <v>200832</v>
      </c>
      <c r="J668" s="6" t="str">
        <f>"CINZA 832"</f>
        <v>CINZA 832</v>
      </c>
      <c r="K668" s="6" t="str">
        <f>"5004"</f>
        <v>5004</v>
      </c>
      <c r="L668" s="6" t="str">
        <f>"Roupões Adulto"</f>
        <v>Roupões Adulto</v>
      </c>
      <c r="M668" s="6" t="str">
        <f>"M"</f>
        <v>M</v>
      </c>
      <c r="N668" s="6" t="str">
        <f t="shared" si="196"/>
        <v xml:space="preserve"> </v>
      </c>
      <c r="O668" s="8">
        <v>180</v>
      </c>
      <c r="P668" s="7">
        <v>46048</v>
      </c>
      <c r="R668" s="8">
        <v>0</v>
      </c>
      <c r="S668" s="7">
        <v>46058</v>
      </c>
      <c r="U668" s="8">
        <v>0</v>
      </c>
      <c r="V668" s="7">
        <v>46056</v>
      </c>
      <c r="X668" s="8">
        <v>0</v>
      </c>
      <c r="Z668" s="8">
        <v>0</v>
      </c>
      <c r="AA668" s="7">
        <v>46071</v>
      </c>
      <c r="AC668" s="8">
        <v>0</v>
      </c>
      <c r="AE668" s="7">
        <v>46073</v>
      </c>
      <c r="AF668" s="8">
        <v>0</v>
      </c>
      <c r="AH668" s="7">
        <v>46080</v>
      </c>
      <c r="AN668" s="8">
        <v>0</v>
      </c>
      <c r="AO668" s="8">
        <v>180</v>
      </c>
    </row>
    <row r="669" spans="1:41" x14ac:dyDescent="0.25">
      <c r="A669" s="6" t="str">
        <f t="shared" si="197"/>
        <v>521-2025000742</v>
      </c>
      <c r="B669" s="6" t="str">
        <f t="shared" si="191"/>
        <v>MISSONI</v>
      </c>
      <c r="C669" s="7">
        <v>45980</v>
      </c>
      <c r="D669" s="7">
        <v>46073</v>
      </c>
      <c r="E669" s="8">
        <v>3</v>
      </c>
      <c r="F669" s="6" t="str">
        <f t="shared" si="198"/>
        <v>01H 2025 749</v>
      </c>
      <c r="G669" s="6" t="str">
        <f>"R330383945000000"</f>
        <v>R330383945000000</v>
      </c>
      <c r="H669" s="6" t="str">
        <f>"R 3839 - PLA 3109 (m"</f>
        <v>R 3839 - PLA 3109 (m</v>
      </c>
      <c r="I669" s="6" t="str">
        <f>"200832"</f>
        <v>200832</v>
      </c>
      <c r="J669" s="6" t="str">
        <f>"CINZA 832"</f>
        <v>CINZA 832</v>
      </c>
      <c r="K669" s="6" t="str">
        <f>"5006"</f>
        <v>5006</v>
      </c>
      <c r="L669" s="6" t="str">
        <f>"Roupões Adulto"</f>
        <v>Roupões Adulto</v>
      </c>
      <c r="M669" s="6" t="str">
        <f>"L"</f>
        <v>L</v>
      </c>
      <c r="N669" s="6" t="str">
        <f t="shared" si="196"/>
        <v xml:space="preserve"> </v>
      </c>
      <c r="O669" s="8">
        <v>150</v>
      </c>
      <c r="P669" s="7">
        <v>46048</v>
      </c>
      <c r="R669" s="8">
        <v>0</v>
      </c>
      <c r="S669" s="7">
        <v>46058</v>
      </c>
      <c r="U669" s="8">
        <v>0</v>
      </c>
      <c r="V669" s="7">
        <v>46056</v>
      </c>
      <c r="X669" s="8">
        <v>0</v>
      </c>
      <c r="Z669" s="8">
        <v>0</v>
      </c>
      <c r="AA669" s="7">
        <v>46071</v>
      </c>
      <c r="AC669" s="8">
        <v>0</v>
      </c>
      <c r="AE669" s="7">
        <v>46073</v>
      </c>
      <c r="AF669" s="8">
        <v>0</v>
      </c>
      <c r="AH669" s="7">
        <v>46080</v>
      </c>
      <c r="AN669" s="8">
        <v>0</v>
      </c>
      <c r="AO669" s="8">
        <v>150</v>
      </c>
    </row>
    <row r="670" spans="1:41" x14ac:dyDescent="0.25">
      <c r="A670" s="6" t="str">
        <f t="shared" si="197"/>
        <v>521-2025000742</v>
      </c>
      <c r="B670" s="6" t="str">
        <f t="shared" si="191"/>
        <v>MISSONI</v>
      </c>
      <c r="C670" s="7">
        <v>45980</v>
      </c>
      <c r="D670" s="7">
        <v>46073</v>
      </c>
      <c r="E670" s="8">
        <v>4</v>
      </c>
      <c r="F670" s="6" t="str">
        <f t="shared" si="198"/>
        <v>01H 2025 749</v>
      </c>
      <c r="G670" s="6" t="str">
        <f>"R330383945000000"</f>
        <v>R330383945000000</v>
      </c>
      <c r="H670" s="6" t="str">
        <f>"R 3839 - PLA 3109 (m"</f>
        <v>R 3839 - PLA 3109 (m</v>
      </c>
      <c r="I670" s="6" t="str">
        <f>"200832"</f>
        <v>200832</v>
      </c>
      <c r="J670" s="6" t="str">
        <f>"CINZA 832"</f>
        <v>CINZA 832</v>
      </c>
      <c r="K670" s="6" t="str">
        <f>"5008"</f>
        <v>5008</v>
      </c>
      <c r="L670" s="6" t="str">
        <f>"Roupões Adulto"</f>
        <v>Roupões Adulto</v>
      </c>
      <c r="M670" s="6" t="str">
        <f>"XL"</f>
        <v>XL</v>
      </c>
      <c r="N670" s="6" t="str">
        <f t="shared" si="196"/>
        <v xml:space="preserve"> </v>
      </c>
      <c r="O670" s="8">
        <v>90</v>
      </c>
      <c r="P670" s="7">
        <v>46048</v>
      </c>
      <c r="R670" s="8">
        <v>0</v>
      </c>
      <c r="S670" s="7">
        <v>46058</v>
      </c>
      <c r="U670" s="8">
        <v>0</v>
      </c>
      <c r="V670" s="7">
        <v>46056</v>
      </c>
      <c r="X670" s="8">
        <v>0</v>
      </c>
      <c r="Z670" s="8">
        <v>0</v>
      </c>
      <c r="AA670" s="7">
        <v>46071</v>
      </c>
      <c r="AC670" s="8">
        <v>0</v>
      </c>
      <c r="AE670" s="7">
        <v>46073</v>
      </c>
      <c r="AF670" s="8">
        <v>0</v>
      </c>
      <c r="AH670" s="7">
        <v>46080</v>
      </c>
      <c r="AN670" s="8">
        <v>0</v>
      </c>
      <c r="AO670" s="8">
        <v>90</v>
      </c>
    </row>
    <row r="671" spans="1:41" x14ac:dyDescent="0.25">
      <c r="A671" s="6" t="str">
        <f t="shared" si="197"/>
        <v>521-2025000742</v>
      </c>
      <c r="B671" s="6" t="str">
        <f t="shared" si="191"/>
        <v>MISSONI</v>
      </c>
      <c r="C671" s="7">
        <v>45980</v>
      </c>
      <c r="D671" s="7">
        <v>46073</v>
      </c>
      <c r="E671" s="8">
        <v>5</v>
      </c>
      <c r="F671" s="6" t="str">
        <f t="shared" si="198"/>
        <v>01H 2025 749</v>
      </c>
      <c r="G671" s="6" t="str">
        <f>"F330310945000000"</f>
        <v>F330310945000000</v>
      </c>
      <c r="H671" s="6" t="str">
        <f>"PLA 3109 - 450 g/m²"</f>
        <v>PLA 3109 - 450 g/m²</v>
      </c>
      <c r="I671" s="6" t="str">
        <f>"200832"</f>
        <v>200832</v>
      </c>
      <c r="J671" s="6" t="str">
        <f>"CINZA 832"</f>
        <v>CINZA 832</v>
      </c>
      <c r="K671" s="6" t="str">
        <f>"1525"</f>
        <v>1525</v>
      </c>
      <c r="L671" s="6" t="str">
        <f>"Toalhões"</f>
        <v>Toalhões</v>
      </c>
      <c r="M671" s="6" t="str">
        <f>"70x115"</f>
        <v>70x115</v>
      </c>
      <c r="N671" s="6" t="str">
        <f t="shared" si="196"/>
        <v xml:space="preserve"> </v>
      </c>
      <c r="O671" s="8">
        <v>1200</v>
      </c>
      <c r="P671" s="7">
        <v>46048</v>
      </c>
      <c r="R671" s="8">
        <v>69</v>
      </c>
      <c r="S671" s="7">
        <v>46058</v>
      </c>
      <c r="U671" s="8">
        <v>0</v>
      </c>
      <c r="V671" s="7">
        <v>46056</v>
      </c>
      <c r="X671" s="8">
        <v>0</v>
      </c>
      <c r="Z671" s="8">
        <v>0</v>
      </c>
      <c r="AA671" s="7">
        <v>46071</v>
      </c>
      <c r="AC671" s="8">
        <v>0</v>
      </c>
      <c r="AE671" s="7">
        <v>46073</v>
      </c>
      <c r="AF671" s="8">
        <v>0</v>
      </c>
      <c r="AH671" s="7">
        <v>46080</v>
      </c>
      <c r="AN671" s="8">
        <v>0</v>
      </c>
      <c r="AO671" s="8">
        <v>1200</v>
      </c>
    </row>
    <row r="672" spans="1:41" x14ac:dyDescent="0.25">
      <c r="A672" s="6" t="str">
        <f t="shared" si="197"/>
        <v>521-2025000742</v>
      </c>
      <c r="B672" s="6" t="str">
        <f t="shared" si="191"/>
        <v>MISSONI</v>
      </c>
      <c r="C672" s="7">
        <v>45980</v>
      </c>
      <c r="D672" s="7">
        <v>46073</v>
      </c>
      <c r="E672" s="8">
        <v>6</v>
      </c>
      <c r="F672" s="6" t="str">
        <f t="shared" si="198"/>
        <v>01H 2025 749</v>
      </c>
      <c r="G672" s="6" t="str">
        <f>"C001006330006247"</f>
        <v>C001006330006247</v>
      </c>
      <c r="H672" s="6" t="str">
        <f>"MT 0063 / 6247A C/ F"</f>
        <v>MT 0063 / 6247A C/ F</v>
      </c>
      <c r="I672" s="6" t="str">
        <f>"204692"</f>
        <v>204692</v>
      </c>
      <c r="J672" s="6" t="str">
        <f>"AZUL 4692"</f>
        <v>AZUL 4692</v>
      </c>
      <c r="K672" s="6" t="str">
        <f>"9224"</f>
        <v>9224</v>
      </c>
      <c r="L672" s="6" t="str">
        <f>"Manta"</f>
        <v>Manta</v>
      </c>
      <c r="M672" s="6" t="str">
        <f>"140+6x180+"</f>
        <v>140+6x180+</v>
      </c>
      <c r="N672" s="6" t="str">
        <f t="shared" si="196"/>
        <v xml:space="preserve"> </v>
      </c>
      <c r="O672" s="8">
        <v>450</v>
      </c>
      <c r="P672" s="7">
        <v>46048</v>
      </c>
      <c r="R672" s="8">
        <v>0</v>
      </c>
      <c r="S672" s="7">
        <v>46058</v>
      </c>
      <c r="U672" s="8">
        <v>0</v>
      </c>
      <c r="V672" s="7">
        <v>46056</v>
      </c>
      <c r="X672" s="8">
        <v>0</v>
      </c>
      <c r="Z672" s="8">
        <v>0</v>
      </c>
      <c r="AA672" s="7">
        <v>46071</v>
      </c>
      <c r="AC672" s="8">
        <v>0</v>
      </c>
      <c r="AE672" s="7">
        <v>46073</v>
      </c>
      <c r="AF672" s="8">
        <v>0</v>
      </c>
      <c r="AH672" s="7">
        <v>46080</v>
      </c>
      <c r="AN672" s="8">
        <v>0</v>
      </c>
      <c r="AO672" s="8">
        <v>450</v>
      </c>
    </row>
    <row r="673" spans="1:41" x14ac:dyDescent="0.25">
      <c r="A673" s="6" t="str">
        <f t="shared" si="197"/>
        <v>521-2025000742</v>
      </c>
      <c r="B673" s="6" t="str">
        <f t="shared" si="191"/>
        <v>MISSONI</v>
      </c>
      <c r="C673" s="7">
        <v>45980</v>
      </c>
      <c r="D673" s="7">
        <v>46073</v>
      </c>
      <c r="E673" s="8">
        <v>7</v>
      </c>
      <c r="F673" s="6" t="str">
        <f t="shared" si="198"/>
        <v>01H 2025 749</v>
      </c>
      <c r="G673" s="6" t="str">
        <f>"F330310945000000"</f>
        <v>F330310945000000</v>
      </c>
      <c r="H673" s="6" t="str">
        <f>"PLA 3109 - 450 g/m²"</f>
        <v>PLA 3109 - 450 g/m²</v>
      </c>
      <c r="I673" s="6" t="str">
        <f>"200832"</f>
        <v>200832</v>
      </c>
      <c r="J673" s="6" t="str">
        <f>"CINZA 832"</f>
        <v>CINZA 832</v>
      </c>
      <c r="K673" s="6" t="str">
        <f>"0581"</f>
        <v>0581</v>
      </c>
      <c r="L673" s="6" t="str">
        <f>"Toalhetes"</f>
        <v>Toalhetes</v>
      </c>
      <c r="M673" s="6" t="str">
        <f>"70x40"</f>
        <v>70x40</v>
      </c>
      <c r="N673" s="6" t="str">
        <f t="shared" si="196"/>
        <v xml:space="preserve"> </v>
      </c>
      <c r="O673" s="8">
        <v>2400</v>
      </c>
      <c r="P673" s="7">
        <v>46048</v>
      </c>
      <c r="R673" s="8">
        <v>1551</v>
      </c>
      <c r="S673" s="7">
        <v>46058</v>
      </c>
      <c r="U673" s="8">
        <v>0</v>
      </c>
      <c r="V673" s="7">
        <v>46056</v>
      </c>
      <c r="X673" s="8">
        <v>0</v>
      </c>
      <c r="Z673" s="8">
        <v>0</v>
      </c>
      <c r="AA673" s="7">
        <v>46071</v>
      </c>
      <c r="AC673" s="8">
        <v>0</v>
      </c>
      <c r="AE673" s="7">
        <v>46073</v>
      </c>
      <c r="AF673" s="8">
        <v>0</v>
      </c>
      <c r="AH673" s="7">
        <v>46080</v>
      </c>
      <c r="AN673" s="8">
        <v>0</v>
      </c>
      <c r="AO673" s="8">
        <v>2400</v>
      </c>
    </row>
    <row r="674" spans="1:41" x14ac:dyDescent="0.25">
      <c r="A674" s="6" t="str">
        <f t="shared" si="197"/>
        <v>521-2025000742</v>
      </c>
      <c r="B674" s="6" t="str">
        <f t="shared" si="191"/>
        <v>MISSONI</v>
      </c>
      <c r="C674" s="7">
        <v>45980</v>
      </c>
      <c r="D674" s="7">
        <v>46073</v>
      </c>
      <c r="E674" s="8">
        <v>8</v>
      </c>
      <c r="F674" s="6" t="str">
        <f t="shared" si="198"/>
        <v>01H 2025 749</v>
      </c>
      <c r="G674" s="6" t="str">
        <f>"J330310945000000"</f>
        <v>J330310945000000</v>
      </c>
      <c r="H674" s="6" t="str">
        <f>"Conj. PLA 3109 - 450"</f>
        <v>Conj. PLA 3109 - 450</v>
      </c>
      <c r="I674" s="6" t="str">
        <f>"200832"</f>
        <v>200832</v>
      </c>
      <c r="J674" s="6" t="str">
        <f>"CINZA 832"</f>
        <v>CINZA 832</v>
      </c>
      <c r="K674" s="6" t="str">
        <f>"4014"</f>
        <v>4014</v>
      </c>
      <c r="L674" s="6" t="str">
        <f>"Conjunto/Jogos"</f>
        <v>Conjunto/Jogos</v>
      </c>
      <c r="M674" s="6" t="str">
        <f>"(2 Pcs)"</f>
        <v>(2 Pcs)</v>
      </c>
      <c r="N674" s="6" t="str">
        <f t="shared" si="196"/>
        <v xml:space="preserve"> </v>
      </c>
      <c r="O674" s="8">
        <v>200</v>
      </c>
      <c r="P674" s="7">
        <v>46048</v>
      </c>
      <c r="R674" s="8">
        <v>0</v>
      </c>
      <c r="S674" s="7">
        <v>46058</v>
      </c>
      <c r="U674" s="8">
        <v>0</v>
      </c>
      <c r="V674" s="7">
        <v>46056</v>
      </c>
      <c r="X674" s="8">
        <v>0</v>
      </c>
      <c r="Z674" s="8">
        <v>0</v>
      </c>
      <c r="AA674" s="7">
        <v>46071</v>
      </c>
      <c r="AC674" s="8">
        <v>0</v>
      </c>
      <c r="AE674" s="7">
        <v>46073</v>
      </c>
      <c r="AF674" s="8">
        <v>0</v>
      </c>
      <c r="AH674" s="7">
        <v>46080</v>
      </c>
      <c r="AN674" s="8">
        <v>0</v>
      </c>
      <c r="AO674" s="8">
        <v>200</v>
      </c>
    </row>
    <row r="675" spans="1:41" x14ac:dyDescent="0.25">
      <c r="A675" s="6" t="str">
        <f t="shared" si="197"/>
        <v>521-2025000742</v>
      </c>
      <c r="B675" s="6" t="str">
        <f t="shared" si="191"/>
        <v>MISSONI</v>
      </c>
      <c r="C675" s="7">
        <v>45980</v>
      </c>
      <c r="D675" s="7">
        <v>46073</v>
      </c>
      <c r="E675" s="8">
        <v>9</v>
      </c>
      <c r="F675" s="6" t="str">
        <f t="shared" si="198"/>
        <v>01H 2025 749</v>
      </c>
      <c r="G675" s="6" t="str">
        <f>"F370310910000000"</f>
        <v>F370310910000000</v>
      </c>
      <c r="H675" s="6" t="str">
        <f>"PLA 3109 TA - 1000 g"</f>
        <v>PLA 3109 TA - 1000 g</v>
      </c>
      <c r="I675" s="6" t="str">
        <f>"200832"</f>
        <v>200832</v>
      </c>
      <c r="J675" s="6" t="str">
        <f>"CINZA 832"</f>
        <v>CINZA 832</v>
      </c>
      <c r="K675" s="6" t="str">
        <f>"3078"</f>
        <v>3078</v>
      </c>
      <c r="L675" s="6" t="str">
        <f>"Tapetes"</f>
        <v>Tapetes</v>
      </c>
      <c r="M675" s="6" t="str">
        <f>"90x60"</f>
        <v>90x60</v>
      </c>
      <c r="N675" s="6" t="str">
        <f t="shared" si="196"/>
        <v xml:space="preserve"> </v>
      </c>
      <c r="O675" s="8">
        <v>600</v>
      </c>
      <c r="P675" s="7">
        <v>46048</v>
      </c>
      <c r="R675" s="8">
        <v>432</v>
      </c>
      <c r="S675" s="7">
        <v>46058</v>
      </c>
      <c r="U675" s="8">
        <v>0</v>
      </c>
      <c r="V675" s="7">
        <v>46056</v>
      </c>
      <c r="X675" s="8">
        <v>0</v>
      </c>
      <c r="Z675" s="8">
        <v>0</v>
      </c>
      <c r="AA675" s="7">
        <v>46071</v>
      </c>
      <c r="AC675" s="8">
        <v>0</v>
      </c>
      <c r="AE675" s="7">
        <v>46073</v>
      </c>
      <c r="AF675" s="8">
        <v>0</v>
      </c>
      <c r="AH675" s="7">
        <v>46080</v>
      </c>
      <c r="AN675" s="8">
        <v>0</v>
      </c>
      <c r="AO675" s="8">
        <v>600</v>
      </c>
    </row>
    <row r="676" spans="1:41" x14ac:dyDescent="0.25">
      <c r="A676" s="6" t="str">
        <f t="shared" si="197"/>
        <v>521-2025000742</v>
      </c>
      <c r="B676" s="6" t="str">
        <f t="shared" si="191"/>
        <v>MISSONI</v>
      </c>
      <c r="C676" s="7">
        <v>45980</v>
      </c>
      <c r="D676" s="7">
        <v>46073</v>
      </c>
      <c r="E676" s="8">
        <v>10</v>
      </c>
      <c r="F676" s="6" t="str">
        <f t="shared" si="198"/>
        <v>01H 2025 749</v>
      </c>
      <c r="G676" s="6" t="str">
        <f>"F330310945000000"</f>
        <v>F330310945000000</v>
      </c>
      <c r="H676" s="6" t="str">
        <f>"PLA 3109 - 450 g/m²"</f>
        <v>PLA 3109 - 450 g/m²</v>
      </c>
      <c r="I676" s="6" t="str">
        <f>"200832"</f>
        <v>200832</v>
      </c>
      <c r="J676" s="6" t="str">
        <f>"CINZA 832"</f>
        <v>CINZA 832</v>
      </c>
      <c r="K676" s="6" t="str">
        <f>"2020"</f>
        <v>2020</v>
      </c>
      <c r="L676" s="6" t="str">
        <f>"Lençóis"</f>
        <v>Lençóis</v>
      </c>
      <c r="M676" s="6" t="str">
        <f>"100x150"</f>
        <v>100x150</v>
      </c>
      <c r="N676" s="6" t="str">
        <f t="shared" si="196"/>
        <v xml:space="preserve"> </v>
      </c>
      <c r="O676" s="8">
        <v>800</v>
      </c>
      <c r="P676" s="7">
        <v>46048</v>
      </c>
      <c r="R676" s="8">
        <v>0</v>
      </c>
      <c r="S676" s="7">
        <v>46058</v>
      </c>
      <c r="U676" s="8">
        <v>0</v>
      </c>
      <c r="V676" s="7">
        <v>46056</v>
      </c>
      <c r="X676" s="8">
        <v>0</v>
      </c>
      <c r="Z676" s="8">
        <v>0</v>
      </c>
      <c r="AA676" s="7">
        <v>46071</v>
      </c>
      <c r="AC676" s="8">
        <v>0</v>
      </c>
      <c r="AE676" s="7">
        <v>46073</v>
      </c>
      <c r="AF676" s="8">
        <v>0</v>
      </c>
      <c r="AH676" s="7">
        <v>46080</v>
      </c>
      <c r="AN676" s="8">
        <v>0</v>
      </c>
      <c r="AO676" s="8">
        <v>800</v>
      </c>
    </row>
    <row r="677" spans="1:41" x14ac:dyDescent="0.25">
      <c r="A677" s="6" t="str">
        <f>"521-2025000743"</f>
        <v>521-2025000743</v>
      </c>
      <c r="B677" s="6" t="str">
        <f>"STICKSTO"</f>
        <v>STICKSTO</v>
      </c>
      <c r="C677" s="7">
        <v>45980</v>
      </c>
      <c r="D677" s="7">
        <v>46052</v>
      </c>
      <c r="E677" s="8">
        <v>1</v>
      </c>
      <c r="F677" s="6" t="str">
        <f>"TEA TOWEL"</f>
        <v>TEA TOWEL</v>
      </c>
      <c r="G677" s="6" t="str">
        <f>"F330310240000000"</f>
        <v>F330310240000000</v>
      </c>
      <c r="H677" s="6" t="str">
        <f>"PLA 3102 - 400 g/m²"</f>
        <v>PLA 3102 - 400 g/m²</v>
      </c>
      <c r="I677" s="6" t="str">
        <f>"201292"</f>
        <v>201292</v>
      </c>
      <c r="J677" s="6" t="str">
        <f>"ROSA 1292"</f>
        <v>ROSA 1292</v>
      </c>
      <c r="K677" s="6" t="str">
        <f>"0520"</f>
        <v>0520</v>
      </c>
      <c r="L677" s="6" t="str">
        <f>"Toalhetes"</f>
        <v>Toalhetes</v>
      </c>
      <c r="M677" s="6" t="str">
        <f>"30x50"</f>
        <v>30x50</v>
      </c>
      <c r="N677" s="6" t="str">
        <f t="shared" si="196"/>
        <v xml:space="preserve"> </v>
      </c>
      <c r="O677" s="8">
        <v>5000</v>
      </c>
      <c r="P677" s="7">
        <v>46030</v>
      </c>
      <c r="R677" s="8">
        <v>5118</v>
      </c>
      <c r="S677" s="7">
        <v>46035</v>
      </c>
      <c r="U677" s="8">
        <v>5118</v>
      </c>
      <c r="V677" s="7">
        <v>46038</v>
      </c>
      <c r="X677" s="8">
        <v>0</v>
      </c>
      <c r="Z677" s="8">
        <v>5118</v>
      </c>
      <c r="AA677" s="7">
        <v>46050</v>
      </c>
      <c r="AC677" s="8">
        <v>0</v>
      </c>
      <c r="AE677" s="7">
        <v>46052</v>
      </c>
      <c r="AF677" s="8">
        <v>0</v>
      </c>
      <c r="AH677" s="7">
        <v>46052</v>
      </c>
      <c r="AN677" s="8">
        <v>0</v>
      </c>
      <c r="AO677" s="8">
        <v>5000</v>
      </c>
    </row>
    <row r="678" spans="1:41" x14ac:dyDescent="0.25">
      <c r="A678" s="6" t="str">
        <f>"521-2025000743"</f>
        <v>521-2025000743</v>
      </c>
      <c r="B678" s="6" t="str">
        <f>"STICKSTO"</f>
        <v>STICKSTO</v>
      </c>
      <c r="C678" s="7">
        <v>45980</v>
      </c>
      <c r="D678" s="7">
        <v>46052</v>
      </c>
      <c r="E678" s="8">
        <v>2</v>
      </c>
      <c r="F678" s="6" t="str">
        <f>"TEA TOWEL"</f>
        <v>TEA TOWEL</v>
      </c>
      <c r="G678" s="6" t="str">
        <f>"F330310240000000"</f>
        <v>F330310240000000</v>
      </c>
      <c r="H678" s="6" t="str">
        <f>"PLA 3102 - 400 g/m²"</f>
        <v>PLA 3102 - 400 g/m²</v>
      </c>
      <c r="I678" s="6" t="str">
        <f>"201292"</f>
        <v>201292</v>
      </c>
      <c r="J678" s="6" t="str">
        <f>"ROSA 1292"</f>
        <v>ROSA 1292</v>
      </c>
      <c r="K678" s="6" t="str">
        <f>"1024"</f>
        <v>1024</v>
      </c>
      <c r="L678" s="6" t="str">
        <f>"Toalhas"</f>
        <v>Toalhas</v>
      </c>
      <c r="M678" s="6" t="str">
        <f>"50x100"</f>
        <v>50x100</v>
      </c>
      <c r="N678" s="6" t="str">
        <f t="shared" si="196"/>
        <v xml:space="preserve"> </v>
      </c>
      <c r="O678" s="8">
        <v>1000</v>
      </c>
      <c r="P678" s="7">
        <v>46030</v>
      </c>
      <c r="R678" s="8">
        <v>1052</v>
      </c>
      <c r="S678" s="7">
        <v>46035</v>
      </c>
      <c r="U678" s="8">
        <v>1052</v>
      </c>
      <c r="V678" s="7">
        <v>46038</v>
      </c>
      <c r="X678" s="8">
        <v>0</v>
      </c>
      <c r="Z678" s="8">
        <v>1052</v>
      </c>
      <c r="AA678" s="7">
        <v>46050</v>
      </c>
      <c r="AC678" s="8">
        <v>0</v>
      </c>
      <c r="AE678" s="7">
        <v>46052</v>
      </c>
      <c r="AF678" s="8">
        <v>0</v>
      </c>
      <c r="AH678" s="7">
        <v>46052</v>
      </c>
      <c r="AN678" s="8">
        <v>0</v>
      </c>
      <c r="AO678" s="8">
        <v>1000</v>
      </c>
    </row>
    <row r="679" spans="1:41" x14ac:dyDescent="0.25">
      <c r="A679" s="6" t="str">
        <f>"521-2025000744"</f>
        <v>521-2025000744</v>
      </c>
      <c r="B679" s="6" t="str">
        <f>"MISSONI"</f>
        <v>MISSONI</v>
      </c>
      <c r="C679" s="7">
        <v>45980</v>
      </c>
      <c r="D679" s="7">
        <v>46066</v>
      </c>
      <c r="E679" s="8">
        <v>1</v>
      </c>
      <c r="F679" s="6" t="str">
        <f>"01H 2025 749"</f>
        <v>01H 2025 749</v>
      </c>
      <c r="G679" s="6" t="str">
        <f>"F330310945000001"</f>
        <v>F330310945000001</v>
      </c>
      <c r="H679" s="6" t="str">
        <f>"PLA 3109 (m) - 450 g"</f>
        <v>PLA 3109 (m) - 450 g</v>
      </c>
      <c r="I679" s="6" t="str">
        <f>"200832"</f>
        <v>200832</v>
      </c>
      <c r="J679" s="6" t="str">
        <f>"CINZA 832"</f>
        <v>CINZA 832</v>
      </c>
      <c r="K679" s="6" t="str">
        <f>"2558"</f>
        <v>2558</v>
      </c>
      <c r="L679" s="6" t="str">
        <f>"A Metro"</f>
        <v>A Metro</v>
      </c>
      <c r="M679" s="6" t="str">
        <f>"222x"</f>
        <v>222x</v>
      </c>
      <c r="N679" s="6" t="str">
        <f t="shared" si="196"/>
        <v xml:space="preserve"> </v>
      </c>
      <c r="O679" s="8">
        <v>160</v>
      </c>
      <c r="P679" s="7">
        <v>46046</v>
      </c>
      <c r="R679" s="8">
        <v>0</v>
      </c>
      <c r="S679" s="7">
        <v>46065</v>
      </c>
      <c r="U679" s="8">
        <v>0</v>
      </c>
      <c r="V679" s="7">
        <v>46062</v>
      </c>
      <c r="X679" s="8">
        <v>0</v>
      </c>
      <c r="Z679" s="8">
        <v>0</v>
      </c>
      <c r="AC679" s="8">
        <v>0</v>
      </c>
      <c r="AF679" s="8">
        <v>0</v>
      </c>
      <c r="AH679" s="7">
        <v>46066</v>
      </c>
      <c r="AN679" s="8">
        <v>0</v>
      </c>
      <c r="AO679" s="8">
        <v>160</v>
      </c>
    </row>
    <row r="680" spans="1:41" x14ac:dyDescent="0.25">
      <c r="A680" s="6" t="str">
        <f>"521-2025000745"</f>
        <v>521-2025000745</v>
      </c>
      <c r="B680" s="6" t="str">
        <f>"GUASCH H"</f>
        <v>GUASCH H</v>
      </c>
      <c r="C680" s="7">
        <v>45981</v>
      </c>
      <c r="D680" s="7">
        <v>46052</v>
      </c>
      <c r="E680" s="8">
        <v>1</v>
      </c>
      <c r="F680" s="6" t="str">
        <f>"169"</f>
        <v>169</v>
      </c>
      <c r="G680" s="6" t="str">
        <f>"F600189326006253"</f>
        <v>F600189326006253</v>
      </c>
      <c r="H680" s="6" t="str">
        <f>"10-1893 / 6253 - 290"</f>
        <v>10-1893 / 6253 - 290</v>
      </c>
      <c r="I680" s="6" t="str">
        <f>"200799"</f>
        <v>200799</v>
      </c>
      <c r="J680" s="6" t="str">
        <f>"AZUL 799"</f>
        <v>AZUL 799</v>
      </c>
      <c r="K680" s="6" t="str">
        <f>"3539"</f>
        <v>3539</v>
      </c>
      <c r="L680" s="6" t="str">
        <f>"Praia"</f>
        <v>Praia</v>
      </c>
      <c r="M680" s="6" t="str">
        <f>"100x180+8"</f>
        <v>100x180+8</v>
      </c>
      <c r="N680" s="6" t="str">
        <f t="shared" si="196"/>
        <v xml:space="preserve"> </v>
      </c>
      <c r="O680" s="8">
        <v>300</v>
      </c>
      <c r="P680" s="7">
        <v>46021</v>
      </c>
      <c r="R680" s="8">
        <v>360</v>
      </c>
      <c r="S680" s="7">
        <v>46028</v>
      </c>
      <c r="U680" s="8">
        <v>360</v>
      </c>
      <c r="V680" s="7">
        <v>46035</v>
      </c>
      <c r="X680" s="8">
        <v>0</v>
      </c>
      <c r="Z680" s="8">
        <v>360</v>
      </c>
      <c r="AA680" s="7">
        <v>46049</v>
      </c>
      <c r="AC680" s="8">
        <v>0</v>
      </c>
      <c r="AE680" s="7">
        <v>46052</v>
      </c>
      <c r="AF680" s="8">
        <v>0</v>
      </c>
      <c r="AH680" s="7">
        <v>46052</v>
      </c>
      <c r="AN680" s="8">
        <v>0</v>
      </c>
      <c r="AO680" s="8">
        <v>300</v>
      </c>
    </row>
    <row r="681" spans="1:41" x14ac:dyDescent="0.25">
      <c r="A681" s="6" t="str">
        <f>"521-2025000745"</f>
        <v>521-2025000745</v>
      </c>
      <c r="B681" s="6" t="str">
        <f>"GUASCH H"</f>
        <v>GUASCH H</v>
      </c>
      <c r="C681" s="7">
        <v>45981</v>
      </c>
      <c r="D681" s="7">
        <v>46052</v>
      </c>
      <c r="E681" s="8">
        <v>2</v>
      </c>
      <c r="F681" s="6" t="str">
        <f>"169"</f>
        <v>169</v>
      </c>
      <c r="G681" s="6" t="str">
        <f>"F600189326006253"</f>
        <v>F600189326006253</v>
      </c>
      <c r="H681" s="6" t="str">
        <f>"10-1893 / 6253 - 290"</f>
        <v>10-1893 / 6253 - 290</v>
      </c>
      <c r="I681" s="6" t="str">
        <f>"200442"</f>
        <v>200442</v>
      </c>
      <c r="J681" s="6" t="str">
        <f>"LILAS 442"</f>
        <v>LILAS 442</v>
      </c>
      <c r="K681" s="6" t="str">
        <f>"3539"</f>
        <v>3539</v>
      </c>
      <c r="L681" s="6" t="str">
        <f>"Praia"</f>
        <v>Praia</v>
      </c>
      <c r="M681" s="6" t="str">
        <f>"100x180+8"</f>
        <v>100x180+8</v>
      </c>
      <c r="N681" s="6" t="str">
        <f t="shared" si="196"/>
        <v xml:space="preserve"> </v>
      </c>
      <c r="O681" s="8">
        <v>300</v>
      </c>
      <c r="P681" s="7">
        <v>46021</v>
      </c>
      <c r="R681" s="8">
        <v>336</v>
      </c>
      <c r="S681" s="7">
        <v>46028</v>
      </c>
      <c r="U681" s="8">
        <v>336</v>
      </c>
      <c r="V681" s="7">
        <v>46035</v>
      </c>
      <c r="X681" s="8">
        <v>0</v>
      </c>
      <c r="Z681" s="8">
        <v>0</v>
      </c>
      <c r="AA681" s="7">
        <v>46049</v>
      </c>
      <c r="AC681" s="8">
        <v>0</v>
      </c>
      <c r="AE681" s="7">
        <v>46052</v>
      </c>
      <c r="AF681" s="8">
        <v>0</v>
      </c>
      <c r="AH681" s="7">
        <v>46052</v>
      </c>
      <c r="AN681" s="8">
        <v>0</v>
      </c>
      <c r="AO681" s="8">
        <v>300</v>
      </c>
    </row>
    <row r="682" spans="1:41" x14ac:dyDescent="0.25">
      <c r="A682" s="6" t="str">
        <f>"521-2025000745"</f>
        <v>521-2025000745</v>
      </c>
      <c r="B682" s="6" t="str">
        <f>"GUASCH H"</f>
        <v>GUASCH H</v>
      </c>
      <c r="C682" s="7">
        <v>45981</v>
      </c>
      <c r="D682" s="7">
        <v>46052</v>
      </c>
      <c r="E682" s="8">
        <v>3</v>
      </c>
      <c r="F682" s="6" t="str">
        <f>"169"</f>
        <v>169</v>
      </c>
      <c r="G682" s="6" t="str">
        <f>"F600189326006253"</f>
        <v>F600189326006253</v>
      </c>
      <c r="H682" s="6" t="str">
        <f>"10-1893 / 6253 - 290"</f>
        <v>10-1893 / 6253 - 290</v>
      </c>
      <c r="I682" s="6" t="str">
        <f>"201643"</f>
        <v>201643</v>
      </c>
      <c r="J682" s="6" t="str">
        <f>"VERMELHO 1643"</f>
        <v>VERMELHO 1643</v>
      </c>
      <c r="K682" s="6" t="str">
        <f>"3539"</f>
        <v>3539</v>
      </c>
      <c r="L682" s="6" t="str">
        <f>"Praia"</f>
        <v>Praia</v>
      </c>
      <c r="M682" s="6" t="str">
        <f>"100x180+8"</f>
        <v>100x180+8</v>
      </c>
      <c r="N682" s="6" t="str">
        <f t="shared" si="196"/>
        <v xml:space="preserve"> </v>
      </c>
      <c r="O682" s="8">
        <v>300</v>
      </c>
      <c r="P682" s="7">
        <v>46021</v>
      </c>
      <c r="R682" s="8">
        <v>352</v>
      </c>
      <c r="S682" s="7">
        <v>46028</v>
      </c>
      <c r="U682" s="8">
        <v>352</v>
      </c>
      <c r="V682" s="7">
        <v>46035</v>
      </c>
      <c r="X682" s="8">
        <v>0</v>
      </c>
      <c r="Z682" s="8">
        <v>352</v>
      </c>
      <c r="AA682" s="7">
        <v>46049</v>
      </c>
      <c r="AC682" s="8">
        <v>0</v>
      </c>
      <c r="AE682" s="7">
        <v>46052</v>
      </c>
      <c r="AF682" s="8">
        <v>0</v>
      </c>
      <c r="AH682" s="7">
        <v>46052</v>
      </c>
      <c r="AN682" s="8">
        <v>0</v>
      </c>
      <c r="AO682" s="8">
        <v>300</v>
      </c>
    </row>
    <row r="683" spans="1:41" x14ac:dyDescent="0.25">
      <c r="A683" s="6" t="str">
        <f>"521-2025000746"</f>
        <v>521-2025000746</v>
      </c>
      <c r="B683" s="6" t="str">
        <f>"MANGO MN"</f>
        <v>MANGO MN</v>
      </c>
      <c r="C683" s="7">
        <v>45981</v>
      </c>
      <c r="D683" s="7">
        <v>46073</v>
      </c>
      <c r="E683" s="8">
        <v>1</v>
      </c>
      <c r="F683" s="6" t="str">
        <f>"4500754537"</f>
        <v>4500754537</v>
      </c>
      <c r="G683" s="6" t="str">
        <f>"F320122160000000"</f>
        <v>F320122160000000</v>
      </c>
      <c r="H683" s="6" t="str">
        <f>"PL 1221 BCI - 600 g/"</f>
        <v>PL 1221 BCI - 600 g/</v>
      </c>
      <c r="I683" s="6" t="str">
        <f>"204917"</f>
        <v>204917</v>
      </c>
      <c r="J683" s="6" t="str">
        <f>"LARANJA 4917"</f>
        <v>LARANJA 4917</v>
      </c>
      <c r="K683" s="6" t="str">
        <f>"2030"</f>
        <v>2030</v>
      </c>
      <c r="L683" s="6" t="str">
        <f>"Lençóis"</f>
        <v>Lençóis</v>
      </c>
      <c r="M683" s="6" t="str">
        <f>"100x180"</f>
        <v>100x180</v>
      </c>
      <c r="N683" s="6" t="str">
        <f t="shared" si="196"/>
        <v xml:space="preserve"> </v>
      </c>
      <c r="O683" s="8">
        <v>400</v>
      </c>
      <c r="P683" s="7">
        <v>46049</v>
      </c>
      <c r="R683" s="8">
        <v>430</v>
      </c>
      <c r="S683" s="7">
        <v>46052</v>
      </c>
      <c r="U683" s="8">
        <v>430</v>
      </c>
      <c r="V683" s="7">
        <v>46057</v>
      </c>
      <c r="X683" s="8">
        <v>0</v>
      </c>
      <c r="Z683" s="8">
        <v>0</v>
      </c>
      <c r="AA683" s="7">
        <v>46071</v>
      </c>
      <c r="AC683" s="8">
        <v>0</v>
      </c>
      <c r="AE683" s="7">
        <v>46073</v>
      </c>
      <c r="AF683" s="8">
        <v>0</v>
      </c>
      <c r="AH683" s="7">
        <v>46073</v>
      </c>
      <c r="AN683" s="8">
        <v>0</v>
      </c>
      <c r="AO683" s="8">
        <v>400</v>
      </c>
    </row>
    <row r="684" spans="1:41" x14ac:dyDescent="0.25">
      <c r="A684" s="6" t="str">
        <f>"521-2025000746"</f>
        <v>521-2025000746</v>
      </c>
      <c r="B684" s="6" t="str">
        <f>"MANGO MN"</f>
        <v>MANGO MN</v>
      </c>
      <c r="C684" s="7">
        <v>45981</v>
      </c>
      <c r="D684" s="7">
        <v>46073</v>
      </c>
      <c r="E684" s="8">
        <v>2</v>
      </c>
      <c r="F684" s="6" t="str">
        <f>"4500754537"</f>
        <v>4500754537</v>
      </c>
      <c r="G684" s="6" t="str">
        <f>"F320122060000000"</f>
        <v>F320122060000000</v>
      </c>
      <c r="H684" s="6" t="str">
        <f>"PL 1220 BCI - 600 g/"</f>
        <v>PL 1220 BCI - 600 g/</v>
      </c>
      <c r="I684" s="6" t="str">
        <f>"204918"</f>
        <v>204918</v>
      </c>
      <c r="J684" s="6" t="str">
        <f>"VERDE 4918"</f>
        <v>VERDE 4918</v>
      </c>
      <c r="K684" s="6" t="str">
        <f>"2030"</f>
        <v>2030</v>
      </c>
      <c r="L684" s="6" t="str">
        <f>"Lençóis"</f>
        <v>Lençóis</v>
      </c>
      <c r="M684" s="6" t="str">
        <f>"100x180"</f>
        <v>100x180</v>
      </c>
      <c r="N684" s="6" t="str">
        <f t="shared" si="196"/>
        <v xml:space="preserve"> </v>
      </c>
      <c r="O684" s="8">
        <v>400</v>
      </c>
      <c r="P684" s="7">
        <v>46049</v>
      </c>
      <c r="R684" s="8">
        <v>434</v>
      </c>
      <c r="S684" s="7">
        <v>46052</v>
      </c>
      <c r="U684" s="8">
        <v>434</v>
      </c>
      <c r="V684" s="7">
        <v>46057</v>
      </c>
      <c r="X684" s="8">
        <v>0</v>
      </c>
      <c r="Z684" s="8">
        <v>0</v>
      </c>
      <c r="AA684" s="7">
        <v>46071</v>
      </c>
      <c r="AC684" s="8">
        <v>0</v>
      </c>
      <c r="AE684" s="7">
        <v>46073</v>
      </c>
      <c r="AF684" s="8">
        <v>0</v>
      </c>
      <c r="AH684" s="7">
        <v>46073</v>
      </c>
      <c r="AN684" s="8">
        <v>0</v>
      </c>
      <c r="AO684" s="8">
        <v>400</v>
      </c>
    </row>
    <row r="685" spans="1:41" x14ac:dyDescent="0.25">
      <c r="A685" s="6" t="str">
        <f>"521-2025000747"</f>
        <v>521-2025000747</v>
      </c>
      <c r="B685" s="6" t="str">
        <f>"MANGO MN"</f>
        <v>MANGO MN</v>
      </c>
      <c r="C685" s="7">
        <v>45981</v>
      </c>
      <c r="D685" s="7">
        <v>46073</v>
      </c>
      <c r="E685" s="8">
        <v>1</v>
      </c>
      <c r="F685" s="6" t="str">
        <f>"4500754538"</f>
        <v>4500754538</v>
      </c>
      <c r="G685" s="6" t="str">
        <f>"F610242329000001"</f>
        <v>F610242329000001</v>
      </c>
      <c r="H685" s="6" t="str">
        <f>"10-2423 BCI C/ Franj"</f>
        <v>10-2423 BCI C/ Franj</v>
      </c>
      <c r="I685" s="6" t="str">
        <f>"6031"</f>
        <v>6031</v>
      </c>
      <c r="J685" s="6" t="str">
        <f>"LARANJA 6031"</f>
        <v>LARANJA 6031</v>
      </c>
      <c r="K685" s="6" t="str">
        <f>"3539"</f>
        <v>3539</v>
      </c>
      <c r="L685" s="6" t="str">
        <f>"Praia"</f>
        <v>Praia</v>
      </c>
      <c r="M685" s="6" t="str">
        <f>"100x180+8"</f>
        <v>100x180+8</v>
      </c>
      <c r="N685" s="6" t="str">
        <f t="shared" si="196"/>
        <v xml:space="preserve"> </v>
      </c>
      <c r="O685" s="8">
        <v>500</v>
      </c>
      <c r="P685" s="7">
        <v>46043</v>
      </c>
      <c r="R685" s="8">
        <v>1120</v>
      </c>
      <c r="S685" s="7">
        <v>46048</v>
      </c>
      <c r="U685" s="8">
        <v>560</v>
      </c>
      <c r="V685" s="7">
        <v>46051</v>
      </c>
      <c r="X685" s="8">
        <v>0</v>
      </c>
      <c r="Z685" s="8">
        <v>560</v>
      </c>
      <c r="AA685" s="7">
        <v>46063</v>
      </c>
      <c r="AC685" s="8">
        <v>0</v>
      </c>
      <c r="AE685" s="7">
        <v>46065</v>
      </c>
      <c r="AF685" s="8">
        <v>0</v>
      </c>
      <c r="AH685" s="7">
        <v>46073</v>
      </c>
      <c r="AN685" s="8">
        <v>0</v>
      </c>
      <c r="AO685" s="8">
        <v>500</v>
      </c>
    </row>
    <row r="686" spans="1:41" x14ac:dyDescent="0.25">
      <c r="A686" s="6" t="str">
        <f>"521-2025000747"</f>
        <v>521-2025000747</v>
      </c>
      <c r="B686" s="6" t="str">
        <f>"MANGO MN"</f>
        <v>MANGO MN</v>
      </c>
      <c r="C686" s="7">
        <v>45981</v>
      </c>
      <c r="D686" s="7">
        <v>46073</v>
      </c>
      <c r="E686" s="8">
        <v>2</v>
      </c>
      <c r="F686" s="6" t="str">
        <f>"4500754538"</f>
        <v>4500754538</v>
      </c>
      <c r="G686" s="6" t="str">
        <f>"F610242329000001"</f>
        <v>F610242329000001</v>
      </c>
      <c r="H686" s="6" t="str">
        <f>"10-2423 BCI C/ Franj"</f>
        <v>10-2423 BCI C/ Franj</v>
      </c>
      <c r="I686" s="6" t="str">
        <f>"6032"</f>
        <v>6032</v>
      </c>
      <c r="J686" s="6" t="str">
        <f>"VERDE 6032"</f>
        <v>VERDE 6032</v>
      </c>
      <c r="K686" s="6" t="str">
        <f>"3539"</f>
        <v>3539</v>
      </c>
      <c r="L686" s="6" t="str">
        <f>"Praia"</f>
        <v>Praia</v>
      </c>
      <c r="M686" s="6" t="str">
        <f>"100x180+8"</f>
        <v>100x180+8</v>
      </c>
      <c r="N686" s="6" t="str">
        <f t="shared" si="196"/>
        <v xml:space="preserve"> </v>
      </c>
      <c r="O686" s="8">
        <v>500</v>
      </c>
      <c r="P686" s="7">
        <v>46043</v>
      </c>
      <c r="R686" s="8">
        <v>0</v>
      </c>
      <c r="S686" s="7">
        <v>46048</v>
      </c>
      <c r="U686" s="8">
        <v>560</v>
      </c>
      <c r="V686" s="7">
        <v>46051</v>
      </c>
      <c r="X686" s="8">
        <v>0</v>
      </c>
      <c r="Z686" s="8">
        <v>0</v>
      </c>
      <c r="AA686" s="7">
        <v>46063</v>
      </c>
      <c r="AC686" s="8">
        <v>0</v>
      </c>
      <c r="AE686" s="7">
        <v>46065</v>
      </c>
      <c r="AF686" s="8">
        <v>0</v>
      </c>
      <c r="AH686" s="7">
        <v>46073</v>
      </c>
      <c r="AN686" s="8">
        <v>0</v>
      </c>
      <c r="AO686" s="8">
        <v>500</v>
      </c>
    </row>
    <row r="687" spans="1:41" x14ac:dyDescent="0.25">
      <c r="A687" s="6" t="str">
        <f>"521-2025000749"</f>
        <v>521-2025000749</v>
      </c>
      <c r="B687" s="6" t="str">
        <f>"ASHLEY W"</f>
        <v>ASHLEY W</v>
      </c>
      <c r="C687" s="7">
        <v>45985</v>
      </c>
      <c r="D687" s="7">
        <v>46059</v>
      </c>
      <c r="E687" s="8">
        <v>2</v>
      </c>
      <c r="F687" s="6" t="str">
        <f>"P36673 - OK - MULTI"</f>
        <v>P36673 - OK - MULTI</v>
      </c>
      <c r="G687" s="6" t="str">
        <f>"F310594858000000"</f>
        <v>F310594858000000</v>
      </c>
      <c r="H687" s="6" t="str">
        <f>"PLAR 5948 - 580 g/m²"</f>
        <v>PLAR 5948 - 580 g/m²</v>
      </c>
      <c r="I687" s="6" t="str">
        <f>"204431"</f>
        <v>204431</v>
      </c>
      <c r="J687" s="6" t="str">
        <f>"VERDE 4431"</f>
        <v>VERDE 4431</v>
      </c>
      <c r="K687" s="6" t="str">
        <f>"1528"</f>
        <v>1528</v>
      </c>
      <c r="L687" s="6" t="str">
        <f>"Toalhões"</f>
        <v>Toalhões</v>
      </c>
      <c r="M687" s="6" t="str">
        <f>"70x125"</f>
        <v>70x125</v>
      </c>
      <c r="N687" s="6" t="str">
        <f t="shared" si="196"/>
        <v xml:space="preserve"> </v>
      </c>
      <c r="O687" s="8">
        <v>350</v>
      </c>
      <c r="P687" s="7">
        <v>46037</v>
      </c>
      <c r="R687" s="8">
        <v>378</v>
      </c>
      <c r="S687" s="7">
        <v>46042</v>
      </c>
      <c r="U687" s="8">
        <v>378</v>
      </c>
      <c r="V687" s="7">
        <v>46045</v>
      </c>
      <c r="X687" s="8">
        <v>0</v>
      </c>
      <c r="Z687" s="8">
        <v>378</v>
      </c>
      <c r="AA687" s="7">
        <v>46057</v>
      </c>
      <c r="AC687" s="8">
        <v>0</v>
      </c>
      <c r="AE687" s="7">
        <v>46059</v>
      </c>
      <c r="AF687" s="8">
        <v>0</v>
      </c>
      <c r="AH687" s="7">
        <v>46059</v>
      </c>
      <c r="AN687" s="8">
        <v>0</v>
      </c>
      <c r="AO687" s="8">
        <v>350</v>
      </c>
    </row>
    <row r="688" spans="1:41" x14ac:dyDescent="0.25">
      <c r="A688" s="6" t="str">
        <f>"521-2025000750"</f>
        <v>521-2025000750</v>
      </c>
      <c r="B688" s="6" t="str">
        <f>"ASHLEY W"</f>
        <v>ASHLEY W</v>
      </c>
      <c r="C688" s="7">
        <v>45985</v>
      </c>
      <c r="D688" s="7">
        <v>46059</v>
      </c>
      <c r="E688" s="8">
        <v>2</v>
      </c>
      <c r="F688" s="6" t="str">
        <f>"P36675 - OK - STEM C"</f>
        <v>P36675 - OK - STEM C</v>
      </c>
      <c r="G688" s="6" t="str">
        <f>"F310614958000000"</f>
        <v>F310614958000000</v>
      </c>
      <c r="H688" s="6" t="str">
        <f>"PLAR 6149 - 580 g/m²"</f>
        <v>PLAR 6149 - 580 g/m²</v>
      </c>
      <c r="I688" s="6" t="str">
        <f>"204771"</f>
        <v>204771</v>
      </c>
      <c r="J688" s="6" t="str">
        <f>"VERDE 4771"</f>
        <v>VERDE 4771</v>
      </c>
      <c r="K688" s="6" t="str">
        <f>"1528"</f>
        <v>1528</v>
      </c>
      <c r="L688" s="6" t="str">
        <f>"Toalhões"</f>
        <v>Toalhões</v>
      </c>
      <c r="M688" s="6" t="str">
        <f>"70x125"</f>
        <v>70x125</v>
      </c>
      <c r="N688" s="6" t="str">
        <f t="shared" si="196"/>
        <v xml:space="preserve"> </v>
      </c>
      <c r="O688" s="8">
        <v>350</v>
      </c>
      <c r="P688" s="7">
        <v>45672</v>
      </c>
      <c r="R688" s="8">
        <v>126</v>
      </c>
      <c r="S688" s="7">
        <v>45677</v>
      </c>
      <c r="U688" s="8">
        <v>0</v>
      </c>
      <c r="V688" s="7">
        <v>45680</v>
      </c>
      <c r="X688" s="8">
        <v>0</v>
      </c>
      <c r="Z688" s="8">
        <v>0</v>
      </c>
      <c r="AA688" s="7">
        <v>45692</v>
      </c>
      <c r="AC688" s="8">
        <v>0</v>
      </c>
      <c r="AE688" s="7">
        <v>45694</v>
      </c>
      <c r="AF688" s="8">
        <v>0</v>
      </c>
      <c r="AH688" s="7">
        <v>46059</v>
      </c>
      <c r="AN688" s="8">
        <v>0</v>
      </c>
      <c r="AO688" s="8">
        <v>350</v>
      </c>
    </row>
    <row r="689" spans="1:41" x14ac:dyDescent="0.25">
      <c r="A689" s="6" t="str">
        <f>"521-2025000750"</f>
        <v>521-2025000750</v>
      </c>
      <c r="B689" s="6" t="str">
        <f>"ASHLEY W"</f>
        <v>ASHLEY W</v>
      </c>
      <c r="C689" s="7">
        <v>45985</v>
      </c>
      <c r="D689" s="7">
        <v>46059</v>
      </c>
      <c r="E689" s="8">
        <v>3</v>
      </c>
      <c r="F689" s="6" t="str">
        <f>"P36675 - OK - STEM C"</f>
        <v>P36675 - OK - STEM C</v>
      </c>
      <c r="G689" s="6" t="str">
        <f>"F310614958000000"</f>
        <v>F310614958000000</v>
      </c>
      <c r="H689" s="6" t="str">
        <f>"PLAR 6149 - 580 g/m²"</f>
        <v>PLAR 6149 - 580 g/m²</v>
      </c>
      <c r="I689" s="6" t="str">
        <f>"204771"</f>
        <v>204771</v>
      </c>
      <c r="J689" s="6" t="str">
        <f>"VERDE 4771"</f>
        <v>VERDE 4771</v>
      </c>
      <c r="K689" s="6" t="str">
        <f>"2020"</f>
        <v>2020</v>
      </c>
      <c r="L689" s="6" t="str">
        <f>"Lençóis"</f>
        <v>Lençóis</v>
      </c>
      <c r="M689" s="6" t="str">
        <f>"100x150"</f>
        <v>100x150</v>
      </c>
      <c r="N689" s="6" t="str">
        <f t="shared" si="196"/>
        <v xml:space="preserve"> </v>
      </c>
      <c r="O689" s="8">
        <v>200</v>
      </c>
      <c r="P689" s="7">
        <v>45672</v>
      </c>
      <c r="R689" s="8">
        <v>144</v>
      </c>
      <c r="S689" s="7">
        <v>45677</v>
      </c>
      <c r="U689" s="8">
        <v>0</v>
      </c>
      <c r="V689" s="7">
        <v>45680</v>
      </c>
      <c r="X689" s="8">
        <v>0</v>
      </c>
      <c r="Z689" s="8">
        <v>0</v>
      </c>
      <c r="AA689" s="7">
        <v>45692</v>
      </c>
      <c r="AC689" s="8">
        <v>0</v>
      </c>
      <c r="AE689" s="7">
        <v>45694</v>
      </c>
      <c r="AF689" s="8">
        <v>0</v>
      </c>
      <c r="AH689" s="7">
        <v>46059</v>
      </c>
      <c r="AN689" s="8">
        <v>0</v>
      </c>
      <c r="AO689" s="8">
        <v>200</v>
      </c>
    </row>
    <row r="690" spans="1:41" x14ac:dyDescent="0.25">
      <c r="A690" s="6" t="str">
        <f>"521-2025000751"</f>
        <v>521-2025000751</v>
      </c>
      <c r="B690" s="6" t="str">
        <f>"STUDIO F"</f>
        <v>STUDIO F</v>
      </c>
      <c r="C690" s="7">
        <v>45985</v>
      </c>
      <c r="D690" s="7">
        <v>46045</v>
      </c>
      <c r="E690" s="8">
        <v>1</v>
      </c>
      <c r="F690" s="6" t="str">
        <f>"PO 1134"</f>
        <v>PO 1134</v>
      </c>
      <c r="G690" s="6" t="str">
        <f>"R330379845000000"</f>
        <v>R330379845000000</v>
      </c>
      <c r="H690" s="6" t="str">
        <f>"R 3798 - PLA 2851 Bi"</f>
        <v>R 3798 - PLA 2851 Bi</v>
      </c>
      <c r="I690" s="6" t="str">
        <f>"204435"</f>
        <v>204435</v>
      </c>
      <c r="J690" s="6" t="str">
        <f>"AZUL 4435"</f>
        <v>AZUL 4435</v>
      </c>
      <c r="K690" s="6" t="str">
        <f>"5016"</f>
        <v>5016</v>
      </c>
      <c r="L690" s="6" t="str">
        <f>"Roupões Adulto"</f>
        <v>Roupões Adulto</v>
      </c>
      <c r="M690" s="6" t="str">
        <f>"S/M"</f>
        <v>S/M</v>
      </c>
      <c r="N690" s="6" t="str">
        <f t="shared" si="196"/>
        <v xml:space="preserve"> </v>
      </c>
      <c r="O690" s="8">
        <v>145</v>
      </c>
      <c r="P690" s="7">
        <v>46021</v>
      </c>
      <c r="R690" s="8">
        <v>596</v>
      </c>
      <c r="S690" s="7">
        <v>46029</v>
      </c>
      <c r="U690" s="8">
        <v>596</v>
      </c>
      <c r="V690" s="7">
        <v>46034</v>
      </c>
      <c r="X690" s="8">
        <v>596</v>
      </c>
      <c r="Z690" s="8">
        <v>0</v>
      </c>
      <c r="AA690" s="7">
        <v>46044</v>
      </c>
      <c r="AC690" s="8">
        <v>159</v>
      </c>
      <c r="AE690" s="7">
        <v>46048</v>
      </c>
      <c r="AF690" s="8">
        <v>159</v>
      </c>
      <c r="AH690" s="7">
        <v>46045</v>
      </c>
      <c r="AN690" s="8">
        <v>159</v>
      </c>
      <c r="AO690" s="8">
        <v>-14</v>
      </c>
    </row>
    <row r="691" spans="1:41" x14ac:dyDescent="0.25">
      <c r="A691" s="6" t="str">
        <f>"521-2025000751"</f>
        <v>521-2025000751</v>
      </c>
      <c r="B691" s="6" t="str">
        <f>"STUDIO F"</f>
        <v>STUDIO F</v>
      </c>
      <c r="C691" s="7">
        <v>45985</v>
      </c>
      <c r="D691" s="7">
        <v>46045</v>
      </c>
      <c r="E691" s="8">
        <v>2</v>
      </c>
      <c r="F691" s="6" t="str">
        <f>"PO 1134"</f>
        <v>PO 1134</v>
      </c>
      <c r="G691" s="6" t="str">
        <f>"R330379845000000"</f>
        <v>R330379845000000</v>
      </c>
      <c r="H691" s="6" t="str">
        <f>"R 3798 - PLA 2851 Bi"</f>
        <v>R 3798 - PLA 2851 Bi</v>
      </c>
      <c r="I691" s="6" t="str">
        <f>"204435"</f>
        <v>204435</v>
      </c>
      <c r="J691" s="6" t="str">
        <f>"AZUL 4435"</f>
        <v>AZUL 4435</v>
      </c>
      <c r="K691" s="6" t="str">
        <f>"5017"</f>
        <v>5017</v>
      </c>
      <c r="L691" s="6" t="str">
        <f>"Roupões Adulto"</f>
        <v>Roupões Adulto</v>
      </c>
      <c r="M691" s="6" t="str">
        <f>"M/L"</f>
        <v>M/L</v>
      </c>
      <c r="N691" s="6" t="str">
        <f t="shared" si="196"/>
        <v xml:space="preserve"> </v>
      </c>
      <c r="O691" s="8">
        <v>100</v>
      </c>
      <c r="P691" s="7">
        <v>46021</v>
      </c>
      <c r="R691" s="8">
        <v>0</v>
      </c>
      <c r="S691" s="7">
        <v>46029</v>
      </c>
      <c r="U691" s="8">
        <v>0</v>
      </c>
      <c r="V691" s="7">
        <v>46034</v>
      </c>
      <c r="X691" s="8">
        <v>0</v>
      </c>
      <c r="Z691" s="8">
        <v>0</v>
      </c>
      <c r="AA691" s="7">
        <v>46044</v>
      </c>
      <c r="AC691" s="8">
        <v>100</v>
      </c>
      <c r="AE691" s="7">
        <v>46048</v>
      </c>
      <c r="AF691" s="8">
        <v>100</v>
      </c>
      <c r="AH691" s="7">
        <v>46045</v>
      </c>
      <c r="AN691" s="8">
        <v>100</v>
      </c>
      <c r="AO691" s="8">
        <v>0</v>
      </c>
    </row>
    <row r="692" spans="1:41" x14ac:dyDescent="0.25">
      <c r="A692" s="6" t="str">
        <f>"521-2025000751"</f>
        <v>521-2025000751</v>
      </c>
      <c r="B692" s="6" t="str">
        <f>"STUDIO F"</f>
        <v>STUDIO F</v>
      </c>
      <c r="C692" s="7">
        <v>45985</v>
      </c>
      <c r="D692" s="7">
        <v>46045</v>
      </c>
      <c r="E692" s="8">
        <v>3</v>
      </c>
      <c r="F692" s="6" t="str">
        <f>"PO 1134"</f>
        <v>PO 1134</v>
      </c>
      <c r="G692" s="6" t="str">
        <f>"R330379845000000"</f>
        <v>R330379845000000</v>
      </c>
      <c r="H692" s="6" t="str">
        <f>"R 3798 - PLA 2851 Bi"</f>
        <v>R 3798 - PLA 2851 Bi</v>
      </c>
      <c r="I692" s="6" t="str">
        <f>"201154"</f>
        <v>201154</v>
      </c>
      <c r="J692" s="6" t="str">
        <f>"AZUL 1154"</f>
        <v>AZUL 1154</v>
      </c>
      <c r="K692" s="6" t="str">
        <f>"5016"</f>
        <v>5016</v>
      </c>
      <c r="L692" s="6" t="str">
        <f>"Roupões Adulto"</f>
        <v>Roupões Adulto</v>
      </c>
      <c r="M692" s="6" t="str">
        <f>"S/M"</f>
        <v>S/M</v>
      </c>
      <c r="N692" s="6" t="str">
        <f t="shared" si="196"/>
        <v xml:space="preserve"> </v>
      </c>
      <c r="O692" s="8">
        <v>145</v>
      </c>
      <c r="P692" s="7">
        <v>46021</v>
      </c>
      <c r="R692" s="8">
        <v>446</v>
      </c>
      <c r="S692" s="7">
        <v>46029</v>
      </c>
      <c r="U692" s="8">
        <v>617</v>
      </c>
      <c r="V692" s="7">
        <v>46034</v>
      </c>
      <c r="X692" s="8">
        <v>617</v>
      </c>
      <c r="Z692" s="8">
        <v>0</v>
      </c>
      <c r="AA692" s="7">
        <v>46044</v>
      </c>
      <c r="AC692" s="8">
        <v>139</v>
      </c>
      <c r="AE692" s="7">
        <v>46048</v>
      </c>
      <c r="AF692" s="8">
        <v>139</v>
      </c>
      <c r="AH692" s="7">
        <v>46045</v>
      </c>
      <c r="AN692" s="8">
        <v>139</v>
      </c>
      <c r="AO692" s="8">
        <v>6</v>
      </c>
    </row>
    <row r="693" spans="1:41" x14ac:dyDescent="0.25">
      <c r="A693" s="6" t="str">
        <f>"521-2025000751"</f>
        <v>521-2025000751</v>
      </c>
      <c r="B693" s="6" t="str">
        <f>"STUDIO F"</f>
        <v>STUDIO F</v>
      </c>
      <c r="C693" s="7">
        <v>45985</v>
      </c>
      <c r="D693" s="7">
        <v>46045</v>
      </c>
      <c r="E693" s="8">
        <v>4</v>
      </c>
      <c r="F693" s="6" t="str">
        <f>"PO 1134"</f>
        <v>PO 1134</v>
      </c>
      <c r="G693" s="6" t="str">
        <f>"R330379845000000"</f>
        <v>R330379845000000</v>
      </c>
      <c r="H693" s="6" t="str">
        <f>"R 3798 - PLA 2851 Bi"</f>
        <v>R 3798 - PLA 2851 Bi</v>
      </c>
      <c r="I693" s="6" t="str">
        <f>"201154"</f>
        <v>201154</v>
      </c>
      <c r="J693" s="6" t="str">
        <f>"AZUL 1154"</f>
        <v>AZUL 1154</v>
      </c>
      <c r="K693" s="6" t="str">
        <f>"5017"</f>
        <v>5017</v>
      </c>
      <c r="L693" s="6" t="str">
        <f>"Roupões Adulto"</f>
        <v>Roupões Adulto</v>
      </c>
      <c r="M693" s="6" t="str">
        <f>"M/L"</f>
        <v>M/L</v>
      </c>
      <c r="N693" s="6" t="str">
        <f t="shared" si="196"/>
        <v xml:space="preserve"> </v>
      </c>
      <c r="O693" s="8">
        <v>100</v>
      </c>
      <c r="P693" s="7">
        <v>46021</v>
      </c>
      <c r="R693" s="8">
        <v>171</v>
      </c>
      <c r="S693" s="7">
        <v>46029</v>
      </c>
      <c r="U693" s="8">
        <v>0</v>
      </c>
      <c r="V693" s="7">
        <v>46034</v>
      </c>
      <c r="X693" s="8">
        <v>0</v>
      </c>
      <c r="Z693" s="8">
        <v>0</v>
      </c>
      <c r="AA693" s="7">
        <v>46044</v>
      </c>
      <c r="AC693" s="8">
        <v>100</v>
      </c>
      <c r="AE693" s="7">
        <v>46048</v>
      </c>
      <c r="AF693" s="8">
        <v>100</v>
      </c>
      <c r="AH693" s="7">
        <v>46045</v>
      </c>
      <c r="AN693" s="8">
        <v>100</v>
      </c>
      <c r="AO693" s="8">
        <v>0</v>
      </c>
    </row>
    <row r="694" spans="1:41" x14ac:dyDescent="0.25">
      <c r="A694" s="6" t="str">
        <f t="shared" ref="A694:A699" si="199">"521-2025000752"</f>
        <v>521-2025000752</v>
      </c>
      <c r="B694" s="6" t="str">
        <f t="shared" ref="B694:B703" si="200">"LOSCH HA"</f>
        <v>LOSCH HA</v>
      </c>
      <c r="C694" s="7">
        <v>45986</v>
      </c>
      <c r="D694" s="7">
        <v>46027</v>
      </c>
      <c r="E694" s="8">
        <v>1</v>
      </c>
      <c r="F694" s="6" t="str">
        <f t="shared" ref="F694:F699" si="201">"Enc.Losch - Landherz"</f>
        <v>Enc.Losch - Landherz</v>
      </c>
      <c r="G694" s="6" t="str">
        <f>"F110271050014264"</f>
        <v>F110271050014264</v>
      </c>
      <c r="H694" s="6" t="str">
        <f>"FAJ 2710 / 4264 - 50"</f>
        <v>FAJ 2710 / 4264 - 50</v>
      </c>
      <c r="I694" s="6" t="str">
        <f t="shared" ref="I694:I699" si="202">"1"</f>
        <v>1</v>
      </c>
      <c r="J694" s="6" t="str">
        <f t="shared" ref="J694:J699" si="203">"BRANCO"</f>
        <v>BRANCO</v>
      </c>
      <c r="K694" s="6" t="str">
        <f>"0520"</f>
        <v>0520</v>
      </c>
      <c r="L694" s="6" t="str">
        <f>"Toalhetes"</f>
        <v>Toalhetes</v>
      </c>
      <c r="M694" s="6" t="str">
        <f>"30x50"</f>
        <v>30x50</v>
      </c>
      <c r="N694" s="6" t="str">
        <f t="shared" si="196"/>
        <v xml:space="preserve"> </v>
      </c>
      <c r="O694" s="8">
        <v>180</v>
      </c>
      <c r="P694" s="7">
        <v>45986</v>
      </c>
      <c r="R694" s="8">
        <v>0</v>
      </c>
      <c r="U694" s="8">
        <v>0</v>
      </c>
      <c r="X694" s="8">
        <v>0</v>
      </c>
      <c r="Z694" s="8">
        <v>0</v>
      </c>
      <c r="AC694" s="8">
        <v>180</v>
      </c>
      <c r="AE694" s="7">
        <v>45994</v>
      </c>
      <c r="AF694" s="8">
        <v>180</v>
      </c>
      <c r="AH694" s="7">
        <v>46027</v>
      </c>
      <c r="AN694" s="8">
        <v>180</v>
      </c>
      <c r="AO694" s="8">
        <v>0</v>
      </c>
    </row>
    <row r="695" spans="1:41" x14ac:dyDescent="0.25">
      <c r="A695" s="6" t="str">
        <f t="shared" si="199"/>
        <v>521-2025000752</v>
      </c>
      <c r="B695" s="6" t="str">
        <f t="shared" si="200"/>
        <v>LOSCH HA</v>
      </c>
      <c r="C695" s="7">
        <v>45986</v>
      </c>
      <c r="D695" s="7">
        <v>46027</v>
      </c>
      <c r="E695" s="8">
        <v>2</v>
      </c>
      <c r="F695" s="6" t="str">
        <f t="shared" si="201"/>
        <v>Enc.Losch - Landherz</v>
      </c>
      <c r="G695" s="6" t="str">
        <f>"F110271050024264"</f>
        <v>F110271050024264</v>
      </c>
      <c r="H695" s="6" t="str">
        <f>"FAJ 2710 / 4264 - 50"</f>
        <v>FAJ 2710 / 4264 - 50</v>
      </c>
      <c r="I695" s="6" t="str">
        <f t="shared" si="202"/>
        <v>1</v>
      </c>
      <c r="J695" s="6" t="str">
        <f t="shared" si="203"/>
        <v>BRANCO</v>
      </c>
      <c r="K695" s="6" t="str">
        <f>"1024"</f>
        <v>1024</v>
      </c>
      <c r="L695" s="6" t="str">
        <f>"Toalhas"</f>
        <v>Toalhas</v>
      </c>
      <c r="M695" s="6" t="str">
        <f>"50x100"</f>
        <v>50x100</v>
      </c>
      <c r="N695" s="6" t="str">
        <f t="shared" si="196"/>
        <v xml:space="preserve"> </v>
      </c>
      <c r="O695" s="8">
        <v>84</v>
      </c>
      <c r="P695" s="7">
        <v>45986</v>
      </c>
      <c r="R695" s="8">
        <v>0</v>
      </c>
      <c r="U695" s="8">
        <v>0</v>
      </c>
      <c r="X695" s="8">
        <v>0</v>
      </c>
      <c r="Z695" s="8">
        <v>0</v>
      </c>
      <c r="AC695" s="8">
        <v>84</v>
      </c>
      <c r="AE695" s="7">
        <v>45994</v>
      </c>
      <c r="AF695" s="8">
        <v>84</v>
      </c>
      <c r="AH695" s="7">
        <v>46027</v>
      </c>
      <c r="AN695" s="8">
        <v>84</v>
      </c>
      <c r="AO695" s="8">
        <v>0</v>
      </c>
    </row>
    <row r="696" spans="1:41" x14ac:dyDescent="0.25">
      <c r="A696" s="6" t="str">
        <f t="shared" si="199"/>
        <v>521-2025000752</v>
      </c>
      <c r="B696" s="6" t="str">
        <f t="shared" si="200"/>
        <v>LOSCH HA</v>
      </c>
      <c r="C696" s="7">
        <v>45986</v>
      </c>
      <c r="D696" s="7">
        <v>46027</v>
      </c>
      <c r="E696" s="8">
        <v>3</v>
      </c>
      <c r="F696" s="6" t="str">
        <f t="shared" si="201"/>
        <v>Enc.Losch - Landherz</v>
      </c>
      <c r="G696" s="6" t="str">
        <f>"F110271050024264"</f>
        <v>F110271050024264</v>
      </c>
      <c r="H696" s="6" t="str">
        <f>"FAJ 2710 / 4264 - 50"</f>
        <v>FAJ 2710 / 4264 - 50</v>
      </c>
      <c r="I696" s="6" t="str">
        <f t="shared" si="202"/>
        <v>1</v>
      </c>
      <c r="J696" s="6" t="str">
        <f t="shared" si="203"/>
        <v>BRANCO</v>
      </c>
      <c r="K696" s="6" t="str">
        <f>"1535"</f>
        <v>1535</v>
      </c>
      <c r="L696" s="6" t="str">
        <f>"Toalhões"</f>
        <v>Toalhões</v>
      </c>
      <c r="M696" s="6" t="str">
        <f>"70x140"</f>
        <v>70x140</v>
      </c>
      <c r="N696" s="6" t="str">
        <f t="shared" si="196"/>
        <v xml:space="preserve"> </v>
      </c>
      <c r="O696" s="8">
        <v>48</v>
      </c>
      <c r="P696" s="7">
        <v>45986</v>
      </c>
      <c r="R696" s="8">
        <v>0</v>
      </c>
      <c r="U696" s="8">
        <v>0</v>
      </c>
      <c r="X696" s="8">
        <v>0</v>
      </c>
      <c r="Z696" s="8">
        <v>0</v>
      </c>
      <c r="AC696" s="8">
        <v>48</v>
      </c>
      <c r="AE696" s="7">
        <v>45994</v>
      </c>
      <c r="AF696" s="8">
        <v>48</v>
      </c>
      <c r="AH696" s="7">
        <v>46027</v>
      </c>
      <c r="AN696" s="8">
        <v>48</v>
      </c>
      <c r="AO696" s="8">
        <v>0</v>
      </c>
    </row>
    <row r="697" spans="1:41" x14ac:dyDescent="0.25">
      <c r="A697" s="6" t="str">
        <f t="shared" si="199"/>
        <v>521-2025000752</v>
      </c>
      <c r="B697" s="6" t="str">
        <f t="shared" si="200"/>
        <v>LOSCH HA</v>
      </c>
      <c r="C697" s="7">
        <v>45986</v>
      </c>
      <c r="D697" s="7">
        <v>46027</v>
      </c>
      <c r="E697" s="8">
        <v>4</v>
      </c>
      <c r="F697" s="6" t="str">
        <f t="shared" si="201"/>
        <v>Enc.Losch - Landherz</v>
      </c>
      <c r="G697" s="6" t="str">
        <f>"F110271050006035"</f>
        <v>F110271050006035</v>
      </c>
      <c r="H697" s="6" t="str">
        <f>"FAJ 2710 / 6035 A -"</f>
        <v>FAJ 2710 / 6035 A -</v>
      </c>
      <c r="I697" s="6" t="str">
        <f t="shared" si="202"/>
        <v>1</v>
      </c>
      <c r="J697" s="6" t="str">
        <f t="shared" si="203"/>
        <v>BRANCO</v>
      </c>
      <c r="K697" s="6" t="str">
        <f>"0520"</f>
        <v>0520</v>
      </c>
      <c r="L697" s="6" t="str">
        <f>"Toalhetes"</f>
        <v>Toalhetes</v>
      </c>
      <c r="M697" s="6" t="str">
        <f>"30x50"</f>
        <v>30x50</v>
      </c>
      <c r="N697" s="6" t="str">
        <f>"5605247945494"</f>
        <v>5605247945494</v>
      </c>
      <c r="O697" s="8">
        <v>180</v>
      </c>
      <c r="P697" s="7">
        <v>45986</v>
      </c>
      <c r="R697" s="8">
        <v>0</v>
      </c>
      <c r="U697" s="8">
        <v>0</v>
      </c>
      <c r="X697" s="8">
        <v>0</v>
      </c>
      <c r="Z697" s="8">
        <v>0</v>
      </c>
      <c r="AC697" s="8">
        <v>180</v>
      </c>
      <c r="AE697" s="7">
        <v>45994</v>
      </c>
      <c r="AF697" s="8">
        <v>180</v>
      </c>
      <c r="AH697" s="7">
        <v>46027</v>
      </c>
      <c r="AN697" s="8">
        <v>180</v>
      </c>
      <c r="AO697" s="8">
        <v>0</v>
      </c>
    </row>
    <row r="698" spans="1:41" x14ac:dyDescent="0.25">
      <c r="A698" s="6" t="str">
        <f t="shared" si="199"/>
        <v>521-2025000752</v>
      </c>
      <c r="B698" s="6" t="str">
        <f t="shared" si="200"/>
        <v>LOSCH HA</v>
      </c>
      <c r="C698" s="7">
        <v>45986</v>
      </c>
      <c r="D698" s="7">
        <v>46027</v>
      </c>
      <c r="E698" s="8">
        <v>5</v>
      </c>
      <c r="F698" s="6" t="str">
        <f t="shared" si="201"/>
        <v>Enc.Losch - Landherz</v>
      </c>
      <c r="G698" s="6" t="str">
        <f>"F110271050006035"</f>
        <v>F110271050006035</v>
      </c>
      <c r="H698" s="6" t="str">
        <f>"FAJ 2710 / 6035 A -"</f>
        <v>FAJ 2710 / 6035 A -</v>
      </c>
      <c r="I698" s="6" t="str">
        <f t="shared" si="202"/>
        <v>1</v>
      </c>
      <c r="J698" s="6" t="str">
        <f t="shared" si="203"/>
        <v>BRANCO</v>
      </c>
      <c r="K698" s="6" t="str">
        <f>"1024"</f>
        <v>1024</v>
      </c>
      <c r="L698" s="6" t="str">
        <f>"Toalhas"</f>
        <v>Toalhas</v>
      </c>
      <c r="M698" s="6" t="str">
        <f>"50x100"</f>
        <v>50x100</v>
      </c>
      <c r="N698" s="6" t="str">
        <f>"5605247945500"</f>
        <v>5605247945500</v>
      </c>
      <c r="O698" s="8">
        <v>36</v>
      </c>
      <c r="P698" s="7">
        <v>45986</v>
      </c>
      <c r="R698" s="8">
        <v>0</v>
      </c>
      <c r="U698" s="8">
        <v>0</v>
      </c>
      <c r="X698" s="8">
        <v>0</v>
      </c>
      <c r="Z698" s="8">
        <v>0</v>
      </c>
      <c r="AC698" s="8">
        <v>36</v>
      </c>
      <c r="AE698" s="7">
        <v>45994</v>
      </c>
      <c r="AF698" s="8">
        <v>36</v>
      </c>
      <c r="AH698" s="7">
        <v>46027</v>
      </c>
      <c r="AN698" s="8">
        <v>36</v>
      </c>
      <c r="AO698" s="8">
        <v>0</v>
      </c>
    </row>
    <row r="699" spans="1:41" x14ac:dyDescent="0.25">
      <c r="A699" s="6" t="str">
        <f t="shared" si="199"/>
        <v>521-2025000752</v>
      </c>
      <c r="B699" s="6" t="str">
        <f t="shared" si="200"/>
        <v>LOSCH HA</v>
      </c>
      <c r="C699" s="7">
        <v>45986</v>
      </c>
      <c r="D699" s="7">
        <v>46027</v>
      </c>
      <c r="E699" s="8">
        <v>6</v>
      </c>
      <c r="F699" s="6" t="str">
        <f t="shared" si="201"/>
        <v>Enc.Losch - Landherz</v>
      </c>
      <c r="G699" s="6" t="str">
        <f>"F110271050006035"</f>
        <v>F110271050006035</v>
      </c>
      <c r="H699" s="6" t="str">
        <f>"FAJ 2710 / 6035 A -"</f>
        <v>FAJ 2710 / 6035 A -</v>
      </c>
      <c r="I699" s="6" t="str">
        <f t="shared" si="202"/>
        <v>1</v>
      </c>
      <c r="J699" s="6" t="str">
        <f t="shared" si="203"/>
        <v>BRANCO</v>
      </c>
      <c r="K699" s="6" t="str">
        <f>"1535"</f>
        <v>1535</v>
      </c>
      <c r="L699" s="6" t="str">
        <f>"Toalhões"</f>
        <v>Toalhões</v>
      </c>
      <c r="M699" s="6" t="str">
        <f>"70x140"</f>
        <v>70x140</v>
      </c>
      <c r="N699" s="6" t="str">
        <f>"5605247945517"</f>
        <v>5605247945517</v>
      </c>
      <c r="O699" s="8">
        <v>36</v>
      </c>
      <c r="P699" s="7">
        <v>45986</v>
      </c>
      <c r="R699" s="8">
        <v>0</v>
      </c>
      <c r="U699" s="8">
        <v>0</v>
      </c>
      <c r="X699" s="8">
        <v>0</v>
      </c>
      <c r="Z699" s="8">
        <v>0</v>
      </c>
      <c r="AC699" s="8">
        <v>36</v>
      </c>
      <c r="AE699" s="7">
        <v>45994</v>
      </c>
      <c r="AF699" s="8">
        <v>36</v>
      </c>
      <c r="AH699" s="7">
        <v>46027</v>
      </c>
      <c r="AN699" s="8">
        <v>36</v>
      </c>
      <c r="AO699" s="8">
        <v>0</v>
      </c>
    </row>
    <row r="700" spans="1:41" x14ac:dyDescent="0.25">
      <c r="A700" s="6" t="str">
        <f>"521-2025000753"</f>
        <v>521-2025000753</v>
      </c>
      <c r="B700" s="6" t="str">
        <f t="shared" si="200"/>
        <v>LOSCH HA</v>
      </c>
      <c r="C700" s="7">
        <v>45986</v>
      </c>
      <c r="D700" s="7">
        <v>46027</v>
      </c>
      <c r="E700" s="8">
        <v>1</v>
      </c>
      <c r="F700" s="6" t="str">
        <f>"Enc. Losch - Barbara"</f>
        <v>Enc. Losch - Barbara</v>
      </c>
      <c r="G700" s="6" t="str">
        <f>"C001090426006094"</f>
        <v>C001090426006094</v>
      </c>
      <c r="H700" s="6" t="str">
        <f>"CZJ 0904 / 6094 - 26"</f>
        <v>CZJ 0904 / 6094 - 26</v>
      </c>
      <c r="I700" s="6" t="str">
        <f>"202206"</f>
        <v>202206</v>
      </c>
      <c r="J700" s="6" t="str">
        <f>"CINZA 2206"</f>
        <v>CINZA 2206</v>
      </c>
      <c r="K700" s="6" t="str">
        <f>"0830"</f>
        <v>0830</v>
      </c>
      <c r="L700" s="6" t="str">
        <f>"Cozinha"</f>
        <v>Cozinha</v>
      </c>
      <c r="M700" s="6" t="str">
        <f t="shared" ref="M700:M711" si="204">"50x70"</f>
        <v>50x70</v>
      </c>
      <c r="N700" s="6" t="str">
        <f t="shared" ref="N700:N716" si="205">" "</f>
        <v xml:space="preserve"> </v>
      </c>
      <c r="O700" s="8">
        <v>180</v>
      </c>
      <c r="P700" s="7">
        <v>45986</v>
      </c>
      <c r="R700" s="8">
        <v>0</v>
      </c>
      <c r="U700" s="8">
        <v>0</v>
      </c>
      <c r="X700" s="8">
        <v>0</v>
      </c>
      <c r="Z700" s="8">
        <v>0</v>
      </c>
      <c r="AC700" s="8">
        <v>176</v>
      </c>
      <c r="AE700" s="7">
        <v>45994</v>
      </c>
      <c r="AF700" s="8">
        <v>176</v>
      </c>
      <c r="AH700" s="7">
        <v>46027</v>
      </c>
      <c r="AN700" s="8">
        <v>176</v>
      </c>
      <c r="AO700" s="8">
        <v>4</v>
      </c>
    </row>
    <row r="701" spans="1:41" x14ac:dyDescent="0.25">
      <c r="A701" s="6" t="str">
        <f>"521-2025000753"</f>
        <v>521-2025000753</v>
      </c>
      <c r="B701" s="6" t="str">
        <f t="shared" si="200"/>
        <v>LOSCH HA</v>
      </c>
      <c r="C701" s="7">
        <v>45986</v>
      </c>
      <c r="D701" s="7">
        <v>46027</v>
      </c>
      <c r="E701" s="8">
        <v>2</v>
      </c>
      <c r="F701" s="6" t="str">
        <f>"Enc. Losch - Barbara"</f>
        <v>Enc. Losch - Barbara</v>
      </c>
      <c r="G701" s="6" t="str">
        <f>"C001090426006095"</f>
        <v>C001090426006095</v>
      </c>
      <c r="H701" s="6" t="str">
        <f>"CZJ 0904 / 6095 - 26"</f>
        <v>CZJ 0904 / 6095 - 26</v>
      </c>
      <c r="I701" s="6" t="str">
        <f>"202206"</f>
        <v>202206</v>
      </c>
      <c r="J701" s="6" t="str">
        <f>"CINZA 2206"</f>
        <v>CINZA 2206</v>
      </c>
      <c r="K701" s="6" t="str">
        <f>"0830"</f>
        <v>0830</v>
      </c>
      <c r="L701" s="6" t="str">
        <f>"Cozinha"</f>
        <v>Cozinha</v>
      </c>
      <c r="M701" s="6" t="str">
        <f t="shared" si="204"/>
        <v>50x70</v>
      </c>
      <c r="N701" s="6" t="str">
        <f t="shared" si="205"/>
        <v xml:space="preserve"> </v>
      </c>
      <c r="O701" s="8">
        <v>240</v>
      </c>
      <c r="P701" s="7">
        <v>45986</v>
      </c>
      <c r="R701" s="8">
        <v>0</v>
      </c>
      <c r="U701" s="8">
        <v>0</v>
      </c>
      <c r="X701" s="8">
        <v>0</v>
      </c>
      <c r="Z701" s="8">
        <v>0</v>
      </c>
      <c r="AC701" s="8">
        <v>240</v>
      </c>
      <c r="AE701" s="7">
        <v>45994</v>
      </c>
      <c r="AF701" s="8">
        <v>240</v>
      </c>
      <c r="AH701" s="7">
        <v>46027</v>
      </c>
      <c r="AN701" s="8">
        <v>240</v>
      </c>
      <c r="AO701" s="8">
        <v>0</v>
      </c>
    </row>
    <row r="702" spans="1:41" x14ac:dyDescent="0.25">
      <c r="A702" s="6" t="str">
        <f>"521-2025000753"</f>
        <v>521-2025000753</v>
      </c>
      <c r="B702" s="6" t="str">
        <f t="shared" si="200"/>
        <v>LOSCH HA</v>
      </c>
      <c r="C702" s="7">
        <v>45986</v>
      </c>
      <c r="D702" s="7">
        <v>46027</v>
      </c>
      <c r="E702" s="8">
        <v>3</v>
      </c>
      <c r="F702" s="6" t="str">
        <f>"Enc. Losch - Barbara"</f>
        <v>Enc. Losch - Barbara</v>
      </c>
      <c r="G702" s="6" t="str">
        <f>"C001090426006160"</f>
        <v>C001090426006160</v>
      </c>
      <c r="H702" s="6" t="str">
        <f>"CZJ 0904 / 6160 - 26"</f>
        <v>CZJ 0904 / 6160 - 26</v>
      </c>
      <c r="I702" s="6" t="str">
        <f>"202206"</f>
        <v>202206</v>
      </c>
      <c r="J702" s="6" t="str">
        <f>"CINZA 2206"</f>
        <v>CINZA 2206</v>
      </c>
      <c r="K702" s="6" t="str">
        <f>"0830"</f>
        <v>0830</v>
      </c>
      <c r="L702" s="6" t="str">
        <f>"Cozinha"</f>
        <v>Cozinha</v>
      </c>
      <c r="M702" s="6" t="str">
        <f t="shared" si="204"/>
        <v>50x70</v>
      </c>
      <c r="N702" s="6" t="str">
        <f t="shared" si="205"/>
        <v xml:space="preserve"> </v>
      </c>
      <c r="O702" s="8">
        <v>240</v>
      </c>
      <c r="P702" s="7">
        <v>45986</v>
      </c>
      <c r="R702" s="8">
        <v>0</v>
      </c>
      <c r="U702" s="8">
        <v>0</v>
      </c>
      <c r="X702" s="8">
        <v>0</v>
      </c>
      <c r="Z702" s="8">
        <v>0</v>
      </c>
      <c r="AC702" s="8">
        <v>236</v>
      </c>
      <c r="AE702" s="7">
        <v>45994</v>
      </c>
      <c r="AF702" s="8">
        <v>236</v>
      </c>
      <c r="AH702" s="7">
        <v>46027</v>
      </c>
      <c r="AN702" s="8">
        <v>236</v>
      </c>
      <c r="AO702" s="8">
        <v>4</v>
      </c>
    </row>
    <row r="703" spans="1:41" x14ac:dyDescent="0.25">
      <c r="A703" s="6" t="str">
        <f>"521-2025000753"</f>
        <v>521-2025000753</v>
      </c>
      <c r="B703" s="6" t="str">
        <f t="shared" si="200"/>
        <v>LOSCH HA</v>
      </c>
      <c r="C703" s="7">
        <v>45986</v>
      </c>
      <c r="D703" s="7">
        <v>46027</v>
      </c>
      <c r="E703" s="8">
        <v>4</v>
      </c>
      <c r="F703" s="6" t="str">
        <f>"Enc. Losch - Barbara"</f>
        <v>Enc. Losch - Barbara</v>
      </c>
      <c r="G703" s="6" t="str">
        <f>"C001090426006161"</f>
        <v>C001090426006161</v>
      </c>
      <c r="H703" s="6" t="str">
        <f>"CZJ 0904 / 6161 - 26"</f>
        <v>CZJ 0904 / 6161 - 26</v>
      </c>
      <c r="I703" s="6" t="str">
        <f>"202206"</f>
        <v>202206</v>
      </c>
      <c r="J703" s="6" t="str">
        <f>"CINZA 2206"</f>
        <v>CINZA 2206</v>
      </c>
      <c r="K703" s="6" t="str">
        <f>"0830"</f>
        <v>0830</v>
      </c>
      <c r="L703" s="6" t="str">
        <f>"Cozinha"</f>
        <v>Cozinha</v>
      </c>
      <c r="M703" s="6" t="str">
        <f t="shared" si="204"/>
        <v>50x70</v>
      </c>
      <c r="N703" s="6" t="str">
        <f t="shared" si="205"/>
        <v xml:space="preserve"> </v>
      </c>
      <c r="O703" s="8">
        <v>120</v>
      </c>
      <c r="P703" s="7">
        <v>45986</v>
      </c>
      <c r="R703" s="8">
        <v>0</v>
      </c>
      <c r="U703" s="8">
        <v>0</v>
      </c>
      <c r="X703" s="8">
        <v>0</v>
      </c>
      <c r="Z703" s="8">
        <v>0</v>
      </c>
      <c r="AC703" s="8">
        <v>116</v>
      </c>
      <c r="AE703" s="7">
        <v>45994</v>
      </c>
      <c r="AF703" s="8">
        <v>116</v>
      </c>
      <c r="AH703" s="7">
        <v>46027</v>
      </c>
      <c r="AN703" s="8">
        <v>116</v>
      </c>
      <c r="AO703" s="8">
        <v>4</v>
      </c>
    </row>
    <row r="704" spans="1:41" x14ac:dyDescent="0.25">
      <c r="A704" s="6" t="str">
        <f>"521-2025000754"</f>
        <v>521-2025000754</v>
      </c>
      <c r="B704" s="6" t="str">
        <f>"TARTA GE"</f>
        <v>TARTA GE</v>
      </c>
      <c r="C704" s="7">
        <v>45986</v>
      </c>
      <c r="D704" s="7">
        <v>46059</v>
      </c>
      <c r="E704" s="8">
        <v>1</v>
      </c>
      <c r="F704" s="6" t="str">
        <f>"250060"</f>
        <v>250060</v>
      </c>
      <c r="G704" s="6" t="str">
        <f>"F310627360000000"</f>
        <v>F310627360000000</v>
      </c>
      <c r="H704" s="6" t="str">
        <f>"PLAR 6273 - 600 g/m²"</f>
        <v>PLAR 6273 - 600 g/m²</v>
      </c>
      <c r="I704" s="6" t="str">
        <f>"202085"</f>
        <v>202085</v>
      </c>
      <c r="J704" s="6" t="str">
        <f>"VERMELHO 2085"</f>
        <v>VERMELHO 2085</v>
      </c>
      <c r="K704" s="6" t="str">
        <f>"1008"</f>
        <v>1008</v>
      </c>
      <c r="L704" s="6" t="str">
        <f>"Toalhas"</f>
        <v>Toalhas</v>
      </c>
      <c r="M704" s="6" t="str">
        <f t="shared" si="204"/>
        <v>50x70</v>
      </c>
      <c r="N704" s="6" t="str">
        <f t="shared" si="205"/>
        <v xml:space="preserve"> </v>
      </c>
      <c r="O704" s="8">
        <v>800</v>
      </c>
      <c r="P704" s="7">
        <v>46037</v>
      </c>
      <c r="R704" s="8">
        <v>812</v>
      </c>
      <c r="S704" s="7">
        <v>46042</v>
      </c>
      <c r="U704" s="8">
        <v>812</v>
      </c>
      <c r="V704" s="7">
        <v>46045</v>
      </c>
      <c r="X704" s="8">
        <v>0</v>
      </c>
      <c r="Z704" s="8">
        <v>812</v>
      </c>
      <c r="AA704" s="7">
        <v>46057</v>
      </c>
      <c r="AC704" s="8">
        <v>0</v>
      </c>
      <c r="AE704" s="7">
        <v>46059</v>
      </c>
      <c r="AF704" s="8">
        <v>0</v>
      </c>
      <c r="AH704" s="7">
        <v>46059</v>
      </c>
      <c r="AN704" s="8">
        <v>0</v>
      </c>
      <c r="AO704" s="8">
        <v>800</v>
      </c>
    </row>
    <row r="705" spans="1:41" x14ac:dyDescent="0.25">
      <c r="A705" s="6" t="str">
        <f>"521-2025000754"</f>
        <v>521-2025000754</v>
      </c>
      <c r="B705" s="6" t="str">
        <f>"TARTA GE"</f>
        <v>TARTA GE</v>
      </c>
      <c r="C705" s="7">
        <v>45986</v>
      </c>
      <c r="D705" s="7">
        <v>46059</v>
      </c>
      <c r="E705" s="8">
        <v>3</v>
      </c>
      <c r="F705" s="6" t="str">
        <f>"250060"</f>
        <v>250060</v>
      </c>
      <c r="G705" s="6" t="str">
        <f>"F310627360000000"</f>
        <v>F310627360000000</v>
      </c>
      <c r="H705" s="6" t="str">
        <f>"PLAR 6273 - 600 g/m²"</f>
        <v>PLAR 6273 - 600 g/m²</v>
      </c>
      <c r="I705" s="6" t="str">
        <f>"203571"</f>
        <v>203571</v>
      </c>
      <c r="J705" s="6" t="str">
        <f>"AZUL 3571"</f>
        <v>AZUL 3571</v>
      </c>
      <c r="K705" s="6" t="str">
        <f>"1008"</f>
        <v>1008</v>
      </c>
      <c r="L705" s="6" t="str">
        <f>"Toalhas"</f>
        <v>Toalhas</v>
      </c>
      <c r="M705" s="6" t="str">
        <f t="shared" si="204"/>
        <v>50x70</v>
      </c>
      <c r="N705" s="6" t="str">
        <f t="shared" si="205"/>
        <v xml:space="preserve"> </v>
      </c>
      <c r="O705" s="8">
        <v>800</v>
      </c>
      <c r="P705" s="7">
        <v>46037</v>
      </c>
      <c r="R705" s="8">
        <v>824</v>
      </c>
      <c r="S705" s="7">
        <v>46042</v>
      </c>
      <c r="U705" s="8">
        <v>824</v>
      </c>
      <c r="V705" s="7">
        <v>46045</v>
      </c>
      <c r="X705" s="8">
        <v>0</v>
      </c>
      <c r="Z705" s="8">
        <v>824</v>
      </c>
      <c r="AA705" s="7">
        <v>46057</v>
      </c>
      <c r="AC705" s="8">
        <v>0</v>
      </c>
      <c r="AE705" s="7">
        <v>46059</v>
      </c>
      <c r="AF705" s="8">
        <v>0</v>
      </c>
      <c r="AH705" s="7">
        <v>46059</v>
      </c>
      <c r="AN705" s="8">
        <v>0</v>
      </c>
      <c r="AO705" s="8">
        <v>800</v>
      </c>
    </row>
    <row r="706" spans="1:41" x14ac:dyDescent="0.25">
      <c r="A706" s="6" t="str">
        <f>"521-2025000755"</f>
        <v>521-2025000755</v>
      </c>
      <c r="B706" s="6" t="str">
        <f>"TARTA GE"</f>
        <v>TARTA GE</v>
      </c>
      <c r="C706" s="7">
        <v>45986</v>
      </c>
      <c r="D706" s="7">
        <v>46059</v>
      </c>
      <c r="E706" s="8">
        <v>1</v>
      </c>
      <c r="F706" s="6" t="str">
        <f>"250060"</f>
        <v>250060</v>
      </c>
      <c r="G706" s="6" t="str">
        <f>"F310627460000000"</f>
        <v>F310627460000000</v>
      </c>
      <c r="H706" s="6" t="str">
        <f>"PLAR 6274 - 600 g/m²"</f>
        <v>PLAR 6274 - 600 g/m²</v>
      </c>
      <c r="I706" s="6" t="str">
        <f>"200996"</f>
        <v>200996</v>
      </c>
      <c r="J706" s="6" t="str">
        <f>"VERDE 996"</f>
        <v>VERDE 996</v>
      </c>
      <c r="K706" s="6" t="str">
        <f>"1008"</f>
        <v>1008</v>
      </c>
      <c r="L706" s="6" t="str">
        <f>"Toalhas"</f>
        <v>Toalhas</v>
      </c>
      <c r="M706" s="6" t="str">
        <f t="shared" si="204"/>
        <v>50x70</v>
      </c>
      <c r="N706" s="6" t="str">
        <f t="shared" si="205"/>
        <v xml:space="preserve"> </v>
      </c>
      <c r="O706" s="8">
        <v>800</v>
      </c>
      <c r="P706" s="7">
        <v>46037</v>
      </c>
      <c r="R706" s="8">
        <v>844</v>
      </c>
      <c r="S706" s="7">
        <v>46042</v>
      </c>
      <c r="U706" s="8">
        <v>844</v>
      </c>
      <c r="V706" s="7">
        <v>46045</v>
      </c>
      <c r="X706" s="8">
        <v>0</v>
      </c>
      <c r="Z706" s="8">
        <v>844</v>
      </c>
      <c r="AA706" s="7">
        <v>46057</v>
      </c>
      <c r="AC706" s="8">
        <v>0</v>
      </c>
      <c r="AE706" s="7">
        <v>46059</v>
      </c>
      <c r="AF706" s="8">
        <v>0</v>
      </c>
      <c r="AH706" s="7">
        <v>46059</v>
      </c>
      <c r="AN706" s="8">
        <v>0</v>
      </c>
      <c r="AO706" s="8">
        <v>800</v>
      </c>
    </row>
    <row r="707" spans="1:41" x14ac:dyDescent="0.25">
      <c r="A707" s="6" t="str">
        <f>"521-2025000755"</f>
        <v>521-2025000755</v>
      </c>
      <c r="B707" s="6" t="str">
        <f>"TARTA GE"</f>
        <v>TARTA GE</v>
      </c>
      <c r="C707" s="7">
        <v>45986</v>
      </c>
      <c r="D707" s="7">
        <v>46059</v>
      </c>
      <c r="E707" s="8">
        <v>3</v>
      </c>
      <c r="F707" s="6" t="str">
        <f>"250060"</f>
        <v>250060</v>
      </c>
      <c r="G707" s="6" t="str">
        <f>"F310627460000000"</f>
        <v>F310627460000000</v>
      </c>
      <c r="H707" s="6" t="str">
        <f>"PLAR 6274 - 600 g/m²"</f>
        <v>PLAR 6274 - 600 g/m²</v>
      </c>
      <c r="I707" s="6" t="str">
        <f>"202999"</f>
        <v>202999</v>
      </c>
      <c r="J707" s="6" t="str">
        <f>"ROSA 2999"</f>
        <v>ROSA 2999</v>
      </c>
      <c r="K707" s="6" t="str">
        <f>"1008"</f>
        <v>1008</v>
      </c>
      <c r="L707" s="6" t="str">
        <f>"Toalhas"</f>
        <v>Toalhas</v>
      </c>
      <c r="M707" s="6" t="str">
        <f t="shared" si="204"/>
        <v>50x70</v>
      </c>
      <c r="N707" s="6" t="str">
        <f t="shared" si="205"/>
        <v xml:space="preserve"> </v>
      </c>
      <c r="O707" s="8">
        <v>800</v>
      </c>
      <c r="P707" s="7">
        <v>46037</v>
      </c>
      <c r="R707" s="8">
        <v>816</v>
      </c>
      <c r="S707" s="7">
        <v>46042</v>
      </c>
      <c r="U707" s="8">
        <v>816</v>
      </c>
      <c r="V707" s="7">
        <v>46045</v>
      </c>
      <c r="X707" s="8">
        <v>0</v>
      </c>
      <c r="Z707" s="8">
        <v>816</v>
      </c>
      <c r="AA707" s="7">
        <v>46057</v>
      </c>
      <c r="AC707" s="8">
        <v>0</v>
      </c>
      <c r="AE707" s="7">
        <v>46059</v>
      </c>
      <c r="AF707" s="8">
        <v>0</v>
      </c>
      <c r="AH707" s="7">
        <v>46059</v>
      </c>
      <c r="AN707" s="8">
        <v>0</v>
      </c>
      <c r="AO707" s="8">
        <v>800</v>
      </c>
    </row>
    <row r="708" spans="1:41" x14ac:dyDescent="0.25">
      <c r="A708" s="6" t="str">
        <f>"521-2025000756"</f>
        <v>521-2025000756</v>
      </c>
      <c r="B708" s="6" t="str">
        <f>"SORELLE"</f>
        <v>SORELLE</v>
      </c>
      <c r="C708" s="7">
        <v>45988</v>
      </c>
      <c r="D708" s="7">
        <v>46087</v>
      </c>
      <c r="E708" s="8">
        <v>1</v>
      </c>
      <c r="F708" s="6" t="str">
        <f>"262 25"</f>
        <v>262 25</v>
      </c>
      <c r="G708" s="6" t="str">
        <f>"C001214926000000"</f>
        <v>C001214926000000</v>
      </c>
      <c r="H708" s="6" t="str">
        <f>"CZJ 2149 - 260 g/m²"</f>
        <v>CZJ 2149 - 260 g/m²</v>
      </c>
      <c r="I708" s="6" t="str">
        <f>"200498"</f>
        <v>200498</v>
      </c>
      <c r="J708" s="6" t="str">
        <f>"VERMELHO 498"</f>
        <v>VERMELHO 498</v>
      </c>
      <c r="K708" s="6" t="str">
        <f>"0830"</f>
        <v>0830</v>
      </c>
      <c r="L708" s="6" t="str">
        <f>"Cozinha"</f>
        <v>Cozinha</v>
      </c>
      <c r="M708" s="6" t="str">
        <f t="shared" si="204"/>
        <v>50x70</v>
      </c>
      <c r="N708" s="6" t="str">
        <f t="shared" si="205"/>
        <v xml:space="preserve"> </v>
      </c>
      <c r="O708" s="8">
        <v>7500</v>
      </c>
      <c r="P708" s="7">
        <v>46056</v>
      </c>
      <c r="R708" s="8">
        <v>2116</v>
      </c>
      <c r="S708" s="7">
        <v>46059</v>
      </c>
      <c r="U708" s="8">
        <v>0</v>
      </c>
      <c r="V708" s="7">
        <v>46066</v>
      </c>
      <c r="X708" s="8">
        <v>0</v>
      </c>
      <c r="Z708" s="8">
        <v>0</v>
      </c>
      <c r="AA708" s="7">
        <v>46084</v>
      </c>
      <c r="AC708" s="8">
        <v>0</v>
      </c>
      <c r="AE708" s="7">
        <v>46087</v>
      </c>
      <c r="AF708" s="8">
        <v>0</v>
      </c>
      <c r="AH708" s="7">
        <v>46087</v>
      </c>
      <c r="AN708" s="8">
        <v>0</v>
      </c>
      <c r="AO708" s="8">
        <v>7500</v>
      </c>
    </row>
    <row r="709" spans="1:41" x14ac:dyDescent="0.25">
      <c r="A709" s="6" t="str">
        <f>"521-2025000756"</f>
        <v>521-2025000756</v>
      </c>
      <c r="B709" s="6" t="str">
        <f>"SORELLE"</f>
        <v>SORELLE</v>
      </c>
      <c r="C709" s="7">
        <v>45988</v>
      </c>
      <c r="D709" s="7">
        <v>46087</v>
      </c>
      <c r="E709" s="8">
        <v>2</v>
      </c>
      <c r="F709" s="6" t="str">
        <f>"262 25"</f>
        <v>262 25</v>
      </c>
      <c r="G709" s="6" t="str">
        <f>"C001214926000000"</f>
        <v>C001214926000000</v>
      </c>
      <c r="H709" s="6" t="str">
        <f>"CZJ 2149 - 260 g/m²"</f>
        <v>CZJ 2149 - 260 g/m²</v>
      </c>
      <c r="I709" s="6" t="str">
        <f>"200532"</f>
        <v>200532</v>
      </c>
      <c r="J709" s="6" t="str">
        <f>"VERDE 532"</f>
        <v>VERDE 532</v>
      </c>
      <c r="K709" s="6" t="str">
        <f>"0830"</f>
        <v>0830</v>
      </c>
      <c r="L709" s="6" t="str">
        <f>"Cozinha"</f>
        <v>Cozinha</v>
      </c>
      <c r="M709" s="6" t="str">
        <f t="shared" si="204"/>
        <v>50x70</v>
      </c>
      <c r="N709" s="6" t="str">
        <f t="shared" si="205"/>
        <v xml:space="preserve"> </v>
      </c>
      <c r="O709" s="8">
        <v>7500</v>
      </c>
      <c r="P709" s="7">
        <v>46056</v>
      </c>
      <c r="R709" s="8">
        <v>7028</v>
      </c>
      <c r="S709" s="7">
        <v>46059</v>
      </c>
      <c r="U709" s="8">
        <v>0</v>
      </c>
      <c r="V709" s="7">
        <v>46066</v>
      </c>
      <c r="X709" s="8">
        <v>0</v>
      </c>
      <c r="Z709" s="8">
        <v>0</v>
      </c>
      <c r="AA709" s="7">
        <v>46084</v>
      </c>
      <c r="AC709" s="8">
        <v>0</v>
      </c>
      <c r="AE709" s="7">
        <v>46087</v>
      </c>
      <c r="AF709" s="8">
        <v>0</v>
      </c>
      <c r="AH709" s="7">
        <v>46087</v>
      </c>
      <c r="AN709" s="8">
        <v>0</v>
      </c>
      <c r="AO709" s="8">
        <v>7500</v>
      </c>
    </row>
    <row r="710" spans="1:41" x14ac:dyDescent="0.25">
      <c r="A710" s="6" t="str">
        <f>"521-2025000756"</f>
        <v>521-2025000756</v>
      </c>
      <c r="B710" s="6" t="str">
        <f>"SORELLE"</f>
        <v>SORELLE</v>
      </c>
      <c r="C710" s="7">
        <v>45988</v>
      </c>
      <c r="D710" s="7">
        <v>46087</v>
      </c>
      <c r="E710" s="8">
        <v>3</v>
      </c>
      <c r="F710" s="6" t="str">
        <f>"262 25"</f>
        <v>262 25</v>
      </c>
      <c r="G710" s="6" t="str">
        <f>"C001214926000000"</f>
        <v>C001214926000000</v>
      </c>
      <c r="H710" s="6" t="str">
        <f>"CZJ 2149 - 260 g/m²"</f>
        <v>CZJ 2149 - 260 g/m²</v>
      </c>
      <c r="I710" s="6" t="str">
        <f>"201013"</f>
        <v>201013</v>
      </c>
      <c r="J710" s="6" t="str">
        <f>"AZUL 1013"</f>
        <v>AZUL 1013</v>
      </c>
      <c r="K710" s="6" t="str">
        <f>"0830"</f>
        <v>0830</v>
      </c>
      <c r="L710" s="6" t="str">
        <f>"Cozinha"</f>
        <v>Cozinha</v>
      </c>
      <c r="M710" s="6" t="str">
        <f t="shared" si="204"/>
        <v>50x70</v>
      </c>
      <c r="N710" s="6" t="str">
        <f t="shared" si="205"/>
        <v xml:space="preserve"> </v>
      </c>
      <c r="O710" s="8">
        <v>7500</v>
      </c>
      <c r="P710" s="7">
        <v>46056</v>
      </c>
      <c r="R710" s="8">
        <v>7040</v>
      </c>
      <c r="S710" s="7">
        <v>46059</v>
      </c>
      <c r="U710" s="8">
        <v>0</v>
      </c>
      <c r="V710" s="7">
        <v>46066</v>
      </c>
      <c r="X710" s="8">
        <v>0</v>
      </c>
      <c r="Z710" s="8">
        <v>0</v>
      </c>
      <c r="AA710" s="7">
        <v>46084</v>
      </c>
      <c r="AC710" s="8">
        <v>0</v>
      </c>
      <c r="AE710" s="7">
        <v>46087</v>
      </c>
      <c r="AF710" s="8">
        <v>0</v>
      </c>
      <c r="AH710" s="7">
        <v>46087</v>
      </c>
      <c r="AN710" s="8">
        <v>0</v>
      </c>
      <c r="AO710" s="8">
        <v>7500</v>
      </c>
    </row>
    <row r="711" spans="1:41" x14ac:dyDescent="0.25">
      <c r="A711" s="6" t="str">
        <f>"521-2025000756"</f>
        <v>521-2025000756</v>
      </c>
      <c r="B711" s="6" t="str">
        <f>"SORELLE"</f>
        <v>SORELLE</v>
      </c>
      <c r="C711" s="7">
        <v>45988</v>
      </c>
      <c r="D711" s="7">
        <v>46087</v>
      </c>
      <c r="E711" s="8">
        <v>4</v>
      </c>
      <c r="F711" s="6" t="str">
        <f>"262 25"</f>
        <v>262 25</v>
      </c>
      <c r="G711" s="6" t="str">
        <f>"C001214926000000"</f>
        <v>C001214926000000</v>
      </c>
      <c r="H711" s="6" t="str">
        <f>"CZJ 2149 - 260 g/m²"</f>
        <v>CZJ 2149 - 260 g/m²</v>
      </c>
      <c r="I711" s="6" t="str">
        <f>"202206"</f>
        <v>202206</v>
      </c>
      <c r="J711" s="6" t="str">
        <f>"CINZA 2206"</f>
        <v>CINZA 2206</v>
      </c>
      <c r="K711" s="6" t="str">
        <f>"0830"</f>
        <v>0830</v>
      </c>
      <c r="L711" s="6" t="str">
        <f>"Cozinha"</f>
        <v>Cozinha</v>
      </c>
      <c r="M711" s="6" t="str">
        <f t="shared" si="204"/>
        <v>50x70</v>
      </c>
      <c r="N711" s="6" t="str">
        <f t="shared" si="205"/>
        <v xml:space="preserve"> </v>
      </c>
      <c r="O711" s="8">
        <v>7500</v>
      </c>
      <c r="P711" s="7">
        <v>46056</v>
      </c>
      <c r="R711" s="8">
        <v>696</v>
      </c>
      <c r="S711" s="7">
        <v>46059</v>
      </c>
      <c r="U711" s="8">
        <v>0</v>
      </c>
      <c r="V711" s="7">
        <v>46066</v>
      </c>
      <c r="X711" s="8">
        <v>0</v>
      </c>
      <c r="Z711" s="8">
        <v>0</v>
      </c>
      <c r="AA711" s="7">
        <v>46084</v>
      </c>
      <c r="AC711" s="8">
        <v>0</v>
      </c>
      <c r="AE711" s="7">
        <v>46087</v>
      </c>
      <c r="AF711" s="8">
        <v>0</v>
      </c>
      <c r="AH711" s="7">
        <v>46087</v>
      </c>
      <c r="AN711" s="8">
        <v>0</v>
      </c>
      <c r="AO711" s="8">
        <v>7500</v>
      </c>
    </row>
    <row r="712" spans="1:41" x14ac:dyDescent="0.25">
      <c r="A712" s="6" t="str">
        <f>"521-2025000757"</f>
        <v>521-2025000757</v>
      </c>
      <c r="B712" s="6" t="str">
        <f>"FRANCOIS"</f>
        <v>FRANCOIS</v>
      </c>
      <c r="C712" s="7">
        <v>45989</v>
      </c>
      <c r="D712" s="7">
        <v>46052</v>
      </c>
      <c r="E712" s="8">
        <v>3</v>
      </c>
      <c r="F712" s="6" t="str">
        <f>"543722"</f>
        <v>543722</v>
      </c>
      <c r="G712" s="6" t="str">
        <f>"F112276240000000"</f>
        <v>F112276240000000</v>
      </c>
      <c r="H712" s="6" t="str">
        <f>"FAJ 2762 PO - 400 g/"</f>
        <v>FAJ 2762 PO - 400 g/</v>
      </c>
      <c r="I712" s="6" t="str">
        <f>"5102"</f>
        <v>5102</v>
      </c>
      <c r="J712" s="6" t="str">
        <f>"LILAS 5102"</f>
        <v>LILAS 5102</v>
      </c>
      <c r="K712" s="6" t="str">
        <f>"1532"</f>
        <v>1532</v>
      </c>
      <c r="L712" s="6" t="str">
        <f>"Toalhões"</f>
        <v>Toalhões</v>
      </c>
      <c r="M712" s="6" t="str">
        <f>"70x130"</f>
        <v>70x130</v>
      </c>
      <c r="N712" s="6" t="str">
        <f t="shared" si="205"/>
        <v xml:space="preserve"> </v>
      </c>
      <c r="O712" s="8">
        <v>756</v>
      </c>
      <c r="P712" s="7">
        <v>46021</v>
      </c>
      <c r="R712" s="8">
        <v>825</v>
      </c>
      <c r="S712" s="7">
        <v>46028</v>
      </c>
      <c r="U712" s="8">
        <v>825</v>
      </c>
      <c r="V712" s="7">
        <v>46037</v>
      </c>
      <c r="X712" s="8">
        <v>0</v>
      </c>
      <c r="Z712" s="8">
        <v>0</v>
      </c>
      <c r="AA712" s="7">
        <v>46049</v>
      </c>
      <c r="AC712" s="8">
        <v>0</v>
      </c>
      <c r="AE712" s="7">
        <v>46051</v>
      </c>
      <c r="AF712" s="8">
        <v>0</v>
      </c>
      <c r="AH712" s="7">
        <v>46052</v>
      </c>
      <c r="AN712" s="8">
        <v>0</v>
      </c>
      <c r="AO712" s="8">
        <v>756</v>
      </c>
    </row>
    <row r="713" spans="1:41" x14ac:dyDescent="0.25">
      <c r="A713" s="6" t="str">
        <f>"521-2025000757"</f>
        <v>521-2025000757</v>
      </c>
      <c r="B713" s="6" t="str">
        <f>"FRANCOIS"</f>
        <v>FRANCOIS</v>
      </c>
      <c r="C713" s="7">
        <v>45989</v>
      </c>
      <c r="D713" s="7">
        <v>46052</v>
      </c>
      <c r="E713" s="8">
        <v>5</v>
      </c>
      <c r="F713" s="6" t="str">
        <f>"543722"</f>
        <v>543722</v>
      </c>
      <c r="G713" s="6" t="str">
        <f>"F112276240000000"</f>
        <v>F112276240000000</v>
      </c>
      <c r="H713" s="6" t="str">
        <f>"FAJ 2762 PO - 400 g/"</f>
        <v>FAJ 2762 PO - 400 g/</v>
      </c>
      <c r="I713" s="6" t="str">
        <f>"5102"</f>
        <v>5102</v>
      </c>
      <c r="J713" s="6" t="str">
        <f>"LILAS 5102"</f>
        <v>LILAS 5102</v>
      </c>
      <c r="K713" s="6" t="str">
        <f>"2020"</f>
        <v>2020</v>
      </c>
      <c r="L713" s="6" t="str">
        <f>"Lençóis"</f>
        <v>Lençóis</v>
      </c>
      <c r="M713" s="6" t="str">
        <f>"100x150"</f>
        <v>100x150</v>
      </c>
      <c r="N713" s="6" t="str">
        <f t="shared" si="205"/>
        <v xml:space="preserve"> </v>
      </c>
      <c r="O713" s="8">
        <v>504</v>
      </c>
      <c r="P713" s="7">
        <v>46021</v>
      </c>
      <c r="R713" s="8">
        <v>548</v>
      </c>
      <c r="S713" s="7">
        <v>46028</v>
      </c>
      <c r="U713" s="8">
        <v>548</v>
      </c>
      <c r="V713" s="7">
        <v>46037</v>
      </c>
      <c r="X713" s="8">
        <v>0</v>
      </c>
      <c r="Z713" s="8">
        <v>0</v>
      </c>
      <c r="AA713" s="7">
        <v>46049</v>
      </c>
      <c r="AC713" s="8">
        <v>0</v>
      </c>
      <c r="AE713" s="7">
        <v>46051</v>
      </c>
      <c r="AF713" s="8">
        <v>0</v>
      </c>
      <c r="AH713" s="7">
        <v>46052</v>
      </c>
      <c r="AN713" s="8">
        <v>0</v>
      </c>
      <c r="AO713" s="8">
        <v>504</v>
      </c>
    </row>
    <row r="714" spans="1:41" x14ac:dyDescent="0.25">
      <c r="A714" s="6" t="str">
        <f>"521-2025000758"</f>
        <v>521-2025000758</v>
      </c>
      <c r="B714" s="6" t="str">
        <f>"FRANCOIS"</f>
        <v>FRANCOIS</v>
      </c>
      <c r="C714" s="7">
        <v>45989</v>
      </c>
      <c r="D714" s="7">
        <v>46122</v>
      </c>
      <c r="E714" s="8">
        <v>5</v>
      </c>
      <c r="F714" s="6" t="str">
        <f>"543723"</f>
        <v>543723</v>
      </c>
      <c r="G714" s="6" t="str">
        <f>"F300348340000000"</f>
        <v>F300348340000000</v>
      </c>
      <c r="H714" s="6" t="str">
        <f>"PLR 3483 - 400 g/m²"</f>
        <v>PLR 3483 - 400 g/m²</v>
      </c>
      <c r="I714" s="6" t="str">
        <f>"203772"</f>
        <v>203772</v>
      </c>
      <c r="J714" s="6" t="str">
        <f>"AZUL 3772"</f>
        <v>AZUL 3772</v>
      </c>
      <c r="K714" s="6" t="str">
        <f>"0112"</f>
        <v>0112</v>
      </c>
      <c r="L714" s="6" t="str">
        <f>"Luvas"</f>
        <v>Luvas</v>
      </c>
      <c r="M714" s="6" t="str">
        <f>"16x21"</f>
        <v>16x21</v>
      </c>
      <c r="N714" s="6" t="str">
        <f t="shared" si="205"/>
        <v xml:space="preserve"> </v>
      </c>
      <c r="O714" s="8">
        <v>1300</v>
      </c>
      <c r="P714" s="7">
        <v>46098</v>
      </c>
      <c r="R714" s="8">
        <v>1368</v>
      </c>
      <c r="S714" s="7">
        <v>46101</v>
      </c>
      <c r="U714" s="8">
        <v>0</v>
      </c>
      <c r="V714" s="7">
        <v>46106</v>
      </c>
      <c r="X714" s="8">
        <v>0</v>
      </c>
      <c r="Z714" s="8">
        <v>0</v>
      </c>
      <c r="AA714" s="7">
        <v>46119</v>
      </c>
      <c r="AC714" s="8">
        <v>0</v>
      </c>
      <c r="AE714" s="7">
        <v>46121</v>
      </c>
      <c r="AF714" s="8">
        <v>0</v>
      </c>
      <c r="AH714" s="7">
        <v>46122</v>
      </c>
      <c r="AN714" s="8">
        <v>0</v>
      </c>
      <c r="AO714" s="8">
        <v>1300</v>
      </c>
    </row>
    <row r="715" spans="1:41" x14ac:dyDescent="0.25">
      <c r="A715" s="6" t="str">
        <f>"521-2025000758"</f>
        <v>521-2025000758</v>
      </c>
      <c r="B715" s="6" t="str">
        <f>"FRANCOIS"</f>
        <v>FRANCOIS</v>
      </c>
      <c r="C715" s="7">
        <v>45989</v>
      </c>
      <c r="D715" s="7">
        <v>46122</v>
      </c>
      <c r="E715" s="8">
        <v>6</v>
      </c>
      <c r="F715" s="6" t="str">
        <f>"543723"</f>
        <v>543723</v>
      </c>
      <c r="G715" s="6" t="str">
        <f>"F300348340000000"</f>
        <v>F300348340000000</v>
      </c>
      <c r="H715" s="6" t="str">
        <f>"PLR 3483 - 400 g/m²"</f>
        <v>PLR 3483 - 400 g/m²</v>
      </c>
      <c r="I715" s="6" t="str">
        <f>"203772"</f>
        <v>203772</v>
      </c>
      <c r="J715" s="6" t="str">
        <f>"AZUL 3772"</f>
        <v>AZUL 3772</v>
      </c>
      <c r="K715" s="6" t="str">
        <f>"1015"</f>
        <v>1015</v>
      </c>
      <c r="L715" s="6" t="str">
        <f>"Toalhas"</f>
        <v>Toalhas</v>
      </c>
      <c r="M715" s="6" t="str">
        <f>"50x80"</f>
        <v>50x80</v>
      </c>
      <c r="N715" s="6" t="str">
        <f t="shared" si="205"/>
        <v xml:space="preserve"> </v>
      </c>
      <c r="O715" s="8">
        <v>800</v>
      </c>
      <c r="P715" s="7">
        <v>46098</v>
      </c>
      <c r="R715" s="8">
        <v>860</v>
      </c>
      <c r="S715" s="7">
        <v>46101</v>
      </c>
      <c r="U715" s="8">
        <v>0</v>
      </c>
      <c r="V715" s="7">
        <v>46106</v>
      </c>
      <c r="X715" s="8">
        <v>0</v>
      </c>
      <c r="Z715" s="8">
        <v>0</v>
      </c>
      <c r="AA715" s="7">
        <v>46119</v>
      </c>
      <c r="AC715" s="8">
        <v>0</v>
      </c>
      <c r="AE715" s="7">
        <v>46121</v>
      </c>
      <c r="AF715" s="8">
        <v>0</v>
      </c>
      <c r="AH715" s="7">
        <v>46122</v>
      </c>
      <c r="AN715" s="8">
        <v>0</v>
      </c>
      <c r="AO715" s="8">
        <v>800</v>
      </c>
    </row>
    <row r="716" spans="1:41" x14ac:dyDescent="0.25">
      <c r="A716" s="6" t="str">
        <f>"521-2025000758"</f>
        <v>521-2025000758</v>
      </c>
      <c r="B716" s="6" t="str">
        <f>"FRANCOIS"</f>
        <v>FRANCOIS</v>
      </c>
      <c r="C716" s="7">
        <v>45989</v>
      </c>
      <c r="D716" s="7">
        <v>46122</v>
      </c>
      <c r="E716" s="8">
        <v>7</v>
      </c>
      <c r="F716" s="6" t="str">
        <f>"543723"</f>
        <v>543723</v>
      </c>
      <c r="G716" s="6" t="str">
        <f>"F300348340000000"</f>
        <v>F300348340000000</v>
      </c>
      <c r="H716" s="6" t="str">
        <f>"PLR 3483 - 400 g/m²"</f>
        <v>PLR 3483 - 400 g/m²</v>
      </c>
      <c r="I716" s="6" t="str">
        <f>"203772"</f>
        <v>203772</v>
      </c>
      <c r="J716" s="6" t="str">
        <f>"AZUL 3772"</f>
        <v>AZUL 3772</v>
      </c>
      <c r="K716" s="6" t="str">
        <f>"1526"</f>
        <v>1526</v>
      </c>
      <c r="L716" s="6" t="str">
        <f>"Toalhões"</f>
        <v>Toalhões</v>
      </c>
      <c r="M716" s="6" t="str">
        <f>"70x120"</f>
        <v>70x120</v>
      </c>
      <c r="N716" s="6" t="str">
        <f t="shared" si="205"/>
        <v xml:space="preserve"> </v>
      </c>
      <c r="O716" s="8">
        <v>1000</v>
      </c>
      <c r="P716" s="7">
        <v>46098</v>
      </c>
      <c r="R716" s="8">
        <v>915</v>
      </c>
      <c r="S716" s="7">
        <v>46101</v>
      </c>
      <c r="U716" s="8">
        <v>0</v>
      </c>
      <c r="V716" s="7">
        <v>46106</v>
      </c>
      <c r="X716" s="8">
        <v>0</v>
      </c>
      <c r="Z716" s="8">
        <v>0</v>
      </c>
      <c r="AA716" s="7">
        <v>46119</v>
      </c>
      <c r="AC716" s="8">
        <v>0</v>
      </c>
      <c r="AE716" s="7">
        <v>46121</v>
      </c>
      <c r="AF716" s="8">
        <v>0</v>
      </c>
      <c r="AH716" s="7">
        <v>46122</v>
      </c>
      <c r="AN716" s="8">
        <v>0</v>
      </c>
      <c r="AO716" s="8">
        <v>1000</v>
      </c>
    </row>
    <row r="717" spans="1:41" x14ac:dyDescent="0.25">
      <c r="A717" s="6" t="str">
        <f>"521-2025000759"</f>
        <v>521-2025000759</v>
      </c>
      <c r="B717" s="6" t="str">
        <f>"TEKLA AP"</f>
        <v>TEKLA AP</v>
      </c>
      <c r="C717" s="7">
        <v>45989</v>
      </c>
      <c r="D717" s="7">
        <v>46045</v>
      </c>
      <c r="E717" s="8">
        <v>4</v>
      </c>
      <c r="F717" s="6" t="str">
        <f>"PO10000467"</f>
        <v>PO10000467</v>
      </c>
      <c r="G717" s="6" t="str">
        <f>"R120375338500000"</f>
        <v>R120375338500000</v>
      </c>
      <c r="H717" s="6" t="str">
        <f>"R 3753 - FAJA P 3313"</f>
        <v>R 3753 - FAJA P 3313</v>
      </c>
      <c r="I717" s="6" t="str">
        <f>"5452"</f>
        <v>5452</v>
      </c>
      <c r="J717" s="6" t="str">
        <f>"BEGE 5452"</f>
        <v>BEGE 5452</v>
      </c>
      <c r="K717" s="6" t="str">
        <f>"5004"</f>
        <v>5004</v>
      </c>
      <c r="L717" s="6" t="str">
        <f>"Roupões Adulto"</f>
        <v>Roupões Adulto</v>
      </c>
      <c r="M717" s="6" t="str">
        <f>"M"</f>
        <v>M</v>
      </c>
      <c r="N717" s="6" t="str">
        <f>"5740014915888"</f>
        <v>5740014915888</v>
      </c>
      <c r="O717" s="8">
        <v>10</v>
      </c>
      <c r="P717" s="7">
        <v>45989</v>
      </c>
      <c r="R717" s="8">
        <v>0</v>
      </c>
      <c r="U717" s="8">
        <v>0</v>
      </c>
      <c r="X717" s="8">
        <v>0</v>
      </c>
      <c r="Z717" s="8">
        <v>0</v>
      </c>
      <c r="AC717" s="8">
        <v>9</v>
      </c>
      <c r="AE717" s="7">
        <v>46000</v>
      </c>
      <c r="AF717" s="8">
        <v>9</v>
      </c>
      <c r="AH717" s="7">
        <v>46045</v>
      </c>
      <c r="AN717" s="8">
        <v>9</v>
      </c>
      <c r="AO717" s="8">
        <v>1</v>
      </c>
    </row>
    <row r="718" spans="1:41" x14ac:dyDescent="0.25">
      <c r="A718" s="6" t="str">
        <f>"521-2025000759"</f>
        <v>521-2025000759</v>
      </c>
      <c r="B718" s="6" t="str">
        <f>"TEKLA AP"</f>
        <v>TEKLA AP</v>
      </c>
      <c r="C718" s="7">
        <v>45989</v>
      </c>
      <c r="D718" s="7">
        <v>46045</v>
      </c>
      <c r="E718" s="8">
        <v>5</v>
      </c>
      <c r="F718" s="6" t="str">
        <f>"PO10000467"</f>
        <v>PO10000467</v>
      </c>
      <c r="G718" s="6" t="str">
        <f>"R120375238500000"</f>
        <v>R120375238500000</v>
      </c>
      <c r="H718" s="6" t="str">
        <f>"R 3752 - FAJA P 3313"</f>
        <v>R 3752 - FAJA P 3313</v>
      </c>
      <c r="I718" s="6" t="str">
        <f>"5451"</f>
        <v>5451</v>
      </c>
      <c r="J718" s="6" t="str">
        <f>"AZUL 5451"</f>
        <v>AZUL 5451</v>
      </c>
      <c r="K718" s="6" t="str">
        <f>"5004"</f>
        <v>5004</v>
      </c>
      <c r="L718" s="6" t="str">
        <f>"Roupões Adulto"</f>
        <v>Roupões Adulto</v>
      </c>
      <c r="M718" s="6" t="str">
        <f>"M"</f>
        <v>M</v>
      </c>
      <c r="N718" s="6" t="str">
        <f>"5744002054498"</f>
        <v>5744002054498</v>
      </c>
      <c r="O718" s="8">
        <v>19</v>
      </c>
      <c r="P718" s="7">
        <v>45989</v>
      </c>
      <c r="R718" s="8">
        <v>0</v>
      </c>
      <c r="U718" s="8">
        <v>0</v>
      </c>
      <c r="X718" s="8">
        <v>0</v>
      </c>
      <c r="Z718" s="8">
        <v>0</v>
      </c>
      <c r="AC718" s="8">
        <v>15</v>
      </c>
      <c r="AE718" s="7">
        <v>46000</v>
      </c>
      <c r="AF718" s="8">
        <v>15</v>
      </c>
      <c r="AH718" s="7">
        <v>46045</v>
      </c>
      <c r="AN718" s="8">
        <v>15</v>
      </c>
      <c r="AO718" s="8">
        <v>4</v>
      </c>
    </row>
    <row r="719" spans="1:41" x14ac:dyDescent="0.25">
      <c r="A719" s="6" t="str">
        <f>"521-2025000762"</f>
        <v>521-2025000762</v>
      </c>
      <c r="B719" s="6" t="str">
        <f>"SANDER A"</f>
        <v>SANDER A</v>
      </c>
      <c r="C719" s="7">
        <v>45993</v>
      </c>
      <c r="D719" s="7">
        <v>46052</v>
      </c>
      <c r="E719" s="8">
        <v>1</v>
      </c>
      <c r="F719" s="6" t="str">
        <f>"109841"</f>
        <v>109841</v>
      </c>
      <c r="G719" s="6" t="str">
        <f>"F330314945000000"</f>
        <v>F330314945000000</v>
      </c>
      <c r="H719" s="6" t="str">
        <f>"PLA 3149 - 450 g/m²"</f>
        <v>PLA 3149 - 450 g/m²</v>
      </c>
      <c r="I719" s="6" t="str">
        <f>"200001"</f>
        <v>200001</v>
      </c>
      <c r="J719" s="6" t="str">
        <f>"BRANCO"</f>
        <v>BRANCO</v>
      </c>
      <c r="K719" s="6" t="str">
        <f>"1535"</f>
        <v>1535</v>
      </c>
      <c r="L719" s="6" t="str">
        <f>"Toalhões"</f>
        <v>Toalhões</v>
      </c>
      <c r="M719" s="6" t="str">
        <f>"70x140"</f>
        <v>70x140</v>
      </c>
      <c r="N719" s="6" t="str">
        <f t="shared" ref="N719:N733" si="206">" "</f>
        <v xml:space="preserve"> </v>
      </c>
      <c r="O719" s="8">
        <v>1000</v>
      </c>
      <c r="P719" s="7">
        <v>46030</v>
      </c>
      <c r="R719" s="8">
        <v>1107</v>
      </c>
      <c r="S719" s="7">
        <v>46035</v>
      </c>
      <c r="U719" s="8">
        <v>1107</v>
      </c>
      <c r="V719" s="7">
        <v>46038</v>
      </c>
      <c r="X719" s="8">
        <v>0</v>
      </c>
      <c r="Z719" s="8">
        <v>1107</v>
      </c>
      <c r="AA719" s="7">
        <v>46050</v>
      </c>
      <c r="AC719" s="8">
        <v>0</v>
      </c>
      <c r="AE719" s="7">
        <v>46052</v>
      </c>
      <c r="AF719" s="8">
        <v>0</v>
      </c>
      <c r="AH719" s="7">
        <v>46052</v>
      </c>
      <c r="AN719" s="8">
        <v>0</v>
      </c>
      <c r="AO719" s="8">
        <v>1000</v>
      </c>
    </row>
    <row r="720" spans="1:41" x14ac:dyDescent="0.25">
      <c r="A720" s="6" t="str">
        <f>"521-2025000763"</f>
        <v>521-2025000763</v>
      </c>
      <c r="B720" s="6" t="str">
        <f>"PETIT BA"</f>
        <v>PETIT BA</v>
      </c>
      <c r="C720" s="7">
        <v>45994</v>
      </c>
      <c r="D720" s="7">
        <v>46038</v>
      </c>
      <c r="E720" s="8">
        <v>4</v>
      </c>
      <c r="F720" s="6" t="str">
        <f>"505615"</f>
        <v>505615</v>
      </c>
      <c r="G720" s="6" t="str">
        <f>"K000000140000001"</f>
        <v>K000000140000001</v>
      </c>
      <c r="H720" s="6" t="str">
        <f>"Ketten Penteado BIO"</f>
        <v>Ketten Penteado BIO</v>
      </c>
      <c r="I720" s="6" t="str">
        <f>"4537"</f>
        <v>4537</v>
      </c>
      <c r="J720" s="6" t="str">
        <f>"BEGE 4537"</f>
        <v>BEGE 4537</v>
      </c>
      <c r="K720" s="6" t="str">
        <f>"2520"</f>
        <v>2520</v>
      </c>
      <c r="L720" s="6" t="str">
        <f>"A Metro"</f>
        <v>A Metro</v>
      </c>
      <c r="M720" s="6" t="str">
        <f>"160x"</f>
        <v>160x</v>
      </c>
      <c r="N720" s="6" t="str">
        <f t="shared" si="206"/>
        <v xml:space="preserve"> </v>
      </c>
      <c r="O720" s="8">
        <v>1000</v>
      </c>
      <c r="P720" s="7">
        <v>46007</v>
      </c>
      <c r="R720" s="8">
        <v>0</v>
      </c>
      <c r="S720" s="7">
        <v>46035</v>
      </c>
      <c r="U720" s="8">
        <v>1200</v>
      </c>
      <c r="V720" s="7">
        <v>46030</v>
      </c>
      <c r="X720" s="8">
        <v>1200</v>
      </c>
      <c r="Z720" s="8">
        <v>0</v>
      </c>
      <c r="AC720" s="8">
        <v>970</v>
      </c>
      <c r="AF720" s="8">
        <v>970</v>
      </c>
      <c r="AH720" s="7">
        <v>46038</v>
      </c>
      <c r="AI720" s="7">
        <v>46041</v>
      </c>
      <c r="AN720" s="8">
        <v>970</v>
      </c>
      <c r="AO720" s="8">
        <v>30</v>
      </c>
    </row>
    <row r="721" spans="1:41" x14ac:dyDescent="0.25">
      <c r="A721" s="6" t="str">
        <f>"521-2025000764"</f>
        <v>521-2025000764</v>
      </c>
      <c r="B721" s="6" t="str">
        <f>"LOSCH HA"</f>
        <v>LOSCH HA</v>
      </c>
      <c r="C721" s="7">
        <v>45995</v>
      </c>
      <c r="D721" s="7">
        <v>46027</v>
      </c>
      <c r="E721" s="8">
        <v>1</v>
      </c>
      <c r="F721" s="6" t="s">
        <v>1</v>
      </c>
      <c r="G721" s="6" t="str">
        <f>"F100021455006570"</f>
        <v>F100021455006570</v>
      </c>
      <c r="H721" s="6" t="str">
        <f>"FA 214 / 6570 - 550"</f>
        <v>FA 214 / 6570 - 550</v>
      </c>
      <c r="I721" s="6" t="str">
        <f>"3"</f>
        <v>3</v>
      </c>
      <c r="J721" s="6" t="str">
        <f>"PRETO Sulf"</f>
        <v>PRETO Sulf</v>
      </c>
      <c r="K721" s="6" t="str">
        <f>"1024"</f>
        <v>1024</v>
      </c>
      <c r="L721" s="6" t="str">
        <f>"Toalhas"</f>
        <v>Toalhas</v>
      </c>
      <c r="M721" s="6" t="str">
        <f>"50x100"</f>
        <v>50x100</v>
      </c>
      <c r="N721" s="6" t="str">
        <f t="shared" si="206"/>
        <v xml:space="preserve"> </v>
      </c>
      <c r="O721" s="8">
        <v>84</v>
      </c>
      <c r="P721" s="7">
        <v>45995</v>
      </c>
      <c r="R721" s="8">
        <v>0</v>
      </c>
      <c r="U721" s="8">
        <v>0</v>
      </c>
      <c r="X721" s="8">
        <v>0</v>
      </c>
      <c r="Z721" s="8">
        <v>0</v>
      </c>
      <c r="AC721" s="8">
        <v>84</v>
      </c>
      <c r="AE721" s="7">
        <v>46003</v>
      </c>
      <c r="AF721" s="8">
        <v>84</v>
      </c>
      <c r="AH721" s="7">
        <v>46027</v>
      </c>
      <c r="AN721" s="8">
        <v>84</v>
      </c>
      <c r="AO721" s="8">
        <v>0</v>
      </c>
    </row>
    <row r="722" spans="1:41" x14ac:dyDescent="0.25">
      <c r="A722" s="6" t="str">
        <f>"521-2025000764"</f>
        <v>521-2025000764</v>
      </c>
      <c r="B722" s="6" t="str">
        <f>"LOSCH HA"</f>
        <v>LOSCH HA</v>
      </c>
      <c r="C722" s="7">
        <v>45995</v>
      </c>
      <c r="D722" s="7">
        <v>46027</v>
      </c>
      <c r="E722" s="8">
        <v>2</v>
      </c>
      <c r="F722" s="6" t="s">
        <v>1</v>
      </c>
      <c r="G722" s="6" t="str">
        <f>"F100021455006571"</f>
        <v>F100021455006571</v>
      </c>
      <c r="H722" s="6" t="str">
        <f>"FA 214 / 6571 - 550"</f>
        <v>FA 214 / 6571 - 550</v>
      </c>
      <c r="I722" s="6" t="str">
        <f>"3234"</f>
        <v>3234</v>
      </c>
      <c r="J722" s="6" t="str">
        <f>"CASTANHO 3234"</f>
        <v>CASTANHO 3234</v>
      </c>
      <c r="K722" s="6" t="str">
        <f>"1535"</f>
        <v>1535</v>
      </c>
      <c r="L722" s="6" t="str">
        <f>"Toalhões"</f>
        <v>Toalhões</v>
      </c>
      <c r="M722" s="6" t="str">
        <f>"70x140"</f>
        <v>70x140</v>
      </c>
      <c r="N722" s="6" t="str">
        <f t="shared" si="206"/>
        <v xml:space="preserve"> </v>
      </c>
      <c r="O722" s="8">
        <v>60</v>
      </c>
      <c r="P722" s="7">
        <v>45995</v>
      </c>
      <c r="R722" s="8">
        <v>0</v>
      </c>
      <c r="U722" s="8">
        <v>0</v>
      </c>
      <c r="X722" s="8">
        <v>0</v>
      </c>
      <c r="Z722" s="8">
        <v>0</v>
      </c>
      <c r="AC722" s="8">
        <v>60</v>
      </c>
      <c r="AE722" s="7">
        <v>46003</v>
      </c>
      <c r="AF722" s="8">
        <v>60</v>
      </c>
      <c r="AH722" s="7">
        <v>46027</v>
      </c>
      <c r="AN722" s="8">
        <v>60</v>
      </c>
      <c r="AO722" s="8">
        <v>0</v>
      </c>
    </row>
    <row r="723" spans="1:41" x14ac:dyDescent="0.25">
      <c r="A723" s="6" t="str">
        <f>"521-2025000765"</f>
        <v>521-2025000765</v>
      </c>
      <c r="B723" s="6" t="str">
        <f>"VERTRIEB"</f>
        <v>VERTRIEB</v>
      </c>
      <c r="C723" s="7">
        <v>45995</v>
      </c>
      <c r="D723" s="7">
        <v>46052</v>
      </c>
      <c r="E723" s="8">
        <v>2</v>
      </c>
      <c r="F723" s="6" t="str">
        <f>"V26077 TSV MÜNCHEN S"</f>
        <v>V26077 TSV MÜNCHEN S</v>
      </c>
      <c r="G723" s="6" t="str">
        <f>"F122332250000000"</f>
        <v>F122332250000000</v>
      </c>
      <c r="H723" s="6" t="str">
        <f>"FAJA 3322 PO - 500 g"</f>
        <v>FAJA 3322 PO - 500 g</v>
      </c>
      <c r="I723" s="6" t="str">
        <f>"5861"</f>
        <v>5861</v>
      </c>
      <c r="J723" s="6" t="str">
        <f>"AZUL 5861"</f>
        <v>AZUL 5861</v>
      </c>
      <c r="K723" s="6" t="str">
        <f>"1535"</f>
        <v>1535</v>
      </c>
      <c r="L723" s="6" t="str">
        <f>"Toalhões"</f>
        <v>Toalhões</v>
      </c>
      <c r="M723" s="6" t="str">
        <f>"70x140"</f>
        <v>70x140</v>
      </c>
      <c r="N723" s="6" t="str">
        <f t="shared" si="206"/>
        <v xml:space="preserve"> </v>
      </c>
      <c r="O723" s="8">
        <v>500</v>
      </c>
      <c r="P723" s="7">
        <v>46021</v>
      </c>
      <c r="R723" s="8">
        <v>576</v>
      </c>
      <c r="S723" s="7">
        <v>46029</v>
      </c>
      <c r="U723" s="8">
        <v>576</v>
      </c>
      <c r="V723" s="7">
        <v>46038</v>
      </c>
      <c r="X723" s="8">
        <v>0</v>
      </c>
      <c r="Z723" s="8">
        <v>576</v>
      </c>
      <c r="AA723" s="7">
        <v>46050</v>
      </c>
      <c r="AC723" s="8">
        <v>0</v>
      </c>
      <c r="AE723" s="7">
        <v>46052</v>
      </c>
      <c r="AF723" s="8">
        <v>0</v>
      </c>
      <c r="AH723" s="7">
        <v>46052</v>
      </c>
      <c r="AN723" s="8">
        <v>0</v>
      </c>
      <c r="AO723" s="8">
        <v>500</v>
      </c>
    </row>
    <row r="724" spans="1:41" x14ac:dyDescent="0.25">
      <c r="A724" s="6" t="str">
        <f>"521-2025000766"</f>
        <v>521-2025000766</v>
      </c>
      <c r="B724" s="6" t="str">
        <f>"MER I TE"</f>
        <v>MER I TE</v>
      </c>
      <c r="C724" s="7">
        <v>45996</v>
      </c>
      <c r="D724" s="7">
        <v>46045</v>
      </c>
      <c r="E724" s="8">
        <v>1</v>
      </c>
      <c r="F724" s="6" t="str">
        <f>"PO 194196"</f>
        <v>PO 194196</v>
      </c>
      <c r="G724" s="6" t="str">
        <f>"F120356945000000"</f>
        <v>F120356945000000</v>
      </c>
      <c r="H724" s="6" t="str">
        <f>"FAJA 3569 Bio GOTS -"</f>
        <v>FAJA 3569 Bio GOTS -</v>
      </c>
      <c r="I724" s="6" t="str">
        <f>"4971"</f>
        <v>4971</v>
      </c>
      <c r="J724" s="6" t="str">
        <f>"AZUL 4971"</f>
        <v>AZUL 4971</v>
      </c>
      <c r="K724" s="6" t="str">
        <f>"1535"</f>
        <v>1535</v>
      </c>
      <c r="L724" s="6" t="str">
        <f>"Toalhões"</f>
        <v>Toalhões</v>
      </c>
      <c r="M724" s="6" t="str">
        <f>"70x140"</f>
        <v>70x140</v>
      </c>
      <c r="N724" s="6" t="str">
        <f t="shared" si="206"/>
        <v xml:space="preserve"> </v>
      </c>
      <c r="O724" s="8">
        <v>650</v>
      </c>
      <c r="P724" s="7">
        <v>46009</v>
      </c>
      <c r="R724" s="8">
        <v>711</v>
      </c>
      <c r="S724" s="7">
        <v>46014</v>
      </c>
      <c r="U724" s="8">
        <v>711</v>
      </c>
      <c r="V724" s="7">
        <v>46031</v>
      </c>
      <c r="X724" s="8">
        <v>0</v>
      </c>
      <c r="Z724" s="8">
        <v>711</v>
      </c>
      <c r="AA724" s="7">
        <v>46043</v>
      </c>
      <c r="AC724" s="8">
        <v>0</v>
      </c>
      <c r="AE724" s="7">
        <v>46045</v>
      </c>
      <c r="AF724" s="8">
        <v>0</v>
      </c>
      <c r="AH724" s="7">
        <v>46045</v>
      </c>
      <c r="AN724" s="8">
        <v>0</v>
      </c>
      <c r="AO724" s="8">
        <v>650</v>
      </c>
    </row>
    <row r="725" spans="1:41" x14ac:dyDescent="0.25">
      <c r="A725" s="6" t="str">
        <f>"521-2025000767"</f>
        <v>521-2025000767</v>
      </c>
      <c r="B725" s="6" t="str">
        <f>"PARKHOTE"</f>
        <v>PARKHOTE</v>
      </c>
      <c r="C725" s="7">
        <v>46000</v>
      </c>
      <c r="D725" s="7">
        <v>46073</v>
      </c>
      <c r="E725" s="8">
        <v>1</v>
      </c>
      <c r="F725" s="6" t="str">
        <f>"TS-LASA-001/2025"</f>
        <v>TS-LASA-001/2025</v>
      </c>
      <c r="G725" s="6" t="str">
        <f>"F600939838006506"</f>
        <v>F600939838006506</v>
      </c>
      <c r="H725" s="6" t="str">
        <f>"9398 / 6506 A - 380"</f>
        <v>9398 / 6506 A - 380</v>
      </c>
      <c r="I725" s="6" t="str">
        <f>"214941"</f>
        <v>214941</v>
      </c>
      <c r="J725" s="6" t="str">
        <f>"LARANJA 4941 CUBA"</f>
        <v>LARANJA 4941 CUBA</v>
      </c>
      <c r="K725" s="6" t="str">
        <f>"3525"</f>
        <v>3525</v>
      </c>
      <c r="L725" s="6" t="str">
        <f>"Praia"</f>
        <v>Praia</v>
      </c>
      <c r="M725" s="6" t="str">
        <f>"90x180"</f>
        <v>90x180</v>
      </c>
      <c r="N725" s="6" t="str">
        <f t="shared" si="206"/>
        <v xml:space="preserve"> </v>
      </c>
      <c r="O725" s="8">
        <v>1000</v>
      </c>
      <c r="P725" s="7">
        <v>46044</v>
      </c>
      <c r="R725" s="8">
        <v>0</v>
      </c>
      <c r="S725" s="7">
        <v>46049</v>
      </c>
      <c r="U725" s="8">
        <v>0</v>
      </c>
      <c r="V725" s="7">
        <v>46052</v>
      </c>
      <c r="X725" s="8">
        <v>0</v>
      </c>
      <c r="Z725" s="8">
        <v>0</v>
      </c>
      <c r="AA725" s="7">
        <v>46064</v>
      </c>
      <c r="AC725" s="8">
        <v>0</v>
      </c>
      <c r="AE725" s="7">
        <v>46066</v>
      </c>
      <c r="AF725" s="8">
        <v>0</v>
      </c>
      <c r="AH725" s="7">
        <v>46073</v>
      </c>
      <c r="AN725" s="8">
        <v>0</v>
      </c>
      <c r="AO725" s="8">
        <v>1000</v>
      </c>
    </row>
    <row r="726" spans="1:41" x14ac:dyDescent="0.25">
      <c r="A726" s="6" t="str">
        <f>"521-2025000768"</f>
        <v>521-2025000768</v>
      </c>
      <c r="B726" s="6" t="str">
        <f t="shared" ref="B726:B733" si="207">"WORLD MA"</f>
        <v>WORLD MA</v>
      </c>
      <c r="C726" s="7">
        <v>46000</v>
      </c>
      <c r="D726" s="7">
        <v>46080</v>
      </c>
      <c r="E726" s="8">
        <v>1</v>
      </c>
      <c r="F726" s="6" t="str">
        <f>"200735299"</f>
        <v>200735299</v>
      </c>
      <c r="G726" s="6" t="str">
        <f>"F310605055000000"</f>
        <v>F310605055000000</v>
      </c>
      <c r="H726" s="6" t="str">
        <f>"PLAR 6050 - 550 g/m²"</f>
        <v>PLAR 6050 - 550 g/m²</v>
      </c>
      <c r="I726" s="6" t="str">
        <f>"201006"</f>
        <v>201006</v>
      </c>
      <c r="J726" s="6" t="str">
        <f>"VERDE 1006"</f>
        <v>VERDE 1006</v>
      </c>
      <c r="K726" s="6" t="str">
        <f>"1004"</f>
        <v>1004</v>
      </c>
      <c r="L726" s="6" t="str">
        <f>"Toalhas"</f>
        <v>Toalhas</v>
      </c>
      <c r="M726" s="6" t="str">
        <f>"41x71"</f>
        <v>41x71</v>
      </c>
      <c r="N726" s="6" t="str">
        <f t="shared" si="206"/>
        <v xml:space="preserve"> </v>
      </c>
      <c r="O726" s="8">
        <v>840</v>
      </c>
      <c r="P726" s="7">
        <v>46049</v>
      </c>
      <c r="R726" s="8">
        <v>1664</v>
      </c>
      <c r="S726" s="7">
        <v>46052</v>
      </c>
      <c r="U726" s="8">
        <v>996</v>
      </c>
      <c r="V726" s="7">
        <v>46059</v>
      </c>
      <c r="X726" s="8">
        <v>0</v>
      </c>
      <c r="Z726" s="8">
        <v>996</v>
      </c>
      <c r="AA726" s="7">
        <v>46077</v>
      </c>
      <c r="AC726" s="8">
        <v>0</v>
      </c>
      <c r="AE726" s="7">
        <v>46080</v>
      </c>
      <c r="AF726" s="8">
        <v>0</v>
      </c>
      <c r="AH726" s="7">
        <v>46080</v>
      </c>
      <c r="AN726" s="8">
        <v>0</v>
      </c>
      <c r="AO726" s="8">
        <v>840</v>
      </c>
    </row>
    <row r="727" spans="1:41" x14ac:dyDescent="0.25">
      <c r="A727" s="6" t="str">
        <f>"521-2025000768"</f>
        <v>521-2025000768</v>
      </c>
      <c r="B727" s="6" t="str">
        <f t="shared" si="207"/>
        <v>WORLD MA</v>
      </c>
      <c r="C727" s="7">
        <v>46000</v>
      </c>
      <c r="D727" s="7">
        <v>46080</v>
      </c>
      <c r="E727" s="8">
        <v>2</v>
      </c>
      <c r="F727" s="6" t="str">
        <f>"200735299"</f>
        <v>200735299</v>
      </c>
      <c r="G727" s="6" t="str">
        <f>"F310615650000000"</f>
        <v>F310615650000000</v>
      </c>
      <c r="H727" s="6" t="str">
        <f>"PLAR 6156 - 500 g/m²"</f>
        <v>PLAR 6156 - 500 g/m²</v>
      </c>
      <c r="I727" s="6" t="str">
        <f>"204017"</f>
        <v>204017</v>
      </c>
      <c r="J727" s="6" t="str">
        <f>"AMARELO 4017"</f>
        <v>AMARELO 4017</v>
      </c>
      <c r="K727" s="6" t="str">
        <f>"1534"</f>
        <v>1534</v>
      </c>
      <c r="L727" s="6" t="str">
        <f>"Toalhões"</f>
        <v>Toalhões</v>
      </c>
      <c r="M727" s="6" t="str">
        <f>"70x137"</f>
        <v>70x137</v>
      </c>
      <c r="N727" s="6" t="str">
        <f t="shared" si="206"/>
        <v xml:space="preserve"> </v>
      </c>
      <c r="O727" s="8">
        <v>592</v>
      </c>
      <c r="P727" s="7">
        <v>46049</v>
      </c>
      <c r="R727" s="8">
        <v>1602</v>
      </c>
      <c r="S727" s="7">
        <v>46052</v>
      </c>
      <c r="U727" s="8">
        <v>639</v>
      </c>
      <c r="V727" s="7">
        <v>46059</v>
      </c>
      <c r="X727" s="8">
        <v>0</v>
      </c>
      <c r="Z727" s="8">
        <v>0</v>
      </c>
      <c r="AA727" s="7">
        <v>46077</v>
      </c>
      <c r="AC727" s="8">
        <v>272</v>
      </c>
      <c r="AE727" s="7">
        <v>46080</v>
      </c>
      <c r="AF727" s="8">
        <v>272</v>
      </c>
      <c r="AH727" s="7">
        <v>46080</v>
      </c>
      <c r="AN727" s="8">
        <v>0</v>
      </c>
      <c r="AO727" s="8">
        <v>592</v>
      </c>
    </row>
    <row r="728" spans="1:41" x14ac:dyDescent="0.25">
      <c r="A728" s="6" t="str">
        <f>"521-2025000768"</f>
        <v>521-2025000768</v>
      </c>
      <c r="B728" s="6" t="str">
        <f t="shared" si="207"/>
        <v>WORLD MA</v>
      </c>
      <c r="C728" s="7">
        <v>46000</v>
      </c>
      <c r="D728" s="7">
        <v>46080</v>
      </c>
      <c r="E728" s="8">
        <v>3</v>
      </c>
      <c r="F728" s="6" t="str">
        <f>"200735299"</f>
        <v>200735299</v>
      </c>
      <c r="G728" s="6" t="str">
        <f>"F310615650000000"</f>
        <v>F310615650000000</v>
      </c>
      <c r="H728" s="6" t="str">
        <f>"PLAR 6156 - 500 g/m²"</f>
        <v>PLAR 6156 - 500 g/m²</v>
      </c>
      <c r="I728" s="6" t="str">
        <f>"204017"</f>
        <v>204017</v>
      </c>
      <c r="J728" s="6" t="str">
        <f>"AMARELO 4017"</f>
        <v>AMARELO 4017</v>
      </c>
      <c r="K728" s="6" t="str">
        <f>"1004"</f>
        <v>1004</v>
      </c>
      <c r="L728" s="6" t="str">
        <f>"Toalhas"</f>
        <v>Toalhas</v>
      </c>
      <c r="M728" s="6" t="str">
        <f>"41x71"</f>
        <v>41x71</v>
      </c>
      <c r="N728" s="6" t="str">
        <f t="shared" si="206"/>
        <v xml:space="preserve"> </v>
      </c>
      <c r="O728" s="8">
        <v>588</v>
      </c>
      <c r="P728" s="7">
        <v>46049</v>
      </c>
      <c r="R728" s="8">
        <v>1872</v>
      </c>
      <c r="S728" s="7">
        <v>46052</v>
      </c>
      <c r="U728" s="8">
        <v>620</v>
      </c>
      <c r="V728" s="7">
        <v>46059</v>
      </c>
      <c r="X728" s="8">
        <v>0</v>
      </c>
      <c r="Z728" s="8">
        <v>0</v>
      </c>
      <c r="AA728" s="7">
        <v>46077</v>
      </c>
      <c r="AC728" s="8">
        <v>504</v>
      </c>
      <c r="AE728" s="7">
        <v>46080</v>
      </c>
      <c r="AF728" s="8">
        <v>504</v>
      </c>
      <c r="AH728" s="7">
        <v>46080</v>
      </c>
      <c r="AN728" s="8">
        <v>0</v>
      </c>
      <c r="AO728" s="8">
        <v>588</v>
      </c>
    </row>
    <row r="729" spans="1:41" x14ac:dyDescent="0.25">
      <c r="A729" s="6" t="str">
        <f>"521-2025000768"</f>
        <v>521-2025000768</v>
      </c>
      <c r="B729" s="6" t="str">
        <f t="shared" si="207"/>
        <v>WORLD MA</v>
      </c>
      <c r="C729" s="7">
        <v>46000</v>
      </c>
      <c r="D729" s="7">
        <v>46080</v>
      </c>
      <c r="E729" s="8">
        <v>4</v>
      </c>
      <c r="F729" s="6" t="str">
        <f>"200735299"</f>
        <v>200735299</v>
      </c>
      <c r="G729" s="6" t="str">
        <f>"F310614750000000"</f>
        <v>F310614750000000</v>
      </c>
      <c r="H729" s="6" t="str">
        <f>"PLAR 6147 - 500 g/m²"</f>
        <v>PLAR 6147 - 500 g/m²</v>
      </c>
      <c r="I729" s="6" t="str">
        <f>"203042"</f>
        <v>203042</v>
      </c>
      <c r="J729" s="6" t="str">
        <f>"AZUL 3042"</f>
        <v>AZUL 3042</v>
      </c>
      <c r="K729" s="6" t="str">
        <f>"1004"</f>
        <v>1004</v>
      </c>
      <c r="L729" s="6" t="str">
        <f>"Toalhas"</f>
        <v>Toalhas</v>
      </c>
      <c r="M729" s="6" t="str">
        <f>"41x71"</f>
        <v>41x71</v>
      </c>
      <c r="N729" s="6" t="str">
        <f t="shared" si="206"/>
        <v xml:space="preserve"> </v>
      </c>
      <c r="O729" s="8">
        <v>630</v>
      </c>
      <c r="P729" s="7">
        <v>46049</v>
      </c>
      <c r="R729" s="8">
        <v>944</v>
      </c>
      <c r="S729" s="7">
        <v>46052</v>
      </c>
      <c r="U729" s="8">
        <v>0</v>
      </c>
      <c r="V729" s="7">
        <v>46059</v>
      </c>
      <c r="X729" s="8">
        <v>0</v>
      </c>
      <c r="Z729" s="8">
        <v>0</v>
      </c>
      <c r="AA729" s="7">
        <v>46077</v>
      </c>
      <c r="AC729" s="8">
        <v>84</v>
      </c>
      <c r="AE729" s="7">
        <v>46080</v>
      </c>
      <c r="AF729" s="8">
        <v>84</v>
      </c>
      <c r="AH729" s="7">
        <v>46080</v>
      </c>
      <c r="AN729" s="8">
        <v>0</v>
      </c>
      <c r="AO729" s="8">
        <v>630</v>
      </c>
    </row>
    <row r="730" spans="1:41" x14ac:dyDescent="0.25">
      <c r="A730" s="6" t="str">
        <f>"521-2025000769"</f>
        <v>521-2025000769</v>
      </c>
      <c r="B730" s="6" t="str">
        <f t="shared" si="207"/>
        <v>WORLD MA</v>
      </c>
      <c r="C730" s="7">
        <v>46000</v>
      </c>
      <c r="D730" s="7">
        <v>46080</v>
      </c>
      <c r="E730" s="8">
        <v>1</v>
      </c>
      <c r="F730" s="6" t="str">
        <f>"400735299"</f>
        <v>400735299</v>
      </c>
      <c r="G730" s="6" t="str">
        <f>"F310605055000000"</f>
        <v>F310605055000000</v>
      </c>
      <c r="H730" s="6" t="str">
        <f>"PLAR 6050 - 550 g/m²"</f>
        <v>PLAR 6050 - 550 g/m²</v>
      </c>
      <c r="I730" s="6" t="str">
        <f>"201006"</f>
        <v>201006</v>
      </c>
      <c r="J730" s="6" t="str">
        <f>"VERDE 1006"</f>
        <v>VERDE 1006</v>
      </c>
      <c r="K730" s="6" t="str">
        <f>"1004"</f>
        <v>1004</v>
      </c>
      <c r="L730" s="6" t="str">
        <f>"Toalhas"</f>
        <v>Toalhas</v>
      </c>
      <c r="M730" s="6" t="str">
        <f>"41x71"</f>
        <v>41x71</v>
      </c>
      <c r="N730" s="6" t="str">
        <f t="shared" si="206"/>
        <v xml:space="preserve"> </v>
      </c>
      <c r="O730" s="8">
        <v>630</v>
      </c>
      <c r="P730" s="7">
        <v>46049</v>
      </c>
      <c r="R730" s="8">
        <v>0</v>
      </c>
      <c r="S730" s="7">
        <v>46052</v>
      </c>
      <c r="U730" s="8">
        <v>668</v>
      </c>
      <c r="V730" s="7">
        <v>46059</v>
      </c>
      <c r="X730" s="8">
        <v>0</v>
      </c>
      <c r="Z730" s="8">
        <v>668</v>
      </c>
      <c r="AA730" s="7">
        <v>46077</v>
      </c>
      <c r="AC730" s="8">
        <v>0</v>
      </c>
      <c r="AE730" s="7">
        <v>46080</v>
      </c>
      <c r="AF730" s="8">
        <v>0</v>
      </c>
      <c r="AH730" s="7">
        <v>46080</v>
      </c>
      <c r="AN730" s="8">
        <v>0</v>
      </c>
      <c r="AO730" s="8">
        <v>630</v>
      </c>
    </row>
    <row r="731" spans="1:41" x14ac:dyDescent="0.25">
      <c r="A731" s="6" t="str">
        <f>"521-2025000769"</f>
        <v>521-2025000769</v>
      </c>
      <c r="B731" s="6" t="str">
        <f t="shared" si="207"/>
        <v>WORLD MA</v>
      </c>
      <c r="C731" s="7">
        <v>46000</v>
      </c>
      <c r="D731" s="7">
        <v>46080</v>
      </c>
      <c r="E731" s="8">
        <v>2</v>
      </c>
      <c r="F731" s="6" t="str">
        <f>"400735299"</f>
        <v>400735299</v>
      </c>
      <c r="G731" s="6" t="str">
        <f>"F310615650000000"</f>
        <v>F310615650000000</v>
      </c>
      <c r="H731" s="6" t="str">
        <f>"PLAR 6156 - 500 g/m²"</f>
        <v>PLAR 6156 - 500 g/m²</v>
      </c>
      <c r="I731" s="6" t="str">
        <f>"204017"</f>
        <v>204017</v>
      </c>
      <c r="J731" s="6" t="str">
        <f>"AMARELO 4017"</f>
        <v>AMARELO 4017</v>
      </c>
      <c r="K731" s="6" t="str">
        <f>"1534"</f>
        <v>1534</v>
      </c>
      <c r="L731" s="6" t="str">
        <f>"Toalhões"</f>
        <v>Toalhões</v>
      </c>
      <c r="M731" s="6" t="str">
        <f>"70x137"</f>
        <v>70x137</v>
      </c>
      <c r="N731" s="6" t="str">
        <f t="shared" si="206"/>
        <v xml:space="preserve"> </v>
      </c>
      <c r="O731" s="8">
        <v>976</v>
      </c>
      <c r="P731" s="7">
        <v>46049</v>
      </c>
      <c r="R731" s="8">
        <v>0</v>
      </c>
      <c r="S731" s="7">
        <v>46052</v>
      </c>
      <c r="U731" s="8">
        <v>963</v>
      </c>
      <c r="V731" s="7">
        <v>46059</v>
      </c>
      <c r="X731" s="8">
        <v>0</v>
      </c>
      <c r="Z731" s="8">
        <v>0</v>
      </c>
      <c r="AA731" s="7">
        <v>46077</v>
      </c>
      <c r="AC731" s="8">
        <v>0</v>
      </c>
      <c r="AE731" s="7">
        <v>46080</v>
      </c>
      <c r="AF731" s="8">
        <v>0</v>
      </c>
      <c r="AH731" s="7">
        <v>46080</v>
      </c>
      <c r="AN731" s="8">
        <v>0</v>
      </c>
      <c r="AO731" s="8">
        <v>976</v>
      </c>
    </row>
    <row r="732" spans="1:41" x14ac:dyDescent="0.25">
      <c r="A732" s="6" t="str">
        <f>"521-2025000769"</f>
        <v>521-2025000769</v>
      </c>
      <c r="B732" s="6" t="str">
        <f t="shared" si="207"/>
        <v>WORLD MA</v>
      </c>
      <c r="C732" s="7">
        <v>46000</v>
      </c>
      <c r="D732" s="7">
        <v>46080</v>
      </c>
      <c r="E732" s="8">
        <v>3</v>
      </c>
      <c r="F732" s="6" t="str">
        <f>"400735299"</f>
        <v>400735299</v>
      </c>
      <c r="G732" s="6" t="str">
        <f>"F310615650000000"</f>
        <v>F310615650000000</v>
      </c>
      <c r="H732" s="6" t="str">
        <f>"PLAR 6156 - 500 g/m²"</f>
        <v>PLAR 6156 - 500 g/m²</v>
      </c>
      <c r="I732" s="6" t="str">
        <f>"204017"</f>
        <v>204017</v>
      </c>
      <c r="J732" s="6" t="str">
        <f>"AMARELO 4017"</f>
        <v>AMARELO 4017</v>
      </c>
      <c r="K732" s="6" t="str">
        <f>"1004"</f>
        <v>1004</v>
      </c>
      <c r="L732" s="6" t="str">
        <f>"Toalhas"</f>
        <v>Toalhas</v>
      </c>
      <c r="M732" s="6" t="str">
        <f>"41x71"</f>
        <v>41x71</v>
      </c>
      <c r="N732" s="6" t="str">
        <f t="shared" si="206"/>
        <v xml:space="preserve"> </v>
      </c>
      <c r="O732" s="8">
        <v>1344</v>
      </c>
      <c r="P732" s="7">
        <v>46049</v>
      </c>
      <c r="R732" s="8">
        <v>0</v>
      </c>
      <c r="S732" s="7">
        <v>46052</v>
      </c>
      <c r="U732" s="8">
        <v>1252</v>
      </c>
      <c r="V732" s="7">
        <v>46059</v>
      </c>
      <c r="X732" s="8">
        <v>0</v>
      </c>
      <c r="Z732" s="8">
        <v>0</v>
      </c>
      <c r="AA732" s="7">
        <v>46077</v>
      </c>
      <c r="AC732" s="8">
        <v>0</v>
      </c>
      <c r="AE732" s="7">
        <v>46080</v>
      </c>
      <c r="AF732" s="8">
        <v>0</v>
      </c>
      <c r="AH732" s="7">
        <v>46080</v>
      </c>
      <c r="AN732" s="8">
        <v>0</v>
      </c>
      <c r="AO732" s="8">
        <v>1344</v>
      </c>
    </row>
    <row r="733" spans="1:41" x14ac:dyDescent="0.25">
      <c r="A733" s="6" t="str">
        <f>"521-2025000769"</f>
        <v>521-2025000769</v>
      </c>
      <c r="B733" s="6" t="str">
        <f t="shared" si="207"/>
        <v>WORLD MA</v>
      </c>
      <c r="C733" s="7">
        <v>46000</v>
      </c>
      <c r="D733" s="7">
        <v>46080</v>
      </c>
      <c r="E733" s="8">
        <v>4</v>
      </c>
      <c r="F733" s="6" t="str">
        <f>"400735299"</f>
        <v>400735299</v>
      </c>
      <c r="G733" s="6" t="str">
        <f>"F310614750000000"</f>
        <v>F310614750000000</v>
      </c>
      <c r="H733" s="6" t="str">
        <f>"PLAR 6147 - 500 g/m²"</f>
        <v>PLAR 6147 - 500 g/m²</v>
      </c>
      <c r="I733" s="6" t="str">
        <f>"203042"</f>
        <v>203042</v>
      </c>
      <c r="J733" s="6" t="str">
        <f>"AZUL 3042"</f>
        <v>AZUL 3042</v>
      </c>
      <c r="K733" s="6" t="str">
        <f>"1004"</f>
        <v>1004</v>
      </c>
      <c r="L733" s="6" t="str">
        <f>"Toalhas"</f>
        <v>Toalhas</v>
      </c>
      <c r="M733" s="6" t="str">
        <f>"41x71"</f>
        <v>41x71</v>
      </c>
      <c r="N733" s="6" t="str">
        <f t="shared" si="206"/>
        <v xml:space="preserve"> </v>
      </c>
      <c r="O733" s="8">
        <v>714</v>
      </c>
      <c r="P733" s="7">
        <v>46049</v>
      </c>
      <c r="R733" s="8">
        <v>0</v>
      </c>
      <c r="S733" s="7">
        <v>46052</v>
      </c>
      <c r="U733" s="8">
        <v>0</v>
      </c>
      <c r="V733" s="7">
        <v>46059</v>
      </c>
      <c r="X733" s="8">
        <v>0</v>
      </c>
      <c r="Z733" s="8">
        <v>0</v>
      </c>
      <c r="AA733" s="7">
        <v>46077</v>
      </c>
      <c r="AC733" s="8">
        <v>0</v>
      </c>
      <c r="AE733" s="7">
        <v>46080</v>
      </c>
      <c r="AF733" s="8">
        <v>0</v>
      </c>
      <c r="AH733" s="7">
        <v>46080</v>
      </c>
      <c r="AN733" s="8">
        <v>0</v>
      </c>
      <c r="AO733" s="8">
        <v>714</v>
      </c>
    </row>
    <row r="734" spans="1:41" x14ac:dyDescent="0.25">
      <c r="A734" s="6" t="str">
        <f t="shared" ref="A734:A747" si="208">"521-2025000770"</f>
        <v>521-2025000770</v>
      </c>
      <c r="B734" s="6" t="str">
        <f t="shared" ref="B734:B750" si="209">"LOSCH HA"</f>
        <v>LOSCH HA</v>
      </c>
      <c r="C734" s="7">
        <v>46001</v>
      </c>
      <c r="D734" s="7">
        <v>46045</v>
      </c>
      <c r="E734" s="8">
        <v>1</v>
      </c>
      <c r="F734" s="6" t="s">
        <v>2</v>
      </c>
      <c r="G734" s="6" t="str">
        <f>"C001090426004841"</f>
        <v>C001090426004841</v>
      </c>
      <c r="H734" s="6" t="str">
        <f>"CZJ 0904 / 4841 - 26"</f>
        <v>CZJ 0904 / 4841 - 26</v>
      </c>
      <c r="I734" s="6" t="str">
        <f>"200532"</f>
        <v>200532</v>
      </c>
      <c r="J734" s="6" t="str">
        <f>"VERDE 532"</f>
        <v>VERDE 532</v>
      </c>
      <c r="K734" s="6" t="str">
        <f t="shared" ref="K734:K750" si="210">"0830"</f>
        <v>0830</v>
      </c>
      <c r="L734" s="6" t="str">
        <f t="shared" ref="L734:L750" si="211">"Cozinha"</f>
        <v>Cozinha</v>
      </c>
      <c r="M734" s="6" t="str">
        <f t="shared" ref="M734:M750" si="212">"50x70"</f>
        <v>50x70</v>
      </c>
      <c r="N734" s="6" t="str">
        <f>"5605247944244"</f>
        <v>5605247944244</v>
      </c>
      <c r="O734" s="8">
        <v>180</v>
      </c>
      <c r="P734" s="7">
        <v>46001</v>
      </c>
      <c r="R734" s="8">
        <v>0</v>
      </c>
      <c r="U734" s="8">
        <v>0</v>
      </c>
      <c r="X734" s="8">
        <v>0</v>
      </c>
      <c r="Z734" s="8">
        <v>0</v>
      </c>
      <c r="AC734" s="8">
        <v>180</v>
      </c>
      <c r="AE734" s="7">
        <v>46008</v>
      </c>
      <c r="AF734" s="8">
        <v>180</v>
      </c>
      <c r="AH734" s="7">
        <v>46045</v>
      </c>
      <c r="AN734" s="8">
        <v>180</v>
      </c>
      <c r="AO734" s="8">
        <v>0</v>
      </c>
    </row>
    <row r="735" spans="1:41" x14ac:dyDescent="0.25">
      <c r="A735" s="6" t="str">
        <f t="shared" si="208"/>
        <v>521-2025000770</v>
      </c>
      <c r="B735" s="6" t="str">
        <f t="shared" si="209"/>
        <v>LOSCH HA</v>
      </c>
      <c r="C735" s="7">
        <v>46001</v>
      </c>
      <c r="D735" s="7">
        <v>46045</v>
      </c>
      <c r="E735" s="8">
        <v>2</v>
      </c>
      <c r="F735" s="6" t="s">
        <v>2</v>
      </c>
      <c r="G735" s="6" t="str">
        <f>"C001090426006022"</f>
        <v>C001090426006022</v>
      </c>
      <c r="H735" s="6" t="str">
        <f>"CZJ 0904 / 6022 - 26"</f>
        <v>CZJ 0904 / 6022 - 26</v>
      </c>
      <c r="I735" s="6" t="str">
        <f>"202206"</f>
        <v>202206</v>
      </c>
      <c r="J735" s="6" t="str">
        <f>"CINZA 2206"</f>
        <v>CINZA 2206</v>
      </c>
      <c r="K735" s="6" t="str">
        <f t="shared" si="210"/>
        <v>0830</v>
      </c>
      <c r="L735" s="6" t="str">
        <f t="shared" si="211"/>
        <v>Cozinha</v>
      </c>
      <c r="M735" s="6" t="str">
        <f t="shared" si="212"/>
        <v>50x70</v>
      </c>
      <c r="N735" s="6" t="str">
        <f>"5605247945579"</f>
        <v>5605247945579</v>
      </c>
      <c r="O735" s="8">
        <v>120</v>
      </c>
      <c r="P735" s="7">
        <v>46001</v>
      </c>
      <c r="R735" s="8">
        <v>0</v>
      </c>
      <c r="U735" s="8">
        <v>0</v>
      </c>
      <c r="X735" s="8">
        <v>0</v>
      </c>
      <c r="Z735" s="8">
        <v>0</v>
      </c>
      <c r="AC735" s="8">
        <v>120</v>
      </c>
      <c r="AE735" s="7">
        <v>46008</v>
      </c>
      <c r="AF735" s="8">
        <v>120</v>
      </c>
      <c r="AH735" s="7">
        <v>46045</v>
      </c>
      <c r="AN735" s="8">
        <v>120</v>
      </c>
      <c r="AO735" s="8">
        <v>0</v>
      </c>
    </row>
    <row r="736" spans="1:41" x14ac:dyDescent="0.25">
      <c r="A736" s="6" t="str">
        <f t="shared" si="208"/>
        <v>521-2025000770</v>
      </c>
      <c r="B736" s="6" t="str">
        <f t="shared" si="209"/>
        <v>LOSCH HA</v>
      </c>
      <c r="C736" s="7">
        <v>46001</v>
      </c>
      <c r="D736" s="7">
        <v>46045</v>
      </c>
      <c r="E736" s="8">
        <v>3</v>
      </c>
      <c r="F736" s="6" t="s">
        <v>2</v>
      </c>
      <c r="G736" s="6" t="str">
        <f>"C001090426004503"</f>
        <v>C001090426004503</v>
      </c>
      <c r="H736" s="6" t="str">
        <f>"CZJ 0904 / 4503 - 26"</f>
        <v>CZJ 0904 / 4503 - 26</v>
      </c>
      <c r="I736" s="6" t="str">
        <f>"200532"</f>
        <v>200532</v>
      </c>
      <c r="J736" s="6" t="str">
        <f>"VERDE 532"</f>
        <v>VERDE 532</v>
      </c>
      <c r="K736" s="6" t="str">
        <f t="shared" si="210"/>
        <v>0830</v>
      </c>
      <c r="L736" s="6" t="str">
        <f t="shared" si="211"/>
        <v>Cozinha</v>
      </c>
      <c r="M736" s="6" t="str">
        <f t="shared" si="212"/>
        <v>50x70</v>
      </c>
      <c r="N736" s="6" t="str">
        <f>"5605247941403"</f>
        <v>5605247941403</v>
      </c>
      <c r="O736" s="8">
        <v>120</v>
      </c>
      <c r="P736" s="7">
        <v>46001</v>
      </c>
      <c r="R736" s="8">
        <v>0</v>
      </c>
      <c r="U736" s="8">
        <v>0</v>
      </c>
      <c r="X736" s="8">
        <v>0</v>
      </c>
      <c r="Z736" s="8">
        <v>0</v>
      </c>
      <c r="AC736" s="8">
        <v>120</v>
      </c>
      <c r="AE736" s="7">
        <v>46008</v>
      </c>
      <c r="AF736" s="8">
        <v>120</v>
      </c>
      <c r="AH736" s="7">
        <v>46045</v>
      </c>
      <c r="AN736" s="8">
        <v>120</v>
      </c>
      <c r="AO736" s="8">
        <v>0</v>
      </c>
    </row>
    <row r="737" spans="1:41" x14ac:dyDescent="0.25">
      <c r="A737" s="6" t="str">
        <f t="shared" si="208"/>
        <v>521-2025000770</v>
      </c>
      <c r="B737" s="6" t="str">
        <f t="shared" si="209"/>
        <v>LOSCH HA</v>
      </c>
      <c r="C737" s="7">
        <v>46001</v>
      </c>
      <c r="D737" s="7">
        <v>46045</v>
      </c>
      <c r="E737" s="8">
        <v>4</v>
      </c>
      <c r="F737" s="6" t="s">
        <v>2</v>
      </c>
      <c r="G737" s="6" t="str">
        <f>"C001090426004404"</f>
        <v>C001090426004404</v>
      </c>
      <c r="H737" s="6" t="str">
        <f>"CZJ 904 / 4404 - 260"</f>
        <v>CZJ 904 / 4404 - 260</v>
      </c>
      <c r="I737" s="6" t="str">
        <f>"202206"</f>
        <v>202206</v>
      </c>
      <c r="J737" s="6" t="str">
        <f>"CINZA 2206"</f>
        <v>CINZA 2206</v>
      </c>
      <c r="K737" s="6" t="str">
        <f t="shared" si="210"/>
        <v>0830</v>
      </c>
      <c r="L737" s="6" t="str">
        <f t="shared" si="211"/>
        <v>Cozinha</v>
      </c>
      <c r="M737" s="6" t="str">
        <f t="shared" si="212"/>
        <v>50x70</v>
      </c>
      <c r="N737" s="6" t="str">
        <f>"5605247939677"</f>
        <v>5605247939677</v>
      </c>
      <c r="O737" s="8">
        <v>120</v>
      </c>
      <c r="P737" s="7">
        <v>46001</v>
      </c>
      <c r="R737" s="8">
        <v>0</v>
      </c>
      <c r="U737" s="8">
        <v>0</v>
      </c>
      <c r="X737" s="8">
        <v>0</v>
      </c>
      <c r="Z737" s="8">
        <v>0</v>
      </c>
      <c r="AC737" s="8">
        <v>120</v>
      </c>
      <c r="AE737" s="7">
        <v>46008</v>
      </c>
      <c r="AF737" s="8">
        <v>120</v>
      </c>
      <c r="AH737" s="7">
        <v>46045</v>
      </c>
      <c r="AN737" s="8">
        <v>120</v>
      </c>
      <c r="AO737" s="8">
        <v>0</v>
      </c>
    </row>
    <row r="738" spans="1:41" x14ac:dyDescent="0.25">
      <c r="A738" s="6" t="str">
        <f t="shared" si="208"/>
        <v>521-2025000770</v>
      </c>
      <c r="B738" s="6" t="str">
        <f t="shared" si="209"/>
        <v>LOSCH HA</v>
      </c>
      <c r="C738" s="7">
        <v>46001</v>
      </c>
      <c r="D738" s="7">
        <v>46045</v>
      </c>
      <c r="E738" s="8">
        <v>5</v>
      </c>
      <c r="F738" s="6" t="s">
        <v>2</v>
      </c>
      <c r="G738" s="6" t="str">
        <f>"C001090426004739"</f>
        <v>C001090426004739</v>
      </c>
      <c r="H738" s="6" t="str">
        <f>"CZJ 0904 / 4739 - 26"</f>
        <v>CZJ 0904 / 4739 - 26</v>
      </c>
      <c r="I738" s="6" t="str">
        <f>"200532"</f>
        <v>200532</v>
      </c>
      <c r="J738" s="6" t="str">
        <f>"VERDE 532"</f>
        <v>VERDE 532</v>
      </c>
      <c r="K738" s="6" t="str">
        <f t="shared" si="210"/>
        <v>0830</v>
      </c>
      <c r="L738" s="6" t="str">
        <f t="shared" si="211"/>
        <v>Cozinha</v>
      </c>
      <c r="M738" s="6" t="str">
        <f t="shared" si="212"/>
        <v>50x70</v>
      </c>
      <c r="N738" s="6" t="str">
        <f>"5605247943582"</f>
        <v>5605247943582</v>
      </c>
      <c r="O738" s="8">
        <v>60</v>
      </c>
      <c r="P738" s="7">
        <v>46001</v>
      </c>
      <c r="R738" s="8">
        <v>0</v>
      </c>
      <c r="U738" s="8">
        <v>0</v>
      </c>
      <c r="X738" s="8">
        <v>0</v>
      </c>
      <c r="Z738" s="8">
        <v>0</v>
      </c>
      <c r="AC738" s="8">
        <v>60</v>
      </c>
      <c r="AE738" s="7">
        <v>46008</v>
      </c>
      <c r="AF738" s="8">
        <v>60</v>
      </c>
      <c r="AH738" s="7">
        <v>46045</v>
      </c>
      <c r="AN738" s="8">
        <v>60</v>
      </c>
      <c r="AO738" s="8">
        <v>0</v>
      </c>
    </row>
    <row r="739" spans="1:41" x14ac:dyDescent="0.25">
      <c r="A739" s="6" t="str">
        <f t="shared" si="208"/>
        <v>521-2025000770</v>
      </c>
      <c r="B739" s="6" t="str">
        <f t="shared" si="209"/>
        <v>LOSCH HA</v>
      </c>
      <c r="C739" s="7">
        <v>46001</v>
      </c>
      <c r="D739" s="7">
        <v>46045</v>
      </c>
      <c r="E739" s="8">
        <v>6</v>
      </c>
      <c r="F739" s="6" t="s">
        <v>2</v>
      </c>
      <c r="G739" s="6" t="str">
        <f>"C001090426006346"</f>
        <v>C001090426006346</v>
      </c>
      <c r="H739" s="6" t="str">
        <f>"CZJ 0904 / 6346 - 26"</f>
        <v>CZJ 0904 / 6346 - 26</v>
      </c>
      <c r="I739" s="6" t="str">
        <f t="shared" ref="I739:I744" si="213">"202206"</f>
        <v>202206</v>
      </c>
      <c r="J739" s="6" t="str">
        <f t="shared" ref="J739:J744" si="214">"CINZA 2206"</f>
        <v>CINZA 2206</v>
      </c>
      <c r="K739" s="6" t="str">
        <f t="shared" si="210"/>
        <v>0830</v>
      </c>
      <c r="L739" s="6" t="str">
        <f t="shared" si="211"/>
        <v>Cozinha</v>
      </c>
      <c r="M739" s="6" t="str">
        <f t="shared" si="212"/>
        <v>50x70</v>
      </c>
      <c r="N739" s="6" t="str">
        <f>"5605247946521"</f>
        <v>5605247946521</v>
      </c>
      <c r="O739" s="8">
        <v>240</v>
      </c>
      <c r="P739" s="7">
        <v>46001</v>
      </c>
      <c r="R739" s="8">
        <v>0</v>
      </c>
      <c r="U739" s="8">
        <v>0</v>
      </c>
      <c r="X739" s="8">
        <v>0</v>
      </c>
      <c r="Z739" s="8">
        <v>0</v>
      </c>
      <c r="AC739" s="8">
        <v>240</v>
      </c>
      <c r="AE739" s="7">
        <v>46008</v>
      </c>
      <c r="AF739" s="8">
        <v>240</v>
      </c>
      <c r="AH739" s="7">
        <v>46045</v>
      </c>
      <c r="AN739" s="8">
        <v>240</v>
      </c>
      <c r="AO739" s="8">
        <v>0</v>
      </c>
    </row>
    <row r="740" spans="1:41" x14ac:dyDescent="0.25">
      <c r="A740" s="6" t="str">
        <f t="shared" si="208"/>
        <v>521-2025000770</v>
      </c>
      <c r="B740" s="6" t="str">
        <f t="shared" si="209"/>
        <v>LOSCH HA</v>
      </c>
      <c r="C740" s="7">
        <v>46001</v>
      </c>
      <c r="D740" s="7">
        <v>46045</v>
      </c>
      <c r="E740" s="8">
        <v>7</v>
      </c>
      <c r="F740" s="6" t="s">
        <v>2</v>
      </c>
      <c r="G740" s="6" t="str">
        <f>"C001090426006352"</f>
        <v>C001090426006352</v>
      </c>
      <c r="H740" s="6" t="str">
        <f>"CZJ 0904 / 6352 - 26"</f>
        <v>CZJ 0904 / 6352 - 26</v>
      </c>
      <c r="I740" s="6" t="str">
        <f t="shared" si="213"/>
        <v>202206</v>
      </c>
      <c r="J740" s="6" t="str">
        <f t="shared" si="214"/>
        <v>CINZA 2206</v>
      </c>
      <c r="K740" s="6" t="str">
        <f t="shared" si="210"/>
        <v>0830</v>
      </c>
      <c r="L740" s="6" t="str">
        <f t="shared" si="211"/>
        <v>Cozinha</v>
      </c>
      <c r="M740" s="6" t="str">
        <f t="shared" si="212"/>
        <v>50x70</v>
      </c>
      <c r="N740" s="6" t="str">
        <f>"5605247946545"</f>
        <v>5605247946545</v>
      </c>
      <c r="O740" s="8">
        <v>120</v>
      </c>
      <c r="P740" s="7">
        <v>46001</v>
      </c>
      <c r="R740" s="8">
        <v>0</v>
      </c>
      <c r="U740" s="8">
        <v>0</v>
      </c>
      <c r="X740" s="8">
        <v>0</v>
      </c>
      <c r="Z740" s="8">
        <v>0</v>
      </c>
      <c r="AC740" s="8">
        <v>120</v>
      </c>
      <c r="AE740" s="7">
        <v>46008</v>
      </c>
      <c r="AF740" s="8">
        <v>120</v>
      </c>
      <c r="AH740" s="7">
        <v>46045</v>
      </c>
      <c r="AN740" s="8">
        <v>120</v>
      </c>
      <c r="AO740" s="8">
        <v>0</v>
      </c>
    </row>
    <row r="741" spans="1:41" x14ac:dyDescent="0.25">
      <c r="A741" s="6" t="str">
        <f t="shared" si="208"/>
        <v>521-2025000770</v>
      </c>
      <c r="B741" s="6" t="str">
        <f t="shared" si="209"/>
        <v>LOSCH HA</v>
      </c>
      <c r="C741" s="7">
        <v>46001</v>
      </c>
      <c r="D741" s="7">
        <v>46045</v>
      </c>
      <c r="E741" s="8">
        <v>8</v>
      </c>
      <c r="F741" s="6" t="s">
        <v>2</v>
      </c>
      <c r="G741" s="6" t="str">
        <f>"C001090426006347"</f>
        <v>C001090426006347</v>
      </c>
      <c r="H741" s="6" t="str">
        <f>"CZJ 0904 / 6347 - 26"</f>
        <v>CZJ 0904 / 6347 - 26</v>
      </c>
      <c r="I741" s="6" t="str">
        <f t="shared" si="213"/>
        <v>202206</v>
      </c>
      <c r="J741" s="6" t="str">
        <f t="shared" si="214"/>
        <v>CINZA 2206</v>
      </c>
      <c r="K741" s="6" t="str">
        <f t="shared" si="210"/>
        <v>0830</v>
      </c>
      <c r="L741" s="6" t="str">
        <f t="shared" si="211"/>
        <v>Cozinha</v>
      </c>
      <c r="M741" s="6" t="str">
        <f t="shared" si="212"/>
        <v>50x70</v>
      </c>
      <c r="N741" s="6" t="str">
        <f>"5605247946538"</f>
        <v>5605247946538</v>
      </c>
      <c r="O741" s="8">
        <v>240</v>
      </c>
      <c r="P741" s="7">
        <v>46001</v>
      </c>
      <c r="R741" s="8">
        <v>0</v>
      </c>
      <c r="U741" s="8">
        <v>0</v>
      </c>
      <c r="X741" s="8">
        <v>0</v>
      </c>
      <c r="Z741" s="8">
        <v>0</v>
      </c>
      <c r="AC741" s="8">
        <v>240</v>
      </c>
      <c r="AE741" s="7">
        <v>46008</v>
      </c>
      <c r="AF741" s="8">
        <v>240</v>
      </c>
      <c r="AH741" s="7">
        <v>46045</v>
      </c>
      <c r="AN741" s="8">
        <v>240</v>
      </c>
      <c r="AO741" s="8">
        <v>0</v>
      </c>
    </row>
    <row r="742" spans="1:41" x14ac:dyDescent="0.25">
      <c r="A742" s="6" t="str">
        <f t="shared" si="208"/>
        <v>521-2025000770</v>
      </c>
      <c r="B742" s="6" t="str">
        <f t="shared" si="209"/>
        <v>LOSCH HA</v>
      </c>
      <c r="C742" s="7">
        <v>46001</v>
      </c>
      <c r="D742" s="7">
        <v>46045</v>
      </c>
      <c r="E742" s="8">
        <v>9</v>
      </c>
      <c r="F742" s="6" t="s">
        <v>2</v>
      </c>
      <c r="G742" s="6" t="str">
        <f>"C001090426006401"</f>
        <v>C001090426006401</v>
      </c>
      <c r="H742" s="6" t="str">
        <f>"CZJ 0904 / 6401 - 26"</f>
        <v>CZJ 0904 / 6401 - 26</v>
      </c>
      <c r="I742" s="6" t="str">
        <f t="shared" si="213"/>
        <v>202206</v>
      </c>
      <c r="J742" s="6" t="str">
        <f t="shared" si="214"/>
        <v>CINZA 2206</v>
      </c>
      <c r="K742" s="6" t="str">
        <f t="shared" si="210"/>
        <v>0830</v>
      </c>
      <c r="L742" s="6" t="str">
        <f t="shared" si="211"/>
        <v>Cozinha</v>
      </c>
      <c r="M742" s="6" t="str">
        <f t="shared" si="212"/>
        <v>50x70</v>
      </c>
      <c r="N742" s="6" t="str">
        <f>" "</f>
        <v xml:space="preserve"> </v>
      </c>
      <c r="O742" s="8">
        <v>240</v>
      </c>
      <c r="P742" s="7">
        <v>46001</v>
      </c>
      <c r="R742" s="8">
        <v>0</v>
      </c>
      <c r="U742" s="8">
        <v>0</v>
      </c>
      <c r="X742" s="8">
        <v>0</v>
      </c>
      <c r="Z742" s="8">
        <v>0</v>
      </c>
      <c r="AC742" s="8">
        <v>240</v>
      </c>
      <c r="AE742" s="7">
        <v>46008</v>
      </c>
      <c r="AF742" s="8">
        <v>240</v>
      </c>
      <c r="AH742" s="7">
        <v>46045</v>
      </c>
      <c r="AN742" s="8">
        <v>240</v>
      </c>
      <c r="AO742" s="8">
        <v>0</v>
      </c>
    </row>
    <row r="743" spans="1:41" x14ac:dyDescent="0.25">
      <c r="A743" s="6" t="str">
        <f t="shared" si="208"/>
        <v>521-2025000770</v>
      </c>
      <c r="B743" s="6" t="str">
        <f t="shared" si="209"/>
        <v>LOSCH HA</v>
      </c>
      <c r="C743" s="7">
        <v>46001</v>
      </c>
      <c r="D743" s="7">
        <v>46045</v>
      </c>
      <c r="E743" s="8">
        <v>10</v>
      </c>
      <c r="F743" s="6" t="s">
        <v>2</v>
      </c>
      <c r="G743" s="6" t="str">
        <f>"C001090426006402"</f>
        <v>C001090426006402</v>
      </c>
      <c r="H743" s="6" t="str">
        <f>"CZJ 0904 / 6402 - 26"</f>
        <v>CZJ 0904 / 6402 - 26</v>
      </c>
      <c r="I743" s="6" t="str">
        <f t="shared" si="213"/>
        <v>202206</v>
      </c>
      <c r="J743" s="6" t="str">
        <f t="shared" si="214"/>
        <v>CINZA 2206</v>
      </c>
      <c r="K743" s="6" t="str">
        <f t="shared" si="210"/>
        <v>0830</v>
      </c>
      <c r="L743" s="6" t="str">
        <f t="shared" si="211"/>
        <v>Cozinha</v>
      </c>
      <c r="M743" s="6" t="str">
        <f t="shared" si="212"/>
        <v>50x70</v>
      </c>
      <c r="N743" s="6" t="str">
        <f>"5605247946811"</f>
        <v>5605247946811</v>
      </c>
      <c r="O743" s="8">
        <v>400</v>
      </c>
      <c r="P743" s="7">
        <v>46001</v>
      </c>
      <c r="R743" s="8">
        <v>0</v>
      </c>
      <c r="U743" s="8">
        <v>0</v>
      </c>
      <c r="X743" s="8">
        <v>0</v>
      </c>
      <c r="Z743" s="8">
        <v>0</v>
      </c>
      <c r="AC743" s="8">
        <v>400</v>
      </c>
      <c r="AE743" s="7">
        <v>46008</v>
      </c>
      <c r="AF743" s="8">
        <v>400</v>
      </c>
      <c r="AH743" s="7">
        <v>46045</v>
      </c>
      <c r="AN743" s="8">
        <v>400</v>
      </c>
      <c r="AO743" s="8">
        <v>0</v>
      </c>
    </row>
    <row r="744" spans="1:41" x14ac:dyDescent="0.25">
      <c r="A744" s="6" t="str">
        <f t="shared" si="208"/>
        <v>521-2025000770</v>
      </c>
      <c r="B744" s="6" t="str">
        <f t="shared" si="209"/>
        <v>LOSCH HA</v>
      </c>
      <c r="C744" s="7">
        <v>46001</v>
      </c>
      <c r="D744" s="7">
        <v>46045</v>
      </c>
      <c r="E744" s="8">
        <v>11</v>
      </c>
      <c r="F744" s="6" t="s">
        <v>2</v>
      </c>
      <c r="G744" s="6" t="str">
        <f>"C001090426006390"</f>
        <v>C001090426006390</v>
      </c>
      <c r="H744" s="6" t="str">
        <f>"CZJ 0904 / 6390 - 26"</f>
        <v>CZJ 0904 / 6390 - 26</v>
      </c>
      <c r="I744" s="6" t="str">
        <f t="shared" si="213"/>
        <v>202206</v>
      </c>
      <c r="J744" s="6" t="str">
        <f t="shared" si="214"/>
        <v>CINZA 2206</v>
      </c>
      <c r="K744" s="6" t="str">
        <f t="shared" si="210"/>
        <v>0830</v>
      </c>
      <c r="L744" s="6" t="str">
        <f t="shared" si="211"/>
        <v>Cozinha</v>
      </c>
      <c r="M744" s="6" t="str">
        <f t="shared" si="212"/>
        <v>50x70</v>
      </c>
      <c r="N744" s="6" t="str">
        <f>" "</f>
        <v xml:space="preserve"> </v>
      </c>
      <c r="O744" s="8">
        <v>120</v>
      </c>
      <c r="P744" s="7">
        <v>46001</v>
      </c>
      <c r="R744" s="8">
        <v>0</v>
      </c>
      <c r="U744" s="8">
        <v>0</v>
      </c>
      <c r="X744" s="8">
        <v>0</v>
      </c>
      <c r="Z744" s="8">
        <v>0</v>
      </c>
      <c r="AC744" s="8">
        <v>120</v>
      </c>
      <c r="AE744" s="7">
        <v>46008</v>
      </c>
      <c r="AF744" s="8">
        <v>120</v>
      </c>
      <c r="AH744" s="7">
        <v>46045</v>
      </c>
      <c r="AN744" s="8">
        <v>120</v>
      </c>
      <c r="AO744" s="8">
        <v>0</v>
      </c>
    </row>
    <row r="745" spans="1:41" x14ac:dyDescent="0.25">
      <c r="A745" s="6" t="str">
        <f t="shared" si="208"/>
        <v>521-2025000770</v>
      </c>
      <c r="B745" s="6" t="str">
        <f t="shared" si="209"/>
        <v>LOSCH HA</v>
      </c>
      <c r="C745" s="7">
        <v>46001</v>
      </c>
      <c r="D745" s="7">
        <v>46045</v>
      </c>
      <c r="E745" s="8">
        <v>12</v>
      </c>
      <c r="F745" s="6" t="s">
        <v>2</v>
      </c>
      <c r="G745" s="6" t="str">
        <f>"C001090426004090"</f>
        <v>C001090426004090</v>
      </c>
      <c r="H745" s="6" t="str">
        <f>"CZJ 0904 / 4090 - 26"</f>
        <v>CZJ 0904 / 4090 - 26</v>
      </c>
      <c r="I745" s="6" t="str">
        <f>"200532"</f>
        <v>200532</v>
      </c>
      <c r="J745" s="6" t="str">
        <f>"VERDE 532"</f>
        <v>VERDE 532</v>
      </c>
      <c r="K745" s="6" t="str">
        <f t="shared" si="210"/>
        <v>0830</v>
      </c>
      <c r="L745" s="6" t="str">
        <f t="shared" si="211"/>
        <v>Cozinha</v>
      </c>
      <c r="M745" s="6" t="str">
        <f t="shared" si="212"/>
        <v>50x70</v>
      </c>
      <c r="N745" s="6" t="str">
        <f>"5605247933576"</f>
        <v>5605247933576</v>
      </c>
      <c r="O745" s="8">
        <v>180</v>
      </c>
      <c r="P745" s="7">
        <v>46001</v>
      </c>
      <c r="R745" s="8">
        <v>0</v>
      </c>
      <c r="U745" s="8">
        <v>0</v>
      </c>
      <c r="X745" s="8">
        <v>0</v>
      </c>
      <c r="Z745" s="8">
        <v>0</v>
      </c>
      <c r="AC745" s="8">
        <v>180</v>
      </c>
      <c r="AE745" s="7">
        <v>46008</v>
      </c>
      <c r="AF745" s="8">
        <v>180</v>
      </c>
      <c r="AH745" s="7">
        <v>46045</v>
      </c>
      <c r="AN745" s="8">
        <v>180</v>
      </c>
      <c r="AO745" s="8">
        <v>0</v>
      </c>
    </row>
    <row r="746" spans="1:41" x14ac:dyDescent="0.25">
      <c r="A746" s="6" t="str">
        <f t="shared" si="208"/>
        <v>521-2025000770</v>
      </c>
      <c r="B746" s="6" t="str">
        <f t="shared" si="209"/>
        <v>LOSCH HA</v>
      </c>
      <c r="C746" s="7">
        <v>46001</v>
      </c>
      <c r="D746" s="7">
        <v>46045</v>
      </c>
      <c r="E746" s="8">
        <v>13</v>
      </c>
      <c r="F746" s="6" t="s">
        <v>2</v>
      </c>
      <c r="G746" s="6" t="str">
        <f>"C001090426004282"</f>
        <v>C001090426004282</v>
      </c>
      <c r="H746" s="6" t="str">
        <f>"CZJ 0904 / 4282 - 26"</f>
        <v>CZJ 0904 / 4282 - 26</v>
      </c>
      <c r="I746" s="6" t="str">
        <f>"200532"</f>
        <v>200532</v>
      </c>
      <c r="J746" s="6" t="str">
        <f>"VERDE 532"</f>
        <v>VERDE 532</v>
      </c>
      <c r="K746" s="6" t="str">
        <f t="shared" si="210"/>
        <v>0830</v>
      </c>
      <c r="L746" s="6" t="str">
        <f t="shared" si="211"/>
        <v>Cozinha</v>
      </c>
      <c r="M746" s="6" t="str">
        <f t="shared" si="212"/>
        <v>50x70</v>
      </c>
      <c r="N746" s="6" t="str">
        <f>"5605247935907"</f>
        <v>5605247935907</v>
      </c>
      <c r="O746" s="8">
        <v>180</v>
      </c>
      <c r="P746" s="7">
        <v>46001</v>
      </c>
      <c r="R746" s="8">
        <v>0</v>
      </c>
      <c r="U746" s="8">
        <v>0</v>
      </c>
      <c r="X746" s="8">
        <v>0</v>
      </c>
      <c r="Z746" s="8">
        <v>0</v>
      </c>
      <c r="AC746" s="8">
        <v>180</v>
      </c>
      <c r="AE746" s="7">
        <v>46008</v>
      </c>
      <c r="AF746" s="8">
        <v>180</v>
      </c>
      <c r="AH746" s="7">
        <v>46045</v>
      </c>
      <c r="AN746" s="8">
        <v>180</v>
      </c>
      <c r="AO746" s="8">
        <v>0</v>
      </c>
    </row>
    <row r="747" spans="1:41" x14ac:dyDescent="0.25">
      <c r="A747" s="6" t="str">
        <f t="shared" si="208"/>
        <v>521-2025000770</v>
      </c>
      <c r="B747" s="6" t="str">
        <f t="shared" si="209"/>
        <v>LOSCH HA</v>
      </c>
      <c r="C747" s="7">
        <v>46001</v>
      </c>
      <c r="D747" s="7">
        <v>46045</v>
      </c>
      <c r="E747" s="8">
        <v>14</v>
      </c>
      <c r="F747" s="6" t="s">
        <v>2</v>
      </c>
      <c r="G747" s="6" t="str">
        <f>"C001090426004876"</f>
        <v>C001090426004876</v>
      </c>
      <c r="H747" s="6" t="str">
        <f>"CZJ 0904 / 4876 - 26"</f>
        <v>CZJ 0904 / 4876 - 26</v>
      </c>
      <c r="I747" s="6" t="str">
        <f>"201013"</f>
        <v>201013</v>
      </c>
      <c r="J747" s="6" t="str">
        <f>"AZUL 1013"</f>
        <v>AZUL 1013</v>
      </c>
      <c r="K747" s="6" t="str">
        <f t="shared" si="210"/>
        <v>0830</v>
      </c>
      <c r="L747" s="6" t="str">
        <f t="shared" si="211"/>
        <v>Cozinha</v>
      </c>
      <c r="M747" s="6" t="str">
        <f t="shared" si="212"/>
        <v>50x70</v>
      </c>
      <c r="N747" s="6" t="str">
        <f>"5605247944329"</f>
        <v>5605247944329</v>
      </c>
      <c r="O747" s="8">
        <v>120</v>
      </c>
      <c r="P747" s="7">
        <v>46001</v>
      </c>
      <c r="R747" s="8">
        <v>0</v>
      </c>
      <c r="U747" s="8">
        <v>0</v>
      </c>
      <c r="X747" s="8">
        <v>0</v>
      </c>
      <c r="Z747" s="8">
        <v>0</v>
      </c>
      <c r="AC747" s="8">
        <v>120</v>
      </c>
      <c r="AE747" s="7">
        <v>46008</v>
      </c>
      <c r="AF747" s="8">
        <v>120</v>
      </c>
      <c r="AH747" s="7">
        <v>46045</v>
      </c>
      <c r="AN747" s="8">
        <v>120</v>
      </c>
      <c r="AO747" s="8">
        <v>0</v>
      </c>
    </row>
    <row r="748" spans="1:41" x14ac:dyDescent="0.25">
      <c r="A748" s="6" t="str">
        <f>"521-2025000771"</f>
        <v>521-2025000771</v>
      </c>
      <c r="B748" s="6" t="str">
        <f t="shared" si="209"/>
        <v>LOSCH HA</v>
      </c>
      <c r="C748" s="7">
        <v>46001</v>
      </c>
      <c r="D748" s="7">
        <v>46045</v>
      </c>
      <c r="E748" s="8">
        <v>1</v>
      </c>
      <c r="F748" s="6" t="s">
        <v>3</v>
      </c>
      <c r="G748" s="6" t="str">
        <f>"C001090426006096"</f>
        <v>C001090426006096</v>
      </c>
      <c r="H748" s="6" t="str">
        <f>"CZJ 0904 / 6096 - 26"</f>
        <v>CZJ 0904 / 6096 - 26</v>
      </c>
      <c r="I748" s="6" t="str">
        <f>"202206"</f>
        <v>202206</v>
      </c>
      <c r="J748" s="6" t="str">
        <f>"CINZA 2206"</f>
        <v>CINZA 2206</v>
      </c>
      <c r="K748" s="6" t="str">
        <f t="shared" si="210"/>
        <v>0830</v>
      </c>
      <c r="L748" s="6" t="str">
        <f t="shared" si="211"/>
        <v>Cozinha</v>
      </c>
      <c r="M748" s="6" t="str">
        <f t="shared" si="212"/>
        <v>50x70</v>
      </c>
      <c r="N748" s="6" t="str">
        <f t="shared" ref="N748:N779" si="215">" "</f>
        <v xml:space="preserve"> </v>
      </c>
      <c r="O748" s="8">
        <v>120</v>
      </c>
      <c r="P748" s="7">
        <v>46001</v>
      </c>
      <c r="R748" s="8">
        <v>0</v>
      </c>
      <c r="U748" s="8">
        <v>0</v>
      </c>
      <c r="X748" s="8">
        <v>0</v>
      </c>
      <c r="Z748" s="8">
        <v>0</v>
      </c>
      <c r="AC748" s="8">
        <v>120</v>
      </c>
      <c r="AE748" s="7">
        <v>46008</v>
      </c>
      <c r="AF748" s="8">
        <v>120</v>
      </c>
      <c r="AH748" s="7">
        <v>46045</v>
      </c>
      <c r="AN748" s="8">
        <v>120</v>
      </c>
      <c r="AO748" s="8">
        <v>0</v>
      </c>
    </row>
    <row r="749" spans="1:41" x14ac:dyDescent="0.25">
      <c r="A749" s="6" t="str">
        <f>"521-2025000771"</f>
        <v>521-2025000771</v>
      </c>
      <c r="B749" s="6" t="str">
        <f t="shared" si="209"/>
        <v>LOSCH HA</v>
      </c>
      <c r="C749" s="7">
        <v>46001</v>
      </c>
      <c r="D749" s="7">
        <v>46045</v>
      </c>
      <c r="E749" s="8">
        <v>2</v>
      </c>
      <c r="F749" s="6" t="s">
        <v>3</v>
      </c>
      <c r="G749" s="6" t="str">
        <f>"C001090426006158"</f>
        <v>C001090426006158</v>
      </c>
      <c r="H749" s="6" t="str">
        <f>"CZJ 0904 / 6158 - 26"</f>
        <v>CZJ 0904 / 6158 - 26</v>
      </c>
      <c r="I749" s="6" t="str">
        <f>"202206"</f>
        <v>202206</v>
      </c>
      <c r="J749" s="6" t="str">
        <f>"CINZA 2206"</f>
        <v>CINZA 2206</v>
      </c>
      <c r="K749" s="6" t="str">
        <f t="shared" si="210"/>
        <v>0830</v>
      </c>
      <c r="L749" s="6" t="str">
        <f t="shared" si="211"/>
        <v>Cozinha</v>
      </c>
      <c r="M749" s="6" t="str">
        <f t="shared" si="212"/>
        <v>50x70</v>
      </c>
      <c r="N749" s="6" t="str">
        <f t="shared" si="215"/>
        <v xml:space="preserve"> </v>
      </c>
      <c r="O749" s="8">
        <v>180</v>
      </c>
      <c r="P749" s="7">
        <v>46001</v>
      </c>
      <c r="R749" s="8">
        <v>0</v>
      </c>
      <c r="U749" s="8">
        <v>0</v>
      </c>
      <c r="X749" s="8">
        <v>0</v>
      </c>
      <c r="Z749" s="8">
        <v>0</v>
      </c>
      <c r="AC749" s="8">
        <v>180</v>
      </c>
      <c r="AE749" s="7">
        <v>46008</v>
      </c>
      <c r="AF749" s="8">
        <v>180</v>
      </c>
      <c r="AH749" s="7">
        <v>46045</v>
      </c>
      <c r="AN749" s="8">
        <v>180</v>
      </c>
      <c r="AO749" s="8">
        <v>0</v>
      </c>
    </row>
    <row r="750" spans="1:41" x14ac:dyDescent="0.25">
      <c r="A750" s="6" t="str">
        <f>"521-2025000771"</f>
        <v>521-2025000771</v>
      </c>
      <c r="B750" s="6" t="str">
        <f t="shared" si="209"/>
        <v>LOSCH HA</v>
      </c>
      <c r="C750" s="7">
        <v>46001</v>
      </c>
      <c r="D750" s="7">
        <v>46045</v>
      </c>
      <c r="E750" s="8">
        <v>3</v>
      </c>
      <c r="F750" s="6" t="s">
        <v>3</v>
      </c>
      <c r="G750" s="6" t="str">
        <f>"C001090426006162"</f>
        <v>C001090426006162</v>
      </c>
      <c r="H750" s="6" t="str">
        <f>"CZJ 0904 / 6162 - 26"</f>
        <v>CZJ 0904 / 6162 - 26</v>
      </c>
      <c r="I750" s="6" t="str">
        <f>"202206"</f>
        <v>202206</v>
      </c>
      <c r="J750" s="6" t="str">
        <f>"CINZA 2206"</f>
        <v>CINZA 2206</v>
      </c>
      <c r="K750" s="6" t="str">
        <f t="shared" si="210"/>
        <v>0830</v>
      </c>
      <c r="L750" s="6" t="str">
        <f t="shared" si="211"/>
        <v>Cozinha</v>
      </c>
      <c r="M750" s="6" t="str">
        <f t="shared" si="212"/>
        <v>50x70</v>
      </c>
      <c r="N750" s="6" t="str">
        <f t="shared" si="215"/>
        <v xml:space="preserve"> </v>
      </c>
      <c r="O750" s="8">
        <v>180</v>
      </c>
      <c r="P750" s="7">
        <v>46001</v>
      </c>
      <c r="R750" s="8">
        <v>0</v>
      </c>
      <c r="U750" s="8">
        <v>0</v>
      </c>
      <c r="X750" s="8">
        <v>0</v>
      </c>
      <c r="Z750" s="8">
        <v>0</v>
      </c>
      <c r="AC750" s="8">
        <v>180</v>
      </c>
      <c r="AE750" s="7">
        <v>46008</v>
      </c>
      <c r="AF750" s="8">
        <v>180</v>
      </c>
      <c r="AH750" s="7">
        <v>46045</v>
      </c>
      <c r="AN750" s="8">
        <v>180</v>
      </c>
      <c r="AO750" s="8">
        <v>0</v>
      </c>
    </row>
    <row r="751" spans="1:41" x14ac:dyDescent="0.25">
      <c r="A751" s="6" t="str">
        <f t="shared" ref="A751:A782" si="216">"521-2025000772"</f>
        <v>521-2025000772</v>
      </c>
      <c r="B751" s="6" t="str">
        <f t="shared" ref="B751:B782" si="217">"MARJANE"</f>
        <v>MARJANE</v>
      </c>
      <c r="C751" s="7">
        <v>46001</v>
      </c>
      <c r="D751" s="7">
        <v>46080</v>
      </c>
      <c r="E751" s="8">
        <v>1</v>
      </c>
      <c r="F751" s="6" t="str">
        <f t="shared" ref="F751:F782" si="218">" "</f>
        <v xml:space="preserve"> </v>
      </c>
      <c r="G751" s="6" t="str">
        <f t="shared" ref="G751:G766" si="219">"F110325055000000"</f>
        <v>F110325055000000</v>
      </c>
      <c r="H751" s="6" t="str">
        <f t="shared" ref="H751:H766" si="220">"FAJ 3250 - 550 g/m²"</f>
        <v>FAJ 3250 - 550 g/m²</v>
      </c>
      <c r="I751" s="6" t="str">
        <f>"1"</f>
        <v>1</v>
      </c>
      <c r="J751" s="6" t="str">
        <f>"BRANCO"</f>
        <v>BRANCO</v>
      </c>
      <c r="K751" s="6" t="str">
        <f>"0522"</f>
        <v>0522</v>
      </c>
      <c r="L751" s="6" t="str">
        <f>"Toalhetes"</f>
        <v>Toalhetes</v>
      </c>
      <c r="M751" s="6" t="str">
        <f>"40x70"</f>
        <v>40x70</v>
      </c>
      <c r="N751" s="6" t="str">
        <f t="shared" si="215"/>
        <v xml:space="preserve"> </v>
      </c>
      <c r="O751" s="8">
        <v>600</v>
      </c>
      <c r="P751" s="7">
        <v>46043</v>
      </c>
      <c r="R751" s="8">
        <v>0</v>
      </c>
      <c r="S751" s="7">
        <v>46048</v>
      </c>
      <c r="U751" s="8">
        <v>672</v>
      </c>
      <c r="V751" s="7">
        <v>46064</v>
      </c>
      <c r="X751" s="8">
        <v>0</v>
      </c>
      <c r="Z751" s="8">
        <v>672</v>
      </c>
      <c r="AA751" s="7">
        <v>46080</v>
      </c>
      <c r="AC751" s="8">
        <v>0</v>
      </c>
      <c r="AE751" s="7">
        <v>46085</v>
      </c>
      <c r="AF751" s="8">
        <v>0</v>
      </c>
      <c r="AH751" s="7">
        <v>46087</v>
      </c>
      <c r="AN751" s="8">
        <v>0</v>
      </c>
      <c r="AO751" s="8">
        <v>600</v>
      </c>
    </row>
    <row r="752" spans="1:41" x14ac:dyDescent="0.25">
      <c r="A752" s="6" t="str">
        <f t="shared" si="216"/>
        <v>521-2025000772</v>
      </c>
      <c r="B752" s="6" t="str">
        <f t="shared" si="217"/>
        <v>MARJANE</v>
      </c>
      <c r="C752" s="7">
        <v>46001</v>
      </c>
      <c r="D752" s="7">
        <v>46080</v>
      </c>
      <c r="E752" s="8">
        <v>2</v>
      </c>
      <c r="F752" s="6" t="str">
        <f t="shared" si="218"/>
        <v xml:space="preserve"> </v>
      </c>
      <c r="G752" s="6" t="str">
        <f t="shared" si="219"/>
        <v>F110325055000000</v>
      </c>
      <c r="H752" s="6" t="str">
        <f t="shared" si="220"/>
        <v>FAJ 3250 - 550 g/m²</v>
      </c>
      <c r="I752" s="6" t="str">
        <f>"1"</f>
        <v>1</v>
      </c>
      <c r="J752" s="6" t="str">
        <f>"BRANCO"</f>
        <v>BRANCO</v>
      </c>
      <c r="K752" s="6" t="str">
        <f>"0320"</f>
        <v>0320</v>
      </c>
      <c r="L752" s="6" t="str">
        <f>"Panos"</f>
        <v>Panos</v>
      </c>
      <c r="M752" s="6" t="str">
        <f>"30x30"</f>
        <v>30x30</v>
      </c>
      <c r="N752" s="6" t="str">
        <f t="shared" si="215"/>
        <v xml:space="preserve"> </v>
      </c>
      <c r="O752" s="8">
        <v>1500</v>
      </c>
      <c r="P752" s="7">
        <v>46043</v>
      </c>
      <c r="R752" s="8">
        <v>2424</v>
      </c>
      <c r="S752" s="7">
        <v>46048</v>
      </c>
      <c r="U752" s="8">
        <v>1584</v>
      </c>
      <c r="V752" s="7">
        <v>46064</v>
      </c>
      <c r="X752" s="8">
        <v>0</v>
      </c>
      <c r="Z752" s="8">
        <v>1584</v>
      </c>
      <c r="AA752" s="7">
        <v>46080</v>
      </c>
      <c r="AC752" s="8">
        <v>0</v>
      </c>
      <c r="AE752" s="7">
        <v>46085</v>
      </c>
      <c r="AF752" s="8">
        <v>0</v>
      </c>
      <c r="AH752" s="7">
        <v>46087</v>
      </c>
      <c r="AN752" s="8">
        <v>0</v>
      </c>
      <c r="AO752" s="8">
        <v>1500</v>
      </c>
    </row>
    <row r="753" spans="1:41" x14ac:dyDescent="0.25">
      <c r="A753" s="6" t="str">
        <f t="shared" si="216"/>
        <v>521-2025000772</v>
      </c>
      <c r="B753" s="6" t="str">
        <f t="shared" si="217"/>
        <v>MARJANE</v>
      </c>
      <c r="C753" s="7">
        <v>46001</v>
      </c>
      <c r="D753" s="7">
        <v>46080</v>
      </c>
      <c r="E753" s="8">
        <v>3</v>
      </c>
      <c r="F753" s="6" t="str">
        <f t="shared" si="218"/>
        <v xml:space="preserve"> </v>
      </c>
      <c r="G753" s="6" t="str">
        <f t="shared" si="219"/>
        <v>F110325055000000</v>
      </c>
      <c r="H753" s="6" t="str">
        <f t="shared" si="220"/>
        <v>FAJ 3250 - 550 g/m²</v>
      </c>
      <c r="I753" s="6" t="str">
        <f>"1"</f>
        <v>1</v>
      </c>
      <c r="J753" s="6" t="str">
        <f>"BRANCO"</f>
        <v>BRANCO</v>
      </c>
      <c r="K753" s="6" t="str">
        <f>"2020"</f>
        <v>2020</v>
      </c>
      <c r="L753" s="6" t="str">
        <f>"Lençóis"</f>
        <v>Lençóis</v>
      </c>
      <c r="M753" s="6" t="str">
        <f>"100x150"</f>
        <v>100x150</v>
      </c>
      <c r="N753" s="6" t="str">
        <f t="shared" si="215"/>
        <v xml:space="preserve"> </v>
      </c>
      <c r="O753" s="8">
        <v>500</v>
      </c>
      <c r="P753" s="7">
        <v>46043</v>
      </c>
      <c r="R753" s="8">
        <v>0</v>
      </c>
      <c r="S753" s="7">
        <v>46048</v>
      </c>
      <c r="U753" s="8">
        <v>568</v>
      </c>
      <c r="V753" s="7">
        <v>46064</v>
      </c>
      <c r="X753" s="8">
        <v>0</v>
      </c>
      <c r="Z753" s="8">
        <v>568</v>
      </c>
      <c r="AA753" s="7">
        <v>46080</v>
      </c>
      <c r="AC753" s="8">
        <v>0</v>
      </c>
      <c r="AE753" s="7">
        <v>46085</v>
      </c>
      <c r="AF753" s="8">
        <v>0</v>
      </c>
      <c r="AH753" s="7">
        <v>46087</v>
      </c>
      <c r="AN753" s="8">
        <v>0</v>
      </c>
      <c r="AO753" s="8">
        <v>500</v>
      </c>
    </row>
    <row r="754" spans="1:41" x14ac:dyDescent="0.25">
      <c r="A754" s="6" t="str">
        <f t="shared" si="216"/>
        <v>521-2025000772</v>
      </c>
      <c r="B754" s="6" t="str">
        <f t="shared" si="217"/>
        <v>MARJANE</v>
      </c>
      <c r="C754" s="7">
        <v>46001</v>
      </c>
      <c r="D754" s="7">
        <v>46080</v>
      </c>
      <c r="E754" s="8">
        <v>4</v>
      </c>
      <c r="F754" s="6" t="str">
        <f t="shared" si="218"/>
        <v xml:space="preserve"> </v>
      </c>
      <c r="G754" s="6" t="str">
        <f t="shared" si="219"/>
        <v>F110325055000000</v>
      </c>
      <c r="H754" s="6" t="str">
        <f t="shared" si="220"/>
        <v>FAJ 3250 - 550 g/m²</v>
      </c>
      <c r="I754" s="6" t="str">
        <f>"4382"</f>
        <v>4382</v>
      </c>
      <c r="J754" s="6" t="str">
        <f>"AMARELO 4382"</f>
        <v>AMARELO 4382</v>
      </c>
      <c r="K754" s="6" t="str">
        <f>"1535"</f>
        <v>1535</v>
      </c>
      <c r="L754" s="6" t="str">
        <f>"Toalhões"</f>
        <v>Toalhões</v>
      </c>
      <c r="M754" s="6" t="str">
        <f>"70x140"</f>
        <v>70x140</v>
      </c>
      <c r="N754" s="6" t="str">
        <f t="shared" si="215"/>
        <v xml:space="preserve"> </v>
      </c>
      <c r="O754" s="8">
        <v>200</v>
      </c>
      <c r="P754" s="7">
        <v>46043</v>
      </c>
      <c r="R754" s="8">
        <v>0</v>
      </c>
      <c r="S754" s="7">
        <v>46048</v>
      </c>
      <c r="U754" s="8">
        <v>234</v>
      </c>
      <c r="V754" s="7">
        <v>46064</v>
      </c>
      <c r="X754" s="8">
        <v>0</v>
      </c>
      <c r="Z754" s="8">
        <v>234</v>
      </c>
      <c r="AA754" s="7">
        <v>46080</v>
      </c>
      <c r="AC754" s="8">
        <v>0</v>
      </c>
      <c r="AE754" s="7">
        <v>46085</v>
      </c>
      <c r="AF754" s="8">
        <v>0</v>
      </c>
      <c r="AH754" s="7">
        <v>46087</v>
      </c>
      <c r="AN754" s="8">
        <v>0</v>
      </c>
      <c r="AO754" s="8">
        <v>200</v>
      </c>
    </row>
    <row r="755" spans="1:41" x14ac:dyDescent="0.25">
      <c r="A755" s="6" t="str">
        <f t="shared" si="216"/>
        <v>521-2025000772</v>
      </c>
      <c r="B755" s="6" t="str">
        <f t="shared" si="217"/>
        <v>MARJANE</v>
      </c>
      <c r="C755" s="7">
        <v>46001</v>
      </c>
      <c r="D755" s="7">
        <v>46080</v>
      </c>
      <c r="E755" s="8">
        <v>5</v>
      </c>
      <c r="F755" s="6" t="str">
        <f t="shared" si="218"/>
        <v xml:space="preserve"> </v>
      </c>
      <c r="G755" s="6" t="str">
        <f t="shared" si="219"/>
        <v>F110325055000000</v>
      </c>
      <c r="H755" s="6" t="str">
        <f t="shared" si="220"/>
        <v>FAJ 3250 - 550 g/m²</v>
      </c>
      <c r="I755" s="6" t="str">
        <f>"4382"</f>
        <v>4382</v>
      </c>
      <c r="J755" s="6" t="str">
        <f>"AMARELO 4382"</f>
        <v>AMARELO 4382</v>
      </c>
      <c r="K755" s="6" t="str">
        <f>"2020"</f>
        <v>2020</v>
      </c>
      <c r="L755" s="6" t="str">
        <f>"Lençóis"</f>
        <v>Lençóis</v>
      </c>
      <c r="M755" s="6" t="str">
        <f>"100x150"</f>
        <v>100x150</v>
      </c>
      <c r="N755" s="6" t="str">
        <f t="shared" si="215"/>
        <v xml:space="preserve"> </v>
      </c>
      <c r="O755" s="8">
        <v>100</v>
      </c>
      <c r="P755" s="7">
        <v>46043</v>
      </c>
      <c r="R755" s="8">
        <v>0</v>
      </c>
      <c r="S755" s="7">
        <v>46048</v>
      </c>
      <c r="U755" s="8">
        <v>112</v>
      </c>
      <c r="V755" s="7">
        <v>46064</v>
      </c>
      <c r="X755" s="8">
        <v>0</v>
      </c>
      <c r="Z755" s="8">
        <v>112</v>
      </c>
      <c r="AA755" s="7">
        <v>46080</v>
      </c>
      <c r="AC755" s="8">
        <v>0</v>
      </c>
      <c r="AE755" s="7">
        <v>46085</v>
      </c>
      <c r="AF755" s="8">
        <v>0</v>
      </c>
      <c r="AH755" s="7">
        <v>46087</v>
      </c>
      <c r="AN755" s="8">
        <v>0</v>
      </c>
      <c r="AO755" s="8">
        <v>100</v>
      </c>
    </row>
    <row r="756" spans="1:41" x14ac:dyDescent="0.25">
      <c r="A756" s="6" t="str">
        <f t="shared" si="216"/>
        <v>521-2025000772</v>
      </c>
      <c r="B756" s="6" t="str">
        <f t="shared" si="217"/>
        <v>MARJANE</v>
      </c>
      <c r="C756" s="7">
        <v>46001</v>
      </c>
      <c r="D756" s="7">
        <v>46080</v>
      </c>
      <c r="E756" s="8">
        <v>6</v>
      </c>
      <c r="F756" s="6" t="str">
        <f t="shared" si="218"/>
        <v xml:space="preserve"> </v>
      </c>
      <c r="G756" s="6" t="str">
        <f t="shared" si="219"/>
        <v>F110325055000000</v>
      </c>
      <c r="H756" s="6" t="str">
        <f t="shared" si="220"/>
        <v>FAJ 3250 - 550 g/m²</v>
      </c>
      <c r="I756" s="6" t="str">
        <f>"4382"</f>
        <v>4382</v>
      </c>
      <c r="J756" s="6" t="str">
        <f>"AMARELO 4382"</f>
        <v>AMARELO 4382</v>
      </c>
      <c r="K756" s="6" t="str">
        <f>"1020"</f>
        <v>1020</v>
      </c>
      <c r="L756" s="6" t="str">
        <f>"Toalhas"</f>
        <v>Toalhas</v>
      </c>
      <c r="M756" s="6" t="str">
        <f>"50x90"</f>
        <v>50x90</v>
      </c>
      <c r="N756" s="6" t="str">
        <f t="shared" si="215"/>
        <v xml:space="preserve"> </v>
      </c>
      <c r="O756" s="8">
        <v>200</v>
      </c>
      <c r="P756" s="7">
        <v>46043</v>
      </c>
      <c r="R756" s="8">
        <v>0</v>
      </c>
      <c r="S756" s="7">
        <v>46048</v>
      </c>
      <c r="U756" s="8">
        <v>252</v>
      </c>
      <c r="V756" s="7">
        <v>46064</v>
      </c>
      <c r="X756" s="8">
        <v>0</v>
      </c>
      <c r="Z756" s="8">
        <v>252</v>
      </c>
      <c r="AA756" s="7">
        <v>46080</v>
      </c>
      <c r="AC756" s="8">
        <v>0</v>
      </c>
      <c r="AE756" s="7">
        <v>46085</v>
      </c>
      <c r="AF756" s="8">
        <v>0</v>
      </c>
      <c r="AH756" s="7">
        <v>46087</v>
      </c>
      <c r="AN756" s="8">
        <v>0</v>
      </c>
      <c r="AO756" s="8">
        <v>200</v>
      </c>
    </row>
    <row r="757" spans="1:41" x14ac:dyDescent="0.25">
      <c r="A757" s="6" t="str">
        <f t="shared" si="216"/>
        <v>521-2025000772</v>
      </c>
      <c r="B757" s="6" t="str">
        <f t="shared" si="217"/>
        <v>MARJANE</v>
      </c>
      <c r="C757" s="7">
        <v>46001</v>
      </c>
      <c r="D757" s="7">
        <v>46080</v>
      </c>
      <c r="E757" s="8">
        <v>7</v>
      </c>
      <c r="F757" s="6" t="str">
        <f t="shared" si="218"/>
        <v xml:space="preserve"> </v>
      </c>
      <c r="G757" s="6" t="str">
        <f t="shared" si="219"/>
        <v>F110325055000000</v>
      </c>
      <c r="H757" s="6" t="str">
        <f t="shared" si="220"/>
        <v>FAJ 3250 - 550 g/m²</v>
      </c>
      <c r="I757" s="6" t="str">
        <f>"4382"</f>
        <v>4382</v>
      </c>
      <c r="J757" s="6" t="str">
        <f>"AMARELO 4382"</f>
        <v>AMARELO 4382</v>
      </c>
      <c r="K757" s="6" t="str">
        <f>"0522"</f>
        <v>0522</v>
      </c>
      <c r="L757" s="6" t="str">
        <f>"Toalhetes"</f>
        <v>Toalhetes</v>
      </c>
      <c r="M757" s="6" t="str">
        <f>"40x70"</f>
        <v>40x70</v>
      </c>
      <c r="N757" s="6" t="str">
        <f t="shared" si="215"/>
        <v xml:space="preserve"> </v>
      </c>
      <c r="O757" s="8">
        <v>200</v>
      </c>
      <c r="P757" s="7">
        <v>46043</v>
      </c>
      <c r="R757" s="8">
        <v>1996</v>
      </c>
      <c r="S757" s="7">
        <v>46048</v>
      </c>
      <c r="U757" s="8">
        <v>224</v>
      </c>
      <c r="V757" s="7">
        <v>46064</v>
      </c>
      <c r="X757" s="8">
        <v>0</v>
      </c>
      <c r="Z757" s="8">
        <v>224</v>
      </c>
      <c r="AA757" s="7">
        <v>46080</v>
      </c>
      <c r="AC757" s="8">
        <v>0</v>
      </c>
      <c r="AE757" s="7">
        <v>46085</v>
      </c>
      <c r="AF757" s="8">
        <v>0</v>
      </c>
      <c r="AH757" s="7">
        <v>46087</v>
      </c>
      <c r="AN757" s="8">
        <v>0</v>
      </c>
      <c r="AO757" s="8">
        <v>200</v>
      </c>
    </row>
    <row r="758" spans="1:41" x14ac:dyDescent="0.25">
      <c r="A758" s="6" t="str">
        <f t="shared" si="216"/>
        <v>521-2025000772</v>
      </c>
      <c r="B758" s="6" t="str">
        <f t="shared" si="217"/>
        <v>MARJANE</v>
      </c>
      <c r="C758" s="7">
        <v>46001</v>
      </c>
      <c r="D758" s="7">
        <v>46080</v>
      </c>
      <c r="E758" s="8">
        <v>8</v>
      </c>
      <c r="F758" s="6" t="str">
        <f t="shared" si="218"/>
        <v xml:space="preserve"> </v>
      </c>
      <c r="G758" s="6" t="str">
        <f t="shared" si="219"/>
        <v>F110325055000000</v>
      </c>
      <c r="H758" s="6" t="str">
        <f t="shared" si="220"/>
        <v>FAJ 3250 - 550 g/m²</v>
      </c>
      <c r="I758" s="6" t="str">
        <f>"5149"</f>
        <v>5149</v>
      </c>
      <c r="J758" s="6" t="str">
        <f>"VERDE 5149"</f>
        <v>VERDE 5149</v>
      </c>
      <c r="K758" s="6" t="str">
        <f>"1535"</f>
        <v>1535</v>
      </c>
      <c r="L758" s="6" t="str">
        <f>"Toalhões"</f>
        <v>Toalhões</v>
      </c>
      <c r="M758" s="6" t="str">
        <f>"70x140"</f>
        <v>70x140</v>
      </c>
      <c r="N758" s="6" t="str">
        <f t="shared" si="215"/>
        <v xml:space="preserve"> </v>
      </c>
      <c r="O758" s="8">
        <v>200</v>
      </c>
      <c r="P758" s="7">
        <v>46043</v>
      </c>
      <c r="R758" s="8">
        <v>0</v>
      </c>
      <c r="S758" s="7">
        <v>46048</v>
      </c>
      <c r="U758" s="8">
        <v>234</v>
      </c>
      <c r="V758" s="7">
        <v>46064</v>
      </c>
      <c r="X758" s="8">
        <v>0</v>
      </c>
      <c r="Z758" s="8">
        <v>234</v>
      </c>
      <c r="AA758" s="7">
        <v>46080</v>
      </c>
      <c r="AC758" s="8">
        <v>0</v>
      </c>
      <c r="AE758" s="7">
        <v>46085</v>
      </c>
      <c r="AF758" s="8">
        <v>0</v>
      </c>
      <c r="AH758" s="7">
        <v>46087</v>
      </c>
      <c r="AN758" s="8">
        <v>0</v>
      </c>
      <c r="AO758" s="8">
        <v>200</v>
      </c>
    </row>
    <row r="759" spans="1:41" x14ac:dyDescent="0.25">
      <c r="A759" s="6" t="str">
        <f t="shared" si="216"/>
        <v>521-2025000772</v>
      </c>
      <c r="B759" s="6" t="str">
        <f t="shared" si="217"/>
        <v>MARJANE</v>
      </c>
      <c r="C759" s="7">
        <v>46001</v>
      </c>
      <c r="D759" s="7">
        <v>46080</v>
      </c>
      <c r="E759" s="8">
        <v>9</v>
      </c>
      <c r="F759" s="6" t="str">
        <f t="shared" si="218"/>
        <v xml:space="preserve"> </v>
      </c>
      <c r="G759" s="6" t="str">
        <f t="shared" si="219"/>
        <v>F110325055000000</v>
      </c>
      <c r="H759" s="6" t="str">
        <f t="shared" si="220"/>
        <v>FAJ 3250 - 550 g/m²</v>
      </c>
      <c r="I759" s="6" t="str">
        <f>"5149"</f>
        <v>5149</v>
      </c>
      <c r="J759" s="6" t="str">
        <f>"VERDE 5149"</f>
        <v>VERDE 5149</v>
      </c>
      <c r="K759" s="6" t="str">
        <f>"2020"</f>
        <v>2020</v>
      </c>
      <c r="L759" s="6" t="str">
        <f>"Lençóis"</f>
        <v>Lençóis</v>
      </c>
      <c r="M759" s="6" t="str">
        <f>"100x150"</f>
        <v>100x150</v>
      </c>
      <c r="N759" s="6" t="str">
        <f t="shared" si="215"/>
        <v xml:space="preserve"> </v>
      </c>
      <c r="O759" s="8">
        <v>100</v>
      </c>
      <c r="P759" s="7">
        <v>46043</v>
      </c>
      <c r="R759" s="8">
        <v>784</v>
      </c>
      <c r="S759" s="7">
        <v>46048</v>
      </c>
      <c r="U759" s="8">
        <v>104</v>
      </c>
      <c r="V759" s="7">
        <v>46064</v>
      </c>
      <c r="X759" s="8">
        <v>0</v>
      </c>
      <c r="Z759" s="8">
        <v>104</v>
      </c>
      <c r="AA759" s="7">
        <v>46080</v>
      </c>
      <c r="AC759" s="8">
        <v>0</v>
      </c>
      <c r="AE759" s="7">
        <v>46085</v>
      </c>
      <c r="AF759" s="8">
        <v>0</v>
      </c>
      <c r="AH759" s="7">
        <v>46087</v>
      </c>
      <c r="AN759" s="8">
        <v>0</v>
      </c>
      <c r="AO759" s="8">
        <v>100</v>
      </c>
    </row>
    <row r="760" spans="1:41" x14ac:dyDescent="0.25">
      <c r="A760" s="6" t="str">
        <f t="shared" si="216"/>
        <v>521-2025000772</v>
      </c>
      <c r="B760" s="6" t="str">
        <f t="shared" si="217"/>
        <v>MARJANE</v>
      </c>
      <c r="C760" s="7">
        <v>46001</v>
      </c>
      <c r="D760" s="7">
        <v>46080</v>
      </c>
      <c r="E760" s="8">
        <v>10</v>
      </c>
      <c r="F760" s="6" t="str">
        <f t="shared" si="218"/>
        <v xml:space="preserve"> </v>
      </c>
      <c r="G760" s="6" t="str">
        <f t="shared" si="219"/>
        <v>F110325055000000</v>
      </c>
      <c r="H760" s="6" t="str">
        <f t="shared" si="220"/>
        <v>FAJ 3250 - 550 g/m²</v>
      </c>
      <c r="I760" s="6" t="str">
        <f>"5149"</f>
        <v>5149</v>
      </c>
      <c r="J760" s="6" t="str">
        <f>"VERDE 5149"</f>
        <v>VERDE 5149</v>
      </c>
      <c r="K760" s="6" t="str">
        <f>"0522"</f>
        <v>0522</v>
      </c>
      <c r="L760" s="6" t="str">
        <f>"Toalhetes"</f>
        <v>Toalhetes</v>
      </c>
      <c r="M760" s="6" t="str">
        <f>"40x70"</f>
        <v>40x70</v>
      </c>
      <c r="N760" s="6" t="str">
        <f t="shared" si="215"/>
        <v xml:space="preserve"> </v>
      </c>
      <c r="O760" s="8">
        <v>700</v>
      </c>
      <c r="P760" s="7">
        <v>46043</v>
      </c>
      <c r="R760" s="8">
        <v>0</v>
      </c>
      <c r="S760" s="7">
        <v>46048</v>
      </c>
      <c r="U760" s="8">
        <v>768</v>
      </c>
      <c r="V760" s="7">
        <v>46064</v>
      </c>
      <c r="X760" s="8">
        <v>0</v>
      </c>
      <c r="Z760" s="8">
        <v>768</v>
      </c>
      <c r="AA760" s="7">
        <v>46080</v>
      </c>
      <c r="AC760" s="8">
        <v>0</v>
      </c>
      <c r="AE760" s="7">
        <v>46085</v>
      </c>
      <c r="AF760" s="8">
        <v>0</v>
      </c>
      <c r="AH760" s="7">
        <v>46087</v>
      </c>
      <c r="AN760" s="8">
        <v>0</v>
      </c>
      <c r="AO760" s="8">
        <v>700</v>
      </c>
    </row>
    <row r="761" spans="1:41" x14ac:dyDescent="0.25">
      <c r="A761" s="6" t="str">
        <f t="shared" si="216"/>
        <v>521-2025000772</v>
      </c>
      <c r="B761" s="6" t="str">
        <f t="shared" si="217"/>
        <v>MARJANE</v>
      </c>
      <c r="C761" s="7">
        <v>46001</v>
      </c>
      <c r="D761" s="7">
        <v>46080</v>
      </c>
      <c r="E761" s="8">
        <v>11</v>
      </c>
      <c r="F761" s="6" t="str">
        <f t="shared" si="218"/>
        <v xml:space="preserve"> </v>
      </c>
      <c r="G761" s="6" t="str">
        <f t="shared" si="219"/>
        <v>F110325055000000</v>
      </c>
      <c r="H761" s="6" t="str">
        <f t="shared" si="220"/>
        <v>FAJ 3250 - 550 g/m²</v>
      </c>
      <c r="I761" s="6" t="str">
        <f>"5149"</f>
        <v>5149</v>
      </c>
      <c r="J761" s="6" t="str">
        <f>"VERDE 5149"</f>
        <v>VERDE 5149</v>
      </c>
      <c r="K761" s="6" t="str">
        <f>"1020"</f>
        <v>1020</v>
      </c>
      <c r="L761" s="6" t="str">
        <f>"Toalhas"</f>
        <v>Toalhas</v>
      </c>
      <c r="M761" s="6" t="str">
        <f>"50x90"</f>
        <v>50x90</v>
      </c>
      <c r="N761" s="6" t="str">
        <f t="shared" si="215"/>
        <v xml:space="preserve"> </v>
      </c>
      <c r="O761" s="8">
        <v>700</v>
      </c>
      <c r="P761" s="7">
        <v>46043</v>
      </c>
      <c r="R761" s="8">
        <v>1252</v>
      </c>
      <c r="S761" s="7">
        <v>46048</v>
      </c>
      <c r="U761" s="8">
        <v>756</v>
      </c>
      <c r="V761" s="7">
        <v>46064</v>
      </c>
      <c r="X761" s="8">
        <v>0</v>
      </c>
      <c r="Z761" s="8">
        <v>756</v>
      </c>
      <c r="AA761" s="7">
        <v>46080</v>
      </c>
      <c r="AC761" s="8">
        <v>0</v>
      </c>
      <c r="AE761" s="7">
        <v>46085</v>
      </c>
      <c r="AF761" s="8">
        <v>0</v>
      </c>
      <c r="AH761" s="7">
        <v>46087</v>
      </c>
      <c r="AN761" s="8">
        <v>0</v>
      </c>
      <c r="AO761" s="8">
        <v>700</v>
      </c>
    </row>
    <row r="762" spans="1:41" x14ac:dyDescent="0.25">
      <c r="A762" s="6" t="str">
        <f t="shared" si="216"/>
        <v>521-2025000772</v>
      </c>
      <c r="B762" s="6" t="str">
        <f t="shared" si="217"/>
        <v>MARJANE</v>
      </c>
      <c r="C762" s="7">
        <v>46001</v>
      </c>
      <c r="D762" s="7">
        <v>46080</v>
      </c>
      <c r="E762" s="8">
        <v>12</v>
      </c>
      <c r="F762" s="6" t="str">
        <f t="shared" si="218"/>
        <v xml:space="preserve"> </v>
      </c>
      <c r="G762" s="6" t="str">
        <f t="shared" si="219"/>
        <v>F110325055000000</v>
      </c>
      <c r="H762" s="6" t="str">
        <f t="shared" si="220"/>
        <v>FAJ 3250 - 550 g/m²</v>
      </c>
      <c r="I762" s="6" t="str">
        <f>"5149"</f>
        <v>5149</v>
      </c>
      <c r="J762" s="6" t="str">
        <f>"VERDE 5149"</f>
        <v>VERDE 5149</v>
      </c>
      <c r="K762" s="6" t="str">
        <f>"0320"</f>
        <v>0320</v>
      </c>
      <c r="L762" s="6" t="str">
        <f>"Panos"</f>
        <v>Panos</v>
      </c>
      <c r="M762" s="6" t="str">
        <f>"30x30"</f>
        <v>30x30</v>
      </c>
      <c r="N762" s="6" t="str">
        <f t="shared" si="215"/>
        <v xml:space="preserve"> </v>
      </c>
      <c r="O762" s="8">
        <v>800</v>
      </c>
      <c r="P762" s="7">
        <v>46043</v>
      </c>
      <c r="R762" s="8">
        <v>0</v>
      </c>
      <c r="S762" s="7">
        <v>46048</v>
      </c>
      <c r="U762" s="8">
        <v>840</v>
      </c>
      <c r="V762" s="7">
        <v>46064</v>
      </c>
      <c r="X762" s="8">
        <v>0</v>
      </c>
      <c r="Z762" s="8">
        <v>840</v>
      </c>
      <c r="AA762" s="7">
        <v>46080</v>
      </c>
      <c r="AC762" s="8">
        <v>0</v>
      </c>
      <c r="AE762" s="7">
        <v>46085</v>
      </c>
      <c r="AF762" s="8">
        <v>0</v>
      </c>
      <c r="AH762" s="7">
        <v>46087</v>
      </c>
      <c r="AN762" s="8">
        <v>0</v>
      </c>
      <c r="AO762" s="8">
        <v>800</v>
      </c>
    </row>
    <row r="763" spans="1:41" x14ac:dyDescent="0.25">
      <c r="A763" s="6" t="str">
        <f t="shared" si="216"/>
        <v>521-2025000772</v>
      </c>
      <c r="B763" s="6" t="str">
        <f t="shared" si="217"/>
        <v>MARJANE</v>
      </c>
      <c r="C763" s="7">
        <v>46001</v>
      </c>
      <c r="D763" s="7">
        <v>46080</v>
      </c>
      <c r="E763" s="8">
        <v>13</v>
      </c>
      <c r="F763" s="6" t="str">
        <f t="shared" si="218"/>
        <v xml:space="preserve"> </v>
      </c>
      <c r="G763" s="6" t="str">
        <f t="shared" si="219"/>
        <v>F110325055000000</v>
      </c>
      <c r="H763" s="6" t="str">
        <f t="shared" si="220"/>
        <v>FAJ 3250 - 550 g/m²</v>
      </c>
      <c r="I763" s="6" t="str">
        <f>"1853"</f>
        <v>1853</v>
      </c>
      <c r="J763" s="6" t="str">
        <f>"ROSA 1853"</f>
        <v>ROSA 1853</v>
      </c>
      <c r="K763" s="6" t="str">
        <f>"1020"</f>
        <v>1020</v>
      </c>
      <c r="L763" s="6" t="str">
        <f>"Toalhas"</f>
        <v>Toalhas</v>
      </c>
      <c r="M763" s="6" t="str">
        <f>"50x90"</f>
        <v>50x90</v>
      </c>
      <c r="N763" s="6" t="str">
        <f t="shared" si="215"/>
        <v xml:space="preserve"> </v>
      </c>
      <c r="O763" s="8">
        <v>200</v>
      </c>
      <c r="P763" s="7">
        <v>46043</v>
      </c>
      <c r="R763" s="8">
        <v>0</v>
      </c>
      <c r="S763" s="7">
        <v>46048</v>
      </c>
      <c r="U763" s="8">
        <v>244</v>
      </c>
      <c r="V763" s="7">
        <v>46064</v>
      </c>
      <c r="X763" s="8">
        <v>0</v>
      </c>
      <c r="Z763" s="8">
        <v>0</v>
      </c>
      <c r="AA763" s="7">
        <v>46080</v>
      </c>
      <c r="AC763" s="8">
        <v>0</v>
      </c>
      <c r="AE763" s="7">
        <v>46085</v>
      </c>
      <c r="AF763" s="8">
        <v>0</v>
      </c>
      <c r="AH763" s="7">
        <v>46087</v>
      </c>
      <c r="AN763" s="8">
        <v>0</v>
      </c>
      <c r="AO763" s="8">
        <v>200</v>
      </c>
    </row>
    <row r="764" spans="1:41" x14ac:dyDescent="0.25">
      <c r="A764" s="6" t="str">
        <f t="shared" si="216"/>
        <v>521-2025000772</v>
      </c>
      <c r="B764" s="6" t="str">
        <f t="shared" si="217"/>
        <v>MARJANE</v>
      </c>
      <c r="C764" s="7">
        <v>46001</v>
      </c>
      <c r="D764" s="7">
        <v>46080</v>
      </c>
      <c r="E764" s="8">
        <v>14</v>
      </c>
      <c r="F764" s="6" t="str">
        <f t="shared" si="218"/>
        <v xml:space="preserve"> </v>
      </c>
      <c r="G764" s="6" t="str">
        <f t="shared" si="219"/>
        <v>F110325055000000</v>
      </c>
      <c r="H764" s="6" t="str">
        <f t="shared" si="220"/>
        <v>FAJ 3250 - 550 g/m²</v>
      </c>
      <c r="I764" s="6" t="str">
        <f>"1853"</f>
        <v>1853</v>
      </c>
      <c r="J764" s="6" t="str">
        <f>"ROSA 1853"</f>
        <v>ROSA 1853</v>
      </c>
      <c r="K764" s="6" t="str">
        <f>"1535"</f>
        <v>1535</v>
      </c>
      <c r="L764" s="6" t="str">
        <f>"Toalhões"</f>
        <v>Toalhões</v>
      </c>
      <c r="M764" s="6" t="str">
        <f>"70x140"</f>
        <v>70x140</v>
      </c>
      <c r="N764" s="6" t="str">
        <f t="shared" si="215"/>
        <v xml:space="preserve"> </v>
      </c>
      <c r="O764" s="8">
        <v>200</v>
      </c>
      <c r="P764" s="7">
        <v>46043</v>
      </c>
      <c r="R764" s="8">
        <v>0</v>
      </c>
      <c r="S764" s="7">
        <v>46048</v>
      </c>
      <c r="U764" s="8">
        <v>234</v>
      </c>
      <c r="V764" s="7">
        <v>46064</v>
      </c>
      <c r="X764" s="8">
        <v>0</v>
      </c>
      <c r="Z764" s="8">
        <v>0</v>
      </c>
      <c r="AA764" s="7">
        <v>46080</v>
      </c>
      <c r="AC764" s="8">
        <v>0</v>
      </c>
      <c r="AE764" s="7">
        <v>46085</v>
      </c>
      <c r="AF764" s="8">
        <v>0</v>
      </c>
      <c r="AH764" s="7">
        <v>46087</v>
      </c>
      <c r="AN764" s="8">
        <v>0</v>
      </c>
      <c r="AO764" s="8">
        <v>200</v>
      </c>
    </row>
    <row r="765" spans="1:41" x14ac:dyDescent="0.25">
      <c r="A765" s="6" t="str">
        <f t="shared" si="216"/>
        <v>521-2025000772</v>
      </c>
      <c r="B765" s="6" t="str">
        <f t="shared" si="217"/>
        <v>MARJANE</v>
      </c>
      <c r="C765" s="7">
        <v>46001</v>
      </c>
      <c r="D765" s="7">
        <v>46080</v>
      </c>
      <c r="E765" s="8">
        <v>15</v>
      </c>
      <c r="F765" s="6" t="str">
        <f t="shared" si="218"/>
        <v xml:space="preserve"> </v>
      </c>
      <c r="G765" s="6" t="str">
        <f t="shared" si="219"/>
        <v>F110325055000000</v>
      </c>
      <c r="H765" s="6" t="str">
        <f t="shared" si="220"/>
        <v>FAJ 3250 - 550 g/m²</v>
      </c>
      <c r="I765" s="6" t="str">
        <f>"5419"</f>
        <v>5419</v>
      </c>
      <c r="J765" s="6" t="str">
        <f>"ROSA 5419"</f>
        <v>ROSA 5419</v>
      </c>
      <c r="K765" s="6" t="str">
        <f>"0522"</f>
        <v>0522</v>
      </c>
      <c r="L765" s="6" t="str">
        <f>"Toalhetes"</f>
        <v>Toalhetes</v>
      </c>
      <c r="M765" s="6" t="str">
        <f>"40x70"</f>
        <v>40x70</v>
      </c>
      <c r="N765" s="6" t="str">
        <f t="shared" si="215"/>
        <v xml:space="preserve"> </v>
      </c>
      <c r="O765" s="8">
        <v>300</v>
      </c>
      <c r="P765" s="7">
        <v>46043</v>
      </c>
      <c r="R765" s="8">
        <v>0</v>
      </c>
      <c r="S765" s="7">
        <v>46048</v>
      </c>
      <c r="U765" s="8">
        <v>332</v>
      </c>
      <c r="V765" s="7">
        <v>46064</v>
      </c>
      <c r="X765" s="8">
        <v>0</v>
      </c>
      <c r="Z765" s="8">
        <v>0</v>
      </c>
      <c r="AA765" s="7">
        <v>46080</v>
      </c>
      <c r="AC765" s="8">
        <v>0</v>
      </c>
      <c r="AE765" s="7">
        <v>46085</v>
      </c>
      <c r="AF765" s="8">
        <v>0</v>
      </c>
      <c r="AH765" s="7">
        <v>46087</v>
      </c>
      <c r="AN765" s="8">
        <v>0</v>
      </c>
      <c r="AO765" s="8">
        <v>300</v>
      </c>
    </row>
    <row r="766" spans="1:41" x14ac:dyDescent="0.25">
      <c r="A766" s="6" t="str">
        <f t="shared" si="216"/>
        <v>521-2025000772</v>
      </c>
      <c r="B766" s="6" t="str">
        <f t="shared" si="217"/>
        <v>MARJANE</v>
      </c>
      <c r="C766" s="7">
        <v>46001</v>
      </c>
      <c r="D766" s="7">
        <v>46080</v>
      </c>
      <c r="E766" s="8">
        <v>16</v>
      </c>
      <c r="F766" s="6" t="str">
        <f t="shared" si="218"/>
        <v xml:space="preserve"> </v>
      </c>
      <c r="G766" s="6" t="str">
        <f t="shared" si="219"/>
        <v>F110325055000000</v>
      </c>
      <c r="H766" s="6" t="str">
        <f t="shared" si="220"/>
        <v>FAJ 3250 - 550 g/m²</v>
      </c>
      <c r="I766" s="6" t="str">
        <f>"5419"</f>
        <v>5419</v>
      </c>
      <c r="J766" s="6" t="str">
        <f>"ROSA 5419"</f>
        <v>ROSA 5419</v>
      </c>
      <c r="K766" s="6" t="str">
        <f>"1535"</f>
        <v>1535</v>
      </c>
      <c r="L766" s="6" t="str">
        <f>"Toalhões"</f>
        <v>Toalhões</v>
      </c>
      <c r="M766" s="6" t="str">
        <f>"70x140"</f>
        <v>70x140</v>
      </c>
      <c r="N766" s="6" t="str">
        <f t="shared" si="215"/>
        <v xml:space="preserve"> </v>
      </c>
      <c r="O766" s="8">
        <v>250</v>
      </c>
      <c r="P766" s="7">
        <v>46043</v>
      </c>
      <c r="R766" s="8">
        <v>993</v>
      </c>
      <c r="S766" s="7">
        <v>46048</v>
      </c>
      <c r="U766" s="8">
        <v>291</v>
      </c>
      <c r="V766" s="7">
        <v>46064</v>
      </c>
      <c r="X766" s="8">
        <v>0</v>
      </c>
      <c r="Z766" s="8">
        <v>0</v>
      </c>
      <c r="AA766" s="7">
        <v>46080</v>
      </c>
      <c r="AC766" s="8">
        <v>0</v>
      </c>
      <c r="AE766" s="7">
        <v>46085</v>
      </c>
      <c r="AF766" s="8">
        <v>0</v>
      </c>
      <c r="AH766" s="7">
        <v>46087</v>
      </c>
      <c r="AN766" s="8">
        <v>0</v>
      </c>
      <c r="AO766" s="8">
        <v>250</v>
      </c>
    </row>
    <row r="767" spans="1:41" x14ac:dyDescent="0.25">
      <c r="A767" s="6" t="str">
        <f t="shared" si="216"/>
        <v>521-2025000772</v>
      </c>
      <c r="B767" s="6" t="str">
        <f t="shared" si="217"/>
        <v>MARJANE</v>
      </c>
      <c r="C767" s="7">
        <v>46001</v>
      </c>
      <c r="D767" s="7">
        <v>46080</v>
      </c>
      <c r="E767" s="8">
        <v>17</v>
      </c>
      <c r="F767" s="6" t="str">
        <f t="shared" si="218"/>
        <v xml:space="preserve"> </v>
      </c>
      <c r="G767" s="6" t="str">
        <f t="shared" ref="G767:G777" si="221">"F110108765000002"</f>
        <v>F110108765000002</v>
      </c>
      <c r="H767" s="6" t="str">
        <f t="shared" ref="H767:H777" si="222">"FAJP 1087 M - 650 g/"</f>
        <v>FAJP 1087 M - 650 g/</v>
      </c>
      <c r="I767" s="6" t="str">
        <f>"1"</f>
        <v>1</v>
      </c>
      <c r="J767" s="6" t="str">
        <f>"BRANCO"</f>
        <v>BRANCO</v>
      </c>
      <c r="K767" s="6" t="str">
        <f>"1020"</f>
        <v>1020</v>
      </c>
      <c r="L767" s="6" t="str">
        <f>"Toalhas"</f>
        <v>Toalhas</v>
      </c>
      <c r="M767" s="6" t="str">
        <f>"50x90"</f>
        <v>50x90</v>
      </c>
      <c r="N767" s="6" t="str">
        <f t="shared" si="215"/>
        <v xml:space="preserve"> </v>
      </c>
      <c r="O767" s="8">
        <v>300</v>
      </c>
      <c r="P767" s="7">
        <v>46043</v>
      </c>
      <c r="R767" s="8">
        <v>0</v>
      </c>
      <c r="S767" s="7">
        <v>46048</v>
      </c>
      <c r="U767" s="8">
        <v>352</v>
      </c>
      <c r="V767" s="7">
        <v>46064</v>
      </c>
      <c r="X767" s="8">
        <v>0</v>
      </c>
      <c r="Z767" s="8">
        <v>0</v>
      </c>
      <c r="AA767" s="7">
        <v>46080</v>
      </c>
      <c r="AC767" s="8">
        <v>0</v>
      </c>
      <c r="AE767" s="7">
        <v>46085</v>
      </c>
      <c r="AF767" s="8">
        <v>0</v>
      </c>
      <c r="AH767" s="7">
        <v>46087</v>
      </c>
      <c r="AN767" s="8">
        <v>0</v>
      </c>
      <c r="AO767" s="8">
        <v>300</v>
      </c>
    </row>
    <row r="768" spans="1:41" x14ac:dyDescent="0.25">
      <c r="A768" s="6" t="str">
        <f t="shared" si="216"/>
        <v>521-2025000772</v>
      </c>
      <c r="B768" s="6" t="str">
        <f t="shared" si="217"/>
        <v>MARJANE</v>
      </c>
      <c r="C768" s="7">
        <v>46001</v>
      </c>
      <c r="D768" s="7">
        <v>46080</v>
      </c>
      <c r="E768" s="8">
        <v>18</v>
      </c>
      <c r="F768" s="6" t="str">
        <f t="shared" si="218"/>
        <v xml:space="preserve"> </v>
      </c>
      <c r="G768" s="6" t="str">
        <f t="shared" si="221"/>
        <v>F110108765000002</v>
      </c>
      <c r="H768" s="6" t="str">
        <f t="shared" si="222"/>
        <v>FAJP 1087 M - 650 g/</v>
      </c>
      <c r="I768" s="6" t="str">
        <f>"1"</f>
        <v>1</v>
      </c>
      <c r="J768" s="6" t="str">
        <f>"BRANCO"</f>
        <v>BRANCO</v>
      </c>
      <c r="K768" s="6" t="str">
        <f>"1535"</f>
        <v>1535</v>
      </c>
      <c r="L768" s="6" t="str">
        <f>"Toalhões"</f>
        <v>Toalhões</v>
      </c>
      <c r="M768" s="6" t="str">
        <f>"70x140"</f>
        <v>70x140</v>
      </c>
      <c r="N768" s="6" t="str">
        <f t="shared" si="215"/>
        <v xml:space="preserve"> </v>
      </c>
      <c r="O768" s="8">
        <v>100</v>
      </c>
      <c r="P768" s="7">
        <v>46043</v>
      </c>
      <c r="R768" s="8">
        <v>0</v>
      </c>
      <c r="S768" s="7">
        <v>46048</v>
      </c>
      <c r="U768" s="8">
        <v>132</v>
      </c>
      <c r="V768" s="7">
        <v>46064</v>
      </c>
      <c r="X768" s="8">
        <v>0</v>
      </c>
      <c r="Z768" s="8">
        <v>0</v>
      </c>
      <c r="AA768" s="7">
        <v>46080</v>
      </c>
      <c r="AC768" s="8">
        <v>0</v>
      </c>
      <c r="AE768" s="7">
        <v>46085</v>
      </c>
      <c r="AF768" s="8">
        <v>0</v>
      </c>
      <c r="AH768" s="7">
        <v>46087</v>
      </c>
      <c r="AN768" s="8">
        <v>0</v>
      </c>
      <c r="AO768" s="8">
        <v>100</v>
      </c>
    </row>
    <row r="769" spans="1:41" x14ac:dyDescent="0.25">
      <c r="A769" s="6" t="str">
        <f t="shared" si="216"/>
        <v>521-2025000772</v>
      </c>
      <c r="B769" s="6" t="str">
        <f t="shared" si="217"/>
        <v>MARJANE</v>
      </c>
      <c r="C769" s="7">
        <v>46001</v>
      </c>
      <c r="D769" s="7">
        <v>46080</v>
      </c>
      <c r="E769" s="8">
        <v>19</v>
      </c>
      <c r="F769" s="6" t="str">
        <f t="shared" si="218"/>
        <v xml:space="preserve"> </v>
      </c>
      <c r="G769" s="6" t="str">
        <f t="shared" si="221"/>
        <v>F110108765000002</v>
      </c>
      <c r="H769" s="6" t="str">
        <f t="shared" si="222"/>
        <v>FAJP 1087 M - 650 g/</v>
      </c>
      <c r="I769" s="6" t="str">
        <f>"1"</f>
        <v>1</v>
      </c>
      <c r="J769" s="6" t="str">
        <f>"BRANCO"</f>
        <v>BRANCO</v>
      </c>
      <c r="K769" s="6" t="str">
        <f>"2020"</f>
        <v>2020</v>
      </c>
      <c r="L769" s="6" t="str">
        <f>"Lençóis"</f>
        <v>Lençóis</v>
      </c>
      <c r="M769" s="6" t="str">
        <f>"100x150"</f>
        <v>100x150</v>
      </c>
      <c r="N769" s="6" t="str">
        <f t="shared" si="215"/>
        <v xml:space="preserve"> </v>
      </c>
      <c r="O769" s="8">
        <v>100</v>
      </c>
      <c r="P769" s="7">
        <v>46043</v>
      </c>
      <c r="R769" s="8">
        <v>0</v>
      </c>
      <c r="S769" s="7">
        <v>46048</v>
      </c>
      <c r="U769" s="8">
        <v>112</v>
      </c>
      <c r="V769" s="7">
        <v>46064</v>
      </c>
      <c r="X769" s="8">
        <v>0</v>
      </c>
      <c r="Z769" s="8">
        <v>0</v>
      </c>
      <c r="AA769" s="7">
        <v>46080</v>
      </c>
      <c r="AC769" s="8">
        <v>0</v>
      </c>
      <c r="AE769" s="7">
        <v>46085</v>
      </c>
      <c r="AF769" s="8">
        <v>0</v>
      </c>
      <c r="AH769" s="7">
        <v>46087</v>
      </c>
      <c r="AN769" s="8">
        <v>0</v>
      </c>
      <c r="AO769" s="8">
        <v>100</v>
      </c>
    </row>
    <row r="770" spans="1:41" x14ac:dyDescent="0.25">
      <c r="A770" s="6" t="str">
        <f t="shared" si="216"/>
        <v>521-2025000772</v>
      </c>
      <c r="B770" s="6" t="str">
        <f t="shared" si="217"/>
        <v>MARJANE</v>
      </c>
      <c r="C770" s="7">
        <v>46001</v>
      </c>
      <c r="D770" s="7">
        <v>46080</v>
      </c>
      <c r="E770" s="8">
        <v>20</v>
      </c>
      <c r="F770" s="6" t="str">
        <f t="shared" si="218"/>
        <v xml:space="preserve"> </v>
      </c>
      <c r="G770" s="6" t="str">
        <f t="shared" si="221"/>
        <v>F110108765000002</v>
      </c>
      <c r="H770" s="6" t="str">
        <f t="shared" si="222"/>
        <v>FAJP 1087 M - 650 g/</v>
      </c>
      <c r="I770" s="6" t="str">
        <f>"1411"</f>
        <v>1411</v>
      </c>
      <c r="J770" s="6" t="str">
        <f>"AMARELO 1411"</f>
        <v>AMARELO 1411</v>
      </c>
      <c r="K770" s="6" t="str">
        <f>"2020"</f>
        <v>2020</v>
      </c>
      <c r="L770" s="6" t="str">
        <f>"Lençóis"</f>
        <v>Lençóis</v>
      </c>
      <c r="M770" s="6" t="str">
        <f>"100x150"</f>
        <v>100x150</v>
      </c>
      <c r="N770" s="6" t="str">
        <f t="shared" si="215"/>
        <v xml:space="preserve"> </v>
      </c>
      <c r="O770" s="8">
        <v>200</v>
      </c>
      <c r="P770" s="7">
        <v>46043</v>
      </c>
      <c r="R770" s="8">
        <v>0</v>
      </c>
      <c r="S770" s="7">
        <v>46048</v>
      </c>
      <c r="U770" s="8">
        <v>224</v>
      </c>
      <c r="V770" s="7">
        <v>46064</v>
      </c>
      <c r="X770" s="8">
        <v>0</v>
      </c>
      <c r="Z770" s="8">
        <v>0</v>
      </c>
      <c r="AA770" s="7">
        <v>46080</v>
      </c>
      <c r="AC770" s="8">
        <v>0</v>
      </c>
      <c r="AE770" s="7">
        <v>46085</v>
      </c>
      <c r="AF770" s="8">
        <v>0</v>
      </c>
      <c r="AH770" s="7">
        <v>46087</v>
      </c>
      <c r="AN770" s="8">
        <v>0</v>
      </c>
      <c r="AO770" s="8">
        <v>200</v>
      </c>
    </row>
    <row r="771" spans="1:41" x14ac:dyDescent="0.25">
      <c r="A771" s="6" t="str">
        <f t="shared" si="216"/>
        <v>521-2025000772</v>
      </c>
      <c r="B771" s="6" t="str">
        <f t="shared" si="217"/>
        <v>MARJANE</v>
      </c>
      <c r="C771" s="7">
        <v>46001</v>
      </c>
      <c r="D771" s="7">
        <v>46080</v>
      </c>
      <c r="E771" s="8">
        <v>21</v>
      </c>
      <c r="F771" s="6" t="str">
        <f t="shared" si="218"/>
        <v xml:space="preserve"> </v>
      </c>
      <c r="G771" s="6" t="str">
        <f t="shared" si="221"/>
        <v>F110108765000002</v>
      </c>
      <c r="H771" s="6" t="str">
        <f t="shared" si="222"/>
        <v>FAJP 1087 M - 650 g/</v>
      </c>
      <c r="I771" s="6" t="str">
        <f>"1411"</f>
        <v>1411</v>
      </c>
      <c r="J771" s="6" t="str">
        <f>"AMARELO 1411"</f>
        <v>AMARELO 1411</v>
      </c>
      <c r="K771" s="6" t="str">
        <f>"1535"</f>
        <v>1535</v>
      </c>
      <c r="L771" s="6" t="str">
        <f>"Toalhões"</f>
        <v>Toalhões</v>
      </c>
      <c r="M771" s="6" t="str">
        <f>"70x140"</f>
        <v>70x140</v>
      </c>
      <c r="N771" s="6" t="str">
        <f t="shared" si="215"/>
        <v xml:space="preserve"> </v>
      </c>
      <c r="O771" s="8">
        <v>200</v>
      </c>
      <c r="P771" s="7">
        <v>46043</v>
      </c>
      <c r="R771" s="8">
        <v>0</v>
      </c>
      <c r="S771" s="7">
        <v>46048</v>
      </c>
      <c r="U771" s="8">
        <v>225</v>
      </c>
      <c r="V771" s="7">
        <v>46064</v>
      </c>
      <c r="X771" s="8">
        <v>0</v>
      </c>
      <c r="Z771" s="8">
        <v>0</v>
      </c>
      <c r="AA771" s="7">
        <v>46080</v>
      </c>
      <c r="AC771" s="8">
        <v>0</v>
      </c>
      <c r="AE771" s="7">
        <v>46085</v>
      </c>
      <c r="AF771" s="8">
        <v>0</v>
      </c>
      <c r="AH771" s="7">
        <v>46087</v>
      </c>
      <c r="AN771" s="8">
        <v>0</v>
      </c>
      <c r="AO771" s="8">
        <v>200</v>
      </c>
    </row>
    <row r="772" spans="1:41" x14ac:dyDescent="0.25">
      <c r="A772" s="6" t="str">
        <f t="shared" si="216"/>
        <v>521-2025000772</v>
      </c>
      <c r="B772" s="6" t="str">
        <f t="shared" si="217"/>
        <v>MARJANE</v>
      </c>
      <c r="C772" s="7">
        <v>46001</v>
      </c>
      <c r="D772" s="7">
        <v>46080</v>
      </c>
      <c r="E772" s="8">
        <v>22</v>
      </c>
      <c r="F772" s="6" t="str">
        <f t="shared" si="218"/>
        <v xml:space="preserve"> </v>
      </c>
      <c r="G772" s="6" t="str">
        <f t="shared" si="221"/>
        <v>F110108765000002</v>
      </c>
      <c r="H772" s="6" t="str">
        <f t="shared" si="222"/>
        <v>FAJP 1087 M - 650 g/</v>
      </c>
      <c r="I772" s="6" t="str">
        <f>"1411"</f>
        <v>1411</v>
      </c>
      <c r="J772" s="6" t="str">
        <f>"AMARELO 1411"</f>
        <v>AMARELO 1411</v>
      </c>
      <c r="K772" s="6" t="str">
        <f>"1020"</f>
        <v>1020</v>
      </c>
      <c r="L772" s="6" t="str">
        <f>"Toalhas"</f>
        <v>Toalhas</v>
      </c>
      <c r="M772" s="6" t="str">
        <f>"50x90"</f>
        <v>50x90</v>
      </c>
      <c r="N772" s="6" t="str">
        <f t="shared" si="215"/>
        <v xml:space="preserve"> </v>
      </c>
      <c r="O772" s="8">
        <v>200</v>
      </c>
      <c r="P772" s="7">
        <v>46043</v>
      </c>
      <c r="R772" s="8">
        <v>0</v>
      </c>
      <c r="S772" s="7">
        <v>46048</v>
      </c>
      <c r="U772" s="8">
        <v>216</v>
      </c>
      <c r="V772" s="7">
        <v>46064</v>
      </c>
      <c r="X772" s="8">
        <v>0</v>
      </c>
      <c r="Z772" s="8">
        <v>0</v>
      </c>
      <c r="AA772" s="7">
        <v>46080</v>
      </c>
      <c r="AC772" s="8">
        <v>0</v>
      </c>
      <c r="AE772" s="7">
        <v>46085</v>
      </c>
      <c r="AF772" s="8">
        <v>0</v>
      </c>
      <c r="AH772" s="7">
        <v>46087</v>
      </c>
      <c r="AN772" s="8">
        <v>0</v>
      </c>
      <c r="AO772" s="8">
        <v>200</v>
      </c>
    </row>
    <row r="773" spans="1:41" x14ac:dyDescent="0.25">
      <c r="A773" s="6" t="str">
        <f t="shared" si="216"/>
        <v>521-2025000772</v>
      </c>
      <c r="B773" s="6" t="str">
        <f t="shared" si="217"/>
        <v>MARJANE</v>
      </c>
      <c r="C773" s="7">
        <v>46001</v>
      </c>
      <c r="D773" s="7">
        <v>46080</v>
      </c>
      <c r="E773" s="8">
        <v>23</v>
      </c>
      <c r="F773" s="6" t="str">
        <f t="shared" si="218"/>
        <v xml:space="preserve"> </v>
      </c>
      <c r="G773" s="6" t="str">
        <f t="shared" si="221"/>
        <v>F110108765000002</v>
      </c>
      <c r="H773" s="6" t="str">
        <f t="shared" si="222"/>
        <v>FAJP 1087 M - 650 g/</v>
      </c>
      <c r="I773" s="6" t="str">
        <f>"2963"</f>
        <v>2963</v>
      </c>
      <c r="J773" s="6" t="str">
        <f>"BEGE 2963"</f>
        <v>BEGE 2963</v>
      </c>
      <c r="K773" s="6" t="str">
        <f>"2020"</f>
        <v>2020</v>
      </c>
      <c r="L773" s="6" t="str">
        <f>"Lençóis"</f>
        <v>Lençóis</v>
      </c>
      <c r="M773" s="6" t="str">
        <f>"100x150"</f>
        <v>100x150</v>
      </c>
      <c r="N773" s="6" t="str">
        <f t="shared" si="215"/>
        <v xml:space="preserve"> </v>
      </c>
      <c r="O773" s="8">
        <v>200</v>
      </c>
      <c r="P773" s="7">
        <v>46043</v>
      </c>
      <c r="R773" s="8">
        <v>0</v>
      </c>
      <c r="S773" s="7">
        <v>46048</v>
      </c>
      <c r="U773" s="8">
        <v>240</v>
      </c>
      <c r="V773" s="7">
        <v>46064</v>
      </c>
      <c r="X773" s="8">
        <v>0</v>
      </c>
      <c r="Z773" s="8">
        <v>240</v>
      </c>
      <c r="AA773" s="7">
        <v>46080</v>
      </c>
      <c r="AC773" s="8">
        <v>0</v>
      </c>
      <c r="AE773" s="7">
        <v>46085</v>
      </c>
      <c r="AF773" s="8">
        <v>0</v>
      </c>
      <c r="AH773" s="7">
        <v>46087</v>
      </c>
      <c r="AN773" s="8">
        <v>0</v>
      </c>
      <c r="AO773" s="8">
        <v>200</v>
      </c>
    </row>
    <row r="774" spans="1:41" x14ac:dyDescent="0.25">
      <c r="A774" s="6" t="str">
        <f t="shared" si="216"/>
        <v>521-2025000772</v>
      </c>
      <c r="B774" s="6" t="str">
        <f t="shared" si="217"/>
        <v>MARJANE</v>
      </c>
      <c r="C774" s="7">
        <v>46001</v>
      </c>
      <c r="D774" s="7">
        <v>46080</v>
      </c>
      <c r="E774" s="8">
        <v>24</v>
      </c>
      <c r="F774" s="6" t="str">
        <f t="shared" si="218"/>
        <v xml:space="preserve"> </v>
      </c>
      <c r="G774" s="6" t="str">
        <f t="shared" si="221"/>
        <v>F110108765000002</v>
      </c>
      <c r="H774" s="6" t="str">
        <f t="shared" si="222"/>
        <v>FAJP 1087 M - 650 g/</v>
      </c>
      <c r="I774" s="6" t="str">
        <f>"2999"</f>
        <v>2999</v>
      </c>
      <c r="J774" s="6" t="str">
        <f>"BEGE 2999"</f>
        <v>BEGE 2999</v>
      </c>
      <c r="K774" s="6" t="str">
        <f>"0522"</f>
        <v>0522</v>
      </c>
      <c r="L774" s="6" t="str">
        <f>"Toalhetes"</f>
        <v>Toalhetes</v>
      </c>
      <c r="M774" s="6" t="str">
        <f>"40x70"</f>
        <v>40x70</v>
      </c>
      <c r="N774" s="6" t="str">
        <f t="shared" si="215"/>
        <v xml:space="preserve"> </v>
      </c>
      <c r="O774" s="8">
        <v>200</v>
      </c>
      <c r="P774" s="7">
        <v>46043</v>
      </c>
      <c r="R774" s="8">
        <v>260</v>
      </c>
      <c r="S774" s="7">
        <v>46048</v>
      </c>
      <c r="U774" s="8">
        <v>260</v>
      </c>
      <c r="V774" s="7">
        <v>46064</v>
      </c>
      <c r="X774" s="8">
        <v>0</v>
      </c>
      <c r="Z774" s="8">
        <v>260</v>
      </c>
      <c r="AA774" s="7">
        <v>46080</v>
      </c>
      <c r="AC774" s="8">
        <v>0</v>
      </c>
      <c r="AE774" s="7">
        <v>46085</v>
      </c>
      <c r="AF774" s="8">
        <v>0</v>
      </c>
      <c r="AH774" s="7">
        <v>46087</v>
      </c>
      <c r="AN774" s="8">
        <v>0</v>
      </c>
      <c r="AO774" s="8">
        <v>200</v>
      </c>
    </row>
    <row r="775" spans="1:41" x14ac:dyDescent="0.25">
      <c r="A775" s="6" t="str">
        <f t="shared" si="216"/>
        <v>521-2025000772</v>
      </c>
      <c r="B775" s="6" t="str">
        <f t="shared" si="217"/>
        <v>MARJANE</v>
      </c>
      <c r="C775" s="7">
        <v>46001</v>
      </c>
      <c r="D775" s="7">
        <v>46080</v>
      </c>
      <c r="E775" s="8">
        <v>25</v>
      </c>
      <c r="F775" s="6" t="str">
        <f t="shared" si="218"/>
        <v xml:space="preserve"> </v>
      </c>
      <c r="G775" s="6" t="str">
        <f t="shared" si="221"/>
        <v>F110108765000002</v>
      </c>
      <c r="H775" s="6" t="str">
        <f t="shared" si="222"/>
        <v>FAJP 1087 M - 650 g/</v>
      </c>
      <c r="I775" s="6" t="str">
        <f>"2999"</f>
        <v>2999</v>
      </c>
      <c r="J775" s="6" t="str">
        <f>"BEGE 2999"</f>
        <v>BEGE 2999</v>
      </c>
      <c r="K775" s="6" t="str">
        <f>"1020"</f>
        <v>1020</v>
      </c>
      <c r="L775" s="6" t="str">
        <f>"Toalhas"</f>
        <v>Toalhas</v>
      </c>
      <c r="M775" s="6" t="str">
        <f>"50x90"</f>
        <v>50x90</v>
      </c>
      <c r="N775" s="6" t="str">
        <f t="shared" si="215"/>
        <v xml:space="preserve"> </v>
      </c>
      <c r="O775" s="8">
        <v>200</v>
      </c>
      <c r="P775" s="7">
        <v>46043</v>
      </c>
      <c r="R775" s="8">
        <v>784</v>
      </c>
      <c r="S775" s="7">
        <v>46048</v>
      </c>
      <c r="U775" s="8">
        <v>216</v>
      </c>
      <c r="V775" s="7">
        <v>46064</v>
      </c>
      <c r="X775" s="8">
        <v>0</v>
      </c>
      <c r="Z775" s="8">
        <v>216</v>
      </c>
      <c r="AA775" s="7">
        <v>46080</v>
      </c>
      <c r="AC775" s="8">
        <v>0</v>
      </c>
      <c r="AE775" s="7">
        <v>46085</v>
      </c>
      <c r="AF775" s="8">
        <v>0</v>
      </c>
      <c r="AH775" s="7">
        <v>46087</v>
      </c>
      <c r="AN775" s="8">
        <v>0</v>
      </c>
      <c r="AO775" s="8">
        <v>200</v>
      </c>
    </row>
    <row r="776" spans="1:41" x14ac:dyDescent="0.25">
      <c r="A776" s="6" t="str">
        <f t="shared" si="216"/>
        <v>521-2025000772</v>
      </c>
      <c r="B776" s="6" t="str">
        <f t="shared" si="217"/>
        <v>MARJANE</v>
      </c>
      <c r="C776" s="7">
        <v>46001</v>
      </c>
      <c r="D776" s="7">
        <v>46080</v>
      </c>
      <c r="E776" s="8">
        <v>26</v>
      </c>
      <c r="F776" s="6" t="str">
        <f t="shared" si="218"/>
        <v xml:space="preserve"> </v>
      </c>
      <c r="G776" s="6" t="str">
        <f t="shared" si="221"/>
        <v>F110108765000002</v>
      </c>
      <c r="H776" s="6" t="str">
        <f t="shared" si="222"/>
        <v>FAJP 1087 M - 650 g/</v>
      </c>
      <c r="I776" s="6" t="str">
        <f>"2999"</f>
        <v>2999</v>
      </c>
      <c r="J776" s="6" t="str">
        <f>"BEGE 2999"</f>
        <v>BEGE 2999</v>
      </c>
      <c r="K776" s="6" t="str">
        <f>"1535"</f>
        <v>1535</v>
      </c>
      <c r="L776" s="6" t="str">
        <f>"Toalhões"</f>
        <v>Toalhões</v>
      </c>
      <c r="M776" s="6" t="str">
        <f>"70x140"</f>
        <v>70x140</v>
      </c>
      <c r="N776" s="6" t="str">
        <f t="shared" si="215"/>
        <v xml:space="preserve"> </v>
      </c>
      <c r="O776" s="8">
        <v>200</v>
      </c>
      <c r="P776" s="7">
        <v>46043</v>
      </c>
      <c r="R776" s="8">
        <v>582</v>
      </c>
      <c r="S776" s="7">
        <v>46048</v>
      </c>
      <c r="U776" s="8">
        <v>225</v>
      </c>
      <c r="V776" s="7">
        <v>46064</v>
      </c>
      <c r="X776" s="8">
        <v>0</v>
      </c>
      <c r="Z776" s="8">
        <v>225</v>
      </c>
      <c r="AA776" s="7">
        <v>46080</v>
      </c>
      <c r="AC776" s="8">
        <v>0</v>
      </c>
      <c r="AE776" s="7">
        <v>46085</v>
      </c>
      <c r="AF776" s="8">
        <v>0</v>
      </c>
      <c r="AH776" s="7">
        <v>46087</v>
      </c>
      <c r="AN776" s="8">
        <v>0</v>
      </c>
      <c r="AO776" s="8">
        <v>200</v>
      </c>
    </row>
    <row r="777" spans="1:41" x14ac:dyDescent="0.25">
      <c r="A777" s="6" t="str">
        <f t="shared" si="216"/>
        <v>521-2025000772</v>
      </c>
      <c r="B777" s="6" t="str">
        <f t="shared" si="217"/>
        <v>MARJANE</v>
      </c>
      <c r="C777" s="7">
        <v>46001</v>
      </c>
      <c r="D777" s="7">
        <v>46080</v>
      </c>
      <c r="E777" s="8">
        <v>27</v>
      </c>
      <c r="F777" s="6" t="str">
        <f t="shared" si="218"/>
        <v xml:space="preserve"> </v>
      </c>
      <c r="G777" s="6" t="str">
        <f t="shared" si="221"/>
        <v>F110108765000002</v>
      </c>
      <c r="H777" s="6" t="str">
        <f t="shared" si="222"/>
        <v>FAJP 1087 M - 650 g/</v>
      </c>
      <c r="I777" s="6" t="str">
        <f>"2999"</f>
        <v>2999</v>
      </c>
      <c r="J777" s="6" t="str">
        <f>"BEGE 2999"</f>
        <v>BEGE 2999</v>
      </c>
      <c r="K777" s="6" t="str">
        <f>"2020"</f>
        <v>2020</v>
      </c>
      <c r="L777" s="6" t="str">
        <f>"Lençóis"</f>
        <v>Lençóis</v>
      </c>
      <c r="M777" s="6" t="str">
        <f>"100x150"</f>
        <v>100x150</v>
      </c>
      <c r="N777" s="6" t="str">
        <f t="shared" si="215"/>
        <v xml:space="preserve"> </v>
      </c>
      <c r="O777" s="8">
        <v>100</v>
      </c>
      <c r="P777" s="7">
        <v>46043</v>
      </c>
      <c r="R777" s="8">
        <v>692</v>
      </c>
      <c r="S777" s="7">
        <v>46048</v>
      </c>
      <c r="U777" s="8">
        <v>116</v>
      </c>
      <c r="V777" s="7">
        <v>46064</v>
      </c>
      <c r="X777" s="8">
        <v>0</v>
      </c>
      <c r="Z777" s="8">
        <v>116</v>
      </c>
      <c r="AA777" s="7">
        <v>46080</v>
      </c>
      <c r="AC777" s="8">
        <v>0</v>
      </c>
      <c r="AE777" s="7">
        <v>46085</v>
      </c>
      <c r="AF777" s="8">
        <v>0</v>
      </c>
      <c r="AH777" s="7">
        <v>46087</v>
      </c>
      <c r="AN777" s="8">
        <v>0</v>
      </c>
      <c r="AO777" s="8">
        <v>100</v>
      </c>
    </row>
    <row r="778" spans="1:41" x14ac:dyDescent="0.25">
      <c r="A778" s="6" t="str">
        <f t="shared" si="216"/>
        <v>521-2025000772</v>
      </c>
      <c r="B778" s="6" t="str">
        <f t="shared" si="217"/>
        <v>MARJANE</v>
      </c>
      <c r="C778" s="7">
        <v>46001</v>
      </c>
      <c r="D778" s="7">
        <v>46080</v>
      </c>
      <c r="E778" s="8">
        <v>28</v>
      </c>
      <c r="F778" s="6" t="str">
        <f t="shared" si="218"/>
        <v xml:space="preserve"> </v>
      </c>
      <c r="G778" s="6" t="str">
        <f t="shared" ref="G778:G787" si="223">"F137135952000004"</f>
        <v>F137135952000004</v>
      </c>
      <c r="H778" s="6" t="str">
        <f t="shared" ref="H778:H787" si="224">"FAJ SP 1359 CH PO -"</f>
        <v>FAJ SP 1359 CH PO -</v>
      </c>
      <c r="I778" s="6" t="str">
        <f>"500895"</f>
        <v>500895</v>
      </c>
      <c r="J778" s="6" t="str">
        <f>"BEGE 1670 /1930"</f>
        <v>BEGE 1670 /1930</v>
      </c>
      <c r="K778" s="6" t="str">
        <f>"1020"</f>
        <v>1020</v>
      </c>
      <c r="L778" s="6" t="str">
        <f>"Toalhas"</f>
        <v>Toalhas</v>
      </c>
      <c r="M778" s="6" t="str">
        <f>"50x90"</f>
        <v>50x90</v>
      </c>
      <c r="N778" s="6" t="str">
        <f t="shared" si="215"/>
        <v xml:space="preserve"> </v>
      </c>
      <c r="O778" s="8">
        <v>200</v>
      </c>
      <c r="P778" s="7">
        <v>46043</v>
      </c>
      <c r="R778" s="8">
        <v>216</v>
      </c>
      <c r="S778" s="7">
        <v>46048</v>
      </c>
      <c r="U778" s="8">
        <v>216</v>
      </c>
      <c r="V778" s="7">
        <v>46064</v>
      </c>
      <c r="X778" s="8">
        <v>0</v>
      </c>
      <c r="Z778" s="8">
        <v>0</v>
      </c>
      <c r="AA778" s="7">
        <v>46080</v>
      </c>
      <c r="AC778" s="8">
        <v>0</v>
      </c>
      <c r="AE778" s="7">
        <v>46085</v>
      </c>
      <c r="AF778" s="8">
        <v>0</v>
      </c>
      <c r="AH778" s="7">
        <v>46087</v>
      </c>
      <c r="AN778" s="8">
        <v>0</v>
      </c>
      <c r="AO778" s="8">
        <v>200</v>
      </c>
    </row>
    <row r="779" spans="1:41" x14ac:dyDescent="0.25">
      <c r="A779" s="6" t="str">
        <f t="shared" si="216"/>
        <v>521-2025000772</v>
      </c>
      <c r="B779" s="6" t="str">
        <f t="shared" si="217"/>
        <v>MARJANE</v>
      </c>
      <c r="C779" s="7">
        <v>46001</v>
      </c>
      <c r="D779" s="7">
        <v>46080</v>
      </c>
      <c r="E779" s="8">
        <v>29</v>
      </c>
      <c r="F779" s="6" t="str">
        <f t="shared" si="218"/>
        <v xml:space="preserve"> </v>
      </c>
      <c r="G779" s="6" t="str">
        <f t="shared" si="223"/>
        <v>F137135952000004</v>
      </c>
      <c r="H779" s="6" t="str">
        <f t="shared" si="224"/>
        <v>FAJ SP 1359 CH PO -</v>
      </c>
      <c r="I779" s="6" t="str">
        <f>"500895"</f>
        <v>500895</v>
      </c>
      <c r="J779" s="6" t="str">
        <f>"BEGE 1670 /1930"</f>
        <v>BEGE 1670 /1930</v>
      </c>
      <c r="K779" s="6" t="str">
        <f>"1535"</f>
        <v>1535</v>
      </c>
      <c r="L779" s="6" t="str">
        <f>"Toalhões"</f>
        <v>Toalhões</v>
      </c>
      <c r="M779" s="6" t="str">
        <f>"70x140"</f>
        <v>70x140</v>
      </c>
      <c r="N779" s="6" t="str">
        <f t="shared" si="215"/>
        <v xml:space="preserve"> </v>
      </c>
      <c r="O779" s="8">
        <v>100</v>
      </c>
      <c r="P779" s="7">
        <v>46043</v>
      </c>
      <c r="R779" s="8">
        <v>111</v>
      </c>
      <c r="S779" s="7">
        <v>46048</v>
      </c>
      <c r="U779" s="8">
        <v>111</v>
      </c>
      <c r="V779" s="7">
        <v>46064</v>
      </c>
      <c r="X779" s="8">
        <v>0</v>
      </c>
      <c r="Z779" s="8">
        <v>0</v>
      </c>
      <c r="AA779" s="7">
        <v>46080</v>
      </c>
      <c r="AC779" s="8">
        <v>0</v>
      </c>
      <c r="AE779" s="7">
        <v>46085</v>
      </c>
      <c r="AF779" s="8">
        <v>0</v>
      </c>
      <c r="AH779" s="7">
        <v>46087</v>
      </c>
      <c r="AN779" s="8">
        <v>0</v>
      </c>
      <c r="AO779" s="8">
        <v>100</v>
      </c>
    </row>
    <row r="780" spans="1:41" x14ac:dyDescent="0.25">
      <c r="A780" s="6" t="str">
        <f t="shared" si="216"/>
        <v>521-2025000772</v>
      </c>
      <c r="B780" s="6" t="str">
        <f t="shared" si="217"/>
        <v>MARJANE</v>
      </c>
      <c r="C780" s="7">
        <v>46001</v>
      </c>
      <c r="D780" s="7">
        <v>46080</v>
      </c>
      <c r="E780" s="8">
        <v>30</v>
      </c>
      <c r="F780" s="6" t="str">
        <f t="shared" si="218"/>
        <v xml:space="preserve"> </v>
      </c>
      <c r="G780" s="6" t="str">
        <f t="shared" si="223"/>
        <v>F137135952000004</v>
      </c>
      <c r="H780" s="6" t="str">
        <f t="shared" si="224"/>
        <v>FAJ SP 1359 CH PO -</v>
      </c>
      <c r="I780" s="6" t="str">
        <f>"500693"</f>
        <v>500693</v>
      </c>
      <c r="J780" s="6" t="str">
        <f>"BRANCO /2464"</f>
        <v>BRANCO /2464</v>
      </c>
      <c r="K780" s="6" t="str">
        <f>"2020"</f>
        <v>2020</v>
      </c>
      <c r="L780" s="6" t="str">
        <f>"Lençóis"</f>
        <v>Lençóis</v>
      </c>
      <c r="M780" s="6" t="str">
        <f>"100x150"</f>
        <v>100x150</v>
      </c>
      <c r="N780" s="6" t="str">
        <f t="shared" ref="N780:N811" si="225">" "</f>
        <v xml:space="preserve"> </v>
      </c>
      <c r="O780" s="8">
        <v>200</v>
      </c>
      <c r="P780" s="7">
        <v>46043</v>
      </c>
      <c r="R780" s="8">
        <v>222</v>
      </c>
      <c r="S780" s="7">
        <v>46048</v>
      </c>
      <c r="U780" s="8">
        <v>222</v>
      </c>
      <c r="V780" s="7">
        <v>46064</v>
      </c>
      <c r="X780" s="8">
        <v>0</v>
      </c>
      <c r="Z780" s="8">
        <v>0</v>
      </c>
      <c r="AA780" s="7">
        <v>46080</v>
      </c>
      <c r="AC780" s="8">
        <v>0</v>
      </c>
      <c r="AE780" s="7">
        <v>46085</v>
      </c>
      <c r="AF780" s="8">
        <v>0</v>
      </c>
      <c r="AH780" s="7">
        <v>46087</v>
      </c>
      <c r="AN780" s="8">
        <v>0</v>
      </c>
      <c r="AO780" s="8">
        <v>200</v>
      </c>
    </row>
    <row r="781" spans="1:41" x14ac:dyDescent="0.25">
      <c r="A781" s="6" t="str">
        <f t="shared" si="216"/>
        <v>521-2025000772</v>
      </c>
      <c r="B781" s="6" t="str">
        <f t="shared" si="217"/>
        <v>MARJANE</v>
      </c>
      <c r="C781" s="7">
        <v>46001</v>
      </c>
      <c r="D781" s="7">
        <v>46080</v>
      </c>
      <c r="E781" s="8">
        <v>31</v>
      </c>
      <c r="F781" s="6" t="str">
        <f t="shared" si="218"/>
        <v xml:space="preserve"> </v>
      </c>
      <c r="G781" s="6" t="str">
        <f t="shared" si="223"/>
        <v>F137135952000004</v>
      </c>
      <c r="H781" s="6" t="str">
        <f t="shared" si="224"/>
        <v>FAJ SP 1359 CH PO -</v>
      </c>
      <c r="I781" s="6" t="str">
        <f>"500693"</f>
        <v>500693</v>
      </c>
      <c r="J781" s="6" t="str">
        <f>"BRANCO /2464"</f>
        <v>BRANCO /2464</v>
      </c>
      <c r="K781" s="6" t="str">
        <f>"1535"</f>
        <v>1535</v>
      </c>
      <c r="L781" s="6" t="str">
        <f>"Toalhões"</f>
        <v>Toalhões</v>
      </c>
      <c r="M781" s="6" t="str">
        <f>"70x140"</f>
        <v>70x140</v>
      </c>
      <c r="N781" s="6" t="str">
        <f t="shared" si="225"/>
        <v xml:space="preserve"> </v>
      </c>
      <c r="O781" s="8">
        <v>200</v>
      </c>
      <c r="P781" s="7">
        <v>46043</v>
      </c>
      <c r="R781" s="8">
        <v>222</v>
      </c>
      <c r="S781" s="7">
        <v>46048</v>
      </c>
      <c r="U781" s="8">
        <v>222</v>
      </c>
      <c r="V781" s="7">
        <v>46064</v>
      </c>
      <c r="X781" s="8">
        <v>0</v>
      </c>
      <c r="Z781" s="8">
        <v>0</v>
      </c>
      <c r="AA781" s="7">
        <v>46080</v>
      </c>
      <c r="AC781" s="8">
        <v>0</v>
      </c>
      <c r="AE781" s="7">
        <v>46085</v>
      </c>
      <c r="AF781" s="8">
        <v>0</v>
      </c>
      <c r="AH781" s="7">
        <v>46087</v>
      </c>
      <c r="AN781" s="8">
        <v>0</v>
      </c>
      <c r="AO781" s="8">
        <v>200</v>
      </c>
    </row>
    <row r="782" spans="1:41" x14ac:dyDescent="0.25">
      <c r="A782" s="6" t="str">
        <f t="shared" si="216"/>
        <v>521-2025000772</v>
      </c>
      <c r="B782" s="6" t="str">
        <f t="shared" si="217"/>
        <v>MARJANE</v>
      </c>
      <c r="C782" s="7">
        <v>46001</v>
      </c>
      <c r="D782" s="7">
        <v>46080</v>
      </c>
      <c r="E782" s="8">
        <v>32</v>
      </c>
      <c r="F782" s="6" t="str">
        <f t="shared" si="218"/>
        <v xml:space="preserve"> </v>
      </c>
      <c r="G782" s="6" t="str">
        <f t="shared" si="223"/>
        <v>F137135952000004</v>
      </c>
      <c r="H782" s="6" t="str">
        <f t="shared" si="224"/>
        <v>FAJ SP 1359 CH PO -</v>
      </c>
      <c r="I782" s="6" t="str">
        <f>"500897"</f>
        <v>500897</v>
      </c>
      <c r="J782" s="6" t="str">
        <f>"AZUL 2096 /737"</f>
        <v>AZUL 2096 /737</v>
      </c>
      <c r="K782" s="6" t="str">
        <f>"1020"</f>
        <v>1020</v>
      </c>
      <c r="L782" s="6" t="str">
        <f>"Toalhas"</f>
        <v>Toalhas</v>
      </c>
      <c r="M782" s="6" t="str">
        <f>"50x90"</f>
        <v>50x90</v>
      </c>
      <c r="N782" s="6" t="str">
        <f t="shared" si="225"/>
        <v xml:space="preserve"> </v>
      </c>
      <c r="O782" s="8">
        <v>250</v>
      </c>
      <c r="P782" s="7">
        <v>46043</v>
      </c>
      <c r="R782" s="8">
        <v>272</v>
      </c>
      <c r="S782" s="7">
        <v>46048</v>
      </c>
      <c r="U782" s="8">
        <v>272</v>
      </c>
      <c r="V782" s="7">
        <v>46064</v>
      </c>
      <c r="X782" s="8">
        <v>0</v>
      </c>
      <c r="Z782" s="8">
        <v>0</v>
      </c>
      <c r="AA782" s="7">
        <v>46080</v>
      </c>
      <c r="AC782" s="8">
        <v>0</v>
      </c>
      <c r="AE782" s="7">
        <v>46085</v>
      </c>
      <c r="AF782" s="8">
        <v>0</v>
      </c>
      <c r="AH782" s="7">
        <v>46087</v>
      </c>
      <c r="AN782" s="8">
        <v>0</v>
      </c>
      <c r="AO782" s="8">
        <v>250</v>
      </c>
    </row>
    <row r="783" spans="1:41" x14ac:dyDescent="0.25">
      <c r="A783" s="6" t="str">
        <f t="shared" ref="A783:A808" si="226">"521-2025000772"</f>
        <v>521-2025000772</v>
      </c>
      <c r="B783" s="6" t="str">
        <f t="shared" ref="B783:B808" si="227">"MARJANE"</f>
        <v>MARJANE</v>
      </c>
      <c r="C783" s="7">
        <v>46001</v>
      </c>
      <c r="D783" s="7">
        <v>46080</v>
      </c>
      <c r="E783" s="8">
        <v>33</v>
      </c>
      <c r="F783" s="6" t="str">
        <f t="shared" ref="F783:F808" si="228">" "</f>
        <v xml:space="preserve"> </v>
      </c>
      <c r="G783" s="6" t="str">
        <f t="shared" si="223"/>
        <v>F137135952000004</v>
      </c>
      <c r="H783" s="6" t="str">
        <f t="shared" si="224"/>
        <v>FAJ SP 1359 CH PO -</v>
      </c>
      <c r="I783" s="6" t="str">
        <f>"500897"</f>
        <v>500897</v>
      </c>
      <c r="J783" s="6" t="str">
        <f>"AZUL 2096 /737"</f>
        <v>AZUL 2096 /737</v>
      </c>
      <c r="K783" s="6" t="str">
        <f>"0522"</f>
        <v>0522</v>
      </c>
      <c r="L783" s="6" t="str">
        <f>"Toalhetes"</f>
        <v>Toalhetes</v>
      </c>
      <c r="M783" s="6" t="str">
        <f>"40x70"</f>
        <v>40x70</v>
      </c>
      <c r="N783" s="6" t="str">
        <f t="shared" si="225"/>
        <v xml:space="preserve"> </v>
      </c>
      <c r="O783" s="8">
        <v>400</v>
      </c>
      <c r="P783" s="7">
        <v>46043</v>
      </c>
      <c r="R783" s="8">
        <v>440</v>
      </c>
      <c r="S783" s="7">
        <v>46048</v>
      </c>
      <c r="U783" s="8">
        <v>440</v>
      </c>
      <c r="V783" s="7">
        <v>46064</v>
      </c>
      <c r="X783" s="8">
        <v>0</v>
      </c>
      <c r="Z783" s="8">
        <v>0</v>
      </c>
      <c r="AA783" s="7">
        <v>46080</v>
      </c>
      <c r="AC783" s="8">
        <v>0</v>
      </c>
      <c r="AE783" s="7">
        <v>46085</v>
      </c>
      <c r="AF783" s="8">
        <v>0</v>
      </c>
      <c r="AH783" s="7">
        <v>46087</v>
      </c>
      <c r="AN783" s="8">
        <v>0</v>
      </c>
      <c r="AO783" s="8">
        <v>400</v>
      </c>
    </row>
    <row r="784" spans="1:41" x14ac:dyDescent="0.25">
      <c r="A784" s="6" t="str">
        <f t="shared" si="226"/>
        <v>521-2025000772</v>
      </c>
      <c r="B784" s="6" t="str">
        <f t="shared" si="227"/>
        <v>MARJANE</v>
      </c>
      <c r="C784" s="7">
        <v>46001</v>
      </c>
      <c r="D784" s="7">
        <v>46080</v>
      </c>
      <c r="E784" s="8">
        <v>34</v>
      </c>
      <c r="F784" s="6" t="str">
        <f t="shared" si="228"/>
        <v xml:space="preserve"> </v>
      </c>
      <c r="G784" s="6" t="str">
        <f t="shared" si="223"/>
        <v>F137135952000004</v>
      </c>
      <c r="H784" s="6" t="str">
        <f t="shared" si="224"/>
        <v>FAJ SP 1359 CH PO -</v>
      </c>
      <c r="I784" s="6" t="str">
        <f>"500897"</f>
        <v>500897</v>
      </c>
      <c r="J784" s="6" t="str">
        <f>"AZUL 2096 /737"</f>
        <v>AZUL 2096 /737</v>
      </c>
      <c r="K784" s="6" t="str">
        <f>"1535"</f>
        <v>1535</v>
      </c>
      <c r="L784" s="6" t="str">
        <f>"Toalhões"</f>
        <v>Toalhões</v>
      </c>
      <c r="M784" s="6" t="str">
        <f>"70x140"</f>
        <v>70x140</v>
      </c>
      <c r="N784" s="6" t="str">
        <f t="shared" si="225"/>
        <v xml:space="preserve"> </v>
      </c>
      <c r="O784" s="8">
        <v>150</v>
      </c>
      <c r="P784" s="7">
        <v>46043</v>
      </c>
      <c r="R784" s="8">
        <v>168</v>
      </c>
      <c r="S784" s="7">
        <v>46048</v>
      </c>
      <c r="U784" s="8">
        <v>168</v>
      </c>
      <c r="V784" s="7">
        <v>46064</v>
      </c>
      <c r="X784" s="8">
        <v>0</v>
      </c>
      <c r="Z784" s="8">
        <v>0</v>
      </c>
      <c r="AA784" s="7">
        <v>46080</v>
      </c>
      <c r="AC784" s="8">
        <v>0</v>
      </c>
      <c r="AE784" s="7">
        <v>46085</v>
      </c>
      <c r="AF784" s="8">
        <v>0</v>
      </c>
      <c r="AH784" s="7">
        <v>46087</v>
      </c>
      <c r="AN784" s="8">
        <v>0</v>
      </c>
      <c r="AO784" s="8">
        <v>150</v>
      </c>
    </row>
    <row r="785" spans="1:41" x14ac:dyDescent="0.25">
      <c r="A785" s="6" t="str">
        <f t="shared" si="226"/>
        <v>521-2025000772</v>
      </c>
      <c r="B785" s="6" t="str">
        <f t="shared" si="227"/>
        <v>MARJANE</v>
      </c>
      <c r="C785" s="7">
        <v>46001</v>
      </c>
      <c r="D785" s="7">
        <v>46080</v>
      </c>
      <c r="E785" s="8">
        <v>35</v>
      </c>
      <c r="F785" s="6" t="str">
        <f t="shared" si="228"/>
        <v xml:space="preserve"> </v>
      </c>
      <c r="G785" s="6" t="str">
        <f t="shared" si="223"/>
        <v>F137135952000004</v>
      </c>
      <c r="H785" s="6" t="str">
        <f t="shared" si="224"/>
        <v>FAJ SP 1359 CH PO -</v>
      </c>
      <c r="I785" s="6" t="str">
        <f>"500697"</f>
        <v>500697</v>
      </c>
      <c r="J785" s="6" t="str">
        <f>"ROSA 2218/96 FF"</f>
        <v>ROSA 2218/96 FF</v>
      </c>
      <c r="K785" s="6" t="str">
        <f>"1020"</f>
        <v>1020</v>
      </c>
      <c r="L785" s="6" t="str">
        <f>"Toalhas"</f>
        <v>Toalhas</v>
      </c>
      <c r="M785" s="6" t="str">
        <f>"50x90"</f>
        <v>50x90</v>
      </c>
      <c r="N785" s="6" t="str">
        <f t="shared" si="225"/>
        <v xml:space="preserve"> </v>
      </c>
      <c r="O785" s="8">
        <v>300</v>
      </c>
      <c r="P785" s="7">
        <v>46043</v>
      </c>
      <c r="R785" s="8">
        <v>352</v>
      </c>
      <c r="S785" s="7">
        <v>46048</v>
      </c>
      <c r="U785" s="8">
        <v>352</v>
      </c>
      <c r="V785" s="7">
        <v>46064</v>
      </c>
      <c r="X785" s="8">
        <v>0</v>
      </c>
      <c r="Z785" s="8">
        <v>0</v>
      </c>
      <c r="AA785" s="7">
        <v>46080</v>
      </c>
      <c r="AC785" s="8">
        <v>0</v>
      </c>
      <c r="AE785" s="7">
        <v>46085</v>
      </c>
      <c r="AF785" s="8">
        <v>0</v>
      </c>
      <c r="AH785" s="7">
        <v>46087</v>
      </c>
      <c r="AN785" s="8">
        <v>0</v>
      </c>
      <c r="AO785" s="8">
        <v>300</v>
      </c>
    </row>
    <row r="786" spans="1:41" x14ac:dyDescent="0.25">
      <c r="A786" s="6" t="str">
        <f t="shared" si="226"/>
        <v>521-2025000772</v>
      </c>
      <c r="B786" s="6" t="str">
        <f t="shared" si="227"/>
        <v>MARJANE</v>
      </c>
      <c r="C786" s="7">
        <v>46001</v>
      </c>
      <c r="D786" s="7">
        <v>46080</v>
      </c>
      <c r="E786" s="8">
        <v>36</v>
      </c>
      <c r="F786" s="6" t="str">
        <f t="shared" si="228"/>
        <v xml:space="preserve"> </v>
      </c>
      <c r="G786" s="6" t="str">
        <f t="shared" si="223"/>
        <v>F137135952000004</v>
      </c>
      <c r="H786" s="6" t="str">
        <f t="shared" si="224"/>
        <v>FAJ SP 1359 CH PO -</v>
      </c>
      <c r="I786" s="6" t="str">
        <f>"500697"</f>
        <v>500697</v>
      </c>
      <c r="J786" s="6" t="str">
        <f>"ROSA 2218/96 FF"</f>
        <v>ROSA 2218/96 FF</v>
      </c>
      <c r="K786" s="6" t="str">
        <f>"2020"</f>
        <v>2020</v>
      </c>
      <c r="L786" s="6" t="str">
        <f>"Lençóis"</f>
        <v>Lençóis</v>
      </c>
      <c r="M786" s="6" t="str">
        <f>"100x150"</f>
        <v>100x150</v>
      </c>
      <c r="N786" s="6" t="str">
        <f t="shared" si="225"/>
        <v xml:space="preserve"> </v>
      </c>
      <c r="O786" s="8">
        <v>100</v>
      </c>
      <c r="P786" s="7">
        <v>46043</v>
      </c>
      <c r="R786" s="8">
        <v>100</v>
      </c>
      <c r="S786" s="7">
        <v>46048</v>
      </c>
      <c r="U786" s="8">
        <v>100</v>
      </c>
      <c r="V786" s="7">
        <v>46064</v>
      </c>
      <c r="X786" s="8">
        <v>0</v>
      </c>
      <c r="Z786" s="8">
        <v>0</v>
      </c>
      <c r="AA786" s="7">
        <v>46080</v>
      </c>
      <c r="AC786" s="8">
        <v>0</v>
      </c>
      <c r="AE786" s="7">
        <v>46085</v>
      </c>
      <c r="AF786" s="8">
        <v>0</v>
      </c>
      <c r="AH786" s="7">
        <v>46087</v>
      </c>
      <c r="AN786" s="8">
        <v>0</v>
      </c>
      <c r="AO786" s="8">
        <v>100</v>
      </c>
    </row>
    <row r="787" spans="1:41" x14ac:dyDescent="0.25">
      <c r="A787" s="6" t="str">
        <f t="shared" si="226"/>
        <v>521-2025000772</v>
      </c>
      <c r="B787" s="6" t="str">
        <f t="shared" si="227"/>
        <v>MARJANE</v>
      </c>
      <c r="C787" s="7">
        <v>46001</v>
      </c>
      <c r="D787" s="7">
        <v>46080</v>
      </c>
      <c r="E787" s="8">
        <v>37</v>
      </c>
      <c r="F787" s="6" t="str">
        <f t="shared" si="228"/>
        <v xml:space="preserve"> </v>
      </c>
      <c r="G787" s="6" t="str">
        <f t="shared" si="223"/>
        <v>F137135952000004</v>
      </c>
      <c r="H787" s="6" t="str">
        <f t="shared" si="224"/>
        <v>FAJ SP 1359 CH PO -</v>
      </c>
      <c r="I787" s="6" t="str">
        <f>"501313"</f>
        <v>501313</v>
      </c>
      <c r="J787" s="6" t="str">
        <f>"SALMÃO 4385/H 3345"</f>
        <v>SALMÃO 4385/H 3345</v>
      </c>
      <c r="K787" s="6" t="str">
        <f>"1020"</f>
        <v>1020</v>
      </c>
      <c r="L787" s="6" t="str">
        <f>"Toalhas"</f>
        <v>Toalhas</v>
      </c>
      <c r="M787" s="6" t="str">
        <f>"50x90"</f>
        <v>50x90</v>
      </c>
      <c r="N787" s="6" t="str">
        <f t="shared" si="225"/>
        <v xml:space="preserve"> </v>
      </c>
      <c r="O787" s="8">
        <v>100</v>
      </c>
      <c r="P787" s="7">
        <v>46043</v>
      </c>
      <c r="R787" s="8">
        <v>112</v>
      </c>
      <c r="S787" s="7">
        <v>46048</v>
      </c>
      <c r="U787" s="8">
        <v>112</v>
      </c>
      <c r="V787" s="7">
        <v>46064</v>
      </c>
      <c r="X787" s="8">
        <v>0</v>
      </c>
      <c r="Z787" s="8">
        <v>0</v>
      </c>
      <c r="AA787" s="7">
        <v>46080</v>
      </c>
      <c r="AC787" s="8">
        <v>0</v>
      </c>
      <c r="AE787" s="7">
        <v>46085</v>
      </c>
      <c r="AF787" s="8">
        <v>0</v>
      </c>
      <c r="AH787" s="7">
        <v>46087</v>
      </c>
      <c r="AN787" s="8">
        <v>0</v>
      </c>
      <c r="AO787" s="8">
        <v>100</v>
      </c>
    </row>
    <row r="788" spans="1:41" x14ac:dyDescent="0.25">
      <c r="A788" s="6" t="str">
        <f t="shared" si="226"/>
        <v>521-2025000772</v>
      </c>
      <c r="B788" s="6" t="str">
        <f t="shared" si="227"/>
        <v>MARJANE</v>
      </c>
      <c r="C788" s="7">
        <v>46001</v>
      </c>
      <c r="D788" s="7">
        <v>46080</v>
      </c>
      <c r="E788" s="8">
        <v>38</v>
      </c>
      <c r="F788" s="6" t="str">
        <f t="shared" si="228"/>
        <v xml:space="preserve"> </v>
      </c>
      <c r="G788" s="6" t="str">
        <f t="shared" ref="G788:G805" si="229">"F100023140000005"</f>
        <v>F100023140000005</v>
      </c>
      <c r="H788" s="6" t="str">
        <f t="shared" ref="H788:H805" si="230">"FA 231 - 400 g/m² -"</f>
        <v>FA 231 - 400 g/m² -</v>
      </c>
      <c r="I788" s="6" t="str">
        <f>"1"</f>
        <v>1</v>
      </c>
      <c r="J788" s="6" t="str">
        <f>"BRANCO"</f>
        <v>BRANCO</v>
      </c>
      <c r="K788" s="6" t="str">
        <f>"2020"</f>
        <v>2020</v>
      </c>
      <c r="L788" s="6" t="str">
        <f>"Lençóis"</f>
        <v>Lençóis</v>
      </c>
      <c r="M788" s="6" t="str">
        <f>"100x150"</f>
        <v>100x150</v>
      </c>
      <c r="N788" s="6" t="str">
        <f t="shared" si="225"/>
        <v xml:space="preserve"> </v>
      </c>
      <c r="O788" s="8">
        <v>300</v>
      </c>
      <c r="P788" s="7">
        <v>46043</v>
      </c>
      <c r="R788" s="8">
        <v>0</v>
      </c>
      <c r="S788" s="7">
        <v>46048</v>
      </c>
      <c r="U788" s="8">
        <v>336</v>
      </c>
      <c r="V788" s="7">
        <v>46064</v>
      </c>
      <c r="X788" s="8">
        <v>0</v>
      </c>
      <c r="Z788" s="8">
        <v>0</v>
      </c>
      <c r="AA788" s="7">
        <v>46080</v>
      </c>
      <c r="AC788" s="8">
        <v>0</v>
      </c>
      <c r="AE788" s="7">
        <v>46085</v>
      </c>
      <c r="AF788" s="8">
        <v>0</v>
      </c>
      <c r="AH788" s="7">
        <v>46087</v>
      </c>
      <c r="AN788" s="8">
        <v>0</v>
      </c>
      <c r="AO788" s="8">
        <v>300</v>
      </c>
    </row>
    <row r="789" spans="1:41" x14ac:dyDescent="0.25">
      <c r="A789" s="6" t="str">
        <f t="shared" si="226"/>
        <v>521-2025000772</v>
      </c>
      <c r="B789" s="6" t="str">
        <f t="shared" si="227"/>
        <v>MARJANE</v>
      </c>
      <c r="C789" s="7">
        <v>46001</v>
      </c>
      <c r="D789" s="7">
        <v>46080</v>
      </c>
      <c r="E789" s="8">
        <v>39</v>
      </c>
      <c r="F789" s="6" t="str">
        <f t="shared" si="228"/>
        <v xml:space="preserve"> </v>
      </c>
      <c r="G789" s="6" t="str">
        <f t="shared" si="229"/>
        <v>F100023140000005</v>
      </c>
      <c r="H789" s="6" t="str">
        <f t="shared" si="230"/>
        <v>FA 231 - 400 g/m² -</v>
      </c>
      <c r="I789" s="6" t="str">
        <f>"1"</f>
        <v>1</v>
      </c>
      <c r="J789" s="6" t="str">
        <f>"BRANCO"</f>
        <v>BRANCO</v>
      </c>
      <c r="K789" s="6" t="str">
        <f>"1535"</f>
        <v>1535</v>
      </c>
      <c r="L789" s="6" t="str">
        <f>"Toalhões"</f>
        <v>Toalhões</v>
      </c>
      <c r="M789" s="6" t="str">
        <f>"70x140"</f>
        <v>70x140</v>
      </c>
      <c r="N789" s="6" t="str">
        <f t="shared" si="225"/>
        <v xml:space="preserve"> </v>
      </c>
      <c r="O789" s="8">
        <v>300</v>
      </c>
      <c r="P789" s="7">
        <v>46043</v>
      </c>
      <c r="R789" s="8">
        <v>0</v>
      </c>
      <c r="S789" s="7">
        <v>46048</v>
      </c>
      <c r="U789" s="8">
        <v>354</v>
      </c>
      <c r="V789" s="7">
        <v>46064</v>
      </c>
      <c r="X789" s="8">
        <v>0</v>
      </c>
      <c r="Z789" s="8">
        <v>0</v>
      </c>
      <c r="AA789" s="7">
        <v>46080</v>
      </c>
      <c r="AC789" s="8">
        <v>0</v>
      </c>
      <c r="AE789" s="7">
        <v>46085</v>
      </c>
      <c r="AF789" s="8">
        <v>0</v>
      </c>
      <c r="AH789" s="7">
        <v>46087</v>
      </c>
      <c r="AN789" s="8">
        <v>0</v>
      </c>
      <c r="AO789" s="8">
        <v>300</v>
      </c>
    </row>
    <row r="790" spans="1:41" x14ac:dyDescent="0.25">
      <c r="A790" s="6" t="str">
        <f t="shared" si="226"/>
        <v>521-2025000772</v>
      </c>
      <c r="B790" s="6" t="str">
        <f t="shared" si="227"/>
        <v>MARJANE</v>
      </c>
      <c r="C790" s="7">
        <v>46001</v>
      </c>
      <c r="D790" s="7">
        <v>46080</v>
      </c>
      <c r="E790" s="8">
        <v>40</v>
      </c>
      <c r="F790" s="6" t="str">
        <f t="shared" si="228"/>
        <v xml:space="preserve"> </v>
      </c>
      <c r="G790" s="6" t="str">
        <f t="shared" si="229"/>
        <v>F100023140000005</v>
      </c>
      <c r="H790" s="6" t="str">
        <f t="shared" si="230"/>
        <v>FA 231 - 400 g/m² -</v>
      </c>
      <c r="I790" s="6" t="str">
        <f>"1"</f>
        <v>1</v>
      </c>
      <c r="J790" s="6" t="str">
        <f>"BRANCO"</f>
        <v>BRANCO</v>
      </c>
      <c r="K790" s="6" t="str">
        <f>"1020"</f>
        <v>1020</v>
      </c>
      <c r="L790" s="6" t="str">
        <f>"Toalhas"</f>
        <v>Toalhas</v>
      </c>
      <c r="M790" s="6" t="str">
        <f>"50x90"</f>
        <v>50x90</v>
      </c>
      <c r="N790" s="6" t="str">
        <f t="shared" si="225"/>
        <v xml:space="preserve"> </v>
      </c>
      <c r="O790" s="8">
        <v>300</v>
      </c>
      <c r="P790" s="7">
        <v>46043</v>
      </c>
      <c r="R790" s="8">
        <v>0</v>
      </c>
      <c r="S790" s="7">
        <v>46048</v>
      </c>
      <c r="U790" s="8">
        <v>324</v>
      </c>
      <c r="V790" s="7">
        <v>46064</v>
      </c>
      <c r="X790" s="8">
        <v>0</v>
      </c>
      <c r="Z790" s="8">
        <v>0</v>
      </c>
      <c r="AA790" s="7">
        <v>46080</v>
      </c>
      <c r="AC790" s="8">
        <v>0</v>
      </c>
      <c r="AE790" s="7">
        <v>46085</v>
      </c>
      <c r="AF790" s="8">
        <v>0</v>
      </c>
      <c r="AH790" s="7">
        <v>46087</v>
      </c>
      <c r="AN790" s="8">
        <v>0</v>
      </c>
      <c r="AO790" s="8">
        <v>300</v>
      </c>
    </row>
    <row r="791" spans="1:41" x14ac:dyDescent="0.25">
      <c r="A791" s="6" t="str">
        <f t="shared" si="226"/>
        <v>521-2025000772</v>
      </c>
      <c r="B791" s="6" t="str">
        <f t="shared" si="227"/>
        <v>MARJANE</v>
      </c>
      <c r="C791" s="7">
        <v>46001</v>
      </c>
      <c r="D791" s="7">
        <v>46080</v>
      </c>
      <c r="E791" s="8">
        <v>41</v>
      </c>
      <c r="F791" s="6" t="str">
        <f t="shared" si="228"/>
        <v xml:space="preserve"> </v>
      </c>
      <c r="G791" s="6" t="str">
        <f t="shared" si="229"/>
        <v>F100023140000005</v>
      </c>
      <c r="H791" s="6" t="str">
        <f t="shared" si="230"/>
        <v>FA 231 - 400 g/m² -</v>
      </c>
      <c r="I791" s="6" t="str">
        <f>"3235"</f>
        <v>3235</v>
      </c>
      <c r="J791" s="6" t="str">
        <f>"CINZA 3235"</f>
        <v>CINZA 3235</v>
      </c>
      <c r="K791" s="6" t="str">
        <f>"2020"</f>
        <v>2020</v>
      </c>
      <c r="L791" s="6" t="str">
        <f>"Lençóis"</f>
        <v>Lençóis</v>
      </c>
      <c r="M791" s="6" t="str">
        <f>"100x150"</f>
        <v>100x150</v>
      </c>
      <c r="N791" s="6" t="str">
        <f t="shared" si="225"/>
        <v xml:space="preserve"> </v>
      </c>
      <c r="O791" s="8">
        <v>100</v>
      </c>
      <c r="P791" s="7">
        <v>46043</v>
      </c>
      <c r="R791" s="8">
        <v>0</v>
      </c>
      <c r="S791" s="7">
        <v>46048</v>
      </c>
      <c r="U791" s="8">
        <v>110</v>
      </c>
      <c r="V791" s="7">
        <v>46064</v>
      </c>
      <c r="X791" s="8">
        <v>0</v>
      </c>
      <c r="Z791" s="8">
        <v>110</v>
      </c>
      <c r="AA791" s="7">
        <v>46080</v>
      </c>
      <c r="AC791" s="8">
        <v>0</v>
      </c>
      <c r="AE791" s="7">
        <v>46085</v>
      </c>
      <c r="AF791" s="8">
        <v>0</v>
      </c>
      <c r="AH791" s="7">
        <v>46087</v>
      </c>
      <c r="AN791" s="8">
        <v>0</v>
      </c>
      <c r="AO791" s="8">
        <v>100</v>
      </c>
    </row>
    <row r="792" spans="1:41" x14ac:dyDescent="0.25">
      <c r="A792" s="6" t="str">
        <f t="shared" si="226"/>
        <v>521-2025000772</v>
      </c>
      <c r="B792" s="6" t="str">
        <f t="shared" si="227"/>
        <v>MARJANE</v>
      </c>
      <c r="C792" s="7">
        <v>46001</v>
      </c>
      <c r="D792" s="7">
        <v>46080</v>
      </c>
      <c r="E792" s="8">
        <v>42</v>
      </c>
      <c r="F792" s="6" t="str">
        <f t="shared" si="228"/>
        <v xml:space="preserve"> </v>
      </c>
      <c r="G792" s="6" t="str">
        <f t="shared" si="229"/>
        <v>F100023140000005</v>
      </c>
      <c r="H792" s="6" t="str">
        <f t="shared" si="230"/>
        <v>FA 231 - 400 g/m² -</v>
      </c>
      <c r="I792" s="6" t="str">
        <f>"3235"</f>
        <v>3235</v>
      </c>
      <c r="J792" s="6" t="str">
        <f>"CINZA 3235"</f>
        <v>CINZA 3235</v>
      </c>
      <c r="K792" s="6" t="str">
        <f>"1020"</f>
        <v>1020</v>
      </c>
      <c r="L792" s="6" t="str">
        <f>"Toalhas"</f>
        <v>Toalhas</v>
      </c>
      <c r="M792" s="6" t="str">
        <f>"50x90"</f>
        <v>50x90</v>
      </c>
      <c r="N792" s="6" t="str">
        <f t="shared" si="225"/>
        <v xml:space="preserve"> </v>
      </c>
      <c r="O792" s="8">
        <v>700</v>
      </c>
      <c r="P792" s="7">
        <v>46043</v>
      </c>
      <c r="R792" s="8">
        <v>0</v>
      </c>
      <c r="S792" s="7">
        <v>46048</v>
      </c>
      <c r="U792" s="8">
        <v>756</v>
      </c>
      <c r="V792" s="7">
        <v>46064</v>
      </c>
      <c r="X792" s="8">
        <v>0</v>
      </c>
      <c r="Z792" s="8">
        <v>756</v>
      </c>
      <c r="AA792" s="7">
        <v>46080</v>
      </c>
      <c r="AC792" s="8">
        <v>0</v>
      </c>
      <c r="AE792" s="7">
        <v>46085</v>
      </c>
      <c r="AF792" s="8">
        <v>0</v>
      </c>
      <c r="AH792" s="7">
        <v>46087</v>
      </c>
      <c r="AN792" s="8">
        <v>0</v>
      </c>
      <c r="AO792" s="8">
        <v>700</v>
      </c>
    </row>
    <row r="793" spans="1:41" x14ac:dyDescent="0.25">
      <c r="A793" s="6" t="str">
        <f t="shared" si="226"/>
        <v>521-2025000772</v>
      </c>
      <c r="B793" s="6" t="str">
        <f t="shared" si="227"/>
        <v>MARJANE</v>
      </c>
      <c r="C793" s="7">
        <v>46001</v>
      </c>
      <c r="D793" s="7">
        <v>46080</v>
      </c>
      <c r="E793" s="8">
        <v>43</v>
      </c>
      <c r="F793" s="6" t="str">
        <f t="shared" si="228"/>
        <v xml:space="preserve"> </v>
      </c>
      <c r="G793" s="6" t="str">
        <f t="shared" si="229"/>
        <v>F100023140000005</v>
      </c>
      <c r="H793" s="6" t="str">
        <f t="shared" si="230"/>
        <v>FA 231 - 400 g/m² -</v>
      </c>
      <c r="I793" s="6" t="str">
        <f>"3235"</f>
        <v>3235</v>
      </c>
      <c r="J793" s="6" t="str">
        <f>"CINZA 3235"</f>
        <v>CINZA 3235</v>
      </c>
      <c r="K793" s="6" t="str">
        <f>"1535"</f>
        <v>1535</v>
      </c>
      <c r="L793" s="6" t="str">
        <f>"Toalhões"</f>
        <v>Toalhões</v>
      </c>
      <c r="M793" s="6" t="str">
        <f>"70x140"</f>
        <v>70x140</v>
      </c>
      <c r="N793" s="6" t="str">
        <f t="shared" si="225"/>
        <v xml:space="preserve"> </v>
      </c>
      <c r="O793" s="8">
        <v>400</v>
      </c>
      <c r="P793" s="7">
        <v>46043</v>
      </c>
      <c r="R793" s="8">
        <v>0</v>
      </c>
      <c r="S793" s="7">
        <v>46048</v>
      </c>
      <c r="U793" s="8">
        <v>459</v>
      </c>
      <c r="V793" s="7">
        <v>46064</v>
      </c>
      <c r="X793" s="8">
        <v>0</v>
      </c>
      <c r="Z793" s="8">
        <v>459</v>
      </c>
      <c r="AA793" s="7">
        <v>46080</v>
      </c>
      <c r="AC793" s="8">
        <v>0</v>
      </c>
      <c r="AE793" s="7">
        <v>46085</v>
      </c>
      <c r="AF793" s="8">
        <v>0</v>
      </c>
      <c r="AH793" s="7">
        <v>46087</v>
      </c>
      <c r="AN793" s="8">
        <v>0</v>
      </c>
      <c r="AO793" s="8">
        <v>400</v>
      </c>
    </row>
    <row r="794" spans="1:41" x14ac:dyDescent="0.25">
      <c r="A794" s="6" t="str">
        <f t="shared" si="226"/>
        <v>521-2025000772</v>
      </c>
      <c r="B794" s="6" t="str">
        <f t="shared" si="227"/>
        <v>MARJANE</v>
      </c>
      <c r="C794" s="7">
        <v>46001</v>
      </c>
      <c r="D794" s="7">
        <v>46080</v>
      </c>
      <c r="E794" s="8">
        <v>44</v>
      </c>
      <c r="F794" s="6" t="str">
        <f t="shared" si="228"/>
        <v xml:space="preserve"> </v>
      </c>
      <c r="G794" s="6" t="str">
        <f t="shared" si="229"/>
        <v>F100023140000005</v>
      </c>
      <c r="H794" s="6" t="str">
        <f t="shared" si="230"/>
        <v>FA 231 - 400 g/m² -</v>
      </c>
      <c r="I794" s="6" t="str">
        <f>"3235"</f>
        <v>3235</v>
      </c>
      <c r="J794" s="6" t="str">
        <f>"CINZA 3235"</f>
        <v>CINZA 3235</v>
      </c>
      <c r="K794" s="6" t="str">
        <f>"0522"</f>
        <v>0522</v>
      </c>
      <c r="L794" s="6" t="str">
        <f>"Toalhetes"</f>
        <v>Toalhetes</v>
      </c>
      <c r="M794" s="6" t="str">
        <f>"40x70"</f>
        <v>40x70</v>
      </c>
      <c r="N794" s="6" t="str">
        <f t="shared" si="225"/>
        <v xml:space="preserve"> </v>
      </c>
      <c r="O794" s="8">
        <v>500</v>
      </c>
      <c r="P794" s="7">
        <v>46043</v>
      </c>
      <c r="R794" s="8">
        <v>1576</v>
      </c>
      <c r="S794" s="7">
        <v>46048</v>
      </c>
      <c r="U794" s="8">
        <v>564</v>
      </c>
      <c r="V794" s="7">
        <v>46064</v>
      </c>
      <c r="X794" s="8">
        <v>0</v>
      </c>
      <c r="Z794" s="8">
        <v>564</v>
      </c>
      <c r="AA794" s="7">
        <v>46080</v>
      </c>
      <c r="AC794" s="8">
        <v>0</v>
      </c>
      <c r="AE794" s="7">
        <v>46085</v>
      </c>
      <c r="AF794" s="8">
        <v>0</v>
      </c>
      <c r="AH794" s="7">
        <v>46087</v>
      </c>
      <c r="AN794" s="8">
        <v>0</v>
      </c>
      <c r="AO794" s="8">
        <v>500</v>
      </c>
    </row>
    <row r="795" spans="1:41" x14ac:dyDescent="0.25">
      <c r="A795" s="6" t="str">
        <f t="shared" si="226"/>
        <v>521-2025000772</v>
      </c>
      <c r="B795" s="6" t="str">
        <f t="shared" si="227"/>
        <v>MARJANE</v>
      </c>
      <c r="C795" s="7">
        <v>46001</v>
      </c>
      <c r="D795" s="7">
        <v>46080</v>
      </c>
      <c r="E795" s="8">
        <v>45</v>
      </c>
      <c r="F795" s="6" t="str">
        <f t="shared" si="228"/>
        <v xml:space="preserve"> </v>
      </c>
      <c r="G795" s="6" t="str">
        <f t="shared" si="229"/>
        <v>F100023140000005</v>
      </c>
      <c r="H795" s="6" t="str">
        <f t="shared" si="230"/>
        <v>FA 231 - 400 g/m² -</v>
      </c>
      <c r="I795" s="6" t="str">
        <f>"3"</f>
        <v>3</v>
      </c>
      <c r="J795" s="6" t="str">
        <f>"PRETO Sulf"</f>
        <v>PRETO Sulf</v>
      </c>
      <c r="K795" s="6" t="str">
        <f>"1020"</f>
        <v>1020</v>
      </c>
      <c r="L795" s="6" t="str">
        <f>"Toalhas"</f>
        <v>Toalhas</v>
      </c>
      <c r="M795" s="6" t="str">
        <f>"50x90"</f>
        <v>50x90</v>
      </c>
      <c r="N795" s="6" t="str">
        <f t="shared" si="225"/>
        <v xml:space="preserve"> </v>
      </c>
      <c r="O795" s="8">
        <v>700</v>
      </c>
      <c r="P795" s="7">
        <v>46043</v>
      </c>
      <c r="R795" s="8">
        <v>2596</v>
      </c>
      <c r="S795" s="7">
        <v>46048</v>
      </c>
      <c r="U795" s="8">
        <v>756</v>
      </c>
      <c r="V795" s="7">
        <v>46064</v>
      </c>
      <c r="X795" s="8">
        <v>0</v>
      </c>
      <c r="Z795" s="8">
        <v>0</v>
      </c>
      <c r="AA795" s="7">
        <v>46080</v>
      </c>
      <c r="AC795" s="8">
        <v>0</v>
      </c>
      <c r="AE795" s="7">
        <v>46085</v>
      </c>
      <c r="AF795" s="8">
        <v>0</v>
      </c>
      <c r="AH795" s="7">
        <v>46087</v>
      </c>
      <c r="AN795" s="8">
        <v>0</v>
      </c>
      <c r="AO795" s="8">
        <v>700</v>
      </c>
    </row>
    <row r="796" spans="1:41" x14ac:dyDescent="0.25">
      <c r="A796" s="6" t="str">
        <f t="shared" si="226"/>
        <v>521-2025000772</v>
      </c>
      <c r="B796" s="6" t="str">
        <f t="shared" si="227"/>
        <v>MARJANE</v>
      </c>
      <c r="C796" s="7">
        <v>46001</v>
      </c>
      <c r="D796" s="7">
        <v>46080</v>
      </c>
      <c r="E796" s="8">
        <v>46</v>
      </c>
      <c r="F796" s="6" t="str">
        <f t="shared" si="228"/>
        <v xml:space="preserve"> </v>
      </c>
      <c r="G796" s="6" t="str">
        <f t="shared" si="229"/>
        <v>F100023140000005</v>
      </c>
      <c r="H796" s="6" t="str">
        <f t="shared" si="230"/>
        <v>FA 231 - 400 g/m² -</v>
      </c>
      <c r="I796" s="6" t="str">
        <f>"3"</f>
        <v>3</v>
      </c>
      <c r="J796" s="6" t="str">
        <f>"PRETO Sulf"</f>
        <v>PRETO Sulf</v>
      </c>
      <c r="K796" s="6" t="str">
        <f>"1535"</f>
        <v>1535</v>
      </c>
      <c r="L796" s="6" t="str">
        <f>"Toalhões"</f>
        <v>Toalhões</v>
      </c>
      <c r="M796" s="6" t="str">
        <f>"70x140"</f>
        <v>70x140</v>
      </c>
      <c r="N796" s="6" t="str">
        <f t="shared" si="225"/>
        <v xml:space="preserve"> </v>
      </c>
      <c r="O796" s="8">
        <v>200</v>
      </c>
      <c r="P796" s="7">
        <v>46043</v>
      </c>
      <c r="R796" s="8">
        <v>1587</v>
      </c>
      <c r="S796" s="7">
        <v>46048</v>
      </c>
      <c r="U796" s="8">
        <v>222</v>
      </c>
      <c r="V796" s="7">
        <v>46064</v>
      </c>
      <c r="X796" s="8">
        <v>0</v>
      </c>
      <c r="Z796" s="8">
        <v>0</v>
      </c>
      <c r="AA796" s="7">
        <v>46080</v>
      </c>
      <c r="AC796" s="8">
        <v>0</v>
      </c>
      <c r="AE796" s="7">
        <v>46085</v>
      </c>
      <c r="AF796" s="8">
        <v>0</v>
      </c>
      <c r="AH796" s="7">
        <v>46087</v>
      </c>
      <c r="AN796" s="8">
        <v>0</v>
      </c>
      <c r="AO796" s="8">
        <v>200</v>
      </c>
    </row>
    <row r="797" spans="1:41" x14ac:dyDescent="0.25">
      <c r="A797" s="6" t="str">
        <f t="shared" si="226"/>
        <v>521-2025000772</v>
      </c>
      <c r="B797" s="6" t="str">
        <f t="shared" si="227"/>
        <v>MARJANE</v>
      </c>
      <c r="C797" s="7">
        <v>46001</v>
      </c>
      <c r="D797" s="7">
        <v>46080</v>
      </c>
      <c r="E797" s="8">
        <v>47</v>
      </c>
      <c r="F797" s="6" t="str">
        <f t="shared" si="228"/>
        <v xml:space="preserve"> </v>
      </c>
      <c r="G797" s="6" t="str">
        <f t="shared" si="229"/>
        <v>F100023140000005</v>
      </c>
      <c r="H797" s="6" t="str">
        <f t="shared" si="230"/>
        <v>FA 231 - 400 g/m² -</v>
      </c>
      <c r="I797" s="6" t="str">
        <f>"3"</f>
        <v>3</v>
      </c>
      <c r="J797" s="6" t="str">
        <f>"PRETO Sulf"</f>
        <v>PRETO Sulf</v>
      </c>
      <c r="K797" s="6" t="str">
        <f>"0522"</f>
        <v>0522</v>
      </c>
      <c r="L797" s="6" t="str">
        <f>"Toalhetes"</f>
        <v>Toalhetes</v>
      </c>
      <c r="M797" s="6" t="str">
        <f>"40x70"</f>
        <v>40x70</v>
      </c>
      <c r="N797" s="6" t="str">
        <f t="shared" si="225"/>
        <v xml:space="preserve"> </v>
      </c>
      <c r="O797" s="8">
        <v>400</v>
      </c>
      <c r="P797" s="7">
        <v>46043</v>
      </c>
      <c r="R797" s="8">
        <v>0</v>
      </c>
      <c r="S797" s="7">
        <v>46048</v>
      </c>
      <c r="U797" s="8">
        <v>448</v>
      </c>
      <c r="V797" s="7">
        <v>46064</v>
      </c>
      <c r="X797" s="8">
        <v>0</v>
      </c>
      <c r="Z797" s="8">
        <v>0</v>
      </c>
      <c r="AA797" s="7">
        <v>46080</v>
      </c>
      <c r="AC797" s="8">
        <v>0</v>
      </c>
      <c r="AE797" s="7">
        <v>46085</v>
      </c>
      <c r="AF797" s="8">
        <v>0</v>
      </c>
      <c r="AH797" s="7">
        <v>46087</v>
      </c>
      <c r="AN797" s="8">
        <v>0</v>
      </c>
      <c r="AO797" s="8">
        <v>400</v>
      </c>
    </row>
    <row r="798" spans="1:41" x14ac:dyDescent="0.25">
      <c r="A798" s="6" t="str">
        <f t="shared" si="226"/>
        <v>521-2025000772</v>
      </c>
      <c r="B798" s="6" t="str">
        <f t="shared" si="227"/>
        <v>MARJANE</v>
      </c>
      <c r="C798" s="7">
        <v>46001</v>
      </c>
      <c r="D798" s="7">
        <v>46080</v>
      </c>
      <c r="E798" s="8">
        <v>48</v>
      </c>
      <c r="F798" s="6" t="str">
        <f t="shared" si="228"/>
        <v xml:space="preserve"> </v>
      </c>
      <c r="G798" s="6" t="str">
        <f t="shared" si="229"/>
        <v>F100023140000005</v>
      </c>
      <c r="H798" s="6" t="str">
        <f t="shared" si="230"/>
        <v>FA 231 - 400 g/m² -</v>
      </c>
      <c r="I798" s="6" t="str">
        <f>"3"</f>
        <v>3</v>
      </c>
      <c r="J798" s="6" t="str">
        <f>"PRETO Sulf"</f>
        <v>PRETO Sulf</v>
      </c>
      <c r="K798" s="6" t="str">
        <f>"2020"</f>
        <v>2020</v>
      </c>
      <c r="L798" s="6" t="str">
        <f>"Lençóis"</f>
        <v>Lençóis</v>
      </c>
      <c r="M798" s="6" t="str">
        <f>"100x150"</f>
        <v>100x150</v>
      </c>
      <c r="N798" s="6" t="str">
        <f t="shared" si="225"/>
        <v xml:space="preserve"> </v>
      </c>
      <c r="O798" s="8">
        <v>200</v>
      </c>
      <c r="P798" s="7">
        <v>46043</v>
      </c>
      <c r="R798" s="8">
        <v>886</v>
      </c>
      <c r="S798" s="7">
        <v>46048</v>
      </c>
      <c r="U798" s="8">
        <v>220</v>
      </c>
      <c r="V798" s="7">
        <v>46064</v>
      </c>
      <c r="X798" s="8">
        <v>0</v>
      </c>
      <c r="Z798" s="8">
        <v>0</v>
      </c>
      <c r="AA798" s="7">
        <v>46080</v>
      </c>
      <c r="AC798" s="8">
        <v>0</v>
      </c>
      <c r="AE798" s="7">
        <v>46085</v>
      </c>
      <c r="AF798" s="8">
        <v>0</v>
      </c>
      <c r="AH798" s="7">
        <v>46087</v>
      </c>
      <c r="AN798" s="8">
        <v>0</v>
      </c>
      <c r="AO798" s="8">
        <v>200</v>
      </c>
    </row>
    <row r="799" spans="1:41" x14ac:dyDescent="0.25">
      <c r="A799" s="6" t="str">
        <f t="shared" si="226"/>
        <v>521-2025000772</v>
      </c>
      <c r="B799" s="6" t="str">
        <f t="shared" si="227"/>
        <v>MARJANE</v>
      </c>
      <c r="C799" s="7">
        <v>46001</v>
      </c>
      <c r="D799" s="7">
        <v>46080</v>
      </c>
      <c r="E799" s="8">
        <v>49</v>
      </c>
      <c r="F799" s="6" t="str">
        <f t="shared" si="228"/>
        <v xml:space="preserve"> </v>
      </c>
      <c r="G799" s="6" t="str">
        <f t="shared" si="229"/>
        <v>F100023140000005</v>
      </c>
      <c r="H799" s="6" t="str">
        <f t="shared" si="230"/>
        <v>FA 231 - 400 g/m² -</v>
      </c>
      <c r="I799" s="6" t="str">
        <f>"1822"</f>
        <v>1822</v>
      </c>
      <c r="J799" s="6" t="str">
        <f>"ROSA 1822"</f>
        <v>ROSA 1822</v>
      </c>
      <c r="K799" s="6" t="str">
        <f>"1020"</f>
        <v>1020</v>
      </c>
      <c r="L799" s="6" t="str">
        <f>"Toalhas"</f>
        <v>Toalhas</v>
      </c>
      <c r="M799" s="6" t="str">
        <f>"50x90"</f>
        <v>50x90</v>
      </c>
      <c r="N799" s="6" t="str">
        <f t="shared" si="225"/>
        <v xml:space="preserve"> </v>
      </c>
      <c r="O799" s="8">
        <v>500</v>
      </c>
      <c r="P799" s="7">
        <v>46043</v>
      </c>
      <c r="R799" s="8">
        <v>0</v>
      </c>
      <c r="S799" s="7">
        <v>46048</v>
      </c>
      <c r="U799" s="8">
        <v>544</v>
      </c>
      <c r="V799" s="7">
        <v>46064</v>
      </c>
      <c r="X799" s="8">
        <v>0</v>
      </c>
      <c r="Z799" s="8">
        <v>0</v>
      </c>
      <c r="AA799" s="7">
        <v>46080</v>
      </c>
      <c r="AC799" s="8">
        <v>0</v>
      </c>
      <c r="AE799" s="7">
        <v>46085</v>
      </c>
      <c r="AF799" s="8">
        <v>0</v>
      </c>
      <c r="AH799" s="7">
        <v>46087</v>
      </c>
      <c r="AN799" s="8">
        <v>0</v>
      </c>
      <c r="AO799" s="8">
        <v>500</v>
      </c>
    </row>
    <row r="800" spans="1:41" x14ac:dyDescent="0.25">
      <c r="A800" s="6" t="str">
        <f t="shared" si="226"/>
        <v>521-2025000772</v>
      </c>
      <c r="B800" s="6" t="str">
        <f t="shared" si="227"/>
        <v>MARJANE</v>
      </c>
      <c r="C800" s="7">
        <v>46001</v>
      </c>
      <c r="D800" s="7">
        <v>46080</v>
      </c>
      <c r="E800" s="8">
        <v>50</v>
      </c>
      <c r="F800" s="6" t="str">
        <f t="shared" si="228"/>
        <v xml:space="preserve"> </v>
      </c>
      <c r="G800" s="6" t="str">
        <f t="shared" si="229"/>
        <v>F100023140000005</v>
      </c>
      <c r="H800" s="6" t="str">
        <f t="shared" si="230"/>
        <v>FA 231 - 400 g/m² -</v>
      </c>
      <c r="I800" s="6" t="str">
        <f>"1822"</f>
        <v>1822</v>
      </c>
      <c r="J800" s="6" t="str">
        <f>"ROSA 1822"</f>
        <v>ROSA 1822</v>
      </c>
      <c r="K800" s="6" t="str">
        <f>"0522"</f>
        <v>0522</v>
      </c>
      <c r="L800" s="6" t="str">
        <f>"Toalhetes"</f>
        <v>Toalhetes</v>
      </c>
      <c r="M800" s="6" t="str">
        <f>"40x70"</f>
        <v>40x70</v>
      </c>
      <c r="N800" s="6" t="str">
        <f t="shared" si="225"/>
        <v xml:space="preserve"> </v>
      </c>
      <c r="O800" s="8">
        <v>300</v>
      </c>
      <c r="P800" s="7">
        <v>46043</v>
      </c>
      <c r="R800" s="8">
        <v>0</v>
      </c>
      <c r="S800" s="7">
        <v>46048</v>
      </c>
      <c r="U800" s="8">
        <v>340</v>
      </c>
      <c r="V800" s="7">
        <v>46064</v>
      </c>
      <c r="X800" s="8">
        <v>0</v>
      </c>
      <c r="Z800" s="8">
        <v>0</v>
      </c>
      <c r="AA800" s="7">
        <v>46080</v>
      </c>
      <c r="AC800" s="8">
        <v>0</v>
      </c>
      <c r="AE800" s="7">
        <v>46085</v>
      </c>
      <c r="AF800" s="8">
        <v>0</v>
      </c>
      <c r="AH800" s="7">
        <v>46087</v>
      </c>
      <c r="AN800" s="8">
        <v>0</v>
      </c>
      <c r="AO800" s="8">
        <v>300</v>
      </c>
    </row>
    <row r="801" spans="1:41" x14ac:dyDescent="0.25">
      <c r="A801" s="6" t="str">
        <f t="shared" si="226"/>
        <v>521-2025000772</v>
      </c>
      <c r="B801" s="6" t="str">
        <f t="shared" si="227"/>
        <v>MARJANE</v>
      </c>
      <c r="C801" s="7">
        <v>46001</v>
      </c>
      <c r="D801" s="7">
        <v>46080</v>
      </c>
      <c r="E801" s="8">
        <v>51</v>
      </c>
      <c r="F801" s="6" t="str">
        <f t="shared" si="228"/>
        <v xml:space="preserve"> </v>
      </c>
      <c r="G801" s="6" t="str">
        <f t="shared" si="229"/>
        <v>F100023140000005</v>
      </c>
      <c r="H801" s="6" t="str">
        <f t="shared" si="230"/>
        <v>FA 231 - 400 g/m² -</v>
      </c>
      <c r="I801" s="6" t="str">
        <f>"1822"</f>
        <v>1822</v>
      </c>
      <c r="J801" s="6" t="str">
        <f>"ROSA 1822"</f>
        <v>ROSA 1822</v>
      </c>
      <c r="K801" s="6" t="str">
        <f>"1535"</f>
        <v>1535</v>
      </c>
      <c r="L801" s="6" t="str">
        <f>"Toalhões"</f>
        <v>Toalhões</v>
      </c>
      <c r="M801" s="6" t="str">
        <f>"70x140"</f>
        <v>70x140</v>
      </c>
      <c r="N801" s="6" t="str">
        <f t="shared" si="225"/>
        <v xml:space="preserve"> </v>
      </c>
      <c r="O801" s="8">
        <v>300</v>
      </c>
      <c r="P801" s="7">
        <v>46043</v>
      </c>
      <c r="R801" s="8">
        <v>0</v>
      </c>
      <c r="S801" s="7">
        <v>46048</v>
      </c>
      <c r="U801" s="8">
        <v>330</v>
      </c>
      <c r="V801" s="7">
        <v>46064</v>
      </c>
      <c r="X801" s="8">
        <v>0</v>
      </c>
      <c r="Z801" s="8">
        <v>0</v>
      </c>
      <c r="AA801" s="7">
        <v>46080</v>
      </c>
      <c r="AC801" s="8">
        <v>0</v>
      </c>
      <c r="AE801" s="7">
        <v>46085</v>
      </c>
      <c r="AF801" s="8">
        <v>0</v>
      </c>
      <c r="AH801" s="7">
        <v>46087</v>
      </c>
      <c r="AN801" s="8">
        <v>0</v>
      </c>
      <c r="AO801" s="8">
        <v>300</v>
      </c>
    </row>
    <row r="802" spans="1:41" x14ac:dyDescent="0.25">
      <c r="A802" s="6" t="str">
        <f t="shared" si="226"/>
        <v>521-2025000772</v>
      </c>
      <c r="B802" s="6" t="str">
        <f t="shared" si="227"/>
        <v>MARJANE</v>
      </c>
      <c r="C802" s="7">
        <v>46001</v>
      </c>
      <c r="D802" s="7">
        <v>46080</v>
      </c>
      <c r="E802" s="8">
        <v>52</v>
      </c>
      <c r="F802" s="6" t="str">
        <f t="shared" si="228"/>
        <v xml:space="preserve"> </v>
      </c>
      <c r="G802" s="6" t="str">
        <f t="shared" si="229"/>
        <v>F100023140000005</v>
      </c>
      <c r="H802" s="6" t="str">
        <f t="shared" si="230"/>
        <v>FA 231 - 400 g/m² -</v>
      </c>
      <c r="I802" s="6" t="str">
        <f>"2334"</f>
        <v>2334</v>
      </c>
      <c r="J802" s="6" t="str">
        <f>"TURQUESA 2334"</f>
        <v>TURQUESA 2334</v>
      </c>
      <c r="K802" s="6" t="str">
        <f>"0522"</f>
        <v>0522</v>
      </c>
      <c r="L802" s="6" t="str">
        <f>"Toalhetes"</f>
        <v>Toalhetes</v>
      </c>
      <c r="M802" s="6" t="str">
        <f>"40x70"</f>
        <v>40x70</v>
      </c>
      <c r="N802" s="6" t="str">
        <f t="shared" si="225"/>
        <v xml:space="preserve"> </v>
      </c>
      <c r="O802" s="8">
        <v>200</v>
      </c>
      <c r="P802" s="7">
        <v>46043</v>
      </c>
      <c r="R802" s="8">
        <v>0</v>
      </c>
      <c r="S802" s="7">
        <v>46048</v>
      </c>
      <c r="U802" s="8">
        <v>224</v>
      </c>
      <c r="V802" s="7">
        <v>46064</v>
      </c>
      <c r="X802" s="8">
        <v>0</v>
      </c>
      <c r="Z802" s="8">
        <v>0</v>
      </c>
      <c r="AA802" s="7">
        <v>46080</v>
      </c>
      <c r="AC802" s="8">
        <v>0</v>
      </c>
      <c r="AE802" s="7">
        <v>46085</v>
      </c>
      <c r="AF802" s="8">
        <v>0</v>
      </c>
      <c r="AH802" s="7">
        <v>46087</v>
      </c>
      <c r="AN802" s="8">
        <v>0</v>
      </c>
      <c r="AO802" s="8">
        <v>200</v>
      </c>
    </row>
    <row r="803" spans="1:41" x14ac:dyDescent="0.25">
      <c r="A803" s="6" t="str">
        <f t="shared" si="226"/>
        <v>521-2025000772</v>
      </c>
      <c r="B803" s="6" t="str">
        <f t="shared" si="227"/>
        <v>MARJANE</v>
      </c>
      <c r="C803" s="7">
        <v>46001</v>
      </c>
      <c r="D803" s="7">
        <v>46080</v>
      </c>
      <c r="E803" s="8">
        <v>53</v>
      </c>
      <c r="F803" s="6" t="str">
        <f t="shared" si="228"/>
        <v xml:space="preserve"> </v>
      </c>
      <c r="G803" s="6" t="str">
        <f t="shared" si="229"/>
        <v>F100023140000005</v>
      </c>
      <c r="H803" s="6" t="str">
        <f t="shared" si="230"/>
        <v>FA 231 - 400 g/m² -</v>
      </c>
      <c r="I803" s="6" t="str">
        <f>"2334"</f>
        <v>2334</v>
      </c>
      <c r="J803" s="6" t="str">
        <f>"TURQUESA 2334"</f>
        <v>TURQUESA 2334</v>
      </c>
      <c r="K803" s="6" t="str">
        <f>"1020"</f>
        <v>1020</v>
      </c>
      <c r="L803" s="6" t="str">
        <f>"Toalhas"</f>
        <v>Toalhas</v>
      </c>
      <c r="M803" s="6" t="str">
        <f>"50x90"</f>
        <v>50x90</v>
      </c>
      <c r="N803" s="6" t="str">
        <f t="shared" si="225"/>
        <v xml:space="preserve"> </v>
      </c>
      <c r="O803" s="8">
        <v>200</v>
      </c>
      <c r="P803" s="7">
        <v>46043</v>
      </c>
      <c r="R803" s="8">
        <v>0</v>
      </c>
      <c r="S803" s="7">
        <v>46048</v>
      </c>
      <c r="U803" s="8">
        <v>216</v>
      </c>
      <c r="V803" s="7">
        <v>46064</v>
      </c>
      <c r="X803" s="8">
        <v>0</v>
      </c>
      <c r="Z803" s="8">
        <v>0</v>
      </c>
      <c r="AA803" s="7">
        <v>46080</v>
      </c>
      <c r="AC803" s="8">
        <v>0</v>
      </c>
      <c r="AE803" s="7">
        <v>46085</v>
      </c>
      <c r="AF803" s="8">
        <v>0</v>
      </c>
      <c r="AH803" s="7">
        <v>46087</v>
      </c>
      <c r="AN803" s="8">
        <v>0</v>
      </c>
      <c r="AO803" s="8">
        <v>200</v>
      </c>
    </row>
    <row r="804" spans="1:41" x14ac:dyDescent="0.25">
      <c r="A804" s="6" t="str">
        <f t="shared" si="226"/>
        <v>521-2025000772</v>
      </c>
      <c r="B804" s="6" t="str">
        <f t="shared" si="227"/>
        <v>MARJANE</v>
      </c>
      <c r="C804" s="7">
        <v>46001</v>
      </c>
      <c r="D804" s="7">
        <v>46080</v>
      </c>
      <c r="E804" s="8">
        <v>54</v>
      </c>
      <c r="F804" s="6" t="str">
        <f t="shared" si="228"/>
        <v xml:space="preserve"> </v>
      </c>
      <c r="G804" s="6" t="str">
        <f t="shared" si="229"/>
        <v>F100023140000005</v>
      </c>
      <c r="H804" s="6" t="str">
        <f t="shared" si="230"/>
        <v>FA 231 - 400 g/m² -</v>
      </c>
      <c r="I804" s="6" t="str">
        <f>"2334"</f>
        <v>2334</v>
      </c>
      <c r="J804" s="6" t="str">
        <f>"TURQUESA 2334"</f>
        <v>TURQUESA 2334</v>
      </c>
      <c r="K804" s="6" t="str">
        <f>"2020"</f>
        <v>2020</v>
      </c>
      <c r="L804" s="6" t="str">
        <f>"Lençóis"</f>
        <v>Lençóis</v>
      </c>
      <c r="M804" s="6" t="str">
        <f>"100x150"</f>
        <v>100x150</v>
      </c>
      <c r="N804" s="6" t="str">
        <f t="shared" si="225"/>
        <v xml:space="preserve"> </v>
      </c>
      <c r="O804" s="8">
        <v>200</v>
      </c>
      <c r="P804" s="7">
        <v>46043</v>
      </c>
      <c r="R804" s="8">
        <v>0</v>
      </c>
      <c r="S804" s="7">
        <v>46048</v>
      </c>
      <c r="U804" s="8">
        <v>220</v>
      </c>
      <c r="V804" s="7">
        <v>46064</v>
      </c>
      <c r="X804" s="8">
        <v>0</v>
      </c>
      <c r="Z804" s="8">
        <v>0</v>
      </c>
      <c r="AA804" s="7">
        <v>46080</v>
      </c>
      <c r="AC804" s="8">
        <v>0</v>
      </c>
      <c r="AE804" s="7">
        <v>46085</v>
      </c>
      <c r="AF804" s="8">
        <v>0</v>
      </c>
      <c r="AH804" s="7">
        <v>46087</v>
      </c>
      <c r="AN804" s="8">
        <v>0</v>
      </c>
      <c r="AO804" s="8">
        <v>200</v>
      </c>
    </row>
    <row r="805" spans="1:41" x14ac:dyDescent="0.25">
      <c r="A805" s="6" t="str">
        <f t="shared" si="226"/>
        <v>521-2025000772</v>
      </c>
      <c r="B805" s="6" t="str">
        <f t="shared" si="227"/>
        <v>MARJANE</v>
      </c>
      <c r="C805" s="7">
        <v>46001</v>
      </c>
      <c r="D805" s="7">
        <v>46080</v>
      </c>
      <c r="E805" s="8">
        <v>55</v>
      </c>
      <c r="F805" s="6" t="str">
        <f t="shared" si="228"/>
        <v xml:space="preserve"> </v>
      </c>
      <c r="G805" s="6" t="str">
        <f t="shared" si="229"/>
        <v>F100023140000005</v>
      </c>
      <c r="H805" s="6" t="str">
        <f t="shared" si="230"/>
        <v>FA 231 - 400 g/m² -</v>
      </c>
      <c r="I805" s="6" t="str">
        <f>"2334"</f>
        <v>2334</v>
      </c>
      <c r="J805" s="6" t="str">
        <f>"TURQUESA 2334"</f>
        <v>TURQUESA 2334</v>
      </c>
      <c r="K805" s="6" t="str">
        <f>"1535"</f>
        <v>1535</v>
      </c>
      <c r="L805" s="6" t="str">
        <f>"Toalhões"</f>
        <v>Toalhões</v>
      </c>
      <c r="M805" s="6" t="str">
        <f>"70x140"</f>
        <v>70x140</v>
      </c>
      <c r="N805" s="6" t="str">
        <f t="shared" si="225"/>
        <v xml:space="preserve"> </v>
      </c>
      <c r="O805" s="8">
        <v>200</v>
      </c>
      <c r="P805" s="7">
        <v>46043</v>
      </c>
      <c r="R805" s="8">
        <v>0</v>
      </c>
      <c r="S805" s="7">
        <v>46048</v>
      </c>
      <c r="U805" s="8">
        <v>222</v>
      </c>
      <c r="V805" s="7">
        <v>46064</v>
      </c>
      <c r="X805" s="8">
        <v>0</v>
      </c>
      <c r="Z805" s="8">
        <v>0</v>
      </c>
      <c r="AA805" s="7">
        <v>46080</v>
      </c>
      <c r="AC805" s="8">
        <v>0</v>
      </c>
      <c r="AE805" s="7">
        <v>46085</v>
      </c>
      <c r="AF805" s="8">
        <v>0</v>
      </c>
      <c r="AH805" s="7">
        <v>46087</v>
      </c>
      <c r="AN805" s="8">
        <v>0</v>
      </c>
      <c r="AO805" s="8">
        <v>200</v>
      </c>
    </row>
    <row r="806" spans="1:41" x14ac:dyDescent="0.25">
      <c r="A806" s="6" t="str">
        <f t="shared" si="226"/>
        <v>521-2025000772</v>
      </c>
      <c r="B806" s="6" t="str">
        <f t="shared" si="227"/>
        <v>MARJANE</v>
      </c>
      <c r="C806" s="7">
        <v>46001</v>
      </c>
      <c r="D806" s="7">
        <v>46087</v>
      </c>
      <c r="E806" s="8">
        <v>56</v>
      </c>
      <c r="F806" s="6" t="str">
        <f t="shared" si="228"/>
        <v xml:space="preserve"> </v>
      </c>
      <c r="G806" s="6" t="str">
        <f>"F137135952000004"</f>
        <v>F137135952000004</v>
      </c>
      <c r="H806" s="6" t="str">
        <f>"FAJ SP 1359 CH PO -"</f>
        <v>FAJ SP 1359 CH PO -</v>
      </c>
      <c r="I806" s="6" t="str">
        <f>"500895"</f>
        <v>500895</v>
      </c>
      <c r="J806" s="6" t="str">
        <f>"BEGE 1670 /1930"</f>
        <v>BEGE 1670 /1930</v>
      </c>
      <c r="K806" s="6" t="str">
        <f>"2020"</f>
        <v>2020</v>
      </c>
      <c r="L806" s="6" t="str">
        <f>"Lençóis"</f>
        <v>Lençóis</v>
      </c>
      <c r="M806" s="6" t="str">
        <f>"100x150"</f>
        <v>100x150</v>
      </c>
      <c r="N806" s="6" t="str">
        <f t="shared" si="225"/>
        <v xml:space="preserve"> </v>
      </c>
      <c r="O806" s="8">
        <v>150</v>
      </c>
      <c r="P806" s="7">
        <v>46043</v>
      </c>
      <c r="R806" s="8">
        <v>168</v>
      </c>
      <c r="S806" s="7">
        <v>46048</v>
      </c>
      <c r="U806" s="8">
        <v>168</v>
      </c>
      <c r="V806" s="7">
        <v>46064</v>
      </c>
      <c r="X806" s="8">
        <v>0</v>
      </c>
      <c r="Z806" s="8">
        <v>0</v>
      </c>
      <c r="AA806" s="7">
        <v>46080</v>
      </c>
      <c r="AC806" s="8">
        <v>0</v>
      </c>
      <c r="AE806" s="7">
        <v>46085</v>
      </c>
      <c r="AF806" s="8">
        <v>0</v>
      </c>
      <c r="AH806" s="7">
        <v>46087</v>
      </c>
      <c r="AN806" s="8">
        <v>0</v>
      </c>
      <c r="AO806" s="8">
        <v>150</v>
      </c>
    </row>
    <row r="807" spans="1:41" x14ac:dyDescent="0.25">
      <c r="A807" s="6" t="str">
        <f t="shared" si="226"/>
        <v>521-2025000772</v>
      </c>
      <c r="B807" s="6" t="str">
        <f t="shared" si="227"/>
        <v>MARJANE</v>
      </c>
      <c r="C807" s="7">
        <v>46001</v>
      </c>
      <c r="D807" s="7">
        <v>46087</v>
      </c>
      <c r="E807" s="8">
        <v>57</v>
      </c>
      <c r="F807" s="6" t="str">
        <f t="shared" si="228"/>
        <v xml:space="preserve"> </v>
      </c>
      <c r="G807" s="6" t="str">
        <f>"F137135952000004"</f>
        <v>F137135952000004</v>
      </c>
      <c r="H807" s="6" t="str">
        <f>"FAJ SP 1359 CH PO -"</f>
        <v>FAJ SP 1359 CH PO -</v>
      </c>
      <c r="I807" s="6" t="str">
        <f>"501313"</f>
        <v>501313</v>
      </c>
      <c r="J807" s="6" t="str">
        <f>"SALMÃO 4385/H 3345"</f>
        <v>SALMÃO 4385/H 3345</v>
      </c>
      <c r="K807" s="6" t="str">
        <f>"1535"</f>
        <v>1535</v>
      </c>
      <c r="L807" s="6" t="str">
        <f>"Toalhões"</f>
        <v>Toalhões</v>
      </c>
      <c r="M807" s="6" t="str">
        <f>"70x140"</f>
        <v>70x140</v>
      </c>
      <c r="N807" s="6" t="str">
        <f t="shared" si="225"/>
        <v xml:space="preserve"> </v>
      </c>
      <c r="O807" s="8">
        <v>100</v>
      </c>
      <c r="P807" s="7">
        <v>46043</v>
      </c>
      <c r="R807" s="8">
        <v>105</v>
      </c>
      <c r="S807" s="7">
        <v>46048</v>
      </c>
      <c r="U807" s="8">
        <v>105</v>
      </c>
      <c r="V807" s="7">
        <v>46064</v>
      </c>
      <c r="X807" s="8">
        <v>0</v>
      </c>
      <c r="Z807" s="8">
        <v>0</v>
      </c>
      <c r="AA807" s="7">
        <v>46080</v>
      </c>
      <c r="AC807" s="8">
        <v>0</v>
      </c>
      <c r="AE807" s="7">
        <v>46085</v>
      </c>
      <c r="AF807" s="8">
        <v>0</v>
      </c>
      <c r="AH807" s="7">
        <v>46087</v>
      </c>
      <c r="AN807" s="8">
        <v>0</v>
      </c>
      <c r="AO807" s="8">
        <v>100</v>
      </c>
    </row>
    <row r="808" spans="1:41" x14ac:dyDescent="0.25">
      <c r="A808" s="6" t="str">
        <f t="shared" si="226"/>
        <v>521-2025000772</v>
      </c>
      <c r="B808" s="6" t="str">
        <f t="shared" si="227"/>
        <v>MARJANE</v>
      </c>
      <c r="C808" s="7">
        <v>46001</v>
      </c>
      <c r="D808" s="7">
        <v>46087</v>
      </c>
      <c r="E808" s="8">
        <v>58</v>
      </c>
      <c r="F808" s="6" t="str">
        <f t="shared" si="228"/>
        <v xml:space="preserve"> </v>
      </c>
      <c r="G808" s="6" t="str">
        <f>"F137135952000004"</f>
        <v>F137135952000004</v>
      </c>
      <c r="H808" s="6" t="str">
        <f>"FAJ SP 1359 CH PO -"</f>
        <v>FAJ SP 1359 CH PO -</v>
      </c>
      <c r="I808" s="6" t="str">
        <f>"501313"</f>
        <v>501313</v>
      </c>
      <c r="J808" s="6" t="str">
        <f>"SALMÃO 4385/H 3345"</f>
        <v>SALMÃO 4385/H 3345</v>
      </c>
      <c r="K808" s="6" t="str">
        <f>"2020"</f>
        <v>2020</v>
      </c>
      <c r="L808" s="6" t="str">
        <f>"Lençóis"</f>
        <v>Lençóis</v>
      </c>
      <c r="M808" s="6" t="str">
        <f>"100x150"</f>
        <v>100x150</v>
      </c>
      <c r="N808" s="6" t="str">
        <f t="shared" si="225"/>
        <v xml:space="preserve"> </v>
      </c>
      <c r="O808" s="8">
        <v>100</v>
      </c>
      <c r="P808" s="7">
        <v>46043</v>
      </c>
      <c r="R808" s="8">
        <v>112</v>
      </c>
      <c r="S808" s="7">
        <v>46048</v>
      </c>
      <c r="U808" s="8">
        <v>112</v>
      </c>
      <c r="V808" s="7">
        <v>46064</v>
      </c>
      <c r="X808" s="8">
        <v>0</v>
      </c>
      <c r="Z808" s="8">
        <v>0</v>
      </c>
      <c r="AA808" s="7">
        <v>46080</v>
      </c>
      <c r="AC808" s="8">
        <v>0</v>
      </c>
      <c r="AE808" s="7">
        <v>46085</v>
      </c>
      <c r="AF808" s="8">
        <v>0</v>
      </c>
      <c r="AH808" s="7">
        <v>46087</v>
      </c>
      <c r="AN808" s="8">
        <v>0</v>
      </c>
      <c r="AO808" s="8">
        <v>100</v>
      </c>
    </row>
    <row r="809" spans="1:41" x14ac:dyDescent="0.25">
      <c r="A809" s="6" t="str">
        <f>"521-2025000773"</f>
        <v>521-2025000773</v>
      </c>
      <c r="B809" s="6" t="str">
        <f>"REEBOK-C"</f>
        <v>REEBOK-C</v>
      </c>
      <c r="C809" s="7">
        <v>46003</v>
      </c>
      <c r="D809" s="7">
        <v>46080</v>
      </c>
      <c r="E809" s="8">
        <v>2</v>
      </c>
      <c r="F809" s="6" t="str">
        <f>"PO 400037517"</f>
        <v>PO 400037517</v>
      </c>
      <c r="G809" s="6" t="str">
        <f>"F330248645000000"</f>
        <v>F330248645000000</v>
      </c>
      <c r="H809" s="6" t="str">
        <f>"PLA 2486 - 450 g/m²"</f>
        <v>PLA 2486 - 450 g/m²</v>
      </c>
      <c r="I809" s="6" t="str">
        <f>"200019"</f>
        <v>200019</v>
      </c>
      <c r="J809" s="6" t="str">
        <f>"PRETO 19"</f>
        <v>PRETO 19</v>
      </c>
      <c r="K809" s="6" t="str">
        <f>"1538"</f>
        <v>1538</v>
      </c>
      <c r="L809" s="6" t="str">
        <f>"Toalhões"</f>
        <v>Toalhões</v>
      </c>
      <c r="M809" s="6" t="str">
        <f>"70x150"</f>
        <v>70x150</v>
      </c>
      <c r="N809" s="6" t="str">
        <f t="shared" si="225"/>
        <v xml:space="preserve"> </v>
      </c>
      <c r="O809" s="8">
        <v>3300</v>
      </c>
      <c r="P809" s="7">
        <v>46056</v>
      </c>
      <c r="R809" s="8">
        <v>0</v>
      </c>
      <c r="S809" s="7">
        <v>46059</v>
      </c>
      <c r="U809" s="8">
        <v>0</v>
      </c>
      <c r="V809" s="7">
        <v>46064</v>
      </c>
      <c r="X809" s="8">
        <v>0</v>
      </c>
      <c r="Z809" s="8">
        <v>0</v>
      </c>
      <c r="AA809" s="7">
        <v>46078</v>
      </c>
      <c r="AC809" s="8">
        <v>0</v>
      </c>
      <c r="AE809" s="7">
        <v>46080</v>
      </c>
      <c r="AF809" s="8">
        <v>0</v>
      </c>
      <c r="AH809" s="7">
        <v>46080</v>
      </c>
      <c r="AN809" s="8">
        <v>0</v>
      </c>
      <c r="AO809" s="8">
        <v>3300</v>
      </c>
    </row>
    <row r="810" spans="1:41" x14ac:dyDescent="0.25">
      <c r="A810" s="6" t="str">
        <f>"521-2025000774"</f>
        <v>521-2025000774</v>
      </c>
      <c r="B810" s="6" t="str">
        <f t="shared" ref="B810:B819" si="231">"ASHLEY W"</f>
        <v>ASHLEY W</v>
      </c>
      <c r="C810" s="7">
        <v>46003</v>
      </c>
      <c r="D810" s="7">
        <v>46080</v>
      </c>
      <c r="E810" s="8">
        <v>1</v>
      </c>
      <c r="F810" s="6" t="str">
        <f>"P36977 - OK - WILDFL"</f>
        <v>P36977 - OK - WILDFL</v>
      </c>
      <c r="G810" s="6" t="str">
        <f>"F310628558000000"</f>
        <v>F310628558000000</v>
      </c>
      <c r="H810" s="6" t="str">
        <f>"PLAR 6285 - 580 g/m²"</f>
        <v>PLAR 6285 - 580 g/m²</v>
      </c>
      <c r="I810" s="6" t="str">
        <f>"204781"</f>
        <v>204781</v>
      </c>
      <c r="J810" s="6" t="str">
        <f>"VERDE 4781"</f>
        <v>VERDE 4781</v>
      </c>
      <c r="K810" s="6" t="str">
        <f>"1020"</f>
        <v>1020</v>
      </c>
      <c r="L810" s="6" t="str">
        <f>"Toalhas"</f>
        <v>Toalhas</v>
      </c>
      <c r="M810" s="6" t="str">
        <f>"50x90"</f>
        <v>50x90</v>
      </c>
      <c r="N810" s="6" t="str">
        <f t="shared" si="225"/>
        <v xml:space="preserve"> </v>
      </c>
      <c r="O810" s="8">
        <v>700</v>
      </c>
      <c r="P810" s="7">
        <v>46056</v>
      </c>
      <c r="R810" s="8">
        <v>736</v>
      </c>
      <c r="S810" s="7">
        <v>46059</v>
      </c>
      <c r="U810" s="8">
        <v>0</v>
      </c>
      <c r="V810" s="7">
        <v>46064</v>
      </c>
      <c r="X810" s="8">
        <v>0</v>
      </c>
      <c r="Z810" s="8">
        <v>0</v>
      </c>
      <c r="AA810" s="7">
        <v>46078</v>
      </c>
      <c r="AC810" s="8">
        <v>0</v>
      </c>
      <c r="AE810" s="7">
        <v>46080</v>
      </c>
      <c r="AF810" s="8">
        <v>0</v>
      </c>
      <c r="AH810" s="7">
        <v>46080</v>
      </c>
      <c r="AN810" s="8">
        <v>0</v>
      </c>
      <c r="AO810" s="8">
        <v>700</v>
      </c>
    </row>
    <row r="811" spans="1:41" x14ac:dyDescent="0.25">
      <c r="A811" s="6" t="str">
        <f>"521-2025000774"</f>
        <v>521-2025000774</v>
      </c>
      <c r="B811" s="6" t="str">
        <f t="shared" si="231"/>
        <v>ASHLEY W</v>
      </c>
      <c r="C811" s="7">
        <v>46003</v>
      </c>
      <c r="D811" s="7">
        <v>46080</v>
      </c>
      <c r="E811" s="8">
        <v>2</v>
      </c>
      <c r="F811" s="6" t="str">
        <f>"P36977 - OK - WILDFL"</f>
        <v>P36977 - OK - WILDFL</v>
      </c>
      <c r="G811" s="6" t="str">
        <f>"F310628558000000"</f>
        <v>F310628558000000</v>
      </c>
      <c r="H811" s="6" t="str">
        <f>"PLAR 6285 - 580 g/m²"</f>
        <v>PLAR 6285 - 580 g/m²</v>
      </c>
      <c r="I811" s="6" t="str">
        <f>"204781"</f>
        <v>204781</v>
      </c>
      <c r="J811" s="6" t="str">
        <f>"VERDE 4781"</f>
        <v>VERDE 4781</v>
      </c>
      <c r="K811" s="6" t="str">
        <f>"1528"</f>
        <v>1528</v>
      </c>
      <c r="L811" s="6" t="str">
        <f>"Toalhões"</f>
        <v>Toalhões</v>
      </c>
      <c r="M811" s="6" t="str">
        <f>"70x125"</f>
        <v>70x125</v>
      </c>
      <c r="N811" s="6" t="str">
        <f t="shared" si="225"/>
        <v xml:space="preserve"> </v>
      </c>
      <c r="O811" s="8">
        <v>350</v>
      </c>
      <c r="P811" s="7">
        <v>46056</v>
      </c>
      <c r="R811" s="8">
        <v>378</v>
      </c>
      <c r="S811" s="7">
        <v>46059</v>
      </c>
      <c r="U811" s="8">
        <v>0</v>
      </c>
      <c r="V811" s="7">
        <v>46064</v>
      </c>
      <c r="X811" s="8">
        <v>0</v>
      </c>
      <c r="Z811" s="8">
        <v>0</v>
      </c>
      <c r="AA811" s="7">
        <v>46078</v>
      </c>
      <c r="AC811" s="8">
        <v>0</v>
      </c>
      <c r="AE811" s="7">
        <v>46080</v>
      </c>
      <c r="AF811" s="8">
        <v>0</v>
      </c>
      <c r="AH811" s="7">
        <v>46080</v>
      </c>
      <c r="AN811" s="8">
        <v>0</v>
      </c>
      <c r="AO811" s="8">
        <v>350</v>
      </c>
    </row>
    <row r="812" spans="1:41" x14ac:dyDescent="0.25">
      <c r="A812" s="6" t="str">
        <f>"521-2025000775"</f>
        <v>521-2025000775</v>
      </c>
      <c r="B812" s="6" t="str">
        <f t="shared" si="231"/>
        <v>ASHLEY W</v>
      </c>
      <c r="C812" s="7">
        <v>46003</v>
      </c>
      <c r="D812" s="7">
        <v>46080</v>
      </c>
      <c r="E812" s="8">
        <v>1</v>
      </c>
      <c r="F812" s="6" t="str">
        <f>"P36976 - OK - STEM C"</f>
        <v>P36976 - OK - STEM C</v>
      </c>
      <c r="G812" s="6" t="str">
        <f>"F310614958000000"</f>
        <v>F310614958000000</v>
      </c>
      <c r="H812" s="6" t="str">
        <f>"PLAR 6149 - 580 g/m²"</f>
        <v>PLAR 6149 - 580 g/m²</v>
      </c>
      <c r="I812" s="6" t="str">
        <f>"204771"</f>
        <v>204771</v>
      </c>
      <c r="J812" s="6" t="str">
        <f>"VERDE 4771"</f>
        <v>VERDE 4771</v>
      </c>
      <c r="K812" s="6" t="str">
        <f>"1020"</f>
        <v>1020</v>
      </c>
      <c r="L812" s="6" t="str">
        <f>"Toalhas"</f>
        <v>Toalhas</v>
      </c>
      <c r="M812" s="6" t="str">
        <f>"50x90"</f>
        <v>50x90</v>
      </c>
      <c r="N812" s="6" t="str">
        <f t="shared" ref="N812:N843" si="232">" "</f>
        <v xml:space="preserve"> </v>
      </c>
      <c r="O812" s="8">
        <v>700</v>
      </c>
      <c r="P812" s="7">
        <v>46056</v>
      </c>
      <c r="R812" s="8">
        <v>0</v>
      </c>
      <c r="S812" s="7">
        <v>46059</v>
      </c>
      <c r="U812" s="8">
        <v>0</v>
      </c>
      <c r="V812" s="7">
        <v>46064</v>
      </c>
      <c r="X812" s="8">
        <v>0</v>
      </c>
      <c r="Z812" s="8">
        <v>0</v>
      </c>
      <c r="AA812" s="7">
        <v>46078</v>
      </c>
      <c r="AC812" s="8">
        <v>0</v>
      </c>
      <c r="AE812" s="7">
        <v>46080</v>
      </c>
      <c r="AF812" s="8">
        <v>0</v>
      </c>
      <c r="AH812" s="7">
        <v>46080</v>
      </c>
      <c r="AN812" s="8">
        <v>0</v>
      </c>
      <c r="AO812" s="8">
        <v>700</v>
      </c>
    </row>
    <row r="813" spans="1:41" x14ac:dyDescent="0.25">
      <c r="A813" s="6" t="str">
        <f>"521-2025000776"</f>
        <v>521-2025000776</v>
      </c>
      <c r="B813" s="6" t="str">
        <f t="shared" si="231"/>
        <v>ASHLEY W</v>
      </c>
      <c r="C813" s="7">
        <v>46003</v>
      </c>
      <c r="D813" s="7">
        <v>46080</v>
      </c>
      <c r="E813" s="8">
        <v>1</v>
      </c>
      <c r="F813" s="6" t="str">
        <f>"P36975 - OK - STEM B"</f>
        <v>P36975 - OK - STEM B</v>
      </c>
      <c r="G813" s="6" t="str">
        <f>"F310624158000000"</f>
        <v>F310624158000000</v>
      </c>
      <c r="H813" s="6" t="str">
        <f>"PLAR 6241 - 580 g/m²"</f>
        <v>PLAR 6241 - 580 g/m²</v>
      </c>
      <c r="I813" s="6" t="str">
        <f>"204459"</f>
        <v>204459</v>
      </c>
      <c r="J813" s="6" t="str">
        <f>"ROSA 4459"</f>
        <v>ROSA 4459</v>
      </c>
      <c r="K813" s="6" t="str">
        <f>"1020"</f>
        <v>1020</v>
      </c>
      <c r="L813" s="6" t="str">
        <f>"Toalhas"</f>
        <v>Toalhas</v>
      </c>
      <c r="M813" s="6" t="str">
        <f>"50x90"</f>
        <v>50x90</v>
      </c>
      <c r="N813" s="6" t="str">
        <f t="shared" si="232"/>
        <v xml:space="preserve"> </v>
      </c>
      <c r="O813" s="8">
        <v>700</v>
      </c>
      <c r="P813" s="7">
        <v>46025</v>
      </c>
      <c r="R813" s="8">
        <v>0</v>
      </c>
      <c r="S813" s="7">
        <v>46029</v>
      </c>
      <c r="U813" s="8">
        <v>0</v>
      </c>
      <c r="V813" s="7">
        <v>46034</v>
      </c>
      <c r="X813" s="8">
        <v>0</v>
      </c>
      <c r="Z813" s="8">
        <v>0</v>
      </c>
      <c r="AA813" s="7">
        <v>46044</v>
      </c>
      <c r="AC813" s="8">
        <v>0</v>
      </c>
      <c r="AE813" s="7">
        <v>46048</v>
      </c>
      <c r="AF813" s="8">
        <v>0</v>
      </c>
      <c r="AH813" s="7">
        <v>46080</v>
      </c>
      <c r="AN813" s="8">
        <v>0</v>
      </c>
      <c r="AO813" s="8">
        <v>700</v>
      </c>
    </row>
    <row r="814" spans="1:41" x14ac:dyDescent="0.25">
      <c r="A814" s="6" t="str">
        <f>"521-2025000776"</f>
        <v>521-2025000776</v>
      </c>
      <c r="B814" s="6" t="str">
        <f t="shared" si="231"/>
        <v>ASHLEY W</v>
      </c>
      <c r="C814" s="7">
        <v>46003</v>
      </c>
      <c r="D814" s="7">
        <v>46080</v>
      </c>
      <c r="E814" s="8">
        <v>2</v>
      </c>
      <c r="F814" s="6" t="str">
        <f>"P36975 - OK - STEM B"</f>
        <v>P36975 - OK - STEM B</v>
      </c>
      <c r="G814" s="6" t="str">
        <f>"F310624158000000"</f>
        <v>F310624158000000</v>
      </c>
      <c r="H814" s="6" t="str">
        <f>"PLAR 6241 - 580 g/m²"</f>
        <v>PLAR 6241 - 580 g/m²</v>
      </c>
      <c r="I814" s="6" t="str">
        <f>"204459"</f>
        <v>204459</v>
      </c>
      <c r="J814" s="6" t="str">
        <f>"ROSA 4459"</f>
        <v>ROSA 4459</v>
      </c>
      <c r="K814" s="6" t="str">
        <f>"1528"</f>
        <v>1528</v>
      </c>
      <c r="L814" s="6" t="str">
        <f>"Toalhões"</f>
        <v>Toalhões</v>
      </c>
      <c r="M814" s="6" t="str">
        <f>"70x125"</f>
        <v>70x125</v>
      </c>
      <c r="N814" s="6" t="str">
        <f t="shared" si="232"/>
        <v xml:space="preserve"> </v>
      </c>
      <c r="O814" s="8">
        <v>350</v>
      </c>
      <c r="P814" s="7">
        <v>46025</v>
      </c>
      <c r="R814" s="8">
        <v>0</v>
      </c>
      <c r="S814" s="7">
        <v>46029</v>
      </c>
      <c r="U814" s="8">
        <v>0</v>
      </c>
      <c r="V814" s="7">
        <v>46034</v>
      </c>
      <c r="X814" s="8">
        <v>0</v>
      </c>
      <c r="Z814" s="8">
        <v>0</v>
      </c>
      <c r="AA814" s="7">
        <v>46044</v>
      </c>
      <c r="AC814" s="8">
        <v>0</v>
      </c>
      <c r="AE814" s="7">
        <v>46048</v>
      </c>
      <c r="AF814" s="8">
        <v>0</v>
      </c>
      <c r="AH814" s="7">
        <v>46080</v>
      </c>
      <c r="AN814" s="8">
        <v>0</v>
      </c>
      <c r="AO814" s="8">
        <v>350</v>
      </c>
    </row>
    <row r="815" spans="1:41" x14ac:dyDescent="0.25">
      <c r="A815" s="6" t="str">
        <f>"521-2025000776"</f>
        <v>521-2025000776</v>
      </c>
      <c r="B815" s="6" t="str">
        <f t="shared" si="231"/>
        <v>ASHLEY W</v>
      </c>
      <c r="C815" s="7">
        <v>46003</v>
      </c>
      <c r="D815" s="7">
        <v>46080</v>
      </c>
      <c r="E815" s="8">
        <v>3</v>
      </c>
      <c r="F815" s="6" t="str">
        <f>"P36975 - OK - STEM B"</f>
        <v>P36975 - OK - STEM B</v>
      </c>
      <c r="G815" s="6" t="str">
        <f>"F310624158000000"</f>
        <v>F310624158000000</v>
      </c>
      <c r="H815" s="6" t="str">
        <f>"PLAR 6241 - 580 g/m²"</f>
        <v>PLAR 6241 - 580 g/m²</v>
      </c>
      <c r="I815" s="6" t="str">
        <f>"204459"</f>
        <v>204459</v>
      </c>
      <c r="J815" s="6" t="str">
        <f>"ROSA 4459"</f>
        <v>ROSA 4459</v>
      </c>
      <c r="K815" s="6" t="str">
        <f>"2020"</f>
        <v>2020</v>
      </c>
      <c r="L815" s="6" t="str">
        <f>"Lençóis"</f>
        <v>Lençóis</v>
      </c>
      <c r="M815" s="6" t="str">
        <f>"100x150"</f>
        <v>100x150</v>
      </c>
      <c r="N815" s="6" t="str">
        <f t="shared" si="232"/>
        <v xml:space="preserve"> </v>
      </c>
      <c r="O815" s="8">
        <v>200</v>
      </c>
      <c r="P815" s="7">
        <v>46025</v>
      </c>
      <c r="R815" s="8">
        <v>0</v>
      </c>
      <c r="S815" s="7">
        <v>46029</v>
      </c>
      <c r="U815" s="8">
        <v>0</v>
      </c>
      <c r="V815" s="7">
        <v>46034</v>
      </c>
      <c r="X815" s="8">
        <v>0</v>
      </c>
      <c r="Z815" s="8">
        <v>0</v>
      </c>
      <c r="AA815" s="7">
        <v>46044</v>
      </c>
      <c r="AC815" s="8">
        <v>0</v>
      </c>
      <c r="AE815" s="7">
        <v>46048</v>
      </c>
      <c r="AF815" s="8">
        <v>0</v>
      </c>
      <c r="AH815" s="7">
        <v>46080</v>
      </c>
      <c r="AN815" s="8">
        <v>0</v>
      </c>
      <c r="AO815" s="8">
        <v>200</v>
      </c>
    </row>
    <row r="816" spans="1:41" x14ac:dyDescent="0.25">
      <c r="A816" s="6" t="str">
        <f>"521-2025000777"</f>
        <v>521-2025000777</v>
      </c>
      <c r="B816" s="6" t="str">
        <f t="shared" si="231"/>
        <v>ASHLEY W</v>
      </c>
      <c r="C816" s="7">
        <v>46003</v>
      </c>
      <c r="D816" s="7">
        <v>46080</v>
      </c>
      <c r="E816" s="8">
        <v>6</v>
      </c>
      <c r="F816" s="6" t="str">
        <f>"P36974 - OK - RETRO"</f>
        <v>P36974 - OK - RETRO</v>
      </c>
      <c r="G816" s="6" t="str">
        <f>"F310594758000000"</f>
        <v>F310594758000000</v>
      </c>
      <c r="H816" s="6" t="str">
        <f>"PLAR 5947 - 580 g/m²"</f>
        <v>PLAR 5947 - 580 g/m²</v>
      </c>
      <c r="I816" s="6" t="str">
        <f>"204425"</f>
        <v>204425</v>
      </c>
      <c r="J816" s="6" t="str">
        <f>"VERDE 4425"</f>
        <v>VERDE 4425</v>
      </c>
      <c r="K816" s="6" t="str">
        <f>"2020"</f>
        <v>2020</v>
      </c>
      <c r="L816" s="6" t="str">
        <f>"Lençóis"</f>
        <v>Lençóis</v>
      </c>
      <c r="M816" s="6" t="str">
        <f>"100x150"</f>
        <v>100x150</v>
      </c>
      <c r="N816" s="6" t="str">
        <f t="shared" si="232"/>
        <v xml:space="preserve"> </v>
      </c>
      <c r="O816" s="8">
        <v>200</v>
      </c>
      <c r="P816" s="7">
        <v>46056</v>
      </c>
      <c r="R816" s="8">
        <v>0</v>
      </c>
      <c r="S816" s="7">
        <v>46059</v>
      </c>
      <c r="U816" s="8">
        <v>0</v>
      </c>
      <c r="V816" s="7">
        <v>46064</v>
      </c>
      <c r="X816" s="8">
        <v>0</v>
      </c>
      <c r="Z816" s="8">
        <v>0</v>
      </c>
      <c r="AA816" s="7">
        <v>46078</v>
      </c>
      <c r="AC816" s="8">
        <v>0</v>
      </c>
      <c r="AE816" s="7">
        <v>46080</v>
      </c>
      <c r="AF816" s="8">
        <v>0</v>
      </c>
      <c r="AH816" s="7">
        <v>46080</v>
      </c>
      <c r="AN816" s="8">
        <v>0</v>
      </c>
      <c r="AO816" s="8">
        <v>200</v>
      </c>
    </row>
    <row r="817" spans="1:41" x14ac:dyDescent="0.25">
      <c r="A817" s="6" t="str">
        <f>"521-2025000778"</f>
        <v>521-2025000778</v>
      </c>
      <c r="B817" s="6" t="str">
        <f t="shared" si="231"/>
        <v>ASHLEY W</v>
      </c>
      <c r="C817" s="7">
        <v>46003</v>
      </c>
      <c r="D817" s="7">
        <v>46080</v>
      </c>
      <c r="E817" s="8">
        <v>1</v>
      </c>
      <c r="F817" s="6" t="str">
        <f>"P36973 - OK - MULTI"</f>
        <v>P36973 - OK - MULTI</v>
      </c>
      <c r="G817" s="6" t="str">
        <f>"F310594858000000"</f>
        <v>F310594858000000</v>
      </c>
      <c r="H817" s="6" t="str">
        <f>"PLAR 5948 - 580 g/m²"</f>
        <v>PLAR 5948 - 580 g/m²</v>
      </c>
      <c r="I817" s="6" t="str">
        <f>"204431"</f>
        <v>204431</v>
      </c>
      <c r="J817" s="6" t="str">
        <f>"VERDE 4431"</f>
        <v>VERDE 4431</v>
      </c>
      <c r="K817" s="6" t="str">
        <f>"1020"</f>
        <v>1020</v>
      </c>
      <c r="L817" s="6" t="str">
        <f>"Toalhas"</f>
        <v>Toalhas</v>
      </c>
      <c r="M817" s="6" t="str">
        <f>"50x90"</f>
        <v>50x90</v>
      </c>
      <c r="N817" s="6" t="str">
        <f t="shared" si="232"/>
        <v xml:space="preserve"> </v>
      </c>
      <c r="O817" s="8">
        <v>700</v>
      </c>
      <c r="P817" s="7">
        <v>46056</v>
      </c>
      <c r="R817" s="8">
        <v>0</v>
      </c>
      <c r="S817" s="7">
        <v>46059</v>
      </c>
      <c r="U817" s="8">
        <v>0</v>
      </c>
      <c r="V817" s="7">
        <v>46064</v>
      </c>
      <c r="X817" s="8">
        <v>0</v>
      </c>
      <c r="Z817" s="8">
        <v>0</v>
      </c>
      <c r="AA817" s="7">
        <v>46078</v>
      </c>
      <c r="AC817" s="8">
        <v>0</v>
      </c>
      <c r="AE817" s="7">
        <v>46080</v>
      </c>
      <c r="AF817" s="8">
        <v>0</v>
      </c>
      <c r="AH817" s="7">
        <v>46080</v>
      </c>
      <c r="AN817" s="8">
        <v>0</v>
      </c>
      <c r="AO817" s="8">
        <v>700</v>
      </c>
    </row>
    <row r="818" spans="1:41" x14ac:dyDescent="0.25">
      <c r="A818" s="6" t="str">
        <f>"521-2025000778"</f>
        <v>521-2025000778</v>
      </c>
      <c r="B818" s="6" t="str">
        <f t="shared" si="231"/>
        <v>ASHLEY W</v>
      </c>
      <c r="C818" s="7">
        <v>46003</v>
      </c>
      <c r="D818" s="7">
        <v>46080</v>
      </c>
      <c r="E818" s="8">
        <v>2</v>
      </c>
      <c r="F818" s="6" t="str">
        <f>"P36973 - OK - MULTI"</f>
        <v>P36973 - OK - MULTI</v>
      </c>
      <c r="G818" s="6" t="str">
        <f>"F310594895000000"</f>
        <v>F310594895000000</v>
      </c>
      <c r="H818" s="6" t="str">
        <f>"PLAR 5948 TA - 950 g"</f>
        <v>PLAR 5948 TA - 950 g</v>
      </c>
      <c r="I818" s="6" t="str">
        <f>"204431"</f>
        <v>204431</v>
      </c>
      <c r="J818" s="6" t="str">
        <f>"VERDE 4431"</f>
        <v>VERDE 4431</v>
      </c>
      <c r="K818" s="6" t="str">
        <f>"3071"</f>
        <v>3071</v>
      </c>
      <c r="L818" s="6" t="str">
        <f>"Tapetes"</f>
        <v>Tapetes</v>
      </c>
      <c r="M818" s="6" t="str">
        <f>"90x50"</f>
        <v>90x50</v>
      </c>
      <c r="N818" s="6" t="str">
        <f t="shared" si="232"/>
        <v xml:space="preserve"> </v>
      </c>
      <c r="O818" s="8">
        <v>500</v>
      </c>
      <c r="P818" s="7">
        <v>46056</v>
      </c>
      <c r="R818" s="8">
        <v>0</v>
      </c>
      <c r="S818" s="7">
        <v>46059</v>
      </c>
      <c r="U818" s="8">
        <v>0</v>
      </c>
      <c r="V818" s="7">
        <v>46064</v>
      </c>
      <c r="X818" s="8">
        <v>0</v>
      </c>
      <c r="Z818" s="8">
        <v>0</v>
      </c>
      <c r="AA818" s="7">
        <v>46078</v>
      </c>
      <c r="AC818" s="8">
        <v>0</v>
      </c>
      <c r="AE818" s="7">
        <v>46080</v>
      </c>
      <c r="AF818" s="8">
        <v>0</v>
      </c>
      <c r="AH818" s="7">
        <v>46080</v>
      </c>
      <c r="AN818" s="8">
        <v>0</v>
      </c>
      <c r="AO818" s="8">
        <v>500</v>
      </c>
    </row>
    <row r="819" spans="1:41" x14ac:dyDescent="0.25">
      <c r="A819" s="6" t="str">
        <f>"521-2025000779"</f>
        <v>521-2025000779</v>
      </c>
      <c r="B819" s="6" t="str">
        <f t="shared" si="231"/>
        <v>ASHLEY W</v>
      </c>
      <c r="C819" s="7">
        <v>46003</v>
      </c>
      <c r="D819" s="7">
        <v>46080</v>
      </c>
      <c r="E819" s="8">
        <v>4</v>
      </c>
      <c r="F819" s="6" t="str">
        <f>"P36972 - OK - LINEAR"</f>
        <v>P36972 - OK - LINEAR</v>
      </c>
      <c r="G819" s="6" t="str">
        <f>"F310624995000000"</f>
        <v>F310624995000000</v>
      </c>
      <c r="H819" s="6" t="str">
        <f>"PLAR 6249 TA - 950 g"</f>
        <v>PLAR 6249 TA - 950 g</v>
      </c>
      <c r="I819" s="6" t="str">
        <f>"204649"</f>
        <v>204649</v>
      </c>
      <c r="J819" s="6" t="str">
        <f>"AZUL 4649"</f>
        <v>AZUL 4649</v>
      </c>
      <c r="K819" s="6" t="str">
        <f>"3026"</f>
        <v>3026</v>
      </c>
      <c r="L819" s="6" t="str">
        <f>"Tapetes"</f>
        <v>Tapetes</v>
      </c>
      <c r="M819" s="6" t="str">
        <f>"50x90"</f>
        <v>50x90</v>
      </c>
      <c r="N819" s="6" t="str">
        <f t="shared" si="232"/>
        <v xml:space="preserve"> </v>
      </c>
      <c r="O819" s="8">
        <v>500</v>
      </c>
      <c r="P819" s="7">
        <v>46056</v>
      </c>
      <c r="R819" s="8">
        <v>540</v>
      </c>
      <c r="S819" s="7">
        <v>46059</v>
      </c>
      <c r="U819" s="8">
        <v>0</v>
      </c>
      <c r="V819" s="7">
        <v>46064</v>
      </c>
      <c r="X819" s="8">
        <v>0</v>
      </c>
      <c r="Z819" s="8">
        <v>0</v>
      </c>
      <c r="AA819" s="7">
        <v>46078</v>
      </c>
      <c r="AC819" s="8">
        <v>0</v>
      </c>
      <c r="AE819" s="7">
        <v>46080</v>
      </c>
      <c r="AF819" s="8">
        <v>0</v>
      </c>
      <c r="AH819" s="7">
        <v>46080</v>
      </c>
      <c r="AN819" s="8">
        <v>0</v>
      </c>
      <c r="AO819" s="8">
        <v>500</v>
      </c>
    </row>
    <row r="820" spans="1:41" x14ac:dyDescent="0.25">
      <c r="A820" s="6" t="str">
        <f>"521-2025000780"</f>
        <v>521-2025000780</v>
      </c>
      <c r="B820" s="6" t="str">
        <f>"SARL DES"</f>
        <v>SARL DES</v>
      </c>
      <c r="C820" s="7">
        <v>46006</v>
      </c>
      <c r="D820" s="7">
        <v>46066</v>
      </c>
      <c r="E820" s="8">
        <v>1</v>
      </c>
      <c r="F820" s="6" t="str">
        <f>"CF250207"</f>
        <v>CF250207</v>
      </c>
      <c r="G820" s="6" t="str">
        <f>"J160069038000000"</f>
        <v>J160069038000000</v>
      </c>
      <c r="H820" s="6" t="str">
        <f>"Conj. L 690 - 380 g/"</f>
        <v>Conj. L 690 - 380 g/</v>
      </c>
      <c r="I820" s="6" t="str">
        <f>"5"</f>
        <v>5</v>
      </c>
      <c r="J820" s="6" t="str">
        <f>"PRETO CUBA"</f>
        <v>PRETO CUBA</v>
      </c>
      <c r="K820" s="6" t="str">
        <f>"4020"</f>
        <v>4020</v>
      </c>
      <c r="L820" s="6" t="str">
        <f>"Conjunto/Jogos"</f>
        <v>Conjunto/Jogos</v>
      </c>
      <c r="M820" s="6" t="str">
        <f>"(6 Pcs)"</f>
        <v>(6 Pcs)</v>
      </c>
      <c r="N820" s="6" t="str">
        <f t="shared" si="232"/>
        <v xml:space="preserve"> </v>
      </c>
      <c r="O820" s="8">
        <v>1220</v>
      </c>
      <c r="P820" s="7">
        <v>46038</v>
      </c>
      <c r="R820" s="8">
        <v>7520</v>
      </c>
      <c r="S820" s="7">
        <v>46043</v>
      </c>
      <c r="U820" s="8">
        <v>0</v>
      </c>
      <c r="V820" s="7">
        <v>46052</v>
      </c>
      <c r="X820" s="8">
        <v>0</v>
      </c>
      <c r="Z820" s="8">
        <v>0</v>
      </c>
      <c r="AA820" s="7">
        <v>46064</v>
      </c>
      <c r="AC820" s="8">
        <v>0</v>
      </c>
      <c r="AE820" s="7">
        <v>46066</v>
      </c>
      <c r="AF820" s="8">
        <v>0</v>
      </c>
      <c r="AH820" s="7">
        <v>46066</v>
      </c>
      <c r="AN820" s="8">
        <v>0</v>
      </c>
      <c r="AO820" s="8">
        <v>1220</v>
      </c>
    </row>
    <row r="821" spans="1:41" x14ac:dyDescent="0.25">
      <c r="A821" s="6" t="str">
        <f>"521-2025000781"</f>
        <v>521-2025000781</v>
      </c>
      <c r="B821" s="6" t="str">
        <f>"SANDER A"</f>
        <v>SANDER A</v>
      </c>
      <c r="C821" s="7">
        <v>46006</v>
      </c>
      <c r="D821" s="7">
        <v>46129</v>
      </c>
      <c r="E821" s="8">
        <v>1</v>
      </c>
      <c r="F821" s="6" t="str">
        <f>"109840 AMAZONIA"</f>
        <v>109840 AMAZONIA</v>
      </c>
      <c r="G821" s="6" t="str">
        <f>"F310638150000000"</f>
        <v>F310638150000000</v>
      </c>
      <c r="H821" s="6" t="str">
        <f>"PLAR 6381 - 500 g/m²"</f>
        <v>PLAR 6381 - 500 g/m²</v>
      </c>
      <c r="I821" s="6" t="str">
        <f>"200001"</f>
        <v>200001</v>
      </c>
      <c r="J821" s="6" t="str">
        <f>"BRANCO"</f>
        <v>BRANCO</v>
      </c>
      <c r="K821" s="6" t="str">
        <f>"0320"</f>
        <v>0320</v>
      </c>
      <c r="L821" s="6" t="str">
        <f>"Panos"</f>
        <v>Panos</v>
      </c>
      <c r="M821" s="6" t="str">
        <f>"30x30"</f>
        <v>30x30</v>
      </c>
      <c r="N821" s="6" t="str">
        <f t="shared" si="232"/>
        <v xml:space="preserve"> </v>
      </c>
      <c r="O821" s="8">
        <v>600</v>
      </c>
      <c r="P821" s="7">
        <v>46099</v>
      </c>
      <c r="R821" s="8">
        <v>630</v>
      </c>
      <c r="S821" s="7">
        <v>46104</v>
      </c>
      <c r="U821" s="8">
        <v>0</v>
      </c>
      <c r="V821" s="7">
        <v>46107</v>
      </c>
      <c r="X821" s="8">
        <v>0</v>
      </c>
      <c r="Z821" s="8">
        <v>0</v>
      </c>
      <c r="AA821" s="7">
        <v>46120</v>
      </c>
      <c r="AC821" s="8">
        <v>0</v>
      </c>
      <c r="AE821" s="7">
        <v>46122</v>
      </c>
      <c r="AF821" s="8">
        <v>0</v>
      </c>
      <c r="AH821" s="7">
        <v>46129</v>
      </c>
      <c r="AN821" s="8">
        <v>0</v>
      </c>
      <c r="AO821" s="8">
        <v>600</v>
      </c>
    </row>
    <row r="822" spans="1:41" x14ac:dyDescent="0.25">
      <c r="A822" s="6" t="str">
        <f>"521-2025000781"</f>
        <v>521-2025000781</v>
      </c>
      <c r="B822" s="6" t="str">
        <f>"SANDER A"</f>
        <v>SANDER A</v>
      </c>
      <c r="C822" s="7">
        <v>46006</v>
      </c>
      <c r="D822" s="7">
        <v>46129</v>
      </c>
      <c r="E822" s="8">
        <v>2</v>
      </c>
      <c r="F822" s="6" t="str">
        <f>"109840 AMAZONIA"</f>
        <v>109840 AMAZONIA</v>
      </c>
      <c r="G822" s="6" t="str">
        <f>"F310638150000000"</f>
        <v>F310638150000000</v>
      </c>
      <c r="H822" s="6" t="str">
        <f>"PLAR 6381 - 500 g/m²"</f>
        <v>PLAR 6381 - 500 g/m²</v>
      </c>
      <c r="I822" s="6" t="str">
        <f>"200001"</f>
        <v>200001</v>
      </c>
      <c r="J822" s="6" t="str">
        <f>"BRANCO"</f>
        <v>BRANCO</v>
      </c>
      <c r="K822" s="6" t="str">
        <f>"0520"</f>
        <v>0520</v>
      </c>
      <c r="L822" s="6" t="str">
        <f>"Toalhetes"</f>
        <v>Toalhetes</v>
      </c>
      <c r="M822" s="6" t="str">
        <f>"30x50"</f>
        <v>30x50</v>
      </c>
      <c r="N822" s="6" t="str">
        <f t="shared" si="232"/>
        <v xml:space="preserve"> </v>
      </c>
      <c r="O822" s="8">
        <v>600</v>
      </c>
      <c r="P822" s="7">
        <v>46099</v>
      </c>
      <c r="R822" s="8">
        <v>654</v>
      </c>
      <c r="S822" s="7">
        <v>46104</v>
      </c>
      <c r="U822" s="8">
        <v>0</v>
      </c>
      <c r="V822" s="7">
        <v>46107</v>
      </c>
      <c r="X822" s="8">
        <v>0</v>
      </c>
      <c r="Z822" s="8">
        <v>0</v>
      </c>
      <c r="AA822" s="7">
        <v>46120</v>
      </c>
      <c r="AC822" s="8">
        <v>0</v>
      </c>
      <c r="AE822" s="7">
        <v>46122</v>
      </c>
      <c r="AF822" s="8">
        <v>0</v>
      </c>
      <c r="AH822" s="7">
        <v>46129</v>
      </c>
      <c r="AN822" s="8">
        <v>0</v>
      </c>
      <c r="AO822" s="8">
        <v>600</v>
      </c>
    </row>
    <row r="823" spans="1:41" x14ac:dyDescent="0.25">
      <c r="A823" s="6" t="str">
        <f>"521-2025000781"</f>
        <v>521-2025000781</v>
      </c>
      <c r="B823" s="6" t="str">
        <f>"SANDER A"</f>
        <v>SANDER A</v>
      </c>
      <c r="C823" s="7">
        <v>46006</v>
      </c>
      <c r="D823" s="7">
        <v>46129</v>
      </c>
      <c r="E823" s="8">
        <v>3</v>
      </c>
      <c r="F823" s="6" t="str">
        <f>"109840 AMAZONIA"</f>
        <v>109840 AMAZONIA</v>
      </c>
      <c r="G823" s="6" t="str">
        <f>"F310638150000000"</f>
        <v>F310638150000000</v>
      </c>
      <c r="H823" s="6" t="str">
        <f>"PLAR 6381 - 500 g/m²"</f>
        <v>PLAR 6381 - 500 g/m²</v>
      </c>
      <c r="I823" s="6" t="str">
        <f>"200001"</f>
        <v>200001</v>
      </c>
      <c r="J823" s="6" t="str">
        <f>"BRANCO"</f>
        <v>BRANCO</v>
      </c>
      <c r="K823" s="6" t="str">
        <f>"1024"</f>
        <v>1024</v>
      </c>
      <c r="L823" s="6" t="str">
        <f>"Toalhas"</f>
        <v>Toalhas</v>
      </c>
      <c r="M823" s="6" t="str">
        <f>"50x100"</f>
        <v>50x100</v>
      </c>
      <c r="N823" s="6" t="str">
        <f t="shared" si="232"/>
        <v xml:space="preserve"> </v>
      </c>
      <c r="O823" s="8">
        <v>800</v>
      </c>
      <c r="P823" s="7">
        <v>46099</v>
      </c>
      <c r="R823" s="8">
        <v>796</v>
      </c>
      <c r="S823" s="7">
        <v>46104</v>
      </c>
      <c r="U823" s="8">
        <v>0</v>
      </c>
      <c r="V823" s="7">
        <v>46107</v>
      </c>
      <c r="X823" s="8">
        <v>0</v>
      </c>
      <c r="Z823" s="8">
        <v>0</v>
      </c>
      <c r="AA823" s="7">
        <v>46120</v>
      </c>
      <c r="AC823" s="8">
        <v>0</v>
      </c>
      <c r="AE823" s="7">
        <v>46122</v>
      </c>
      <c r="AF823" s="8">
        <v>0</v>
      </c>
      <c r="AH823" s="7">
        <v>46129</v>
      </c>
      <c r="AN823" s="8">
        <v>0</v>
      </c>
      <c r="AO823" s="8">
        <v>800</v>
      </c>
    </row>
    <row r="824" spans="1:41" x14ac:dyDescent="0.25">
      <c r="A824" s="6" t="str">
        <f>"521-2025000781"</f>
        <v>521-2025000781</v>
      </c>
      <c r="B824" s="6" t="str">
        <f>"SANDER A"</f>
        <v>SANDER A</v>
      </c>
      <c r="C824" s="7">
        <v>46006</v>
      </c>
      <c r="D824" s="7">
        <v>46129</v>
      </c>
      <c r="E824" s="8">
        <v>4</v>
      </c>
      <c r="F824" s="6" t="str">
        <f>"109840 AMAZONIA"</f>
        <v>109840 AMAZONIA</v>
      </c>
      <c r="G824" s="6" t="str">
        <f>"F310638150000000"</f>
        <v>F310638150000000</v>
      </c>
      <c r="H824" s="6" t="str">
        <f>"PLAR 6381 - 500 g/m²"</f>
        <v>PLAR 6381 - 500 g/m²</v>
      </c>
      <c r="I824" s="6" t="str">
        <f>"200001"</f>
        <v>200001</v>
      </c>
      <c r="J824" s="6" t="str">
        <f>"BRANCO"</f>
        <v>BRANCO</v>
      </c>
      <c r="K824" s="6" t="str">
        <f>"1535"</f>
        <v>1535</v>
      </c>
      <c r="L824" s="6" t="str">
        <f>"Toalhões"</f>
        <v>Toalhões</v>
      </c>
      <c r="M824" s="6" t="str">
        <f>"70x140"</f>
        <v>70x140</v>
      </c>
      <c r="N824" s="6" t="str">
        <f t="shared" si="232"/>
        <v xml:space="preserve"> </v>
      </c>
      <c r="O824" s="8">
        <v>400</v>
      </c>
      <c r="P824" s="7">
        <v>46099</v>
      </c>
      <c r="R824" s="8">
        <v>447</v>
      </c>
      <c r="S824" s="7">
        <v>46104</v>
      </c>
      <c r="U824" s="8">
        <v>0</v>
      </c>
      <c r="V824" s="7">
        <v>46107</v>
      </c>
      <c r="X824" s="8">
        <v>0</v>
      </c>
      <c r="Z824" s="8">
        <v>0</v>
      </c>
      <c r="AA824" s="7">
        <v>46120</v>
      </c>
      <c r="AC824" s="8">
        <v>0</v>
      </c>
      <c r="AE824" s="7">
        <v>46122</v>
      </c>
      <c r="AF824" s="8">
        <v>0</v>
      </c>
      <c r="AH824" s="7">
        <v>46129</v>
      </c>
      <c r="AN824" s="8">
        <v>0</v>
      </c>
      <c r="AO824" s="8">
        <v>400</v>
      </c>
    </row>
    <row r="825" spans="1:41" x14ac:dyDescent="0.25">
      <c r="A825" s="6" t="str">
        <f>"521-2025000782"</f>
        <v>521-2025000782</v>
      </c>
      <c r="B825" s="6" t="str">
        <f>"CARRE BL"</f>
        <v>CARRE BL</v>
      </c>
      <c r="C825" s="7">
        <v>46006</v>
      </c>
      <c r="D825" s="7">
        <v>46087</v>
      </c>
      <c r="E825" s="8">
        <v>1</v>
      </c>
      <c r="F825" s="6" t="str">
        <f>"513487"</f>
        <v>513487</v>
      </c>
      <c r="G825" s="6" t="str">
        <f>"J001245926000000"</f>
        <v>J001245926000000</v>
      </c>
      <c r="H825" s="6" t="str">
        <f>"Conj. CZJ 2459 - 260"</f>
        <v>Conj. CZJ 2459 - 260</v>
      </c>
      <c r="I825" s="6" t="str">
        <f>"300001"</f>
        <v>300001</v>
      </c>
      <c r="J825" s="6" t="str">
        <f>"SORTIDAS 1"</f>
        <v>SORTIDAS 1</v>
      </c>
      <c r="K825" s="6" t="str">
        <f>"4014"</f>
        <v>4014</v>
      </c>
      <c r="L825" s="6" t="str">
        <f>"Conjunto/Jogos"</f>
        <v>Conjunto/Jogos</v>
      </c>
      <c r="M825" s="6" t="str">
        <f>"(2 Pcs)"</f>
        <v>(2 Pcs)</v>
      </c>
      <c r="N825" s="6" t="str">
        <f t="shared" si="232"/>
        <v xml:space="preserve"> </v>
      </c>
      <c r="O825" s="8">
        <v>1502</v>
      </c>
      <c r="P825" s="7">
        <v>46059</v>
      </c>
      <c r="R825" s="8">
        <v>0</v>
      </c>
      <c r="S825" s="7">
        <v>46064</v>
      </c>
      <c r="U825" s="8">
        <v>0</v>
      </c>
      <c r="V825" s="7">
        <v>46071</v>
      </c>
      <c r="X825" s="8">
        <v>0</v>
      </c>
      <c r="Z825" s="8">
        <v>0</v>
      </c>
      <c r="AA825" s="7">
        <v>46083</v>
      </c>
      <c r="AC825" s="8">
        <v>0</v>
      </c>
      <c r="AE825" s="7">
        <v>46085</v>
      </c>
      <c r="AF825" s="8">
        <v>0</v>
      </c>
      <c r="AH825" s="7">
        <v>46087</v>
      </c>
      <c r="AN825" s="8">
        <v>0</v>
      </c>
      <c r="AO825" s="8">
        <v>1502</v>
      </c>
    </row>
    <row r="826" spans="1:41" x14ac:dyDescent="0.25">
      <c r="A826" s="6" t="str">
        <f>"521-2025000783"</f>
        <v>521-2025000783</v>
      </c>
      <c r="B826" s="6" t="str">
        <f>"WEISHÄUP"</f>
        <v>WEISHÄUP</v>
      </c>
      <c r="C826" s="7">
        <v>46006</v>
      </c>
      <c r="D826" s="7">
        <v>46080</v>
      </c>
      <c r="E826" s="8">
        <v>1</v>
      </c>
      <c r="F826" s="6" t="str">
        <f>"21002400"</f>
        <v>21002400</v>
      </c>
      <c r="G826" s="6" t="str">
        <f>"F601224750000000"</f>
        <v>F601224750000000</v>
      </c>
      <c r="H826" s="6" t="str">
        <f>"10-2247 - 500 g/m² L"</f>
        <v>10-2247 - 500 g/m² L</v>
      </c>
      <c r="I826" s="6" t="str">
        <f>"202671"</f>
        <v>202671</v>
      </c>
      <c r="J826" s="6" t="str">
        <f>"CINZA 2671"</f>
        <v>CINZA 2671</v>
      </c>
      <c r="K826" s="6" t="str">
        <f>"3534"</f>
        <v>3534</v>
      </c>
      <c r="L826" s="6" t="str">
        <f>"Praia"</f>
        <v>Praia</v>
      </c>
      <c r="M826" s="6" t="str">
        <f>"100x200"</f>
        <v>100x200</v>
      </c>
      <c r="N826" s="6" t="str">
        <f t="shared" si="232"/>
        <v xml:space="preserve"> </v>
      </c>
      <c r="O826" s="8">
        <v>500</v>
      </c>
      <c r="P826" s="7">
        <v>46055</v>
      </c>
      <c r="R826" s="8">
        <v>0</v>
      </c>
      <c r="S826" s="7">
        <v>46065</v>
      </c>
      <c r="U826" s="8">
        <v>0</v>
      </c>
      <c r="V826" s="7">
        <v>46063</v>
      </c>
      <c r="X826" s="8">
        <v>0</v>
      </c>
      <c r="Z826" s="8">
        <v>0</v>
      </c>
      <c r="AA826" s="7">
        <v>46078</v>
      </c>
      <c r="AC826" s="8">
        <v>0</v>
      </c>
      <c r="AE826" s="7">
        <v>46080</v>
      </c>
      <c r="AF826" s="8">
        <v>0</v>
      </c>
      <c r="AH826" s="7">
        <v>46080</v>
      </c>
      <c r="AN826" s="8">
        <v>0</v>
      </c>
      <c r="AO826" s="8">
        <v>500</v>
      </c>
    </row>
    <row r="827" spans="1:41" x14ac:dyDescent="0.25">
      <c r="A827" s="6" t="str">
        <f t="shared" ref="A827:A838" si="233">"521-2025000784"</f>
        <v>521-2025000784</v>
      </c>
      <c r="B827" s="6" t="str">
        <f t="shared" ref="B827:B838" si="234">"CARRE BL"</f>
        <v>CARRE BL</v>
      </c>
      <c r="C827" s="7">
        <v>46007</v>
      </c>
      <c r="D827" s="7">
        <v>46080</v>
      </c>
      <c r="E827" s="8">
        <v>1</v>
      </c>
      <c r="F827" s="6" t="str">
        <f t="shared" ref="F827:F838" si="235">"513498"</f>
        <v>513498</v>
      </c>
      <c r="G827" s="6" t="str">
        <f>"F310639755000000"</f>
        <v>F310639755000000</v>
      </c>
      <c r="H827" s="6" t="str">
        <f>"PLAR 6397 - 550 g/m²"</f>
        <v>PLAR 6397 - 550 g/m²</v>
      </c>
      <c r="I827" s="6" t="str">
        <f t="shared" ref="I827:I832" si="236">"204901"</f>
        <v>204901</v>
      </c>
      <c r="J827" s="6" t="str">
        <f t="shared" ref="J827:J832" si="237">"VERDE 4901"</f>
        <v>VERDE 4901</v>
      </c>
      <c r="K827" s="6" t="str">
        <f>"0112"</f>
        <v>0112</v>
      </c>
      <c r="L827" s="6" t="str">
        <f>"Luvas"</f>
        <v>Luvas</v>
      </c>
      <c r="M827" s="6" t="str">
        <f>"16x21"</f>
        <v>16x21</v>
      </c>
      <c r="N827" s="6" t="str">
        <f t="shared" si="232"/>
        <v xml:space="preserve"> </v>
      </c>
      <c r="O827" s="8">
        <v>600</v>
      </c>
      <c r="P827" s="7">
        <v>46056</v>
      </c>
      <c r="R827" s="8">
        <v>0</v>
      </c>
      <c r="S827" s="7">
        <v>46059</v>
      </c>
      <c r="U827" s="8">
        <v>0</v>
      </c>
      <c r="V827" s="7">
        <v>46064</v>
      </c>
      <c r="X827" s="8">
        <v>0</v>
      </c>
      <c r="Z827" s="8">
        <v>0</v>
      </c>
      <c r="AA827" s="7">
        <v>46078</v>
      </c>
      <c r="AC827" s="8">
        <v>0</v>
      </c>
      <c r="AE827" s="7">
        <v>46080</v>
      </c>
      <c r="AF827" s="8">
        <v>0</v>
      </c>
      <c r="AH827" s="7">
        <v>46080</v>
      </c>
      <c r="AN827" s="8">
        <v>0</v>
      </c>
      <c r="AO827" s="8">
        <v>600</v>
      </c>
    </row>
    <row r="828" spans="1:41" x14ac:dyDescent="0.25">
      <c r="A828" s="6" t="str">
        <f t="shared" si="233"/>
        <v>521-2025000784</v>
      </c>
      <c r="B828" s="6" t="str">
        <f t="shared" si="234"/>
        <v>CARRE BL</v>
      </c>
      <c r="C828" s="7">
        <v>46007</v>
      </c>
      <c r="D828" s="7">
        <v>46080</v>
      </c>
      <c r="E828" s="8">
        <v>2</v>
      </c>
      <c r="F828" s="6" t="str">
        <f t="shared" si="235"/>
        <v>513498</v>
      </c>
      <c r="G828" s="6" t="str">
        <f>"F310639755000000"</f>
        <v>F310639755000000</v>
      </c>
      <c r="H828" s="6" t="str">
        <f>"PLAR 6397 - 550 g/m²"</f>
        <v>PLAR 6397 - 550 g/m²</v>
      </c>
      <c r="I828" s="6" t="str">
        <f t="shared" si="236"/>
        <v>204901</v>
      </c>
      <c r="J828" s="6" t="str">
        <f t="shared" si="237"/>
        <v>VERDE 4901</v>
      </c>
      <c r="K828" s="6" t="str">
        <f>"0520"</f>
        <v>0520</v>
      </c>
      <c r="L828" s="6" t="str">
        <f>"Toalhetes"</f>
        <v>Toalhetes</v>
      </c>
      <c r="M828" s="6" t="str">
        <f>"30x50"</f>
        <v>30x50</v>
      </c>
      <c r="N828" s="6" t="str">
        <f t="shared" si="232"/>
        <v xml:space="preserve"> </v>
      </c>
      <c r="O828" s="8">
        <v>500</v>
      </c>
      <c r="P828" s="7">
        <v>46056</v>
      </c>
      <c r="R828" s="8">
        <v>0</v>
      </c>
      <c r="S828" s="7">
        <v>46059</v>
      </c>
      <c r="U828" s="8">
        <v>0</v>
      </c>
      <c r="V828" s="7">
        <v>46064</v>
      </c>
      <c r="X828" s="8">
        <v>0</v>
      </c>
      <c r="Z828" s="8">
        <v>0</v>
      </c>
      <c r="AA828" s="7">
        <v>46078</v>
      </c>
      <c r="AC828" s="8">
        <v>0</v>
      </c>
      <c r="AE828" s="7">
        <v>46080</v>
      </c>
      <c r="AF828" s="8">
        <v>0</v>
      </c>
      <c r="AH828" s="7">
        <v>46080</v>
      </c>
      <c r="AN828" s="8">
        <v>0</v>
      </c>
      <c r="AO828" s="8">
        <v>500</v>
      </c>
    </row>
    <row r="829" spans="1:41" x14ac:dyDescent="0.25">
      <c r="A829" s="6" t="str">
        <f t="shared" si="233"/>
        <v>521-2025000784</v>
      </c>
      <c r="B829" s="6" t="str">
        <f t="shared" si="234"/>
        <v>CARRE BL</v>
      </c>
      <c r="C829" s="7">
        <v>46007</v>
      </c>
      <c r="D829" s="7">
        <v>46080</v>
      </c>
      <c r="E829" s="8">
        <v>3</v>
      </c>
      <c r="F829" s="6" t="str">
        <f t="shared" si="235"/>
        <v>513498</v>
      </c>
      <c r="G829" s="6" t="str">
        <f>"F310639755000000"</f>
        <v>F310639755000000</v>
      </c>
      <c r="H829" s="6" t="str">
        <f>"PLAR 6397 - 550 g/m²"</f>
        <v>PLAR 6397 - 550 g/m²</v>
      </c>
      <c r="I829" s="6" t="str">
        <f t="shared" si="236"/>
        <v>204901</v>
      </c>
      <c r="J829" s="6" t="str">
        <f t="shared" si="237"/>
        <v>VERDE 4901</v>
      </c>
      <c r="K829" s="6" t="str">
        <f>"1020"</f>
        <v>1020</v>
      </c>
      <c r="L829" s="6" t="str">
        <f>"Toalhas"</f>
        <v>Toalhas</v>
      </c>
      <c r="M829" s="6" t="str">
        <f>"50x90"</f>
        <v>50x90</v>
      </c>
      <c r="N829" s="6" t="str">
        <f t="shared" si="232"/>
        <v xml:space="preserve"> </v>
      </c>
      <c r="O829" s="8">
        <v>1000</v>
      </c>
      <c r="P829" s="7">
        <v>46056</v>
      </c>
      <c r="R829" s="8">
        <v>0</v>
      </c>
      <c r="S829" s="7">
        <v>46059</v>
      </c>
      <c r="U829" s="8">
        <v>0</v>
      </c>
      <c r="V829" s="7">
        <v>46064</v>
      </c>
      <c r="X829" s="8">
        <v>0</v>
      </c>
      <c r="Z829" s="8">
        <v>0</v>
      </c>
      <c r="AA829" s="7">
        <v>46078</v>
      </c>
      <c r="AC829" s="8">
        <v>0</v>
      </c>
      <c r="AE829" s="7">
        <v>46080</v>
      </c>
      <c r="AF829" s="8">
        <v>0</v>
      </c>
      <c r="AH829" s="7">
        <v>46080</v>
      </c>
      <c r="AN829" s="8">
        <v>0</v>
      </c>
      <c r="AO829" s="8">
        <v>1000</v>
      </c>
    </row>
    <row r="830" spans="1:41" x14ac:dyDescent="0.25">
      <c r="A830" s="6" t="str">
        <f t="shared" si="233"/>
        <v>521-2025000784</v>
      </c>
      <c r="B830" s="6" t="str">
        <f t="shared" si="234"/>
        <v>CARRE BL</v>
      </c>
      <c r="C830" s="7">
        <v>46007</v>
      </c>
      <c r="D830" s="7">
        <v>46080</v>
      </c>
      <c r="E830" s="8">
        <v>4</v>
      </c>
      <c r="F830" s="6" t="str">
        <f t="shared" si="235"/>
        <v>513498</v>
      </c>
      <c r="G830" s="6" t="str">
        <f>"F310639755000000"</f>
        <v>F310639755000000</v>
      </c>
      <c r="H830" s="6" t="str">
        <f>"PLAR 6397 - 550 g/m²"</f>
        <v>PLAR 6397 - 550 g/m²</v>
      </c>
      <c r="I830" s="6" t="str">
        <f t="shared" si="236"/>
        <v>204901</v>
      </c>
      <c r="J830" s="6" t="str">
        <f t="shared" si="237"/>
        <v>VERDE 4901</v>
      </c>
      <c r="K830" s="6" t="str">
        <f>"1526"</f>
        <v>1526</v>
      </c>
      <c r="L830" s="6" t="str">
        <f>"Toalhões"</f>
        <v>Toalhões</v>
      </c>
      <c r="M830" s="6" t="str">
        <f>"70x120"</f>
        <v>70x120</v>
      </c>
      <c r="N830" s="6" t="str">
        <f t="shared" si="232"/>
        <v xml:space="preserve"> </v>
      </c>
      <c r="O830" s="8">
        <v>1000</v>
      </c>
      <c r="P830" s="7">
        <v>46056</v>
      </c>
      <c r="R830" s="8">
        <v>0</v>
      </c>
      <c r="S830" s="7">
        <v>46059</v>
      </c>
      <c r="U830" s="8">
        <v>0</v>
      </c>
      <c r="V830" s="7">
        <v>46064</v>
      </c>
      <c r="X830" s="8">
        <v>0</v>
      </c>
      <c r="Z830" s="8">
        <v>0</v>
      </c>
      <c r="AA830" s="7">
        <v>46078</v>
      </c>
      <c r="AC830" s="8">
        <v>0</v>
      </c>
      <c r="AE830" s="7">
        <v>46080</v>
      </c>
      <c r="AF830" s="8">
        <v>0</v>
      </c>
      <c r="AH830" s="7">
        <v>46080</v>
      </c>
      <c r="AN830" s="8">
        <v>0</v>
      </c>
      <c r="AO830" s="8">
        <v>1000</v>
      </c>
    </row>
    <row r="831" spans="1:41" x14ac:dyDescent="0.25">
      <c r="A831" s="6" t="str">
        <f t="shared" si="233"/>
        <v>521-2025000784</v>
      </c>
      <c r="B831" s="6" t="str">
        <f t="shared" si="234"/>
        <v>CARRE BL</v>
      </c>
      <c r="C831" s="7">
        <v>46007</v>
      </c>
      <c r="D831" s="7">
        <v>46080</v>
      </c>
      <c r="E831" s="8">
        <v>5</v>
      </c>
      <c r="F831" s="6" t="str">
        <f t="shared" si="235"/>
        <v>513498</v>
      </c>
      <c r="G831" s="6" t="str">
        <f>"F310639755000000"</f>
        <v>F310639755000000</v>
      </c>
      <c r="H831" s="6" t="str">
        <f>"PLAR 6397 - 550 g/m²"</f>
        <v>PLAR 6397 - 550 g/m²</v>
      </c>
      <c r="I831" s="6" t="str">
        <f t="shared" si="236"/>
        <v>204901</v>
      </c>
      <c r="J831" s="6" t="str">
        <f t="shared" si="237"/>
        <v>VERDE 4901</v>
      </c>
      <c r="K831" s="6" t="str">
        <f>"2002"</f>
        <v>2002</v>
      </c>
      <c r="L831" s="6" t="str">
        <f>"Lençóis"</f>
        <v>Lençóis</v>
      </c>
      <c r="M831" s="6" t="str">
        <f>"90x150"</f>
        <v>90x150</v>
      </c>
      <c r="N831" s="6" t="str">
        <f t="shared" si="232"/>
        <v xml:space="preserve"> </v>
      </c>
      <c r="O831" s="8">
        <v>1000</v>
      </c>
      <c r="P831" s="7">
        <v>46056</v>
      </c>
      <c r="R831" s="8">
        <v>0</v>
      </c>
      <c r="S831" s="7">
        <v>46059</v>
      </c>
      <c r="U831" s="8">
        <v>0</v>
      </c>
      <c r="V831" s="7">
        <v>46064</v>
      </c>
      <c r="X831" s="8">
        <v>0</v>
      </c>
      <c r="Z831" s="8">
        <v>0</v>
      </c>
      <c r="AA831" s="7">
        <v>46078</v>
      </c>
      <c r="AC831" s="8">
        <v>0</v>
      </c>
      <c r="AE831" s="7">
        <v>46080</v>
      </c>
      <c r="AF831" s="8">
        <v>0</v>
      </c>
      <c r="AH831" s="7">
        <v>46080</v>
      </c>
      <c r="AN831" s="8">
        <v>0</v>
      </c>
      <c r="AO831" s="8">
        <v>1000</v>
      </c>
    </row>
    <row r="832" spans="1:41" x14ac:dyDescent="0.25">
      <c r="A832" s="6" t="str">
        <f t="shared" si="233"/>
        <v>521-2025000784</v>
      </c>
      <c r="B832" s="6" t="str">
        <f t="shared" si="234"/>
        <v>CARRE BL</v>
      </c>
      <c r="C832" s="7">
        <v>46007</v>
      </c>
      <c r="D832" s="7">
        <v>46080</v>
      </c>
      <c r="E832" s="8">
        <v>6</v>
      </c>
      <c r="F832" s="6" t="str">
        <f t="shared" si="235"/>
        <v>513498</v>
      </c>
      <c r="G832" s="6" t="str">
        <f>"F310639790000000"</f>
        <v>F310639790000000</v>
      </c>
      <c r="H832" s="6" t="str">
        <f>"PLAR 6397 TA - 900 g"</f>
        <v>PLAR 6397 TA - 900 g</v>
      </c>
      <c r="I832" s="6" t="str">
        <f t="shared" si="236"/>
        <v>204901</v>
      </c>
      <c r="J832" s="6" t="str">
        <f t="shared" si="237"/>
        <v>VERDE 4901</v>
      </c>
      <c r="K832" s="6" t="str">
        <f>"3026"</f>
        <v>3026</v>
      </c>
      <c r="L832" s="6" t="str">
        <f>"Tapetes"</f>
        <v>Tapetes</v>
      </c>
      <c r="M832" s="6" t="str">
        <f>"50x90"</f>
        <v>50x90</v>
      </c>
      <c r="N832" s="6" t="str">
        <f t="shared" si="232"/>
        <v xml:space="preserve"> </v>
      </c>
      <c r="O832" s="8">
        <v>300</v>
      </c>
      <c r="P832" s="7">
        <v>46056</v>
      </c>
      <c r="R832" s="8">
        <v>0</v>
      </c>
      <c r="S832" s="7">
        <v>46059</v>
      </c>
      <c r="U832" s="8">
        <v>0</v>
      </c>
      <c r="V832" s="7">
        <v>46064</v>
      </c>
      <c r="X832" s="8">
        <v>0</v>
      </c>
      <c r="Z832" s="8">
        <v>0</v>
      </c>
      <c r="AA832" s="7">
        <v>46078</v>
      </c>
      <c r="AC832" s="8">
        <v>0</v>
      </c>
      <c r="AE832" s="7">
        <v>46080</v>
      </c>
      <c r="AF832" s="8">
        <v>0</v>
      </c>
      <c r="AH832" s="7">
        <v>46080</v>
      </c>
      <c r="AN832" s="8">
        <v>0</v>
      </c>
      <c r="AO832" s="8">
        <v>300</v>
      </c>
    </row>
    <row r="833" spans="1:41" x14ac:dyDescent="0.25">
      <c r="A833" s="6" t="str">
        <f t="shared" si="233"/>
        <v>521-2025000784</v>
      </c>
      <c r="B833" s="6" t="str">
        <f t="shared" si="234"/>
        <v>CARRE BL</v>
      </c>
      <c r="C833" s="7">
        <v>46007</v>
      </c>
      <c r="D833" s="7">
        <v>46080</v>
      </c>
      <c r="E833" s="8">
        <v>7</v>
      </c>
      <c r="F833" s="6" t="str">
        <f t="shared" si="235"/>
        <v>513498</v>
      </c>
      <c r="G833" s="6" t="str">
        <f>"F310639755000000"</f>
        <v>F310639755000000</v>
      </c>
      <c r="H833" s="6" t="str">
        <f>"PLAR 6397 - 550 g/m²"</f>
        <v>PLAR 6397 - 550 g/m²</v>
      </c>
      <c r="I833" s="6" t="str">
        <f t="shared" ref="I833:I838" si="238">"204902"</f>
        <v>204902</v>
      </c>
      <c r="J833" s="6" t="str">
        <f t="shared" ref="J833:J838" si="239">"TURQUESA 4902"</f>
        <v>TURQUESA 4902</v>
      </c>
      <c r="K833" s="6" t="str">
        <f>"0112"</f>
        <v>0112</v>
      </c>
      <c r="L833" s="6" t="str">
        <f>"Luvas"</f>
        <v>Luvas</v>
      </c>
      <c r="M833" s="6" t="str">
        <f>"16x21"</f>
        <v>16x21</v>
      </c>
      <c r="N833" s="6" t="str">
        <f t="shared" si="232"/>
        <v xml:space="preserve"> </v>
      </c>
      <c r="O833" s="8">
        <v>800</v>
      </c>
      <c r="P833" s="7">
        <v>46056</v>
      </c>
      <c r="R833" s="8">
        <v>0</v>
      </c>
      <c r="S833" s="7">
        <v>46059</v>
      </c>
      <c r="U833" s="8">
        <v>0</v>
      </c>
      <c r="V833" s="7">
        <v>46064</v>
      </c>
      <c r="X833" s="8">
        <v>0</v>
      </c>
      <c r="Z833" s="8">
        <v>0</v>
      </c>
      <c r="AA833" s="7">
        <v>46078</v>
      </c>
      <c r="AC833" s="8">
        <v>0</v>
      </c>
      <c r="AE833" s="7">
        <v>46080</v>
      </c>
      <c r="AF833" s="8">
        <v>0</v>
      </c>
      <c r="AH833" s="7">
        <v>46080</v>
      </c>
      <c r="AN833" s="8">
        <v>0</v>
      </c>
      <c r="AO833" s="8">
        <v>800</v>
      </c>
    </row>
    <row r="834" spans="1:41" x14ac:dyDescent="0.25">
      <c r="A834" s="6" t="str">
        <f t="shared" si="233"/>
        <v>521-2025000784</v>
      </c>
      <c r="B834" s="6" t="str">
        <f t="shared" si="234"/>
        <v>CARRE BL</v>
      </c>
      <c r="C834" s="7">
        <v>46007</v>
      </c>
      <c r="D834" s="7">
        <v>46080</v>
      </c>
      <c r="E834" s="8">
        <v>8</v>
      </c>
      <c r="F834" s="6" t="str">
        <f t="shared" si="235"/>
        <v>513498</v>
      </c>
      <c r="G834" s="6" t="str">
        <f>"F310639755000000"</f>
        <v>F310639755000000</v>
      </c>
      <c r="H834" s="6" t="str">
        <f>"PLAR 6397 - 550 g/m²"</f>
        <v>PLAR 6397 - 550 g/m²</v>
      </c>
      <c r="I834" s="6" t="str">
        <f t="shared" si="238"/>
        <v>204902</v>
      </c>
      <c r="J834" s="6" t="str">
        <f t="shared" si="239"/>
        <v>TURQUESA 4902</v>
      </c>
      <c r="K834" s="6" t="str">
        <f>"0520"</f>
        <v>0520</v>
      </c>
      <c r="L834" s="6" t="str">
        <f>"Toalhetes"</f>
        <v>Toalhetes</v>
      </c>
      <c r="M834" s="6" t="str">
        <f>"30x50"</f>
        <v>30x50</v>
      </c>
      <c r="N834" s="6" t="str">
        <f t="shared" si="232"/>
        <v xml:space="preserve"> </v>
      </c>
      <c r="O834" s="8">
        <v>500</v>
      </c>
      <c r="P834" s="7">
        <v>46056</v>
      </c>
      <c r="R834" s="8">
        <v>0</v>
      </c>
      <c r="S834" s="7">
        <v>46059</v>
      </c>
      <c r="U834" s="8">
        <v>0</v>
      </c>
      <c r="V834" s="7">
        <v>46064</v>
      </c>
      <c r="X834" s="8">
        <v>0</v>
      </c>
      <c r="Z834" s="8">
        <v>0</v>
      </c>
      <c r="AA834" s="7">
        <v>46078</v>
      </c>
      <c r="AC834" s="8">
        <v>0</v>
      </c>
      <c r="AE834" s="7">
        <v>46080</v>
      </c>
      <c r="AF834" s="8">
        <v>0</v>
      </c>
      <c r="AH834" s="7">
        <v>46080</v>
      </c>
      <c r="AN834" s="8">
        <v>0</v>
      </c>
      <c r="AO834" s="8">
        <v>500</v>
      </c>
    </row>
    <row r="835" spans="1:41" x14ac:dyDescent="0.25">
      <c r="A835" s="6" t="str">
        <f t="shared" si="233"/>
        <v>521-2025000784</v>
      </c>
      <c r="B835" s="6" t="str">
        <f t="shared" si="234"/>
        <v>CARRE BL</v>
      </c>
      <c r="C835" s="7">
        <v>46007</v>
      </c>
      <c r="D835" s="7">
        <v>46080</v>
      </c>
      <c r="E835" s="8">
        <v>9</v>
      </c>
      <c r="F835" s="6" t="str">
        <f t="shared" si="235"/>
        <v>513498</v>
      </c>
      <c r="G835" s="6" t="str">
        <f>"F310639755000000"</f>
        <v>F310639755000000</v>
      </c>
      <c r="H835" s="6" t="str">
        <f>"PLAR 6397 - 550 g/m²"</f>
        <v>PLAR 6397 - 550 g/m²</v>
      </c>
      <c r="I835" s="6" t="str">
        <f t="shared" si="238"/>
        <v>204902</v>
      </c>
      <c r="J835" s="6" t="str">
        <f t="shared" si="239"/>
        <v>TURQUESA 4902</v>
      </c>
      <c r="K835" s="6" t="str">
        <f>"1020"</f>
        <v>1020</v>
      </c>
      <c r="L835" s="6" t="str">
        <f>"Toalhas"</f>
        <v>Toalhas</v>
      </c>
      <c r="M835" s="6" t="str">
        <f>"50x90"</f>
        <v>50x90</v>
      </c>
      <c r="N835" s="6" t="str">
        <f t="shared" si="232"/>
        <v xml:space="preserve"> </v>
      </c>
      <c r="O835" s="8">
        <v>1000</v>
      </c>
      <c r="P835" s="7">
        <v>46056</v>
      </c>
      <c r="R835" s="8">
        <v>0</v>
      </c>
      <c r="S835" s="7">
        <v>46059</v>
      </c>
      <c r="U835" s="8">
        <v>0</v>
      </c>
      <c r="V835" s="7">
        <v>46064</v>
      </c>
      <c r="X835" s="8">
        <v>0</v>
      </c>
      <c r="Z835" s="8">
        <v>0</v>
      </c>
      <c r="AA835" s="7">
        <v>46078</v>
      </c>
      <c r="AC835" s="8">
        <v>0</v>
      </c>
      <c r="AE835" s="7">
        <v>46080</v>
      </c>
      <c r="AF835" s="8">
        <v>0</v>
      </c>
      <c r="AH835" s="7">
        <v>46080</v>
      </c>
      <c r="AN835" s="8">
        <v>0</v>
      </c>
      <c r="AO835" s="8">
        <v>1000</v>
      </c>
    </row>
    <row r="836" spans="1:41" x14ac:dyDescent="0.25">
      <c r="A836" s="6" t="str">
        <f t="shared" si="233"/>
        <v>521-2025000784</v>
      </c>
      <c r="B836" s="6" t="str">
        <f t="shared" si="234"/>
        <v>CARRE BL</v>
      </c>
      <c r="C836" s="7">
        <v>46007</v>
      </c>
      <c r="D836" s="7">
        <v>46080</v>
      </c>
      <c r="E836" s="8">
        <v>10</v>
      </c>
      <c r="F836" s="6" t="str">
        <f t="shared" si="235"/>
        <v>513498</v>
      </c>
      <c r="G836" s="6" t="str">
        <f>"F310639755000000"</f>
        <v>F310639755000000</v>
      </c>
      <c r="H836" s="6" t="str">
        <f>"PLAR 6397 - 550 g/m²"</f>
        <v>PLAR 6397 - 550 g/m²</v>
      </c>
      <c r="I836" s="6" t="str">
        <f t="shared" si="238"/>
        <v>204902</v>
      </c>
      <c r="J836" s="6" t="str">
        <f t="shared" si="239"/>
        <v>TURQUESA 4902</v>
      </c>
      <c r="K836" s="6" t="str">
        <f>"1526"</f>
        <v>1526</v>
      </c>
      <c r="L836" s="6" t="str">
        <f>"Toalhões"</f>
        <v>Toalhões</v>
      </c>
      <c r="M836" s="6" t="str">
        <f>"70x120"</f>
        <v>70x120</v>
      </c>
      <c r="N836" s="6" t="str">
        <f t="shared" si="232"/>
        <v xml:space="preserve"> </v>
      </c>
      <c r="O836" s="8">
        <v>1000</v>
      </c>
      <c r="P836" s="7">
        <v>46056</v>
      </c>
      <c r="R836" s="8">
        <v>0</v>
      </c>
      <c r="S836" s="7">
        <v>46059</v>
      </c>
      <c r="U836" s="8">
        <v>0</v>
      </c>
      <c r="V836" s="7">
        <v>46064</v>
      </c>
      <c r="X836" s="8">
        <v>0</v>
      </c>
      <c r="Z836" s="8">
        <v>0</v>
      </c>
      <c r="AA836" s="7">
        <v>46078</v>
      </c>
      <c r="AC836" s="8">
        <v>0</v>
      </c>
      <c r="AE836" s="7">
        <v>46080</v>
      </c>
      <c r="AF836" s="8">
        <v>0</v>
      </c>
      <c r="AH836" s="7">
        <v>46080</v>
      </c>
      <c r="AN836" s="8">
        <v>0</v>
      </c>
      <c r="AO836" s="8">
        <v>1000</v>
      </c>
    </row>
    <row r="837" spans="1:41" x14ac:dyDescent="0.25">
      <c r="A837" s="6" t="str">
        <f t="shared" si="233"/>
        <v>521-2025000784</v>
      </c>
      <c r="B837" s="6" t="str">
        <f t="shared" si="234"/>
        <v>CARRE BL</v>
      </c>
      <c r="C837" s="7">
        <v>46007</v>
      </c>
      <c r="D837" s="7">
        <v>46080</v>
      </c>
      <c r="E837" s="8">
        <v>11</v>
      </c>
      <c r="F837" s="6" t="str">
        <f t="shared" si="235"/>
        <v>513498</v>
      </c>
      <c r="G837" s="6" t="str">
        <f>"F310639755000000"</f>
        <v>F310639755000000</v>
      </c>
      <c r="H837" s="6" t="str">
        <f>"PLAR 6397 - 550 g/m²"</f>
        <v>PLAR 6397 - 550 g/m²</v>
      </c>
      <c r="I837" s="6" t="str">
        <f t="shared" si="238"/>
        <v>204902</v>
      </c>
      <c r="J837" s="6" t="str">
        <f t="shared" si="239"/>
        <v>TURQUESA 4902</v>
      </c>
      <c r="K837" s="6" t="str">
        <f>"2002"</f>
        <v>2002</v>
      </c>
      <c r="L837" s="6" t="str">
        <f>"Lençóis"</f>
        <v>Lençóis</v>
      </c>
      <c r="M837" s="6" t="str">
        <f>"90x150"</f>
        <v>90x150</v>
      </c>
      <c r="N837" s="6" t="str">
        <f t="shared" si="232"/>
        <v xml:space="preserve"> </v>
      </c>
      <c r="O837" s="8">
        <v>1000</v>
      </c>
      <c r="P837" s="7">
        <v>46056</v>
      </c>
      <c r="R837" s="8">
        <v>0</v>
      </c>
      <c r="S837" s="7">
        <v>46059</v>
      </c>
      <c r="U837" s="8">
        <v>0</v>
      </c>
      <c r="V837" s="7">
        <v>46064</v>
      </c>
      <c r="X837" s="8">
        <v>0</v>
      </c>
      <c r="Z837" s="8">
        <v>0</v>
      </c>
      <c r="AA837" s="7">
        <v>46078</v>
      </c>
      <c r="AC837" s="8">
        <v>0</v>
      </c>
      <c r="AE837" s="7">
        <v>46080</v>
      </c>
      <c r="AF837" s="8">
        <v>0</v>
      </c>
      <c r="AH837" s="7">
        <v>46080</v>
      </c>
      <c r="AN837" s="8">
        <v>0</v>
      </c>
      <c r="AO837" s="8">
        <v>1000</v>
      </c>
    </row>
    <row r="838" spans="1:41" x14ac:dyDescent="0.25">
      <c r="A838" s="6" t="str">
        <f t="shared" si="233"/>
        <v>521-2025000784</v>
      </c>
      <c r="B838" s="6" t="str">
        <f t="shared" si="234"/>
        <v>CARRE BL</v>
      </c>
      <c r="C838" s="7">
        <v>46007</v>
      </c>
      <c r="D838" s="7">
        <v>46080</v>
      </c>
      <c r="E838" s="8">
        <v>12</v>
      </c>
      <c r="F838" s="6" t="str">
        <f t="shared" si="235"/>
        <v>513498</v>
      </c>
      <c r="G838" s="6" t="str">
        <f>"F310639790000000"</f>
        <v>F310639790000000</v>
      </c>
      <c r="H838" s="6" t="str">
        <f>"PLAR 6397 TA - 900 g"</f>
        <v>PLAR 6397 TA - 900 g</v>
      </c>
      <c r="I838" s="6" t="str">
        <f t="shared" si="238"/>
        <v>204902</v>
      </c>
      <c r="J838" s="6" t="str">
        <f t="shared" si="239"/>
        <v>TURQUESA 4902</v>
      </c>
      <c r="K838" s="6" t="str">
        <f>"3026"</f>
        <v>3026</v>
      </c>
      <c r="L838" s="6" t="str">
        <f>"Tapetes"</f>
        <v>Tapetes</v>
      </c>
      <c r="M838" s="6" t="str">
        <f>"50x90"</f>
        <v>50x90</v>
      </c>
      <c r="N838" s="6" t="str">
        <f t="shared" si="232"/>
        <v xml:space="preserve"> </v>
      </c>
      <c r="O838" s="8">
        <v>250</v>
      </c>
      <c r="P838" s="7">
        <v>46056</v>
      </c>
      <c r="R838" s="8">
        <v>0</v>
      </c>
      <c r="S838" s="7">
        <v>46059</v>
      </c>
      <c r="U838" s="8">
        <v>0</v>
      </c>
      <c r="V838" s="7">
        <v>46064</v>
      </c>
      <c r="X838" s="8">
        <v>0</v>
      </c>
      <c r="Z838" s="8">
        <v>0</v>
      </c>
      <c r="AA838" s="7">
        <v>46078</v>
      </c>
      <c r="AC838" s="8">
        <v>0</v>
      </c>
      <c r="AE838" s="7">
        <v>46080</v>
      </c>
      <c r="AF838" s="8">
        <v>0</v>
      </c>
      <c r="AH838" s="7">
        <v>46080</v>
      </c>
      <c r="AN838" s="8">
        <v>0</v>
      </c>
      <c r="AO838" s="8">
        <v>250</v>
      </c>
    </row>
    <row r="839" spans="1:41" x14ac:dyDescent="0.25">
      <c r="A839" s="6" t="str">
        <f t="shared" ref="A839:A848" si="240">"521-2025000785"</f>
        <v>521-2025000785</v>
      </c>
      <c r="B839" s="6" t="str">
        <f t="shared" ref="B839:B848" si="241">"PRINTEMP"</f>
        <v>PRINTEMP</v>
      </c>
      <c r="C839" s="7">
        <v>46007</v>
      </c>
      <c r="D839" s="7">
        <v>46094</v>
      </c>
      <c r="E839" s="8">
        <v>7</v>
      </c>
      <c r="F839" s="6" t="str">
        <f t="shared" ref="F839:F848" si="242">"4001549871"</f>
        <v>4001549871</v>
      </c>
      <c r="G839" s="6" t="str">
        <f>"F120276545000000"</f>
        <v>F120276545000000</v>
      </c>
      <c r="H839" s="6" t="str">
        <f t="shared" ref="H839:H846" si="243">"FAJA 2765 Bio GOTS -"</f>
        <v>FAJA 2765 Bio GOTS -</v>
      </c>
      <c r="I839" s="6" t="str">
        <f>"6034"</f>
        <v>6034</v>
      </c>
      <c r="J839" s="6" t="str">
        <f>"CASTANHO 6034"</f>
        <v>CASTANHO 6034</v>
      </c>
      <c r="K839" s="6" t="str">
        <f>"0520"</f>
        <v>0520</v>
      </c>
      <c r="L839" s="6" t="str">
        <f>"Toalhetes"</f>
        <v>Toalhetes</v>
      </c>
      <c r="M839" s="6" t="str">
        <f>"30x50"</f>
        <v>30x50</v>
      </c>
      <c r="N839" s="6" t="str">
        <f t="shared" si="232"/>
        <v xml:space="preserve"> </v>
      </c>
      <c r="O839" s="8">
        <v>150</v>
      </c>
      <c r="P839" s="7">
        <v>46064</v>
      </c>
      <c r="R839" s="8">
        <v>0</v>
      </c>
      <c r="S839" s="7">
        <v>46071</v>
      </c>
      <c r="U839" s="8">
        <v>168</v>
      </c>
      <c r="V839" s="7">
        <v>46080</v>
      </c>
      <c r="X839" s="8">
        <v>0</v>
      </c>
      <c r="Z839" s="8">
        <v>0</v>
      </c>
      <c r="AA839" s="7">
        <v>46092</v>
      </c>
      <c r="AC839" s="8">
        <v>0</v>
      </c>
      <c r="AE839" s="7">
        <v>46094</v>
      </c>
      <c r="AF839" s="8">
        <v>0</v>
      </c>
      <c r="AH839" s="7">
        <v>46094</v>
      </c>
      <c r="AN839" s="8">
        <v>0</v>
      </c>
      <c r="AO839" s="8">
        <v>150</v>
      </c>
    </row>
    <row r="840" spans="1:41" x14ac:dyDescent="0.25">
      <c r="A840" s="6" t="str">
        <f t="shared" si="240"/>
        <v>521-2025000785</v>
      </c>
      <c r="B840" s="6" t="str">
        <f t="shared" si="241"/>
        <v>PRINTEMP</v>
      </c>
      <c r="C840" s="7">
        <v>46007</v>
      </c>
      <c r="D840" s="7">
        <v>46094</v>
      </c>
      <c r="E840" s="8">
        <v>8</v>
      </c>
      <c r="F840" s="6" t="str">
        <f t="shared" si="242"/>
        <v>4001549871</v>
      </c>
      <c r="G840" s="6" t="str">
        <f>"F120276545000000"</f>
        <v>F120276545000000</v>
      </c>
      <c r="H840" s="6" t="str">
        <f t="shared" si="243"/>
        <v>FAJA 2765 Bio GOTS -</v>
      </c>
      <c r="I840" s="6" t="str">
        <f>"6033"</f>
        <v>6033</v>
      </c>
      <c r="J840" s="6" t="str">
        <f>"AMARELO 6033"</f>
        <v>AMARELO 6033</v>
      </c>
      <c r="K840" s="6" t="str">
        <f>"0520"</f>
        <v>0520</v>
      </c>
      <c r="L840" s="6" t="str">
        <f>"Toalhetes"</f>
        <v>Toalhetes</v>
      </c>
      <c r="M840" s="6" t="str">
        <f>"30x50"</f>
        <v>30x50</v>
      </c>
      <c r="N840" s="6" t="str">
        <f t="shared" si="232"/>
        <v xml:space="preserve"> </v>
      </c>
      <c r="O840" s="8">
        <v>150</v>
      </c>
      <c r="P840" s="7">
        <v>46064</v>
      </c>
      <c r="R840" s="8">
        <v>0</v>
      </c>
      <c r="S840" s="7">
        <v>46071</v>
      </c>
      <c r="U840" s="8">
        <v>162</v>
      </c>
      <c r="V840" s="7">
        <v>46080</v>
      </c>
      <c r="X840" s="8">
        <v>0</v>
      </c>
      <c r="Z840" s="8">
        <v>162</v>
      </c>
      <c r="AA840" s="7">
        <v>46092</v>
      </c>
      <c r="AC840" s="8">
        <v>0</v>
      </c>
      <c r="AE840" s="7">
        <v>46094</v>
      </c>
      <c r="AF840" s="8">
        <v>0</v>
      </c>
      <c r="AH840" s="7">
        <v>46094</v>
      </c>
      <c r="AN840" s="8">
        <v>0</v>
      </c>
      <c r="AO840" s="8">
        <v>150</v>
      </c>
    </row>
    <row r="841" spans="1:41" x14ac:dyDescent="0.25">
      <c r="A841" s="6" t="str">
        <f t="shared" si="240"/>
        <v>521-2025000785</v>
      </c>
      <c r="B841" s="6" t="str">
        <f t="shared" si="241"/>
        <v>PRINTEMP</v>
      </c>
      <c r="C841" s="7">
        <v>46007</v>
      </c>
      <c r="D841" s="7">
        <v>46094</v>
      </c>
      <c r="E841" s="8">
        <v>9</v>
      </c>
      <c r="F841" s="6" t="str">
        <f t="shared" si="242"/>
        <v>4001549871</v>
      </c>
      <c r="G841" s="6" t="str">
        <f t="shared" ref="G841:G846" si="244">"F120276555000000"</f>
        <v>F120276555000000</v>
      </c>
      <c r="H841" s="6" t="str">
        <f t="shared" si="243"/>
        <v>FAJA 2765 Bio GOTS -</v>
      </c>
      <c r="I841" s="6" t="str">
        <f>"6034"</f>
        <v>6034</v>
      </c>
      <c r="J841" s="6" t="str">
        <f>"CASTANHO 6034"</f>
        <v>CASTANHO 6034</v>
      </c>
      <c r="K841" s="6" t="str">
        <f>"1024"</f>
        <v>1024</v>
      </c>
      <c r="L841" s="6" t="str">
        <f>"Toalhas"</f>
        <v>Toalhas</v>
      </c>
      <c r="M841" s="6" t="str">
        <f>"50x100"</f>
        <v>50x100</v>
      </c>
      <c r="N841" s="6" t="str">
        <f t="shared" si="232"/>
        <v xml:space="preserve"> </v>
      </c>
      <c r="O841" s="8">
        <v>252</v>
      </c>
      <c r="P841" s="7">
        <v>46064</v>
      </c>
      <c r="R841" s="8">
        <v>0</v>
      </c>
      <c r="S841" s="7">
        <v>46071</v>
      </c>
      <c r="U841" s="8">
        <v>300</v>
      </c>
      <c r="V841" s="7">
        <v>46080</v>
      </c>
      <c r="X841" s="8">
        <v>0</v>
      </c>
      <c r="Z841" s="8">
        <v>0</v>
      </c>
      <c r="AA841" s="7">
        <v>46092</v>
      </c>
      <c r="AC841" s="8">
        <v>0</v>
      </c>
      <c r="AE841" s="7">
        <v>46094</v>
      </c>
      <c r="AF841" s="8">
        <v>0</v>
      </c>
      <c r="AH841" s="7">
        <v>46094</v>
      </c>
      <c r="AN841" s="8">
        <v>0</v>
      </c>
      <c r="AO841" s="8">
        <v>252</v>
      </c>
    </row>
    <row r="842" spans="1:41" x14ac:dyDescent="0.25">
      <c r="A842" s="6" t="str">
        <f t="shared" si="240"/>
        <v>521-2025000785</v>
      </c>
      <c r="B842" s="6" t="str">
        <f t="shared" si="241"/>
        <v>PRINTEMP</v>
      </c>
      <c r="C842" s="7">
        <v>46007</v>
      </c>
      <c r="D842" s="7">
        <v>46094</v>
      </c>
      <c r="E842" s="8">
        <v>10</v>
      </c>
      <c r="F842" s="6" t="str">
        <f t="shared" si="242"/>
        <v>4001549871</v>
      </c>
      <c r="G842" s="6" t="str">
        <f t="shared" si="244"/>
        <v>F120276555000000</v>
      </c>
      <c r="H842" s="6" t="str">
        <f t="shared" si="243"/>
        <v>FAJA 2765 Bio GOTS -</v>
      </c>
      <c r="I842" s="6" t="str">
        <f>"6033"</f>
        <v>6033</v>
      </c>
      <c r="J842" s="6" t="str">
        <f>"AMARELO 6033"</f>
        <v>AMARELO 6033</v>
      </c>
      <c r="K842" s="6" t="str">
        <f>"1024"</f>
        <v>1024</v>
      </c>
      <c r="L842" s="6" t="str">
        <f>"Toalhas"</f>
        <v>Toalhas</v>
      </c>
      <c r="M842" s="6" t="str">
        <f>"50x100"</f>
        <v>50x100</v>
      </c>
      <c r="N842" s="6" t="str">
        <f t="shared" si="232"/>
        <v xml:space="preserve"> </v>
      </c>
      <c r="O842" s="8">
        <v>252</v>
      </c>
      <c r="P842" s="7">
        <v>46064</v>
      </c>
      <c r="R842" s="8">
        <v>0</v>
      </c>
      <c r="S842" s="7">
        <v>46071</v>
      </c>
      <c r="U842" s="8">
        <v>272</v>
      </c>
      <c r="V842" s="7">
        <v>46080</v>
      </c>
      <c r="X842" s="8">
        <v>0</v>
      </c>
      <c r="Z842" s="8">
        <v>272</v>
      </c>
      <c r="AA842" s="7">
        <v>46092</v>
      </c>
      <c r="AC842" s="8">
        <v>0</v>
      </c>
      <c r="AE842" s="7">
        <v>46094</v>
      </c>
      <c r="AF842" s="8">
        <v>0</v>
      </c>
      <c r="AH842" s="7">
        <v>46094</v>
      </c>
      <c r="AN842" s="8">
        <v>0</v>
      </c>
      <c r="AO842" s="8">
        <v>252</v>
      </c>
    </row>
    <row r="843" spans="1:41" x14ac:dyDescent="0.25">
      <c r="A843" s="6" t="str">
        <f t="shared" si="240"/>
        <v>521-2025000785</v>
      </c>
      <c r="B843" s="6" t="str">
        <f t="shared" si="241"/>
        <v>PRINTEMP</v>
      </c>
      <c r="C843" s="7">
        <v>46007</v>
      </c>
      <c r="D843" s="7">
        <v>46094</v>
      </c>
      <c r="E843" s="8">
        <v>11</v>
      </c>
      <c r="F843" s="6" t="str">
        <f t="shared" si="242"/>
        <v>4001549871</v>
      </c>
      <c r="G843" s="6" t="str">
        <f t="shared" si="244"/>
        <v>F120276555000000</v>
      </c>
      <c r="H843" s="6" t="str">
        <f t="shared" si="243"/>
        <v>FAJA 2765 Bio GOTS -</v>
      </c>
      <c r="I843" s="6" t="str">
        <f>"6033"</f>
        <v>6033</v>
      </c>
      <c r="J843" s="6" t="str">
        <f>"AMARELO 6033"</f>
        <v>AMARELO 6033</v>
      </c>
      <c r="K843" s="6" t="str">
        <f>"1535"</f>
        <v>1535</v>
      </c>
      <c r="L843" s="6" t="str">
        <f>"Toalhões"</f>
        <v>Toalhões</v>
      </c>
      <c r="M843" s="6" t="str">
        <f>"70x140"</f>
        <v>70x140</v>
      </c>
      <c r="N843" s="6" t="str">
        <f t="shared" si="232"/>
        <v xml:space="preserve"> </v>
      </c>
      <c r="O843" s="8">
        <v>180</v>
      </c>
      <c r="P843" s="7">
        <v>46064</v>
      </c>
      <c r="R843" s="8">
        <v>0</v>
      </c>
      <c r="S843" s="7">
        <v>46071</v>
      </c>
      <c r="U843" s="8">
        <v>189</v>
      </c>
      <c r="V843" s="7">
        <v>46080</v>
      </c>
      <c r="X843" s="8">
        <v>0</v>
      </c>
      <c r="Z843" s="8">
        <v>189</v>
      </c>
      <c r="AA843" s="7">
        <v>46092</v>
      </c>
      <c r="AC843" s="8">
        <v>0</v>
      </c>
      <c r="AE843" s="7">
        <v>46094</v>
      </c>
      <c r="AF843" s="8">
        <v>0</v>
      </c>
      <c r="AH843" s="7">
        <v>46094</v>
      </c>
      <c r="AN843" s="8">
        <v>0</v>
      </c>
      <c r="AO843" s="8">
        <v>180</v>
      </c>
    </row>
    <row r="844" spans="1:41" x14ac:dyDescent="0.25">
      <c r="A844" s="6" t="str">
        <f t="shared" si="240"/>
        <v>521-2025000785</v>
      </c>
      <c r="B844" s="6" t="str">
        <f t="shared" si="241"/>
        <v>PRINTEMP</v>
      </c>
      <c r="C844" s="7">
        <v>46007</v>
      </c>
      <c r="D844" s="7">
        <v>46094</v>
      </c>
      <c r="E844" s="8">
        <v>12</v>
      </c>
      <c r="F844" s="6" t="str">
        <f t="shared" si="242"/>
        <v>4001549871</v>
      </c>
      <c r="G844" s="6" t="str">
        <f t="shared" si="244"/>
        <v>F120276555000000</v>
      </c>
      <c r="H844" s="6" t="str">
        <f t="shared" si="243"/>
        <v>FAJA 2765 Bio GOTS -</v>
      </c>
      <c r="I844" s="6" t="str">
        <f>"6034"</f>
        <v>6034</v>
      </c>
      <c r="J844" s="6" t="str">
        <f>"CASTANHO 6034"</f>
        <v>CASTANHO 6034</v>
      </c>
      <c r="K844" s="6" t="str">
        <f>"1535"</f>
        <v>1535</v>
      </c>
      <c r="L844" s="6" t="str">
        <f>"Toalhões"</f>
        <v>Toalhões</v>
      </c>
      <c r="M844" s="6" t="str">
        <f>"70x140"</f>
        <v>70x140</v>
      </c>
      <c r="N844" s="6" t="str">
        <f t="shared" ref="N844:N855" si="245">" "</f>
        <v xml:space="preserve"> </v>
      </c>
      <c r="O844" s="8">
        <v>180</v>
      </c>
      <c r="P844" s="7">
        <v>46064</v>
      </c>
      <c r="R844" s="8">
        <v>0</v>
      </c>
      <c r="S844" s="7">
        <v>46071</v>
      </c>
      <c r="U844" s="8">
        <v>201</v>
      </c>
      <c r="V844" s="7">
        <v>46080</v>
      </c>
      <c r="X844" s="8">
        <v>0</v>
      </c>
      <c r="Z844" s="8">
        <v>0</v>
      </c>
      <c r="AA844" s="7">
        <v>46092</v>
      </c>
      <c r="AC844" s="8">
        <v>0</v>
      </c>
      <c r="AE844" s="7">
        <v>46094</v>
      </c>
      <c r="AF844" s="8">
        <v>0</v>
      </c>
      <c r="AH844" s="7">
        <v>46094</v>
      </c>
      <c r="AN844" s="8">
        <v>0</v>
      </c>
      <c r="AO844" s="8">
        <v>180</v>
      </c>
    </row>
    <row r="845" spans="1:41" x14ac:dyDescent="0.25">
      <c r="A845" s="6" t="str">
        <f t="shared" si="240"/>
        <v>521-2025000785</v>
      </c>
      <c r="B845" s="6" t="str">
        <f t="shared" si="241"/>
        <v>PRINTEMP</v>
      </c>
      <c r="C845" s="7">
        <v>46007</v>
      </c>
      <c r="D845" s="7">
        <v>46094</v>
      </c>
      <c r="E845" s="8">
        <v>13</v>
      </c>
      <c r="F845" s="6" t="str">
        <f t="shared" si="242"/>
        <v>4001549871</v>
      </c>
      <c r="G845" s="6" t="str">
        <f t="shared" si="244"/>
        <v>F120276555000000</v>
      </c>
      <c r="H845" s="6" t="str">
        <f t="shared" si="243"/>
        <v>FAJA 2765 Bio GOTS -</v>
      </c>
      <c r="I845" s="6" t="str">
        <f>"6033"</f>
        <v>6033</v>
      </c>
      <c r="J845" s="6" t="str">
        <f>"AMARELO 6033"</f>
        <v>AMARELO 6033</v>
      </c>
      <c r="K845" s="6" t="str">
        <f>"2020"</f>
        <v>2020</v>
      </c>
      <c r="L845" s="6" t="str">
        <f>"Lençóis"</f>
        <v>Lençóis</v>
      </c>
      <c r="M845" s="6" t="str">
        <f>"100x150"</f>
        <v>100x150</v>
      </c>
      <c r="N845" s="6" t="str">
        <f t="shared" si="245"/>
        <v xml:space="preserve"> </v>
      </c>
      <c r="O845" s="8">
        <v>132</v>
      </c>
      <c r="P845" s="7">
        <v>46064</v>
      </c>
      <c r="R845" s="8">
        <v>0</v>
      </c>
      <c r="S845" s="7">
        <v>46071</v>
      </c>
      <c r="U845" s="8">
        <v>146</v>
      </c>
      <c r="V845" s="7">
        <v>46080</v>
      </c>
      <c r="X845" s="8">
        <v>0</v>
      </c>
      <c r="Z845" s="8">
        <v>146</v>
      </c>
      <c r="AA845" s="7">
        <v>46092</v>
      </c>
      <c r="AC845" s="8">
        <v>0</v>
      </c>
      <c r="AE845" s="7">
        <v>46094</v>
      </c>
      <c r="AF845" s="8">
        <v>0</v>
      </c>
      <c r="AH845" s="7">
        <v>46094</v>
      </c>
      <c r="AN845" s="8">
        <v>0</v>
      </c>
      <c r="AO845" s="8">
        <v>132</v>
      </c>
    </row>
    <row r="846" spans="1:41" x14ac:dyDescent="0.25">
      <c r="A846" s="6" t="str">
        <f t="shared" si="240"/>
        <v>521-2025000785</v>
      </c>
      <c r="B846" s="6" t="str">
        <f t="shared" si="241"/>
        <v>PRINTEMP</v>
      </c>
      <c r="C846" s="7">
        <v>46007</v>
      </c>
      <c r="D846" s="7">
        <v>46094</v>
      </c>
      <c r="E846" s="8">
        <v>14</v>
      </c>
      <c r="F846" s="6" t="str">
        <f t="shared" si="242"/>
        <v>4001549871</v>
      </c>
      <c r="G846" s="6" t="str">
        <f t="shared" si="244"/>
        <v>F120276555000000</v>
      </c>
      <c r="H846" s="6" t="str">
        <f t="shared" si="243"/>
        <v>FAJA 2765 Bio GOTS -</v>
      </c>
      <c r="I846" s="6" t="str">
        <f>"6034"</f>
        <v>6034</v>
      </c>
      <c r="J846" s="6" t="str">
        <f>"CASTANHO 6034"</f>
        <v>CASTANHO 6034</v>
      </c>
      <c r="K846" s="6" t="str">
        <f>"2020"</f>
        <v>2020</v>
      </c>
      <c r="L846" s="6" t="str">
        <f>"Lençóis"</f>
        <v>Lençóis</v>
      </c>
      <c r="M846" s="6" t="str">
        <f>"100x150"</f>
        <v>100x150</v>
      </c>
      <c r="N846" s="6" t="str">
        <f t="shared" si="245"/>
        <v xml:space="preserve"> </v>
      </c>
      <c r="O846" s="8">
        <v>132</v>
      </c>
      <c r="P846" s="7">
        <v>46064</v>
      </c>
      <c r="R846" s="8">
        <v>0</v>
      </c>
      <c r="S846" s="7">
        <v>46071</v>
      </c>
      <c r="U846" s="8">
        <v>146</v>
      </c>
      <c r="V846" s="7">
        <v>46080</v>
      </c>
      <c r="X846" s="8">
        <v>0</v>
      </c>
      <c r="Z846" s="8">
        <v>0</v>
      </c>
      <c r="AA846" s="7">
        <v>46092</v>
      </c>
      <c r="AC846" s="8">
        <v>0</v>
      </c>
      <c r="AE846" s="7">
        <v>46094</v>
      </c>
      <c r="AF846" s="8">
        <v>0</v>
      </c>
      <c r="AH846" s="7">
        <v>46094</v>
      </c>
      <c r="AN846" s="8">
        <v>0</v>
      </c>
      <c r="AO846" s="8">
        <v>132</v>
      </c>
    </row>
    <row r="847" spans="1:41" x14ac:dyDescent="0.25">
      <c r="A847" s="6" t="str">
        <f t="shared" si="240"/>
        <v>521-2025000785</v>
      </c>
      <c r="B847" s="6" t="str">
        <f t="shared" si="241"/>
        <v>PRINTEMP</v>
      </c>
      <c r="C847" s="7">
        <v>46007</v>
      </c>
      <c r="D847" s="7">
        <v>46094</v>
      </c>
      <c r="E847" s="8">
        <v>15</v>
      </c>
      <c r="F847" s="6" t="str">
        <f t="shared" si="242"/>
        <v>4001549871</v>
      </c>
      <c r="G847" s="6" t="str">
        <f>"F161252100000000"</f>
        <v>F161252100000000</v>
      </c>
      <c r="H847" s="6" t="str">
        <f>"TA 252 Bio GOTS - 10"</f>
        <v>TA 252 Bio GOTS - 10</v>
      </c>
      <c r="I847" s="6" t="str">
        <f>"6033"</f>
        <v>6033</v>
      </c>
      <c r="J847" s="6" t="str">
        <f>"AMARELO 6033"</f>
        <v>AMARELO 6033</v>
      </c>
      <c r="K847" s="6" t="str">
        <f>"3020"</f>
        <v>3020</v>
      </c>
      <c r="L847" s="6" t="str">
        <f>"Tapetes"</f>
        <v>Tapetes</v>
      </c>
      <c r="M847" s="6" t="str">
        <f>"50x80"</f>
        <v>50x80</v>
      </c>
      <c r="N847" s="6" t="str">
        <f t="shared" si="245"/>
        <v xml:space="preserve"> </v>
      </c>
      <c r="O847" s="8">
        <v>100</v>
      </c>
      <c r="P847" s="7">
        <v>46064</v>
      </c>
      <c r="R847" s="8">
        <v>0</v>
      </c>
      <c r="S847" s="7">
        <v>46071</v>
      </c>
      <c r="U847" s="8">
        <v>112</v>
      </c>
      <c r="V847" s="7">
        <v>46080</v>
      </c>
      <c r="X847" s="8">
        <v>0</v>
      </c>
      <c r="Z847" s="8">
        <v>112</v>
      </c>
      <c r="AA847" s="7">
        <v>46092</v>
      </c>
      <c r="AC847" s="8">
        <v>0</v>
      </c>
      <c r="AE847" s="7">
        <v>46094</v>
      </c>
      <c r="AF847" s="8">
        <v>0</v>
      </c>
      <c r="AH847" s="7">
        <v>46094</v>
      </c>
      <c r="AN847" s="8">
        <v>0</v>
      </c>
      <c r="AO847" s="8">
        <v>100</v>
      </c>
    </row>
    <row r="848" spans="1:41" x14ac:dyDescent="0.25">
      <c r="A848" s="6" t="str">
        <f t="shared" si="240"/>
        <v>521-2025000785</v>
      </c>
      <c r="B848" s="6" t="str">
        <f t="shared" si="241"/>
        <v>PRINTEMP</v>
      </c>
      <c r="C848" s="7">
        <v>46007</v>
      </c>
      <c r="D848" s="7">
        <v>46094</v>
      </c>
      <c r="E848" s="8">
        <v>16</v>
      </c>
      <c r="F848" s="6" t="str">
        <f t="shared" si="242"/>
        <v>4001549871</v>
      </c>
      <c r="G848" s="6" t="str">
        <f>"F161252100000000"</f>
        <v>F161252100000000</v>
      </c>
      <c r="H848" s="6" t="str">
        <f>"TA 252 Bio GOTS - 10"</f>
        <v>TA 252 Bio GOTS - 10</v>
      </c>
      <c r="I848" s="6" t="str">
        <f>"6034"</f>
        <v>6034</v>
      </c>
      <c r="J848" s="6" t="str">
        <f>"CASTANHO 6034"</f>
        <v>CASTANHO 6034</v>
      </c>
      <c r="K848" s="6" t="str">
        <f>"3020"</f>
        <v>3020</v>
      </c>
      <c r="L848" s="6" t="str">
        <f>"Tapetes"</f>
        <v>Tapetes</v>
      </c>
      <c r="M848" s="6" t="str">
        <f>"50x80"</f>
        <v>50x80</v>
      </c>
      <c r="N848" s="6" t="str">
        <f t="shared" si="245"/>
        <v xml:space="preserve"> </v>
      </c>
      <c r="O848" s="8">
        <v>100</v>
      </c>
      <c r="P848" s="7">
        <v>46064</v>
      </c>
      <c r="R848" s="8">
        <v>0</v>
      </c>
      <c r="S848" s="7">
        <v>46071</v>
      </c>
      <c r="U848" s="8">
        <v>112</v>
      </c>
      <c r="V848" s="7">
        <v>46080</v>
      </c>
      <c r="X848" s="8">
        <v>0</v>
      </c>
      <c r="Z848" s="8">
        <v>0</v>
      </c>
      <c r="AA848" s="7">
        <v>46092</v>
      </c>
      <c r="AC848" s="8">
        <v>0</v>
      </c>
      <c r="AE848" s="7">
        <v>46094</v>
      </c>
      <c r="AF848" s="8">
        <v>0</v>
      </c>
      <c r="AH848" s="7">
        <v>46094</v>
      </c>
      <c r="AN848" s="8">
        <v>0</v>
      </c>
      <c r="AO848" s="8">
        <v>100</v>
      </c>
    </row>
    <row r="849" spans="1:41" x14ac:dyDescent="0.25">
      <c r="A849" s="6" t="str">
        <f>"521-2025000786"</f>
        <v>521-2025000786</v>
      </c>
      <c r="B849" s="6" t="str">
        <f>"FRANCOIS"</f>
        <v>FRANCOIS</v>
      </c>
      <c r="C849" s="7">
        <v>46007</v>
      </c>
      <c r="D849" s="7">
        <v>46080</v>
      </c>
      <c r="E849" s="8">
        <v>2</v>
      </c>
      <c r="F849" s="6" t="str">
        <f>"543885"</f>
        <v>543885</v>
      </c>
      <c r="G849" s="6" t="str">
        <f>"J300371844000001"</f>
        <v>J300371844000001</v>
      </c>
      <c r="H849" s="6" t="str">
        <f>"Conj. PLR 3718+PLR 3"</f>
        <v>Conj. PLR 3718+PLR 3</v>
      </c>
      <c r="I849" s="6" t="str">
        <f>"300001"</f>
        <v>300001</v>
      </c>
      <c r="J849" s="6" t="str">
        <f>"SORTIDAS 1"</f>
        <v>SORTIDAS 1</v>
      </c>
      <c r="K849" s="6" t="str">
        <f>"4015"</f>
        <v>4015</v>
      </c>
      <c r="L849" s="6" t="str">
        <f>"Conjunto/Jogos"</f>
        <v>Conjunto/Jogos</v>
      </c>
      <c r="M849" s="6" t="str">
        <f>"(3 Pcs)"</f>
        <v>(3 Pcs)</v>
      </c>
      <c r="N849" s="6" t="str">
        <f t="shared" si="245"/>
        <v xml:space="preserve"> </v>
      </c>
      <c r="O849" s="8">
        <v>400</v>
      </c>
      <c r="P849" s="7">
        <v>46056</v>
      </c>
      <c r="R849" s="8">
        <v>2292</v>
      </c>
      <c r="S849" s="7">
        <v>46059</v>
      </c>
      <c r="U849" s="8">
        <v>0</v>
      </c>
      <c r="V849" s="7">
        <v>46064</v>
      </c>
      <c r="X849" s="8">
        <v>0</v>
      </c>
      <c r="Z849" s="8">
        <v>0</v>
      </c>
      <c r="AA849" s="7">
        <v>46078</v>
      </c>
      <c r="AC849" s="8">
        <v>0</v>
      </c>
      <c r="AE849" s="7">
        <v>46080</v>
      </c>
      <c r="AF849" s="8">
        <v>0</v>
      </c>
      <c r="AH849" s="7">
        <v>46080</v>
      </c>
      <c r="AN849" s="8">
        <v>0</v>
      </c>
      <c r="AO849" s="8">
        <v>400</v>
      </c>
    </row>
    <row r="850" spans="1:41" x14ac:dyDescent="0.25">
      <c r="A850" s="6" t="str">
        <f>"521-2025000786"</f>
        <v>521-2025000786</v>
      </c>
      <c r="B850" s="6" t="str">
        <f>"FRANCOIS"</f>
        <v>FRANCOIS</v>
      </c>
      <c r="C850" s="7">
        <v>46007</v>
      </c>
      <c r="D850" s="7">
        <v>46080</v>
      </c>
      <c r="E850" s="8">
        <v>3</v>
      </c>
      <c r="F850" s="6" t="str">
        <f>"543885"</f>
        <v>543885</v>
      </c>
      <c r="G850" s="6" t="str">
        <f>"J300371844000002"</f>
        <v>J300371844000002</v>
      </c>
      <c r="H850" s="6" t="str">
        <f>"Conj. PLR 3718+PLR 3"</f>
        <v>Conj. PLR 3718+PLR 3</v>
      </c>
      <c r="I850" s="6" t="str">
        <f>"300001"</f>
        <v>300001</v>
      </c>
      <c r="J850" s="6" t="str">
        <f>"SORTIDAS 1"</f>
        <v>SORTIDAS 1</v>
      </c>
      <c r="K850" s="6" t="str">
        <f>"4015"</f>
        <v>4015</v>
      </c>
      <c r="L850" s="6" t="str">
        <f>"Conjunto/Jogos"</f>
        <v>Conjunto/Jogos</v>
      </c>
      <c r="M850" s="6" t="str">
        <f>"(3 Pcs)"</f>
        <v>(3 Pcs)</v>
      </c>
      <c r="N850" s="6" t="str">
        <f t="shared" si="245"/>
        <v xml:space="preserve"> </v>
      </c>
      <c r="O850" s="8">
        <v>400</v>
      </c>
      <c r="P850" s="7">
        <v>46056</v>
      </c>
      <c r="R850" s="8">
        <v>0</v>
      </c>
      <c r="S850" s="7">
        <v>46059</v>
      </c>
      <c r="U850" s="8">
        <v>0</v>
      </c>
      <c r="V850" s="7">
        <v>46064</v>
      </c>
      <c r="X850" s="8">
        <v>0</v>
      </c>
      <c r="Z850" s="8">
        <v>0</v>
      </c>
      <c r="AA850" s="7">
        <v>46078</v>
      </c>
      <c r="AC850" s="8">
        <v>0</v>
      </c>
      <c r="AE850" s="7">
        <v>46080</v>
      </c>
      <c r="AF850" s="8">
        <v>0</v>
      </c>
      <c r="AH850" s="7">
        <v>46080</v>
      </c>
      <c r="AN850" s="8">
        <v>0</v>
      </c>
      <c r="AO850" s="8">
        <v>400</v>
      </c>
    </row>
    <row r="851" spans="1:41" x14ac:dyDescent="0.25">
      <c r="A851" s="6" t="str">
        <f>"521-2025000787"</f>
        <v>521-2025000787</v>
      </c>
      <c r="B851" s="6" t="str">
        <f t="shared" ref="B851:B857" si="246">"LUSH MAN"</f>
        <v>LUSH MAN</v>
      </c>
      <c r="C851" s="7">
        <v>46007</v>
      </c>
      <c r="D851" s="7">
        <v>46094</v>
      </c>
      <c r="E851" s="8">
        <v>2</v>
      </c>
      <c r="F851" s="6" t="str">
        <f t="shared" ref="F851:F857" si="247">"PO37968"</f>
        <v>PO37968</v>
      </c>
      <c r="G851" s="6" t="str">
        <f>"F150002355000000"</f>
        <v>F150002355000000</v>
      </c>
      <c r="H851" s="6" t="str">
        <f>"FAR 23 Bio Liso - 55"</f>
        <v>FAR 23 Bio Liso - 55</v>
      </c>
      <c r="I851" s="6" t="str">
        <f>"5658"</f>
        <v>5658</v>
      </c>
      <c r="J851" s="6" t="str">
        <f>"CINZA 5658 CUBA"</f>
        <v>CINZA 5658 CUBA</v>
      </c>
      <c r="K851" s="6" t="str">
        <f>"1024"</f>
        <v>1024</v>
      </c>
      <c r="L851" s="6" t="str">
        <f>"Toalhas"</f>
        <v>Toalhas</v>
      </c>
      <c r="M851" s="6" t="str">
        <f>"50x100"</f>
        <v>50x100</v>
      </c>
      <c r="N851" s="6" t="str">
        <f t="shared" si="245"/>
        <v xml:space="preserve"> </v>
      </c>
      <c r="O851" s="8">
        <v>2000</v>
      </c>
      <c r="P851" s="7">
        <v>46064</v>
      </c>
      <c r="R851" s="8">
        <v>2124</v>
      </c>
      <c r="S851" s="7">
        <v>46071</v>
      </c>
      <c r="U851" s="8">
        <v>0</v>
      </c>
      <c r="V851" s="7">
        <v>46080</v>
      </c>
      <c r="X851" s="8">
        <v>0</v>
      </c>
      <c r="Z851" s="8">
        <v>0</v>
      </c>
      <c r="AA851" s="7">
        <v>46092</v>
      </c>
      <c r="AC851" s="8">
        <v>0</v>
      </c>
      <c r="AE851" s="7">
        <v>46094</v>
      </c>
      <c r="AF851" s="8">
        <v>0</v>
      </c>
      <c r="AH851" s="7">
        <v>46094</v>
      </c>
      <c r="AN851" s="8">
        <v>0</v>
      </c>
      <c r="AO851" s="8">
        <v>2000</v>
      </c>
    </row>
    <row r="852" spans="1:41" x14ac:dyDescent="0.25">
      <c r="A852" s="6" t="str">
        <f>"521-2025000787"</f>
        <v>521-2025000787</v>
      </c>
      <c r="B852" s="6" t="str">
        <f t="shared" si="246"/>
        <v>LUSH MAN</v>
      </c>
      <c r="C852" s="7">
        <v>46007</v>
      </c>
      <c r="D852" s="7">
        <v>46094</v>
      </c>
      <c r="E852" s="8">
        <v>3</v>
      </c>
      <c r="F852" s="6" t="str">
        <f t="shared" si="247"/>
        <v>PO37968</v>
      </c>
      <c r="G852" s="6" t="str">
        <f>"K150206644000000"</f>
        <v>K150206644000000</v>
      </c>
      <c r="H852" s="6" t="str">
        <f>"KB 2066 - FAR 24 Bio"</f>
        <v>KB 2066 - FAR 24 Bio</v>
      </c>
      <c r="I852" s="6" t="str">
        <f>"5658"</f>
        <v>5658</v>
      </c>
      <c r="J852" s="6" t="str">
        <f>"CINZA 5658 CUBA"</f>
        <v>CINZA 5658 CUBA</v>
      </c>
      <c r="K852" s="6" t="str">
        <f>"5300"</f>
        <v>5300</v>
      </c>
      <c r="L852" s="6" t="str">
        <f>"Artigos B,b,"</f>
        <v>Artigos B,b,</v>
      </c>
      <c r="M852" s="6" t="str">
        <f>"Único"</f>
        <v>Único</v>
      </c>
      <c r="N852" s="6" t="str">
        <f t="shared" si="245"/>
        <v xml:space="preserve"> </v>
      </c>
      <c r="O852" s="8">
        <v>2500</v>
      </c>
      <c r="P852" s="7">
        <v>46064</v>
      </c>
      <c r="R852" s="8">
        <v>149</v>
      </c>
      <c r="S852" s="7">
        <v>46071</v>
      </c>
      <c r="U852" s="8">
        <v>0</v>
      </c>
      <c r="V852" s="7">
        <v>46080</v>
      </c>
      <c r="X852" s="8">
        <v>0</v>
      </c>
      <c r="Z852" s="8">
        <v>0</v>
      </c>
      <c r="AA852" s="7">
        <v>46092</v>
      </c>
      <c r="AC852" s="8">
        <v>0</v>
      </c>
      <c r="AE852" s="7">
        <v>46094</v>
      </c>
      <c r="AF852" s="8">
        <v>0</v>
      </c>
      <c r="AH852" s="7">
        <v>46094</v>
      </c>
      <c r="AN852" s="8">
        <v>0</v>
      </c>
      <c r="AO852" s="8">
        <v>2500</v>
      </c>
    </row>
    <row r="853" spans="1:41" x14ac:dyDescent="0.25">
      <c r="A853" s="6" t="str">
        <f>"521-2025000787"</f>
        <v>521-2025000787</v>
      </c>
      <c r="B853" s="6" t="str">
        <f t="shared" si="246"/>
        <v>LUSH MAN</v>
      </c>
      <c r="C853" s="7">
        <v>46007</v>
      </c>
      <c r="D853" s="7">
        <v>46094</v>
      </c>
      <c r="E853" s="8">
        <v>4</v>
      </c>
      <c r="F853" s="6" t="str">
        <f t="shared" si="247"/>
        <v>PO37968</v>
      </c>
      <c r="G853" s="6" t="str">
        <f>"F150002444000000"</f>
        <v>F150002444000000</v>
      </c>
      <c r="H853" s="6" t="str">
        <f>"FAR 24 Bio Liso - 44"</f>
        <v>FAR 24 Bio Liso - 44</v>
      </c>
      <c r="I853" s="6" t="str">
        <f>"5658"</f>
        <v>5658</v>
      </c>
      <c r="J853" s="6" t="str">
        <f>"CINZA 5658 CUBA"</f>
        <v>CINZA 5658 CUBA</v>
      </c>
      <c r="K853" s="6" t="str">
        <f>"0320"</f>
        <v>0320</v>
      </c>
      <c r="L853" s="6" t="str">
        <f>"Panos"</f>
        <v>Panos</v>
      </c>
      <c r="M853" s="6" t="str">
        <f>"30x30"</f>
        <v>30x30</v>
      </c>
      <c r="N853" s="6" t="str">
        <f t="shared" si="245"/>
        <v xml:space="preserve"> </v>
      </c>
      <c r="O853" s="8">
        <v>2500</v>
      </c>
      <c r="P853" s="7">
        <v>46064</v>
      </c>
      <c r="R853" s="8">
        <v>2706</v>
      </c>
      <c r="S853" s="7">
        <v>46071</v>
      </c>
      <c r="U853" s="8">
        <v>0</v>
      </c>
      <c r="V853" s="7">
        <v>46080</v>
      </c>
      <c r="X853" s="8">
        <v>0</v>
      </c>
      <c r="Z853" s="8">
        <v>0</v>
      </c>
      <c r="AA853" s="7">
        <v>46092</v>
      </c>
      <c r="AC853" s="8">
        <v>0</v>
      </c>
      <c r="AE853" s="7">
        <v>46094</v>
      </c>
      <c r="AF853" s="8">
        <v>0</v>
      </c>
      <c r="AH853" s="7">
        <v>46094</v>
      </c>
      <c r="AN853" s="8">
        <v>0</v>
      </c>
      <c r="AO853" s="8">
        <v>2500</v>
      </c>
    </row>
    <row r="854" spans="1:41" x14ac:dyDescent="0.25">
      <c r="A854" s="6" t="str">
        <f>"521-2025000787"</f>
        <v>521-2025000787</v>
      </c>
      <c r="B854" s="6" t="str">
        <f t="shared" si="246"/>
        <v>LUSH MAN</v>
      </c>
      <c r="C854" s="7">
        <v>46007</v>
      </c>
      <c r="D854" s="7">
        <v>46094</v>
      </c>
      <c r="E854" s="8">
        <v>5</v>
      </c>
      <c r="F854" s="6" t="str">
        <f t="shared" si="247"/>
        <v>PO37968</v>
      </c>
      <c r="G854" s="6" t="str">
        <f>"F150002355000000"</f>
        <v>F150002355000000</v>
      </c>
      <c r="H854" s="6" t="str">
        <f>"FAR 23 Bio Liso - 55"</f>
        <v>FAR 23 Bio Liso - 55</v>
      </c>
      <c r="I854" s="6" t="str">
        <f>"5658"</f>
        <v>5658</v>
      </c>
      <c r="J854" s="6" t="str">
        <f>"CINZA 5658 CUBA"</f>
        <v>CINZA 5658 CUBA</v>
      </c>
      <c r="K854" s="6" t="str">
        <f>"2158"</f>
        <v>2158</v>
      </c>
      <c r="L854" s="6" t="str">
        <f>"Lençóis"</f>
        <v>Lençóis</v>
      </c>
      <c r="M854" s="6" t="str">
        <f>"100x205"</f>
        <v>100x205</v>
      </c>
      <c r="N854" s="6" t="str">
        <f t="shared" si="245"/>
        <v xml:space="preserve"> </v>
      </c>
      <c r="O854" s="8">
        <v>1250</v>
      </c>
      <c r="P854" s="7">
        <v>46064</v>
      </c>
      <c r="R854" s="8">
        <v>784</v>
      </c>
      <c r="S854" s="7">
        <v>46071</v>
      </c>
      <c r="U854" s="8">
        <v>0</v>
      </c>
      <c r="V854" s="7">
        <v>46080</v>
      </c>
      <c r="X854" s="8">
        <v>0</v>
      </c>
      <c r="Z854" s="8">
        <v>0</v>
      </c>
      <c r="AA854" s="7">
        <v>46092</v>
      </c>
      <c r="AC854" s="8">
        <v>0</v>
      </c>
      <c r="AE854" s="7">
        <v>46094</v>
      </c>
      <c r="AF854" s="8">
        <v>0</v>
      </c>
      <c r="AH854" s="7">
        <v>46094</v>
      </c>
      <c r="AN854" s="8">
        <v>0</v>
      </c>
      <c r="AO854" s="8">
        <v>1250</v>
      </c>
    </row>
    <row r="855" spans="1:41" x14ac:dyDescent="0.25">
      <c r="A855" s="6" t="str">
        <f>"521-2025000787"</f>
        <v>521-2025000787</v>
      </c>
      <c r="B855" s="6" t="str">
        <f t="shared" si="246"/>
        <v>LUSH MAN</v>
      </c>
      <c r="C855" s="7">
        <v>46007</v>
      </c>
      <c r="D855" s="7">
        <v>46094</v>
      </c>
      <c r="E855" s="8">
        <v>6</v>
      </c>
      <c r="F855" s="6" t="str">
        <f t="shared" si="247"/>
        <v>PO37968</v>
      </c>
      <c r="G855" s="6" t="str">
        <f>"F150002444000000"</f>
        <v>F150002444000000</v>
      </c>
      <c r="H855" s="6" t="str">
        <f>"FAR 24 Bio Liso - 44"</f>
        <v>FAR 24 Bio Liso - 44</v>
      </c>
      <c r="I855" s="6" t="str">
        <f>"5658"</f>
        <v>5658</v>
      </c>
      <c r="J855" s="6" t="str">
        <f>"CINZA 5658 CUBA"</f>
        <v>CINZA 5658 CUBA</v>
      </c>
      <c r="K855" s="6" t="str">
        <f>"1015"</f>
        <v>1015</v>
      </c>
      <c r="L855" s="6" t="str">
        <f>"Toalhas"</f>
        <v>Toalhas</v>
      </c>
      <c r="M855" s="6" t="str">
        <f>"50x80"</f>
        <v>50x80</v>
      </c>
      <c r="N855" s="6" t="str">
        <f t="shared" si="245"/>
        <v xml:space="preserve"> </v>
      </c>
      <c r="O855" s="8">
        <v>1250</v>
      </c>
      <c r="P855" s="7">
        <v>46064</v>
      </c>
      <c r="R855" s="8">
        <v>664</v>
      </c>
      <c r="S855" s="7">
        <v>46071</v>
      </c>
      <c r="U855" s="8">
        <v>0</v>
      </c>
      <c r="V855" s="7">
        <v>46080</v>
      </c>
      <c r="X855" s="8">
        <v>0</v>
      </c>
      <c r="Z855" s="8">
        <v>0</v>
      </c>
      <c r="AA855" s="7">
        <v>46092</v>
      </c>
      <c r="AC855" s="8">
        <v>0</v>
      </c>
      <c r="AE855" s="7">
        <v>46094</v>
      </c>
      <c r="AF855" s="8">
        <v>0</v>
      </c>
      <c r="AH855" s="7">
        <v>46094</v>
      </c>
      <c r="AN855" s="8">
        <v>0</v>
      </c>
      <c r="AO855" s="8">
        <v>1250</v>
      </c>
    </row>
    <row r="856" spans="1:41" x14ac:dyDescent="0.25">
      <c r="A856" s="6" t="str">
        <f>"521-2025000788"</f>
        <v>521-2025000788</v>
      </c>
      <c r="B856" s="6" t="str">
        <f t="shared" si="246"/>
        <v>LUSH MAN</v>
      </c>
      <c r="C856" s="7">
        <v>46008</v>
      </c>
      <c r="D856" s="7">
        <v>46087</v>
      </c>
      <c r="E856" s="8">
        <v>1</v>
      </c>
      <c r="F856" s="6" t="str">
        <f t="shared" si="247"/>
        <v>PO37968</v>
      </c>
      <c r="G856" s="6" t="str">
        <f>"C090008812400013"</f>
        <v>C090008812400013</v>
      </c>
      <c r="H856" s="6" t="str">
        <f>"Hotelaria LT 0088 Bi"</f>
        <v>Hotelaria LT 0088 Bi</v>
      </c>
      <c r="I856" s="6" t="str">
        <f>"500005"</f>
        <v>500005</v>
      </c>
      <c r="J856" s="6" t="str">
        <f>"CINZA"</f>
        <v>CINZA</v>
      </c>
      <c r="K856" s="6" t="str">
        <f>"7000"</f>
        <v>7000</v>
      </c>
      <c r="L856" s="6" t="str">
        <f>"Cama"</f>
        <v>Cama</v>
      </c>
      <c r="M856" s="6" t="str">
        <f>"Único"</f>
        <v>Único</v>
      </c>
      <c r="N856" s="6" t="str">
        <f>"5600000150856"</f>
        <v>5600000150856</v>
      </c>
      <c r="O856" s="8">
        <v>250</v>
      </c>
      <c r="P856" s="7">
        <v>46062</v>
      </c>
      <c r="R856" s="8">
        <v>0</v>
      </c>
      <c r="S856" s="7">
        <v>46065</v>
      </c>
      <c r="U856" s="8">
        <v>0</v>
      </c>
      <c r="V856" s="7">
        <v>46072</v>
      </c>
      <c r="X856" s="8">
        <v>0</v>
      </c>
      <c r="Z856" s="8">
        <v>0</v>
      </c>
      <c r="AA856" s="7">
        <v>46084</v>
      </c>
      <c r="AC856" s="8">
        <v>0</v>
      </c>
      <c r="AE856" s="7">
        <v>46086</v>
      </c>
      <c r="AF856" s="8">
        <v>0</v>
      </c>
      <c r="AH856" s="7">
        <v>46087</v>
      </c>
      <c r="AN856" s="8">
        <v>0</v>
      </c>
      <c r="AO856" s="8">
        <v>250</v>
      </c>
    </row>
    <row r="857" spans="1:41" x14ac:dyDescent="0.25">
      <c r="A857" s="6" t="str">
        <f>"521-2025000788"</f>
        <v>521-2025000788</v>
      </c>
      <c r="B857" s="6" t="str">
        <f t="shared" si="246"/>
        <v>LUSH MAN</v>
      </c>
      <c r="C857" s="7">
        <v>46008</v>
      </c>
      <c r="D857" s="7">
        <v>46087</v>
      </c>
      <c r="E857" s="8">
        <v>2</v>
      </c>
      <c r="F857" s="6" t="str">
        <f t="shared" si="247"/>
        <v>PO37968</v>
      </c>
      <c r="G857" s="6" t="str">
        <f>"C090008812400012"</f>
        <v>C090008812400012</v>
      </c>
      <c r="H857" s="6" t="str">
        <f>"Hotelaria LT 0088 Bi"</f>
        <v>Hotelaria LT 0088 Bi</v>
      </c>
      <c r="I857" s="6" t="str">
        <f>"1"</f>
        <v>1</v>
      </c>
      <c r="J857" s="6" t="str">
        <f>"BRANCO"</f>
        <v>BRANCO</v>
      </c>
      <c r="K857" s="6" t="str">
        <f>"7000"</f>
        <v>7000</v>
      </c>
      <c r="L857" s="6" t="str">
        <f>"Cama"</f>
        <v>Cama</v>
      </c>
      <c r="M857" s="6" t="str">
        <f>"Único"</f>
        <v>Único</v>
      </c>
      <c r="N857" s="6" t="str">
        <f>"5600000150849"</f>
        <v>5600000150849</v>
      </c>
      <c r="O857" s="8">
        <v>250</v>
      </c>
      <c r="P857" s="7">
        <v>46062</v>
      </c>
      <c r="R857" s="8">
        <v>0</v>
      </c>
      <c r="S857" s="7">
        <v>46065</v>
      </c>
      <c r="U857" s="8">
        <v>0</v>
      </c>
      <c r="V857" s="7">
        <v>46072</v>
      </c>
      <c r="X857" s="8">
        <v>0</v>
      </c>
      <c r="Z857" s="8">
        <v>0</v>
      </c>
      <c r="AA857" s="7">
        <v>46084</v>
      </c>
      <c r="AC857" s="8">
        <v>0</v>
      </c>
      <c r="AE857" s="7">
        <v>46086</v>
      </c>
      <c r="AF857" s="8">
        <v>0</v>
      </c>
      <c r="AH857" s="7">
        <v>46087</v>
      </c>
      <c r="AN857" s="8">
        <v>0</v>
      </c>
      <c r="AO857" s="8">
        <v>250</v>
      </c>
    </row>
    <row r="858" spans="1:41" x14ac:dyDescent="0.25">
      <c r="A858" s="6" t="str">
        <f>"521-2025000789"</f>
        <v>521-2025000789</v>
      </c>
      <c r="B858" s="6" t="str">
        <f>"LONAS UA"</f>
        <v>LONAS UA</v>
      </c>
      <c r="C858" s="7">
        <v>46008</v>
      </c>
      <c r="D858" s="7">
        <v>46094</v>
      </c>
      <c r="E858" s="8">
        <v>1</v>
      </c>
      <c r="F858" s="6" t="str">
        <f>"0004006267"</f>
        <v>0004006267</v>
      </c>
      <c r="G858" s="6" t="str">
        <f>"F137135952000000"</f>
        <v>F137135952000000</v>
      </c>
      <c r="H858" s="6" t="str">
        <f>"FAJ SP 1359 CH PO -"</f>
        <v>FAJ SP 1359 CH PO -</v>
      </c>
      <c r="I858" s="6" t="str">
        <f>"500895"</f>
        <v>500895</v>
      </c>
      <c r="J858" s="6" t="str">
        <f>"BEGE 1670 /1930"</f>
        <v>BEGE 1670 /1930</v>
      </c>
      <c r="K858" s="6" t="str">
        <f>"1535"</f>
        <v>1535</v>
      </c>
      <c r="L858" s="6" t="str">
        <f>"Toalhões"</f>
        <v>Toalhões</v>
      </c>
      <c r="M858" s="6" t="str">
        <f>"70x140"</f>
        <v>70x140</v>
      </c>
      <c r="N858" s="6" t="str">
        <f>"5602972756425"</f>
        <v>5602972756425</v>
      </c>
      <c r="O858" s="8">
        <v>500</v>
      </c>
      <c r="P858" s="7">
        <v>46057</v>
      </c>
      <c r="R858" s="8">
        <v>0</v>
      </c>
      <c r="S858" s="7">
        <v>46062</v>
      </c>
      <c r="U858" s="8">
        <v>0</v>
      </c>
      <c r="V858" s="7">
        <v>46077</v>
      </c>
      <c r="X858" s="8">
        <v>0</v>
      </c>
      <c r="Z858" s="8">
        <v>0</v>
      </c>
      <c r="AA858" s="7">
        <v>46091</v>
      </c>
      <c r="AC858" s="8">
        <v>0</v>
      </c>
      <c r="AE858" s="7">
        <v>46094</v>
      </c>
      <c r="AF858" s="8">
        <v>0</v>
      </c>
      <c r="AH858" s="7">
        <v>46094</v>
      </c>
      <c r="AN858" s="8">
        <v>0</v>
      </c>
      <c r="AO858" s="8">
        <v>500</v>
      </c>
    </row>
    <row r="859" spans="1:41" x14ac:dyDescent="0.25">
      <c r="A859" s="6" t="str">
        <f>"521-2025000789"</f>
        <v>521-2025000789</v>
      </c>
      <c r="B859" s="6" t="str">
        <f>"LONAS UA"</f>
        <v>LONAS UA</v>
      </c>
      <c r="C859" s="7">
        <v>46008</v>
      </c>
      <c r="D859" s="7">
        <v>46094</v>
      </c>
      <c r="E859" s="8">
        <v>4</v>
      </c>
      <c r="F859" s="6" t="str">
        <f>"0004006267"</f>
        <v>0004006267</v>
      </c>
      <c r="G859" s="6" t="str">
        <f>"F137135952000000"</f>
        <v>F137135952000000</v>
      </c>
      <c r="H859" s="6" t="str">
        <f>"FAJ SP 1359 CH PO -"</f>
        <v>FAJ SP 1359 CH PO -</v>
      </c>
      <c r="I859" s="6" t="str">
        <f>"500894"</f>
        <v>500894</v>
      </c>
      <c r="J859" s="6" t="str">
        <f>"CINZA 3073/Preto"</f>
        <v>CINZA 3073/Preto</v>
      </c>
      <c r="K859" s="6" t="str">
        <f>"1535"</f>
        <v>1535</v>
      </c>
      <c r="L859" s="6" t="str">
        <f>"Toalhões"</f>
        <v>Toalhões</v>
      </c>
      <c r="M859" s="6" t="str">
        <f>"70x140"</f>
        <v>70x140</v>
      </c>
      <c r="N859" s="6" t="str">
        <f>"5602972756272"</f>
        <v>5602972756272</v>
      </c>
      <c r="O859" s="8">
        <v>500</v>
      </c>
      <c r="P859" s="7">
        <v>46057</v>
      </c>
      <c r="R859" s="8">
        <v>0</v>
      </c>
      <c r="S859" s="7">
        <v>46062</v>
      </c>
      <c r="U859" s="8">
        <v>0</v>
      </c>
      <c r="V859" s="7">
        <v>46077</v>
      </c>
      <c r="X859" s="8">
        <v>0</v>
      </c>
      <c r="Z859" s="8">
        <v>0</v>
      </c>
      <c r="AA859" s="7">
        <v>46091</v>
      </c>
      <c r="AC859" s="8">
        <v>0</v>
      </c>
      <c r="AE859" s="7">
        <v>46094</v>
      </c>
      <c r="AF859" s="8">
        <v>0</v>
      </c>
      <c r="AH859" s="7">
        <v>46094</v>
      </c>
      <c r="AN859" s="8">
        <v>0</v>
      </c>
      <c r="AO859" s="8">
        <v>500</v>
      </c>
    </row>
    <row r="860" spans="1:41" x14ac:dyDescent="0.25">
      <c r="A860" s="6" t="str">
        <f>"521-2025000789"</f>
        <v>521-2025000789</v>
      </c>
      <c r="B860" s="6" t="str">
        <f>"LONAS UA"</f>
        <v>LONAS UA</v>
      </c>
      <c r="C860" s="7">
        <v>46008</v>
      </c>
      <c r="D860" s="7">
        <v>46094</v>
      </c>
      <c r="E860" s="8">
        <v>7</v>
      </c>
      <c r="F860" s="6" t="str">
        <f>"0004006267"</f>
        <v>0004006267</v>
      </c>
      <c r="G860" s="6" t="str">
        <f>"F137135952000000"</f>
        <v>F137135952000000</v>
      </c>
      <c r="H860" s="6" t="str">
        <f>"FAJ SP 1359 CH PO -"</f>
        <v>FAJ SP 1359 CH PO -</v>
      </c>
      <c r="I860" s="6" t="str">
        <f>"500696"</f>
        <v>500696</v>
      </c>
      <c r="J860" s="6" t="str">
        <f>"BEGE 2749 /2466"</f>
        <v>BEGE 2749 /2466</v>
      </c>
      <c r="K860" s="6" t="str">
        <f>"1535"</f>
        <v>1535</v>
      </c>
      <c r="L860" s="6" t="str">
        <f>"Toalhões"</f>
        <v>Toalhões</v>
      </c>
      <c r="M860" s="6" t="str">
        <f>"70x140"</f>
        <v>70x140</v>
      </c>
      <c r="N860" s="6" t="str">
        <f>"5602972715804"</f>
        <v>5602972715804</v>
      </c>
      <c r="O860" s="8">
        <v>500</v>
      </c>
      <c r="P860" s="7">
        <v>46057</v>
      </c>
      <c r="R860" s="8">
        <v>0</v>
      </c>
      <c r="S860" s="7">
        <v>46062</v>
      </c>
      <c r="U860" s="8">
        <v>0</v>
      </c>
      <c r="V860" s="7">
        <v>46077</v>
      </c>
      <c r="X860" s="8">
        <v>0</v>
      </c>
      <c r="Z860" s="8">
        <v>0</v>
      </c>
      <c r="AA860" s="7">
        <v>46091</v>
      </c>
      <c r="AC860" s="8">
        <v>0</v>
      </c>
      <c r="AE860" s="7">
        <v>46094</v>
      </c>
      <c r="AF860" s="8">
        <v>0</v>
      </c>
      <c r="AH860" s="7">
        <v>46094</v>
      </c>
      <c r="AN860" s="8">
        <v>0</v>
      </c>
      <c r="AO860" s="8">
        <v>500</v>
      </c>
    </row>
    <row r="861" spans="1:41" x14ac:dyDescent="0.25">
      <c r="A861" s="6" t="str">
        <f>"521-2025000789"</f>
        <v>521-2025000789</v>
      </c>
      <c r="B861" s="6" t="str">
        <f>"LONAS UA"</f>
        <v>LONAS UA</v>
      </c>
      <c r="C861" s="7">
        <v>46008</v>
      </c>
      <c r="D861" s="7">
        <v>46094</v>
      </c>
      <c r="E861" s="8">
        <v>9</v>
      </c>
      <c r="F861" s="6" t="str">
        <f>"0004006267"</f>
        <v>0004006267</v>
      </c>
      <c r="G861" s="6" t="str">
        <f>"F137135952000000"</f>
        <v>F137135952000000</v>
      </c>
      <c r="H861" s="6" t="str">
        <f>"FAJ SP 1359 CH PO -"</f>
        <v>FAJ SP 1359 CH PO -</v>
      </c>
      <c r="I861" s="6" t="str">
        <f>"500896"</f>
        <v>500896</v>
      </c>
      <c r="J861" s="6" t="str">
        <f>"CASTANHO 1359 / 11"</f>
        <v>CASTANHO 1359 / 11</v>
      </c>
      <c r="K861" s="6" t="str">
        <f>"1535"</f>
        <v>1535</v>
      </c>
      <c r="L861" s="6" t="str">
        <f>"Toalhões"</f>
        <v>Toalhões</v>
      </c>
      <c r="M861" s="6" t="str">
        <f>"70x140"</f>
        <v>70x140</v>
      </c>
      <c r="N861" s="6" t="str">
        <f>"5602972756371"</f>
        <v>5602972756371</v>
      </c>
      <c r="O861" s="8">
        <v>500</v>
      </c>
      <c r="P861" s="7">
        <v>46057</v>
      </c>
      <c r="R861" s="8">
        <v>0</v>
      </c>
      <c r="S861" s="7">
        <v>46062</v>
      </c>
      <c r="U861" s="8">
        <v>0</v>
      </c>
      <c r="V861" s="7">
        <v>46077</v>
      </c>
      <c r="X861" s="8">
        <v>0</v>
      </c>
      <c r="Z861" s="8">
        <v>0</v>
      </c>
      <c r="AA861" s="7">
        <v>46091</v>
      </c>
      <c r="AC861" s="8">
        <v>0</v>
      </c>
      <c r="AE861" s="7">
        <v>46094</v>
      </c>
      <c r="AF861" s="8">
        <v>0</v>
      </c>
      <c r="AH861" s="7">
        <v>46094</v>
      </c>
      <c r="AN861" s="8">
        <v>0</v>
      </c>
      <c r="AO861" s="8">
        <v>500</v>
      </c>
    </row>
    <row r="862" spans="1:41" x14ac:dyDescent="0.25">
      <c r="A862" s="6" t="str">
        <f>"521-2025000789"</f>
        <v>521-2025000789</v>
      </c>
      <c r="B862" s="6" t="str">
        <f>"LONAS UA"</f>
        <v>LONAS UA</v>
      </c>
      <c r="C862" s="7">
        <v>46008</v>
      </c>
      <c r="D862" s="7">
        <v>46094</v>
      </c>
      <c r="E862" s="8">
        <v>13</v>
      </c>
      <c r="F862" s="6" t="str">
        <f>"0004006267"</f>
        <v>0004006267</v>
      </c>
      <c r="G862" s="6" t="str">
        <f>"F137135952000000"</f>
        <v>F137135952000000</v>
      </c>
      <c r="H862" s="6" t="str">
        <f>"FAJ SP 1359 CH PO -"</f>
        <v>FAJ SP 1359 CH PO -</v>
      </c>
      <c r="I862" s="6" t="str">
        <f>"501316"</f>
        <v>501316</v>
      </c>
      <c r="J862" s="6" t="str">
        <f>"CINZA 2992/H 3346"</f>
        <v>CINZA 2992/H 3346</v>
      </c>
      <c r="K862" s="6" t="str">
        <f>"1535"</f>
        <v>1535</v>
      </c>
      <c r="L862" s="6" t="str">
        <f>"Toalhões"</f>
        <v>Toalhões</v>
      </c>
      <c r="M862" s="6" t="str">
        <f>"70x140"</f>
        <v>70x140</v>
      </c>
      <c r="N862" s="6" t="str">
        <f>"5602972608281"</f>
        <v>5602972608281</v>
      </c>
      <c r="O862" s="8">
        <v>500</v>
      </c>
      <c r="P862" s="7">
        <v>46057</v>
      </c>
      <c r="R862" s="8">
        <v>0</v>
      </c>
      <c r="S862" s="7">
        <v>46062</v>
      </c>
      <c r="U862" s="8">
        <v>0</v>
      </c>
      <c r="V862" s="7">
        <v>46077</v>
      </c>
      <c r="X862" s="8">
        <v>0</v>
      </c>
      <c r="Z862" s="8">
        <v>0</v>
      </c>
      <c r="AA862" s="7">
        <v>46091</v>
      </c>
      <c r="AC862" s="8">
        <v>0</v>
      </c>
      <c r="AE862" s="7">
        <v>46094</v>
      </c>
      <c r="AF862" s="8">
        <v>0</v>
      </c>
      <c r="AH862" s="7">
        <v>46094</v>
      </c>
      <c r="AN862" s="8">
        <v>0</v>
      </c>
      <c r="AO862" s="8">
        <v>500</v>
      </c>
    </row>
    <row r="863" spans="1:41" x14ac:dyDescent="0.25">
      <c r="A863" s="6" t="str">
        <f>"521-2025000790"</f>
        <v>521-2025000790</v>
      </c>
      <c r="B863" s="6" t="str">
        <f>"ASHLEY W"</f>
        <v>ASHLEY W</v>
      </c>
      <c r="C863" s="7">
        <v>46008</v>
      </c>
      <c r="D863" s="7">
        <v>46080</v>
      </c>
      <c r="E863" s="8">
        <v>10</v>
      </c>
      <c r="F863" s="6" t="str">
        <f>"P37068 - WM"</f>
        <v>P37068 - WM</v>
      </c>
      <c r="G863" s="6" t="str">
        <f>"F310605158000000"</f>
        <v>F310605158000000</v>
      </c>
      <c r="H863" s="6" t="str">
        <f>"PLAR 6051 - 580 g/m²"</f>
        <v>PLAR 6051 - 580 g/m²</v>
      </c>
      <c r="I863" s="6" t="str">
        <f>"204546"</f>
        <v>204546</v>
      </c>
      <c r="J863" s="6" t="str">
        <f>"AZUL 4546"</f>
        <v>AZUL 4546</v>
      </c>
      <c r="K863" s="6" t="str">
        <f>"1020"</f>
        <v>1020</v>
      </c>
      <c r="L863" s="6" t="str">
        <f>"Toalhas"</f>
        <v>Toalhas</v>
      </c>
      <c r="M863" s="6" t="str">
        <f>"50x90"</f>
        <v>50x90</v>
      </c>
      <c r="N863" s="6" t="str">
        <f t="shared" ref="N863:N889" si="248">" "</f>
        <v xml:space="preserve"> </v>
      </c>
      <c r="O863" s="8">
        <v>700</v>
      </c>
      <c r="P863" s="7">
        <v>46063</v>
      </c>
      <c r="R863" s="8">
        <v>0</v>
      </c>
      <c r="S863" s="7">
        <v>46066</v>
      </c>
      <c r="U863" s="8">
        <v>0</v>
      </c>
      <c r="V863" s="7">
        <v>46073</v>
      </c>
      <c r="X863" s="8">
        <v>0</v>
      </c>
      <c r="Z863" s="8">
        <v>0</v>
      </c>
      <c r="AA863" s="7">
        <v>46085</v>
      </c>
      <c r="AC863" s="8">
        <v>0</v>
      </c>
      <c r="AE863" s="7">
        <v>46087</v>
      </c>
      <c r="AF863" s="8">
        <v>0</v>
      </c>
      <c r="AH863" s="7">
        <v>46080</v>
      </c>
      <c r="AN863" s="8">
        <v>0</v>
      </c>
      <c r="AO863" s="8">
        <v>700</v>
      </c>
    </row>
    <row r="864" spans="1:41" x14ac:dyDescent="0.25">
      <c r="A864" s="6" t="str">
        <f>"521-2025000790"</f>
        <v>521-2025000790</v>
      </c>
      <c r="B864" s="6" t="str">
        <f>"ASHLEY W"</f>
        <v>ASHLEY W</v>
      </c>
      <c r="C864" s="7">
        <v>46008</v>
      </c>
      <c r="D864" s="7">
        <v>46080</v>
      </c>
      <c r="E864" s="8">
        <v>11</v>
      </c>
      <c r="F864" s="6" t="str">
        <f>"P37068 - WM"</f>
        <v>P37068 - WM</v>
      </c>
      <c r="G864" s="6" t="str">
        <f>"F310617458000000"</f>
        <v>F310617458000000</v>
      </c>
      <c r="H864" s="6" t="str">
        <f>"PLAR 6174 - 580 g/m²"</f>
        <v>PLAR 6174 - 580 g/m²</v>
      </c>
      <c r="I864" s="6" t="str">
        <f>"204439"</f>
        <v>204439</v>
      </c>
      <c r="J864" s="6" t="str">
        <f>"AZUL 4439"</f>
        <v>AZUL 4439</v>
      </c>
      <c r="K864" s="6" t="str">
        <f>"2020"</f>
        <v>2020</v>
      </c>
      <c r="L864" s="6" t="str">
        <f>"Lençóis"</f>
        <v>Lençóis</v>
      </c>
      <c r="M864" s="6" t="str">
        <f>"100x150"</f>
        <v>100x150</v>
      </c>
      <c r="N864" s="6" t="str">
        <f t="shared" si="248"/>
        <v xml:space="preserve"> </v>
      </c>
      <c r="O864" s="8">
        <v>200</v>
      </c>
      <c r="P864" s="7">
        <v>46063</v>
      </c>
      <c r="R864" s="8">
        <v>0</v>
      </c>
      <c r="S864" s="7">
        <v>46066</v>
      </c>
      <c r="U864" s="8">
        <v>0</v>
      </c>
      <c r="V864" s="7">
        <v>46073</v>
      </c>
      <c r="X864" s="8">
        <v>0</v>
      </c>
      <c r="Z864" s="8">
        <v>0</v>
      </c>
      <c r="AA864" s="7">
        <v>46085</v>
      </c>
      <c r="AC864" s="8">
        <v>0</v>
      </c>
      <c r="AE864" s="7">
        <v>46087</v>
      </c>
      <c r="AF864" s="8">
        <v>0</v>
      </c>
      <c r="AH864" s="7">
        <v>46080</v>
      </c>
      <c r="AN864" s="8">
        <v>0</v>
      </c>
      <c r="AO864" s="8">
        <v>200</v>
      </c>
    </row>
    <row r="865" spans="1:41" x14ac:dyDescent="0.25">
      <c r="A865" s="6" t="str">
        <f>"521-2025000790"</f>
        <v>521-2025000790</v>
      </c>
      <c r="B865" s="6" t="str">
        <f>"ASHLEY W"</f>
        <v>ASHLEY W</v>
      </c>
      <c r="C865" s="7">
        <v>46008</v>
      </c>
      <c r="D865" s="7">
        <v>46080</v>
      </c>
      <c r="E865" s="8">
        <v>12</v>
      </c>
      <c r="F865" s="6" t="str">
        <f>"P37068 - WM"</f>
        <v>P37068 - WM</v>
      </c>
      <c r="G865" s="6" t="str">
        <f>"F310617495000000"</f>
        <v>F310617495000000</v>
      </c>
      <c r="H865" s="6" t="str">
        <f>"PLAR 6174 TA - 950 g"</f>
        <v>PLAR 6174 TA - 950 g</v>
      </c>
      <c r="I865" s="6" t="str">
        <f>"204439"</f>
        <v>204439</v>
      </c>
      <c r="J865" s="6" t="str">
        <f>"AZUL 4439"</f>
        <v>AZUL 4439</v>
      </c>
      <c r="K865" s="6" t="str">
        <f>"3026"</f>
        <v>3026</v>
      </c>
      <c r="L865" s="6" t="str">
        <f>"Tapetes"</f>
        <v>Tapetes</v>
      </c>
      <c r="M865" s="6" t="str">
        <f>"50x90"</f>
        <v>50x90</v>
      </c>
      <c r="N865" s="6" t="str">
        <f t="shared" si="248"/>
        <v xml:space="preserve"> </v>
      </c>
      <c r="O865" s="8">
        <v>500</v>
      </c>
      <c r="P865" s="7">
        <v>46063</v>
      </c>
      <c r="R865" s="8">
        <v>0</v>
      </c>
      <c r="S865" s="7">
        <v>46066</v>
      </c>
      <c r="U865" s="8">
        <v>0</v>
      </c>
      <c r="V865" s="7">
        <v>46073</v>
      </c>
      <c r="X865" s="8">
        <v>0</v>
      </c>
      <c r="Z865" s="8">
        <v>0</v>
      </c>
      <c r="AA865" s="7">
        <v>46085</v>
      </c>
      <c r="AC865" s="8">
        <v>0</v>
      </c>
      <c r="AE865" s="7">
        <v>46087</v>
      </c>
      <c r="AF865" s="8">
        <v>0</v>
      </c>
      <c r="AH865" s="7">
        <v>46080</v>
      </c>
      <c r="AN865" s="8">
        <v>0</v>
      </c>
      <c r="AO865" s="8">
        <v>500</v>
      </c>
    </row>
    <row r="866" spans="1:41" x14ac:dyDescent="0.25">
      <c r="A866" s="6" t="str">
        <f t="shared" ref="A866:A873" si="249">"521-2025000791"</f>
        <v>521-2025000791</v>
      </c>
      <c r="B866" s="6" t="str">
        <f t="shared" ref="B866:B873" si="250">"DUSEN DU"</f>
        <v>DUSEN DU</v>
      </c>
      <c r="C866" s="7">
        <v>46008</v>
      </c>
      <c r="D866" s="7">
        <v>46115</v>
      </c>
      <c r="E866" s="8">
        <v>6</v>
      </c>
      <c r="F866" s="6" t="str">
        <f t="shared" ref="F866:F873" si="251">"DD26LS3"</f>
        <v>DD26LS3</v>
      </c>
      <c r="G866" s="6" t="str">
        <f>"F320121770000000"</f>
        <v>F320121770000000</v>
      </c>
      <c r="H866" s="6" t="str">
        <f>"PL P 1217 - 700 g/m²"</f>
        <v>PL P 1217 - 700 g/m²</v>
      </c>
      <c r="I866" s="6" t="str">
        <f>"202085"</f>
        <v>202085</v>
      </c>
      <c r="J866" s="6" t="str">
        <f>"VERMELHO 2085"</f>
        <v>VERMELHO 2085</v>
      </c>
      <c r="K866" s="6" t="str">
        <f>"1670"</f>
        <v>1670</v>
      </c>
      <c r="L866" s="6" t="str">
        <f>"Toalhões"</f>
        <v>Toalhões</v>
      </c>
      <c r="M866" s="6" t="str">
        <f>"140x76"</f>
        <v>140x76</v>
      </c>
      <c r="N866" s="6" t="str">
        <f t="shared" si="248"/>
        <v xml:space="preserve"> </v>
      </c>
      <c r="O866" s="8">
        <v>1050</v>
      </c>
      <c r="P866" s="7">
        <v>46086</v>
      </c>
      <c r="R866" s="8">
        <v>0</v>
      </c>
      <c r="S866" s="7">
        <v>46091</v>
      </c>
      <c r="U866" s="8">
        <v>0</v>
      </c>
      <c r="V866" s="7">
        <v>46098</v>
      </c>
      <c r="X866" s="8">
        <v>0</v>
      </c>
      <c r="Z866" s="8">
        <v>0</v>
      </c>
      <c r="AA866" s="7">
        <v>46112</v>
      </c>
      <c r="AC866" s="8">
        <v>0</v>
      </c>
      <c r="AE866" s="7">
        <v>46118</v>
      </c>
      <c r="AF866" s="8">
        <v>0</v>
      </c>
      <c r="AH866" s="7">
        <v>46115</v>
      </c>
      <c r="AN866" s="8">
        <v>0</v>
      </c>
      <c r="AO866" s="8">
        <v>1050</v>
      </c>
    </row>
    <row r="867" spans="1:41" x14ac:dyDescent="0.25">
      <c r="A867" s="6" t="str">
        <f t="shared" si="249"/>
        <v>521-2025000791</v>
      </c>
      <c r="B867" s="6" t="str">
        <f t="shared" si="250"/>
        <v>DUSEN DU</v>
      </c>
      <c r="C867" s="7">
        <v>46008</v>
      </c>
      <c r="D867" s="7">
        <v>46115</v>
      </c>
      <c r="E867" s="8">
        <v>7</v>
      </c>
      <c r="F867" s="6" t="str">
        <f t="shared" si="251"/>
        <v>DD26LS3</v>
      </c>
      <c r="G867" s="6" t="str">
        <f>"F320121770000000"</f>
        <v>F320121770000000</v>
      </c>
      <c r="H867" s="6" t="str">
        <f>"PL P 1217 - 700 g/m²"</f>
        <v>PL P 1217 - 700 g/m²</v>
      </c>
      <c r="I867" s="6" t="str">
        <f>"201336"</f>
        <v>201336</v>
      </c>
      <c r="J867" s="6" t="str">
        <f>"AZUL 1336"</f>
        <v>AZUL 1336</v>
      </c>
      <c r="K867" s="6" t="str">
        <f>"1670"</f>
        <v>1670</v>
      </c>
      <c r="L867" s="6" t="str">
        <f>"Toalhões"</f>
        <v>Toalhões</v>
      </c>
      <c r="M867" s="6" t="str">
        <f>"140x76"</f>
        <v>140x76</v>
      </c>
      <c r="N867" s="6" t="str">
        <f t="shared" si="248"/>
        <v xml:space="preserve"> </v>
      </c>
      <c r="O867" s="8">
        <v>1050</v>
      </c>
      <c r="P867" s="7">
        <v>46086</v>
      </c>
      <c r="R867" s="8">
        <v>0</v>
      </c>
      <c r="S867" s="7">
        <v>46091</v>
      </c>
      <c r="U867" s="8">
        <v>0</v>
      </c>
      <c r="V867" s="7">
        <v>46098</v>
      </c>
      <c r="X867" s="8">
        <v>0</v>
      </c>
      <c r="Z867" s="8">
        <v>0</v>
      </c>
      <c r="AA867" s="7">
        <v>46112</v>
      </c>
      <c r="AC867" s="8">
        <v>0</v>
      </c>
      <c r="AE867" s="7">
        <v>46118</v>
      </c>
      <c r="AF867" s="8">
        <v>0</v>
      </c>
      <c r="AH867" s="7">
        <v>46115</v>
      </c>
      <c r="AN867" s="8">
        <v>0</v>
      </c>
      <c r="AO867" s="8">
        <v>1050</v>
      </c>
    </row>
    <row r="868" spans="1:41" x14ac:dyDescent="0.25">
      <c r="A868" s="6" t="str">
        <f t="shared" si="249"/>
        <v>521-2025000791</v>
      </c>
      <c r="B868" s="6" t="str">
        <f t="shared" si="250"/>
        <v>DUSEN DU</v>
      </c>
      <c r="C868" s="7">
        <v>46008</v>
      </c>
      <c r="D868" s="7">
        <v>46115</v>
      </c>
      <c r="E868" s="8">
        <v>8</v>
      </c>
      <c r="F868" s="6" t="str">
        <f t="shared" si="251"/>
        <v>DD26LS3</v>
      </c>
      <c r="G868" s="6" t="str">
        <f>"F320121670000000"</f>
        <v>F320121670000000</v>
      </c>
      <c r="H868" s="6" t="str">
        <f>"PL P 1216 - 700 g/m²"</f>
        <v>PL P 1216 - 700 g/m²</v>
      </c>
      <c r="I868" s="6" t="str">
        <f>"204888"</f>
        <v>204888</v>
      </c>
      <c r="J868" s="6" t="str">
        <f>"ROSA 4888"</f>
        <v>ROSA 4888</v>
      </c>
      <c r="K868" s="6" t="str">
        <f>"1080"</f>
        <v>1080</v>
      </c>
      <c r="L868" s="6" t="str">
        <f>"Toalhas"</f>
        <v>Toalhas</v>
      </c>
      <c r="M868" s="6" t="str">
        <f>"76x50"</f>
        <v>76x50</v>
      </c>
      <c r="N868" s="6" t="str">
        <f t="shared" si="248"/>
        <v xml:space="preserve"> </v>
      </c>
      <c r="O868" s="8">
        <v>1100</v>
      </c>
      <c r="P868" s="7">
        <v>46086</v>
      </c>
      <c r="R868" s="8">
        <v>0</v>
      </c>
      <c r="S868" s="7">
        <v>46091</v>
      </c>
      <c r="U868" s="8">
        <v>0</v>
      </c>
      <c r="V868" s="7">
        <v>46098</v>
      </c>
      <c r="X868" s="8">
        <v>0</v>
      </c>
      <c r="Z868" s="8">
        <v>0</v>
      </c>
      <c r="AA868" s="7">
        <v>46112</v>
      </c>
      <c r="AC868" s="8">
        <v>0</v>
      </c>
      <c r="AE868" s="7">
        <v>46118</v>
      </c>
      <c r="AF868" s="8">
        <v>0</v>
      </c>
      <c r="AH868" s="7">
        <v>46115</v>
      </c>
      <c r="AN868" s="8">
        <v>0</v>
      </c>
      <c r="AO868" s="8">
        <v>1100</v>
      </c>
    </row>
    <row r="869" spans="1:41" x14ac:dyDescent="0.25">
      <c r="A869" s="6" t="str">
        <f t="shared" si="249"/>
        <v>521-2025000791</v>
      </c>
      <c r="B869" s="6" t="str">
        <f t="shared" si="250"/>
        <v>DUSEN DU</v>
      </c>
      <c r="C869" s="7">
        <v>46008</v>
      </c>
      <c r="D869" s="7">
        <v>46115</v>
      </c>
      <c r="E869" s="8">
        <v>9</v>
      </c>
      <c r="F869" s="6" t="str">
        <f t="shared" si="251"/>
        <v>DD26LS3</v>
      </c>
      <c r="G869" s="6" t="str">
        <f>"F320121670000000"</f>
        <v>F320121670000000</v>
      </c>
      <c r="H869" s="6" t="str">
        <f>"PL P 1216 - 700 g/m²"</f>
        <v>PL P 1216 - 700 g/m²</v>
      </c>
      <c r="I869" s="6" t="str">
        <f>"202962"</f>
        <v>202962</v>
      </c>
      <c r="J869" s="6" t="str">
        <f>"AMARELO 2962"</f>
        <v>AMARELO 2962</v>
      </c>
      <c r="K869" s="6" t="str">
        <f>"1080"</f>
        <v>1080</v>
      </c>
      <c r="L869" s="6" t="str">
        <f>"Toalhas"</f>
        <v>Toalhas</v>
      </c>
      <c r="M869" s="6" t="str">
        <f>"76x50"</f>
        <v>76x50</v>
      </c>
      <c r="N869" s="6" t="str">
        <f t="shared" si="248"/>
        <v xml:space="preserve"> </v>
      </c>
      <c r="O869" s="8">
        <v>900</v>
      </c>
      <c r="P869" s="7">
        <v>46086</v>
      </c>
      <c r="R869" s="8">
        <v>0</v>
      </c>
      <c r="S869" s="7">
        <v>46091</v>
      </c>
      <c r="U869" s="8">
        <v>0</v>
      </c>
      <c r="V869" s="7">
        <v>46098</v>
      </c>
      <c r="X869" s="8">
        <v>0</v>
      </c>
      <c r="Z869" s="8">
        <v>0</v>
      </c>
      <c r="AA869" s="7">
        <v>46112</v>
      </c>
      <c r="AC869" s="8">
        <v>0</v>
      </c>
      <c r="AE869" s="7">
        <v>46118</v>
      </c>
      <c r="AF869" s="8">
        <v>0</v>
      </c>
      <c r="AH869" s="7">
        <v>46115</v>
      </c>
      <c r="AN869" s="8">
        <v>0</v>
      </c>
      <c r="AO869" s="8">
        <v>900</v>
      </c>
    </row>
    <row r="870" spans="1:41" x14ac:dyDescent="0.25">
      <c r="A870" s="6" t="str">
        <f t="shared" si="249"/>
        <v>521-2025000791</v>
      </c>
      <c r="B870" s="6" t="str">
        <f t="shared" si="250"/>
        <v>DUSEN DU</v>
      </c>
      <c r="C870" s="7">
        <v>46008</v>
      </c>
      <c r="D870" s="7">
        <v>46115</v>
      </c>
      <c r="E870" s="8">
        <v>10</v>
      </c>
      <c r="F870" s="6" t="str">
        <f t="shared" si="251"/>
        <v>DD26LS3</v>
      </c>
      <c r="G870" s="6" t="str">
        <f>"F320121560000000"</f>
        <v>F320121560000000</v>
      </c>
      <c r="H870" s="6" t="str">
        <f>"PL P 1215 - 600 g/m²"</f>
        <v>PL P 1215 - 600 g/m²</v>
      </c>
      <c r="I870" s="6" t="str">
        <f>"204887"</f>
        <v>204887</v>
      </c>
      <c r="J870" s="6" t="str">
        <f>"BORDEAUX 4887"</f>
        <v>BORDEAUX 4887</v>
      </c>
      <c r="K870" s="6" t="str">
        <f>"0330"</f>
        <v>0330</v>
      </c>
      <c r="L870" s="6" t="str">
        <f>"Panos"</f>
        <v>Panos</v>
      </c>
      <c r="M870" s="6" t="str">
        <f>"33x33"</f>
        <v>33x33</v>
      </c>
      <c r="N870" s="6" t="str">
        <f t="shared" si="248"/>
        <v xml:space="preserve"> </v>
      </c>
      <c r="O870" s="8">
        <v>1300</v>
      </c>
      <c r="P870" s="7">
        <v>46086</v>
      </c>
      <c r="R870" s="8">
        <v>0</v>
      </c>
      <c r="S870" s="7">
        <v>46091</v>
      </c>
      <c r="U870" s="8">
        <v>0</v>
      </c>
      <c r="V870" s="7">
        <v>46098</v>
      </c>
      <c r="X870" s="8">
        <v>0</v>
      </c>
      <c r="Z870" s="8">
        <v>0</v>
      </c>
      <c r="AA870" s="7">
        <v>46112</v>
      </c>
      <c r="AC870" s="8">
        <v>0</v>
      </c>
      <c r="AE870" s="7">
        <v>46118</v>
      </c>
      <c r="AF870" s="8">
        <v>0</v>
      </c>
      <c r="AH870" s="7">
        <v>46115</v>
      </c>
      <c r="AN870" s="8">
        <v>0</v>
      </c>
      <c r="AO870" s="8">
        <v>1300</v>
      </c>
    </row>
    <row r="871" spans="1:41" x14ac:dyDescent="0.25">
      <c r="A871" s="6" t="str">
        <f t="shared" si="249"/>
        <v>521-2025000791</v>
      </c>
      <c r="B871" s="6" t="str">
        <f t="shared" si="250"/>
        <v>DUSEN DU</v>
      </c>
      <c r="C871" s="7">
        <v>46008</v>
      </c>
      <c r="D871" s="7">
        <v>46115</v>
      </c>
      <c r="E871" s="8">
        <v>11</v>
      </c>
      <c r="F871" s="6" t="str">
        <f t="shared" si="251"/>
        <v>DD26LS3</v>
      </c>
      <c r="G871" s="6" t="str">
        <f>"F370035112000000"</f>
        <v>F370035112000000</v>
      </c>
      <c r="H871" s="6" t="str">
        <f>"TA 351 FD - 1200 g/m"</f>
        <v>TA 351 FD - 1200 g/m</v>
      </c>
      <c r="I871" s="6" t="str">
        <f>"201336"</f>
        <v>201336</v>
      </c>
      <c r="J871" s="6" t="str">
        <f>"AZUL 1336"</f>
        <v>AZUL 1336</v>
      </c>
      <c r="K871" s="6" t="str">
        <f>"3080"</f>
        <v>3080</v>
      </c>
      <c r="L871" s="6" t="str">
        <f>"Tapetes"</f>
        <v>Tapetes</v>
      </c>
      <c r="M871" s="6" t="str">
        <f>"76x50"</f>
        <v>76x50</v>
      </c>
      <c r="N871" s="6" t="str">
        <f t="shared" si="248"/>
        <v xml:space="preserve"> </v>
      </c>
      <c r="O871" s="8">
        <v>1100</v>
      </c>
      <c r="P871" s="7">
        <v>46086</v>
      </c>
      <c r="R871" s="8">
        <v>0</v>
      </c>
      <c r="S871" s="7">
        <v>46091</v>
      </c>
      <c r="U871" s="8">
        <v>0</v>
      </c>
      <c r="V871" s="7">
        <v>46098</v>
      </c>
      <c r="X871" s="8">
        <v>0</v>
      </c>
      <c r="Z871" s="8">
        <v>0</v>
      </c>
      <c r="AA871" s="7">
        <v>46112</v>
      </c>
      <c r="AC871" s="8">
        <v>0</v>
      </c>
      <c r="AE871" s="7">
        <v>46118</v>
      </c>
      <c r="AF871" s="8">
        <v>0</v>
      </c>
      <c r="AH871" s="7">
        <v>46115</v>
      </c>
      <c r="AN871" s="8">
        <v>0</v>
      </c>
      <c r="AO871" s="8">
        <v>1100</v>
      </c>
    </row>
    <row r="872" spans="1:41" x14ac:dyDescent="0.25">
      <c r="A872" s="6" t="str">
        <f t="shared" si="249"/>
        <v>521-2025000791</v>
      </c>
      <c r="B872" s="6" t="str">
        <f t="shared" si="250"/>
        <v>DUSEN DU</v>
      </c>
      <c r="C872" s="7">
        <v>46008</v>
      </c>
      <c r="D872" s="7">
        <v>46115</v>
      </c>
      <c r="E872" s="8">
        <v>12</v>
      </c>
      <c r="F872" s="6" t="str">
        <f t="shared" si="251"/>
        <v>DD26LS3</v>
      </c>
      <c r="G872" s="6" t="str">
        <f>"J320121670000000"</f>
        <v>J320121670000000</v>
      </c>
      <c r="H872" s="6" t="str">
        <f>"Conj. PL P 1216 + PL"</f>
        <v>Conj. PL P 1216 + PL</v>
      </c>
      <c r="I872" s="6" t="str">
        <f>"300001"</f>
        <v>300001</v>
      </c>
      <c r="J872" s="6" t="str">
        <f>"SORTIDAS 1"</f>
        <v>SORTIDAS 1</v>
      </c>
      <c r="K872" s="6" t="str">
        <f>"4015"</f>
        <v>4015</v>
      </c>
      <c r="L872" s="6" t="str">
        <f>"Conjunto/Jogos"</f>
        <v>Conjunto/Jogos</v>
      </c>
      <c r="M872" s="6" t="str">
        <f>"(3 Pcs)"</f>
        <v>(3 Pcs)</v>
      </c>
      <c r="N872" s="6" t="str">
        <f t="shared" si="248"/>
        <v xml:space="preserve"> </v>
      </c>
      <c r="O872" s="8">
        <v>125</v>
      </c>
      <c r="P872" s="7">
        <v>46086</v>
      </c>
      <c r="R872" s="8">
        <v>0</v>
      </c>
      <c r="S872" s="7">
        <v>46091</v>
      </c>
      <c r="U872" s="8">
        <v>0</v>
      </c>
      <c r="V872" s="7">
        <v>46098</v>
      </c>
      <c r="X872" s="8">
        <v>0</v>
      </c>
      <c r="Z872" s="8">
        <v>0</v>
      </c>
      <c r="AA872" s="7">
        <v>46112</v>
      </c>
      <c r="AC872" s="8">
        <v>0</v>
      </c>
      <c r="AE872" s="7">
        <v>46118</v>
      </c>
      <c r="AF872" s="8">
        <v>0</v>
      </c>
      <c r="AH872" s="7">
        <v>46115</v>
      </c>
      <c r="AN872" s="8">
        <v>0</v>
      </c>
      <c r="AO872" s="8">
        <v>125</v>
      </c>
    </row>
    <row r="873" spans="1:41" x14ac:dyDescent="0.25">
      <c r="A873" s="6" t="str">
        <f t="shared" si="249"/>
        <v>521-2025000791</v>
      </c>
      <c r="B873" s="6" t="str">
        <f t="shared" si="250"/>
        <v>DUSEN DU</v>
      </c>
      <c r="C873" s="7">
        <v>46008</v>
      </c>
      <c r="D873" s="7">
        <v>46115</v>
      </c>
      <c r="E873" s="8">
        <v>13</v>
      </c>
      <c r="F873" s="6" t="str">
        <f t="shared" si="251"/>
        <v>DD26LS3</v>
      </c>
      <c r="G873" s="6" t="str">
        <f>"J320121770000000"</f>
        <v>J320121770000000</v>
      </c>
      <c r="H873" s="6" t="str">
        <f>"Conj. PL P 1217 + PL"</f>
        <v>Conj. PL P 1217 + PL</v>
      </c>
      <c r="I873" s="6" t="str">
        <f>"300001"</f>
        <v>300001</v>
      </c>
      <c r="J873" s="6" t="str">
        <f>"SORTIDAS 1"</f>
        <v>SORTIDAS 1</v>
      </c>
      <c r="K873" s="6" t="str">
        <f>"4018"</f>
        <v>4018</v>
      </c>
      <c r="L873" s="6" t="str">
        <f>"Conjunto/Jogos"</f>
        <v>Conjunto/Jogos</v>
      </c>
      <c r="M873" s="6" t="str">
        <f>"(5 Pcs)"</f>
        <v>(5 Pcs)</v>
      </c>
      <c r="N873" s="6" t="str">
        <f t="shared" si="248"/>
        <v xml:space="preserve"> </v>
      </c>
      <c r="O873" s="8">
        <v>900</v>
      </c>
      <c r="P873" s="7">
        <v>46086</v>
      </c>
      <c r="R873" s="8">
        <v>0</v>
      </c>
      <c r="S873" s="7">
        <v>46091</v>
      </c>
      <c r="U873" s="8">
        <v>0</v>
      </c>
      <c r="V873" s="7">
        <v>46098</v>
      </c>
      <c r="X873" s="8">
        <v>0</v>
      </c>
      <c r="Z873" s="8">
        <v>0</v>
      </c>
      <c r="AA873" s="7">
        <v>46112</v>
      </c>
      <c r="AC873" s="8">
        <v>0</v>
      </c>
      <c r="AE873" s="7">
        <v>46118</v>
      </c>
      <c r="AF873" s="8">
        <v>0</v>
      </c>
      <c r="AH873" s="7">
        <v>46115</v>
      </c>
      <c r="AN873" s="8">
        <v>0</v>
      </c>
      <c r="AO873" s="8">
        <v>900</v>
      </c>
    </row>
    <row r="874" spans="1:41" x14ac:dyDescent="0.25">
      <c r="A874" s="6" t="str">
        <f>"521-2025000792"</f>
        <v>521-2025000792</v>
      </c>
      <c r="B874" s="6" t="str">
        <f>"TARTA GE"</f>
        <v>TARTA GE</v>
      </c>
      <c r="C874" s="7">
        <v>46008</v>
      </c>
      <c r="D874" s="7">
        <v>46094</v>
      </c>
      <c r="E874" s="8">
        <v>2</v>
      </c>
      <c r="F874" s="6" t="str">
        <f>"O250069"</f>
        <v>O250069</v>
      </c>
      <c r="G874" s="6" t="str">
        <f>"F310586960000000"</f>
        <v>F310586960000000</v>
      </c>
      <c r="H874" s="6" t="str">
        <f>"PLAR 5869 - 600 g/m²"</f>
        <v>PLAR 5869 - 600 g/m²</v>
      </c>
      <c r="I874" s="6" t="str">
        <f>"204203"</f>
        <v>204203</v>
      </c>
      <c r="J874" s="6" t="str">
        <f>"VERDE 4203"</f>
        <v>VERDE 4203</v>
      </c>
      <c r="K874" s="6" t="str">
        <f>"1008"</f>
        <v>1008</v>
      </c>
      <c r="L874" s="6" t="str">
        <f>"Toalhas"</f>
        <v>Toalhas</v>
      </c>
      <c r="M874" s="6" t="str">
        <f>"50x70"</f>
        <v>50x70</v>
      </c>
      <c r="N874" s="6" t="str">
        <f t="shared" si="248"/>
        <v xml:space="preserve"> </v>
      </c>
      <c r="O874" s="8">
        <v>800</v>
      </c>
      <c r="P874" s="7">
        <v>46072</v>
      </c>
      <c r="R874" s="8">
        <v>828</v>
      </c>
      <c r="S874" s="7">
        <v>46077</v>
      </c>
      <c r="U874" s="8">
        <v>0</v>
      </c>
      <c r="V874" s="7">
        <v>46080</v>
      </c>
      <c r="X874" s="8">
        <v>0</v>
      </c>
      <c r="Z874" s="8">
        <v>0</v>
      </c>
      <c r="AA874" s="7">
        <v>46092</v>
      </c>
      <c r="AC874" s="8">
        <v>0</v>
      </c>
      <c r="AE874" s="7">
        <v>46094</v>
      </c>
      <c r="AF874" s="8">
        <v>0</v>
      </c>
      <c r="AH874" s="7">
        <v>46094</v>
      </c>
      <c r="AN874" s="8">
        <v>0</v>
      </c>
      <c r="AO874" s="8">
        <v>800</v>
      </c>
    </row>
    <row r="875" spans="1:41" x14ac:dyDescent="0.25">
      <c r="A875" s="6" t="str">
        <f>"521-2025000792"</f>
        <v>521-2025000792</v>
      </c>
      <c r="B875" s="6" t="str">
        <f>"TARTA GE"</f>
        <v>TARTA GE</v>
      </c>
      <c r="C875" s="7">
        <v>46008</v>
      </c>
      <c r="D875" s="7">
        <v>46094</v>
      </c>
      <c r="E875" s="8">
        <v>3</v>
      </c>
      <c r="F875" s="6" t="str">
        <f>"O250069"</f>
        <v>O250069</v>
      </c>
      <c r="G875" s="6" t="str">
        <f>"F310586960000000"</f>
        <v>F310586960000000</v>
      </c>
      <c r="H875" s="6" t="str">
        <f>"PLAR 5869 - 600 g/m²"</f>
        <v>PLAR 5869 - 600 g/m²</v>
      </c>
      <c r="I875" s="6" t="str">
        <f>"204203"</f>
        <v>204203</v>
      </c>
      <c r="J875" s="6" t="str">
        <f>"VERDE 4203"</f>
        <v>VERDE 4203</v>
      </c>
      <c r="K875" s="6" t="str">
        <f>"1535"</f>
        <v>1535</v>
      </c>
      <c r="L875" s="6" t="str">
        <f>"Toalhões"</f>
        <v>Toalhões</v>
      </c>
      <c r="M875" s="6" t="str">
        <f>"70x140"</f>
        <v>70x140</v>
      </c>
      <c r="N875" s="6" t="str">
        <f t="shared" si="248"/>
        <v xml:space="preserve"> </v>
      </c>
      <c r="O875" s="8">
        <v>500</v>
      </c>
      <c r="P875" s="7">
        <v>46072</v>
      </c>
      <c r="R875" s="8">
        <v>516</v>
      </c>
      <c r="S875" s="7">
        <v>46077</v>
      </c>
      <c r="U875" s="8">
        <v>0</v>
      </c>
      <c r="V875" s="7">
        <v>46080</v>
      </c>
      <c r="X875" s="8">
        <v>0</v>
      </c>
      <c r="Z875" s="8">
        <v>0</v>
      </c>
      <c r="AA875" s="7">
        <v>46092</v>
      </c>
      <c r="AC875" s="8">
        <v>0</v>
      </c>
      <c r="AE875" s="7">
        <v>46094</v>
      </c>
      <c r="AF875" s="8">
        <v>0</v>
      </c>
      <c r="AH875" s="7">
        <v>46094</v>
      </c>
      <c r="AN875" s="8">
        <v>0</v>
      </c>
      <c r="AO875" s="8">
        <v>500</v>
      </c>
    </row>
    <row r="876" spans="1:41" x14ac:dyDescent="0.25">
      <c r="A876" s="6" t="str">
        <f>"521-2025000792"</f>
        <v>521-2025000792</v>
      </c>
      <c r="B876" s="6" t="str">
        <f>"TARTA GE"</f>
        <v>TARTA GE</v>
      </c>
      <c r="C876" s="7">
        <v>46008</v>
      </c>
      <c r="D876" s="7">
        <v>46094</v>
      </c>
      <c r="E876" s="8">
        <v>4</v>
      </c>
      <c r="F876" s="6" t="str">
        <f>"O250069"</f>
        <v>O250069</v>
      </c>
      <c r="G876" s="6" t="str">
        <f>"F310587060000000"</f>
        <v>F310587060000000</v>
      </c>
      <c r="H876" s="6" t="str">
        <f>"PLAR 5870 - 600 g/m²"</f>
        <v>PLAR 5870 - 600 g/m²</v>
      </c>
      <c r="I876" s="6" t="str">
        <f>"200980"</f>
        <v>200980</v>
      </c>
      <c r="J876" s="6" t="str">
        <f>"PESSEGO 980"</f>
        <v>PESSEGO 980</v>
      </c>
      <c r="K876" s="6" t="str">
        <f>"1535"</f>
        <v>1535</v>
      </c>
      <c r="L876" s="6" t="str">
        <f>"Toalhões"</f>
        <v>Toalhões</v>
      </c>
      <c r="M876" s="6" t="str">
        <f>"70x140"</f>
        <v>70x140</v>
      </c>
      <c r="N876" s="6" t="str">
        <f t="shared" si="248"/>
        <v xml:space="preserve"> </v>
      </c>
      <c r="O876" s="8">
        <v>500</v>
      </c>
      <c r="P876" s="7">
        <v>46072</v>
      </c>
      <c r="R876" s="8">
        <v>543</v>
      </c>
      <c r="S876" s="7">
        <v>46077</v>
      </c>
      <c r="U876" s="8">
        <v>0</v>
      </c>
      <c r="V876" s="7">
        <v>46080</v>
      </c>
      <c r="X876" s="8">
        <v>0</v>
      </c>
      <c r="Z876" s="8">
        <v>0</v>
      </c>
      <c r="AA876" s="7">
        <v>46092</v>
      </c>
      <c r="AC876" s="8">
        <v>0</v>
      </c>
      <c r="AE876" s="7">
        <v>46094</v>
      </c>
      <c r="AF876" s="8">
        <v>0</v>
      </c>
      <c r="AH876" s="7">
        <v>46094</v>
      </c>
      <c r="AN876" s="8">
        <v>0</v>
      </c>
      <c r="AO876" s="8">
        <v>500</v>
      </c>
    </row>
    <row r="877" spans="1:41" x14ac:dyDescent="0.25">
      <c r="A877" s="6" t="str">
        <f>"521-2025000792"</f>
        <v>521-2025000792</v>
      </c>
      <c r="B877" s="6" t="str">
        <f>"TARTA GE"</f>
        <v>TARTA GE</v>
      </c>
      <c r="C877" s="7">
        <v>46008</v>
      </c>
      <c r="D877" s="7">
        <v>46094</v>
      </c>
      <c r="E877" s="8">
        <v>5</v>
      </c>
      <c r="F877" s="6" t="str">
        <f>"O250069"</f>
        <v>O250069</v>
      </c>
      <c r="G877" s="6" t="str">
        <f>"F310587060000000"</f>
        <v>F310587060000000</v>
      </c>
      <c r="H877" s="6" t="str">
        <f>"PLAR 5870 - 600 g/m²"</f>
        <v>PLAR 5870 - 600 g/m²</v>
      </c>
      <c r="I877" s="6" t="str">
        <f>"200980"</f>
        <v>200980</v>
      </c>
      <c r="J877" s="6" t="str">
        <f>"PESSEGO 980"</f>
        <v>PESSEGO 980</v>
      </c>
      <c r="K877" s="6" t="str">
        <f>"1008"</f>
        <v>1008</v>
      </c>
      <c r="L877" s="6" t="str">
        <f>"Toalhas"</f>
        <v>Toalhas</v>
      </c>
      <c r="M877" s="6" t="str">
        <f>"50x70"</f>
        <v>50x70</v>
      </c>
      <c r="N877" s="6" t="str">
        <f t="shared" si="248"/>
        <v xml:space="preserve"> </v>
      </c>
      <c r="O877" s="8">
        <v>800</v>
      </c>
      <c r="P877" s="7">
        <v>46072</v>
      </c>
      <c r="R877" s="8">
        <v>828</v>
      </c>
      <c r="S877" s="7">
        <v>46077</v>
      </c>
      <c r="U877" s="8">
        <v>0</v>
      </c>
      <c r="V877" s="7">
        <v>46080</v>
      </c>
      <c r="X877" s="8">
        <v>0</v>
      </c>
      <c r="Z877" s="8">
        <v>0</v>
      </c>
      <c r="AA877" s="7">
        <v>46092</v>
      </c>
      <c r="AC877" s="8">
        <v>0</v>
      </c>
      <c r="AE877" s="7">
        <v>46094</v>
      </c>
      <c r="AF877" s="8">
        <v>0</v>
      </c>
      <c r="AH877" s="7">
        <v>46094</v>
      </c>
      <c r="AN877" s="8">
        <v>0</v>
      </c>
      <c r="AO877" s="8">
        <v>800</v>
      </c>
    </row>
    <row r="878" spans="1:41" x14ac:dyDescent="0.25">
      <c r="A878" s="6" t="str">
        <f>"521-2025000793"</f>
        <v>521-2025000793</v>
      </c>
      <c r="B878" s="6" t="str">
        <f>"TARTA GE"</f>
        <v>TARTA GE</v>
      </c>
      <c r="C878" s="7">
        <v>46008</v>
      </c>
      <c r="D878" s="7">
        <v>46094</v>
      </c>
      <c r="E878" s="8">
        <v>7</v>
      </c>
      <c r="F878" s="6" t="str">
        <f>"O250069"</f>
        <v>O250069</v>
      </c>
      <c r="G878" s="6" t="str">
        <f>"K310218160000000"</f>
        <v>K310218160000000</v>
      </c>
      <c r="H878" s="6" t="str">
        <f>"KB 2181 - PLAR 5869"</f>
        <v>KB 2181 - PLAR 5869</v>
      </c>
      <c r="I878" s="6" t="str">
        <f>"204203"</f>
        <v>204203</v>
      </c>
      <c r="J878" s="6" t="str">
        <f>"VERDE 4203"</f>
        <v>VERDE 4203</v>
      </c>
      <c r="K878" s="6" t="str">
        <f>"8000"</f>
        <v>8000</v>
      </c>
      <c r="L878" s="6" t="str">
        <f>"Diversos"</f>
        <v>Diversos</v>
      </c>
      <c r="M878" s="6" t="str">
        <f>"Único"</f>
        <v>Único</v>
      </c>
      <c r="N878" s="6" t="str">
        <f t="shared" si="248"/>
        <v xml:space="preserve"> </v>
      </c>
      <c r="O878" s="8">
        <v>250</v>
      </c>
      <c r="P878" s="7">
        <v>46072</v>
      </c>
      <c r="R878" s="8">
        <v>465</v>
      </c>
      <c r="S878" s="7">
        <v>46077</v>
      </c>
      <c r="U878" s="8">
        <v>0</v>
      </c>
      <c r="V878" s="7">
        <v>46080</v>
      </c>
      <c r="X878" s="8">
        <v>0</v>
      </c>
      <c r="Z878" s="8">
        <v>0</v>
      </c>
      <c r="AA878" s="7">
        <v>46092</v>
      </c>
      <c r="AC878" s="8">
        <v>0</v>
      </c>
      <c r="AE878" s="7">
        <v>46094</v>
      </c>
      <c r="AF878" s="8">
        <v>0</v>
      </c>
      <c r="AH878" s="7">
        <v>46094</v>
      </c>
      <c r="AN878" s="8">
        <v>0</v>
      </c>
      <c r="AO878" s="8">
        <v>250</v>
      </c>
    </row>
    <row r="879" spans="1:41" x14ac:dyDescent="0.25">
      <c r="A879" s="6" t="str">
        <f>"521-2025000794"</f>
        <v>521-2025000794</v>
      </c>
      <c r="B879" s="6" t="str">
        <f>"REEBOK-C"</f>
        <v>REEBOK-C</v>
      </c>
      <c r="C879" s="7">
        <v>46009</v>
      </c>
      <c r="D879" s="7">
        <v>46080</v>
      </c>
      <c r="E879" s="8">
        <v>2</v>
      </c>
      <c r="F879" s="6" t="str">
        <f>"PO 400037517"</f>
        <v>PO 400037517</v>
      </c>
      <c r="G879" s="6" t="str">
        <f>"F330248645000000"</f>
        <v>F330248645000000</v>
      </c>
      <c r="H879" s="6" t="str">
        <f>"PLA 2486 - 450 g/m²"</f>
        <v>PLA 2486 - 450 g/m²</v>
      </c>
      <c r="I879" s="6" t="str">
        <f>"200019"</f>
        <v>200019</v>
      </c>
      <c r="J879" s="6" t="str">
        <f>"PRETO 19"</f>
        <v>PRETO 19</v>
      </c>
      <c r="K879" s="6" t="str">
        <f>"1538"</f>
        <v>1538</v>
      </c>
      <c r="L879" s="6" t="str">
        <f>"Toalhões"</f>
        <v>Toalhões</v>
      </c>
      <c r="M879" s="6" t="str">
        <f>"70x150"</f>
        <v>70x150</v>
      </c>
      <c r="N879" s="6" t="str">
        <f t="shared" si="248"/>
        <v xml:space="preserve"> </v>
      </c>
      <c r="O879" s="8">
        <v>310</v>
      </c>
      <c r="P879" s="7">
        <v>46009</v>
      </c>
      <c r="R879" s="8">
        <v>0</v>
      </c>
      <c r="S879" s="7">
        <v>46014</v>
      </c>
      <c r="U879" s="8">
        <v>0</v>
      </c>
      <c r="V879" s="7">
        <v>46027</v>
      </c>
      <c r="X879" s="8">
        <v>0</v>
      </c>
      <c r="Z879" s="8">
        <v>0</v>
      </c>
      <c r="AA879" s="7">
        <v>46037</v>
      </c>
      <c r="AC879" s="8">
        <v>0</v>
      </c>
      <c r="AE879" s="7">
        <v>46041</v>
      </c>
      <c r="AF879" s="8">
        <v>0</v>
      </c>
      <c r="AH879" s="7">
        <v>46080</v>
      </c>
      <c r="AN879" s="8">
        <v>0</v>
      </c>
      <c r="AO879" s="8">
        <v>310</v>
      </c>
    </row>
    <row r="880" spans="1:41" x14ac:dyDescent="0.25">
      <c r="A880" s="6" t="str">
        <f>"521-2025000795"</f>
        <v>521-2025000795</v>
      </c>
      <c r="B880" s="6" t="str">
        <f>"PETIT BA"</f>
        <v>PETIT BA</v>
      </c>
      <c r="C880" s="7">
        <v>46009</v>
      </c>
      <c r="D880" s="7">
        <v>46094</v>
      </c>
      <c r="E880" s="8">
        <v>4</v>
      </c>
      <c r="F880" s="6" t="str">
        <f>"505872"</f>
        <v>505872</v>
      </c>
      <c r="G880" s="6" t="str">
        <f>"K000000140000001"</f>
        <v>K000000140000001</v>
      </c>
      <c r="H880" s="6" t="str">
        <f>"Ketten Penteado BIO"</f>
        <v>Ketten Penteado BIO</v>
      </c>
      <c r="I880" s="6" t="str">
        <f>"4537"</f>
        <v>4537</v>
      </c>
      <c r="J880" s="6" t="str">
        <f>"BEGE 4537"</f>
        <v>BEGE 4537</v>
      </c>
      <c r="K880" s="6" t="str">
        <f>"2520"</f>
        <v>2520</v>
      </c>
      <c r="L880" s="6" t="str">
        <f>"A Metro"</f>
        <v>A Metro</v>
      </c>
      <c r="M880" s="6" t="str">
        <f>"160x"</f>
        <v>160x</v>
      </c>
      <c r="N880" s="6" t="str">
        <f t="shared" si="248"/>
        <v xml:space="preserve"> </v>
      </c>
      <c r="O880" s="8">
        <v>1000</v>
      </c>
      <c r="P880" s="7">
        <v>46042</v>
      </c>
      <c r="R880" s="8">
        <v>2800</v>
      </c>
      <c r="S880" s="7">
        <v>46062</v>
      </c>
      <c r="U880" s="8">
        <v>1200</v>
      </c>
      <c r="V880" s="7">
        <v>46057</v>
      </c>
      <c r="X880" s="8">
        <v>0</v>
      </c>
      <c r="Z880" s="8">
        <v>0</v>
      </c>
      <c r="AC880" s="8">
        <v>0</v>
      </c>
      <c r="AF880" s="8">
        <v>0</v>
      </c>
      <c r="AH880" s="7">
        <v>46066</v>
      </c>
      <c r="AI880" s="7">
        <v>46066</v>
      </c>
      <c r="AN880" s="8">
        <v>0</v>
      </c>
      <c r="AO880" s="8">
        <v>1000</v>
      </c>
    </row>
    <row r="881" spans="1:41" x14ac:dyDescent="0.25">
      <c r="A881" s="6" t="str">
        <f>"521-2025000796"</f>
        <v>521-2025000796</v>
      </c>
      <c r="B881" s="6" t="str">
        <f>"DUPLEX T"</f>
        <v>DUPLEX T</v>
      </c>
      <c r="C881" s="7">
        <v>46009</v>
      </c>
      <c r="D881" s="7">
        <v>46073</v>
      </c>
      <c r="E881" s="8">
        <v>1</v>
      </c>
      <c r="F881" s="6" t="str">
        <f>"ORDER 873 BLUE BLANC"</f>
        <v>ORDER 873 BLUE BLANC</v>
      </c>
      <c r="G881" s="6" t="str">
        <f>"C001242626000000"</f>
        <v>C001242626000000</v>
      </c>
      <c r="H881" s="6" t="str">
        <f>"CZJ 2426 - 260 g/m²"</f>
        <v>CZJ 2426 - 260 g/m²</v>
      </c>
      <c r="I881" s="6" t="str">
        <f>"204183"</f>
        <v>204183</v>
      </c>
      <c r="J881" s="6" t="str">
        <f>"AZUL 4183"</f>
        <v>AZUL 4183</v>
      </c>
      <c r="K881" s="6" t="str">
        <f>"0830"</f>
        <v>0830</v>
      </c>
      <c r="L881" s="6" t="str">
        <f>"Cozinha"</f>
        <v>Cozinha</v>
      </c>
      <c r="M881" s="6" t="str">
        <f>"50x70"</f>
        <v>50x70</v>
      </c>
      <c r="N881" s="6" t="str">
        <f t="shared" si="248"/>
        <v xml:space="preserve"> </v>
      </c>
      <c r="O881" s="8">
        <v>1500</v>
      </c>
      <c r="P881" s="7">
        <v>46049</v>
      </c>
      <c r="R881" s="8">
        <v>1620</v>
      </c>
      <c r="S881" s="7">
        <v>46052</v>
      </c>
      <c r="U881" s="8">
        <v>1620</v>
      </c>
      <c r="V881" s="7">
        <v>46063</v>
      </c>
      <c r="X881" s="8">
        <v>0</v>
      </c>
      <c r="Z881" s="8">
        <v>1620</v>
      </c>
      <c r="AA881" s="7">
        <v>46077</v>
      </c>
      <c r="AC881" s="8">
        <v>0</v>
      </c>
      <c r="AE881" s="7">
        <v>46079</v>
      </c>
      <c r="AF881" s="8">
        <v>0</v>
      </c>
      <c r="AH881" s="7">
        <v>46073</v>
      </c>
      <c r="AN881" s="8">
        <v>0</v>
      </c>
      <c r="AO881" s="8">
        <v>1500</v>
      </c>
    </row>
    <row r="882" spans="1:41" x14ac:dyDescent="0.25">
      <c r="A882" s="6" t="str">
        <f>"521-2025000797"</f>
        <v>521-2025000797</v>
      </c>
      <c r="B882" s="6" t="str">
        <f t="shared" ref="B882:B889" si="252">"OVS S.P."</f>
        <v>OVS S.P.</v>
      </c>
      <c r="C882" s="7">
        <v>46010</v>
      </c>
      <c r="D882" s="7">
        <v>46101</v>
      </c>
      <c r="E882" s="8">
        <v>1</v>
      </c>
      <c r="F882" s="6" t="str">
        <f>"261322393/0001"</f>
        <v>261322393/0001</v>
      </c>
      <c r="G882" s="6" t="str">
        <f>"F600898729000001"</f>
        <v>F600898729000001</v>
      </c>
      <c r="H882" s="6" t="str">
        <f>"18987 BCI C/ Franja"</f>
        <v>18987 BCI C/ Franja</v>
      </c>
      <c r="I882" s="6" t="str">
        <f>"201642"</f>
        <v>201642</v>
      </c>
      <c r="J882" s="6" t="str">
        <f>"ROSA 1642"</f>
        <v>ROSA 1642</v>
      </c>
      <c r="K882" s="6" t="str">
        <f>"3610"</f>
        <v>3610</v>
      </c>
      <c r="L882" s="6" t="str">
        <f t="shared" ref="L882:L889" si="253">"Praia"</f>
        <v>Praia</v>
      </c>
      <c r="M882" s="6" t="str">
        <f>"180x90+8"</f>
        <v>180x90+8</v>
      </c>
      <c r="N882" s="6" t="str">
        <f t="shared" si="248"/>
        <v xml:space="preserve"> </v>
      </c>
      <c r="O882" s="8">
        <v>6</v>
      </c>
      <c r="P882" s="7">
        <v>46079</v>
      </c>
      <c r="R882" s="8">
        <v>0</v>
      </c>
      <c r="S882" s="7">
        <v>46084</v>
      </c>
      <c r="U882" s="8">
        <v>0</v>
      </c>
      <c r="V882" s="7">
        <v>46087</v>
      </c>
      <c r="X882" s="8">
        <v>0</v>
      </c>
      <c r="Z882" s="8">
        <v>0</v>
      </c>
      <c r="AA882" s="7">
        <v>46099</v>
      </c>
      <c r="AC882" s="8">
        <v>0</v>
      </c>
      <c r="AE882" s="7">
        <v>46101</v>
      </c>
      <c r="AF882" s="8">
        <v>0</v>
      </c>
      <c r="AH882" s="7">
        <v>46101</v>
      </c>
      <c r="AN882" s="8">
        <v>0</v>
      </c>
      <c r="AO882" s="8">
        <v>6</v>
      </c>
    </row>
    <row r="883" spans="1:41" x14ac:dyDescent="0.25">
      <c r="A883" s="6" t="str">
        <f>"521-2025000797"</f>
        <v>521-2025000797</v>
      </c>
      <c r="B883" s="6" t="str">
        <f t="shared" si="252"/>
        <v>OVS S.P.</v>
      </c>
      <c r="C883" s="7">
        <v>46010</v>
      </c>
      <c r="D883" s="7">
        <v>46101</v>
      </c>
      <c r="E883" s="8">
        <v>2</v>
      </c>
      <c r="F883" s="6" t="str">
        <f>"261322393/0001"</f>
        <v>261322393/0001</v>
      </c>
      <c r="G883" s="6" t="str">
        <f>"F600898729000001"</f>
        <v>F600898729000001</v>
      </c>
      <c r="H883" s="6" t="str">
        <f>"18987 BCI C/ Franja"</f>
        <v>18987 BCI C/ Franja</v>
      </c>
      <c r="I883" s="6" t="str">
        <f>"200952"</f>
        <v>200952</v>
      </c>
      <c r="J883" s="6" t="str">
        <f>"VERDE 952"</f>
        <v>VERDE 952</v>
      </c>
      <c r="K883" s="6" t="str">
        <f>"3610"</f>
        <v>3610</v>
      </c>
      <c r="L883" s="6" t="str">
        <f t="shared" si="253"/>
        <v>Praia</v>
      </c>
      <c r="M883" s="6" t="str">
        <f>"180x90+8"</f>
        <v>180x90+8</v>
      </c>
      <c r="N883" s="6" t="str">
        <f t="shared" si="248"/>
        <v xml:space="preserve"> </v>
      </c>
      <c r="O883" s="8">
        <v>6</v>
      </c>
      <c r="P883" s="7">
        <v>46079</v>
      </c>
      <c r="R883" s="8">
        <v>0</v>
      </c>
      <c r="S883" s="7">
        <v>46084</v>
      </c>
      <c r="U883" s="8">
        <v>0</v>
      </c>
      <c r="V883" s="7">
        <v>46087</v>
      </c>
      <c r="X883" s="8">
        <v>0</v>
      </c>
      <c r="Z883" s="8">
        <v>0</v>
      </c>
      <c r="AA883" s="7">
        <v>46099</v>
      </c>
      <c r="AC883" s="8">
        <v>0</v>
      </c>
      <c r="AE883" s="7">
        <v>46101</v>
      </c>
      <c r="AF883" s="8">
        <v>0</v>
      </c>
      <c r="AH883" s="7">
        <v>46101</v>
      </c>
      <c r="AN883" s="8">
        <v>0</v>
      </c>
      <c r="AO883" s="8">
        <v>6</v>
      </c>
    </row>
    <row r="884" spans="1:41" x14ac:dyDescent="0.25">
      <c r="A884" s="6" t="str">
        <f>"521-2025000798"</f>
        <v>521-2025000798</v>
      </c>
      <c r="B884" s="6" t="str">
        <f t="shared" si="252"/>
        <v>OVS S.P.</v>
      </c>
      <c r="C884" s="7">
        <v>46010</v>
      </c>
      <c r="D884" s="7">
        <v>46101</v>
      </c>
      <c r="E884" s="8">
        <v>1</v>
      </c>
      <c r="F884" s="6" t="str">
        <f>"261322393/0001"</f>
        <v>261322393/0001</v>
      </c>
      <c r="G884" s="6" t="str">
        <f>"F600939929000000"</f>
        <v>F600939929000000</v>
      </c>
      <c r="H884" s="6" t="str">
        <f>"9399 BCI C/ Franja -"</f>
        <v>9399 BCI C/ Franja -</v>
      </c>
      <c r="I884" s="6" t="str">
        <f>"203139"</f>
        <v>203139</v>
      </c>
      <c r="J884" s="6" t="str">
        <f>"AMARELO 3139"</f>
        <v>AMARELO 3139</v>
      </c>
      <c r="K884" s="6" t="str">
        <f>"3545"</f>
        <v>3545</v>
      </c>
      <c r="L884" s="6" t="str">
        <f t="shared" si="253"/>
        <v>Praia</v>
      </c>
      <c r="M884" s="6" t="str">
        <f>"90x170+8"</f>
        <v>90x170+8</v>
      </c>
      <c r="N884" s="6" t="str">
        <f t="shared" si="248"/>
        <v xml:space="preserve"> </v>
      </c>
      <c r="O884" s="8">
        <v>6</v>
      </c>
      <c r="P884" s="7">
        <v>46079</v>
      </c>
      <c r="R884" s="8">
        <v>0</v>
      </c>
      <c r="S884" s="7">
        <v>46084</v>
      </c>
      <c r="U884" s="8">
        <v>0</v>
      </c>
      <c r="V884" s="7">
        <v>46087</v>
      </c>
      <c r="X884" s="8">
        <v>0</v>
      </c>
      <c r="Z884" s="8">
        <v>0</v>
      </c>
      <c r="AA884" s="7">
        <v>46099</v>
      </c>
      <c r="AC884" s="8">
        <v>0</v>
      </c>
      <c r="AE884" s="7">
        <v>46101</v>
      </c>
      <c r="AF884" s="8">
        <v>0</v>
      </c>
      <c r="AH884" s="7">
        <v>46101</v>
      </c>
      <c r="AN884" s="8">
        <v>0</v>
      </c>
      <c r="AO884" s="8">
        <v>6</v>
      </c>
    </row>
    <row r="885" spans="1:41" x14ac:dyDescent="0.25">
      <c r="A885" s="6" t="str">
        <f>"521-2025000798"</f>
        <v>521-2025000798</v>
      </c>
      <c r="B885" s="6" t="str">
        <f t="shared" si="252"/>
        <v>OVS S.P.</v>
      </c>
      <c r="C885" s="7">
        <v>46010</v>
      </c>
      <c r="D885" s="7">
        <v>46101</v>
      </c>
      <c r="E885" s="8">
        <v>2</v>
      </c>
      <c r="F885" s="6" t="str">
        <f>"261322393/0001"</f>
        <v>261322393/0001</v>
      </c>
      <c r="G885" s="6" t="str">
        <f>"F600939929000000"</f>
        <v>F600939929000000</v>
      </c>
      <c r="H885" s="6" t="str">
        <f>"9399 BCI C/ Franja -"</f>
        <v>9399 BCI C/ Franja -</v>
      </c>
      <c r="I885" s="6" t="str">
        <f>"201105"</f>
        <v>201105</v>
      </c>
      <c r="J885" s="6" t="str">
        <f>"AZUL 1105"</f>
        <v>AZUL 1105</v>
      </c>
      <c r="K885" s="6" t="str">
        <f>"3545"</f>
        <v>3545</v>
      </c>
      <c r="L885" s="6" t="str">
        <f t="shared" si="253"/>
        <v>Praia</v>
      </c>
      <c r="M885" s="6" t="str">
        <f>"90x170+8"</f>
        <v>90x170+8</v>
      </c>
      <c r="N885" s="6" t="str">
        <f t="shared" si="248"/>
        <v xml:space="preserve"> </v>
      </c>
      <c r="O885" s="8">
        <v>6</v>
      </c>
      <c r="P885" s="7">
        <v>46079</v>
      </c>
      <c r="R885" s="8">
        <v>0</v>
      </c>
      <c r="S885" s="7">
        <v>46084</v>
      </c>
      <c r="U885" s="8">
        <v>0</v>
      </c>
      <c r="V885" s="7">
        <v>46087</v>
      </c>
      <c r="X885" s="8">
        <v>0</v>
      </c>
      <c r="Z885" s="8">
        <v>0</v>
      </c>
      <c r="AA885" s="7">
        <v>46099</v>
      </c>
      <c r="AC885" s="8">
        <v>0</v>
      </c>
      <c r="AE885" s="7">
        <v>46101</v>
      </c>
      <c r="AF885" s="8">
        <v>0</v>
      </c>
      <c r="AH885" s="7">
        <v>46101</v>
      </c>
      <c r="AN885" s="8">
        <v>0</v>
      </c>
      <c r="AO885" s="8">
        <v>6</v>
      </c>
    </row>
    <row r="886" spans="1:41" x14ac:dyDescent="0.25">
      <c r="A886" s="6" t="str">
        <f>"521-2025000799"</f>
        <v>521-2025000799</v>
      </c>
      <c r="B886" s="6" t="str">
        <f t="shared" si="252"/>
        <v>OVS S.P.</v>
      </c>
      <c r="C886" s="7">
        <v>46010</v>
      </c>
      <c r="D886" s="7">
        <v>46101</v>
      </c>
      <c r="E886" s="8">
        <v>1</v>
      </c>
      <c r="F886" s="6" t="str">
        <f>"261322392/0004"</f>
        <v>261322392/0004</v>
      </c>
      <c r="G886" s="6" t="str">
        <f>"F600939929000000"</f>
        <v>F600939929000000</v>
      </c>
      <c r="H886" s="6" t="str">
        <f>"9399 BCI C/ Franja -"</f>
        <v>9399 BCI C/ Franja -</v>
      </c>
      <c r="I886" s="6" t="str">
        <f>"203139"</f>
        <v>203139</v>
      </c>
      <c r="J886" s="6" t="str">
        <f>"AMARELO 3139"</f>
        <v>AMARELO 3139</v>
      </c>
      <c r="K886" s="6" t="str">
        <f>"3545"</f>
        <v>3545</v>
      </c>
      <c r="L886" s="6" t="str">
        <f t="shared" si="253"/>
        <v>Praia</v>
      </c>
      <c r="M886" s="6" t="str">
        <f>"90x170+8"</f>
        <v>90x170+8</v>
      </c>
      <c r="N886" s="6" t="str">
        <f t="shared" si="248"/>
        <v xml:space="preserve"> </v>
      </c>
      <c r="O886" s="8">
        <v>1116</v>
      </c>
      <c r="P886" s="7">
        <v>46079</v>
      </c>
      <c r="R886" s="8">
        <v>0</v>
      </c>
      <c r="S886" s="7">
        <v>46084</v>
      </c>
      <c r="U886" s="8">
        <v>0</v>
      </c>
      <c r="V886" s="7">
        <v>46087</v>
      </c>
      <c r="X886" s="8">
        <v>0</v>
      </c>
      <c r="Z886" s="8">
        <v>0</v>
      </c>
      <c r="AA886" s="7">
        <v>46099</v>
      </c>
      <c r="AC886" s="8">
        <v>0</v>
      </c>
      <c r="AE886" s="7">
        <v>46101</v>
      </c>
      <c r="AF886" s="8">
        <v>0</v>
      </c>
      <c r="AH886" s="7">
        <v>46101</v>
      </c>
      <c r="AN886" s="8">
        <v>0</v>
      </c>
      <c r="AO886" s="8">
        <v>1116</v>
      </c>
    </row>
    <row r="887" spans="1:41" x14ac:dyDescent="0.25">
      <c r="A887" s="6" t="str">
        <f>"521-2025000799"</f>
        <v>521-2025000799</v>
      </c>
      <c r="B887" s="6" t="str">
        <f t="shared" si="252"/>
        <v>OVS S.P.</v>
      </c>
      <c r="C887" s="7">
        <v>46010</v>
      </c>
      <c r="D887" s="7">
        <v>46101</v>
      </c>
      <c r="E887" s="8">
        <v>2</v>
      </c>
      <c r="F887" s="6" t="str">
        <f>"261322392/0004"</f>
        <v>261322392/0004</v>
      </c>
      <c r="G887" s="6" t="str">
        <f>"F600939929000000"</f>
        <v>F600939929000000</v>
      </c>
      <c r="H887" s="6" t="str">
        <f>"9399 BCI C/ Franja -"</f>
        <v>9399 BCI C/ Franja -</v>
      </c>
      <c r="I887" s="6" t="str">
        <f>"201105"</f>
        <v>201105</v>
      </c>
      <c r="J887" s="6" t="str">
        <f>"AZUL 1105"</f>
        <v>AZUL 1105</v>
      </c>
      <c r="K887" s="6" t="str">
        <f>"3545"</f>
        <v>3545</v>
      </c>
      <c r="L887" s="6" t="str">
        <f t="shared" si="253"/>
        <v>Praia</v>
      </c>
      <c r="M887" s="6" t="str">
        <f>"90x170+8"</f>
        <v>90x170+8</v>
      </c>
      <c r="N887" s="6" t="str">
        <f t="shared" si="248"/>
        <v xml:space="preserve"> </v>
      </c>
      <c r="O887" s="8">
        <v>860</v>
      </c>
      <c r="P887" s="7">
        <v>46079</v>
      </c>
      <c r="R887" s="8">
        <v>0</v>
      </c>
      <c r="S887" s="7">
        <v>46084</v>
      </c>
      <c r="U887" s="8">
        <v>0</v>
      </c>
      <c r="V887" s="7">
        <v>46087</v>
      </c>
      <c r="X887" s="8">
        <v>0</v>
      </c>
      <c r="Z887" s="8">
        <v>0</v>
      </c>
      <c r="AA887" s="7">
        <v>46099</v>
      </c>
      <c r="AC887" s="8">
        <v>0</v>
      </c>
      <c r="AE887" s="7">
        <v>46101</v>
      </c>
      <c r="AF887" s="8">
        <v>0</v>
      </c>
      <c r="AH887" s="7">
        <v>46101</v>
      </c>
      <c r="AN887" s="8">
        <v>0</v>
      </c>
      <c r="AO887" s="8">
        <v>860</v>
      </c>
    </row>
    <row r="888" spans="1:41" x14ac:dyDescent="0.25">
      <c r="A888" s="6" t="str">
        <f>"521-2025000800"</f>
        <v>521-2025000800</v>
      </c>
      <c r="B888" s="6" t="str">
        <f t="shared" si="252"/>
        <v>OVS S.P.</v>
      </c>
      <c r="C888" s="7">
        <v>46010</v>
      </c>
      <c r="D888" s="7">
        <v>46101</v>
      </c>
      <c r="E888" s="8">
        <v>1</v>
      </c>
      <c r="F888" s="6" t="str">
        <f>"261322392/0004"</f>
        <v>261322392/0004</v>
      </c>
      <c r="G888" s="6" t="str">
        <f>"F600898729000001"</f>
        <v>F600898729000001</v>
      </c>
      <c r="H888" s="6" t="str">
        <f>"18987 BCI C/ Franja"</f>
        <v>18987 BCI C/ Franja</v>
      </c>
      <c r="I888" s="6" t="str">
        <f>"201642"</f>
        <v>201642</v>
      </c>
      <c r="J888" s="6" t="str">
        <f>"ROSA 1642"</f>
        <v>ROSA 1642</v>
      </c>
      <c r="K888" s="6" t="str">
        <f>"3610"</f>
        <v>3610</v>
      </c>
      <c r="L888" s="6" t="str">
        <f t="shared" si="253"/>
        <v>Praia</v>
      </c>
      <c r="M888" s="6" t="str">
        <f>"180x90+8"</f>
        <v>180x90+8</v>
      </c>
      <c r="N888" s="6" t="str">
        <f t="shared" si="248"/>
        <v xml:space="preserve"> </v>
      </c>
      <c r="O888" s="8">
        <v>652</v>
      </c>
      <c r="P888" s="7">
        <v>46079</v>
      </c>
      <c r="R888" s="8">
        <v>0</v>
      </c>
      <c r="S888" s="7">
        <v>46084</v>
      </c>
      <c r="U888" s="8">
        <v>0</v>
      </c>
      <c r="V888" s="7">
        <v>46087</v>
      </c>
      <c r="X888" s="8">
        <v>0</v>
      </c>
      <c r="Z888" s="8">
        <v>0</v>
      </c>
      <c r="AA888" s="7">
        <v>46099</v>
      </c>
      <c r="AC888" s="8">
        <v>0</v>
      </c>
      <c r="AE888" s="7">
        <v>46101</v>
      </c>
      <c r="AF888" s="8">
        <v>0</v>
      </c>
      <c r="AH888" s="7">
        <v>46101</v>
      </c>
      <c r="AN888" s="8">
        <v>0</v>
      </c>
      <c r="AO888" s="8">
        <v>652</v>
      </c>
    </row>
    <row r="889" spans="1:41" x14ac:dyDescent="0.25">
      <c r="A889" s="6" t="str">
        <f>"521-2025000800"</f>
        <v>521-2025000800</v>
      </c>
      <c r="B889" s="6" t="str">
        <f t="shared" si="252"/>
        <v>OVS S.P.</v>
      </c>
      <c r="C889" s="7">
        <v>46010</v>
      </c>
      <c r="D889" s="7">
        <v>46101</v>
      </c>
      <c r="E889" s="8">
        <v>2</v>
      </c>
      <c r="F889" s="6" t="str">
        <f>"261322392/0004"</f>
        <v>261322392/0004</v>
      </c>
      <c r="G889" s="6" t="str">
        <f>"F600898729000001"</f>
        <v>F600898729000001</v>
      </c>
      <c r="H889" s="6" t="str">
        <f>"18987 BCI C/ Franja"</f>
        <v>18987 BCI C/ Franja</v>
      </c>
      <c r="I889" s="6" t="str">
        <f>"200952"</f>
        <v>200952</v>
      </c>
      <c r="J889" s="6" t="str">
        <f>"VERDE 952"</f>
        <v>VERDE 952</v>
      </c>
      <c r="K889" s="6" t="str">
        <f>"3610"</f>
        <v>3610</v>
      </c>
      <c r="L889" s="6" t="str">
        <f t="shared" si="253"/>
        <v>Praia</v>
      </c>
      <c r="M889" s="6" t="str">
        <f>"180x90+8"</f>
        <v>180x90+8</v>
      </c>
      <c r="N889" s="6" t="str">
        <f t="shared" si="248"/>
        <v xml:space="preserve"> </v>
      </c>
      <c r="O889" s="8">
        <v>504</v>
      </c>
      <c r="P889" s="7">
        <v>46079</v>
      </c>
      <c r="R889" s="8">
        <v>0</v>
      </c>
      <c r="S889" s="7">
        <v>46084</v>
      </c>
      <c r="U889" s="8">
        <v>0</v>
      </c>
      <c r="V889" s="7">
        <v>46087</v>
      </c>
      <c r="X889" s="8">
        <v>0</v>
      </c>
      <c r="Z889" s="8">
        <v>0</v>
      </c>
      <c r="AA889" s="7">
        <v>46099</v>
      </c>
      <c r="AC889" s="8">
        <v>0</v>
      </c>
      <c r="AE889" s="7">
        <v>46101</v>
      </c>
      <c r="AF889" s="8">
        <v>0</v>
      </c>
      <c r="AH889" s="7">
        <v>46101</v>
      </c>
      <c r="AN889" s="8">
        <v>0</v>
      </c>
      <c r="AO889" s="8">
        <v>504</v>
      </c>
    </row>
    <row r="890" spans="1:41" x14ac:dyDescent="0.25">
      <c r="A890" s="6" t="str">
        <f t="shared" ref="A890:A901" si="254">"521-2025000801"</f>
        <v>521-2025000801</v>
      </c>
      <c r="B890" s="6" t="str">
        <f t="shared" ref="B890:B901" si="255">"LOSCH HA"</f>
        <v>LOSCH HA</v>
      </c>
      <c r="C890" s="7">
        <v>46010</v>
      </c>
      <c r="D890" s="7">
        <v>46041</v>
      </c>
      <c r="E890" s="8">
        <v>1</v>
      </c>
      <c r="F890" s="6" t="str">
        <f t="shared" ref="F890:F901" si="256">"ENC. LOSCH - LANDHER"</f>
        <v>ENC. LOSCH - LANDHER</v>
      </c>
      <c r="G890" s="6" t="str">
        <f>"F130023460004184"</f>
        <v>F130023460004184</v>
      </c>
      <c r="H890" s="6" t="str">
        <f t="shared" ref="H890:H897" si="257">"FAP 234 / 4184 - 600"</f>
        <v>FAP 234 / 4184 - 600</v>
      </c>
      <c r="I890" s="6" t="str">
        <f>"501202"</f>
        <v>501202</v>
      </c>
      <c r="J890" s="6" t="str">
        <f>"BRANCO /Cinza Escu"</f>
        <v>BRANCO /Cinza Escu</v>
      </c>
      <c r="K890" s="6" t="str">
        <f>"0520"</f>
        <v>0520</v>
      </c>
      <c r="L890" s="6" t="str">
        <f>"Toalhetes"</f>
        <v>Toalhetes</v>
      </c>
      <c r="M890" s="6" t="str">
        <f>"30x50"</f>
        <v>30x50</v>
      </c>
      <c r="N890" s="6" t="str">
        <f>"5605247934900"</f>
        <v>5605247934900</v>
      </c>
      <c r="O890" s="8">
        <v>36</v>
      </c>
      <c r="P890" s="7">
        <v>46010</v>
      </c>
      <c r="R890" s="8">
        <v>0</v>
      </c>
      <c r="U890" s="8">
        <v>0</v>
      </c>
      <c r="X890" s="8">
        <v>0</v>
      </c>
      <c r="Z890" s="8">
        <v>0</v>
      </c>
      <c r="AC890" s="8">
        <v>36</v>
      </c>
      <c r="AE890" s="7">
        <v>46027</v>
      </c>
      <c r="AF890" s="8">
        <v>36</v>
      </c>
      <c r="AH890" s="7">
        <v>46041</v>
      </c>
      <c r="AN890" s="8">
        <v>36</v>
      </c>
      <c r="AO890" s="8">
        <v>0</v>
      </c>
    </row>
    <row r="891" spans="1:41" x14ac:dyDescent="0.25">
      <c r="A891" s="6" t="str">
        <f t="shared" si="254"/>
        <v>521-2025000801</v>
      </c>
      <c r="B891" s="6" t="str">
        <f t="shared" si="255"/>
        <v>LOSCH HA</v>
      </c>
      <c r="C891" s="7">
        <v>46010</v>
      </c>
      <c r="D891" s="7">
        <v>46041</v>
      </c>
      <c r="E891" s="8">
        <v>2</v>
      </c>
      <c r="F891" s="6" t="str">
        <f t="shared" si="256"/>
        <v>ENC. LOSCH - LANDHER</v>
      </c>
      <c r="G891" s="6" t="str">
        <f>"F130023460004184"</f>
        <v>F130023460004184</v>
      </c>
      <c r="H891" s="6" t="str">
        <f t="shared" si="257"/>
        <v>FAP 234 / 4184 - 600</v>
      </c>
      <c r="I891" s="6" t="str">
        <f>"501202"</f>
        <v>501202</v>
      </c>
      <c r="J891" s="6" t="str">
        <f>"BRANCO /Cinza Escu"</f>
        <v>BRANCO /Cinza Escu</v>
      </c>
      <c r="K891" s="6" t="str">
        <f>"1024"</f>
        <v>1024</v>
      </c>
      <c r="L891" s="6" t="str">
        <f>"Toalhas"</f>
        <v>Toalhas</v>
      </c>
      <c r="M891" s="6" t="str">
        <f>"50x100"</f>
        <v>50x100</v>
      </c>
      <c r="N891" s="6" t="str">
        <f>"5605247934917"</f>
        <v>5605247934917</v>
      </c>
      <c r="O891" s="8">
        <v>24</v>
      </c>
      <c r="P891" s="7">
        <v>46010</v>
      </c>
      <c r="R891" s="8">
        <v>0</v>
      </c>
      <c r="U891" s="8">
        <v>0</v>
      </c>
      <c r="X891" s="8">
        <v>0</v>
      </c>
      <c r="Z891" s="8">
        <v>0</v>
      </c>
      <c r="AC891" s="8">
        <v>24</v>
      </c>
      <c r="AE891" s="7">
        <v>46027</v>
      </c>
      <c r="AF891" s="8">
        <v>24</v>
      </c>
      <c r="AH891" s="7">
        <v>46041</v>
      </c>
      <c r="AN891" s="8">
        <v>24</v>
      </c>
      <c r="AO891" s="8">
        <v>0</v>
      </c>
    </row>
    <row r="892" spans="1:41" x14ac:dyDescent="0.25">
      <c r="A892" s="6" t="str">
        <f t="shared" si="254"/>
        <v>521-2025000801</v>
      </c>
      <c r="B892" s="6" t="str">
        <f t="shared" si="255"/>
        <v>LOSCH HA</v>
      </c>
      <c r="C892" s="7">
        <v>46010</v>
      </c>
      <c r="D892" s="7">
        <v>46041</v>
      </c>
      <c r="E892" s="8">
        <v>3</v>
      </c>
      <c r="F892" s="6" t="str">
        <f t="shared" si="256"/>
        <v>ENC. LOSCH - LANDHER</v>
      </c>
      <c r="G892" s="6" t="str">
        <f>"F130023460004184"</f>
        <v>F130023460004184</v>
      </c>
      <c r="H892" s="6" t="str">
        <f t="shared" si="257"/>
        <v>FAP 234 / 4184 - 600</v>
      </c>
      <c r="I892" s="6" t="str">
        <f>"501202"</f>
        <v>501202</v>
      </c>
      <c r="J892" s="6" t="str">
        <f>"BRANCO /Cinza Escu"</f>
        <v>BRANCO /Cinza Escu</v>
      </c>
      <c r="K892" s="6" t="str">
        <f>"1532"</f>
        <v>1532</v>
      </c>
      <c r="L892" s="6" t="str">
        <f>"Toalhões"</f>
        <v>Toalhões</v>
      </c>
      <c r="M892" s="6" t="str">
        <f>"70x130"</f>
        <v>70x130</v>
      </c>
      <c r="N892" s="6" t="str">
        <f>"5605247934924"</f>
        <v>5605247934924</v>
      </c>
      <c r="O892" s="8">
        <v>12</v>
      </c>
      <c r="P892" s="7">
        <v>46010</v>
      </c>
      <c r="R892" s="8">
        <v>0</v>
      </c>
      <c r="U892" s="8">
        <v>0</v>
      </c>
      <c r="X892" s="8">
        <v>0</v>
      </c>
      <c r="Z892" s="8">
        <v>0</v>
      </c>
      <c r="AC892" s="8">
        <v>12</v>
      </c>
      <c r="AE892" s="7">
        <v>46027</v>
      </c>
      <c r="AF892" s="8">
        <v>12</v>
      </c>
      <c r="AH892" s="7">
        <v>46041</v>
      </c>
      <c r="AN892" s="8">
        <v>12</v>
      </c>
      <c r="AO892" s="8">
        <v>0</v>
      </c>
    </row>
    <row r="893" spans="1:41" x14ac:dyDescent="0.25">
      <c r="A893" s="6" t="str">
        <f t="shared" si="254"/>
        <v>521-2025000801</v>
      </c>
      <c r="B893" s="6" t="str">
        <f t="shared" si="255"/>
        <v>LOSCH HA</v>
      </c>
      <c r="C893" s="7">
        <v>46010</v>
      </c>
      <c r="D893" s="7">
        <v>46041</v>
      </c>
      <c r="E893" s="8">
        <v>4</v>
      </c>
      <c r="F893" s="6" t="str">
        <f t="shared" si="256"/>
        <v>ENC. LOSCH - LANDHER</v>
      </c>
      <c r="G893" s="6" t="str">
        <f>"F130023460004184"</f>
        <v>F130023460004184</v>
      </c>
      <c r="H893" s="6" t="str">
        <f t="shared" si="257"/>
        <v>FAP 234 / 4184 - 600</v>
      </c>
      <c r="I893" s="6" t="str">
        <f>"501202"</f>
        <v>501202</v>
      </c>
      <c r="J893" s="6" t="str">
        <f>"BRANCO /Cinza Escu"</f>
        <v>BRANCO /Cinza Escu</v>
      </c>
      <c r="K893" s="6" t="str">
        <f>"2006"</f>
        <v>2006</v>
      </c>
      <c r="L893" s="6" t="str">
        <f>"Lençóis"</f>
        <v>Lençóis</v>
      </c>
      <c r="M893" s="6" t="str">
        <f>"85x160"</f>
        <v>85x160</v>
      </c>
      <c r="N893" s="6" t="str">
        <f>"5605247934962"</f>
        <v>5605247934962</v>
      </c>
      <c r="O893" s="8">
        <v>12</v>
      </c>
      <c r="P893" s="7">
        <v>46010</v>
      </c>
      <c r="R893" s="8">
        <v>0</v>
      </c>
      <c r="U893" s="8">
        <v>0</v>
      </c>
      <c r="X893" s="8">
        <v>0</v>
      </c>
      <c r="Z893" s="8">
        <v>0</v>
      </c>
      <c r="AC893" s="8">
        <v>12</v>
      </c>
      <c r="AE893" s="7">
        <v>46027</v>
      </c>
      <c r="AF893" s="8">
        <v>12</v>
      </c>
      <c r="AH893" s="7">
        <v>46041</v>
      </c>
      <c r="AN893" s="8">
        <v>12</v>
      </c>
      <c r="AO893" s="8">
        <v>0</v>
      </c>
    </row>
    <row r="894" spans="1:41" x14ac:dyDescent="0.25">
      <c r="A894" s="6" t="str">
        <f t="shared" si="254"/>
        <v>521-2025000801</v>
      </c>
      <c r="B894" s="6" t="str">
        <f t="shared" si="255"/>
        <v>LOSCH HA</v>
      </c>
      <c r="C894" s="7">
        <v>46010</v>
      </c>
      <c r="D894" s="7">
        <v>46041</v>
      </c>
      <c r="E894" s="8">
        <v>5</v>
      </c>
      <c r="F894" s="6" t="str">
        <f t="shared" si="256"/>
        <v>ENC. LOSCH - LANDHER</v>
      </c>
      <c r="G894" s="6" t="str">
        <f>"F130023460094184"</f>
        <v>F130023460094184</v>
      </c>
      <c r="H894" s="6" t="str">
        <f t="shared" si="257"/>
        <v>FAP 234 / 4184 - 600</v>
      </c>
      <c r="I894" s="6" t="str">
        <f>"501699"</f>
        <v>501699</v>
      </c>
      <c r="J894" s="6" t="str">
        <f>"CINZA 2620/BRANCO"</f>
        <v>CINZA 2620/BRANCO</v>
      </c>
      <c r="K894" s="6" t="str">
        <f>"0520"</f>
        <v>0520</v>
      </c>
      <c r="L894" s="6" t="str">
        <f>"Toalhetes"</f>
        <v>Toalhetes</v>
      </c>
      <c r="M894" s="6" t="str">
        <f>"30x50"</f>
        <v>30x50</v>
      </c>
      <c r="N894" s="6" t="str">
        <f>"5605247934931"</f>
        <v>5605247934931</v>
      </c>
      <c r="O894" s="8">
        <v>36</v>
      </c>
      <c r="P894" s="7">
        <v>46010</v>
      </c>
      <c r="R894" s="8">
        <v>0</v>
      </c>
      <c r="U894" s="8">
        <v>0</v>
      </c>
      <c r="X894" s="8">
        <v>0</v>
      </c>
      <c r="Z894" s="8">
        <v>0</v>
      </c>
      <c r="AC894" s="8">
        <v>36</v>
      </c>
      <c r="AE894" s="7">
        <v>46027</v>
      </c>
      <c r="AF894" s="8">
        <v>36</v>
      </c>
      <c r="AH894" s="7">
        <v>46041</v>
      </c>
      <c r="AN894" s="8">
        <v>36</v>
      </c>
      <c r="AO894" s="8">
        <v>0</v>
      </c>
    </row>
    <row r="895" spans="1:41" x14ac:dyDescent="0.25">
      <c r="A895" s="6" t="str">
        <f t="shared" si="254"/>
        <v>521-2025000801</v>
      </c>
      <c r="B895" s="6" t="str">
        <f t="shared" si="255"/>
        <v>LOSCH HA</v>
      </c>
      <c r="C895" s="7">
        <v>46010</v>
      </c>
      <c r="D895" s="7">
        <v>46041</v>
      </c>
      <c r="E895" s="8">
        <v>6</v>
      </c>
      <c r="F895" s="6" t="str">
        <f t="shared" si="256"/>
        <v>ENC. LOSCH - LANDHER</v>
      </c>
      <c r="G895" s="6" t="str">
        <f>"F130023460094184"</f>
        <v>F130023460094184</v>
      </c>
      <c r="H895" s="6" t="str">
        <f t="shared" si="257"/>
        <v>FAP 234 / 4184 - 600</v>
      </c>
      <c r="I895" s="6" t="str">
        <f>"501699"</f>
        <v>501699</v>
      </c>
      <c r="J895" s="6" t="str">
        <f>"CINZA 2620/BRANCO"</f>
        <v>CINZA 2620/BRANCO</v>
      </c>
      <c r="K895" s="6" t="str">
        <f>"1024"</f>
        <v>1024</v>
      </c>
      <c r="L895" s="6" t="str">
        <f>"Toalhas"</f>
        <v>Toalhas</v>
      </c>
      <c r="M895" s="6" t="str">
        <f>"50x100"</f>
        <v>50x100</v>
      </c>
      <c r="N895" s="6" t="str">
        <f>"5605247934948"</f>
        <v>5605247934948</v>
      </c>
      <c r="O895" s="8">
        <v>24</v>
      </c>
      <c r="P895" s="7">
        <v>46010</v>
      </c>
      <c r="R895" s="8">
        <v>0</v>
      </c>
      <c r="U895" s="8">
        <v>0</v>
      </c>
      <c r="X895" s="8">
        <v>0</v>
      </c>
      <c r="Z895" s="8">
        <v>0</v>
      </c>
      <c r="AC895" s="8">
        <v>24</v>
      </c>
      <c r="AE895" s="7">
        <v>46027</v>
      </c>
      <c r="AF895" s="8">
        <v>24</v>
      </c>
      <c r="AH895" s="7">
        <v>46041</v>
      </c>
      <c r="AN895" s="8">
        <v>24</v>
      </c>
      <c r="AO895" s="8">
        <v>0</v>
      </c>
    </row>
    <row r="896" spans="1:41" x14ac:dyDescent="0.25">
      <c r="A896" s="6" t="str">
        <f t="shared" si="254"/>
        <v>521-2025000801</v>
      </c>
      <c r="B896" s="6" t="str">
        <f t="shared" si="255"/>
        <v>LOSCH HA</v>
      </c>
      <c r="C896" s="7">
        <v>46010</v>
      </c>
      <c r="D896" s="7">
        <v>46041</v>
      </c>
      <c r="E896" s="8">
        <v>7</v>
      </c>
      <c r="F896" s="6" t="str">
        <f t="shared" si="256"/>
        <v>ENC. LOSCH - LANDHER</v>
      </c>
      <c r="G896" s="6" t="str">
        <f>"F130023460094184"</f>
        <v>F130023460094184</v>
      </c>
      <c r="H896" s="6" t="str">
        <f t="shared" si="257"/>
        <v>FAP 234 / 4184 - 600</v>
      </c>
      <c r="I896" s="6" t="str">
        <f>"501699"</f>
        <v>501699</v>
      </c>
      <c r="J896" s="6" t="str">
        <f>"CINZA 2620/BRANCO"</f>
        <v>CINZA 2620/BRANCO</v>
      </c>
      <c r="K896" s="6" t="str">
        <f>"1532"</f>
        <v>1532</v>
      </c>
      <c r="L896" s="6" t="str">
        <f>"Toalhões"</f>
        <v>Toalhões</v>
      </c>
      <c r="M896" s="6" t="str">
        <f>"70x130"</f>
        <v>70x130</v>
      </c>
      <c r="N896" s="6" t="str">
        <f>"5605247934955"</f>
        <v>5605247934955</v>
      </c>
      <c r="O896" s="8">
        <v>12</v>
      </c>
      <c r="P896" s="7">
        <v>46010</v>
      </c>
      <c r="R896" s="8">
        <v>0</v>
      </c>
      <c r="U896" s="8">
        <v>0</v>
      </c>
      <c r="X896" s="8">
        <v>0</v>
      </c>
      <c r="Z896" s="8">
        <v>0</v>
      </c>
      <c r="AC896" s="8">
        <v>12</v>
      </c>
      <c r="AE896" s="7">
        <v>46027</v>
      </c>
      <c r="AF896" s="8">
        <v>12</v>
      </c>
      <c r="AH896" s="7">
        <v>46041</v>
      </c>
      <c r="AN896" s="8">
        <v>12</v>
      </c>
      <c r="AO896" s="8">
        <v>0</v>
      </c>
    </row>
    <row r="897" spans="1:41" x14ac:dyDescent="0.25">
      <c r="A897" s="6" t="str">
        <f t="shared" si="254"/>
        <v>521-2025000801</v>
      </c>
      <c r="B897" s="6" t="str">
        <f t="shared" si="255"/>
        <v>LOSCH HA</v>
      </c>
      <c r="C897" s="7">
        <v>46010</v>
      </c>
      <c r="D897" s="7">
        <v>46041</v>
      </c>
      <c r="E897" s="8">
        <v>8</v>
      </c>
      <c r="F897" s="6" t="str">
        <f t="shared" si="256"/>
        <v>ENC. LOSCH - LANDHER</v>
      </c>
      <c r="G897" s="6" t="str">
        <f>"F130023460094184"</f>
        <v>F130023460094184</v>
      </c>
      <c r="H897" s="6" t="str">
        <f t="shared" si="257"/>
        <v>FAP 234 / 4184 - 600</v>
      </c>
      <c r="I897" s="6" t="str">
        <f>"501699"</f>
        <v>501699</v>
      </c>
      <c r="J897" s="6" t="str">
        <f>"CINZA 2620/BRANCO"</f>
        <v>CINZA 2620/BRANCO</v>
      </c>
      <c r="K897" s="6" t="str">
        <f>"2006"</f>
        <v>2006</v>
      </c>
      <c r="L897" s="6" t="str">
        <f>"Lençóis"</f>
        <v>Lençóis</v>
      </c>
      <c r="M897" s="6" t="str">
        <f>"85x160"</f>
        <v>85x160</v>
      </c>
      <c r="N897" s="6" t="str">
        <f>"5605247934979"</f>
        <v>5605247934979</v>
      </c>
      <c r="O897" s="8">
        <v>12</v>
      </c>
      <c r="P897" s="7">
        <v>46010</v>
      </c>
      <c r="R897" s="8">
        <v>0</v>
      </c>
      <c r="U897" s="8">
        <v>0</v>
      </c>
      <c r="X897" s="8">
        <v>0</v>
      </c>
      <c r="Z897" s="8">
        <v>0</v>
      </c>
      <c r="AC897" s="8">
        <v>12</v>
      </c>
      <c r="AE897" s="7">
        <v>46027</v>
      </c>
      <c r="AF897" s="8">
        <v>12</v>
      </c>
      <c r="AH897" s="7">
        <v>46041</v>
      </c>
      <c r="AN897" s="8">
        <v>12</v>
      </c>
      <c r="AO897" s="8">
        <v>0</v>
      </c>
    </row>
    <row r="898" spans="1:41" x14ac:dyDescent="0.25">
      <c r="A898" s="6" t="str">
        <f t="shared" si="254"/>
        <v>521-2025000801</v>
      </c>
      <c r="B898" s="6" t="str">
        <f t="shared" si="255"/>
        <v>LOSCH HA</v>
      </c>
      <c r="C898" s="7">
        <v>46010</v>
      </c>
      <c r="D898" s="7">
        <v>46041</v>
      </c>
      <c r="E898" s="8">
        <v>9</v>
      </c>
      <c r="F898" s="6" t="str">
        <f t="shared" si="256"/>
        <v>ENC. LOSCH - LANDHER</v>
      </c>
      <c r="G898" s="6" t="str">
        <f>"F161003770004184"</f>
        <v>F161003770004184</v>
      </c>
      <c r="H898" s="6" t="str">
        <f>"TA 37 / 4184 - 700 g"</f>
        <v>TA 37 / 4184 - 700 g</v>
      </c>
      <c r="I898" s="6" t="str">
        <f>"1"</f>
        <v>1</v>
      </c>
      <c r="J898" s="6" t="str">
        <f>"BRANCO"</f>
        <v>BRANCO</v>
      </c>
      <c r="K898" s="6" t="str">
        <f>"3012"</f>
        <v>3012</v>
      </c>
      <c r="L898" s="6" t="str">
        <f>"Tapetes"</f>
        <v>Tapetes</v>
      </c>
      <c r="M898" s="6" t="str">
        <f>"50x70"</f>
        <v>50x70</v>
      </c>
      <c r="N898" s="6" t="str">
        <f>"5605247939417"</f>
        <v>5605247939417</v>
      </c>
      <c r="O898" s="8">
        <v>12</v>
      </c>
      <c r="P898" s="7">
        <v>46010</v>
      </c>
      <c r="R898" s="8">
        <v>0</v>
      </c>
      <c r="U898" s="8">
        <v>0</v>
      </c>
      <c r="X898" s="8">
        <v>0</v>
      </c>
      <c r="Z898" s="8">
        <v>0</v>
      </c>
      <c r="AC898" s="8">
        <v>12</v>
      </c>
      <c r="AE898" s="7">
        <v>46027</v>
      </c>
      <c r="AF898" s="8">
        <v>12</v>
      </c>
      <c r="AH898" s="7">
        <v>46041</v>
      </c>
      <c r="AN898" s="8">
        <v>12</v>
      </c>
      <c r="AO898" s="8">
        <v>0</v>
      </c>
    </row>
    <row r="899" spans="1:41" x14ac:dyDescent="0.25">
      <c r="A899" s="6" t="str">
        <f t="shared" si="254"/>
        <v>521-2025000801</v>
      </c>
      <c r="B899" s="6" t="str">
        <f t="shared" si="255"/>
        <v>LOSCH HA</v>
      </c>
      <c r="C899" s="7">
        <v>46010</v>
      </c>
      <c r="D899" s="7">
        <v>46041</v>
      </c>
      <c r="E899" s="8">
        <v>10</v>
      </c>
      <c r="F899" s="6" t="str">
        <f t="shared" si="256"/>
        <v>ENC. LOSCH - LANDHER</v>
      </c>
      <c r="G899" s="6" t="str">
        <f>"F161003770014184"</f>
        <v>F161003770014184</v>
      </c>
      <c r="H899" s="6" t="str">
        <f>"TA 37 / 4184 (b) - 7"</f>
        <v>TA 37 / 4184 (b) - 7</v>
      </c>
      <c r="I899" s="6" t="str">
        <f>"501531"</f>
        <v>501531</v>
      </c>
      <c r="J899" s="6" t="str">
        <f>"CINZA 3073/Branco"</f>
        <v>CINZA 3073/Branco</v>
      </c>
      <c r="K899" s="6" t="str">
        <f>"3012"</f>
        <v>3012</v>
      </c>
      <c r="L899" s="6" t="str">
        <f>"Tapetes"</f>
        <v>Tapetes</v>
      </c>
      <c r="M899" s="6" t="str">
        <f>"50x70"</f>
        <v>50x70</v>
      </c>
      <c r="N899" s="6" t="str">
        <f>"5605247939424"</f>
        <v>5605247939424</v>
      </c>
      <c r="O899" s="8">
        <v>12</v>
      </c>
      <c r="P899" s="7">
        <v>46010</v>
      </c>
      <c r="R899" s="8">
        <v>0</v>
      </c>
      <c r="U899" s="8">
        <v>0</v>
      </c>
      <c r="X899" s="8">
        <v>0</v>
      </c>
      <c r="Z899" s="8">
        <v>0</v>
      </c>
      <c r="AC899" s="8">
        <v>12</v>
      </c>
      <c r="AE899" s="7">
        <v>46027</v>
      </c>
      <c r="AF899" s="8">
        <v>12</v>
      </c>
      <c r="AH899" s="7">
        <v>46041</v>
      </c>
      <c r="AN899" s="8">
        <v>12</v>
      </c>
      <c r="AO899" s="8">
        <v>0</v>
      </c>
    </row>
    <row r="900" spans="1:41" x14ac:dyDescent="0.25">
      <c r="A900" s="6" t="str">
        <f t="shared" si="254"/>
        <v>521-2025000801</v>
      </c>
      <c r="B900" s="6" t="str">
        <f t="shared" si="255"/>
        <v>LOSCH HA</v>
      </c>
      <c r="C900" s="7">
        <v>46010</v>
      </c>
      <c r="D900" s="7">
        <v>46041</v>
      </c>
      <c r="E900" s="8">
        <v>11</v>
      </c>
      <c r="F900" s="6" t="str">
        <f t="shared" si="256"/>
        <v>ENC. LOSCH - LANDHER</v>
      </c>
      <c r="G900" s="6" t="str">
        <f>"F161004115004184"</f>
        <v>F161004115004184</v>
      </c>
      <c r="H900" s="6" t="str">
        <f>"TA 41 / 4184 - 1500"</f>
        <v>TA 41 / 4184 - 1500</v>
      </c>
      <c r="I900" s="6" t="str">
        <f>"501202"</f>
        <v>501202</v>
      </c>
      <c r="J900" s="6" t="str">
        <f>"BRANCO /Cinza Escu"</f>
        <v>BRANCO /Cinza Escu</v>
      </c>
      <c r="K900" s="6" t="str">
        <f>"3015"</f>
        <v>3015</v>
      </c>
      <c r="L900" s="6" t="str">
        <f>"Tapetes"</f>
        <v>Tapetes</v>
      </c>
      <c r="M900" s="6" t="str">
        <f>"60x100"</f>
        <v>60x100</v>
      </c>
      <c r="N900" s="6" t="str">
        <f>"5605247940291"</f>
        <v>5605247940291</v>
      </c>
      <c r="O900" s="8">
        <v>12</v>
      </c>
      <c r="P900" s="7">
        <v>46010</v>
      </c>
      <c r="R900" s="8">
        <v>0</v>
      </c>
      <c r="U900" s="8">
        <v>0</v>
      </c>
      <c r="X900" s="8">
        <v>0</v>
      </c>
      <c r="Z900" s="8">
        <v>0</v>
      </c>
      <c r="AC900" s="8">
        <v>12</v>
      </c>
      <c r="AE900" s="7">
        <v>46027</v>
      </c>
      <c r="AF900" s="8">
        <v>12</v>
      </c>
      <c r="AH900" s="7">
        <v>46041</v>
      </c>
      <c r="AN900" s="8">
        <v>12</v>
      </c>
      <c r="AO900" s="8">
        <v>0</v>
      </c>
    </row>
    <row r="901" spans="1:41" x14ac:dyDescent="0.25">
      <c r="A901" s="6" t="str">
        <f t="shared" si="254"/>
        <v>521-2025000801</v>
      </c>
      <c r="B901" s="6" t="str">
        <f t="shared" si="255"/>
        <v>LOSCH HA</v>
      </c>
      <c r="C901" s="7">
        <v>46010</v>
      </c>
      <c r="D901" s="7">
        <v>46041</v>
      </c>
      <c r="E901" s="8">
        <v>12</v>
      </c>
      <c r="F901" s="6" t="str">
        <f t="shared" si="256"/>
        <v>ENC. LOSCH - LANDHER</v>
      </c>
      <c r="G901" s="6" t="str">
        <f>"F161004115014184"</f>
        <v>F161004115014184</v>
      </c>
      <c r="H901" s="6" t="str">
        <f>"TA 41 / 4184 - 1500"</f>
        <v>TA 41 / 4184 - 1500</v>
      </c>
      <c r="I901" s="6" t="str">
        <f>"501699"</f>
        <v>501699</v>
      </c>
      <c r="J901" s="6" t="str">
        <f>"CINZA 2620/BRANCO"</f>
        <v>CINZA 2620/BRANCO</v>
      </c>
      <c r="K901" s="6" t="str">
        <f>"3015"</f>
        <v>3015</v>
      </c>
      <c r="L901" s="6" t="str">
        <f>"Tapetes"</f>
        <v>Tapetes</v>
      </c>
      <c r="M901" s="6" t="str">
        <f>"60x100"</f>
        <v>60x100</v>
      </c>
      <c r="N901" s="6" t="str">
        <f>"5605247940307"</f>
        <v>5605247940307</v>
      </c>
      <c r="O901" s="8">
        <v>12</v>
      </c>
      <c r="P901" s="7">
        <v>46010</v>
      </c>
      <c r="R901" s="8">
        <v>0</v>
      </c>
      <c r="U901" s="8">
        <v>0</v>
      </c>
      <c r="X901" s="8">
        <v>0</v>
      </c>
      <c r="Z901" s="8">
        <v>0</v>
      </c>
      <c r="AC901" s="8">
        <v>12</v>
      </c>
      <c r="AE901" s="7">
        <v>46027</v>
      </c>
      <c r="AF901" s="8">
        <v>12</v>
      </c>
      <c r="AH901" s="7">
        <v>46041</v>
      </c>
      <c r="AN901" s="8">
        <v>12</v>
      </c>
      <c r="AO901" s="8">
        <v>0</v>
      </c>
    </row>
    <row r="902" spans="1:41" x14ac:dyDescent="0.25">
      <c r="A902" s="6" t="str">
        <f>"521-2025000802"</f>
        <v>521-2025000802</v>
      </c>
      <c r="B902" s="6" t="str">
        <f>"SOCIETE"</f>
        <v>SOCIETE</v>
      </c>
      <c r="C902" s="7">
        <v>46010</v>
      </c>
      <c r="D902" s="7">
        <v>46087</v>
      </c>
      <c r="E902" s="8">
        <v>10</v>
      </c>
      <c r="F902" s="6" t="str">
        <f>"1081295"</f>
        <v>1081295</v>
      </c>
      <c r="G902" s="6" t="str">
        <f>"F310625255000000"</f>
        <v>F310625255000000</v>
      </c>
      <c r="H902" s="6" t="str">
        <f>"PLAR 6252 - 550 g/m²"</f>
        <v>PLAR 6252 - 550 g/m²</v>
      </c>
      <c r="I902" s="6" t="str">
        <f>"200690"</f>
        <v>200690</v>
      </c>
      <c r="J902" s="6" t="str">
        <f>"BEGE 690"</f>
        <v>BEGE 690</v>
      </c>
      <c r="K902" s="6" t="str">
        <f>"0520"</f>
        <v>0520</v>
      </c>
      <c r="L902" s="6" t="str">
        <f>"Toalhetes"</f>
        <v>Toalhetes</v>
      </c>
      <c r="M902" s="6" t="str">
        <f>"30x50"</f>
        <v>30x50</v>
      </c>
      <c r="N902" s="6" t="str">
        <f t="shared" ref="N902:N942" si="258">" "</f>
        <v xml:space="preserve"> </v>
      </c>
      <c r="O902" s="8">
        <v>1200</v>
      </c>
      <c r="P902" s="7">
        <v>46063</v>
      </c>
      <c r="R902" s="8">
        <v>0</v>
      </c>
      <c r="S902" s="7">
        <v>46066</v>
      </c>
      <c r="U902" s="8">
        <v>0</v>
      </c>
      <c r="V902" s="7">
        <v>46073</v>
      </c>
      <c r="X902" s="8">
        <v>0</v>
      </c>
      <c r="Z902" s="8">
        <v>0</v>
      </c>
      <c r="AA902" s="7">
        <v>46085</v>
      </c>
      <c r="AC902" s="8">
        <v>0</v>
      </c>
      <c r="AE902" s="7">
        <v>46087</v>
      </c>
      <c r="AF902" s="8">
        <v>0</v>
      </c>
      <c r="AH902" s="7">
        <v>46087</v>
      </c>
      <c r="AN902" s="8">
        <v>0</v>
      </c>
      <c r="AO902" s="8">
        <v>1200</v>
      </c>
    </row>
    <row r="903" spans="1:41" x14ac:dyDescent="0.25">
      <c r="A903" s="6" t="str">
        <f>"521-2025000802"</f>
        <v>521-2025000802</v>
      </c>
      <c r="B903" s="6" t="str">
        <f>"SOCIETE"</f>
        <v>SOCIETE</v>
      </c>
      <c r="C903" s="7">
        <v>46010</v>
      </c>
      <c r="D903" s="7">
        <v>46087</v>
      </c>
      <c r="E903" s="8">
        <v>11</v>
      </c>
      <c r="F903" s="6" t="str">
        <f>"1081295"</f>
        <v>1081295</v>
      </c>
      <c r="G903" s="6" t="str">
        <f>"F310625255000000"</f>
        <v>F310625255000000</v>
      </c>
      <c r="H903" s="6" t="str">
        <f>"PLAR 6252 - 550 g/m²"</f>
        <v>PLAR 6252 - 550 g/m²</v>
      </c>
      <c r="I903" s="6" t="str">
        <f>"200690"</f>
        <v>200690</v>
      </c>
      <c r="J903" s="6" t="str">
        <f>"BEGE 690"</f>
        <v>BEGE 690</v>
      </c>
      <c r="K903" s="6" t="str">
        <f>"2020"</f>
        <v>2020</v>
      </c>
      <c r="L903" s="6" t="str">
        <f>"Lençóis"</f>
        <v>Lençóis</v>
      </c>
      <c r="M903" s="6" t="str">
        <f>"100x150"</f>
        <v>100x150</v>
      </c>
      <c r="N903" s="6" t="str">
        <f t="shared" si="258"/>
        <v xml:space="preserve"> </v>
      </c>
      <c r="O903" s="8">
        <v>300</v>
      </c>
      <c r="P903" s="7">
        <v>46063</v>
      </c>
      <c r="R903" s="8">
        <v>0</v>
      </c>
      <c r="S903" s="7">
        <v>46066</v>
      </c>
      <c r="U903" s="8">
        <v>0</v>
      </c>
      <c r="V903" s="7">
        <v>46073</v>
      </c>
      <c r="X903" s="8">
        <v>0</v>
      </c>
      <c r="Z903" s="8">
        <v>0</v>
      </c>
      <c r="AA903" s="7">
        <v>46085</v>
      </c>
      <c r="AC903" s="8">
        <v>0</v>
      </c>
      <c r="AE903" s="7">
        <v>46087</v>
      </c>
      <c r="AF903" s="8">
        <v>0</v>
      </c>
      <c r="AH903" s="7">
        <v>46087</v>
      </c>
      <c r="AN903" s="8">
        <v>0</v>
      </c>
      <c r="AO903" s="8">
        <v>300</v>
      </c>
    </row>
    <row r="904" spans="1:41" x14ac:dyDescent="0.25">
      <c r="A904" s="6" t="str">
        <f>"521-2025000802"</f>
        <v>521-2025000802</v>
      </c>
      <c r="B904" s="6" t="str">
        <f>"SOCIETE"</f>
        <v>SOCIETE</v>
      </c>
      <c r="C904" s="7">
        <v>46010</v>
      </c>
      <c r="D904" s="7">
        <v>46087</v>
      </c>
      <c r="E904" s="8">
        <v>12</v>
      </c>
      <c r="F904" s="6" t="str">
        <f>"1081295"</f>
        <v>1081295</v>
      </c>
      <c r="G904" s="6" t="str">
        <f>"F310625255000000"</f>
        <v>F310625255000000</v>
      </c>
      <c r="H904" s="6" t="str">
        <f>"PLAR 6252 - 550 g/m²"</f>
        <v>PLAR 6252 - 550 g/m²</v>
      </c>
      <c r="I904" s="6" t="str">
        <f>"203733"</f>
        <v>203733</v>
      </c>
      <c r="J904" s="6" t="str">
        <f>"VERDE 3733"</f>
        <v>VERDE 3733</v>
      </c>
      <c r="K904" s="6" t="str">
        <f>"0520"</f>
        <v>0520</v>
      </c>
      <c r="L904" s="6" t="str">
        <f>"Toalhetes"</f>
        <v>Toalhetes</v>
      </c>
      <c r="M904" s="6" t="str">
        <f>"30x50"</f>
        <v>30x50</v>
      </c>
      <c r="N904" s="6" t="str">
        <f t="shared" si="258"/>
        <v xml:space="preserve"> </v>
      </c>
      <c r="O904" s="8">
        <v>1200</v>
      </c>
      <c r="P904" s="7">
        <v>46063</v>
      </c>
      <c r="R904" s="8">
        <v>0</v>
      </c>
      <c r="S904" s="7">
        <v>46066</v>
      </c>
      <c r="U904" s="8">
        <v>0</v>
      </c>
      <c r="V904" s="7">
        <v>46073</v>
      </c>
      <c r="X904" s="8">
        <v>0</v>
      </c>
      <c r="Z904" s="8">
        <v>0</v>
      </c>
      <c r="AA904" s="7">
        <v>46085</v>
      </c>
      <c r="AC904" s="8">
        <v>0</v>
      </c>
      <c r="AE904" s="7">
        <v>46087</v>
      </c>
      <c r="AF904" s="8">
        <v>0</v>
      </c>
      <c r="AH904" s="7">
        <v>46087</v>
      </c>
      <c r="AN904" s="8">
        <v>0</v>
      </c>
      <c r="AO904" s="8">
        <v>1200</v>
      </c>
    </row>
    <row r="905" spans="1:41" x14ac:dyDescent="0.25">
      <c r="A905" s="6" t="str">
        <f>"521-2025000802"</f>
        <v>521-2025000802</v>
      </c>
      <c r="B905" s="6" t="str">
        <f>"SOCIETE"</f>
        <v>SOCIETE</v>
      </c>
      <c r="C905" s="7">
        <v>46010</v>
      </c>
      <c r="D905" s="7">
        <v>46087</v>
      </c>
      <c r="E905" s="8">
        <v>13</v>
      </c>
      <c r="F905" s="6" t="str">
        <f>"1081295"</f>
        <v>1081295</v>
      </c>
      <c r="G905" s="6" t="str">
        <f>"F310625295000000"</f>
        <v>F310625295000000</v>
      </c>
      <c r="H905" s="6" t="str">
        <f>"PLAR 6252 TA - 950 g"</f>
        <v>PLAR 6252 TA - 950 g</v>
      </c>
      <c r="I905" s="6" t="str">
        <f>"203733"</f>
        <v>203733</v>
      </c>
      <c r="J905" s="6" t="str">
        <f>"VERDE 3733"</f>
        <v>VERDE 3733</v>
      </c>
      <c r="K905" s="6" t="str">
        <f>"3020"</f>
        <v>3020</v>
      </c>
      <c r="L905" s="6" t="str">
        <f>"Tapetes"</f>
        <v>Tapetes</v>
      </c>
      <c r="M905" s="6" t="str">
        <f>"50x80"</f>
        <v>50x80</v>
      </c>
      <c r="N905" s="6" t="str">
        <f t="shared" si="258"/>
        <v xml:space="preserve"> </v>
      </c>
      <c r="O905" s="8">
        <v>800</v>
      </c>
      <c r="P905" s="7">
        <v>46063</v>
      </c>
      <c r="R905" s="8">
        <v>0</v>
      </c>
      <c r="S905" s="7">
        <v>46066</v>
      </c>
      <c r="U905" s="8">
        <v>0</v>
      </c>
      <c r="V905" s="7">
        <v>46073</v>
      </c>
      <c r="X905" s="8">
        <v>0</v>
      </c>
      <c r="Z905" s="8">
        <v>0</v>
      </c>
      <c r="AA905" s="7">
        <v>46085</v>
      </c>
      <c r="AC905" s="8">
        <v>0</v>
      </c>
      <c r="AE905" s="7">
        <v>46087</v>
      </c>
      <c r="AF905" s="8">
        <v>0</v>
      </c>
      <c r="AH905" s="7">
        <v>46087</v>
      </c>
      <c r="AN905" s="8">
        <v>0</v>
      </c>
      <c r="AO905" s="8">
        <v>800</v>
      </c>
    </row>
    <row r="906" spans="1:41" x14ac:dyDescent="0.25">
      <c r="A906" s="6" t="str">
        <f>"521-2025000803"</f>
        <v>521-2025000803</v>
      </c>
      <c r="B906" s="6" t="str">
        <f>"OSCEP -"</f>
        <v>OSCEP -</v>
      </c>
      <c r="C906" s="7">
        <v>46013</v>
      </c>
      <c r="D906" s="7">
        <v>46094</v>
      </c>
      <c r="E906" s="8">
        <v>1</v>
      </c>
      <c r="F906" s="6" t="str">
        <f>"PDNPR00325003582"</f>
        <v>PDNPR00325003582</v>
      </c>
      <c r="G906" s="6" t="str">
        <f>"F600248442000000"</f>
        <v>F600248442000000</v>
      </c>
      <c r="H906" s="6" t="str">
        <f>"10-2484 - 420 g/m²"</f>
        <v>10-2484 - 420 g/m²</v>
      </c>
      <c r="I906" s="6" t="str">
        <f>"204926"</f>
        <v>204926</v>
      </c>
      <c r="J906" s="6" t="str">
        <f>"AZUL 4926"</f>
        <v>AZUL 4926</v>
      </c>
      <c r="K906" s="6" t="str">
        <f>"3530"</f>
        <v>3530</v>
      </c>
      <c r="L906" s="6" t="str">
        <f>"Praia"</f>
        <v>Praia</v>
      </c>
      <c r="M906" s="6" t="str">
        <f>"100x180"</f>
        <v>100x180</v>
      </c>
      <c r="N906" s="6" t="str">
        <f t="shared" si="258"/>
        <v xml:space="preserve"> </v>
      </c>
      <c r="O906" s="8">
        <v>1200</v>
      </c>
      <c r="P906" s="7">
        <v>46072</v>
      </c>
      <c r="R906" s="8">
        <v>1242</v>
      </c>
      <c r="S906" s="7">
        <v>46077</v>
      </c>
      <c r="U906" s="8">
        <v>1242</v>
      </c>
      <c r="V906" s="7">
        <v>46080</v>
      </c>
      <c r="X906" s="8">
        <v>0</v>
      </c>
      <c r="Z906" s="8">
        <v>1242</v>
      </c>
      <c r="AA906" s="7">
        <v>46092</v>
      </c>
      <c r="AC906" s="8">
        <v>0</v>
      </c>
      <c r="AE906" s="7">
        <v>46094</v>
      </c>
      <c r="AF906" s="8">
        <v>0</v>
      </c>
      <c r="AH906" s="7">
        <v>46094</v>
      </c>
      <c r="AN906" s="8">
        <v>0</v>
      </c>
      <c r="AO906" s="8">
        <v>1200</v>
      </c>
    </row>
    <row r="907" spans="1:41" x14ac:dyDescent="0.25">
      <c r="A907" s="6" t="str">
        <f t="shared" ref="A907:A936" si="259">"521-2025000807"</f>
        <v>521-2025000807</v>
      </c>
      <c r="B907" s="6" t="str">
        <f t="shared" ref="B907:B936" si="260">"JENDRIK"</f>
        <v>JENDRIK</v>
      </c>
      <c r="C907" s="7">
        <v>46020</v>
      </c>
      <c r="D907" s="7">
        <v>46115</v>
      </c>
      <c r="E907" s="8">
        <v>1</v>
      </c>
      <c r="F907" s="6" t="str">
        <f t="shared" ref="F907:F936" si="261">"PO#02"</f>
        <v>PO#02</v>
      </c>
      <c r="G907" s="6" t="str">
        <f>"R310383040000000"</f>
        <v>R310383040000000</v>
      </c>
      <c r="H907" s="6" t="str">
        <f>"R 3830 - PLAR 6340 B"</f>
        <v>R 3830 - PLAR 6340 B</v>
      </c>
      <c r="I907" s="6" t="str">
        <f>"203450"</f>
        <v>203450</v>
      </c>
      <c r="J907" s="6" t="str">
        <f>"LARANJA 3450"</f>
        <v>LARANJA 3450</v>
      </c>
      <c r="K907" s="6" t="str">
        <f>"5016"</f>
        <v>5016</v>
      </c>
      <c r="L907" s="6" t="str">
        <f>"Roupões Adulto"</f>
        <v>Roupões Adulto</v>
      </c>
      <c r="M907" s="6" t="str">
        <f>"S/M"</f>
        <v>S/M</v>
      </c>
      <c r="N907" s="6" t="str">
        <f t="shared" si="258"/>
        <v xml:space="preserve"> </v>
      </c>
      <c r="O907" s="8">
        <v>200</v>
      </c>
      <c r="P907" s="7">
        <v>46085</v>
      </c>
      <c r="R907" s="8">
        <v>0</v>
      </c>
      <c r="S907" s="7">
        <v>46090</v>
      </c>
      <c r="U907" s="8">
        <v>0</v>
      </c>
      <c r="V907" s="7">
        <v>46097</v>
      </c>
      <c r="X907" s="8">
        <v>0</v>
      </c>
      <c r="Z907" s="8">
        <v>0</v>
      </c>
      <c r="AA907" s="7">
        <v>46111</v>
      </c>
      <c r="AC907" s="8">
        <v>0</v>
      </c>
      <c r="AE907" s="7">
        <v>46114</v>
      </c>
      <c r="AF907" s="8">
        <v>0</v>
      </c>
      <c r="AH907" s="7">
        <v>46115</v>
      </c>
      <c r="AN907" s="8">
        <v>0</v>
      </c>
      <c r="AO907" s="8">
        <v>200</v>
      </c>
    </row>
    <row r="908" spans="1:41" x14ac:dyDescent="0.25">
      <c r="A908" s="6" t="str">
        <f t="shared" si="259"/>
        <v>521-2025000807</v>
      </c>
      <c r="B908" s="6" t="str">
        <f t="shared" si="260"/>
        <v>JENDRIK</v>
      </c>
      <c r="C908" s="7">
        <v>46020</v>
      </c>
      <c r="D908" s="7">
        <v>46115</v>
      </c>
      <c r="E908" s="8">
        <v>2</v>
      </c>
      <c r="F908" s="6" t="str">
        <f t="shared" si="261"/>
        <v>PO#02</v>
      </c>
      <c r="G908" s="6" t="str">
        <f>"R310383040000000"</f>
        <v>R310383040000000</v>
      </c>
      <c r="H908" s="6" t="str">
        <f>"R 3830 - PLAR 6340 B"</f>
        <v>R 3830 - PLAR 6340 B</v>
      </c>
      <c r="I908" s="6" t="str">
        <f>"203450"</f>
        <v>203450</v>
      </c>
      <c r="J908" s="6" t="str">
        <f>"LARANJA 3450"</f>
        <v>LARANJA 3450</v>
      </c>
      <c r="K908" s="6" t="str">
        <f>"5018"</f>
        <v>5018</v>
      </c>
      <c r="L908" s="6" t="str">
        <f>"Roupões Adulto"</f>
        <v>Roupões Adulto</v>
      </c>
      <c r="M908" s="6" t="str">
        <f>"L/XL"</f>
        <v>L/XL</v>
      </c>
      <c r="N908" s="6" t="str">
        <f t="shared" si="258"/>
        <v xml:space="preserve"> </v>
      </c>
      <c r="O908" s="8">
        <v>100</v>
      </c>
      <c r="P908" s="7">
        <v>46085</v>
      </c>
      <c r="R908" s="8">
        <v>0</v>
      </c>
      <c r="S908" s="7">
        <v>46090</v>
      </c>
      <c r="U908" s="8">
        <v>0</v>
      </c>
      <c r="V908" s="7">
        <v>46097</v>
      </c>
      <c r="X908" s="8">
        <v>0</v>
      </c>
      <c r="Z908" s="8">
        <v>0</v>
      </c>
      <c r="AA908" s="7">
        <v>46111</v>
      </c>
      <c r="AC908" s="8">
        <v>0</v>
      </c>
      <c r="AE908" s="7">
        <v>46114</v>
      </c>
      <c r="AF908" s="8">
        <v>0</v>
      </c>
      <c r="AH908" s="7">
        <v>46115</v>
      </c>
      <c r="AN908" s="8">
        <v>0</v>
      </c>
      <c r="AO908" s="8">
        <v>100</v>
      </c>
    </row>
    <row r="909" spans="1:41" x14ac:dyDescent="0.25">
      <c r="A909" s="6" t="str">
        <f t="shared" si="259"/>
        <v>521-2025000807</v>
      </c>
      <c r="B909" s="6" t="str">
        <f t="shared" si="260"/>
        <v>JENDRIK</v>
      </c>
      <c r="C909" s="7">
        <v>46020</v>
      </c>
      <c r="D909" s="7">
        <v>46115</v>
      </c>
      <c r="E909" s="8">
        <v>3</v>
      </c>
      <c r="F909" s="6" t="str">
        <f t="shared" si="261"/>
        <v>PO#02</v>
      </c>
      <c r="G909" s="6" t="str">
        <f>"K310243840000000"</f>
        <v>K310243840000000</v>
      </c>
      <c r="H909" s="6" t="str">
        <f>"KB 2438 - PLAR 6340"</f>
        <v>KB 2438 - PLAR 6340</v>
      </c>
      <c r="I909" s="6" t="str">
        <f>"203450"</f>
        <v>203450</v>
      </c>
      <c r="J909" s="6" t="str">
        <f>"LARANJA 3450"</f>
        <v>LARANJA 3450</v>
      </c>
      <c r="K909" s="6" t="str">
        <f>"8000"</f>
        <v>8000</v>
      </c>
      <c r="L909" s="6" t="str">
        <f>"Diversos"</f>
        <v>Diversos</v>
      </c>
      <c r="M909" s="6" t="str">
        <f>"Único"</f>
        <v>Único</v>
      </c>
      <c r="N909" s="6" t="str">
        <f t="shared" si="258"/>
        <v xml:space="preserve"> </v>
      </c>
      <c r="O909" s="8">
        <v>200</v>
      </c>
      <c r="P909" s="7">
        <v>46085</v>
      </c>
      <c r="R909" s="8">
        <v>0</v>
      </c>
      <c r="S909" s="7">
        <v>46090</v>
      </c>
      <c r="U909" s="8">
        <v>0</v>
      </c>
      <c r="V909" s="7">
        <v>46097</v>
      </c>
      <c r="X909" s="8">
        <v>0</v>
      </c>
      <c r="Z909" s="8">
        <v>0</v>
      </c>
      <c r="AA909" s="7">
        <v>46111</v>
      </c>
      <c r="AC909" s="8">
        <v>0</v>
      </c>
      <c r="AE909" s="7">
        <v>46114</v>
      </c>
      <c r="AF909" s="8">
        <v>0</v>
      </c>
      <c r="AH909" s="7">
        <v>46115</v>
      </c>
      <c r="AN909" s="8">
        <v>0</v>
      </c>
      <c r="AO909" s="8">
        <v>200</v>
      </c>
    </row>
    <row r="910" spans="1:41" x14ac:dyDescent="0.25">
      <c r="A910" s="6" t="str">
        <f t="shared" si="259"/>
        <v>521-2025000807</v>
      </c>
      <c r="B910" s="6" t="str">
        <f t="shared" si="260"/>
        <v>JENDRIK</v>
      </c>
      <c r="C910" s="7">
        <v>46020</v>
      </c>
      <c r="D910" s="7">
        <v>46115</v>
      </c>
      <c r="E910" s="8">
        <v>4</v>
      </c>
      <c r="F910" s="6" t="str">
        <f t="shared" si="261"/>
        <v>PO#02</v>
      </c>
      <c r="G910" s="6" t="str">
        <f t="shared" ref="G910:G915" si="262">"F310634050000000"</f>
        <v>F310634050000000</v>
      </c>
      <c r="H910" s="6" t="str">
        <f t="shared" ref="H910:H915" si="263">"PLAR 6340 Bio GOTS -"</f>
        <v>PLAR 6340 Bio GOTS -</v>
      </c>
      <c r="I910" s="6" t="str">
        <f>"200094"</f>
        <v>200094</v>
      </c>
      <c r="J910" s="6" t="str">
        <f>"ROSA 94"</f>
        <v>ROSA 94</v>
      </c>
      <c r="K910" s="6" t="str">
        <f>"1020"</f>
        <v>1020</v>
      </c>
      <c r="L910" s="6" t="str">
        <f>"Toalhas"</f>
        <v>Toalhas</v>
      </c>
      <c r="M910" s="6" t="str">
        <f>"50x90"</f>
        <v>50x90</v>
      </c>
      <c r="N910" s="6" t="str">
        <f t="shared" si="258"/>
        <v xml:space="preserve"> </v>
      </c>
      <c r="O910" s="8">
        <v>800</v>
      </c>
      <c r="P910" s="7">
        <v>46085</v>
      </c>
      <c r="R910" s="8">
        <v>0</v>
      </c>
      <c r="S910" s="7">
        <v>46090</v>
      </c>
      <c r="U910" s="8">
        <v>0</v>
      </c>
      <c r="V910" s="7">
        <v>46097</v>
      </c>
      <c r="X910" s="8">
        <v>0</v>
      </c>
      <c r="Z910" s="8">
        <v>0</v>
      </c>
      <c r="AA910" s="7">
        <v>46111</v>
      </c>
      <c r="AC910" s="8">
        <v>0</v>
      </c>
      <c r="AE910" s="7">
        <v>46114</v>
      </c>
      <c r="AF910" s="8">
        <v>0</v>
      </c>
      <c r="AH910" s="7">
        <v>46115</v>
      </c>
      <c r="AN910" s="8">
        <v>0</v>
      </c>
      <c r="AO910" s="8">
        <v>800</v>
      </c>
    </row>
    <row r="911" spans="1:41" x14ac:dyDescent="0.25">
      <c r="A911" s="6" t="str">
        <f t="shared" si="259"/>
        <v>521-2025000807</v>
      </c>
      <c r="B911" s="6" t="str">
        <f t="shared" si="260"/>
        <v>JENDRIK</v>
      </c>
      <c r="C911" s="7">
        <v>46020</v>
      </c>
      <c r="D911" s="7">
        <v>46115</v>
      </c>
      <c r="E911" s="8">
        <v>5</v>
      </c>
      <c r="F911" s="6" t="str">
        <f t="shared" si="261"/>
        <v>PO#02</v>
      </c>
      <c r="G911" s="6" t="str">
        <f t="shared" si="262"/>
        <v>F310634050000000</v>
      </c>
      <c r="H911" s="6" t="str">
        <f t="shared" si="263"/>
        <v>PLAR 6340 Bio GOTS -</v>
      </c>
      <c r="I911" s="6" t="str">
        <f>"200094"</f>
        <v>200094</v>
      </c>
      <c r="J911" s="6" t="str">
        <f>"ROSA 94"</f>
        <v>ROSA 94</v>
      </c>
      <c r="K911" s="6" t="str">
        <f>"1576"</f>
        <v>1576</v>
      </c>
      <c r="L911" s="6" t="str">
        <f>"Toalhões"</f>
        <v>Toalhões</v>
      </c>
      <c r="M911" s="6" t="str">
        <f>"76x140"</f>
        <v>76x140</v>
      </c>
      <c r="N911" s="6" t="str">
        <f t="shared" si="258"/>
        <v xml:space="preserve"> </v>
      </c>
      <c r="O911" s="8">
        <v>400</v>
      </c>
      <c r="P911" s="7">
        <v>46085</v>
      </c>
      <c r="R911" s="8">
        <v>0</v>
      </c>
      <c r="S911" s="7">
        <v>46090</v>
      </c>
      <c r="U911" s="8">
        <v>0</v>
      </c>
      <c r="V911" s="7">
        <v>46097</v>
      </c>
      <c r="X911" s="8">
        <v>0</v>
      </c>
      <c r="Z911" s="8">
        <v>0</v>
      </c>
      <c r="AA911" s="7">
        <v>46111</v>
      </c>
      <c r="AC911" s="8">
        <v>0</v>
      </c>
      <c r="AE911" s="7">
        <v>46114</v>
      </c>
      <c r="AF911" s="8">
        <v>0</v>
      </c>
      <c r="AH911" s="7">
        <v>46115</v>
      </c>
      <c r="AN911" s="8">
        <v>0</v>
      </c>
      <c r="AO911" s="8">
        <v>400</v>
      </c>
    </row>
    <row r="912" spans="1:41" x14ac:dyDescent="0.25">
      <c r="A912" s="6" t="str">
        <f t="shared" si="259"/>
        <v>521-2025000807</v>
      </c>
      <c r="B912" s="6" t="str">
        <f t="shared" si="260"/>
        <v>JENDRIK</v>
      </c>
      <c r="C912" s="7">
        <v>46020</v>
      </c>
      <c r="D912" s="7">
        <v>46115</v>
      </c>
      <c r="E912" s="8">
        <v>6</v>
      </c>
      <c r="F912" s="6" t="str">
        <f t="shared" si="261"/>
        <v>PO#02</v>
      </c>
      <c r="G912" s="6" t="str">
        <f t="shared" si="262"/>
        <v>F310634050000000</v>
      </c>
      <c r="H912" s="6" t="str">
        <f t="shared" si="263"/>
        <v>PLAR 6340 Bio GOTS -</v>
      </c>
      <c r="I912" s="6" t="str">
        <f>"200724"</f>
        <v>200724</v>
      </c>
      <c r="J912" s="6" t="str">
        <f>"ROSA 724"</f>
        <v>ROSA 724</v>
      </c>
      <c r="K912" s="6" t="str">
        <f>"1020"</f>
        <v>1020</v>
      </c>
      <c r="L912" s="6" t="str">
        <f>"Toalhas"</f>
        <v>Toalhas</v>
      </c>
      <c r="M912" s="6" t="str">
        <f>"50x90"</f>
        <v>50x90</v>
      </c>
      <c r="N912" s="6" t="str">
        <f t="shared" si="258"/>
        <v xml:space="preserve"> </v>
      </c>
      <c r="O912" s="8">
        <v>800</v>
      </c>
      <c r="P912" s="7">
        <v>46085</v>
      </c>
      <c r="R912" s="8">
        <v>0</v>
      </c>
      <c r="S912" s="7">
        <v>46090</v>
      </c>
      <c r="U912" s="8">
        <v>0</v>
      </c>
      <c r="V912" s="7">
        <v>46097</v>
      </c>
      <c r="X912" s="8">
        <v>0</v>
      </c>
      <c r="Z912" s="8">
        <v>0</v>
      </c>
      <c r="AA912" s="7">
        <v>46111</v>
      </c>
      <c r="AC912" s="8">
        <v>0</v>
      </c>
      <c r="AE912" s="7">
        <v>46114</v>
      </c>
      <c r="AF912" s="8">
        <v>0</v>
      </c>
      <c r="AH912" s="7">
        <v>46115</v>
      </c>
      <c r="AN912" s="8">
        <v>0</v>
      </c>
      <c r="AO912" s="8">
        <v>800</v>
      </c>
    </row>
    <row r="913" spans="1:41" x14ac:dyDescent="0.25">
      <c r="A913" s="6" t="str">
        <f t="shared" si="259"/>
        <v>521-2025000807</v>
      </c>
      <c r="B913" s="6" t="str">
        <f t="shared" si="260"/>
        <v>JENDRIK</v>
      </c>
      <c r="C913" s="7">
        <v>46020</v>
      </c>
      <c r="D913" s="7">
        <v>46115</v>
      </c>
      <c r="E913" s="8">
        <v>7</v>
      </c>
      <c r="F913" s="6" t="str">
        <f t="shared" si="261"/>
        <v>PO#02</v>
      </c>
      <c r="G913" s="6" t="str">
        <f t="shared" si="262"/>
        <v>F310634050000000</v>
      </c>
      <c r="H913" s="6" t="str">
        <f t="shared" si="263"/>
        <v>PLAR 6340 Bio GOTS -</v>
      </c>
      <c r="I913" s="6" t="str">
        <f>"200724"</f>
        <v>200724</v>
      </c>
      <c r="J913" s="6" t="str">
        <f>"ROSA 724"</f>
        <v>ROSA 724</v>
      </c>
      <c r="K913" s="6" t="str">
        <f>"1576"</f>
        <v>1576</v>
      </c>
      <c r="L913" s="6" t="str">
        <f>"Toalhões"</f>
        <v>Toalhões</v>
      </c>
      <c r="M913" s="6" t="str">
        <f>"76x140"</f>
        <v>76x140</v>
      </c>
      <c r="N913" s="6" t="str">
        <f t="shared" si="258"/>
        <v xml:space="preserve"> </v>
      </c>
      <c r="O913" s="8">
        <v>400</v>
      </c>
      <c r="P913" s="7">
        <v>46085</v>
      </c>
      <c r="R913" s="8">
        <v>0</v>
      </c>
      <c r="S913" s="7">
        <v>46090</v>
      </c>
      <c r="U913" s="8">
        <v>0</v>
      </c>
      <c r="V913" s="7">
        <v>46097</v>
      </c>
      <c r="X913" s="8">
        <v>0</v>
      </c>
      <c r="Z913" s="8">
        <v>0</v>
      </c>
      <c r="AA913" s="7">
        <v>46111</v>
      </c>
      <c r="AC913" s="8">
        <v>0</v>
      </c>
      <c r="AE913" s="7">
        <v>46114</v>
      </c>
      <c r="AF913" s="8">
        <v>0</v>
      </c>
      <c r="AH913" s="7">
        <v>46115</v>
      </c>
      <c r="AN913" s="8">
        <v>0</v>
      </c>
      <c r="AO913" s="8">
        <v>400</v>
      </c>
    </row>
    <row r="914" spans="1:41" x14ac:dyDescent="0.25">
      <c r="A914" s="6" t="str">
        <f t="shared" si="259"/>
        <v>521-2025000807</v>
      </c>
      <c r="B914" s="6" t="str">
        <f t="shared" si="260"/>
        <v>JENDRIK</v>
      </c>
      <c r="C914" s="7">
        <v>46020</v>
      </c>
      <c r="D914" s="7">
        <v>46115</v>
      </c>
      <c r="E914" s="8">
        <v>8</v>
      </c>
      <c r="F914" s="6" t="str">
        <f t="shared" si="261"/>
        <v>PO#02</v>
      </c>
      <c r="G914" s="6" t="str">
        <f t="shared" si="262"/>
        <v>F310634050000000</v>
      </c>
      <c r="H914" s="6" t="str">
        <f t="shared" si="263"/>
        <v>PLAR 6340 Bio GOTS -</v>
      </c>
      <c r="I914" s="6" t="str">
        <f>"200589"</f>
        <v>200589</v>
      </c>
      <c r="J914" s="6" t="str">
        <f>"SALMAO 589"</f>
        <v>SALMAO 589</v>
      </c>
      <c r="K914" s="6" t="str">
        <f>"1020"</f>
        <v>1020</v>
      </c>
      <c r="L914" s="6" t="str">
        <f>"Toalhas"</f>
        <v>Toalhas</v>
      </c>
      <c r="M914" s="6" t="str">
        <f>"50x90"</f>
        <v>50x90</v>
      </c>
      <c r="N914" s="6" t="str">
        <f t="shared" si="258"/>
        <v xml:space="preserve"> </v>
      </c>
      <c r="O914" s="8">
        <v>800</v>
      </c>
      <c r="P914" s="7">
        <v>46085</v>
      </c>
      <c r="R914" s="8">
        <v>0</v>
      </c>
      <c r="S914" s="7">
        <v>46090</v>
      </c>
      <c r="U914" s="8">
        <v>0</v>
      </c>
      <c r="V914" s="7">
        <v>46097</v>
      </c>
      <c r="X914" s="8">
        <v>0</v>
      </c>
      <c r="Z914" s="8">
        <v>0</v>
      </c>
      <c r="AA914" s="7">
        <v>46111</v>
      </c>
      <c r="AC914" s="8">
        <v>0</v>
      </c>
      <c r="AE914" s="7">
        <v>46114</v>
      </c>
      <c r="AF914" s="8">
        <v>0</v>
      </c>
      <c r="AH914" s="7">
        <v>46115</v>
      </c>
      <c r="AN914" s="8">
        <v>0</v>
      </c>
      <c r="AO914" s="8">
        <v>800</v>
      </c>
    </row>
    <row r="915" spans="1:41" x14ac:dyDescent="0.25">
      <c r="A915" s="6" t="str">
        <f t="shared" si="259"/>
        <v>521-2025000807</v>
      </c>
      <c r="B915" s="6" t="str">
        <f t="shared" si="260"/>
        <v>JENDRIK</v>
      </c>
      <c r="C915" s="7">
        <v>46020</v>
      </c>
      <c r="D915" s="7">
        <v>46115</v>
      </c>
      <c r="E915" s="8">
        <v>9</v>
      </c>
      <c r="F915" s="6" t="str">
        <f t="shared" si="261"/>
        <v>PO#02</v>
      </c>
      <c r="G915" s="6" t="str">
        <f t="shared" si="262"/>
        <v>F310634050000000</v>
      </c>
      <c r="H915" s="6" t="str">
        <f t="shared" si="263"/>
        <v>PLAR 6340 Bio GOTS -</v>
      </c>
      <c r="I915" s="6" t="str">
        <f>"200589"</f>
        <v>200589</v>
      </c>
      <c r="J915" s="6" t="str">
        <f>"SALMAO 589"</f>
        <v>SALMAO 589</v>
      </c>
      <c r="K915" s="6" t="str">
        <f>"1576"</f>
        <v>1576</v>
      </c>
      <c r="L915" s="6" t="str">
        <f>"Toalhões"</f>
        <v>Toalhões</v>
      </c>
      <c r="M915" s="6" t="str">
        <f>"76x140"</f>
        <v>76x140</v>
      </c>
      <c r="N915" s="6" t="str">
        <f t="shared" si="258"/>
        <v xml:space="preserve"> </v>
      </c>
      <c r="O915" s="8">
        <v>400</v>
      </c>
      <c r="P915" s="7">
        <v>46085</v>
      </c>
      <c r="R915" s="8">
        <v>0</v>
      </c>
      <c r="S915" s="7">
        <v>46090</v>
      </c>
      <c r="U915" s="8">
        <v>0</v>
      </c>
      <c r="V915" s="7">
        <v>46097</v>
      </c>
      <c r="X915" s="8">
        <v>0</v>
      </c>
      <c r="Z915" s="8">
        <v>0</v>
      </c>
      <c r="AA915" s="7">
        <v>46111</v>
      </c>
      <c r="AC915" s="8">
        <v>0</v>
      </c>
      <c r="AE915" s="7">
        <v>46114</v>
      </c>
      <c r="AF915" s="8">
        <v>0</v>
      </c>
      <c r="AH915" s="7">
        <v>46115</v>
      </c>
      <c r="AN915" s="8">
        <v>0</v>
      </c>
      <c r="AO915" s="8">
        <v>400</v>
      </c>
    </row>
    <row r="916" spans="1:41" x14ac:dyDescent="0.25">
      <c r="A916" s="6" t="str">
        <f t="shared" si="259"/>
        <v>521-2025000807</v>
      </c>
      <c r="B916" s="6" t="str">
        <f t="shared" si="260"/>
        <v>JENDRIK</v>
      </c>
      <c r="C916" s="7">
        <v>46020</v>
      </c>
      <c r="D916" s="7">
        <v>46115</v>
      </c>
      <c r="E916" s="8">
        <v>10</v>
      </c>
      <c r="F916" s="6" t="str">
        <f t="shared" si="261"/>
        <v>PO#02</v>
      </c>
      <c r="G916" s="6" t="str">
        <f>"F310634150000000"</f>
        <v>F310634150000000</v>
      </c>
      <c r="H916" s="6" t="str">
        <f>"PLAR 6341 Bio GOTS -"</f>
        <v>PLAR 6341 Bio GOTS -</v>
      </c>
      <c r="I916" s="6" t="str">
        <f>"200013"</f>
        <v>200013</v>
      </c>
      <c r="J916" s="6" t="str">
        <f>"ROSA 13"</f>
        <v>ROSA 13</v>
      </c>
      <c r="K916" s="6" t="str">
        <f>"1020"</f>
        <v>1020</v>
      </c>
      <c r="L916" s="6" t="str">
        <f>"Toalhas"</f>
        <v>Toalhas</v>
      </c>
      <c r="M916" s="6" t="str">
        <f>"50x90"</f>
        <v>50x90</v>
      </c>
      <c r="N916" s="6" t="str">
        <f t="shared" si="258"/>
        <v xml:space="preserve"> </v>
      </c>
      <c r="O916" s="8">
        <v>800</v>
      </c>
      <c r="P916" s="7">
        <v>46085</v>
      </c>
      <c r="R916" s="8">
        <v>0</v>
      </c>
      <c r="S916" s="7">
        <v>46090</v>
      </c>
      <c r="U916" s="8">
        <v>0</v>
      </c>
      <c r="V916" s="7">
        <v>46097</v>
      </c>
      <c r="X916" s="8">
        <v>0</v>
      </c>
      <c r="Z916" s="8">
        <v>0</v>
      </c>
      <c r="AA916" s="7">
        <v>46111</v>
      </c>
      <c r="AC916" s="8">
        <v>0</v>
      </c>
      <c r="AE916" s="7">
        <v>46114</v>
      </c>
      <c r="AF916" s="8">
        <v>0</v>
      </c>
      <c r="AH916" s="7">
        <v>46115</v>
      </c>
      <c r="AN916" s="8">
        <v>0</v>
      </c>
      <c r="AO916" s="8">
        <v>800</v>
      </c>
    </row>
    <row r="917" spans="1:41" x14ac:dyDescent="0.25">
      <c r="A917" s="6" t="str">
        <f t="shared" si="259"/>
        <v>521-2025000807</v>
      </c>
      <c r="B917" s="6" t="str">
        <f t="shared" si="260"/>
        <v>JENDRIK</v>
      </c>
      <c r="C917" s="7">
        <v>46020</v>
      </c>
      <c r="D917" s="7">
        <v>46115</v>
      </c>
      <c r="E917" s="8">
        <v>11</v>
      </c>
      <c r="F917" s="6" t="str">
        <f t="shared" si="261"/>
        <v>PO#02</v>
      </c>
      <c r="G917" s="6" t="str">
        <f>"F310634150000000"</f>
        <v>F310634150000000</v>
      </c>
      <c r="H917" s="6" t="str">
        <f>"PLAR 6341 Bio GOTS -"</f>
        <v>PLAR 6341 Bio GOTS -</v>
      </c>
      <c r="I917" s="6" t="str">
        <f>"200013"</f>
        <v>200013</v>
      </c>
      <c r="J917" s="6" t="str">
        <f>"ROSA 13"</f>
        <v>ROSA 13</v>
      </c>
      <c r="K917" s="6" t="str">
        <f>"1576"</f>
        <v>1576</v>
      </c>
      <c r="L917" s="6" t="str">
        <f>"Toalhões"</f>
        <v>Toalhões</v>
      </c>
      <c r="M917" s="6" t="str">
        <f>"76x140"</f>
        <v>76x140</v>
      </c>
      <c r="N917" s="6" t="str">
        <f t="shared" si="258"/>
        <v xml:space="preserve"> </v>
      </c>
      <c r="O917" s="8">
        <v>400</v>
      </c>
      <c r="P917" s="7">
        <v>46085</v>
      </c>
      <c r="R917" s="8">
        <v>0</v>
      </c>
      <c r="S917" s="7">
        <v>46090</v>
      </c>
      <c r="U917" s="8">
        <v>0</v>
      </c>
      <c r="V917" s="7">
        <v>46097</v>
      </c>
      <c r="X917" s="8">
        <v>0</v>
      </c>
      <c r="Z917" s="8">
        <v>0</v>
      </c>
      <c r="AA917" s="7">
        <v>46111</v>
      </c>
      <c r="AC917" s="8">
        <v>0</v>
      </c>
      <c r="AE917" s="7">
        <v>46114</v>
      </c>
      <c r="AF917" s="8">
        <v>0</v>
      </c>
      <c r="AH917" s="7">
        <v>46115</v>
      </c>
      <c r="AN917" s="8">
        <v>0</v>
      </c>
      <c r="AO917" s="8">
        <v>400</v>
      </c>
    </row>
    <row r="918" spans="1:41" x14ac:dyDescent="0.25">
      <c r="A918" s="6" t="str">
        <f t="shared" si="259"/>
        <v>521-2025000807</v>
      </c>
      <c r="B918" s="6" t="str">
        <f t="shared" si="260"/>
        <v>JENDRIK</v>
      </c>
      <c r="C918" s="7">
        <v>46020</v>
      </c>
      <c r="D918" s="7">
        <v>46115</v>
      </c>
      <c r="E918" s="8">
        <v>12</v>
      </c>
      <c r="F918" s="6" t="str">
        <f t="shared" si="261"/>
        <v>PO#02</v>
      </c>
      <c r="G918" s="6" t="str">
        <f>"R310383140000000"</f>
        <v>R310383140000000</v>
      </c>
      <c r="H918" s="6" t="str">
        <f>"R 3831 - PLAR 6341 B"</f>
        <v>R 3831 - PLAR 6341 B</v>
      </c>
      <c r="I918" s="6" t="str">
        <f>"200013"</f>
        <v>200013</v>
      </c>
      <c r="J918" s="6" t="str">
        <f>"ROSA 13"</f>
        <v>ROSA 13</v>
      </c>
      <c r="K918" s="6" t="str">
        <f>"5016"</f>
        <v>5016</v>
      </c>
      <c r="L918" s="6" t="str">
        <f>"Roupões Adulto"</f>
        <v>Roupões Adulto</v>
      </c>
      <c r="M918" s="6" t="str">
        <f>"S/M"</f>
        <v>S/M</v>
      </c>
      <c r="N918" s="6" t="str">
        <f t="shared" si="258"/>
        <v xml:space="preserve"> </v>
      </c>
      <c r="O918" s="8">
        <v>200</v>
      </c>
      <c r="P918" s="7">
        <v>46085</v>
      </c>
      <c r="R918" s="8">
        <v>0</v>
      </c>
      <c r="S918" s="7">
        <v>46090</v>
      </c>
      <c r="U918" s="8">
        <v>0</v>
      </c>
      <c r="V918" s="7">
        <v>46097</v>
      </c>
      <c r="X918" s="8">
        <v>0</v>
      </c>
      <c r="Z918" s="8">
        <v>0</v>
      </c>
      <c r="AA918" s="7">
        <v>46111</v>
      </c>
      <c r="AC918" s="8">
        <v>0</v>
      </c>
      <c r="AE918" s="7">
        <v>46114</v>
      </c>
      <c r="AF918" s="8">
        <v>0</v>
      </c>
      <c r="AH918" s="7">
        <v>46115</v>
      </c>
      <c r="AN918" s="8">
        <v>0</v>
      </c>
      <c r="AO918" s="8">
        <v>200</v>
      </c>
    </row>
    <row r="919" spans="1:41" x14ac:dyDescent="0.25">
      <c r="A919" s="6" t="str">
        <f t="shared" si="259"/>
        <v>521-2025000807</v>
      </c>
      <c r="B919" s="6" t="str">
        <f t="shared" si="260"/>
        <v>JENDRIK</v>
      </c>
      <c r="C919" s="7">
        <v>46020</v>
      </c>
      <c r="D919" s="7">
        <v>46115</v>
      </c>
      <c r="E919" s="8">
        <v>13</v>
      </c>
      <c r="F919" s="6" t="str">
        <f t="shared" si="261"/>
        <v>PO#02</v>
      </c>
      <c r="G919" s="6" t="str">
        <f>"R310383140000000"</f>
        <v>R310383140000000</v>
      </c>
      <c r="H919" s="6" t="str">
        <f>"R 3831 - PLAR 6341 B"</f>
        <v>R 3831 - PLAR 6341 B</v>
      </c>
      <c r="I919" s="6" t="str">
        <f>"200013"</f>
        <v>200013</v>
      </c>
      <c r="J919" s="6" t="str">
        <f>"ROSA 13"</f>
        <v>ROSA 13</v>
      </c>
      <c r="K919" s="6" t="str">
        <f>"5018"</f>
        <v>5018</v>
      </c>
      <c r="L919" s="6" t="str">
        <f>"Roupões Adulto"</f>
        <v>Roupões Adulto</v>
      </c>
      <c r="M919" s="6" t="str">
        <f>"L/XL"</f>
        <v>L/XL</v>
      </c>
      <c r="N919" s="6" t="str">
        <f t="shared" si="258"/>
        <v xml:space="preserve"> </v>
      </c>
      <c r="O919" s="8">
        <v>100</v>
      </c>
      <c r="P919" s="7">
        <v>46085</v>
      </c>
      <c r="R919" s="8">
        <v>0</v>
      </c>
      <c r="S919" s="7">
        <v>46090</v>
      </c>
      <c r="U919" s="8">
        <v>0</v>
      </c>
      <c r="V919" s="7">
        <v>46097</v>
      </c>
      <c r="X919" s="8">
        <v>0</v>
      </c>
      <c r="Z919" s="8">
        <v>0</v>
      </c>
      <c r="AA919" s="7">
        <v>46111</v>
      </c>
      <c r="AC919" s="8">
        <v>0</v>
      </c>
      <c r="AE919" s="7">
        <v>46114</v>
      </c>
      <c r="AF919" s="8">
        <v>0</v>
      </c>
      <c r="AH919" s="7">
        <v>46115</v>
      </c>
      <c r="AN919" s="8">
        <v>0</v>
      </c>
      <c r="AO919" s="8">
        <v>100</v>
      </c>
    </row>
    <row r="920" spans="1:41" x14ac:dyDescent="0.25">
      <c r="A920" s="6" t="str">
        <f t="shared" si="259"/>
        <v>521-2025000807</v>
      </c>
      <c r="B920" s="6" t="str">
        <f t="shared" si="260"/>
        <v>JENDRIK</v>
      </c>
      <c r="C920" s="7">
        <v>46020</v>
      </c>
      <c r="D920" s="7">
        <v>46115</v>
      </c>
      <c r="E920" s="8">
        <v>14</v>
      </c>
      <c r="F920" s="6" t="str">
        <f t="shared" si="261"/>
        <v>PO#02</v>
      </c>
      <c r="G920" s="6" t="str">
        <f>"K310245940000000"</f>
        <v>K310245940000000</v>
      </c>
      <c r="H920" s="6" t="str">
        <f>"KB 2459 - PLAR 6341"</f>
        <v>KB 2459 - PLAR 6341</v>
      </c>
      <c r="I920" s="6" t="str">
        <f>"200013"</f>
        <v>200013</v>
      </c>
      <c r="J920" s="6" t="str">
        <f>"ROSA 13"</f>
        <v>ROSA 13</v>
      </c>
      <c r="K920" s="6" t="str">
        <f>"8000"</f>
        <v>8000</v>
      </c>
      <c r="L920" s="6" t="str">
        <f>"Diversos"</f>
        <v>Diversos</v>
      </c>
      <c r="M920" s="6" t="str">
        <f>"Único"</f>
        <v>Único</v>
      </c>
      <c r="N920" s="6" t="str">
        <f t="shared" si="258"/>
        <v xml:space="preserve"> </v>
      </c>
      <c r="O920" s="8">
        <v>150</v>
      </c>
      <c r="P920" s="7">
        <v>46085</v>
      </c>
      <c r="R920" s="8">
        <v>0</v>
      </c>
      <c r="S920" s="7">
        <v>46090</v>
      </c>
      <c r="U920" s="8">
        <v>0</v>
      </c>
      <c r="V920" s="7">
        <v>46097</v>
      </c>
      <c r="X920" s="8">
        <v>0</v>
      </c>
      <c r="Z920" s="8">
        <v>0</v>
      </c>
      <c r="AA920" s="7">
        <v>46111</v>
      </c>
      <c r="AC920" s="8">
        <v>0</v>
      </c>
      <c r="AE920" s="7">
        <v>46114</v>
      </c>
      <c r="AF920" s="8">
        <v>0</v>
      </c>
      <c r="AH920" s="7">
        <v>46115</v>
      </c>
      <c r="AN920" s="8">
        <v>0</v>
      </c>
      <c r="AO920" s="8">
        <v>150</v>
      </c>
    </row>
    <row r="921" spans="1:41" x14ac:dyDescent="0.25">
      <c r="A921" s="6" t="str">
        <f t="shared" si="259"/>
        <v>521-2025000807</v>
      </c>
      <c r="B921" s="6" t="str">
        <f t="shared" si="260"/>
        <v>JENDRIK</v>
      </c>
      <c r="C921" s="7">
        <v>46020</v>
      </c>
      <c r="D921" s="7">
        <v>46115</v>
      </c>
      <c r="E921" s="8">
        <v>15</v>
      </c>
      <c r="F921" s="6" t="str">
        <f t="shared" si="261"/>
        <v>PO#02</v>
      </c>
      <c r="G921" s="6" t="str">
        <f>"F310634350000000"</f>
        <v>F310634350000000</v>
      </c>
      <c r="H921" s="6" t="str">
        <f>"PLAR 6343 Bio GOTS -"</f>
        <v>PLAR 6343 Bio GOTS -</v>
      </c>
      <c r="I921" s="6" t="str">
        <f>"202389"</f>
        <v>202389</v>
      </c>
      <c r="J921" s="6" t="str">
        <f>"AMARELO 2389"</f>
        <v>AMARELO 2389</v>
      </c>
      <c r="K921" s="6" t="str">
        <f>"1020"</f>
        <v>1020</v>
      </c>
      <c r="L921" s="6" t="str">
        <f>"Toalhas"</f>
        <v>Toalhas</v>
      </c>
      <c r="M921" s="6" t="str">
        <f>"50x90"</f>
        <v>50x90</v>
      </c>
      <c r="N921" s="6" t="str">
        <f t="shared" si="258"/>
        <v xml:space="preserve"> </v>
      </c>
      <c r="O921" s="8">
        <v>800</v>
      </c>
      <c r="P921" s="7">
        <v>46085</v>
      </c>
      <c r="R921" s="8">
        <v>0</v>
      </c>
      <c r="S921" s="7">
        <v>46090</v>
      </c>
      <c r="U921" s="8">
        <v>0</v>
      </c>
      <c r="V921" s="7">
        <v>46097</v>
      </c>
      <c r="X921" s="8">
        <v>0</v>
      </c>
      <c r="Z921" s="8">
        <v>0</v>
      </c>
      <c r="AA921" s="7">
        <v>46111</v>
      </c>
      <c r="AC921" s="8">
        <v>0</v>
      </c>
      <c r="AE921" s="7">
        <v>46114</v>
      </c>
      <c r="AF921" s="8">
        <v>0</v>
      </c>
      <c r="AH921" s="7">
        <v>46115</v>
      </c>
      <c r="AN921" s="8">
        <v>0</v>
      </c>
      <c r="AO921" s="8">
        <v>800</v>
      </c>
    </row>
    <row r="922" spans="1:41" x14ac:dyDescent="0.25">
      <c r="A922" s="6" t="str">
        <f t="shared" si="259"/>
        <v>521-2025000807</v>
      </c>
      <c r="B922" s="6" t="str">
        <f t="shared" si="260"/>
        <v>JENDRIK</v>
      </c>
      <c r="C922" s="7">
        <v>46020</v>
      </c>
      <c r="D922" s="7">
        <v>46115</v>
      </c>
      <c r="E922" s="8">
        <v>16</v>
      </c>
      <c r="F922" s="6" t="str">
        <f t="shared" si="261"/>
        <v>PO#02</v>
      </c>
      <c r="G922" s="6" t="str">
        <f>"F310634350000000"</f>
        <v>F310634350000000</v>
      </c>
      <c r="H922" s="6" t="str">
        <f>"PLAR 6343 Bio GOTS -"</f>
        <v>PLAR 6343 Bio GOTS -</v>
      </c>
      <c r="I922" s="6" t="str">
        <f>"202389"</f>
        <v>202389</v>
      </c>
      <c r="J922" s="6" t="str">
        <f>"AMARELO 2389"</f>
        <v>AMARELO 2389</v>
      </c>
      <c r="K922" s="6" t="str">
        <f>"1576"</f>
        <v>1576</v>
      </c>
      <c r="L922" s="6" t="str">
        <f>"Toalhões"</f>
        <v>Toalhões</v>
      </c>
      <c r="M922" s="6" t="str">
        <f>"76x140"</f>
        <v>76x140</v>
      </c>
      <c r="N922" s="6" t="str">
        <f t="shared" si="258"/>
        <v xml:space="preserve"> </v>
      </c>
      <c r="O922" s="8">
        <v>400</v>
      </c>
      <c r="P922" s="7">
        <v>46085</v>
      </c>
      <c r="R922" s="8">
        <v>0</v>
      </c>
      <c r="S922" s="7">
        <v>46090</v>
      </c>
      <c r="U922" s="8">
        <v>0</v>
      </c>
      <c r="V922" s="7">
        <v>46097</v>
      </c>
      <c r="X922" s="8">
        <v>0</v>
      </c>
      <c r="Z922" s="8">
        <v>0</v>
      </c>
      <c r="AA922" s="7">
        <v>46111</v>
      </c>
      <c r="AC922" s="8">
        <v>0</v>
      </c>
      <c r="AE922" s="7">
        <v>46114</v>
      </c>
      <c r="AF922" s="8">
        <v>0</v>
      </c>
      <c r="AH922" s="7">
        <v>46115</v>
      </c>
      <c r="AN922" s="8">
        <v>0</v>
      </c>
      <c r="AO922" s="8">
        <v>400</v>
      </c>
    </row>
    <row r="923" spans="1:41" x14ac:dyDescent="0.25">
      <c r="A923" s="6" t="str">
        <f t="shared" si="259"/>
        <v>521-2025000807</v>
      </c>
      <c r="B923" s="6" t="str">
        <f t="shared" si="260"/>
        <v>JENDRIK</v>
      </c>
      <c r="C923" s="7">
        <v>46020</v>
      </c>
      <c r="D923" s="7">
        <v>46115</v>
      </c>
      <c r="E923" s="8">
        <v>17</v>
      </c>
      <c r="F923" s="6" t="str">
        <f t="shared" si="261"/>
        <v>PO#02</v>
      </c>
      <c r="G923" s="6" t="str">
        <f>"R310385840000000"</f>
        <v>R310385840000000</v>
      </c>
      <c r="H923" s="6" t="str">
        <f>"R 3858 - PLAR 6343 B"</f>
        <v>R 3858 - PLAR 6343 B</v>
      </c>
      <c r="I923" s="6" t="str">
        <f>"202389"</f>
        <v>202389</v>
      </c>
      <c r="J923" s="6" t="str">
        <f>"AMARELO 2389"</f>
        <v>AMARELO 2389</v>
      </c>
      <c r="K923" s="6" t="str">
        <f>"5016"</f>
        <v>5016</v>
      </c>
      <c r="L923" s="6" t="str">
        <f>"Roupões Adulto"</f>
        <v>Roupões Adulto</v>
      </c>
      <c r="M923" s="6" t="str">
        <f>"S/M"</f>
        <v>S/M</v>
      </c>
      <c r="N923" s="6" t="str">
        <f t="shared" si="258"/>
        <v xml:space="preserve"> </v>
      </c>
      <c r="O923" s="8">
        <v>200</v>
      </c>
      <c r="P923" s="7">
        <v>46085</v>
      </c>
      <c r="R923" s="8">
        <v>0</v>
      </c>
      <c r="S923" s="7">
        <v>46090</v>
      </c>
      <c r="U923" s="8">
        <v>0</v>
      </c>
      <c r="V923" s="7">
        <v>46097</v>
      </c>
      <c r="X923" s="8">
        <v>0</v>
      </c>
      <c r="Z923" s="8">
        <v>0</v>
      </c>
      <c r="AA923" s="7">
        <v>46111</v>
      </c>
      <c r="AC923" s="8">
        <v>0</v>
      </c>
      <c r="AE923" s="7">
        <v>46114</v>
      </c>
      <c r="AF923" s="8">
        <v>0</v>
      </c>
      <c r="AH923" s="7">
        <v>46115</v>
      </c>
      <c r="AN923" s="8">
        <v>0</v>
      </c>
      <c r="AO923" s="8">
        <v>200</v>
      </c>
    </row>
    <row r="924" spans="1:41" x14ac:dyDescent="0.25">
      <c r="A924" s="6" t="str">
        <f t="shared" si="259"/>
        <v>521-2025000807</v>
      </c>
      <c r="B924" s="6" t="str">
        <f t="shared" si="260"/>
        <v>JENDRIK</v>
      </c>
      <c r="C924" s="7">
        <v>46020</v>
      </c>
      <c r="D924" s="7">
        <v>46115</v>
      </c>
      <c r="E924" s="8">
        <v>18</v>
      </c>
      <c r="F924" s="6" t="str">
        <f t="shared" si="261"/>
        <v>PO#02</v>
      </c>
      <c r="G924" s="6" t="str">
        <f>"R310385840000000"</f>
        <v>R310385840000000</v>
      </c>
      <c r="H924" s="6" t="str">
        <f>"R 3858 - PLAR 6343 B"</f>
        <v>R 3858 - PLAR 6343 B</v>
      </c>
      <c r="I924" s="6" t="str">
        <f>"202389"</f>
        <v>202389</v>
      </c>
      <c r="J924" s="6" t="str">
        <f>"AMARELO 2389"</f>
        <v>AMARELO 2389</v>
      </c>
      <c r="K924" s="6" t="str">
        <f>"5018"</f>
        <v>5018</v>
      </c>
      <c r="L924" s="6" t="str">
        <f>"Roupões Adulto"</f>
        <v>Roupões Adulto</v>
      </c>
      <c r="M924" s="6" t="str">
        <f>"L/XL"</f>
        <v>L/XL</v>
      </c>
      <c r="N924" s="6" t="str">
        <f t="shared" si="258"/>
        <v xml:space="preserve"> </v>
      </c>
      <c r="O924" s="8">
        <v>100</v>
      </c>
      <c r="P924" s="7">
        <v>46085</v>
      </c>
      <c r="R924" s="8">
        <v>0</v>
      </c>
      <c r="S924" s="7">
        <v>46090</v>
      </c>
      <c r="U924" s="8">
        <v>0</v>
      </c>
      <c r="V924" s="7">
        <v>46097</v>
      </c>
      <c r="X924" s="8">
        <v>0</v>
      </c>
      <c r="Z924" s="8">
        <v>0</v>
      </c>
      <c r="AA924" s="7">
        <v>46111</v>
      </c>
      <c r="AC924" s="8">
        <v>0</v>
      </c>
      <c r="AE924" s="7">
        <v>46114</v>
      </c>
      <c r="AF924" s="8">
        <v>0</v>
      </c>
      <c r="AH924" s="7">
        <v>46115</v>
      </c>
      <c r="AN924" s="8">
        <v>0</v>
      </c>
      <c r="AO924" s="8">
        <v>100</v>
      </c>
    </row>
    <row r="925" spans="1:41" x14ac:dyDescent="0.25">
      <c r="A925" s="6" t="str">
        <f t="shared" si="259"/>
        <v>521-2025000807</v>
      </c>
      <c r="B925" s="6" t="str">
        <f t="shared" si="260"/>
        <v>JENDRIK</v>
      </c>
      <c r="C925" s="7">
        <v>46020</v>
      </c>
      <c r="D925" s="7">
        <v>46115</v>
      </c>
      <c r="E925" s="8">
        <v>19</v>
      </c>
      <c r="F925" s="6" t="str">
        <f t="shared" si="261"/>
        <v>PO#02</v>
      </c>
      <c r="G925" s="6" t="str">
        <f>"K310246040000000"</f>
        <v>K310246040000000</v>
      </c>
      <c r="H925" s="6" t="str">
        <f>"KB 2460 - PLAR 6343"</f>
        <v>KB 2460 - PLAR 6343</v>
      </c>
      <c r="I925" s="6" t="str">
        <f>"202389"</f>
        <v>202389</v>
      </c>
      <c r="J925" s="6" t="str">
        <f>"AMARELO 2389"</f>
        <v>AMARELO 2389</v>
      </c>
      <c r="K925" s="6" t="str">
        <f>"8000"</f>
        <v>8000</v>
      </c>
      <c r="L925" s="6" t="str">
        <f>"Diversos"</f>
        <v>Diversos</v>
      </c>
      <c r="M925" s="6" t="str">
        <f>"Único"</f>
        <v>Único</v>
      </c>
      <c r="N925" s="6" t="str">
        <f t="shared" si="258"/>
        <v xml:space="preserve"> </v>
      </c>
      <c r="O925" s="8">
        <v>150</v>
      </c>
      <c r="P925" s="7">
        <v>46085</v>
      </c>
      <c r="R925" s="8">
        <v>0</v>
      </c>
      <c r="S925" s="7">
        <v>46090</v>
      </c>
      <c r="U925" s="8">
        <v>0</v>
      </c>
      <c r="V925" s="7">
        <v>46097</v>
      </c>
      <c r="X925" s="8">
        <v>0</v>
      </c>
      <c r="Z925" s="8">
        <v>0</v>
      </c>
      <c r="AA925" s="7">
        <v>46111</v>
      </c>
      <c r="AC925" s="8">
        <v>0</v>
      </c>
      <c r="AE925" s="7">
        <v>46114</v>
      </c>
      <c r="AF925" s="8">
        <v>0</v>
      </c>
      <c r="AH925" s="7">
        <v>46115</v>
      </c>
      <c r="AN925" s="8">
        <v>0</v>
      </c>
      <c r="AO925" s="8">
        <v>150</v>
      </c>
    </row>
    <row r="926" spans="1:41" x14ac:dyDescent="0.25">
      <c r="A926" s="6" t="str">
        <f t="shared" si="259"/>
        <v>521-2025000807</v>
      </c>
      <c r="B926" s="6" t="str">
        <f t="shared" si="260"/>
        <v>JENDRIK</v>
      </c>
      <c r="C926" s="7">
        <v>46020</v>
      </c>
      <c r="D926" s="7">
        <v>46115</v>
      </c>
      <c r="E926" s="8">
        <v>20</v>
      </c>
      <c r="F926" s="6" t="str">
        <f t="shared" si="261"/>
        <v>PO#02</v>
      </c>
      <c r="G926" s="6" t="str">
        <f>"R310383040000000"</f>
        <v>R310383040000000</v>
      </c>
      <c r="H926" s="6" t="str">
        <f>"R 3830 - PLAR 6340 B"</f>
        <v>R 3830 - PLAR 6340 B</v>
      </c>
      <c r="I926" s="6" t="str">
        <f>"200094"</f>
        <v>200094</v>
      </c>
      <c r="J926" s="6" t="str">
        <f>"ROSA 94"</f>
        <v>ROSA 94</v>
      </c>
      <c r="K926" s="6" t="str">
        <f>"5016"</f>
        <v>5016</v>
      </c>
      <c r="L926" s="6" t="str">
        <f>"Roupões Adulto"</f>
        <v>Roupões Adulto</v>
      </c>
      <c r="M926" s="6" t="str">
        <f>"S/M"</f>
        <v>S/M</v>
      </c>
      <c r="N926" s="6" t="str">
        <f t="shared" si="258"/>
        <v xml:space="preserve"> </v>
      </c>
      <c r="O926" s="8">
        <v>200</v>
      </c>
      <c r="P926" s="7">
        <v>46085</v>
      </c>
      <c r="R926" s="8">
        <v>0</v>
      </c>
      <c r="S926" s="7">
        <v>46090</v>
      </c>
      <c r="U926" s="8">
        <v>0</v>
      </c>
      <c r="V926" s="7">
        <v>46097</v>
      </c>
      <c r="X926" s="8">
        <v>0</v>
      </c>
      <c r="Z926" s="8">
        <v>0</v>
      </c>
      <c r="AA926" s="7">
        <v>46111</v>
      </c>
      <c r="AC926" s="8">
        <v>0</v>
      </c>
      <c r="AE926" s="7">
        <v>46114</v>
      </c>
      <c r="AF926" s="8">
        <v>0</v>
      </c>
      <c r="AH926" s="7">
        <v>46115</v>
      </c>
      <c r="AN926" s="8">
        <v>0</v>
      </c>
      <c r="AO926" s="8">
        <v>200</v>
      </c>
    </row>
    <row r="927" spans="1:41" x14ac:dyDescent="0.25">
      <c r="A927" s="6" t="str">
        <f t="shared" si="259"/>
        <v>521-2025000807</v>
      </c>
      <c r="B927" s="6" t="str">
        <f t="shared" si="260"/>
        <v>JENDRIK</v>
      </c>
      <c r="C927" s="7">
        <v>46020</v>
      </c>
      <c r="D927" s="7">
        <v>46115</v>
      </c>
      <c r="E927" s="8">
        <v>21</v>
      </c>
      <c r="F927" s="6" t="str">
        <f t="shared" si="261"/>
        <v>PO#02</v>
      </c>
      <c r="G927" s="6" t="str">
        <f>"R310383040000000"</f>
        <v>R310383040000000</v>
      </c>
      <c r="H927" s="6" t="str">
        <f>"R 3830 - PLAR 6340 B"</f>
        <v>R 3830 - PLAR 6340 B</v>
      </c>
      <c r="I927" s="6" t="str">
        <f>"200094"</f>
        <v>200094</v>
      </c>
      <c r="J927" s="6" t="str">
        <f>"ROSA 94"</f>
        <v>ROSA 94</v>
      </c>
      <c r="K927" s="6" t="str">
        <f>"5018"</f>
        <v>5018</v>
      </c>
      <c r="L927" s="6" t="str">
        <f>"Roupões Adulto"</f>
        <v>Roupões Adulto</v>
      </c>
      <c r="M927" s="6" t="str">
        <f>"L/XL"</f>
        <v>L/XL</v>
      </c>
      <c r="N927" s="6" t="str">
        <f t="shared" si="258"/>
        <v xml:space="preserve"> </v>
      </c>
      <c r="O927" s="8">
        <v>100</v>
      </c>
      <c r="P927" s="7">
        <v>46085</v>
      </c>
      <c r="R927" s="8">
        <v>0</v>
      </c>
      <c r="S927" s="7">
        <v>46090</v>
      </c>
      <c r="U927" s="8">
        <v>0</v>
      </c>
      <c r="V927" s="7">
        <v>46097</v>
      </c>
      <c r="X927" s="8">
        <v>0</v>
      </c>
      <c r="Z927" s="8">
        <v>0</v>
      </c>
      <c r="AA927" s="7">
        <v>46111</v>
      </c>
      <c r="AC927" s="8">
        <v>0</v>
      </c>
      <c r="AE927" s="7">
        <v>46114</v>
      </c>
      <c r="AF927" s="8">
        <v>0</v>
      </c>
      <c r="AH927" s="7">
        <v>46115</v>
      </c>
      <c r="AN927" s="8">
        <v>0</v>
      </c>
      <c r="AO927" s="8">
        <v>100</v>
      </c>
    </row>
    <row r="928" spans="1:41" x14ac:dyDescent="0.25">
      <c r="A928" s="6" t="str">
        <f t="shared" si="259"/>
        <v>521-2025000807</v>
      </c>
      <c r="B928" s="6" t="str">
        <f t="shared" si="260"/>
        <v>JENDRIK</v>
      </c>
      <c r="C928" s="7">
        <v>46020</v>
      </c>
      <c r="D928" s="7">
        <v>46115</v>
      </c>
      <c r="E928" s="8">
        <v>22</v>
      </c>
      <c r="F928" s="6" t="str">
        <f t="shared" si="261"/>
        <v>PO#02</v>
      </c>
      <c r="G928" s="6" t="str">
        <f>"R310383040000000"</f>
        <v>R310383040000000</v>
      </c>
      <c r="H928" s="6" t="str">
        <f>"R 3830 - PLAR 6340 B"</f>
        <v>R 3830 - PLAR 6340 B</v>
      </c>
      <c r="I928" s="6" t="str">
        <f>"200724"</f>
        <v>200724</v>
      </c>
      <c r="J928" s="6" t="str">
        <f>"ROSA 724"</f>
        <v>ROSA 724</v>
      </c>
      <c r="K928" s="6" t="str">
        <f>"5016"</f>
        <v>5016</v>
      </c>
      <c r="L928" s="6" t="str">
        <f>"Roupões Adulto"</f>
        <v>Roupões Adulto</v>
      </c>
      <c r="M928" s="6" t="str">
        <f>"S/M"</f>
        <v>S/M</v>
      </c>
      <c r="N928" s="6" t="str">
        <f t="shared" si="258"/>
        <v xml:space="preserve"> </v>
      </c>
      <c r="O928" s="8">
        <v>200</v>
      </c>
      <c r="P928" s="7">
        <v>46085</v>
      </c>
      <c r="R928" s="8">
        <v>0</v>
      </c>
      <c r="S928" s="7">
        <v>46090</v>
      </c>
      <c r="U928" s="8">
        <v>0</v>
      </c>
      <c r="V928" s="7">
        <v>46097</v>
      </c>
      <c r="X928" s="8">
        <v>0</v>
      </c>
      <c r="Z928" s="8">
        <v>0</v>
      </c>
      <c r="AA928" s="7">
        <v>46111</v>
      </c>
      <c r="AC928" s="8">
        <v>0</v>
      </c>
      <c r="AE928" s="7">
        <v>46114</v>
      </c>
      <c r="AF928" s="8">
        <v>0</v>
      </c>
      <c r="AH928" s="7">
        <v>46115</v>
      </c>
      <c r="AN928" s="8">
        <v>0</v>
      </c>
      <c r="AO928" s="8">
        <v>200</v>
      </c>
    </row>
    <row r="929" spans="1:41" x14ac:dyDescent="0.25">
      <c r="A929" s="6" t="str">
        <f t="shared" si="259"/>
        <v>521-2025000807</v>
      </c>
      <c r="B929" s="6" t="str">
        <f t="shared" si="260"/>
        <v>JENDRIK</v>
      </c>
      <c r="C929" s="7">
        <v>46020</v>
      </c>
      <c r="D929" s="7">
        <v>46115</v>
      </c>
      <c r="E929" s="8">
        <v>23</v>
      </c>
      <c r="F929" s="6" t="str">
        <f t="shared" si="261"/>
        <v>PO#02</v>
      </c>
      <c r="G929" s="6" t="str">
        <f>"R310383040000000"</f>
        <v>R310383040000000</v>
      </c>
      <c r="H929" s="6" t="str">
        <f>"R 3830 - PLAR 6340 B"</f>
        <v>R 3830 - PLAR 6340 B</v>
      </c>
      <c r="I929" s="6" t="str">
        <f>"200724"</f>
        <v>200724</v>
      </c>
      <c r="J929" s="6" t="str">
        <f>"ROSA 724"</f>
        <v>ROSA 724</v>
      </c>
      <c r="K929" s="6" t="str">
        <f>"5018"</f>
        <v>5018</v>
      </c>
      <c r="L929" s="6" t="str">
        <f>"Roupões Adulto"</f>
        <v>Roupões Adulto</v>
      </c>
      <c r="M929" s="6" t="str">
        <f>"L/XL"</f>
        <v>L/XL</v>
      </c>
      <c r="N929" s="6" t="str">
        <f t="shared" si="258"/>
        <v xml:space="preserve"> </v>
      </c>
      <c r="O929" s="8">
        <v>100</v>
      </c>
      <c r="P929" s="7">
        <v>46085</v>
      </c>
      <c r="R929" s="8">
        <v>0</v>
      </c>
      <c r="S929" s="7">
        <v>46090</v>
      </c>
      <c r="U929" s="8">
        <v>0</v>
      </c>
      <c r="V929" s="7">
        <v>46097</v>
      </c>
      <c r="X929" s="8">
        <v>0</v>
      </c>
      <c r="Z929" s="8">
        <v>0</v>
      </c>
      <c r="AA929" s="7">
        <v>46111</v>
      </c>
      <c r="AC929" s="8">
        <v>0</v>
      </c>
      <c r="AE929" s="7">
        <v>46114</v>
      </c>
      <c r="AF929" s="8">
        <v>0</v>
      </c>
      <c r="AH929" s="7">
        <v>46115</v>
      </c>
      <c r="AN929" s="8">
        <v>0</v>
      </c>
      <c r="AO929" s="8">
        <v>100</v>
      </c>
    </row>
    <row r="930" spans="1:41" x14ac:dyDescent="0.25">
      <c r="A930" s="6" t="str">
        <f t="shared" si="259"/>
        <v>521-2025000807</v>
      </c>
      <c r="B930" s="6" t="str">
        <f t="shared" si="260"/>
        <v>JENDRIK</v>
      </c>
      <c r="C930" s="7">
        <v>46020</v>
      </c>
      <c r="D930" s="7">
        <v>46115</v>
      </c>
      <c r="E930" s="8">
        <v>24</v>
      </c>
      <c r="F930" s="6" t="str">
        <f t="shared" si="261"/>
        <v>PO#02</v>
      </c>
      <c r="G930" s="6" t="str">
        <f>"K310243840000000"</f>
        <v>K310243840000000</v>
      </c>
      <c r="H930" s="6" t="str">
        <f>"KB 2438 - PLAR 6340"</f>
        <v>KB 2438 - PLAR 6340</v>
      </c>
      <c r="I930" s="6" t="str">
        <f>"200094"</f>
        <v>200094</v>
      </c>
      <c r="J930" s="6" t="str">
        <f>"ROSA 94"</f>
        <v>ROSA 94</v>
      </c>
      <c r="K930" s="6" t="str">
        <f>"8000"</f>
        <v>8000</v>
      </c>
      <c r="L930" s="6" t="str">
        <f>"Diversos"</f>
        <v>Diversos</v>
      </c>
      <c r="M930" s="6" t="str">
        <f>"Único"</f>
        <v>Único</v>
      </c>
      <c r="N930" s="6" t="str">
        <f t="shared" si="258"/>
        <v xml:space="preserve"> </v>
      </c>
      <c r="O930" s="8">
        <v>150</v>
      </c>
      <c r="P930" s="7">
        <v>46085</v>
      </c>
      <c r="R930" s="8">
        <v>0</v>
      </c>
      <c r="S930" s="7">
        <v>46090</v>
      </c>
      <c r="U930" s="8">
        <v>0</v>
      </c>
      <c r="V930" s="7">
        <v>46097</v>
      </c>
      <c r="X930" s="8">
        <v>0</v>
      </c>
      <c r="Z930" s="8">
        <v>0</v>
      </c>
      <c r="AA930" s="7">
        <v>46111</v>
      </c>
      <c r="AC930" s="8">
        <v>0</v>
      </c>
      <c r="AE930" s="7">
        <v>46114</v>
      </c>
      <c r="AF930" s="8">
        <v>0</v>
      </c>
      <c r="AH930" s="7">
        <v>46115</v>
      </c>
      <c r="AN930" s="8">
        <v>0</v>
      </c>
      <c r="AO930" s="8">
        <v>150</v>
      </c>
    </row>
    <row r="931" spans="1:41" x14ac:dyDescent="0.25">
      <c r="A931" s="6" t="str">
        <f t="shared" si="259"/>
        <v>521-2025000807</v>
      </c>
      <c r="B931" s="6" t="str">
        <f t="shared" si="260"/>
        <v>JENDRIK</v>
      </c>
      <c r="C931" s="7">
        <v>46020</v>
      </c>
      <c r="D931" s="7">
        <v>46115</v>
      </c>
      <c r="E931" s="8">
        <v>25</v>
      </c>
      <c r="F931" s="6" t="str">
        <f t="shared" si="261"/>
        <v>PO#02</v>
      </c>
      <c r="G931" s="6" t="str">
        <f>"K310243840000000"</f>
        <v>K310243840000000</v>
      </c>
      <c r="H931" s="6" t="str">
        <f>"KB 2438 - PLAR 6340"</f>
        <v>KB 2438 - PLAR 6340</v>
      </c>
      <c r="I931" s="6" t="str">
        <f>"200724"</f>
        <v>200724</v>
      </c>
      <c r="J931" s="6" t="str">
        <f>"ROSA 724"</f>
        <v>ROSA 724</v>
      </c>
      <c r="K931" s="6" t="str">
        <f>"8000"</f>
        <v>8000</v>
      </c>
      <c r="L931" s="6" t="str">
        <f>"Diversos"</f>
        <v>Diversos</v>
      </c>
      <c r="M931" s="6" t="str">
        <f>"Único"</f>
        <v>Único</v>
      </c>
      <c r="N931" s="6" t="str">
        <f t="shared" si="258"/>
        <v xml:space="preserve"> </v>
      </c>
      <c r="O931" s="8">
        <v>150</v>
      </c>
      <c r="P931" s="7">
        <v>46085</v>
      </c>
      <c r="R931" s="8">
        <v>0</v>
      </c>
      <c r="S931" s="7">
        <v>46090</v>
      </c>
      <c r="U931" s="8">
        <v>0</v>
      </c>
      <c r="V931" s="7">
        <v>46097</v>
      </c>
      <c r="X931" s="8">
        <v>0</v>
      </c>
      <c r="Z931" s="8">
        <v>0</v>
      </c>
      <c r="AA931" s="7">
        <v>46111</v>
      </c>
      <c r="AC931" s="8">
        <v>0</v>
      </c>
      <c r="AE931" s="7">
        <v>46114</v>
      </c>
      <c r="AF931" s="8">
        <v>0</v>
      </c>
      <c r="AH931" s="7">
        <v>46115</v>
      </c>
      <c r="AN931" s="8">
        <v>0</v>
      </c>
      <c r="AO931" s="8">
        <v>150</v>
      </c>
    </row>
    <row r="932" spans="1:41" x14ac:dyDescent="0.25">
      <c r="A932" s="6" t="str">
        <f t="shared" si="259"/>
        <v>521-2025000807</v>
      </c>
      <c r="B932" s="6" t="str">
        <f t="shared" si="260"/>
        <v>JENDRIK</v>
      </c>
      <c r="C932" s="7">
        <v>46020</v>
      </c>
      <c r="D932" s="7">
        <v>46115</v>
      </c>
      <c r="E932" s="8">
        <v>26</v>
      </c>
      <c r="F932" s="6" t="str">
        <f t="shared" si="261"/>
        <v>PO#02</v>
      </c>
      <c r="G932" s="6" t="str">
        <f>"R310383045000000"</f>
        <v>R310383045000000</v>
      </c>
      <c r="H932" s="6" t="str">
        <f>"R 3830 - PLAR 6340 B"</f>
        <v>R 3830 - PLAR 6340 B</v>
      </c>
      <c r="I932" s="6" t="str">
        <f>"200589"</f>
        <v>200589</v>
      </c>
      <c r="J932" s="6" t="str">
        <f>"SALMAO 589"</f>
        <v>SALMAO 589</v>
      </c>
      <c r="K932" s="6" t="str">
        <f>"5016"</f>
        <v>5016</v>
      </c>
      <c r="L932" s="6" t="str">
        <f>"Roupões Adulto"</f>
        <v>Roupões Adulto</v>
      </c>
      <c r="M932" s="6" t="str">
        <f>"S/M"</f>
        <v>S/M</v>
      </c>
      <c r="N932" s="6" t="str">
        <f t="shared" si="258"/>
        <v xml:space="preserve"> </v>
      </c>
      <c r="O932" s="8">
        <v>200</v>
      </c>
      <c r="P932" s="7">
        <v>46085</v>
      </c>
      <c r="R932" s="8">
        <v>0</v>
      </c>
      <c r="S932" s="7">
        <v>46090</v>
      </c>
      <c r="U932" s="8">
        <v>0</v>
      </c>
      <c r="V932" s="7">
        <v>46097</v>
      </c>
      <c r="X932" s="8">
        <v>0</v>
      </c>
      <c r="Z932" s="8">
        <v>0</v>
      </c>
      <c r="AA932" s="7">
        <v>46111</v>
      </c>
      <c r="AC932" s="8">
        <v>0</v>
      </c>
      <c r="AE932" s="7">
        <v>46114</v>
      </c>
      <c r="AF932" s="8">
        <v>0</v>
      </c>
      <c r="AH932" s="7">
        <v>46115</v>
      </c>
      <c r="AN932" s="8">
        <v>0</v>
      </c>
      <c r="AO932" s="8">
        <v>200</v>
      </c>
    </row>
    <row r="933" spans="1:41" x14ac:dyDescent="0.25">
      <c r="A933" s="6" t="str">
        <f t="shared" si="259"/>
        <v>521-2025000807</v>
      </c>
      <c r="B933" s="6" t="str">
        <f t="shared" si="260"/>
        <v>JENDRIK</v>
      </c>
      <c r="C933" s="7">
        <v>46020</v>
      </c>
      <c r="D933" s="7">
        <v>46115</v>
      </c>
      <c r="E933" s="8">
        <v>27</v>
      </c>
      <c r="F933" s="6" t="str">
        <f t="shared" si="261"/>
        <v>PO#02</v>
      </c>
      <c r="G933" s="6" t="str">
        <f>"R310383045000000"</f>
        <v>R310383045000000</v>
      </c>
      <c r="H933" s="6" t="str">
        <f>"R 3830 - PLAR 6340 B"</f>
        <v>R 3830 - PLAR 6340 B</v>
      </c>
      <c r="I933" s="6" t="str">
        <f>"200589"</f>
        <v>200589</v>
      </c>
      <c r="J933" s="6" t="str">
        <f>"SALMAO 589"</f>
        <v>SALMAO 589</v>
      </c>
      <c r="K933" s="6" t="str">
        <f>"5018"</f>
        <v>5018</v>
      </c>
      <c r="L933" s="6" t="str">
        <f>"Roupões Adulto"</f>
        <v>Roupões Adulto</v>
      </c>
      <c r="M933" s="6" t="str">
        <f>"L/XL"</f>
        <v>L/XL</v>
      </c>
      <c r="N933" s="6" t="str">
        <f t="shared" si="258"/>
        <v xml:space="preserve"> </v>
      </c>
      <c r="O933" s="8">
        <v>100</v>
      </c>
      <c r="P933" s="7">
        <v>46085</v>
      </c>
      <c r="R933" s="8">
        <v>0</v>
      </c>
      <c r="S933" s="7">
        <v>46090</v>
      </c>
      <c r="U933" s="8">
        <v>0</v>
      </c>
      <c r="V933" s="7">
        <v>46097</v>
      </c>
      <c r="X933" s="8">
        <v>0</v>
      </c>
      <c r="Z933" s="8">
        <v>0</v>
      </c>
      <c r="AA933" s="7">
        <v>46111</v>
      </c>
      <c r="AC933" s="8">
        <v>0</v>
      </c>
      <c r="AE933" s="7">
        <v>46114</v>
      </c>
      <c r="AF933" s="8">
        <v>0</v>
      </c>
      <c r="AH933" s="7">
        <v>46115</v>
      </c>
      <c r="AN933" s="8">
        <v>0</v>
      </c>
      <c r="AO933" s="8">
        <v>100</v>
      </c>
    </row>
    <row r="934" spans="1:41" x14ac:dyDescent="0.25">
      <c r="A934" s="6" t="str">
        <f t="shared" si="259"/>
        <v>521-2025000807</v>
      </c>
      <c r="B934" s="6" t="str">
        <f t="shared" si="260"/>
        <v>JENDRIK</v>
      </c>
      <c r="C934" s="7">
        <v>46020</v>
      </c>
      <c r="D934" s="7">
        <v>46115</v>
      </c>
      <c r="E934" s="8">
        <v>28</v>
      </c>
      <c r="F934" s="6" t="str">
        <f t="shared" si="261"/>
        <v>PO#02</v>
      </c>
      <c r="G934" s="6" t="str">
        <f>"R310383045000000"</f>
        <v>R310383045000000</v>
      </c>
      <c r="H934" s="6" t="str">
        <f>"R 3830 - PLAR 6340 B"</f>
        <v>R 3830 - PLAR 6340 B</v>
      </c>
      <c r="I934" s="6" t="str">
        <f>"201908"</f>
        <v>201908</v>
      </c>
      <c r="J934" s="6" t="str">
        <f>"ROSA 1908"</f>
        <v>ROSA 1908</v>
      </c>
      <c r="K934" s="6" t="str">
        <f>"5016"</f>
        <v>5016</v>
      </c>
      <c r="L934" s="6" t="str">
        <f>"Roupões Adulto"</f>
        <v>Roupões Adulto</v>
      </c>
      <c r="M934" s="6" t="str">
        <f>"S/M"</f>
        <v>S/M</v>
      </c>
      <c r="N934" s="6" t="str">
        <f t="shared" si="258"/>
        <v xml:space="preserve"> </v>
      </c>
      <c r="O934" s="8">
        <v>200</v>
      </c>
      <c r="P934" s="7">
        <v>46085</v>
      </c>
      <c r="R934" s="8">
        <v>0</v>
      </c>
      <c r="S934" s="7">
        <v>46090</v>
      </c>
      <c r="U934" s="8">
        <v>0</v>
      </c>
      <c r="V934" s="7">
        <v>46097</v>
      </c>
      <c r="X934" s="8">
        <v>0</v>
      </c>
      <c r="Z934" s="8">
        <v>0</v>
      </c>
      <c r="AA934" s="7">
        <v>46111</v>
      </c>
      <c r="AC934" s="8">
        <v>0</v>
      </c>
      <c r="AE934" s="7">
        <v>46114</v>
      </c>
      <c r="AF934" s="8">
        <v>0</v>
      </c>
      <c r="AH934" s="7">
        <v>46115</v>
      </c>
      <c r="AN934" s="8">
        <v>0</v>
      </c>
      <c r="AO934" s="8">
        <v>200</v>
      </c>
    </row>
    <row r="935" spans="1:41" x14ac:dyDescent="0.25">
      <c r="A935" s="6" t="str">
        <f t="shared" si="259"/>
        <v>521-2025000807</v>
      </c>
      <c r="B935" s="6" t="str">
        <f t="shared" si="260"/>
        <v>JENDRIK</v>
      </c>
      <c r="C935" s="7">
        <v>46020</v>
      </c>
      <c r="D935" s="7">
        <v>46115</v>
      </c>
      <c r="E935" s="8">
        <v>29</v>
      </c>
      <c r="F935" s="6" t="str">
        <f t="shared" si="261"/>
        <v>PO#02</v>
      </c>
      <c r="G935" s="6" t="str">
        <f>"R310383045000000"</f>
        <v>R310383045000000</v>
      </c>
      <c r="H935" s="6" t="str">
        <f>"R 3830 - PLAR 6340 B"</f>
        <v>R 3830 - PLAR 6340 B</v>
      </c>
      <c r="I935" s="6" t="str">
        <f>"201908"</f>
        <v>201908</v>
      </c>
      <c r="J935" s="6" t="str">
        <f>"ROSA 1908"</f>
        <v>ROSA 1908</v>
      </c>
      <c r="K935" s="6" t="str">
        <f>"5018"</f>
        <v>5018</v>
      </c>
      <c r="L935" s="6" t="str">
        <f>"Roupões Adulto"</f>
        <v>Roupões Adulto</v>
      </c>
      <c r="M935" s="6" t="str">
        <f>"L/XL"</f>
        <v>L/XL</v>
      </c>
      <c r="N935" s="6" t="str">
        <f t="shared" si="258"/>
        <v xml:space="preserve"> </v>
      </c>
      <c r="O935" s="8">
        <v>100</v>
      </c>
      <c r="P935" s="7">
        <v>46085</v>
      </c>
      <c r="R935" s="8">
        <v>0</v>
      </c>
      <c r="S935" s="7">
        <v>46090</v>
      </c>
      <c r="U935" s="8">
        <v>0</v>
      </c>
      <c r="V935" s="7">
        <v>46097</v>
      </c>
      <c r="X935" s="8">
        <v>0</v>
      </c>
      <c r="Z935" s="8">
        <v>0</v>
      </c>
      <c r="AA935" s="7">
        <v>46111</v>
      </c>
      <c r="AC935" s="8">
        <v>0</v>
      </c>
      <c r="AE935" s="7">
        <v>46114</v>
      </c>
      <c r="AF935" s="8">
        <v>0</v>
      </c>
      <c r="AH935" s="7">
        <v>46115</v>
      </c>
      <c r="AN935" s="8">
        <v>0</v>
      </c>
      <c r="AO935" s="8">
        <v>100</v>
      </c>
    </row>
    <row r="936" spans="1:41" x14ac:dyDescent="0.25">
      <c r="A936" s="6" t="str">
        <f t="shared" si="259"/>
        <v>521-2025000807</v>
      </c>
      <c r="B936" s="6" t="str">
        <f t="shared" si="260"/>
        <v>JENDRIK</v>
      </c>
      <c r="C936" s="7">
        <v>46020</v>
      </c>
      <c r="D936" s="7">
        <v>46115</v>
      </c>
      <c r="E936" s="8">
        <v>30</v>
      </c>
      <c r="F936" s="6" t="str">
        <f t="shared" si="261"/>
        <v>PO#02</v>
      </c>
      <c r="G936" s="6" t="str">
        <f>"K310243845000000"</f>
        <v>K310243845000000</v>
      </c>
      <c r="H936" s="6" t="str">
        <f>"KB 2438 - PLAR 6340"</f>
        <v>KB 2438 - PLAR 6340</v>
      </c>
      <c r="I936" s="6" t="str">
        <f>"200589"</f>
        <v>200589</v>
      </c>
      <c r="J936" s="6" t="str">
        <f>"SALMAO 589"</f>
        <v>SALMAO 589</v>
      </c>
      <c r="K936" s="6" t="str">
        <f>"8000"</f>
        <v>8000</v>
      </c>
      <c r="L936" s="6" t="str">
        <f>"Diversos"</f>
        <v>Diversos</v>
      </c>
      <c r="M936" s="6" t="str">
        <f>"Único"</f>
        <v>Único</v>
      </c>
      <c r="N936" s="6" t="str">
        <f t="shared" si="258"/>
        <v xml:space="preserve"> </v>
      </c>
      <c r="O936" s="8">
        <v>150</v>
      </c>
      <c r="P936" s="7">
        <v>46085</v>
      </c>
      <c r="R936" s="8">
        <v>0</v>
      </c>
      <c r="S936" s="7">
        <v>46090</v>
      </c>
      <c r="U936" s="8">
        <v>0</v>
      </c>
      <c r="V936" s="7">
        <v>46097</v>
      </c>
      <c r="X936" s="8">
        <v>0</v>
      </c>
      <c r="Z936" s="8">
        <v>0</v>
      </c>
      <c r="AA936" s="7">
        <v>46111</v>
      </c>
      <c r="AC936" s="8">
        <v>0</v>
      </c>
      <c r="AE936" s="7">
        <v>46114</v>
      </c>
      <c r="AF936" s="8">
        <v>0</v>
      </c>
      <c r="AH936" s="7">
        <v>46115</v>
      </c>
      <c r="AN936" s="8">
        <v>0</v>
      </c>
      <c r="AO936" s="8">
        <v>150</v>
      </c>
    </row>
    <row r="937" spans="1:41" x14ac:dyDescent="0.25">
      <c r="A937" s="6" t="str">
        <f>"521-2025000808"</f>
        <v>521-2025000808</v>
      </c>
      <c r="B937" s="6" t="str">
        <f t="shared" ref="B937:B942" si="264">"VERTRIEB"</f>
        <v>VERTRIEB</v>
      </c>
      <c r="C937" s="7">
        <v>46021</v>
      </c>
      <c r="D937" s="7">
        <v>46094</v>
      </c>
      <c r="E937" s="8">
        <v>1</v>
      </c>
      <c r="F937" s="6" t="str">
        <f>"V26018 EINTRACHT BRA"</f>
        <v>V26018 EINTRACHT BRA</v>
      </c>
      <c r="G937" s="6" t="str">
        <f>"F300374850000000"</f>
        <v>F300374850000000</v>
      </c>
      <c r="H937" s="6" t="str">
        <f>"PLR 3748 Bio GOTS -"</f>
        <v>PLR 3748 Bio GOTS -</v>
      </c>
      <c r="I937" s="6" t="str">
        <f>"201786"</f>
        <v>201786</v>
      </c>
      <c r="J937" s="6" t="str">
        <f>"AZUL 1786"</f>
        <v>AZUL 1786</v>
      </c>
      <c r="K937" s="6" t="str">
        <f>"1024"</f>
        <v>1024</v>
      </c>
      <c r="L937" s="6" t="str">
        <f>"Toalhas"</f>
        <v>Toalhas</v>
      </c>
      <c r="M937" s="6" t="str">
        <f>"50x100"</f>
        <v>50x100</v>
      </c>
      <c r="N937" s="6" t="str">
        <f t="shared" si="258"/>
        <v xml:space="preserve"> </v>
      </c>
      <c r="O937" s="8">
        <v>550</v>
      </c>
      <c r="P937" s="7">
        <v>46072</v>
      </c>
      <c r="R937" s="8">
        <v>0</v>
      </c>
      <c r="S937" s="7">
        <v>46077</v>
      </c>
      <c r="U937" s="8">
        <v>0</v>
      </c>
      <c r="V937" s="7">
        <v>46080</v>
      </c>
      <c r="X937" s="8">
        <v>0</v>
      </c>
      <c r="Z937" s="8">
        <v>0</v>
      </c>
      <c r="AA937" s="7">
        <v>46092</v>
      </c>
      <c r="AC937" s="8">
        <v>0</v>
      </c>
      <c r="AE937" s="7">
        <v>46094</v>
      </c>
      <c r="AF937" s="8">
        <v>0</v>
      </c>
      <c r="AH937" s="7">
        <v>46094</v>
      </c>
      <c r="AN937" s="8">
        <v>0</v>
      </c>
      <c r="AO937" s="8">
        <v>550</v>
      </c>
    </row>
    <row r="938" spans="1:41" x14ac:dyDescent="0.25">
      <c r="A938" s="6" t="str">
        <f>"521-2025000808"</f>
        <v>521-2025000808</v>
      </c>
      <c r="B938" s="6" t="str">
        <f t="shared" si="264"/>
        <v>VERTRIEB</v>
      </c>
      <c r="C938" s="7">
        <v>46021</v>
      </c>
      <c r="D938" s="7">
        <v>46094</v>
      </c>
      <c r="E938" s="8">
        <v>2</v>
      </c>
      <c r="F938" s="6" t="str">
        <f>"V26018 EINTRACHT BRA"</f>
        <v>V26018 EINTRACHT BRA</v>
      </c>
      <c r="G938" s="6" t="str">
        <f>"F300374850000000"</f>
        <v>F300374850000000</v>
      </c>
      <c r="H938" s="6" t="str">
        <f>"PLR 3748 Bio GOTS -"</f>
        <v>PLR 3748 Bio GOTS -</v>
      </c>
      <c r="I938" s="6" t="str">
        <f>"201786"</f>
        <v>201786</v>
      </c>
      <c r="J938" s="6" t="str">
        <f>"AZUL 1786"</f>
        <v>AZUL 1786</v>
      </c>
      <c r="K938" s="6" t="str">
        <f>"1535"</f>
        <v>1535</v>
      </c>
      <c r="L938" s="6" t="str">
        <f>"Toalhões"</f>
        <v>Toalhões</v>
      </c>
      <c r="M938" s="6" t="str">
        <f>"70x140"</f>
        <v>70x140</v>
      </c>
      <c r="N938" s="6" t="str">
        <f t="shared" si="258"/>
        <v xml:space="preserve"> </v>
      </c>
      <c r="O938" s="8">
        <v>650</v>
      </c>
      <c r="P938" s="7">
        <v>46072</v>
      </c>
      <c r="R938" s="8">
        <v>0</v>
      </c>
      <c r="S938" s="7">
        <v>46077</v>
      </c>
      <c r="U938" s="8">
        <v>0</v>
      </c>
      <c r="V938" s="7">
        <v>46080</v>
      </c>
      <c r="X938" s="8">
        <v>0</v>
      </c>
      <c r="Z938" s="8">
        <v>0</v>
      </c>
      <c r="AA938" s="7">
        <v>46092</v>
      </c>
      <c r="AC938" s="8">
        <v>0</v>
      </c>
      <c r="AE938" s="7">
        <v>46094</v>
      </c>
      <c r="AF938" s="8">
        <v>0</v>
      </c>
      <c r="AH938" s="7">
        <v>46094</v>
      </c>
      <c r="AN938" s="8">
        <v>0</v>
      </c>
      <c r="AO938" s="8">
        <v>650</v>
      </c>
    </row>
    <row r="939" spans="1:41" x14ac:dyDescent="0.25">
      <c r="A939" s="6" t="str">
        <f>"521-2025000808"</f>
        <v>521-2025000808</v>
      </c>
      <c r="B939" s="6" t="str">
        <f t="shared" si="264"/>
        <v>VERTRIEB</v>
      </c>
      <c r="C939" s="7">
        <v>46021</v>
      </c>
      <c r="D939" s="7">
        <v>46094</v>
      </c>
      <c r="E939" s="8">
        <v>3</v>
      </c>
      <c r="F939" s="6" t="str">
        <f>"V26018 EINTRACHT BRA"</f>
        <v>V26018 EINTRACHT BRA</v>
      </c>
      <c r="G939" s="6" t="str">
        <f>"F300374850000000"</f>
        <v>F300374850000000</v>
      </c>
      <c r="H939" s="6" t="str">
        <f>"PLR 3748 Bio GOTS -"</f>
        <v>PLR 3748 Bio GOTS -</v>
      </c>
      <c r="I939" s="6" t="str">
        <f>"201786"</f>
        <v>201786</v>
      </c>
      <c r="J939" s="6" t="str">
        <f>"AZUL 1786"</f>
        <v>AZUL 1786</v>
      </c>
      <c r="K939" s="6" t="str">
        <f>"1545"</f>
        <v>1545</v>
      </c>
      <c r="L939" s="6" t="str">
        <f>"Toalhões"</f>
        <v>Toalhões</v>
      </c>
      <c r="M939" s="6" t="str">
        <f>"70x180"</f>
        <v>70x180</v>
      </c>
      <c r="N939" s="6" t="str">
        <f t="shared" si="258"/>
        <v xml:space="preserve"> </v>
      </c>
      <c r="O939" s="8">
        <v>400</v>
      </c>
      <c r="P939" s="7">
        <v>46072</v>
      </c>
      <c r="R939" s="8">
        <v>0</v>
      </c>
      <c r="S939" s="7">
        <v>46077</v>
      </c>
      <c r="U939" s="8">
        <v>0</v>
      </c>
      <c r="V939" s="7">
        <v>46080</v>
      </c>
      <c r="X939" s="8">
        <v>0</v>
      </c>
      <c r="Z939" s="8">
        <v>0</v>
      </c>
      <c r="AA939" s="7">
        <v>46092</v>
      </c>
      <c r="AC939" s="8">
        <v>0</v>
      </c>
      <c r="AE939" s="7">
        <v>46094</v>
      </c>
      <c r="AF939" s="8">
        <v>0</v>
      </c>
      <c r="AH939" s="7">
        <v>46094</v>
      </c>
      <c r="AN939" s="8">
        <v>0</v>
      </c>
      <c r="AO939" s="8">
        <v>400</v>
      </c>
    </row>
    <row r="940" spans="1:41" x14ac:dyDescent="0.25">
      <c r="A940" s="6" t="str">
        <f>"521-2025000809"</f>
        <v>521-2025000809</v>
      </c>
      <c r="B940" s="6" t="str">
        <f t="shared" si="264"/>
        <v>VERTRIEB</v>
      </c>
      <c r="C940" s="7">
        <v>46021</v>
      </c>
      <c r="D940" s="7">
        <v>46094</v>
      </c>
      <c r="E940" s="8">
        <v>2</v>
      </c>
      <c r="F940" s="6" t="str">
        <f>"V26023 ARMINIA BIELE"</f>
        <v>V26023 ARMINIA BIELE</v>
      </c>
      <c r="G940" s="6" t="str">
        <f>"F110356350000000"</f>
        <v>F110356350000000</v>
      </c>
      <c r="H940" s="6" t="str">
        <f>"FAJ 3563 - 500 g/m²"</f>
        <v>FAJ 3563 - 500 g/m²</v>
      </c>
      <c r="I940" s="6" t="str">
        <f>"6030"</f>
        <v>6030</v>
      </c>
      <c r="J940" s="6" t="str">
        <f>"AZUL 6030"</f>
        <v>AZUL 6030</v>
      </c>
      <c r="K940" s="6" t="str">
        <f>"1024"</f>
        <v>1024</v>
      </c>
      <c r="L940" s="6" t="str">
        <f>"Toalhas"</f>
        <v>Toalhas</v>
      </c>
      <c r="M940" s="6" t="str">
        <f>"50x100"</f>
        <v>50x100</v>
      </c>
      <c r="N940" s="6" t="str">
        <f t="shared" si="258"/>
        <v xml:space="preserve"> </v>
      </c>
      <c r="O940" s="8">
        <v>500</v>
      </c>
      <c r="P940" s="7">
        <v>46064</v>
      </c>
      <c r="R940" s="8">
        <v>580</v>
      </c>
      <c r="S940" s="7">
        <v>46071</v>
      </c>
      <c r="U940" s="8">
        <v>0</v>
      </c>
      <c r="V940" s="7">
        <v>46080</v>
      </c>
      <c r="X940" s="8">
        <v>0</v>
      </c>
      <c r="Z940" s="8">
        <v>0</v>
      </c>
      <c r="AA940" s="7">
        <v>46092</v>
      </c>
      <c r="AC940" s="8">
        <v>0</v>
      </c>
      <c r="AE940" s="7">
        <v>46094</v>
      </c>
      <c r="AF940" s="8">
        <v>0</v>
      </c>
      <c r="AH940" s="7">
        <v>46094</v>
      </c>
      <c r="AN940" s="8">
        <v>0</v>
      </c>
      <c r="AO940" s="8">
        <v>500</v>
      </c>
    </row>
    <row r="941" spans="1:41" x14ac:dyDescent="0.25">
      <c r="A941" s="6" t="str">
        <f>"521-2025000809"</f>
        <v>521-2025000809</v>
      </c>
      <c r="B941" s="6" t="str">
        <f t="shared" si="264"/>
        <v>VERTRIEB</v>
      </c>
      <c r="C941" s="7">
        <v>46021</v>
      </c>
      <c r="D941" s="7">
        <v>46094</v>
      </c>
      <c r="E941" s="8">
        <v>3</v>
      </c>
      <c r="F941" s="6" t="str">
        <f>"V26023 ARMINIA BIELE"</f>
        <v>V26023 ARMINIA BIELE</v>
      </c>
      <c r="G941" s="6" t="str">
        <f>"F110356350000000"</f>
        <v>F110356350000000</v>
      </c>
      <c r="H941" s="6" t="str">
        <f>"FAJ 3563 - 500 g/m²"</f>
        <v>FAJ 3563 - 500 g/m²</v>
      </c>
      <c r="I941" s="6" t="str">
        <f>"6030"</f>
        <v>6030</v>
      </c>
      <c r="J941" s="6" t="str">
        <f>"AZUL 6030"</f>
        <v>AZUL 6030</v>
      </c>
      <c r="K941" s="6" t="str">
        <f>"1535"</f>
        <v>1535</v>
      </c>
      <c r="L941" s="6" t="str">
        <f>"Toalhões"</f>
        <v>Toalhões</v>
      </c>
      <c r="M941" s="6" t="str">
        <f>"70x140"</f>
        <v>70x140</v>
      </c>
      <c r="N941" s="6" t="str">
        <f t="shared" si="258"/>
        <v xml:space="preserve"> </v>
      </c>
      <c r="O941" s="8">
        <v>500</v>
      </c>
      <c r="P941" s="7">
        <v>46064</v>
      </c>
      <c r="R941" s="8">
        <v>564</v>
      </c>
      <c r="S941" s="7">
        <v>46071</v>
      </c>
      <c r="U941" s="8">
        <v>0</v>
      </c>
      <c r="V941" s="7">
        <v>46080</v>
      </c>
      <c r="X941" s="8">
        <v>0</v>
      </c>
      <c r="Z941" s="8">
        <v>0</v>
      </c>
      <c r="AA941" s="7">
        <v>46092</v>
      </c>
      <c r="AC941" s="8">
        <v>0</v>
      </c>
      <c r="AE941" s="7">
        <v>46094</v>
      </c>
      <c r="AF941" s="8">
        <v>0</v>
      </c>
      <c r="AH941" s="7">
        <v>46094</v>
      </c>
      <c r="AN941" s="8">
        <v>0</v>
      </c>
      <c r="AO941" s="8">
        <v>500</v>
      </c>
    </row>
    <row r="942" spans="1:41" x14ac:dyDescent="0.25">
      <c r="A942" s="6" t="str">
        <f>"521-2025000809"</f>
        <v>521-2025000809</v>
      </c>
      <c r="B942" s="6" t="str">
        <f t="shared" si="264"/>
        <v>VERTRIEB</v>
      </c>
      <c r="C942" s="7">
        <v>46021</v>
      </c>
      <c r="D942" s="7">
        <v>46094</v>
      </c>
      <c r="E942" s="8">
        <v>4</v>
      </c>
      <c r="F942" s="6" t="str">
        <f>"V26023 ARMINIA BIELE"</f>
        <v>V26023 ARMINIA BIELE</v>
      </c>
      <c r="G942" s="6" t="str">
        <f>"F110356350000000"</f>
        <v>F110356350000000</v>
      </c>
      <c r="H942" s="6" t="str">
        <f>"FAJ 3563 - 500 g/m²"</f>
        <v>FAJ 3563 - 500 g/m²</v>
      </c>
      <c r="I942" s="6" t="str">
        <f>"6030"</f>
        <v>6030</v>
      </c>
      <c r="J942" s="6" t="str">
        <f>"AZUL 6030"</f>
        <v>AZUL 6030</v>
      </c>
      <c r="K942" s="6" t="str">
        <f>"1545"</f>
        <v>1545</v>
      </c>
      <c r="L942" s="6" t="str">
        <f>"Toalhões"</f>
        <v>Toalhões</v>
      </c>
      <c r="M942" s="6" t="str">
        <f>"70x180"</f>
        <v>70x180</v>
      </c>
      <c r="N942" s="6" t="str">
        <f t="shared" si="258"/>
        <v xml:space="preserve"> </v>
      </c>
      <c r="O942" s="8">
        <v>350</v>
      </c>
      <c r="P942" s="7">
        <v>46064</v>
      </c>
      <c r="R942" s="8">
        <v>402</v>
      </c>
      <c r="S942" s="7">
        <v>46071</v>
      </c>
      <c r="U942" s="8">
        <v>0</v>
      </c>
      <c r="V942" s="7">
        <v>46080</v>
      </c>
      <c r="X942" s="8">
        <v>0</v>
      </c>
      <c r="Z942" s="8">
        <v>0</v>
      </c>
      <c r="AA942" s="7">
        <v>46092</v>
      </c>
      <c r="AC942" s="8">
        <v>0</v>
      </c>
      <c r="AE942" s="7">
        <v>46094</v>
      </c>
      <c r="AF942" s="8">
        <v>0</v>
      </c>
      <c r="AH942" s="7">
        <v>46094</v>
      </c>
      <c r="AN942" s="8">
        <v>0</v>
      </c>
      <c r="AO942" s="8">
        <v>350</v>
      </c>
    </row>
    <row r="943" spans="1:41" x14ac:dyDescent="0.25">
      <c r="A943" s="6" t="str">
        <f t="shared" ref="A943:A953" si="265">"521-2026000001"</f>
        <v>521-2026000001</v>
      </c>
      <c r="B943" s="6" t="str">
        <f t="shared" ref="B943:B953" si="266">"TEKLA AP"</f>
        <v>TEKLA AP</v>
      </c>
      <c r="C943" s="7">
        <v>46027</v>
      </c>
      <c r="D943" s="7">
        <v>46027</v>
      </c>
      <c r="E943" s="8">
        <v>1</v>
      </c>
      <c r="F943" s="6" t="str">
        <f t="shared" ref="F943:F953" si="267">"PO10000501"</f>
        <v>PO10000501</v>
      </c>
      <c r="G943" s="6" t="str">
        <f t="shared" ref="G943:G948" si="268">"R330376038500000"</f>
        <v>R330376038500000</v>
      </c>
      <c r="H943" s="6" t="str">
        <f t="shared" ref="H943:H948" si="269">"R 3760 - PLA P 2803"</f>
        <v>R 3760 - PLA P 2803</v>
      </c>
      <c r="I943" s="6" t="str">
        <f t="shared" ref="I943:I948" si="270">"204727"</f>
        <v>204727</v>
      </c>
      <c r="J943" s="6" t="str">
        <f t="shared" ref="J943:J948" si="271">"ROSA 4727"</f>
        <v>ROSA 4727</v>
      </c>
      <c r="K943" s="6" t="str">
        <f>"5001"</f>
        <v>5001</v>
      </c>
      <c r="L943" s="6" t="str">
        <f t="shared" ref="L943:L955" si="272">"Roupões Adulto"</f>
        <v>Roupões Adulto</v>
      </c>
      <c r="M943" s="6" t="str">
        <f>"XS"</f>
        <v>XS</v>
      </c>
      <c r="N943" s="6" t="str">
        <f>"5740014914645"</f>
        <v>5740014914645</v>
      </c>
      <c r="O943" s="8">
        <v>40</v>
      </c>
      <c r="P943" s="7">
        <v>46027</v>
      </c>
      <c r="R943" s="8">
        <v>0</v>
      </c>
      <c r="S943" s="7">
        <v>46030</v>
      </c>
      <c r="U943" s="8">
        <v>0</v>
      </c>
      <c r="V943" s="7">
        <v>46035</v>
      </c>
      <c r="X943" s="8">
        <v>0</v>
      </c>
      <c r="Z943" s="8">
        <v>0</v>
      </c>
      <c r="AA943" s="7">
        <v>46045</v>
      </c>
      <c r="AC943" s="8">
        <v>0</v>
      </c>
      <c r="AE943" s="7">
        <v>46049</v>
      </c>
      <c r="AF943" s="8">
        <v>0</v>
      </c>
      <c r="AH943" s="7">
        <v>46052</v>
      </c>
      <c r="AN943" s="8">
        <v>0</v>
      </c>
      <c r="AO943" s="8">
        <v>40</v>
      </c>
    </row>
    <row r="944" spans="1:41" x14ac:dyDescent="0.25">
      <c r="A944" s="6" t="str">
        <f t="shared" si="265"/>
        <v>521-2026000001</v>
      </c>
      <c r="B944" s="6" t="str">
        <f t="shared" si="266"/>
        <v>TEKLA AP</v>
      </c>
      <c r="C944" s="7">
        <v>46027</v>
      </c>
      <c r="D944" s="7">
        <v>46027</v>
      </c>
      <c r="E944" s="8">
        <v>2</v>
      </c>
      <c r="F944" s="6" t="str">
        <f t="shared" si="267"/>
        <v>PO10000501</v>
      </c>
      <c r="G944" s="6" t="str">
        <f t="shared" si="268"/>
        <v>R330376038500000</v>
      </c>
      <c r="H944" s="6" t="str">
        <f t="shared" si="269"/>
        <v>R 3760 - PLA P 2803</v>
      </c>
      <c r="I944" s="6" t="str">
        <f t="shared" si="270"/>
        <v>204727</v>
      </c>
      <c r="J944" s="6" t="str">
        <f t="shared" si="271"/>
        <v>ROSA 4727</v>
      </c>
      <c r="K944" s="6" t="str">
        <f>"5002"</f>
        <v>5002</v>
      </c>
      <c r="L944" s="6" t="str">
        <f t="shared" si="272"/>
        <v>Roupões Adulto</v>
      </c>
      <c r="M944" s="6" t="str">
        <f>"S"</f>
        <v>S</v>
      </c>
      <c r="N944" s="6" t="str">
        <f>"5740014914638"</f>
        <v>5740014914638</v>
      </c>
      <c r="O944" s="8">
        <v>20</v>
      </c>
      <c r="P944" s="7">
        <v>46027</v>
      </c>
      <c r="R944" s="8">
        <v>0</v>
      </c>
      <c r="S944" s="7">
        <v>46030</v>
      </c>
      <c r="U944" s="8">
        <v>0</v>
      </c>
      <c r="V944" s="7">
        <v>46035</v>
      </c>
      <c r="X944" s="8">
        <v>0</v>
      </c>
      <c r="Z944" s="8">
        <v>0</v>
      </c>
      <c r="AA944" s="7">
        <v>46045</v>
      </c>
      <c r="AC944" s="8">
        <v>0</v>
      </c>
      <c r="AE944" s="7">
        <v>46049</v>
      </c>
      <c r="AF944" s="8">
        <v>0</v>
      </c>
      <c r="AH944" s="7">
        <v>46052</v>
      </c>
      <c r="AN944" s="8">
        <v>0</v>
      </c>
      <c r="AO944" s="8">
        <v>20</v>
      </c>
    </row>
    <row r="945" spans="1:41" x14ac:dyDescent="0.25">
      <c r="A945" s="6" t="str">
        <f t="shared" si="265"/>
        <v>521-2026000001</v>
      </c>
      <c r="B945" s="6" t="str">
        <f t="shared" si="266"/>
        <v>TEKLA AP</v>
      </c>
      <c r="C945" s="7">
        <v>46027</v>
      </c>
      <c r="D945" s="7">
        <v>46027</v>
      </c>
      <c r="E945" s="8">
        <v>3</v>
      </c>
      <c r="F945" s="6" t="str">
        <f t="shared" si="267"/>
        <v>PO10000501</v>
      </c>
      <c r="G945" s="6" t="str">
        <f t="shared" si="268"/>
        <v>R330376038500000</v>
      </c>
      <c r="H945" s="6" t="str">
        <f t="shared" si="269"/>
        <v>R 3760 - PLA P 2803</v>
      </c>
      <c r="I945" s="6" t="str">
        <f t="shared" si="270"/>
        <v>204727</v>
      </c>
      <c r="J945" s="6" t="str">
        <f t="shared" si="271"/>
        <v>ROSA 4727</v>
      </c>
      <c r="K945" s="6" t="str">
        <f>"5004"</f>
        <v>5004</v>
      </c>
      <c r="L945" s="6" t="str">
        <f t="shared" si="272"/>
        <v>Roupões Adulto</v>
      </c>
      <c r="M945" s="6" t="str">
        <f>"M"</f>
        <v>M</v>
      </c>
      <c r="N945" s="6" t="str">
        <f>"5740014914621"</f>
        <v>5740014914621</v>
      </c>
      <c r="O945" s="8">
        <v>20</v>
      </c>
      <c r="P945" s="7">
        <v>46027</v>
      </c>
      <c r="R945" s="8">
        <v>0</v>
      </c>
      <c r="S945" s="7">
        <v>46030</v>
      </c>
      <c r="U945" s="8">
        <v>0</v>
      </c>
      <c r="V945" s="7">
        <v>46035</v>
      </c>
      <c r="X945" s="8">
        <v>0</v>
      </c>
      <c r="Z945" s="8">
        <v>0</v>
      </c>
      <c r="AA945" s="7">
        <v>46045</v>
      </c>
      <c r="AC945" s="8">
        <v>0</v>
      </c>
      <c r="AE945" s="7">
        <v>46049</v>
      </c>
      <c r="AF945" s="8">
        <v>0</v>
      </c>
      <c r="AH945" s="7">
        <v>46052</v>
      </c>
      <c r="AN945" s="8">
        <v>0</v>
      </c>
      <c r="AO945" s="8">
        <v>20</v>
      </c>
    </row>
    <row r="946" spans="1:41" x14ac:dyDescent="0.25">
      <c r="A946" s="6" t="str">
        <f t="shared" si="265"/>
        <v>521-2026000001</v>
      </c>
      <c r="B946" s="6" t="str">
        <f t="shared" si="266"/>
        <v>TEKLA AP</v>
      </c>
      <c r="C946" s="7">
        <v>46027</v>
      </c>
      <c r="D946" s="7">
        <v>46027</v>
      </c>
      <c r="E946" s="8">
        <v>4</v>
      </c>
      <c r="F946" s="6" t="str">
        <f t="shared" si="267"/>
        <v>PO10000501</v>
      </c>
      <c r="G946" s="6" t="str">
        <f t="shared" si="268"/>
        <v>R330376038500000</v>
      </c>
      <c r="H946" s="6" t="str">
        <f t="shared" si="269"/>
        <v>R 3760 - PLA P 2803</v>
      </c>
      <c r="I946" s="6" t="str">
        <f t="shared" si="270"/>
        <v>204727</v>
      </c>
      <c r="J946" s="6" t="str">
        <f t="shared" si="271"/>
        <v>ROSA 4727</v>
      </c>
      <c r="K946" s="6" t="str">
        <f>"5006"</f>
        <v>5006</v>
      </c>
      <c r="L946" s="6" t="str">
        <f t="shared" si="272"/>
        <v>Roupões Adulto</v>
      </c>
      <c r="M946" s="6" t="str">
        <f>"L"</f>
        <v>L</v>
      </c>
      <c r="N946" s="6" t="str">
        <f>"5740014914614"</f>
        <v>5740014914614</v>
      </c>
      <c r="O946" s="8">
        <v>15</v>
      </c>
      <c r="P946" s="7">
        <v>46027</v>
      </c>
      <c r="R946" s="8">
        <v>0</v>
      </c>
      <c r="S946" s="7">
        <v>46030</v>
      </c>
      <c r="U946" s="8">
        <v>0</v>
      </c>
      <c r="V946" s="7">
        <v>46035</v>
      </c>
      <c r="X946" s="8">
        <v>0</v>
      </c>
      <c r="Z946" s="8">
        <v>0</v>
      </c>
      <c r="AA946" s="7">
        <v>46045</v>
      </c>
      <c r="AC946" s="8">
        <v>0</v>
      </c>
      <c r="AE946" s="7">
        <v>46049</v>
      </c>
      <c r="AF946" s="8">
        <v>0</v>
      </c>
      <c r="AH946" s="7">
        <v>46052</v>
      </c>
      <c r="AN946" s="8">
        <v>0</v>
      </c>
      <c r="AO946" s="8">
        <v>15</v>
      </c>
    </row>
    <row r="947" spans="1:41" x14ac:dyDescent="0.25">
      <c r="A947" s="6" t="str">
        <f t="shared" si="265"/>
        <v>521-2026000001</v>
      </c>
      <c r="B947" s="6" t="str">
        <f t="shared" si="266"/>
        <v>TEKLA AP</v>
      </c>
      <c r="C947" s="7">
        <v>46027</v>
      </c>
      <c r="D947" s="7">
        <v>46027</v>
      </c>
      <c r="E947" s="8">
        <v>5</v>
      </c>
      <c r="F947" s="6" t="str">
        <f t="shared" si="267"/>
        <v>PO10000501</v>
      </c>
      <c r="G947" s="6" t="str">
        <f t="shared" si="268"/>
        <v>R330376038500000</v>
      </c>
      <c r="H947" s="6" t="str">
        <f t="shared" si="269"/>
        <v>R 3760 - PLA P 2803</v>
      </c>
      <c r="I947" s="6" t="str">
        <f t="shared" si="270"/>
        <v>204727</v>
      </c>
      <c r="J947" s="6" t="str">
        <f t="shared" si="271"/>
        <v>ROSA 4727</v>
      </c>
      <c r="K947" s="6" t="str">
        <f>"5008"</f>
        <v>5008</v>
      </c>
      <c r="L947" s="6" t="str">
        <f t="shared" si="272"/>
        <v>Roupões Adulto</v>
      </c>
      <c r="M947" s="6" t="str">
        <f>"XL"</f>
        <v>XL</v>
      </c>
      <c r="N947" s="6" t="str">
        <f>"5740014914607"</f>
        <v>5740014914607</v>
      </c>
      <c r="O947" s="8">
        <v>20</v>
      </c>
      <c r="P947" s="7">
        <v>46027</v>
      </c>
      <c r="R947" s="8">
        <v>0</v>
      </c>
      <c r="S947" s="7">
        <v>46030</v>
      </c>
      <c r="U947" s="8">
        <v>0</v>
      </c>
      <c r="V947" s="7">
        <v>46035</v>
      </c>
      <c r="X947" s="8">
        <v>0</v>
      </c>
      <c r="Z947" s="8">
        <v>0</v>
      </c>
      <c r="AA947" s="7">
        <v>46045</v>
      </c>
      <c r="AC947" s="8">
        <v>0</v>
      </c>
      <c r="AE947" s="7">
        <v>46049</v>
      </c>
      <c r="AF947" s="8">
        <v>0</v>
      </c>
      <c r="AH947" s="7">
        <v>46052</v>
      </c>
      <c r="AN947" s="8">
        <v>0</v>
      </c>
      <c r="AO947" s="8">
        <v>20</v>
      </c>
    </row>
    <row r="948" spans="1:41" x14ac:dyDescent="0.25">
      <c r="A948" s="6" t="str">
        <f t="shared" si="265"/>
        <v>521-2026000001</v>
      </c>
      <c r="B948" s="6" t="str">
        <f t="shared" si="266"/>
        <v>TEKLA AP</v>
      </c>
      <c r="C948" s="7">
        <v>46027</v>
      </c>
      <c r="D948" s="7">
        <v>46027</v>
      </c>
      <c r="E948" s="8">
        <v>6</v>
      </c>
      <c r="F948" s="6" t="str">
        <f t="shared" si="267"/>
        <v>PO10000501</v>
      </c>
      <c r="G948" s="6" t="str">
        <f t="shared" si="268"/>
        <v>R330376038500000</v>
      </c>
      <c r="H948" s="6" t="str">
        <f t="shared" si="269"/>
        <v>R 3760 - PLA P 2803</v>
      </c>
      <c r="I948" s="6" t="str">
        <f t="shared" si="270"/>
        <v>204727</v>
      </c>
      <c r="J948" s="6" t="str">
        <f t="shared" si="271"/>
        <v>ROSA 4727</v>
      </c>
      <c r="K948" s="6" t="str">
        <f>"5010"</f>
        <v>5010</v>
      </c>
      <c r="L948" s="6" t="str">
        <f t="shared" si="272"/>
        <v>Roupões Adulto</v>
      </c>
      <c r="M948" s="6" t="str">
        <f>"XXL"</f>
        <v>XXL</v>
      </c>
      <c r="N948" s="6" t="str">
        <f>"5740014949937"</f>
        <v>5740014949937</v>
      </c>
      <c r="O948" s="8">
        <v>10</v>
      </c>
      <c r="P948" s="7">
        <v>46027</v>
      </c>
      <c r="R948" s="8">
        <v>0</v>
      </c>
      <c r="S948" s="7">
        <v>46030</v>
      </c>
      <c r="U948" s="8">
        <v>0</v>
      </c>
      <c r="V948" s="7">
        <v>46035</v>
      </c>
      <c r="X948" s="8">
        <v>0</v>
      </c>
      <c r="Z948" s="8">
        <v>0</v>
      </c>
      <c r="AA948" s="7">
        <v>46045</v>
      </c>
      <c r="AC948" s="8">
        <v>0</v>
      </c>
      <c r="AE948" s="7">
        <v>46049</v>
      </c>
      <c r="AF948" s="8">
        <v>0</v>
      </c>
      <c r="AH948" s="7">
        <v>46052</v>
      </c>
      <c r="AN948" s="8">
        <v>0</v>
      </c>
      <c r="AO948" s="8">
        <v>10</v>
      </c>
    </row>
    <row r="949" spans="1:41" x14ac:dyDescent="0.25">
      <c r="A949" s="6" t="str">
        <f t="shared" si="265"/>
        <v>521-2026000001</v>
      </c>
      <c r="B949" s="6" t="str">
        <f t="shared" si="266"/>
        <v>TEKLA AP</v>
      </c>
      <c r="C949" s="7">
        <v>46027</v>
      </c>
      <c r="D949" s="7">
        <v>46027</v>
      </c>
      <c r="E949" s="8">
        <v>7</v>
      </c>
      <c r="F949" s="6" t="str">
        <f t="shared" si="267"/>
        <v>PO10000501</v>
      </c>
      <c r="G949" s="6" t="str">
        <f>"R330375838500000"</f>
        <v>R330375838500000</v>
      </c>
      <c r="H949" s="6" t="str">
        <f>"R 3758 - PLA P 2802"</f>
        <v>R 3758 - PLA P 2802</v>
      </c>
      <c r="I949" s="6" t="str">
        <f>"201269"</f>
        <v>201269</v>
      </c>
      <c r="J949" s="6" t="str">
        <f>"ROSA 1269"</f>
        <v>ROSA 1269</v>
      </c>
      <c r="K949" s="6" t="str">
        <f>"5001"</f>
        <v>5001</v>
      </c>
      <c r="L949" s="6" t="str">
        <f t="shared" si="272"/>
        <v>Roupões Adulto</v>
      </c>
      <c r="M949" s="6" t="str">
        <f>"XS"</f>
        <v>XS</v>
      </c>
      <c r="N949" s="6" t="str">
        <f>"5740014950056"</f>
        <v>5740014950056</v>
      </c>
      <c r="O949" s="8">
        <v>10</v>
      </c>
      <c r="P949" s="7">
        <v>46027</v>
      </c>
      <c r="R949" s="8">
        <v>0</v>
      </c>
      <c r="S949" s="7">
        <v>46030</v>
      </c>
      <c r="U949" s="8">
        <v>0</v>
      </c>
      <c r="V949" s="7">
        <v>46035</v>
      </c>
      <c r="X949" s="8">
        <v>0</v>
      </c>
      <c r="Z949" s="8">
        <v>0</v>
      </c>
      <c r="AA949" s="7">
        <v>46045</v>
      </c>
      <c r="AC949" s="8">
        <v>0</v>
      </c>
      <c r="AE949" s="7">
        <v>46049</v>
      </c>
      <c r="AF949" s="8">
        <v>0</v>
      </c>
      <c r="AH949" s="7">
        <v>46052</v>
      </c>
      <c r="AN949" s="8">
        <v>0</v>
      </c>
      <c r="AO949" s="8">
        <v>10</v>
      </c>
    </row>
    <row r="950" spans="1:41" x14ac:dyDescent="0.25">
      <c r="A950" s="6" t="str">
        <f t="shared" si="265"/>
        <v>521-2026000001</v>
      </c>
      <c r="B950" s="6" t="str">
        <f t="shared" si="266"/>
        <v>TEKLA AP</v>
      </c>
      <c r="C950" s="7">
        <v>46027</v>
      </c>
      <c r="D950" s="7">
        <v>46027</v>
      </c>
      <c r="E950" s="8">
        <v>8</v>
      </c>
      <c r="F950" s="6" t="str">
        <f t="shared" si="267"/>
        <v>PO10000501</v>
      </c>
      <c r="G950" s="6" t="str">
        <f>"R330375838500000"</f>
        <v>R330375838500000</v>
      </c>
      <c r="H950" s="6" t="str">
        <f>"R 3758 - PLA P 2802"</f>
        <v>R 3758 - PLA P 2802</v>
      </c>
      <c r="I950" s="6" t="str">
        <f>"201269"</f>
        <v>201269</v>
      </c>
      <c r="J950" s="6" t="str">
        <f>"ROSA 1269"</f>
        <v>ROSA 1269</v>
      </c>
      <c r="K950" s="6" t="str">
        <f>"5002"</f>
        <v>5002</v>
      </c>
      <c r="L950" s="6" t="str">
        <f t="shared" si="272"/>
        <v>Roupões Adulto</v>
      </c>
      <c r="M950" s="6" t="str">
        <f>"S"</f>
        <v>S</v>
      </c>
      <c r="N950" s="6" t="str">
        <f>"5740014950049"</f>
        <v>5740014950049</v>
      </c>
      <c r="O950" s="8">
        <v>20</v>
      </c>
      <c r="P950" s="7">
        <v>46027</v>
      </c>
      <c r="R950" s="8">
        <v>0</v>
      </c>
      <c r="S950" s="7">
        <v>46030</v>
      </c>
      <c r="U950" s="8">
        <v>0</v>
      </c>
      <c r="V950" s="7">
        <v>46035</v>
      </c>
      <c r="X950" s="8">
        <v>0</v>
      </c>
      <c r="Z950" s="8">
        <v>0</v>
      </c>
      <c r="AA950" s="7">
        <v>46045</v>
      </c>
      <c r="AC950" s="8">
        <v>0</v>
      </c>
      <c r="AE950" s="7">
        <v>46049</v>
      </c>
      <c r="AF950" s="8">
        <v>0</v>
      </c>
      <c r="AH950" s="7">
        <v>46052</v>
      </c>
      <c r="AN950" s="8">
        <v>0</v>
      </c>
      <c r="AO950" s="8">
        <v>20</v>
      </c>
    </row>
    <row r="951" spans="1:41" x14ac:dyDescent="0.25">
      <c r="A951" s="6" t="str">
        <f t="shared" si="265"/>
        <v>521-2026000001</v>
      </c>
      <c r="B951" s="6" t="str">
        <f t="shared" si="266"/>
        <v>TEKLA AP</v>
      </c>
      <c r="C951" s="7">
        <v>46027</v>
      </c>
      <c r="D951" s="7">
        <v>46027</v>
      </c>
      <c r="E951" s="8">
        <v>9</v>
      </c>
      <c r="F951" s="6" t="str">
        <f t="shared" si="267"/>
        <v>PO10000501</v>
      </c>
      <c r="G951" s="6" t="str">
        <f>"R330375838500000"</f>
        <v>R330375838500000</v>
      </c>
      <c r="H951" s="6" t="str">
        <f>"R 3758 - PLA P 2802"</f>
        <v>R 3758 - PLA P 2802</v>
      </c>
      <c r="I951" s="6" t="str">
        <f>"201269"</f>
        <v>201269</v>
      </c>
      <c r="J951" s="6" t="str">
        <f>"ROSA 1269"</f>
        <v>ROSA 1269</v>
      </c>
      <c r="K951" s="6" t="str">
        <f>"5004"</f>
        <v>5004</v>
      </c>
      <c r="L951" s="6" t="str">
        <f t="shared" si="272"/>
        <v>Roupões Adulto</v>
      </c>
      <c r="M951" s="6" t="str">
        <f>"M"</f>
        <v>M</v>
      </c>
      <c r="N951" s="6" t="str">
        <f>"5740014950032"</f>
        <v>5740014950032</v>
      </c>
      <c r="O951" s="8">
        <v>50</v>
      </c>
      <c r="P951" s="7">
        <v>46027</v>
      </c>
      <c r="R951" s="8">
        <v>0</v>
      </c>
      <c r="S951" s="7">
        <v>46030</v>
      </c>
      <c r="U951" s="8">
        <v>0</v>
      </c>
      <c r="V951" s="7">
        <v>46035</v>
      </c>
      <c r="X951" s="8">
        <v>0</v>
      </c>
      <c r="Z951" s="8">
        <v>0</v>
      </c>
      <c r="AA951" s="7">
        <v>46045</v>
      </c>
      <c r="AC951" s="8">
        <v>0</v>
      </c>
      <c r="AE951" s="7">
        <v>46049</v>
      </c>
      <c r="AF951" s="8">
        <v>0</v>
      </c>
      <c r="AH951" s="7">
        <v>46052</v>
      </c>
      <c r="AN951" s="8">
        <v>0</v>
      </c>
      <c r="AO951" s="8">
        <v>50</v>
      </c>
    </row>
    <row r="952" spans="1:41" x14ac:dyDescent="0.25">
      <c r="A952" s="6" t="str">
        <f t="shared" si="265"/>
        <v>521-2026000001</v>
      </c>
      <c r="B952" s="6" t="str">
        <f t="shared" si="266"/>
        <v>TEKLA AP</v>
      </c>
      <c r="C952" s="7">
        <v>46027</v>
      </c>
      <c r="D952" s="7">
        <v>46027</v>
      </c>
      <c r="E952" s="8">
        <v>10</v>
      </c>
      <c r="F952" s="6" t="str">
        <f t="shared" si="267"/>
        <v>PO10000501</v>
      </c>
      <c r="G952" s="6" t="str">
        <f>"R330375838500000"</f>
        <v>R330375838500000</v>
      </c>
      <c r="H952" s="6" t="str">
        <f>"R 3758 - PLA P 2802"</f>
        <v>R 3758 - PLA P 2802</v>
      </c>
      <c r="I952" s="6" t="str">
        <f>"201269"</f>
        <v>201269</v>
      </c>
      <c r="J952" s="6" t="str">
        <f>"ROSA 1269"</f>
        <v>ROSA 1269</v>
      </c>
      <c r="K952" s="6" t="str">
        <f>"5006"</f>
        <v>5006</v>
      </c>
      <c r="L952" s="6" t="str">
        <f t="shared" si="272"/>
        <v>Roupões Adulto</v>
      </c>
      <c r="M952" s="6" t="str">
        <f>"L"</f>
        <v>L</v>
      </c>
      <c r="N952" s="6" t="str">
        <f>"5740014950025"</f>
        <v>5740014950025</v>
      </c>
      <c r="O952" s="8">
        <v>10</v>
      </c>
      <c r="P952" s="7">
        <v>46027</v>
      </c>
      <c r="R952" s="8">
        <v>0</v>
      </c>
      <c r="S952" s="7">
        <v>46030</v>
      </c>
      <c r="U952" s="8">
        <v>0</v>
      </c>
      <c r="V952" s="7">
        <v>46035</v>
      </c>
      <c r="X952" s="8">
        <v>0</v>
      </c>
      <c r="Z952" s="8">
        <v>0</v>
      </c>
      <c r="AA952" s="7">
        <v>46045</v>
      </c>
      <c r="AC952" s="8">
        <v>0</v>
      </c>
      <c r="AE952" s="7">
        <v>46049</v>
      </c>
      <c r="AF952" s="8">
        <v>0</v>
      </c>
      <c r="AH952" s="7">
        <v>46052</v>
      </c>
      <c r="AN952" s="8">
        <v>0</v>
      </c>
      <c r="AO952" s="8">
        <v>10</v>
      </c>
    </row>
    <row r="953" spans="1:41" x14ac:dyDescent="0.25">
      <c r="A953" s="6" t="str">
        <f t="shared" si="265"/>
        <v>521-2026000001</v>
      </c>
      <c r="B953" s="6" t="str">
        <f t="shared" si="266"/>
        <v>TEKLA AP</v>
      </c>
      <c r="C953" s="7">
        <v>46027</v>
      </c>
      <c r="D953" s="7">
        <v>46027</v>
      </c>
      <c r="E953" s="8">
        <v>11</v>
      </c>
      <c r="F953" s="6" t="str">
        <f t="shared" si="267"/>
        <v>PO10000501</v>
      </c>
      <c r="G953" s="6" t="str">
        <f>"R330375838500000"</f>
        <v>R330375838500000</v>
      </c>
      <c r="H953" s="6" t="str">
        <f>"R 3758 - PLA P 2802"</f>
        <v>R 3758 - PLA P 2802</v>
      </c>
      <c r="I953" s="6" t="str">
        <f>"201269"</f>
        <v>201269</v>
      </c>
      <c r="J953" s="6" t="str">
        <f>"ROSA 1269"</f>
        <v>ROSA 1269</v>
      </c>
      <c r="K953" s="6" t="str">
        <f>"5008"</f>
        <v>5008</v>
      </c>
      <c r="L953" s="6" t="str">
        <f t="shared" si="272"/>
        <v>Roupões Adulto</v>
      </c>
      <c r="M953" s="6" t="str">
        <f>"XL"</f>
        <v>XL</v>
      </c>
      <c r="N953" s="6" t="str">
        <f>"5740014950018"</f>
        <v>5740014950018</v>
      </c>
      <c r="O953" s="8">
        <v>5</v>
      </c>
      <c r="P953" s="7">
        <v>46027</v>
      </c>
      <c r="R953" s="8">
        <v>0</v>
      </c>
      <c r="S953" s="7">
        <v>46030</v>
      </c>
      <c r="U953" s="8">
        <v>0</v>
      </c>
      <c r="V953" s="7">
        <v>46035</v>
      </c>
      <c r="X953" s="8">
        <v>0</v>
      </c>
      <c r="Z953" s="8">
        <v>0</v>
      </c>
      <c r="AA953" s="7">
        <v>46045</v>
      </c>
      <c r="AC953" s="8">
        <v>0</v>
      </c>
      <c r="AE953" s="7">
        <v>46049</v>
      </c>
      <c r="AF953" s="8">
        <v>0</v>
      </c>
      <c r="AH953" s="7">
        <v>46052</v>
      </c>
      <c r="AN953" s="8">
        <v>0</v>
      </c>
      <c r="AO953" s="8">
        <v>5</v>
      </c>
    </row>
    <row r="954" spans="1:41" x14ac:dyDescent="0.25">
      <c r="A954" s="6" t="str">
        <f>"521-2026000002"</f>
        <v>521-2026000002</v>
      </c>
      <c r="B954" s="6" t="str">
        <f>"SOCIETE"</f>
        <v>SOCIETE</v>
      </c>
      <c r="C954" s="7">
        <v>46027</v>
      </c>
      <c r="D954" s="7">
        <v>46087</v>
      </c>
      <c r="E954" s="8">
        <v>1</v>
      </c>
      <c r="F954" s="6" t="str">
        <f>"1081262"</f>
        <v>1081262</v>
      </c>
      <c r="G954" s="6" t="str">
        <f>"R310335742000000"</f>
        <v>R310335742000000</v>
      </c>
      <c r="H954" s="6" t="str">
        <f>"R 3357 - PLAR 5156 ("</f>
        <v>R 3357 - PLAR 5156 (</v>
      </c>
      <c r="I954" s="6" t="str">
        <f>"201031"</f>
        <v>201031</v>
      </c>
      <c r="J954" s="6" t="str">
        <f>"VERDE 1031"</f>
        <v>VERDE 1031</v>
      </c>
      <c r="K954" s="6" t="str">
        <f>"5004"</f>
        <v>5004</v>
      </c>
      <c r="L954" s="6" t="str">
        <f t="shared" si="272"/>
        <v>Roupões Adulto</v>
      </c>
      <c r="M954" s="6" t="str">
        <f>"M"</f>
        <v>M</v>
      </c>
      <c r="N954" s="6" t="str">
        <f t="shared" ref="N954:N985" si="273">" "</f>
        <v xml:space="preserve"> </v>
      </c>
      <c r="O954" s="8">
        <v>90</v>
      </c>
      <c r="P954" s="7">
        <v>46062</v>
      </c>
      <c r="R954" s="8">
        <v>0</v>
      </c>
      <c r="S954" s="7">
        <v>46076</v>
      </c>
      <c r="U954" s="8">
        <v>0</v>
      </c>
      <c r="V954" s="7">
        <v>46072</v>
      </c>
      <c r="X954" s="8">
        <v>0</v>
      </c>
      <c r="Z954" s="8">
        <v>0</v>
      </c>
      <c r="AA954" s="7">
        <v>46085</v>
      </c>
      <c r="AC954" s="8">
        <v>0</v>
      </c>
      <c r="AE954" s="7">
        <v>46087</v>
      </c>
      <c r="AF954" s="8">
        <v>0</v>
      </c>
      <c r="AH954" s="7">
        <v>46087</v>
      </c>
      <c r="AN954" s="8">
        <v>0</v>
      </c>
      <c r="AO954" s="8">
        <v>90</v>
      </c>
    </row>
    <row r="955" spans="1:41" x14ac:dyDescent="0.25">
      <c r="A955" s="6" t="str">
        <f>"521-2026000002"</f>
        <v>521-2026000002</v>
      </c>
      <c r="B955" s="6" t="str">
        <f>"SOCIETE"</f>
        <v>SOCIETE</v>
      </c>
      <c r="C955" s="7">
        <v>46027</v>
      </c>
      <c r="D955" s="7">
        <v>46087</v>
      </c>
      <c r="E955" s="8">
        <v>2</v>
      </c>
      <c r="F955" s="6" t="str">
        <f>"1081262"</f>
        <v>1081262</v>
      </c>
      <c r="G955" s="6" t="str">
        <f>"R310335742000000"</f>
        <v>R310335742000000</v>
      </c>
      <c r="H955" s="6" t="str">
        <f>"R 3357 - PLAR 5156 ("</f>
        <v>R 3357 - PLAR 5156 (</v>
      </c>
      <c r="I955" s="6" t="str">
        <f>"201031"</f>
        <v>201031</v>
      </c>
      <c r="J955" s="6" t="str">
        <f>"VERDE 1031"</f>
        <v>VERDE 1031</v>
      </c>
      <c r="K955" s="6" t="str">
        <f>"5006"</f>
        <v>5006</v>
      </c>
      <c r="L955" s="6" t="str">
        <f t="shared" si="272"/>
        <v>Roupões Adulto</v>
      </c>
      <c r="M955" s="6" t="str">
        <f>"L"</f>
        <v>L</v>
      </c>
      <c r="N955" s="6" t="str">
        <f t="shared" si="273"/>
        <v xml:space="preserve"> </v>
      </c>
      <c r="O955" s="8">
        <v>60</v>
      </c>
      <c r="P955" s="7">
        <v>46062</v>
      </c>
      <c r="R955" s="8">
        <v>0</v>
      </c>
      <c r="S955" s="7">
        <v>46076</v>
      </c>
      <c r="U955" s="8">
        <v>0</v>
      </c>
      <c r="V955" s="7">
        <v>46072</v>
      </c>
      <c r="X955" s="8">
        <v>0</v>
      </c>
      <c r="Z955" s="8">
        <v>0</v>
      </c>
      <c r="AA955" s="7">
        <v>46085</v>
      </c>
      <c r="AC955" s="8">
        <v>0</v>
      </c>
      <c r="AE955" s="7">
        <v>46087</v>
      </c>
      <c r="AF955" s="8">
        <v>0</v>
      </c>
      <c r="AH955" s="7">
        <v>46087</v>
      </c>
      <c r="AN955" s="8">
        <v>0</v>
      </c>
      <c r="AO955" s="8">
        <v>60</v>
      </c>
    </row>
    <row r="956" spans="1:41" x14ac:dyDescent="0.25">
      <c r="A956" s="6" t="str">
        <f t="shared" ref="A956:A961" si="274">"521-2026000003"</f>
        <v>521-2026000003</v>
      </c>
      <c r="B956" s="6" t="str">
        <f t="shared" ref="B956:B961" si="275">"Heinen D"</f>
        <v>Heinen D</v>
      </c>
      <c r="C956" s="7">
        <v>46027</v>
      </c>
      <c r="D956" s="7">
        <v>46094</v>
      </c>
      <c r="E956" s="8">
        <v>1</v>
      </c>
      <c r="F956" s="6" t="str">
        <f t="shared" ref="F956:F961" si="276">" "</f>
        <v xml:space="preserve"> </v>
      </c>
      <c r="G956" s="6" t="str">
        <f>"C001227728000000"</f>
        <v>C001227728000000</v>
      </c>
      <c r="H956" s="6" t="str">
        <f>"CZJ 2277 - 280 g/m²"</f>
        <v>CZJ 2277 - 280 g/m²</v>
      </c>
      <c r="I956" s="6" t="str">
        <f t="shared" ref="I956:I961" si="277">"204046"</f>
        <v>204046</v>
      </c>
      <c r="J956" s="6" t="str">
        <f t="shared" ref="J956:J961" si="278">"AZUL 4046"</f>
        <v>AZUL 4046</v>
      </c>
      <c r="K956" s="6" t="str">
        <f>"0830"</f>
        <v>0830</v>
      </c>
      <c r="L956" s="6" t="str">
        <f t="shared" ref="L956:L962" si="279">"Cozinha"</f>
        <v>Cozinha</v>
      </c>
      <c r="M956" s="6" t="str">
        <f>"50x70"</f>
        <v>50x70</v>
      </c>
      <c r="N956" s="6" t="str">
        <f t="shared" si="273"/>
        <v xml:space="preserve"> </v>
      </c>
      <c r="O956" s="8">
        <v>1000</v>
      </c>
      <c r="P956" s="7">
        <v>46063</v>
      </c>
      <c r="R956" s="8">
        <v>0</v>
      </c>
      <c r="S956" s="7">
        <v>46066</v>
      </c>
      <c r="U956" s="8">
        <v>0</v>
      </c>
      <c r="V956" s="7">
        <v>46073</v>
      </c>
      <c r="X956" s="8">
        <v>0</v>
      </c>
      <c r="Z956" s="8">
        <v>0</v>
      </c>
      <c r="AA956" s="7">
        <v>46085</v>
      </c>
      <c r="AC956" s="8">
        <v>0</v>
      </c>
      <c r="AE956" s="7">
        <v>46087</v>
      </c>
      <c r="AF956" s="8">
        <v>0</v>
      </c>
      <c r="AH956" s="7">
        <v>46094</v>
      </c>
      <c r="AN956" s="8">
        <v>0</v>
      </c>
      <c r="AO956" s="8">
        <v>1000</v>
      </c>
    </row>
    <row r="957" spans="1:41" x14ac:dyDescent="0.25">
      <c r="A957" s="6" t="str">
        <f t="shared" si="274"/>
        <v>521-2026000003</v>
      </c>
      <c r="B957" s="6" t="str">
        <f t="shared" si="275"/>
        <v>Heinen D</v>
      </c>
      <c r="C957" s="7">
        <v>46027</v>
      </c>
      <c r="D957" s="7">
        <v>46094</v>
      </c>
      <c r="E957" s="8">
        <v>2</v>
      </c>
      <c r="F957" s="6" t="str">
        <f t="shared" si="276"/>
        <v xml:space="preserve"> </v>
      </c>
      <c r="G957" s="6" t="str">
        <f>"C001227628000000"</f>
        <v>C001227628000000</v>
      </c>
      <c r="H957" s="6" t="str">
        <f>"CZJ 2276 - 280 g/m²"</f>
        <v>CZJ 2276 - 280 g/m²</v>
      </c>
      <c r="I957" s="6" t="str">
        <f t="shared" si="277"/>
        <v>204046</v>
      </c>
      <c r="J957" s="6" t="str">
        <f t="shared" si="278"/>
        <v>AZUL 4046</v>
      </c>
      <c r="K957" s="6" t="str">
        <f>"0830"</f>
        <v>0830</v>
      </c>
      <c r="L957" s="6" t="str">
        <f t="shared" si="279"/>
        <v>Cozinha</v>
      </c>
      <c r="M957" s="6" t="str">
        <f>"50x70"</f>
        <v>50x70</v>
      </c>
      <c r="N957" s="6" t="str">
        <f t="shared" si="273"/>
        <v xml:space="preserve"> </v>
      </c>
      <c r="O957" s="8">
        <v>1000</v>
      </c>
      <c r="P957" s="7">
        <v>46063</v>
      </c>
      <c r="R957" s="8">
        <v>0</v>
      </c>
      <c r="S957" s="7">
        <v>46066</v>
      </c>
      <c r="U957" s="8">
        <v>0</v>
      </c>
      <c r="V957" s="7">
        <v>46073</v>
      </c>
      <c r="X957" s="8">
        <v>0</v>
      </c>
      <c r="Z957" s="8">
        <v>0</v>
      </c>
      <c r="AA957" s="7">
        <v>46085</v>
      </c>
      <c r="AC957" s="8">
        <v>0</v>
      </c>
      <c r="AE957" s="7">
        <v>46087</v>
      </c>
      <c r="AF957" s="8">
        <v>0</v>
      </c>
      <c r="AH957" s="7">
        <v>46094</v>
      </c>
      <c r="AN957" s="8">
        <v>0</v>
      </c>
      <c r="AO957" s="8">
        <v>1000</v>
      </c>
    </row>
    <row r="958" spans="1:41" x14ac:dyDescent="0.25">
      <c r="A958" s="6" t="str">
        <f t="shared" si="274"/>
        <v>521-2026000003</v>
      </c>
      <c r="B958" s="6" t="str">
        <f t="shared" si="275"/>
        <v>Heinen D</v>
      </c>
      <c r="C958" s="7">
        <v>46027</v>
      </c>
      <c r="D958" s="7">
        <v>46094</v>
      </c>
      <c r="E958" s="8">
        <v>6</v>
      </c>
      <c r="F958" s="6" t="str">
        <f t="shared" si="276"/>
        <v xml:space="preserve"> </v>
      </c>
      <c r="G958" s="6" t="str">
        <f>"F330267044000000"</f>
        <v>F330267044000000</v>
      </c>
      <c r="H958" s="6" t="str">
        <f>"PLA 2670 - 440 g/m²"</f>
        <v>PLA 2670 - 440 g/m²</v>
      </c>
      <c r="I958" s="6" t="str">
        <f t="shared" si="277"/>
        <v>204046</v>
      </c>
      <c r="J958" s="6" t="str">
        <f t="shared" si="278"/>
        <v>AZUL 4046</v>
      </c>
      <c r="K958" s="6" t="str">
        <f>"0822"</f>
        <v>0822</v>
      </c>
      <c r="L958" s="6" t="str">
        <f t="shared" si="279"/>
        <v>Cozinha</v>
      </c>
      <c r="M958" s="6" t="str">
        <f>"50x55"</f>
        <v>50x55</v>
      </c>
      <c r="N958" s="6" t="str">
        <f t="shared" si="273"/>
        <v xml:space="preserve"> </v>
      </c>
      <c r="O958" s="8">
        <v>720</v>
      </c>
      <c r="P958" s="7">
        <v>46063</v>
      </c>
      <c r="R958" s="8">
        <v>0</v>
      </c>
      <c r="S958" s="7">
        <v>46066</v>
      </c>
      <c r="U958" s="8">
        <v>0</v>
      </c>
      <c r="V958" s="7">
        <v>46073</v>
      </c>
      <c r="X958" s="8">
        <v>0</v>
      </c>
      <c r="Z958" s="8">
        <v>0</v>
      </c>
      <c r="AA958" s="7">
        <v>46085</v>
      </c>
      <c r="AC958" s="8">
        <v>0</v>
      </c>
      <c r="AE958" s="7">
        <v>46087</v>
      </c>
      <c r="AF958" s="8">
        <v>0</v>
      </c>
      <c r="AH958" s="7">
        <v>46094</v>
      </c>
      <c r="AN958" s="8">
        <v>0</v>
      </c>
      <c r="AO958" s="8">
        <v>720</v>
      </c>
    </row>
    <row r="959" spans="1:41" x14ac:dyDescent="0.25">
      <c r="A959" s="6" t="str">
        <f t="shared" si="274"/>
        <v>521-2026000003</v>
      </c>
      <c r="B959" s="6" t="str">
        <f t="shared" si="275"/>
        <v>Heinen D</v>
      </c>
      <c r="C959" s="7">
        <v>46027</v>
      </c>
      <c r="D959" s="7">
        <v>46094</v>
      </c>
      <c r="E959" s="8">
        <v>7</v>
      </c>
      <c r="F959" s="6" t="str">
        <f t="shared" si="276"/>
        <v xml:space="preserve"> </v>
      </c>
      <c r="G959" s="6" t="str">
        <f>"C001203628000000"</f>
        <v>C001203628000000</v>
      </c>
      <c r="H959" s="6" t="str">
        <f>"CZJ 2036 - 280 g/m²"</f>
        <v>CZJ 2036 - 280 g/m²</v>
      </c>
      <c r="I959" s="6" t="str">
        <f t="shared" si="277"/>
        <v>204046</v>
      </c>
      <c r="J959" s="6" t="str">
        <f t="shared" si="278"/>
        <v>AZUL 4046</v>
      </c>
      <c r="K959" s="6" t="str">
        <f>"0830"</f>
        <v>0830</v>
      </c>
      <c r="L959" s="6" t="str">
        <f t="shared" si="279"/>
        <v>Cozinha</v>
      </c>
      <c r="M959" s="6" t="str">
        <f>"50x70"</f>
        <v>50x70</v>
      </c>
      <c r="N959" s="6" t="str">
        <f t="shared" si="273"/>
        <v xml:space="preserve"> </v>
      </c>
      <c r="O959" s="8">
        <v>720</v>
      </c>
      <c r="P959" s="7">
        <v>46063</v>
      </c>
      <c r="R959" s="8">
        <v>0</v>
      </c>
      <c r="S959" s="7">
        <v>46066</v>
      </c>
      <c r="U959" s="8">
        <v>0</v>
      </c>
      <c r="V959" s="7">
        <v>46073</v>
      </c>
      <c r="X959" s="8">
        <v>0</v>
      </c>
      <c r="Z959" s="8">
        <v>0</v>
      </c>
      <c r="AA959" s="7">
        <v>46085</v>
      </c>
      <c r="AC959" s="8">
        <v>0</v>
      </c>
      <c r="AE959" s="7">
        <v>46087</v>
      </c>
      <c r="AF959" s="8">
        <v>0</v>
      </c>
      <c r="AH959" s="7">
        <v>46094</v>
      </c>
      <c r="AN959" s="8">
        <v>0</v>
      </c>
      <c r="AO959" s="8">
        <v>720</v>
      </c>
    </row>
    <row r="960" spans="1:41" x14ac:dyDescent="0.25">
      <c r="A960" s="6" t="str">
        <f t="shared" si="274"/>
        <v>521-2026000003</v>
      </c>
      <c r="B960" s="6" t="str">
        <f t="shared" si="275"/>
        <v>Heinen D</v>
      </c>
      <c r="C960" s="7">
        <v>46027</v>
      </c>
      <c r="D960" s="7">
        <v>46094</v>
      </c>
      <c r="E960" s="8">
        <v>8</v>
      </c>
      <c r="F960" s="6" t="str">
        <f t="shared" si="276"/>
        <v xml:space="preserve"> </v>
      </c>
      <c r="G960" s="6" t="str">
        <f>"C001214528000000"</f>
        <v>C001214528000000</v>
      </c>
      <c r="H960" s="6" t="str">
        <f>"CZJ 2145 - 280 g/m²"</f>
        <v>CZJ 2145 - 280 g/m²</v>
      </c>
      <c r="I960" s="6" t="str">
        <f t="shared" si="277"/>
        <v>204046</v>
      </c>
      <c r="J960" s="6" t="str">
        <f t="shared" si="278"/>
        <v>AZUL 4046</v>
      </c>
      <c r="K960" s="6" t="str">
        <f>"0830"</f>
        <v>0830</v>
      </c>
      <c r="L960" s="6" t="str">
        <f t="shared" si="279"/>
        <v>Cozinha</v>
      </c>
      <c r="M960" s="6" t="str">
        <f>"50x70"</f>
        <v>50x70</v>
      </c>
      <c r="N960" s="6" t="str">
        <f t="shared" si="273"/>
        <v xml:space="preserve"> </v>
      </c>
      <c r="O960" s="8">
        <v>2000</v>
      </c>
      <c r="P960" s="7">
        <v>46063</v>
      </c>
      <c r="R960" s="8">
        <v>0</v>
      </c>
      <c r="S960" s="7">
        <v>46066</v>
      </c>
      <c r="U960" s="8">
        <v>0</v>
      </c>
      <c r="V960" s="7">
        <v>46073</v>
      </c>
      <c r="X960" s="8">
        <v>0</v>
      </c>
      <c r="Z960" s="8">
        <v>0</v>
      </c>
      <c r="AA960" s="7">
        <v>46085</v>
      </c>
      <c r="AC960" s="8">
        <v>0</v>
      </c>
      <c r="AE960" s="7">
        <v>46087</v>
      </c>
      <c r="AF960" s="8">
        <v>0</v>
      </c>
      <c r="AH960" s="7">
        <v>46094</v>
      </c>
      <c r="AN960" s="8">
        <v>0</v>
      </c>
      <c r="AO960" s="8">
        <v>2000</v>
      </c>
    </row>
    <row r="961" spans="1:41" x14ac:dyDescent="0.25">
      <c r="A961" s="6" t="str">
        <f t="shared" si="274"/>
        <v>521-2026000003</v>
      </c>
      <c r="B961" s="6" t="str">
        <f t="shared" si="275"/>
        <v>Heinen D</v>
      </c>
      <c r="C961" s="7">
        <v>46027</v>
      </c>
      <c r="D961" s="7">
        <v>46094</v>
      </c>
      <c r="E961" s="8">
        <v>9</v>
      </c>
      <c r="F961" s="6" t="str">
        <f t="shared" si="276"/>
        <v xml:space="preserve"> </v>
      </c>
      <c r="G961" s="6" t="str">
        <f>"F330289344000000"</f>
        <v>F330289344000000</v>
      </c>
      <c r="H961" s="6" t="str">
        <f>"PLA 2893 - 440 g/m²"</f>
        <v>PLA 2893 - 440 g/m²</v>
      </c>
      <c r="I961" s="6" t="str">
        <f t="shared" si="277"/>
        <v>204046</v>
      </c>
      <c r="J961" s="6" t="str">
        <f t="shared" si="278"/>
        <v>AZUL 4046</v>
      </c>
      <c r="K961" s="6" t="str">
        <f>"0822"</f>
        <v>0822</v>
      </c>
      <c r="L961" s="6" t="str">
        <f t="shared" si="279"/>
        <v>Cozinha</v>
      </c>
      <c r="M961" s="6" t="str">
        <f>"50x55"</f>
        <v>50x55</v>
      </c>
      <c r="N961" s="6" t="str">
        <f t="shared" si="273"/>
        <v xml:space="preserve"> </v>
      </c>
      <c r="O961" s="8">
        <v>960</v>
      </c>
      <c r="P961" s="7">
        <v>46063</v>
      </c>
      <c r="R961" s="8">
        <v>0</v>
      </c>
      <c r="S961" s="7">
        <v>46066</v>
      </c>
      <c r="U961" s="8">
        <v>0</v>
      </c>
      <c r="V961" s="7">
        <v>46073</v>
      </c>
      <c r="X961" s="8">
        <v>0</v>
      </c>
      <c r="Z961" s="8">
        <v>0</v>
      </c>
      <c r="AA961" s="7">
        <v>46085</v>
      </c>
      <c r="AC961" s="8">
        <v>0</v>
      </c>
      <c r="AE961" s="7">
        <v>46087</v>
      </c>
      <c r="AF961" s="8">
        <v>0</v>
      </c>
      <c r="AH961" s="7">
        <v>46094</v>
      </c>
      <c r="AN961" s="8">
        <v>0</v>
      </c>
      <c r="AO961" s="8">
        <v>960</v>
      </c>
    </row>
    <row r="962" spans="1:41" x14ac:dyDescent="0.25">
      <c r="A962" s="6" t="str">
        <f>"521-2026000004"</f>
        <v>521-2026000004</v>
      </c>
      <c r="B962" s="6" t="str">
        <f>"LOTS OF"</f>
        <v>LOTS OF</v>
      </c>
      <c r="C962" s="7">
        <v>46027</v>
      </c>
      <c r="D962" s="7">
        <v>46080</v>
      </c>
      <c r="E962" s="8">
        <v>5</v>
      </c>
      <c r="F962" s="6" t="str">
        <f>"02-2026- Belle Knopp"</f>
        <v>02-2026- Belle Knopp</v>
      </c>
      <c r="G962" s="6" t="str">
        <f>"F310602139000000"</f>
        <v>F310602139000000</v>
      </c>
      <c r="H962" s="6" t="str">
        <f>"PLAR 6021 - 390 g/m²"</f>
        <v>PLAR 6021 - 390 g/m²</v>
      </c>
      <c r="I962" s="6" t="str">
        <f>"20019"</f>
        <v>20019</v>
      </c>
      <c r="J962" s="6" t="str">
        <f>"PRETO REACTIVO"</f>
        <v>PRETO REACTIVO</v>
      </c>
      <c r="K962" s="6" t="str">
        <f>"0845"</f>
        <v>0845</v>
      </c>
      <c r="L962" s="6" t="str">
        <f t="shared" si="279"/>
        <v>Cozinha</v>
      </c>
      <c r="M962" s="6" t="str">
        <f>"60x60"</f>
        <v>60x60</v>
      </c>
      <c r="N962" s="6" t="str">
        <f t="shared" si="273"/>
        <v xml:space="preserve"> </v>
      </c>
      <c r="O962" s="8">
        <v>1488</v>
      </c>
      <c r="P962" s="7">
        <v>46056</v>
      </c>
      <c r="R962" s="8">
        <v>0</v>
      </c>
      <c r="S962" s="7">
        <v>46059</v>
      </c>
      <c r="U962" s="8">
        <v>0</v>
      </c>
      <c r="V962" s="7">
        <v>46064</v>
      </c>
      <c r="X962" s="8">
        <v>0</v>
      </c>
      <c r="Z962" s="8">
        <v>0</v>
      </c>
      <c r="AA962" s="7">
        <v>46078</v>
      </c>
      <c r="AC962" s="8">
        <v>0</v>
      </c>
      <c r="AE962" s="7">
        <v>46080</v>
      </c>
      <c r="AF962" s="8">
        <v>0</v>
      </c>
      <c r="AH962" s="7">
        <v>46080</v>
      </c>
      <c r="AN962" s="8">
        <v>0</v>
      </c>
      <c r="AO962" s="8">
        <v>1488</v>
      </c>
    </row>
    <row r="963" spans="1:41" x14ac:dyDescent="0.25">
      <c r="A963" s="6" t="str">
        <f>"521-2026000004"</f>
        <v>521-2026000004</v>
      </c>
      <c r="B963" s="6" t="str">
        <f>"LOTS OF"</f>
        <v>LOTS OF</v>
      </c>
      <c r="C963" s="7">
        <v>46027</v>
      </c>
      <c r="D963" s="7">
        <v>46080</v>
      </c>
      <c r="E963" s="8">
        <v>6</v>
      </c>
      <c r="F963" s="6" t="str">
        <f>"02-2026- Belle Knopp"</f>
        <v>02-2026- Belle Knopp</v>
      </c>
      <c r="G963" s="6" t="str">
        <f>"F310602139000000"</f>
        <v>F310602139000000</v>
      </c>
      <c r="H963" s="6" t="str">
        <f>"PLAR 6021 - 390 g/m²"</f>
        <v>PLAR 6021 - 390 g/m²</v>
      </c>
      <c r="I963" s="6" t="str">
        <f>"20019"</f>
        <v>20019</v>
      </c>
      <c r="J963" s="6" t="str">
        <f>"PRETO REACTIVO"</f>
        <v>PRETO REACTIVO</v>
      </c>
      <c r="K963" s="6" t="str">
        <f>"0520"</f>
        <v>0520</v>
      </c>
      <c r="L963" s="6" t="str">
        <f>"Toalhetes"</f>
        <v>Toalhetes</v>
      </c>
      <c r="M963" s="6" t="str">
        <f>"30x50"</f>
        <v>30x50</v>
      </c>
      <c r="N963" s="6" t="str">
        <f t="shared" si="273"/>
        <v xml:space="preserve"> </v>
      </c>
      <c r="O963" s="8">
        <v>1488</v>
      </c>
      <c r="P963" s="7">
        <v>46056</v>
      </c>
      <c r="R963" s="8">
        <v>0</v>
      </c>
      <c r="S963" s="7">
        <v>46059</v>
      </c>
      <c r="U963" s="8">
        <v>0</v>
      </c>
      <c r="V963" s="7">
        <v>46064</v>
      </c>
      <c r="X963" s="8">
        <v>0</v>
      </c>
      <c r="Z963" s="8">
        <v>0</v>
      </c>
      <c r="AA963" s="7">
        <v>46078</v>
      </c>
      <c r="AC963" s="8">
        <v>0</v>
      </c>
      <c r="AE963" s="7">
        <v>46080</v>
      </c>
      <c r="AF963" s="8">
        <v>0</v>
      </c>
      <c r="AH963" s="7">
        <v>46080</v>
      </c>
      <c r="AN963" s="8">
        <v>0</v>
      </c>
      <c r="AO963" s="8">
        <v>1488</v>
      </c>
    </row>
    <row r="964" spans="1:41" x14ac:dyDescent="0.25">
      <c r="A964" s="6" t="str">
        <f>"521-2026000004"</f>
        <v>521-2026000004</v>
      </c>
      <c r="B964" s="6" t="str">
        <f>"LOTS OF"</f>
        <v>LOTS OF</v>
      </c>
      <c r="C964" s="7">
        <v>46027</v>
      </c>
      <c r="D964" s="7">
        <v>46080</v>
      </c>
      <c r="E964" s="8">
        <v>7</v>
      </c>
      <c r="F964" s="6" t="str">
        <f>"02-2026- Belle Knopp"</f>
        <v>02-2026- Belle Knopp</v>
      </c>
      <c r="G964" s="6" t="str">
        <f>"C001224429000000"</f>
        <v>C001224429000000</v>
      </c>
      <c r="H964" s="6" t="str">
        <f>"CZJ 2244 - 290 g/m²"</f>
        <v>CZJ 2244 - 290 g/m²</v>
      </c>
      <c r="I964" s="6" t="str">
        <f>"20019"</f>
        <v>20019</v>
      </c>
      <c r="J964" s="6" t="str">
        <f>"PRETO REACTIVO"</f>
        <v>PRETO REACTIVO</v>
      </c>
      <c r="K964" s="6" t="str">
        <f>"0845"</f>
        <v>0845</v>
      </c>
      <c r="L964" s="6" t="str">
        <f>"Cozinha"</f>
        <v>Cozinha</v>
      </c>
      <c r="M964" s="6" t="str">
        <f>"60x60"</f>
        <v>60x60</v>
      </c>
      <c r="N964" s="6" t="str">
        <f t="shared" si="273"/>
        <v xml:space="preserve"> </v>
      </c>
      <c r="O964" s="8">
        <v>2112</v>
      </c>
      <c r="P964" s="7">
        <v>46056</v>
      </c>
      <c r="R964" s="8">
        <v>0</v>
      </c>
      <c r="S964" s="7">
        <v>46059</v>
      </c>
      <c r="U964" s="8">
        <v>0</v>
      </c>
      <c r="V964" s="7">
        <v>46064</v>
      </c>
      <c r="X964" s="8">
        <v>0</v>
      </c>
      <c r="Z964" s="8">
        <v>0</v>
      </c>
      <c r="AA964" s="7">
        <v>46078</v>
      </c>
      <c r="AC964" s="8">
        <v>0</v>
      </c>
      <c r="AE964" s="7">
        <v>46080</v>
      </c>
      <c r="AF964" s="8">
        <v>0</v>
      </c>
      <c r="AH964" s="7">
        <v>46080</v>
      </c>
      <c r="AN964" s="8">
        <v>0</v>
      </c>
      <c r="AO964" s="8">
        <v>2112</v>
      </c>
    </row>
    <row r="965" spans="1:41" x14ac:dyDescent="0.25">
      <c r="A965" s="6" t="str">
        <f>"521-2026000005"</f>
        <v>521-2026000005</v>
      </c>
      <c r="B965" s="6" t="str">
        <f>"VALRUPT"</f>
        <v>VALRUPT</v>
      </c>
      <c r="C965" s="7">
        <v>46028</v>
      </c>
      <c r="D965" s="7">
        <v>46094</v>
      </c>
      <c r="E965" s="8">
        <v>1</v>
      </c>
      <c r="F965" s="6" t="str">
        <f>" "</f>
        <v xml:space="preserve"> </v>
      </c>
      <c r="G965" s="6" t="str">
        <f>"J310607744000000"</f>
        <v>J310607744000000</v>
      </c>
      <c r="H965" s="6" t="str">
        <f>"Conj. PLAR 6076 + PL"</f>
        <v>Conj. PLAR 6076 + PL</v>
      </c>
      <c r="I965" s="6" t="str">
        <f>"300001"</f>
        <v>300001</v>
      </c>
      <c r="J965" s="6" t="str">
        <f>"SORTIDAS 1"</f>
        <v>SORTIDAS 1</v>
      </c>
      <c r="K965" s="6" t="str">
        <f>"4015"</f>
        <v>4015</v>
      </c>
      <c r="L965" s="6" t="str">
        <f>"Conjunto/Jogos"</f>
        <v>Conjunto/Jogos</v>
      </c>
      <c r="M965" s="6" t="str">
        <f>"(3 Pcs)"</f>
        <v>(3 Pcs)</v>
      </c>
      <c r="N965" s="6" t="str">
        <f t="shared" si="273"/>
        <v xml:space="preserve"> </v>
      </c>
      <c r="O965" s="8">
        <v>1200</v>
      </c>
      <c r="P965" s="7">
        <v>46063</v>
      </c>
      <c r="R965" s="8">
        <v>0</v>
      </c>
      <c r="S965" s="7">
        <v>46066</v>
      </c>
      <c r="U965" s="8">
        <v>0</v>
      </c>
      <c r="V965" s="7">
        <v>46073</v>
      </c>
      <c r="X965" s="8">
        <v>0</v>
      </c>
      <c r="Z965" s="8">
        <v>0</v>
      </c>
      <c r="AA965" s="7">
        <v>46085</v>
      </c>
      <c r="AC965" s="8">
        <v>0</v>
      </c>
      <c r="AE965" s="7">
        <v>46087</v>
      </c>
      <c r="AF965" s="8">
        <v>0</v>
      </c>
      <c r="AH965" s="7">
        <v>46094</v>
      </c>
      <c r="AN965" s="8">
        <v>0</v>
      </c>
      <c r="AO965" s="8">
        <v>1200</v>
      </c>
    </row>
    <row r="966" spans="1:41" x14ac:dyDescent="0.25">
      <c r="A966" s="6" t="str">
        <f>"521-2026000005"</f>
        <v>521-2026000005</v>
      </c>
      <c r="B966" s="6" t="str">
        <f>"VALRUPT"</f>
        <v>VALRUPT</v>
      </c>
      <c r="C966" s="7">
        <v>46028</v>
      </c>
      <c r="D966" s="7">
        <v>46094</v>
      </c>
      <c r="E966" s="8">
        <v>2</v>
      </c>
      <c r="F966" s="6" t="str">
        <f>" "</f>
        <v xml:space="preserve"> </v>
      </c>
      <c r="G966" s="6" t="str">
        <f>"J001229326000000"</f>
        <v>J001229326000000</v>
      </c>
      <c r="H966" s="6" t="str">
        <f>"Conj. CZJ 2293 - 260"</f>
        <v>Conj. CZJ 2293 - 260</v>
      </c>
      <c r="I966" s="6" t="str">
        <f>"300001"</f>
        <v>300001</v>
      </c>
      <c r="J966" s="6" t="str">
        <f>"SORTIDAS 1"</f>
        <v>SORTIDAS 1</v>
      </c>
      <c r="K966" s="6" t="str">
        <f>"4015"</f>
        <v>4015</v>
      </c>
      <c r="L966" s="6" t="str">
        <f>"Conjunto/Jogos"</f>
        <v>Conjunto/Jogos</v>
      </c>
      <c r="M966" s="6" t="str">
        <f>"(3 Pcs)"</f>
        <v>(3 Pcs)</v>
      </c>
      <c r="N966" s="6" t="str">
        <f t="shared" si="273"/>
        <v xml:space="preserve"> </v>
      </c>
      <c r="O966" s="8">
        <v>1000</v>
      </c>
      <c r="P966" s="7">
        <v>46063</v>
      </c>
      <c r="R966" s="8">
        <v>0</v>
      </c>
      <c r="S966" s="7">
        <v>46066</v>
      </c>
      <c r="U966" s="8">
        <v>0</v>
      </c>
      <c r="V966" s="7">
        <v>46073</v>
      </c>
      <c r="X966" s="8">
        <v>0</v>
      </c>
      <c r="Z966" s="8">
        <v>0</v>
      </c>
      <c r="AA966" s="7">
        <v>46085</v>
      </c>
      <c r="AC966" s="8">
        <v>0</v>
      </c>
      <c r="AE966" s="7">
        <v>46087</v>
      </c>
      <c r="AF966" s="8">
        <v>0</v>
      </c>
      <c r="AH966" s="7">
        <v>46094</v>
      </c>
      <c r="AN966" s="8">
        <v>0</v>
      </c>
      <c r="AO966" s="8">
        <v>1000</v>
      </c>
    </row>
    <row r="967" spans="1:41" x14ac:dyDescent="0.25">
      <c r="A967" s="6" t="str">
        <f>"521-2026000005"</f>
        <v>521-2026000005</v>
      </c>
      <c r="B967" s="6" t="str">
        <f>"VALRUPT"</f>
        <v>VALRUPT</v>
      </c>
      <c r="C967" s="7">
        <v>46028</v>
      </c>
      <c r="D967" s="7">
        <v>46094</v>
      </c>
      <c r="E967" s="8">
        <v>3</v>
      </c>
      <c r="F967" s="6" t="str">
        <f>" "</f>
        <v xml:space="preserve"> </v>
      </c>
      <c r="G967" s="6" t="str">
        <f>"J330295044000000"</f>
        <v>J330295044000000</v>
      </c>
      <c r="H967" s="6" t="str">
        <f>"Conj. PLA 2950 - 440"</f>
        <v>Conj. PLA 2950 - 440</v>
      </c>
      <c r="I967" s="6" t="str">
        <f>"300001"</f>
        <v>300001</v>
      </c>
      <c r="J967" s="6" t="str">
        <f>"SORTIDAS 1"</f>
        <v>SORTIDAS 1</v>
      </c>
      <c r="K967" s="6" t="str">
        <f>"4015"</f>
        <v>4015</v>
      </c>
      <c r="L967" s="6" t="str">
        <f>"Conjunto/Jogos"</f>
        <v>Conjunto/Jogos</v>
      </c>
      <c r="M967" s="6" t="str">
        <f>"(3 Pcs)"</f>
        <v>(3 Pcs)</v>
      </c>
      <c r="N967" s="6" t="str">
        <f t="shared" si="273"/>
        <v xml:space="preserve"> </v>
      </c>
      <c r="O967" s="8">
        <v>1200</v>
      </c>
      <c r="P967" s="7">
        <v>46063</v>
      </c>
      <c r="R967" s="8">
        <v>0</v>
      </c>
      <c r="S967" s="7">
        <v>46066</v>
      </c>
      <c r="U967" s="8">
        <v>0</v>
      </c>
      <c r="V967" s="7">
        <v>46073</v>
      </c>
      <c r="X967" s="8">
        <v>0</v>
      </c>
      <c r="Z967" s="8">
        <v>0</v>
      </c>
      <c r="AA967" s="7">
        <v>46085</v>
      </c>
      <c r="AC967" s="8">
        <v>0</v>
      </c>
      <c r="AE967" s="7">
        <v>46087</v>
      </c>
      <c r="AF967" s="8">
        <v>0</v>
      </c>
      <c r="AH967" s="7">
        <v>46094</v>
      </c>
      <c r="AN967" s="8">
        <v>0</v>
      </c>
      <c r="AO967" s="8">
        <v>1200</v>
      </c>
    </row>
    <row r="968" spans="1:41" x14ac:dyDescent="0.25">
      <c r="A968" s="6" t="str">
        <f>"521-2026000005"</f>
        <v>521-2026000005</v>
      </c>
      <c r="B968" s="6" t="str">
        <f>"VALRUPT"</f>
        <v>VALRUPT</v>
      </c>
      <c r="C968" s="7">
        <v>46028</v>
      </c>
      <c r="D968" s="7">
        <v>46094</v>
      </c>
      <c r="E968" s="8">
        <v>4</v>
      </c>
      <c r="F968" s="6" t="str">
        <f>" "</f>
        <v xml:space="preserve"> </v>
      </c>
      <c r="G968" s="6" t="str">
        <f>"J001229826000000"</f>
        <v>J001229826000000</v>
      </c>
      <c r="H968" s="6" t="str">
        <f>"Conj. CZJ 2298 - 260"</f>
        <v>Conj. CZJ 2298 - 260</v>
      </c>
      <c r="I968" s="6" t="str">
        <f>"300001"</f>
        <v>300001</v>
      </c>
      <c r="J968" s="6" t="str">
        <f>"SORTIDAS 1"</f>
        <v>SORTIDAS 1</v>
      </c>
      <c r="K968" s="6" t="str">
        <f>"4015"</f>
        <v>4015</v>
      </c>
      <c r="L968" s="6" t="str">
        <f>"Conjunto/Jogos"</f>
        <v>Conjunto/Jogos</v>
      </c>
      <c r="M968" s="6" t="str">
        <f>"(3 Pcs)"</f>
        <v>(3 Pcs)</v>
      </c>
      <c r="N968" s="6" t="str">
        <f t="shared" si="273"/>
        <v xml:space="preserve"> </v>
      </c>
      <c r="O968" s="8">
        <v>800</v>
      </c>
      <c r="P968" s="7">
        <v>46063</v>
      </c>
      <c r="R968" s="8">
        <v>0</v>
      </c>
      <c r="S968" s="7">
        <v>46066</v>
      </c>
      <c r="U968" s="8">
        <v>0</v>
      </c>
      <c r="V968" s="7">
        <v>46073</v>
      </c>
      <c r="X968" s="8">
        <v>0</v>
      </c>
      <c r="Z968" s="8">
        <v>0</v>
      </c>
      <c r="AA968" s="7">
        <v>46085</v>
      </c>
      <c r="AC968" s="8">
        <v>0</v>
      </c>
      <c r="AE968" s="7">
        <v>46087</v>
      </c>
      <c r="AF968" s="8">
        <v>0</v>
      </c>
      <c r="AH968" s="7">
        <v>46094</v>
      </c>
      <c r="AN968" s="8">
        <v>0</v>
      </c>
      <c r="AO968" s="8">
        <v>800</v>
      </c>
    </row>
    <row r="969" spans="1:41" x14ac:dyDescent="0.25">
      <c r="A969" s="6" t="str">
        <f>"521-2026000006"</f>
        <v>521-2026000006</v>
      </c>
      <c r="B969" s="6" t="str">
        <f>"FOEKJE F"</f>
        <v>FOEKJE F</v>
      </c>
      <c r="C969" s="7">
        <v>46028</v>
      </c>
      <c r="D969" s="7">
        <v>46094</v>
      </c>
      <c r="E969" s="8">
        <v>1</v>
      </c>
      <c r="F969" s="6" t="str">
        <f>"#127 A #127 B wild w"</f>
        <v>#127 A #127 B wild w</v>
      </c>
      <c r="G969" s="6" t="str">
        <f>"C001246324500000"</f>
        <v>C001246324500000</v>
      </c>
      <c r="H969" s="6" t="str">
        <f>"CZJ 2463 - 245 g/m²"</f>
        <v>CZJ 2463 - 245 g/m²</v>
      </c>
      <c r="I969" s="6" t="str">
        <f>"202709"</f>
        <v>202709</v>
      </c>
      <c r="J969" s="6" t="str">
        <f>"VERDE 2709"</f>
        <v>VERDE 2709</v>
      </c>
      <c r="K969" s="6" t="str">
        <f>"0830"</f>
        <v>0830</v>
      </c>
      <c r="L969" s="6" t="str">
        <f t="shared" ref="L969:L974" si="280">"Cozinha"</f>
        <v>Cozinha</v>
      </c>
      <c r="M969" s="6" t="str">
        <f>"50x70"</f>
        <v>50x70</v>
      </c>
      <c r="N969" s="6" t="str">
        <f t="shared" si="273"/>
        <v xml:space="preserve"> </v>
      </c>
      <c r="O969" s="8">
        <v>1300</v>
      </c>
      <c r="P969" s="7">
        <v>46029</v>
      </c>
      <c r="R969" s="8">
        <v>0</v>
      </c>
      <c r="U969" s="8">
        <v>0</v>
      </c>
      <c r="X969" s="8">
        <v>0</v>
      </c>
      <c r="Z969" s="8">
        <v>0</v>
      </c>
      <c r="AC969" s="8">
        <v>0</v>
      </c>
      <c r="AF969" s="8">
        <v>0</v>
      </c>
      <c r="AH969" s="7">
        <v>46094</v>
      </c>
      <c r="AN969" s="8">
        <v>0</v>
      </c>
      <c r="AO969" s="8">
        <v>1300</v>
      </c>
    </row>
    <row r="970" spans="1:41" x14ac:dyDescent="0.25">
      <c r="A970" s="6" t="str">
        <f>"521-2026000006"</f>
        <v>521-2026000006</v>
      </c>
      <c r="B970" s="6" t="str">
        <f>"FOEKJE F"</f>
        <v>FOEKJE F</v>
      </c>
      <c r="C970" s="7">
        <v>46028</v>
      </c>
      <c r="D970" s="7">
        <v>46094</v>
      </c>
      <c r="E970" s="8">
        <v>2</v>
      </c>
      <c r="F970" s="6" t="str">
        <f>"#127 A #127 B wild w"</f>
        <v>#127 A #127 B wild w</v>
      </c>
      <c r="G970" s="6" t="str">
        <f>"C001246324500000"</f>
        <v>C001246324500000</v>
      </c>
      <c r="H970" s="6" t="str">
        <f>"CZJ 2463 - 245 g/m²"</f>
        <v>CZJ 2463 - 245 g/m²</v>
      </c>
      <c r="I970" s="6" t="str">
        <f>"201561"</f>
        <v>201561</v>
      </c>
      <c r="J970" s="6" t="str">
        <f>"VERDE 1561"</f>
        <v>VERDE 1561</v>
      </c>
      <c r="K970" s="6" t="str">
        <f>"0830"</f>
        <v>0830</v>
      </c>
      <c r="L970" s="6" t="str">
        <f t="shared" si="280"/>
        <v>Cozinha</v>
      </c>
      <c r="M970" s="6" t="str">
        <f>"50x70"</f>
        <v>50x70</v>
      </c>
      <c r="N970" s="6" t="str">
        <f t="shared" si="273"/>
        <v xml:space="preserve"> </v>
      </c>
      <c r="O970" s="8">
        <v>1300</v>
      </c>
      <c r="P970" s="7">
        <v>46029</v>
      </c>
      <c r="R970" s="8">
        <v>0</v>
      </c>
      <c r="U970" s="8">
        <v>0</v>
      </c>
      <c r="X970" s="8">
        <v>0</v>
      </c>
      <c r="Z970" s="8">
        <v>0</v>
      </c>
      <c r="AC970" s="8">
        <v>0</v>
      </c>
      <c r="AF970" s="8">
        <v>0</v>
      </c>
      <c r="AH970" s="7">
        <v>46094</v>
      </c>
      <c r="AN970" s="8">
        <v>0</v>
      </c>
      <c r="AO970" s="8">
        <v>1300</v>
      </c>
    </row>
    <row r="971" spans="1:41" x14ac:dyDescent="0.25">
      <c r="A971" s="6" t="str">
        <f>"521-2026000007"</f>
        <v>521-2026000007</v>
      </c>
      <c r="B971" s="6" t="str">
        <f>"FOEKJE F"</f>
        <v>FOEKJE F</v>
      </c>
      <c r="C971" s="7">
        <v>46028</v>
      </c>
      <c r="D971" s="7">
        <v>46094</v>
      </c>
      <c r="E971" s="8">
        <v>1</v>
      </c>
      <c r="F971" s="6" t="str">
        <f>"#128 A #128 B wild w"</f>
        <v>#128 A #128 B wild w</v>
      </c>
      <c r="G971" s="6" t="str">
        <f>"C001246424500000"</f>
        <v>C001246424500000</v>
      </c>
      <c r="H971" s="6" t="str">
        <f>"CZJ 2464 - 245 g/m²"</f>
        <v>CZJ 2464 - 245 g/m²</v>
      </c>
      <c r="I971" s="6" t="str">
        <f>"203811"</f>
        <v>203811</v>
      </c>
      <c r="J971" s="6" t="str">
        <f>"VERDE 3811"</f>
        <v>VERDE 3811</v>
      </c>
      <c r="K971" s="6" t="str">
        <f>"0830"</f>
        <v>0830</v>
      </c>
      <c r="L971" s="6" t="str">
        <f t="shared" si="280"/>
        <v>Cozinha</v>
      </c>
      <c r="M971" s="6" t="str">
        <f>"50x70"</f>
        <v>50x70</v>
      </c>
      <c r="N971" s="6" t="str">
        <f t="shared" si="273"/>
        <v xml:space="preserve"> </v>
      </c>
      <c r="O971" s="8">
        <v>1300</v>
      </c>
      <c r="P971" s="7">
        <v>46029</v>
      </c>
      <c r="R971" s="8">
        <v>0</v>
      </c>
      <c r="U971" s="8">
        <v>0</v>
      </c>
      <c r="X971" s="8">
        <v>0</v>
      </c>
      <c r="Z971" s="8">
        <v>0</v>
      </c>
      <c r="AC971" s="8">
        <v>0</v>
      </c>
      <c r="AF971" s="8">
        <v>0</v>
      </c>
      <c r="AH971" s="7">
        <v>46094</v>
      </c>
      <c r="AN971" s="8">
        <v>0</v>
      </c>
      <c r="AO971" s="8">
        <v>1300</v>
      </c>
    </row>
    <row r="972" spans="1:41" x14ac:dyDescent="0.25">
      <c r="A972" s="6" t="str">
        <f>"521-2026000007"</f>
        <v>521-2026000007</v>
      </c>
      <c r="B972" s="6" t="str">
        <f>"FOEKJE F"</f>
        <v>FOEKJE F</v>
      </c>
      <c r="C972" s="7">
        <v>46028</v>
      </c>
      <c r="D972" s="7">
        <v>46094</v>
      </c>
      <c r="E972" s="8">
        <v>2</v>
      </c>
      <c r="F972" s="6" t="str">
        <f>"#128 A #128 B wild w"</f>
        <v>#128 A #128 B wild w</v>
      </c>
      <c r="G972" s="6" t="str">
        <f>"C001246424500000"</f>
        <v>C001246424500000</v>
      </c>
      <c r="H972" s="6" t="str">
        <f>"CZJ 2464 - 245 g/m²"</f>
        <v>CZJ 2464 - 245 g/m²</v>
      </c>
      <c r="I972" s="6" t="str">
        <f>"203574"</f>
        <v>203574</v>
      </c>
      <c r="J972" s="6" t="str">
        <f>"AZUL 3574"</f>
        <v>AZUL 3574</v>
      </c>
      <c r="K972" s="6" t="str">
        <f>"0830"</f>
        <v>0830</v>
      </c>
      <c r="L972" s="6" t="str">
        <f t="shared" si="280"/>
        <v>Cozinha</v>
      </c>
      <c r="M972" s="6" t="str">
        <f>"50x70"</f>
        <v>50x70</v>
      </c>
      <c r="N972" s="6" t="str">
        <f t="shared" si="273"/>
        <v xml:space="preserve"> </v>
      </c>
      <c r="O972" s="8">
        <v>1300</v>
      </c>
      <c r="P972" s="7">
        <v>46029</v>
      </c>
      <c r="R972" s="8">
        <v>0</v>
      </c>
      <c r="U972" s="8">
        <v>0</v>
      </c>
      <c r="X972" s="8">
        <v>0</v>
      </c>
      <c r="Z972" s="8">
        <v>0</v>
      </c>
      <c r="AC972" s="8">
        <v>0</v>
      </c>
      <c r="AF972" s="8">
        <v>0</v>
      </c>
      <c r="AH972" s="7">
        <v>46094</v>
      </c>
      <c r="AN972" s="8">
        <v>0</v>
      </c>
      <c r="AO972" s="8">
        <v>1300</v>
      </c>
    </row>
    <row r="973" spans="1:41" x14ac:dyDescent="0.25">
      <c r="A973" s="6" t="str">
        <f>"521-2026000008"</f>
        <v>521-2026000008</v>
      </c>
      <c r="B973" s="6" t="str">
        <f>"FOEKJE F"</f>
        <v>FOEKJE F</v>
      </c>
      <c r="C973" s="7">
        <v>46028</v>
      </c>
      <c r="D973" s="7">
        <v>46094</v>
      </c>
      <c r="E973" s="8">
        <v>1</v>
      </c>
      <c r="F973" s="6" t="str">
        <f>"#129 WILD WEAVE KITC"</f>
        <v>#129 WILD WEAVE KITC</v>
      </c>
      <c r="G973" s="6" t="str">
        <f>"F310644638000000"</f>
        <v>F310644638000000</v>
      </c>
      <c r="H973" s="6" t="str">
        <f>"PLAR 6446 - 380 g/m²"</f>
        <v>PLAR 6446 - 380 g/m²</v>
      </c>
      <c r="I973" s="6" t="str">
        <f>"202389"</f>
        <v>202389</v>
      </c>
      <c r="J973" s="6" t="str">
        <f>"AMARELO 2389"</f>
        <v>AMARELO 2389</v>
      </c>
      <c r="K973" s="6" t="str">
        <f>"0820"</f>
        <v>0820</v>
      </c>
      <c r="L973" s="6" t="str">
        <f t="shared" si="280"/>
        <v>Cozinha</v>
      </c>
      <c r="M973" s="6" t="str">
        <f>"50x50"</f>
        <v>50x50</v>
      </c>
      <c r="N973" s="6" t="str">
        <f t="shared" si="273"/>
        <v xml:space="preserve"> </v>
      </c>
      <c r="O973" s="8">
        <v>1600</v>
      </c>
      <c r="P973" s="7">
        <v>46029</v>
      </c>
      <c r="R973" s="8">
        <v>0</v>
      </c>
      <c r="U973" s="8">
        <v>0</v>
      </c>
      <c r="X973" s="8">
        <v>0</v>
      </c>
      <c r="Z973" s="8">
        <v>0</v>
      </c>
      <c r="AC973" s="8">
        <v>0</v>
      </c>
      <c r="AF973" s="8">
        <v>0</v>
      </c>
      <c r="AH973" s="7">
        <v>46094</v>
      </c>
      <c r="AN973" s="8">
        <v>0</v>
      </c>
      <c r="AO973" s="8">
        <v>1600</v>
      </c>
    </row>
    <row r="974" spans="1:41" x14ac:dyDescent="0.25">
      <c r="A974" s="6" t="str">
        <f>"521-2026000009"</f>
        <v>521-2026000009</v>
      </c>
      <c r="B974" s="6" t="str">
        <f>"ARMANDO"</f>
        <v>ARMANDO</v>
      </c>
      <c r="C974" s="7">
        <v>46028</v>
      </c>
      <c r="D974" s="7">
        <v>46059</v>
      </c>
      <c r="E974" s="8">
        <v>1</v>
      </c>
      <c r="F974" s="6" t="str">
        <f>"RESTOS"</f>
        <v>RESTOS</v>
      </c>
      <c r="G974" s="6" t="str">
        <f>"F330316938000000"</f>
        <v>F330316938000000</v>
      </c>
      <c r="H974" s="6" t="str">
        <f>"PLA 3169 - 380 g/m²"</f>
        <v>PLA 3169 - 380 g/m²</v>
      </c>
      <c r="I974" s="6" t="str">
        <f>"203253"</f>
        <v>203253</v>
      </c>
      <c r="J974" s="6" t="str">
        <f>"ROSA 3253"</f>
        <v>ROSA 3253</v>
      </c>
      <c r="K974" s="6" t="str">
        <f>"0820"</f>
        <v>0820</v>
      </c>
      <c r="L974" s="6" t="str">
        <f t="shared" si="280"/>
        <v>Cozinha</v>
      </c>
      <c r="M974" s="6" t="str">
        <f>"50x50"</f>
        <v>50x50</v>
      </c>
      <c r="N974" s="6" t="str">
        <f t="shared" si="273"/>
        <v xml:space="preserve"> </v>
      </c>
      <c r="O974" s="8">
        <v>2500</v>
      </c>
      <c r="P974" s="7">
        <v>46037</v>
      </c>
      <c r="R974" s="8">
        <v>2436</v>
      </c>
      <c r="S974" s="7">
        <v>46042</v>
      </c>
      <c r="U974" s="8">
        <v>2436</v>
      </c>
      <c r="V974" s="7">
        <v>46045</v>
      </c>
      <c r="X974" s="8">
        <v>0</v>
      </c>
      <c r="Z974" s="8">
        <v>2436</v>
      </c>
      <c r="AA974" s="7">
        <v>46057</v>
      </c>
      <c r="AC974" s="8">
        <v>0</v>
      </c>
      <c r="AE974" s="7">
        <v>46059</v>
      </c>
      <c r="AF974" s="8">
        <v>0</v>
      </c>
      <c r="AH974" s="7">
        <v>46059</v>
      </c>
      <c r="AN974" s="8">
        <v>0</v>
      </c>
      <c r="AO974" s="8">
        <v>2500</v>
      </c>
    </row>
    <row r="975" spans="1:41" x14ac:dyDescent="0.25">
      <c r="A975" s="6" t="str">
        <f>"521-2026000010"</f>
        <v>521-2026000010</v>
      </c>
      <c r="B975" s="6" t="str">
        <f t="shared" ref="B975:B980" si="281">"WORLD MA"</f>
        <v>WORLD MA</v>
      </c>
      <c r="C975" s="7">
        <v>46028</v>
      </c>
      <c r="D975" s="7">
        <v>46101</v>
      </c>
      <c r="E975" s="8">
        <v>4</v>
      </c>
      <c r="F975" s="6" t="str">
        <f>"200737048"</f>
        <v>200737048</v>
      </c>
      <c r="G975" s="6" t="str">
        <f>"F310614750000000"</f>
        <v>F310614750000000</v>
      </c>
      <c r="H975" s="6" t="str">
        <f>"PLAR 6147 - 500 g/m²"</f>
        <v>PLAR 6147 - 500 g/m²</v>
      </c>
      <c r="I975" s="6" t="str">
        <f>"203042"</f>
        <v>203042</v>
      </c>
      <c r="J975" s="6" t="str">
        <f>"AZUL 3042"</f>
        <v>AZUL 3042</v>
      </c>
      <c r="K975" s="6" t="str">
        <f>"1004"</f>
        <v>1004</v>
      </c>
      <c r="L975" s="6" t="str">
        <f>"Toalhas"</f>
        <v>Toalhas</v>
      </c>
      <c r="M975" s="6" t="str">
        <f>"41x71"</f>
        <v>41x71</v>
      </c>
      <c r="N975" s="6" t="str">
        <f t="shared" si="273"/>
        <v xml:space="preserve"> </v>
      </c>
      <c r="O975" s="8">
        <v>420</v>
      </c>
      <c r="P975" s="7">
        <v>46079</v>
      </c>
      <c r="R975" s="8">
        <v>0</v>
      </c>
      <c r="S975" s="7">
        <v>46084</v>
      </c>
      <c r="U975" s="8">
        <v>0</v>
      </c>
      <c r="V975" s="7">
        <v>46087</v>
      </c>
      <c r="X975" s="8">
        <v>0</v>
      </c>
      <c r="Z975" s="8">
        <v>0</v>
      </c>
      <c r="AA975" s="7">
        <v>46099</v>
      </c>
      <c r="AC975" s="8">
        <v>0</v>
      </c>
      <c r="AE975" s="7">
        <v>46101</v>
      </c>
      <c r="AF975" s="8">
        <v>0</v>
      </c>
      <c r="AH975" s="7">
        <v>46101</v>
      </c>
      <c r="AN975" s="8">
        <v>0</v>
      </c>
      <c r="AO975" s="8">
        <v>420</v>
      </c>
    </row>
    <row r="976" spans="1:41" x14ac:dyDescent="0.25">
      <c r="A976" s="6" t="str">
        <f>"521-2026000010"</f>
        <v>521-2026000010</v>
      </c>
      <c r="B976" s="6" t="str">
        <f t="shared" si="281"/>
        <v>WORLD MA</v>
      </c>
      <c r="C976" s="7">
        <v>46028</v>
      </c>
      <c r="D976" s="7">
        <v>46101</v>
      </c>
      <c r="E976" s="8">
        <v>5</v>
      </c>
      <c r="F976" s="6" t="str">
        <f>"200737048"</f>
        <v>200737048</v>
      </c>
      <c r="G976" s="6" t="str">
        <f>"F310605055000000"</f>
        <v>F310605055000000</v>
      </c>
      <c r="H976" s="6" t="str">
        <f>"PLAR 6050 - 550 g/m²"</f>
        <v>PLAR 6050 - 550 g/m²</v>
      </c>
      <c r="I976" s="6" t="str">
        <f>"201006"</f>
        <v>201006</v>
      </c>
      <c r="J976" s="6" t="str">
        <f>"VERDE 1006"</f>
        <v>VERDE 1006</v>
      </c>
      <c r="K976" s="6" t="str">
        <f>"1534"</f>
        <v>1534</v>
      </c>
      <c r="L976" s="6" t="str">
        <f>"Toalhões"</f>
        <v>Toalhões</v>
      </c>
      <c r="M976" s="6" t="str">
        <f>"70x137"</f>
        <v>70x137</v>
      </c>
      <c r="N976" s="6" t="str">
        <f t="shared" si="273"/>
        <v xml:space="preserve"> </v>
      </c>
      <c r="O976" s="8">
        <v>528</v>
      </c>
      <c r="P976" s="7">
        <v>46079</v>
      </c>
      <c r="R976" s="8">
        <v>0</v>
      </c>
      <c r="S976" s="7">
        <v>46084</v>
      </c>
      <c r="U976" s="8">
        <v>0</v>
      </c>
      <c r="V976" s="7">
        <v>46087</v>
      </c>
      <c r="X976" s="8">
        <v>0</v>
      </c>
      <c r="Z976" s="8">
        <v>0</v>
      </c>
      <c r="AA976" s="7">
        <v>46099</v>
      </c>
      <c r="AC976" s="8">
        <v>112</v>
      </c>
      <c r="AE976" s="7">
        <v>46101</v>
      </c>
      <c r="AF976" s="8">
        <v>112</v>
      </c>
      <c r="AH976" s="7">
        <v>46101</v>
      </c>
      <c r="AN976" s="8">
        <v>0</v>
      </c>
      <c r="AO976" s="8">
        <v>528</v>
      </c>
    </row>
    <row r="977" spans="1:41" x14ac:dyDescent="0.25">
      <c r="A977" s="6" t="str">
        <f>"521-2026000010"</f>
        <v>521-2026000010</v>
      </c>
      <c r="B977" s="6" t="str">
        <f t="shared" si="281"/>
        <v>WORLD MA</v>
      </c>
      <c r="C977" s="7">
        <v>46028</v>
      </c>
      <c r="D977" s="7">
        <v>46101</v>
      </c>
      <c r="E977" s="8">
        <v>6</v>
      </c>
      <c r="F977" s="6" t="str">
        <f>"200737048"</f>
        <v>200737048</v>
      </c>
      <c r="G977" s="6" t="str">
        <f>"F310614750000000"</f>
        <v>F310614750000000</v>
      </c>
      <c r="H977" s="6" t="str">
        <f>"PLAR 6147 - 500 g/m²"</f>
        <v>PLAR 6147 - 500 g/m²</v>
      </c>
      <c r="I977" s="6" t="str">
        <f>"203042"</f>
        <v>203042</v>
      </c>
      <c r="J977" s="6" t="str">
        <f>"AZUL 3042"</f>
        <v>AZUL 3042</v>
      </c>
      <c r="K977" s="6" t="str">
        <f>"1534"</f>
        <v>1534</v>
      </c>
      <c r="L977" s="6" t="str">
        <f>"Toalhões"</f>
        <v>Toalhões</v>
      </c>
      <c r="M977" s="6" t="str">
        <f>"70x137"</f>
        <v>70x137</v>
      </c>
      <c r="N977" s="6" t="str">
        <f t="shared" si="273"/>
        <v xml:space="preserve"> </v>
      </c>
      <c r="O977" s="8">
        <v>336</v>
      </c>
      <c r="P977" s="7">
        <v>46079</v>
      </c>
      <c r="R977" s="8">
        <v>0</v>
      </c>
      <c r="S977" s="7">
        <v>46084</v>
      </c>
      <c r="U977" s="8">
        <v>0</v>
      </c>
      <c r="V977" s="7">
        <v>46087</v>
      </c>
      <c r="X977" s="8">
        <v>0</v>
      </c>
      <c r="Z977" s="8">
        <v>0</v>
      </c>
      <c r="AA977" s="7">
        <v>46099</v>
      </c>
      <c r="AC977" s="8">
        <v>0</v>
      </c>
      <c r="AE977" s="7">
        <v>46101</v>
      </c>
      <c r="AF977" s="8">
        <v>0</v>
      </c>
      <c r="AH977" s="7">
        <v>46101</v>
      </c>
      <c r="AN977" s="8">
        <v>0</v>
      </c>
      <c r="AO977" s="8">
        <v>336</v>
      </c>
    </row>
    <row r="978" spans="1:41" x14ac:dyDescent="0.25">
      <c r="A978" s="6" t="str">
        <f>"521-2026000011"</f>
        <v>521-2026000011</v>
      </c>
      <c r="B978" s="6" t="str">
        <f t="shared" si="281"/>
        <v>WORLD MA</v>
      </c>
      <c r="C978" s="7">
        <v>46028</v>
      </c>
      <c r="D978" s="7">
        <v>46101</v>
      </c>
      <c r="E978" s="8">
        <v>4</v>
      </c>
      <c r="F978" s="6" t="str">
        <f>"400737048"</f>
        <v>400737048</v>
      </c>
      <c r="G978" s="6" t="str">
        <f>"F310614750000000"</f>
        <v>F310614750000000</v>
      </c>
      <c r="H978" s="6" t="str">
        <f>"PLAR 6147 - 500 g/m²"</f>
        <v>PLAR 6147 - 500 g/m²</v>
      </c>
      <c r="I978" s="6" t="str">
        <f>"203042"</f>
        <v>203042</v>
      </c>
      <c r="J978" s="6" t="str">
        <f>"AZUL 3042"</f>
        <v>AZUL 3042</v>
      </c>
      <c r="K978" s="6" t="str">
        <f>"1004"</f>
        <v>1004</v>
      </c>
      <c r="L978" s="6" t="str">
        <f>"Toalhas"</f>
        <v>Toalhas</v>
      </c>
      <c r="M978" s="6" t="str">
        <f>"41x71"</f>
        <v>41x71</v>
      </c>
      <c r="N978" s="6" t="str">
        <f t="shared" si="273"/>
        <v xml:space="preserve"> </v>
      </c>
      <c r="O978" s="8">
        <v>546</v>
      </c>
      <c r="P978" s="7">
        <v>46079</v>
      </c>
      <c r="R978" s="8">
        <v>0</v>
      </c>
      <c r="S978" s="7">
        <v>46084</v>
      </c>
      <c r="U978" s="8">
        <v>0</v>
      </c>
      <c r="V978" s="7">
        <v>46087</v>
      </c>
      <c r="X978" s="8">
        <v>0</v>
      </c>
      <c r="Z978" s="8">
        <v>0</v>
      </c>
      <c r="AA978" s="7">
        <v>46099</v>
      </c>
      <c r="AC978" s="8">
        <v>0</v>
      </c>
      <c r="AE978" s="7">
        <v>46101</v>
      </c>
      <c r="AF978" s="8">
        <v>0</v>
      </c>
      <c r="AH978" s="7">
        <v>46101</v>
      </c>
      <c r="AN978" s="8">
        <v>0</v>
      </c>
      <c r="AO978" s="8">
        <v>546</v>
      </c>
    </row>
    <row r="979" spans="1:41" x14ac:dyDescent="0.25">
      <c r="A979" s="6" t="str">
        <f>"521-2026000011"</f>
        <v>521-2026000011</v>
      </c>
      <c r="B979" s="6" t="str">
        <f t="shared" si="281"/>
        <v>WORLD MA</v>
      </c>
      <c r="C979" s="7">
        <v>46028</v>
      </c>
      <c r="D979" s="7">
        <v>46101</v>
      </c>
      <c r="E979" s="8">
        <v>5</v>
      </c>
      <c r="F979" s="6" t="str">
        <f>"400737048"</f>
        <v>400737048</v>
      </c>
      <c r="G979" s="6" t="str">
        <f>"F310605055000000"</f>
        <v>F310605055000000</v>
      </c>
      <c r="H979" s="6" t="str">
        <f>"PLAR 6050 - 550 g/m²"</f>
        <v>PLAR 6050 - 550 g/m²</v>
      </c>
      <c r="I979" s="6" t="str">
        <f>"201006"</f>
        <v>201006</v>
      </c>
      <c r="J979" s="6" t="str">
        <f>"VERDE 1006"</f>
        <v>VERDE 1006</v>
      </c>
      <c r="K979" s="6" t="str">
        <f>"1534"</f>
        <v>1534</v>
      </c>
      <c r="L979" s="6" t="str">
        <f>"Toalhões"</f>
        <v>Toalhões</v>
      </c>
      <c r="M979" s="6" t="str">
        <f>"70x137"</f>
        <v>70x137</v>
      </c>
      <c r="N979" s="6" t="str">
        <f t="shared" si="273"/>
        <v xml:space="preserve"> </v>
      </c>
      <c r="O979" s="8">
        <v>464</v>
      </c>
      <c r="P979" s="7">
        <v>46079</v>
      </c>
      <c r="R979" s="8">
        <v>0</v>
      </c>
      <c r="S979" s="7">
        <v>46084</v>
      </c>
      <c r="U979" s="8">
        <v>0</v>
      </c>
      <c r="V979" s="7">
        <v>46087</v>
      </c>
      <c r="X979" s="8">
        <v>0</v>
      </c>
      <c r="Z979" s="8">
        <v>0</v>
      </c>
      <c r="AA979" s="7">
        <v>46099</v>
      </c>
      <c r="AC979" s="8">
        <v>0</v>
      </c>
      <c r="AE979" s="7">
        <v>46101</v>
      </c>
      <c r="AF979" s="8">
        <v>0</v>
      </c>
      <c r="AH979" s="7">
        <v>46101</v>
      </c>
      <c r="AN979" s="8">
        <v>0</v>
      </c>
      <c r="AO979" s="8">
        <v>464</v>
      </c>
    </row>
    <row r="980" spans="1:41" x14ac:dyDescent="0.25">
      <c r="A980" s="6" t="str">
        <f>"521-2026000011"</f>
        <v>521-2026000011</v>
      </c>
      <c r="B980" s="6" t="str">
        <f t="shared" si="281"/>
        <v>WORLD MA</v>
      </c>
      <c r="C980" s="7">
        <v>46028</v>
      </c>
      <c r="D980" s="7">
        <v>46101</v>
      </c>
      <c r="E980" s="8">
        <v>6</v>
      </c>
      <c r="F980" s="6" t="str">
        <f>"400737048"</f>
        <v>400737048</v>
      </c>
      <c r="G980" s="6" t="str">
        <f>"F310614750000000"</f>
        <v>F310614750000000</v>
      </c>
      <c r="H980" s="6" t="str">
        <f>"PLAR 6147 - 500 g/m²"</f>
        <v>PLAR 6147 - 500 g/m²</v>
      </c>
      <c r="I980" s="6" t="str">
        <f>"203042"</f>
        <v>203042</v>
      </c>
      <c r="J980" s="6" t="str">
        <f>"AZUL 3042"</f>
        <v>AZUL 3042</v>
      </c>
      <c r="K980" s="6" t="str">
        <f>"1534"</f>
        <v>1534</v>
      </c>
      <c r="L980" s="6" t="str">
        <f>"Toalhões"</f>
        <v>Toalhões</v>
      </c>
      <c r="M980" s="6" t="str">
        <f>"70x137"</f>
        <v>70x137</v>
      </c>
      <c r="N980" s="6" t="str">
        <f t="shared" si="273"/>
        <v xml:space="preserve"> </v>
      </c>
      <c r="O980" s="8">
        <v>400</v>
      </c>
      <c r="P980" s="7">
        <v>46079</v>
      </c>
      <c r="R980" s="8">
        <v>0</v>
      </c>
      <c r="S980" s="7">
        <v>46084</v>
      </c>
      <c r="U980" s="8">
        <v>0</v>
      </c>
      <c r="V980" s="7">
        <v>46087</v>
      </c>
      <c r="X980" s="8">
        <v>0</v>
      </c>
      <c r="Z980" s="8">
        <v>0</v>
      </c>
      <c r="AA980" s="7">
        <v>46099</v>
      </c>
      <c r="AC980" s="8">
        <v>0</v>
      </c>
      <c r="AE980" s="7">
        <v>46101</v>
      </c>
      <c r="AF980" s="8">
        <v>0</v>
      </c>
      <c r="AH980" s="7">
        <v>46101</v>
      </c>
      <c r="AN980" s="8">
        <v>0</v>
      </c>
      <c r="AO980" s="8">
        <v>400</v>
      </c>
    </row>
    <row r="981" spans="1:41" x14ac:dyDescent="0.25">
      <c r="A981" s="6" t="str">
        <f>"521-2026000012"</f>
        <v>521-2026000012</v>
      </c>
      <c r="B981" s="6" t="str">
        <f>"FOEKJE F"</f>
        <v>FOEKJE F</v>
      </c>
      <c r="C981" s="7">
        <v>46028</v>
      </c>
      <c r="D981" s="7">
        <v>46094</v>
      </c>
      <c r="E981" s="8">
        <v>1</v>
      </c>
      <c r="F981" s="6" t="str">
        <f>"#126 WILD WEAVE MULT"</f>
        <v>#126 WILD WEAVE MULT</v>
      </c>
      <c r="G981" s="6" t="str">
        <f>"J310644538000000"</f>
        <v>J310644538000000</v>
      </c>
      <c r="H981" s="6" t="str">
        <f>"Conj. PLAR 6445 - 38"</f>
        <v>Conj. PLAR 6445 - 38</v>
      </c>
      <c r="I981" s="6" t="str">
        <f>"300001"</f>
        <v>300001</v>
      </c>
      <c r="J981" s="6" t="str">
        <f>"SORTIDAS 1"</f>
        <v>SORTIDAS 1</v>
      </c>
      <c r="K981" s="6" t="str">
        <f>"4014"</f>
        <v>4014</v>
      </c>
      <c r="L981" s="6" t="str">
        <f>"Conjunto/Jogos"</f>
        <v>Conjunto/Jogos</v>
      </c>
      <c r="M981" s="6" t="str">
        <f>"(2 Pcs)"</f>
        <v>(2 Pcs)</v>
      </c>
      <c r="N981" s="6" t="str">
        <f t="shared" si="273"/>
        <v xml:space="preserve"> </v>
      </c>
      <c r="O981" s="8">
        <v>600</v>
      </c>
      <c r="P981" s="7">
        <v>46029</v>
      </c>
      <c r="R981" s="8">
        <v>0</v>
      </c>
      <c r="U981" s="8">
        <v>0</v>
      </c>
      <c r="X981" s="8">
        <v>0</v>
      </c>
      <c r="Z981" s="8">
        <v>0</v>
      </c>
      <c r="AC981" s="8">
        <v>0</v>
      </c>
      <c r="AF981" s="8">
        <v>0</v>
      </c>
      <c r="AH981" s="7">
        <v>46094</v>
      </c>
      <c r="AN981" s="8">
        <v>0</v>
      </c>
      <c r="AO981" s="8">
        <v>600</v>
      </c>
    </row>
    <row r="982" spans="1:41" x14ac:dyDescent="0.25">
      <c r="A982" s="6" t="str">
        <f>"521-2026000012"</f>
        <v>521-2026000012</v>
      </c>
      <c r="B982" s="6" t="str">
        <f>"FOEKJE F"</f>
        <v>FOEKJE F</v>
      </c>
      <c r="C982" s="7">
        <v>46028</v>
      </c>
      <c r="D982" s="7">
        <v>46094</v>
      </c>
      <c r="E982" s="8">
        <v>2</v>
      </c>
      <c r="F982" s="6" t="str">
        <f>"#126 WILD WEAVE MULT"</f>
        <v>#126 WILD WEAVE MULT</v>
      </c>
      <c r="G982" s="6" t="str">
        <f>"J310644538000000"</f>
        <v>J310644538000000</v>
      </c>
      <c r="H982" s="6" t="str">
        <f>"Conj. PLAR 6445 - 38"</f>
        <v>Conj. PLAR 6445 - 38</v>
      </c>
      <c r="I982" s="6" t="str">
        <f>"300002"</f>
        <v>300002</v>
      </c>
      <c r="J982" s="6" t="str">
        <f>"SORTIDAS 2"</f>
        <v>SORTIDAS 2</v>
      </c>
      <c r="K982" s="6" t="str">
        <f>"4014"</f>
        <v>4014</v>
      </c>
      <c r="L982" s="6" t="str">
        <f>"Conjunto/Jogos"</f>
        <v>Conjunto/Jogos</v>
      </c>
      <c r="M982" s="6" t="str">
        <f>"(2 Pcs)"</f>
        <v>(2 Pcs)</v>
      </c>
      <c r="N982" s="6" t="str">
        <f t="shared" si="273"/>
        <v xml:space="preserve"> </v>
      </c>
      <c r="O982" s="8">
        <v>600</v>
      </c>
      <c r="P982" s="7">
        <v>46029</v>
      </c>
      <c r="R982" s="8">
        <v>0</v>
      </c>
      <c r="U982" s="8">
        <v>0</v>
      </c>
      <c r="X982" s="8">
        <v>0</v>
      </c>
      <c r="Z982" s="8">
        <v>0</v>
      </c>
      <c r="AC982" s="8">
        <v>0</v>
      </c>
      <c r="AF982" s="8">
        <v>0</v>
      </c>
      <c r="AH982" s="7">
        <v>46094</v>
      </c>
      <c r="AN982" s="8">
        <v>0</v>
      </c>
      <c r="AO982" s="8">
        <v>600</v>
      </c>
    </row>
    <row r="983" spans="1:41" x14ac:dyDescent="0.25">
      <c r="A983" s="6" t="str">
        <f>"521-2026000013"</f>
        <v>521-2026000013</v>
      </c>
      <c r="B983" s="6" t="str">
        <f>"FOEKJE F"</f>
        <v>FOEKJE F</v>
      </c>
      <c r="C983" s="7">
        <v>46028</v>
      </c>
      <c r="D983" s="7">
        <v>46094</v>
      </c>
      <c r="E983" s="8">
        <v>1</v>
      </c>
      <c r="F983" s="6" t="str">
        <f>"#MF126 WILD WEAVE MU"</f>
        <v>#MF126 WILD WEAVE MU</v>
      </c>
      <c r="G983" s="6" t="str">
        <f>"J310644538000000"</f>
        <v>J310644538000000</v>
      </c>
      <c r="H983" s="6" t="str">
        <f>"Conj. PLAR 6445 - 38"</f>
        <v>Conj. PLAR 6445 - 38</v>
      </c>
      <c r="I983" s="6" t="str">
        <f>"300001"</f>
        <v>300001</v>
      </c>
      <c r="J983" s="6" t="str">
        <f>"SORTIDAS 1"</f>
        <v>SORTIDAS 1</v>
      </c>
      <c r="K983" s="6" t="str">
        <f>"4014"</f>
        <v>4014</v>
      </c>
      <c r="L983" s="6" t="str">
        <f>"Conjunto/Jogos"</f>
        <v>Conjunto/Jogos</v>
      </c>
      <c r="M983" s="6" t="str">
        <f>"(2 Pcs)"</f>
        <v>(2 Pcs)</v>
      </c>
      <c r="N983" s="6" t="str">
        <f t="shared" si="273"/>
        <v xml:space="preserve"> </v>
      </c>
      <c r="O983" s="8">
        <v>900</v>
      </c>
      <c r="P983" s="7">
        <v>46029</v>
      </c>
      <c r="R983" s="8">
        <v>0</v>
      </c>
      <c r="U983" s="8">
        <v>0</v>
      </c>
      <c r="X983" s="8">
        <v>0</v>
      </c>
      <c r="Z983" s="8">
        <v>0</v>
      </c>
      <c r="AC983" s="8">
        <v>0</v>
      </c>
      <c r="AF983" s="8">
        <v>0</v>
      </c>
      <c r="AH983" s="7">
        <v>46094</v>
      </c>
      <c r="AN983" s="8">
        <v>0</v>
      </c>
      <c r="AO983" s="8">
        <v>900</v>
      </c>
    </row>
    <row r="984" spans="1:41" x14ac:dyDescent="0.25">
      <c r="A984" s="6" t="str">
        <f>"521-2026000013"</f>
        <v>521-2026000013</v>
      </c>
      <c r="B984" s="6" t="str">
        <f>"FOEKJE F"</f>
        <v>FOEKJE F</v>
      </c>
      <c r="C984" s="7">
        <v>46028</v>
      </c>
      <c r="D984" s="7">
        <v>46094</v>
      </c>
      <c r="E984" s="8">
        <v>2</v>
      </c>
      <c r="F984" s="6" t="str">
        <f>"#MF126 WILD WEAVE MU"</f>
        <v>#MF126 WILD WEAVE MU</v>
      </c>
      <c r="G984" s="6" t="str">
        <f>"J310644538000000"</f>
        <v>J310644538000000</v>
      </c>
      <c r="H984" s="6" t="str">
        <f>"Conj. PLAR 6445 - 38"</f>
        <v>Conj. PLAR 6445 - 38</v>
      </c>
      <c r="I984" s="6" t="str">
        <f>"300002"</f>
        <v>300002</v>
      </c>
      <c r="J984" s="6" t="str">
        <f>"SORTIDAS 2"</f>
        <v>SORTIDAS 2</v>
      </c>
      <c r="K984" s="6" t="str">
        <f>"4014"</f>
        <v>4014</v>
      </c>
      <c r="L984" s="6" t="str">
        <f>"Conjunto/Jogos"</f>
        <v>Conjunto/Jogos</v>
      </c>
      <c r="M984" s="6" t="str">
        <f>"(2 Pcs)"</f>
        <v>(2 Pcs)</v>
      </c>
      <c r="N984" s="6" t="str">
        <f t="shared" si="273"/>
        <v xml:space="preserve"> </v>
      </c>
      <c r="O984" s="8">
        <v>900</v>
      </c>
      <c r="P984" s="7">
        <v>46029</v>
      </c>
      <c r="R984" s="8">
        <v>0</v>
      </c>
      <c r="U984" s="8">
        <v>0</v>
      </c>
      <c r="X984" s="8">
        <v>0</v>
      </c>
      <c r="Z984" s="8">
        <v>0</v>
      </c>
      <c r="AC984" s="8">
        <v>0</v>
      </c>
      <c r="AF984" s="8">
        <v>0</v>
      </c>
      <c r="AH984" s="7">
        <v>46094</v>
      </c>
      <c r="AN984" s="8">
        <v>0</v>
      </c>
      <c r="AO984" s="8">
        <v>900</v>
      </c>
    </row>
    <row r="985" spans="1:41" x14ac:dyDescent="0.25">
      <c r="A985" s="6" t="str">
        <f t="shared" ref="A985:A996" si="282">"521-2026000014"</f>
        <v>521-2026000014</v>
      </c>
      <c r="B985" s="6" t="str">
        <f t="shared" ref="B985:B996" si="283">"LASHUMA"</f>
        <v>LASHUMA</v>
      </c>
      <c r="C985" s="7">
        <v>46031</v>
      </c>
      <c r="D985" s="7">
        <v>46108</v>
      </c>
      <c r="E985" s="8">
        <v>1</v>
      </c>
      <c r="F985" s="6" t="str">
        <f t="shared" ref="F985:F996" si="284">"LINZ"</f>
        <v>LINZ</v>
      </c>
      <c r="G985" s="6" t="str">
        <f t="shared" ref="G985:G996" si="285">"F110268955000000"</f>
        <v>F110268955000000</v>
      </c>
      <c r="H985" s="6" t="str">
        <f t="shared" ref="H985:H996" si="286">"FAJ 2689 - 550 g/m²"</f>
        <v>FAJ 2689 - 550 g/m²</v>
      </c>
      <c r="I985" s="6" t="str">
        <f>"4960"</f>
        <v>4960</v>
      </c>
      <c r="J985" s="6" t="str">
        <f>"VERDE 4960"</f>
        <v>VERDE 4960</v>
      </c>
      <c r="K985" s="6" t="str">
        <f>"2152"</f>
        <v>2152</v>
      </c>
      <c r="L985" s="6" t="str">
        <f t="shared" ref="L985:L996" si="287">"Lençóis"</f>
        <v>Lençóis</v>
      </c>
      <c r="M985" s="6" t="str">
        <f>"85x220"</f>
        <v>85x220</v>
      </c>
      <c r="N985" s="6" t="str">
        <f t="shared" si="273"/>
        <v xml:space="preserve"> </v>
      </c>
      <c r="O985" s="8">
        <v>150</v>
      </c>
      <c r="P985" s="7">
        <v>46071</v>
      </c>
      <c r="R985" s="8">
        <v>0</v>
      </c>
      <c r="S985" s="7">
        <v>46076</v>
      </c>
      <c r="U985" s="8">
        <v>0</v>
      </c>
      <c r="V985" s="7">
        <v>46087</v>
      </c>
      <c r="X985" s="8">
        <v>0</v>
      </c>
      <c r="Z985" s="8">
        <v>0</v>
      </c>
      <c r="AA985" s="7">
        <v>46101</v>
      </c>
      <c r="AC985" s="8">
        <v>0</v>
      </c>
      <c r="AE985" s="7">
        <v>46106</v>
      </c>
      <c r="AF985" s="8">
        <v>0</v>
      </c>
      <c r="AH985" s="7">
        <v>46108</v>
      </c>
      <c r="AN985" s="8">
        <v>0</v>
      </c>
      <c r="AO985" s="8">
        <v>150</v>
      </c>
    </row>
    <row r="986" spans="1:41" x14ac:dyDescent="0.25">
      <c r="A986" s="6" t="str">
        <f t="shared" si="282"/>
        <v>521-2026000014</v>
      </c>
      <c r="B986" s="6" t="str">
        <f t="shared" si="283"/>
        <v>LASHUMA</v>
      </c>
      <c r="C986" s="7">
        <v>46031</v>
      </c>
      <c r="D986" s="7">
        <v>46108</v>
      </c>
      <c r="E986" s="8">
        <v>2</v>
      </c>
      <c r="F986" s="6" t="str">
        <f t="shared" si="284"/>
        <v>LINZ</v>
      </c>
      <c r="G986" s="6" t="str">
        <f t="shared" si="285"/>
        <v>F110268955000000</v>
      </c>
      <c r="H986" s="6" t="str">
        <f t="shared" si="286"/>
        <v>FAJ 2689 - 550 g/m²</v>
      </c>
      <c r="I986" s="6" t="str">
        <f>"4960"</f>
        <v>4960</v>
      </c>
      <c r="J986" s="6" t="str">
        <f>"VERDE 4960"</f>
        <v>VERDE 4960</v>
      </c>
      <c r="K986" s="6" t="str">
        <f>"2035"</f>
        <v>2035</v>
      </c>
      <c r="L986" s="6" t="str">
        <f t="shared" si="287"/>
        <v>Lençóis</v>
      </c>
      <c r="M986" s="6" t="str">
        <f>"100x200"</f>
        <v>100x200</v>
      </c>
      <c r="N986" s="6" t="str">
        <f t="shared" ref="N986:N1017" si="288">" "</f>
        <v xml:space="preserve"> </v>
      </c>
      <c r="O986" s="8">
        <v>150</v>
      </c>
      <c r="P986" s="7">
        <v>46071</v>
      </c>
      <c r="R986" s="8">
        <v>0</v>
      </c>
      <c r="S986" s="7">
        <v>46076</v>
      </c>
      <c r="U986" s="8">
        <v>0</v>
      </c>
      <c r="V986" s="7">
        <v>46087</v>
      </c>
      <c r="X986" s="8">
        <v>0</v>
      </c>
      <c r="Z986" s="8">
        <v>0</v>
      </c>
      <c r="AA986" s="7">
        <v>46101</v>
      </c>
      <c r="AC986" s="8">
        <v>0</v>
      </c>
      <c r="AE986" s="7">
        <v>46106</v>
      </c>
      <c r="AF986" s="8">
        <v>0</v>
      </c>
      <c r="AH986" s="7">
        <v>46108</v>
      </c>
      <c r="AN986" s="8">
        <v>0</v>
      </c>
      <c r="AO986" s="8">
        <v>150</v>
      </c>
    </row>
    <row r="987" spans="1:41" x14ac:dyDescent="0.25">
      <c r="A987" s="6" t="str">
        <f t="shared" si="282"/>
        <v>521-2026000014</v>
      </c>
      <c r="B987" s="6" t="str">
        <f t="shared" si="283"/>
        <v>LASHUMA</v>
      </c>
      <c r="C987" s="7">
        <v>46031</v>
      </c>
      <c r="D987" s="7">
        <v>46108</v>
      </c>
      <c r="E987" s="8">
        <v>3</v>
      </c>
      <c r="F987" s="6" t="str">
        <f t="shared" si="284"/>
        <v>LINZ</v>
      </c>
      <c r="G987" s="6" t="str">
        <f t="shared" si="285"/>
        <v>F110268955000000</v>
      </c>
      <c r="H987" s="6" t="str">
        <f t="shared" si="286"/>
        <v>FAJ 2689 - 550 g/m²</v>
      </c>
      <c r="I987" s="6" t="str">
        <f>"4967"</f>
        <v>4967</v>
      </c>
      <c r="J987" s="6" t="str">
        <f>"CINZA 4967"</f>
        <v>CINZA 4967</v>
      </c>
      <c r="K987" s="6" t="str">
        <f>"2152"</f>
        <v>2152</v>
      </c>
      <c r="L987" s="6" t="str">
        <f t="shared" si="287"/>
        <v>Lençóis</v>
      </c>
      <c r="M987" s="6" t="str">
        <f>"85x220"</f>
        <v>85x220</v>
      </c>
      <c r="N987" s="6" t="str">
        <f t="shared" si="288"/>
        <v xml:space="preserve"> </v>
      </c>
      <c r="O987" s="8">
        <v>150</v>
      </c>
      <c r="P987" s="7">
        <v>46071</v>
      </c>
      <c r="R987" s="8">
        <v>0</v>
      </c>
      <c r="S987" s="7">
        <v>46076</v>
      </c>
      <c r="U987" s="8">
        <v>0</v>
      </c>
      <c r="V987" s="7">
        <v>46087</v>
      </c>
      <c r="X987" s="8">
        <v>0</v>
      </c>
      <c r="Z987" s="8">
        <v>0</v>
      </c>
      <c r="AA987" s="7">
        <v>46101</v>
      </c>
      <c r="AC987" s="8">
        <v>0</v>
      </c>
      <c r="AE987" s="7">
        <v>46106</v>
      </c>
      <c r="AF987" s="8">
        <v>0</v>
      </c>
      <c r="AH987" s="7">
        <v>46108</v>
      </c>
      <c r="AN987" s="8">
        <v>0</v>
      </c>
      <c r="AO987" s="8">
        <v>150</v>
      </c>
    </row>
    <row r="988" spans="1:41" x14ac:dyDescent="0.25">
      <c r="A988" s="6" t="str">
        <f t="shared" si="282"/>
        <v>521-2026000014</v>
      </c>
      <c r="B988" s="6" t="str">
        <f t="shared" si="283"/>
        <v>LASHUMA</v>
      </c>
      <c r="C988" s="7">
        <v>46031</v>
      </c>
      <c r="D988" s="7">
        <v>46108</v>
      </c>
      <c r="E988" s="8">
        <v>4</v>
      </c>
      <c r="F988" s="6" t="str">
        <f t="shared" si="284"/>
        <v>LINZ</v>
      </c>
      <c r="G988" s="6" t="str">
        <f t="shared" si="285"/>
        <v>F110268955000000</v>
      </c>
      <c r="H988" s="6" t="str">
        <f t="shared" si="286"/>
        <v>FAJ 2689 - 550 g/m²</v>
      </c>
      <c r="I988" s="6" t="str">
        <f>"4967"</f>
        <v>4967</v>
      </c>
      <c r="J988" s="6" t="str">
        <f>"CINZA 4967"</f>
        <v>CINZA 4967</v>
      </c>
      <c r="K988" s="6" t="str">
        <f>"2035"</f>
        <v>2035</v>
      </c>
      <c r="L988" s="6" t="str">
        <f t="shared" si="287"/>
        <v>Lençóis</v>
      </c>
      <c r="M988" s="6" t="str">
        <f>"100x200"</f>
        <v>100x200</v>
      </c>
      <c r="N988" s="6" t="str">
        <f t="shared" si="288"/>
        <v xml:space="preserve"> </v>
      </c>
      <c r="O988" s="8">
        <v>150</v>
      </c>
      <c r="P988" s="7">
        <v>46071</v>
      </c>
      <c r="R988" s="8">
        <v>0</v>
      </c>
      <c r="S988" s="7">
        <v>46076</v>
      </c>
      <c r="U988" s="8">
        <v>0</v>
      </c>
      <c r="V988" s="7">
        <v>46087</v>
      </c>
      <c r="X988" s="8">
        <v>0</v>
      </c>
      <c r="Z988" s="8">
        <v>0</v>
      </c>
      <c r="AA988" s="7">
        <v>46101</v>
      </c>
      <c r="AC988" s="8">
        <v>0</v>
      </c>
      <c r="AE988" s="7">
        <v>46106</v>
      </c>
      <c r="AF988" s="8">
        <v>0</v>
      </c>
      <c r="AH988" s="7">
        <v>46108</v>
      </c>
      <c r="AN988" s="8">
        <v>0</v>
      </c>
      <c r="AO988" s="8">
        <v>150</v>
      </c>
    </row>
    <row r="989" spans="1:41" x14ac:dyDescent="0.25">
      <c r="A989" s="6" t="str">
        <f t="shared" si="282"/>
        <v>521-2026000014</v>
      </c>
      <c r="B989" s="6" t="str">
        <f t="shared" si="283"/>
        <v>LASHUMA</v>
      </c>
      <c r="C989" s="7">
        <v>46031</v>
      </c>
      <c r="D989" s="7">
        <v>46108</v>
      </c>
      <c r="E989" s="8">
        <v>5</v>
      </c>
      <c r="F989" s="6" t="str">
        <f t="shared" si="284"/>
        <v>LINZ</v>
      </c>
      <c r="G989" s="6" t="str">
        <f t="shared" si="285"/>
        <v>F110268955000000</v>
      </c>
      <c r="H989" s="6" t="str">
        <f t="shared" si="286"/>
        <v>FAJ 2689 - 550 g/m²</v>
      </c>
      <c r="I989" s="6" t="str">
        <f>"4962"</f>
        <v>4962</v>
      </c>
      <c r="J989" s="6" t="str">
        <f>"AZUL 4962"</f>
        <v>AZUL 4962</v>
      </c>
      <c r="K989" s="6" t="str">
        <f>"2152"</f>
        <v>2152</v>
      </c>
      <c r="L989" s="6" t="str">
        <f t="shared" si="287"/>
        <v>Lençóis</v>
      </c>
      <c r="M989" s="6" t="str">
        <f>"85x220"</f>
        <v>85x220</v>
      </c>
      <c r="N989" s="6" t="str">
        <f t="shared" si="288"/>
        <v xml:space="preserve"> </v>
      </c>
      <c r="O989" s="8">
        <v>150</v>
      </c>
      <c r="P989" s="7">
        <v>46071</v>
      </c>
      <c r="R989" s="8">
        <v>0</v>
      </c>
      <c r="S989" s="7">
        <v>46076</v>
      </c>
      <c r="U989" s="8">
        <v>0</v>
      </c>
      <c r="V989" s="7">
        <v>46087</v>
      </c>
      <c r="X989" s="8">
        <v>0</v>
      </c>
      <c r="Z989" s="8">
        <v>0</v>
      </c>
      <c r="AA989" s="7">
        <v>46101</v>
      </c>
      <c r="AC989" s="8">
        <v>0</v>
      </c>
      <c r="AE989" s="7">
        <v>46106</v>
      </c>
      <c r="AF989" s="8">
        <v>0</v>
      </c>
      <c r="AH989" s="7">
        <v>46108</v>
      </c>
      <c r="AN989" s="8">
        <v>0</v>
      </c>
      <c r="AO989" s="8">
        <v>150</v>
      </c>
    </row>
    <row r="990" spans="1:41" x14ac:dyDescent="0.25">
      <c r="A990" s="6" t="str">
        <f t="shared" si="282"/>
        <v>521-2026000014</v>
      </c>
      <c r="B990" s="6" t="str">
        <f t="shared" si="283"/>
        <v>LASHUMA</v>
      </c>
      <c r="C990" s="7">
        <v>46031</v>
      </c>
      <c r="D990" s="7">
        <v>46108</v>
      </c>
      <c r="E990" s="8">
        <v>6</v>
      </c>
      <c r="F990" s="6" t="str">
        <f t="shared" si="284"/>
        <v>LINZ</v>
      </c>
      <c r="G990" s="6" t="str">
        <f t="shared" si="285"/>
        <v>F110268955000000</v>
      </c>
      <c r="H990" s="6" t="str">
        <f t="shared" si="286"/>
        <v>FAJ 2689 - 550 g/m²</v>
      </c>
      <c r="I990" s="6" t="str">
        <f>"4962"</f>
        <v>4962</v>
      </c>
      <c r="J990" s="6" t="str">
        <f>"AZUL 4962"</f>
        <v>AZUL 4962</v>
      </c>
      <c r="K990" s="6" t="str">
        <f>"2035"</f>
        <v>2035</v>
      </c>
      <c r="L990" s="6" t="str">
        <f t="shared" si="287"/>
        <v>Lençóis</v>
      </c>
      <c r="M990" s="6" t="str">
        <f>"100x200"</f>
        <v>100x200</v>
      </c>
      <c r="N990" s="6" t="str">
        <f t="shared" si="288"/>
        <v xml:space="preserve"> </v>
      </c>
      <c r="O990" s="8">
        <v>150</v>
      </c>
      <c r="P990" s="7">
        <v>46071</v>
      </c>
      <c r="R990" s="8">
        <v>0</v>
      </c>
      <c r="S990" s="7">
        <v>46076</v>
      </c>
      <c r="U990" s="8">
        <v>0</v>
      </c>
      <c r="V990" s="7">
        <v>46087</v>
      </c>
      <c r="X990" s="8">
        <v>0</v>
      </c>
      <c r="Z990" s="8">
        <v>0</v>
      </c>
      <c r="AA990" s="7">
        <v>46101</v>
      </c>
      <c r="AC990" s="8">
        <v>0</v>
      </c>
      <c r="AE990" s="7">
        <v>46106</v>
      </c>
      <c r="AF990" s="8">
        <v>0</v>
      </c>
      <c r="AH990" s="7">
        <v>46108</v>
      </c>
      <c r="AN990" s="8">
        <v>0</v>
      </c>
      <c r="AO990" s="8">
        <v>150</v>
      </c>
    </row>
    <row r="991" spans="1:41" x14ac:dyDescent="0.25">
      <c r="A991" s="6" t="str">
        <f t="shared" si="282"/>
        <v>521-2026000014</v>
      </c>
      <c r="B991" s="6" t="str">
        <f t="shared" si="283"/>
        <v>LASHUMA</v>
      </c>
      <c r="C991" s="7">
        <v>46031</v>
      </c>
      <c r="D991" s="7">
        <v>46108</v>
      </c>
      <c r="E991" s="8">
        <v>7</v>
      </c>
      <c r="F991" s="6" t="str">
        <f t="shared" si="284"/>
        <v>LINZ</v>
      </c>
      <c r="G991" s="6" t="str">
        <f t="shared" si="285"/>
        <v>F110268955000000</v>
      </c>
      <c r="H991" s="6" t="str">
        <f t="shared" si="286"/>
        <v>FAJ 2689 - 550 g/m²</v>
      </c>
      <c r="I991" s="6" t="str">
        <f>"4971"</f>
        <v>4971</v>
      </c>
      <c r="J991" s="6" t="str">
        <f>"AZUL 4971"</f>
        <v>AZUL 4971</v>
      </c>
      <c r="K991" s="6" t="str">
        <f>"2152"</f>
        <v>2152</v>
      </c>
      <c r="L991" s="6" t="str">
        <f t="shared" si="287"/>
        <v>Lençóis</v>
      </c>
      <c r="M991" s="6" t="str">
        <f>"85x220"</f>
        <v>85x220</v>
      </c>
      <c r="N991" s="6" t="str">
        <f t="shared" si="288"/>
        <v xml:space="preserve"> </v>
      </c>
      <c r="O991" s="8">
        <v>150</v>
      </c>
      <c r="P991" s="7">
        <v>46071</v>
      </c>
      <c r="R991" s="8">
        <v>0</v>
      </c>
      <c r="S991" s="7">
        <v>46076</v>
      </c>
      <c r="U991" s="8">
        <v>0</v>
      </c>
      <c r="V991" s="7">
        <v>46087</v>
      </c>
      <c r="X991" s="8">
        <v>0</v>
      </c>
      <c r="Z991" s="8">
        <v>0</v>
      </c>
      <c r="AA991" s="7">
        <v>46101</v>
      </c>
      <c r="AC991" s="8">
        <v>0</v>
      </c>
      <c r="AE991" s="7">
        <v>46106</v>
      </c>
      <c r="AF991" s="8">
        <v>0</v>
      </c>
      <c r="AH991" s="7">
        <v>46108</v>
      </c>
      <c r="AN991" s="8">
        <v>0</v>
      </c>
      <c r="AO991" s="8">
        <v>150</v>
      </c>
    </row>
    <row r="992" spans="1:41" x14ac:dyDescent="0.25">
      <c r="A992" s="6" t="str">
        <f t="shared" si="282"/>
        <v>521-2026000014</v>
      </c>
      <c r="B992" s="6" t="str">
        <f t="shared" si="283"/>
        <v>LASHUMA</v>
      </c>
      <c r="C992" s="7">
        <v>46031</v>
      </c>
      <c r="D992" s="7">
        <v>46108</v>
      </c>
      <c r="E992" s="8">
        <v>8</v>
      </c>
      <c r="F992" s="6" t="str">
        <f t="shared" si="284"/>
        <v>LINZ</v>
      </c>
      <c r="G992" s="6" t="str">
        <f t="shared" si="285"/>
        <v>F110268955000000</v>
      </c>
      <c r="H992" s="6" t="str">
        <f t="shared" si="286"/>
        <v>FAJ 2689 - 550 g/m²</v>
      </c>
      <c r="I992" s="6" t="str">
        <f>"4971"</f>
        <v>4971</v>
      </c>
      <c r="J992" s="6" t="str">
        <f>"AZUL 4971"</f>
        <v>AZUL 4971</v>
      </c>
      <c r="K992" s="6" t="str">
        <f>"2035"</f>
        <v>2035</v>
      </c>
      <c r="L992" s="6" t="str">
        <f t="shared" si="287"/>
        <v>Lençóis</v>
      </c>
      <c r="M992" s="6" t="str">
        <f>"100x200"</f>
        <v>100x200</v>
      </c>
      <c r="N992" s="6" t="str">
        <f t="shared" si="288"/>
        <v xml:space="preserve"> </v>
      </c>
      <c r="O992" s="8">
        <v>150</v>
      </c>
      <c r="P992" s="7">
        <v>46071</v>
      </c>
      <c r="R992" s="8">
        <v>0</v>
      </c>
      <c r="S992" s="7">
        <v>46076</v>
      </c>
      <c r="U992" s="8">
        <v>0</v>
      </c>
      <c r="V992" s="7">
        <v>46087</v>
      </c>
      <c r="X992" s="8">
        <v>0</v>
      </c>
      <c r="Z992" s="8">
        <v>0</v>
      </c>
      <c r="AA992" s="7">
        <v>46101</v>
      </c>
      <c r="AC992" s="8">
        <v>0</v>
      </c>
      <c r="AE992" s="7">
        <v>46106</v>
      </c>
      <c r="AF992" s="8">
        <v>0</v>
      </c>
      <c r="AH992" s="7">
        <v>46108</v>
      </c>
      <c r="AN992" s="8">
        <v>0</v>
      </c>
      <c r="AO992" s="8">
        <v>150</v>
      </c>
    </row>
    <row r="993" spans="1:41" x14ac:dyDescent="0.25">
      <c r="A993" s="6" t="str">
        <f t="shared" si="282"/>
        <v>521-2026000014</v>
      </c>
      <c r="B993" s="6" t="str">
        <f t="shared" si="283"/>
        <v>LASHUMA</v>
      </c>
      <c r="C993" s="7">
        <v>46031</v>
      </c>
      <c r="D993" s="7">
        <v>46108</v>
      </c>
      <c r="E993" s="8">
        <v>9</v>
      </c>
      <c r="F993" s="6" t="str">
        <f t="shared" si="284"/>
        <v>LINZ</v>
      </c>
      <c r="G993" s="6" t="str">
        <f t="shared" si="285"/>
        <v>F110268955000000</v>
      </c>
      <c r="H993" s="6" t="str">
        <f t="shared" si="286"/>
        <v>FAJ 2689 - 550 g/m²</v>
      </c>
      <c r="I993" s="6" t="str">
        <f>"4966"</f>
        <v>4966</v>
      </c>
      <c r="J993" s="6" t="str">
        <f>"BORDEAUX 4966"</f>
        <v>BORDEAUX 4966</v>
      </c>
      <c r="K993" s="6" t="str">
        <f>"2152"</f>
        <v>2152</v>
      </c>
      <c r="L993" s="6" t="str">
        <f t="shared" si="287"/>
        <v>Lençóis</v>
      </c>
      <c r="M993" s="6" t="str">
        <f>"85x220"</f>
        <v>85x220</v>
      </c>
      <c r="N993" s="6" t="str">
        <f t="shared" si="288"/>
        <v xml:space="preserve"> </v>
      </c>
      <c r="O993" s="8">
        <v>150</v>
      </c>
      <c r="P993" s="7">
        <v>46071</v>
      </c>
      <c r="R993" s="8">
        <v>0</v>
      </c>
      <c r="S993" s="7">
        <v>46076</v>
      </c>
      <c r="U993" s="8">
        <v>0</v>
      </c>
      <c r="V993" s="7">
        <v>46087</v>
      </c>
      <c r="X993" s="8">
        <v>0</v>
      </c>
      <c r="Z993" s="8">
        <v>0</v>
      </c>
      <c r="AA993" s="7">
        <v>46101</v>
      </c>
      <c r="AC993" s="8">
        <v>0</v>
      </c>
      <c r="AE993" s="7">
        <v>46106</v>
      </c>
      <c r="AF993" s="8">
        <v>0</v>
      </c>
      <c r="AH993" s="7">
        <v>46108</v>
      </c>
      <c r="AN993" s="8">
        <v>0</v>
      </c>
      <c r="AO993" s="8">
        <v>150</v>
      </c>
    </row>
    <row r="994" spans="1:41" x14ac:dyDescent="0.25">
      <c r="A994" s="6" t="str">
        <f t="shared" si="282"/>
        <v>521-2026000014</v>
      </c>
      <c r="B994" s="6" t="str">
        <f t="shared" si="283"/>
        <v>LASHUMA</v>
      </c>
      <c r="C994" s="7">
        <v>46031</v>
      </c>
      <c r="D994" s="7">
        <v>46108</v>
      </c>
      <c r="E994" s="8">
        <v>10</v>
      </c>
      <c r="F994" s="6" t="str">
        <f t="shared" si="284"/>
        <v>LINZ</v>
      </c>
      <c r="G994" s="6" t="str">
        <f t="shared" si="285"/>
        <v>F110268955000000</v>
      </c>
      <c r="H994" s="6" t="str">
        <f t="shared" si="286"/>
        <v>FAJ 2689 - 550 g/m²</v>
      </c>
      <c r="I994" s="6" t="str">
        <f>"4966"</f>
        <v>4966</v>
      </c>
      <c r="J994" s="6" t="str">
        <f>"BORDEAUX 4966"</f>
        <v>BORDEAUX 4966</v>
      </c>
      <c r="K994" s="6" t="str">
        <f>"2035"</f>
        <v>2035</v>
      </c>
      <c r="L994" s="6" t="str">
        <f t="shared" si="287"/>
        <v>Lençóis</v>
      </c>
      <c r="M994" s="6" t="str">
        <f>"100x200"</f>
        <v>100x200</v>
      </c>
      <c r="N994" s="6" t="str">
        <f t="shared" si="288"/>
        <v xml:space="preserve"> </v>
      </c>
      <c r="O994" s="8">
        <v>150</v>
      </c>
      <c r="P994" s="7">
        <v>46071</v>
      </c>
      <c r="R994" s="8">
        <v>0</v>
      </c>
      <c r="S994" s="7">
        <v>46076</v>
      </c>
      <c r="U994" s="8">
        <v>0</v>
      </c>
      <c r="V994" s="7">
        <v>46087</v>
      </c>
      <c r="X994" s="8">
        <v>0</v>
      </c>
      <c r="Z994" s="8">
        <v>0</v>
      </c>
      <c r="AA994" s="7">
        <v>46101</v>
      </c>
      <c r="AC994" s="8">
        <v>0</v>
      </c>
      <c r="AE994" s="7">
        <v>46106</v>
      </c>
      <c r="AF994" s="8">
        <v>0</v>
      </c>
      <c r="AH994" s="7">
        <v>46108</v>
      </c>
      <c r="AN994" s="8">
        <v>0</v>
      </c>
      <c r="AO994" s="8">
        <v>150</v>
      </c>
    </row>
    <row r="995" spans="1:41" x14ac:dyDescent="0.25">
      <c r="A995" s="6" t="str">
        <f t="shared" si="282"/>
        <v>521-2026000014</v>
      </c>
      <c r="B995" s="6" t="str">
        <f t="shared" si="283"/>
        <v>LASHUMA</v>
      </c>
      <c r="C995" s="7">
        <v>46031</v>
      </c>
      <c r="D995" s="7">
        <v>46108</v>
      </c>
      <c r="E995" s="8">
        <v>11</v>
      </c>
      <c r="F995" s="6" t="str">
        <f t="shared" si="284"/>
        <v>LINZ</v>
      </c>
      <c r="G995" s="6" t="str">
        <f t="shared" si="285"/>
        <v>F110268955000000</v>
      </c>
      <c r="H995" s="6" t="str">
        <f t="shared" si="286"/>
        <v>FAJ 2689 - 550 g/m²</v>
      </c>
      <c r="I995" s="6" t="str">
        <f>"3"</f>
        <v>3</v>
      </c>
      <c r="J995" s="6" t="str">
        <f>"PRETO Sulf"</f>
        <v>PRETO Sulf</v>
      </c>
      <c r="K995" s="6" t="str">
        <f>"2152"</f>
        <v>2152</v>
      </c>
      <c r="L995" s="6" t="str">
        <f t="shared" si="287"/>
        <v>Lençóis</v>
      </c>
      <c r="M995" s="6" t="str">
        <f>"85x220"</f>
        <v>85x220</v>
      </c>
      <c r="N995" s="6" t="str">
        <f t="shared" si="288"/>
        <v xml:space="preserve"> </v>
      </c>
      <c r="O995" s="8">
        <v>150</v>
      </c>
      <c r="P995" s="7">
        <v>46071</v>
      </c>
      <c r="R995" s="8">
        <v>0</v>
      </c>
      <c r="S995" s="7">
        <v>46076</v>
      </c>
      <c r="U995" s="8">
        <v>0</v>
      </c>
      <c r="V995" s="7">
        <v>46087</v>
      </c>
      <c r="X995" s="8">
        <v>0</v>
      </c>
      <c r="Z995" s="8">
        <v>0</v>
      </c>
      <c r="AA995" s="7">
        <v>46101</v>
      </c>
      <c r="AC995" s="8">
        <v>0</v>
      </c>
      <c r="AE995" s="7">
        <v>46106</v>
      </c>
      <c r="AF995" s="8">
        <v>0</v>
      </c>
      <c r="AH995" s="7">
        <v>46108</v>
      </c>
      <c r="AN995" s="8">
        <v>0</v>
      </c>
      <c r="AO995" s="8">
        <v>150</v>
      </c>
    </row>
    <row r="996" spans="1:41" x14ac:dyDescent="0.25">
      <c r="A996" s="6" t="str">
        <f t="shared" si="282"/>
        <v>521-2026000014</v>
      </c>
      <c r="B996" s="6" t="str">
        <f t="shared" si="283"/>
        <v>LASHUMA</v>
      </c>
      <c r="C996" s="7">
        <v>46031</v>
      </c>
      <c r="D996" s="7">
        <v>46108</v>
      </c>
      <c r="E996" s="8">
        <v>12</v>
      </c>
      <c r="F996" s="6" t="str">
        <f t="shared" si="284"/>
        <v>LINZ</v>
      </c>
      <c r="G996" s="6" t="str">
        <f t="shared" si="285"/>
        <v>F110268955000000</v>
      </c>
      <c r="H996" s="6" t="str">
        <f t="shared" si="286"/>
        <v>FAJ 2689 - 550 g/m²</v>
      </c>
      <c r="I996" s="6" t="str">
        <f>"3"</f>
        <v>3</v>
      </c>
      <c r="J996" s="6" t="str">
        <f>"PRETO Sulf"</f>
        <v>PRETO Sulf</v>
      </c>
      <c r="K996" s="6" t="str">
        <f>"2035"</f>
        <v>2035</v>
      </c>
      <c r="L996" s="6" t="str">
        <f t="shared" si="287"/>
        <v>Lençóis</v>
      </c>
      <c r="M996" s="6" t="str">
        <f>"100x200"</f>
        <v>100x200</v>
      </c>
      <c r="N996" s="6" t="str">
        <f t="shared" si="288"/>
        <v xml:space="preserve"> </v>
      </c>
      <c r="O996" s="8">
        <v>150</v>
      </c>
      <c r="P996" s="7">
        <v>46071</v>
      </c>
      <c r="R996" s="8">
        <v>0</v>
      </c>
      <c r="S996" s="7">
        <v>46076</v>
      </c>
      <c r="U996" s="8">
        <v>0</v>
      </c>
      <c r="V996" s="7">
        <v>46087</v>
      </c>
      <c r="X996" s="8">
        <v>0</v>
      </c>
      <c r="Z996" s="8">
        <v>0</v>
      </c>
      <c r="AA996" s="7">
        <v>46101</v>
      </c>
      <c r="AC996" s="8">
        <v>0</v>
      </c>
      <c r="AE996" s="7">
        <v>46106</v>
      </c>
      <c r="AF996" s="8">
        <v>0</v>
      </c>
      <c r="AH996" s="7">
        <v>46108</v>
      </c>
      <c r="AN996" s="8">
        <v>0</v>
      </c>
      <c r="AO996" s="8">
        <v>150</v>
      </c>
    </row>
    <row r="997" spans="1:41" x14ac:dyDescent="0.25">
      <c r="A997" s="6" t="str">
        <f t="shared" ref="A997:A1004" si="289">"521-2026000015"</f>
        <v>521-2026000015</v>
      </c>
      <c r="B997" s="6" t="str">
        <f t="shared" ref="B997:B1004" si="290">"SOLID MA"</f>
        <v>SOLID MA</v>
      </c>
      <c r="C997" s="7">
        <v>46031</v>
      </c>
      <c r="D997" s="7">
        <v>46122</v>
      </c>
      <c r="E997" s="8">
        <v>1</v>
      </c>
      <c r="F997" s="6" t="str">
        <f t="shared" ref="F997:F1004" si="291">"1-IP-2-340"</f>
        <v>1-IP-2-340</v>
      </c>
      <c r="G997" s="6" t="str">
        <f>"F600939329000000"</f>
        <v>F600939329000000</v>
      </c>
      <c r="H997" s="6" t="str">
        <f>"9393 C/ Franja - 290"</f>
        <v>9393 C/ Franja - 290</v>
      </c>
      <c r="I997" s="6" t="str">
        <f>"200751"</f>
        <v>200751</v>
      </c>
      <c r="J997" s="6" t="str">
        <f>"LARANJA 751"</f>
        <v>LARANJA 751</v>
      </c>
      <c r="K997" s="6" t="str">
        <f t="shared" ref="K997:K1004" si="292">"3581"</f>
        <v>3581</v>
      </c>
      <c r="L997" s="6" t="str">
        <f t="shared" ref="L997:L1004" si="293">"Praia"</f>
        <v>Praia</v>
      </c>
      <c r="M997" s="6" t="str">
        <f t="shared" ref="M997:M1004" si="294">"90x150+8"</f>
        <v>90x150+8</v>
      </c>
      <c r="N997" s="6" t="str">
        <f t="shared" si="288"/>
        <v xml:space="preserve"> </v>
      </c>
      <c r="O997" s="8">
        <v>550</v>
      </c>
      <c r="P997" s="7">
        <v>46091</v>
      </c>
      <c r="R997" s="8">
        <v>0</v>
      </c>
      <c r="S997" s="7">
        <v>46094</v>
      </c>
      <c r="U997" s="8">
        <v>0</v>
      </c>
      <c r="V997" s="7">
        <v>46101</v>
      </c>
      <c r="X997" s="8">
        <v>0</v>
      </c>
      <c r="Z997" s="8">
        <v>0</v>
      </c>
      <c r="AA997" s="7">
        <v>46118</v>
      </c>
      <c r="AC997" s="8">
        <v>0</v>
      </c>
      <c r="AE997" s="7">
        <v>46121</v>
      </c>
      <c r="AF997" s="8">
        <v>0</v>
      </c>
      <c r="AH997" s="7">
        <v>46122</v>
      </c>
      <c r="AN997" s="8">
        <v>0</v>
      </c>
      <c r="AO997" s="8">
        <v>550</v>
      </c>
    </row>
    <row r="998" spans="1:41" x14ac:dyDescent="0.25">
      <c r="A998" s="6" t="str">
        <f t="shared" si="289"/>
        <v>521-2026000015</v>
      </c>
      <c r="B998" s="6" t="str">
        <f t="shared" si="290"/>
        <v>SOLID MA</v>
      </c>
      <c r="C998" s="7">
        <v>46031</v>
      </c>
      <c r="D998" s="7">
        <v>46122</v>
      </c>
      <c r="E998" s="8">
        <v>2</v>
      </c>
      <c r="F998" s="6" t="str">
        <f t="shared" si="291"/>
        <v>1-IP-2-340</v>
      </c>
      <c r="G998" s="6" t="str">
        <f>"F600939329000000"</f>
        <v>F600939329000000</v>
      </c>
      <c r="H998" s="6" t="str">
        <f>"9393 C/ Franja - 290"</f>
        <v>9393 C/ Franja - 290</v>
      </c>
      <c r="I998" s="6" t="str">
        <f>"203886"</f>
        <v>203886</v>
      </c>
      <c r="J998" s="6" t="str">
        <f>"VERDE 3886"</f>
        <v>VERDE 3886</v>
      </c>
      <c r="K998" s="6" t="str">
        <f t="shared" si="292"/>
        <v>3581</v>
      </c>
      <c r="L998" s="6" t="str">
        <f t="shared" si="293"/>
        <v>Praia</v>
      </c>
      <c r="M998" s="6" t="str">
        <f t="shared" si="294"/>
        <v>90x150+8</v>
      </c>
      <c r="N998" s="6" t="str">
        <f t="shared" si="288"/>
        <v xml:space="preserve"> </v>
      </c>
      <c r="O998" s="8">
        <v>550</v>
      </c>
      <c r="P998" s="7">
        <v>46091</v>
      </c>
      <c r="R998" s="8">
        <v>0</v>
      </c>
      <c r="S998" s="7">
        <v>46094</v>
      </c>
      <c r="U998" s="8">
        <v>0</v>
      </c>
      <c r="V998" s="7">
        <v>46101</v>
      </c>
      <c r="X998" s="8">
        <v>0</v>
      </c>
      <c r="Z998" s="8">
        <v>0</v>
      </c>
      <c r="AA998" s="7">
        <v>46118</v>
      </c>
      <c r="AC998" s="8">
        <v>0</v>
      </c>
      <c r="AE998" s="7">
        <v>46121</v>
      </c>
      <c r="AF998" s="8">
        <v>0</v>
      </c>
      <c r="AH998" s="7">
        <v>46122</v>
      </c>
      <c r="AN998" s="8">
        <v>0</v>
      </c>
      <c r="AO998" s="8">
        <v>550</v>
      </c>
    </row>
    <row r="999" spans="1:41" x14ac:dyDescent="0.25">
      <c r="A999" s="6" t="str">
        <f t="shared" si="289"/>
        <v>521-2026000015</v>
      </c>
      <c r="B999" s="6" t="str">
        <f t="shared" si="290"/>
        <v>SOLID MA</v>
      </c>
      <c r="C999" s="7">
        <v>46031</v>
      </c>
      <c r="D999" s="7">
        <v>46122</v>
      </c>
      <c r="E999" s="8">
        <v>3</v>
      </c>
      <c r="F999" s="6" t="str">
        <f t="shared" si="291"/>
        <v>1-IP-2-340</v>
      </c>
      <c r="G999" s="6" t="str">
        <f>"F600939429000000"</f>
        <v>F600939429000000</v>
      </c>
      <c r="H999" s="6" t="str">
        <f>"9394 C/ Franja - 290"</f>
        <v>9394 C/ Franja - 290</v>
      </c>
      <c r="I999" s="6" t="str">
        <f>"200166"</f>
        <v>200166</v>
      </c>
      <c r="J999" s="6" t="str">
        <f>"AMARELO 166"</f>
        <v>AMARELO 166</v>
      </c>
      <c r="K999" s="6" t="str">
        <f t="shared" si="292"/>
        <v>3581</v>
      </c>
      <c r="L999" s="6" t="str">
        <f t="shared" si="293"/>
        <v>Praia</v>
      </c>
      <c r="M999" s="6" t="str">
        <f t="shared" si="294"/>
        <v>90x150+8</v>
      </c>
      <c r="N999" s="6" t="str">
        <f t="shared" si="288"/>
        <v xml:space="preserve"> </v>
      </c>
      <c r="O999" s="8">
        <v>550</v>
      </c>
      <c r="P999" s="7">
        <v>46091</v>
      </c>
      <c r="R999" s="8">
        <v>0</v>
      </c>
      <c r="S999" s="7">
        <v>46094</v>
      </c>
      <c r="U999" s="8">
        <v>0</v>
      </c>
      <c r="V999" s="7">
        <v>46101</v>
      </c>
      <c r="X999" s="8">
        <v>0</v>
      </c>
      <c r="Z999" s="8">
        <v>0</v>
      </c>
      <c r="AA999" s="7">
        <v>46118</v>
      </c>
      <c r="AC999" s="8">
        <v>0</v>
      </c>
      <c r="AE999" s="7">
        <v>46121</v>
      </c>
      <c r="AF999" s="8">
        <v>0</v>
      </c>
      <c r="AH999" s="7">
        <v>46122</v>
      </c>
      <c r="AN999" s="8">
        <v>0</v>
      </c>
      <c r="AO999" s="8">
        <v>550</v>
      </c>
    </row>
    <row r="1000" spans="1:41" x14ac:dyDescent="0.25">
      <c r="A1000" s="6" t="str">
        <f t="shared" si="289"/>
        <v>521-2026000015</v>
      </c>
      <c r="B1000" s="6" t="str">
        <f t="shared" si="290"/>
        <v>SOLID MA</v>
      </c>
      <c r="C1000" s="7">
        <v>46031</v>
      </c>
      <c r="D1000" s="7">
        <v>46122</v>
      </c>
      <c r="E1000" s="8">
        <v>4</v>
      </c>
      <c r="F1000" s="6" t="str">
        <f t="shared" si="291"/>
        <v>1-IP-2-340</v>
      </c>
      <c r="G1000" s="6" t="str">
        <f>"F600939429000000"</f>
        <v>F600939429000000</v>
      </c>
      <c r="H1000" s="6" t="str">
        <f>"9394 C/ Franja - 290"</f>
        <v>9394 C/ Franja - 290</v>
      </c>
      <c r="I1000" s="6" t="str">
        <f>"203514"</f>
        <v>203514</v>
      </c>
      <c r="J1000" s="6" t="str">
        <f>"ROSA 3514"</f>
        <v>ROSA 3514</v>
      </c>
      <c r="K1000" s="6" t="str">
        <f t="shared" si="292"/>
        <v>3581</v>
      </c>
      <c r="L1000" s="6" t="str">
        <f t="shared" si="293"/>
        <v>Praia</v>
      </c>
      <c r="M1000" s="6" t="str">
        <f t="shared" si="294"/>
        <v>90x150+8</v>
      </c>
      <c r="N1000" s="6" t="str">
        <f t="shared" si="288"/>
        <v xml:space="preserve"> </v>
      </c>
      <c r="O1000" s="8">
        <v>550</v>
      </c>
      <c r="P1000" s="7">
        <v>46091</v>
      </c>
      <c r="R1000" s="8">
        <v>0</v>
      </c>
      <c r="S1000" s="7">
        <v>46094</v>
      </c>
      <c r="U1000" s="8">
        <v>0</v>
      </c>
      <c r="V1000" s="7">
        <v>46101</v>
      </c>
      <c r="X1000" s="8">
        <v>0</v>
      </c>
      <c r="Z1000" s="8">
        <v>0</v>
      </c>
      <c r="AA1000" s="7">
        <v>46118</v>
      </c>
      <c r="AC1000" s="8">
        <v>0</v>
      </c>
      <c r="AE1000" s="7">
        <v>46121</v>
      </c>
      <c r="AF1000" s="8">
        <v>0</v>
      </c>
      <c r="AH1000" s="7">
        <v>46122</v>
      </c>
      <c r="AN1000" s="8">
        <v>0</v>
      </c>
      <c r="AO1000" s="8">
        <v>550</v>
      </c>
    </row>
    <row r="1001" spans="1:41" x14ac:dyDescent="0.25">
      <c r="A1001" s="6" t="str">
        <f t="shared" si="289"/>
        <v>521-2026000015</v>
      </c>
      <c r="B1001" s="6" t="str">
        <f t="shared" si="290"/>
        <v>SOLID MA</v>
      </c>
      <c r="C1001" s="7">
        <v>46031</v>
      </c>
      <c r="D1001" s="7">
        <v>46122</v>
      </c>
      <c r="E1001" s="8">
        <v>5</v>
      </c>
      <c r="F1001" s="6" t="str">
        <f t="shared" si="291"/>
        <v>1-IP-2-340</v>
      </c>
      <c r="G1001" s="6" t="str">
        <f>"F600939629000000"</f>
        <v>F600939629000000</v>
      </c>
      <c r="H1001" s="6" t="str">
        <f>"9396 C/ Franja - 290"</f>
        <v>9396 C/ Franja - 290</v>
      </c>
      <c r="I1001" s="6" t="str">
        <f>"204502"</f>
        <v>204502</v>
      </c>
      <c r="J1001" s="6" t="str">
        <f>"ROSA 4502"</f>
        <v>ROSA 4502</v>
      </c>
      <c r="K1001" s="6" t="str">
        <f t="shared" si="292"/>
        <v>3581</v>
      </c>
      <c r="L1001" s="6" t="str">
        <f t="shared" si="293"/>
        <v>Praia</v>
      </c>
      <c r="M1001" s="6" t="str">
        <f t="shared" si="294"/>
        <v>90x150+8</v>
      </c>
      <c r="N1001" s="6" t="str">
        <f t="shared" si="288"/>
        <v xml:space="preserve"> </v>
      </c>
      <c r="O1001" s="8">
        <v>620</v>
      </c>
      <c r="P1001" s="7">
        <v>46091</v>
      </c>
      <c r="R1001" s="8">
        <v>0</v>
      </c>
      <c r="S1001" s="7">
        <v>46094</v>
      </c>
      <c r="U1001" s="8">
        <v>0</v>
      </c>
      <c r="V1001" s="7">
        <v>46101</v>
      </c>
      <c r="X1001" s="8">
        <v>0</v>
      </c>
      <c r="Z1001" s="8">
        <v>0</v>
      </c>
      <c r="AA1001" s="7">
        <v>46118</v>
      </c>
      <c r="AC1001" s="8">
        <v>0</v>
      </c>
      <c r="AE1001" s="7">
        <v>46121</v>
      </c>
      <c r="AF1001" s="8">
        <v>0</v>
      </c>
      <c r="AH1001" s="7">
        <v>46122</v>
      </c>
      <c r="AN1001" s="8">
        <v>0</v>
      </c>
      <c r="AO1001" s="8">
        <v>620</v>
      </c>
    </row>
    <row r="1002" spans="1:41" x14ac:dyDescent="0.25">
      <c r="A1002" s="6" t="str">
        <f t="shared" si="289"/>
        <v>521-2026000015</v>
      </c>
      <c r="B1002" s="6" t="str">
        <f t="shared" si="290"/>
        <v>SOLID MA</v>
      </c>
      <c r="C1002" s="7">
        <v>46031</v>
      </c>
      <c r="D1002" s="7">
        <v>46122</v>
      </c>
      <c r="E1002" s="8">
        <v>6</v>
      </c>
      <c r="F1002" s="6" t="str">
        <f t="shared" si="291"/>
        <v>1-IP-2-340</v>
      </c>
      <c r="G1002" s="6" t="str">
        <f>"F600939629000000"</f>
        <v>F600939629000000</v>
      </c>
      <c r="H1002" s="6" t="str">
        <f>"9396 C/ Franja - 290"</f>
        <v>9396 C/ Franja - 290</v>
      </c>
      <c r="I1002" s="6" t="str">
        <f>"203587"</f>
        <v>203587</v>
      </c>
      <c r="J1002" s="6" t="str">
        <f>"VERDE 3587"</f>
        <v>VERDE 3587</v>
      </c>
      <c r="K1002" s="6" t="str">
        <f t="shared" si="292"/>
        <v>3581</v>
      </c>
      <c r="L1002" s="6" t="str">
        <f t="shared" si="293"/>
        <v>Praia</v>
      </c>
      <c r="M1002" s="6" t="str">
        <f t="shared" si="294"/>
        <v>90x150+8</v>
      </c>
      <c r="N1002" s="6" t="str">
        <f t="shared" si="288"/>
        <v xml:space="preserve"> </v>
      </c>
      <c r="O1002" s="8">
        <v>620</v>
      </c>
      <c r="P1002" s="7">
        <v>46091</v>
      </c>
      <c r="R1002" s="8">
        <v>0</v>
      </c>
      <c r="S1002" s="7">
        <v>46094</v>
      </c>
      <c r="U1002" s="8">
        <v>0</v>
      </c>
      <c r="V1002" s="7">
        <v>46101</v>
      </c>
      <c r="X1002" s="8">
        <v>0</v>
      </c>
      <c r="Z1002" s="8">
        <v>0</v>
      </c>
      <c r="AA1002" s="7">
        <v>46118</v>
      </c>
      <c r="AC1002" s="8">
        <v>0</v>
      </c>
      <c r="AE1002" s="7">
        <v>46121</v>
      </c>
      <c r="AF1002" s="8">
        <v>0</v>
      </c>
      <c r="AH1002" s="7">
        <v>46122</v>
      </c>
      <c r="AN1002" s="8">
        <v>0</v>
      </c>
      <c r="AO1002" s="8">
        <v>620</v>
      </c>
    </row>
    <row r="1003" spans="1:41" x14ac:dyDescent="0.25">
      <c r="A1003" s="6" t="str">
        <f t="shared" si="289"/>
        <v>521-2026000015</v>
      </c>
      <c r="B1003" s="6" t="str">
        <f t="shared" si="290"/>
        <v>SOLID MA</v>
      </c>
      <c r="C1003" s="7">
        <v>46031</v>
      </c>
      <c r="D1003" s="7">
        <v>46122</v>
      </c>
      <c r="E1003" s="8">
        <v>7</v>
      </c>
      <c r="F1003" s="6" t="str">
        <f t="shared" si="291"/>
        <v>1-IP-2-340</v>
      </c>
      <c r="G1003" s="6" t="str">
        <f>"F600939629000000"</f>
        <v>F600939629000000</v>
      </c>
      <c r="H1003" s="6" t="str">
        <f>"9396 C/ Franja - 290"</f>
        <v>9396 C/ Franja - 290</v>
      </c>
      <c r="I1003" s="6" t="str">
        <f>"203947"</f>
        <v>203947</v>
      </c>
      <c r="J1003" s="6" t="str">
        <f>"AZUL 3947"</f>
        <v>AZUL 3947</v>
      </c>
      <c r="K1003" s="6" t="str">
        <f t="shared" si="292"/>
        <v>3581</v>
      </c>
      <c r="L1003" s="6" t="str">
        <f t="shared" si="293"/>
        <v>Praia</v>
      </c>
      <c r="M1003" s="6" t="str">
        <f t="shared" si="294"/>
        <v>90x150+8</v>
      </c>
      <c r="N1003" s="6" t="str">
        <f t="shared" si="288"/>
        <v xml:space="preserve"> </v>
      </c>
      <c r="O1003" s="8">
        <v>500</v>
      </c>
      <c r="P1003" s="7">
        <v>46091</v>
      </c>
      <c r="R1003" s="8">
        <v>0</v>
      </c>
      <c r="S1003" s="7">
        <v>46094</v>
      </c>
      <c r="U1003" s="8">
        <v>0</v>
      </c>
      <c r="V1003" s="7">
        <v>46101</v>
      </c>
      <c r="X1003" s="8">
        <v>0</v>
      </c>
      <c r="Z1003" s="8">
        <v>0</v>
      </c>
      <c r="AA1003" s="7">
        <v>46118</v>
      </c>
      <c r="AC1003" s="8">
        <v>0</v>
      </c>
      <c r="AE1003" s="7">
        <v>46121</v>
      </c>
      <c r="AF1003" s="8">
        <v>0</v>
      </c>
      <c r="AH1003" s="7">
        <v>46122</v>
      </c>
      <c r="AN1003" s="8">
        <v>0</v>
      </c>
      <c r="AO1003" s="8">
        <v>500</v>
      </c>
    </row>
    <row r="1004" spans="1:41" x14ac:dyDescent="0.25">
      <c r="A1004" s="6" t="str">
        <f t="shared" si="289"/>
        <v>521-2026000015</v>
      </c>
      <c r="B1004" s="6" t="str">
        <f t="shared" si="290"/>
        <v>SOLID MA</v>
      </c>
      <c r="C1004" s="7">
        <v>46031</v>
      </c>
      <c r="D1004" s="7">
        <v>46122</v>
      </c>
      <c r="E1004" s="8">
        <v>8</v>
      </c>
      <c r="F1004" s="6" t="str">
        <f t="shared" si="291"/>
        <v>1-IP-2-340</v>
      </c>
      <c r="G1004" s="6" t="str">
        <f>"F600939729000000"</f>
        <v>F600939729000000</v>
      </c>
      <c r="H1004" s="6" t="str">
        <f>"9397 C/ Franja - 290"</f>
        <v>9397 C/ Franja - 290</v>
      </c>
      <c r="I1004" s="6" t="str">
        <f>"201053"</f>
        <v>201053</v>
      </c>
      <c r="J1004" s="6" t="str">
        <f>"AMARELO 1053"</f>
        <v>AMARELO 1053</v>
      </c>
      <c r="K1004" s="6" t="str">
        <f t="shared" si="292"/>
        <v>3581</v>
      </c>
      <c r="L1004" s="6" t="str">
        <f t="shared" si="293"/>
        <v>Praia</v>
      </c>
      <c r="M1004" s="6" t="str">
        <f t="shared" si="294"/>
        <v>90x150+8</v>
      </c>
      <c r="N1004" s="6" t="str">
        <f t="shared" si="288"/>
        <v xml:space="preserve"> </v>
      </c>
      <c r="O1004" s="8">
        <v>400</v>
      </c>
      <c r="P1004" s="7">
        <v>46091</v>
      </c>
      <c r="R1004" s="8">
        <v>0</v>
      </c>
      <c r="S1004" s="7">
        <v>46094</v>
      </c>
      <c r="U1004" s="8">
        <v>0</v>
      </c>
      <c r="V1004" s="7">
        <v>46101</v>
      </c>
      <c r="X1004" s="8">
        <v>0</v>
      </c>
      <c r="Z1004" s="8">
        <v>0</v>
      </c>
      <c r="AA1004" s="7">
        <v>46118</v>
      </c>
      <c r="AC1004" s="8">
        <v>0</v>
      </c>
      <c r="AE1004" s="7">
        <v>46121</v>
      </c>
      <c r="AF1004" s="8">
        <v>0</v>
      </c>
      <c r="AH1004" s="7">
        <v>46122</v>
      </c>
      <c r="AN1004" s="8">
        <v>0</v>
      </c>
      <c r="AO1004" s="8">
        <v>400</v>
      </c>
    </row>
    <row r="1005" spans="1:41" x14ac:dyDescent="0.25">
      <c r="A1005" s="6" t="str">
        <f t="shared" ref="A1005:A1034" si="295">"521-2026000016"</f>
        <v>521-2026000016</v>
      </c>
      <c r="B1005" s="6" t="str">
        <f t="shared" ref="B1005:B1034" si="296">"LASHUMA"</f>
        <v>LASHUMA</v>
      </c>
      <c r="C1005" s="7">
        <v>46031</v>
      </c>
      <c r="D1005" s="7">
        <v>46031</v>
      </c>
      <c r="E1005" s="8">
        <v>1</v>
      </c>
      <c r="F1005" s="6" t="str">
        <f t="shared" ref="F1005:F1034" si="297">"LONODN"</f>
        <v>LONODN</v>
      </c>
      <c r="G1005" s="6" t="str">
        <f t="shared" ref="G1005:G1025" si="298">"F110269050000000"</f>
        <v>F110269050000000</v>
      </c>
      <c r="H1005" s="6" t="str">
        <f t="shared" ref="H1005:H1025" si="299">"FAJ 2690 - 500 g/m²"</f>
        <v>FAJ 2690 - 500 g/m²</v>
      </c>
      <c r="I1005" s="6" t="str">
        <f>"4956"</f>
        <v>4956</v>
      </c>
      <c r="J1005" s="6" t="str">
        <f>"AZUL 4956"</f>
        <v>AZUL 4956</v>
      </c>
      <c r="K1005" s="6" t="str">
        <f>"1535"</f>
        <v>1535</v>
      </c>
      <c r="L1005" s="6" t="str">
        <f>"Toalhões"</f>
        <v>Toalhões</v>
      </c>
      <c r="M1005" s="6" t="str">
        <f>"70x140"</f>
        <v>70x140</v>
      </c>
      <c r="N1005" s="6" t="str">
        <f t="shared" si="288"/>
        <v xml:space="preserve"> </v>
      </c>
      <c r="O1005" s="8">
        <v>150</v>
      </c>
      <c r="P1005" s="7">
        <v>46034</v>
      </c>
      <c r="R1005" s="8">
        <v>0</v>
      </c>
      <c r="U1005" s="8">
        <v>0</v>
      </c>
      <c r="X1005" s="8">
        <v>0</v>
      </c>
      <c r="Z1005" s="8">
        <v>0</v>
      </c>
      <c r="AC1005" s="8">
        <v>0</v>
      </c>
      <c r="AF1005" s="8">
        <v>0</v>
      </c>
      <c r="AH1005" s="7">
        <v>46031</v>
      </c>
      <c r="AN1005" s="8">
        <v>0</v>
      </c>
      <c r="AO1005" s="8">
        <v>150</v>
      </c>
    </row>
    <row r="1006" spans="1:41" x14ac:dyDescent="0.25">
      <c r="A1006" s="6" t="str">
        <f t="shared" si="295"/>
        <v>521-2026000016</v>
      </c>
      <c r="B1006" s="6" t="str">
        <f t="shared" si="296"/>
        <v>LASHUMA</v>
      </c>
      <c r="C1006" s="7">
        <v>46031</v>
      </c>
      <c r="D1006" s="7">
        <v>46031</v>
      </c>
      <c r="E1006" s="8">
        <v>2</v>
      </c>
      <c r="F1006" s="6" t="str">
        <f t="shared" si="297"/>
        <v>LONODN</v>
      </c>
      <c r="G1006" s="6" t="str">
        <f t="shared" si="298"/>
        <v>F110269050000000</v>
      </c>
      <c r="H1006" s="6" t="str">
        <f t="shared" si="299"/>
        <v>FAJ 2690 - 500 g/m²</v>
      </c>
      <c r="I1006" s="6" t="str">
        <f>"4956"</f>
        <v>4956</v>
      </c>
      <c r="J1006" s="6" t="str">
        <f>"AZUL 4956"</f>
        <v>AZUL 4956</v>
      </c>
      <c r="K1006" s="6" t="str">
        <f>"2152"</f>
        <v>2152</v>
      </c>
      <c r="L1006" s="6" t="str">
        <f>"Lençóis"</f>
        <v>Lençóis</v>
      </c>
      <c r="M1006" s="6" t="str">
        <f>"85x220"</f>
        <v>85x220</v>
      </c>
      <c r="N1006" s="6" t="str">
        <f t="shared" si="288"/>
        <v xml:space="preserve"> </v>
      </c>
      <c r="O1006" s="8">
        <v>100</v>
      </c>
      <c r="P1006" s="7">
        <v>46034</v>
      </c>
      <c r="R1006" s="8">
        <v>0</v>
      </c>
      <c r="U1006" s="8">
        <v>0</v>
      </c>
      <c r="X1006" s="8">
        <v>0</v>
      </c>
      <c r="Z1006" s="8">
        <v>0</v>
      </c>
      <c r="AC1006" s="8">
        <v>0</v>
      </c>
      <c r="AF1006" s="8">
        <v>0</v>
      </c>
      <c r="AH1006" s="7">
        <v>46031</v>
      </c>
      <c r="AN1006" s="8">
        <v>0</v>
      </c>
      <c r="AO1006" s="8">
        <v>100</v>
      </c>
    </row>
    <row r="1007" spans="1:41" x14ac:dyDescent="0.25">
      <c r="A1007" s="6" t="str">
        <f t="shared" si="295"/>
        <v>521-2026000016</v>
      </c>
      <c r="B1007" s="6" t="str">
        <f t="shared" si="296"/>
        <v>LASHUMA</v>
      </c>
      <c r="C1007" s="7">
        <v>46031</v>
      </c>
      <c r="D1007" s="7">
        <v>46031</v>
      </c>
      <c r="E1007" s="8">
        <v>3</v>
      </c>
      <c r="F1007" s="6" t="str">
        <f t="shared" si="297"/>
        <v>LONODN</v>
      </c>
      <c r="G1007" s="6" t="str">
        <f t="shared" si="298"/>
        <v>F110269050000000</v>
      </c>
      <c r="H1007" s="6" t="str">
        <f t="shared" si="299"/>
        <v>FAJ 2690 - 500 g/m²</v>
      </c>
      <c r="I1007" s="6" t="str">
        <f>"4956"</f>
        <v>4956</v>
      </c>
      <c r="J1007" s="6" t="str">
        <f>"AZUL 4956"</f>
        <v>AZUL 4956</v>
      </c>
      <c r="K1007" s="6" t="str">
        <f>"2035"</f>
        <v>2035</v>
      </c>
      <c r="L1007" s="6" t="str">
        <f>"Lençóis"</f>
        <v>Lençóis</v>
      </c>
      <c r="M1007" s="6" t="str">
        <f>"100x200"</f>
        <v>100x200</v>
      </c>
      <c r="N1007" s="6" t="str">
        <f t="shared" si="288"/>
        <v xml:space="preserve"> </v>
      </c>
      <c r="O1007" s="8">
        <v>100</v>
      </c>
      <c r="P1007" s="7">
        <v>46034</v>
      </c>
      <c r="R1007" s="8">
        <v>0</v>
      </c>
      <c r="U1007" s="8">
        <v>0</v>
      </c>
      <c r="X1007" s="8">
        <v>0</v>
      </c>
      <c r="Z1007" s="8">
        <v>0</v>
      </c>
      <c r="AC1007" s="8">
        <v>0</v>
      </c>
      <c r="AF1007" s="8">
        <v>0</v>
      </c>
      <c r="AH1007" s="7">
        <v>46031</v>
      </c>
      <c r="AN1007" s="8">
        <v>0</v>
      </c>
      <c r="AO1007" s="8">
        <v>100</v>
      </c>
    </row>
    <row r="1008" spans="1:41" x14ac:dyDescent="0.25">
      <c r="A1008" s="6" t="str">
        <f t="shared" si="295"/>
        <v>521-2026000016</v>
      </c>
      <c r="B1008" s="6" t="str">
        <f t="shared" si="296"/>
        <v>LASHUMA</v>
      </c>
      <c r="C1008" s="7">
        <v>46031</v>
      </c>
      <c r="D1008" s="7">
        <v>46031</v>
      </c>
      <c r="E1008" s="8">
        <v>4</v>
      </c>
      <c r="F1008" s="6" t="str">
        <f t="shared" si="297"/>
        <v>LONODN</v>
      </c>
      <c r="G1008" s="6" t="str">
        <f t="shared" si="298"/>
        <v>F110269050000000</v>
      </c>
      <c r="H1008" s="6" t="str">
        <f t="shared" si="299"/>
        <v>FAJ 2690 - 500 g/m²</v>
      </c>
      <c r="I1008" s="6" t="str">
        <f>"5414"</f>
        <v>5414</v>
      </c>
      <c r="J1008" s="6" t="str">
        <f>"BEGE 5414"</f>
        <v>BEGE 5414</v>
      </c>
      <c r="K1008" s="6" t="str">
        <f>"2152"</f>
        <v>2152</v>
      </c>
      <c r="L1008" s="6" t="str">
        <f>"Lençóis"</f>
        <v>Lençóis</v>
      </c>
      <c r="M1008" s="6" t="str">
        <f>"85x220"</f>
        <v>85x220</v>
      </c>
      <c r="N1008" s="6" t="str">
        <f t="shared" si="288"/>
        <v xml:space="preserve"> </v>
      </c>
      <c r="O1008" s="8">
        <v>100</v>
      </c>
      <c r="P1008" s="7">
        <v>46034</v>
      </c>
      <c r="R1008" s="8">
        <v>0</v>
      </c>
      <c r="U1008" s="8">
        <v>0</v>
      </c>
      <c r="X1008" s="8">
        <v>0</v>
      </c>
      <c r="Z1008" s="8">
        <v>0</v>
      </c>
      <c r="AC1008" s="8">
        <v>0</v>
      </c>
      <c r="AF1008" s="8">
        <v>0</v>
      </c>
      <c r="AH1008" s="7">
        <v>46031</v>
      </c>
      <c r="AN1008" s="8">
        <v>0</v>
      </c>
      <c r="AO1008" s="8">
        <v>100</v>
      </c>
    </row>
    <row r="1009" spans="1:41" x14ac:dyDescent="0.25">
      <c r="A1009" s="6" t="str">
        <f t="shared" si="295"/>
        <v>521-2026000016</v>
      </c>
      <c r="B1009" s="6" t="str">
        <f t="shared" si="296"/>
        <v>LASHUMA</v>
      </c>
      <c r="C1009" s="7">
        <v>46031</v>
      </c>
      <c r="D1009" s="7">
        <v>46031</v>
      </c>
      <c r="E1009" s="8">
        <v>5</v>
      </c>
      <c r="F1009" s="6" t="str">
        <f t="shared" si="297"/>
        <v>LONODN</v>
      </c>
      <c r="G1009" s="6" t="str">
        <f t="shared" si="298"/>
        <v>F110269050000000</v>
      </c>
      <c r="H1009" s="6" t="str">
        <f t="shared" si="299"/>
        <v>FAJ 2690 - 500 g/m²</v>
      </c>
      <c r="I1009" s="6" t="str">
        <f>"5414"</f>
        <v>5414</v>
      </c>
      <c r="J1009" s="6" t="str">
        <f>"BEGE 5414"</f>
        <v>BEGE 5414</v>
      </c>
      <c r="K1009" s="6" t="str">
        <f>"2035"</f>
        <v>2035</v>
      </c>
      <c r="L1009" s="6" t="str">
        <f>"Lençóis"</f>
        <v>Lençóis</v>
      </c>
      <c r="M1009" s="6" t="str">
        <f>"100x200"</f>
        <v>100x200</v>
      </c>
      <c r="N1009" s="6" t="str">
        <f t="shared" si="288"/>
        <v xml:space="preserve"> </v>
      </c>
      <c r="O1009" s="8">
        <v>160</v>
      </c>
      <c r="P1009" s="7">
        <v>46034</v>
      </c>
      <c r="R1009" s="8">
        <v>0</v>
      </c>
      <c r="U1009" s="8">
        <v>0</v>
      </c>
      <c r="X1009" s="8">
        <v>0</v>
      </c>
      <c r="Z1009" s="8">
        <v>0</v>
      </c>
      <c r="AC1009" s="8">
        <v>0</v>
      </c>
      <c r="AF1009" s="8">
        <v>0</v>
      </c>
      <c r="AH1009" s="7">
        <v>46031</v>
      </c>
      <c r="AN1009" s="8">
        <v>0</v>
      </c>
      <c r="AO1009" s="8">
        <v>160</v>
      </c>
    </row>
    <row r="1010" spans="1:41" x14ac:dyDescent="0.25">
      <c r="A1010" s="6" t="str">
        <f t="shared" si="295"/>
        <v>521-2026000016</v>
      </c>
      <c r="B1010" s="6" t="str">
        <f t="shared" si="296"/>
        <v>LASHUMA</v>
      </c>
      <c r="C1010" s="7">
        <v>46031</v>
      </c>
      <c r="D1010" s="7">
        <v>46031</v>
      </c>
      <c r="E1010" s="8">
        <v>6</v>
      </c>
      <c r="F1010" s="6" t="str">
        <f t="shared" si="297"/>
        <v>LONODN</v>
      </c>
      <c r="G1010" s="6" t="str">
        <f t="shared" si="298"/>
        <v>F110269050000000</v>
      </c>
      <c r="H1010" s="6" t="str">
        <f t="shared" si="299"/>
        <v>FAJ 2690 - 500 g/m²</v>
      </c>
      <c r="I1010" s="6" t="str">
        <f>"5628"</f>
        <v>5628</v>
      </c>
      <c r="J1010" s="6" t="str">
        <f>"VERDE 5628"</f>
        <v>VERDE 5628</v>
      </c>
      <c r="K1010" s="6" t="str">
        <f>"1024"</f>
        <v>1024</v>
      </c>
      <c r="L1010" s="6" t="str">
        <f>"Toalhas"</f>
        <v>Toalhas</v>
      </c>
      <c r="M1010" s="6" t="str">
        <f>"50x100"</f>
        <v>50x100</v>
      </c>
      <c r="N1010" s="6" t="str">
        <f t="shared" si="288"/>
        <v xml:space="preserve"> </v>
      </c>
      <c r="O1010" s="8">
        <v>150</v>
      </c>
      <c r="P1010" s="7">
        <v>46034</v>
      </c>
      <c r="R1010" s="8">
        <v>0</v>
      </c>
      <c r="U1010" s="8">
        <v>0</v>
      </c>
      <c r="X1010" s="8">
        <v>0</v>
      </c>
      <c r="Z1010" s="8">
        <v>0</v>
      </c>
      <c r="AC1010" s="8">
        <v>0</v>
      </c>
      <c r="AF1010" s="8">
        <v>0</v>
      </c>
      <c r="AH1010" s="7">
        <v>46031</v>
      </c>
      <c r="AN1010" s="8">
        <v>0</v>
      </c>
      <c r="AO1010" s="8">
        <v>150</v>
      </c>
    </row>
    <row r="1011" spans="1:41" x14ac:dyDescent="0.25">
      <c r="A1011" s="6" t="str">
        <f t="shared" si="295"/>
        <v>521-2026000016</v>
      </c>
      <c r="B1011" s="6" t="str">
        <f t="shared" si="296"/>
        <v>LASHUMA</v>
      </c>
      <c r="C1011" s="7">
        <v>46031</v>
      </c>
      <c r="D1011" s="7">
        <v>46031</v>
      </c>
      <c r="E1011" s="8">
        <v>7</v>
      </c>
      <c r="F1011" s="6" t="str">
        <f t="shared" si="297"/>
        <v>LONODN</v>
      </c>
      <c r="G1011" s="6" t="str">
        <f t="shared" si="298"/>
        <v>F110269050000000</v>
      </c>
      <c r="H1011" s="6" t="str">
        <f t="shared" si="299"/>
        <v>FAJ 2690 - 500 g/m²</v>
      </c>
      <c r="I1011" s="6" t="str">
        <f>"5628"</f>
        <v>5628</v>
      </c>
      <c r="J1011" s="6" t="str">
        <f>"VERDE 5628"</f>
        <v>VERDE 5628</v>
      </c>
      <c r="K1011" s="6" t="str">
        <f>"1535"</f>
        <v>1535</v>
      </c>
      <c r="L1011" s="6" t="str">
        <f>"Toalhões"</f>
        <v>Toalhões</v>
      </c>
      <c r="M1011" s="6" t="str">
        <f>"70x140"</f>
        <v>70x140</v>
      </c>
      <c r="N1011" s="6" t="str">
        <f t="shared" si="288"/>
        <v xml:space="preserve"> </v>
      </c>
      <c r="O1011" s="8">
        <v>150</v>
      </c>
      <c r="P1011" s="7">
        <v>46034</v>
      </c>
      <c r="R1011" s="8">
        <v>0</v>
      </c>
      <c r="U1011" s="8">
        <v>0</v>
      </c>
      <c r="X1011" s="8">
        <v>0</v>
      </c>
      <c r="Z1011" s="8">
        <v>0</v>
      </c>
      <c r="AC1011" s="8">
        <v>0</v>
      </c>
      <c r="AF1011" s="8">
        <v>0</v>
      </c>
      <c r="AH1011" s="7">
        <v>46031</v>
      </c>
      <c r="AN1011" s="8">
        <v>0</v>
      </c>
      <c r="AO1011" s="8">
        <v>150</v>
      </c>
    </row>
    <row r="1012" spans="1:41" x14ac:dyDescent="0.25">
      <c r="A1012" s="6" t="str">
        <f t="shared" si="295"/>
        <v>521-2026000016</v>
      </c>
      <c r="B1012" s="6" t="str">
        <f t="shared" si="296"/>
        <v>LASHUMA</v>
      </c>
      <c r="C1012" s="7">
        <v>46031</v>
      </c>
      <c r="D1012" s="7">
        <v>46031</v>
      </c>
      <c r="E1012" s="8">
        <v>8</v>
      </c>
      <c r="F1012" s="6" t="str">
        <f t="shared" si="297"/>
        <v>LONODN</v>
      </c>
      <c r="G1012" s="6" t="str">
        <f t="shared" si="298"/>
        <v>F110269050000000</v>
      </c>
      <c r="H1012" s="6" t="str">
        <f t="shared" si="299"/>
        <v>FAJ 2690 - 500 g/m²</v>
      </c>
      <c r="I1012" s="6" t="str">
        <f>"5628"</f>
        <v>5628</v>
      </c>
      <c r="J1012" s="6" t="str">
        <f>"VERDE 5628"</f>
        <v>VERDE 5628</v>
      </c>
      <c r="K1012" s="6" t="str">
        <f>"2152"</f>
        <v>2152</v>
      </c>
      <c r="L1012" s="6" t="str">
        <f>"Lençóis"</f>
        <v>Lençóis</v>
      </c>
      <c r="M1012" s="6" t="str">
        <f>"85x220"</f>
        <v>85x220</v>
      </c>
      <c r="N1012" s="6" t="str">
        <f t="shared" si="288"/>
        <v xml:space="preserve"> </v>
      </c>
      <c r="O1012" s="8">
        <v>100</v>
      </c>
      <c r="P1012" s="7">
        <v>46034</v>
      </c>
      <c r="R1012" s="8">
        <v>0</v>
      </c>
      <c r="U1012" s="8">
        <v>0</v>
      </c>
      <c r="X1012" s="8">
        <v>0</v>
      </c>
      <c r="Z1012" s="8">
        <v>0</v>
      </c>
      <c r="AC1012" s="8">
        <v>0</v>
      </c>
      <c r="AF1012" s="8">
        <v>0</v>
      </c>
      <c r="AH1012" s="7">
        <v>46031</v>
      </c>
      <c r="AN1012" s="8">
        <v>0</v>
      </c>
      <c r="AO1012" s="8">
        <v>100</v>
      </c>
    </row>
    <row r="1013" spans="1:41" x14ac:dyDescent="0.25">
      <c r="A1013" s="6" t="str">
        <f t="shared" si="295"/>
        <v>521-2026000016</v>
      </c>
      <c r="B1013" s="6" t="str">
        <f t="shared" si="296"/>
        <v>LASHUMA</v>
      </c>
      <c r="C1013" s="7">
        <v>46031</v>
      </c>
      <c r="D1013" s="7">
        <v>46031</v>
      </c>
      <c r="E1013" s="8">
        <v>9</v>
      </c>
      <c r="F1013" s="6" t="str">
        <f t="shared" si="297"/>
        <v>LONODN</v>
      </c>
      <c r="G1013" s="6" t="str">
        <f t="shared" si="298"/>
        <v>F110269050000000</v>
      </c>
      <c r="H1013" s="6" t="str">
        <f t="shared" si="299"/>
        <v>FAJ 2690 - 500 g/m²</v>
      </c>
      <c r="I1013" s="6" t="str">
        <f>"5628"</f>
        <v>5628</v>
      </c>
      <c r="J1013" s="6" t="str">
        <f>"VERDE 5628"</f>
        <v>VERDE 5628</v>
      </c>
      <c r="K1013" s="6" t="str">
        <f>"2035"</f>
        <v>2035</v>
      </c>
      <c r="L1013" s="6" t="str">
        <f>"Lençóis"</f>
        <v>Lençóis</v>
      </c>
      <c r="M1013" s="6" t="str">
        <f>"100x200"</f>
        <v>100x200</v>
      </c>
      <c r="N1013" s="6" t="str">
        <f t="shared" si="288"/>
        <v xml:space="preserve"> </v>
      </c>
      <c r="O1013" s="8">
        <v>100</v>
      </c>
      <c r="P1013" s="7">
        <v>46034</v>
      </c>
      <c r="R1013" s="8">
        <v>0</v>
      </c>
      <c r="U1013" s="8">
        <v>0</v>
      </c>
      <c r="X1013" s="8">
        <v>0</v>
      </c>
      <c r="Z1013" s="8">
        <v>0</v>
      </c>
      <c r="AC1013" s="8">
        <v>0</v>
      </c>
      <c r="AF1013" s="8">
        <v>0</v>
      </c>
      <c r="AH1013" s="7">
        <v>46031</v>
      </c>
      <c r="AN1013" s="8">
        <v>0</v>
      </c>
      <c r="AO1013" s="8">
        <v>100</v>
      </c>
    </row>
    <row r="1014" spans="1:41" x14ac:dyDescent="0.25">
      <c r="A1014" s="6" t="str">
        <f t="shared" si="295"/>
        <v>521-2026000016</v>
      </c>
      <c r="B1014" s="6" t="str">
        <f t="shared" si="296"/>
        <v>LASHUMA</v>
      </c>
      <c r="C1014" s="7">
        <v>46031</v>
      </c>
      <c r="D1014" s="7">
        <v>46031</v>
      </c>
      <c r="E1014" s="8">
        <v>10</v>
      </c>
      <c r="F1014" s="6" t="str">
        <f t="shared" si="297"/>
        <v>LONODN</v>
      </c>
      <c r="G1014" s="6" t="str">
        <f t="shared" si="298"/>
        <v>F110269050000000</v>
      </c>
      <c r="H1014" s="6" t="str">
        <f t="shared" si="299"/>
        <v>FAJ 2690 - 500 g/m²</v>
      </c>
      <c r="I1014" s="6" t="str">
        <f>"4955"</f>
        <v>4955</v>
      </c>
      <c r="J1014" s="6" t="str">
        <f>"VERDE 4955"</f>
        <v>VERDE 4955</v>
      </c>
      <c r="K1014" s="6" t="str">
        <f>"1535"</f>
        <v>1535</v>
      </c>
      <c r="L1014" s="6" t="str">
        <f>"Toalhões"</f>
        <v>Toalhões</v>
      </c>
      <c r="M1014" s="6" t="str">
        <f>"70x140"</f>
        <v>70x140</v>
      </c>
      <c r="N1014" s="6" t="str">
        <f t="shared" si="288"/>
        <v xml:space="preserve"> </v>
      </c>
      <c r="O1014" s="8">
        <v>150</v>
      </c>
      <c r="P1014" s="7">
        <v>46034</v>
      </c>
      <c r="R1014" s="8">
        <v>0</v>
      </c>
      <c r="U1014" s="8">
        <v>0</v>
      </c>
      <c r="X1014" s="8">
        <v>0</v>
      </c>
      <c r="Z1014" s="8">
        <v>0</v>
      </c>
      <c r="AC1014" s="8">
        <v>0</v>
      </c>
      <c r="AF1014" s="8">
        <v>0</v>
      </c>
      <c r="AH1014" s="7">
        <v>46031</v>
      </c>
      <c r="AN1014" s="8">
        <v>0</v>
      </c>
      <c r="AO1014" s="8">
        <v>150</v>
      </c>
    </row>
    <row r="1015" spans="1:41" x14ac:dyDescent="0.25">
      <c r="A1015" s="6" t="str">
        <f t="shared" si="295"/>
        <v>521-2026000016</v>
      </c>
      <c r="B1015" s="6" t="str">
        <f t="shared" si="296"/>
        <v>LASHUMA</v>
      </c>
      <c r="C1015" s="7">
        <v>46031</v>
      </c>
      <c r="D1015" s="7">
        <v>46031</v>
      </c>
      <c r="E1015" s="8">
        <v>11</v>
      </c>
      <c r="F1015" s="6" t="str">
        <f t="shared" si="297"/>
        <v>LONODN</v>
      </c>
      <c r="G1015" s="6" t="str">
        <f t="shared" si="298"/>
        <v>F110269050000000</v>
      </c>
      <c r="H1015" s="6" t="str">
        <f t="shared" si="299"/>
        <v>FAJ 2690 - 500 g/m²</v>
      </c>
      <c r="I1015" s="6" t="str">
        <f>"4955"</f>
        <v>4955</v>
      </c>
      <c r="J1015" s="6" t="str">
        <f>"VERDE 4955"</f>
        <v>VERDE 4955</v>
      </c>
      <c r="K1015" s="6" t="str">
        <f>"2152"</f>
        <v>2152</v>
      </c>
      <c r="L1015" s="6" t="str">
        <f>"Lençóis"</f>
        <v>Lençóis</v>
      </c>
      <c r="M1015" s="6" t="str">
        <f>"85x220"</f>
        <v>85x220</v>
      </c>
      <c r="N1015" s="6" t="str">
        <f t="shared" si="288"/>
        <v xml:space="preserve"> </v>
      </c>
      <c r="O1015" s="8">
        <v>100</v>
      </c>
      <c r="P1015" s="7">
        <v>46034</v>
      </c>
      <c r="R1015" s="8">
        <v>0</v>
      </c>
      <c r="U1015" s="8">
        <v>0</v>
      </c>
      <c r="X1015" s="8">
        <v>0</v>
      </c>
      <c r="Z1015" s="8">
        <v>0</v>
      </c>
      <c r="AC1015" s="8">
        <v>0</v>
      </c>
      <c r="AF1015" s="8">
        <v>0</v>
      </c>
      <c r="AH1015" s="7">
        <v>46031</v>
      </c>
      <c r="AN1015" s="8">
        <v>0</v>
      </c>
      <c r="AO1015" s="8">
        <v>100</v>
      </c>
    </row>
    <row r="1016" spans="1:41" x14ac:dyDescent="0.25">
      <c r="A1016" s="6" t="str">
        <f t="shared" si="295"/>
        <v>521-2026000016</v>
      </c>
      <c r="B1016" s="6" t="str">
        <f t="shared" si="296"/>
        <v>LASHUMA</v>
      </c>
      <c r="C1016" s="7">
        <v>46031</v>
      </c>
      <c r="D1016" s="7">
        <v>46031</v>
      </c>
      <c r="E1016" s="8">
        <v>12</v>
      </c>
      <c r="F1016" s="6" t="str">
        <f t="shared" si="297"/>
        <v>LONODN</v>
      </c>
      <c r="G1016" s="6" t="str">
        <f t="shared" si="298"/>
        <v>F110269050000000</v>
      </c>
      <c r="H1016" s="6" t="str">
        <f t="shared" si="299"/>
        <v>FAJ 2690 - 500 g/m²</v>
      </c>
      <c r="I1016" s="6" t="str">
        <f>"4955"</f>
        <v>4955</v>
      </c>
      <c r="J1016" s="6" t="str">
        <f>"VERDE 4955"</f>
        <v>VERDE 4955</v>
      </c>
      <c r="K1016" s="6" t="str">
        <f>"2035"</f>
        <v>2035</v>
      </c>
      <c r="L1016" s="6" t="str">
        <f>"Lençóis"</f>
        <v>Lençóis</v>
      </c>
      <c r="M1016" s="6" t="str">
        <f>"100x200"</f>
        <v>100x200</v>
      </c>
      <c r="N1016" s="6" t="str">
        <f t="shared" si="288"/>
        <v xml:space="preserve"> </v>
      </c>
      <c r="O1016" s="8">
        <v>150</v>
      </c>
      <c r="P1016" s="7">
        <v>46034</v>
      </c>
      <c r="R1016" s="8">
        <v>0</v>
      </c>
      <c r="U1016" s="8">
        <v>0</v>
      </c>
      <c r="X1016" s="8">
        <v>0</v>
      </c>
      <c r="Z1016" s="8">
        <v>0</v>
      </c>
      <c r="AC1016" s="8">
        <v>0</v>
      </c>
      <c r="AF1016" s="8">
        <v>0</v>
      </c>
      <c r="AH1016" s="7">
        <v>46031</v>
      </c>
      <c r="AN1016" s="8">
        <v>0</v>
      </c>
      <c r="AO1016" s="8">
        <v>150</v>
      </c>
    </row>
    <row r="1017" spans="1:41" x14ac:dyDescent="0.25">
      <c r="A1017" s="6" t="str">
        <f t="shared" si="295"/>
        <v>521-2026000016</v>
      </c>
      <c r="B1017" s="6" t="str">
        <f t="shared" si="296"/>
        <v>LASHUMA</v>
      </c>
      <c r="C1017" s="7">
        <v>46031</v>
      </c>
      <c r="D1017" s="7">
        <v>46031</v>
      </c>
      <c r="E1017" s="8">
        <v>13</v>
      </c>
      <c r="F1017" s="6" t="str">
        <f t="shared" si="297"/>
        <v>LONODN</v>
      </c>
      <c r="G1017" s="6" t="str">
        <f t="shared" si="298"/>
        <v>F110269050000000</v>
      </c>
      <c r="H1017" s="6" t="str">
        <f t="shared" si="299"/>
        <v>FAJ 2690 - 500 g/m²</v>
      </c>
      <c r="I1017" s="6" t="str">
        <f>"4957"</f>
        <v>4957</v>
      </c>
      <c r="J1017" s="6" t="str">
        <f>"TURQUESA 4957"</f>
        <v>TURQUESA 4957</v>
      </c>
      <c r="K1017" s="6" t="str">
        <f>"1024"</f>
        <v>1024</v>
      </c>
      <c r="L1017" s="6" t="str">
        <f>"Toalhas"</f>
        <v>Toalhas</v>
      </c>
      <c r="M1017" s="6" t="str">
        <f>"50x100"</f>
        <v>50x100</v>
      </c>
      <c r="N1017" s="6" t="str">
        <f t="shared" si="288"/>
        <v xml:space="preserve"> </v>
      </c>
      <c r="O1017" s="8">
        <v>150</v>
      </c>
      <c r="P1017" s="7">
        <v>46034</v>
      </c>
      <c r="R1017" s="8">
        <v>0</v>
      </c>
      <c r="U1017" s="8">
        <v>0</v>
      </c>
      <c r="X1017" s="8">
        <v>0</v>
      </c>
      <c r="Z1017" s="8">
        <v>0</v>
      </c>
      <c r="AC1017" s="8">
        <v>0</v>
      </c>
      <c r="AF1017" s="8">
        <v>0</v>
      </c>
      <c r="AH1017" s="7">
        <v>46031</v>
      </c>
      <c r="AN1017" s="8">
        <v>0</v>
      </c>
      <c r="AO1017" s="8">
        <v>150</v>
      </c>
    </row>
    <row r="1018" spans="1:41" x14ac:dyDescent="0.25">
      <c r="A1018" s="6" t="str">
        <f t="shared" si="295"/>
        <v>521-2026000016</v>
      </c>
      <c r="B1018" s="6" t="str">
        <f t="shared" si="296"/>
        <v>LASHUMA</v>
      </c>
      <c r="C1018" s="7">
        <v>46031</v>
      </c>
      <c r="D1018" s="7">
        <v>46031</v>
      </c>
      <c r="E1018" s="8">
        <v>14</v>
      </c>
      <c r="F1018" s="6" t="str">
        <f t="shared" si="297"/>
        <v>LONODN</v>
      </c>
      <c r="G1018" s="6" t="str">
        <f t="shared" si="298"/>
        <v>F110269050000000</v>
      </c>
      <c r="H1018" s="6" t="str">
        <f t="shared" si="299"/>
        <v>FAJ 2690 - 500 g/m²</v>
      </c>
      <c r="I1018" s="6" t="str">
        <f>"4957"</f>
        <v>4957</v>
      </c>
      <c r="J1018" s="6" t="str">
        <f>"TURQUESA 4957"</f>
        <v>TURQUESA 4957</v>
      </c>
      <c r="K1018" s="6" t="str">
        <f>"1535"</f>
        <v>1535</v>
      </c>
      <c r="L1018" s="6" t="str">
        <f>"Toalhões"</f>
        <v>Toalhões</v>
      </c>
      <c r="M1018" s="6" t="str">
        <f>"70x140"</f>
        <v>70x140</v>
      </c>
      <c r="N1018" s="6" t="str">
        <f t="shared" ref="N1018:N1049" si="300">" "</f>
        <v xml:space="preserve"> </v>
      </c>
      <c r="O1018" s="8">
        <v>150</v>
      </c>
      <c r="P1018" s="7">
        <v>46034</v>
      </c>
      <c r="R1018" s="8">
        <v>0</v>
      </c>
      <c r="U1018" s="8">
        <v>0</v>
      </c>
      <c r="X1018" s="8">
        <v>0</v>
      </c>
      <c r="Z1018" s="8">
        <v>0</v>
      </c>
      <c r="AC1018" s="8">
        <v>0</v>
      </c>
      <c r="AF1018" s="8">
        <v>0</v>
      </c>
      <c r="AH1018" s="7">
        <v>46031</v>
      </c>
      <c r="AN1018" s="8">
        <v>0</v>
      </c>
      <c r="AO1018" s="8">
        <v>150</v>
      </c>
    </row>
    <row r="1019" spans="1:41" x14ac:dyDescent="0.25">
      <c r="A1019" s="6" t="str">
        <f t="shared" si="295"/>
        <v>521-2026000016</v>
      </c>
      <c r="B1019" s="6" t="str">
        <f t="shared" si="296"/>
        <v>LASHUMA</v>
      </c>
      <c r="C1019" s="7">
        <v>46031</v>
      </c>
      <c r="D1019" s="7">
        <v>46031</v>
      </c>
      <c r="E1019" s="8">
        <v>15</v>
      </c>
      <c r="F1019" s="6" t="str">
        <f t="shared" si="297"/>
        <v>LONODN</v>
      </c>
      <c r="G1019" s="6" t="str">
        <f t="shared" si="298"/>
        <v>F110269050000000</v>
      </c>
      <c r="H1019" s="6" t="str">
        <f t="shared" si="299"/>
        <v>FAJ 2690 - 500 g/m²</v>
      </c>
      <c r="I1019" s="6" t="str">
        <f>"4957"</f>
        <v>4957</v>
      </c>
      <c r="J1019" s="6" t="str">
        <f>"TURQUESA 4957"</f>
        <v>TURQUESA 4957</v>
      </c>
      <c r="K1019" s="6" t="str">
        <f>"2035"</f>
        <v>2035</v>
      </c>
      <c r="L1019" s="6" t="str">
        <f>"Lençóis"</f>
        <v>Lençóis</v>
      </c>
      <c r="M1019" s="6" t="str">
        <f>"100x200"</f>
        <v>100x200</v>
      </c>
      <c r="N1019" s="6" t="str">
        <f t="shared" si="300"/>
        <v xml:space="preserve"> </v>
      </c>
      <c r="O1019" s="8">
        <v>150</v>
      </c>
      <c r="P1019" s="7">
        <v>46034</v>
      </c>
      <c r="R1019" s="8">
        <v>0</v>
      </c>
      <c r="U1019" s="8">
        <v>0</v>
      </c>
      <c r="X1019" s="8">
        <v>0</v>
      </c>
      <c r="Z1019" s="8">
        <v>0</v>
      </c>
      <c r="AC1019" s="8">
        <v>0</v>
      </c>
      <c r="AF1019" s="8">
        <v>0</v>
      </c>
      <c r="AH1019" s="7">
        <v>46031</v>
      </c>
      <c r="AN1019" s="8">
        <v>0</v>
      </c>
      <c r="AO1019" s="8">
        <v>150</v>
      </c>
    </row>
    <row r="1020" spans="1:41" x14ac:dyDescent="0.25">
      <c r="A1020" s="6" t="str">
        <f t="shared" si="295"/>
        <v>521-2026000016</v>
      </c>
      <c r="B1020" s="6" t="str">
        <f t="shared" si="296"/>
        <v>LASHUMA</v>
      </c>
      <c r="C1020" s="7">
        <v>46031</v>
      </c>
      <c r="D1020" s="7">
        <v>46031</v>
      </c>
      <c r="E1020" s="8">
        <v>16</v>
      </c>
      <c r="F1020" s="6" t="str">
        <f t="shared" si="297"/>
        <v>LONODN</v>
      </c>
      <c r="G1020" s="6" t="str">
        <f t="shared" si="298"/>
        <v>F110269050000000</v>
      </c>
      <c r="H1020" s="6" t="str">
        <f t="shared" si="299"/>
        <v>FAJ 2690 - 500 g/m²</v>
      </c>
      <c r="I1020" s="6" t="str">
        <f>"4957"</f>
        <v>4957</v>
      </c>
      <c r="J1020" s="6" t="str">
        <f>"TURQUESA 4957"</f>
        <v>TURQUESA 4957</v>
      </c>
      <c r="K1020" s="6" t="str">
        <f>"2152"</f>
        <v>2152</v>
      </c>
      <c r="L1020" s="6" t="str">
        <f>"Lençóis"</f>
        <v>Lençóis</v>
      </c>
      <c r="M1020" s="6" t="str">
        <f>"85x220"</f>
        <v>85x220</v>
      </c>
      <c r="N1020" s="6" t="str">
        <f t="shared" si="300"/>
        <v xml:space="preserve"> </v>
      </c>
      <c r="O1020" s="8">
        <v>100</v>
      </c>
      <c r="P1020" s="7">
        <v>46034</v>
      </c>
      <c r="R1020" s="8">
        <v>0</v>
      </c>
      <c r="U1020" s="8">
        <v>0</v>
      </c>
      <c r="X1020" s="8">
        <v>0</v>
      </c>
      <c r="Z1020" s="8">
        <v>0</v>
      </c>
      <c r="AC1020" s="8">
        <v>0</v>
      </c>
      <c r="AF1020" s="8">
        <v>0</v>
      </c>
      <c r="AH1020" s="7">
        <v>46031</v>
      </c>
      <c r="AN1020" s="8">
        <v>0</v>
      </c>
      <c r="AO1020" s="8">
        <v>100</v>
      </c>
    </row>
    <row r="1021" spans="1:41" x14ac:dyDescent="0.25">
      <c r="A1021" s="6" t="str">
        <f t="shared" si="295"/>
        <v>521-2026000016</v>
      </c>
      <c r="B1021" s="6" t="str">
        <f t="shared" si="296"/>
        <v>LASHUMA</v>
      </c>
      <c r="C1021" s="7">
        <v>46031</v>
      </c>
      <c r="D1021" s="7">
        <v>46031</v>
      </c>
      <c r="E1021" s="8">
        <v>17</v>
      </c>
      <c r="F1021" s="6" t="str">
        <f t="shared" si="297"/>
        <v>LONODN</v>
      </c>
      <c r="G1021" s="6" t="str">
        <f t="shared" si="298"/>
        <v>F110269050000000</v>
      </c>
      <c r="H1021" s="6" t="str">
        <f t="shared" si="299"/>
        <v>FAJ 2690 - 500 g/m²</v>
      </c>
      <c r="I1021" s="6" t="str">
        <f>"4958"</f>
        <v>4958</v>
      </c>
      <c r="J1021" s="6" t="str">
        <f>"AZUL 4958"</f>
        <v>AZUL 4958</v>
      </c>
      <c r="K1021" s="6" t="str">
        <f>"1024"</f>
        <v>1024</v>
      </c>
      <c r="L1021" s="6" t="str">
        <f>"Toalhas"</f>
        <v>Toalhas</v>
      </c>
      <c r="M1021" s="6" t="str">
        <f>"50x100"</f>
        <v>50x100</v>
      </c>
      <c r="N1021" s="6" t="str">
        <f t="shared" si="300"/>
        <v xml:space="preserve"> </v>
      </c>
      <c r="O1021" s="8">
        <v>150</v>
      </c>
      <c r="P1021" s="7">
        <v>46034</v>
      </c>
      <c r="R1021" s="8">
        <v>0</v>
      </c>
      <c r="U1021" s="8">
        <v>0</v>
      </c>
      <c r="X1021" s="8">
        <v>0</v>
      </c>
      <c r="Z1021" s="8">
        <v>0</v>
      </c>
      <c r="AC1021" s="8">
        <v>0</v>
      </c>
      <c r="AF1021" s="8">
        <v>0</v>
      </c>
      <c r="AH1021" s="7">
        <v>46031</v>
      </c>
      <c r="AN1021" s="8">
        <v>0</v>
      </c>
      <c r="AO1021" s="8">
        <v>150</v>
      </c>
    </row>
    <row r="1022" spans="1:41" x14ac:dyDescent="0.25">
      <c r="A1022" s="6" t="str">
        <f t="shared" si="295"/>
        <v>521-2026000016</v>
      </c>
      <c r="B1022" s="6" t="str">
        <f t="shared" si="296"/>
        <v>LASHUMA</v>
      </c>
      <c r="C1022" s="7">
        <v>46031</v>
      </c>
      <c r="D1022" s="7">
        <v>46031</v>
      </c>
      <c r="E1022" s="8">
        <v>18</v>
      </c>
      <c r="F1022" s="6" t="str">
        <f t="shared" si="297"/>
        <v>LONODN</v>
      </c>
      <c r="G1022" s="6" t="str">
        <f t="shared" si="298"/>
        <v>F110269050000000</v>
      </c>
      <c r="H1022" s="6" t="str">
        <f t="shared" si="299"/>
        <v>FAJ 2690 - 500 g/m²</v>
      </c>
      <c r="I1022" s="6" t="str">
        <f>"4958"</f>
        <v>4958</v>
      </c>
      <c r="J1022" s="6" t="str">
        <f>"AZUL 4958"</f>
        <v>AZUL 4958</v>
      </c>
      <c r="K1022" s="6" t="str">
        <f>"1535"</f>
        <v>1535</v>
      </c>
      <c r="L1022" s="6" t="str">
        <f>"Toalhões"</f>
        <v>Toalhões</v>
      </c>
      <c r="M1022" s="6" t="str">
        <f>"70x140"</f>
        <v>70x140</v>
      </c>
      <c r="N1022" s="6" t="str">
        <f t="shared" si="300"/>
        <v xml:space="preserve"> </v>
      </c>
      <c r="O1022" s="8">
        <v>150</v>
      </c>
      <c r="P1022" s="7">
        <v>46034</v>
      </c>
      <c r="R1022" s="8">
        <v>0</v>
      </c>
      <c r="U1022" s="8">
        <v>0</v>
      </c>
      <c r="X1022" s="8">
        <v>0</v>
      </c>
      <c r="Z1022" s="8">
        <v>0</v>
      </c>
      <c r="AC1022" s="8">
        <v>0</v>
      </c>
      <c r="AF1022" s="8">
        <v>0</v>
      </c>
      <c r="AH1022" s="7">
        <v>46031</v>
      </c>
      <c r="AN1022" s="8">
        <v>0</v>
      </c>
      <c r="AO1022" s="8">
        <v>150</v>
      </c>
    </row>
    <row r="1023" spans="1:41" x14ac:dyDescent="0.25">
      <c r="A1023" s="6" t="str">
        <f t="shared" si="295"/>
        <v>521-2026000016</v>
      </c>
      <c r="B1023" s="6" t="str">
        <f t="shared" si="296"/>
        <v>LASHUMA</v>
      </c>
      <c r="C1023" s="7">
        <v>46031</v>
      </c>
      <c r="D1023" s="7">
        <v>46031</v>
      </c>
      <c r="E1023" s="8">
        <v>19</v>
      </c>
      <c r="F1023" s="6" t="str">
        <f t="shared" si="297"/>
        <v>LONODN</v>
      </c>
      <c r="G1023" s="6" t="str">
        <f t="shared" si="298"/>
        <v>F110269050000000</v>
      </c>
      <c r="H1023" s="6" t="str">
        <f t="shared" si="299"/>
        <v>FAJ 2690 - 500 g/m²</v>
      </c>
      <c r="I1023" s="6" t="str">
        <f>"4958"</f>
        <v>4958</v>
      </c>
      <c r="J1023" s="6" t="str">
        <f>"AZUL 4958"</f>
        <v>AZUL 4958</v>
      </c>
      <c r="K1023" s="6" t="str">
        <f>"2035"</f>
        <v>2035</v>
      </c>
      <c r="L1023" s="6" t="str">
        <f>"Lençóis"</f>
        <v>Lençóis</v>
      </c>
      <c r="M1023" s="6" t="str">
        <f>"100x200"</f>
        <v>100x200</v>
      </c>
      <c r="N1023" s="6" t="str">
        <f t="shared" si="300"/>
        <v xml:space="preserve"> </v>
      </c>
      <c r="O1023" s="8">
        <v>200</v>
      </c>
      <c r="P1023" s="7">
        <v>46034</v>
      </c>
      <c r="R1023" s="8">
        <v>0</v>
      </c>
      <c r="U1023" s="8">
        <v>0</v>
      </c>
      <c r="X1023" s="8">
        <v>0</v>
      </c>
      <c r="Z1023" s="8">
        <v>0</v>
      </c>
      <c r="AC1023" s="8">
        <v>0</v>
      </c>
      <c r="AF1023" s="8">
        <v>0</v>
      </c>
      <c r="AH1023" s="7">
        <v>46031</v>
      </c>
      <c r="AN1023" s="8">
        <v>0</v>
      </c>
      <c r="AO1023" s="8">
        <v>200</v>
      </c>
    </row>
    <row r="1024" spans="1:41" x14ac:dyDescent="0.25">
      <c r="A1024" s="6" t="str">
        <f t="shared" si="295"/>
        <v>521-2026000016</v>
      </c>
      <c r="B1024" s="6" t="str">
        <f t="shared" si="296"/>
        <v>LASHUMA</v>
      </c>
      <c r="C1024" s="7">
        <v>46031</v>
      </c>
      <c r="D1024" s="7">
        <v>46031</v>
      </c>
      <c r="E1024" s="8">
        <v>20</v>
      </c>
      <c r="F1024" s="6" t="str">
        <f t="shared" si="297"/>
        <v>LONODN</v>
      </c>
      <c r="G1024" s="6" t="str">
        <f t="shared" si="298"/>
        <v>F110269050000000</v>
      </c>
      <c r="H1024" s="6" t="str">
        <f t="shared" si="299"/>
        <v>FAJ 2690 - 500 g/m²</v>
      </c>
      <c r="I1024" s="6" t="str">
        <f>"3"</f>
        <v>3</v>
      </c>
      <c r="J1024" s="6" t="str">
        <f>"PRETO Sulf"</f>
        <v>PRETO Sulf</v>
      </c>
      <c r="K1024" s="6" t="str">
        <f>"2152"</f>
        <v>2152</v>
      </c>
      <c r="L1024" s="6" t="str">
        <f>"Lençóis"</f>
        <v>Lençóis</v>
      </c>
      <c r="M1024" s="6" t="str">
        <f>"85x220"</f>
        <v>85x220</v>
      </c>
      <c r="N1024" s="6" t="str">
        <f t="shared" si="300"/>
        <v xml:space="preserve"> </v>
      </c>
      <c r="O1024" s="8">
        <v>100</v>
      </c>
      <c r="P1024" s="7">
        <v>46034</v>
      </c>
      <c r="R1024" s="8">
        <v>0</v>
      </c>
      <c r="U1024" s="8">
        <v>0</v>
      </c>
      <c r="X1024" s="8">
        <v>0</v>
      </c>
      <c r="Z1024" s="8">
        <v>0</v>
      </c>
      <c r="AC1024" s="8">
        <v>0</v>
      </c>
      <c r="AF1024" s="8">
        <v>0</v>
      </c>
      <c r="AH1024" s="7">
        <v>46031</v>
      </c>
      <c r="AN1024" s="8">
        <v>0</v>
      </c>
      <c r="AO1024" s="8">
        <v>100</v>
      </c>
    </row>
    <row r="1025" spans="1:41" x14ac:dyDescent="0.25">
      <c r="A1025" s="6" t="str">
        <f t="shared" si="295"/>
        <v>521-2026000016</v>
      </c>
      <c r="B1025" s="6" t="str">
        <f t="shared" si="296"/>
        <v>LASHUMA</v>
      </c>
      <c r="C1025" s="7">
        <v>46031</v>
      </c>
      <c r="D1025" s="7">
        <v>46031</v>
      </c>
      <c r="E1025" s="8">
        <v>21</v>
      </c>
      <c r="F1025" s="6" t="str">
        <f t="shared" si="297"/>
        <v>LONODN</v>
      </c>
      <c r="G1025" s="6" t="str">
        <f t="shared" si="298"/>
        <v>F110269050000000</v>
      </c>
      <c r="H1025" s="6" t="str">
        <f t="shared" si="299"/>
        <v>FAJ 2690 - 500 g/m²</v>
      </c>
      <c r="I1025" s="6" t="str">
        <f>"3"</f>
        <v>3</v>
      </c>
      <c r="J1025" s="6" t="str">
        <f>"PRETO Sulf"</f>
        <v>PRETO Sulf</v>
      </c>
      <c r="K1025" s="6" t="str">
        <f>"2035"</f>
        <v>2035</v>
      </c>
      <c r="L1025" s="6" t="str">
        <f>"Lençóis"</f>
        <v>Lençóis</v>
      </c>
      <c r="M1025" s="6" t="str">
        <f>"100x200"</f>
        <v>100x200</v>
      </c>
      <c r="N1025" s="6" t="str">
        <f t="shared" si="300"/>
        <v xml:space="preserve"> </v>
      </c>
      <c r="O1025" s="8">
        <v>160</v>
      </c>
      <c r="P1025" s="7">
        <v>46034</v>
      </c>
      <c r="R1025" s="8">
        <v>0</v>
      </c>
      <c r="U1025" s="8">
        <v>0</v>
      </c>
      <c r="X1025" s="8">
        <v>0</v>
      </c>
      <c r="Z1025" s="8">
        <v>0</v>
      </c>
      <c r="AC1025" s="8">
        <v>0</v>
      </c>
      <c r="AF1025" s="8">
        <v>0</v>
      </c>
      <c r="AH1025" s="7">
        <v>46031</v>
      </c>
      <c r="AN1025" s="8">
        <v>0</v>
      </c>
      <c r="AO1025" s="8">
        <v>160</v>
      </c>
    </row>
    <row r="1026" spans="1:41" x14ac:dyDescent="0.25">
      <c r="A1026" s="6" t="str">
        <f t="shared" si="295"/>
        <v>521-2026000016</v>
      </c>
      <c r="B1026" s="6" t="str">
        <f t="shared" si="296"/>
        <v>LASHUMA</v>
      </c>
      <c r="C1026" s="7">
        <v>46031</v>
      </c>
      <c r="D1026" s="7">
        <v>46031</v>
      </c>
      <c r="E1026" s="8">
        <v>22</v>
      </c>
      <c r="F1026" s="6" t="str">
        <f t="shared" si="297"/>
        <v>LONODN</v>
      </c>
      <c r="G1026" s="6" t="str">
        <f>"F110341045000000"</f>
        <v>F110341045000000</v>
      </c>
      <c r="H1026" s="6" t="str">
        <f>"FAJ 3410 - 450 g/m²"</f>
        <v>FAJ 3410 - 450 g/m²</v>
      </c>
      <c r="I1026" s="6" t="str">
        <f>"3"</f>
        <v>3</v>
      </c>
      <c r="J1026" s="6" t="str">
        <f>"PRETO Sulf"</f>
        <v>PRETO Sulf</v>
      </c>
      <c r="K1026" s="6" t="str">
        <f>"0820"</f>
        <v>0820</v>
      </c>
      <c r="L1026" s="6" t="str">
        <f>"Cozinha"</f>
        <v>Cozinha</v>
      </c>
      <c r="M1026" s="6" t="str">
        <f>"50x50"</f>
        <v>50x50</v>
      </c>
      <c r="N1026" s="6" t="str">
        <f t="shared" si="300"/>
        <v xml:space="preserve"> </v>
      </c>
      <c r="O1026" s="8">
        <v>400</v>
      </c>
      <c r="P1026" s="7">
        <v>46034</v>
      </c>
      <c r="R1026" s="8">
        <v>0</v>
      </c>
      <c r="U1026" s="8">
        <v>0</v>
      </c>
      <c r="X1026" s="8">
        <v>0</v>
      </c>
      <c r="Z1026" s="8">
        <v>0</v>
      </c>
      <c r="AC1026" s="8">
        <v>0</v>
      </c>
      <c r="AF1026" s="8">
        <v>0</v>
      </c>
      <c r="AH1026" s="7">
        <v>46031</v>
      </c>
      <c r="AN1026" s="8">
        <v>0</v>
      </c>
      <c r="AO1026" s="8">
        <v>400</v>
      </c>
    </row>
    <row r="1027" spans="1:41" x14ac:dyDescent="0.25">
      <c r="A1027" s="6" t="str">
        <f t="shared" si="295"/>
        <v>521-2026000016</v>
      </c>
      <c r="B1027" s="6" t="str">
        <f t="shared" si="296"/>
        <v>LASHUMA</v>
      </c>
      <c r="C1027" s="7">
        <v>46031</v>
      </c>
      <c r="D1027" s="7">
        <v>46031</v>
      </c>
      <c r="E1027" s="8">
        <v>23</v>
      </c>
      <c r="F1027" s="6" t="str">
        <f t="shared" si="297"/>
        <v>LONODN</v>
      </c>
      <c r="G1027" s="6" t="str">
        <f>"F110341045000000"</f>
        <v>F110341045000000</v>
      </c>
      <c r="H1027" s="6" t="str">
        <f>"FAJ 3410 - 450 g/m²"</f>
        <v>FAJ 3410 - 450 g/m²</v>
      </c>
      <c r="I1027" s="6" t="str">
        <f>"4957"</f>
        <v>4957</v>
      </c>
      <c r="J1027" s="6" t="str">
        <f>"TURQUESA 4957"</f>
        <v>TURQUESA 4957</v>
      </c>
      <c r="K1027" s="6" t="str">
        <f>"0820"</f>
        <v>0820</v>
      </c>
      <c r="L1027" s="6" t="str">
        <f>"Cozinha"</f>
        <v>Cozinha</v>
      </c>
      <c r="M1027" s="6" t="str">
        <f>"50x50"</f>
        <v>50x50</v>
      </c>
      <c r="N1027" s="6" t="str">
        <f t="shared" si="300"/>
        <v xml:space="preserve"> </v>
      </c>
      <c r="O1027" s="8">
        <v>400</v>
      </c>
      <c r="P1027" s="7">
        <v>46034</v>
      </c>
      <c r="R1027" s="8">
        <v>0</v>
      </c>
      <c r="U1027" s="8">
        <v>0</v>
      </c>
      <c r="X1027" s="8">
        <v>0</v>
      </c>
      <c r="Z1027" s="8">
        <v>0</v>
      </c>
      <c r="AC1027" s="8">
        <v>0</v>
      </c>
      <c r="AF1027" s="8">
        <v>0</v>
      </c>
      <c r="AH1027" s="7">
        <v>46031</v>
      </c>
      <c r="AN1027" s="8">
        <v>0</v>
      </c>
      <c r="AO1027" s="8">
        <v>400</v>
      </c>
    </row>
    <row r="1028" spans="1:41" x14ac:dyDescent="0.25">
      <c r="A1028" s="6" t="str">
        <f t="shared" si="295"/>
        <v>521-2026000016</v>
      </c>
      <c r="B1028" s="6" t="str">
        <f t="shared" si="296"/>
        <v>LASHUMA</v>
      </c>
      <c r="C1028" s="7">
        <v>46031</v>
      </c>
      <c r="D1028" s="7">
        <v>46031</v>
      </c>
      <c r="E1028" s="8">
        <v>24</v>
      </c>
      <c r="F1028" s="6" t="str">
        <f t="shared" si="297"/>
        <v>LONODN</v>
      </c>
      <c r="G1028" s="6" t="str">
        <f>"F110341045000000"</f>
        <v>F110341045000000</v>
      </c>
      <c r="H1028" s="6" t="str">
        <f>"FAJ 3410 - 450 g/m²"</f>
        <v>FAJ 3410 - 450 g/m²</v>
      </c>
      <c r="I1028" s="6" t="str">
        <f>"5414"</f>
        <v>5414</v>
      </c>
      <c r="J1028" s="6" t="str">
        <f>"BEGE 5414"</f>
        <v>BEGE 5414</v>
      </c>
      <c r="K1028" s="6" t="str">
        <f>"0820"</f>
        <v>0820</v>
      </c>
      <c r="L1028" s="6" t="str">
        <f>"Cozinha"</f>
        <v>Cozinha</v>
      </c>
      <c r="M1028" s="6" t="str">
        <f>"50x50"</f>
        <v>50x50</v>
      </c>
      <c r="N1028" s="6" t="str">
        <f t="shared" si="300"/>
        <v xml:space="preserve"> </v>
      </c>
      <c r="O1028" s="8">
        <v>400</v>
      </c>
      <c r="P1028" s="7">
        <v>46034</v>
      </c>
      <c r="R1028" s="8">
        <v>0</v>
      </c>
      <c r="U1028" s="8">
        <v>0</v>
      </c>
      <c r="X1028" s="8">
        <v>0</v>
      </c>
      <c r="Z1028" s="8">
        <v>0</v>
      </c>
      <c r="AC1028" s="8">
        <v>0</v>
      </c>
      <c r="AF1028" s="8">
        <v>0</v>
      </c>
      <c r="AH1028" s="7">
        <v>46031</v>
      </c>
      <c r="AN1028" s="8">
        <v>0</v>
      </c>
      <c r="AO1028" s="8">
        <v>400</v>
      </c>
    </row>
    <row r="1029" spans="1:41" x14ac:dyDescent="0.25">
      <c r="A1029" s="6" t="str">
        <f t="shared" si="295"/>
        <v>521-2026000016</v>
      </c>
      <c r="B1029" s="6" t="str">
        <f t="shared" si="296"/>
        <v>LASHUMA</v>
      </c>
      <c r="C1029" s="7">
        <v>46031</v>
      </c>
      <c r="D1029" s="7">
        <v>46031</v>
      </c>
      <c r="E1029" s="8">
        <v>25</v>
      </c>
      <c r="F1029" s="6" t="str">
        <f t="shared" si="297"/>
        <v>LONODN</v>
      </c>
      <c r="G1029" s="6" t="str">
        <f>"F110341045000000"</f>
        <v>F110341045000000</v>
      </c>
      <c r="H1029" s="6" t="str">
        <f>"FAJ 3410 - 450 g/m²"</f>
        <v>FAJ 3410 - 450 g/m²</v>
      </c>
      <c r="I1029" s="6" t="str">
        <f>"4959"</f>
        <v>4959</v>
      </c>
      <c r="J1029" s="6" t="str">
        <f>"CINZA 4959"</f>
        <v>CINZA 4959</v>
      </c>
      <c r="K1029" s="6" t="str">
        <f>"0820"</f>
        <v>0820</v>
      </c>
      <c r="L1029" s="6" t="str">
        <f>"Cozinha"</f>
        <v>Cozinha</v>
      </c>
      <c r="M1029" s="6" t="str">
        <f>"50x50"</f>
        <v>50x50</v>
      </c>
      <c r="N1029" s="6" t="str">
        <f t="shared" si="300"/>
        <v xml:space="preserve"> </v>
      </c>
      <c r="O1029" s="8">
        <v>400</v>
      </c>
      <c r="P1029" s="7">
        <v>46034</v>
      </c>
      <c r="R1029" s="8">
        <v>0</v>
      </c>
      <c r="U1029" s="8">
        <v>0</v>
      </c>
      <c r="X1029" s="8">
        <v>0</v>
      </c>
      <c r="Z1029" s="8">
        <v>0</v>
      </c>
      <c r="AC1029" s="8">
        <v>0</v>
      </c>
      <c r="AF1029" s="8">
        <v>0</v>
      </c>
      <c r="AH1029" s="7">
        <v>46031</v>
      </c>
      <c r="AN1029" s="8">
        <v>0</v>
      </c>
      <c r="AO1029" s="8">
        <v>400</v>
      </c>
    </row>
    <row r="1030" spans="1:41" x14ac:dyDescent="0.25">
      <c r="A1030" s="6" t="str">
        <f t="shared" si="295"/>
        <v>521-2026000016</v>
      </c>
      <c r="B1030" s="6" t="str">
        <f t="shared" si="296"/>
        <v>LASHUMA</v>
      </c>
      <c r="C1030" s="7">
        <v>46031</v>
      </c>
      <c r="D1030" s="7">
        <v>46031</v>
      </c>
      <c r="E1030" s="8">
        <v>26</v>
      </c>
      <c r="F1030" s="6" t="str">
        <f t="shared" si="297"/>
        <v>LONODN</v>
      </c>
      <c r="G1030" s="6" t="str">
        <f>"F110341045000000"</f>
        <v>F110341045000000</v>
      </c>
      <c r="H1030" s="6" t="str">
        <f>"FAJ 3410 - 450 g/m²"</f>
        <v>FAJ 3410 - 450 g/m²</v>
      </c>
      <c r="I1030" s="6" t="str">
        <f>"0"</f>
        <v>0</v>
      </c>
      <c r="J1030" s="6" t="str">
        <f>"Crú"</f>
        <v>Crú</v>
      </c>
      <c r="K1030" s="6" t="str">
        <f>"0820"</f>
        <v>0820</v>
      </c>
      <c r="L1030" s="6" t="str">
        <f>"Cozinha"</f>
        <v>Cozinha</v>
      </c>
      <c r="M1030" s="6" t="str">
        <f>"50x50"</f>
        <v>50x50</v>
      </c>
      <c r="N1030" s="6" t="str">
        <f t="shared" si="300"/>
        <v xml:space="preserve"> </v>
      </c>
      <c r="O1030" s="8">
        <v>800</v>
      </c>
      <c r="P1030" s="7">
        <v>46034</v>
      </c>
      <c r="R1030" s="8">
        <v>0</v>
      </c>
      <c r="U1030" s="8">
        <v>0</v>
      </c>
      <c r="X1030" s="8">
        <v>0</v>
      </c>
      <c r="Z1030" s="8">
        <v>0</v>
      </c>
      <c r="AC1030" s="8">
        <v>0</v>
      </c>
      <c r="AF1030" s="8">
        <v>0</v>
      </c>
      <c r="AH1030" s="7">
        <v>46031</v>
      </c>
      <c r="AN1030" s="8">
        <v>0</v>
      </c>
      <c r="AO1030" s="8">
        <v>800</v>
      </c>
    </row>
    <row r="1031" spans="1:41" x14ac:dyDescent="0.25">
      <c r="A1031" s="6" t="str">
        <f t="shared" si="295"/>
        <v>521-2026000016</v>
      </c>
      <c r="B1031" s="6" t="str">
        <f t="shared" si="296"/>
        <v>LASHUMA</v>
      </c>
      <c r="C1031" s="7">
        <v>46031</v>
      </c>
      <c r="D1031" s="7">
        <v>46031</v>
      </c>
      <c r="E1031" s="8">
        <v>27</v>
      </c>
      <c r="F1031" s="6" t="str">
        <f t="shared" si="297"/>
        <v>LONODN</v>
      </c>
      <c r="G1031" s="6" t="str">
        <f>"F110269050000000"</f>
        <v>F110269050000000</v>
      </c>
      <c r="H1031" s="6" t="str">
        <f>"FAJ 2690 - 500 g/m²"</f>
        <v>FAJ 2690 - 500 g/m²</v>
      </c>
      <c r="I1031" s="6" t="str">
        <f>"0"</f>
        <v>0</v>
      </c>
      <c r="J1031" s="6" t="str">
        <f>"Crú"</f>
        <v>Crú</v>
      </c>
      <c r="K1031" s="6" t="str">
        <f>"1024"</f>
        <v>1024</v>
      </c>
      <c r="L1031" s="6" t="str">
        <f>"Toalhas"</f>
        <v>Toalhas</v>
      </c>
      <c r="M1031" s="6" t="str">
        <f>"50x100"</f>
        <v>50x100</v>
      </c>
      <c r="N1031" s="6" t="str">
        <f t="shared" si="300"/>
        <v xml:space="preserve"> </v>
      </c>
      <c r="O1031" s="8">
        <v>150</v>
      </c>
      <c r="P1031" s="7">
        <v>46034</v>
      </c>
      <c r="R1031" s="8">
        <v>0</v>
      </c>
      <c r="U1031" s="8">
        <v>0</v>
      </c>
      <c r="X1031" s="8">
        <v>0</v>
      </c>
      <c r="Z1031" s="8">
        <v>0</v>
      </c>
      <c r="AC1031" s="8">
        <v>0</v>
      </c>
      <c r="AF1031" s="8">
        <v>0</v>
      </c>
      <c r="AH1031" s="7">
        <v>46031</v>
      </c>
      <c r="AN1031" s="8">
        <v>0</v>
      </c>
      <c r="AO1031" s="8">
        <v>150</v>
      </c>
    </row>
    <row r="1032" spans="1:41" x14ac:dyDescent="0.25">
      <c r="A1032" s="6" t="str">
        <f t="shared" si="295"/>
        <v>521-2026000016</v>
      </c>
      <c r="B1032" s="6" t="str">
        <f t="shared" si="296"/>
        <v>LASHUMA</v>
      </c>
      <c r="C1032" s="7">
        <v>46031</v>
      </c>
      <c r="D1032" s="7">
        <v>46031</v>
      </c>
      <c r="E1032" s="8">
        <v>28</v>
      </c>
      <c r="F1032" s="6" t="str">
        <f t="shared" si="297"/>
        <v>LONODN</v>
      </c>
      <c r="G1032" s="6" t="str">
        <f>"F110269050000000"</f>
        <v>F110269050000000</v>
      </c>
      <c r="H1032" s="6" t="str">
        <f>"FAJ 2690 - 500 g/m²"</f>
        <v>FAJ 2690 - 500 g/m²</v>
      </c>
      <c r="I1032" s="6" t="str">
        <f>"0"</f>
        <v>0</v>
      </c>
      <c r="J1032" s="6" t="str">
        <f>"Crú"</f>
        <v>Crú</v>
      </c>
      <c r="K1032" s="6" t="str">
        <f>"1535"</f>
        <v>1535</v>
      </c>
      <c r="L1032" s="6" t="str">
        <f>"Toalhões"</f>
        <v>Toalhões</v>
      </c>
      <c r="M1032" s="6" t="str">
        <f>"70x140"</f>
        <v>70x140</v>
      </c>
      <c r="N1032" s="6" t="str">
        <f t="shared" si="300"/>
        <v xml:space="preserve"> </v>
      </c>
      <c r="O1032" s="8">
        <v>150</v>
      </c>
      <c r="P1032" s="7">
        <v>46034</v>
      </c>
      <c r="R1032" s="8">
        <v>0</v>
      </c>
      <c r="U1032" s="8">
        <v>0</v>
      </c>
      <c r="X1032" s="8">
        <v>0</v>
      </c>
      <c r="Z1032" s="8">
        <v>0</v>
      </c>
      <c r="AC1032" s="8">
        <v>0</v>
      </c>
      <c r="AF1032" s="8">
        <v>0</v>
      </c>
      <c r="AH1032" s="7">
        <v>46031</v>
      </c>
      <c r="AN1032" s="8">
        <v>0</v>
      </c>
      <c r="AO1032" s="8">
        <v>150</v>
      </c>
    </row>
    <row r="1033" spans="1:41" x14ac:dyDescent="0.25">
      <c r="A1033" s="6" t="str">
        <f t="shared" si="295"/>
        <v>521-2026000016</v>
      </c>
      <c r="B1033" s="6" t="str">
        <f t="shared" si="296"/>
        <v>LASHUMA</v>
      </c>
      <c r="C1033" s="7">
        <v>46031</v>
      </c>
      <c r="D1033" s="7">
        <v>46031</v>
      </c>
      <c r="E1033" s="8">
        <v>29</v>
      </c>
      <c r="F1033" s="6" t="str">
        <f t="shared" si="297"/>
        <v>LONODN</v>
      </c>
      <c r="G1033" s="6" t="str">
        <f>"F110269050000000"</f>
        <v>F110269050000000</v>
      </c>
      <c r="H1033" s="6" t="str">
        <f>"FAJ 2690 - 500 g/m²"</f>
        <v>FAJ 2690 - 500 g/m²</v>
      </c>
      <c r="I1033" s="6" t="str">
        <f>"0"</f>
        <v>0</v>
      </c>
      <c r="J1033" s="6" t="str">
        <f>"Crú"</f>
        <v>Crú</v>
      </c>
      <c r="K1033" s="6" t="str">
        <f>"2048"</f>
        <v>2048</v>
      </c>
      <c r="L1033" s="6" t="str">
        <f>"Lençóis"</f>
        <v>Lençóis</v>
      </c>
      <c r="M1033" s="6" t="str">
        <f>"85x200"</f>
        <v>85x200</v>
      </c>
      <c r="N1033" s="6" t="str">
        <f t="shared" si="300"/>
        <v xml:space="preserve"> </v>
      </c>
      <c r="O1033" s="8">
        <v>120</v>
      </c>
      <c r="P1033" s="7">
        <v>46034</v>
      </c>
      <c r="R1033" s="8">
        <v>0</v>
      </c>
      <c r="U1033" s="8">
        <v>0</v>
      </c>
      <c r="X1033" s="8">
        <v>0</v>
      </c>
      <c r="Z1033" s="8">
        <v>0</v>
      </c>
      <c r="AC1033" s="8">
        <v>0</v>
      </c>
      <c r="AF1033" s="8">
        <v>0</v>
      </c>
      <c r="AH1033" s="7">
        <v>46031</v>
      </c>
      <c r="AN1033" s="8">
        <v>0</v>
      </c>
      <c r="AO1033" s="8">
        <v>120</v>
      </c>
    </row>
    <row r="1034" spans="1:41" x14ac:dyDescent="0.25">
      <c r="A1034" s="6" t="str">
        <f t="shared" si="295"/>
        <v>521-2026000016</v>
      </c>
      <c r="B1034" s="6" t="str">
        <f t="shared" si="296"/>
        <v>LASHUMA</v>
      </c>
      <c r="C1034" s="7">
        <v>46031</v>
      </c>
      <c r="D1034" s="7">
        <v>46031</v>
      </c>
      <c r="E1034" s="8">
        <v>30</v>
      </c>
      <c r="F1034" s="6" t="str">
        <f t="shared" si="297"/>
        <v>LONODN</v>
      </c>
      <c r="G1034" s="6" t="str">
        <f>"F110269050000000"</f>
        <v>F110269050000000</v>
      </c>
      <c r="H1034" s="6" t="str">
        <f>"FAJ 2690 - 500 g/m²"</f>
        <v>FAJ 2690 - 500 g/m²</v>
      </c>
      <c r="I1034" s="6" t="str">
        <f>"0"</f>
        <v>0</v>
      </c>
      <c r="J1034" s="6" t="str">
        <f>"Crú"</f>
        <v>Crú</v>
      </c>
      <c r="K1034" s="6" t="str">
        <f>"2035"</f>
        <v>2035</v>
      </c>
      <c r="L1034" s="6" t="str">
        <f>"Lençóis"</f>
        <v>Lençóis</v>
      </c>
      <c r="M1034" s="6" t="str">
        <f>"100x200"</f>
        <v>100x200</v>
      </c>
      <c r="N1034" s="6" t="str">
        <f t="shared" si="300"/>
        <v xml:space="preserve"> </v>
      </c>
      <c r="O1034" s="8">
        <v>350</v>
      </c>
      <c r="P1034" s="7">
        <v>46034</v>
      </c>
      <c r="R1034" s="8">
        <v>0</v>
      </c>
      <c r="U1034" s="8">
        <v>0</v>
      </c>
      <c r="X1034" s="8">
        <v>0</v>
      </c>
      <c r="Z1034" s="8">
        <v>0</v>
      </c>
      <c r="AC1034" s="8">
        <v>0</v>
      </c>
      <c r="AF1034" s="8">
        <v>0</v>
      </c>
      <c r="AH1034" s="7">
        <v>46031</v>
      </c>
      <c r="AN1034" s="8">
        <v>0</v>
      </c>
      <c r="AO1034" s="8">
        <v>350</v>
      </c>
    </row>
    <row r="1035" spans="1:41" x14ac:dyDescent="0.25">
      <c r="A1035" s="6" t="str">
        <f>"521-2026000017"</f>
        <v>521-2026000017</v>
      </c>
      <c r="B1035" s="6" t="str">
        <f>"MR MARVI"</f>
        <v>MR MARVI</v>
      </c>
      <c r="C1035" s="7">
        <v>46031</v>
      </c>
      <c r="D1035" s="7">
        <v>46122</v>
      </c>
      <c r="E1035" s="8">
        <v>1</v>
      </c>
      <c r="F1035" s="6" t="str">
        <f>" "</f>
        <v xml:space="preserve"> </v>
      </c>
      <c r="G1035" s="6" t="str">
        <f>"F601244360000000"</f>
        <v>F601244360000000</v>
      </c>
      <c r="H1035" s="6" t="str">
        <f>"10-2443 Bio GOTS - 6"</f>
        <v>10-2443 Bio GOTS - 6</v>
      </c>
      <c r="I1035" s="6" t="str">
        <f>"204097"</f>
        <v>204097</v>
      </c>
      <c r="J1035" s="6" t="str">
        <f>"BEGE 4097"</f>
        <v>BEGE 4097</v>
      </c>
      <c r="K1035" s="6" t="str">
        <f>"3534"</f>
        <v>3534</v>
      </c>
      <c r="L1035" s="6" t="str">
        <f>"Praia"</f>
        <v>Praia</v>
      </c>
      <c r="M1035" s="6" t="str">
        <f>"100x200"</f>
        <v>100x200</v>
      </c>
      <c r="N1035" s="6" t="str">
        <f t="shared" si="300"/>
        <v xml:space="preserve"> </v>
      </c>
      <c r="O1035" s="8">
        <v>200</v>
      </c>
      <c r="P1035" s="7">
        <v>46091</v>
      </c>
      <c r="R1035" s="8">
        <v>0</v>
      </c>
      <c r="S1035" s="7">
        <v>46101</v>
      </c>
      <c r="U1035" s="8">
        <v>0</v>
      </c>
      <c r="V1035" s="7">
        <v>46099</v>
      </c>
      <c r="X1035" s="8">
        <v>0</v>
      </c>
      <c r="Z1035" s="8">
        <v>0</v>
      </c>
      <c r="AA1035" s="7">
        <v>46112</v>
      </c>
      <c r="AC1035" s="8">
        <v>0</v>
      </c>
      <c r="AE1035" s="7">
        <v>46122</v>
      </c>
      <c r="AF1035" s="8">
        <v>0</v>
      </c>
      <c r="AH1035" s="7">
        <v>46122</v>
      </c>
      <c r="AI1035" s="7">
        <v>46120</v>
      </c>
      <c r="AN1035" s="8">
        <v>0</v>
      </c>
      <c r="AO1035" s="8">
        <v>200</v>
      </c>
    </row>
    <row r="1036" spans="1:41" x14ac:dyDescent="0.25">
      <c r="A1036" s="6" t="str">
        <f>"521-2026000017"</f>
        <v>521-2026000017</v>
      </c>
      <c r="B1036" s="6" t="str">
        <f>"MR MARVI"</f>
        <v>MR MARVI</v>
      </c>
      <c r="C1036" s="7">
        <v>46031</v>
      </c>
      <c r="D1036" s="7">
        <v>46122</v>
      </c>
      <c r="E1036" s="8">
        <v>3</v>
      </c>
      <c r="F1036" s="6" t="str">
        <f>" "</f>
        <v xml:space="preserve"> </v>
      </c>
      <c r="G1036" s="6" t="str">
        <f>"F601245860000000"</f>
        <v>F601245860000000</v>
      </c>
      <c r="H1036" s="6" t="str">
        <f>"10-2458 Bio GOTS - 6"</f>
        <v>10-2458 Bio GOTS - 6</v>
      </c>
      <c r="I1036" s="6" t="str">
        <f>"200855"</f>
        <v>200855</v>
      </c>
      <c r="J1036" s="6" t="str">
        <f>"AZUL 855"</f>
        <v>AZUL 855</v>
      </c>
      <c r="K1036" s="6" t="str">
        <f>"3534"</f>
        <v>3534</v>
      </c>
      <c r="L1036" s="6" t="str">
        <f>"Praia"</f>
        <v>Praia</v>
      </c>
      <c r="M1036" s="6" t="str">
        <f>"100x200"</f>
        <v>100x200</v>
      </c>
      <c r="N1036" s="6" t="str">
        <f t="shared" si="300"/>
        <v xml:space="preserve"> </v>
      </c>
      <c r="O1036" s="8">
        <v>640</v>
      </c>
      <c r="P1036" s="7">
        <v>46091</v>
      </c>
      <c r="R1036" s="8">
        <v>0</v>
      </c>
      <c r="S1036" s="7">
        <v>46101</v>
      </c>
      <c r="U1036" s="8">
        <v>0</v>
      </c>
      <c r="V1036" s="7">
        <v>46099</v>
      </c>
      <c r="X1036" s="8">
        <v>0</v>
      </c>
      <c r="Z1036" s="8">
        <v>0</v>
      </c>
      <c r="AA1036" s="7">
        <v>46112</v>
      </c>
      <c r="AC1036" s="8">
        <v>0</v>
      </c>
      <c r="AE1036" s="7">
        <v>46122</v>
      </c>
      <c r="AF1036" s="8">
        <v>0</v>
      </c>
      <c r="AH1036" s="7">
        <v>46122</v>
      </c>
      <c r="AI1036" s="7">
        <v>46120</v>
      </c>
      <c r="AN1036" s="8">
        <v>0</v>
      </c>
      <c r="AO1036" s="8">
        <v>640</v>
      </c>
    </row>
    <row r="1037" spans="1:41" x14ac:dyDescent="0.25">
      <c r="A1037" s="6" t="str">
        <f>"521-2026000017"</f>
        <v>521-2026000017</v>
      </c>
      <c r="B1037" s="6" t="str">
        <f>"MR MARVI"</f>
        <v>MR MARVI</v>
      </c>
      <c r="C1037" s="7">
        <v>46031</v>
      </c>
      <c r="D1037" s="7">
        <v>46122</v>
      </c>
      <c r="E1037" s="8">
        <v>4</v>
      </c>
      <c r="F1037" s="6" t="str">
        <f>" "</f>
        <v xml:space="preserve"> </v>
      </c>
      <c r="G1037" s="6" t="str">
        <f>"F601245860000000"</f>
        <v>F601245860000000</v>
      </c>
      <c r="H1037" s="6" t="str">
        <f>"10-2458 Bio GOTS - 6"</f>
        <v>10-2458 Bio GOTS - 6</v>
      </c>
      <c r="I1037" s="6" t="str">
        <f>"204061"</f>
        <v>204061</v>
      </c>
      <c r="J1037" s="6" t="str">
        <f>"BEGE 4061"</f>
        <v>BEGE 4061</v>
      </c>
      <c r="K1037" s="6" t="str">
        <f>"3534"</f>
        <v>3534</v>
      </c>
      <c r="L1037" s="6" t="str">
        <f>"Praia"</f>
        <v>Praia</v>
      </c>
      <c r="M1037" s="6" t="str">
        <f>"100x200"</f>
        <v>100x200</v>
      </c>
      <c r="N1037" s="6" t="str">
        <f t="shared" si="300"/>
        <v xml:space="preserve"> </v>
      </c>
      <c r="O1037" s="8">
        <v>320</v>
      </c>
      <c r="P1037" s="7">
        <v>46091</v>
      </c>
      <c r="R1037" s="8">
        <v>0</v>
      </c>
      <c r="S1037" s="7">
        <v>46101</v>
      </c>
      <c r="U1037" s="8">
        <v>0</v>
      </c>
      <c r="V1037" s="7">
        <v>46099</v>
      </c>
      <c r="X1037" s="8">
        <v>0</v>
      </c>
      <c r="Z1037" s="8">
        <v>0</v>
      </c>
      <c r="AA1037" s="7">
        <v>46112</v>
      </c>
      <c r="AC1037" s="8">
        <v>0</v>
      </c>
      <c r="AE1037" s="7">
        <v>46122</v>
      </c>
      <c r="AF1037" s="8">
        <v>0</v>
      </c>
      <c r="AH1037" s="7">
        <v>46122</v>
      </c>
      <c r="AI1037" s="7">
        <v>46120</v>
      </c>
      <c r="AN1037" s="8">
        <v>0</v>
      </c>
      <c r="AO1037" s="8">
        <v>320</v>
      </c>
    </row>
    <row r="1038" spans="1:41" x14ac:dyDescent="0.25">
      <c r="A1038" s="6" t="str">
        <f>"521-2026000017"</f>
        <v>521-2026000017</v>
      </c>
      <c r="B1038" s="6" t="str">
        <f>"MR MARVI"</f>
        <v>MR MARVI</v>
      </c>
      <c r="C1038" s="7">
        <v>46031</v>
      </c>
      <c r="D1038" s="7">
        <v>46122</v>
      </c>
      <c r="E1038" s="8">
        <v>6</v>
      </c>
      <c r="F1038" s="6" t="str">
        <f>" "</f>
        <v xml:space="preserve"> </v>
      </c>
      <c r="G1038" s="6" t="str">
        <f>"F601245860000000"</f>
        <v>F601245860000000</v>
      </c>
      <c r="H1038" s="6" t="str">
        <f>"10-2458 Bio GOTS - 6"</f>
        <v>10-2458 Bio GOTS - 6</v>
      </c>
      <c r="I1038" s="6" t="str">
        <f>"202726"</f>
        <v>202726</v>
      </c>
      <c r="J1038" s="6" t="str">
        <f>"AZUL 2726"</f>
        <v>AZUL 2726</v>
      </c>
      <c r="K1038" s="6" t="str">
        <f>"3534"</f>
        <v>3534</v>
      </c>
      <c r="L1038" s="6" t="str">
        <f>"Praia"</f>
        <v>Praia</v>
      </c>
      <c r="M1038" s="6" t="str">
        <f>"100x200"</f>
        <v>100x200</v>
      </c>
      <c r="N1038" s="6" t="str">
        <f t="shared" si="300"/>
        <v xml:space="preserve"> </v>
      </c>
      <c r="O1038" s="8">
        <v>320</v>
      </c>
      <c r="P1038" s="7">
        <v>46091</v>
      </c>
      <c r="R1038" s="8">
        <v>0</v>
      </c>
      <c r="S1038" s="7">
        <v>46101</v>
      </c>
      <c r="U1038" s="8">
        <v>0</v>
      </c>
      <c r="V1038" s="7">
        <v>46099</v>
      </c>
      <c r="X1038" s="8">
        <v>0</v>
      </c>
      <c r="Z1038" s="8">
        <v>0</v>
      </c>
      <c r="AA1038" s="7">
        <v>46112</v>
      </c>
      <c r="AC1038" s="8">
        <v>0</v>
      </c>
      <c r="AE1038" s="7">
        <v>46122</v>
      </c>
      <c r="AF1038" s="8">
        <v>0</v>
      </c>
      <c r="AH1038" s="7">
        <v>46122</v>
      </c>
      <c r="AI1038" s="7">
        <v>46120</v>
      </c>
      <c r="AN1038" s="8">
        <v>0</v>
      </c>
      <c r="AO1038" s="8">
        <v>320</v>
      </c>
    </row>
    <row r="1039" spans="1:41" x14ac:dyDescent="0.25">
      <c r="A1039" s="6" t="str">
        <f>"521-2026000018"</f>
        <v>521-2026000018</v>
      </c>
      <c r="B1039" s="6" t="str">
        <f>"Eighteen"</f>
        <v>Eighteen</v>
      </c>
      <c r="C1039" s="7">
        <v>46031</v>
      </c>
      <c r="D1039" s="7">
        <v>46101</v>
      </c>
      <c r="E1039" s="8">
        <v>1</v>
      </c>
      <c r="F1039" s="6" t="str">
        <f>"18gym"</f>
        <v>18gym</v>
      </c>
      <c r="G1039" s="6" t="str">
        <f>"F112349440000000"</f>
        <v>F112349440000000</v>
      </c>
      <c r="H1039" s="6" t="str">
        <f>"FAJ 3494 PO - 400 g/"</f>
        <v>FAJ 3494 PO - 400 g/</v>
      </c>
      <c r="I1039" s="6" t="str">
        <f>"5996"</f>
        <v>5996</v>
      </c>
      <c r="J1039" s="6" t="str">
        <f>"CINZA 5996"</f>
        <v>CINZA 5996</v>
      </c>
      <c r="K1039" s="6" t="str">
        <f>"1024"</f>
        <v>1024</v>
      </c>
      <c r="L1039" s="6" t="str">
        <f>"Toalhas"</f>
        <v>Toalhas</v>
      </c>
      <c r="M1039" s="6" t="str">
        <f>"50x100"</f>
        <v>50x100</v>
      </c>
      <c r="N1039" s="6" t="str">
        <f t="shared" si="300"/>
        <v xml:space="preserve"> </v>
      </c>
      <c r="O1039" s="8">
        <v>5000</v>
      </c>
      <c r="P1039" s="7">
        <v>46073</v>
      </c>
      <c r="R1039" s="8">
        <v>0</v>
      </c>
      <c r="S1039" s="7">
        <v>46078</v>
      </c>
      <c r="U1039" s="8">
        <v>0</v>
      </c>
      <c r="V1039" s="7">
        <v>46087</v>
      </c>
      <c r="X1039" s="8">
        <v>0</v>
      </c>
      <c r="Z1039" s="8">
        <v>0</v>
      </c>
      <c r="AA1039" s="7">
        <v>46099</v>
      </c>
      <c r="AC1039" s="8">
        <v>0</v>
      </c>
      <c r="AE1039" s="7">
        <v>46101</v>
      </c>
      <c r="AF1039" s="8">
        <v>0</v>
      </c>
      <c r="AH1039" s="7">
        <v>46101</v>
      </c>
      <c r="AN1039" s="8">
        <v>0</v>
      </c>
      <c r="AO1039" s="8">
        <v>5000</v>
      </c>
    </row>
    <row r="1040" spans="1:41" x14ac:dyDescent="0.25">
      <c r="A1040" s="6" t="str">
        <f t="shared" ref="A1040:A1046" si="301">"521-2026000019"</f>
        <v>521-2026000019</v>
      </c>
      <c r="B1040" s="6" t="str">
        <f t="shared" ref="B1040:B1046" si="302">"GARTEX A"</f>
        <v>GARTEX A</v>
      </c>
      <c r="C1040" s="7">
        <v>46034</v>
      </c>
      <c r="D1040" s="7">
        <v>46034</v>
      </c>
      <c r="E1040" s="8">
        <v>1</v>
      </c>
      <c r="F1040" s="6" t="str">
        <f t="shared" ref="F1040:F1046" si="303">"PO250504"</f>
        <v>PO250504</v>
      </c>
      <c r="G1040" s="6" t="str">
        <f>"C090008212000105"</f>
        <v>C090008212000105</v>
      </c>
      <c r="H1040" s="6" t="str">
        <f>"Conj. LT 82 - 23265"</f>
        <v>Conj. LT 82 - 23265</v>
      </c>
      <c r="I1040" s="6" t="str">
        <f>"500009"</f>
        <v>500009</v>
      </c>
      <c r="J1040" s="6" t="str">
        <f>"BEGE"</f>
        <v>BEGE</v>
      </c>
      <c r="K1040" s="6" t="str">
        <f t="shared" ref="K1040:K1046" si="304">"4014"</f>
        <v>4014</v>
      </c>
      <c r="L1040" s="6" t="str">
        <f t="shared" ref="L1040:L1046" si="305">"Conjunto/Jogos"</f>
        <v>Conjunto/Jogos</v>
      </c>
      <c r="M1040" s="6" t="str">
        <f t="shared" ref="M1040:M1046" si="306">"(2 Pcs)"</f>
        <v>(2 Pcs)</v>
      </c>
      <c r="N1040" s="6" t="str">
        <f t="shared" si="300"/>
        <v xml:space="preserve"> </v>
      </c>
      <c r="O1040" s="8">
        <v>20</v>
      </c>
      <c r="P1040" s="7">
        <v>46035</v>
      </c>
      <c r="R1040" s="8">
        <v>0</v>
      </c>
      <c r="U1040" s="8">
        <v>0</v>
      </c>
      <c r="X1040" s="8">
        <v>0</v>
      </c>
      <c r="Z1040" s="8">
        <v>0</v>
      </c>
      <c r="AC1040" s="8">
        <v>0</v>
      </c>
      <c r="AF1040" s="8">
        <v>0</v>
      </c>
      <c r="AH1040" s="7">
        <v>46034</v>
      </c>
      <c r="AN1040" s="8">
        <v>0</v>
      </c>
      <c r="AO1040" s="8">
        <v>20</v>
      </c>
    </row>
    <row r="1041" spans="1:41" x14ac:dyDescent="0.25">
      <c r="A1041" s="6" t="str">
        <f t="shared" si="301"/>
        <v>521-2026000019</v>
      </c>
      <c r="B1041" s="6" t="str">
        <f t="shared" si="302"/>
        <v>GARTEX A</v>
      </c>
      <c r="C1041" s="7">
        <v>46034</v>
      </c>
      <c r="D1041" s="7">
        <v>46034</v>
      </c>
      <c r="E1041" s="8">
        <v>2</v>
      </c>
      <c r="F1041" s="6" t="str">
        <f t="shared" si="303"/>
        <v>PO250504</v>
      </c>
      <c r="G1041" s="6" t="str">
        <f>"C090008212000153"</f>
        <v>C090008212000153</v>
      </c>
      <c r="H1041" s="6" t="str">
        <f>"Conj. LT 82 - 23265"</f>
        <v>Conj. LT 82 - 23265</v>
      </c>
      <c r="I1041" s="6" t="str">
        <f>"901003"</f>
        <v>901003</v>
      </c>
      <c r="J1041" s="6" t="str">
        <f>"Cor 3"</f>
        <v>Cor 3</v>
      </c>
      <c r="K1041" s="6" t="str">
        <f t="shared" si="304"/>
        <v>4014</v>
      </c>
      <c r="L1041" s="6" t="str">
        <f t="shared" si="305"/>
        <v>Conjunto/Jogos</v>
      </c>
      <c r="M1041" s="6" t="str">
        <f t="shared" si="306"/>
        <v>(2 Pcs)</v>
      </c>
      <c r="N1041" s="6" t="str">
        <f t="shared" si="300"/>
        <v xml:space="preserve"> </v>
      </c>
      <c r="O1041" s="8">
        <v>60</v>
      </c>
      <c r="P1041" s="7">
        <v>46035</v>
      </c>
      <c r="R1041" s="8">
        <v>0</v>
      </c>
      <c r="U1041" s="8">
        <v>0</v>
      </c>
      <c r="X1041" s="8">
        <v>0</v>
      </c>
      <c r="Z1041" s="8">
        <v>0</v>
      </c>
      <c r="AC1041" s="8">
        <v>0</v>
      </c>
      <c r="AF1041" s="8">
        <v>0</v>
      </c>
      <c r="AH1041" s="7">
        <v>46034</v>
      </c>
      <c r="AN1041" s="8">
        <v>0</v>
      </c>
      <c r="AO1041" s="8">
        <v>60</v>
      </c>
    </row>
    <row r="1042" spans="1:41" x14ac:dyDescent="0.25">
      <c r="A1042" s="6" t="str">
        <f t="shared" si="301"/>
        <v>521-2026000019</v>
      </c>
      <c r="B1042" s="6" t="str">
        <f t="shared" si="302"/>
        <v>GARTEX A</v>
      </c>
      <c r="C1042" s="7">
        <v>46034</v>
      </c>
      <c r="D1042" s="7">
        <v>46034</v>
      </c>
      <c r="E1042" s="8">
        <v>3</v>
      </c>
      <c r="F1042" s="6" t="str">
        <f t="shared" si="303"/>
        <v>PO250504</v>
      </c>
      <c r="G1042" s="6" t="str">
        <f>"C090008212000154"</f>
        <v>C090008212000154</v>
      </c>
      <c r="H1042" s="6" t="str">
        <f>"Conj. LT 82 - 23265"</f>
        <v>Conj. LT 82 - 23265</v>
      </c>
      <c r="I1042" s="6" t="str">
        <f>"901003"</f>
        <v>901003</v>
      </c>
      <c r="J1042" s="6" t="str">
        <f>"Cor 3"</f>
        <v>Cor 3</v>
      </c>
      <c r="K1042" s="6" t="str">
        <f t="shared" si="304"/>
        <v>4014</v>
      </c>
      <c r="L1042" s="6" t="str">
        <f t="shared" si="305"/>
        <v>Conjunto/Jogos</v>
      </c>
      <c r="M1042" s="6" t="str">
        <f t="shared" si="306"/>
        <v>(2 Pcs)</v>
      </c>
      <c r="N1042" s="6" t="str">
        <f t="shared" si="300"/>
        <v xml:space="preserve"> </v>
      </c>
      <c r="O1042" s="8">
        <v>40</v>
      </c>
      <c r="P1042" s="7">
        <v>46035</v>
      </c>
      <c r="R1042" s="8">
        <v>0</v>
      </c>
      <c r="U1042" s="8">
        <v>0</v>
      </c>
      <c r="X1042" s="8">
        <v>0</v>
      </c>
      <c r="Z1042" s="8">
        <v>0</v>
      </c>
      <c r="AC1042" s="8">
        <v>0</v>
      </c>
      <c r="AF1042" s="8">
        <v>0</v>
      </c>
      <c r="AH1042" s="7">
        <v>46034</v>
      </c>
      <c r="AN1042" s="8">
        <v>0</v>
      </c>
      <c r="AO1042" s="8">
        <v>40</v>
      </c>
    </row>
    <row r="1043" spans="1:41" x14ac:dyDescent="0.25">
      <c r="A1043" s="6" t="str">
        <f t="shared" si="301"/>
        <v>521-2026000019</v>
      </c>
      <c r="B1043" s="6" t="str">
        <f t="shared" si="302"/>
        <v>GARTEX A</v>
      </c>
      <c r="C1043" s="7">
        <v>46034</v>
      </c>
      <c r="D1043" s="7">
        <v>46034</v>
      </c>
      <c r="E1043" s="8">
        <v>4</v>
      </c>
      <c r="F1043" s="6" t="str">
        <f t="shared" si="303"/>
        <v>PO250504</v>
      </c>
      <c r="G1043" s="6" t="str">
        <f>"C090008212000151"</f>
        <v>C090008212000151</v>
      </c>
      <c r="H1043" s="6" t="str">
        <f>"Conj. LT 82 - 19328"</f>
        <v>Conj. LT 82 - 19328</v>
      </c>
      <c r="I1043" s="6" t="str">
        <f>"901003"</f>
        <v>901003</v>
      </c>
      <c r="J1043" s="6" t="str">
        <f>"Cor 3"</f>
        <v>Cor 3</v>
      </c>
      <c r="K1043" s="6" t="str">
        <f t="shared" si="304"/>
        <v>4014</v>
      </c>
      <c r="L1043" s="6" t="str">
        <f t="shared" si="305"/>
        <v>Conjunto/Jogos</v>
      </c>
      <c r="M1043" s="6" t="str">
        <f t="shared" si="306"/>
        <v>(2 Pcs)</v>
      </c>
      <c r="N1043" s="6" t="str">
        <f t="shared" si="300"/>
        <v xml:space="preserve"> </v>
      </c>
      <c r="O1043" s="8">
        <v>60</v>
      </c>
      <c r="P1043" s="7">
        <v>46035</v>
      </c>
      <c r="R1043" s="8">
        <v>0</v>
      </c>
      <c r="U1043" s="8">
        <v>0</v>
      </c>
      <c r="X1043" s="8">
        <v>0</v>
      </c>
      <c r="Z1043" s="8">
        <v>0</v>
      </c>
      <c r="AC1043" s="8">
        <v>0</v>
      </c>
      <c r="AF1043" s="8">
        <v>0</v>
      </c>
      <c r="AH1043" s="7">
        <v>46034</v>
      </c>
      <c r="AN1043" s="8">
        <v>0</v>
      </c>
      <c r="AO1043" s="8">
        <v>60</v>
      </c>
    </row>
    <row r="1044" spans="1:41" x14ac:dyDescent="0.25">
      <c r="A1044" s="6" t="str">
        <f t="shared" si="301"/>
        <v>521-2026000019</v>
      </c>
      <c r="B1044" s="6" t="str">
        <f t="shared" si="302"/>
        <v>GARTEX A</v>
      </c>
      <c r="C1044" s="7">
        <v>46034</v>
      </c>
      <c r="D1044" s="7">
        <v>46034</v>
      </c>
      <c r="E1044" s="8">
        <v>5</v>
      </c>
      <c r="F1044" s="6" t="str">
        <f t="shared" si="303"/>
        <v>PO250504</v>
      </c>
      <c r="G1044" s="6" t="str">
        <f>"C090008212000152"</f>
        <v>C090008212000152</v>
      </c>
      <c r="H1044" s="6" t="str">
        <f>"Conj. LT 82 - 19328"</f>
        <v>Conj. LT 82 - 19328</v>
      </c>
      <c r="I1044" s="6" t="str">
        <f>"901003"</f>
        <v>901003</v>
      </c>
      <c r="J1044" s="6" t="str">
        <f>"Cor 3"</f>
        <v>Cor 3</v>
      </c>
      <c r="K1044" s="6" t="str">
        <f t="shared" si="304"/>
        <v>4014</v>
      </c>
      <c r="L1044" s="6" t="str">
        <f t="shared" si="305"/>
        <v>Conjunto/Jogos</v>
      </c>
      <c r="M1044" s="6" t="str">
        <f t="shared" si="306"/>
        <v>(2 Pcs)</v>
      </c>
      <c r="N1044" s="6" t="str">
        <f t="shared" si="300"/>
        <v xml:space="preserve"> </v>
      </c>
      <c r="O1044" s="8">
        <v>40</v>
      </c>
      <c r="P1044" s="7">
        <v>46035</v>
      </c>
      <c r="R1044" s="8">
        <v>0</v>
      </c>
      <c r="U1044" s="8">
        <v>0</v>
      </c>
      <c r="X1044" s="8">
        <v>0</v>
      </c>
      <c r="Z1044" s="8">
        <v>0</v>
      </c>
      <c r="AC1044" s="8">
        <v>0</v>
      </c>
      <c r="AF1044" s="8">
        <v>0</v>
      </c>
      <c r="AH1044" s="7">
        <v>46034</v>
      </c>
      <c r="AN1044" s="8">
        <v>0</v>
      </c>
      <c r="AO1044" s="8">
        <v>40</v>
      </c>
    </row>
    <row r="1045" spans="1:41" x14ac:dyDescent="0.25">
      <c r="A1045" s="6" t="str">
        <f t="shared" si="301"/>
        <v>521-2026000019</v>
      </c>
      <c r="B1045" s="6" t="str">
        <f t="shared" si="302"/>
        <v>GARTEX A</v>
      </c>
      <c r="C1045" s="7">
        <v>46034</v>
      </c>
      <c r="D1045" s="7">
        <v>46034</v>
      </c>
      <c r="E1045" s="8">
        <v>6</v>
      </c>
      <c r="F1045" s="6" t="str">
        <f t="shared" si="303"/>
        <v>PO250504</v>
      </c>
      <c r="G1045" s="6" t="str">
        <f>"C090008812000564"</f>
        <v>C090008812000564</v>
      </c>
      <c r="H1045" s="6" t="str">
        <f>"Conj. LT 88 - 17339"</f>
        <v>Conj. LT 88 - 17339</v>
      </c>
      <c r="I1045" s="6" t="str">
        <f>"901001"</f>
        <v>901001</v>
      </c>
      <c r="J1045" s="6" t="str">
        <f>"Cor 1"</f>
        <v>Cor 1</v>
      </c>
      <c r="K1045" s="6" t="str">
        <f t="shared" si="304"/>
        <v>4014</v>
      </c>
      <c r="L1045" s="6" t="str">
        <f t="shared" si="305"/>
        <v>Conjunto/Jogos</v>
      </c>
      <c r="M1045" s="6" t="str">
        <f t="shared" si="306"/>
        <v>(2 Pcs)</v>
      </c>
      <c r="N1045" s="6" t="str">
        <f t="shared" si="300"/>
        <v xml:space="preserve"> </v>
      </c>
      <c r="O1045" s="8">
        <v>60</v>
      </c>
      <c r="P1045" s="7">
        <v>46035</v>
      </c>
      <c r="R1045" s="8">
        <v>0</v>
      </c>
      <c r="U1045" s="8">
        <v>0</v>
      </c>
      <c r="X1045" s="8">
        <v>0</v>
      </c>
      <c r="Z1045" s="8">
        <v>0</v>
      </c>
      <c r="AC1045" s="8">
        <v>0</v>
      </c>
      <c r="AF1045" s="8">
        <v>0</v>
      </c>
      <c r="AH1045" s="7">
        <v>46034</v>
      </c>
      <c r="AN1045" s="8">
        <v>0</v>
      </c>
      <c r="AO1045" s="8">
        <v>60</v>
      </c>
    </row>
    <row r="1046" spans="1:41" x14ac:dyDescent="0.25">
      <c r="A1046" s="6" t="str">
        <f t="shared" si="301"/>
        <v>521-2026000019</v>
      </c>
      <c r="B1046" s="6" t="str">
        <f t="shared" si="302"/>
        <v>GARTEX A</v>
      </c>
      <c r="C1046" s="7">
        <v>46034</v>
      </c>
      <c r="D1046" s="7">
        <v>46034</v>
      </c>
      <c r="E1046" s="8">
        <v>7</v>
      </c>
      <c r="F1046" s="6" t="str">
        <f t="shared" si="303"/>
        <v>PO250504</v>
      </c>
      <c r="G1046" s="6" t="str">
        <f>"C090008812000565"</f>
        <v>C090008812000565</v>
      </c>
      <c r="H1046" s="6" t="str">
        <f>"Conj. LT 88 - 17339"</f>
        <v>Conj. LT 88 - 17339</v>
      </c>
      <c r="I1046" s="6" t="str">
        <f>"901001"</f>
        <v>901001</v>
      </c>
      <c r="J1046" s="6" t="str">
        <f>"Cor 1"</f>
        <v>Cor 1</v>
      </c>
      <c r="K1046" s="6" t="str">
        <f t="shared" si="304"/>
        <v>4014</v>
      </c>
      <c r="L1046" s="6" t="str">
        <f t="shared" si="305"/>
        <v>Conjunto/Jogos</v>
      </c>
      <c r="M1046" s="6" t="str">
        <f t="shared" si="306"/>
        <v>(2 Pcs)</v>
      </c>
      <c r="N1046" s="6" t="str">
        <f t="shared" si="300"/>
        <v xml:space="preserve"> </v>
      </c>
      <c r="O1046" s="8">
        <v>40</v>
      </c>
      <c r="P1046" s="7">
        <v>46035</v>
      </c>
      <c r="R1046" s="8">
        <v>0</v>
      </c>
      <c r="U1046" s="8">
        <v>0</v>
      </c>
      <c r="X1046" s="8">
        <v>0</v>
      </c>
      <c r="Z1046" s="8">
        <v>0</v>
      </c>
      <c r="AC1046" s="8">
        <v>0</v>
      </c>
      <c r="AF1046" s="8">
        <v>0</v>
      </c>
      <c r="AH1046" s="7">
        <v>46034</v>
      </c>
      <c r="AN1046" s="8">
        <v>0</v>
      </c>
      <c r="AO1046" s="8">
        <v>40</v>
      </c>
    </row>
    <row r="1047" spans="1:41" x14ac:dyDescent="0.25">
      <c r="A1047" s="6" t="str">
        <f>"521-2026000020"</f>
        <v>521-2026000020</v>
      </c>
      <c r="B1047" s="6" t="str">
        <f>"LOSCH HA"</f>
        <v>LOSCH HA</v>
      </c>
      <c r="C1047" s="7">
        <v>46034</v>
      </c>
      <c r="D1047" s="7">
        <v>46069</v>
      </c>
      <c r="E1047" s="8">
        <v>1</v>
      </c>
      <c r="F1047" s="6" t="str">
        <f>"ENC.LOSCH - LANDHERZ"</f>
        <v>ENC.LOSCH - LANDHERZ</v>
      </c>
      <c r="G1047" s="6" t="str">
        <f>"C001090426006545"</f>
        <v>C001090426006545</v>
      </c>
      <c r="H1047" s="6" t="str">
        <f>"CZJ 0904 / 6545 - 26"</f>
        <v>CZJ 0904 / 6545 - 26</v>
      </c>
      <c r="I1047" s="6" t="str">
        <f>"202206"</f>
        <v>202206</v>
      </c>
      <c r="J1047" s="6" t="str">
        <f>"CINZA 2206"</f>
        <v>CINZA 2206</v>
      </c>
      <c r="K1047" s="6" t="str">
        <f>"0830"</f>
        <v>0830</v>
      </c>
      <c r="L1047" s="6" t="str">
        <f>"Cozinha"</f>
        <v>Cozinha</v>
      </c>
      <c r="M1047" s="6" t="str">
        <f>"50x70"</f>
        <v>50x70</v>
      </c>
      <c r="N1047" s="6" t="str">
        <f t="shared" si="300"/>
        <v xml:space="preserve"> </v>
      </c>
      <c r="O1047" s="8">
        <v>60</v>
      </c>
      <c r="P1047" s="7">
        <v>46034</v>
      </c>
      <c r="R1047" s="8">
        <v>0</v>
      </c>
      <c r="U1047" s="8">
        <v>0</v>
      </c>
      <c r="X1047" s="8">
        <v>0</v>
      </c>
      <c r="Z1047" s="8">
        <v>0</v>
      </c>
      <c r="AC1047" s="8">
        <v>0</v>
      </c>
      <c r="AE1047" s="7">
        <v>46041</v>
      </c>
      <c r="AF1047" s="8">
        <v>0</v>
      </c>
      <c r="AH1047" s="7">
        <v>46069</v>
      </c>
      <c r="AN1047" s="8">
        <v>0</v>
      </c>
      <c r="AO1047" s="8">
        <v>60</v>
      </c>
    </row>
    <row r="1048" spans="1:41" x14ac:dyDescent="0.25">
      <c r="A1048" s="6" t="str">
        <f>"521-2026000021"</f>
        <v>521-2026000021</v>
      </c>
      <c r="B1048" s="6" t="str">
        <f>"ZARA HOM"</f>
        <v>ZARA HOM</v>
      </c>
      <c r="C1048" s="7">
        <v>46034</v>
      </c>
      <c r="D1048" s="7">
        <v>46101</v>
      </c>
      <c r="E1048" s="8">
        <v>1</v>
      </c>
      <c r="F1048" s="6" t="str">
        <f>"22616-04"</f>
        <v>22616-04</v>
      </c>
      <c r="G1048" s="6" t="str">
        <f>"F310404738000002"</f>
        <v>F310404738000002</v>
      </c>
      <c r="H1048" s="6" t="str">
        <f>"PLAR 4047 Bio GOTS -"</f>
        <v>PLAR 4047 Bio GOTS -</v>
      </c>
      <c r="I1048" s="6" t="str">
        <f>"202276"</f>
        <v>202276</v>
      </c>
      <c r="J1048" s="6" t="str">
        <f>"BEGE 2276"</f>
        <v>BEGE 2276</v>
      </c>
      <c r="K1048" s="6" t="str">
        <f>"0830"</f>
        <v>0830</v>
      </c>
      <c r="L1048" s="6" t="str">
        <f>"Cozinha"</f>
        <v>Cozinha</v>
      </c>
      <c r="M1048" s="6" t="str">
        <f>"50x70"</f>
        <v>50x70</v>
      </c>
      <c r="N1048" s="6" t="str">
        <f t="shared" si="300"/>
        <v xml:space="preserve"> </v>
      </c>
      <c r="O1048" s="8">
        <v>3500</v>
      </c>
      <c r="P1048" s="7">
        <v>46079</v>
      </c>
      <c r="R1048" s="8">
        <v>0</v>
      </c>
      <c r="S1048" s="7">
        <v>46084</v>
      </c>
      <c r="U1048" s="8">
        <v>0</v>
      </c>
      <c r="V1048" s="7">
        <v>46087</v>
      </c>
      <c r="X1048" s="8">
        <v>0</v>
      </c>
      <c r="Z1048" s="8">
        <v>0</v>
      </c>
      <c r="AA1048" s="7">
        <v>46099</v>
      </c>
      <c r="AC1048" s="8">
        <v>0</v>
      </c>
      <c r="AE1048" s="7">
        <v>46101</v>
      </c>
      <c r="AF1048" s="8">
        <v>0</v>
      </c>
      <c r="AH1048" s="7">
        <v>46101</v>
      </c>
      <c r="AN1048" s="8">
        <v>0</v>
      </c>
      <c r="AO1048" s="8">
        <v>3500</v>
      </c>
    </row>
    <row r="1049" spans="1:41" x14ac:dyDescent="0.25">
      <c r="A1049" s="6" t="str">
        <f>"521-2026000021"</f>
        <v>521-2026000021</v>
      </c>
      <c r="B1049" s="6" t="str">
        <f>"ZARA HOM"</f>
        <v>ZARA HOM</v>
      </c>
      <c r="C1049" s="7">
        <v>46034</v>
      </c>
      <c r="D1049" s="7">
        <v>46101</v>
      </c>
      <c r="E1049" s="8">
        <v>2</v>
      </c>
      <c r="F1049" s="6" t="str">
        <f>"22616-04"</f>
        <v>22616-04</v>
      </c>
      <c r="G1049" s="6" t="str">
        <f>"F310404738000002"</f>
        <v>F310404738000002</v>
      </c>
      <c r="H1049" s="6" t="str">
        <f>"PLAR 4047 Bio GOTS -"</f>
        <v>PLAR 4047 Bio GOTS -</v>
      </c>
      <c r="I1049" s="6" t="str">
        <f>"203807"</f>
        <v>203807</v>
      </c>
      <c r="J1049" s="6" t="str">
        <f>"PRETO 3807"</f>
        <v>PRETO 3807</v>
      </c>
      <c r="K1049" s="6" t="str">
        <f>"0830"</f>
        <v>0830</v>
      </c>
      <c r="L1049" s="6" t="str">
        <f>"Cozinha"</f>
        <v>Cozinha</v>
      </c>
      <c r="M1049" s="6" t="str">
        <f>"50x70"</f>
        <v>50x70</v>
      </c>
      <c r="N1049" s="6" t="str">
        <f t="shared" si="300"/>
        <v xml:space="preserve"> </v>
      </c>
      <c r="O1049" s="8">
        <v>3000</v>
      </c>
      <c r="P1049" s="7">
        <v>46079</v>
      </c>
      <c r="R1049" s="8">
        <v>0</v>
      </c>
      <c r="S1049" s="7">
        <v>46084</v>
      </c>
      <c r="U1049" s="8">
        <v>0</v>
      </c>
      <c r="V1049" s="7">
        <v>46087</v>
      </c>
      <c r="X1049" s="8">
        <v>0</v>
      </c>
      <c r="Z1049" s="8">
        <v>0</v>
      </c>
      <c r="AA1049" s="7">
        <v>46099</v>
      </c>
      <c r="AC1049" s="8">
        <v>0</v>
      </c>
      <c r="AE1049" s="7">
        <v>46101</v>
      </c>
      <c r="AF1049" s="8">
        <v>0</v>
      </c>
      <c r="AH1049" s="7">
        <v>46101</v>
      </c>
      <c r="AN1049" s="8">
        <v>0</v>
      </c>
      <c r="AO1049" s="8">
        <v>3000</v>
      </c>
    </row>
    <row r="1050" spans="1:41" x14ac:dyDescent="0.25">
      <c r="A1050" s="6" t="str">
        <f t="shared" ref="A1050:A1083" si="307">"521-2026000022"</f>
        <v>521-2026000022</v>
      </c>
      <c r="B1050" s="6" t="str">
        <f t="shared" ref="B1050:B1083" si="308">"SABIN J."</f>
        <v>SABIN J.</v>
      </c>
      <c r="C1050" s="7">
        <v>46034</v>
      </c>
      <c r="D1050" s="7">
        <v>46059</v>
      </c>
      <c r="E1050" s="8">
        <v>1</v>
      </c>
      <c r="F1050" s="6" t="str">
        <f t="shared" ref="F1050:F1083" si="309">"01/26"</f>
        <v>01/26</v>
      </c>
      <c r="G1050" s="6" t="str">
        <f t="shared" ref="G1050:G1066" si="310">"F600177827000000"</f>
        <v>F600177827000000</v>
      </c>
      <c r="H1050" s="6" t="str">
        <f t="shared" ref="H1050:H1066" si="311">"1778 c/ Franja - 270"</f>
        <v>1778 c/ Franja - 270</v>
      </c>
      <c r="I1050" s="6" t="str">
        <f>"501884"</f>
        <v>501884</v>
      </c>
      <c r="J1050" s="6" t="str">
        <f>"AMARELO WT 039773"</f>
        <v>AMARELO WT 039773</v>
      </c>
      <c r="K1050" s="6" t="str">
        <f t="shared" ref="K1050:K1066" si="312">"3539"</f>
        <v>3539</v>
      </c>
      <c r="L1050" s="6" t="str">
        <f t="shared" ref="L1050:L1083" si="313">"Praia"</f>
        <v>Praia</v>
      </c>
      <c r="M1050" s="6" t="str">
        <f t="shared" ref="M1050:M1066" si="314">"100x180+8"</f>
        <v>100x180+8</v>
      </c>
      <c r="N1050" s="6" t="str">
        <f t="shared" ref="N1050:N1081" si="315">" "</f>
        <v xml:space="preserve"> </v>
      </c>
      <c r="O1050" s="8">
        <v>25</v>
      </c>
      <c r="P1050" s="7">
        <v>46035</v>
      </c>
      <c r="R1050" s="8">
        <v>0</v>
      </c>
      <c r="U1050" s="8">
        <v>0</v>
      </c>
      <c r="X1050" s="8">
        <v>0</v>
      </c>
      <c r="Z1050" s="8">
        <v>0</v>
      </c>
      <c r="AC1050" s="8">
        <v>0</v>
      </c>
      <c r="AF1050" s="8">
        <v>0</v>
      </c>
      <c r="AH1050" s="7">
        <v>46059</v>
      </c>
      <c r="AN1050" s="8">
        <v>0</v>
      </c>
      <c r="AO1050" s="8">
        <v>25</v>
      </c>
    </row>
    <row r="1051" spans="1:41" x14ac:dyDescent="0.25">
      <c r="A1051" s="6" t="str">
        <f t="shared" si="307"/>
        <v>521-2026000022</v>
      </c>
      <c r="B1051" s="6" t="str">
        <f t="shared" si="308"/>
        <v>SABIN J.</v>
      </c>
      <c r="C1051" s="7">
        <v>46034</v>
      </c>
      <c r="D1051" s="7">
        <v>46059</v>
      </c>
      <c r="E1051" s="8">
        <v>2</v>
      </c>
      <c r="F1051" s="6" t="str">
        <f t="shared" si="309"/>
        <v>01/26</v>
      </c>
      <c r="G1051" s="6" t="str">
        <f t="shared" si="310"/>
        <v>F600177827000000</v>
      </c>
      <c r="H1051" s="6" t="str">
        <f t="shared" si="311"/>
        <v>1778 c/ Franja - 270</v>
      </c>
      <c r="I1051" s="6" t="str">
        <f>"501631"</f>
        <v>501631</v>
      </c>
      <c r="J1051" s="6" t="str">
        <f>"LILÁS WT 031599"</f>
        <v>LILÁS WT 031599</v>
      </c>
      <c r="K1051" s="6" t="str">
        <f t="shared" si="312"/>
        <v>3539</v>
      </c>
      <c r="L1051" s="6" t="str">
        <f t="shared" si="313"/>
        <v>Praia</v>
      </c>
      <c r="M1051" s="6" t="str">
        <f t="shared" si="314"/>
        <v>100x180+8</v>
      </c>
      <c r="N1051" s="6" t="str">
        <f t="shared" si="315"/>
        <v xml:space="preserve"> </v>
      </c>
      <c r="O1051" s="8">
        <v>25</v>
      </c>
      <c r="P1051" s="7">
        <v>46035</v>
      </c>
      <c r="R1051" s="8">
        <v>0</v>
      </c>
      <c r="U1051" s="8">
        <v>0</v>
      </c>
      <c r="X1051" s="8">
        <v>0</v>
      </c>
      <c r="Z1051" s="8">
        <v>0</v>
      </c>
      <c r="AC1051" s="8">
        <v>0</v>
      </c>
      <c r="AF1051" s="8">
        <v>0</v>
      </c>
      <c r="AH1051" s="7">
        <v>46059</v>
      </c>
      <c r="AN1051" s="8">
        <v>0</v>
      </c>
      <c r="AO1051" s="8">
        <v>25</v>
      </c>
    </row>
    <row r="1052" spans="1:41" x14ac:dyDescent="0.25">
      <c r="A1052" s="6" t="str">
        <f t="shared" si="307"/>
        <v>521-2026000022</v>
      </c>
      <c r="B1052" s="6" t="str">
        <f t="shared" si="308"/>
        <v>SABIN J.</v>
      </c>
      <c r="C1052" s="7">
        <v>46034</v>
      </c>
      <c r="D1052" s="7">
        <v>46059</v>
      </c>
      <c r="E1052" s="8">
        <v>3</v>
      </c>
      <c r="F1052" s="6" t="str">
        <f t="shared" si="309"/>
        <v>01/26</v>
      </c>
      <c r="G1052" s="6" t="str">
        <f t="shared" si="310"/>
        <v>F600177827000000</v>
      </c>
      <c r="H1052" s="6" t="str">
        <f t="shared" si="311"/>
        <v>1778 c/ Franja - 270</v>
      </c>
      <c r="I1052" s="6" t="str">
        <f>"501987"</f>
        <v>501987</v>
      </c>
      <c r="J1052" s="6" t="str">
        <f>"BORDEAUX WT 045571"</f>
        <v>BORDEAUX WT 045571</v>
      </c>
      <c r="K1052" s="6" t="str">
        <f t="shared" si="312"/>
        <v>3539</v>
      </c>
      <c r="L1052" s="6" t="str">
        <f t="shared" si="313"/>
        <v>Praia</v>
      </c>
      <c r="M1052" s="6" t="str">
        <f t="shared" si="314"/>
        <v>100x180+8</v>
      </c>
      <c r="N1052" s="6" t="str">
        <f t="shared" si="315"/>
        <v xml:space="preserve"> </v>
      </c>
      <c r="O1052" s="8">
        <v>25</v>
      </c>
      <c r="P1052" s="7">
        <v>46035</v>
      </c>
      <c r="R1052" s="8">
        <v>0</v>
      </c>
      <c r="U1052" s="8">
        <v>0</v>
      </c>
      <c r="X1052" s="8">
        <v>0</v>
      </c>
      <c r="Z1052" s="8">
        <v>0</v>
      </c>
      <c r="AC1052" s="8">
        <v>0</v>
      </c>
      <c r="AF1052" s="8">
        <v>0</v>
      </c>
      <c r="AH1052" s="7">
        <v>46059</v>
      </c>
      <c r="AN1052" s="8">
        <v>0</v>
      </c>
      <c r="AO1052" s="8">
        <v>25</v>
      </c>
    </row>
    <row r="1053" spans="1:41" x14ac:dyDescent="0.25">
      <c r="A1053" s="6" t="str">
        <f t="shared" si="307"/>
        <v>521-2026000022</v>
      </c>
      <c r="B1053" s="6" t="str">
        <f t="shared" si="308"/>
        <v>SABIN J.</v>
      </c>
      <c r="C1053" s="7">
        <v>46034</v>
      </c>
      <c r="D1053" s="7">
        <v>46059</v>
      </c>
      <c r="E1053" s="8">
        <v>4</v>
      </c>
      <c r="F1053" s="6" t="str">
        <f t="shared" si="309"/>
        <v>01/26</v>
      </c>
      <c r="G1053" s="6" t="str">
        <f t="shared" si="310"/>
        <v>F600177827000000</v>
      </c>
      <c r="H1053" s="6" t="str">
        <f t="shared" si="311"/>
        <v>1778 c/ Franja - 270</v>
      </c>
      <c r="I1053" s="6" t="str">
        <f>"501985"</f>
        <v>501985</v>
      </c>
      <c r="J1053" s="6" t="str">
        <f>"CASTANHO WT 045569"</f>
        <v>CASTANHO WT 045569</v>
      </c>
      <c r="K1053" s="6" t="str">
        <f t="shared" si="312"/>
        <v>3539</v>
      </c>
      <c r="L1053" s="6" t="str">
        <f t="shared" si="313"/>
        <v>Praia</v>
      </c>
      <c r="M1053" s="6" t="str">
        <f t="shared" si="314"/>
        <v>100x180+8</v>
      </c>
      <c r="N1053" s="6" t="str">
        <f t="shared" si="315"/>
        <v xml:space="preserve"> </v>
      </c>
      <c r="O1053" s="8">
        <v>20</v>
      </c>
      <c r="P1053" s="7">
        <v>46035</v>
      </c>
      <c r="R1053" s="8">
        <v>0</v>
      </c>
      <c r="U1053" s="8">
        <v>0</v>
      </c>
      <c r="X1053" s="8">
        <v>0</v>
      </c>
      <c r="Z1053" s="8">
        <v>0</v>
      </c>
      <c r="AC1053" s="8">
        <v>0</v>
      </c>
      <c r="AF1053" s="8">
        <v>0</v>
      </c>
      <c r="AH1053" s="7">
        <v>46059</v>
      </c>
      <c r="AN1053" s="8">
        <v>0</v>
      </c>
      <c r="AO1053" s="8">
        <v>20</v>
      </c>
    </row>
    <row r="1054" spans="1:41" x14ac:dyDescent="0.25">
      <c r="A1054" s="6" t="str">
        <f t="shared" si="307"/>
        <v>521-2026000022</v>
      </c>
      <c r="B1054" s="6" t="str">
        <f t="shared" si="308"/>
        <v>SABIN J.</v>
      </c>
      <c r="C1054" s="7">
        <v>46034</v>
      </c>
      <c r="D1054" s="7">
        <v>46059</v>
      </c>
      <c r="E1054" s="8">
        <v>5</v>
      </c>
      <c r="F1054" s="6" t="str">
        <f t="shared" si="309"/>
        <v>01/26</v>
      </c>
      <c r="G1054" s="6" t="str">
        <f t="shared" si="310"/>
        <v>F600177827000000</v>
      </c>
      <c r="H1054" s="6" t="str">
        <f t="shared" si="311"/>
        <v>1778 c/ Franja - 270</v>
      </c>
      <c r="I1054" s="6" t="str">
        <f>"501725"</f>
        <v>501725</v>
      </c>
      <c r="J1054" s="6" t="str">
        <f>"ROSA WT 035720"</f>
        <v>ROSA WT 035720</v>
      </c>
      <c r="K1054" s="6" t="str">
        <f t="shared" si="312"/>
        <v>3539</v>
      </c>
      <c r="L1054" s="6" t="str">
        <f t="shared" si="313"/>
        <v>Praia</v>
      </c>
      <c r="M1054" s="6" t="str">
        <f t="shared" si="314"/>
        <v>100x180+8</v>
      </c>
      <c r="N1054" s="6" t="str">
        <f t="shared" si="315"/>
        <v xml:space="preserve"> </v>
      </c>
      <c r="O1054" s="8">
        <v>40</v>
      </c>
      <c r="P1054" s="7">
        <v>46035</v>
      </c>
      <c r="R1054" s="8">
        <v>0</v>
      </c>
      <c r="U1054" s="8">
        <v>0</v>
      </c>
      <c r="X1054" s="8">
        <v>0</v>
      </c>
      <c r="Z1054" s="8">
        <v>0</v>
      </c>
      <c r="AC1054" s="8">
        <v>0</v>
      </c>
      <c r="AF1054" s="8">
        <v>0</v>
      </c>
      <c r="AH1054" s="7">
        <v>46059</v>
      </c>
      <c r="AN1054" s="8">
        <v>0</v>
      </c>
      <c r="AO1054" s="8">
        <v>40</v>
      </c>
    </row>
    <row r="1055" spans="1:41" x14ac:dyDescent="0.25">
      <c r="A1055" s="6" t="str">
        <f t="shared" si="307"/>
        <v>521-2026000022</v>
      </c>
      <c r="B1055" s="6" t="str">
        <f t="shared" si="308"/>
        <v>SABIN J.</v>
      </c>
      <c r="C1055" s="7">
        <v>46034</v>
      </c>
      <c r="D1055" s="7">
        <v>46059</v>
      </c>
      <c r="E1055" s="8">
        <v>6</v>
      </c>
      <c r="F1055" s="6" t="str">
        <f t="shared" si="309"/>
        <v>01/26</v>
      </c>
      <c r="G1055" s="6" t="str">
        <f t="shared" si="310"/>
        <v>F600177827000000</v>
      </c>
      <c r="H1055" s="6" t="str">
        <f t="shared" si="311"/>
        <v>1778 c/ Franja - 270</v>
      </c>
      <c r="I1055" s="6" t="str">
        <f>"501888"</f>
        <v>501888</v>
      </c>
      <c r="J1055" s="6" t="str">
        <f>"BORDEAUX WT 039777"</f>
        <v>BORDEAUX WT 039777</v>
      </c>
      <c r="K1055" s="6" t="str">
        <f t="shared" si="312"/>
        <v>3539</v>
      </c>
      <c r="L1055" s="6" t="str">
        <f t="shared" si="313"/>
        <v>Praia</v>
      </c>
      <c r="M1055" s="6" t="str">
        <f t="shared" si="314"/>
        <v>100x180+8</v>
      </c>
      <c r="N1055" s="6" t="str">
        <f t="shared" si="315"/>
        <v xml:space="preserve"> </v>
      </c>
      <c r="O1055" s="8">
        <v>25</v>
      </c>
      <c r="P1055" s="7">
        <v>46035</v>
      </c>
      <c r="R1055" s="8">
        <v>0</v>
      </c>
      <c r="U1055" s="8">
        <v>0</v>
      </c>
      <c r="X1055" s="8">
        <v>0</v>
      </c>
      <c r="Z1055" s="8">
        <v>0</v>
      </c>
      <c r="AC1055" s="8">
        <v>0</v>
      </c>
      <c r="AF1055" s="8">
        <v>0</v>
      </c>
      <c r="AH1055" s="7">
        <v>46059</v>
      </c>
      <c r="AN1055" s="8">
        <v>0</v>
      </c>
      <c r="AO1055" s="8">
        <v>25</v>
      </c>
    </row>
    <row r="1056" spans="1:41" x14ac:dyDescent="0.25">
      <c r="A1056" s="6" t="str">
        <f t="shared" si="307"/>
        <v>521-2026000022</v>
      </c>
      <c r="B1056" s="6" t="str">
        <f t="shared" si="308"/>
        <v>SABIN J.</v>
      </c>
      <c r="C1056" s="7">
        <v>46034</v>
      </c>
      <c r="D1056" s="7">
        <v>46059</v>
      </c>
      <c r="E1056" s="8">
        <v>7</v>
      </c>
      <c r="F1056" s="6" t="str">
        <f t="shared" si="309"/>
        <v>01/26</v>
      </c>
      <c r="G1056" s="6" t="str">
        <f t="shared" si="310"/>
        <v>F600177827000000</v>
      </c>
      <c r="H1056" s="6" t="str">
        <f t="shared" si="311"/>
        <v>1778 c/ Franja - 270</v>
      </c>
      <c r="I1056" s="6" t="str">
        <f>"501717"</f>
        <v>501717</v>
      </c>
      <c r="J1056" s="6" t="str">
        <f>"AZUL WT 035713"</f>
        <v>AZUL WT 035713</v>
      </c>
      <c r="K1056" s="6" t="str">
        <f t="shared" si="312"/>
        <v>3539</v>
      </c>
      <c r="L1056" s="6" t="str">
        <f t="shared" si="313"/>
        <v>Praia</v>
      </c>
      <c r="M1056" s="6" t="str">
        <f t="shared" si="314"/>
        <v>100x180+8</v>
      </c>
      <c r="N1056" s="6" t="str">
        <f t="shared" si="315"/>
        <v xml:space="preserve"> </v>
      </c>
      <c r="O1056" s="8">
        <v>20</v>
      </c>
      <c r="P1056" s="7">
        <v>46035</v>
      </c>
      <c r="R1056" s="8">
        <v>0</v>
      </c>
      <c r="U1056" s="8">
        <v>0</v>
      </c>
      <c r="X1056" s="8">
        <v>0</v>
      </c>
      <c r="Z1056" s="8">
        <v>0</v>
      </c>
      <c r="AC1056" s="8">
        <v>0</v>
      </c>
      <c r="AF1056" s="8">
        <v>0</v>
      </c>
      <c r="AH1056" s="7">
        <v>46059</v>
      </c>
      <c r="AN1056" s="8">
        <v>0</v>
      </c>
      <c r="AO1056" s="8">
        <v>20</v>
      </c>
    </row>
    <row r="1057" spans="1:41" x14ac:dyDescent="0.25">
      <c r="A1057" s="6" t="str">
        <f t="shared" si="307"/>
        <v>521-2026000022</v>
      </c>
      <c r="B1057" s="6" t="str">
        <f t="shared" si="308"/>
        <v>SABIN J.</v>
      </c>
      <c r="C1057" s="7">
        <v>46034</v>
      </c>
      <c r="D1057" s="7">
        <v>46059</v>
      </c>
      <c r="E1057" s="8">
        <v>8</v>
      </c>
      <c r="F1057" s="6" t="str">
        <f t="shared" si="309"/>
        <v>01/26</v>
      </c>
      <c r="G1057" s="6" t="str">
        <f t="shared" si="310"/>
        <v>F600177827000000</v>
      </c>
      <c r="H1057" s="6" t="str">
        <f t="shared" si="311"/>
        <v>1778 c/ Franja - 270</v>
      </c>
      <c r="I1057" s="6" t="str">
        <f>"501727"</f>
        <v>501727</v>
      </c>
      <c r="J1057" s="6" t="str">
        <f>"VERDE WT 035723"</f>
        <v>VERDE WT 035723</v>
      </c>
      <c r="K1057" s="6" t="str">
        <f t="shared" si="312"/>
        <v>3539</v>
      </c>
      <c r="L1057" s="6" t="str">
        <f t="shared" si="313"/>
        <v>Praia</v>
      </c>
      <c r="M1057" s="6" t="str">
        <f t="shared" si="314"/>
        <v>100x180+8</v>
      </c>
      <c r="N1057" s="6" t="str">
        <f t="shared" si="315"/>
        <v xml:space="preserve"> </v>
      </c>
      <c r="O1057" s="8">
        <v>20</v>
      </c>
      <c r="P1057" s="7">
        <v>46035</v>
      </c>
      <c r="R1057" s="8">
        <v>0</v>
      </c>
      <c r="U1057" s="8">
        <v>0</v>
      </c>
      <c r="X1057" s="8">
        <v>0</v>
      </c>
      <c r="Z1057" s="8">
        <v>0</v>
      </c>
      <c r="AC1057" s="8">
        <v>0</v>
      </c>
      <c r="AF1057" s="8">
        <v>0</v>
      </c>
      <c r="AH1057" s="7">
        <v>46059</v>
      </c>
      <c r="AN1057" s="8">
        <v>0</v>
      </c>
      <c r="AO1057" s="8">
        <v>20</v>
      </c>
    </row>
    <row r="1058" spans="1:41" x14ac:dyDescent="0.25">
      <c r="A1058" s="6" t="str">
        <f t="shared" si="307"/>
        <v>521-2026000022</v>
      </c>
      <c r="B1058" s="6" t="str">
        <f t="shared" si="308"/>
        <v>SABIN J.</v>
      </c>
      <c r="C1058" s="7">
        <v>46034</v>
      </c>
      <c r="D1058" s="7">
        <v>46059</v>
      </c>
      <c r="E1058" s="8">
        <v>9</v>
      </c>
      <c r="F1058" s="6" t="str">
        <f t="shared" si="309"/>
        <v>01/26</v>
      </c>
      <c r="G1058" s="6" t="str">
        <f t="shared" si="310"/>
        <v>F600177827000000</v>
      </c>
      <c r="H1058" s="6" t="str">
        <f t="shared" si="311"/>
        <v>1778 c/ Franja - 270</v>
      </c>
      <c r="I1058" s="6" t="str">
        <f>"501880"</f>
        <v>501880</v>
      </c>
      <c r="J1058" s="6" t="str">
        <f>"VERDE WT 039550"</f>
        <v>VERDE WT 039550</v>
      </c>
      <c r="K1058" s="6" t="str">
        <f t="shared" si="312"/>
        <v>3539</v>
      </c>
      <c r="L1058" s="6" t="str">
        <f t="shared" si="313"/>
        <v>Praia</v>
      </c>
      <c r="M1058" s="6" t="str">
        <f t="shared" si="314"/>
        <v>100x180+8</v>
      </c>
      <c r="N1058" s="6" t="str">
        <f t="shared" si="315"/>
        <v xml:space="preserve"> </v>
      </c>
      <c r="O1058" s="8">
        <v>15</v>
      </c>
      <c r="P1058" s="7">
        <v>46035</v>
      </c>
      <c r="R1058" s="8">
        <v>0</v>
      </c>
      <c r="U1058" s="8">
        <v>0</v>
      </c>
      <c r="X1058" s="8">
        <v>0</v>
      </c>
      <c r="Z1058" s="8">
        <v>0</v>
      </c>
      <c r="AC1058" s="8">
        <v>0</v>
      </c>
      <c r="AF1058" s="8">
        <v>0</v>
      </c>
      <c r="AH1058" s="7">
        <v>46059</v>
      </c>
      <c r="AN1058" s="8">
        <v>0</v>
      </c>
      <c r="AO1058" s="8">
        <v>15</v>
      </c>
    </row>
    <row r="1059" spans="1:41" x14ac:dyDescent="0.25">
      <c r="A1059" s="6" t="str">
        <f t="shared" si="307"/>
        <v>521-2026000022</v>
      </c>
      <c r="B1059" s="6" t="str">
        <f t="shared" si="308"/>
        <v>SABIN J.</v>
      </c>
      <c r="C1059" s="7">
        <v>46034</v>
      </c>
      <c r="D1059" s="7">
        <v>46059</v>
      </c>
      <c r="E1059" s="8">
        <v>10</v>
      </c>
      <c r="F1059" s="6" t="str">
        <f t="shared" si="309"/>
        <v>01/26</v>
      </c>
      <c r="G1059" s="6" t="str">
        <f t="shared" si="310"/>
        <v>F600177827000000</v>
      </c>
      <c r="H1059" s="6" t="str">
        <f t="shared" si="311"/>
        <v>1778 c/ Franja - 270</v>
      </c>
      <c r="I1059" s="6" t="str">
        <f>"501649"</f>
        <v>501649</v>
      </c>
      <c r="J1059" s="6" t="str">
        <f>"LARANJA WT 031649"</f>
        <v>LARANJA WT 031649</v>
      </c>
      <c r="K1059" s="6" t="str">
        <f t="shared" si="312"/>
        <v>3539</v>
      </c>
      <c r="L1059" s="6" t="str">
        <f t="shared" si="313"/>
        <v>Praia</v>
      </c>
      <c r="M1059" s="6" t="str">
        <f t="shared" si="314"/>
        <v>100x180+8</v>
      </c>
      <c r="N1059" s="6" t="str">
        <f t="shared" si="315"/>
        <v xml:space="preserve"> </v>
      </c>
      <c r="O1059" s="8">
        <v>25</v>
      </c>
      <c r="P1059" s="7">
        <v>46035</v>
      </c>
      <c r="R1059" s="8">
        <v>0</v>
      </c>
      <c r="U1059" s="8">
        <v>0</v>
      </c>
      <c r="X1059" s="8">
        <v>0</v>
      </c>
      <c r="Z1059" s="8">
        <v>0</v>
      </c>
      <c r="AC1059" s="8">
        <v>0</v>
      </c>
      <c r="AF1059" s="8">
        <v>0</v>
      </c>
      <c r="AH1059" s="7">
        <v>46059</v>
      </c>
      <c r="AN1059" s="8">
        <v>0</v>
      </c>
      <c r="AO1059" s="8">
        <v>25</v>
      </c>
    </row>
    <row r="1060" spans="1:41" x14ac:dyDescent="0.25">
      <c r="A1060" s="6" t="str">
        <f t="shared" si="307"/>
        <v>521-2026000022</v>
      </c>
      <c r="B1060" s="6" t="str">
        <f t="shared" si="308"/>
        <v>SABIN J.</v>
      </c>
      <c r="C1060" s="7">
        <v>46034</v>
      </c>
      <c r="D1060" s="7">
        <v>46059</v>
      </c>
      <c r="E1060" s="8">
        <v>11</v>
      </c>
      <c r="F1060" s="6" t="str">
        <f t="shared" si="309"/>
        <v>01/26</v>
      </c>
      <c r="G1060" s="6" t="str">
        <f t="shared" si="310"/>
        <v>F600177827000000</v>
      </c>
      <c r="H1060" s="6" t="str">
        <f t="shared" si="311"/>
        <v>1778 c/ Franja - 270</v>
      </c>
      <c r="I1060" s="6" t="str">
        <f>"502078"</f>
        <v>502078</v>
      </c>
      <c r="J1060" s="6" t="str">
        <f>"AZUL E3198"</f>
        <v>AZUL E3198</v>
      </c>
      <c r="K1060" s="6" t="str">
        <f t="shared" si="312"/>
        <v>3539</v>
      </c>
      <c r="L1060" s="6" t="str">
        <f t="shared" si="313"/>
        <v>Praia</v>
      </c>
      <c r="M1060" s="6" t="str">
        <f t="shared" si="314"/>
        <v>100x180+8</v>
      </c>
      <c r="N1060" s="6" t="str">
        <f t="shared" si="315"/>
        <v xml:space="preserve"> </v>
      </c>
      <c r="O1060" s="8">
        <v>25</v>
      </c>
      <c r="P1060" s="7">
        <v>46035</v>
      </c>
      <c r="R1060" s="8">
        <v>0</v>
      </c>
      <c r="U1060" s="8">
        <v>0</v>
      </c>
      <c r="X1060" s="8">
        <v>0</v>
      </c>
      <c r="Z1060" s="8">
        <v>0</v>
      </c>
      <c r="AC1060" s="8">
        <v>0</v>
      </c>
      <c r="AF1060" s="8">
        <v>0</v>
      </c>
      <c r="AH1060" s="7">
        <v>46059</v>
      </c>
      <c r="AN1060" s="8">
        <v>0</v>
      </c>
      <c r="AO1060" s="8">
        <v>25</v>
      </c>
    </row>
    <row r="1061" spans="1:41" x14ac:dyDescent="0.25">
      <c r="A1061" s="6" t="str">
        <f t="shared" si="307"/>
        <v>521-2026000022</v>
      </c>
      <c r="B1061" s="6" t="str">
        <f t="shared" si="308"/>
        <v>SABIN J.</v>
      </c>
      <c r="C1061" s="7">
        <v>46034</v>
      </c>
      <c r="D1061" s="7">
        <v>46059</v>
      </c>
      <c r="E1061" s="8">
        <v>12</v>
      </c>
      <c r="F1061" s="6" t="str">
        <f t="shared" si="309"/>
        <v>01/26</v>
      </c>
      <c r="G1061" s="6" t="str">
        <f t="shared" si="310"/>
        <v>F600177827000000</v>
      </c>
      <c r="H1061" s="6" t="str">
        <f t="shared" si="311"/>
        <v>1778 c/ Franja - 270</v>
      </c>
      <c r="I1061" s="6" t="str">
        <f>"501632"</f>
        <v>501632</v>
      </c>
      <c r="J1061" s="6" t="str">
        <f>"LILÁS WT 031600"</f>
        <v>LILÁS WT 031600</v>
      </c>
      <c r="K1061" s="6" t="str">
        <f t="shared" si="312"/>
        <v>3539</v>
      </c>
      <c r="L1061" s="6" t="str">
        <f t="shared" si="313"/>
        <v>Praia</v>
      </c>
      <c r="M1061" s="6" t="str">
        <f t="shared" si="314"/>
        <v>100x180+8</v>
      </c>
      <c r="N1061" s="6" t="str">
        <f t="shared" si="315"/>
        <v xml:space="preserve"> </v>
      </c>
      <c r="O1061" s="8">
        <v>25</v>
      </c>
      <c r="P1061" s="7">
        <v>46035</v>
      </c>
      <c r="R1061" s="8">
        <v>0</v>
      </c>
      <c r="U1061" s="8">
        <v>0</v>
      </c>
      <c r="X1061" s="8">
        <v>0</v>
      </c>
      <c r="Z1061" s="8">
        <v>0</v>
      </c>
      <c r="AC1061" s="8">
        <v>0</v>
      </c>
      <c r="AF1061" s="8">
        <v>0</v>
      </c>
      <c r="AH1061" s="7">
        <v>46059</v>
      </c>
      <c r="AN1061" s="8">
        <v>0</v>
      </c>
      <c r="AO1061" s="8">
        <v>25</v>
      </c>
    </row>
    <row r="1062" spans="1:41" x14ac:dyDescent="0.25">
      <c r="A1062" s="6" t="str">
        <f t="shared" si="307"/>
        <v>521-2026000022</v>
      </c>
      <c r="B1062" s="6" t="str">
        <f t="shared" si="308"/>
        <v>SABIN J.</v>
      </c>
      <c r="C1062" s="7">
        <v>46034</v>
      </c>
      <c r="D1062" s="7">
        <v>46059</v>
      </c>
      <c r="E1062" s="8">
        <v>13</v>
      </c>
      <c r="F1062" s="6" t="str">
        <f t="shared" si="309"/>
        <v>01/26</v>
      </c>
      <c r="G1062" s="6" t="str">
        <f t="shared" si="310"/>
        <v>F600177827000000</v>
      </c>
      <c r="H1062" s="6" t="str">
        <f t="shared" si="311"/>
        <v>1778 c/ Franja - 270</v>
      </c>
      <c r="I1062" s="6" t="str">
        <f>"501722"</f>
        <v>501722</v>
      </c>
      <c r="J1062" s="6" t="str">
        <f>"ROSA WT 035718"</f>
        <v>ROSA WT 035718</v>
      </c>
      <c r="K1062" s="6" t="str">
        <f t="shared" si="312"/>
        <v>3539</v>
      </c>
      <c r="L1062" s="6" t="str">
        <f t="shared" si="313"/>
        <v>Praia</v>
      </c>
      <c r="M1062" s="6" t="str">
        <f t="shared" si="314"/>
        <v>100x180+8</v>
      </c>
      <c r="N1062" s="6" t="str">
        <f t="shared" si="315"/>
        <v xml:space="preserve"> </v>
      </c>
      <c r="O1062" s="8">
        <v>25</v>
      </c>
      <c r="P1062" s="7">
        <v>46035</v>
      </c>
      <c r="R1062" s="8">
        <v>0</v>
      </c>
      <c r="U1062" s="8">
        <v>0</v>
      </c>
      <c r="X1062" s="8">
        <v>0</v>
      </c>
      <c r="Z1062" s="8">
        <v>0</v>
      </c>
      <c r="AC1062" s="8">
        <v>0</v>
      </c>
      <c r="AF1062" s="8">
        <v>0</v>
      </c>
      <c r="AH1062" s="7">
        <v>46059</v>
      </c>
      <c r="AN1062" s="8">
        <v>0</v>
      </c>
      <c r="AO1062" s="8">
        <v>25</v>
      </c>
    </row>
    <row r="1063" spans="1:41" x14ac:dyDescent="0.25">
      <c r="A1063" s="6" t="str">
        <f t="shared" si="307"/>
        <v>521-2026000022</v>
      </c>
      <c r="B1063" s="6" t="str">
        <f t="shared" si="308"/>
        <v>SABIN J.</v>
      </c>
      <c r="C1063" s="7">
        <v>46034</v>
      </c>
      <c r="D1063" s="7">
        <v>46059</v>
      </c>
      <c r="E1063" s="8">
        <v>14</v>
      </c>
      <c r="F1063" s="6" t="str">
        <f t="shared" si="309"/>
        <v>01/26</v>
      </c>
      <c r="G1063" s="6" t="str">
        <f t="shared" si="310"/>
        <v>F600177827000000</v>
      </c>
      <c r="H1063" s="6" t="str">
        <f t="shared" si="311"/>
        <v>1778 c/ Franja - 270</v>
      </c>
      <c r="I1063" s="6" t="str">
        <f>"501984"</f>
        <v>501984</v>
      </c>
      <c r="J1063" s="6" t="str">
        <f>"CASTANHO WT 045568"</f>
        <v>CASTANHO WT 045568</v>
      </c>
      <c r="K1063" s="6" t="str">
        <f t="shared" si="312"/>
        <v>3539</v>
      </c>
      <c r="L1063" s="6" t="str">
        <f t="shared" si="313"/>
        <v>Praia</v>
      </c>
      <c r="M1063" s="6" t="str">
        <f t="shared" si="314"/>
        <v>100x180+8</v>
      </c>
      <c r="N1063" s="6" t="str">
        <f t="shared" si="315"/>
        <v xml:space="preserve"> </v>
      </c>
      <c r="O1063" s="8">
        <v>25</v>
      </c>
      <c r="P1063" s="7">
        <v>46035</v>
      </c>
      <c r="R1063" s="8">
        <v>0</v>
      </c>
      <c r="U1063" s="8">
        <v>0</v>
      </c>
      <c r="X1063" s="8">
        <v>0</v>
      </c>
      <c r="Z1063" s="8">
        <v>0</v>
      </c>
      <c r="AC1063" s="8">
        <v>0</v>
      </c>
      <c r="AF1063" s="8">
        <v>0</v>
      </c>
      <c r="AH1063" s="7">
        <v>46059</v>
      </c>
      <c r="AN1063" s="8">
        <v>0</v>
      </c>
      <c r="AO1063" s="8">
        <v>25</v>
      </c>
    </row>
    <row r="1064" spans="1:41" x14ac:dyDescent="0.25">
      <c r="A1064" s="6" t="str">
        <f t="shared" si="307"/>
        <v>521-2026000022</v>
      </c>
      <c r="B1064" s="6" t="str">
        <f t="shared" si="308"/>
        <v>SABIN J.</v>
      </c>
      <c r="C1064" s="7">
        <v>46034</v>
      </c>
      <c r="D1064" s="7">
        <v>46059</v>
      </c>
      <c r="E1064" s="8">
        <v>15</v>
      </c>
      <c r="F1064" s="6" t="str">
        <f t="shared" si="309"/>
        <v>01/26</v>
      </c>
      <c r="G1064" s="6" t="str">
        <f t="shared" si="310"/>
        <v>F600177827000000</v>
      </c>
      <c r="H1064" s="6" t="str">
        <f t="shared" si="311"/>
        <v>1778 c/ Franja - 270</v>
      </c>
      <c r="I1064" s="6" t="str">
        <f>"501881"</f>
        <v>501881</v>
      </c>
      <c r="J1064" s="6" t="str">
        <f>"VERDE WT 039551"</f>
        <v>VERDE WT 039551</v>
      </c>
      <c r="K1064" s="6" t="str">
        <f t="shared" si="312"/>
        <v>3539</v>
      </c>
      <c r="L1064" s="6" t="str">
        <f t="shared" si="313"/>
        <v>Praia</v>
      </c>
      <c r="M1064" s="6" t="str">
        <f t="shared" si="314"/>
        <v>100x180+8</v>
      </c>
      <c r="N1064" s="6" t="str">
        <f t="shared" si="315"/>
        <v xml:space="preserve"> </v>
      </c>
      <c r="O1064" s="8">
        <v>25</v>
      </c>
      <c r="P1064" s="7">
        <v>46035</v>
      </c>
      <c r="R1064" s="8">
        <v>0</v>
      </c>
      <c r="U1064" s="8">
        <v>0</v>
      </c>
      <c r="X1064" s="8">
        <v>0</v>
      </c>
      <c r="Z1064" s="8">
        <v>0</v>
      </c>
      <c r="AC1064" s="8">
        <v>0</v>
      </c>
      <c r="AF1064" s="8">
        <v>0</v>
      </c>
      <c r="AH1064" s="7">
        <v>46059</v>
      </c>
      <c r="AN1064" s="8">
        <v>0</v>
      </c>
      <c r="AO1064" s="8">
        <v>25</v>
      </c>
    </row>
    <row r="1065" spans="1:41" x14ac:dyDescent="0.25">
      <c r="A1065" s="6" t="str">
        <f t="shared" si="307"/>
        <v>521-2026000022</v>
      </c>
      <c r="B1065" s="6" t="str">
        <f t="shared" si="308"/>
        <v>SABIN J.</v>
      </c>
      <c r="C1065" s="7">
        <v>46034</v>
      </c>
      <c r="D1065" s="7">
        <v>46059</v>
      </c>
      <c r="E1065" s="8">
        <v>16</v>
      </c>
      <c r="F1065" s="6" t="str">
        <f t="shared" si="309"/>
        <v>01/26</v>
      </c>
      <c r="G1065" s="6" t="str">
        <f t="shared" si="310"/>
        <v>F600177827000000</v>
      </c>
      <c r="H1065" s="6" t="str">
        <f t="shared" si="311"/>
        <v>1778 c/ Franja - 270</v>
      </c>
      <c r="I1065" s="6" t="str">
        <f>"501732"</f>
        <v>501732</v>
      </c>
      <c r="J1065" s="6" t="str">
        <f>"TURQUESA WT 035727"</f>
        <v>TURQUESA WT 035727</v>
      </c>
      <c r="K1065" s="6" t="str">
        <f t="shared" si="312"/>
        <v>3539</v>
      </c>
      <c r="L1065" s="6" t="str">
        <f t="shared" si="313"/>
        <v>Praia</v>
      </c>
      <c r="M1065" s="6" t="str">
        <f t="shared" si="314"/>
        <v>100x180+8</v>
      </c>
      <c r="N1065" s="6" t="str">
        <f t="shared" si="315"/>
        <v xml:space="preserve"> </v>
      </c>
      <c r="O1065" s="8">
        <v>25</v>
      </c>
      <c r="P1065" s="7">
        <v>46035</v>
      </c>
      <c r="R1065" s="8">
        <v>0</v>
      </c>
      <c r="U1065" s="8">
        <v>0</v>
      </c>
      <c r="X1065" s="8">
        <v>0</v>
      </c>
      <c r="Z1065" s="8">
        <v>0</v>
      </c>
      <c r="AC1065" s="8">
        <v>0</v>
      </c>
      <c r="AF1065" s="8">
        <v>0</v>
      </c>
      <c r="AH1065" s="7">
        <v>46059</v>
      </c>
      <c r="AN1065" s="8">
        <v>0</v>
      </c>
      <c r="AO1065" s="8">
        <v>25</v>
      </c>
    </row>
    <row r="1066" spans="1:41" x14ac:dyDescent="0.25">
      <c r="A1066" s="6" t="str">
        <f t="shared" si="307"/>
        <v>521-2026000022</v>
      </c>
      <c r="B1066" s="6" t="str">
        <f t="shared" si="308"/>
        <v>SABIN J.</v>
      </c>
      <c r="C1066" s="7">
        <v>46034</v>
      </c>
      <c r="D1066" s="7">
        <v>46059</v>
      </c>
      <c r="E1066" s="8">
        <v>17</v>
      </c>
      <c r="F1066" s="6" t="str">
        <f t="shared" si="309"/>
        <v>01/26</v>
      </c>
      <c r="G1066" s="6" t="str">
        <f t="shared" si="310"/>
        <v>F600177827000000</v>
      </c>
      <c r="H1066" s="6" t="str">
        <f t="shared" si="311"/>
        <v>1778 c/ Franja - 270</v>
      </c>
      <c r="I1066" s="6" t="str">
        <f>"501719"</f>
        <v>501719</v>
      </c>
      <c r="J1066" s="6" t="str">
        <f>"BORDEAUX WT 035715"</f>
        <v>BORDEAUX WT 035715</v>
      </c>
      <c r="K1066" s="6" t="str">
        <f t="shared" si="312"/>
        <v>3539</v>
      </c>
      <c r="L1066" s="6" t="str">
        <f t="shared" si="313"/>
        <v>Praia</v>
      </c>
      <c r="M1066" s="6" t="str">
        <f t="shared" si="314"/>
        <v>100x180+8</v>
      </c>
      <c r="N1066" s="6" t="str">
        <f t="shared" si="315"/>
        <v xml:space="preserve"> </v>
      </c>
      <c r="O1066" s="8">
        <v>25</v>
      </c>
      <c r="P1066" s="7">
        <v>46035</v>
      </c>
      <c r="R1066" s="8">
        <v>0</v>
      </c>
      <c r="U1066" s="8">
        <v>0</v>
      </c>
      <c r="X1066" s="8">
        <v>0</v>
      </c>
      <c r="Z1066" s="8">
        <v>0</v>
      </c>
      <c r="AC1066" s="8">
        <v>0</v>
      </c>
      <c r="AF1066" s="8">
        <v>0</v>
      </c>
      <c r="AH1066" s="7">
        <v>46059</v>
      </c>
      <c r="AN1066" s="8">
        <v>0</v>
      </c>
      <c r="AO1066" s="8">
        <v>25</v>
      </c>
    </row>
    <row r="1067" spans="1:41" x14ac:dyDescent="0.25">
      <c r="A1067" s="6" t="str">
        <f t="shared" si="307"/>
        <v>521-2026000022</v>
      </c>
      <c r="B1067" s="6" t="str">
        <f t="shared" si="308"/>
        <v>SABIN J.</v>
      </c>
      <c r="C1067" s="7">
        <v>46034</v>
      </c>
      <c r="D1067" s="7">
        <v>46059</v>
      </c>
      <c r="E1067" s="8">
        <v>18</v>
      </c>
      <c r="F1067" s="6" t="str">
        <f t="shared" si="309"/>
        <v>01/26</v>
      </c>
      <c r="G1067" s="6" t="str">
        <f t="shared" ref="G1067:G1081" si="316">"F600177927000000"</f>
        <v>F600177927000000</v>
      </c>
      <c r="H1067" s="6" t="str">
        <f t="shared" ref="H1067:H1081" si="317">"1779 - 270 g/m²"</f>
        <v>1779 - 270 g/m²</v>
      </c>
      <c r="I1067" s="6" t="str">
        <f>"501886"</f>
        <v>501886</v>
      </c>
      <c r="J1067" s="6" t="str">
        <f>"AMARELO WT 039775"</f>
        <v>AMARELO WT 039775</v>
      </c>
      <c r="K1067" s="6" t="str">
        <f t="shared" ref="K1067:K1081" si="318">"3530"</f>
        <v>3530</v>
      </c>
      <c r="L1067" s="6" t="str">
        <f t="shared" si="313"/>
        <v>Praia</v>
      </c>
      <c r="M1067" s="6" t="str">
        <f t="shared" ref="M1067:M1081" si="319">"100x180"</f>
        <v>100x180</v>
      </c>
      <c r="N1067" s="6" t="str">
        <f t="shared" si="315"/>
        <v xml:space="preserve"> </v>
      </c>
      <c r="O1067" s="8">
        <v>25</v>
      </c>
      <c r="P1067" s="7">
        <v>46035</v>
      </c>
      <c r="R1067" s="8">
        <v>0</v>
      </c>
      <c r="U1067" s="8">
        <v>0</v>
      </c>
      <c r="X1067" s="8">
        <v>0</v>
      </c>
      <c r="Z1067" s="8">
        <v>0</v>
      </c>
      <c r="AC1067" s="8">
        <v>0</v>
      </c>
      <c r="AF1067" s="8">
        <v>0</v>
      </c>
      <c r="AH1067" s="7">
        <v>46059</v>
      </c>
      <c r="AN1067" s="8">
        <v>0</v>
      </c>
      <c r="AO1067" s="8">
        <v>25</v>
      </c>
    </row>
    <row r="1068" spans="1:41" x14ac:dyDescent="0.25">
      <c r="A1068" s="6" t="str">
        <f t="shared" si="307"/>
        <v>521-2026000022</v>
      </c>
      <c r="B1068" s="6" t="str">
        <f t="shared" si="308"/>
        <v>SABIN J.</v>
      </c>
      <c r="C1068" s="7">
        <v>46034</v>
      </c>
      <c r="D1068" s="7">
        <v>46059</v>
      </c>
      <c r="E1068" s="8">
        <v>19</v>
      </c>
      <c r="F1068" s="6" t="str">
        <f t="shared" si="309"/>
        <v>01/26</v>
      </c>
      <c r="G1068" s="6" t="str">
        <f t="shared" si="316"/>
        <v>F600177927000000</v>
      </c>
      <c r="H1068" s="6" t="str">
        <f t="shared" si="317"/>
        <v>1779 - 270 g/m²</v>
      </c>
      <c r="I1068" s="6" t="str">
        <f>"501987"</f>
        <v>501987</v>
      </c>
      <c r="J1068" s="6" t="str">
        <f>"BORDEAUX WT 045571"</f>
        <v>BORDEAUX WT 045571</v>
      </c>
      <c r="K1068" s="6" t="str">
        <f t="shared" si="318"/>
        <v>3530</v>
      </c>
      <c r="L1068" s="6" t="str">
        <f t="shared" si="313"/>
        <v>Praia</v>
      </c>
      <c r="M1068" s="6" t="str">
        <f t="shared" si="319"/>
        <v>100x180</v>
      </c>
      <c r="N1068" s="6" t="str">
        <f t="shared" si="315"/>
        <v xml:space="preserve"> </v>
      </c>
      <c r="O1068" s="8">
        <v>15</v>
      </c>
      <c r="P1068" s="7">
        <v>46035</v>
      </c>
      <c r="R1068" s="8">
        <v>0</v>
      </c>
      <c r="U1068" s="8">
        <v>0</v>
      </c>
      <c r="X1068" s="8">
        <v>0</v>
      </c>
      <c r="Z1068" s="8">
        <v>0</v>
      </c>
      <c r="AC1068" s="8">
        <v>0</v>
      </c>
      <c r="AF1068" s="8">
        <v>0</v>
      </c>
      <c r="AH1068" s="7">
        <v>46059</v>
      </c>
      <c r="AN1068" s="8">
        <v>0</v>
      </c>
      <c r="AO1068" s="8">
        <v>15</v>
      </c>
    </row>
    <row r="1069" spans="1:41" x14ac:dyDescent="0.25">
      <c r="A1069" s="6" t="str">
        <f t="shared" si="307"/>
        <v>521-2026000022</v>
      </c>
      <c r="B1069" s="6" t="str">
        <f t="shared" si="308"/>
        <v>SABIN J.</v>
      </c>
      <c r="C1069" s="7">
        <v>46034</v>
      </c>
      <c r="D1069" s="7">
        <v>46059</v>
      </c>
      <c r="E1069" s="8">
        <v>20</v>
      </c>
      <c r="F1069" s="6" t="str">
        <f t="shared" si="309"/>
        <v>01/26</v>
      </c>
      <c r="G1069" s="6" t="str">
        <f t="shared" si="316"/>
        <v>F600177927000000</v>
      </c>
      <c r="H1069" s="6" t="str">
        <f t="shared" si="317"/>
        <v>1779 - 270 g/m²</v>
      </c>
      <c r="I1069" s="6" t="str">
        <f>"501985"</f>
        <v>501985</v>
      </c>
      <c r="J1069" s="6" t="str">
        <f>"CASTANHO WT 045569"</f>
        <v>CASTANHO WT 045569</v>
      </c>
      <c r="K1069" s="6" t="str">
        <f t="shared" si="318"/>
        <v>3530</v>
      </c>
      <c r="L1069" s="6" t="str">
        <f t="shared" si="313"/>
        <v>Praia</v>
      </c>
      <c r="M1069" s="6" t="str">
        <f t="shared" si="319"/>
        <v>100x180</v>
      </c>
      <c r="N1069" s="6" t="str">
        <f t="shared" si="315"/>
        <v xml:space="preserve"> </v>
      </c>
      <c r="O1069" s="8">
        <v>15</v>
      </c>
      <c r="P1069" s="7">
        <v>46035</v>
      </c>
      <c r="R1069" s="8">
        <v>0</v>
      </c>
      <c r="U1069" s="8">
        <v>0</v>
      </c>
      <c r="X1069" s="8">
        <v>0</v>
      </c>
      <c r="Z1069" s="8">
        <v>0</v>
      </c>
      <c r="AC1069" s="8">
        <v>0</v>
      </c>
      <c r="AF1069" s="8">
        <v>0</v>
      </c>
      <c r="AH1069" s="7">
        <v>46059</v>
      </c>
      <c r="AN1069" s="8">
        <v>0</v>
      </c>
      <c r="AO1069" s="8">
        <v>15</v>
      </c>
    </row>
    <row r="1070" spans="1:41" x14ac:dyDescent="0.25">
      <c r="A1070" s="6" t="str">
        <f t="shared" si="307"/>
        <v>521-2026000022</v>
      </c>
      <c r="B1070" s="6" t="str">
        <f t="shared" si="308"/>
        <v>SABIN J.</v>
      </c>
      <c r="C1070" s="7">
        <v>46034</v>
      </c>
      <c r="D1070" s="7">
        <v>46059</v>
      </c>
      <c r="E1070" s="8">
        <v>21</v>
      </c>
      <c r="F1070" s="6" t="str">
        <f t="shared" si="309"/>
        <v>01/26</v>
      </c>
      <c r="G1070" s="6" t="str">
        <f t="shared" si="316"/>
        <v>F600177927000000</v>
      </c>
      <c r="H1070" s="6" t="str">
        <f t="shared" si="317"/>
        <v>1779 - 270 g/m²</v>
      </c>
      <c r="I1070" s="6" t="str">
        <f>"501726"</f>
        <v>501726</v>
      </c>
      <c r="J1070" s="6" t="str">
        <f>"CINZA WT 035722"</f>
        <v>CINZA WT 035722</v>
      </c>
      <c r="K1070" s="6" t="str">
        <f t="shared" si="318"/>
        <v>3530</v>
      </c>
      <c r="L1070" s="6" t="str">
        <f t="shared" si="313"/>
        <v>Praia</v>
      </c>
      <c r="M1070" s="6" t="str">
        <f t="shared" si="319"/>
        <v>100x180</v>
      </c>
      <c r="N1070" s="6" t="str">
        <f t="shared" si="315"/>
        <v xml:space="preserve"> </v>
      </c>
      <c r="O1070" s="8">
        <v>15</v>
      </c>
      <c r="P1070" s="7">
        <v>46035</v>
      </c>
      <c r="R1070" s="8">
        <v>0</v>
      </c>
      <c r="U1070" s="8">
        <v>0</v>
      </c>
      <c r="X1070" s="8">
        <v>0</v>
      </c>
      <c r="Z1070" s="8">
        <v>0</v>
      </c>
      <c r="AC1070" s="8">
        <v>0</v>
      </c>
      <c r="AF1070" s="8">
        <v>0</v>
      </c>
      <c r="AH1070" s="7">
        <v>46059</v>
      </c>
      <c r="AN1070" s="8">
        <v>0</v>
      </c>
      <c r="AO1070" s="8">
        <v>15</v>
      </c>
    </row>
    <row r="1071" spans="1:41" x14ac:dyDescent="0.25">
      <c r="A1071" s="6" t="str">
        <f t="shared" si="307"/>
        <v>521-2026000022</v>
      </c>
      <c r="B1071" s="6" t="str">
        <f t="shared" si="308"/>
        <v>SABIN J.</v>
      </c>
      <c r="C1071" s="7">
        <v>46034</v>
      </c>
      <c r="D1071" s="7">
        <v>46059</v>
      </c>
      <c r="E1071" s="8">
        <v>22</v>
      </c>
      <c r="F1071" s="6" t="str">
        <f t="shared" si="309"/>
        <v>01/26</v>
      </c>
      <c r="G1071" s="6" t="str">
        <f t="shared" si="316"/>
        <v>F600177927000000</v>
      </c>
      <c r="H1071" s="6" t="str">
        <f t="shared" si="317"/>
        <v>1779 - 270 g/m²</v>
      </c>
      <c r="I1071" s="6" t="str">
        <f>"501725"</f>
        <v>501725</v>
      </c>
      <c r="J1071" s="6" t="str">
        <f>"ROSA WT 035720"</f>
        <v>ROSA WT 035720</v>
      </c>
      <c r="K1071" s="6" t="str">
        <f t="shared" si="318"/>
        <v>3530</v>
      </c>
      <c r="L1071" s="6" t="str">
        <f t="shared" si="313"/>
        <v>Praia</v>
      </c>
      <c r="M1071" s="6" t="str">
        <f t="shared" si="319"/>
        <v>100x180</v>
      </c>
      <c r="N1071" s="6" t="str">
        <f t="shared" si="315"/>
        <v xml:space="preserve"> </v>
      </c>
      <c r="O1071" s="8">
        <v>25</v>
      </c>
      <c r="P1071" s="7">
        <v>46035</v>
      </c>
      <c r="R1071" s="8">
        <v>0</v>
      </c>
      <c r="U1071" s="8">
        <v>0</v>
      </c>
      <c r="X1071" s="8">
        <v>0</v>
      </c>
      <c r="Z1071" s="8">
        <v>0</v>
      </c>
      <c r="AC1071" s="8">
        <v>0</v>
      </c>
      <c r="AF1071" s="8">
        <v>0</v>
      </c>
      <c r="AH1071" s="7">
        <v>46059</v>
      </c>
      <c r="AN1071" s="8">
        <v>0</v>
      </c>
      <c r="AO1071" s="8">
        <v>25</v>
      </c>
    </row>
    <row r="1072" spans="1:41" x14ac:dyDescent="0.25">
      <c r="A1072" s="6" t="str">
        <f t="shared" si="307"/>
        <v>521-2026000022</v>
      </c>
      <c r="B1072" s="6" t="str">
        <f t="shared" si="308"/>
        <v>SABIN J.</v>
      </c>
      <c r="C1072" s="7">
        <v>46034</v>
      </c>
      <c r="D1072" s="7">
        <v>46059</v>
      </c>
      <c r="E1072" s="8">
        <v>23</v>
      </c>
      <c r="F1072" s="6" t="str">
        <f t="shared" si="309"/>
        <v>01/26</v>
      </c>
      <c r="G1072" s="6" t="str">
        <f t="shared" si="316"/>
        <v>F600177927000000</v>
      </c>
      <c r="H1072" s="6" t="str">
        <f t="shared" si="317"/>
        <v>1779 - 270 g/m²</v>
      </c>
      <c r="I1072" s="6" t="str">
        <f>"501717"</f>
        <v>501717</v>
      </c>
      <c r="J1072" s="6" t="str">
        <f>"AZUL WT 035713"</f>
        <v>AZUL WT 035713</v>
      </c>
      <c r="K1072" s="6" t="str">
        <f t="shared" si="318"/>
        <v>3530</v>
      </c>
      <c r="L1072" s="6" t="str">
        <f t="shared" si="313"/>
        <v>Praia</v>
      </c>
      <c r="M1072" s="6" t="str">
        <f t="shared" si="319"/>
        <v>100x180</v>
      </c>
      <c r="N1072" s="6" t="str">
        <f t="shared" si="315"/>
        <v xml:space="preserve"> </v>
      </c>
      <c r="O1072" s="8">
        <v>10</v>
      </c>
      <c r="P1072" s="7">
        <v>46035</v>
      </c>
      <c r="R1072" s="8">
        <v>0</v>
      </c>
      <c r="U1072" s="8">
        <v>0</v>
      </c>
      <c r="X1072" s="8">
        <v>0</v>
      </c>
      <c r="Z1072" s="8">
        <v>0</v>
      </c>
      <c r="AC1072" s="8">
        <v>0</v>
      </c>
      <c r="AF1072" s="8">
        <v>0</v>
      </c>
      <c r="AH1072" s="7">
        <v>46059</v>
      </c>
      <c r="AN1072" s="8">
        <v>0</v>
      </c>
      <c r="AO1072" s="8">
        <v>10</v>
      </c>
    </row>
    <row r="1073" spans="1:41" x14ac:dyDescent="0.25">
      <c r="A1073" s="6" t="str">
        <f t="shared" si="307"/>
        <v>521-2026000022</v>
      </c>
      <c r="B1073" s="6" t="str">
        <f t="shared" si="308"/>
        <v>SABIN J.</v>
      </c>
      <c r="C1073" s="7">
        <v>46034</v>
      </c>
      <c r="D1073" s="7">
        <v>46059</v>
      </c>
      <c r="E1073" s="8">
        <v>24</v>
      </c>
      <c r="F1073" s="6" t="str">
        <f t="shared" si="309"/>
        <v>01/26</v>
      </c>
      <c r="G1073" s="6" t="str">
        <f t="shared" si="316"/>
        <v>F600177927000000</v>
      </c>
      <c r="H1073" s="6" t="str">
        <f t="shared" si="317"/>
        <v>1779 - 270 g/m²</v>
      </c>
      <c r="I1073" s="6" t="str">
        <f>"501727"</f>
        <v>501727</v>
      </c>
      <c r="J1073" s="6" t="str">
        <f>"VERDE WT 035723"</f>
        <v>VERDE WT 035723</v>
      </c>
      <c r="K1073" s="6" t="str">
        <f t="shared" si="318"/>
        <v>3530</v>
      </c>
      <c r="L1073" s="6" t="str">
        <f t="shared" si="313"/>
        <v>Praia</v>
      </c>
      <c r="M1073" s="6" t="str">
        <f t="shared" si="319"/>
        <v>100x180</v>
      </c>
      <c r="N1073" s="6" t="str">
        <f t="shared" si="315"/>
        <v xml:space="preserve"> </v>
      </c>
      <c r="O1073" s="8">
        <v>15</v>
      </c>
      <c r="P1073" s="7">
        <v>46035</v>
      </c>
      <c r="R1073" s="8">
        <v>0</v>
      </c>
      <c r="U1073" s="8">
        <v>0</v>
      </c>
      <c r="X1073" s="8">
        <v>0</v>
      </c>
      <c r="Z1073" s="8">
        <v>0</v>
      </c>
      <c r="AC1073" s="8">
        <v>0</v>
      </c>
      <c r="AF1073" s="8">
        <v>0</v>
      </c>
      <c r="AH1073" s="7">
        <v>46059</v>
      </c>
      <c r="AN1073" s="8">
        <v>0</v>
      </c>
      <c r="AO1073" s="8">
        <v>15</v>
      </c>
    </row>
    <row r="1074" spans="1:41" x14ac:dyDescent="0.25">
      <c r="A1074" s="6" t="str">
        <f t="shared" si="307"/>
        <v>521-2026000022</v>
      </c>
      <c r="B1074" s="6" t="str">
        <f t="shared" si="308"/>
        <v>SABIN J.</v>
      </c>
      <c r="C1074" s="7">
        <v>46034</v>
      </c>
      <c r="D1074" s="7">
        <v>46059</v>
      </c>
      <c r="E1074" s="8">
        <v>25</v>
      </c>
      <c r="F1074" s="6" t="str">
        <f t="shared" si="309"/>
        <v>01/26</v>
      </c>
      <c r="G1074" s="6" t="str">
        <f t="shared" si="316"/>
        <v>F600177927000000</v>
      </c>
      <c r="H1074" s="6" t="str">
        <f t="shared" si="317"/>
        <v>1779 - 270 g/m²</v>
      </c>
      <c r="I1074" s="6" t="str">
        <f>"501716"</f>
        <v>501716</v>
      </c>
      <c r="J1074" s="6" t="str">
        <f>"TIJOLO WT 035712"</f>
        <v>TIJOLO WT 035712</v>
      </c>
      <c r="K1074" s="6" t="str">
        <f t="shared" si="318"/>
        <v>3530</v>
      </c>
      <c r="L1074" s="6" t="str">
        <f t="shared" si="313"/>
        <v>Praia</v>
      </c>
      <c r="M1074" s="6" t="str">
        <f t="shared" si="319"/>
        <v>100x180</v>
      </c>
      <c r="N1074" s="6" t="str">
        <f t="shared" si="315"/>
        <v xml:space="preserve"> </v>
      </c>
      <c r="O1074" s="8">
        <v>25</v>
      </c>
      <c r="P1074" s="7">
        <v>46035</v>
      </c>
      <c r="R1074" s="8">
        <v>0</v>
      </c>
      <c r="U1074" s="8">
        <v>0</v>
      </c>
      <c r="X1074" s="8">
        <v>0</v>
      </c>
      <c r="Z1074" s="8">
        <v>0</v>
      </c>
      <c r="AC1074" s="8">
        <v>0</v>
      </c>
      <c r="AF1074" s="8">
        <v>0</v>
      </c>
      <c r="AH1074" s="7">
        <v>46059</v>
      </c>
      <c r="AN1074" s="8">
        <v>0</v>
      </c>
      <c r="AO1074" s="8">
        <v>25</v>
      </c>
    </row>
    <row r="1075" spans="1:41" x14ac:dyDescent="0.25">
      <c r="A1075" s="6" t="str">
        <f t="shared" si="307"/>
        <v>521-2026000022</v>
      </c>
      <c r="B1075" s="6" t="str">
        <f t="shared" si="308"/>
        <v>SABIN J.</v>
      </c>
      <c r="C1075" s="7">
        <v>46034</v>
      </c>
      <c r="D1075" s="7">
        <v>46059</v>
      </c>
      <c r="E1075" s="8">
        <v>26</v>
      </c>
      <c r="F1075" s="6" t="str">
        <f t="shared" si="309"/>
        <v>01/26</v>
      </c>
      <c r="G1075" s="6" t="str">
        <f t="shared" si="316"/>
        <v>F600177927000000</v>
      </c>
      <c r="H1075" s="6" t="str">
        <f t="shared" si="317"/>
        <v>1779 - 270 g/m²</v>
      </c>
      <c r="I1075" s="6" t="str">
        <f>"501880"</f>
        <v>501880</v>
      </c>
      <c r="J1075" s="6" t="str">
        <f>"VERDE WT 039550"</f>
        <v>VERDE WT 039550</v>
      </c>
      <c r="K1075" s="6" t="str">
        <f t="shared" si="318"/>
        <v>3530</v>
      </c>
      <c r="L1075" s="6" t="str">
        <f t="shared" si="313"/>
        <v>Praia</v>
      </c>
      <c r="M1075" s="6" t="str">
        <f t="shared" si="319"/>
        <v>100x180</v>
      </c>
      <c r="N1075" s="6" t="str">
        <f t="shared" si="315"/>
        <v xml:space="preserve"> </v>
      </c>
      <c r="O1075" s="8">
        <v>15</v>
      </c>
      <c r="P1075" s="7">
        <v>46035</v>
      </c>
      <c r="R1075" s="8">
        <v>0</v>
      </c>
      <c r="U1075" s="8">
        <v>0</v>
      </c>
      <c r="X1075" s="8">
        <v>0</v>
      </c>
      <c r="Z1075" s="8">
        <v>0</v>
      </c>
      <c r="AC1075" s="8">
        <v>0</v>
      </c>
      <c r="AF1075" s="8">
        <v>0</v>
      </c>
      <c r="AH1075" s="7">
        <v>46059</v>
      </c>
      <c r="AN1075" s="8">
        <v>0</v>
      </c>
      <c r="AO1075" s="8">
        <v>15</v>
      </c>
    </row>
    <row r="1076" spans="1:41" x14ac:dyDescent="0.25">
      <c r="A1076" s="6" t="str">
        <f t="shared" si="307"/>
        <v>521-2026000022</v>
      </c>
      <c r="B1076" s="6" t="str">
        <f t="shared" si="308"/>
        <v>SABIN J.</v>
      </c>
      <c r="C1076" s="7">
        <v>46034</v>
      </c>
      <c r="D1076" s="7">
        <v>46059</v>
      </c>
      <c r="E1076" s="8">
        <v>27</v>
      </c>
      <c r="F1076" s="6" t="str">
        <f t="shared" si="309"/>
        <v>01/26</v>
      </c>
      <c r="G1076" s="6" t="str">
        <f t="shared" si="316"/>
        <v>F600177927000000</v>
      </c>
      <c r="H1076" s="6" t="str">
        <f t="shared" si="317"/>
        <v>1779 - 270 g/m²</v>
      </c>
      <c r="I1076" s="6" t="str">
        <f>"501649"</f>
        <v>501649</v>
      </c>
      <c r="J1076" s="6" t="str">
        <f>"LARANJA WT 031649"</f>
        <v>LARANJA WT 031649</v>
      </c>
      <c r="K1076" s="6" t="str">
        <f t="shared" si="318"/>
        <v>3530</v>
      </c>
      <c r="L1076" s="6" t="str">
        <f t="shared" si="313"/>
        <v>Praia</v>
      </c>
      <c r="M1076" s="6" t="str">
        <f t="shared" si="319"/>
        <v>100x180</v>
      </c>
      <c r="N1076" s="6" t="str">
        <f t="shared" si="315"/>
        <v xml:space="preserve"> </v>
      </c>
      <c r="O1076" s="8">
        <v>20</v>
      </c>
      <c r="P1076" s="7">
        <v>46035</v>
      </c>
      <c r="R1076" s="8">
        <v>0</v>
      </c>
      <c r="U1076" s="8">
        <v>0</v>
      </c>
      <c r="X1076" s="8">
        <v>0</v>
      </c>
      <c r="Z1076" s="8">
        <v>0</v>
      </c>
      <c r="AC1076" s="8">
        <v>0</v>
      </c>
      <c r="AF1076" s="8">
        <v>0</v>
      </c>
      <c r="AH1076" s="7">
        <v>46059</v>
      </c>
      <c r="AN1076" s="8">
        <v>0</v>
      </c>
      <c r="AO1076" s="8">
        <v>20</v>
      </c>
    </row>
    <row r="1077" spans="1:41" x14ac:dyDescent="0.25">
      <c r="A1077" s="6" t="str">
        <f t="shared" si="307"/>
        <v>521-2026000022</v>
      </c>
      <c r="B1077" s="6" t="str">
        <f t="shared" si="308"/>
        <v>SABIN J.</v>
      </c>
      <c r="C1077" s="7">
        <v>46034</v>
      </c>
      <c r="D1077" s="7">
        <v>46059</v>
      </c>
      <c r="E1077" s="8">
        <v>28</v>
      </c>
      <c r="F1077" s="6" t="str">
        <f t="shared" si="309"/>
        <v>01/26</v>
      </c>
      <c r="G1077" s="6" t="str">
        <f t="shared" si="316"/>
        <v>F600177927000000</v>
      </c>
      <c r="H1077" s="6" t="str">
        <f t="shared" si="317"/>
        <v>1779 - 270 g/m²</v>
      </c>
      <c r="I1077" s="6" t="str">
        <f>"501882"</f>
        <v>501882</v>
      </c>
      <c r="J1077" s="6" t="str">
        <f>"VERDE WT 039552"</f>
        <v>VERDE WT 039552</v>
      </c>
      <c r="K1077" s="6" t="str">
        <f t="shared" si="318"/>
        <v>3530</v>
      </c>
      <c r="L1077" s="6" t="str">
        <f t="shared" si="313"/>
        <v>Praia</v>
      </c>
      <c r="M1077" s="6" t="str">
        <f t="shared" si="319"/>
        <v>100x180</v>
      </c>
      <c r="N1077" s="6" t="str">
        <f t="shared" si="315"/>
        <v xml:space="preserve"> </v>
      </c>
      <c r="O1077" s="8">
        <v>25</v>
      </c>
      <c r="P1077" s="7">
        <v>46035</v>
      </c>
      <c r="R1077" s="8">
        <v>0</v>
      </c>
      <c r="U1077" s="8">
        <v>0</v>
      </c>
      <c r="X1077" s="8">
        <v>0</v>
      </c>
      <c r="Z1077" s="8">
        <v>0</v>
      </c>
      <c r="AC1077" s="8">
        <v>0</v>
      </c>
      <c r="AF1077" s="8">
        <v>0</v>
      </c>
      <c r="AH1077" s="7">
        <v>46059</v>
      </c>
      <c r="AN1077" s="8">
        <v>0</v>
      </c>
      <c r="AO1077" s="8">
        <v>25</v>
      </c>
    </row>
    <row r="1078" spans="1:41" x14ac:dyDescent="0.25">
      <c r="A1078" s="6" t="str">
        <f t="shared" si="307"/>
        <v>521-2026000022</v>
      </c>
      <c r="B1078" s="6" t="str">
        <f t="shared" si="308"/>
        <v>SABIN J.</v>
      </c>
      <c r="C1078" s="7">
        <v>46034</v>
      </c>
      <c r="D1078" s="7">
        <v>46059</v>
      </c>
      <c r="E1078" s="8">
        <v>29</v>
      </c>
      <c r="F1078" s="6" t="str">
        <f t="shared" si="309"/>
        <v>01/26</v>
      </c>
      <c r="G1078" s="6" t="str">
        <f t="shared" si="316"/>
        <v>F600177927000000</v>
      </c>
      <c r="H1078" s="6" t="str">
        <f t="shared" si="317"/>
        <v>1779 - 270 g/m²</v>
      </c>
      <c r="I1078" s="6" t="str">
        <f>"502077"</f>
        <v>502077</v>
      </c>
      <c r="J1078" s="6" t="str">
        <f>"VERMELHO H2914"</f>
        <v>VERMELHO H2914</v>
      </c>
      <c r="K1078" s="6" t="str">
        <f t="shared" si="318"/>
        <v>3530</v>
      </c>
      <c r="L1078" s="6" t="str">
        <f t="shared" si="313"/>
        <v>Praia</v>
      </c>
      <c r="M1078" s="6" t="str">
        <f t="shared" si="319"/>
        <v>100x180</v>
      </c>
      <c r="N1078" s="6" t="str">
        <f t="shared" si="315"/>
        <v xml:space="preserve"> </v>
      </c>
      <c r="O1078" s="8">
        <v>25</v>
      </c>
      <c r="P1078" s="7">
        <v>46035</v>
      </c>
      <c r="R1078" s="8">
        <v>0</v>
      </c>
      <c r="U1078" s="8">
        <v>0</v>
      </c>
      <c r="X1078" s="8">
        <v>0</v>
      </c>
      <c r="Z1078" s="8">
        <v>0</v>
      </c>
      <c r="AC1078" s="8">
        <v>0</v>
      </c>
      <c r="AF1078" s="8">
        <v>0</v>
      </c>
      <c r="AH1078" s="7">
        <v>46059</v>
      </c>
      <c r="AN1078" s="8">
        <v>0</v>
      </c>
      <c r="AO1078" s="8">
        <v>25</v>
      </c>
    </row>
    <row r="1079" spans="1:41" x14ac:dyDescent="0.25">
      <c r="A1079" s="6" t="str">
        <f t="shared" si="307"/>
        <v>521-2026000022</v>
      </c>
      <c r="B1079" s="6" t="str">
        <f t="shared" si="308"/>
        <v>SABIN J.</v>
      </c>
      <c r="C1079" s="7">
        <v>46034</v>
      </c>
      <c r="D1079" s="7">
        <v>46059</v>
      </c>
      <c r="E1079" s="8">
        <v>30</v>
      </c>
      <c r="F1079" s="6" t="str">
        <f t="shared" si="309"/>
        <v>01/26</v>
      </c>
      <c r="G1079" s="6" t="str">
        <f t="shared" si="316"/>
        <v>F600177927000000</v>
      </c>
      <c r="H1079" s="6" t="str">
        <f t="shared" si="317"/>
        <v>1779 - 270 g/m²</v>
      </c>
      <c r="I1079" s="6" t="str">
        <f>"501883"</f>
        <v>501883</v>
      </c>
      <c r="J1079" s="6" t="str">
        <f>"CINZA WT 039553"</f>
        <v>CINZA WT 039553</v>
      </c>
      <c r="K1079" s="6" t="str">
        <f t="shared" si="318"/>
        <v>3530</v>
      </c>
      <c r="L1079" s="6" t="str">
        <f t="shared" si="313"/>
        <v>Praia</v>
      </c>
      <c r="M1079" s="6" t="str">
        <f t="shared" si="319"/>
        <v>100x180</v>
      </c>
      <c r="N1079" s="6" t="str">
        <f t="shared" si="315"/>
        <v xml:space="preserve"> </v>
      </c>
      <c r="O1079" s="8">
        <v>25</v>
      </c>
      <c r="P1079" s="7">
        <v>46035</v>
      </c>
      <c r="R1079" s="8">
        <v>0</v>
      </c>
      <c r="U1079" s="8">
        <v>0</v>
      </c>
      <c r="X1079" s="8">
        <v>0</v>
      </c>
      <c r="Z1079" s="8">
        <v>0</v>
      </c>
      <c r="AC1079" s="8">
        <v>0</v>
      </c>
      <c r="AF1079" s="8">
        <v>0</v>
      </c>
      <c r="AH1079" s="7">
        <v>46059</v>
      </c>
      <c r="AN1079" s="8">
        <v>0</v>
      </c>
      <c r="AO1079" s="8">
        <v>25</v>
      </c>
    </row>
    <row r="1080" spans="1:41" x14ac:dyDescent="0.25">
      <c r="A1080" s="6" t="str">
        <f t="shared" si="307"/>
        <v>521-2026000022</v>
      </c>
      <c r="B1080" s="6" t="str">
        <f t="shared" si="308"/>
        <v>SABIN J.</v>
      </c>
      <c r="C1080" s="7">
        <v>46034</v>
      </c>
      <c r="D1080" s="7">
        <v>46059</v>
      </c>
      <c r="E1080" s="8">
        <v>31</v>
      </c>
      <c r="F1080" s="6" t="str">
        <f t="shared" si="309"/>
        <v>01/26</v>
      </c>
      <c r="G1080" s="6" t="str">
        <f t="shared" si="316"/>
        <v>F600177927000000</v>
      </c>
      <c r="H1080" s="6" t="str">
        <f t="shared" si="317"/>
        <v>1779 - 270 g/m²</v>
      </c>
      <c r="I1080" s="6" t="str">
        <f>"501719"</f>
        <v>501719</v>
      </c>
      <c r="J1080" s="6" t="str">
        <f>"BORDEAUX WT 035715"</f>
        <v>BORDEAUX WT 035715</v>
      </c>
      <c r="K1080" s="6" t="str">
        <f t="shared" si="318"/>
        <v>3530</v>
      </c>
      <c r="L1080" s="6" t="str">
        <f t="shared" si="313"/>
        <v>Praia</v>
      </c>
      <c r="M1080" s="6" t="str">
        <f t="shared" si="319"/>
        <v>100x180</v>
      </c>
      <c r="N1080" s="6" t="str">
        <f t="shared" si="315"/>
        <v xml:space="preserve"> </v>
      </c>
      <c r="O1080" s="8">
        <v>15</v>
      </c>
      <c r="P1080" s="7">
        <v>46035</v>
      </c>
      <c r="R1080" s="8">
        <v>0</v>
      </c>
      <c r="U1080" s="8">
        <v>0</v>
      </c>
      <c r="X1080" s="8">
        <v>0</v>
      </c>
      <c r="Z1080" s="8">
        <v>0</v>
      </c>
      <c r="AC1080" s="8">
        <v>0</v>
      </c>
      <c r="AF1080" s="8">
        <v>0</v>
      </c>
      <c r="AH1080" s="7">
        <v>46059</v>
      </c>
      <c r="AN1080" s="8">
        <v>0</v>
      </c>
      <c r="AO1080" s="8">
        <v>15</v>
      </c>
    </row>
    <row r="1081" spans="1:41" x14ac:dyDescent="0.25">
      <c r="A1081" s="6" t="str">
        <f t="shared" si="307"/>
        <v>521-2026000022</v>
      </c>
      <c r="B1081" s="6" t="str">
        <f t="shared" si="308"/>
        <v>SABIN J.</v>
      </c>
      <c r="C1081" s="7">
        <v>46034</v>
      </c>
      <c r="D1081" s="7">
        <v>46059</v>
      </c>
      <c r="E1081" s="8">
        <v>32</v>
      </c>
      <c r="F1081" s="6" t="str">
        <f t="shared" si="309"/>
        <v>01/26</v>
      </c>
      <c r="G1081" s="6" t="str">
        <f t="shared" si="316"/>
        <v>F600177927000000</v>
      </c>
      <c r="H1081" s="6" t="str">
        <f t="shared" si="317"/>
        <v>1779 - 270 g/m²</v>
      </c>
      <c r="I1081" s="6" t="str">
        <f>"501885"</f>
        <v>501885</v>
      </c>
      <c r="J1081" s="6" t="str">
        <f>"AZUL WT 039774"</f>
        <v>AZUL WT 039774</v>
      </c>
      <c r="K1081" s="6" t="str">
        <f t="shared" si="318"/>
        <v>3530</v>
      </c>
      <c r="L1081" s="6" t="str">
        <f t="shared" si="313"/>
        <v>Praia</v>
      </c>
      <c r="M1081" s="6" t="str">
        <f t="shared" si="319"/>
        <v>100x180</v>
      </c>
      <c r="N1081" s="6" t="str">
        <f t="shared" si="315"/>
        <v xml:space="preserve"> </v>
      </c>
      <c r="O1081" s="8">
        <v>10</v>
      </c>
      <c r="P1081" s="7">
        <v>46035</v>
      </c>
      <c r="R1081" s="8">
        <v>0</v>
      </c>
      <c r="U1081" s="8">
        <v>0</v>
      </c>
      <c r="X1081" s="8">
        <v>0</v>
      </c>
      <c r="Z1081" s="8">
        <v>0</v>
      </c>
      <c r="AC1081" s="8">
        <v>0</v>
      </c>
      <c r="AF1081" s="8">
        <v>0</v>
      </c>
      <c r="AH1081" s="7">
        <v>46059</v>
      </c>
      <c r="AN1081" s="8">
        <v>0</v>
      </c>
      <c r="AO1081" s="8">
        <v>10</v>
      </c>
    </row>
    <row r="1082" spans="1:41" x14ac:dyDescent="0.25">
      <c r="A1082" s="6" t="str">
        <f t="shared" si="307"/>
        <v>521-2026000022</v>
      </c>
      <c r="B1082" s="6" t="str">
        <f t="shared" si="308"/>
        <v>SABIN J.</v>
      </c>
      <c r="C1082" s="7">
        <v>46034</v>
      </c>
      <c r="D1082" s="7">
        <v>46059</v>
      </c>
      <c r="E1082" s="8">
        <v>33</v>
      </c>
      <c r="F1082" s="6" t="str">
        <f t="shared" si="309"/>
        <v>01/26</v>
      </c>
      <c r="G1082" s="6" t="str">
        <f>"F600177827000000"</f>
        <v>F600177827000000</v>
      </c>
      <c r="H1082" s="6" t="str">
        <f>"1778 c/ Franja - 270"</f>
        <v>1778 c/ Franja - 270</v>
      </c>
      <c r="I1082" s="6" t="str">
        <f>"501726"</f>
        <v>501726</v>
      </c>
      <c r="J1082" s="6" t="str">
        <f>"CINZA WT 035722"</f>
        <v>CINZA WT 035722</v>
      </c>
      <c r="K1082" s="6" t="str">
        <f>"3539"</f>
        <v>3539</v>
      </c>
      <c r="L1082" s="6" t="str">
        <f t="shared" si="313"/>
        <v>Praia</v>
      </c>
      <c r="M1082" s="6" t="str">
        <f>"100x180+8"</f>
        <v>100x180+8</v>
      </c>
      <c r="N1082" s="6" t="str">
        <f t="shared" ref="N1082:N1090" si="320">" "</f>
        <v xml:space="preserve"> </v>
      </c>
      <c r="O1082" s="8">
        <v>10</v>
      </c>
      <c r="P1082" s="7">
        <v>46035</v>
      </c>
      <c r="R1082" s="8">
        <v>0</v>
      </c>
      <c r="U1082" s="8">
        <v>0</v>
      </c>
      <c r="X1082" s="8">
        <v>0</v>
      </c>
      <c r="Z1082" s="8">
        <v>0</v>
      </c>
      <c r="AC1082" s="8">
        <v>0</v>
      </c>
      <c r="AF1082" s="8">
        <v>0</v>
      </c>
      <c r="AH1082" s="7">
        <v>46059</v>
      </c>
      <c r="AN1082" s="8">
        <v>0</v>
      </c>
      <c r="AO1082" s="8">
        <v>10</v>
      </c>
    </row>
    <row r="1083" spans="1:41" x14ac:dyDescent="0.25">
      <c r="A1083" s="6" t="str">
        <f t="shared" si="307"/>
        <v>521-2026000022</v>
      </c>
      <c r="B1083" s="6" t="str">
        <f t="shared" si="308"/>
        <v>SABIN J.</v>
      </c>
      <c r="C1083" s="7">
        <v>46034</v>
      </c>
      <c r="D1083" s="7">
        <v>46059</v>
      </c>
      <c r="E1083" s="8">
        <v>34</v>
      </c>
      <c r="F1083" s="6" t="str">
        <f t="shared" si="309"/>
        <v>01/26</v>
      </c>
      <c r="G1083" s="6" t="str">
        <f>"F600177827000000"</f>
        <v>F600177827000000</v>
      </c>
      <c r="H1083" s="6" t="str">
        <f>"1778 c/ Franja - 270"</f>
        <v>1778 c/ Franja - 270</v>
      </c>
      <c r="I1083" s="6" t="str">
        <f>"501885"</f>
        <v>501885</v>
      </c>
      <c r="J1083" s="6" t="str">
        <f>"AZUL WT 039774"</f>
        <v>AZUL WT 039774</v>
      </c>
      <c r="K1083" s="6" t="str">
        <f>"3539"</f>
        <v>3539</v>
      </c>
      <c r="L1083" s="6" t="str">
        <f t="shared" si="313"/>
        <v>Praia</v>
      </c>
      <c r="M1083" s="6" t="str">
        <f>"100x180+8"</f>
        <v>100x180+8</v>
      </c>
      <c r="N1083" s="6" t="str">
        <f t="shared" si="320"/>
        <v xml:space="preserve"> </v>
      </c>
      <c r="O1083" s="8">
        <v>15</v>
      </c>
      <c r="P1083" s="7">
        <v>46035</v>
      </c>
      <c r="R1083" s="8">
        <v>0</v>
      </c>
      <c r="U1083" s="8">
        <v>0</v>
      </c>
      <c r="X1083" s="8">
        <v>0</v>
      </c>
      <c r="Z1083" s="8">
        <v>0</v>
      </c>
      <c r="AC1083" s="8">
        <v>0</v>
      </c>
      <c r="AF1083" s="8">
        <v>0</v>
      </c>
      <c r="AH1083" s="7">
        <v>46059</v>
      </c>
      <c r="AN1083" s="8">
        <v>0</v>
      </c>
      <c r="AO1083" s="8">
        <v>15</v>
      </c>
    </row>
    <row r="1084" spans="1:41" x14ac:dyDescent="0.25">
      <c r="A1084" s="6" t="str">
        <f>"521-2026000023"</f>
        <v>521-2026000023</v>
      </c>
      <c r="B1084" s="6" t="str">
        <f>"SOCIETE"</f>
        <v>SOCIETE</v>
      </c>
      <c r="C1084" s="7">
        <v>46035</v>
      </c>
      <c r="D1084" s="7">
        <v>46094</v>
      </c>
      <c r="E1084" s="8">
        <v>1</v>
      </c>
      <c r="F1084" s="6" t="str">
        <f>"1081457"</f>
        <v>1081457</v>
      </c>
      <c r="G1084" s="6" t="str">
        <f>"J001173526000000"</f>
        <v>J001173526000000</v>
      </c>
      <c r="H1084" s="6" t="str">
        <f>"Conj. CZJ 1735 + CZJ"</f>
        <v>Conj. CZJ 1735 + CZJ</v>
      </c>
      <c r="I1084" s="6" t="str">
        <f>"300001"</f>
        <v>300001</v>
      </c>
      <c r="J1084" s="6" t="str">
        <f>"SORTIDAS 1"</f>
        <v>SORTIDAS 1</v>
      </c>
      <c r="K1084" s="6" t="str">
        <f>"4015"</f>
        <v>4015</v>
      </c>
      <c r="L1084" s="6" t="str">
        <f>"Conjunto/Jogos"</f>
        <v>Conjunto/Jogos</v>
      </c>
      <c r="M1084" s="6" t="str">
        <f>"(3 Pcs)"</f>
        <v>(3 Pcs)</v>
      </c>
      <c r="N1084" s="6" t="str">
        <f t="shared" si="320"/>
        <v xml:space="preserve"> </v>
      </c>
      <c r="O1084" s="8">
        <v>1260</v>
      </c>
      <c r="P1084" s="7">
        <v>46072</v>
      </c>
      <c r="R1084" s="8">
        <v>0</v>
      </c>
      <c r="S1084" s="7">
        <v>46077</v>
      </c>
      <c r="U1084" s="8">
        <v>0</v>
      </c>
      <c r="V1084" s="7">
        <v>46080</v>
      </c>
      <c r="X1084" s="8">
        <v>0</v>
      </c>
      <c r="Z1084" s="8">
        <v>0</v>
      </c>
      <c r="AA1084" s="7">
        <v>46092</v>
      </c>
      <c r="AC1084" s="8">
        <v>0</v>
      </c>
      <c r="AE1084" s="7">
        <v>46094</v>
      </c>
      <c r="AF1084" s="8">
        <v>0</v>
      </c>
      <c r="AH1084" s="7">
        <v>46094</v>
      </c>
      <c r="AN1084" s="8">
        <v>0</v>
      </c>
      <c r="AO1084" s="8">
        <v>1260</v>
      </c>
    </row>
    <row r="1085" spans="1:41" x14ac:dyDescent="0.25">
      <c r="A1085" s="6" t="str">
        <f>"521-2026000023"</f>
        <v>521-2026000023</v>
      </c>
      <c r="B1085" s="6" t="str">
        <f>"SOCIETE"</f>
        <v>SOCIETE</v>
      </c>
      <c r="C1085" s="7">
        <v>46035</v>
      </c>
      <c r="D1085" s="7">
        <v>46094</v>
      </c>
      <c r="E1085" s="8">
        <v>2</v>
      </c>
      <c r="F1085" s="6" t="str">
        <f>"1081457"</f>
        <v>1081457</v>
      </c>
      <c r="G1085" s="6" t="str">
        <f>"J300344744000000"</f>
        <v>J300344744000000</v>
      </c>
      <c r="H1085" s="6" t="str">
        <f>"Conj. PLR 3447 - 440"</f>
        <v>Conj. PLR 3447 - 440</v>
      </c>
      <c r="I1085" s="6" t="str">
        <f>"300001"</f>
        <v>300001</v>
      </c>
      <c r="J1085" s="6" t="str">
        <f>"SORTIDAS 1"</f>
        <v>SORTIDAS 1</v>
      </c>
      <c r="K1085" s="6" t="str">
        <f>"4015"</f>
        <v>4015</v>
      </c>
      <c r="L1085" s="6" t="str">
        <f>"Conjunto/Jogos"</f>
        <v>Conjunto/Jogos</v>
      </c>
      <c r="M1085" s="6" t="str">
        <f>"(3 Pcs)"</f>
        <v>(3 Pcs)</v>
      </c>
      <c r="N1085" s="6" t="str">
        <f t="shared" si="320"/>
        <v xml:space="preserve"> </v>
      </c>
      <c r="O1085" s="8">
        <v>1560</v>
      </c>
      <c r="P1085" s="7">
        <v>46072</v>
      </c>
      <c r="R1085" s="8">
        <v>0</v>
      </c>
      <c r="S1085" s="7">
        <v>46077</v>
      </c>
      <c r="U1085" s="8">
        <v>0</v>
      </c>
      <c r="V1085" s="7">
        <v>46080</v>
      </c>
      <c r="X1085" s="8">
        <v>0</v>
      </c>
      <c r="Z1085" s="8">
        <v>0</v>
      </c>
      <c r="AA1085" s="7">
        <v>46092</v>
      </c>
      <c r="AC1085" s="8">
        <v>0</v>
      </c>
      <c r="AE1085" s="7">
        <v>46094</v>
      </c>
      <c r="AF1085" s="8">
        <v>0</v>
      </c>
      <c r="AH1085" s="7">
        <v>46094</v>
      </c>
      <c r="AN1085" s="8">
        <v>0</v>
      </c>
      <c r="AO1085" s="8">
        <v>1560</v>
      </c>
    </row>
    <row r="1086" spans="1:41" x14ac:dyDescent="0.25">
      <c r="A1086" s="6" t="str">
        <f>"521-2026000024"</f>
        <v>521-2026000024</v>
      </c>
      <c r="B1086" s="6" t="str">
        <f>"SOCIETE"</f>
        <v>SOCIETE</v>
      </c>
      <c r="C1086" s="7">
        <v>46035</v>
      </c>
      <c r="D1086" s="7">
        <v>46164</v>
      </c>
      <c r="E1086" s="8">
        <v>1</v>
      </c>
      <c r="F1086" s="6" t="str">
        <f>"1081458"</f>
        <v>1081458</v>
      </c>
      <c r="G1086" s="6" t="str">
        <f>"J001173526000000"</f>
        <v>J001173526000000</v>
      </c>
      <c r="H1086" s="6" t="str">
        <f>"Conj. CZJ 1735 + CZJ"</f>
        <v>Conj. CZJ 1735 + CZJ</v>
      </c>
      <c r="I1086" s="6" t="str">
        <f>"300001"</f>
        <v>300001</v>
      </c>
      <c r="J1086" s="6" t="str">
        <f>"SORTIDAS 1"</f>
        <v>SORTIDAS 1</v>
      </c>
      <c r="K1086" s="6" t="str">
        <f>"4015"</f>
        <v>4015</v>
      </c>
      <c r="L1086" s="6" t="str">
        <f>"Conjunto/Jogos"</f>
        <v>Conjunto/Jogos</v>
      </c>
      <c r="M1086" s="6" t="str">
        <f>"(3 Pcs)"</f>
        <v>(3 Pcs)</v>
      </c>
      <c r="N1086" s="6" t="str">
        <f t="shared" si="320"/>
        <v xml:space="preserve"> </v>
      </c>
      <c r="O1086" s="8">
        <v>1665</v>
      </c>
      <c r="P1086" s="7">
        <v>46141</v>
      </c>
      <c r="R1086" s="8">
        <v>0</v>
      </c>
      <c r="S1086" s="7">
        <v>46147</v>
      </c>
      <c r="U1086" s="8">
        <v>0</v>
      </c>
      <c r="V1086" s="7">
        <v>46150</v>
      </c>
      <c r="X1086" s="8">
        <v>0</v>
      </c>
      <c r="Z1086" s="8">
        <v>0</v>
      </c>
      <c r="AA1086" s="7">
        <v>46162</v>
      </c>
      <c r="AC1086" s="8">
        <v>0</v>
      </c>
      <c r="AE1086" s="7">
        <v>46164</v>
      </c>
      <c r="AF1086" s="8">
        <v>0</v>
      </c>
      <c r="AH1086" s="7">
        <v>46164</v>
      </c>
      <c r="AN1086" s="8">
        <v>0</v>
      </c>
      <c r="AO1086" s="8">
        <v>1665</v>
      </c>
    </row>
    <row r="1087" spans="1:41" x14ac:dyDescent="0.25">
      <c r="A1087" s="6" t="str">
        <f>"521-2026000024"</f>
        <v>521-2026000024</v>
      </c>
      <c r="B1087" s="6" t="str">
        <f>"SOCIETE"</f>
        <v>SOCIETE</v>
      </c>
      <c r="C1087" s="7">
        <v>46035</v>
      </c>
      <c r="D1087" s="7">
        <v>46164</v>
      </c>
      <c r="E1087" s="8">
        <v>2</v>
      </c>
      <c r="F1087" s="6" t="str">
        <f>"1081458"</f>
        <v>1081458</v>
      </c>
      <c r="G1087" s="6" t="str">
        <f>"J300344744000000"</f>
        <v>J300344744000000</v>
      </c>
      <c r="H1087" s="6" t="str">
        <f>"Conj. PLR 3447 - 440"</f>
        <v>Conj. PLR 3447 - 440</v>
      </c>
      <c r="I1087" s="6" t="str">
        <f>"300001"</f>
        <v>300001</v>
      </c>
      <c r="J1087" s="6" t="str">
        <f>"SORTIDAS 1"</f>
        <v>SORTIDAS 1</v>
      </c>
      <c r="K1087" s="6" t="str">
        <f>"4015"</f>
        <v>4015</v>
      </c>
      <c r="L1087" s="6" t="str">
        <f>"Conjunto/Jogos"</f>
        <v>Conjunto/Jogos</v>
      </c>
      <c r="M1087" s="6" t="str">
        <f>"(3 Pcs)"</f>
        <v>(3 Pcs)</v>
      </c>
      <c r="N1087" s="6" t="str">
        <f t="shared" si="320"/>
        <v xml:space="preserve"> </v>
      </c>
      <c r="O1087" s="8">
        <v>1680</v>
      </c>
      <c r="P1087" s="7">
        <v>46141</v>
      </c>
      <c r="R1087" s="8">
        <v>0</v>
      </c>
      <c r="S1087" s="7">
        <v>46147</v>
      </c>
      <c r="U1087" s="8">
        <v>0</v>
      </c>
      <c r="V1087" s="7">
        <v>46150</v>
      </c>
      <c r="X1087" s="8">
        <v>0</v>
      </c>
      <c r="Z1087" s="8">
        <v>0</v>
      </c>
      <c r="AA1087" s="7">
        <v>46162</v>
      </c>
      <c r="AC1087" s="8">
        <v>0</v>
      </c>
      <c r="AE1087" s="7">
        <v>46164</v>
      </c>
      <c r="AF1087" s="8">
        <v>0</v>
      </c>
      <c r="AH1087" s="7">
        <v>46164</v>
      </c>
      <c r="AN1087" s="8">
        <v>0</v>
      </c>
      <c r="AO1087" s="8">
        <v>1680</v>
      </c>
    </row>
    <row r="1088" spans="1:41" x14ac:dyDescent="0.25">
      <c r="A1088" s="6" t="str">
        <f>"521-2026000025"</f>
        <v>521-2026000025</v>
      </c>
      <c r="B1088" s="6" t="str">
        <f>"PRINTEMP"</f>
        <v>PRINTEMP</v>
      </c>
      <c r="C1088" s="7">
        <v>46035</v>
      </c>
      <c r="D1088" s="7">
        <v>46101</v>
      </c>
      <c r="E1088" s="8">
        <v>1</v>
      </c>
      <c r="F1088" s="6" t="str">
        <f>"4001554472"</f>
        <v>4001554472</v>
      </c>
      <c r="G1088" s="6" t="str">
        <f>"F600236529000001"</f>
        <v>F600236529000001</v>
      </c>
      <c r="H1088" s="6" t="str">
        <f>"10-2365 C/ Franja -"</f>
        <v>10-2365 C/ Franja -</v>
      </c>
      <c r="I1088" s="6" t="str">
        <f>"204909"</f>
        <v>204909</v>
      </c>
      <c r="J1088" s="6" t="str">
        <f>"AMARELO 4909"</f>
        <v>AMARELO 4909</v>
      </c>
      <c r="K1088" s="6" t="str">
        <f>"3539"</f>
        <v>3539</v>
      </c>
      <c r="L1088" s="6" t="str">
        <f>"Praia"</f>
        <v>Praia</v>
      </c>
      <c r="M1088" s="6" t="str">
        <f>"100x180+8"</f>
        <v>100x180+8</v>
      </c>
      <c r="N1088" s="6" t="str">
        <f t="shared" si="320"/>
        <v xml:space="preserve"> </v>
      </c>
      <c r="O1088" s="8">
        <v>150</v>
      </c>
      <c r="P1088" s="7">
        <v>46079</v>
      </c>
      <c r="R1088" s="8">
        <v>0</v>
      </c>
      <c r="S1088" s="7">
        <v>46084</v>
      </c>
      <c r="U1088" s="8">
        <v>0</v>
      </c>
      <c r="V1088" s="7">
        <v>46087</v>
      </c>
      <c r="X1088" s="8">
        <v>0</v>
      </c>
      <c r="Z1088" s="8">
        <v>0</v>
      </c>
      <c r="AA1088" s="7">
        <v>46099</v>
      </c>
      <c r="AC1088" s="8">
        <v>0</v>
      </c>
      <c r="AE1088" s="7">
        <v>46101</v>
      </c>
      <c r="AF1088" s="8">
        <v>0</v>
      </c>
      <c r="AH1088" s="7">
        <v>46101</v>
      </c>
      <c r="AN1088" s="8">
        <v>0</v>
      </c>
      <c r="AO1088" s="8">
        <v>150</v>
      </c>
    </row>
    <row r="1089" spans="1:41" x14ac:dyDescent="0.25">
      <c r="A1089" s="6" t="str">
        <f>"521-2026000025"</f>
        <v>521-2026000025</v>
      </c>
      <c r="B1089" s="6" t="str">
        <f>"PRINTEMP"</f>
        <v>PRINTEMP</v>
      </c>
      <c r="C1089" s="7">
        <v>46035</v>
      </c>
      <c r="D1089" s="7">
        <v>46101</v>
      </c>
      <c r="E1089" s="8">
        <v>2</v>
      </c>
      <c r="F1089" s="6" t="str">
        <f>"4001554472"</f>
        <v>4001554472</v>
      </c>
      <c r="G1089" s="6" t="str">
        <f>"F600236529000001"</f>
        <v>F600236529000001</v>
      </c>
      <c r="H1089" s="6" t="str">
        <f>"10-2365 C/ Franja -"</f>
        <v>10-2365 C/ Franja -</v>
      </c>
      <c r="I1089" s="6" t="str">
        <f>"204468"</f>
        <v>204468</v>
      </c>
      <c r="J1089" s="6" t="str">
        <f>"TURQUESA 4468"</f>
        <v>TURQUESA 4468</v>
      </c>
      <c r="K1089" s="6" t="str">
        <f>"3539"</f>
        <v>3539</v>
      </c>
      <c r="L1089" s="6" t="str">
        <f>"Praia"</f>
        <v>Praia</v>
      </c>
      <c r="M1089" s="6" t="str">
        <f>"100x180+8"</f>
        <v>100x180+8</v>
      </c>
      <c r="N1089" s="6" t="str">
        <f t="shared" si="320"/>
        <v xml:space="preserve"> </v>
      </c>
      <c r="O1089" s="8">
        <v>150</v>
      </c>
      <c r="P1089" s="7">
        <v>46079</v>
      </c>
      <c r="R1089" s="8">
        <v>0</v>
      </c>
      <c r="S1089" s="7">
        <v>46084</v>
      </c>
      <c r="U1089" s="8">
        <v>0</v>
      </c>
      <c r="V1089" s="7">
        <v>46087</v>
      </c>
      <c r="X1089" s="8">
        <v>0</v>
      </c>
      <c r="Z1089" s="8">
        <v>0</v>
      </c>
      <c r="AA1089" s="7">
        <v>46099</v>
      </c>
      <c r="AC1089" s="8">
        <v>0</v>
      </c>
      <c r="AE1089" s="7">
        <v>46101</v>
      </c>
      <c r="AF1089" s="8">
        <v>0</v>
      </c>
      <c r="AH1089" s="7">
        <v>46101</v>
      </c>
      <c r="AN1089" s="8">
        <v>0</v>
      </c>
      <c r="AO1089" s="8">
        <v>150</v>
      </c>
    </row>
    <row r="1090" spans="1:41" x14ac:dyDescent="0.25">
      <c r="A1090" s="6" t="str">
        <f>"521-2026000026"</f>
        <v>521-2026000026</v>
      </c>
      <c r="B1090" s="6" t="str">
        <f>"PRINTEMP"</f>
        <v>PRINTEMP</v>
      </c>
      <c r="C1090" s="7">
        <v>46035</v>
      </c>
      <c r="D1090" s="7">
        <v>46101</v>
      </c>
      <c r="E1090" s="8">
        <v>1</v>
      </c>
      <c r="F1090" s="6" t="str">
        <f>"4001554472"</f>
        <v>4001554472</v>
      </c>
      <c r="G1090" s="6" t="str">
        <f>"F600166127000003"</f>
        <v>F600166127000003</v>
      </c>
      <c r="H1090" s="6" t="str">
        <f>"1661 c/ Franja 6 cm"</f>
        <v>1661 c/ Franja 6 cm</v>
      </c>
      <c r="I1090" s="6" t="str">
        <f>"502341"</f>
        <v>502341</v>
      </c>
      <c r="J1090" s="6" t="str">
        <f>"VERDE EP808606/TU0"</f>
        <v>VERDE EP808606/TU0</v>
      </c>
      <c r="K1090" s="6" t="str">
        <f>"2134"</f>
        <v>2134</v>
      </c>
      <c r="L1090" s="6" t="str">
        <f>"Lençóis"</f>
        <v>Lençóis</v>
      </c>
      <c r="M1090" s="6" t="str">
        <f>"93x165+6"</f>
        <v>93x165+6</v>
      </c>
      <c r="N1090" s="6" t="str">
        <f t="shared" si="320"/>
        <v xml:space="preserve"> </v>
      </c>
      <c r="O1090" s="8">
        <v>100</v>
      </c>
      <c r="P1090" s="7">
        <v>46066</v>
      </c>
      <c r="R1090" s="8">
        <v>0</v>
      </c>
      <c r="S1090" s="7">
        <v>46073</v>
      </c>
      <c r="U1090" s="8">
        <v>0</v>
      </c>
      <c r="V1090" s="7">
        <v>46084</v>
      </c>
      <c r="X1090" s="8">
        <v>0</v>
      </c>
      <c r="Z1090" s="8">
        <v>0</v>
      </c>
      <c r="AA1090" s="7">
        <v>46094</v>
      </c>
      <c r="AC1090" s="8">
        <v>0</v>
      </c>
      <c r="AE1090" s="7">
        <v>46098</v>
      </c>
      <c r="AF1090" s="8">
        <v>0</v>
      </c>
      <c r="AH1090" s="7">
        <v>46101</v>
      </c>
      <c r="AN1090" s="8">
        <v>0</v>
      </c>
      <c r="AO1090" s="8">
        <v>100</v>
      </c>
    </row>
    <row r="1091" spans="1:41" x14ac:dyDescent="0.25">
      <c r="A1091" s="6" t="str">
        <f t="shared" ref="A1091:A1102" si="321">"521-2026000027"</f>
        <v>521-2026000027</v>
      </c>
      <c r="B1091" s="6" t="str">
        <f t="shared" ref="B1091:B1110" si="322">"LOSCH HA"</f>
        <v>LOSCH HA</v>
      </c>
      <c r="C1091" s="7">
        <v>46041</v>
      </c>
      <c r="D1091" s="7">
        <v>46066</v>
      </c>
      <c r="E1091" s="8">
        <v>1</v>
      </c>
      <c r="F1091" s="6" t="str">
        <f t="shared" ref="F1091:F1102" si="323">"ENC.LOSCH -LANDHERZL"</f>
        <v>ENC.LOSCH -LANDHERZL</v>
      </c>
      <c r="G1091" s="6" t="str">
        <f>"C001090426004841"</f>
        <v>C001090426004841</v>
      </c>
      <c r="H1091" s="6" t="str">
        <f>"CZJ 0904 / 4841 - 26"</f>
        <v>CZJ 0904 / 4841 - 26</v>
      </c>
      <c r="I1091" s="6" t="str">
        <f>"200532"</f>
        <v>200532</v>
      </c>
      <c r="J1091" s="6" t="str">
        <f>"VERDE 532"</f>
        <v>VERDE 532</v>
      </c>
      <c r="K1091" s="6" t="str">
        <f t="shared" ref="K1091:K1106" si="324">"0830"</f>
        <v>0830</v>
      </c>
      <c r="L1091" s="6" t="str">
        <f t="shared" ref="L1091:L1106" si="325">"Cozinha"</f>
        <v>Cozinha</v>
      </c>
      <c r="M1091" s="6" t="str">
        <f t="shared" ref="M1091:M1106" si="326">"50x70"</f>
        <v>50x70</v>
      </c>
      <c r="N1091" s="6" t="str">
        <f>"5605247944244"</f>
        <v>5605247944244</v>
      </c>
      <c r="O1091" s="8">
        <v>120</v>
      </c>
      <c r="P1091" s="7">
        <v>46041</v>
      </c>
      <c r="R1091" s="8">
        <v>0</v>
      </c>
      <c r="U1091" s="8">
        <v>0</v>
      </c>
      <c r="X1091" s="8">
        <v>0</v>
      </c>
      <c r="Z1091" s="8">
        <v>0</v>
      </c>
      <c r="AC1091" s="8">
        <v>0</v>
      </c>
      <c r="AE1091" s="7">
        <v>46048</v>
      </c>
      <c r="AF1091" s="8">
        <v>0</v>
      </c>
      <c r="AH1091" s="7">
        <v>46066</v>
      </c>
      <c r="AN1091" s="8">
        <v>0</v>
      </c>
      <c r="AO1091" s="8">
        <v>120</v>
      </c>
    </row>
    <row r="1092" spans="1:41" x14ac:dyDescent="0.25">
      <c r="A1092" s="6" t="str">
        <f t="shared" si="321"/>
        <v>521-2026000027</v>
      </c>
      <c r="B1092" s="6" t="str">
        <f t="shared" si="322"/>
        <v>LOSCH HA</v>
      </c>
      <c r="C1092" s="7">
        <v>46041</v>
      </c>
      <c r="D1092" s="7">
        <v>46066</v>
      </c>
      <c r="E1092" s="8">
        <v>2</v>
      </c>
      <c r="F1092" s="6" t="str">
        <f t="shared" si="323"/>
        <v>ENC.LOSCH -LANDHERZL</v>
      </c>
      <c r="G1092" s="6" t="str">
        <f>"C001090426004503"</f>
        <v>C001090426004503</v>
      </c>
      <c r="H1092" s="6" t="str">
        <f>"CZJ 0904 / 4503 - 26"</f>
        <v>CZJ 0904 / 4503 - 26</v>
      </c>
      <c r="I1092" s="6" t="str">
        <f>"200532"</f>
        <v>200532</v>
      </c>
      <c r="J1092" s="6" t="str">
        <f>"VERDE 532"</f>
        <v>VERDE 532</v>
      </c>
      <c r="K1092" s="6" t="str">
        <f t="shared" si="324"/>
        <v>0830</v>
      </c>
      <c r="L1092" s="6" t="str">
        <f t="shared" si="325"/>
        <v>Cozinha</v>
      </c>
      <c r="M1092" s="6" t="str">
        <f t="shared" si="326"/>
        <v>50x70</v>
      </c>
      <c r="N1092" s="6" t="str">
        <f>"5605247941403"</f>
        <v>5605247941403</v>
      </c>
      <c r="O1092" s="8">
        <v>120</v>
      </c>
      <c r="P1092" s="7">
        <v>46041</v>
      </c>
      <c r="R1092" s="8">
        <v>0</v>
      </c>
      <c r="U1092" s="8">
        <v>0</v>
      </c>
      <c r="X1092" s="8">
        <v>0</v>
      </c>
      <c r="Z1092" s="8">
        <v>0</v>
      </c>
      <c r="AC1092" s="8">
        <v>0</v>
      </c>
      <c r="AE1092" s="7">
        <v>46048</v>
      </c>
      <c r="AF1092" s="8">
        <v>0</v>
      </c>
      <c r="AH1092" s="7">
        <v>46066</v>
      </c>
      <c r="AN1092" s="8">
        <v>0</v>
      </c>
      <c r="AO1092" s="8">
        <v>120</v>
      </c>
    </row>
    <row r="1093" spans="1:41" x14ac:dyDescent="0.25">
      <c r="A1093" s="6" t="str">
        <f t="shared" si="321"/>
        <v>521-2026000027</v>
      </c>
      <c r="B1093" s="6" t="str">
        <f t="shared" si="322"/>
        <v>LOSCH HA</v>
      </c>
      <c r="C1093" s="7">
        <v>46041</v>
      </c>
      <c r="D1093" s="7">
        <v>46066</v>
      </c>
      <c r="E1093" s="8">
        <v>3</v>
      </c>
      <c r="F1093" s="6" t="str">
        <f t="shared" si="323"/>
        <v>ENC.LOSCH -LANDHERZL</v>
      </c>
      <c r="G1093" s="6" t="str">
        <f>"C001090426004700"</f>
        <v>C001090426004700</v>
      </c>
      <c r="H1093" s="6" t="str">
        <f>"CZJ 0904 / 4700 - 26"</f>
        <v>CZJ 0904 / 4700 - 26</v>
      </c>
      <c r="I1093" s="6" t="str">
        <f>"200532"</f>
        <v>200532</v>
      </c>
      <c r="J1093" s="6" t="str">
        <f>"VERDE 532"</f>
        <v>VERDE 532</v>
      </c>
      <c r="K1093" s="6" t="str">
        <f t="shared" si="324"/>
        <v>0830</v>
      </c>
      <c r="L1093" s="6" t="str">
        <f t="shared" si="325"/>
        <v>Cozinha</v>
      </c>
      <c r="M1093" s="6" t="str">
        <f t="shared" si="326"/>
        <v>50x70</v>
      </c>
      <c r="N1093" s="6" t="str">
        <f>"5605247943001"</f>
        <v>5605247943001</v>
      </c>
      <c r="O1093" s="8">
        <v>120</v>
      </c>
      <c r="P1093" s="7">
        <v>46041</v>
      </c>
      <c r="R1093" s="8">
        <v>0</v>
      </c>
      <c r="U1093" s="8">
        <v>0</v>
      </c>
      <c r="X1093" s="8">
        <v>0</v>
      </c>
      <c r="Z1093" s="8">
        <v>0</v>
      </c>
      <c r="AC1093" s="8">
        <v>0</v>
      </c>
      <c r="AE1093" s="7">
        <v>46048</v>
      </c>
      <c r="AF1093" s="8">
        <v>0</v>
      </c>
      <c r="AH1093" s="7">
        <v>46066</v>
      </c>
      <c r="AN1093" s="8">
        <v>0</v>
      </c>
      <c r="AO1093" s="8">
        <v>120</v>
      </c>
    </row>
    <row r="1094" spans="1:41" x14ac:dyDescent="0.25">
      <c r="A1094" s="6" t="str">
        <f t="shared" si="321"/>
        <v>521-2026000027</v>
      </c>
      <c r="B1094" s="6" t="str">
        <f t="shared" si="322"/>
        <v>LOSCH HA</v>
      </c>
      <c r="C1094" s="7">
        <v>46041</v>
      </c>
      <c r="D1094" s="7">
        <v>46066</v>
      </c>
      <c r="E1094" s="8">
        <v>4</v>
      </c>
      <c r="F1094" s="6" t="str">
        <f t="shared" si="323"/>
        <v>ENC.LOSCH -LANDHERZL</v>
      </c>
      <c r="G1094" s="6" t="str">
        <f>"C001090426004404"</f>
        <v>C001090426004404</v>
      </c>
      <c r="H1094" s="6" t="str">
        <f>"CZJ 904 / 4404 - 260"</f>
        <v>CZJ 904 / 4404 - 260</v>
      </c>
      <c r="I1094" s="6" t="str">
        <f t="shared" ref="I1094:I1099" si="327">"202206"</f>
        <v>202206</v>
      </c>
      <c r="J1094" s="6" t="str">
        <f t="shared" ref="J1094:J1099" si="328">"CINZA 2206"</f>
        <v>CINZA 2206</v>
      </c>
      <c r="K1094" s="6" t="str">
        <f t="shared" si="324"/>
        <v>0830</v>
      </c>
      <c r="L1094" s="6" t="str">
        <f t="shared" si="325"/>
        <v>Cozinha</v>
      </c>
      <c r="M1094" s="6" t="str">
        <f t="shared" si="326"/>
        <v>50x70</v>
      </c>
      <c r="N1094" s="6" t="str">
        <f>"5605247939677"</f>
        <v>5605247939677</v>
      </c>
      <c r="O1094" s="8">
        <v>120</v>
      </c>
      <c r="P1094" s="7">
        <v>46041</v>
      </c>
      <c r="R1094" s="8">
        <v>0</v>
      </c>
      <c r="U1094" s="8">
        <v>0</v>
      </c>
      <c r="X1094" s="8">
        <v>0</v>
      </c>
      <c r="Z1094" s="8">
        <v>0</v>
      </c>
      <c r="AC1094" s="8">
        <v>0</v>
      </c>
      <c r="AE1094" s="7">
        <v>46048</v>
      </c>
      <c r="AF1094" s="8">
        <v>0</v>
      </c>
      <c r="AH1094" s="7">
        <v>46066</v>
      </c>
      <c r="AN1094" s="8">
        <v>0</v>
      </c>
      <c r="AO1094" s="8">
        <v>120</v>
      </c>
    </row>
    <row r="1095" spans="1:41" x14ac:dyDescent="0.25">
      <c r="A1095" s="6" t="str">
        <f t="shared" si="321"/>
        <v>521-2026000027</v>
      </c>
      <c r="B1095" s="6" t="str">
        <f t="shared" si="322"/>
        <v>LOSCH HA</v>
      </c>
      <c r="C1095" s="7">
        <v>46041</v>
      </c>
      <c r="D1095" s="7">
        <v>46066</v>
      </c>
      <c r="E1095" s="8">
        <v>5</v>
      </c>
      <c r="F1095" s="6" t="str">
        <f t="shared" si="323"/>
        <v>ENC.LOSCH -LANDHERZL</v>
      </c>
      <c r="G1095" s="6" t="str">
        <f>"C001090426004697"</f>
        <v>C001090426004697</v>
      </c>
      <c r="H1095" s="6" t="str">
        <f>"CZJ 904 / 4697 260 g"</f>
        <v>CZJ 904 / 4697 260 g</v>
      </c>
      <c r="I1095" s="6" t="str">
        <f t="shared" si="327"/>
        <v>202206</v>
      </c>
      <c r="J1095" s="6" t="str">
        <f t="shared" si="328"/>
        <v>CINZA 2206</v>
      </c>
      <c r="K1095" s="6" t="str">
        <f t="shared" si="324"/>
        <v>0830</v>
      </c>
      <c r="L1095" s="6" t="str">
        <f t="shared" si="325"/>
        <v>Cozinha</v>
      </c>
      <c r="M1095" s="6" t="str">
        <f t="shared" si="326"/>
        <v>50x70</v>
      </c>
      <c r="N1095" s="6" t="str">
        <f>"5605247943087"</f>
        <v>5605247943087</v>
      </c>
      <c r="O1095" s="8">
        <v>120</v>
      </c>
      <c r="P1095" s="7">
        <v>46041</v>
      </c>
      <c r="R1095" s="8">
        <v>0</v>
      </c>
      <c r="U1095" s="8">
        <v>0</v>
      </c>
      <c r="X1095" s="8">
        <v>0</v>
      </c>
      <c r="Z1095" s="8">
        <v>0</v>
      </c>
      <c r="AC1095" s="8">
        <v>0</v>
      </c>
      <c r="AE1095" s="7">
        <v>46048</v>
      </c>
      <c r="AF1095" s="8">
        <v>0</v>
      </c>
      <c r="AH1095" s="7">
        <v>46066</v>
      </c>
      <c r="AN1095" s="8">
        <v>0</v>
      </c>
      <c r="AO1095" s="8">
        <v>120</v>
      </c>
    </row>
    <row r="1096" spans="1:41" x14ac:dyDescent="0.25">
      <c r="A1096" s="6" t="str">
        <f t="shared" si="321"/>
        <v>521-2026000027</v>
      </c>
      <c r="B1096" s="6" t="str">
        <f t="shared" si="322"/>
        <v>LOSCH HA</v>
      </c>
      <c r="C1096" s="7">
        <v>46041</v>
      </c>
      <c r="D1096" s="7">
        <v>46066</v>
      </c>
      <c r="E1096" s="8">
        <v>6</v>
      </c>
      <c r="F1096" s="6" t="str">
        <f t="shared" si="323"/>
        <v>ENC.LOSCH -LANDHERZL</v>
      </c>
      <c r="G1096" s="6" t="str">
        <f>"C001090426006346"</f>
        <v>C001090426006346</v>
      </c>
      <c r="H1096" s="6" t="str">
        <f>"CZJ 0904 / 6346 - 26"</f>
        <v>CZJ 0904 / 6346 - 26</v>
      </c>
      <c r="I1096" s="6" t="str">
        <f t="shared" si="327"/>
        <v>202206</v>
      </c>
      <c r="J1096" s="6" t="str">
        <f t="shared" si="328"/>
        <v>CINZA 2206</v>
      </c>
      <c r="K1096" s="6" t="str">
        <f t="shared" si="324"/>
        <v>0830</v>
      </c>
      <c r="L1096" s="6" t="str">
        <f t="shared" si="325"/>
        <v>Cozinha</v>
      </c>
      <c r="M1096" s="6" t="str">
        <f t="shared" si="326"/>
        <v>50x70</v>
      </c>
      <c r="N1096" s="6" t="str">
        <f>"5605247946521"</f>
        <v>5605247946521</v>
      </c>
      <c r="O1096" s="8">
        <v>120</v>
      </c>
      <c r="P1096" s="7">
        <v>46041</v>
      </c>
      <c r="R1096" s="8">
        <v>0</v>
      </c>
      <c r="U1096" s="8">
        <v>0</v>
      </c>
      <c r="X1096" s="8">
        <v>0</v>
      </c>
      <c r="Z1096" s="8">
        <v>0</v>
      </c>
      <c r="AC1096" s="8">
        <v>0</v>
      </c>
      <c r="AE1096" s="7">
        <v>46048</v>
      </c>
      <c r="AF1096" s="8">
        <v>0</v>
      </c>
      <c r="AH1096" s="7">
        <v>46066</v>
      </c>
      <c r="AN1096" s="8">
        <v>0</v>
      </c>
      <c r="AO1096" s="8">
        <v>120</v>
      </c>
    </row>
    <row r="1097" spans="1:41" x14ac:dyDescent="0.25">
      <c r="A1097" s="6" t="str">
        <f t="shared" si="321"/>
        <v>521-2026000027</v>
      </c>
      <c r="B1097" s="6" t="str">
        <f t="shared" si="322"/>
        <v>LOSCH HA</v>
      </c>
      <c r="C1097" s="7">
        <v>46041</v>
      </c>
      <c r="D1097" s="7">
        <v>46066</v>
      </c>
      <c r="E1097" s="8">
        <v>7</v>
      </c>
      <c r="F1097" s="6" t="str">
        <f t="shared" si="323"/>
        <v>ENC.LOSCH -LANDHERZL</v>
      </c>
      <c r="G1097" s="6" t="str">
        <f>"C001090426006352"</f>
        <v>C001090426006352</v>
      </c>
      <c r="H1097" s="6" t="str">
        <f>"CZJ 0904 / 6352 - 26"</f>
        <v>CZJ 0904 / 6352 - 26</v>
      </c>
      <c r="I1097" s="6" t="str">
        <f t="shared" si="327"/>
        <v>202206</v>
      </c>
      <c r="J1097" s="6" t="str">
        <f t="shared" si="328"/>
        <v>CINZA 2206</v>
      </c>
      <c r="K1097" s="6" t="str">
        <f t="shared" si="324"/>
        <v>0830</v>
      </c>
      <c r="L1097" s="6" t="str">
        <f t="shared" si="325"/>
        <v>Cozinha</v>
      </c>
      <c r="M1097" s="6" t="str">
        <f t="shared" si="326"/>
        <v>50x70</v>
      </c>
      <c r="N1097" s="6" t="str">
        <f>"5605247946545"</f>
        <v>5605247946545</v>
      </c>
      <c r="O1097" s="8">
        <v>120</v>
      </c>
      <c r="P1097" s="7">
        <v>46041</v>
      </c>
      <c r="R1097" s="8">
        <v>0</v>
      </c>
      <c r="U1097" s="8">
        <v>0</v>
      </c>
      <c r="X1097" s="8">
        <v>0</v>
      </c>
      <c r="Z1097" s="8">
        <v>0</v>
      </c>
      <c r="AC1097" s="8">
        <v>0</v>
      </c>
      <c r="AE1097" s="7">
        <v>46048</v>
      </c>
      <c r="AF1097" s="8">
        <v>0</v>
      </c>
      <c r="AH1097" s="7">
        <v>46066</v>
      </c>
      <c r="AN1097" s="8">
        <v>0</v>
      </c>
      <c r="AO1097" s="8">
        <v>120</v>
      </c>
    </row>
    <row r="1098" spans="1:41" x14ac:dyDescent="0.25">
      <c r="A1098" s="6" t="str">
        <f t="shared" si="321"/>
        <v>521-2026000027</v>
      </c>
      <c r="B1098" s="6" t="str">
        <f t="shared" si="322"/>
        <v>LOSCH HA</v>
      </c>
      <c r="C1098" s="7">
        <v>46041</v>
      </c>
      <c r="D1098" s="7">
        <v>46066</v>
      </c>
      <c r="E1098" s="8">
        <v>8</v>
      </c>
      <c r="F1098" s="6" t="str">
        <f t="shared" si="323"/>
        <v>ENC.LOSCH -LANDHERZL</v>
      </c>
      <c r="G1098" s="6" t="str">
        <f>"C001090426006347"</f>
        <v>C001090426006347</v>
      </c>
      <c r="H1098" s="6" t="str">
        <f>"CZJ 0904 / 6347 - 26"</f>
        <v>CZJ 0904 / 6347 - 26</v>
      </c>
      <c r="I1098" s="6" t="str">
        <f t="shared" si="327"/>
        <v>202206</v>
      </c>
      <c r="J1098" s="6" t="str">
        <f t="shared" si="328"/>
        <v>CINZA 2206</v>
      </c>
      <c r="K1098" s="6" t="str">
        <f t="shared" si="324"/>
        <v>0830</v>
      </c>
      <c r="L1098" s="6" t="str">
        <f t="shared" si="325"/>
        <v>Cozinha</v>
      </c>
      <c r="M1098" s="6" t="str">
        <f t="shared" si="326"/>
        <v>50x70</v>
      </c>
      <c r="N1098" s="6" t="str">
        <f>"5605247946538"</f>
        <v>5605247946538</v>
      </c>
      <c r="O1098" s="8">
        <v>240</v>
      </c>
      <c r="P1098" s="7">
        <v>46041</v>
      </c>
      <c r="R1098" s="8">
        <v>0</v>
      </c>
      <c r="U1098" s="8">
        <v>0</v>
      </c>
      <c r="X1098" s="8">
        <v>0</v>
      </c>
      <c r="Z1098" s="8">
        <v>0</v>
      </c>
      <c r="AC1098" s="8">
        <v>0</v>
      </c>
      <c r="AE1098" s="7">
        <v>46048</v>
      </c>
      <c r="AF1098" s="8">
        <v>0</v>
      </c>
      <c r="AH1098" s="7">
        <v>46066</v>
      </c>
      <c r="AN1098" s="8">
        <v>0</v>
      </c>
      <c r="AO1098" s="8">
        <v>240</v>
      </c>
    </row>
    <row r="1099" spans="1:41" x14ac:dyDescent="0.25">
      <c r="A1099" s="6" t="str">
        <f t="shared" si="321"/>
        <v>521-2026000027</v>
      </c>
      <c r="B1099" s="6" t="str">
        <f t="shared" si="322"/>
        <v>LOSCH HA</v>
      </c>
      <c r="C1099" s="7">
        <v>46041</v>
      </c>
      <c r="D1099" s="7">
        <v>46066</v>
      </c>
      <c r="E1099" s="8">
        <v>9</v>
      </c>
      <c r="F1099" s="6" t="str">
        <f t="shared" si="323"/>
        <v>ENC.LOSCH -LANDHERZL</v>
      </c>
      <c r="G1099" s="6" t="str">
        <f>"C001090426006390"</f>
        <v>C001090426006390</v>
      </c>
      <c r="H1099" s="6" t="str">
        <f>"CZJ 0904 / 6390 - 26"</f>
        <v>CZJ 0904 / 6390 - 26</v>
      </c>
      <c r="I1099" s="6" t="str">
        <f t="shared" si="327"/>
        <v>202206</v>
      </c>
      <c r="J1099" s="6" t="str">
        <f t="shared" si="328"/>
        <v>CINZA 2206</v>
      </c>
      <c r="K1099" s="6" t="str">
        <f t="shared" si="324"/>
        <v>0830</v>
      </c>
      <c r="L1099" s="6" t="str">
        <f t="shared" si="325"/>
        <v>Cozinha</v>
      </c>
      <c r="M1099" s="6" t="str">
        <f t="shared" si="326"/>
        <v>50x70</v>
      </c>
      <c r="N1099" s="6" t="str">
        <f>" "</f>
        <v xml:space="preserve"> </v>
      </c>
      <c r="O1099" s="8">
        <v>120</v>
      </c>
      <c r="P1099" s="7">
        <v>46041</v>
      </c>
      <c r="R1099" s="8">
        <v>0</v>
      </c>
      <c r="U1099" s="8">
        <v>0</v>
      </c>
      <c r="X1099" s="8">
        <v>0</v>
      </c>
      <c r="Z1099" s="8">
        <v>0</v>
      </c>
      <c r="AC1099" s="8">
        <v>0</v>
      </c>
      <c r="AE1099" s="7">
        <v>46048</v>
      </c>
      <c r="AF1099" s="8">
        <v>0</v>
      </c>
      <c r="AH1099" s="7">
        <v>46066</v>
      </c>
      <c r="AN1099" s="8">
        <v>0</v>
      </c>
      <c r="AO1099" s="8">
        <v>120</v>
      </c>
    </row>
    <row r="1100" spans="1:41" x14ac:dyDescent="0.25">
      <c r="A1100" s="6" t="str">
        <f t="shared" si="321"/>
        <v>521-2026000027</v>
      </c>
      <c r="B1100" s="6" t="str">
        <f t="shared" si="322"/>
        <v>LOSCH HA</v>
      </c>
      <c r="C1100" s="7">
        <v>46041</v>
      </c>
      <c r="D1100" s="7">
        <v>46066</v>
      </c>
      <c r="E1100" s="8">
        <v>10</v>
      </c>
      <c r="F1100" s="6" t="str">
        <f t="shared" si="323"/>
        <v>ENC.LOSCH -LANDHERZL</v>
      </c>
      <c r="G1100" s="6" t="str">
        <f>"C001090426004127"</f>
        <v>C001090426004127</v>
      </c>
      <c r="H1100" s="6" t="str">
        <f>"CZJ 0904 / 4127 - 26"</f>
        <v>CZJ 0904 / 4127 - 26</v>
      </c>
      <c r="I1100" s="6" t="str">
        <f>"200532"</f>
        <v>200532</v>
      </c>
      <c r="J1100" s="6" t="str">
        <f>"VERDE 532"</f>
        <v>VERDE 532</v>
      </c>
      <c r="K1100" s="6" t="str">
        <f t="shared" si="324"/>
        <v>0830</v>
      </c>
      <c r="L1100" s="6" t="str">
        <f t="shared" si="325"/>
        <v>Cozinha</v>
      </c>
      <c r="M1100" s="6" t="str">
        <f t="shared" si="326"/>
        <v>50x70</v>
      </c>
      <c r="N1100" s="6" t="str">
        <f>"5605247933835"</f>
        <v>5605247933835</v>
      </c>
      <c r="O1100" s="8">
        <v>120</v>
      </c>
      <c r="P1100" s="7">
        <v>46041</v>
      </c>
      <c r="R1100" s="8">
        <v>0</v>
      </c>
      <c r="U1100" s="8">
        <v>0</v>
      </c>
      <c r="X1100" s="8">
        <v>0</v>
      </c>
      <c r="Z1100" s="8">
        <v>0</v>
      </c>
      <c r="AC1100" s="8">
        <v>0</v>
      </c>
      <c r="AE1100" s="7">
        <v>46048</v>
      </c>
      <c r="AF1100" s="8">
        <v>0</v>
      </c>
      <c r="AH1100" s="7">
        <v>46066</v>
      </c>
      <c r="AN1100" s="8">
        <v>0</v>
      </c>
      <c r="AO1100" s="8">
        <v>120</v>
      </c>
    </row>
    <row r="1101" spans="1:41" x14ac:dyDescent="0.25">
      <c r="A1101" s="6" t="str">
        <f t="shared" si="321"/>
        <v>521-2026000027</v>
      </c>
      <c r="B1101" s="6" t="str">
        <f t="shared" si="322"/>
        <v>LOSCH HA</v>
      </c>
      <c r="C1101" s="7">
        <v>46041</v>
      </c>
      <c r="D1101" s="7">
        <v>46066</v>
      </c>
      <c r="E1101" s="8">
        <v>11</v>
      </c>
      <c r="F1101" s="6" t="str">
        <f t="shared" si="323"/>
        <v>ENC.LOSCH -LANDHERZL</v>
      </c>
      <c r="G1101" s="6" t="str">
        <f>"C001090426003109"</f>
        <v>C001090426003109</v>
      </c>
      <c r="H1101" s="6" t="str">
        <f>"CZJ 0904/3109 - 260"</f>
        <v>CZJ 0904/3109 - 260</v>
      </c>
      <c r="I1101" s="6" t="str">
        <f>"200532"</f>
        <v>200532</v>
      </c>
      <c r="J1101" s="6" t="str">
        <f>"VERDE 532"</f>
        <v>VERDE 532</v>
      </c>
      <c r="K1101" s="6" t="str">
        <f t="shared" si="324"/>
        <v>0830</v>
      </c>
      <c r="L1101" s="6" t="str">
        <f t="shared" si="325"/>
        <v>Cozinha</v>
      </c>
      <c r="M1101" s="6" t="str">
        <f t="shared" si="326"/>
        <v>50x70</v>
      </c>
      <c r="N1101" s="6" t="str">
        <f>"5605247640535"</f>
        <v>5605247640535</v>
      </c>
      <c r="O1101" s="8">
        <v>120</v>
      </c>
      <c r="P1101" s="7">
        <v>46041</v>
      </c>
      <c r="R1101" s="8">
        <v>0</v>
      </c>
      <c r="U1101" s="8">
        <v>0</v>
      </c>
      <c r="X1101" s="8">
        <v>0</v>
      </c>
      <c r="Z1101" s="8">
        <v>0</v>
      </c>
      <c r="AC1101" s="8">
        <v>0</v>
      </c>
      <c r="AE1101" s="7">
        <v>46048</v>
      </c>
      <c r="AF1101" s="8">
        <v>0</v>
      </c>
      <c r="AH1101" s="7">
        <v>46066</v>
      </c>
      <c r="AN1101" s="8">
        <v>0</v>
      </c>
      <c r="AO1101" s="8">
        <v>120</v>
      </c>
    </row>
    <row r="1102" spans="1:41" x14ac:dyDescent="0.25">
      <c r="A1102" s="6" t="str">
        <f t="shared" si="321"/>
        <v>521-2026000027</v>
      </c>
      <c r="B1102" s="6" t="str">
        <f t="shared" si="322"/>
        <v>LOSCH HA</v>
      </c>
      <c r="C1102" s="7">
        <v>46041</v>
      </c>
      <c r="D1102" s="7">
        <v>46066</v>
      </c>
      <c r="E1102" s="8">
        <v>12</v>
      </c>
      <c r="F1102" s="6" t="str">
        <f t="shared" si="323"/>
        <v>ENC.LOSCH -LANDHERZL</v>
      </c>
      <c r="G1102" s="6" t="str">
        <f>"C001090426003114"</f>
        <v>C001090426003114</v>
      </c>
      <c r="H1102" s="6" t="str">
        <f>"CZJ 0904/3114 - 260"</f>
        <v>CZJ 0904/3114 - 260</v>
      </c>
      <c r="I1102" s="6" t="str">
        <f>"200532"</f>
        <v>200532</v>
      </c>
      <c r="J1102" s="6" t="str">
        <f>"VERDE 532"</f>
        <v>VERDE 532</v>
      </c>
      <c r="K1102" s="6" t="str">
        <f t="shared" si="324"/>
        <v>0830</v>
      </c>
      <c r="L1102" s="6" t="str">
        <f t="shared" si="325"/>
        <v>Cozinha</v>
      </c>
      <c r="M1102" s="6" t="str">
        <f t="shared" si="326"/>
        <v>50x70</v>
      </c>
      <c r="N1102" s="6" t="str">
        <f>"5605247640542"</f>
        <v>5605247640542</v>
      </c>
      <c r="O1102" s="8">
        <v>120</v>
      </c>
      <c r="P1102" s="7">
        <v>46041</v>
      </c>
      <c r="R1102" s="8">
        <v>0</v>
      </c>
      <c r="U1102" s="8">
        <v>0</v>
      </c>
      <c r="X1102" s="8">
        <v>0</v>
      </c>
      <c r="Z1102" s="8">
        <v>0</v>
      </c>
      <c r="AC1102" s="8">
        <v>0</v>
      </c>
      <c r="AE1102" s="7">
        <v>46048</v>
      </c>
      <c r="AF1102" s="8">
        <v>0</v>
      </c>
      <c r="AH1102" s="7">
        <v>46066</v>
      </c>
      <c r="AN1102" s="8">
        <v>0</v>
      </c>
      <c r="AO1102" s="8">
        <v>120</v>
      </c>
    </row>
    <row r="1103" spans="1:41" x14ac:dyDescent="0.25">
      <c r="A1103" s="6" t="str">
        <f>"521-2026000028"</f>
        <v>521-2026000028</v>
      </c>
      <c r="B1103" s="6" t="str">
        <f t="shared" si="322"/>
        <v>LOSCH HA</v>
      </c>
      <c r="C1103" s="7">
        <v>46041</v>
      </c>
      <c r="D1103" s="7">
        <v>46066</v>
      </c>
      <c r="E1103" s="8">
        <v>1</v>
      </c>
      <c r="F1103" s="6" t="str">
        <f>"ENC.LOSCH - BARBARA"</f>
        <v>ENC.LOSCH - BARBARA</v>
      </c>
      <c r="G1103" s="6" t="str">
        <f>"C001090426006096"</f>
        <v>C001090426006096</v>
      </c>
      <c r="H1103" s="6" t="str">
        <f>"CZJ 0904 / 6096 - 26"</f>
        <v>CZJ 0904 / 6096 - 26</v>
      </c>
      <c r="I1103" s="6" t="str">
        <f>"202206"</f>
        <v>202206</v>
      </c>
      <c r="J1103" s="6" t="str">
        <f>"CINZA 2206"</f>
        <v>CINZA 2206</v>
      </c>
      <c r="K1103" s="6" t="str">
        <f t="shared" si="324"/>
        <v>0830</v>
      </c>
      <c r="L1103" s="6" t="str">
        <f t="shared" si="325"/>
        <v>Cozinha</v>
      </c>
      <c r="M1103" s="6" t="str">
        <f t="shared" si="326"/>
        <v>50x70</v>
      </c>
      <c r="N1103" s="6" t="str">
        <f>" "</f>
        <v xml:space="preserve"> </v>
      </c>
      <c r="O1103" s="8">
        <v>420</v>
      </c>
      <c r="P1103" s="7">
        <v>46041</v>
      </c>
      <c r="R1103" s="8">
        <v>0</v>
      </c>
      <c r="U1103" s="8">
        <v>0</v>
      </c>
      <c r="X1103" s="8">
        <v>0</v>
      </c>
      <c r="Z1103" s="8">
        <v>0</v>
      </c>
      <c r="AC1103" s="8">
        <v>0</v>
      </c>
      <c r="AE1103" s="7">
        <v>46048</v>
      </c>
      <c r="AF1103" s="8">
        <v>0</v>
      </c>
      <c r="AH1103" s="7">
        <v>46066</v>
      </c>
      <c r="AN1103" s="8">
        <v>0</v>
      </c>
      <c r="AO1103" s="8">
        <v>420</v>
      </c>
    </row>
    <row r="1104" spans="1:41" x14ac:dyDescent="0.25">
      <c r="A1104" s="6" t="str">
        <f>"521-2026000028"</f>
        <v>521-2026000028</v>
      </c>
      <c r="B1104" s="6" t="str">
        <f t="shared" si="322"/>
        <v>LOSCH HA</v>
      </c>
      <c r="C1104" s="7">
        <v>46041</v>
      </c>
      <c r="D1104" s="7">
        <v>46066</v>
      </c>
      <c r="E1104" s="8">
        <v>2</v>
      </c>
      <c r="F1104" s="6" t="str">
        <f>"ENC.LOSCH - BARBARA"</f>
        <v>ENC.LOSCH - BARBARA</v>
      </c>
      <c r="G1104" s="6" t="str">
        <f>"C001090426006155"</f>
        <v>C001090426006155</v>
      </c>
      <c r="H1104" s="6" t="str">
        <f>"CZJ 0904 / 6155 - 26"</f>
        <v>CZJ 0904 / 6155 - 26</v>
      </c>
      <c r="I1104" s="6" t="str">
        <f>"202206"</f>
        <v>202206</v>
      </c>
      <c r="J1104" s="6" t="str">
        <f>"CINZA 2206"</f>
        <v>CINZA 2206</v>
      </c>
      <c r="K1104" s="6" t="str">
        <f t="shared" si="324"/>
        <v>0830</v>
      </c>
      <c r="L1104" s="6" t="str">
        <f t="shared" si="325"/>
        <v>Cozinha</v>
      </c>
      <c r="M1104" s="6" t="str">
        <f t="shared" si="326"/>
        <v>50x70</v>
      </c>
      <c r="N1104" s="6" t="str">
        <f>" "</f>
        <v xml:space="preserve"> </v>
      </c>
      <c r="O1104" s="8">
        <v>60</v>
      </c>
      <c r="P1104" s="7">
        <v>46041</v>
      </c>
      <c r="R1104" s="8">
        <v>0</v>
      </c>
      <c r="U1104" s="8">
        <v>0</v>
      </c>
      <c r="X1104" s="8">
        <v>0</v>
      </c>
      <c r="Z1104" s="8">
        <v>0</v>
      </c>
      <c r="AC1104" s="8">
        <v>0</v>
      </c>
      <c r="AE1104" s="7">
        <v>46048</v>
      </c>
      <c r="AF1104" s="8">
        <v>0</v>
      </c>
      <c r="AH1104" s="7">
        <v>46066</v>
      </c>
      <c r="AN1104" s="8">
        <v>0</v>
      </c>
      <c r="AO1104" s="8">
        <v>60</v>
      </c>
    </row>
    <row r="1105" spans="1:41" x14ac:dyDescent="0.25">
      <c r="A1105" s="6" t="str">
        <f>"521-2026000028"</f>
        <v>521-2026000028</v>
      </c>
      <c r="B1105" s="6" t="str">
        <f t="shared" si="322"/>
        <v>LOSCH HA</v>
      </c>
      <c r="C1105" s="7">
        <v>46041</v>
      </c>
      <c r="D1105" s="7">
        <v>46066</v>
      </c>
      <c r="E1105" s="8">
        <v>3</v>
      </c>
      <c r="F1105" s="6" t="str">
        <f>"ENC.LOSCH - BARBARA"</f>
        <v>ENC.LOSCH - BARBARA</v>
      </c>
      <c r="G1105" s="6" t="str">
        <f>"C001090426006158"</f>
        <v>C001090426006158</v>
      </c>
      <c r="H1105" s="6" t="str">
        <f>"CZJ 0904 / 6158 - 26"</f>
        <v>CZJ 0904 / 6158 - 26</v>
      </c>
      <c r="I1105" s="6" t="str">
        <f>"202206"</f>
        <v>202206</v>
      </c>
      <c r="J1105" s="6" t="str">
        <f>"CINZA 2206"</f>
        <v>CINZA 2206</v>
      </c>
      <c r="K1105" s="6" t="str">
        <f t="shared" si="324"/>
        <v>0830</v>
      </c>
      <c r="L1105" s="6" t="str">
        <f t="shared" si="325"/>
        <v>Cozinha</v>
      </c>
      <c r="M1105" s="6" t="str">
        <f t="shared" si="326"/>
        <v>50x70</v>
      </c>
      <c r="N1105" s="6" t="str">
        <f>" "</f>
        <v xml:space="preserve"> </v>
      </c>
      <c r="O1105" s="8">
        <v>300</v>
      </c>
      <c r="P1105" s="7">
        <v>46041</v>
      </c>
      <c r="R1105" s="8">
        <v>0</v>
      </c>
      <c r="U1105" s="8">
        <v>0</v>
      </c>
      <c r="X1105" s="8">
        <v>0</v>
      </c>
      <c r="Z1105" s="8">
        <v>0</v>
      </c>
      <c r="AC1105" s="8">
        <v>0</v>
      </c>
      <c r="AE1105" s="7">
        <v>46048</v>
      </c>
      <c r="AF1105" s="8">
        <v>0</v>
      </c>
      <c r="AH1105" s="7">
        <v>46066</v>
      </c>
      <c r="AN1105" s="8">
        <v>0</v>
      </c>
      <c r="AO1105" s="8">
        <v>300</v>
      </c>
    </row>
    <row r="1106" spans="1:41" x14ac:dyDescent="0.25">
      <c r="A1106" s="6" t="str">
        <f>"521-2026000028"</f>
        <v>521-2026000028</v>
      </c>
      <c r="B1106" s="6" t="str">
        <f t="shared" si="322"/>
        <v>LOSCH HA</v>
      </c>
      <c r="C1106" s="7">
        <v>46041</v>
      </c>
      <c r="D1106" s="7">
        <v>46066</v>
      </c>
      <c r="E1106" s="8">
        <v>4</v>
      </c>
      <c r="F1106" s="6" t="str">
        <f>"ENC.LOSCH - BARBARA"</f>
        <v>ENC.LOSCH - BARBARA</v>
      </c>
      <c r="G1106" s="6" t="str">
        <f>"C001090426006162"</f>
        <v>C001090426006162</v>
      </c>
      <c r="H1106" s="6" t="str">
        <f>"CZJ 0904 / 6162 - 26"</f>
        <v>CZJ 0904 / 6162 - 26</v>
      </c>
      <c r="I1106" s="6" t="str">
        <f>"202206"</f>
        <v>202206</v>
      </c>
      <c r="J1106" s="6" t="str">
        <f>"CINZA 2206"</f>
        <v>CINZA 2206</v>
      </c>
      <c r="K1106" s="6" t="str">
        <f t="shared" si="324"/>
        <v>0830</v>
      </c>
      <c r="L1106" s="6" t="str">
        <f t="shared" si="325"/>
        <v>Cozinha</v>
      </c>
      <c r="M1106" s="6" t="str">
        <f t="shared" si="326"/>
        <v>50x70</v>
      </c>
      <c r="N1106" s="6" t="str">
        <f>" "</f>
        <v xml:space="preserve"> </v>
      </c>
      <c r="O1106" s="8">
        <v>300</v>
      </c>
      <c r="P1106" s="7">
        <v>46041</v>
      </c>
      <c r="R1106" s="8">
        <v>0</v>
      </c>
      <c r="U1106" s="8">
        <v>0</v>
      </c>
      <c r="X1106" s="8">
        <v>0</v>
      </c>
      <c r="Z1106" s="8">
        <v>0</v>
      </c>
      <c r="AC1106" s="8">
        <v>0</v>
      </c>
      <c r="AE1106" s="7">
        <v>46048</v>
      </c>
      <c r="AF1106" s="8">
        <v>0</v>
      </c>
      <c r="AH1106" s="7">
        <v>46066</v>
      </c>
      <c r="AN1106" s="8">
        <v>0</v>
      </c>
      <c r="AO1106" s="8">
        <v>300</v>
      </c>
    </row>
    <row r="1107" spans="1:41" x14ac:dyDescent="0.25">
      <c r="A1107" s="6" t="str">
        <f>"521-2026000029"</f>
        <v>521-2026000029</v>
      </c>
      <c r="B1107" s="6" t="str">
        <f t="shared" si="322"/>
        <v>LOSCH HA</v>
      </c>
      <c r="C1107" s="7">
        <v>46041</v>
      </c>
      <c r="D1107" s="7">
        <v>46066</v>
      </c>
      <c r="E1107" s="8">
        <v>1</v>
      </c>
      <c r="F1107" s="6" t="str">
        <f>"ENC.LOSCH - LANDHERZ"</f>
        <v>ENC.LOSCH - LANDHERZ</v>
      </c>
      <c r="G1107" s="6" t="str">
        <f>"F110271050003631"</f>
        <v>F110271050003631</v>
      </c>
      <c r="H1107" s="6" t="str">
        <f>"FAJ 2710 / 3631 - 50"</f>
        <v>FAJ 2710 / 3631 - 50</v>
      </c>
      <c r="I1107" s="6" t="str">
        <f>"1"</f>
        <v>1</v>
      </c>
      <c r="J1107" s="6" t="str">
        <f>"BRANCO"</f>
        <v>BRANCO</v>
      </c>
      <c r="K1107" s="6" t="str">
        <f>"0520"</f>
        <v>0520</v>
      </c>
      <c r="L1107" s="6" t="str">
        <f>"Toalhetes"</f>
        <v>Toalhetes</v>
      </c>
      <c r="M1107" s="6" t="str">
        <f>"30x50"</f>
        <v>30x50</v>
      </c>
      <c r="N1107" s="6" t="str">
        <f>" "</f>
        <v xml:space="preserve"> </v>
      </c>
      <c r="O1107" s="8">
        <v>60</v>
      </c>
      <c r="P1107" s="7">
        <v>46041</v>
      </c>
      <c r="R1107" s="8">
        <v>0</v>
      </c>
      <c r="U1107" s="8">
        <v>0</v>
      </c>
      <c r="X1107" s="8">
        <v>0</v>
      </c>
      <c r="Z1107" s="8">
        <v>0</v>
      </c>
      <c r="AC1107" s="8">
        <v>0</v>
      </c>
      <c r="AE1107" s="7">
        <v>46048</v>
      </c>
      <c r="AF1107" s="8">
        <v>0</v>
      </c>
      <c r="AH1107" s="7">
        <v>46066</v>
      </c>
      <c r="AN1107" s="8">
        <v>0</v>
      </c>
      <c r="AO1107" s="8">
        <v>60</v>
      </c>
    </row>
    <row r="1108" spans="1:41" x14ac:dyDescent="0.25">
      <c r="A1108" s="6" t="str">
        <f>"521-2026000029"</f>
        <v>521-2026000029</v>
      </c>
      <c r="B1108" s="6" t="str">
        <f t="shared" si="322"/>
        <v>LOSCH HA</v>
      </c>
      <c r="C1108" s="7">
        <v>46041</v>
      </c>
      <c r="D1108" s="7">
        <v>46066</v>
      </c>
      <c r="E1108" s="8">
        <v>2</v>
      </c>
      <c r="F1108" s="6" t="str">
        <f>"ENC.LOSCH - LANDHERZ"</f>
        <v>ENC.LOSCH - LANDHERZ</v>
      </c>
      <c r="G1108" s="6" t="str">
        <f>"F110271050006402"</f>
        <v>F110271050006402</v>
      </c>
      <c r="H1108" s="6" t="str">
        <f>"FAJ 2710 / 6402 - 50"</f>
        <v>FAJ 2710 / 6402 - 50</v>
      </c>
      <c r="I1108" s="6" t="str">
        <f>"1"</f>
        <v>1</v>
      </c>
      <c r="J1108" s="6" t="str">
        <f>"BRANCO"</f>
        <v>BRANCO</v>
      </c>
      <c r="K1108" s="6" t="str">
        <f>"0520"</f>
        <v>0520</v>
      </c>
      <c r="L1108" s="6" t="str">
        <f>"Toalhetes"</f>
        <v>Toalhetes</v>
      </c>
      <c r="M1108" s="6" t="str">
        <f>"30x50"</f>
        <v>30x50</v>
      </c>
      <c r="N1108" s="6" t="str">
        <f>"5605247647480"</f>
        <v>5605247647480</v>
      </c>
      <c r="O1108" s="8">
        <v>180</v>
      </c>
      <c r="P1108" s="7">
        <v>46041</v>
      </c>
      <c r="R1108" s="8">
        <v>0</v>
      </c>
      <c r="U1108" s="8">
        <v>0</v>
      </c>
      <c r="X1108" s="8">
        <v>0</v>
      </c>
      <c r="Z1108" s="8">
        <v>0</v>
      </c>
      <c r="AC1108" s="8">
        <v>0</v>
      </c>
      <c r="AE1108" s="7">
        <v>46048</v>
      </c>
      <c r="AF1108" s="8">
        <v>0</v>
      </c>
      <c r="AH1108" s="7">
        <v>46066</v>
      </c>
      <c r="AN1108" s="8">
        <v>0</v>
      </c>
      <c r="AO1108" s="8">
        <v>180</v>
      </c>
    </row>
    <row r="1109" spans="1:41" x14ac:dyDescent="0.25">
      <c r="A1109" s="6" t="str">
        <f>"521-2026000029"</f>
        <v>521-2026000029</v>
      </c>
      <c r="B1109" s="6" t="str">
        <f t="shared" si="322"/>
        <v>LOSCH HA</v>
      </c>
      <c r="C1109" s="7">
        <v>46041</v>
      </c>
      <c r="D1109" s="7">
        <v>46066</v>
      </c>
      <c r="E1109" s="8">
        <v>3</v>
      </c>
      <c r="F1109" s="6" t="str">
        <f>"ENC.LOSCH - LANDHERZ"</f>
        <v>ENC.LOSCH - LANDHERZ</v>
      </c>
      <c r="G1109" s="6" t="str">
        <f>"F110271050004404"</f>
        <v>F110271050004404</v>
      </c>
      <c r="H1109" s="6" t="str">
        <f>"FAJ 2710 / 4404 - 50"</f>
        <v>FAJ 2710 / 4404 - 50</v>
      </c>
      <c r="I1109" s="6" t="str">
        <f>"1"</f>
        <v>1</v>
      </c>
      <c r="J1109" s="6" t="str">
        <f>"BRANCO"</f>
        <v>BRANCO</v>
      </c>
      <c r="K1109" s="6" t="str">
        <f>"0520"</f>
        <v>0520</v>
      </c>
      <c r="L1109" s="6" t="str">
        <f>"Toalhetes"</f>
        <v>Toalhetes</v>
      </c>
      <c r="M1109" s="6" t="str">
        <f>"30x50"</f>
        <v>30x50</v>
      </c>
      <c r="N1109" s="6" t="str">
        <f>"5605247939646"</f>
        <v>5605247939646</v>
      </c>
      <c r="O1109" s="8">
        <v>60</v>
      </c>
      <c r="P1109" s="7">
        <v>46041</v>
      </c>
      <c r="R1109" s="8">
        <v>0</v>
      </c>
      <c r="U1109" s="8">
        <v>0</v>
      </c>
      <c r="X1109" s="8">
        <v>0</v>
      </c>
      <c r="Z1109" s="8">
        <v>0</v>
      </c>
      <c r="AC1109" s="8">
        <v>0</v>
      </c>
      <c r="AE1109" s="7">
        <v>46048</v>
      </c>
      <c r="AF1109" s="8">
        <v>0</v>
      </c>
      <c r="AH1109" s="7">
        <v>46066</v>
      </c>
      <c r="AN1109" s="8">
        <v>0</v>
      </c>
      <c r="AO1109" s="8">
        <v>60</v>
      </c>
    </row>
    <row r="1110" spans="1:41" x14ac:dyDescent="0.25">
      <c r="A1110" s="6" t="str">
        <f>"521-2026000029"</f>
        <v>521-2026000029</v>
      </c>
      <c r="B1110" s="6" t="str">
        <f t="shared" si="322"/>
        <v>LOSCH HA</v>
      </c>
      <c r="C1110" s="7">
        <v>46041</v>
      </c>
      <c r="D1110" s="7">
        <v>46066</v>
      </c>
      <c r="E1110" s="8">
        <v>4</v>
      </c>
      <c r="F1110" s="6" t="str">
        <f>"ENC.LOSCH - LANDHERZ"</f>
        <v>ENC.LOSCH - LANDHERZ</v>
      </c>
      <c r="G1110" s="6" t="str">
        <f>"F110271050006347"</f>
        <v>F110271050006347</v>
      </c>
      <c r="H1110" s="6" t="str">
        <f>"FAJ 2710 / 6347 - 50"</f>
        <v>FAJ 2710 / 6347 - 50</v>
      </c>
      <c r="I1110" s="6" t="str">
        <f>"1670"</f>
        <v>1670</v>
      </c>
      <c r="J1110" s="6" t="str">
        <f>"BEGE 1670"</f>
        <v>BEGE 1670</v>
      </c>
      <c r="K1110" s="6" t="str">
        <f>"0520"</f>
        <v>0520</v>
      </c>
      <c r="L1110" s="6" t="str">
        <f>"Toalhetes"</f>
        <v>Toalhetes</v>
      </c>
      <c r="M1110" s="6" t="str">
        <f>"30x50"</f>
        <v>30x50</v>
      </c>
      <c r="N1110" s="6" t="str">
        <f t="shared" ref="N1110:N1141" si="329">" "</f>
        <v xml:space="preserve"> </v>
      </c>
      <c r="O1110" s="8">
        <v>120</v>
      </c>
      <c r="P1110" s="7">
        <v>46041</v>
      </c>
      <c r="R1110" s="8">
        <v>0</v>
      </c>
      <c r="U1110" s="8">
        <v>0</v>
      </c>
      <c r="X1110" s="8">
        <v>0</v>
      </c>
      <c r="Z1110" s="8">
        <v>0</v>
      </c>
      <c r="AC1110" s="8">
        <v>0</v>
      </c>
      <c r="AE1110" s="7">
        <v>46048</v>
      </c>
      <c r="AF1110" s="8">
        <v>0</v>
      </c>
      <c r="AH1110" s="7">
        <v>46066</v>
      </c>
      <c r="AN1110" s="8">
        <v>0</v>
      </c>
      <c r="AO1110" s="8">
        <v>120</v>
      </c>
    </row>
    <row r="1111" spans="1:41" x14ac:dyDescent="0.25">
      <c r="A1111" s="6" t="str">
        <f>"521-2026000030"</f>
        <v>521-2026000030</v>
      </c>
      <c r="B1111" s="6" t="str">
        <f>"WORLD MA"</f>
        <v>WORLD MA</v>
      </c>
      <c r="C1111" s="7">
        <v>46041</v>
      </c>
      <c r="D1111" s="7">
        <v>46087</v>
      </c>
      <c r="E1111" s="8">
        <v>1</v>
      </c>
      <c r="F1111" s="6" t="str">
        <f>"400735299"</f>
        <v>400735299</v>
      </c>
      <c r="G1111" s="6" t="str">
        <f>"F310605055000000"</f>
        <v>F310605055000000</v>
      </c>
      <c r="H1111" s="6" t="str">
        <f>"PLAR 6050 - 550 g/m²"</f>
        <v>PLAR 6050 - 550 g/m²</v>
      </c>
      <c r="I1111" s="6" t="str">
        <f>"201006"</f>
        <v>201006</v>
      </c>
      <c r="J1111" s="6" t="str">
        <f>"VERDE 1006"</f>
        <v>VERDE 1006</v>
      </c>
      <c r="K1111" s="6" t="str">
        <f>"1004"</f>
        <v>1004</v>
      </c>
      <c r="L1111" s="6" t="str">
        <f>"Toalhas"</f>
        <v>Toalhas</v>
      </c>
      <c r="M1111" s="6" t="str">
        <f>"41x71"</f>
        <v>41x71</v>
      </c>
      <c r="N1111" s="6" t="str">
        <f t="shared" si="329"/>
        <v xml:space="preserve"> </v>
      </c>
      <c r="O1111" s="8">
        <v>630</v>
      </c>
      <c r="P1111" s="7">
        <v>46063</v>
      </c>
      <c r="R1111" s="8">
        <v>0</v>
      </c>
      <c r="S1111" s="7">
        <v>46066</v>
      </c>
      <c r="U1111" s="8">
        <v>0</v>
      </c>
      <c r="V1111" s="7">
        <v>46073</v>
      </c>
      <c r="X1111" s="8">
        <v>0</v>
      </c>
      <c r="Z1111" s="8">
        <v>0</v>
      </c>
      <c r="AA1111" s="7">
        <v>46085</v>
      </c>
      <c r="AC1111" s="8">
        <v>0</v>
      </c>
      <c r="AE1111" s="7">
        <v>46087</v>
      </c>
      <c r="AF1111" s="8">
        <v>0</v>
      </c>
      <c r="AH1111" s="7">
        <v>46087</v>
      </c>
      <c r="AN1111" s="8">
        <v>0</v>
      </c>
      <c r="AO1111" s="8">
        <v>630</v>
      </c>
    </row>
    <row r="1112" spans="1:41" x14ac:dyDescent="0.25">
      <c r="A1112" s="6" t="str">
        <f>"521-2026000031"</f>
        <v>521-2026000031</v>
      </c>
      <c r="B1112" s="6" t="str">
        <f>"WORLD MA"</f>
        <v>WORLD MA</v>
      </c>
      <c r="C1112" s="7">
        <v>46041</v>
      </c>
      <c r="D1112" s="7">
        <v>46087</v>
      </c>
      <c r="E1112" s="8">
        <v>1</v>
      </c>
      <c r="F1112" s="6" t="str">
        <f>"200735299"</f>
        <v>200735299</v>
      </c>
      <c r="G1112" s="6" t="str">
        <f>"F310605055000000"</f>
        <v>F310605055000000</v>
      </c>
      <c r="H1112" s="6" t="str">
        <f>"PLAR 6050 - 550 g/m²"</f>
        <v>PLAR 6050 - 550 g/m²</v>
      </c>
      <c r="I1112" s="6" t="str">
        <f>"201006"</f>
        <v>201006</v>
      </c>
      <c r="J1112" s="6" t="str">
        <f>"VERDE 1006"</f>
        <v>VERDE 1006</v>
      </c>
      <c r="K1112" s="6" t="str">
        <f>"1004"</f>
        <v>1004</v>
      </c>
      <c r="L1112" s="6" t="str">
        <f>"Toalhas"</f>
        <v>Toalhas</v>
      </c>
      <c r="M1112" s="6" t="str">
        <f>"41x71"</f>
        <v>41x71</v>
      </c>
      <c r="N1112" s="6" t="str">
        <f t="shared" si="329"/>
        <v xml:space="preserve"> </v>
      </c>
      <c r="O1112" s="8">
        <v>840</v>
      </c>
      <c r="P1112" s="7">
        <v>46063</v>
      </c>
      <c r="R1112" s="8">
        <v>0</v>
      </c>
      <c r="S1112" s="7">
        <v>46066</v>
      </c>
      <c r="U1112" s="8">
        <v>0</v>
      </c>
      <c r="V1112" s="7">
        <v>46073</v>
      </c>
      <c r="X1112" s="8">
        <v>0</v>
      </c>
      <c r="Z1112" s="8">
        <v>0</v>
      </c>
      <c r="AA1112" s="7">
        <v>46085</v>
      </c>
      <c r="AC1112" s="8">
        <v>0</v>
      </c>
      <c r="AE1112" s="7">
        <v>46087</v>
      </c>
      <c r="AF1112" s="8">
        <v>0</v>
      </c>
      <c r="AH1112" s="7">
        <v>46087</v>
      </c>
      <c r="AN1112" s="8">
        <v>0</v>
      </c>
      <c r="AO1112" s="8">
        <v>840</v>
      </c>
    </row>
    <row r="1113" spans="1:41" x14ac:dyDescent="0.25">
      <c r="A1113" s="6" t="str">
        <f>"521-2026000032"</f>
        <v>521-2026000032</v>
      </c>
      <c r="B1113" s="6" t="str">
        <f>"SOCIETE"</f>
        <v>SOCIETE</v>
      </c>
      <c r="C1113" s="7">
        <v>46041</v>
      </c>
      <c r="D1113" s="7">
        <v>46087</v>
      </c>
      <c r="E1113" s="8">
        <v>3</v>
      </c>
      <c r="F1113" s="6" t="str">
        <f>"1081865"</f>
        <v>1081865</v>
      </c>
      <c r="G1113" s="6" t="str">
        <f>"R310335742000000"</f>
        <v>R310335742000000</v>
      </c>
      <c r="H1113" s="6" t="str">
        <f>"R 3357 - PLAR 5156 ("</f>
        <v>R 3357 - PLAR 5156 (</v>
      </c>
      <c r="I1113" s="6" t="str">
        <f>"201031"</f>
        <v>201031</v>
      </c>
      <c r="J1113" s="6" t="str">
        <f>"VERDE 1031"</f>
        <v>VERDE 1031</v>
      </c>
      <c r="K1113" s="6" t="str">
        <f>"5008"</f>
        <v>5008</v>
      </c>
      <c r="L1113" s="6" t="str">
        <f>"Roupões Adulto"</f>
        <v>Roupões Adulto</v>
      </c>
      <c r="M1113" s="6" t="str">
        <f>"XL"</f>
        <v>XL</v>
      </c>
      <c r="N1113" s="6" t="str">
        <f t="shared" si="329"/>
        <v xml:space="preserve"> </v>
      </c>
      <c r="O1113" s="8">
        <v>30</v>
      </c>
      <c r="P1113" s="7">
        <v>46062</v>
      </c>
      <c r="R1113" s="8">
        <v>0</v>
      </c>
      <c r="S1113" s="7">
        <v>46076</v>
      </c>
      <c r="U1113" s="8">
        <v>0</v>
      </c>
      <c r="V1113" s="7">
        <v>46072</v>
      </c>
      <c r="X1113" s="8">
        <v>0</v>
      </c>
      <c r="Z1113" s="8">
        <v>0</v>
      </c>
      <c r="AA1113" s="7">
        <v>46085</v>
      </c>
      <c r="AC1113" s="8">
        <v>0</v>
      </c>
      <c r="AE1113" s="7">
        <v>46087</v>
      </c>
      <c r="AF1113" s="8">
        <v>0</v>
      </c>
      <c r="AH1113" s="7">
        <v>46087</v>
      </c>
      <c r="AN1113" s="8">
        <v>0</v>
      </c>
      <c r="AO1113" s="8">
        <v>30</v>
      </c>
    </row>
    <row r="1114" spans="1:41" x14ac:dyDescent="0.25">
      <c r="A1114" s="6" t="str">
        <f>"521-2026000032"</f>
        <v>521-2026000032</v>
      </c>
      <c r="B1114" s="6" t="str">
        <f>"SOCIETE"</f>
        <v>SOCIETE</v>
      </c>
      <c r="C1114" s="7">
        <v>46041</v>
      </c>
      <c r="D1114" s="7">
        <v>46087</v>
      </c>
      <c r="E1114" s="8">
        <v>4</v>
      </c>
      <c r="F1114" s="6" t="str">
        <f>"1081865"</f>
        <v>1081865</v>
      </c>
      <c r="G1114" s="6" t="str">
        <f>"R310335742000000"</f>
        <v>R310335742000000</v>
      </c>
      <c r="H1114" s="6" t="str">
        <f>"R 3357 - PLAR 5156 ("</f>
        <v>R 3357 - PLAR 5156 (</v>
      </c>
      <c r="I1114" s="6" t="str">
        <f>"201031"</f>
        <v>201031</v>
      </c>
      <c r="J1114" s="6" t="str">
        <f>"VERDE 1031"</f>
        <v>VERDE 1031</v>
      </c>
      <c r="K1114" s="6" t="str">
        <f>"5010"</f>
        <v>5010</v>
      </c>
      <c r="L1114" s="6" t="str">
        <f>"Roupões Adulto"</f>
        <v>Roupões Adulto</v>
      </c>
      <c r="M1114" s="6" t="str">
        <f>"XXL"</f>
        <v>XXL</v>
      </c>
      <c r="N1114" s="6" t="str">
        <f t="shared" si="329"/>
        <v xml:space="preserve"> </v>
      </c>
      <c r="O1114" s="8">
        <v>15</v>
      </c>
      <c r="P1114" s="7">
        <v>46062</v>
      </c>
      <c r="R1114" s="8">
        <v>0</v>
      </c>
      <c r="S1114" s="7">
        <v>46076</v>
      </c>
      <c r="U1114" s="8">
        <v>0</v>
      </c>
      <c r="V1114" s="7">
        <v>46072</v>
      </c>
      <c r="X1114" s="8">
        <v>0</v>
      </c>
      <c r="Z1114" s="8">
        <v>0</v>
      </c>
      <c r="AA1114" s="7">
        <v>46085</v>
      </c>
      <c r="AC1114" s="8">
        <v>0</v>
      </c>
      <c r="AE1114" s="7">
        <v>46087</v>
      </c>
      <c r="AF1114" s="8">
        <v>0</v>
      </c>
      <c r="AH1114" s="7">
        <v>46087</v>
      </c>
      <c r="AN1114" s="8">
        <v>0</v>
      </c>
      <c r="AO1114" s="8">
        <v>15</v>
      </c>
    </row>
    <row r="1115" spans="1:41" x14ac:dyDescent="0.25">
      <c r="A1115" s="6" t="str">
        <f>"521-2026000033"</f>
        <v>521-2026000033</v>
      </c>
      <c r="B1115" s="6" t="str">
        <f>"SOCIETE"</f>
        <v>SOCIETE</v>
      </c>
      <c r="C1115" s="7">
        <v>46041</v>
      </c>
      <c r="D1115" s="7">
        <v>46087</v>
      </c>
      <c r="E1115" s="8">
        <v>4</v>
      </c>
      <c r="F1115" s="6" t="str">
        <f>"1081865"</f>
        <v>1081865</v>
      </c>
      <c r="G1115" s="6" t="str">
        <f>"J310515655000000"</f>
        <v>J310515655000000</v>
      </c>
      <c r="H1115" s="6" t="str">
        <f>"Conj. PLAR 5156 - 55"</f>
        <v>Conj. PLAR 5156 - 55</v>
      </c>
      <c r="I1115" s="6" t="str">
        <f>"201031"</f>
        <v>201031</v>
      </c>
      <c r="J1115" s="6" t="str">
        <f>"VERDE 1031"</f>
        <v>VERDE 1031</v>
      </c>
      <c r="K1115" s="6" t="str">
        <f>"4014"</f>
        <v>4014</v>
      </c>
      <c r="L1115" s="6" t="str">
        <f>"Conjunto/Jogos"</f>
        <v>Conjunto/Jogos</v>
      </c>
      <c r="M1115" s="6" t="str">
        <f>"(2 Pcs)"</f>
        <v>(2 Pcs)</v>
      </c>
      <c r="N1115" s="6" t="str">
        <f t="shared" si="329"/>
        <v xml:space="preserve"> </v>
      </c>
      <c r="O1115" s="8">
        <v>600</v>
      </c>
      <c r="P1115" s="7">
        <v>46062</v>
      </c>
      <c r="R1115" s="8">
        <v>0</v>
      </c>
      <c r="S1115" s="7">
        <v>46065</v>
      </c>
      <c r="U1115" s="8">
        <v>0</v>
      </c>
      <c r="V1115" s="7">
        <v>46072</v>
      </c>
      <c r="X1115" s="8">
        <v>0</v>
      </c>
      <c r="Z1115" s="8">
        <v>0</v>
      </c>
      <c r="AA1115" s="7">
        <v>46084</v>
      </c>
      <c r="AC1115" s="8">
        <v>0</v>
      </c>
      <c r="AE1115" s="7">
        <v>46086</v>
      </c>
      <c r="AF1115" s="8">
        <v>0</v>
      </c>
      <c r="AH1115" s="7">
        <v>46087</v>
      </c>
      <c r="AN1115" s="8">
        <v>0</v>
      </c>
      <c r="AO1115" s="8">
        <v>600</v>
      </c>
    </row>
    <row r="1116" spans="1:41" x14ac:dyDescent="0.25">
      <c r="A1116" s="6" t="str">
        <f t="shared" ref="A1116:A1147" si="330">"521-2026000034"</f>
        <v>521-2026000034</v>
      </c>
      <c r="B1116" s="6" t="str">
        <f t="shared" ref="B1116:B1163" si="331">"MAISON D"</f>
        <v>MAISON D</v>
      </c>
      <c r="C1116" s="7">
        <v>46042</v>
      </c>
      <c r="D1116" s="7">
        <v>46108</v>
      </c>
      <c r="E1116" s="8">
        <v>1</v>
      </c>
      <c r="F1116" s="6" t="str">
        <f t="shared" ref="F1116:F1163" si="332">" "</f>
        <v xml:space="preserve"> </v>
      </c>
      <c r="G1116" s="6" t="str">
        <f t="shared" ref="G1116:G1127" si="333">"F330315255000000"</f>
        <v>F330315255000000</v>
      </c>
      <c r="H1116" s="6" t="str">
        <f t="shared" ref="H1116:H1127" si="334">"PLA P 3152 Bio GOTS"</f>
        <v>PLA P 3152 Bio GOTS</v>
      </c>
      <c r="I1116" s="6" t="str">
        <f>"201868"</f>
        <v>201868</v>
      </c>
      <c r="J1116" s="6" t="str">
        <f>"LILAS 1868"</f>
        <v>LILAS 1868</v>
      </c>
      <c r="K1116" s="6" t="str">
        <f>"0520"</f>
        <v>0520</v>
      </c>
      <c r="L1116" s="6" t="str">
        <f>"Toalhetes"</f>
        <v>Toalhetes</v>
      </c>
      <c r="M1116" s="6" t="str">
        <f>"30x50"</f>
        <v>30x50</v>
      </c>
      <c r="N1116" s="6" t="str">
        <f t="shared" si="329"/>
        <v xml:space="preserve"> </v>
      </c>
      <c r="O1116" s="8">
        <v>600</v>
      </c>
      <c r="P1116" s="7">
        <v>46079</v>
      </c>
      <c r="R1116" s="8">
        <v>0</v>
      </c>
      <c r="S1116" s="7">
        <v>46084</v>
      </c>
      <c r="U1116" s="8">
        <v>0</v>
      </c>
      <c r="V1116" s="7">
        <v>46091</v>
      </c>
      <c r="X1116" s="8">
        <v>0</v>
      </c>
      <c r="Z1116" s="8">
        <v>0</v>
      </c>
      <c r="AA1116" s="7">
        <v>46105</v>
      </c>
      <c r="AC1116" s="8">
        <v>0</v>
      </c>
      <c r="AE1116" s="7">
        <v>46108</v>
      </c>
      <c r="AF1116" s="8">
        <v>0</v>
      </c>
      <c r="AH1116" s="7">
        <v>46108</v>
      </c>
      <c r="AN1116" s="8">
        <v>0</v>
      </c>
      <c r="AO1116" s="8">
        <v>600</v>
      </c>
    </row>
    <row r="1117" spans="1:41" x14ac:dyDescent="0.25">
      <c r="A1117" s="6" t="str">
        <f t="shared" si="330"/>
        <v>521-2026000034</v>
      </c>
      <c r="B1117" s="6" t="str">
        <f t="shared" si="331"/>
        <v>MAISON D</v>
      </c>
      <c r="C1117" s="7">
        <v>46042</v>
      </c>
      <c r="D1117" s="7">
        <v>46108</v>
      </c>
      <c r="E1117" s="8">
        <v>2</v>
      </c>
      <c r="F1117" s="6" t="str">
        <f t="shared" si="332"/>
        <v xml:space="preserve"> </v>
      </c>
      <c r="G1117" s="6" t="str">
        <f t="shared" si="333"/>
        <v>F330315255000000</v>
      </c>
      <c r="H1117" s="6" t="str">
        <f t="shared" si="334"/>
        <v>PLA P 3152 Bio GOTS</v>
      </c>
      <c r="I1117" s="6" t="str">
        <f>"201868"</f>
        <v>201868</v>
      </c>
      <c r="J1117" s="6" t="str">
        <f>"LILAS 1868"</f>
        <v>LILAS 1868</v>
      </c>
      <c r="K1117" s="6" t="str">
        <f>"1024"</f>
        <v>1024</v>
      </c>
      <c r="L1117" s="6" t="str">
        <f>"Toalhas"</f>
        <v>Toalhas</v>
      </c>
      <c r="M1117" s="6" t="str">
        <f>"50x100"</f>
        <v>50x100</v>
      </c>
      <c r="N1117" s="6" t="str">
        <f t="shared" si="329"/>
        <v xml:space="preserve"> </v>
      </c>
      <c r="O1117" s="8">
        <v>500</v>
      </c>
      <c r="P1117" s="7">
        <v>46079</v>
      </c>
      <c r="R1117" s="8">
        <v>0</v>
      </c>
      <c r="S1117" s="7">
        <v>46084</v>
      </c>
      <c r="U1117" s="8">
        <v>0</v>
      </c>
      <c r="V1117" s="7">
        <v>46091</v>
      </c>
      <c r="X1117" s="8">
        <v>0</v>
      </c>
      <c r="Z1117" s="8">
        <v>0</v>
      </c>
      <c r="AA1117" s="7">
        <v>46105</v>
      </c>
      <c r="AC1117" s="8">
        <v>0</v>
      </c>
      <c r="AE1117" s="7">
        <v>46108</v>
      </c>
      <c r="AF1117" s="8">
        <v>0</v>
      </c>
      <c r="AH1117" s="7">
        <v>46108</v>
      </c>
      <c r="AN1117" s="8">
        <v>0</v>
      </c>
      <c r="AO1117" s="8">
        <v>500</v>
      </c>
    </row>
    <row r="1118" spans="1:41" x14ac:dyDescent="0.25">
      <c r="A1118" s="6" t="str">
        <f t="shared" si="330"/>
        <v>521-2026000034</v>
      </c>
      <c r="B1118" s="6" t="str">
        <f t="shared" si="331"/>
        <v>MAISON D</v>
      </c>
      <c r="C1118" s="7">
        <v>46042</v>
      </c>
      <c r="D1118" s="7">
        <v>46108</v>
      </c>
      <c r="E1118" s="8">
        <v>3</v>
      </c>
      <c r="F1118" s="6" t="str">
        <f t="shared" si="332"/>
        <v xml:space="preserve"> </v>
      </c>
      <c r="G1118" s="6" t="str">
        <f t="shared" si="333"/>
        <v>F330315255000000</v>
      </c>
      <c r="H1118" s="6" t="str">
        <f t="shared" si="334"/>
        <v>PLA P 3152 Bio GOTS</v>
      </c>
      <c r="I1118" s="6" t="str">
        <f>"201868"</f>
        <v>201868</v>
      </c>
      <c r="J1118" s="6" t="str">
        <f>"LILAS 1868"</f>
        <v>LILAS 1868</v>
      </c>
      <c r="K1118" s="6" t="str">
        <f>"1535"</f>
        <v>1535</v>
      </c>
      <c r="L1118" s="6" t="str">
        <f>"Toalhões"</f>
        <v>Toalhões</v>
      </c>
      <c r="M1118" s="6" t="str">
        <f>"70x140"</f>
        <v>70x140</v>
      </c>
      <c r="N1118" s="6" t="str">
        <f t="shared" si="329"/>
        <v xml:space="preserve"> </v>
      </c>
      <c r="O1118" s="8">
        <v>400</v>
      </c>
      <c r="P1118" s="7">
        <v>46079</v>
      </c>
      <c r="R1118" s="8">
        <v>0</v>
      </c>
      <c r="S1118" s="7">
        <v>46084</v>
      </c>
      <c r="U1118" s="8">
        <v>0</v>
      </c>
      <c r="V1118" s="7">
        <v>46091</v>
      </c>
      <c r="X1118" s="8">
        <v>0</v>
      </c>
      <c r="Z1118" s="8">
        <v>0</v>
      </c>
      <c r="AA1118" s="7">
        <v>46105</v>
      </c>
      <c r="AC1118" s="8">
        <v>0</v>
      </c>
      <c r="AE1118" s="7">
        <v>46108</v>
      </c>
      <c r="AF1118" s="8">
        <v>0</v>
      </c>
      <c r="AH1118" s="7">
        <v>46108</v>
      </c>
      <c r="AN1118" s="8">
        <v>0</v>
      </c>
      <c r="AO1118" s="8">
        <v>400</v>
      </c>
    </row>
    <row r="1119" spans="1:41" x14ac:dyDescent="0.25">
      <c r="A1119" s="6" t="str">
        <f t="shared" si="330"/>
        <v>521-2026000034</v>
      </c>
      <c r="B1119" s="6" t="str">
        <f t="shared" si="331"/>
        <v>MAISON D</v>
      </c>
      <c r="C1119" s="7">
        <v>46042</v>
      </c>
      <c r="D1119" s="7">
        <v>46108</v>
      </c>
      <c r="E1119" s="8">
        <v>4</v>
      </c>
      <c r="F1119" s="6" t="str">
        <f t="shared" si="332"/>
        <v xml:space="preserve"> </v>
      </c>
      <c r="G1119" s="6" t="str">
        <f t="shared" si="333"/>
        <v>F330315255000000</v>
      </c>
      <c r="H1119" s="6" t="str">
        <f t="shared" si="334"/>
        <v>PLA P 3152 Bio GOTS</v>
      </c>
      <c r="I1119" s="6" t="str">
        <f>"204438"</f>
        <v>204438</v>
      </c>
      <c r="J1119" s="6" t="str">
        <f>"VERDE 4438"</f>
        <v>VERDE 4438</v>
      </c>
      <c r="K1119" s="6" t="str">
        <f>"0520"</f>
        <v>0520</v>
      </c>
      <c r="L1119" s="6" t="str">
        <f>"Toalhetes"</f>
        <v>Toalhetes</v>
      </c>
      <c r="M1119" s="6" t="str">
        <f>"30x50"</f>
        <v>30x50</v>
      </c>
      <c r="N1119" s="6" t="str">
        <f t="shared" si="329"/>
        <v xml:space="preserve"> </v>
      </c>
      <c r="O1119" s="8">
        <v>600</v>
      </c>
      <c r="P1119" s="7">
        <v>46079</v>
      </c>
      <c r="R1119" s="8">
        <v>0</v>
      </c>
      <c r="S1119" s="7">
        <v>46084</v>
      </c>
      <c r="U1119" s="8">
        <v>0</v>
      </c>
      <c r="V1119" s="7">
        <v>46091</v>
      </c>
      <c r="X1119" s="8">
        <v>0</v>
      </c>
      <c r="Z1119" s="8">
        <v>0</v>
      </c>
      <c r="AA1119" s="7">
        <v>46105</v>
      </c>
      <c r="AC1119" s="8">
        <v>0</v>
      </c>
      <c r="AE1119" s="7">
        <v>46108</v>
      </c>
      <c r="AF1119" s="8">
        <v>0</v>
      </c>
      <c r="AH1119" s="7">
        <v>46108</v>
      </c>
      <c r="AN1119" s="8">
        <v>0</v>
      </c>
      <c r="AO1119" s="8">
        <v>600</v>
      </c>
    </row>
    <row r="1120" spans="1:41" x14ac:dyDescent="0.25">
      <c r="A1120" s="6" t="str">
        <f t="shared" si="330"/>
        <v>521-2026000034</v>
      </c>
      <c r="B1120" s="6" t="str">
        <f t="shared" si="331"/>
        <v>MAISON D</v>
      </c>
      <c r="C1120" s="7">
        <v>46042</v>
      </c>
      <c r="D1120" s="7">
        <v>46108</v>
      </c>
      <c r="E1120" s="8">
        <v>5</v>
      </c>
      <c r="F1120" s="6" t="str">
        <f t="shared" si="332"/>
        <v xml:space="preserve"> </v>
      </c>
      <c r="G1120" s="6" t="str">
        <f t="shared" si="333"/>
        <v>F330315255000000</v>
      </c>
      <c r="H1120" s="6" t="str">
        <f t="shared" si="334"/>
        <v>PLA P 3152 Bio GOTS</v>
      </c>
      <c r="I1120" s="6" t="str">
        <f>"204438"</f>
        <v>204438</v>
      </c>
      <c r="J1120" s="6" t="str">
        <f>"VERDE 4438"</f>
        <v>VERDE 4438</v>
      </c>
      <c r="K1120" s="6" t="str">
        <f>"1024"</f>
        <v>1024</v>
      </c>
      <c r="L1120" s="6" t="str">
        <f>"Toalhas"</f>
        <v>Toalhas</v>
      </c>
      <c r="M1120" s="6" t="str">
        <f>"50x100"</f>
        <v>50x100</v>
      </c>
      <c r="N1120" s="6" t="str">
        <f t="shared" si="329"/>
        <v xml:space="preserve"> </v>
      </c>
      <c r="O1120" s="8">
        <v>500</v>
      </c>
      <c r="P1120" s="7">
        <v>46079</v>
      </c>
      <c r="R1120" s="8">
        <v>0</v>
      </c>
      <c r="S1120" s="7">
        <v>46084</v>
      </c>
      <c r="U1120" s="8">
        <v>0</v>
      </c>
      <c r="V1120" s="7">
        <v>46091</v>
      </c>
      <c r="X1120" s="8">
        <v>0</v>
      </c>
      <c r="Z1120" s="8">
        <v>0</v>
      </c>
      <c r="AA1120" s="7">
        <v>46105</v>
      </c>
      <c r="AC1120" s="8">
        <v>0</v>
      </c>
      <c r="AE1120" s="7">
        <v>46108</v>
      </c>
      <c r="AF1120" s="8">
        <v>0</v>
      </c>
      <c r="AH1120" s="7">
        <v>46108</v>
      </c>
      <c r="AN1120" s="8">
        <v>0</v>
      </c>
      <c r="AO1120" s="8">
        <v>500</v>
      </c>
    </row>
    <row r="1121" spans="1:41" x14ac:dyDescent="0.25">
      <c r="A1121" s="6" t="str">
        <f t="shared" si="330"/>
        <v>521-2026000034</v>
      </c>
      <c r="B1121" s="6" t="str">
        <f t="shared" si="331"/>
        <v>MAISON D</v>
      </c>
      <c r="C1121" s="7">
        <v>46042</v>
      </c>
      <c r="D1121" s="7">
        <v>46108</v>
      </c>
      <c r="E1121" s="8">
        <v>6</v>
      </c>
      <c r="F1121" s="6" t="str">
        <f t="shared" si="332"/>
        <v xml:space="preserve"> </v>
      </c>
      <c r="G1121" s="6" t="str">
        <f t="shared" si="333"/>
        <v>F330315255000000</v>
      </c>
      <c r="H1121" s="6" t="str">
        <f t="shared" si="334"/>
        <v>PLA P 3152 Bio GOTS</v>
      </c>
      <c r="I1121" s="6" t="str">
        <f>"204438"</f>
        <v>204438</v>
      </c>
      <c r="J1121" s="6" t="str">
        <f>"VERDE 4438"</f>
        <v>VERDE 4438</v>
      </c>
      <c r="K1121" s="6" t="str">
        <f>"1535"</f>
        <v>1535</v>
      </c>
      <c r="L1121" s="6" t="str">
        <f>"Toalhões"</f>
        <v>Toalhões</v>
      </c>
      <c r="M1121" s="6" t="str">
        <f>"70x140"</f>
        <v>70x140</v>
      </c>
      <c r="N1121" s="6" t="str">
        <f t="shared" si="329"/>
        <v xml:space="preserve"> </v>
      </c>
      <c r="O1121" s="8">
        <v>400</v>
      </c>
      <c r="P1121" s="7">
        <v>46079</v>
      </c>
      <c r="R1121" s="8">
        <v>0</v>
      </c>
      <c r="S1121" s="7">
        <v>46084</v>
      </c>
      <c r="U1121" s="8">
        <v>0</v>
      </c>
      <c r="V1121" s="7">
        <v>46091</v>
      </c>
      <c r="X1121" s="8">
        <v>0</v>
      </c>
      <c r="Z1121" s="8">
        <v>0</v>
      </c>
      <c r="AA1121" s="7">
        <v>46105</v>
      </c>
      <c r="AC1121" s="8">
        <v>0</v>
      </c>
      <c r="AE1121" s="7">
        <v>46108</v>
      </c>
      <c r="AF1121" s="8">
        <v>0</v>
      </c>
      <c r="AH1121" s="7">
        <v>46108</v>
      </c>
      <c r="AN1121" s="8">
        <v>0</v>
      </c>
      <c r="AO1121" s="8">
        <v>400</v>
      </c>
    </row>
    <row r="1122" spans="1:41" x14ac:dyDescent="0.25">
      <c r="A1122" s="6" t="str">
        <f t="shared" si="330"/>
        <v>521-2026000034</v>
      </c>
      <c r="B1122" s="6" t="str">
        <f t="shared" si="331"/>
        <v>MAISON D</v>
      </c>
      <c r="C1122" s="7">
        <v>46042</v>
      </c>
      <c r="D1122" s="7">
        <v>46108</v>
      </c>
      <c r="E1122" s="8">
        <v>7</v>
      </c>
      <c r="F1122" s="6" t="str">
        <f t="shared" si="332"/>
        <v xml:space="preserve"> </v>
      </c>
      <c r="G1122" s="6" t="str">
        <f t="shared" si="333"/>
        <v>F330315255000000</v>
      </c>
      <c r="H1122" s="6" t="str">
        <f t="shared" si="334"/>
        <v>PLA P 3152 Bio GOTS</v>
      </c>
      <c r="I1122" s="6" t="str">
        <f>"201829"</f>
        <v>201829</v>
      </c>
      <c r="J1122" s="6" t="str">
        <f>"ROSA 1829"</f>
        <v>ROSA 1829</v>
      </c>
      <c r="K1122" s="6" t="str">
        <f>"0520"</f>
        <v>0520</v>
      </c>
      <c r="L1122" s="6" t="str">
        <f>"Toalhetes"</f>
        <v>Toalhetes</v>
      </c>
      <c r="M1122" s="6" t="str">
        <f>"30x50"</f>
        <v>30x50</v>
      </c>
      <c r="N1122" s="6" t="str">
        <f t="shared" si="329"/>
        <v xml:space="preserve"> </v>
      </c>
      <c r="O1122" s="8">
        <v>600</v>
      </c>
      <c r="P1122" s="7">
        <v>46079</v>
      </c>
      <c r="R1122" s="8">
        <v>0</v>
      </c>
      <c r="S1122" s="7">
        <v>46084</v>
      </c>
      <c r="U1122" s="8">
        <v>0</v>
      </c>
      <c r="V1122" s="7">
        <v>46091</v>
      </c>
      <c r="X1122" s="8">
        <v>0</v>
      </c>
      <c r="Z1122" s="8">
        <v>0</v>
      </c>
      <c r="AA1122" s="7">
        <v>46105</v>
      </c>
      <c r="AC1122" s="8">
        <v>0</v>
      </c>
      <c r="AE1122" s="7">
        <v>46108</v>
      </c>
      <c r="AF1122" s="8">
        <v>0</v>
      </c>
      <c r="AH1122" s="7">
        <v>46108</v>
      </c>
      <c r="AN1122" s="8">
        <v>0</v>
      </c>
      <c r="AO1122" s="8">
        <v>600</v>
      </c>
    </row>
    <row r="1123" spans="1:41" x14ac:dyDescent="0.25">
      <c r="A1123" s="6" t="str">
        <f t="shared" si="330"/>
        <v>521-2026000034</v>
      </c>
      <c r="B1123" s="6" t="str">
        <f t="shared" si="331"/>
        <v>MAISON D</v>
      </c>
      <c r="C1123" s="7">
        <v>46042</v>
      </c>
      <c r="D1123" s="7">
        <v>46108</v>
      </c>
      <c r="E1123" s="8">
        <v>8</v>
      </c>
      <c r="F1123" s="6" t="str">
        <f t="shared" si="332"/>
        <v xml:space="preserve"> </v>
      </c>
      <c r="G1123" s="6" t="str">
        <f t="shared" si="333"/>
        <v>F330315255000000</v>
      </c>
      <c r="H1123" s="6" t="str">
        <f t="shared" si="334"/>
        <v>PLA P 3152 Bio GOTS</v>
      </c>
      <c r="I1123" s="6" t="str">
        <f>"201829"</f>
        <v>201829</v>
      </c>
      <c r="J1123" s="6" t="str">
        <f>"ROSA 1829"</f>
        <v>ROSA 1829</v>
      </c>
      <c r="K1123" s="6" t="str">
        <f>"1024"</f>
        <v>1024</v>
      </c>
      <c r="L1123" s="6" t="str">
        <f>"Toalhas"</f>
        <v>Toalhas</v>
      </c>
      <c r="M1123" s="6" t="str">
        <f>"50x100"</f>
        <v>50x100</v>
      </c>
      <c r="N1123" s="6" t="str">
        <f t="shared" si="329"/>
        <v xml:space="preserve"> </v>
      </c>
      <c r="O1123" s="8">
        <v>500</v>
      </c>
      <c r="P1123" s="7">
        <v>46079</v>
      </c>
      <c r="R1123" s="8">
        <v>0</v>
      </c>
      <c r="S1123" s="7">
        <v>46084</v>
      </c>
      <c r="U1123" s="8">
        <v>0</v>
      </c>
      <c r="V1123" s="7">
        <v>46091</v>
      </c>
      <c r="X1123" s="8">
        <v>0</v>
      </c>
      <c r="Z1123" s="8">
        <v>0</v>
      </c>
      <c r="AA1123" s="7">
        <v>46105</v>
      </c>
      <c r="AC1123" s="8">
        <v>0</v>
      </c>
      <c r="AE1123" s="7">
        <v>46108</v>
      </c>
      <c r="AF1123" s="8">
        <v>0</v>
      </c>
      <c r="AH1123" s="7">
        <v>46108</v>
      </c>
      <c r="AN1123" s="8">
        <v>0</v>
      </c>
      <c r="AO1123" s="8">
        <v>500</v>
      </c>
    </row>
    <row r="1124" spans="1:41" x14ac:dyDescent="0.25">
      <c r="A1124" s="6" t="str">
        <f t="shared" si="330"/>
        <v>521-2026000034</v>
      </c>
      <c r="B1124" s="6" t="str">
        <f t="shared" si="331"/>
        <v>MAISON D</v>
      </c>
      <c r="C1124" s="7">
        <v>46042</v>
      </c>
      <c r="D1124" s="7">
        <v>46108</v>
      </c>
      <c r="E1124" s="8">
        <v>9</v>
      </c>
      <c r="F1124" s="6" t="str">
        <f t="shared" si="332"/>
        <v xml:space="preserve"> </v>
      </c>
      <c r="G1124" s="6" t="str">
        <f t="shared" si="333"/>
        <v>F330315255000000</v>
      </c>
      <c r="H1124" s="6" t="str">
        <f t="shared" si="334"/>
        <v>PLA P 3152 Bio GOTS</v>
      </c>
      <c r="I1124" s="6" t="str">
        <f>"201829"</f>
        <v>201829</v>
      </c>
      <c r="J1124" s="6" t="str">
        <f>"ROSA 1829"</f>
        <v>ROSA 1829</v>
      </c>
      <c r="K1124" s="6" t="str">
        <f>"1535"</f>
        <v>1535</v>
      </c>
      <c r="L1124" s="6" t="str">
        <f>"Toalhões"</f>
        <v>Toalhões</v>
      </c>
      <c r="M1124" s="6" t="str">
        <f>"70x140"</f>
        <v>70x140</v>
      </c>
      <c r="N1124" s="6" t="str">
        <f t="shared" si="329"/>
        <v xml:space="preserve"> </v>
      </c>
      <c r="O1124" s="8">
        <v>400</v>
      </c>
      <c r="P1124" s="7">
        <v>46079</v>
      </c>
      <c r="R1124" s="8">
        <v>0</v>
      </c>
      <c r="S1124" s="7">
        <v>46084</v>
      </c>
      <c r="U1124" s="8">
        <v>0</v>
      </c>
      <c r="V1124" s="7">
        <v>46091</v>
      </c>
      <c r="X1124" s="8">
        <v>0</v>
      </c>
      <c r="Z1124" s="8">
        <v>0</v>
      </c>
      <c r="AA1124" s="7">
        <v>46105</v>
      </c>
      <c r="AC1124" s="8">
        <v>0</v>
      </c>
      <c r="AE1124" s="7">
        <v>46108</v>
      </c>
      <c r="AF1124" s="8">
        <v>0</v>
      </c>
      <c r="AH1124" s="7">
        <v>46108</v>
      </c>
      <c r="AN1124" s="8">
        <v>0</v>
      </c>
      <c r="AO1124" s="8">
        <v>400</v>
      </c>
    </row>
    <row r="1125" spans="1:41" x14ac:dyDescent="0.25">
      <c r="A1125" s="6" t="str">
        <f t="shared" si="330"/>
        <v>521-2026000034</v>
      </c>
      <c r="B1125" s="6" t="str">
        <f t="shared" si="331"/>
        <v>MAISON D</v>
      </c>
      <c r="C1125" s="7">
        <v>46042</v>
      </c>
      <c r="D1125" s="7">
        <v>46108</v>
      </c>
      <c r="E1125" s="8">
        <v>10</v>
      </c>
      <c r="F1125" s="6" t="str">
        <f t="shared" si="332"/>
        <v xml:space="preserve"> </v>
      </c>
      <c r="G1125" s="6" t="str">
        <f t="shared" si="333"/>
        <v>F330315255000000</v>
      </c>
      <c r="H1125" s="6" t="str">
        <f t="shared" si="334"/>
        <v>PLA P 3152 Bio GOTS</v>
      </c>
      <c r="I1125" s="6" t="str">
        <f>"204306"</f>
        <v>204306</v>
      </c>
      <c r="J1125" s="6" t="str">
        <f>"AZUL 4306"</f>
        <v>AZUL 4306</v>
      </c>
      <c r="K1125" s="6" t="str">
        <f>"0520"</f>
        <v>0520</v>
      </c>
      <c r="L1125" s="6" t="str">
        <f>"Toalhetes"</f>
        <v>Toalhetes</v>
      </c>
      <c r="M1125" s="6" t="str">
        <f>"30x50"</f>
        <v>30x50</v>
      </c>
      <c r="N1125" s="6" t="str">
        <f t="shared" si="329"/>
        <v xml:space="preserve"> </v>
      </c>
      <c r="O1125" s="8">
        <v>600</v>
      </c>
      <c r="P1125" s="7">
        <v>46079</v>
      </c>
      <c r="R1125" s="8">
        <v>0</v>
      </c>
      <c r="S1125" s="7">
        <v>46084</v>
      </c>
      <c r="U1125" s="8">
        <v>0</v>
      </c>
      <c r="V1125" s="7">
        <v>46091</v>
      </c>
      <c r="X1125" s="8">
        <v>0</v>
      </c>
      <c r="Z1125" s="8">
        <v>0</v>
      </c>
      <c r="AA1125" s="7">
        <v>46105</v>
      </c>
      <c r="AC1125" s="8">
        <v>0</v>
      </c>
      <c r="AE1125" s="7">
        <v>46108</v>
      </c>
      <c r="AF1125" s="8">
        <v>0</v>
      </c>
      <c r="AH1125" s="7">
        <v>46108</v>
      </c>
      <c r="AN1125" s="8">
        <v>0</v>
      </c>
      <c r="AO1125" s="8">
        <v>600</v>
      </c>
    </row>
    <row r="1126" spans="1:41" x14ac:dyDescent="0.25">
      <c r="A1126" s="6" t="str">
        <f t="shared" si="330"/>
        <v>521-2026000034</v>
      </c>
      <c r="B1126" s="6" t="str">
        <f t="shared" si="331"/>
        <v>MAISON D</v>
      </c>
      <c r="C1126" s="7">
        <v>46042</v>
      </c>
      <c r="D1126" s="7">
        <v>46108</v>
      </c>
      <c r="E1126" s="8">
        <v>11</v>
      </c>
      <c r="F1126" s="6" t="str">
        <f t="shared" si="332"/>
        <v xml:space="preserve"> </v>
      </c>
      <c r="G1126" s="6" t="str">
        <f t="shared" si="333"/>
        <v>F330315255000000</v>
      </c>
      <c r="H1126" s="6" t="str">
        <f t="shared" si="334"/>
        <v>PLA P 3152 Bio GOTS</v>
      </c>
      <c r="I1126" s="6" t="str">
        <f>"204306"</f>
        <v>204306</v>
      </c>
      <c r="J1126" s="6" t="str">
        <f>"AZUL 4306"</f>
        <v>AZUL 4306</v>
      </c>
      <c r="K1126" s="6" t="str">
        <f>"1024"</f>
        <v>1024</v>
      </c>
      <c r="L1126" s="6" t="str">
        <f>"Toalhas"</f>
        <v>Toalhas</v>
      </c>
      <c r="M1126" s="6" t="str">
        <f>"50x100"</f>
        <v>50x100</v>
      </c>
      <c r="N1126" s="6" t="str">
        <f t="shared" si="329"/>
        <v xml:space="preserve"> </v>
      </c>
      <c r="O1126" s="8">
        <v>500</v>
      </c>
      <c r="P1126" s="7">
        <v>46079</v>
      </c>
      <c r="R1126" s="8">
        <v>0</v>
      </c>
      <c r="S1126" s="7">
        <v>46084</v>
      </c>
      <c r="U1126" s="8">
        <v>0</v>
      </c>
      <c r="V1126" s="7">
        <v>46091</v>
      </c>
      <c r="X1126" s="8">
        <v>0</v>
      </c>
      <c r="Z1126" s="8">
        <v>0</v>
      </c>
      <c r="AA1126" s="7">
        <v>46105</v>
      </c>
      <c r="AC1126" s="8">
        <v>0</v>
      </c>
      <c r="AE1126" s="7">
        <v>46108</v>
      </c>
      <c r="AF1126" s="8">
        <v>0</v>
      </c>
      <c r="AH1126" s="7">
        <v>46108</v>
      </c>
      <c r="AN1126" s="8">
        <v>0</v>
      </c>
      <c r="AO1126" s="8">
        <v>500</v>
      </c>
    </row>
    <row r="1127" spans="1:41" x14ac:dyDescent="0.25">
      <c r="A1127" s="6" t="str">
        <f t="shared" si="330"/>
        <v>521-2026000034</v>
      </c>
      <c r="B1127" s="6" t="str">
        <f t="shared" si="331"/>
        <v>MAISON D</v>
      </c>
      <c r="C1127" s="7">
        <v>46042</v>
      </c>
      <c r="D1127" s="7">
        <v>46108</v>
      </c>
      <c r="E1127" s="8">
        <v>12</v>
      </c>
      <c r="F1127" s="6" t="str">
        <f t="shared" si="332"/>
        <v xml:space="preserve"> </v>
      </c>
      <c r="G1127" s="6" t="str">
        <f t="shared" si="333"/>
        <v>F330315255000000</v>
      </c>
      <c r="H1127" s="6" t="str">
        <f t="shared" si="334"/>
        <v>PLA P 3152 Bio GOTS</v>
      </c>
      <c r="I1127" s="6" t="str">
        <f>"204306"</f>
        <v>204306</v>
      </c>
      <c r="J1127" s="6" t="str">
        <f>"AZUL 4306"</f>
        <v>AZUL 4306</v>
      </c>
      <c r="K1127" s="6" t="str">
        <f>"1535"</f>
        <v>1535</v>
      </c>
      <c r="L1127" s="6" t="str">
        <f>"Toalhões"</f>
        <v>Toalhões</v>
      </c>
      <c r="M1127" s="6" t="str">
        <f>"70x140"</f>
        <v>70x140</v>
      </c>
      <c r="N1127" s="6" t="str">
        <f t="shared" si="329"/>
        <v xml:space="preserve"> </v>
      </c>
      <c r="O1127" s="8">
        <v>400</v>
      </c>
      <c r="P1127" s="7">
        <v>46079</v>
      </c>
      <c r="R1127" s="8">
        <v>0</v>
      </c>
      <c r="S1127" s="7">
        <v>46084</v>
      </c>
      <c r="U1127" s="8">
        <v>0</v>
      </c>
      <c r="V1127" s="7">
        <v>46091</v>
      </c>
      <c r="X1127" s="8">
        <v>0</v>
      </c>
      <c r="Z1127" s="8">
        <v>0</v>
      </c>
      <c r="AA1127" s="7">
        <v>46105</v>
      </c>
      <c r="AC1127" s="8">
        <v>0</v>
      </c>
      <c r="AE1127" s="7">
        <v>46108</v>
      </c>
      <c r="AF1127" s="8">
        <v>0</v>
      </c>
      <c r="AH1127" s="7">
        <v>46108</v>
      </c>
      <c r="AN1127" s="8">
        <v>0</v>
      </c>
      <c r="AO1127" s="8">
        <v>400</v>
      </c>
    </row>
    <row r="1128" spans="1:41" x14ac:dyDescent="0.25">
      <c r="A1128" s="6" t="str">
        <f t="shared" si="330"/>
        <v>521-2026000034</v>
      </c>
      <c r="B1128" s="6" t="str">
        <f t="shared" si="331"/>
        <v>MAISON D</v>
      </c>
      <c r="C1128" s="7">
        <v>46042</v>
      </c>
      <c r="D1128" s="7">
        <v>46108</v>
      </c>
      <c r="E1128" s="8">
        <v>13</v>
      </c>
      <c r="F1128" s="6" t="str">
        <f t="shared" si="332"/>
        <v xml:space="preserve"> </v>
      </c>
      <c r="G1128" s="6" t="str">
        <f t="shared" ref="G1128:G1133" si="335">"F330315055000000"</f>
        <v>F330315055000000</v>
      </c>
      <c r="H1128" s="6" t="str">
        <f t="shared" ref="H1128:H1135" si="336">"PLA P 3150 Bio GOTS"</f>
        <v>PLA P 3150 Bio GOTS</v>
      </c>
      <c r="I1128" s="6" t="str">
        <f>"200116"</f>
        <v>200116</v>
      </c>
      <c r="J1128" s="6" t="str">
        <f>"AMARELO 116"</f>
        <v>AMARELO 116</v>
      </c>
      <c r="K1128" s="6" t="str">
        <f>"0520"</f>
        <v>0520</v>
      </c>
      <c r="L1128" s="6" t="str">
        <f>"Toalhetes"</f>
        <v>Toalhetes</v>
      </c>
      <c r="M1128" s="6" t="str">
        <f>"30x50"</f>
        <v>30x50</v>
      </c>
      <c r="N1128" s="6" t="str">
        <f t="shared" si="329"/>
        <v xml:space="preserve"> </v>
      </c>
      <c r="O1128" s="8">
        <v>1200</v>
      </c>
      <c r="P1128" s="7">
        <v>46079</v>
      </c>
      <c r="R1128" s="8">
        <v>0</v>
      </c>
      <c r="S1128" s="7">
        <v>46084</v>
      </c>
      <c r="U1128" s="8">
        <v>0</v>
      </c>
      <c r="V1128" s="7">
        <v>46091</v>
      </c>
      <c r="X1128" s="8">
        <v>0</v>
      </c>
      <c r="Z1128" s="8">
        <v>0</v>
      </c>
      <c r="AA1128" s="7">
        <v>46105</v>
      </c>
      <c r="AC1128" s="8">
        <v>0</v>
      </c>
      <c r="AE1128" s="7">
        <v>46108</v>
      </c>
      <c r="AF1128" s="8">
        <v>0</v>
      </c>
      <c r="AH1128" s="7">
        <v>46108</v>
      </c>
      <c r="AN1128" s="8">
        <v>0</v>
      </c>
      <c r="AO1128" s="8">
        <v>1200</v>
      </c>
    </row>
    <row r="1129" spans="1:41" x14ac:dyDescent="0.25">
      <c r="A1129" s="6" t="str">
        <f t="shared" si="330"/>
        <v>521-2026000034</v>
      </c>
      <c r="B1129" s="6" t="str">
        <f t="shared" si="331"/>
        <v>MAISON D</v>
      </c>
      <c r="C1129" s="7">
        <v>46042</v>
      </c>
      <c r="D1129" s="7">
        <v>46108</v>
      </c>
      <c r="E1129" s="8">
        <v>14</v>
      </c>
      <c r="F1129" s="6" t="str">
        <f t="shared" si="332"/>
        <v xml:space="preserve"> </v>
      </c>
      <c r="G1129" s="6" t="str">
        <f t="shared" si="335"/>
        <v>F330315055000000</v>
      </c>
      <c r="H1129" s="6" t="str">
        <f t="shared" si="336"/>
        <v>PLA P 3150 Bio GOTS</v>
      </c>
      <c r="I1129" s="6" t="str">
        <f>"200116"</f>
        <v>200116</v>
      </c>
      <c r="J1129" s="6" t="str">
        <f>"AMARELO 116"</f>
        <v>AMARELO 116</v>
      </c>
      <c r="K1129" s="6" t="str">
        <f>"1024"</f>
        <v>1024</v>
      </c>
      <c r="L1129" s="6" t="str">
        <f>"Toalhas"</f>
        <v>Toalhas</v>
      </c>
      <c r="M1129" s="6" t="str">
        <f>"50x100"</f>
        <v>50x100</v>
      </c>
      <c r="N1129" s="6" t="str">
        <f t="shared" si="329"/>
        <v xml:space="preserve"> </v>
      </c>
      <c r="O1129" s="8">
        <v>800</v>
      </c>
      <c r="P1129" s="7">
        <v>46079</v>
      </c>
      <c r="R1129" s="8">
        <v>0</v>
      </c>
      <c r="S1129" s="7">
        <v>46084</v>
      </c>
      <c r="U1129" s="8">
        <v>0</v>
      </c>
      <c r="V1129" s="7">
        <v>46091</v>
      </c>
      <c r="X1129" s="8">
        <v>0</v>
      </c>
      <c r="Z1129" s="8">
        <v>0</v>
      </c>
      <c r="AA1129" s="7">
        <v>46105</v>
      </c>
      <c r="AC1129" s="8">
        <v>0</v>
      </c>
      <c r="AE1129" s="7">
        <v>46108</v>
      </c>
      <c r="AF1129" s="8">
        <v>0</v>
      </c>
      <c r="AH1129" s="7">
        <v>46108</v>
      </c>
      <c r="AN1129" s="8">
        <v>0</v>
      </c>
      <c r="AO1129" s="8">
        <v>800</v>
      </c>
    </row>
    <row r="1130" spans="1:41" x14ac:dyDescent="0.25">
      <c r="A1130" s="6" t="str">
        <f t="shared" si="330"/>
        <v>521-2026000034</v>
      </c>
      <c r="B1130" s="6" t="str">
        <f t="shared" si="331"/>
        <v>MAISON D</v>
      </c>
      <c r="C1130" s="7">
        <v>46042</v>
      </c>
      <c r="D1130" s="7">
        <v>46108</v>
      </c>
      <c r="E1130" s="8">
        <v>15</v>
      </c>
      <c r="F1130" s="6" t="str">
        <f t="shared" si="332"/>
        <v xml:space="preserve"> </v>
      </c>
      <c r="G1130" s="6" t="str">
        <f t="shared" si="335"/>
        <v>F330315055000000</v>
      </c>
      <c r="H1130" s="6" t="str">
        <f t="shared" si="336"/>
        <v>PLA P 3150 Bio GOTS</v>
      </c>
      <c r="I1130" s="6" t="str">
        <f>"200116"</f>
        <v>200116</v>
      </c>
      <c r="J1130" s="6" t="str">
        <f>"AMARELO 116"</f>
        <v>AMARELO 116</v>
      </c>
      <c r="K1130" s="6" t="str">
        <f>"1535"</f>
        <v>1535</v>
      </c>
      <c r="L1130" s="6" t="str">
        <f>"Toalhões"</f>
        <v>Toalhões</v>
      </c>
      <c r="M1130" s="6" t="str">
        <f>"70x140"</f>
        <v>70x140</v>
      </c>
      <c r="N1130" s="6" t="str">
        <f t="shared" si="329"/>
        <v xml:space="preserve"> </v>
      </c>
      <c r="O1130" s="8">
        <v>400</v>
      </c>
      <c r="P1130" s="7">
        <v>46079</v>
      </c>
      <c r="R1130" s="8">
        <v>0</v>
      </c>
      <c r="S1130" s="7">
        <v>46084</v>
      </c>
      <c r="U1130" s="8">
        <v>0</v>
      </c>
      <c r="V1130" s="7">
        <v>46091</v>
      </c>
      <c r="X1130" s="8">
        <v>0</v>
      </c>
      <c r="Z1130" s="8">
        <v>0</v>
      </c>
      <c r="AA1130" s="7">
        <v>46105</v>
      </c>
      <c r="AC1130" s="8">
        <v>0</v>
      </c>
      <c r="AE1130" s="7">
        <v>46108</v>
      </c>
      <c r="AF1130" s="8">
        <v>0</v>
      </c>
      <c r="AH1130" s="7">
        <v>46108</v>
      </c>
      <c r="AN1130" s="8">
        <v>0</v>
      </c>
      <c r="AO1130" s="8">
        <v>400</v>
      </c>
    </row>
    <row r="1131" spans="1:41" x14ac:dyDescent="0.25">
      <c r="A1131" s="6" t="str">
        <f t="shared" si="330"/>
        <v>521-2026000034</v>
      </c>
      <c r="B1131" s="6" t="str">
        <f t="shared" si="331"/>
        <v>MAISON D</v>
      </c>
      <c r="C1131" s="7">
        <v>46042</v>
      </c>
      <c r="D1131" s="7">
        <v>46108</v>
      </c>
      <c r="E1131" s="8">
        <v>16</v>
      </c>
      <c r="F1131" s="6" t="str">
        <f t="shared" si="332"/>
        <v xml:space="preserve"> </v>
      </c>
      <c r="G1131" s="6" t="str">
        <f t="shared" si="335"/>
        <v>F330315055000000</v>
      </c>
      <c r="H1131" s="6" t="str">
        <f t="shared" si="336"/>
        <v>PLA P 3150 Bio GOTS</v>
      </c>
      <c r="I1131" s="6" t="str">
        <f>"204306"</f>
        <v>204306</v>
      </c>
      <c r="J1131" s="6" t="str">
        <f>"AZUL 4306"</f>
        <v>AZUL 4306</v>
      </c>
      <c r="K1131" s="6" t="str">
        <f>"0520"</f>
        <v>0520</v>
      </c>
      <c r="L1131" s="6" t="str">
        <f>"Toalhetes"</f>
        <v>Toalhetes</v>
      </c>
      <c r="M1131" s="6" t="str">
        <f>"30x50"</f>
        <v>30x50</v>
      </c>
      <c r="N1131" s="6" t="str">
        <f t="shared" si="329"/>
        <v xml:space="preserve"> </v>
      </c>
      <c r="O1131" s="8">
        <v>1200</v>
      </c>
      <c r="P1131" s="7">
        <v>46079</v>
      </c>
      <c r="R1131" s="8">
        <v>0</v>
      </c>
      <c r="S1131" s="7">
        <v>46084</v>
      </c>
      <c r="U1131" s="8">
        <v>0</v>
      </c>
      <c r="V1131" s="7">
        <v>46091</v>
      </c>
      <c r="X1131" s="8">
        <v>0</v>
      </c>
      <c r="Z1131" s="8">
        <v>0</v>
      </c>
      <c r="AA1131" s="7">
        <v>46105</v>
      </c>
      <c r="AC1131" s="8">
        <v>0</v>
      </c>
      <c r="AE1131" s="7">
        <v>46108</v>
      </c>
      <c r="AF1131" s="8">
        <v>0</v>
      </c>
      <c r="AH1131" s="7">
        <v>46108</v>
      </c>
      <c r="AN1131" s="8">
        <v>0</v>
      </c>
      <c r="AO1131" s="8">
        <v>1200</v>
      </c>
    </row>
    <row r="1132" spans="1:41" x14ac:dyDescent="0.25">
      <c r="A1132" s="6" t="str">
        <f t="shared" si="330"/>
        <v>521-2026000034</v>
      </c>
      <c r="B1132" s="6" t="str">
        <f t="shared" si="331"/>
        <v>MAISON D</v>
      </c>
      <c r="C1132" s="7">
        <v>46042</v>
      </c>
      <c r="D1132" s="7">
        <v>46108</v>
      </c>
      <c r="E1132" s="8">
        <v>17</v>
      </c>
      <c r="F1132" s="6" t="str">
        <f t="shared" si="332"/>
        <v xml:space="preserve"> </v>
      </c>
      <c r="G1132" s="6" t="str">
        <f t="shared" si="335"/>
        <v>F330315055000000</v>
      </c>
      <c r="H1132" s="6" t="str">
        <f t="shared" si="336"/>
        <v>PLA P 3150 Bio GOTS</v>
      </c>
      <c r="I1132" s="6" t="str">
        <f>"204306"</f>
        <v>204306</v>
      </c>
      <c r="J1132" s="6" t="str">
        <f>"AZUL 4306"</f>
        <v>AZUL 4306</v>
      </c>
      <c r="K1132" s="6" t="str">
        <f>"1024"</f>
        <v>1024</v>
      </c>
      <c r="L1132" s="6" t="str">
        <f>"Toalhas"</f>
        <v>Toalhas</v>
      </c>
      <c r="M1132" s="6" t="str">
        <f>"50x100"</f>
        <v>50x100</v>
      </c>
      <c r="N1132" s="6" t="str">
        <f t="shared" si="329"/>
        <v xml:space="preserve"> </v>
      </c>
      <c r="O1132" s="8">
        <v>800</v>
      </c>
      <c r="P1132" s="7">
        <v>46079</v>
      </c>
      <c r="R1132" s="8">
        <v>0</v>
      </c>
      <c r="S1132" s="7">
        <v>46084</v>
      </c>
      <c r="U1132" s="8">
        <v>0</v>
      </c>
      <c r="V1132" s="7">
        <v>46091</v>
      </c>
      <c r="X1132" s="8">
        <v>0</v>
      </c>
      <c r="Z1132" s="8">
        <v>0</v>
      </c>
      <c r="AA1132" s="7">
        <v>46105</v>
      </c>
      <c r="AC1132" s="8">
        <v>0</v>
      </c>
      <c r="AE1132" s="7">
        <v>46108</v>
      </c>
      <c r="AF1132" s="8">
        <v>0</v>
      </c>
      <c r="AH1132" s="7">
        <v>46108</v>
      </c>
      <c r="AN1132" s="8">
        <v>0</v>
      </c>
      <c r="AO1132" s="8">
        <v>800</v>
      </c>
    </row>
    <row r="1133" spans="1:41" x14ac:dyDescent="0.25">
      <c r="A1133" s="6" t="str">
        <f t="shared" si="330"/>
        <v>521-2026000034</v>
      </c>
      <c r="B1133" s="6" t="str">
        <f t="shared" si="331"/>
        <v>MAISON D</v>
      </c>
      <c r="C1133" s="7">
        <v>46042</v>
      </c>
      <c r="D1133" s="7">
        <v>46108</v>
      </c>
      <c r="E1133" s="8">
        <v>18</v>
      </c>
      <c r="F1133" s="6" t="str">
        <f t="shared" si="332"/>
        <v xml:space="preserve"> </v>
      </c>
      <c r="G1133" s="6" t="str">
        <f t="shared" si="335"/>
        <v>F330315055000000</v>
      </c>
      <c r="H1133" s="6" t="str">
        <f t="shared" si="336"/>
        <v>PLA P 3150 Bio GOTS</v>
      </c>
      <c r="I1133" s="6" t="str">
        <f>"204306"</f>
        <v>204306</v>
      </c>
      <c r="J1133" s="6" t="str">
        <f>"AZUL 4306"</f>
        <v>AZUL 4306</v>
      </c>
      <c r="K1133" s="6" t="str">
        <f>"1535"</f>
        <v>1535</v>
      </c>
      <c r="L1133" s="6" t="str">
        <f>"Toalhões"</f>
        <v>Toalhões</v>
      </c>
      <c r="M1133" s="6" t="str">
        <f>"70x140"</f>
        <v>70x140</v>
      </c>
      <c r="N1133" s="6" t="str">
        <f t="shared" si="329"/>
        <v xml:space="preserve"> </v>
      </c>
      <c r="O1133" s="8">
        <v>400</v>
      </c>
      <c r="P1133" s="7">
        <v>46079</v>
      </c>
      <c r="R1133" s="8">
        <v>0</v>
      </c>
      <c r="S1133" s="7">
        <v>46084</v>
      </c>
      <c r="U1133" s="8">
        <v>0</v>
      </c>
      <c r="V1133" s="7">
        <v>46091</v>
      </c>
      <c r="X1133" s="8">
        <v>0</v>
      </c>
      <c r="Z1133" s="8">
        <v>0</v>
      </c>
      <c r="AA1133" s="7">
        <v>46105</v>
      </c>
      <c r="AC1133" s="8">
        <v>0</v>
      </c>
      <c r="AE1133" s="7">
        <v>46108</v>
      </c>
      <c r="AF1133" s="8">
        <v>0</v>
      </c>
      <c r="AH1133" s="7">
        <v>46108</v>
      </c>
      <c r="AN1133" s="8">
        <v>0</v>
      </c>
      <c r="AO1133" s="8">
        <v>400</v>
      </c>
    </row>
    <row r="1134" spans="1:41" x14ac:dyDescent="0.25">
      <c r="A1134" s="6" t="str">
        <f t="shared" si="330"/>
        <v>521-2026000034</v>
      </c>
      <c r="B1134" s="6" t="str">
        <f t="shared" si="331"/>
        <v>MAISON D</v>
      </c>
      <c r="C1134" s="7">
        <v>46042</v>
      </c>
      <c r="D1134" s="7">
        <v>46108</v>
      </c>
      <c r="E1134" s="8">
        <v>19</v>
      </c>
      <c r="F1134" s="6" t="str">
        <f t="shared" si="332"/>
        <v xml:space="preserve"> </v>
      </c>
      <c r="G1134" s="6" t="str">
        <f>"F330315042000000"</f>
        <v>F330315042000000</v>
      </c>
      <c r="H1134" s="6" t="str">
        <f t="shared" si="336"/>
        <v>PLA P 3150 Bio GOTS</v>
      </c>
      <c r="I1134" s="6" t="str">
        <f>"204306"</f>
        <v>204306</v>
      </c>
      <c r="J1134" s="6" t="str">
        <f>"AZUL 4306"</f>
        <v>AZUL 4306</v>
      </c>
      <c r="K1134" s="6" t="str">
        <f>"2011"</f>
        <v>2011</v>
      </c>
      <c r="L1134" s="6" t="str">
        <f>"Lençóis"</f>
        <v>Lençóis</v>
      </c>
      <c r="M1134" s="6" t="str">
        <f>"90x180"</f>
        <v>90x180</v>
      </c>
      <c r="N1134" s="6" t="str">
        <f t="shared" si="329"/>
        <v xml:space="preserve"> </v>
      </c>
      <c r="O1134" s="8">
        <v>1</v>
      </c>
      <c r="P1134" s="7">
        <v>46079</v>
      </c>
      <c r="R1134" s="8">
        <v>0</v>
      </c>
      <c r="S1134" s="7">
        <v>46084</v>
      </c>
      <c r="U1134" s="8">
        <v>0</v>
      </c>
      <c r="V1134" s="7">
        <v>46091</v>
      </c>
      <c r="X1134" s="8">
        <v>0</v>
      </c>
      <c r="Z1134" s="8">
        <v>0</v>
      </c>
      <c r="AA1134" s="7">
        <v>46105</v>
      </c>
      <c r="AC1134" s="8">
        <v>0</v>
      </c>
      <c r="AE1134" s="7">
        <v>46108</v>
      </c>
      <c r="AF1134" s="8">
        <v>0</v>
      </c>
      <c r="AH1134" s="7">
        <v>46108</v>
      </c>
      <c r="AN1134" s="8">
        <v>0</v>
      </c>
      <c r="AO1134" s="8">
        <v>1</v>
      </c>
    </row>
    <row r="1135" spans="1:41" x14ac:dyDescent="0.25">
      <c r="A1135" s="6" t="str">
        <f t="shared" si="330"/>
        <v>521-2026000034</v>
      </c>
      <c r="B1135" s="6" t="str">
        <f t="shared" si="331"/>
        <v>MAISON D</v>
      </c>
      <c r="C1135" s="7">
        <v>46042</v>
      </c>
      <c r="D1135" s="7">
        <v>46108</v>
      </c>
      <c r="E1135" s="8">
        <v>20</v>
      </c>
      <c r="F1135" s="6" t="str">
        <f t="shared" si="332"/>
        <v xml:space="preserve"> </v>
      </c>
      <c r="G1135" s="6" t="str">
        <f>"F330315042000000"</f>
        <v>F330315042000000</v>
      </c>
      <c r="H1135" s="6" t="str">
        <f t="shared" si="336"/>
        <v>PLA P 3150 Bio GOTS</v>
      </c>
      <c r="I1135" s="6" t="str">
        <f>"200116"</f>
        <v>200116</v>
      </c>
      <c r="J1135" s="6" t="str">
        <f>"AMARELO 116"</f>
        <v>AMARELO 116</v>
      </c>
      <c r="K1135" s="6" t="str">
        <f>"2011"</f>
        <v>2011</v>
      </c>
      <c r="L1135" s="6" t="str">
        <f>"Lençóis"</f>
        <v>Lençóis</v>
      </c>
      <c r="M1135" s="6" t="str">
        <f>"90x180"</f>
        <v>90x180</v>
      </c>
      <c r="N1135" s="6" t="str">
        <f t="shared" si="329"/>
        <v xml:space="preserve"> </v>
      </c>
      <c r="O1135" s="8">
        <v>1</v>
      </c>
      <c r="P1135" s="7">
        <v>46079</v>
      </c>
      <c r="R1135" s="8">
        <v>0</v>
      </c>
      <c r="S1135" s="7">
        <v>46084</v>
      </c>
      <c r="U1135" s="8">
        <v>0</v>
      </c>
      <c r="V1135" s="7">
        <v>46091</v>
      </c>
      <c r="X1135" s="8">
        <v>0</v>
      </c>
      <c r="Z1135" s="8">
        <v>0</v>
      </c>
      <c r="AA1135" s="7">
        <v>46105</v>
      </c>
      <c r="AC1135" s="8">
        <v>0</v>
      </c>
      <c r="AE1135" s="7">
        <v>46108</v>
      </c>
      <c r="AF1135" s="8">
        <v>0</v>
      </c>
      <c r="AH1135" s="7">
        <v>46108</v>
      </c>
      <c r="AN1135" s="8">
        <v>0</v>
      </c>
      <c r="AO1135" s="8">
        <v>1</v>
      </c>
    </row>
    <row r="1136" spans="1:41" x14ac:dyDescent="0.25">
      <c r="A1136" s="6" t="str">
        <f t="shared" si="330"/>
        <v>521-2026000034</v>
      </c>
      <c r="B1136" s="6" t="str">
        <f t="shared" si="331"/>
        <v>MAISON D</v>
      </c>
      <c r="C1136" s="7">
        <v>46042</v>
      </c>
      <c r="D1136" s="7">
        <v>46108</v>
      </c>
      <c r="E1136" s="8">
        <v>21</v>
      </c>
      <c r="F1136" s="6" t="str">
        <f t="shared" si="332"/>
        <v xml:space="preserve"> </v>
      </c>
      <c r="G1136" s="6" t="str">
        <f t="shared" ref="G1136:G1141" si="337">"F330315155000000"</f>
        <v>F330315155000000</v>
      </c>
      <c r="H1136" s="6" t="str">
        <f t="shared" ref="H1136:H1143" si="338">"PLA P 3151 Bio GOTS"</f>
        <v>PLA P 3151 Bio GOTS</v>
      </c>
      <c r="I1136" s="6" t="str">
        <f>"201868"</f>
        <v>201868</v>
      </c>
      <c r="J1136" s="6" t="str">
        <f>"LILAS 1868"</f>
        <v>LILAS 1868</v>
      </c>
      <c r="K1136" s="6" t="str">
        <f>"0520"</f>
        <v>0520</v>
      </c>
      <c r="L1136" s="6" t="str">
        <f>"Toalhetes"</f>
        <v>Toalhetes</v>
      </c>
      <c r="M1136" s="6" t="str">
        <f>"30x50"</f>
        <v>30x50</v>
      </c>
      <c r="N1136" s="6" t="str">
        <f t="shared" si="329"/>
        <v xml:space="preserve"> </v>
      </c>
      <c r="O1136" s="8">
        <v>1200</v>
      </c>
      <c r="P1136" s="7">
        <v>46079</v>
      </c>
      <c r="R1136" s="8">
        <v>0</v>
      </c>
      <c r="S1136" s="7">
        <v>46084</v>
      </c>
      <c r="U1136" s="8">
        <v>0</v>
      </c>
      <c r="V1136" s="7">
        <v>46091</v>
      </c>
      <c r="X1136" s="8">
        <v>0</v>
      </c>
      <c r="Z1136" s="8">
        <v>0</v>
      </c>
      <c r="AA1136" s="7">
        <v>46105</v>
      </c>
      <c r="AC1136" s="8">
        <v>0</v>
      </c>
      <c r="AE1136" s="7">
        <v>46108</v>
      </c>
      <c r="AF1136" s="8">
        <v>0</v>
      </c>
      <c r="AH1136" s="7">
        <v>46108</v>
      </c>
      <c r="AN1136" s="8">
        <v>0</v>
      </c>
      <c r="AO1136" s="8">
        <v>1200</v>
      </c>
    </row>
    <row r="1137" spans="1:41" x14ac:dyDescent="0.25">
      <c r="A1137" s="6" t="str">
        <f t="shared" si="330"/>
        <v>521-2026000034</v>
      </c>
      <c r="B1137" s="6" t="str">
        <f t="shared" si="331"/>
        <v>MAISON D</v>
      </c>
      <c r="C1137" s="7">
        <v>46042</v>
      </c>
      <c r="D1137" s="7">
        <v>46108</v>
      </c>
      <c r="E1137" s="8">
        <v>22</v>
      </c>
      <c r="F1137" s="6" t="str">
        <f t="shared" si="332"/>
        <v xml:space="preserve"> </v>
      </c>
      <c r="G1137" s="6" t="str">
        <f t="shared" si="337"/>
        <v>F330315155000000</v>
      </c>
      <c r="H1137" s="6" t="str">
        <f t="shared" si="338"/>
        <v>PLA P 3151 Bio GOTS</v>
      </c>
      <c r="I1137" s="6" t="str">
        <f>"201868"</f>
        <v>201868</v>
      </c>
      <c r="J1137" s="6" t="str">
        <f>"LILAS 1868"</f>
        <v>LILAS 1868</v>
      </c>
      <c r="K1137" s="6" t="str">
        <f>"1024"</f>
        <v>1024</v>
      </c>
      <c r="L1137" s="6" t="str">
        <f>"Toalhas"</f>
        <v>Toalhas</v>
      </c>
      <c r="M1137" s="6" t="str">
        <f>"50x100"</f>
        <v>50x100</v>
      </c>
      <c r="N1137" s="6" t="str">
        <f t="shared" si="329"/>
        <v xml:space="preserve"> </v>
      </c>
      <c r="O1137" s="8">
        <v>800</v>
      </c>
      <c r="P1137" s="7">
        <v>46079</v>
      </c>
      <c r="R1137" s="8">
        <v>0</v>
      </c>
      <c r="S1137" s="7">
        <v>46084</v>
      </c>
      <c r="U1137" s="8">
        <v>0</v>
      </c>
      <c r="V1137" s="7">
        <v>46091</v>
      </c>
      <c r="X1137" s="8">
        <v>0</v>
      </c>
      <c r="Z1137" s="8">
        <v>0</v>
      </c>
      <c r="AA1137" s="7">
        <v>46105</v>
      </c>
      <c r="AC1137" s="8">
        <v>0</v>
      </c>
      <c r="AE1137" s="7">
        <v>46108</v>
      </c>
      <c r="AF1137" s="8">
        <v>0</v>
      </c>
      <c r="AH1137" s="7">
        <v>46108</v>
      </c>
      <c r="AN1137" s="8">
        <v>0</v>
      </c>
      <c r="AO1137" s="8">
        <v>800</v>
      </c>
    </row>
    <row r="1138" spans="1:41" x14ac:dyDescent="0.25">
      <c r="A1138" s="6" t="str">
        <f t="shared" si="330"/>
        <v>521-2026000034</v>
      </c>
      <c r="B1138" s="6" t="str">
        <f t="shared" si="331"/>
        <v>MAISON D</v>
      </c>
      <c r="C1138" s="7">
        <v>46042</v>
      </c>
      <c r="D1138" s="7">
        <v>46108</v>
      </c>
      <c r="E1138" s="8">
        <v>23</v>
      </c>
      <c r="F1138" s="6" t="str">
        <f t="shared" si="332"/>
        <v xml:space="preserve"> </v>
      </c>
      <c r="G1138" s="6" t="str">
        <f t="shared" si="337"/>
        <v>F330315155000000</v>
      </c>
      <c r="H1138" s="6" t="str">
        <f t="shared" si="338"/>
        <v>PLA P 3151 Bio GOTS</v>
      </c>
      <c r="I1138" s="6" t="str">
        <f>"201868"</f>
        <v>201868</v>
      </c>
      <c r="J1138" s="6" t="str">
        <f>"LILAS 1868"</f>
        <v>LILAS 1868</v>
      </c>
      <c r="K1138" s="6" t="str">
        <f>"1535"</f>
        <v>1535</v>
      </c>
      <c r="L1138" s="6" t="str">
        <f>"Toalhões"</f>
        <v>Toalhões</v>
      </c>
      <c r="M1138" s="6" t="str">
        <f>"70x140"</f>
        <v>70x140</v>
      </c>
      <c r="N1138" s="6" t="str">
        <f t="shared" si="329"/>
        <v xml:space="preserve"> </v>
      </c>
      <c r="O1138" s="8">
        <v>400</v>
      </c>
      <c r="P1138" s="7">
        <v>46079</v>
      </c>
      <c r="R1138" s="8">
        <v>0</v>
      </c>
      <c r="S1138" s="7">
        <v>46084</v>
      </c>
      <c r="U1138" s="8">
        <v>0</v>
      </c>
      <c r="V1138" s="7">
        <v>46091</v>
      </c>
      <c r="X1138" s="8">
        <v>0</v>
      </c>
      <c r="Z1138" s="8">
        <v>0</v>
      </c>
      <c r="AA1138" s="7">
        <v>46105</v>
      </c>
      <c r="AC1138" s="8">
        <v>0</v>
      </c>
      <c r="AE1138" s="7">
        <v>46108</v>
      </c>
      <c r="AF1138" s="8">
        <v>0</v>
      </c>
      <c r="AH1138" s="7">
        <v>46108</v>
      </c>
      <c r="AN1138" s="8">
        <v>0</v>
      </c>
      <c r="AO1138" s="8">
        <v>400</v>
      </c>
    </row>
    <row r="1139" spans="1:41" x14ac:dyDescent="0.25">
      <c r="A1139" s="6" t="str">
        <f t="shared" si="330"/>
        <v>521-2026000034</v>
      </c>
      <c r="B1139" s="6" t="str">
        <f t="shared" si="331"/>
        <v>MAISON D</v>
      </c>
      <c r="C1139" s="7">
        <v>46042</v>
      </c>
      <c r="D1139" s="7">
        <v>46108</v>
      </c>
      <c r="E1139" s="8">
        <v>24</v>
      </c>
      <c r="F1139" s="6" t="str">
        <f t="shared" si="332"/>
        <v xml:space="preserve"> </v>
      </c>
      <c r="G1139" s="6" t="str">
        <f t="shared" si="337"/>
        <v>F330315155000000</v>
      </c>
      <c r="H1139" s="6" t="str">
        <f t="shared" si="338"/>
        <v>PLA P 3151 Bio GOTS</v>
      </c>
      <c r="I1139" s="6" t="str">
        <f>"204438"</f>
        <v>204438</v>
      </c>
      <c r="J1139" s="6" t="str">
        <f>"VERDE 4438"</f>
        <v>VERDE 4438</v>
      </c>
      <c r="K1139" s="6" t="str">
        <f>"0520"</f>
        <v>0520</v>
      </c>
      <c r="L1139" s="6" t="str">
        <f>"Toalhetes"</f>
        <v>Toalhetes</v>
      </c>
      <c r="M1139" s="6" t="str">
        <f>"30x50"</f>
        <v>30x50</v>
      </c>
      <c r="N1139" s="6" t="str">
        <f t="shared" si="329"/>
        <v xml:space="preserve"> </v>
      </c>
      <c r="O1139" s="8">
        <v>1200</v>
      </c>
      <c r="P1139" s="7">
        <v>46079</v>
      </c>
      <c r="R1139" s="8">
        <v>0</v>
      </c>
      <c r="S1139" s="7">
        <v>46084</v>
      </c>
      <c r="U1139" s="8">
        <v>0</v>
      </c>
      <c r="V1139" s="7">
        <v>46091</v>
      </c>
      <c r="X1139" s="8">
        <v>0</v>
      </c>
      <c r="Z1139" s="8">
        <v>0</v>
      </c>
      <c r="AA1139" s="7">
        <v>46105</v>
      </c>
      <c r="AC1139" s="8">
        <v>0</v>
      </c>
      <c r="AE1139" s="7">
        <v>46108</v>
      </c>
      <c r="AF1139" s="8">
        <v>0</v>
      </c>
      <c r="AH1139" s="7">
        <v>46108</v>
      </c>
      <c r="AN1139" s="8">
        <v>0</v>
      </c>
      <c r="AO1139" s="8">
        <v>1200</v>
      </c>
    </row>
    <row r="1140" spans="1:41" x14ac:dyDescent="0.25">
      <c r="A1140" s="6" t="str">
        <f t="shared" si="330"/>
        <v>521-2026000034</v>
      </c>
      <c r="B1140" s="6" t="str">
        <f t="shared" si="331"/>
        <v>MAISON D</v>
      </c>
      <c r="C1140" s="7">
        <v>46042</v>
      </c>
      <c r="D1140" s="7">
        <v>46108</v>
      </c>
      <c r="E1140" s="8">
        <v>25</v>
      </c>
      <c r="F1140" s="6" t="str">
        <f t="shared" si="332"/>
        <v xml:space="preserve"> </v>
      </c>
      <c r="G1140" s="6" t="str">
        <f t="shared" si="337"/>
        <v>F330315155000000</v>
      </c>
      <c r="H1140" s="6" t="str">
        <f t="shared" si="338"/>
        <v>PLA P 3151 Bio GOTS</v>
      </c>
      <c r="I1140" s="6" t="str">
        <f>"204438"</f>
        <v>204438</v>
      </c>
      <c r="J1140" s="6" t="str">
        <f>"VERDE 4438"</f>
        <v>VERDE 4438</v>
      </c>
      <c r="K1140" s="6" t="str">
        <f>"1024"</f>
        <v>1024</v>
      </c>
      <c r="L1140" s="6" t="str">
        <f>"Toalhas"</f>
        <v>Toalhas</v>
      </c>
      <c r="M1140" s="6" t="str">
        <f>"50x100"</f>
        <v>50x100</v>
      </c>
      <c r="N1140" s="6" t="str">
        <f t="shared" si="329"/>
        <v xml:space="preserve"> </v>
      </c>
      <c r="O1140" s="8">
        <v>800</v>
      </c>
      <c r="P1140" s="7">
        <v>46079</v>
      </c>
      <c r="R1140" s="8">
        <v>0</v>
      </c>
      <c r="S1140" s="7">
        <v>46084</v>
      </c>
      <c r="U1140" s="8">
        <v>0</v>
      </c>
      <c r="V1140" s="7">
        <v>46091</v>
      </c>
      <c r="X1140" s="8">
        <v>0</v>
      </c>
      <c r="Z1140" s="8">
        <v>0</v>
      </c>
      <c r="AA1140" s="7">
        <v>46105</v>
      </c>
      <c r="AC1140" s="8">
        <v>0</v>
      </c>
      <c r="AE1140" s="7">
        <v>46108</v>
      </c>
      <c r="AF1140" s="8">
        <v>0</v>
      </c>
      <c r="AH1140" s="7">
        <v>46108</v>
      </c>
      <c r="AN1140" s="8">
        <v>0</v>
      </c>
      <c r="AO1140" s="8">
        <v>800</v>
      </c>
    </row>
    <row r="1141" spans="1:41" x14ac:dyDescent="0.25">
      <c r="A1141" s="6" t="str">
        <f t="shared" si="330"/>
        <v>521-2026000034</v>
      </c>
      <c r="B1141" s="6" t="str">
        <f t="shared" si="331"/>
        <v>MAISON D</v>
      </c>
      <c r="C1141" s="7">
        <v>46042</v>
      </c>
      <c r="D1141" s="7">
        <v>46108</v>
      </c>
      <c r="E1141" s="8">
        <v>26</v>
      </c>
      <c r="F1141" s="6" t="str">
        <f t="shared" si="332"/>
        <v xml:space="preserve"> </v>
      </c>
      <c r="G1141" s="6" t="str">
        <f t="shared" si="337"/>
        <v>F330315155000000</v>
      </c>
      <c r="H1141" s="6" t="str">
        <f t="shared" si="338"/>
        <v>PLA P 3151 Bio GOTS</v>
      </c>
      <c r="I1141" s="6" t="str">
        <f>"204438"</f>
        <v>204438</v>
      </c>
      <c r="J1141" s="6" t="str">
        <f>"VERDE 4438"</f>
        <v>VERDE 4438</v>
      </c>
      <c r="K1141" s="6" t="str">
        <f>"1535"</f>
        <v>1535</v>
      </c>
      <c r="L1141" s="6" t="str">
        <f>"Toalhões"</f>
        <v>Toalhões</v>
      </c>
      <c r="M1141" s="6" t="str">
        <f>"70x140"</f>
        <v>70x140</v>
      </c>
      <c r="N1141" s="6" t="str">
        <f t="shared" si="329"/>
        <v xml:space="preserve"> </v>
      </c>
      <c r="O1141" s="8">
        <v>400</v>
      </c>
      <c r="P1141" s="7">
        <v>46079</v>
      </c>
      <c r="R1141" s="8">
        <v>0</v>
      </c>
      <c r="S1141" s="7">
        <v>46084</v>
      </c>
      <c r="U1141" s="8">
        <v>0</v>
      </c>
      <c r="V1141" s="7">
        <v>46091</v>
      </c>
      <c r="X1141" s="8">
        <v>0</v>
      </c>
      <c r="Z1141" s="8">
        <v>0</v>
      </c>
      <c r="AA1141" s="7">
        <v>46105</v>
      </c>
      <c r="AC1141" s="8">
        <v>0</v>
      </c>
      <c r="AE1141" s="7">
        <v>46108</v>
      </c>
      <c r="AF1141" s="8">
        <v>0</v>
      </c>
      <c r="AH1141" s="7">
        <v>46108</v>
      </c>
      <c r="AN1141" s="8">
        <v>0</v>
      </c>
      <c r="AO1141" s="8">
        <v>400</v>
      </c>
    </row>
    <row r="1142" spans="1:41" x14ac:dyDescent="0.25">
      <c r="A1142" s="6" t="str">
        <f t="shared" si="330"/>
        <v>521-2026000034</v>
      </c>
      <c r="B1142" s="6" t="str">
        <f t="shared" si="331"/>
        <v>MAISON D</v>
      </c>
      <c r="C1142" s="7">
        <v>46042</v>
      </c>
      <c r="D1142" s="7">
        <v>46108</v>
      </c>
      <c r="E1142" s="8">
        <v>27</v>
      </c>
      <c r="F1142" s="6" t="str">
        <f t="shared" si="332"/>
        <v xml:space="preserve"> </v>
      </c>
      <c r="G1142" s="6" t="str">
        <f>"F330315142000000"</f>
        <v>F330315142000000</v>
      </c>
      <c r="H1142" s="6" t="str">
        <f t="shared" si="338"/>
        <v>PLA P 3151 Bio GOTS</v>
      </c>
      <c r="I1142" s="6" t="str">
        <f>"204438"</f>
        <v>204438</v>
      </c>
      <c r="J1142" s="6" t="str">
        <f>"VERDE 4438"</f>
        <v>VERDE 4438</v>
      </c>
      <c r="K1142" s="6" t="str">
        <f t="shared" ref="K1142:K1147" si="339">"2011"</f>
        <v>2011</v>
      </c>
      <c r="L1142" s="6" t="str">
        <f t="shared" ref="L1142:L1147" si="340">"Lençóis"</f>
        <v>Lençóis</v>
      </c>
      <c r="M1142" s="6" t="str">
        <f t="shared" ref="M1142:M1147" si="341">"90x180"</f>
        <v>90x180</v>
      </c>
      <c r="N1142" s="6" t="str">
        <f t="shared" ref="N1142:N1177" si="342">" "</f>
        <v xml:space="preserve"> </v>
      </c>
      <c r="O1142" s="8">
        <v>1</v>
      </c>
      <c r="P1142" s="7">
        <v>46079</v>
      </c>
      <c r="R1142" s="8">
        <v>0</v>
      </c>
      <c r="S1142" s="7">
        <v>46084</v>
      </c>
      <c r="U1142" s="8">
        <v>0</v>
      </c>
      <c r="V1142" s="7">
        <v>46091</v>
      </c>
      <c r="X1142" s="8">
        <v>0</v>
      </c>
      <c r="Z1142" s="8">
        <v>0</v>
      </c>
      <c r="AA1142" s="7">
        <v>46105</v>
      </c>
      <c r="AC1142" s="8">
        <v>0</v>
      </c>
      <c r="AE1142" s="7">
        <v>46108</v>
      </c>
      <c r="AF1142" s="8">
        <v>0</v>
      </c>
      <c r="AH1142" s="7">
        <v>46108</v>
      </c>
      <c r="AN1142" s="8">
        <v>0</v>
      </c>
      <c r="AO1142" s="8">
        <v>1</v>
      </c>
    </row>
    <row r="1143" spans="1:41" x14ac:dyDescent="0.25">
      <c r="A1143" s="6" t="str">
        <f t="shared" si="330"/>
        <v>521-2026000034</v>
      </c>
      <c r="B1143" s="6" t="str">
        <f t="shared" si="331"/>
        <v>MAISON D</v>
      </c>
      <c r="C1143" s="7">
        <v>46042</v>
      </c>
      <c r="D1143" s="7">
        <v>46108</v>
      </c>
      <c r="E1143" s="8">
        <v>28</v>
      </c>
      <c r="F1143" s="6" t="str">
        <f t="shared" si="332"/>
        <v xml:space="preserve"> </v>
      </c>
      <c r="G1143" s="6" t="str">
        <f>"F330315142000000"</f>
        <v>F330315142000000</v>
      </c>
      <c r="H1143" s="6" t="str">
        <f t="shared" si="338"/>
        <v>PLA P 3151 Bio GOTS</v>
      </c>
      <c r="I1143" s="6" t="str">
        <f>"201868"</f>
        <v>201868</v>
      </c>
      <c r="J1143" s="6" t="str">
        <f>"LILAS 1868"</f>
        <v>LILAS 1868</v>
      </c>
      <c r="K1143" s="6" t="str">
        <f t="shared" si="339"/>
        <v>2011</v>
      </c>
      <c r="L1143" s="6" t="str">
        <f t="shared" si="340"/>
        <v>Lençóis</v>
      </c>
      <c r="M1143" s="6" t="str">
        <f t="shared" si="341"/>
        <v>90x180</v>
      </c>
      <c r="N1143" s="6" t="str">
        <f t="shared" si="342"/>
        <v xml:space="preserve"> </v>
      </c>
      <c r="O1143" s="8">
        <v>1</v>
      </c>
      <c r="P1143" s="7">
        <v>46079</v>
      </c>
      <c r="R1143" s="8">
        <v>0</v>
      </c>
      <c r="S1143" s="7">
        <v>46084</v>
      </c>
      <c r="U1143" s="8">
        <v>0</v>
      </c>
      <c r="V1143" s="7">
        <v>46091</v>
      </c>
      <c r="X1143" s="8">
        <v>0</v>
      </c>
      <c r="Z1143" s="8">
        <v>0</v>
      </c>
      <c r="AA1143" s="7">
        <v>46105</v>
      </c>
      <c r="AC1143" s="8">
        <v>0</v>
      </c>
      <c r="AE1143" s="7">
        <v>46108</v>
      </c>
      <c r="AF1143" s="8">
        <v>0</v>
      </c>
      <c r="AH1143" s="7">
        <v>46108</v>
      </c>
      <c r="AN1143" s="8">
        <v>0</v>
      </c>
      <c r="AO1143" s="8">
        <v>1</v>
      </c>
    </row>
    <row r="1144" spans="1:41" x14ac:dyDescent="0.25">
      <c r="A1144" s="6" t="str">
        <f t="shared" si="330"/>
        <v>521-2026000034</v>
      </c>
      <c r="B1144" s="6" t="str">
        <f t="shared" si="331"/>
        <v>MAISON D</v>
      </c>
      <c r="C1144" s="7">
        <v>46042</v>
      </c>
      <c r="D1144" s="7">
        <v>46108</v>
      </c>
      <c r="E1144" s="8">
        <v>29</v>
      </c>
      <c r="F1144" s="6" t="str">
        <f t="shared" si="332"/>
        <v xml:space="preserve"> </v>
      </c>
      <c r="G1144" s="6" t="str">
        <f>"F330315048000000"</f>
        <v>F330315048000000</v>
      </c>
      <c r="H1144" s="6" t="str">
        <f>"PLA P 3150 Bio GOTS"</f>
        <v>PLA P 3150 Bio GOTS</v>
      </c>
      <c r="I1144" s="6" t="str">
        <f>"204306"</f>
        <v>204306</v>
      </c>
      <c r="J1144" s="6" t="str">
        <f>"AZUL 4306"</f>
        <v>AZUL 4306</v>
      </c>
      <c r="K1144" s="6" t="str">
        <f t="shared" si="339"/>
        <v>2011</v>
      </c>
      <c r="L1144" s="6" t="str">
        <f t="shared" si="340"/>
        <v>Lençóis</v>
      </c>
      <c r="M1144" s="6" t="str">
        <f t="shared" si="341"/>
        <v>90x180</v>
      </c>
      <c r="N1144" s="6" t="str">
        <f t="shared" si="342"/>
        <v xml:space="preserve"> </v>
      </c>
      <c r="O1144" s="8">
        <v>300</v>
      </c>
      <c r="P1144" s="7">
        <v>46079</v>
      </c>
      <c r="R1144" s="8">
        <v>0</v>
      </c>
      <c r="S1144" s="7">
        <v>46084</v>
      </c>
      <c r="U1144" s="8">
        <v>0</v>
      </c>
      <c r="V1144" s="7">
        <v>46091</v>
      </c>
      <c r="X1144" s="8">
        <v>0</v>
      </c>
      <c r="Z1144" s="8">
        <v>0</v>
      </c>
      <c r="AA1144" s="7">
        <v>46105</v>
      </c>
      <c r="AC1144" s="8">
        <v>0</v>
      </c>
      <c r="AE1144" s="7">
        <v>46108</v>
      </c>
      <c r="AF1144" s="8">
        <v>0</v>
      </c>
      <c r="AH1144" s="7">
        <v>46108</v>
      </c>
      <c r="AN1144" s="8">
        <v>0</v>
      </c>
      <c r="AO1144" s="8">
        <v>300</v>
      </c>
    </row>
    <row r="1145" spans="1:41" x14ac:dyDescent="0.25">
      <c r="A1145" s="6" t="str">
        <f t="shared" si="330"/>
        <v>521-2026000034</v>
      </c>
      <c r="B1145" s="6" t="str">
        <f t="shared" si="331"/>
        <v>MAISON D</v>
      </c>
      <c r="C1145" s="7">
        <v>46042</v>
      </c>
      <c r="D1145" s="7">
        <v>46108</v>
      </c>
      <c r="E1145" s="8">
        <v>30</v>
      </c>
      <c r="F1145" s="6" t="str">
        <f t="shared" si="332"/>
        <v xml:space="preserve"> </v>
      </c>
      <c r="G1145" s="6" t="str">
        <f>"F330315048000000"</f>
        <v>F330315048000000</v>
      </c>
      <c r="H1145" s="6" t="str">
        <f>"PLA P 3150 Bio GOTS"</f>
        <v>PLA P 3150 Bio GOTS</v>
      </c>
      <c r="I1145" s="6" t="str">
        <f>"200116"</f>
        <v>200116</v>
      </c>
      <c r="J1145" s="6" t="str">
        <f>"AMARELO 116"</f>
        <v>AMARELO 116</v>
      </c>
      <c r="K1145" s="6" t="str">
        <f t="shared" si="339"/>
        <v>2011</v>
      </c>
      <c r="L1145" s="6" t="str">
        <f t="shared" si="340"/>
        <v>Lençóis</v>
      </c>
      <c r="M1145" s="6" t="str">
        <f t="shared" si="341"/>
        <v>90x180</v>
      </c>
      <c r="N1145" s="6" t="str">
        <f t="shared" si="342"/>
        <v xml:space="preserve"> </v>
      </c>
      <c r="O1145" s="8">
        <v>300</v>
      </c>
      <c r="P1145" s="7">
        <v>46079</v>
      </c>
      <c r="R1145" s="8">
        <v>0</v>
      </c>
      <c r="S1145" s="7">
        <v>46084</v>
      </c>
      <c r="U1145" s="8">
        <v>0</v>
      </c>
      <c r="V1145" s="7">
        <v>46091</v>
      </c>
      <c r="X1145" s="8">
        <v>0</v>
      </c>
      <c r="Z1145" s="8">
        <v>0</v>
      </c>
      <c r="AA1145" s="7">
        <v>46105</v>
      </c>
      <c r="AC1145" s="8">
        <v>0</v>
      </c>
      <c r="AE1145" s="7">
        <v>46108</v>
      </c>
      <c r="AF1145" s="8">
        <v>0</v>
      </c>
      <c r="AH1145" s="7">
        <v>46108</v>
      </c>
      <c r="AN1145" s="8">
        <v>0</v>
      </c>
      <c r="AO1145" s="8">
        <v>300</v>
      </c>
    </row>
    <row r="1146" spans="1:41" x14ac:dyDescent="0.25">
      <c r="A1146" s="6" t="str">
        <f t="shared" si="330"/>
        <v>521-2026000034</v>
      </c>
      <c r="B1146" s="6" t="str">
        <f t="shared" si="331"/>
        <v>MAISON D</v>
      </c>
      <c r="C1146" s="7">
        <v>46042</v>
      </c>
      <c r="D1146" s="7">
        <v>46108</v>
      </c>
      <c r="E1146" s="8">
        <v>31</v>
      </c>
      <c r="F1146" s="6" t="str">
        <f t="shared" si="332"/>
        <v xml:space="preserve"> </v>
      </c>
      <c r="G1146" s="6" t="str">
        <f>"F330315148000000"</f>
        <v>F330315148000000</v>
      </c>
      <c r="H1146" s="6" t="str">
        <f>"PLA P 3151 Bio GOTS"</f>
        <v>PLA P 3151 Bio GOTS</v>
      </c>
      <c r="I1146" s="6" t="str">
        <f>"204438"</f>
        <v>204438</v>
      </c>
      <c r="J1146" s="6" t="str">
        <f>"VERDE 4438"</f>
        <v>VERDE 4438</v>
      </c>
      <c r="K1146" s="6" t="str">
        <f t="shared" si="339"/>
        <v>2011</v>
      </c>
      <c r="L1146" s="6" t="str">
        <f t="shared" si="340"/>
        <v>Lençóis</v>
      </c>
      <c r="M1146" s="6" t="str">
        <f t="shared" si="341"/>
        <v>90x180</v>
      </c>
      <c r="N1146" s="6" t="str">
        <f t="shared" si="342"/>
        <v xml:space="preserve"> </v>
      </c>
      <c r="O1146" s="8">
        <v>300</v>
      </c>
      <c r="P1146" s="7">
        <v>46079</v>
      </c>
      <c r="R1146" s="8">
        <v>0</v>
      </c>
      <c r="S1146" s="7">
        <v>46084</v>
      </c>
      <c r="U1146" s="8">
        <v>0</v>
      </c>
      <c r="V1146" s="7">
        <v>46091</v>
      </c>
      <c r="X1146" s="8">
        <v>0</v>
      </c>
      <c r="Z1146" s="8">
        <v>0</v>
      </c>
      <c r="AA1146" s="7">
        <v>46105</v>
      </c>
      <c r="AC1146" s="8">
        <v>0</v>
      </c>
      <c r="AE1146" s="7">
        <v>46108</v>
      </c>
      <c r="AF1146" s="8">
        <v>0</v>
      </c>
      <c r="AH1146" s="7">
        <v>46108</v>
      </c>
      <c r="AN1146" s="8">
        <v>0</v>
      </c>
      <c r="AO1146" s="8">
        <v>300</v>
      </c>
    </row>
    <row r="1147" spans="1:41" x14ac:dyDescent="0.25">
      <c r="A1147" s="6" t="str">
        <f t="shared" si="330"/>
        <v>521-2026000034</v>
      </c>
      <c r="B1147" s="6" t="str">
        <f t="shared" si="331"/>
        <v>MAISON D</v>
      </c>
      <c r="C1147" s="7">
        <v>46042</v>
      </c>
      <c r="D1147" s="7">
        <v>46108</v>
      </c>
      <c r="E1147" s="8">
        <v>32</v>
      </c>
      <c r="F1147" s="6" t="str">
        <f t="shared" si="332"/>
        <v xml:space="preserve"> </v>
      </c>
      <c r="G1147" s="6" t="str">
        <f>"F330315148000000"</f>
        <v>F330315148000000</v>
      </c>
      <c r="H1147" s="6" t="str">
        <f>"PLA P 3151 Bio GOTS"</f>
        <v>PLA P 3151 Bio GOTS</v>
      </c>
      <c r="I1147" s="6" t="str">
        <f>"201868"</f>
        <v>201868</v>
      </c>
      <c r="J1147" s="6" t="str">
        <f>"LILAS 1868"</f>
        <v>LILAS 1868</v>
      </c>
      <c r="K1147" s="6" t="str">
        <f t="shared" si="339"/>
        <v>2011</v>
      </c>
      <c r="L1147" s="6" t="str">
        <f t="shared" si="340"/>
        <v>Lençóis</v>
      </c>
      <c r="M1147" s="6" t="str">
        <f t="shared" si="341"/>
        <v>90x180</v>
      </c>
      <c r="N1147" s="6" t="str">
        <f t="shared" si="342"/>
        <v xml:space="preserve"> </v>
      </c>
      <c r="O1147" s="8">
        <v>300</v>
      </c>
      <c r="P1147" s="7">
        <v>46079</v>
      </c>
      <c r="R1147" s="8">
        <v>0</v>
      </c>
      <c r="S1147" s="7">
        <v>46084</v>
      </c>
      <c r="U1147" s="8">
        <v>0</v>
      </c>
      <c r="V1147" s="7">
        <v>46091</v>
      </c>
      <c r="X1147" s="8">
        <v>0</v>
      </c>
      <c r="Z1147" s="8">
        <v>0</v>
      </c>
      <c r="AA1147" s="7">
        <v>46105</v>
      </c>
      <c r="AC1147" s="8">
        <v>0</v>
      </c>
      <c r="AE1147" s="7">
        <v>46108</v>
      </c>
      <c r="AF1147" s="8">
        <v>0</v>
      </c>
      <c r="AH1147" s="7">
        <v>46108</v>
      </c>
      <c r="AN1147" s="8">
        <v>0</v>
      </c>
      <c r="AO1147" s="8">
        <v>300</v>
      </c>
    </row>
    <row r="1148" spans="1:41" x14ac:dyDescent="0.25">
      <c r="A1148" s="6" t="str">
        <f t="shared" ref="A1148:A1163" si="343">"521-2026000035"</f>
        <v>521-2026000035</v>
      </c>
      <c r="B1148" s="6" t="str">
        <f t="shared" si="331"/>
        <v>MAISON D</v>
      </c>
      <c r="C1148" s="7">
        <v>46042</v>
      </c>
      <c r="D1148" s="7">
        <v>46108</v>
      </c>
      <c r="E1148" s="8">
        <v>1</v>
      </c>
      <c r="F1148" s="6" t="str">
        <f t="shared" si="332"/>
        <v xml:space="preserve"> </v>
      </c>
      <c r="G1148" s="6" t="str">
        <f t="shared" ref="G1148:G1159" si="344">"F124356455000000"</f>
        <v>F124356455000000</v>
      </c>
      <c r="H1148" s="6" t="str">
        <f t="shared" ref="H1148:H1159" si="345">"FAJA P 3564 Bio GOTS"</f>
        <v>FAJA P 3564 Bio GOTS</v>
      </c>
      <c r="I1148" s="6" t="str">
        <f>"4936"</f>
        <v>4936</v>
      </c>
      <c r="J1148" s="6" t="str">
        <f>"ROSA 4936"</f>
        <v>ROSA 4936</v>
      </c>
      <c r="K1148" s="6" t="str">
        <f>"0520"</f>
        <v>0520</v>
      </c>
      <c r="L1148" s="6" t="str">
        <f>"Toalhetes"</f>
        <v>Toalhetes</v>
      </c>
      <c r="M1148" s="6" t="str">
        <f>"30x50"</f>
        <v>30x50</v>
      </c>
      <c r="N1148" s="6" t="str">
        <f t="shared" si="342"/>
        <v xml:space="preserve"> </v>
      </c>
      <c r="O1148" s="8">
        <v>1200</v>
      </c>
      <c r="P1148" s="7">
        <v>46073</v>
      </c>
      <c r="R1148" s="8">
        <v>0</v>
      </c>
      <c r="S1148" s="7">
        <v>46078</v>
      </c>
      <c r="U1148" s="8">
        <v>0</v>
      </c>
      <c r="V1148" s="7">
        <v>46091</v>
      </c>
      <c r="X1148" s="8">
        <v>0</v>
      </c>
      <c r="Z1148" s="8">
        <v>0</v>
      </c>
      <c r="AA1148" s="7">
        <v>46105</v>
      </c>
      <c r="AC1148" s="8">
        <v>0</v>
      </c>
      <c r="AE1148" s="7">
        <v>46108</v>
      </c>
      <c r="AF1148" s="8">
        <v>0</v>
      </c>
      <c r="AH1148" s="7">
        <v>46108</v>
      </c>
      <c r="AN1148" s="8">
        <v>0</v>
      </c>
      <c r="AO1148" s="8">
        <v>1200</v>
      </c>
    </row>
    <row r="1149" spans="1:41" x14ac:dyDescent="0.25">
      <c r="A1149" s="6" t="str">
        <f t="shared" si="343"/>
        <v>521-2026000035</v>
      </c>
      <c r="B1149" s="6" t="str">
        <f t="shared" si="331"/>
        <v>MAISON D</v>
      </c>
      <c r="C1149" s="7">
        <v>46042</v>
      </c>
      <c r="D1149" s="7">
        <v>46108</v>
      </c>
      <c r="E1149" s="8">
        <v>2</v>
      </c>
      <c r="F1149" s="6" t="str">
        <f t="shared" si="332"/>
        <v xml:space="preserve"> </v>
      </c>
      <c r="G1149" s="6" t="str">
        <f t="shared" si="344"/>
        <v>F124356455000000</v>
      </c>
      <c r="H1149" s="6" t="str">
        <f t="shared" si="345"/>
        <v>FAJA P 3564 Bio GOTS</v>
      </c>
      <c r="I1149" s="6" t="str">
        <f>"4936"</f>
        <v>4936</v>
      </c>
      <c r="J1149" s="6" t="str">
        <f>"ROSA 4936"</f>
        <v>ROSA 4936</v>
      </c>
      <c r="K1149" s="6" t="str">
        <f>"1024"</f>
        <v>1024</v>
      </c>
      <c r="L1149" s="6" t="str">
        <f>"Toalhas"</f>
        <v>Toalhas</v>
      </c>
      <c r="M1149" s="6" t="str">
        <f>"50x100"</f>
        <v>50x100</v>
      </c>
      <c r="N1149" s="6" t="str">
        <f t="shared" si="342"/>
        <v xml:space="preserve"> </v>
      </c>
      <c r="O1149" s="8">
        <v>800</v>
      </c>
      <c r="P1149" s="7">
        <v>46073</v>
      </c>
      <c r="R1149" s="8">
        <v>0</v>
      </c>
      <c r="S1149" s="7">
        <v>46078</v>
      </c>
      <c r="U1149" s="8">
        <v>0</v>
      </c>
      <c r="V1149" s="7">
        <v>46091</v>
      </c>
      <c r="X1149" s="8">
        <v>0</v>
      </c>
      <c r="Z1149" s="8">
        <v>0</v>
      </c>
      <c r="AA1149" s="7">
        <v>46105</v>
      </c>
      <c r="AC1149" s="8">
        <v>0</v>
      </c>
      <c r="AE1149" s="7">
        <v>46108</v>
      </c>
      <c r="AF1149" s="8">
        <v>0</v>
      </c>
      <c r="AH1149" s="7">
        <v>46108</v>
      </c>
      <c r="AN1149" s="8">
        <v>0</v>
      </c>
      <c r="AO1149" s="8">
        <v>800</v>
      </c>
    </row>
    <row r="1150" spans="1:41" x14ac:dyDescent="0.25">
      <c r="A1150" s="6" t="str">
        <f t="shared" si="343"/>
        <v>521-2026000035</v>
      </c>
      <c r="B1150" s="6" t="str">
        <f t="shared" si="331"/>
        <v>MAISON D</v>
      </c>
      <c r="C1150" s="7">
        <v>46042</v>
      </c>
      <c r="D1150" s="7">
        <v>46108</v>
      </c>
      <c r="E1150" s="8">
        <v>3</v>
      </c>
      <c r="F1150" s="6" t="str">
        <f t="shared" si="332"/>
        <v xml:space="preserve"> </v>
      </c>
      <c r="G1150" s="6" t="str">
        <f t="shared" si="344"/>
        <v>F124356455000000</v>
      </c>
      <c r="H1150" s="6" t="str">
        <f t="shared" si="345"/>
        <v>FAJA P 3564 Bio GOTS</v>
      </c>
      <c r="I1150" s="6" t="str">
        <f>"4936"</f>
        <v>4936</v>
      </c>
      <c r="J1150" s="6" t="str">
        <f>"ROSA 4936"</f>
        <v>ROSA 4936</v>
      </c>
      <c r="K1150" s="6" t="str">
        <f>"1535"</f>
        <v>1535</v>
      </c>
      <c r="L1150" s="6" t="str">
        <f>"Toalhões"</f>
        <v>Toalhões</v>
      </c>
      <c r="M1150" s="6" t="str">
        <f>"70x140"</f>
        <v>70x140</v>
      </c>
      <c r="N1150" s="6" t="str">
        <f t="shared" si="342"/>
        <v xml:space="preserve"> </v>
      </c>
      <c r="O1150" s="8">
        <v>400</v>
      </c>
      <c r="P1150" s="7">
        <v>46073</v>
      </c>
      <c r="R1150" s="8">
        <v>0</v>
      </c>
      <c r="S1150" s="7">
        <v>46078</v>
      </c>
      <c r="U1150" s="8">
        <v>0</v>
      </c>
      <c r="V1150" s="7">
        <v>46091</v>
      </c>
      <c r="X1150" s="8">
        <v>0</v>
      </c>
      <c r="Z1150" s="8">
        <v>0</v>
      </c>
      <c r="AA1150" s="7">
        <v>46105</v>
      </c>
      <c r="AC1150" s="8">
        <v>0</v>
      </c>
      <c r="AE1150" s="7">
        <v>46108</v>
      </c>
      <c r="AF1150" s="8">
        <v>0</v>
      </c>
      <c r="AH1150" s="7">
        <v>46108</v>
      </c>
      <c r="AN1150" s="8">
        <v>0</v>
      </c>
      <c r="AO1150" s="8">
        <v>400</v>
      </c>
    </row>
    <row r="1151" spans="1:41" x14ac:dyDescent="0.25">
      <c r="A1151" s="6" t="str">
        <f t="shared" si="343"/>
        <v>521-2026000035</v>
      </c>
      <c r="B1151" s="6" t="str">
        <f t="shared" si="331"/>
        <v>MAISON D</v>
      </c>
      <c r="C1151" s="7">
        <v>46042</v>
      </c>
      <c r="D1151" s="7">
        <v>46108</v>
      </c>
      <c r="E1151" s="8">
        <v>4</v>
      </c>
      <c r="F1151" s="6" t="str">
        <f t="shared" si="332"/>
        <v xml:space="preserve"> </v>
      </c>
      <c r="G1151" s="6" t="str">
        <f t="shared" si="344"/>
        <v>F124356455000000</v>
      </c>
      <c r="H1151" s="6" t="str">
        <f t="shared" si="345"/>
        <v>FAJA P 3564 Bio GOTS</v>
      </c>
      <c r="I1151" s="6" t="str">
        <f>"5502"</f>
        <v>5502</v>
      </c>
      <c r="J1151" s="6" t="str">
        <f>"AMARELO 5502"</f>
        <v>AMARELO 5502</v>
      </c>
      <c r="K1151" s="6" t="str">
        <f>"0520"</f>
        <v>0520</v>
      </c>
      <c r="L1151" s="6" t="str">
        <f>"Toalhetes"</f>
        <v>Toalhetes</v>
      </c>
      <c r="M1151" s="6" t="str">
        <f>"30x50"</f>
        <v>30x50</v>
      </c>
      <c r="N1151" s="6" t="str">
        <f t="shared" si="342"/>
        <v xml:space="preserve"> </v>
      </c>
      <c r="O1151" s="8">
        <v>1200</v>
      </c>
      <c r="P1151" s="7">
        <v>46073</v>
      </c>
      <c r="R1151" s="8">
        <v>0</v>
      </c>
      <c r="S1151" s="7">
        <v>46078</v>
      </c>
      <c r="U1151" s="8">
        <v>0</v>
      </c>
      <c r="V1151" s="7">
        <v>46091</v>
      </c>
      <c r="X1151" s="8">
        <v>0</v>
      </c>
      <c r="Z1151" s="8">
        <v>0</v>
      </c>
      <c r="AA1151" s="7">
        <v>46105</v>
      </c>
      <c r="AC1151" s="8">
        <v>0</v>
      </c>
      <c r="AE1151" s="7">
        <v>46108</v>
      </c>
      <c r="AF1151" s="8">
        <v>0</v>
      </c>
      <c r="AH1151" s="7">
        <v>46108</v>
      </c>
      <c r="AN1151" s="8">
        <v>0</v>
      </c>
      <c r="AO1151" s="8">
        <v>1200</v>
      </c>
    </row>
    <row r="1152" spans="1:41" x14ac:dyDescent="0.25">
      <c r="A1152" s="6" t="str">
        <f t="shared" si="343"/>
        <v>521-2026000035</v>
      </c>
      <c r="B1152" s="6" t="str">
        <f t="shared" si="331"/>
        <v>MAISON D</v>
      </c>
      <c r="C1152" s="7">
        <v>46042</v>
      </c>
      <c r="D1152" s="7">
        <v>46108</v>
      </c>
      <c r="E1152" s="8">
        <v>5</v>
      </c>
      <c r="F1152" s="6" t="str">
        <f t="shared" si="332"/>
        <v xml:space="preserve"> </v>
      </c>
      <c r="G1152" s="6" t="str">
        <f t="shared" si="344"/>
        <v>F124356455000000</v>
      </c>
      <c r="H1152" s="6" t="str">
        <f t="shared" si="345"/>
        <v>FAJA P 3564 Bio GOTS</v>
      </c>
      <c r="I1152" s="6" t="str">
        <f>"5502"</f>
        <v>5502</v>
      </c>
      <c r="J1152" s="6" t="str">
        <f>"AMARELO 5502"</f>
        <v>AMARELO 5502</v>
      </c>
      <c r="K1152" s="6" t="str">
        <f>"1024"</f>
        <v>1024</v>
      </c>
      <c r="L1152" s="6" t="str">
        <f>"Toalhas"</f>
        <v>Toalhas</v>
      </c>
      <c r="M1152" s="6" t="str">
        <f>"50x100"</f>
        <v>50x100</v>
      </c>
      <c r="N1152" s="6" t="str">
        <f t="shared" si="342"/>
        <v xml:space="preserve"> </v>
      </c>
      <c r="O1152" s="8">
        <v>800</v>
      </c>
      <c r="P1152" s="7">
        <v>46073</v>
      </c>
      <c r="R1152" s="8">
        <v>0</v>
      </c>
      <c r="S1152" s="7">
        <v>46078</v>
      </c>
      <c r="U1152" s="8">
        <v>0</v>
      </c>
      <c r="V1152" s="7">
        <v>46091</v>
      </c>
      <c r="X1152" s="8">
        <v>0</v>
      </c>
      <c r="Z1152" s="8">
        <v>0</v>
      </c>
      <c r="AA1152" s="7">
        <v>46105</v>
      </c>
      <c r="AC1152" s="8">
        <v>0</v>
      </c>
      <c r="AE1152" s="7">
        <v>46108</v>
      </c>
      <c r="AF1152" s="8">
        <v>0</v>
      </c>
      <c r="AH1152" s="7">
        <v>46108</v>
      </c>
      <c r="AN1152" s="8">
        <v>0</v>
      </c>
      <c r="AO1152" s="8">
        <v>800</v>
      </c>
    </row>
    <row r="1153" spans="1:41" x14ac:dyDescent="0.25">
      <c r="A1153" s="6" t="str">
        <f t="shared" si="343"/>
        <v>521-2026000035</v>
      </c>
      <c r="B1153" s="6" t="str">
        <f t="shared" si="331"/>
        <v>MAISON D</v>
      </c>
      <c r="C1153" s="7">
        <v>46042</v>
      </c>
      <c r="D1153" s="7">
        <v>46108</v>
      </c>
      <c r="E1153" s="8">
        <v>6</v>
      </c>
      <c r="F1153" s="6" t="str">
        <f t="shared" si="332"/>
        <v xml:space="preserve"> </v>
      </c>
      <c r="G1153" s="6" t="str">
        <f t="shared" si="344"/>
        <v>F124356455000000</v>
      </c>
      <c r="H1153" s="6" t="str">
        <f t="shared" si="345"/>
        <v>FAJA P 3564 Bio GOTS</v>
      </c>
      <c r="I1153" s="6" t="str">
        <f>"5502"</f>
        <v>5502</v>
      </c>
      <c r="J1153" s="6" t="str">
        <f>"AMARELO 5502"</f>
        <v>AMARELO 5502</v>
      </c>
      <c r="K1153" s="6" t="str">
        <f>"1535"</f>
        <v>1535</v>
      </c>
      <c r="L1153" s="6" t="str">
        <f>"Toalhões"</f>
        <v>Toalhões</v>
      </c>
      <c r="M1153" s="6" t="str">
        <f>"70x140"</f>
        <v>70x140</v>
      </c>
      <c r="N1153" s="6" t="str">
        <f t="shared" si="342"/>
        <v xml:space="preserve"> </v>
      </c>
      <c r="O1153" s="8">
        <v>400</v>
      </c>
      <c r="P1153" s="7">
        <v>46073</v>
      </c>
      <c r="R1153" s="8">
        <v>0</v>
      </c>
      <c r="S1153" s="7">
        <v>46078</v>
      </c>
      <c r="U1153" s="8">
        <v>0</v>
      </c>
      <c r="V1153" s="7">
        <v>46091</v>
      </c>
      <c r="X1153" s="8">
        <v>0</v>
      </c>
      <c r="Z1153" s="8">
        <v>0</v>
      </c>
      <c r="AA1153" s="7">
        <v>46105</v>
      </c>
      <c r="AC1153" s="8">
        <v>0</v>
      </c>
      <c r="AE1153" s="7">
        <v>46108</v>
      </c>
      <c r="AF1153" s="8">
        <v>0</v>
      </c>
      <c r="AH1153" s="7">
        <v>46108</v>
      </c>
      <c r="AN1153" s="8">
        <v>0</v>
      </c>
      <c r="AO1153" s="8">
        <v>400</v>
      </c>
    </row>
    <row r="1154" spans="1:41" x14ac:dyDescent="0.25">
      <c r="A1154" s="6" t="str">
        <f t="shared" si="343"/>
        <v>521-2026000035</v>
      </c>
      <c r="B1154" s="6" t="str">
        <f t="shared" si="331"/>
        <v>MAISON D</v>
      </c>
      <c r="C1154" s="7">
        <v>46042</v>
      </c>
      <c r="D1154" s="7">
        <v>46108</v>
      </c>
      <c r="E1154" s="8">
        <v>7</v>
      </c>
      <c r="F1154" s="6" t="str">
        <f t="shared" si="332"/>
        <v xml:space="preserve"> </v>
      </c>
      <c r="G1154" s="6" t="str">
        <f t="shared" si="344"/>
        <v>F124356455000000</v>
      </c>
      <c r="H1154" s="6" t="str">
        <f t="shared" si="345"/>
        <v>FAJA P 3564 Bio GOTS</v>
      </c>
      <c r="I1154" s="6" t="str">
        <f>"6035"</f>
        <v>6035</v>
      </c>
      <c r="J1154" s="6" t="str">
        <f>"LILAS 6035"</f>
        <v>LILAS 6035</v>
      </c>
      <c r="K1154" s="6" t="str">
        <f>"0520"</f>
        <v>0520</v>
      </c>
      <c r="L1154" s="6" t="str">
        <f>"Toalhetes"</f>
        <v>Toalhetes</v>
      </c>
      <c r="M1154" s="6" t="str">
        <f>"30x50"</f>
        <v>30x50</v>
      </c>
      <c r="N1154" s="6" t="str">
        <f t="shared" si="342"/>
        <v xml:space="preserve"> </v>
      </c>
      <c r="O1154" s="8">
        <v>1200</v>
      </c>
      <c r="P1154" s="7">
        <v>46073</v>
      </c>
      <c r="R1154" s="8">
        <v>0</v>
      </c>
      <c r="S1154" s="7">
        <v>46078</v>
      </c>
      <c r="U1154" s="8">
        <v>0</v>
      </c>
      <c r="V1154" s="7">
        <v>46091</v>
      </c>
      <c r="X1154" s="8">
        <v>0</v>
      </c>
      <c r="Z1154" s="8">
        <v>0</v>
      </c>
      <c r="AA1154" s="7">
        <v>46105</v>
      </c>
      <c r="AC1154" s="8">
        <v>0</v>
      </c>
      <c r="AE1154" s="7">
        <v>46108</v>
      </c>
      <c r="AF1154" s="8">
        <v>0</v>
      </c>
      <c r="AH1154" s="7">
        <v>46108</v>
      </c>
      <c r="AN1154" s="8">
        <v>0</v>
      </c>
      <c r="AO1154" s="8">
        <v>1200</v>
      </c>
    </row>
    <row r="1155" spans="1:41" x14ac:dyDescent="0.25">
      <c r="A1155" s="6" t="str">
        <f t="shared" si="343"/>
        <v>521-2026000035</v>
      </c>
      <c r="B1155" s="6" t="str">
        <f t="shared" si="331"/>
        <v>MAISON D</v>
      </c>
      <c r="C1155" s="7">
        <v>46042</v>
      </c>
      <c r="D1155" s="7">
        <v>46108</v>
      </c>
      <c r="E1155" s="8">
        <v>8</v>
      </c>
      <c r="F1155" s="6" t="str">
        <f t="shared" si="332"/>
        <v xml:space="preserve"> </v>
      </c>
      <c r="G1155" s="6" t="str">
        <f t="shared" si="344"/>
        <v>F124356455000000</v>
      </c>
      <c r="H1155" s="6" t="str">
        <f t="shared" si="345"/>
        <v>FAJA P 3564 Bio GOTS</v>
      </c>
      <c r="I1155" s="6" t="str">
        <f>"6035"</f>
        <v>6035</v>
      </c>
      <c r="J1155" s="6" t="str">
        <f>"LILAS 6035"</f>
        <v>LILAS 6035</v>
      </c>
      <c r="K1155" s="6" t="str">
        <f>"1024"</f>
        <v>1024</v>
      </c>
      <c r="L1155" s="6" t="str">
        <f>"Toalhas"</f>
        <v>Toalhas</v>
      </c>
      <c r="M1155" s="6" t="str">
        <f>"50x100"</f>
        <v>50x100</v>
      </c>
      <c r="N1155" s="6" t="str">
        <f t="shared" si="342"/>
        <v xml:space="preserve"> </v>
      </c>
      <c r="O1155" s="8">
        <v>800</v>
      </c>
      <c r="P1155" s="7">
        <v>46073</v>
      </c>
      <c r="R1155" s="8">
        <v>0</v>
      </c>
      <c r="S1155" s="7">
        <v>46078</v>
      </c>
      <c r="U1155" s="8">
        <v>0</v>
      </c>
      <c r="V1155" s="7">
        <v>46091</v>
      </c>
      <c r="X1155" s="8">
        <v>0</v>
      </c>
      <c r="Z1155" s="8">
        <v>0</v>
      </c>
      <c r="AA1155" s="7">
        <v>46105</v>
      </c>
      <c r="AC1155" s="8">
        <v>0</v>
      </c>
      <c r="AE1155" s="7">
        <v>46108</v>
      </c>
      <c r="AF1155" s="8">
        <v>0</v>
      </c>
      <c r="AH1155" s="7">
        <v>46108</v>
      </c>
      <c r="AN1155" s="8">
        <v>0</v>
      </c>
      <c r="AO1155" s="8">
        <v>800</v>
      </c>
    </row>
    <row r="1156" spans="1:41" x14ac:dyDescent="0.25">
      <c r="A1156" s="6" t="str">
        <f t="shared" si="343"/>
        <v>521-2026000035</v>
      </c>
      <c r="B1156" s="6" t="str">
        <f t="shared" si="331"/>
        <v>MAISON D</v>
      </c>
      <c r="C1156" s="7">
        <v>46042</v>
      </c>
      <c r="D1156" s="7">
        <v>46108</v>
      </c>
      <c r="E1156" s="8">
        <v>9</v>
      </c>
      <c r="F1156" s="6" t="str">
        <f t="shared" si="332"/>
        <v xml:space="preserve"> </v>
      </c>
      <c r="G1156" s="6" t="str">
        <f t="shared" si="344"/>
        <v>F124356455000000</v>
      </c>
      <c r="H1156" s="6" t="str">
        <f t="shared" si="345"/>
        <v>FAJA P 3564 Bio GOTS</v>
      </c>
      <c r="I1156" s="6" t="str">
        <f>"6035"</f>
        <v>6035</v>
      </c>
      <c r="J1156" s="6" t="str">
        <f>"LILAS 6035"</f>
        <v>LILAS 6035</v>
      </c>
      <c r="K1156" s="6" t="str">
        <f>"1535"</f>
        <v>1535</v>
      </c>
      <c r="L1156" s="6" t="str">
        <f>"Toalhões"</f>
        <v>Toalhões</v>
      </c>
      <c r="M1156" s="6" t="str">
        <f>"70x140"</f>
        <v>70x140</v>
      </c>
      <c r="N1156" s="6" t="str">
        <f t="shared" si="342"/>
        <v xml:space="preserve"> </v>
      </c>
      <c r="O1156" s="8">
        <v>400</v>
      </c>
      <c r="P1156" s="7">
        <v>46073</v>
      </c>
      <c r="R1156" s="8">
        <v>0</v>
      </c>
      <c r="S1156" s="7">
        <v>46078</v>
      </c>
      <c r="U1156" s="8">
        <v>0</v>
      </c>
      <c r="V1156" s="7">
        <v>46091</v>
      </c>
      <c r="X1156" s="8">
        <v>0</v>
      </c>
      <c r="Z1156" s="8">
        <v>0</v>
      </c>
      <c r="AA1156" s="7">
        <v>46105</v>
      </c>
      <c r="AC1156" s="8">
        <v>0</v>
      </c>
      <c r="AE1156" s="7">
        <v>46108</v>
      </c>
      <c r="AF1156" s="8">
        <v>0</v>
      </c>
      <c r="AH1156" s="7">
        <v>46108</v>
      </c>
      <c r="AN1156" s="8">
        <v>0</v>
      </c>
      <c r="AO1156" s="8">
        <v>400</v>
      </c>
    </row>
    <row r="1157" spans="1:41" x14ac:dyDescent="0.25">
      <c r="A1157" s="6" t="str">
        <f t="shared" si="343"/>
        <v>521-2026000035</v>
      </c>
      <c r="B1157" s="6" t="str">
        <f t="shared" si="331"/>
        <v>MAISON D</v>
      </c>
      <c r="C1157" s="7">
        <v>46042</v>
      </c>
      <c r="D1157" s="7">
        <v>46108</v>
      </c>
      <c r="E1157" s="8">
        <v>10</v>
      </c>
      <c r="F1157" s="6" t="str">
        <f t="shared" si="332"/>
        <v xml:space="preserve"> </v>
      </c>
      <c r="G1157" s="6" t="str">
        <f t="shared" si="344"/>
        <v>F124356455000000</v>
      </c>
      <c r="H1157" s="6" t="str">
        <f t="shared" si="345"/>
        <v>FAJA P 3564 Bio GOTS</v>
      </c>
      <c r="I1157" s="6" t="str">
        <f>"5438"</f>
        <v>5438</v>
      </c>
      <c r="J1157" s="6" t="str">
        <f>"VERDE 5438"</f>
        <v>VERDE 5438</v>
      </c>
      <c r="K1157" s="6" t="str">
        <f>"0520"</f>
        <v>0520</v>
      </c>
      <c r="L1157" s="6" t="str">
        <f>"Toalhetes"</f>
        <v>Toalhetes</v>
      </c>
      <c r="M1157" s="6" t="str">
        <f>"30x50"</f>
        <v>30x50</v>
      </c>
      <c r="N1157" s="6" t="str">
        <f t="shared" si="342"/>
        <v xml:space="preserve"> </v>
      </c>
      <c r="O1157" s="8">
        <v>1200</v>
      </c>
      <c r="P1157" s="7">
        <v>46073</v>
      </c>
      <c r="R1157" s="8">
        <v>0</v>
      </c>
      <c r="S1157" s="7">
        <v>46078</v>
      </c>
      <c r="U1157" s="8">
        <v>0</v>
      </c>
      <c r="V1157" s="7">
        <v>46091</v>
      </c>
      <c r="X1157" s="8">
        <v>0</v>
      </c>
      <c r="Z1157" s="8">
        <v>0</v>
      </c>
      <c r="AA1157" s="7">
        <v>46105</v>
      </c>
      <c r="AC1157" s="8">
        <v>0</v>
      </c>
      <c r="AE1157" s="7">
        <v>46108</v>
      </c>
      <c r="AF1157" s="8">
        <v>0</v>
      </c>
      <c r="AH1157" s="7">
        <v>46108</v>
      </c>
      <c r="AN1157" s="8">
        <v>0</v>
      </c>
      <c r="AO1157" s="8">
        <v>1200</v>
      </c>
    </row>
    <row r="1158" spans="1:41" x14ac:dyDescent="0.25">
      <c r="A1158" s="6" t="str">
        <f t="shared" si="343"/>
        <v>521-2026000035</v>
      </c>
      <c r="B1158" s="6" t="str">
        <f t="shared" si="331"/>
        <v>MAISON D</v>
      </c>
      <c r="C1158" s="7">
        <v>46042</v>
      </c>
      <c r="D1158" s="7">
        <v>46108</v>
      </c>
      <c r="E1158" s="8">
        <v>11</v>
      </c>
      <c r="F1158" s="6" t="str">
        <f t="shared" si="332"/>
        <v xml:space="preserve"> </v>
      </c>
      <c r="G1158" s="6" t="str">
        <f t="shared" si="344"/>
        <v>F124356455000000</v>
      </c>
      <c r="H1158" s="6" t="str">
        <f t="shared" si="345"/>
        <v>FAJA P 3564 Bio GOTS</v>
      </c>
      <c r="I1158" s="6" t="str">
        <f>"5438"</f>
        <v>5438</v>
      </c>
      <c r="J1158" s="6" t="str">
        <f>"VERDE 5438"</f>
        <v>VERDE 5438</v>
      </c>
      <c r="K1158" s="6" t="str">
        <f>"1024"</f>
        <v>1024</v>
      </c>
      <c r="L1158" s="6" t="str">
        <f>"Toalhas"</f>
        <v>Toalhas</v>
      </c>
      <c r="M1158" s="6" t="str">
        <f>"50x100"</f>
        <v>50x100</v>
      </c>
      <c r="N1158" s="6" t="str">
        <f t="shared" si="342"/>
        <v xml:space="preserve"> </v>
      </c>
      <c r="O1158" s="8">
        <v>800</v>
      </c>
      <c r="P1158" s="7">
        <v>46073</v>
      </c>
      <c r="R1158" s="8">
        <v>0</v>
      </c>
      <c r="S1158" s="7">
        <v>46078</v>
      </c>
      <c r="U1158" s="8">
        <v>0</v>
      </c>
      <c r="V1158" s="7">
        <v>46091</v>
      </c>
      <c r="X1158" s="8">
        <v>0</v>
      </c>
      <c r="Z1158" s="8">
        <v>0</v>
      </c>
      <c r="AA1158" s="7">
        <v>46105</v>
      </c>
      <c r="AC1158" s="8">
        <v>0</v>
      </c>
      <c r="AE1158" s="7">
        <v>46108</v>
      </c>
      <c r="AF1158" s="8">
        <v>0</v>
      </c>
      <c r="AH1158" s="7">
        <v>46108</v>
      </c>
      <c r="AN1158" s="8">
        <v>0</v>
      </c>
      <c r="AO1158" s="8">
        <v>800</v>
      </c>
    </row>
    <row r="1159" spans="1:41" x14ac:dyDescent="0.25">
      <c r="A1159" s="6" t="str">
        <f t="shared" si="343"/>
        <v>521-2026000035</v>
      </c>
      <c r="B1159" s="6" t="str">
        <f t="shared" si="331"/>
        <v>MAISON D</v>
      </c>
      <c r="C1159" s="7">
        <v>46042</v>
      </c>
      <c r="D1159" s="7">
        <v>46108</v>
      </c>
      <c r="E1159" s="8">
        <v>12</v>
      </c>
      <c r="F1159" s="6" t="str">
        <f t="shared" si="332"/>
        <v xml:space="preserve"> </v>
      </c>
      <c r="G1159" s="6" t="str">
        <f t="shared" si="344"/>
        <v>F124356455000000</v>
      </c>
      <c r="H1159" s="6" t="str">
        <f t="shared" si="345"/>
        <v>FAJA P 3564 Bio GOTS</v>
      </c>
      <c r="I1159" s="6" t="str">
        <f>"5438"</f>
        <v>5438</v>
      </c>
      <c r="J1159" s="6" t="str">
        <f>"VERDE 5438"</f>
        <v>VERDE 5438</v>
      </c>
      <c r="K1159" s="6" t="str">
        <f>"1535"</f>
        <v>1535</v>
      </c>
      <c r="L1159" s="6" t="str">
        <f>"Toalhões"</f>
        <v>Toalhões</v>
      </c>
      <c r="M1159" s="6" t="str">
        <f>"70x140"</f>
        <v>70x140</v>
      </c>
      <c r="N1159" s="6" t="str">
        <f t="shared" si="342"/>
        <v xml:space="preserve"> </v>
      </c>
      <c r="O1159" s="8">
        <v>400</v>
      </c>
      <c r="P1159" s="7">
        <v>46073</v>
      </c>
      <c r="R1159" s="8">
        <v>0</v>
      </c>
      <c r="S1159" s="7">
        <v>46078</v>
      </c>
      <c r="U1159" s="8">
        <v>0</v>
      </c>
      <c r="V1159" s="7">
        <v>46091</v>
      </c>
      <c r="X1159" s="8">
        <v>0</v>
      </c>
      <c r="Z1159" s="8">
        <v>0</v>
      </c>
      <c r="AA1159" s="7">
        <v>46105</v>
      </c>
      <c r="AC1159" s="8">
        <v>0</v>
      </c>
      <c r="AE1159" s="7">
        <v>46108</v>
      </c>
      <c r="AF1159" s="8">
        <v>0</v>
      </c>
      <c r="AH1159" s="7">
        <v>46108</v>
      </c>
      <c r="AN1159" s="8">
        <v>0</v>
      </c>
      <c r="AO1159" s="8">
        <v>400</v>
      </c>
    </row>
    <row r="1160" spans="1:41" x14ac:dyDescent="0.25">
      <c r="A1160" s="6" t="str">
        <f t="shared" si="343"/>
        <v>521-2026000035</v>
      </c>
      <c r="B1160" s="6" t="str">
        <f t="shared" si="331"/>
        <v>MAISON D</v>
      </c>
      <c r="C1160" s="7">
        <v>46042</v>
      </c>
      <c r="D1160" s="7">
        <v>46108</v>
      </c>
      <c r="E1160" s="8">
        <v>13</v>
      </c>
      <c r="F1160" s="6" t="str">
        <f t="shared" si="332"/>
        <v xml:space="preserve"> </v>
      </c>
      <c r="G1160" s="6" t="str">
        <f>"F161035810000000"</f>
        <v>F161035810000000</v>
      </c>
      <c r="H1160" s="6" t="str">
        <f>"TA P 358 - 1000 g/m²"</f>
        <v>TA P 358 - 1000 g/m²</v>
      </c>
      <c r="I1160" s="6" t="str">
        <f>"4936"</f>
        <v>4936</v>
      </c>
      <c r="J1160" s="6" t="str">
        <f>"ROSA 4936"</f>
        <v>ROSA 4936</v>
      </c>
      <c r="K1160" s="6" t="str">
        <f>"3020"</f>
        <v>3020</v>
      </c>
      <c r="L1160" s="6" t="str">
        <f>"Tapetes"</f>
        <v>Tapetes</v>
      </c>
      <c r="M1160" s="6" t="str">
        <f>"50x80"</f>
        <v>50x80</v>
      </c>
      <c r="N1160" s="6" t="str">
        <f t="shared" si="342"/>
        <v xml:space="preserve"> </v>
      </c>
      <c r="O1160" s="8">
        <v>500</v>
      </c>
      <c r="P1160" s="7">
        <v>46073</v>
      </c>
      <c r="R1160" s="8">
        <v>0</v>
      </c>
      <c r="S1160" s="7">
        <v>46078</v>
      </c>
      <c r="U1160" s="8">
        <v>0</v>
      </c>
      <c r="V1160" s="7">
        <v>46091</v>
      </c>
      <c r="X1160" s="8">
        <v>0</v>
      </c>
      <c r="Z1160" s="8">
        <v>0</v>
      </c>
      <c r="AA1160" s="7">
        <v>46105</v>
      </c>
      <c r="AC1160" s="8">
        <v>0</v>
      </c>
      <c r="AE1160" s="7">
        <v>46108</v>
      </c>
      <c r="AF1160" s="8">
        <v>0</v>
      </c>
      <c r="AH1160" s="7">
        <v>46108</v>
      </c>
      <c r="AN1160" s="8">
        <v>0</v>
      </c>
      <c r="AO1160" s="8">
        <v>500</v>
      </c>
    </row>
    <row r="1161" spans="1:41" x14ac:dyDescent="0.25">
      <c r="A1161" s="6" t="str">
        <f t="shared" si="343"/>
        <v>521-2026000035</v>
      </c>
      <c r="B1161" s="6" t="str">
        <f t="shared" si="331"/>
        <v>MAISON D</v>
      </c>
      <c r="C1161" s="7">
        <v>46042</v>
      </c>
      <c r="D1161" s="7">
        <v>46108</v>
      </c>
      <c r="E1161" s="8">
        <v>14</v>
      </c>
      <c r="F1161" s="6" t="str">
        <f t="shared" si="332"/>
        <v xml:space="preserve"> </v>
      </c>
      <c r="G1161" s="6" t="str">
        <f>"F161035810000000"</f>
        <v>F161035810000000</v>
      </c>
      <c r="H1161" s="6" t="str">
        <f>"TA P 358 - 1000 g/m²"</f>
        <v>TA P 358 - 1000 g/m²</v>
      </c>
      <c r="I1161" s="6" t="str">
        <f>"5502"</f>
        <v>5502</v>
      </c>
      <c r="J1161" s="6" t="str">
        <f>"AMARELO 5502"</f>
        <v>AMARELO 5502</v>
      </c>
      <c r="K1161" s="6" t="str">
        <f>"3020"</f>
        <v>3020</v>
      </c>
      <c r="L1161" s="6" t="str">
        <f>"Tapetes"</f>
        <v>Tapetes</v>
      </c>
      <c r="M1161" s="6" t="str">
        <f>"50x80"</f>
        <v>50x80</v>
      </c>
      <c r="N1161" s="6" t="str">
        <f t="shared" si="342"/>
        <v xml:space="preserve"> </v>
      </c>
      <c r="O1161" s="8">
        <v>500</v>
      </c>
      <c r="P1161" s="7">
        <v>46073</v>
      </c>
      <c r="R1161" s="8">
        <v>0</v>
      </c>
      <c r="S1161" s="7">
        <v>46078</v>
      </c>
      <c r="U1161" s="8">
        <v>0</v>
      </c>
      <c r="V1161" s="7">
        <v>46091</v>
      </c>
      <c r="X1161" s="8">
        <v>0</v>
      </c>
      <c r="Z1161" s="8">
        <v>0</v>
      </c>
      <c r="AA1161" s="7">
        <v>46105</v>
      </c>
      <c r="AC1161" s="8">
        <v>0</v>
      </c>
      <c r="AE1161" s="7">
        <v>46108</v>
      </c>
      <c r="AF1161" s="8">
        <v>0</v>
      </c>
      <c r="AH1161" s="7">
        <v>46108</v>
      </c>
      <c r="AN1161" s="8">
        <v>0</v>
      </c>
      <c r="AO1161" s="8">
        <v>500</v>
      </c>
    </row>
    <row r="1162" spans="1:41" x14ac:dyDescent="0.25">
      <c r="A1162" s="6" t="str">
        <f t="shared" si="343"/>
        <v>521-2026000035</v>
      </c>
      <c r="B1162" s="6" t="str">
        <f t="shared" si="331"/>
        <v>MAISON D</v>
      </c>
      <c r="C1162" s="7">
        <v>46042</v>
      </c>
      <c r="D1162" s="7">
        <v>46108</v>
      </c>
      <c r="E1162" s="8">
        <v>15</v>
      </c>
      <c r="F1162" s="6" t="str">
        <f t="shared" si="332"/>
        <v xml:space="preserve"> </v>
      </c>
      <c r="G1162" s="6" t="str">
        <f>"F161035810000000"</f>
        <v>F161035810000000</v>
      </c>
      <c r="H1162" s="6" t="str">
        <f>"TA P 358 - 1000 g/m²"</f>
        <v>TA P 358 - 1000 g/m²</v>
      </c>
      <c r="I1162" s="6" t="str">
        <f>"6035"</f>
        <v>6035</v>
      </c>
      <c r="J1162" s="6" t="str">
        <f>"LILAS 6035"</f>
        <v>LILAS 6035</v>
      </c>
      <c r="K1162" s="6" t="str">
        <f>"3020"</f>
        <v>3020</v>
      </c>
      <c r="L1162" s="6" t="str">
        <f>"Tapetes"</f>
        <v>Tapetes</v>
      </c>
      <c r="M1162" s="6" t="str">
        <f>"50x80"</f>
        <v>50x80</v>
      </c>
      <c r="N1162" s="6" t="str">
        <f t="shared" si="342"/>
        <v xml:space="preserve"> </v>
      </c>
      <c r="O1162" s="8">
        <v>500</v>
      </c>
      <c r="P1162" s="7">
        <v>46073</v>
      </c>
      <c r="R1162" s="8">
        <v>0</v>
      </c>
      <c r="S1162" s="7">
        <v>46078</v>
      </c>
      <c r="U1162" s="8">
        <v>0</v>
      </c>
      <c r="V1162" s="7">
        <v>46091</v>
      </c>
      <c r="X1162" s="8">
        <v>0</v>
      </c>
      <c r="Z1162" s="8">
        <v>0</v>
      </c>
      <c r="AA1162" s="7">
        <v>46105</v>
      </c>
      <c r="AC1162" s="8">
        <v>0</v>
      </c>
      <c r="AE1162" s="7">
        <v>46108</v>
      </c>
      <c r="AF1162" s="8">
        <v>0</v>
      </c>
      <c r="AH1162" s="7">
        <v>46108</v>
      </c>
      <c r="AN1162" s="8">
        <v>0</v>
      </c>
      <c r="AO1162" s="8">
        <v>500</v>
      </c>
    </row>
    <row r="1163" spans="1:41" x14ac:dyDescent="0.25">
      <c r="A1163" s="6" t="str">
        <f t="shared" si="343"/>
        <v>521-2026000035</v>
      </c>
      <c r="B1163" s="6" t="str">
        <f t="shared" si="331"/>
        <v>MAISON D</v>
      </c>
      <c r="C1163" s="7">
        <v>46042</v>
      </c>
      <c r="D1163" s="7">
        <v>46108</v>
      </c>
      <c r="E1163" s="8">
        <v>16</v>
      </c>
      <c r="F1163" s="6" t="str">
        <f t="shared" si="332"/>
        <v xml:space="preserve"> </v>
      </c>
      <c r="G1163" s="6" t="str">
        <f>"F161035810000000"</f>
        <v>F161035810000000</v>
      </c>
      <c r="H1163" s="6" t="str">
        <f>"TA P 358 - 1000 g/m²"</f>
        <v>TA P 358 - 1000 g/m²</v>
      </c>
      <c r="I1163" s="6" t="str">
        <f>"5438"</f>
        <v>5438</v>
      </c>
      <c r="J1163" s="6" t="str">
        <f>"VERDE 5438"</f>
        <v>VERDE 5438</v>
      </c>
      <c r="K1163" s="6" t="str">
        <f>"3020"</f>
        <v>3020</v>
      </c>
      <c r="L1163" s="6" t="str">
        <f>"Tapetes"</f>
        <v>Tapetes</v>
      </c>
      <c r="M1163" s="6" t="str">
        <f>"50x80"</f>
        <v>50x80</v>
      </c>
      <c r="N1163" s="6" t="str">
        <f t="shared" si="342"/>
        <v xml:space="preserve"> </v>
      </c>
      <c r="O1163" s="8">
        <v>500</v>
      </c>
      <c r="P1163" s="7">
        <v>46073</v>
      </c>
      <c r="R1163" s="8">
        <v>0</v>
      </c>
      <c r="S1163" s="7">
        <v>46078</v>
      </c>
      <c r="U1163" s="8">
        <v>0</v>
      </c>
      <c r="V1163" s="7">
        <v>46091</v>
      </c>
      <c r="X1163" s="8">
        <v>0</v>
      </c>
      <c r="Z1163" s="8">
        <v>0</v>
      </c>
      <c r="AA1163" s="7">
        <v>46105</v>
      </c>
      <c r="AC1163" s="8">
        <v>0</v>
      </c>
      <c r="AE1163" s="7">
        <v>46108</v>
      </c>
      <c r="AF1163" s="8">
        <v>0</v>
      </c>
      <c r="AH1163" s="7">
        <v>46108</v>
      </c>
      <c r="AN1163" s="8">
        <v>0</v>
      </c>
      <c r="AO1163" s="8">
        <v>500</v>
      </c>
    </row>
    <row r="1164" spans="1:41" x14ac:dyDescent="0.25">
      <c r="A1164" s="6" t="str">
        <f>"521-2026000036"</f>
        <v>521-2026000036</v>
      </c>
      <c r="B1164" s="6" t="str">
        <f>"STUDIO F"</f>
        <v>STUDIO F</v>
      </c>
      <c r="C1164" s="7">
        <v>46042</v>
      </c>
      <c r="D1164" s="7">
        <v>46101</v>
      </c>
      <c r="E1164" s="8">
        <v>1</v>
      </c>
      <c r="F1164" s="6" t="str">
        <f>"PO# 1141"</f>
        <v>PO# 1141</v>
      </c>
      <c r="G1164" s="6" t="str">
        <f>"F120331545000000"</f>
        <v>F120331545000000</v>
      </c>
      <c r="H1164" s="6" t="str">
        <f>"FAJA 3315 Bio GOTS L"</f>
        <v>FAJA 3315 Bio GOTS L</v>
      </c>
      <c r="I1164" s="6" t="str">
        <f>"5829"</f>
        <v>5829</v>
      </c>
      <c r="J1164" s="6" t="str">
        <f>"CASTANHO 5829"</f>
        <v>CASTANHO 5829</v>
      </c>
      <c r="K1164" s="6" t="str">
        <f>"0518"</f>
        <v>0518</v>
      </c>
      <c r="L1164" s="6" t="str">
        <f>"Toalhetes"</f>
        <v>Toalhetes</v>
      </c>
      <c r="M1164" s="6" t="str">
        <f>"40x60"</f>
        <v>40x60</v>
      </c>
      <c r="N1164" s="6" t="str">
        <f t="shared" si="342"/>
        <v xml:space="preserve"> </v>
      </c>
      <c r="O1164" s="8">
        <v>750</v>
      </c>
      <c r="P1164" s="7">
        <v>46073</v>
      </c>
      <c r="R1164" s="8">
        <v>0</v>
      </c>
      <c r="S1164" s="7">
        <v>46078</v>
      </c>
      <c r="U1164" s="8">
        <v>0</v>
      </c>
      <c r="V1164" s="7">
        <v>46087</v>
      </c>
      <c r="X1164" s="8">
        <v>0</v>
      </c>
      <c r="Z1164" s="8">
        <v>0</v>
      </c>
      <c r="AA1164" s="7">
        <v>46099</v>
      </c>
      <c r="AC1164" s="8">
        <v>0</v>
      </c>
      <c r="AE1164" s="7">
        <v>46101</v>
      </c>
      <c r="AF1164" s="8">
        <v>0</v>
      </c>
      <c r="AH1164" s="7">
        <v>46101</v>
      </c>
      <c r="AN1164" s="8">
        <v>0</v>
      </c>
      <c r="AO1164" s="8">
        <v>750</v>
      </c>
    </row>
    <row r="1165" spans="1:41" x14ac:dyDescent="0.25">
      <c r="A1165" s="6" t="str">
        <f>"521-2026000036"</f>
        <v>521-2026000036</v>
      </c>
      <c r="B1165" s="6" t="str">
        <f>"STUDIO F"</f>
        <v>STUDIO F</v>
      </c>
      <c r="C1165" s="7">
        <v>46042</v>
      </c>
      <c r="D1165" s="7">
        <v>46101</v>
      </c>
      <c r="E1165" s="8">
        <v>2</v>
      </c>
      <c r="F1165" s="6" t="str">
        <f>"PO# 1141"</f>
        <v>PO# 1141</v>
      </c>
      <c r="G1165" s="6" t="str">
        <f>"F120331545000000"</f>
        <v>F120331545000000</v>
      </c>
      <c r="H1165" s="6" t="str">
        <f>"FAJA 3315 Bio GOTS L"</f>
        <v>FAJA 3315 Bio GOTS L</v>
      </c>
      <c r="I1165" s="6" t="str">
        <f>"5829"</f>
        <v>5829</v>
      </c>
      <c r="J1165" s="6" t="str">
        <f>"CASTANHO 5829"</f>
        <v>CASTANHO 5829</v>
      </c>
      <c r="K1165" s="6" t="str">
        <f>"1535"</f>
        <v>1535</v>
      </c>
      <c r="L1165" s="6" t="str">
        <f>"Toalhões"</f>
        <v>Toalhões</v>
      </c>
      <c r="M1165" s="6" t="str">
        <f>"70x140"</f>
        <v>70x140</v>
      </c>
      <c r="N1165" s="6" t="str">
        <f t="shared" si="342"/>
        <v xml:space="preserve"> </v>
      </c>
      <c r="O1165" s="8">
        <v>400</v>
      </c>
      <c r="P1165" s="7">
        <v>46073</v>
      </c>
      <c r="R1165" s="8">
        <v>0</v>
      </c>
      <c r="S1165" s="7">
        <v>46078</v>
      </c>
      <c r="U1165" s="8">
        <v>0</v>
      </c>
      <c r="V1165" s="7">
        <v>46087</v>
      </c>
      <c r="X1165" s="8">
        <v>0</v>
      </c>
      <c r="Z1165" s="8">
        <v>0</v>
      </c>
      <c r="AA1165" s="7">
        <v>46099</v>
      </c>
      <c r="AC1165" s="8">
        <v>0</v>
      </c>
      <c r="AE1165" s="7">
        <v>46101</v>
      </c>
      <c r="AF1165" s="8">
        <v>0</v>
      </c>
      <c r="AH1165" s="7">
        <v>46101</v>
      </c>
      <c r="AN1165" s="8">
        <v>0</v>
      </c>
      <c r="AO1165" s="8">
        <v>400</v>
      </c>
    </row>
    <row r="1166" spans="1:41" x14ac:dyDescent="0.25">
      <c r="A1166" s="6" t="str">
        <f>"521-2026000036"</f>
        <v>521-2026000036</v>
      </c>
      <c r="B1166" s="6" t="str">
        <f>"STUDIO F"</f>
        <v>STUDIO F</v>
      </c>
      <c r="C1166" s="7">
        <v>46042</v>
      </c>
      <c r="D1166" s="7">
        <v>46101</v>
      </c>
      <c r="E1166" s="8">
        <v>3</v>
      </c>
      <c r="F1166" s="6" t="str">
        <f>"PO# 1141"</f>
        <v>PO# 1141</v>
      </c>
      <c r="G1166" s="6" t="str">
        <f>"F120331545000000"</f>
        <v>F120331545000000</v>
      </c>
      <c r="H1166" s="6" t="str">
        <f>"FAJA 3315 Bio GOTS L"</f>
        <v>FAJA 3315 Bio GOTS L</v>
      </c>
      <c r="I1166" s="6" t="str">
        <f>"6029"</f>
        <v>6029</v>
      </c>
      <c r="J1166" s="6" t="str">
        <f>"NATURAL 6029 ALCAL"</f>
        <v>NATURAL 6029 ALCAL</v>
      </c>
      <c r="K1166" s="6" t="str">
        <f>"0518"</f>
        <v>0518</v>
      </c>
      <c r="L1166" s="6" t="str">
        <f>"Toalhetes"</f>
        <v>Toalhetes</v>
      </c>
      <c r="M1166" s="6" t="str">
        <f>"40x60"</f>
        <v>40x60</v>
      </c>
      <c r="N1166" s="6" t="str">
        <f t="shared" si="342"/>
        <v xml:space="preserve"> </v>
      </c>
      <c r="O1166" s="8">
        <v>750</v>
      </c>
      <c r="P1166" s="7">
        <v>46073</v>
      </c>
      <c r="R1166" s="8">
        <v>0</v>
      </c>
      <c r="S1166" s="7">
        <v>46078</v>
      </c>
      <c r="U1166" s="8">
        <v>0</v>
      </c>
      <c r="V1166" s="7">
        <v>46087</v>
      </c>
      <c r="X1166" s="8">
        <v>0</v>
      </c>
      <c r="Z1166" s="8">
        <v>0</v>
      </c>
      <c r="AA1166" s="7">
        <v>46099</v>
      </c>
      <c r="AC1166" s="8">
        <v>0</v>
      </c>
      <c r="AE1166" s="7">
        <v>46101</v>
      </c>
      <c r="AF1166" s="8">
        <v>0</v>
      </c>
      <c r="AH1166" s="7">
        <v>46101</v>
      </c>
      <c r="AN1166" s="8">
        <v>0</v>
      </c>
      <c r="AO1166" s="8">
        <v>750</v>
      </c>
    </row>
    <row r="1167" spans="1:41" x14ac:dyDescent="0.25">
      <c r="A1167" s="6" t="str">
        <f>"521-2026000036"</f>
        <v>521-2026000036</v>
      </c>
      <c r="B1167" s="6" t="str">
        <f>"STUDIO F"</f>
        <v>STUDIO F</v>
      </c>
      <c r="C1167" s="7">
        <v>46042</v>
      </c>
      <c r="D1167" s="7">
        <v>46101</v>
      </c>
      <c r="E1167" s="8">
        <v>4</v>
      </c>
      <c r="F1167" s="6" t="str">
        <f>"PO# 1141"</f>
        <v>PO# 1141</v>
      </c>
      <c r="G1167" s="6" t="str">
        <f>"F120331545000000"</f>
        <v>F120331545000000</v>
      </c>
      <c r="H1167" s="6" t="str">
        <f>"FAJA 3315 Bio GOTS L"</f>
        <v>FAJA 3315 Bio GOTS L</v>
      </c>
      <c r="I1167" s="6" t="str">
        <f>"6029"</f>
        <v>6029</v>
      </c>
      <c r="J1167" s="6" t="str">
        <f>"NATURAL 6029 ALCAL"</f>
        <v>NATURAL 6029 ALCAL</v>
      </c>
      <c r="K1167" s="6" t="str">
        <f>"1535"</f>
        <v>1535</v>
      </c>
      <c r="L1167" s="6" t="str">
        <f>"Toalhões"</f>
        <v>Toalhões</v>
      </c>
      <c r="M1167" s="6" t="str">
        <f>"70x140"</f>
        <v>70x140</v>
      </c>
      <c r="N1167" s="6" t="str">
        <f t="shared" si="342"/>
        <v xml:space="preserve"> </v>
      </c>
      <c r="O1167" s="8">
        <v>400</v>
      </c>
      <c r="P1167" s="7">
        <v>46073</v>
      </c>
      <c r="R1167" s="8">
        <v>0</v>
      </c>
      <c r="S1167" s="7">
        <v>46078</v>
      </c>
      <c r="U1167" s="8">
        <v>0</v>
      </c>
      <c r="V1167" s="7">
        <v>46087</v>
      </c>
      <c r="X1167" s="8">
        <v>0</v>
      </c>
      <c r="Z1167" s="8">
        <v>0</v>
      </c>
      <c r="AA1167" s="7">
        <v>46099</v>
      </c>
      <c r="AC1167" s="8">
        <v>0</v>
      </c>
      <c r="AE1167" s="7">
        <v>46101</v>
      </c>
      <c r="AF1167" s="8">
        <v>0</v>
      </c>
      <c r="AH1167" s="7">
        <v>46101</v>
      </c>
      <c r="AN1167" s="8">
        <v>0</v>
      </c>
      <c r="AO1167" s="8">
        <v>400</v>
      </c>
    </row>
    <row r="1168" spans="1:41" x14ac:dyDescent="0.25">
      <c r="A1168" s="6" t="str">
        <f>"521-2026000037"</f>
        <v>521-2026000037</v>
      </c>
      <c r="B1168" s="6" t="str">
        <f t="shared" ref="B1168:B1173" si="346">"MEIRA NO"</f>
        <v>MEIRA NO</v>
      </c>
      <c r="C1168" s="7">
        <v>46042</v>
      </c>
      <c r="D1168" s="7">
        <v>46114</v>
      </c>
      <c r="E1168" s="8">
        <v>1</v>
      </c>
      <c r="F1168" s="6" t="str">
        <f>"PO 4519274353 - PURO"</f>
        <v>PO 4519274353 - PURO</v>
      </c>
      <c r="G1168" s="6" t="str">
        <f t="shared" ref="G1168:G1173" si="347">"F160077637000000"</f>
        <v>F160077637000000</v>
      </c>
      <c r="H1168" s="6" t="str">
        <f t="shared" ref="H1168:H1173" si="348">"L 776 (PURO 2026)  -"</f>
        <v>L 776 (PURO 2026)  -</v>
      </c>
      <c r="I1168" s="6" t="str">
        <f t="shared" ref="I1168:I1173" si="349">"1"</f>
        <v>1</v>
      </c>
      <c r="J1168" s="6" t="str">
        <f t="shared" ref="J1168:J1173" si="350">"BRANCO"</f>
        <v>BRANCO</v>
      </c>
      <c r="K1168" s="6" t="str">
        <f>"1008"</f>
        <v>1008</v>
      </c>
      <c r="L1168" s="6" t="str">
        <f>"Toalhas"</f>
        <v>Toalhas</v>
      </c>
      <c r="M1168" s="6" t="str">
        <f>"50x70"</f>
        <v>50x70</v>
      </c>
      <c r="N1168" s="6" t="str">
        <f t="shared" si="342"/>
        <v xml:space="preserve"> </v>
      </c>
      <c r="O1168" s="8">
        <v>7000</v>
      </c>
      <c r="P1168" s="7">
        <v>46086</v>
      </c>
      <c r="R1168" s="8">
        <v>0</v>
      </c>
      <c r="S1168" s="7">
        <v>46091</v>
      </c>
      <c r="U1168" s="8">
        <v>0</v>
      </c>
      <c r="V1168" s="7">
        <v>46100</v>
      </c>
      <c r="X1168" s="8">
        <v>0</v>
      </c>
      <c r="Z1168" s="8">
        <v>0</v>
      </c>
      <c r="AA1168" s="7">
        <v>46112</v>
      </c>
      <c r="AC1168" s="8">
        <v>0</v>
      </c>
      <c r="AE1168" s="7">
        <v>46114</v>
      </c>
      <c r="AF1168" s="8">
        <v>0</v>
      </c>
      <c r="AH1168" s="7">
        <v>46114</v>
      </c>
      <c r="AN1168" s="8">
        <v>0</v>
      </c>
      <c r="AO1168" s="8">
        <v>7000</v>
      </c>
    </row>
    <row r="1169" spans="1:41" x14ac:dyDescent="0.25">
      <c r="A1169" s="6" t="str">
        <f>"521-2026000037"</f>
        <v>521-2026000037</v>
      </c>
      <c r="B1169" s="6" t="str">
        <f t="shared" si="346"/>
        <v>MEIRA NO</v>
      </c>
      <c r="C1169" s="7">
        <v>46042</v>
      </c>
      <c r="D1169" s="7">
        <v>46114</v>
      </c>
      <c r="E1169" s="8">
        <v>2</v>
      </c>
      <c r="F1169" s="6" t="str">
        <f>"PO 4519274353 - PURO"</f>
        <v>PO 4519274353 - PURO</v>
      </c>
      <c r="G1169" s="6" t="str">
        <f t="shared" si="347"/>
        <v>F160077637000000</v>
      </c>
      <c r="H1169" s="6" t="str">
        <f t="shared" si="348"/>
        <v>L 776 (PURO 2026)  -</v>
      </c>
      <c r="I1169" s="6" t="str">
        <f t="shared" si="349"/>
        <v>1</v>
      </c>
      <c r="J1169" s="6" t="str">
        <f t="shared" si="350"/>
        <v>BRANCO</v>
      </c>
      <c r="K1169" s="6" t="str">
        <f>"1566"</f>
        <v>1566</v>
      </c>
      <c r="L1169" s="6" t="str">
        <f>"Toalhões"</f>
        <v>Toalhões</v>
      </c>
      <c r="M1169" s="6" t="str">
        <f>"76x150"</f>
        <v>76x150</v>
      </c>
      <c r="N1169" s="6" t="str">
        <f t="shared" si="342"/>
        <v xml:space="preserve"> </v>
      </c>
      <c r="O1169" s="8">
        <v>4000</v>
      </c>
      <c r="P1169" s="7">
        <v>46086</v>
      </c>
      <c r="R1169" s="8">
        <v>1950</v>
      </c>
      <c r="S1169" s="7">
        <v>46091</v>
      </c>
      <c r="U1169" s="8">
        <v>0</v>
      </c>
      <c r="V1169" s="7">
        <v>46100</v>
      </c>
      <c r="X1169" s="8">
        <v>0</v>
      </c>
      <c r="Z1169" s="8">
        <v>0</v>
      </c>
      <c r="AA1169" s="7">
        <v>46112</v>
      </c>
      <c r="AC1169" s="8">
        <v>0</v>
      </c>
      <c r="AE1169" s="7">
        <v>46114</v>
      </c>
      <c r="AF1169" s="8">
        <v>0</v>
      </c>
      <c r="AH1169" s="7">
        <v>46114</v>
      </c>
      <c r="AN1169" s="8">
        <v>0</v>
      </c>
      <c r="AO1169" s="8">
        <v>4000</v>
      </c>
    </row>
    <row r="1170" spans="1:41" x14ac:dyDescent="0.25">
      <c r="A1170" s="6" t="str">
        <f>"521-2026000038"</f>
        <v>521-2026000038</v>
      </c>
      <c r="B1170" s="6" t="str">
        <f t="shared" si="346"/>
        <v>MEIRA NO</v>
      </c>
      <c r="C1170" s="7">
        <v>46042</v>
      </c>
      <c r="D1170" s="7">
        <v>46114</v>
      </c>
      <c r="E1170" s="8">
        <v>1</v>
      </c>
      <c r="F1170" s="6" t="str">
        <f>"PO 4519274352 - PURO"</f>
        <v>PO 4519274352 - PURO</v>
      </c>
      <c r="G1170" s="6" t="str">
        <f t="shared" si="347"/>
        <v>F160077637000000</v>
      </c>
      <c r="H1170" s="6" t="str">
        <f t="shared" si="348"/>
        <v>L 776 (PURO 2026)  -</v>
      </c>
      <c r="I1170" s="6" t="str">
        <f t="shared" si="349"/>
        <v>1</v>
      </c>
      <c r="J1170" s="6" t="str">
        <f t="shared" si="350"/>
        <v>BRANCO</v>
      </c>
      <c r="K1170" s="6" t="str">
        <f>"1008"</f>
        <v>1008</v>
      </c>
      <c r="L1170" s="6" t="str">
        <f>"Toalhas"</f>
        <v>Toalhas</v>
      </c>
      <c r="M1170" s="6" t="str">
        <f>"50x70"</f>
        <v>50x70</v>
      </c>
      <c r="N1170" s="6" t="str">
        <f t="shared" si="342"/>
        <v xml:space="preserve"> </v>
      </c>
      <c r="O1170" s="8">
        <v>6000</v>
      </c>
      <c r="P1170" s="7">
        <v>46086</v>
      </c>
      <c r="R1170" s="8">
        <v>0</v>
      </c>
      <c r="S1170" s="7">
        <v>46091</v>
      </c>
      <c r="U1170" s="8">
        <v>0</v>
      </c>
      <c r="V1170" s="7">
        <v>46100</v>
      </c>
      <c r="X1170" s="8">
        <v>0</v>
      </c>
      <c r="Z1170" s="8">
        <v>0</v>
      </c>
      <c r="AA1170" s="7">
        <v>46112</v>
      </c>
      <c r="AC1170" s="8">
        <v>0</v>
      </c>
      <c r="AE1170" s="7">
        <v>46114</v>
      </c>
      <c r="AF1170" s="8">
        <v>0</v>
      </c>
      <c r="AH1170" s="7">
        <v>46114</v>
      </c>
      <c r="AN1170" s="8">
        <v>0</v>
      </c>
      <c r="AO1170" s="8">
        <v>6000</v>
      </c>
    </row>
    <row r="1171" spans="1:41" x14ac:dyDescent="0.25">
      <c r="A1171" s="6" t="str">
        <f>"521-2026000038"</f>
        <v>521-2026000038</v>
      </c>
      <c r="B1171" s="6" t="str">
        <f t="shared" si="346"/>
        <v>MEIRA NO</v>
      </c>
      <c r="C1171" s="7">
        <v>46042</v>
      </c>
      <c r="D1171" s="7">
        <v>46114</v>
      </c>
      <c r="E1171" s="8">
        <v>2</v>
      </c>
      <c r="F1171" s="6" t="str">
        <f>"PO 4519274352 - PURO"</f>
        <v>PO 4519274352 - PURO</v>
      </c>
      <c r="G1171" s="6" t="str">
        <f t="shared" si="347"/>
        <v>F160077637000000</v>
      </c>
      <c r="H1171" s="6" t="str">
        <f t="shared" si="348"/>
        <v>L 776 (PURO 2026)  -</v>
      </c>
      <c r="I1171" s="6" t="str">
        <f t="shared" si="349"/>
        <v>1</v>
      </c>
      <c r="J1171" s="6" t="str">
        <f t="shared" si="350"/>
        <v>BRANCO</v>
      </c>
      <c r="K1171" s="6" t="str">
        <f>"1566"</f>
        <v>1566</v>
      </c>
      <c r="L1171" s="6" t="str">
        <f>"Toalhões"</f>
        <v>Toalhões</v>
      </c>
      <c r="M1171" s="6" t="str">
        <f>"76x150"</f>
        <v>76x150</v>
      </c>
      <c r="N1171" s="6" t="str">
        <f t="shared" si="342"/>
        <v xml:space="preserve"> </v>
      </c>
      <c r="O1171" s="8">
        <v>4000</v>
      </c>
      <c r="P1171" s="7">
        <v>46086</v>
      </c>
      <c r="R1171" s="8">
        <v>2118</v>
      </c>
      <c r="S1171" s="7">
        <v>46091</v>
      </c>
      <c r="U1171" s="8">
        <v>0</v>
      </c>
      <c r="V1171" s="7">
        <v>46100</v>
      </c>
      <c r="X1171" s="8">
        <v>0</v>
      </c>
      <c r="Z1171" s="8">
        <v>0</v>
      </c>
      <c r="AA1171" s="7">
        <v>46112</v>
      </c>
      <c r="AC1171" s="8">
        <v>0</v>
      </c>
      <c r="AE1171" s="7">
        <v>46114</v>
      </c>
      <c r="AF1171" s="8">
        <v>0</v>
      </c>
      <c r="AH1171" s="7">
        <v>46114</v>
      </c>
      <c r="AN1171" s="8">
        <v>0</v>
      </c>
      <c r="AO1171" s="8">
        <v>4000</v>
      </c>
    </row>
    <row r="1172" spans="1:41" x14ac:dyDescent="0.25">
      <c r="A1172" s="6" t="str">
        <f>"521-2026000039"</f>
        <v>521-2026000039</v>
      </c>
      <c r="B1172" s="6" t="str">
        <f t="shared" si="346"/>
        <v>MEIRA NO</v>
      </c>
      <c r="C1172" s="7">
        <v>46042</v>
      </c>
      <c r="D1172" s="7">
        <v>46129</v>
      </c>
      <c r="E1172" s="8">
        <v>1</v>
      </c>
      <c r="F1172" s="6" t="str">
        <f>"PO 4519290421 - PURO"</f>
        <v>PO 4519290421 - PURO</v>
      </c>
      <c r="G1172" s="6" t="str">
        <f t="shared" si="347"/>
        <v>F160077637000000</v>
      </c>
      <c r="H1172" s="6" t="str">
        <f t="shared" si="348"/>
        <v>L 776 (PURO 2026)  -</v>
      </c>
      <c r="I1172" s="6" t="str">
        <f t="shared" si="349"/>
        <v>1</v>
      </c>
      <c r="J1172" s="6" t="str">
        <f t="shared" si="350"/>
        <v>BRANCO</v>
      </c>
      <c r="K1172" s="6" t="str">
        <f>"1008"</f>
        <v>1008</v>
      </c>
      <c r="L1172" s="6" t="str">
        <f>"Toalhas"</f>
        <v>Toalhas</v>
      </c>
      <c r="M1172" s="6" t="str">
        <f>"50x70"</f>
        <v>50x70</v>
      </c>
      <c r="N1172" s="6" t="str">
        <f t="shared" si="342"/>
        <v xml:space="preserve"> </v>
      </c>
      <c r="O1172" s="8">
        <v>3000</v>
      </c>
      <c r="P1172" s="7">
        <v>46100</v>
      </c>
      <c r="R1172" s="8">
        <v>0</v>
      </c>
      <c r="S1172" s="7">
        <v>46105</v>
      </c>
      <c r="U1172" s="8">
        <v>0</v>
      </c>
      <c r="V1172" s="7">
        <v>46114</v>
      </c>
      <c r="X1172" s="8">
        <v>0</v>
      </c>
      <c r="Z1172" s="8">
        <v>0</v>
      </c>
      <c r="AA1172" s="7">
        <v>46127</v>
      </c>
      <c r="AC1172" s="8">
        <v>0</v>
      </c>
      <c r="AE1172" s="7">
        <v>46129</v>
      </c>
      <c r="AF1172" s="8">
        <v>0</v>
      </c>
      <c r="AH1172" s="7">
        <v>46129</v>
      </c>
      <c r="AN1172" s="8">
        <v>0</v>
      </c>
      <c r="AO1172" s="8">
        <v>3000</v>
      </c>
    </row>
    <row r="1173" spans="1:41" x14ac:dyDescent="0.25">
      <c r="A1173" s="6" t="str">
        <f>"521-2026000039"</f>
        <v>521-2026000039</v>
      </c>
      <c r="B1173" s="6" t="str">
        <f t="shared" si="346"/>
        <v>MEIRA NO</v>
      </c>
      <c r="C1173" s="7">
        <v>46042</v>
      </c>
      <c r="D1173" s="7">
        <v>46129</v>
      </c>
      <c r="E1173" s="8">
        <v>2</v>
      </c>
      <c r="F1173" s="6" t="str">
        <f>"PO 4519290421 - PURO"</f>
        <v>PO 4519290421 - PURO</v>
      </c>
      <c r="G1173" s="6" t="str">
        <f t="shared" si="347"/>
        <v>F160077637000000</v>
      </c>
      <c r="H1173" s="6" t="str">
        <f t="shared" si="348"/>
        <v>L 776 (PURO 2026)  -</v>
      </c>
      <c r="I1173" s="6" t="str">
        <f t="shared" si="349"/>
        <v>1</v>
      </c>
      <c r="J1173" s="6" t="str">
        <f t="shared" si="350"/>
        <v>BRANCO</v>
      </c>
      <c r="K1173" s="6" t="str">
        <f>"1566"</f>
        <v>1566</v>
      </c>
      <c r="L1173" s="6" t="str">
        <f>"Toalhões"</f>
        <v>Toalhões</v>
      </c>
      <c r="M1173" s="6" t="str">
        <f>"76x150"</f>
        <v>76x150</v>
      </c>
      <c r="N1173" s="6" t="str">
        <f t="shared" si="342"/>
        <v xml:space="preserve"> </v>
      </c>
      <c r="O1173" s="8">
        <v>3500</v>
      </c>
      <c r="P1173" s="7">
        <v>46100</v>
      </c>
      <c r="R1173" s="8">
        <v>0</v>
      </c>
      <c r="S1173" s="7">
        <v>46105</v>
      </c>
      <c r="U1173" s="8">
        <v>0</v>
      </c>
      <c r="V1173" s="7">
        <v>46114</v>
      </c>
      <c r="X1173" s="8">
        <v>0</v>
      </c>
      <c r="Z1173" s="8">
        <v>0</v>
      </c>
      <c r="AA1173" s="7">
        <v>46127</v>
      </c>
      <c r="AC1173" s="8">
        <v>0</v>
      </c>
      <c r="AE1173" s="7">
        <v>46129</v>
      </c>
      <c r="AF1173" s="8">
        <v>0</v>
      </c>
      <c r="AH1173" s="7">
        <v>46129</v>
      </c>
      <c r="AN1173" s="8">
        <v>0</v>
      </c>
      <c r="AO1173" s="8">
        <v>3500</v>
      </c>
    </row>
    <row r="1174" spans="1:41" x14ac:dyDescent="0.25">
      <c r="A1174" s="6" t="str">
        <f>"521-2026000040"</f>
        <v>521-2026000040</v>
      </c>
      <c r="B1174" s="6" t="str">
        <f>"ASHLEY W"</f>
        <v>ASHLEY W</v>
      </c>
      <c r="C1174" s="7">
        <v>46042</v>
      </c>
      <c r="D1174" s="7">
        <v>46108</v>
      </c>
      <c r="E1174" s="8">
        <v>4</v>
      </c>
      <c r="F1174" s="6" t="str">
        <f>"P37391 - STEM CHECK"</f>
        <v>P37391 - STEM CHECK</v>
      </c>
      <c r="G1174" s="6" t="str">
        <f>"F310614995000000"</f>
        <v>F310614995000000</v>
      </c>
      <c r="H1174" s="6" t="str">
        <f>"PLAR 6149 TA - 950 g"</f>
        <v>PLAR 6149 TA - 950 g</v>
      </c>
      <c r="I1174" s="6" t="str">
        <f>"204654"</f>
        <v>204654</v>
      </c>
      <c r="J1174" s="6" t="str">
        <f>"VERDE 4654"</f>
        <v>VERDE 4654</v>
      </c>
      <c r="K1174" s="6" t="str">
        <f>"3026"</f>
        <v>3026</v>
      </c>
      <c r="L1174" s="6" t="str">
        <f>"Tapetes"</f>
        <v>Tapetes</v>
      </c>
      <c r="M1174" s="6" t="str">
        <f>"50x90"</f>
        <v>50x90</v>
      </c>
      <c r="N1174" s="6" t="str">
        <f t="shared" si="342"/>
        <v xml:space="preserve"> </v>
      </c>
      <c r="O1174" s="8">
        <v>500</v>
      </c>
      <c r="P1174" s="7">
        <v>46086</v>
      </c>
      <c r="R1174" s="8">
        <v>0</v>
      </c>
      <c r="S1174" s="7">
        <v>46091</v>
      </c>
      <c r="U1174" s="8">
        <v>0</v>
      </c>
      <c r="V1174" s="7">
        <v>46094</v>
      </c>
      <c r="X1174" s="8">
        <v>0</v>
      </c>
      <c r="Z1174" s="8">
        <v>0</v>
      </c>
      <c r="AA1174" s="7">
        <v>46106</v>
      </c>
      <c r="AC1174" s="8">
        <v>0</v>
      </c>
      <c r="AE1174" s="7">
        <v>46108</v>
      </c>
      <c r="AF1174" s="8">
        <v>0</v>
      </c>
      <c r="AH1174" s="7">
        <v>46108</v>
      </c>
      <c r="AN1174" s="8">
        <v>0</v>
      </c>
      <c r="AO1174" s="8">
        <v>500</v>
      </c>
    </row>
    <row r="1175" spans="1:41" x14ac:dyDescent="0.25">
      <c r="A1175" s="6" t="str">
        <f>"521-2026000040"</f>
        <v>521-2026000040</v>
      </c>
      <c r="B1175" s="6" t="str">
        <f>"ASHLEY W"</f>
        <v>ASHLEY W</v>
      </c>
      <c r="C1175" s="7">
        <v>46042</v>
      </c>
      <c r="D1175" s="7">
        <v>46108</v>
      </c>
      <c r="E1175" s="8">
        <v>5</v>
      </c>
      <c r="F1175" s="6" t="str">
        <f>"P37391 - STEM CHECK"</f>
        <v>P37391 - STEM CHECK</v>
      </c>
      <c r="G1175" s="6" t="str">
        <f>"F310614958000000"</f>
        <v>F310614958000000</v>
      </c>
      <c r="H1175" s="6" t="str">
        <f>"PLAR 6149 - 580 g/m²"</f>
        <v>PLAR 6149 - 580 g/m²</v>
      </c>
      <c r="I1175" s="6" t="str">
        <f>"204654"</f>
        <v>204654</v>
      </c>
      <c r="J1175" s="6" t="str">
        <f>"VERDE 4654"</f>
        <v>VERDE 4654</v>
      </c>
      <c r="K1175" s="6" t="str">
        <f>"1020"</f>
        <v>1020</v>
      </c>
      <c r="L1175" s="6" t="str">
        <f>"Toalhas"</f>
        <v>Toalhas</v>
      </c>
      <c r="M1175" s="6" t="str">
        <f>"50x90"</f>
        <v>50x90</v>
      </c>
      <c r="N1175" s="6" t="str">
        <f t="shared" si="342"/>
        <v xml:space="preserve"> </v>
      </c>
      <c r="O1175" s="8">
        <v>700</v>
      </c>
      <c r="P1175" s="7">
        <v>46086</v>
      </c>
      <c r="R1175" s="8">
        <v>0</v>
      </c>
      <c r="S1175" s="7">
        <v>46091</v>
      </c>
      <c r="U1175" s="8">
        <v>0</v>
      </c>
      <c r="V1175" s="7">
        <v>46094</v>
      </c>
      <c r="X1175" s="8">
        <v>0</v>
      </c>
      <c r="Z1175" s="8">
        <v>0</v>
      </c>
      <c r="AA1175" s="7">
        <v>46106</v>
      </c>
      <c r="AC1175" s="8">
        <v>0</v>
      </c>
      <c r="AE1175" s="7">
        <v>46108</v>
      </c>
      <c r="AF1175" s="8">
        <v>0</v>
      </c>
      <c r="AH1175" s="7">
        <v>46108</v>
      </c>
      <c r="AN1175" s="8">
        <v>0</v>
      </c>
      <c r="AO1175" s="8">
        <v>700</v>
      </c>
    </row>
    <row r="1176" spans="1:41" x14ac:dyDescent="0.25">
      <c r="A1176" s="6" t="str">
        <f>"521-2026000040"</f>
        <v>521-2026000040</v>
      </c>
      <c r="B1176" s="6" t="str">
        <f>"ASHLEY W"</f>
        <v>ASHLEY W</v>
      </c>
      <c r="C1176" s="7">
        <v>46042</v>
      </c>
      <c r="D1176" s="7">
        <v>46108</v>
      </c>
      <c r="E1176" s="8">
        <v>6</v>
      </c>
      <c r="F1176" s="6" t="str">
        <f>"P37391 - STEM CHECK"</f>
        <v>P37391 - STEM CHECK</v>
      </c>
      <c r="G1176" s="6" t="str">
        <f>"F310614958000000"</f>
        <v>F310614958000000</v>
      </c>
      <c r="H1176" s="6" t="str">
        <f>"PLAR 6149 - 580 g/m²"</f>
        <v>PLAR 6149 - 580 g/m²</v>
      </c>
      <c r="I1176" s="6" t="str">
        <f>"204654"</f>
        <v>204654</v>
      </c>
      <c r="J1176" s="6" t="str">
        <f>"VERDE 4654"</f>
        <v>VERDE 4654</v>
      </c>
      <c r="K1176" s="6" t="str">
        <f>"1528"</f>
        <v>1528</v>
      </c>
      <c r="L1176" s="6" t="str">
        <f>"Toalhões"</f>
        <v>Toalhões</v>
      </c>
      <c r="M1176" s="6" t="str">
        <f>"70x125"</f>
        <v>70x125</v>
      </c>
      <c r="N1176" s="6" t="str">
        <f t="shared" si="342"/>
        <v xml:space="preserve"> </v>
      </c>
      <c r="O1176" s="8">
        <v>350</v>
      </c>
      <c r="P1176" s="7">
        <v>46086</v>
      </c>
      <c r="R1176" s="8">
        <v>0</v>
      </c>
      <c r="S1176" s="7">
        <v>46091</v>
      </c>
      <c r="U1176" s="8">
        <v>0</v>
      </c>
      <c r="V1176" s="7">
        <v>46094</v>
      </c>
      <c r="X1176" s="8">
        <v>0</v>
      </c>
      <c r="Z1176" s="8">
        <v>0</v>
      </c>
      <c r="AA1176" s="7">
        <v>46106</v>
      </c>
      <c r="AC1176" s="8">
        <v>0</v>
      </c>
      <c r="AE1176" s="7">
        <v>46108</v>
      </c>
      <c r="AF1176" s="8">
        <v>0</v>
      </c>
      <c r="AH1176" s="7">
        <v>46108</v>
      </c>
      <c r="AN1176" s="8">
        <v>0</v>
      </c>
      <c r="AO1176" s="8">
        <v>350</v>
      </c>
    </row>
    <row r="1177" spans="1:41" x14ac:dyDescent="0.25">
      <c r="A1177" s="6" t="str">
        <f>"521-2026000040"</f>
        <v>521-2026000040</v>
      </c>
      <c r="B1177" s="6" t="str">
        <f>"ASHLEY W"</f>
        <v>ASHLEY W</v>
      </c>
      <c r="C1177" s="7">
        <v>46042</v>
      </c>
      <c r="D1177" s="7">
        <v>46108</v>
      </c>
      <c r="E1177" s="8">
        <v>7</v>
      </c>
      <c r="F1177" s="6" t="str">
        <f>"P37391 - STEM CHECK"</f>
        <v>P37391 - STEM CHECK</v>
      </c>
      <c r="G1177" s="6" t="str">
        <f>"F310614958000000"</f>
        <v>F310614958000000</v>
      </c>
      <c r="H1177" s="6" t="str">
        <f>"PLAR 6149 - 580 g/m²"</f>
        <v>PLAR 6149 - 580 g/m²</v>
      </c>
      <c r="I1177" s="6" t="str">
        <f>"204654"</f>
        <v>204654</v>
      </c>
      <c r="J1177" s="6" t="str">
        <f>"VERDE 4654"</f>
        <v>VERDE 4654</v>
      </c>
      <c r="K1177" s="6" t="str">
        <f>"2020"</f>
        <v>2020</v>
      </c>
      <c r="L1177" s="6" t="str">
        <f>"Lençóis"</f>
        <v>Lençóis</v>
      </c>
      <c r="M1177" s="6" t="str">
        <f>"100x150"</f>
        <v>100x150</v>
      </c>
      <c r="N1177" s="6" t="str">
        <f t="shared" si="342"/>
        <v xml:space="preserve"> </v>
      </c>
      <c r="O1177" s="8">
        <v>200</v>
      </c>
      <c r="P1177" s="7">
        <v>46086</v>
      </c>
      <c r="R1177" s="8">
        <v>0</v>
      </c>
      <c r="S1177" s="7">
        <v>46091</v>
      </c>
      <c r="U1177" s="8">
        <v>0</v>
      </c>
      <c r="V1177" s="7">
        <v>46094</v>
      </c>
      <c r="X1177" s="8">
        <v>0</v>
      </c>
      <c r="Z1177" s="8">
        <v>0</v>
      </c>
      <c r="AA1177" s="7">
        <v>46106</v>
      </c>
      <c r="AC1177" s="8">
        <v>0</v>
      </c>
      <c r="AE1177" s="7">
        <v>46108</v>
      </c>
      <c r="AF1177" s="8">
        <v>0</v>
      </c>
      <c r="AH1177" s="7">
        <v>46108</v>
      </c>
      <c r="AN1177" s="8">
        <v>0</v>
      </c>
      <c r="AO1177" s="8">
        <v>200</v>
      </c>
    </row>
    <row r="1178" spans="1:41" x14ac:dyDescent="0.25">
      <c r="A1178" s="6" t="str">
        <f>"521-2026000041"</f>
        <v>521-2026000041</v>
      </c>
      <c r="B1178" s="6" t="str">
        <f>"THE BRIT"</f>
        <v>THE BRIT</v>
      </c>
      <c r="C1178" s="7">
        <v>46043</v>
      </c>
      <c r="D1178" s="7">
        <v>46227</v>
      </c>
      <c r="E1178" s="8">
        <v>1</v>
      </c>
      <c r="F1178" s="6" t="str">
        <f>"000158978"</f>
        <v>000158978</v>
      </c>
      <c r="G1178" s="6" t="str">
        <f>"J110271050004319"</f>
        <v>J110271050004319</v>
      </c>
      <c r="H1178" s="6" t="str">
        <f>"Conj. FAJ 2710 / 431"</f>
        <v>Conj. FAJ 2710 / 431</v>
      </c>
      <c r="I1178" s="6" t="str">
        <f t="shared" ref="I1178:I1186" si="351">"1670"</f>
        <v>1670</v>
      </c>
      <c r="J1178" s="6" t="str">
        <f t="shared" ref="J1178:J1186" si="352">"BEGE 1670"</f>
        <v>BEGE 1670</v>
      </c>
      <c r="K1178" s="6" t="str">
        <f>"4014"</f>
        <v>4014</v>
      </c>
      <c r="L1178" s="6" t="str">
        <f>"Conjunto/Jogos"</f>
        <v>Conjunto/Jogos</v>
      </c>
      <c r="M1178" s="6" t="str">
        <f>"(2 Pcs)"</f>
        <v>(2 Pcs)</v>
      </c>
      <c r="N1178" s="6" t="str">
        <f>"5605247938762"</f>
        <v>5605247938762</v>
      </c>
      <c r="O1178" s="8">
        <v>1000</v>
      </c>
      <c r="P1178" s="7">
        <v>46184</v>
      </c>
      <c r="R1178" s="8">
        <v>0</v>
      </c>
      <c r="S1178" s="7">
        <v>46189</v>
      </c>
      <c r="U1178" s="8">
        <v>0</v>
      </c>
      <c r="V1178" s="7">
        <v>46199</v>
      </c>
      <c r="X1178" s="8">
        <v>0</v>
      </c>
      <c r="Z1178" s="8">
        <v>0</v>
      </c>
      <c r="AA1178" s="7">
        <v>46211</v>
      </c>
      <c r="AC1178" s="8">
        <v>0</v>
      </c>
      <c r="AE1178" s="7">
        <v>46213</v>
      </c>
      <c r="AF1178" s="8">
        <v>0</v>
      </c>
      <c r="AH1178" s="7">
        <v>46227</v>
      </c>
      <c r="AN1178" s="8">
        <v>0</v>
      </c>
      <c r="AO1178" s="8">
        <v>1000</v>
      </c>
    </row>
    <row r="1179" spans="1:41" x14ac:dyDescent="0.25">
      <c r="A1179" s="6" t="str">
        <f>"521-2026000042"</f>
        <v>521-2026000042</v>
      </c>
      <c r="B1179" s="6" t="str">
        <f t="shared" ref="B1179:B1210" si="353">"TEKLA AP"</f>
        <v>TEKLA AP</v>
      </c>
      <c r="C1179" s="7">
        <v>46044</v>
      </c>
      <c r="D1179" s="7">
        <v>46094</v>
      </c>
      <c r="E1179" s="8">
        <v>1</v>
      </c>
      <c r="F1179" s="6" t="str">
        <f>"PO1000519 - SOLID CL"</f>
        <v>PO1000519 - SOLID CL</v>
      </c>
      <c r="G1179" s="6" t="str">
        <f>"R120375238500000"</f>
        <v>R120375238500000</v>
      </c>
      <c r="H1179" s="6" t="str">
        <f>"R 3752 - FAJA P 3313"</f>
        <v>R 3752 - FAJA P 3313</v>
      </c>
      <c r="I1179" s="6" t="str">
        <f t="shared" si="351"/>
        <v>1670</v>
      </c>
      <c r="J1179" s="6" t="str">
        <f t="shared" si="352"/>
        <v>BEGE 1670</v>
      </c>
      <c r="K1179" s="6" t="str">
        <f>"5006"</f>
        <v>5006</v>
      </c>
      <c r="L1179" s="6" t="str">
        <f t="shared" ref="L1179:L1210" si="354">"Roupões Adulto"</f>
        <v>Roupões Adulto</v>
      </c>
      <c r="M1179" s="6" t="str">
        <f>"L"</f>
        <v>L</v>
      </c>
      <c r="N1179" s="6" t="str">
        <f>"5744002054535"</f>
        <v>5744002054535</v>
      </c>
      <c r="O1179" s="8">
        <v>15</v>
      </c>
      <c r="P1179" s="7">
        <v>46064</v>
      </c>
      <c r="R1179" s="8">
        <v>0</v>
      </c>
      <c r="S1179" s="7">
        <v>46071</v>
      </c>
      <c r="U1179" s="8">
        <v>0</v>
      </c>
      <c r="V1179" s="7">
        <v>46080</v>
      </c>
      <c r="X1179" s="8">
        <v>0</v>
      </c>
      <c r="Z1179" s="8">
        <v>0</v>
      </c>
      <c r="AA1179" s="7">
        <v>46092</v>
      </c>
      <c r="AC1179" s="8">
        <v>0</v>
      </c>
      <c r="AE1179" s="7">
        <v>46094</v>
      </c>
      <c r="AF1179" s="8">
        <v>0</v>
      </c>
      <c r="AH1179" s="7">
        <v>46094</v>
      </c>
      <c r="AN1179" s="8">
        <v>0</v>
      </c>
      <c r="AO1179" s="8">
        <v>15</v>
      </c>
    </row>
    <row r="1180" spans="1:41" x14ac:dyDescent="0.25">
      <c r="A1180" s="6" t="str">
        <f>"521-2026000042"</f>
        <v>521-2026000042</v>
      </c>
      <c r="B1180" s="6" t="str">
        <f t="shared" si="353"/>
        <v>TEKLA AP</v>
      </c>
      <c r="C1180" s="7">
        <v>46044</v>
      </c>
      <c r="D1180" s="7">
        <v>46094</v>
      </c>
      <c r="E1180" s="8">
        <v>2</v>
      </c>
      <c r="F1180" s="6" t="str">
        <f>"PO1000519 - SOLID CL"</f>
        <v>PO1000519 - SOLID CL</v>
      </c>
      <c r="G1180" s="6" t="str">
        <f>"R120375238500000"</f>
        <v>R120375238500000</v>
      </c>
      <c r="H1180" s="6" t="str">
        <f>"R 3752 - FAJA P 3313"</f>
        <v>R 3752 - FAJA P 3313</v>
      </c>
      <c r="I1180" s="6" t="str">
        <f t="shared" si="351"/>
        <v>1670</v>
      </c>
      <c r="J1180" s="6" t="str">
        <f t="shared" si="352"/>
        <v>BEGE 1670</v>
      </c>
      <c r="K1180" s="6" t="str">
        <f>"5004"</f>
        <v>5004</v>
      </c>
      <c r="L1180" s="6" t="str">
        <f t="shared" si="354"/>
        <v>Roupões Adulto</v>
      </c>
      <c r="M1180" s="6" t="str">
        <f>"M"</f>
        <v>M</v>
      </c>
      <c r="N1180" s="6" t="str">
        <f>"5744002054542"</f>
        <v>5744002054542</v>
      </c>
      <c r="O1180" s="8">
        <v>50</v>
      </c>
      <c r="P1180" s="7">
        <v>46064</v>
      </c>
      <c r="R1180" s="8">
        <v>0</v>
      </c>
      <c r="S1180" s="7">
        <v>46071</v>
      </c>
      <c r="U1180" s="8">
        <v>0</v>
      </c>
      <c r="V1180" s="7">
        <v>46080</v>
      </c>
      <c r="X1180" s="8">
        <v>0</v>
      </c>
      <c r="Z1180" s="8">
        <v>0</v>
      </c>
      <c r="AA1180" s="7">
        <v>46092</v>
      </c>
      <c r="AC1180" s="8">
        <v>0</v>
      </c>
      <c r="AE1180" s="7">
        <v>46094</v>
      </c>
      <c r="AF1180" s="8">
        <v>0</v>
      </c>
      <c r="AH1180" s="7">
        <v>46094</v>
      </c>
      <c r="AN1180" s="8">
        <v>0</v>
      </c>
      <c r="AO1180" s="8">
        <v>50</v>
      </c>
    </row>
    <row r="1181" spans="1:41" x14ac:dyDescent="0.25">
      <c r="A1181" s="6" t="str">
        <f>"521-2026000042"</f>
        <v>521-2026000042</v>
      </c>
      <c r="B1181" s="6" t="str">
        <f t="shared" si="353"/>
        <v>TEKLA AP</v>
      </c>
      <c r="C1181" s="7">
        <v>46044</v>
      </c>
      <c r="D1181" s="7">
        <v>46094</v>
      </c>
      <c r="E1181" s="8">
        <v>3</v>
      </c>
      <c r="F1181" s="6" t="str">
        <f>"PO1000519 - SOLID CL"</f>
        <v>PO1000519 - SOLID CL</v>
      </c>
      <c r="G1181" s="6" t="str">
        <f>"R120375238500000"</f>
        <v>R120375238500000</v>
      </c>
      <c r="H1181" s="6" t="str">
        <f>"R 3752 - FAJA P 3313"</f>
        <v>R 3752 - FAJA P 3313</v>
      </c>
      <c r="I1181" s="6" t="str">
        <f t="shared" si="351"/>
        <v>1670</v>
      </c>
      <c r="J1181" s="6" t="str">
        <f t="shared" si="352"/>
        <v>BEGE 1670</v>
      </c>
      <c r="K1181" s="6" t="str">
        <f>"5002"</f>
        <v>5002</v>
      </c>
      <c r="L1181" s="6" t="str">
        <f t="shared" si="354"/>
        <v>Roupões Adulto</v>
      </c>
      <c r="M1181" s="6" t="str">
        <f>"S"</f>
        <v>S</v>
      </c>
      <c r="N1181" s="6" t="str">
        <f>"5744002054559"</f>
        <v>5744002054559</v>
      </c>
      <c r="O1181" s="8">
        <v>50</v>
      </c>
      <c r="P1181" s="7">
        <v>46064</v>
      </c>
      <c r="R1181" s="8">
        <v>0</v>
      </c>
      <c r="S1181" s="7">
        <v>46071</v>
      </c>
      <c r="U1181" s="8">
        <v>0</v>
      </c>
      <c r="V1181" s="7">
        <v>46080</v>
      </c>
      <c r="X1181" s="8">
        <v>0</v>
      </c>
      <c r="Z1181" s="8">
        <v>0</v>
      </c>
      <c r="AA1181" s="7">
        <v>46092</v>
      </c>
      <c r="AC1181" s="8">
        <v>0</v>
      </c>
      <c r="AE1181" s="7">
        <v>46094</v>
      </c>
      <c r="AF1181" s="8">
        <v>0</v>
      </c>
      <c r="AH1181" s="7">
        <v>46094</v>
      </c>
      <c r="AN1181" s="8">
        <v>0</v>
      </c>
      <c r="AO1181" s="8">
        <v>50</v>
      </c>
    </row>
    <row r="1182" spans="1:41" x14ac:dyDescent="0.25">
      <c r="A1182" s="6" t="str">
        <f>"521-2026000042"</f>
        <v>521-2026000042</v>
      </c>
      <c r="B1182" s="6" t="str">
        <f t="shared" si="353"/>
        <v>TEKLA AP</v>
      </c>
      <c r="C1182" s="7">
        <v>46044</v>
      </c>
      <c r="D1182" s="7">
        <v>46094</v>
      </c>
      <c r="E1182" s="8">
        <v>4</v>
      </c>
      <c r="F1182" s="6" t="str">
        <f>"PO1000519 - SOLID CL"</f>
        <v>PO1000519 - SOLID CL</v>
      </c>
      <c r="G1182" s="6" t="str">
        <f>"R120375238500000"</f>
        <v>R120375238500000</v>
      </c>
      <c r="H1182" s="6" t="str">
        <f>"R 3752 - FAJA P 3313"</f>
        <v>R 3752 - FAJA P 3313</v>
      </c>
      <c r="I1182" s="6" t="str">
        <f t="shared" si="351"/>
        <v>1670</v>
      </c>
      <c r="J1182" s="6" t="str">
        <f t="shared" si="352"/>
        <v>BEGE 1670</v>
      </c>
      <c r="K1182" s="6" t="str">
        <f>"5001"</f>
        <v>5001</v>
      </c>
      <c r="L1182" s="6" t="str">
        <f t="shared" si="354"/>
        <v>Roupões Adulto</v>
      </c>
      <c r="M1182" s="6" t="str">
        <f>"XS"</f>
        <v>XS</v>
      </c>
      <c r="N1182" s="6" t="str">
        <f>"5744002054566"</f>
        <v>5744002054566</v>
      </c>
      <c r="O1182" s="8">
        <v>25</v>
      </c>
      <c r="P1182" s="7">
        <v>46064</v>
      </c>
      <c r="R1182" s="8">
        <v>0</v>
      </c>
      <c r="S1182" s="7">
        <v>46071</v>
      </c>
      <c r="U1182" s="8">
        <v>0</v>
      </c>
      <c r="V1182" s="7">
        <v>46080</v>
      </c>
      <c r="X1182" s="8">
        <v>0</v>
      </c>
      <c r="Z1182" s="8">
        <v>0</v>
      </c>
      <c r="AA1182" s="7">
        <v>46092</v>
      </c>
      <c r="AC1182" s="8">
        <v>0</v>
      </c>
      <c r="AE1182" s="7">
        <v>46094</v>
      </c>
      <c r="AF1182" s="8">
        <v>0</v>
      </c>
      <c r="AH1182" s="7">
        <v>46094</v>
      </c>
      <c r="AN1182" s="8">
        <v>0</v>
      </c>
      <c r="AO1182" s="8">
        <v>25</v>
      </c>
    </row>
    <row r="1183" spans="1:41" x14ac:dyDescent="0.25">
      <c r="A1183" s="6" t="str">
        <f>"521-2026000042"</f>
        <v>521-2026000042</v>
      </c>
      <c r="B1183" s="6" t="str">
        <f t="shared" si="353"/>
        <v>TEKLA AP</v>
      </c>
      <c r="C1183" s="7">
        <v>46044</v>
      </c>
      <c r="D1183" s="7">
        <v>46094</v>
      </c>
      <c r="E1183" s="8">
        <v>5</v>
      </c>
      <c r="F1183" s="6" t="str">
        <f>"PO1000519 - SOLID CL"</f>
        <v>PO1000519 - SOLID CL</v>
      </c>
      <c r="G1183" s="6" t="str">
        <f>"R120375238500000"</f>
        <v>R120375238500000</v>
      </c>
      <c r="H1183" s="6" t="str">
        <f>"R 3752 - FAJA P 3313"</f>
        <v>R 3752 - FAJA P 3313</v>
      </c>
      <c r="I1183" s="6" t="str">
        <f t="shared" si="351"/>
        <v>1670</v>
      </c>
      <c r="J1183" s="6" t="str">
        <f t="shared" si="352"/>
        <v>BEGE 1670</v>
      </c>
      <c r="K1183" s="6" t="str">
        <f>"5080"</f>
        <v>5080</v>
      </c>
      <c r="L1183" s="6" t="str">
        <f t="shared" si="354"/>
        <v>Roupões Adulto</v>
      </c>
      <c r="M1183" s="6" t="str">
        <f>"XXS"</f>
        <v>XXS</v>
      </c>
      <c r="N1183" s="6" t="str">
        <f>"5740014939907"</f>
        <v>5740014939907</v>
      </c>
      <c r="O1183" s="8">
        <v>10</v>
      </c>
      <c r="P1183" s="7">
        <v>46064</v>
      </c>
      <c r="R1183" s="8">
        <v>0</v>
      </c>
      <c r="S1183" s="7">
        <v>46071</v>
      </c>
      <c r="U1183" s="8">
        <v>0</v>
      </c>
      <c r="V1183" s="7">
        <v>46080</v>
      </c>
      <c r="X1183" s="8">
        <v>0</v>
      </c>
      <c r="Z1183" s="8">
        <v>0</v>
      </c>
      <c r="AA1183" s="7">
        <v>46092</v>
      </c>
      <c r="AC1183" s="8">
        <v>0</v>
      </c>
      <c r="AE1183" s="7">
        <v>46094</v>
      </c>
      <c r="AF1183" s="8">
        <v>0</v>
      </c>
      <c r="AH1183" s="7">
        <v>46094</v>
      </c>
      <c r="AN1183" s="8">
        <v>0</v>
      </c>
      <c r="AO1183" s="8">
        <v>10</v>
      </c>
    </row>
    <row r="1184" spans="1:41" x14ac:dyDescent="0.25">
      <c r="A1184" s="6" t="str">
        <f>"521-2026000043"</f>
        <v>521-2026000043</v>
      </c>
      <c r="B1184" s="6" t="str">
        <f t="shared" si="353"/>
        <v>TEKLA AP</v>
      </c>
      <c r="C1184" s="7">
        <v>46044</v>
      </c>
      <c r="D1184" s="7">
        <v>46094</v>
      </c>
      <c r="E1184" s="8">
        <v>1</v>
      </c>
      <c r="F1184" s="6" t="str">
        <f>"PO10000519 - SOLID H"</f>
        <v>PO10000519 - SOLID H</v>
      </c>
      <c r="G1184" s="6" t="str">
        <f>"R120375338500000"</f>
        <v>R120375338500000</v>
      </c>
      <c r="H1184" s="6" t="str">
        <f>"R 3753 - FAJA P 3313"</f>
        <v>R 3753 - FAJA P 3313</v>
      </c>
      <c r="I1184" s="6" t="str">
        <f t="shared" si="351"/>
        <v>1670</v>
      </c>
      <c r="J1184" s="6" t="str">
        <f t="shared" si="352"/>
        <v>BEGE 1670</v>
      </c>
      <c r="K1184" s="6" t="str">
        <f>"5006"</f>
        <v>5006</v>
      </c>
      <c r="L1184" s="6" t="str">
        <f t="shared" si="354"/>
        <v>Roupões Adulto</v>
      </c>
      <c r="M1184" s="6" t="str">
        <f>"L"</f>
        <v>L</v>
      </c>
      <c r="N1184" s="6" t="str">
        <f>"5744002054238"</f>
        <v>5744002054238</v>
      </c>
      <c r="O1184" s="8">
        <v>15</v>
      </c>
      <c r="P1184" s="7">
        <v>46064</v>
      </c>
      <c r="R1184" s="8">
        <v>0</v>
      </c>
      <c r="S1184" s="7">
        <v>46071</v>
      </c>
      <c r="U1184" s="8">
        <v>0</v>
      </c>
      <c r="V1184" s="7">
        <v>46080</v>
      </c>
      <c r="X1184" s="8">
        <v>0</v>
      </c>
      <c r="Z1184" s="8">
        <v>0</v>
      </c>
      <c r="AA1184" s="7">
        <v>46092</v>
      </c>
      <c r="AC1184" s="8">
        <v>0</v>
      </c>
      <c r="AE1184" s="7">
        <v>46094</v>
      </c>
      <c r="AF1184" s="8">
        <v>0</v>
      </c>
      <c r="AH1184" s="7">
        <v>46094</v>
      </c>
      <c r="AN1184" s="8">
        <v>0</v>
      </c>
      <c r="AO1184" s="8">
        <v>15</v>
      </c>
    </row>
    <row r="1185" spans="1:41" x14ac:dyDescent="0.25">
      <c r="A1185" s="6" t="str">
        <f>"521-2026000043"</f>
        <v>521-2026000043</v>
      </c>
      <c r="B1185" s="6" t="str">
        <f t="shared" si="353"/>
        <v>TEKLA AP</v>
      </c>
      <c r="C1185" s="7">
        <v>46044</v>
      </c>
      <c r="D1185" s="7">
        <v>46094</v>
      </c>
      <c r="E1185" s="8">
        <v>2</v>
      </c>
      <c r="F1185" s="6" t="str">
        <f>"PO10000519 - SOLID H"</f>
        <v>PO10000519 - SOLID H</v>
      </c>
      <c r="G1185" s="6" t="str">
        <f>"R120375338500000"</f>
        <v>R120375338500000</v>
      </c>
      <c r="H1185" s="6" t="str">
        <f>"R 3753 - FAJA P 3313"</f>
        <v>R 3753 - FAJA P 3313</v>
      </c>
      <c r="I1185" s="6" t="str">
        <f t="shared" si="351"/>
        <v>1670</v>
      </c>
      <c r="J1185" s="6" t="str">
        <f t="shared" si="352"/>
        <v>BEGE 1670</v>
      </c>
      <c r="K1185" s="6" t="str">
        <f>"5004"</f>
        <v>5004</v>
      </c>
      <c r="L1185" s="6" t="str">
        <f t="shared" si="354"/>
        <v>Roupões Adulto</v>
      </c>
      <c r="M1185" s="6" t="str">
        <f>"M"</f>
        <v>M</v>
      </c>
      <c r="N1185" s="6" t="str">
        <f>"5744002054245"</f>
        <v>5744002054245</v>
      </c>
      <c r="O1185" s="8">
        <v>25</v>
      </c>
      <c r="P1185" s="7">
        <v>46064</v>
      </c>
      <c r="R1185" s="8">
        <v>0</v>
      </c>
      <c r="S1185" s="7">
        <v>46071</v>
      </c>
      <c r="U1185" s="8">
        <v>0</v>
      </c>
      <c r="V1185" s="7">
        <v>46080</v>
      </c>
      <c r="X1185" s="8">
        <v>0</v>
      </c>
      <c r="Z1185" s="8">
        <v>0</v>
      </c>
      <c r="AA1185" s="7">
        <v>46092</v>
      </c>
      <c r="AC1185" s="8">
        <v>0</v>
      </c>
      <c r="AE1185" s="7">
        <v>46094</v>
      </c>
      <c r="AF1185" s="8">
        <v>0</v>
      </c>
      <c r="AH1185" s="7">
        <v>46094</v>
      </c>
      <c r="AN1185" s="8">
        <v>0</v>
      </c>
      <c r="AO1185" s="8">
        <v>25</v>
      </c>
    </row>
    <row r="1186" spans="1:41" x14ac:dyDescent="0.25">
      <c r="A1186" s="6" t="str">
        <f>"521-2026000043"</f>
        <v>521-2026000043</v>
      </c>
      <c r="B1186" s="6" t="str">
        <f t="shared" si="353"/>
        <v>TEKLA AP</v>
      </c>
      <c r="C1186" s="7">
        <v>46044</v>
      </c>
      <c r="D1186" s="7">
        <v>46094</v>
      </c>
      <c r="E1186" s="8">
        <v>3</v>
      </c>
      <c r="F1186" s="6" t="str">
        <f>"PO10000519 - SOLID H"</f>
        <v>PO10000519 - SOLID H</v>
      </c>
      <c r="G1186" s="6" t="str">
        <f>"R120375338500000"</f>
        <v>R120375338500000</v>
      </c>
      <c r="H1186" s="6" t="str">
        <f>"R 3753 - FAJA P 3313"</f>
        <v>R 3753 - FAJA P 3313</v>
      </c>
      <c r="I1186" s="6" t="str">
        <f t="shared" si="351"/>
        <v>1670</v>
      </c>
      <c r="J1186" s="6" t="str">
        <f t="shared" si="352"/>
        <v>BEGE 1670</v>
      </c>
      <c r="K1186" s="6" t="str">
        <f>"5002"</f>
        <v>5002</v>
      </c>
      <c r="L1186" s="6" t="str">
        <f t="shared" si="354"/>
        <v>Roupões Adulto</v>
      </c>
      <c r="M1186" s="6" t="str">
        <f>"S"</f>
        <v>S</v>
      </c>
      <c r="N1186" s="6" t="str">
        <f>"5744002054252"</f>
        <v>5744002054252</v>
      </c>
      <c r="O1186" s="8">
        <v>10</v>
      </c>
      <c r="P1186" s="7">
        <v>46064</v>
      </c>
      <c r="R1186" s="8">
        <v>0</v>
      </c>
      <c r="S1186" s="7">
        <v>46071</v>
      </c>
      <c r="U1186" s="8">
        <v>0</v>
      </c>
      <c r="V1186" s="7">
        <v>46080</v>
      </c>
      <c r="X1186" s="8">
        <v>0</v>
      </c>
      <c r="Z1186" s="8">
        <v>0</v>
      </c>
      <c r="AA1186" s="7">
        <v>46092</v>
      </c>
      <c r="AC1186" s="8">
        <v>0</v>
      </c>
      <c r="AE1186" s="7">
        <v>46094</v>
      </c>
      <c r="AF1186" s="8">
        <v>0</v>
      </c>
      <c r="AH1186" s="7">
        <v>46094</v>
      </c>
      <c r="AN1186" s="8">
        <v>0</v>
      </c>
      <c r="AO1186" s="8">
        <v>10</v>
      </c>
    </row>
    <row r="1187" spans="1:41" x14ac:dyDescent="0.25">
      <c r="A1187" s="6" t="str">
        <f t="shared" ref="A1187:A1225" si="355">"521-2026000044"</f>
        <v>521-2026000044</v>
      </c>
      <c r="B1187" s="6" t="str">
        <f t="shared" si="353"/>
        <v>TEKLA AP</v>
      </c>
      <c r="C1187" s="7">
        <v>46044</v>
      </c>
      <c r="D1187" s="7">
        <v>46044</v>
      </c>
      <c r="E1187" s="8">
        <v>1</v>
      </c>
      <c r="F1187" s="6" t="str">
        <f t="shared" ref="F1187:F1218" si="356">"PO10000519 - STRIPES"</f>
        <v>PO10000519 - STRIPES</v>
      </c>
      <c r="G1187" s="6" t="str">
        <f>"R330375938500000"</f>
        <v>R330375938500000</v>
      </c>
      <c r="H1187" s="6" t="str">
        <f>"R 3759 - PLA P 2802"</f>
        <v>R 3759 - PLA P 2802</v>
      </c>
      <c r="I1187" s="6" t="str">
        <f>"202861"</f>
        <v>202861</v>
      </c>
      <c r="J1187" s="6" t="str">
        <f>"CINZA 2861"</f>
        <v>CINZA 2861</v>
      </c>
      <c r="K1187" s="6" t="str">
        <f>"5008"</f>
        <v>5008</v>
      </c>
      <c r="L1187" s="6" t="str">
        <f t="shared" si="354"/>
        <v>Roupões Adulto</v>
      </c>
      <c r="M1187" s="6" t="str">
        <f>"XL"</f>
        <v>XL</v>
      </c>
      <c r="N1187" s="6" t="str">
        <f>"5744001082300"</f>
        <v>5744001082300</v>
      </c>
      <c r="O1187" s="8">
        <v>10</v>
      </c>
      <c r="P1187" s="7">
        <v>46044</v>
      </c>
      <c r="R1187" s="8">
        <v>0</v>
      </c>
      <c r="S1187" s="7">
        <v>46049</v>
      </c>
      <c r="U1187" s="8">
        <v>0</v>
      </c>
      <c r="V1187" s="7">
        <v>46056</v>
      </c>
      <c r="X1187" s="8">
        <v>0</v>
      </c>
      <c r="Z1187" s="8">
        <v>0</v>
      </c>
      <c r="AA1187" s="7">
        <v>46072</v>
      </c>
      <c r="AC1187" s="8">
        <v>0</v>
      </c>
      <c r="AE1187" s="7">
        <v>46077</v>
      </c>
      <c r="AF1187" s="8">
        <v>0</v>
      </c>
      <c r="AH1187" s="7">
        <v>46094</v>
      </c>
      <c r="AN1187" s="8">
        <v>0</v>
      </c>
      <c r="AO1187" s="8">
        <v>10</v>
      </c>
    </row>
    <row r="1188" spans="1:41" x14ac:dyDescent="0.25">
      <c r="A1188" s="6" t="str">
        <f t="shared" si="355"/>
        <v>521-2026000044</v>
      </c>
      <c r="B1188" s="6" t="str">
        <f t="shared" si="353"/>
        <v>TEKLA AP</v>
      </c>
      <c r="C1188" s="7">
        <v>46044</v>
      </c>
      <c r="D1188" s="7">
        <v>46044</v>
      </c>
      <c r="E1188" s="8">
        <v>2</v>
      </c>
      <c r="F1188" s="6" t="str">
        <f t="shared" si="356"/>
        <v>PO10000519 - STRIPES</v>
      </c>
      <c r="G1188" s="6" t="str">
        <f>"R330375938500000"</f>
        <v>R330375938500000</v>
      </c>
      <c r="H1188" s="6" t="str">
        <f>"R 3759 - PLA P 2802"</f>
        <v>R 3759 - PLA P 2802</v>
      </c>
      <c r="I1188" s="6" t="str">
        <f>"202861"</f>
        <v>202861</v>
      </c>
      <c r="J1188" s="6" t="str">
        <f>"CINZA 2861"</f>
        <v>CINZA 2861</v>
      </c>
      <c r="K1188" s="6" t="str">
        <f>"5006"</f>
        <v>5006</v>
      </c>
      <c r="L1188" s="6" t="str">
        <f t="shared" si="354"/>
        <v>Roupões Adulto</v>
      </c>
      <c r="M1188" s="6" t="str">
        <f>"L"</f>
        <v>L</v>
      </c>
      <c r="N1188" s="6" t="str">
        <f>"5713682005625"</f>
        <v>5713682005625</v>
      </c>
      <c r="O1188" s="8">
        <v>25</v>
      </c>
      <c r="P1188" s="7">
        <v>46044</v>
      </c>
      <c r="R1188" s="8">
        <v>0</v>
      </c>
      <c r="S1188" s="7">
        <v>46049</v>
      </c>
      <c r="U1188" s="8">
        <v>0</v>
      </c>
      <c r="V1188" s="7">
        <v>46056</v>
      </c>
      <c r="X1188" s="8">
        <v>0</v>
      </c>
      <c r="Z1188" s="8">
        <v>0</v>
      </c>
      <c r="AA1188" s="7">
        <v>46072</v>
      </c>
      <c r="AC1188" s="8">
        <v>0</v>
      </c>
      <c r="AE1188" s="7">
        <v>46077</v>
      </c>
      <c r="AF1188" s="8">
        <v>0</v>
      </c>
      <c r="AH1188" s="7">
        <v>46094</v>
      </c>
      <c r="AN1188" s="8">
        <v>0</v>
      </c>
      <c r="AO1188" s="8">
        <v>25</v>
      </c>
    </row>
    <row r="1189" spans="1:41" x14ac:dyDescent="0.25">
      <c r="A1189" s="6" t="str">
        <f t="shared" si="355"/>
        <v>521-2026000044</v>
      </c>
      <c r="B1189" s="6" t="str">
        <f t="shared" si="353"/>
        <v>TEKLA AP</v>
      </c>
      <c r="C1189" s="7">
        <v>46044</v>
      </c>
      <c r="D1189" s="7">
        <v>46044</v>
      </c>
      <c r="E1189" s="8">
        <v>3</v>
      </c>
      <c r="F1189" s="6" t="str">
        <f t="shared" si="356"/>
        <v>PO10000519 - STRIPES</v>
      </c>
      <c r="G1189" s="6" t="str">
        <f>"R330375938500000"</f>
        <v>R330375938500000</v>
      </c>
      <c r="H1189" s="6" t="str">
        <f>"R 3759 - PLA P 2802"</f>
        <v>R 3759 - PLA P 2802</v>
      </c>
      <c r="I1189" s="6" t="str">
        <f>"202861"</f>
        <v>202861</v>
      </c>
      <c r="J1189" s="6" t="str">
        <f>"CINZA 2861"</f>
        <v>CINZA 2861</v>
      </c>
      <c r="K1189" s="6" t="str">
        <f>"5004"</f>
        <v>5004</v>
      </c>
      <c r="L1189" s="6" t="str">
        <f t="shared" si="354"/>
        <v>Roupões Adulto</v>
      </c>
      <c r="M1189" s="6" t="str">
        <f>"M"</f>
        <v>M</v>
      </c>
      <c r="N1189" s="6" t="str">
        <f>"5713682005618"</f>
        <v>5713682005618</v>
      </c>
      <c r="O1189" s="8">
        <v>20</v>
      </c>
      <c r="P1189" s="7">
        <v>46044</v>
      </c>
      <c r="R1189" s="8">
        <v>0</v>
      </c>
      <c r="S1189" s="7">
        <v>46049</v>
      </c>
      <c r="U1189" s="8">
        <v>0</v>
      </c>
      <c r="V1189" s="7">
        <v>46056</v>
      </c>
      <c r="X1189" s="8">
        <v>0</v>
      </c>
      <c r="Z1189" s="8">
        <v>0</v>
      </c>
      <c r="AA1189" s="7">
        <v>46072</v>
      </c>
      <c r="AC1189" s="8">
        <v>0</v>
      </c>
      <c r="AE1189" s="7">
        <v>46077</v>
      </c>
      <c r="AF1189" s="8">
        <v>0</v>
      </c>
      <c r="AH1189" s="7">
        <v>46094</v>
      </c>
      <c r="AN1189" s="8">
        <v>0</v>
      </c>
      <c r="AO1189" s="8">
        <v>20</v>
      </c>
    </row>
    <row r="1190" spans="1:41" x14ac:dyDescent="0.25">
      <c r="A1190" s="6" t="str">
        <f t="shared" si="355"/>
        <v>521-2026000044</v>
      </c>
      <c r="B1190" s="6" t="str">
        <f t="shared" si="353"/>
        <v>TEKLA AP</v>
      </c>
      <c r="C1190" s="7">
        <v>46044</v>
      </c>
      <c r="D1190" s="7">
        <v>46044</v>
      </c>
      <c r="E1190" s="8">
        <v>4</v>
      </c>
      <c r="F1190" s="6" t="str">
        <f t="shared" si="356"/>
        <v>PO10000519 - STRIPES</v>
      </c>
      <c r="G1190" s="6" t="str">
        <f>"R330375938500000"</f>
        <v>R330375938500000</v>
      </c>
      <c r="H1190" s="6" t="str">
        <f>"R 3759 - PLA P 2802"</f>
        <v>R 3759 - PLA P 2802</v>
      </c>
      <c r="I1190" s="6" t="str">
        <f>"202861"</f>
        <v>202861</v>
      </c>
      <c r="J1190" s="6" t="str">
        <f>"CINZA 2861"</f>
        <v>CINZA 2861</v>
      </c>
      <c r="K1190" s="6" t="str">
        <f>"5002"</f>
        <v>5002</v>
      </c>
      <c r="L1190" s="6" t="str">
        <f t="shared" si="354"/>
        <v>Roupões Adulto</v>
      </c>
      <c r="M1190" s="6" t="str">
        <f>"S"</f>
        <v>S</v>
      </c>
      <c r="N1190" s="6" t="str">
        <f>"5713682005601"</f>
        <v>5713682005601</v>
      </c>
      <c r="O1190" s="8">
        <v>15</v>
      </c>
      <c r="P1190" s="7">
        <v>46044</v>
      </c>
      <c r="R1190" s="8">
        <v>0</v>
      </c>
      <c r="S1190" s="7">
        <v>46049</v>
      </c>
      <c r="U1190" s="8">
        <v>0</v>
      </c>
      <c r="V1190" s="7">
        <v>46056</v>
      </c>
      <c r="X1190" s="8">
        <v>0</v>
      </c>
      <c r="Z1190" s="8">
        <v>0</v>
      </c>
      <c r="AA1190" s="7">
        <v>46072</v>
      </c>
      <c r="AC1190" s="8">
        <v>0</v>
      </c>
      <c r="AE1190" s="7">
        <v>46077</v>
      </c>
      <c r="AF1190" s="8">
        <v>0</v>
      </c>
      <c r="AH1190" s="7">
        <v>46094</v>
      </c>
      <c r="AN1190" s="8">
        <v>0</v>
      </c>
      <c r="AO1190" s="8">
        <v>15</v>
      </c>
    </row>
    <row r="1191" spans="1:41" x14ac:dyDescent="0.25">
      <c r="A1191" s="6" t="str">
        <f t="shared" si="355"/>
        <v>521-2026000044</v>
      </c>
      <c r="B1191" s="6" t="str">
        <f t="shared" si="353"/>
        <v>TEKLA AP</v>
      </c>
      <c r="C1191" s="7">
        <v>46044</v>
      </c>
      <c r="D1191" s="7">
        <v>46044</v>
      </c>
      <c r="E1191" s="8">
        <v>5</v>
      </c>
      <c r="F1191" s="6" t="str">
        <f t="shared" si="356"/>
        <v>PO10000519 - STRIPES</v>
      </c>
      <c r="G1191" s="6" t="str">
        <f t="shared" ref="G1191:G1196" si="357">"R330375738500000"</f>
        <v>R330375738500000</v>
      </c>
      <c r="H1191" s="6" t="str">
        <f t="shared" ref="H1191:H1196" si="358">"R 3757 - PLA P 2769"</f>
        <v>R 3757 - PLA P 2769</v>
      </c>
      <c r="I1191" s="6" t="str">
        <f t="shared" ref="I1191:I1196" si="359">"202953"</f>
        <v>202953</v>
      </c>
      <c r="J1191" s="6" t="str">
        <f t="shared" ref="J1191:J1196" si="360">"BEGE 2953"</f>
        <v>BEGE 2953</v>
      </c>
      <c r="K1191" s="6" t="str">
        <f>"5008"</f>
        <v>5008</v>
      </c>
      <c r="L1191" s="6" t="str">
        <f t="shared" si="354"/>
        <v>Roupões Adulto</v>
      </c>
      <c r="M1191" s="6" t="str">
        <f>"XL"</f>
        <v>XL</v>
      </c>
      <c r="N1191" s="6" t="str">
        <f>"5740014916311"</f>
        <v>5740014916311</v>
      </c>
      <c r="O1191" s="8">
        <v>15</v>
      </c>
      <c r="P1191" s="7">
        <v>46044</v>
      </c>
      <c r="R1191" s="8">
        <v>0</v>
      </c>
      <c r="S1191" s="7">
        <v>46049</v>
      </c>
      <c r="U1191" s="8">
        <v>0</v>
      </c>
      <c r="V1191" s="7">
        <v>46056</v>
      </c>
      <c r="X1191" s="8">
        <v>0</v>
      </c>
      <c r="Z1191" s="8">
        <v>0</v>
      </c>
      <c r="AA1191" s="7">
        <v>46072</v>
      </c>
      <c r="AC1191" s="8">
        <v>0</v>
      </c>
      <c r="AE1191" s="7">
        <v>46077</v>
      </c>
      <c r="AF1191" s="8">
        <v>0</v>
      </c>
      <c r="AH1191" s="7">
        <v>46094</v>
      </c>
      <c r="AN1191" s="8">
        <v>0</v>
      </c>
      <c r="AO1191" s="8">
        <v>15</v>
      </c>
    </row>
    <row r="1192" spans="1:41" x14ac:dyDescent="0.25">
      <c r="A1192" s="6" t="str">
        <f t="shared" si="355"/>
        <v>521-2026000044</v>
      </c>
      <c r="B1192" s="6" t="str">
        <f t="shared" si="353"/>
        <v>TEKLA AP</v>
      </c>
      <c r="C1192" s="7">
        <v>46044</v>
      </c>
      <c r="D1192" s="7">
        <v>46044</v>
      </c>
      <c r="E1192" s="8">
        <v>6</v>
      </c>
      <c r="F1192" s="6" t="str">
        <f t="shared" si="356"/>
        <v>PO10000519 - STRIPES</v>
      </c>
      <c r="G1192" s="6" t="str">
        <f t="shared" si="357"/>
        <v>R330375738500000</v>
      </c>
      <c r="H1192" s="6" t="str">
        <f t="shared" si="358"/>
        <v>R 3757 - PLA P 2769</v>
      </c>
      <c r="I1192" s="6" t="str">
        <f t="shared" si="359"/>
        <v>202953</v>
      </c>
      <c r="J1192" s="6" t="str">
        <f t="shared" si="360"/>
        <v>BEGE 2953</v>
      </c>
      <c r="K1192" s="6" t="str">
        <f>"5006"</f>
        <v>5006</v>
      </c>
      <c r="L1192" s="6" t="str">
        <f t="shared" si="354"/>
        <v>Roupões Adulto</v>
      </c>
      <c r="M1192" s="6" t="str">
        <f>"L"</f>
        <v>L</v>
      </c>
      <c r="N1192" s="6" t="str">
        <f>"5740014916328"</f>
        <v>5740014916328</v>
      </c>
      <c r="O1192" s="8">
        <v>30</v>
      </c>
      <c r="P1192" s="7">
        <v>46044</v>
      </c>
      <c r="R1192" s="8">
        <v>0</v>
      </c>
      <c r="S1192" s="7">
        <v>46049</v>
      </c>
      <c r="U1192" s="8">
        <v>0</v>
      </c>
      <c r="V1192" s="7">
        <v>46056</v>
      </c>
      <c r="X1192" s="8">
        <v>0</v>
      </c>
      <c r="Z1192" s="8">
        <v>0</v>
      </c>
      <c r="AA1192" s="7">
        <v>46072</v>
      </c>
      <c r="AC1192" s="8">
        <v>0</v>
      </c>
      <c r="AE1192" s="7">
        <v>46077</v>
      </c>
      <c r="AF1192" s="8">
        <v>0</v>
      </c>
      <c r="AH1192" s="7">
        <v>46094</v>
      </c>
      <c r="AN1192" s="8">
        <v>0</v>
      </c>
      <c r="AO1192" s="8">
        <v>30</v>
      </c>
    </row>
    <row r="1193" spans="1:41" x14ac:dyDescent="0.25">
      <c r="A1193" s="6" t="str">
        <f t="shared" si="355"/>
        <v>521-2026000044</v>
      </c>
      <c r="B1193" s="6" t="str">
        <f t="shared" si="353"/>
        <v>TEKLA AP</v>
      </c>
      <c r="C1193" s="7">
        <v>46044</v>
      </c>
      <c r="D1193" s="7">
        <v>46044</v>
      </c>
      <c r="E1193" s="8">
        <v>7</v>
      </c>
      <c r="F1193" s="6" t="str">
        <f t="shared" si="356"/>
        <v>PO10000519 - STRIPES</v>
      </c>
      <c r="G1193" s="6" t="str">
        <f t="shared" si="357"/>
        <v>R330375738500000</v>
      </c>
      <c r="H1193" s="6" t="str">
        <f t="shared" si="358"/>
        <v>R 3757 - PLA P 2769</v>
      </c>
      <c r="I1193" s="6" t="str">
        <f t="shared" si="359"/>
        <v>202953</v>
      </c>
      <c r="J1193" s="6" t="str">
        <f t="shared" si="360"/>
        <v>BEGE 2953</v>
      </c>
      <c r="K1193" s="6" t="str">
        <f>"5004"</f>
        <v>5004</v>
      </c>
      <c r="L1193" s="6" t="str">
        <f t="shared" si="354"/>
        <v>Roupões Adulto</v>
      </c>
      <c r="M1193" s="6" t="str">
        <f>"M"</f>
        <v>M</v>
      </c>
      <c r="N1193" s="6" t="str">
        <f>"5740014916335"</f>
        <v>5740014916335</v>
      </c>
      <c r="O1193" s="8">
        <v>70</v>
      </c>
      <c r="P1193" s="7">
        <v>46044</v>
      </c>
      <c r="R1193" s="8">
        <v>0</v>
      </c>
      <c r="S1193" s="7">
        <v>46049</v>
      </c>
      <c r="U1193" s="8">
        <v>0</v>
      </c>
      <c r="V1193" s="7">
        <v>46056</v>
      </c>
      <c r="X1193" s="8">
        <v>0</v>
      </c>
      <c r="Z1193" s="8">
        <v>0</v>
      </c>
      <c r="AA1193" s="7">
        <v>46072</v>
      </c>
      <c r="AC1193" s="8">
        <v>0</v>
      </c>
      <c r="AE1193" s="7">
        <v>46077</v>
      </c>
      <c r="AF1193" s="8">
        <v>0</v>
      </c>
      <c r="AH1193" s="7">
        <v>46094</v>
      </c>
      <c r="AN1193" s="8">
        <v>0</v>
      </c>
      <c r="AO1193" s="8">
        <v>70</v>
      </c>
    </row>
    <row r="1194" spans="1:41" x14ac:dyDescent="0.25">
      <c r="A1194" s="6" t="str">
        <f t="shared" si="355"/>
        <v>521-2026000044</v>
      </c>
      <c r="B1194" s="6" t="str">
        <f t="shared" si="353"/>
        <v>TEKLA AP</v>
      </c>
      <c r="C1194" s="7">
        <v>46044</v>
      </c>
      <c r="D1194" s="7">
        <v>46044</v>
      </c>
      <c r="E1194" s="8">
        <v>8</v>
      </c>
      <c r="F1194" s="6" t="str">
        <f t="shared" si="356"/>
        <v>PO10000519 - STRIPES</v>
      </c>
      <c r="G1194" s="6" t="str">
        <f t="shared" si="357"/>
        <v>R330375738500000</v>
      </c>
      <c r="H1194" s="6" t="str">
        <f t="shared" si="358"/>
        <v>R 3757 - PLA P 2769</v>
      </c>
      <c r="I1194" s="6" t="str">
        <f t="shared" si="359"/>
        <v>202953</v>
      </c>
      <c r="J1194" s="6" t="str">
        <f t="shared" si="360"/>
        <v>BEGE 2953</v>
      </c>
      <c r="K1194" s="6" t="str">
        <f>"5002"</f>
        <v>5002</v>
      </c>
      <c r="L1194" s="6" t="str">
        <f t="shared" si="354"/>
        <v>Roupões Adulto</v>
      </c>
      <c r="M1194" s="6" t="str">
        <f>"S"</f>
        <v>S</v>
      </c>
      <c r="N1194" s="6" t="str">
        <f>"5740014916342"</f>
        <v>5740014916342</v>
      </c>
      <c r="O1194" s="8">
        <v>60</v>
      </c>
      <c r="P1194" s="7">
        <v>46044</v>
      </c>
      <c r="R1194" s="8">
        <v>0</v>
      </c>
      <c r="S1194" s="7">
        <v>46049</v>
      </c>
      <c r="U1194" s="8">
        <v>0</v>
      </c>
      <c r="V1194" s="7">
        <v>46056</v>
      </c>
      <c r="X1194" s="8">
        <v>0</v>
      </c>
      <c r="Z1194" s="8">
        <v>0</v>
      </c>
      <c r="AA1194" s="7">
        <v>46072</v>
      </c>
      <c r="AC1194" s="8">
        <v>0</v>
      </c>
      <c r="AE1194" s="7">
        <v>46077</v>
      </c>
      <c r="AF1194" s="8">
        <v>0</v>
      </c>
      <c r="AH1194" s="7">
        <v>46094</v>
      </c>
      <c r="AN1194" s="8">
        <v>0</v>
      </c>
      <c r="AO1194" s="8">
        <v>60</v>
      </c>
    </row>
    <row r="1195" spans="1:41" x14ac:dyDescent="0.25">
      <c r="A1195" s="6" t="str">
        <f t="shared" si="355"/>
        <v>521-2026000044</v>
      </c>
      <c r="B1195" s="6" t="str">
        <f t="shared" si="353"/>
        <v>TEKLA AP</v>
      </c>
      <c r="C1195" s="7">
        <v>46044</v>
      </c>
      <c r="D1195" s="7">
        <v>46044</v>
      </c>
      <c r="E1195" s="8">
        <v>9</v>
      </c>
      <c r="F1195" s="6" t="str">
        <f t="shared" si="356"/>
        <v>PO10000519 - STRIPES</v>
      </c>
      <c r="G1195" s="6" t="str">
        <f t="shared" si="357"/>
        <v>R330375738500000</v>
      </c>
      <c r="H1195" s="6" t="str">
        <f t="shared" si="358"/>
        <v>R 3757 - PLA P 2769</v>
      </c>
      <c r="I1195" s="6" t="str">
        <f t="shared" si="359"/>
        <v>202953</v>
      </c>
      <c r="J1195" s="6" t="str">
        <f t="shared" si="360"/>
        <v>BEGE 2953</v>
      </c>
      <c r="K1195" s="6" t="str">
        <f>"5001"</f>
        <v>5001</v>
      </c>
      <c r="L1195" s="6" t="str">
        <f t="shared" si="354"/>
        <v>Roupões Adulto</v>
      </c>
      <c r="M1195" s="6" t="str">
        <f>"XS"</f>
        <v>XS</v>
      </c>
      <c r="N1195" s="6" t="str">
        <f>"5740014916359"</f>
        <v>5740014916359</v>
      </c>
      <c r="O1195" s="8">
        <v>20</v>
      </c>
      <c r="P1195" s="7">
        <v>46044</v>
      </c>
      <c r="R1195" s="8">
        <v>0</v>
      </c>
      <c r="S1195" s="7">
        <v>46049</v>
      </c>
      <c r="U1195" s="8">
        <v>0</v>
      </c>
      <c r="V1195" s="7">
        <v>46056</v>
      </c>
      <c r="X1195" s="8">
        <v>0</v>
      </c>
      <c r="Z1195" s="8">
        <v>0</v>
      </c>
      <c r="AA1195" s="7">
        <v>46072</v>
      </c>
      <c r="AC1195" s="8">
        <v>0</v>
      </c>
      <c r="AE1195" s="7">
        <v>46077</v>
      </c>
      <c r="AF1195" s="8">
        <v>0</v>
      </c>
      <c r="AH1195" s="7">
        <v>46094</v>
      </c>
      <c r="AN1195" s="8">
        <v>0</v>
      </c>
      <c r="AO1195" s="8">
        <v>20</v>
      </c>
    </row>
    <row r="1196" spans="1:41" x14ac:dyDescent="0.25">
      <c r="A1196" s="6" t="str">
        <f t="shared" si="355"/>
        <v>521-2026000044</v>
      </c>
      <c r="B1196" s="6" t="str">
        <f t="shared" si="353"/>
        <v>TEKLA AP</v>
      </c>
      <c r="C1196" s="7">
        <v>46044</v>
      </c>
      <c r="D1196" s="7">
        <v>46044</v>
      </c>
      <c r="E1196" s="8">
        <v>10</v>
      </c>
      <c r="F1196" s="6" t="str">
        <f t="shared" si="356"/>
        <v>PO10000519 - STRIPES</v>
      </c>
      <c r="G1196" s="6" t="str">
        <f t="shared" si="357"/>
        <v>R330375738500000</v>
      </c>
      <c r="H1196" s="6" t="str">
        <f t="shared" si="358"/>
        <v>R 3757 - PLA P 2769</v>
      </c>
      <c r="I1196" s="6" t="str">
        <f t="shared" si="359"/>
        <v>202953</v>
      </c>
      <c r="J1196" s="6" t="str">
        <f t="shared" si="360"/>
        <v>BEGE 2953</v>
      </c>
      <c r="K1196" s="6" t="str">
        <f>"5080"</f>
        <v>5080</v>
      </c>
      <c r="L1196" s="6" t="str">
        <f t="shared" si="354"/>
        <v>Roupões Adulto</v>
      </c>
      <c r="M1196" s="6" t="str">
        <f>"XXS"</f>
        <v>XXS</v>
      </c>
      <c r="N1196" s="6" t="str">
        <f>"5740014940125"</f>
        <v>5740014940125</v>
      </c>
      <c r="O1196" s="8">
        <v>10</v>
      </c>
      <c r="P1196" s="7">
        <v>46044</v>
      </c>
      <c r="R1196" s="8">
        <v>0</v>
      </c>
      <c r="S1196" s="7">
        <v>46049</v>
      </c>
      <c r="U1196" s="8">
        <v>0</v>
      </c>
      <c r="V1196" s="7">
        <v>46056</v>
      </c>
      <c r="X1196" s="8">
        <v>0</v>
      </c>
      <c r="Z1196" s="8">
        <v>0</v>
      </c>
      <c r="AA1196" s="7">
        <v>46072</v>
      </c>
      <c r="AC1196" s="8">
        <v>0</v>
      </c>
      <c r="AE1196" s="7">
        <v>46077</v>
      </c>
      <c r="AF1196" s="8">
        <v>0</v>
      </c>
      <c r="AH1196" s="7">
        <v>46094</v>
      </c>
      <c r="AN1196" s="8">
        <v>0</v>
      </c>
      <c r="AO1196" s="8">
        <v>10</v>
      </c>
    </row>
    <row r="1197" spans="1:41" x14ac:dyDescent="0.25">
      <c r="A1197" s="6" t="str">
        <f t="shared" si="355"/>
        <v>521-2026000044</v>
      </c>
      <c r="B1197" s="6" t="str">
        <f t="shared" si="353"/>
        <v>TEKLA AP</v>
      </c>
      <c r="C1197" s="7">
        <v>46044</v>
      </c>
      <c r="D1197" s="7">
        <v>46044</v>
      </c>
      <c r="E1197" s="8">
        <v>11</v>
      </c>
      <c r="F1197" s="6" t="str">
        <f t="shared" si="356"/>
        <v>PO10000519 - STRIPES</v>
      </c>
      <c r="G1197" s="6" t="str">
        <f t="shared" ref="G1197:G1206" si="361">"R330375938500000"</f>
        <v>R330375938500000</v>
      </c>
      <c r="H1197" s="6" t="str">
        <f t="shared" ref="H1197:H1206" si="362">"R 3759 - PLA P 2802"</f>
        <v>R 3759 - PLA P 2802</v>
      </c>
      <c r="I1197" s="6" t="str">
        <f>"204034"</f>
        <v>204034</v>
      </c>
      <c r="J1197" s="6" t="str">
        <f>"AZUL 4034"</f>
        <v>AZUL 4034</v>
      </c>
      <c r="K1197" s="6" t="str">
        <f>"5006"</f>
        <v>5006</v>
      </c>
      <c r="L1197" s="6" t="str">
        <f t="shared" si="354"/>
        <v>Roupões Adulto</v>
      </c>
      <c r="M1197" s="6" t="str">
        <f>"L"</f>
        <v>L</v>
      </c>
      <c r="N1197" s="6" t="str">
        <f>"5713682005687"</f>
        <v>5713682005687</v>
      </c>
      <c r="O1197" s="8">
        <v>35</v>
      </c>
      <c r="P1197" s="7">
        <v>46044</v>
      </c>
      <c r="R1197" s="8">
        <v>0</v>
      </c>
      <c r="S1197" s="7">
        <v>46049</v>
      </c>
      <c r="U1197" s="8">
        <v>0</v>
      </c>
      <c r="V1197" s="7">
        <v>46056</v>
      </c>
      <c r="X1197" s="8">
        <v>0</v>
      </c>
      <c r="Z1197" s="8">
        <v>0</v>
      </c>
      <c r="AA1197" s="7">
        <v>46072</v>
      </c>
      <c r="AC1197" s="8">
        <v>0</v>
      </c>
      <c r="AE1197" s="7">
        <v>46077</v>
      </c>
      <c r="AF1197" s="8">
        <v>0</v>
      </c>
      <c r="AH1197" s="7">
        <v>46094</v>
      </c>
      <c r="AN1197" s="8">
        <v>0</v>
      </c>
      <c r="AO1197" s="8">
        <v>35</v>
      </c>
    </row>
    <row r="1198" spans="1:41" x14ac:dyDescent="0.25">
      <c r="A1198" s="6" t="str">
        <f t="shared" si="355"/>
        <v>521-2026000044</v>
      </c>
      <c r="B1198" s="6" t="str">
        <f t="shared" si="353"/>
        <v>TEKLA AP</v>
      </c>
      <c r="C1198" s="7">
        <v>46044</v>
      </c>
      <c r="D1198" s="7">
        <v>46044</v>
      </c>
      <c r="E1198" s="8">
        <v>12</v>
      </c>
      <c r="F1198" s="6" t="str">
        <f t="shared" si="356"/>
        <v>PO10000519 - STRIPES</v>
      </c>
      <c r="G1198" s="6" t="str">
        <f t="shared" si="361"/>
        <v>R330375938500000</v>
      </c>
      <c r="H1198" s="6" t="str">
        <f t="shared" si="362"/>
        <v>R 3759 - PLA P 2802</v>
      </c>
      <c r="I1198" s="6" t="str">
        <f>"204034"</f>
        <v>204034</v>
      </c>
      <c r="J1198" s="6" t="str">
        <f>"AZUL 4034"</f>
        <v>AZUL 4034</v>
      </c>
      <c r="K1198" s="6" t="str">
        <f>"5004"</f>
        <v>5004</v>
      </c>
      <c r="L1198" s="6" t="str">
        <f t="shared" si="354"/>
        <v>Roupões Adulto</v>
      </c>
      <c r="M1198" s="6" t="str">
        <f>"M"</f>
        <v>M</v>
      </c>
      <c r="N1198" s="6" t="str">
        <f>"5713682005670"</f>
        <v>5713682005670</v>
      </c>
      <c r="O1198" s="8">
        <v>20</v>
      </c>
      <c r="P1198" s="7">
        <v>46044</v>
      </c>
      <c r="R1198" s="8">
        <v>0</v>
      </c>
      <c r="S1198" s="7">
        <v>46049</v>
      </c>
      <c r="U1198" s="8">
        <v>0</v>
      </c>
      <c r="V1198" s="7">
        <v>46056</v>
      </c>
      <c r="X1198" s="8">
        <v>0</v>
      </c>
      <c r="Z1198" s="8">
        <v>0</v>
      </c>
      <c r="AA1198" s="7">
        <v>46072</v>
      </c>
      <c r="AC1198" s="8">
        <v>0</v>
      </c>
      <c r="AE1198" s="7">
        <v>46077</v>
      </c>
      <c r="AF1198" s="8">
        <v>0</v>
      </c>
      <c r="AH1198" s="7">
        <v>46094</v>
      </c>
      <c r="AN1198" s="8">
        <v>0</v>
      </c>
      <c r="AO1198" s="8">
        <v>20</v>
      </c>
    </row>
    <row r="1199" spans="1:41" x14ac:dyDescent="0.25">
      <c r="A1199" s="6" t="str">
        <f t="shared" si="355"/>
        <v>521-2026000044</v>
      </c>
      <c r="B1199" s="6" t="str">
        <f t="shared" si="353"/>
        <v>TEKLA AP</v>
      </c>
      <c r="C1199" s="7">
        <v>46044</v>
      </c>
      <c r="D1199" s="7">
        <v>46044</v>
      </c>
      <c r="E1199" s="8">
        <v>13</v>
      </c>
      <c r="F1199" s="6" t="str">
        <f t="shared" si="356"/>
        <v>PO10000519 - STRIPES</v>
      </c>
      <c r="G1199" s="6" t="str">
        <f t="shared" si="361"/>
        <v>R330375938500000</v>
      </c>
      <c r="H1199" s="6" t="str">
        <f t="shared" si="362"/>
        <v>R 3759 - PLA P 2802</v>
      </c>
      <c r="I1199" s="6" t="str">
        <f>"204034"</f>
        <v>204034</v>
      </c>
      <c r="J1199" s="6" t="str">
        <f>"AZUL 4034"</f>
        <v>AZUL 4034</v>
      </c>
      <c r="K1199" s="6" t="str">
        <f>"5002"</f>
        <v>5002</v>
      </c>
      <c r="L1199" s="6" t="str">
        <f t="shared" si="354"/>
        <v>Roupões Adulto</v>
      </c>
      <c r="M1199" s="6" t="str">
        <f>"S"</f>
        <v>S</v>
      </c>
      <c r="N1199" s="6" t="str">
        <f>"5713682005663"</f>
        <v>5713682005663</v>
      </c>
      <c r="O1199" s="8">
        <v>40</v>
      </c>
      <c r="P1199" s="7">
        <v>46044</v>
      </c>
      <c r="R1199" s="8">
        <v>0</v>
      </c>
      <c r="S1199" s="7">
        <v>46049</v>
      </c>
      <c r="U1199" s="8">
        <v>0</v>
      </c>
      <c r="V1199" s="7">
        <v>46056</v>
      </c>
      <c r="X1199" s="8">
        <v>0</v>
      </c>
      <c r="Z1199" s="8">
        <v>0</v>
      </c>
      <c r="AA1199" s="7">
        <v>46072</v>
      </c>
      <c r="AC1199" s="8">
        <v>0</v>
      </c>
      <c r="AE1199" s="7">
        <v>46077</v>
      </c>
      <c r="AF1199" s="8">
        <v>0</v>
      </c>
      <c r="AH1199" s="7">
        <v>46094</v>
      </c>
      <c r="AN1199" s="8">
        <v>0</v>
      </c>
      <c r="AO1199" s="8">
        <v>40</v>
      </c>
    </row>
    <row r="1200" spans="1:41" x14ac:dyDescent="0.25">
      <c r="A1200" s="6" t="str">
        <f t="shared" si="355"/>
        <v>521-2026000044</v>
      </c>
      <c r="B1200" s="6" t="str">
        <f t="shared" si="353"/>
        <v>TEKLA AP</v>
      </c>
      <c r="C1200" s="7">
        <v>46044</v>
      </c>
      <c r="D1200" s="7">
        <v>46044</v>
      </c>
      <c r="E1200" s="8">
        <v>14</v>
      </c>
      <c r="F1200" s="6" t="str">
        <f t="shared" si="356"/>
        <v>PO10000519 - STRIPES</v>
      </c>
      <c r="G1200" s="6" t="str">
        <f t="shared" si="361"/>
        <v>R330375938500000</v>
      </c>
      <c r="H1200" s="6" t="str">
        <f t="shared" si="362"/>
        <v>R 3759 - PLA P 2802</v>
      </c>
      <c r="I1200" s="6" t="str">
        <f>"204034"</f>
        <v>204034</v>
      </c>
      <c r="J1200" s="6" t="str">
        <f>"AZUL 4034"</f>
        <v>AZUL 4034</v>
      </c>
      <c r="K1200" s="6" t="str">
        <f>"5010"</f>
        <v>5010</v>
      </c>
      <c r="L1200" s="6" t="str">
        <f t="shared" si="354"/>
        <v>Roupões Adulto</v>
      </c>
      <c r="M1200" s="6" t="str">
        <f>"XXL"</f>
        <v>XXL</v>
      </c>
      <c r="N1200" s="6" t="str">
        <f>"5740014941252"</f>
        <v>5740014941252</v>
      </c>
      <c r="O1200" s="8">
        <v>10</v>
      </c>
      <c r="P1200" s="7">
        <v>46044</v>
      </c>
      <c r="R1200" s="8">
        <v>0</v>
      </c>
      <c r="S1200" s="7">
        <v>46049</v>
      </c>
      <c r="U1200" s="8">
        <v>0</v>
      </c>
      <c r="V1200" s="7">
        <v>46056</v>
      </c>
      <c r="X1200" s="8">
        <v>0</v>
      </c>
      <c r="Z1200" s="8">
        <v>0</v>
      </c>
      <c r="AA1200" s="7">
        <v>46072</v>
      </c>
      <c r="AC1200" s="8">
        <v>0</v>
      </c>
      <c r="AE1200" s="7">
        <v>46077</v>
      </c>
      <c r="AF1200" s="8">
        <v>0</v>
      </c>
      <c r="AH1200" s="7">
        <v>46094</v>
      </c>
      <c r="AN1200" s="8">
        <v>0</v>
      </c>
      <c r="AO1200" s="8">
        <v>10</v>
      </c>
    </row>
    <row r="1201" spans="1:41" x14ac:dyDescent="0.25">
      <c r="A1201" s="6" t="str">
        <f t="shared" si="355"/>
        <v>521-2026000044</v>
      </c>
      <c r="B1201" s="6" t="str">
        <f t="shared" si="353"/>
        <v>TEKLA AP</v>
      </c>
      <c r="C1201" s="7">
        <v>46044</v>
      </c>
      <c r="D1201" s="7">
        <v>46044</v>
      </c>
      <c r="E1201" s="8">
        <v>15</v>
      </c>
      <c r="F1201" s="6" t="str">
        <f t="shared" si="356"/>
        <v>PO10000519 - STRIPES</v>
      </c>
      <c r="G1201" s="6" t="str">
        <f t="shared" si="361"/>
        <v>R330375938500000</v>
      </c>
      <c r="H1201" s="6" t="str">
        <f t="shared" si="362"/>
        <v>R 3759 - PLA P 2802</v>
      </c>
      <c r="I1201" s="6" t="str">
        <f t="shared" ref="I1201:I1206" si="363">"202210"</f>
        <v>202210</v>
      </c>
      <c r="J1201" s="6" t="str">
        <f t="shared" ref="J1201:J1206" si="364">"VERDE 2210"</f>
        <v>VERDE 2210</v>
      </c>
      <c r="K1201" s="6" t="str">
        <f>"5008"</f>
        <v>5008</v>
      </c>
      <c r="L1201" s="6" t="str">
        <f t="shared" si="354"/>
        <v>Roupões Adulto</v>
      </c>
      <c r="M1201" s="6" t="str">
        <f>"XL"</f>
        <v>XL</v>
      </c>
      <c r="N1201" s="6" t="str">
        <f>"5740014916212"</f>
        <v>5740014916212</v>
      </c>
      <c r="O1201" s="8">
        <v>10</v>
      </c>
      <c r="P1201" s="7">
        <v>46044</v>
      </c>
      <c r="R1201" s="8">
        <v>0</v>
      </c>
      <c r="S1201" s="7">
        <v>46049</v>
      </c>
      <c r="U1201" s="8">
        <v>0</v>
      </c>
      <c r="V1201" s="7">
        <v>46056</v>
      </c>
      <c r="X1201" s="8">
        <v>0</v>
      </c>
      <c r="Z1201" s="8">
        <v>0</v>
      </c>
      <c r="AA1201" s="7">
        <v>46072</v>
      </c>
      <c r="AC1201" s="8">
        <v>0</v>
      </c>
      <c r="AE1201" s="7">
        <v>46077</v>
      </c>
      <c r="AF1201" s="8">
        <v>0</v>
      </c>
      <c r="AH1201" s="7">
        <v>46094</v>
      </c>
      <c r="AN1201" s="8">
        <v>0</v>
      </c>
      <c r="AO1201" s="8">
        <v>10</v>
      </c>
    </row>
    <row r="1202" spans="1:41" x14ac:dyDescent="0.25">
      <c r="A1202" s="6" t="str">
        <f t="shared" si="355"/>
        <v>521-2026000044</v>
      </c>
      <c r="B1202" s="6" t="str">
        <f t="shared" si="353"/>
        <v>TEKLA AP</v>
      </c>
      <c r="C1202" s="7">
        <v>46044</v>
      </c>
      <c r="D1202" s="7">
        <v>46044</v>
      </c>
      <c r="E1202" s="8">
        <v>16</v>
      </c>
      <c r="F1202" s="6" t="str">
        <f t="shared" si="356"/>
        <v>PO10000519 - STRIPES</v>
      </c>
      <c r="G1202" s="6" t="str">
        <f t="shared" si="361"/>
        <v>R330375938500000</v>
      </c>
      <c r="H1202" s="6" t="str">
        <f t="shared" si="362"/>
        <v>R 3759 - PLA P 2802</v>
      </c>
      <c r="I1202" s="6" t="str">
        <f t="shared" si="363"/>
        <v>202210</v>
      </c>
      <c r="J1202" s="6" t="str">
        <f t="shared" si="364"/>
        <v>VERDE 2210</v>
      </c>
      <c r="K1202" s="6" t="str">
        <f>"5006"</f>
        <v>5006</v>
      </c>
      <c r="L1202" s="6" t="str">
        <f t="shared" si="354"/>
        <v>Roupões Adulto</v>
      </c>
      <c r="M1202" s="6" t="str">
        <f>"L"</f>
        <v>L</v>
      </c>
      <c r="N1202" s="6" t="str">
        <f>"5740014916229"</f>
        <v>5740014916229</v>
      </c>
      <c r="O1202" s="8">
        <v>15</v>
      </c>
      <c r="P1202" s="7">
        <v>46044</v>
      </c>
      <c r="R1202" s="8">
        <v>0</v>
      </c>
      <c r="S1202" s="7">
        <v>46049</v>
      </c>
      <c r="U1202" s="8">
        <v>0</v>
      </c>
      <c r="V1202" s="7">
        <v>46056</v>
      </c>
      <c r="X1202" s="8">
        <v>0</v>
      </c>
      <c r="Z1202" s="8">
        <v>0</v>
      </c>
      <c r="AA1202" s="7">
        <v>46072</v>
      </c>
      <c r="AC1202" s="8">
        <v>0</v>
      </c>
      <c r="AE1202" s="7">
        <v>46077</v>
      </c>
      <c r="AF1202" s="8">
        <v>0</v>
      </c>
      <c r="AH1202" s="7">
        <v>46094</v>
      </c>
      <c r="AN1202" s="8">
        <v>0</v>
      </c>
      <c r="AO1202" s="8">
        <v>15</v>
      </c>
    </row>
    <row r="1203" spans="1:41" x14ac:dyDescent="0.25">
      <c r="A1203" s="6" t="str">
        <f t="shared" si="355"/>
        <v>521-2026000044</v>
      </c>
      <c r="B1203" s="6" t="str">
        <f t="shared" si="353"/>
        <v>TEKLA AP</v>
      </c>
      <c r="C1203" s="7">
        <v>46044</v>
      </c>
      <c r="D1203" s="7">
        <v>46044</v>
      </c>
      <c r="E1203" s="8">
        <v>17</v>
      </c>
      <c r="F1203" s="6" t="str">
        <f t="shared" si="356"/>
        <v>PO10000519 - STRIPES</v>
      </c>
      <c r="G1203" s="6" t="str">
        <f t="shared" si="361"/>
        <v>R330375938500000</v>
      </c>
      <c r="H1203" s="6" t="str">
        <f t="shared" si="362"/>
        <v>R 3759 - PLA P 2802</v>
      </c>
      <c r="I1203" s="6" t="str">
        <f t="shared" si="363"/>
        <v>202210</v>
      </c>
      <c r="J1203" s="6" t="str">
        <f t="shared" si="364"/>
        <v>VERDE 2210</v>
      </c>
      <c r="K1203" s="6" t="str">
        <f>"5004"</f>
        <v>5004</v>
      </c>
      <c r="L1203" s="6" t="str">
        <f t="shared" si="354"/>
        <v>Roupões Adulto</v>
      </c>
      <c r="M1203" s="6" t="str">
        <f>"M"</f>
        <v>M</v>
      </c>
      <c r="N1203" s="6" t="str">
        <f>"5740014916236"</f>
        <v>5740014916236</v>
      </c>
      <c r="O1203" s="8">
        <v>25</v>
      </c>
      <c r="P1203" s="7">
        <v>46044</v>
      </c>
      <c r="R1203" s="8">
        <v>0</v>
      </c>
      <c r="S1203" s="7">
        <v>46049</v>
      </c>
      <c r="U1203" s="8">
        <v>0</v>
      </c>
      <c r="V1203" s="7">
        <v>46056</v>
      </c>
      <c r="X1203" s="8">
        <v>0</v>
      </c>
      <c r="Z1203" s="8">
        <v>0</v>
      </c>
      <c r="AA1203" s="7">
        <v>46072</v>
      </c>
      <c r="AC1203" s="8">
        <v>0</v>
      </c>
      <c r="AE1203" s="7">
        <v>46077</v>
      </c>
      <c r="AF1203" s="8">
        <v>0</v>
      </c>
      <c r="AH1203" s="7">
        <v>46094</v>
      </c>
      <c r="AN1203" s="8">
        <v>0</v>
      </c>
      <c r="AO1203" s="8">
        <v>25</v>
      </c>
    </row>
    <row r="1204" spans="1:41" x14ac:dyDescent="0.25">
      <c r="A1204" s="6" t="str">
        <f t="shared" si="355"/>
        <v>521-2026000044</v>
      </c>
      <c r="B1204" s="6" t="str">
        <f t="shared" si="353"/>
        <v>TEKLA AP</v>
      </c>
      <c r="C1204" s="7">
        <v>46044</v>
      </c>
      <c r="D1204" s="7">
        <v>46044</v>
      </c>
      <c r="E1204" s="8">
        <v>18</v>
      </c>
      <c r="F1204" s="6" t="str">
        <f t="shared" si="356"/>
        <v>PO10000519 - STRIPES</v>
      </c>
      <c r="G1204" s="6" t="str">
        <f t="shared" si="361"/>
        <v>R330375938500000</v>
      </c>
      <c r="H1204" s="6" t="str">
        <f t="shared" si="362"/>
        <v>R 3759 - PLA P 2802</v>
      </c>
      <c r="I1204" s="6" t="str">
        <f t="shared" si="363"/>
        <v>202210</v>
      </c>
      <c r="J1204" s="6" t="str">
        <f t="shared" si="364"/>
        <v>VERDE 2210</v>
      </c>
      <c r="K1204" s="6" t="str">
        <f>"5002"</f>
        <v>5002</v>
      </c>
      <c r="L1204" s="6" t="str">
        <f t="shared" si="354"/>
        <v>Roupões Adulto</v>
      </c>
      <c r="M1204" s="6" t="str">
        <f>"S"</f>
        <v>S</v>
      </c>
      <c r="N1204" s="6" t="str">
        <f>"5740014916243"</f>
        <v>5740014916243</v>
      </c>
      <c r="O1204" s="8">
        <v>15</v>
      </c>
      <c r="P1204" s="7">
        <v>46044</v>
      </c>
      <c r="R1204" s="8">
        <v>0</v>
      </c>
      <c r="S1204" s="7">
        <v>46049</v>
      </c>
      <c r="U1204" s="8">
        <v>0</v>
      </c>
      <c r="V1204" s="7">
        <v>46056</v>
      </c>
      <c r="X1204" s="8">
        <v>0</v>
      </c>
      <c r="Z1204" s="8">
        <v>0</v>
      </c>
      <c r="AA1204" s="7">
        <v>46072</v>
      </c>
      <c r="AC1204" s="8">
        <v>0</v>
      </c>
      <c r="AE1204" s="7">
        <v>46077</v>
      </c>
      <c r="AF1204" s="8">
        <v>0</v>
      </c>
      <c r="AH1204" s="7">
        <v>46094</v>
      </c>
      <c r="AN1204" s="8">
        <v>0</v>
      </c>
      <c r="AO1204" s="8">
        <v>15</v>
      </c>
    </row>
    <row r="1205" spans="1:41" x14ac:dyDescent="0.25">
      <c r="A1205" s="6" t="str">
        <f t="shared" si="355"/>
        <v>521-2026000044</v>
      </c>
      <c r="B1205" s="6" t="str">
        <f t="shared" si="353"/>
        <v>TEKLA AP</v>
      </c>
      <c r="C1205" s="7">
        <v>46044</v>
      </c>
      <c r="D1205" s="7">
        <v>46044</v>
      </c>
      <c r="E1205" s="8">
        <v>19</v>
      </c>
      <c r="F1205" s="6" t="str">
        <f t="shared" si="356"/>
        <v>PO10000519 - STRIPES</v>
      </c>
      <c r="G1205" s="6" t="str">
        <f t="shared" si="361"/>
        <v>R330375938500000</v>
      </c>
      <c r="H1205" s="6" t="str">
        <f t="shared" si="362"/>
        <v>R 3759 - PLA P 2802</v>
      </c>
      <c r="I1205" s="6" t="str">
        <f t="shared" si="363"/>
        <v>202210</v>
      </c>
      <c r="J1205" s="6" t="str">
        <f t="shared" si="364"/>
        <v>VERDE 2210</v>
      </c>
      <c r="K1205" s="6" t="str">
        <f>"5001"</f>
        <v>5001</v>
      </c>
      <c r="L1205" s="6" t="str">
        <f t="shared" si="354"/>
        <v>Roupões Adulto</v>
      </c>
      <c r="M1205" s="6" t="str">
        <f>"XS"</f>
        <v>XS</v>
      </c>
      <c r="N1205" s="6" t="str">
        <f>"5740014916250"</f>
        <v>5740014916250</v>
      </c>
      <c r="O1205" s="8">
        <v>5</v>
      </c>
      <c r="P1205" s="7">
        <v>46044</v>
      </c>
      <c r="R1205" s="8">
        <v>0</v>
      </c>
      <c r="S1205" s="7">
        <v>46049</v>
      </c>
      <c r="U1205" s="8">
        <v>0</v>
      </c>
      <c r="V1205" s="7">
        <v>46056</v>
      </c>
      <c r="X1205" s="8">
        <v>0</v>
      </c>
      <c r="Z1205" s="8">
        <v>0</v>
      </c>
      <c r="AA1205" s="7">
        <v>46072</v>
      </c>
      <c r="AC1205" s="8">
        <v>0</v>
      </c>
      <c r="AE1205" s="7">
        <v>46077</v>
      </c>
      <c r="AF1205" s="8">
        <v>0</v>
      </c>
      <c r="AH1205" s="7">
        <v>46094</v>
      </c>
      <c r="AN1205" s="8">
        <v>0</v>
      </c>
      <c r="AO1205" s="8">
        <v>5</v>
      </c>
    </row>
    <row r="1206" spans="1:41" x14ac:dyDescent="0.25">
      <c r="A1206" s="6" t="str">
        <f t="shared" si="355"/>
        <v>521-2026000044</v>
      </c>
      <c r="B1206" s="6" t="str">
        <f t="shared" si="353"/>
        <v>TEKLA AP</v>
      </c>
      <c r="C1206" s="7">
        <v>46044</v>
      </c>
      <c r="D1206" s="7">
        <v>46044</v>
      </c>
      <c r="E1206" s="8">
        <v>20</v>
      </c>
      <c r="F1206" s="6" t="str">
        <f t="shared" si="356"/>
        <v>PO10000519 - STRIPES</v>
      </c>
      <c r="G1206" s="6" t="str">
        <f t="shared" si="361"/>
        <v>R330375938500000</v>
      </c>
      <c r="H1206" s="6" t="str">
        <f t="shared" si="362"/>
        <v>R 3759 - PLA P 2802</v>
      </c>
      <c r="I1206" s="6" t="str">
        <f t="shared" si="363"/>
        <v>202210</v>
      </c>
      <c r="J1206" s="6" t="str">
        <f t="shared" si="364"/>
        <v>VERDE 2210</v>
      </c>
      <c r="K1206" s="6" t="str">
        <f>"5010"</f>
        <v>5010</v>
      </c>
      <c r="L1206" s="6" t="str">
        <f t="shared" si="354"/>
        <v>Roupões Adulto</v>
      </c>
      <c r="M1206" s="6" t="str">
        <f>"XXL"</f>
        <v>XXL</v>
      </c>
      <c r="N1206" s="6" t="str">
        <f>"5740014941269"</f>
        <v>5740014941269</v>
      </c>
      <c r="O1206" s="8">
        <v>10</v>
      </c>
      <c r="P1206" s="7">
        <v>46044</v>
      </c>
      <c r="R1206" s="8">
        <v>0</v>
      </c>
      <c r="S1206" s="7">
        <v>46049</v>
      </c>
      <c r="U1206" s="8">
        <v>0</v>
      </c>
      <c r="V1206" s="7">
        <v>46056</v>
      </c>
      <c r="X1206" s="8">
        <v>0</v>
      </c>
      <c r="Z1206" s="8">
        <v>0</v>
      </c>
      <c r="AA1206" s="7">
        <v>46072</v>
      </c>
      <c r="AC1206" s="8">
        <v>0</v>
      </c>
      <c r="AE1206" s="7">
        <v>46077</v>
      </c>
      <c r="AF1206" s="8">
        <v>0</v>
      </c>
      <c r="AH1206" s="7">
        <v>46094</v>
      </c>
      <c r="AN1206" s="8">
        <v>0</v>
      </c>
      <c r="AO1206" s="8">
        <v>10</v>
      </c>
    </row>
    <row r="1207" spans="1:41" x14ac:dyDescent="0.25">
      <c r="A1207" s="6" t="str">
        <f t="shared" si="355"/>
        <v>521-2026000044</v>
      </c>
      <c r="B1207" s="6" t="str">
        <f t="shared" si="353"/>
        <v>TEKLA AP</v>
      </c>
      <c r="C1207" s="7">
        <v>46044</v>
      </c>
      <c r="D1207" s="7">
        <v>46044</v>
      </c>
      <c r="E1207" s="8">
        <v>21</v>
      </c>
      <c r="F1207" s="6" t="str">
        <f t="shared" si="356"/>
        <v>PO10000519 - STRIPES</v>
      </c>
      <c r="G1207" s="6" t="str">
        <f t="shared" ref="G1207:G1213" si="365">"R330376138500000"</f>
        <v>R330376138500000</v>
      </c>
      <c r="H1207" s="6" t="str">
        <f t="shared" ref="H1207:H1213" si="366">"R 3761 - PLA P 2803"</f>
        <v>R 3761 - PLA P 2803</v>
      </c>
      <c r="I1207" s="6" t="str">
        <f>"204727"</f>
        <v>204727</v>
      </c>
      <c r="J1207" s="6" t="str">
        <f>"ROSA 4727"</f>
        <v>ROSA 4727</v>
      </c>
      <c r="K1207" s="6" t="str">
        <f>"5008"</f>
        <v>5008</v>
      </c>
      <c r="L1207" s="6" t="str">
        <f t="shared" si="354"/>
        <v>Roupões Adulto</v>
      </c>
      <c r="M1207" s="6" t="str">
        <f>"XL"</f>
        <v>XL</v>
      </c>
      <c r="N1207" s="6" t="str">
        <f>"5740014950155"</f>
        <v>5740014950155</v>
      </c>
      <c r="O1207" s="8">
        <v>5</v>
      </c>
      <c r="P1207" s="7">
        <v>46044</v>
      </c>
      <c r="R1207" s="8">
        <v>0</v>
      </c>
      <c r="S1207" s="7">
        <v>46049</v>
      </c>
      <c r="U1207" s="8">
        <v>0</v>
      </c>
      <c r="V1207" s="7">
        <v>46056</v>
      </c>
      <c r="X1207" s="8">
        <v>0</v>
      </c>
      <c r="Z1207" s="8">
        <v>0</v>
      </c>
      <c r="AA1207" s="7">
        <v>46072</v>
      </c>
      <c r="AC1207" s="8">
        <v>0</v>
      </c>
      <c r="AE1207" s="7">
        <v>46077</v>
      </c>
      <c r="AF1207" s="8">
        <v>0</v>
      </c>
      <c r="AH1207" s="7">
        <v>46094</v>
      </c>
      <c r="AN1207" s="8">
        <v>0</v>
      </c>
      <c r="AO1207" s="8">
        <v>5</v>
      </c>
    </row>
    <row r="1208" spans="1:41" x14ac:dyDescent="0.25">
      <c r="A1208" s="6" t="str">
        <f t="shared" si="355"/>
        <v>521-2026000044</v>
      </c>
      <c r="B1208" s="6" t="str">
        <f t="shared" si="353"/>
        <v>TEKLA AP</v>
      </c>
      <c r="C1208" s="7">
        <v>46044</v>
      </c>
      <c r="D1208" s="7">
        <v>46044</v>
      </c>
      <c r="E1208" s="8">
        <v>22</v>
      </c>
      <c r="F1208" s="6" t="str">
        <f t="shared" si="356"/>
        <v>PO10000519 - STRIPES</v>
      </c>
      <c r="G1208" s="6" t="str">
        <f t="shared" si="365"/>
        <v>R330376138500000</v>
      </c>
      <c r="H1208" s="6" t="str">
        <f t="shared" si="366"/>
        <v>R 3761 - PLA P 2803</v>
      </c>
      <c r="I1208" s="6" t="str">
        <f>"204727"</f>
        <v>204727</v>
      </c>
      <c r="J1208" s="6" t="str">
        <f>"ROSA 4727"</f>
        <v>ROSA 4727</v>
      </c>
      <c r="K1208" s="6" t="str">
        <f>"5006"</f>
        <v>5006</v>
      </c>
      <c r="L1208" s="6" t="str">
        <f t="shared" si="354"/>
        <v>Roupões Adulto</v>
      </c>
      <c r="M1208" s="6" t="str">
        <f>"L"</f>
        <v>L</v>
      </c>
      <c r="N1208" s="6" t="str">
        <f>"5740014950162"</f>
        <v>5740014950162</v>
      </c>
      <c r="O1208" s="8">
        <v>5</v>
      </c>
      <c r="P1208" s="7">
        <v>46044</v>
      </c>
      <c r="R1208" s="8">
        <v>0</v>
      </c>
      <c r="S1208" s="7">
        <v>46049</v>
      </c>
      <c r="U1208" s="8">
        <v>0</v>
      </c>
      <c r="V1208" s="7">
        <v>46056</v>
      </c>
      <c r="X1208" s="8">
        <v>0</v>
      </c>
      <c r="Z1208" s="8">
        <v>0</v>
      </c>
      <c r="AA1208" s="7">
        <v>46072</v>
      </c>
      <c r="AC1208" s="8">
        <v>0</v>
      </c>
      <c r="AE1208" s="7">
        <v>46077</v>
      </c>
      <c r="AF1208" s="8">
        <v>0</v>
      </c>
      <c r="AH1208" s="7">
        <v>46094</v>
      </c>
      <c r="AN1208" s="8">
        <v>0</v>
      </c>
      <c r="AO1208" s="8">
        <v>5</v>
      </c>
    </row>
    <row r="1209" spans="1:41" x14ac:dyDescent="0.25">
      <c r="A1209" s="6" t="str">
        <f t="shared" si="355"/>
        <v>521-2026000044</v>
      </c>
      <c r="B1209" s="6" t="str">
        <f t="shared" si="353"/>
        <v>TEKLA AP</v>
      </c>
      <c r="C1209" s="7">
        <v>46044</v>
      </c>
      <c r="D1209" s="7">
        <v>46044</v>
      </c>
      <c r="E1209" s="8">
        <v>23</v>
      </c>
      <c r="F1209" s="6" t="str">
        <f t="shared" si="356"/>
        <v>PO10000519 - STRIPES</v>
      </c>
      <c r="G1209" s="6" t="str">
        <f t="shared" si="365"/>
        <v>R330376138500000</v>
      </c>
      <c r="H1209" s="6" t="str">
        <f t="shared" si="366"/>
        <v>R 3761 - PLA P 2803</v>
      </c>
      <c r="I1209" s="6" t="str">
        <f>"204727"</f>
        <v>204727</v>
      </c>
      <c r="J1209" s="6" t="str">
        <f>"ROSA 4727"</f>
        <v>ROSA 4727</v>
      </c>
      <c r="K1209" s="6" t="str">
        <f>"5004"</f>
        <v>5004</v>
      </c>
      <c r="L1209" s="6" t="str">
        <f t="shared" si="354"/>
        <v>Roupões Adulto</v>
      </c>
      <c r="M1209" s="6" t="str">
        <f>"M"</f>
        <v>M</v>
      </c>
      <c r="N1209" s="6" t="str">
        <f>"5740014950179"</f>
        <v>5740014950179</v>
      </c>
      <c r="O1209" s="8">
        <v>15</v>
      </c>
      <c r="P1209" s="7">
        <v>46044</v>
      </c>
      <c r="R1209" s="8">
        <v>0</v>
      </c>
      <c r="S1209" s="7">
        <v>46049</v>
      </c>
      <c r="U1209" s="8">
        <v>0</v>
      </c>
      <c r="V1209" s="7">
        <v>46056</v>
      </c>
      <c r="X1209" s="8">
        <v>0</v>
      </c>
      <c r="Z1209" s="8">
        <v>0</v>
      </c>
      <c r="AA1209" s="7">
        <v>46072</v>
      </c>
      <c r="AC1209" s="8">
        <v>0</v>
      </c>
      <c r="AE1209" s="7">
        <v>46077</v>
      </c>
      <c r="AF1209" s="8">
        <v>0</v>
      </c>
      <c r="AH1209" s="7">
        <v>46094</v>
      </c>
      <c r="AN1209" s="8">
        <v>0</v>
      </c>
      <c r="AO1209" s="8">
        <v>15</v>
      </c>
    </row>
    <row r="1210" spans="1:41" x14ac:dyDescent="0.25">
      <c r="A1210" s="6" t="str">
        <f t="shared" si="355"/>
        <v>521-2026000044</v>
      </c>
      <c r="B1210" s="6" t="str">
        <f t="shared" si="353"/>
        <v>TEKLA AP</v>
      </c>
      <c r="C1210" s="7">
        <v>46044</v>
      </c>
      <c r="D1210" s="7">
        <v>46044</v>
      </c>
      <c r="E1210" s="8">
        <v>24</v>
      </c>
      <c r="F1210" s="6" t="str">
        <f t="shared" si="356"/>
        <v>PO10000519 - STRIPES</v>
      </c>
      <c r="G1210" s="6" t="str">
        <f t="shared" si="365"/>
        <v>R330376138500000</v>
      </c>
      <c r="H1210" s="6" t="str">
        <f t="shared" si="366"/>
        <v>R 3761 - PLA P 2803</v>
      </c>
      <c r="I1210" s="6" t="str">
        <f>"204727"</f>
        <v>204727</v>
      </c>
      <c r="J1210" s="6" t="str">
        <f>"ROSA 4727"</f>
        <v>ROSA 4727</v>
      </c>
      <c r="K1210" s="6" t="str">
        <f>"5001"</f>
        <v>5001</v>
      </c>
      <c r="L1210" s="6" t="str">
        <f t="shared" si="354"/>
        <v>Roupões Adulto</v>
      </c>
      <c r="M1210" s="6" t="str">
        <f>"XS"</f>
        <v>XS</v>
      </c>
      <c r="N1210" s="6" t="str">
        <f>"5740014950193"</f>
        <v>5740014950193</v>
      </c>
      <c r="O1210" s="8">
        <v>5</v>
      </c>
      <c r="P1210" s="7">
        <v>46044</v>
      </c>
      <c r="R1210" s="8">
        <v>0</v>
      </c>
      <c r="S1210" s="7">
        <v>46049</v>
      </c>
      <c r="U1210" s="8">
        <v>0</v>
      </c>
      <c r="V1210" s="7">
        <v>46056</v>
      </c>
      <c r="X1210" s="8">
        <v>0</v>
      </c>
      <c r="Z1210" s="8">
        <v>0</v>
      </c>
      <c r="AA1210" s="7">
        <v>46072</v>
      </c>
      <c r="AC1210" s="8">
        <v>0</v>
      </c>
      <c r="AE1210" s="7">
        <v>46077</v>
      </c>
      <c r="AF1210" s="8">
        <v>0</v>
      </c>
      <c r="AH1210" s="7">
        <v>46094</v>
      </c>
      <c r="AN1210" s="8">
        <v>0</v>
      </c>
      <c r="AO1210" s="8">
        <v>5</v>
      </c>
    </row>
    <row r="1211" spans="1:41" x14ac:dyDescent="0.25">
      <c r="A1211" s="6" t="str">
        <f t="shared" si="355"/>
        <v>521-2026000044</v>
      </c>
      <c r="B1211" s="6" t="str">
        <f t="shared" ref="B1211:B1242" si="367">"TEKLA AP"</f>
        <v>TEKLA AP</v>
      </c>
      <c r="C1211" s="7">
        <v>46044</v>
      </c>
      <c r="D1211" s="7">
        <v>46044</v>
      </c>
      <c r="E1211" s="8">
        <v>25</v>
      </c>
      <c r="F1211" s="6" t="str">
        <f t="shared" si="356"/>
        <v>PO10000519 - STRIPES</v>
      </c>
      <c r="G1211" s="6" t="str">
        <f t="shared" si="365"/>
        <v>R330376138500000</v>
      </c>
      <c r="H1211" s="6" t="str">
        <f t="shared" si="366"/>
        <v>R 3761 - PLA P 2803</v>
      </c>
      <c r="I1211" s="6" t="str">
        <f>"200855"</f>
        <v>200855</v>
      </c>
      <c r="J1211" s="6" t="str">
        <f>"AZUL 855"</f>
        <v>AZUL 855</v>
      </c>
      <c r="K1211" s="6" t="str">
        <f>"5008"</f>
        <v>5008</v>
      </c>
      <c r="L1211" s="6" t="str">
        <f t="shared" ref="L1211:L1227" si="368">"Roupões Adulto"</f>
        <v>Roupões Adulto</v>
      </c>
      <c r="M1211" s="6" t="str">
        <f>"XL"</f>
        <v>XL</v>
      </c>
      <c r="N1211" s="6" t="str">
        <f>"5740014950292"</f>
        <v>5740014950292</v>
      </c>
      <c r="O1211" s="8">
        <v>10</v>
      </c>
      <c r="P1211" s="7">
        <v>46044</v>
      </c>
      <c r="R1211" s="8">
        <v>0</v>
      </c>
      <c r="S1211" s="7">
        <v>46049</v>
      </c>
      <c r="U1211" s="8">
        <v>0</v>
      </c>
      <c r="V1211" s="7">
        <v>46056</v>
      </c>
      <c r="X1211" s="8">
        <v>0</v>
      </c>
      <c r="Z1211" s="8">
        <v>0</v>
      </c>
      <c r="AA1211" s="7">
        <v>46072</v>
      </c>
      <c r="AC1211" s="8">
        <v>0</v>
      </c>
      <c r="AE1211" s="7">
        <v>46077</v>
      </c>
      <c r="AF1211" s="8">
        <v>0</v>
      </c>
      <c r="AH1211" s="7">
        <v>46094</v>
      </c>
      <c r="AN1211" s="8">
        <v>0</v>
      </c>
      <c r="AO1211" s="8">
        <v>10</v>
      </c>
    </row>
    <row r="1212" spans="1:41" x14ac:dyDescent="0.25">
      <c r="A1212" s="6" t="str">
        <f t="shared" si="355"/>
        <v>521-2026000044</v>
      </c>
      <c r="B1212" s="6" t="str">
        <f t="shared" si="367"/>
        <v>TEKLA AP</v>
      </c>
      <c r="C1212" s="7">
        <v>46044</v>
      </c>
      <c r="D1212" s="7">
        <v>46044</v>
      </c>
      <c r="E1212" s="8">
        <v>26</v>
      </c>
      <c r="F1212" s="6" t="str">
        <f t="shared" si="356"/>
        <v>PO10000519 - STRIPES</v>
      </c>
      <c r="G1212" s="6" t="str">
        <f t="shared" si="365"/>
        <v>R330376138500000</v>
      </c>
      <c r="H1212" s="6" t="str">
        <f t="shared" si="366"/>
        <v>R 3761 - PLA P 2803</v>
      </c>
      <c r="I1212" s="6" t="str">
        <f>"200855"</f>
        <v>200855</v>
      </c>
      <c r="J1212" s="6" t="str">
        <f>"AZUL 855"</f>
        <v>AZUL 855</v>
      </c>
      <c r="K1212" s="6" t="str">
        <f>"5006"</f>
        <v>5006</v>
      </c>
      <c r="L1212" s="6" t="str">
        <f t="shared" si="368"/>
        <v>Roupões Adulto</v>
      </c>
      <c r="M1212" s="6" t="str">
        <f>"L"</f>
        <v>L</v>
      </c>
      <c r="N1212" s="6" t="str">
        <f>"5740014950308"</f>
        <v>5740014950308</v>
      </c>
      <c r="O1212" s="8">
        <v>5</v>
      </c>
      <c r="P1212" s="7">
        <v>46044</v>
      </c>
      <c r="R1212" s="8">
        <v>0</v>
      </c>
      <c r="S1212" s="7">
        <v>46049</v>
      </c>
      <c r="U1212" s="8">
        <v>0</v>
      </c>
      <c r="V1212" s="7">
        <v>46056</v>
      </c>
      <c r="X1212" s="8">
        <v>0</v>
      </c>
      <c r="Z1212" s="8">
        <v>0</v>
      </c>
      <c r="AA1212" s="7">
        <v>46072</v>
      </c>
      <c r="AC1212" s="8">
        <v>0</v>
      </c>
      <c r="AE1212" s="7">
        <v>46077</v>
      </c>
      <c r="AF1212" s="8">
        <v>0</v>
      </c>
      <c r="AH1212" s="7">
        <v>46094</v>
      </c>
      <c r="AN1212" s="8">
        <v>0</v>
      </c>
      <c r="AO1212" s="8">
        <v>5</v>
      </c>
    </row>
    <row r="1213" spans="1:41" x14ac:dyDescent="0.25">
      <c r="A1213" s="6" t="str">
        <f t="shared" si="355"/>
        <v>521-2026000044</v>
      </c>
      <c r="B1213" s="6" t="str">
        <f t="shared" si="367"/>
        <v>TEKLA AP</v>
      </c>
      <c r="C1213" s="7">
        <v>46044</v>
      </c>
      <c r="D1213" s="7">
        <v>46044</v>
      </c>
      <c r="E1213" s="8">
        <v>27</v>
      </c>
      <c r="F1213" s="6" t="str">
        <f t="shared" si="356"/>
        <v>PO10000519 - STRIPES</v>
      </c>
      <c r="G1213" s="6" t="str">
        <f t="shared" si="365"/>
        <v>R330376138500000</v>
      </c>
      <c r="H1213" s="6" t="str">
        <f t="shared" si="366"/>
        <v>R 3761 - PLA P 2803</v>
      </c>
      <c r="I1213" s="6" t="str">
        <f>"200855"</f>
        <v>200855</v>
      </c>
      <c r="J1213" s="6" t="str">
        <f>"AZUL 855"</f>
        <v>AZUL 855</v>
      </c>
      <c r="K1213" s="6" t="str">
        <f>"5004"</f>
        <v>5004</v>
      </c>
      <c r="L1213" s="6" t="str">
        <f t="shared" si="368"/>
        <v>Roupões Adulto</v>
      </c>
      <c r="M1213" s="6" t="str">
        <f>"M"</f>
        <v>M</v>
      </c>
      <c r="N1213" s="6" t="str">
        <f>"5740014950315"</f>
        <v>5740014950315</v>
      </c>
      <c r="O1213" s="8">
        <v>10</v>
      </c>
      <c r="P1213" s="7">
        <v>46044</v>
      </c>
      <c r="R1213" s="8">
        <v>0</v>
      </c>
      <c r="S1213" s="7">
        <v>46049</v>
      </c>
      <c r="U1213" s="8">
        <v>0</v>
      </c>
      <c r="V1213" s="7">
        <v>46056</v>
      </c>
      <c r="X1213" s="8">
        <v>0</v>
      </c>
      <c r="Z1213" s="8">
        <v>0</v>
      </c>
      <c r="AA1213" s="7">
        <v>46072</v>
      </c>
      <c r="AC1213" s="8">
        <v>0</v>
      </c>
      <c r="AE1213" s="7">
        <v>46077</v>
      </c>
      <c r="AF1213" s="8">
        <v>0</v>
      </c>
      <c r="AH1213" s="7">
        <v>46094</v>
      </c>
      <c r="AN1213" s="8">
        <v>0</v>
      </c>
      <c r="AO1213" s="8">
        <v>10</v>
      </c>
    </row>
    <row r="1214" spans="1:41" x14ac:dyDescent="0.25">
      <c r="A1214" s="6" t="str">
        <f t="shared" si="355"/>
        <v>521-2026000044</v>
      </c>
      <c r="B1214" s="6" t="str">
        <f t="shared" si="367"/>
        <v>TEKLA AP</v>
      </c>
      <c r="C1214" s="7">
        <v>46044</v>
      </c>
      <c r="D1214" s="7">
        <v>46044</v>
      </c>
      <c r="E1214" s="8">
        <v>28</v>
      </c>
      <c r="F1214" s="6" t="str">
        <f t="shared" si="356"/>
        <v>PO10000519 - STRIPES</v>
      </c>
      <c r="G1214" s="6" t="str">
        <f>"R330375938500000"</f>
        <v>R330375938500000</v>
      </c>
      <c r="H1214" s="6" t="str">
        <f>"R 3759 - PLA P 2802"</f>
        <v>R 3759 - PLA P 2802</v>
      </c>
      <c r="I1214" s="6" t="str">
        <f>"201269"</f>
        <v>201269</v>
      </c>
      <c r="J1214" s="6" t="str">
        <f>"ROSA 1269"</f>
        <v>ROSA 1269</v>
      </c>
      <c r="K1214" s="6" t="str">
        <f>"5004"</f>
        <v>5004</v>
      </c>
      <c r="L1214" s="6" t="str">
        <f t="shared" si="368"/>
        <v>Roupões Adulto</v>
      </c>
      <c r="M1214" s="6" t="str">
        <f>"M"</f>
        <v>M</v>
      </c>
      <c r="N1214" s="6" t="str">
        <f>"5740014950247"</f>
        <v>5740014950247</v>
      </c>
      <c r="O1214" s="8">
        <v>10</v>
      </c>
      <c r="P1214" s="7">
        <v>46044</v>
      </c>
      <c r="R1214" s="8">
        <v>0</v>
      </c>
      <c r="S1214" s="7">
        <v>46049</v>
      </c>
      <c r="U1214" s="8">
        <v>0</v>
      </c>
      <c r="V1214" s="7">
        <v>46056</v>
      </c>
      <c r="X1214" s="8">
        <v>0</v>
      </c>
      <c r="Z1214" s="8">
        <v>0</v>
      </c>
      <c r="AA1214" s="7">
        <v>46072</v>
      </c>
      <c r="AC1214" s="8">
        <v>0</v>
      </c>
      <c r="AE1214" s="7">
        <v>46077</v>
      </c>
      <c r="AF1214" s="8">
        <v>0</v>
      </c>
      <c r="AH1214" s="7">
        <v>46094</v>
      </c>
      <c r="AN1214" s="8">
        <v>0</v>
      </c>
      <c r="AO1214" s="8">
        <v>10</v>
      </c>
    </row>
    <row r="1215" spans="1:41" x14ac:dyDescent="0.25">
      <c r="A1215" s="6" t="str">
        <f t="shared" si="355"/>
        <v>521-2026000044</v>
      </c>
      <c r="B1215" s="6" t="str">
        <f t="shared" si="367"/>
        <v>TEKLA AP</v>
      </c>
      <c r="C1215" s="7">
        <v>46044</v>
      </c>
      <c r="D1215" s="7">
        <v>46044</v>
      </c>
      <c r="E1215" s="8">
        <v>29</v>
      </c>
      <c r="F1215" s="6" t="str">
        <f t="shared" si="356"/>
        <v>PO10000519 - STRIPES</v>
      </c>
      <c r="G1215" s="6" t="str">
        <f>"R330375938500000"</f>
        <v>R330375938500000</v>
      </c>
      <c r="H1215" s="6" t="str">
        <f>"R 3759 - PLA P 2802"</f>
        <v>R 3759 - PLA P 2802</v>
      </c>
      <c r="I1215" s="6" t="str">
        <f>"201269"</f>
        <v>201269</v>
      </c>
      <c r="J1215" s="6" t="str">
        <f>"ROSA 1269"</f>
        <v>ROSA 1269</v>
      </c>
      <c r="K1215" s="6" t="str">
        <f>"5002"</f>
        <v>5002</v>
      </c>
      <c r="L1215" s="6" t="str">
        <f t="shared" si="368"/>
        <v>Roupões Adulto</v>
      </c>
      <c r="M1215" s="6" t="str">
        <f>"S"</f>
        <v>S</v>
      </c>
      <c r="N1215" s="6" t="str">
        <f>"5740014950254"</f>
        <v>5740014950254</v>
      </c>
      <c r="O1215" s="8">
        <v>20</v>
      </c>
      <c r="P1215" s="7">
        <v>46044</v>
      </c>
      <c r="R1215" s="8">
        <v>0</v>
      </c>
      <c r="S1215" s="7">
        <v>46049</v>
      </c>
      <c r="U1215" s="8">
        <v>0</v>
      </c>
      <c r="V1215" s="7">
        <v>46056</v>
      </c>
      <c r="X1215" s="8">
        <v>0</v>
      </c>
      <c r="Z1215" s="8">
        <v>0</v>
      </c>
      <c r="AA1215" s="7">
        <v>46072</v>
      </c>
      <c r="AC1215" s="8">
        <v>0</v>
      </c>
      <c r="AE1215" s="7">
        <v>46077</v>
      </c>
      <c r="AF1215" s="8">
        <v>0</v>
      </c>
      <c r="AH1215" s="7">
        <v>46094</v>
      </c>
      <c r="AN1215" s="8">
        <v>0</v>
      </c>
      <c r="AO1215" s="8">
        <v>20</v>
      </c>
    </row>
    <row r="1216" spans="1:41" x14ac:dyDescent="0.25">
      <c r="A1216" s="6" t="str">
        <f t="shared" si="355"/>
        <v>521-2026000044</v>
      </c>
      <c r="B1216" s="6" t="str">
        <f t="shared" si="367"/>
        <v>TEKLA AP</v>
      </c>
      <c r="C1216" s="7">
        <v>46044</v>
      </c>
      <c r="D1216" s="7">
        <v>46044</v>
      </c>
      <c r="E1216" s="8">
        <v>30</v>
      </c>
      <c r="F1216" s="6" t="str">
        <f t="shared" si="356"/>
        <v>PO10000519 - STRIPES</v>
      </c>
      <c r="G1216" s="6" t="str">
        <f>"R330375938500000"</f>
        <v>R330375938500000</v>
      </c>
      <c r="H1216" s="6" t="str">
        <f>"R 3759 - PLA P 2802"</f>
        <v>R 3759 - PLA P 2802</v>
      </c>
      <c r="I1216" s="6" t="str">
        <f>"201269"</f>
        <v>201269</v>
      </c>
      <c r="J1216" s="6" t="str">
        <f>"ROSA 1269"</f>
        <v>ROSA 1269</v>
      </c>
      <c r="K1216" s="6" t="str">
        <f>"5001"</f>
        <v>5001</v>
      </c>
      <c r="L1216" s="6" t="str">
        <f t="shared" si="368"/>
        <v>Roupões Adulto</v>
      </c>
      <c r="M1216" s="6" t="str">
        <f>"XS"</f>
        <v>XS</v>
      </c>
      <c r="N1216" s="6" t="str">
        <f>"5740014950261"</f>
        <v>5740014950261</v>
      </c>
      <c r="O1216" s="8">
        <v>15</v>
      </c>
      <c r="P1216" s="7">
        <v>46044</v>
      </c>
      <c r="R1216" s="8">
        <v>0</v>
      </c>
      <c r="S1216" s="7">
        <v>46049</v>
      </c>
      <c r="U1216" s="8">
        <v>0</v>
      </c>
      <c r="V1216" s="7">
        <v>46056</v>
      </c>
      <c r="X1216" s="8">
        <v>0</v>
      </c>
      <c r="Z1216" s="8">
        <v>0</v>
      </c>
      <c r="AA1216" s="7">
        <v>46072</v>
      </c>
      <c r="AC1216" s="8">
        <v>0</v>
      </c>
      <c r="AE1216" s="7">
        <v>46077</v>
      </c>
      <c r="AF1216" s="8">
        <v>0</v>
      </c>
      <c r="AH1216" s="7">
        <v>46094</v>
      </c>
      <c r="AN1216" s="8">
        <v>0</v>
      </c>
      <c r="AO1216" s="8">
        <v>15</v>
      </c>
    </row>
    <row r="1217" spans="1:41" x14ac:dyDescent="0.25">
      <c r="A1217" s="6" t="str">
        <f t="shared" si="355"/>
        <v>521-2026000044</v>
      </c>
      <c r="B1217" s="6" t="str">
        <f t="shared" si="367"/>
        <v>TEKLA AP</v>
      </c>
      <c r="C1217" s="7">
        <v>46044</v>
      </c>
      <c r="D1217" s="7">
        <v>46044</v>
      </c>
      <c r="E1217" s="8">
        <v>31</v>
      </c>
      <c r="F1217" s="6" t="str">
        <f t="shared" si="356"/>
        <v>PO10000519 - STRIPES</v>
      </c>
      <c r="G1217" s="6" t="str">
        <f>"R330375938500000"</f>
        <v>R330375938500000</v>
      </c>
      <c r="H1217" s="6" t="str">
        <f>"R 3759 - PLA P 2802"</f>
        <v>R 3759 - PLA P 2802</v>
      </c>
      <c r="I1217" s="6" t="str">
        <f>"201269"</f>
        <v>201269</v>
      </c>
      <c r="J1217" s="6" t="str">
        <f>"ROSA 1269"</f>
        <v>ROSA 1269</v>
      </c>
      <c r="K1217" s="6" t="str">
        <f>"5080"</f>
        <v>5080</v>
      </c>
      <c r="L1217" s="6" t="str">
        <f t="shared" si="368"/>
        <v>Roupões Adulto</v>
      </c>
      <c r="M1217" s="6" t="str">
        <f>"XXS"</f>
        <v>XXS</v>
      </c>
      <c r="N1217" s="6" t="str">
        <f>"5740014950278"</f>
        <v>5740014950278</v>
      </c>
      <c r="O1217" s="8">
        <v>5</v>
      </c>
      <c r="P1217" s="7">
        <v>46044</v>
      </c>
      <c r="R1217" s="8">
        <v>0</v>
      </c>
      <c r="S1217" s="7">
        <v>46049</v>
      </c>
      <c r="U1217" s="8">
        <v>0</v>
      </c>
      <c r="V1217" s="7">
        <v>46056</v>
      </c>
      <c r="X1217" s="8">
        <v>0</v>
      </c>
      <c r="Z1217" s="8">
        <v>0</v>
      </c>
      <c r="AA1217" s="7">
        <v>46072</v>
      </c>
      <c r="AC1217" s="8">
        <v>0</v>
      </c>
      <c r="AE1217" s="7">
        <v>46077</v>
      </c>
      <c r="AF1217" s="8">
        <v>0</v>
      </c>
      <c r="AH1217" s="7">
        <v>46094</v>
      </c>
      <c r="AN1217" s="8">
        <v>0</v>
      </c>
      <c r="AO1217" s="8">
        <v>5</v>
      </c>
    </row>
    <row r="1218" spans="1:41" x14ac:dyDescent="0.25">
      <c r="A1218" s="6" t="str">
        <f t="shared" si="355"/>
        <v>521-2026000044</v>
      </c>
      <c r="B1218" s="6" t="str">
        <f t="shared" si="367"/>
        <v>TEKLA AP</v>
      </c>
      <c r="C1218" s="7">
        <v>46044</v>
      </c>
      <c r="D1218" s="7">
        <v>46044</v>
      </c>
      <c r="E1218" s="8">
        <v>32</v>
      </c>
      <c r="F1218" s="6" t="str">
        <f t="shared" si="356"/>
        <v>PO10000519 - STRIPES</v>
      </c>
      <c r="G1218" s="6" t="str">
        <f>"R330375938500000"</f>
        <v>R330375938500000</v>
      </c>
      <c r="H1218" s="6" t="str">
        <f>"R 3759 - PLA P 2802"</f>
        <v>R 3759 - PLA P 2802</v>
      </c>
      <c r="I1218" s="6" t="str">
        <f>"204030"</f>
        <v>204030</v>
      </c>
      <c r="J1218" s="6" t="str">
        <f>"BEGE 4030"</f>
        <v>BEGE 4030</v>
      </c>
      <c r="K1218" s="6" t="str">
        <f>"5002"</f>
        <v>5002</v>
      </c>
      <c r="L1218" s="6" t="str">
        <f t="shared" si="368"/>
        <v>Roupões Adulto</v>
      </c>
      <c r="M1218" s="6" t="str">
        <f>"S"</f>
        <v>S</v>
      </c>
      <c r="N1218" s="6" t="str">
        <f>"5744002054603"</f>
        <v>5744002054603</v>
      </c>
      <c r="O1218" s="8">
        <v>20</v>
      </c>
      <c r="P1218" s="7">
        <v>46044</v>
      </c>
      <c r="R1218" s="8">
        <v>0</v>
      </c>
      <c r="S1218" s="7">
        <v>46049</v>
      </c>
      <c r="U1218" s="8">
        <v>0</v>
      </c>
      <c r="V1218" s="7">
        <v>46056</v>
      </c>
      <c r="X1218" s="8">
        <v>0</v>
      </c>
      <c r="Z1218" s="8">
        <v>0</v>
      </c>
      <c r="AA1218" s="7">
        <v>46072</v>
      </c>
      <c r="AC1218" s="8">
        <v>0</v>
      </c>
      <c r="AE1218" s="7">
        <v>46077</v>
      </c>
      <c r="AF1218" s="8">
        <v>0</v>
      </c>
      <c r="AH1218" s="7">
        <v>46094</v>
      </c>
      <c r="AN1218" s="8">
        <v>0</v>
      </c>
      <c r="AO1218" s="8">
        <v>20</v>
      </c>
    </row>
    <row r="1219" spans="1:41" x14ac:dyDescent="0.25">
      <c r="A1219" s="6" t="str">
        <f t="shared" si="355"/>
        <v>521-2026000044</v>
      </c>
      <c r="B1219" s="6" t="str">
        <f t="shared" si="367"/>
        <v>TEKLA AP</v>
      </c>
      <c r="C1219" s="7">
        <v>46044</v>
      </c>
      <c r="D1219" s="7">
        <v>46044</v>
      </c>
      <c r="E1219" s="8">
        <v>33</v>
      </c>
      <c r="F1219" s="6" t="str">
        <f t="shared" ref="F1219:F1250" si="369">"PO10000519 - STRIPES"</f>
        <v>PO10000519 - STRIPES</v>
      </c>
      <c r="G1219" s="6" t="str">
        <f t="shared" ref="G1219:G1225" si="370">"R330376138500000"</f>
        <v>R330376138500000</v>
      </c>
      <c r="H1219" s="6" t="str">
        <f t="shared" ref="H1219:H1225" si="371">"R 3761 - PLA P 2803"</f>
        <v>R 3761 - PLA P 2803</v>
      </c>
      <c r="I1219" s="6" t="str">
        <f>"202953"</f>
        <v>202953</v>
      </c>
      <c r="J1219" s="6" t="str">
        <f>"BEGE 2953"</f>
        <v>BEGE 2953</v>
      </c>
      <c r="K1219" s="6" t="str">
        <f>"5004"</f>
        <v>5004</v>
      </c>
      <c r="L1219" s="6" t="str">
        <f t="shared" si="368"/>
        <v>Roupões Adulto</v>
      </c>
      <c r="M1219" s="6" t="str">
        <f>"M"</f>
        <v>M</v>
      </c>
      <c r="N1219" s="6" t="str">
        <f>"5740014915680"</f>
        <v>5740014915680</v>
      </c>
      <c r="O1219" s="8">
        <v>20</v>
      </c>
      <c r="P1219" s="7">
        <v>46044</v>
      </c>
      <c r="R1219" s="8">
        <v>0</v>
      </c>
      <c r="S1219" s="7">
        <v>46049</v>
      </c>
      <c r="U1219" s="8">
        <v>0</v>
      </c>
      <c r="V1219" s="7">
        <v>46056</v>
      </c>
      <c r="X1219" s="8">
        <v>0</v>
      </c>
      <c r="Z1219" s="8">
        <v>0</v>
      </c>
      <c r="AA1219" s="7">
        <v>46072</v>
      </c>
      <c r="AC1219" s="8">
        <v>0</v>
      </c>
      <c r="AE1219" s="7">
        <v>46077</v>
      </c>
      <c r="AF1219" s="8">
        <v>0</v>
      </c>
      <c r="AH1219" s="7">
        <v>46094</v>
      </c>
      <c r="AN1219" s="8">
        <v>0</v>
      </c>
      <c r="AO1219" s="8">
        <v>20</v>
      </c>
    </row>
    <row r="1220" spans="1:41" x14ac:dyDescent="0.25">
      <c r="A1220" s="6" t="str">
        <f t="shared" si="355"/>
        <v>521-2026000044</v>
      </c>
      <c r="B1220" s="6" t="str">
        <f t="shared" si="367"/>
        <v>TEKLA AP</v>
      </c>
      <c r="C1220" s="7">
        <v>46044</v>
      </c>
      <c r="D1220" s="7">
        <v>46044</v>
      </c>
      <c r="E1220" s="8">
        <v>34</v>
      </c>
      <c r="F1220" s="6" t="str">
        <f t="shared" si="369"/>
        <v>PO10000519 - STRIPES</v>
      </c>
      <c r="G1220" s="6" t="str">
        <f t="shared" si="370"/>
        <v>R330376138500000</v>
      </c>
      <c r="H1220" s="6" t="str">
        <f t="shared" si="371"/>
        <v>R 3761 - PLA P 2803</v>
      </c>
      <c r="I1220" s="6" t="str">
        <f>"202953"</f>
        <v>202953</v>
      </c>
      <c r="J1220" s="6" t="str">
        <f>"BEGE 2953"</f>
        <v>BEGE 2953</v>
      </c>
      <c r="K1220" s="6" t="str">
        <f>"5002"</f>
        <v>5002</v>
      </c>
      <c r="L1220" s="6" t="str">
        <f t="shared" si="368"/>
        <v>Roupões Adulto</v>
      </c>
      <c r="M1220" s="6" t="str">
        <f>"S"</f>
        <v>S</v>
      </c>
      <c r="N1220" s="6" t="str">
        <f>"5740014915697"</f>
        <v>5740014915697</v>
      </c>
      <c r="O1220" s="8">
        <v>35</v>
      </c>
      <c r="P1220" s="7">
        <v>46044</v>
      </c>
      <c r="R1220" s="8">
        <v>0</v>
      </c>
      <c r="S1220" s="7">
        <v>46049</v>
      </c>
      <c r="U1220" s="8">
        <v>0</v>
      </c>
      <c r="V1220" s="7">
        <v>46056</v>
      </c>
      <c r="X1220" s="8">
        <v>0</v>
      </c>
      <c r="Z1220" s="8">
        <v>0</v>
      </c>
      <c r="AA1220" s="7">
        <v>46072</v>
      </c>
      <c r="AC1220" s="8">
        <v>0</v>
      </c>
      <c r="AE1220" s="7">
        <v>46077</v>
      </c>
      <c r="AF1220" s="8">
        <v>0</v>
      </c>
      <c r="AH1220" s="7">
        <v>46094</v>
      </c>
      <c r="AN1220" s="8">
        <v>0</v>
      </c>
      <c r="AO1220" s="8">
        <v>35</v>
      </c>
    </row>
    <row r="1221" spans="1:41" x14ac:dyDescent="0.25">
      <c r="A1221" s="6" t="str">
        <f t="shared" si="355"/>
        <v>521-2026000044</v>
      </c>
      <c r="B1221" s="6" t="str">
        <f t="shared" si="367"/>
        <v>TEKLA AP</v>
      </c>
      <c r="C1221" s="7">
        <v>46044</v>
      </c>
      <c r="D1221" s="7">
        <v>46044</v>
      </c>
      <c r="E1221" s="8">
        <v>35</v>
      </c>
      <c r="F1221" s="6" t="str">
        <f t="shared" si="369"/>
        <v>PO10000519 - STRIPES</v>
      </c>
      <c r="G1221" s="6" t="str">
        <f t="shared" si="370"/>
        <v>R330376138500000</v>
      </c>
      <c r="H1221" s="6" t="str">
        <f t="shared" si="371"/>
        <v>R 3761 - PLA P 2803</v>
      </c>
      <c r="I1221" s="6" t="str">
        <f>"202953"</f>
        <v>202953</v>
      </c>
      <c r="J1221" s="6" t="str">
        <f>"BEGE 2953"</f>
        <v>BEGE 2953</v>
      </c>
      <c r="K1221" s="6" t="str">
        <f>"5001"</f>
        <v>5001</v>
      </c>
      <c r="L1221" s="6" t="str">
        <f t="shared" si="368"/>
        <v>Roupões Adulto</v>
      </c>
      <c r="M1221" s="6" t="str">
        <f>"XS"</f>
        <v>XS</v>
      </c>
      <c r="N1221" s="6" t="str">
        <f>"5740014915703"</f>
        <v>5740014915703</v>
      </c>
      <c r="O1221" s="8">
        <v>10</v>
      </c>
      <c r="P1221" s="7">
        <v>46044</v>
      </c>
      <c r="R1221" s="8">
        <v>0</v>
      </c>
      <c r="S1221" s="7">
        <v>46049</v>
      </c>
      <c r="U1221" s="8">
        <v>0</v>
      </c>
      <c r="V1221" s="7">
        <v>46056</v>
      </c>
      <c r="X1221" s="8">
        <v>0</v>
      </c>
      <c r="Z1221" s="8">
        <v>0</v>
      </c>
      <c r="AA1221" s="7">
        <v>46072</v>
      </c>
      <c r="AC1221" s="8">
        <v>0</v>
      </c>
      <c r="AE1221" s="7">
        <v>46077</v>
      </c>
      <c r="AF1221" s="8">
        <v>0</v>
      </c>
      <c r="AH1221" s="7">
        <v>46094</v>
      </c>
      <c r="AN1221" s="8">
        <v>0</v>
      </c>
      <c r="AO1221" s="8">
        <v>10</v>
      </c>
    </row>
    <row r="1222" spans="1:41" x14ac:dyDescent="0.25">
      <c r="A1222" s="6" t="str">
        <f t="shared" si="355"/>
        <v>521-2026000044</v>
      </c>
      <c r="B1222" s="6" t="str">
        <f t="shared" si="367"/>
        <v>TEKLA AP</v>
      </c>
      <c r="C1222" s="7">
        <v>46044</v>
      </c>
      <c r="D1222" s="7">
        <v>46044</v>
      </c>
      <c r="E1222" s="8">
        <v>36</v>
      </c>
      <c r="F1222" s="6" t="str">
        <f t="shared" si="369"/>
        <v>PO10000519 - STRIPES</v>
      </c>
      <c r="G1222" s="6" t="str">
        <f t="shared" si="370"/>
        <v>R330376138500000</v>
      </c>
      <c r="H1222" s="6" t="str">
        <f t="shared" si="371"/>
        <v>R 3761 - PLA P 2803</v>
      </c>
      <c r="I1222" s="6" t="str">
        <f>"204355"</f>
        <v>204355</v>
      </c>
      <c r="J1222" s="6" t="str">
        <f>"VERDE 4355"</f>
        <v>VERDE 4355</v>
      </c>
      <c r="K1222" s="6" t="str">
        <f>"5008"</f>
        <v>5008</v>
      </c>
      <c r="L1222" s="6" t="str">
        <f t="shared" si="368"/>
        <v>Roupões Adulto</v>
      </c>
      <c r="M1222" s="6" t="str">
        <f>"XL"</f>
        <v>XL</v>
      </c>
      <c r="N1222" s="6" t="str">
        <f>"5740014915567"</f>
        <v>5740014915567</v>
      </c>
      <c r="O1222" s="8">
        <v>10</v>
      </c>
      <c r="P1222" s="7">
        <v>46044</v>
      </c>
      <c r="R1222" s="8">
        <v>0</v>
      </c>
      <c r="S1222" s="7">
        <v>46049</v>
      </c>
      <c r="U1222" s="8">
        <v>0</v>
      </c>
      <c r="V1222" s="7">
        <v>46056</v>
      </c>
      <c r="X1222" s="8">
        <v>0</v>
      </c>
      <c r="Z1222" s="8">
        <v>0</v>
      </c>
      <c r="AA1222" s="7">
        <v>46072</v>
      </c>
      <c r="AC1222" s="8">
        <v>0</v>
      </c>
      <c r="AE1222" s="7">
        <v>46077</v>
      </c>
      <c r="AF1222" s="8">
        <v>0</v>
      </c>
      <c r="AH1222" s="7">
        <v>46094</v>
      </c>
      <c r="AN1222" s="8">
        <v>0</v>
      </c>
      <c r="AO1222" s="8">
        <v>10</v>
      </c>
    </row>
    <row r="1223" spans="1:41" x14ac:dyDescent="0.25">
      <c r="A1223" s="6" t="str">
        <f t="shared" si="355"/>
        <v>521-2026000044</v>
      </c>
      <c r="B1223" s="6" t="str">
        <f t="shared" si="367"/>
        <v>TEKLA AP</v>
      </c>
      <c r="C1223" s="7">
        <v>46044</v>
      </c>
      <c r="D1223" s="7">
        <v>46044</v>
      </c>
      <c r="E1223" s="8">
        <v>37</v>
      </c>
      <c r="F1223" s="6" t="str">
        <f t="shared" si="369"/>
        <v>PO10000519 - STRIPES</v>
      </c>
      <c r="G1223" s="6" t="str">
        <f t="shared" si="370"/>
        <v>R330376138500000</v>
      </c>
      <c r="H1223" s="6" t="str">
        <f t="shared" si="371"/>
        <v>R 3761 - PLA P 2803</v>
      </c>
      <c r="I1223" s="6" t="str">
        <f>"204355"</f>
        <v>204355</v>
      </c>
      <c r="J1223" s="6" t="str">
        <f>"VERDE 4355"</f>
        <v>VERDE 4355</v>
      </c>
      <c r="K1223" s="6" t="str">
        <f>"5006"</f>
        <v>5006</v>
      </c>
      <c r="L1223" s="6" t="str">
        <f t="shared" si="368"/>
        <v>Roupões Adulto</v>
      </c>
      <c r="M1223" s="6" t="str">
        <f>"L"</f>
        <v>L</v>
      </c>
      <c r="N1223" s="6" t="str">
        <f>"5740014915574"</f>
        <v>5740014915574</v>
      </c>
      <c r="O1223" s="8">
        <v>20</v>
      </c>
      <c r="P1223" s="7">
        <v>46044</v>
      </c>
      <c r="R1223" s="8">
        <v>0</v>
      </c>
      <c r="S1223" s="7">
        <v>46049</v>
      </c>
      <c r="U1223" s="8">
        <v>0</v>
      </c>
      <c r="V1223" s="7">
        <v>46056</v>
      </c>
      <c r="X1223" s="8">
        <v>0</v>
      </c>
      <c r="Z1223" s="8">
        <v>0</v>
      </c>
      <c r="AA1223" s="7">
        <v>46072</v>
      </c>
      <c r="AC1223" s="8">
        <v>0</v>
      </c>
      <c r="AE1223" s="7">
        <v>46077</v>
      </c>
      <c r="AF1223" s="8">
        <v>0</v>
      </c>
      <c r="AH1223" s="7">
        <v>46094</v>
      </c>
      <c r="AN1223" s="8">
        <v>0</v>
      </c>
      <c r="AO1223" s="8">
        <v>20</v>
      </c>
    </row>
    <row r="1224" spans="1:41" x14ac:dyDescent="0.25">
      <c r="A1224" s="6" t="str">
        <f t="shared" si="355"/>
        <v>521-2026000044</v>
      </c>
      <c r="B1224" s="6" t="str">
        <f t="shared" si="367"/>
        <v>TEKLA AP</v>
      </c>
      <c r="C1224" s="7">
        <v>46044</v>
      </c>
      <c r="D1224" s="7">
        <v>46044</v>
      </c>
      <c r="E1224" s="8">
        <v>38</v>
      </c>
      <c r="F1224" s="6" t="str">
        <f t="shared" si="369"/>
        <v>PO10000519 - STRIPES</v>
      </c>
      <c r="G1224" s="6" t="str">
        <f t="shared" si="370"/>
        <v>R330376138500000</v>
      </c>
      <c r="H1224" s="6" t="str">
        <f t="shared" si="371"/>
        <v>R 3761 - PLA P 2803</v>
      </c>
      <c r="I1224" s="6" t="str">
        <f>"204355"</f>
        <v>204355</v>
      </c>
      <c r="J1224" s="6" t="str">
        <f>"VERDE 4355"</f>
        <v>VERDE 4355</v>
      </c>
      <c r="K1224" s="6" t="str">
        <f>"5004"</f>
        <v>5004</v>
      </c>
      <c r="L1224" s="6" t="str">
        <f t="shared" si="368"/>
        <v>Roupões Adulto</v>
      </c>
      <c r="M1224" s="6" t="str">
        <f>"M"</f>
        <v>M</v>
      </c>
      <c r="N1224" s="6" t="str">
        <f>"5740014915581"</f>
        <v>5740014915581</v>
      </c>
      <c r="O1224" s="8">
        <v>20</v>
      </c>
      <c r="P1224" s="7">
        <v>46044</v>
      </c>
      <c r="R1224" s="8">
        <v>0</v>
      </c>
      <c r="S1224" s="7">
        <v>46049</v>
      </c>
      <c r="U1224" s="8">
        <v>0</v>
      </c>
      <c r="V1224" s="7">
        <v>46056</v>
      </c>
      <c r="X1224" s="8">
        <v>0</v>
      </c>
      <c r="Z1224" s="8">
        <v>0</v>
      </c>
      <c r="AA1224" s="7">
        <v>46072</v>
      </c>
      <c r="AC1224" s="8">
        <v>0</v>
      </c>
      <c r="AE1224" s="7">
        <v>46077</v>
      </c>
      <c r="AF1224" s="8">
        <v>0</v>
      </c>
      <c r="AH1224" s="7">
        <v>46094</v>
      </c>
      <c r="AN1224" s="8">
        <v>0</v>
      </c>
      <c r="AO1224" s="8">
        <v>20</v>
      </c>
    </row>
    <row r="1225" spans="1:41" x14ac:dyDescent="0.25">
      <c r="A1225" s="6" t="str">
        <f t="shared" si="355"/>
        <v>521-2026000044</v>
      </c>
      <c r="B1225" s="6" t="str">
        <f t="shared" si="367"/>
        <v>TEKLA AP</v>
      </c>
      <c r="C1225" s="7">
        <v>46044</v>
      </c>
      <c r="D1225" s="7">
        <v>46044</v>
      </c>
      <c r="E1225" s="8">
        <v>39</v>
      </c>
      <c r="F1225" s="6" t="str">
        <f t="shared" si="369"/>
        <v>PO10000519 - STRIPES</v>
      </c>
      <c r="G1225" s="6" t="str">
        <f t="shared" si="370"/>
        <v>R330376138500000</v>
      </c>
      <c r="H1225" s="6" t="str">
        <f t="shared" si="371"/>
        <v>R 3761 - PLA P 2803</v>
      </c>
      <c r="I1225" s="6" t="str">
        <f>"204355"</f>
        <v>204355</v>
      </c>
      <c r="J1225" s="6" t="str">
        <f>"VERDE 4355"</f>
        <v>VERDE 4355</v>
      </c>
      <c r="K1225" s="6" t="str">
        <f>"5010"</f>
        <v>5010</v>
      </c>
      <c r="L1225" s="6" t="str">
        <f t="shared" si="368"/>
        <v>Roupões Adulto</v>
      </c>
      <c r="M1225" s="6" t="str">
        <f>"XXL"</f>
        <v>XXL</v>
      </c>
      <c r="N1225" s="6" t="str">
        <f>"5740014941375"</f>
        <v>5740014941375</v>
      </c>
      <c r="O1225" s="8">
        <v>5</v>
      </c>
      <c r="P1225" s="7">
        <v>46044</v>
      </c>
      <c r="R1225" s="8">
        <v>0</v>
      </c>
      <c r="S1225" s="7">
        <v>46049</v>
      </c>
      <c r="U1225" s="8">
        <v>0</v>
      </c>
      <c r="V1225" s="7">
        <v>46056</v>
      </c>
      <c r="X1225" s="8">
        <v>0</v>
      </c>
      <c r="Z1225" s="8">
        <v>0</v>
      </c>
      <c r="AA1225" s="7">
        <v>46072</v>
      </c>
      <c r="AC1225" s="8">
        <v>0</v>
      </c>
      <c r="AE1225" s="7">
        <v>46077</v>
      </c>
      <c r="AF1225" s="8">
        <v>0</v>
      </c>
      <c r="AH1225" s="7">
        <v>46094</v>
      </c>
      <c r="AN1225" s="8">
        <v>0</v>
      </c>
      <c r="AO1225" s="8">
        <v>5</v>
      </c>
    </row>
    <row r="1226" spans="1:41" x14ac:dyDescent="0.25">
      <c r="A1226" s="6" t="str">
        <f t="shared" ref="A1226:A1256" si="372">"521-2026000045"</f>
        <v>521-2026000045</v>
      </c>
      <c r="B1226" s="6" t="str">
        <f t="shared" si="367"/>
        <v>TEKLA AP</v>
      </c>
      <c r="C1226" s="7">
        <v>46044</v>
      </c>
      <c r="D1226" s="7">
        <v>46044</v>
      </c>
      <c r="E1226" s="8">
        <v>1</v>
      </c>
      <c r="F1226" s="6" t="str">
        <f t="shared" si="369"/>
        <v>PO10000519 - STRIPES</v>
      </c>
      <c r="G1226" s="6" t="str">
        <f>"R330375838500000"</f>
        <v>R330375838500000</v>
      </c>
      <c r="H1226" s="6" t="str">
        <f>"R 3758 - PLA P 2802"</f>
        <v>R 3758 - PLA P 2802</v>
      </c>
      <c r="I1226" s="6" t="str">
        <f>"202861"</f>
        <v>202861</v>
      </c>
      <c r="J1226" s="6" t="str">
        <f>"CINZA 2861"</f>
        <v>CINZA 2861</v>
      </c>
      <c r="K1226" s="6" t="str">
        <f>"5006"</f>
        <v>5006</v>
      </c>
      <c r="L1226" s="6" t="str">
        <f t="shared" si="368"/>
        <v>Roupões Adulto</v>
      </c>
      <c r="M1226" s="6" t="str">
        <f>"L"</f>
        <v>L</v>
      </c>
      <c r="N1226" s="6" t="str">
        <f>"5740014916571"</f>
        <v>5740014916571</v>
      </c>
      <c r="O1226" s="8">
        <v>15</v>
      </c>
      <c r="P1226" s="7">
        <v>46044</v>
      </c>
      <c r="R1226" s="8">
        <v>0</v>
      </c>
      <c r="S1226" s="7">
        <v>46049</v>
      </c>
      <c r="U1226" s="8">
        <v>0</v>
      </c>
      <c r="V1226" s="7">
        <v>46056</v>
      </c>
      <c r="X1226" s="8">
        <v>0</v>
      </c>
      <c r="Z1226" s="8">
        <v>0</v>
      </c>
      <c r="AA1226" s="7">
        <v>46072</v>
      </c>
      <c r="AC1226" s="8">
        <v>0</v>
      </c>
      <c r="AE1226" s="7">
        <v>46077</v>
      </c>
      <c r="AF1226" s="8">
        <v>0</v>
      </c>
      <c r="AH1226" s="7">
        <v>46094</v>
      </c>
      <c r="AN1226" s="8">
        <v>0</v>
      </c>
      <c r="AO1226" s="8">
        <v>15</v>
      </c>
    </row>
    <row r="1227" spans="1:41" x14ac:dyDescent="0.25">
      <c r="A1227" s="6" t="str">
        <f t="shared" si="372"/>
        <v>521-2026000045</v>
      </c>
      <c r="B1227" s="6" t="str">
        <f t="shared" si="367"/>
        <v>TEKLA AP</v>
      </c>
      <c r="C1227" s="7">
        <v>46044</v>
      </c>
      <c r="D1227" s="7">
        <v>46044</v>
      </c>
      <c r="E1227" s="8">
        <v>2</v>
      </c>
      <c r="F1227" s="6" t="str">
        <f t="shared" si="369"/>
        <v>PO10000519 - STRIPES</v>
      </c>
      <c r="G1227" s="6" t="str">
        <f>"R330375838500000"</f>
        <v>R330375838500000</v>
      </c>
      <c r="H1227" s="6" t="str">
        <f>"R 3758 - PLA P 2802"</f>
        <v>R 3758 - PLA P 2802</v>
      </c>
      <c r="I1227" s="6" t="str">
        <f>"202861"</f>
        <v>202861</v>
      </c>
      <c r="J1227" s="6" t="str">
        <f>"CINZA 2861"</f>
        <v>CINZA 2861</v>
      </c>
      <c r="K1227" s="6" t="str">
        <f>"5004"</f>
        <v>5004</v>
      </c>
      <c r="L1227" s="6" t="str">
        <f t="shared" si="368"/>
        <v>Roupões Adulto</v>
      </c>
      <c r="M1227" s="6" t="str">
        <f>"M"</f>
        <v>M</v>
      </c>
      <c r="N1227" s="6" t="str">
        <f>"5740014916588"</f>
        <v>5740014916588</v>
      </c>
      <c r="O1227" s="8">
        <v>10</v>
      </c>
      <c r="P1227" s="7">
        <v>46044</v>
      </c>
      <c r="R1227" s="8">
        <v>0</v>
      </c>
      <c r="S1227" s="7">
        <v>46049</v>
      </c>
      <c r="U1227" s="8">
        <v>0</v>
      </c>
      <c r="V1227" s="7">
        <v>46056</v>
      </c>
      <c r="X1227" s="8">
        <v>0</v>
      </c>
      <c r="Z1227" s="8">
        <v>0</v>
      </c>
      <c r="AA1227" s="7">
        <v>46072</v>
      </c>
      <c r="AC1227" s="8">
        <v>0</v>
      </c>
      <c r="AE1227" s="7">
        <v>46077</v>
      </c>
      <c r="AF1227" s="8">
        <v>0</v>
      </c>
      <c r="AH1227" s="7">
        <v>46094</v>
      </c>
      <c r="AN1227" s="8">
        <v>0</v>
      </c>
      <c r="AO1227" s="8">
        <v>10</v>
      </c>
    </row>
    <row r="1228" spans="1:41" x14ac:dyDescent="0.25">
      <c r="A1228" s="6" t="str">
        <f t="shared" si="372"/>
        <v>521-2026000045</v>
      </c>
      <c r="B1228" s="6" t="str">
        <f t="shared" si="367"/>
        <v>TEKLA AP</v>
      </c>
      <c r="C1228" s="7">
        <v>46044</v>
      </c>
      <c r="D1228" s="7">
        <v>46044</v>
      </c>
      <c r="E1228" s="8">
        <v>3</v>
      </c>
      <c r="F1228" s="6" t="str">
        <f t="shared" si="369"/>
        <v>PO10000519 - STRIPES</v>
      </c>
      <c r="G1228" s="6" t="str">
        <f>"R330372738500000"</f>
        <v>R330372738500000</v>
      </c>
      <c r="H1228" s="6" t="str">
        <f>"R 3727 - PLA P 2802"</f>
        <v>R 3727 - PLA P 2802</v>
      </c>
      <c r="I1228" s="6" t="str">
        <f>"204034"</f>
        <v>204034</v>
      </c>
      <c r="J1228" s="6" t="str">
        <f>"AZUL 4034"</f>
        <v>AZUL 4034</v>
      </c>
      <c r="K1228" s="6" t="str">
        <f>"5249"</f>
        <v>5249</v>
      </c>
      <c r="L1228" s="6" t="str">
        <f t="shared" ref="L1228:L1233" si="373">"Roupões Criança"</f>
        <v>Roupões Criança</v>
      </c>
      <c r="M1228" s="6" t="str">
        <f>"1/2 Anos"</f>
        <v>1/2 Anos</v>
      </c>
      <c r="N1228" s="6" t="str">
        <f>"5744001085936"</f>
        <v>5744001085936</v>
      </c>
      <c r="O1228" s="8">
        <v>10</v>
      </c>
      <c r="P1228" s="7">
        <v>46044</v>
      </c>
      <c r="R1228" s="8">
        <v>0</v>
      </c>
      <c r="S1228" s="7">
        <v>46049</v>
      </c>
      <c r="U1228" s="8">
        <v>0</v>
      </c>
      <c r="V1228" s="7">
        <v>46056</v>
      </c>
      <c r="X1228" s="8">
        <v>0</v>
      </c>
      <c r="Z1228" s="8">
        <v>0</v>
      </c>
      <c r="AA1228" s="7">
        <v>46072</v>
      </c>
      <c r="AC1228" s="8">
        <v>0</v>
      </c>
      <c r="AE1228" s="7">
        <v>46077</v>
      </c>
      <c r="AF1228" s="8">
        <v>0</v>
      </c>
      <c r="AH1228" s="7">
        <v>46094</v>
      </c>
      <c r="AN1228" s="8">
        <v>0</v>
      </c>
      <c r="AO1228" s="8">
        <v>10</v>
      </c>
    </row>
    <row r="1229" spans="1:41" x14ac:dyDescent="0.25">
      <c r="A1229" s="6" t="str">
        <f t="shared" si="372"/>
        <v>521-2026000045</v>
      </c>
      <c r="B1229" s="6" t="str">
        <f t="shared" si="367"/>
        <v>TEKLA AP</v>
      </c>
      <c r="C1229" s="7">
        <v>46044</v>
      </c>
      <c r="D1229" s="7">
        <v>46044</v>
      </c>
      <c r="E1229" s="8">
        <v>4</v>
      </c>
      <c r="F1229" s="6" t="str">
        <f t="shared" si="369"/>
        <v>PO10000519 - STRIPES</v>
      </c>
      <c r="G1229" s="6" t="str">
        <f>"R330372738500000"</f>
        <v>R330372738500000</v>
      </c>
      <c r="H1229" s="6" t="str">
        <f>"R 3727 - PLA P 2802"</f>
        <v>R 3727 - PLA P 2802</v>
      </c>
      <c r="I1229" s="6" t="str">
        <f>"204034"</f>
        <v>204034</v>
      </c>
      <c r="J1229" s="6" t="str">
        <f>"AZUL 4034"</f>
        <v>AZUL 4034</v>
      </c>
      <c r="K1229" s="6" t="str">
        <f>"5252"</f>
        <v>5252</v>
      </c>
      <c r="L1229" s="6" t="str">
        <f t="shared" si="373"/>
        <v>Roupões Criança</v>
      </c>
      <c r="M1229" s="6" t="str">
        <f>"3/4 Anos"</f>
        <v>3/4 Anos</v>
      </c>
      <c r="N1229" s="6" t="str">
        <f>"5744001085943"</f>
        <v>5744001085943</v>
      </c>
      <c r="O1229" s="8">
        <v>20</v>
      </c>
      <c r="P1229" s="7">
        <v>46044</v>
      </c>
      <c r="R1229" s="8">
        <v>0</v>
      </c>
      <c r="S1229" s="7">
        <v>46049</v>
      </c>
      <c r="U1229" s="8">
        <v>0</v>
      </c>
      <c r="V1229" s="7">
        <v>46056</v>
      </c>
      <c r="X1229" s="8">
        <v>0</v>
      </c>
      <c r="Z1229" s="8">
        <v>0</v>
      </c>
      <c r="AA1229" s="7">
        <v>46072</v>
      </c>
      <c r="AC1229" s="8">
        <v>0</v>
      </c>
      <c r="AE1229" s="7">
        <v>46077</v>
      </c>
      <c r="AF1229" s="8">
        <v>0</v>
      </c>
      <c r="AH1229" s="7">
        <v>46094</v>
      </c>
      <c r="AN1229" s="8">
        <v>0</v>
      </c>
      <c r="AO1229" s="8">
        <v>20</v>
      </c>
    </row>
    <row r="1230" spans="1:41" x14ac:dyDescent="0.25">
      <c r="A1230" s="6" t="str">
        <f t="shared" si="372"/>
        <v>521-2026000045</v>
      </c>
      <c r="B1230" s="6" t="str">
        <f t="shared" si="367"/>
        <v>TEKLA AP</v>
      </c>
      <c r="C1230" s="7">
        <v>46044</v>
      </c>
      <c r="D1230" s="7">
        <v>46044</v>
      </c>
      <c r="E1230" s="8">
        <v>5</v>
      </c>
      <c r="F1230" s="6" t="str">
        <f t="shared" si="369"/>
        <v>PO10000519 - STRIPES</v>
      </c>
      <c r="G1230" s="6" t="str">
        <f>"R330374638500000"</f>
        <v>R330374638500000</v>
      </c>
      <c r="H1230" s="6" t="str">
        <f>"R 3746 - PLA P 2803"</f>
        <v>R 3746 - PLA P 2803</v>
      </c>
      <c r="I1230" s="6" t="str">
        <f>"202953"</f>
        <v>202953</v>
      </c>
      <c r="J1230" s="6" t="str">
        <f>"BEGE 2953"</f>
        <v>BEGE 2953</v>
      </c>
      <c r="K1230" s="6" t="str">
        <f>"5249"</f>
        <v>5249</v>
      </c>
      <c r="L1230" s="6" t="str">
        <f t="shared" si="373"/>
        <v>Roupões Criança</v>
      </c>
      <c r="M1230" s="6" t="str">
        <f>"1/2 Anos"</f>
        <v>1/2 Anos</v>
      </c>
      <c r="N1230" s="6" t="str">
        <f>"5740014939532"</f>
        <v>5740014939532</v>
      </c>
      <c r="O1230" s="8">
        <v>20</v>
      </c>
      <c r="P1230" s="7">
        <v>46044</v>
      </c>
      <c r="R1230" s="8">
        <v>0</v>
      </c>
      <c r="S1230" s="7">
        <v>46049</v>
      </c>
      <c r="U1230" s="8">
        <v>0</v>
      </c>
      <c r="V1230" s="7">
        <v>46056</v>
      </c>
      <c r="X1230" s="8">
        <v>0</v>
      </c>
      <c r="Z1230" s="8">
        <v>0</v>
      </c>
      <c r="AA1230" s="7">
        <v>46072</v>
      </c>
      <c r="AC1230" s="8">
        <v>0</v>
      </c>
      <c r="AE1230" s="7">
        <v>46077</v>
      </c>
      <c r="AF1230" s="8">
        <v>0</v>
      </c>
      <c r="AH1230" s="7">
        <v>46094</v>
      </c>
      <c r="AN1230" s="8">
        <v>0</v>
      </c>
      <c r="AO1230" s="8">
        <v>20</v>
      </c>
    </row>
    <row r="1231" spans="1:41" x14ac:dyDescent="0.25">
      <c r="A1231" s="6" t="str">
        <f t="shared" si="372"/>
        <v>521-2026000045</v>
      </c>
      <c r="B1231" s="6" t="str">
        <f t="shared" si="367"/>
        <v>TEKLA AP</v>
      </c>
      <c r="C1231" s="7">
        <v>46044</v>
      </c>
      <c r="D1231" s="7">
        <v>46044</v>
      </c>
      <c r="E1231" s="8">
        <v>6</v>
      </c>
      <c r="F1231" s="6" t="str">
        <f t="shared" si="369"/>
        <v>PO10000519 - STRIPES</v>
      </c>
      <c r="G1231" s="6" t="str">
        <f>"R330374638500000"</f>
        <v>R330374638500000</v>
      </c>
      <c r="H1231" s="6" t="str">
        <f>"R 3746 - PLA P 2803"</f>
        <v>R 3746 - PLA P 2803</v>
      </c>
      <c r="I1231" s="6" t="str">
        <f>"202953"</f>
        <v>202953</v>
      </c>
      <c r="J1231" s="6" t="str">
        <f>"BEGE 2953"</f>
        <v>BEGE 2953</v>
      </c>
      <c r="K1231" s="6" t="str">
        <f>"5252"</f>
        <v>5252</v>
      </c>
      <c r="L1231" s="6" t="str">
        <f t="shared" si="373"/>
        <v>Roupões Criança</v>
      </c>
      <c r="M1231" s="6" t="str">
        <f>"3/4 Anos"</f>
        <v>3/4 Anos</v>
      </c>
      <c r="N1231" s="6" t="str">
        <f>"5740014939549"</f>
        <v>5740014939549</v>
      </c>
      <c r="O1231" s="8">
        <v>10</v>
      </c>
      <c r="P1231" s="7">
        <v>46044</v>
      </c>
      <c r="R1231" s="8">
        <v>0</v>
      </c>
      <c r="S1231" s="7">
        <v>46049</v>
      </c>
      <c r="U1231" s="8">
        <v>0</v>
      </c>
      <c r="V1231" s="7">
        <v>46056</v>
      </c>
      <c r="X1231" s="8">
        <v>0</v>
      </c>
      <c r="Z1231" s="8">
        <v>0</v>
      </c>
      <c r="AA1231" s="7">
        <v>46072</v>
      </c>
      <c r="AC1231" s="8">
        <v>0</v>
      </c>
      <c r="AE1231" s="7">
        <v>46077</v>
      </c>
      <c r="AF1231" s="8">
        <v>0</v>
      </c>
      <c r="AH1231" s="7">
        <v>46094</v>
      </c>
      <c r="AN1231" s="8">
        <v>0</v>
      </c>
      <c r="AO1231" s="8">
        <v>10</v>
      </c>
    </row>
    <row r="1232" spans="1:41" x14ac:dyDescent="0.25">
      <c r="A1232" s="6" t="str">
        <f t="shared" si="372"/>
        <v>521-2026000045</v>
      </c>
      <c r="B1232" s="6" t="str">
        <f t="shared" si="367"/>
        <v>TEKLA AP</v>
      </c>
      <c r="C1232" s="7">
        <v>46044</v>
      </c>
      <c r="D1232" s="7">
        <v>46044</v>
      </c>
      <c r="E1232" s="8">
        <v>7</v>
      </c>
      <c r="F1232" s="6" t="str">
        <f t="shared" si="369"/>
        <v>PO10000519 - STRIPES</v>
      </c>
      <c r="G1232" s="6" t="str">
        <f>"R330374638500000"</f>
        <v>R330374638500000</v>
      </c>
      <c r="H1232" s="6" t="str">
        <f>"R 3746 - PLA P 2803"</f>
        <v>R 3746 - PLA P 2803</v>
      </c>
      <c r="I1232" s="6" t="str">
        <f>"202953"</f>
        <v>202953</v>
      </c>
      <c r="J1232" s="6" t="str">
        <f>"BEGE 2953"</f>
        <v>BEGE 2953</v>
      </c>
      <c r="K1232" s="6" t="str">
        <f>"5269"</f>
        <v>5269</v>
      </c>
      <c r="L1232" s="6" t="str">
        <f t="shared" si="373"/>
        <v>Roupões Criança</v>
      </c>
      <c r="M1232" s="6" t="str">
        <f>"9/10 Anos"</f>
        <v>9/10 Anos</v>
      </c>
      <c r="N1232" s="6" t="str">
        <f>"5740014939785"</f>
        <v>5740014939785</v>
      </c>
      <c r="O1232" s="8">
        <v>10</v>
      </c>
      <c r="P1232" s="7">
        <v>46044</v>
      </c>
      <c r="R1232" s="8">
        <v>0</v>
      </c>
      <c r="S1232" s="7">
        <v>46049</v>
      </c>
      <c r="U1232" s="8">
        <v>0</v>
      </c>
      <c r="V1232" s="7">
        <v>46056</v>
      </c>
      <c r="X1232" s="8">
        <v>0</v>
      </c>
      <c r="Z1232" s="8">
        <v>0</v>
      </c>
      <c r="AA1232" s="7">
        <v>46072</v>
      </c>
      <c r="AC1232" s="8">
        <v>0</v>
      </c>
      <c r="AE1232" s="7">
        <v>46077</v>
      </c>
      <c r="AF1232" s="8">
        <v>0</v>
      </c>
      <c r="AH1232" s="7">
        <v>46094</v>
      </c>
      <c r="AN1232" s="8">
        <v>0</v>
      </c>
      <c r="AO1232" s="8">
        <v>10</v>
      </c>
    </row>
    <row r="1233" spans="1:41" x14ac:dyDescent="0.25">
      <c r="A1233" s="6" t="str">
        <f t="shared" si="372"/>
        <v>521-2026000045</v>
      </c>
      <c r="B1233" s="6" t="str">
        <f t="shared" si="367"/>
        <v>TEKLA AP</v>
      </c>
      <c r="C1233" s="7">
        <v>46044</v>
      </c>
      <c r="D1233" s="7">
        <v>46044</v>
      </c>
      <c r="E1233" s="8">
        <v>8</v>
      </c>
      <c r="F1233" s="6" t="str">
        <f t="shared" si="369"/>
        <v>PO10000519 - STRIPES</v>
      </c>
      <c r="G1233" s="6" t="str">
        <f>"R330374638500000"</f>
        <v>R330374638500000</v>
      </c>
      <c r="H1233" s="6" t="str">
        <f>"R 3746 - PLA P 2803"</f>
        <v>R 3746 - PLA P 2803</v>
      </c>
      <c r="I1233" s="6" t="str">
        <f>"204355"</f>
        <v>204355</v>
      </c>
      <c r="J1233" s="6" t="str">
        <f>"VERDE 4355"</f>
        <v>VERDE 4355</v>
      </c>
      <c r="K1233" s="6" t="str">
        <f>"5249"</f>
        <v>5249</v>
      </c>
      <c r="L1233" s="6" t="str">
        <f t="shared" si="373"/>
        <v>Roupões Criança</v>
      </c>
      <c r="M1233" s="6" t="str">
        <f>"1/2 Anos"</f>
        <v>1/2 Anos</v>
      </c>
      <c r="N1233" s="6" t="str">
        <f>"5740014939495"</f>
        <v>5740014939495</v>
      </c>
      <c r="O1233" s="8">
        <v>10</v>
      </c>
      <c r="P1233" s="7">
        <v>46044</v>
      </c>
      <c r="R1233" s="8">
        <v>0</v>
      </c>
      <c r="S1233" s="7">
        <v>46049</v>
      </c>
      <c r="U1233" s="8">
        <v>0</v>
      </c>
      <c r="V1233" s="7">
        <v>46056</v>
      </c>
      <c r="X1233" s="8">
        <v>0</v>
      </c>
      <c r="Z1233" s="8">
        <v>0</v>
      </c>
      <c r="AA1233" s="7">
        <v>46072</v>
      </c>
      <c r="AC1233" s="8">
        <v>0</v>
      </c>
      <c r="AE1233" s="7">
        <v>46077</v>
      </c>
      <c r="AF1233" s="8">
        <v>0</v>
      </c>
      <c r="AH1233" s="7">
        <v>46094</v>
      </c>
      <c r="AN1233" s="8">
        <v>0</v>
      </c>
      <c r="AO1233" s="8">
        <v>10</v>
      </c>
    </row>
    <row r="1234" spans="1:41" x14ac:dyDescent="0.25">
      <c r="A1234" s="6" t="str">
        <f t="shared" si="372"/>
        <v>521-2026000045</v>
      </c>
      <c r="B1234" s="6" t="str">
        <f t="shared" si="367"/>
        <v>TEKLA AP</v>
      </c>
      <c r="C1234" s="7">
        <v>46044</v>
      </c>
      <c r="D1234" s="7">
        <v>46044</v>
      </c>
      <c r="E1234" s="8">
        <v>9</v>
      </c>
      <c r="F1234" s="6" t="str">
        <f t="shared" si="369"/>
        <v>PO10000519 - STRIPES</v>
      </c>
      <c r="G1234" s="6" t="str">
        <f>"R330375638500000"</f>
        <v>R330375638500000</v>
      </c>
      <c r="H1234" s="6" t="str">
        <f>"R 3756 - PLA P 2769"</f>
        <v>R 3756 - PLA P 2769</v>
      </c>
      <c r="I1234" s="6" t="str">
        <f>"202953"</f>
        <v>202953</v>
      </c>
      <c r="J1234" s="6" t="str">
        <f>"BEGE 2953"</f>
        <v>BEGE 2953</v>
      </c>
      <c r="K1234" s="6" t="str">
        <f>"5006"</f>
        <v>5006</v>
      </c>
      <c r="L1234" s="6" t="str">
        <f t="shared" ref="L1234:L1256" si="374">"Roupões Adulto"</f>
        <v>Roupões Adulto</v>
      </c>
      <c r="M1234" s="6" t="str">
        <f>"L"</f>
        <v>L</v>
      </c>
      <c r="N1234" s="6" t="str">
        <f>"5744002054337"</f>
        <v>5744002054337</v>
      </c>
      <c r="O1234" s="8">
        <v>25</v>
      </c>
      <c r="P1234" s="7">
        <v>46044</v>
      </c>
      <c r="R1234" s="8">
        <v>0</v>
      </c>
      <c r="S1234" s="7">
        <v>46049</v>
      </c>
      <c r="U1234" s="8">
        <v>0</v>
      </c>
      <c r="V1234" s="7">
        <v>46056</v>
      </c>
      <c r="X1234" s="8">
        <v>0</v>
      </c>
      <c r="Z1234" s="8">
        <v>0</v>
      </c>
      <c r="AA1234" s="7">
        <v>46072</v>
      </c>
      <c r="AC1234" s="8">
        <v>0</v>
      </c>
      <c r="AE1234" s="7">
        <v>46077</v>
      </c>
      <c r="AF1234" s="8">
        <v>0</v>
      </c>
      <c r="AH1234" s="7">
        <v>46094</v>
      </c>
      <c r="AN1234" s="8">
        <v>0</v>
      </c>
      <c r="AO1234" s="8">
        <v>25</v>
      </c>
    </row>
    <row r="1235" spans="1:41" x14ac:dyDescent="0.25">
      <c r="A1235" s="6" t="str">
        <f t="shared" si="372"/>
        <v>521-2026000045</v>
      </c>
      <c r="B1235" s="6" t="str">
        <f t="shared" si="367"/>
        <v>TEKLA AP</v>
      </c>
      <c r="C1235" s="7">
        <v>46044</v>
      </c>
      <c r="D1235" s="7">
        <v>46044</v>
      </c>
      <c r="E1235" s="8">
        <v>10</v>
      </c>
      <c r="F1235" s="6" t="str">
        <f t="shared" si="369"/>
        <v>PO10000519 - STRIPES</v>
      </c>
      <c r="G1235" s="6" t="str">
        <f>"R330375638500000"</f>
        <v>R330375638500000</v>
      </c>
      <c r="H1235" s="6" t="str">
        <f>"R 3756 - PLA P 2769"</f>
        <v>R 3756 - PLA P 2769</v>
      </c>
      <c r="I1235" s="6" t="str">
        <f>"202953"</f>
        <v>202953</v>
      </c>
      <c r="J1235" s="6" t="str">
        <f>"BEGE 2953"</f>
        <v>BEGE 2953</v>
      </c>
      <c r="K1235" s="6" t="str">
        <f>"5004"</f>
        <v>5004</v>
      </c>
      <c r="L1235" s="6" t="str">
        <f t="shared" si="374"/>
        <v>Roupões Adulto</v>
      </c>
      <c r="M1235" s="6" t="str">
        <f>"M"</f>
        <v>M</v>
      </c>
      <c r="N1235" s="6" t="str">
        <f>"5744002054344"</f>
        <v>5744002054344</v>
      </c>
      <c r="O1235" s="8">
        <v>20</v>
      </c>
      <c r="P1235" s="7">
        <v>46044</v>
      </c>
      <c r="R1235" s="8">
        <v>0</v>
      </c>
      <c r="S1235" s="7">
        <v>46049</v>
      </c>
      <c r="U1235" s="8">
        <v>0</v>
      </c>
      <c r="V1235" s="7">
        <v>46056</v>
      </c>
      <c r="X1235" s="8">
        <v>0</v>
      </c>
      <c r="Z1235" s="8">
        <v>0</v>
      </c>
      <c r="AA1235" s="7">
        <v>46072</v>
      </c>
      <c r="AC1235" s="8">
        <v>0</v>
      </c>
      <c r="AE1235" s="7">
        <v>46077</v>
      </c>
      <c r="AF1235" s="8">
        <v>0</v>
      </c>
      <c r="AH1235" s="7">
        <v>46094</v>
      </c>
      <c r="AN1235" s="8">
        <v>0</v>
      </c>
      <c r="AO1235" s="8">
        <v>20</v>
      </c>
    </row>
    <row r="1236" spans="1:41" x14ac:dyDescent="0.25">
      <c r="A1236" s="6" t="str">
        <f t="shared" si="372"/>
        <v>521-2026000045</v>
      </c>
      <c r="B1236" s="6" t="str">
        <f t="shared" si="367"/>
        <v>TEKLA AP</v>
      </c>
      <c r="C1236" s="7">
        <v>46044</v>
      </c>
      <c r="D1236" s="7">
        <v>46044</v>
      </c>
      <c r="E1236" s="8">
        <v>11</v>
      </c>
      <c r="F1236" s="6" t="str">
        <f t="shared" si="369"/>
        <v>PO10000519 - STRIPES</v>
      </c>
      <c r="G1236" s="6" t="str">
        <f>"R330375638500000"</f>
        <v>R330375638500000</v>
      </c>
      <c r="H1236" s="6" t="str">
        <f>"R 3756 - PLA P 2769"</f>
        <v>R 3756 - PLA P 2769</v>
      </c>
      <c r="I1236" s="6" t="str">
        <f>"202953"</f>
        <v>202953</v>
      </c>
      <c r="J1236" s="6" t="str">
        <f>"BEGE 2953"</f>
        <v>BEGE 2953</v>
      </c>
      <c r="K1236" s="6" t="str">
        <f>"5002"</f>
        <v>5002</v>
      </c>
      <c r="L1236" s="6" t="str">
        <f t="shared" si="374"/>
        <v>Roupões Adulto</v>
      </c>
      <c r="M1236" s="6" t="str">
        <f>"S"</f>
        <v>S</v>
      </c>
      <c r="N1236" s="6" t="str">
        <f>"5744002054351"</f>
        <v>5744002054351</v>
      </c>
      <c r="O1236" s="8">
        <v>15</v>
      </c>
      <c r="P1236" s="7">
        <v>46044</v>
      </c>
      <c r="R1236" s="8">
        <v>0</v>
      </c>
      <c r="S1236" s="7">
        <v>46049</v>
      </c>
      <c r="U1236" s="8">
        <v>0</v>
      </c>
      <c r="V1236" s="7">
        <v>46056</v>
      </c>
      <c r="X1236" s="8">
        <v>0</v>
      </c>
      <c r="Z1236" s="8">
        <v>0</v>
      </c>
      <c r="AA1236" s="7">
        <v>46072</v>
      </c>
      <c r="AC1236" s="8">
        <v>0</v>
      </c>
      <c r="AE1236" s="7">
        <v>46077</v>
      </c>
      <c r="AF1236" s="8">
        <v>0</v>
      </c>
      <c r="AH1236" s="7">
        <v>46094</v>
      </c>
      <c r="AN1236" s="8">
        <v>0</v>
      </c>
      <c r="AO1236" s="8">
        <v>15</v>
      </c>
    </row>
    <row r="1237" spans="1:41" x14ac:dyDescent="0.25">
      <c r="A1237" s="6" t="str">
        <f t="shared" si="372"/>
        <v>521-2026000045</v>
      </c>
      <c r="B1237" s="6" t="str">
        <f t="shared" si="367"/>
        <v>TEKLA AP</v>
      </c>
      <c r="C1237" s="7">
        <v>46044</v>
      </c>
      <c r="D1237" s="7">
        <v>46044</v>
      </c>
      <c r="E1237" s="8">
        <v>12</v>
      </c>
      <c r="F1237" s="6" t="str">
        <f t="shared" si="369"/>
        <v>PO10000519 - STRIPES</v>
      </c>
      <c r="G1237" s="6" t="str">
        <f t="shared" ref="G1237:G1242" si="375">"R330375838500000"</f>
        <v>R330375838500000</v>
      </c>
      <c r="H1237" s="6" t="str">
        <f t="shared" ref="H1237:H1242" si="376">"R 3758 - PLA P 2802"</f>
        <v>R 3758 - PLA P 2802</v>
      </c>
      <c r="I1237" s="6" t="str">
        <f>"204034"</f>
        <v>204034</v>
      </c>
      <c r="J1237" s="6" t="str">
        <f>"AZUL 4034"</f>
        <v>AZUL 4034</v>
      </c>
      <c r="K1237" s="6" t="str">
        <f>"5008"</f>
        <v>5008</v>
      </c>
      <c r="L1237" s="6" t="str">
        <f t="shared" si="374"/>
        <v>Roupões Adulto</v>
      </c>
      <c r="M1237" s="6" t="str">
        <f>"XL"</f>
        <v>XL</v>
      </c>
      <c r="N1237" s="6" t="str">
        <f>"5740014916465"</f>
        <v>5740014916465</v>
      </c>
      <c r="O1237" s="8">
        <v>15</v>
      </c>
      <c r="P1237" s="7">
        <v>46044</v>
      </c>
      <c r="R1237" s="8">
        <v>0</v>
      </c>
      <c r="S1237" s="7">
        <v>46049</v>
      </c>
      <c r="U1237" s="8">
        <v>0</v>
      </c>
      <c r="V1237" s="7">
        <v>46056</v>
      </c>
      <c r="X1237" s="8">
        <v>0</v>
      </c>
      <c r="Z1237" s="8">
        <v>0</v>
      </c>
      <c r="AA1237" s="7">
        <v>46072</v>
      </c>
      <c r="AC1237" s="8">
        <v>0</v>
      </c>
      <c r="AE1237" s="7">
        <v>46077</v>
      </c>
      <c r="AF1237" s="8">
        <v>0</v>
      </c>
      <c r="AH1237" s="7">
        <v>46094</v>
      </c>
      <c r="AN1237" s="8">
        <v>0</v>
      </c>
      <c r="AO1237" s="8">
        <v>15</v>
      </c>
    </row>
    <row r="1238" spans="1:41" x14ac:dyDescent="0.25">
      <c r="A1238" s="6" t="str">
        <f t="shared" si="372"/>
        <v>521-2026000045</v>
      </c>
      <c r="B1238" s="6" t="str">
        <f t="shared" si="367"/>
        <v>TEKLA AP</v>
      </c>
      <c r="C1238" s="7">
        <v>46044</v>
      </c>
      <c r="D1238" s="7">
        <v>46044</v>
      </c>
      <c r="E1238" s="8">
        <v>13</v>
      </c>
      <c r="F1238" s="6" t="str">
        <f t="shared" si="369"/>
        <v>PO10000519 - STRIPES</v>
      </c>
      <c r="G1238" s="6" t="str">
        <f t="shared" si="375"/>
        <v>R330375838500000</v>
      </c>
      <c r="H1238" s="6" t="str">
        <f t="shared" si="376"/>
        <v>R 3758 - PLA P 2802</v>
      </c>
      <c r="I1238" s="6" t="str">
        <f>"204034"</f>
        <v>204034</v>
      </c>
      <c r="J1238" s="6" t="str">
        <f>"AZUL 4034"</f>
        <v>AZUL 4034</v>
      </c>
      <c r="K1238" s="6" t="str">
        <f>"5006"</f>
        <v>5006</v>
      </c>
      <c r="L1238" s="6" t="str">
        <f t="shared" si="374"/>
        <v>Roupões Adulto</v>
      </c>
      <c r="M1238" s="6" t="str">
        <f>"L"</f>
        <v>L</v>
      </c>
      <c r="N1238" s="6" t="str">
        <f>"5740014916472"</f>
        <v>5740014916472</v>
      </c>
      <c r="O1238" s="8">
        <v>35</v>
      </c>
      <c r="P1238" s="7">
        <v>46044</v>
      </c>
      <c r="R1238" s="8">
        <v>0</v>
      </c>
      <c r="S1238" s="7">
        <v>46049</v>
      </c>
      <c r="U1238" s="8">
        <v>0</v>
      </c>
      <c r="V1238" s="7">
        <v>46056</v>
      </c>
      <c r="X1238" s="8">
        <v>0</v>
      </c>
      <c r="Z1238" s="8">
        <v>0</v>
      </c>
      <c r="AA1238" s="7">
        <v>46072</v>
      </c>
      <c r="AC1238" s="8">
        <v>0</v>
      </c>
      <c r="AE1238" s="7">
        <v>46077</v>
      </c>
      <c r="AF1238" s="8">
        <v>0</v>
      </c>
      <c r="AH1238" s="7">
        <v>46094</v>
      </c>
      <c r="AN1238" s="8">
        <v>0</v>
      </c>
      <c r="AO1238" s="8">
        <v>35</v>
      </c>
    </row>
    <row r="1239" spans="1:41" x14ac:dyDescent="0.25">
      <c r="A1239" s="6" t="str">
        <f t="shared" si="372"/>
        <v>521-2026000045</v>
      </c>
      <c r="B1239" s="6" t="str">
        <f t="shared" si="367"/>
        <v>TEKLA AP</v>
      </c>
      <c r="C1239" s="7">
        <v>46044</v>
      </c>
      <c r="D1239" s="7">
        <v>46044</v>
      </c>
      <c r="E1239" s="8">
        <v>14</v>
      </c>
      <c r="F1239" s="6" t="str">
        <f t="shared" si="369"/>
        <v>PO10000519 - STRIPES</v>
      </c>
      <c r="G1239" s="6" t="str">
        <f t="shared" si="375"/>
        <v>R330375838500000</v>
      </c>
      <c r="H1239" s="6" t="str">
        <f t="shared" si="376"/>
        <v>R 3758 - PLA P 2802</v>
      </c>
      <c r="I1239" s="6" t="str">
        <f>"204034"</f>
        <v>204034</v>
      </c>
      <c r="J1239" s="6" t="str">
        <f>"AZUL 4034"</f>
        <v>AZUL 4034</v>
      </c>
      <c r="K1239" s="6" t="str">
        <f>"5004"</f>
        <v>5004</v>
      </c>
      <c r="L1239" s="6" t="str">
        <f t="shared" si="374"/>
        <v>Roupões Adulto</v>
      </c>
      <c r="M1239" s="6" t="str">
        <f>"M"</f>
        <v>M</v>
      </c>
      <c r="N1239" s="6" t="str">
        <f>"5740014916489"</f>
        <v>5740014916489</v>
      </c>
      <c r="O1239" s="8">
        <v>55</v>
      </c>
      <c r="P1239" s="7">
        <v>46044</v>
      </c>
      <c r="R1239" s="8">
        <v>0</v>
      </c>
      <c r="S1239" s="7">
        <v>46049</v>
      </c>
      <c r="U1239" s="8">
        <v>0</v>
      </c>
      <c r="V1239" s="7">
        <v>46056</v>
      </c>
      <c r="X1239" s="8">
        <v>0</v>
      </c>
      <c r="Z1239" s="8">
        <v>0</v>
      </c>
      <c r="AA1239" s="7">
        <v>46072</v>
      </c>
      <c r="AC1239" s="8">
        <v>0</v>
      </c>
      <c r="AE1239" s="7">
        <v>46077</v>
      </c>
      <c r="AF1239" s="8">
        <v>0</v>
      </c>
      <c r="AH1239" s="7">
        <v>46094</v>
      </c>
      <c r="AN1239" s="8">
        <v>0</v>
      </c>
      <c r="AO1239" s="8">
        <v>55</v>
      </c>
    </row>
    <row r="1240" spans="1:41" x14ac:dyDescent="0.25">
      <c r="A1240" s="6" t="str">
        <f t="shared" si="372"/>
        <v>521-2026000045</v>
      </c>
      <c r="B1240" s="6" t="str">
        <f t="shared" si="367"/>
        <v>TEKLA AP</v>
      </c>
      <c r="C1240" s="7">
        <v>46044</v>
      </c>
      <c r="D1240" s="7">
        <v>46044</v>
      </c>
      <c r="E1240" s="8">
        <v>15</v>
      </c>
      <c r="F1240" s="6" t="str">
        <f t="shared" si="369"/>
        <v>PO10000519 - STRIPES</v>
      </c>
      <c r="G1240" s="6" t="str">
        <f t="shared" si="375"/>
        <v>R330375838500000</v>
      </c>
      <c r="H1240" s="6" t="str">
        <f t="shared" si="376"/>
        <v>R 3758 - PLA P 2802</v>
      </c>
      <c r="I1240" s="6" t="str">
        <f>"204034"</f>
        <v>204034</v>
      </c>
      <c r="J1240" s="6" t="str">
        <f>"AZUL 4034"</f>
        <v>AZUL 4034</v>
      </c>
      <c r="K1240" s="6" t="str">
        <f>"5002"</f>
        <v>5002</v>
      </c>
      <c r="L1240" s="6" t="str">
        <f t="shared" si="374"/>
        <v>Roupões Adulto</v>
      </c>
      <c r="M1240" s="6" t="str">
        <f>"S"</f>
        <v>S</v>
      </c>
      <c r="N1240" s="6" t="str">
        <f>"5740014916496"</f>
        <v>5740014916496</v>
      </c>
      <c r="O1240" s="8">
        <v>35</v>
      </c>
      <c r="P1240" s="7">
        <v>46044</v>
      </c>
      <c r="R1240" s="8">
        <v>0</v>
      </c>
      <c r="S1240" s="7">
        <v>46049</v>
      </c>
      <c r="U1240" s="8">
        <v>0</v>
      </c>
      <c r="V1240" s="7">
        <v>46056</v>
      </c>
      <c r="X1240" s="8">
        <v>0</v>
      </c>
      <c r="Z1240" s="8">
        <v>0</v>
      </c>
      <c r="AA1240" s="7">
        <v>46072</v>
      </c>
      <c r="AC1240" s="8">
        <v>0</v>
      </c>
      <c r="AE1240" s="7">
        <v>46077</v>
      </c>
      <c r="AF1240" s="8">
        <v>0</v>
      </c>
      <c r="AH1240" s="7">
        <v>46094</v>
      </c>
      <c r="AN1240" s="8">
        <v>0</v>
      </c>
      <c r="AO1240" s="8">
        <v>35</v>
      </c>
    </row>
    <row r="1241" spans="1:41" x14ac:dyDescent="0.25">
      <c r="A1241" s="6" t="str">
        <f t="shared" si="372"/>
        <v>521-2026000045</v>
      </c>
      <c r="B1241" s="6" t="str">
        <f t="shared" si="367"/>
        <v>TEKLA AP</v>
      </c>
      <c r="C1241" s="7">
        <v>46044</v>
      </c>
      <c r="D1241" s="7">
        <v>46044</v>
      </c>
      <c r="E1241" s="8">
        <v>16</v>
      </c>
      <c r="F1241" s="6" t="str">
        <f t="shared" si="369"/>
        <v>PO10000519 - STRIPES</v>
      </c>
      <c r="G1241" s="6" t="str">
        <f t="shared" si="375"/>
        <v>R330375838500000</v>
      </c>
      <c r="H1241" s="6" t="str">
        <f t="shared" si="376"/>
        <v>R 3758 - PLA P 2802</v>
      </c>
      <c r="I1241" s="6" t="str">
        <f>"202210"</f>
        <v>202210</v>
      </c>
      <c r="J1241" s="6" t="str">
        <f>"VERDE 2210"</f>
        <v>VERDE 2210</v>
      </c>
      <c r="K1241" s="6" t="str">
        <f>"5004"</f>
        <v>5004</v>
      </c>
      <c r="L1241" s="6" t="str">
        <f t="shared" si="374"/>
        <v>Roupões Adulto</v>
      </c>
      <c r="M1241" s="6" t="str">
        <f>"M"</f>
        <v>M</v>
      </c>
      <c r="N1241" s="6" t="str">
        <f>"5744001084175"</f>
        <v>5744001084175</v>
      </c>
      <c r="O1241" s="8">
        <v>30</v>
      </c>
      <c r="P1241" s="7">
        <v>46044</v>
      </c>
      <c r="R1241" s="8">
        <v>0</v>
      </c>
      <c r="S1241" s="7">
        <v>46049</v>
      </c>
      <c r="U1241" s="8">
        <v>0</v>
      </c>
      <c r="V1241" s="7">
        <v>46056</v>
      </c>
      <c r="X1241" s="8">
        <v>0</v>
      </c>
      <c r="Z1241" s="8">
        <v>0</v>
      </c>
      <c r="AA1241" s="7">
        <v>46072</v>
      </c>
      <c r="AC1241" s="8">
        <v>0</v>
      </c>
      <c r="AE1241" s="7">
        <v>46077</v>
      </c>
      <c r="AF1241" s="8">
        <v>0</v>
      </c>
      <c r="AH1241" s="7">
        <v>46094</v>
      </c>
      <c r="AN1241" s="8">
        <v>0</v>
      </c>
      <c r="AO1241" s="8">
        <v>30</v>
      </c>
    </row>
    <row r="1242" spans="1:41" x14ac:dyDescent="0.25">
      <c r="A1242" s="6" t="str">
        <f t="shared" si="372"/>
        <v>521-2026000045</v>
      </c>
      <c r="B1242" s="6" t="str">
        <f t="shared" si="367"/>
        <v>TEKLA AP</v>
      </c>
      <c r="C1242" s="7">
        <v>46044</v>
      </c>
      <c r="D1242" s="7">
        <v>46044</v>
      </c>
      <c r="E1242" s="8">
        <v>17</v>
      </c>
      <c r="F1242" s="6" t="str">
        <f t="shared" si="369"/>
        <v>PO10000519 - STRIPES</v>
      </c>
      <c r="G1242" s="6" t="str">
        <f t="shared" si="375"/>
        <v>R330375838500000</v>
      </c>
      <c r="H1242" s="6" t="str">
        <f t="shared" si="376"/>
        <v>R 3758 - PLA P 2802</v>
      </c>
      <c r="I1242" s="6" t="str">
        <f>"202210"</f>
        <v>202210</v>
      </c>
      <c r="J1242" s="6" t="str">
        <f>"VERDE 2210"</f>
        <v>VERDE 2210</v>
      </c>
      <c r="K1242" s="6" t="str">
        <f>"5002"</f>
        <v>5002</v>
      </c>
      <c r="L1242" s="6" t="str">
        <f t="shared" si="374"/>
        <v>Roupões Adulto</v>
      </c>
      <c r="M1242" s="6" t="str">
        <f>"S"</f>
        <v>S</v>
      </c>
      <c r="N1242" s="6" t="str">
        <f>"5744001084182"</f>
        <v>5744001084182</v>
      </c>
      <c r="O1242" s="8">
        <v>30</v>
      </c>
      <c r="P1242" s="7">
        <v>46044</v>
      </c>
      <c r="R1242" s="8">
        <v>0</v>
      </c>
      <c r="S1242" s="7">
        <v>46049</v>
      </c>
      <c r="U1242" s="8">
        <v>0</v>
      </c>
      <c r="V1242" s="7">
        <v>46056</v>
      </c>
      <c r="X1242" s="8">
        <v>0</v>
      </c>
      <c r="Z1242" s="8">
        <v>0</v>
      </c>
      <c r="AA1242" s="7">
        <v>46072</v>
      </c>
      <c r="AC1242" s="8">
        <v>0</v>
      </c>
      <c r="AE1242" s="7">
        <v>46077</v>
      </c>
      <c r="AF1242" s="8">
        <v>0</v>
      </c>
      <c r="AH1242" s="7">
        <v>46094</v>
      </c>
      <c r="AN1242" s="8">
        <v>0</v>
      </c>
      <c r="AO1242" s="8">
        <v>30</v>
      </c>
    </row>
    <row r="1243" spans="1:41" x14ac:dyDescent="0.25">
      <c r="A1243" s="6" t="str">
        <f t="shared" si="372"/>
        <v>521-2026000045</v>
      </c>
      <c r="B1243" s="6" t="str">
        <f t="shared" ref="B1243:B1256" si="377">"TEKLA AP"</f>
        <v>TEKLA AP</v>
      </c>
      <c r="C1243" s="7">
        <v>46044</v>
      </c>
      <c r="D1243" s="7">
        <v>46044</v>
      </c>
      <c r="E1243" s="8">
        <v>18</v>
      </c>
      <c r="F1243" s="6" t="str">
        <f t="shared" si="369"/>
        <v>PO10000519 - STRIPES</v>
      </c>
      <c r="G1243" s="6" t="str">
        <f>"R330376038500000"</f>
        <v>R330376038500000</v>
      </c>
      <c r="H1243" s="6" t="str">
        <f>"R 3760 - PLA P 2803"</f>
        <v>R 3760 - PLA P 2803</v>
      </c>
      <c r="I1243" s="6" t="str">
        <f>"200855"</f>
        <v>200855</v>
      </c>
      <c r="J1243" s="6" t="str">
        <f>"AZUL 855"</f>
        <v>AZUL 855</v>
      </c>
      <c r="K1243" s="6" t="str">
        <f>"5008"</f>
        <v>5008</v>
      </c>
      <c r="L1243" s="6" t="str">
        <f t="shared" si="374"/>
        <v>Roupões Adulto</v>
      </c>
      <c r="M1243" s="6" t="str">
        <f>"XL"</f>
        <v>XL</v>
      </c>
      <c r="N1243" s="6" t="str">
        <f>"5740014950087"</f>
        <v>5740014950087</v>
      </c>
      <c r="O1243" s="8">
        <v>10</v>
      </c>
      <c r="P1243" s="7">
        <v>46044</v>
      </c>
      <c r="R1243" s="8">
        <v>0</v>
      </c>
      <c r="S1243" s="7">
        <v>46049</v>
      </c>
      <c r="U1243" s="8">
        <v>0</v>
      </c>
      <c r="V1243" s="7">
        <v>46056</v>
      </c>
      <c r="X1243" s="8">
        <v>0</v>
      </c>
      <c r="Z1243" s="8">
        <v>0</v>
      </c>
      <c r="AA1243" s="7">
        <v>46072</v>
      </c>
      <c r="AC1243" s="8">
        <v>0</v>
      </c>
      <c r="AE1243" s="7">
        <v>46077</v>
      </c>
      <c r="AF1243" s="8">
        <v>0</v>
      </c>
      <c r="AH1243" s="7">
        <v>46094</v>
      </c>
      <c r="AN1243" s="8">
        <v>0</v>
      </c>
      <c r="AO1243" s="8">
        <v>10</v>
      </c>
    </row>
    <row r="1244" spans="1:41" x14ac:dyDescent="0.25">
      <c r="A1244" s="6" t="str">
        <f t="shared" si="372"/>
        <v>521-2026000045</v>
      </c>
      <c r="B1244" s="6" t="str">
        <f t="shared" si="377"/>
        <v>TEKLA AP</v>
      </c>
      <c r="C1244" s="7">
        <v>46044</v>
      </c>
      <c r="D1244" s="7">
        <v>46044</v>
      </c>
      <c r="E1244" s="8">
        <v>19</v>
      </c>
      <c r="F1244" s="6" t="str">
        <f t="shared" si="369"/>
        <v>PO10000519 - STRIPES</v>
      </c>
      <c r="G1244" s="6" t="str">
        <f>"R330375838500000"</f>
        <v>R330375838500000</v>
      </c>
      <c r="H1244" s="6" t="str">
        <f>"R 3758 - PLA P 2802"</f>
        <v>R 3758 - PLA P 2802</v>
      </c>
      <c r="I1244" s="6" t="str">
        <f>"204030"</f>
        <v>204030</v>
      </c>
      <c r="J1244" s="6" t="str">
        <f>"BEGE 4030"</f>
        <v>BEGE 4030</v>
      </c>
      <c r="K1244" s="6" t="str">
        <f>"5004"</f>
        <v>5004</v>
      </c>
      <c r="L1244" s="6" t="str">
        <f t="shared" si="374"/>
        <v>Roupões Adulto</v>
      </c>
      <c r="M1244" s="6" t="str">
        <f>"M"</f>
        <v>M</v>
      </c>
      <c r="N1244" s="6" t="str">
        <f>"5740014916182"</f>
        <v>5740014916182</v>
      </c>
      <c r="O1244" s="8">
        <v>10</v>
      </c>
      <c r="P1244" s="7">
        <v>46044</v>
      </c>
      <c r="R1244" s="8">
        <v>0</v>
      </c>
      <c r="S1244" s="7">
        <v>46049</v>
      </c>
      <c r="U1244" s="8">
        <v>0</v>
      </c>
      <c r="V1244" s="7">
        <v>46056</v>
      </c>
      <c r="X1244" s="8">
        <v>0</v>
      </c>
      <c r="Z1244" s="8">
        <v>0</v>
      </c>
      <c r="AA1244" s="7">
        <v>46072</v>
      </c>
      <c r="AC1244" s="8">
        <v>0</v>
      </c>
      <c r="AE1244" s="7">
        <v>46077</v>
      </c>
      <c r="AF1244" s="8">
        <v>0</v>
      </c>
      <c r="AH1244" s="7">
        <v>46094</v>
      </c>
      <c r="AN1244" s="8">
        <v>0</v>
      </c>
      <c r="AO1244" s="8">
        <v>10</v>
      </c>
    </row>
    <row r="1245" spans="1:41" x14ac:dyDescent="0.25">
      <c r="A1245" s="6" t="str">
        <f t="shared" si="372"/>
        <v>521-2026000045</v>
      </c>
      <c r="B1245" s="6" t="str">
        <f t="shared" si="377"/>
        <v>TEKLA AP</v>
      </c>
      <c r="C1245" s="7">
        <v>46044</v>
      </c>
      <c r="D1245" s="7">
        <v>46044</v>
      </c>
      <c r="E1245" s="8">
        <v>20</v>
      </c>
      <c r="F1245" s="6" t="str">
        <f t="shared" si="369"/>
        <v>PO10000519 - STRIPES</v>
      </c>
      <c r="G1245" s="6" t="str">
        <f>"R330375838500000"</f>
        <v>R330375838500000</v>
      </c>
      <c r="H1245" s="6" t="str">
        <f>"R 3758 - PLA P 2802"</f>
        <v>R 3758 - PLA P 2802</v>
      </c>
      <c r="I1245" s="6" t="str">
        <f>"204030"</f>
        <v>204030</v>
      </c>
      <c r="J1245" s="6" t="str">
        <f>"BEGE 4030"</f>
        <v>BEGE 4030</v>
      </c>
      <c r="K1245" s="6" t="str">
        <f>"5002"</f>
        <v>5002</v>
      </c>
      <c r="L1245" s="6" t="str">
        <f t="shared" si="374"/>
        <v>Roupões Adulto</v>
      </c>
      <c r="M1245" s="6" t="str">
        <f>"S"</f>
        <v>S</v>
      </c>
      <c r="N1245" s="6" t="str">
        <f>"5740014916199"</f>
        <v>5740014916199</v>
      </c>
      <c r="O1245" s="8">
        <v>10</v>
      </c>
      <c r="P1245" s="7">
        <v>46044</v>
      </c>
      <c r="R1245" s="8">
        <v>0</v>
      </c>
      <c r="S1245" s="7">
        <v>46049</v>
      </c>
      <c r="U1245" s="8">
        <v>0</v>
      </c>
      <c r="V1245" s="7">
        <v>46056</v>
      </c>
      <c r="X1245" s="8">
        <v>0</v>
      </c>
      <c r="Z1245" s="8">
        <v>0</v>
      </c>
      <c r="AA1245" s="7">
        <v>46072</v>
      </c>
      <c r="AC1245" s="8">
        <v>0</v>
      </c>
      <c r="AE1245" s="7">
        <v>46077</v>
      </c>
      <c r="AF1245" s="8">
        <v>0</v>
      </c>
      <c r="AH1245" s="7">
        <v>46094</v>
      </c>
      <c r="AN1245" s="8">
        <v>0</v>
      </c>
      <c r="AO1245" s="8">
        <v>10</v>
      </c>
    </row>
    <row r="1246" spans="1:41" x14ac:dyDescent="0.25">
      <c r="A1246" s="6" t="str">
        <f t="shared" si="372"/>
        <v>521-2026000045</v>
      </c>
      <c r="B1246" s="6" t="str">
        <f t="shared" si="377"/>
        <v>TEKLA AP</v>
      </c>
      <c r="C1246" s="7">
        <v>46044</v>
      </c>
      <c r="D1246" s="7">
        <v>46044</v>
      </c>
      <c r="E1246" s="8">
        <v>21</v>
      </c>
      <c r="F1246" s="6" t="str">
        <f t="shared" si="369"/>
        <v>PO10000519 - STRIPES</v>
      </c>
      <c r="G1246" s="6" t="str">
        <f t="shared" ref="G1246:G1256" si="378">"R330376038500000"</f>
        <v>R330376038500000</v>
      </c>
      <c r="H1246" s="6" t="str">
        <f t="shared" ref="H1246:H1256" si="379">"R 3760 - PLA P 2803"</f>
        <v>R 3760 - PLA P 2803</v>
      </c>
      <c r="I1246" s="6" t="str">
        <f>"202953"</f>
        <v>202953</v>
      </c>
      <c r="J1246" s="6" t="str">
        <f>"BEGE 2953"</f>
        <v>BEGE 2953</v>
      </c>
      <c r="K1246" s="6" t="str">
        <f>"5008"</f>
        <v>5008</v>
      </c>
      <c r="L1246" s="6" t="str">
        <f t="shared" si="374"/>
        <v>Roupões Adulto</v>
      </c>
      <c r="M1246" s="6" t="str">
        <f>"XL"</f>
        <v>XL</v>
      </c>
      <c r="N1246" s="6" t="str">
        <f>"5740014915611"</f>
        <v>5740014915611</v>
      </c>
      <c r="O1246" s="8">
        <v>5</v>
      </c>
      <c r="P1246" s="7">
        <v>46044</v>
      </c>
      <c r="R1246" s="8">
        <v>0</v>
      </c>
      <c r="S1246" s="7">
        <v>46049</v>
      </c>
      <c r="U1246" s="8">
        <v>0</v>
      </c>
      <c r="V1246" s="7">
        <v>46056</v>
      </c>
      <c r="X1246" s="8">
        <v>0</v>
      </c>
      <c r="Z1246" s="8">
        <v>0</v>
      </c>
      <c r="AA1246" s="7">
        <v>46072</v>
      </c>
      <c r="AC1246" s="8">
        <v>0</v>
      </c>
      <c r="AE1246" s="7">
        <v>46077</v>
      </c>
      <c r="AF1246" s="8">
        <v>0</v>
      </c>
      <c r="AH1246" s="7">
        <v>46094</v>
      </c>
      <c r="AN1246" s="8">
        <v>0</v>
      </c>
      <c r="AO1246" s="8">
        <v>5</v>
      </c>
    </row>
    <row r="1247" spans="1:41" x14ac:dyDescent="0.25">
      <c r="A1247" s="6" t="str">
        <f t="shared" si="372"/>
        <v>521-2026000045</v>
      </c>
      <c r="B1247" s="6" t="str">
        <f t="shared" si="377"/>
        <v>TEKLA AP</v>
      </c>
      <c r="C1247" s="7">
        <v>46044</v>
      </c>
      <c r="D1247" s="7">
        <v>46044</v>
      </c>
      <c r="E1247" s="8">
        <v>22</v>
      </c>
      <c r="F1247" s="6" t="str">
        <f t="shared" si="369"/>
        <v>PO10000519 - STRIPES</v>
      </c>
      <c r="G1247" s="6" t="str">
        <f t="shared" si="378"/>
        <v>R330376038500000</v>
      </c>
      <c r="H1247" s="6" t="str">
        <f t="shared" si="379"/>
        <v>R 3760 - PLA P 2803</v>
      </c>
      <c r="I1247" s="6" t="str">
        <f>"202953"</f>
        <v>202953</v>
      </c>
      <c r="J1247" s="6" t="str">
        <f>"BEGE 2953"</f>
        <v>BEGE 2953</v>
      </c>
      <c r="K1247" s="6" t="str">
        <f>"5006"</f>
        <v>5006</v>
      </c>
      <c r="L1247" s="6" t="str">
        <f t="shared" si="374"/>
        <v>Roupões Adulto</v>
      </c>
      <c r="M1247" s="6" t="str">
        <f>"L"</f>
        <v>L</v>
      </c>
      <c r="N1247" s="6" t="str">
        <f>"5740014915628"</f>
        <v>5740014915628</v>
      </c>
      <c r="O1247" s="8">
        <v>5</v>
      </c>
      <c r="P1247" s="7">
        <v>46044</v>
      </c>
      <c r="R1247" s="8">
        <v>0</v>
      </c>
      <c r="S1247" s="7">
        <v>46049</v>
      </c>
      <c r="U1247" s="8">
        <v>0</v>
      </c>
      <c r="V1247" s="7">
        <v>46056</v>
      </c>
      <c r="X1247" s="8">
        <v>0</v>
      </c>
      <c r="Z1247" s="8">
        <v>0</v>
      </c>
      <c r="AA1247" s="7">
        <v>46072</v>
      </c>
      <c r="AC1247" s="8">
        <v>0</v>
      </c>
      <c r="AE1247" s="7">
        <v>46077</v>
      </c>
      <c r="AF1247" s="8">
        <v>0</v>
      </c>
      <c r="AH1247" s="7">
        <v>46094</v>
      </c>
      <c r="AN1247" s="8">
        <v>0</v>
      </c>
      <c r="AO1247" s="8">
        <v>5</v>
      </c>
    </row>
    <row r="1248" spans="1:41" x14ac:dyDescent="0.25">
      <c r="A1248" s="6" t="str">
        <f t="shared" si="372"/>
        <v>521-2026000045</v>
      </c>
      <c r="B1248" s="6" t="str">
        <f t="shared" si="377"/>
        <v>TEKLA AP</v>
      </c>
      <c r="C1248" s="7">
        <v>46044</v>
      </c>
      <c r="D1248" s="7">
        <v>46044</v>
      </c>
      <c r="E1248" s="8">
        <v>23</v>
      </c>
      <c r="F1248" s="6" t="str">
        <f t="shared" si="369"/>
        <v>PO10000519 - STRIPES</v>
      </c>
      <c r="G1248" s="6" t="str">
        <f t="shared" si="378"/>
        <v>R330376038500000</v>
      </c>
      <c r="H1248" s="6" t="str">
        <f t="shared" si="379"/>
        <v>R 3760 - PLA P 2803</v>
      </c>
      <c r="I1248" s="6" t="str">
        <f>"202953"</f>
        <v>202953</v>
      </c>
      <c r="J1248" s="6" t="str">
        <f>"BEGE 2953"</f>
        <v>BEGE 2953</v>
      </c>
      <c r="K1248" s="6" t="str">
        <f>"5004"</f>
        <v>5004</v>
      </c>
      <c r="L1248" s="6" t="str">
        <f t="shared" si="374"/>
        <v>Roupões Adulto</v>
      </c>
      <c r="M1248" s="6" t="str">
        <f>"M"</f>
        <v>M</v>
      </c>
      <c r="N1248" s="6" t="str">
        <f>"5740014915635"</f>
        <v>5740014915635</v>
      </c>
      <c r="O1248" s="8">
        <v>35</v>
      </c>
      <c r="P1248" s="7">
        <v>46044</v>
      </c>
      <c r="R1248" s="8">
        <v>0</v>
      </c>
      <c r="S1248" s="7">
        <v>46049</v>
      </c>
      <c r="U1248" s="8">
        <v>0</v>
      </c>
      <c r="V1248" s="7">
        <v>46056</v>
      </c>
      <c r="X1248" s="8">
        <v>0</v>
      </c>
      <c r="Z1248" s="8">
        <v>0</v>
      </c>
      <c r="AA1248" s="7">
        <v>46072</v>
      </c>
      <c r="AC1248" s="8">
        <v>0</v>
      </c>
      <c r="AE1248" s="7">
        <v>46077</v>
      </c>
      <c r="AF1248" s="8">
        <v>0</v>
      </c>
      <c r="AH1248" s="7">
        <v>46094</v>
      </c>
      <c r="AN1248" s="8">
        <v>0</v>
      </c>
      <c r="AO1248" s="8">
        <v>35</v>
      </c>
    </row>
    <row r="1249" spans="1:41" x14ac:dyDescent="0.25">
      <c r="A1249" s="6" t="str">
        <f t="shared" si="372"/>
        <v>521-2026000045</v>
      </c>
      <c r="B1249" s="6" t="str">
        <f t="shared" si="377"/>
        <v>TEKLA AP</v>
      </c>
      <c r="C1249" s="7">
        <v>46044</v>
      </c>
      <c r="D1249" s="7">
        <v>46044</v>
      </c>
      <c r="E1249" s="8">
        <v>24</v>
      </c>
      <c r="F1249" s="6" t="str">
        <f t="shared" si="369"/>
        <v>PO10000519 - STRIPES</v>
      </c>
      <c r="G1249" s="6" t="str">
        <f t="shared" si="378"/>
        <v>R330376038500000</v>
      </c>
      <c r="H1249" s="6" t="str">
        <f t="shared" si="379"/>
        <v>R 3760 - PLA P 2803</v>
      </c>
      <c r="I1249" s="6" t="str">
        <f>"202953"</f>
        <v>202953</v>
      </c>
      <c r="J1249" s="6" t="str">
        <f>"BEGE 2953"</f>
        <v>BEGE 2953</v>
      </c>
      <c r="K1249" s="6" t="str">
        <f>"5002"</f>
        <v>5002</v>
      </c>
      <c r="L1249" s="6" t="str">
        <f t="shared" si="374"/>
        <v>Roupões Adulto</v>
      </c>
      <c r="M1249" s="6" t="str">
        <f>"S"</f>
        <v>S</v>
      </c>
      <c r="N1249" s="6" t="str">
        <f>"5740014915642"</f>
        <v>5740014915642</v>
      </c>
      <c r="O1249" s="8">
        <v>30</v>
      </c>
      <c r="P1249" s="7">
        <v>46044</v>
      </c>
      <c r="R1249" s="8">
        <v>0</v>
      </c>
      <c r="S1249" s="7">
        <v>46049</v>
      </c>
      <c r="U1249" s="8">
        <v>0</v>
      </c>
      <c r="V1249" s="7">
        <v>46056</v>
      </c>
      <c r="X1249" s="8">
        <v>0</v>
      </c>
      <c r="Z1249" s="8">
        <v>0</v>
      </c>
      <c r="AA1249" s="7">
        <v>46072</v>
      </c>
      <c r="AC1249" s="8">
        <v>0</v>
      </c>
      <c r="AE1249" s="7">
        <v>46077</v>
      </c>
      <c r="AF1249" s="8">
        <v>0</v>
      </c>
      <c r="AH1249" s="7">
        <v>46094</v>
      </c>
      <c r="AN1249" s="8">
        <v>0</v>
      </c>
      <c r="AO1249" s="8">
        <v>30</v>
      </c>
    </row>
    <row r="1250" spans="1:41" x14ac:dyDescent="0.25">
      <c r="A1250" s="6" t="str">
        <f t="shared" si="372"/>
        <v>521-2026000045</v>
      </c>
      <c r="B1250" s="6" t="str">
        <f t="shared" si="377"/>
        <v>TEKLA AP</v>
      </c>
      <c r="C1250" s="7">
        <v>46044</v>
      </c>
      <c r="D1250" s="7">
        <v>46044</v>
      </c>
      <c r="E1250" s="8">
        <v>25</v>
      </c>
      <c r="F1250" s="6" t="str">
        <f t="shared" si="369"/>
        <v>PO10000519 - STRIPES</v>
      </c>
      <c r="G1250" s="6" t="str">
        <f t="shared" si="378"/>
        <v>R330376038500000</v>
      </c>
      <c r="H1250" s="6" t="str">
        <f t="shared" si="379"/>
        <v>R 3760 - PLA P 2803</v>
      </c>
      <c r="I1250" s="6" t="str">
        <f>"202953"</f>
        <v>202953</v>
      </c>
      <c r="J1250" s="6" t="str">
        <f>"BEGE 2953"</f>
        <v>BEGE 2953</v>
      </c>
      <c r="K1250" s="6" t="str">
        <f>"5001"</f>
        <v>5001</v>
      </c>
      <c r="L1250" s="6" t="str">
        <f t="shared" si="374"/>
        <v>Roupões Adulto</v>
      </c>
      <c r="M1250" s="6" t="str">
        <f>"XS"</f>
        <v>XS</v>
      </c>
      <c r="N1250" s="6" t="str">
        <f>"5740014915659"</f>
        <v>5740014915659</v>
      </c>
      <c r="O1250" s="8">
        <v>10</v>
      </c>
      <c r="P1250" s="7">
        <v>46044</v>
      </c>
      <c r="R1250" s="8">
        <v>0</v>
      </c>
      <c r="S1250" s="7">
        <v>46049</v>
      </c>
      <c r="U1250" s="8">
        <v>0</v>
      </c>
      <c r="V1250" s="7">
        <v>46056</v>
      </c>
      <c r="X1250" s="8">
        <v>0</v>
      </c>
      <c r="Z1250" s="8">
        <v>0</v>
      </c>
      <c r="AA1250" s="7">
        <v>46072</v>
      </c>
      <c r="AC1250" s="8">
        <v>0</v>
      </c>
      <c r="AE1250" s="7">
        <v>46077</v>
      </c>
      <c r="AF1250" s="8">
        <v>0</v>
      </c>
      <c r="AH1250" s="7">
        <v>46094</v>
      </c>
      <c r="AN1250" s="8">
        <v>0</v>
      </c>
      <c r="AO1250" s="8">
        <v>10</v>
      </c>
    </row>
    <row r="1251" spans="1:41" x14ac:dyDescent="0.25">
      <c r="A1251" s="6" t="str">
        <f t="shared" si="372"/>
        <v>521-2026000045</v>
      </c>
      <c r="B1251" s="6" t="str">
        <f t="shared" si="377"/>
        <v>TEKLA AP</v>
      </c>
      <c r="C1251" s="7">
        <v>46044</v>
      </c>
      <c r="D1251" s="7">
        <v>46044</v>
      </c>
      <c r="E1251" s="8">
        <v>26</v>
      </c>
      <c r="F1251" s="6" t="str">
        <f t="shared" ref="F1251:F1256" si="380">"PO10000519 - STRIPES"</f>
        <v>PO10000519 - STRIPES</v>
      </c>
      <c r="G1251" s="6" t="str">
        <f t="shared" si="378"/>
        <v>R330376038500000</v>
      </c>
      <c r="H1251" s="6" t="str">
        <f t="shared" si="379"/>
        <v>R 3760 - PLA P 2803</v>
      </c>
      <c r="I1251" s="6" t="str">
        <f t="shared" ref="I1251:I1256" si="381">"204355"</f>
        <v>204355</v>
      </c>
      <c r="J1251" s="6" t="str">
        <f t="shared" ref="J1251:J1256" si="382">"VERDE 4355"</f>
        <v>VERDE 4355</v>
      </c>
      <c r="K1251" s="6" t="str">
        <f>"5008"</f>
        <v>5008</v>
      </c>
      <c r="L1251" s="6" t="str">
        <f t="shared" si="374"/>
        <v>Roupões Adulto</v>
      </c>
      <c r="M1251" s="6" t="str">
        <f>"XL"</f>
        <v>XL</v>
      </c>
      <c r="N1251" s="6" t="str">
        <f>"5740014915512"</f>
        <v>5740014915512</v>
      </c>
      <c r="O1251" s="8">
        <v>10</v>
      </c>
      <c r="P1251" s="7">
        <v>46044</v>
      </c>
      <c r="R1251" s="8">
        <v>0</v>
      </c>
      <c r="S1251" s="7">
        <v>46049</v>
      </c>
      <c r="U1251" s="8">
        <v>0</v>
      </c>
      <c r="V1251" s="7">
        <v>46056</v>
      </c>
      <c r="X1251" s="8">
        <v>0</v>
      </c>
      <c r="Z1251" s="8">
        <v>0</v>
      </c>
      <c r="AA1251" s="7">
        <v>46072</v>
      </c>
      <c r="AC1251" s="8">
        <v>0</v>
      </c>
      <c r="AE1251" s="7">
        <v>46077</v>
      </c>
      <c r="AF1251" s="8">
        <v>0</v>
      </c>
      <c r="AH1251" s="7">
        <v>46094</v>
      </c>
      <c r="AN1251" s="8">
        <v>0</v>
      </c>
      <c r="AO1251" s="8">
        <v>10</v>
      </c>
    </row>
    <row r="1252" spans="1:41" x14ac:dyDescent="0.25">
      <c r="A1252" s="6" t="str">
        <f t="shared" si="372"/>
        <v>521-2026000045</v>
      </c>
      <c r="B1252" s="6" t="str">
        <f t="shared" si="377"/>
        <v>TEKLA AP</v>
      </c>
      <c r="C1252" s="7">
        <v>46044</v>
      </c>
      <c r="D1252" s="7">
        <v>46044</v>
      </c>
      <c r="E1252" s="8">
        <v>27</v>
      </c>
      <c r="F1252" s="6" t="str">
        <f t="shared" si="380"/>
        <v>PO10000519 - STRIPES</v>
      </c>
      <c r="G1252" s="6" t="str">
        <f t="shared" si="378"/>
        <v>R330376038500000</v>
      </c>
      <c r="H1252" s="6" t="str">
        <f t="shared" si="379"/>
        <v>R 3760 - PLA P 2803</v>
      </c>
      <c r="I1252" s="6" t="str">
        <f t="shared" si="381"/>
        <v>204355</v>
      </c>
      <c r="J1252" s="6" t="str">
        <f t="shared" si="382"/>
        <v>VERDE 4355</v>
      </c>
      <c r="K1252" s="6" t="str">
        <f>"5006"</f>
        <v>5006</v>
      </c>
      <c r="L1252" s="6" t="str">
        <f t="shared" si="374"/>
        <v>Roupões Adulto</v>
      </c>
      <c r="M1252" s="6" t="str">
        <f>"L"</f>
        <v>L</v>
      </c>
      <c r="N1252" s="6" t="str">
        <f>"5740014915529"</f>
        <v>5740014915529</v>
      </c>
      <c r="O1252" s="8">
        <v>20</v>
      </c>
      <c r="P1252" s="7">
        <v>46044</v>
      </c>
      <c r="R1252" s="8">
        <v>0</v>
      </c>
      <c r="S1252" s="7">
        <v>46049</v>
      </c>
      <c r="U1252" s="8">
        <v>0</v>
      </c>
      <c r="V1252" s="7">
        <v>46056</v>
      </c>
      <c r="X1252" s="8">
        <v>0</v>
      </c>
      <c r="Z1252" s="8">
        <v>0</v>
      </c>
      <c r="AA1252" s="7">
        <v>46072</v>
      </c>
      <c r="AC1252" s="8">
        <v>0</v>
      </c>
      <c r="AE1252" s="7">
        <v>46077</v>
      </c>
      <c r="AF1252" s="8">
        <v>0</v>
      </c>
      <c r="AH1252" s="7">
        <v>46094</v>
      </c>
      <c r="AN1252" s="8">
        <v>0</v>
      </c>
      <c r="AO1252" s="8">
        <v>20</v>
      </c>
    </row>
    <row r="1253" spans="1:41" x14ac:dyDescent="0.25">
      <c r="A1253" s="6" t="str">
        <f t="shared" si="372"/>
        <v>521-2026000045</v>
      </c>
      <c r="B1253" s="6" t="str">
        <f t="shared" si="377"/>
        <v>TEKLA AP</v>
      </c>
      <c r="C1253" s="7">
        <v>46044</v>
      </c>
      <c r="D1253" s="7">
        <v>46044</v>
      </c>
      <c r="E1253" s="8">
        <v>28</v>
      </c>
      <c r="F1253" s="6" t="str">
        <f t="shared" si="380"/>
        <v>PO10000519 - STRIPES</v>
      </c>
      <c r="G1253" s="6" t="str">
        <f t="shared" si="378"/>
        <v>R330376038500000</v>
      </c>
      <c r="H1253" s="6" t="str">
        <f t="shared" si="379"/>
        <v>R 3760 - PLA P 2803</v>
      </c>
      <c r="I1253" s="6" t="str">
        <f t="shared" si="381"/>
        <v>204355</v>
      </c>
      <c r="J1253" s="6" t="str">
        <f t="shared" si="382"/>
        <v>VERDE 4355</v>
      </c>
      <c r="K1253" s="6" t="str">
        <f>"5004"</f>
        <v>5004</v>
      </c>
      <c r="L1253" s="6" t="str">
        <f t="shared" si="374"/>
        <v>Roupões Adulto</v>
      </c>
      <c r="M1253" s="6" t="str">
        <f>"M"</f>
        <v>M</v>
      </c>
      <c r="N1253" s="6" t="str">
        <f>"5740014915536"</f>
        <v>5740014915536</v>
      </c>
      <c r="O1253" s="8">
        <v>25</v>
      </c>
      <c r="P1253" s="7">
        <v>46044</v>
      </c>
      <c r="R1253" s="8">
        <v>0</v>
      </c>
      <c r="S1253" s="7">
        <v>46049</v>
      </c>
      <c r="U1253" s="8">
        <v>0</v>
      </c>
      <c r="V1253" s="7">
        <v>46056</v>
      </c>
      <c r="X1253" s="8">
        <v>0</v>
      </c>
      <c r="Z1253" s="8">
        <v>0</v>
      </c>
      <c r="AA1253" s="7">
        <v>46072</v>
      </c>
      <c r="AC1253" s="8">
        <v>0</v>
      </c>
      <c r="AE1253" s="7">
        <v>46077</v>
      </c>
      <c r="AF1253" s="8">
        <v>0</v>
      </c>
      <c r="AH1253" s="7">
        <v>46094</v>
      </c>
      <c r="AN1253" s="8">
        <v>0</v>
      </c>
      <c r="AO1253" s="8">
        <v>25</v>
      </c>
    </row>
    <row r="1254" spans="1:41" x14ac:dyDescent="0.25">
      <c r="A1254" s="6" t="str">
        <f t="shared" si="372"/>
        <v>521-2026000045</v>
      </c>
      <c r="B1254" s="6" t="str">
        <f t="shared" si="377"/>
        <v>TEKLA AP</v>
      </c>
      <c r="C1254" s="7">
        <v>46044</v>
      </c>
      <c r="D1254" s="7">
        <v>46044</v>
      </c>
      <c r="E1254" s="8">
        <v>29</v>
      </c>
      <c r="F1254" s="6" t="str">
        <f t="shared" si="380"/>
        <v>PO10000519 - STRIPES</v>
      </c>
      <c r="G1254" s="6" t="str">
        <f t="shared" si="378"/>
        <v>R330376038500000</v>
      </c>
      <c r="H1254" s="6" t="str">
        <f t="shared" si="379"/>
        <v>R 3760 - PLA P 2803</v>
      </c>
      <c r="I1254" s="6" t="str">
        <f t="shared" si="381"/>
        <v>204355</v>
      </c>
      <c r="J1254" s="6" t="str">
        <f t="shared" si="382"/>
        <v>VERDE 4355</v>
      </c>
      <c r="K1254" s="6" t="str">
        <f>"5002"</f>
        <v>5002</v>
      </c>
      <c r="L1254" s="6" t="str">
        <f t="shared" si="374"/>
        <v>Roupões Adulto</v>
      </c>
      <c r="M1254" s="6" t="str">
        <f>"S"</f>
        <v>S</v>
      </c>
      <c r="N1254" s="6" t="str">
        <f>"5740014915543"</f>
        <v>5740014915543</v>
      </c>
      <c r="O1254" s="8">
        <v>10</v>
      </c>
      <c r="P1254" s="7">
        <v>46044</v>
      </c>
      <c r="R1254" s="8">
        <v>0</v>
      </c>
      <c r="S1254" s="7">
        <v>46049</v>
      </c>
      <c r="U1254" s="8">
        <v>0</v>
      </c>
      <c r="V1254" s="7">
        <v>46056</v>
      </c>
      <c r="X1254" s="8">
        <v>0</v>
      </c>
      <c r="Z1254" s="8">
        <v>0</v>
      </c>
      <c r="AA1254" s="7">
        <v>46072</v>
      </c>
      <c r="AC1254" s="8">
        <v>0</v>
      </c>
      <c r="AE1254" s="7">
        <v>46077</v>
      </c>
      <c r="AF1254" s="8">
        <v>0</v>
      </c>
      <c r="AH1254" s="7">
        <v>46094</v>
      </c>
      <c r="AN1254" s="8">
        <v>0</v>
      </c>
      <c r="AO1254" s="8">
        <v>10</v>
      </c>
    </row>
    <row r="1255" spans="1:41" x14ac:dyDescent="0.25">
      <c r="A1255" s="6" t="str">
        <f t="shared" si="372"/>
        <v>521-2026000045</v>
      </c>
      <c r="B1255" s="6" t="str">
        <f t="shared" si="377"/>
        <v>TEKLA AP</v>
      </c>
      <c r="C1255" s="7">
        <v>46044</v>
      </c>
      <c r="D1255" s="7">
        <v>46044</v>
      </c>
      <c r="E1255" s="8">
        <v>30</v>
      </c>
      <c r="F1255" s="6" t="str">
        <f t="shared" si="380"/>
        <v>PO10000519 - STRIPES</v>
      </c>
      <c r="G1255" s="6" t="str">
        <f t="shared" si="378"/>
        <v>R330376038500000</v>
      </c>
      <c r="H1255" s="6" t="str">
        <f t="shared" si="379"/>
        <v>R 3760 - PLA P 2803</v>
      </c>
      <c r="I1255" s="6" t="str">
        <f t="shared" si="381"/>
        <v>204355</v>
      </c>
      <c r="J1255" s="6" t="str">
        <f t="shared" si="382"/>
        <v>VERDE 4355</v>
      </c>
      <c r="K1255" s="6" t="str">
        <f>"5001"</f>
        <v>5001</v>
      </c>
      <c r="L1255" s="6" t="str">
        <f t="shared" si="374"/>
        <v>Roupões Adulto</v>
      </c>
      <c r="M1255" s="6" t="str">
        <f>"XS"</f>
        <v>XS</v>
      </c>
      <c r="N1255" s="6" t="str">
        <f>"5740014915550"</f>
        <v>5740014915550</v>
      </c>
      <c r="O1255" s="8">
        <v>5</v>
      </c>
      <c r="P1255" s="7">
        <v>46044</v>
      </c>
      <c r="R1255" s="8">
        <v>0</v>
      </c>
      <c r="S1255" s="7">
        <v>46049</v>
      </c>
      <c r="U1255" s="8">
        <v>0</v>
      </c>
      <c r="V1255" s="7">
        <v>46056</v>
      </c>
      <c r="X1255" s="8">
        <v>0</v>
      </c>
      <c r="Z1255" s="8">
        <v>0</v>
      </c>
      <c r="AA1255" s="7">
        <v>46072</v>
      </c>
      <c r="AC1255" s="8">
        <v>0</v>
      </c>
      <c r="AE1255" s="7">
        <v>46077</v>
      </c>
      <c r="AF1255" s="8">
        <v>0</v>
      </c>
      <c r="AH1255" s="7">
        <v>46094</v>
      </c>
      <c r="AN1255" s="8">
        <v>0</v>
      </c>
      <c r="AO1255" s="8">
        <v>5</v>
      </c>
    </row>
    <row r="1256" spans="1:41" x14ac:dyDescent="0.25">
      <c r="A1256" s="6" t="str">
        <f t="shared" si="372"/>
        <v>521-2026000045</v>
      </c>
      <c r="B1256" s="6" t="str">
        <f t="shared" si="377"/>
        <v>TEKLA AP</v>
      </c>
      <c r="C1256" s="7">
        <v>46044</v>
      </c>
      <c r="D1256" s="7">
        <v>46044</v>
      </c>
      <c r="E1256" s="8">
        <v>31</v>
      </c>
      <c r="F1256" s="6" t="str">
        <f t="shared" si="380"/>
        <v>PO10000519 - STRIPES</v>
      </c>
      <c r="G1256" s="6" t="str">
        <f t="shared" si="378"/>
        <v>R330376038500000</v>
      </c>
      <c r="H1256" s="6" t="str">
        <f t="shared" si="379"/>
        <v>R 3760 - PLA P 2803</v>
      </c>
      <c r="I1256" s="6" t="str">
        <f t="shared" si="381"/>
        <v>204355</v>
      </c>
      <c r="J1256" s="6" t="str">
        <f t="shared" si="382"/>
        <v>VERDE 4355</v>
      </c>
      <c r="K1256" s="6" t="str">
        <f>"5010"</f>
        <v>5010</v>
      </c>
      <c r="L1256" s="6" t="str">
        <f t="shared" si="374"/>
        <v>Roupões Adulto</v>
      </c>
      <c r="M1256" s="6" t="str">
        <f>"XXL"</f>
        <v>XXL</v>
      </c>
      <c r="N1256" s="6" t="str">
        <f>"5740014941368"</f>
        <v>5740014941368</v>
      </c>
      <c r="O1256" s="8">
        <v>5</v>
      </c>
      <c r="P1256" s="7">
        <v>46044</v>
      </c>
      <c r="R1256" s="8">
        <v>0</v>
      </c>
      <c r="S1256" s="7">
        <v>46049</v>
      </c>
      <c r="U1256" s="8">
        <v>0</v>
      </c>
      <c r="V1256" s="7">
        <v>46056</v>
      </c>
      <c r="X1256" s="8">
        <v>0</v>
      </c>
      <c r="Z1256" s="8">
        <v>0</v>
      </c>
      <c r="AA1256" s="7">
        <v>46072</v>
      </c>
      <c r="AC1256" s="8">
        <v>0</v>
      </c>
      <c r="AE1256" s="7">
        <v>46077</v>
      </c>
      <c r="AF1256" s="8">
        <v>0</v>
      </c>
      <c r="AH1256" s="7">
        <v>46094</v>
      </c>
      <c r="AN1256" s="8">
        <v>0</v>
      </c>
      <c r="AO1256" s="8">
        <v>5</v>
      </c>
    </row>
    <row r="1257" spans="1:41" x14ac:dyDescent="0.25">
      <c r="A1257" s="6" t="str">
        <f>"521-2026000046"</f>
        <v>521-2026000046</v>
      </c>
      <c r="B1257" s="6" t="str">
        <f>"LA BOTTE"</f>
        <v>LA BOTTE</v>
      </c>
      <c r="C1257" s="7">
        <v>46044</v>
      </c>
      <c r="D1257" s="7">
        <v>46080</v>
      </c>
      <c r="E1257" s="8">
        <v>1</v>
      </c>
      <c r="F1257" s="6" t="str">
        <f>"411/00"</f>
        <v>411/00</v>
      </c>
      <c r="G1257" s="6" t="str">
        <f>"K108205026000000"</f>
        <v>K108205026000000</v>
      </c>
      <c r="H1257" s="6" t="str">
        <f>"KB 2050 - FAVO 0401"</f>
        <v>KB 2050 - FAVO 0401</v>
      </c>
      <c r="I1257" s="6" t="str">
        <f>"1"</f>
        <v>1</v>
      </c>
      <c r="J1257" s="6" t="str">
        <f>"BRANCO"</f>
        <v>BRANCO</v>
      </c>
      <c r="K1257" s="6" t="str">
        <f>"4809"</f>
        <v>4809</v>
      </c>
      <c r="L1257" s="6" t="str">
        <f>"Chinelos"</f>
        <v>Chinelos</v>
      </c>
      <c r="M1257" s="6" t="str">
        <f>"39"</f>
        <v>39</v>
      </c>
      <c r="N1257" s="6" t="str">
        <f t="shared" ref="N1257:N1286" si="383">" "</f>
        <v xml:space="preserve"> </v>
      </c>
      <c r="O1257" s="8">
        <v>1100</v>
      </c>
      <c r="P1257" s="7">
        <v>46045</v>
      </c>
      <c r="R1257" s="8">
        <v>0</v>
      </c>
      <c r="U1257" s="8">
        <v>0</v>
      </c>
      <c r="X1257" s="8">
        <v>0</v>
      </c>
      <c r="Z1257" s="8">
        <v>0</v>
      </c>
      <c r="AC1257" s="8">
        <v>0</v>
      </c>
      <c r="AF1257" s="8">
        <v>0</v>
      </c>
      <c r="AH1257" s="7">
        <v>46080</v>
      </c>
      <c r="AN1257" s="8">
        <v>0</v>
      </c>
      <c r="AO1257" s="8">
        <v>1100</v>
      </c>
    </row>
    <row r="1258" spans="1:41" x14ac:dyDescent="0.25">
      <c r="A1258" s="6" t="str">
        <f>"521-2026000046"</f>
        <v>521-2026000046</v>
      </c>
      <c r="B1258" s="6" t="str">
        <f>"LA BOTTE"</f>
        <v>LA BOTTE</v>
      </c>
      <c r="C1258" s="7">
        <v>46044</v>
      </c>
      <c r="D1258" s="7">
        <v>46080</v>
      </c>
      <c r="E1258" s="8">
        <v>2</v>
      </c>
      <c r="F1258" s="6" t="str">
        <f>"411/00"</f>
        <v>411/00</v>
      </c>
      <c r="G1258" s="6" t="str">
        <f>"K108205026000000"</f>
        <v>K108205026000000</v>
      </c>
      <c r="H1258" s="6" t="str">
        <f>"KB 2050 - FAVO 0401"</f>
        <v>KB 2050 - FAVO 0401</v>
      </c>
      <c r="I1258" s="6" t="str">
        <f>"1"</f>
        <v>1</v>
      </c>
      <c r="J1258" s="6" t="str">
        <f>"BRANCO"</f>
        <v>BRANCO</v>
      </c>
      <c r="K1258" s="6" t="str">
        <f>"4813"</f>
        <v>4813</v>
      </c>
      <c r="L1258" s="6" t="str">
        <f>"Chinelos"</f>
        <v>Chinelos</v>
      </c>
      <c r="M1258" s="6" t="str">
        <f>"43"</f>
        <v>43</v>
      </c>
      <c r="N1258" s="6" t="str">
        <f t="shared" si="383"/>
        <v xml:space="preserve"> </v>
      </c>
      <c r="O1258" s="8">
        <v>250</v>
      </c>
      <c r="P1258" s="7">
        <v>46045</v>
      </c>
      <c r="R1258" s="8">
        <v>0</v>
      </c>
      <c r="U1258" s="8">
        <v>0</v>
      </c>
      <c r="X1258" s="8">
        <v>0</v>
      </c>
      <c r="Z1258" s="8">
        <v>0</v>
      </c>
      <c r="AC1258" s="8">
        <v>0</v>
      </c>
      <c r="AF1258" s="8">
        <v>0</v>
      </c>
      <c r="AH1258" s="7">
        <v>46080</v>
      </c>
      <c r="AN1258" s="8">
        <v>0</v>
      </c>
      <c r="AO1258" s="8">
        <v>250</v>
      </c>
    </row>
    <row r="1259" spans="1:41" x14ac:dyDescent="0.25">
      <c r="A1259" s="6" t="str">
        <f>"521-2026000046"</f>
        <v>521-2026000046</v>
      </c>
      <c r="B1259" s="6" t="str">
        <f>"LA BOTTE"</f>
        <v>LA BOTTE</v>
      </c>
      <c r="C1259" s="7">
        <v>46044</v>
      </c>
      <c r="D1259" s="7">
        <v>46080</v>
      </c>
      <c r="E1259" s="8">
        <v>3</v>
      </c>
      <c r="F1259" s="6" t="str">
        <f>"411/00"</f>
        <v>411/00</v>
      </c>
      <c r="G1259" s="6" t="str">
        <f>"K108205026000000"</f>
        <v>K108205026000000</v>
      </c>
      <c r="H1259" s="6" t="str">
        <f>"KB 2050 - FAVO 0401"</f>
        <v>KB 2050 - FAVO 0401</v>
      </c>
      <c r="I1259" s="6" t="str">
        <f>"1"</f>
        <v>1</v>
      </c>
      <c r="J1259" s="6" t="str">
        <f>"BRANCO"</f>
        <v>BRANCO</v>
      </c>
      <c r="K1259" s="6" t="str">
        <f>"4817"</f>
        <v>4817</v>
      </c>
      <c r="L1259" s="6" t="str">
        <f>"Chinelos"</f>
        <v>Chinelos</v>
      </c>
      <c r="M1259" s="6" t="str">
        <f>"46"</f>
        <v>46</v>
      </c>
      <c r="N1259" s="6" t="str">
        <f t="shared" si="383"/>
        <v xml:space="preserve"> </v>
      </c>
      <c r="O1259" s="8">
        <v>250</v>
      </c>
      <c r="P1259" s="7">
        <v>46045</v>
      </c>
      <c r="R1259" s="8">
        <v>0</v>
      </c>
      <c r="U1259" s="8">
        <v>0</v>
      </c>
      <c r="X1259" s="8">
        <v>0</v>
      </c>
      <c r="Z1259" s="8">
        <v>0</v>
      </c>
      <c r="AC1259" s="8">
        <v>0</v>
      </c>
      <c r="AF1259" s="8">
        <v>0</v>
      </c>
      <c r="AH1259" s="7">
        <v>46080</v>
      </c>
      <c r="AN1259" s="8">
        <v>0</v>
      </c>
      <c r="AO1259" s="8">
        <v>250</v>
      </c>
    </row>
    <row r="1260" spans="1:41" x14ac:dyDescent="0.25">
      <c r="A1260" s="6" t="str">
        <f>"521-2026000047"</f>
        <v>521-2026000047</v>
      </c>
      <c r="B1260" s="6" t="str">
        <f>"HEADWEAR"</f>
        <v>HEADWEAR</v>
      </c>
      <c r="C1260" s="7">
        <v>46045</v>
      </c>
      <c r="D1260" s="7">
        <v>46045</v>
      </c>
      <c r="E1260" s="8">
        <v>1</v>
      </c>
      <c r="F1260" s="6" t="str">
        <f>"PO 113690"</f>
        <v>PO 113690</v>
      </c>
      <c r="G1260" s="6" t="str">
        <f>"F330317140000000"</f>
        <v>F330317140000000</v>
      </c>
      <c r="H1260" s="6" t="str">
        <f>"PLA 3171 - 400 g/m²"</f>
        <v>PLA 3171 - 400 g/m²</v>
      </c>
      <c r="I1260" s="6" t="str">
        <f>"203295"</f>
        <v>203295</v>
      </c>
      <c r="J1260" s="6" t="str">
        <f>"LARANJA 3295"</f>
        <v>LARANJA 3295</v>
      </c>
      <c r="K1260" s="6" t="str">
        <f>"0520"</f>
        <v>0520</v>
      </c>
      <c r="L1260" s="6" t="str">
        <f>"Toalhetes"</f>
        <v>Toalhetes</v>
      </c>
      <c r="M1260" s="6" t="str">
        <f>"30x50"</f>
        <v>30x50</v>
      </c>
      <c r="N1260" s="6" t="str">
        <f t="shared" si="383"/>
        <v xml:space="preserve"> </v>
      </c>
      <c r="O1260" s="8">
        <v>1200</v>
      </c>
      <c r="P1260" s="7">
        <v>46048</v>
      </c>
      <c r="R1260" s="8">
        <v>0</v>
      </c>
      <c r="U1260" s="8">
        <v>0</v>
      </c>
      <c r="X1260" s="8">
        <v>0</v>
      </c>
      <c r="Z1260" s="8">
        <v>0</v>
      </c>
      <c r="AC1260" s="8">
        <v>0</v>
      </c>
      <c r="AF1260" s="8">
        <v>0</v>
      </c>
      <c r="AH1260" s="7">
        <v>46045</v>
      </c>
      <c r="AN1260" s="8">
        <v>0</v>
      </c>
      <c r="AO1260" s="8">
        <v>1200</v>
      </c>
    </row>
    <row r="1261" spans="1:41" x14ac:dyDescent="0.25">
      <c r="A1261" s="6" t="str">
        <f>"521-2026000048"</f>
        <v>521-2026000048</v>
      </c>
      <c r="B1261" s="6" t="str">
        <f>"CARRE BL"</f>
        <v>CARRE BL</v>
      </c>
      <c r="C1261" s="7">
        <v>46048</v>
      </c>
      <c r="D1261" s="7">
        <v>46115</v>
      </c>
      <c r="E1261" s="8">
        <v>1</v>
      </c>
      <c r="F1261" s="6" t="str">
        <f>"513582"</f>
        <v>513582</v>
      </c>
      <c r="G1261" s="6" t="str">
        <f>"F310630950000000"</f>
        <v>F310630950000000</v>
      </c>
      <c r="H1261" s="6" t="str">
        <f>"PLAR 6309 Bio GOTS -"</f>
        <v>PLAR 6309 Bio GOTS -</v>
      </c>
      <c r="I1261" s="6" t="str">
        <f>"200525"</f>
        <v>200525</v>
      </c>
      <c r="J1261" s="6" t="str">
        <f>"AZUL 525"</f>
        <v>AZUL 525</v>
      </c>
      <c r="K1261" s="6" t="str">
        <f>"1520"</f>
        <v>1520</v>
      </c>
      <c r="L1261" s="6" t="str">
        <f>"Toalhões"</f>
        <v>Toalhões</v>
      </c>
      <c r="M1261" s="6" t="str">
        <f>"70x105"</f>
        <v>70x105</v>
      </c>
      <c r="N1261" s="6" t="str">
        <f t="shared" si="383"/>
        <v xml:space="preserve"> </v>
      </c>
      <c r="O1261" s="8">
        <v>150</v>
      </c>
      <c r="P1261" s="7">
        <v>46085</v>
      </c>
      <c r="R1261" s="8">
        <v>0</v>
      </c>
      <c r="S1261" s="7">
        <v>46090</v>
      </c>
      <c r="U1261" s="8">
        <v>0</v>
      </c>
      <c r="V1261" s="7">
        <v>46093</v>
      </c>
      <c r="X1261" s="8">
        <v>0</v>
      </c>
      <c r="Z1261" s="8">
        <v>0</v>
      </c>
      <c r="AA1261" s="7">
        <v>46105</v>
      </c>
      <c r="AC1261" s="8">
        <v>0</v>
      </c>
      <c r="AE1261" s="7">
        <v>46114</v>
      </c>
      <c r="AF1261" s="8">
        <v>0</v>
      </c>
      <c r="AH1261" s="7">
        <v>46115</v>
      </c>
      <c r="AI1261" s="7">
        <v>46112</v>
      </c>
      <c r="AN1261" s="8">
        <v>0</v>
      </c>
      <c r="AO1261" s="8">
        <v>150</v>
      </c>
    </row>
    <row r="1262" spans="1:41" x14ac:dyDescent="0.25">
      <c r="A1262" s="6" t="str">
        <f>"521-2026000048"</f>
        <v>521-2026000048</v>
      </c>
      <c r="B1262" s="6" t="str">
        <f>"CARRE BL"</f>
        <v>CARRE BL</v>
      </c>
      <c r="C1262" s="7">
        <v>46048</v>
      </c>
      <c r="D1262" s="7">
        <v>46115</v>
      </c>
      <c r="E1262" s="8">
        <v>4</v>
      </c>
      <c r="F1262" s="6" t="str">
        <f>"513582"</f>
        <v>513582</v>
      </c>
      <c r="G1262" s="6" t="str">
        <f>"F310631050004011"</f>
        <v>F310631050004011</v>
      </c>
      <c r="H1262" s="6" t="str">
        <f>"PLAR 6310 Bio GOTS /"</f>
        <v>PLAR 6310 Bio GOTS /</v>
      </c>
      <c r="I1262" s="6" t="str">
        <f>"204037"</f>
        <v>204037</v>
      </c>
      <c r="J1262" s="6" t="str">
        <f>"AZUL 4037"</f>
        <v>AZUL 4037</v>
      </c>
      <c r="K1262" s="6" t="str">
        <f>"1520"</f>
        <v>1520</v>
      </c>
      <c r="L1262" s="6" t="str">
        <f>"Toalhões"</f>
        <v>Toalhões</v>
      </c>
      <c r="M1262" s="6" t="str">
        <f>"70x105"</f>
        <v>70x105</v>
      </c>
      <c r="N1262" s="6" t="str">
        <f t="shared" si="383"/>
        <v xml:space="preserve"> </v>
      </c>
      <c r="O1262" s="8">
        <v>150</v>
      </c>
      <c r="P1262" s="7">
        <v>46085</v>
      </c>
      <c r="R1262" s="8">
        <v>0</v>
      </c>
      <c r="S1262" s="7">
        <v>46090</v>
      </c>
      <c r="U1262" s="8">
        <v>0</v>
      </c>
      <c r="V1262" s="7">
        <v>46093</v>
      </c>
      <c r="X1262" s="8">
        <v>0</v>
      </c>
      <c r="Z1262" s="8">
        <v>0</v>
      </c>
      <c r="AA1262" s="7">
        <v>46105</v>
      </c>
      <c r="AC1262" s="8">
        <v>0</v>
      </c>
      <c r="AE1262" s="7">
        <v>46114</v>
      </c>
      <c r="AF1262" s="8">
        <v>0</v>
      </c>
      <c r="AH1262" s="7">
        <v>46115</v>
      </c>
      <c r="AI1262" s="7">
        <v>46112</v>
      </c>
      <c r="AN1262" s="8">
        <v>0</v>
      </c>
      <c r="AO1262" s="8">
        <v>150</v>
      </c>
    </row>
    <row r="1263" spans="1:41" x14ac:dyDescent="0.25">
      <c r="A1263" s="6" t="str">
        <f>"521-2026000048"</f>
        <v>521-2026000048</v>
      </c>
      <c r="B1263" s="6" t="str">
        <f>"CARRE BL"</f>
        <v>CARRE BL</v>
      </c>
      <c r="C1263" s="7">
        <v>46048</v>
      </c>
      <c r="D1263" s="7">
        <v>46115</v>
      </c>
      <c r="E1263" s="8">
        <v>5</v>
      </c>
      <c r="F1263" s="6" t="str">
        <f>"513582"</f>
        <v>513582</v>
      </c>
      <c r="G1263" s="6" t="str">
        <f>"F310630950000000"</f>
        <v>F310630950000000</v>
      </c>
      <c r="H1263" s="6" t="str">
        <f>"PLAR 6309 Bio GOTS -"</f>
        <v>PLAR 6309 Bio GOTS -</v>
      </c>
      <c r="I1263" s="6" t="str">
        <f>"200525"</f>
        <v>200525</v>
      </c>
      <c r="J1263" s="6" t="str">
        <f>"AZUL 525"</f>
        <v>AZUL 525</v>
      </c>
      <c r="K1263" s="6" t="str">
        <f>"2027"</f>
        <v>2027</v>
      </c>
      <c r="L1263" s="6" t="str">
        <f>"Lençóis"</f>
        <v>Lençóis</v>
      </c>
      <c r="M1263" s="6" t="str">
        <f>"100x170"</f>
        <v>100x170</v>
      </c>
      <c r="N1263" s="6" t="str">
        <f t="shared" si="383"/>
        <v xml:space="preserve"> </v>
      </c>
      <c r="O1263" s="8">
        <v>150</v>
      </c>
      <c r="P1263" s="7">
        <v>46085</v>
      </c>
      <c r="R1263" s="8">
        <v>0</v>
      </c>
      <c r="S1263" s="7">
        <v>46090</v>
      </c>
      <c r="U1263" s="8">
        <v>0</v>
      </c>
      <c r="V1263" s="7">
        <v>46093</v>
      </c>
      <c r="X1263" s="8">
        <v>0</v>
      </c>
      <c r="Z1263" s="8">
        <v>0</v>
      </c>
      <c r="AA1263" s="7">
        <v>46105</v>
      </c>
      <c r="AC1263" s="8">
        <v>0</v>
      </c>
      <c r="AE1263" s="7">
        <v>46114</v>
      </c>
      <c r="AF1263" s="8">
        <v>0</v>
      </c>
      <c r="AH1263" s="7">
        <v>46115</v>
      </c>
      <c r="AI1263" s="7">
        <v>46112</v>
      </c>
      <c r="AN1263" s="8">
        <v>0</v>
      </c>
      <c r="AO1263" s="8">
        <v>150</v>
      </c>
    </row>
    <row r="1264" spans="1:41" x14ac:dyDescent="0.25">
      <c r="A1264" s="6" t="str">
        <f>"521-2026000048"</f>
        <v>521-2026000048</v>
      </c>
      <c r="B1264" s="6" t="str">
        <f>"CARRE BL"</f>
        <v>CARRE BL</v>
      </c>
      <c r="C1264" s="7">
        <v>46048</v>
      </c>
      <c r="D1264" s="7">
        <v>46115</v>
      </c>
      <c r="E1264" s="8">
        <v>6</v>
      </c>
      <c r="F1264" s="6" t="str">
        <f>"513582"</f>
        <v>513582</v>
      </c>
      <c r="G1264" s="6" t="str">
        <f>"F310631050004011"</f>
        <v>F310631050004011</v>
      </c>
      <c r="H1264" s="6" t="str">
        <f>"PLAR 6310 Bio GOTS /"</f>
        <v>PLAR 6310 Bio GOTS /</v>
      </c>
      <c r="I1264" s="6" t="str">
        <f>"204037"</f>
        <v>204037</v>
      </c>
      <c r="J1264" s="6" t="str">
        <f>"AZUL 4037"</f>
        <v>AZUL 4037</v>
      </c>
      <c r="K1264" s="6" t="str">
        <f>"2027"</f>
        <v>2027</v>
      </c>
      <c r="L1264" s="6" t="str">
        <f>"Lençóis"</f>
        <v>Lençóis</v>
      </c>
      <c r="M1264" s="6" t="str">
        <f>"100x170"</f>
        <v>100x170</v>
      </c>
      <c r="N1264" s="6" t="str">
        <f t="shared" si="383"/>
        <v xml:space="preserve"> </v>
      </c>
      <c r="O1264" s="8">
        <v>150</v>
      </c>
      <c r="P1264" s="7">
        <v>46085</v>
      </c>
      <c r="R1264" s="8">
        <v>0</v>
      </c>
      <c r="S1264" s="7">
        <v>46090</v>
      </c>
      <c r="U1264" s="8">
        <v>0</v>
      </c>
      <c r="V1264" s="7">
        <v>46093</v>
      </c>
      <c r="X1264" s="8">
        <v>0</v>
      </c>
      <c r="Z1264" s="8">
        <v>0</v>
      </c>
      <c r="AA1264" s="7">
        <v>46105</v>
      </c>
      <c r="AC1264" s="8">
        <v>0</v>
      </c>
      <c r="AE1264" s="7">
        <v>46114</v>
      </c>
      <c r="AF1264" s="8">
        <v>0</v>
      </c>
      <c r="AH1264" s="7">
        <v>46115</v>
      </c>
      <c r="AI1264" s="7">
        <v>46112</v>
      </c>
      <c r="AN1264" s="8">
        <v>0</v>
      </c>
      <c r="AO1264" s="8">
        <v>150</v>
      </c>
    </row>
    <row r="1265" spans="1:41" x14ac:dyDescent="0.25">
      <c r="A1265" s="6" t="str">
        <f>"521-2026000049"</f>
        <v>521-2026000049</v>
      </c>
      <c r="B1265" s="6" t="str">
        <f>"FRANCOIS"</f>
        <v>FRANCOIS</v>
      </c>
      <c r="C1265" s="7">
        <v>46048</v>
      </c>
      <c r="D1265" s="7">
        <v>46108</v>
      </c>
      <c r="E1265" s="8">
        <v>2</v>
      </c>
      <c r="F1265" s="6" t="str">
        <f>"544051"</f>
        <v>544051</v>
      </c>
      <c r="G1265" s="6" t="str">
        <f>"F300373740000000"</f>
        <v>F300373740000000</v>
      </c>
      <c r="H1265" s="6" t="str">
        <f>"PLR 3737 - 400 g/m²"</f>
        <v>PLR 3737 - 400 g/m²</v>
      </c>
      <c r="I1265" s="6" t="str">
        <f>"203471"</f>
        <v>203471</v>
      </c>
      <c r="J1265" s="6" t="str">
        <f>"CINZA 3471"</f>
        <v>CINZA 3471</v>
      </c>
      <c r="K1265" s="6" t="str">
        <f>"1532"</f>
        <v>1532</v>
      </c>
      <c r="L1265" s="6" t="str">
        <f>"Toalhões"</f>
        <v>Toalhões</v>
      </c>
      <c r="M1265" s="6" t="str">
        <f>"70x130"</f>
        <v>70x130</v>
      </c>
      <c r="N1265" s="6" t="str">
        <f t="shared" si="383"/>
        <v xml:space="preserve"> </v>
      </c>
      <c r="O1265" s="8">
        <v>500</v>
      </c>
      <c r="P1265" s="7">
        <v>46086</v>
      </c>
      <c r="R1265" s="8">
        <v>0</v>
      </c>
      <c r="S1265" s="7">
        <v>46091</v>
      </c>
      <c r="U1265" s="8">
        <v>0</v>
      </c>
      <c r="V1265" s="7">
        <v>46094</v>
      </c>
      <c r="X1265" s="8">
        <v>0</v>
      </c>
      <c r="Z1265" s="8">
        <v>0</v>
      </c>
      <c r="AA1265" s="7">
        <v>46106</v>
      </c>
      <c r="AC1265" s="8">
        <v>0</v>
      </c>
      <c r="AE1265" s="7">
        <v>46108</v>
      </c>
      <c r="AF1265" s="8">
        <v>0</v>
      </c>
      <c r="AH1265" s="7">
        <v>46108</v>
      </c>
      <c r="AN1265" s="8">
        <v>0</v>
      </c>
      <c r="AO1265" s="8">
        <v>500</v>
      </c>
    </row>
    <row r="1266" spans="1:41" x14ac:dyDescent="0.25">
      <c r="A1266" s="6" t="str">
        <f>"521-2026000050"</f>
        <v>521-2026000050</v>
      </c>
      <c r="B1266" s="6" t="str">
        <f>"FRANCOIS"</f>
        <v>FRANCOIS</v>
      </c>
      <c r="C1266" s="7">
        <v>46048</v>
      </c>
      <c r="D1266" s="7">
        <v>46108</v>
      </c>
      <c r="E1266" s="8">
        <v>1</v>
      </c>
      <c r="F1266" s="6" t="str">
        <f>"544050"</f>
        <v>544050</v>
      </c>
      <c r="G1266" s="6" t="str">
        <f>"J300371444000000"</f>
        <v>J300371444000000</v>
      </c>
      <c r="H1266" s="6" t="str">
        <f>"Conj. PLR 3714+PLR 3"</f>
        <v>Conj. PLR 3714+PLR 3</v>
      </c>
      <c r="I1266" s="6" t="str">
        <f>"204705"</f>
        <v>204705</v>
      </c>
      <c r="J1266" s="6" t="str">
        <f>"BEGE 4705"</f>
        <v>BEGE 4705</v>
      </c>
      <c r="K1266" s="6" t="str">
        <f t="shared" ref="K1266:K1271" si="384">"4014"</f>
        <v>4014</v>
      </c>
      <c r="L1266" s="6" t="str">
        <f t="shared" ref="L1266:L1271" si="385">"Conjunto/Jogos"</f>
        <v>Conjunto/Jogos</v>
      </c>
      <c r="M1266" s="6" t="str">
        <f t="shared" ref="M1266:M1271" si="386">"(2 Pcs)"</f>
        <v>(2 Pcs)</v>
      </c>
      <c r="N1266" s="6" t="str">
        <f t="shared" si="383"/>
        <v xml:space="preserve"> </v>
      </c>
      <c r="O1266" s="8">
        <v>1200</v>
      </c>
      <c r="P1266" s="7">
        <v>46086</v>
      </c>
      <c r="R1266" s="8">
        <v>0</v>
      </c>
      <c r="S1266" s="7">
        <v>46091</v>
      </c>
      <c r="U1266" s="8">
        <v>0</v>
      </c>
      <c r="V1266" s="7">
        <v>46094</v>
      </c>
      <c r="X1266" s="8">
        <v>0</v>
      </c>
      <c r="Z1266" s="8">
        <v>0</v>
      </c>
      <c r="AA1266" s="7">
        <v>46106</v>
      </c>
      <c r="AC1266" s="8">
        <v>0</v>
      </c>
      <c r="AE1266" s="7">
        <v>46108</v>
      </c>
      <c r="AF1266" s="8">
        <v>0</v>
      </c>
      <c r="AH1266" s="7">
        <v>46108</v>
      </c>
      <c r="AN1266" s="8">
        <v>0</v>
      </c>
      <c r="AO1266" s="8">
        <v>1200</v>
      </c>
    </row>
    <row r="1267" spans="1:41" x14ac:dyDescent="0.25">
      <c r="A1267" s="6" t="str">
        <f>"521-2026000051"</f>
        <v>521-2026000051</v>
      </c>
      <c r="B1267" s="6" t="str">
        <f>"CORN. VA"</f>
        <v>CORN. VA</v>
      </c>
      <c r="C1267" s="7">
        <v>46050</v>
      </c>
      <c r="D1267" s="7">
        <v>46122</v>
      </c>
      <c r="E1267" s="8">
        <v>1</v>
      </c>
      <c r="F1267" s="6" t="str">
        <f>"PO 5072"</f>
        <v>PO 5072</v>
      </c>
      <c r="G1267" s="6" t="str">
        <f>"J310592740000000"</f>
        <v>J310592740000000</v>
      </c>
      <c r="H1267" s="6" t="str">
        <f>"Conj. PLAR 5927 - 40"</f>
        <v>Conj. PLAR 5927 - 40</v>
      </c>
      <c r="I1267" s="6" t="str">
        <f>"202194"</f>
        <v>202194</v>
      </c>
      <c r="J1267" s="6" t="str">
        <f>"BEGE 2194"</f>
        <v>BEGE 2194</v>
      </c>
      <c r="K1267" s="6" t="str">
        <f t="shared" si="384"/>
        <v>4014</v>
      </c>
      <c r="L1267" s="6" t="str">
        <f t="shared" si="385"/>
        <v>Conjunto/Jogos</v>
      </c>
      <c r="M1267" s="6" t="str">
        <f t="shared" si="386"/>
        <v>(2 Pcs)</v>
      </c>
      <c r="N1267" s="6" t="str">
        <f t="shared" si="383"/>
        <v xml:space="preserve"> </v>
      </c>
      <c r="O1267" s="8">
        <v>1200</v>
      </c>
      <c r="P1267" s="7">
        <v>46092</v>
      </c>
      <c r="R1267" s="8">
        <v>0</v>
      </c>
      <c r="S1267" s="7">
        <v>46097</v>
      </c>
      <c r="U1267" s="8">
        <v>0</v>
      </c>
      <c r="V1267" s="7">
        <v>46104</v>
      </c>
      <c r="X1267" s="8">
        <v>0</v>
      </c>
      <c r="Z1267" s="8">
        <v>0</v>
      </c>
      <c r="AA1267" s="7">
        <v>46119</v>
      </c>
      <c r="AC1267" s="8">
        <v>0</v>
      </c>
      <c r="AE1267" s="7">
        <v>46122</v>
      </c>
      <c r="AF1267" s="8">
        <v>0</v>
      </c>
      <c r="AH1267" s="7">
        <v>46122</v>
      </c>
      <c r="AN1267" s="8">
        <v>0</v>
      </c>
      <c r="AO1267" s="8">
        <v>1200</v>
      </c>
    </row>
    <row r="1268" spans="1:41" x14ac:dyDescent="0.25">
      <c r="A1268" s="6" t="str">
        <f>"521-2026000051"</f>
        <v>521-2026000051</v>
      </c>
      <c r="B1268" s="6" t="str">
        <f>"CORN. VA"</f>
        <v>CORN. VA</v>
      </c>
      <c r="C1268" s="7">
        <v>46050</v>
      </c>
      <c r="D1268" s="7">
        <v>46122</v>
      </c>
      <c r="E1268" s="8">
        <v>2</v>
      </c>
      <c r="F1268" s="6" t="str">
        <f>"PO 5072"</f>
        <v>PO 5072</v>
      </c>
      <c r="G1268" s="6" t="str">
        <f>"J310592740000000"</f>
        <v>J310592740000000</v>
      </c>
      <c r="H1268" s="6" t="str">
        <f>"Conj. PLAR 5927 - 40"</f>
        <v>Conj. PLAR 5927 - 40</v>
      </c>
      <c r="I1268" s="6" t="str">
        <f>"204399"</f>
        <v>204399</v>
      </c>
      <c r="J1268" s="6" t="str">
        <f>"VERDE 4399"</f>
        <v>VERDE 4399</v>
      </c>
      <c r="K1268" s="6" t="str">
        <f t="shared" si="384"/>
        <v>4014</v>
      </c>
      <c r="L1268" s="6" t="str">
        <f t="shared" si="385"/>
        <v>Conjunto/Jogos</v>
      </c>
      <c r="M1268" s="6" t="str">
        <f t="shared" si="386"/>
        <v>(2 Pcs)</v>
      </c>
      <c r="N1268" s="6" t="str">
        <f t="shared" si="383"/>
        <v xml:space="preserve"> </v>
      </c>
      <c r="O1268" s="8">
        <v>1200</v>
      </c>
      <c r="P1268" s="7">
        <v>46092</v>
      </c>
      <c r="R1268" s="8">
        <v>0</v>
      </c>
      <c r="S1268" s="7">
        <v>46097</v>
      </c>
      <c r="U1268" s="8">
        <v>0</v>
      </c>
      <c r="V1268" s="7">
        <v>46104</v>
      </c>
      <c r="X1268" s="8">
        <v>0</v>
      </c>
      <c r="Z1268" s="8">
        <v>0</v>
      </c>
      <c r="AA1268" s="7">
        <v>46119</v>
      </c>
      <c r="AC1268" s="8">
        <v>0</v>
      </c>
      <c r="AE1268" s="7">
        <v>46122</v>
      </c>
      <c r="AF1268" s="8">
        <v>0</v>
      </c>
      <c r="AH1268" s="7">
        <v>46122</v>
      </c>
      <c r="AN1268" s="8">
        <v>0</v>
      </c>
      <c r="AO1268" s="8">
        <v>1200</v>
      </c>
    </row>
    <row r="1269" spans="1:41" x14ac:dyDescent="0.25">
      <c r="A1269" s="6" t="str">
        <f>"521-2026000051"</f>
        <v>521-2026000051</v>
      </c>
      <c r="B1269" s="6" t="str">
        <f>"CORN. VA"</f>
        <v>CORN. VA</v>
      </c>
      <c r="C1269" s="7">
        <v>46050</v>
      </c>
      <c r="D1269" s="7">
        <v>46122</v>
      </c>
      <c r="E1269" s="8">
        <v>5</v>
      </c>
      <c r="F1269" s="6" t="str">
        <f>"PO 5072"</f>
        <v>PO 5072</v>
      </c>
      <c r="G1269" s="6" t="str">
        <f>"J310592740000000"</f>
        <v>J310592740000000</v>
      </c>
      <c r="H1269" s="6" t="str">
        <f>"Conj. PLAR 5927 - 40"</f>
        <v>Conj. PLAR 5927 - 40</v>
      </c>
      <c r="I1269" s="6" t="str">
        <f>"202120"</f>
        <v>202120</v>
      </c>
      <c r="J1269" s="6" t="str">
        <f>"CASTANHO 2120"</f>
        <v>CASTANHO 2120</v>
      </c>
      <c r="K1269" s="6" t="str">
        <f t="shared" si="384"/>
        <v>4014</v>
      </c>
      <c r="L1269" s="6" t="str">
        <f t="shared" si="385"/>
        <v>Conjunto/Jogos</v>
      </c>
      <c r="M1269" s="6" t="str">
        <f t="shared" si="386"/>
        <v>(2 Pcs)</v>
      </c>
      <c r="N1269" s="6" t="str">
        <f t="shared" si="383"/>
        <v xml:space="preserve"> </v>
      </c>
      <c r="O1269" s="8">
        <v>1200</v>
      </c>
      <c r="P1269" s="7">
        <v>46092</v>
      </c>
      <c r="R1269" s="8">
        <v>0</v>
      </c>
      <c r="S1269" s="7">
        <v>46097</v>
      </c>
      <c r="U1269" s="8">
        <v>0</v>
      </c>
      <c r="V1269" s="7">
        <v>46104</v>
      </c>
      <c r="X1269" s="8">
        <v>0</v>
      </c>
      <c r="Z1269" s="8">
        <v>0</v>
      </c>
      <c r="AA1269" s="7">
        <v>46119</v>
      </c>
      <c r="AC1269" s="8">
        <v>0</v>
      </c>
      <c r="AE1269" s="7">
        <v>46122</v>
      </c>
      <c r="AF1269" s="8">
        <v>0</v>
      </c>
      <c r="AH1269" s="7">
        <v>46122</v>
      </c>
      <c r="AN1269" s="8">
        <v>0</v>
      </c>
      <c r="AO1269" s="8">
        <v>1200</v>
      </c>
    </row>
    <row r="1270" spans="1:41" x14ac:dyDescent="0.25">
      <c r="A1270" s="6" t="str">
        <f>"521-2026000051"</f>
        <v>521-2026000051</v>
      </c>
      <c r="B1270" s="6" t="str">
        <f>"CORN. VA"</f>
        <v>CORN. VA</v>
      </c>
      <c r="C1270" s="7">
        <v>46050</v>
      </c>
      <c r="D1270" s="7">
        <v>46122</v>
      </c>
      <c r="E1270" s="8">
        <v>6</v>
      </c>
      <c r="F1270" s="6" t="str">
        <f>"PO 5072"</f>
        <v>PO 5072</v>
      </c>
      <c r="G1270" s="6" t="str">
        <f>"J310592740000000"</f>
        <v>J310592740000000</v>
      </c>
      <c r="H1270" s="6" t="str">
        <f>"Conj. PLAR 5927 - 40"</f>
        <v>Conj. PLAR 5927 - 40</v>
      </c>
      <c r="I1270" s="6" t="str">
        <f>"204400"</f>
        <v>204400</v>
      </c>
      <c r="J1270" s="6" t="str">
        <f>"AZUL 4400"</f>
        <v>AZUL 4400</v>
      </c>
      <c r="K1270" s="6" t="str">
        <f t="shared" si="384"/>
        <v>4014</v>
      </c>
      <c r="L1270" s="6" t="str">
        <f t="shared" si="385"/>
        <v>Conjunto/Jogos</v>
      </c>
      <c r="M1270" s="6" t="str">
        <f t="shared" si="386"/>
        <v>(2 Pcs)</v>
      </c>
      <c r="N1270" s="6" t="str">
        <f t="shared" si="383"/>
        <v xml:space="preserve"> </v>
      </c>
      <c r="O1270" s="8">
        <v>1200</v>
      </c>
      <c r="P1270" s="7">
        <v>46092</v>
      </c>
      <c r="R1270" s="8">
        <v>0</v>
      </c>
      <c r="S1270" s="7">
        <v>46097</v>
      </c>
      <c r="U1270" s="8">
        <v>0</v>
      </c>
      <c r="V1270" s="7">
        <v>46104</v>
      </c>
      <c r="X1270" s="8">
        <v>0</v>
      </c>
      <c r="Z1270" s="8">
        <v>0</v>
      </c>
      <c r="AA1270" s="7">
        <v>46119</v>
      </c>
      <c r="AC1270" s="8">
        <v>0</v>
      </c>
      <c r="AE1270" s="7">
        <v>46122</v>
      </c>
      <c r="AF1270" s="8">
        <v>0</v>
      </c>
      <c r="AH1270" s="7">
        <v>46122</v>
      </c>
      <c r="AN1270" s="8">
        <v>0</v>
      </c>
      <c r="AO1270" s="8">
        <v>1200</v>
      </c>
    </row>
    <row r="1271" spans="1:41" x14ac:dyDescent="0.25">
      <c r="A1271" s="6" t="str">
        <f>"521-2026000051"</f>
        <v>521-2026000051</v>
      </c>
      <c r="B1271" s="6" t="str">
        <f>"CORN. VA"</f>
        <v>CORN. VA</v>
      </c>
      <c r="C1271" s="7">
        <v>46050</v>
      </c>
      <c r="D1271" s="7">
        <v>46122</v>
      </c>
      <c r="E1271" s="8">
        <v>7</v>
      </c>
      <c r="F1271" s="6" t="str">
        <f>"PO 5072"</f>
        <v>PO 5072</v>
      </c>
      <c r="G1271" s="6" t="str">
        <f>"J310592740000000"</f>
        <v>J310592740000000</v>
      </c>
      <c r="H1271" s="6" t="str">
        <f>"Conj. PLAR 5927 - 40"</f>
        <v>Conj. PLAR 5927 - 40</v>
      </c>
      <c r="I1271" s="6" t="str">
        <f>"204420"</f>
        <v>204420</v>
      </c>
      <c r="J1271" s="6" t="str">
        <f>"MARINHO 4420"</f>
        <v>MARINHO 4420</v>
      </c>
      <c r="K1271" s="6" t="str">
        <f t="shared" si="384"/>
        <v>4014</v>
      </c>
      <c r="L1271" s="6" t="str">
        <f t="shared" si="385"/>
        <v>Conjunto/Jogos</v>
      </c>
      <c r="M1271" s="6" t="str">
        <f t="shared" si="386"/>
        <v>(2 Pcs)</v>
      </c>
      <c r="N1271" s="6" t="str">
        <f t="shared" si="383"/>
        <v xml:space="preserve"> </v>
      </c>
      <c r="O1271" s="8">
        <v>1200</v>
      </c>
      <c r="P1271" s="7">
        <v>46092</v>
      </c>
      <c r="R1271" s="8">
        <v>0</v>
      </c>
      <c r="S1271" s="7">
        <v>46097</v>
      </c>
      <c r="U1271" s="8">
        <v>0</v>
      </c>
      <c r="V1271" s="7">
        <v>46104</v>
      </c>
      <c r="X1271" s="8">
        <v>0</v>
      </c>
      <c r="Z1271" s="8">
        <v>0</v>
      </c>
      <c r="AA1271" s="7">
        <v>46119</v>
      </c>
      <c r="AC1271" s="8">
        <v>0</v>
      </c>
      <c r="AE1271" s="7">
        <v>46122</v>
      </c>
      <c r="AF1271" s="8">
        <v>0</v>
      </c>
      <c r="AH1271" s="7">
        <v>46122</v>
      </c>
      <c r="AN1271" s="8">
        <v>0</v>
      </c>
      <c r="AO1271" s="8">
        <v>1200</v>
      </c>
    </row>
    <row r="1272" spans="1:41" x14ac:dyDescent="0.25">
      <c r="A1272" s="6" t="str">
        <f>"521-2026000052"</f>
        <v>521-2026000052</v>
      </c>
      <c r="B1272" s="6" t="str">
        <f t="shared" ref="B1272:B1279" si="387">"WORLD MA"</f>
        <v>WORLD MA</v>
      </c>
      <c r="C1272" s="7">
        <v>46050</v>
      </c>
      <c r="D1272" s="7">
        <v>46050</v>
      </c>
      <c r="E1272" s="8">
        <v>1</v>
      </c>
      <c r="F1272" s="6" t="str">
        <f>"200735791"</f>
        <v>200735791</v>
      </c>
      <c r="G1272" s="6" t="str">
        <f>"F310615650000000"</f>
        <v>F310615650000000</v>
      </c>
      <c r="H1272" s="6" t="str">
        <f>"PLAR 6156 - 500 g/m²"</f>
        <v>PLAR 6156 - 500 g/m²</v>
      </c>
      <c r="I1272" s="6" t="str">
        <f>"201921"</f>
        <v>201921</v>
      </c>
      <c r="J1272" s="6" t="str">
        <f>"AZUL 1921"</f>
        <v>AZUL 1921</v>
      </c>
      <c r="K1272" s="6" t="str">
        <f>"1004"</f>
        <v>1004</v>
      </c>
      <c r="L1272" s="6" t="str">
        <f>"Toalhas"</f>
        <v>Toalhas</v>
      </c>
      <c r="M1272" s="6" t="str">
        <f>"41x71"</f>
        <v>41x71</v>
      </c>
      <c r="N1272" s="6" t="str">
        <f t="shared" si="383"/>
        <v xml:space="preserve"> </v>
      </c>
      <c r="O1272" s="8">
        <v>2436</v>
      </c>
      <c r="P1272" s="7">
        <v>46051</v>
      </c>
      <c r="R1272" s="8">
        <v>0</v>
      </c>
      <c r="U1272" s="8">
        <v>0</v>
      </c>
      <c r="X1272" s="8">
        <v>0</v>
      </c>
      <c r="Z1272" s="8">
        <v>0</v>
      </c>
      <c r="AC1272" s="8">
        <v>0</v>
      </c>
      <c r="AF1272" s="8">
        <v>0</v>
      </c>
      <c r="AH1272" s="7">
        <v>46050</v>
      </c>
      <c r="AN1272" s="8">
        <v>0</v>
      </c>
      <c r="AO1272" s="8">
        <v>2436</v>
      </c>
    </row>
    <row r="1273" spans="1:41" x14ac:dyDescent="0.25">
      <c r="A1273" s="6" t="str">
        <f>"521-2026000052"</f>
        <v>521-2026000052</v>
      </c>
      <c r="B1273" s="6" t="str">
        <f t="shared" si="387"/>
        <v>WORLD MA</v>
      </c>
      <c r="C1273" s="7">
        <v>46050</v>
      </c>
      <c r="D1273" s="7">
        <v>46050</v>
      </c>
      <c r="E1273" s="8">
        <v>2</v>
      </c>
      <c r="F1273" s="6" t="str">
        <f>"200735791"</f>
        <v>200735791</v>
      </c>
      <c r="G1273" s="6" t="str">
        <f>"F310638650000000"</f>
        <v>F310638650000000</v>
      </c>
      <c r="H1273" s="6" t="str">
        <f>"PLAR 6386 - 500 g/m²"</f>
        <v>PLAR 6386 - 500 g/m²</v>
      </c>
      <c r="I1273" s="6" t="str">
        <f>"200795"</f>
        <v>200795</v>
      </c>
      <c r="J1273" s="6" t="str">
        <f>"AZUL 795"</f>
        <v>AZUL 795</v>
      </c>
      <c r="K1273" s="6" t="str">
        <f>"1004"</f>
        <v>1004</v>
      </c>
      <c r="L1273" s="6" t="str">
        <f>"Toalhas"</f>
        <v>Toalhas</v>
      </c>
      <c r="M1273" s="6" t="str">
        <f>"41x71"</f>
        <v>41x71</v>
      </c>
      <c r="N1273" s="6" t="str">
        <f t="shared" si="383"/>
        <v xml:space="preserve"> </v>
      </c>
      <c r="O1273" s="8">
        <v>2688</v>
      </c>
      <c r="P1273" s="7">
        <v>46051</v>
      </c>
      <c r="R1273" s="8">
        <v>0</v>
      </c>
      <c r="U1273" s="8">
        <v>0</v>
      </c>
      <c r="X1273" s="8">
        <v>0</v>
      </c>
      <c r="Z1273" s="8">
        <v>0</v>
      </c>
      <c r="AC1273" s="8">
        <v>0</v>
      </c>
      <c r="AF1273" s="8">
        <v>0</v>
      </c>
      <c r="AH1273" s="7">
        <v>46050</v>
      </c>
      <c r="AN1273" s="8">
        <v>0</v>
      </c>
      <c r="AO1273" s="8">
        <v>2688</v>
      </c>
    </row>
    <row r="1274" spans="1:41" x14ac:dyDescent="0.25">
      <c r="A1274" s="6" t="str">
        <f>"521-2026000053"</f>
        <v>521-2026000053</v>
      </c>
      <c r="B1274" s="6" t="str">
        <f t="shared" si="387"/>
        <v>WORLD MA</v>
      </c>
      <c r="C1274" s="7">
        <v>46050</v>
      </c>
      <c r="D1274" s="7">
        <v>46050</v>
      </c>
      <c r="E1274" s="8">
        <v>1</v>
      </c>
      <c r="F1274" s="6" t="str">
        <f>"400735791"</f>
        <v>400735791</v>
      </c>
      <c r="G1274" s="6" t="str">
        <f>"F310615650000000"</f>
        <v>F310615650000000</v>
      </c>
      <c r="H1274" s="6" t="str">
        <f>"PLAR 6156 - 500 g/m²"</f>
        <v>PLAR 6156 - 500 g/m²</v>
      </c>
      <c r="I1274" s="6" t="str">
        <f>"201921"</f>
        <v>201921</v>
      </c>
      <c r="J1274" s="6" t="str">
        <f>"AZUL 1921"</f>
        <v>AZUL 1921</v>
      </c>
      <c r="K1274" s="6" t="str">
        <f>"1004"</f>
        <v>1004</v>
      </c>
      <c r="L1274" s="6" t="str">
        <f>"Toalhas"</f>
        <v>Toalhas</v>
      </c>
      <c r="M1274" s="6" t="str">
        <f>"41x71"</f>
        <v>41x71</v>
      </c>
      <c r="N1274" s="6" t="str">
        <f t="shared" si="383"/>
        <v xml:space="preserve"> </v>
      </c>
      <c r="O1274" s="8">
        <v>2058</v>
      </c>
      <c r="P1274" s="7">
        <v>46051</v>
      </c>
      <c r="R1274" s="8">
        <v>0</v>
      </c>
      <c r="U1274" s="8">
        <v>0</v>
      </c>
      <c r="X1274" s="8">
        <v>0</v>
      </c>
      <c r="Z1274" s="8">
        <v>0</v>
      </c>
      <c r="AC1274" s="8">
        <v>0</v>
      </c>
      <c r="AF1274" s="8">
        <v>0</v>
      </c>
      <c r="AH1274" s="7">
        <v>46050</v>
      </c>
      <c r="AN1274" s="8">
        <v>0</v>
      </c>
      <c r="AO1274" s="8">
        <v>2058</v>
      </c>
    </row>
    <row r="1275" spans="1:41" x14ac:dyDescent="0.25">
      <c r="A1275" s="6" t="str">
        <f>"521-2026000053"</f>
        <v>521-2026000053</v>
      </c>
      <c r="B1275" s="6" t="str">
        <f t="shared" si="387"/>
        <v>WORLD MA</v>
      </c>
      <c r="C1275" s="7">
        <v>46050</v>
      </c>
      <c r="D1275" s="7">
        <v>46050</v>
      </c>
      <c r="E1275" s="8">
        <v>2</v>
      </c>
      <c r="F1275" s="6" t="str">
        <f>"400735791"</f>
        <v>400735791</v>
      </c>
      <c r="G1275" s="6" t="str">
        <f>"F310638650000000"</f>
        <v>F310638650000000</v>
      </c>
      <c r="H1275" s="6" t="str">
        <f>"PLAR 6386 - 500 g/m²"</f>
        <v>PLAR 6386 - 500 g/m²</v>
      </c>
      <c r="I1275" s="6" t="str">
        <f>"200795"</f>
        <v>200795</v>
      </c>
      <c r="J1275" s="6" t="str">
        <f>"AZUL 795"</f>
        <v>AZUL 795</v>
      </c>
      <c r="K1275" s="6" t="str">
        <f>"1004"</f>
        <v>1004</v>
      </c>
      <c r="L1275" s="6" t="str">
        <f>"Toalhas"</f>
        <v>Toalhas</v>
      </c>
      <c r="M1275" s="6" t="str">
        <f>"41x71"</f>
        <v>41x71</v>
      </c>
      <c r="N1275" s="6" t="str">
        <f t="shared" si="383"/>
        <v xml:space="preserve"> </v>
      </c>
      <c r="O1275" s="8">
        <v>2226</v>
      </c>
      <c r="P1275" s="7">
        <v>46051</v>
      </c>
      <c r="R1275" s="8">
        <v>0</v>
      </c>
      <c r="U1275" s="8">
        <v>0</v>
      </c>
      <c r="X1275" s="8">
        <v>0</v>
      </c>
      <c r="Z1275" s="8">
        <v>0</v>
      </c>
      <c r="AC1275" s="8">
        <v>0</v>
      </c>
      <c r="AF1275" s="8">
        <v>0</v>
      </c>
      <c r="AH1275" s="7">
        <v>46050</v>
      </c>
      <c r="AN1275" s="8">
        <v>0</v>
      </c>
      <c r="AO1275" s="8">
        <v>2226</v>
      </c>
    </row>
    <row r="1276" spans="1:41" x14ac:dyDescent="0.25">
      <c r="A1276" s="6" t="str">
        <f>"521-2026000054"</f>
        <v>521-2026000054</v>
      </c>
      <c r="B1276" s="6" t="str">
        <f t="shared" si="387"/>
        <v>WORLD MA</v>
      </c>
      <c r="C1276" s="7">
        <v>46050</v>
      </c>
      <c r="D1276" s="7">
        <v>46050</v>
      </c>
      <c r="E1276" s="8">
        <v>2</v>
      </c>
      <c r="F1276" s="6" t="str">
        <f>"200735790"</f>
        <v>200735790</v>
      </c>
      <c r="G1276" s="6" t="str">
        <f>"F310615650000000"</f>
        <v>F310615650000000</v>
      </c>
      <c r="H1276" s="6" t="str">
        <f>"PLAR 6156 - 500 g/m²"</f>
        <v>PLAR 6156 - 500 g/m²</v>
      </c>
      <c r="I1276" s="6" t="str">
        <f>"200592"</f>
        <v>200592</v>
      </c>
      <c r="J1276" s="6" t="str">
        <f>"VERDE 592"</f>
        <v>VERDE 592</v>
      </c>
      <c r="K1276" s="6" t="str">
        <f>"1534"</f>
        <v>1534</v>
      </c>
      <c r="L1276" s="6" t="str">
        <f>"Toalhões"</f>
        <v>Toalhões</v>
      </c>
      <c r="M1276" s="6" t="str">
        <f>"70x137"</f>
        <v>70x137</v>
      </c>
      <c r="N1276" s="6" t="str">
        <f t="shared" si="383"/>
        <v xml:space="preserve"> </v>
      </c>
      <c r="O1276" s="8">
        <v>2592</v>
      </c>
      <c r="P1276" s="7">
        <v>46051</v>
      </c>
      <c r="R1276" s="8">
        <v>0</v>
      </c>
      <c r="U1276" s="8">
        <v>0</v>
      </c>
      <c r="X1276" s="8">
        <v>0</v>
      </c>
      <c r="Z1276" s="8">
        <v>0</v>
      </c>
      <c r="AC1276" s="8">
        <v>0</v>
      </c>
      <c r="AF1276" s="8">
        <v>0</v>
      </c>
      <c r="AH1276" s="7">
        <v>46050</v>
      </c>
      <c r="AN1276" s="8">
        <v>0</v>
      </c>
      <c r="AO1276" s="8">
        <v>2592</v>
      </c>
    </row>
    <row r="1277" spans="1:41" x14ac:dyDescent="0.25">
      <c r="A1277" s="6" t="str">
        <f>"521-2026000054"</f>
        <v>521-2026000054</v>
      </c>
      <c r="B1277" s="6" t="str">
        <f t="shared" si="387"/>
        <v>WORLD MA</v>
      </c>
      <c r="C1277" s="7">
        <v>46050</v>
      </c>
      <c r="D1277" s="7">
        <v>46050</v>
      </c>
      <c r="E1277" s="8">
        <v>3</v>
      </c>
      <c r="F1277" s="6" t="str">
        <f>"200735790"</f>
        <v>200735790</v>
      </c>
      <c r="G1277" s="6" t="str">
        <f>"F310615650000000"</f>
        <v>F310615650000000</v>
      </c>
      <c r="H1277" s="6" t="str">
        <f>"PLAR 6156 - 500 g/m²"</f>
        <v>PLAR 6156 - 500 g/m²</v>
      </c>
      <c r="I1277" s="6" t="str">
        <f>"200592"</f>
        <v>200592</v>
      </c>
      <c r="J1277" s="6" t="str">
        <f>"VERDE 592"</f>
        <v>VERDE 592</v>
      </c>
      <c r="K1277" s="6" t="str">
        <f>"1004"</f>
        <v>1004</v>
      </c>
      <c r="L1277" s="6" t="str">
        <f>"Toalhas"</f>
        <v>Toalhas</v>
      </c>
      <c r="M1277" s="6" t="str">
        <f>"41x71"</f>
        <v>41x71</v>
      </c>
      <c r="N1277" s="6" t="str">
        <f t="shared" si="383"/>
        <v xml:space="preserve"> </v>
      </c>
      <c r="O1277" s="8">
        <v>4914</v>
      </c>
      <c r="P1277" s="7">
        <v>46051</v>
      </c>
      <c r="R1277" s="8">
        <v>0</v>
      </c>
      <c r="U1277" s="8">
        <v>0</v>
      </c>
      <c r="X1277" s="8">
        <v>0</v>
      </c>
      <c r="Z1277" s="8">
        <v>0</v>
      </c>
      <c r="AC1277" s="8">
        <v>0</v>
      </c>
      <c r="AF1277" s="8">
        <v>0</v>
      </c>
      <c r="AH1277" s="7">
        <v>46050</v>
      </c>
      <c r="AN1277" s="8">
        <v>0</v>
      </c>
      <c r="AO1277" s="8">
        <v>4914</v>
      </c>
    </row>
    <row r="1278" spans="1:41" x14ac:dyDescent="0.25">
      <c r="A1278" s="6" t="str">
        <f>"521-2026000055"</f>
        <v>521-2026000055</v>
      </c>
      <c r="B1278" s="6" t="str">
        <f t="shared" si="387"/>
        <v>WORLD MA</v>
      </c>
      <c r="C1278" s="7">
        <v>46050</v>
      </c>
      <c r="D1278" s="7">
        <v>46050</v>
      </c>
      <c r="E1278" s="8">
        <v>2</v>
      </c>
      <c r="F1278" s="6" t="str">
        <f>"400735790"</f>
        <v>400735790</v>
      </c>
      <c r="G1278" s="6" t="str">
        <f>"F310615650000000"</f>
        <v>F310615650000000</v>
      </c>
      <c r="H1278" s="6" t="str">
        <f>"PLAR 6156 - 500 g/m²"</f>
        <v>PLAR 6156 - 500 g/m²</v>
      </c>
      <c r="I1278" s="6" t="str">
        <f>"200592"</f>
        <v>200592</v>
      </c>
      <c r="J1278" s="6" t="str">
        <f>"VERDE 592"</f>
        <v>VERDE 592</v>
      </c>
      <c r="K1278" s="6" t="str">
        <f>"1534"</f>
        <v>1534</v>
      </c>
      <c r="L1278" s="6" t="str">
        <f>"Toalhões"</f>
        <v>Toalhões</v>
      </c>
      <c r="M1278" s="6" t="str">
        <f>"70x137"</f>
        <v>70x137</v>
      </c>
      <c r="N1278" s="6" t="str">
        <f t="shared" si="383"/>
        <v xml:space="preserve"> </v>
      </c>
      <c r="O1278" s="8">
        <v>2112</v>
      </c>
      <c r="P1278" s="7">
        <v>46051</v>
      </c>
      <c r="R1278" s="8">
        <v>0</v>
      </c>
      <c r="U1278" s="8">
        <v>0</v>
      </c>
      <c r="X1278" s="8">
        <v>0</v>
      </c>
      <c r="Z1278" s="8">
        <v>0</v>
      </c>
      <c r="AC1278" s="8">
        <v>0</v>
      </c>
      <c r="AF1278" s="8">
        <v>0</v>
      </c>
      <c r="AH1278" s="7">
        <v>46050</v>
      </c>
      <c r="AN1278" s="8">
        <v>0</v>
      </c>
      <c r="AO1278" s="8">
        <v>2112</v>
      </c>
    </row>
    <row r="1279" spans="1:41" x14ac:dyDescent="0.25">
      <c r="A1279" s="6" t="str">
        <f>"521-2026000055"</f>
        <v>521-2026000055</v>
      </c>
      <c r="B1279" s="6" t="str">
        <f t="shared" si="387"/>
        <v>WORLD MA</v>
      </c>
      <c r="C1279" s="7">
        <v>46050</v>
      </c>
      <c r="D1279" s="7">
        <v>46050</v>
      </c>
      <c r="E1279" s="8">
        <v>3</v>
      </c>
      <c r="F1279" s="6" t="str">
        <f>"400735790"</f>
        <v>400735790</v>
      </c>
      <c r="G1279" s="6" t="str">
        <f>"F310615650000000"</f>
        <v>F310615650000000</v>
      </c>
      <c r="H1279" s="6" t="str">
        <f>"PLAR 6156 - 500 g/m²"</f>
        <v>PLAR 6156 - 500 g/m²</v>
      </c>
      <c r="I1279" s="6" t="str">
        <f>"200592"</f>
        <v>200592</v>
      </c>
      <c r="J1279" s="6" t="str">
        <f>"VERDE 592"</f>
        <v>VERDE 592</v>
      </c>
      <c r="K1279" s="6" t="str">
        <f>"1004"</f>
        <v>1004</v>
      </c>
      <c r="L1279" s="6" t="str">
        <f>"Toalhas"</f>
        <v>Toalhas</v>
      </c>
      <c r="M1279" s="6" t="str">
        <f>"41x71"</f>
        <v>41x71</v>
      </c>
      <c r="N1279" s="6" t="str">
        <f t="shared" si="383"/>
        <v xml:space="preserve"> </v>
      </c>
      <c r="O1279" s="8">
        <v>3990</v>
      </c>
      <c r="P1279" s="7">
        <v>46051</v>
      </c>
      <c r="R1279" s="8">
        <v>0</v>
      </c>
      <c r="U1279" s="8">
        <v>0</v>
      </c>
      <c r="X1279" s="8">
        <v>0</v>
      </c>
      <c r="Z1279" s="8">
        <v>0</v>
      </c>
      <c r="AC1279" s="8">
        <v>0</v>
      </c>
      <c r="AF1279" s="8">
        <v>0</v>
      </c>
      <c r="AH1279" s="7">
        <v>46050</v>
      </c>
      <c r="AN1279" s="8">
        <v>0</v>
      </c>
      <c r="AO1279" s="8">
        <v>3990</v>
      </c>
    </row>
    <row r="1280" spans="1:41" x14ac:dyDescent="0.25">
      <c r="A1280" s="6" t="str">
        <f>"521-2026000056"</f>
        <v>521-2026000056</v>
      </c>
      <c r="B1280" s="6" t="str">
        <f>"FRANCOIS"</f>
        <v>FRANCOIS</v>
      </c>
      <c r="C1280" s="7">
        <v>46050</v>
      </c>
      <c r="D1280" s="7">
        <v>46171</v>
      </c>
      <c r="E1280" s="8">
        <v>6</v>
      </c>
      <c r="F1280" s="6" t="str">
        <f>"543873"</f>
        <v>543873</v>
      </c>
      <c r="G1280" s="6" t="str">
        <f>"F300363840000000"</f>
        <v>F300363840000000</v>
      </c>
      <c r="H1280" s="6" t="str">
        <f>"PLR 3638 - 400 g/m²"</f>
        <v>PLR 3638 - 400 g/m²</v>
      </c>
      <c r="I1280" s="6" t="str">
        <f>"204371"</f>
        <v>204371</v>
      </c>
      <c r="J1280" s="6" t="str">
        <f>"TIJOLO 4371"</f>
        <v>TIJOLO 4371</v>
      </c>
      <c r="K1280" s="6" t="str">
        <f>"1532"</f>
        <v>1532</v>
      </c>
      <c r="L1280" s="6" t="str">
        <f>"Toalhões"</f>
        <v>Toalhões</v>
      </c>
      <c r="M1280" s="6" t="str">
        <f>"70x130"</f>
        <v>70x130</v>
      </c>
      <c r="N1280" s="6" t="str">
        <f t="shared" si="383"/>
        <v xml:space="preserve"> </v>
      </c>
      <c r="O1280" s="8">
        <v>1000</v>
      </c>
      <c r="R1280" s="8">
        <v>0</v>
      </c>
      <c r="U1280" s="8">
        <v>0</v>
      </c>
      <c r="X1280" s="8">
        <v>0</v>
      </c>
      <c r="Z1280" s="8">
        <v>0</v>
      </c>
      <c r="AC1280" s="8">
        <v>0</v>
      </c>
      <c r="AF1280" s="8">
        <v>0</v>
      </c>
      <c r="AN1280" s="8">
        <v>0</v>
      </c>
      <c r="AO1280" s="8">
        <v>1000</v>
      </c>
    </row>
    <row r="1281" spans="1:41" x14ac:dyDescent="0.25">
      <c r="A1281" s="6" t="str">
        <f>"521-2026000056"</f>
        <v>521-2026000056</v>
      </c>
      <c r="B1281" s="6" t="str">
        <f>"FRANCOIS"</f>
        <v>FRANCOIS</v>
      </c>
      <c r="C1281" s="7">
        <v>46050</v>
      </c>
      <c r="D1281" s="7">
        <v>46178</v>
      </c>
      <c r="E1281" s="8">
        <v>7</v>
      </c>
      <c r="F1281" s="6" t="str">
        <f>"543873"</f>
        <v>543873</v>
      </c>
      <c r="G1281" s="6" t="str">
        <f>"F300363840000000"</f>
        <v>F300363840000000</v>
      </c>
      <c r="H1281" s="6" t="str">
        <f>"PLR 3638 - 400 g/m²"</f>
        <v>PLR 3638 - 400 g/m²</v>
      </c>
      <c r="I1281" s="6" t="str">
        <f>"204371"</f>
        <v>204371</v>
      </c>
      <c r="J1281" s="6" t="str">
        <f>"TIJOLO 4371"</f>
        <v>TIJOLO 4371</v>
      </c>
      <c r="K1281" s="6" t="str">
        <f>"2020"</f>
        <v>2020</v>
      </c>
      <c r="L1281" s="6" t="str">
        <f>"Lençóis"</f>
        <v>Lençóis</v>
      </c>
      <c r="M1281" s="6" t="str">
        <f>"100x150"</f>
        <v>100x150</v>
      </c>
      <c r="N1281" s="6" t="str">
        <f t="shared" si="383"/>
        <v xml:space="preserve"> </v>
      </c>
      <c r="O1281" s="8">
        <v>504</v>
      </c>
      <c r="R1281" s="8">
        <v>0</v>
      </c>
      <c r="U1281" s="8">
        <v>0</v>
      </c>
      <c r="X1281" s="8">
        <v>0</v>
      </c>
      <c r="Z1281" s="8">
        <v>0</v>
      </c>
      <c r="AC1281" s="8">
        <v>0</v>
      </c>
      <c r="AF1281" s="8">
        <v>0</v>
      </c>
      <c r="AN1281" s="8">
        <v>0</v>
      </c>
      <c r="AO1281" s="8">
        <v>504</v>
      </c>
    </row>
    <row r="1282" spans="1:41" x14ac:dyDescent="0.25">
      <c r="A1282" s="6" t="str">
        <f>"521-2026000056"</f>
        <v>521-2026000056</v>
      </c>
      <c r="B1282" s="6" t="str">
        <f>"FRANCOIS"</f>
        <v>FRANCOIS</v>
      </c>
      <c r="C1282" s="7">
        <v>46050</v>
      </c>
      <c r="D1282" s="7">
        <v>46178</v>
      </c>
      <c r="E1282" s="8">
        <v>8</v>
      </c>
      <c r="F1282" s="6" t="str">
        <f>"543873"</f>
        <v>543873</v>
      </c>
      <c r="G1282" s="6" t="str">
        <f>"J300363840000000"</f>
        <v>J300363840000000</v>
      </c>
      <c r="H1282" s="6" t="str">
        <f>"Conj. PLR 3638 - 400"</f>
        <v>Conj. PLR 3638 - 400</v>
      </c>
      <c r="I1282" s="6" t="str">
        <f>"204371"</f>
        <v>204371</v>
      </c>
      <c r="J1282" s="6" t="str">
        <f>"TIJOLO 4371"</f>
        <v>TIJOLO 4371</v>
      </c>
      <c r="K1282" s="6" t="str">
        <f>"4014"</f>
        <v>4014</v>
      </c>
      <c r="L1282" s="6" t="str">
        <f>"Conjunto/Jogos"</f>
        <v>Conjunto/Jogos</v>
      </c>
      <c r="M1282" s="6" t="str">
        <f>"(2 Pcs)"</f>
        <v>(2 Pcs)</v>
      </c>
      <c r="N1282" s="6" t="str">
        <f t="shared" si="383"/>
        <v xml:space="preserve"> </v>
      </c>
      <c r="O1282" s="8">
        <v>1000</v>
      </c>
      <c r="R1282" s="8">
        <v>0</v>
      </c>
      <c r="U1282" s="8">
        <v>0</v>
      </c>
      <c r="X1282" s="8">
        <v>0</v>
      </c>
      <c r="Z1282" s="8">
        <v>0</v>
      </c>
      <c r="AC1282" s="8">
        <v>0</v>
      </c>
      <c r="AF1282" s="8">
        <v>0</v>
      </c>
      <c r="AN1282" s="8">
        <v>0</v>
      </c>
      <c r="AO1282" s="8">
        <v>1000</v>
      </c>
    </row>
    <row r="1283" spans="1:41" x14ac:dyDescent="0.25">
      <c r="A1283" s="6" t="str">
        <f>"521-2026000057"</f>
        <v>521-2026000057</v>
      </c>
      <c r="B1283" s="6" t="str">
        <f>"SANDER A"</f>
        <v>SANDER A</v>
      </c>
      <c r="C1283" s="7">
        <v>46051</v>
      </c>
      <c r="D1283" s="7">
        <v>46122</v>
      </c>
      <c r="E1283" s="8">
        <v>1</v>
      </c>
      <c r="F1283" s="6" t="str">
        <f>"109948 SKAGA"</f>
        <v>109948 SKAGA</v>
      </c>
      <c r="G1283" s="6" t="str">
        <f>"F310644450000000"</f>
        <v>F310644450000000</v>
      </c>
      <c r="H1283" s="6" t="str">
        <f>"PLAR 6444 - 500 g/m²"</f>
        <v>PLAR 6444 - 500 g/m²</v>
      </c>
      <c r="I1283" s="6" t="str">
        <f>"204255"</f>
        <v>204255</v>
      </c>
      <c r="J1283" s="6" t="str">
        <f>"VERDE 4255"</f>
        <v>VERDE 4255</v>
      </c>
      <c r="K1283" s="6" t="str">
        <f>"0320"</f>
        <v>0320</v>
      </c>
      <c r="L1283" s="6" t="str">
        <f>"Panos"</f>
        <v>Panos</v>
      </c>
      <c r="M1283" s="6" t="str">
        <f>"30x30"</f>
        <v>30x30</v>
      </c>
      <c r="N1283" s="6" t="str">
        <f t="shared" si="383"/>
        <v xml:space="preserve"> </v>
      </c>
      <c r="O1283" s="8">
        <v>600</v>
      </c>
      <c r="P1283" s="7">
        <v>46052</v>
      </c>
      <c r="R1283" s="8">
        <v>0</v>
      </c>
      <c r="U1283" s="8">
        <v>0</v>
      </c>
      <c r="X1283" s="8">
        <v>0</v>
      </c>
      <c r="Z1283" s="8">
        <v>0</v>
      </c>
      <c r="AC1283" s="8">
        <v>0</v>
      </c>
      <c r="AF1283" s="8">
        <v>0</v>
      </c>
      <c r="AH1283" s="7">
        <v>46122</v>
      </c>
      <c r="AN1283" s="8">
        <v>0</v>
      </c>
      <c r="AO1283" s="8">
        <v>600</v>
      </c>
    </row>
    <row r="1284" spans="1:41" x14ac:dyDescent="0.25">
      <c r="A1284" s="6" t="str">
        <f>"521-2026000057"</f>
        <v>521-2026000057</v>
      </c>
      <c r="B1284" s="6" t="str">
        <f>"SANDER A"</f>
        <v>SANDER A</v>
      </c>
      <c r="C1284" s="7">
        <v>46051</v>
      </c>
      <c r="D1284" s="7">
        <v>46122</v>
      </c>
      <c r="E1284" s="8">
        <v>2</v>
      </c>
      <c r="F1284" s="6" t="str">
        <f>"109948 SKAGA"</f>
        <v>109948 SKAGA</v>
      </c>
      <c r="G1284" s="6" t="str">
        <f>"F310644450000000"</f>
        <v>F310644450000000</v>
      </c>
      <c r="H1284" s="6" t="str">
        <f>"PLAR 6444 - 500 g/m²"</f>
        <v>PLAR 6444 - 500 g/m²</v>
      </c>
      <c r="I1284" s="6" t="str">
        <f>"204255"</f>
        <v>204255</v>
      </c>
      <c r="J1284" s="6" t="str">
        <f>"VERDE 4255"</f>
        <v>VERDE 4255</v>
      </c>
      <c r="K1284" s="6" t="str">
        <f>"0520"</f>
        <v>0520</v>
      </c>
      <c r="L1284" s="6" t="str">
        <f>"Toalhetes"</f>
        <v>Toalhetes</v>
      </c>
      <c r="M1284" s="6" t="str">
        <f>"30x50"</f>
        <v>30x50</v>
      </c>
      <c r="N1284" s="6" t="str">
        <f t="shared" si="383"/>
        <v xml:space="preserve"> </v>
      </c>
      <c r="O1284" s="8">
        <v>600</v>
      </c>
      <c r="P1284" s="7">
        <v>46052</v>
      </c>
      <c r="R1284" s="8">
        <v>0</v>
      </c>
      <c r="U1284" s="8">
        <v>0</v>
      </c>
      <c r="X1284" s="8">
        <v>0</v>
      </c>
      <c r="Z1284" s="8">
        <v>0</v>
      </c>
      <c r="AC1284" s="8">
        <v>0</v>
      </c>
      <c r="AF1284" s="8">
        <v>0</v>
      </c>
      <c r="AH1284" s="7">
        <v>46122</v>
      </c>
      <c r="AN1284" s="8">
        <v>0</v>
      </c>
      <c r="AO1284" s="8">
        <v>600</v>
      </c>
    </row>
    <row r="1285" spans="1:41" x14ac:dyDescent="0.25">
      <c r="A1285" s="6" t="str">
        <f>"521-2026000057"</f>
        <v>521-2026000057</v>
      </c>
      <c r="B1285" s="6" t="str">
        <f>"SANDER A"</f>
        <v>SANDER A</v>
      </c>
      <c r="C1285" s="7">
        <v>46051</v>
      </c>
      <c r="D1285" s="7">
        <v>46122</v>
      </c>
      <c r="E1285" s="8">
        <v>3</v>
      </c>
      <c r="F1285" s="6" t="str">
        <f>"109948 SKAGA"</f>
        <v>109948 SKAGA</v>
      </c>
      <c r="G1285" s="6" t="str">
        <f>"F310644450000000"</f>
        <v>F310644450000000</v>
      </c>
      <c r="H1285" s="6" t="str">
        <f>"PLAR 6444 - 500 g/m²"</f>
        <v>PLAR 6444 - 500 g/m²</v>
      </c>
      <c r="I1285" s="6" t="str">
        <f>"204255"</f>
        <v>204255</v>
      </c>
      <c r="J1285" s="6" t="str">
        <f>"VERDE 4255"</f>
        <v>VERDE 4255</v>
      </c>
      <c r="K1285" s="6" t="str">
        <f>"1024"</f>
        <v>1024</v>
      </c>
      <c r="L1285" s="6" t="str">
        <f>"Toalhas"</f>
        <v>Toalhas</v>
      </c>
      <c r="M1285" s="6" t="str">
        <f>"50x100"</f>
        <v>50x100</v>
      </c>
      <c r="N1285" s="6" t="str">
        <f t="shared" si="383"/>
        <v xml:space="preserve"> </v>
      </c>
      <c r="O1285" s="8">
        <v>504</v>
      </c>
      <c r="P1285" s="7">
        <v>46052</v>
      </c>
      <c r="R1285" s="8">
        <v>0</v>
      </c>
      <c r="U1285" s="8">
        <v>0</v>
      </c>
      <c r="X1285" s="8">
        <v>0</v>
      </c>
      <c r="Z1285" s="8">
        <v>0</v>
      </c>
      <c r="AC1285" s="8">
        <v>0</v>
      </c>
      <c r="AF1285" s="8">
        <v>0</v>
      </c>
      <c r="AH1285" s="7">
        <v>46122</v>
      </c>
      <c r="AN1285" s="8">
        <v>0</v>
      </c>
      <c r="AO1285" s="8">
        <v>504</v>
      </c>
    </row>
    <row r="1286" spans="1:41" x14ac:dyDescent="0.25">
      <c r="A1286" s="6" t="str">
        <f>"521-2026000057"</f>
        <v>521-2026000057</v>
      </c>
      <c r="B1286" s="6" t="str">
        <f>"SANDER A"</f>
        <v>SANDER A</v>
      </c>
      <c r="C1286" s="7">
        <v>46051</v>
      </c>
      <c r="D1286" s="7">
        <v>46122</v>
      </c>
      <c r="E1286" s="8">
        <v>4</v>
      </c>
      <c r="F1286" s="6" t="str">
        <f>"109948 SKAGA"</f>
        <v>109948 SKAGA</v>
      </c>
      <c r="G1286" s="6" t="str">
        <f>"F310644450000000"</f>
        <v>F310644450000000</v>
      </c>
      <c r="H1286" s="6" t="str">
        <f>"PLAR 6444 - 500 g/m²"</f>
        <v>PLAR 6444 - 500 g/m²</v>
      </c>
      <c r="I1286" s="6" t="str">
        <f>"204255"</f>
        <v>204255</v>
      </c>
      <c r="J1286" s="6" t="str">
        <f>"VERDE 4255"</f>
        <v>VERDE 4255</v>
      </c>
      <c r="K1286" s="6" t="str">
        <f>"1535"</f>
        <v>1535</v>
      </c>
      <c r="L1286" s="6" t="str">
        <f>"Toalhões"</f>
        <v>Toalhões</v>
      </c>
      <c r="M1286" s="6" t="str">
        <f>"70x140"</f>
        <v>70x140</v>
      </c>
      <c r="N1286" s="6" t="str">
        <f t="shared" si="383"/>
        <v xml:space="preserve"> </v>
      </c>
      <c r="O1286" s="8">
        <v>400</v>
      </c>
      <c r="P1286" s="7">
        <v>46052</v>
      </c>
      <c r="R1286" s="8">
        <v>0</v>
      </c>
      <c r="U1286" s="8">
        <v>0</v>
      </c>
      <c r="X1286" s="8">
        <v>0</v>
      </c>
      <c r="Z1286" s="8">
        <v>0</v>
      </c>
      <c r="AC1286" s="8">
        <v>0</v>
      </c>
      <c r="AF1286" s="8">
        <v>0</v>
      </c>
      <c r="AH1286" s="7">
        <v>46122</v>
      </c>
      <c r="AN1286" s="8">
        <v>0</v>
      </c>
      <c r="AO1286" s="8">
        <v>400</v>
      </c>
    </row>
    <row r="1287" spans="1:41" x14ac:dyDescent="0.25">
      <c r="A1287" s="6" t="str">
        <f>"522-2025004431"</f>
        <v>522-2025004431</v>
      </c>
      <c r="B1287" s="6" t="str">
        <f t="shared" ref="B1287:B1350" si="388">"EL CORTE"</f>
        <v>EL CORTE</v>
      </c>
      <c r="C1287" s="7">
        <v>46020</v>
      </c>
      <c r="D1287" s="7">
        <v>46023</v>
      </c>
      <c r="E1287" s="8">
        <v>1</v>
      </c>
      <c r="F1287" s="6" t="str">
        <f>"94712301_07025"</f>
        <v>94712301_07025</v>
      </c>
      <c r="G1287" s="6" t="str">
        <f t="shared" ref="G1287:G1350" si="389">"F310631650000000"</f>
        <v>F310631650000000</v>
      </c>
      <c r="H1287" s="6" t="str">
        <f t="shared" ref="H1287:H1350" si="390">"PLAR 6316 FD - 500 g"</f>
        <v>PLAR 6316 FD - 500 g</v>
      </c>
      <c r="I1287" s="6" t="str">
        <f>"202575"</f>
        <v>202575</v>
      </c>
      <c r="J1287" s="6" t="str">
        <f>"BEGE 2575"</f>
        <v>BEGE 2575</v>
      </c>
      <c r="K1287" s="6" t="str">
        <f>"1024"</f>
        <v>1024</v>
      </c>
      <c r="L1287" s="6" t="str">
        <f>"Toalhas"</f>
        <v>Toalhas</v>
      </c>
      <c r="M1287" s="6" t="str">
        <f>"50x100"</f>
        <v>50x100</v>
      </c>
      <c r="N1287" s="6" t="str">
        <f>"5602972281088"</f>
        <v>5602972281088</v>
      </c>
      <c r="O1287" s="8">
        <v>6</v>
      </c>
      <c r="R1287" s="8">
        <v>0</v>
      </c>
      <c r="U1287" s="8">
        <v>0</v>
      </c>
      <c r="X1287" s="8">
        <v>0</v>
      </c>
      <c r="Z1287" s="8">
        <v>0</v>
      </c>
      <c r="AC1287" s="8">
        <v>0</v>
      </c>
      <c r="AF1287" s="8">
        <v>0</v>
      </c>
      <c r="AN1287" s="8">
        <v>6</v>
      </c>
      <c r="AO1287" s="8">
        <v>0</v>
      </c>
    </row>
    <row r="1288" spans="1:41" x14ac:dyDescent="0.25">
      <c r="A1288" s="6" t="str">
        <f>"522-2025004431"</f>
        <v>522-2025004431</v>
      </c>
      <c r="B1288" s="6" t="str">
        <f t="shared" si="388"/>
        <v>EL CORTE</v>
      </c>
      <c r="C1288" s="7">
        <v>46020</v>
      </c>
      <c r="D1288" s="7">
        <v>46023</v>
      </c>
      <c r="E1288" s="8">
        <v>2</v>
      </c>
      <c r="F1288" s="6" t="str">
        <f>"94712301_07025"</f>
        <v>94712301_07025</v>
      </c>
      <c r="G1288" s="6" t="str">
        <f t="shared" si="389"/>
        <v>F310631650000000</v>
      </c>
      <c r="H1288" s="6" t="str">
        <f t="shared" si="390"/>
        <v>PLAR 6316 FD - 500 g</v>
      </c>
      <c r="I1288" s="6" t="str">
        <f>"200901"</f>
        <v>200901</v>
      </c>
      <c r="J1288" s="6" t="str">
        <f>"ROSA 901"</f>
        <v>ROSA 901</v>
      </c>
      <c r="K1288" s="6" t="str">
        <f>"0520"</f>
        <v>0520</v>
      </c>
      <c r="L1288" s="6" t="str">
        <f>"Toalhetes"</f>
        <v>Toalhetes</v>
      </c>
      <c r="M1288" s="6" t="str">
        <f>"30x50"</f>
        <v>30x50</v>
      </c>
      <c r="N1288" s="6" t="str">
        <f>"5602972281101"</f>
        <v>5602972281101</v>
      </c>
      <c r="O1288" s="8">
        <v>6</v>
      </c>
      <c r="R1288" s="8">
        <v>0</v>
      </c>
      <c r="U1288" s="8">
        <v>0</v>
      </c>
      <c r="X1288" s="8">
        <v>0</v>
      </c>
      <c r="Z1288" s="8">
        <v>0</v>
      </c>
      <c r="AC1288" s="8">
        <v>0</v>
      </c>
      <c r="AF1288" s="8">
        <v>0</v>
      </c>
      <c r="AN1288" s="8">
        <v>6</v>
      </c>
      <c r="AO1288" s="8">
        <v>0</v>
      </c>
    </row>
    <row r="1289" spans="1:41" x14ac:dyDescent="0.25">
      <c r="A1289" s="6" t="str">
        <f t="shared" ref="A1289:A1294" si="391">"522-2025004432"</f>
        <v>522-2025004432</v>
      </c>
      <c r="B1289" s="6" t="str">
        <f t="shared" si="388"/>
        <v>EL CORTE</v>
      </c>
      <c r="C1289" s="7">
        <v>46020</v>
      </c>
      <c r="D1289" s="7">
        <v>46023</v>
      </c>
      <c r="E1289" s="8">
        <v>1</v>
      </c>
      <c r="F1289" s="6" t="str">
        <f t="shared" ref="F1289:F1294" si="392">"33318401_07025"</f>
        <v>33318401_07025</v>
      </c>
      <c r="G1289" s="6" t="str">
        <f t="shared" si="389"/>
        <v>F310631650000000</v>
      </c>
      <c r="H1289" s="6" t="str">
        <f t="shared" si="390"/>
        <v>PLAR 6316 FD - 500 g</v>
      </c>
      <c r="I1289" s="6" t="str">
        <f>"202575"</f>
        <v>202575</v>
      </c>
      <c r="J1289" s="6" t="str">
        <f>"BEGE 2575"</f>
        <v>BEGE 2575</v>
      </c>
      <c r="K1289" s="6" t="str">
        <f>"0520"</f>
        <v>0520</v>
      </c>
      <c r="L1289" s="6" t="str">
        <f>"Toalhetes"</f>
        <v>Toalhetes</v>
      </c>
      <c r="M1289" s="6" t="str">
        <f>"30x50"</f>
        <v>30x50</v>
      </c>
      <c r="N1289" s="6" t="str">
        <f>"5602972281071"</f>
        <v>5602972281071</v>
      </c>
      <c r="O1289" s="8">
        <v>6</v>
      </c>
      <c r="R1289" s="8">
        <v>0</v>
      </c>
      <c r="U1289" s="8">
        <v>0</v>
      </c>
      <c r="X1289" s="8">
        <v>0</v>
      </c>
      <c r="Z1289" s="8">
        <v>0</v>
      </c>
      <c r="AC1289" s="8">
        <v>0</v>
      </c>
      <c r="AF1289" s="8">
        <v>0</v>
      </c>
      <c r="AN1289" s="8">
        <v>6</v>
      </c>
      <c r="AO1289" s="8">
        <v>0</v>
      </c>
    </row>
    <row r="1290" spans="1:41" x14ac:dyDescent="0.25">
      <c r="A1290" s="6" t="str">
        <f t="shared" si="391"/>
        <v>522-2025004432</v>
      </c>
      <c r="B1290" s="6" t="str">
        <f t="shared" si="388"/>
        <v>EL CORTE</v>
      </c>
      <c r="C1290" s="7">
        <v>46020</v>
      </c>
      <c r="D1290" s="7">
        <v>46023</v>
      </c>
      <c r="E1290" s="8">
        <v>2</v>
      </c>
      <c r="F1290" s="6" t="str">
        <f t="shared" si="392"/>
        <v>33318401_07025</v>
      </c>
      <c r="G1290" s="6" t="str">
        <f t="shared" si="389"/>
        <v>F310631650000000</v>
      </c>
      <c r="H1290" s="6" t="str">
        <f t="shared" si="390"/>
        <v>PLAR 6316 FD - 500 g</v>
      </c>
      <c r="I1290" s="6" t="str">
        <f>"202575"</f>
        <v>202575</v>
      </c>
      <c r="J1290" s="6" t="str">
        <f>"BEGE 2575"</f>
        <v>BEGE 2575</v>
      </c>
      <c r="K1290" s="6" t="str">
        <f>"1024"</f>
        <v>1024</v>
      </c>
      <c r="L1290" s="6" t="str">
        <f>"Toalhas"</f>
        <v>Toalhas</v>
      </c>
      <c r="M1290" s="6" t="str">
        <f>"50x100"</f>
        <v>50x100</v>
      </c>
      <c r="N1290" s="6" t="str">
        <f>"5602972281088"</f>
        <v>5602972281088</v>
      </c>
      <c r="O1290" s="8">
        <v>6</v>
      </c>
      <c r="R1290" s="8">
        <v>0</v>
      </c>
      <c r="U1290" s="8">
        <v>0</v>
      </c>
      <c r="X1290" s="8">
        <v>0</v>
      </c>
      <c r="Z1290" s="8">
        <v>0</v>
      </c>
      <c r="AC1290" s="8">
        <v>0</v>
      </c>
      <c r="AF1290" s="8">
        <v>0</v>
      </c>
      <c r="AN1290" s="8">
        <v>6</v>
      </c>
      <c r="AO1290" s="8">
        <v>0</v>
      </c>
    </row>
    <row r="1291" spans="1:41" x14ac:dyDescent="0.25">
      <c r="A1291" s="6" t="str">
        <f t="shared" si="391"/>
        <v>522-2025004432</v>
      </c>
      <c r="B1291" s="6" t="str">
        <f t="shared" si="388"/>
        <v>EL CORTE</v>
      </c>
      <c r="C1291" s="7">
        <v>46020</v>
      </c>
      <c r="D1291" s="7">
        <v>46023</v>
      </c>
      <c r="E1291" s="8">
        <v>3</v>
      </c>
      <c r="F1291" s="6" t="str">
        <f t="shared" si="392"/>
        <v>33318401_07025</v>
      </c>
      <c r="G1291" s="6" t="str">
        <f t="shared" si="389"/>
        <v>F310631650000000</v>
      </c>
      <c r="H1291" s="6" t="str">
        <f t="shared" si="390"/>
        <v>PLAR 6316 FD - 500 g</v>
      </c>
      <c r="I1291" s="6" t="str">
        <f>"202575"</f>
        <v>202575</v>
      </c>
      <c r="J1291" s="6" t="str">
        <f>"BEGE 2575"</f>
        <v>BEGE 2575</v>
      </c>
      <c r="K1291" s="6" t="str">
        <f>"2020"</f>
        <v>2020</v>
      </c>
      <c r="L1291" s="6" t="str">
        <f>"Lençóis"</f>
        <v>Lençóis</v>
      </c>
      <c r="M1291" s="6" t="str">
        <f>"100x150"</f>
        <v>100x150</v>
      </c>
      <c r="N1291" s="6" t="str">
        <f>"5602972281095"</f>
        <v>5602972281095</v>
      </c>
      <c r="O1291" s="8">
        <v>3</v>
      </c>
      <c r="R1291" s="8">
        <v>0</v>
      </c>
      <c r="U1291" s="8">
        <v>0</v>
      </c>
      <c r="X1291" s="8">
        <v>0</v>
      </c>
      <c r="Z1291" s="8">
        <v>0</v>
      </c>
      <c r="AC1291" s="8">
        <v>0</v>
      </c>
      <c r="AF1291" s="8">
        <v>0</v>
      </c>
      <c r="AN1291" s="8">
        <v>3</v>
      </c>
      <c r="AO1291" s="8">
        <v>0</v>
      </c>
    </row>
    <row r="1292" spans="1:41" x14ac:dyDescent="0.25">
      <c r="A1292" s="6" t="str">
        <f t="shared" si="391"/>
        <v>522-2025004432</v>
      </c>
      <c r="B1292" s="6" t="str">
        <f t="shared" si="388"/>
        <v>EL CORTE</v>
      </c>
      <c r="C1292" s="7">
        <v>46020</v>
      </c>
      <c r="D1292" s="7">
        <v>46023</v>
      </c>
      <c r="E1292" s="8">
        <v>4</v>
      </c>
      <c r="F1292" s="6" t="str">
        <f t="shared" si="392"/>
        <v>33318401_07025</v>
      </c>
      <c r="G1292" s="6" t="str">
        <f t="shared" si="389"/>
        <v>F310631650000000</v>
      </c>
      <c r="H1292" s="6" t="str">
        <f t="shared" si="390"/>
        <v>PLAR 6316 FD - 500 g</v>
      </c>
      <c r="I1292" s="6" t="str">
        <f>"200901"</f>
        <v>200901</v>
      </c>
      <c r="J1292" s="6" t="str">
        <f>"ROSA 901"</f>
        <v>ROSA 901</v>
      </c>
      <c r="K1292" s="6" t="str">
        <f>"1024"</f>
        <v>1024</v>
      </c>
      <c r="L1292" s="6" t="str">
        <f>"Toalhas"</f>
        <v>Toalhas</v>
      </c>
      <c r="M1292" s="6" t="str">
        <f>"50x100"</f>
        <v>50x100</v>
      </c>
      <c r="N1292" s="6" t="str">
        <f>"5602972281118"</f>
        <v>5602972281118</v>
      </c>
      <c r="O1292" s="8">
        <v>6</v>
      </c>
      <c r="R1292" s="8">
        <v>0</v>
      </c>
      <c r="U1292" s="8">
        <v>0</v>
      </c>
      <c r="X1292" s="8">
        <v>0</v>
      </c>
      <c r="Z1292" s="8">
        <v>0</v>
      </c>
      <c r="AC1292" s="8">
        <v>0</v>
      </c>
      <c r="AF1292" s="8">
        <v>0</v>
      </c>
      <c r="AN1292" s="8">
        <v>6</v>
      </c>
      <c r="AO1292" s="8">
        <v>0</v>
      </c>
    </row>
    <row r="1293" spans="1:41" x14ac:dyDescent="0.25">
      <c r="A1293" s="6" t="str">
        <f t="shared" si="391"/>
        <v>522-2025004432</v>
      </c>
      <c r="B1293" s="6" t="str">
        <f t="shared" si="388"/>
        <v>EL CORTE</v>
      </c>
      <c r="C1293" s="7">
        <v>46020</v>
      </c>
      <c r="D1293" s="7">
        <v>46023</v>
      </c>
      <c r="E1293" s="8">
        <v>5</v>
      </c>
      <c r="F1293" s="6" t="str">
        <f t="shared" si="392"/>
        <v>33318401_07025</v>
      </c>
      <c r="G1293" s="6" t="str">
        <f t="shared" si="389"/>
        <v>F310631650000000</v>
      </c>
      <c r="H1293" s="6" t="str">
        <f t="shared" si="390"/>
        <v>PLAR 6316 FD - 500 g</v>
      </c>
      <c r="I1293" s="6" t="str">
        <f>"200901"</f>
        <v>200901</v>
      </c>
      <c r="J1293" s="6" t="str">
        <f>"ROSA 901"</f>
        <v>ROSA 901</v>
      </c>
      <c r="K1293" s="6" t="str">
        <f>"2020"</f>
        <v>2020</v>
      </c>
      <c r="L1293" s="6" t="str">
        <f>"Lençóis"</f>
        <v>Lençóis</v>
      </c>
      <c r="M1293" s="6" t="str">
        <f>"100x150"</f>
        <v>100x150</v>
      </c>
      <c r="N1293" s="6" t="str">
        <f>"5602972281125"</f>
        <v>5602972281125</v>
      </c>
      <c r="O1293" s="8">
        <v>3</v>
      </c>
      <c r="R1293" s="8">
        <v>0</v>
      </c>
      <c r="U1293" s="8">
        <v>0</v>
      </c>
      <c r="X1293" s="8">
        <v>0</v>
      </c>
      <c r="Z1293" s="8">
        <v>0</v>
      </c>
      <c r="AC1293" s="8">
        <v>0</v>
      </c>
      <c r="AF1293" s="8">
        <v>0</v>
      </c>
      <c r="AN1293" s="8">
        <v>3</v>
      </c>
      <c r="AO1293" s="8">
        <v>0</v>
      </c>
    </row>
    <row r="1294" spans="1:41" x14ac:dyDescent="0.25">
      <c r="A1294" s="6" t="str">
        <f t="shared" si="391"/>
        <v>522-2025004432</v>
      </c>
      <c r="B1294" s="6" t="str">
        <f t="shared" si="388"/>
        <v>EL CORTE</v>
      </c>
      <c r="C1294" s="7">
        <v>46020</v>
      </c>
      <c r="D1294" s="7">
        <v>46023</v>
      </c>
      <c r="E1294" s="8">
        <v>6</v>
      </c>
      <c r="F1294" s="6" t="str">
        <f t="shared" si="392"/>
        <v>33318401_07025</v>
      </c>
      <c r="G1294" s="6" t="str">
        <f t="shared" si="389"/>
        <v>F310631650000000</v>
      </c>
      <c r="H1294" s="6" t="str">
        <f t="shared" si="390"/>
        <v>PLAR 6316 FD - 500 g</v>
      </c>
      <c r="I1294" s="6" t="str">
        <f>"200510"</f>
        <v>200510</v>
      </c>
      <c r="J1294" s="6" t="str">
        <f>"VERDE 510"</f>
        <v>VERDE 510</v>
      </c>
      <c r="K1294" s="6" t="str">
        <f>"1024"</f>
        <v>1024</v>
      </c>
      <c r="L1294" s="6" t="str">
        <f>"Toalhas"</f>
        <v>Toalhas</v>
      </c>
      <c r="M1294" s="6" t="str">
        <f>"50x100"</f>
        <v>50x100</v>
      </c>
      <c r="N1294" s="6" t="str">
        <f>"5602972281149"</f>
        <v>5602972281149</v>
      </c>
      <c r="O1294" s="8">
        <v>6</v>
      </c>
      <c r="R1294" s="8">
        <v>0</v>
      </c>
      <c r="U1294" s="8">
        <v>0</v>
      </c>
      <c r="X1294" s="8">
        <v>0</v>
      </c>
      <c r="Z1294" s="8">
        <v>0</v>
      </c>
      <c r="AC1294" s="8">
        <v>0</v>
      </c>
      <c r="AF1294" s="8">
        <v>0</v>
      </c>
      <c r="AN1294" s="8">
        <v>6</v>
      </c>
      <c r="AO1294" s="8">
        <v>0</v>
      </c>
    </row>
    <row r="1295" spans="1:41" x14ac:dyDescent="0.25">
      <c r="A1295" s="6" t="str">
        <f>"522-2025004433"</f>
        <v>522-2025004433</v>
      </c>
      <c r="B1295" s="6" t="str">
        <f t="shared" si="388"/>
        <v>EL CORTE</v>
      </c>
      <c r="C1295" s="7">
        <v>46020</v>
      </c>
      <c r="D1295" s="7">
        <v>46023</v>
      </c>
      <c r="E1295" s="8">
        <v>1</v>
      </c>
      <c r="F1295" s="6" t="str">
        <f>"33318501_07025"</f>
        <v>33318501_07025</v>
      </c>
      <c r="G1295" s="6" t="str">
        <f t="shared" si="389"/>
        <v>F310631650000000</v>
      </c>
      <c r="H1295" s="6" t="str">
        <f t="shared" si="390"/>
        <v>PLAR 6316 FD - 500 g</v>
      </c>
      <c r="I1295" s="6" t="str">
        <f>"202575"</f>
        <v>202575</v>
      </c>
      <c r="J1295" s="6" t="str">
        <f>"BEGE 2575"</f>
        <v>BEGE 2575</v>
      </c>
      <c r="K1295" s="6" t="str">
        <f>"0520"</f>
        <v>0520</v>
      </c>
      <c r="L1295" s="6" t="str">
        <f>"Toalhetes"</f>
        <v>Toalhetes</v>
      </c>
      <c r="M1295" s="6" t="str">
        <f>"30x50"</f>
        <v>30x50</v>
      </c>
      <c r="N1295" s="6" t="str">
        <f>"5602972281071"</f>
        <v>5602972281071</v>
      </c>
      <c r="O1295" s="8">
        <v>6</v>
      </c>
      <c r="R1295" s="8">
        <v>0</v>
      </c>
      <c r="U1295" s="8">
        <v>0</v>
      </c>
      <c r="X1295" s="8">
        <v>0</v>
      </c>
      <c r="Z1295" s="8">
        <v>0</v>
      </c>
      <c r="AC1295" s="8">
        <v>0</v>
      </c>
      <c r="AF1295" s="8">
        <v>0</v>
      </c>
      <c r="AN1295" s="8">
        <v>6</v>
      </c>
      <c r="AO1295" s="8">
        <v>0</v>
      </c>
    </row>
    <row r="1296" spans="1:41" x14ac:dyDescent="0.25">
      <c r="A1296" s="6" t="str">
        <f>"522-2025004433"</f>
        <v>522-2025004433</v>
      </c>
      <c r="B1296" s="6" t="str">
        <f t="shared" si="388"/>
        <v>EL CORTE</v>
      </c>
      <c r="C1296" s="7">
        <v>46020</v>
      </c>
      <c r="D1296" s="7">
        <v>46023</v>
      </c>
      <c r="E1296" s="8">
        <v>2</v>
      </c>
      <c r="F1296" s="6" t="str">
        <f>"33318501_07025"</f>
        <v>33318501_07025</v>
      </c>
      <c r="G1296" s="6" t="str">
        <f t="shared" si="389"/>
        <v>F310631650000000</v>
      </c>
      <c r="H1296" s="6" t="str">
        <f t="shared" si="390"/>
        <v>PLAR 6316 FD - 500 g</v>
      </c>
      <c r="I1296" s="6" t="str">
        <f>"202575"</f>
        <v>202575</v>
      </c>
      <c r="J1296" s="6" t="str">
        <f>"BEGE 2575"</f>
        <v>BEGE 2575</v>
      </c>
      <c r="K1296" s="6" t="str">
        <f>"1024"</f>
        <v>1024</v>
      </c>
      <c r="L1296" s="6" t="str">
        <f>"Toalhas"</f>
        <v>Toalhas</v>
      </c>
      <c r="M1296" s="6" t="str">
        <f>"50x100"</f>
        <v>50x100</v>
      </c>
      <c r="N1296" s="6" t="str">
        <f>"5602972281088"</f>
        <v>5602972281088</v>
      </c>
      <c r="O1296" s="8">
        <v>6</v>
      </c>
      <c r="R1296" s="8">
        <v>0</v>
      </c>
      <c r="U1296" s="8">
        <v>0</v>
      </c>
      <c r="X1296" s="8">
        <v>0</v>
      </c>
      <c r="Z1296" s="8">
        <v>0</v>
      </c>
      <c r="AC1296" s="8">
        <v>0</v>
      </c>
      <c r="AF1296" s="8">
        <v>0</v>
      </c>
      <c r="AN1296" s="8">
        <v>6</v>
      </c>
      <c r="AO1296" s="8">
        <v>0</v>
      </c>
    </row>
    <row r="1297" spans="1:41" x14ac:dyDescent="0.25">
      <c r="A1297" s="6" t="str">
        <f>"522-2025004433"</f>
        <v>522-2025004433</v>
      </c>
      <c r="B1297" s="6" t="str">
        <f t="shared" si="388"/>
        <v>EL CORTE</v>
      </c>
      <c r="C1297" s="7">
        <v>46020</v>
      </c>
      <c r="D1297" s="7">
        <v>46023</v>
      </c>
      <c r="E1297" s="8">
        <v>3</v>
      </c>
      <c r="F1297" s="6" t="str">
        <f>"33318501_07025"</f>
        <v>33318501_07025</v>
      </c>
      <c r="G1297" s="6" t="str">
        <f t="shared" si="389"/>
        <v>F310631650000000</v>
      </c>
      <c r="H1297" s="6" t="str">
        <f t="shared" si="390"/>
        <v>PLAR 6316 FD - 500 g</v>
      </c>
      <c r="I1297" s="6" t="str">
        <f>"202575"</f>
        <v>202575</v>
      </c>
      <c r="J1297" s="6" t="str">
        <f>"BEGE 2575"</f>
        <v>BEGE 2575</v>
      </c>
      <c r="K1297" s="6" t="str">
        <f>"2020"</f>
        <v>2020</v>
      </c>
      <c r="L1297" s="6" t="str">
        <f>"Lençóis"</f>
        <v>Lençóis</v>
      </c>
      <c r="M1297" s="6" t="str">
        <f>"100x150"</f>
        <v>100x150</v>
      </c>
      <c r="N1297" s="6" t="str">
        <f>"5602972281095"</f>
        <v>5602972281095</v>
      </c>
      <c r="O1297" s="8">
        <v>6</v>
      </c>
      <c r="R1297" s="8">
        <v>0</v>
      </c>
      <c r="U1297" s="8">
        <v>0</v>
      </c>
      <c r="X1297" s="8">
        <v>0</v>
      </c>
      <c r="Z1297" s="8">
        <v>0</v>
      </c>
      <c r="AC1297" s="8">
        <v>0</v>
      </c>
      <c r="AF1297" s="8">
        <v>0</v>
      </c>
      <c r="AN1297" s="8">
        <v>6</v>
      </c>
      <c r="AO1297" s="8">
        <v>0</v>
      </c>
    </row>
    <row r="1298" spans="1:41" x14ac:dyDescent="0.25">
      <c r="A1298" s="6" t="str">
        <f>"522-2025004433"</f>
        <v>522-2025004433</v>
      </c>
      <c r="B1298" s="6" t="str">
        <f t="shared" si="388"/>
        <v>EL CORTE</v>
      </c>
      <c r="C1298" s="7">
        <v>46020</v>
      </c>
      <c r="D1298" s="7">
        <v>46023</v>
      </c>
      <c r="E1298" s="8">
        <v>4</v>
      </c>
      <c r="F1298" s="6" t="str">
        <f>"33318501_07025"</f>
        <v>33318501_07025</v>
      </c>
      <c r="G1298" s="6" t="str">
        <f t="shared" si="389"/>
        <v>F310631650000000</v>
      </c>
      <c r="H1298" s="6" t="str">
        <f t="shared" si="390"/>
        <v>PLAR 6316 FD - 500 g</v>
      </c>
      <c r="I1298" s="6" t="str">
        <f>"200901"</f>
        <v>200901</v>
      </c>
      <c r="J1298" s="6" t="str">
        <f>"ROSA 901"</f>
        <v>ROSA 901</v>
      </c>
      <c r="K1298" s="6" t="str">
        <f>"2020"</f>
        <v>2020</v>
      </c>
      <c r="L1298" s="6" t="str">
        <f>"Lençóis"</f>
        <v>Lençóis</v>
      </c>
      <c r="M1298" s="6" t="str">
        <f>"100x150"</f>
        <v>100x150</v>
      </c>
      <c r="N1298" s="6" t="str">
        <f>"5602972281125"</f>
        <v>5602972281125</v>
      </c>
      <c r="O1298" s="8">
        <v>3</v>
      </c>
      <c r="R1298" s="8">
        <v>0</v>
      </c>
      <c r="U1298" s="8">
        <v>0</v>
      </c>
      <c r="X1298" s="8">
        <v>0</v>
      </c>
      <c r="Z1298" s="8">
        <v>0</v>
      </c>
      <c r="AC1298" s="8">
        <v>0</v>
      </c>
      <c r="AF1298" s="8">
        <v>0</v>
      </c>
      <c r="AN1298" s="8">
        <v>3</v>
      </c>
      <c r="AO1298" s="8">
        <v>0</v>
      </c>
    </row>
    <row r="1299" spans="1:41" x14ac:dyDescent="0.25">
      <c r="A1299" s="6" t="str">
        <f>"522-2025004433"</f>
        <v>522-2025004433</v>
      </c>
      <c r="B1299" s="6" t="str">
        <f t="shared" si="388"/>
        <v>EL CORTE</v>
      </c>
      <c r="C1299" s="7">
        <v>46020</v>
      </c>
      <c r="D1299" s="7">
        <v>46023</v>
      </c>
      <c r="E1299" s="8">
        <v>5</v>
      </c>
      <c r="F1299" s="6" t="str">
        <f>"33318501_07025"</f>
        <v>33318501_07025</v>
      </c>
      <c r="G1299" s="6" t="str">
        <f t="shared" si="389"/>
        <v>F310631650000000</v>
      </c>
      <c r="H1299" s="6" t="str">
        <f t="shared" si="390"/>
        <v>PLAR 6316 FD - 500 g</v>
      </c>
      <c r="I1299" s="6" t="str">
        <f>"200510"</f>
        <v>200510</v>
      </c>
      <c r="J1299" s="6" t="str">
        <f>"VERDE 510"</f>
        <v>VERDE 510</v>
      </c>
      <c r="K1299" s="6" t="str">
        <f>"0520"</f>
        <v>0520</v>
      </c>
      <c r="L1299" s="6" t="str">
        <f>"Toalhetes"</f>
        <v>Toalhetes</v>
      </c>
      <c r="M1299" s="6" t="str">
        <f>"30x50"</f>
        <v>30x50</v>
      </c>
      <c r="N1299" s="6" t="str">
        <f>"5602972281132"</f>
        <v>5602972281132</v>
      </c>
      <c r="O1299" s="8">
        <v>6</v>
      </c>
      <c r="R1299" s="8">
        <v>0</v>
      </c>
      <c r="U1299" s="8">
        <v>0</v>
      </c>
      <c r="X1299" s="8">
        <v>0</v>
      </c>
      <c r="Z1299" s="8">
        <v>0</v>
      </c>
      <c r="AC1299" s="8">
        <v>0</v>
      </c>
      <c r="AF1299" s="8">
        <v>0</v>
      </c>
      <c r="AN1299" s="8">
        <v>6</v>
      </c>
      <c r="AO1299" s="8">
        <v>0</v>
      </c>
    </row>
    <row r="1300" spans="1:41" x14ac:dyDescent="0.25">
      <c r="A1300" s="6" t="str">
        <f>"522-2025004434"</f>
        <v>522-2025004434</v>
      </c>
      <c r="B1300" s="6" t="str">
        <f t="shared" si="388"/>
        <v>EL CORTE</v>
      </c>
      <c r="C1300" s="7">
        <v>46020</v>
      </c>
      <c r="D1300" s="7">
        <v>46023</v>
      </c>
      <c r="E1300" s="8">
        <v>1</v>
      </c>
      <c r="F1300" s="6" t="str">
        <f>"94712401_07025"</f>
        <v>94712401_07025</v>
      </c>
      <c r="G1300" s="6" t="str">
        <f t="shared" si="389"/>
        <v>F310631650000000</v>
      </c>
      <c r="H1300" s="6" t="str">
        <f t="shared" si="390"/>
        <v>PLAR 6316 FD - 500 g</v>
      </c>
      <c r="I1300" s="6" t="str">
        <f>"202575"</f>
        <v>202575</v>
      </c>
      <c r="J1300" s="6" t="str">
        <f>"BEGE 2575"</f>
        <v>BEGE 2575</v>
      </c>
      <c r="K1300" s="6" t="str">
        <f>"1024"</f>
        <v>1024</v>
      </c>
      <c r="L1300" s="6" t="str">
        <f>"Toalhas"</f>
        <v>Toalhas</v>
      </c>
      <c r="M1300" s="6" t="str">
        <f>"50x100"</f>
        <v>50x100</v>
      </c>
      <c r="N1300" s="6" t="str">
        <f>"5602972281088"</f>
        <v>5602972281088</v>
      </c>
      <c r="O1300" s="8">
        <v>6</v>
      </c>
      <c r="R1300" s="8">
        <v>0</v>
      </c>
      <c r="U1300" s="8">
        <v>0</v>
      </c>
      <c r="X1300" s="8">
        <v>0</v>
      </c>
      <c r="Z1300" s="8">
        <v>0</v>
      </c>
      <c r="AC1300" s="8">
        <v>0</v>
      </c>
      <c r="AF1300" s="8">
        <v>0</v>
      </c>
      <c r="AN1300" s="8">
        <v>6</v>
      </c>
      <c r="AO1300" s="8">
        <v>0</v>
      </c>
    </row>
    <row r="1301" spans="1:41" x14ac:dyDescent="0.25">
      <c r="A1301" s="6" t="str">
        <f>"522-2025004434"</f>
        <v>522-2025004434</v>
      </c>
      <c r="B1301" s="6" t="str">
        <f t="shared" si="388"/>
        <v>EL CORTE</v>
      </c>
      <c r="C1301" s="7">
        <v>46020</v>
      </c>
      <c r="D1301" s="7">
        <v>46023</v>
      </c>
      <c r="E1301" s="8">
        <v>2</v>
      </c>
      <c r="F1301" s="6" t="str">
        <f>"94712401_07025"</f>
        <v>94712401_07025</v>
      </c>
      <c r="G1301" s="6" t="str">
        <f t="shared" si="389"/>
        <v>F310631650000000</v>
      </c>
      <c r="H1301" s="6" t="str">
        <f t="shared" si="390"/>
        <v>PLAR 6316 FD - 500 g</v>
      </c>
      <c r="I1301" s="6" t="str">
        <f>"202575"</f>
        <v>202575</v>
      </c>
      <c r="J1301" s="6" t="str">
        <f>"BEGE 2575"</f>
        <v>BEGE 2575</v>
      </c>
      <c r="K1301" s="6" t="str">
        <f>"2020"</f>
        <v>2020</v>
      </c>
      <c r="L1301" s="6" t="str">
        <f>"Lençóis"</f>
        <v>Lençóis</v>
      </c>
      <c r="M1301" s="6" t="str">
        <f>"100x150"</f>
        <v>100x150</v>
      </c>
      <c r="N1301" s="6" t="str">
        <f>"5602972281095"</f>
        <v>5602972281095</v>
      </c>
      <c r="O1301" s="8">
        <v>3</v>
      </c>
      <c r="R1301" s="8">
        <v>0</v>
      </c>
      <c r="U1301" s="8">
        <v>0</v>
      </c>
      <c r="X1301" s="8">
        <v>0</v>
      </c>
      <c r="Z1301" s="8">
        <v>0</v>
      </c>
      <c r="AC1301" s="8">
        <v>0</v>
      </c>
      <c r="AF1301" s="8">
        <v>0</v>
      </c>
      <c r="AN1301" s="8">
        <v>3</v>
      </c>
      <c r="AO1301" s="8">
        <v>0</v>
      </c>
    </row>
    <row r="1302" spans="1:41" x14ac:dyDescent="0.25">
      <c r="A1302" s="6" t="str">
        <f>"522-2025004435"</f>
        <v>522-2025004435</v>
      </c>
      <c r="B1302" s="6" t="str">
        <f t="shared" si="388"/>
        <v>EL CORTE</v>
      </c>
      <c r="C1302" s="7">
        <v>46020</v>
      </c>
      <c r="D1302" s="7">
        <v>46023</v>
      </c>
      <c r="E1302" s="8">
        <v>1</v>
      </c>
      <c r="F1302" s="6" t="str">
        <f>"94712601_07025"</f>
        <v>94712601_07025</v>
      </c>
      <c r="G1302" s="6" t="str">
        <f t="shared" si="389"/>
        <v>F310631650000000</v>
      </c>
      <c r="H1302" s="6" t="str">
        <f t="shared" si="390"/>
        <v>PLAR 6316 FD - 500 g</v>
      </c>
      <c r="I1302" s="6" t="str">
        <f>"202575"</f>
        <v>202575</v>
      </c>
      <c r="J1302" s="6" t="str">
        <f>"BEGE 2575"</f>
        <v>BEGE 2575</v>
      </c>
      <c r="K1302" s="6" t="str">
        <f>"2020"</f>
        <v>2020</v>
      </c>
      <c r="L1302" s="6" t="str">
        <f>"Lençóis"</f>
        <v>Lençóis</v>
      </c>
      <c r="M1302" s="6" t="str">
        <f>"100x150"</f>
        <v>100x150</v>
      </c>
      <c r="N1302" s="6" t="str">
        <f>"5602972281095"</f>
        <v>5602972281095</v>
      </c>
      <c r="O1302" s="8">
        <v>3</v>
      </c>
      <c r="R1302" s="8">
        <v>0</v>
      </c>
      <c r="U1302" s="8">
        <v>0</v>
      </c>
      <c r="X1302" s="8">
        <v>0</v>
      </c>
      <c r="Z1302" s="8">
        <v>0</v>
      </c>
      <c r="AC1302" s="8">
        <v>0</v>
      </c>
      <c r="AF1302" s="8">
        <v>0</v>
      </c>
      <c r="AN1302" s="8">
        <v>3</v>
      </c>
      <c r="AO1302" s="8">
        <v>0</v>
      </c>
    </row>
    <row r="1303" spans="1:41" x14ac:dyDescent="0.25">
      <c r="A1303" s="6" t="str">
        <f>"522-2025004436"</f>
        <v>522-2025004436</v>
      </c>
      <c r="B1303" s="6" t="str">
        <f t="shared" si="388"/>
        <v>EL CORTE</v>
      </c>
      <c r="C1303" s="7">
        <v>46020</v>
      </c>
      <c r="D1303" s="7">
        <v>46023</v>
      </c>
      <c r="E1303" s="8">
        <v>1</v>
      </c>
      <c r="F1303" s="6" t="str">
        <f>"94712701_07025"</f>
        <v>94712701_07025</v>
      </c>
      <c r="G1303" s="6" t="str">
        <f t="shared" si="389"/>
        <v>F310631650000000</v>
      </c>
      <c r="H1303" s="6" t="str">
        <f t="shared" si="390"/>
        <v>PLAR 6316 FD - 500 g</v>
      </c>
      <c r="I1303" s="6" t="str">
        <f>"201855"</f>
        <v>201855</v>
      </c>
      <c r="J1303" s="6" t="str">
        <f>"AZUL 1855"</f>
        <v>AZUL 1855</v>
      </c>
      <c r="K1303" s="6" t="str">
        <f>"2020"</f>
        <v>2020</v>
      </c>
      <c r="L1303" s="6" t="str">
        <f>"Lençóis"</f>
        <v>Lençóis</v>
      </c>
      <c r="M1303" s="6" t="str">
        <f>"100x150"</f>
        <v>100x150</v>
      </c>
      <c r="N1303" s="6" t="str">
        <f>"5602972281064"</f>
        <v>5602972281064</v>
      </c>
      <c r="O1303" s="8">
        <v>3</v>
      </c>
      <c r="R1303" s="8">
        <v>0</v>
      </c>
      <c r="U1303" s="8">
        <v>0</v>
      </c>
      <c r="X1303" s="8">
        <v>0</v>
      </c>
      <c r="Z1303" s="8">
        <v>0</v>
      </c>
      <c r="AC1303" s="8">
        <v>0</v>
      </c>
      <c r="AF1303" s="8">
        <v>0</v>
      </c>
      <c r="AN1303" s="8">
        <v>0</v>
      </c>
      <c r="AO1303" s="8">
        <v>3</v>
      </c>
    </row>
    <row r="1304" spans="1:41" x14ac:dyDescent="0.25">
      <c r="A1304" s="6" t="str">
        <f>"522-2025004436"</f>
        <v>522-2025004436</v>
      </c>
      <c r="B1304" s="6" t="str">
        <f t="shared" si="388"/>
        <v>EL CORTE</v>
      </c>
      <c r="C1304" s="7">
        <v>46020</v>
      </c>
      <c r="D1304" s="7">
        <v>46023</v>
      </c>
      <c r="E1304" s="8">
        <v>2</v>
      </c>
      <c r="F1304" s="6" t="str">
        <f>"94712701_07025"</f>
        <v>94712701_07025</v>
      </c>
      <c r="G1304" s="6" t="str">
        <f t="shared" si="389"/>
        <v>F310631650000000</v>
      </c>
      <c r="H1304" s="6" t="str">
        <f t="shared" si="390"/>
        <v>PLAR 6316 FD - 500 g</v>
      </c>
      <c r="I1304" s="6" t="str">
        <f>"202575"</f>
        <v>202575</v>
      </c>
      <c r="J1304" s="6" t="str">
        <f>"BEGE 2575"</f>
        <v>BEGE 2575</v>
      </c>
      <c r="K1304" s="6" t="str">
        <f>"0520"</f>
        <v>0520</v>
      </c>
      <c r="L1304" s="6" t="str">
        <f>"Toalhetes"</f>
        <v>Toalhetes</v>
      </c>
      <c r="M1304" s="6" t="str">
        <f>"30x50"</f>
        <v>30x50</v>
      </c>
      <c r="N1304" s="6" t="str">
        <f>"5602972281071"</f>
        <v>5602972281071</v>
      </c>
      <c r="O1304" s="8">
        <v>6</v>
      </c>
      <c r="R1304" s="8">
        <v>0</v>
      </c>
      <c r="U1304" s="8">
        <v>0</v>
      </c>
      <c r="X1304" s="8">
        <v>0</v>
      </c>
      <c r="Z1304" s="8">
        <v>0</v>
      </c>
      <c r="AC1304" s="8">
        <v>0</v>
      </c>
      <c r="AF1304" s="8">
        <v>0</v>
      </c>
      <c r="AN1304" s="8">
        <v>6</v>
      </c>
      <c r="AO1304" s="8">
        <v>0</v>
      </c>
    </row>
    <row r="1305" spans="1:41" x14ac:dyDescent="0.25">
      <c r="A1305" s="6" t="str">
        <f>"522-2025004436"</f>
        <v>522-2025004436</v>
      </c>
      <c r="B1305" s="6" t="str">
        <f t="shared" si="388"/>
        <v>EL CORTE</v>
      </c>
      <c r="C1305" s="7">
        <v>46020</v>
      </c>
      <c r="D1305" s="7">
        <v>46023</v>
      </c>
      <c r="E1305" s="8">
        <v>3</v>
      </c>
      <c r="F1305" s="6" t="str">
        <f>"94712701_07025"</f>
        <v>94712701_07025</v>
      </c>
      <c r="G1305" s="6" t="str">
        <f t="shared" si="389"/>
        <v>F310631650000000</v>
      </c>
      <c r="H1305" s="6" t="str">
        <f t="shared" si="390"/>
        <v>PLAR 6316 FD - 500 g</v>
      </c>
      <c r="I1305" s="6" t="str">
        <f>"200510"</f>
        <v>200510</v>
      </c>
      <c r="J1305" s="6" t="str">
        <f>"VERDE 510"</f>
        <v>VERDE 510</v>
      </c>
      <c r="K1305" s="6" t="str">
        <f>"2020"</f>
        <v>2020</v>
      </c>
      <c r="L1305" s="6" t="str">
        <f>"Lençóis"</f>
        <v>Lençóis</v>
      </c>
      <c r="M1305" s="6" t="str">
        <f>"100x150"</f>
        <v>100x150</v>
      </c>
      <c r="N1305" s="6" t="str">
        <f>"5602972281156"</f>
        <v>5602972281156</v>
      </c>
      <c r="O1305" s="8">
        <v>3</v>
      </c>
      <c r="R1305" s="8">
        <v>0</v>
      </c>
      <c r="U1305" s="8">
        <v>0</v>
      </c>
      <c r="X1305" s="8">
        <v>0</v>
      </c>
      <c r="Z1305" s="8">
        <v>0</v>
      </c>
      <c r="AC1305" s="8">
        <v>0</v>
      </c>
      <c r="AF1305" s="8">
        <v>0</v>
      </c>
      <c r="AN1305" s="8">
        <v>3</v>
      </c>
      <c r="AO1305" s="8">
        <v>0</v>
      </c>
    </row>
    <row r="1306" spans="1:41" x14ac:dyDescent="0.25">
      <c r="A1306" s="6" t="str">
        <f>"522-2025004437"</f>
        <v>522-2025004437</v>
      </c>
      <c r="B1306" s="6" t="str">
        <f t="shared" si="388"/>
        <v>EL CORTE</v>
      </c>
      <c r="C1306" s="7">
        <v>46020</v>
      </c>
      <c r="D1306" s="7">
        <v>46023</v>
      </c>
      <c r="E1306" s="8">
        <v>1</v>
      </c>
      <c r="F1306" s="6" t="str">
        <f>"94712501_07025"</f>
        <v>94712501_07025</v>
      </c>
      <c r="G1306" s="6" t="str">
        <f t="shared" si="389"/>
        <v>F310631650000000</v>
      </c>
      <c r="H1306" s="6" t="str">
        <f t="shared" si="390"/>
        <v>PLAR 6316 FD - 500 g</v>
      </c>
      <c r="I1306" s="6" t="str">
        <f>"202575"</f>
        <v>202575</v>
      </c>
      <c r="J1306" s="6" t="str">
        <f>"BEGE 2575"</f>
        <v>BEGE 2575</v>
      </c>
      <c r="K1306" s="6" t="str">
        <f>"1024"</f>
        <v>1024</v>
      </c>
      <c r="L1306" s="6" t="str">
        <f>"Toalhas"</f>
        <v>Toalhas</v>
      </c>
      <c r="M1306" s="6" t="str">
        <f>"50x100"</f>
        <v>50x100</v>
      </c>
      <c r="N1306" s="6" t="str">
        <f>"5602972281088"</f>
        <v>5602972281088</v>
      </c>
      <c r="O1306" s="8">
        <v>6</v>
      </c>
      <c r="R1306" s="8">
        <v>0</v>
      </c>
      <c r="U1306" s="8">
        <v>0</v>
      </c>
      <c r="X1306" s="8">
        <v>0</v>
      </c>
      <c r="Z1306" s="8">
        <v>0</v>
      </c>
      <c r="AC1306" s="8">
        <v>0</v>
      </c>
      <c r="AF1306" s="8">
        <v>0</v>
      </c>
      <c r="AN1306" s="8">
        <v>6</v>
      </c>
      <c r="AO1306" s="8">
        <v>0</v>
      </c>
    </row>
    <row r="1307" spans="1:41" x14ac:dyDescent="0.25">
      <c r="A1307" s="6" t="str">
        <f>"522-2025004438"</f>
        <v>522-2025004438</v>
      </c>
      <c r="B1307" s="6" t="str">
        <f t="shared" si="388"/>
        <v>EL CORTE</v>
      </c>
      <c r="C1307" s="7">
        <v>46020</v>
      </c>
      <c r="D1307" s="7">
        <v>46023</v>
      </c>
      <c r="E1307" s="8">
        <v>1</v>
      </c>
      <c r="F1307" s="6" t="str">
        <f>"94713201_07025"</f>
        <v>94713201_07025</v>
      </c>
      <c r="G1307" s="6" t="str">
        <f t="shared" si="389"/>
        <v>F310631650000000</v>
      </c>
      <c r="H1307" s="6" t="str">
        <f t="shared" si="390"/>
        <v>PLAR 6316 FD - 500 g</v>
      </c>
      <c r="I1307" s="6" t="str">
        <f>"202575"</f>
        <v>202575</v>
      </c>
      <c r="J1307" s="6" t="str">
        <f>"BEGE 2575"</f>
        <v>BEGE 2575</v>
      </c>
      <c r="K1307" s="6" t="str">
        <f>"1024"</f>
        <v>1024</v>
      </c>
      <c r="L1307" s="6" t="str">
        <f>"Toalhas"</f>
        <v>Toalhas</v>
      </c>
      <c r="M1307" s="6" t="str">
        <f>"50x100"</f>
        <v>50x100</v>
      </c>
      <c r="N1307" s="6" t="str">
        <f>"5602972281088"</f>
        <v>5602972281088</v>
      </c>
      <c r="O1307" s="8">
        <v>6</v>
      </c>
      <c r="R1307" s="8">
        <v>0</v>
      </c>
      <c r="U1307" s="8">
        <v>0</v>
      </c>
      <c r="X1307" s="8">
        <v>0</v>
      </c>
      <c r="Z1307" s="8">
        <v>0</v>
      </c>
      <c r="AC1307" s="8">
        <v>0</v>
      </c>
      <c r="AF1307" s="8">
        <v>0</v>
      </c>
      <c r="AN1307" s="8">
        <v>6</v>
      </c>
      <c r="AO1307" s="8">
        <v>0</v>
      </c>
    </row>
    <row r="1308" spans="1:41" x14ac:dyDescent="0.25">
      <c r="A1308" s="6" t="str">
        <f>"522-2025004438"</f>
        <v>522-2025004438</v>
      </c>
      <c r="B1308" s="6" t="str">
        <f t="shared" si="388"/>
        <v>EL CORTE</v>
      </c>
      <c r="C1308" s="7">
        <v>46020</v>
      </c>
      <c r="D1308" s="7">
        <v>46023</v>
      </c>
      <c r="E1308" s="8">
        <v>2</v>
      </c>
      <c r="F1308" s="6" t="str">
        <f>"94713201_07025"</f>
        <v>94713201_07025</v>
      </c>
      <c r="G1308" s="6" t="str">
        <f t="shared" si="389"/>
        <v>F310631650000000</v>
      </c>
      <c r="H1308" s="6" t="str">
        <f t="shared" si="390"/>
        <v>PLAR 6316 FD - 500 g</v>
      </c>
      <c r="I1308" s="6" t="str">
        <f>"202575"</f>
        <v>202575</v>
      </c>
      <c r="J1308" s="6" t="str">
        <f>"BEGE 2575"</f>
        <v>BEGE 2575</v>
      </c>
      <c r="K1308" s="6" t="str">
        <f>"2020"</f>
        <v>2020</v>
      </c>
      <c r="L1308" s="6" t="str">
        <f>"Lençóis"</f>
        <v>Lençóis</v>
      </c>
      <c r="M1308" s="6" t="str">
        <f>"100x150"</f>
        <v>100x150</v>
      </c>
      <c r="N1308" s="6" t="str">
        <f>"5602972281095"</f>
        <v>5602972281095</v>
      </c>
      <c r="O1308" s="8">
        <v>9</v>
      </c>
      <c r="R1308" s="8">
        <v>0</v>
      </c>
      <c r="U1308" s="8">
        <v>0</v>
      </c>
      <c r="X1308" s="8">
        <v>0</v>
      </c>
      <c r="Z1308" s="8">
        <v>0</v>
      </c>
      <c r="AC1308" s="8">
        <v>0</v>
      </c>
      <c r="AF1308" s="8">
        <v>0</v>
      </c>
      <c r="AN1308" s="8">
        <v>3</v>
      </c>
      <c r="AO1308" s="8">
        <v>6</v>
      </c>
    </row>
    <row r="1309" spans="1:41" x14ac:dyDescent="0.25">
      <c r="A1309" s="6" t="str">
        <f>"522-2025004439"</f>
        <v>522-2025004439</v>
      </c>
      <c r="B1309" s="6" t="str">
        <f t="shared" si="388"/>
        <v>EL CORTE</v>
      </c>
      <c r="C1309" s="7">
        <v>46020</v>
      </c>
      <c r="D1309" s="7">
        <v>46023</v>
      </c>
      <c r="E1309" s="8">
        <v>1</v>
      </c>
      <c r="F1309" s="6" t="str">
        <f>"94713701_07025"</f>
        <v>94713701_07025</v>
      </c>
      <c r="G1309" s="6" t="str">
        <f t="shared" si="389"/>
        <v>F310631650000000</v>
      </c>
      <c r="H1309" s="6" t="str">
        <f t="shared" si="390"/>
        <v>PLAR 6316 FD - 500 g</v>
      </c>
      <c r="I1309" s="6" t="str">
        <f>"201855"</f>
        <v>201855</v>
      </c>
      <c r="J1309" s="6" t="str">
        <f>"AZUL 1855"</f>
        <v>AZUL 1855</v>
      </c>
      <c r="K1309" s="6" t="str">
        <f>"1024"</f>
        <v>1024</v>
      </c>
      <c r="L1309" s="6" t="str">
        <f>"Toalhas"</f>
        <v>Toalhas</v>
      </c>
      <c r="M1309" s="6" t="str">
        <f>"50x100"</f>
        <v>50x100</v>
      </c>
      <c r="N1309" s="6" t="str">
        <f>"5602972281057"</f>
        <v>5602972281057</v>
      </c>
      <c r="O1309" s="8">
        <v>6</v>
      </c>
      <c r="R1309" s="8">
        <v>0</v>
      </c>
      <c r="U1309" s="8">
        <v>0</v>
      </c>
      <c r="X1309" s="8">
        <v>0</v>
      </c>
      <c r="Z1309" s="8">
        <v>0</v>
      </c>
      <c r="AC1309" s="8">
        <v>0</v>
      </c>
      <c r="AF1309" s="8">
        <v>0</v>
      </c>
      <c r="AN1309" s="8">
        <v>6</v>
      </c>
      <c r="AO1309" s="8">
        <v>0</v>
      </c>
    </row>
    <row r="1310" spans="1:41" x14ac:dyDescent="0.25">
      <c r="A1310" s="6" t="str">
        <f>"522-2025004439"</f>
        <v>522-2025004439</v>
      </c>
      <c r="B1310" s="6" t="str">
        <f t="shared" si="388"/>
        <v>EL CORTE</v>
      </c>
      <c r="C1310" s="7">
        <v>46020</v>
      </c>
      <c r="D1310" s="7">
        <v>46023</v>
      </c>
      <c r="E1310" s="8">
        <v>2</v>
      </c>
      <c r="F1310" s="6" t="str">
        <f>"94713701_07025"</f>
        <v>94713701_07025</v>
      </c>
      <c r="G1310" s="6" t="str">
        <f t="shared" si="389"/>
        <v>F310631650000000</v>
      </c>
      <c r="H1310" s="6" t="str">
        <f t="shared" si="390"/>
        <v>PLAR 6316 FD - 500 g</v>
      </c>
      <c r="I1310" s="6" t="str">
        <f>"202575"</f>
        <v>202575</v>
      </c>
      <c r="J1310" s="6" t="str">
        <f>"BEGE 2575"</f>
        <v>BEGE 2575</v>
      </c>
      <c r="K1310" s="6" t="str">
        <f>"1024"</f>
        <v>1024</v>
      </c>
      <c r="L1310" s="6" t="str">
        <f>"Toalhas"</f>
        <v>Toalhas</v>
      </c>
      <c r="M1310" s="6" t="str">
        <f>"50x100"</f>
        <v>50x100</v>
      </c>
      <c r="N1310" s="6" t="str">
        <f>"5602972281088"</f>
        <v>5602972281088</v>
      </c>
      <c r="O1310" s="8">
        <v>6</v>
      </c>
      <c r="R1310" s="8">
        <v>0</v>
      </c>
      <c r="U1310" s="8">
        <v>0</v>
      </c>
      <c r="X1310" s="8">
        <v>0</v>
      </c>
      <c r="Z1310" s="8">
        <v>0</v>
      </c>
      <c r="AC1310" s="8">
        <v>0</v>
      </c>
      <c r="AF1310" s="8">
        <v>0</v>
      </c>
      <c r="AN1310" s="8">
        <v>6</v>
      </c>
      <c r="AO1310" s="8">
        <v>0</v>
      </c>
    </row>
    <row r="1311" spans="1:41" x14ac:dyDescent="0.25">
      <c r="A1311" s="6" t="str">
        <f>"522-2025004439"</f>
        <v>522-2025004439</v>
      </c>
      <c r="B1311" s="6" t="str">
        <f t="shared" si="388"/>
        <v>EL CORTE</v>
      </c>
      <c r="C1311" s="7">
        <v>46020</v>
      </c>
      <c r="D1311" s="7">
        <v>46023</v>
      </c>
      <c r="E1311" s="8">
        <v>3</v>
      </c>
      <c r="F1311" s="6" t="str">
        <f>"94713701_07025"</f>
        <v>94713701_07025</v>
      </c>
      <c r="G1311" s="6" t="str">
        <f t="shared" si="389"/>
        <v>F310631650000000</v>
      </c>
      <c r="H1311" s="6" t="str">
        <f t="shared" si="390"/>
        <v>PLAR 6316 FD - 500 g</v>
      </c>
      <c r="I1311" s="6" t="str">
        <f>"200510"</f>
        <v>200510</v>
      </c>
      <c r="J1311" s="6" t="str">
        <f>"VERDE 510"</f>
        <v>VERDE 510</v>
      </c>
      <c r="K1311" s="6" t="str">
        <f>"2020"</f>
        <v>2020</v>
      </c>
      <c r="L1311" s="6" t="str">
        <f>"Lençóis"</f>
        <v>Lençóis</v>
      </c>
      <c r="M1311" s="6" t="str">
        <f>"100x150"</f>
        <v>100x150</v>
      </c>
      <c r="N1311" s="6" t="str">
        <f>"5602972281156"</f>
        <v>5602972281156</v>
      </c>
      <c r="O1311" s="8">
        <v>3</v>
      </c>
      <c r="R1311" s="8">
        <v>0</v>
      </c>
      <c r="U1311" s="8">
        <v>0</v>
      </c>
      <c r="X1311" s="8">
        <v>0</v>
      </c>
      <c r="Z1311" s="8">
        <v>0</v>
      </c>
      <c r="AC1311" s="8">
        <v>0</v>
      </c>
      <c r="AF1311" s="8">
        <v>0</v>
      </c>
      <c r="AN1311" s="8">
        <v>3</v>
      </c>
      <c r="AO1311" s="8">
        <v>0</v>
      </c>
    </row>
    <row r="1312" spans="1:41" x14ac:dyDescent="0.25">
      <c r="A1312" s="6" t="str">
        <f>"522-2025004440"</f>
        <v>522-2025004440</v>
      </c>
      <c r="B1312" s="6" t="str">
        <f t="shared" si="388"/>
        <v>EL CORTE</v>
      </c>
      <c r="C1312" s="7">
        <v>46020</v>
      </c>
      <c r="D1312" s="7">
        <v>46023</v>
      </c>
      <c r="E1312" s="8">
        <v>1</v>
      </c>
      <c r="F1312" s="6" t="str">
        <f>"94713101_07025"</f>
        <v>94713101_07025</v>
      </c>
      <c r="G1312" s="6" t="str">
        <f t="shared" si="389"/>
        <v>F310631650000000</v>
      </c>
      <c r="H1312" s="6" t="str">
        <f t="shared" si="390"/>
        <v>PLAR 6316 FD - 500 g</v>
      </c>
      <c r="I1312" s="6" t="str">
        <f>"200510"</f>
        <v>200510</v>
      </c>
      <c r="J1312" s="6" t="str">
        <f>"VERDE 510"</f>
        <v>VERDE 510</v>
      </c>
      <c r="K1312" s="6" t="str">
        <f>"2020"</f>
        <v>2020</v>
      </c>
      <c r="L1312" s="6" t="str">
        <f>"Lençóis"</f>
        <v>Lençóis</v>
      </c>
      <c r="M1312" s="6" t="str">
        <f>"100x150"</f>
        <v>100x150</v>
      </c>
      <c r="N1312" s="6" t="str">
        <f>"5602972281156"</f>
        <v>5602972281156</v>
      </c>
      <c r="O1312" s="8">
        <v>3</v>
      </c>
      <c r="R1312" s="8">
        <v>0</v>
      </c>
      <c r="U1312" s="8">
        <v>0</v>
      </c>
      <c r="X1312" s="8">
        <v>0</v>
      </c>
      <c r="Z1312" s="8">
        <v>0</v>
      </c>
      <c r="AC1312" s="8">
        <v>0</v>
      </c>
      <c r="AF1312" s="8">
        <v>0</v>
      </c>
      <c r="AN1312" s="8">
        <v>3</v>
      </c>
      <c r="AO1312" s="8">
        <v>0</v>
      </c>
    </row>
    <row r="1313" spans="1:41" x14ac:dyDescent="0.25">
      <c r="A1313" s="6" t="str">
        <f>"522-2025004441"</f>
        <v>522-2025004441</v>
      </c>
      <c r="B1313" s="6" t="str">
        <f t="shared" si="388"/>
        <v>EL CORTE</v>
      </c>
      <c r="C1313" s="7">
        <v>46020</v>
      </c>
      <c r="D1313" s="7">
        <v>46023</v>
      </c>
      <c r="E1313" s="8">
        <v>1</v>
      </c>
      <c r="F1313" s="6" t="str">
        <f>"94712801_07025"</f>
        <v>94712801_07025</v>
      </c>
      <c r="G1313" s="6" t="str">
        <f t="shared" si="389"/>
        <v>F310631650000000</v>
      </c>
      <c r="H1313" s="6" t="str">
        <f t="shared" si="390"/>
        <v>PLAR 6316 FD - 500 g</v>
      </c>
      <c r="I1313" s="6" t="str">
        <f>"200901"</f>
        <v>200901</v>
      </c>
      <c r="J1313" s="6" t="str">
        <f>"ROSA 901"</f>
        <v>ROSA 901</v>
      </c>
      <c r="K1313" s="6" t="str">
        <f>"2020"</f>
        <v>2020</v>
      </c>
      <c r="L1313" s="6" t="str">
        <f>"Lençóis"</f>
        <v>Lençóis</v>
      </c>
      <c r="M1313" s="6" t="str">
        <f>"100x150"</f>
        <v>100x150</v>
      </c>
      <c r="N1313" s="6" t="str">
        <f>"5602972281125"</f>
        <v>5602972281125</v>
      </c>
      <c r="O1313" s="8">
        <v>3</v>
      </c>
      <c r="R1313" s="8">
        <v>0</v>
      </c>
      <c r="U1313" s="8">
        <v>0</v>
      </c>
      <c r="X1313" s="8">
        <v>0</v>
      </c>
      <c r="Z1313" s="8">
        <v>0</v>
      </c>
      <c r="AC1313" s="8">
        <v>0</v>
      </c>
      <c r="AF1313" s="8">
        <v>0</v>
      </c>
      <c r="AN1313" s="8">
        <v>3</v>
      </c>
      <c r="AO1313" s="8">
        <v>0</v>
      </c>
    </row>
    <row r="1314" spans="1:41" x14ac:dyDescent="0.25">
      <c r="A1314" s="6" t="str">
        <f>"522-2025004442"</f>
        <v>522-2025004442</v>
      </c>
      <c r="B1314" s="6" t="str">
        <f t="shared" si="388"/>
        <v>EL CORTE</v>
      </c>
      <c r="C1314" s="7">
        <v>46020</v>
      </c>
      <c r="D1314" s="7">
        <v>46023</v>
      </c>
      <c r="E1314" s="8">
        <v>1</v>
      </c>
      <c r="F1314" s="6" t="str">
        <f>"94713401_07025"</f>
        <v>94713401_07025</v>
      </c>
      <c r="G1314" s="6" t="str">
        <f t="shared" si="389"/>
        <v>F310631650000000</v>
      </c>
      <c r="H1314" s="6" t="str">
        <f t="shared" si="390"/>
        <v>PLAR 6316 FD - 500 g</v>
      </c>
      <c r="I1314" s="6" t="str">
        <f>"200901"</f>
        <v>200901</v>
      </c>
      <c r="J1314" s="6" t="str">
        <f>"ROSA 901"</f>
        <v>ROSA 901</v>
      </c>
      <c r="K1314" s="6" t="str">
        <f>"1024"</f>
        <v>1024</v>
      </c>
      <c r="L1314" s="6" t="str">
        <f>"Toalhas"</f>
        <v>Toalhas</v>
      </c>
      <c r="M1314" s="6" t="str">
        <f>"50x100"</f>
        <v>50x100</v>
      </c>
      <c r="N1314" s="6" t="str">
        <f>"5602972281118"</f>
        <v>5602972281118</v>
      </c>
      <c r="O1314" s="8">
        <v>6</v>
      </c>
      <c r="R1314" s="8">
        <v>0</v>
      </c>
      <c r="U1314" s="8">
        <v>0</v>
      </c>
      <c r="X1314" s="8">
        <v>0</v>
      </c>
      <c r="Z1314" s="8">
        <v>0</v>
      </c>
      <c r="AC1314" s="8">
        <v>0</v>
      </c>
      <c r="AF1314" s="8">
        <v>0</v>
      </c>
      <c r="AN1314" s="8">
        <v>6</v>
      </c>
      <c r="AO1314" s="8">
        <v>0</v>
      </c>
    </row>
    <row r="1315" spans="1:41" x14ac:dyDescent="0.25">
      <c r="A1315" s="6" t="str">
        <f>"522-2025004442"</f>
        <v>522-2025004442</v>
      </c>
      <c r="B1315" s="6" t="str">
        <f t="shared" si="388"/>
        <v>EL CORTE</v>
      </c>
      <c r="C1315" s="7">
        <v>46020</v>
      </c>
      <c r="D1315" s="7">
        <v>46023</v>
      </c>
      <c r="E1315" s="8">
        <v>2</v>
      </c>
      <c r="F1315" s="6" t="str">
        <f>"94713401_07025"</f>
        <v>94713401_07025</v>
      </c>
      <c r="G1315" s="6" t="str">
        <f t="shared" si="389"/>
        <v>F310631650000000</v>
      </c>
      <c r="H1315" s="6" t="str">
        <f t="shared" si="390"/>
        <v>PLAR 6316 FD - 500 g</v>
      </c>
      <c r="I1315" s="6" t="str">
        <f>"200901"</f>
        <v>200901</v>
      </c>
      <c r="J1315" s="6" t="str">
        <f>"ROSA 901"</f>
        <v>ROSA 901</v>
      </c>
      <c r="K1315" s="6" t="str">
        <f>"2020"</f>
        <v>2020</v>
      </c>
      <c r="L1315" s="6" t="str">
        <f>"Lençóis"</f>
        <v>Lençóis</v>
      </c>
      <c r="M1315" s="6" t="str">
        <f>"100x150"</f>
        <v>100x150</v>
      </c>
      <c r="N1315" s="6" t="str">
        <f>"5602972281125"</f>
        <v>5602972281125</v>
      </c>
      <c r="O1315" s="8">
        <v>3</v>
      </c>
      <c r="R1315" s="8">
        <v>0</v>
      </c>
      <c r="U1315" s="8">
        <v>0</v>
      </c>
      <c r="X1315" s="8">
        <v>0</v>
      </c>
      <c r="Z1315" s="8">
        <v>0</v>
      </c>
      <c r="AC1315" s="8">
        <v>0</v>
      </c>
      <c r="AF1315" s="8">
        <v>0</v>
      </c>
      <c r="AN1315" s="8">
        <v>3</v>
      </c>
      <c r="AO1315" s="8">
        <v>0</v>
      </c>
    </row>
    <row r="1316" spans="1:41" x14ac:dyDescent="0.25">
      <c r="A1316" s="6" t="str">
        <f>"522-2025004442"</f>
        <v>522-2025004442</v>
      </c>
      <c r="B1316" s="6" t="str">
        <f t="shared" si="388"/>
        <v>EL CORTE</v>
      </c>
      <c r="C1316" s="7">
        <v>46020</v>
      </c>
      <c r="D1316" s="7">
        <v>46023</v>
      </c>
      <c r="E1316" s="8">
        <v>3</v>
      </c>
      <c r="F1316" s="6" t="str">
        <f>"94713401_07025"</f>
        <v>94713401_07025</v>
      </c>
      <c r="G1316" s="6" t="str">
        <f t="shared" si="389"/>
        <v>F310631650000000</v>
      </c>
      <c r="H1316" s="6" t="str">
        <f t="shared" si="390"/>
        <v>PLAR 6316 FD - 500 g</v>
      </c>
      <c r="I1316" s="6" t="str">
        <f>"200510"</f>
        <v>200510</v>
      </c>
      <c r="J1316" s="6" t="str">
        <f>"VERDE 510"</f>
        <v>VERDE 510</v>
      </c>
      <c r="K1316" s="6" t="str">
        <f>"0520"</f>
        <v>0520</v>
      </c>
      <c r="L1316" s="6" t="str">
        <f>"Toalhetes"</f>
        <v>Toalhetes</v>
      </c>
      <c r="M1316" s="6" t="str">
        <f>"30x50"</f>
        <v>30x50</v>
      </c>
      <c r="N1316" s="6" t="str">
        <f>"5602972281132"</f>
        <v>5602972281132</v>
      </c>
      <c r="O1316" s="8">
        <v>6</v>
      </c>
      <c r="R1316" s="8">
        <v>0</v>
      </c>
      <c r="U1316" s="8">
        <v>0</v>
      </c>
      <c r="X1316" s="8">
        <v>0</v>
      </c>
      <c r="Z1316" s="8">
        <v>0</v>
      </c>
      <c r="AC1316" s="8">
        <v>0</v>
      </c>
      <c r="AF1316" s="8">
        <v>0</v>
      </c>
      <c r="AN1316" s="8">
        <v>6</v>
      </c>
      <c r="AO1316" s="8">
        <v>0</v>
      </c>
    </row>
    <row r="1317" spans="1:41" x14ac:dyDescent="0.25">
      <c r="A1317" s="6" t="str">
        <f>"522-2025004442"</f>
        <v>522-2025004442</v>
      </c>
      <c r="B1317" s="6" t="str">
        <f t="shared" si="388"/>
        <v>EL CORTE</v>
      </c>
      <c r="C1317" s="7">
        <v>46020</v>
      </c>
      <c r="D1317" s="7">
        <v>46023</v>
      </c>
      <c r="E1317" s="8">
        <v>4</v>
      </c>
      <c r="F1317" s="6" t="str">
        <f>"94713401_07025"</f>
        <v>94713401_07025</v>
      </c>
      <c r="G1317" s="6" t="str">
        <f t="shared" si="389"/>
        <v>F310631650000000</v>
      </c>
      <c r="H1317" s="6" t="str">
        <f t="shared" si="390"/>
        <v>PLAR 6316 FD - 500 g</v>
      </c>
      <c r="I1317" s="6" t="str">
        <f>"200510"</f>
        <v>200510</v>
      </c>
      <c r="J1317" s="6" t="str">
        <f>"VERDE 510"</f>
        <v>VERDE 510</v>
      </c>
      <c r="K1317" s="6" t="str">
        <f>"1024"</f>
        <v>1024</v>
      </c>
      <c r="L1317" s="6" t="str">
        <f>"Toalhas"</f>
        <v>Toalhas</v>
      </c>
      <c r="M1317" s="6" t="str">
        <f>"50x100"</f>
        <v>50x100</v>
      </c>
      <c r="N1317" s="6" t="str">
        <f>"5602972281149"</f>
        <v>5602972281149</v>
      </c>
      <c r="O1317" s="8">
        <v>6</v>
      </c>
      <c r="R1317" s="8">
        <v>0</v>
      </c>
      <c r="U1317" s="8">
        <v>0</v>
      </c>
      <c r="X1317" s="8">
        <v>0</v>
      </c>
      <c r="Z1317" s="8">
        <v>0</v>
      </c>
      <c r="AC1317" s="8">
        <v>0</v>
      </c>
      <c r="AF1317" s="8">
        <v>0</v>
      </c>
      <c r="AN1317" s="8">
        <v>6</v>
      </c>
      <c r="AO1317" s="8">
        <v>0</v>
      </c>
    </row>
    <row r="1318" spans="1:41" x14ac:dyDescent="0.25">
      <c r="A1318" s="6" t="str">
        <f>"522-2025004442"</f>
        <v>522-2025004442</v>
      </c>
      <c r="B1318" s="6" t="str">
        <f t="shared" si="388"/>
        <v>EL CORTE</v>
      </c>
      <c r="C1318" s="7">
        <v>46020</v>
      </c>
      <c r="D1318" s="7">
        <v>46023</v>
      </c>
      <c r="E1318" s="8">
        <v>5</v>
      </c>
      <c r="F1318" s="6" t="str">
        <f>"94713401_07025"</f>
        <v>94713401_07025</v>
      </c>
      <c r="G1318" s="6" t="str">
        <f t="shared" si="389"/>
        <v>F310631650000000</v>
      </c>
      <c r="H1318" s="6" t="str">
        <f t="shared" si="390"/>
        <v>PLAR 6316 FD - 500 g</v>
      </c>
      <c r="I1318" s="6" t="str">
        <f>"200510"</f>
        <v>200510</v>
      </c>
      <c r="J1318" s="6" t="str">
        <f>"VERDE 510"</f>
        <v>VERDE 510</v>
      </c>
      <c r="K1318" s="6" t="str">
        <f>"2020"</f>
        <v>2020</v>
      </c>
      <c r="L1318" s="6" t="str">
        <f>"Lençóis"</f>
        <v>Lençóis</v>
      </c>
      <c r="M1318" s="6" t="str">
        <f>"100x150"</f>
        <v>100x150</v>
      </c>
      <c r="N1318" s="6" t="str">
        <f>"5602972281156"</f>
        <v>5602972281156</v>
      </c>
      <c r="O1318" s="8">
        <v>3</v>
      </c>
      <c r="R1318" s="8">
        <v>0</v>
      </c>
      <c r="U1318" s="8">
        <v>0</v>
      </c>
      <c r="X1318" s="8">
        <v>0</v>
      </c>
      <c r="Z1318" s="8">
        <v>0</v>
      </c>
      <c r="AC1318" s="8">
        <v>0</v>
      </c>
      <c r="AF1318" s="8">
        <v>0</v>
      </c>
      <c r="AN1318" s="8">
        <v>3</v>
      </c>
      <c r="AO1318" s="8">
        <v>0</v>
      </c>
    </row>
    <row r="1319" spans="1:41" x14ac:dyDescent="0.25">
      <c r="A1319" s="6" t="str">
        <f>"522-2025004443"</f>
        <v>522-2025004443</v>
      </c>
      <c r="B1319" s="6" t="str">
        <f t="shared" si="388"/>
        <v>EL CORTE</v>
      </c>
      <c r="C1319" s="7">
        <v>46020</v>
      </c>
      <c r="D1319" s="7">
        <v>46023</v>
      </c>
      <c r="E1319" s="8">
        <v>1</v>
      </c>
      <c r="F1319" s="6" t="str">
        <f>"94713601_07025"</f>
        <v>94713601_07025</v>
      </c>
      <c r="G1319" s="6" t="str">
        <f t="shared" si="389"/>
        <v>F310631650000000</v>
      </c>
      <c r="H1319" s="6" t="str">
        <f t="shared" si="390"/>
        <v>PLAR 6316 FD - 500 g</v>
      </c>
      <c r="I1319" s="6" t="str">
        <f>"201855"</f>
        <v>201855</v>
      </c>
      <c r="J1319" s="6" t="str">
        <f>"AZUL 1855"</f>
        <v>AZUL 1855</v>
      </c>
      <c r="K1319" s="6" t="str">
        <f>"0520"</f>
        <v>0520</v>
      </c>
      <c r="L1319" s="6" t="str">
        <f>"Toalhetes"</f>
        <v>Toalhetes</v>
      </c>
      <c r="M1319" s="6" t="str">
        <f>"30x50"</f>
        <v>30x50</v>
      </c>
      <c r="N1319" s="6" t="str">
        <f>"5602972281040"</f>
        <v>5602972281040</v>
      </c>
      <c r="O1319" s="8">
        <v>6</v>
      </c>
      <c r="R1319" s="8">
        <v>0</v>
      </c>
      <c r="U1319" s="8">
        <v>0</v>
      </c>
      <c r="X1319" s="8">
        <v>0</v>
      </c>
      <c r="Z1319" s="8">
        <v>0</v>
      </c>
      <c r="AC1319" s="8">
        <v>0</v>
      </c>
      <c r="AF1319" s="8">
        <v>0</v>
      </c>
      <c r="AN1319" s="8">
        <v>6</v>
      </c>
      <c r="AO1319" s="8">
        <v>0</v>
      </c>
    </row>
    <row r="1320" spans="1:41" x14ac:dyDescent="0.25">
      <c r="A1320" s="6" t="str">
        <f>"522-2025004443"</f>
        <v>522-2025004443</v>
      </c>
      <c r="B1320" s="6" t="str">
        <f t="shared" si="388"/>
        <v>EL CORTE</v>
      </c>
      <c r="C1320" s="7">
        <v>46020</v>
      </c>
      <c r="D1320" s="7">
        <v>46023</v>
      </c>
      <c r="E1320" s="8">
        <v>2</v>
      </c>
      <c r="F1320" s="6" t="str">
        <f>"94713601_07025"</f>
        <v>94713601_07025</v>
      </c>
      <c r="G1320" s="6" t="str">
        <f t="shared" si="389"/>
        <v>F310631650000000</v>
      </c>
      <c r="H1320" s="6" t="str">
        <f t="shared" si="390"/>
        <v>PLAR 6316 FD - 500 g</v>
      </c>
      <c r="I1320" s="6" t="str">
        <f>"202575"</f>
        <v>202575</v>
      </c>
      <c r="J1320" s="6" t="str">
        <f>"BEGE 2575"</f>
        <v>BEGE 2575</v>
      </c>
      <c r="K1320" s="6" t="str">
        <f>"2020"</f>
        <v>2020</v>
      </c>
      <c r="L1320" s="6" t="str">
        <f>"Lençóis"</f>
        <v>Lençóis</v>
      </c>
      <c r="M1320" s="6" t="str">
        <f>"100x150"</f>
        <v>100x150</v>
      </c>
      <c r="N1320" s="6" t="str">
        <f>"5602972281095"</f>
        <v>5602972281095</v>
      </c>
      <c r="O1320" s="8">
        <v>3</v>
      </c>
      <c r="R1320" s="8">
        <v>0</v>
      </c>
      <c r="U1320" s="8">
        <v>0</v>
      </c>
      <c r="X1320" s="8">
        <v>0</v>
      </c>
      <c r="Z1320" s="8">
        <v>0</v>
      </c>
      <c r="AC1320" s="8">
        <v>0</v>
      </c>
      <c r="AF1320" s="8">
        <v>0</v>
      </c>
      <c r="AN1320" s="8">
        <v>3</v>
      </c>
      <c r="AO1320" s="8">
        <v>0</v>
      </c>
    </row>
    <row r="1321" spans="1:41" x14ac:dyDescent="0.25">
      <c r="A1321" s="6" t="str">
        <f>"522-2025004444"</f>
        <v>522-2025004444</v>
      </c>
      <c r="B1321" s="6" t="str">
        <f t="shared" si="388"/>
        <v>EL CORTE</v>
      </c>
      <c r="C1321" s="7">
        <v>46020</v>
      </c>
      <c r="D1321" s="7">
        <v>46023</v>
      </c>
      <c r="E1321" s="8">
        <v>1</v>
      </c>
      <c r="F1321" s="6" t="str">
        <f>"94713501_07025"</f>
        <v>94713501_07025</v>
      </c>
      <c r="G1321" s="6" t="str">
        <f t="shared" si="389"/>
        <v>F310631650000000</v>
      </c>
      <c r="H1321" s="6" t="str">
        <f t="shared" si="390"/>
        <v>PLAR 6316 FD - 500 g</v>
      </c>
      <c r="I1321" s="6" t="str">
        <f>"200510"</f>
        <v>200510</v>
      </c>
      <c r="J1321" s="6" t="str">
        <f>"VERDE 510"</f>
        <v>VERDE 510</v>
      </c>
      <c r="K1321" s="6" t="str">
        <f>"0520"</f>
        <v>0520</v>
      </c>
      <c r="L1321" s="6" t="str">
        <f>"Toalhetes"</f>
        <v>Toalhetes</v>
      </c>
      <c r="M1321" s="6" t="str">
        <f>"30x50"</f>
        <v>30x50</v>
      </c>
      <c r="N1321" s="6" t="str">
        <f>"5602972281132"</f>
        <v>5602972281132</v>
      </c>
      <c r="O1321" s="8">
        <v>6</v>
      </c>
      <c r="R1321" s="8">
        <v>0</v>
      </c>
      <c r="U1321" s="8">
        <v>0</v>
      </c>
      <c r="X1321" s="8">
        <v>0</v>
      </c>
      <c r="Z1321" s="8">
        <v>0</v>
      </c>
      <c r="AC1321" s="8">
        <v>0</v>
      </c>
      <c r="AF1321" s="8">
        <v>0</v>
      </c>
      <c r="AN1321" s="8">
        <v>6</v>
      </c>
      <c r="AO1321" s="8">
        <v>0</v>
      </c>
    </row>
    <row r="1322" spans="1:41" x14ac:dyDescent="0.25">
      <c r="A1322" s="6" t="str">
        <f>"522-2025004445"</f>
        <v>522-2025004445</v>
      </c>
      <c r="B1322" s="6" t="str">
        <f t="shared" si="388"/>
        <v>EL CORTE</v>
      </c>
      <c r="C1322" s="7">
        <v>46020</v>
      </c>
      <c r="D1322" s="7">
        <v>46023</v>
      </c>
      <c r="E1322" s="8">
        <v>1</v>
      </c>
      <c r="F1322" s="6" t="str">
        <f>"94713301_07025"</f>
        <v>94713301_07025</v>
      </c>
      <c r="G1322" s="6" t="str">
        <f t="shared" si="389"/>
        <v>F310631650000000</v>
      </c>
      <c r="H1322" s="6" t="str">
        <f t="shared" si="390"/>
        <v>PLAR 6316 FD - 500 g</v>
      </c>
      <c r="I1322" s="6" t="str">
        <f>"200901"</f>
        <v>200901</v>
      </c>
      <c r="J1322" s="6" t="str">
        <f>"ROSA 901"</f>
        <v>ROSA 901</v>
      </c>
      <c r="K1322" s="6" t="str">
        <f>"1024"</f>
        <v>1024</v>
      </c>
      <c r="L1322" s="6" t="str">
        <f>"Toalhas"</f>
        <v>Toalhas</v>
      </c>
      <c r="M1322" s="6" t="str">
        <f>"50x100"</f>
        <v>50x100</v>
      </c>
      <c r="N1322" s="6" t="str">
        <f>"5602972281118"</f>
        <v>5602972281118</v>
      </c>
      <c r="O1322" s="8">
        <v>6</v>
      </c>
      <c r="R1322" s="8">
        <v>0</v>
      </c>
      <c r="U1322" s="8">
        <v>0</v>
      </c>
      <c r="X1322" s="8">
        <v>0</v>
      </c>
      <c r="Z1322" s="8">
        <v>0</v>
      </c>
      <c r="AC1322" s="8">
        <v>0</v>
      </c>
      <c r="AF1322" s="8">
        <v>0</v>
      </c>
      <c r="AN1322" s="8">
        <v>6</v>
      </c>
      <c r="AO1322" s="8">
        <v>0</v>
      </c>
    </row>
    <row r="1323" spans="1:41" x14ac:dyDescent="0.25">
      <c r="A1323" s="6" t="str">
        <f>"522-2025004445"</f>
        <v>522-2025004445</v>
      </c>
      <c r="B1323" s="6" t="str">
        <f t="shared" si="388"/>
        <v>EL CORTE</v>
      </c>
      <c r="C1323" s="7">
        <v>46020</v>
      </c>
      <c r="D1323" s="7">
        <v>46023</v>
      </c>
      <c r="E1323" s="8">
        <v>2</v>
      </c>
      <c r="F1323" s="6" t="str">
        <f>"94713301_07025"</f>
        <v>94713301_07025</v>
      </c>
      <c r="G1323" s="6" t="str">
        <f t="shared" si="389"/>
        <v>F310631650000000</v>
      </c>
      <c r="H1323" s="6" t="str">
        <f t="shared" si="390"/>
        <v>PLAR 6316 FD - 500 g</v>
      </c>
      <c r="I1323" s="6" t="str">
        <f>"200510"</f>
        <v>200510</v>
      </c>
      <c r="J1323" s="6" t="str">
        <f>"VERDE 510"</f>
        <v>VERDE 510</v>
      </c>
      <c r="K1323" s="6" t="str">
        <f>"1024"</f>
        <v>1024</v>
      </c>
      <c r="L1323" s="6" t="str">
        <f>"Toalhas"</f>
        <v>Toalhas</v>
      </c>
      <c r="M1323" s="6" t="str">
        <f>"50x100"</f>
        <v>50x100</v>
      </c>
      <c r="N1323" s="6" t="str">
        <f>"5602972281149"</f>
        <v>5602972281149</v>
      </c>
      <c r="O1323" s="8">
        <v>6</v>
      </c>
      <c r="R1323" s="8">
        <v>0</v>
      </c>
      <c r="U1323" s="8">
        <v>0</v>
      </c>
      <c r="X1323" s="8">
        <v>0</v>
      </c>
      <c r="Z1323" s="8">
        <v>0</v>
      </c>
      <c r="AC1323" s="8">
        <v>0</v>
      </c>
      <c r="AF1323" s="8">
        <v>0</v>
      </c>
      <c r="AN1323" s="8">
        <v>6</v>
      </c>
      <c r="AO1323" s="8">
        <v>0</v>
      </c>
    </row>
    <row r="1324" spans="1:41" x14ac:dyDescent="0.25">
      <c r="A1324" s="6" t="str">
        <f>"522-2025004446"</f>
        <v>522-2025004446</v>
      </c>
      <c r="B1324" s="6" t="str">
        <f t="shared" si="388"/>
        <v>EL CORTE</v>
      </c>
      <c r="C1324" s="7">
        <v>46020</v>
      </c>
      <c r="D1324" s="7">
        <v>46023</v>
      </c>
      <c r="E1324" s="8">
        <v>1</v>
      </c>
      <c r="F1324" s="6" t="str">
        <f>"94712901_07025"</f>
        <v>94712901_07025</v>
      </c>
      <c r="G1324" s="6" t="str">
        <f t="shared" si="389"/>
        <v>F310631650000000</v>
      </c>
      <c r="H1324" s="6" t="str">
        <f t="shared" si="390"/>
        <v>PLAR 6316 FD - 500 g</v>
      </c>
      <c r="I1324" s="6" t="str">
        <f>"200510"</f>
        <v>200510</v>
      </c>
      <c r="J1324" s="6" t="str">
        <f>"VERDE 510"</f>
        <v>VERDE 510</v>
      </c>
      <c r="K1324" s="6" t="str">
        <f>"1024"</f>
        <v>1024</v>
      </c>
      <c r="L1324" s="6" t="str">
        <f>"Toalhas"</f>
        <v>Toalhas</v>
      </c>
      <c r="M1324" s="6" t="str">
        <f>"50x100"</f>
        <v>50x100</v>
      </c>
      <c r="N1324" s="6" t="str">
        <f>"5602972281149"</f>
        <v>5602972281149</v>
      </c>
      <c r="O1324" s="8">
        <v>6</v>
      </c>
      <c r="R1324" s="8">
        <v>0</v>
      </c>
      <c r="U1324" s="8">
        <v>0</v>
      </c>
      <c r="X1324" s="8">
        <v>0</v>
      </c>
      <c r="Z1324" s="8">
        <v>0</v>
      </c>
      <c r="AC1324" s="8">
        <v>0</v>
      </c>
      <c r="AF1324" s="8">
        <v>0</v>
      </c>
      <c r="AN1324" s="8">
        <v>6</v>
      </c>
      <c r="AO1324" s="8">
        <v>0</v>
      </c>
    </row>
    <row r="1325" spans="1:41" x14ac:dyDescent="0.25">
      <c r="A1325" s="6" t="str">
        <f>"522-2025004446"</f>
        <v>522-2025004446</v>
      </c>
      <c r="B1325" s="6" t="str">
        <f t="shared" si="388"/>
        <v>EL CORTE</v>
      </c>
      <c r="C1325" s="7">
        <v>46020</v>
      </c>
      <c r="D1325" s="7">
        <v>46023</v>
      </c>
      <c r="E1325" s="8">
        <v>2</v>
      </c>
      <c r="F1325" s="6" t="str">
        <f>"94712901_07025"</f>
        <v>94712901_07025</v>
      </c>
      <c r="G1325" s="6" t="str">
        <f t="shared" si="389"/>
        <v>F310631650000000</v>
      </c>
      <c r="H1325" s="6" t="str">
        <f t="shared" si="390"/>
        <v>PLAR 6316 FD - 500 g</v>
      </c>
      <c r="I1325" s="6" t="str">
        <f>"200510"</f>
        <v>200510</v>
      </c>
      <c r="J1325" s="6" t="str">
        <f>"VERDE 510"</f>
        <v>VERDE 510</v>
      </c>
      <c r="K1325" s="6" t="str">
        <f>"2020"</f>
        <v>2020</v>
      </c>
      <c r="L1325" s="6" t="str">
        <f>"Lençóis"</f>
        <v>Lençóis</v>
      </c>
      <c r="M1325" s="6" t="str">
        <f>"100x150"</f>
        <v>100x150</v>
      </c>
      <c r="N1325" s="6" t="str">
        <f>"5602972281156"</f>
        <v>5602972281156</v>
      </c>
      <c r="O1325" s="8">
        <v>3</v>
      </c>
      <c r="R1325" s="8">
        <v>0</v>
      </c>
      <c r="U1325" s="8">
        <v>0</v>
      </c>
      <c r="X1325" s="8">
        <v>0</v>
      </c>
      <c r="Z1325" s="8">
        <v>0</v>
      </c>
      <c r="AC1325" s="8">
        <v>0</v>
      </c>
      <c r="AF1325" s="8">
        <v>0</v>
      </c>
      <c r="AN1325" s="8">
        <v>3</v>
      </c>
      <c r="AO1325" s="8">
        <v>0</v>
      </c>
    </row>
    <row r="1326" spans="1:41" x14ac:dyDescent="0.25">
      <c r="A1326" s="6" t="str">
        <f>"522-2025004447"</f>
        <v>522-2025004447</v>
      </c>
      <c r="B1326" s="6" t="str">
        <f t="shared" si="388"/>
        <v>EL CORTE</v>
      </c>
      <c r="C1326" s="7">
        <v>46020</v>
      </c>
      <c r="D1326" s="7">
        <v>46023</v>
      </c>
      <c r="E1326" s="8">
        <v>1</v>
      </c>
      <c r="F1326" s="6" t="str">
        <f>"94713001_07025"</f>
        <v>94713001_07025</v>
      </c>
      <c r="G1326" s="6" t="str">
        <f t="shared" si="389"/>
        <v>F310631650000000</v>
      </c>
      <c r="H1326" s="6" t="str">
        <f t="shared" si="390"/>
        <v>PLAR 6316 FD - 500 g</v>
      </c>
      <c r="I1326" s="6" t="str">
        <f>"201855"</f>
        <v>201855</v>
      </c>
      <c r="J1326" s="6" t="str">
        <f>"AZUL 1855"</f>
        <v>AZUL 1855</v>
      </c>
      <c r="K1326" s="6" t="str">
        <f>"2020"</f>
        <v>2020</v>
      </c>
      <c r="L1326" s="6" t="str">
        <f>"Lençóis"</f>
        <v>Lençóis</v>
      </c>
      <c r="M1326" s="6" t="str">
        <f>"100x150"</f>
        <v>100x150</v>
      </c>
      <c r="N1326" s="6" t="str">
        <f>"5602972281064"</f>
        <v>5602972281064</v>
      </c>
      <c r="O1326" s="8">
        <v>3</v>
      </c>
      <c r="R1326" s="8">
        <v>0</v>
      </c>
      <c r="U1326" s="8">
        <v>0</v>
      </c>
      <c r="X1326" s="8">
        <v>0</v>
      </c>
      <c r="Z1326" s="8">
        <v>0</v>
      </c>
      <c r="AC1326" s="8">
        <v>0</v>
      </c>
      <c r="AF1326" s="8">
        <v>0</v>
      </c>
      <c r="AN1326" s="8">
        <v>0</v>
      </c>
      <c r="AO1326" s="8">
        <v>3</v>
      </c>
    </row>
    <row r="1327" spans="1:41" x14ac:dyDescent="0.25">
      <c r="A1327" s="6" t="str">
        <f>"522-2025004448"</f>
        <v>522-2025004448</v>
      </c>
      <c r="B1327" s="6" t="str">
        <f t="shared" si="388"/>
        <v>EL CORTE</v>
      </c>
      <c r="C1327" s="7">
        <v>46020</v>
      </c>
      <c r="D1327" s="7">
        <v>46023</v>
      </c>
      <c r="E1327" s="8">
        <v>1</v>
      </c>
      <c r="F1327" s="6" t="str">
        <f>"94712201_07025"</f>
        <v>94712201_07025</v>
      </c>
      <c r="G1327" s="6" t="str">
        <f t="shared" si="389"/>
        <v>F310631650000000</v>
      </c>
      <c r="H1327" s="6" t="str">
        <f t="shared" si="390"/>
        <v>PLAR 6316 FD - 500 g</v>
      </c>
      <c r="I1327" s="6" t="str">
        <f>"200901"</f>
        <v>200901</v>
      </c>
      <c r="J1327" s="6" t="str">
        <f>"ROSA 901"</f>
        <v>ROSA 901</v>
      </c>
      <c r="K1327" s="6" t="str">
        <f>"2020"</f>
        <v>2020</v>
      </c>
      <c r="L1327" s="6" t="str">
        <f>"Lençóis"</f>
        <v>Lençóis</v>
      </c>
      <c r="M1327" s="6" t="str">
        <f>"100x150"</f>
        <v>100x150</v>
      </c>
      <c r="N1327" s="6" t="str">
        <f>"5602972281125"</f>
        <v>5602972281125</v>
      </c>
      <c r="O1327" s="8">
        <v>3</v>
      </c>
      <c r="R1327" s="8">
        <v>0</v>
      </c>
      <c r="U1327" s="8">
        <v>0</v>
      </c>
      <c r="X1327" s="8">
        <v>0</v>
      </c>
      <c r="Z1327" s="8">
        <v>0</v>
      </c>
      <c r="AC1327" s="8">
        <v>0</v>
      </c>
      <c r="AF1327" s="8">
        <v>0</v>
      </c>
      <c r="AN1327" s="8">
        <v>3</v>
      </c>
      <c r="AO1327" s="8">
        <v>0</v>
      </c>
    </row>
    <row r="1328" spans="1:41" x14ac:dyDescent="0.25">
      <c r="A1328" s="6" t="str">
        <f>"522-2025004448"</f>
        <v>522-2025004448</v>
      </c>
      <c r="B1328" s="6" t="str">
        <f t="shared" si="388"/>
        <v>EL CORTE</v>
      </c>
      <c r="C1328" s="7">
        <v>46020</v>
      </c>
      <c r="D1328" s="7">
        <v>46023</v>
      </c>
      <c r="E1328" s="8">
        <v>2</v>
      </c>
      <c r="F1328" s="6" t="str">
        <f>"94712201_07025"</f>
        <v>94712201_07025</v>
      </c>
      <c r="G1328" s="6" t="str">
        <f t="shared" si="389"/>
        <v>F310631650000000</v>
      </c>
      <c r="H1328" s="6" t="str">
        <f t="shared" si="390"/>
        <v>PLAR 6316 FD - 500 g</v>
      </c>
      <c r="I1328" s="6" t="str">
        <f>"200510"</f>
        <v>200510</v>
      </c>
      <c r="J1328" s="6" t="str">
        <f>"VERDE 510"</f>
        <v>VERDE 510</v>
      </c>
      <c r="K1328" s="6" t="str">
        <f>"2020"</f>
        <v>2020</v>
      </c>
      <c r="L1328" s="6" t="str">
        <f>"Lençóis"</f>
        <v>Lençóis</v>
      </c>
      <c r="M1328" s="6" t="str">
        <f>"100x150"</f>
        <v>100x150</v>
      </c>
      <c r="N1328" s="6" t="str">
        <f>"5602972281156"</f>
        <v>5602972281156</v>
      </c>
      <c r="O1328" s="8">
        <v>3</v>
      </c>
      <c r="R1328" s="8">
        <v>0</v>
      </c>
      <c r="U1328" s="8">
        <v>0</v>
      </c>
      <c r="X1328" s="8">
        <v>0</v>
      </c>
      <c r="Z1328" s="8">
        <v>0</v>
      </c>
      <c r="AC1328" s="8">
        <v>0</v>
      </c>
      <c r="AF1328" s="8">
        <v>0</v>
      </c>
      <c r="AN1328" s="8">
        <v>3</v>
      </c>
      <c r="AO1328" s="8">
        <v>0</v>
      </c>
    </row>
    <row r="1329" spans="1:41" x14ac:dyDescent="0.25">
      <c r="A1329" s="6" t="str">
        <f>"522-2025004465"</f>
        <v>522-2025004465</v>
      </c>
      <c r="B1329" s="6" t="str">
        <f t="shared" si="388"/>
        <v>EL CORTE</v>
      </c>
      <c r="C1329" s="7">
        <v>46021</v>
      </c>
      <c r="D1329" s="7">
        <v>46024</v>
      </c>
      <c r="E1329" s="8">
        <v>1</v>
      </c>
      <c r="F1329" s="6" t="str">
        <f>"94720601_07025"</f>
        <v>94720601_07025</v>
      </c>
      <c r="G1329" s="6" t="str">
        <f t="shared" si="389"/>
        <v>F310631650000000</v>
      </c>
      <c r="H1329" s="6" t="str">
        <f t="shared" si="390"/>
        <v>PLAR 6316 FD - 500 g</v>
      </c>
      <c r="I1329" s="6" t="str">
        <f>"200510"</f>
        <v>200510</v>
      </c>
      <c r="J1329" s="6" t="str">
        <f>"VERDE 510"</f>
        <v>VERDE 510</v>
      </c>
      <c r="K1329" s="6" t="str">
        <f>"2020"</f>
        <v>2020</v>
      </c>
      <c r="L1329" s="6" t="str">
        <f>"Lençóis"</f>
        <v>Lençóis</v>
      </c>
      <c r="M1329" s="6" t="str">
        <f>"100x150"</f>
        <v>100x150</v>
      </c>
      <c r="N1329" s="6" t="str">
        <f>"5602972281156"</f>
        <v>5602972281156</v>
      </c>
      <c r="O1329" s="8">
        <v>3</v>
      </c>
      <c r="R1329" s="8">
        <v>0</v>
      </c>
      <c r="U1329" s="8">
        <v>0</v>
      </c>
      <c r="X1329" s="8">
        <v>0</v>
      </c>
      <c r="Z1329" s="8">
        <v>0</v>
      </c>
      <c r="AC1329" s="8">
        <v>0</v>
      </c>
      <c r="AF1329" s="8">
        <v>0</v>
      </c>
      <c r="AN1329" s="8">
        <v>3</v>
      </c>
      <c r="AO1329" s="8">
        <v>0</v>
      </c>
    </row>
    <row r="1330" spans="1:41" x14ac:dyDescent="0.25">
      <c r="A1330" s="6" t="str">
        <f>"522-2025004466"</f>
        <v>522-2025004466</v>
      </c>
      <c r="B1330" s="6" t="str">
        <f t="shared" si="388"/>
        <v>EL CORTE</v>
      </c>
      <c r="C1330" s="7">
        <v>46021</v>
      </c>
      <c r="D1330" s="7">
        <v>46024</v>
      </c>
      <c r="E1330" s="8">
        <v>1</v>
      </c>
      <c r="F1330" s="6" t="str">
        <f>"94720901_07025"</f>
        <v>94720901_07025</v>
      </c>
      <c r="G1330" s="6" t="str">
        <f t="shared" si="389"/>
        <v>F310631650000000</v>
      </c>
      <c r="H1330" s="6" t="str">
        <f t="shared" si="390"/>
        <v>PLAR 6316 FD - 500 g</v>
      </c>
      <c r="I1330" s="6" t="str">
        <f>"200510"</f>
        <v>200510</v>
      </c>
      <c r="J1330" s="6" t="str">
        <f>"VERDE 510"</f>
        <v>VERDE 510</v>
      </c>
      <c r="K1330" s="6" t="str">
        <f>"1024"</f>
        <v>1024</v>
      </c>
      <c r="L1330" s="6" t="str">
        <f>"Toalhas"</f>
        <v>Toalhas</v>
      </c>
      <c r="M1330" s="6" t="str">
        <f>"50x100"</f>
        <v>50x100</v>
      </c>
      <c r="N1330" s="6" t="str">
        <f>"5602972281149"</f>
        <v>5602972281149</v>
      </c>
      <c r="O1330" s="8">
        <v>6</v>
      </c>
      <c r="R1330" s="8">
        <v>0</v>
      </c>
      <c r="U1330" s="8">
        <v>0</v>
      </c>
      <c r="X1330" s="8">
        <v>0</v>
      </c>
      <c r="Z1330" s="8">
        <v>0</v>
      </c>
      <c r="AC1330" s="8">
        <v>0</v>
      </c>
      <c r="AF1330" s="8">
        <v>0</v>
      </c>
      <c r="AN1330" s="8">
        <v>6</v>
      </c>
      <c r="AO1330" s="8">
        <v>0</v>
      </c>
    </row>
    <row r="1331" spans="1:41" x14ac:dyDescent="0.25">
      <c r="A1331" s="6" t="str">
        <f>"522-2025004467"</f>
        <v>522-2025004467</v>
      </c>
      <c r="B1331" s="6" t="str">
        <f t="shared" si="388"/>
        <v>EL CORTE</v>
      </c>
      <c r="C1331" s="7">
        <v>46021</v>
      </c>
      <c r="D1331" s="7">
        <v>46024</v>
      </c>
      <c r="E1331" s="8">
        <v>1</v>
      </c>
      <c r="F1331" s="6" t="str">
        <f>"94721001_07025"</f>
        <v>94721001_07025</v>
      </c>
      <c r="G1331" s="6" t="str">
        <f t="shared" si="389"/>
        <v>F310631650000000</v>
      </c>
      <c r="H1331" s="6" t="str">
        <f t="shared" si="390"/>
        <v>PLAR 6316 FD - 500 g</v>
      </c>
      <c r="I1331" s="6" t="str">
        <f>"201855"</f>
        <v>201855</v>
      </c>
      <c r="J1331" s="6" t="str">
        <f>"AZUL 1855"</f>
        <v>AZUL 1855</v>
      </c>
      <c r="K1331" s="6" t="str">
        <f>"1024"</f>
        <v>1024</v>
      </c>
      <c r="L1331" s="6" t="str">
        <f>"Toalhas"</f>
        <v>Toalhas</v>
      </c>
      <c r="M1331" s="6" t="str">
        <f>"50x100"</f>
        <v>50x100</v>
      </c>
      <c r="N1331" s="6" t="str">
        <f>"5602972281057"</f>
        <v>5602972281057</v>
      </c>
      <c r="O1331" s="8">
        <v>6</v>
      </c>
      <c r="R1331" s="8">
        <v>0</v>
      </c>
      <c r="U1331" s="8">
        <v>0</v>
      </c>
      <c r="X1331" s="8">
        <v>0</v>
      </c>
      <c r="Z1331" s="8">
        <v>0</v>
      </c>
      <c r="AC1331" s="8">
        <v>0</v>
      </c>
      <c r="AF1331" s="8">
        <v>0</v>
      </c>
      <c r="AN1331" s="8">
        <v>6</v>
      </c>
      <c r="AO1331" s="8">
        <v>0</v>
      </c>
    </row>
    <row r="1332" spans="1:41" x14ac:dyDescent="0.25">
      <c r="A1332" s="6" t="str">
        <f>"522-2025004467"</f>
        <v>522-2025004467</v>
      </c>
      <c r="B1332" s="6" t="str">
        <f t="shared" si="388"/>
        <v>EL CORTE</v>
      </c>
      <c r="C1332" s="7">
        <v>46021</v>
      </c>
      <c r="D1332" s="7">
        <v>46024</v>
      </c>
      <c r="E1332" s="8">
        <v>2</v>
      </c>
      <c r="F1332" s="6" t="str">
        <f>"94721001_07025"</f>
        <v>94721001_07025</v>
      </c>
      <c r="G1332" s="6" t="str">
        <f t="shared" si="389"/>
        <v>F310631650000000</v>
      </c>
      <c r="H1332" s="6" t="str">
        <f t="shared" si="390"/>
        <v>PLAR 6316 FD - 500 g</v>
      </c>
      <c r="I1332" s="6" t="str">
        <f>"200901"</f>
        <v>200901</v>
      </c>
      <c r="J1332" s="6" t="str">
        <f>"ROSA 901"</f>
        <v>ROSA 901</v>
      </c>
      <c r="K1332" s="6" t="str">
        <f>"1024"</f>
        <v>1024</v>
      </c>
      <c r="L1332" s="6" t="str">
        <f>"Toalhas"</f>
        <v>Toalhas</v>
      </c>
      <c r="M1332" s="6" t="str">
        <f>"50x100"</f>
        <v>50x100</v>
      </c>
      <c r="N1332" s="6" t="str">
        <f>"5602972281118"</f>
        <v>5602972281118</v>
      </c>
      <c r="O1332" s="8">
        <v>6</v>
      </c>
      <c r="R1332" s="8">
        <v>0</v>
      </c>
      <c r="U1332" s="8">
        <v>0</v>
      </c>
      <c r="X1332" s="8">
        <v>0</v>
      </c>
      <c r="Z1332" s="8">
        <v>0</v>
      </c>
      <c r="AC1332" s="8">
        <v>0</v>
      </c>
      <c r="AF1332" s="8">
        <v>0</v>
      </c>
      <c r="AN1332" s="8">
        <v>6</v>
      </c>
      <c r="AO1332" s="8">
        <v>0</v>
      </c>
    </row>
    <row r="1333" spans="1:41" x14ac:dyDescent="0.25">
      <c r="A1333" s="6" t="str">
        <f>"522-2025004467"</f>
        <v>522-2025004467</v>
      </c>
      <c r="B1333" s="6" t="str">
        <f t="shared" si="388"/>
        <v>EL CORTE</v>
      </c>
      <c r="C1333" s="7">
        <v>46021</v>
      </c>
      <c r="D1333" s="7">
        <v>46024</v>
      </c>
      <c r="E1333" s="8">
        <v>3</v>
      </c>
      <c r="F1333" s="6" t="str">
        <f>"94721001_07025"</f>
        <v>94721001_07025</v>
      </c>
      <c r="G1333" s="6" t="str">
        <f t="shared" si="389"/>
        <v>F310631650000000</v>
      </c>
      <c r="H1333" s="6" t="str">
        <f t="shared" si="390"/>
        <v>PLAR 6316 FD - 500 g</v>
      </c>
      <c r="I1333" s="6" t="str">
        <f>"200901"</f>
        <v>200901</v>
      </c>
      <c r="J1333" s="6" t="str">
        <f>"ROSA 901"</f>
        <v>ROSA 901</v>
      </c>
      <c r="K1333" s="6" t="str">
        <f>"2020"</f>
        <v>2020</v>
      </c>
      <c r="L1333" s="6" t="str">
        <f>"Lençóis"</f>
        <v>Lençóis</v>
      </c>
      <c r="M1333" s="6" t="str">
        <f>"100x150"</f>
        <v>100x150</v>
      </c>
      <c r="N1333" s="6" t="str">
        <f>"5602972281125"</f>
        <v>5602972281125</v>
      </c>
      <c r="O1333" s="8">
        <v>3</v>
      </c>
      <c r="R1333" s="8">
        <v>0</v>
      </c>
      <c r="U1333" s="8">
        <v>0</v>
      </c>
      <c r="X1333" s="8">
        <v>0</v>
      </c>
      <c r="Z1333" s="8">
        <v>0</v>
      </c>
      <c r="AC1333" s="8">
        <v>0</v>
      </c>
      <c r="AF1333" s="8">
        <v>0</v>
      </c>
      <c r="AN1333" s="8">
        <v>3</v>
      </c>
      <c r="AO1333" s="8">
        <v>0</v>
      </c>
    </row>
    <row r="1334" spans="1:41" x14ac:dyDescent="0.25">
      <c r="A1334" s="6" t="str">
        <f>"522-2025004468"</f>
        <v>522-2025004468</v>
      </c>
      <c r="B1334" s="6" t="str">
        <f t="shared" si="388"/>
        <v>EL CORTE</v>
      </c>
      <c r="C1334" s="7">
        <v>46021</v>
      </c>
      <c r="D1334" s="7">
        <v>46024</v>
      </c>
      <c r="E1334" s="8">
        <v>1</v>
      </c>
      <c r="F1334" s="6" t="str">
        <f>"94721101_07025"</f>
        <v>94721101_07025</v>
      </c>
      <c r="G1334" s="6" t="str">
        <f t="shared" si="389"/>
        <v>F310631650000000</v>
      </c>
      <c r="H1334" s="6" t="str">
        <f t="shared" si="390"/>
        <v>PLAR 6316 FD - 500 g</v>
      </c>
      <c r="I1334" s="6" t="str">
        <f>"200510"</f>
        <v>200510</v>
      </c>
      <c r="J1334" s="6" t="str">
        <f>"VERDE 510"</f>
        <v>VERDE 510</v>
      </c>
      <c r="K1334" s="6" t="str">
        <f>"1024"</f>
        <v>1024</v>
      </c>
      <c r="L1334" s="6" t="str">
        <f>"Toalhas"</f>
        <v>Toalhas</v>
      </c>
      <c r="M1334" s="6" t="str">
        <f>"50x100"</f>
        <v>50x100</v>
      </c>
      <c r="N1334" s="6" t="str">
        <f>"5602972281149"</f>
        <v>5602972281149</v>
      </c>
      <c r="O1334" s="8">
        <v>6</v>
      </c>
      <c r="R1334" s="8">
        <v>0</v>
      </c>
      <c r="U1334" s="8">
        <v>0</v>
      </c>
      <c r="X1334" s="8">
        <v>0</v>
      </c>
      <c r="Z1334" s="8">
        <v>0</v>
      </c>
      <c r="AC1334" s="8">
        <v>0</v>
      </c>
      <c r="AF1334" s="8">
        <v>0</v>
      </c>
      <c r="AN1334" s="8">
        <v>6</v>
      </c>
      <c r="AO1334" s="8">
        <v>0</v>
      </c>
    </row>
    <row r="1335" spans="1:41" x14ac:dyDescent="0.25">
      <c r="A1335" s="6" t="str">
        <f>"522-2025004469"</f>
        <v>522-2025004469</v>
      </c>
      <c r="B1335" s="6" t="str">
        <f t="shared" si="388"/>
        <v>EL CORTE</v>
      </c>
      <c r="C1335" s="7">
        <v>46021</v>
      </c>
      <c r="D1335" s="7">
        <v>46024</v>
      </c>
      <c r="E1335" s="8">
        <v>1</v>
      </c>
      <c r="F1335" s="6" t="str">
        <f>"94720701_07025"</f>
        <v>94720701_07025</v>
      </c>
      <c r="G1335" s="6" t="str">
        <f t="shared" si="389"/>
        <v>F310631650000000</v>
      </c>
      <c r="H1335" s="6" t="str">
        <f t="shared" si="390"/>
        <v>PLAR 6316 FD - 500 g</v>
      </c>
      <c r="I1335" s="6" t="str">
        <f>"200510"</f>
        <v>200510</v>
      </c>
      <c r="J1335" s="6" t="str">
        <f>"VERDE 510"</f>
        <v>VERDE 510</v>
      </c>
      <c r="K1335" s="6" t="str">
        <f>"1024"</f>
        <v>1024</v>
      </c>
      <c r="L1335" s="6" t="str">
        <f>"Toalhas"</f>
        <v>Toalhas</v>
      </c>
      <c r="M1335" s="6" t="str">
        <f>"50x100"</f>
        <v>50x100</v>
      </c>
      <c r="N1335" s="6" t="str">
        <f>"5602972281149"</f>
        <v>5602972281149</v>
      </c>
      <c r="O1335" s="8">
        <v>6</v>
      </c>
      <c r="R1335" s="8">
        <v>0</v>
      </c>
      <c r="U1335" s="8">
        <v>0</v>
      </c>
      <c r="X1335" s="8">
        <v>0</v>
      </c>
      <c r="Z1335" s="8">
        <v>0</v>
      </c>
      <c r="AC1335" s="8">
        <v>0</v>
      </c>
      <c r="AF1335" s="8">
        <v>0</v>
      </c>
      <c r="AN1335" s="8">
        <v>6</v>
      </c>
      <c r="AO1335" s="8">
        <v>0</v>
      </c>
    </row>
    <row r="1336" spans="1:41" x14ac:dyDescent="0.25">
      <c r="A1336" s="6" t="str">
        <f>"522-2025004469"</f>
        <v>522-2025004469</v>
      </c>
      <c r="B1336" s="6" t="str">
        <f t="shared" si="388"/>
        <v>EL CORTE</v>
      </c>
      <c r="C1336" s="7">
        <v>46021</v>
      </c>
      <c r="D1336" s="7">
        <v>46024</v>
      </c>
      <c r="E1336" s="8">
        <v>2</v>
      </c>
      <c r="F1336" s="6" t="str">
        <f>"94720701_07025"</f>
        <v>94720701_07025</v>
      </c>
      <c r="G1336" s="6" t="str">
        <f t="shared" si="389"/>
        <v>F310631650000000</v>
      </c>
      <c r="H1336" s="6" t="str">
        <f t="shared" si="390"/>
        <v>PLAR 6316 FD - 500 g</v>
      </c>
      <c r="I1336" s="6" t="str">
        <f>"200510"</f>
        <v>200510</v>
      </c>
      <c r="J1336" s="6" t="str">
        <f>"VERDE 510"</f>
        <v>VERDE 510</v>
      </c>
      <c r="K1336" s="6" t="str">
        <f>"2020"</f>
        <v>2020</v>
      </c>
      <c r="L1336" s="6" t="str">
        <f>"Lençóis"</f>
        <v>Lençóis</v>
      </c>
      <c r="M1336" s="6" t="str">
        <f>"100x150"</f>
        <v>100x150</v>
      </c>
      <c r="N1336" s="6" t="str">
        <f>"5602972281156"</f>
        <v>5602972281156</v>
      </c>
      <c r="O1336" s="8">
        <v>3</v>
      </c>
      <c r="R1336" s="8">
        <v>0</v>
      </c>
      <c r="U1336" s="8">
        <v>0</v>
      </c>
      <c r="X1336" s="8">
        <v>0</v>
      </c>
      <c r="Z1336" s="8">
        <v>0</v>
      </c>
      <c r="AC1336" s="8">
        <v>0</v>
      </c>
      <c r="AF1336" s="8">
        <v>0</v>
      </c>
      <c r="AN1336" s="8">
        <v>3</v>
      </c>
      <c r="AO1336" s="8">
        <v>0</v>
      </c>
    </row>
    <row r="1337" spans="1:41" x14ac:dyDescent="0.25">
      <c r="A1337" s="6" t="str">
        <f>"522-2025004470"</f>
        <v>522-2025004470</v>
      </c>
      <c r="B1337" s="6" t="str">
        <f t="shared" si="388"/>
        <v>EL CORTE</v>
      </c>
      <c r="C1337" s="7">
        <v>46021</v>
      </c>
      <c r="D1337" s="7">
        <v>46024</v>
      </c>
      <c r="E1337" s="8">
        <v>1</v>
      </c>
      <c r="F1337" s="6" t="str">
        <f>"94721301_07025"</f>
        <v>94721301_07025</v>
      </c>
      <c r="G1337" s="6" t="str">
        <f t="shared" si="389"/>
        <v>F310631650000000</v>
      </c>
      <c r="H1337" s="6" t="str">
        <f t="shared" si="390"/>
        <v>PLAR 6316 FD - 500 g</v>
      </c>
      <c r="I1337" s="6" t="str">
        <f>"200510"</f>
        <v>200510</v>
      </c>
      <c r="J1337" s="6" t="str">
        <f>"VERDE 510"</f>
        <v>VERDE 510</v>
      </c>
      <c r="K1337" s="6" t="str">
        <f>"2020"</f>
        <v>2020</v>
      </c>
      <c r="L1337" s="6" t="str">
        <f>"Lençóis"</f>
        <v>Lençóis</v>
      </c>
      <c r="M1337" s="6" t="str">
        <f>"100x150"</f>
        <v>100x150</v>
      </c>
      <c r="N1337" s="6" t="str">
        <f>"5602972281156"</f>
        <v>5602972281156</v>
      </c>
      <c r="O1337" s="8">
        <v>3</v>
      </c>
      <c r="R1337" s="8">
        <v>0</v>
      </c>
      <c r="U1337" s="8">
        <v>0</v>
      </c>
      <c r="X1337" s="8">
        <v>0</v>
      </c>
      <c r="Z1337" s="8">
        <v>0</v>
      </c>
      <c r="AC1337" s="8">
        <v>0</v>
      </c>
      <c r="AF1337" s="8">
        <v>0</v>
      </c>
      <c r="AN1337" s="8">
        <v>3</v>
      </c>
      <c r="AO1337" s="8">
        <v>0</v>
      </c>
    </row>
    <row r="1338" spans="1:41" x14ac:dyDescent="0.25">
      <c r="A1338" s="6" t="str">
        <f>"522-2025004471"</f>
        <v>522-2025004471</v>
      </c>
      <c r="B1338" s="6" t="str">
        <f t="shared" si="388"/>
        <v>EL CORTE</v>
      </c>
      <c r="C1338" s="7">
        <v>46021</v>
      </c>
      <c r="D1338" s="7">
        <v>46024</v>
      </c>
      <c r="E1338" s="8">
        <v>1</v>
      </c>
      <c r="F1338" s="6" t="str">
        <f>"94721201_07025"</f>
        <v>94721201_07025</v>
      </c>
      <c r="G1338" s="6" t="str">
        <f t="shared" si="389"/>
        <v>F310631650000000</v>
      </c>
      <c r="H1338" s="6" t="str">
        <f t="shared" si="390"/>
        <v>PLAR 6316 FD - 500 g</v>
      </c>
      <c r="I1338" s="6" t="str">
        <f>"200510"</f>
        <v>200510</v>
      </c>
      <c r="J1338" s="6" t="str">
        <f>"VERDE 510"</f>
        <v>VERDE 510</v>
      </c>
      <c r="K1338" s="6" t="str">
        <f>"1024"</f>
        <v>1024</v>
      </c>
      <c r="L1338" s="6" t="str">
        <f>"Toalhas"</f>
        <v>Toalhas</v>
      </c>
      <c r="M1338" s="6" t="str">
        <f>"50x100"</f>
        <v>50x100</v>
      </c>
      <c r="N1338" s="6" t="str">
        <f>"5602972281149"</f>
        <v>5602972281149</v>
      </c>
      <c r="O1338" s="8">
        <v>6</v>
      </c>
      <c r="R1338" s="8">
        <v>0</v>
      </c>
      <c r="U1338" s="8">
        <v>0</v>
      </c>
      <c r="X1338" s="8">
        <v>0</v>
      </c>
      <c r="Z1338" s="8">
        <v>0</v>
      </c>
      <c r="AC1338" s="8">
        <v>0</v>
      </c>
      <c r="AF1338" s="8">
        <v>0</v>
      </c>
      <c r="AN1338" s="8">
        <v>6</v>
      </c>
      <c r="AO1338" s="8">
        <v>0</v>
      </c>
    </row>
    <row r="1339" spans="1:41" x14ac:dyDescent="0.25">
      <c r="A1339" s="6" t="str">
        <f>"522-2025004472"</f>
        <v>522-2025004472</v>
      </c>
      <c r="B1339" s="6" t="str">
        <f t="shared" si="388"/>
        <v>EL CORTE</v>
      </c>
      <c r="C1339" s="7">
        <v>46021</v>
      </c>
      <c r="D1339" s="7">
        <v>46024</v>
      </c>
      <c r="E1339" s="8">
        <v>1</v>
      </c>
      <c r="F1339" s="6" t="str">
        <f>"94721601_07025"</f>
        <v>94721601_07025</v>
      </c>
      <c r="G1339" s="6" t="str">
        <f t="shared" si="389"/>
        <v>F310631650000000</v>
      </c>
      <c r="H1339" s="6" t="str">
        <f t="shared" si="390"/>
        <v>PLAR 6316 FD - 500 g</v>
      </c>
      <c r="I1339" s="6" t="str">
        <f>"201855"</f>
        <v>201855</v>
      </c>
      <c r="J1339" s="6" t="str">
        <f>"AZUL 1855"</f>
        <v>AZUL 1855</v>
      </c>
      <c r="K1339" s="6" t="str">
        <f>"1024"</f>
        <v>1024</v>
      </c>
      <c r="L1339" s="6" t="str">
        <f>"Toalhas"</f>
        <v>Toalhas</v>
      </c>
      <c r="M1339" s="6" t="str">
        <f>"50x100"</f>
        <v>50x100</v>
      </c>
      <c r="N1339" s="6" t="str">
        <f>"5602972281057"</f>
        <v>5602972281057</v>
      </c>
      <c r="O1339" s="8">
        <v>6</v>
      </c>
      <c r="R1339" s="8">
        <v>0</v>
      </c>
      <c r="U1339" s="8">
        <v>0</v>
      </c>
      <c r="X1339" s="8">
        <v>0</v>
      </c>
      <c r="Z1339" s="8">
        <v>0</v>
      </c>
      <c r="AC1339" s="8">
        <v>0</v>
      </c>
      <c r="AF1339" s="8">
        <v>0</v>
      </c>
      <c r="AN1339" s="8">
        <v>6</v>
      </c>
      <c r="AO1339" s="8">
        <v>0</v>
      </c>
    </row>
    <row r="1340" spans="1:41" x14ac:dyDescent="0.25">
      <c r="A1340" s="6" t="str">
        <f>"522-2025004473"</f>
        <v>522-2025004473</v>
      </c>
      <c r="B1340" s="6" t="str">
        <f t="shared" si="388"/>
        <v>EL CORTE</v>
      </c>
      <c r="C1340" s="7">
        <v>46021</v>
      </c>
      <c r="D1340" s="7">
        <v>46024</v>
      </c>
      <c r="E1340" s="8">
        <v>1</v>
      </c>
      <c r="F1340" s="6" t="str">
        <f>"94721501_07025"</f>
        <v>94721501_07025</v>
      </c>
      <c r="G1340" s="6" t="str">
        <f t="shared" si="389"/>
        <v>F310631650000000</v>
      </c>
      <c r="H1340" s="6" t="str">
        <f t="shared" si="390"/>
        <v>PLAR 6316 FD - 500 g</v>
      </c>
      <c r="I1340" s="6" t="str">
        <f>"202575"</f>
        <v>202575</v>
      </c>
      <c r="J1340" s="6" t="str">
        <f>"BEGE 2575"</f>
        <v>BEGE 2575</v>
      </c>
      <c r="K1340" s="6" t="str">
        <f>"2020"</f>
        <v>2020</v>
      </c>
      <c r="L1340" s="6" t="str">
        <f>"Lençóis"</f>
        <v>Lençóis</v>
      </c>
      <c r="M1340" s="6" t="str">
        <f>"100x150"</f>
        <v>100x150</v>
      </c>
      <c r="N1340" s="6" t="str">
        <f>"5602972281095"</f>
        <v>5602972281095</v>
      </c>
      <c r="O1340" s="8">
        <v>3</v>
      </c>
      <c r="R1340" s="8">
        <v>0</v>
      </c>
      <c r="U1340" s="8">
        <v>0</v>
      </c>
      <c r="X1340" s="8">
        <v>0</v>
      </c>
      <c r="Z1340" s="8">
        <v>0</v>
      </c>
      <c r="AC1340" s="8">
        <v>0</v>
      </c>
      <c r="AF1340" s="8">
        <v>0</v>
      </c>
      <c r="AN1340" s="8">
        <v>3</v>
      </c>
      <c r="AO1340" s="8">
        <v>0</v>
      </c>
    </row>
    <row r="1341" spans="1:41" x14ac:dyDescent="0.25">
      <c r="A1341" s="6" t="str">
        <f>"522-2025004474"</f>
        <v>522-2025004474</v>
      </c>
      <c r="B1341" s="6" t="str">
        <f t="shared" si="388"/>
        <v>EL CORTE</v>
      </c>
      <c r="C1341" s="7">
        <v>46021</v>
      </c>
      <c r="D1341" s="7">
        <v>46024</v>
      </c>
      <c r="E1341" s="8">
        <v>1</v>
      </c>
      <c r="F1341" s="6" t="str">
        <f>"94720801_07025"</f>
        <v>94720801_07025</v>
      </c>
      <c r="G1341" s="6" t="str">
        <f t="shared" si="389"/>
        <v>F310631650000000</v>
      </c>
      <c r="H1341" s="6" t="str">
        <f t="shared" si="390"/>
        <v>PLAR 6316 FD - 500 g</v>
      </c>
      <c r="I1341" s="6" t="str">
        <f>"201855"</f>
        <v>201855</v>
      </c>
      <c r="J1341" s="6" t="str">
        <f>"AZUL 1855"</f>
        <v>AZUL 1855</v>
      </c>
      <c r="K1341" s="6" t="str">
        <f>"0520"</f>
        <v>0520</v>
      </c>
      <c r="L1341" s="6" t="str">
        <f>"Toalhetes"</f>
        <v>Toalhetes</v>
      </c>
      <c r="M1341" s="6" t="str">
        <f>"30x50"</f>
        <v>30x50</v>
      </c>
      <c r="N1341" s="6" t="str">
        <f>"5602972281040"</f>
        <v>5602972281040</v>
      </c>
      <c r="O1341" s="8">
        <v>12</v>
      </c>
      <c r="R1341" s="8">
        <v>0</v>
      </c>
      <c r="U1341" s="8">
        <v>0</v>
      </c>
      <c r="X1341" s="8">
        <v>0</v>
      </c>
      <c r="Z1341" s="8">
        <v>0</v>
      </c>
      <c r="AC1341" s="8">
        <v>0</v>
      </c>
      <c r="AF1341" s="8">
        <v>0</v>
      </c>
      <c r="AN1341" s="8">
        <v>12</v>
      </c>
      <c r="AO1341" s="8">
        <v>0</v>
      </c>
    </row>
    <row r="1342" spans="1:41" x14ac:dyDescent="0.25">
      <c r="A1342" s="6" t="str">
        <f>"522-2025004474"</f>
        <v>522-2025004474</v>
      </c>
      <c r="B1342" s="6" t="str">
        <f t="shared" si="388"/>
        <v>EL CORTE</v>
      </c>
      <c r="C1342" s="7">
        <v>46021</v>
      </c>
      <c r="D1342" s="7">
        <v>46024</v>
      </c>
      <c r="E1342" s="8">
        <v>2</v>
      </c>
      <c r="F1342" s="6" t="str">
        <f>"94720801_07025"</f>
        <v>94720801_07025</v>
      </c>
      <c r="G1342" s="6" t="str">
        <f t="shared" si="389"/>
        <v>F310631650000000</v>
      </c>
      <c r="H1342" s="6" t="str">
        <f t="shared" si="390"/>
        <v>PLAR 6316 FD - 500 g</v>
      </c>
      <c r="I1342" s="6" t="str">
        <f>"202575"</f>
        <v>202575</v>
      </c>
      <c r="J1342" s="6" t="str">
        <f>"BEGE 2575"</f>
        <v>BEGE 2575</v>
      </c>
      <c r="K1342" s="6" t="str">
        <f>"0520"</f>
        <v>0520</v>
      </c>
      <c r="L1342" s="6" t="str">
        <f>"Toalhetes"</f>
        <v>Toalhetes</v>
      </c>
      <c r="M1342" s="6" t="str">
        <f>"30x50"</f>
        <v>30x50</v>
      </c>
      <c r="N1342" s="6" t="str">
        <f>"5602972281071"</f>
        <v>5602972281071</v>
      </c>
      <c r="O1342" s="8">
        <v>12</v>
      </c>
      <c r="R1342" s="8">
        <v>0</v>
      </c>
      <c r="U1342" s="8">
        <v>0</v>
      </c>
      <c r="X1342" s="8">
        <v>0</v>
      </c>
      <c r="Z1342" s="8">
        <v>0</v>
      </c>
      <c r="AC1342" s="8">
        <v>0</v>
      </c>
      <c r="AF1342" s="8">
        <v>0</v>
      </c>
      <c r="AN1342" s="8">
        <v>12</v>
      </c>
      <c r="AO1342" s="8">
        <v>0</v>
      </c>
    </row>
    <row r="1343" spans="1:41" x14ac:dyDescent="0.25">
      <c r="A1343" s="6" t="str">
        <f>"522-2025004474"</f>
        <v>522-2025004474</v>
      </c>
      <c r="B1343" s="6" t="str">
        <f t="shared" si="388"/>
        <v>EL CORTE</v>
      </c>
      <c r="C1343" s="7">
        <v>46021</v>
      </c>
      <c r="D1343" s="7">
        <v>46024</v>
      </c>
      <c r="E1343" s="8">
        <v>3</v>
      </c>
      <c r="F1343" s="6" t="str">
        <f>"94720801_07025"</f>
        <v>94720801_07025</v>
      </c>
      <c r="G1343" s="6" t="str">
        <f t="shared" si="389"/>
        <v>F310631650000000</v>
      </c>
      <c r="H1343" s="6" t="str">
        <f t="shared" si="390"/>
        <v>PLAR 6316 FD - 500 g</v>
      </c>
      <c r="I1343" s="6" t="str">
        <f>"200901"</f>
        <v>200901</v>
      </c>
      <c r="J1343" s="6" t="str">
        <f>"ROSA 901"</f>
        <v>ROSA 901</v>
      </c>
      <c r="K1343" s="6" t="str">
        <f>"0520"</f>
        <v>0520</v>
      </c>
      <c r="L1343" s="6" t="str">
        <f>"Toalhetes"</f>
        <v>Toalhetes</v>
      </c>
      <c r="M1343" s="6" t="str">
        <f>"30x50"</f>
        <v>30x50</v>
      </c>
      <c r="N1343" s="6" t="str">
        <f>"5602972281101"</f>
        <v>5602972281101</v>
      </c>
      <c r="O1343" s="8">
        <v>12</v>
      </c>
      <c r="R1343" s="8">
        <v>0</v>
      </c>
      <c r="U1343" s="8">
        <v>0</v>
      </c>
      <c r="X1343" s="8">
        <v>0</v>
      </c>
      <c r="Z1343" s="8">
        <v>0</v>
      </c>
      <c r="AC1343" s="8">
        <v>0</v>
      </c>
      <c r="AF1343" s="8">
        <v>0</v>
      </c>
      <c r="AN1343" s="8">
        <v>12</v>
      </c>
      <c r="AO1343" s="8">
        <v>0</v>
      </c>
    </row>
    <row r="1344" spans="1:41" x14ac:dyDescent="0.25">
      <c r="A1344" s="6" t="str">
        <f>"522-2025004474"</f>
        <v>522-2025004474</v>
      </c>
      <c r="B1344" s="6" t="str">
        <f t="shared" si="388"/>
        <v>EL CORTE</v>
      </c>
      <c r="C1344" s="7">
        <v>46021</v>
      </c>
      <c r="D1344" s="7">
        <v>46024</v>
      </c>
      <c r="E1344" s="8">
        <v>4</v>
      </c>
      <c r="F1344" s="6" t="str">
        <f>"94720801_07025"</f>
        <v>94720801_07025</v>
      </c>
      <c r="G1344" s="6" t="str">
        <f t="shared" si="389"/>
        <v>F310631650000000</v>
      </c>
      <c r="H1344" s="6" t="str">
        <f t="shared" si="390"/>
        <v>PLAR 6316 FD - 500 g</v>
      </c>
      <c r="I1344" s="6" t="str">
        <f>"200510"</f>
        <v>200510</v>
      </c>
      <c r="J1344" s="6" t="str">
        <f>"VERDE 510"</f>
        <v>VERDE 510</v>
      </c>
      <c r="K1344" s="6" t="str">
        <f>"0520"</f>
        <v>0520</v>
      </c>
      <c r="L1344" s="6" t="str">
        <f>"Toalhetes"</f>
        <v>Toalhetes</v>
      </c>
      <c r="M1344" s="6" t="str">
        <f>"30x50"</f>
        <v>30x50</v>
      </c>
      <c r="N1344" s="6" t="str">
        <f>"5602972281132"</f>
        <v>5602972281132</v>
      </c>
      <c r="O1344" s="8">
        <v>12</v>
      </c>
      <c r="R1344" s="8">
        <v>0</v>
      </c>
      <c r="U1344" s="8">
        <v>0</v>
      </c>
      <c r="X1344" s="8">
        <v>0</v>
      </c>
      <c r="Z1344" s="8">
        <v>0</v>
      </c>
      <c r="AC1344" s="8">
        <v>0</v>
      </c>
      <c r="AF1344" s="8">
        <v>0</v>
      </c>
      <c r="AN1344" s="8">
        <v>12</v>
      </c>
      <c r="AO1344" s="8">
        <v>0</v>
      </c>
    </row>
    <row r="1345" spans="1:41" x14ac:dyDescent="0.25">
      <c r="A1345" s="6" t="str">
        <f>"522-2025004475"</f>
        <v>522-2025004475</v>
      </c>
      <c r="B1345" s="6" t="str">
        <f t="shared" si="388"/>
        <v>EL CORTE</v>
      </c>
      <c r="C1345" s="7">
        <v>46021</v>
      </c>
      <c r="D1345" s="7">
        <v>46024</v>
      </c>
      <c r="E1345" s="8">
        <v>1</v>
      </c>
      <c r="F1345" s="6" t="str">
        <f>"94722001_07025"</f>
        <v>94722001_07025</v>
      </c>
      <c r="G1345" s="6" t="str">
        <f t="shared" si="389"/>
        <v>F310631650000000</v>
      </c>
      <c r="H1345" s="6" t="str">
        <f t="shared" si="390"/>
        <v>PLAR 6316 FD - 500 g</v>
      </c>
      <c r="I1345" s="6" t="str">
        <f>"201855"</f>
        <v>201855</v>
      </c>
      <c r="J1345" s="6" t="str">
        <f>"AZUL 1855"</f>
        <v>AZUL 1855</v>
      </c>
      <c r="K1345" s="6" t="str">
        <f>"2020"</f>
        <v>2020</v>
      </c>
      <c r="L1345" s="6" t="str">
        <f>"Lençóis"</f>
        <v>Lençóis</v>
      </c>
      <c r="M1345" s="6" t="str">
        <f>"100x150"</f>
        <v>100x150</v>
      </c>
      <c r="N1345" s="6" t="str">
        <f>"5602972281064"</f>
        <v>5602972281064</v>
      </c>
      <c r="O1345" s="8">
        <v>3</v>
      </c>
      <c r="R1345" s="8">
        <v>0</v>
      </c>
      <c r="U1345" s="8">
        <v>0</v>
      </c>
      <c r="X1345" s="8">
        <v>0</v>
      </c>
      <c r="Z1345" s="8">
        <v>0</v>
      </c>
      <c r="AC1345" s="8">
        <v>0</v>
      </c>
      <c r="AF1345" s="8">
        <v>0</v>
      </c>
      <c r="AN1345" s="8">
        <v>0</v>
      </c>
      <c r="AO1345" s="8">
        <v>3</v>
      </c>
    </row>
    <row r="1346" spans="1:41" x14ac:dyDescent="0.25">
      <c r="A1346" s="6" t="str">
        <f>"522-2025004475"</f>
        <v>522-2025004475</v>
      </c>
      <c r="B1346" s="6" t="str">
        <f t="shared" si="388"/>
        <v>EL CORTE</v>
      </c>
      <c r="C1346" s="7">
        <v>46021</v>
      </c>
      <c r="D1346" s="7">
        <v>46024</v>
      </c>
      <c r="E1346" s="8">
        <v>2</v>
      </c>
      <c r="F1346" s="6" t="str">
        <f>"94722001_07025"</f>
        <v>94722001_07025</v>
      </c>
      <c r="G1346" s="6" t="str">
        <f t="shared" si="389"/>
        <v>F310631650000000</v>
      </c>
      <c r="H1346" s="6" t="str">
        <f t="shared" si="390"/>
        <v>PLAR 6316 FD - 500 g</v>
      </c>
      <c r="I1346" s="6" t="str">
        <f>"202575"</f>
        <v>202575</v>
      </c>
      <c r="J1346" s="6" t="str">
        <f>"BEGE 2575"</f>
        <v>BEGE 2575</v>
      </c>
      <c r="K1346" s="6" t="str">
        <f>"0520"</f>
        <v>0520</v>
      </c>
      <c r="L1346" s="6" t="str">
        <f>"Toalhetes"</f>
        <v>Toalhetes</v>
      </c>
      <c r="M1346" s="6" t="str">
        <f>"30x50"</f>
        <v>30x50</v>
      </c>
      <c r="N1346" s="6" t="str">
        <f>"5602972281071"</f>
        <v>5602972281071</v>
      </c>
      <c r="O1346" s="8">
        <v>6</v>
      </c>
      <c r="R1346" s="8">
        <v>0</v>
      </c>
      <c r="U1346" s="8">
        <v>0</v>
      </c>
      <c r="X1346" s="8">
        <v>0</v>
      </c>
      <c r="Z1346" s="8">
        <v>0</v>
      </c>
      <c r="AC1346" s="8">
        <v>0</v>
      </c>
      <c r="AF1346" s="8">
        <v>0</v>
      </c>
      <c r="AN1346" s="8">
        <v>6</v>
      </c>
      <c r="AO1346" s="8">
        <v>0</v>
      </c>
    </row>
    <row r="1347" spans="1:41" x14ac:dyDescent="0.25">
      <c r="A1347" s="6" t="str">
        <f>"522-2025004475"</f>
        <v>522-2025004475</v>
      </c>
      <c r="B1347" s="6" t="str">
        <f t="shared" si="388"/>
        <v>EL CORTE</v>
      </c>
      <c r="C1347" s="7">
        <v>46021</v>
      </c>
      <c r="D1347" s="7">
        <v>46024</v>
      </c>
      <c r="E1347" s="8">
        <v>3</v>
      </c>
      <c r="F1347" s="6" t="str">
        <f>"94722001_07025"</f>
        <v>94722001_07025</v>
      </c>
      <c r="G1347" s="6" t="str">
        <f t="shared" si="389"/>
        <v>F310631650000000</v>
      </c>
      <c r="H1347" s="6" t="str">
        <f t="shared" si="390"/>
        <v>PLAR 6316 FD - 500 g</v>
      </c>
      <c r="I1347" s="6" t="str">
        <f>"202575"</f>
        <v>202575</v>
      </c>
      <c r="J1347" s="6" t="str">
        <f>"BEGE 2575"</f>
        <v>BEGE 2575</v>
      </c>
      <c r="K1347" s="6" t="str">
        <f>"2020"</f>
        <v>2020</v>
      </c>
      <c r="L1347" s="6" t="str">
        <f>"Lençóis"</f>
        <v>Lençóis</v>
      </c>
      <c r="M1347" s="6" t="str">
        <f>"100x150"</f>
        <v>100x150</v>
      </c>
      <c r="N1347" s="6" t="str">
        <f>"5602972281095"</f>
        <v>5602972281095</v>
      </c>
      <c r="O1347" s="8">
        <v>6</v>
      </c>
      <c r="R1347" s="8">
        <v>0</v>
      </c>
      <c r="U1347" s="8">
        <v>0</v>
      </c>
      <c r="X1347" s="8">
        <v>0</v>
      </c>
      <c r="Z1347" s="8">
        <v>0</v>
      </c>
      <c r="AC1347" s="8">
        <v>0</v>
      </c>
      <c r="AF1347" s="8">
        <v>0</v>
      </c>
      <c r="AN1347" s="8">
        <v>6</v>
      </c>
      <c r="AO1347" s="8">
        <v>0</v>
      </c>
    </row>
    <row r="1348" spans="1:41" x14ac:dyDescent="0.25">
      <c r="A1348" s="6" t="str">
        <f>"522-2025004475"</f>
        <v>522-2025004475</v>
      </c>
      <c r="B1348" s="6" t="str">
        <f t="shared" si="388"/>
        <v>EL CORTE</v>
      </c>
      <c r="C1348" s="7">
        <v>46021</v>
      </c>
      <c r="D1348" s="7">
        <v>46024</v>
      </c>
      <c r="E1348" s="8">
        <v>4</v>
      </c>
      <c r="F1348" s="6" t="str">
        <f>"94722001_07025"</f>
        <v>94722001_07025</v>
      </c>
      <c r="G1348" s="6" t="str">
        <f t="shared" si="389"/>
        <v>F310631650000000</v>
      </c>
      <c r="H1348" s="6" t="str">
        <f t="shared" si="390"/>
        <v>PLAR 6316 FD - 500 g</v>
      </c>
      <c r="I1348" s="6" t="str">
        <f>"200901"</f>
        <v>200901</v>
      </c>
      <c r="J1348" s="6" t="str">
        <f>"ROSA 901"</f>
        <v>ROSA 901</v>
      </c>
      <c r="K1348" s="6" t="str">
        <f>"2020"</f>
        <v>2020</v>
      </c>
      <c r="L1348" s="6" t="str">
        <f>"Lençóis"</f>
        <v>Lençóis</v>
      </c>
      <c r="M1348" s="6" t="str">
        <f>"100x150"</f>
        <v>100x150</v>
      </c>
      <c r="N1348" s="6" t="str">
        <f>"5602972281125"</f>
        <v>5602972281125</v>
      </c>
      <c r="O1348" s="8">
        <v>3</v>
      </c>
      <c r="R1348" s="8">
        <v>0</v>
      </c>
      <c r="U1348" s="8">
        <v>0</v>
      </c>
      <c r="X1348" s="8">
        <v>0</v>
      </c>
      <c r="Z1348" s="8">
        <v>0</v>
      </c>
      <c r="AC1348" s="8">
        <v>0</v>
      </c>
      <c r="AF1348" s="8">
        <v>0</v>
      </c>
      <c r="AN1348" s="8">
        <v>3</v>
      </c>
      <c r="AO1348" s="8">
        <v>0</v>
      </c>
    </row>
    <row r="1349" spans="1:41" x14ac:dyDescent="0.25">
      <c r="A1349" s="6" t="str">
        <f>"522-2025004476"</f>
        <v>522-2025004476</v>
      </c>
      <c r="B1349" s="6" t="str">
        <f t="shared" si="388"/>
        <v>EL CORTE</v>
      </c>
      <c r="C1349" s="7">
        <v>46021</v>
      </c>
      <c r="D1349" s="7">
        <v>46024</v>
      </c>
      <c r="E1349" s="8">
        <v>1</v>
      </c>
      <c r="F1349" s="6" t="str">
        <f>"94721701_07025"</f>
        <v>94721701_07025</v>
      </c>
      <c r="G1349" s="6" t="str">
        <f t="shared" si="389"/>
        <v>F310631650000000</v>
      </c>
      <c r="H1349" s="6" t="str">
        <f t="shared" si="390"/>
        <v>PLAR 6316 FD - 500 g</v>
      </c>
      <c r="I1349" s="6" t="str">
        <f>"202575"</f>
        <v>202575</v>
      </c>
      <c r="J1349" s="6" t="str">
        <f>"BEGE 2575"</f>
        <v>BEGE 2575</v>
      </c>
      <c r="K1349" s="6" t="str">
        <f>"0520"</f>
        <v>0520</v>
      </c>
      <c r="L1349" s="6" t="str">
        <f>"Toalhetes"</f>
        <v>Toalhetes</v>
      </c>
      <c r="M1349" s="6" t="str">
        <f>"30x50"</f>
        <v>30x50</v>
      </c>
      <c r="N1349" s="6" t="str">
        <f>"5602972281071"</f>
        <v>5602972281071</v>
      </c>
      <c r="O1349" s="8">
        <v>6</v>
      </c>
      <c r="R1349" s="8">
        <v>0</v>
      </c>
      <c r="U1349" s="8">
        <v>0</v>
      </c>
      <c r="X1349" s="8">
        <v>0</v>
      </c>
      <c r="Z1349" s="8">
        <v>0</v>
      </c>
      <c r="AC1349" s="8">
        <v>0</v>
      </c>
      <c r="AF1349" s="8">
        <v>0</v>
      </c>
      <c r="AN1349" s="8">
        <v>6</v>
      </c>
      <c r="AO1349" s="8">
        <v>0</v>
      </c>
    </row>
    <row r="1350" spans="1:41" x14ac:dyDescent="0.25">
      <c r="A1350" s="6" t="str">
        <f>"522-2025004477"</f>
        <v>522-2025004477</v>
      </c>
      <c r="B1350" s="6" t="str">
        <f t="shared" si="388"/>
        <v>EL CORTE</v>
      </c>
      <c r="C1350" s="7">
        <v>46021</v>
      </c>
      <c r="D1350" s="7">
        <v>46024</v>
      </c>
      <c r="E1350" s="8">
        <v>1</v>
      </c>
      <c r="F1350" s="6" t="str">
        <f>"94721901_07025"</f>
        <v>94721901_07025</v>
      </c>
      <c r="G1350" s="6" t="str">
        <f t="shared" si="389"/>
        <v>F310631650000000</v>
      </c>
      <c r="H1350" s="6" t="str">
        <f t="shared" si="390"/>
        <v>PLAR 6316 FD - 500 g</v>
      </c>
      <c r="I1350" s="6" t="str">
        <f>"202575"</f>
        <v>202575</v>
      </c>
      <c r="J1350" s="6" t="str">
        <f>"BEGE 2575"</f>
        <v>BEGE 2575</v>
      </c>
      <c r="K1350" s="6" t="str">
        <f>"1024"</f>
        <v>1024</v>
      </c>
      <c r="L1350" s="6" t="str">
        <f>"Toalhas"</f>
        <v>Toalhas</v>
      </c>
      <c r="M1350" s="6" t="str">
        <f>"50x100"</f>
        <v>50x100</v>
      </c>
      <c r="N1350" s="6" t="str">
        <f>"5602972281088"</f>
        <v>5602972281088</v>
      </c>
      <c r="O1350" s="8">
        <v>6</v>
      </c>
      <c r="R1350" s="8">
        <v>0</v>
      </c>
      <c r="U1350" s="8">
        <v>0</v>
      </c>
      <c r="X1350" s="8">
        <v>0</v>
      </c>
      <c r="Z1350" s="8">
        <v>0</v>
      </c>
      <c r="AC1350" s="8">
        <v>0</v>
      </c>
      <c r="AF1350" s="8">
        <v>0</v>
      </c>
      <c r="AN1350" s="8">
        <v>6</v>
      </c>
      <c r="AO1350" s="8">
        <v>0</v>
      </c>
    </row>
    <row r="1351" spans="1:41" x14ac:dyDescent="0.25">
      <c r="A1351" s="6" t="str">
        <f>"522-2025004478"</f>
        <v>522-2025004478</v>
      </c>
      <c r="B1351" s="6" t="str">
        <f t="shared" ref="B1351:B1414" si="393">"EL CORTE"</f>
        <v>EL CORTE</v>
      </c>
      <c r="C1351" s="7">
        <v>46021</v>
      </c>
      <c r="D1351" s="7">
        <v>46024</v>
      </c>
      <c r="E1351" s="8">
        <v>1</v>
      </c>
      <c r="F1351" s="6" t="str">
        <f>"94721801_07025"</f>
        <v>94721801_07025</v>
      </c>
      <c r="G1351" s="6" t="str">
        <f t="shared" ref="G1351:G1414" si="394">"F310631650000000"</f>
        <v>F310631650000000</v>
      </c>
      <c r="H1351" s="6" t="str">
        <f t="shared" ref="H1351:H1414" si="395">"PLAR 6316 FD - 500 g"</f>
        <v>PLAR 6316 FD - 500 g</v>
      </c>
      <c r="I1351" s="6" t="str">
        <f>"200901"</f>
        <v>200901</v>
      </c>
      <c r="J1351" s="6" t="str">
        <f>"ROSA 901"</f>
        <v>ROSA 901</v>
      </c>
      <c r="K1351" s="6" t="str">
        <f>"0520"</f>
        <v>0520</v>
      </c>
      <c r="L1351" s="6" t="str">
        <f>"Toalhetes"</f>
        <v>Toalhetes</v>
      </c>
      <c r="M1351" s="6" t="str">
        <f>"30x50"</f>
        <v>30x50</v>
      </c>
      <c r="N1351" s="6" t="str">
        <f>"5602972281101"</f>
        <v>5602972281101</v>
      </c>
      <c r="O1351" s="8">
        <v>6</v>
      </c>
      <c r="R1351" s="8">
        <v>0</v>
      </c>
      <c r="U1351" s="8">
        <v>0</v>
      </c>
      <c r="X1351" s="8">
        <v>0</v>
      </c>
      <c r="Z1351" s="8">
        <v>0</v>
      </c>
      <c r="AC1351" s="8">
        <v>0</v>
      </c>
      <c r="AF1351" s="8">
        <v>0</v>
      </c>
      <c r="AN1351" s="8">
        <v>6</v>
      </c>
      <c r="AO1351" s="8">
        <v>0</v>
      </c>
    </row>
    <row r="1352" spans="1:41" x14ac:dyDescent="0.25">
      <c r="A1352" s="6" t="str">
        <f>"522-2025004479"</f>
        <v>522-2025004479</v>
      </c>
      <c r="B1352" s="6" t="str">
        <f t="shared" si="393"/>
        <v>EL CORTE</v>
      </c>
      <c r="C1352" s="7">
        <v>46021</v>
      </c>
      <c r="D1352" s="7">
        <v>46024</v>
      </c>
      <c r="E1352" s="8">
        <v>1</v>
      </c>
      <c r="F1352" s="6" t="str">
        <f>"94721401_07025"</f>
        <v>94721401_07025</v>
      </c>
      <c r="G1352" s="6" t="str">
        <f t="shared" si="394"/>
        <v>F310631650000000</v>
      </c>
      <c r="H1352" s="6" t="str">
        <f t="shared" si="395"/>
        <v>PLAR 6316 FD - 500 g</v>
      </c>
      <c r="I1352" s="6" t="str">
        <f>"202575"</f>
        <v>202575</v>
      </c>
      <c r="J1352" s="6" t="str">
        <f>"BEGE 2575"</f>
        <v>BEGE 2575</v>
      </c>
      <c r="K1352" s="6" t="str">
        <f>"1024"</f>
        <v>1024</v>
      </c>
      <c r="L1352" s="6" t="str">
        <f>"Toalhas"</f>
        <v>Toalhas</v>
      </c>
      <c r="M1352" s="6" t="str">
        <f>"50x100"</f>
        <v>50x100</v>
      </c>
      <c r="N1352" s="6" t="str">
        <f>"5602972281088"</f>
        <v>5602972281088</v>
      </c>
      <c r="O1352" s="8">
        <v>6</v>
      </c>
      <c r="R1352" s="8">
        <v>0</v>
      </c>
      <c r="U1352" s="8">
        <v>0</v>
      </c>
      <c r="X1352" s="8">
        <v>0</v>
      </c>
      <c r="Z1352" s="8">
        <v>0</v>
      </c>
      <c r="AC1352" s="8">
        <v>0</v>
      </c>
      <c r="AF1352" s="8">
        <v>0</v>
      </c>
      <c r="AN1352" s="8">
        <v>6</v>
      </c>
      <c r="AO1352" s="8">
        <v>0</v>
      </c>
    </row>
    <row r="1353" spans="1:41" x14ac:dyDescent="0.25">
      <c r="A1353" s="6" t="str">
        <f>"522-2025004480"</f>
        <v>522-2025004480</v>
      </c>
      <c r="B1353" s="6" t="str">
        <f t="shared" si="393"/>
        <v>EL CORTE</v>
      </c>
      <c r="C1353" s="7">
        <v>46022</v>
      </c>
      <c r="D1353" s="7">
        <v>46027</v>
      </c>
      <c r="E1353" s="8">
        <v>1</v>
      </c>
      <c r="F1353" s="6" t="str">
        <f>"94726201_07026"</f>
        <v>94726201_07026</v>
      </c>
      <c r="G1353" s="6" t="str">
        <f t="shared" si="394"/>
        <v>F310631650000000</v>
      </c>
      <c r="H1353" s="6" t="str">
        <f t="shared" si="395"/>
        <v>PLAR 6316 FD - 500 g</v>
      </c>
      <c r="I1353" s="6" t="str">
        <f>"201855"</f>
        <v>201855</v>
      </c>
      <c r="J1353" s="6" t="str">
        <f>"AZUL 1855"</f>
        <v>AZUL 1855</v>
      </c>
      <c r="K1353" s="6" t="str">
        <f>"2020"</f>
        <v>2020</v>
      </c>
      <c r="L1353" s="6" t="str">
        <f>"Lençóis"</f>
        <v>Lençóis</v>
      </c>
      <c r="M1353" s="6" t="str">
        <f>"100x150"</f>
        <v>100x150</v>
      </c>
      <c r="N1353" s="6" t="str">
        <f>"5602972281064"</f>
        <v>5602972281064</v>
      </c>
      <c r="O1353" s="8">
        <v>3</v>
      </c>
      <c r="R1353" s="8">
        <v>0</v>
      </c>
      <c r="U1353" s="8">
        <v>0</v>
      </c>
      <c r="X1353" s="8">
        <v>0</v>
      </c>
      <c r="Z1353" s="8">
        <v>0</v>
      </c>
      <c r="AC1353" s="8">
        <v>0</v>
      </c>
      <c r="AF1353" s="8">
        <v>0</v>
      </c>
      <c r="AN1353" s="8">
        <v>3</v>
      </c>
      <c r="AO1353" s="8">
        <v>0</v>
      </c>
    </row>
    <row r="1354" spans="1:41" x14ac:dyDescent="0.25">
      <c r="A1354" s="6" t="str">
        <f>"522-2025004480"</f>
        <v>522-2025004480</v>
      </c>
      <c r="B1354" s="6" t="str">
        <f t="shared" si="393"/>
        <v>EL CORTE</v>
      </c>
      <c r="C1354" s="7">
        <v>46022</v>
      </c>
      <c r="D1354" s="7">
        <v>46027</v>
      </c>
      <c r="E1354" s="8">
        <v>2</v>
      </c>
      <c r="F1354" s="6" t="str">
        <f>"94726201_07026"</f>
        <v>94726201_07026</v>
      </c>
      <c r="G1354" s="6" t="str">
        <f t="shared" si="394"/>
        <v>F310631650000000</v>
      </c>
      <c r="H1354" s="6" t="str">
        <f t="shared" si="395"/>
        <v>PLAR 6316 FD - 500 g</v>
      </c>
      <c r="I1354" s="6" t="str">
        <f>"202575"</f>
        <v>202575</v>
      </c>
      <c r="J1354" s="6" t="str">
        <f>"BEGE 2575"</f>
        <v>BEGE 2575</v>
      </c>
      <c r="K1354" s="6" t="str">
        <f>"2020"</f>
        <v>2020</v>
      </c>
      <c r="L1354" s="6" t="str">
        <f>"Lençóis"</f>
        <v>Lençóis</v>
      </c>
      <c r="M1354" s="6" t="str">
        <f>"100x150"</f>
        <v>100x150</v>
      </c>
      <c r="N1354" s="6" t="str">
        <f>"5602972281095"</f>
        <v>5602972281095</v>
      </c>
      <c r="O1354" s="8">
        <v>3</v>
      </c>
      <c r="R1354" s="8">
        <v>0</v>
      </c>
      <c r="U1354" s="8">
        <v>0</v>
      </c>
      <c r="X1354" s="8">
        <v>0</v>
      </c>
      <c r="Z1354" s="8">
        <v>0</v>
      </c>
      <c r="AC1354" s="8">
        <v>0</v>
      </c>
      <c r="AF1354" s="8">
        <v>0</v>
      </c>
      <c r="AN1354" s="8">
        <v>3</v>
      </c>
      <c r="AO1354" s="8">
        <v>0</v>
      </c>
    </row>
    <row r="1355" spans="1:41" x14ac:dyDescent="0.25">
      <c r="A1355" s="6" t="str">
        <f>"522-2025004480"</f>
        <v>522-2025004480</v>
      </c>
      <c r="B1355" s="6" t="str">
        <f t="shared" si="393"/>
        <v>EL CORTE</v>
      </c>
      <c r="C1355" s="7">
        <v>46022</v>
      </c>
      <c r="D1355" s="7">
        <v>46027</v>
      </c>
      <c r="E1355" s="8">
        <v>3</v>
      </c>
      <c r="F1355" s="6" t="str">
        <f>"94726201_07026"</f>
        <v>94726201_07026</v>
      </c>
      <c r="G1355" s="6" t="str">
        <f t="shared" si="394"/>
        <v>F310631650000000</v>
      </c>
      <c r="H1355" s="6" t="str">
        <f t="shared" si="395"/>
        <v>PLAR 6316 FD - 500 g</v>
      </c>
      <c r="I1355" s="6" t="str">
        <f>"200901"</f>
        <v>200901</v>
      </c>
      <c r="J1355" s="6" t="str">
        <f>"ROSA 901"</f>
        <v>ROSA 901</v>
      </c>
      <c r="K1355" s="6" t="str">
        <f>"2020"</f>
        <v>2020</v>
      </c>
      <c r="L1355" s="6" t="str">
        <f>"Lençóis"</f>
        <v>Lençóis</v>
      </c>
      <c r="M1355" s="6" t="str">
        <f>"100x150"</f>
        <v>100x150</v>
      </c>
      <c r="N1355" s="6" t="str">
        <f>"5602972281125"</f>
        <v>5602972281125</v>
      </c>
      <c r="O1355" s="8">
        <v>3</v>
      </c>
      <c r="R1355" s="8">
        <v>0</v>
      </c>
      <c r="U1355" s="8">
        <v>0</v>
      </c>
      <c r="X1355" s="8">
        <v>0</v>
      </c>
      <c r="Z1355" s="8">
        <v>0</v>
      </c>
      <c r="AC1355" s="8">
        <v>0</v>
      </c>
      <c r="AF1355" s="8">
        <v>0</v>
      </c>
      <c r="AN1355" s="8">
        <v>3</v>
      </c>
      <c r="AO1355" s="8">
        <v>0</v>
      </c>
    </row>
    <row r="1356" spans="1:41" x14ac:dyDescent="0.25">
      <c r="A1356" s="6" t="str">
        <f>"522-2025004480"</f>
        <v>522-2025004480</v>
      </c>
      <c r="B1356" s="6" t="str">
        <f t="shared" si="393"/>
        <v>EL CORTE</v>
      </c>
      <c r="C1356" s="7">
        <v>46022</v>
      </c>
      <c r="D1356" s="7">
        <v>46027</v>
      </c>
      <c r="E1356" s="8">
        <v>4</v>
      </c>
      <c r="F1356" s="6" t="str">
        <f>"94726201_07026"</f>
        <v>94726201_07026</v>
      </c>
      <c r="G1356" s="6" t="str">
        <f t="shared" si="394"/>
        <v>F310631650000000</v>
      </c>
      <c r="H1356" s="6" t="str">
        <f t="shared" si="395"/>
        <v>PLAR 6316 FD - 500 g</v>
      </c>
      <c r="I1356" s="6" t="str">
        <f>"200510"</f>
        <v>200510</v>
      </c>
      <c r="J1356" s="6" t="str">
        <f>"VERDE 510"</f>
        <v>VERDE 510</v>
      </c>
      <c r="K1356" s="6" t="str">
        <f>"2020"</f>
        <v>2020</v>
      </c>
      <c r="L1356" s="6" t="str">
        <f>"Lençóis"</f>
        <v>Lençóis</v>
      </c>
      <c r="M1356" s="6" t="str">
        <f>"100x150"</f>
        <v>100x150</v>
      </c>
      <c r="N1356" s="6" t="str">
        <f>"5602972281156"</f>
        <v>5602972281156</v>
      </c>
      <c r="O1356" s="8">
        <v>6</v>
      </c>
      <c r="R1356" s="8">
        <v>0</v>
      </c>
      <c r="U1356" s="8">
        <v>0</v>
      </c>
      <c r="X1356" s="8">
        <v>0</v>
      </c>
      <c r="Z1356" s="8">
        <v>0</v>
      </c>
      <c r="AC1356" s="8">
        <v>0</v>
      </c>
      <c r="AF1356" s="8">
        <v>0</v>
      </c>
      <c r="AN1356" s="8">
        <v>6</v>
      </c>
      <c r="AO1356" s="8">
        <v>0</v>
      </c>
    </row>
    <row r="1357" spans="1:41" x14ac:dyDescent="0.25">
      <c r="A1357" s="6" t="str">
        <f>"522-2025004481"</f>
        <v>522-2025004481</v>
      </c>
      <c r="B1357" s="6" t="str">
        <f t="shared" si="393"/>
        <v>EL CORTE</v>
      </c>
      <c r="C1357" s="7">
        <v>46022</v>
      </c>
      <c r="D1357" s="7">
        <v>46027</v>
      </c>
      <c r="E1357" s="8">
        <v>1</v>
      </c>
      <c r="F1357" s="6" t="str">
        <f>"94725601_07026"</f>
        <v>94725601_07026</v>
      </c>
      <c r="G1357" s="6" t="str">
        <f t="shared" si="394"/>
        <v>F310631650000000</v>
      </c>
      <c r="H1357" s="6" t="str">
        <f t="shared" si="395"/>
        <v>PLAR 6316 FD - 500 g</v>
      </c>
      <c r="I1357" s="6" t="str">
        <f>"202575"</f>
        <v>202575</v>
      </c>
      <c r="J1357" s="6" t="str">
        <f>"BEGE 2575"</f>
        <v>BEGE 2575</v>
      </c>
      <c r="K1357" s="6" t="str">
        <f>"1024"</f>
        <v>1024</v>
      </c>
      <c r="L1357" s="6" t="str">
        <f>"Toalhas"</f>
        <v>Toalhas</v>
      </c>
      <c r="M1357" s="6" t="str">
        <f>"50x100"</f>
        <v>50x100</v>
      </c>
      <c r="N1357" s="6" t="str">
        <f>"5602972281088"</f>
        <v>5602972281088</v>
      </c>
      <c r="O1357" s="8">
        <v>6</v>
      </c>
      <c r="R1357" s="8">
        <v>0</v>
      </c>
      <c r="U1357" s="8">
        <v>0</v>
      </c>
      <c r="X1357" s="8">
        <v>0</v>
      </c>
      <c r="Z1357" s="8">
        <v>0</v>
      </c>
      <c r="AC1357" s="8">
        <v>0</v>
      </c>
      <c r="AF1357" s="8">
        <v>0</v>
      </c>
      <c r="AN1357" s="8">
        <v>6</v>
      </c>
      <c r="AO1357" s="8">
        <v>0</v>
      </c>
    </row>
    <row r="1358" spans="1:41" x14ac:dyDescent="0.25">
      <c r="A1358" s="6" t="str">
        <f>"522-2025004482"</f>
        <v>522-2025004482</v>
      </c>
      <c r="B1358" s="6" t="str">
        <f t="shared" si="393"/>
        <v>EL CORTE</v>
      </c>
      <c r="C1358" s="7">
        <v>46022</v>
      </c>
      <c r="D1358" s="7">
        <v>46027</v>
      </c>
      <c r="E1358" s="8">
        <v>1</v>
      </c>
      <c r="F1358" s="6" t="str">
        <f>"94725701_07026"</f>
        <v>94725701_07026</v>
      </c>
      <c r="G1358" s="6" t="str">
        <f t="shared" si="394"/>
        <v>F310631650000000</v>
      </c>
      <c r="H1358" s="6" t="str">
        <f t="shared" si="395"/>
        <v>PLAR 6316 FD - 500 g</v>
      </c>
      <c r="I1358" s="6" t="str">
        <f>"202575"</f>
        <v>202575</v>
      </c>
      <c r="J1358" s="6" t="str">
        <f>"BEGE 2575"</f>
        <v>BEGE 2575</v>
      </c>
      <c r="K1358" s="6" t="str">
        <f>"1024"</f>
        <v>1024</v>
      </c>
      <c r="L1358" s="6" t="str">
        <f>"Toalhas"</f>
        <v>Toalhas</v>
      </c>
      <c r="M1358" s="6" t="str">
        <f>"50x100"</f>
        <v>50x100</v>
      </c>
      <c r="N1358" s="6" t="str">
        <f>"5602972281088"</f>
        <v>5602972281088</v>
      </c>
      <c r="O1358" s="8">
        <v>6</v>
      </c>
      <c r="R1358" s="8">
        <v>0</v>
      </c>
      <c r="U1358" s="8">
        <v>0</v>
      </c>
      <c r="X1358" s="8">
        <v>0</v>
      </c>
      <c r="Z1358" s="8">
        <v>0</v>
      </c>
      <c r="AC1358" s="8">
        <v>0</v>
      </c>
      <c r="AF1358" s="8">
        <v>0</v>
      </c>
      <c r="AN1358" s="8">
        <v>6</v>
      </c>
      <c r="AO1358" s="8">
        <v>0</v>
      </c>
    </row>
    <row r="1359" spans="1:41" x14ac:dyDescent="0.25">
      <c r="A1359" s="6" t="str">
        <f>"522-2025004482"</f>
        <v>522-2025004482</v>
      </c>
      <c r="B1359" s="6" t="str">
        <f t="shared" si="393"/>
        <v>EL CORTE</v>
      </c>
      <c r="C1359" s="7">
        <v>46022</v>
      </c>
      <c r="D1359" s="7">
        <v>46027</v>
      </c>
      <c r="E1359" s="8">
        <v>2</v>
      </c>
      <c r="F1359" s="6" t="str">
        <f>"94725701_07026"</f>
        <v>94725701_07026</v>
      </c>
      <c r="G1359" s="6" t="str">
        <f t="shared" si="394"/>
        <v>F310631650000000</v>
      </c>
      <c r="H1359" s="6" t="str">
        <f t="shared" si="395"/>
        <v>PLAR 6316 FD - 500 g</v>
      </c>
      <c r="I1359" s="6" t="str">
        <f>"202575"</f>
        <v>202575</v>
      </c>
      <c r="J1359" s="6" t="str">
        <f>"BEGE 2575"</f>
        <v>BEGE 2575</v>
      </c>
      <c r="K1359" s="6" t="str">
        <f>"2020"</f>
        <v>2020</v>
      </c>
      <c r="L1359" s="6" t="str">
        <f>"Lençóis"</f>
        <v>Lençóis</v>
      </c>
      <c r="M1359" s="6" t="str">
        <f>"100x150"</f>
        <v>100x150</v>
      </c>
      <c r="N1359" s="6" t="str">
        <f>"5602972281095"</f>
        <v>5602972281095</v>
      </c>
      <c r="O1359" s="8">
        <v>6</v>
      </c>
      <c r="R1359" s="8">
        <v>0</v>
      </c>
      <c r="U1359" s="8">
        <v>0</v>
      </c>
      <c r="X1359" s="8">
        <v>0</v>
      </c>
      <c r="Z1359" s="8">
        <v>0</v>
      </c>
      <c r="AC1359" s="8">
        <v>0</v>
      </c>
      <c r="AF1359" s="8">
        <v>0</v>
      </c>
      <c r="AN1359" s="8">
        <v>6</v>
      </c>
      <c r="AO1359" s="8">
        <v>0</v>
      </c>
    </row>
    <row r="1360" spans="1:41" x14ac:dyDescent="0.25">
      <c r="A1360" s="6" t="str">
        <f>"522-2025004482"</f>
        <v>522-2025004482</v>
      </c>
      <c r="B1360" s="6" t="str">
        <f t="shared" si="393"/>
        <v>EL CORTE</v>
      </c>
      <c r="C1360" s="7">
        <v>46022</v>
      </c>
      <c r="D1360" s="7">
        <v>46027</v>
      </c>
      <c r="E1360" s="8">
        <v>3</v>
      </c>
      <c r="F1360" s="6" t="str">
        <f>"94725701_07026"</f>
        <v>94725701_07026</v>
      </c>
      <c r="G1360" s="6" t="str">
        <f t="shared" si="394"/>
        <v>F310631650000000</v>
      </c>
      <c r="H1360" s="6" t="str">
        <f t="shared" si="395"/>
        <v>PLAR 6316 FD - 500 g</v>
      </c>
      <c r="I1360" s="6" t="str">
        <f>"200510"</f>
        <v>200510</v>
      </c>
      <c r="J1360" s="6" t="str">
        <f>"VERDE 510"</f>
        <v>VERDE 510</v>
      </c>
      <c r="K1360" s="6" t="str">
        <f>"1024"</f>
        <v>1024</v>
      </c>
      <c r="L1360" s="6" t="str">
        <f>"Toalhas"</f>
        <v>Toalhas</v>
      </c>
      <c r="M1360" s="6" t="str">
        <f>"50x100"</f>
        <v>50x100</v>
      </c>
      <c r="N1360" s="6" t="str">
        <f>"5602972281149"</f>
        <v>5602972281149</v>
      </c>
      <c r="O1360" s="8">
        <v>6</v>
      </c>
      <c r="R1360" s="8">
        <v>0</v>
      </c>
      <c r="U1360" s="8">
        <v>0</v>
      </c>
      <c r="X1360" s="8">
        <v>0</v>
      </c>
      <c r="Z1360" s="8">
        <v>0</v>
      </c>
      <c r="AC1360" s="8">
        <v>0</v>
      </c>
      <c r="AF1360" s="8">
        <v>0</v>
      </c>
      <c r="AN1360" s="8">
        <v>6</v>
      </c>
      <c r="AO1360" s="8">
        <v>0</v>
      </c>
    </row>
    <row r="1361" spans="1:41" x14ac:dyDescent="0.25">
      <c r="A1361" s="6" t="str">
        <f t="shared" ref="A1361:A1372" si="396">"522-2025004483"</f>
        <v>522-2025004483</v>
      </c>
      <c r="B1361" s="6" t="str">
        <f t="shared" si="393"/>
        <v>EL CORTE</v>
      </c>
      <c r="C1361" s="7">
        <v>46022</v>
      </c>
      <c r="D1361" s="7">
        <v>46027</v>
      </c>
      <c r="E1361" s="8">
        <v>1</v>
      </c>
      <c r="F1361" s="6" t="str">
        <f t="shared" ref="F1361:F1372" si="397">"94724401_07026"</f>
        <v>94724401_07026</v>
      </c>
      <c r="G1361" s="6" t="str">
        <f t="shared" si="394"/>
        <v>F310631650000000</v>
      </c>
      <c r="H1361" s="6" t="str">
        <f t="shared" si="395"/>
        <v>PLAR 6316 FD - 500 g</v>
      </c>
      <c r="I1361" s="6" t="str">
        <f>"201855"</f>
        <v>201855</v>
      </c>
      <c r="J1361" s="6" t="str">
        <f>"AZUL 1855"</f>
        <v>AZUL 1855</v>
      </c>
      <c r="K1361" s="6" t="str">
        <f>"0520"</f>
        <v>0520</v>
      </c>
      <c r="L1361" s="6" t="str">
        <f>"Toalhetes"</f>
        <v>Toalhetes</v>
      </c>
      <c r="M1361" s="6" t="str">
        <f>"30x50"</f>
        <v>30x50</v>
      </c>
      <c r="N1361" s="6" t="str">
        <f>"5602972281040"</f>
        <v>5602972281040</v>
      </c>
      <c r="O1361" s="8">
        <v>6</v>
      </c>
      <c r="R1361" s="8">
        <v>0</v>
      </c>
      <c r="U1361" s="8">
        <v>0</v>
      </c>
      <c r="X1361" s="8">
        <v>0</v>
      </c>
      <c r="Z1361" s="8">
        <v>0</v>
      </c>
      <c r="AC1361" s="8">
        <v>0</v>
      </c>
      <c r="AF1361" s="8">
        <v>0</v>
      </c>
      <c r="AN1361" s="8">
        <v>6</v>
      </c>
      <c r="AO1361" s="8">
        <v>0</v>
      </c>
    </row>
    <row r="1362" spans="1:41" x14ac:dyDescent="0.25">
      <c r="A1362" s="6" t="str">
        <f t="shared" si="396"/>
        <v>522-2025004483</v>
      </c>
      <c r="B1362" s="6" t="str">
        <f t="shared" si="393"/>
        <v>EL CORTE</v>
      </c>
      <c r="C1362" s="7">
        <v>46022</v>
      </c>
      <c r="D1362" s="7">
        <v>46027</v>
      </c>
      <c r="E1362" s="8">
        <v>2</v>
      </c>
      <c r="F1362" s="6" t="str">
        <f t="shared" si="397"/>
        <v>94724401_07026</v>
      </c>
      <c r="G1362" s="6" t="str">
        <f t="shared" si="394"/>
        <v>F310631650000000</v>
      </c>
      <c r="H1362" s="6" t="str">
        <f t="shared" si="395"/>
        <v>PLAR 6316 FD - 500 g</v>
      </c>
      <c r="I1362" s="6" t="str">
        <f>"201855"</f>
        <v>201855</v>
      </c>
      <c r="J1362" s="6" t="str">
        <f>"AZUL 1855"</f>
        <v>AZUL 1855</v>
      </c>
      <c r="K1362" s="6" t="str">
        <f>"1024"</f>
        <v>1024</v>
      </c>
      <c r="L1362" s="6" t="str">
        <f>"Toalhas"</f>
        <v>Toalhas</v>
      </c>
      <c r="M1362" s="6" t="str">
        <f>"50x100"</f>
        <v>50x100</v>
      </c>
      <c r="N1362" s="6" t="str">
        <f>"5602972281057"</f>
        <v>5602972281057</v>
      </c>
      <c r="O1362" s="8">
        <v>12</v>
      </c>
      <c r="R1362" s="8">
        <v>0</v>
      </c>
      <c r="U1362" s="8">
        <v>0</v>
      </c>
      <c r="X1362" s="8">
        <v>0</v>
      </c>
      <c r="Z1362" s="8">
        <v>0</v>
      </c>
      <c r="AC1362" s="8">
        <v>0</v>
      </c>
      <c r="AF1362" s="8">
        <v>0</v>
      </c>
      <c r="AN1362" s="8">
        <v>12</v>
      </c>
      <c r="AO1362" s="8">
        <v>0</v>
      </c>
    </row>
    <row r="1363" spans="1:41" x14ac:dyDescent="0.25">
      <c r="A1363" s="6" t="str">
        <f t="shared" si="396"/>
        <v>522-2025004483</v>
      </c>
      <c r="B1363" s="6" t="str">
        <f t="shared" si="393"/>
        <v>EL CORTE</v>
      </c>
      <c r="C1363" s="7">
        <v>46022</v>
      </c>
      <c r="D1363" s="7">
        <v>46027</v>
      </c>
      <c r="E1363" s="8">
        <v>3</v>
      </c>
      <c r="F1363" s="6" t="str">
        <f t="shared" si="397"/>
        <v>94724401_07026</v>
      </c>
      <c r="G1363" s="6" t="str">
        <f t="shared" si="394"/>
        <v>F310631650000000</v>
      </c>
      <c r="H1363" s="6" t="str">
        <f t="shared" si="395"/>
        <v>PLAR 6316 FD - 500 g</v>
      </c>
      <c r="I1363" s="6" t="str">
        <f>"201855"</f>
        <v>201855</v>
      </c>
      <c r="J1363" s="6" t="str">
        <f>"AZUL 1855"</f>
        <v>AZUL 1855</v>
      </c>
      <c r="K1363" s="6" t="str">
        <f>"2020"</f>
        <v>2020</v>
      </c>
      <c r="L1363" s="6" t="str">
        <f>"Lençóis"</f>
        <v>Lençóis</v>
      </c>
      <c r="M1363" s="6" t="str">
        <f>"100x150"</f>
        <v>100x150</v>
      </c>
      <c r="N1363" s="6" t="str">
        <f>"5602972281064"</f>
        <v>5602972281064</v>
      </c>
      <c r="O1363" s="8">
        <v>6</v>
      </c>
      <c r="R1363" s="8">
        <v>0</v>
      </c>
      <c r="U1363" s="8">
        <v>0</v>
      </c>
      <c r="X1363" s="8">
        <v>0</v>
      </c>
      <c r="Z1363" s="8">
        <v>0</v>
      </c>
      <c r="AC1363" s="8">
        <v>0</v>
      </c>
      <c r="AF1363" s="8">
        <v>0</v>
      </c>
      <c r="AN1363" s="8">
        <v>0</v>
      </c>
      <c r="AO1363" s="8">
        <v>6</v>
      </c>
    </row>
    <row r="1364" spans="1:41" x14ac:dyDescent="0.25">
      <c r="A1364" s="6" t="str">
        <f t="shared" si="396"/>
        <v>522-2025004483</v>
      </c>
      <c r="B1364" s="6" t="str">
        <f t="shared" si="393"/>
        <v>EL CORTE</v>
      </c>
      <c r="C1364" s="7">
        <v>46022</v>
      </c>
      <c r="D1364" s="7">
        <v>46027</v>
      </c>
      <c r="E1364" s="8">
        <v>4</v>
      </c>
      <c r="F1364" s="6" t="str">
        <f t="shared" si="397"/>
        <v>94724401_07026</v>
      </c>
      <c r="G1364" s="6" t="str">
        <f t="shared" si="394"/>
        <v>F310631650000000</v>
      </c>
      <c r="H1364" s="6" t="str">
        <f t="shared" si="395"/>
        <v>PLAR 6316 FD - 500 g</v>
      </c>
      <c r="I1364" s="6" t="str">
        <f>"202575"</f>
        <v>202575</v>
      </c>
      <c r="J1364" s="6" t="str">
        <f>"BEGE 2575"</f>
        <v>BEGE 2575</v>
      </c>
      <c r="K1364" s="6" t="str">
        <f>"0520"</f>
        <v>0520</v>
      </c>
      <c r="L1364" s="6" t="str">
        <f>"Toalhetes"</f>
        <v>Toalhetes</v>
      </c>
      <c r="M1364" s="6" t="str">
        <f>"30x50"</f>
        <v>30x50</v>
      </c>
      <c r="N1364" s="6" t="str">
        <f>"5602972281071"</f>
        <v>5602972281071</v>
      </c>
      <c r="O1364" s="8">
        <v>6</v>
      </c>
      <c r="R1364" s="8">
        <v>0</v>
      </c>
      <c r="U1364" s="8">
        <v>0</v>
      </c>
      <c r="X1364" s="8">
        <v>0</v>
      </c>
      <c r="Z1364" s="8">
        <v>0</v>
      </c>
      <c r="AC1364" s="8">
        <v>0</v>
      </c>
      <c r="AF1364" s="8">
        <v>0</v>
      </c>
      <c r="AN1364" s="8">
        <v>6</v>
      </c>
      <c r="AO1364" s="8">
        <v>0</v>
      </c>
    </row>
    <row r="1365" spans="1:41" x14ac:dyDescent="0.25">
      <c r="A1365" s="6" t="str">
        <f t="shared" si="396"/>
        <v>522-2025004483</v>
      </c>
      <c r="B1365" s="6" t="str">
        <f t="shared" si="393"/>
        <v>EL CORTE</v>
      </c>
      <c r="C1365" s="7">
        <v>46022</v>
      </c>
      <c r="D1365" s="7">
        <v>46027</v>
      </c>
      <c r="E1365" s="8">
        <v>5</v>
      </c>
      <c r="F1365" s="6" t="str">
        <f t="shared" si="397"/>
        <v>94724401_07026</v>
      </c>
      <c r="G1365" s="6" t="str">
        <f t="shared" si="394"/>
        <v>F310631650000000</v>
      </c>
      <c r="H1365" s="6" t="str">
        <f t="shared" si="395"/>
        <v>PLAR 6316 FD - 500 g</v>
      </c>
      <c r="I1365" s="6" t="str">
        <f>"202575"</f>
        <v>202575</v>
      </c>
      <c r="J1365" s="6" t="str">
        <f>"BEGE 2575"</f>
        <v>BEGE 2575</v>
      </c>
      <c r="K1365" s="6" t="str">
        <f>"1024"</f>
        <v>1024</v>
      </c>
      <c r="L1365" s="6" t="str">
        <f>"Toalhas"</f>
        <v>Toalhas</v>
      </c>
      <c r="M1365" s="6" t="str">
        <f>"50x100"</f>
        <v>50x100</v>
      </c>
      <c r="N1365" s="6" t="str">
        <f>"5602972281088"</f>
        <v>5602972281088</v>
      </c>
      <c r="O1365" s="8">
        <v>24</v>
      </c>
      <c r="R1365" s="8">
        <v>0</v>
      </c>
      <c r="U1365" s="8">
        <v>0</v>
      </c>
      <c r="X1365" s="8">
        <v>0</v>
      </c>
      <c r="Z1365" s="8">
        <v>0</v>
      </c>
      <c r="AC1365" s="8">
        <v>0</v>
      </c>
      <c r="AF1365" s="8">
        <v>0</v>
      </c>
      <c r="AN1365" s="8">
        <v>24</v>
      </c>
      <c r="AO1365" s="8">
        <v>0</v>
      </c>
    </row>
    <row r="1366" spans="1:41" x14ac:dyDescent="0.25">
      <c r="A1366" s="6" t="str">
        <f t="shared" si="396"/>
        <v>522-2025004483</v>
      </c>
      <c r="B1366" s="6" t="str">
        <f t="shared" si="393"/>
        <v>EL CORTE</v>
      </c>
      <c r="C1366" s="7">
        <v>46022</v>
      </c>
      <c r="D1366" s="7">
        <v>46027</v>
      </c>
      <c r="E1366" s="8">
        <v>6</v>
      </c>
      <c r="F1366" s="6" t="str">
        <f t="shared" si="397"/>
        <v>94724401_07026</v>
      </c>
      <c r="G1366" s="6" t="str">
        <f t="shared" si="394"/>
        <v>F310631650000000</v>
      </c>
      <c r="H1366" s="6" t="str">
        <f t="shared" si="395"/>
        <v>PLAR 6316 FD - 500 g</v>
      </c>
      <c r="I1366" s="6" t="str">
        <f>"202575"</f>
        <v>202575</v>
      </c>
      <c r="J1366" s="6" t="str">
        <f>"BEGE 2575"</f>
        <v>BEGE 2575</v>
      </c>
      <c r="K1366" s="6" t="str">
        <f>"2020"</f>
        <v>2020</v>
      </c>
      <c r="L1366" s="6" t="str">
        <f>"Lençóis"</f>
        <v>Lençóis</v>
      </c>
      <c r="M1366" s="6" t="str">
        <f>"100x150"</f>
        <v>100x150</v>
      </c>
      <c r="N1366" s="6" t="str">
        <f>"5602972281095"</f>
        <v>5602972281095</v>
      </c>
      <c r="O1366" s="8">
        <v>12</v>
      </c>
      <c r="R1366" s="8">
        <v>0</v>
      </c>
      <c r="U1366" s="8">
        <v>0</v>
      </c>
      <c r="X1366" s="8">
        <v>0</v>
      </c>
      <c r="Z1366" s="8">
        <v>0</v>
      </c>
      <c r="AC1366" s="8">
        <v>0</v>
      </c>
      <c r="AF1366" s="8">
        <v>0</v>
      </c>
      <c r="AN1366" s="8">
        <v>0</v>
      </c>
      <c r="AO1366" s="8">
        <v>12</v>
      </c>
    </row>
    <row r="1367" spans="1:41" x14ac:dyDescent="0.25">
      <c r="A1367" s="6" t="str">
        <f t="shared" si="396"/>
        <v>522-2025004483</v>
      </c>
      <c r="B1367" s="6" t="str">
        <f t="shared" si="393"/>
        <v>EL CORTE</v>
      </c>
      <c r="C1367" s="7">
        <v>46022</v>
      </c>
      <c r="D1367" s="7">
        <v>46027</v>
      </c>
      <c r="E1367" s="8">
        <v>7</v>
      </c>
      <c r="F1367" s="6" t="str">
        <f t="shared" si="397"/>
        <v>94724401_07026</v>
      </c>
      <c r="G1367" s="6" t="str">
        <f t="shared" si="394"/>
        <v>F310631650000000</v>
      </c>
      <c r="H1367" s="6" t="str">
        <f t="shared" si="395"/>
        <v>PLAR 6316 FD - 500 g</v>
      </c>
      <c r="I1367" s="6" t="str">
        <f>"200901"</f>
        <v>200901</v>
      </c>
      <c r="J1367" s="6" t="str">
        <f>"ROSA 901"</f>
        <v>ROSA 901</v>
      </c>
      <c r="K1367" s="6" t="str">
        <f>"0520"</f>
        <v>0520</v>
      </c>
      <c r="L1367" s="6" t="str">
        <f>"Toalhetes"</f>
        <v>Toalhetes</v>
      </c>
      <c r="M1367" s="6" t="str">
        <f>"30x50"</f>
        <v>30x50</v>
      </c>
      <c r="N1367" s="6" t="str">
        <f>"5602972281101"</f>
        <v>5602972281101</v>
      </c>
      <c r="O1367" s="8">
        <v>12</v>
      </c>
      <c r="R1367" s="8">
        <v>0</v>
      </c>
      <c r="U1367" s="8">
        <v>0</v>
      </c>
      <c r="X1367" s="8">
        <v>0</v>
      </c>
      <c r="Z1367" s="8">
        <v>0</v>
      </c>
      <c r="AC1367" s="8">
        <v>0</v>
      </c>
      <c r="AF1367" s="8">
        <v>0</v>
      </c>
      <c r="AN1367" s="8">
        <v>12</v>
      </c>
      <c r="AO1367" s="8">
        <v>0</v>
      </c>
    </row>
    <row r="1368" spans="1:41" x14ac:dyDescent="0.25">
      <c r="A1368" s="6" t="str">
        <f t="shared" si="396"/>
        <v>522-2025004483</v>
      </c>
      <c r="B1368" s="6" t="str">
        <f t="shared" si="393"/>
        <v>EL CORTE</v>
      </c>
      <c r="C1368" s="7">
        <v>46022</v>
      </c>
      <c r="D1368" s="7">
        <v>46027</v>
      </c>
      <c r="E1368" s="8">
        <v>8</v>
      </c>
      <c r="F1368" s="6" t="str">
        <f t="shared" si="397"/>
        <v>94724401_07026</v>
      </c>
      <c r="G1368" s="6" t="str">
        <f t="shared" si="394"/>
        <v>F310631650000000</v>
      </c>
      <c r="H1368" s="6" t="str">
        <f t="shared" si="395"/>
        <v>PLAR 6316 FD - 500 g</v>
      </c>
      <c r="I1368" s="6" t="str">
        <f>"200901"</f>
        <v>200901</v>
      </c>
      <c r="J1368" s="6" t="str">
        <f>"ROSA 901"</f>
        <v>ROSA 901</v>
      </c>
      <c r="K1368" s="6" t="str">
        <f>"1024"</f>
        <v>1024</v>
      </c>
      <c r="L1368" s="6" t="str">
        <f>"Toalhas"</f>
        <v>Toalhas</v>
      </c>
      <c r="M1368" s="6" t="str">
        <f>"50x100"</f>
        <v>50x100</v>
      </c>
      <c r="N1368" s="6" t="str">
        <f>"5602972281118"</f>
        <v>5602972281118</v>
      </c>
      <c r="O1368" s="8">
        <v>6</v>
      </c>
      <c r="R1368" s="8">
        <v>0</v>
      </c>
      <c r="U1368" s="8">
        <v>0</v>
      </c>
      <c r="X1368" s="8">
        <v>0</v>
      </c>
      <c r="Z1368" s="8">
        <v>0</v>
      </c>
      <c r="AC1368" s="8">
        <v>0</v>
      </c>
      <c r="AF1368" s="8">
        <v>0</v>
      </c>
      <c r="AN1368" s="8">
        <v>6</v>
      </c>
      <c r="AO1368" s="8">
        <v>0</v>
      </c>
    </row>
    <row r="1369" spans="1:41" x14ac:dyDescent="0.25">
      <c r="A1369" s="6" t="str">
        <f t="shared" si="396"/>
        <v>522-2025004483</v>
      </c>
      <c r="B1369" s="6" t="str">
        <f t="shared" si="393"/>
        <v>EL CORTE</v>
      </c>
      <c r="C1369" s="7">
        <v>46022</v>
      </c>
      <c r="D1369" s="7">
        <v>46027</v>
      </c>
      <c r="E1369" s="8">
        <v>9</v>
      </c>
      <c r="F1369" s="6" t="str">
        <f t="shared" si="397"/>
        <v>94724401_07026</v>
      </c>
      <c r="G1369" s="6" t="str">
        <f t="shared" si="394"/>
        <v>F310631650000000</v>
      </c>
      <c r="H1369" s="6" t="str">
        <f t="shared" si="395"/>
        <v>PLAR 6316 FD - 500 g</v>
      </c>
      <c r="I1369" s="6" t="str">
        <f>"200901"</f>
        <v>200901</v>
      </c>
      <c r="J1369" s="6" t="str">
        <f>"ROSA 901"</f>
        <v>ROSA 901</v>
      </c>
      <c r="K1369" s="6" t="str">
        <f>"2020"</f>
        <v>2020</v>
      </c>
      <c r="L1369" s="6" t="str">
        <f>"Lençóis"</f>
        <v>Lençóis</v>
      </c>
      <c r="M1369" s="6" t="str">
        <f>"100x150"</f>
        <v>100x150</v>
      </c>
      <c r="N1369" s="6" t="str">
        <f>"5602972281125"</f>
        <v>5602972281125</v>
      </c>
      <c r="O1369" s="8">
        <v>6</v>
      </c>
      <c r="R1369" s="8">
        <v>0</v>
      </c>
      <c r="U1369" s="8">
        <v>0</v>
      </c>
      <c r="X1369" s="8">
        <v>0</v>
      </c>
      <c r="Z1369" s="8">
        <v>0</v>
      </c>
      <c r="AC1369" s="8">
        <v>0</v>
      </c>
      <c r="AF1369" s="8">
        <v>0</v>
      </c>
      <c r="AN1369" s="8">
        <v>0</v>
      </c>
      <c r="AO1369" s="8">
        <v>6</v>
      </c>
    </row>
    <row r="1370" spans="1:41" x14ac:dyDescent="0.25">
      <c r="A1370" s="6" t="str">
        <f t="shared" si="396"/>
        <v>522-2025004483</v>
      </c>
      <c r="B1370" s="6" t="str">
        <f t="shared" si="393"/>
        <v>EL CORTE</v>
      </c>
      <c r="C1370" s="7">
        <v>46022</v>
      </c>
      <c r="D1370" s="7">
        <v>46027</v>
      </c>
      <c r="E1370" s="8">
        <v>10</v>
      </c>
      <c r="F1370" s="6" t="str">
        <f t="shared" si="397"/>
        <v>94724401_07026</v>
      </c>
      <c r="G1370" s="6" t="str">
        <f t="shared" si="394"/>
        <v>F310631650000000</v>
      </c>
      <c r="H1370" s="6" t="str">
        <f t="shared" si="395"/>
        <v>PLAR 6316 FD - 500 g</v>
      </c>
      <c r="I1370" s="6" t="str">
        <f>"200510"</f>
        <v>200510</v>
      </c>
      <c r="J1370" s="6" t="str">
        <f>"VERDE 510"</f>
        <v>VERDE 510</v>
      </c>
      <c r="K1370" s="6" t="str">
        <f>"0520"</f>
        <v>0520</v>
      </c>
      <c r="L1370" s="6" t="str">
        <f>"Toalhetes"</f>
        <v>Toalhetes</v>
      </c>
      <c r="M1370" s="6" t="str">
        <f>"30x50"</f>
        <v>30x50</v>
      </c>
      <c r="N1370" s="6" t="str">
        <f>"5602972281132"</f>
        <v>5602972281132</v>
      </c>
      <c r="O1370" s="8">
        <v>6</v>
      </c>
      <c r="R1370" s="8">
        <v>0</v>
      </c>
      <c r="U1370" s="8">
        <v>0</v>
      </c>
      <c r="X1370" s="8">
        <v>0</v>
      </c>
      <c r="Z1370" s="8">
        <v>0</v>
      </c>
      <c r="AC1370" s="8">
        <v>0</v>
      </c>
      <c r="AF1370" s="8">
        <v>0</v>
      </c>
      <c r="AN1370" s="8">
        <v>6</v>
      </c>
      <c r="AO1370" s="8">
        <v>0</v>
      </c>
    </row>
    <row r="1371" spans="1:41" x14ac:dyDescent="0.25">
      <c r="A1371" s="6" t="str">
        <f t="shared" si="396"/>
        <v>522-2025004483</v>
      </c>
      <c r="B1371" s="6" t="str">
        <f t="shared" si="393"/>
        <v>EL CORTE</v>
      </c>
      <c r="C1371" s="7">
        <v>46022</v>
      </c>
      <c r="D1371" s="7">
        <v>46027</v>
      </c>
      <c r="E1371" s="8">
        <v>11</v>
      </c>
      <c r="F1371" s="6" t="str">
        <f t="shared" si="397"/>
        <v>94724401_07026</v>
      </c>
      <c r="G1371" s="6" t="str">
        <f t="shared" si="394"/>
        <v>F310631650000000</v>
      </c>
      <c r="H1371" s="6" t="str">
        <f t="shared" si="395"/>
        <v>PLAR 6316 FD - 500 g</v>
      </c>
      <c r="I1371" s="6" t="str">
        <f>"200510"</f>
        <v>200510</v>
      </c>
      <c r="J1371" s="6" t="str">
        <f>"VERDE 510"</f>
        <v>VERDE 510</v>
      </c>
      <c r="K1371" s="6" t="str">
        <f>"1024"</f>
        <v>1024</v>
      </c>
      <c r="L1371" s="6" t="str">
        <f>"Toalhas"</f>
        <v>Toalhas</v>
      </c>
      <c r="M1371" s="6" t="str">
        <f>"50x100"</f>
        <v>50x100</v>
      </c>
      <c r="N1371" s="6" t="str">
        <f>"5602972281149"</f>
        <v>5602972281149</v>
      </c>
      <c r="O1371" s="8">
        <v>18</v>
      </c>
      <c r="R1371" s="8">
        <v>0</v>
      </c>
      <c r="U1371" s="8">
        <v>0</v>
      </c>
      <c r="X1371" s="8">
        <v>0</v>
      </c>
      <c r="Z1371" s="8">
        <v>0</v>
      </c>
      <c r="AC1371" s="8">
        <v>0</v>
      </c>
      <c r="AF1371" s="8">
        <v>0</v>
      </c>
      <c r="AN1371" s="8">
        <v>18</v>
      </c>
      <c r="AO1371" s="8">
        <v>0</v>
      </c>
    </row>
    <row r="1372" spans="1:41" x14ac:dyDescent="0.25">
      <c r="A1372" s="6" t="str">
        <f t="shared" si="396"/>
        <v>522-2025004483</v>
      </c>
      <c r="B1372" s="6" t="str">
        <f t="shared" si="393"/>
        <v>EL CORTE</v>
      </c>
      <c r="C1372" s="7">
        <v>46022</v>
      </c>
      <c r="D1372" s="7">
        <v>46027</v>
      </c>
      <c r="E1372" s="8">
        <v>12</v>
      </c>
      <c r="F1372" s="6" t="str">
        <f t="shared" si="397"/>
        <v>94724401_07026</v>
      </c>
      <c r="G1372" s="6" t="str">
        <f t="shared" si="394"/>
        <v>F310631650000000</v>
      </c>
      <c r="H1372" s="6" t="str">
        <f t="shared" si="395"/>
        <v>PLAR 6316 FD - 500 g</v>
      </c>
      <c r="I1372" s="6" t="str">
        <f>"200510"</f>
        <v>200510</v>
      </c>
      <c r="J1372" s="6" t="str">
        <f>"VERDE 510"</f>
        <v>VERDE 510</v>
      </c>
      <c r="K1372" s="6" t="str">
        <f>"2020"</f>
        <v>2020</v>
      </c>
      <c r="L1372" s="6" t="str">
        <f>"Lençóis"</f>
        <v>Lençóis</v>
      </c>
      <c r="M1372" s="6" t="str">
        <f>"100x150"</f>
        <v>100x150</v>
      </c>
      <c r="N1372" s="6" t="str">
        <f>"5602972281156"</f>
        <v>5602972281156</v>
      </c>
      <c r="O1372" s="8">
        <v>9</v>
      </c>
      <c r="R1372" s="8">
        <v>0</v>
      </c>
      <c r="U1372" s="8">
        <v>0</v>
      </c>
      <c r="X1372" s="8">
        <v>0</v>
      </c>
      <c r="Z1372" s="8">
        <v>0</v>
      </c>
      <c r="AC1372" s="8">
        <v>0</v>
      </c>
      <c r="AF1372" s="8">
        <v>0</v>
      </c>
      <c r="AN1372" s="8">
        <v>6</v>
      </c>
      <c r="AO1372" s="8">
        <v>3</v>
      </c>
    </row>
    <row r="1373" spans="1:41" x14ac:dyDescent="0.25">
      <c r="A1373" s="6" t="str">
        <f t="shared" ref="A1373:A1379" si="398">"522-2025004484"</f>
        <v>522-2025004484</v>
      </c>
      <c r="B1373" s="6" t="str">
        <f t="shared" si="393"/>
        <v>EL CORTE</v>
      </c>
      <c r="C1373" s="7">
        <v>46022</v>
      </c>
      <c r="D1373" s="7">
        <v>46027</v>
      </c>
      <c r="E1373" s="8">
        <v>1</v>
      </c>
      <c r="F1373" s="6" t="str">
        <f t="shared" ref="F1373:F1379" si="399">"94724701_07026"</f>
        <v>94724701_07026</v>
      </c>
      <c r="G1373" s="6" t="str">
        <f t="shared" si="394"/>
        <v>F310631650000000</v>
      </c>
      <c r="H1373" s="6" t="str">
        <f t="shared" si="395"/>
        <v>PLAR 6316 FD - 500 g</v>
      </c>
      <c r="I1373" s="6" t="str">
        <f>"201855"</f>
        <v>201855</v>
      </c>
      <c r="J1373" s="6" t="str">
        <f>"AZUL 1855"</f>
        <v>AZUL 1855</v>
      </c>
      <c r="K1373" s="6" t="str">
        <f>"1024"</f>
        <v>1024</v>
      </c>
      <c r="L1373" s="6" t="str">
        <f>"Toalhas"</f>
        <v>Toalhas</v>
      </c>
      <c r="M1373" s="6" t="str">
        <f>"50x100"</f>
        <v>50x100</v>
      </c>
      <c r="N1373" s="6" t="str">
        <f>"5602972281057"</f>
        <v>5602972281057</v>
      </c>
      <c r="O1373" s="8">
        <v>6</v>
      </c>
      <c r="R1373" s="8">
        <v>0</v>
      </c>
      <c r="U1373" s="8">
        <v>0</v>
      </c>
      <c r="X1373" s="8">
        <v>0</v>
      </c>
      <c r="Z1373" s="8">
        <v>0</v>
      </c>
      <c r="AC1373" s="8">
        <v>0</v>
      </c>
      <c r="AF1373" s="8">
        <v>0</v>
      </c>
      <c r="AN1373" s="8">
        <v>6</v>
      </c>
      <c r="AO1373" s="8">
        <v>0</v>
      </c>
    </row>
    <row r="1374" spans="1:41" x14ac:dyDescent="0.25">
      <c r="A1374" s="6" t="str">
        <f t="shared" si="398"/>
        <v>522-2025004484</v>
      </c>
      <c r="B1374" s="6" t="str">
        <f t="shared" si="393"/>
        <v>EL CORTE</v>
      </c>
      <c r="C1374" s="7">
        <v>46022</v>
      </c>
      <c r="D1374" s="7">
        <v>46027</v>
      </c>
      <c r="E1374" s="8">
        <v>2</v>
      </c>
      <c r="F1374" s="6" t="str">
        <f t="shared" si="399"/>
        <v>94724701_07026</v>
      </c>
      <c r="G1374" s="6" t="str">
        <f t="shared" si="394"/>
        <v>F310631650000000</v>
      </c>
      <c r="H1374" s="6" t="str">
        <f t="shared" si="395"/>
        <v>PLAR 6316 FD - 500 g</v>
      </c>
      <c r="I1374" s="6" t="str">
        <f>"202575"</f>
        <v>202575</v>
      </c>
      <c r="J1374" s="6" t="str">
        <f>"BEGE 2575"</f>
        <v>BEGE 2575</v>
      </c>
      <c r="K1374" s="6" t="str">
        <f>"0520"</f>
        <v>0520</v>
      </c>
      <c r="L1374" s="6" t="str">
        <f>"Toalhetes"</f>
        <v>Toalhetes</v>
      </c>
      <c r="M1374" s="6" t="str">
        <f>"30x50"</f>
        <v>30x50</v>
      </c>
      <c r="N1374" s="6" t="str">
        <f>"5602972281071"</f>
        <v>5602972281071</v>
      </c>
      <c r="O1374" s="8">
        <v>6</v>
      </c>
      <c r="R1374" s="8">
        <v>0</v>
      </c>
      <c r="U1374" s="8">
        <v>0</v>
      </c>
      <c r="X1374" s="8">
        <v>0</v>
      </c>
      <c r="Z1374" s="8">
        <v>0</v>
      </c>
      <c r="AC1374" s="8">
        <v>0</v>
      </c>
      <c r="AF1374" s="8">
        <v>0</v>
      </c>
      <c r="AN1374" s="8">
        <v>6</v>
      </c>
      <c r="AO1374" s="8">
        <v>0</v>
      </c>
    </row>
    <row r="1375" spans="1:41" x14ac:dyDescent="0.25">
      <c r="A1375" s="6" t="str">
        <f t="shared" si="398"/>
        <v>522-2025004484</v>
      </c>
      <c r="B1375" s="6" t="str">
        <f t="shared" si="393"/>
        <v>EL CORTE</v>
      </c>
      <c r="C1375" s="7">
        <v>46022</v>
      </c>
      <c r="D1375" s="7">
        <v>46027</v>
      </c>
      <c r="E1375" s="8">
        <v>3</v>
      </c>
      <c r="F1375" s="6" t="str">
        <f t="shared" si="399"/>
        <v>94724701_07026</v>
      </c>
      <c r="G1375" s="6" t="str">
        <f t="shared" si="394"/>
        <v>F310631650000000</v>
      </c>
      <c r="H1375" s="6" t="str">
        <f t="shared" si="395"/>
        <v>PLAR 6316 FD - 500 g</v>
      </c>
      <c r="I1375" s="6" t="str">
        <f>"202575"</f>
        <v>202575</v>
      </c>
      <c r="J1375" s="6" t="str">
        <f>"BEGE 2575"</f>
        <v>BEGE 2575</v>
      </c>
      <c r="K1375" s="6" t="str">
        <f>"1024"</f>
        <v>1024</v>
      </c>
      <c r="L1375" s="6" t="str">
        <f>"Toalhas"</f>
        <v>Toalhas</v>
      </c>
      <c r="M1375" s="6" t="str">
        <f>"50x100"</f>
        <v>50x100</v>
      </c>
      <c r="N1375" s="6" t="str">
        <f>"5602972281088"</f>
        <v>5602972281088</v>
      </c>
      <c r="O1375" s="8">
        <v>6</v>
      </c>
      <c r="R1375" s="8">
        <v>0</v>
      </c>
      <c r="U1375" s="8">
        <v>0</v>
      </c>
      <c r="X1375" s="8">
        <v>0</v>
      </c>
      <c r="Z1375" s="8">
        <v>0</v>
      </c>
      <c r="AC1375" s="8">
        <v>0</v>
      </c>
      <c r="AF1375" s="8">
        <v>0</v>
      </c>
      <c r="AN1375" s="8">
        <v>6</v>
      </c>
      <c r="AO1375" s="8">
        <v>0</v>
      </c>
    </row>
    <row r="1376" spans="1:41" x14ac:dyDescent="0.25">
      <c r="A1376" s="6" t="str">
        <f t="shared" si="398"/>
        <v>522-2025004484</v>
      </c>
      <c r="B1376" s="6" t="str">
        <f t="shared" si="393"/>
        <v>EL CORTE</v>
      </c>
      <c r="C1376" s="7">
        <v>46022</v>
      </c>
      <c r="D1376" s="7">
        <v>46027</v>
      </c>
      <c r="E1376" s="8">
        <v>4</v>
      </c>
      <c r="F1376" s="6" t="str">
        <f t="shared" si="399"/>
        <v>94724701_07026</v>
      </c>
      <c r="G1376" s="6" t="str">
        <f t="shared" si="394"/>
        <v>F310631650000000</v>
      </c>
      <c r="H1376" s="6" t="str">
        <f t="shared" si="395"/>
        <v>PLAR 6316 FD - 500 g</v>
      </c>
      <c r="I1376" s="6" t="str">
        <f>"202575"</f>
        <v>202575</v>
      </c>
      <c r="J1376" s="6" t="str">
        <f>"BEGE 2575"</f>
        <v>BEGE 2575</v>
      </c>
      <c r="K1376" s="6" t="str">
        <f>"2020"</f>
        <v>2020</v>
      </c>
      <c r="L1376" s="6" t="str">
        <f>"Lençóis"</f>
        <v>Lençóis</v>
      </c>
      <c r="M1376" s="6" t="str">
        <f>"100x150"</f>
        <v>100x150</v>
      </c>
      <c r="N1376" s="6" t="str">
        <f>"5602972281095"</f>
        <v>5602972281095</v>
      </c>
      <c r="O1376" s="8">
        <v>3</v>
      </c>
      <c r="R1376" s="8">
        <v>0</v>
      </c>
      <c r="U1376" s="8">
        <v>0</v>
      </c>
      <c r="X1376" s="8">
        <v>0</v>
      </c>
      <c r="Z1376" s="8">
        <v>0</v>
      </c>
      <c r="AC1376" s="8">
        <v>0</v>
      </c>
      <c r="AF1376" s="8">
        <v>0</v>
      </c>
      <c r="AN1376" s="8">
        <v>3</v>
      </c>
      <c r="AO1376" s="8">
        <v>0</v>
      </c>
    </row>
    <row r="1377" spans="1:41" x14ac:dyDescent="0.25">
      <c r="A1377" s="6" t="str">
        <f t="shared" si="398"/>
        <v>522-2025004484</v>
      </c>
      <c r="B1377" s="6" t="str">
        <f t="shared" si="393"/>
        <v>EL CORTE</v>
      </c>
      <c r="C1377" s="7">
        <v>46022</v>
      </c>
      <c r="D1377" s="7">
        <v>46027</v>
      </c>
      <c r="E1377" s="8">
        <v>5</v>
      </c>
      <c r="F1377" s="6" t="str">
        <f t="shared" si="399"/>
        <v>94724701_07026</v>
      </c>
      <c r="G1377" s="6" t="str">
        <f t="shared" si="394"/>
        <v>F310631650000000</v>
      </c>
      <c r="H1377" s="6" t="str">
        <f t="shared" si="395"/>
        <v>PLAR 6316 FD - 500 g</v>
      </c>
      <c r="I1377" s="6" t="str">
        <f>"200901"</f>
        <v>200901</v>
      </c>
      <c r="J1377" s="6" t="str">
        <f>"ROSA 901"</f>
        <v>ROSA 901</v>
      </c>
      <c r="K1377" s="6" t="str">
        <f>"0520"</f>
        <v>0520</v>
      </c>
      <c r="L1377" s="6" t="str">
        <f>"Toalhetes"</f>
        <v>Toalhetes</v>
      </c>
      <c r="M1377" s="6" t="str">
        <f>"30x50"</f>
        <v>30x50</v>
      </c>
      <c r="N1377" s="6" t="str">
        <f>"5602972281101"</f>
        <v>5602972281101</v>
      </c>
      <c r="O1377" s="8">
        <v>6</v>
      </c>
      <c r="R1377" s="8">
        <v>0</v>
      </c>
      <c r="U1377" s="8">
        <v>0</v>
      </c>
      <c r="X1377" s="8">
        <v>0</v>
      </c>
      <c r="Z1377" s="8">
        <v>0</v>
      </c>
      <c r="AC1377" s="8">
        <v>0</v>
      </c>
      <c r="AF1377" s="8">
        <v>0</v>
      </c>
      <c r="AN1377" s="8">
        <v>6</v>
      </c>
      <c r="AO1377" s="8">
        <v>0</v>
      </c>
    </row>
    <row r="1378" spans="1:41" x14ac:dyDescent="0.25">
      <c r="A1378" s="6" t="str">
        <f t="shared" si="398"/>
        <v>522-2025004484</v>
      </c>
      <c r="B1378" s="6" t="str">
        <f t="shared" si="393"/>
        <v>EL CORTE</v>
      </c>
      <c r="C1378" s="7">
        <v>46022</v>
      </c>
      <c r="D1378" s="7">
        <v>46027</v>
      </c>
      <c r="E1378" s="8">
        <v>6</v>
      </c>
      <c r="F1378" s="6" t="str">
        <f t="shared" si="399"/>
        <v>94724701_07026</v>
      </c>
      <c r="G1378" s="6" t="str">
        <f t="shared" si="394"/>
        <v>F310631650000000</v>
      </c>
      <c r="H1378" s="6" t="str">
        <f t="shared" si="395"/>
        <v>PLAR 6316 FD - 500 g</v>
      </c>
      <c r="I1378" s="6" t="str">
        <f>"200901"</f>
        <v>200901</v>
      </c>
      <c r="J1378" s="6" t="str">
        <f>"ROSA 901"</f>
        <v>ROSA 901</v>
      </c>
      <c r="K1378" s="6" t="str">
        <f>"1024"</f>
        <v>1024</v>
      </c>
      <c r="L1378" s="6" t="str">
        <f>"Toalhas"</f>
        <v>Toalhas</v>
      </c>
      <c r="M1378" s="6" t="str">
        <f>"50x100"</f>
        <v>50x100</v>
      </c>
      <c r="N1378" s="6" t="str">
        <f>"5602972281118"</f>
        <v>5602972281118</v>
      </c>
      <c r="O1378" s="8">
        <v>6</v>
      </c>
      <c r="R1378" s="8">
        <v>0</v>
      </c>
      <c r="U1378" s="8">
        <v>0</v>
      </c>
      <c r="X1378" s="8">
        <v>0</v>
      </c>
      <c r="Z1378" s="8">
        <v>0</v>
      </c>
      <c r="AC1378" s="8">
        <v>0</v>
      </c>
      <c r="AF1378" s="8">
        <v>0</v>
      </c>
      <c r="AN1378" s="8">
        <v>6</v>
      </c>
      <c r="AO1378" s="8">
        <v>0</v>
      </c>
    </row>
    <row r="1379" spans="1:41" x14ac:dyDescent="0.25">
      <c r="A1379" s="6" t="str">
        <f t="shared" si="398"/>
        <v>522-2025004484</v>
      </c>
      <c r="B1379" s="6" t="str">
        <f t="shared" si="393"/>
        <v>EL CORTE</v>
      </c>
      <c r="C1379" s="7">
        <v>46022</v>
      </c>
      <c r="D1379" s="7">
        <v>46027</v>
      </c>
      <c r="E1379" s="8">
        <v>7</v>
      </c>
      <c r="F1379" s="6" t="str">
        <f t="shared" si="399"/>
        <v>94724701_07026</v>
      </c>
      <c r="G1379" s="6" t="str">
        <f t="shared" si="394"/>
        <v>F310631650000000</v>
      </c>
      <c r="H1379" s="6" t="str">
        <f t="shared" si="395"/>
        <v>PLAR 6316 FD - 500 g</v>
      </c>
      <c r="I1379" s="6" t="str">
        <f>"200901"</f>
        <v>200901</v>
      </c>
      <c r="J1379" s="6" t="str">
        <f>"ROSA 901"</f>
        <v>ROSA 901</v>
      </c>
      <c r="K1379" s="6" t="str">
        <f>"2020"</f>
        <v>2020</v>
      </c>
      <c r="L1379" s="6" t="str">
        <f>"Lençóis"</f>
        <v>Lençóis</v>
      </c>
      <c r="M1379" s="6" t="str">
        <f>"100x150"</f>
        <v>100x150</v>
      </c>
      <c r="N1379" s="6" t="str">
        <f>"5602972281125"</f>
        <v>5602972281125</v>
      </c>
      <c r="O1379" s="8">
        <v>3</v>
      </c>
      <c r="R1379" s="8">
        <v>0</v>
      </c>
      <c r="U1379" s="8">
        <v>0</v>
      </c>
      <c r="X1379" s="8">
        <v>0</v>
      </c>
      <c r="Z1379" s="8">
        <v>0</v>
      </c>
      <c r="AC1379" s="8">
        <v>0</v>
      </c>
      <c r="AF1379" s="8">
        <v>0</v>
      </c>
      <c r="AN1379" s="8">
        <v>3</v>
      </c>
      <c r="AO1379" s="8">
        <v>0</v>
      </c>
    </row>
    <row r="1380" spans="1:41" x14ac:dyDescent="0.25">
      <c r="A1380" s="6" t="str">
        <f>"522-2025004485"</f>
        <v>522-2025004485</v>
      </c>
      <c r="B1380" s="6" t="str">
        <f t="shared" si="393"/>
        <v>EL CORTE</v>
      </c>
      <c r="C1380" s="7">
        <v>46022</v>
      </c>
      <c r="D1380" s="7">
        <v>46027</v>
      </c>
      <c r="E1380" s="8">
        <v>1</v>
      </c>
      <c r="F1380" s="6" t="str">
        <f>"94725201_07026"</f>
        <v>94725201_07026</v>
      </c>
      <c r="G1380" s="6" t="str">
        <f t="shared" si="394"/>
        <v>F310631650000000</v>
      </c>
      <c r="H1380" s="6" t="str">
        <f t="shared" si="395"/>
        <v>PLAR 6316 FD - 500 g</v>
      </c>
      <c r="I1380" s="6" t="str">
        <f>"201855"</f>
        <v>201855</v>
      </c>
      <c r="J1380" s="6" t="str">
        <f>"AZUL 1855"</f>
        <v>AZUL 1855</v>
      </c>
      <c r="K1380" s="6" t="str">
        <f>"1024"</f>
        <v>1024</v>
      </c>
      <c r="L1380" s="6" t="str">
        <f>"Toalhas"</f>
        <v>Toalhas</v>
      </c>
      <c r="M1380" s="6" t="str">
        <f>"50x100"</f>
        <v>50x100</v>
      </c>
      <c r="N1380" s="6" t="str">
        <f>"5602972281057"</f>
        <v>5602972281057</v>
      </c>
      <c r="O1380" s="8">
        <v>6</v>
      </c>
      <c r="R1380" s="8">
        <v>0</v>
      </c>
      <c r="U1380" s="8">
        <v>0</v>
      </c>
      <c r="X1380" s="8">
        <v>0</v>
      </c>
      <c r="Z1380" s="8">
        <v>0</v>
      </c>
      <c r="AC1380" s="8">
        <v>0</v>
      </c>
      <c r="AF1380" s="8">
        <v>0</v>
      </c>
      <c r="AN1380" s="8">
        <v>6</v>
      </c>
      <c r="AO1380" s="8">
        <v>0</v>
      </c>
    </row>
    <row r="1381" spans="1:41" x14ac:dyDescent="0.25">
      <c r="A1381" s="6" t="str">
        <f>"522-2025004485"</f>
        <v>522-2025004485</v>
      </c>
      <c r="B1381" s="6" t="str">
        <f t="shared" si="393"/>
        <v>EL CORTE</v>
      </c>
      <c r="C1381" s="7">
        <v>46022</v>
      </c>
      <c r="D1381" s="7">
        <v>46027</v>
      </c>
      <c r="E1381" s="8">
        <v>2</v>
      </c>
      <c r="F1381" s="6" t="str">
        <f>"94725201_07026"</f>
        <v>94725201_07026</v>
      </c>
      <c r="G1381" s="6" t="str">
        <f t="shared" si="394"/>
        <v>F310631650000000</v>
      </c>
      <c r="H1381" s="6" t="str">
        <f t="shared" si="395"/>
        <v>PLAR 6316 FD - 500 g</v>
      </c>
      <c r="I1381" s="6" t="str">
        <f>"201855"</f>
        <v>201855</v>
      </c>
      <c r="J1381" s="6" t="str">
        <f>"AZUL 1855"</f>
        <v>AZUL 1855</v>
      </c>
      <c r="K1381" s="6" t="str">
        <f>"2020"</f>
        <v>2020</v>
      </c>
      <c r="L1381" s="6" t="str">
        <f>"Lençóis"</f>
        <v>Lençóis</v>
      </c>
      <c r="M1381" s="6" t="str">
        <f>"100x150"</f>
        <v>100x150</v>
      </c>
      <c r="N1381" s="6" t="str">
        <f>"5602972281064"</f>
        <v>5602972281064</v>
      </c>
      <c r="O1381" s="8">
        <v>6</v>
      </c>
      <c r="R1381" s="8">
        <v>0</v>
      </c>
      <c r="U1381" s="8">
        <v>0</v>
      </c>
      <c r="X1381" s="8">
        <v>0</v>
      </c>
      <c r="Z1381" s="8">
        <v>0</v>
      </c>
      <c r="AC1381" s="8">
        <v>0</v>
      </c>
      <c r="AF1381" s="8">
        <v>0</v>
      </c>
      <c r="AN1381" s="8">
        <v>0</v>
      </c>
      <c r="AO1381" s="8">
        <v>6</v>
      </c>
    </row>
    <row r="1382" spans="1:41" x14ac:dyDescent="0.25">
      <c r="A1382" s="6" t="str">
        <f>"522-2025004485"</f>
        <v>522-2025004485</v>
      </c>
      <c r="B1382" s="6" t="str">
        <f t="shared" si="393"/>
        <v>EL CORTE</v>
      </c>
      <c r="C1382" s="7">
        <v>46022</v>
      </c>
      <c r="D1382" s="7">
        <v>46027</v>
      </c>
      <c r="E1382" s="8">
        <v>3</v>
      </c>
      <c r="F1382" s="6" t="str">
        <f>"94725201_07026"</f>
        <v>94725201_07026</v>
      </c>
      <c r="G1382" s="6" t="str">
        <f t="shared" si="394"/>
        <v>F310631650000000</v>
      </c>
      <c r="H1382" s="6" t="str">
        <f t="shared" si="395"/>
        <v>PLAR 6316 FD - 500 g</v>
      </c>
      <c r="I1382" s="6" t="str">
        <f>"202575"</f>
        <v>202575</v>
      </c>
      <c r="J1382" s="6" t="str">
        <f>"BEGE 2575"</f>
        <v>BEGE 2575</v>
      </c>
      <c r="K1382" s="6" t="str">
        <f>"1024"</f>
        <v>1024</v>
      </c>
      <c r="L1382" s="6" t="str">
        <f>"Toalhas"</f>
        <v>Toalhas</v>
      </c>
      <c r="M1382" s="6" t="str">
        <f>"50x100"</f>
        <v>50x100</v>
      </c>
      <c r="N1382" s="6" t="str">
        <f>"5602972281088"</f>
        <v>5602972281088</v>
      </c>
      <c r="O1382" s="8">
        <v>12</v>
      </c>
      <c r="R1382" s="8">
        <v>0</v>
      </c>
      <c r="U1382" s="8">
        <v>0</v>
      </c>
      <c r="X1382" s="8">
        <v>0</v>
      </c>
      <c r="Z1382" s="8">
        <v>0</v>
      </c>
      <c r="AC1382" s="8">
        <v>0</v>
      </c>
      <c r="AF1382" s="8">
        <v>0</v>
      </c>
      <c r="AN1382" s="8">
        <v>12</v>
      </c>
      <c r="AO1382" s="8">
        <v>0</v>
      </c>
    </row>
    <row r="1383" spans="1:41" x14ac:dyDescent="0.25">
      <c r="A1383" s="6" t="str">
        <f>"522-2025004485"</f>
        <v>522-2025004485</v>
      </c>
      <c r="B1383" s="6" t="str">
        <f t="shared" si="393"/>
        <v>EL CORTE</v>
      </c>
      <c r="C1383" s="7">
        <v>46022</v>
      </c>
      <c r="D1383" s="7">
        <v>46027</v>
      </c>
      <c r="E1383" s="8">
        <v>4</v>
      </c>
      <c r="F1383" s="6" t="str">
        <f>"94725201_07026"</f>
        <v>94725201_07026</v>
      </c>
      <c r="G1383" s="6" t="str">
        <f t="shared" si="394"/>
        <v>F310631650000000</v>
      </c>
      <c r="H1383" s="6" t="str">
        <f t="shared" si="395"/>
        <v>PLAR 6316 FD - 500 g</v>
      </c>
      <c r="I1383" s="6" t="str">
        <f>"200510"</f>
        <v>200510</v>
      </c>
      <c r="J1383" s="6" t="str">
        <f>"VERDE 510"</f>
        <v>VERDE 510</v>
      </c>
      <c r="K1383" s="6" t="str">
        <f>"1024"</f>
        <v>1024</v>
      </c>
      <c r="L1383" s="6" t="str">
        <f>"Toalhas"</f>
        <v>Toalhas</v>
      </c>
      <c r="M1383" s="6" t="str">
        <f>"50x100"</f>
        <v>50x100</v>
      </c>
      <c r="N1383" s="6" t="str">
        <f>"5602972281149"</f>
        <v>5602972281149</v>
      </c>
      <c r="O1383" s="8">
        <v>6</v>
      </c>
      <c r="R1383" s="8">
        <v>0</v>
      </c>
      <c r="U1383" s="8">
        <v>0</v>
      </c>
      <c r="X1383" s="8">
        <v>0</v>
      </c>
      <c r="Z1383" s="8">
        <v>0</v>
      </c>
      <c r="AC1383" s="8">
        <v>0</v>
      </c>
      <c r="AF1383" s="8">
        <v>0</v>
      </c>
      <c r="AN1383" s="8">
        <v>6</v>
      </c>
      <c r="AO1383" s="8">
        <v>0</v>
      </c>
    </row>
    <row r="1384" spans="1:41" x14ac:dyDescent="0.25">
      <c r="A1384" s="6" t="str">
        <f>"522-2025004485"</f>
        <v>522-2025004485</v>
      </c>
      <c r="B1384" s="6" t="str">
        <f t="shared" si="393"/>
        <v>EL CORTE</v>
      </c>
      <c r="C1384" s="7">
        <v>46022</v>
      </c>
      <c r="D1384" s="7">
        <v>46027</v>
      </c>
      <c r="E1384" s="8">
        <v>5</v>
      </c>
      <c r="F1384" s="6" t="str">
        <f>"94725201_07026"</f>
        <v>94725201_07026</v>
      </c>
      <c r="G1384" s="6" t="str">
        <f t="shared" si="394"/>
        <v>F310631650000000</v>
      </c>
      <c r="H1384" s="6" t="str">
        <f t="shared" si="395"/>
        <v>PLAR 6316 FD - 500 g</v>
      </c>
      <c r="I1384" s="6" t="str">
        <f>"200510"</f>
        <v>200510</v>
      </c>
      <c r="J1384" s="6" t="str">
        <f>"VERDE 510"</f>
        <v>VERDE 510</v>
      </c>
      <c r="K1384" s="6" t="str">
        <f>"2020"</f>
        <v>2020</v>
      </c>
      <c r="L1384" s="6" t="str">
        <f>"Lençóis"</f>
        <v>Lençóis</v>
      </c>
      <c r="M1384" s="6" t="str">
        <f>"100x150"</f>
        <v>100x150</v>
      </c>
      <c r="N1384" s="6" t="str">
        <f>"5602972281156"</f>
        <v>5602972281156</v>
      </c>
      <c r="O1384" s="8">
        <v>3</v>
      </c>
      <c r="R1384" s="8">
        <v>0</v>
      </c>
      <c r="U1384" s="8">
        <v>0</v>
      </c>
      <c r="X1384" s="8">
        <v>0</v>
      </c>
      <c r="Z1384" s="8">
        <v>0</v>
      </c>
      <c r="AC1384" s="8">
        <v>0</v>
      </c>
      <c r="AF1384" s="8">
        <v>0</v>
      </c>
      <c r="AN1384" s="8">
        <v>3</v>
      </c>
      <c r="AO1384" s="8">
        <v>0</v>
      </c>
    </row>
    <row r="1385" spans="1:41" x14ac:dyDescent="0.25">
      <c r="A1385" s="6" t="str">
        <f>"522-2025004486"</f>
        <v>522-2025004486</v>
      </c>
      <c r="B1385" s="6" t="str">
        <f t="shared" si="393"/>
        <v>EL CORTE</v>
      </c>
      <c r="C1385" s="7">
        <v>46022</v>
      </c>
      <c r="D1385" s="7">
        <v>46027</v>
      </c>
      <c r="E1385" s="8">
        <v>1</v>
      </c>
      <c r="F1385" s="6" t="str">
        <f>"94725401_07026"</f>
        <v>94725401_07026</v>
      </c>
      <c r="G1385" s="6" t="str">
        <f t="shared" si="394"/>
        <v>F310631650000000</v>
      </c>
      <c r="H1385" s="6" t="str">
        <f t="shared" si="395"/>
        <v>PLAR 6316 FD - 500 g</v>
      </c>
      <c r="I1385" s="6" t="str">
        <f>"202575"</f>
        <v>202575</v>
      </c>
      <c r="J1385" s="6" t="str">
        <f>"BEGE 2575"</f>
        <v>BEGE 2575</v>
      </c>
      <c r="K1385" s="6" t="str">
        <f>"1024"</f>
        <v>1024</v>
      </c>
      <c r="L1385" s="6" t="str">
        <f>"Toalhas"</f>
        <v>Toalhas</v>
      </c>
      <c r="M1385" s="6" t="str">
        <f>"50x100"</f>
        <v>50x100</v>
      </c>
      <c r="N1385" s="6" t="str">
        <f>"5602972281088"</f>
        <v>5602972281088</v>
      </c>
      <c r="O1385" s="8">
        <v>6</v>
      </c>
      <c r="R1385" s="8">
        <v>0</v>
      </c>
      <c r="U1385" s="8">
        <v>0</v>
      </c>
      <c r="X1385" s="8">
        <v>0</v>
      </c>
      <c r="Z1385" s="8">
        <v>0</v>
      </c>
      <c r="AC1385" s="8">
        <v>0</v>
      </c>
      <c r="AF1385" s="8">
        <v>0</v>
      </c>
      <c r="AN1385" s="8">
        <v>6</v>
      </c>
      <c r="AO1385" s="8">
        <v>0</v>
      </c>
    </row>
    <row r="1386" spans="1:41" x14ac:dyDescent="0.25">
      <c r="A1386" s="6" t="str">
        <f>"522-2025004486"</f>
        <v>522-2025004486</v>
      </c>
      <c r="B1386" s="6" t="str">
        <f t="shared" si="393"/>
        <v>EL CORTE</v>
      </c>
      <c r="C1386" s="7">
        <v>46022</v>
      </c>
      <c r="D1386" s="7">
        <v>46027</v>
      </c>
      <c r="E1386" s="8">
        <v>2</v>
      </c>
      <c r="F1386" s="6" t="str">
        <f>"94725401_07026"</f>
        <v>94725401_07026</v>
      </c>
      <c r="G1386" s="6" t="str">
        <f t="shared" si="394"/>
        <v>F310631650000000</v>
      </c>
      <c r="H1386" s="6" t="str">
        <f t="shared" si="395"/>
        <v>PLAR 6316 FD - 500 g</v>
      </c>
      <c r="I1386" s="6" t="str">
        <f>"202575"</f>
        <v>202575</v>
      </c>
      <c r="J1386" s="6" t="str">
        <f>"BEGE 2575"</f>
        <v>BEGE 2575</v>
      </c>
      <c r="K1386" s="6" t="str">
        <f>"2020"</f>
        <v>2020</v>
      </c>
      <c r="L1386" s="6" t="str">
        <f>"Lençóis"</f>
        <v>Lençóis</v>
      </c>
      <c r="M1386" s="6" t="str">
        <f>"100x150"</f>
        <v>100x150</v>
      </c>
      <c r="N1386" s="6" t="str">
        <f>"5602972281095"</f>
        <v>5602972281095</v>
      </c>
      <c r="O1386" s="8">
        <v>3</v>
      </c>
      <c r="R1386" s="8">
        <v>0</v>
      </c>
      <c r="U1386" s="8">
        <v>0</v>
      </c>
      <c r="X1386" s="8">
        <v>0</v>
      </c>
      <c r="Z1386" s="8">
        <v>0</v>
      </c>
      <c r="AC1386" s="8">
        <v>0</v>
      </c>
      <c r="AF1386" s="8">
        <v>0</v>
      </c>
      <c r="AN1386" s="8">
        <v>3</v>
      </c>
      <c r="AO1386" s="8">
        <v>0</v>
      </c>
    </row>
    <row r="1387" spans="1:41" x14ac:dyDescent="0.25">
      <c r="A1387" s="6" t="str">
        <f>"522-2025004487"</f>
        <v>522-2025004487</v>
      </c>
      <c r="B1387" s="6" t="str">
        <f t="shared" si="393"/>
        <v>EL CORTE</v>
      </c>
      <c r="C1387" s="7">
        <v>46022</v>
      </c>
      <c r="D1387" s="7">
        <v>46027</v>
      </c>
      <c r="E1387" s="8">
        <v>1</v>
      </c>
      <c r="F1387" s="6" t="str">
        <f>"94724301_07026"</f>
        <v>94724301_07026</v>
      </c>
      <c r="G1387" s="6" t="str">
        <f t="shared" si="394"/>
        <v>F310631650000000</v>
      </c>
      <c r="H1387" s="6" t="str">
        <f t="shared" si="395"/>
        <v>PLAR 6316 FD - 500 g</v>
      </c>
      <c r="I1387" s="6" t="str">
        <f>"202575"</f>
        <v>202575</v>
      </c>
      <c r="J1387" s="6" t="str">
        <f>"BEGE 2575"</f>
        <v>BEGE 2575</v>
      </c>
      <c r="K1387" s="6" t="str">
        <f>"1024"</f>
        <v>1024</v>
      </c>
      <c r="L1387" s="6" t="str">
        <f>"Toalhas"</f>
        <v>Toalhas</v>
      </c>
      <c r="M1387" s="6" t="str">
        <f>"50x100"</f>
        <v>50x100</v>
      </c>
      <c r="N1387" s="6" t="str">
        <f>"5602972281088"</f>
        <v>5602972281088</v>
      </c>
      <c r="O1387" s="8">
        <v>12</v>
      </c>
      <c r="R1387" s="8">
        <v>0</v>
      </c>
      <c r="U1387" s="8">
        <v>0</v>
      </c>
      <c r="X1387" s="8">
        <v>0</v>
      </c>
      <c r="Z1387" s="8">
        <v>0</v>
      </c>
      <c r="AC1387" s="8">
        <v>0</v>
      </c>
      <c r="AF1387" s="8">
        <v>0</v>
      </c>
      <c r="AN1387" s="8">
        <v>12</v>
      </c>
      <c r="AO1387" s="8">
        <v>0</v>
      </c>
    </row>
    <row r="1388" spans="1:41" x14ac:dyDescent="0.25">
      <c r="A1388" s="6" t="str">
        <f>"522-2025004487"</f>
        <v>522-2025004487</v>
      </c>
      <c r="B1388" s="6" t="str">
        <f t="shared" si="393"/>
        <v>EL CORTE</v>
      </c>
      <c r="C1388" s="7">
        <v>46022</v>
      </c>
      <c r="D1388" s="7">
        <v>46027</v>
      </c>
      <c r="E1388" s="8">
        <v>2</v>
      </c>
      <c r="F1388" s="6" t="str">
        <f>"94724301_07026"</f>
        <v>94724301_07026</v>
      </c>
      <c r="G1388" s="6" t="str">
        <f t="shared" si="394"/>
        <v>F310631650000000</v>
      </c>
      <c r="H1388" s="6" t="str">
        <f t="shared" si="395"/>
        <v>PLAR 6316 FD - 500 g</v>
      </c>
      <c r="I1388" s="6" t="str">
        <f>"202575"</f>
        <v>202575</v>
      </c>
      <c r="J1388" s="6" t="str">
        <f>"BEGE 2575"</f>
        <v>BEGE 2575</v>
      </c>
      <c r="K1388" s="6" t="str">
        <f>"2020"</f>
        <v>2020</v>
      </c>
      <c r="L1388" s="6" t="str">
        <f>"Lençóis"</f>
        <v>Lençóis</v>
      </c>
      <c r="M1388" s="6" t="str">
        <f>"100x150"</f>
        <v>100x150</v>
      </c>
      <c r="N1388" s="6" t="str">
        <f>"5602972281095"</f>
        <v>5602972281095</v>
      </c>
      <c r="O1388" s="8">
        <v>6</v>
      </c>
      <c r="R1388" s="8">
        <v>0</v>
      </c>
      <c r="U1388" s="8">
        <v>0</v>
      </c>
      <c r="X1388" s="8">
        <v>0</v>
      </c>
      <c r="Z1388" s="8">
        <v>0</v>
      </c>
      <c r="AC1388" s="8">
        <v>0</v>
      </c>
      <c r="AF1388" s="8">
        <v>0</v>
      </c>
      <c r="AN1388" s="8">
        <v>6</v>
      </c>
      <c r="AO1388" s="8">
        <v>0</v>
      </c>
    </row>
    <row r="1389" spans="1:41" x14ac:dyDescent="0.25">
      <c r="A1389" s="6" t="str">
        <f>"522-2025004487"</f>
        <v>522-2025004487</v>
      </c>
      <c r="B1389" s="6" t="str">
        <f t="shared" si="393"/>
        <v>EL CORTE</v>
      </c>
      <c r="C1389" s="7">
        <v>46022</v>
      </c>
      <c r="D1389" s="7">
        <v>46027</v>
      </c>
      <c r="E1389" s="8">
        <v>3</v>
      </c>
      <c r="F1389" s="6" t="str">
        <f>"94724301_07026"</f>
        <v>94724301_07026</v>
      </c>
      <c r="G1389" s="6" t="str">
        <f t="shared" si="394"/>
        <v>F310631650000000</v>
      </c>
      <c r="H1389" s="6" t="str">
        <f t="shared" si="395"/>
        <v>PLAR 6316 FD - 500 g</v>
      </c>
      <c r="I1389" s="6" t="str">
        <f>"200901"</f>
        <v>200901</v>
      </c>
      <c r="J1389" s="6" t="str">
        <f>"ROSA 901"</f>
        <v>ROSA 901</v>
      </c>
      <c r="K1389" s="6" t="str">
        <f>"1024"</f>
        <v>1024</v>
      </c>
      <c r="L1389" s="6" t="str">
        <f>"Toalhas"</f>
        <v>Toalhas</v>
      </c>
      <c r="M1389" s="6" t="str">
        <f>"50x100"</f>
        <v>50x100</v>
      </c>
      <c r="N1389" s="6" t="str">
        <f>"5602972281118"</f>
        <v>5602972281118</v>
      </c>
      <c r="O1389" s="8">
        <v>6</v>
      </c>
      <c r="R1389" s="8">
        <v>0</v>
      </c>
      <c r="U1389" s="8">
        <v>0</v>
      </c>
      <c r="X1389" s="8">
        <v>0</v>
      </c>
      <c r="Z1389" s="8">
        <v>0</v>
      </c>
      <c r="AC1389" s="8">
        <v>0</v>
      </c>
      <c r="AF1389" s="8">
        <v>0</v>
      </c>
      <c r="AN1389" s="8">
        <v>6</v>
      </c>
      <c r="AO1389" s="8">
        <v>0</v>
      </c>
    </row>
    <row r="1390" spans="1:41" x14ac:dyDescent="0.25">
      <c r="A1390" s="6" t="str">
        <f>"522-2025004487"</f>
        <v>522-2025004487</v>
      </c>
      <c r="B1390" s="6" t="str">
        <f t="shared" si="393"/>
        <v>EL CORTE</v>
      </c>
      <c r="C1390" s="7">
        <v>46022</v>
      </c>
      <c r="D1390" s="7">
        <v>46027</v>
      </c>
      <c r="E1390" s="8">
        <v>4</v>
      </c>
      <c r="F1390" s="6" t="str">
        <f>"94724301_07026"</f>
        <v>94724301_07026</v>
      </c>
      <c r="G1390" s="6" t="str">
        <f t="shared" si="394"/>
        <v>F310631650000000</v>
      </c>
      <c r="H1390" s="6" t="str">
        <f t="shared" si="395"/>
        <v>PLAR 6316 FD - 500 g</v>
      </c>
      <c r="I1390" s="6" t="str">
        <f>"200510"</f>
        <v>200510</v>
      </c>
      <c r="J1390" s="6" t="str">
        <f>"VERDE 510"</f>
        <v>VERDE 510</v>
      </c>
      <c r="K1390" s="6" t="str">
        <f>"1024"</f>
        <v>1024</v>
      </c>
      <c r="L1390" s="6" t="str">
        <f>"Toalhas"</f>
        <v>Toalhas</v>
      </c>
      <c r="M1390" s="6" t="str">
        <f>"50x100"</f>
        <v>50x100</v>
      </c>
      <c r="N1390" s="6" t="str">
        <f>"5602972281149"</f>
        <v>5602972281149</v>
      </c>
      <c r="O1390" s="8">
        <v>6</v>
      </c>
      <c r="R1390" s="8">
        <v>0</v>
      </c>
      <c r="U1390" s="8">
        <v>0</v>
      </c>
      <c r="X1390" s="8">
        <v>0</v>
      </c>
      <c r="Z1390" s="8">
        <v>0</v>
      </c>
      <c r="AC1390" s="8">
        <v>0</v>
      </c>
      <c r="AF1390" s="8">
        <v>0</v>
      </c>
      <c r="AN1390" s="8">
        <v>6</v>
      </c>
      <c r="AO1390" s="8">
        <v>0</v>
      </c>
    </row>
    <row r="1391" spans="1:41" x14ac:dyDescent="0.25">
      <c r="A1391" s="6" t="str">
        <f>"522-2025004487"</f>
        <v>522-2025004487</v>
      </c>
      <c r="B1391" s="6" t="str">
        <f t="shared" si="393"/>
        <v>EL CORTE</v>
      </c>
      <c r="C1391" s="7">
        <v>46022</v>
      </c>
      <c r="D1391" s="7">
        <v>46027</v>
      </c>
      <c r="E1391" s="8">
        <v>5</v>
      </c>
      <c r="F1391" s="6" t="str">
        <f>"94724301_07026"</f>
        <v>94724301_07026</v>
      </c>
      <c r="G1391" s="6" t="str">
        <f t="shared" si="394"/>
        <v>F310631650000000</v>
      </c>
      <c r="H1391" s="6" t="str">
        <f t="shared" si="395"/>
        <v>PLAR 6316 FD - 500 g</v>
      </c>
      <c r="I1391" s="6" t="str">
        <f>"200510"</f>
        <v>200510</v>
      </c>
      <c r="J1391" s="6" t="str">
        <f>"VERDE 510"</f>
        <v>VERDE 510</v>
      </c>
      <c r="K1391" s="6" t="str">
        <f>"2020"</f>
        <v>2020</v>
      </c>
      <c r="L1391" s="6" t="str">
        <f>"Lençóis"</f>
        <v>Lençóis</v>
      </c>
      <c r="M1391" s="6" t="str">
        <f>"100x150"</f>
        <v>100x150</v>
      </c>
      <c r="N1391" s="6" t="str">
        <f>"5602972281156"</f>
        <v>5602972281156</v>
      </c>
      <c r="O1391" s="8">
        <v>6</v>
      </c>
      <c r="R1391" s="8">
        <v>0</v>
      </c>
      <c r="U1391" s="8">
        <v>0</v>
      </c>
      <c r="X1391" s="8">
        <v>0</v>
      </c>
      <c r="Z1391" s="8">
        <v>0</v>
      </c>
      <c r="AC1391" s="8">
        <v>0</v>
      </c>
      <c r="AF1391" s="8">
        <v>0</v>
      </c>
      <c r="AN1391" s="8">
        <v>6</v>
      </c>
      <c r="AO1391" s="8">
        <v>0</v>
      </c>
    </row>
    <row r="1392" spans="1:41" x14ac:dyDescent="0.25">
      <c r="A1392" s="6" t="str">
        <f>"522-2025004488"</f>
        <v>522-2025004488</v>
      </c>
      <c r="B1392" s="6" t="str">
        <f t="shared" si="393"/>
        <v>EL CORTE</v>
      </c>
      <c r="C1392" s="7">
        <v>46022</v>
      </c>
      <c r="D1392" s="7">
        <v>46027</v>
      </c>
      <c r="E1392" s="8">
        <v>1</v>
      </c>
      <c r="F1392" s="6" t="str">
        <f>"94726401_07026"</f>
        <v>94726401_07026</v>
      </c>
      <c r="G1392" s="6" t="str">
        <f t="shared" si="394"/>
        <v>F310631650000000</v>
      </c>
      <c r="H1392" s="6" t="str">
        <f t="shared" si="395"/>
        <v>PLAR 6316 FD - 500 g</v>
      </c>
      <c r="I1392" s="6" t="str">
        <f>"201855"</f>
        <v>201855</v>
      </c>
      <c r="J1392" s="6" t="str">
        <f>"AZUL 1855"</f>
        <v>AZUL 1855</v>
      </c>
      <c r="K1392" s="6" t="str">
        <f>"0520"</f>
        <v>0520</v>
      </c>
      <c r="L1392" s="6" t="str">
        <f>"Toalhetes"</f>
        <v>Toalhetes</v>
      </c>
      <c r="M1392" s="6" t="str">
        <f>"30x50"</f>
        <v>30x50</v>
      </c>
      <c r="N1392" s="6" t="str">
        <f>"5602972281040"</f>
        <v>5602972281040</v>
      </c>
      <c r="O1392" s="8">
        <v>6</v>
      </c>
      <c r="R1392" s="8">
        <v>0</v>
      </c>
      <c r="U1392" s="8">
        <v>0</v>
      </c>
      <c r="X1392" s="8">
        <v>0</v>
      </c>
      <c r="Z1392" s="8">
        <v>0</v>
      </c>
      <c r="AC1392" s="8">
        <v>0</v>
      </c>
      <c r="AF1392" s="8">
        <v>0</v>
      </c>
      <c r="AN1392" s="8">
        <v>6</v>
      </c>
      <c r="AO1392" s="8">
        <v>0</v>
      </c>
    </row>
    <row r="1393" spans="1:41" x14ac:dyDescent="0.25">
      <c r="A1393" s="6" t="str">
        <f>"522-2025004488"</f>
        <v>522-2025004488</v>
      </c>
      <c r="B1393" s="6" t="str">
        <f t="shared" si="393"/>
        <v>EL CORTE</v>
      </c>
      <c r="C1393" s="7">
        <v>46022</v>
      </c>
      <c r="D1393" s="7">
        <v>46027</v>
      </c>
      <c r="E1393" s="8">
        <v>2</v>
      </c>
      <c r="F1393" s="6" t="str">
        <f>"94726401_07026"</f>
        <v>94726401_07026</v>
      </c>
      <c r="G1393" s="6" t="str">
        <f t="shared" si="394"/>
        <v>F310631650000000</v>
      </c>
      <c r="H1393" s="6" t="str">
        <f t="shared" si="395"/>
        <v>PLAR 6316 FD - 500 g</v>
      </c>
      <c r="I1393" s="6" t="str">
        <f>"200510"</f>
        <v>200510</v>
      </c>
      <c r="J1393" s="6" t="str">
        <f>"VERDE 510"</f>
        <v>VERDE 510</v>
      </c>
      <c r="K1393" s="6" t="str">
        <f>"1024"</f>
        <v>1024</v>
      </c>
      <c r="L1393" s="6" t="str">
        <f>"Toalhas"</f>
        <v>Toalhas</v>
      </c>
      <c r="M1393" s="6" t="str">
        <f>"50x100"</f>
        <v>50x100</v>
      </c>
      <c r="N1393" s="6" t="str">
        <f>"5602972281149"</f>
        <v>5602972281149</v>
      </c>
      <c r="O1393" s="8">
        <v>6</v>
      </c>
      <c r="R1393" s="8">
        <v>0</v>
      </c>
      <c r="U1393" s="8">
        <v>0</v>
      </c>
      <c r="X1393" s="8">
        <v>0</v>
      </c>
      <c r="Z1393" s="8">
        <v>0</v>
      </c>
      <c r="AC1393" s="8">
        <v>0</v>
      </c>
      <c r="AF1393" s="8">
        <v>0</v>
      </c>
      <c r="AN1393" s="8">
        <v>6</v>
      </c>
      <c r="AO1393" s="8">
        <v>0</v>
      </c>
    </row>
    <row r="1394" spans="1:41" x14ac:dyDescent="0.25">
      <c r="A1394" s="6" t="str">
        <f>"522-2025004489"</f>
        <v>522-2025004489</v>
      </c>
      <c r="B1394" s="6" t="str">
        <f t="shared" si="393"/>
        <v>EL CORTE</v>
      </c>
      <c r="C1394" s="7">
        <v>46022</v>
      </c>
      <c r="D1394" s="7">
        <v>46027</v>
      </c>
      <c r="E1394" s="8">
        <v>1</v>
      </c>
      <c r="F1394" s="6" t="str">
        <f>"94723501_07026"</f>
        <v>94723501_07026</v>
      </c>
      <c r="G1394" s="6" t="str">
        <f t="shared" si="394"/>
        <v>F310631650000000</v>
      </c>
      <c r="H1394" s="6" t="str">
        <f t="shared" si="395"/>
        <v>PLAR 6316 FD - 500 g</v>
      </c>
      <c r="I1394" s="6" t="str">
        <f>"201855"</f>
        <v>201855</v>
      </c>
      <c r="J1394" s="6" t="str">
        <f>"AZUL 1855"</f>
        <v>AZUL 1855</v>
      </c>
      <c r="K1394" s="6" t="str">
        <f>"0520"</f>
        <v>0520</v>
      </c>
      <c r="L1394" s="6" t="str">
        <f>"Toalhetes"</f>
        <v>Toalhetes</v>
      </c>
      <c r="M1394" s="6" t="str">
        <f>"30x50"</f>
        <v>30x50</v>
      </c>
      <c r="N1394" s="6" t="str">
        <f>"5602972281040"</f>
        <v>5602972281040</v>
      </c>
      <c r="O1394" s="8">
        <v>6</v>
      </c>
      <c r="R1394" s="8">
        <v>0</v>
      </c>
      <c r="U1394" s="8">
        <v>0</v>
      </c>
      <c r="X1394" s="8">
        <v>0</v>
      </c>
      <c r="Z1394" s="8">
        <v>0</v>
      </c>
      <c r="AC1394" s="8">
        <v>0</v>
      </c>
      <c r="AF1394" s="8">
        <v>0</v>
      </c>
      <c r="AN1394" s="8">
        <v>6</v>
      </c>
      <c r="AO1394" s="8">
        <v>0</v>
      </c>
    </row>
    <row r="1395" spans="1:41" x14ac:dyDescent="0.25">
      <c r="A1395" s="6" t="str">
        <f>"522-2025004489"</f>
        <v>522-2025004489</v>
      </c>
      <c r="B1395" s="6" t="str">
        <f t="shared" si="393"/>
        <v>EL CORTE</v>
      </c>
      <c r="C1395" s="7">
        <v>46022</v>
      </c>
      <c r="D1395" s="7">
        <v>46027</v>
      </c>
      <c r="E1395" s="8">
        <v>2</v>
      </c>
      <c r="F1395" s="6" t="str">
        <f>"94723501_07026"</f>
        <v>94723501_07026</v>
      </c>
      <c r="G1395" s="6" t="str">
        <f t="shared" si="394"/>
        <v>F310631650000000</v>
      </c>
      <c r="H1395" s="6" t="str">
        <f t="shared" si="395"/>
        <v>PLAR 6316 FD - 500 g</v>
      </c>
      <c r="I1395" s="6" t="str">
        <f>"201855"</f>
        <v>201855</v>
      </c>
      <c r="J1395" s="6" t="str">
        <f>"AZUL 1855"</f>
        <v>AZUL 1855</v>
      </c>
      <c r="K1395" s="6" t="str">
        <f>"1024"</f>
        <v>1024</v>
      </c>
      <c r="L1395" s="6" t="str">
        <f>"Toalhas"</f>
        <v>Toalhas</v>
      </c>
      <c r="M1395" s="6" t="str">
        <f>"50x100"</f>
        <v>50x100</v>
      </c>
      <c r="N1395" s="6" t="str">
        <f>"5602972281057"</f>
        <v>5602972281057</v>
      </c>
      <c r="O1395" s="8">
        <v>6</v>
      </c>
      <c r="R1395" s="8">
        <v>0</v>
      </c>
      <c r="U1395" s="8">
        <v>0</v>
      </c>
      <c r="X1395" s="8">
        <v>0</v>
      </c>
      <c r="Z1395" s="8">
        <v>0</v>
      </c>
      <c r="AC1395" s="8">
        <v>0</v>
      </c>
      <c r="AF1395" s="8">
        <v>0</v>
      </c>
      <c r="AN1395" s="8">
        <v>6</v>
      </c>
      <c r="AO1395" s="8">
        <v>0</v>
      </c>
    </row>
    <row r="1396" spans="1:41" x14ac:dyDescent="0.25">
      <c r="A1396" s="6" t="str">
        <f>"522-2025004489"</f>
        <v>522-2025004489</v>
      </c>
      <c r="B1396" s="6" t="str">
        <f t="shared" si="393"/>
        <v>EL CORTE</v>
      </c>
      <c r="C1396" s="7">
        <v>46022</v>
      </c>
      <c r="D1396" s="7">
        <v>46027</v>
      </c>
      <c r="E1396" s="8">
        <v>3</v>
      </c>
      <c r="F1396" s="6" t="str">
        <f>"94723501_07026"</f>
        <v>94723501_07026</v>
      </c>
      <c r="G1396" s="6" t="str">
        <f t="shared" si="394"/>
        <v>F310631650000000</v>
      </c>
      <c r="H1396" s="6" t="str">
        <f t="shared" si="395"/>
        <v>PLAR 6316 FD - 500 g</v>
      </c>
      <c r="I1396" s="6" t="str">
        <f>"202575"</f>
        <v>202575</v>
      </c>
      <c r="J1396" s="6" t="str">
        <f>"BEGE 2575"</f>
        <v>BEGE 2575</v>
      </c>
      <c r="K1396" s="6" t="str">
        <f>"1024"</f>
        <v>1024</v>
      </c>
      <c r="L1396" s="6" t="str">
        <f>"Toalhas"</f>
        <v>Toalhas</v>
      </c>
      <c r="M1396" s="6" t="str">
        <f>"50x100"</f>
        <v>50x100</v>
      </c>
      <c r="N1396" s="6" t="str">
        <f>"5602972281088"</f>
        <v>5602972281088</v>
      </c>
      <c r="O1396" s="8">
        <v>6</v>
      </c>
      <c r="R1396" s="8">
        <v>0</v>
      </c>
      <c r="U1396" s="8">
        <v>0</v>
      </c>
      <c r="X1396" s="8">
        <v>0</v>
      </c>
      <c r="Z1396" s="8">
        <v>0</v>
      </c>
      <c r="AC1396" s="8">
        <v>0</v>
      </c>
      <c r="AF1396" s="8">
        <v>0</v>
      </c>
      <c r="AN1396" s="8">
        <v>6</v>
      </c>
      <c r="AO1396" s="8">
        <v>0</v>
      </c>
    </row>
    <row r="1397" spans="1:41" x14ac:dyDescent="0.25">
      <c r="A1397" s="6" t="str">
        <f>"522-2025004489"</f>
        <v>522-2025004489</v>
      </c>
      <c r="B1397" s="6" t="str">
        <f t="shared" si="393"/>
        <v>EL CORTE</v>
      </c>
      <c r="C1397" s="7">
        <v>46022</v>
      </c>
      <c r="D1397" s="7">
        <v>46027</v>
      </c>
      <c r="E1397" s="8">
        <v>4</v>
      </c>
      <c r="F1397" s="6" t="str">
        <f>"94723501_07026"</f>
        <v>94723501_07026</v>
      </c>
      <c r="G1397" s="6" t="str">
        <f t="shared" si="394"/>
        <v>F310631650000000</v>
      </c>
      <c r="H1397" s="6" t="str">
        <f t="shared" si="395"/>
        <v>PLAR 6316 FD - 500 g</v>
      </c>
      <c r="I1397" s="6" t="str">
        <f>"200901"</f>
        <v>200901</v>
      </c>
      <c r="J1397" s="6" t="str">
        <f>"ROSA 901"</f>
        <v>ROSA 901</v>
      </c>
      <c r="K1397" s="6" t="str">
        <f>"0520"</f>
        <v>0520</v>
      </c>
      <c r="L1397" s="6" t="str">
        <f>"Toalhetes"</f>
        <v>Toalhetes</v>
      </c>
      <c r="M1397" s="6" t="str">
        <f>"30x50"</f>
        <v>30x50</v>
      </c>
      <c r="N1397" s="6" t="str">
        <f>"5602972281101"</f>
        <v>5602972281101</v>
      </c>
      <c r="O1397" s="8">
        <v>6</v>
      </c>
      <c r="R1397" s="8">
        <v>0</v>
      </c>
      <c r="U1397" s="8">
        <v>0</v>
      </c>
      <c r="X1397" s="8">
        <v>0</v>
      </c>
      <c r="Z1397" s="8">
        <v>0</v>
      </c>
      <c r="AC1397" s="8">
        <v>0</v>
      </c>
      <c r="AF1397" s="8">
        <v>0</v>
      </c>
      <c r="AN1397" s="8">
        <v>6</v>
      </c>
      <c r="AO1397" s="8">
        <v>0</v>
      </c>
    </row>
    <row r="1398" spans="1:41" x14ac:dyDescent="0.25">
      <c r="A1398" s="6" t="str">
        <f>"522-2025004489"</f>
        <v>522-2025004489</v>
      </c>
      <c r="B1398" s="6" t="str">
        <f t="shared" si="393"/>
        <v>EL CORTE</v>
      </c>
      <c r="C1398" s="7">
        <v>46022</v>
      </c>
      <c r="D1398" s="7">
        <v>46027</v>
      </c>
      <c r="E1398" s="8">
        <v>5</v>
      </c>
      <c r="F1398" s="6" t="str">
        <f>"94723501_07026"</f>
        <v>94723501_07026</v>
      </c>
      <c r="G1398" s="6" t="str">
        <f t="shared" si="394"/>
        <v>F310631650000000</v>
      </c>
      <c r="H1398" s="6" t="str">
        <f t="shared" si="395"/>
        <v>PLAR 6316 FD - 500 g</v>
      </c>
      <c r="I1398" s="6" t="str">
        <f>"200901"</f>
        <v>200901</v>
      </c>
      <c r="J1398" s="6" t="str">
        <f>"ROSA 901"</f>
        <v>ROSA 901</v>
      </c>
      <c r="K1398" s="6" t="str">
        <f>"1024"</f>
        <v>1024</v>
      </c>
      <c r="L1398" s="6" t="str">
        <f>"Toalhas"</f>
        <v>Toalhas</v>
      </c>
      <c r="M1398" s="6" t="str">
        <f>"50x100"</f>
        <v>50x100</v>
      </c>
      <c r="N1398" s="6" t="str">
        <f>"5602972281118"</f>
        <v>5602972281118</v>
      </c>
      <c r="O1398" s="8">
        <v>6</v>
      </c>
      <c r="R1398" s="8">
        <v>0</v>
      </c>
      <c r="U1398" s="8">
        <v>0</v>
      </c>
      <c r="X1398" s="8">
        <v>0</v>
      </c>
      <c r="Z1398" s="8">
        <v>0</v>
      </c>
      <c r="AC1398" s="8">
        <v>0</v>
      </c>
      <c r="AF1398" s="8">
        <v>0</v>
      </c>
      <c r="AN1398" s="8">
        <v>6</v>
      </c>
      <c r="AO1398" s="8">
        <v>0</v>
      </c>
    </row>
    <row r="1399" spans="1:41" x14ac:dyDescent="0.25">
      <c r="A1399" s="6" t="str">
        <f>"522-2025004490"</f>
        <v>522-2025004490</v>
      </c>
      <c r="B1399" s="6" t="str">
        <f t="shared" si="393"/>
        <v>EL CORTE</v>
      </c>
      <c r="C1399" s="7">
        <v>46022</v>
      </c>
      <c r="D1399" s="7">
        <v>46027</v>
      </c>
      <c r="E1399" s="8">
        <v>1</v>
      </c>
      <c r="F1399" s="6" t="str">
        <f>"94724201_07026"</f>
        <v>94724201_07026</v>
      </c>
      <c r="G1399" s="6" t="str">
        <f t="shared" si="394"/>
        <v>F310631650000000</v>
      </c>
      <c r="H1399" s="6" t="str">
        <f t="shared" si="395"/>
        <v>PLAR 6316 FD - 500 g</v>
      </c>
      <c r="I1399" s="6" t="str">
        <f>"202575"</f>
        <v>202575</v>
      </c>
      <c r="J1399" s="6" t="str">
        <f>"BEGE 2575"</f>
        <v>BEGE 2575</v>
      </c>
      <c r="K1399" s="6" t="str">
        <f>"1024"</f>
        <v>1024</v>
      </c>
      <c r="L1399" s="6" t="str">
        <f>"Toalhas"</f>
        <v>Toalhas</v>
      </c>
      <c r="M1399" s="6" t="str">
        <f>"50x100"</f>
        <v>50x100</v>
      </c>
      <c r="N1399" s="6" t="str">
        <f>"5602972281088"</f>
        <v>5602972281088</v>
      </c>
      <c r="O1399" s="8">
        <v>6</v>
      </c>
      <c r="R1399" s="8">
        <v>0</v>
      </c>
      <c r="U1399" s="8">
        <v>0</v>
      </c>
      <c r="X1399" s="8">
        <v>0</v>
      </c>
      <c r="Z1399" s="8">
        <v>0</v>
      </c>
      <c r="AC1399" s="8">
        <v>0</v>
      </c>
      <c r="AF1399" s="8">
        <v>0</v>
      </c>
      <c r="AN1399" s="8">
        <v>6</v>
      </c>
      <c r="AO1399" s="8">
        <v>0</v>
      </c>
    </row>
    <row r="1400" spans="1:41" x14ac:dyDescent="0.25">
      <c r="A1400" s="6" t="str">
        <f>"522-2025004490"</f>
        <v>522-2025004490</v>
      </c>
      <c r="B1400" s="6" t="str">
        <f t="shared" si="393"/>
        <v>EL CORTE</v>
      </c>
      <c r="C1400" s="7">
        <v>46022</v>
      </c>
      <c r="D1400" s="7">
        <v>46027</v>
      </c>
      <c r="E1400" s="8">
        <v>2</v>
      </c>
      <c r="F1400" s="6" t="str">
        <f>"94724201_07026"</f>
        <v>94724201_07026</v>
      </c>
      <c r="G1400" s="6" t="str">
        <f t="shared" si="394"/>
        <v>F310631650000000</v>
      </c>
      <c r="H1400" s="6" t="str">
        <f t="shared" si="395"/>
        <v>PLAR 6316 FD - 500 g</v>
      </c>
      <c r="I1400" s="6" t="str">
        <f>"202575"</f>
        <v>202575</v>
      </c>
      <c r="J1400" s="6" t="str">
        <f>"BEGE 2575"</f>
        <v>BEGE 2575</v>
      </c>
      <c r="K1400" s="6" t="str">
        <f>"2020"</f>
        <v>2020</v>
      </c>
      <c r="L1400" s="6" t="str">
        <f>"Lençóis"</f>
        <v>Lençóis</v>
      </c>
      <c r="M1400" s="6" t="str">
        <f>"100x150"</f>
        <v>100x150</v>
      </c>
      <c r="N1400" s="6" t="str">
        <f>"5602972281095"</f>
        <v>5602972281095</v>
      </c>
      <c r="O1400" s="8">
        <v>3</v>
      </c>
      <c r="R1400" s="8">
        <v>0</v>
      </c>
      <c r="U1400" s="8">
        <v>0</v>
      </c>
      <c r="X1400" s="8">
        <v>0</v>
      </c>
      <c r="Z1400" s="8">
        <v>0</v>
      </c>
      <c r="AC1400" s="8">
        <v>0</v>
      </c>
      <c r="AF1400" s="8">
        <v>0</v>
      </c>
      <c r="AN1400" s="8">
        <v>3</v>
      </c>
      <c r="AO1400" s="8">
        <v>0</v>
      </c>
    </row>
    <row r="1401" spans="1:41" x14ac:dyDescent="0.25">
      <c r="A1401" s="6" t="str">
        <f>"522-2025004490"</f>
        <v>522-2025004490</v>
      </c>
      <c r="B1401" s="6" t="str">
        <f t="shared" si="393"/>
        <v>EL CORTE</v>
      </c>
      <c r="C1401" s="7">
        <v>46022</v>
      </c>
      <c r="D1401" s="7">
        <v>46027</v>
      </c>
      <c r="E1401" s="8">
        <v>3</v>
      </c>
      <c r="F1401" s="6" t="str">
        <f>"94724201_07026"</f>
        <v>94724201_07026</v>
      </c>
      <c r="G1401" s="6" t="str">
        <f t="shared" si="394"/>
        <v>F310631650000000</v>
      </c>
      <c r="H1401" s="6" t="str">
        <f t="shared" si="395"/>
        <v>PLAR 6316 FD - 500 g</v>
      </c>
      <c r="I1401" s="6" t="str">
        <f>"200510"</f>
        <v>200510</v>
      </c>
      <c r="J1401" s="6" t="str">
        <f>"VERDE 510"</f>
        <v>VERDE 510</v>
      </c>
      <c r="K1401" s="6" t="str">
        <f>"2020"</f>
        <v>2020</v>
      </c>
      <c r="L1401" s="6" t="str">
        <f>"Lençóis"</f>
        <v>Lençóis</v>
      </c>
      <c r="M1401" s="6" t="str">
        <f>"100x150"</f>
        <v>100x150</v>
      </c>
      <c r="N1401" s="6" t="str">
        <f>"5602972281156"</f>
        <v>5602972281156</v>
      </c>
      <c r="O1401" s="8">
        <v>3</v>
      </c>
      <c r="R1401" s="8">
        <v>0</v>
      </c>
      <c r="U1401" s="8">
        <v>0</v>
      </c>
      <c r="X1401" s="8">
        <v>0</v>
      </c>
      <c r="Z1401" s="8">
        <v>0</v>
      </c>
      <c r="AC1401" s="8">
        <v>0</v>
      </c>
      <c r="AF1401" s="8">
        <v>0</v>
      </c>
      <c r="AN1401" s="8">
        <v>3</v>
      </c>
      <c r="AO1401" s="8">
        <v>0</v>
      </c>
    </row>
    <row r="1402" spans="1:41" x14ac:dyDescent="0.25">
      <c r="A1402" s="6" t="str">
        <f>"522-2025004491"</f>
        <v>522-2025004491</v>
      </c>
      <c r="B1402" s="6" t="str">
        <f t="shared" si="393"/>
        <v>EL CORTE</v>
      </c>
      <c r="C1402" s="7">
        <v>46022</v>
      </c>
      <c r="D1402" s="7">
        <v>46027</v>
      </c>
      <c r="E1402" s="8">
        <v>1</v>
      </c>
      <c r="F1402" s="6" t="str">
        <f>"94724501_07026"</f>
        <v>94724501_07026</v>
      </c>
      <c r="G1402" s="6" t="str">
        <f t="shared" si="394"/>
        <v>F310631650000000</v>
      </c>
      <c r="H1402" s="6" t="str">
        <f t="shared" si="395"/>
        <v>PLAR 6316 FD - 500 g</v>
      </c>
      <c r="I1402" s="6" t="str">
        <f>"200901"</f>
        <v>200901</v>
      </c>
      <c r="J1402" s="6" t="str">
        <f>"ROSA 901"</f>
        <v>ROSA 901</v>
      </c>
      <c r="K1402" s="6" t="str">
        <f>"2020"</f>
        <v>2020</v>
      </c>
      <c r="L1402" s="6" t="str">
        <f>"Lençóis"</f>
        <v>Lençóis</v>
      </c>
      <c r="M1402" s="6" t="str">
        <f>"100x150"</f>
        <v>100x150</v>
      </c>
      <c r="N1402" s="6" t="str">
        <f>"5602972281125"</f>
        <v>5602972281125</v>
      </c>
      <c r="O1402" s="8">
        <v>3</v>
      </c>
      <c r="R1402" s="8">
        <v>0</v>
      </c>
      <c r="U1402" s="8">
        <v>0</v>
      </c>
      <c r="X1402" s="8">
        <v>0</v>
      </c>
      <c r="Z1402" s="8">
        <v>0</v>
      </c>
      <c r="AC1402" s="8">
        <v>0</v>
      </c>
      <c r="AF1402" s="8">
        <v>0</v>
      </c>
      <c r="AN1402" s="8">
        <v>3</v>
      </c>
      <c r="AO1402" s="8">
        <v>0</v>
      </c>
    </row>
    <row r="1403" spans="1:41" x14ac:dyDescent="0.25">
      <c r="A1403" s="6" t="str">
        <f>"522-2025004492"</f>
        <v>522-2025004492</v>
      </c>
      <c r="B1403" s="6" t="str">
        <f t="shared" si="393"/>
        <v>EL CORTE</v>
      </c>
      <c r="C1403" s="7">
        <v>46022</v>
      </c>
      <c r="D1403" s="7">
        <v>46027</v>
      </c>
      <c r="E1403" s="8">
        <v>1</v>
      </c>
      <c r="F1403" s="6" t="str">
        <f>"94724801_07026"</f>
        <v>94724801_07026</v>
      </c>
      <c r="G1403" s="6" t="str">
        <f t="shared" si="394"/>
        <v>F310631650000000</v>
      </c>
      <c r="H1403" s="6" t="str">
        <f t="shared" si="395"/>
        <v>PLAR 6316 FD - 500 g</v>
      </c>
      <c r="I1403" s="6" t="str">
        <f>"201855"</f>
        <v>201855</v>
      </c>
      <c r="J1403" s="6" t="str">
        <f>"AZUL 1855"</f>
        <v>AZUL 1855</v>
      </c>
      <c r="K1403" s="6" t="str">
        <f>"1024"</f>
        <v>1024</v>
      </c>
      <c r="L1403" s="6" t="str">
        <f>"Toalhas"</f>
        <v>Toalhas</v>
      </c>
      <c r="M1403" s="6" t="str">
        <f>"50x100"</f>
        <v>50x100</v>
      </c>
      <c r="N1403" s="6" t="str">
        <f>"5602972281057"</f>
        <v>5602972281057</v>
      </c>
      <c r="O1403" s="8">
        <v>6</v>
      </c>
      <c r="R1403" s="8">
        <v>0</v>
      </c>
      <c r="U1403" s="8">
        <v>0</v>
      </c>
      <c r="X1403" s="8">
        <v>0</v>
      </c>
      <c r="Z1403" s="8">
        <v>0</v>
      </c>
      <c r="AC1403" s="8">
        <v>0</v>
      </c>
      <c r="AF1403" s="8">
        <v>0</v>
      </c>
      <c r="AN1403" s="8">
        <v>6</v>
      </c>
      <c r="AO1403" s="8">
        <v>0</v>
      </c>
    </row>
    <row r="1404" spans="1:41" x14ac:dyDescent="0.25">
      <c r="A1404" s="6" t="str">
        <f>"522-2025004492"</f>
        <v>522-2025004492</v>
      </c>
      <c r="B1404" s="6" t="str">
        <f t="shared" si="393"/>
        <v>EL CORTE</v>
      </c>
      <c r="C1404" s="7">
        <v>46022</v>
      </c>
      <c r="D1404" s="7">
        <v>46027</v>
      </c>
      <c r="E1404" s="8">
        <v>2</v>
      </c>
      <c r="F1404" s="6" t="str">
        <f>"94724801_07026"</f>
        <v>94724801_07026</v>
      </c>
      <c r="G1404" s="6" t="str">
        <f t="shared" si="394"/>
        <v>F310631650000000</v>
      </c>
      <c r="H1404" s="6" t="str">
        <f t="shared" si="395"/>
        <v>PLAR 6316 FD - 500 g</v>
      </c>
      <c r="I1404" s="6" t="str">
        <f>"202575"</f>
        <v>202575</v>
      </c>
      <c r="J1404" s="6" t="str">
        <f>"BEGE 2575"</f>
        <v>BEGE 2575</v>
      </c>
      <c r="K1404" s="6" t="str">
        <f>"2020"</f>
        <v>2020</v>
      </c>
      <c r="L1404" s="6" t="str">
        <f>"Lençóis"</f>
        <v>Lençóis</v>
      </c>
      <c r="M1404" s="6" t="str">
        <f>"100x150"</f>
        <v>100x150</v>
      </c>
      <c r="N1404" s="6" t="str">
        <f>"5602972281095"</f>
        <v>5602972281095</v>
      </c>
      <c r="O1404" s="8">
        <v>3</v>
      </c>
      <c r="R1404" s="8">
        <v>0</v>
      </c>
      <c r="U1404" s="8">
        <v>0</v>
      </c>
      <c r="X1404" s="8">
        <v>0</v>
      </c>
      <c r="Z1404" s="8">
        <v>0</v>
      </c>
      <c r="AC1404" s="8">
        <v>0</v>
      </c>
      <c r="AF1404" s="8">
        <v>0</v>
      </c>
      <c r="AN1404" s="8">
        <v>3</v>
      </c>
      <c r="AO1404" s="8">
        <v>0</v>
      </c>
    </row>
    <row r="1405" spans="1:41" x14ac:dyDescent="0.25">
      <c r="A1405" s="6" t="str">
        <f>"522-2025004493"</f>
        <v>522-2025004493</v>
      </c>
      <c r="B1405" s="6" t="str">
        <f t="shared" si="393"/>
        <v>EL CORTE</v>
      </c>
      <c r="C1405" s="7">
        <v>46022</v>
      </c>
      <c r="D1405" s="7">
        <v>46027</v>
      </c>
      <c r="E1405" s="8">
        <v>1</v>
      </c>
      <c r="F1405" s="6" t="str">
        <f>"94724601_07026"</f>
        <v>94724601_07026</v>
      </c>
      <c r="G1405" s="6" t="str">
        <f t="shared" si="394"/>
        <v>F310631650000000</v>
      </c>
      <c r="H1405" s="6" t="str">
        <f t="shared" si="395"/>
        <v>PLAR 6316 FD - 500 g</v>
      </c>
      <c r="I1405" s="6" t="str">
        <f>"202575"</f>
        <v>202575</v>
      </c>
      <c r="J1405" s="6" t="str">
        <f>"BEGE 2575"</f>
        <v>BEGE 2575</v>
      </c>
      <c r="K1405" s="6" t="str">
        <f>"1024"</f>
        <v>1024</v>
      </c>
      <c r="L1405" s="6" t="str">
        <f>"Toalhas"</f>
        <v>Toalhas</v>
      </c>
      <c r="M1405" s="6" t="str">
        <f>"50x100"</f>
        <v>50x100</v>
      </c>
      <c r="N1405" s="6" t="str">
        <f>"5602972281088"</f>
        <v>5602972281088</v>
      </c>
      <c r="O1405" s="8">
        <v>6</v>
      </c>
      <c r="R1405" s="8">
        <v>0</v>
      </c>
      <c r="U1405" s="8">
        <v>0</v>
      </c>
      <c r="X1405" s="8">
        <v>0</v>
      </c>
      <c r="Z1405" s="8">
        <v>0</v>
      </c>
      <c r="AC1405" s="8">
        <v>0</v>
      </c>
      <c r="AF1405" s="8">
        <v>0</v>
      </c>
      <c r="AN1405" s="8">
        <v>6</v>
      </c>
      <c r="AO1405" s="8">
        <v>0</v>
      </c>
    </row>
    <row r="1406" spans="1:41" x14ac:dyDescent="0.25">
      <c r="A1406" s="6" t="str">
        <f>"522-2025004493"</f>
        <v>522-2025004493</v>
      </c>
      <c r="B1406" s="6" t="str">
        <f t="shared" si="393"/>
        <v>EL CORTE</v>
      </c>
      <c r="C1406" s="7">
        <v>46022</v>
      </c>
      <c r="D1406" s="7">
        <v>46027</v>
      </c>
      <c r="E1406" s="8">
        <v>2</v>
      </c>
      <c r="F1406" s="6" t="str">
        <f>"94724601_07026"</f>
        <v>94724601_07026</v>
      </c>
      <c r="G1406" s="6" t="str">
        <f t="shared" si="394"/>
        <v>F310631650000000</v>
      </c>
      <c r="H1406" s="6" t="str">
        <f t="shared" si="395"/>
        <v>PLAR 6316 FD - 500 g</v>
      </c>
      <c r="I1406" s="6" t="str">
        <f>"202575"</f>
        <v>202575</v>
      </c>
      <c r="J1406" s="6" t="str">
        <f>"BEGE 2575"</f>
        <v>BEGE 2575</v>
      </c>
      <c r="K1406" s="6" t="str">
        <f>"2020"</f>
        <v>2020</v>
      </c>
      <c r="L1406" s="6" t="str">
        <f>"Lençóis"</f>
        <v>Lençóis</v>
      </c>
      <c r="M1406" s="6" t="str">
        <f>"100x150"</f>
        <v>100x150</v>
      </c>
      <c r="N1406" s="6" t="str">
        <f>"5602972281095"</f>
        <v>5602972281095</v>
      </c>
      <c r="O1406" s="8">
        <v>3</v>
      </c>
      <c r="R1406" s="8">
        <v>0</v>
      </c>
      <c r="U1406" s="8">
        <v>0</v>
      </c>
      <c r="X1406" s="8">
        <v>0</v>
      </c>
      <c r="Z1406" s="8">
        <v>0</v>
      </c>
      <c r="AC1406" s="8">
        <v>0</v>
      </c>
      <c r="AF1406" s="8">
        <v>0</v>
      </c>
      <c r="AN1406" s="8">
        <v>3</v>
      </c>
      <c r="AO1406" s="8">
        <v>0</v>
      </c>
    </row>
    <row r="1407" spans="1:41" x14ac:dyDescent="0.25">
      <c r="A1407" s="6" t="str">
        <f>"522-2025004493"</f>
        <v>522-2025004493</v>
      </c>
      <c r="B1407" s="6" t="str">
        <f t="shared" si="393"/>
        <v>EL CORTE</v>
      </c>
      <c r="C1407" s="7">
        <v>46022</v>
      </c>
      <c r="D1407" s="7">
        <v>46027</v>
      </c>
      <c r="E1407" s="8">
        <v>3</v>
      </c>
      <c r="F1407" s="6" t="str">
        <f>"94724601_07026"</f>
        <v>94724601_07026</v>
      </c>
      <c r="G1407" s="6" t="str">
        <f t="shared" si="394"/>
        <v>F310631650000000</v>
      </c>
      <c r="H1407" s="6" t="str">
        <f t="shared" si="395"/>
        <v>PLAR 6316 FD - 500 g</v>
      </c>
      <c r="I1407" s="6" t="str">
        <f>"200901"</f>
        <v>200901</v>
      </c>
      <c r="J1407" s="6" t="str">
        <f>"ROSA 901"</f>
        <v>ROSA 901</v>
      </c>
      <c r="K1407" s="6" t="str">
        <f>"2020"</f>
        <v>2020</v>
      </c>
      <c r="L1407" s="6" t="str">
        <f>"Lençóis"</f>
        <v>Lençóis</v>
      </c>
      <c r="M1407" s="6" t="str">
        <f>"100x150"</f>
        <v>100x150</v>
      </c>
      <c r="N1407" s="6" t="str">
        <f>"5602972281125"</f>
        <v>5602972281125</v>
      </c>
      <c r="O1407" s="8">
        <v>3</v>
      </c>
      <c r="R1407" s="8">
        <v>0</v>
      </c>
      <c r="U1407" s="8">
        <v>0</v>
      </c>
      <c r="X1407" s="8">
        <v>0</v>
      </c>
      <c r="Z1407" s="8">
        <v>0</v>
      </c>
      <c r="AC1407" s="8">
        <v>0</v>
      </c>
      <c r="AF1407" s="8">
        <v>0</v>
      </c>
      <c r="AN1407" s="8">
        <v>3</v>
      </c>
      <c r="AO1407" s="8">
        <v>0</v>
      </c>
    </row>
    <row r="1408" spans="1:41" x14ac:dyDescent="0.25">
      <c r="A1408" s="6" t="str">
        <f>"522-2025004494"</f>
        <v>522-2025004494</v>
      </c>
      <c r="B1408" s="6" t="str">
        <f t="shared" si="393"/>
        <v>EL CORTE</v>
      </c>
      <c r="C1408" s="7">
        <v>46022</v>
      </c>
      <c r="D1408" s="7">
        <v>46027</v>
      </c>
      <c r="E1408" s="8">
        <v>1</v>
      </c>
      <c r="F1408" s="6" t="str">
        <f>"94727201_07026"</f>
        <v>94727201_07026</v>
      </c>
      <c r="G1408" s="6" t="str">
        <f t="shared" si="394"/>
        <v>F310631650000000</v>
      </c>
      <c r="H1408" s="6" t="str">
        <f t="shared" si="395"/>
        <v>PLAR 6316 FD - 500 g</v>
      </c>
      <c r="I1408" s="6" t="str">
        <f>"201855"</f>
        <v>201855</v>
      </c>
      <c r="J1408" s="6" t="str">
        <f>"AZUL 1855"</f>
        <v>AZUL 1855</v>
      </c>
      <c r="K1408" s="6" t="str">
        <f>"1024"</f>
        <v>1024</v>
      </c>
      <c r="L1408" s="6" t="str">
        <f>"Toalhas"</f>
        <v>Toalhas</v>
      </c>
      <c r="M1408" s="6" t="str">
        <f>"50x100"</f>
        <v>50x100</v>
      </c>
      <c r="N1408" s="6" t="str">
        <f>"5602972281057"</f>
        <v>5602972281057</v>
      </c>
      <c r="O1408" s="8">
        <v>6</v>
      </c>
      <c r="R1408" s="8">
        <v>0</v>
      </c>
      <c r="U1408" s="8">
        <v>0</v>
      </c>
      <c r="X1408" s="8">
        <v>0</v>
      </c>
      <c r="Z1408" s="8">
        <v>0</v>
      </c>
      <c r="AC1408" s="8">
        <v>0</v>
      </c>
      <c r="AF1408" s="8">
        <v>0</v>
      </c>
      <c r="AN1408" s="8">
        <v>6</v>
      </c>
      <c r="AO1408" s="8">
        <v>0</v>
      </c>
    </row>
    <row r="1409" spans="1:41" x14ac:dyDescent="0.25">
      <c r="A1409" s="6" t="str">
        <f>"522-2025004494"</f>
        <v>522-2025004494</v>
      </c>
      <c r="B1409" s="6" t="str">
        <f t="shared" si="393"/>
        <v>EL CORTE</v>
      </c>
      <c r="C1409" s="7">
        <v>46022</v>
      </c>
      <c r="D1409" s="7">
        <v>46027</v>
      </c>
      <c r="E1409" s="8">
        <v>2</v>
      </c>
      <c r="F1409" s="6" t="str">
        <f>"94727201_07026"</f>
        <v>94727201_07026</v>
      </c>
      <c r="G1409" s="6" t="str">
        <f t="shared" si="394"/>
        <v>F310631650000000</v>
      </c>
      <c r="H1409" s="6" t="str">
        <f t="shared" si="395"/>
        <v>PLAR 6316 FD - 500 g</v>
      </c>
      <c r="I1409" s="6" t="str">
        <f>"201855"</f>
        <v>201855</v>
      </c>
      <c r="J1409" s="6" t="str">
        <f>"AZUL 1855"</f>
        <v>AZUL 1855</v>
      </c>
      <c r="K1409" s="6" t="str">
        <f>"2020"</f>
        <v>2020</v>
      </c>
      <c r="L1409" s="6" t="str">
        <f>"Lençóis"</f>
        <v>Lençóis</v>
      </c>
      <c r="M1409" s="6" t="str">
        <f>"100x150"</f>
        <v>100x150</v>
      </c>
      <c r="N1409" s="6" t="str">
        <f>"5602972281064"</f>
        <v>5602972281064</v>
      </c>
      <c r="O1409" s="8">
        <v>3</v>
      </c>
      <c r="R1409" s="8">
        <v>0</v>
      </c>
      <c r="U1409" s="8">
        <v>0</v>
      </c>
      <c r="X1409" s="8">
        <v>0</v>
      </c>
      <c r="Z1409" s="8">
        <v>0</v>
      </c>
      <c r="AC1409" s="8">
        <v>0</v>
      </c>
      <c r="AF1409" s="8">
        <v>0</v>
      </c>
      <c r="AN1409" s="8">
        <v>3</v>
      </c>
      <c r="AO1409" s="8">
        <v>0</v>
      </c>
    </row>
    <row r="1410" spans="1:41" x14ac:dyDescent="0.25">
      <c r="A1410" s="6" t="str">
        <f>"522-2025004494"</f>
        <v>522-2025004494</v>
      </c>
      <c r="B1410" s="6" t="str">
        <f t="shared" si="393"/>
        <v>EL CORTE</v>
      </c>
      <c r="C1410" s="7">
        <v>46022</v>
      </c>
      <c r="D1410" s="7">
        <v>46027</v>
      </c>
      <c r="E1410" s="8">
        <v>3</v>
      </c>
      <c r="F1410" s="6" t="str">
        <f>"94727201_07026"</f>
        <v>94727201_07026</v>
      </c>
      <c r="G1410" s="6" t="str">
        <f t="shared" si="394"/>
        <v>F310631650000000</v>
      </c>
      <c r="H1410" s="6" t="str">
        <f t="shared" si="395"/>
        <v>PLAR 6316 FD - 500 g</v>
      </c>
      <c r="I1410" s="6" t="str">
        <f>"202575"</f>
        <v>202575</v>
      </c>
      <c r="J1410" s="6" t="str">
        <f>"BEGE 2575"</f>
        <v>BEGE 2575</v>
      </c>
      <c r="K1410" s="6" t="str">
        <f>"1024"</f>
        <v>1024</v>
      </c>
      <c r="L1410" s="6" t="str">
        <f>"Toalhas"</f>
        <v>Toalhas</v>
      </c>
      <c r="M1410" s="6" t="str">
        <f>"50x100"</f>
        <v>50x100</v>
      </c>
      <c r="N1410" s="6" t="str">
        <f>"5602972281088"</f>
        <v>5602972281088</v>
      </c>
      <c r="O1410" s="8">
        <v>6</v>
      </c>
      <c r="R1410" s="8">
        <v>0</v>
      </c>
      <c r="U1410" s="8">
        <v>0</v>
      </c>
      <c r="X1410" s="8">
        <v>0</v>
      </c>
      <c r="Z1410" s="8">
        <v>0</v>
      </c>
      <c r="AC1410" s="8">
        <v>0</v>
      </c>
      <c r="AF1410" s="8">
        <v>0</v>
      </c>
      <c r="AN1410" s="8">
        <v>6</v>
      </c>
      <c r="AO1410" s="8">
        <v>0</v>
      </c>
    </row>
    <row r="1411" spans="1:41" x14ac:dyDescent="0.25">
      <c r="A1411" s="6" t="str">
        <f>"522-2025004494"</f>
        <v>522-2025004494</v>
      </c>
      <c r="B1411" s="6" t="str">
        <f t="shared" si="393"/>
        <v>EL CORTE</v>
      </c>
      <c r="C1411" s="7">
        <v>46022</v>
      </c>
      <c r="D1411" s="7">
        <v>46027</v>
      </c>
      <c r="E1411" s="8">
        <v>4</v>
      </c>
      <c r="F1411" s="6" t="str">
        <f>"94727201_07026"</f>
        <v>94727201_07026</v>
      </c>
      <c r="G1411" s="6" t="str">
        <f t="shared" si="394"/>
        <v>F310631650000000</v>
      </c>
      <c r="H1411" s="6" t="str">
        <f t="shared" si="395"/>
        <v>PLAR 6316 FD - 500 g</v>
      </c>
      <c r="I1411" s="6" t="str">
        <f>"200901"</f>
        <v>200901</v>
      </c>
      <c r="J1411" s="6" t="str">
        <f>"ROSA 901"</f>
        <v>ROSA 901</v>
      </c>
      <c r="K1411" s="6" t="str">
        <f>"1024"</f>
        <v>1024</v>
      </c>
      <c r="L1411" s="6" t="str">
        <f>"Toalhas"</f>
        <v>Toalhas</v>
      </c>
      <c r="M1411" s="6" t="str">
        <f>"50x100"</f>
        <v>50x100</v>
      </c>
      <c r="N1411" s="6" t="str">
        <f>"5602972281118"</f>
        <v>5602972281118</v>
      </c>
      <c r="O1411" s="8">
        <v>6</v>
      </c>
      <c r="R1411" s="8">
        <v>0</v>
      </c>
      <c r="U1411" s="8">
        <v>0</v>
      </c>
      <c r="X1411" s="8">
        <v>0</v>
      </c>
      <c r="Z1411" s="8">
        <v>0</v>
      </c>
      <c r="AC1411" s="8">
        <v>0</v>
      </c>
      <c r="AF1411" s="8">
        <v>0</v>
      </c>
      <c r="AN1411" s="8">
        <v>6</v>
      </c>
      <c r="AO1411" s="8">
        <v>0</v>
      </c>
    </row>
    <row r="1412" spans="1:41" x14ac:dyDescent="0.25">
      <c r="A1412" s="6" t="str">
        <f>"522-2025004494"</f>
        <v>522-2025004494</v>
      </c>
      <c r="B1412" s="6" t="str">
        <f t="shared" si="393"/>
        <v>EL CORTE</v>
      </c>
      <c r="C1412" s="7">
        <v>46022</v>
      </c>
      <c r="D1412" s="7">
        <v>46027</v>
      </c>
      <c r="E1412" s="8">
        <v>5</v>
      </c>
      <c r="F1412" s="6" t="str">
        <f>"94727201_07026"</f>
        <v>94727201_07026</v>
      </c>
      <c r="G1412" s="6" t="str">
        <f t="shared" si="394"/>
        <v>F310631650000000</v>
      </c>
      <c r="H1412" s="6" t="str">
        <f t="shared" si="395"/>
        <v>PLAR 6316 FD - 500 g</v>
      </c>
      <c r="I1412" s="6" t="str">
        <f>"200510"</f>
        <v>200510</v>
      </c>
      <c r="J1412" s="6" t="str">
        <f>"VERDE 510"</f>
        <v>VERDE 510</v>
      </c>
      <c r="K1412" s="6" t="str">
        <f>"1024"</f>
        <v>1024</v>
      </c>
      <c r="L1412" s="6" t="str">
        <f>"Toalhas"</f>
        <v>Toalhas</v>
      </c>
      <c r="M1412" s="6" t="str">
        <f>"50x100"</f>
        <v>50x100</v>
      </c>
      <c r="N1412" s="6" t="str">
        <f>"5602972281149"</f>
        <v>5602972281149</v>
      </c>
      <c r="O1412" s="8">
        <v>6</v>
      </c>
      <c r="R1412" s="8">
        <v>0</v>
      </c>
      <c r="U1412" s="8">
        <v>0</v>
      </c>
      <c r="X1412" s="8">
        <v>0</v>
      </c>
      <c r="Z1412" s="8">
        <v>0</v>
      </c>
      <c r="AC1412" s="8">
        <v>0</v>
      </c>
      <c r="AF1412" s="8">
        <v>0</v>
      </c>
      <c r="AN1412" s="8">
        <v>6</v>
      </c>
      <c r="AO1412" s="8">
        <v>0</v>
      </c>
    </row>
    <row r="1413" spans="1:41" x14ac:dyDescent="0.25">
      <c r="A1413" s="6" t="str">
        <f t="shared" ref="A1413:A1424" si="400">"522-2025004495"</f>
        <v>522-2025004495</v>
      </c>
      <c r="B1413" s="6" t="str">
        <f t="shared" si="393"/>
        <v>EL CORTE</v>
      </c>
      <c r="C1413" s="7">
        <v>46022</v>
      </c>
      <c r="D1413" s="7">
        <v>46027</v>
      </c>
      <c r="E1413" s="8">
        <v>1</v>
      </c>
      <c r="F1413" s="6" t="str">
        <f t="shared" ref="F1413:F1424" si="401">"94725801_07026"</f>
        <v>94725801_07026</v>
      </c>
      <c r="G1413" s="6" t="str">
        <f t="shared" si="394"/>
        <v>F310631650000000</v>
      </c>
      <c r="H1413" s="6" t="str">
        <f t="shared" si="395"/>
        <v>PLAR 6316 FD - 500 g</v>
      </c>
      <c r="I1413" s="6" t="str">
        <f>"201855"</f>
        <v>201855</v>
      </c>
      <c r="J1413" s="6" t="str">
        <f>"AZUL 1855"</f>
        <v>AZUL 1855</v>
      </c>
      <c r="K1413" s="6" t="str">
        <f>"0520"</f>
        <v>0520</v>
      </c>
      <c r="L1413" s="6" t="str">
        <f>"Toalhetes"</f>
        <v>Toalhetes</v>
      </c>
      <c r="M1413" s="6" t="str">
        <f>"30x50"</f>
        <v>30x50</v>
      </c>
      <c r="N1413" s="6" t="str">
        <f>"5602972281040"</f>
        <v>5602972281040</v>
      </c>
      <c r="O1413" s="8">
        <v>6</v>
      </c>
      <c r="R1413" s="8">
        <v>0</v>
      </c>
      <c r="U1413" s="8">
        <v>0</v>
      </c>
      <c r="X1413" s="8">
        <v>0</v>
      </c>
      <c r="Z1413" s="8">
        <v>0</v>
      </c>
      <c r="AC1413" s="8">
        <v>0</v>
      </c>
      <c r="AF1413" s="8">
        <v>0</v>
      </c>
      <c r="AN1413" s="8">
        <v>6</v>
      </c>
      <c r="AO1413" s="8">
        <v>0</v>
      </c>
    </row>
    <row r="1414" spans="1:41" x14ac:dyDescent="0.25">
      <c r="A1414" s="6" t="str">
        <f t="shared" si="400"/>
        <v>522-2025004495</v>
      </c>
      <c r="B1414" s="6" t="str">
        <f t="shared" si="393"/>
        <v>EL CORTE</v>
      </c>
      <c r="C1414" s="7">
        <v>46022</v>
      </c>
      <c r="D1414" s="7">
        <v>46027</v>
      </c>
      <c r="E1414" s="8">
        <v>2</v>
      </c>
      <c r="F1414" s="6" t="str">
        <f t="shared" si="401"/>
        <v>94725801_07026</v>
      </c>
      <c r="G1414" s="6" t="str">
        <f t="shared" si="394"/>
        <v>F310631650000000</v>
      </c>
      <c r="H1414" s="6" t="str">
        <f t="shared" si="395"/>
        <v>PLAR 6316 FD - 500 g</v>
      </c>
      <c r="I1414" s="6" t="str">
        <f>"201855"</f>
        <v>201855</v>
      </c>
      <c r="J1414" s="6" t="str">
        <f>"AZUL 1855"</f>
        <v>AZUL 1855</v>
      </c>
      <c r="K1414" s="6" t="str">
        <f>"1024"</f>
        <v>1024</v>
      </c>
      <c r="L1414" s="6" t="str">
        <f>"Toalhas"</f>
        <v>Toalhas</v>
      </c>
      <c r="M1414" s="6" t="str">
        <f>"50x100"</f>
        <v>50x100</v>
      </c>
      <c r="N1414" s="6" t="str">
        <f>"5602972281057"</f>
        <v>5602972281057</v>
      </c>
      <c r="O1414" s="8">
        <v>6</v>
      </c>
      <c r="R1414" s="8">
        <v>0</v>
      </c>
      <c r="U1414" s="8">
        <v>0</v>
      </c>
      <c r="X1414" s="8">
        <v>0</v>
      </c>
      <c r="Z1414" s="8">
        <v>0</v>
      </c>
      <c r="AC1414" s="8">
        <v>0</v>
      </c>
      <c r="AF1414" s="8">
        <v>0</v>
      </c>
      <c r="AN1414" s="8">
        <v>6</v>
      </c>
      <c r="AO1414" s="8">
        <v>0</v>
      </c>
    </row>
    <row r="1415" spans="1:41" x14ac:dyDescent="0.25">
      <c r="A1415" s="6" t="str">
        <f t="shared" si="400"/>
        <v>522-2025004495</v>
      </c>
      <c r="B1415" s="6" t="str">
        <f t="shared" ref="B1415:B1478" si="402">"EL CORTE"</f>
        <v>EL CORTE</v>
      </c>
      <c r="C1415" s="7">
        <v>46022</v>
      </c>
      <c r="D1415" s="7">
        <v>46027</v>
      </c>
      <c r="E1415" s="8">
        <v>3</v>
      </c>
      <c r="F1415" s="6" t="str">
        <f t="shared" si="401"/>
        <v>94725801_07026</v>
      </c>
      <c r="G1415" s="6" t="str">
        <f t="shared" ref="G1415:G1478" si="403">"F310631650000000"</f>
        <v>F310631650000000</v>
      </c>
      <c r="H1415" s="6" t="str">
        <f t="shared" ref="H1415:H1478" si="404">"PLAR 6316 FD - 500 g"</f>
        <v>PLAR 6316 FD - 500 g</v>
      </c>
      <c r="I1415" s="6" t="str">
        <f>"201855"</f>
        <v>201855</v>
      </c>
      <c r="J1415" s="6" t="str">
        <f>"AZUL 1855"</f>
        <v>AZUL 1855</v>
      </c>
      <c r="K1415" s="6" t="str">
        <f>"2020"</f>
        <v>2020</v>
      </c>
      <c r="L1415" s="6" t="str">
        <f>"Lençóis"</f>
        <v>Lençóis</v>
      </c>
      <c r="M1415" s="6" t="str">
        <f>"100x150"</f>
        <v>100x150</v>
      </c>
      <c r="N1415" s="6" t="str">
        <f>"5602972281064"</f>
        <v>5602972281064</v>
      </c>
      <c r="O1415" s="8">
        <v>9</v>
      </c>
      <c r="R1415" s="8">
        <v>0</v>
      </c>
      <c r="U1415" s="8">
        <v>0</v>
      </c>
      <c r="X1415" s="8">
        <v>0</v>
      </c>
      <c r="Z1415" s="8">
        <v>0</v>
      </c>
      <c r="AC1415" s="8">
        <v>0</v>
      </c>
      <c r="AF1415" s="8">
        <v>0</v>
      </c>
      <c r="AN1415" s="8">
        <v>0</v>
      </c>
      <c r="AO1415" s="8">
        <v>9</v>
      </c>
    </row>
    <row r="1416" spans="1:41" x14ac:dyDescent="0.25">
      <c r="A1416" s="6" t="str">
        <f t="shared" si="400"/>
        <v>522-2025004495</v>
      </c>
      <c r="B1416" s="6" t="str">
        <f t="shared" si="402"/>
        <v>EL CORTE</v>
      </c>
      <c r="C1416" s="7">
        <v>46022</v>
      </c>
      <c r="D1416" s="7">
        <v>46027</v>
      </c>
      <c r="E1416" s="8">
        <v>4</v>
      </c>
      <c r="F1416" s="6" t="str">
        <f t="shared" si="401"/>
        <v>94725801_07026</v>
      </c>
      <c r="G1416" s="6" t="str">
        <f t="shared" si="403"/>
        <v>F310631650000000</v>
      </c>
      <c r="H1416" s="6" t="str">
        <f t="shared" si="404"/>
        <v>PLAR 6316 FD - 500 g</v>
      </c>
      <c r="I1416" s="6" t="str">
        <f>"202575"</f>
        <v>202575</v>
      </c>
      <c r="J1416" s="6" t="str">
        <f>"BEGE 2575"</f>
        <v>BEGE 2575</v>
      </c>
      <c r="K1416" s="6" t="str">
        <f>"0520"</f>
        <v>0520</v>
      </c>
      <c r="L1416" s="6" t="str">
        <f>"Toalhetes"</f>
        <v>Toalhetes</v>
      </c>
      <c r="M1416" s="6" t="str">
        <f>"30x50"</f>
        <v>30x50</v>
      </c>
      <c r="N1416" s="6" t="str">
        <f>"5602972281071"</f>
        <v>5602972281071</v>
      </c>
      <c r="O1416" s="8">
        <v>6</v>
      </c>
      <c r="R1416" s="8">
        <v>0</v>
      </c>
      <c r="U1416" s="8">
        <v>0</v>
      </c>
      <c r="X1416" s="8">
        <v>0</v>
      </c>
      <c r="Z1416" s="8">
        <v>0</v>
      </c>
      <c r="AC1416" s="8">
        <v>0</v>
      </c>
      <c r="AF1416" s="8">
        <v>0</v>
      </c>
      <c r="AN1416" s="8">
        <v>6</v>
      </c>
      <c r="AO1416" s="8">
        <v>0</v>
      </c>
    </row>
    <row r="1417" spans="1:41" x14ac:dyDescent="0.25">
      <c r="A1417" s="6" t="str">
        <f t="shared" si="400"/>
        <v>522-2025004495</v>
      </c>
      <c r="B1417" s="6" t="str">
        <f t="shared" si="402"/>
        <v>EL CORTE</v>
      </c>
      <c r="C1417" s="7">
        <v>46022</v>
      </c>
      <c r="D1417" s="7">
        <v>46027</v>
      </c>
      <c r="E1417" s="8">
        <v>5</v>
      </c>
      <c r="F1417" s="6" t="str">
        <f t="shared" si="401"/>
        <v>94725801_07026</v>
      </c>
      <c r="G1417" s="6" t="str">
        <f t="shared" si="403"/>
        <v>F310631650000000</v>
      </c>
      <c r="H1417" s="6" t="str">
        <f t="shared" si="404"/>
        <v>PLAR 6316 FD - 500 g</v>
      </c>
      <c r="I1417" s="6" t="str">
        <f>"202575"</f>
        <v>202575</v>
      </c>
      <c r="J1417" s="6" t="str">
        <f>"BEGE 2575"</f>
        <v>BEGE 2575</v>
      </c>
      <c r="K1417" s="6" t="str">
        <f>"1024"</f>
        <v>1024</v>
      </c>
      <c r="L1417" s="6" t="str">
        <f>"Toalhas"</f>
        <v>Toalhas</v>
      </c>
      <c r="M1417" s="6" t="str">
        <f>"50x100"</f>
        <v>50x100</v>
      </c>
      <c r="N1417" s="6" t="str">
        <f>"5602972281088"</f>
        <v>5602972281088</v>
      </c>
      <c r="O1417" s="8">
        <v>12</v>
      </c>
      <c r="R1417" s="8">
        <v>0</v>
      </c>
      <c r="U1417" s="8">
        <v>0</v>
      </c>
      <c r="X1417" s="8">
        <v>0</v>
      </c>
      <c r="Z1417" s="8">
        <v>0</v>
      </c>
      <c r="AC1417" s="8">
        <v>0</v>
      </c>
      <c r="AF1417" s="8">
        <v>0</v>
      </c>
      <c r="AN1417" s="8">
        <v>12</v>
      </c>
      <c r="AO1417" s="8">
        <v>0</v>
      </c>
    </row>
    <row r="1418" spans="1:41" x14ac:dyDescent="0.25">
      <c r="A1418" s="6" t="str">
        <f t="shared" si="400"/>
        <v>522-2025004495</v>
      </c>
      <c r="B1418" s="6" t="str">
        <f t="shared" si="402"/>
        <v>EL CORTE</v>
      </c>
      <c r="C1418" s="7">
        <v>46022</v>
      </c>
      <c r="D1418" s="7">
        <v>46027</v>
      </c>
      <c r="E1418" s="8">
        <v>6</v>
      </c>
      <c r="F1418" s="6" t="str">
        <f t="shared" si="401"/>
        <v>94725801_07026</v>
      </c>
      <c r="G1418" s="6" t="str">
        <f t="shared" si="403"/>
        <v>F310631650000000</v>
      </c>
      <c r="H1418" s="6" t="str">
        <f t="shared" si="404"/>
        <v>PLAR 6316 FD - 500 g</v>
      </c>
      <c r="I1418" s="6" t="str">
        <f>"202575"</f>
        <v>202575</v>
      </c>
      <c r="J1418" s="6" t="str">
        <f>"BEGE 2575"</f>
        <v>BEGE 2575</v>
      </c>
      <c r="K1418" s="6" t="str">
        <f>"2020"</f>
        <v>2020</v>
      </c>
      <c r="L1418" s="6" t="str">
        <f>"Lençóis"</f>
        <v>Lençóis</v>
      </c>
      <c r="M1418" s="6" t="str">
        <f>"100x150"</f>
        <v>100x150</v>
      </c>
      <c r="N1418" s="6" t="str">
        <f>"5602972281095"</f>
        <v>5602972281095</v>
      </c>
      <c r="O1418" s="8">
        <v>9</v>
      </c>
      <c r="R1418" s="8">
        <v>0</v>
      </c>
      <c r="U1418" s="8">
        <v>0</v>
      </c>
      <c r="X1418" s="8">
        <v>0</v>
      </c>
      <c r="Z1418" s="8">
        <v>0</v>
      </c>
      <c r="AC1418" s="8">
        <v>0</v>
      </c>
      <c r="AF1418" s="8">
        <v>0</v>
      </c>
      <c r="AN1418" s="8">
        <v>9</v>
      </c>
      <c r="AO1418" s="8">
        <v>0</v>
      </c>
    </row>
    <row r="1419" spans="1:41" x14ac:dyDescent="0.25">
      <c r="A1419" s="6" t="str">
        <f t="shared" si="400"/>
        <v>522-2025004495</v>
      </c>
      <c r="B1419" s="6" t="str">
        <f t="shared" si="402"/>
        <v>EL CORTE</v>
      </c>
      <c r="C1419" s="7">
        <v>46022</v>
      </c>
      <c r="D1419" s="7">
        <v>46027</v>
      </c>
      <c r="E1419" s="8">
        <v>7</v>
      </c>
      <c r="F1419" s="6" t="str">
        <f t="shared" si="401"/>
        <v>94725801_07026</v>
      </c>
      <c r="G1419" s="6" t="str">
        <f t="shared" si="403"/>
        <v>F310631650000000</v>
      </c>
      <c r="H1419" s="6" t="str">
        <f t="shared" si="404"/>
        <v>PLAR 6316 FD - 500 g</v>
      </c>
      <c r="I1419" s="6" t="str">
        <f>"200901"</f>
        <v>200901</v>
      </c>
      <c r="J1419" s="6" t="str">
        <f>"ROSA 901"</f>
        <v>ROSA 901</v>
      </c>
      <c r="K1419" s="6" t="str">
        <f>"0520"</f>
        <v>0520</v>
      </c>
      <c r="L1419" s="6" t="str">
        <f>"Toalhetes"</f>
        <v>Toalhetes</v>
      </c>
      <c r="M1419" s="6" t="str">
        <f>"30x50"</f>
        <v>30x50</v>
      </c>
      <c r="N1419" s="6" t="str">
        <f>"5602972281101"</f>
        <v>5602972281101</v>
      </c>
      <c r="O1419" s="8">
        <v>6</v>
      </c>
      <c r="R1419" s="8">
        <v>0</v>
      </c>
      <c r="U1419" s="8">
        <v>0</v>
      </c>
      <c r="X1419" s="8">
        <v>0</v>
      </c>
      <c r="Z1419" s="8">
        <v>0</v>
      </c>
      <c r="AC1419" s="8">
        <v>0</v>
      </c>
      <c r="AF1419" s="8">
        <v>0</v>
      </c>
      <c r="AN1419" s="8">
        <v>6</v>
      </c>
      <c r="AO1419" s="8">
        <v>0</v>
      </c>
    </row>
    <row r="1420" spans="1:41" x14ac:dyDescent="0.25">
      <c r="A1420" s="6" t="str">
        <f t="shared" si="400"/>
        <v>522-2025004495</v>
      </c>
      <c r="B1420" s="6" t="str">
        <f t="shared" si="402"/>
        <v>EL CORTE</v>
      </c>
      <c r="C1420" s="7">
        <v>46022</v>
      </c>
      <c r="D1420" s="7">
        <v>46027</v>
      </c>
      <c r="E1420" s="8">
        <v>8</v>
      </c>
      <c r="F1420" s="6" t="str">
        <f t="shared" si="401"/>
        <v>94725801_07026</v>
      </c>
      <c r="G1420" s="6" t="str">
        <f t="shared" si="403"/>
        <v>F310631650000000</v>
      </c>
      <c r="H1420" s="6" t="str">
        <f t="shared" si="404"/>
        <v>PLAR 6316 FD - 500 g</v>
      </c>
      <c r="I1420" s="6" t="str">
        <f>"200901"</f>
        <v>200901</v>
      </c>
      <c r="J1420" s="6" t="str">
        <f>"ROSA 901"</f>
        <v>ROSA 901</v>
      </c>
      <c r="K1420" s="6" t="str">
        <f>"1024"</f>
        <v>1024</v>
      </c>
      <c r="L1420" s="6" t="str">
        <f>"Toalhas"</f>
        <v>Toalhas</v>
      </c>
      <c r="M1420" s="6" t="str">
        <f>"50x100"</f>
        <v>50x100</v>
      </c>
      <c r="N1420" s="6" t="str">
        <f>"5602972281118"</f>
        <v>5602972281118</v>
      </c>
      <c r="O1420" s="8">
        <v>6</v>
      </c>
      <c r="R1420" s="8">
        <v>0</v>
      </c>
      <c r="U1420" s="8">
        <v>0</v>
      </c>
      <c r="X1420" s="8">
        <v>0</v>
      </c>
      <c r="Z1420" s="8">
        <v>0</v>
      </c>
      <c r="AC1420" s="8">
        <v>0</v>
      </c>
      <c r="AF1420" s="8">
        <v>0</v>
      </c>
      <c r="AN1420" s="8">
        <v>6</v>
      </c>
      <c r="AO1420" s="8">
        <v>0</v>
      </c>
    </row>
    <row r="1421" spans="1:41" x14ac:dyDescent="0.25">
      <c r="A1421" s="6" t="str">
        <f t="shared" si="400"/>
        <v>522-2025004495</v>
      </c>
      <c r="B1421" s="6" t="str">
        <f t="shared" si="402"/>
        <v>EL CORTE</v>
      </c>
      <c r="C1421" s="7">
        <v>46022</v>
      </c>
      <c r="D1421" s="7">
        <v>46027</v>
      </c>
      <c r="E1421" s="8">
        <v>9</v>
      </c>
      <c r="F1421" s="6" t="str">
        <f t="shared" si="401"/>
        <v>94725801_07026</v>
      </c>
      <c r="G1421" s="6" t="str">
        <f t="shared" si="403"/>
        <v>F310631650000000</v>
      </c>
      <c r="H1421" s="6" t="str">
        <f t="shared" si="404"/>
        <v>PLAR 6316 FD - 500 g</v>
      </c>
      <c r="I1421" s="6" t="str">
        <f>"200901"</f>
        <v>200901</v>
      </c>
      <c r="J1421" s="6" t="str">
        <f>"ROSA 901"</f>
        <v>ROSA 901</v>
      </c>
      <c r="K1421" s="6" t="str">
        <f>"2020"</f>
        <v>2020</v>
      </c>
      <c r="L1421" s="6" t="str">
        <f>"Lençóis"</f>
        <v>Lençóis</v>
      </c>
      <c r="M1421" s="6" t="str">
        <f>"100x150"</f>
        <v>100x150</v>
      </c>
      <c r="N1421" s="6" t="str">
        <f>"5602972281125"</f>
        <v>5602972281125</v>
      </c>
      <c r="O1421" s="8">
        <v>6</v>
      </c>
      <c r="R1421" s="8">
        <v>0</v>
      </c>
      <c r="U1421" s="8">
        <v>0</v>
      </c>
      <c r="X1421" s="8">
        <v>0</v>
      </c>
      <c r="Z1421" s="8">
        <v>0</v>
      </c>
      <c r="AC1421" s="8">
        <v>0</v>
      </c>
      <c r="AF1421" s="8">
        <v>0</v>
      </c>
      <c r="AN1421" s="8">
        <v>6</v>
      </c>
      <c r="AO1421" s="8">
        <v>0</v>
      </c>
    </row>
    <row r="1422" spans="1:41" x14ac:dyDescent="0.25">
      <c r="A1422" s="6" t="str">
        <f t="shared" si="400"/>
        <v>522-2025004495</v>
      </c>
      <c r="B1422" s="6" t="str">
        <f t="shared" si="402"/>
        <v>EL CORTE</v>
      </c>
      <c r="C1422" s="7">
        <v>46022</v>
      </c>
      <c r="D1422" s="7">
        <v>46027</v>
      </c>
      <c r="E1422" s="8">
        <v>10</v>
      </c>
      <c r="F1422" s="6" t="str">
        <f t="shared" si="401"/>
        <v>94725801_07026</v>
      </c>
      <c r="G1422" s="6" t="str">
        <f t="shared" si="403"/>
        <v>F310631650000000</v>
      </c>
      <c r="H1422" s="6" t="str">
        <f t="shared" si="404"/>
        <v>PLAR 6316 FD - 500 g</v>
      </c>
      <c r="I1422" s="6" t="str">
        <f>"200510"</f>
        <v>200510</v>
      </c>
      <c r="J1422" s="6" t="str">
        <f>"VERDE 510"</f>
        <v>VERDE 510</v>
      </c>
      <c r="K1422" s="6" t="str">
        <f>"0520"</f>
        <v>0520</v>
      </c>
      <c r="L1422" s="6" t="str">
        <f>"Toalhetes"</f>
        <v>Toalhetes</v>
      </c>
      <c r="M1422" s="6" t="str">
        <f>"30x50"</f>
        <v>30x50</v>
      </c>
      <c r="N1422" s="6" t="str">
        <f>"5602972281132"</f>
        <v>5602972281132</v>
      </c>
      <c r="O1422" s="8">
        <v>6</v>
      </c>
      <c r="R1422" s="8">
        <v>0</v>
      </c>
      <c r="U1422" s="8">
        <v>0</v>
      </c>
      <c r="X1422" s="8">
        <v>0</v>
      </c>
      <c r="Z1422" s="8">
        <v>0</v>
      </c>
      <c r="AC1422" s="8">
        <v>0</v>
      </c>
      <c r="AF1422" s="8">
        <v>0</v>
      </c>
      <c r="AN1422" s="8">
        <v>6</v>
      </c>
      <c r="AO1422" s="8">
        <v>0</v>
      </c>
    </row>
    <row r="1423" spans="1:41" x14ac:dyDescent="0.25">
      <c r="A1423" s="6" t="str">
        <f t="shared" si="400"/>
        <v>522-2025004495</v>
      </c>
      <c r="B1423" s="6" t="str">
        <f t="shared" si="402"/>
        <v>EL CORTE</v>
      </c>
      <c r="C1423" s="7">
        <v>46022</v>
      </c>
      <c r="D1423" s="7">
        <v>46027</v>
      </c>
      <c r="E1423" s="8">
        <v>11</v>
      </c>
      <c r="F1423" s="6" t="str">
        <f t="shared" si="401"/>
        <v>94725801_07026</v>
      </c>
      <c r="G1423" s="6" t="str">
        <f t="shared" si="403"/>
        <v>F310631650000000</v>
      </c>
      <c r="H1423" s="6" t="str">
        <f t="shared" si="404"/>
        <v>PLAR 6316 FD - 500 g</v>
      </c>
      <c r="I1423" s="6" t="str">
        <f>"200510"</f>
        <v>200510</v>
      </c>
      <c r="J1423" s="6" t="str">
        <f>"VERDE 510"</f>
        <v>VERDE 510</v>
      </c>
      <c r="K1423" s="6" t="str">
        <f>"1024"</f>
        <v>1024</v>
      </c>
      <c r="L1423" s="6" t="str">
        <f>"Toalhas"</f>
        <v>Toalhas</v>
      </c>
      <c r="M1423" s="6" t="str">
        <f>"50x100"</f>
        <v>50x100</v>
      </c>
      <c r="N1423" s="6" t="str">
        <f>"5602972281149"</f>
        <v>5602972281149</v>
      </c>
      <c r="O1423" s="8">
        <v>6</v>
      </c>
      <c r="R1423" s="8">
        <v>0</v>
      </c>
      <c r="U1423" s="8">
        <v>0</v>
      </c>
      <c r="X1423" s="8">
        <v>0</v>
      </c>
      <c r="Z1423" s="8">
        <v>0</v>
      </c>
      <c r="AC1423" s="8">
        <v>0</v>
      </c>
      <c r="AF1423" s="8">
        <v>0</v>
      </c>
      <c r="AN1423" s="8">
        <v>6</v>
      </c>
      <c r="AO1423" s="8">
        <v>0</v>
      </c>
    </row>
    <row r="1424" spans="1:41" x14ac:dyDescent="0.25">
      <c r="A1424" s="6" t="str">
        <f t="shared" si="400"/>
        <v>522-2025004495</v>
      </c>
      <c r="B1424" s="6" t="str">
        <f t="shared" si="402"/>
        <v>EL CORTE</v>
      </c>
      <c r="C1424" s="7">
        <v>46022</v>
      </c>
      <c r="D1424" s="7">
        <v>46027</v>
      </c>
      <c r="E1424" s="8">
        <v>12</v>
      </c>
      <c r="F1424" s="6" t="str">
        <f t="shared" si="401"/>
        <v>94725801_07026</v>
      </c>
      <c r="G1424" s="6" t="str">
        <f t="shared" si="403"/>
        <v>F310631650000000</v>
      </c>
      <c r="H1424" s="6" t="str">
        <f t="shared" si="404"/>
        <v>PLAR 6316 FD - 500 g</v>
      </c>
      <c r="I1424" s="6" t="str">
        <f>"200510"</f>
        <v>200510</v>
      </c>
      <c r="J1424" s="6" t="str">
        <f>"VERDE 510"</f>
        <v>VERDE 510</v>
      </c>
      <c r="K1424" s="6" t="str">
        <f>"2020"</f>
        <v>2020</v>
      </c>
      <c r="L1424" s="6" t="str">
        <f>"Lençóis"</f>
        <v>Lençóis</v>
      </c>
      <c r="M1424" s="6" t="str">
        <f>"100x150"</f>
        <v>100x150</v>
      </c>
      <c r="N1424" s="6" t="str">
        <f>"5602972281156"</f>
        <v>5602972281156</v>
      </c>
      <c r="O1424" s="8">
        <v>6</v>
      </c>
      <c r="R1424" s="8">
        <v>0</v>
      </c>
      <c r="U1424" s="8">
        <v>0</v>
      </c>
      <c r="X1424" s="8">
        <v>0</v>
      </c>
      <c r="Z1424" s="8">
        <v>0</v>
      </c>
      <c r="AC1424" s="8">
        <v>0</v>
      </c>
      <c r="AF1424" s="8">
        <v>0</v>
      </c>
      <c r="AN1424" s="8">
        <v>6</v>
      </c>
      <c r="AO1424" s="8">
        <v>0</v>
      </c>
    </row>
    <row r="1425" spans="1:41" x14ac:dyDescent="0.25">
      <c r="A1425" s="6" t="str">
        <f t="shared" ref="A1425:A1431" si="405">"522-2025004496"</f>
        <v>522-2025004496</v>
      </c>
      <c r="B1425" s="6" t="str">
        <f t="shared" si="402"/>
        <v>EL CORTE</v>
      </c>
      <c r="C1425" s="7">
        <v>46022</v>
      </c>
      <c r="D1425" s="7">
        <v>46027</v>
      </c>
      <c r="E1425" s="8">
        <v>1</v>
      </c>
      <c r="F1425" s="6" t="str">
        <f t="shared" ref="F1425:F1431" si="406">"94725501_07026"</f>
        <v>94725501_07026</v>
      </c>
      <c r="G1425" s="6" t="str">
        <f t="shared" si="403"/>
        <v>F310631650000000</v>
      </c>
      <c r="H1425" s="6" t="str">
        <f t="shared" si="404"/>
        <v>PLAR 6316 FD - 500 g</v>
      </c>
      <c r="I1425" s="6" t="str">
        <f>"201855"</f>
        <v>201855</v>
      </c>
      <c r="J1425" s="6" t="str">
        <f>"AZUL 1855"</f>
        <v>AZUL 1855</v>
      </c>
      <c r="K1425" s="6" t="str">
        <f>"1024"</f>
        <v>1024</v>
      </c>
      <c r="L1425" s="6" t="str">
        <f>"Toalhas"</f>
        <v>Toalhas</v>
      </c>
      <c r="M1425" s="6" t="str">
        <f>"50x100"</f>
        <v>50x100</v>
      </c>
      <c r="N1425" s="6" t="str">
        <f>"5602972281057"</f>
        <v>5602972281057</v>
      </c>
      <c r="O1425" s="8">
        <v>6</v>
      </c>
      <c r="R1425" s="8">
        <v>0</v>
      </c>
      <c r="U1425" s="8">
        <v>0</v>
      </c>
      <c r="X1425" s="8">
        <v>0</v>
      </c>
      <c r="Z1425" s="8">
        <v>0</v>
      </c>
      <c r="AC1425" s="8">
        <v>0</v>
      </c>
      <c r="AF1425" s="8">
        <v>0</v>
      </c>
      <c r="AN1425" s="8">
        <v>6</v>
      </c>
      <c r="AO1425" s="8">
        <v>0</v>
      </c>
    </row>
    <row r="1426" spans="1:41" x14ac:dyDescent="0.25">
      <c r="A1426" s="6" t="str">
        <f t="shared" si="405"/>
        <v>522-2025004496</v>
      </c>
      <c r="B1426" s="6" t="str">
        <f t="shared" si="402"/>
        <v>EL CORTE</v>
      </c>
      <c r="C1426" s="7">
        <v>46022</v>
      </c>
      <c r="D1426" s="7">
        <v>46027</v>
      </c>
      <c r="E1426" s="8">
        <v>2</v>
      </c>
      <c r="F1426" s="6" t="str">
        <f t="shared" si="406"/>
        <v>94725501_07026</v>
      </c>
      <c r="G1426" s="6" t="str">
        <f t="shared" si="403"/>
        <v>F310631650000000</v>
      </c>
      <c r="H1426" s="6" t="str">
        <f t="shared" si="404"/>
        <v>PLAR 6316 FD - 500 g</v>
      </c>
      <c r="I1426" s="6" t="str">
        <f>"201855"</f>
        <v>201855</v>
      </c>
      <c r="J1426" s="6" t="str">
        <f>"AZUL 1855"</f>
        <v>AZUL 1855</v>
      </c>
      <c r="K1426" s="6" t="str">
        <f>"2020"</f>
        <v>2020</v>
      </c>
      <c r="L1426" s="6" t="str">
        <f>"Lençóis"</f>
        <v>Lençóis</v>
      </c>
      <c r="M1426" s="6" t="str">
        <f>"100x150"</f>
        <v>100x150</v>
      </c>
      <c r="N1426" s="6" t="str">
        <f>"5602972281064"</f>
        <v>5602972281064</v>
      </c>
      <c r="O1426" s="8">
        <v>3</v>
      </c>
      <c r="R1426" s="8">
        <v>0</v>
      </c>
      <c r="U1426" s="8">
        <v>0</v>
      </c>
      <c r="X1426" s="8">
        <v>0</v>
      </c>
      <c r="Z1426" s="8">
        <v>0</v>
      </c>
      <c r="AC1426" s="8">
        <v>0</v>
      </c>
      <c r="AF1426" s="8">
        <v>0</v>
      </c>
      <c r="AN1426" s="8">
        <v>0</v>
      </c>
      <c r="AO1426" s="8">
        <v>3</v>
      </c>
    </row>
    <row r="1427" spans="1:41" x14ac:dyDescent="0.25">
      <c r="A1427" s="6" t="str">
        <f t="shared" si="405"/>
        <v>522-2025004496</v>
      </c>
      <c r="B1427" s="6" t="str">
        <f t="shared" si="402"/>
        <v>EL CORTE</v>
      </c>
      <c r="C1427" s="7">
        <v>46022</v>
      </c>
      <c r="D1427" s="7">
        <v>46027</v>
      </c>
      <c r="E1427" s="8">
        <v>3</v>
      </c>
      <c r="F1427" s="6" t="str">
        <f t="shared" si="406"/>
        <v>94725501_07026</v>
      </c>
      <c r="G1427" s="6" t="str">
        <f t="shared" si="403"/>
        <v>F310631650000000</v>
      </c>
      <c r="H1427" s="6" t="str">
        <f t="shared" si="404"/>
        <v>PLAR 6316 FD - 500 g</v>
      </c>
      <c r="I1427" s="6" t="str">
        <f>"202575"</f>
        <v>202575</v>
      </c>
      <c r="J1427" s="6" t="str">
        <f>"BEGE 2575"</f>
        <v>BEGE 2575</v>
      </c>
      <c r="K1427" s="6" t="str">
        <f>"1024"</f>
        <v>1024</v>
      </c>
      <c r="L1427" s="6" t="str">
        <f>"Toalhas"</f>
        <v>Toalhas</v>
      </c>
      <c r="M1427" s="6" t="str">
        <f>"50x100"</f>
        <v>50x100</v>
      </c>
      <c r="N1427" s="6" t="str">
        <f>"5602972281088"</f>
        <v>5602972281088</v>
      </c>
      <c r="O1427" s="8">
        <v>6</v>
      </c>
      <c r="R1427" s="8">
        <v>0</v>
      </c>
      <c r="U1427" s="8">
        <v>0</v>
      </c>
      <c r="X1427" s="8">
        <v>0</v>
      </c>
      <c r="Z1427" s="8">
        <v>0</v>
      </c>
      <c r="AC1427" s="8">
        <v>0</v>
      </c>
      <c r="AF1427" s="8">
        <v>0</v>
      </c>
      <c r="AN1427" s="8">
        <v>6</v>
      </c>
      <c r="AO1427" s="8">
        <v>0</v>
      </c>
    </row>
    <row r="1428" spans="1:41" x14ac:dyDescent="0.25">
      <c r="A1428" s="6" t="str">
        <f t="shared" si="405"/>
        <v>522-2025004496</v>
      </c>
      <c r="B1428" s="6" t="str">
        <f t="shared" si="402"/>
        <v>EL CORTE</v>
      </c>
      <c r="C1428" s="7">
        <v>46022</v>
      </c>
      <c r="D1428" s="7">
        <v>46027</v>
      </c>
      <c r="E1428" s="8">
        <v>4</v>
      </c>
      <c r="F1428" s="6" t="str">
        <f t="shared" si="406"/>
        <v>94725501_07026</v>
      </c>
      <c r="G1428" s="6" t="str">
        <f t="shared" si="403"/>
        <v>F310631650000000</v>
      </c>
      <c r="H1428" s="6" t="str">
        <f t="shared" si="404"/>
        <v>PLAR 6316 FD - 500 g</v>
      </c>
      <c r="I1428" s="6" t="str">
        <f>"202575"</f>
        <v>202575</v>
      </c>
      <c r="J1428" s="6" t="str">
        <f>"BEGE 2575"</f>
        <v>BEGE 2575</v>
      </c>
      <c r="K1428" s="6" t="str">
        <f>"2020"</f>
        <v>2020</v>
      </c>
      <c r="L1428" s="6" t="str">
        <f>"Lençóis"</f>
        <v>Lençóis</v>
      </c>
      <c r="M1428" s="6" t="str">
        <f>"100x150"</f>
        <v>100x150</v>
      </c>
      <c r="N1428" s="6" t="str">
        <f>"5602972281095"</f>
        <v>5602972281095</v>
      </c>
      <c r="O1428" s="8">
        <v>3</v>
      </c>
      <c r="R1428" s="8">
        <v>0</v>
      </c>
      <c r="U1428" s="8">
        <v>0</v>
      </c>
      <c r="X1428" s="8">
        <v>0</v>
      </c>
      <c r="Z1428" s="8">
        <v>0</v>
      </c>
      <c r="AC1428" s="8">
        <v>0</v>
      </c>
      <c r="AF1428" s="8">
        <v>0</v>
      </c>
      <c r="AN1428" s="8">
        <v>3</v>
      </c>
      <c r="AO1428" s="8">
        <v>0</v>
      </c>
    </row>
    <row r="1429" spans="1:41" x14ac:dyDescent="0.25">
      <c r="A1429" s="6" t="str">
        <f t="shared" si="405"/>
        <v>522-2025004496</v>
      </c>
      <c r="B1429" s="6" t="str">
        <f t="shared" si="402"/>
        <v>EL CORTE</v>
      </c>
      <c r="C1429" s="7">
        <v>46022</v>
      </c>
      <c r="D1429" s="7">
        <v>46027</v>
      </c>
      <c r="E1429" s="8">
        <v>5</v>
      </c>
      <c r="F1429" s="6" t="str">
        <f t="shared" si="406"/>
        <v>94725501_07026</v>
      </c>
      <c r="G1429" s="6" t="str">
        <f t="shared" si="403"/>
        <v>F310631650000000</v>
      </c>
      <c r="H1429" s="6" t="str">
        <f t="shared" si="404"/>
        <v>PLAR 6316 FD - 500 g</v>
      </c>
      <c r="I1429" s="6" t="str">
        <f>"200901"</f>
        <v>200901</v>
      </c>
      <c r="J1429" s="6" t="str">
        <f>"ROSA 901"</f>
        <v>ROSA 901</v>
      </c>
      <c r="K1429" s="6" t="str">
        <f>"1024"</f>
        <v>1024</v>
      </c>
      <c r="L1429" s="6" t="str">
        <f>"Toalhas"</f>
        <v>Toalhas</v>
      </c>
      <c r="M1429" s="6" t="str">
        <f>"50x100"</f>
        <v>50x100</v>
      </c>
      <c r="N1429" s="6" t="str">
        <f>"5602972281118"</f>
        <v>5602972281118</v>
      </c>
      <c r="O1429" s="8">
        <v>6</v>
      </c>
      <c r="R1429" s="8">
        <v>0</v>
      </c>
      <c r="U1429" s="8">
        <v>0</v>
      </c>
      <c r="X1429" s="8">
        <v>0</v>
      </c>
      <c r="Z1429" s="8">
        <v>0</v>
      </c>
      <c r="AC1429" s="8">
        <v>0</v>
      </c>
      <c r="AF1429" s="8">
        <v>0</v>
      </c>
      <c r="AN1429" s="8">
        <v>6</v>
      </c>
      <c r="AO1429" s="8">
        <v>0</v>
      </c>
    </row>
    <row r="1430" spans="1:41" x14ac:dyDescent="0.25">
      <c r="A1430" s="6" t="str">
        <f t="shared" si="405"/>
        <v>522-2025004496</v>
      </c>
      <c r="B1430" s="6" t="str">
        <f t="shared" si="402"/>
        <v>EL CORTE</v>
      </c>
      <c r="C1430" s="7">
        <v>46022</v>
      </c>
      <c r="D1430" s="7">
        <v>46027</v>
      </c>
      <c r="E1430" s="8">
        <v>6</v>
      </c>
      <c r="F1430" s="6" t="str">
        <f t="shared" si="406"/>
        <v>94725501_07026</v>
      </c>
      <c r="G1430" s="6" t="str">
        <f t="shared" si="403"/>
        <v>F310631650000000</v>
      </c>
      <c r="H1430" s="6" t="str">
        <f t="shared" si="404"/>
        <v>PLAR 6316 FD - 500 g</v>
      </c>
      <c r="I1430" s="6" t="str">
        <f>"200510"</f>
        <v>200510</v>
      </c>
      <c r="J1430" s="6" t="str">
        <f>"VERDE 510"</f>
        <v>VERDE 510</v>
      </c>
      <c r="K1430" s="6" t="str">
        <f>"1024"</f>
        <v>1024</v>
      </c>
      <c r="L1430" s="6" t="str">
        <f>"Toalhas"</f>
        <v>Toalhas</v>
      </c>
      <c r="M1430" s="6" t="str">
        <f>"50x100"</f>
        <v>50x100</v>
      </c>
      <c r="N1430" s="6" t="str">
        <f>"5602972281149"</f>
        <v>5602972281149</v>
      </c>
      <c r="O1430" s="8">
        <v>6</v>
      </c>
      <c r="R1430" s="8">
        <v>0</v>
      </c>
      <c r="U1430" s="8">
        <v>0</v>
      </c>
      <c r="X1430" s="8">
        <v>0</v>
      </c>
      <c r="Z1430" s="8">
        <v>0</v>
      </c>
      <c r="AC1430" s="8">
        <v>0</v>
      </c>
      <c r="AF1430" s="8">
        <v>0</v>
      </c>
      <c r="AN1430" s="8">
        <v>6</v>
      </c>
      <c r="AO1430" s="8">
        <v>0</v>
      </c>
    </row>
    <row r="1431" spans="1:41" x14ac:dyDescent="0.25">
      <c r="A1431" s="6" t="str">
        <f t="shared" si="405"/>
        <v>522-2025004496</v>
      </c>
      <c r="B1431" s="6" t="str">
        <f t="shared" si="402"/>
        <v>EL CORTE</v>
      </c>
      <c r="C1431" s="7">
        <v>46022</v>
      </c>
      <c r="D1431" s="7">
        <v>46027</v>
      </c>
      <c r="E1431" s="8">
        <v>7</v>
      </c>
      <c r="F1431" s="6" t="str">
        <f t="shared" si="406"/>
        <v>94725501_07026</v>
      </c>
      <c r="G1431" s="6" t="str">
        <f t="shared" si="403"/>
        <v>F310631650000000</v>
      </c>
      <c r="H1431" s="6" t="str">
        <f t="shared" si="404"/>
        <v>PLAR 6316 FD - 500 g</v>
      </c>
      <c r="I1431" s="6" t="str">
        <f>"200510"</f>
        <v>200510</v>
      </c>
      <c r="J1431" s="6" t="str">
        <f>"VERDE 510"</f>
        <v>VERDE 510</v>
      </c>
      <c r="K1431" s="6" t="str">
        <f>"2020"</f>
        <v>2020</v>
      </c>
      <c r="L1431" s="6" t="str">
        <f>"Lençóis"</f>
        <v>Lençóis</v>
      </c>
      <c r="M1431" s="6" t="str">
        <f>"100x150"</f>
        <v>100x150</v>
      </c>
      <c r="N1431" s="6" t="str">
        <f>"5602972281156"</f>
        <v>5602972281156</v>
      </c>
      <c r="O1431" s="8">
        <v>3</v>
      </c>
      <c r="R1431" s="8">
        <v>0</v>
      </c>
      <c r="U1431" s="8">
        <v>0</v>
      </c>
      <c r="X1431" s="8">
        <v>0</v>
      </c>
      <c r="Z1431" s="8">
        <v>0</v>
      </c>
      <c r="AC1431" s="8">
        <v>0</v>
      </c>
      <c r="AF1431" s="8">
        <v>0</v>
      </c>
      <c r="AN1431" s="8">
        <v>3</v>
      </c>
      <c r="AO1431" s="8">
        <v>0</v>
      </c>
    </row>
    <row r="1432" spans="1:41" x14ac:dyDescent="0.25">
      <c r="A1432" s="6" t="str">
        <f t="shared" ref="A1432:A1441" si="407">"522-2025004497"</f>
        <v>522-2025004497</v>
      </c>
      <c r="B1432" s="6" t="str">
        <f t="shared" si="402"/>
        <v>EL CORTE</v>
      </c>
      <c r="C1432" s="7">
        <v>46022</v>
      </c>
      <c r="D1432" s="7">
        <v>46027</v>
      </c>
      <c r="E1432" s="8">
        <v>1</v>
      </c>
      <c r="F1432" s="6" t="str">
        <f t="shared" ref="F1432:F1441" si="408">"94725901_07026"</f>
        <v>94725901_07026</v>
      </c>
      <c r="G1432" s="6" t="str">
        <f t="shared" si="403"/>
        <v>F310631650000000</v>
      </c>
      <c r="H1432" s="6" t="str">
        <f t="shared" si="404"/>
        <v>PLAR 6316 FD - 500 g</v>
      </c>
      <c r="I1432" s="6" t="str">
        <f>"201855"</f>
        <v>201855</v>
      </c>
      <c r="J1432" s="6" t="str">
        <f>"AZUL 1855"</f>
        <v>AZUL 1855</v>
      </c>
      <c r="K1432" s="6" t="str">
        <f>"1024"</f>
        <v>1024</v>
      </c>
      <c r="L1432" s="6" t="str">
        <f>"Toalhas"</f>
        <v>Toalhas</v>
      </c>
      <c r="M1432" s="6" t="str">
        <f>"50x100"</f>
        <v>50x100</v>
      </c>
      <c r="N1432" s="6" t="str">
        <f>"5602972281057"</f>
        <v>5602972281057</v>
      </c>
      <c r="O1432" s="8">
        <v>6</v>
      </c>
      <c r="R1432" s="8">
        <v>0</v>
      </c>
      <c r="U1432" s="8">
        <v>0</v>
      </c>
      <c r="X1432" s="8">
        <v>0</v>
      </c>
      <c r="Z1432" s="8">
        <v>0</v>
      </c>
      <c r="AC1432" s="8">
        <v>0</v>
      </c>
      <c r="AF1432" s="8">
        <v>0</v>
      </c>
      <c r="AN1432" s="8">
        <v>6</v>
      </c>
      <c r="AO1432" s="8">
        <v>0</v>
      </c>
    </row>
    <row r="1433" spans="1:41" x14ac:dyDescent="0.25">
      <c r="A1433" s="6" t="str">
        <f t="shared" si="407"/>
        <v>522-2025004497</v>
      </c>
      <c r="B1433" s="6" t="str">
        <f t="shared" si="402"/>
        <v>EL CORTE</v>
      </c>
      <c r="C1433" s="7">
        <v>46022</v>
      </c>
      <c r="D1433" s="7">
        <v>46027</v>
      </c>
      <c r="E1433" s="8">
        <v>2</v>
      </c>
      <c r="F1433" s="6" t="str">
        <f t="shared" si="408"/>
        <v>94725901_07026</v>
      </c>
      <c r="G1433" s="6" t="str">
        <f t="shared" si="403"/>
        <v>F310631650000000</v>
      </c>
      <c r="H1433" s="6" t="str">
        <f t="shared" si="404"/>
        <v>PLAR 6316 FD - 500 g</v>
      </c>
      <c r="I1433" s="6" t="str">
        <f>"201855"</f>
        <v>201855</v>
      </c>
      <c r="J1433" s="6" t="str">
        <f>"AZUL 1855"</f>
        <v>AZUL 1855</v>
      </c>
      <c r="K1433" s="6" t="str">
        <f>"2020"</f>
        <v>2020</v>
      </c>
      <c r="L1433" s="6" t="str">
        <f>"Lençóis"</f>
        <v>Lençóis</v>
      </c>
      <c r="M1433" s="6" t="str">
        <f>"100x150"</f>
        <v>100x150</v>
      </c>
      <c r="N1433" s="6" t="str">
        <f>"5602972281064"</f>
        <v>5602972281064</v>
      </c>
      <c r="O1433" s="8">
        <v>3</v>
      </c>
      <c r="R1433" s="8">
        <v>0</v>
      </c>
      <c r="U1433" s="8">
        <v>0</v>
      </c>
      <c r="X1433" s="8">
        <v>0</v>
      </c>
      <c r="Z1433" s="8">
        <v>0</v>
      </c>
      <c r="AC1433" s="8">
        <v>0</v>
      </c>
      <c r="AF1433" s="8">
        <v>0</v>
      </c>
      <c r="AN1433" s="8">
        <v>0</v>
      </c>
      <c r="AO1433" s="8">
        <v>3</v>
      </c>
    </row>
    <row r="1434" spans="1:41" x14ac:dyDescent="0.25">
      <c r="A1434" s="6" t="str">
        <f t="shared" si="407"/>
        <v>522-2025004497</v>
      </c>
      <c r="B1434" s="6" t="str">
        <f t="shared" si="402"/>
        <v>EL CORTE</v>
      </c>
      <c r="C1434" s="7">
        <v>46022</v>
      </c>
      <c r="D1434" s="7">
        <v>46027</v>
      </c>
      <c r="E1434" s="8">
        <v>3</v>
      </c>
      <c r="F1434" s="6" t="str">
        <f t="shared" si="408"/>
        <v>94725901_07026</v>
      </c>
      <c r="G1434" s="6" t="str">
        <f t="shared" si="403"/>
        <v>F310631650000000</v>
      </c>
      <c r="H1434" s="6" t="str">
        <f t="shared" si="404"/>
        <v>PLAR 6316 FD - 500 g</v>
      </c>
      <c r="I1434" s="6" t="str">
        <f>"202575"</f>
        <v>202575</v>
      </c>
      <c r="J1434" s="6" t="str">
        <f>"BEGE 2575"</f>
        <v>BEGE 2575</v>
      </c>
      <c r="K1434" s="6" t="str">
        <f>"1024"</f>
        <v>1024</v>
      </c>
      <c r="L1434" s="6" t="str">
        <f>"Toalhas"</f>
        <v>Toalhas</v>
      </c>
      <c r="M1434" s="6" t="str">
        <f>"50x100"</f>
        <v>50x100</v>
      </c>
      <c r="N1434" s="6" t="str">
        <f>"5602972281088"</f>
        <v>5602972281088</v>
      </c>
      <c r="O1434" s="8">
        <v>6</v>
      </c>
      <c r="R1434" s="8">
        <v>0</v>
      </c>
      <c r="U1434" s="8">
        <v>0</v>
      </c>
      <c r="X1434" s="8">
        <v>0</v>
      </c>
      <c r="Z1434" s="8">
        <v>0</v>
      </c>
      <c r="AC1434" s="8">
        <v>0</v>
      </c>
      <c r="AF1434" s="8">
        <v>0</v>
      </c>
      <c r="AN1434" s="8">
        <v>6</v>
      </c>
      <c r="AO1434" s="8">
        <v>0</v>
      </c>
    </row>
    <row r="1435" spans="1:41" x14ac:dyDescent="0.25">
      <c r="A1435" s="6" t="str">
        <f t="shared" si="407"/>
        <v>522-2025004497</v>
      </c>
      <c r="B1435" s="6" t="str">
        <f t="shared" si="402"/>
        <v>EL CORTE</v>
      </c>
      <c r="C1435" s="7">
        <v>46022</v>
      </c>
      <c r="D1435" s="7">
        <v>46027</v>
      </c>
      <c r="E1435" s="8">
        <v>4</v>
      </c>
      <c r="F1435" s="6" t="str">
        <f t="shared" si="408"/>
        <v>94725901_07026</v>
      </c>
      <c r="G1435" s="6" t="str">
        <f t="shared" si="403"/>
        <v>F310631650000000</v>
      </c>
      <c r="H1435" s="6" t="str">
        <f t="shared" si="404"/>
        <v>PLAR 6316 FD - 500 g</v>
      </c>
      <c r="I1435" s="6" t="str">
        <f>"202575"</f>
        <v>202575</v>
      </c>
      <c r="J1435" s="6" t="str">
        <f>"BEGE 2575"</f>
        <v>BEGE 2575</v>
      </c>
      <c r="K1435" s="6" t="str">
        <f>"2020"</f>
        <v>2020</v>
      </c>
      <c r="L1435" s="6" t="str">
        <f>"Lençóis"</f>
        <v>Lençóis</v>
      </c>
      <c r="M1435" s="6" t="str">
        <f>"100x150"</f>
        <v>100x150</v>
      </c>
      <c r="N1435" s="6" t="str">
        <f>"5602972281095"</f>
        <v>5602972281095</v>
      </c>
      <c r="O1435" s="8">
        <v>6</v>
      </c>
      <c r="R1435" s="8">
        <v>0</v>
      </c>
      <c r="U1435" s="8">
        <v>0</v>
      </c>
      <c r="X1435" s="8">
        <v>0</v>
      </c>
      <c r="Z1435" s="8">
        <v>0</v>
      </c>
      <c r="AC1435" s="8">
        <v>0</v>
      </c>
      <c r="AF1435" s="8">
        <v>0</v>
      </c>
      <c r="AN1435" s="8">
        <v>6</v>
      </c>
      <c r="AO1435" s="8">
        <v>0</v>
      </c>
    </row>
    <row r="1436" spans="1:41" x14ac:dyDescent="0.25">
      <c r="A1436" s="6" t="str">
        <f t="shared" si="407"/>
        <v>522-2025004497</v>
      </c>
      <c r="B1436" s="6" t="str">
        <f t="shared" si="402"/>
        <v>EL CORTE</v>
      </c>
      <c r="C1436" s="7">
        <v>46022</v>
      </c>
      <c r="D1436" s="7">
        <v>46027</v>
      </c>
      <c r="E1436" s="8">
        <v>5</v>
      </c>
      <c r="F1436" s="6" t="str">
        <f t="shared" si="408"/>
        <v>94725901_07026</v>
      </c>
      <c r="G1436" s="6" t="str">
        <f t="shared" si="403"/>
        <v>F310631650000000</v>
      </c>
      <c r="H1436" s="6" t="str">
        <f t="shared" si="404"/>
        <v>PLAR 6316 FD - 500 g</v>
      </c>
      <c r="I1436" s="6" t="str">
        <f>"200901"</f>
        <v>200901</v>
      </c>
      <c r="J1436" s="6" t="str">
        <f>"ROSA 901"</f>
        <v>ROSA 901</v>
      </c>
      <c r="K1436" s="6" t="str">
        <f>"0520"</f>
        <v>0520</v>
      </c>
      <c r="L1436" s="6" t="str">
        <f>"Toalhetes"</f>
        <v>Toalhetes</v>
      </c>
      <c r="M1436" s="6" t="str">
        <f>"30x50"</f>
        <v>30x50</v>
      </c>
      <c r="N1436" s="6" t="str">
        <f>"5602972281101"</f>
        <v>5602972281101</v>
      </c>
      <c r="O1436" s="8">
        <v>6</v>
      </c>
      <c r="R1436" s="8">
        <v>0</v>
      </c>
      <c r="U1436" s="8">
        <v>0</v>
      </c>
      <c r="X1436" s="8">
        <v>0</v>
      </c>
      <c r="Z1436" s="8">
        <v>0</v>
      </c>
      <c r="AC1436" s="8">
        <v>0</v>
      </c>
      <c r="AF1436" s="8">
        <v>0</v>
      </c>
      <c r="AN1436" s="8">
        <v>6</v>
      </c>
      <c r="AO1436" s="8">
        <v>0</v>
      </c>
    </row>
    <row r="1437" spans="1:41" x14ac:dyDescent="0.25">
      <c r="A1437" s="6" t="str">
        <f t="shared" si="407"/>
        <v>522-2025004497</v>
      </c>
      <c r="B1437" s="6" t="str">
        <f t="shared" si="402"/>
        <v>EL CORTE</v>
      </c>
      <c r="C1437" s="7">
        <v>46022</v>
      </c>
      <c r="D1437" s="7">
        <v>46027</v>
      </c>
      <c r="E1437" s="8">
        <v>6</v>
      </c>
      <c r="F1437" s="6" t="str">
        <f t="shared" si="408"/>
        <v>94725901_07026</v>
      </c>
      <c r="G1437" s="6" t="str">
        <f t="shared" si="403"/>
        <v>F310631650000000</v>
      </c>
      <c r="H1437" s="6" t="str">
        <f t="shared" si="404"/>
        <v>PLAR 6316 FD - 500 g</v>
      </c>
      <c r="I1437" s="6" t="str">
        <f>"200901"</f>
        <v>200901</v>
      </c>
      <c r="J1437" s="6" t="str">
        <f>"ROSA 901"</f>
        <v>ROSA 901</v>
      </c>
      <c r="K1437" s="6" t="str">
        <f>"1024"</f>
        <v>1024</v>
      </c>
      <c r="L1437" s="6" t="str">
        <f>"Toalhas"</f>
        <v>Toalhas</v>
      </c>
      <c r="M1437" s="6" t="str">
        <f>"50x100"</f>
        <v>50x100</v>
      </c>
      <c r="N1437" s="6" t="str">
        <f>"5602972281118"</f>
        <v>5602972281118</v>
      </c>
      <c r="O1437" s="8">
        <v>6</v>
      </c>
      <c r="R1437" s="8">
        <v>0</v>
      </c>
      <c r="U1437" s="8">
        <v>0</v>
      </c>
      <c r="X1437" s="8">
        <v>0</v>
      </c>
      <c r="Z1437" s="8">
        <v>0</v>
      </c>
      <c r="AC1437" s="8">
        <v>0</v>
      </c>
      <c r="AF1437" s="8">
        <v>0</v>
      </c>
      <c r="AN1437" s="8">
        <v>6</v>
      </c>
      <c r="AO1437" s="8">
        <v>0</v>
      </c>
    </row>
    <row r="1438" spans="1:41" x14ac:dyDescent="0.25">
      <c r="A1438" s="6" t="str">
        <f t="shared" si="407"/>
        <v>522-2025004497</v>
      </c>
      <c r="B1438" s="6" t="str">
        <f t="shared" si="402"/>
        <v>EL CORTE</v>
      </c>
      <c r="C1438" s="7">
        <v>46022</v>
      </c>
      <c r="D1438" s="7">
        <v>46027</v>
      </c>
      <c r="E1438" s="8">
        <v>7</v>
      </c>
      <c r="F1438" s="6" t="str">
        <f t="shared" si="408"/>
        <v>94725901_07026</v>
      </c>
      <c r="G1438" s="6" t="str">
        <f t="shared" si="403"/>
        <v>F310631650000000</v>
      </c>
      <c r="H1438" s="6" t="str">
        <f t="shared" si="404"/>
        <v>PLAR 6316 FD - 500 g</v>
      </c>
      <c r="I1438" s="6" t="str">
        <f>"200901"</f>
        <v>200901</v>
      </c>
      <c r="J1438" s="6" t="str">
        <f>"ROSA 901"</f>
        <v>ROSA 901</v>
      </c>
      <c r="K1438" s="6" t="str">
        <f>"2020"</f>
        <v>2020</v>
      </c>
      <c r="L1438" s="6" t="str">
        <f>"Lençóis"</f>
        <v>Lençóis</v>
      </c>
      <c r="M1438" s="6" t="str">
        <f>"100x150"</f>
        <v>100x150</v>
      </c>
      <c r="N1438" s="6" t="str">
        <f>"5602972281125"</f>
        <v>5602972281125</v>
      </c>
      <c r="O1438" s="8">
        <v>3</v>
      </c>
      <c r="R1438" s="8">
        <v>0</v>
      </c>
      <c r="U1438" s="8">
        <v>0</v>
      </c>
      <c r="X1438" s="8">
        <v>0</v>
      </c>
      <c r="Z1438" s="8">
        <v>0</v>
      </c>
      <c r="AC1438" s="8">
        <v>0</v>
      </c>
      <c r="AF1438" s="8">
        <v>0</v>
      </c>
      <c r="AN1438" s="8">
        <v>3</v>
      </c>
      <c r="AO1438" s="8">
        <v>0</v>
      </c>
    </row>
    <row r="1439" spans="1:41" x14ac:dyDescent="0.25">
      <c r="A1439" s="6" t="str">
        <f t="shared" si="407"/>
        <v>522-2025004497</v>
      </c>
      <c r="B1439" s="6" t="str">
        <f t="shared" si="402"/>
        <v>EL CORTE</v>
      </c>
      <c r="C1439" s="7">
        <v>46022</v>
      </c>
      <c r="D1439" s="7">
        <v>46027</v>
      </c>
      <c r="E1439" s="8">
        <v>8</v>
      </c>
      <c r="F1439" s="6" t="str">
        <f t="shared" si="408"/>
        <v>94725901_07026</v>
      </c>
      <c r="G1439" s="6" t="str">
        <f t="shared" si="403"/>
        <v>F310631650000000</v>
      </c>
      <c r="H1439" s="6" t="str">
        <f t="shared" si="404"/>
        <v>PLAR 6316 FD - 500 g</v>
      </c>
      <c r="I1439" s="6" t="str">
        <f>"200510"</f>
        <v>200510</v>
      </c>
      <c r="J1439" s="6" t="str">
        <f>"VERDE 510"</f>
        <v>VERDE 510</v>
      </c>
      <c r="K1439" s="6" t="str">
        <f>"0520"</f>
        <v>0520</v>
      </c>
      <c r="L1439" s="6" t="str">
        <f>"Toalhetes"</f>
        <v>Toalhetes</v>
      </c>
      <c r="M1439" s="6" t="str">
        <f>"30x50"</f>
        <v>30x50</v>
      </c>
      <c r="N1439" s="6" t="str">
        <f>"5602972281132"</f>
        <v>5602972281132</v>
      </c>
      <c r="O1439" s="8">
        <v>6</v>
      </c>
      <c r="R1439" s="8">
        <v>0</v>
      </c>
      <c r="U1439" s="8">
        <v>0</v>
      </c>
      <c r="X1439" s="8">
        <v>0</v>
      </c>
      <c r="Z1439" s="8">
        <v>0</v>
      </c>
      <c r="AC1439" s="8">
        <v>0</v>
      </c>
      <c r="AF1439" s="8">
        <v>0</v>
      </c>
      <c r="AN1439" s="8">
        <v>6</v>
      </c>
      <c r="AO1439" s="8">
        <v>0</v>
      </c>
    </row>
    <row r="1440" spans="1:41" x14ac:dyDescent="0.25">
      <c r="A1440" s="6" t="str">
        <f t="shared" si="407"/>
        <v>522-2025004497</v>
      </c>
      <c r="B1440" s="6" t="str">
        <f t="shared" si="402"/>
        <v>EL CORTE</v>
      </c>
      <c r="C1440" s="7">
        <v>46022</v>
      </c>
      <c r="D1440" s="7">
        <v>46027</v>
      </c>
      <c r="E1440" s="8">
        <v>9</v>
      </c>
      <c r="F1440" s="6" t="str">
        <f t="shared" si="408"/>
        <v>94725901_07026</v>
      </c>
      <c r="G1440" s="6" t="str">
        <f t="shared" si="403"/>
        <v>F310631650000000</v>
      </c>
      <c r="H1440" s="6" t="str">
        <f t="shared" si="404"/>
        <v>PLAR 6316 FD - 500 g</v>
      </c>
      <c r="I1440" s="6" t="str">
        <f>"200510"</f>
        <v>200510</v>
      </c>
      <c r="J1440" s="6" t="str">
        <f>"VERDE 510"</f>
        <v>VERDE 510</v>
      </c>
      <c r="K1440" s="6" t="str">
        <f>"1024"</f>
        <v>1024</v>
      </c>
      <c r="L1440" s="6" t="str">
        <f>"Toalhas"</f>
        <v>Toalhas</v>
      </c>
      <c r="M1440" s="6" t="str">
        <f>"50x100"</f>
        <v>50x100</v>
      </c>
      <c r="N1440" s="6" t="str">
        <f>"5602972281149"</f>
        <v>5602972281149</v>
      </c>
      <c r="O1440" s="8">
        <v>6</v>
      </c>
      <c r="R1440" s="8">
        <v>0</v>
      </c>
      <c r="U1440" s="8">
        <v>0</v>
      </c>
      <c r="X1440" s="8">
        <v>0</v>
      </c>
      <c r="Z1440" s="8">
        <v>0</v>
      </c>
      <c r="AC1440" s="8">
        <v>0</v>
      </c>
      <c r="AF1440" s="8">
        <v>0</v>
      </c>
      <c r="AN1440" s="8">
        <v>6</v>
      </c>
      <c r="AO1440" s="8">
        <v>0</v>
      </c>
    </row>
    <row r="1441" spans="1:41" x14ac:dyDescent="0.25">
      <c r="A1441" s="6" t="str">
        <f t="shared" si="407"/>
        <v>522-2025004497</v>
      </c>
      <c r="B1441" s="6" t="str">
        <f t="shared" si="402"/>
        <v>EL CORTE</v>
      </c>
      <c r="C1441" s="7">
        <v>46022</v>
      </c>
      <c r="D1441" s="7">
        <v>46027</v>
      </c>
      <c r="E1441" s="8">
        <v>10</v>
      </c>
      <c r="F1441" s="6" t="str">
        <f t="shared" si="408"/>
        <v>94725901_07026</v>
      </c>
      <c r="G1441" s="6" t="str">
        <f t="shared" si="403"/>
        <v>F310631650000000</v>
      </c>
      <c r="H1441" s="6" t="str">
        <f t="shared" si="404"/>
        <v>PLAR 6316 FD - 500 g</v>
      </c>
      <c r="I1441" s="6" t="str">
        <f>"200510"</f>
        <v>200510</v>
      </c>
      <c r="J1441" s="6" t="str">
        <f>"VERDE 510"</f>
        <v>VERDE 510</v>
      </c>
      <c r="K1441" s="6" t="str">
        <f>"2020"</f>
        <v>2020</v>
      </c>
      <c r="L1441" s="6" t="str">
        <f>"Lençóis"</f>
        <v>Lençóis</v>
      </c>
      <c r="M1441" s="6" t="str">
        <f>"100x150"</f>
        <v>100x150</v>
      </c>
      <c r="N1441" s="6" t="str">
        <f>"5602972281156"</f>
        <v>5602972281156</v>
      </c>
      <c r="O1441" s="8">
        <v>3</v>
      </c>
      <c r="R1441" s="8">
        <v>0</v>
      </c>
      <c r="U1441" s="8">
        <v>0</v>
      </c>
      <c r="X1441" s="8">
        <v>0</v>
      </c>
      <c r="Z1441" s="8">
        <v>0</v>
      </c>
      <c r="AC1441" s="8">
        <v>0</v>
      </c>
      <c r="AF1441" s="8">
        <v>0</v>
      </c>
      <c r="AN1441" s="8">
        <v>3</v>
      </c>
      <c r="AO1441" s="8">
        <v>0</v>
      </c>
    </row>
    <row r="1442" spans="1:41" x14ac:dyDescent="0.25">
      <c r="A1442" s="6" t="str">
        <f t="shared" ref="A1442:A1449" si="409">"522-2025004498"</f>
        <v>522-2025004498</v>
      </c>
      <c r="B1442" s="6" t="str">
        <f t="shared" si="402"/>
        <v>EL CORTE</v>
      </c>
      <c r="C1442" s="7">
        <v>46022</v>
      </c>
      <c r="D1442" s="7">
        <v>46027</v>
      </c>
      <c r="E1442" s="8">
        <v>1</v>
      </c>
      <c r="F1442" s="6" t="str">
        <f t="shared" ref="F1442:F1449" si="410">"94726001_07026"</f>
        <v>94726001_07026</v>
      </c>
      <c r="G1442" s="6" t="str">
        <f t="shared" si="403"/>
        <v>F310631650000000</v>
      </c>
      <c r="H1442" s="6" t="str">
        <f t="shared" si="404"/>
        <v>PLAR 6316 FD - 500 g</v>
      </c>
      <c r="I1442" s="6" t="str">
        <f>"201855"</f>
        <v>201855</v>
      </c>
      <c r="J1442" s="6" t="str">
        <f>"AZUL 1855"</f>
        <v>AZUL 1855</v>
      </c>
      <c r="K1442" s="6" t="str">
        <f>"0520"</f>
        <v>0520</v>
      </c>
      <c r="L1442" s="6" t="str">
        <f>"Toalhetes"</f>
        <v>Toalhetes</v>
      </c>
      <c r="M1442" s="6" t="str">
        <f>"30x50"</f>
        <v>30x50</v>
      </c>
      <c r="N1442" s="6" t="str">
        <f>"5602972281040"</f>
        <v>5602972281040</v>
      </c>
      <c r="O1442" s="8">
        <v>6</v>
      </c>
      <c r="R1442" s="8">
        <v>0</v>
      </c>
      <c r="U1442" s="8">
        <v>0</v>
      </c>
      <c r="X1442" s="8">
        <v>0</v>
      </c>
      <c r="Z1442" s="8">
        <v>0</v>
      </c>
      <c r="AC1442" s="8">
        <v>0</v>
      </c>
      <c r="AF1442" s="8">
        <v>0</v>
      </c>
      <c r="AN1442" s="8">
        <v>6</v>
      </c>
      <c r="AO1442" s="8">
        <v>0</v>
      </c>
    </row>
    <row r="1443" spans="1:41" x14ac:dyDescent="0.25">
      <c r="A1443" s="6" t="str">
        <f t="shared" si="409"/>
        <v>522-2025004498</v>
      </c>
      <c r="B1443" s="6" t="str">
        <f t="shared" si="402"/>
        <v>EL CORTE</v>
      </c>
      <c r="C1443" s="7">
        <v>46022</v>
      </c>
      <c r="D1443" s="7">
        <v>46027</v>
      </c>
      <c r="E1443" s="8">
        <v>2</v>
      </c>
      <c r="F1443" s="6" t="str">
        <f t="shared" si="410"/>
        <v>94726001_07026</v>
      </c>
      <c r="G1443" s="6" t="str">
        <f t="shared" si="403"/>
        <v>F310631650000000</v>
      </c>
      <c r="H1443" s="6" t="str">
        <f t="shared" si="404"/>
        <v>PLAR 6316 FD - 500 g</v>
      </c>
      <c r="I1443" s="6" t="str">
        <f>"201855"</f>
        <v>201855</v>
      </c>
      <c r="J1443" s="6" t="str">
        <f>"AZUL 1855"</f>
        <v>AZUL 1855</v>
      </c>
      <c r="K1443" s="6" t="str">
        <f>"1024"</f>
        <v>1024</v>
      </c>
      <c r="L1443" s="6" t="str">
        <f>"Toalhas"</f>
        <v>Toalhas</v>
      </c>
      <c r="M1443" s="6" t="str">
        <f>"50x100"</f>
        <v>50x100</v>
      </c>
      <c r="N1443" s="6" t="str">
        <f>"5602972281057"</f>
        <v>5602972281057</v>
      </c>
      <c r="O1443" s="8">
        <v>6</v>
      </c>
      <c r="R1443" s="8">
        <v>0</v>
      </c>
      <c r="U1443" s="8">
        <v>0</v>
      </c>
      <c r="X1443" s="8">
        <v>0</v>
      </c>
      <c r="Z1443" s="8">
        <v>0</v>
      </c>
      <c r="AC1443" s="8">
        <v>0</v>
      </c>
      <c r="AF1443" s="8">
        <v>0</v>
      </c>
      <c r="AN1443" s="8">
        <v>6</v>
      </c>
      <c r="AO1443" s="8">
        <v>0</v>
      </c>
    </row>
    <row r="1444" spans="1:41" x14ac:dyDescent="0.25">
      <c r="A1444" s="6" t="str">
        <f t="shared" si="409"/>
        <v>522-2025004498</v>
      </c>
      <c r="B1444" s="6" t="str">
        <f t="shared" si="402"/>
        <v>EL CORTE</v>
      </c>
      <c r="C1444" s="7">
        <v>46022</v>
      </c>
      <c r="D1444" s="7">
        <v>46027</v>
      </c>
      <c r="E1444" s="8">
        <v>3</v>
      </c>
      <c r="F1444" s="6" t="str">
        <f t="shared" si="410"/>
        <v>94726001_07026</v>
      </c>
      <c r="G1444" s="6" t="str">
        <f t="shared" si="403"/>
        <v>F310631650000000</v>
      </c>
      <c r="H1444" s="6" t="str">
        <f t="shared" si="404"/>
        <v>PLAR 6316 FD - 500 g</v>
      </c>
      <c r="I1444" s="6" t="str">
        <f>"201855"</f>
        <v>201855</v>
      </c>
      <c r="J1444" s="6" t="str">
        <f>"AZUL 1855"</f>
        <v>AZUL 1855</v>
      </c>
      <c r="K1444" s="6" t="str">
        <f>"2020"</f>
        <v>2020</v>
      </c>
      <c r="L1444" s="6" t="str">
        <f>"Lençóis"</f>
        <v>Lençóis</v>
      </c>
      <c r="M1444" s="6" t="str">
        <f>"100x150"</f>
        <v>100x150</v>
      </c>
      <c r="N1444" s="6" t="str">
        <f>"5602972281064"</f>
        <v>5602972281064</v>
      </c>
      <c r="O1444" s="8">
        <v>3</v>
      </c>
      <c r="R1444" s="8">
        <v>0</v>
      </c>
      <c r="U1444" s="8">
        <v>0</v>
      </c>
      <c r="X1444" s="8">
        <v>0</v>
      </c>
      <c r="Z1444" s="8">
        <v>0</v>
      </c>
      <c r="AC1444" s="8">
        <v>0</v>
      </c>
      <c r="AF1444" s="8">
        <v>0</v>
      </c>
      <c r="AN1444" s="8">
        <v>0</v>
      </c>
      <c r="AO1444" s="8">
        <v>3</v>
      </c>
    </row>
    <row r="1445" spans="1:41" x14ac:dyDescent="0.25">
      <c r="A1445" s="6" t="str">
        <f t="shared" si="409"/>
        <v>522-2025004498</v>
      </c>
      <c r="B1445" s="6" t="str">
        <f t="shared" si="402"/>
        <v>EL CORTE</v>
      </c>
      <c r="C1445" s="7">
        <v>46022</v>
      </c>
      <c r="D1445" s="7">
        <v>46027</v>
      </c>
      <c r="E1445" s="8">
        <v>4</v>
      </c>
      <c r="F1445" s="6" t="str">
        <f t="shared" si="410"/>
        <v>94726001_07026</v>
      </c>
      <c r="G1445" s="6" t="str">
        <f t="shared" si="403"/>
        <v>F310631650000000</v>
      </c>
      <c r="H1445" s="6" t="str">
        <f t="shared" si="404"/>
        <v>PLAR 6316 FD - 500 g</v>
      </c>
      <c r="I1445" s="6" t="str">
        <f>"202575"</f>
        <v>202575</v>
      </c>
      <c r="J1445" s="6" t="str">
        <f>"BEGE 2575"</f>
        <v>BEGE 2575</v>
      </c>
      <c r="K1445" s="6" t="str">
        <f>"1024"</f>
        <v>1024</v>
      </c>
      <c r="L1445" s="6" t="str">
        <f>"Toalhas"</f>
        <v>Toalhas</v>
      </c>
      <c r="M1445" s="6" t="str">
        <f>"50x100"</f>
        <v>50x100</v>
      </c>
      <c r="N1445" s="6" t="str">
        <f>"5602972281088"</f>
        <v>5602972281088</v>
      </c>
      <c r="O1445" s="8">
        <v>6</v>
      </c>
      <c r="R1445" s="8">
        <v>0</v>
      </c>
      <c r="U1445" s="8">
        <v>0</v>
      </c>
      <c r="X1445" s="8">
        <v>0</v>
      </c>
      <c r="Z1445" s="8">
        <v>0</v>
      </c>
      <c r="AC1445" s="8">
        <v>0</v>
      </c>
      <c r="AF1445" s="8">
        <v>0</v>
      </c>
      <c r="AN1445" s="8">
        <v>6</v>
      </c>
      <c r="AO1445" s="8">
        <v>0</v>
      </c>
    </row>
    <row r="1446" spans="1:41" x14ac:dyDescent="0.25">
      <c r="A1446" s="6" t="str">
        <f t="shared" si="409"/>
        <v>522-2025004498</v>
      </c>
      <c r="B1446" s="6" t="str">
        <f t="shared" si="402"/>
        <v>EL CORTE</v>
      </c>
      <c r="C1446" s="7">
        <v>46022</v>
      </c>
      <c r="D1446" s="7">
        <v>46027</v>
      </c>
      <c r="E1446" s="8">
        <v>5</v>
      </c>
      <c r="F1446" s="6" t="str">
        <f t="shared" si="410"/>
        <v>94726001_07026</v>
      </c>
      <c r="G1446" s="6" t="str">
        <f t="shared" si="403"/>
        <v>F310631650000000</v>
      </c>
      <c r="H1446" s="6" t="str">
        <f t="shared" si="404"/>
        <v>PLAR 6316 FD - 500 g</v>
      </c>
      <c r="I1446" s="6" t="str">
        <f>"202575"</f>
        <v>202575</v>
      </c>
      <c r="J1446" s="6" t="str">
        <f>"BEGE 2575"</f>
        <v>BEGE 2575</v>
      </c>
      <c r="K1446" s="6" t="str">
        <f>"2020"</f>
        <v>2020</v>
      </c>
      <c r="L1446" s="6" t="str">
        <f>"Lençóis"</f>
        <v>Lençóis</v>
      </c>
      <c r="M1446" s="6" t="str">
        <f>"100x150"</f>
        <v>100x150</v>
      </c>
      <c r="N1446" s="6" t="str">
        <f>"5602972281095"</f>
        <v>5602972281095</v>
      </c>
      <c r="O1446" s="8">
        <v>3</v>
      </c>
      <c r="R1446" s="8">
        <v>0</v>
      </c>
      <c r="U1446" s="8">
        <v>0</v>
      </c>
      <c r="X1446" s="8">
        <v>0</v>
      </c>
      <c r="Z1446" s="8">
        <v>0</v>
      </c>
      <c r="AC1446" s="8">
        <v>0</v>
      </c>
      <c r="AF1446" s="8">
        <v>0</v>
      </c>
      <c r="AN1446" s="8">
        <v>3</v>
      </c>
      <c r="AO1446" s="8">
        <v>0</v>
      </c>
    </row>
    <row r="1447" spans="1:41" x14ac:dyDescent="0.25">
      <c r="A1447" s="6" t="str">
        <f t="shared" si="409"/>
        <v>522-2025004498</v>
      </c>
      <c r="B1447" s="6" t="str">
        <f t="shared" si="402"/>
        <v>EL CORTE</v>
      </c>
      <c r="C1447" s="7">
        <v>46022</v>
      </c>
      <c r="D1447" s="7">
        <v>46027</v>
      </c>
      <c r="E1447" s="8">
        <v>6</v>
      </c>
      <c r="F1447" s="6" t="str">
        <f t="shared" si="410"/>
        <v>94726001_07026</v>
      </c>
      <c r="G1447" s="6" t="str">
        <f t="shared" si="403"/>
        <v>F310631650000000</v>
      </c>
      <c r="H1447" s="6" t="str">
        <f t="shared" si="404"/>
        <v>PLAR 6316 FD - 500 g</v>
      </c>
      <c r="I1447" s="6" t="str">
        <f>"200901"</f>
        <v>200901</v>
      </c>
      <c r="J1447" s="6" t="str">
        <f>"ROSA 901"</f>
        <v>ROSA 901</v>
      </c>
      <c r="K1447" s="6" t="str">
        <f>"0520"</f>
        <v>0520</v>
      </c>
      <c r="L1447" s="6" t="str">
        <f>"Toalhetes"</f>
        <v>Toalhetes</v>
      </c>
      <c r="M1447" s="6" t="str">
        <f>"30x50"</f>
        <v>30x50</v>
      </c>
      <c r="N1447" s="6" t="str">
        <f>"5602972281101"</f>
        <v>5602972281101</v>
      </c>
      <c r="O1447" s="8">
        <v>6</v>
      </c>
      <c r="R1447" s="8">
        <v>0</v>
      </c>
      <c r="U1447" s="8">
        <v>0</v>
      </c>
      <c r="X1447" s="8">
        <v>0</v>
      </c>
      <c r="Z1447" s="8">
        <v>0</v>
      </c>
      <c r="AC1447" s="8">
        <v>0</v>
      </c>
      <c r="AF1447" s="8">
        <v>0</v>
      </c>
      <c r="AN1447" s="8">
        <v>6</v>
      </c>
      <c r="AO1447" s="8">
        <v>0</v>
      </c>
    </row>
    <row r="1448" spans="1:41" x14ac:dyDescent="0.25">
      <c r="A1448" s="6" t="str">
        <f t="shared" si="409"/>
        <v>522-2025004498</v>
      </c>
      <c r="B1448" s="6" t="str">
        <f t="shared" si="402"/>
        <v>EL CORTE</v>
      </c>
      <c r="C1448" s="7">
        <v>46022</v>
      </c>
      <c r="D1448" s="7">
        <v>46027</v>
      </c>
      <c r="E1448" s="8">
        <v>7</v>
      </c>
      <c r="F1448" s="6" t="str">
        <f t="shared" si="410"/>
        <v>94726001_07026</v>
      </c>
      <c r="G1448" s="6" t="str">
        <f t="shared" si="403"/>
        <v>F310631650000000</v>
      </c>
      <c r="H1448" s="6" t="str">
        <f t="shared" si="404"/>
        <v>PLAR 6316 FD - 500 g</v>
      </c>
      <c r="I1448" s="6" t="str">
        <f>"200510"</f>
        <v>200510</v>
      </c>
      <c r="J1448" s="6" t="str">
        <f>"VERDE 510"</f>
        <v>VERDE 510</v>
      </c>
      <c r="K1448" s="6" t="str">
        <f>"0520"</f>
        <v>0520</v>
      </c>
      <c r="L1448" s="6" t="str">
        <f>"Toalhetes"</f>
        <v>Toalhetes</v>
      </c>
      <c r="M1448" s="6" t="str">
        <f>"30x50"</f>
        <v>30x50</v>
      </c>
      <c r="N1448" s="6" t="str">
        <f>"5602972281132"</f>
        <v>5602972281132</v>
      </c>
      <c r="O1448" s="8">
        <v>6</v>
      </c>
      <c r="R1448" s="8">
        <v>0</v>
      </c>
      <c r="U1448" s="8">
        <v>0</v>
      </c>
      <c r="X1448" s="8">
        <v>0</v>
      </c>
      <c r="Z1448" s="8">
        <v>0</v>
      </c>
      <c r="AC1448" s="8">
        <v>0</v>
      </c>
      <c r="AF1448" s="8">
        <v>0</v>
      </c>
      <c r="AN1448" s="8">
        <v>6</v>
      </c>
      <c r="AO1448" s="8">
        <v>0</v>
      </c>
    </row>
    <row r="1449" spans="1:41" x14ac:dyDescent="0.25">
      <c r="A1449" s="6" t="str">
        <f t="shared" si="409"/>
        <v>522-2025004498</v>
      </c>
      <c r="B1449" s="6" t="str">
        <f t="shared" si="402"/>
        <v>EL CORTE</v>
      </c>
      <c r="C1449" s="7">
        <v>46022</v>
      </c>
      <c r="D1449" s="7">
        <v>46027</v>
      </c>
      <c r="E1449" s="8">
        <v>8</v>
      </c>
      <c r="F1449" s="6" t="str">
        <f t="shared" si="410"/>
        <v>94726001_07026</v>
      </c>
      <c r="G1449" s="6" t="str">
        <f t="shared" si="403"/>
        <v>F310631650000000</v>
      </c>
      <c r="H1449" s="6" t="str">
        <f t="shared" si="404"/>
        <v>PLAR 6316 FD - 500 g</v>
      </c>
      <c r="I1449" s="6" t="str">
        <f>"200510"</f>
        <v>200510</v>
      </c>
      <c r="J1449" s="6" t="str">
        <f>"VERDE 510"</f>
        <v>VERDE 510</v>
      </c>
      <c r="K1449" s="6" t="str">
        <f>"1024"</f>
        <v>1024</v>
      </c>
      <c r="L1449" s="6" t="str">
        <f>"Toalhas"</f>
        <v>Toalhas</v>
      </c>
      <c r="M1449" s="6" t="str">
        <f>"50x100"</f>
        <v>50x100</v>
      </c>
      <c r="N1449" s="6" t="str">
        <f>"5602972281149"</f>
        <v>5602972281149</v>
      </c>
      <c r="O1449" s="8">
        <v>12</v>
      </c>
      <c r="R1449" s="8">
        <v>0</v>
      </c>
      <c r="U1449" s="8">
        <v>0</v>
      </c>
      <c r="X1449" s="8">
        <v>0</v>
      </c>
      <c r="Z1449" s="8">
        <v>0</v>
      </c>
      <c r="AC1449" s="8">
        <v>0</v>
      </c>
      <c r="AF1449" s="8">
        <v>0</v>
      </c>
      <c r="AN1449" s="8">
        <v>12</v>
      </c>
      <c r="AO1449" s="8">
        <v>0</v>
      </c>
    </row>
    <row r="1450" spans="1:41" x14ac:dyDescent="0.25">
      <c r="A1450" s="6" t="str">
        <f>"522-2025004499"</f>
        <v>522-2025004499</v>
      </c>
      <c r="B1450" s="6" t="str">
        <f t="shared" si="402"/>
        <v>EL CORTE</v>
      </c>
      <c r="C1450" s="7">
        <v>46022</v>
      </c>
      <c r="D1450" s="7">
        <v>46027</v>
      </c>
      <c r="E1450" s="8">
        <v>1</v>
      </c>
      <c r="F1450" s="6" t="str">
        <f>"94725101_07026"</f>
        <v>94725101_07026</v>
      </c>
      <c r="G1450" s="6" t="str">
        <f t="shared" si="403"/>
        <v>F310631650000000</v>
      </c>
      <c r="H1450" s="6" t="str">
        <f t="shared" si="404"/>
        <v>PLAR 6316 FD - 500 g</v>
      </c>
      <c r="I1450" s="6" t="str">
        <f>"200510"</f>
        <v>200510</v>
      </c>
      <c r="J1450" s="6" t="str">
        <f>"VERDE 510"</f>
        <v>VERDE 510</v>
      </c>
      <c r="K1450" s="6" t="str">
        <f>"0520"</f>
        <v>0520</v>
      </c>
      <c r="L1450" s="6" t="str">
        <f>"Toalhetes"</f>
        <v>Toalhetes</v>
      </c>
      <c r="M1450" s="6" t="str">
        <f>"30x50"</f>
        <v>30x50</v>
      </c>
      <c r="N1450" s="6" t="str">
        <f>"5602972281132"</f>
        <v>5602972281132</v>
      </c>
      <c r="O1450" s="8">
        <v>6</v>
      </c>
      <c r="R1450" s="8">
        <v>0</v>
      </c>
      <c r="U1450" s="8">
        <v>0</v>
      </c>
      <c r="X1450" s="8">
        <v>0</v>
      </c>
      <c r="Z1450" s="8">
        <v>0</v>
      </c>
      <c r="AC1450" s="8">
        <v>0</v>
      </c>
      <c r="AF1450" s="8">
        <v>0</v>
      </c>
      <c r="AN1450" s="8">
        <v>6</v>
      </c>
      <c r="AO1450" s="8">
        <v>0</v>
      </c>
    </row>
    <row r="1451" spans="1:41" x14ac:dyDescent="0.25">
      <c r="A1451" s="6" t="str">
        <f>"522-2025004499"</f>
        <v>522-2025004499</v>
      </c>
      <c r="B1451" s="6" t="str">
        <f t="shared" si="402"/>
        <v>EL CORTE</v>
      </c>
      <c r="C1451" s="7">
        <v>46022</v>
      </c>
      <c r="D1451" s="7">
        <v>46027</v>
      </c>
      <c r="E1451" s="8">
        <v>2</v>
      </c>
      <c r="F1451" s="6" t="str">
        <f>"94725101_07026"</f>
        <v>94725101_07026</v>
      </c>
      <c r="G1451" s="6" t="str">
        <f t="shared" si="403"/>
        <v>F310631650000000</v>
      </c>
      <c r="H1451" s="6" t="str">
        <f t="shared" si="404"/>
        <v>PLAR 6316 FD - 500 g</v>
      </c>
      <c r="I1451" s="6" t="str">
        <f>"200510"</f>
        <v>200510</v>
      </c>
      <c r="J1451" s="6" t="str">
        <f>"VERDE 510"</f>
        <v>VERDE 510</v>
      </c>
      <c r="K1451" s="6" t="str">
        <f>"2020"</f>
        <v>2020</v>
      </c>
      <c r="L1451" s="6" t="str">
        <f>"Lençóis"</f>
        <v>Lençóis</v>
      </c>
      <c r="M1451" s="6" t="str">
        <f>"100x150"</f>
        <v>100x150</v>
      </c>
      <c r="N1451" s="6" t="str">
        <f>"5602972281156"</f>
        <v>5602972281156</v>
      </c>
      <c r="O1451" s="8">
        <v>3</v>
      </c>
      <c r="R1451" s="8">
        <v>0</v>
      </c>
      <c r="U1451" s="8">
        <v>0</v>
      </c>
      <c r="X1451" s="8">
        <v>0</v>
      </c>
      <c r="Z1451" s="8">
        <v>0</v>
      </c>
      <c r="AC1451" s="8">
        <v>0</v>
      </c>
      <c r="AF1451" s="8">
        <v>0</v>
      </c>
      <c r="AN1451" s="8">
        <v>3</v>
      </c>
      <c r="AO1451" s="8">
        <v>0</v>
      </c>
    </row>
    <row r="1452" spans="1:41" x14ac:dyDescent="0.25">
      <c r="A1452" s="6" t="str">
        <f>"522-2025004500"</f>
        <v>522-2025004500</v>
      </c>
      <c r="B1452" s="6" t="str">
        <f t="shared" si="402"/>
        <v>EL CORTE</v>
      </c>
      <c r="C1452" s="7">
        <v>46022</v>
      </c>
      <c r="D1452" s="7">
        <v>46027</v>
      </c>
      <c r="E1452" s="8">
        <v>1</v>
      </c>
      <c r="F1452" s="6" t="str">
        <f>"94726601_07026"</f>
        <v>94726601_07026</v>
      </c>
      <c r="G1452" s="6" t="str">
        <f t="shared" si="403"/>
        <v>F310631650000000</v>
      </c>
      <c r="H1452" s="6" t="str">
        <f t="shared" si="404"/>
        <v>PLAR 6316 FD - 500 g</v>
      </c>
      <c r="I1452" s="6" t="str">
        <f>"202575"</f>
        <v>202575</v>
      </c>
      <c r="J1452" s="6" t="str">
        <f>"BEGE 2575"</f>
        <v>BEGE 2575</v>
      </c>
      <c r="K1452" s="6" t="str">
        <f>"1024"</f>
        <v>1024</v>
      </c>
      <c r="L1452" s="6" t="str">
        <f>"Toalhas"</f>
        <v>Toalhas</v>
      </c>
      <c r="M1452" s="6" t="str">
        <f>"50x100"</f>
        <v>50x100</v>
      </c>
      <c r="N1452" s="6" t="str">
        <f>"5602972281088"</f>
        <v>5602972281088</v>
      </c>
      <c r="O1452" s="8">
        <v>6</v>
      </c>
      <c r="R1452" s="8">
        <v>0</v>
      </c>
      <c r="U1452" s="8">
        <v>0</v>
      </c>
      <c r="X1452" s="8">
        <v>0</v>
      </c>
      <c r="Z1452" s="8">
        <v>0</v>
      </c>
      <c r="AC1452" s="8">
        <v>0</v>
      </c>
      <c r="AF1452" s="8">
        <v>0</v>
      </c>
      <c r="AN1452" s="8">
        <v>6</v>
      </c>
      <c r="AO1452" s="8">
        <v>0</v>
      </c>
    </row>
    <row r="1453" spans="1:41" x14ac:dyDescent="0.25">
      <c r="A1453" s="6" t="str">
        <f>"522-2025004500"</f>
        <v>522-2025004500</v>
      </c>
      <c r="B1453" s="6" t="str">
        <f t="shared" si="402"/>
        <v>EL CORTE</v>
      </c>
      <c r="C1453" s="7">
        <v>46022</v>
      </c>
      <c r="D1453" s="7">
        <v>46027</v>
      </c>
      <c r="E1453" s="8">
        <v>2</v>
      </c>
      <c r="F1453" s="6" t="str">
        <f>"94726601_07026"</f>
        <v>94726601_07026</v>
      </c>
      <c r="G1453" s="6" t="str">
        <f t="shared" si="403"/>
        <v>F310631650000000</v>
      </c>
      <c r="H1453" s="6" t="str">
        <f t="shared" si="404"/>
        <v>PLAR 6316 FD - 500 g</v>
      </c>
      <c r="I1453" s="6" t="str">
        <f>"200901"</f>
        <v>200901</v>
      </c>
      <c r="J1453" s="6" t="str">
        <f>"ROSA 901"</f>
        <v>ROSA 901</v>
      </c>
      <c r="K1453" s="6" t="str">
        <f>"1024"</f>
        <v>1024</v>
      </c>
      <c r="L1453" s="6" t="str">
        <f>"Toalhas"</f>
        <v>Toalhas</v>
      </c>
      <c r="M1453" s="6" t="str">
        <f>"50x100"</f>
        <v>50x100</v>
      </c>
      <c r="N1453" s="6" t="str">
        <f>"5602972281118"</f>
        <v>5602972281118</v>
      </c>
      <c r="O1453" s="8">
        <v>6</v>
      </c>
      <c r="R1453" s="8">
        <v>0</v>
      </c>
      <c r="U1453" s="8">
        <v>0</v>
      </c>
      <c r="X1453" s="8">
        <v>0</v>
      </c>
      <c r="Z1453" s="8">
        <v>0</v>
      </c>
      <c r="AC1453" s="8">
        <v>0</v>
      </c>
      <c r="AF1453" s="8">
        <v>0</v>
      </c>
      <c r="AN1453" s="8">
        <v>6</v>
      </c>
      <c r="AO1453" s="8">
        <v>0</v>
      </c>
    </row>
    <row r="1454" spans="1:41" x14ac:dyDescent="0.25">
      <c r="A1454" s="6" t="str">
        <f>"522-2025004501"</f>
        <v>522-2025004501</v>
      </c>
      <c r="B1454" s="6" t="str">
        <f t="shared" si="402"/>
        <v>EL CORTE</v>
      </c>
      <c r="C1454" s="7">
        <v>46022</v>
      </c>
      <c r="D1454" s="7">
        <v>46027</v>
      </c>
      <c r="E1454" s="8">
        <v>1</v>
      </c>
      <c r="F1454" s="6" t="str">
        <f>"94725301_07026"</f>
        <v>94725301_07026</v>
      </c>
      <c r="G1454" s="6" t="str">
        <f t="shared" si="403"/>
        <v>F310631650000000</v>
      </c>
      <c r="H1454" s="6" t="str">
        <f t="shared" si="404"/>
        <v>PLAR 6316 FD - 500 g</v>
      </c>
      <c r="I1454" s="6" t="str">
        <f>"200901"</f>
        <v>200901</v>
      </c>
      <c r="J1454" s="6" t="str">
        <f>"ROSA 901"</f>
        <v>ROSA 901</v>
      </c>
      <c r="K1454" s="6" t="str">
        <f>"1024"</f>
        <v>1024</v>
      </c>
      <c r="L1454" s="6" t="str">
        <f>"Toalhas"</f>
        <v>Toalhas</v>
      </c>
      <c r="M1454" s="6" t="str">
        <f>"50x100"</f>
        <v>50x100</v>
      </c>
      <c r="N1454" s="6" t="str">
        <f>"5602972281118"</f>
        <v>5602972281118</v>
      </c>
      <c r="O1454" s="8">
        <v>6</v>
      </c>
      <c r="R1454" s="8">
        <v>0</v>
      </c>
      <c r="U1454" s="8">
        <v>0</v>
      </c>
      <c r="X1454" s="8">
        <v>0</v>
      </c>
      <c r="Z1454" s="8">
        <v>0</v>
      </c>
      <c r="AC1454" s="8">
        <v>0</v>
      </c>
      <c r="AF1454" s="8">
        <v>0</v>
      </c>
      <c r="AN1454" s="8">
        <v>6</v>
      </c>
      <c r="AO1454" s="8">
        <v>0</v>
      </c>
    </row>
    <row r="1455" spans="1:41" x14ac:dyDescent="0.25">
      <c r="A1455" s="6" t="str">
        <f>"522-2025004501"</f>
        <v>522-2025004501</v>
      </c>
      <c r="B1455" s="6" t="str">
        <f t="shared" si="402"/>
        <v>EL CORTE</v>
      </c>
      <c r="C1455" s="7">
        <v>46022</v>
      </c>
      <c r="D1455" s="7">
        <v>46027</v>
      </c>
      <c r="E1455" s="8">
        <v>2</v>
      </c>
      <c r="F1455" s="6" t="str">
        <f>"94725301_07026"</f>
        <v>94725301_07026</v>
      </c>
      <c r="G1455" s="6" t="str">
        <f t="shared" si="403"/>
        <v>F310631650000000</v>
      </c>
      <c r="H1455" s="6" t="str">
        <f t="shared" si="404"/>
        <v>PLAR 6316 FD - 500 g</v>
      </c>
      <c r="I1455" s="6" t="str">
        <f>"200510"</f>
        <v>200510</v>
      </c>
      <c r="J1455" s="6" t="str">
        <f>"VERDE 510"</f>
        <v>VERDE 510</v>
      </c>
      <c r="K1455" s="6" t="str">
        <f>"1024"</f>
        <v>1024</v>
      </c>
      <c r="L1455" s="6" t="str">
        <f>"Toalhas"</f>
        <v>Toalhas</v>
      </c>
      <c r="M1455" s="6" t="str">
        <f>"50x100"</f>
        <v>50x100</v>
      </c>
      <c r="N1455" s="6" t="str">
        <f>"5602972281149"</f>
        <v>5602972281149</v>
      </c>
      <c r="O1455" s="8">
        <v>6</v>
      </c>
      <c r="R1455" s="8">
        <v>0</v>
      </c>
      <c r="U1455" s="8">
        <v>0</v>
      </c>
      <c r="X1455" s="8">
        <v>0</v>
      </c>
      <c r="Z1455" s="8">
        <v>0</v>
      </c>
      <c r="AC1455" s="8">
        <v>0</v>
      </c>
      <c r="AF1455" s="8">
        <v>0</v>
      </c>
      <c r="AN1455" s="8">
        <v>6</v>
      </c>
      <c r="AO1455" s="8">
        <v>0</v>
      </c>
    </row>
    <row r="1456" spans="1:41" x14ac:dyDescent="0.25">
      <c r="A1456" s="6" t="str">
        <f>"522-2025004501"</f>
        <v>522-2025004501</v>
      </c>
      <c r="B1456" s="6" t="str">
        <f t="shared" si="402"/>
        <v>EL CORTE</v>
      </c>
      <c r="C1456" s="7">
        <v>46022</v>
      </c>
      <c r="D1456" s="7">
        <v>46027</v>
      </c>
      <c r="E1456" s="8">
        <v>3</v>
      </c>
      <c r="F1456" s="6" t="str">
        <f>"94725301_07026"</f>
        <v>94725301_07026</v>
      </c>
      <c r="G1456" s="6" t="str">
        <f t="shared" si="403"/>
        <v>F310631650000000</v>
      </c>
      <c r="H1456" s="6" t="str">
        <f t="shared" si="404"/>
        <v>PLAR 6316 FD - 500 g</v>
      </c>
      <c r="I1456" s="6" t="str">
        <f>"200510"</f>
        <v>200510</v>
      </c>
      <c r="J1456" s="6" t="str">
        <f>"VERDE 510"</f>
        <v>VERDE 510</v>
      </c>
      <c r="K1456" s="6" t="str">
        <f>"2020"</f>
        <v>2020</v>
      </c>
      <c r="L1456" s="6" t="str">
        <f>"Lençóis"</f>
        <v>Lençóis</v>
      </c>
      <c r="M1456" s="6" t="str">
        <f>"100x150"</f>
        <v>100x150</v>
      </c>
      <c r="N1456" s="6" t="str">
        <f>"5602972281156"</f>
        <v>5602972281156</v>
      </c>
      <c r="O1456" s="8">
        <v>3</v>
      </c>
      <c r="R1456" s="8">
        <v>0</v>
      </c>
      <c r="U1456" s="8">
        <v>0</v>
      </c>
      <c r="X1456" s="8">
        <v>0</v>
      </c>
      <c r="Z1456" s="8">
        <v>0</v>
      </c>
      <c r="AC1456" s="8">
        <v>0</v>
      </c>
      <c r="AF1456" s="8">
        <v>0</v>
      </c>
      <c r="AN1456" s="8">
        <v>3</v>
      </c>
      <c r="AO1456" s="8">
        <v>0</v>
      </c>
    </row>
    <row r="1457" spans="1:41" x14ac:dyDescent="0.25">
      <c r="A1457" s="6" t="str">
        <f t="shared" ref="A1457:A1463" si="411">"522-2025004502"</f>
        <v>522-2025004502</v>
      </c>
      <c r="B1457" s="6" t="str">
        <f t="shared" si="402"/>
        <v>EL CORTE</v>
      </c>
      <c r="C1457" s="7">
        <v>46022</v>
      </c>
      <c r="D1457" s="7">
        <v>46027</v>
      </c>
      <c r="E1457" s="8">
        <v>1</v>
      </c>
      <c r="F1457" s="6" t="str">
        <f t="shared" ref="F1457:F1463" si="412">"94726101_07026"</f>
        <v>94726101_07026</v>
      </c>
      <c r="G1457" s="6" t="str">
        <f t="shared" si="403"/>
        <v>F310631650000000</v>
      </c>
      <c r="H1457" s="6" t="str">
        <f t="shared" si="404"/>
        <v>PLAR 6316 FD - 500 g</v>
      </c>
      <c r="I1457" s="6" t="str">
        <f>"201855"</f>
        <v>201855</v>
      </c>
      <c r="J1457" s="6" t="str">
        <f>"AZUL 1855"</f>
        <v>AZUL 1855</v>
      </c>
      <c r="K1457" s="6" t="str">
        <f>"1024"</f>
        <v>1024</v>
      </c>
      <c r="L1457" s="6" t="str">
        <f>"Toalhas"</f>
        <v>Toalhas</v>
      </c>
      <c r="M1457" s="6" t="str">
        <f>"50x100"</f>
        <v>50x100</v>
      </c>
      <c r="N1457" s="6" t="str">
        <f>"5602972281057"</f>
        <v>5602972281057</v>
      </c>
      <c r="O1457" s="8">
        <v>6</v>
      </c>
      <c r="R1457" s="8">
        <v>0</v>
      </c>
      <c r="U1457" s="8">
        <v>0</v>
      </c>
      <c r="X1457" s="8">
        <v>0</v>
      </c>
      <c r="Z1457" s="8">
        <v>0</v>
      </c>
      <c r="AC1457" s="8">
        <v>0</v>
      </c>
      <c r="AF1457" s="8">
        <v>0</v>
      </c>
      <c r="AN1457" s="8">
        <v>6</v>
      </c>
      <c r="AO1457" s="8">
        <v>0</v>
      </c>
    </row>
    <row r="1458" spans="1:41" x14ac:dyDescent="0.25">
      <c r="A1458" s="6" t="str">
        <f t="shared" si="411"/>
        <v>522-2025004502</v>
      </c>
      <c r="B1458" s="6" t="str">
        <f t="shared" si="402"/>
        <v>EL CORTE</v>
      </c>
      <c r="C1458" s="7">
        <v>46022</v>
      </c>
      <c r="D1458" s="7">
        <v>46027</v>
      </c>
      <c r="E1458" s="8">
        <v>2</v>
      </c>
      <c r="F1458" s="6" t="str">
        <f t="shared" si="412"/>
        <v>94726101_07026</v>
      </c>
      <c r="G1458" s="6" t="str">
        <f t="shared" si="403"/>
        <v>F310631650000000</v>
      </c>
      <c r="H1458" s="6" t="str">
        <f t="shared" si="404"/>
        <v>PLAR 6316 FD - 500 g</v>
      </c>
      <c r="I1458" s="6" t="str">
        <f>"201855"</f>
        <v>201855</v>
      </c>
      <c r="J1458" s="6" t="str">
        <f>"AZUL 1855"</f>
        <v>AZUL 1855</v>
      </c>
      <c r="K1458" s="6" t="str">
        <f>"2020"</f>
        <v>2020</v>
      </c>
      <c r="L1458" s="6" t="str">
        <f>"Lençóis"</f>
        <v>Lençóis</v>
      </c>
      <c r="M1458" s="6" t="str">
        <f>"100x150"</f>
        <v>100x150</v>
      </c>
      <c r="N1458" s="6" t="str">
        <f>"5602972281064"</f>
        <v>5602972281064</v>
      </c>
      <c r="O1458" s="8">
        <v>3</v>
      </c>
      <c r="R1458" s="8">
        <v>0</v>
      </c>
      <c r="U1458" s="8">
        <v>0</v>
      </c>
      <c r="X1458" s="8">
        <v>0</v>
      </c>
      <c r="Z1458" s="8">
        <v>0</v>
      </c>
      <c r="AC1458" s="8">
        <v>0</v>
      </c>
      <c r="AF1458" s="8">
        <v>0</v>
      </c>
      <c r="AN1458" s="8">
        <v>0</v>
      </c>
      <c r="AO1458" s="8">
        <v>3</v>
      </c>
    </row>
    <row r="1459" spans="1:41" x14ac:dyDescent="0.25">
      <c r="A1459" s="6" t="str">
        <f t="shared" si="411"/>
        <v>522-2025004502</v>
      </c>
      <c r="B1459" s="6" t="str">
        <f t="shared" si="402"/>
        <v>EL CORTE</v>
      </c>
      <c r="C1459" s="7">
        <v>46022</v>
      </c>
      <c r="D1459" s="7">
        <v>46027</v>
      </c>
      <c r="E1459" s="8">
        <v>3</v>
      </c>
      <c r="F1459" s="6" t="str">
        <f t="shared" si="412"/>
        <v>94726101_07026</v>
      </c>
      <c r="G1459" s="6" t="str">
        <f t="shared" si="403"/>
        <v>F310631650000000</v>
      </c>
      <c r="H1459" s="6" t="str">
        <f t="shared" si="404"/>
        <v>PLAR 6316 FD - 500 g</v>
      </c>
      <c r="I1459" s="6" t="str">
        <f>"202575"</f>
        <v>202575</v>
      </c>
      <c r="J1459" s="6" t="str">
        <f>"BEGE 2575"</f>
        <v>BEGE 2575</v>
      </c>
      <c r="K1459" s="6" t="str">
        <f>"1024"</f>
        <v>1024</v>
      </c>
      <c r="L1459" s="6" t="str">
        <f>"Toalhas"</f>
        <v>Toalhas</v>
      </c>
      <c r="M1459" s="6" t="str">
        <f>"50x100"</f>
        <v>50x100</v>
      </c>
      <c r="N1459" s="6" t="str">
        <f>"5602972281088"</f>
        <v>5602972281088</v>
      </c>
      <c r="O1459" s="8">
        <v>6</v>
      </c>
      <c r="R1459" s="8">
        <v>0</v>
      </c>
      <c r="U1459" s="8">
        <v>0</v>
      </c>
      <c r="X1459" s="8">
        <v>0</v>
      </c>
      <c r="Z1459" s="8">
        <v>0</v>
      </c>
      <c r="AC1459" s="8">
        <v>0</v>
      </c>
      <c r="AF1459" s="8">
        <v>0</v>
      </c>
      <c r="AN1459" s="8">
        <v>6</v>
      </c>
      <c r="AO1459" s="8">
        <v>0</v>
      </c>
    </row>
    <row r="1460" spans="1:41" x14ac:dyDescent="0.25">
      <c r="A1460" s="6" t="str">
        <f t="shared" si="411"/>
        <v>522-2025004502</v>
      </c>
      <c r="B1460" s="6" t="str">
        <f t="shared" si="402"/>
        <v>EL CORTE</v>
      </c>
      <c r="C1460" s="7">
        <v>46022</v>
      </c>
      <c r="D1460" s="7">
        <v>46027</v>
      </c>
      <c r="E1460" s="8">
        <v>4</v>
      </c>
      <c r="F1460" s="6" t="str">
        <f t="shared" si="412"/>
        <v>94726101_07026</v>
      </c>
      <c r="G1460" s="6" t="str">
        <f t="shared" si="403"/>
        <v>F310631650000000</v>
      </c>
      <c r="H1460" s="6" t="str">
        <f t="shared" si="404"/>
        <v>PLAR 6316 FD - 500 g</v>
      </c>
      <c r="I1460" s="6" t="str">
        <f>"202575"</f>
        <v>202575</v>
      </c>
      <c r="J1460" s="6" t="str">
        <f>"BEGE 2575"</f>
        <v>BEGE 2575</v>
      </c>
      <c r="K1460" s="6" t="str">
        <f>"2020"</f>
        <v>2020</v>
      </c>
      <c r="L1460" s="6" t="str">
        <f>"Lençóis"</f>
        <v>Lençóis</v>
      </c>
      <c r="M1460" s="6" t="str">
        <f>"100x150"</f>
        <v>100x150</v>
      </c>
      <c r="N1460" s="6" t="str">
        <f>"5602972281095"</f>
        <v>5602972281095</v>
      </c>
      <c r="O1460" s="8">
        <v>6</v>
      </c>
      <c r="R1460" s="8">
        <v>0</v>
      </c>
      <c r="U1460" s="8">
        <v>0</v>
      </c>
      <c r="X1460" s="8">
        <v>0</v>
      </c>
      <c r="Z1460" s="8">
        <v>0</v>
      </c>
      <c r="AC1460" s="8">
        <v>0</v>
      </c>
      <c r="AF1460" s="8">
        <v>0</v>
      </c>
      <c r="AN1460" s="8">
        <v>6</v>
      </c>
      <c r="AO1460" s="8">
        <v>0</v>
      </c>
    </row>
    <row r="1461" spans="1:41" x14ac:dyDescent="0.25">
      <c r="A1461" s="6" t="str">
        <f t="shared" si="411"/>
        <v>522-2025004502</v>
      </c>
      <c r="B1461" s="6" t="str">
        <f t="shared" si="402"/>
        <v>EL CORTE</v>
      </c>
      <c r="C1461" s="7">
        <v>46022</v>
      </c>
      <c r="D1461" s="7">
        <v>46027</v>
      </c>
      <c r="E1461" s="8">
        <v>5</v>
      </c>
      <c r="F1461" s="6" t="str">
        <f t="shared" si="412"/>
        <v>94726101_07026</v>
      </c>
      <c r="G1461" s="6" t="str">
        <f t="shared" si="403"/>
        <v>F310631650000000</v>
      </c>
      <c r="H1461" s="6" t="str">
        <f t="shared" si="404"/>
        <v>PLAR 6316 FD - 500 g</v>
      </c>
      <c r="I1461" s="6" t="str">
        <f>"200901"</f>
        <v>200901</v>
      </c>
      <c r="J1461" s="6" t="str">
        <f>"ROSA 901"</f>
        <v>ROSA 901</v>
      </c>
      <c r="K1461" s="6" t="str">
        <f>"1024"</f>
        <v>1024</v>
      </c>
      <c r="L1461" s="6" t="str">
        <f>"Toalhas"</f>
        <v>Toalhas</v>
      </c>
      <c r="M1461" s="6" t="str">
        <f>"50x100"</f>
        <v>50x100</v>
      </c>
      <c r="N1461" s="6" t="str">
        <f>"5602972281118"</f>
        <v>5602972281118</v>
      </c>
      <c r="O1461" s="8">
        <v>6</v>
      </c>
      <c r="R1461" s="8">
        <v>0</v>
      </c>
      <c r="U1461" s="8">
        <v>0</v>
      </c>
      <c r="X1461" s="8">
        <v>0</v>
      </c>
      <c r="Z1461" s="8">
        <v>0</v>
      </c>
      <c r="AC1461" s="8">
        <v>0</v>
      </c>
      <c r="AF1461" s="8">
        <v>0</v>
      </c>
      <c r="AN1461" s="8">
        <v>6</v>
      </c>
      <c r="AO1461" s="8">
        <v>0</v>
      </c>
    </row>
    <row r="1462" spans="1:41" x14ac:dyDescent="0.25">
      <c r="A1462" s="6" t="str">
        <f t="shared" si="411"/>
        <v>522-2025004502</v>
      </c>
      <c r="B1462" s="6" t="str">
        <f t="shared" si="402"/>
        <v>EL CORTE</v>
      </c>
      <c r="C1462" s="7">
        <v>46022</v>
      </c>
      <c r="D1462" s="7">
        <v>46027</v>
      </c>
      <c r="E1462" s="8">
        <v>6</v>
      </c>
      <c r="F1462" s="6" t="str">
        <f t="shared" si="412"/>
        <v>94726101_07026</v>
      </c>
      <c r="G1462" s="6" t="str">
        <f t="shared" si="403"/>
        <v>F310631650000000</v>
      </c>
      <c r="H1462" s="6" t="str">
        <f t="shared" si="404"/>
        <v>PLAR 6316 FD - 500 g</v>
      </c>
      <c r="I1462" s="6" t="str">
        <f>"200901"</f>
        <v>200901</v>
      </c>
      <c r="J1462" s="6" t="str">
        <f>"ROSA 901"</f>
        <v>ROSA 901</v>
      </c>
      <c r="K1462" s="6" t="str">
        <f>"2020"</f>
        <v>2020</v>
      </c>
      <c r="L1462" s="6" t="str">
        <f>"Lençóis"</f>
        <v>Lençóis</v>
      </c>
      <c r="M1462" s="6" t="str">
        <f>"100x150"</f>
        <v>100x150</v>
      </c>
      <c r="N1462" s="6" t="str">
        <f>"5602972281125"</f>
        <v>5602972281125</v>
      </c>
      <c r="O1462" s="8">
        <v>3</v>
      </c>
      <c r="R1462" s="8">
        <v>0</v>
      </c>
      <c r="U1462" s="8">
        <v>0</v>
      </c>
      <c r="X1462" s="8">
        <v>0</v>
      </c>
      <c r="Z1462" s="8">
        <v>0</v>
      </c>
      <c r="AC1462" s="8">
        <v>0</v>
      </c>
      <c r="AF1462" s="8">
        <v>0</v>
      </c>
      <c r="AN1462" s="8">
        <v>0</v>
      </c>
      <c r="AO1462" s="8">
        <v>3</v>
      </c>
    </row>
    <row r="1463" spans="1:41" x14ac:dyDescent="0.25">
      <c r="A1463" s="6" t="str">
        <f t="shared" si="411"/>
        <v>522-2025004502</v>
      </c>
      <c r="B1463" s="6" t="str">
        <f t="shared" si="402"/>
        <v>EL CORTE</v>
      </c>
      <c r="C1463" s="7">
        <v>46022</v>
      </c>
      <c r="D1463" s="7">
        <v>46027</v>
      </c>
      <c r="E1463" s="8">
        <v>7</v>
      </c>
      <c r="F1463" s="6" t="str">
        <f t="shared" si="412"/>
        <v>94726101_07026</v>
      </c>
      <c r="G1463" s="6" t="str">
        <f t="shared" si="403"/>
        <v>F310631650000000</v>
      </c>
      <c r="H1463" s="6" t="str">
        <f t="shared" si="404"/>
        <v>PLAR 6316 FD - 500 g</v>
      </c>
      <c r="I1463" s="6" t="str">
        <f>"200510"</f>
        <v>200510</v>
      </c>
      <c r="J1463" s="6" t="str">
        <f>"VERDE 510"</f>
        <v>VERDE 510</v>
      </c>
      <c r="K1463" s="6" t="str">
        <f>"1024"</f>
        <v>1024</v>
      </c>
      <c r="L1463" s="6" t="str">
        <f>"Toalhas"</f>
        <v>Toalhas</v>
      </c>
      <c r="M1463" s="6" t="str">
        <f>"50x100"</f>
        <v>50x100</v>
      </c>
      <c r="N1463" s="6" t="str">
        <f>"5602972281149"</f>
        <v>5602972281149</v>
      </c>
      <c r="O1463" s="8">
        <v>6</v>
      </c>
      <c r="R1463" s="8">
        <v>0</v>
      </c>
      <c r="U1463" s="8">
        <v>0</v>
      </c>
      <c r="X1463" s="8">
        <v>0</v>
      </c>
      <c r="Z1463" s="8">
        <v>0</v>
      </c>
      <c r="AC1463" s="8">
        <v>0</v>
      </c>
      <c r="AF1463" s="8">
        <v>0</v>
      </c>
      <c r="AN1463" s="8">
        <v>6</v>
      </c>
      <c r="AO1463" s="8">
        <v>0</v>
      </c>
    </row>
    <row r="1464" spans="1:41" x14ac:dyDescent="0.25">
      <c r="A1464" s="6" t="str">
        <f>"522-2025004503"</f>
        <v>522-2025004503</v>
      </c>
      <c r="B1464" s="6" t="str">
        <f t="shared" si="402"/>
        <v>EL CORTE</v>
      </c>
      <c r="C1464" s="7">
        <v>46022</v>
      </c>
      <c r="D1464" s="7">
        <v>46027</v>
      </c>
      <c r="E1464" s="8">
        <v>1</v>
      </c>
      <c r="F1464" s="6" t="str">
        <f>"94726301_07026"</f>
        <v>94726301_07026</v>
      </c>
      <c r="G1464" s="6" t="str">
        <f t="shared" si="403"/>
        <v>F310631650000000</v>
      </c>
      <c r="H1464" s="6" t="str">
        <f t="shared" si="404"/>
        <v>PLAR 6316 FD - 500 g</v>
      </c>
      <c r="I1464" s="6" t="str">
        <f>"202575"</f>
        <v>202575</v>
      </c>
      <c r="J1464" s="6" t="str">
        <f>"BEGE 2575"</f>
        <v>BEGE 2575</v>
      </c>
      <c r="K1464" s="6" t="str">
        <f>"1024"</f>
        <v>1024</v>
      </c>
      <c r="L1464" s="6" t="str">
        <f>"Toalhas"</f>
        <v>Toalhas</v>
      </c>
      <c r="M1464" s="6" t="str">
        <f>"50x100"</f>
        <v>50x100</v>
      </c>
      <c r="N1464" s="6" t="str">
        <f>"5602972281088"</f>
        <v>5602972281088</v>
      </c>
      <c r="O1464" s="8">
        <v>6</v>
      </c>
      <c r="R1464" s="8">
        <v>0</v>
      </c>
      <c r="U1464" s="8">
        <v>0</v>
      </c>
      <c r="X1464" s="8">
        <v>0</v>
      </c>
      <c r="Z1464" s="8">
        <v>0</v>
      </c>
      <c r="AC1464" s="8">
        <v>0</v>
      </c>
      <c r="AF1464" s="8">
        <v>0</v>
      </c>
      <c r="AN1464" s="8">
        <v>6</v>
      </c>
      <c r="AO1464" s="8">
        <v>0</v>
      </c>
    </row>
    <row r="1465" spans="1:41" x14ac:dyDescent="0.25">
      <c r="A1465" s="6" t="str">
        <f>"522-2025004503"</f>
        <v>522-2025004503</v>
      </c>
      <c r="B1465" s="6" t="str">
        <f t="shared" si="402"/>
        <v>EL CORTE</v>
      </c>
      <c r="C1465" s="7">
        <v>46022</v>
      </c>
      <c r="D1465" s="7">
        <v>46027</v>
      </c>
      <c r="E1465" s="8">
        <v>2</v>
      </c>
      <c r="F1465" s="6" t="str">
        <f>"94726301_07026"</f>
        <v>94726301_07026</v>
      </c>
      <c r="G1465" s="6" t="str">
        <f t="shared" si="403"/>
        <v>F310631650000000</v>
      </c>
      <c r="H1465" s="6" t="str">
        <f t="shared" si="404"/>
        <v>PLAR 6316 FD - 500 g</v>
      </c>
      <c r="I1465" s="6" t="str">
        <f>"200901"</f>
        <v>200901</v>
      </c>
      <c r="J1465" s="6" t="str">
        <f>"ROSA 901"</f>
        <v>ROSA 901</v>
      </c>
      <c r="K1465" s="6" t="str">
        <f>"0520"</f>
        <v>0520</v>
      </c>
      <c r="L1465" s="6" t="str">
        <f>"Toalhetes"</f>
        <v>Toalhetes</v>
      </c>
      <c r="M1465" s="6" t="str">
        <f>"30x50"</f>
        <v>30x50</v>
      </c>
      <c r="N1465" s="6" t="str">
        <f>"5602972281101"</f>
        <v>5602972281101</v>
      </c>
      <c r="O1465" s="8">
        <v>6</v>
      </c>
      <c r="R1465" s="8">
        <v>0</v>
      </c>
      <c r="U1465" s="8">
        <v>0</v>
      </c>
      <c r="X1465" s="8">
        <v>0</v>
      </c>
      <c r="Z1465" s="8">
        <v>0</v>
      </c>
      <c r="AC1465" s="8">
        <v>0</v>
      </c>
      <c r="AF1465" s="8">
        <v>0</v>
      </c>
      <c r="AN1465" s="8">
        <v>6</v>
      </c>
      <c r="AO1465" s="8">
        <v>0</v>
      </c>
    </row>
    <row r="1466" spans="1:41" x14ac:dyDescent="0.25">
      <c r="A1466" s="6" t="str">
        <f>"522-2025004503"</f>
        <v>522-2025004503</v>
      </c>
      <c r="B1466" s="6" t="str">
        <f t="shared" si="402"/>
        <v>EL CORTE</v>
      </c>
      <c r="C1466" s="7">
        <v>46022</v>
      </c>
      <c r="D1466" s="7">
        <v>46027</v>
      </c>
      <c r="E1466" s="8">
        <v>3</v>
      </c>
      <c r="F1466" s="6" t="str">
        <f>"94726301_07026"</f>
        <v>94726301_07026</v>
      </c>
      <c r="G1466" s="6" t="str">
        <f t="shared" si="403"/>
        <v>F310631650000000</v>
      </c>
      <c r="H1466" s="6" t="str">
        <f t="shared" si="404"/>
        <v>PLAR 6316 FD - 500 g</v>
      </c>
      <c r="I1466" s="6" t="str">
        <f>"200901"</f>
        <v>200901</v>
      </c>
      <c r="J1466" s="6" t="str">
        <f>"ROSA 901"</f>
        <v>ROSA 901</v>
      </c>
      <c r="K1466" s="6" t="str">
        <f>"2020"</f>
        <v>2020</v>
      </c>
      <c r="L1466" s="6" t="str">
        <f>"Lençóis"</f>
        <v>Lençóis</v>
      </c>
      <c r="M1466" s="6" t="str">
        <f>"100x150"</f>
        <v>100x150</v>
      </c>
      <c r="N1466" s="6" t="str">
        <f>"5602972281125"</f>
        <v>5602972281125</v>
      </c>
      <c r="O1466" s="8">
        <v>3</v>
      </c>
      <c r="R1466" s="8">
        <v>0</v>
      </c>
      <c r="U1466" s="8">
        <v>0</v>
      </c>
      <c r="X1466" s="8">
        <v>0</v>
      </c>
      <c r="Z1466" s="8">
        <v>0</v>
      </c>
      <c r="AC1466" s="8">
        <v>0</v>
      </c>
      <c r="AF1466" s="8">
        <v>0</v>
      </c>
      <c r="AN1466" s="8">
        <v>0</v>
      </c>
      <c r="AO1466" s="8">
        <v>3</v>
      </c>
    </row>
    <row r="1467" spans="1:41" x14ac:dyDescent="0.25">
      <c r="A1467" s="6" t="str">
        <f>"522-2025004503"</f>
        <v>522-2025004503</v>
      </c>
      <c r="B1467" s="6" t="str">
        <f t="shared" si="402"/>
        <v>EL CORTE</v>
      </c>
      <c r="C1467" s="7">
        <v>46022</v>
      </c>
      <c r="D1467" s="7">
        <v>46027</v>
      </c>
      <c r="E1467" s="8">
        <v>4</v>
      </c>
      <c r="F1467" s="6" t="str">
        <f>"94726301_07026"</f>
        <v>94726301_07026</v>
      </c>
      <c r="G1467" s="6" t="str">
        <f t="shared" si="403"/>
        <v>F310631650000000</v>
      </c>
      <c r="H1467" s="6" t="str">
        <f t="shared" si="404"/>
        <v>PLAR 6316 FD - 500 g</v>
      </c>
      <c r="I1467" s="6" t="str">
        <f>"200510"</f>
        <v>200510</v>
      </c>
      <c r="J1467" s="6" t="str">
        <f>"VERDE 510"</f>
        <v>VERDE 510</v>
      </c>
      <c r="K1467" s="6" t="str">
        <f>"1024"</f>
        <v>1024</v>
      </c>
      <c r="L1467" s="6" t="str">
        <f>"Toalhas"</f>
        <v>Toalhas</v>
      </c>
      <c r="M1467" s="6" t="str">
        <f>"50x100"</f>
        <v>50x100</v>
      </c>
      <c r="N1467" s="6" t="str">
        <f>"5602972281149"</f>
        <v>5602972281149</v>
      </c>
      <c r="O1467" s="8">
        <v>6</v>
      </c>
      <c r="R1467" s="8">
        <v>0</v>
      </c>
      <c r="U1467" s="8">
        <v>0</v>
      </c>
      <c r="X1467" s="8">
        <v>0</v>
      </c>
      <c r="Z1467" s="8">
        <v>0</v>
      </c>
      <c r="AC1467" s="8">
        <v>0</v>
      </c>
      <c r="AF1467" s="8">
        <v>0</v>
      </c>
      <c r="AN1467" s="8">
        <v>6</v>
      </c>
      <c r="AO1467" s="8">
        <v>0</v>
      </c>
    </row>
    <row r="1468" spans="1:41" x14ac:dyDescent="0.25">
      <c r="A1468" s="6" t="str">
        <f>"522-2025004504"</f>
        <v>522-2025004504</v>
      </c>
      <c r="B1468" s="6" t="str">
        <f t="shared" si="402"/>
        <v>EL CORTE</v>
      </c>
      <c r="C1468" s="7">
        <v>46022</v>
      </c>
      <c r="D1468" s="7">
        <v>46027</v>
      </c>
      <c r="E1468" s="8">
        <v>1</v>
      </c>
      <c r="F1468" s="6" t="str">
        <f>"94723801_07026"</f>
        <v>94723801_07026</v>
      </c>
      <c r="G1468" s="6" t="str">
        <f t="shared" si="403"/>
        <v>F310631650000000</v>
      </c>
      <c r="H1468" s="6" t="str">
        <f t="shared" si="404"/>
        <v>PLAR 6316 FD - 500 g</v>
      </c>
      <c r="I1468" s="6" t="str">
        <f>"202575"</f>
        <v>202575</v>
      </c>
      <c r="J1468" s="6" t="str">
        <f>"BEGE 2575"</f>
        <v>BEGE 2575</v>
      </c>
      <c r="K1468" s="6" t="str">
        <f>"0520"</f>
        <v>0520</v>
      </c>
      <c r="L1468" s="6" t="str">
        <f>"Toalhetes"</f>
        <v>Toalhetes</v>
      </c>
      <c r="M1468" s="6" t="str">
        <f>"30x50"</f>
        <v>30x50</v>
      </c>
      <c r="N1468" s="6" t="str">
        <f>"5602972281071"</f>
        <v>5602972281071</v>
      </c>
      <c r="O1468" s="8">
        <v>6</v>
      </c>
      <c r="R1468" s="8">
        <v>0</v>
      </c>
      <c r="U1468" s="8">
        <v>0</v>
      </c>
      <c r="X1468" s="8">
        <v>0</v>
      </c>
      <c r="Z1468" s="8">
        <v>0</v>
      </c>
      <c r="AC1468" s="8">
        <v>0</v>
      </c>
      <c r="AF1468" s="8">
        <v>0</v>
      </c>
      <c r="AN1468" s="8">
        <v>6</v>
      </c>
      <c r="AO1468" s="8">
        <v>0</v>
      </c>
    </row>
    <row r="1469" spans="1:41" x14ac:dyDescent="0.25">
      <c r="A1469" s="6" t="str">
        <f>"522-2025004504"</f>
        <v>522-2025004504</v>
      </c>
      <c r="B1469" s="6" t="str">
        <f t="shared" si="402"/>
        <v>EL CORTE</v>
      </c>
      <c r="C1469" s="7">
        <v>46022</v>
      </c>
      <c r="D1469" s="7">
        <v>46027</v>
      </c>
      <c r="E1469" s="8">
        <v>2</v>
      </c>
      <c r="F1469" s="6" t="str">
        <f>"94723801_07026"</f>
        <v>94723801_07026</v>
      </c>
      <c r="G1469" s="6" t="str">
        <f t="shared" si="403"/>
        <v>F310631650000000</v>
      </c>
      <c r="H1469" s="6" t="str">
        <f t="shared" si="404"/>
        <v>PLAR 6316 FD - 500 g</v>
      </c>
      <c r="I1469" s="6" t="str">
        <f>"202575"</f>
        <v>202575</v>
      </c>
      <c r="J1469" s="6" t="str">
        <f>"BEGE 2575"</f>
        <v>BEGE 2575</v>
      </c>
      <c r="K1469" s="6" t="str">
        <f>"1024"</f>
        <v>1024</v>
      </c>
      <c r="L1469" s="6" t="str">
        <f>"Toalhas"</f>
        <v>Toalhas</v>
      </c>
      <c r="M1469" s="6" t="str">
        <f>"50x100"</f>
        <v>50x100</v>
      </c>
      <c r="N1469" s="6" t="str">
        <f>"5602972281088"</f>
        <v>5602972281088</v>
      </c>
      <c r="O1469" s="8">
        <v>12</v>
      </c>
      <c r="R1469" s="8">
        <v>0</v>
      </c>
      <c r="U1469" s="8">
        <v>0</v>
      </c>
      <c r="X1469" s="8">
        <v>0</v>
      </c>
      <c r="Z1469" s="8">
        <v>0</v>
      </c>
      <c r="AC1469" s="8">
        <v>0</v>
      </c>
      <c r="AF1469" s="8">
        <v>0</v>
      </c>
      <c r="AN1469" s="8">
        <v>12</v>
      </c>
      <c r="AO1469" s="8">
        <v>0</v>
      </c>
    </row>
    <row r="1470" spans="1:41" x14ac:dyDescent="0.25">
      <c r="A1470" s="6" t="str">
        <f>"522-2025004504"</f>
        <v>522-2025004504</v>
      </c>
      <c r="B1470" s="6" t="str">
        <f t="shared" si="402"/>
        <v>EL CORTE</v>
      </c>
      <c r="C1470" s="7">
        <v>46022</v>
      </c>
      <c r="D1470" s="7">
        <v>46027</v>
      </c>
      <c r="E1470" s="8">
        <v>3</v>
      </c>
      <c r="F1470" s="6" t="str">
        <f>"94723801_07026"</f>
        <v>94723801_07026</v>
      </c>
      <c r="G1470" s="6" t="str">
        <f t="shared" si="403"/>
        <v>F310631650000000</v>
      </c>
      <c r="H1470" s="6" t="str">
        <f t="shared" si="404"/>
        <v>PLAR 6316 FD - 500 g</v>
      </c>
      <c r="I1470" s="6" t="str">
        <f>"202575"</f>
        <v>202575</v>
      </c>
      <c r="J1470" s="6" t="str">
        <f>"BEGE 2575"</f>
        <v>BEGE 2575</v>
      </c>
      <c r="K1470" s="6" t="str">
        <f>"2020"</f>
        <v>2020</v>
      </c>
      <c r="L1470" s="6" t="str">
        <f>"Lençóis"</f>
        <v>Lençóis</v>
      </c>
      <c r="M1470" s="6" t="str">
        <f>"100x150"</f>
        <v>100x150</v>
      </c>
      <c r="N1470" s="6" t="str">
        <f>"5602972281095"</f>
        <v>5602972281095</v>
      </c>
      <c r="O1470" s="8">
        <v>3</v>
      </c>
      <c r="R1470" s="8">
        <v>0</v>
      </c>
      <c r="U1470" s="8">
        <v>0</v>
      </c>
      <c r="X1470" s="8">
        <v>0</v>
      </c>
      <c r="Z1470" s="8">
        <v>0</v>
      </c>
      <c r="AC1470" s="8">
        <v>0</v>
      </c>
      <c r="AF1470" s="8">
        <v>0</v>
      </c>
      <c r="AN1470" s="8">
        <v>3</v>
      </c>
      <c r="AO1470" s="8">
        <v>0</v>
      </c>
    </row>
    <row r="1471" spans="1:41" x14ac:dyDescent="0.25">
      <c r="A1471" s="6" t="str">
        <f>"522-2025004505"</f>
        <v>522-2025004505</v>
      </c>
      <c r="B1471" s="6" t="str">
        <f t="shared" si="402"/>
        <v>EL CORTE</v>
      </c>
      <c r="C1471" s="7">
        <v>46022</v>
      </c>
      <c r="D1471" s="7">
        <v>46027</v>
      </c>
      <c r="E1471" s="8">
        <v>1</v>
      </c>
      <c r="F1471" s="6" t="str">
        <f>"94723201_07026"</f>
        <v>94723201_07026</v>
      </c>
      <c r="G1471" s="6" t="str">
        <f t="shared" si="403"/>
        <v>F310631650000000</v>
      </c>
      <c r="H1471" s="6" t="str">
        <f t="shared" si="404"/>
        <v>PLAR 6316 FD - 500 g</v>
      </c>
      <c r="I1471" s="6" t="str">
        <f>"202575"</f>
        <v>202575</v>
      </c>
      <c r="J1471" s="6" t="str">
        <f>"BEGE 2575"</f>
        <v>BEGE 2575</v>
      </c>
      <c r="K1471" s="6" t="str">
        <f>"1024"</f>
        <v>1024</v>
      </c>
      <c r="L1471" s="6" t="str">
        <f>"Toalhas"</f>
        <v>Toalhas</v>
      </c>
      <c r="M1471" s="6" t="str">
        <f>"50x100"</f>
        <v>50x100</v>
      </c>
      <c r="N1471" s="6" t="str">
        <f>"5602972281088"</f>
        <v>5602972281088</v>
      </c>
      <c r="O1471" s="8">
        <v>6</v>
      </c>
      <c r="R1471" s="8">
        <v>0</v>
      </c>
      <c r="U1471" s="8">
        <v>0</v>
      </c>
      <c r="X1471" s="8">
        <v>0</v>
      </c>
      <c r="Z1471" s="8">
        <v>0</v>
      </c>
      <c r="AC1471" s="8">
        <v>0</v>
      </c>
      <c r="AF1471" s="8">
        <v>0</v>
      </c>
      <c r="AN1471" s="8">
        <v>6</v>
      </c>
      <c r="AO1471" s="8">
        <v>0</v>
      </c>
    </row>
    <row r="1472" spans="1:41" x14ac:dyDescent="0.25">
      <c r="A1472" s="6" t="str">
        <f>"522-2025004505"</f>
        <v>522-2025004505</v>
      </c>
      <c r="B1472" s="6" t="str">
        <f t="shared" si="402"/>
        <v>EL CORTE</v>
      </c>
      <c r="C1472" s="7">
        <v>46022</v>
      </c>
      <c r="D1472" s="7">
        <v>46027</v>
      </c>
      <c r="E1472" s="8">
        <v>2</v>
      </c>
      <c r="F1472" s="6" t="str">
        <f>"94723201_07026"</f>
        <v>94723201_07026</v>
      </c>
      <c r="G1472" s="6" t="str">
        <f t="shared" si="403"/>
        <v>F310631650000000</v>
      </c>
      <c r="H1472" s="6" t="str">
        <f t="shared" si="404"/>
        <v>PLAR 6316 FD - 500 g</v>
      </c>
      <c r="I1472" s="6" t="str">
        <f>"200901"</f>
        <v>200901</v>
      </c>
      <c r="J1472" s="6" t="str">
        <f>"ROSA 901"</f>
        <v>ROSA 901</v>
      </c>
      <c r="K1472" s="6" t="str">
        <f>"1024"</f>
        <v>1024</v>
      </c>
      <c r="L1472" s="6" t="str">
        <f>"Toalhas"</f>
        <v>Toalhas</v>
      </c>
      <c r="M1472" s="6" t="str">
        <f>"50x100"</f>
        <v>50x100</v>
      </c>
      <c r="N1472" s="6" t="str">
        <f>"5602972281118"</f>
        <v>5602972281118</v>
      </c>
      <c r="O1472" s="8">
        <v>6</v>
      </c>
      <c r="R1472" s="8">
        <v>0</v>
      </c>
      <c r="U1472" s="8">
        <v>0</v>
      </c>
      <c r="X1472" s="8">
        <v>0</v>
      </c>
      <c r="Z1472" s="8">
        <v>0</v>
      </c>
      <c r="AC1472" s="8">
        <v>0</v>
      </c>
      <c r="AF1472" s="8">
        <v>0</v>
      </c>
      <c r="AN1472" s="8">
        <v>6</v>
      </c>
      <c r="AO1472" s="8">
        <v>0</v>
      </c>
    </row>
    <row r="1473" spans="1:41" x14ac:dyDescent="0.25">
      <c r="A1473" s="6" t="str">
        <f>"522-2025004505"</f>
        <v>522-2025004505</v>
      </c>
      <c r="B1473" s="6" t="str">
        <f t="shared" si="402"/>
        <v>EL CORTE</v>
      </c>
      <c r="C1473" s="7">
        <v>46022</v>
      </c>
      <c r="D1473" s="7">
        <v>46027</v>
      </c>
      <c r="E1473" s="8">
        <v>3</v>
      </c>
      <c r="F1473" s="6" t="str">
        <f>"94723201_07026"</f>
        <v>94723201_07026</v>
      </c>
      <c r="G1473" s="6" t="str">
        <f t="shared" si="403"/>
        <v>F310631650000000</v>
      </c>
      <c r="H1473" s="6" t="str">
        <f t="shared" si="404"/>
        <v>PLAR 6316 FD - 500 g</v>
      </c>
      <c r="I1473" s="6" t="str">
        <f>"200901"</f>
        <v>200901</v>
      </c>
      <c r="J1473" s="6" t="str">
        <f>"ROSA 901"</f>
        <v>ROSA 901</v>
      </c>
      <c r="K1473" s="6" t="str">
        <f>"2020"</f>
        <v>2020</v>
      </c>
      <c r="L1473" s="6" t="str">
        <f>"Lençóis"</f>
        <v>Lençóis</v>
      </c>
      <c r="M1473" s="6" t="str">
        <f>"100x150"</f>
        <v>100x150</v>
      </c>
      <c r="N1473" s="6" t="str">
        <f>"5602972281125"</f>
        <v>5602972281125</v>
      </c>
      <c r="O1473" s="8">
        <v>6</v>
      </c>
      <c r="R1473" s="8">
        <v>0</v>
      </c>
      <c r="U1473" s="8">
        <v>0</v>
      </c>
      <c r="X1473" s="8">
        <v>0</v>
      </c>
      <c r="Z1473" s="8">
        <v>0</v>
      </c>
      <c r="AC1473" s="8">
        <v>0</v>
      </c>
      <c r="AF1473" s="8">
        <v>0</v>
      </c>
      <c r="AN1473" s="8">
        <v>6</v>
      </c>
      <c r="AO1473" s="8">
        <v>0</v>
      </c>
    </row>
    <row r="1474" spans="1:41" x14ac:dyDescent="0.25">
      <c r="A1474" s="6" t="str">
        <f>"522-2025004505"</f>
        <v>522-2025004505</v>
      </c>
      <c r="B1474" s="6" t="str">
        <f t="shared" si="402"/>
        <v>EL CORTE</v>
      </c>
      <c r="C1474" s="7">
        <v>46022</v>
      </c>
      <c r="D1474" s="7">
        <v>46027</v>
      </c>
      <c r="E1474" s="8">
        <v>4</v>
      </c>
      <c r="F1474" s="6" t="str">
        <f>"94723201_07026"</f>
        <v>94723201_07026</v>
      </c>
      <c r="G1474" s="6" t="str">
        <f t="shared" si="403"/>
        <v>F310631650000000</v>
      </c>
      <c r="H1474" s="6" t="str">
        <f t="shared" si="404"/>
        <v>PLAR 6316 FD - 500 g</v>
      </c>
      <c r="I1474" s="6" t="str">
        <f>"200510"</f>
        <v>200510</v>
      </c>
      <c r="J1474" s="6" t="str">
        <f>"VERDE 510"</f>
        <v>VERDE 510</v>
      </c>
      <c r="K1474" s="6" t="str">
        <f>"1024"</f>
        <v>1024</v>
      </c>
      <c r="L1474" s="6" t="str">
        <f>"Toalhas"</f>
        <v>Toalhas</v>
      </c>
      <c r="M1474" s="6" t="str">
        <f>"50x100"</f>
        <v>50x100</v>
      </c>
      <c r="N1474" s="6" t="str">
        <f>"5602972281149"</f>
        <v>5602972281149</v>
      </c>
      <c r="O1474" s="8">
        <v>6</v>
      </c>
      <c r="R1474" s="8">
        <v>0</v>
      </c>
      <c r="U1474" s="8">
        <v>0</v>
      </c>
      <c r="X1474" s="8">
        <v>0</v>
      </c>
      <c r="Z1474" s="8">
        <v>0</v>
      </c>
      <c r="AC1474" s="8">
        <v>0</v>
      </c>
      <c r="AF1474" s="8">
        <v>0</v>
      </c>
      <c r="AN1474" s="8">
        <v>6</v>
      </c>
      <c r="AO1474" s="8">
        <v>0</v>
      </c>
    </row>
    <row r="1475" spans="1:41" x14ac:dyDescent="0.25">
      <c r="A1475" s="6" t="str">
        <f>"522-2025004506"</f>
        <v>522-2025004506</v>
      </c>
      <c r="B1475" s="6" t="str">
        <f t="shared" si="402"/>
        <v>EL CORTE</v>
      </c>
      <c r="C1475" s="7">
        <v>46022</v>
      </c>
      <c r="D1475" s="7">
        <v>46027</v>
      </c>
      <c r="E1475" s="8">
        <v>1</v>
      </c>
      <c r="F1475" s="6" t="str">
        <f>"94726901_07026"</f>
        <v>94726901_07026</v>
      </c>
      <c r="G1475" s="6" t="str">
        <f t="shared" si="403"/>
        <v>F310631650000000</v>
      </c>
      <c r="H1475" s="6" t="str">
        <f t="shared" si="404"/>
        <v>PLAR 6316 FD - 500 g</v>
      </c>
      <c r="I1475" s="6" t="str">
        <f>"200901"</f>
        <v>200901</v>
      </c>
      <c r="J1475" s="6" t="str">
        <f>"ROSA 901"</f>
        <v>ROSA 901</v>
      </c>
      <c r="K1475" s="6" t="str">
        <f>"0520"</f>
        <v>0520</v>
      </c>
      <c r="L1475" s="6" t="str">
        <f>"Toalhetes"</f>
        <v>Toalhetes</v>
      </c>
      <c r="M1475" s="6" t="str">
        <f>"30x50"</f>
        <v>30x50</v>
      </c>
      <c r="N1475" s="6" t="str">
        <f>"5602972281101"</f>
        <v>5602972281101</v>
      </c>
      <c r="O1475" s="8">
        <v>6</v>
      </c>
      <c r="R1475" s="8">
        <v>0</v>
      </c>
      <c r="U1475" s="8">
        <v>0</v>
      </c>
      <c r="X1475" s="8">
        <v>0</v>
      </c>
      <c r="Z1475" s="8">
        <v>0</v>
      </c>
      <c r="AC1475" s="8">
        <v>0</v>
      </c>
      <c r="AF1475" s="8">
        <v>0</v>
      </c>
      <c r="AN1475" s="8">
        <v>6</v>
      </c>
      <c r="AO1475" s="8">
        <v>0</v>
      </c>
    </row>
    <row r="1476" spans="1:41" x14ac:dyDescent="0.25">
      <c r="A1476" s="6" t="str">
        <f>"522-2025004506"</f>
        <v>522-2025004506</v>
      </c>
      <c r="B1476" s="6" t="str">
        <f t="shared" si="402"/>
        <v>EL CORTE</v>
      </c>
      <c r="C1476" s="7">
        <v>46022</v>
      </c>
      <c r="D1476" s="7">
        <v>46027</v>
      </c>
      <c r="E1476" s="8">
        <v>2</v>
      </c>
      <c r="F1476" s="6" t="str">
        <f>"94726901_07026"</f>
        <v>94726901_07026</v>
      </c>
      <c r="G1476" s="6" t="str">
        <f t="shared" si="403"/>
        <v>F310631650000000</v>
      </c>
      <c r="H1476" s="6" t="str">
        <f t="shared" si="404"/>
        <v>PLAR 6316 FD - 500 g</v>
      </c>
      <c r="I1476" s="6" t="str">
        <f>"200510"</f>
        <v>200510</v>
      </c>
      <c r="J1476" s="6" t="str">
        <f>"VERDE 510"</f>
        <v>VERDE 510</v>
      </c>
      <c r="K1476" s="6" t="str">
        <f>"0520"</f>
        <v>0520</v>
      </c>
      <c r="L1476" s="6" t="str">
        <f>"Toalhetes"</f>
        <v>Toalhetes</v>
      </c>
      <c r="M1476" s="6" t="str">
        <f>"30x50"</f>
        <v>30x50</v>
      </c>
      <c r="N1476" s="6" t="str">
        <f>"5602972281132"</f>
        <v>5602972281132</v>
      </c>
      <c r="O1476" s="8">
        <v>6</v>
      </c>
      <c r="R1476" s="8">
        <v>0</v>
      </c>
      <c r="U1476" s="8">
        <v>0</v>
      </c>
      <c r="X1476" s="8">
        <v>0</v>
      </c>
      <c r="Z1476" s="8">
        <v>0</v>
      </c>
      <c r="AC1476" s="8">
        <v>0</v>
      </c>
      <c r="AF1476" s="8">
        <v>0</v>
      </c>
      <c r="AN1476" s="8">
        <v>6</v>
      </c>
      <c r="AO1476" s="8">
        <v>0</v>
      </c>
    </row>
    <row r="1477" spans="1:41" x14ac:dyDescent="0.25">
      <c r="A1477" s="6" t="str">
        <f>"522-2025004507"</f>
        <v>522-2025004507</v>
      </c>
      <c r="B1477" s="6" t="str">
        <f t="shared" si="402"/>
        <v>EL CORTE</v>
      </c>
      <c r="C1477" s="7">
        <v>46022</v>
      </c>
      <c r="D1477" s="7">
        <v>46027</v>
      </c>
      <c r="E1477" s="8">
        <v>1</v>
      </c>
      <c r="F1477" s="6" t="str">
        <f>"94723601_07026"</f>
        <v>94723601_07026</v>
      </c>
      <c r="G1477" s="6" t="str">
        <f t="shared" si="403"/>
        <v>F310631650000000</v>
      </c>
      <c r="H1477" s="6" t="str">
        <f t="shared" si="404"/>
        <v>PLAR 6316 FD - 500 g</v>
      </c>
      <c r="I1477" s="6" t="str">
        <f>"202575"</f>
        <v>202575</v>
      </c>
      <c r="J1477" s="6" t="str">
        <f>"BEGE 2575"</f>
        <v>BEGE 2575</v>
      </c>
      <c r="K1477" s="6" t="str">
        <f>"2020"</f>
        <v>2020</v>
      </c>
      <c r="L1477" s="6" t="str">
        <f>"Lençóis"</f>
        <v>Lençóis</v>
      </c>
      <c r="M1477" s="6" t="str">
        <f>"100x150"</f>
        <v>100x150</v>
      </c>
      <c r="N1477" s="6" t="str">
        <f>"5602972281095"</f>
        <v>5602972281095</v>
      </c>
      <c r="O1477" s="8">
        <v>3</v>
      </c>
      <c r="R1477" s="8">
        <v>0</v>
      </c>
      <c r="U1477" s="8">
        <v>0</v>
      </c>
      <c r="X1477" s="8">
        <v>0</v>
      </c>
      <c r="Z1477" s="8">
        <v>0</v>
      </c>
      <c r="AC1477" s="8">
        <v>0</v>
      </c>
      <c r="AF1477" s="8">
        <v>0</v>
      </c>
      <c r="AN1477" s="8">
        <v>3</v>
      </c>
      <c r="AO1477" s="8">
        <v>0</v>
      </c>
    </row>
    <row r="1478" spans="1:41" x14ac:dyDescent="0.25">
      <c r="A1478" s="6" t="str">
        <f>"522-2025004507"</f>
        <v>522-2025004507</v>
      </c>
      <c r="B1478" s="6" t="str">
        <f t="shared" si="402"/>
        <v>EL CORTE</v>
      </c>
      <c r="C1478" s="7">
        <v>46022</v>
      </c>
      <c r="D1478" s="7">
        <v>46027</v>
      </c>
      <c r="E1478" s="8">
        <v>2</v>
      </c>
      <c r="F1478" s="6" t="str">
        <f>"94723601_07026"</f>
        <v>94723601_07026</v>
      </c>
      <c r="G1478" s="6" t="str">
        <f t="shared" si="403"/>
        <v>F310631650000000</v>
      </c>
      <c r="H1478" s="6" t="str">
        <f t="shared" si="404"/>
        <v>PLAR 6316 FD - 500 g</v>
      </c>
      <c r="I1478" s="6" t="str">
        <f>"200510"</f>
        <v>200510</v>
      </c>
      <c r="J1478" s="6" t="str">
        <f>"VERDE 510"</f>
        <v>VERDE 510</v>
      </c>
      <c r="K1478" s="6" t="str">
        <f>"1024"</f>
        <v>1024</v>
      </c>
      <c r="L1478" s="6" t="str">
        <f>"Toalhas"</f>
        <v>Toalhas</v>
      </c>
      <c r="M1478" s="6" t="str">
        <f>"50x100"</f>
        <v>50x100</v>
      </c>
      <c r="N1478" s="6" t="str">
        <f>"5602972281149"</f>
        <v>5602972281149</v>
      </c>
      <c r="O1478" s="8">
        <v>6</v>
      </c>
      <c r="R1478" s="8">
        <v>0</v>
      </c>
      <c r="U1478" s="8">
        <v>0</v>
      </c>
      <c r="X1478" s="8">
        <v>0</v>
      </c>
      <c r="Z1478" s="8">
        <v>0</v>
      </c>
      <c r="AC1478" s="8">
        <v>0</v>
      </c>
      <c r="AF1478" s="8">
        <v>0</v>
      </c>
      <c r="AN1478" s="8">
        <v>6</v>
      </c>
      <c r="AO1478" s="8">
        <v>0</v>
      </c>
    </row>
    <row r="1479" spans="1:41" x14ac:dyDescent="0.25">
      <c r="A1479" s="6" t="str">
        <f>"522-2025004507"</f>
        <v>522-2025004507</v>
      </c>
      <c r="B1479" s="6" t="str">
        <f t="shared" ref="B1479:B1542" si="413">"EL CORTE"</f>
        <v>EL CORTE</v>
      </c>
      <c r="C1479" s="7">
        <v>46022</v>
      </c>
      <c r="D1479" s="7">
        <v>46027</v>
      </c>
      <c r="E1479" s="8">
        <v>3</v>
      </c>
      <c r="F1479" s="6" t="str">
        <f>"94723601_07026"</f>
        <v>94723601_07026</v>
      </c>
      <c r="G1479" s="6" t="str">
        <f t="shared" ref="G1479:G1542" si="414">"F310631650000000"</f>
        <v>F310631650000000</v>
      </c>
      <c r="H1479" s="6" t="str">
        <f t="shared" ref="H1479:H1542" si="415">"PLAR 6316 FD - 500 g"</f>
        <v>PLAR 6316 FD - 500 g</v>
      </c>
      <c r="I1479" s="6" t="str">
        <f>"200510"</f>
        <v>200510</v>
      </c>
      <c r="J1479" s="6" t="str">
        <f>"VERDE 510"</f>
        <v>VERDE 510</v>
      </c>
      <c r="K1479" s="6" t="str">
        <f>"2020"</f>
        <v>2020</v>
      </c>
      <c r="L1479" s="6" t="str">
        <f>"Lençóis"</f>
        <v>Lençóis</v>
      </c>
      <c r="M1479" s="6" t="str">
        <f>"100x150"</f>
        <v>100x150</v>
      </c>
      <c r="N1479" s="6" t="str">
        <f>"5602972281156"</f>
        <v>5602972281156</v>
      </c>
      <c r="O1479" s="8">
        <v>3</v>
      </c>
      <c r="R1479" s="8">
        <v>0</v>
      </c>
      <c r="U1479" s="8">
        <v>0</v>
      </c>
      <c r="X1479" s="8">
        <v>0</v>
      </c>
      <c r="Z1479" s="8">
        <v>0</v>
      </c>
      <c r="AC1479" s="8">
        <v>0</v>
      </c>
      <c r="AF1479" s="8">
        <v>0</v>
      </c>
      <c r="AN1479" s="8">
        <v>3</v>
      </c>
      <c r="AO1479" s="8">
        <v>0</v>
      </c>
    </row>
    <row r="1480" spans="1:41" x14ac:dyDescent="0.25">
      <c r="A1480" s="6" t="str">
        <f t="shared" ref="A1480:A1485" si="416">"522-2025004508"</f>
        <v>522-2025004508</v>
      </c>
      <c r="B1480" s="6" t="str">
        <f t="shared" si="413"/>
        <v>EL CORTE</v>
      </c>
      <c r="C1480" s="7">
        <v>46022</v>
      </c>
      <c r="D1480" s="7">
        <v>46027</v>
      </c>
      <c r="E1480" s="8">
        <v>1</v>
      </c>
      <c r="F1480" s="6" t="str">
        <f t="shared" ref="F1480:F1485" si="417">"94723101_07026"</f>
        <v>94723101_07026</v>
      </c>
      <c r="G1480" s="6" t="str">
        <f t="shared" si="414"/>
        <v>F310631650000000</v>
      </c>
      <c r="H1480" s="6" t="str">
        <f t="shared" si="415"/>
        <v>PLAR 6316 FD - 500 g</v>
      </c>
      <c r="I1480" s="6" t="str">
        <f>"201855"</f>
        <v>201855</v>
      </c>
      <c r="J1480" s="6" t="str">
        <f>"AZUL 1855"</f>
        <v>AZUL 1855</v>
      </c>
      <c r="K1480" s="6" t="str">
        <f>"1024"</f>
        <v>1024</v>
      </c>
      <c r="L1480" s="6" t="str">
        <f>"Toalhas"</f>
        <v>Toalhas</v>
      </c>
      <c r="M1480" s="6" t="str">
        <f>"50x100"</f>
        <v>50x100</v>
      </c>
      <c r="N1480" s="6" t="str">
        <f>"5602972281057"</f>
        <v>5602972281057</v>
      </c>
      <c r="O1480" s="8">
        <v>6</v>
      </c>
      <c r="R1480" s="8">
        <v>0</v>
      </c>
      <c r="U1480" s="8">
        <v>0</v>
      </c>
      <c r="X1480" s="8">
        <v>0</v>
      </c>
      <c r="Z1480" s="8">
        <v>0</v>
      </c>
      <c r="AC1480" s="8">
        <v>0</v>
      </c>
      <c r="AF1480" s="8">
        <v>0</v>
      </c>
      <c r="AN1480" s="8">
        <v>6</v>
      </c>
      <c r="AO1480" s="8">
        <v>0</v>
      </c>
    </row>
    <row r="1481" spans="1:41" x14ac:dyDescent="0.25">
      <c r="A1481" s="6" t="str">
        <f t="shared" si="416"/>
        <v>522-2025004508</v>
      </c>
      <c r="B1481" s="6" t="str">
        <f t="shared" si="413"/>
        <v>EL CORTE</v>
      </c>
      <c r="C1481" s="7">
        <v>46022</v>
      </c>
      <c r="D1481" s="7">
        <v>46027</v>
      </c>
      <c r="E1481" s="8">
        <v>2</v>
      </c>
      <c r="F1481" s="6" t="str">
        <f t="shared" si="417"/>
        <v>94723101_07026</v>
      </c>
      <c r="G1481" s="6" t="str">
        <f t="shared" si="414"/>
        <v>F310631650000000</v>
      </c>
      <c r="H1481" s="6" t="str">
        <f t="shared" si="415"/>
        <v>PLAR 6316 FD - 500 g</v>
      </c>
      <c r="I1481" s="6" t="str">
        <f>"202575"</f>
        <v>202575</v>
      </c>
      <c r="J1481" s="6" t="str">
        <f>"BEGE 2575"</f>
        <v>BEGE 2575</v>
      </c>
      <c r="K1481" s="6" t="str">
        <f>"1024"</f>
        <v>1024</v>
      </c>
      <c r="L1481" s="6" t="str">
        <f>"Toalhas"</f>
        <v>Toalhas</v>
      </c>
      <c r="M1481" s="6" t="str">
        <f>"50x100"</f>
        <v>50x100</v>
      </c>
      <c r="N1481" s="6" t="str">
        <f>"5602972281088"</f>
        <v>5602972281088</v>
      </c>
      <c r="O1481" s="8">
        <v>6</v>
      </c>
      <c r="R1481" s="8">
        <v>0</v>
      </c>
      <c r="U1481" s="8">
        <v>0</v>
      </c>
      <c r="X1481" s="8">
        <v>0</v>
      </c>
      <c r="Z1481" s="8">
        <v>0</v>
      </c>
      <c r="AC1481" s="8">
        <v>0</v>
      </c>
      <c r="AF1481" s="8">
        <v>0</v>
      </c>
      <c r="AN1481" s="8">
        <v>6</v>
      </c>
      <c r="AO1481" s="8">
        <v>0</v>
      </c>
    </row>
    <row r="1482" spans="1:41" x14ac:dyDescent="0.25">
      <c r="A1482" s="6" t="str">
        <f t="shared" si="416"/>
        <v>522-2025004508</v>
      </c>
      <c r="B1482" s="6" t="str">
        <f t="shared" si="413"/>
        <v>EL CORTE</v>
      </c>
      <c r="C1482" s="7">
        <v>46022</v>
      </c>
      <c r="D1482" s="7">
        <v>46027</v>
      </c>
      <c r="E1482" s="8">
        <v>3</v>
      </c>
      <c r="F1482" s="6" t="str">
        <f t="shared" si="417"/>
        <v>94723101_07026</v>
      </c>
      <c r="G1482" s="6" t="str">
        <f t="shared" si="414"/>
        <v>F310631650000000</v>
      </c>
      <c r="H1482" s="6" t="str">
        <f t="shared" si="415"/>
        <v>PLAR 6316 FD - 500 g</v>
      </c>
      <c r="I1482" s="6" t="str">
        <f>"202575"</f>
        <v>202575</v>
      </c>
      <c r="J1482" s="6" t="str">
        <f>"BEGE 2575"</f>
        <v>BEGE 2575</v>
      </c>
      <c r="K1482" s="6" t="str">
        <f>"2020"</f>
        <v>2020</v>
      </c>
      <c r="L1482" s="6" t="str">
        <f>"Lençóis"</f>
        <v>Lençóis</v>
      </c>
      <c r="M1482" s="6" t="str">
        <f>"100x150"</f>
        <v>100x150</v>
      </c>
      <c r="N1482" s="6" t="str">
        <f>"5602972281095"</f>
        <v>5602972281095</v>
      </c>
      <c r="O1482" s="8">
        <v>3</v>
      </c>
      <c r="R1482" s="8">
        <v>0</v>
      </c>
      <c r="U1482" s="8">
        <v>0</v>
      </c>
      <c r="X1482" s="8">
        <v>0</v>
      </c>
      <c r="Z1482" s="8">
        <v>0</v>
      </c>
      <c r="AC1482" s="8">
        <v>0</v>
      </c>
      <c r="AF1482" s="8">
        <v>0</v>
      </c>
      <c r="AN1482" s="8">
        <v>3</v>
      </c>
      <c r="AO1482" s="8">
        <v>0</v>
      </c>
    </row>
    <row r="1483" spans="1:41" x14ac:dyDescent="0.25">
      <c r="A1483" s="6" t="str">
        <f t="shared" si="416"/>
        <v>522-2025004508</v>
      </c>
      <c r="B1483" s="6" t="str">
        <f t="shared" si="413"/>
        <v>EL CORTE</v>
      </c>
      <c r="C1483" s="7">
        <v>46022</v>
      </c>
      <c r="D1483" s="7">
        <v>46027</v>
      </c>
      <c r="E1483" s="8">
        <v>4</v>
      </c>
      <c r="F1483" s="6" t="str">
        <f t="shared" si="417"/>
        <v>94723101_07026</v>
      </c>
      <c r="G1483" s="6" t="str">
        <f t="shared" si="414"/>
        <v>F310631650000000</v>
      </c>
      <c r="H1483" s="6" t="str">
        <f t="shared" si="415"/>
        <v>PLAR 6316 FD - 500 g</v>
      </c>
      <c r="I1483" s="6" t="str">
        <f>"200901"</f>
        <v>200901</v>
      </c>
      <c r="J1483" s="6" t="str">
        <f>"ROSA 901"</f>
        <v>ROSA 901</v>
      </c>
      <c r="K1483" s="6" t="str">
        <f>"0520"</f>
        <v>0520</v>
      </c>
      <c r="L1483" s="6" t="str">
        <f>"Toalhetes"</f>
        <v>Toalhetes</v>
      </c>
      <c r="M1483" s="6" t="str">
        <f>"30x50"</f>
        <v>30x50</v>
      </c>
      <c r="N1483" s="6" t="str">
        <f>"5602972281101"</f>
        <v>5602972281101</v>
      </c>
      <c r="O1483" s="8">
        <v>6</v>
      </c>
      <c r="R1483" s="8">
        <v>0</v>
      </c>
      <c r="U1483" s="8">
        <v>0</v>
      </c>
      <c r="X1483" s="8">
        <v>0</v>
      </c>
      <c r="Z1483" s="8">
        <v>0</v>
      </c>
      <c r="AC1483" s="8">
        <v>0</v>
      </c>
      <c r="AF1483" s="8">
        <v>0</v>
      </c>
      <c r="AN1483" s="8">
        <v>6</v>
      </c>
      <c r="AO1483" s="8">
        <v>0</v>
      </c>
    </row>
    <row r="1484" spans="1:41" x14ac:dyDescent="0.25">
      <c r="A1484" s="6" t="str">
        <f t="shared" si="416"/>
        <v>522-2025004508</v>
      </c>
      <c r="B1484" s="6" t="str">
        <f t="shared" si="413"/>
        <v>EL CORTE</v>
      </c>
      <c r="C1484" s="7">
        <v>46022</v>
      </c>
      <c r="D1484" s="7">
        <v>46027</v>
      </c>
      <c r="E1484" s="8">
        <v>5</v>
      </c>
      <c r="F1484" s="6" t="str">
        <f t="shared" si="417"/>
        <v>94723101_07026</v>
      </c>
      <c r="G1484" s="6" t="str">
        <f t="shared" si="414"/>
        <v>F310631650000000</v>
      </c>
      <c r="H1484" s="6" t="str">
        <f t="shared" si="415"/>
        <v>PLAR 6316 FD - 500 g</v>
      </c>
      <c r="I1484" s="6" t="str">
        <f>"200901"</f>
        <v>200901</v>
      </c>
      <c r="J1484" s="6" t="str">
        <f>"ROSA 901"</f>
        <v>ROSA 901</v>
      </c>
      <c r="K1484" s="6" t="str">
        <f>"1024"</f>
        <v>1024</v>
      </c>
      <c r="L1484" s="6" t="str">
        <f>"Toalhas"</f>
        <v>Toalhas</v>
      </c>
      <c r="M1484" s="6" t="str">
        <f>"50x100"</f>
        <v>50x100</v>
      </c>
      <c r="N1484" s="6" t="str">
        <f>"5602972281118"</f>
        <v>5602972281118</v>
      </c>
      <c r="O1484" s="8">
        <v>6</v>
      </c>
      <c r="R1484" s="8">
        <v>0</v>
      </c>
      <c r="U1484" s="8">
        <v>0</v>
      </c>
      <c r="X1484" s="8">
        <v>0</v>
      </c>
      <c r="Z1484" s="8">
        <v>0</v>
      </c>
      <c r="AC1484" s="8">
        <v>0</v>
      </c>
      <c r="AF1484" s="8">
        <v>0</v>
      </c>
      <c r="AN1484" s="8">
        <v>6</v>
      </c>
      <c r="AO1484" s="8">
        <v>0</v>
      </c>
    </row>
    <row r="1485" spans="1:41" x14ac:dyDescent="0.25">
      <c r="A1485" s="6" t="str">
        <f t="shared" si="416"/>
        <v>522-2025004508</v>
      </c>
      <c r="B1485" s="6" t="str">
        <f t="shared" si="413"/>
        <v>EL CORTE</v>
      </c>
      <c r="C1485" s="7">
        <v>46022</v>
      </c>
      <c r="D1485" s="7">
        <v>46027</v>
      </c>
      <c r="E1485" s="8">
        <v>6</v>
      </c>
      <c r="F1485" s="6" t="str">
        <f t="shared" si="417"/>
        <v>94723101_07026</v>
      </c>
      <c r="G1485" s="6" t="str">
        <f t="shared" si="414"/>
        <v>F310631650000000</v>
      </c>
      <c r="H1485" s="6" t="str">
        <f t="shared" si="415"/>
        <v>PLAR 6316 FD - 500 g</v>
      </c>
      <c r="I1485" s="6" t="str">
        <f>"200510"</f>
        <v>200510</v>
      </c>
      <c r="J1485" s="6" t="str">
        <f>"VERDE 510"</f>
        <v>VERDE 510</v>
      </c>
      <c r="K1485" s="6" t="str">
        <f>"1024"</f>
        <v>1024</v>
      </c>
      <c r="L1485" s="6" t="str">
        <f>"Toalhas"</f>
        <v>Toalhas</v>
      </c>
      <c r="M1485" s="6" t="str">
        <f>"50x100"</f>
        <v>50x100</v>
      </c>
      <c r="N1485" s="6" t="str">
        <f>"5602972281149"</f>
        <v>5602972281149</v>
      </c>
      <c r="O1485" s="8">
        <v>6</v>
      </c>
      <c r="R1485" s="8">
        <v>0</v>
      </c>
      <c r="U1485" s="8">
        <v>0</v>
      </c>
      <c r="X1485" s="8">
        <v>0</v>
      </c>
      <c r="Z1485" s="8">
        <v>0</v>
      </c>
      <c r="AC1485" s="8">
        <v>0</v>
      </c>
      <c r="AF1485" s="8">
        <v>0</v>
      </c>
      <c r="AN1485" s="8">
        <v>6</v>
      </c>
      <c r="AO1485" s="8">
        <v>0</v>
      </c>
    </row>
    <row r="1486" spans="1:41" x14ac:dyDescent="0.25">
      <c r="A1486" s="6" t="str">
        <f t="shared" ref="A1486:A1493" si="418">"522-2025004509"</f>
        <v>522-2025004509</v>
      </c>
      <c r="B1486" s="6" t="str">
        <f t="shared" si="413"/>
        <v>EL CORTE</v>
      </c>
      <c r="C1486" s="7">
        <v>46022</v>
      </c>
      <c r="D1486" s="7">
        <v>46027</v>
      </c>
      <c r="E1486" s="8">
        <v>1</v>
      </c>
      <c r="F1486" s="6" t="str">
        <f t="shared" ref="F1486:F1493" si="419">"94722601_07026"</f>
        <v>94722601_07026</v>
      </c>
      <c r="G1486" s="6" t="str">
        <f t="shared" si="414"/>
        <v>F310631650000000</v>
      </c>
      <c r="H1486" s="6" t="str">
        <f t="shared" si="415"/>
        <v>PLAR 6316 FD - 500 g</v>
      </c>
      <c r="I1486" s="6" t="str">
        <f>"201855"</f>
        <v>201855</v>
      </c>
      <c r="J1486" s="6" t="str">
        <f>"AZUL 1855"</f>
        <v>AZUL 1855</v>
      </c>
      <c r="K1486" s="6" t="str">
        <f>"0520"</f>
        <v>0520</v>
      </c>
      <c r="L1486" s="6" t="str">
        <f>"Toalhetes"</f>
        <v>Toalhetes</v>
      </c>
      <c r="M1486" s="6" t="str">
        <f>"30x50"</f>
        <v>30x50</v>
      </c>
      <c r="N1486" s="6" t="str">
        <f>"5602972281040"</f>
        <v>5602972281040</v>
      </c>
      <c r="O1486" s="8">
        <v>6</v>
      </c>
      <c r="R1486" s="8">
        <v>0</v>
      </c>
      <c r="U1486" s="8">
        <v>0</v>
      </c>
      <c r="X1486" s="8">
        <v>0</v>
      </c>
      <c r="Z1486" s="8">
        <v>0</v>
      </c>
      <c r="AC1486" s="8">
        <v>0</v>
      </c>
      <c r="AF1486" s="8">
        <v>0</v>
      </c>
      <c r="AN1486" s="8">
        <v>6</v>
      </c>
      <c r="AO1486" s="8">
        <v>0</v>
      </c>
    </row>
    <row r="1487" spans="1:41" x14ac:dyDescent="0.25">
      <c r="A1487" s="6" t="str">
        <f t="shared" si="418"/>
        <v>522-2025004509</v>
      </c>
      <c r="B1487" s="6" t="str">
        <f t="shared" si="413"/>
        <v>EL CORTE</v>
      </c>
      <c r="C1487" s="7">
        <v>46022</v>
      </c>
      <c r="D1487" s="7">
        <v>46027</v>
      </c>
      <c r="E1487" s="8">
        <v>2</v>
      </c>
      <c r="F1487" s="6" t="str">
        <f t="shared" si="419"/>
        <v>94722601_07026</v>
      </c>
      <c r="G1487" s="6" t="str">
        <f t="shared" si="414"/>
        <v>F310631650000000</v>
      </c>
      <c r="H1487" s="6" t="str">
        <f t="shared" si="415"/>
        <v>PLAR 6316 FD - 500 g</v>
      </c>
      <c r="I1487" s="6" t="str">
        <f>"201855"</f>
        <v>201855</v>
      </c>
      <c r="J1487" s="6" t="str">
        <f>"AZUL 1855"</f>
        <v>AZUL 1855</v>
      </c>
      <c r="K1487" s="6" t="str">
        <f>"1024"</f>
        <v>1024</v>
      </c>
      <c r="L1487" s="6" t="str">
        <f>"Toalhas"</f>
        <v>Toalhas</v>
      </c>
      <c r="M1487" s="6" t="str">
        <f>"50x100"</f>
        <v>50x100</v>
      </c>
      <c r="N1487" s="6" t="str">
        <f>"5602972281057"</f>
        <v>5602972281057</v>
      </c>
      <c r="O1487" s="8">
        <v>6</v>
      </c>
      <c r="R1487" s="8">
        <v>0</v>
      </c>
      <c r="U1487" s="8">
        <v>0</v>
      </c>
      <c r="X1487" s="8">
        <v>0</v>
      </c>
      <c r="Z1487" s="8">
        <v>0</v>
      </c>
      <c r="AC1487" s="8">
        <v>0</v>
      </c>
      <c r="AF1487" s="8">
        <v>0</v>
      </c>
      <c r="AN1487" s="8">
        <v>6</v>
      </c>
      <c r="AO1487" s="8">
        <v>0</v>
      </c>
    </row>
    <row r="1488" spans="1:41" x14ac:dyDescent="0.25">
      <c r="A1488" s="6" t="str">
        <f t="shared" si="418"/>
        <v>522-2025004509</v>
      </c>
      <c r="B1488" s="6" t="str">
        <f t="shared" si="413"/>
        <v>EL CORTE</v>
      </c>
      <c r="C1488" s="7">
        <v>46022</v>
      </c>
      <c r="D1488" s="7">
        <v>46027</v>
      </c>
      <c r="E1488" s="8">
        <v>3</v>
      </c>
      <c r="F1488" s="6" t="str">
        <f t="shared" si="419"/>
        <v>94722601_07026</v>
      </c>
      <c r="G1488" s="6" t="str">
        <f t="shared" si="414"/>
        <v>F310631650000000</v>
      </c>
      <c r="H1488" s="6" t="str">
        <f t="shared" si="415"/>
        <v>PLAR 6316 FD - 500 g</v>
      </c>
      <c r="I1488" s="6" t="str">
        <f>"201855"</f>
        <v>201855</v>
      </c>
      <c r="J1488" s="6" t="str">
        <f>"AZUL 1855"</f>
        <v>AZUL 1855</v>
      </c>
      <c r="K1488" s="6" t="str">
        <f>"2020"</f>
        <v>2020</v>
      </c>
      <c r="L1488" s="6" t="str">
        <f>"Lençóis"</f>
        <v>Lençóis</v>
      </c>
      <c r="M1488" s="6" t="str">
        <f>"100x150"</f>
        <v>100x150</v>
      </c>
      <c r="N1488" s="6" t="str">
        <f>"5602972281064"</f>
        <v>5602972281064</v>
      </c>
      <c r="O1488" s="8">
        <v>3</v>
      </c>
      <c r="R1488" s="8">
        <v>0</v>
      </c>
      <c r="U1488" s="8">
        <v>0</v>
      </c>
      <c r="X1488" s="8">
        <v>0</v>
      </c>
      <c r="Z1488" s="8">
        <v>0</v>
      </c>
      <c r="AC1488" s="8">
        <v>0</v>
      </c>
      <c r="AF1488" s="8">
        <v>0</v>
      </c>
      <c r="AN1488" s="8">
        <v>0</v>
      </c>
      <c r="AO1488" s="8">
        <v>3</v>
      </c>
    </row>
    <row r="1489" spans="1:41" x14ac:dyDescent="0.25">
      <c r="A1489" s="6" t="str">
        <f t="shared" si="418"/>
        <v>522-2025004509</v>
      </c>
      <c r="B1489" s="6" t="str">
        <f t="shared" si="413"/>
        <v>EL CORTE</v>
      </c>
      <c r="C1489" s="7">
        <v>46022</v>
      </c>
      <c r="D1489" s="7">
        <v>46027</v>
      </c>
      <c r="E1489" s="8">
        <v>4</v>
      </c>
      <c r="F1489" s="6" t="str">
        <f t="shared" si="419"/>
        <v>94722601_07026</v>
      </c>
      <c r="G1489" s="6" t="str">
        <f t="shared" si="414"/>
        <v>F310631650000000</v>
      </c>
      <c r="H1489" s="6" t="str">
        <f t="shared" si="415"/>
        <v>PLAR 6316 FD - 500 g</v>
      </c>
      <c r="I1489" s="6" t="str">
        <f>"202575"</f>
        <v>202575</v>
      </c>
      <c r="J1489" s="6" t="str">
        <f>"BEGE 2575"</f>
        <v>BEGE 2575</v>
      </c>
      <c r="K1489" s="6" t="str">
        <f>"0520"</f>
        <v>0520</v>
      </c>
      <c r="L1489" s="6" t="str">
        <f>"Toalhetes"</f>
        <v>Toalhetes</v>
      </c>
      <c r="M1489" s="6" t="str">
        <f>"30x50"</f>
        <v>30x50</v>
      </c>
      <c r="N1489" s="6" t="str">
        <f>"5602972281071"</f>
        <v>5602972281071</v>
      </c>
      <c r="O1489" s="8">
        <v>6</v>
      </c>
      <c r="R1489" s="8">
        <v>0</v>
      </c>
      <c r="U1489" s="8">
        <v>0</v>
      </c>
      <c r="X1489" s="8">
        <v>0</v>
      </c>
      <c r="Z1489" s="8">
        <v>0</v>
      </c>
      <c r="AC1489" s="8">
        <v>0</v>
      </c>
      <c r="AF1489" s="8">
        <v>0</v>
      </c>
      <c r="AN1489" s="8">
        <v>6</v>
      </c>
      <c r="AO1489" s="8">
        <v>0</v>
      </c>
    </row>
    <row r="1490" spans="1:41" x14ac:dyDescent="0.25">
      <c r="A1490" s="6" t="str">
        <f t="shared" si="418"/>
        <v>522-2025004509</v>
      </c>
      <c r="B1490" s="6" t="str">
        <f t="shared" si="413"/>
        <v>EL CORTE</v>
      </c>
      <c r="C1490" s="7">
        <v>46022</v>
      </c>
      <c r="D1490" s="7">
        <v>46027</v>
      </c>
      <c r="E1490" s="8">
        <v>5</v>
      </c>
      <c r="F1490" s="6" t="str">
        <f t="shared" si="419"/>
        <v>94722601_07026</v>
      </c>
      <c r="G1490" s="6" t="str">
        <f t="shared" si="414"/>
        <v>F310631650000000</v>
      </c>
      <c r="H1490" s="6" t="str">
        <f t="shared" si="415"/>
        <v>PLAR 6316 FD - 500 g</v>
      </c>
      <c r="I1490" s="6" t="str">
        <f>"202575"</f>
        <v>202575</v>
      </c>
      <c r="J1490" s="6" t="str">
        <f>"BEGE 2575"</f>
        <v>BEGE 2575</v>
      </c>
      <c r="K1490" s="6" t="str">
        <f>"1024"</f>
        <v>1024</v>
      </c>
      <c r="L1490" s="6" t="str">
        <f>"Toalhas"</f>
        <v>Toalhas</v>
      </c>
      <c r="M1490" s="6" t="str">
        <f>"50x100"</f>
        <v>50x100</v>
      </c>
      <c r="N1490" s="6" t="str">
        <f>"5602972281088"</f>
        <v>5602972281088</v>
      </c>
      <c r="O1490" s="8">
        <v>6</v>
      </c>
      <c r="R1490" s="8">
        <v>0</v>
      </c>
      <c r="U1490" s="8">
        <v>0</v>
      </c>
      <c r="X1490" s="8">
        <v>0</v>
      </c>
      <c r="Z1490" s="8">
        <v>0</v>
      </c>
      <c r="AC1490" s="8">
        <v>0</v>
      </c>
      <c r="AF1490" s="8">
        <v>0</v>
      </c>
      <c r="AN1490" s="8">
        <v>6</v>
      </c>
      <c r="AO1490" s="8">
        <v>0</v>
      </c>
    </row>
    <row r="1491" spans="1:41" x14ac:dyDescent="0.25">
      <c r="A1491" s="6" t="str">
        <f t="shared" si="418"/>
        <v>522-2025004509</v>
      </c>
      <c r="B1491" s="6" t="str">
        <f t="shared" si="413"/>
        <v>EL CORTE</v>
      </c>
      <c r="C1491" s="7">
        <v>46022</v>
      </c>
      <c r="D1491" s="7">
        <v>46027</v>
      </c>
      <c r="E1491" s="8">
        <v>6</v>
      </c>
      <c r="F1491" s="6" t="str">
        <f t="shared" si="419"/>
        <v>94722601_07026</v>
      </c>
      <c r="G1491" s="6" t="str">
        <f t="shared" si="414"/>
        <v>F310631650000000</v>
      </c>
      <c r="H1491" s="6" t="str">
        <f t="shared" si="415"/>
        <v>PLAR 6316 FD - 500 g</v>
      </c>
      <c r="I1491" s="6" t="str">
        <f>"202575"</f>
        <v>202575</v>
      </c>
      <c r="J1491" s="6" t="str">
        <f>"BEGE 2575"</f>
        <v>BEGE 2575</v>
      </c>
      <c r="K1491" s="6" t="str">
        <f>"2020"</f>
        <v>2020</v>
      </c>
      <c r="L1491" s="6" t="str">
        <f>"Lençóis"</f>
        <v>Lençóis</v>
      </c>
      <c r="M1491" s="6" t="str">
        <f>"100x150"</f>
        <v>100x150</v>
      </c>
      <c r="N1491" s="6" t="str">
        <f>"5602972281095"</f>
        <v>5602972281095</v>
      </c>
      <c r="O1491" s="8">
        <v>3</v>
      </c>
      <c r="R1491" s="8">
        <v>0</v>
      </c>
      <c r="U1491" s="8">
        <v>0</v>
      </c>
      <c r="X1491" s="8">
        <v>0</v>
      </c>
      <c r="Z1491" s="8">
        <v>0</v>
      </c>
      <c r="AC1491" s="8">
        <v>0</v>
      </c>
      <c r="AF1491" s="8">
        <v>0</v>
      </c>
      <c r="AN1491" s="8">
        <v>3</v>
      </c>
      <c r="AO1491" s="8">
        <v>0</v>
      </c>
    </row>
    <row r="1492" spans="1:41" x14ac:dyDescent="0.25">
      <c r="A1492" s="6" t="str">
        <f t="shared" si="418"/>
        <v>522-2025004509</v>
      </c>
      <c r="B1492" s="6" t="str">
        <f t="shared" si="413"/>
        <v>EL CORTE</v>
      </c>
      <c r="C1492" s="7">
        <v>46022</v>
      </c>
      <c r="D1492" s="7">
        <v>46027</v>
      </c>
      <c r="E1492" s="8">
        <v>7</v>
      </c>
      <c r="F1492" s="6" t="str">
        <f t="shared" si="419"/>
        <v>94722601_07026</v>
      </c>
      <c r="G1492" s="6" t="str">
        <f t="shared" si="414"/>
        <v>F310631650000000</v>
      </c>
      <c r="H1492" s="6" t="str">
        <f t="shared" si="415"/>
        <v>PLAR 6316 FD - 500 g</v>
      </c>
      <c r="I1492" s="6" t="str">
        <f>"200510"</f>
        <v>200510</v>
      </c>
      <c r="J1492" s="6" t="str">
        <f>"VERDE 510"</f>
        <v>VERDE 510</v>
      </c>
      <c r="K1492" s="6" t="str">
        <f>"1024"</f>
        <v>1024</v>
      </c>
      <c r="L1492" s="6" t="str">
        <f>"Toalhas"</f>
        <v>Toalhas</v>
      </c>
      <c r="M1492" s="6" t="str">
        <f>"50x100"</f>
        <v>50x100</v>
      </c>
      <c r="N1492" s="6" t="str">
        <f>"5602972281149"</f>
        <v>5602972281149</v>
      </c>
      <c r="O1492" s="8">
        <v>6</v>
      </c>
      <c r="R1492" s="8">
        <v>0</v>
      </c>
      <c r="U1492" s="8">
        <v>0</v>
      </c>
      <c r="X1492" s="8">
        <v>0</v>
      </c>
      <c r="Z1492" s="8">
        <v>0</v>
      </c>
      <c r="AC1492" s="8">
        <v>0</v>
      </c>
      <c r="AF1492" s="8">
        <v>0</v>
      </c>
      <c r="AN1492" s="8">
        <v>6</v>
      </c>
      <c r="AO1492" s="8">
        <v>0</v>
      </c>
    </row>
    <row r="1493" spans="1:41" x14ac:dyDescent="0.25">
      <c r="A1493" s="6" t="str">
        <f t="shared" si="418"/>
        <v>522-2025004509</v>
      </c>
      <c r="B1493" s="6" t="str">
        <f t="shared" si="413"/>
        <v>EL CORTE</v>
      </c>
      <c r="C1493" s="7">
        <v>46022</v>
      </c>
      <c r="D1493" s="7">
        <v>46027</v>
      </c>
      <c r="E1493" s="8">
        <v>8</v>
      </c>
      <c r="F1493" s="6" t="str">
        <f t="shared" si="419"/>
        <v>94722601_07026</v>
      </c>
      <c r="G1493" s="6" t="str">
        <f t="shared" si="414"/>
        <v>F310631650000000</v>
      </c>
      <c r="H1493" s="6" t="str">
        <f t="shared" si="415"/>
        <v>PLAR 6316 FD - 500 g</v>
      </c>
      <c r="I1493" s="6" t="str">
        <f>"200510"</f>
        <v>200510</v>
      </c>
      <c r="J1493" s="6" t="str">
        <f>"VERDE 510"</f>
        <v>VERDE 510</v>
      </c>
      <c r="K1493" s="6" t="str">
        <f>"2020"</f>
        <v>2020</v>
      </c>
      <c r="L1493" s="6" t="str">
        <f>"Lençóis"</f>
        <v>Lençóis</v>
      </c>
      <c r="M1493" s="6" t="str">
        <f>"100x150"</f>
        <v>100x150</v>
      </c>
      <c r="N1493" s="6" t="str">
        <f>"5602972281156"</f>
        <v>5602972281156</v>
      </c>
      <c r="O1493" s="8">
        <v>3</v>
      </c>
      <c r="R1493" s="8">
        <v>0</v>
      </c>
      <c r="U1493" s="8">
        <v>0</v>
      </c>
      <c r="X1493" s="8">
        <v>0</v>
      </c>
      <c r="Z1493" s="8">
        <v>0</v>
      </c>
      <c r="AC1493" s="8">
        <v>0</v>
      </c>
      <c r="AF1493" s="8">
        <v>0</v>
      </c>
      <c r="AN1493" s="8">
        <v>3</v>
      </c>
      <c r="AO1493" s="8">
        <v>0</v>
      </c>
    </row>
    <row r="1494" spans="1:41" x14ac:dyDescent="0.25">
      <c r="A1494" s="6" t="str">
        <f>"522-2025004510"</f>
        <v>522-2025004510</v>
      </c>
      <c r="B1494" s="6" t="str">
        <f t="shared" si="413"/>
        <v>EL CORTE</v>
      </c>
      <c r="C1494" s="7">
        <v>46022</v>
      </c>
      <c r="D1494" s="7">
        <v>46027</v>
      </c>
      <c r="E1494" s="8">
        <v>1</v>
      </c>
      <c r="F1494" s="6" t="str">
        <f>"94723001_07026"</f>
        <v>94723001_07026</v>
      </c>
      <c r="G1494" s="6" t="str">
        <f t="shared" si="414"/>
        <v>F310631650000000</v>
      </c>
      <c r="H1494" s="6" t="str">
        <f t="shared" si="415"/>
        <v>PLAR 6316 FD - 500 g</v>
      </c>
      <c r="I1494" s="6" t="str">
        <f>"202575"</f>
        <v>202575</v>
      </c>
      <c r="J1494" s="6" t="str">
        <f>"BEGE 2575"</f>
        <v>BEGE 2575</v>
      </c>
      <c r="K1494" s="6" t="str">
        <f>"0520"</f>
        <v>0520</v>
      </c>
      <c r="L1494" s="6" t="str">
        <f>"Toalhetes"</f>
        <v>Toalhetes</v>
      </c>
      <c r="M1494" s="6" t="str">
        <f>"30x50"</f>
        <v>30x50</v>
      </c>
      <c r="N1494" s="6" t="str">
        <f>"5602972281071"</f>
        <v>5602972281071</v>
      </c>
      <c r="O1494" s="8">
        <v>12</v>
      </c>
      <c r="R1494" s="8">
        <v>0</v>
      </c>
      <c r="U1494" s="8">
        <v>0</v>
      </c>
      <c r="X1494" s="8">
        <v>0</v>
      </c>
      <c r="Z1494" s="8">
        <v>0</v>
      </c>
      <c r="AC1494" s="8">
        <v>0</v>
      </c>
      <c r="AF1494" s="8">
        <v>0</v>
      </c>
      <c r="AN1494" s="8">
        <v>12</v>
      </c>
      <c r="AO1494" s="8">
        <v>0</v>
      </c>
    </row>
    <row r="1495" spans="1:41" x14ac:dyDescent="0.25">
      <c r="A1495" s="6" t="str">
        <f>"522-2025004510"</f>
        <v>522-2025004510</v>
      </c>
      <c r="B1495" s="6" t="str">
        <f t="shared" si="413"/>
        <v>EL CORTE</v>
      </c>
      <c r="C1495" s="7">
        <v>46022</v>
      </c>
      <c r="D1495" s="7">
        <v>46027</v>
      </c>
      <c r="E1495" s="8">
        <v>2</v>
      </c>
      <c r="F1495" s="6" t="str">
        <f>"94723001_07026"</f>
        <v>94723001_07026</v>
      </c>
      <c r="G1495" s="6" t="str">
        <f t="shared" si="414"/>
        <v>F310631650000000</v>
      </c>
      <c r="H1495" s="6" t="str">
        <f t="shared" si="415"/>
        <v>PLAR 6316 FD - 500 g</v>
      </c>
      <c r="I1495" s="6" t="str">
        <f>"202575"</f>
        <v>202575</v>
      </c>
      <c r="J1495" s="6" t="str">
        <f>"BEGE 2575"</f>
        <v>BEGE 2575</v>
      </c>
      <c r="K1495" s="6" t="str">
        <f>"2020"</f>
        <v>2020</v>
      </c>
      <c r="L1495" s="6" t="str">
        <f>"Lençóis"</f>
        <v>Lençóis</v>
      </c>
      <c r="M1495" s="6" t="str">
        <f>"100x150"</f>
        <v>100x150</v>
      </c>
      <c r="N1495" s="6" t="str">
        <f>"5602972281095"</f>
        <v>5602972281095</v>
      </c>
      <c r="O1495" s="8">
        <v>3</v>
      </c>
      <c r="R1495" s="8">
        <v>0</v>
      </c>
      <c r="U1495" s="8">
        <v>0</v>
      </c>
      <c r="X1495" s="8">
        <v>0</v>
      </c>
      <c r="Z1495" s="8">
        <v>0</v>
      </c>
      <c r="AC1495" s="8">
        <v>0</v>
      </c>
      <c r="AF1495" s="8">
        <v>0</v>
      </c>
      <c r="AN1495" s="8">
        <v>3</v>
      </c>
      <c r="AO1495" s="8">
        <v>0</v>
      </c>
    </row>
    <row r="1496" spans="1:41" x14ac:dyDescent="0.25">
      <c r="A1496" s="6" t="str">
        <f>"522-2025004510"</f>
        <v>522-2025004510</v>
      </c>
      <c r="B1496" s="6" t="str">
        <f t="shared" si="413"/>
        <v>EL CORTE</v>
      </c>
      <c r="C1496" s="7">
        <v>46022</v>
      </c>
      <c r="D1496" s="7">
        <v>46027</v>
      </c>
      <c r="E1496" s="8">
        <v>3</v>
      </c>
      <c r="F1496" s="6" t="str">
        <f>"94723001_07026"</f>
        <v>94723001_07026</v>
      </c>
      <c r="G1496" s="6" t="str">
        <f t="shared" si="414"/>
        <v>F310631650000000</v>
      </c>
      <c r="H1496" s="6" t="str">
        <f t="shared" si="415"/>
        <v>PLAR 6316 FD - 500 g</v>
      </c>
      <c r="I1496" s="6" t="str">
        <f>"200901"</f>
        <v>200901</v>
      </c>
      <c r="J1496" s="6" t="str">
        <f>"ROSA 901"</f>
        <v>ROSA 901</v>
      </c>
      <c r="K1496" s="6" t="str">
        <f>"0520"</f>
        <v>0520</v>
      </c>
      <c r="L1496" s="6" t="str">
        <f>"Toalhetes"</f>
        <v>Toalhetes</v>
      </c>
      <c r="M1496" s="6" t="str">
        <f>"30x50"</f>
        <v>30x50</v>
      </c>
      <c r="N1496" s="6" t="str">
        <f>"5602972281101"</f>
        <v>5602972281101</v>
      </c>
      <c r="O1496" s="8">
        <v>6</v>
      </c>
      <c r="R1496" s="8">
        <v>0</v>
      </c>
      <c r="U1496" s="8">
        <v>0</v>
      </c>
      <c r="X1496" s="8">
        <v>0</v>
      </c>
      <c r="Z1496" s="8">
        <v>0</v>
      </c>
      <c r="AC1496" s="8">
        <v>0</v>
      </c>
      <c r="AF1496" s="8">
        <v>0</v>
      </c>
      <c r="AN1496" s="8">
        <v>6</v>
      </c>
      <c r="AO1496" s="8">
        <v>0</v>
      </c>
    </row>
    <row r="1497" spans="1:41" x14ac:dyDescent="0.25">
      <c r="A1497" s="6" t="str">
        <f>"522-2025004510"</f>
        <v>522-2025004510</v>
      </c>
      <c r="B1497" s="6" t="str">
        <f t="shared" si="413"/>
        <v>EL CORTE</v>
      </c>
      <c r="C1497" s="7">
        <v>46022</v>
      </c>
      <c r="D1497" s="7">
        <v>46027</v>
      </c>
      <c r="E1497" s="8">
        <v>4</v>
      </c>
      <c r="F1497" s="6" t="str">
        <f>"94723001_07026"</f>
        <v>94723001_07026</v>
      </c>
      <c r="G1497" s="6" t="str">
        <f t="shared" si="414"/>
        <v>F310631650000000</v>
      </c>
      <c r="H1497" s="6" t="str">
        <f t="shared" si="415"/>
        <v>PLAR 6316 FD - 500 g</v>
      </c>
      <c r="I1497" s="6" t="str">
        <f>"200901"</f>
        <v>200901</v>
      </c>
      <c r="J1497" s="6" t="str">
        <f>"ROSA 901"</f>
        <v>ROSA 901</v>
      </c>
      <c r="K1497" s="6" t="str">
        <f>"1024"</f>
        <v>1024</v>
      </c>
      <c r="L1497" s="6" t="str">
        <f>"Toalhas"</f>
        <v>Toalhas</v>
      </c>
      <c r="M1497" s="6" t="str">
        <f>"50x100"</f>
        <v>50x100</v>
      </c>
      <c r="N1497" s="6" t="str">
        <f>"5602972281118"</f>
        <v>5602972281118</v>
      </c>
      <c r="O1497" s="8">
        <v>6</v>
      </c>
      <c r="R1497" s="8">
        <v>0</v>
      </c>
      <c r="U1497" s="8">
        <v>0</v>
      </c>
      <c r="X1497" s="8">
        <v>0</v>
      </c>
      <c r="Z1497" s="8">
        <v>0</v>
      </c>
      <c r="AC1497" s="8">
        <v>0</v>
      </c>
      <c r="AF1497" s="8">
        <v>0</v>
      </c>
      <c r="AN1497" s="8">
        <v>6</v>
      </c>
      <c r="AO1497" s="8">
        <v>0</v>
      </c>
    </row>
    <row r="1498" spans="1:41" x14ac:dyDescent="0.25">
      <c r="A1498" s="6" t="str">
        <f>"522-2025004511"</f>
        <v>522-2025004511</v>
      </c>
      <c r="B1498" s="6" t="str">
        <f t="shared" si="413"/>
        <v>EL CORTE</v>
      </c>
      <c r="C1498" s="7">
        <v>46022</v>
      </c>
      <c r="D1498" s="7">
        <v>46027</v>
      </c>
      <c r="E1498" s="8">
        <v>1</v>
      </c>
      <c r="F1498" s="6" t="str">
        <f>"94723301_07026"</f>
        <v>94723301_07026</v>
      </c>
      <c r="G1498" s="6" t="str">
        <f t="shared" si="414"/>
        <v>F310631650000000</v>
      </c>
      <c r="H1498" s="6" t="str">
        <f t="shared" si="415"/>
        <v>PLAR 6316 FD - 500 g</v>
      </c>
      <c r="I1498" s="6" t="str">
        <f>"201855"</f>
        <v>201855</v>
      </c>
      <c r="J1498" s="6" t="str">
        <f>"AZUL 1855"</f>
        <v>AZUL 1855</v>
      </c>
      <c r="K1498" s="6" t="str">
        <f>"0520"</f>
        <v>0520</v>
      </c>
      <c r="L1498" s="6" t="str">
        <f>"Toalhetes"</f>
        <v>Toalhetes</v>
      </c>
      <c r="M1498" s="6" t="str">
        <f>"30x50"</f>
        <v>30x50</v>
      </c>
      <c r="N1498" s="6" t="str">
        <f>"5602972281040"</f>
        <v>5602972281040</v>
      </c>
      <c r="O1498" s="8">
        <v>6</v>
      </c>
      <c r="R1498" s="8">
        <v>0</v>
      </c>
      <c r="U1498" s="8">
        <v>0</v>
      </c>
      <c r="X1498" s="8">
        <v>0</v>
      </c>
      <c r="Z1498" s="8">
        <v>0</v>
      </c>
      <c r="AC1498" s="8">
        <v>0</v>
      </c>
      <c r="AF1498" s="8">
        <v>0</v>
      </c>
      <c r="AN1498" s="8">
        <v>6</v>
      </c>
      <c r="AO1498" s="8">
        <v>0</v>
      </c>
    </row>
    <row r="1499" spans="1:41" x14ac:dyDescent="0.25">
      <c r="A1499" s="6" t="str">
        <f>"522-2025004511"</f>
        <v>522-2025004511</v>
      </c>
      <c r="B1499" s="6" t="str">
        <f t="shared" si="413"/>
        <v>EL CORTE</v>
      </c>
      <c r="C1499" s="7">
        <v>46022</v>
      </c>
      <c r="D1499" s="7">
        <v>46027</v>
      </c>
      <c r="E1499" s="8">
        <v>2</v>
      </c>
      <c r="F1499" s="6" t="str">
        <f>"94723301_07026"</f>
        <v>94723301_07026</v>
      </c>
      <c r="G1499" s="6" t="str">
        <f t="shared" si="414"/>
        <v>F310631650000000</v>
      </c>
      <c r="H1499" s="6" t="str">
        <f t="shared" si="415"/>
        <v>PLAR 6316 FD - 500 g</v>
      </c>
      <c r="I1499" s="6" t="str">
        <f>"201855"</f>
        <v>201855</v>
      </c>
      <c r="J1499" s="6" t="str">
        <f>"AZUL 1855"</f>
        <v>AZUL 1855</v>
      </c>
      <c r="K1499" s="6" t="str">
        <f>"2020"</f>
        <v>2020</v>
      </c>
      <c r="L1499" s="6" t="str">
        <f>"Lençóis"</f>
        <v>Lençóis</v>
      </c>
      <c r="M1499" s="6" t="str">
        <f>"100x150"</f>
        <v>100x150</v>
      </c>
      <c r="N1499" s="6" t="str">
        <f>"5602972281064"</f>
        <v>5602972281064</v>
      </c>
      <c r="O1499" s="8">
        <v>3</v>
      </c>
      <c r="R1499" s="8">
        <v>0</v>
      </c>
      <c r="U1499" s="8">
        <v>0</v>
      </c>
      <c r="X1499" s="8">
        <v>0</v>
      </c>
      <c r="Z1499" s="8">
        <v>0</v>
      </c>
      <c r="AC1499" s="8">
        <v>0</v>
      </c>
      <c r="AF1499" s="8">
        <v>0</v>
      </c>
      <c r="AN1499" s="8">
        <v>0</v>
      </c>
      <c r="AO1499" s="8">
        <v>3</v>
      </c>
    </row>
    <row r="1500" spans="1:41" x14ac:dyDescent="0.25">
      <c r="A1500" s="6" t="str">
        <f>"522-2025004511"</f>
        <v>522-2025004511</v>
      </c>
      <c r="B1500" s="6" t="str">
        <f t="shared" si="413"/>
        <v>EL CORTE</v>
      </c>
      <c r="C1500" s="7">
        <v>46022</v>
      </c>
      <c r="D1500" s="7">
        <v>46027</v>
      </c>
      <c r="E1500" s="8">
        <v>3</v>
      </c>
      <c r="F1500" s="6" t="str">
        <f>"94723301_07026"</f>
        <v>94723301_07026</v>
      </c>
      <c r="G1500" s="6" t="str">
        <f t="shared" si="414"/>
        <v>F310631650000000</v>
      </c>
      <c r="H1500" s="6" t="str">
        <f t="shared" si="415"/>
        <v>PLAR 6316 FD - 500 g</v>
      </c>
      <c r="I1500" s="6" t="str">
        <f>"202575"</f>
        <v>202575</v>
      </c>
      <c r="J1500" s="6" t="str">
        <f>"BEGE 2575"</f>
        <v>BEGE 2575</v>
      </c>
      <c r="K1500" s="6" t="str">
        <f>"2020"</f>
        <v>2020</v>
      </c>
      <c r="L1500" s="6" t="str">
        <f>"Lençóis"</f>
        <v>Lençóis</v>
      </c>
      <c r="M1500" s="6" t="str">
        <f>"100x150"</f>
        <v>100x150</v>
      </c>
      <c r="N1500" s="6" t="str">
        <f>"5602972281095"</f>
        <v>5602972281095</v>
      </c>
      <c r="O1500" s="8">
        <v>3</v>
      </c>
      <c r="R1500" s="8">
        <v>0</v>
      </c>
      <c r="U1500" s="8">
        <v>0</v>
      </c>
      <c r="X1500" s="8">
        <v>0</v>
      </c>
      <c r="Z1500" s="8">
        <v>0</v>
      </c>
      <c r="AC1500" s="8">
        <v>0</v>
      </c>
      <c r="AF1500" s="8">
        <v>0</v>
      </c>
      <c r="AN1500" s="8">
        <v>3</v>
      </c>
      <c r="AO1500" s="8">
        <v>0</v>
      </c>
    </row>
    <row r="1501" spans="1:41" x14ac:dyDescent="0.25">
      <c r="A1501" s="6" t="str">
        <f>"522-2025004512"</f>
        <v>522-2025004512</v>
      </c>
      <c r="B1501" s="6" t="str">
        <f t="shared" si="413"/>
        <v>EL CORTE</v>
      </c>
      <c r="C1501" s="7">
        <v>46022</v>
      </c>
      <c r="D1501" s="7">
        <v>46027</v>
      </c>
      <c r="E1501" s="8">
        <v>1</v>
      </c>
      <c r="F1501" s="6" t="str">
        <f>"94724001_07026"</f>
        <v>94724001_07026</v>
      </c>
      <c r="G1501" s="6" t="str">
        <f t="shared" si="414"/>
        <v>F310631650000000</v>
      </c>
      <c r="H1501" s="6" t="str">
        <f t="shared" si="415"/>
        <v>PLAR 6316 FD - 500 g</v>
      </c>
      <c r="I1501" s="6" t="str">
        <f>"201855"</f>
        <v>201855</v>
      </c>
      <c r="J1501" s="6" t="str">
        <f>"AZUL 1855"</f>
        <v>AZUL 1855</v>
      </c>
      <c r="K1501" s="6" t="str">
        <f>"1024"</f>
        <v>1024</v>
      </c>
      <c r="L1501" s="6" t="str">
        <f>"Toalhas"</f>
        <v>Toalhas</v>
      </c>
      <c r="M1501" s="6" t="str">
        <f>"50x100"</f>
        <v>50x100</v>
      </c>
      <c r="N1501" s="6" t="str">
        <f>"5602972281057"</f>
        <v>5602972281057</v>
      </c>
      <c r="O1501" s="8">
        <v>6</v>
      </c>
      <c r="R1501" s="8">
        <v>0</v>
      </c>
      <c r="U1501" s="8">
        <v>0</v>
      </c>
      <c r="X1501" s="8">
        <v>0</v>
      </c>
      <c r="Z1501" s="8">
        <v>0</v>
      </c>
      <c r="AC1501" s="8">
        <v>0</v>
      </c>
      <c r="AF1501" s="8">
        <v>0</v>
      </c>
      <c r="AN1501" s="8">
        <v>6</v>
      </c>
      <c r="AO1501" s="8">
        <v>0</v>
      </c>
    </row>
    <row r="1502" spans="1:41" x14ac:dyDescent="0.25">
      <c r="A1502" s="6" t="str">
        <f>"522-2025004512"</f>
        <v>522-2025004512</v>
      </c>
      <c r="B1502" s="6" t="str">
        <f t="shared" si="413"/>
        <v>EL CORTE</v>
      </c>
      <c r="C1502" s="7">
        <v>46022</v>
      </c>
      <c r="D1502" s="7">
        <v>46027</v>
      </c>
      <c r="E1502" s="8">
        <v>2</v>
      </c>
      <c r="F1502" s="6" t="str">
        <f>"94724001_07026"</f>
        <v>94724001_07026</v>
      </c>
      <c r="G1502" s="6" t="str">
        <f t="shared" si="414"/>
        <v>F310631650000000</v>
      </c>
      <c r="H1502" s="6" t="str">
        <f t="shared" si="415"/>
        <v>PLAR 6316 FD - 500 g</v>
      </c>
      <c r="I1502" s="6" t="str">
        <f>"200901"</f>
        <v>200901</v>
      </c>
      <c r="J1502" s="6" t="str">
        <f>"ROSA 901"</f>
        <v>ROSA 901</v>
      </c>
      <c r="K1502" s="6" t="str">
        <f>"1024"</f>
        <v>1024</v>
      </c>
      <c r="L1502" s="6" t="str">
        <f>"Toalhas"</f>
        <v>Toalhas</v>
      </c>
      <c r="M1502" s="6" t="str">
        <f>"50x100"</f>
        <v>50x100</v>
      </c>
      <c r="N1502" s="6" t="str">
        <f>"5602972281118"</f>
        <v>5602972281118</v>
      </c>
      <c r="O1502" s="8">
        <v>6</v>
      </c>
      <c r="R1502" s="8">
        <v>0</v>
      </c>
      <c r="U1502" s="8">
        <v>0</v>
      </c>
      <c r="X1502" s="8">
        <v>0</v>
      </c>
      <c r="Z1502" s="8">
        <v>0</v>
      </c>
      <c r="AC1502" s="8">
        <v>0</v>
      </c>
      <c r="AF1502" s="8">
        <v>0</v>
      </c>
      <c r="AN1502" s="8">
        <v>6</v>
      </c>
      <c r="AO1502" s="8">
        <v>0</v>
      </c>
    </row>
    <row r="1503" spans="1:41" x14ac:dyDescent="0.25">
      <c r="A1503" s="6" t="str">
        <f>"522-2025004512"</f>
        <v>522-2025004512</v>
      </c>
      <c r="B1503" s="6" t="str">
        <f t="shared" si="413"/>
        <v>EL CORTE</v>
      </c>
      <c r="C1503" s="7">
        <v>46022</v>
      </c>
      <c r="D1503" s="7">
        <v>46027</v>
      </c>
      <c r="E1503" s="8">
        <v>3</v>
      </c>
      <c r="F1503" s="6" t="str">
        <f>"94724001_07026"</f>
        <v>94724001_07026</v>
      </c>
      <c r="G1503" s="6" t="str">
        <f t="shared" si="414"/>
        <v>F310631650000000</v>
      </c>
      <c r="H1503" s="6" t="str">
        <f t="shared" si="415"/>
        <v>PLAR 6316 FD - 500 g</v>
      </c>
      <c r="I1503" s="6" t="str">
        <f>"200901"</f>
        <v>200901</v>
      </c>
      <c r="J1503" s="6" t="str">
        <f>"ROSA 901"</f>
        <v>ROSA 901</v>
      </c>
      <c r="K1503" s="6" t="str">
        <f>"2020"</f>
        <v>2020</v>
      </c>
      <c r="L1503" s="6" t="str">
        <f>"Lençóis"</f>
        <v>Lençóis</v>
      </c>
      <c r="M1503" s="6" t="str">
        <f>"100x150"</f>
        <v>100x150</v>
      </c>
      <c r="N1503" s="6" t="str">
        <f>"5602972281125"</f>
        <v>5602972281125</v>
      </c>
      <c r="O1503" s="8">
        <v>3</v>
      </c>
      <c r="R1503" s="8">
        <v>0</v>
      </c>
      <c r="U1503" s="8">
        <v>0</v>
      </c>
      <c r="X1503" s="8">
        <v>0</v>
      </c>
      <c r="Z1503" s="8">
        <v>0</v>
      </c>
      <c r="AC1503" s="8">
        <v>0</v>
      </c>
      <c r="AF1503" s="8">
        <v>0</v>
      </c>
      <c r="AN1503" s="8">
        <v>3</v>
      </c>
      <c r="AO1503" s="8">
        <v>0</v>
      </c>
    </row>
    <row r="1504" spans="1:41" x14ac:dyDescent="0.25">
      <c r="A1504" s="6" t="str">
        <f>"522-2025004512"</f>
        <v>522-2025004512</v>
      </c>
      <c r="B1504" s="6" t="str">
        <f t="shared" si="413"/>
        <v>EL CORTE</v>
      </c>
      <c r="C1504" s="7">
        <v>46022</v>
      </c>
      <c r="D1504" s="7">
        <v>46027</v>
      </c>
      <c r="E1504" s="8">
        <v>4</v>
      </c>
      <c r="F1504" s="6" t="str">
        <f>"94724001_07026"</f>
        <v>94724001_07026</v>
      </c>
      <c r="G1504" s="6" t="str">
        <f t="shared" si="414"/>
        <v>F310631650000000</v>
      </c>
      <c r="H1504" s="6" t="str">
        <f t="shared" si="415"/>
        <v>PLAR 6316 FD - 500 g</v>
      </c>
      <c r="I1504" s="6" t="str">
        <f>"200510"</f>
        <v>200510</v>
      </c>
      <c r="J1504" s="6" t="str">
        <f>"VERDE 510"</f>
        <v>VERDE 510</v>
      </c>
      <c r="K1504" s="6" t="str">
        <f>"1024"</f>
        <v>1024</v>
      </c>
      <c r="L1504" s="6" t="str">
        <f>"Toalhas"</f>
        <v>Toalhas</v>
      </c>
      <c r="M1504" s="6" t="str">
        <f>"50x100"</f>
        <v>50x100</v>
      </c>
      <c r="N1504" s="6" t="str">
        <f>"5602972281149"</f>
        <v>5602972281149</v>
      </c>
      <c r="O1504" s="8">
        <v>6</v>
      </c>
      <c r="R1504" s="8">
        <v>0</v>
      </c>
      <c r="U1504" s="8">
        <v>0</v>
      </c>
      <c r="X1504" s="8">
        <v>0</v>
      </c>
      <c r="Z1504" s="8">
        <v>0</v>
      </c>
      <c r="AC1504" s="8">
        <v>0</v>
      </c>
      <c r="AF1504" s="8">
        <v>0</v>
      </c>
      <c r="AN1504" s="8">
        <v>6</v>
      </c>
      <c r="AO1504" s="8">
        <v>0</v>
      </c>
    </row>
    <row r="1505" spans="1:41" x14ac:dyDescent="0.25">
      <c r="A1505" s="6" t="str">
        <f>"522-2025004512"</f>
        <v>522-2025004512</v>
      </c>
      <c r="B1505" s="6" t="str">
        <f t="shared" si="413"/>
        <v>EL CORTE</v>
      </c>
      <c r="C1505" s="7">
        <v>46022</v>
      </c>
      <c r="D1505" s="7">
        <v>46027</v>
      </c>
      <c r="E1505" s="8">
        <v>5</v>
      </c>
      <c r="F1505" s="6" t="str">
        <f>"94724001_07026"</f>
        <v>94724001_07026</v>
      </c>
      <c r="G1505" s="6" t="str">
        <f t="shared" si="414"/>
        <v>F310631650000000</v>
      </c>
      <c r="H1505" s="6" t="str">
        <f t="shared" si="415"/>
        <v>PLAR 6316 FD - 500 g</v>
      </c>
      <c r="I1505" s="6" t="str">
        <f>"200510"</f>
        <v>200510</v>
      </c>
      <c r="J1505" s="6" t="str">
        <f>"VERDE 510"</f>
        <v>VERDE 510</v>
      </c>
      <c r="K1505" s="6" t="str">
        <f>"2020"</f>
        <v>2020</v>
      </c>
      <c r="L1505" s="6" t="str">
        <f>"Lençóis"</f>
        <v>Lençóis</v>
      </c>
      <c r="M1505" s="6" t="str">
        <f>"100x150"</f>
        <v>100x150</v>
      </c>
      <c r="N1505" s="6" t="str">
        <f>"5602972281156"</f>
        <v>5602972281156</v>
      </c>
      <c r="O1505" s="8">
        <v>3</v>
      </c>
      <c r="R1505" s="8">
        <v>0</v>
      </c>
      <c r="U1505" s="8">
        <v>0</v>
      </c>
      <c r="X1505" s="8">
        <v>0</v>
      </c>
      <c r="Z1505" s="8">
        <v>0</v>
      </c>
      <c r="AC1505" s="8">
        <v>0</v>
      </c>
      <c r="AF1505" s="8">
        <v>0</v>
      </c>
      <c r="AN1505" s="8">
        <v>3</v>
      </c>
      <c r="AO1505" s="8">
        <v>0</v>
      </c>
    </row>
    <row r="1506" spans="1:41" x14ac:dyDescent="0.25">
      <c r="A1506" s="6" t="str">
        <f>"522-2025004513"</f>
        <v>522-2025004513</v>
      </c>
      <c r="B1506" s="6" t="str">
        <f t="shared" si="413"/>
        <v>EL CORTE</v>
      </c>
      <c r="C1506" s="7">
        <v>46022</v>
      </c>
      <c r="D1506" s="7">
        <v>46027</v>
      </c>
      <c r="E1506" s="8">
        <v>1</v>
      </c>
      <c r="F1506" s="6" t="str">
        <f>"94726501_07026"</f>
        <v>94726501_07026</v>
      </c>
      <c r="G1506" s="6" t="str">
        <f t="shared" si="414"/>
        <v>F310631650000000</v>
      </c>
      <c r="H1506" s="6" t="str">
        <f t="shared" si="415"/>
        <v>PLAR 6316 FD - 500 g</v>
      </c>
      <c r="I1506" s="6" t="str">
        <f>"202575"</f>
        <v>202575</v>
      </c>
      <c r="J1506" s="6" t="str">
        <f>"BEGE 2575"</f>
        <v>BEGE 2575</v>
      </c>
      <c r="K1506" s="6" t="str">
        <f>"1024"</f>
        <v>1024</v>
      </c>
      <c r="L1506" s="6" t="str">
        <f>"Toalhas"</f>
        <v>Toalhas</v>
      </c>
      <c r="M1506" s="6" t="str">
        <f>"50x100"</f>
        <v>50x100</v>
      </c>
      <c r="N1506" s="6" t="str">
        <f>"5602972281088"</f>
        <v>5602972281088</v>
      </c>
      <c r="O1506" s="8">
        <v>6</v>
      </c>
      <c r="R1506" s="8">
        <v>0</v>
      </c>
      <c r="U1506" s="8">
        <v>0</v>
      </c>
      <c r="X1506" s="8">
        <v>0</v>
      </c>
      <c r="Z1506" s="8">
        <v>0</v>
      </c>
      <c r="AC1506" s="8">
        <v>0</v>
      </c>
      <c r="AF1506" s="8">
        <v>0</v>
      </c>
      <c r="AN1506" s="8">
        <v>6</v>
      </c>
      <c r="AO1506" s="8">
        <v>0</v>
      </c>
    </row>
    <row r="1507" spans="1:41" x14ac:dyDescent="0.25">
      <c r="A1507" s="6" t="str">
        <f>"522-2025004513"</f>
        <v>522-2025004513</v>
      </c>
      <c r="B1507" s="6" t="str">
        <f t="shared" si="413"/>
        <v>EL CORTE</v>
      </c>
      <c r="C1507" s="7">
        <v>46022</v>
      </c>
      <c r="D1507" s="7">
        <v>46027</v>
      </c>
      <c r="E1507" s="8">
        <v>2</v>
      </c>
      <c r="F1507" s="6" t="str">
        <f>"94726501_07026"</f>
        <v>94726501_07026</v>
      </c>
      <c r="G1507" s="6" t="str">
        <f t="shared" si="414"/>
        <v>F310631650000000</v>
      </c>
      <c r="H1507" s="6" t="str">
        <f t="shared" si="415"/>
        <v>PLAR 6316 FD - 500 g</v>
      </c>
      <c r="I1507" s="6" t="str">
        <f>"202575"</f>
        <v>202575</v>
      </c>
      <c r="J1507" s="6" t="str">
        <f>"BEGE 2575"</f>
        <v>BEGE 2575</v>
      </c>
      <c r="K1507" s="6" t="str">
        <f>"2020"</f>
        <v>2020</v>
      </c>
      <c r="L1507" s="6" t="str">
        <f>"Lençóis"</f>
        <v>Lençóis</v>
      </c>
      <c r="M1507" s="6" t="str">
        <f>"100x150"</f>
        <v>100x150</v>
      </c>
      <c r="N1507" s="6" t="str">
        <f>"5602972281095"</f>
        <v>5602972281095</v>
      </c>
      <c r="O1507" s="8">
        <v>3</v>
      </c>
      <c r="R1507" s="8">
        <v>0</v>
      </c>
      <c r="U1507" s="8">
        <v>0</v>
      </c>
      <c r="X1507" s="8">
        <v>0</v>
      </c>
      <c r="Z1507" s="8">
        <v>0</v>
      </c>
      <c r="AC1507" s="8">
        <v>0</v>
      </c>
      <c r="AF1507" s="8">
        <v>0</v>
      </c>
      <c r="AN1507" s="8">
        <v>3</v>
      </c>
      <c r="AO1507" s="8">
        <v>0</v>
      </c>
    </row>
    <row r="1508" spans="1:41" x14ac:dyDescent="0.25">
      <c r="A1508" s="6" t="str">
        <f>"522-2025004513"</f>
        <v>522-2025004513</v>
      </c>
      <c r="B1508" s="6" t="str">
        <f t="shared" si="413"/>
        <v>EL CORTE</v>
      </c>
      <c r="C1508" s="7">
        <v>46022</v>
      </c>
      <c r="D1508" s="7">
        <v>46027</v>
      </c>
      <c r="E1508" s="8">
        <v>3</v>
      </c>
      <c r="F1508" s="6" t="str">
        <f>"94726501_07026"</f>
        <v>94726501_07026</v>
      </c>
      <c r="G1508" s="6" t="str">
        <f t="shared" si="414"/>
        <v>F310631650000000</v>
      </c>
      <c r="H1508" s="6" t="str">
        <f t="shared" si="415"/>
        <v>PLAR 6316 FD - 500 g</v>
      </c>
      <c r="I1508" s="6" t="str">
        <f>"200901"</f>
        <v>200901</v>
      </c>
      <c r="J1508" s="6" t="str">
        <f>"ROSA 901"</f>
        <v>ROSA 901</v>
      </c>
      <c r="K1508" s="6" t="str">
        <f>"1024"</f>
        <v>1024</v>
      </c>
      <c r="L1508" s="6" t="str">
        <f>"Toalhas"</f>
        <v>Toalhas</v>
      </c>
      <c r="M1508" s="6" t="str">
        <f>"50x100"</f>
        <v>50x100</v>
      </c>
      <c r="N1508" s="6" t="str">
        <f>"5602972281118"</f>
        <v>5602972281118</v>
      </c>
      <c r="O1508" s="8">
        <v>6</v>
      </c>
      <c r="R1508" s="8">
        <v>0</v>
      </c>
      <c r="U1508" s="8">
        <v>0</v>
      </c>
      <c r="X1508" s="8">
        <v>0</v>
      </c>
      <c r="Z1508" s="8">
        <v>0</v>
      </c>
      <c r="AC1508" s="8">
        <v>0</v>
      </c>
      <c r="AF1508" s="8">
        <v>0</v>
      </c>
      <c r="AN1508" s="8">
        <v>6</v>
      </c>
      <c r="AO1508" s="8">
        <v>0</v>
      </c>
    </row>
    <row r="1509" spans="1:41" x14ac:dyDescent="0.25">
      <c r="A1509" s="6" t="str">
        <f>"522-2025004513"</f>
        <v>522-2025004513</v>
      </c>
      <c r="B1509" s="6" t="str">
        <f t="shared" si="413"/>
        <v>EL CORTE</v>
      </c>
      <c r="C1509" s="7">
        <v>46022</v>
      </c>
      <c r="D1509" s="7">
        <v>46027</v>
      </c>
      <c r="E1509" s="8">
        <v>4</v>
      </c>
      <c r="F1509" s="6" t="str">
        <f>"94726501_07026"</f>
        <v>94726501_07026</v>
      </c>
      <c r="G1509" s="6" t="str">
        <f t="shared" si="414"/>
        <v>F310631650000000</v>
      </c>
      <c r="H1509" s="6" t="str">
        <f t="shared" si="415"/>
        <v>PLAR 6316 FD - 500 g</v>
      </c>
      <c r="I1509" s="6" t="str">
        <f>"200901"</f>
        <v>200901</v>
      </c>
      <c r="J1509" s="6" t="str">
        <f>"ROSA 901"</f>
        <v>ROSA 901</v>
      </c>
      <c r="K1509" s="6" t="str">
        <f>"2020"</f>
        <v>2020</v>
      </c>
      <c r="L1509" s="6" t="str">
        <f>"Lençóis"</f>
        <v>Lençóis</v>
      </c>
      <c r="M1509" s="6" t="str">
        <f>"100x150"</f>
        <v>100x150</v>
      </c>
      <c r="N1509" s="6" t="str">
        <f>"5602972281125"</f>
        <v>5602972281125</v>
      </c>
      <c r="O1509" s="8">
        <v>6</v>
      </c>
      <c r="R1509" s="8">
        <v>0</v>
      </c>
      <c r="U1509" s="8">
        <v>0</v>
      </c>
      <c r="X1509" s="8">
        <v>0</v>
      </c>
      <c r="Z1509" s="8">
        <v>0</v>
      </c>
      <c r="AC1509" s="8">
        <v>0</v>
      </c>
      <c r="AF1509" s="8">
        <v>0</v>
      </c>
      <c r="AN1509" s="8">
        <v>3</v>
      </c>
      <c r="AO1509" s="8">
        <v>3</v>
      </c>
    </row>
    <row r="1510" spans="1:41" x14ac:dyDescent="0.25">
      <c r="A1510" s="6" t="str">
        <f>"522-2025004513"</f>
        <v>522-2025004513</v>
      </c>
      <c r="B1510" s="6" t="str">
        <f t="shared" si="413"/>
        <v>EL CORTE</v>
      </c>
      <c r="C1510" s="7">
        <v>46022</v>
      </c>
      <c r="D1510" s="7">
        <v>46027</v>
      </c>
      <c r="E1510" s="8">
        <v>5</v>
      </c>
      <c r="F1510" s="6" t="str">
        <f>"94726501_07026"</f>
        <v>94726501_07026</v>
      </c>
      <c r="G1510" s="6" t="str">
        <f t="shared" si="414"/>
        <v>F310631650000000</v>
      </c>
      <c r="H1510" s="6" t="str">
        <f t="shared" si="415"/>
        <v>PLAR 6316 FD - 500 g</v>
      </c>
      <c r="I1510" s="6" t="str">
        <f>"200510"</f>
        <v>200510</v>
      </c>
      <c r="J1510" s="6" t="str">
        <f>"VERDE 510"</f>
        <v>VERDE 510</v>
      </c>
      <c r="K1510" s="6" t="str">
        <f>"1024"</f>
        <v>1024</v>
      </c>
      <c r="L1510" s="6" t="str">
        <f>"Toalhas"</f>
        <v>Toalhas</v>
      </c>
      <c r="M1510" s="6" t="str">
        <f>"50x100"</f>
        <v>50x100</v>
      </c>
      <c r="N1510" s="6" t="str">
        <f>"5602972281149"</f>
        <v>5602972281149</v>
      </c>
      <c r="O1510" s="8">
        <v>6</v>
      </c>
      <c r="R1510" s="8">
        <v>0</v>
      </c>
      <c r="U1510" s="8">
        <v>0</v>
      </c>
      <c r="X1510" s="8">
        <v>0</v>
      </c>
      <c r="Z1510" s="8">
        <v>0</v>
      </c>
      <c r="AC1510" s="8">
        <v>0</v>
      </c>
      <c r="AF1510" s="8">
        <v>0</v>
      </c>
      <c r="AN1510" s="8">
        <v>6</v>
      </c>
      <c r="AO1510" s="8">
        <v>0</v>
      </c>
    </row>
    <row r="1511" spans="1:41" x14ac:dyDescent="0.25">
      <c r="A1511" s="6" t="str">
        <f>"522-2025004514"</f>
        <v>522-2025004514</v>
      </c>
      <c r="B1511" s="6" t="str">
        <f t="shared" si="413"/>
        <v>EL CORTE</v>
      </c>
      <c r="C1511" s="7">
        <v>46022</v>
      </c>
      <c r="D1511" s="7">
        <v>46027</v>
      </c>
      <c r="E1511" s="8">
        <v>1</v>
      </c>
      <c r="F1511" s="6" t="str">
        <f>"94722801_07026"</f>
        <v>94722801_07026</v>
      </c>
      <c r="G1511" s="6" t="str">
        <f t="shared" si="414"/>
        <v>F310631650000000</v>
      </c>
      <c r="H1511" s="6" t="str">
        <f t="shared" si="415"/>
        <v>PLAR 6316 FD - 500 g</v>
      </c>
      <c r="I1511" s="6" t="str">
        <f>"201855"</f>
        <v>201855</v>
      </c>
      <c r="J1511" s="6" t="str">
        <f>"AZUL 1855"</f>
        <v>AZUL 1855</v>
      </c>
      <c r="K1511" s="6" t="str">
        <f>"1024"</f>
        <v>1024</v>
      </c>
      <c r="L1511" s="6" t="str">
        <f>"Toalhas"</f>
        <v>Toalhas</v>
      </c>
      <c r="M1511" s="6" t="str">
        <f>"50x100"</f>
        <v>50x100</v>
      </c>
      <c r="N1511" s="6" t="str">
        <f>"5602972281057"</f>
        <v>5602972281057</v>
      </c>
      <c r="O1511" s="8">
        <v>6</v>
      </c>
      <c r="R1511" s="8">
        <v>0</v>
      </c>
      <c r="U1511" s="8">
        <v>0</v>
      </c>
      <c r="X1511" s="8">
        <v>0</v>
      </c>
      <c r="Z1511" s="8">
        <v>0</v>
      </c>
      <c r="AC1511" s="8">
        <v>0</v>
      </c>
      <c r="AF1511" s="8">
        <v>0</v>
      </c>
      <c r="AN1511" s="8">
        <v>6</v>
      </c>
      <c r="AO1511" s="8">
        <v>0</v>
      </c>
    </row>
    <row r="1512" spans="1:41" x14ac:dyDescent="0.25">
      <c r="A1512" s="6" t="str">
        <f>"522-2025004514"</f>
        <v>522-2025004514</v>
      </c>
      <c r="B1512" s="6" t="str">
        <f t="shared" si="413"/>
        <v>EL CORTE</v>
      </c>
      <c r="C1512" s="7">
        <v>46022</v>
      </c>
      <c r="D1512" s="7">
        <v>46027</v>
      </c>
      <c r="E1512" s="8">
        <v>2</v>
      </c>
      <c r="F1512" s="6" t="str">
        <f>"94722801_07026"</f>
        <v>94722801_07026</v>
      </c>
      <c r="G1512" s="6" t="str">
        <f t="shared" si="414"/>
        <v>F310631650000000</v>
      </c>
      <c r="H1512" s="6" t="str">
        <f t="shared" si="415"/>
        <v>PLAR 6316 FD - 500 g</v>
      </c>
      <c r="I1512" s="6" t="str">
        <f>"201855"</f>
        <v>201855</v>
      </c>
      <c r="J1512" s="6" t="str">
        <f>"AZUL 1855"</f>
        <v>AZUL 1855</v>
      </c>
      <c r="K1512" s="6" t="str">
        <f>"2020"</f>
        <v>2020</v>
      </c>
      <c r="L1512" s="6" t="str">
        <f>"Lençóis"</f>
        <v>Lençóis</v>
      </c>
      <c r="M1512" s="6" t="str">
        <f>"100x150"</f>
        <v>100x150</v>
      </c>
      <c r="N1512" s="6" t="str">
        <f>"5602972281064"</f>
        <v>5602972281064</v>
      </c>
      <c r="O1512" s="8">
        <v>3</v>
      </c>
      <c r="R1512" s="8">
        <v>0</v>
      </c>
      <c r="U1512" s="8">
        <v>0</v>
      </c>
      <c r="X1512" s="8">
        <v>0</v>
      </c>
      <c r="Z1512" s="8">
        <v>0</v>
      </c>
      <c r="AC1512" s="8">
        <v>0</v>
      </c>
      <c r="AF1512" s="8">
        <v>0</v>
      </c>
      <c r="AN1512" s="8">
        <v>0</v>
      </c>
      <c r="AO1512" s="8">
        <v>3</v>
      </c>
    </row>
    <row r="1513" spans="1:41" x14ac:dyDescent="0.25">
      <c r="A1513" s="6" t="str">
        <f>"522-2025004514"</f>
        <v>522-2025004514</v>
      </c>
      <c r="B1513" s="6" t="str">
        <f t="shared" si="413"/>
        <v>EL CORTE</v>
      </c>
      <c r="C1513" s="7">
        <v>46022</v>
      </c>
      <c r="D1513" s="7">
        <v>46027</v>
      </c>
      <c r="E1513" s="8">
        <v>3</v>
      </c>
      <c r="F1513" s="6" t="str">
        <f>"94722801_07026"</f>
        <v>94722801_07026</v>
      </c>
      <c r="G1513" s="6" t="str">
        <f t="shared" si="414"/>
        <v>F310631650000000</v>
      </c>
      <c r="H1513" s="6" t="str">
        <f t="shared" si="415"/>
        <v>PLAR 6316 FD - 500 g</v>
      </c>
      <c r="I1513" s="6" t="str">
        <f t="shared" ref="I1513:I1519" si="420">"202575"</f>
        <v>202575</v>
      </c>
      <c r="J1513" s="6" t="str">
        <f t="shared" ref="J1513:J1519" si="421">"BEGE 2575"</f>
        <v>BEGE 2575</v>
      </c>
      <c r="K1513" s="6" t="str">
        <f>"1024"</f>
        <v>1024</v>
      </c>
      <c r="L1513" s="6" t="str">
        <f>"Toalhas"</f>
        <v>Toalhas</v>
      </c>
      <c r="M1513" s="6" t="str">
        <f>"50x100"</f>
        <v>50x100</v>
      </c>
      <c r="N1513" s="6" t="str">
        <f>"5602972281088"</f>
        <v>5602972281088</v>
      </c>
      <c r="O1513" s="8">
        <v>6</v>
      </c>
      <c r="R1513" s="8">
        <v>0</v>
      </c>
      <c r="U1513" s="8">
        <v>0</v>
      </c>
      <c r="X1513" s="8">
        <v>0</v>
      </c>
      <c r="Z1513" s="8">
        <v>0</v>
      </c>
      <c r="AC1513" s="8">
        <v>0</v>
      </c>
      <c r="AF1513" s="8">
        <v>0</v>
      </c>
      <c r="AN1513" s="8">
        <v>6</v>
      </c>
      <c r="AO1513" s="8">
        <v>0</v>
      </c>
    </row>
    <row r="1514" spans="1:41" x14ac:dyDescent="0.25">
      <c r="A1514" s="6" t="str">
        <f>"522-2025004514"</f>
        <v>522-2025004514</v>
      </c>
      <c r="B1514" s="6" t="str">
        <f t="shared" si="413"/>
        <v>EL CORTE</v>
      </c>
      <c r="C1514" s="7">
        <v>46022</v>
      </c>
      <c r="D1514" s="7">
        <v>46027</v>
      </c>
      <c r="E1514" s="8">
        <v>4</v>
      </c>
      <c r="F1514" s="6" t="str">
        <f>"94722801_07026"</f>
        <v>94722801_07026</v>
      </c>
      <c r="G1514" s="6" t="str">
        <f t="shared" si="414"/>
        <v>F310631650000000</v>
      </c>
      <c r="H1514" s="6" t="str">
        <f t="shared" si="415"/>
        <v>PLAR 6316 FD - 500 g</v>
      </c>
      <c r="I1514" s="6" t="str">
        <f t="shared" si="420"/>
        <v>202575</v>
      </c>
      <c r="J1514" s="6" t="str">
        <f t="shared" si="421"/>
        <v>BEGE 2575</v>
      </c>
      <c r="K1514" s="6" t="str">
        <f>"2020"</f>
        <v>2020</v>
      </c>
      <c r="L1514" s="6" t="str">
        <f>"Lençóis"</f>
        <v>Lençóis</v>
      </c>
      <c r="M1514" s="6" t="str">
        <f>"100x150"</f>
        <v>100x150</v>
      </c>
      <c r="N1514" s="6" t="str">
        <f>"5602972281095"</f>
        <v>5602972281095</v>
      </c>
      <c r="O1514" s="8">
        <v>3</v>
      </c>
      <c r="R1514" s="8">
        <v>0</v>
      </c>
      <c r="U1514" s="8">
        <v>0</v>
      </c>
      <c r="X1514" s="8">
        <v>0</v>
      </c>
      <c r="Z1514" s="8">
        <v>0</v>
      </c>
      <c r="AC1514" s="8">
        <v>0</v>
      </c>
      <c r="AF1514" s="8">
        <v>0</v>
      </c>
      <c r="AN1514" s="8">
        <v>3</v>
      </c>
      <c r="AO1514" s="8">
        <v>0</v>
      </c>
    </row>
    <row r="1515" spans="1:41" x14ac:dyDescent="0.25">
      <c r="A1515" s="6" t="str">
        <f>"522-2025004515"</f>
        <v>522-2025004515</v>
      </c>
      <c r="B1515" s="6" t="str">
        <f t="shared" si="413"/>
        <v>EL CORTE</v>
      </c>
      <c r="C1515" s="7">
        <v>46022</v>
      </c>
      <c r="D1515" s="7">
        <v>46027</v>
      </c>
      <c r="E1515" s="8">
        <v>1</v>
      </c>
      <c r="F1515" s="6" t="str">
        <f>"94722701_07026"</f>
        <v>94722701_07026</v>
      </c>
      <c r="G1515" s="6" t="str">
        <f t="shared" si="414"/>
        <v>F310631650000000</v>
      </c>
      <c r="H1515" s="6" t="str">
        <f t="shared" si="415"/>
        <v>PLAR 6316 FD - 500 g</v>
      </c>
      <c r="I1515" s="6" t="str">
        <f t="shared" si="420"/>
        <v>202575</v>
      </c>
      <c r="J1515" s="6" t="str">
        <f t="shared" si="421"/>
        <v>BEGE 2575</v>
      </c>
      <c r="K1515" s="6" t="str">
        <f>"0520"</f>
        <v>0520</v>
      </c>
      <c r="L1515" s="6" t="str">
        <f>"Toalhetes"</f>
        <v>Toalhetes</v>
      </c>
      <c r="M1515" s="6" t="str">
        <f>"30x50"</f>
        <v>30x50</v>
      </c>
      <c r="N1515" s="6" t="str">
        <f>"5602972281071"</f>
        <v>5602972281071</v>
      </c>
      <c r="O1515" s="8">
        <v>6</v>
      </c>
      <c r="R1515" s="8">
        <v>0</v>
      </c>
      <c r="U1515" s="8">
        <v>0</v>
      </c>
      <c r="X1515" s="8">
        <v>0</v>
      </c>
      <c r="Z1515" s="8">
        <v>0</v>
      </c>
      <c r="AC1515" s="8">
        <v>0</v>
      </c>
      <c r="AF1515" s="8">
        <v>0</v>
      </c>
      <c r="AN1515" s="8">
        <v>6</v>
      </c>
      <c r="AO1515" s="8">
        <v>0</v>
      </c>
    </row>
    <row r="1516" spans="1:41" x14ac:dyDescent="0.25">
      <c r="A1516" s="6" t="str">
        <f>"522-2025004515"</f>
        <v>522-2025004515</v>
      </c>
      <c r="B1516" s="6" t="str">
        <f t="shared" si="413"/>
        <v>EL CORTE</v>
      </c>
      <c r="C1516" s="7">
        <v>46022</v>
      </c>
      <c r="D1516" s="7">
        <v>46027</v>
      </c>
      <c r="E1516" s="8">
        <v>2</v>
      </c>
      <c r="F1516" s="6" t="str">
        <f>"94722701_07026"</f>
        <v>94722701_07026</v>
      </c>
      <c r="G1516" s="6" t="str">
        <f t="shared" si="414"/>
        <v>F310631650000000</v>
      </c>
      <c r="H1516" s="6" t="str">
        <f t="shared" si="415"/>
        <v>PLAR 6316 FD - 500 g</v>
      </c>
      <c r="I1516" s="6" t="str">
        <f t="shared" si="420"/>
        <v>202575</v>
      </c>
      <c r="J1516" s="6" t="str">
        <f t="shared" si="421"/>
        <v>BEGE 2575</v>
      </c>
      <c r="K1516" s="6" t="str">
        <f>"1024"</f>
        <v>1024</v>
      </c>
      <c r="L1516" s="6" t="str">
        <f>"Toalhas"</f>
        <v>Toalhas</v>
      </c>
      <c r="M1516" s="6" t="str">
        <f>"50x100"</f>
        <v>50x100</v>
      </c>
      <c r="N1516" s="6" t="str">
        <f>"5602972281088"</f>
        <v>5602972281088</v>
      </c>
      <c r="O1516" s="8">
        <v>6</v>
      </c>
      <c r="R1516" s="8">
        <v>0</v>
      </c>
      <c r="U1516" s="8">
        <v>0</v>
      </c>
      <c r="X1516" s="8">
        <v>0</v>
      </c>
      <c r="Z1516" s="8">
        <v>0</v>
      </c>
      <c r="AC1516" s="8">
        <v>0</v>
      </c>
      <c r="AF1516" s="8">
        <v>0</v>
      </c>
      <c r="AN1516" s="8">
        <v>6</v>
      </c>
      <c r="AO1516" s="8">
        <v>0</v>
      </c>
    </row>
    <row r="1517" spans="1:41" x14ac:dyDescent="0.25">
      <c r="A1517" s="6" t="str">
        <f>"522-2025004515"</f>
        <v>522-2025004515</v>
      </c>
      <c r="B1517" s="6" t="str">
        <f t="shared" si="413"/>
        <v>EL CORTE</v>
      </c>
      <c r="C1517" s="7">
        <v>46022</v>
      </c>
      <c r="D1517" s="7">
        <v>46027</v>
      </c>
      <c r="E1517" s="8">
        <v>3</v>
      </c>
      <c r="F1517" s="6" t="str">
        <f>"94722701_07026"</f>
        <v>94722701_07026</v>
      </c>
      <c r="G1517" s="6" t="str">
        <f t="shared" si="414"/>
        <v>F310631650000000</v>
      </c>
      <c r="H1517" s="6" t="str">
        <f t="shared" si="415"/>
        <v>PLAR 6316 FD - 500 g</v>
      </c>
      <c r="I1517" s="6" t="str">
        <f t="shared" si="420"/>
        <v>202575</v>
      </c>
      <c r="J1517" s="6" t="str">
        <f t="shared" si="421"/>
        <v>BEGE 2575</v>
      </c>
      <c r="K1517" s="6" t="str">
        <f>"2020"</f>
        <v>2020</v>
      </c>
      <c r="L1517" s="6" t="str">
        <f>"Lençóis"</f>
        <v>Lençóis</v>
      </c>
      <c r="M1517" s="6" t="str">
        <f>"100x150"</f>
        <v>100x150</v>
      </c>
      <c r="N1517" s="6" t="str">
        <f>"5602972281095"</f>
        <v>5602972281095</v>
      </c>
      <c r="O1517" s="8">
        <v>3</v>
      </c>
      <c r="R1517" s="8">
        <v>0</v>
      </c>
      <c r="U1517" s="8">
        <v>0</v>
      </c>
      <c r="X1517" s="8">
        <v>0</v>
      </c>
      <c r="Z1517" s="8">
        <v>0</v>
      </c>
      <c r="AC1517" s="8">
        <v>0</v>
      </c>
      <c r="AF1517" s="8">
        <v>0</v>
      </c>
      <c r="AN1517" s="8">
        <v>3</v>
      </c>
      <c r="AO1517" s="8">
        <v>0</v>
      </c>
    </row>
    <row r="1518" spans="1:41" x14ac:dyDescent="0.25">
      <c r="A1518" s="6" t="str">
        <f>"522-2025004516"</f>
        <v>522-2025004516</v>
      </c>
      <c r="B1518" s="6" t="str">
        <f t="shared" si="413"/>
        <v>EL CORTE</v>
      </c>
      <c r="C1518" s="7">
        <v>46022</v>
      </c>
      <c r="D1518" s="7">
        <v>46027</v>
      </c>
      <c r="E1518" s="8">
        <v>1</v>
      </c>
      <c r="F1518" s="6" t="str">
        <f>"94723701_07026"</f>
        <v>94723701_07026</v>
      </c>
      <c r="G1518" s="6" t="str">
        <f t="shared" si="414"/>
        <v>F310631650000000</v>
      </c>
      <c r="H1518" s="6" t="str">
        <f t="shared" si="415"/>
        <v>PLAR 6316 FD - 500 g</v>
      </c>
      <c r="I1518" s="6" t="str">
        <f t="shared" si="420"/>
        <v>202575</v>
      </c>
      <c r="J1518" s="6" t="str">
        <f t="shared" si="421"/>
        <v>BEGE 2575</v>
      </c>
      <c r="K1518" s="6" t="str">
        <f>"0520"</f>
        <v>0520</v>
      </c>
      <c r="L1518" s="6" t="str">
        <f>"Toalhetes"</f>
        <v>Toalhetes</v>
      </c>
      <c r="M1518" s="6" t="str">
        <f>"30x50"</f>
        <v>30x50</v>
      </c>
      <c r="N1518" s="6" t="str">
        <f>"5602972281071"</f>
        <v>5602972281071</v>
      </c>
      <c r="O1518" s="8">
        <v>6</v>
      </c>
      <c r="R1518" s="8">
        <v>0</v>
      </c>
      <c r="U1518" s="8">
        <v>0</v>
      </c>
      <c r="X1518" s="8">
        <v>0</v>
      </c>
      <c r="Z1518" s="8">
        <v>0</v>
      </c>
      <c r="AC1518" s="8">
        <v>0</v>
      </c>
      <c r="AF1518" s="8">
        <v>0</v>
      </c>
      <c r="AN1518" s="8">
        <v>6</v>
      </c>
      <c r="AO1518" s="8">
        <v>0</v>
      </c>
    </row>
    <row r="1519" spans="1:41" x14ac:dyDescent="0.25">
      <c r="A1519" s="6" t="str">
        <f>"522-2025004516"</f>
        <v>522-2025004516</v>
      </c>
      <c r="B1519" s="6" t="str">
        <f t="shared" si="413"/>
        <v>EL CORTE</v>
      </c>
      <c r="C1519" s="7">
        <v>46022</v>
      </c>
      <c r="D1519" s="7">
        <v>46027</v>
      </c>
      <c r="E1519" s="8">
        <v>2</v>
      </c>
      <c r="F1519" s="6" t="str">
        <f>"94723701_07026"</f>
        <v>94723701_07026</v>
      </c>
      <c r="G1519" s="6" t="str">
        <f t="shared" si="414"/>
        <v>F310631650000000</v>
      </c>
      <c r="H1519" s="6" t="str">
        <f t="shared" si="415"/>
        <v>PLAR 6316 FD - 500 g</v>
      </c>
      <c r="I1519" s="6" t="str">
        <f t="shared" si="420"/>
        <v>202575</v>
      </c>
      <c r="J1519" s="6" t="str">
        <f t="shared" si="421"/>
        <v>BEGE 2575</v>
      </c>
      <c r="K1519" s="6" t="str">
        <f>"1024"</f>
        <v>1024</v>
      </c>
      <c r="L1519" s="6" t="str">
        <f>"Toalhas"</f>
        <v>Toalhas</v>
      </c>
      <c r="M1519" s="6" t="str">
        <f>"50x100"</f>
        <v>50x100</v>
      </c>
      <c r="N1519" s="6" t="str">
        <f>"5602972281088"</f>
        <v>5602972281088</v>
      </c>
      <c r="O1519" s="8">
        <v>18</v>
      </c>
      <c r="R1519" s="8">
        <v>0</v>
      </c>
      <c r="U1519" s="8">
        <v>0</v>
      </c>
      <c r="X1519" s="8">
        <v>0</v>
      </c>
      <c r="Z1519" s="8">
        <v>0</v>
      </c>
      <c r="AC1519" s="8">
        <v>0</v>
      </c>
      <c r="AF1519" s="8">
        <v>0</v>
      </c>
      <c r="AN1519" s="8">
        <v>18</v>
      </c>
      <c r="AO1519" s="8">
        <v>0</v>
      </c>
    </row>
    <row r="1520" spans="1:41" x14ac:dyDescent="0.25">
      <c r="A1520" s="6" t="str">
        <f>"522-2025004516"</f>
        <v>522-2025004516</v>
      </c>
      <c r="B1520" s="6" t="str">
        <f t="shared" si="413"/>
        <v>EL CORTE</v>
      </c>
      <c r="C1520" s="7">
        <v>46022</v>
      </c>
      <c r="D1520" s="7">
        <v>46027</v>
      </c>
      <c r="E1520" s="8">
        <v>3</v>
      </c>
      <c r="F1520" s="6" t="str">
        <f>"94723701_07026"</f>
        <v>94723701_07026</v>
      </c>
      <c r="G1520" s="6" t="str">
        <f t="shared" si="414"/>
        <v>F310631650000000</v>
      </c>
      <c r="H1520" s="6" t="str">
        <f t="shared" si="415"/>
        <v>PLAR 6316 FD - 500 g</v>
      </c>
      <c r="I1520" s="6" t="str">
        <f>"200901"</f>
        <v>200901</v>
      </c>
      <c r="J1520" s="6" t="str">
        <f>"ROSA 901"</f>
        <v>ROSA 901</v>
      </c>
      <c r="K1520" s="6" t="str">
        <f>"0520"</f>
        <v>0520</v>
      </c>
      <c r="L1520" s="6" t="str">
        <f>"Toalhetes"</f>
        <v>Toalhetes</v>
      </c>
      <c r="M1520" s="6" t="str">
        <f>"30x50"</f>
        <v>30x50</v>
      </c>
      <c r="N1520" s="6" t="str">
        <f>"5602972281101"</f>
        <v>5602972281101</v>
      </c>
      <c r="O1520" s="8">
        <v>6</v>
      </c>
      <c r="R1520" s="8">
        <v>0</v>
      </c>
      <c r="U1520" s="8">
        <v>0</v>
      </c>
      <c r="X1520" s="8">
        <v>0</v>
      </c>
      <c r="Z1520" s="8">
        <v>0</v>
      </c>
      <c r="AC1520" s="8">
        <v>0</v>
      </c>
      <c r="AF1520" s="8">
        <v>0</v>
      </c>
      <c r="AN1520" s="8">
        <v>6</v>
      </c>
      <c r="AO1520" s="8">
        <v>0</v>
      </c>
    </row>
    <row r="1521" spans="1:41" x14ac:dyDescent="0.25">
      <c r="A1521" s="6" t="str">
        <f>"522-2025004516"</f>
        <v>522-2025004516</v>
      </c>
      <c r="B1521" s="6" t="str">
        <f t="shared" si="413"/>
        <v>EL CORTE</v>
      </c>
      <c r="C1521" s="7">
        <v>46022</v>
      </c>
      <c r="D1521" s="7">
        <v>46027</v>
      </c>
      <c r="E1521" s="8">
        <v>4</v>
      </c>
      <c r="F1521" s="6" t="str">
        <f>"94723701_07026"</f>
        <v>94723701_07026</v>
      </c>
      <c r="G1521" s="6" t="str">
        <f t="shared" si="414"/>
        <v>F310631650000000</v>
      </c>
      <c r="H1521" s="6" t="str">
        <f t="shared" si="415"/>
        <v>PLAR 6316 FD - 500 g</v>
      </c>
      <c r="I1521" s="6" t="str">
        <f>"200901"</f>
        <v>200901</v>
      </c>
      <c r="J1521" s="6" t="str">
        <f>"ROSA 901"</f>
        <v>ROSA 901</v>
      </c>
      <c r="K1521" s="6" t="str">
        <f>"1024"</f>
        <v>1024</v>
      </c>
      <c r="L1521" s="6" t="str">
        <f>"Toalhas"</f>
        <v>Toalhas</v>
      </c>
      <c r="M1521" s="6" t="str">
        <f>"50x100"</f>
        <v>50x100</v>
      </c>
      <c r="N1521" s="6" t="str">
        <f>"5602972281118"</f>
        <v>5602972281118</v>
      </c>
      <c r="O1521" s="8">
        <v>6</v>
      </c>
      <c r="R1521" s="8">
        <v>0</v>
      </c>
      <c r="U1521" s="8">
        <v>0</v>
      </c>
      <c r="X1521" s="8">
        <v>0</v>
      </c>
      <c r="Z1521" s="8">
        <v>0</v>
      </c>
      <c r="AC1521" s="8">
        <v>0</v>
      </c>
      <c r="AF1521" s="8">
        <v>0</v>
      </c>
      <c r="AN1521" s="8">
        <v>6</v>
      </c>
      <c r="AO1521" s="8">
        <v>0</v>
      </c>
    </row>
    <row r="1522" spans="1:41" x14ac:dyDescent="0.25">
      <c r="A1522" s="6" t="str">
        <f>"522-2025004517"</f>
        <v>522-2025004517</v>
      </c>
      <c r="B1522" s="6" t="str">
        <f t="shared" si="413"/>
        <v>EL CORTE</v>
      </c>
      <c r="C1522" s="7">
        <v>46022</v>
      </c>
      <c r="D1522" s="7">
        <v>46027</v>
      </c>
      <c r="E1522" s="8">
        <v>1</v>
      </c>
      <c r="F1522" s="6" t="str">
        <f>"94722901_07026"</f>
        <v>94722901_07026</v>
      </c>
      <c r="G1522" s="6" t="str">
        <f t="shared" si="414"/>
        <v>F310631650000000</v>
      </c>
      <c r="H1522" s="6" t="str">
        <f t="shared" si="415"/>
        <v>PLAR 6316 FD - 500 g</v>
      </c>
      <c r="I1522" s="6" t="str">
        <f>"202575"</f>
        <v>202575</v>
      </c>
      <c r="J1522" s="6" t="str">
        <f>"BEGE 2575"</f>
        <v>BEGE 2575</v>
      </c>
      <c r="K1522" s="6" t="str">
        <f>"1024"</f>
        <v>1024</v>
      </c>
      <c r="L1522" s="6" t="str">
        <f>"Toalhas"</f>
        <v>Toalhas</v>
      </c>
      <c r="M1522" s="6" t="str">
        <f>"50x100"</f>
        <v>50x100</v>
      </c>
      <c r="N1522" s="6" t="str">
        <f>"5602972281088"</f>
        <v>5602972281088</v>
      </c>
      <c r="O1522" s="8">
        <v>6</v>
      </c>
      <c r="R1522" s="8">
        <v>0</v>
      </c>
      <c r="U1522" s="8">
        <v>0</v>
      </c>
      <c r="X1522" s="8">
        <v>0</v>
      </c>
      <c r="Z1522" s="8">
        <v>0</v>
      </c>
      <c r="AC1522" s="8">
        <v>0</v>
      </c>
      <c r="AF1522" s="8">
        <v>0</v>
      </c>
      <c r="AN1522" s="8">
        <v>6</v>
      </c>
      <c r="AO1522" s="8">
        <v>0</v>
      </c>
    </row>
    <row r="1523" spans="1:41" x14ac:dyDescent="0.25">
      <c r="A1523" s="6" t="str">
        <f>"522-2025004517"</f>
        <v>522-2025004517</v>
      </c>
      <c r="B1523" s="6" t="str">
        <f t="shared" si="413"/>
        <v>EL CORTE</v>
      </c>
      <c r="C1523" s="7">
        <v>46022</v>
      </c>
      <c r="D1523" s="7">
        <v>46027</v>
      </c>
      <c r="E1523" s="8">
        <v>2</v>
      </c>
      <c r="F1523" s="6" t="str">
        <f>"94722901_07026"</f>
        <v>94722901_07026</v>
      </c>
      <c r="G1523" s="6" t="str">
        <f t="shared" si="414"/>
        <v>F310631650000000</v>
      </c>
      <c r="H1523" s="6" t="str">
        <f t="shared" si="415"/>
        <v>PLAR 6316 FD - 500 g</v>
      </c>
      <c r="I1523" s="6" t="str">
        <f>"202575"</f>
        <v>202575</v>
      </c>
      <c r="J1523" s="6" t="str">
        <f>"BEGE 2575"</f>
        <v>BEGE 2575</v>
      </c>
      <c r="K1523" s="6" t="str">
        <f>"2020"</f>
        <v>2020</v>
      </c>
      <c r="L1523" s="6" t="str">
        <f>"Lençóis"</f>
        <v>Lençóis</v>
      </c>
      <c r="M1523" s="6" t="str">
        <f>"100x150"</f>
        <v>100x150</v>
      </c>
      <c r="N1523" s="6" t="str">
        <f>"5602972281095"</f>
        <v>5602972281095</v>
      </c>
      <c r="O1523" s="8">
        <v>3</v>
      </c>
      <c r="R1523" s="8">
        <v>0</v>
      </c>
      <c r="U1523" s="8">
        <v>0</v>
      </c>
      <c r="X1523" s="8">
        <v>0</v>
      </c>
      <c r="Z1523" s="8">
        <v>0</v>
      </c>
      <c r="AC1523" s="8">
        <v>0</v>
      </c>
      <c r="AF1523" s="8">
        <v>0</v>
      </c>
      <c r="AN1523" s="8">
        <v>3</v>
      </c>
      <c r="AO1523" s="8">
        <v>0</v>
      </c>
    </row>
    <row r="1524" spans="1:41" x14ac:dyDescent="0.25">
      <c r="A1524" s="6" t="str">
        <f>"522-2025004517"</f>
        <v>522-2025004517</v>
      </c>
      <c r="B1524" s="6" t="str">
        <f t="shared" si="413"/>
        <v>EL CORTE</v>
      </c>
      <c r="C1524" s="7">
        <v>46022</v>
      </c>
      <c r="D1524" s="7">
        <v>46027</v>
      </c>
      <c r="E1524" s="8">
        <v>3</v>
      </c>
      <c r="F1524" s="6" t="str">
        <f>"94722901_07026"</f>
        <v>94722901_07026</v>
      </c>
      <c r="G1524" s="6" t="str">
        <f t="shared" si="414"/>
        <v>F310631650000000</v>
      </c>
      <c r="H1524" s="6" t="str">
        <f t="shared" si="415"/>
        <v>PLAR 6316 FD - 500 g</v>
      </c>
      <c r="I1524" s="6" t="str">
        <f>"200901"</f>
        <v>200901</v>
      </c>
      <c r="J1524" s="6" t="str">
        <f>"ROSA 901"</f>
        <v>ROSA 901</v>
      </c>
      <c r="K1524" s="6" t="str">
        <f>"2020"</f>
        <v>2020</v>
      </c>
      <c r="L1524" s="6" t="str">
        <f>"Lençóis"</f>
        <v>Lençóis</v>
      </c>
      <c r="M1524" s="6" t="str">
        <f>"100x150"</f>
        <v>100x150</v>
      </c>
      <c r="N1524" s="6" t="str">
        <f>"5602972281125"</f>
        <v>5602972281125</v>
      </c>
      <c r="O1524" s="8">
        <v>3</v>
      </c>
      <c r="R1524" s="8">
        <v>0</v>
      </c>
      <c r="U1524" s="8">
        <v>0</v>
      </c>
      <c r="X1524" s="8">
        <v>0</v>
      </c>
      <c r="Z1524" s="8">
        <v>0</v>
      </c>
      <c r="AC1524" s="8">
        <v>0</v>
      </c>
      <c r="AF1524" s="8">
        <v>0</v>
      </c>
      <c r="AN1524" s="8">
        <v>0</v>
      </c>
      <c r="AO1524" s="8">
        <v>3</v>
      </c>
    </row>
    <row r="1525" spans="1:41" x14ac:dyDescent="0.25">
      <c r="A1525" s="6" t="str">
        <f>"522-2025004518"</f>
        <v>522-2025004518</v>
      </c>
      <c r="B1525" s="6" t="str">
        <f t="shared" si="413"/>
        <v>EL CORTE</v>
      </c>
      <c r="C1525" s="7">
        <v>46022</v>
      </c>
      <c r="D1525" s="7">
        <v>46027</v>
      </c>
      <c r="E1525" s="8">
        <v>1</v>
      </c>
      <c r="F1525" s="6" t="str">
        <f>"94723401_07026"</f>
        <v>94723401_07026</v>
      </c>
      <c r="G1525" s="6" t="str">
        <f t="shared" si="414"/>
        <v>F310631650000000</v>
      </c>
      <c r="H1525" s="6" t="str">
        <f t="shared" si="415"/>
        <v>PLAR 6316 FD - 500 g</v>
      </c>
      <c r="I1525" s="6" t="str">
        <f>"202575"</f>
        <v>202575</v>
      </c>
      <c r="J1525" s="6" t="str">
        <f>"BEGE 2575"</f>
        <v>BEGE 2575</v>
      </c>
      <c r="K1525" s="6" t="str">
        <f>"1024"</f>
        <v>1024</v>
      </c>
      <c r="L1525" s="6" t="str">
        <f>"Toalhas"</f>
        <v>Toalhas</v>
      </c>
      <c r="M1525" s="6" t="str">
        <f>"50x100"</f>
        <v>50x100</v>
      </c>
      <c r="N1525" s="6" t="str">
        <f>"5602972281088"</f>
        <v>5602972281088</v>
      </c>
      <c r="O1525" s="8">
        <v>6</v>
      </c>
      <c r="R1525" s="8">
        <v>0</v>
      </c>
      <c r="U1525" s="8">
        <v>0</v>
      </c>
      <c r="X1525" s="8">
        <v>0</v>
      </c>
      <c r="Z1525" s="8">
        <v>0</v>
      </c>
      <c r="AC1525" s="8">
        <v>0</v>
      </c>
      <c r="AF1525" s="8">
        <v>0</v>
      </c>
      <c r="AN1525" s="8">
        <v>6</v>
      </c>
      <c r="AO1525" s="8">
        <v>0</v>
      </c>
    </row>
    <row r="1526" spans="1:41" x14ac:dyDescent="0.25">
      <c r="A1526" s="6" t="str">
        <f>"522-2025004518"</f>
        <v>522-2025004518</v>
      </c>
      <c r="B1526" s="6" t="str">
        <f t="shared" si="413"/>
        <v>EL CORTE</v>
      </c>
      <c r="C1526" s="7">
        <v>46022</v>
      </c>
      <c r="D1526" s="7">
        <v>46027</v>
      </c>
      <c r="E1526" s="8">
        <v>2</v>
      </c>
      <c r="F1526" s="6" t="str">
        <f>"94723401_07026"</f>
        <v>94723401_07026</v>
      </c>
      <c r="G1526" s="6" t="str">
        <f t="shared" si="414"/>
        <v>F310631650000000</v>
      </c>
      <c r="H1526" s="6" t="str">
        <f t="shared" si="415"/>
        <v>PLAR 6316 FD - 500 g</v>
      </c>
      <c r="I1526" s="6" t="str">
        <f>"202575"</f>
        <v>202575</v>
      </c>
      <c r="J1526" s="6" t="str">
        <f>"BEGE 2575"</f>
        <v>BEGE 2575</v>
      </c>
      <c r="K1526" s="6" t="str">
        <f>"2020"</f>
        <v>2020</v>
      </c>
      <c r="L1526" s="6" t="str">
        <f>"Lençóis"</f>
        <v>Lençóis</v>
      </c>
      <c r="M1526" s="6" t="str">
        <f>"100x150"</f>
        <v>100x150</v>
      </c>
      <c r="N1526" s="6" t="str">
        <f>"5602972281095"</f>
        <v>5602972281095</v>
      </c>
      <c r="O1526" s="8">
        <v>3</v>
      </c>
      <c r="R1526" s="8">
        <v>0</v>
      </c>
      <c r="U1526" s="8">
        <v>0</v>
      </c>
      <c r="X1526" s="8">
        <v>0</v>
      </c>
      <c r="Z1526" s="8">
        <v>0</v>
      </c>
      <c r="AC1526" s="8">
        <v>0</v>
      </c>
      <c r="AF1526" s="8">
        <v>0</v>
      </c>
      <c r="AN1526" s="8">
        <v>3</v>
      </c>
      <c r="AO1526" s="8">
        <v>0</v>
      </c>
    </row>
    <row r="1527" spans="1:41" x14ac:dyDescent="0.25">
      <c r="A1527" s="6" t="str">
        <f>"522-2025004518"</f>
        <v>522-2025004518</v>
      </c>
      <c r="B1527" s="6" t="str">
        <f t="shared" si="413"/>
        <v>EL CORTE</v>
      </c>
      <c r="C1527" s="7">
        <v>46022</v>
      </c>
      <c r="D1527" s="7">
        <v>46027</v>
      </c>
      <c r="E1527" s="8">
        <v>3</v>
      </c>
      <c r="F1527" s="6" t="str">
        <f>"94723401_07026"</f>
        <v>94723401_07026</v>
      </c>
      <c r="G1527" s="6" t="str">
        <f t="shared" si="414"/>
        <v>F310631650000000</v>
      </c>
      <c r="H1527" s="6" t="str">
        <f t="shared" si="415"/>
        <v>PLAR 6316 FD - 500 g</v>
      </c>
      <c r="I1527" s="6" t="str">
        <f>"200901"</f>
        <v>200901</v>
      </c>
      <c r="J1527" s="6" t="str">
        <f>"ROSA 901"</f>
        <v>ROSA 901</v>
      </c>
      <c r="K1527" s="6" t="str">
        <f>"1024"</f>
        <v>1024</v>
      </c>
      <c r="L1527" s="6" t="str">
        <f>"Toalhas"</f>
        <v>Toalhas</v>
      </c>
      <c r="M1527" s="6" t="str">
        <f>"50x100"</f>
        <v>50x100</v>
      </c>
      <c r="N1527" s="6" t="str">
        <f>"5602972281118"</f>
        <v>5602972281118</v>
      </c>
      <c r="O1527" s="8">
        <v>6</v>
      </c>
      <c r="R1527" s="8">
        <v>0</v>
      </c>
      <c r="U1527" s="8">
        <v>0</v>
      </c>
      <c r="X1527" s="8">
        <v>0</v>
      </c>
      <c r="Z1527" s="8">
        <v>0</v>
      </c>
      <c r="AC1527" s="8">
        <v>0</v>
      </c>
      <c r="AF1527" s="8">
        <v>0</v>
      </c>
      <c r="AN1527" s="8">
        <v>6</v>
      </c>
      <c r="AO1527" s="8">
        <v>0</v>
      </c>
    </row>
    <row r="1528" spans="1:41" x14ac:dyDescent="0.25">
      <c r="A1528" s="6" t="str">
        <f>"522-2025004518"</f>
        <v>522-2025004518</v>
      </c>
      <c r="B1528" s="6" t="str">
        <f t="shared" si="413"/>
        <v>EL CORTE</v>
      </c>
      <c r="C1528" s="7">
        <v>46022</v>
      </c>
      <c r="D1528" s="7">
        <v>46027</v>
      </c>
      <c r="E1528" s="8">
        <v>4</v>
      </c>
      <c r="F1528" s="6" t="str">
        <f>"94723401_07026"</f>
        <v>94723401_07026</v>
      </c>
      <c r="G1528" s="6" t="str">
        <f t="shared" si="414"/>
        <v>F310631650000000</v>
      </c>
      <c r="H1528" s="6" t="str">
        <f t="shared" si="415"/>
        <v>PLAR 6316 FD - 500 g</v>
      </c>
      <c r="I1528" s="6" t="str">
        <f>"200901"</f>
        <v>200901</v>
      </c>
      <c r="J1528" s="6" t="str">
        <f>"ROSA 901"</f>
        <v>ROSA 901</v>
      </c>
      <c r="K1528" s="6" t="str">
        <f>"2020"</f>
        <v>2020</v>
      </c>
      <c r="L1528" s="6" t="str">
        <f>"Lençóis"</f>
        <v>Lençóis</v>
      </c>
      <c r="M1528" s="6" t="str">
        <f>"100x150"</f>
        <v>100x150</v>
      </c>
      <c r="N1528" s="6" t="str">
        <f>"5602972281125"</f>
        <v>5602972281125</v>
      </c>
      <c r="O1528" s="8">
        <v>3</v>
      </c>
      <c r="R1528" s="8">
        <v>0</v>
      </c>
      <c r="U1528" s="8">
        <v>0</v>
      </c>
      <c r="X1528" s="8">
        <v>0</v>
      </c>
      <c r="Z1528" s="8">
        <v>0</v>
      </c>
      <c r="AC1528" s="8">
        <v>0</v>
      </c>
      <c r="AF1528" s="8">
        <v>0</v>
      </c>
      <c r="AN1528" s="8">
        <v>0</v>
      </c>
      <c r="AO1528" s="8">
        <v>3</v>
      </c>
    </row>
    <row r="1529" spans="1:41" x14ac:dyDescent="0.25">
      <c r="A1529" s="6" t="str">
        <f>"522-2025004519"</f>
        <v>522-2025004519</v>
      </c>
      <c r="B1529" s="6" t="str">
        <f t="shared" si="413"/>
        <v>EL CORTE</v>
      </c>
      <c r="C1529" s="7">
        <v>46022</v>
      </c>
      <c r="D1529" s="7">
        <v>46027</v>
      </c>
      <c r="E1529" s="8">
        <v>1</v>
      </c>
      <c r="F1529" s="6" t="str">
        <f>"94723901_07026"</f>
        <v>94723901_07026</v>
      </c>
      <c r="G1529" s="6" t="str">
        <f t="shared" si="414"/>
        <v>F310631650000000</v>
      </c>
      <c r="H1529" s="6" t="str">
        <f t="shared" si="415"/>
        <v>PLAR 6316 FD - 500 g</v>
      </c>
      <c r="I1529" s="6" t="str">
        <f>"202575"</f>
        <v>202575</v>
      </c>
      <c r="J1529" s="6" t="str">
        <f>"BEGE 2575"</f>
        <v>BEGE 2575</v>
      </c>
      <c r="K1529" s="6" t="str">
        <f>"1024"</f>
        <v>1024</v>
      </c>
      <c r="L1529" s="6" t="str">
        <f>"Toalhas"</f>
        <v>Toalhas</v>
      </c>
      <c r="M1529" s="6" t="str">
        <f>"50x100"</f>
        <v>50x100</v>
      </c>
      <c r="N1529" s="6" t="str">
        <f>"5602972281088"</f>
        <v>5602972281088</v>
      </c>
      <c r="O1529" s="8">
        <v>6</v>
      </c>
      <c r="R1529" s="8">
        <v>0</v>
      </c>
      <c r="U1529" s="8">
        <v>0</v>
      </c>
      <c r="X1529" s="8">
        <v>0</v>
      </c>
      <c r="Z1529" s="8">
        <v>0</v>
      </c>
      <c r="AC1529" s="8">
        <v>0</v>
      </c>
      <c r="AF1529" s="8">
        <v>0</v>
      </c>
      <c r="AN1529" s="8">
        <v>6</v>
      </c>
      <c r="AO1529" s="8">
        <v>0</v>
      </c>
    </row>
    <row r="1530" spans="1:41" x14ac:dyDescent="0.25">
      <c r="A1530" s="6" t="str">
        <f>"522-2025004519"</f>
        <v>522-2025004519</v>
      </c>
      <c r="B1530" s="6" t="str">
        <f t="shared" si="413"/>
        <v>EL CORTE</v>
      </c>
      <c r="C1530" s="7">
        <v>46022</v>
      </c>
      <c r="D1530" s="7">
        <v>46027</v>
      </c>
      <c r="E1530" s="8">
        <v>2</v>
      </c>
      <c r="F1530" s="6" t="str">
        <f>"94723901_07026"</f>
        <v>94723901_07026</v>
      </c>
      <c r="G1530" s="6" t="str">
        <f t="shared" si="414"/>
        <v>F310631650000000</v>
      </c>
      <c r="H1530" s="6" t="str">
        <f t="shared" si="415"/>
        <v>PLAR 6316 FD - 500 g</v>
      </c>
      <c r="I1530" s="6" t="str">
        <f>"200901"</f>
        <v>200901</v>
      </c>
      <c r="J1530" s="6" t="str">
        <f>"ROSA 901"</f>
        <v>ROSA 901</v>
      </c>
      <c r="K1530" s="6" t="str">
        <f>"2020"</f>
        <v>2020</v>
      </c>
      <c r="L1530" s="6" t="str">
        <f>"Lençóis"</f>
        <v>Lençóis</v>
      </c>
      <c r="M1530" s="6" t="str">
        <f>"100x150"</f>
        <v>100x150</v>
      </c>
      <c r="N1530" s="6" t="str">
        <f>"5602972281125"</f>
        <v>5602972281125</v>
      </c>
      <c r="O1530" s="8">
        <v>3</v>
      </c>
      <c r="R1530" s="8">
        <v>0</v>
      </c>
      <c r="U1530" s="8">
        <v>0</v>
      </c>
      <c r="X1530" s="8">
        <v>0</v>
      </c>
      <c r="Z1530" s="8">
        <v>0</v>
      </c>
      <c r="AC1530" s="8">
        <v>0</v>
      </c>
      <c r="AF1530" s="8">
        <v>0</v>
      </c>
      <c r="AN1530" s="8">
        <v>0</v>
      </c>
      <c r="AO1530" s="8">
        <v>3</v>
      </c>
    </row>
    <row r="1531" spans="1:41" x14ac:dyDescent="0.25">
      <c r="A1531" s="6" t="str">
        <f>"522-2025004520"</f>
        <v>522-2025004520</v>
      </c>
      <c r="B1531" s="6" t="str">
        <f t="shared" si="413"/>
        <v>EL CORTE</v>
      </c>
      <c r="C1531" s="7">
        <v>46022</v>
      </c>
      <c r="D1531" s="7">
        <v>46027</v>
      </c>
      <c r="E1531" s="8">
        <v>1</v>
      </c>
      <c r="F1531" s="6" t="str">
        <f>"94722501_07026"</f>
        <v>94722501_07026</v>
      </c>
      <c r="G1531" s="6" t="str">
        <f t="shared" si="414"/>
        <v>F310631650000000</v>
      </c>
      <c r="H1531" s="6" t="str">
        <f t="shared" si="415"/>
        <v>PLAR 6316 FD - 500 g</v>
      </c>
      <c r="I1531" s="6" t="str">
        <f>"201855"</f>
        <v>201855</v>
      </c>
      <c r="J1531" s="6" t="str">
        <f>"AZUL 1855"</f>
        <v>AZUL 1855</v>
      </c>
      <c r="K1531" s="6" t="str">
        <f>"2020"</f>
        <v>2020</v>
      </c>
      <c r="L1531" s="6" t="str">
        <f>"Lençóis"</f>
        <v>Lençóis</v>
      </c>
      <c r="M1531" s="6" t="str">
        <f>"100x150"</f>
        <v>100x150</v>
      </c>
      <c r="N1531" s="6" t="str">
        <f>"5602972281064"</f>
        <v>5602972281064</v>
      </c>
      <c r="O1531" s="8">
        <v>3</v>
      </c>
      <c r="R1531" s="8">
        <v>0</v>
      </c>
      <c r="U1531" s="8">
        <v>0</v>
      </c>
      <c r="X1531" s="8">
        <v>0</v>
      </c>
      <c r="Z1531" s="8">
        <v>0</v>
      </c>
      <c r="AC1531" s="8">
        <v>0</v>
      </c>
      <c r="AF1531" s="8">
        <v>0</v>
      </c>
      <c r="AN1531" s="8">
        <v>0</v>
      </c>
      <c r="AO1531" s="8">
        <v>3</v>
      </c>
    </row>
    <row r="1532" spans="1:41" x14ac:dyDescent="0.25">
      <c r="A1532" s="6" t="str">
        <f>"522-2025004520"</f>
        <v>522-2025004520</v>
      </c>
      <c r="B1532" s="6" t="str">
        <f t="shared" si="413"/>
        <v>EL CORTE</v>
      </c>
      <c r="C1532" s="7">
        <v>46022</v>
      </c>
      <c r="D1532" s="7">
        <v>46027</v>
      </c>
      <c r="E1532" s="8">
        <v>2</v>
      </c>
      <c r="F1532" s="6" t="str">
        <f>"94722501_07026"</f>
        <v>94722501_07026</v>
      </c>
      <c r="G1532" s="6" t="str">
        <f t="shared" si="414"/>
        <v>F310631650000000</v>
      </c>
      <c r="H1532" s="6" t="str">
        <f t="shared" si="415"/>
        <v>PLAR 6316 FD - 500 g</v>
      </c>
      <c r="I1532" s="6" t="str">
        <f>"200901"</f>
        <v>200901</v>
      </c>
      <c r="J1532" s="6" t="str">
        <f>"ROSA 901"</f>
        <v>ROSA 901</v>
      </c>
      <c r="K1532" s="6" t="str">
        <f>"1024"</f>
        <v>1024</v>
      </c>
      <c r="L1532" s="6" t="str">
        <f>"Toalhas"</f>
        <v>Toalhas</v>
      </c>
      <c r="M1532" s="6" t="str">
        <f>"50x100"</f>
        <v>50x100</v>
      </c>
      <c r="N1532" s="6" t="str">
        <f>"5602972281118"</f>
        <v>5602972281118</v>
      </c>
      <c r="O1532" s="8">
        <v>6</v>
      </c>
      <c r="R1532" s="8">
        <v>0</v>
      </c>
      <c r="U1532" s="8">
        <v>0</v>
      </c>
      <c r="X1532" s="8">
        <v>0</v>
      </c>
      <c r="Z1532" s="8">
        <v>0</v>
      </c>
      <c r="AC1532" s="8">
        <v>0</v>
      </c>
      <c r="AF1532" s="8">
        <v>0</v>
      </c>
      <c r="AN1532" s="8">
        <v>6</v>
      </c>
      <c r="AO1532" s="8">
        <v>0</v>
      </c>
    </row>
    <row r="1533" spans="1:41" x14ac:dyDescent="0.25">
      <c r="A1533" s="6" t="str">
        <f t="shared" ref="A1533:A1541" si="422">"522-2025004521"</f>
        <v>522-2025004521</v>
      </c>
      <c r="B1533" s="6" t="str">
        <f t="shared" si="413"/>
        <v>EL CORTE</v>
      </c>
      <c r="C1533" s="7">
        <v>46022</v>
      </c>
      <c r="D1533" s="7">
        <v>46027</v>
      </c>
      <c r="E1533" s="8">
        <v>1</v>
      </c>
      <c r="F1533" s="6" t="str">
        <f t="shared" ref="F1533:F1541" si="423">"94722301_07026"</f>
        <v>94722301_07026</v>
      </c>
      <c r="G1533" s="6" t="str">
        <f t="shared" si="414"/>
        <v>F310631650000000</v>
      </c>
      <c r="H1533" s="6" t="str">
        <f t="shared" si="415"/>
        <v>PLAR 6316 FD - 500 g</v>
      </c>
      <c r="I1533" s="6" t="str">
        <f>"201855"</f>
        <v>201855</v>
      </c>
      <c r="J1533" s="6" t="str">
        <f>"AZUL 1855"</f>
        <v>AZUL 1855</v>
      </c>
      <c r="K1533" s="6" t="str">
        <f>"1024"</f>
        <v>1024</v>
      </c>
      <c r="L1533" s="6" t="str">
        <f>"Toalhas"</f>
        <v>Toalhas</v>
      </c>
      <c r="M1533" s="6" t="str">
        <f>"50x100"</f>
        <v>50x100</v>
      </c>
      <c r="N1533" s="6" t="str">
        <f>"5602972281057"</f>
        <v>5602972281057</v>
      </c>
      <c r="O1533" s="8">
        <v>6</v>
      </c>
      <c r="R1533" s="8">
        <v>0</v>
      </c>
      <c r="U1533" s="8">
        <v>0</v>
      </c>
      <c r="X1533" s="8">
        <v>0</v>
      </c>
      <c r="Z1533" s="8">
        <v>0</v>
      </c>
      <c r="AC1533" s="8">
        <v>0</v>
      </c>
      <c r="AF1533" s="8">
        <v>0</v>
      </c>
      <c r="AN1533" s="8">
        <v>6</v>
      </c>
      <c r="AO1533" s="8">
        <v>0</v>
      </c>
    </row>
    <row r="1534" spans="1:41" x14ac:dyDescent="0.25">
      <c r="A1534" s="6" t="str">
        <f t="shared" si="422"/>
        <v>522-2025004521</v>
      </c>
      <c r="B1534" s="6" t="str">
        <f t="shared" si="413"/>
        <v>EL CORTE</v>
      </c>
      <c r="C1534" s="7">
        <v>46022</v>
      </c>
      <c r="D1534" s="7">
        <v>46027</v>
      </c>
      <c r="E1534" s="8">
        <v>2</v>
      </c>
      <c r="F1534" s="6" t="str">
        <f t="shared" si="423"/>
        <v>94722301_07026</v>
      </c>
      <c r="G1534" s="6" t="str">
        <f t="shared" si="414"/>
        <v>F310631650000000</v>
      </c>
      <c r="H1534" s="6" t="str">
        <f t="shared" si="415"/>
        <v>PLAR 6316 FD - 500 g</v>
      </c>
      <c r="I1534" s="6" t="str">
        <f>"202575"</f>
        <v>202575</v>
      </c>
      <c r="J1534" s="6" t="str">
        <f>"BEGE 2575"</f>
        <v>BEGE 2575</v>
      </c>
      <c r="K1534" s="6" t="str">
        <f>"0520"</f>
        <v>0520</v>
      </c>
      <c r="L1534" s="6" t="str">
        <f>"Toalhetes"</f>
        <v>Toalhetes</v>
      </c>
      <c r="M1534" s="6" t="str">
        <f>"30x50"</f>
        <v>30x50</v>
      </c>
      <c r="N1534" s="6" t="str">
        <f>"5602972281071"</f>
        <v>5602972281071</v>
      </c>
      <c r="O1534" s="8">
        <v>6</v>
      </c>
      <c r="R1534" s="8">
        <v>0</v>
      </c>
      <c r="U1534" s="8">
        <v>0</v>
      </c>
      <c r="X1534" s="8">
        <v>0</v>
      </c>
      <c r="Z1534" s="8">
        <v>0</v>
      </c>
      <c r="AC1534" s="8">
        <v>0</v>
      </c>
      <c r="AF1534" s="8">
        <v>0</v>
      </c>
      <c r="AN1534" s="8">
        <v>6</v>
      </c>
      <c r="AO1534" s="8">
        <v>0</v>
      </c>
    </row>
    <row r="1535" spans="1:41" x14ac:dyDescent="0.25">
      <c r="A1535" s="6" t="str">
        <f t="shared" si="422"/>
        <v>522-2025004521</v>
      </c>
      <c r="B1535" s="6" t="str">
        <f t="shared" si="413"/>
        <v>EL CORTE</v>
      </c>
      <c r="C1535" s="7">
        <v>46022</v>
      </c>
      <c r="D1535" s="7">
        <v>46027</v>
      </c>
      <c r="E1535" s="8">
        <v>3</v>
      </c>
      <c r="F1535" s="6" t="str">
        <f t="shared" si="423"/>
        <v>94722301_07026</v>
      </c>
      <c r="G1535" s="6" t="str">
        <f t="shared" si="414"/>
        <v>F310631650000000</v>
      </c>
      <c r="H1535" s="6" t="str">
        <f t="shared" si="415"/>
        <v>PLAR 6316 FD - 500 g</v>
      </c>
      <c r="I1535" s="6" t="str">
        <f>"202575"</f>
        <v>202575</v>
      </c>
      <c r="J1535" s="6" t="str">
        <f>"BEGE 2575"</f>
        <v>BEGE 2575</v>
      </c>
      <c r="K1535" s="6" t="str">
        <f>"1024"</f>
        <v>1024</v>
      </c>
      <c r="L1535" s="6" t="str">
        <f>"Toalhas"</f>
        <v>Toalhas</v>
      </c>
      <c r="M1535" s="6" t="str">
        <f>"50x100"</f>
        <v>50x100</v>
      </c>
      <c r="N1535" s="6" t="str">
        <f>"5602972281088"</f>
        <v>5602972281088</v>
      </c>
      <c r="O1535" s="8">
        <v>6</v>
      </c>
      <c r="R1535" s="8">
        <v>0</v>
      </c>
      <c r="U1535" s="8">
        <v>0</v>
      </c>
      <c r="X1535" s="8">
        <v>0</v>
      </c>
      <c r="Z1535" s="8">
        <v>0</v>
      </c>
      <c r="AC1535" s="8">
        <v>0</v>
      </c>
      <c r="AF1535" s="8">
        <v>0</v>
      </c>
      <c r="AN1535" s="8">
        <v>6</v>
      </c>
      <c r="AO1535" s="8">
        <v>0</v>
      </c>
    </row>
    <row r="1536" spans="1:41" x14ac:dyDescent="0.25">
      <c r="A1536" s="6" t="str">
        <f t="shared" si="422"/>
        <v>522-2025004521</v>
      </c>
      <c r="B1536" s="6" t="str">
        <f t="shared" si="413"/>
        <v>EL CORTE</v>
      </c>
      <c r="C1536" s="7">
        <v>46022</v>
      </c>
      <c r="D1536" s="7">
        <v>46027</v>
      </c>
      <c r="E1536" s="8">
        <v>4</v>
      </c>
      <c r="F1536" s="6" t="str">
        <f t="shared" si="423"/>
        <v>94722301_07026</v>
      </c>
      <c r="G1536" s="6" t="str">
        <f t="shared" si="414"/>
        <v>F310631650000000</v>
      </c>
      <c r="H1536" s="6" t="str">
        <f t="shared" si="415"/>
        <v>PLAR 6316 FD - 500 g</v>
      </c>
      <c r="I1536" s="6" t="str">
        <f>"202575"</f>
        <v>202575</v>
      </c>
      <c r="J1536" s="6" t="str">
        <f>"BEGE 2575"</f>
        <v>BEGE 2575</v>
      </c>
      <c r="K1536" s="6" t="str">
        <f>"2020"</f>
        <v>2020</v>
      </c>
      <c r="L1536" s="6" t="str">
        <f>"Lençóis"</f>
        <v>Lençóis</v>
      </c>
      <c r="M1536" s="6" t="str">
        <f>"100x150"</f>
        <v>100x150</v>
      </c>
      <c r="N1536" s="6" t="str">
        <f>"5602972281095"</f>
        <v>5602972281095</v>
      </c>
      <c r="O1536" s="8">
        <v>3</v>
      </c>
      <c r="R1536" s="8">
        <v>0</v>
      </c>
      <c r="U1536" s="8">
        <v>0</v>
      </c>
      <c r="X1536" s="8">
        <v>0</v>
      </c>
      <c r="Z1536" s="8">
        <v>0</v>
      </c>
      <c r="AC1536" s="8">
        <v>0</v>
      </c>
      <c r="AF1536" s="8">
        <v>0</v>
      </c>
      <c r="AN1536" s="8">
        <v>3</v>
      </c>
      <c r="AO1536" s="8">
        <v>0</v>
      </c>
    </row>
    <row r="1537" spans="1:41" x14ac:dyDescent="0.25">
      <c r="A1537" s="6" t="str">
        <f t="shared" si="422"/>
        <v>522-2025004521</v>
      </c>
      <c r="B1537" s="6" t="str">
        <f t="shared" si="413"/>
        <v>EL CORTE</v>
      </c>
      <c r="C1537" s="7">
        <v>46022</v>
      </c>
      <c r="D1537" s="7">
        <v>46027</v>
      </c>
      <c r="E1537" s="8">
        <v>5</v>
      </c>
      <c r="F1537" s="6" t="str">
        <f t="shared" si="423"/>
        <v>94722301_07026</v>
      </c>
      <c r="G1537" s="6" t="str">
        <f t="shared" si="414"/>
        <v>F310631650000000</v>
      </c>
      <c r="H1537" s="6" t="str">
        <f t="shared" si="415"/>
        <v>PLAR 6316 FD - 500 g</v>
      </c>
      <c r="I1537" s="6" t="str">
        <f>"200901"</f>
        <v>200901</v>
      </c>
      <c r="J1537" s="6" t="str">
        <f>"ROSA 901"</f>
        <v>ROSA 901</v>
      </c>
      <c r="K1537" s="6" t="str">
        <f>"0520"</f>
        <v>0520</v>
      </c>
      <c r="L1537" s="6" t="str">
        <f>"Toalhetes"</f>
        <v>Toalhetes</v>
      </c>
      <c r="M1537" s="6" t="str">
        <f>"30x50"</f>
        <v>30x50</v>
      </c>
      <c r="N1537" s="6" t="str">
        <f>"5602972281101"</f>
        <v>5602972281101</v>
      </c>
      <c r="O1537" s="8">
        <v>6</v>
      </c>
      <c r="R1537" s="8">
        <v>0</v>
      </c>
      <c r="U1537" s="8">
        <v>0</v>
      </c>
      <c r="X1537" s="8">
        <v>0</v>
      </c>
      <c r="Z1537" s="8">
        <v>0</v>
      </c>
      <c r="AC1537" s="8">
        <v>0</v>
      </c>
      <c r="AF1537" s="8">
        <v>0</v>
      </c>
      <c r="AN1537" s="8">
        <v>6</v>
      </c>
      <c r="AO1537" s="8">
        <v>0</v>
      </c>
    </row>
    <row r="1538" spans="1:41" x14ac:dyDescent="0.25">
      <c r="A1538" s="6" t="str">
        <f t="shared" si="422"/>
        <v>522-2025004521</v>
      </c>
      <c r="B1538" s="6" t="str">
        <f t="shared" si="413"/>
        <v>EL CORTE</v>
      </c>
      <c r="C1538" s="7">
        <v>46022</v>
      </c>
      <c r="D1538" s="7">
        <v>46027</v>
      </c>
      <c r="E1538" s="8">
        <v>6</v>
      </c>
      <c r="F1538" s="6" t="str">
        <f t="shared" si="423"/>
        <v>94722301_07026</v>
      </c>
      <c r="G1538" s="6" t="str">
        <f t="shared" si="414"/>
        <v>F310631650000000</v>
      </c>
      <c r="H1538" s="6" t="str">
        <f t="shared" si="415"/>
        <v>PLAR 6316 FD - 500 g</v>
      </c>
      <c r="I1538" s="6" t="str">
        <f>"200901"</f>
        <v>200901</v>
      </c>
      <c r="J1538" s="6" t="str">
        <f>"ROSA 901"</f>
        <v>ROSA 901</v>
      </c>
      <c r="K1538" s="6" t="str">
        <f>"1024"</f>
        <v>1024</v>
      </c>
      <c r="L1538" s="6" t="str">
        <f>"Toalhas"</f>
        <v>Toalhas</v>
      </c>
      <c r="M1538" s="6" t="str">
        <f>"50x100"</f>
        <v>50x100</v>
      </c>
      <c r="N1538" s="6" t="str">
        <f>"5602972281118"</f>
        <v>5602972281118</v>
      </c>
      <c r="O1538" s="8">
        <v>6</v>
      </c>
      <c r="R1538" s="8">
        <v>0</v>
      </c>
      <c r="U1538" s="8">
        <v>0</v>
      </c>
      <c r="X1538" s="8">
        <v>0</v>
      </c>
      <c r="Z1538" s="8">
        <v>0</v>
      </c>
      <c r="AC1538" s="8">
        <v>0</v>
      </c>
      <c r="AF1538" s="8">
        <v>0</v>
      </c>
      <c r="AN1538" s="8">
        <v>6</v>
      </c>
      <c r="AO1538" s="8">
        <v>0</v>
      </c>
    </row>
    <row r="1539" spans="1:41" x14ac:dyDescent="0.25">
      <c r="A1539" s="6" t="str">
        <f t="shared" si="422"/>
        <v>522-2025004521</v>
      </c>
      <c r="B1539" s="6" t="str">
        <f t="shared" si="413"/>
        <v>EL CORTE</v>
      </c>
      <c r="C1539" s="7">
        <v>46022</v>
      </c>
      <c r="D1539" s="7">
        <v>46027</v>
      </c>
      <c r="E1539" s="8">
        <v>7</v>
      </c>
      <c r="F1539" s="6" t="str">
        <f t="shared" si="423"/>
        <v>94722301_07026</v>
      </c>
      <c r="G1539" s="6" t="str">
        <f t="shared" si="414"/>
        <v>F310631650000000</v>
      </c>
      <c r="H1539" s="6" t="str">
        <f t="shared" si="415"/>
        <v>PLAR 6316 FD - 500 g</v>
      </c>
      <c r="I1539" s="6" t="str">
        <f>"200510"</f>
        <v>200510</v>
      </c>
      <c r="J1539" s="6" t="str">
        <f>"VERDE 510"</f>
        <v>VERDE 510</v>
      </c>
      <c r="K1539" s="6" t="str">
        <f>"0520"</f>
        <v>0520</v>
      </c>
      <c r="L1539" s="6" t="str">
        <f>"Toalhetes"</f>
        <v>Toalhetes</v>
      </c>
      <c r="M1539" s="6" t="str">
        <f>"30x50"</f>
        <v>30x50</v>
      </c>
      <c r="N1539" s="6" t="str">
        <f>"5602972281132"</f>
        <v>5602972281132</v>
      </c>
      <c r="O1539" s="8">
        <v>6</v>
      </c>
      <c r="R1539" s="8">
        <v>0</v>
      </c>
      <c r="U1539" s="8">
        <v>0</v>
      </c>
      <c r="X1539" s="8">
        <v>0</v>
      </c>
      <c r="Z1539" s="8">
        <v>0</v>
      </c>
      <c r="AC1539" s="8">
        <v>0</v>
      </c>
      <c r="AF1539" s="8">
        <v>0</v>
      </c>
      <c r="AN1539" s="8">
        <v>6</v>
      </c>
      <c r="AO1539" s="8">
        <v>0</v>
      </c>
    </row>
    <row r="1540" spans="1:41" x14ac:dyDescent="0.25">
      <c r="A1540" s="6" t="str">
        <f t="shared" si="422"/>
        <v>522-2025004521</v>
      </c>
      <c r="B1540" s="6" t="str">
        <f t="shared" si="413"/>
        <v>EL CORTE</v>
      </c>
      <c r="C1540" s="7">
        <v>46022</v>
      </c>
      <c r="D1540" s="7">
        <v>46027</v>
      </c>
      <c r="E1540" s="8">
        <v>8</v>
      </c>
      <c r="F1540" s="6" t="str">
        <f t="shared" si="423"/>
        <v>94722301_07026</v>
      </c>
      <c r="G1540" s="6" t="str">
        <f t="shared" si="414"/>
        <v>F310631650000000</v>
      </c>
      <c r="H1540" s="6" t="str">
        <f t="shared" si="415"/>
        <v>PLAR 6316 FD - 500 g</v>
      </c>
      <c r="I1540" s="6" t="str">
        <f>"200510"</f>
        <v>200510</v>
      </c>
      <c r="J1540" s="6" t="str">
        <f>"VERDE 510"</f>
        <v>VERDE 510</v>
      </c>
      <c r="K1540" s="6" t="str">
        <f>"1024"</f>
        <v>1024</v>
      </c>
      <c r="L1540" s="6" t="str">
        <f>"Toalhas"</f>
        <v>Toalhas</v>
      </c>
      <c r="M1540" s="6" t="str">
        <f>"50x100"</f>
        <v>50x100</v>
      </c>
      <c r="N1540" s="6" t="str">
        <f>"5602972281149"</f>
        <v>5602972281149</v>
      </c>
      <c r="O1540" s="8">
        <v>6</v>
      </c>
      <c r="R1540" s="8">
        <v>0</v>
      </c>
      <c r="U1540" s="8">
        <v>0</v>
      </c>
      <c r="X1540" s="8">
        <v>0</v>
      </c>
      <c r="Z1540" s="8">
        <v>0</v>
      </c>
      <c r="AC1540" s="8">
        <v>0</v>
      </c>
      <c r="AF1540" s="8">
        <v>0</v>
      </c>
      <c r="AN1540" s="8">
        <v>6</v>
      </c>
      <c r="AO1540" s="8">
        <v>0</v>
      </c>
    </row>
    <row r="1541" spans="1:41" x14ac:dyDescent="0.25">
      <c r="A1541" s="6" t="str">
        <f t="shared" si="422"/>
        <v>522-2025004521</v>
      </c>
      <c r="B1541" s="6" t="str">
        <f t="shared" si="413"/>
        <v>EL CORTE</v>
      </c>
      <c r="C1541" s="7">
        <v>46022</v>
      </c>
      <c r="D1541" s="7">
        <v>46027</v>
      </c>
      <c r="E1541" s="8">
        <v>9</v>
      </c>
      <c r="F1541" s="6" t="str">
        <f t="shared" si="423"/>
        <v>94722301_07026</v>
      </c>
      <c r="G1541" s="6" t="str">
        <f t="shared" si="414"/>
        <v>F310631650000000</v>
      </c>
      <c r="H1541" s="6" t="str">
        <f t="shared" si="415"/>
        <v>PLAR 6316 FD - 500 g</v>
      </c>
      <c r="I1541" s="6" t="str">
        <f>"200510"</f>
        <v>200510</v>
      </c>
      <c r="J1541" s="6" t="str">
        <f>"VERDE 510"</f>
        <v>VERDE 510</v>
      </c>
      <c r="K1541" s="6" t="str">
        <f>"2020"</f>
        <v>2020</v>
      </c>
      <c r="L1541" s="6" t="str">
        <f>"Lençóis"</f>
        <v>Lençóis</v>
      </c>
      <c r="M1541" s="6" t="str">
        <f>"100x150"</f>
        <v>100x150</v>
      </c>
      <c r="N1541" s="6" t="str">
        <f>"5602972281156"</f>
        <v>5602972281156</v>
      </c>
      <c r="O1541" s="8">
        <v>3</v>
      </c>
      <c r="R1541" s="8">
        <v>0</v>
      </c>
      <c r="U1541" s="8">
        <v>0</v>
      </c>
      <c r="X1541" s="8">
        <v>0</v>
      </c>
      <c r="Z1541" s="8">
        <v>0</v>
      </c>
      <c r="AC1541" s="8">
        <v>0</v>
      </c>
      <c r="AF1541" s="8">
        <v>0</v>
      </c>
      <c r="AN1541" s="8">
        <v>3</v>
      </c>
      <c r="AO1541" s="8">
        <v>0</v>
      </c>
    </row>
    <row r="1542" spans="1:41" x14ac:dyDescent="0.25">
      <c r="A1542" s="6" t="str">
        <f>"522-2025004522"</f>
        <v>522-2025004522</v>
      </c>
      <c r="B1542" s="6" t="str">
        <f t="shared" si="413"/>
        <v>EL CORTE</v>
      </c>
      <c r="C1542" s="7">
        <v>46022</v>
      </c>
      <c r="D1542" s="7">
        <v>46027</v>
      </c>
      <c r="E1542" s="8">
        <v>1</v>
      </c>
      <c r="F1542" s="6" t="str">
        <f>"94725001_07026"</f>
        <v>94725001_07026</v>
      </c>
      <c r="G1542" s="6" t="str">
        <f t="shared" si="414"/>
        <v>F310631650000000</v>
      </c>
      <c r="H1542" s="6" t="str">
        <f t="shared" si="415"/>
        <v>PLAR 6316 FD - 500 g</v>
      </c>
      <c r="I1542" s="6" t="str">
        <f>"202575"</f>
        <v>202575</v>
      </c>
      <c r="J1542" s="6" t="str">
        <f>"BEGE 2575"</f>
        <v>BEGE 2575</v>
      </c>
      <c r="K1542" s="6" t="str">
        <f>"1024"</f>
        <v>1024</v>
      </c>
      <c r="L1542" s="6" t="str">
        <f>"Toalhas"</f>
        <v>Toalhas</v>
      </c>
      <c r="M1542" s="6" t="str">
        <f>"50x100"</f>
        <v>50x100</v>
      </c>
      <c r="N1542" s="6" t="str">
        <f>"5602972281088"</f>
        <v>5602972281088</v>
      </c>
      <c r="O1542" s="8">
        <v>6</v>
      </c>
      <c r="R1542" s="8">
        <v>0</v>
      </c>
      <c r="U1542" s="8">
        <v>0</v>
      </c>
      <c r="X1542" s="8">
        <v>0</v>
      </c>
      <c r="Z1542" s="8">
        <v>0</v>
      </c>
      <c r="AC1542" s="8">
        <v>0</v>
      </c>
      <c r="AF1542" s="8">
        <v>0</v>
      </c>
      <c r="AN1542" s="8">
        <v>6</v>
      </c>
      <c r="AO1542" s="8">
        <v>0</v>
      </c>
    </row>
    <row r="1543" spans="1:41" x14ac:dyDescent="0.25">
      <c r="A1543" s="6" t="str">
        <f t="shared" ref="A1543:A1551" si="424">"522-2025004523"</f>
        <v>522-2025004523</v>
      </c>
      <c r="B1543" s="6" t="str">
        <f t="shared" ref="B1543:B1606" si="425">"EL CORTE"</f>
        <v>EL CORTE</v>
      </c>
      <c r="C1543" s="7">
        <v>46022</v>
      </c>
      <c r="D1543" s="7">
        <v>46027</v>
      </c>
      <c r="E1543" s="8">
        <v>1</v>
      </c>
      <c r="F1543" s="6" t="str">
        <f t="shared" ref="F1543:F1551" si="426">"94722401_07026"</f>
        <v>94722401_07026</v>
      </c>
      <c r="G1543" s="6" t="str">
        <f t="shared" ref="G1543:G1606" si="427">"F310631650000000"</f>
        <v>F310631650000000</v>
      </c>
      <c r="H1543" s="6" t="str">
        <f t="shared" ref="H1543:H1606" si="428">"PLAR 6316 FD - 500 g"</f>
        <v>PLAR 6316 FD - 500 g</v>
      </c>
      <c r="I1543" s="6" t="str">
        <f>"201855"</f>
        <v>201855</v>
      </c>
      <c r="J1543" s="6" t="str">
        <f>"AZUL 1855"</f>
        <v>AZUL 1855</v>
      </c>
      <c r="K1543" s="6" t="str">
        <f>"0520"</f>
        <v>0520</v>
      </c>
      <c r="L1543" s="6" t="str">
        <f>"Toalhetes"</f>
        <v>Toalhetes</v>
      </c>
      <c r="M1543" s="6" t="str">
        <f>"30x50"</f>
        <v>30x50</v>
      </c>
      <c r="N1543" s="6" t="str">
        <f>"5602972281040"</f>
        <v>5602972281040</v>
      </c>
      <c r="O1543" s="8">
        <v>6</v>
      </c>
      <c r="R1543" s="8">
        <v>0</v>
      </c>
      <c r="U1543" s="8">
        <v>0</v>
      </c>
      <c r="X1543" s="8">
        <v>0</v>
      </c>
      <c r="Z1543" s="8">
        <v>0</v>
      </c>
      <c r="AC1543" s="8">
        <v>0</v>
      </c>
      <c r="AF1543" s="8">
        <v>0</v>
      </c>
      <c r="AN1543" s="8">
        <v>6</v>
      </c>
      <c r="AO1543" s="8">
        <v>0</v>
      </c>
    </row>
    <row r="1544" spans="1:41" x14ac:dyDescent="0.25">
      <c r="A1544" s="6" t="str">
        <f t="shared" si="424"/>
        <v>522-2025004523</v>
      </c>
      <c r="B1544" s="6" t="str">
        <f t="shared" si="425"/>
        <v>EL CORTE</v>
      </c>
      <c r="C1544" s="7">
        <v>46022</v>
      </c>
      <c r="D1544" s="7">
        <v>46027</v>
      </c>
      <c r="E1544" s="8">
        <v>2</v>
      </c>
      <c r="F1544" s="6" t="str">
        <f t="shared" si="426"/>
        <v>94722401_07026</v>
      </c>
      <c r="G1544" s="6" t="str">
        <f t="shared" si="427"/>
        <v>F310631650000000</v>
      </c>
      <c r="H1544" s="6" t="str">
        <f t="shared" si="428"/>
        <v>PLAR 6316 FD - 500 g</v>
      </c>
      <c r="I1544" s="6" t="str">
        <f>"202575"</f>
        <v>202575</v>
      </c>
      <c r="J1544" s="6" t="str">
        <f>"BEGE 2575"</f>
        <v>BEGE 2575</v>
      </c>
      <c r="K1544" s="6" t="str">
        <f>"0520"</f>
        <v>0520</v>
      </c>
      <c r="L1544" s="6" t="str">
        <f>"Toalhetes"</f>
        <v>Toalhetes</v>
      </c>
      <c r="M1544" s="6" t="str">
        <f>"30x50"</f>
        <v>30x50</v>
      </c>
      <c r="N1544" s="6" t="str">
        <f>"5602972281071"</f>
        <v>5602972281071</v>
      </c>
      <c r="O1544" s="8">
        <v>6</v>
      </c>
      <c r="R1544" s="8">
        <v>0</v>
      </c>
      <c r="U1544" s="8">
        <v>0</v>
      </c>
      <c r="X1544" s="8">
        <v>0</v>
      </c>
      <c r="Z1544" s="8">
        <v>0</v>
      </c>
      <c r="AC1544" s="8">
        <v>0</v>
      </c>
      <c r="AF1544" s="8">
        <v>0</v>
      </c>
      <c r="AN1544" s="8">
        <v>6</v>
      </c>
      <c r="AO1544" s="8">
        <v>0</v>
      </c>
    </row>
    <row r="1545" spans="1:41" x14ac:dyDescent="0.25">
      <c r="A1545" s="6" t="str">
        <f t="shared" si="424"/>
        <v>522-2025004523</v>
      </c>
      <c r="B1545" s="6" t="str">
        <f t="shared" si="425"/>
        <v>EL CORTE</v>
      </c>
      <c r="C1545" s="7">
        <v>46022</v>
      </c>
      <c r="D1545" s="7">
        <v>46027</v>
      </c>
      <c r="E1545" s="8">
        <v>3</v>
      </c>
      <c r="F1545" s="6" t="str">
        <f t="shared" si="426"/>
        <v>94722401_07026</v>
      </c>
      <c r="G1545" s="6" t="str">
        <f t="shared" si="427"/>
        <v>F310631650000000</v>
      </c>
      <c r="H1545" s="6" t="str">
        <f t="shared" si="428"/>
        <v>PLAR 6316 FD - 500 g</v>
      </c>
      <c r="I1545" s="6" t="str">
        <f>"202575"</f>
        <v>202575</v>
      </c>
      <c r="J1545" s="6" t="str">
        <f>"BEGE 2575"</f>
        <v>BEGE 2575</v>
      </c>
      <c r="K1545" s="6" t="str">
        <f>"2020"</f>
        <v>2020</v>
      </c>
      <c r="L1545" s="6" t="str">
        <f>"Lençóis"</f>
        <v>Lençóis</v>
      </c>
      <c r="M1545" s="6" t="str">
        <f>"100x150"</f>
        <v>100x150</v>
      </c>
      <c r="N1545" s="6" t="str">
        <f>"5602972281095"</f>
        <v>5602972281095</v>
      </c>
      <c r="O1545" s="8">
        <v>3</v>
      </c>
      <c r="R1545" s="8">
        <v>0</v>
      </c>
      <c r="U1545" s="8">
        <v>0</v>
      </c>
      <c r="X1545" s="8">
        <v>0</v>
      </c>
      <c r="Z1545" s="8">
        <v>0</v>
      </c>
      <c r="AC1545" s="8">
        <v>0</v>
      </c>
      <c r="AF1545" s="8">
        <v>0</v>
      </c>
      <c r="AN1545" s="8">
        <v>3</v>
      </c>
      <c r="AO1545" s="8">
        <v>0</v>
      </c>
    </row>
    <row r="1546" spans="1:41" x14ac:dyDescent="0.25">
      <c r="A1546" s="6" t="str">
        <f t="shared" si="424"/>
        <v>522-2025004523</v>
      </c>
      <c r="B1546" s="6" t="str">
        <f t="shared" si="425"/>
        <v>EL CORTE</v>
      </c>
      <c r="C1546" s="7">
        <v>46022</v>
      </c>
      <c r="D1546" s="7">
        <v>46027</v>
      </c>
      <c r="E1546" s="8">
        <v>4</v>
      </c>
      <c r="F1546" s="6" t="str">
        <f t="shared" si="426"/>
        <v>94722401_07026</v>
      </c>
      <c r="G1546" s="6" t="str">
        <f t="shared" si="427"/>
        <v>F310631650000000</v>
      </c>
      <c r="H1546" s="6" t="str">
        <f t="shared" si="428"/>
        <v>PLAR 6316 FD - 500 g</v>
      </c>
      <c r="I1546" s="6" t="str">
        <f>"200901"</f>
        <v>200901</v>
      </c>
      <c r="J1546" s="6" t="str">
        <f>"ROSA 901"</f>
        <v>ROSA 901</v>
      </c>
      <c r="K1546" s="6" t="str">
        <f>"0520"</f>
        <v>0520</v>
      </c>
      <c r="L1546" s="6" t="str">
        <f>"Toalhetes"</f>
        <v>Toalhetes</v>
      </c>
      <c r="M1546" s="6" t="str">
        <f>"30x50"</f>
        <v>30x50</v>
      </c>
      <c r="N1546" s="6" t="str">
        <f>"5602972281101"</f>
        <v>5602972281101</v>
      </c>
      <c r="O1546" s="8">
        <v>6</v>
      </c>
      <c r="R1546" s="8">
        <v>0</v>
      </c>
      <c r="U1546" s="8">
        <v>0</v>
      </c>
      <c r="X1546" s="8">
        <v>0</v>
      </c>
      <c r="Z1546" s="8">
        <v>0</v>
      </c>
      <c r="AC1546" s="8">
        <v>0</v>
      </c>
      <c r="AF1546" s="8">
        <v>0</v>
      </c>
      <c r="AN1546" s="8">
        <v>6</v>
      </c>
      <c r="AO1546" s="8">
        <v>0</v>
      </c>
    </row>
    <row r="1547" spans="1:41" x14ac:dyDescent="0.25">
      <c r="A1547" s="6" t="str">
        <f t="shared" si="424"/>
        <v>522-2025004523</v>
      </c>
      <c r="B1547" s="6" t="str">
        <f t="shared" si="425"/>
        <v>EL CORTE</v>
      </c>
      <c r="C1547" s="7">
        <v>46022</v>
      </c>
      <c r="D1547" s="7">
        <v>46027</v>
      </c>
      <c r="E1547" s="8">
        <v>5</v>
      </c>
      <c r="F1547" s="6" t="str">
        <f t="shared" si="426"/>
        <v>94722401_07026</v>
      </c>
      <c r="G1547" s="6" t="str">
        <f t="shared" si="427"/>
        <v>F310631650000000</v>
      </c>
      <c r="H1547" s="6" t="str">
        <f t="shared" si="428"/>
        <v>PLAR 6316 FD - 500 g</v>
      </c>
      <c r="I1547" s="6" t="str">
        <f>"200901"</f>
        <v>200901</v>
      </c>
      <c r="J1547" s="6" t="str">
        <f>"ROSA 901"</f>
        <v>ROSA 901</v>
      </c>
      <c r="K1547" s="6" t="str">
        <f>"1024"</f>
        <v>1024</v>
      </c>
      <c r="L1547" s="6" t="str">
        <f>"Toalhas"</f>
        <v>Toalhas</v>
      </c>
      <c r="M1547" s="6" t="str">
        <f>"50x100"</f>
        <v>50x100</v>
      </c>
      <c r="N1547" s="6" t="str">
        <f>"5602972281118"</f>
        <v>5602972281118</v>
      </c>
      <c r="O1547" s="8">
        <v>6</v>
      </c>
      <c r="R1547" s="8">
        <v>0</v>
      </c>
      <c r="U1547" s="8">
        <v>0</v>
      </c>
      <c r="X1547" s="8">
        <v>0</v>
      </c>
      <c r="Z1547" s="8">
        <v>0</v>
      </c>
      <c r="AC1547" s="8">
        <v>0</v>
      </c>
      <c r="AF1547" s="8">
        <v>0</v>
      </c>
      <c r="AN1547" s="8">
        <v>6</v>
      </c>
      <c r="AO1547" s="8">
        <v>0</v>
      </c>
    </row>
    <row r="1548" spans="1:41" x14ac:dyDescent="0.25">
      <c r="A1548" s="6" t="str">
        <f t="shared" si="424"/>
        <v>522-2025004523</v>
      </c>
      <c r="B1548" s="6" t="str">
        <f t="shared" si="425"/>
        <v>EL CORTE</v>
      </c>
      <c r="C1548" s="7">
        <v>46022</v>
      </c>
      <c r="D1548" s="7">
        <v>46027</v>
      </c>
      <c r="E1548" s="8">
        <v>6</v>
      </c>
      <c r="F1548" s="6" t="str">
        <f t="shared" si="426"/>
        <v>94722401_07026</v>
      </c>
      <c r="G1548" s="6" t="str">
        <f t="shared" si="427"/>
        <v>F310631650000000</v>
      </c>
      <c r="H1548" s="6" t="str">
        <f t="shared" si="428"/>
        <v>PLAR 6316 FD - 500 g</v>
      </c>
      <c r="I1548" s="6" t="str">
        <f>"200901"</f>
        <v>200901</v>
      </c>
      <c r="J1548" s="6" t="str">
        <f>"ROSA 901"</f>
        <v>ROSA 901</v>
      </c>
      <c r="K1548" s="6" t="str">
        <f>"2020"</f>
        <v>2020</v>
      </c>
      <c r="L1548" s="6" t="str">
        <f>"Lençóis"</f>
        <v>Lençóis</v>
      </c>
      <c r="M1548" s="6" t="str">
        <f>"100x150"</f>
        <v>100x150</v>
      </c>
      <c r="N1548" s="6" t="str">
        <f>"5602972281125"</f>
        <v>5602972281125</v>
      </c>
      <c r="O1548" s="8">
        <v>6</v>
      </c>
      <c r="R1548" s="8">
        <v>0</v>
      </c>
      <c r="U1548" s="8">
        <v>0</v>
      </c>
      <c r="X1548" s="8">
        <v>0</v>
      </c>
      <c r="Z1548" s="8">
        <v>0</v>
      </c>
      <c r="AC1548" s="8">
        <v>0</v>
      </c>
      <c r="AF1548" s="8">
        <v>0</v>
      </c>
      <c r="AN1548" s="8">
        <v>0</v>
      </c>
      <c r="AO1548" s="8">
        <v>6</v>
      </c>
    </row>
    <row r="1549" spans="1:41" x14ac:dyDescent="0.25">
      <c r="A1549" s="6" t="str">
        <f t="shared" si="424"/>
        <v>522-2025004523</v>
      </c>
      <c r="B1549" s="6" t="str">
        <f t="shared" si="425"/>
        <v>EL CORTE</v>
      </c>
      <c r="C1549" s="7">
        <v>46022</v>
      </c>
      <c r="D1549" s="7">
        <v>46027</v>
      </c>
      <c r="E1549" s="8">
        <v>7</v>
      </c>
      <c r="F1549" s="6" t="str">
        <f t="shared" si="426"/>
        <v>94722401_07026</v>
      </c>
      <c r="G1549" s="6" t="str">
        <f t="shared" si="427"/>
        <v>F310631650000000</v>
      </c>
      <c r="H1549" s="6" t="str">
        <f t="shared" si="428"/>
        <v>PLAR 6316 FD - 500 g</v>
      </c>
      <c r="I1549" s="6" t="str">
        <f>"200510"</f>
        <v>200510</v>
      </c>
      <c r="J1549" s="6" t="str">
        <f>"VERDE 510"</f>
        <v>VERDE 510</v>
      </c>
      <c r="K1549" s="6" t="str">
        <f>"0520"</f>
        <v>0520</v>
      </c>
      <c r="L1549" s="6" t="str">
        <f>"Toalhetes"</f>
        <v>Toalhetes</v>
      </c>
      <c r="M1549" s="6" t="str">
        <f>"30x50"</f>
        <v>30x50</v>
      </c>
      <c r="N1549" s="6" t="str">
        <f>"5602972281132"</f>
        <v>5602972281132</v>
      </c>
      <c r="O1549" s="8">
        <v>6</v>
      </c>
      <c r="R1549" s="8">
        <v>0</v>
      </c>
      <c r="U1549" s="8">
        <v>0</v>
      </c>
      <c r="X1549" s="8">
        <v>0</v>
      </c>
      <c r="Z1549" s="8">
        <v>0</v>
      </c>
      <c r="AC1549" s="8">
        <v>0</v>
      </c>
      <c r="AF1549" s="8">
        <v>0</v>
      </c>
      <c r="AN1549" s="8">
        <v>6</v>
      </c>
      <c r="AO1549" s="8">
        <v>0</v>
      </c>
    </row>
    <row r="1550" spans="1:41" x14ac:dyDescent="0.25">
      <c r="A1550" s="6" t="str">
        <f t="shared" si="424"/>
        <v>522-2025004523</v>
      </c>
      <c r="B1550" s="6" t="str">
        <f t="shared" si="425"/>
        <v>EL CORTE</v>
      </c>
      <c r="C1550" s="7">
        <v>46022</v>
      </c>
      <c r="D1550" s="7">
        <v>46027</v>
      </c>
      <c r="E1550" s="8">
        <v>8</v>
      </c>
      <c r="F1550" s="6" t="str">
        <f t="shared" si="426"/>
        <v>94722401_07026</v>
      </c>
      <c r="G1550" s="6" t="str">
        <f t="shared" si="427"/>
        <v>F310631650000000</v>
      </c>
      <c r="H1550" s="6" t="str">
        <f t="shared" si="428"/>
        <v>PLAR 6316 FD - 500 g</v>
      </c>
      <c r="I1550" s="6" t="str">
        <f>"200510"</f>
        <v>200510</v>
      </c>
      <c r="J1550" s="6" t="str">
        <f>"VERDE 510"</f>
        <v>VERDE 510</v>
      </c>
      <c r="K1550" s="6" t="str">
        <f>"1024"</f>
        <v>1024</v>
      </c>
      <c r="L1550" s="6" t="str">
        <f>"Toalhas"</f>
        <v>Toalhas</v>
      </c>
      <c r="M1550" s="6" t="str">
        <f>"50x100"</f>
        <v>50x100</v>
      </c>
      <c r="N1550" s="6" t="str">
        <f>"5602972281149"</f>
        <v>5602972281149</v>
      </c>
      <c r="O1550" s="8">
        <v>6</v>
      </c>
      <c r="R1550" s="8">
        <v>0</v>
      </c>
      <c r="U1550" s="8">
        <v>0</v>
      </c>
      <c r="X1550" s="8">
        <v>0</v>
      </c>
      <c r="Z1550" s="8">
        <v>0</v>
      </c>
      <c r="AC1550" s="8">
        <v>0</v>
      </c>
      <c r="AF1550" s="8">
        <v>0</v>
      </c>
      <c r="AN1550" s="8">
        <v>6</v>
      </c>
      <c r="AO1550" s="8">
        <v>0</v>
      </c>
    </row>
    <row r="1551" spans="1:41" x14ac:dyDescent="0.25">
      <c r="A1551" s="6" t="str">
        <f t="shared" si="424"/>
        <v>522-2025004523</v>
      </c>
      <c r="B1551" s="6" t="str">
        <f t="shared" si="425"/>
        <v>EL CORTE</v>
      </c>
      <c r="C1551" s="7">
        <v>46022</v>
      </c>
      <c r="D1551" s="7">
        <v>46027</v>
      </c>
      <c r="E1551" s="8">
        <v>9</v>
      </c>
      <c r="F1551" s="6" t="str">
        <f t="shared" si="426"/>
        <v>94722401_07026</v>
      </c>
      <c r="G1551" s="6" t="str">
        <f t="shared" si="427"/>
        <v>F310631650000000</v>
      </c>
      <c r="H1551" s="6" t="str">
        <f t="shared" si="428"/>
        <v>PLAR 6316 FD - 500 g</v>
      </c>
      <c r="I1551" s="6" t="str">
        <f>"200510"</f>
        <v>200510</v>
      </c>
      <c r="J1551" s="6" t="str">
        <f>"VERDE 510"</f>
        <v>VERDE 510</v>
      </c>
      <c r="K1551" s="6" t="str">
        <f>"2020"</f>
        <v>2020</v>
      </c>
      <c r="L1551" s="6" t="str">
        <f>"Lençóis"</f>
        <v>Lençóis</v>
      </c>
      <c r="M1551" s="6" t="str">
        <f>"100x150"</f>
        <v>100x150</v>
      </c>
      <c r="N1551" s="6" t="str">
        <f>"5602972281156"</f>
        <v>5602972281156</v>
      </c>
      <c r="O1551" s="8">
        <v>3</v>
      </c>
      <c r="R1551" s="8">
        <v>0</v>
      </c>
      <c r="U1551" s="8">
        <v>0</v>
      </c>
      <c r="X1551" s="8">
        <v>0</v>
      </c>
      <c r="Z1551" s="8">
        <v>0</v>
      </c>
      <c r="AC1551" s="8">
        <v>0</v>
      </c>
      <c r="AF1551" s="8">
        <v>0</v>
      </c>
      <c r="AN1551" s="8">
        <v>3</v>
      </c>
      <c r="AO1551" s="8">
        <v>0</v>
      </c>
    </row>
    <row r="1552" spans="1:41" x14ac:dyDescent="0.25">
      <c r="A1552" s="6" t="str">
        <f>"522-2025004524"</f>
        <v>522-2025004524</v>
      </c>
      <c r="B1552" s="6" t="str">
        <f t="shared" si="425"/>
        <v>EL CORTE</v>
      </c>
      <c r="C1552" s="7">
        <v>46022</v>
      </c>
      <c r="D1552" s="7">
        <v>46027</v>
      </c>
      <c r="E1552" s="8">
        <v>1</v>
      </c>
      <c r="F1552" s="6" t="str">
        <f>"94724101_07026"</f>
        <v>94724101_07026</v>
      </c>
      <c r="G1552" s="6" t="str">
        <f t="shared" si="427"/>
        <v>F310631650000000</v>
      </c>
      <c r="H1552" s="6" t="str">
        <f t="shared" si="428"/>
        <v>PLAR 6316 FD - 500 g</v>
      </c>
      <c r="I1552" s="6" t="str">
        <f>"201855"</f>
        <v>201855</v>
      </c>
      <c r="J1552" s="6" t="str">
        <f>"AZUL 1855"</f>
        <v>AZUL 1855</v>
      </c>
      <c r="K1552" s="6" t="str">
        <f>"2020"</f>
        <v>2020</v>
      </c>
      <c r="L1552" s="6" t="str">
        <f>"Lençóis"</f>
        <v>Lençóis</v>
      </c>
      <c r="M1552" s="6" t="str">
        <f>"100x150"</f>
        <v>100x150</v>
      </c>
      <c r="N1552" s="6" t="str">
        <f>"5602972281064"</f>
        <v>5602972281064</v>
      </c>
      <c r="O1552" s="8">
        <v>6</v>
      </c>
      <c r="R1552" s="8">
        <v>0</v>
      </c>
      <c r="U1552" s="8">
        <v>0</v>
      </c>
      <c r="X1552" s="8">
        <v>0</v>
      </c>
      <c r="Z1552" s="8">
        <v>0</v>
      </c>
      <c r="AC1552" s="8">
        <v>0</v>
      </c>
      <c r="AF1552" s="8">
        <v>0</v>
      </c>
      <c r="AN1552" s="8">
        <v>0</v>
      </c>
      <c r="AO1552" s="8">
        <v>6</v>
      </c>
    </row>
    <row r="1553" spans="1:41" x14ac:dyDescent="0.25">
      <c r="A1553" s="6" t="str">
        <f>"522-2025004524"</f>
        <v>522-2025004524</v>
      </c>
      <c r="B1553" s="6" t="str">
        <f t="shared" si="425"/>
        <v>EL CORTE</v>
      </c>
      <c r="C1553" s="7">
        <v>46022</v>
      </c>
      <c r="D1553" s="7">
        <v>46027</v>
      </c>
      <c r="E1553" s="8">
        <v>2</v>
      </c>
      <c r="F1553" s="6" t="str">
        <f>"94724101_07026"</f>
        <v>94724101_07026</v>
      </c>
      <c r="G1553" s="6" t="str">
        <f t="shared" si="427"/>
        <v>F310631650000000</v>
      </c>
      <c r="H1553" s="6" t="str">
        <f t="shared" si="428"/>
        <v>PLAR 6316 FD - 500 g</v>
      </c>
      <c r="I1553" s="6" t="str">
        <f>"202575"</f>
        <v>202575</v>
      </c>
      <c r="J1553" s="6" t="str">
        <f>"BEGE 2575"</f>
        <v>BEGE 2575</v>
      </c>
      <c r="K1553" s="6" t="str">
        <f>"1024"</f>
        <v>1024</v>
      </c>
      <c r="L1553" s="6" t="str">
        <f>"Toalhas"</f>
        <v>Toalhas</v>
      </c>
      <c r="M1553" s="6" t="str">
        <f>"50x100"</f>
        <v>50x100</v>
      </c>
      <c r="N1553" s="6" t="str">
        <f>"5602972281088"</f>
        <v>5602972281088</v>
      </c>
      <c r="O1553" s="8">
        <v>6</v>
      </c>
      <c r="R1553" s="8">
        <v>0</v>
      </c>
      <c r="U1553" s="8">
        <v>0</v>
      </c>
      <c r="X1553" s="8">
        <v>0</v>
      </c>
      <c r="Z1553" s="8">
        <v>0</v>
      </c>
      <c r="AC1553" s="8">
        <v>0</v>
      </c>
      <c r="AF1553" s="8">
        <v>0</v>
      </c>
      <c r="AN1553" s="8">
        <v>6</v>
      </c>
      <c r="AO1553" s="8">
        <v>0</v>
      </c>
    </row>
    <row r="1554" spans="1:41" x14ac:dyDescent="0.25">
      <c r="A1554" s="6" t="str">
        <f>"522-2025004524"</f>
        <v>522-2025004524</v>
      </c>
      <c r="B1554" s="6" t="str">
        <f t="shared" si="425"/>
        <v>EL CORTE</v>
      </c>
      <c r="C1554" s="7">
        <v>46022</v>
      </c>
      <c r="D1554" s="7">
        <v>46027</v>
      </c>
      <c r="E1554" s="8">
        <v>3</v>
      </c>
      <c r="F1554" s="6" t="str">
        <f>"94724101_07026"</f>
        <v>94724101_07026</v>
      </c>
      <c r="G1554" s="6" t="str">
        <f t="shared" si="427"/>
        <v>F310631650000000</v>
      </c>
      <c r="H1554" s="6" t="str">
        <f t="shared" si="428"/>
        <v>PLAR 6316 FD - 500 g</v>
      </c>
      <c r="I1554" s="6" t="str">
        <f>"200901"</f>
        <v>200901</v>
      </c>
      <c r="J1554" s="6" t="str">
        <f>"ROSA 901"</f>
        <v>ROSA 901</v>
      </c>
      <c r="K1554" s="6" t="str">
        <f>"2020"</f>
        <v>2020</v>
      </c>
      <c r="L1554" s="6" t="str">
        <f>"Lençóis"</f>
        <v>Lençóis</v>
      </c>
      <c r="M1554" s="6" t="str">
        <f>"100x150"</f>
        <v>100x150</v>
      </c>
      <c r="N1554" s="6" t="str">
        <f>"5602972281125"</f>
        <v>5602972281125</v>
      </c>
      <c r="O1554" s="8">
        <v>3</v>
      </c>
      <c r="R1554" s="8">
        <v>0</v>
      </c>
      <c r="U1554" s="8">
        <v>0</v>
      </c>
      <c r="X1554" s="8">
        <v>0</v>
      </c>
      <c r="Z1554" s="8">
        <v>0</v>
      </c>
      <c r="AC1554" s="8">
        <v>0</v>
      </c>
      <c r="AF1554" s="8">
        <v>0</v>
      </c>
      <c r="AN1554" s="8">
        <v>0</v>
      </c>
      <c r="AO1554" s="8">
        <v>3</v>
      </c>
    </row>
    <row r="1555" spans="1:41" x14ac:dyDescent="0.25">
      <c r="A1555" s="6" t="str">
        <f>"522-2025004524"</f>
        <v>522-2025004524</v>
      </c>
      <c r="B1555" s="6" t="str">
        <f t="shared" si="425"/>
        <v>EL CORTE</v>
      </c>
      <c r="C1555" s="7">
        <v>46022</v>
      </c>
      <c r="D1555" s="7">
        <v>46027</v>
      </c>
      <c r="E1555" s="8">
        <v>4</v>
      </c>
      <c r="F1555" s="6" t="str">
        <f>"94724101_07026"</f>
        <v>94724101_07026</v>
      </c>
      <c r="G1555" s="6" t="str">
        <f t="shared" si="427"/>
        <v>F310631650000000</v>
      </c>
      <c r="H1555" s="6" t="str">
        <f t="shared" si="428"/>
        <v>PLAR 6316 FD - 500 g</v>
      </c>
      <c r="I1555" s="6" t="str">
        <f>"200510"</f>
        <v>200510</v>
      </c>
      <c r="J1555" s="6" t="str">
        <f>"VERDE 510"</f>
        <v>VERDE 510</v>
      </c>
      <c r="K1555" s="6" t="str">
        <f>"1024"</f>
        <v>1024</v>
      </c>
      <c r="L1555" s="6" t="str">
        <f>"Toalhas"</f>
        <v>Toalhas</v>
      </c>
      <c r="M1555" s="6" t="str">
        <f>"50x100"</f>
        <v>50x100</v>
      </c>
      <c r="N1555" s="6" t="str">
        <f>"5602972281149"</f>
        <v>5602972281149</v>
      </c>
      <c r="O1555" s="8">
        <v>6</v>
      </c>
      <c r="R1555" s="8">
        <v>0</v>
      </c>
      <c r="U1555" s="8">
        <v>0</v>
      </c>
      <c r="X1555" s="8">
        <v>0</v>
      </c>
      <c r="Z1555" s="8">
        <v>0</v>
      </c>
      <c r="AC1555" s="8">
        <v>0</v>
      </c>
      <c r="AF1555" s="8">
        <v>0</v>
      </c>
      <c r="AN1555" s="8">
        <v>6</v>
      </c>
      <c r="AO1555" s="8">
        <v>0</v>
      </c>
    </row>
    <row r="1556" spans="1:41" x14ac:dyDescent="0.25">
      <c r="A1556" s="6" t="str">
        <f>"522-2025004524"</f>
        <v>522-2025004524</v>
      </c>
      <c r="B1556" s="6" t="str">
        <f t="shared" si="425"/>
        <v>EL CORTE</v>
      </c>
      <c r="C1556" s="7">
        <v>46022</v>
      </c>
      <c r="D1556" s="7">
        <v>46027</v>
      </c>
      <c r="E1556" s="8">
        <v>5</v>
      </c>
      <c r="F1556" s="6" t="str">
        <f>"94724101_07026"</f>
        <v>94724101_07026</v>
      </c>
      <c r="G1556" s="6" t="str">
        <f t="shared" si="427"/>
        <v>F310631650000000</v>
      </c>
      <c r="H1556" s="6" t="str">
        <f t="shared" si="428"/>
        <v>PLAR 6316 FD - 500 g</v>
      </c>
      <c r="I1556" s="6" t="str">
        <f>"200510"</f>
        <v>200510</v>
      </c>
      <c r="J1556" s="6" t="str">
        <f>"VERDE 510"</f>
        <v>VERDE 510</v>
      </c>
      <c r="K1556" s="6" t="str">
        <f>"2020"</f>
        <v>2020</v>
      </c>
      <c r="L1556" s="6" t="str">
        <f>"Lençóis"</f>
        <v>Lençóis</v>
      </c>
      <c r="M1556" s="6" t="str">
        <f>"100x150"</f>
        <v>100x150</v>
      </c>
      <c r="N1556" s="6" t="str">
        <f>"5602972281156"</f>
        <v>5602972281156</v>
      </c>
      <c r="O1556" s="8">
        <v>3</v>
      </c>
      <c r="R1556" s="8">
        <v>0</v>
      </c>
      <c r="U1556" s="8">
        <v>0</v>
      </c>
      <c r="X1556" s="8">
        <v>0</v>
      </c>
      <c r="Z1556" s="8">
        <v>0</v>
      </c>
      <c r="AC1556" s="8">
        <v>0</v>
      </c>
      <c r="AF1556" s="8">
        <v>0</v>
      </c>
      <c r="AN1556" s="8">
        <v>3</v>
      </c>
      <c r="AO1556" s="8">
        <v>0</v>
      </c>
    </row>
    <row r="1557" spans="1:41" x14ac:dyDescent="0.25">
      <c r="A1557" s="6" t="str">
        <f>"522-2025004525"</f>
        <v>522-2025004525</v>
      </c>
      <c r="B1557" s="6" t="str">
        <f t="shared" si="425"/>
        <v>EL CORTE</v>
      </c>
      <c r="C1557" s="7">
        <v>46022</v>
      </c>
      <c r="D1557" s="7">
        <v>46027</v>
      </c>
      <c r="E1557" s="8">
        <v>1</v>
      </c>
      <c r="F1557" s="6" t="str">
        <f>"94724901_07026"</f>
        <v>94724901_07026</v>
      </c>
      <c r="G1557" s="6" t="str">
        <f t="shared" si="427"/>
        <v>F310631650000000</v>
      </c>
      <c r="H1557" s="6" t="str">
        <f t="shared" si="428"/>
        <v>PLAR 6316 FD - 500 g</v>
      </c>
      <c r="I1557" s="6" t="str">
        <f>"202575"</f>
        <v>202575</v>
      </c>
      <c r="J1557" s="6" t="str">
        <f>"BEGE 2575"</f>
        <v>BEGE 2575</v>
      </c>
      <c r="K1557" s="6" t="str">
        <f>"2020"</f>
        <v>2020</v>
      </c>
      <c r="L1557" s="6" t="str">
        <f>"Lençóis"</f>
        <v>Lençóis</v>
      </c>
      <c r="M1557" s="6" t="str">
        <f>"100x150"</f>
        <v>100x150</v>
      </c>
      <c r="N1557" s="6" t="str">
        <f>"5602972281095"</f>
        <v>5602972281095</v>
      </c>
      <c r="O1557" s="8">
        <v>3</v>
      </c>
      <c r="R1557" s="8">
        <v>0</v>
      </c>
      <c r="U1557" s="8">
        <v>0</v>
      </c>
      <c r="X1557" s="8">
        <v>0</v>
      </c>
      <c r="Z1557" s="8">
        <v>0</v>
      </c>
      <c r="AC1557" s="8">
        <v>0</v>
      </c>
      <c r="AF1557" s="8">
        <v>0</v>
      </c>
      <c r="AN1557" s="8">
        <v>3</v>
      </c>
      <c r="AO1557" s="8">
        <v>0</v>
      </c>
    </row>
    <row r="1558" spans="1:41" x14ac:dyDescent="0.25">
      <c r="A1558" s="6" t="str">
        <f t="shared" ref="A1558:A1566" si="429">"522-2026000001"</f>
        <v>522-2026000001</v>
      </c>
      <c r="B1558" s="6" t="str">
        <f t="shared" si="425"/>
        <v>EL CORTE</v>
      </c>
      <c r="C1558" s="7">
        <v>46023</v>
      </c>
      <c r="D1558" s="7">
        <v>46028</v>
      </c>
      <c r="E1558" s="8">
        <v>1</v>
      </c>
      <c r="F1558" s="6" t="str">
        <f t="shared" ref="F1558:F1566" si="430">"33318801_07026"</f>
        <v>33318801_07026</v>
      </c>
      <c r="G1558" s="6" t="str">
        <f t="shared" si="427"/>
        <v>F310631650000000</v>
      </c>
      <c r="H1558" s="6" t="str">
        <f t="shared" si="428"/>
        <v>PLAR 6316 FD - 500 g</v>
      </c>
      <c r="I1558" s="6" t="str">
        <f>"201855"</f>
        <v>201855</v>
      </c>
      <c r="J1558" s="6" t="str">
        <f>"AZUL 1855"</f>
        <v>AZUL 1855</v>
      </c>
      <c r="K1558" s="6" t="str">
        <f>"1024"</f>
        <v>1024</v>
      </c>
      <c r="L1558" s="6" t="str">
        <f>"Toalhas"</f>
        <v>Toalhas</v>
      </c>
      <c r="M1558" s="6" t="str">
        <f>"50x100"</f>
        <v>50x100</v>
      </c>
      <c r="N1558" s="6" t="str">
        <f>"5602972281057"</f>
        <v>5602972281057</v>
      </c>
      <c r="O1558" s="8">
        <v>6</v>
      </c>
      <c r="R1558" s="8">
        <v>0</v>
      </c>
      <c r="U1558" s="8">
        <v>0</v>
      </c>
      <c r="X1558" s="8">
        <v>0</v>
      </c>
      <c r="Z1558" s="8">
        <v>0</v>
      </c>
      <c r="AC1558" s="8">
        <v>0</v>
      </c>
      <c r="AF1558" s="8">
        <v>0</v>
      </c>
      <c r="AN1558" s="8">
        <v>6</v>
      </c>
      <c r="AO1558" s="8">
        <v>0</v>
      </c>
    </row>
    <row r="1559" spans="1:41" x14ac:dyDescent="0.25">
      <c r="A1559" s="6" t="str">
        <f t="shared" si="429"/>
        <v>522-2026000001</v>
      </c>
      <c r="B1559" s="6" t="str">
        <f t="shared" si="425"/>
        <v>EL CORTE</v>
      </c>
      <c r="C1559" s="7">
        <v>46023</v>
      </c>
      <c r="D1559" s="7">
        <v>46028</v>
      </c>
      <c r="E1559" s="8">
        <v>2</v>
      </c>
      <c r="F1559" s="6" t="str">
        <f t="shared" si="430"/>
        <v>33318801_07026</v>
      </c>
      <c r="G1559" s="6" t="str">
        <f t="shared" si="427"/>
        <v>F310631650000000</v>
      </c>
      <c r="H1559" s="6" t="str">
        <f t="shared" si="428"/>
        <v>PLAR 6316 FD - 500 g</v>
      </c>
      <c r="I1559" s="6" t="str">
        <f>"202575"</f>
        <v>202575</v>
      </c>
      <c r="J1559" s="6" t="str">
        <f>"BEGE 2575"</f>
        <v>BEGE 2575</v>
      </c>
      <c r="K1559" s="6" t="str">
        <f>"0520"</f>
        <v>0520</v>
      </c>
      <c r="L1559" s="6" t="str">
        <f>"Toalhetes"</f>
        <v>Toalhetes</v>
      </c>
      <c r="M1559" s="6" t="str">
        <f>"30x50"</f>
        <v>30x50</v>
      </c>
      <c r="N1559" s="6" t="str">
        <f>"5602972281071"</f>
        <v>5602972281071</v>
      </c>
      <c r="O1559" s="8">
        <v>6</v>
      </c>
      <c r="R1559" s="8">
        <v>0</v>
      </c>
      <c r="U1559" s="8">
        <v>0</v>
      </c>
      <c r="X1559" s="8">
        <v>0</v>
      </c>
      <c r="Z1559" s="8">
        <v>0</v>
      </c>
      <c r="AC1559" s="8">
        <v>0</v>
      </c>
      <c r="AF1559" s="8">
        <v>0</v>
      </c>
      <c r="AN1559" s="8">
        <v>6</v>
      </c>
      <c r="AO1559" s="8">
        <v>0</v>
      </c>
    </row>
    <row r="1560" spans="1:41" x14ac:dyDescent="0.25">
      <c r="A1560" s="6" t="str">
        <f t="shared" si="429"/>
        <v>522-2026000001</v>
      </c>
      <c r="B1560" s="6" t="str">
        <f t="shared" si="425"/>
        <v>EL CORTE</v>
      </c>
      <c r="C1560" s="7">
        <v>46023</v>
      </c>
      <c r="D1560" s="7">
        <v>46028</v>
      </c>
      <c r="E1560" s="8">
        <v>3</v>
      </c>
      <c r="F1560" s="6" t="str">
        <f t="shared" si="430"/>
        <v>33318801_07026</v>
      </c>
      <c r="G1560" s="6" t="str">
        <f t="shared" si="427"/>
        <v>F310631650000000</v>
      </c>
      <c r="H1560" s="6" t="str">
        <f t="shared" si="428"/>
        <v>PLAR 6316 FD - 500 g</v>
      </c>
      <c r="I1560" s="6" t="str">
        <f>"202575"</f>
        <v>202575</v>
      </c>
      <c r="J1560" s="6" t="str">
        <f>"BEGE 2575"</f>
        <v>BEGE 2575</v>
      </c>
      <c r="K1560" s="6" t="str">
        <f>"1024"</f>
        <v>1024</v>
      </c>
      <c r="L1560" s="6" t="str">
        <f>"Toalhas"</f>
        <v>Toalhas</v>
      </c>
      <c r="M1560" s="6" t="str">
        <f>"50x100"</f>
        <v>50x100</v>
      </c>
      <c r="N1560" s="6" t="str">
        <f>"5602972281088"</f>
        <v>5602972281088</v>
      </c>
      <c r="O1560" s="8">
        <v>6</v>
      </c>
      <c r="R1560" s="8">
        <v>0</v>
      </c>
      <c r="U1560" s="8">
        <v>0</v>
      </c>
      <c r="X1560" s="8">
        <v>0</v>
      </c>
      <c r="Z1560" s="8">
        <v>0</v>
      </c>
      <c r="AC1560" s="8">
        <v>0</v>
      </c>
      <c r="AF1560" s="8">
        <v>0</v>
      </c>
      <c r="AN1560" s="8">
        <v>6</v>
      </c>
      <c r="AO1560" s="8">
        <v>0</v>
      </c>
    </row>
    <row r="1561" spans="1:41" x14ac:dyDescent="0.25">
      <c r="A1561" s="6" t="str">
        <f t="shared" si="429"/>
        <v>522-2026000001</v>
      </c>
      <c r="B1561" s="6" t="str">
        <f t="shared" si="425"/>
        <v>EL CORTE</v>
      </c>
      <c r="C1561" s="7">
        <v>46023</v>
      </c>
      <c r="D1561" s="7">
        <v>46028</v>
      </c>
      <c r="E1561" s="8">
        <v>4</v>
      </c>
      <c r="F1561" s="6" t="str">
        <f t="shared" si="430"/>
        <v>33318801_07026</v>
      </c>
      <c r="G1561" s="6" t="str">
        <f t="shared" si="427"/>
        <v>F310631650000000</v>
      </c>
      <c r="H1561" s="6" t="str">
        <f t="shared" si="428"/>
        <v>PLAR 6316 FD - 500 g</v>
      </c>
      <c r="I1561" s="6" t="str">
        <f>"202575"</f>
        <v>202575</v>
      </c>
      <c r="J1561" s="6" t="str">
        <f>"BEGE 2575"</f>
        <v>BEGE 2575</v>
      </c>
      <c r="K1561" s="6" t="str">
        <f>"2020"</f>
        <v>2020</v>
      </c>
      <c r="L1561" s="6" t="str">
        <f>"Lençóis"</f>
        <v>Lençóis</v>
      </c>
      <c r="M1561" s="6" t="str">
        <f>"100x150"</f>
        <v>100x150</v>
      </c>
      <c r="N1561" s="6" t="str">
        <f>"5602972281095"</f>
        <v>5602972281095</v>
      </c>
      <c r="O1561" s="8">
        <v>6</v>
      </c>
      <c r="R1561" s="8">
        <v>0</v>
      </c>
      <c r="U1561" s="8">
        <v>0</v>
      </c>
      <c r="X1561" s="8">
        <v>0</v>
      </c>
      <c r="Z1561" s="8">
        <v>0</v>
      </c>
      <c r="AC1561" s="8">
        <v>0</v>
      </c>
      <c r="AF1561" s="8">
        <v>0</v>
      </c>
      <c r="AN1561" s="8">
        <v>6</v>
      </c>
      <c r="AO1561" s="8">
        <v>0</v>
      </c>
    </row>
    <row r="1562" spans="1:41" x14ac:dyDescent="0.25">
      <c r="A1562" s="6" t="str">
        <f t="shared" si="429"/>
        <v>522-2026000001</v>
      </c>
      <c r="B1562" s="6" t="str">
        <f t="shared" si="425"/>
        <v>EL CORTE</v>
      </c>
      <c r="C1562" s="7">
        <v>46023</v>
      </c>
      <c r="D1562" s="7">
        <v>46028</v>
      </c>
      <c r="E1562" s="8">
        <v>5</v>
      </c>
      <c r="F1562" s="6" t="str">
        <f t="shared" si="430"/>
        <v>33318801_07026</v>
      </c>
      <c r="G1562" s="6" t="str">
        <f t="shared" si="427"/>
        <v>F310631650000000</v>
      </c>
      <c r="H1562" s="6" t="str">
        <f t="shared" si="428"/>
        <v>PLAR 6316 FD - 500 g</v>
      </c>
      <c r="I1562" s="6" t="str">
        <f>"200901"</f>
        <v>200901</v>
      </c>
      <c r="J1562" s="6" t="str">
        <f>"ROSA 901"</f>
        <v>ROSA 901</v>
      </c>
      <c r="K1562" s="6" t="str">
        <f>"0520"</f>
        <v>0520</v>
      </c>
      <c r="L1562" s="6" t="str">
        <f>"Toalhetes"</f>
        <v>Toalhetes</v>
      </c>
      <c r="M1562" s="6" t="str">
        <f>"30x50"</f>
        <v>30x50</v>
      </c>
      <c r="N1562" s="6" t="str">
        <f>"5602972281101"</f>
        <v>5602972281101</v>
      </c>
      <c r="O1562" s="8">
        <v>6</v>
      </c>
      <c r="R1562" s="8">
        <v>0</v>
      </c>
      <c r="U1562" s="8">
        <v>0</v>
      </c>
      <c r="X1562" s="8">
        <v>0</v>
      </c>
      <c r="Z1562" s="8">
        <v>0</v>
      </c>
      <c r="AC1562" s="8">
        <v>0</v>
      </c>
      <c r="AF1562" s="8">
        <v>0</v>
      </c>
      <c r="AN1562" s="8">
        <v>6</v>
      </c>
      <c r="AO1562" s="8">
        <v>0</v>
      </c>
    </row>
    <row r="1563" spans="1:41" x14ac:dyDescent="0.25">
      <c r="A1563" s="6" t="str">
        <f t="shared" si="429"/>
        <v>522-2026000001</v>
      </c>
      <c r="B1563" s="6" t="str">
        <f t="shared" si="425"/>
        <v>EL CORTE</v>
      </c>
      <c r="C1563" s="7">
        <v>46023</v>
      </c>
      <c r="D1563" s="7">
        <v>46028</v>
      </c>
      <c r="E1563" s="8">
        <v>6</v>
      </c>
      <c r="F1563" s="6" t="str">
        <f t="shared" si="430"/>
        <v>33318801_07026</v>
      </c>
      <c r="G1563" s="6" t="str">
        <f t="shared" si="427"/>
        <v>F310631650000000</v>
      </c>
      <c r="H1563" s="6" t="str">
        <f t="shared" si="428"/>
        <v>PLAR 6316 FD - 500 g</v>
      </c>
      <c r="I1563" s="6" t="str">
        <f>"200901"</f>
        <v>200901</v>
      </c>
      <c r="J1563" s="6" t="str">
        <f>"ROSA 901"</f>
        <v>ROSA 901</v>
      </c>
      <c r="K1563" s="6" t="str">
        <f>"1024"</f>
        <v>1024</v>
      </c>
      <c r="L1563" s="6" t="str">
        <f>"Toalhas"</f>
        <v>Toalhas</v>
      </c>
      <c r="M1563" s="6" t="str">
        <f>"50x100"</f>
        <v>50x100</v>
      </c>
      <c r="N1563" s="6" t="str">
        <f>"5602972281118"</f>
        <v>5602972281118</v>
      </c>
      <c r="O1563" s="8">
        <v>6</v>
      </c>
      <c r="R1563" s="8">
        <v>0</v>
      </c>
      <c r="U1563" s="8">
        <v>0</v>
      </c>
      <c r="X1563" s="8">
        <v>0</v>
      </c>
      <c r="Z1563" s="8">
        <v>0</v>
      </c>
      <c r="AC1563" s="8">
        <v>0</v>
      </c>
      <c r="AF1563" s="8">
        <v>0</v>
      </c>
      <c r="AN1563" s="8">
        <v>6</v>
      </c>
      <c r="AO1563" s="8">
        <v>0</v>
      </c>
    </row>
    <row r="1564" spans="1:41" x14ac:dyDescent="0.25">
      <c r="A1564" s="6" t="str">
        <f t="shared" si="429"/>
        <v>522-2026000001</v>
      </c>
      <c r="B1564" s="6" t="str">
        <f t="shared" si="425"/>
        <v>EL CORTE</v>
      </c>
      <c r="C1564" s="7">
        <v>46023</v>
      </c>
      <c r="D1564" s="7">
        <v>46028</v>
      </c>
      <c r="E1564" s="8">
        <v>7</v>
      </c>
      <c r="F1564" s="6" t="str">
        <f t="shared" si="430"/>
        <v>33318801_07026</v>
      </c>
      <c r="G1564" s="6" t="str">
        <f t="shared" si="427"/>
        <v>F310631650000000</v>
      </c>
      <c r="H1564" s="6" t="str">
        <f t="shared" si="428"/>
        <v>PLAR 6316 FD - 500 g</v>
      </c>
      <c r="I1564" s="6" t="str">
        <f>"200901"</f>
        <v>200901</v>
      </c>
      <c r="J1564" s="6" t="str">
        <f>"ROSA 901"</f>
        <v>ROSA 901</v>
      </c>
      <c r="K1564" s="6" t="str">
        <f>"2020"</f>
        <v>2020</v>
      </c>
      <c r="L1564" s="6" t="str">
        <f>"Lençóis"</f>
        <v>Lençóis</v>
      </c>
      <c r="M1564" s="6" t="str">
        <f>"100x150"</f>
        <v>100x150</v>
      </c>
      <c r="N1564" s="6" t="str">
        <f>"5602972281125"</f>
        <v>5602972281125</v>
      </c>
      <c r="O1564" s="8">
        <v>3</v>
      </c>
      <c r="R1564" s="8">
        <v>0</v>
      </c>
      <c r="U1564" s="8">
        <v>0</v>
      </c>
      <c r="X1564" s="8">
        <v>0</v>
      </c>
      <c r="Z1564" s="8">
        <v>0</v>
      </c>
      <c r="AC1564" s="8">
        <v>0</v>
      </c>
      <c r="AF1564" s="8">
        <v>0</v>
      </c>
      <c r="AN1564" s="8">
        <v>3</v>
      </c>
      <c r="AO1564" s="8">
        <v>0</v>
      </c>
    </row>
    <row r="1565" spans="1:41" x14ac:dyDescent="0.25">
      <c r="A1565" s="6" t="str">
        <f t="shared" si="429"/>
        <v>522-2026000001</v>
      </c>
      <c r="B1565" s="6" t="str">
        <f t="shared" si="425"/>
        <v>EL CORTE</v>
      </c>
      <c r="C1565" s="7">
        <v>46023</v>
      </c>
      <c r="D1565" s="7">
        <v>46028</v>
      </c>
      <c r="E1565" s="8">
        <v>8</v>
      </c>
      <c r="F1565" s="6" t="str">
        <f t="shared" si="430"/>
        <v>33318801_07026</v>
      </c>
      <c r="G1565" s="6" t="str">
        <f t="shared" si="427"/>
        <v>F310631650000000</v>
      </c>
      <c r="H1565" s="6" t="str">
        <f t="shared" si="428"/>
        <v>PLAR 6316 FD - 500 g</v>
      </c>
      <c r="I1565" s="6" t="str">
        <f>"200510"</f>
        <v>200510</v>
      </c>
      <c r="J1565" s="6" t="str">
        <f>"VERDE 510"</f>
        <v>VERDE 510</v>
      </c>
      <c r="K1565" s="6" t="str">
        <f>"0520"</f>
        <v>0520</v>
      </c>
      <c r="L1565" s="6" t="str">
        <f>"Toalhetes"</f>
        <v>Toalhetes</v>
      </c>
      <c r="M1565" s="6" t="str">
        <f>"30x50"</f>
        <v>30x50</v>
      </c>
      <c r="N1565" s="6" t="str">
        <f>"5602972281132"</f>
        <v>5602972281132</v>
      </c>
      <c r="O1565" s="8">
        <v>6</v>
      </c>
      <c r="R1565" s="8">
        <v>0</v>
      </c>
      <c r="U1565" s="8">
        <v>0</v>
      </c>
      <c r="X1565" s="8">
        <v>0</v>
      </c>
      <c r="Z1565" s="8">
        <v>0</v>
      </c>
      <c r="AC1565" s="8">
        <v>0</v>
      </c>
      <c r="AF1565" s="8">
        <v>0</v>
      </c>
      <c r="AN1565" s="8">
        <v>6</v>
      </c>
      <c r="AO1565" s="8">
        <v>0</v>
      </c>
    </row>
    <row r="1566" spans="1:41" x14ac:dyDescent="0.25">
      <c r="A1566" s="6" t="str">
        <f t="shared" si="429"/>
        <v>522-2026000001</v>
      </c>
      <c r="B1566" s="6" t="str">
        <f t="shared" si="425"/>
        <v>EL CORTE</v>
      </c>
      <c r="C1566" s="7">
        <v>46023</v>
      </c>
      <c r="D1566" s="7">
        <v>46028</v>
      </c>
      <c r="E1566" s="8">
        <v>9</v>
      </c>
      <c r="F1566" s="6" t="str">
        <f t="shared" si="430"/>
        <v>33318801_07026</v>
      </c>
      <c r="G1566" s="6" t="str">
        <f t="shared" si="427"/>
        <v>F310631650000000</v>
      </c>
      <c r="H1566" s="6" t="str">
        <f t="shared" si="428"/>
        <v>PLAR 6316 FD - 500 g</v>
      </c>
      <c r="I1566" s="6" t="str">
        <f>"200510"</f>
        <v>200510</v>
      </c>
      <c r="J1566" s="6" t="str">
        <f>"VERDE 510"</f>
        <v>VERDE 510</v>
      </c>
      <c r="K1566" s="6" t="str">
        <f>"1024"</f>
        <v>1024</v>
      </c>
      <c r="L1566" s="6" t="str">
        <f>"Toalhas"</f>
        <v>Toalhas</v>
      </c>
      <c r="M1566" s="6" t="str">
        <f>"50x100"</f>
        <v>50x100</v>
      </c>
      <c r="N1566" s="6" t="str">
        <f>"5602972281149"</f>
        <v>5602972281149</v>
      </c>
      <c r="O1566" s="8">
        <v>6</v>
      </c>
      <c r="R1566" s="8">
        <v>0</v>
      </c>
      <c r="U1566" s="8">
        <v>0</v>
      </c>
      <c r="X1566" s="8">
        <v>0</v>
      </c>
      <c r="Z1566" s="8">
        <v>0</v>
      </c>
      <c r="AC1566" s="8">
        <v>0</v>
      </c>
      <c r="AF1566" s="8">
        <v>0</v>
      </c>
      <c r="AN1566" s="8">
        <v>6</v>
      </c>
      <c r="AO1566" s="8">
        <v>0</v>
      </c>
    </row>
    <row r="1567" spans="1:41" x14ac:dyDescent="0.25">
      <c r="A1567" s="6" t="str">
        <f t="shared" ref="A1567:A1578" si="431">"522-2026000002"</f>
        <v>522-2026000002</v>
      </c>
      <c r="B1567" s="6" t="str">
        <f t="shared" si="425"/>
        <v>EL CORTE</v>
      </c>
      <c r="C1567" s="7">
        <v>46023</v>
      </c>
      <c r="D1567" s="7">
        <v>46028</v>
      </c>
      <c r="E1567" s="8">
        <v>1</v>
      </c>
      <c r="F1567" s="6" t="str">
        <f t="shared" ref="F1567:F1578" si="432">"33318701_07026"</f>
        <v>33318701_07026</v>
      </c>
      <c r="G1567" s="6" t="str">
        <f t="shared" si="427"/>
        <v>F310631650000000</v>
      </c>
      <c r="H1567" s="6" t="str">
        <f t="shared" si="428"/>
        <v>PLAR 6316 FD - 500 g</v>
      </c>
      <c r="I1567" s="6" t="str">
        <f>"201855"</f>
        <v>201855</v>
      </c>
      <c r="J1567" s="6" t="str">
        <f>"AZUL 1855"</f>
        <v>AZUL 1855</v>
      </c>
      <c r="K1567" s="6" t="str">
        <f>"0520"</f>
        <v>0520</v>
      </c>
      <c r="L1567" s="6" t="str">
        <f>"Toalhetes"</f>
        <v>Toalhetes</v>
      </c>
      <c r="M1567" s="6" t="str">
        <f>"30x50"</f>
        <v>30x50</v>
      </c>
      <c r="N1567" s="6" t="str">
        <f>"5602972281040"</f>
        <v>5602972281040</v>
      </c>
      <c r="O1567" s="8">
        <v>6</v>
      </c>
      <c r="R1567" s="8">
        <v>0</v>
      </c>
      <c r="U1567" s="8">
        <v>0</v>
      </c>
      <c r="X1567" s="8">
        <v>0</v>
      </c>
      <c r="Z1567" s="8">
        <v>0</v>
      </c>
      <c r="AC1567" s="8">
        <v>0</v>
      </c>
      <c r="AF1567" s="8">
        <v>0</v>
      </c>
      <c r="AN1567" s="8">
        <v>6</v>
      </c>
      <c r="AO1567" s="8">
        <v>0</v>
      </c>
    </row>
    <row r="1568" spans="1:41" x14ac:dyDescent="0.25">
      <c r="A1568" s="6" t="str">
        <f t="shared" si="431"/>
        <v>522-2026000002</v>
      </c>
      <c r="B1568" s="6" t="str">
        <f t="shared" si="425"/>
        <v>EL CORTE</v>
      </c>
      <c r="C1568" s="7">
        <v>46023</v>
      </c>
      <c r="D1568" s="7">
        <v>46028</v>
      </c>
      <c r="E1568" s="8">
        <v>2</v>
      </c>
      <c r="F1568" s="6" t="str">
        <f t="shared" si="432"/>
        <v>33318701_07026</v>
      </c>
      <c r="G1568" s="6" t="str">
        <f t="shared" si="427"/>
        <v>F310631650000000</v>
      </c>
      <c r="H1568" s="6" t="str">
        <f t="shared" si="428"/>
        <v>PLAR 6316 FD - 500 g</v>
      </c>
      <c r="I1568" s="6" t="str">
        <f>"201855"</f>
        <v>201855</v>
      </c>
      <c r="J1568" s="6" t="str">
        <f>"AZUL 1855"</f>
        <v>AZUL 1855</v>
      </c>
      <c r="K1568" s="6" t="str">
        <f>"1024"</f>
        <v>1024</v>
      </c>
      <c r="L1568" s="6" t="str">
        <f>"Toalhas"</f>
        <v>Toalhas</v>
      </c>
      <c r="M1568" s="6" t="str">
        <f>"50x100"</f>
        <v>50x100</v>
      </c>
      <c r="N1568" s="6" t="str">
        <f>"5602972281057"</f>
        <v>5602972281057</v>
      </c>
      <c r="O1568" s="8">
        <v>12</v>
      </c>
      <c r="R1568" s="8">
        <v>0</v>
      </c>
      <c r="U1568" s="8">
        <v>0</v>
      </c>
      <c r="X1568" s="8">
        <v>0</v>
      </c>
      <c r="Z1568" s="8">
        <v>0</v>
      </c>
      <c r="AC1568" s="8">
        <v>0</v>
      </c>
      <c r="AF1568" s="8">
        <v>0</v>
      </c>
      <c r="AN1568" s="8">
        <v>12</v>
      </c>
      <c r="AO1568" s="8">
        <v>0</v>
      </c>
    </row>
    <row r="1569" spans="1:41" x14ac:dyDescent="0.25">
      <c r="A1569" s="6" t="str">
        <f t="shared" si="431"/>
        <v>522-2026000002</v>
      </c>
      <c r="B1569" s="6" t="str">
        <f t="shared" si="425"/>
        <v>EL CORTE</v>
      </c>
      <c r="C1569" s="7">
        <v>46023</v>
      </c>
      <c r="D1569" s="7">
        <v>46028</v>
      </c>
      <c r="E1569" s="8">
        <v>3</v>
      </c>
      <c r="F1569" s="6" t="str">
        <f t="shared" si="432"/>
        <v>33318701_07026</v>
      </c>
      <c r="G1569" s="6" t="str">
        <f t="shared" si="427"/>
        <v>F310631650000000</v>
      </c>
      <c r="H1569" s="6" t="str">
        <f t="shared" si="428"/>
        <v>PLAR 6316 FD - 500 g</v>
      </c>
      <c r="I1569" s="6" t="str">
        <f>"201855"</f>
        <v>201855</v>
      </c>
      <c r="J1569" s="6" t="str">
        <f>"AZUL 1855"</f>
        <v>AZUL 1855</v>
      </c>
      <c r="K1569" s="6" t="str">
        <f>"2020"</f>
        <v>2020</v>
      </c>
      <c r="L1569" s="6" t="str">
        <f>"Lençóis"</f>
        <v>Lençóis</v>
      </c>
      <c r="M1569" s="6" t="str">
        <f>"100x150"</f>
        <v>100x150</v>
      </c>
      <c r="N1569" s="6" t="str">
        <f>"5602972281064"</f>
        <v>5602972281064</v>
      </c>
      <c r="O1569" s="8">
        <v>12</v>
      </c>
      <c r="R1569" s="8">
        <v>0</v>
      </c>
      <c r="U1569" s="8">
        <v>0</v>
      </c>
      <c r="X1569" s="8">
        <v>0</v>
      </c>
      <c r="Z1569" s="8">
        <v>0</v>
      </c>
      <c r="AC1569" s="8">
        <v>0</v>
      </c>
      <c r="AF1569" s="8">
        <v>0</v>
      </c>
      <c r="AN1569" s="8">
        <v>0</v>
      </c>
      <c r="AO1569" s="8">
        <v>12</v>
      </c>
    </row>
    <row r="1570" spans="1:41" x14ac:dyDescent="0.25">
      <c r="A1570" s="6" t="str">
        <f t="shared" si="431"/>
        <v>522-2026000002</v>
      </c>
      <c r="B1570" s="6" t="str">
        <f t="shared" si="425"/>
        <v>EL CORTE</v>
      </c>
      <c r="C1570" s="7">
        <v>46023</v>
      </c>
      <c r="D1570" s="7">
        <v>46028</v>
      </c>
      <c r="E1570" s="8">
        <v>4</v>
      </c>
      <c r="F1570" s="6" t="str">
        <f t="shared" si="432"/>
        <v>33318701_07026</v>
      </c>
      <c r="G1570" s="6" t="str">
        <f t="shared" si="427"/>
        <v>F310631650000000</v>
      </c>
      <c r="H1570" s="6" t="str">
        <f t="shared" si="428"/>
        <v>PLAR 6316 FD - 500 g</v>
      </c>
      <c r="I1570" s="6" t="str">
        <f>"202575"</f>
        <v>202575</v>
      </c>
      <c r="J1570" s="6" t="str">
        <f>"BEGE 2575"</f>
        <v>BEGE 2575</v>
      </c>
      <c r="K1570" s="6" t="str">
        <f>"0520"</f>
        <v>0520</v>
      </c>
      <c r="L1570" s="6" t="str">
        <f>"Toalhetes"</f>
        <v>Toalhetes</v>
      </c>
      <c r="M1570" s="6" t="str">
        <f>"30x50"</f>
        <v>30x50</v>
      </c>
      <c r="N1570" s="6" t="str">
        <f>"5602972281071"</f>
        <v>5602972281071</v>
      </c>
      <c r="O1570" s="8">
        <v>12</v>
      </c>
      <c r="R1570" s="8">
        <v>0</v>
      </c>
      <c r="U1570" s="8">
        <v>0</v>
      </c>
      <c r="X1570" s="8">
        <v>0</v>
      </c>
      <c r="Z1570" s="8">
        <v>0</v>
      </c>
      <c r="AC1570" s="8">
        <v>0</v>
      </c>
      <c r="AF1570" s="8">
        <v>0</v>
      </c>
      <c r="AN1570" s="8">
        <v>12</v>
      </c>
      <c r="AO1570" s="8">
        <v>0</v>
      </c>
    </row>
    <row r="1571" spans="1:41" x14ac:dyDescent="0.25">
      <c r="A1571" s="6" t="str">
        <f t="shared" si="431"/>
        <v>522-2026000002</v>
      </c>
      <c r="B1571" s="6" t="str">
        <f t="shared" si="425"/>
        <v>EL CORTE</v>
      </c>
      <c r="C1571" s="7">
        <v>46023</v>
      </c>
      <c r="D1571" s="7">
        <v>46028</v>
      </c>
      <c r="E1571" s="8">
        <v>5</v>
      </c>
      <c r="F1571" s="6" t="str">
        <f t="shared" si="432"/>
        <v>33318701_07026</v>
      </c>
      <c r="G1571" s="6" t="str">
        <f t="shared" si="427"/>
        <v>F310631650000000</v>
      </c>
      <c r="H1571" s="6" t="str">
        <f t="shared" si="428"/>
        <v>PLAR 6316 FD - 500 g</v>
      </c>
      <c r="I1571" s="6" t="str">
        <f>"202575"</f>
        <v>202575</v>
      </c>
      <c r="J1571" s="6" t="str">
        <f>"BEGE 2575"</f>
        <v>BEGE 2575</v>
      </c>
      <c r="K1571" s="6" t="str">
        <f>"1024"</f>
        <v>1024</v>
      </c>
      <c r="L1571" s="6" t="str">
        <f>"Toalhas"</f>
        <v>Toalhas</v>
      </c>
      <c r="M1571" s="6" t="str">
        <f>"50x100"</f>
        <v>50x100</v>
      </c>
      <c r="N1571" s="6" t="str">
        <f>"5602972281088"</f>
        <v>5602972281088</v>
      </c>
      <c r="O1571" s="8">
        <v>6</v>
      </c>
      <c r="R1571" s="8">
        <v>0</v>
      </c>
      <c r="U1571" s="8">
        <v>0</v>
      </c>
      <c r="X1571" s="8">
        <v>0</v>
      </c>
      <c r="Z1571" s="8">
        <v>0</v>
      </c>
      <c r="AC1571" s="8">
        <v>0</v>
      </c>
      <c r="AF1571" s="8">
        <v>0</v>
      </c>
      <c r="AN1571" s="8">
        <v>6</v>
      </c>
      <c r="AO1571" s="8">
        <v>0</v>
      </c>
    </row>
    <row r="1572" spans="1:41" x14ac:dyDescent="0.25">
      <c r="A1572" s="6" t="str">
        <f t="shared" si="431"/>
        <v>522-2026000002</v>
      </c>
      <c r="B1572" s="6" t="str">
        <f t="shared" si="425"/>
        <v>EL CORTE</v>
      </c>
      <c r="C1572" s="7">
        <v>46023</v>
      </c>
      <c r="D1572" s="7">
        <v>46028</v>
      </c>
      <c r="E1572" s="8">
        <v>6</v>
      </c>
      <c r="F1572" s="6" t="str">
        <f t="shared" si="432"/>
        <v>33318701_07026</v>
      </c>
      <c r="G1572" s="6" t="str">
        <f t="shared" si="427"/>
        <v>F310631650000000</v>
      </c>
      <c r="H1572" s="6" t="str">
        <f t="shared" si="428"/>
        <v>PLAR 6316 FD - 500 g</v>
      </c>
      <c r="I1572" s="6" t="str">
        <f>"202575"</f>
        <v>202575</v>
      </c>
      <c r="J1572" s="6" t="str">
        <f>"BEGE 2575"</f>
        <v>BEGE 2575</v>
      </c>
      <c r="K1572" s="6" t="str">
        <f>"2020"</f>
        <v>2020</v>
      </c>
      <c r="L1572" s="6" t="str">
        <f>"Lençóis"</f>
        <v>Lençóis</v>
      </c>
      <c r="M1572" s="6" t="str">
        <f>"100x150"</f>
        <v>100x150</v>
      </c>
      <c r="N1572" s="6" t="str">
        <f>"5602972281095"</f>
        <v>5602972281095</v>
      </c>
      <c r="O1572" s="8">
        <v>6</v>
      </c>
      <c r="R1572" s="8">
        <v>0</v>
      </c>
      <c r="U1572" s="8">
        <v>0</v>
      </c>
      <c r="X1572" s="8">
        <v>0</v>
      </c>
      <c r="Z1572" s="8">
        <v>0</v>
      </c>
      <c r="AC1572" s="8">
        <v>0</v>
      </c>
      <c r="AF1572" s="8">
        <v>0</v>
      </c>
      <c r="AN1572" s="8">
        <v>6</v>
      </c>
      <c r="AO1572" s="8">
        <v>0</v>
      </c>
    </row>
    <row r="1573" spans="1:41" x14ac:dyDescent="0.25">
      <c r="A1573" s="6" t="str">
        <f t="shared" si="431"/>
        <v>522-2026000002</v>
      </c>
      <c r="B1573" s="6" t="str">
        <f t="shared" si="425"/>
        <v>EL CORTE</v>
      </c>
      <c r="C1573" s="7">
        <v>46023</v>
      </c>
      <c r="D1573" s="7">
        <v>46028</v>
      </c>
      <c r="E1573" s="8">
        <v>7</v>
      </c>
      <c r="F1573" s="6" t="str">
        <f t="shared" si="432"/>
        <v>33318701_07026</v>
      </c>
      <c r="G1573" s="6" t="str">
        <f t="shared" si="427"/>
        <v>F310631650000000</v>
      </c>
      <c r="H1573" s="6" t="str">
        <f t="shared" si="428"/>
        <v>PLAR 6316 FD - 500 g</v>
      </c>
      <c r="I1573" s="6" t="str">
        <f>"200901"</f>
        <v>200901</v>
      </c>
      <c r="J1573" s="6" t="str">
        <f>"ROSA 901"</f>
        <v>ROSA 901</v>
      </c>
      <c r="K1573" s="6" t="str">
        <f>"0520"</f>
        <v>0520</v>
      </c>
      <c r="L1573" s="6" t="str">
        <f>"Toalhetes"</f>
        <v>Toalhetes</v>
      </c>
      <c r="M1573" s="6" t="str">
        <f>"30x50"</f>
        <v>30x50</v>
      </c>
      <c r="N1573" s="6" t="str">
        <f>"5602972281101"</f>
        <v>5602972281101</v>
      </c>
      <c r="O1573" s="8">
        <v>6</v>
      </c>
      <c r="R1573" s="8">
        <v>0</v>
      </c>
      <c r="U1573" s="8">
        <v>0</v>
      </c>
      <c r="X1573" s="8">
        <v>0</v>
      </c>
      <c r="Z1573" s="8">
        <v>0</v>
      </c>
      <c r="AC1573" s="8">
        <v>0</v>
      </c>
      <c r="AF1573" s="8">
        <v>0</v>
      </c>
      <c r="AN1573" s="8">
        <v>6</v>
      </c>
      <c r="AO1573" s="8">
        <v>0</v>
      </c>
    </row>
    <row r="1574" spans="1:41" x14ac:dyDescent="0.25">
      <c r="A1574" s="6" t="str">
        <f t="shared" si="431"/>
        <v>522-2026000002</v>
      </c>
      <c r="B1574" s="6" t="str">
        <f t="shared" si="425"/>
        <v>EL CORTE</v>
      </c>
      <c r="C1574" s="7">
        <v>46023</v>
      </c>
      <c r="D1574" s="7">
        <v>46028</v>
      </c>
      <c r="E1574" s="8">
        <v>8</v>
      </c>
      <c r="F1574" s="6" t="str">
        <f t="shared" si="432"/>
        <v>33318701_07026</v>
      </c>
      <c r="G1574" s="6" t="str">
        <f t="shared" si="427"/>
        <v>F310631650000000</v>
      </c>
      <c r="H1574" s="6" t="str">
        <f t="shared" si="428"/>
        <v>PLAR 6316 FD - 500 g</v>
      </c>
      <c r="I1574" s="6" t="str">
        <f>"200901"</f>
        <v>200901</v>
      </c>
      <c r="J1574" s="6" t="str">
        <f>"ROSA 901"</f>
        <v>ROSA 901</v>
      </c>
      <c r="K1574" s="6" t="str">
        <f>"1024"</f>
        <v>1024</v>
      </c>
      <c r="L1574" s="6" t="str">
        <f>"Toalhas"</f>
        <v>Toalhas</v>
      </c>
      <c r="M1574" s="6" t="str">
        <f>"50x100"</f>
        <v>50x100</v>
      </c>
      <c r="N1574" s="6" t="str">
        <f>"5602972281118"</f>
        <v>5602972281118</v>
      </c>
      <c r="O1574" s="8">
        <v>12</v>
      </c>
      <c r="R1574" s="8">
        <v>0</v>
      </c>
      <c r="U1574" s="8">
        <v>0</v>
      </c>
      <c r="X1574" s="8">
        <v>0</v>
      </c>
      <c r="Z1574" s="8">
        <v>0</v>
      </c>
      <c r="AC1574" s="8">
        <v>0</v>
      </c>
      <c r="AF1574" s="8">
        <v>0</v>
      </c>
      <c r="AN1574" s="8">
        <v>12</v>
      </c>
      <c r="AO1574" s="8">
        <v>0</v>
      </c>
    </row>
    <row r="1575" spans="1:41" x14ac:dyDescent="0.25">
      <c r="A1575" s="6" t="str">
        <f t="shared" si="431"/>
        <v>522-2026000002</v>
      </c>
      <c r="B1575" s="6" t="str">
        <f t="shared" si="425"/>
        <v>EL CORTE</v>
      </c>
      <c r="C1575" s="7">
        <v>46023</v>
      </c>
      <c r="D1575" s="7">
        <v>46028</v>
      </c>
      <c r="E1575" s="8">
        <v>9</v>
      </c>
      <c r="F1575" s="6" t="str">
        <f t="shared" si="432"/>
        <v>33318701_07026</v>
      </c>
      <c r="G1575" s="6" t="str">
        <f t="shared" si="427"/>
        <v>F310631650000000</v>
      </c>
      <c r="H1575" s="6" t="str">
        <f t="shared" si="428"/>
        <v>PLAR 6316 FD - 500 g</v>
      </c>
      <c r="I1575" s="6" t="str">
        <f>"200901"</f>
        <v>200901</v>
      </c>
      <c r="J1575" s="6" t="str">
        <f>"ROSA 901"</f>
        <v>ROSA 901</v>
      </c>
      <c r="K1575" s="6" t="str">
        <f>"2020"</f>
        <v>2020</v>
      </c>
      <c r="L1575" s="6" t="str">
        <f>"Lençóis"</f>
        <v>Lençóis</v>
      </c>
      <c r="M1575" s="6" t="str">
        <f>"100x150"</f>
        <v>100x150</v>
      </c>
      <c r="N1575" s="6" t="str">
        <f>"5602972281125"</f>
        <v>5602972281125</v>
      </c>
      <c r="O1575" s="8">
        <v>15</v>
      </c>
      <c r="R1575" s="8">
        <v>0</v>
      </c>
      <c r="U1575" s="8">
        <v>0</v>
      </c>
      <c r="X1575" s="8">
        <v>0</v>
      </c>
      <c r="Z1575" s="8">
        <v>0</v>
      </c>
      <c r="AC1575" s="8">
        <v>0</v>
      </c>
      <c r="AF1575" s="8">
        <v>0</v>
      </c>
      <c r="AN1575" s="8">
        <v>15</v>
      </c>
      <c r="AO1575" s="8">
        <v>0</v>
      </c>
    </row>
    <row r="1576" spans="1:41" x14ac:dyDescent="0.25">
      <c r="A1576" s="6" t="str">
        <f t="shared" si="431"/>
        <v>522-2026000002</v>
      </c>
      <c r="B1576" s="6" t="str">
        <f t="shared" si="425"/>
        <v>EL CORTE</v>
      </c>
      <c r="C1576" s="7">
        <v>46023</v>
      </c>
      <c r="D1576" s="7">
        <v>46028</v>
      </c>
      <c r="E1576" s="8">
        <v>10</v>
      </c>
      <c r="F1576" s="6" t="str">
        <f t="shared" si="432"/>
        <v>33318701_07026</v>
      </c>
      <c r="G1576" s="6" t="str">
        <f t="shared" si="427"/>
        <v>F310631650000000</v>
      </c>
      <c r="H1576" s="6" t="str">
        <f t="shared" si="428"/>
        <v>PLAR 6316 FD - 500 g</v>
      </c>
      <c r="I1576" s="6" t="str">
        <f>"200510"</f>
        <v>200510</v>
      </c>
      <c r="J1576" s="6" t="str">
        <f>"VERDE 510"</f>
        <v>VERDE 510</v>
      </c>
      <c r="K1576" s="6" t="str">
        <f>"0520"</f>
        <v>0520</v>
      </c>
      <c r="L1576" s="6" t="str">
        <f>"Toalhetes"</f>
        <v>Toalhetes</v>
      </c>
      <c r="M1576" s="6" t="str">
        <f>"30x50"</f>
        <v>30x50</v>
      </c>
      <c r="N1576" s="6" t="str">
        <f>"5602972281132"</f>
        <v>5602972281132</v>
      </c>
      <c r="O1576" s="8">
        <v>6</v>
      </c>
      <c r="R1576" s="8">
        <v>0</v>
      </c>
      <c r="U1576" s="8">
        <v>0</v>
      </c>
      <c r="X1576" s="8">
        <v>0</v>
      </c>
      <c r="Z1576" s="8">
        <v>0</v>
      </c>
      <c r="AC1576" s="8">
        <v>0</v>
      </c>
      <c r="AF1576" s="8">
        <v>0</v>
      </c>
      <c r="AN1576" s="8">
        <v>6</v>
      </c>
      <c r="AO1576" s="8">
        <v>0</v>
      </c>
    </row>
    <row r="1577" spans="1:41" x14ac:dyDescent="0.25">
      <c r="A1577" s="6" t="str">
        <f t="shared" si="431"/>
        <v>522-2026000002</v>
      </c>
      <c r="B1577" s="6" t="str">
        <f t="shared" si="425"/>
        <v>EL CORTE</v>
      </c>
      <c r="C1577" s="7">
        <v>46023</v>
      </c>
      <c r="D1577" s="7">
        <v>46028</v>
      </c>
      <c r="E1577" s="8">
        <v>11</v>
      </c>
      <c r="F1577" s="6" t="str">
        <f t="shared" si="432"/>
        <v>33318701_07026</v>
      </c>
      <c r="G1577" s="6" t="str">
        <f t="shared" si="427"/>
        <v>F310631650000000</v>
      </c>
      <c r="H1577" s="6" t="str">
        <f t="shared" si="428"/>
        <v>PLAR 6316 FD - 500 g</v>
      </c>
      <c r="I1577" s="6" t="str">
        <f>"200510"</f>
        <v>200510</v>
      </c>
      <c r="J1577" s="6" t="str">
        <f>"VERDE 510"</f>
        <v>VERDE 510</v>
      </c>
      <c r="K1577" s="6" t="str">
        <f>"1024"</f>
        <v>1024</v>
      </c>
      <c r="L1577" s="6" t="str">
        <f>"Toalhas"</f>
        <v>Toalhas</v>
      </c>
      <c r="M1577" s="6" t="str">
        <f>"50x100"</f>
        <v>50x100</v>
      </c>
      <c r="N1577" s="6" t="str">
        <f>"5602972281149"</f>
        <v>5602972281149</v>
      </c>
      <c r="O1577" s="8">
        <v>12</v>
      </c>
      <c r="R1577" s="8">
        <v>0</v>
      </c>
      <c r="U1577" s="8">
        <v>0</v>
      </c>
      <c r="X1577" s="8">
        <v>0</v>
      </c>
      <c r="Z1577" s="8">
        <v>0</v>
      </c>
      <c r="AC1577" s="8">
        <v>0</v>
      </c>
      <c r="AF1577" s="8">
        <v>0</v>
      </c>
      <c r="AN1577" s="8">
        <v>12</v>
      </c>
      <c r="AO1577" s="8">
        <v>0</v>
      </c>
    </row>
    <row r="1578" spans="1:41" x14ac:dyDescent="0.25">
      <c r="A1578" s="6" t="str">
        <f t="shared" si="431"/>
        <v>522-2026000002</v>
      </c>
      <c r="B1578" s="6" t="str">
        <f t="shared" si="425"/>
        <v>EL CORTE</v>
      </c>
      <c r="C1578" s="7">
        <v>46023</v>
      </c>
      <c r="D1578" s="7">
        <v>46028</v>
      </c>
      <c r="E1578" s="8">
        <v>12</v>
      </c>
      <c r="F1578" s="6" t="str">
        <f t="shared" si="432"/>
        <v>33318701_07026</v>
      </c>
      <c r="G1578" s="6" t="str">
        <f t="shared" si="427"/>
        <v>F310631650000000</v>
      </c>
      <c r="H1578" s="6" t="str">
        <f t="shared" si="428"/>
        <v>PLAR 6316 FD - 500 g</v>
      </c>
      <c r="I1578" s="6" t="str">
        <f>"200510"</f>
        <v>200510</v>
      </c>
      <c r="J1578" s="6" t="str">
        <f>"VERDE 510"</f>
        <v>VERDE 510</v>
      </c>
      <c r="K1578" s="6" t="str">
        <f>"2020"</f>
        <v>2020</v>
      </c>
      <c r="L1578" s="6" t="str">
        <f>"Lençóis"</f>
        <v>Lençóis</v>
      </c>
      <c r="M1578" s="6" t="str">
        <f>"100x150"</f>
        <v>100x150</v>
      </c>
      <c r="N1578" s="6" t="str">
        <f>"5602972281156"</f>
        <v>5602972281156</v>
      </c>
      <c r="O1578" s="8">
        <v>15</v>
      </c>
      <c r="R1578" s="8">
        <v>0</v>
      </c>
      <c r="U1578" s="8">
        <v>0</v>
      </c>
      <c r="X1578" s="8">
        <v>0</v>
      </c>
      <c r="Z1578" s="8">
        <v>0</v>
      </c>
      <c r="AC1578" s="8">
        <v>0</v>
      </c>
      <c r="AF1578" s="8">
        <v>0</v>
      </c>
      <c r="AN1578" s="8">
        <v>15</v>
      </c>
      <c r="AO1578" s="8">
        <v>0</v>
      </c>
    </row>
    <row r="1579" spans="1:41" x14ac:dyDescent="0.25">
      <c r="A1579" s="6" t="str">
        <f>"522-2026000003"</f>
        <v>522-2026000003</v>
      </c>
      <c r="B1579" s="6" t="str">
        <f t="shared" si="425"/>
        <v>EL CORTE</v>
      </c>
      <c r="C1579" s="7">
        <v>46023</v>
      </c>
      <c r="D1579" s="7">
        <v>46028</v>
      </c>
      <c r="E1579" s="8">
        <v>1</v>
      </c>
      <c r="F1579" s="6" t="str">
        <f>"94727401_07026"</f>
        <v>94727401_07026</v>
      </c>
      <c r="G1579" s="6" t="str">
        <f t="shared" si="427"/>
        <v>F310631650000000</v>
      </c>
      <c r="H1579" s="6" t="str">
        <f t="shared" si="428"/>
        <v>PLAR 6316 FD - 500 g</v>
      </c>
      <c r="I1579" s="6" t="str">
        <f>"200901"</f>
        <v>200901</v>
      </c>
      <c r="J1579" s="6" t="str">
        <f>"ROSA 901"</f>
        <v>ROSA 901</v>
      </c>
      <c r="K1579" s="6" t="str">
        <f>"0520"</f>
        <v>0520</v>
      </c>
      <c r="L1579" s="6" t="str">
        <f>"Toalhetes"</f>
        <v>Toalhetes</v>
      </c>
      <c r="M1579" s="6" t="str">
        <f>"30x50"</f>
        <v>30x50</v>
      </c>
      <c r="N1579" s="6" t="str">
        <f>"5602972281101"</f>
        <v>5602972281101</v>
      </c>
      <c r="O1579" s="8">
        <v>6</v>
      </c>
      <c r="R1579" s="8">
        <v>0</v>
      </c>
      <c r="U1579" s="8">
        <v>0</v>
      </c>
      <c r="X1579" s="8">
        <v>0</v>
      </c>
      <c r="Z1579" s="8">
        <v>0</v>
      </c>
      <c r="AC1579" s="8">
        <v>0</v>
      </c>
      <c r="AF1579" s="8">
        <v>0</v>
      </c>
      <c r="AN1579" s="8">
        <v>6</v>
      </c>
      <c r="AO1579" s="8">
        <v>0</v>
      </c>
    </row>
    <row r="1580" spans="1:41" x14ac:dyDescent="0.25">
      <c r="A1580" s="6" t="str">
        <f>"522-2026000004"</f>
        <v>522-2026000004</v>
      </c>
      <c r="B1580" s="6" t="str">
        <f t="shared" si="425"/>
        <v>EL CORTE</v>
      </c>
      <c r="C1580" s="7">
        <v>46023</v>
      </c>
      <c r="D1580" s="7">
        <v>46028</v>
      </c>
      <c r="E1580" s="8">
        <v>1</v>
      </c>
      <c r="F1580" s="6" t="str">
        <f>"94727501_07026"</f>
        <v>94727501_07026</v>
      </c>
      <c r="G1580" s="6" t="str">
        <f t="shared" si="427"/>
        <v>F310631650000000</v>
      </c>
      <c r="H1580" s="6" t="str">
        <f t="shared" si="428"/>
        <v>PLAR 6316 FD - 500 g</v>
      </c>
      <c r="I1580" s="6" t="str">
        <f>"200510"</f>
        <v>200510</v>
      </c>
      <c r="J1580" s="6" t="str">
        <f>"VERDE 510"</f>
        <v>VERDE 510</v>
      </c>
      <c r="K1580" s="6" t="str">
        <f>"2020"</f>
        <v>2020</v>
      </c>
      <c r="L1580" s="6" t="str">
        <f>"Lençóis"</f>
        <v>Lençóis</v>
      </c>
      <c r="M1580" s="6" t="str">
        <f>"100x150"</f>
        <v>100x150</v>
      </c>
      <c r="N1580" s="6" t="str">
        <f>"5602972281156"</f>
        <v>5602972281156</v>
      </c>
      <c r="O1580" s="8">
        <v>3</v>
      </c>
      <c r="R1580" s="8">
        <v>0</v>
      </c>
      <c r="U1580" s="8">
        <v>0</v>
      </c>
      <c r="X1580" s="8">
        <v>0</v>
      </c>
      <c r="Z1580" s="8">
        <v>0</v>
      </c>
      <c r="AC1580" s="8">
        <v>0</v>
      </c>
      <c r="AF1580" s="8">
        <v>0</v>
      </c>
      <c r="AN1580" s="8">
        <v>3</v>
      </c>
      <c r="AO1580" s="8">
        <v>0</v>
      </c>
    </row>
    <row r="1581" spans="1:41" x14ac:dyDescent="0.25">
      <c r="A1581" s="6" t="str">
        <f>"522-2026000005"</f>
        <v>522-2026000005</v>
      </c>
      <c r="B1581" s="6" t="str">
        <f t="shared" si="425"/>
        <v>EL CORTE</v>
      </c>
      <c r="C1581" s="7">
        <v>46027</v>
      </c>
      <c r="D1581" s="7">
        <v>46030</v>
      </c>
      <c r="E1581" s="8">
        <v>1</v>
      </c>
      <c r="F1581" s="6" t="str">
        <f>"33319101_07026"</f>
        <v>33319101_07026</v>
      </c>
      <c r="G1581" s="6" t="str">
        <f t="shared" si="427"/>
        <v>F310631650000000</v>
      </c>
      <c r="H1581" s="6" t="str">
        <f t="shared" si="428"/>
        <v>PLAR 6316 FD - 500 g</v>
      </c>
      <c r="I1581" s="6" t="str">
        <f>"202575"</f>
        <v>202575</v>
      </c>
      <c r="J1581" s="6" t="str">
        <f>"BEGE 2575"</f>
        <v>BEGE 2575</v>
      </c>
      <c r="K1581" s="6" t="str">
        <f>"1024"</f>
        <v>1024</v>
      </c>
      <c r="L1581" s="6" t="str">
        <f>"Toalhas"</f>
        <v>Toalhas</v>
      </c>
      <c r="M1581" s="6" t="str">
        <f>"50x100"</f>
        <v>50x100</v>
      </c>
      <c r="N1581" s="6" t="str">
        <f>"5602972281088"</f>
        <v>5602972281088</v>
      </c>
      <c r="O1581" s="8">
        <v>6</v>
      </c>
      <c r="R1581" s="8">
        <v>0</v>
      </c>
      <c r="U1581" s="8">
        <v>0</v>
      </c>
      <c r="X1581" s="8">
        <v>0</v>
      </c>
      <c r="Z1581" s="8">
        <v>0</v>
      </c>
      <c r="AC1581" s="8">
        <v>0</v>
      </c>
      <c r="AF1581" s="8">
        <v>0</v>
      </c>
      <c r="AN1581" s="8">
        <v>6</v>
      </c>
      <c r="AO1581" s="8">
        <v>0</v>
      </c>
    </row>
    <row r="1582" spans="1:41" x14ac:dyDescent="0.25">
      <c r="A1582" s="6" t="str">
        <f>"522-2026000005"</f>
        <v>522-2026000005</v>
      </c>
      <c r="B1582" s="6" t="str">
        <f t="shared" si="425"/>
        <v>EL CORTE</v>
      </c>
      <c r="C1582" s="7">
        <v>46027</v>
      </c>
      <c r="D1582" s="7">
        <v>46030</v>
      </c>
      <c r="E1582" s="8">
        <v>2</v>
      </c>
      <c r="F1582" s="6" t="str">
        <f>"33319101_07026"</f>
        <v>33319101_07026</v>
      </c>
      <c r="G1582" s="6" t="str">
        <f t="shared" si="427"/>
        <v>F310631650000000</v>
      </c>
      <c r="H1582" s="6" t="str">
        <f t="shared" si="428"/>
        <v>PLAR 6316 FD - 500 g</v>
      </c>
      <c r="I1582" s="6" t="str">
        <f>"202575"</f>
        <v>202575</v>
      </c>
      <c r="J1582" s="6" t="str">
        <f>"BEGE 2575"</f>
        <v>BEGE 2575</v>
      </c>
      <c r="K1582" s="6" t="str">
        <f>"2020"</f>
        <v>2020</v>
      </c>
      <c r="L1582" s="6" t="str">
        <f>"Lençóis"</f>
        <v>Lençóis</v>
      </c>
      <c r="M1582" s="6" t="str">
        <f>"100x150"</f>
        <v>100x150</v>
      </c>
      <c r="N1582" s="6" t="str">
        <f>"5602972281095"</f>
        <v>5602972281095</v>
      </c>
      <c r="O1582" s="8">
        <v>3</v>
      </c>
      <c r="R1582" s="8">
        <v>0</v>
      </c>
      <c r="U1582" s="8">
        <v>0</v>
      </c>
      <c r="X1582" s="8">
        <v>0</v>
      </c>
      <c r="Z1582" s="8">
        <v>0</v>
      </c>
      <c r="AC1582" s="8">
        <v>0</v>
      </c>
      <c r="AF1582" s="8">
        <v>0</v>
      </c>
      <c r="AN1582" s="8">
        <v>3</v>
      </c>
      <c r="AO1582" s="8">
        <v>0</v>
      </c>
    </row>
    <row r="1583" spans="1:41" x14ac:dyDescent="0.25">
      <c r="A1583" s="6" t="str">
        <f>"522-2026000005"</f>
        <v>522-2026000005</v>
      </c>
      <c r="B1583" s="6" t="str">
        <f t="shared" si="425"/>
        <v>EL CORTE</v>
      </c>
      <c r="C1583" s="7">
        <v>46027</v>
      </c>
      <c r="D1583" s="7">
        <v>46030</v>
      </c>
      <c r="E1583" s="8">
        <v>3</v>
      </c>
      <c r="F1583" s="6" t="str">
        <f>"33319101_07026"</f>
        <v>33319101_07026</v>
      </c>
      <c r="G1583" s="6" t="str">
        <f t="shared" si="427"/>
        <v>F310631650000000</v>
      </c>
      <c r="H1583" s="6" t="str">
        <f t="shared" si="428"/>
        <v>PLAR 6316 FD - 500 g</v>
      </c>
      <c r="I1583" s="6" t="str">
        <f>"200510"</f>
        <v>200510</v>
      </c>
      <c r="J1583" s="6" t="str">
        <f>"VERDE 510"</f>
        <v>VERDE 510</v>
      </c>
      <c r="K1583" s="6" t="str">
        <f>"1024"</f>
        <v>1024</v>
      </c>
      <c r="L1583" s="6" t="str">
        <f>"Toalhas"</f>
        <v>Toalhas</v>
      </c>
      <c r="M1583" s="6" t="str">
        <f>"50x100"</f>
        <v>50x100</v>
      </c>
      <c r="N1583" s="6" t="str">
        <f>"5602972281149"</f>
        <v>5602972281149</v>
      </c>
      <c r="O1583" s="8">
        <v>6</v>
      </c>
      <c r="R1583" s="8">
        <v>0</v>
      </c>
      <c r="U1583" s="8">
        <v>0</v>
      </c>
      <c r="X1583" s="8">
        <v>0</v>
      </c>
      <c r="Z1583" s="8">
        <v>0</v>
      </c>
      <c r="AC1583" s="8">
        <v>0</v>
      </c>
      <c r="AF1583" s="8">
        <v>0</v>
      </c>
      <c r="AN1583" s="8">
        <v>6</v>
      </c>
      <c r="AO1583" s="8">
        <v>0</v>
      </c>
    </row>
    <row r="1584" spans="1:41" x14ac:dyDescent="0.25">
      <c r="A1584" s="6" t="str">
        <f>"522-2026000006"</f>
        <v>522-2026000006</v>
      </c>
      <c r="B1584" s="6" t="str">
        <f t="shared" si="425"/>
        <v>EL CORTE</v>
      </c>
      <c r="C1584" s="7">
        <v>46027</v>
      </c>
      <c r="D1584" s="7">
        <v>46030</v>
      </c>
      <c r="E1584" s="8">
        <v>1</v>
      </c>
      <c r="F1584" s="6" t="str">
        <f>"33319201_07026"</f>
        <v>33319201_07026</v>
      </c>
      <c r="G1584" s="6" t="str">
        <f t="shared" si="427"/>
        <v>F310631650000000</v>
      </c>
      <c r="H1584" s="6" t="str">
        <f t="shared" si="428"/>
        <v>PLAR 6316 FD - 500 g</v>
      </c>
      <c r="I1584" s="6" t="str">
        <f>"201855"</f>
        <v>201855</v>
      </c>
      <c r="J1584" s="6" t="str">
        <f>"AZUL 1855"</f>
        <v>AZUL 1855</v>
      </c>
      <c r="K1584" s="6" t="str">
        <f>"2020"</f>
        <v>2020</v>
      </c>
      <c r="L1584" s="6" t="str">
        <f>"Lençóis"</f>
        <v>Lençóis</v>
      </c>
      <c r="M1584" s="6" t="str">
        <f>"100x150"</f>
        <v>100x150</v>
      </c>
      <c r="N1584" s="6" t="str">
        <f>"5602972281064"</f>
        <v>5602972281064</v>
      </c>
      <c r="O1584" s="8">
        <v>3</v>
      </c>
      <c r="R1584" s="8">
        <v>0</v>
      </c>
      <c r="U1584" s="8">
        <v>0</v>
      </c>
      <c r="X1584" s="8">
        <v>0</v>
      </c>
      <c r="Z1584" s="8">
        <v>0</v>
      </c>
      <c r="AC1584" s="8">
        <v>0</v>
      </c>
      <c r="AF1584" s="8">
        <v>0</v>
      </c>
      <c r="AN1584" s="8">
        <v>0</v>
      </c>
      <c r="AO1584" s="8">
        <v>3</v>
      </c>
    </row>
    <row r="1585" spans="1:41" x14ac:dyDescent="0.25">
      <c r="A1585" s="6" t="str">
        <f>"522-2026000006"</f>
        <v>522-2026000006</v>
      </c>
      <c r="B1585" s="6" t="str">
        <f t="shared" si="425"/>
        <v>EL CORTE</v>
      </c>
      <c r="C1585" s="7">
        <v>46027</v>
      </c>
      <c r="D1585" s="7">
        <v>46030</v>
      </c>
      <c r="E1585" s="8">
        <v>2</v>
      </c>
      <c r="F1585" s="6" t="str">
        <f>"33319201_07026"</f>
        <v>33319201_07026</v>
      </c>
      <c r="G1585" s="6" t="str">
        <f t="shared" si="427"/>
        <v>F310631650000000</v>
      </c>
      <c r="H1585" s="6" t="str">
        <f t="shared" si="428"/>
        <v>PLAR 6316 FD - 500 g</v>
      </c>
      <c r="I1585" s="6" t="str">
        <f>"200510"</f>
        <v>200510</v>
      </c>
      <c r="J1585" s="6" t="str">
        <f>"VERDE 510"</f>
        <v>VERDE 510</v>
      </c>
      <c r="K1585" s="6" t="str">
        <f>"2020"</f>
        <v>2020</v>
      </c>
      <c r="L1585" s="6" t="str">
        <f>"Lençóis"</f>
        <v>Lençóis</v>
      </c>
      <c r="M1585" s="6" t="str">
        <f>"100x150"</f>
        <v>100x150</v>
      </c>
      <c r="N1585" s="6" t="str">
        <f>"5602972281156"</f>
        <v>5602972281156</v>
      </c>
      <c r="O1585" s="8">
        <v>3</v>
      </c>
      <c r="R1585" s="8">
        <v>0</v>
      </c>
      <c r="U1585" s="8">
        <v>0</v>
      </c>
      <c r="X1585" s="8">
        <v>0</v>
      </c>
      <c r="Z1585" s="8">
        <v>0</v>
      </c>
      <c r="AC1585" s="8">
        <v>0</v>
      </c>
      <c r="AF1585" s="8">
        <v>0</v>
      </c>
      <c r="AN1585" s="8">
        <v>3</v>
      </c>
      <c r="AO1585" s="8">
        <v>0</v>
      </c>
    </row>
    <row r="1586" spans="1:41" x14ac:dyDescent="0.25">
      <c r="A1586" s="6" t="str">
        <f>"522-2026000007"</f>
        <v>522-2026000007</v>
      </c>
      <c r="B1586" s="6" t="str">
        <f t="shared" si="425"/>
        <v>EL CORTE</v>
      </c>
      <c r="C1586" s="7">
        <v>46027</v>
      </c>
      <c r="D1586" s="7">
        <v>46030</v>
      </c>
      <c r="E1586" s="8">
        <v>1</v>
      </c>
      <c r="F1586" s="6" t="str">
        <f>"94736401_07026"</f>
        <v>94736401_07026</v>
      </c>
      <c r="G1586" s="6" t="str">
        <f t="shared" si="427"/>
        <v>F310631650000000</v>
      </c>
      <c r="H1586" s="6" t="str">
        <f t="shared" si="428"/>
        <v>PLAR 6316 FD - 500 g</v>
      </c>
      <c r="I1586" s="6" t="str">
        <f>"201855"</f>
        <v>201855</v>
      </c>
      <c r="J1586" s="6" t="str">
        <f>"AZUL 1855"</f>
        <v>AZUL 1855</v>
      </c>
      <c r="K1586" s="6" t="str">
        <f>"2020"</f>
        <v>2020</v>
      </c>
      <c r="L1586" s="6" t="str">
        <f>"Lençóis"</f>
        <v>Lençóis</v>
      </c>
      <c r="M1586" s="6" t="str">
        <f>"100x150"</f>
        <v>100x150</v>
      </c>
      <c r="N1586" s="6" t="str">
        <f>"5602972281064"</f>
        <v>5602972281064</v>
      </c>
      <c r="O1586" s="8">
        <v>3</v>
      </c>
      <c r="R1586" s="8">
        <v>0</v>
      </c>
      <c r="U1586" s="8">
        <v>0</v>
      </c>
      <c r="X1586" s="8">
        <v>0</v>
      </c>
      <c r="Z1586" s="8">
        <v>0</v>
      </c>
      <c r="AC1586" s="8">
        <v>0</v>
      </c>
      <c r="AF1586" s="8">
        <v>0</v>
      </c>
      <c r="AN1586" s="8">
        <v>0</v>
      </c>
      <c r="AO1586" s="8">
        <v>3</v>
      </c>
    </row>
    <row r="1587" spans="1:41" x14ac:dyDescent="0.25">
      <c r="A1587" s="6" t="str">
        <f>"522-2026000007"</f>
        <v>522-2026000007</v>
      </c>
      <c r="B1587" s="6" t="str">
        <f t="shared" si="425"/>
        <v>EL CORTE</v>
      </c>
      <c r="C1587" s="7">
        <v>46027</v>
      </c>
      <c r="D1587" s="7">
        <v>46030</v>
      </c>
      <c r="E1587" s="8">
        <v>2</v>
      </c>
      <c r="F1587" s="6" t="str">
        <f>"94736401_07026"</f>
        <v>94736401_07026</v>
      </c>
      <c r="G1587" s="6" t="str">
        <f t="shared" si="427"/>
        <v>F310631650000000</v>
      </c>
      <c r="H1587" s="6" t="str">
        <f t="shared" si="428"/>
        <v>PLAR 6316 FD - 500 g</v>
      </c>
      <c r="I1587" s="6" t="str">
        <f>"200901"</f>
        <v>200901</v>
      </c>
      <c r="J1587" s="6" t="str">
        <f>"ROSA 901"</f>
        <v>ROSA 901</v>
      </c>
      <c r="K1587" s="6" t="str">
        <f>"1024"</f>
        <v>1024</v>
      </c>
      <c r="L1587" s="6" t="str">
        <f>"Toalhas"</f>
        <v>Toalhas</v>
      </c>
      <c r="M1587" s="6" t="str">
        <f>"50x100"</f>
        <v>50x100</v>
      </c>
      <c r="N1587" s="6" t="str">
        <f>"5602972281118"</f>
        <v>5602972281118</v>
      </c>
      <c r="O1587" s="8">
        <v>6</v>
      </c>
      <c r="R1587" s="8">
        <v>0</v>
      </c>
      <c r="U1587" s="8">
        <v>0</v>
      </c>
      <c r="X1587" s="8">
        <v>0</v>
      </c>
      <c r="Z1587" s="8">
        <v>0</v>
      </c>
      <c r="AC1587" s="8">
        <v>0</v>
      </c>
      <c r="AF1587" s="8">
        <v>0</v>
      </c>
      <c r="AN1587" s="8">
        <v>6</v>
      </c>
      <c r="AO1587" s="8">
        <v>0</v>
      </c>
    </row>
    <row r="1588" spans="1:41" x14ac:dyDescent="0.25">
      <c r="A1588" s="6" t="str">
        <f>"522-2026000007"</f>
        <v>522-2026000007</v>
      </c>
      <c r="B1588" s="6" t="str">
        <f t="shared" si="425"/>
        <v>EL CORTE</v>
      </c>
      <c r="C1588" s="7">
        <v>46027</v>
      </c>
      <c r="D1588" s="7">
        <v>46030</v>
      </c>
      <c r="E1588" s="8">
        <v>3</v>
      </c>
      <c r="F1588" s="6" t="str">
        <f>"94736401_07026"</f>
        <v>94736401_07026</v>
      </c>
      <c r="G1588" s="6" t="str">
        <f t="shared" si="427"/>
        <v>F310631650000000</v>
      </c>
      <c r="H1588" s="6" t="str">
        <f t="shared" si="428"/>
        <v>PLAR 6316 FD - 500 g</v>
      </c>
      <c r="I1588" s="6" t="str">
        <f>"200901"</f>
        <v>200901</v>
      </c>
      <c r="J1588" s="6" t="str">
        <f>"ROSA 901"</f>
        <v>ROSA 901</v>
      </c>
      <c r="K1588" s="6" t="str">
        <f>"2020"</f>
        <v>2020</v>
      </c>
      <c r="L1588" s="6" t="str">
        <f>"Lençóis"</f>
        <v>Lençóis</v>
      </c>
      <c r="M1588" s="6" t="str">
        <f>"100x150"</f>
        <v>100x150</v>
      </c>
      <c r="N1588" s="6" t="str">
        <f>"5602972281125"</f>
        <v>5602972281125</v>
      </c>
      <c r="O1588" s="8">
        <v>3</v>
      </c>
      <c r="R1588" s="8">
        <v>0</v>
      </c>
      <c r="U1588" s="8">
        <v>0</v>
      </c>
      <c r="X1588" s="8">
        <v>0</v>
      </c>
      <c r="Z1588" s="8">
        <v>0</v>
      </c>
      <c r="AC1588" s="8">
        <v>0</v>
      </c>
      <c r="AF1588" s="8">
        <v>0</v>
      </c>
      <c r="AN1588" s="8">
        <v>0</v>
      </c>
      <c r="AO1588" s="8">
        <v>3</v>
      </c>
    </row>
    <row r="1589" spans="1:41" x14ac:dyDescent="0.25">
      <c r="A1589" s="6" t="str">
        <f>"522-2026000008"</f>
        <v>522-2026000008</v>
      </c>
      <c r="B1589" s="6" t="str">
        <f t="shared" si="425"/>
        <v>EL CORTE</v>
      </c>
      <c r="C1589" s="7">
        <v>46027</v>
      </c>
      <c r="D1589" s="7">
        <v>46030</v>
      </c>
      <c r="E1589" s="8">
        <v>1</v>
      </c>
      <c r="F1589" s="6" t="str">
        <f>"94736201_07026"</f>
        <v>94736201_07026</v>
      </c>
      <c r="G1589" s="6" t="str">
        <f t="shared" si="427"/>
        <v>F310631650000000</v>
      </c>
      <c r="H1589" s="6" t="str">
        <f t="shared" si="428"/>
        <v>PLAR 6316 FD - 500 g</v>
      </c>
      <c r="I1589" s="6" t="str">
        <f>"200901"</f>
        <v>200901</v>
      </c>
      <c r="J1589" s="6" t="str">
        <f>"ROSA 901"</f>
        <v>ROSA 901</v>
      </c>
      <c r="K1589" s="6" t="str">
        <f>"1024"</f>
        <v>1024</v>
      </c>
      <c r="L1589" s="6" t="str">
        <f>"Toalhas"</f>
        <v>Toalhas</v>
      </c>
      <c r="M1589" s="6" t="str">
        <f>"50x100"</f>
        <v>50x100</v>
      </c>
      <c r="N1589" s="6" t="str">
        <f>"5602972281118"</f>
        <v>5602972281118</v>
      </c>
      <c r="O1589" s="8">
        <v>6</v>
      </c>
      <c r="R1589" s="8">
        <v>0</v>
      </c>
      <c r="U1589" s="8">
        <v>0</v>
      </c>
      <c r="X1589" s="8">
        <v>0</v>
      </c>
      <c r="Z1589" s="8">
        <v>0</v>
      </c>
      <c r="AC1589" s="8">
        <v>0</v>
      </c>
      <c r="AF1589" s="8">
        <v>0</v>
      </c>
      <c r="AN1589" s="8">
        <v>6</v>
      </c>
      <c r="AO1589" s="8">
        <v>0</v>
      </c>
    </row>
    <row r="1590" spans="1:41" x14ac:dyDescent="0.25">
      <c r="A1590" s="6" t="str">
        <f>"522-2026000008"</f>
        <v>522-2026000008</v>
      </c>
      <c r="B1590" s="6" t="str">
        <f t="shared" si="425"/>
        <v>EL CORTE</v>
      </c>
      <c r="C1590" s="7">
        <v>46027</v>
      </c>
      <c r="D1590" s="7">
        <v>46030</v>
      </c>
      <c r="E1590" s="8">
        <v>2</v>
      </c>
      <c r="F1590" s="6" t="str">
        <f>"94736201_07026"</f>
        <v>94736201_07026</v>
      </c>
      <c r="G1590" s="6" t="str">
        <f t="shared" si="427"/>
        <v>F310631650000000</v>
      </c>
      <c r="H1590" s="6" t="str">
        <f t="shared" si="428"/>
        <v>PLAR 6316 FD - 500 g</v>
      </c>
      <c r="I1590" s="6" t="str">
        <f>"200510"</f>
        <v>200510</v>
      </c>
      <c r="J1590" s="6" t="str">
        <f>"VERDE 510"</f>
        <v>VERDE 510</v>
      </c>
      <c r="K1590" s="6" t="str">
        <f>"2020"</f>
        <v>2020</v>
      </c>
      <c r="L1590" s="6" t="str">
        <f>"Lençóis"</f>
        <v>Lençóis</v>
      </c>
      <c r="M1590" s="6" t="str">
        <f>"100x150"</f>
        <v>100x150</v>
      </c>
      <c r="N1590" s="6" t="str">
        <f>"5602972281156"</f>
        <v>5602972281156</v>
      </c>
      <c r="O1590" s="8">
        <v>3</v>
      </c>
      <c r="R1590" s="8">
        <v>0</v>
      </c>
      <c r="U1590" s="8">
        <v>0</v>
      </c>
      <c r="X1590" s="8">
        <v>0</v>
      </c>
      <c r="Z1590" s="8">
        <v>0</v>
      </c>
      <c r="AC1590" s="8">
        <v>0</v>
      </c>
      <c r="AF1590" s="8">
        <v>0</v>
      </c>
      <c r="AN1590" s="8">
        <v>3</v>
      </c>
      <c r="AO1590" s="8">
        <v>0</v>
      </c>
    </row>
    <row r="1591" spans="1:41" x14ac:dyDescent="0.25">
      <c r="A1591" s="6" t="str">
        <f>"522-2026000009"</f>
        <v>522-2026000009</v>
      </c>
      <c r="B1591" s="6" t="str">
        <f t="shared" si="425"/>
        <v>EL CORTE</v>
      </c>
      <c r="C1591" s="7">
        <v>46027</v>
      </c>
      <c r="D1591" s="7">
        <v>46030</v>
      </c>
      <c r="E1591" s="8">
        <v>1</v>
      </c>
      <c r="F1591" s="6" t="str">
        <f>"94735901_07026"</f>
        <v>94735901_07026</v>
      </c>
      <c r="G1591" s="6" t="str">
        <f t="shared" si="427"/>
        <v>F310631650000000</v>
      </c>
      <c r="H1591" s="6" t="str">
        <f t="shared" si="428"/>
        <v>PLAR 6316 FD - 500 g</v>
      </c>
      <c r="I1591" s="6" t="str">
        <f>"202575"</f>
        <v>202575</v>
      </c>
      <c r="J1591" s="6" t="str">
        <f>"BEGE 2575"</f>
        <v>BEGE 2575</v>
      </c>
      <c r="K1591" s="6" t="str">
        <f>"2020"</f>
        <v>2020</v>
      </c>
      <c r="L1591" s="6" t="str">
        <f>"Lençóis"</f>
        <v>Lençóis</v>
      </c>
      <c r="M1591" s="6" t="str">
        <f>"100x150"</f>
        <v>100x150</v>
      </c>
      <c r="N1591" s="6" t="str">
        <f>"5602972281095"</f>
        <v>5602972281095</v>
      </c>
      <c r="O1591" s="8">
        <v>3</v>
      </c>
      <c r="R1591" s="8">
        <v>0</v>
      </c>
      <c r="U1591" s="8">
        <v>0</v>
      </c>
      <c r="X1591" s="8">
        <v>0</v>
      </c>
      <c r="Z1591" s="8">
        <v>0</v>
      </c>
      <c r="AC1591" s="8">
        <v>0</v>
      </c>
      <c r="AF1591" s="8">
        <v>0</v>
      </c>
      <c r="AN1591" s="8">
        <v>3</v>
      </c>
      <c r="AO1591" s="8">
        <v>0</v>
      </c>
    </row>
    <row r="1592" spans="1:41" x14ac:dyDescent="0.25">
      <c r="A1592" s="6" t="str">
        <f t="shared" ref="A1592:A1598" si="433">"522-2026000010"</f>
        <v>522-2026000010</v>
      </c>
      <c r="B1592" s="6" t="str">
        <f t="shared" si="425"/>
        <v>EL CORTE</v>
      </c>
      <c r="C1592" s="7">
        <v>46027</v>
      </c>
      <c r="D1592" s="7">
        <v>46030</v>
      </c>
      <c r="E1592" s="8">
        <v>1</v>
      </c>
      <c r="F1592" s="6" t="str">
        <f t="shared" ref="F1592:F1598" si="434">"94736901_07026"</f>
        <v>94736901_07026</v>
      </c>
      <c r="G1592" s="6" t="str">
        <f t="shared" si="427"/>
        <v>F310631650000000</v>
      </c>
      <c r="H1592" s="6" t="str">
        <f t="shared" si="428"/>
        <v>PLAR 6316 FD - 500 g</v>
      </c>
      <c r="I1592" s="6" t="str">
        <f>"201855"</f>
        <v>201855</v>
      </c>
      <c r="J1592" s="6" t="str">
        <f>"AZUL 1855"</f>
        <v>AZUL 1855</v>
      </c>
      <c r="K1592" s="6" t="str">
        <f>"1024"</f>
        <v>1024</v>
      </c>
      <c r="L1592" s="6" t="str">
        <f>"Toalhas"</f>
        <v>Toalhas</v>
      </c>
      <c r="M1592" s="6" t="str">
        <f>"50x100"</f>
        <v>50x100</v>
      </c>
      <c r="N1592" s="6" t="str">
        <f>"5602972281057"</f>
        <v>5602972281057</v>
      </c>
      <c r="O1592" s="8">
        <v>6</v>
      </c>
      <c r="R1592" s="8">
        <v>0</v>
      </c>
      <c r="U1592" s="8">
        <v>0</v>
      </c>
      <c r="X1592" s="8">
        <v>0</v>
      </c>
      <c r="Z1592" s="8">
        <v>0</v>
      </c>
      <c r="AC1592" s="8">
        <v>0</v>
      </c>
      <c r="AF1592" s="8">
        <v>0</v>
      </c>
      <c r="AN1592" s="8">
        <v>6</v>
      </c>
      <c r="AO1592" s="8">
        <v>0</v>
      </c>
    </row>
    <row r="1593" spans="1:41" x14ac:dyDescent="0.25">
      <c r="A1593" s="6" t="str">
        <f t="shared" si="433"/>
        <v>522-2026000010</v>
      </c>
      <c r="B1593" s="6" t="str">
        <f t="shared" si="425"/>
        <v>EL CORTE</v>
      </c>
      <c r="C1593" s="7">
        <v>46027</v>
      </c>
      <c r="D1593" s="7">
        <v>46030</v>
      </c>
      <c r="E1593" s="8">
        <v>2</v>
      </c>
      <c r="F1593" s="6" t="str">
        <f t="shared" si="434"/>
        <v>94736901_07026</v>
      </c>
      <c r="G1593" s="6" t="str">
        <f t="shared" si="427"/>
        <v>F310631650000000</v>
      </c>
      <c r="H1593" s="6" t="str">
        <f t="shared" si="428"/>
        <v>PLAR 6316 FD - 500 g</v>
      </c>
      <c r="I1593" s="6" t="str">
        <f>"201855"</f>
        <v>201855</v>
      </c>
      <c r="J1593" s="6" t="str">
        <f>"AZUL 1855"</f>
        <v>AZUL 1855</v>
      </c>
      <c r="K1593" s="6" t="str">
        <f>"2020"</f>
        <v>2020</v>
      </c>
      <c r="L1593" s="6" t="str">
        <f>"Lençóis"</f>
        <v>Lençóis</v>
      </c>
      <c r="M1593" s="6" t="str">
        <f>"100x150"</f>
        <v>100x150</v>
      </c>
      <c r="N1593" s="6" t="str">
        <f>"5602972281064"</f>
        <v>5602972281064</v>
      </c>
      <c r="O1593" s="8">
        <v>3</v>
      </c>
      <c r="R1593" s="8">
        <v>0</v>
      </c>
      <c r="U1593" s="8">
        <v>0</v>
      </c>
      <c r="X1593" s="8">
        <v>0</v>
      </c>
      <c r="Z1593" s="8">
        <v>0</v>
      </c>
      <c r="AC1593" s="8">
        <v>0</v>
      </c>
      <c r="AF1593" s="8">
        <v>0</v>
      </c>
      <c r="AN1593" s="8">
        <v>0</v>
      </c>
      <c r="AO1593" s="8">
        <v>3</v>
      </c>
    </row>
    <row r="1594" spans="1:41" x14ac:dyDescent="0.25">
      <c r="A1594" s="6" t="str">
        <f t="shared" si="433"/>
        <v>522-2026000010</v>
      </c>
      <c r="B1594" s="6" t="str">
        <f t="shared" si="425"/>
        <v>EL CORTE</v>
      </c>
      <c r="C1594" s="7">
        <v>46027</v>
      </c>
      <c r="D1594" s="7">
        <v>46030</v>
      </c>
      <c r="E1594" s="8">
        <v>3</v>
      </c>
      <c r="F1594" s="6" t="str">
        <f t="shared" si="434"/>
        <v>94736901_07026</v>
      </c>
      <c r="G1594" s="6" t="str">
        <f t="shared" si="427"/>
        <v>F310631650000000</v>
      </c>
      <c r="H1594" s="6" t="str">
        <f t="shared" si="428"/>
        <v>PLAR 6316 FD - 500 g</v>
      </c>
      <c r="I1594" s="6" t="str">
        <f>"202575"</f>
        <v>202575</v>
      </c>
      <c r="J1594" s="6" t="str">
        <f>"BEGE 2575"</f>
        <v>BEGE 2575</v>
      </c>
      <c r="K1594" s="6" t="str">
        <f>"0520"</f>
        <v>0520</v>
      </c>
      <c r="L1594" s="6" t="str">
        <f>"Toalhetes"</f>
        <v>Toalhetes</v>
      </c>
      <c r="M1594" s="6" t="str">
        <f>"30x50"</f>
        <v>30x50</v>
      </c>
      <c r="N1594" s="6" t="str">
        <f>"5602972281071"</f>
        <v>5602972281071</v>
      </c>
      <c r="O1594" s="8">
        <v>6</v>
      </c>
      <c r="R1594" s="8">
        <v>0</v>
      </c>
      <c r="U1594" s="8">
        <v>0</v>
      </c>
      <c r="X1594" s="8">
        <v>0</v>
      </c>
      <c r="Z1594" s="8">
        <v>0</v>
      </c>
      <c r="AC1594" s="8">
        <v>0</v>
      </c>
      <c r="AF1594" s="8">
        <v>0</v>
      </c>
      <c r="AN1594" s="8">
        <v>6</v>
      </c>
      <c r="AO1594" s="8">
        <v>0</v>
      </c>
    </row>
    <row r="1595" spans="1:41" x14ac:dyDescent="0.25">
      <c r="A1595" s="6" t="str">
        <f t="shared" si="433"/>
        <v>522-2026000010</v>
      </c>
      <c r="B1595" s="6" t="str">
        <f t="shared" si="425"/>
        <v>EL CORTE</v>
      </c>
      <c r="C1595" s="7">
        <v>46027</v>
      </c>
      <c r="D1595" s="7">
        <v>46030</v>
      </c>
      <c r="E1595" s="8">
        <v>4</v>
      </c>
      <c r="F1595" s="6" t="str">
        <f t="shared" si="434"/>
        <v>94736901_07026</v>
      </c>
      <c r="G1595" s="6" t="str">
        <f t="shared" si="427"/>
        <v>F310631650000000</v>
      </c>
      <c r="H1595" s="6" t="str">
        <f t="shared" si="428"/>
        <v>PLAR 6316 FD - 500 g</v>
      </c>
      <c r="I1595" s="6" t="str">
        <f>"202575"</f>
        <v>202575</v>
      </c>
      <c r="J1595" s="6" t="str">
        <f>"BEGE 2575"</f>
        <v>BEGE 2575</v>
      </c>
      <c r="K1595" s="6" t="str">
        <f>"1024"</f>
        <v>1024</v>
      </c>
      <c r="L1595" s="6" t="str">
        <f>"Toalhas"</f>
        <v>Toalhas</v>
      </c>
      <c r="M1595" s="6" t="str">
        <f>"50x100"</f>
        <v>50x100</v>
      </c>
      <c r="N1595" s="6" t="str">
        <f>"5602972281088"</f>
        <v>5602972281088</v>
      </c>
      <c r="O1595" s="8">
        <v>6</v>
      </c>
      <c r="R1595" s="8">
        <v>0</v>
      </c>
      <c r="U1595" s="8">
        <v>0</v>
      </c>
      <c r="X1595" s="8">
        <v>0</v>
      </c>
      <c r="Z1595" s="8">
        <v>0</v>
      </c>
      <c r="AC1595" s="8">
        <v>0</v>
      </c>
      <c r="AF1595" s="8">
        <v>0</v>
      </c>
      <c r="AN1595" s="8">
        <v>6</v>
      </c>
      <c r="AO1595" s="8">
        <v>0</v>
      </c>
    </row>
    <row r="1596" spans="1:41" x14ac:dyDescent="0.25">
      <c r="A1596" s="6" t="str">
        <f t="shared" si="433"/>
        <v>522-2026000010</v>
      </c>
      <c r="B1596" s="6" t="str">
        <f t="shared" si="425"/>
        <v>EL CORTE</v>
      </c>
      <c r="C1596" s="7">
        <v>46027</v>
      </c>
      <c r="D1596" s="7">
        <v>46030</v>
      </c>
      <c r="E1596" s="8">
        <v>5</v>
      </c>
      <c r="F1596" s="6" t="str">
        <f t="shared" si="434"/>
        <v>94736901_07026</v>
      </c>
      <c r="G1596" s="6" t="str">
        <f t="shared" si="427"/>
        <v>F310631650000000</v>
      </c>
      <c r="H1596" s="6" t="str">
        <f t="shared" si="428"/>
        <v>PLAR 6316 FD - 500 g</v>
      </c>
      <c r="I1596" s="6" t="str">
        <f>"200901"</f>
        <v>200901</v>
      </c>
      <c r="J1596" s="6" t="str">
        <f>"ROSA 901"</f>
        <v>ROSA 901</v>
      </c>
      <c r="K1596" s="6" t="str">
        <f>"1024"</f>
        <v>1024</v>
      </c>
      <c r="L1596" s="6" t="str">
        <f>"Toalhas"</f>
        <v>Toalhas</v>
      </c>
      <c r="M1596" s="6" t="str">
        <f>"50x100"</f>
        <v>50x100</v>
      </c>
      <c r="N1596" s="6" t="str">
        <f>"5602972281118"</f>
        <v>5602972281118</v>
      </c>
      <c r="O1596" s="8">
        <v>6</v>
      </c>
      <c r="R1596" s="8">
        <v>0</v>
      </c>
      <c r="U1596" s="8">
        <v>0</v>
      </c>
      <c r="X1596" s="8">
        <v>0</v>
      </c>
      <c r="Z1596" s="8">
        <v>0</v>
      </c>
      <c r="AC1596" s="8">
        <v>0</v>
      </c>
      <c r="AF1596" s="8">
        <v>0</v>
      </c>
      <c r="AN1596" s="8">
        <v>6</v>
      </c>
      <c r="AO1596" s="8">
        <v>0</v>
      </c>
    </row>
    <row r="1597" spans="1:41" x14ac:dyDescent="0.25">
      <c r="A1597" s="6" t="str">
        <f t="shared" si="433"/>
        <v>522-2026000010</v>
      </c>
      <c r="B1597" s="6" t="str">
        <f t="shared" si="425"/>
        <v>EL CORTE</v>
      </c>
      <c r="C1597" s="7">
        <v>46027</v>
      </c>
      <c r="D1597" s="7">
        <v>46030</v>
      </c>
      <c r="E1597" s="8">
        <v>6</v>
      </c>
      <c r="F1597" s="6" t="str">
        <f t="shared" si="434"/>
        <v>94736901_07026</v>
      </c>
      <c r="G1597" s="6" t="str">
        <f t="shared" si="427"/>
        <v>F310631650000000</v>
      </c>
      <c r="H1597" s="6" t="str">
        <f t="shared" si="428"/>
        <v>PLAR 6316 FD - 500 g</v>
      </c>
      <c r="I1597" s="6" t="str">
        <f>"200901"</f>
        <v>200901</v>
      </c>
      <c r="J1597" s="6" t="str">
        <f>"ROSA 901"</f>
        <v>ROSA 901</v>
      </c>
      <c r="K1597" s="6" t="str">
        <f>"2020"</f>
        <v>2020</v>
      </c>
      <c r="L1597" s="6" t="str">
        <f>"Lençóis"</f>
        <v>Lençóis</v>
      </c>
      <c r="M1597" s="6" t="str">
        <f>"100x150"</f>
        <v>100x150</v>
      </c>
      <c r="N1597" s="6" t="str">
        <f>"5602972281125"</f>
        <v>5602972281125</v>
      </c>
      <c r="O1597" s="8">
        <v>3</v>
      </c>
      <c r="R1597" s="8">
        <v>0</v>
      </c>
      <c r="U1597" s="8">
        <v>0</v>
      </c>
      <c r="X1597" s="8">
        <v>0</v>
      </c>
      <c r="Z1597" s="8">
        <v>0</v>
      </c>
      <c r="AC1597" s="8">
        <v>0</v>
      </c>
      <c r="AF1597" s="8">
        <v>0</v>
      </c>
      <c r="AN1597" s="8">
        <v>0</v>
      </c>
      <c r="AO1597" s="8">
        <v>3</v>
      </c>
    </row>
    <row r="1598" spans="1:41" x14ac:dyDescent="0.25">
      <c r="A1598" s="6" t="str">
        <f t="shared" si="433"/>
        <v>522-2026000010</v>
      </c>
      <c r="B1598" s="6" t="str">
        <f t="shared" si="425"/>
        <v>EL CORTE</v>
      </c>
      <c r="C1598" s="7">
        <v>46027</v>
      </c>
      <c r="D1598" s="7">
        <v>46030</v>
      </c>
      <c r="E1598" s="8">
        <v>7</v>
      </c>
      <c r="F1598" s="6" t="str">
        <f t="shared" si="434"/>
        <v>94736901_07026</v>
      </c>
      <c r="G1598" s="6" t="str">
        <f t="shared" si="427"/>
        <v>F310631650000000</v>
      </c>
      <c r="H1598" s="6" t="str">
        <f t="shared" si="428"/>
        <v>PLAR 6316 FD - 500 g</v>
      </c>
      <c r="I1598" s="6" t="str">
        <f>"200510"</f>
        <v>200510</v>
      </c>
      <c r="J1598" s="6" t="str">
        <f>"VERDE 510"</f>
        <v>VERDE 510</v>
      </c>
      <c r="K1598" s="6" t="str">
        <f>"2020"</f>
        <v>2020</v>
      </c>
      <c r="L1598" s="6" t="str">
        <f>"Lençóis"</f>
        <v>Lençóis</v>
      </c>
      <c r="M1598" s="6" t="str">
        <f>"100x150"</f>
        <v>100x150</v>
      </c>
      <c r="N1598" s="6" t="str">
        <f>"5602972281156"</f>
        <v>5602972281156</v>
      </c>
      <c r="O1598" s="8">
        <v>6</v>
      </c>
      <c r="R1598" s="8">
        <v>0</v>
      </c>
      <c r="U1598" s="8">
        <v>0</v>
      </c>
      <c r="X1598" s="8">
        <v>0</v>
      </c>
      <c r="Z1598" s="8">
        <v>0</v>
      </c>
      <c r="AC1598" s="8">
        <v>0</v>
      </c>
      <c r="AF1598" s="8">
        <v>0</v>
      </c>
      <c r="AN1598" s="8">
        <v>6</v>
      </c>
      <c r="AO1598" s="8">
        <v>0</v>
      </c>
    </row>
    <row r="1599" spans="1:41" x14ac:dyDescent="0.25">
      <c r="A1599" s="6" t="str">
        <f>"522-2026000011"</f>
        <v>522-2026000011</v>
      </c>
      <c r="B1599" s="6" t="str">
        <f t="shared" si="425"/>
        <v>EL CORTE</v>
      </c>
      <c r="C1599" s="7">
        <v>46027</v>
      </c>
      <c r="D1599" s="7">
        <v>46030</v>
      </c>
      <c r="E1599" s="8">
        <v>1</v>
      </c>
      <c r="F1599" s="6" t="str">
        <f>"94735401_07026"</f>
        <v>94735401_07026</v>
      </c>
      <c r="G1599" s="6" t="str">
        <f t="shared" si="427"/>
        <v>F310631650000000</v>
      </c>
      <c r="H1599" s="6" t="str">
        <f t="shared" si="428"/>
        <v>PLAR 6316 FD - 500 g</v>
      </c>
      <c r="I1599" s="6" t="str">
        <f>"202575"</f>
        <v>202575</v>
      </c>
      <c r="J1599" s="6" t="str">
        <f>"BEGE 2575"</f>
        <v>BEGE 2575</v>
      </c>
      <c r="K1599" s="6" t="str">
        <f>"1024"</f>
        <v>1024</v>
      </c>
      <c r="L1599" s="6" t="str">
        <f>"Toalhas"</f>
        <v>Toalhas</v>
      </c>
      <c r="M1599" s="6" t="str">
        <f>"50x100"</f>
        <v>50x100</v>
      </c>
      <c r="N1599" s="6" t="str">
        <f>"5602972281088"</f>
        <v>5602972281088</v>
      </c>
      <c r="O1599" s="8">
        <v>6</v>
      </c>
      <c r="R1599" s="8">
        <v>0</v>
      </c>
      <c r="U1599" s="8">
        <v>0</v>
      </c>
      <c r="X1599" s="8">
        <v>0</v>
      </c>
      <c r="Z1599" s="8">
        <v>0</v>
      </c>
      <c r="AC1599" s="8">
        <v>0</v>
      </c>
      <c r="AF1599" s="8">
        <v>0</v>
      </c>
      <c r="AN1599" s="8">
        <v>6</v>
      </c>
      <c r="AO1599" s="8">
        <v>0</v>
      </c>
    </row>
    <row r="1600" spans="1:41" x14ac:dyDescent="0.25">
      <c r="A1600" s="6" t="str">
        <f>"522-2026000012"</f>
        <v>522-2026000012</v>
      </c>
      <c r="B1600" s="6" t="str">
        <f t="shared" si="425"/>
        <v>EL CORTE</v>
      </c>
      <c r="C1600" s="7">
        <v>46027</v>
      </c>
      <c r="D1600" s="7">
        <v>46030</v>
      </c>
      <c r="E1600" s="8">
        <v>1</v>
      </c>
      <c r="F1600" s="6" t="str">
        <f>"94736701_07026"</f>
        <v>94736701_07026</v>
      </c>
      <c r="G1600" s="6" t="str">
        <f t="shared" si="427"/>
        <v>F310631650000000</v>
      </c>
      <c r="H1600" s="6" t="str">
        <f t="shared" si="428"/>
        <v>PLAR 6316 FD - 500 g</v>
      </c>
      <c r="I1600" s="6" t="str">
        <f>"200901"</f>
        <v>200901</v>
      </c>
      <c r="J1600" s="6" t="str">
        <f>"ROSA 901"</f>
        <v>ROSA 901</v>
      </c>
      <c r="K1600" s="6" t="str">
        <f>"2020"</f>
        <v>2020</v>
      </c>
      <c r="L1600" s="6" t="str">
        <f>"Lençóis"</f>
        <v>Lençóis</v>
      </c>
      <c r="M1600" s="6" t="str">
        <f>"100x150"</f>
        <v>100x150</v>
      </c>
      <c r="N1600" s="6" t="str">
        <f>"5602972281125"</f>
        <v>5602972281125</v>
      </c>
      <c r="O1600" s="8">
        <v>3</v>
      </c>
      <c r="R1600" s="8">
        <v>0</v>
      </c>
      <c r="U1600" s="8">
        <v>0</v>
      </c>
      <c r="X1600" s="8">
        <v>0</v>
      </c>
      <c r="Z1600" s="8">
        <v>0</v>
      </c>
      <c r="AC1600" s="8">
        <v>0</v>
      </c>
      <c r="AF1600" s="8">
        <v>0</v>
      </c>
      <c r="AN1600" s="8">
        <v>0</v>
      </c>
      <c r="AO1600" s="8">
        <v>3</v>
      </c>
    </row>
    <row r="1601" spans="1:41" x14ac:dyDescent="0.25">
      <c r="A1601" s="6" t="str">
        <f>"522-2026000013"</f>
        <v>522-2026000013</v>
      </c>
      <c r="B1601" s="6" t="str">
        <f t="shared" si="425"/>
        <v>EL CORTE</v>
      </c>
      <c r="C1601" s="7">
        <v>46027</v>
      </c>
      <c r="D1601" s="7">
        <v>46030</v>
      </c>
      <c r="E1601" s="8">
        <v>1</v>
      </c>
      <c r="F1601" s="6" t="str">
        <f>"94735301_07026"</f>
        <v>94735301_07026</v>
      </c>
      <c r="G1601" s="6" t="str">
        <f t="shared" si="427"/>
        <v>F310631650000000</v>
      </c>
      <c r="H1601" s="6" t="str">
        <f t="shared" si="428"/>
        <v>PLAR 6316 FD - 500 g</v>
      </c>
      <c r="I1601" s="6" t="str">
        <f>"200901"</f>
        <v>200901</v>
      </c>
      <c r="J1601" s="6" t="str">
        <f>"ROSA 901"</f>
        <v>ROSA 901</v>
      </c>
      <c r="K1601" s="6" t="str">
        <f>"1024"</f>
        <v>1024</v>
      </c>
      <c r="L1601" s="6" t="str">
        <f>"Toalhas"</f>
        <v>Toalhas</v>
      </c>
      <c r="M1601" s="6" t="str">
        <f>"50x100"</f>
        <v>50x100</v>
      </c>
      <c r="N1601" s="6" t="str">
        <f>"5602972281118"</f>
        <v>5602972281118</v>
      </c>
      <c r="O1601" s="8">
        <v>6</v>
      </c>
      <c r="R1601" s="8">
        <v>0</v>
      </c>
      <c r="U1601" s="8">
        <v>0</v>
      </c>
      <c r="X1601" s="8">
        <v>0</v>
      </c>
      <c r="Z1601" s="8">
        <v>0</v>
      </c>
      <c r="AC1601" s="8">
        <v>0</v>
      </c>
      <c r="AF1601" s="8">
        <v>0</v>
      </c>
      <c r="AN1601" s="8">
        <v>6</v>
      </c>
      <c r="AO1601" s="8">
        <v>0</v>
      </c>
    </row>
    <row r="1602" spans="1:41" x14ac:dyDescent="0.25">
      <c r="A1602" s="6" t="str">
        <f>"522-2026000013"</f>
        <v>522-2026000013</v>
      </c>
      <c r="B1602" s="6" t="str">
        <f t="shared" si="425"/>
        <v>EL CORTE</v>
      </c>
      <c r="C1602" s="7">
        <v>46027</v>
      </c>
      <c r="D1602" s="7">
        <v>46030</v>
      </c>
      <c r="E1602" s="8">
        <v>2</v>
      </c>
      <c r="F1602" s="6" t="str">
        <f>"94735301_07026"</f>
        <v>94735301_07026</v>
      </c>
      <c r="G1602" s="6" t="str">
        <f t="shared" si="427"/>
        <v>F310631650000000</v>
      </c>
      <c r="H1602" s="6" t="str">
        <f t="shared" si="428"/>
        <v>PLAR 6316 FD - 500 g</v>
      </c>
      <c r="I1602" s="6" t="str">
        <f>"200510"</f>
        <v>200510</v>
      </c>
      <c r="J1602" s="6" t="str">
        <f>"VERDE 510"</f>
        <v>VERDE 510</v>
      </c>
      <c r="K1602" s="6" t="str">
        <f>"0520"</f>
        <v>0520</v>
      </c>
      <c r="L1602" s="6" t="str">
        <f>"Toalhetes"</f>
        <v>Toalhetes</v>
      </c>
      <c r="M1602" s="6" t="str">
        <f>"30x50"</f>
        <v>30x50</v>
      </c>
      <c r="N1602" s="6" t="str">
        <f>"5602972281132"</f>
        <v>5602972281132</v>
      </c>
      <c r="O1602" s="8">
        <v>6</v>
      </c>
      <c r="R1602" s="8">
        <v>0</v>
      </c>
      <c r="U1602" s="8">
        <v>0</v>
      </c>
      <c r="X1602" s="8">
        <v>0</v>
      </c>
      <c r="Z1602" s="8">
        <v>0</v>
      </c>
      <c r="AC1602" s="8">
        <v>0</v>
      </c>
      <c r="AF1602" s="8">
        <v>0</v>
      </c>
      <c r="AN1602" s="8">
        <v>6</v>
      </c>
      <c r="AO1602" s="8">
        <v>0</v>
      </c>
    </row>
    <row r="1603" spans="1:41" x14ac:dyDescent="0.25">
      <c r="A1603" s="6" t="str">
        <f>"522-2026000014"</f>
        <v>522-2026000014</v>
      </c>
      <c r="B1603" s="6" t="str">
        <f t="shared" si="425"/>
        <v>EL CORTE</v>
      </c>
      <c r="C1603" s="7">
        <v>46027</v>
      </c>
      <c r="D1603" s="7">
        <v>46030</v>
      </c>
      <c r="E1603" s="8">
        <v>1</v>
      </c>
      <c r="F1603" s="6" t="str">
        <f>"94736101_07026"</f>
        <v>94736101_07026</v>
      </c>
      <c r="G1603" s="6" t="str">
        <f t="shared" si="427"/>
        <v>F310631650000000</v>
      </c>
      <c r="H1603" s="6" t="str">
        <f t="shared" si="428"/>
        <v>PLAR 6316 FD - 500 g</v>
      </c>
      <c r="I1603" s="6" t="str">
        <f>"202575"</f>
        <v>202575</v>
      </c>
      <c r="J1603" s="6" t="str">
        <f>"BEGE 2575"</f>
        <v>BEGE 2575</v>
      </c>
      <c r="K1603" s="6" t="str">
        <f>"1024"</f>
        <v>1024</v>
      </c>
      <c r="L1603" s="6" t="str">
        <f>"Toalhas"</f>
        <v>Toalhas</v>
      </c>
      <c r="M1603" s="6" t="str">
        <f>"50x100"</f>
        <v>50x100</v>
      </c>
      <c r="N1603" s="6" t="str">
        <f>"5602972281088"</f>
        <v>5602972281088</v>
      </c>
      <c r="O1603" s="8">
        <v>12</v>
      </c>
      <c r="R1603" s="8">
        <v>0</v>
      </c>
      <c r="U1603" s="8">
        <v>0</v>
      </c>
      <c r="X1603" s="8">
        <v>0</v>
      </c>
      <c r="Z1603" s="8">
        <v>0</v>
      </c>
      <c r="AC1603" s="8">
        <v>0</v>
      </c>
      <c r="AF1603" s="8">
        <v>0</v>
      </c>
      <c r="AN1603" s="8">
        <v>12</v>
      </c>
      <c r="AO1603" s="8">
        <v>0</v>
      </c>
    </row>
    <row r="1604" spans="1:41" x14ac:dyDescent="0.25">
      <c r="A1604" s="6" t="str">
        <f>"522-2026000015"</f>
        <v>522-2026000015</v>
      </c>
      <c r="B1604" s="6" t="str">
        <f t="shared" si="425"/>
        <v>EL CORTE</v>
      </c>
      <c r="C1604" s="7">
        <v>46027</v>
      </c>
      <c r="D1604" s="7">
        <v>46030</v>
      </c>
      <c r="E1604" s="8">
        <v>1</v>
      </c>
      <c r="F1604" s="6" t="str">
        <f>"94736501_07026"</f>
        <v>94736501_07026</v>
      </c>
      <c r="G1604" s="6" t="str">
        <f t="shared" si="427"/>
        <v>F310631650000000</v>
      </c>
      <c r="H1604" s="6" t="str">
        <f t="shared" si="428"/>
        <v>PLAR 6316 FD - 500 g</v>
      </c>
      <c r="I1604" s="6" t="str">
        <f>"200510"</f>
        <v>200510</v>
      </c>
      <c r="J1604" s="6" t="str">
        <f>"VERDE 510"</f>
        <v>VERDE 510</v>
      </c>
      <c r="K1604" s="6" t="str">
        <f>"2020"</f>
        <v>2020</v>
      </c>
      <c r="L1604" s="6" t="str">
        <f>"Lençóis"</f>
        <v>Lençóis</v>
      </c>
      <c r="M1604" s="6" t="str">
        <f>"100x150"</f>
        <v>100x150</v>
      </c>
      <c r="N1604" s="6" t="str">
        <f>"5602972281156"</f>
        <v>5602972281156</v>
      </c>
      <c r="O1604" s="8">
        <v>3</v>
      </c>
      <c r="R1604" s="8">
        <v>0</v>
      </c>
      <c r="U1604" s="8">
        <v>0</v>
      </c>
      <c r="X1604" s="8">
        <v>0</v>
      </c>
      <c r="Z1604" s="8">
        <v>0</v>
      </c>
      <c r="AC1604" s="8">
        <v>0</v>
      </c>
      <c r="AF1604" s="8">
        <v>0</v>
      </c>
      <c r="AN1604" s="8">
        <v>3</v>
      </c>
      <c r="AO1604" s="8">
        <v>0</v>
      </c>
    </row>
    <row r="1605" spans="1:41" x14ac:dyDescent="0.25">
      <c r="A1605" s="6" t="str">
        <f t="shared" ref="A1605:A1611" si="435">"522-2026000016"</f>
        <v>522-2026000016</v>
      </c>
      <c r="B1605" s="6" t="str">
        <f t="shared" si="425"/>
        <v>EL CORTE</v>
      </c>
      <c r="C1605" s="7">
        <v>46027</v>
      </c>
      <c r="D1605" s="7">
        <v>46030</v>
      </c>
      <c r="E1605" s="8">
        <v>1</v>
      </c>
      <c r="F1605" s="6" t="str">
        <f t="shared" ref="F1605:F1611" si="436">"94735501_07026"</f>
        <v>94735501_07026</v>
      </c>
      <c r="G1605" s="6" t="str">
        <f t="shared" si="427"/>
        <v>F310631650000000</v>
      </c>
      <c r="H1605" s="6" t="str">
        <f t="shared" si="428"/>
        <v>PLAR 6316 FD - 500 g</v>
      </c>
      <c r="I1605" s="6" t="str">
        <f>"201855"</f>
        <v>201855</v>
      </c>
      <c r="J1605" s="6" t="str">
        <f>"AZUL 1855"</f>
        <v>AZUL 1855</v>
      </c>
      <c r="K1605" s="6" t="str">
        <f>"1024"</f>
        <v>1024</v>
      </c>
      <c r="L1605" s="6" t="str">
        <f>"Toalhas"</f>
        <v>Toalhas</v>
      </c>
      <c r="M1605" s="6" t="str">
        <f>"50x100"</f>
        <v>50x100</v>
      </c>
      <c r="N1605" s="6" t="str">
        <f>"5602972281057"</f>
        <v>5602972281057</v>
      </c>
      <c r="O1605" s="8">
        <v>6</v>
      </c>
      <c r="R1605" s="8">
        <v>0</v>
      </c>
      <c r="U1605" s="8">
        <v>0</v>
      </c>
      <c r="X1605" s="8">
        <v>0</v>
      </c>
      <c r="Z1605" s="8">
        <v>0</v>
      </c>
      <c r="AC1605" s="8">
        <v>0</v>
      </c>
      <c r="AF1605" s="8">
        <v>0</v>
      </c>
      <c r="AN1605" s="8">
        <v>6</v>
      </c>
      <c r="AO1605" s="8">
        <v>0</v>
      </c>
    </row>
    <row r="1606" spans="1:41" x14ac:dyDescent="0.25">
      <c r="A1606" s="6" t="str">
        <f t="shared" si="435"/>
        <v>522-2026000016</v>
      </c>
      <c r="B1606" s="6" t="str">
        <f t="shared" si="425"/>
        <v>EL CORTE</v>
      </c>
      <c r="C1606" s="7">
        <v>46027</v>
      </c>
      <c r="D1606" s="7">
        <v>46030</v>
      </c>
      <c r="E1606" s="8">
        <v>2</v>
      </c>
      <c r="F1606" s="6" t="str">
        <f t="shared" si="436"/>
        <v>94735501_07026</v>
      </c>
      <c r="G1606" s="6" t="str">
        <f t="shared" si="427"/>
        <v>F310631650000000</v>
      </c>
      <c r="H1606" s="6" t="str">
        <f t="shared" si="428"/>
        <v>PLAR 6316 FD - 500 g</v>
      </c>
      <c r="I1606" s="6" t="str">
        <f>"201855"</f>
        <v>201855</v>
      </c>
      <c r="J1606" s="6" t="str">
        <f>"AZUL 1855"</f>
        <v>AZUL 1855</v>
      </c>
      <c r="K1606" s="6" t="str">
        <f>"2020"</f>
        <v>2020</v>
      </c>
      <c r="L1606" s="6" t="str">
        <f>"Lençóis"</f>
        <v>Lençóis</v>
      </c>
      <c r="M1606" s="6" t="str">
        <f>"100x150"</f>
        <v>100x150</v>
      </c>
      <c r="N1606" s="6" t="str">
        <f>"5602972281064"</f>
        <v>5602972281064</v>
      </c>
      <c r="O1606" s="8">
        <v>3</v>
      </c>
      <c r="R1606" s="8">
        <v>0</v>
      </c>
      <c r="U1606" s="8">
        <v>0</v>
      </c>
      <c r="X1606" s="8">
        <v>0</v>
      </c>
      <c r="Z1606" s="8">
        <v>0</v>
      </c>
      <c r="AC1606" s="8">
        <v>0</v>
      </c>
      <c r="AF1606" s="8">
        <v>0</v>
      </c>
      <c r="AN1606" s="8">
        <v>0</v>
      </c>
      <c r="AO1606" s="8">
        <v>3</v>
      </c>
    </row>
    <row r="1607" spans="1:41" x14ac:dyDescent="0.25">
      <c r="A1607" s="6" t="str">
        <f t="shared" si="435"/>
        <v>522-2026000016</v>
      </c>
      <c r="B1607" s="6" t="str">
        <f t="shared" ref="B1607:B1670" si="437">"EL CORTE"</f>
        <v>EL CORTE</v>
      </c>
      <c r="C1607" s="7">
        <v>46027</v>
      </c>
      <c r="D1607" s="7">
        <v>46030</v>
      </c>
      <c r="E1607" s="8">
        <v>3</v>
      </c>
      <c r="F1607" s="6" t="str">
        <f t="shared" si="436"/>
        <v>94735501_07026</v>
      </c>
      <c r="G1607" s="6" t="str">
        <f t="shared" ref="G1607:G1670" si="438">"F310631650000000"</f>
        <v>F310631650000000</v>
      </c>
      <c r="H1607" s="6" t="str">
        <f t="shared" ref="H1607:H1670" si="439">"PLAR 6316 FD - 500 g"</f>
        <v>PLAR 6316 FD - 500 g</v>
      </c>
      <c r="I1607" s="6" t="str">
        <f>"202575"</f>
        <v>202575</v>
      </c>
      <c r="J1607" s="6" t="str">
        <f>"BEGE 2575"</f>
        <v>BEGE 2575</v>
      </c>
      <c r="K1607" s="6" t="str">
        <f>"1024"</f>
        <v>1024</v>
      </c>
      <c r="L1607" s="6" t="str">
        <f>"Toalhas"</f>
        <v>Toalhas</v>
      </c>
      <c r="M1607" s="6" t="str">
        <f>"50x100"</f>
        <v>50x100</v>
      </c>
      <c r="N1607" s="6" t="str">
        <f>"5602972281088"</f>
        <v>5602972281088</v>
      </c>
      <c r="O1607" s="8">
        <v>6</v>
      </c>
      <c r="R1607" s="8">
        <v>0</v>
      </c>
      <c r="U1607" s="8">
        <v>0</v>
      </c>
      <c r="X1607" s="8">
        <v>0</v>
      </c>
      <c r="Z1607" s="8">
        <v>0</v>
      </c>
      <c r="AC1607" s="8">
        <v>0</v>
      </c>
      <c r="AF1607" s="8">
        <v>0</v>
      </c>
      <c r="AN1607" s="8">
        <v>6</v>
      </c>
      <c r="AO1607" s="8">
        <v>0</v>
      </c>
    </row>
    <row r="1608" spans="1:41" x14ac:dyDescent="0.25">
      <c r="A1608" s="6" t="str">
        <f t="shared" si="435"/>
        <v>522-2026000016</v>
      </c>
      <c r="B1608" s="6" t="str">
        <f t="shared" si="437"/>
        <v>EL CORTE</v>
      </c>
      <c r="C1608" s="7">
        <v>46027</v>
      </c>
      <c r="D1608" s="7">
        <v>46030</v>
      </c>
      <c r="E1608" s="8">
        <v>4</v>
      </c>
      <c r="F1608" s="6" t="str">
        <f t="shared" si="436"/>
        <v>94735501_07026</v>
      </c>
      <c r="G1608" s="6" t="str">
        <f t="shared" si="438"/>
        <v>F310631650000000</v>
      </c>
      <c r="H1608" s="6" t="str">
        <f t="shared" si="439"/>
        <v>PLAR 6316 FD - 500 g</v>
      </c>
      <c r="I1608" s="6" t="str">
        <f>"202575"</f>
        <v>202575</v>
      </c>
      <c r="J1608" s="6" t="str">
        <f>"BEGE 2575"</f>
        <v>BEGE 2575</v>
      </c>
      <c r="K1608" s="6" t="str">
        <f>"2020"</f>
        <v>2020</v>
      </c>
      <c r="L1608" s="6" t="str">
        <f>"Lençóis"</f>
        <v>Lençóis</v>
      </c>
      <c r="M1608" s="6" t="str">
        <f>"100x150"</f>
        <v>100x150</v>
      </c>
      <c r="N1608" s="6" t="str">
        <f>"5602972281095"</f>
        <v>5602972281095</v>
      </c>
      <c r="O1608" s="8">
        <v>3</v>
      </c>
      <c r="R1608" s="8">
        <v>0</v>
      </c>
      <c r="U1608" s="8">
        <v>0</v>
      </c>
      <c r="X1608" s="8">
        <v>0</v>
      </c>
      <c r="Z1608" s="8">
        <v>0</v>
      </c>
      <c r="AC1608" s="8">
        <v>0</v>
      </c>
      <c r="AF1608" s="8">
        <v>0</v>
      </c>
      <c r="AN1608" s="8">
        <v>0</v>
      </c>
      <c r="AO1608" s="8">
        <v>3</v>
      </c>
    </row>
    <row r="1609" spans="1:41" x14ac:dyDescent="0.25">
      <c r="A1609" s="6" t="str">
        <f t="shared" si="435"/>
        <v>522-2026000016</v>
      </c>
      <c r="B1609" s="6" t="str">
        <f t="shared" si="437"/>
        <v>EL CORTE</v>
      </c>
      <c r="C1609" s="7">
        <v>46027</v>
      </c>
      <c r="D1609" s="7">
        <v>46030</v>
      </c>
      <c r="E1609" s="8">
        <v>5</v>
      </c>
      <c r="F1609" s="6" t="str">
        <f t="shared" si="436"/>
        <v>94735501_07026</v>
      </c>
      <c r="G1609" s="6" t="str">
        <f t="shared" si="438"/>
        <v>F310631650000000</v>
      </c>
      <c r="H1609" s="6" t="str">
        <f t="shared" si="439"/>
        <v>PLAR 6316 FD - 500 g</v>
      </c>
      <c r="I1609" s="6" t="str">
        <f>"200901"</f>
        <v>200901</v>
      </c>
      <c r="J1609" s="6" t="str">
        <f>"ROSA 901"</f>
        <v>ROSA 901</v>
      </c>
      <c r="K1609" s="6" t="str">
        <f>"1024"</f>
        <v>1024</v>
      </c>
      <c r="L1609" s="6" t="str">
        <f>"Toalhas"</f>
        <v>Toalhas</v>
      </c>
      <c r="M1609" s="6" t="str">
        <f>"50x100"</f>
        <v>50x100</v>
      </c>
      <c r="N1609" s="6" t="str">
        <f>"5602972281118"</f>
        <v>5602972281118</v>
      </c>
      <c r="O1609" s="8">
        <v>6</v>
      </c>
      <c r="R1609" s="8">
        <v>0</v>
      </c>
      <c r="U1609" s="8">
        <v>0</v>
      </c>
      <c r="X1609" s="8">
        <v>0</v>
      </c>
      <c r="Z1609" s="8">
        <v>0</v>
      </c>
      <c r="AC1609" s="8">
        <v>0</v>
      </c>
      <c r="AF1609" s="8">
        <v>0</v>
      </c>
      <c r="AN1609" s="8">
        <v>6</v>
      </c>
      <c r="AO1609" s="8">
        <v>0</v>
      </c>
    </row>
    <row r="1610" spans="1:41" x14ac:dyDescent="0.25">
      <c r="A1610" s="6" t="str">
        <f t="shared" si="435"/>
        <v>522-2026000016</v>
      </c>
      <c r="B1610" s="6" t="str">
        <f t="shared" si="437"/>
        <v>EL CORTE</v>
      </c>
      <c r="C1610" s="7">
        <v>46027</v>
      </c>
      <c r="D1610" s="7">
        <v>46030</v>
      </c>
      <c r="E1610" s="8">
        <v>6</v>
      </c>
      <c r="F1610" s="6" t="str">
        <f t="shared" si="436"/>
        <v>94735501_07026</v>
      </c>
      <c r="G1610" s="6" t="str">
        <f t="shared" si="438"/>
        <v>F310631650000000</v>
      </c>
      <c r="H1610" s="6" t="str">
        <f t="shared" si="439"/>
        <v>PLAR 6316 FD - 500 g</v>
      </c>
      <c r="I1610" s="6" t="str">
        <f>"200510"</f>
        <v>200510</v>
      </c>
      <c r="J1610" s="6" t="str">
        <f>"VERDE 510"</f>
        <v>VERDE 510</v>
      </c>
      <c r="K1610" s="6" t="str">
        <f>"0520"</f>
        <v>0520</v>
      </c>
      <c r="L1610" s="6" t="str">
        <f>"Toalhetes"</f>
        <v>Toalhetes</v>
      </c>
      <c r="M1610" s="6" t="str">
        <f>"30x50"</f>
        <v>30x50</v>
      </c>
      <c r="N1610" s="6" t="str">
        <f>"5602972281132"</f>
        <v>5602972281132</v>
      </c>
      <c r="O1610" s="8">
        <v>6</v>
      </c>
      <c r="R1610" s="8">
        <v>0</v>
      </c>
      <c r="U1610" s="8">
        <v>0</v>
      </c>
      <c r="X1610" s="8">
        <v>0</v>
      </c>
      <c r="Z1610" s="8">
        <v>0</v>
      </c>
      <c r="AC1610" s="8">
        <v>0</v>
      </c>
      <c r="AF1610" s="8">
        <v>0</v>
      </c>
      <c r="AN1610" s="8">
        <v>6</v>
      </c>
      <c r="AO1610" s="8">
        <v>0</v>
      </c>
    </row>
    <row r="1611" spans="1:41" x14ac:dyDescent="0.25">
      <c r="A1611" s="6" t="str">
        <f t="shared" si="435"/>
        <v>522-2026000016</v>
      </c>
      <c r="B1611" s="6" t="str">
        <f t="shared" si="437"/>
        <v>EL CORTE</v>
      </c>
      <c r="C1611" s="7">
        <v>46027</v>
      </c>
      <c r="D1611" s="7">
        <v>46030</v>
      </c>
      <c r="E1611" s="8">
        <v>7</v>
      </c>
      <c r="F1611" s="6" t="str">
        <f t="shared" si="436"/>
        <v>94735501_07026</v>
      </c>
      <c r="G1611" s="6" t="str">
        <f t="shared" si="438"/>
        <v>F310631650000000</v>
      </c>
      <c r="H1611" s="6" t="str">
        <f t="shared" si="439"/>
        <v>PLAR 6316 FD - 500 g</v>
      </c>
      <c r="I1611" s="6" t="str">
        <f>"200510"</f>
        <v>200510</v>
      </c>
      <c r="J1611" s="6" t="str">
        <f>"VERDE 510"</f>
        <v>VERDE 510</v>
      </c>
      <c r="K1611" s="6" t="str">
        <f>"2020"</f>
        <v>2020</v>
      </c>
      <c r="L1611" s="6" t="str">
        <f>"Lençóis"</f>
        <v>Lençóis</v>
      </c>
      <c r="M1611" s="6" t="str">
        <f>"100x150"</f>
        <v>100x150</v>
      </c>
      <c r="N1611" s="6" t="str">
        <f>"5602972281156"</f>
        <v>5602972281156</v>
      </c>
      <c r="O1611" s="8">
        <v>3</v>
      </c>
      <c r="R1611" s="8">
        <v>0</v>
      </c>
      <c r="U1611" s="8">
        <v>0</v>
      </c>
      <c r="X1611" s="8">
        <v>0</v>
      </c>
      <c r="Z1611" s="8">
        <v>0</v>
      </c>
      <c r="AC1611" s="8">
        <v>0</v>
      </c>
      <c r="AF1611" s="8">
        <v>0</v>
      </c>
      <c r="AN1611" s="8">
        <v>3</v>
      </c>
      <c r="AO1611" s="8">
        <v>0</v>
      </c>
    </row>
    <row r="1612" spans="1:41" x14ac:dyDescent="0.25">
      <c r="A1612" s="6" t="str">
        <f t="shared" ref="A1612:A1617" si="440">"522-2026000017"</f>
        <v>522-2026000017</v>
      </c>
      <c r="B1612" s="6" t="str">
        <f t="shared" si="437"/>
        <v>EL CORTE</v>
      </c>
      <c r="C1612" s="7">
        <v>46027</v>
      </c>
      <c r="D1612" s="7">
        <v>46030</v>
      </c>
      <c r="E1612" s="8">
        <v>1</v>
      </c>
      <c r="F1612" s="6" t="str">
        <f t="shared" ref="F1612:F1617" si="441">"94737201_07026"</f>
        <v>94737201_07026</v>
      </c>
      <c r="G1612" s="6" t="str">
        <f t="shared" si="438"/>
        <v>F310631650000000</v>
      </c>
      <c r="H1612" s="6" t="str">
        <f t="shared" si="439"/>
        <v>PLAR 6316 FD - 500 g</v>
      </c>
      <c r="I1612" s="6" t="str">
        <f>"202575"</f>
        <v>202575</v>
      </c>
      <c r="J1612" s="6" t="str">
        <f>"BEGE 2575"</f>
        <v>BEGE 2575</v>
      </c>
      <c r="K1612" s="6" t="str">
        <f>"0520"</f>
        <v>0520</v>
      </c>
      <c r="L1612" s="6" t="str">
        <f>"Toalhetes"</f>
        <v>Toalhetes</v>
      </c>
      <c r="M1612" s="6" t="str">
        <f>"30x50"</f>
        <v>30x50</v>
      </c>
      <c r="N1612" s="6" t="str">
        <f>"5602972281071"</f>
        <v>5602972281071</v>
      </c>
      <c r="O1612" s="8">
        <v>6</v>
      </c>
      <c r="R1612" s="8">
        <v>0</v>
      </c>
      <c r="U1612" s="8">
        <v>0</v>
      </c>
      <c r="X1612" s="8">
        <v>0</v>
      </c>
      <c r="Z1612" s="8">
        <v>0</v>
      </c>
      <c r="AC1612" s="8">
        <v>0</v>
      </c>
      <c r="AF1612" s="8">
        <v>0</v>
      </c>
      <c r="AN1612" s="8">
        <v>6</v>
      </c>
      <c r="AO1612" s="8">
        <v>0</v>
      </c>
    </row>
    <row r="1613" spans="1:41" x14ac:dyDescent="0.25">
      <c r="A1613" s="6" t="str">
        <f t="shared" si="440"/>
        <v>522-2026000017</v>
      </c>
      <c r="B1613" s="6" t="str">
        <f t="shared" si="437"/>
        <v>EL CORTE</v>
      </c>
      <c r="C1613" s="7">
        <v>46027</v>
      </c>
      <c r="D1613" s="7">
        <v>46030</v>
      </c>
      <c r="E1613" s="8">
        <v>2</v>
      </c>
      <c r="F1613" s="6" t="str">
        <f t="shared" si="441"/>
        <v>94737201_07026</v>
      </c>
      <c r="G1613" s="6" t="str">
        <f t="shared" si="438"/>
        <v>F310631650000000</v>
      </c>
      <c r="H1613" s="6" t="str">
        <f t="shared" si="439"/>
        <v>PLAR 6316 FD - 500 g</v>
      </c>
      <c r="I1613" s="6" t="str">
        <f>"202575"</f>
        <v>202575</v>
      </c>
      <c r="J1613" s="6" t="str">
        <f>"BEGE 2575"</f>
        <v>BEGE 2575</v>
      </c>
      <c r="K1613" s="6" t="str">
        <f>"1024"</f>
        <v>1024</v>
      </c>
      <c r="L1613" s="6" t="str">
        <f>"Toalhas"</f>
        <v>Toalhas</v>
      </c>
      <c r="M1613" s="6" t="str">
        <f>"50x100"</f>
        <v>50x100</v>
      </c>
      <c r="N1613" s="6" t="str">
        <f>"5602972281088"</f>
        <v>5602972281088</v>
      </c>
      <c r="O1613" s="8">
        <v>6</v>
      </c>
      <c r="R1613" s="8">
        <v>0</v>
      </c>
      <c r="U1613" s="8">
        <v>0</v>
      </c>
      <c r="X1613" s="8">
        <v>0</v>
      </c>
      <c r="Z1613" s="8">
        <v>0</v>
      </c>
      <c r="AC1613" s="8">
        <v>0</v>
      </c>
      <c r="AF1613" s="8">
        <v>0</v>
      </c>
      <c r="AN1613" s="8">
        <v>6</v>
      </c>
      <c r="AO1613" s="8">
        <v>0</v>
      </c>
    </row>
    <row r="1614" spans="1:41" x14ac:dyDescent="0.25">
      <c r="A1614" s="6" t="str">
        <f t="shared" si="440"/>
        <v>522-2026000017</v>
      </c>
      <c r="B1614" s="6" t="str">
        <f t="shared" si="437"/>
        <v>EL CORTE</v>
      </c>
      <c r="C1614" s="7">
        <v>46027</v>
      </c>
      <c r="D1614" s="7">
        <v>46030</v>
      </c>
      <c r="E1614" s="8">
        <v>3</v>
      </c>
      <c r="F1614" s="6" t="str">
        <f t="shared" si="441"/>
        <v>94737201_07026</v>
      </c>
      <c r="G1614" s="6" t="str">
        <f t="shared" si="438"/>
        <v>F310631650000000</v>
      </c>
      <c r="H1614" s="6" t="str">
        <f t="shared" si="439"/>
        <v>PLAR 6316 FD - 500 g</v>
      </c>
      <c r="I1614" s="6" t="str">
        <f>"200901"</f>
        <v>200901</v>
      </c>
      <c r="J1614" s="6" t="str">
        <f>"ROSA 901"</f>
        <v>ROSA 901</v>
      </c>
      <c r="K1614" s="6" t="str">
        <f>"1024"</f>
        <v>1024</v>
      </c>
      <c r="L1614" s="6" t="str">
        <f>"Toalhas"</f>
        <v>Toalhas</v>
      </c>
      <c r="M1614" s="6" t="str">
        <f>"50x100"</f>
        <v>50x100</v>
      </c>
      <c r="N1614" s="6" t="str">
        <f>"5602972281118"</f>
        <v>5602972281118</v>
      </c>
      <c r="O1614" s="8">
        <v>6</v>
      </c>
      <c r="R1614" s="8">
        <v>0</v>
      </c>
      <c r="U1614" s="8">
        <v>0</v>
      </c>
      <c r="X1614" s="8">
        <v>0</v>
      </c>
      <c r="Z1614" s="8">
        <v>0</v>
      </c>
      <c r="AC1614" s="8">
        <v>0</v>
      </c>
      <c r="AF1614" s="8">
        <v>0</v>
      </c>
      <c r="AN1614" s="8">
        <v>6</v>
      </c>
      <c r="AO1614" s="8">
        <v>0</v>
      </c>
    </row>
    <row r="1615" spans="1:41" x14ac:dyDescent="0.25">
      <c r="A1615" s="6" t="str">
        <f t="shared" si="440"/>
        <v>522-2026000017</v>
      </c>
      <c r="B1615" s="6" t="str">
        <f t="shared" si="437"/>
        <v>EL CORTE</v>
      </c>
      <c r="C1615" s="7">
        <v>46027</v>
      </c>
      <c r="D1615" s="7">
        <v>46030</v>
      </c>
      <c r="E1615" s="8">
        <v>4</v>
      </c>
      <c r="F1615" s="6" t="str">
        <f t="shared" si="441"/>
        <v>94737201_07026</v>
      </c>
      <c r="G1615" s="6" t="str">
        <f t="shared" si="438"/>
        <v>F310631650000000</v>
      </c>
      <c r="H1615" s="6" t="str">
        <f t="shared" si="439"/>
        <v>PLAR 6316 FD - 500 g</v>
      </c>
      <c r="I1615" s="6" t="str">
        <f>"200901"</f>
        <v>200901</v>
      </c>
      <c r="J1615" s="6" t="str">
        <f>"ROSA 901"</f>
        <v>ROSA 901</v>
      </c>
      <c r="K1615" s="6" t="str">
        <f>"2020"</f>
        <v>2020</v>
      </c>
      <c r="L1615" s="6" t="str">
        <f>"Lençóis"</f>
        <v>Lençóis</v>
      </c>
      <c r="M1615" s="6" t="str">
        <f>"100x150"</f>
        <v>100x150</v>
      </c>
      <c r="N1615" s="6" t="str">
        <f>"5602972281125"</f>
        <v>5602972281125</v>
      </c>
      <c r="O1615" s="8">
        <v>3</v>
      </c>
      <c r="R1615" s="8">
        <v>0</v>
      </c>
      <c r="U1615" s="8">
        <v>0</v>
      </c>
      <c r="X1615" s="8">
        <v>0</v>
      </c>
      <c r="Z1615" s="8">
        <v>0</v>
      </c>
      <c r="AC1615" s="8">
        <v>0</v>
      </c>
      <c r="AF1615" s="8">
        <v>0</v>
      </c>
      <c r="AN1615" s="8">
        <v>3</v>
      </c>
      <c r="AO1615" s="8">
        <v>0</v>
      </c>
    </row>
    <row r="1616" spans="1:41" x14ac:dyDescent="0.25">
      <c r="A1616" s="6" t="str">
        <f t="shared" si="440"/>
        <v>522-2026000017</v>
      </c>
      <c r="B1616" s="6" t="str">
        <f t="shared" si="437"/>
        <v>EL CORTE</v>
      </c>
      <c r="C1616" s="7">
        <v>46027</v>
      </c>
      <c r="D1616" s="7">
        <v>46030</v>
      </c>
      <c r="E1616" s="8">
        <v>5</v>
      </c>
      <c r="F1616" s="6" t="str">
        <f t="shared" si="441"/>
        <v>94737201_07026</v>
      </c>
      <c r="G1616" s="6" t="str">
        <f t="shared" si="438"/>
        <v>F310631650000000</v>
      </c>
      <c r="H1616" s="6" t="str">
        <f t="shared" si="439"/>
        <v>PLAR 6316 FD - 500 g</v>
      </c>
      <c r="I1616" s="6" t="str">
        <f>"200510"</f>
        <v>200510</v>
      </c>
      <c r="J1616" s="6" t="str">
        <f>"VERDE 510"</f>
        <v>VERDE 510</v>
      </c>
      <c r="K1616" s="6" t="str">
        <f>"1024"</f>
        <v>1024</v>
      </c>
      <c r="L1616" s="6" t="str">
        <f>"Toalhas"</f>
        <v>Toalhas</v>
      </c>
      <c r="M1616" s="6" t="str">
        <f>"50x100"</f>
        <v>50x100</v>
      </c>
      <c r="N1616" s="6" t="str">
        <f>"5602972281149"</f>
        <v>5602972281149</v>
      </c>
      <c r="O1616" s="8">
        <v>6</v>
      </c>
      <c r="R1616" s="8">
        <v>0</v>
      </c>
      <c r="U1616" s="8">
        <v>0</v>
      </c>
      <c r="X1616" s="8">
        <v>0</v>
      </c>
      <c r="Z1616" s="8">
        <v>0</v>
      </c>
      <c r="AC1616" s="8">
        <v>0</v>
      </c>
      <c r="AF1616" s="8">
        <v>0</v>
      </c>
      <c r="AN1616" s="8">
        <v>6</v>
      </c>
      <c r="AO1616" s="8">
        <v>0</v>
      </c>
    </row>
    <row r="1617" spans="1:41" x14ac:dyDescent="0.25">
      <c r="A1617" s="6" t="str">
        <f t="shared" si="440"/>
        <v>522-2026000017</v>
      </c>
      <c r="B1617" s="6" t="str">
        <f t="shared" si="437"/>
        <v>EL CORTE</v>
      </c>
      <c r="C1617" s="7">
        <v>46027</v>
      </c>
      <c r="D1617" s="7">
        <v>46030</v>
      </c>
      <c r="E1617" s="8">
        <v>6</v>
      </c>
      <c r="F1617" s="6" t="str">
        <f t="shared" si="441"/>
        <v>94737201_07026</v>
      </c>
      <c r="G1617" s="6" t="str">
        <f t="shared" si="438"/>
        <v>F310631650000000</v>
      </c>
      <c r="H1617" s="6" t="str">
        <f t="shared" si="439"/>
        <v>PLAR 6316 FD - 500 g</v>
      </c>
      <c r="I1617" s="6" t="str">
        <f>"200510"</f>
        <v>200510</v>
      </c>
      <c r="J1617" s="6" t="str">
        <f>"VERDE 510"</f>
        <v>VERDE 510</v>
      </c>
      <c r="K1617" s="6" t="str">
        <f>"2020"</f>
        <v>2020</v>
      </c>
      <c r="L1617" s="6" t="str">
        <f>"Lençóis"</f>
        <v>Lençóis</v>
      </c>
      <c r="M1617" s="6" t="str">
        <f>"100x150"</f>
        <v>100x150</v>
      </c>
      <c r="N1617" s="6" t="str">
        <f>"5602972281156"</f>
        <v>5602972281156</v>
      </c>
      <c r="O1617" s="8">
        <v>3</v>
      </c>
      <c r="R1617" s="8">
        <v>0</v>
      </c>
      <c r="U1617" s="8">
        <v>0</v>
      </c>
      <c r="X1617" s="8">
        <v>0</v>
      </c>
      <c r="Z1617" s="8">
        <v>0</v>
      </c>
      <c r="AC1617" s="8">
        <v>0</v>
      </c>
      <c r="AF1617" s="8">
        <v>0</v>
      </c>
      <c r="AN1617" s="8">
        <v>3</v>
      </c>
      <c r="AO1617" s="8">
        <v>0</v>
      </c>
    </row>
    <row r="1618" spans="1:41" x14ac:dyDescent="0.25">
      <c r="A1618" s="6" t="str">
        <f t="shared" ref="A1618:A1623" si="442">"522-2026000018"</f>
        <v>522-2026000018</v>
      </c>
      <c r="B1618" s="6" t="str">
        <f t="shared" si="437"/>
        <v>EL CORTE</v>
      </c>
      <c r="C1618" s="7">
        <v>46027</v>
      </c>
      <c r="D1618" s="7">
        <v>46030</v>
      </c>
      <c r="E1618" s="8">
        <v>1</v>
      </c>
      <c r="F1618" s="6" t="str">
        <f t="shared" ref="F1618:F1623" si="443">"94737401_07026"</f>
        <v>94737401_07026</v>
      </c>
      <c r="G1618" s="6" t="str">
        <f t="shared" si="438"/>
        <v>F310631650000000</v>
      </c>
      <c r="H1618" s="6" t="str">
        <f t="shared" si="439"/>
        <v>PLAR 6316 FD - 500 g</v>
      </c>
      <c r="I1618" s="6" t="str">
        <f>"201855"</f>
        <v>201855</v>
      </c>
      <c r="J1618" s="6" t="str">
        <f>"AZUL 1855"</f>
        <v>AZUL 1855</v>
      </c>
      <c r="K1618" s="6" t="str">
        <f>"0520"</f>
        <v>0520</v>
      </c>
      <c r="L1618" s="6" t="str">
        <f>"Toalhetes"</f>
        <v>Toalhetes</v>
      </c>
      <c r="M1618" s="6" t="str">
        <f>"30x50"</f>
        <v>30x50</v>
      </c>
      <c r="N1618" s="6" t="str">
        <f>"5602972281040"</f>
        <v>5602972281040</v>
      </c>
      <c r="O1618" s="8">
        <v>6</v>
      </c>
      <c r="R1618" s="8">
        <v>0</v>
      </c>
      <c r="U1618" s="8">
        <v>0</v>
      </c>
      <c r="X1618" s="8">
        <v>0</v>
      </c>
      <c r="Z1618" s="8">
        <v>0</v>
      </c>
      <c r="AC1618" s="8">
        <v>0</v>
      </c>
      <c r="AF1618" s="8">
        <v>0</v>
      </c>
      <c r="AN1618" s="8">
        <v>6</v>
      </c>
      <c r="AO1618" s="8">
        <v>0</v>
      </c>
    </row>
    <row r="1619" spans="1:41" x14ac:dyDescent="0.25">
      <c r="A1619" s="6" t="str">
        <f t="shared" si="442"/>
        <v>522-2026000018</v>
      </c>
      <c r="B1619" s="6" t="str">
        <f t="shared" si="437"/>
        <v>EL CORTE</v>
      </c>
      <c r="C1619" s="7">
        <v>46027</v>
      </c>
      <c r="D1619" s="7">
        <v>46030</v>
      </c>
      <c r="E1619" s="8">
        <v>2</v>
      </c>
      <c r="F1619" s="6" t="str">
        <f t="shared" si="443"/>
        <v>94737401_07026</v>
      </c>
      <c r="G1619" s="6" t="str">
        <f t="shared" si="438"/>
        <v>F310631650000000</v>
      </c>
      <c r="H1619" s="6" t="str">
        <f t="shared" si="439"/>
        <v>PLAR 6316 FD - 500 g</v>
      </c>
      <c r="I1619" s="6" t="str">
        <f>"201855"</f>
        <v>201855</v>
      </c>
      <c r="J1619" s="6" t="str">
        <f>"AZUL 1855"</f>
        <v>AZUL 1855</v>
      </c>
      <c r="K1619" s="6" t="str">
        <f>"2020"</f>
        <v>2020</v>
      </c>
      <c r="L1619" s="6" t="str">
        <f>"Lençóis"</f>
        <v>Lençóis</v>
      </c>
      <c r="M1619" s="6" t="str">
        <f>"100x150"</f>
        <v>100x150</v>
      </c>
      <c r="N1619" s="6" t="str">
        <f>"5602972281064"</f>
        <v>5602972281064</v>
      </c>
      <c r="O1619" s="8">
        <v>6</v>
      </c>
      <c r="R1619" s="8">
        <v>0</v>
      </c>
      <c r="U1619" s="8">
        <v>0</v>
      </c>
      <c r="X1619" s="8">
        <v>0</v>
      </c>
      <c r="Z1619" s="8">
        <v>0</v>
      </c>
      <c r="AC1619" s="8">
        <v>0</v>
      </c>
      <c r="AF1619" s="8">
        <v>0</v>
      </c>
      <c r="AN1619" s="8">
        <v>0</v>
      </c>
      <c r="AO1619" s="8">
        <v>6</v>
      </c>
    </row>
    <row r="1620" spans="1:41" x14ac:dyDescent="0.25">
      <c r="A1620" s="6" t="str">
        <f t="shared" si="442"/>
        <v>522-2026000018</v>
      </c>
      <c r="B1620" s="6" t="str">
        <f t="shared" si="437"/>
        <v>EL CORTE</v>
      </c>
      <c r="C1620" s="7">
        <v>46027</v>
      </c>
      <c r="D1620" s="7">
        <v>46030</v>
      </c>
      <c r="E1620" s="8">
        <v>3</v>
      </c>
      <c r="F1620" s="6" t="str">
        <f t="shared" si="443"/>
        <v>94737401_07026</v>
      </c>
      <c r="G1620" s="6" t="str">
        <f t="shared" si="438"/>
        <v>F310631650000000</v>
      </c>
      <c r="H1620" s="6" t="str">
        <f t="shared" si="439"/>
        <v>PLAR 6316 FD - 500 g</v>
      </c>
      <c r="I1620" s="6" t="str">
        <f>"202575"</f>
        <v>202575</v>
      </c>
      <c r="J1620" s="6" t="str">
        <f>"BEGE 2575"</f>
        <v>BEGE 2575</v>
      </c>
      <c r="K1620" s="6" t="str">
        <f>"1024"</f>
        <v>1024</v>
      </c>
      <c r="L1620" s="6" t="str">
        <f>"Toalhas"</f>
        <v>Toalhas</v>
      </c>
      <c r="M1620" s="6" t="str">
        <f>"50x100"</f>
        <v>50x100</v>
      </c>
      <c r="N1620" s="6" t="str">
        <f>"5602972281088"</f>
        <v>5602972281088</v>
      </c>
      <c r="O1620" s="8">
        <v>6</v>
      </c>
      <c r="R1620" s="8">
        <v>0</v>
      </c>
      <c r="U1620" s="8">
        <v>0</v>
      </c>
      <c r="X1620" s="8">
        <v>0</v>
      </c>
      <c r="Z1620" s="8">
        <v>0</v>
      </c>
      <c r="AC1620" s="8">
        <v>0</v>
      </c>
      <c r="AF1620" s="8">
        <v>0</v>
      </c>
      <c r="AN1620" s="8">
        <v>6</v>
      </c>
      <c r="AO1620" s="8">
        <v>0</v>
      </c>
    </row>
    <row r="1621" spans="1:41" x14ac:dyDescent="0.25">
      <c r="A1621" s="6" t="str">
        <f t="shared" si="442"/>
        <v>522-2026000018</v>
      </c>
      <c r="B1621" s="6" t="str">
        <f t="shared" si="437"/>
        <v>EL CORTE</v>
      </c>
      <c r="C1621" s="7">
        <v>46027</v>
      </c>
      <c r="D1621" s="7">
        <v>46030</v>
      </c>
      <c r="E1621" s="8">
        <v>4</v>
      </c>
      <c r="F1621" s="6" t="str">
        <f t="shared" si="443"/>
        <v>94737401_07026</v>
      </c>
      <c r="G1621" s="6" t="str">
        <f t="shared" si="438"/>
        <v>F310631650000000</v>
      </c>
      <c r="H1621" s="6" t="str">
        <f t="shared" si="439"/>
        <v>PLAR 6316 FD - 500 g</v>
      </c>
      <c r="I1621" s="6" t="str">
        <f>"200901"</f>
        <v>200901</v>
      </c>
      <c r="J1621" s="6" t="str">
        <f>"ROSA 901"</f>
        <v>ROSA 901</v>
      </c>
      <c r="K1621" s="6" t="str">
        <f>"1024"</f>
        <v>1024</v>
      </c>
      <c r="L1621" s="6" t="str">
        <f>"Toalhas"</f>
        <v>Toalhas</v>
      </c>
      <c r="M1621" s="6" t="str">
        <f>"50x100"</f>
        <v>50x100</v>
      </c>
      <c r="N1621" s="6" t="str">
        <f>"5602972281118"</f>
        <v>5602972281118</v>
      </c>
      <c r="O1621" s="8">
        <v>6</v>
      </c>
      <c r="R1621" s="8">
        <v>0</v>
      </c>
      <c r="U1621" s="8">
        <v>0</v>
      </c>
      <c r="X1621" s="8">
        <v>0</v>
      </c>
      <c r="Z1621" s="8">
        <v>0</v>
      </c>
      <c r="AC1621" s="8">
        <v>0</v>
      </c>
      <c r="AF1621" s="8">
        <v>0</v>
      </c>
      <c r="AN1621" s="8">
        <v>6</v>
      </c>
      <c r="AO1621" s="8">
        <v>0</v>
      </c>
    </row>
    <row r="1622" spans="1:41" x14ac:dyDescent="0.25">
      <c r="A1622" s="6" t="str">
        <f t="shared" si="442"/>
        <v>522-2026000018</v>
      </c>
      <c r="B1622" s="6" t="str">
        <f t="shared" si="437"/>
        <v>EL CORTE</v>
      </c>
      <c r="C1622" s="7">
        <v>46027</v>
      </c>
      <c r="D1622" s="7">
        <v>46030</v>
      </c>
      <c r="E1622" s="8">
        <v>5</v>
      </c>
      <c r="F1622" s="6" t="str">
        <f t="shared" si="443"/>
        <v>94737401_07026</v>
      </c>
      <c r="G1622" s="6" t="str">
        <f t="shared" si="438"/>
        <v>F310631650000000</v>
      </c>
      <c r="H1622" s="6" t="str">
        <f t="shared" si="439"/>
        <v>PLAR 6316 FD - 500 g</v>
      </c>
      <c r="I1622" s="6" t="str">
        <f>"200901"</f>
        <v>200901</v>
      </c>
      <c r="J1622" s="6" t="str">
        <f>"ROSA 901"</f>
        <v>ROSA 901</v>
      </c>
      <c r="K1622" s="6" t="str">
        <f>"2020"</f>
        <v>2020</v>
      </c>
      <c r="L1622" s="6" t="str">
        <f>"Lençóis"</f>
        <v>Lençóis</v>
      </c>
      <c r="M1622" s="6" t="str">
        <f>"100x150"</f>
        <v>100x150</v>
      </c>
      <c r="N1622" s="6" t="str">
        <f>"5602972281125"</f>
        <v>5602972281125</v>
      </c>
      <c r="O1622" s="8">
        <v>3</v>
      </c>
      <c r="R1622" s="8">
        <v>0</v>
      </c>
      <c r="U1622" s="8">
        <v>0</v>
      </c>
      <c r="X1622" s="8">
        <v>0</v>
      </c>
      <c r="Z1622" s="8">
        <v>0</v>
      </c>
      <c r="AC1622" s="8">
        <v>0</v>
      </c>
      <c r="AF1622" s="8">
        <v>0</v>
      </c>
      <c r="AN1622" s="8">
        <v>3</v>
      </c>
      <c r="AO1622" s="8">
        <v>0</v>
      </c>
    </row>
    <row r="1623" spans="1:41" x14ac:dyDescent="0.25">
      <c r="A1623" s="6" t="str">
        <f t="shared" si="442"/>
        <v>522-2026000018</v>
      </c>
      <c r="B1623" s="6" t="str">
        <f t="shared" si="437"/>
        <v>EL CORTE</v>
      </c>
      <c r="C1623" s="7">
        <v>46027</v>
      </c>
      <c r="D1623" s="7">
        <v>46030</v>
      </c>
      <c r="E1623" s="8">
        <v>6</v>
      </c>
      <c r="F1623" s="6" t="str">
        <f t="shared" si="443"/>
        <v>94737401_07026</v>
      </c>
      <c r="G1623" s="6" t="str">
        <f t="shared" si="438"/>
        <v>F310631650000000</v>
      </c>
      <c r="H1623" s="6" t="str">
        <f t="shared" si="439"/>
        <v>PLAR 6316 FD - 500 g</v>
      </c>
      <c r="I1623" s="6" t="str">
        <f>"200510"</f>
        <v>200510</v>
      </c>
      <c r="J1623" s="6" t="str">
        <f>"VERDE 510"</f>
        <v>VERDE 510</v>
      </c>
      <c r="K1623" s="6" t="str">
        <f>"1024"</f>
        <v>1024</v>
      </c>
      <c r="L1623" s="6" t="str">
        <f>"Toalhas"</f>
        <v>Toalhas</v>
      </c>
      <c r="M1623" s="6" t="str">
        <f>"50x100"</f>
        <v>50x100</v>
      </c>
      <c r="N1623" s="6" t="str">
        <f>"5602972281149"</f>
        <v>5602972281149</v>
      </c>
      <c r="O1623" s="8">
        <v>6</v>
      </c>
      <c r="R1623" s="8">
        <v>0</v>
      </c>
      <c r="U1623" s="8">
        <v>0</v>
      </c>
      <c r="X1623" s="8">
        <v>0</v>
      </c>
      <c r="Z1623" s="8">
        <v>0</v>
      </c>
      <c r="AC1623" s="8">
        <v>0</v>
      </c>
      <c r="AF1623" s="8">
        <v>0</v>
      </c>
      <c r="AN1623" s="8">
        <v>6</v>
      </c>
      <c r="AO1623" s="8">
        <v>0</v>
      </c>
    </row>
    <row r="1624" spans="1:41" x14ac:dyDescent="0.25">
      <c r="A1624" s="6" t="str">
        <f>"522-2026000019"</f>
        <v>522-2026000019</v>
      </c>
      <c r="B1624" s="6" t="str">
        <f t="shared" si="437"/>
        <v>EL CORTE</v>
      </c>
      <c r="C1624" s="7">
        <v>46027</v>
      </c>
      <c r="D1624" s="7">
        <v>46030</v>
      </c>
      <c r="E1624" s="8">
        <v>1</v>
      </c>
      <c r="F1624" s="6" t="str">
        <f>"94735201_07026"</f>
        <v>94735201_07026</v>
      </c>
      <c r="G1624" s="6" t="str">
        <f t="shared" si="438"/>
        <v>F310631650000000</v>
      </c>
      <c r="H1624" s="6" t="str">
        <f t="shared" si="439"/>
        <v>PLAR 6316 FD - 500 g</v>
      </c>
      <c r="I1624" s="6" t="str">
        <f>"202575"</f>
        <v>202575</v>
      </c>
      <c r="J1624" s="6" t="str">
        <f>"BEGE 2575"</f>
        <v>BEGE 2575</v>
      </c>
      <c r="K1624" s="6" t="str">
        <f>"2020"</f>
        <v>2020</v>
      </c>
      <c r="L1624" s="6" t="str">
        <f>"Lençóis"</f>
        <v>Lençóis</v>
      </c>
      <c r="M1624" s="6" t="str">
        <f>"100x150"</f>
        <v>100x150</v>
      </c>
      <c r="N1624" s="6" t="str">
        <f>"5602972281095"</f>
        <v>5602972281095</v>
      </c>
      <c r="O1624" s="8">
        <v>3</v>
      </c>
      <c r="R1624" s="8">
        <v>0</v>
      </c>
      <c r="U1624" s="8">
        <v>0</v>
      </c>
      <c r="X1624" s="8">
        <v>0</v>
      </c>
      <c r="Z1624" s="8">
        <v>0</v>
      </c>
      <c r="AC1624" s="8">
        <v>0</v>
      </c>
      <c r="AF1624" s="8">
        <v>0</v>
      </c>
      <c r="AN1624" s="8">
        <v>0</v>
      </c>
      <c r="AO1624" s="8">
        <v>3</v>
      </c>
    </row>
    <row r="1625" spans="1:41" x14ac:dyDescent="0.25">
      <c r="A1625" s="6" t="str">
        <f>"522-2026000020"</f>
        <v>522-2026000020</v>
      </c>
      <c r="B1625" s="6" t="str">
        <f t="shared" si="437"/>
        <v>EL CORTE</v>
      </c>
      <c r="C1625" s="7">
        <v>46027</v>
      </c>
      <c r="D1625" s="7">
        <v>46030</v>
      </c>
      <c r="E1625" s="8">
        <v>1</v>
      </c>
      <c r="F1625" s="6" t="str">
        <f>"94735801_07026"</f>
        <v>94735801_07026</v>
      </c>
      <c r="G1625" s="6" t="str">
        <f t="shared" si="438"/>
        <v>F310631650000000</v>
      </c>
      <c r="H1625" s="6" t="str">
        <f t="shared" si="439"/>
        <v>PLAR 6316 FD - 500 g</v>
      </c>
      <c r="I1625" s="6" t="str">
        <f>"201855"</f>
        <v>201855</v>
      </c>
      <c r="J1625" s="6" t="str">
        <f>"AZUL 1855"</f>
        <v>AZUL 1855</v>
      </c>
      <c r="K1625" s="6" t="str">
        <f>"2020"</f>
        <v>2020</v>
      </c>
      <c r="L1625" s="6" t="str">
        <f>"Lençóis"</f>
        <v>Lençóis</v>
      </c>
      <c r="M1625" s="6" t="str">
        <f>"100x150"</f>
        <v>100x150</v>
      </c>
      <c r="N1625" s="6" t="str">
        <f>"5602972281064"</f>
        <v>5602972281064</v>
      </c>
      <c r="O1625" s="8">
        <v>3</v>
      </c>
      <c r="R1625" s="8">
        <v>0</v>
      </c>
      <c r="U1625" s="8">
        <v>0</v>
      </c>
      <c r="X1625" s="8">
        <v>0</v>
      </c>
      <c r="Z1625" s="8">
        <v>0</v>
      </c>
      <c r="AC1625" s="8">
        <v>0</v>
      </c>
      <c r="AF1625" s="8">
        <v>0</v>
      </c>
      <c r="AN1625" s="8">
        <v>0</v>
      </c>
      <c r="AO1625" s="8">
        <v>3</v>
      </c>
    </row>
    <row r="1626" spans="1:41" x14ac:dyDescent="0.25">
      <c r="A1626" s="6" t="str">
        <f>"522-2026000020"</f>
        <v>522-2026000020</v>
      </c>
      <c r="B1626" s="6" t="str">
        <f t="shared" si="437"/>
        <v>EL CORTE</v>
      </c>
      <c r="C1626" s="7">
        <v>46027</v>
      </c>
      <c r="D1626" s="7">
        <v>46030</v>
      </c>
      <c r="E1626" s="8">
        <v>2</v>
      </c>
      <c r="F1626" s="6" t="str">
        <f>"94735801_07026"</f>
        <v>94735801_07026</v>
      </c>
      <c r="G1626" s="6" t="str">
        <f t="shared" si="438"/>
        <v>F310631650000000</v>
      </c>
      <c r="H1626" s="6" t="str">
        <f t="shared" si="439"/>
        <v>PLAR 6316 FD - 500 g</v>
      </c>
      <c r="I1626" s="6" t="str">
        <f>"200510"</f>
        <v>200510</v>
      </c>
      <c r="J1626" s="6" t="str">
        <f>"VERDE 510"</f>
        <v>VERDE 510</v>
      </c>
      <c r="K1626" s="6" t="str">
        <f>"1024"</f>
        <v>1024</v>
      </c>
      <c r="L1626" s="6" t="str">
        <f>"Toalhas"</f>
        <v>Toalhas</v>
      </c>
      <c r="M1626" s="6" t="str">
        <f>"50x100"</f>
        <v>50x100</v>
      </c>
      <c r="N1626" s="6" t="str">
        <f>"5602972281149"</f>
        <v>5602972281149</v>
      </c>
      <c r="O1626" s="8">
        <v>6</v>
      </c>
      <c r="R1626" s="8">
        <v>0</v>
      </c>
      <c r="U1626" s="8">
        <v>0</v>
      </c>
      <c r="X1626" s="8">
        <v>0</v>
      </c>
      <c r="Z1626" s="8">
        <v>0</v>
      </c>
      <c r="AC1626" s="8">
        <v>0</v>
      </c>
      <c r="AF1626" s="8">
        <v>0</v>
      </c>
      <c r="AN1626" s="8">
        <v>6</v>
      </c>
      <c r="AO1626" s="8">
        <v>0</v>
      </c>
    </row>
    <row r="1627" spans="1:41" x14ac:dyDescent="0.25">
      <c r="A1627" s="6" t="str">
        <f>"522-2026000021"</f>
        <v>522-2026000021</v>
      </c>
      <c r="B1627" s="6" t="str">
        <f t="shared" si="437"/>
        <v>EL CORTE</v>
      </c>
      <c r="C1627" s="7">
        <v>46027</v>
      </c>
      <c r="D1627" s="7">
        <v>46030</v>
      </c>
      <c r="E1627" s="8">
        <v>1</v>
      </c>
      <c r="F1627" s="6" t="str">
        <f>"94737101_07026"</f>
        <v>94737101_07026</v>
      </c>
      <c r="G1627" s="6" t="str">
        <f t="shared" si="438"/>
        <v>F310631650000000</v>
      </c>
      <c r="H1627" s="6" t="str">
        <f t="shared" si="439"/>
        <v>PLAR 6316 FD - 500 g</v>
      </c>
      <c r="I1627" s="6" t="str">
        <f>"200510"</f>
        <v>200510</v>
      </c>
      <c r="J1627" s="6" t="str">
        <f>"VERDE 510"</f>
        <v>VERDE 510</v>
      </c>
      <c r="K1627" s="6" t="str">
        <f>"0520"</f>
        <v>0520</v>
      </c>
      <c r="L1627" s="6" t="str">
        <f>"Toalhetes"</f>
        <v>Toalhetes</v>
      </c>
      <c r="M1627" s="6" t="str">
        <f>"30x50"</f>
        <v>30x50</v>
      </c>
      <c r="N1627" s="6" t="str">
        <f>"5602972281132"</f>
        <v>5602972281132</v>
      </c>
      <c r="O1627" s="8">
        <v>6</v>
      </c>
      <c r="R1627" s="8">
        <v>0</v>
      </c>
      <c r="U1627" s="8">
        <v>0</v>
      </c>
      <c r="X1627" s="8">
        <v>0</v>
      </c>
      <c r="Z1627" s="8">
        <v>0</v>
      </c>
      <c r="AC1627" s="8">
        <v>0</v>
      </c>
      <c r="AF1627" s="8">
        <v>0</v>
      </c>
      <c r="AN1627" s="8">
        <v>6</v>
      </c>
      <c r="AO1627" s="8">
        <v>0</v>
      </c>
    </row>
    <row r="1628" spans="1:41" x14ac:dyDescent="0.25">
      <c r="A1628" s="6" t="str">
        <f>"522-2026000022"</f>
        <v>522-2026000022</v>
      </c>
      <c r="B1628" s="6" t="str">
        <f t="shared" si="437"/>
        <v>EL CORTE</v>
      </c>
      <c r="C1628" s="7">
        <v>46027</v>
      </c>
      <c r="D1628" s="7">
        <v>46030</v>
      </c>
      <c r="E1628" s="8">
        <v>1</v>
      </c>
      <c r="F1628" s="6" t="str">
        <f>"94736301_07026"</f>
        <v>94736301_07026</v>
      </c>
      <c r="G1628" s="6" t="str">
        <f t="shared" si="438"/>
        <v>F310631650000000</v>
      </c>
      <c r="H1628" s="6" t="str">
        <f t="shared" si="439"/>
        <v>PLAR 6316 FD - 500 g</v>
      </c>
      <c r="I1628" s="6" t="str">
        <f>"201855"</f>
        <v>201855</v>
      </c>
      <c r="J1628" s="6" t="str">
        <f>"AZUL 1855"</f>
        <v>AZUL 1855</v>
      </c>
      <c r="K1628" s="6" t="str">
        <f>"1024"</f>
        <v>1024</v>
      </c>
      <c r="L1628" s="6" t="str">
        <f>"Toalhas"</f>
        <v>Toalhas</v>
      </c>
      <c r="M1628" s="6" t="str">
        <f>"50x100"</f>
        <v>50x100</v>
      </c>
      <c r="N1628" s="6" t="str">
        <f>"5602972281057"</f>
        <v>5602972281057</v>
      </c>
      <c r="O1628" s="8">
        <v>6</v>
      </c>
      <c r="R1628" s="8">
        <v>0</v>
      </c>
      <c r="U1628" s="8">
        <v>0</v>
      </c>
      <c r="X1628" s="8">
        <v>0</v>
      </c>
      <c r="Z1628" s="8">
        <v>0</v>
      </c>
      <c r="AC1628" s="8">
        <v>0</v>
      </c>
      <c r="AF1628" s="8">
        <v>0</v>
      </c>
      <c r="AN1628" s="8">
        <v>6</v>
      </c>
      <c r="AO1628" s="8">
        <v>0</v>
      </c>
    </row>
    <row r="1629" spans="1:41" x14ac:dyDescent="0.25">
      <c r="A1629" s="6" t="str">
        <f>"522-2026000022"</f>
        <v>522-2026000022</v>
      </c>
      <c r="B1629" s="6" t="str">
        <f t="shared" si="437"/>
        <v>EL CORTE</v>
      </c>
      <c r="C1629" s="7">
        <v>46027</v>
      </c>
      <c r="D1629" s="7">
        <v>46030</v>
      </c>
      <c r="E1629" s="8">
        <v>2</v>
      </c>
      <c r="F1629" s="6" t="str">
        <f>"94736301_07026"</f>
        <v>94736301_07026</v>
      </c>
      <c r="G1629" s="6" t="str">
        <f t="shared" si="438"/>
        <v>F310631650000000</v>
      </c>
      <c r="H1629" s="6" t="str">
        <f t="shared" si="439"/>
        <v>PLAR 6316 FD - 500 g</v>
      </c>
      <c r="I1629" s="6" t="str">
        <f>"201855"</f>
        <v>201855</v>
      </c>
      <c r="J1629" s="6" t="str">
        <f>"AZUL 1855"</f>
        <v>AZUL 1855</v>
      </c>
      <c r="K1629" s="6" t="str">
        <f>"2020"</f>
        <v>2020</v>
      </c>
      <c r="L1629" s="6" t="str">
        <f>"Lençóis"</f>
        <v>Lençóis</v>
      </c>
      <c r="M1629" s="6" t="str">
        <f>"100x150"</f>
        <v>100x150</v>
      </c>
      <c r="N1629" s="6" t="str">
        <f>"5602972281064"</f>
        <v>5602972281064</v>
      </c>
      <c r="O1629" s="8">
        <v>3</v>
      </c>
      <c r="R1629" s="8">
        <v>0</v>
      </c>
      <c r="U1629" s="8">
        <v>0</v>
      </c>
      <c r="X1629" s="8">
        <v>0</v>
      </c>
      <c r="Z1629" s="8">
        <v>0</v>
      </c>
      <c r="AC1629" s="8">
        <v>0</v>
      </c>
      <c r="AF1629" s="8">
        <v>0</v>
      </c>
      <c r="AN1629" s="8">
        <v>0</v>
      </c>
      <c r="AO1629" s="8">
        <v>3</v>
      </c>
    </row>
    <row r="1630" spans="1:41" x14ac:dyDescent="0.25">
      <c r="A1630" s="6" t="str">
        <f>"522-2026000022"</f>
        <v>522-2026000022</v>
      </c>
      <c r="B1630" s="6" t="str">
        <f t="shared" si="437"/>
        <v>EL CORTE</v>
      </c>
      <c r="C1630" s="7">
        <v>46027</v>
      </c>
      <c r="D1630" s="7">
        <v>46030</v>
      </c>
      <c r="E1630" s="8">
        <v>3</v>
      </c>
      <c r="F1630" s="6" t="str">
        <f>"94736301_07026"</f>
        <v>94736301_07026</v>
      </c>
      <c r="G1630" s="6" t="str">
        <f t="shared" si="438"/>
        <v>F310631650000000</v>
      </c>
      <c r="H1630" s="6" t="str">
        <f t="shared" si="439"/>
        <v>PLAR 6316 FD - 500 g</v>
      </c>
      <c r="I1630" s="6" t="str">
        <f>"200901"</f>
        <v>200901</v>
      </c>
      <c r="J1630" s="6" t="str">
        <f>"ROSA 901"</f>
        <v>ROSA 901</v>
      </c>
      <c r="K1630" s="6" t="str">
        <f>"1024"</f>
        <v>1024</v>
      </c>
      <c r="L1630" s="6" t="str">
        <f>"Toalhas"</f>
        <v>Toalhas</v>
      </c>
      <c r="M1630" s="6" t="str">
        <f>"50x100"</f>
        <v>50x100</v>
      </c>
      <c r="N1630" s="6" t="str">
        <f>"5602972281118"</f>
        <v>5602972281118</v>
      </c>
      <c r="O1630" s="8">
        <v>6</v>
      </c>
      <c r="R1630" s="8">
        <v>0</v>
      </c>
      <c r="U1630" s="8">
        <v>0</v>
      </c>
      <c r="X1630" s="8">
        <v>0</v>
      </c>
      <c r="Z1630" s="8">
        <v>0</v>
      </c>
      <c r="AC1630" s="8">
        <v>0</v>
      </c>
      <c r="AF1630" s="8">
        <v>0</v>
      </c>
      <c r="AN1630" s="8">
        <v>6</v>
      </c>
      <c r="AO1630" s="8">
        <v>0</v>
      </c>
    </row>
    <row r="1631" spans="1:41" x14ac:dyDescent="0.25">
      <c r="A1631" s="6" t="str">
        <f>"522-2026000023"</f>
        <v>522-2026000023</v>
      </c>
      <c r="B1631" s="6" t="str">
        <f t="shared" si="437"/>
        <v>EL CORTE</v>
      </c>
      <c r="C1631" s="7">
        <v>46027</v>
      </c>
      <c r="D1631" s="7">
        <v>46030</v>
      </c>
      <c r="E1631" s="8">
        <v>1</v>
      </c>
      <c r="F1631" s="6" t="str">
        <f>"94736001_07026"</f>
        <v>94736001_07026</v>
      </c>
      <c r="G1631" s="6" t="str">
        <f t="shared" si="438"/>
        <v>F310631650000000</v>
      </c>
      <c r="H1631" s="6" t="str">
        <f t="shared" si="439"/>
        <v>PLAR 6316 FD - 500 g</v>
      </c>
      <c r="I1631" s="6" t="str">
        <f>"201855"</f>
        <v>201855</v>
      </c>
      <c r="J1631" s="6" t="str">
        <f>"AZUL 1855"</f>
        <v>AZUL 1855</v>
      </c>
      <c r="K1631" s="6" t="str">
        <f>"1024"</f>
        <v>1024</v>
      </c>
      <c r="L1631" s="6" t="str">
        <f>"Toalhas"</f>
        <v>Toalhas</v>
      </c>
      <c r="M1631" s="6" t="str">
        <f>"50x100"</f>
        <v>50x100</v>
      </c>
      <c r="N1631" s="6" t="str">
        <f>"5602972281057"</f>
        <v>5602972281057</v>
      </c>
      <c r="O1631" s="8">
        <v>6</v>
      </c>
      <c r="R1631" s="8">
        <v>0</v>
      </c>
      <c r="U1631" s="8">
        <v>0</v>
      </c>
      <c r="X1631" s="8">
        <v>0</v>
      </c>
      <c r="Z1631" s="8">
        <v>0</v>
      </c>
      <c r="AC1631" s="8">
        <v>0</v>
      </c>
      <c r="AF1631" s="8">
        <v>0</v>
      </c>
      <c r="AN1631" s="8">
        <v>6</v>
      </c>
      <c r="AO1631" s="8">
        <v>0</v>
      </c>
    </row>
    <row r="1632" spans="1:41" x14ac:dyDescent="0.25">
      <c r="A1632" s="6" t="str">
        <f>"522-2026000023"</f>
        <v>522-2026000023</v>
      </c>
      <c r="B1632" s="6" t="str">
        <f t="shared" si="437"/>
        <v>EL CORTE</v>
      </c>
      <c r="C1632" s="7">
        <v>46027</v>
      </c>
      <c r="D1632" s="7">
        <v>46030</v>
      </c>
      <c r="E1632" s="8">
        <v>2</v>
      </c>
      <c r="F1632" s="6" t="str">
        <f>"94736001_07026"</f>
        <v>94736001_07026</v>
      </c>
      <c r="G1632" s="6" t="str">
        <f t="shared" si="438"/>
        <v>F310631650000000</v>
      </c>
      <c r="H1632" s="6" t="str">
        <f t="shared" si="439"/>
        <v>PLAR 6316 FD - 500 g</v>
      </c>
      <c r="I1632" s="6" t="str">
        <f>"202575"</f>
        <v>202575</v>
      </c>
      <c r="J1632" s="6" t="str">
        <f>"BEGE 2575"</f>
        <v>BEGE 2575</v>
      </c>
      <c r="K1632" s="6" t="str">
        <f>"0520"</f>
        <v>0520</v>
      </c>
      <c r="L1632" s="6" t="str">
        <f>"Toalhetes"</f>
        <v>Toalhetes</v>
      </c>
      <c r="M1632" s="6" t="str">
        <f>"30x50"</f>
        <v>30x50</v>
      </c>
      <c r="N1632" s="6" t="str">
        <f>"5602972281071"</f>
        <v>5602972281071</v>
      </c>
      <c r="O1632" s="8">
        <v>6</v>
      </c>
      <c r="R1632" s="8">
        <v>0</v>
      </c>
      <c r="U1632" s="8">
        <v>0</v>
      </c>
      <c r="X1632" s="8">
        <v>0</v>
      </c>
      <c r="Z1632" s="8">
        <v>0</v>
      </c>
      <c r="AC1632" s="8">
        <v>0</v>
      </c>
      <c r="AF1632" s="8">
        <v>0</v>
      </c>
      <c r="AN1632" s="8">
        <v>6</v>
      </c>
      <c r="AO1632" s="8">
        <v>0</v>
      </c>
    </row>
    <row r="1633" spans="1:41" x14ac:dyDescent="0.25">
      <c r="A1633" s="6" t="str">
        <f>"522-2026000023"</f>
        <v>522-2026000023</v>
      </c>
      <c r="B1633" s="6" t="str">
        <f t="shared" si="437"/>
        <v>EL CORTE</v>
      </c>
      <c r="C1633" s="7">
        <v>46027</v>
      </c>
      <c r="D1633" s="7">
        <v>46030</v>
      </c>
      <c r="E1633" s="8">
        <v>3</v>
      </c>
      <c r="F1633" s="6" t="str">
        <f>"94736001_07026"</f>
        <v>94736001_07026</v>
      </c>
      <c r="G1633" s="6" t="str">
        <f t="shared" si="438"/>
        <v>F310631650000000</v>
      </c>
      <c r="H1633" s="6" t="str">
        <f t="shared" si="439"/>
        <v>PLAR 6316 FD - 500 g</v>
      </c>
      <c r="I1633" s="6" t="str">
        <f>"202575"</f>
        <v>202575</v>
      </c>
      <c r="J1633" s="6" t="str">
        <f>"BEGE 2575"</f>
        <v>BEGE 2575</v>
      </c>
      <c r="K1633" s="6" t="str">
        <f>"2020"</f>
        <v>2020</v>
      </c>
      <c r="L1633" s="6" t="str">
        <f>"Lençóis"</f>
        <v>Lençóis</v>
      </c>
      <c r="M1633" s="6" t="str">
        <f>"100x150"</f>
        <v>100x150</v>
      </c>
      <c r="N1633" s="6" t="str">
        <f>"5602972281095"</f>
        <v>5602972281095</v>
      </c>
      <c r="O1633" s="8">
        <v>3</v>
      </c>
      <c r="R1633" s="8">
        <v>0</v>
      </c>
      <c r="U1633" s="8">
        <v>0</v>
      </c>
      <c r="X1633" s="8">
        <v>0</v>
      </c>
      <c r="Z1633" s="8">
        <v>0</v>
      </c>
      <c r="AC1633" s="8">
        <v>0</v>
      </c>
      <c r="AF1633" s="8">
        <v>0</v>
      </c>
      <c r="AN1633" s="8">
        <v>3</v>
      </c>
      <c r="AO1633" s="8">
        <v>0</v>
      </c>
    </row>
    <row r="1634" spans="1:41" x14ac:dyDescent="0.25">
      <c r="A1634" s="6" t="str">
        <f>"522-2026000023"</f>
        <v>522-2026000023</v>
      </c>
      <c r="B1634" s="6" t="str">
        <f t="shared" si="437"/>
        <v>EL CORTE</v>
      </c>
      <c r="C1634" s="7">
        <v>46027</v>
      </c>
      <c r="D1634" s="7">
        <v>46030</v>
      </c>
      <c r="E1634" s="8">
        <v>4</v>
      </c>
      <c r="F1634" s="6" t="str">
        <f>"94736001_07026"</f>
        <v>94736001_07026</v>
      </c>
      <c r="G1634" s="6" t="str">
        <f t="shared" si="438"/>
        <v>F310631650000000</v>
      </c>
      <c r="H1634" s="6" t="str">
        <f t="shared" si="439"/>
        <v>PLAR 6316 FD - 500 g</v>
      </c>
      <c r="I1634" s="6" t="str">
        <f>"200510"</f>
        <v>200510</v>
      </c>
      <c r="J1634" s="6" t="str">
        <f>"VERDE 510"</f>
        <v>VERDE 510</v>
      </c>
      <c r="K1634" s="6" t="str">
        <f>"2020"</f>
        <v>2020</v>
      </c>
      <c r="L1634" s="6" t="str">
        <f>"Lençóis"</f>
        <v>Lençóis</v>
      </c>
      <c r="M1634" s="6" t="str">
        <f>"100x150"</f>
        <v>100x150</v>
      </c>
      <c r="N1634" s="6" t="str">
        <f>"5602972281156"</f>
        <v>5602972281156</v>
      </c>
      <c r="O1634" s="8">
        <v>3</v>
      </c>
      <c r="R1634" s="8">
        <v>0</v>
      </c>
      <c r="U1634" s="8">
        <v>0</v>
      </c>
      <c r="X1634" s="8">
        <v>0</v>
      </c>
      <c r="Z1634" s="8">
        <v>0</v>
      </c>
      <c r="AC1634" s="8">
        <v>0</v>
      </c>
      <c r="AF1634" s="8">
        <v>0</v>
      </c>
      <c r="AN1634" s="8">
        <v>3</v>
      </c>
      <c r="AO1634" s="8">
        <v>0</v>
      </c>
    </row>
    <row r="1635" spans="1:41" x14ac:dyDescent="0.25">
      <c r="A1635" s="6" t="str">
        <f>"522-2026000024"</f>
        <v>522-2026000024</v>
      </c>
      <c r="B1635" s="6" t="str">
        <f t="shared" si="437"/>
        <v>EL CORTE</v>
      </c>
      <c r="C1635" s="7">
        <v>46027</v>
      </c>
      <c r="D1635" s="7">
        <v>46030</v>
      </c>
      <c r="E1635" s="8">
        <v>1</v>
      </c>
      <c r="F1635" s="6" t="str">
        <f>"94736801_07026"</f>
        <v>94736801_07026</v>
      </c>
      <c r="G1635" s="6" t="str">
        <f t="shared" si="438"/>
        <v>F310631650000000</v>
      </c>
      <c r="H1635" s="6" t="str">
        <f t="shared" si="439"/>
        <v>PLAR 6316 FD - 500 g</v>
      </c>
      <c r="I1635" s="6" t="str">
        <f>"202575"</f>
        <v>202575</v>
      </c>
      <c r="J1635" s="6" t="str">
        <f>"BEGE 2575"</f>
        <v>BEGE 2575</v>
      </c>
      <c r="K1635" s="6" t="str">
        <f>"0520"</f>
        <v>0520</v>
      </c>
      <c r="L1635" s="6" t="str">
        <f>"Toalhetes"</f>
        <v>Toalhetes</v>
      </c>
      <c r="M1635" s="6" t="str">
        <f>"30x50"</f>
        <v>30x50</v>
      </c>
      <c r="N1635" s="6" t="str">
        <f>"5602972281071"</f>
        <v>5602972281071</v>
      </c>
      <c r="O1635" s="8">
        <v>6</v>
      </c>
      <c r="R1635" s="8">
        <v>0</v>
      </c>
      <c r="U1635" s="8">
        <v>0</v>
      </c>
      <c r="X1635" s="8">
        <v>0</v>
      </c>
      <c r="Z1635" s="8">
        <v>0</v>
      </c>
      <c r="AC1635" s="8">
        <v>0</v>
      </c>
      <c r="AF1635" s="8">
        <v>0</v>
      </c>
      <c r="AN1635" s="8">
        <v>6</v>
      </c>
      <c r="AO1635" s="8">
        <v>0</v>
      </c>
    </row>
    <row r="1636" spans="1:41" x14ac:dyDescent="0.25">
      <c r="A1636" s="6" t="str">
        <f>"522-2026000025"</f>
        <v>522-2026000025</v>
      </c>
      <c r="B1636" s="6" t="str">
        <f t="shared" si="437"/>
        <v>EL CORTE</v>
      </c>
      <c r="C1636" s="7">
        <v>46027</v>
      </c>
      <c r="D1636" s="7">
        <v>46030</v>
      </c>
      <c r="E1636" s="8">
        <v>1</v>
      </c>
      <c r="F1636" s="6" t="str">
        <f>"94735701_07026"</f>
        <v>94735701_07026</v>
      </c>
      <c r="G1636" s="6" t="str">
        <f t="shared" si="438"/>
        <v>F310631650000000</v>
      </c>
      <c r="H1636" s="6" t="str">
        <f t="shared" si="439"/>
        <v>PLAR 6316 FD - 500 g</v>
      </c>
      <c r="I1636" s="6" t="str">
        <f>"200901"</f>
        <v>200901</v>
      </c>
      <c r="J1636" s="6" t="str">
        <f>"ROSA 901"</f>
        <v>ROSA 901</v>
      </c>
      <c r="K1636" s="6" t="str">
        <f>"0520"</f>
        <v>0520</v>
      </c>
      <c r="L1636" s="6" t="str">
        <f>"Toalhetes"</f>
        <v>Toalhetes</v>
      </c>
      <c r="M1636" s="6" t="str">
        <f>"30x50"</f>
        <v>30x50</v>
      </c>
      <c r="N1636" s="6" t="str">
        <f>"5602972281101"</f>
        <v>5602972281101</v>
      </c>
      <c r="O1636" s="8">
        <v>6</v>
      </c>
      <c r="R1636" s="8">
        <v>0</v>
      </c>
      <c r="U1636" s="8">
        <v>0</v>
      </c>
      <c r="X1636" s="8">
        <v>0</v>
      </c>
      <c r="Z1636" s="8">
        <v>0</v>
      </c>
      <c r="AC1636" s="8">
        <v>0</v>
      </c>
      <c r="AF1636" s="8">
        <v>0</v>
      </c>
      <c r="AN1636" s="8">
        <v>6</v>
      </c>
      <c r="AO1636" s="8">
        <v>0</v>
      </c>
    </row>
    <row r="1637" spans="1:41" x14ac:dyDescent="0.25">
      <c r="A1637" s="6" t="str">
        <f>"522-2026000025"</f>
        <v>522-2026000025</v>
      </c>
      <c r="B1637" s="6" t="str">
        <f t="shared" si="437"/>
        <v>EL CORTE</v>
      </c>
      <c r="C1637" s="7">
        <v>46027</v>
      </c>
      <c r="D1637" s="7">
        <v>46030</v>
      </c>
      <c r="E1637" s="8">
        <v>2</v>
      </c>
      <c r="F1637" s="6" t="str">
        <f>"94735701_07026"</f>
        <v>94735701_07026</v>
      </c>
      <c r="G1637" s="6" t="str">
        <f t="shared" si="438"/>
        <v>F310631650000000</v>
      </c>
      <c r="H1637" s="6" t="str">
        <f t="shared" si="439"/>
        <v>PLAR 6316 FD - 500 g</v>
      </c>
      <c r="I1637" s="6" t="str">
        <f>"200510"</f>
        <v>200510</v>
      </c>
      <c r="J1637" s="6" t="str">
        <f>"VERDE 510"</f>
        <v>VERDE 510</v>
      </c>
      <c r="K1637" s="6" t="str">
        <f>"0520"</f>
        <v>0520</v>
      </c>
      <c r="L1637" s="6" t="str">
        <f>"Toalhetes"</f>
        <v>Toalhetes</v>
      </c>
      <c r="M1637" s="6" t="str">
        <f>"30x50"</f>
        <v>30x50</v>
      </c>
      <c r="N1637" s="6" t="str">
        <f>"5602972281132"</f>
        <v>5602972281132</v>
      </c>
      <c r="O1637" s="8">
        <v>6</v>
      </c>
      <c r="R1637" s="8">
        <v>0</v>
      </c>
      <c r="U1637" s="8">
        <v>0</v>
      </c>
      <c r="X1637" s="8">
        <v>0</v>
      </c>
      <c r="Z1637" s="8">
        <v>0</v>
      </c>
      <c r="AC1637" s="8">
        <v>0</v>
      </c>
      <c r="AF1637" s="8">
        <v>0</v>
      </c>
      <c r="AN1637" s="8">
        <v>6</v>
      </c>
      <c r="AO1637" s="8">
        <v>0</v>
      </c>
    </row>
    <row r="1638" spans="1:41" x14ac:dyDescent="0.25">
      <c r="A1638" s="6" t="str">
        <f>"522-2026000026"</f>
        <v>522-2026000026</v>
      </c>
      <c r="B1638" s="6" t="str">
        <f t="shared" si="437"/>
        <v>EL CORTE</v>
      </c>
      <c r="C1638" s="7">
        <v>46027</v>
      </c>
      <c r="D1638" s="7">
        <v>46030</v>
      </c>
      <c r="E1638" s="8">
        <v>1</v>
      </c>
      <c r="F1638" s="6" t="str">
        <f>"94737301_07026"</f>
        <v>94737301_07026</v>
      </c>
      <c r="G1638" s="6" t="str">
        <f t="shared" si="438"/>
        <v>F310631650000000</v>
      </c>
      <c r="H1638" s="6" t="str">
        <f t="shared" si="439"/>
        <v>PLAR 6316 FD - 500 g</v>
      </c>
      <c r="I1638" s="6" t="str">
        <f>"201855"</f>
        <v>201855</v>
      </c>
      <c r="J1638" s="6" t="str">
        <f>"AZUL 1855"</f>
        <v>AZUL 1855</v>
      </c>
      <c r="K1638" s="6" t="str">
        <f>"2020"</f>
        <v>2020</v>
      </c>
      <c r="L1638" s="6" t="str">
        <f>"Lençóis"</f>
        <v>Lençóis</v>
      </c>
      <c r="M1638" s="6" t="str">
        <f>"100x150"</f>
        <v>100x150</v>
      </c>
      <c r="N1638" s="6" t="str">
        <f>"5602972281064"</f>
        <v>5602972281064</v>
      </c>
      <c r="O1638" s="8">
        <v>3</v>
      </c>
      <c r="R1638" s="8">
        <v>0</v>
      </c>
      <c r="U1638" s="8">
        <v>0</v>
      </c>
      <c r="X1638" s="8">
        <v>0</v>
      </c>
      <c r="Z1638" s="8">
        <v>0</v>
      </c>
      <c r="AC1638" s="8">
        <v>0</v>
      </c>
      <c r="AF1638" s="8">
        <v>0</v>
      </c>
      <c r="AN1638" s="8">
        <v>0</v>
      </c>
      <c r="AO1638" s="8">
        <v>3</v>
      </c>
    </row>
    <row r="1639" spans="1:41" x14ac:dyDescent="0.25">
      <c r="A1639" s="6" t="str">
        <f>"522-2026000026"</f>
        <v>522-2026000026</v>
      </c>
      <c r="B1639" s="6" t="str">
        <f t="shared" si="437"/>
        <v>EL CORTE</v>
      </c>
      <c r="C1639" s="7">
        <v>46027</v>
      </c>
      <c r="D1639" s="7">
        <v>46030</v>
      </c>
      <c r="E1639" s="8">
        <v>2</v>
      </c>
      <c r="F1639" s="6" t="str">
        <f>"94737301_07026"</f>
        <v>94737301_07026</v>
      </c>
      <c r="G1639" s="6" t="str">
        <f t="shared" si="438"/>
        <v>F310631650000000</v>
      </c>
      <c r="H1639" s="6" t="str">
        <f t="shared" si="439"/>
        <v>PLAR 6316 FD - 500 g</v>
      </c>
      <c r="I1639" s="6" t="str">
        <f>"200901"</f>
        <v>200901</v>
      </c>
      <c r="J1639" s="6" t="str">
        <f>"ROSA 901"</f>
        <v>ROSA 901</v>
      </c>
      <c r="K1639" s="6" t="str">
        <f>"0520"</f>
        <v>0520</v>
      </c>
      <c r="L1639" s="6" t="str">
        <f>"Toalhetes"</f>
        <v>Toalhetes</v>
      </c>
      <c r="M1639" s="6" t="str">
        <f>"30x50"</f>
        <v>30x50</v>
      </c>
      <c r="N1639" s="6" t="str">
        <f>"5602972281101"</f>
        <v>5602972281101</v>
      </c>
      <c r="O1639" s="8">
        <v>6</v>
      </c>
      <c r="R1639" s="8">
        <v>0</v>
      </c>
      <c r="U1639" s="8">
        <v>0</v>
      </c>
      <c r="X1639" s="8">
        <v>0</v>
      </c>
      <c r="Z1639" s="8">
        <v>0</v>
      </c>
      <c r="AC1639" s="8">
        <v>0</v>
      </c>
      <c r="AF1639" s="8">
        <v>0</v>
      </c>
      <c r="AN1639" s="8">
        <v>6</v>
      </c>
      <c r="AO1639" s="8">
        <v>0</v>
      </c>
    </row>
    <row r="1640" spans="1:41" x14ac:dyDescent="0.25">
      <c r="A1640" s="6" t="str">
        <f>"522-2026000026"</f>
        <v>522-2026000026</v>
      </c>
      <c r="B1640" s="6" t="str">
        <f t="shared" si="437"/>
        <v>EL CORTE</v>
      </c>
      <c r="C1640" s="7">
        <v>46027</v>
      </c>
      <c r="D1640" s="7">
        <v>46030</v>
      </c>
      <c r="E1640" s="8">
        <v>3</v>
      </c>
      <c r="F1640" s="6" t="str">
        <f>"94737301_07026"</f>
        <v>94737301_07026</v>
      </c>
      <c r="G1640" s="6" t="str">
        <f t="shared" si="438"/>
        <v>F310631650000000</v>
      </c>
      <c r="H1640" s="6" t="str">
        <f t="shared" si="439"/>
        <v>PLAR 6316 FD - 500 g</v>
      </c>
      <c r="I1640" s="6" t="str">
        <f>"200901"</f>
        <v>200901</v>
      </c>
      <c r="J1640" s="6" t="str">
        <f>"ROSA 901"</f>
        <v>ROSA 901</v>
      </c>
      <c r="K1640" s="6" t="str">
        <f>"2020"</f>
        <v>2020</v>
      </c>
      <c r="L1640" s="6" t="str">
        <f>"Lençóis"</f>
        <v>Lençóis</v>
      </c>
      <c r="M1640" s="6" t="str">
        <f>"100x150"</f>
        <v>100x150</v>
      </c>
      <c r="N1640" s="6" t="str">
        <f>"5602972281125"</f>
        <v>5602972281125</v>
      </c>
      <c r="O1640" s="8">
        <v>3</v>
      </c>
      <c r="R1640" s="8">
        <v>0</v>
      </c>
      <c r="U1640" s="8">
        <v>0</v>
      </c>
      <c r="X1640" s="8">
        <v>0</v>
      </c>
      <c r="Z1640" s="8">
        <v>0</v>
      </c>
      <c r="AC1640" s="8">
        <v>0</v>
      </c>
      <c r="AF1640" s="8">
        <v>0</v>
      </c>
      <c r="AN1640" s="8">
        <v>0</v>
      </c>
      <c r="AO1640" s="8">
        <v>3</v>
      </c>
    </row>
    <row r="1641" spans="1:41" x14ac:dyDescent="0.25">
      <c r="A1641" s="6" t="str">
        <f>"522-2026000027"</f>
        <v>522-2026000027</v>
      </c>
      <c r="B1641" s="6" t="str">
        <f t="shared" si="437"/>
        <v>EL CORTE</v>
      </c>
      <c r="C1641" s="7">
        <v>46027</v>
      </c>
      <c r="D1641" s="7">
        <v>46030</v>
      </c>
      <c r="E1641" s="8">
        <v>1</v>
      </c>
      <c r="F1641" s="6" t="str">
        <f>"94735601_07026"</f>
        <v>94735601_07026</v>
      </c>
      <c r="G1641" s="6" t="str">
        <f t="shared" si="438"/>
        <v>F310631650000000</v>
      </c>
      <c r="H1641" s="6" t="str">
        <f t="shared" si="439"/>
        <v>PLAR 6316 FD - 500 g</v>
      </c>
      <c r="I1641" s="6" t="str">
        <f>"200901"</f>
        <v>200901</v>
      </c>
      <c r="J1641" s="6" t="str">
        <f>"ROSA 901"</f>
        <v>ROSA 901</v>
      </c>
      <c r="K1641" s="6" t="str">
        <f>"1024"</f>
        <v>1024</v>
      </c>
      <c r="L1641" s="6" t="str">
        <f>"Toalhas"</f>
        <v>Toalhas</v>
      </c>
      <c r="M1641" s="6" t="str">
        <f>"50x100"</f>
        <v>50x100</v>
      </c>
      <c r="N1641" s="6" t="str">
        <f>"5602972281118"</f>
        <v>5602972281118</v>
      </c>
      <c r="O1641" s="8">
        <v>6</v>
      </c>
      <c r="R1641" s="8">
        <v>0</v>
      </c>
      <c r="U1641" s="8">
        <v>0</v>
      </c>
      <c r="X1641" s="8">
        <v>0</v>
      </c>
      <c r="Z1641" s="8">
        <v>0</v>
      </c>
      <c r="AC1641" s="8">
        <v>0</v>
      </c>
      <c r="AF1641" s="8">
        <v>0</v>
      </c>
      <c r="AN1641" s="8">
        <v>6</v>
      </c>
      <c r="AO1641" s="8">
        <v>0</v>
      </c>
    </row>
    <row r="1642" spans="1:41" x14ac:dyDescent="0.25">
      <c r="A1642" s="6" t="str">
        <f>"522-2026000027"</f>
        <v>522-2026000027</v>
      </c>
      <c r="B1642" s="6" t="str">
        <f t="shared" si="437"/>
        <v>EL CORTE</v>
      </c>
      <c r="C1642" s="7">
        <v>46027</v>
      </c>
      <c r="D1642" s="7">
        <v>46030</v>
      </c>
      <c r="E1642" s="8">
        <v>2</v>
      </c>
      <c r="F1642" s="6" t="str">
        <f>"94735601_07026"</f>
        <v>94735601_07026</v>
      </c>
      <c r="G1642" s="6" t="str">
        <f t="shared" si="438"/>
        <v>F310631650000000</v>
      </c>
      <c r="H1642" s="6" t="str">
        <f t="shared" si="439"/>
        <v>PLAR 6316 FD - 500 g</v>
      </c>
      <c r="I1642" s="6" t="str">
        <f>"200901"</f>
        <v>200901</v>
      </c>
      <c r="J1642" s="6" t="str">
        <f>"ROSA 901"</f>
        <v>ROSA 901</v>
      </c>
      <c r="K1642" s="6" t="str">
        <f>"2020"</f>
        <v>2020</v>
      </c>
      <c r="L1642" s="6" t="str">
        <f>"Lençóis"</f>
        <v>Lençóis</v>
      </c>
      <c r="M1642" s="6" t="str">
        <f>"100x150"</f>
        <v>100x150</v>
      </c>
      <c r="N1642" s="6" t="str">
        <f>"5602972281125"</f>
        <v>5602972281125</v>
      </c>
      <c r="O1642" s="8">
        <v>3</v>
      </c>
      <c r="R1642" s="8">
        <v>0</v>
      </c>
      <c r="U1642" s="8">
        <v>0</v>
      </c>
      <c r="X1642" s="8">
        <v>0</v>
      </c>
      <c r="Z1642" s="8">
        <v>0</v>
      </c>
      <c r="AC1642" s="8">
        <v>0</v>
      </c>
      <c r="AF1642" s="8">
        <v>0</v>
      </c>
      <c r="AN1642" s="8">
        <v>3</v>
      </c>
      <c r="AO1642" s="8">
        <v>0</v>
      </c>
    </row>
    <row r="1643" spans="1:41" x14ac:dyDescent="0.25">
      <c r="A1643" s="6" t="str">
        <f>"522-2026000028"</f>
        <v>522-2026000028</v>
      </c>
      <c r="B1643" s="6" t="str">
        <f t="shared" si="437"/>
        <v>EL CORTE</v>
      </c>
      <c r="C1643" s="7">
        <v>46027</v>
      </c>
      <c r="D1643" s="7">
        <v>46030</v>
      </c>
      <c r="E1643" s="8">
        <v>1</v>
      </c>
      <c r="F1643" s="6" t="str">
        <f>"94736601_07026"</f>
        <v>94736601_07026</v>
      </c>
      <c r="G1643" s="6" t="str">
        <f t="shared" si="438"/>
        <v>F310631650000000</v>
      </c>
      <c r="H1643" s="6" t="str">
        <f t="shared" si="439"/>
        <v>PLAR 6316 FD - 500 g</v>
      </c>
      <c r="I1643" s="6" t="str">
        <f>"200901"</f>
        <v>200901</v>
      </c>
      <c r="J1643" s="6" t="str">
        <f>"ROSA 901"</f>
        <v>ROSA 901</v>
      </c>
      <c r="K1643" s="6" t="str">
        <f>"2020"</f>
        <v>2020</v>
      </c>
      <c r="L1643" s="6" t="str">
        <f>"Lençóis"</f>
        <v>Lençóis</v>
      </c>
      <c r="M1643" s="6" t="str">
        <f>"100x150"</f>
        <v>100x150</v>
      </c>
      <c r="N1643" s="6" t="str">
        <f>"5602972281125"</f>
        <v>5602972281125</v>
      </c>
      <c r="O1643" s="8">
        <v>3</v>
      </c>
      <c r="R1643" s="8">
        <v>0</v>
      </c>
      <c r="U1643" s="8">
        <v>0</v>
      </c>
      <c r="X1643" s="8">
        <v>0</v>
      </c>
      <c r="Z1643" s="8">
        <v>0</v>
      </c>
      <c r="AC1643" s="8">
        <v>0</v>
      </c>
      <c r="AF1643" s="8">
        <v>0</v>
      </c>
      <c r="AN1643" s="8">
        <v>3</v>
      </c>
      <c r="AO1643" s="8">
        <v>0</v>
      </c>
    </row>
    <row r="1644" spans="1:41" x14ac:dyDescent="0.25">
      <c r="A1644" s="6" t="str">
        <f>"522-2026000029"</f>
        <v>522-2026000029</v>
      </c>
      <c r="B1644" s="6" t="str">
        <f t="shared" si="437"/>
        <v>EL CORTE</v>
      </c>
      <c r="C1644" s="7">
        <v>46027</v>
      </c>
      <c r="D1644" s="7">
        <v>46030</v>
      </c>
      <c r="E1644" s="8">
        <v>1</v>
      </c>
      <c r="F1644" s="6" t="str">
        <f>"94737001_07026"</f>
        <v>94737001_07026</v>
      </c>
      <c r="G1644" s="6" t="str">
        <f t="shared" si="438"/>
        <v>F310631650000000</v>
      </c>
      <c r="H1644" s="6" t="str">
        <f t="shared" si="439"/>
        <v>PLAR 6316 FD - 500 g</v>
      </c>
      <c r="I1644" s="6" t="str">
        <f>"201855"</f>
        <v>201855</v>
      </c>
      <c r="J1644" s="6" t="str">
        <f>"AZUL 1855"</f>
        <v>AZUL 1855</v>
      </c>
      <c r="K1644" s="6" t="str">
        <f>"0520"</f>
        <v>0520</v>
      </c>
      <c r="L1644" s="6" t="str">
        <f>"Toalhetes"</f>
        <v>Toalhetes</v>
      </c>
      <c r="M1644" s="6" t="str">
        <f>"30x50"</f>
        <v>30x50</v>
      </c>
      <c r="N1644" s="6" t="str">
        <f>"5602972281040"</f>
        <v>5602972281040</v>
      </c>
      <c r="O1644" s="8">
        <v>6</v>
      </c>
      <c r="R1644" s="8">
        <v>0</v>
      </c>
      <c r="U1644" s="8">
        <v>0</v>
      </c>
      <c r="X1644" s="8">
        <v>0</v>
      </c>
      <c r="Z1644" s="8">
        <v>0</v>
      </c>
      <c r="AC1644" s="8">
        <v>0</v>
      </c>
      <c r="AF1644" s="8">
        <v>0</v>
      </c>
      <c r="AN1644" s="8">
        <v>6</v>
      </c>
      <c r="AO1644" s="8">
        <v>0</v>
      </c>
    </row>
    <row r="1645" spans="1:41" x14ac:dyDescent="0.25">
      <c r="A1645" s="6" t="str">
        <f>"522-2026000029"</f>
        <v>522-2026000029</v>
      </c>
      <c r="B1645" s="6" t="str">
        <f t="shared" si="437"/>
        <v>EL CORTE</v>
      </c>
      <c r="C1645" s="7">
        <v>46027</v>
      </c>
      <c r="D1645" s="7">
        <v>46030</v>
      </c>
      <c r="E1645" s="8">
        <v>2</v>
      </c>
      <c r="F1645" s="6" t="str">
        <f>"94737001_07026"</f>
        <v>94737001_07026</v>
      </c>
      <c r="G1645" s="6" t="str">
        <f t="shared" si="438"/>
        <v>F310631650000000</v>
      </c>
      <c r="H1645" s="6" t="str">
        <f t="shared" si="439"/>
        <v>PLAR 6316 FD - 500 g</v>
      </c>
      <c r="I1645" s="6" t="str">
        <f>"202575"</f>
        <v>202575</v>
      </c>
      <c r="J1645" s="6" t="str">
        <f>"BEGE 2575"</f>
        <v>BEGE 2575</v>
      </c>
      <c r="K1645" s="6" t="str">
        <f>"0520"</f>
        <v>0520</v>
      </c>
      <c r="L1645" s="6" t="str">
        <f>"Toalhetes"</f>
        <v>Toalhetes</v>
      </c>
      <c r="M1645" s="6" t="str">
        <f>"30x50"</f>
        <v>30x50</v>
      </c>
      <c r="N1645" s="6" t="str">
        <f>"5602972281071"</f>
        <v>5602972281071</v>
      </c>
      <c r="O1645" s="8">
        <v>6</v>
      </c>
      <c r="R1645" s="8">
        <v>0</v>
      </c>
      <c r="U1645" s="8">
        <v>0</v>
      </c>
      <c r="X1645" s="8">
        <v>0</v>
      </c>
      <c r="Z1645" s="8">
        <v>0</v>
      </c>
      <c r="AC1645" s="8">
        <v>0</v>
      </c>
      <c r="AF1645" s="8">
        <v>0</v>
      </c>
      <c r="AN1645" s="8">
        <v>6</v>
      </c>
      <c r="AO1645" s="8">
        <v>0</v>
      </c>
    </row>
    <row r="1646" spans="1:41" x14ac:dyDescent="0.25">
      <c r="A1646" s="6" t="str">
        <f>"522-2026000029"</f>
        <v>522-2026000029</v>
      </c>
      <c r="B1646" s="6" t="str">
        <f t="shared" si="437"/>
        <v>EL CORTE</v>
      </c>
      <c r="C1646" s="7">
        <v>46027</v>
      </c>
      <c r="D1646" s="7">
        <v>46030</v>
      </c>
      <c r="E1646" s="8">
        <v>3</v>
      </c>
      <c r="F1646" s="6" t="str">
        <f>"94737001_07026"</f>
        <v>94737001_07026</v>
      </c>
      <c r="G1646" s="6" t="str">
        <f t="shared" si="438"/>
        <v>F310631650000000</v>
      </c>
      <c r="H1646" s="6" t="str">
        <f t="shared" si="439"/>
        <v>PLAR 6316 FD - 500 g</v>
      </c>
      <c r="I1646" s="6" t="str">
        <f>"200901"</f>
        <v>200901</v>
      </c>
      <c r="J1646" s="6" t="str">
        <f>"ROSA 901"</f>
        <v>ROSA 901</v>
      </c>
      <c r="K1646" s="6" t="str">
        <f>"0520"</f>
        <v>0520</v>
      </c>
      <c r="L1646" s="6" t="str">
        <f>"Toalhetes"</f>
        <v>Toalhetes</v>
      </c>
      <c r="M1646" s="6" t="str">
        <f>"30x50"</f>
        <v>30x50</v>
      </c>
      <c r="N1646" s="6" t="str">
        <f>"5602972281101"</f>
        <v>5602972281101</v>
      </c>
      <c r="O1646" s="8">
        <v>6</v>
      </c>
      <c r="R1646" s="8">
        <v>0</v>
      </c>
      <c r="U1646" s="8">
        <v>0</v>
      </c>
      <c r="X1646" s="8">
        <v>0</v>
      </c>
      <c r="Z1646" s="8">
        <v>0</v>
      </c>
      <c r="AC1646" s="8">
        <v>0</v>
      </c>
      <c r="AF1646" s="8">
        <v>0</v>
      </c>
      <c r="AN1646" s="8">
        <v>6</v>
      </c>
      <c r="AO1646" s="8">
        <v>0</v>
      </c>
    </row>
    <row r="1647" spans="1:41" x14ac:dyDescent="0.25">
      <c r="A1647" s="6" t="str">
        <f>"522-2026000029"</f>
        <v>522-2026000029</v>
      </c>
      <c r="B1647" s="6" t="str">
        <f t="shared" si="437"/>
        <v>EL CORTE</v>
      </c>
      <c r="C1647" s="7">
        <v>46027</v>
      </c>
      <c r="D1647" s="7">
        <v>46030</v>
      </c>
      <c r="E1647" s="8">
        <v>4</v>
      </c>
      <c r="F1647" s="6" t="str">
        <f>"94737001_07026"</f>
        <v>94737001_07026</v>
      </c>
      <c r="G1647" s="6" t="str">
        <f t="shared" si="438"/>
        <v>F310631650000000</v>
      </c>
      <c r="H1647" s="6" t="str">
        <f t="shared" si="439"/>
        <v>PLAR 6316 FD - 500 g</v>
      </c>
      <c r="I1647" s="6" t="str">
        <f>"200901"</f>
        <v>200901</v>
      </c>
      <c r="J1647" s="6" t="str">
        <f>"ROSA 901"</f>
        <v>ROSA 901</v>
      </c>
      <c r="K1647" s="6" t="str">
        <f>"1024"</f>
        <v>1024</v>
      </c>
      <c r="L1647" s="6" t="str">
        <f>"Toalhas"</f>
        <v>Toalhas</v>
      </c>
      <c r="M1647" s="6" t="str">
        <f>"50x100"</f>
        <v>50x100</v>
      </c>
      <c r="N1647" s="6" t="str">
        <f>"5602972281118"</f>
        <v>5602972281118</v>
      </c>
      <c r="O1647" s="8">
        <v>6</v>
      </c>
      <c r="R1647" s="8">
        <v>0</v>
      </c>
      <c r="U1647" s="8">
        <v>0</v>
      </c>
      <c r="X1647" s="8">
        <v>0</v>
      </c>
      <c r="Z1647" s="8">
        <v>0</v>
      </c>
      <c r="AC1647" s="8">
        <v>0</v>
      </c>
      <c r="AF1647" s="8">
        <v>0</v>
      </c>
      <c r="AN1647" s="8">
        <v>6</v>
      </c>
      <c r="AO1647" s="8">
        <v>0</v>
      </c>
    </row>
    <row r="1648" spans="1:41" x14ac:dyDescent="0.25">
      <c r="A1648" s="6" t="str">
        <f>"522-2026000029"</f>
        <v>522-2026000029</v>
      </c>
      <c r="B1648" s="6" t="str">
        <f t="shared" si="437"/>
        <v>EL CORTE</v>
      </c>
      <c r="C1648" s="7">
        <v>46027</v>
      </c>
      <c r="D1648" s="7">
        <v>46030</v>
      </c>
      <c r="E1648" s="8">
        <v>5</v>
      </c>
      <c r="F1648" s="6" t="str">
        <f>"94737001_07026"</f>
        <v>94737001_07026</v>
      </c>
      <c r="G1648" s="6" t="str">
        <f t="shared" si="438"/>
        <v>F310631650000000</v>
      </c>
      <c r="H1648" s="6" t="str">
        <f t="shared" si="439"/>
        <v>PLAR 6316 FD - 500 g</v>
      </c>
      <c r="I1648" s="6" t="str">
        <f>"200510"</f>
        <v>200510</v>
      </c>
      <c r="J1648" s="6" t="str">
        <f>"VERDE 510"</f>
        <v>VERDE 510</v>
      </c>
      <c r="K1648" s="6" t="str">
        <f>"0520"</f>
        <v>0520</v>
      </c>
      <c r="L1648" s="6" t="str">
        <f>"Toalhetes"</f>
        <v>Toalhetes</v>
      </c>
      <c r="M1648" s="6" t="str">
        <f>"30x50"</f>
        <v>30x50</v>
      </c>
      <c r="N1648" s="6" t="str">
        <f>"5602972281132"</f>
        <v>5602972281132</v>
      </c>
      <c r="O1648" s="8">
        <v>6</v>
      </c>
      <c r="R1648" s="8">
        <v>0</v>
      </c>
      <c r="U1648" s="8">
        <v>0</v>
      </c>
      <c r="X1648" s="8">
        <v>0</v>
      </c>
      <c r="Z1648" s="8">
        <v>0</v>
      </c>
      <c r="AC1648" s="8">
        <v>0</v>
      </c>
      <c r="AF1648" s="8">
        <v>0</v>
      </c>
      <c r="AN1648" s="8">
        <v>6</v>
      </c>
      <c r="AO1648" s="8">
        <v>0</v>
      </c>
    </row>
    <row r="1649" spans="1:41" x14ac:dyDescent="0.25">
      <c r="A1649" s="6" t="str">
        <f>"522-2026000030"</f>
        <v>522-2026000030</v>
      </c>
      <c r="B1649" s="6" t="str">
        <f t="shared" si="437"/>
        <v>EL CORTE</v>
      </c>
      <c r="C1649" s="7">
        <v>46028</v>
      </c>
      <c r="D1649" s="7">
        <v>46031</v>
      </c>
      <c r="E1649" s="8">
        <v>1</v>
      </c>
      <c r="F1649" s="6" t="str">
        <f>"94752401_07026"</f>
        <v>94752401_07026</v>
      </c>
      <c r="G1649" s="6" t="str">
        <f t="shared" si="438"/>
        <v>F310631650000000</v>
      </c>
      <c r="H1649" s="6" t="str">
        <f t="shared" si="439"/>
        <v>PLAR 6316 FD - 500 g</v>
      </c>
      <c r="I1649" s="6" t="str">
        <f>"200901"</f>
        <v>200901</v>
      </c>
      <c r="J1649" s="6" t="str">
        <f>"ROSA 901"</f>
        <v>ROSA 901</v>
      </c>
      <c r="K1649" s="6" t="str">
        <f>"2020"</f>
        <v>2020</v>
      </c>
      <c r="L1649" s="6" t="str">
        <f>"Lençóis"</f>
        <v>Lençóis</v>
      </c>
      <c r="M1649" s="6" t="str">
        <f>"100x150"</f>
        <v>100x150</v>
      </c>
      <c r="N1649" s="6" t="str">
        <f>"5602972281125"</f>
        <v>5602972281125</v>
      </c>
      <c r="O1649" s="8">
        <v>3</v>
      </c>
      <c r="R1649" s="8">
        <v>0</v>
      </c>
      <c r="U1649" s="8">
        <v>0</v>
      </c>
      <c r="X1649" s="8">
        <v>0</v>
      </c>
      <c r="Z1649" s="8">
        <v>0</v>
      </c>
      <c r="AC1649" s="8">
        <v>0</v>
      </c>
      <c r="AF1649" s="8">
        <v>0</v>
      </c>
      <c r="AN1649" s="8">
        <v>0</v>
      </c>
      <c r="AO1649" s="8">
        <v>3</v>
      </c>
    </row>
    <row r="1650" spans="1:41" x14ac:dyDescent="0.25">
      <c r="A1650" s="6" t="str">
        <f>"522-2026000031"</f>
        <v>522-2026000031</v>
      </c>
      <c r="B1650" s="6" t="str">
        <f t="shared" si="437"/>
        <v>EL CORTE</v>
      </c>
      <c r="C1650" s="7">
        <v>46028</v>
      </c>
      <c r="D1650" s="7">
        <v>46031</v>
      </c>
      <c r="E1650" s="8">
        <v>1</v>
      </c>
      <c r="F1650" s="6" t="str">
        <f>"94752101_07026"</f>
        <v>94752101_07026</v>
      </c>
      <c r="G1650" s="6" t="str">
        <f t="shared" si="438"/>
        <v>F310631650000000</v>
      </c>
      <c r="H1650" s="6" t="str">
        <f t="shared" si="439"/>
        <v>PLAR 6316 FD - 500 g</v>
      </c>
      <c r="I1650" s="6" t="str">
        <f>"201855"</f>
        <v>201855</v>
      </c>
      <c r="J1650" s="6" t="str">
        <f>"AZUL 1855"</f>
        <v>AZUL 1855</v>
      </c>
      <c r="K1650" s="6" t="str">
        <f>"0520"</f>
        <v>0520</v>
      </c>
      <c r="L1650" s="6" t="str">
        <f>"Toalhetes"</f>
        <v>Toalhetes</v>
      </c>
      <c r="M1650" s="6" t="str">
        <f>"30x50"</f>
        <v>30x50</v>
      </c>
      <c r="N1650" s="6" t="str">
        <f>"5602972281040"</f>
        <v>5602972281040</v>
      </c>
      <c r="O1650" s="8">
        <v>6</v>
      </c>
      <c r="R1650" s="8">
        <v>0</v>
      </c>
      <c r="U1650" s="8">
        <v>0</v>
      </c>
      <c r="X1650" s="8">
        <v>0</v>
      </c>
      <c r="Z1650" s="8">
        <v>0</v>
      </c>
      <c r="AC1650" s="8">
        <v>0</v>
      </c>
      <c r="AF1650" s="8">
        <v>0</v>
      </c>
      <c r="AN1650" s="8">
        <v>6</v>
      </c>
      <c r="AO1650" s="8">
        <v>0</v>
      </c>
    </row>
    <row r="1651" spans="1:41" x14ac:dyDescent="0.25">
      <c r="A1651" s="6" t="str">
        <f>"522-2026000031"</f>
        <v>522-2026000031</v>
      </c>
      <c r="B1651" s="6" t="str">
        <f t="shared" si="437"/>
        <v>EL CORTE</v>
      </c>
      <c r="C1651" s="7">
        <v>46028</v>
      </c>
      <c r="D1651" s="7">
        <v>46031</v>
      </c>
      <c r="E1651" s="8">
        <v>2</v>
      </c>
      <c r="F1651" s="6" t="str">
        <f>"94752101_07026"</f>
        <v>94752101_07026</v>
      </c>
      <c r="G1651" s="6" t="str">
        <f t="shared" si="438"/>
        <v>F310631650000000</v>
      </c>
      <c r="H1651" s="6" t="str">
        <f t="shared" si="439"/>
        <v>PLAR 6316 FD - 500 g</v>
      </c>
      <c r="I1651" s="6" t="str">
        <f>"201855"</f>
        <v>201855</v>
      </c>
      <c r="J1651" s="6" t="str">
        <f>"AZUL 1855"</f>
        <v>AZUL 1855</v>
      </c>
      <c r="K1651" s="6" t="str">
        <f>"1024"</f>
        <v>1024</v>
      </c>
      <c r="L1651" s="6" t="str">
        <f>"Toalhas"</f>
        <v>Toalhas</v>
      </c>
      <c r="M1651" s="6" t="str">
        <f>"50x100"</f>
        <v>50x100</v>
      </c>
      <c r="N1651" s="6" t="str">
        <f>"5602972281057"</f>
        <v>5602972281057</v>
      </c>
      <c r="O1651" s="8">
        <v>6</v>
      </c>
      <c r="R1651" s="8">
        <v>0</v>
      </c>
      <c r="U1651" s="8">
        <v>0</v>
      </c>
      <c r="X1651" s="8">
        <v>0</v>
      </c>
      <c r="Z1651" s="8">
        <v>0</v>
      </c>
      <c r="AC1651" s="8">
        <v>0</v>
      </c>
      <c r="AF1651" s="8">
        <v>0</v>
      </c>
      <c r="AN1651" s="8">
        <v>6</v>
      </c>
      <c r="AO1651" s="8">
        <v>0</v>
      </c>
    </row>
    <row r="1652" spans="1:41" x14ac:dyDescent="0.25">
      <c r="A1652" s="6" t="str">
        <f>"522-2026000032"</f>
        <v>522-2026000032</v>
      </c>
      <c r="B1652" s="6" t="str">
        <f t="shared" si="437"/>
        <v>EL CORTE</v>
      </c>
      <c r="C1652" s="7">
        <v>46028</v>
      </c>
      <c r="D1652" s="7">
        <v>46031</v>
      </c>
      <c r="E1652" s="8">
        <v>1</v>
      </c>
      <c r="F1652" s="6" t="str">
        <f>"94752601_07026"</f>
        <v>94752601_07026</v>
      </c>
      <c r="G1652" s="6" t="str">
        <f t="shared" si="438"/>
        <v>F310631650000000</v>
      </c>
      <c r="H1652" s="6" t="str">
        <f t="shared" si="439"/>
        <v>PLAR 6316 FD - 500 g</v>
      </c>
      <c r="I1652" s="6" t="str">
        <f>"202575"</f>
        <v>202575</v>
      </c>
      <c r="J1652" s="6" t="str">
        <f>"BEGE 2575"</f>
        <v>BEGE 2575</v>
      </c>
      <c r="K1652" s="6" t="str">
        <f>"0520"</f>
        <v>0520</v>
      </c>
      <c r="L1652" s="6" t="str">
        <f>"Toalhetes"</f>
        <v>Toalhetes</v>
      </c>
      <c r="M1652" s="6" t="str">
        <f>"30x50"</f>
        <v>30x50</v>
      </c>
      <c r="N1652" s="6" t="str">
        <f>"5602972281071"</f>
        <v>5602972281071</v>
      </c>
      <c r="O1652" s="8">
        <v>6</v>
      </c>
      <c r="R1652" s="8">
        <v>0</v>
      </c>
      <c r="U1652" s="8">
        <v>0</v>
      </c>
      <c r="X1652" s="8">
        <v>0</v>
      </c>
      <c r="Z1652" s="8">
        <v>0</v>
      </c>
      <c r="AC1652" s="8">
        <v>0</v>
      </c>
      <c r="AF1652" s="8">
        <v>0</v>
      </c>
      <c r="AN1652" s="8">
        <v>6</v>
      </c>
      <c r="AO1652" s="8">
        <v>0</v>
      </c>
    </row>
    <row r="1653" spans="1:41" x14ac:dyDescent="0.25">
      <c r="A1653" s="6" t="str">
        <f>"522-2026000032"</f>
        <v>522-2026000032</v>
      </c>
      <c r="B1653" s="6" t="str">
        <f t="shared" si="437"/>
        <v>EL CORTE</v>
      </c>
      <c r="C1653" s="7">
        <v>46028</v>
      </c>
      <c r="D1653" s="7">
        <v>46031</v>
      </c>
      <c r="E1653" s="8">
        <v>2</v>
      </c>
      <c r="F1653" s="6" t="str">
        <f>"94752601_07026"</f>
        <v>94752601_07026</v>
      </c>
      <c r="G1653" s="6" t="str">
        <f t="shared" si="438"/>
        <v>F310631650000000</v>
      </c>
      <c r="H1653" s="6" t="str">
        <f t="shared" si="439"/>
        <v>PLAR 6316 FD - 500 g</v>
      </c>
      <c r="I1653" s="6" t="str">
        <f>"200510"</f>
        <v>200510</v>
      </c>
      <c r="J1653" s="6" t="str">
        <f>"VERDE 510"</f>
        <v>VERDE 510</v>
      </c>
      <c r="K1653" s="6" t="str">
        <f>"0520"</f>
        <v>0520</v>
      </c>
      <c r="L1653" s="6" t="str">
        <f>"Toalhetes"</f>
        <v>Toalhetes</v>
      </c>
      <c r="M1653" s="6" t="str">
        <f>"30x50"</f>
        <v>30x50</v>
      </c>
      <c r="N1653" s="6" t="str">
        <f>"5602972281132"</f>
        <v>5602972281132</v>
      </c>
      <c r="O1653" s="8">
        <v>6</v>
      </c>
      <c r="R1653" s="8">
        <v>0</v>
      </c>
      <c r="U1653" s="8">
        <v>0</v>
      </c>
      <c r="X1653" s="8">
        <v>0</v>
      </c>
      <c r="Z1653" s="8">
        <v>0</v>
      </c>
      <c r="AC1653" s="8">
        <v>0</v>
      </c>
      <c r="AF1653" s="8">
        <v>0</v>
      </c>
      <c r="AN1653" s="8">
        <v>6</v>
      </c>
      <c r="AO1653" s="8">
        <v>0</v>
      </c>
    </row>
    <row r="1654" spans="1:41" x14ac:dyDescent="0.25">
      <c r="A1654" s="6" t="str">
        <f>"522-2026000033"</f>
        <v>522-2026000033</v>
      </c>
      <c r="B1654" s="6" t="str">
        <f t="shared" si="437"/>
        <v>EL CORTE</v>
      </c>
      <c r="C1654" s="7">
        <v>46028</v>
      </c>
      <c r="D1654" s="7">
        <v>46031</v>
      </c>
      <c r="E1654" s="8">
        <v>1</v>
      </c>
      <c r="F1654" s="6" t="str">
        <f>"94752501_07026"</f>
        <v>94752501_07026</v>
      </c>
      <c r="G1654" s="6" t="str">
        <f t="shared" si="438"/>
        <v>F310631650000000</v>
      </c>
      <c r="H1654" s="6" t="str">
        <f t="shared" si="439"/>
        <v>PLAR 6316 FD - 500 g</v>
      </c>
      <c r="I1654" s="6" t="str">
        <f>"202575"</f>
        <v>202575</v>
      </c>
      <c r="J1654" s="6" t="str">
        <f>"BEGE 2575"</f>
        <v>BEGE 2575</v>
      </c>
      <c r="K1654" s="6" t="str">
        <f>"1024"</f>
        <v>1024</v>
      </c>
      <c r="L1654" s="6" t="str">
        <f>"Toalhas"</f>
        <v>Toalhas</v>
      </c>
      <c r="M1654" s="6" t="str">
        <f>"50x100"</f>
        <v>50x100</v>
      </c>
      <c r="N1654" s="6" t="str">
        <f>"5602972281088"</f>
        <v>5602972281088</v>
      </c>
      <c r="O1654" s="8">
        <v>6</v>
      </c>
      <c r="R1654" s="8">
        <v>0</v>
      </c>
      <c r="U1654" s="8">
        <v>0</v>
      </c>
      <c r="X1654" s="8">
        <v>0</v>
      </c>
      <c r="Z1654" s="8">
        <v>0</v>
      </c>
      <c r="AC1654" s="8">
        <v>0</v>
      </c>
      <c r="AF1654" s="8">
        <v>0</v>
      </c>
      <c r="AN1654" s="8">
        <v>6</v>
      </c>
      <c r="AO1654" s="8">
        <v>0</v>
      </c>
    </row>
    <row r="1655" spans="1:41" x14ac:dyDescent="0.25">
      <c r="A1655" s="6" t="str">
        <f>"522-2026000034"</f>
        <v>522-2026000034</v>
      </c>
      <c r="B1655" s="6" t="str">
        <f t="shared" si="437"/>
        <v>EL CORTE</v>
      </c>
      <c r="C1655" s="7">
        <v>46028</v>
      </c>
      <c r="D1655" s="7">
        <v>46031</v>
      </c>
      <c r="E1655" s="8">
        <v>1</v>
      </c>
      <c r="F1655" s="6" t="str">
        <f>"94752801_07026"</f>
        <v>94752801_07026</v>
      </c>
      <c r="G1655" s="6" t="str">
        <f t="shared" si="438"/>
        <v>F310631650000000</v>
      </c>
      <c r="H1655" s="6" t="str">
        <f t="shared" si="439"/>
        <v>PLAR 6316 FD - 500 g</v>
      </c>
      <c r="I1655" s="6" t="str">
        <f>"200510"</f>
        <v>200510</v>
      </c>
      <c r="J1655" s="6" t="str">
        <f>"VERDE 510"</f>
        <v>VERDE 510</v>
      </c>
      <c r="K1655" s="6" t="str">
        <f>"2020"</f>
        <v>2020</v>
      </c>
      <c r="L1655" s="6" t="str">
        <f>"Lençóis"</f>
        <v>Lençóis</v>
      </c>
      <c r="M1655" s="6" t="str">
        <f>"100x150"</f>
        <v>100x150</v>
      </c>
      <c r="N1655" s="6" t="str">
        <f>"5602972281156"</f>
        <v>5602972281156</v>
      </c>
      <c r="O1655" s="8">
        <v>3</v>
      </c>
      <c r="R1655" s="8">
        <v>0</v>
      </c>
      <c r="U1655" s="8">
        <v>0</v>
      </c>
      <c r="X1655" s="8">
        <v>0</v>
      </c>
      <c r="Z1655" s="8">
        <v>0</v>
      </c>
      <c r="AC1655" s="8">
        <v>0</v>
      </c>
      <c r="AF1655" s="8">
        <v>0</v>
      </c>
      <c r="AN1655" s="8">
        <v>0</v>
      </c>
      <c r="AO1655" s="8">
        <v>3</v>
      </c>
    </row>
    <row r="1656" spans="1:41" x14ac:dyDescent="0.25">
      <c r="A1656" s="6" t="str">
        <f>"522-2026000035"</f>
        <v>522-2026000035</v>
      </c>
      <c r="B1656" s="6" t="str">
        <f t="shared" si="437"/>
        <v>EL CORTE</v>
      </c>
      <c r="C1656" s="7">
        <v>46028</v>
      </c>
      <c r="D1656" s="7">
        <v>46031</v>
      </c>
      <c r="E1656" s="8">
        <v>1</v>
      </c>
      <c r="F1656" s="6" t="str">
        <f>"94752701_07026"</f>
        <v>94752701_07026</v>
      </c>
      <c r="G1656" s="6" t="str">
        <f t="shared" si="438"/>
        <v>F310631650000000</v>
      </c>
      <c r="H1656" s="6" t="str">
        <f t="shared" si="439"/>
        <v>PLAR 6316 FD - 500 g</v>
      </c>
      <c r="I1656" s="6" t="str">
        <f>"201855"</f>
        <v>201855</v>
      </c>
      <c r="J1656" s="6" t="str">
        <f>"AZUL 1855"</f>
        <v>AZUL 1855</v>
      </c>
      <c r="K1656" s="6" t="str">
        <f>"0520"</f>
        <v>0520</v>
      </c>
      <c r="L1656" s="6" t="str">
        <f>"Toalhetes"</f>
        <v>Toalhetes</v>
      </c>
      <c r="M1656" s="6" t="str">
        <f>"30x50"</f>
        <v>30x50</v>
      </c>
      <c r="N1656" s="6" t="str">
        <f>"5602972281040"</f>
        <v>5602972281040</v>
      </c>
      <c r="O1656" s="8">
        <v>6</v>
      </c>
      <c r="R1656" s="8">
        <v>0</v>
      </c>
      <c r="U1656" s="8">
        <v>0</v>
      </c>
      <c r="X1656" s="8">
        <v>0</v>
      </c>
      <c r="Z1656" s="8">
        <v>0</v>
      </c>
      <c r="AC1656" s="8">
        <v>0</v>
      </c>
      <c r="AF1656" s="8">
        <v>0</v>
      </c>
      <c r="AN1656" s="8">
        <v>6</v>
      </c>
      <c r="AO1656" s="8">
        <v>0</v>
      </c>
    </row>
    <row r="1657" spans="1:41" x14ac:dyDescent="0.25">
      <c r="A1657" s="6" t="str">
        <f>"522-2026000035"</f>
        <v>522-2026000035</v>
      </c>
      <c r="B1657" s="6" t="str">
        <f t="shared" si="437"/>
        <v>EL CORTE</v>
      </c>
      <c r="C1657" s="7">
        <v>46028</v>
      </c>
      <c r="D1657" s="7">
        <v>46031</v>
      </c>
      <c r="E1657" s="8">
        <v>2</v>
      </c>
      <c r="F1657" s="6" t="str">
        <f>"94752701_07026"</f>
        <v>94752701_07026</v>
      </c>
      <c r="G1657" s="6" t="str">
        <f t="shared" si="438"/>
        <v>F310631650000000</v>
      </c>
      <c r="H1657" s="6" t="str">
        <f t="shared" si="439"/>
        <v>PLAR 6316 FD - 500 g</v>
      </c>
      <c r="I1657" s="6" t="str">
        <f>"202575"</f>
        <v>202575</v>
      </c>
      <c r="J1657" s="6" t="str">
        <f>"BEGE 2575"</f>
        <v>BEGE 2575</v>
      </c>
      <c r="K1657" s="6" t="str">
        <f>"0520"</f>
        <v>0520</v>
      </c>
      <c r="L1657" s="6" t="str">
        <f>"Toalhetes"</f>
        <v>Toalhetes</v>
      </c>
      <c r="M1657" s="6" t="str">
        <f>"30x50"</f>
        <v>30x50</v>
      </c>
      <c r="N1657" s="6" t="str">
        <f>"5602972281071"</f>
        <v>5602972281071</v>
      </c>
      <c r="O1657" s="8">
        <v>6</v>
      </c>
      <c r="R1657" s="8">
        <v>0</v>
      </c>
      <c r="U1657" s="8">
        <v>0</v>
      </c>
      <c r="X1657" s="8">
        <v>0</v>
      </c>
      <c r="Z1657" s="8">
        <v>0</v>
      </c>
      <c r="AC1657" s="8">
        <v>0</v>
      </c>
      <c r="AF1657" s="8">
        <v>0</v>
      </c>
      <c r="AN1657" s="8">
        <v>6</v>
      </c>
      <c r="AO1657" s="8">
        <v>0</v>
      </c>
    </row>
    <row r="1658" spans="1:41" x14ac:dyDescent="0.25">
      <c r="A1658" s="6" t="str">
        <f>"522-2026000035"</f>
        <v>522-2026000035</v>
      </c>
      <c r="B1658" s="6" t="str">
        <f t="shared" si="437"/>
        <v>EL CORTE</v>
      </c>
      <c r="C1658" s="7">
        <v>46028</v>
      </c>
      <c r="D1658" s="7">
        <v>46031</v>
      </c>
      <c r="E1658" s="8">
        <v>3</v>
      </c>
      <c r="F1658" s="6" t="str">
        <f>"94752701_07026"</f>
        <v>94752701_07026</v>
      </c>
      <c r="G1658" s="6" t="str">
        <f t="shared" si="438"/>
        <v>F310631650000000</v>
      </c>
      <c r="H1658" s="6" t="str">
        <f t="shared" si="439"/>
        <v>PLAR 6316 FD - 500 g</v>
      </c>
      <c r="I1658" s="6" t="str">
        <f>"202575"</f>
        <v>202575</v>
      </c>
      <c r="J1658" s="6" t="str">
        <f>"BEGE 2575"</f>
        <v>BEGE 2575</v>
      </c>
      <c r="K1658" s="6" t="str">
        <f>"1024"</f>
        <v>1024</v>
      </c>
      <c r="L1658" s="6" t="str">
        <f>"Toalhas"</f>
        <v>Toalhas</v>
      </c>
      <c r="M1658" s="6" t="str">
        <f>"50x100"</f>
        <v>50x100</v>
      </c>
      <c r="N1658" s="6" t="str">
        <f>"5602972281088"</f>
        <v>5602972281088</v>
      </c>
      <c r="O1658" s="8">
        <v>6</v>
      </c>
      <c r="R1658" s="8">
        <v>0</v>
      </c>
      <c r="U1658" s="8">
        <v>0</v>
      </c>
      <c r="X1658" s="8">
        <v>0</v>
      </c>
      <c r="Z1658" s="8">
        <v>0</v>
      </c>
      <c r="AC1658" s="8">
        <v>0</v>
      </c>
      <c r="AF1658" s="8">
        <v>0</v>
      </c>
      <c r="AN1658" s="8">
        <v>6</v>
      </c>
      <c r="AO1658" s="8">
        <v>0</v>
      </c>
    </row>
    <row r="1659" spans="1:41" x14ac:dyDescent="0.25">
      <c r="A1659" s="6" t="str">
        <f>"522-2026000035"</f>
        <v>522-2026000035</v>
      </c>
      <c r="B1659" s="6" t="str">
        <f t="shared" si="437"/>
        <v>EL CORTE</v>
      </c>
      <c r="C1659" s="7">
        <v>46028</v>
      </c>
      <c r="D1659" s="7">
        <v>46031</v>
      </c>
      <c r="E1659" s="8">
        <v>4</v>
      </c>
      <c r="F1659" s="6" t="str">
        <f>"94752701_07026"</f>
        <v>94752701_07026</v>
      </c>
      <c r="G1659" s="6" t="str">
        <f t="shared" si="438"/>
        <v>F310631650000000</v>
      </c>
      <c r="H1659" s="6" t="str">
        <f t="shared" si="439"/>
        <v>PLAR 6316 FD - 500 g</v>
      </c>
      <c r="I1659" s="6" t="str">
        <f>"202575"</f>
        <v>202575</v>
      </c>
      <c r="J1659" s="6" t="str">
        <f>"BEGE 2575"</f>
        <v>BEGE 2575</v>
      </c>
      <c r="K1659" s="6" t="str">
        <f>"2020"</f>
        <v>2020</v>
      </c>
      <c r="L1659" s="6" t="str">
        <f>"Lençóis"</f>
        <v>Lençóis</v>
      </c>
      <c r="M1659" s="6" t="str">
        <f>"100x150"</f>
        <v>100x150</v>
      </c>
      <c r="N1659" s="6" t="str">
        <f>"5602972281095"</f>
        <v>5602972281095</v>
      </c>
      <c r="O1659" s="8">
        <v>3</v>
      </c>
      <c r="R1659" s="8">
        <v>0</v>
      </c>
      <c r="U1659" s="8">
        <v>0</v>
      </c>
      <c r="X1659" s="8">
        <v>0</v>
      </c>
      <c r="Z1659" s="8">
        <v>0</v>
      </c>
      <c r="AC1659" s="8">
        <v>0</v>
      </c>
      <c r="AF1659" s="8">
        <v>0</v>
      </c>
      <c r="AN1659" s="8">
        <v>0</v>
      </c>
      <c r="AO1659" s="8">
        <v>3</v>
      </c>
    </row>
    <row r="1660" spans="1:41" x14ac:dyDescent="0.25">
      <c r="A1660" s="6" t="str">
        <f>"522-2026000036"</f>
        <v>522-2026000036</v>
      </c>
      <c r="B1660" s="6" t="str">
        <f t="shared" si="437"/>
        <v>EL CORTE</v>
      </c>
      <c r="C1660" s="7">
        <v>46028</v>
      </c>
      <c r="D1660" s="7">
        <v>46031</v>
      </c>
      <c r="E1660" s="8">
        <v>1</v>
      </c>
      <c r="F1660" s="6" t="str">
        <f>"94753001_07026"</f>
        <v>94753001_07026</v>
      </c>
      <c r="G1660" s="6" t="str">
        <f t="shared" si="438"/>
        <v>F310631650000000</v>
      </c>
      <c r="H1660" s="6" t="str">
        <f t="shared" si="439"/>
        <v>PLAR 6316 FD - 500 g</v>
      </c>
      <c r="I1660" s="6" t="str">
        <f>"202575"</f>
        <v>202575</v>
      </c>
      <c r="J1660" s="6" t="str">
        <f>"BEGE 2575"</f>
        <v>BEGE 2575</v>
      </c>
      <c r="K1660" s="6" t="str">
        <f>"2020"</f>
        <v>2020</v>
      </c>
      <c r="L1660" s="6" t="str">
        <f>"Lençóis"</f>
        <v>Lençóis</v>
      </c>
      <c r="M1660" s="6" t="str">
        <f>"100x150"</f>
        <v>100x150</v>
      </c>
      <c r="N1660" s="6" t="str">
        <f>"5602972281095"</f>
        <v>5602972281095</v>
      </c>
      <c r="O1660" s="8">
        <v>3</v>
      </c>
      <c r="R1660" s="8">
        <v>0</v>
      </c>
      <c r="U1660" s="8">
        <v>0</v>
      </c>
      <c r="X1660" s="8">
        <v>0</v>
      </c>
      <c r="Z1660" s="8">
        <v>0</v>
      </c>
      <c r="AC1660" s="8">
        <v>0</v>
      </c>
      <c r="AF1660" s="8">
        <v>0</v>
      </c>
      <c r="AN1660" s="8">
        <v>0</v>
      </c>
      <c r="AO1660" s="8">
        <v>3</v>
      </c>
    </row>
    <row r="1661" spans="1:41" x14ac:dyDescent="0.25">
      <c r="A1661" s="6" t="str">
        <f>"522-2026000037"</f>
        <v>522-2026000037</v>
      </c>
      <c r="B1661" s="6" t="str">
        <f t="shared" si="437"/>
        <v>EL CORTE</v>
      </c>
      <c r="C1661" s="7">
        <v>46028</v>
      </c>
      <c r="D1661" s="7">
        <v>46031</v>
      </c>
      <c r="E1661" s="8">
        <v>1</v>
      </c>
      <c r="F1661" s="6" t="str">
        <f>"94752301_07026"</f>
        <v>94752301_07026</v>
      </c>
      <c r="G1661" s="6" t="str">
        <f t="shared" si="438"/>
        <v>F310631650000000</v>
      </c>
      <c r="H1661" s="6" t="str">
        <f t="shared" si="439"/>
        <v>PLAR 6316 FD - 500 g</v>
      </c>
      <c r="I1661" s="6" t="str">
        <f>"200510"</f>
        <v>200510</v>
      </c>
      <c r="J1661" s="6" t="str">
        <f>"VERDE 510"</f>
        <v>VERDE 510</v>
      </c>
      <c r="K1661" s="6" t="str">
        <f>"2020"</f>
        <v>2020</v>
      </c>
      <c r="L1661" s="6" t="str">
        <f>"Lençóis"</f>
        <v>Lençóis</v>
      </c>
      <c r="M1661" s="6" t="str">
        <f>"100x150"</f>
        <v>100x150</v>
      </c>
      <c r="N1661" s="6" t="str">
        <f>"5602972281156"</f>
        <v>5602972281156</v>
      </c>
      <c r="O1661" s="8">
        <v>3</v>
      </c>
      <c r="R1661" s="8">
        <v>0</v>
      </c>
      <c r="U1661" s="8">
        <v>0</v>
      </c>
      <c r="X1661" s="8">
        <v>0</v>
      </c>
      <c r="Z1661" s="8">
        <v>0</v>
      </c>
      <c r="AC1661" s="8">
        <v>0</v>
      </c>
      <c r="AF1661" s="8">
        <v>0</v>
      </c>
      <c r="AN1661" s="8">
        <v>3</v>
      </c>
      <c r="AO1661" s="8">
        <v>0</v>
      </c>
    </row>
    <row r="1662" spans="1:41" x14ac:dyDescent="0.25">
      <c r="A1662" s="6" t="str">
        <f>"522-2026000038"</f>
        <v>522-2026000038</v>
      </c>
      <c r="B1662" s="6" t="str">
        <f t="shared" si="437"/>
        <v>EL CORTE</v>
      </c>
      <c r="C1662" s="7">
        <v>46028</v>
      </c>
      <c r="D1662" s="7">
        <v>46031</v>
      </c>
      <c r="E1662" s="8">
        <v>1</v>
      </c>
      <c r="F1662" s="6" t="str">
        <f>"94752901_07026"</f>
        <v>94752901_07026</v>
      </c>
      <c r="G1662" s="6" t="str">
        <f t="shared" si="438"/>
        <v>F310631650000000</v>
      </c>
      <c r="H1662" s="6" t="str">
        <f t="shared" si="439"/>
        <v>PLAR 6316 FD - 500 g</v>
      </c>
      <c r="I1662" s="6" t="str">
        <f>"200901"</f>
        <v>200901</v>
      </c>
      <c r="J1662" s="6" t="str">
        <f>"ROSA 901"</f>
        <v>ROSA 901</v>
      </c>
      <c r="K1662" s="6" t="str">
        <f>"2020"</f>
        <v>2020</v>
      </c>
      <c r="L1662" s="6" t="str">
        <f>"Lençóis"</f>
        <v>Lençóis</v>
      </c>
      <c r="M1662" s="6" t="str">
        <f>"100x150"</f>
        <v>100x150</v>
      </c>
      <c r="N1662" s="6" t="str">
        <f>"5602972281125"</f>
        <v>5602972281125</v>
      </c>
      <c r="O1662" s="8">
        <v>3</v>
      </c>
      <c r="R1662" s="8">
        <v>0</v>
      </c>
      <c r="U1662" s="8">
        <v>0</v>
      </c>
      <c r="X1662" s="8">
        <v>0</v>
      </c>
      <c r="Z1662" s="8">
        <v>0</v>
      </c>
      <c r="AC1662" s="8">
        <v>0</v>
      </c>
      <c r="AF1662" s="8">
        <v>0</v>
      </c>
      <c r="AN1662" s="8">
        <v>0</v>
      </c>
      <c r="AO1662" s="8">
        <v>3</v>
      </c>
    </row>
    <row r="1663" spans="1:41" x14ac:dyDescent="0.25">
      <c r="A1663" s="6" t="str">
        <f>"522-2026000039"</f>
        <v>522-2026000039</v>
      </c>
      <c r="B1663" s="6" t="str">
        <f t="shared" si="437"/>
        <v>EL CORTE</v>
      </c>
      <c r="C1663" s="7">
        <v>46028</v>
      </c>
      <c r="D1663" s="7">
        <v>46031</v>
      </c>
      <c r="E1663" s="8">
        <v>1</v>
      </c>
      <c r="F1663" s="6" t="str">
        <f>"94752001_07026"</f>
        <v>94752001_07026</v>
      </c>
      <c r="G1663" s="6" t="str">
        <f t="shared" si="438"/>
        <v>F310631650000000</v>
      </c>
      <c r="H1663" s="6" t="str">
        <f t="shared" si="439"/>
        <v>PLAR 6316 FD - 500 g</v>
      </c>
      <c r="I1663" s="6" t="str">
        <f>"201855"</f>
        <v>201855</v>
      </c>
      <c r="J1663" s="6" t="str">
        <f>"AZUL 1855"</f>
        <v>AZUL 1855</v>
      </c>
      <c r="K1663" s="6" t="str">
        <f>"1024"</f>
        <v>1024</v>
      </c>
      <c r="L1663" s="6" t="str">
        <f>"Toalhas"</f>
        <v>Toalhas</v>
      </c>
      <c r="M1663" s="6" t="str">
        <f>"50x100"</f>
        <v>50x100</v>
      </c>
      <c r="N1663" s="6" t="str">
        <f>"5602972281057"</f>
        <v>5602972281057</v>
      </c>
      <c r="O1663" s="8">
        <v>6</v>
      </c>
      <c r="R1663" s="8">
        <v>0</v>
      </c>
      <c r="U1663" s="8">
        <v>0</v>
      </c>
      <c r="X1663" s="8">
        <v>0</v>
      </c>
      <c r="Z1663" s="8">
        <v>0</v>
      </c>
      <c r="AC1663" s="8">
        <v>0</v>
      </c>
      <c r="AF1663" s="8">
        <v>0</v>
      </c>
      <c r="AN1663" s="8">
        <v>6</v>
      </c>
      <c r="AO1663" s="8">
        <v>0</v>
      </c>
    </row>
    <row r="1664" spans="1:41" x14ac:dyDescent="0.25">
      <c r="A1664" s="6" t="str">
        <f>"522-2026000039"</f>
        <v>522-2026000039</v>
      </c>
      <c r="B1664" s="6" t="str">
        <f t="shared" si="437"/>
        <v>EL CORTE</v>
      </c>
      <c r="C1664" s="7">
        <v>46028</v>
      </c>
      <c r="D1664" s="7">
        <v>46031</v>
      </c>
      <c r="E1664" s="8">
        <v>2</v>
      </c>
      <c r="F1664" s="6" t="str">
        <f>"94752001_07026"</f>
        <v>94752001_07026</v>
      </c>
      <c r="G1664" s="6" t="str">
        <f t="shared" si="438"/>
        <v>F310631650000000</v>
      </c>
      <c r="H1664" s="6" t="str">
        <f t="shared" si="439"/>
        <v>PLAR 6316 FD - 500 g</v>
      </c>
      <c r="I1664" s="6" t="str">
        <f>"200510"</f>
        <v>200510</v>
      </c>
      <c r="J1664" s="6" t="str">
        <f>"VERDE 510"</f>
        <v>VERDE 510</v>
      </c>
      <c r="K1664" s="6" t="str">
        <f>"2020"</f>
        <v>2020</v>
      </c>
      <c r="L1664" s="6" t="str">
        <f>"Lençóis"</f>
        <v>Lençóis</v>
      </c>
      <c r="M1664" s="6" t="str">
        <f>"100x150"</f>
        <v>100x150</v>
      </c>
      <c r="N1664" s="6" t="str">
        <f>"5602972281156"</f>
        <v>5602972281156</v>
      </c>
      <c r="O1664" s="8">
        <v>3</v>
      </c>
      <c r="R1664" s="8">
        <v>0</v>
      </c>
      <c r="U1664" s="8">
        <v>0</v>
      </c>
      <c r="X1664" s="8">
        <v>0</v>
      </c>
      <c r="Z1664" s="8">
        <v>0</v>
      </c>
      <c r="AC1664" s="8">
        <v>0</v>
      </c>
      <c r="AF1664" s="8">
        <v>0</v>
      </c>
      <c r="AN1664" s="8">
        <v>3</v>
      </c>
      <c r="AO1664" s="8">
        <v>0</v>
      </c>
    </row>
    <row r="1665" spans="1:41" x14ac:dyDescent="0.25">
      <c r="A1665" s="6" t="str">
        <f>"522-2026000040"</f>
        <v>522-2026000040</v>
      </c>
      <c r="B1665" s="6" t="str">
        <f t="shared" si="437"/>
        <v>EL CORTE</v>
      </c>
      <c r="C1665" s="7">
        <v>46028</v>
      </c>
      <c r="D1665" s="7">
        <v>46031</v>
      </c>
      <c r="E1665" s="8">
        <v>1</v>
      </c>
      <c r="F1665" s="6" t="str">
        <f>"94752201_07026"</f>
        <v>94752201_07026</v>
      </c>
      <c r="G1665" s="6" t="str">
        <f t="shared" si="438"/>
        <v>F310631650000000</v>
      </c>
      <c r="H1665" s="6" t="str">
        <f t="shared" si="439"/>
        <v>PLAR 6316 FD - 500 g</v>
      </c>
      <c r="I1665" s="6" t="str">
        <f>"200510"</f>
        <v>200510</v>
      </c>
      <c r="J1665" s="6" t="str">
        <f>"VERDE 510"</f>
        <v>VERDE 510</v>
      </c>
      <c r="K1665" s="6" t="str">
        <f>"0520"</f>
        <v>0520</v>
      </c>
      <c r="L1665" s="6" t="str">
        <f>"Toalhetes"</f>
        <v>Toalhetes</v>
      </c>
      <c r="M1665" s="6" t="str">
        <f>"30x50"</f>
        <v>30x50</v>
      </c>
      <c r="N1665" s="6" t="str">
        <f>"5602972281132"</f>
        <v>5602972281132</v>
      </c>
      <c r="O1665" s="8">
        <v>6</v>
      </c>
      <c r="R1665" s="8">
        <v>0</v>
      </c>
      <c r="U1665" s="8">
        <v>0</v>
      </c>
      <c r="X1665" s="8">
        <v>0</v>
      </c>
      <c r="Z1665" s="8">
        <v>0</v>
      </c>
      <c r="AC1665" s="8">
        <v>0</v>
      </c>
      <c r="AF1665" s="8">
        <v>0</v>
      </c>
      <c r="AN1665" s="8">
        <v>6</v>
      </c>
      <c r="AO1665" s="8">
        <v>0</v>
      </c>
    </row>
    <row r="1666" spans="1:41" x14ac:dyDescent="0.25">
      <c r="A1666" s="6" t="str">
        <f>"522-2026000041"</f>
        <v>522-2026000041</v>
      </c>
      <c r="B1666" s="6" t="str">
        <f t="shared" si="437"/>
        <v>EL CORTE</v>
      </c>
      <c r="C1666" s="7">
        <v>46029</v>
      </c>
      <c r="D1666" s="7">
        <v>46034</v>
      </c>
      <c r="E1666" s="8">
        <v>1</v>
      </c>
      <c r="F1666" s="6" t="str">
        <f>"94761301_07026"</f>
        <v>94761301_07026</v>
      </c>
      <c r="G1666" s="6" t="str">
        <f t="shared" si="438"/>
        <v>F310631650000000</v>
      </c>
      <c r="H1666" s="6" t="str">
        <f t="shared" si="439"/>
        <v>PLAR 6316 FD - 500 g</v>
      </c>
      <c r="I1666" s="6" t="str">
        <f>"200901"</f>
        <v>200901</v>
      </c>
      <c r="J1666" s="6" t="str">
        <f>"ROSA 901"</f>
        <v>ROSA 901</v>
      </c>
      <c r="K1666" s="6" t="str">
        <f>"2020"</f>
        <v>2020</v>
      </c>
      <c r="L1666" s="6" t="str">
        <f>"Lençóis"</f>
        <v>Lençóis</v>
      </c>
      <c r="M1666" s="6" t="str">
        <f>"100x150"</f>
        <v>100x150</v>
      </c>
      <c r="N1666" s="6" t="str">
        <f>"5602972281125"</f>
        <v>5602972281125</v>
      </c>
      <c r="O1666" s="8">
        <v>3</v>
      </c>
      <c r="R1666" s="8">
        <v>0</v>
      </c>
      <c r="U1666" s="8">
        <v>0</v>
      </c>
      <c r="X1666" s="8">
        <v>0</v>
      </c>
      <c r="Z1666" s="8">
        <v>0</v>
      </c>
      <c r="AC1666" s="8">
        <v>0</v>
      </c>
      <c r="AF1666" s="8">
        <v>0</v>
      </c>
      <c r="AN1666" s="8">
        <v>0</v>
      </c>
      <c r="AO1666" s="8">
        <v>3</v>
      </c>
    </row>
    <row r="1667" spans="1:41" x14ac:dyDescent="0.25">
      <c r="A1667" s="6" t="str">
        <f>"522-2026000041"</f>
        <v>522-2026000041</v>
      </c>
      <c r="B1667" s="6" t="str">
        <f t="shared" si="437"/>
        <v>EL CORTE</v>
      </c>
      <c r="C1667" s="7">
        <v>46029</v>
      </c>
      <c r="D1667" s="7">
        <v>46034</v>
      </c>
      <c r="E1667" s="8">
        <v>2</v>
      </c>
      <c r="F1667" s="6" t="str">
        <f>"94761301_07026"</f>
        <v>94761301_07026</v>
      </c>
      <c r="G1667" s="6" t="str">
        <f t="shared" si="438"/>
        <v>F310631650000000</v>
      </c>
      <c r="H1667" s="6" t="str">
        <f t="shared" si="439"/>
        <v>PLAR 6316 FD - 500 g</v>
      </c>
      <c r="I1667" s="6" t="str">
        <f>"200510"</f>
        <v>200510</v>
      </c>
      <c r="J1667" s="6" t="str">
        <f>"VERDE 510"</f>
        <v>VERDE 510</v>
      </c>
      <c r="K1667" s="6" t="str">
        <f>"1024"</f>
        <v>1024</v>
      </c>
      <c r="L1667" s="6" t="str">
        <f>"Toalhas"</f>
        <v>Toalhas</v>
      </c>
      <c r="M1667" s="6" t="str">
        <f>"50x100"</f>
        <v>50x100</v>
      </c>
      <c r="N1667" s="6" t="str">
        <f>"5602972281149"</f>
        <v>5602972281149</v>
      </c>
      <c r="O1667" s="8">
        <v>6</v>
      </c>
      <c r="R1667" s="8">
        <v>0</v>
      </c>
      <c r="U1667" s="8">
        <v>0</v>
      </c>
      <c r="X1667" s="8">
        <v>0</v>
      </c>
      <c r="Z1667" s="8">
        <v>0</v>
      </c>
      <c r="AC1667" s="8">
        <v>0</v>
      </c>
      <c r="AF1667" s="8">
        <v>0</v>
      </c>
      <c r="AN1667" s="8">
        <v>6</v>
      </c>
      <c r="AO1667" s="8">
        <v>0</v>
      </c>
    </row>
    <row r="1668" spans="1:41" x14ac:dyDescent="0.25">
      <c r="A1668" s="6" t="str">
        <f>"522-2026000041"</f>
        <v>522-2026000041</v>
      </c>
      <c r="B1668" s="6" t="str">
        <f t="shared" si="437"/>
        <v>EL CORTE</v>
      </c>
      <c r="C1668" s="7">
        <v>46029</v>
      </c>
      <c r="D1668" s="7">
        <v>46034</v>
      </c>
      <c r="E1668" s="8">
        <v>3</v>
      </c>
      <c r="F1668" s="6" t="str">
        <f>"94761301_07026"</f>
        <v>94761301_07026</v>
      </c>
      <c r="G1668" s="6" t="str">
        <f t="shared" si="438"/>
        <v>F310631650000000</v>
      </c>
      <c r="H1668" s="6" t="str">
        <f t="shared" si="439"/>
        <v>PLAR 6316 FD - 500 g</v>
      </c>
      <c r="I1668" s="6" t="str">
        <f>"200510"</f>
        <v>200510</v>
      </c>
      <c r="J1668" s="6" t="str">
        <f>"VERDE 510"</f>
        <v>VERDE 510</v>
      </c>
      <c r="K1668" s="6" t="str">
        <f>"2020"</f>
        <v>2020</v>
      </c>
      <c r="L1668" s="6" t="str">
        <f>"Lençóis"</f>
        <v>Lençóis</v>
      </c>
      <c r="M1668" s="6" t="str">
        <f>"100x150"</f>
        <v>100x150</v>
      </c>
      <c r="N1668" s="6" t="str">
        <f>"5602972281156"</f>
        <v>5602972281156</v>
      </c>
      <c r="O1668" s="8">
        <v>3</v>
      </c>
      <c r="R1668" s="8">
        <v>0</v>
      </c>
      <c r="U1668" s="8">
        <v>0</v>
      </c>
      <c r="X1668" s="8">
        <v>0</v>
      </c>
      <c r="Z1668" s="8">
        <v>0</v>
      </c>
      <c r="AC1668" s="8">
        <v>0</v>
      </c>
      <c r="AF1668" s="8">
        <v>0</v>
      </c>
      <c r="AN1668" s="8">
        <v>0</v>
      </c>
      <c r="AO1668" s="8">
        <v>3</v>
      </c>
    </row>
    <row r="1669" spans="1:41" x14ac:dyDescent="0.25">
      <c r="A1669" s="6" t="str">
        <f>"522-2026000042"</f>
        <v>522-2026000042</v>
      </c>
      <c r="B1669" s="6" t="str">
        <f t="shared" si="437"/>
        <v>EL CORTE</v>
      </c>
      <c r="C1669" s="7">
        <v>46031</v>
      </c>
      <c r="D1669" s="7">
        <v>46036</v>
      </c>
      <c r="E1669" s="8">
        <v>1</v>
      </c>
      <c r="F1669" s="6" t="str">
        <f>"94779701_07026"</f>
        <v>94779701_07026</v>
      </c>
      <c r="G1669" s="6" t="str">
        <f t="shared" si="438"/>
        <v>F310631650000000</v>
      </c>
      <c r="H1669" s="6" t="str">
        <f t="shared" si="439"/>
        <v>PLAR 6316 FD - 500 g</v>
      </c>
      <c r="I1669" s="6" t="str">
        <f>"201855"</f>
        <v>201855</v>
      </c>
      <c r="J1669" s="6" t="str">
        <f>"AZUL 1855"</f>
        <v>AZUL 1855</v>
      </c>
      <c r="K1669" s="6" t="str">
        <f>"2020"</f>
        <v>2020</v>
      </c>
      <c r="L1669" s="6" t="str">
        <f>"Lençóis"</f>
        <v>Lençóis</v>
      </c>
      <c r="M1669" s="6" t="str">
        <f>"100x150"</f>
        <v>100x150</v>
      </c>
      <c r="N1669" s="6" t="str">
        <f>"5602972281064"</f>
        <v>5602972281064</v>
      </c>
      <c r="O1669" s="8">
        <v>3</v>
      </c>
      <c r="R1669" s="8">
        <v>0</v>
      </c>
      <c r="U1669" s="8">
        <v>0</v>
      </c>
      <c r="X1669" s="8">
        <v>0</v>
      </c>
      <c r="Z1669" s="8">
        <v>0</v>
      </c>
      <c r="AC1669" s="8">
        <v>0</v>
      </c>
      <c r="AF1669" s="8">
        <v>0</v>
      </c>
      <c r="AN1669" s="8">
        <v>0</v>
      </c>
      <c r="AO1669" s="8">
        <v>3</v>
      </c>
    </row>
    <row r="1670" spans="1:41" x14ac:dyDescent="0.25">
      <c r="A1670" s="6" t="str">
        <f>"522-2026000042"</f>
        <v>522-2026000042</v>
      </c>
      <c r="B1670" s="6" t="str">
        <f t="shared" si="437"/>
        <v>EL CORTE</v>
      </c>
      <c r="C1670" s="7">
        <v>46031</v>
      </c>
      <c r="D1670" s="7">
        <v>46036</v>
      </c>
      <c r="E1670" s="8">
        <v>2</v>
      </c>
      <c r="F1670" s="6" t="str">
        <f>"94779701_07026"</f>
        <v>94779701_07026</v>
      </c>
      <c r="G1670" s="6" t="str">
        <f t="shared" si="438"/>
        <v>F310631650000000</v>
      </c>
      <c r="H1670" s="6" t="str">
        <f t="shared" si="439"/>
        <v>PLAR 6316 FD - 500 g</v>
      </c>
      <c r="I1670" s="6" t="str">
        <f>"202575"</f>
        <v>202575</v>
      </c>
      <c r="J1670" s="6" t="str">
        <f>"BEGE 2575"</f>
        <v>BEGE 2575</v>
      </c>
      <c r="K1670" s="6" t="str">
        <f>"1024"</f>
        <v>1024</v>
      </c>
      <c r="L1670" s="6" t="str">
        <f>"Toalhas"</f>
        <v>Toalhas</v>
      </c>
      <c r="M1670" s="6" t="str">
        <f>"50x100"</f>
        <v>50x100</v>
      </c>
      <c r="N1670" s="6" t="str">
        <f>"5602972281088"</f>
        <v>5602972281088</v>
      </c>
      <c r="O1670" s="8">
        <v>6</v>
      </c>
      <c r="R1670" s="8">
        <v>0</v>
      </c>
      <c r="U1670" s="8">
        <v>0</v>
      </c>
      <c r="X1670" s="8">
        <v>0</v>
      </c>
      <c r="Z1670" s="8">
        <v>0</v>
      </c>
      <c r="AC1670" s="8">
        <v>0</v>
      </c>
      <c r="AF1670" s="8">
        <v>0</v>
      </c>
      <c r="AN1670" s="8">
        <v>6</v>
      </c>
      <c r="AO1670" s="8">
        <v>0</v>
      </c>
    </row>
    <row r="1671" spans="1:41" x14ac:dyDescent="0.25">
      <c r="A1671" s="6" t="str">
        <f>"522-2026000042"</f>
        <v>522-2026000042</v>
      </c>
      <c r="B1671" s="6" t="str">
        <f t="shared" ref="B1671:B1734" si="444">"EL CORTE"</f>
        <v>EL CORTE</v>
      </c>
      <c r="C1671" s="7">
        <v>46031</v>
      </c>
      <c r="D1671" s="7">
        <v>46036</v>
      </c>
      <c r="E1671" s="8">
        <v>3</v>
      </c>
      <c r="F1671" s="6" t="str">
        <f>"94779701_07026"</f>
        <v>94779701_07026</v>
      </c>
      <c r="G1671" s="6" t="str">
        <f t="shared" ref="G1671:G1734" si="445">"F310631650000000"</f>
        <v>F310631650000000</v>
      </c>
      <c r="H1671" s="6" t="str">
        <f t="shared" ref="H1671:H1734" si="446">"PLAR 6316 FD - 500 g"</f>
        <v>PLAR 6316 FD - 500 g</v>
      </c>
      <c r="I1671" s="6" t="str">
        <f>"200510"</f>
        <v>200510</v>
      </c>
      <c r="J1671" s="6" t="str">
        <f>"VERDE 510"</f>
        <v>VERDE 510</v>
      </c>
      <c r="K1671" s="6" t="str">
        <f>"1024"</f>
        <v>1024</v>
      </c>
      <c r="L1671" s="6" t="str">
        <f>"Toalhas"</f>
        <v>Toalhas</v>
      </c>
      <c r="M1671" s="6" t="str">
        <f>"50x100"</f>
        <v>50x100</v>
      </c>
      <c r="N1671" s="6" t="str">
        <f>"5602972281149"</f>
        <v>5602972281149</v>
      </c>
      <c r="O1671" s="8">
        <v>6</v>
      </c>
      <c r="R1671" s="8">
        <v>0</v>
      </c>
      <c r="U1671" s="8">
        <v>0</v>
      </c>
      <c r="X1671" s="8">
        <v>0</v>
      </c>
      <c r="Z1671" s="8">
        <v>0</v>
      </c>
      <c r="AC1671" s="8">
        <v>0</v>
      </c>
      <c r="AF1671" s="8">
        <v>0</v>
      </c>
      <c r="AN1671" s="8">
        <v>6</v>
      </c>
      <c r="AO1671" s="8">
        <v>0</v>
      </c>
    </row>
    <row r="1672" spans="1:41" x14ac:dyDescent="0.25">
      <c r="A1672" s="6" t="str">
        <f>"522-2026000043"</f>
        <v>522-2026000043</v>
      </c>
      <c r="B1672" s="6" t="str">
        <f t="shared" si="444"/>
        <v>EL CORTE</v>
      </c>
      <c r="C1672" s="7">
        <v>46031</v>
      </c>
      <c r="D1672" s="7">
        <v>46036</v>
      </c>
      <c r="E1672" s="8">
        <v>1</v>
      </c>
      <c r="F1672" s="6" t="str">
        <f>"94781301_07026"</f>
        <v>94781301_07026</v>
      </c>
      <c r="G1672" s="6" t="str">
        <f t="shared" si="445"/>
        <v>F310631650000000</v>
      </c>
      <c r="H1672" s="6" t="str">
        <f t="shared" si="446"/>
        <v>PLAR 6316 FD - 500 g</v>
      </c>
      <c r="I1672" s="6" t="str">
        <f>"202575"</f>
        <v>202575</v>
      </c>
      <c r="J1672" s="6" t="str">
        <f>"BEGE 2575"</f>
        <v>BEGE 2575</v>
      </c>
      <c r="K1672" s="6" t="str">
        <f>"0520"</f>
        <v>0520</v>
      </c>
      <c r="L1672" s="6" t="str">
        <f>"Toalhetes"</f>
        <v>Toalhetes</v>
      </c>
      <c r="M1672" s="6" t="str">
        <f>"30x50"</f>
        <v>30x50</v>
      </c>
      <c r="N1672" s="6" t="str">
        <f>"5602972281071"</f>
        <v>5602972281071</v>
      </c>
      <c r="O1672" s="8">
        <v>6</v>
      </c>
      <c r="R1672" s="8">
        <v>0</v>
      </c>
      <c r="U1672" s="8">
        <v>0</v>
      </c>
      <c r="X1672" s="8">
        <v>0</v>
      </c>
      <c r="Z1672" s="8">
        <v>0</v>
      </c>
      <c r="AC1672" s="8">
        <v>0</v>
      </c>
      <c r="AF1672" s="8">
        <v>0</v>
      </c>
      <c r="AN1672" s="8">
        <v>6</v>
      </c>
      <c r="AO1672" s="8">
        <v>0</v>
      </c>
    </row>
    <row r="1673" spans="1:41" x14ac:dyDescent="0.25">
      <c r="A1673" s="6" t="str">
        <f>"522-2026000043"</f>
        <v>522-2026000043</v>
      </c>
      <c r="B1673" s="6" t="str">
        <f t="shared" si="444"/>
        <v>EL CORTE</v>
      </c>
      <c r="C1673" s="7">
        <v>46031</v>
      </c>
      <c r="D1673" s="7">
        <v>46036</v>
      </c>
      <c r="E1673" s="8">
        <v>2</v>
      </c>
      <c r="F1673" s="6" t="str">
        <f>"94781301_07026"</f>
        <v>94781301_07026</v>
      </c>
      <c r="G1673" s="6" t="str">
        <f t="shared" si="445"/>
        <v>F310631650000000</v>
      </c>
      <c r="H1673" s="6" t="str">
        <f t="shared" si="446"/>
        <v>PLAR 6316 FD - 500 g</v>
      </c>
      <c r="I1673" s="6" t="str">
        <f>"202575"</f>
        <v>202575</v>
      </c>
      <c r="J1673" s="6" t="str">
        <f>"BEGE 2575"</f>
        <v>BEGE 2575</v>
      </c>
      <c r="K1673" s="6" t="str">
        <f>"1024"</f>
        <v>1024</v>
      </c>
      <c r="L1673" s="6" t="str">
        <f>"Toalhas"</f>
        <v>Toalhas</v>
      </c>
      <c r="M1673" s="6" t="str">
        <f>"50x100"</f>
        <v>50x100</v>
      </c>
      <c r="N1673" s="6" t="str">
        <f>"5602972281088"</f>
        <v>5602972281088</v>
      </c>
      <c r="O1673" s="8">
        <v>6</v>
      </c>
      <c r="R1673" s="8">
        <v>0</v>
      </c>
      <c r="U1673" s="8">
        <v>0</v>
      </c>
      <c r="X1673" s="8">
        <v>0</v>
      </c>
      <c r="Z1673" s="8">
        <v>0</v>
      </c>
      <c r="AC1673" s="8">
        <v>0</v>
      </c>
      <c r="AF1673" s="8">
        <v>0</v>
      </c>
      <c r="AN1673" s="8">
        <v>6</v>
      </c>
      <c r="AO1673" s="8">
        <v>0</v>
      </c>
    </row>
    <row r="1674" spans="1:41" x14ac:dyDescent="0.25">
      <c r="A1674" s="6" t="str">
        <f>"522-2026000043"</f>
        <v>522-2026000043</v>
      </c>
      <c r="B1674" s="6" t="str">
        <f t="shared" si="444"/>
        <v>EL CORTE</v>
      </c>
      <c r="C1674" s="7">
        <v>46031</v>
      </c>
      <c r="D1674" s="7">
        <v>46036</v>
      </c>
      <c r="E1674" s="8">
        <v>3</v>
      </c>
      <c r="F1674" s="6" t="str">
        <f>"94781301_07026"</f>
        <v>94781301_07026</v>
      </c>
      <c r="G1674" s="6" t="str">
        <f t="shared" si="445"/>
        <v>F310631650000000</v>
      </c>
      <c r="H1674" s="6" t="str">
        <f t="shared" si="446"/>
        <v>PLAR 6316 FD - 500 g</v>
      </c>
      <c r="I1674" s="6" t="str">
        <f>"202575"</f>
        <v>202575</v>
      </c>
      <c r="J1674" s="6" t="str">
        <f>"BEGE 2575"</f>
        <v>BEGE 2575</v>
      </c>
      <c r="K1674" s="6" t="str">
        <f>"2020"</f>
        <v>2020</v>
      </c>
      <c r="L1674" s="6" t="str">
        <f>"Lençóis"</f>
        <v>Lençóis</v>
      </c>
      <c r="M1674" s="6" t="str">
        <f>"100x150"</f>
        <v>100x150</v>
      </c>
      <c r="N1674" s="6" t="str">
        <f>"5602972281095"</f>
        <v>5602972281095</v>
      </c>
      <c r="O1674" s="8">
        <v>3</v>
      </c>
      <c r="R1674" s="8">
        <v>0</v>
      </c>
      <c r="U1674" s="8">
        <v>0</v>
      </c>
      <c r="X1674" s="8">
        <v>0</v>
      </c>
      <c r="Z1674" s="8">
        <v>0</v>
      </c>
      <c r="AC1674" s="8">
        <v>0</v>
      </c>
      <c r="AF1674" s="8">
        <v>0</v>
      </c>
      <c r="AN1674" s="8">
        <v>0</v>
      </c>
      <c r="AO1674" s="8">
        <v>3</v>
      </c>
    </row>
    <row r="1675" spans="1:41" x14ac:dyDescent="0.25">
      <c r="A1675" s="6" t="str">
        <f>"522-2026000044"</f>
        <v>522-2026000044</v>
      </c>
      <c r="B1675" s="6" t="str">
        <f t="shared" si="444"/>
        <v>EL CORTE</v>
      </c>
      <c r="C1675" s="7">
        <v>46031</v>
      </c>
      <c r="D1675" s="7">
        <v>46036</v>
      </c>
      <c r="E1675" s="8">
        <v>1</v>
      </c>
      <c r="F1675" s="6" t="str">
        <f>"94781901_07026"</f>
        <v>94781901_07026</v>
      </c>
      <c r="G1675" s="6" t="str">
        <f t="shared" si="445"/>
        <v>F310631650000000</v>
      </c>
      <c r="H1675" s="6" t="str">
        <f t="shared" si="446"/>
        <v>PLAR 6316 FD - 500 g</v>
      </c>
      <c r="I1675" s="6" t="str">
        <f>"202575"</f>
        <v>202575</v>
      </c>
      <c r="J1675" s="6" t="str">
        <f>"BEGE 2575"</f>
        <v>BEGE 2575</v>
      </c>
      <c r="K1675" s="6" t="str">
        <f>"0520"</f>
        <v>0520</v>
      </c>
      <c r="L1675" s="6" t="str">
        <f>"Toalhetes"</f>
        <v>Toalhetes</v>
      </c>
      <c r="M1675" s="6" t="str">
        <f>"30x50"</f>
        <v>30x50</v>
      </c>
      <c r="N1675" s="6" t="str">
        <f>"5602972281071"</f>
        <v>5602972281071</v>
      </c>
      <c r="O1675" s="8">
        <v>6</v>
      </c>
      <c r="R1675" s="8">
        <v>0</v>
      </c>
      <c r="U1675" s="8">
        <v>0</v>
      </c>
      <c r="X1675" s="8">
        <v>0</v>
      </c>
      <c r="Z1675" s="8">
        <v>0</v>
      </c>
      <c r="AC1675" s="8">
        <v>0</v>
      </c>
      <c r="AF1675" s="8">
        <v>0</v>
      </c>
      <c r="AN1675" s="8">
        <v>6</v>
      </c>
      <c r="AO1675" s="8">
        <v>0</v>
      </c>
    </row>
    <row r="1676" spans="1:41" x14ac:dyDescent="0.25">
      <c r="A1676" s="6" t="str">
        <f>"522-2026000044"</f>
        <v>522-2026000044</v>
      </c>
      <c r="B1676" s="6" t="str">
        <f t="shared" si="444"/>
        <v>EL CORTE</v>
      </c>
      <c r="C1676" s="7">
        <v>46031</v>
      </c>
      <c r="D1676" s="7">
        <v>46036</v>
      </c>
      <c r="E1676" s="8">
        <v>2</v>
      </c>
      <c r="F1676" s="6" t="str">
        <f>"94781901_07026"</f>
        <v>94781901_07026</v>
      </c>
      <c r="G1676" s="6" t="str">
        <f t="shared" si="445"/>
        <v>F310631650000000</v>
      </c>
      <c r="H1676" s="6" t="str">
        <f t="shared" si="446"/>
        <v>PLAR 6316 FD - 500 g</v>
      </c>
      <c r="I1676" s="6" t="str">
        <f>"202575"</f>
        <v>202575</v>
      </c>
      <c r="J1676" s="6" t="str">
        <f>"BEGE 2575"</f>
        <v>BEGE 2575</v>
      </c>
      <c r="K1676" s="6" t="str">
        <f>"2020"</f>
        <v>2020</v>
      </c>
      <c r="L1676" s="6" t="str">
        <f>"Lençóis"</f>
        <v>Lençóis</v>
      </c>
      <c r="M1676" s="6" t="str">
        <f>"100x150"</f>
        <v>100x150</v>
      </c>
      <c r="N1676" s="6" t="str">
        <f>"5602972281095"</f>
        <v>5602972281095</v>
      </c>
      <c r="O1676" s="8">
        <v>3</v>
      </c>
      <c r="R1676" s="8">
        <v>0</v>
      </c>
      <c r="U1676" s="8">
        <v>0</v>
      </c>
      <c r="X1676" s="8">
        <v>0</v>
      </c>
      <c r="Z1676" s="8">
        <v>0</v>
      </c>
      <c r="AC1676" s="8">
        <v>0</v>
      </c>
      <c r="AF1676" s="8">
        <v>0</v>
      </c>
      <c r="AN1676" s="8">
        <v>0</v>
      </c>
      <c r="AO1676" s="8">
        <v>3</v>
      </c>
    </row>
    <row r="1677" spans="1:41" x14ac:dyDescent="0.25">
      <c r="A1677" s="6" t="str">
        <f>"522-2026000044"</f>
        <v>522-2026000044</v>
      </c>
      <c r="B1677" s="6" t="str">
        <f t="shared" si="444"/>
        <v>EL CORTE</v>
      </c>
      <c r="C1677" s="7">
        <v>46031</v>
      </c>
      <c r="D1677" s="7">
        <v>46036</v>
      </c>
      <c r="E1677" s="8">
        <v>3</v>
      </c>
      <c r="F1677" s="6" t="str">
        <f>"94781901_07026"</f>
        <v>94781901_07026</v>
      </c>
      <c r="G1677" s="6" t="str">
        <f t="shared" si="445"/>
        <v>F310631650000000</v>
      </c>
      <c r="H1677" s="6" t="str">
        <f t="shared" si="446"/>
        <v>PLAR 6316 FD - 500 g</v>
      </c>
      <c r="I1677" s="6" t="str">
        <f>"200510"</f>
        <v>200510</v>
      </c>
      <c r="J1677" s="6" t="str">
        <f>"VERDE 510"</f>
        <v>VERDE 510</v>
      </c>
      <c r="K1677" s="6" t="str">
        <f>"1024"</f>
        <v>1024</v>
      </c>
      <c r="L1677" s="6" t="str">
        <f>"Toalhas"</f>
        <v>Toalhas</v>
      </c>
      <c r="M1677" s="6" t="str">
        <f>"50x100"</f>
        <v>50x100</v>
      </c>
      <c r="N1677" s="6" t="str">
        <f>"5602972281149"</f>
        <v>5602972281149</v>
      </c>
      <c r="O1677" s="8">
        <v>6</v>
      </c>
      <c r="R1677" s="8">
        <v>0</v>
      </c>
      <c r="U1677" s="8">
        <v>0</v>
      </c>
      <c r="X1677" s="8">
        <v>0</v>
      </c>
      <c r="Z1677" s="8">
        <v>0</v>
      </c>
      <c r="AC1677" s="8">
        <v>0</v>
      </c>
      <c r="AF1677" s="8">
        <v>0</v>
      </c>
      <c r="AN1677" s="8">
        <v>6</v>
      </c>
      <c r="AO1677" s="8">
        <v>0</v>
      </c>
    </row>
    <row r="1678" spans="1:41" x14ac:dyDescent="0.25">
      <c r="A1678" s="6" t="str">
        <f>"522-2026000045"</f>
        <v>522-2026000045</v>
      </c>
      <c r="B1678" s="6" t="str">
        <f t="shared" si="444"/>
        <v>EL CORTE</v>
      </c>
      <c r="C1678" s="7">
        <v>46031</v>
      </c>
      <c r="D1678" s="7">
        <v>46036</v>
      </c>
      <c r="E1678" s="8">
        <v>1</v>
      </c>
      <c r="F1678" s="6" t="str">
        <f>"94781501_07026"</f>
        <v>94781501_07026</v>
      </c>
      <c r="G1678" s="6" t="str">
        <f t="shared" si="445"/>
        <v>F310631650000000</v>
      </c>
      <c r="H1678" s="6" t="str">
        <f t="shared" si="446"/>
        <v>PLAR 6316 FD - 500 g</v>
      </c>
      <c r="I1678" s="6" t="str">
        <f>"202575"</f>
        <v>202575</v>
      </c>
      <c r="J1678" s="6" t="str">
        <f>"BEGE 2575"</f>
        <v>BEGE 2575</v>
      </c>
      <c r="K1678" s="6" t="str">
        <f>"0520"</f>
        <v>0520</v>
      </c>
      <c r="L1678" s="6" t="str">
        <f>"Toalhetes"</f>
        <v>Toalhetes</v>
      </c>
      <c r="M1678" s="6" t="str">
        <f>"30x50"</f>
        <v>30x50</v>
      </c>
      <c r="N1678" s="6" t="str">
        <f>"5602972281071"</f>
        <v>5602972281071</v>
      </c>
      <c r="O1678" s="8">
        <v>6</v>
      </c>
      <c r="R1678" s="8">
        <v>0</v>
      </c>
      <c r="U1678" s="8">
        <v>0</v>
      </c>
      <c r="X1678" s="8">
        <v>0</v>
      </c>
      <c r="Z1678" s="8">
        <v>0</v>
      </c>
      <c r="AC1678" s="8">
        <v>0</v>
      </c>
      <c r="AF1678" s="8">
        <v>0</v>
      </c>
      <c r="AN1678" s="8">
        <v>6</v>
      </c>
      <c r="AO1678" s="8">
        <v>0</v>
      </c>
    </row>
    <row r="1679" spans="1:41" x14ac:dyDescent="0.25">
      <c r="A1679" s="6" t="str">
        <f>"522-2026000046"</f>
        <v>522-2026000046</v>
      </c>
      <c r="B1679" s="6" t="str">
        <f t="shared" si="444"/>
        <v>EL CORTE</v>
      </c>
      <c r="C1679" s="7">
        <v>46031</v>
      </c>
      <c r="D1679" s="7">
        <v>46036</v>
      </c>
      <c r="E1679" s="8">
        <v>1</v>
      </c>
      <c r="F1679" s="6" t="str">
        <f>"94781701_07026"</f>
        <v>94781701_07026</v>
      </c>
      <c r="G1679" s="6" t="str">
        <f t="shared" si="445"/>
        <v>F310631650000000</v>
      </c>
      <c r="H1679" s="6" t="str">
        <f t="shared" si="446"/>
        <v>PLAR 6316 FD - 500 g</v>
      </c>
      <c r="I1679" s="6" t="str">
        <f>"200510"</f>
        <v>200510</v>
      </c>
      <c r="J1679" s="6" t="str">
        <f>"VERDE 510"</f>
        <v>VERDE 510</v>
      </c>
      <c r="K1679" s="6" t="str">
        <f>"2020"</f>
        <v>2020</v>
      </c>
      <c r="L1679" s="6" t="str">
        <f>"Lençóis"</f>
        <v>Lençóis</v>
      </c>
      <c r="M1679" s="6" t="str">
        <f>"100x150"</f>
        <v>100x150</v>
      </c>
      <c r="N1679" s="6" t="str">
        <f>"5602972281156"</f>
        <v>5602972281156</v>
      </c>
      <c r="O1679" s="8">
        <v>6</v>
      </c>
      <c r="R1679" s="8">
        <v>0</v>
      </c>
      <c r="U1679" s="8">
        <v>0</v>
      </c>
      <c r="X1679" s="8">
        <v>0</v>
      </c>
      <c r="Z1679" s="8">
        <v>0</v>
      </c>
      <c r="AC1679" s="8">
        <v>0</v>
      </c>
      <c r="AF1679" s="8">
        <v>0</v>
      </c>
      <c r="AN1679" s="8">
        <v>0</v>
      </c>
      <c r="AO1679" s="8">
        <v>6</v>
      </c>
    </row>
    <row r="1680" spans="1:41" x14ac:dyDescent="0.25">
      <c r="A1680" s="6" t="str">
        <f>"522-2026000047"</f>
        <v>522-2026000047</v>
      </c>
      <c r="B1680" s="6" t="str">
        <f t="shared" si="444"/>
        <v>EL CORTE</v>
      </c>
      <c r="C1680" s="7">
        <v>46031</v>
      </c>
      <c r="D1680" s="7">
        <v>46036</v>
      </c>
      <c r="E1680" s="8">
        <v>1</v>
      </c>
      <c r="F1680" s="6" t="str">
        <f>"94780601_07026"</f>
        <v>94780601_07026</v>
      </c>
      <c r="G1680" s="6" t="str">
        <f t="shared" si="445"/>
        <v>F310631650000000</v>
      </c>
      <c r="H1680" s="6" t="str">
        <f t="shared" si="446"/>
        <v>PLAR 6316 FD - 500 g</v>
      </c>
      <c r="I1680" s="6" t="str">
        <f>"200901"</f>
        <v>200901</v>
      </c>
      <c r="J1680" s="6" t="str">
        <f>"ROSA 901"</f>
        <v>ROSA 901</v>
      </c>
      <c r="K1680" s="6" t="str">
        <f>"1024"</f>
        <v>1024</v>
      </c>
      <c r="L1680" s="6" t="str">
        <f>"Toalhas"</f>
        <v>Toalhas</v>
      </c>
      <c r="M1680" s="6" t="str">
        <f>"50x100"</f>
        <v>50x100</v>
      </c>
      <c r="N1680" s="6" t="str">
        <f>"5602972281118"</f>
        <v>5602972281118</v>
      </c>
      <c r="O1680" s="8">
        <v>6</v>
      </c>
      <c r="R1680" s="8">
        <v>0</v>
      </c>
      <c r="U1680" s="8">
        <v>0</v>
      </c>
      <c r="X1680" s="8">
        <v>0</v>
      </c>
      <c r="Z1680" s="8">
        <v>0</v>
      </c>
      <c r="AC1680" s="8">
        <v>0</v>
      </c>
      <c r="AF1680" s="8">
        <v>0</v>
      </c>
      <c r="AN1680" s="8">
        <v>6</v>
      </c>
      <c r="AO1680" s="8">
        <v>0</v>
      </c>
    </row>
    <row r="1681" spans="1:41" x14ac:dyDescent="0.25">
      <c r="A1681" s="6" t="str">
        <f>"522-2026000047"</f>
        <v>522-2026000047</v>
      </c>
      <c r="B1681" s="6" t="str">
        <f t="shared" si="444"/>
        <v>EL CORTE</v>
      </c>
      <c r="C1681" s="7">
        <v>46031</v>
      </c>
      <c r="D1681" s="7">
        <v>46036</v>
      </c>
      <c r="E1681" s="8">
        <v>2</v>
      </c>
      <c r="F1681" s="6" t="str">
        <f>"94780601_07026"</f>
        <v>94780601_07026</v>
      </c>
      <c r="G1681" s="6" t="str">
        <f t="shared" si="445"/>
        <v>F310631650000000</v>
      </c>
      <c r="H1681" s="6" t="str">
        <f t="shared" si="446"/>
        <v>PLAR 6316 FD - 500 g</v>
      </c>
      <c r="I1681" s="6" t="str">
        <f>"200510"</f>
        <v>200510</v>
      </c>
      <c r="J1681" s="6" t="str">
        <f>"VERDE 510"</f>
        <v>VERDE 510</v>
      </c>
      <c r="K1681" s="6" t="str">
        <f>"0520"</f>
        <v>0520</v>
      </c>
      <c r="L1681" s="6" t="str">
        <f>"Toalhetes"</f>
        <v>Toalhetes</v>
      </c>
      <c r="M1681" s="6" t="str">
        <f>"30x50"</f>
        <v>30x50</v>
      </c>
      <c r="N1681" s="6" t="str">
        <f>"5602972281132"</f>
        <v>5602972281132</v>
      </c>
      <c r="O1681" s="8">
        <v>6</v>
      </c>
      <c r="R1681" s="8">
        <v>0</v>
      </c>
      <c r="U1681" s="8">
        <v>0</v>
      </c>
      <c r="X1681" s="8">
        <v>0</v>
      </c>
      <c r="Z1681" s="8">
        <v>0</v>
      </c>
      <c r="AC1681" s="8">
        <v>0</v>
      </c>
      <c r="AF1681" s="8">
        <v>0</v>
      </c>
      <c r="AN1681" s="8">
        <v>6</v>
      </c>
      <c r="AO1681" s="8">
        <v>0</v>
      </c>
    </row>
    <row r="1682" spans="1:41" x14ac:dyDescent="0.25">
      <c r="A1682" s="6" t="str">
        <f>"522-2026000048"</f>
        <v>522-2026000048</v>
      </c>
      <c r="B1682" s="6" t="str">
        <f t="shared" si="444"/>
        <v>EL CORTE</v>
      </c>
      <c r="C1682" s="7">
        <v>46031</v>
      </c>
      <c r="D1682" s="7">
        <v>46036</v>
      </c>
      <c r="E1682" s="8">
        <v>1</v>
      </c>
      <c r="F1682" s="6" t="str">
        <f>"94780701_07026"</f>
        <v>94780701_07026</v>
      </c>
      <c r="G1682" s="6" t="str">
        <f t="shared" si="445"/>
        <v>F310631650000000</v>
      </c>
      <c r="H1682" s="6" t="str">
        <f t="shared" si="446"/>
        <v>PLAR 6316 FD - 500 g</v>
      </c>
      <c r="I1682" s="6" t="str">
        <f>"200510"</f>
        <v>200510</v>
      </c>
      <c r="J1682" s="6" t="str">
        <f>"VERDE 510"</f>
        <v>VERDE 510</v>
      </c>
      <c r="K1682" s="6" t="str">
        <f>"2020"</f>
        <v>2020</v>
      </c>
      <c r="L1682" s="6" t="str">
        <f>"Lençóis"</f>
        <v>Lençóis</v>
      </c>
      <c r="M1682" s="6" t="str">
        <f>"100x150"</f>
        <v>100x150</v>
      </c>
      <c r="N1682" s="6" t="str">
        <f>"5602972281156"</f>
        <v>5602972281156</v>
      </c>
      <c r="O1682" s="8">
        <v>3</v>
      </c>
      <c r="R1682" s="8">
        <v>0</v>
      </c>
      <c r="U1682" s="8">
        <v>0</v>
      </c>
      <c r="X1682" s="8">
        <v>0</v>
      </c>
      <c r="Z1682" s="8">
        <v>0</v>
      </c>
      <c r="AC1682" s="8">
        <v>0</v>
      </c>
      <c r="AF1682" s="8">
        <v>0</v>
      </c>
      <c r="AN1682" s="8">
        <v>0</v>
      </c>
      <c r="AO1682" s="8">
        <v>3</v>
      </c>
    </row>
    <row r="1683" spans="1:41" x14ac:dyDescent="0.25">
      <c r="A1683" s="6" t="str">
        <f>"522-2026000049"</f>
        <v>522-2026000049</v>
      </c>
      <c r="B1683" s="6" t="str">
        <f t="shared" si="444"/>
        <v>EL CORTE</v>
      </c>
      <c r="C1683" s="7">
        <v>46031</v>
      </c>
      <c r="D1683" s="7">
        <v>46036</v>
      </c>
      <c r="E1683" s="8">
        <v>1</v>
      </c>
      <c r="F1683" s="6" t="str">
        <f>"94780801_07026"</f>
        <v>94780801_07026</v>
      </c>
      <c r="G1683" s="6" t="str">
        <f t="shared" si="445"/>
        <v>F310631650000000</v>
      </c>
      <c r="H1683" s="6" t="str">
        <f t="shared" si="446"/>
        <v>PLAR 6316 FD - 500 g</v>
      </c>
      <c r="I1683" s="6" t="str">
        <f>"202575"</f>
        <v>202575</v>
      </c>
      <c r="J1683" s="6" t="str">
        <f>"BEGE 2575"</f>
        <v>BEGE 2575</v>
      </c>
      <c r="K1683" s="6" t="str">
        <f>"0520"</f>
        <v>0520</v>
      </c>
      <c r="L1683" s="6" t="str">
        <f>"Toalhetes"</f>
        <v>Toalhetes</v>
      </c>
      <c r="M1683" s="6" t="str">
        <f>"30x50"</f>
        <v>30x50</v>
      </c>
      <c r="N1683" s="6" t="str">
        <f>"5602972281071"</f>
        <v>5602972281071</v>
      </c>
      <c r="O1683" s="8">
        <v>6</v>
      </c>
      <c r="R1683" s="8">
        <v>0</v>
      </c>
      <c r="U1683" s="8">
        <v>0</v>
      </c>
      <c r="X1683" s="8">
        <v>0</v>
      </c>
      <c r="Z1683" s="8">
        <v>0</v>
      </c>
      <c r="AC1683" s="8">
        <v>0</v>
      </c>
      <c r="AF1683" s="8">
        <v>0</v>
      </c>
      <c r="AN1683" s="8">
        <v>6</v>
      </c>
      <c r="AO1683" s="8">
        <v>0</v>
      </c>
    </row>
    <row r="1684" spans="1:41" x14ac:dyDescent="0.25">
      <c r="A1684" s="6" t="str">
        <f>"522-2026000049"</f>
        <v>522-2026000049</v>
      </c>
      <c r="B1684" s="6" t="str">
        <f t="shared" si="444"/>
        <v>EL CORTE</v>
      </c>
      <c r="C1684" s="7">
        <v>46031</v>
      </c>
      <c r="D1684" s="7">
        <v>46036</v>
      </c>
      <c r="E1684" s="8">
        <v>2</v>
      </c>
      <c r="F1684" s="6" t="str">
        <f>"94780801_07026"</f>
        <v>94780801_07026</v>
      </c>
      <c r="G1684" s="6" t="str">
        <f t="shared" si="445"/>
        <v>F310631650000000</v>
      </c>
      <c r="H1684" s="6" t="str">
        <f t="shared" si="446"/>
        <v>PLAR 6316 FD - 500 g</v>
      </c>
      <c r="I1684" s="6" t="str">
        <f>"202575"</f>
        <v>202575</v>
      </c>
      <c r="J1684" s="6" t="str">
        <f>"BEGE 2575"</f>
        <v>BEGE 2575</v>
      </c>
      <c r="K1684" s="6" t="str">
        <f>"2020"</f>
        <v>2020</v>
      </c>
      <c r="L1684" s="6" t="str">
        <f>"Lençóis"</f>
        <v>Lençóis</v>
      </c>
      <c r="M1684" s="6" t="str">
        <f>"100x150"</f>
        <v>100x150</v>
      </c>
      <c r="N1684" s="6" t="str">
        <f>"5602972281095"</f>
        <v>5602972281095</v>
      </c>
      <c r="O1684" s="8">
        <v>3</v>
      </c>
      <c r="R1684" s="8">
        <v>0</v>
      </c>
      <c r="U1684" s="8">
        <v>0</v>
      </c>
      <c r="X1684" s="8">
        <v>0</v>
      </c>
      <c r="Z1684" s="8">
        <v>0</v>
      </c>
      <c r="AC1684" s="8">
        <v>0</v>
      </c>
      <c r="AF1684" s="8">
        <v>0</v>
      </c>
      <c r="AN1684" s="8">
        <v>0</v>
      </c>
      <c r="AO1684" s="8">
        <v>3</v>
      </c>
    </row>
    <row r="1685" spans="1:41" x14ac:dyDescent="0.25">
      <c r="A1685" s="6" t="str">
        <f t="shared" ref="A1685:A1696" si="447">"522-2026000050"</f>
        <v>522-2026000050</v>
      </c>
      <c r="B1685" s="6" t="str">
        <f t="shared" si="444"/>
        <v>EL CORTE</v>
      </c>
      <c r="C1685" s="7">
        <v>46031</v>
      </c>
      <c r="D1685" s="7">
        <v>46036</v>
      </c>
      <c r="E1685" s="8">
        <v>1</v>
      </c>
      <c r="F1685" s="6" t="str">
        <f t="shared" ref="F1685:F1696" si="448">"94782301_07026"</f>
        <v>94782301_07026</v>
      </c>
      <c r="G1685" s="6" t="str">
        <f t="shared" si="445"/>
        <v>F310631650000000</v>
      </c>
      <c r="H1685" s="6" t="str">
        <f t="shared" si="446"/>
        <v>PLAR 6316 FD - 500 g</v>
      </c>
      <c r="I1685" s="6" t="str">
        <f>"201855"</f>
        <v>201855</v>
      </c>
      <c r="J1685" s="6" t="str">
        <f>"AZUL 1855"</f>
        <v>AZUL 1855</v>
      </c>
      <c r="K1685" s="6" t="str">
        <f>"0520"</f>
        <v>0520</v>
      </c>
      <c r="L1685" s="6" t="str">
        <f>"Toalhetes"</f>
        <v>Toalhetes</v>
      </c>
      <c r="M1685" s="6" t="str">
        <f>"30x50"</f>
        <v>30x50</v>
      </c>
      <c r="N1685" s="6" t="str">
        <f>"5602972281040"</f>
        <v>5602972281040</v>
      </c>
      <c r="O1685" s="8">
        <v>12</v>
      </c>
      <c r="R1685" s="8">
        <v>0</v>
      </c>
      <c r="U1685" s="8">
        <v>0</v>
      </c>
      <c r="X1685" s="8">
        <v>0</v>
      </c>
      <c r="Z1685" s="8">
        <v>0</v>
      </c>
      <c r="AC1685" s="8">
        <v>0</v>
      </c>
      <c r="AF1685" s="8">
        <v>0</v>
      </c>
      <c r="AN1685" s="8">
        <v>12</v>
      </c>
      <c r="AO1685" s="8">
        <v>0</v>
      </c>
    </row>
    <row r="1686" spans="1:41" x14ac:dyDescent="0.25">
      <c r="A1686" s="6" t="str">
        <f t="shared" si="447"/>
        <v>522-2026000050</v>
      </c>
      <c r="B1686" s="6" t="str">
        <f t="shared" si="444"/>
        <v>EL CORTE</v>
      </c>
      <c r="C1686" s="7">
        <v>46031</v>
      </c>
      <c r="D1686" s="7">
        <v>46036</v>
      </c>
      <c r="E1686" s="8">
        <v>2</v>
      </c>
      <c r="F1686" s="6" t="str">
        <f t="shared" si="448"/>
        <v>94782301_07026</v>
      </c>
      <c r="G1686" s="6" t="str">
        <f t="shared" si="445"/>
        <v>F310631650000000</v>
      </c>
      <c r="H1686" s="6" t="str">
        <f t="shared" si="446"/>
        <v>PLAR 6316 FD - 500 g</v>
      </c>
      <c r="I1686" s="6" t="str">
        <f>"201855"</f>
        <v>201855</v>
      </c>
      <c r="J1686" s="6" t="str">
        <f>"AZUL 1855"</f>
        <v>AZUL 1855</v>
      </c>
      <c r="K1686" s="6" t="str">
        <f>"1024"</f>
        <v>1024</v>
      </c>
      <c r="L1686" s="6" t="str">
        <f>"Toalhas"</f>
        <v>Toalhas</v>
      </c>
      <c r="M1686" s="6" t="str">
        <f>"50x100"</f>
        <v>50x100</v>
      </c>
      <c r="N1686" s="6" t="str">
        <f>"5602972281057"</f>
        <v>5602972281057</v>
      </c>
      <c r="O1686" s="8">
        <v>18</v>
      </c>
      <c r="R1686" s="8">
        <v>0</v>
      </c>
      <c r="U1686" s="8">
        <v>0</v>
      </c>
      <c r="X1686" s="8">
        <v>0</v>
      </c>
      <c r="Z1686" s="8">
        <v>0</v>
      </c>
      <c r="AC1686" s="8">
        <v>0</v>
      </c>
      <c r="AF1686" s="8">
        <v>0</v>
      </c>
      <c r="AN1686" s="8">
        <v>18</v>
      </c>
      <c r="AO1686" s="8">
        <v>0</v>
      </c>
    </row>
    <row r="1687" spans="1:41" x14ac:dyDescent="0.25">
      <c r="A1687" s="6" t="str">
        <f t="shared" si="447"/>
        <v>522-2026000050</v>
      </c>
      <c r="B1687" s="6" t="str">
        <f t="shared" si="444"/>
        <v>EL CORTE</v>
      </c>
      <c r="C1687" s="7">
        <v>46031</v>
      </c>
      <c r="D1687" s="7">
        <v>46036</v>
      </c>
      <c r="E1687" s="8">
        <v>3</v>
      </c>
      <c r="F1687" s="6" t="str">
        <f t="shared" si="448"/>
        <v>94782301_07026</v>
      </c>
      <c r="G1687" s="6" t="str">
        <f t="shared" si="445"/>
        <v>F310631650000000</v>
      </c>
      <c r="H1687" s="6" t="str">
        <f t="shared" si="446"/>
        <v>PLAR 6316 FD - 500 g</v>
      </c>
      <c r="I1687" s="6" t="str">
        <f>"201855"</f>
        <v>201855</v>
      </c>
      <c r="J1687" s="6" t="str">
        <f>"AZUL 1855"</f>
        <v>AZUL 1855</v>
      </c>
      <c r="K1687" s="6" t="str">
        <f>"2020"</f>
        <v>2020</v>
      </c>
      <c r="L1687" s="6" t="str">
        <f>"Lençóis"</f>
        <v>Lençóis</v>
      </c>
      <c r="M1687" s="6" t="str">
        <f>"100x150"</f>
        <v>100x150</v>
      </c>
      <c r="N1687" s="6" t="str">
        <f>"5602972281064"</f>
        <v>5602972281064</v>
      </c>
      <c r="O1687" s="8">
        <v>9</v>
      </c>
      <c r="R1687" s="8">
        <v>0</v>
      </c>
      <c r="U1687" s="8">
        <v>0</v>
      </c>
      <c r="X1687" s="8">
        <v>0</v>
      </c>
      <c r="Z1687" s="8">
        <v>0</v>
      </c>
      <c r="AC1687" s="8">
        <v>0</v>
      </c>
      <c r="AF1687" s="8">
        <v>0</v>
      </c>
      <c r="AN1687" s="8">
        <v>0</v>
      </c>
      <c r="AO1687" s="8">
        <v>9</v>
      </c>
    </row>
    <row r="1688" spans="1:41" x14ac:dyDescent="0.25">
      <c r="A1688" s="6" t="str">
        <f t="shared" si="447"/>
        <v>522-2026000050</v>
      </c>
      <c r="B1688" s="6" t="str">
        <f t="shared" si="444"/>
        <v>EL CORTE</v>
      </c>
      <c r="C1688" s="7">
        <v>46031</v>
      </c>
      <c r="D1688" s="7">
        <v>46036</v>
      </c>
      <c r="E1688" s="8">
        <v>4</v>
      </c>
      <c r="F1688" s="6" t="str">
        <f t="shared" si="448"/>
        <v>94782301_07026</v>
      </c>
      <c r="G1688" s="6" t="str">
        <f t="shared" si="445"/>
        <v>F310631650000000</v>
      </c>
      <c r="H1688" s="6" t="str">
        <f t="shared" si="446"/>
        <v>PLAR 6316 FD - 500 g</v>
      </c>
      <c r="I1688" s="6" t="str">
        <f>"202575"</f>
        <v>202575</v>
      </c>
      <c r="J1688" s="6" t="str">
        <f>"BEGE 2575"</f>
        <v>BEGE 2575</v>
      </c>
      <c r="K1688" s="6" t="str">
        <f>"0520"</f>
        <v>0520</v>
      </c>
      <c r="L1688" s="6" t="str">
        <f>"Toalhetes"</f>
        <v>Toalhetes</v>
      </c>
      <c r="M1688" s="6" t="str">
        <f>"30x50"</f>
        <v>30x50</v>
      </c>
      <c r="N1688" s="6" t="str">
        <f>"5602972281071"</f>
        <v>5602972281071</v>
      </c>
      <c r="O1688" s="8">
        <v>12</v>
      </c>
      <c r="R1688" s="8">
        <v>0</v>
      </c>
      <c r="U1688" s="8">
        <v>0</v>
      </c>
      <c r="X1688" s="8">
        <v>0</v>
      </c>
      <c r="Z1688" s="8">
        <v>0</v>
      </c>
      <c r="AC1688" s="8">
        <v>0</v>
      </c>
      <c r="AF1688" s="8">
        <v>0</v>
      </c>
      <c r="AN1688" s="8">
        <v>12</v>
      </c>
      <c r="AO1688" s="8">
        <v>0</v>
      </c>
    </row>
    <row r="1689" spans="1:41" x14ac:dyDescent="0.25">
      <c r="A1689" s="6" t="str">
        <f t="shared" si="447"/>
        <v>522-2026000050</v>
      </c>
      <c r="B1689" s="6" t="str">
        <f t="shared" si="444"/>
        <v>EL CORTE</v>
      </c>
      <c r="C1689" s="7">
        <v>46031</v>
      </c>
      <c r="D1689" s="7">
        <v>46036</v>
      </c>
      <c r="E1689" s="8">
        <v>5</v>
      </c>
      <c r="F1689" s="6" t="str">
        <f t="shared" si="448"/>
        <v>94782301_07026</v>
      </c>
      <c r="G1689" s="6" t="str">
        <f t="shared" si="445"/>
        <v>F310631650000000</v>
      </c>
      <c r="H1689" s="6" t="str">
        <f t="shared" si="446"/>
        <v>PLAR 6316 FD - 500 g</v>
      </c>
      <c r="I1689" s="6" t="str">
        <f>"202575"</f>
        <v>202575</v>
      </c>
      <c r="J1689" s="6" t="str">
        <f>"BEGE 2575"</f>
        <v>BEGE 2575</v>
      </c>
      <c r="K1689" s="6" t="str">
        <f>"1024"</f>
        <v>1024</v>
      </c>
      <c r="L1689" s="6" t="str">
        <f>"Toalhas"</f>
        <v>Toalhas</v>
      </c>
      <c r="M1689" s="6" t="str">
        <f>"50x100"</f>
        <v>50x100</v>
      </c>
      <c r="N1689" s="6" t="str">
        <f>"5602972281088"</f>
        <v>5602972281088</v>
      </c>
      <c r="O1689" s="8">
        <v>12</v>
      </c>
      <c r="R1689" s="8">
        <v>0</v>
      </c>
      <c r="U1689" s="8">
        <v>0</v>
      </c>
      <c r="X1689" s="8">
        <v>0</v>
      </c>
      <c r="Z1689" s="8">
        <v>0</v>
      </c>
      <c r="AC1689" s="8">
        <v>0</v>
      </c>
      <c r="AF1689" s="8">
        <v>0</v>
      </c>
      <c r="AN1689" s="8">
        <v>12</v>
      </c>
      <c r="AO1689" s="8">
        <v>0</v>
      </c>
    </row>
    <row r="1690" spans="1:41" x14ac:dyDescent="0.25">
      <c r="A1690" s="6" t="str">
        <f t="shared" si="447"/>
        <v>522-2026000050</v>
      </c>
      <c r="B1690" s="6" t="str">
        <f t="shared" si="444"/>
        <v>EL CORTE</v>
      </c>
      <c r="C1690" s="7">
        <v>46031</v>
      </c>
      <c r="D1690" s="7">
        <v>46036</v>
      </c>
      <c r="E1690" s="8">
        <v>6</v>
      </c>
      <c r="F1690" s="6" t="str">
        <f t="shared" si="448"/>
        <v>94782301_07026</v>
      </c>
      <c r="G1690" s="6" t="str">
        <f t="shared" si="445"/>
        <v>F310631650000000</v>
      </c>
      <c r="H1690" s="6" t="str">
        <f t="shared" si="446"/>
        <v>PLAR 6316 FD - 500 g</v>
      </c>
      <c r="I1690" s="6" t="str">
        <f>"202575"</f>
        <v>202575</v>
      </c>
      <c r="J1690" s="6" t="str">
        <f>"BEGE 2575"</f>
        <v>BEGE 2575</v>
      </c>
      <c r="K1690" s="6" t="str">
        <f>"2020"</f>
        <v>2020</v>
      </c>
      <c r="L1690" s="6" t="str">
        <f>"Lençóis"</f>
        <v>Lençóis</v>
      </c>
      <c r="M1690" s="6" t="str">
        <f>"100x150"</f>
        <v>100x150</v>
      </c>
      <c r="N1690" s="6" t="str">
        <f>"5602972281095"</f>
        <v>5602972281095</v>
      </c>
      <c r="O1690" s="8">
        <v>12</v>
      </c>
      <c r="R1690" s="8">
        <v>0</v>
      </c>
      <c r="U1690" s="8">
        <v>0</v>
      </c>
      <c r="X1690" s="8">
        <v>0</v>
      </c>
      <c r="Z1690" s="8">
        <v>0</v>
      </c>
      <c r="AC1690" s="8">
        <v>0</v>
      </c>
      <c r="AF1690" s="8">
        <v>0</v>
      </c>
      <c r="AN1690" s="8">
        <v>0</v>
      </c>
      <c r="AO1690" s="8">
        <v>12</v>
      </c>
    </row>
    <row r="1691" spans="1:41" x14ac:dyDescent="0.25">
      <c r="A1691" s="6" t="str">
        <f t="shared" si="447"/>
        <v>522-2026000050</v>
      </c>
      <c r="B1691" s="6" t="str">
        <f t="shared" si="444"/>
        <v>EL CORTE</v>
      </c>
      <c r="C1691" s="7">
        <v>46031</v>
      </c>
      <c r="D1691" s="7">
        <v>46036</v>
      </c>
      <c r="E1691" s="8">
        <v>7</v>
      </c>
      <c r="F1691" s="6" t="str">
        <f t="shared" si="448"/>
        <v>94782301_07026</v>
      </c>
      <c r="G1691" s="6" t="str">
        <f t="shared" si="445"/>
        <v>F310631650000000</v>
      </c>
      <c r="H1691" s="6" t="str">
        <f t="shared" si="446"/>
        <v>PLAR 6316 FD - 500 g</v>
      </c>
      <c r="I1691" s="6" t="str">
        <f>"200901"</f>
        <v>200901</v>
      </c>
      <c r="J1691" s="6" t="str">
        <f>"ROSA 901"</f>
        <v>ROSA 901</v>
      </c>
      <c r="K1691" s="6" t="str">
        <f>"0520"</f>
        <v>0520</v>
      </c>
      <c r="L1691" s="6" t="str">
        <f>"Toalhetes"</f>
        <v>Toalhetes</v>
      </c>
      <c r="M1691" s="6" t="str">
        <f>"30x50"</f>
        <v>30x50</v>
      </c>
      <c r="N1691" s="6" t="str">
        <f>"5602972281101"</f>
        <v>5602972281101</v>
      </c>
      <c r="O1691" s="8">
        <v>12</v>
      </c>
      <c r="R1691" s="8">
        <v>0</v>
      </c>
      <c r="U1691" s="8">
        <v>0</v>
      </c>
      <c r="X1691" s="8">
        <v>0</v>
      </c>
      <c r="Z1691" s="8">
        <v>0</v>
      </c>
      <c r="AC1691" s="8">
        <v>0</v>
      </c>
      <c r="AF1691" s="8">
        <v>0</v>
      </c>
      <c r="AN1691" s="8">
        <v>12</v>
      </c>
      <c r="AO1691" s="8">
        <v>0</v>
      </c>
    </row>
    <row r="1692" spans="1:41" x14ac:dyDescent="0.25">
      <c r="A1692" s="6" t="str">
        <f t="shared" si="447"/>
        <v>522-2026000050</v>
      </c>
      <c r="B1692" s="6" t="str">
        <f t="shared" si="444"/>
        <v>EL CORTE</v>
      </c>
      <c r="C1692" s="7">
        <v>46031</v>
      </c>
      <c r="D1692" s="7">
        <v>46036</v>
      </c>
      <c r="E1692" s="8">
        <v>8</v>
      </c>
      <c r="F1692" s="6" t="str">
        <f t="shared" si="448"/>
        <v>94782301_07026</v>
      </c>
      <c r="G1692" s="6" t="str">
        <f t="shared" si="445"/>
        <v>F310631650000000</v>
      </c>
      <c r="H1692" s="6" t="str">
        <f t="shared" si="446"/>
        <v>PLAR 6316 FD - 500 g</v>
      </c>
      <c r="I1692" s="6" t="str">
        <f>"200901"</f>
        <v>200901</v>
      </c>
      <c r="J1692" s="6" t="str">
        <f>"ROSA 901"</f>
        <v>ROSA 901</v>
      </c>
      <c r="K1692" s="6" t="str">
        <f>"1024"</f>
        <v>1024</v>
      </c>
      <c r="L1692" s="6" t="str">
        <f>"Toalhas"</f>
        <v>Toalhas</v>
      </c>
      <c r="M1692" s="6" t="str">
        <f>"50x100"</f>
        <v>50x100</v>
      </c>
      <c r="N1692" s="6" t="str">
        <f>"5602972281118"</f>
        <v>5602972281118</v>
      </c>
      <c r="O1692" s="8">
        <v>12</v>
      </c>
      <c r="R1692" s="8">
        <v>0</v>
      </c>
      <c r="U1692" s="8">
        <v>0</v>
      </c>
      <c r="X1692" s="8">
        <v>0</v>
      </c>
      <c r="Z1692" s="8">
        <v>0</v>
      </c>
      <c r="AC1692" s="8">
        <v>0</v>
      </c>
      <c r="AF1692" s="8">
        <v>0</v>
      </c>
      <c r="AN1692" s="8">
        <v>12</v>
      </c>
      <c r="AO1692" s="8">
        <v>0</v>
      </c>
    </row>
    <row r="1693" spans="1:41" x14ac:dyDescent="0.25">
      <c r="A1693" s="6" t="str">
        <f t="shared" si="447"/>
        <v>522-2026000050</v>
      </c>
      <c r="B1693" s="6" t="str">
        <f t="shared" si="444"/>
        <v>EL CORTE</v>
      </c>
      <c r="C1693" s="7">
        <v>46031</v>
      </c>
      <c r="D1693" s="7">
        <v>46036</v>
      </c>
      <c r="E1693" s="8">
        <v>9</v>
      </c>
      <c r="F1693" s="6" t="str">
        <f t="shared" si="448"/>
        <v>94782301_07026</v>
      </c>
      <c r="G1693" s="6" t="str">
        <f t="shared" si="445"/>
        <v>F310631650000000</v>
      </c>
      <c r="H1693" s="6" t="str">
        <f t="shared" si="446"/>
        <v>PLAR 6316 FD - 500 g</v>
      </c>
      <c r="I1693" s="6" t="str">
        <f>"200901"</f>
        <v>200901</v>
      </c>
      <c r="J1693" s="6" t="str">
        <f>"ROSA 901"</f>
        <v>ROSA 901</v>
      </c>
      <c r="K1693" s="6" t="str">
        <f>"2020"</f>
        <v>2020</v>
      </c>
      <c r="L1693" s="6" t="str">
        <f>"Lençóis"</f>
        <v>Lençóis</v>
      </c>
      <c r="M1693" s="6" t="str">
        <f>"100x150"</f>
        <v>100x150</v>
      </c>
      <c r="N1693" s="6" t="str">
        <f>"5602972281125"</f>
        <v>5602972281125</v>
      </c>
      <c r="O1693" s="8">
        <v>9</v>
      </c>
      <c r="R1693" s="8">
        <v>0</v>
      </c>
      <c r="U1693" s="8">
        <v>0</v>
      </c>
      <c r="X1693" s="8">
        <v>0</v>
      </c>
      <c r="Z1693" s="8">
        <v>0</v>
      </c>
      <c r="AC1693" s="8">
        <v>0</v>
      </c>
      <c r="AF1693" s="8">
        <v>0</v>
      </c>
      <c r="AN1693" s="8">
        <v>0</v>
      </c>
      <c r="AO1693" s="8">
        <v>9</v>
      </c>
    </row>
    <row r="1694" spans="1:41" x14ac:dyDescent="0.25">
      <c r="A1694" s="6" t="str">
        <f t="shared" si="447"/>
        <v>522-2026000050</v>
      </c>
      <c r="B1694" s="6" t="str">
        <f t="shared" si="444"/>
        <v>EL CORTE</v>
      </c>
      <c r="C1694" s="7">
        <v>46031</v>
      </c>
      <c r="D1694" s="7">
        <v>46036</v>
      </c>
      <c r="E1694" s="8">
        <v>10</v>
      </c>
      <c r="F1694" s="6" t="str">
        <f t="shared" si="448"/>
        <v>94782301_07026</v>
      </c>
      <c r="G1694" s="6" t="str">
        <f t="shared" si="445"/>
        <v>F310631650000000</v>
      </c>
      <c r="H1694" s="6" t="str">
        <f t="shared" si="446"/>
        <v>PLAR 6316 FD - 500 g</v>
      </c>
      <c r="I1694" s="6" t="str">
        <f>"200510"</f>
        <v>200510</v>
      </c>
      <c r="J1694" s="6" t="str">
        <f>"VERDE 510"</f>
        <v>VERDE 510</v>
      </c>
      <c r="K1694" s="6" t="str">
        <f>"0520"</f>
        <v>0520</v>
      </c>
      <c r="L1694" s="6" t="str">
        <f>"Toalhetes"</f>
        <v>Toalhetes</v>
      </c>
      <c r="M1694" s="6" t="str">
        <f>"30x50"</f>
        <v>30x50</v>
      </c>
      <c r="N1694" s="6" t="str">
        <f>"5602972281132"</f>
        <v>5602972281132</v>
      </c>
      <c r="O1694" s="8">
        <v>12</v>
      </c>
      <c r="R1694" s="8">
        <v>0</v>
      </c>
      <c r="U1694" s="8">
        <v>0</v>
      </c>
      <c r="X1694" s="8">
        <v>0</v>
      </c>
      <c r="Z1694" s="8">
        <v>0</v>
      </c>
      <c r="AC1694" s="8">
        <v>0</v>
      </c>
      <c r="AF1694" s="8">
        <v>0</v>
      </c>
      <c r="AN1694" s="8">
        <v>12</v>
      </c>
      <c r="AO1694" s="8">
        <v>0</v>
      </c>
    </row>
    <row r="1695" spans="1:41" x14ac:dyDescent="0.25">
      <c r="A1695" s="6" t="str">
        <f t="shared" si="447"/>
        <v>522-2026000050</v>
      </c>
      <c r="B1695" s="6" t="str">
        <f t="shared" si="444"/>
        <v>EL CORTE</v>
      </c>
      <c r="C1695" s="7">
        <v>46031</v>
      </c>
      <c r="D1695" s="7">
        <v>46036</v>
      </c>
      <c r="E1695" s="8">
        <v>11</v>
      </c>
      <c r="F1695" s="6" t="str">
        <f t="shared" si="448"/>
        <v>94782301_07026</v>
      </c>
      <c r="G1695" s="6" t="str">
        <f t="shared" si="445"/>
        <v>F310631650000000</v>
      </c>
      <c r="H1695" s="6" t="str">
        <f t="shared" si="446"/>
        <v>PLAR 6316 FD - 500 g</v>
      </c>
      <c r="I1695" s="6" t="str">
        <f>"200510"</f>
        <v>200510</v>
      </c>
      <c r="J1695" s="6" t="str">
        <f>"VERDE 510"</f>
        <v>VERDE 510</v>
      </c>
      <c r="K1695" s="6" t="str">
        <f>"1024"</f>
        <v>1024</v>
      </c>
      <c r="L1695" s="6" t="str">
        <f>"Toalhas"</f>
        <v>Toalhas</v>
      </c>
      <c r="M1695" s="6" t="str">
        <f>"50x100"</f>
        <v>50x100</v>
      </c>
      <c r="N1695" s="6" t="str">
        <f>"5602972281149"</f>
        <v>5602972281149</v>
      </c>
      <c r="O1695" s="8">
        <v>12</v>
      </c>
      <c r="R1695" s="8">
        <v>0</v>
      </c>
      <c r="U1695" s="8">
        <v>0</v>
      </c>
      <c r="X1695" s="8">
        <v>0</v>
      </c>
      <c r="Z1695" s="8">
        <v>0</v>
      </c>
      <c r="AC1695" s="8">
        <v>0</v>
      </c>
      <c r="AF1695" s="8">
        <v>0</v>
      </c>
      <c r="AN1695" s="8">
        <v>12</v>
      </c>
      <c r="AO1695" s="8">
        <v>0</v>
      </c>
    </row>
    <row r="1696" spans="1:41" x14ac:dyDescent="0.25">
      <c r="A1696" s="6" t="str">
        <f t="shared" si="447"/>
        <v>522-2026000050</v>
      </c>
      <c r="B1696" s="6" t="str">
        <f t="shared" si="444"/>
        <v>EL CORTE</v>
      </c>
      <c r="C1696" s="7">
        <v>46031</v>
      </c>
      <c r="D1696" s="7">
        <v>46036</v>
      </c>
      <c r="E1696" s="8">
        <v>12</v>
      </c>
      <c r="F1696" s="6" t="str">
        <f t="shared" si="448"/>
        <v>94782301_07026</v>
      </c>
      <c r="G1696" s="6" t="str">
        <f t="shared" si="445"/>
        <v>F310631650000000</v>
      </c>
      <c r="H1696" s="6" t="str">
        <f t="shared" si="446"/>
        <v>PLAR 6316 FD - 500 g</v>
      </c>
      <c r="I1696" s="6" t="str">
        <f>"200510"</f>
        <v>200510</v>
      </c>
      <c r="J1696" s="6" t="str">
        <f>"VERDE 510"</f>
        <v>VERDE 510</v>
      </c>
      <c r="K1696" s="6" t="str">
        <f>"2020"</f>
        <v>2020</v>
      </c>
      <c r="L1696" s="6" t="str">
        <f>"Lençóis"</f>
        <v>Lençóis</v>
      </c>
      <c r="M1696" s="6" t="str">
        <f>"100x150"</f>
        <v>100x150</v>
      </c>
      <c r="N1696" s="6" t="str">
        <f>"5602972281156"</f>
        <v>5602972281156</v>
      </c>
      <c r="O1696" s="8">
        <v>9</v>
      </c>
      <c r="R1696" s="8">
        <v>0</v>
      </c>
      <c r="U1696" s="8">
        <v>0</v>
      </c>
      <c r="X1696" s="8">
        <v>0</v>
      </c>
      <c r="Z1696" s="8">
        <v>0</v>
      </c>
      <c r="AC1696" s="8">
        <v>0</v>
      </c>
      <c r="AF1696" s="8">
        <v>0</v>
      </c>
      <c r="AN1696" s="8">
        <v>0</v>
      </c>
      <c r="AO1696" s="8">
        <v>9</v>
      </c>
    </row>
    <row r="1697" spans="1:41" x14ac:dyDescent="0.25">
      <c r="A1697" s="6" t="str">
        <f>"522-2026000051"</f>
        <v>522-2026000051</v>
      </c>
      <c r="B1697" s="6" t="str">
        <f t="shared" si="444"/>
        <v>EL CORTE</v>
      </c>
      <c r="C1697" s="7">
        <v>46031</v>
      </c>
      <c r="D1697" s="7">
        <v>46036</v>
      </c>
      <c r="E1697" s="8">
        <v>1</v>
      </c>
      <c r="F1697" s="6" t="str">
        <f>"94780101_07026"</f>
        <v>94780101_07026</v>
      </c>
      <c r="G1697" s="6" t="str">
        <f t="shared" si="445"/>
        <v>F310631650000000</v>
      </c>
      <c r="H1697" s="6" t="str">
        <f t="shared" si="446"/>
        <v>PLAR 6316 FD - 500 g</v>
      </c>
      <c r="I1697" s="6" t="str">
        <f>"200510"</f>
        <v>200510</v>
      </c>
      <c r="J1697" s="6" t="str">
        <f>"VERDE 510"</f>
        <v>VERDE 510</v>
      </c>
      <c r="K1697" s="6" t="str">
        <f>"1024"</f>
        <v>1024</v>
      </c>
      <c r="L1697" s="6" t="str">
        <f>"Toalhas"</f>
        <v>Toalhas</v>
      </c>
      <c r="M1697" s="6" t="str">
        <f>"50x100"</f>
        <v>50x100</v>
      </c>
      <c r="N1697" s="6" t="str">
        <f>"5602972281149"</f>
        <v>5602972281149</v>
      </c>
      <c r="O1697" s="8">
        <v>6</v>
      </c>
      <c r="R1697" s="8">
        <v>0</v>
      </c>
      <c r="U1697" s="8">
        <v>0</v>
      </c>
      <c r="X1697" s="8">
        <v>0</v>
      </c>
      <c r="Z1697" s="8">
        <v>0</v>
      </c>
      <c r="AC1697" s="8">
        <v>0</v>
      </c>
      <c r="AF1697" s="8">
        <v>0</v>
      </c>
      <c r="AN1697" s="8">
        <v>6</v>
      </c>
      <c r="AO1697" s="8">
        <v>0</v>
      </c>
    </row>
    <row r="1698" spans="1:41" x14ac:dyDescent="0.25">
      <c r="A1698" s="6" t="str">
        <f>"522-2026000051"</f>
        <v>522-2026000051</v>
      </c>
      <c r="B1698" s="6" t="str">
        <f t="shared" si="444"/>
        <v>EL CORTE</v>
      </c>
      <c r="C1698" s="7">
        <v>46031</v>
      </c>
      <c r="D1698" s="7">
        <v>46036</v>
      </c>
      <c r="E1698" s="8">
        <v>2</v>
      </c>
      <c r="F1698" s="6" t="str">
        <f>"94780101_07026"</f>
        <v>94780101_07026</v>
      </c>
      <c r="G1698" s="6" t="str">
        <f t="shared" si="445"/>
        <v>F310631650000000</v>
      </c>
      <c r="H1698" s="6" t="str">
        <f t="shared" si="446"/>
        <v>PLAR 6316 FD - 500 g</v>
      </c>
      <c r="I1698" s="6" t="str">
        <f>"200510"</f>
        <v>200510</v>
      </c>
      <c r="J1698" s="6" t="str">
        <f>"VERDE 510"</f>
        <v>VERDE 510</v>
      </c>
      <c r="K1698" s="6" t="str">
        <f>"2020"</f>
        <v>2020</v>
      </c>
      <c r="L1698" s="6" t="str">
        <f>"Lençóis"</f>
        <v>Lençóis</v>
      </c>
      <c r="M1698" s="6" t="str">
        <f>"100x150"</f>
        <v>100x150</v>
      </c>
      <c r="N1698" s="6" t="str">
        <f>"5602972281156"</f>
        <v>5602972281156</v>
      </c>
      <c r="O1698" s="8">
        <v>3</v>
      </c>
      <c r="R1698" s="8">
        <v>0</v>
      </c>
      <c r="U1698" s="8">
        <v>0</v>
      </c>
      <c r="X1698" s="8">
        <v>0</v>
      </c>
      <c r="Z1698" s="8">
        <v>0</v>
      </c>
      <c r="AC1698" s="8">
        <v>0</v>
      </c>
      <c r="AF1698" s="8">
        <v>0</v>
      </c>
      <c r="AN1698" s="8">
        <v>0</v>
      </c>
      <c r="AO1698" s="8">
        <v>3</v>
      </c>
    </row>
    <row r="1699" spans="1:41" x14ac:dyDescent="0.25">
      <c r="A1699" s="6" t="str">
        <f>"522-2026000052"</f>
        <v>522-2026000052</v>
      </c>
      <c r="B1699" s="6" t="str">
        <f t="shared" si="444"/>
        <v>EL CORTE</v>
      </c>
      <c r="C1699" s="7">
        <v>46031</v>
      </c>
      <c r="D1699" s="7">
        <v>46036</v>
      </c>
      <c r="E1699" s="8">
        <v>1</v>
      </c>
      <c r="F1699" s="6" t="str">
        <f>"94781101_07026"</f>
        <v>94781101_07026</v>
      </c>
      <c r="G1699" s="6" t="str">
        <f t="shared" si="445"/>
        <v>F310631650000000</v>
      </c>
      <c r="H1699" s="6" t="str">
        <f t="shared" si="446"/>
        <v>PLAR 6316 FD - 500 g</v>
      </c>
      <c r="I1699" s="6" t="str">
        <f>"200901"</f>
        <v>200901</v>
      </c>
      <c r="J1699" s="6" t="str">
        <f>"ROSA 901"</f>
        <v>ROSA 901</v>
      </c>
      <c r="K1699" s="6" t="str">
        <f>"1024"</f>
        <v>1024</v>
      </c>
      <c r="L1699" s="6" t="str">
        <f>"Toalhas"</f>
        <v>Toalhas</v>
      </c>
      <c r="M1699" s="6" t="str">
        <f>"50x100"</f>
        <v>50x100</v>
      </c>
      <c r="N1699" s="6" t="str">
        <f>"5602972281118"</f>
        <v>5602972281118</v>
      </c>
      <c r="O1699" s="8">
        <v>6</v>
      </c>
      <c r="R1699" s="8">
        <v>0</v>
      </c>
      <c r="U1699" s="8">
        <v>0</v>
      </c>
      <c r="X1699" s="8">
        <v>0</v>
      </c>
      <c r="Z1699" s="8">
        <v>0</v>
      </c>
      <c r="AC1699" s="8">
        <v>0</v>
      </c>
      <c r="AF1699" s="8">
        <v>0</v>
      </c>
      <c r="AN1699" s="8">
        <v>6</v>
      </c>
      <c r="AO1699" s="8">
        <v>0</v>
      </c>
    </row>
    <row r="1700" spans="1:41" x14ac:dyDescent="0.25">
      <c r="A1700" s="6" t="str">
        <f>"522-2026000052"</f>
        <v>522-2026000052</v>
      </c>
      <c r="B1700" s="6" t="str">
        <f t="shared" si="444"/>
        <v>EL CORTE</v>
      </c>
      <c r="C1700" s="7">
        <v>46031</v>
      </c>
      <c r="D1700" s="7">
        <v>46036</v>
      </c>
      <c r="E1700" s="8">
        <v>2</v>
      </c>
      <c r="F1700" s="6" t="str">
        <f>"94781101_07026"</f>
        <v>94781101_07026</v>
      </c>
      <c r="G1700" s="6" t="str">
        <f t="shared" si="445"/>
        <v>F310631650000000</v>
      </c>
      <c r="H1700" s="6" t="str">
        <f t="shared" si="446"/>
        <v>PLAR 6316 FD - 500 g</v>
      </c>
      <c r="I1700" s="6" t="str">
        <f>"200901"</f>
        <v>200901</v>
      </c>
      <c r="J1700" s="6" t="str">
        <f>"ROSA 901"</f>
        <v>ROSA 901</v>
      </c>
      <c r="K1700" s="6" t="str">
        <f>"2020"</f>
        <v>2020</v>
      </c>
      <c r="L1700" s="6" t="str">
        <f>"Lençóis"</f>
        <v>Lençóis</v>
      </c>
      <c r="M1700" s="6" t="str">
        <f>"100x150"</f>
        <v>100x150</v>
      </c>
      <c r="N1700" s="6" t="str">
        <f>"5602972281125"</f>
        <v>5602972281125</v>
      </c>
      <c r="O1700" s="8">
        <v>9</v>
      </c>
      <c r="R1700" s="8">
        <v>0</v>
      </c>
      <c r="U1700" s="8">
        <v>0</v>
      </c>
      <c r="X1700" s="8">
        <v>0</v>
      </c>
      <c r="Z1700" s="8">
        <v>0</v>
      </c>
      <c r="AC1700" s="8">
        <v>0</v>
      </c>
      <c r="AF1700" s="8">
        <v>0</v>
      </c>
      <c r="AN1700" s="8">
        <v>0</v>
      </c>
      <c r="AO1700" s="8">
        <v>9</v>
      </c>
    </row>
    <row r="1701" spans="1:41" x14ac:dyDescent="0.25">
      <c r="A1701" s="6" t="str">
        <f>"522-2026000052"</f>
        <v>522-2026000052</v>
      </c>
      <c r="B1701" s="6" t="str">
        <f t="shared" si="444"/>
        <v>EL CORTE</v>
      </c>
      <c r="C1701" s="7">
        <v>46031</v>
      </c>
      <c r="D1701" s="7">
        <v>46036</v>
      </c>
      <c r="E1701" s="8">
        <v>3</v>
      </c>
      <c r="F1701" s="6" t="str">
        <f>"94781101_07026"</f>
        <v>94781101_07026</v>
      </c>
      <c r="G1701" s="6" t="str">
        <f t="shared" si="445"/>
        <v>F310631650000000</v>
      </c>
      <c r="H1701" s="6" t="str">
        <f t="shared" si="446"/>
        <v>PLAR 6316 FD - 500 g</v>
      </c>
      <c r="I1701" s="6" t="str">
        <f>"200510"</f>
        <v>200510</v>
      </c>
      <c r="J1701" s="6" t="str">
        <f>"VERDE 510"</f>
        <v>VERDE 510</v>
      </c>
      <c r="K1701" s="6" t="str">
        <f>"0520"</f>
        <v>0520</v>
      </c>
      <c r="L1701" s="6" t="str">
        <f>"Toalhetes"</f>
        <v>Toalhetes</v>
      </c>
      <c r="M1701" s="6" t="str">
        <f>"30x50"</f>
        <v>30x50</v>
      </c>
      <c r="N1701" s="6" t="str">
        <f>"5602972281132"</f>
        <v>5602972281132</v>
      </c>
      <c r="O1701" s="8">
        <v>6</v>
      </c>
      <c r="R1701" s="8">
        <v>0</v>
      </c>
      <c r="U1701" s="8">
        <v>0</v>
      </c>
      <c r="X1701" s="8">
        <v>0</v>
      </c>
      <c r="Z1701" s="8">
        <v>0</v>
      </c>
      <c r="AC1701" s="8">
        <v>0</v>
      </c>
      <c r="AF1701" s="8">
        <v>0</v>
      </c>
      <c r="AN1701" s="8">
        <v>6</v>
      </c>
      <c r="AO1701" s="8">
        <v>0</v>
      </c>
    </row>
    <row r="1702" spans="1:41" x14ac:dyDescent="0.25">
      <c r="A1702" s="6" t="str">
        <f>"522-2026000052"</f>
        <v>522-2026000052</v>
      </c>
      <c r="B1702" s="6" t="str">
        <f t="shared" si="444"/>
        <v>EL CORTE</v>
      </c>
      <c r="C1702" s="7">
        <v>46031</v>
      </c>
      <c r="D1702" s="7">
        <v>46036</v>
      </c>
      <c r="E1702" s="8">
        <v>4</v>
      </c>
      <c r="F1702" s="6" t="str">
        <f>"94781101_07026"</f>
        <v>94781101_07026</v>
      </c>
      <c r="G1702" s="6" t="str">
        <f t="shared" si="445"/>
        <v>F310631650000000</v>
      </c>
      <c r="H1702" s="6" t="str">
        <f t="shared" si="446"/>
        <v>PLAR 6316 FD - 500 g</v>
      </c>
      <c r="I1702" s="6" t="str">
        <f>"200510"</f>
        <v>200510</v>
      </c>
      <c r="J1702" s="6" t="str">
        <f>"VERDE 510"</f>
        <v>VERDE 510</v>
      </c>
      <c r="K1702" s="6" t="str">
        <f>"1024"</f>
        <v>1024</v>
      </c>
      <c r="L1702" s="6" t="str">
        <f>"Toalhas"</f>
        <v>Toalhas</v>
      </c>
      <c r="M1702" s="6" t="str">
        <f>"50x100"</f>
        <v>50x100</v>
      </c>
      <c r="N1702" s="6" t="str">
        <f>"5602972281149"</f>
        <v>5602972281149</v>
      </c>
      <c r="O1702" s="8">
        <v>6</v>
      </c>
      <c r="R1702" s="8">
        <v>0</v>
      </c>
      <c r="U1702" s="8">
        <v>0</v>
      </c>
      <c r="X1702" s="8">
        <v>0</v>
      </c>
      <c r="Z1702" s="8">
        <v>0</v>
      </c>
      <c r="AC1702" s="8">
        <v>0</v>
      </c>
      <c r="AF1702" s="8">
        <v>0</v>
      </c>
      <c r="AN1702" s="8">
        <v>6</v>
      </c>
      <c r="AO1702" s="8">
        <v>0</v>
      </c>
    </row>
    <row r="1703" spans="1:41" x14ac:dyDescent="0.25">
      <c r="A1703" s="6" t="str">
        <f>"522-2026000052"</f>
        <v>522-2026000052</v>
      </c>
      <c r="B1703" s="6" t="str">
        <f t="shared" si="444"/>
        <v>EL CORTE</v>
      </c>
      <c r="C1703" s="7">
        <v>46031</v>
      </c>
      <c r="D1703" s="7">
        <v>46036</v>
      </c>
      <c r="E1703" s="8">
        <v>5</v>
      </c>
      <c r="F1703" s="6" t="str">
        <f>"94781101_07026"</f>
        <v>94781101_07026</v>
      </c>
      <c r="G1703" s="6" t="str">
        <f t="shared" si="445"/>
        <v>F310631650000000</v>
      </c>
      <c r="H1703" s="6" t="str">
        <f t="shared" si="446"/>
        <v>PLAR 6316 FD - 500 g</v>
      </c>
      <c r="I1703" s="6" t="str">
        <f>"200510"</f>
        <v>200510</v>
      </c>
      <c r="J1703" s="6" t="str">
        <f>"VERDE 510"</f>
        <v>VERDE 510</v>
      </c>
      <c r="K1703" s="6" t="str">
        <f>"2020"</f>
        <v>2020</v>
      </c>
      <c r="L1703" s="6" t="str">
        <f>"Lençóis"</f>
        <v>Lençóis</v>
      </c>
      <c r="M1703" s="6" t="str">
        <f>"100x150"</f>
        <v>100x150</v>
      </c>
      <c r="N1703" s="6" t="str">
        <f>"5602972281156"</f>
        <v>5602972281156</v>
      </c>
      <c r="O1703" s="8">
        <v>9</v>
      </c>
      <c r="R1703" s="8">
        <v>0</v>
      </c>
      <c r="U1703" s="8">
        <v>0</v>
      </c>
      <c r="X1703" s="8">
        <v>0</v>
      </c>
      <c r="Z1703" s="8">
        <v>0</v>
      </c>
      <c r="AC1703" s="8">
        <v>0</v>
      </c>
      <c r="AF1703" s="8">
        <v>0</v>
      </c>
      <c r="AN1703" s="8">
        <v>0</v>
      </c>
      <c r="AO1703" s="8">
        <v>9</v>
      </c>
    </row>
    <row r="1704" spans="1:41" x14ac:dyDescent="0.25">
      <c r="A1704" s="6" t="str">
        <f>"522-2026000053"</f>
        <v>522-2026000053</v>
      </c>
      <c r="B1704" s="6" t="str">
        <f t="shared" si="444"/>
        <v>EL CORTE</v>
      </c>
      <c r="C1704" s="7">
        <v>46031</v>
      </c>
      <c r="D1704" s="7">
        <v>46036</v>
      </c>
      <c r="E1704" s="8">
        <v>1</v>
      </c>
      <c r="F1704" s="6" t="str">
        <f>"94780901_07026"</f>
        <v>94780901_07026</v>
      </c>
      <c r="G1704" s="6" t="str">
        <f t="shared" si="445"/>
        <v>F310631650000000</v>
      </c>
      <c r="H1704" s="6" t="str">
        <f t="shared" si="446"/>
        <v>PLAR 6316 FD - 500 g</v>
      </c>
      <c r="I1704" s="6" t="str">
        <f>"200901"</f>
        <v>200901</v>
      </c>
      <c r="J1704" s="6" t="str">
        <f>"ROSA 901"</f>
        <v>ROSA 901</v>
      </c>
      <c r="K1704" s="6" t="str">
        <f>"2020"</f>
        <v>2020</v>
      </c>
      <c r="L1704" s="6" t="str">
        <f>"Lençóis"</f>
        <v>Lençóis</v>
      </c>
      <c r="M1704" s="6" t="str">
        <f>"100x150"</f>
        <v>100x150</v>
      </c>
      <c r="N1704" s="6" t="str">
        <f>"5602972281125"</f>
        <v>5602972281125</v>
      </c>
      <c r="O1704" s="8">
        <v>3</v>
      </c>
      <c r="R1704" s="8">
        <v>0</v>
      </c>
      <c r="U1704" s="8">
        <v>0</v>
      </c>
      <c r="X1704" s="8">
        <v>0</v>
      </c>
      <c r="Z1704" s="8">
        <v>0</v>
      </c>
      <c r="AC1704" s="8">
        <v>0</v>
      </c>
      <c r="AF1704" s="8">
        <v>0</v>
      </c>
      <c r="AN1704" s="8">
        <v>0</v>
      </c>
      <c r="AO1704" s="8">
        <v>3</v>
      </c>
    </row>
    <row r="1705" spans="1:41" x14ac:dyDescent="0.25">
      <c r="A1705" s="6" t="str">
        <f>"522-2026000054"</f>
        <v>522-2026000054</v>
      </c>
      <c r="B1705" s="6" t="str">
        <f t="shared" si="444"/>
        <v>EL CORTE</v>
      </c>
      <c r="C1705" s="7">
        <v>46031</v>
      </c>
      <c r="D1705" s="7">
        <v>46036</v>
      </c>
      <c r="E1705" s="8">
        <v>1</v>
      </c>
      <c r="F1705" s="6" t="str">
        <f>"94781001_07026"</f>
        <v>94781001_07026</v>
      </c>
      <c r="G1705" s="6" t="str">
        <f t="shared" si="445"/>
        <v>F310631650000000</v>
      </c>
      <c r="H1705" s="6" t="str">
        <f t="shared" si="446"/>
        <v>PLAR 6316 FD - 500 g</v>
      </c>
      <c r="I1705" s="6" t="str">
        <f>"202575"</f>
        <v>202575</v>
      </c>
      <c r="J1705" s="6" t="str">
        <f>"BEGE 2575"</f>
        <v>BEGE 2575</v>
      </c>
      <c r="K1705" s="6" t="str">
        <f>"1024"</f>
        <v>1024</v>
      </c>
      <c r="L1705" s="6" t="str">
        <f>"Toalhas"</f>
        <v>Toalhas</v>
      </c>
      <c r="M1705" s="6" t="str">
        <f>"50x100"</f>
        <v>50x100</v>
      </c>
      <c r="N1705" s="6" t="str">
        <f>"5602972281088"</f>
        <v>5602972281088</v>
      </c>
      <c r="O1705" s="8">
        <v>6</v>
      </c>
      <c r="R1705" s="8">
        <v>0</v>
      </c>
      <c r="U1705" s="8">
        <v>0</v>
      </c>
      <c r="X1705" s="8">
        <v>0</v>
      </c>
      <c r="Z1705" s="8">
        <v>0</v>
      </c>
      <c r="AC1705" s="8">
        <v>0</v>
      </c>
      <c r="AF1705" s="8">
        <v>0</v>
      </c>
      <c r="AN1705" s="8">
        <v>6</v>
      </c>
      <c r="AO1705" s="8">
        <v>0</v>
      </c>
    </row>
    <row r="1706" spans="1:41" x14ac:dyDescent="0.25">
      <c r="A1706" s="6" t="str">
        <f>"522-2026000054"</f>
        <v>522-2026000054</v>
      </c>
      <c r="B1706" s="6" t="str">
        <f t="shared" si="444"/>
        <v>EL CORTE</v>
      </c>
      <c r="C1706" s="7">
        <v>46031</v>
      </c>
      <c r="D1706" s="7">
        <v>46036</v>
      </c>
      <c r="E1706" s="8">
        <v>2</v>
      </c>
      <c r="F1706" s="6" t="str">
        <f>"94781001_07026"</f>
        <v>94781001_07026</v>
      </c>
      <c r="G1706" s="6" t="str">
        <f t="shared" si="445"/>
        <v>F310631650000000</v>
      </c>
      <c r="H1706" s="6" t="str">
        <f t="shared" si="446"/>
        <v>PLAR 6316 FD - 500 g</v>
      </c>
      <c r="I1706" s="6" t="str">
        <f>"202575"</f>
        <v>202575</v>
      </c>
      <c r="J1706" s="6" t="str">
        <f>"BEGE 2575"</f>
        <v>BEGE 2575</v>
      </c>
      <c r="K1706" s="6" t="str">
        <f>"2020"</f>
        <v>2020</v>
      </c>
      <c r="L1706" s="6" t="str">
        <f>"Lençóis"</f>
        <v>Lençóis</v>
      </c>
      <c r="M1706" s="6" t="str">
        <f>"100x150"</f>
        <v>100x150</v>
      </c>
      <c r="N1706" s="6" t="str">
        <f>"5602972281095"</f>
        <v>5602972281095</v>
      </c>
      <c r="O1706" s="8">
        <v>3</v>
      </c>
      <c r="R1706" s="8">
        <v>0</v>
      </c>
      <c r="U1706" s="8">
        <v>0</v>
      </c>
      <c r="X1706" s="8">
        <v>0</v>
      </c>
      <c r="Z1706" s="8">
        <v>0</v>
      </c>
      <c r="AC1706" s="8">
        <v>0</v>
      </c>
      <c r="AF1706" s="8">
        <v>0</v>
      </c>
      <c r="AN1706" s="8">
        <v>0</v>
      </c>
      <c r="AO1706" s="8">
        <v>3</v>
      </c>
    </row>
    <row r="1707" spans="1:41" x14ac:dyDescent="0.25">
      <c r="A1707" s="6" t="str">
        <f>"522-2026000055"</f>
        <v>522-2026000055</v>
      </c>
      <c r="B1707" s="6" t="str">
        <f t="shared" si="444"/>
        <v>EL CORTE</v>
      </c>
      <c r="C1707" s="7">
        <v>46031</v>
      </c>
      <c r="D1707" s="7">
        <v>46036</v>
      </c>
      <c r="E1707" s="8">
        <v>1</v>
      </c>
      <c r="F1707" s="6" t="str">
        <f>"94781201_07026"</f>
        <v>94781201_07026</v>
      </c>
      <c r="G1707" s="6" t="str">
        <f t="shared" si="445"/>
        <v>F310631650000000</v>
      </c>
      <c r="H1707" s="6" t="str">
        <f t="shared" si="446"/>
        <v>PLAR 6316 FD - 500 g</v>
      </c>
      <c r="I1707" s="6" t="str">
        <f>"201855"</f>
        <v>201855</v>
      </c>
      <c r="J1707" s="6" t="str">
        <f>"AZUL 1855"</f>
        <v>AZUL 1855</v>
      </c>
      <c r="K1707" s="6" t="str">
        <f>"1024"</f>
        <v>1024</v>
      </c>
      <c r="L1707" s="6" t="str">
        <f>"Toalhas"</f>
        <v>Toalhas</v>
      </c>
      <c r="M1707" s="6" t="str">
        <f>"50x100"</f>
        <v>50x100</v>
      </c>
      <c r="N1707" s="6" t="str">
        <f>"5602972281057"</f>
        <v>5602972281057</v>
      </c>
      <c r="O1707" s="8">
        <v>6</v>
      </c>
      <c r="R1707" s="8">
        <v>0</v>
      </c>
      <c r="U1707" s="8">
        <v>0</v>
      </c>
      <c r="X1707" s="8">
        <v>0</v>
      </c>
      <c r="Z1707" s="8">
        <v>0</v>
      </c>
      <c r="AC1707" s="8">
        <v>0</v>
      </c>
      <c r="AF1707" s="8">
        <v>0</v>
      </c>
      <c r="AN1707" s="8">
        <v>6</v>
      </c>
      <c r="AO1707" s="8">
        <v>0</v>
      </c>
    </row>
    <row r="1708" spans="1:41" x14ac:dyDescent="0.25">
      <c r="A1708" s="6" t="str">
        <f>"522-2026000056"</f>
        <v>522-2026000056</v>
      </c>
      <c r="B1708" s="6" t="str">
        <f t="shared" si="444"/>
        <v>EL CORTE</v>
      </c>
      <c r="C1708" s="7">
        <v>46031</v>
      </c>
      <c r="D1708" s="7">
        <v>46036</v>
      </c>
      <c r="E1708" s="8">
        <v>1</v>
      </c>
      <c r="F1708" s="6" t="str">
        <f>"94782101_07026"</f>
        <v>94782101_07026</v>
      </c>
      <c r="G1708" s="6" t="str">
        <f t="shared" si="445"/>
        <v>F310631650000000</v>
      </c>
      <c r="H1708" s="6" t="str">
        <f t="shared" si="446"/>
        <v>PLAR 6316 FD - 500 g</v>
      </c>
      <c r="I1708" s="6" t="str">
        <f>"202575"</f>
        <v>202575</v>
      </c>
      <c r="J1708" s="6" t="str">
        <f>"BEGE 2575"</f>
        <v>BEGE 2575</v>
      </c>
      <c r="K1708" s="6" t="str">
        <f>"0520"</f>
        <v>0520</v>
      </c>
      <c r="L1708" s="6" t="str">
        <f>"Toalhetes"</f>
        <v>Toalhetes</v>
      </c>
      <c r="M1708" s="6" t="str">
        <f>"30x50"</f>
        <v>30x50</v>
      </c>
      <c r="N1708" s="6" t="str">
        <f>"5602972281071"</f>
        <v>5602972281071</v>
      </c>
      <c r="O1708" s="8">
        <v>6</v>
      </c>
      <c r="R1708" s="8">
        <v>0</v>
      </c>
      <c r="U1708" s="8">
        <v>0</v>
      </c>
      <c r="X1708" s="8">
        <v>0</v>
      </c>
      <c r="Z1708" s="8">
        <v>0</v>
      </c>
      <c r="AC1708" s="8">
        <v>0</v>
      </c>
      <c r="AF1708" s="8">
        <v>0</v>
      </c>
      <c r="AN1708" s="8">
        <v>6</v>
      </c>
      <c r="AO1708" s="8">
        <v>0</v>
      </c>
    </row>
    <row r="1709" spans="1:41" x14ac:dyDescent="0.25">
      <c r="A1709" s="6" t="str">
        <f>"522-2026000057"</f>
        <v>522-2026000057</v>
      </c>
      <c r="B1709" s="6" t="str">
        <f t="shared" si="444"/>
        <v>EL CORTE</v>
      </c>
      <c r="C1709" s="7">
        <v>46031</v>
      </c>
      <c r="D1709" s="7">
        <v>46036</v>
      </c>
      <c r="E1709" s="8">
        <v>1</v>
      </c>
      <c r="F1709" s="6" t="str">
        <f>"94780501_07026"</f>
        <v>94780501_07026</v>
      </c>
      <c r="G1709" s="6" t="str">
        <f t="shared" si="445"/>
        <v>F310631650000000</v>
      </c>
      <c r="H1709" s="6" t="str">
        <f t="shared" si="446"/>
        <v>PLAR 6316 FD - 500 g</v>
      </c>
      <c r="I1709" s="6" t="str">
        <f>"201855"</f>
        <v>201855</v>
      </c>
      <c r="J1709" s="6" t="str">
        <f>"AZUL 1855"</f>
        <v>AZUL 1855</v>
      </c>
      <c r="K1709" s="6" t="str">
        <f>"2020"</f>
        <v>2020</v>
      </c>
      <c r="L1709" s="6" t="str">
        <f>"Lençóis"</f>
        <v>Lençóis</v>
      </c>
      <c r="M1709" s="6" t="str">
        <f>"100x150"</f>
        <v>100x150</v>
      </c>
      <c r="N1709" s="6" t="str">
        <f>"5602972281064"</f>
        <v>5602972281064</v>
      </c>
      <c r="O1709" s="8">
        <v>3</v>
      </c>
      <c r="R1709" s="8">
        <v>0</v>
      </c>
      <c r="U1709" s="8">
        <v>0</v>
      </c>
      <c r="X1709" s="8">
        <v>0</v>
      </c>
      <c r="Z1709" s="8">
        <v>0</v>
      </c>
      <c r="AC1709" s="8">
        <v>0</v>
      </c>
      <c r="AF1709" s="8">
        <v>0</v>
      </c>
      <c r="AN1709" s="8">
        <v>0</v>
      </c>
      <c r="AO1709" s="8">
        <v>3</v>
      </c>
    </row>
    <row r="1710" spans="1:41" x14ac:dyDescent="0.25">
      <c r="A1710" s="6" t="str">
        <f>"522-2026000058"</f>
        <v>522-2026000058</v>
      </c>
      <c r="B1710" s="6" t="str">
        <f t="shared" si="444"/>
        <v>EL CORTE</v>
      </c>
      <c r="C1710" s="7">
        <v>46031</v>
      </c>
      <c r="D1710" s="7">
        <v>46036</v>
      </c>
      <c r="E1710" s="8">
        <v>1</v>
      </c>
      <c r="F1710" s="6" t="str">
        <f>"94780301_07026"</f>
        <v>94780301_07026</v>
      </c>
      <c r="G1710" s="6" t="str">
        <f t="shared" si="445"/>
        <v>F310631650000000</v>
      </c>
      <c r="H1710" s="6" t="str">
        <f t="shared" si="446"/>
        <v>PLAR 6316 FD - 500 g</v>
      </c>
      <c r="I1710" s="6" t="str">
        <f>"202575"</f>
        <v>202575</v>
      </c>
      <c r="J1710" s="6" t="str">
        <f>"BEGE 2575"</f>
        <v>BEGE 2575</v>
      </c>
      <c r="K1710" s="6" t="str">
        <f>"1024"</f>
        <v>1024</v>
      </c>
      <c r="L1710" s="6" t="str">
        <f>"Toalhas"</f>
        <v>Toalhas</v>
      </c>
      <c r="M1710" s="6" t="str">
        <f>"50x100"</f>
        <v>50x100</v>
      </c>
      <c r="N1710" s="6" t="str">
        <f>"5602972281088"</f>
        <v>5602972281088</v>
      </c>
      <c r="O1710" s="8">
        <v>6</v>
      </c>
      <c r="R1710" s="8">
        <v>0</v>
      </c>
      <c r="U1710" s="8">
        <v>0</v>
      </c>
      <c r="X1710" s="8">
        <v>0</v>
      </c>
      <c r="Z1710" s="8">
        <v>0</v>
      </c>
      <c r="AC1710" s="8">
        <v>0</v>
      </c>
      <c r="AF1710" s="8">
        <v>0</v>
      </c>
      <c r="AN1710" s="8">
        <v>6</v>
      </c>
      <c r="AO1710" s="8">
        <v>0</v>
      </c>
    </row>
    <row r="1711" spans="1:41" x14ac:dyDescent="0.25">
      <c r="A1711" s="6" t="str">
        <f>"522-2026000058"</f>
        <v>522-2026000058</v>
      </c>
      <c r="B1711" s="6" t="str">
        <f t="shared" si="444"/>
        <v>EL CORTE</v>
      </c>
      <c r="C1711" s="7">
        <v>46031</v>
      </c>
      <c r="D1711" s="7">
        <v>46036</v>
      </c>
      <c r="E1711" s="8">
        <v>2</v>
      </c>
      <c r="F1711" s="6" t="str">
        <f>"94780301_07026"</f>
        <v>94780301_07026</v>
      </c>
      <c r="G1711" s="6" t="str">
        <f t="shared" si="445"/>
        <v>F310631650000000</v>
      </c>
      <c r="H1711" s="6" t="str">
        <f t="shared" si="446"/>
        <v>PLAR 6316 FD - 500 g</v>
      </c>
      <c r="I1711" s="6" t="str">
        <f>"202575"</f>
        <v>202575</v>
      </c>
      <c r="J1711" s="6" t="str">
        <f>"BEGE 2575"</f>
        <v>BEGE 2575</v>
      </c>
      <c r="K1711" s="6" t="str">
        <f>"2020"</f>
        <v>2020</v>
      </c>
      <c r="L1711" s="6" t="str">
        <f>"Lençóis"</f>
        <v>Lençóis</v>
      </c>
      <c r="M1711" s="6" t="str">
        <f>"100x150"</f>
        <v>100x150</v>
      </c>
      <c r="N1711" s="6" t="str">
        <f>"5602972281095"</f>
        <v>5602972281095</v>
      </c>
      <c r="O1711" s="8">
        <v>3</v>
      </c>
      <c r="R1711" s="8">
        <v>0</v>
      </c>
      <c r="U1711" s="8">
        <v>0</v>
      </c>
      <c r="X1711" s="8">
        <v>0</v>
      </c>
      <c r="Z1711" s="8">
        <v>0</v>
      </c>
      <c r="AC1711" s="8">
        <v>0</v>
      </c>
      <c r="AF1711" s="8">
        <v>0</v>
      </c>
      <c r="AN1711" s="8">
        <v>0</v>
      </c>
      <c r="AO1711" s="8">
        <v>3</v>
      </c>
    </row>
    <row r="1712" spans="1:41" x14ac:dyDescent="0.25">
      <c r="A1712" s="6" t="str">
        <f>"522-2026000058"</f>
        <v>522-2026000058</v>
      </c>
      <c r="B1712" s="6" t="str">
        <f t="shared" si="444"/>
        <v>EL CORTE</v>
      </c>
      <c r="C1712" s="7">
        <v>46031</v>
      </c>
      <c r="D1712" s="7">
        <v>46036</v>
      </c>
      <c r="E1712" s="8">
        <v>3</v>
      </c>
      <c r="F1712" s="6" t="str">
        <f>"94780301_07026"</f>
        <v>94780301_07026</v>
      </c>
      <c r="G1712" s="6" t="str">
        <f t="shared" si="445"/>
        <v>F310631650000000</v>
      </c>
      <c r="H1712" s="6" t="str">
        <f t="shared" si="446"/>
        <v>PLAR 6316 FD - 500 g</v>
      </c>
      <c r="I1712" s="6" t="str">
        <f>"200901"</f>
        <v>200901</v>
      </c>
      <c r="J1712" s="6" t="str">
        <f>"ROSA 901"</f>
        <v>ROSA 901</v>
      </c>
      <c r="K1712" s="6" t="str">
        <f>"2020"</f>
        <v>2020</v>
      </c>
      <c r="L1712" s="6" t="str">
        <f>"Lençóis"</f>
        <v>Lençóis</v>
      </c>
      <c r="M1712" s="6" t="str">
        <f>"100x150"</f>
        <v>100x150</v>
      </c>
      <c r="N1712" s="6" t="str">
        <f>"5602972281125"</f>
        <v>5602972281125</v>
      </c>
      <c r="O1712" s="8">
        <v>3</v>
      </c>
      <c r="R1712" s="8">
        <v>0</v>
      </c>
      <c r="U1712" s="8">
        <v>0</v>
      </c>
      <c r="X1712" s="8">
        <v>0</v>
      </c>
      <c r="Z1712" s="8">
        <v>0</v>
      </c>
      <c r="AC1712" s="8">
        <v>0</v>
      </c>
      <c r="AF1712" s="8">
        <v>0</v>
      </c>
      <c r="AN1712" s="8">
        <v>0</v>
      </c>
      <c r="AO1712" s="8">
        <v>3</v>
      </c>
    </row>
    <row r="1713" spans="1:41" x14ac:dyDescent="0.25">
      <c r="A1713" s="6" t="str">
        <f>"522-2026000059"</f>
        <v>522-2026000059</v>
      </c>
      <c r="B1713" s="6" t="str">
        <f t="shared" si="444"/>
        <v>EL CORTE</v>
      </c>
      <c r="C1713" s="7">
        <v>46031</v>
      </c>
      <c r="D1713" s="7">
        <v>46036</v>
      </c>
      <c r="E1713" s="8">
        <v>1</v>
      </c>
      <c r="F1713" s="6" t="str">
        <f>"94779801_07026"</f>
        <v>94779801_07026</v>
      </c>
      <c r="G1713" s="6" t="str">
        <f t="shared" si="445"/>
        <v>F310631650000000</v>
      </c>
      <c r="H1713" s="6" t="str">
        <f t="shared" si="446"/>
        <v>PLAR 6316 FD - 500 g</v>
      </c>
      <c r="I1713" s="6" t="str">
        <f>"201855"</f>
        <v>201855</v>
      </c>
      <c r="J1713" s="6" t="str">
        <f>"AZUL 1855"</f>
        <v>AZUL 1855</v>
      </c>
      <c r="K1713" s="6" t="str">
        <f>"2020"</f>
        <v>2020</v>
      </c>
      <c r="L1713" s="6" t="str">
        <f>"Lençóis"</f>
        <v>Lençóis</v>
      </c>
      <c r="M1713" s="6" t="str">
        <f>"100x150"</f>
        <v>100x150</v>
      </c>
      <c r="N1713" s="6" t="str">
        <f>"5602972281064"</f>
        <v>5602972281064</v>
      </c>
      <c r="O1713" s="8">
        <v>6</v>
      </c>
      <c r="R1713" s="8">
        <v>0</v>
      </c>
      <c r="U1713" s="8">
        <v>0</v>
      </c>
      <c r="X1713" s="8">
        <v>0</v>
      </c>
      <c r="Z1713" s="8">
        <v>0</v>
      </c>
      <c r="AC1713" s="8">
        <v>0</v>
      </c>
      <c r="AF1713" s="8">
        <v>0</v>
      </c>
      <c r="AN1713" s="8">
        <v>0</v>
      </c>
      <c r="AO1713" s="8">
        <v>6</v>
      </c>
    </row>
    <row r="1714" spans="1:41" x14ac:dyDescent="0.25">
      <c r="A1714" s="6" t="str">
        <f>"522-2026000060"</f>
        <v>522-2026000060</v>
      </c>
      <c r="B1714" s="6" t="str">
        <f t="shared" si="444"/>
        <v>EL CORTE</v>
      </c>
      <c r="C1714" s="7">
        <v>46031</v>
      </c>
      <c r="D1714" s="7">
        <v>46036</v>
      </c>
      <c r="E1714" s="8">
        <v>1</v>
      </c>
      <c r="F1714" s="6" t="str">
        <f>"94782201_07026"</f>
        <v>94782201_07026</v>
      </c>
      <c r="G1714" s="6" t="str">
        <f t="shared" si="445"/>
        <v>F310631650000000</v>
      </c>
      <c r="H1714" s="6" t="str">
        <f t="shared" si="446"/>
        <v>PLAR 6316 FD - 500 g</v>
      </c>
      <c r="I1714" s="6" t="str">
        <f>"202575"</f>
        <v>202575</v>
      </c>
      <c r="J1714" s="6" t="str">
        <f>"BEGE 2575"</f>
        <v>BEGE 2575</v>
      </c>
      <c r="K1714" s="6" t="str">
        <f>"2020"</f>
        <v>2020</v>
      </c>
      <c r="L1714" s="6" t="str">
        <f>"Lençóis"</f>
        <v>Lençóis</v>
      </c>
      <c r="M1714" s="6" t="str">
        <f>"100x150"</f>
        <v>100x150</v>
      </c>
      <c r="N1714" s="6" t="str">
        <f>"5602972281095"</f>
        <v>5602972281095</v>
      </c>
      <c r="O1714" s="8">
        <v>3</v>
      </c>
      <c r="R1714" s="8">
        <v>0</v>
      </c>
      <c r="U1714" s="8">
        <v>0</v>
      </c>
      <c r="X1714" s="8">
        <v>0</v>
      </c>
      <c r="Z1714" s="8">
        <v>0</v>
      </c>
      <c r="AC1714" s="8">
        <v>0</v>
      </c>
      <c r="AF1714" s="8">
        <v>0</v>
      </c>
      <c r="AN1714" s="8">
        <v>0</v>
      </c>
      <c r="AO1714" s="8">
        <v>3</v>
      </c>
    </row>
    <row r="1715" spans="1:41" x14ac:dyDescent="0.25">
      <c r="A1715" s="6" t="str">
        <f>"522-2026000060"</f>
        <v>522-2026000060</v>
      </c>
      <c r="B1715" s="6" t="str">
        <f t="shared" si="444"/>
        <v>EL CORTE</v>
      </c>
      <c r="C1715" s="7">
        <v>46031</v>
      </c>
      <c r="D1715" s="7">
        <v>46036</v>
      </c>
      <c r="E1715" s="8">
        <v>2</v>
      </c>
      <c r="F1715" s="6" t="str">
        <f>"94782201_07026"</f>
        <v>94782201_07026</v>
      </c>
      <c r="G1715" s="6" t="str">
        <f t="shared" si="445"/>
        <v>F310631650000000</v>
      </c>
      <c r="H1715" s="6" t="str">
        <f t="shared" si="446"/>
        <v>PLAR 6316 FD - 500 g</v>
      </c>
      <c r="I1715" s="6" t="str">
        <f>"200901"</f>
        <v>200901</v>
      </c>
      <c r="J1715" s="6" t="str">
        <f>"ROSA 901"</f>
        <v>ROSA 901</v>
      </c>
      <c r="K1715" s="6" t="str">
        <f>"2020"</f>
        <v>2020</v>
      </c>
      <c r="L1715" s="6" t="str">
        <f>"Lençóis"</f>
        <v>Lençóis</v>
      </c>
      <c r="M1715" s="6" t="str">
        <f>"100x150"</f>
        <v>100x150</v>
      </c>
      <c r="N1715" s="6" t="str">
        <f>"5602972281125"</f>
        <v>5602972281125</v>
      </c>
      <c r="O1715" s="8">
        <v>3</v>
      </c>
      <c r="R1715" s="8">
        <v>0</v>
      </c>
      <c r="U1715" s="8">
        <v>0</v>
      </c>
      <c r="X1715" s="8">
        <v>0</v>
      </c>
      <c r="Z1715" s="8">
        <v>0</v>
      </c>
      <c r="AC1715" s="8">
        <v>0</v>
      </c>
      <c r="AF1715" s="8">
        <v>0</v>
      </c>
      <c r="AN1715" s="8">
        <v>0</v>
      </c>
      <c r="AO1715" s="8">
        <v>3</v>
      </c>
    </row>
    <row r="1716" spans="1:41" x14ac:dyDescent="0.25">
      <c r="A1716" s="6" t="str">
        <f>"522-2026000060"</f>
        <v>522-2026000060</v>
      </c>
      <c r="B1716" s="6" t="str">
        <f t="shared" si="444"/>
        <v>EL CORTE</v>
      </c>
      <c r="C1716" s="7">
        <v>46031</v>
      </c>
      <c r="D1716" s="7">
        <v>46036</v>
      </c>
      <c r="E1716" s="8">
        <v>3</v>
      </c>
      <c r="F1716" s="6" t="str">
        <f>"94782201_07026"</f>
        <v>94782201_07026</v>
      </c>
      <c r="G1716" s="6" t="str">
        <f t="shared" si="445"/>
        <v>F310631650000000</v>
      </c>
      <c r="H1716" s="6" t="str">
        <f t="shared" si="446"/>
        <v>PLAR 6316 FD - 500 g</v>
      </c>
      <c r="I1716" s="6" t="str">
        <f>"200510"</f>
        <v>200510</v>
      </c>
      <c r="J1716" s="6" t="str">
        <f>"VERDE 510"</f>
        <v>VERDE 510</v>
      </c>
      <c r="K1716" s="6" t="str">
        <f>"1024"</f>
        <v>1024</v>
      </c>
      <c r="L1716" s="6" t="str">
        <f>"Toalhas"</f>
        <v>Toalhas</v>
      </c>
      <c r="M1716" s="6" t="str">
        <f>"50x100"</f>
        <v>50x100</v>
      </c>
      <c r="N1716" s="6" t="str">
        <f>"5602972281149"</f>
        <v>5602972281149</v>
      </c>
      <c r="O1716" s="8">
        <v>6</v>
      </c>
      <c r="R1716" s="8">
        <v>0</v>
      </c>
      <c r="U1716" s="8">
        <v>0</v>
      </c>
      <c r="X1716" s="8">
        <v>0</v>
      </c>
      <c r="Z1716" s="8">
        <v>0</v>
      </c>
      <c r="AC1716" s="8">
        <v>0</v>
      </c>
      <c r="AF1716" s="8">
        <v>0</v>
      </c>
      <c r="AN1716" s="8">
        <v>6</v>
      </c>
      <c r="AO1716" s="8">
        <v>0</v>
      </c>
    </row>
    <row r="1717" spans="1:41" x14ac:dyDescent="0.25">
      <c r="A1717" s="6" t="str">
        <f>"522-2026000060"</f>
        <v>522-2026000060</v>
      </c>
      <c r="B1717" s="6" t="str">
        <f t="shared" si="444"/>
        <v>EL CORTE</v>
      </c>
      <c r="C1717" s="7">
        <v>46031</v>
      </c>
      <c r="D1717" s="7">
        <v>46036</v>
      </c>
      <c r="E1717" s="8">
        <v>4</v>
      </c>
      <c r="F1717" s="6" t="str">
        <f>"94782201_07026"</f>
        <v>94782201_07026</v>
      </c>
      <c r="G1717" s="6" t="str">
        <f t="shared" si="445"/>
        <v>F310631650000000</v>
      </c>
      <c r="H1717" s="6" t="str">
        <f t="shared" si="446"/>
        <v>PLAR 6316 FD - 500 g</v>
      </c>
      <c r="I1717" s="6" t="str">
        <f>"200510"</f>
        <v>200510</v>
      </c>
      <c r="J1717" s="6" t="str">
        <f>"VERDE 510"</f>
        <v>VERDE 510</v>
      </c>
      <c r="K1717" s="6" t="str">
        <f>"2020"</f>
        <v>2020</v>
      </c>
      <c r="L1717" s="6" t="str">
        <f>"Lençóis"</f>
        <v>Lençóis</v>
      </c>
      <c r="M1717" s="6" t="str">
        <f>"100x150"</f>
        <v>100x150</v>
      </c>
      <c r="N1717" s="6" t="str">
        <f>"5602972281156"</f>
        <v>5602972281156</v>
      </c>
      <c r="O1717" s="8">
        <v>3</v>
      </c>
      <c r="R1717" s="8">
        <v>0</v>
      </c>
      <c r="U1717" s="8">
        <v>0</v>
      </c>
      <c r="X1717" s="8">
        <v>0</v>
      </c>
      <c r="Z1717" s="8">
        <v>0</v>
      </c>
      <c r="AC1717" s="8">
        <v>0</v>
      </c>
      <c r="AF1717" s="8">
        <v>0</v>
      </c>
      <c r="AN1717" s="8">
        <v>0</v>
      </c>
      <c r="AO1717" s="8">
        <v>3</v>
      </c>
    </row>
    <row r="1718" spans="1:41" x14ac:dyDescent="0.25">
      <c r="A1718" s="6" t="str">
        <f>"522-2026000061"</f>
        <v>522-2026000061</v>
      </c>
      <c r="B1718" s="6" t="str">
        <f t="shared" si="444"/>
        <v>EL CORTE</v>
      </c>
      <c r="C1718" s="7">
        <v>46031</v>
      </c>
      <c r="D1718" s="7">
        <v>46036</v>
      </c>
      <c r="E1718" s="8">
        <v>1</v>
      </c>
      <c r="F1718" s="6" t="str">
        <f>"94781801_07026"</f>
        <v>94781801_07026</v>
      </c>
      <c r="G1718" s="6" t="str">
        <f t="shared" si="445"/>
        <v>F310631650000000</v>
      </c>
      <c r="H1718" s="6" t="str">
        <f t="shared" si="446"/>
        <v>PLAR 6316 FD - 500 g</v>
      </c>
      <c r="I1718" s="6" t="str">
        <f>"200510"</f>
        <v>200510</v>
      </c>
      <c r="J1718" s="6" t="str">
        <f>"VERDE 510"</f>
        <v>VERDE 510</v>
      </c>
      <c r="K1718" s="6" t="str">
        <f>"0520"</f>
        <v>0520</v>
      </c>
      <c r="L1718" s="6" t="str">
        <f>"Toalhetes"</f>
        <v>Toalhetes</v>
      </c>
      <c r="M1718" s="6" t="str">
        <f>"30x50"</f>
        <v>30x50</v>
      </c>
      <c r="N1718" s="6" t="str">
        <f>"5602972281132"</f>
        <v>5602972281132</v>
      </c>
      <c r="O1718" s="8">
        <v>6</v>
      </c>
      <c r="R1718" s="8">
        <v>0</v>
      </c>
      <c r="U1718" s="8">
        <v>0</v>
      </c>
      <c r="X1718" s="8">
        <v>0</v>
      </c>
      <c r="Z1718" s="8">
        <v>0</v>
      </c>
      <c r="AC1718" s="8">
        <v>0</v>
      </c>
      <c r="AF1718" s="8">
        <v>0</v>
      </c>
      <c r="AN1718" s="8">
        <v>6</v>
      </c>
      <c r="AO1718" s="8">
        <v>0</v>
      </c>
    </row>
    <row r="1719" spans="1:41" x14ac:dyDescent="0.25">
      <c r="A1719" s="6" t="str">
        <f>"522-2026000062"</f>
        <v>522-2026000062</v>
      </c>
      <c r="B1719" s="6" t="str">
        <f t="shared" si="444"/>
        <v>EL CORTE</v>
      </c>
      <c r="C1719" s="7">
        <v>46031</v>
      </c>
      <c r="D1719" s="7">
        <v>46036</v>
      </c>
      <c r="E1719" s="8">
        <v>1</v>
      </c>
      <c r="F1719" s="6" t="str">
        <f>"94779601_07026"</f>
        <v>94779601_07026</v>
      </c>
      <c r="G1719" s="6" t="str">
        <f t="shared" si="445"/>
        <v>F310631650000000</v>
      </c>
      <c r="H1719" s="6" t="str">
        <f t="shared" si="446"/>
        <v>PLAR 6316 FD - 500 g</v>
      </c>
      <c r="I1719" s="6" t="str">
        <f>"201855"</f>
        <v>201855</v>
      </c>
      <c r="J1719" s="6" t="str">
        <f>"AZUL 1855"</f>
        <v>AZUL 1855</v>
      </c>
      <c r="K1719" s="6" t="str">
        <f>"2020"</f>
        <v>2020</v>
      </c>
      <c r="L1719" s="6" t="str">
        <f>"Lençóis"</f>
        <v>Lençóis</v>
      </c>
      <c r="M1719" s="6" t="str">
        <f>"100x150"</f>
        <v>100x150</v>
      </c>
      <c r="N1719" s="6" t="str">
        <f>"5602972281064"</f>
        <v>5602972281064</v>
      </c>
      <c r="O1719" s="8">
        <v>3</v>
      </c>
      <c r="R1719" s="8">
        <v>0</v>
      </c>
      <c r="U1719" s="8">
        <v>0</v>
      </c>
      <c r="X1719" s="8">
        <v>0</v>
      </c>
      <c r="Z1719" s="8">
        <v>0</v>
      </c>
      <c r="AC1719" s="8">
        <v>0</v>
      </c>
      <c r="AF1719" s="8">
        <v>0</v>
      </c>
      <c r="AN1719" s="8">
        <v>0</v>
      </c>
      <c r="AO1719" s="8">
        <v>3</v>
      </c>
    </row>
    <row r="1720" spans="1:41" x14ac:dyDescent="0.25">
      <c r="A1720" s="6" t="str">
        <f>"522-2026000062"</f>
        <v>522-2026000062</v>
      </c>
      <c r="B1720" s="6" t="str">
        <f t="shared" si="444"/>
        <v>EL CORTE</v>
      </c>
      <c r="C1720" s="7">
        <v>46031</v>
      </c>
      <c r="D1720" s="7">
        <v>46036</v>
      </c>
      <c r="E1720" s="8">
        <v>2</v>
      </c>
      <c r="F1720" s="6" t="str">
        <f>"94779601_07026"</f>
        <v>94779601_07026</v>
      </c>
      <c r="G1720" s="6" t="str">
        <f t="shared" si="445"/>
        <v>F310631650000000</v>
      </c>
      <c r="H1720" s="6" t="str">
        <f t="shared" si="446"/>
        <v>PLAR 6316 FD - 500 g</v>
      </c>
      <c r="I1720" s="6" t="str">
        <f>"200901"</f>
        <v>200901</v>
      </c>
      <c r="J1720" s="6" t="str">
        <f>"ROSA 901"</f>
        <v>ROSA 901</v>
      </c>
      <c r="K1720" s="6" t="str">
        <f>"2020"</f>
        <v>2020</v>
      </c>
      <c r="L1720" s="6" t="str">
        <f>"Lençóis"</f>
        <v>Lençóis</v>
      </c>
      <c r="M1720" s="6" t="str">
        <f>"100x150"</f>
        <v>100x150</v>
      </c>
      <c r="N1720" s="6" t="str">
        <f>"5602972281125"</f>
        <v>5602972281125</v>
      </c>
      <c r="O1720" s="8">
        <v>6</v>
      </c>
      <c r="R1720" s="8">
        <v>0</v>
      </c>
      <c r="U1720" s="8">
        <v>0</v>
      </c>
      <c r="X1720" s="8">
        <v>0</v>
      </c>
      <c r="Z1720" s="8">
        <v>0</v>
      </c>
      <c r="AC1720" s="8">
        <v>0</v>
      </c>
      <c r="AF1720" s="8">
        <v>0</v>
      </c>
      <c r="AN1720" s="8">
        <v>0</v>
      </c>
      <c r="AO1720" s="8">
        <v>6</v>
      </c>
    </row>
    <row r="1721" spans="1:41" x14ac:dyDescent="0.25">
      <c r="A1721" s="6" t="str">
        <f>"522-2026000063"</f>
        <v>522-2026000063</v>
      </c>
      <c r="B1721" s="6" t="str">
        <f t="shared" si="444"/>
        <v>EL CORTE</v>
      </c>
      <c r="C1721" s="7">
        <v>46031</v>
      </c>
      <c r="D1721" s="7">
        <v>46036</v>
      </c>
      <c r="E1721" s="8">
        <v>1</v>
      </c>
      <c r="F1721" s="6" t="str">
        <f>"94782401_07026"</f>
        <v>94782401_07026</v>
      </c>
      <c r="G1721" s="6" t="str">
        <f t="shared" si="445"/>
        <v>F310631650000000</v>
      </c>
      <c r="H1721" s="6" t="str">
        <f t="shared" si="446"/>
        <v>PLAR 6316 FD - 500 g</v>
      </c>
      <c r="I1721" s="6" t="str">
        <f>"201855"</f>
        <v>201855</v>
      </c>
      <c r="J1721" s="6" t="str">
        <f>"AZUL 1855"</f>
        <v>AZUL 1855</v>
      </c>
      <c r="K1721" s="6" t="str">
        <f>"1024"</f>
        <v>1024</v>
      </c>
      <c r="L1721" s="6" t="str">
        <f>"Toalhas"</f>
        <v>Toalhas</v>
      </c>
      <c r="M1721" s="6" t="str">
        <f>"50x100"</f>
        <v>50x100</v>
      </c>
      <c r="N1721" s="6" t="str">
        <f>"5602972281057"</f>
        <v>5602972281057</v>
      </c>
      <c r="O1721" s="8">
        <v>6</v>
      </c>
      <c r="R1721" s="8">
        <v>0</v>
      </c>
      <c r="U1721" s="8">
        <v>0</v>
      </c>
      <c r="X1721" s="8">
        <v>0</v>
      </c>
      <c r="Z1721" s="8">
        <v>0</v>
      </c>
      <c r="AC1721" s="8">
        <v>0</v>
      </c>
      <c r="AF1721" s="8">
        <v>0</v>
      </c>
      <c r="AN1721" s="8">
        <v>6</v>
      </c>
      <c r="AO1721" s="8">
        <v>0</v>
      </c>
    </row>
    <row r="1722" spans="1:41" x14ac:dyDescent="0.25">
      <c r="A1722" s="6" t="str">
        <f>"522-2026000064"</f>
        <v>522-2026000064</v>
      </c>
      <c r="B1722" s="6" t="str">
        <f t="shared" si="444"/>
        <v>EL CORTE</v>
      </c>
      <c r="C1722" s="7">
        <v>46031</v>
      </c>
      <c r="D1722" s="7">
        <v>46036</v>
      </c>
      <c r="E1722" s="8">
        <v>1</v>
      </c>
      <c r="F1722" s="6" t="str">
        <f>"94782001_07026"</f>
        <v>94782001_07026</v>
      </c>
      <c r="G1722" s="6" t="str">
        <f t="shared" si="445"/>
        <v>F310631650000000</v>
      </c>
      <c r="H1722" s="6" t="str">
        <f t="shared" si="446"/>
        <v>PLAR 6316 FD - 500 g</v>
      </c>
      <c r="I1722" s="6" t="str">
        <f>"202575"</f>
        <v>202575</v>
      </c>
      <c r="J1722" s="6" t="str">
        <f>"BEGE 2575"</f>
        <v>BEGE 2575</v>
      </c>
      <c r="K1722" s="6" t="str">
        <f>"1024"</f>
        <v>1024</v>
      </c>
      <c r="L1722" s="6" t="str">
        <f>"Toalhas"</f>
        <v>Toalhas</v>
      </c>
      <c r="M1722" s="6" t="str">
        <f>"50x100"</f>
        <v>50x100</v>
      </c>
      <c r="N1722" s="6" t="str">
        <f>"5602972281088"</f>
        <v>5602972281088</v>
      </c>
      <c r="O1722" s="8">
        <v>6</v>
      </c>
      <c r="R1722" s="8">
        <v>0</v>
      </c>
      <c r="U1722" s="8">
        <v>0</v>
      </c>
      <c r="X1722" s="8">
        <v>0</v>
      </c>
      <c r="Z1722" s="8">
        <v>0</v>
      </c>
      <c r="AC1722" s="8">
        <v>0</v>
      </c>
      <c r="AF1722" s="8">
        <v>0</v>
      </c>
      <c r="AN1722" s="8">
        <v>6</v>
      </c>
      <c r="AO1722" s="8">
        <v>0</v>
      </c>
    </row>
    <row r="1723" spans="1:41" x14ac:dyDescent="0.25">
      <c r="A1723" s="6" t="str">
        <f>"522-2026000064"</f>
        <v>522-2026000064</v>
      </c>
      <c r="B1723" s="6" t="str">
        <f t="shared" si="444"/>
        <v>EL CORTE</v>
      </c>
      <c r="C1723" s="7">
        <v>46031</v>
      </c>
      <c r="D1723" s="7">
        <v>46036</v>
      </c>
      <c r="E1723" s="8">
        <v>2</v>
      </c>
      <c r="F1723" s="6" t="str">
        <f>"94782001_07026"</f>
        <v>94782001_07026</v>
      </c>
      <c r="G1723" s="6" t="str">
        <f t="shared" si="445"/>
        <v>F310631650000000</v>
      </c>
      <c r="H1723" s="6" t="str">
        <f t="shared" si="446"/>
        <v>PLAR 6316 FD - 500 g</v>
      </c>
      <c r="I1723" s="6" t="str">
        <f>"200510"</f>
        <v>200510</v>
      </c>
      <c r="J1723" s="6" t="str">
        <f>"VERDE 510"</f>
        <v>VERDE 510</v>
      </c>
      <c r="K1723" s="6" t="str">
        <f>"1024"</f>
        <v>1024</v>
      </c>
      <c r="L1723" s="6" t="str">
        <f>"Toalhas"</f>
        <v>Toalhas</v>
      </c>
      <c r="M1723" s="6" t="str">
        <f>"50x100"</f>
        <v>50x100</v>
      </c>
      <c r="N1723" s="6" t="str">
        <f>"5602972281149"</f>
        <v>5602972281149</v>
      </c>
      <c r="O1723" s="8">
        <v>6</v>
      </c>
      <c r="R1723" s="8">
        <v>0</v>
      </c>
      <c r="U1723" s="8">
        <v>0</v>
      </c>
      <c r="X1723" s="8">
        <v>0</v>
      </c>
      <c r="Z1723" s="8">
        <v>0</v>
      </c>
      <c r="AC1723" s="8">
        <v>0</v>
      </c>
      <c r="AF1723" s="8">
        <v>0</v>
      </c>
      <c r="AN1723" s="8">
        <v>6</v>
      </c>
      <c r="AO1723" s="8">
        <v>0</v>
      </c>
    </row>
    <row r="1724" spans="1:41" x14ac:dyDescent="0.25">
      <c r="A1724" s="6" t="str">
        <f>"522-2026000064"</f>
        <v>522-2026000064</v>
      </c>
      <c r="B1724" s="6" t="str">
        <f t="shared" si="444"/>
        <v>EL CORTE</v>
      </c>
      <c r="C1724" s="7">
        <v>46031</v>
      </c>
      <c r="D1724" s="7">
        <v>46036</v>
      </c>
      <c r="E1724" s="8">
        <v>3</v>
      </c>
      <c r="F1724" s="6" t="str">
        <f>"94782001_07026"</f>
        <v>94782001_07026</v>
      </c>
      <c r="G1724" s="6" t="str">
        <f t="shared" si="445"/>
        <v>F310631650000000</v>
      </c>
      <c r="H1724" s="6" t="str">
        <f t="shared" si="446"/>
        <v>PLAR 6316 FD - 500 g</v>
      </c>
      <c r="I1724" s="6" t="str">
        <f>"200510"</f>
        <v>200510</v>
      </c>
      <c r="J1724" s="6" t="str">
        <f>"VERDE 510"</f>
        <v>VERDE 510</v>
      </c>
      <c r="K1724" s="6" t="str">
        <f>"2020"</f>
        <v>2020</v>
      </c>
      <c r="L1724" s="6" t="str">
        <f>"Lençóis"</f>
        <v>Lençóis</v>
      </c>
      <c r="M1724" s="6" t="str">
        <f>"100x150"</f>
        <v>100x150</v>
      </c>
      <c r="N1724" s="6" t="str">
        <f>"5602972281156"</f>
        <v>5602972281156</v>
      </c>
      <c r="O1724" s="8">
        <v>3</v>
      </c>
      <c r="R1724" s="8">
        <v>0</v>
      </c>
      <c r="U1724" s="8">
        <v>0</v>
      </c>
      <c r="X1724" s="8">
        <v>0</v>
      </c>
      <c r="Z1724" s="8">
        <v>0</v>
      </c>
      <c r="AC1724" s="8">
        <v>0</v>
      </c>
      <c r="AF1724" s="8">
        <v>0</v>
      </c>
      <c r="AN1724" s="8">
        <v>0</v>
      </c>
      <c r="AO1724" s="8">
        <v>3</v>
      </c>
    </row>
    <row r="1725" spans="1:41" x14ac:dyDescent="0.25">
      <c r="A1725" s="6" t="str">
        <f>"522-2026000065"</f>
        <v>522-2026000065</v>
      </c>
      <c r="B1725" s="6" t="str">
        <f t="shared" si="444"/>
        <v>EL CORTE</v>
      </c>
      <c r="C1725" s="7">
        <v>46031</v>
      </c>
      <c r="D1725" s="7">
        <v>46036</v>
      </c>
      <c r="E1725" s="8">
        <v>1</v>
      </c>
      <c r="F1725" s="6" t="str">
        <f>"94780201_07026"</f>
        <v>94780201_07026</v>
      </c>
      <c r="G1725" s="6" t="str">
        <f t="shared" si="445"/>
        <v>F310631650000000</v>
      </c>
      <c r="H1725" s="6" t="str">
        <f t="shared" si="446"/>
        <v>PLAR 6316 FD - 500 g</v>
      </c>
      <c r="I1725" s="6" t="str">
        <f>"202575"</f>
        <v>202575</v>
      </c>
      <c r="J1725" s="6" t="str">
        <f>"BEGE 2575"</f>
        <v>BEGE 2575</v>
      </c>
      <c r="K1725" s="6" t="str">
        <f>"2020"</f>
        <v>2020</v>
      </c>
      <c r="L1725" s="6" t="str">
        <f>"Lençóis"</f>
        <v>Lençóis</v>
      </c>
      <c r="M1725" s="6" t="str">
        <f>"100x150"</f>
        <v>100x150</v>
      </c>
      <c r="N1725" s="6" t="str">
        <f>"5602972281095"</f>
        <v>5602972281095</v>
      </c>
      <c r="O1725" s="8">
        <v>6</v>
      </c>
      <c r="R1725" s="8">
        <v>0</v>
      </c>
      <c r="U1725" s="8">
        <v>0</v>
      </c>
      <c r="X1725" s="8">
        <v>0</v>
      </c>
      <c r="Z1725" s="8">
        <v>0</v>
      </c>
      <c r="AC1725" s="8">
        <v>0</v>
      </c>
      <c r="AF1725" s="8">
        <v>0</v>
      </c>
      <c r="AN1725" s="8">
        <v>0</v>
      </c>
      <c r="AO1725" s="8">
        <v>6</v>
      </c>
    </row>
    <row r="1726" spans="1:41" x14ac:dyDescent="0.25">
      <c r="A1726" s="6" t="str">
        <f>"522-2026000066"</f>
        <v>522-2026000066</v>
      </c>
      <c r="B1726" s="6" t="str">
        <f t="shared" si="444"/>
        <v>EL CORTE</v>
      </c>
      <c r="C1726" s="7">
        <v>46031</v>
      </c>
      <c r="D1726" s="7">
        <v>46036</v>
      </c>
      <c r="E1726" s="8">
        <v>1</v>
      </c>
      <c r="F1726" s="6" t="str">
        <f>"94781401_07026"</f>
        <v>94781401_07026</v>
      </c>
      <c r="G1726" s="6" t="str">
        <f t="shared" si="445"/>
        <v>F310631650000000</v>
      </c>
      <c r="H1726" s="6" t="str">
        <f t="shared" si="446"/>
        <v>PLAR 6316 FD - 500 g</v>
      </c>
      <c r="I1726" s="6" t="str">
        <f>"201855"</f>
        <v>201855</v>
      </c>
      <c r="J1726" s="6" t="str">
        <f>"AZUL 1855"</f>
        <v>AZUL 1855</v>
      </c>
      <c r="K1726" s="6" t="str">
        <f>"2020"</f>
        <v>2020</v>
      </c>
      <c r="L1726" s="6" t="str">
        <f>"Lençóis"</f>
        <v>Lençóis</v>
      </c>
      <c r="M1726" s="6" t="str">
        <f>"100x150"</f>
        <v>100x150</v>
      </c>
      <c r="N1726" s="6" t="str">
        <f>"5602972281064"</f>
        <v>5602972281064</v>
      </c>
      <c r="O1726" s="8">
        <v>6</v>
      </c>
      <c r="R1726" s="8">
        <v>0</v>
      </c>
      <c r="U1726" s="8">
        <v>0</v>
      </c>
      <c r="X1726" s="8">
        <v>0</v>
      </c>
      <c r="Z1726" s="8">
        <v>0</v>
      </c>
      <c r="AC1726" s="8">
        <v>0</v>
      </c>
      <c r="AF1726" s="8">
        <v>0</v>
      </c>
      <c r="AN1726" s="8">
        <v>0</v>
      </c>
      <c r="AO1726" s="8">
        <v>6</v>
      </c>
    </row>
    <row r="1727" spans="1:41" x14ac:dyDescent="0.25">
      <c r="A1727" s="6" t="str">
        <f>"522-2026000067"</f>
        <v>522-2026000067</v>
      </c>
      <c r="B1727" s="6" t="str">
        <f t="shared" si="444"/>
        <v>EL CORTE</v>
      </c>
      <c r="C1727" s="7">
        <v>46031</v>
      </c>
      <c r="D1727" s="7">
        <v>46036</v>
      </c>
      <c r="E1727" s="8">
        <v>1</v>
      </c>
      <c r="F1727" s="6" t="str">
        <f>"94781601_07026"</f>
        <v>94781601_07026</v>
      </c>
      <c r="G1727" s="6" t="str">
        <f t="shared" si="445"/>
        <v>F310631650000000</v>
      </c>
      <c r="H1727" s="6" t="str">
        <f t="shared" si="446"/>
        <v>PLAR 6316 FD - 500 g</v>
      </c>
      <c r="I1727" s="6" t="str">
        <f>"201855"</f>
        <v>201855</v>
      </c>
      <c r="J1727" s="6" t="str">
        <f>"AZUL 1855"</f>
        <v>AZUL 1855</v>
      </c>
      <c r="K1727" s="6" t="str">
        <f>"2020"</f>
        <v>2020</v>
      </c>
      <c r="L1727" s="6" t="str">
        <f>"Lençóis"</f>
        <v>Lençóis</v>
      </c>
      <c r="M1727" s="6" t="str">
        <f>"100x150"</f>
        <v>100x150</v>
      </c>
      <c r="N1727" s="6" t="str">
        <f>"5602972281064"</f>
        <v>5602972281064</v>
      </c>
      <c r="O1727" s="8">
        <v>3</v>
      </c>
      <c r="R1727" s="8">
        <v>0</v>
      </c>
      <c r="U1727" s="8">
        <v>0</v>
      </c>
      <c r="X1727" s="8">
        <v>0</v>
      </c>
      <c r="Z1727" s="8">
        <v>0</v>
      </c>
      <c r="AC1727" s="8">
        <v>0</v>
      </c>
      <c r="AF1727" s="8">
        <v>0</v>
      </c>
      <c r="AN1727" s="8">
        <v>0</v>
      </c>
      <c r="AO1727" s="8">
        <v>3</v>
      </c>
    </row>
    <row r="1728" spans="1:41" x14ac:dyDescent="0.25">
      <c r="A1728" s="6" t="str">
        <f>"522-2026000068"</f>
        <v>522-2026000068</v>
      </c>
      <c r="B1728" s="6" t="str">
        <f t="shared" si="444"/>
        <v>EL CORTE</v>
      </c>
      <c r="C1728" s="7">
        <v>46031</v>
      </c>
      <c r="D1728" s="7">
        <v>46036</v>
      </c>
      <c r="E1728" s="8">
        <v>1</v>
      </c>
      <c r="F1728" s="6" t="str">
        <f>"94779901_07026"</f>
        <v>94779901_07026</v>
      </c>
      <c r="G1728" s="6" t="str">
        <f t="shared" si="445"/>
        <v>F310631650000000</v>
      </c>
      <c r="H1728" s="6" t="str">
        <f t="shared" si="446"/>
        <v>PLAR 6316 FD - 500 g</v>
      </c>
      <c r="I1728" s="6" t="str">
        <f>"200901"</f>
        <v>200901</v>
      </c>
      <c r="J1728" s="6" t="str">
        <f>"ROSA 901"</f>
        <v>ROSA 901</v>
      </c>
      <c r="K1728" s="6" t="str">
        <f>"2020"</f>
        <v>2020</v>
      </c>
      <c r="L1728" s="6" t="str">
        <f>"Lençóis"</f>
        <v>Lençóis</v>
      </c>
      <c r="M1728" s="6" t="str">
        <f>"100x150"</f>
        <v>100x150</v>
      </c>
      <c r="N1728" s="6" t="str">
        <f>"5602972281125"</f>
        <v>5602972281125</v>
      </c>
      <c r="O1728" s="8">
        <v>3</v>
      </c>
      <c r="R1728" s="8">
        <v>0</v>
      </c>
      <c r="U1728" s="8">
        <v>0</v>
      </c>
      <c r="X1728" s="8">
        <v>0</v>
      </c>
      <c r="Z1728" s="8">
        <v>0</v>
      </c>
      <c r="AC1728" s="8">
        <v>0</v>
      </c>
      <c r="AF1728" s="8">
        <v>0</v>
      </c>
      <c r="AN1728" s="8">
        <v>0</v>
      </c>
      <c r="AO1728" s="8">
        <v>3</v>
      </c>
    </row>
    <row r="1729" spans="1:41" x14ac:dyDescent="0.25">
      <c r="A1729" s="6" t="str">
        <f>"522-2026000069"</f>
        <v>522-2026000069</v>
      </c>
      <c r="B1729" s="6" t="str">
        <f t="shared" si="444"/>
        <v>EL CORTE</v>
      </c>
      <c r="C1729" s="7">
        <v>46031</v>
      </c>
      <c r="D1729" s="7">
        <v>46036</v>
      </c>
      <c r="E1729" s="8">
        <v>1</v>
      </c>
      <c r="F1729" s="6" t="str">
        <f>"94780401_07026"</f>
        <v>94780401_07026</v>
      </c>
      <c r="G1729" s="6" t="str">
        <f t="shared" si="445"/>
        <v>F310631650000000</v>
      </c>
      <c r="H1729" s="6" t="str">
        <f t="shared" si="446"/>
        <v>PLAR 6316 FD - 500 g</v>
      </c>
      <c r="I1729" s="6" t="str">
        <f>"200510"</f>
        <v>200510</v>
      </c>
      <c r="J1729" s="6" t="str">
        <f>"VERDE 510"</f>
        <v>VERDE 510</v>
      </c>
      <c r="K1729" s="6" t="str">
        <f>"1024"</f>
        <v>1024</v>
      </c>
      <c r="L1729" s="6" t="str">
        <f>"Toalhas"</f>
        <v>Toalhas</v>
      </c>
      <c r="M1729" s="6" t="str">
        <f>"50x100"</f>
        <v>50x100</v>
      </c>
      <c r="N1729" s="6" t="str">
        <f>"5602972281149"</f>
        <v>5602972281149</v>
      </c>
      <c r="O1729" s="8">
        <v>6</v>
      </c>
      <c r="R1729" s="8">
        <v>0</v>
      </c>
      <c r="U1729" s="8">
        <v>0</v>
      </c>
      <c r="X1729" s="8">
        <v>0</v>
      </c>
      <c r="Z1729" s="8">
        <v>0</v>
      </c>
      <c r="AC1729" s="8">
        <v>0</v>
      </c>
      <c r="AF1729" s="8">
        <v>0</v>
      </c>
      <c r="AN1729" s="8">
        <v>6</v>
      </c>
      <c r="AO1729" s="8">
        <v>0</v>
      </c>
    </row>
    <row r="1730" spans="1:41" x14ac:dyDescent="0.25">
      <c r="A1730" s="6" t="str">
        <f>"522-2026000070"</f>
        <v>522-2026000070</v>
      </c>
      <c r="B1730" s="6" t="str">
        <f t="shared" si="444"/>
        <v>EL CORTE</v>
      </c>
      <c r="C1730" s="7">
        <v>46031</v>
      </c>
      <c r="D1730" s="7">
        <v>46036</v>
      </c>
      <c r="E1730" s="8">
        <v>1</v>
      </c>
      <c r="F1730" s="6" t="str">
        <f>"94780001_07026"</f>
        <v>94780001_07026</v>
      </c>
      <c r="G1730" s="6" t="str">
        <f t="shared" si="445"/>
        <v>F310631650000000</v>
      </c>
      <c r="H1730" s="6" t="str">
        <f t="shared" si="446"/>
        <v>PLAR 6316 FD - 500 g</v>
      </c>
      <c r="I1730" s="6" t="str">
        <f>"202575"</f>
        <v>202575</v>
      </c>
      <c r="J1730" s="6" t="str">
        <f>"BEGE 2575"</f>
        <v>BEGE 2575</v>
      </c>
      <c r="K1730" s="6" t="str">
        <f>"2020"</f>
        <v>2020</v>
      </c>
      <c r="L1730" s="6" t="str">
        <f>"Lençóis"</f>
        <v>Lençóis</v>
      </c>
      <c r="M1730" s="6" t="str">
        <f>"100x150"</f>
        <v>100x150</v>
      </c>
      <c r="N1730" s="6" t="str">
        <f>"5602972281095"</f>
        <v>5602972281095</v>
      </c>
      <c r="O1730" s="8">
        <v>3</v>
      </c>
      <c r="R1730" s="8">
        <v>0</v>
      </c>
      <c r="U1730" s="8">
        <v>0</v>
      </c>
      <c r="X1730" s="8">
        <v>0</v>
      </c>
      <c r="Z1730" s="8">
        <v>0</v>
      </c>
      <c r="AC1730" s="8">
        <v>0</v>
      </c>
      <c r="AF1730" s="8">
        <v>0</v>
      </c>
      <c r="AN1730" s="8">
        <v>0</v>
      </c>
      <c r="AO1730" s="8">
        <v>3</v>
      </c>
    </row>
    <row r="1731" spans="1:41" x14ac:dyDescent="0.25">
      <c r="A1731" s="6" t="str">
        <f>"522-2026000071"</f>
        <v>522-2026000071</v>
      </c>
      <c r="B1731" s="6" t="str">
        <f t="shared" si="444"/>
        <v>EL CORTE</v>
      </c>
      <c r="C1731" s="7">
        <v>46030</v>
      </c>
      <c r="D1731" s="7">
        <v>46035</v>
      </c>
      <c r="E1731" s="8">
        <v>1</v>
      </c>
      <c r="F1731" s="6" t="str">
        <f>"94763801_07026"</f>
        <v>94763801_07026</v>
      </c>
      <c r="G1731" s="6" t="str">
        <f t="shared" si="445"/>
        <v>F310631650000000</v>
      </c>
      <c r="H1731" s="6" t="str">
        <f t="shared" si="446"/>
        <v>PLAR 6316 FD - 500 g</v>
      </c>
      <c r="I1731" s="6" t="str">
        <f>"202575"</f>
        <v>202575</v>
      </c>
      <c r="J1731" s="6" t="str">
        <f>"BEGE 2575"</f>
        <v>BEGE 2575</v>
      </c>
      <c r="K1731" s="6" t="str">
        <f>"1024"</f>
        <v>1024</v>
      </c>
      <c r="L1731" s="6" t="str">
        <f>"Toalhas"</f>
        <v>Toalhas</v>
      </c>
      <c r="M1731" s="6" t="str">
        <f>"50x100"</f>
        <v>50x100</v>
      </c>
      <c r="N1731" s="6" t="str">
        <f>"5602972281088"</f>
        <v>5602972281088</v>
      </c>
      <c r="O1731" s="8">
        <v>6</v>
      </c>
      <c r="R1731" s="8">
        <v>0</v>
      </c>
      <c r="U1731" s="8">
        <v>0</v>
      </c>
      <c r="X1731" s="8">
        <v>0</v>
      </c>
      <c r="Z1731" s="8">
        <v>0</v>
      </c>
      <c r="AC1731" s="8">
        <v>0</v>
      </c>
      <c r="AF1731" s="8">
        <v>0</v>
      </c>
      <c r="AN1731" s="8">
        <v>6</v>
      </c>
      <c r="AO1731" s="8">
        <v>0</v>
      </c>
    </row>
    <row r="1732" spans="1:41" x14ac:dyDescent="0.25">
      <c r="A1732" s="6" t="str">
        <f>"522-2026000071"</f>
        <v>522-2026000071</v>
      </c>
      <c r="B1732" s="6" t="str">
        <f t="shared" si="444"/>
        <v>EL CORTE</v>
      </c>
      <c r="C1732" s="7">
        <v>46030</v>
      </c>
      <c r="D1732" s="7">
        <v>46035</v>
      </c>
      <c r="E1732" s="8">
        <v>2</v>
      </c>
      <c r="F1732" s="6" t="str">
        <f>"94763801_07026"</f>
        <v>94763801_07026</v>
      </c>
      <c r="G1732" s="6" t="str">
        <f t="shared" si="445"/>
        <v>F310631650000000</v>
      </c>
      <c r="H1732" s="6" t="str">
        <f t="shared" si="446"/>
        <v>PLAR 6316 FD - 500 g</v>
      </c>
      <c r="I1732" s="6" t="str">
        <f>"200901"</f>
        <v>200901</v>
      </c>
      <c r="J1732" s="6" t="str">
        <f>"ROSA 901"</f>
        <v>ROSA 901</v>
      </c>
      <c r="K1732" s="6" t="str">
        <f>"1024"</f>
        <v>1024</v>
      </c>
      <c r="L1732" s="6" t="str">
        <f>"Toalhas"</f>
        <v>Toalhas</v>
      </c>
      <c r="M1732" s="6" t="str">
        <f>"50x100"</f>
        <v>50x100</v>
      </c>
      <c r="N1732" s="6" t="str">
        <f>"5602972281118"</f>
        <v>5602972281118</v>
      </c>
      <c r="O1732" s="8">
        <v>6</v>
      </c>
      <c r="R1732" s="8">
        <v>0</v>
      </c>
      <c r="U1732" s="8">
        <v>0</v>
      </c>
      <c r="X1732" s="8">
        <v>0</v>
      </c>
      <c r="Z1732" s="8">
        <v>0</v>
      </c>
      <c r="AC1732" s="8">
        <v>0</v>
      </c>
      <c r="AF1732" s="8">
        <v>0</v>
      </c>
      <c r="AN1732" s="8">
        <v>6</v>
      </c>
      <c r="AO1732" s="8">
        <v>0</v>
      </c>
    </row>
    <row r="1733" spans="1:41" x14ac:dyDescent="0.25">
      <c r="A1733" s="6" t="str">
        <f>"522-2026000072"</f>
        <v>522-2026000072</v>
      </c>
      <c r="B1733" s="6" t="str">
        <f t="shared" si="444"/>
        <v>EL CORTE</v>
      </c>
      <c r="C1733" s="7">
        <v>46030</v>
      </c>
      <c r="D1733" s="7">
        <v>46035</v>
      </c>
      <c r="E1733" s="8">
        <v>1</v>
      </c>
      <c r="F1733" s="6" t="str">
        <f>"94761901_07026"</f>
        <v>94761901_07026</v>
      </c>
      <c r="G1733" s="6" t="str">
        <f t="shared" si="445"/>
        <v>F310631650000000</v>
      </c>
      <c r="H1733" s="6" t="str">
        <f t="shared" si="446"/>
        <v>PLAR 6316 FD - 500 g</v>
      </c>
      <c r="I1733" s="6" t="str">
        <f>"201855"</f>
        <v>201855</v>
      </c>
      <c r="J1733" s="6" t="str">
        <f>"AZUL 1855"</f>
        <v>AZUL 1855</v>
      </c>
      <c r="K1733" s="6" t="str">
        <f>"1024"</f>
        <v>1024</v>
      </c>
      <c r="L1733" s="6" t="str">
        <f>"Toalhas"</f>
        <v>Toalhas</v>
      </c>
      <c r="M1733" s="6" t="str">
        <f>"50x100"</f>
        <v>50x100</v>
      </c>
      <c r="N1733" s="6" t="str">
        <f>"5602972281057"</f>
        <v>5602972281057</v>
      </c>
      <c r="O1733" s="8">
        <v>6</v>
      </c>
      <c r="R1733" s="8">
        <v>0</v>
      </c>
      <c r="U1733" s="8">
        <v>0</v>
      </c>
      <c r="X1733" s="8">
        <v>0</v>
      </c>
      <c r="Z1733" s="8">
        <v>0</v>
      </c>
      <c r="AC1733" s="8">
        <v>0</v>
      </c>
      <c r="AF1733" s="8">
        <v>0</v>
      </c>
      <c r="AN1733" s="8">
        <v>6</v>
      </c>
      <c r="AO1733" s="8">
        <v>0</v>
      </c>
    </row>
    <row r="1734" spans="1:41" x14ac:dyDescent="0.25">
      <c r="A1734" s="6" t="str">
        <f>"522-2026000072"</f>
        <v>522-2026000072</v>
      </c>
      <c r="B1734" s="6" t="str">
        <f t="shared" si="444"/>
        <v>EL CORTE</v>
      </c>
      <c r="C1734" s="7">
        <v>46030</v>
      </c>
      <c r="D1734" s="7">
        <v>46035</v>
      </c>
      <c r="E1734" s="8">
        <v>2</v>
      </c>
      <c r="F1734" s="6" t="str">
        <f>"94761901_07026"</f>
        <v>94761901_07026</v>
      </c>
      <c r="G1734" s="6" t="str">
        <f t="shared" si="445"/>
        <v>F310631650000000</v>
      </c>
      <c r="H1734" s="6" t="str">
        <f t="shared" si="446"/>
        <v>PLAR 6316 FD - 500 g</v>
      </c>
      <c r="I1734" s="6" t="str">
        <f>"202575"</f>
        <v>202575</v>
      </c>
      <c r="J1734" s="6" t="str">
        <f>"BEGE 2575"</f>
        <v>BEGE 2575</v>
      </c>
      <c r="K1734" s="6" t="str">
        <f>"1024"</f>
        <v>1024</v>
      </c>
      <c r="L1734" s="6" t="str">
        <f>"Toalhas"</f>
        <v>Toalhas</v>
      </c>
      <c r="M1734" s="6" t="str">
        <f>"50x100"</f>
        <v>50x100</v>
      </c>
      <c r="N1734" s="6" t="str">
        <f>"5602972281088"</f>
        <v>5602972281088</v>
      </c>
      <c r="O1734" s="8">
        <v>6</v>
      </c>
      <c r="R1734" s="8">
        <v>0</v>
      </c>
      <c r="U1734" s="8">
        <v>0</v>
      </c>
      <c r="X1734" s="8">
        <v>0</v>
      </c>
      <c r="Z1734" s="8">
        <v>0</v>
      </c>
      <c r="AC1734" s="8">
        <v>0</v>
      </c>
      <c r="AF1734" s="8">
        <v>0</v>
      </c>
      <c r="AN1734" s="8">
        <v>6</v>
      </c>
      <c r="AO1734" s="8">
        <v>0</v>
      </c>
    </row>
    <row r="1735" spans="1:41" x14ac:dyDescent="0.25">
      <c r="A1735" s="6" t="str">
        <f>"522-2026000072"</f>
        <v>522-2026000072</v>
      </c>
      <c r="B1735" s="6" t="str">
        <f t="shared" ref="B1735:B1798" si="449">"EL CORTE"</f>
        <v>EL CORTE</v>
      </c>
      <c r="C1735" s="7">
        <v>46030</v>
      </c>
      <c r="D1735" s="7">
        <v>46035</v>
      </c>
      <c r="E1735" s="8">
        <v>3</v>
      </c>
      <c r="F1735" s="6" t="str">
        <f>"94761901_07026"</f>
        <v>94761901_07026</v>
      </c>
      <c r="G1735" s="6" t="str">
        <f t="shared" ref="G1735:G1798" si="450">"F310631650000000"</f>
        <v>F310631650000000</v>
      </c>
      <c r="H1735" s="6" t="str">
        <f t="shared" ref="H1735:H1798" si="451">"PLAR 6316 FD - 500 g"</f>
        <v>PLAR 6316 FD - 500 g</v>
      </c>
      <c r="I1735" s="6" t="str">
        <f>"202575"</f>
        <v>202575</v>
      </c>
      <c r="J1735" s="6" t="str">
        <f>"BEGE 2575"</f>
        <v>BEGE 2575</v>
      </c>
      <c r="K1735" s="6" t="str">
        <f>"2020"</f>
        <v>2020</v>
      </c>
      <c r="L1735" s="6" t="str">
        <f>"Lençóis"</f>
        <v>Lençóis</v>
      </c>
      <c r="M1735" s="6" t="str">
        <f>"100x150"</f>
        <v>100x150</v>
      </c>
      <c r="N1735" s="6" t="str">
        <f>"5602972281095"</f>
        <v>5602972281095</v>
      </c>
      <c r="O1735" s="8">
        <v>3</v>
      </c>
      <c r="R1735" s="8">
        <v>0</v>
      </c>
      <c r="U1735" s="8">
        <v>0</v>
      </c>
      <c r="X1735" s="8">
        <v>0</v>
      </c>
      <c r="Z1735" s="8">
        <v>0</v>
      </c>
      <c r="AC1735" s="8">
        <v>0</v>
      </c>
      <c r="AF1735" s="8">
        <v>0</v>
      </c>
      <c r="AN1735" s="8">
        <v>0</v>
      </c>
      <c r="AO1735" s="8">
        <v>3</v>
      </c>
    </row>
    <row r="1736" spans="1:41" x14ac:dyDescent="0.25">
      <c r="A1736" s="6" t="str">
        <f>"522-2026000072"</f>
        <v>522-2026000072</v>
      </c>
      <c r="B1736" s="6" t="str">
        <f t="shared" si="449"/>
        <v>EL CORTE</v>
      </c>
      <c r="C1736" s="7">
        <v>46030</v>
      </c>
      <c r="D1736" s="7">
        <v>46035</v>
      </c>
      <c r="E1736" s="8">
        <v>4</v>
      </c>
      <c r="F1736" s="6" t="str">
        <f>"94761901_07026"</f>
        <v>94761901_07026</v>
      </c>
      <c r="G1736" s="6" t="str">
        <f t="shared" si="450"/>
        <v>F310631650000000</v>
      </c>
      <c r="H1736" s="6" t="str">
        <f t="shared" si="451"/>
        <v>PLAR 6316 FD - 500 g</v>
      </c>
      <c r="I1736" s="6" t="str">
        <f>"200901"</f>
        <v>200901</v>
      </c>
      <c r="J1736" s="6" t="str">
        <f>"ROSA 901"</f>
        <v>ROSA 901</v>
      </c>
      <c r="K1736" s="6" t="str">
        <f>"0520"</f>
        <v>0520</v>
      </c>
      <c r="L1736" s="6" t="str">
        <f>"Toalhetes"</f>
        <v>Toalhetes</v>
      </c>
      <c r="M1736" s="6" t="str">
        <f>"30x50"</f>
        <v>30x50</v>
      </c>
      <c r="N1736" s="6" t="str">
        <f>"5602972281101"</f>
        <v>5602972281101</v>
      </c>
      <c r="O1736" s="8">
        <v>6</v>
      </c>
      <c r="R1736" s="8">
        <v>0</v>
      </c>
      <c r="U1736" s="8">
        <v>0</v>
      </c>
      <c r="X1736" s="8">
        <v>0</v>
      </c>
      <c r="Z1736" s="8">
        <v>0</v>
      </c>
      <c r="AC1736" s="8">
        <v>0</v>
      </c>
      <c r="AF1736" s="8">
        <v>0</v>
      </c>
      <c r="AN1736" s="8">
        <v>6</v>
      </c>
      <c r="AO1736" s="8">
        <v>0</v>
      </c>
    </row>
    <row r="1737" spans="1:41" x14ac:dyDescent="0.25">
      <c r="A1737" s="6" t="str">
        <f>"522-2026000072"</f>
        <v>522-2026000072</v>
      </c>
      <c r="B1737" s="6" t="str">
        <f t="shared" si="449"/>
        <v>EL CORTE</v>
      </c>
      <c r="C1737" s="7">
        <v>46030</v>
      </c>
      <c r="D1737" s="7">
        <v>46035</v>
      </c>
      <c r="E1737" s="8">
        <v>5</v>
      </c>
      <c r="F1737" s="6" t="str">
        <f>"94761901_07026"</f>
        <v>94761901_07026</v>
      </c>
      <c r="G1737" s="6" t="str">
        <f t="shared" si="450"/>
        <v>F310631650000000</v>
      </c>
      <c r="H1737" s="6" t="str">
        <f t="shared" si="451"/>
        <v>PLAR 6316 FD - 500 g</v>
      </c>
      <c r="I1737" s="6" t="str">
        <f>"200510"</f>
        <v>200510</v>
      </c>
      <c r="J1737" s="6" t="str">
        <f>"VERDE 510"</f>
        <v>VERDE 510</v>
      </c>
      <c r="K1737" s="6" t="str">
        <f>"2020"</f>
        <v>2020</v>
      </c>
      <c r="L1737" s="6" t="str">
        <f>"Lençóis"</f>
        <v>Lençóis</v>
      </c>
      <c r="M1737" s="6" t="str">
        <f>"100x150"</f>
        <v>100x150</v>
      </c>
      <c r="N1737" s="6" t="str">
        <f>"5602972281156"</f>
        <v>5602972281156</v>
      </c>
      <c r="O1737" s="8">
        <v>3</v>
      </c>
      <c r="R1737" s="8">
        <v>0</v>
      </c>
      <c r="U1737" s="8">
        <v>0</v>
      </c>
      <c r="X1737" s="8">
        <v>0</v>
      </c>
      <c r="Z1737" s="8">
        <v>0</v>
      </c>
      <c r="AC1737" s="8">
        <v>0</v>
      </c>
      <c r="AF1737" s="8">
        <v>0</v>
      </c>
      <c r="AN1737" s="8">
        <v>0</v>
      </c>
      <c r="AO1737" s="8">
        <v>3</v>
      </c>
    </row>
    <row r="1738" spans="1:41" x14ac:dyDescent="0.25">
      <c r="A1738" s="6" t="str">
        <f>"522-2026000073"</f>
        <v>522-2026000073</v>
      </c>
      <c r="B1738" s="6" t="str">
        <f t="shared" si="449"/>
        <v>EL CORTE</v>
      </c>
      <c r="C1738" s="7">
        <v>46030</v>
      </c>
      <c r="D1738" s="7">
        <v>46035</v>
      </c>
      <c r="E1738" s="8">
        <v>1</v>
      </c>
      <c r="F1738" s="6" t="str">
        <f>"94763101_07026"</f>
        <v>94763101_07026</v>
      </c>
      <c r="G1738" s="6" t="str">
        <f t="shared" si="450"/>
        <v>F310631650000000</v>
      </c>
      <c r="H1738" s="6" t="str">
        <f t="shared" si="451"/>
        <v>PLAR 6316 FD - 500 g</v>
      </c>
      <c r="I1738" s="6" t="str">
        <f>"202575"</f>
        <v>202575</v>
      </c>
      <c r="J1738" s="6" t="str">
        <f>"BEGE 2575"</f>
        <v>BEGE 2575</v>
      </c>
      <c r="K1738" s="6" t="str">
        <f>"1024"</f>
        <v>1024</v>
      </c>
      <c r="L1738" s="6" t="str">
        <f>"Toalhas"</f>
        <v>Toalhas</v>
      </c>
      <c r="M1738" s="6" t="str">
        <f>"50x100"</f>
        <v>50x100</v>
      </c>
      <c r="N1738" s="6" t="str">
        <f>"5602972281088"</f>
        <v>5602972281088</v>
      </c>
      <c r="O1738" s="8">
        <v>12</v>
      </c>
      <c r="R1738" s="8">
        <v>0</v>
      </c>
      <c r="U1738" s="8">
        <v>0</v>
      </c>
      <c r="X1738" s="8">
        <v>0</v>
      </c>
      <c r="Z1738" s="8">
        <v>0</v>
      </c>
      <c r="AC1738" s="8">
        <v>0</v>
      </c>
      <c r="AF1738" s="8">
        <v>0</v>
      </c>
      <c r="AN1738" s="8">
        <v>12</v>
      </c>
      <c r="AO1738" s="8">
        <v>0</v>
      </c>
    </row>
    <row r="1739" spans="1:41" x14ac:dyDescent="0.25">
      <c r="A1739" s="6" t="str">
        <f>"522-2026000073"</f>
        <v>522-2026000073</v>
      </c>
      <c r="B1739" s="6" t="str">
        <f t="shared" si="449"/>
        <v>EL CORTE</v>
      </c>
      <c r="C1739" s="7">
        <v>46030</v>
      </c>
      <c r="D1739" s="7">
        <v>46035</v>
      </c>
      <c r="E1739" s="8">
        <v>2</v>
      </c>
      <c r="F1739" s="6" t="str">
        <f>"94763101_07026"</f>
        <v>94763101_07026</v>
      </c>
      <c r="G1739" s="6" t="str">
        <f t="shared" si="450"/>
        <v>F310631650000000</v>
      </c>
      <c r="H1739" s="6" t="str">
        <f t="shared" si="451"/>
        <v>PLAR 6316 FD - 500 g</v>
      </c>
      <c r="I1739" s="6" t="str">
        <f>"202575"</f>
        <v>202575</v>
      </c>
      <c r="J1739" s="6" t="str">
        <f>"BEGE 2575"</f>
        <v>BEGE 2575</v>
      </c>
      <c r="K1739" s="6" t="str">
        <f>"2020"</f>
        <v>2020</v>
      </c>
      <c r="L1739" s="6" t="str">
        <f>"Lençóis"</f>
        <v>Lençóis</v>
      </c>
      <c r="M1739" s="6" t="str">
        <f>"100x150"</f>
        <v>100x150</v>
      </c>
      <c r="N1739" s="6" t="str">
        <f>"5602972281095"</f>
        <v>5602972281095</v>
      </c>
      <c r="O1739" s="8">
        <v>3</v>
      </c>
      <c r="R1739" s="8">
        <v>0</v>
      </c>
      <c r="U1739" s="8">
        <v>0</v>
      </c>
      <c r="X1739" s="8">
        <v>0</v>
      </c>
      <c r="Z1739" s="8">
        <v>0</v>
      </c>
      <c r="AC1739" s="8">
        <v>0</v>
      </c>
      <c r="AF1739" s="8">
        <v>0</v>
      </c>
      <c r="AN1739" s="8">
        <v>0</v>
      </c>
      <c r="AO1739" s="8">
        <v>3</v>
      </c>
    </row>
    <row r="1740" spans="1:41" x14ac:dyDescent="0.25">
      <c r="A1740" s="6" t="str">
        <f>"522-2026000074"</f>
        <v>522-2026000074</v>
      </c>
      <c r="B1740" s="6" t="str">
        <f t="shared" si="449"/>
        <v>EL CORTE</v>
      </c>
      <c r="C1740" s="7">
        <v>46030</v>
      </c>
      <c r="D1740" s="7">
        <v>46035</v>
      </c>
      <c r="E1740" s="8">
        <v>1</v>
      </c>
      <c r="F1740" s="6" t="str">
        <f>"94764701_07026"</f>
        <v>94764701_07026</v>
      </c>
      <c r="G1740" s="6" t="str">
        <f t="shared" si="450"/>
        <v>F310631650000000</v>
      </c>
      <c r="H1740" s="6" t="str">
        <f t="shared" si="451"/>
        <v>PLAR 6316 FD - 500 g</v>
      </c>
      <c r="I1740" s="6" t="str">
        <f>"202575"</f>
        <v>202575</v>
      </c>
      <c r="J1740" s="6" t="str">
        <f>"BEGE 2575"</f>
        <v>BEGE 2575</v>
      </c>
      <c r="K1740" s="6" t="str">
        <f>"2020"</f>
        <v>2020</v>
      </c>
      <c r="L1740" s="6" t="str">
        <f>"Lençóis"</f>
        <v>Lençóis</v>
      </c>
      <c r="M1740" s="6" t="str">
        <f>"100x150"</f>
        <v>100x150</v>
      </c>
      <c r="N1740" s="6" t="str">
        <f>"5602972281095"</f>
        <v>5602972281095</v>
      </c>
      <c r="O1740" s="8">
        <v>3</v>
      </c>
      <c r="R1740" s="8">
        <v>0</v>
      </c>
      <c r="U1740" s="8">
        <v>0</v>
      </c>
      <c r="X1740" s="8">
        <v>0</v>
      </c>
      <c r="Z1740" s="8">
        <v>0</v>
      </c>
      <c r="AC1740" s="8">
        <v>0</v>
      </c>
      <c r="AF1740" s="8">
        <v>0</v>
      </c>
      <c r="AN1740" s="8">
        <v>0</v>
      </c>
      <c r="AO1740" s="8">
        <v>3</v>
      </c>
    </row>
    <row r="1741" spans="1:41" x14ac:dyDescent="0.25">
      <c r="A1741" s="6" t="str">
        <f>"522-2026000074"</f>
        <v>522-2026000074</v>
      </c>
      <c r="B1741" s="6" t="str">
        <f t="shared" si="449"/>
        <v>EL CORTE</v>
      </c>
      <c r="C1741" s="7">
        <v>46030</v>
      </c>
      <c r="D1741" s="7">
        <v>46035</v>
      </c>
      <c r="E1741" s="8">
        <v>2</v>
      </c>
      <c r="F1741" s="6" t="str">
        <f>"94764701_07026"</f>
        <v>94764701_07026</v>
      </c>
      <c r="G1741" s="6" t="str">
        <f t="shared" si="450"/>
        <v>F310631650000000</v>
      </c>
      <c r="H1741" s="6" t="str">
        <f t="shared" si="451"/>
        <v>PLAR 6316 FD - 500 g</v>
      </c>
      <c r="I1741" s="6" t="str">
        <f>"200901"</f>
        <v>200901</v>
      </c>
      <c r="J1741" s="6" t="str">
        <f>"ROSA 901"</f>
        <v>ROSA 901</v>
      </c>
      <c r="K1741" s="6" t="str">
        <f>"0520"</f>
        <v>0520</v>
      </c>
      <c r="L1741" s="6" t="str">
        <f>"Toalhetes"</f>
        <v>Toalhetes</v>
      </c>
      <c r="M1741" s="6" t="str">
        <f>"30x50"</f>
        <v>30x50</v>
      </c>
      <c r="N1741" s="6" t="str">
        <f>"5602972281101"</f>
        <v>5602972281101</v>
      </c>
      <c r="O1741" s="8">
        <v>6</v>
      </c>
      <c r="R1741" s="8">
        <v>0</v>
      </c>
      <c r="U1741" s="8">
        <v>0</v>
      </c>
      <c r="X1741" s="8">
        <v>0</v>
      </c>
      <c r="Z1741" s="8">
        <v>0</v>
      </c>
      <c r="AC1741" s="8">
        <v>0</v>
      </c>
      <c r="AF1741" s="8">
        <v>0</v>
      </c>
      <c r="AN1741" s="8">
        <v>6</v>
      </c>
      <c r="AO1741" s="8">
        <v>0</v>
      </c>
    </row>
    <row r="1742" spans="1:41" x14ac:dyDescent="0.25">
      <c r="A1742" s="6" t="str">
        <f>"522-2026000074"</f>
        <v>522-2026000074</v>
      </c>
      <c r="B1742" s="6" t="str">
        <f t="shared" si="449"/>
        <v>EL CORTE</v>
      </c>
      <c r="C1742" s="7">
        <v>46030</v>
      </c>
      <c r="D1742" s="7">
        <v>46035</v>
      </c>
      <c r="E1742" s="8">
        <v>3</v>
      </c>
      <c r="F1742" s="6" t="str">
        <f>"94764701_07026"</f>
        <v>94764701_07026</v>
      </c>
      <c r="G1742" s="6" t="str">
        <f t="shared" si="450"/>
        <v>F310631650000000</v>
      </c>
      <c r="H1742" s="6" t="str">
        <f t="shared" si="451"/>
        <v>PLAR 6316 FD - 500 g</v>
      </c>
      <c r="I1742" s="6" t="str">
        <f>"200901"</f>
        <v>200901</v>
      </c>
      <c r="J1742" s="6" t="str">
        <f>"ROSA 901"</f>
        <v>ROSA 901</v>
      </c>
      <c r="K1742" s="6" t="str">
        <f>"1024"</f>
        <v>1024</v>
      </c>
      <c r="L1742" s="6" t="str">
        <f>"Toalhas"</f>
        <v>Toalhas</v>
      </c>
      <c r="M1742" s="6" t="str">
        <f>"50x100"</f>
        <v>50x100</v>
      </c>
      <c r="N1742" s="6" t="str">
        <f>"5602972281118"</f>
        <v>5602972281118</v>
      </c>
      <c r="O1742" s="8">
        <v>6</v>
      </c>
      <c r="R1742" s="8">
        <v>0</v>
      </c>
      <c r="U1742" s="8">
        <v>0</v>
      </c>
      <c r="X1742" s="8">
        <v>0</v>
      </c>
      <c r="Z1742" s="8">
        <v>0</v>
      </c>
      <c r="AC1742" s="8">
        <v>0</v>
      </c>
      <c r="AF1742" s="8">
        <v>0</v>
      </c>
      <c r="AN1742" s="8">
        <v>6</v>
      </c>
      <c r="AO1742" s="8">
        <v>0</v>
      </c>
    </row>
    <row r="1743" spans="1:41" x14ac:dyDescent="0.25">
      <c r="A1743" s="6" t="str">
        <f>"522-2026000074"</f>
        <v>522-2026000074</v>
      </c>
      <c r="B1743" s="6" t="str">
        <f t="shared" si="449"/>
        <v>EL CORTE</v>
      </c>
      <c r="C1743" s="7">
        <v>46030</v>
      </c>
      <c r="D1743" s="7">
        <v>46035</v>
      </c>
      <c r="E1743" s="8">
        <v>4</v>
      </c>
      <c r="F1743" s="6" t="str">
        <f>"94764701_07026"</f>
        <v>94764701_07026</v>
      </c>
      <c r="G1743" s="6" t="str">
        <f t="shared" si="450"/>
        <v>F310631650000000</v>
      </c>
      <c r="H1743" s="6" t="str">
        <f t="shared" si="451"/>
        <v>PLAR 6316 FD - 500 g</v>
      </c>
      <c r="I1743" s="6" t="str">
        <f>"200901"</f>
        <v>200901</v>
      </c>
      <c r="J1743" s="6" t="str">
        <f>"ROSA 901"</f>
        <v>ROSA 901</v>
      </c>
      <c r="K1743" s="6" t="str">
        <f>"2020"</f>
        <v>2020</v>
      </c>
      <c r="L1743" s="6" t="str">
        <f>"Lençóis"</f>
        <v>Lençóis</v>
      </c>
      <c r="M1743" s="6" t="str">
        <f>"100x150"</f>
        <v>100x150</v>
      </c>
      <c r="N1743" s="6" t="str">
        <f>"5602972281125"</f>
        <v>5602972281125</v>
      </c>
      <c r="O1743" s="8">
        <v>6</v>
      </c>
      <c r="R1743" s="8">
        <v>0</v>
      </c>
      <c r="U1743" s="8">
        <v>0</v>
      </c>
      <c r="X1743" s="8">
        <v>0</v>
      </c>
      <c r="Z1743" s="8">
        <v>0</v>
      </c>
      <c r="AC1743" s="8">
        <v>0</v>
      </c>
      <c r="AF1743" s="8">
        <v>0</v>
      </c>
      <c r="AN1743" s="8">
        <v>0</v>
      </c>
      <c r="AO1743" s="8">
        <v>6</v>
      </c>
    </row>
    <row r="1744" spans="1:41" x14ac:dyDescent="0.25">
      <c r="A1744" s="6" t="str">
        <f>"522-2026000075"</f>
        <v>522-2026000075</v>
      </c>
      <c r="B1744" s="6" t="str">
        <f t="shared" si="449"/>
        <v>EL CORTE</v>
      </c>
      <c r="C1744" s="7">
        <v>46030</v>
      </c>
      <c r="D1744" s="7">
        <v>46035</v>
      </c>
      <c r="E1744" s="8">
        <v>1</v>
      </c>
      <c r="F1744" s="6" t="str">
        <f>"94766301_07026"</f>
        <v>94766301_07026</v>
      </c>
      <c r="G1744" s="6" t="str">
        <f t="shared" si="450"/>
        <v>F310631650000000</v>
      </c>
      <c r="H1744" s="6" t="str">
        <f t="shared" si="451"/>
        <v>PLAR 6316 FD - 500 g</v>
      </c>
      <c r="I1744" s="6" t="str">
        <f>"201855"</f>
        <v>201855</v>
      </c>
      <c r="J1744" s="6" t="str">
        <f>"AZUL 1855"</f>
        <v>AZUL 1855</v>
      </c>
      <c r="K1744" s="6" t="str">
        <f>"1024"</f>
        <v>1024</v>
      </c>
      <c r="L1744" s="6" t="str">
        <f>"Toalhas"</f>
        <v>Toalhas</v>
      </c>
      <c r="M1744" s="6" t="str">
        <f>"50x100"</f>
        <v>50x100</v>
      </c>
      <c r="N1744" s="6" t="str">
        <f>"5602972281057"</f>
        <v>5602972281057</v>
      </c>
      <c r="O1744" s="8">
        <v>6</v>
      </c>
      <c r="R1744" s="8">
        <v>0</v>
      </c>
      <c r="U1744" s="8">
        <v>0</v>
      </c>
      <c r="X1744" s="8">
        <v>0</v>
      </c>
      <c r="Z1744" s="8">
        <v>0</v>
      </c>
      <c r="AC1744" s="8">
        <v>0</v>
      </c>
      <c r="AF1744" s="8">
        <v>0</v>
      </c>
      <c r="AN1744" s="8">
        <v>6</v>
      </c>
      <c r="AO1744" s="8">
        <v>0</v>
      </c>
    </row>
    <row r="1745" spans="1:41" x14ac:dyDescent="0.25">
      <c r="A1745" s="6" t="str">
        <f>"522-2026000075"</f>
        <v>522-2026000075</v>
      </c>
      <c r="B1745" s="6" t="str">
        <f t="shared" si="449"/>
        <v>EL CORTE</v>
      </c>
      <c r="C1745" s="7">
        <v>46030</v>
      </c>
      <c r="D1745" s="7">
        <v>46035</v>
      </c>
      <c r="E1745" s="8">
        <v>2</v>
      </c>
      <c r="F1745" s="6" t="str">
        <f>"94766301_07026"</f>
        <v>94766301_07026</v>
      </c>
      <c r="G1745" s="6" t="str">
        <f t="shared" si="450"/>
        <v>F310631650000000</v>
      </c>
      <c r="H1745" s="6" t="str">
        <f t="shared" si="451"/>
        <v>PLAR 6316 FD - 500 g</v>
      </c>
      <c r="I1745" s="6" t="str">
        <f>"201855"</f>
        <v>201855</v>
      </c>
      <c r="J1745" s="6" t="str">
        <f>"AZUL 1855"</f>
        <v>AZUL 1855</v>
      </c>
      <c r="K1745" s="6" t="str">
        <f>"2020"</f>
        <v>2020</v>
      </c>
      <c r="L1745" s="6" t="str">
        <f>"Lençóis"</f>
        <v>Lençóis</v>
      </c>
      <c r="M1745" s="6" t="str">
        <f>"100x150"</f>
        <v>100x150</v>
      </c>
      <c r="N1745" s="6" t="str">
        <f>"5602972281064"</f>
        <v>5602972281064</v>
      </c>
      <c r="O1745" s="8">
        <v>3</v>
      </c>
      <c r="R1745" s="8">
        <v>0</v>
      </c>
      <c r="U1745" s="8">
        <v>0</v>
      </c>
      <c r="X1745" s="8">
        <v>0</v>
      </c>
      <c r="Z1745" s="8">
        <v>0</v>
      </c>
      <c r="AC1745" s="8">
        <v>0</v>
      </c>
      <c r="AF1745" s="8">
        <v>0</v>
      </c>
      <c r="AN1745" s="8">
        <v>0</v>
      </c>
      <c r="AO1745" s="8">
        <v>3</v>
      </c>
    </row>
    <row r="1746" spans="1:41" x14ac:dyDescent="0.25">
      <c r="A1746" s="6" t="str">
        <f>"522-2026000075"</f>
        <v>522-2026000075</v>
      </c>
      <c r="B1746" s="6" t="str">
        <f t="shared" si="449"/>
        <v>EL CORTE</v>
      </c>
      <c r="C1746" s="7">
        <v>46030</v>
      </c>
      <c r="D1746" s="7">
        <v>46035</v>
      </c>
      <c r="E1746" s="8">
        <v>3</v>
      </c>
      <c r="F1746" s="6" t="str">
        <f>"94766301_07026"</f>
        <v>94766301_07026</v>
      </c>
      <c r="G1746" s="6" t="str">
        <f t="shared" si="450"/>
        <v>F310631650000000</v>
      </c>
      <c r="H1746" s="6" t="str">
        <f t="shared" si="451"/>
        <v>PLAR 6316 FD - 500 g</v>
      </c>
      <c r="I1746" s="6" t="str">
        <f>"202575"</f>
        <v>202575</v>
      </c>
      <c r="J1746" s="6" t="str">
        <f>"BEGE 2575"</f>
        <v>BEGE 2575</v>
      </c>
      <c r="K1746" s="6" t="str">
        <f>"1024"</f>
        <v>1024</v>
      </c>
      <c r="L1746" s="6" t="str">
        <f>"Toalhas"</f>
        <v>Toalhas</v>
      </c>
      <c r="M1746" s="6" t="str">
        <f>"50x100"</f>
        <v>50x100</v>
      </c>
      <c r="N1746" s="6" t="str">
        <f>"5602972281088"</f>
        <v>5602972281088</v>
      </c>
      <c r="O1746" s="8">
        <v>6</v>
      </c>
      <c r="R1746" s="8">
        <v>0</v>
      </c>
      <c r="U1746" s="8">
        <v>0</v>
      </c>
      <c r="X1746" s="8">
        <v>0</v>
      </c>
      <c r="Z1746" s="8">
        <v>0</v>
      </c>
      <c r="AC1746" s="8">
        <v>0</v>
      </c>
      <c r="AF1746" s="8">
        <v>0</v>
      </c>
      <c r="AN1746" s="8">
        <v>6</v>
      </c>
      <c r="AO1746" s="8">
        <v>0</v>
      </c>
    </row>
    <row r="1747" spans="1:41" x14ac:dyDescent="0.25">
      <c r="A1747" s="6" t="str">
        <f>"522-2026000075"</f>
        <v>522-2026000075</v>
      </c>
      <c r="B1747" s="6" t="str">
        <f t="shared" si="449"/>
        <v>EL CORTE</v>
      </c>
      <c r="C1747" s="7">
        <v>46030</v>
      </c>
      <c r="D1747" s="7">
        <v>46035</v>
      </c>
      <c r="E1747" s="8">
        <v>4</v>
      </c>
      <c r="F1747" s="6" t="str">
        <f>"94766301_07026"</f>
        <v>94766301_07026</v>
      </c>
      <c r="G1747" s="6" t="str">
        <f t="shared" si="450"/>
        <v>F310631650000000</v>
      </c>
      <c r="H1747" s="6" t="str">
        <f t="shared" si="451"/>
        <v>PLAR 6316 FD - 500 g</v>
      </c>
      <c r="I1747" s="6" t="str">
        <f>"200901"</f>
        <v>200901</v>
      </c>
      <c r="J1747" s="6" t="str">
        <f>"ROSA 901"</f>
        <v>ROSA 901</v>
      </c>
      <c r="K1747" s="6" t="str">
        <f>"1024"</f>
        <v>1024</v>
      </c>
      <c r="L1747" s="6" t="str">
        <f>"Toalhas"</f>
        <v>Toalhas</v>
      </c>
      <c r="M1747" s="6" t="str">
        <f>"50x100"</f>
        <v>50x100</v>
      </c>
      <c r="N1747" s="6" t="str">
        <f>"5602972281118"</f>
        <v>5602972281118</v>
      </c>
      <c r="O1747" s="8">
        <v>6</v>
      </c>
      <c r="R1747" s="8">
        <v>0</v>
      </c>
      <c r="U1747" s="8">
        <v>0</v>
      </c>
      <c r="X1747" s="8">
        <v>0</v>
      </c>
      <c r="Z1747" s="8">
        <v>0</v>
      </c>
      <c r="AC1747" s="8">
        <v>0</v>
      </c>
      <c r="AF1747" s="8">
        <v>0</v>
      </c>
      <c r="AN1747" s="8">
        <v>6</v>
      </c>
      <c r="AO1747" s="8">
        <v>0</v>
      </c>
    </row>
    <row r="1748" spans="1:41" x14ac:dyDescent="0.25">
      <c r="A1748" s="6" t="str">
        <f>"522-2026000075"</f>
        <v>522-2026000075</v>
      </c>
      <c r="B1748" s="6" t="str">
        <f t="shared" si="449"/>
        <v>EL CORTE</v>
      </c>
      <c r="C1748" s="7">
        <v>46030</v>
      </c>
      <c r="D1748" s="7">
        <v>46035</v>
      </c>
      <c r="E1748" s="8">
        <v>5</v>
      </c>
      <c r="F1748" s="6" t="str">
        <f>"94766301_07026"</f>
        <v>94766301_07026</v>
      </c>
      <c r="G1748" s="6" t="str">
        <f t="shared" si="450"/>
        <v>F310631650000000</v>
      </c>
      <c r="H1748" s="6" t="str">
        <f t="shared" si="451"/>
        <v>PLAR 6316 FD - 500 g</v>
      </c>
      <c r="I1748" s="6" t="str">
        <f>"200510"</f>
        <v>200510</v>
      </c>
      <c r="J1748" s="6" t="str">
        <f>"VERDE 510"</f>
        <v>VERDE 510</v>
      </c>
      <c r="K1748" s="6" t="str">
        <f>"1024"</f>
        <v>1024</v>
      </c>
      <c r="L1748" s="6" t="str">
        <f>"Toalhas"</f>
        <v>Toalhas</v>
      </c>
      <c r="M1748" s="6" t="str">
        <f>"50x100"</f>
        <v>50x100</v>
      </c>
      <c r="N1748" s="6" t="str">
        <f>"5602972281149"</f>
        <v>5602972281149</v>
      </c>
      <c r="O1748" s="8">
        <v>6</v>
      </c>
      <c r="R1748" s="8">
        <v>0</v>
      </c>
      <c r="U1748" s="8">
        <v>0</v>
      </c>
      <c r="X1748" s="8">
        <v>0</v>
      </c>
      <c r="Z1748" s="8">
        <v>0</v>
      </c>
      <c r="AC1748" s="8">
        <v>0</v>
      </c>
      <c r="AF1748" s="8">
        <v>0</v>
      </c>
      <c r="AN1748" s="8">
        <v>6</v>
      </c>
      <c r="AO1748" s="8">
        <v>0</v>
      </c>
    </row>
    <row r="1749" spans="1:41" x14ac:dyDescent="0.25">
      <c r="A1749" s="6" t="str">
        <f t="shared" ref="A1749:A1758" si="452">"522-2026000076"</f>
        <v>522-2026000076</v>
      </c>
      <c r="B1749" s="6" t="str">
        <f t="shared" si="449"/>
        <v>EL CORTE</v>
      </c>
      <c r="C1749" s="7">
        <v>46030</v>
      </c>
      <c r="D1749" s="7">
        <v>46035</v>
      </c>
      <c r="E1749" s="8">
        <v>1</v>
      </c>
      <c r="F1749" s="6" t="str">
        <f t="shared" ref="F1749:F1758" si="453">"94763701_07026"</f>
        <v>94763701_07026</v>
      </c>
      <c r="G1749" s="6" t="str">
        <f t="shared" si="450"/>
        <v>F310631650000000</v>
      </c>
      <c r="H1749" s="6" t="str">
        <f t="shared" si="451"/>
        <v>PLAR 6316 FD - 500 g</v>
      </c>
      <c r="I1749" s="6" t="str">
        <f>"201855"</f>
        <v>201855</v>
      </c>
      <c r="J1749" s="6" t="str">
        <f>"AZUL 1855"</f>
        <v>AZUL 1855</v>
      </c>
      <c r="K1749" s="6" t="str">
        <f>"0520"</f>
        <v>0520</v>
      </c>
      <c r="L1749" s="6" t="str">
        <f>"Toalhetes"</f>
        <v>Toalhetes</v>
      </c>
      <c r="M1749" s="6" t="str">
        <f>"30x50"</f>
        <v>30x50</v>
      </c>
      <c r="N1749" s="6" t="str">
        <f>"5602972281040"</f>
        <v>5602972281040</v>
      </c>
      <c r="O1749" s="8">
        <v>6</v>
      </c>
      <c r="R1749" s="8">
        <v>0</v>
      </c>
      <c r="U1749" s="8">
        <v>0</v>
      </c>
      <c r="X1749" s="8">
        <v>0</v>
      </c>
      <c r="Z1749" s="8">
        <v>0</v>
      </c>
      <c r="AC1749" s="8">
        <v>0</v>
      </c>
      <c r="AF1749" s="8">
        <v>0</v>
      </c>
      <c r="AN1749" s="8">
        <v>6</v>
      </c>
      <c r="AO1749" s="8">
        <v>0</v>
      </c>
    </row>
    <row r="1750" spans="1:41" x14ac:dyDescent="0.25">
      <c r="A1750" s="6" t="str">
        <f t="shared" si="452"/>
        <v>522-2026000076</v>
      </c>
      <c r="B1750" s="6" t="str">
        <f t="shared" si="449"/>
        <v>EL CORTE</v>
      </c>
      <c r="C1750" s="7">
        <v>46030</v>
      </c>
      <c r="D1750" s="7">
        <v>46035</v>
      </c>
      <c r="E1750" s="8">
        <v>2</v>
      </c>
      <c r="F1750" s="6" t="str">
        <f t="shared" si="453"/>
        <v>94763701_07026</v>
      </c>
      <c r="G1750" s="6" t="str">
        <f t="shared" si="450"/>
        <v>F310631650000000</v>
      </c>
      <c r="H1750" s="6" t="str">
        <f t="shared" si="451"/>
        <v>PLAR 6316 FD - 500 g</v>
      </c>
      <c r="I1750" s="6" t="str">
        <f>"201855"</f>
        <v>201855</v>
      </c>
      <c r="J1750" s="6" t="str">
        <f>"AZUL 1855"</f>
        <v>AZUL 1855</v>
      </c>
      <c r="K1750" s="6" t="str">
        <f>"1024"</f>
        <v>1024</v>
      </c>
      <c r="L1750" s="6" t="str">
        <f>"Toalhas"</f>
        <v>Toalhas</v>
      </c>
      <c r="M1750" s="6" t="str">
        <f>"50x100"</f>
        <v>50x100</v>
      </c>
      <c r="N1750" s="6" t="str">
        <f>"5602972281057"</f>
        <v>5602972281057</v>
      </c>
      <c r="O1750" s="8">
        <v>6</v>
      </c>
      <c r="R1750" s="8">
        <v>0</v>
      </c>
      <c r="U1750" s="8">
        <v>0</v>
      </c>
      <c r="X1750" s="8">
        <v>0</v>
      </c>
      <c r="Z1750" s="8">
        <v>0</v>
      </c>
      <c r="AC1750" s="8">
        <v>0</v>
      </c>
      <c r="AF1750" s="8">
        <v>0</v>
      </c>
      <c r="AN1750" s="8">
        <v>6</v>
      </c>
      <c r="AO1750" s="8">
        <v>0</v>
      </c>
    </row>
    <row r="1751" spans="1:41" x14ac:dyDescent="0.25">
      <c r="A1751" s="6" t="str">
        <f t="shared" si="452"/>
        <v>522-2026000076</v>
      </c>
      <c r="B1751" s="6" t="str">
        <f t="shared" si="449"/>
        <v>EL CORTE</v>
      </c>
      <c r="C1751" s="7">
        <v>46030</v>
      </c>
      <c r="D1751" s="7">
        <v>46035</v>
      </c>
      <c r="E1751" s="8">
        <v>3</v>
      </c>
      <c r="F1751" s="6" t="str">
        <f t="shared" si="453"/>
        <v>94763701_07026</v>
      </c>
      <c r="G1751" s="6" t="str">
        <f t="shared" si="450"/>
        <v>F310631650000000</v>
      </c>
      <c r="H1751" s="6" t="str">
        <f t="shared" si="451"/>
        <v>PLAR 6316 FD - 500 g</v>
      </c>
      <c r="I1751" s="6" t="str">
        <f>"201855"</f>
        <v>201855</v>
      </c>
      <c r="J1751" s="6" t="str">
        <f>"AZUL 1855"</f>
        <v>AZUL 1855</v>
      </c>
      <c r="K1751" s="6" t="str">
        <f>"2020"</f>
        <v>2020</v>
      </c>
      <c r="L1751" s="6" t="str">
        <f>"Lençóis"</f>
        <v>Lençóis</v>
      </c>
      <c r="M1751" s="6" t="str">
        <f>"100x150"</f>
        <v>100x150</v>
      </c>
      <c r="N1751" s="6" t="str">
        <f>"5602972281064"</f>
        <v>5602972281064</v>
      </c>
      <c r="O1751" s="8">
        <v>15</v>
      </c>
      <c r="R1751" s="8">
        <v>0</v>
      </c>
      <c r="U1751" s="8">
        <v>0</v>
      </c>
      <c r="X1751" s="8">
        <v>0</v>
      </c>
      <c r="Z1751" s="8">
        <v>0</v>
      </c>
      <c r="AC1751" s="8">
        <v>0</v>
      </c>
      <c r="AF1751" s="8">
        <v>0</v>
      </c>
      <c r="AN1751" s="8">
        <v>0</v>
      </c>
      <c r="AO1751" s="8">
        <v>15</v>
      </c>
    </row>
    <row r="1752" spans="1:41" x14ac:dyDescent="0.25">
      <c r="A1752" s="6" t="str">
        <f t="shared" si="452"/>
        <v>522-2026000076</v>
      </c>
      <c r="B1752" s="6" t="str">
        <f t="shared" si="449"/>
        <v>EL CORTE</v>
      </c>
      <c r="C1752" s="7">
        <v>46030</v>
      </c>
      <c r="D1752" s="7">
        <v>46035</v>
      </c>
      <c r="E1752" s="8">
        <v>4</v>
      </c>
      <c r="F1752" s="6" t="str">
        <f t="shared" si="453"/>
        <v>94763701_07026</v>
      </c>
      <c r="G1752" s="6" t="str">
        <f t="shared" si="450"/>
        <v>F310631650000000</v>
      </c>
      <c r="H1752" s="6" t="str">
        <f t="shared" si="451"/>
        <v>PLAR 6316 FD - 500 g</v>
      </c>
      <c r="I1752" s="6" t="str">
        <f>"202575"</f>
        <v>202575</v>
      </c>
      <c r="J1752" s="6" t="str">
        <f>"BEGE 2575"</f>
        <v>BEGE 2575</v>
      </c>
      <c r="K1752" s="6" t="str">
        <f>"0520"</f>
        <v>0520</v>
      </c>
      <c r="L1752" s="6" t="str">
        <f>"Toalhetes"</f>
        <v>Toalhetes</v>
      </c>
      <c r="M1752" s="6" t="str">
        <f>"30x50"</f>
        <v>30x50</v>
      </c>
      <c r="N1752" s="6" t="str">
        <f>"5602972281071"</f>
        <v>5602972281071</v>
      </c>
      <c r="O1752" s="8">
        <v>6</v>
      </c>
      <c r="R1752" s="8">
        <v>0</v>
      </c>
      <c r="U1752" s="8">
        <v>0</v>
      </c>
      <c r="X1752" s="8">
        <v>0</v>
      </c>
      <c r="Z1752" s="8">
        <v>0</v>
      </c>
      <c r="AC1752" s="8">
        <v>0</v>
      </c>
      <c r="AF1752" s="8">
        <v>0</v>
      </c>
      <c r="AN1752" s="8">
        <v>6</v>
      </c>
      <c r="AO1752" s="8">
        <v>0</v>
      </c>
    </row>
    <row r="1753" spans="1:41" x14ac:dyDescent="0.25">
      <c r="A1753" s="6" t="str">
        <f t="shared" si="452"/>
        <v>522-2026000076</v>
      </c>
      <c r="B1753" s="6" t="str">
        <f t="shared" si="449"/>
        <v>EL CORTE</v>
      </c>
      <c r="C1753" s="7">
        <v>46030</v>
      </c>
      <c r="D1753" s="7">
        <v>46035</v>
      </c>
      <c r="E1753" s="8">
        <v>5</v>
      </c>
      <c r="F1753" s="6" t="str">
        <f t="shared" si="453"/>
        <v>94763701_07026</v>
      </c>
      <c r="G1753" s="6" t="str">
        <f t="shared" si="450"/>
        <v>F310631650000000</v>
      </c>
      <c r="H1753" s="6" t="str">
        <f t="shared" si="451"/>
        <v>PLAR 6316 FD - 500 g</v>
      </c>
      <c r="I1753" s="6" t="str">
        <f>"202575"</f>
        <v>202575</v>
      </c>
      <c r="J1753" s="6" t="str">
        <f>"BEGE 2575"</f>
        <v>BEGE 2575</v>
      </c>
      <c r="K1753" s="6" t="str">
        <f>"1024"</f>
        <v>1024</v>
      </c>
      <c r="L1753" s="6" t="str">
        <f>"Toalhas"</f>
        <v>Toalhas</v>
      </c>
      <c r="M1753" s="6" t="str">
        <f>"50x100"</f>
        <v>50x100</v>
      </c>
      <c r="N1753" s="6" t="str">
        <f>"5602972281088"</f>
        <v>5602972281088</v>
      </c>
      <c r="O1753" s="8">
        <v>6</v>
      </c>
      <c r="R1753" s="8">
        <v>0</v>
      </c>
      <c r="U1753" s="8">
        <v>0</v>
      </c>
      <c r="X1753" s="8">
        <v>0</v>
      </c>
      <c r="Z1753" s="8">
        <v>0</v>
      </c>
      <c r="AC1753" s="8">
        <v>0</v>
      </c>
      <c r="AF1753" s="8">
        <v>0</v>
      </c>
      <c r="AN1753" s="8">
        <v>6</v>
      </c>
      <c r="AO1753" s="8">
        <v>0</v>
      </c>
    </row>
    <row r="1754" spans="1:41" x14ac:dyDescent="0.25">
      <c r="A1754" s="6" t="str">
        <f t="shared" si="452"/>
        <v>522-2026000076</v>
      </c>
      <c r="B1754" s="6" t="str">
        <f t="shared" si="449"/>
        <v>EL CORTE</v>
      </c>
      <c r="C1754" s="7">
        <v>46030</v>
      </c>
      <c r="D1754" s="7">
        <v>46035</v>
      </c>
      <c r="E1754" s="8">
        <v>6</v>
      </c>
      <c r="F1754" s="6" t="str">
        <f t="shared" si="453"/>
        <v>94763701_07026</v>
      </c>
      <c r="G1754" s="6" t="str">
        <f t="shared" si="450"/>
        <v>F310631650000000</v>
      </c>
      <c r="H1754" s="6" t="str">
        <f t="shared" si="451"/>
        <v>PLAR 6316 FD - 500 g</v>
      </c>
      <c r="I1754" s="6" t="str">
        <f>"202575"</f>
        <v>202575</v>
      </c>
      <c r="J1754" s="6" t="str">
        <f>"BEGE 2575"</f>
        <v>BEGE 2575</v>
      </c>
      <c r="K1754" s="6" t="str">
        <f>"2020"</f>
        <v>2020</v>
      </c>
      <c r="L1754" s="6" t="str">
        <f>"Lençóis"</f>
        <v>Lençóis</v>
      </c>
      <c r="M1754" s="6" t="str">
        <f>"100x150"</f>
        <v>100x150</v>
      </c>
      <c r="N1754" s="6" t="str">
        <f>"5602972281095"</f>
        <v>5602972281095</v>
      </c>
      <c r="O1754" s="8">
        <v>9</v>
      </c>
      <c r="R1754" s="8">
        <v>0</v>
      </c>
      <c r="U1754" s="8">
        <v>0</v>
      </c>
      <c r="X1754" s="8">
        <v>0</v>
      </c>
      <c r="Z1754" s="8">
        <v>0</v>
      </c>
      <c r="AC1754" s="8">
        <v>0</v>
      </c>
      <c r="AF1754" s="8">
        <v>0</v>
      </c>
      <c r="AN1754" s="8">
        <v>0</v>
      </c>
      <c r="AO1754" s="8">
        <v>9</v>
      </c>
    </row>
    <row r="1755" spans="1:41" x14ac:dyDescent="0.25">
      <c r="A1755" s="6" t="str">
        <f t="shared" si="452"/>
        <v>522-2026000076</v>
      </c>
      <c r="B1755" s="6" t="str">
        <f t="shared" si="449"/>
        <v>EL CORTE</v>
      </c>
      <c r="C1755" s="7">
        <v>46030</v>
      </c>
      <c r="D1755" s="7">
        <v>46035</v>
      </c>
      <c r="E1755" s="8">
        <v>7</v>
      </c>
      <c r="F1755" s="6" t="str">
        <f t="shared" si="453"/>
        <v>94763701_07026</v>
      </c>
      <c r="G1755" s="6" t="str">
        <f t="shared" si="450"/>
        <v>F310631650000000</v>
      </c>
      <c r="H1755" s="6" t="str">
        <f t="shared" si="451"/>
        <v>PLAR 6316 FD - 500 g</v>
      </c>
      <c r="I1755" s="6" t="str">
        <f>"200901"</f>
        <v>200901</v>
      </c>
      <c r="J1755" s="6" t="str">
        <f>"ROSA 901"</f>
        <v>ROSA 901</v>
      </c>
      <c r="K1755" s="6" t="str">
        <f>"1024"</f>
        <v>1024</v>
      </c>
      <c r="L1755" s="6" t="str">
        <f>"Toalhas"</f>
        <v>Toalhas</v>
      </c>
      <c r="M1755" s="6" t="str">
        <f>"50x100"</f>
        <v>50x100</v>
      </c>
      <c r="N1755" s="6" t="str">
        <f>"5602972281118"</f>
        <v>5602972281118</v>
      </c>
      <c r="O1755" s="8">
        <v>6</v>
      </c>
      <c r="R1755" s="8">
        <v>0</v>
      </c>
      <c r="U1755" s="8">
        <v>0</v>
      </c>
      <c r="X1755" s="8">
        <v>0</v>
      </c>
      <c r="Z1755" s="8">
        <v>0</v>
      </c>
      <c r="AC1755" s="8">
        <v>0</v>
      </c>
      <c r="AF1755" s="8">
        <v>0</v>
      </c>
      <c r="AN1755" s="8">
        <v>6</v>
      </c>
      <c r="AO1755" s="8">
        <v>0</v>
      </c>
    </row>
    <row r="1756" spans="1:41" x14ac:dyDescent="0.25">
      <c r="A1756" s="6" t="str">
        <f t="shared" si="452"/>
        <v>522-2026000076</v>
      </c>
      <c r="B1756" s="6" t="str">
        <f t="shared" si="449"/>
        <v>EL CORTE</v>
      </c>
      <c r="C1756" s="7">
        <v>46030</v>
      </c>
      <c r="D1756" s="7">
        <v>46035</v>
      </c>
      <c r="E1756" s="8">
        <v>8</v>
      </c>
      <c r="F1756" s="6" t="str">
        <f t="shared" si="453"/>
        <v>94763701_07026</v>
      </c>
      <c r="G1756" s="6" t="str">
        <f t="shared" si="450"/>
        <v>F310631650000000</v>
      </c>
      <c r="H1756" s="6" t="str">
        <f t="shared" si="451"/>
        <v>PLAR 6316 FD - 500 g</v>
      </c>
      <c r="I1756" s="6" t="str">
        <f>"200901"</f>
        <v>200901</v>
      </c>
      <c r="J1756" s="6" t="str">
        <f>"ROSA 901"</f>
        <v>ROSA 901</v>
      </c>
      <c r="K1756" s="6" t="str">
        <f>"2020"</f>
        <v>2020</v>
      </c>
      <c r="L1756" s="6" t="str">
        <f>"Lençóis"</f>
        <v>Lençóis</v>
      </c>
      <c r="M1756" s="6" t="str">
        <f>"100x150"</f>
        <v>100x150</v>
      </c>
      <c r="N1756" s="6" t="str">
        <f>"5602972281125"</f>
        <v>5602972281125</v>
      </c>
      <c r="O1756" s="8">
        <v>9</v>
      </c>
      <c r="R1756" s="8">
        <v>0</v>
      </c>
      <c r="U1756" s="8">
        <v>0</v>
      </c>
      <c r="X1756" s="8">
        <v>0</v>
      </c>
      <c r="Z1756" s="8">
        <v>0</v>
      </c>
      <c r="AC1756" s="8">
        <v>0</v>
      </c>
      <c r="AF1756" s="8">
        <v>0</v>
      </c>
      <c r="AN1756" s="8">
        <v>0</v>
      </c>
      <c r="AO1756" s="8">
        <v>9</v>
      </c>
    </row>
    <row r="1757" spans="1:41" x14ac:dyDescent="0.25">
      <c r="A1757" s="6" t="str">
        <f t="shared" si="452"/>
        <v>522-2026000076</v>
      </c>
      <c r="B1757" s="6" t="str">
        <f t="shared" si="449"/>
        <v>EL CORTE</v>
      </c>
      <c r="C1757" s="7">
        <v>46030</v>
      </c>
      <c r="D1757" s="7">
        <v>46035</v>
      </c>
      <c r="E1757" s="8">
        <v>9</v>
      </c>
      <c r="F1757" s="6" t="str">
        <f t="shared" si="453"/>
        <v>94763701_07026</v>
      </c>
      <c r="G1757" s="6" t="str">
        <f t="shared" si="450"/>
        <v>F310631650000000</v>
      </c>
      <c r="H1757" s="6" t="str">
        <f t="shared" si="451"/>
        <v>PLAR 6316 FD - 500 g</v>
      </c>
      <c r="I1757" s="6" t="str">
        <f>"200510"</f>
        <v>200510</v>
      </c>
      <c r="J1757" s="6" t="str">
        <f>"VERDE 510"</f>
        <v>VERDE 510</v>
      </c>
      <c r="K1757" s="6" t="str">
        <f>"1024"</f>
        <v>1024</v>
      </c>
      <c r="L1757" s="6" t="str">
        <f>"Toalhas"</f>
        <v>Toalhas</v>
      </c>
      <c r="M1757" s="6" t="str">
        <f>"50x100"</f>
        <v>50x100</v>
      </c>
      <c r="N1757" s="6" t="str">
        <f>"5602972281149"</f>
        <v>5602972281149</v>
      </c>
      <c r="O1757" s="8">
        <v>6</v>
      </c>
      <c r="R1757" s="8">
        <v>0</v>
      </c>
      <c r="U1757" s="8">
        <v>0</v>
      </c>
      <c r="X1757" s="8">
        <v>0</v>
      </c>
      <c r="Z1757" s="8">
        <v>0</v>
      </c>
      <c r="AC1757" s="8">
        <v>0</v>
      </c>
      <c r="AF1757" s="8">
        <v>0</v>
      </c>
      <c r="AN1757" s="8">
        <v>6</v>
      </c>
      <c r="AO1757" s="8">
        <v>0</v>
      </c>
    </row>
    <row r="1758" spans="1:41" x14ac:dyDescent="0.25">
      <c r="A1758" s="6" t="str">
        <f t="shared" si="452"/>
        <v>522-2026000076</v>
      </c>
      <c r="B1758" s="6" t="str">
        <f t="shared" si="449"/>
        <v>EL CORTE</v>
      </c>
      <c r="C1758" s="7">
        <v>46030</v>
      </c>
      <c r="D1758" s="7">
        <v>46035</v>
      </c>
      <c r="E1758" s="8">
        <v>10</v>
      </c>
      <c r="F1758" s="6" t="str">
        <f t="shared" si="453"/>
        <v>94763701_07026</v>
      </c>
      <c r="G1758" s="6" t="str">
        <f t="shared" si="450"/>
        <v>F310631650000000</v>
      </c>
      <c r="H1758" s="6" t="str">
        <f t="shared" si="451"/>
        <v>PLAR 6316 FD - 500 g</v>
      </c>
      <c r="I1758" s="6" t="str">
        <f>"200510"</f>
        <v>200510</v>
      </c>
      <c r="J1758" s="6" t="str">
        <f>"VERDE 510"</f>
        <v>VERDE 510</v>
      </c>
      <c r="K1758" s="6" t="str">
        <f>"2020"</f>
        <v>2020</v>
      </c>
      <c r="L1758" s="6" t="str">
        <f>"Lençóis"</f>
        <v>Lençóis</v>
      </c>
      <c r="M1758" s="6" t="str">
        <f>"100x150"</f>
        <v>100x150</v>
      </c>
      <c r="N1758" s="6" t="str">
        <f>"5602972281156"</f>
        <v>5602972281156</v>
      </c>
      <c r="O1758" s="8">
        <v>9</v>
      </c>
      <c r="R1758" s="8">
        <v>0</v>
      </c>
      <c r="U1758" s="8">
        <v>0</v>
      </c>
      <c r="X1758" s="8">
        <v>0</v>
      </c>
      <c r="Z1758" s="8">
        <v>0</v>
      </c>
      <c r="AC1758" s="8">
        <v>0</v>
      </c>
      <c r="AF1758" s="8">
        <v>0</v>
      </c>
      <c r="AN1758" s="8">
        <v>0</v>
      </c>
      <c r="AO1758" s="8">
        <v>9</v>
      </c>
    </row>
    <row r="1759" spans="1:41" x14ac:dyDescent="0.25">
      <c r="A1759" s="6" t="str">
        <f>"522-2026000077"</f>
        <v>522-2026000077</v>
      </c>
      <c r="B1759" s="6" t="str">
        <f t="shared" si="449"/>
        <v>EL CORTE</v>
      </c>
      <c r="C1759" s="7">
        <v>46030</v>
      </c>
      <c r="D1759" s="7">
        <v>46035</v>
      </c>
      <c r="E1759" s="8">
        <v>1</v>
      </c>
      <c r="F1759" s="6" t="str">
        <f>"94764401_07026"</f>
        <v>94764401_07026</v>
      </c>
      <c r="G1759" s="6" t="str">
        <f t="shared" si="450"/>
        <v>F310631650000000</v>
      </c>
      <c r="H1759" s="6" t="str">
        <f t="shared" si="451"/>
        <v>PLAR 6316 FD - 500 g</v>
      </c>
      <c r="I1759" s="6" t="str">
        <f>"202575"</f>
        <v>202575</v>
      </c>
      <c r="J1759" s="6" t="str">
        <f>"BEGE 2575"</f>
        <v>BEGE 2575</v>
      </c>
      <c r="K1759" s="6" t="str">
        <f>"1024"</f>
        <v>1024</v>
      </c>
      <c r="L1759" s="6" t="str">
        <f>"Toalhas"</f>
        <v>Toalhas</v>
      </c>
      <c r="M1759" s="6" t="str">
        <f>"50x100"</f>
        <v>50x100</v>
      </c>
      <c r="N1759" s="6" t="str">
        <f>"5602972281088"</f>
        <v>5602972281088</v>
      </c>
      <c r="O1759" s="8">
        <v>6</v>
      </c>
      <c r="R1759" s="8">
        <v>0</v>
      </c>
      <c r="U1759" s="8">
        <v>0</v>
      </c>
      <c r="X1759" s="8">
        <v>0</v>
      </c>
      <c r="Z1759" s="8">
        <v>0</v>
      </c>
      <c r="AC1759" s="8">
        <v>0</v>
      </c>
      <c r="AF1759" s="8">
        <v>0</v>
      </c>
      <c r="AN1759" s="8">
        <v>6</v>
      </c>
      <c r="AO1759" s="8">
        <v>0</v>
      </c>
    </row>
    <row r="1760" spans="1:41" x14ac:dyDescent="0.25">
      <c r="A1760" s="6" t="str">
        <f t="shared" ref="A1760:A1769" si="454">"522-2026000078"</f>
        <v>522-2026000078</v>
      </c>
      <c r="B1760" s="6" t="str">
        <f t="shared" si="449"/>
        <v>EL CORTE</v>
      </c>
      <c r="C1760" s="7">
        <v>46030</v>
      </c>
      <c r="D1760" s="7">
        <v>46035</v>
      </c>
      <c r="E1760" s="8">
        <v>1</v>
      </c>
      <c r="F1760" s="6" t="str">
        <f t="shared" ref="F1760:F1769" si="455">"94762301_07026"</f>
        <v>94762301_07026</v>
      </c>
      <c r="G1760" s="6" t="str">
        <f t="shared" si="450"/>
        <v>F310631650000000</v>
      </c>
      <c r="H1760" s="6" t="str">
        <f t="shared" si="451"/>
        <v>PLAR 6316 FD - 500 g</v>
      </c>
      <c r="I1760" s="6" t="str">
        <f>"201855"</f>
        <v>201855</v>
      </c>
      <c r="J1760" s="6" t="str">
        <f>"AZUL 1855"</f>
        <v>AZUL 1855</v>
      </c>
      <c r="K1760" s="6" t="str">
        <f>"0520"</f>
        <v>0520</v>
      </c>
      <c r="L1760" s="6" t="str">
        <f>"Toalhetes"</f>
        <v>Toalhetes</v>
      </c>
      <c r="M1760" s="6" t="str">
        <f>"30x50"</f>
        <v>30x50</v>
      </c>
      <c r="N1760" s="6" t="str">
        <f>"5602972281040"</f>
        <v>5602972281040</v>
      </c>
      <c r="O1760" s="8">
        <v>6</v>
      </c>
      <c r="R1760" s="8">
        <v>0</v>
      </c>
      <c r="U1760" s="8">
        <v>0</v>
      </c>
      <c r="X1760" s="8">
        <v>0</v>
      </c>
      <c r="Z1760" s="8">
        <v>0</v>
      </c>
      <c r="AC1760" s="8">
        <v>0</v>
      </c>
      <c r="AF1760" s="8">
        <v>0</v>
      </c>
      <c r="AN1760" s="8">
        <v>6</v>
      </c>
      <c r="AO1760" s="8">
        <v>0</v>
      </c>
    </row>
    <row r="1761" spans="1:41" x14ac:dyDescent="0.25">
      <c r="A1761" s="6" t="str">
        <f t="shared" si="454"/>
        <v>522-2026000078</v>
      </c>
      <c r="B1761" s="6" t="str">
        <f t="shared" si="449"/>
        <v>EL CORTE</v>
      </c>
      <c r="C1761" s="7">
        <v>46030</v>
      </c>
      <c r="D1761" s="7">
        <v>46035</v>
      </c>
      <c r="E1761" s="8">
        <v>2</v>
      </c>
      <c r="F1761" s="6" t="str">
        <f t="shared" si="455"/>
        <v>94762301_07026</v>
      </c>
      <c r="G1761" s="6" t="str">
        <f t="shared" si="450"/>
        <v>F310631650000000</v>
      </c>
      <c r="H1761" s="6" t="str">
        <f t="shared" si="451"/>
        <v>PLAR 6316 FD - 500 g</v>
      </c>
      <c r="I1761" s="6" t="str">
        <f>"201855"</f>
        <v>201855</v>
      </c>
      <c r="J1761" s="6" t="str">
        <f>"AZUL 1855"</f>
        <v>AZUL 1855</v>
      </c>
      <c r="K1761" s="6" t="str">
        <f>"1024"</f>
        <v>1024</v>
      </c>
      <c r="L1761" s="6" t="str">
        <f>"Toalhas"</f>
        <v>Toalhas</v>
      </c>
      <c r="M1761" s="6" t="str">
        <f>"50x100"</f>
        <v>50x100</v>
      </c>
      <c r="N1761" s="6" t="str">
        <f>"5602972281057"</f>
        <v>5602972281057</v>
      </c>
      <c r="O1761" s="8">
        <v>6</v>
      </c>
      <c r="R1761" s="8">
        <v>0</v>
      </c>
      <c r="U1761" s="8">
        <v>0</v>
      </c>
      <c r="X1761" s="8">
        <v>0</v>
      </c>
      <c r="Z1761" s="8">
        <v>0</v>
      </c>
      <c r="AC1761" s="8">
        <v>0</v>
      </c>
      <c r="AF1761" s="8">
        <v>0</v>
      </c>
      <c r="AN1761" s="8">
        <v>6</v>
      </c>
      <c r="AO1761" s="8">
        <v>0</v>
      </c>
    </row>
    <row r="1762" spans="1:41" x14ac:dyDescent="0.25">
      <c r="A1762" s="6" t="str">
        <f t="shared" si="454"/>
        <v>522-2026000078</v>
      </c>
      <c r="B1762" s="6" t="str">
        <f t="shared" si="449"/>
        <v>EL CORTE</v>
      </c>
      <c r="C1762" s="7">
        <v>46030</v>
      </c>
      <c r="D1762" s="7">
        <v>46035</v>
      </c>
      <c r="E1762" s="8">
        <v>3</v>
      </c>
      <c r="F1762" s="6" t="str">
        <f t="shared" si="455"/>
        <v>94762301_07026</v>
      </c>
      <c r="G1762" s="6" t="str">
        <f t="shared" si="450"/>
        <v>F310631650000000</v>
      </c>
      <c r="H1762" s="6" t="str">
        <f t="shared" si="451"/>
        <v>PLAR 6316 FD - 500 g</v>
      </c>
      <c r="I1762" s="6" t="str">
        <f>"201855"</f>
        <v>201855</v>
      </c>
      <c r="J1762" s="6" t="str">
        <f>"AZUL 1855"</f>
        <v>AZUL 1855</v>
      </c>
      <c r="K1762" s="6" t="str">
        <f>"2020"</f>
        <v>2020</v>
      </c>
      <c r="L1762" s="6" t="str">
        <f>"Lençóis"</f>
        <v>Lençóis</v>
      </c>
      <c r="M1762" s="6" t="str">
        <f>"100x150"</f>
        <v>100x150</v>
      </c>
      <c r="N1762" s="6" t="str">
        <f>"5602972281064"</f>
        <v>5602972281064</v>
      </c>
      <c r="O1762" s="8">
        <v>3</v>
      </c>
      <c r="R1762" s="8">
        <v>0</v>
      </c>
      <c r="U1762" s="8">
        <v>0</v>
      </c>
      <c r="X1762" s="8">
        <v>0</v>
      </c>
      <c r="Z1762" s="8">
        <v>0</v>
      </c>
      <c r="AC1762" s="8">
        <v>0</v>
      </c>
      <c r="AF1762" s="8">
        <v>0</v>
      </c>
      <c r="AN1762" s="8">
        <v>0</v>
      </c>
      <c r="AO1762" s="8">
        <v>3</v>
      </c>
    </row>
    <row r="1763" spans="1:41" x14ac:dyDescent="0.25">
      <c r="A1763" s="6" t="str">
        <f t="shared" si="454"/>
        <v>522-2026000078</v>
      </c>
      <c r="B1763" s="6" t="str">
        <f t="shared" si="449"/>
        <v>EL CORTE</v>
      </c>
      <c r="C1763" s="7">
        <v>46030</v>
      </c>
      <c r="D1763" s="7">
        <v>46035</v>
      </c>
      <c r="E1763" s="8">
        <v>4</v>
      </c>
      <c r="F1763" s="6" t="str">
        <f t="shared" si="455"/>
        <v>94762301_07026</v>
      </c>
      <c r="G1763" s="6" t="str">
        <f t="shared" si="450"/>
        <v>F310631650000000</v>
      </c>
      <c r="H1763" s="6" t="str">
        <f t="shared" si="451"/>
        <v>PLAR 6316 FD - 500 g</v>
      </c>
      <c r="I1763" s="6" t="str">
        <f>"202575"</f>
        <v>202575</v>
      </c>
      <c r="J1763" s="6" t="str">
        <f>"BEGE 2575"</f>
        <v>BEGE 2575</v>
      </c>
      <c r="K1763" s="6" t="str">
        <f>"0520"</f>
        <v>0520</v>
      </c>
      <c r="L1763" s="6" t="str">
        <f>"Toalhetes"</f>
        <v>Toalhetes</v>
      </c>
      <c r="M1763" s="6" t="str">
        <f>"30x50"</f>
        <v>30x50</v>
      </c>
      <c r="N1763" s="6" t="str">
        <f>"5602972281071"</f>
        <v>5602972281071</v>
      </c>
      <c r="O1763" s="8">
        <v>6</v>
      </c>
      <c r="R1763" s="8">
        <v>0</v>
      </c>
      <c r="U1763" s="8">
        <v>0</v>
      </c>
      <c r="X1763" s="8">
        <v>0</v>
      </c>
      <c r="Z1763" s="8">
        <v>0</v>
      </c>
      <c r="AC1763" s="8">
        <v>0</v>
      </c>
      <c r="AF1763" s="8">
        <v>0</v>
      </c>
      <c r="AN1763" s="8">
        <v>6</v>
      </c>
      <c r="AO1763" s="8">
        <v>0</v>
      </c>
    </row>
    <row r="1764" spans="1:41" x14ac:dyDescent="0.25">
      <c r="A1764" s="6" t="str">
        <f t="shared" si="454"/>
        <v>522-2026000078</v>
      </c>
      <c r="B1764" s="6" t="str">
        <f t="shared" si="449"/>
        <v>EL CORTE</v>
      </c>
      <c r="C1764" s="7">
        <v>46030</v>
      </c>
      <c r="D1764" s="7">
        <v>46035</v>
      </c>
      <c r="E1764" s="8">
        <v>5</v>
      </c>
      <c r="F1764" s="6" t="str">
        <f t="shared" si="455"/>
        <v>94762301_07026</v>
      </c>
      <c r="G1764" s="6" t="str">
        <f t="shared" si="450"/>
        <v>F310631650000000</v>
      </c>
      <c r="H1764" s="6" t="str">
        <f t="shared" si="451"/>
        <v>PLAR 6316 FD - 500 g</v>
      </c>
      <c r="I1764" s="6" t="str">
        <f>"202575"</f>
        <v>202575</v>
      </c>
      <c r="J1764" s="6" t="str">
        <f>"BEGE 2575"</f>
        <v>BEGE 2575</v>
      </c>
      <c r="K1764" s="6" t="str">
        <f>"1024"</f>
        <v>1024</v>
      </c>
      <c r="L1764" s="6" t="str">
        <f>"Toalhas"</f>
        <v>Toalhas</v>
      </c>
      <c r="M1764" s="6" t="str">
        <f>"50x100"</f>
        <v>50x100</v>
      </c>
      <c r="N1764" s="6" t="str">
        <f>"5602972281088"</f>
        <v>5602972281088</v>
      </c>
      <c r="O1764" s="8">
        <v>6</v>
      </c>
      <c r="R1764" s="8">
        <v>0</v>
      </c>
      <c r="U1764" s="8">
        <v>0</v>
      </c>
      <c r="X1764" s="8">
        <v>0</v>
      </c>
      <c r="Z1764" s="8">
        <v>0</v>
      </c>
      <c r="AC1764" s="8">
        <v>0</v>
      </c>
      <c r="AF1764" s="8">
        <v>0</v>
      </c>
      <c r="AN1764" s="8">
        <v>6</v>
      </c>
      <c r="AO1764" s="8">
        <v>0</v>
      </c>
    </row>
    <row r="1765" spans="1:41" x14ac:dyDescent="0.25">
      <c r="A1765" s="6" t="str">
        <f t="shared" si="454"/>
        <v>522-2026000078</v>
      </c>
      <c r="B1765" s="6" t="str">
        <f t="shared" si="449"/>
        <v>EL CORTE</v>
      </c>
      <c r="C1765" s="7">
        <v>46030</v>
      </c>
      <c r="D1765" s="7">
        <v>46035</v>
      </c>
      <c r="E1765" s="8">
        <v>6</v>
      </c>
      <c r="F1765" s="6" t="str">
        <f t="shared" si="455"/>
        <v>94762301_07026</v>
      </c>
      <c r="G1765" s="6" t="str">
        <f t="shared" si="450"/>
        <v>F310631650000000</v>
      </c>
      <c r="H1765" s="6" t="str">
        <f t="shared" si="451"/>
        <v>PLAR 6316 FD - 500 g</v>
      </c>
      <c r="I1765" s="6" t="str">
        <f>"202575"</f>
        <v>202575</v>
      </c>
      <c r="J1765" s="6" t="str">
        <f>"BEGE 2575"</f>
        <v>BEGE 2575</v>
      </c>
      <c r="K1765" s="6" t="str">
        <f>"2020"</f>
        <v>2020</v>
      </c>
      <c r="L1765" s="6" t="str">
        <f>"Lençóis"</f>
        <v>Lençóis</v>
      </c>
      <c r="M1765" s="6" t="str">
        <f>"100x150"</f>
        <v>100x150</v>
      </c>
      <c r="N1765" s="6" t="str">
        <f>"5602972281095"</f>
        <v>5602972281095</v>
      </c>
      <c r="O1765" s="8">
        <v>3</v>
      </c>
      <c r="R1765" s="8">
        <v>0</v>
      </c>
      <c r="U1765" s="8">
        <v>0</v>
      </c>
      <c r="X1765" s="8">
        <v>0</v>
      </c>
      <c r="Z1765" s="8">
        <v>0</v>
      </c>
      <c r="AC1765" s="8">
        <v>0</v>
      </c>
      <c r="AF1765" s="8">
        <v>0</v>
      </c>
      <c r="AN1765" s="8">
        <v>0</v>
      </c>
      <c r="AO1765" s="8">
        <v>3</v>
      </c>
    </row>
    <row r="1766" spans="1:41" x14ac:dyDescent="0.25">
      <c r="A1766" s="6" t="str">
        <f t="shared" si="454"/>
        <v>522-2026000078</v>
      </c>
      <c r="B1766" s="6" t="str">
        <f t="shared" si="449"/>
        <v>EL CORTE</v>
      </c>
      <c r="C1766" s="7">
        <v>46030</v>
      </c>
      <c r="D1766" s="7">
        <v>46035</v>
      </c>
      <c r="E1766" s="8">
        <v>7</v>
      </c>
      <c r="F1766" s="6" t="str">
        <f t="shared" si="455"/>
        <v>94762301_07026</v>
      </c>
      <c r="G1766" s="6" t="str">
        <f t="shared" si="450"/>
        <v>F310631650000000</v>
      </c>
      <c r="H1766" s="6" t="str">
        <f t="shared" si="451"/>
        <v>PLAR 6316 FD - 500 g</v>
      </c>
      <c r="I1766" s="6" t="str">
        <f>"200901"</f>
        <v>200901</v>
      </c>
      <c r="J1766" s="6" t="str">
        <f>"ROSA 901"</f>
        <v>ROSA 901</v>
      </c>
      <c r="K1766" s="6" t="str">
        <f>"0520"</f>
        <v>0520</v>
      </c>
      <c r="L1766" s="6" t="str">
        <f>"Toalhetes"</f>
        <v>Toalhetes</v>
      </c>
      <c r="M1766" s="6" t="str">
        <f>"30x50"</f>
        <v>30x50</v>
      </c>
      <c r="N1766" s="6" t="str">
        <f>"5602972281101"</f>
        <v>5602972281101</v>
      </c>
      <c r="O1766" s="8">
        <v>6</v>
      </c>
      <c r="R1766" s="8">
        <v>0</v>
      </c>
      <c r="U1766" s="8">
        <v>0</v>
      </c>
      <c r="X1766" s="8">
        <v>0</v>
      </c>
      <c r="Z1766" s="8">
        <v>0</v>
      </c>
      <c r="AC1766" s="8">
        <v>0</v>
      </c>
      <c r="AF1766" s="8">
        <v>0</v>
      </c>
      <c r="AN1766" s="8">
        <v>6</v>
      </c>
      <c r="AO1766" s="8">
        <v>0</v>
      </c>
    </row>
    <row r="1767" spans="1:41" x14ac:dyDescent="0.25">
      <c r="A1767" s="6" t="str">
        <f t="shared" si="454"/>
        <v>522-2026000078</v>
      </c>
      <c r="B1767" s="6" t="str">
        <f t="shared" si="449"/>
        <v>EL CORTE</v>
      </c>
      <c r="C1767" s="7">
        <v>46030</v>
      </c>
      <c r="D1767" s="7">
        <v>46035</v>
      </c>
      <c r="E1767" s="8">
        <v>8</v>
      </c>
      <c r="F1767" s="6" t="str">
        <f t="shared" si="455"/>
        <v>94762301_07026</v>
      </c>
      <c r="G1767" s="6" t="str">
        <f t="shared" si="450"/>
        <v>F310631650000000</v>
      </c>
      <c r="H1767" s="6" t="str">
        <f t="shared" si="451"/>
        <v>PLAR 6316 FD - 500 g</v>
      </c>
      <c r="I1767" s="6" t="str">
        <f>"200901"</f>
        <v>200901</v>
      </c>
      <c r="J1767" s="6" t="str">
        <f>"ROSA 901"</f>
        <v>ROSA 901</v>
      </c>
      <c r="K1767" s="6" t="str">
        <f>"1024"</f>
        <v>1024</v>
      </c>
      <c r="L1767" s="6" t="str">
        <f>"Toalhas"</f>
        <v>Toalhas</v>
      </c>
      <c r="M1767" s="6" t="str">
        <f>"50x100"</f>
        <v>50x100</v>
      </c>
      <c r="N1767" s="6" t="str">
        <f>"5602972281118"</f>
        <v>5602972281118</v>
      </c>
      <c r="O1767" s="8">
        <v>6</v>
      </c>
      <c r="R1767" s="8">
        <v>0</v>
      </c>
      <c r="U1767" s="8">
        <v>0</v>
      </c>
      <c r="X1767" s="8">
        <v>0</v>
      </c>
      <c r="Z1767" s="8">
        <v>0</v>
      </c>
      <c r="AC1767" s="8">
        <v>0</v>
      </c>
      <c r="AF1767" s="8">
        <v>0</v>
      </c>
      <c r="AN1767" s="8">
        <v>6</v>
      </c>
      <c r="AO1767" s="8">
        <v>0</v>
      </c>
    </row>
    <row r="1768" spans="1:41" x14ac:dyDescent="0.25">
      <c r="A1768" s="6" t="str">
        <f t="shared" si="454"/>
        <v>522-2026000078</v>
      </c>
      <c r="B1768" s="6" t="str">
        <f t="shared" si="449"/>
        <v>EL CORTE</v>
      </c>
      <c r="C1768" s="7">
        <v>46030</v>
      </c>
      <c r="D1768" s="7">
        <v>46035</v>
      </c>
      <c r="E1768" s="8">
        <v>9</v>
      </c>
      <c r="F1768" s="6" t="str">
        <f t="shared" si="455"/>
        <v>94762301_07026</v>
      </c>
      <c r="G1768" s="6" t="str">
        <f t="shared" si="450"/>
        <v>F310631650000000</v>
      </c>
      <c r="H1768" s="6" t="str">
        <f t="shared" si="451"/>
        <v>PLAR 6316 FD - 500 g</v>
      </c>
      <c r="I1768" s="6" t="str">
        <f>"200901"</f>
        <v>200901</v>
      </c>
      <c r="J1768" s="6" t="str">
        <f>"ROSA 901"</f>
        <v>ROSA 901</v>
      </c>
      <c r="K1768" s="6" t="str">
        <f>"2020"</f>
        <v>2020</v>
      </c>
      <c r="L1768" s="6" t="str">
        <f>"Lençóis"</f>
        <v>Lençóis</v>
      </c>
      <c r="M1768" s="6" t="str">
        <f>"100x150"</f>
        <v>100x150</v>
      </c>
      <c r="N1768" s="6" t="str">
        <f>"5602972281125"</f>
        <v>5602972281125</v>
      </c>
      <c r="O1768" s="8">
        <v>3</v>
      </c>
      <c r="R1768" s="8">
        <v>0</v>
      </c>
      <c r="U1768" s="8">
        <v>0</v>
      </c>
      <c r="X1768" s="8">
        <v>0</v>
      </c>
      <c r="Z1768" s="8">
        <v>0</v>
      </c>
      <c r="AC1768" s="8">
        <v>0</v>
      </c>
      <c r="AF1768" s="8">
        <v>0</v>
      </c>
      <c r="AN1768" s="8">
        <v>0</v>
      </c>
      <c r="AO1768" s="8">
        <v>3</v>
      </c>
    </row>
    <row r="1769" spans="1:41" x14ac:dyDescent="0.25">
      <c r="A1769" s="6" t="str">
        <f t="shared" si="454"/>
        <v>522-2026000078</v>
      </c>
      <c r="B1769" s="6" t="str">
        <f t="shared" si="449"/>
        <v>EL CORTE</v>
      </c>
      <c r="C1769" s="7">
        <v>46030</v>
      </c>
      <c r="D1769" s="7">
        <v>46035</v>
      </c>
      <c r="E1769" s="8">
        <v>10</v>
      </c>
      <c r="F1769" s="6" t="str">
        <f t="shared" si="455"/>
        <v>94762301_07026</v>
      </c>
      <c r="G1769" s="6" t="str">
        <f t="shared" si="450"/>
        <v>F310631650000000</v>
      </c>
      <c r="H1769" s="6" t="str">
        <f t="shared" si="451"/>
        <v>PLAR 6316 FD - 500 g</v>
      </c>
      <c r="I1769" s="6" t="str">
        <f>"200510"</f>
        <v>200510</v>
      </c>
      <c r="J1769" s="6" t="str">
        <f>"VERDE 510"</f>
        <v>VERDE 510</v>
      </c>
      <c r="K1769" s="6" t="str">
        <f>"0520"</f>
        <v>0520</v>
      </c>
      <c r="L1769" s="6" t="str">
        <f>"Toalhetes"</f>
        <v>Toalhetes</v>
      </c>
      <c r="M1769" s="6" t="str">
        <f>"30x50"</f>
        <v>30x50</v>
      </c>
      <c r="N1769" s="6" t="str">
        <f>"5602972281132"</f>
        <v>5602972281132</v>
      </c>
      <c r="O1769" s="8">
        <v>6</v>
      </c>
      <c r="R1769" s="8">
        <v>0</v>
      </c>
      <c r="U1769" s="8">
        <v>0</v>
      </c>
      <c r="X1769" s="8">
        <v>0</v>
      </c>
      <c r="Z1769" s="8">
        <v>0</v>
      </c>
      <c r="AC1769" s="8">
        <v>0</v>
      </c>
      <c r="AF1769" s="8">
        <v>0</v>
      </c>
      <c r="AN1769" s="8">
        <v>6</v>
      </c>
      <c r="AO1769" s="8">
        <v>0</v>
      </c>
    </row>
    <row r="1770" spans="1:41" x14ac:dyDescent="0.25">
      <c r="A1770" s="6" t="str">
        <f>"522-2026000079"</f>
        <v>522-2026000079</v>
      </c>
      <c r="B1770" s="6" t="str">
        <f t="shared" si="449"/>
        <v>EL CORTE</v>
      </c>
      <c r="C1770" s="7">
        <v>46030</v>
      </c>
      <c r="D1770" s="7">
        <v>46035</v>
      </c>
      <c r="E1770" s="8">
        <v>1</v>
      </c>
      <c r="F1770" s="6" t="str">
        <f>"94763901_07026"</f>
        <v>94763901_07026</v>
      </c>
      <c r="G1770" s="6" t="str">
        <f t="shared" si="450"/>
        <v>F310631650000000</v>
      </c>
      <c r="H1770" s="6" t="str">
        <f t="shared" si="451"/>
        <v>PLAR 6316 FD - 500 g</v>
      </c>
      <c r="I1770" s="6" t="str">
        <f>"202575"</f>
        <v>202575</v>
      </c>
      <c r="J1770" s="6" t="str">
        <f>"BEGE 2575"</f>
        <v>BEGE 2575</v>
      </c>
      <c r="K1770" s="6" t="str">
        <f>"1024"</f>
        <v>1024</v>
      </c>
      <c r="L1770" s="6" t="str">
        <f>"Toalhas"</f>
        <v>Toalhas</v>
      </c>
      <c r="M1770" s="6" t="str">
        <f>"50x100"</f>
        <v>50x100</v>
      </c>
      <c r="N1770" s="6" t="str">
        <f>"5602972281088"</f>
        <v>5602972281088</v>
      </c>
      <c r="O1770" s="8">
        <v>6</v>
      </c>
      <c r="R1770" s="8">
        <v>0</v>
      </c>
      <c r="U1770" s="8">
        <v>0</v>
      </c>
      <c r="X1770" s="8">
        <v>0</v>
      </c>
      <c r="Z1770" s="8">
        <v>0</v>
      </c>
      <c r="AC1770" s="8">
        <v>0</v>
      </c>
      <c r="AF1770" s="8">
        <v>0</v>
      </c>
      <c r="AN1770" s="8">
        <v>6</v>
      </c>
      <c r="AO1770" s="8">
        <v>0</v>
      </c>
    </row>
    <row r="1771" spans="1:41" x14ac:dyDescent="0.25">
      <c r="A1771" s="6" t="str">
        <f>"522-2026000080"</f>
        <v>522-2026000080</v>
      </c>
      <c r="B1771" s="6" t="str">
        <f t="shared" si="449"/>
        <v>EL CORTE</v>
      </c>
      <c r="C1771" s="7">
        <v>46030</v>
      </c>
      <c r="D1771" s="7">
        <v>46035</v>
      </c>
      <c r="E1771" s="8">
        <v>1</v>
      </c>
      <c r="F1771" s="6" t="str">
        <f>"94762901_07026"</f>
        <v>94762901_07026</v>
      </c>
      <c r="G1771" s="6" t="str">
        <f t="shared" si="450"/>
        <v>F310631650000000</v>
      </c>
      <c r="H1771" s="6" t="str">
        <f t="shared" si="451"/>
        <v>PLAR 6316 FD - 500 g</v>
      </c>
      <c r="I1771" s="6" t="str">
        <f>"200510"</f>
        <v>200510</v>
      </c>
      <c r="J1771" s="6" t="str">
        <f>"VERDE 510"</f>
        <v>VERDE 510</v>
      </c>
      <c r="K1771" s="6" t="str">
        <f>"1024"</f>
        <v>1024</v>
      </c>
      <c r="L1771" s="6" t="str">
        <f>"Toalhas"</f>
        <v>Toalhas</v>
      </c>
      <c r="M1771" s="6" t="str">
        <f>"50x100"</f>
        <v>50x100</v>
      </c>
      <c r="N1771" s="6" t="str">
        <f>"5602972281149"</f>
        <v>5602972281149</v>
      </c>
      <c r="O1771" s="8">
        <v>6</v>
      </c>
      <c r="R1771" s="8">
        <v>0</v>
      </c>
      <c r="U1771" s="8">
        <v>0</v>
      </c>
      <c r="X1771" s="8">
        <v>0</v>
      </c>
      <c r="Z1771" s="8">
        <v>0</v>
      </c>
      <c r="AC1771" s="8">
        <v>0</v>
      </c>
      <c r="AF1771" s="8">
        <v>0</v>
      </c>
      <c r="AN1771" s="8">
        <v>6</v>
      </c>
      <c r="AO1771" s="8">
        <v>0</v>
      </c>
    </row>
    <row r="1772" spans="1:41" x14ac:dyDescent="0.25">
      <c r="A1772" s="6" t="str">
        <f>"522-2026000081"</f>
        <v>522-2026000081</v>
      </c>
      <c r="B1772" s="6" t="str">
        <f t="shared" si="449"/>
        <v>EL CORTE</v>
      </c>
      <c r="C1772" s="7">
        <v>46030</v>
      </c>
      <c r="D1772" s="7">
        <v>46035</v>
      </c>
      <c r="E1772" s="8">
        <v>1</v>
      </c>
      <c r="F1772" s="6" t="str">
        <f>"94763501_07026"</f>
        <v>94763501_07026</v>
      </c>
      <c r="G1772" s="6" t="str">
        <f t="shared" si="450"/>
        <v>F310631650000000</v>
      </c>
      <c r="H1772" s="6" t="str">
        <f t="shared" si="451"/>
        <v>PLAR 6316 FD - 500 g</v>
      </c>
      <c r="I1772" s="6" t="str">
        <f>"202575"</f>
        <v>202575</v>
      </c>
      <c r="J1772" s="6" t="str">
        <f>"BEGE 2575"</f>
        <v>BEGE 2575</v>
      </c>
      <c r="K1772" s="6" t="str">
        <f>"1024"</f>
        <v>1024</v>
      </c>
      <c r="L1772" s="6" t="str">
        <f>"Toalhas"</f>
        <v>Toalhas</v>
      </c>
      <c r="M1772" s="6" t="str">
        <f>"50x100"</f>
        <v>50x100</v>
      </c>
      <c r="N1772" s="6" t="str">
        <f>"5602972281088"</f>
        <v>5602972281088</v>
      </c>
      <c r="O1772" s="8">
        <v>6</v>
      </c>
      <c r="R1772" s="8">
        <v>0</v>
      </c>
      <c r="U1772" s="8">
        <v>0</v>
      </c>
      <c r="X1772" s="8">
        <v>0</v>
      </c>
      <c r="Z1772" s="8">
        <v>0</v>
      </c>
      <c r="AC1772" s="8">
        <v>0</v>
      </c>
      <c r="AF1772" s="8">
        <v>0</v>
      </c>
      <c r="AN1772" s="8">
        <v>6</v>
      </c>
      <c r="AO1772" s="8">
        <v>0</v>
      </c>
    </row>
    <row r="1773" spans="1:41" x14ac:dyDescent="0.25">
      <c r="A1773" s="6" t="str">
        <f>"522-2026000082"</f>
        <v>522-2026000082</v>
      </c>
      <c r="B1773" s="6" t="str">
        <f t="shared" si="449"/>
        <v>EL CORTE</v>
      </c>
      <c r="C1773" s="7">
        <v>46030</v>
      </c>
      <c r="D1773" s="7">
        <v>46035</v>
      </c>
      <c r="E1773" s="8">
        <v>1</v>
      </c>
      <c r="F1773" s="6" t="str">
        <f>"94762701_07026"</f>
        <v>94762701_07026</v>
      </c>
      <c r="G1773" s="6" t="str">
        <f t="shared" si="450"/>
        <v>F310631650000000</v>
      </c>
      <c r="H1773" s="6" t="str">
        <f t="shared" si="451"/>
        <v>PLAR 6316 FD - 500 g</v>
      </c>
      <c r="I1773" s="6" t="str">
        <f>"201855"</f>
        <v>201855</v>
      </c>
      <c r="J1773" s="6" t="str">
        <f>"AZUL 1855"</f>
        <v>AZUL 1855</v>
      </c>
      <c r="K1773" s="6" t="str">
        <f>"1024"</f>
        <v>1024</v>
      </c>
      <c r="L1773" s="6" t="str">
        <f>"Toalhas"</f>
        <v>Toalhas</v>
      </c>
      <c r="M1773" s="6" t="str">
        <f>"50x100"</f>
        <v>50x100</v>
      </c>
      <c r="N1773" s="6" t="str">
        <f>"5602972281057"</f>
        <v>5602972281057</v>
      </c>
      <c r="O1773" s="8">
        <v>6</v>
      </c>
      <c r="R1773" s="8">
        <v>0</v>
      </c>
      <c r="U1773" s="8">
        <v>0</v>
      </c>
      <c r="X1773" s="8">
        <v>0</v>
      </c>
      <c r="Z1773" s="8">
        <v>0</v>
      </c>
      <c r="AC1773" s="8">
        <v>0</v>
      </c>
      <c r="AF1773" s="8">
        <v>0</v>
      </c>
      <c r="AN1773" s="8">
        <v>6</v>
      </c>
      <c r="AO1773" s="8">
        <v>0</v>
      </c>
    </row>
    <row r="1774" spans="1:41" x14ac:dyDescent="0.25">
      <c r="A1774" s="6" t="str">
        <f>"522-2026000082"</f>
        <v>522-2026000082</v>
      </c>
      <c r="B1774" s="6" t="str">
        <f t="shared" si="449"/>
        <v>EL CORTE</v>
      </c>
      <c r="C1774" s="7">
        <v>46030</v>
      </c>
      <c r="D1774" s="7">
        <v>46035</v>
      </c>
      <c r="E1774" s="8">
        <v>2</v>
      </c>
      <c r="F1774" s="6" t="str">
        <f>"94762701_07026"</f>
        <v>94762701_07026</v>
      </c>
      <c r="G1774" s="6" t="str">
        <f t="shared" si="450"/>
        <v>F310631650000000</v>
      </c>
      <c r="H1774" s="6" t="str">
        <f t="shared" si="451"/>
        <v>PLAR 6316 FD - 500 g</v>
      </c>
      <c r="I1774" s="6" t="str">
        <f>"202575"</f>
        <v>202575</v>
      </c>
      <c r="J1774" s="6" t="str">
        <f>"BEGE 2575"</f>
        <v>BEGE 2575</v>
      </c>
      <c r="K1774" s="6" t="str">
        <f>"1024"</f>
        <v>1024</v>
      </c>
      <c r="L1774" s="6" t="str">
        <f>"Toalhas"</f>
        <v>Toalhas</v>
      </c>
      <c r="M1774" s="6" t="str">
        <f>"50x100"</f>
        <v>50x100</v>
      </c>
      <c r="N1774" s="6" t="str">
        <f>"5602972281088"</f>
        <v>5602972281088</v>
      </c>
      <c r="O1774" s="8">
        <v>6</v>
      </c>
      <c r="R1774" s="8">
        <v>0</v>
      </c>
      <c r="U1774" s="8">
        <v>0</v>
      </c>
      <c r="X1774" s="8">
        <v>0</v>
      </c>
      <c r="Z1774" s="8">
        <v>0</v>
      </c>
      <c r="AC1774" s="8">
        <v>0</v>
      </c>
      <c r="AF1774" s="8">
        <v>0</v>
      </c>
      <c r="AN1774" s="8">
        <v>6</v>
      </c>
      <c r="AO1774" s="8">
        <v>0</v>
      </c>
    </row>
    <row r="1775" spans="1:41" x14ac:dyDescent="0.25">
      <c r="A1775" s="6" t="str">
        <f>"522-2026000082"</f>
        <v>522-2026000082</v>
      </c>
      <c r="B1775" s="6" t="str">
        <f t="shared" si="449"/>
        <v>EL CORTE</v>
      </c>
      <c r="C1775" s="7">
        <v>46030</v>
      </c>
      <c r="D1775" s="7">
        <v>46035</v>
      </c>
      <c r="E1775" s="8">
        <v>3</v>
      </c>
      <c r="F1775" s="6" t="str">
        <f>"94762701_07026"</f>
        <v>94762701_07026</v>
      </c>
      <c r="G1775" s="6" t="str">
        <f t="shared" si="450"/>
        <v>F310631650000000</v>
      </c>
      <c r="H1775" s="6" t="str">
        <f t="shared" si="451"/>
        <v>PLAR 6316 FD - 500 g</v>
      </c>
      <c r="I1775" s="6" t="str">
        <f>"202575"</f>
        <v>202575</v>
      </c>
      <c r="J1775" s="6" t="str">
        <f>"BEGE 2575"</f>
        <v>BEGE 2575</v>
      </c>
      <c r="K1775" s="6" t="str">
        <f>"2020"</f>
        <v>2020</v>
      </c>
      <c r="L1775" s="6" t="str">
        <f>"Lençóis"</f>
        <v>Lençóis</v>
      </c>
      <c r="M1775" s="6" t="str">
        <f>"100x150"</f>
        <v>100x150</v>
      </c>
      <c r="N1775" s="6" t="str">
        <f>"5602972281095"</f>
        <v>5602972281095</v>
      </c>
      <c r="O1775" s="8">
        <v>6</v>
      </c>
      <c r="R1775" s="8">
        <v>0</v>
      </c>
      <c r="U1775" s="8">
        <v>0</v>
      </c>
      <c r="X1775" s="8">
        <v>0</v>
      </c>
      <c r="Z1775" s="8">
        <v>0</v>
      </c>
      <c r="AC1775" s="8">
        <v>0</v>
      </c>
      <c r="AF1775" s="8">
        <v>0</v>
      </c>
      <c r="AN1775" s="8">
        <v>0</v>
      </c>
      <c r="AO1775" s="8">
        <v>6</v>
      </c>
    </row>
    <row r="1776" spans="1:41" x14ac:dyDescent="0.25">
      <c r="A1776" s="6" t="str">
        <f>"522-2026000082"</f>
        <v>522-2026000082</v>
      </c>
      <c r="B1776" s="6" t="str">
        <f t="shared" si="449"/>
        <v>EL CORTE</v>
      </c>
      <c r="C1776" s="7">
        <v>46030</v>
      </c>
      <c r="D1776" s="7">
        <v>46035</v>
      </c>
      <c r="E1776" s="8">
        <v>4</v>
      </c>
      <c r="F1776" s="6" t="str">
        <f>"94762701_07026"</f>
        <v>94762701_07026</v>
      </c>
      <c r="G1776" s="6" t="str">
        <f t="shared" si="450"/>
        <v>F310631650000000</v>
      </c>
      <c r="H1776" s="6" t="str">
        <f t="shared" si="451"/>
        <v>PLAR 6316 FD - 500 g</v>
      </c>
      <c r="I1776" s="6" t="str">
        <f>"200901"</f>
        <v>200901</v>
      </c>
      <c r="J1776" s="6" t="str">
        <f>"ROSA 901"</f>
        <v>ROSA 901</v>
      </c>
      <c r="K1776" s="6" t="str">
        <f>"1024"</f>
        <v>1024</v>
      </c>
      <c r="L1776" s="6" t="str">
        <f>"Toalhas"</f>
        <v>Toalhas</v>
      </c>
      <c r="M1776" s="6" t="str">
        <f>"50x100"</f>
        <v>50x100</v>
      </c>
      <c r="N1776" s="6" t="str">
        <f>"5602972281118"</f>
        <v>5602972281118</v>
      </c>
      <c r="O1776" s="8">
        <v>6</v>
      </c>
      <c r="R1776" s="8">
        <v>0</v>
      </c>
      <c r="U1776" s="8">
        <v>0</v>
      </c>
      <c r="X1776" s="8">
        <v>0</v>
      </c>
      <c r="Z1776" s="8">
        <v>0</v>
      </c>
      <c r="AC1776" s="8">
        <v>0</v>
      </c>
      <c r="AF1776" s="8">
        <v>0</v>
      </c>
      <c r="AN1776" s="8">
        <v>6</v>
      </c>
      <c r="AO1776" s="8">
        <v>0</v>
      </c>
    </row>
    <row r="1777" spans="1:41" x14ac:dyDescent="0.25">
      <c r="A1777" s="6" t="str">
        <f>"522-2026000083"</f>
        <v>522-2026000083</v>
      </c>
      <c r="B1777" s="6" t="str">
        <f t="shared" si="449"/>
        <v>EL CORTE</v>
      </c>
      <c r="C1777" s="7">
        <v>46030</v>
      </c>
      <c r="D1777" s="7">
        <v>46035</v>
      </c>
      <c r="E1777" s="8">
        <v>1</v>
      </c>
      <c r="F1777" s="6" t="str">
        <f>"94763301_07026"</f>
        <v>94763301_07026</v>
      </c>
      <c r="G1777" s="6" t="str">
        <f t="shared" si="450"/>
        <v>F310631650000000</v>
      </c>
      <c r="H1777" s="6" t="str">
        <f t="shared" si="451"/>
        <v>PLAR 6316 FD - 500 g</v>
      </c>
      <c r="I1777" s="6" t="str">
        <f>"200901"</f>
        <v>200901</v>
      </c>
      <c r="J1777" s="6" t="str">
        <f>"ROSA 901"</f>
        <v>ROSA 901</v>
      </c>
      <c r="K1777" s="6" t="str">
        <f>"1024"</f>
        <v>1024</v>
      </c>
      <c r="L1777" s="6" t="str">
        <f>"Toalhas"</f>
        <v>Toalhas</v>
      </c>
      <c r="M1777" s="6" t="str">
        <f>"50x100"</f>
        <v>50x100</v>
      </c>
      <c r="N1777" s="6" t="str">
        <f>"5602972281118"</f>
        <v>5602972281118</v>
      </c>
      <c r="O1777" s="8">
        <v>6</v>
      </c>
      <c r="R1777" s="8">
        <v>0</v>
      </c>
      <c r="U1777" s="8">
        <v>0</v>
      </c>
      <c r="X1777" s="8">
        <v>0</v>
      </c>
      <c r="Z1777" s="8">
        <v>0</v>
      </c>
      <c r="AC1777" s="8">
        <v>0</v>
      </c>
      <c r="AF1777" s="8">
        <v>0</v>
      </c>
      <c r="AN1777" s="8">
        <v>6</v>
      </c>
      <c r="AO1777" s="8">
        <v>0</v>
      </c>
    </row>
    <row r="1778" spans="1:41" x14ac:dyDescent="0.25">
      <c r="A1778" s="6" t="str">
        <f>"522-2026000083"</f>
        <v>522-2026000083</v>
      </c>
      <c r="B1778" s="6" t="str">
        <f t="shared" si="449"/>
        <v>EL CORTE</v>
      </c>
      <c r="C1778" s="7">
        <v>46030</v>
      </c>
      <c r="D1778" s="7">
        <v>46035</v>
      </c>
      <c r="E1778" s="8">
        <v>2</v>
      </c>
      <c r="F1778" s="6" t="str">
        <f>"94763301_07026"</f>
        <v>94763301_07026</v>
      </c>
      <c r="G1778" s="6" t="str">
        <f t="shared" si="450"/>
        <v>F310631650000000</v>
      </c>
      <c r="H1778" s="6" t="str">
        <f t="shared" si="451"/>
        <v>PLAR 6316 FD - 500 g</v>
      </c>
      <c r="I1778" s="6" t="str">
        <f>"200510"</f>
        <v>200510</v>
      </c>
      <c r="J1778" s="6" t="str">
        <f>"VERDE 510"</f>
        <v>VERDE 510</v>
      </c>
      <c r="K1778" s="6" t="str">
        <f>"0520"</f>
        <v>0520</v>
      </c>
      <c r="L1778" s="6" t="str">
        <f>"Toalhetes"</f>
        <v>Toalhetes</v>
      </c>
      <c r="M1778" s="6" t="str">
        <f>"30x50"</f>
        <v>30x50</v>
      </c>
      <c r="N1778" s="6" t="str">
        <f>"5602972281132"</f>
        <v>5602972281132</v>
      </c>
      <c r="O1778" s="8">
        <v>6</v>
      </c>
      <c r="R1778" s="8">
        <v>0</v>
      </c>
      <c r="U1778" s="8">
        <v>0</v>
      </c>
      <c r="X1778" s="8">
        <v>0</v>
      </c>
      <c r="Z1778" s="8">
        <v>0</v>
      </c>
      <c r="AC1778" s="8">
        <v>0</v>
      </c>
      <c r="AF1778" s="8">
        <v>0</v>
      </c>
      <c r="AN1778" s="8">
        <v>6</v>
      </c>
      <c r="AO1778" s="8">
        <v>0</v>
      </c>
    </row>
    <row r="1779" spans="1:41" x14ac:dyDescent="0.25">
      <c r="A1779" s="6" t="str">
        <f>"522-2026000084"</f>
        <v>522-2026000084</v>
      </c>
      <c r="B1779" s="6" t="str">
        <f t="shared" si="449"/>
        <v>EL CORTE</v>
      </c>
      <c r="C1779" s="7">
        <v>46030</v>
      </c>
      <c r="D1779" s="7">
        <v>46035</v>
      </c>
      <c r="E1779" s="8">
        <v>1</v>
      </c>
      <c r="F1779" s="6" t="str">
        <f>"94763001_07026"</f>
        <v>94763001_07026</v>
      </c>
      <c r="G1779" s="6" t="str">
        <f t="shared" si="450"/>
        <v>F310631650000000</v>
      </c>
      <c r="H1779" s="6" t="str">
        <f t="shared" si="451"/>
        <v>PLAR 6316 FD - 500 g</v>
      </c>
      <c r="I1779" s="6" t="str">
        <f>"202575"</f>
        <v>202575</v>
      </c>
      <c r="J1779" s="6" t="str">
        <f>"BEGE 2575"</f>
        <v>BEGE 2575</v>
      </c>
      <c r="K1779" s="6" t="str">
        <f>"1024"</f>
        <v>1024</v>
      </c>
      <c r="L1779" s="6" t="str">
        <f>"Toalhas"</f>
        <v>Toalhas</v>
      </c>
      <c r="M1779" s="6" t="str">
        <f>"50x100"</f>
        <v>50x100</v>
      </c>
      <c r="N1779" s="6" t="str">
        <f>"5602972281088"</f>
        <v>5602972281088</v>
      </c>
      <c r="O1779" s="8">
        <v>6</v>
      </c>
      <c r="R1779" s="8">
        <v>0</v>
      </c>
      <c r="U1779" s="8">
        <v>0</v>
      </c>
      <c r="X1779" s="8">
        <v>0</v>
      </c>
      <c r="Z1779" s="8">
        <v>0</v>
      </c>
      <c r="AC1779" s="8">
        <v>0</v>
      </c>
      <c r="AF1779" s="8">
        <v>0</v>
      </c>
      <c r="AN1779" s="8">
        <v>6</v>
      </c>
      <c r="AO1779" s="8">
        <v>0</v>
      </c>
    </row>
    <row r="1780" spans="1:41" x14ac:dyDescent="0.25">
      <c r="A1780" s="6" t="str">
        <f>"522-2026000085"</f>
        <v>522-2026000085</v>
      </c>
      <c r="B1780" s="6" t="str">
        <f t="shared" si="449"/>
        <v>EL CORTE</v>
      </c>
      <c r="C1780" s="7">
        <v>46030</v>
      </c>
      <c r="D1780" s="7">
        <v>46035</v>
      </c>
      <c r="E1780" s="8">
        <v>1</v>
      </c>
      <c r="F1780" s="6" t="str">
        <f>"94762601_07026"</f>
        <v>94762601_07026</v>
      </c>
      <c r="G1780" s="6" t="str">
        <f t="shared" si="450"/>
        <v>F310631650000000</v>
      </c>
      <c r="H1780" s="6" t="str">
        <f t="shared" si="451"/>
        <v>PLAR 6316 FD - 500 g</v>
      </c>
      <c r="I1780" s="6" t="str">
        <f>"200901"</f>
        <v>200901</v>
      </c>
      <c r="J1780" s="6" t="str">
        <f>"ROSA 901"</f>
        <v>ROSA 901</v>
      </c>
      <c r="K1780" s="6" t="str">
        <f>"0520"</f>
        <v>0520</v>
      </c>
      <c r="L1780" s="6" t="str">
        <f>"Toalhetes"</f>
        <v>Toalhetes</v>
      </c>
      <c r="M1780" s="6" t="str">
        <f>"30x50"</f>
        <v>30x50</v>
      </c>
      <c r="N1780" s="6" t="str">
        <f>"5602972281101"</f>
        <v>5602972281101</v>
      </c>
      <c r="O1780" s="8">
        <v>6</v>
      </c>
      <c r="R1780" s="8">
        <v>0</v>
      </c>
      <c r="U1780" s="8">
        <v>0</v>
      </c>
      <c r="X1780" s="8">
        <v>0</v>
      </c>
      <c r="Z1780" s="8">
        <v>0</v>
      </c>
      <c r="AC1780" s="8">
        <v>0</v>
      </c>
      <c r="AF1780" s="8">
        <v>0</v>
      </c>
      <c r="AN1780" s="8">
        <v>6</v>
      </c>
      <c r="AO1780" s="8">
        <v>0</v>
      </c>
    </row>
    <row r="1781" spans="1:41" x14ac:dyDescent="0.25">
      <c r="A1781" s="6" t="str">
        <f>"522-2026000085"</f>
        <v>522-2026000085</v>
      </c>
      <c r="B1781" s="6" t="str">
        <f t="shared" si="449"/>
        <v>EL CORTE</v>
      </c>
      <c r="C1781" s="7">
        <v>46030</v>
      </c>
      <c r="D1781" s="7">
        <v>46035</v>
      </c>
      <c r="E1781" s="8">
        <v>2</v>
      </c>
      <c r="F1781" s="6" t="str">
        <f>"94762601_07026"</f>
        <v>94762601_07026</v>
      </c>
      <c r="G1781" s="6" t="str">
        <f t="shared" si="450"/>
        <v>F310631650000000</v>
      </c>
      <c r="H1781" s="6" t="str">
        <f t="shared" si="451"/>
        <v>PLAR 6316 FD - 500 g</v>
      </c>
      <c r="I1781" s="6" t="str">
        <f>"200901"</f>
        <v>200901</v>
      </c>
      <c r="J1781" s="6" t="str">
        <f>"ROSA 901"</f>
        <v>ROSA 901</v>
      </c>
      <c r="K1781" s="6" t="str">
        <f>"1024"</f>
        <v>1024</v>
      </c>
      <c r="L1781" s="6" t="str">
        <f>"Toalhas"</f>
        <v>Toalhas</v>
      </c>
      <c r="M1781" s="6" t="str">
        <f>"50x100"</f>
        <v>50x100</v>
      </c>
      <c r="N1781" s="6" t="str">
        <f>"5602972281118"</f>
        <v>5602972281118</v>
      </c>
      <c r="O1781" s="8">
        <v>12</v>
      </c>
      <c r="R1781" s="8">
        <v>0</v>
      </c>
      <c r="U1781" s="8">
        <v>0</v>
      </c>
      <c r="X1781" s="8">
        <v>0</v>
      </c>
      <c r="Z1781" s="8">
        <v>0</v>
      </c>
      <c r="AC1781" s="8">
        <v>0</v>
      </c>
      <c r="AF1781" s="8">
        <v>0</v>
      </c>
      <c r="AN1781" s="8">
        <v>12</v>
      </c>
      <c r="AO1781" s="8">
        <v>0</v>
      </c>
    </row>
    <row r="1782" spans="1:41" x14ac:dyDescent="0.25">
      <c r="A1782" s="6" t="str">
        <f>"522-2026000085"</f>
        <v>522-2026000085</v>
      </c>
      <c r="B1782" s="6" t="str">
        <f t="shared" si="449"/>
        <v>EL CORTE</v>
      </c>
      <c r="C1782" s="7">
        <v>46030</v>
      </c>
      <c r="D1782" s="7">
        <v>46035</v>
      </c>
      <c r="E1782" s="8">
        <v>3</v>
      </c>
      <c r="F1782" s="6" t="str">
        <f>"94762601_07026"</f>
        <v>94762601_07026</v>
      </c>
      <c r="G1782" s="6" t="str">
        <f t="shared" si="450"/>
        <v>F310631650000000</v>
      </c>
      <c r="H1782" s="6" t="str">
        <f t="shared" si="451"/>
        <v>PLAR 6316 FD - 500 g</v>
      </c>
      <c r="I1782" s="6" t="str">
        <f>"200901"</f>
        <v>200901</v>
      </c>
      <c r="J1782" s="6" t="str">
        <f>"ROSA 901"</f>
        <v>ROSA 901</v>
      </c>
      <c r="K1782" s="6" t="str">
        <f>"2020"</f>
        <v>2020</v>
      </c>
      <c r="L1782" s="6" t="str">
        <f>"Lençóis"</f>
        <v>Lençóis</v>
      </c>
      <c r="M1782" s="6" t="str">
        <f>"100x150"</f>
        <v>100x150</v>
      </c>
      <c r="N1782" s="6" t="str">
        <f>"5602972281125"</f>
        <v>5602972281125</v>
      </c>
      <c r="O1782" s="8">
        <v>6</v>
      </c>
      <c r="R1782" s="8">
        <v>0</v>
      </c>
      <c r="U1782" s="8">
        <v>0</v>
      </c>
      <c r="X1782" s="8">
        <v>0</v>
      </c>
      <c r="Z1782" s="8">
        <v>0</v>
      </c>
      <c r="AC1782" s="8">
        <v>0</v>
      </c>
      <c r="AF1782" s="8">
        <v>0</v>
      </c>
      <c r="AN1782" s="8">
        <v>0</v>
      </c>
      <c r="AO1782" s="8">
        <v>6</v>
      </c>
    </row>
    <row r="1783" spans="1:41" x14ac:dyDescent="0.25">
      <c r="A1783" s="6" t="str">
        <f>"522-2026000085"</f>
        <v>522-2026000085</v>
      </c>
      <c r="B1783" s="6" t="str">
        <f t="shared" si="449"/>
        <v>EL CORTE</v>
      </c>
      <c r="C1783" s="7">
        <v>46030</v>
      </c>
      <c r="D1783" s="7">
        <v>46035</v>
      </c>
      <c r="E1783" s="8">
        <v>4</v>
      </c>
      <c r="F1783" s="6" t="str">
        <f>"94762601_07026"</f>
        <v>94762601_07026</v>
      </c>
      <c r="G1783" s="6" t="str">
        <f t="shared" si="450"/>
        <v>F310631650000000</v>
      </c>
      <c r="H1783" s="6" t="str">
        <f t="shared" si="451"/>
        <v>PLAR 6316 FD - 500 g</v>
      </c>
      <c r="I1783" s="6" t="str">
        <f>"200510"</f>
        <v>200510</v>
      </c>
      <c r="J1783" s="6" t="str">
        <f>"VERDE 510"</f>
        <v>VERDE 510</v>
      </c>
      <c r="K1783" s="6" t="str">
        <f>"0520"</f>
        <v>0520</v>
      </c>
      <c r="L1783" s="6" t="str">
        <f>"Toalhetes"</f>
        <v>Toalhetes</v>
      </c>
      <c r="M1783" s="6" t="str">
        <f>"30x50"</f>
        <v>30x50</v>
      </c>
      <c r="N1783" s="6" t="str">
        <f>"5602972281132"</f>
        <v>5602972281132</v>
      </c>
      <c r="O1783" s="8">
        <v>12</v>
      </c>
      <c r="R1783" s="8">
        <v>0</v>
      </c>
      <c r="U1783" s="8">
        <v>0</v>
      </c>
      <c r="X1783" s="8">
        <v>0</v>
      </c>
      <c r="Z1783" s="8">
        <v>0</v>
      </c>
      <c r="AC1783" s="8">
        <v>0</v>
      </c>
      <c r="AF1783" s="8">
        <v>0</v>
      </c>
      <c r="AN1783" s="8">
        <v>12</v>
      </c>
      <c r="AO1783" s="8">
        <v>0</v>
      </c>
    </row>
    <row r="1784" spans="1:41" x14ac:dyDescent="0.25">
      <c r="A1784" s="6" t="str">
        <f>"522-2026000085"</f>
        <v>522-2026000085</v>
      </c>
      <c r="B1784" s="6" t="str">
        <f t="shared" si="449"/>
        <v>EL CORTE</v>
      </c>
      <c r="C1784" s="7">
        <v>46030</v>
      </c>
      <c r="D1784" s="7">
        <v>46035</v>
      </c>
      <c r="E1784" s="8">
        <v>5</v>
      </c>
      <c r="F1784" s="6" t="str">
        <f>"94762601_07026"</f>
        <v>94762601_07026</v>
      </c>
      <c r="G1784" s="6" t="str">
        <f t="shared" si="450"/>
        <v>F310631650000000</v>
      </c>
      <c r="H1784" s="6" t="str">
        <f t="shared" si="451"/>
        <v>PLAR 6316 FD - 500 g</v>
      </c>
      <c r="I1784" s="6" t="str">
        <f>"200510"</f>
        <v>200510</v>
      </c>
      <c r="J1784" s="6" t="str">
        <f>"VERDE 510"</f>
        <v>VERDE 510</v>
      </c>
      <c r="K1784" s="6" t="str">
        <f>"2020"</f>
        <v>2020</v>
      </c>
      <c r="L1784" s="6" t="str">
        <f>"Lençóis"</f>
        <v>Lençóis</v>
      </c>
      <c r="M1784" s="6" t="str">
        <f>"100x150"</f>
        <v>100x150</v>
      </c>
      <c r="N1784" s="6" t="str">
        <f>"5602972281156"</f>
        <v>5602972281156</v>
      </c>
      <c r="O1784" s="8">
        <v>3</v>
      </c>
      <c r="R1784" s="8">
        <v>0</v>
      </c>
      <c r="U1784" s="8">
        <v>0</v>
      </c>
      <c r="X1784" s="8">
        <v>0</v>
      </c>
      <c r="Z1784" s="8">
        <v>0</v>
      </c>
      <c r="AC1784" s="8">
        <v>0</v>
      </c>
      <c r="AF1784" s="8">
        <v>0</v>
      </c>
      <c r="AN1784" s="8">
        <v>0</v>
      </c>
      <c r="AO1784" s="8">
        <v>3</v>
      </c>
    </row>
    <row r="1785" spans="1:41" x14ac:dyDescent="0.25">
      <c r="A1785" s="6" t="str">
        <f>"522-2026000086"</f>
        <v>522-2026000086</v>
      </c>
      <c r="B1785" s="6" t="str">
        <f t="shared" si="449"/>
        <v>EL CORTE</v>
      </c>
      <c r="C1785" s="7">
        <v>46030</v>
      </c>
      <c r="D1785" s="7">
        <v>46035</v>
      </c>
      <c r="E1785" s="8">
        <v>1</v>
      </c>
      <c r="F1785" s="6" t="str">
        <f>"94764001_07026"</f>
        <v>94764001_07026</v>
      </c>
      <c r="G1785" s="6" t="str">
        <f t="shared" si="450"/>
        <v>F310631650000000</v>
      </c>
      <c r="H1785" s="6" t="str">
        <f t="shared" si="451"/>
        <v>PLAR 6316 FD - 500 g</v>
      </c>
      <c r="I1785" s="6" t="str">
        <f>"202575"</f>
        <v>202575</v>
      </c>
      <c r="J1785" s="6" t="str">
        <f>"BEGE 2575"</f>
        <v>BEGE 2575</v>
      </c>
      <c r="K1785" s="6" t="str">
        <f>"1024"</f>
        <v>1024</v>
      </c>
      <c r="L1785" s="6" t="str">
        <f>"Toalhas"</f>
        <v>Toalhas</v>
      </c>
      <c r="M1785" s="6" t="str">
        <f>"50x100"</f>
        <v>50x100</v>
      </c>
      <c r="N1785" s="6" t="str">
        <f>"5602972281088"</f>
        <v>5602972281088</v>
      </c>
      <c r="O1785" s="8">
        <v>6</v>
      </c>
      <c r="R1785" s="8">
        <v>0</v>
      </c>
      <c r="U1785" s="8">
        <v>0</v>
      </c>
      <c r="X1785" s="8">
        <v>0</v>
      </c>
      <c r="Z1785" s="8">
        <v>0</v>
      </c>
      <c r="AC1785" s="8">
        <v>0</v>
      </c>
      <c r="AF1785" s="8">
        <v>0</v>
      </c>
      <c r="AN1785" s="8">
        <v>6</v>
      </c>
      <c r="AO1785" s="8">
        <v>0</v>
      </c>
    </row>
    <row r="1786" spans="1:41" x14ac:dyDescent="0.25">
      <c r="A1786" s="6" t="str">
        <f>"522-2026000086"</f>
        <v>522-2026000086</v>
      </c>
      <c r="B1786" s="6" t="str">
        <f t="shared" si="449"/>
        <v>EL CORTE</v>
      </c>
      <c r="C1786" s="7">
        <v>46030</v>
      </c>
      <c r="D1786" s="7">
        <v>46035</v>
      </c>
      <c r="E1786" s="8">
        <v>2</v>
      </c>
      <c r="F1786" s="6" t="str">
        <f>"94764001_07026"</f>
        <v>94764001_07026</v>
      </c>
      <c r="G1786" s="6" t="str">
        <f t="shared" si="450"/>
        <v>F310631650000000</v>
      </c>
      <c r="H1786" s="6" t="str">
        <f t="shared" si="451"/>
        <v>PLAR 6316 FD - 500 g</v>
      </c>
      <c r="I1786" s="6" t="str">
        <f>"200901"</f>
        <v>200901</v>
      </c>
      <c r="J1786" s="6" t="str">
        <f>"ROSA 901"</f>
        <v>ROSA 901</v>
      </c>
      <c r="K1786" s="6" t="str">
        <f>"1024"</f>
        <v>1024</v>
      </c>
      <c r="L1786" s="6" t="str">
        <f>"Toalhas"</f>
        <v>Toalhas</v>
      </c>
      <c r="M1786" s="6" t="str">
        <f>"50x100"</f>
        <v>50x100</v>
      </c>
      <c r="N1786" s="6" t="str">
        <f>"5602972281118"</f>
        <v>5602972281118</v>
      </c>
      <c r="O1786" s="8">
        <v>6</v>
      </c>
      <c r="R1786" s="8">
        <v>0</v>
      </c>
      <c r="U1786" s="8">
        <v>0</v>
      </c>
      <c r="X1786" s="8">
        <v>0</v>
      </c>
      <c r="Z1786" s="8">
        <v>0</v>
      </c>
      <c r="AC1786" s="8">
        <v>0</v>
      </c>
      <c r="AF1786" s="8">
        <v>0</v>
      </c>
      <c r="AN1786" s="8">
        <v>6</v>
      </c>
      <c r="AO1786" s="8">
        <v>0</v>
      </c>
    </row>
    <row r="1787" spans="1:41" x14ac:dyDescent="0.25">
      <c r="A1787" s="6" t="str">
        <f>"522-2026000087"</f>
        <v>522-2026000087</v>
      </c>
      <c r="B1787" s="6" t="str">
        <f t="shared" si="449"/>
        <v>EL CORTE</v>
      </c>
      <c r="C1787" s="7">
        <v>46030</v>
      </c>
      <c r="D1787" s="7">
        <v>46035</v>
      </c>
      <c r="E1787" s="8">
        <v>1</v>
      </c>
      <c r="F1787" s="6" t="str">
        <f>"94762801_07026"</f>
        <v>94762801_07026</v>
      </c>
      <c r="G1787" s="6" t="str">
        <f t="shared" si="450"/>
        <v>F310631650000000</v>
      </c>
      <c r="H1787" s="6" t="str">
        <f t="shared" si="451"/>
        <v>PLAR 6316 FD - 500 g</v>
      </c>
      <c r="I1787" s="6" t="str">
        <f>"202575"</f>
        <v>202575</v>
      </c>
      <c r="J1787" s="6" t="str">
        <f>"BEGE 2575"</f>
        <v>BEGE 2575</v>
      </c>
      <c r="K1787" s="6" t="str">
        <f>"1024"</f>
        <v>1024</v>
      </c>
      <c r="L1787" s="6" t="str">
        <f>"Toalhas"</f>
        <v>Toalhas</v>
      </c>
      <c r="M1787" s="6" t="str">
        <f>"50x100"</f>
        <v>50x100</v>
      </c>
      <c r="N1787" s="6" t="str">
        <f>"5602972281088"</f>
        <v>5602972281088</v>
      </c>
      <c r="O1787" s="8">
        <v>6</v>
      </c>
      <c r="R1787" s="8">
        <v>0</v>
      </c>
      <c r="U1787" s="8">
        <v>0</v>
      </c>
      <c r="X1787" s="8">
        <v>0</v>
      </c>
      <c r="Z1787" s="8">
        <v>0</v>
      </c>
      <c r="AC1787" s="8">
        <v>0</v>
      </c>
      <c r="AF1787" s="8">
        <v>0</v>
      </c>
      <c r="AN1787" s="8">
        <v>6</v>
      </c>
      <c r="AO1787" s="8">
        <v>0</v>
      </c>
    </row>
    <row r="1788" spans="1:41" x14ac:dyDescent="0.25">
      <c r="A1788" s="6" t="str">
        <f>"522-2026000087"</f>
        <v>522-2026000087</v>
      </c>
      <c r="B1788" s="6" t="str">
        <f t="shared" si="449"/>
        <v>EL CORTE</v>
      </c>
      <c r="C1788" s="7">
        <v>46030</v>
      </c>
      <c r="D1788" s="7">
        <v>46035</v>
      </c>
      <c r="E1788" s="8">
        <v>2</v>
      </c>
      <c r="F1788" s="6" t="str">
        <f>"94762801_07026"</f>
        <v>94762801_07026</v>
      </c>
      <c r="G1788" s="6" t="str">
        <f t="shared" si="450"/>
        <v>F310631650000000</v>
      </c>
      <c r="H1788" s="6" t="str">
        <f t="shared" si="451"/>
        <v>PLAR 6316 FD - 500 g</v>
      </c>
      <c r="I1788" s="6" t="str">
        <f>"202575"</f>
        <v>202575</v>
      </c>
      <c r="J1788" s="6" t="str">
        <f>"BEGE 2575"</f>
        <v>BEGE 2575</v>
      </c>
      <c r="K1788" s="6" t="str">
        <f>"2020"</f>
        <v>2020</v>
      </c>
      <c r="L1788" s="6" t="str">
        <f>"Lençóis"</f>
        <v>Lençóis</v>
      </c>
      <c r="M1788" s="6" t="str">
        <f>"100x150"</f>
        <v>100x150</v>
      </c>
      <c r="N1788" s="6" t="str">
        <f>"5602972281095"</f>
        <v>5602972281095</v>
      </c>
      <c r="O1788" s="8">
        <v>3</v>
      </c>
      <c r="R1788" s="8">
        <v>0</v>
      </c>
      <c r="U1788" s="8">
        <v>0</v>
      </c>
      <c r="X1788" s="8">
        <v>0</v>
      </c>
      <c r="Z1788" s="8">
        <v>0</v>
      </c>
      <c r="AC1788" s="8">
        <v>0</v>
      </c>
      <c r="AF1788" s="8">
        <v>0</v>
      </c>
      <c r="AN1788" s="8">
        <v>0</v>
      </c>
      <c r="AO1788" s="8">
        <v>3</v>
      </c>
    </row>
    <row r="1789" spans="1:41" x14ac:dyDescent="0.25">
      <c r="A1789" s="6" t="str">
        <f t="shared" ref="A1789:A1796" si="456">"522-2026000088"</f>
        <v>522-2026000088</v>
      </c>
      <c r="B1789" s="6" t="str">
        <f t="shared" si="449"/>
        <v>EL CORTE</v>
      </c>
      <c r="C1789" s="7">
        <v>46030</v>
      </c>
      <c r="D1789" s="7">
        <v>46035</v>
      </c>
      <c r="E1789" s="8">
        <v>1</v>
      </c>
      <c r="F1789" s="6" t="str">
        <f t="shared" ref="F1789:F1796" si="457">"94764801_07026"</f>
        <v>94764801_07026</v>
      </c>
      <c r="G1789" s="6" t="str">
        <f t="shared" si="450"/>
        <v>F310631650000000</v>
      </c>
      <c r="H1789" s="6" t="str">
        <f t="shared" si="451"/>
        <v>PLAR 6316 FD - 500 g</v>
      </c>
      <c r="I1789" s="6" t="str">
        <f>"201855"</f>
        <v>201855</v>
      </c>
      <c r="J1789" s="6" t="str">
        <f>"AZUL 1855"</f>
        <v>AZUL 1855</v>
      </c>
      <c r="K1789" s="6" t="str">
        <f>"1024"</f>
        <v>1024</v>
      </c>
      <c r="L1789" s="6" t="str">
        <f>"Toalhas"</f>
        <v>Toalhas</v>
      </c>
      <c r="M1789" s="6" t="str">
        <f>"50x100"</f>
        <v>50x100</v>
      </c>
      <c r="N1789" s="6" t="str">
        <f>"5602972281057"</f>
        <v>5602972281057</v>
      </c>
      <c r="O1789" s="8">
        <v>6</v>
      </c>
      <c r="R1789" s="8">
        <v>0</v>
      </c>
      <c r="U1789" s="8">
        <v>0</v>
      </c>
      <c r="X1789" s="8">
        <v>0</v>
      </c>
      <c r="Z1789" s="8">
        <v>0</v>
      </c>
      <c r="AC1789" s="8">
        <v>0</v>
      </c>
      <c r="AF1789" s="8">
        <v>0</v>
      </c>
      <c r="AN1789" s="8">
        <v>6</v>
      </c>
      <c r="AO1789" s="8">
        <v>0</v>
      </c>
    </row>
    <row r="1790" spans="1:41" x14ac:dyDescent="0.25">
      <c r="A1790" s="6" t="str">
        <f t="shared" si="456"/>
        <v>522-2026000088</v>
      </c>
      <c r="B1790" s="6" t="str">
        <f t="shared" si="449"/>
        <v>EL CORTE</v>
      </c>
      <c r="C1790" s="7">
        <v>46030</v>
      </c>
      <c r="D1790" s="7">
        <v>46035</v>
      </c>
      <c r="E1790" s="8">
        <v>2</v>
      </c>
      <c r="F1790" s="6" t="str">
        <f t="shared" si="457"/>
        <v>94764801_07026</v>
      </c>
      <c r="G1790" s="6" t="str">
        <f t="shared" si="450"/>
        <v>F310631650000000</v>
      </c>
      <c r="H1790" s="6" t="str">
        <f t="shared" si="451"/>
        <v>PLAR 6316 FD - 500 g</v>
      </c>
      <c r="I1790" s="6" t="str">
        <f>"201855"</f>
        <v>201855</v>
      </c>
      <c r="J1790" s="6" t="str">
        <f>"AZUL 1855"</f>
        <v>AZUL 1855</v>
      </c>
      <c r="K1790" s="6" t="str">
        <f>"2020"</f>
        <v>2020</v>
      </c>
      <c r="L1790" s="6" t="str">
        <f>"Lençóis"</f>
        <v>Lençóis</v>
      </c>
      <c r="M1790" s="6" t="str">
        <f>"100x150"</f>
        <v>100x150</v>
      </c>
      <c r="N1790" s="6" t="str">
        <f>"5602972281064"</f>
        <v>5602972281064</v>
      </c>
      <c r="O1790" s="8">
        <v>3</v>
      </c>
      <c r="R1790" s="8">
        <v>0</v>
      </c>
      <c r="U1790" s="8">
        <v>0</v>
      </c>
      <c r="X1790" s="8">
        <v>0</v>
      </c>
      <c r="Z1790" s="8">
        <v>0</v>
      </c>
      <c r="AC1790" s="8">
        <v>0</v>
      </c>
      <c r="AF1790" s="8">
        <v>0</v>
      </c>
      <c r="AN1790" s="8">
        <v>0</v>
      </c>
      <c r="AO1790" s="8">
        <v>3</v>
      </c>
    </row>
    <row r="1791" spans="1:41" x14ac:dyDescent="0.25">
      <c r="A1791" s="6" t="str">
        <f t="shared" si="456"/>
        <v>522-2026000088</v>
      </c>
      <c r="B1791" s="6" t="str">
        <f t="shared" si="449"/>
        <v>EL CORTE</v>
      </c>
      <c r="C1791" s="7">
        <v>46030</v>
      </c>
      <c r="D1791" s="7">
        <v>46035</v>
      </c>
      <c r="E1791" s="8">
        <v>3</v>
      </c>
      <c r="F1791" s="6" t="str">
        <f t="shared" si="457"/>
        <v>94764801_07026</v>
      </c>
      <c r="G1791" s="6" t="str">
        <f t="shared" si="450"/>
        <v>F310631650000000</v>
      </c>
      <c r="H1791" s="6" t="str">
        <f t="shared" si="451"/>
        <v>PLAR 6316 FD - 500 g</v>
      </c>
      <c r="I1791" s="6" t="str">
        <f>"202575"</f>
        <v>202575</v>
      </c>
      <c r="J1791" s="6" t="str">
        <f>"BEGE 2575"</f>
        <v>BEGE 2575</v>
      </c>
      <c r="K1791" s="6" t="str">
        <f>"2020"</f>
        <v>2020</v>
      </c>
      <c r="L1791" s="6" t="str">
        <f>"Lençóis"</f>
        <v>Lençóis</v>
      </c>
      <c r="M1791" s="6" t="str">
        <f>"100x150"</f>
        <v>100x150</v>
      </c>
      <c r="N1791" s="6" t="str">
        <f>"5602972281095"</f>
        <v>5602972281095</v>
      </c>
      <c r="O1791" s="8">
        <v>6</v>
      </c>
      <c r="R1791" s="8">
        <v>0</v>
      </c>
      <c r="U1791" s="8">
        <v>0</v>
      </c>
      <c r="X1791" s="8">
        <v>0</v>
      </c>
      <c r="Z1791" s="8">
        <v>0</v>
      </c>
      <c r="AC1791" s="8">
        <v>0</v>
      </c>
      <c r="AF1791" s="8">
        <v>0</v>
      </c>
      <c r="AN1791" s="8">
        <v>0</v>
      </c>
      <c r="AO1791" s="8">
        <v>6</v>
      </c>
    </row>
    <row r="1792" spans="1:41" x14ac:dyDescent="0.25">
      <c r="A1792" s="6" t="str">
        <f t="shared" si="456"/>
        <v>522-2026000088</v>
      </c>
      <c r="B1792" s="6" t="str">
        <f t="shared" si="449"/>
        <v>EL CORTE</v>
      </c>
      <c r="C1792" s="7">
        <v>46030</v>
      </c>
      <c r="D1792" s="7">
        <v>46035</v>
      </c>
      <c r="E1792" s="8">
        <v>4</v>
      </c>
      <c r="F1792" s="6" t="str">
        <f t="shared" si="457"/>
        <v>94764801_07026</v>
      </c>
      <c r="G1792" s="6" t="str">
        <f t="shared" si="450"/>
        <v>F310631650000000</v>
      </c>
      <c r="H1792" s="6" t="str">
        <f t="shared" si="451"/>
        <v>PLAR 6316 FD - 500 g</v>
      </c>
      <c r="I1792" s="6" t="str">
        <f>"200901"</f>
        <v>200901</v>
      </c>
      <c r="J1792" s="6" t="str">
        <f>"ROSA 901"</f>
        <v>ROSA 901</v>
      </c>
      <c r="K1792" s="6" t="str">
        <f>"0520"</f>
        <v>0520</v>
      </c>
      <c r="L1792" s="6" t="str">
        <f>"Toalhetes"</f>
        <v>Toalhetes</v>
      </c>
      <c r="M1792" s="6" t="str">
        <f>"30x50"</f>
        <v>30x50</v>
      </c>
      <c r="N1792" s="6" t="str">
        <f>"5602972281101"</f>
        <v>5602972281101</v>
      </c>
      <c r="O1792" s="8">
        <v>6</v>
      </c>
      <c r="R1792" s="8">
        <v>0</v>
      </c>
      <c r="U1792" s="8">
        <v>0</v>
      </c>
      <c r="X1792" s="8">
        <v>0</v>
      </c>
      <c r="Z1792" s="8">
        <v>0</v>
      </c>
      <c r="AC1792" s="8">
        <v>0</v>
      </c>
      <c r="AF1792" s="8">
        <v>0</v>
      </c>
      <c r="AN1792" s="8">
        <v>6</v>
      </c>
      <c r="AO1792" s="8">
        <v>0</v>
      </c>
    </row>
    <row r="1793" spans="1:41" x14ac:dyDescent="0.25">
      <c r="A1793" s="6" t="str">
        <f t="shared" si="456"/>
        <v>522-2026000088</v>
      </c>
      <c r="B1793" s="6" t="str">
        <f t="shared" si="449"/>
        <v>EL CORTE</v>
      </c>
      <c r="C1793" s="7">
        <v>46030</v>
      </c>
      <c r="D1793" s="7">
        <v>46035</v>
      </c>
      <c r="E1793" s="8">
        <v>5</v>
      </c>
      <c r="F1793" s="6" t="str">
        <f t="shared" si="457"/>
        <v>94764801_07026</v>
      </c>
      <c r="G1793" s="6" t="str">
        <f t="shared" si="450"/>
        <v>F310631650000000</v>
      </c>
      <c r="H1793" s="6" t="str">
        <f t="shared" si="451"/>
        <v>PLAR 6316 FD - 500 g</v>
      </c>
      <c r="I1793" s="6" t="str">
        <f>"200901"</f>
        <v>200901</v>
      </c>
      <c r="J1793" s="6" t="str">
        <f>"ROSA 901"</f>
        <v>ROSA 901</v>
      </c>
      <c r="K1793" s="6" t="str">
        <f>"1024"</f>
        <v>1024</v>
      </c>
      <c r="L1793" s="6" t="str">
        <f>"Toalhas"</f>
        <v>Toalhas</v>
      </c>
      <c r="M1793" s="6" t="str">
        <f>"50x100"</f>
        <v>50x100</v>
      </c>
      <c r="N1793" s="6" t="str">
        <f>"5602972281118"</f>
        <v>5602972281118</v>
      </c>
      <c r="O1793" s="8">
        <v>6</v>
      </c>
      <c r="R1793" s="8">
        <v>0</v>
      </c>
      <c r="U1793" s="8">
        <v>0</v>
      </c>
      <c r="X1793" s="8">
        <v>0</v>
      </c>
      <c r="Z1793" s="8">
        <v>0</v>
      </c>
      <c r="AC1793" s="8">
        <v>0</v>
      </c>
      <c r="AF1793" s="8">
        <v>0</v>
      </c>
      <c r="AN1793" s="8">
        <v>6</v>
      </c>
      <c r="AO1793" s="8">
        <v>0</v>
      </c>
    </row>
    <row r="1794" spans="1:41" x14ac:dyDescent="0.25">
      <c r="A1794" s="6" t="str">
        <f t="shared" si="456"/>
        <v>522-2026000088</v>
      </c>
      <c r="B1794" s="6" t="str">
        <f t="shared" si="449"/>
        <v>EL CORTE</v>
      </c>
      <c r="C1794" s="7">
        <v>46030</v>
      </c>
      <c r="D1794" s="7">
        <v>46035</v>
      </c>
      <c r="E1794" s="8">
        <v>6</v>
      </c>
      <c r="F1794" s="6" t="str">
        <f t="shared" si="457"/>
        <v>94764801_07026</v>
      </c>
      <c r="G1794" s="6" t="str">
        <f t="shared" si="450"/>
        <v>F310631650000000</v>
      </c>
      <c r="H1794" s="6" t="str">
        <f t="shared" si="451"/>
        <v>PLAR 6316 FD - 500 g</v>
      </c>
      <c r="I1794" s="6" t="str">
        <f>"200901"</f>
        <v>200901</v>
      </c>
      <c r="J1794" s="6" t="str">
        <f>"ROSA 901"</f>
        <v>ROSA 901</v>
      </c>
      <c r="K1794" s="6" t="str">
        <f>"2020"</f>
        <v>2020</v>
      </c>
      <c r="L1794" s="6" t="str">
        <f>"Lençóis"</f>
        <v>Lençóis</v>
      </c>
      <c r="M1794" s="6" t="str">
        <f>"100x150"</f>
        <v>100x150</v>
      </c>
      <c r="N1794" s="6" t="str">
        <f>"5602972281125"</f>
        <v>5602972281125</v>
      </c>
      <c r="O1794" s="8">
        <v>6</v>
      </c>
      <c r="R1794" s="8">
        <v>0</v>
      </c>
      <c r="U1794" s="8">
        <v>0</v>
      </c>
      <c r="X1794" s="8">
        <v>0</v>
      </c>
      <c r="Z1794" s="8">
        <v>0</v>
      </c>
      <c r="AC1794" s="8">
        <v>0</v>
      </c>
      <c r="AF1794" s="8">
        <v>0</v>
      </c>
      <c r="AN1794" s="8">
        <v>0</v>
      </c>
      <c r="AO1794" s="8">
        <v>6</v>
      </c>
    </row>
    <row r="1795" spans="1:41" x14ac:dyDescent="0.25">
      <c r="A1795" s="6" t="str">
        <f t="shared" si="456"/>
        <v>522-2026000088</v>
      </c>
      <c r="B1795" s="6" t="str">
        <f t="shared" si="449"/>
        <v>EL CORTE</v>
      </c>
      <c r="C1795" s="7">
        <v>46030</v>
      </c>
      <c r="D1795" s="7">
        <v>46035</v>
      </c>
      <c r="E1795" s="8">
        <v>7</v>
      </c>
      <c r="F1795" s="6" t="str">
        <f t="shared" si="457"/>
        <v>94764801_07026</v>
      </c>
      <c r="G1795" s="6" t="str">
        <f t="shared" si="450"/>
        <v>F310631650000000</v>
      </c>
      <c r="H1795" s="6" t="str">
        <f t="shared" si="451"/>
        <v>PLAR 6316 FD - 500 g</v>
      </c>
      <c r="I1795" s="6" t="str">
        <f>"200510"</f>
        <v>200510</v>
      </c>
      <c r="J1795" s="6" t="str">
        <f>"VERDE 510"</f>
        <v>VERDE 510</v>
      </c>
      <c r="K1795" s="6" t="str">
        <f>"1024"</f>
        <v>1024</v>
      </c>
      <c r="L1795" s="6" t="str">
        <f>"Toalhas"</f>
        <v>Toalhas</v>
      </c>
      <c r="M1795" s="6" t="str">
        <f>"50x100"</f>
        <v>50x100</v>
      </c>
      <c r="N1795" s="6" t="str">
        <f>"5602972281149"</f>
        <v>5602972281149</v>
      </c>
      <c r="O1795" s="8">
        <v>6</v>
      </c>
      <c r="R1795" s="8">
        <v>0</v>
      </c>
      <c r="U1795" s="8">
        <v>0</v>
      </c>
      <c r="X1795" s="8">
        <v>0</v>
      </c>
      <c r="Z1795" s="8">
        <v>0</v>
      </c>
      <c r="AC1795" s="8">
        <v>0</v>
      </c>
      <c r="AF1795" s="8">
        <v>0</v>
      </c>
      <c r="AN1795" s="8">
        <v>6</v>
      </c>
      <c r="AO1795" s="8">
        <v>0</v>
      </c>
    </row>
    <row r="1796" spans="1:41" x14ac:dyDescent="0.25">
      <c r="A1796" s="6" t="str">
        <f t="shared" si="456"/>
        <v>522-2026000088</v>
      </c>
      <c r="B1796" s="6" t="str">
        <f t="shared" si="449"/>
        <v>EL CORTE</v>
      </c>
      <c r="C1796" s="7">
        <v>46030</v>
      </c>
      <c r="D1796" s="7">
        <v>46035</v>
      </c>
      <c r="E1796" s="8">
        <v>8</v>
      </c>
      <c r="F1796" s="6" t="str">
        <f t="shared" si="457"/>
        <v>94764801_07026</v>
      </c>
      <c r="G1796" s="6" t="str">
        <f t="shared" si="450"/>
        <v>F310631650000000</v>
      </c>
      <c r="H1796" s="6" t="str">
        <f t="shared" si="451"/>
        <v>PLAR 6316 FD - 500 g</v>
      </c>
      <c r="I1796" s="6" t="str">
        <f>"200510"</f>
        <v>200510</v>
      </c>
      <c r="J1796" s="6" t="str">
        <f>"VERDE 510"</f>
        <v>VERDE 510</v>
      </c>
      <c r="K1796" s="6" t="str">
        <f>"2020"</f>
        <v>2020</v>
      </c>
      <c r="L1796" s="6" t="str">
        <f>"Lençóis"</f>
        <v>Lençóis</v>
      </c>
      <c r="M1796" s="6" t="str">
        <f>"100x150"</f>
        <v>100x150</v>
      </c>
      <c r="N1796" s="6" t="str">
        <f>"5602972281156"</f>
        <v>5602972281156</v>
      </c>
      <c r="O1796" s="8">
        <v>6</v>
      </c>
      <c r="R1796" s="8">
        <v>0</v>
      </c>
      <c r="U1796" s="8">
        <v>0</v>
      </c>
      <c r="X1796" s="8">
        <v>0</v>
      </c>
      <c r="Z1796" s="8">
        <v>0</v>
      </c>
      <c r="AC1796" s="8">
        <v>0</v>
      </c>
      <c r="AF1796" s="8">
        <v>0</v>
      </c>
      <c r="AN1796" s="8">
        <v>0</v>
      </c>
      <c r="AO1796" s="8">
        <v>6</v>
      </c>
    </row>
    <row r="1797" spans="1:41" x14ac:dyDescent="0.25">
      <c r="A1797" s="6" t="str">
        <f>"522-2026000089"</f>
        <v>522-2026000089</v>
      </c>
      <c r="B1797" s="6" t="str">
        <f t="shared" si="449"/>
        <v>EL CORTE</v>
      </c>
      <c r="C1797" s="7">
        <v>46030</v>
      </c>
      <c r="D1797" s="7">
        <v>46035</v>
      </c>
      <c r="E1797" s="8">
        <v>1</v>
      </c>
      <c r="F1797" s="6" t="str">
        <f>"94765701_07026"</f>
        <v>94765701_07026</v>
      </c>
      <c r="G1797" s="6" t="str">
        <f t="shared" si="450"/>
        <v>F310631650000000</v>
      </c>
      <c r="H1797" s="6" t="str">
        <f t="shared" si="451"/>
        <v>PLAR 6316 FD - 500 g</v>
      </c>
      <c r="I1797" s="6" t="str">
        <f>"201855"</f>
        <v>201855</v>
      </c>
      <c r="J1797" s="6" t="str">
        <f>"AZUL 1855"</f>
        <v>AZUL 1855</v>
      </c>
      <c r="K1797" s="6" t="str">
        <f>"0520"</f>
        <v>0520</v>
      </c>
      <c r="L1797" s="6" t="str">
        <f>"Toalhetes"</f>
        <v>Toalhetes</v>
      </c>
      <c r="M1797" s="6" t="str">
        <f>"30x50"</f>
        <v>30x50</v>
      </c>
      <c r="N1797" s="6" t="str">
        <f>"5602972281040"</f>
        <v>5602972281040</v>
      </c>
      <c r="O1797" s="8">
        <v>6</v>
      </c>
      <c r="R1797" s="8">
        <v>0</v>
      </c>
      <c r="U1797" s="8">
        <v>0</v>
      </c>
      <c r="X1797" s="8">
        <v>0</v>
      </c>
      <c r="Z1797" s="8">
        <v>0</v>
      </c>
      <c r="AC1797" s="8">
        <v>0</v>
      </c>
      <c r="AF1797" s="8">
        <v>0</v>
      </c>
      <c r="AN1797" s="8">
        <v>6</v>
      </c>
      <c r="AO1797" s="8">
        <v>0</v>
      </c>
    </row>
    <row r="1798" spans="1:41" x14ac:dyDescent="0.25">
      <c r="A1798" s="6" t="str">
        <f>"522-2026000089"</f>
        <v>522-2026000089</v>
      </c>
      <c r="B1798" s="6" t="str">
        <f t="shared" si="449"/>
        <v>EL CORTE</v>
      </c>
      <c r="C1798" s="7">
        <v>46030</v>
      </c>
      <c r="D1798" s="7">
        <v>46035</v>
      </c>
      <c r="E1798" s="8">
        <v>2</v>
      </c>
      <c r="F1798" s="6" t="str">
        <f>"94765701_07026"</f>
        <v>94765701_07026</v>
      </c>
      <c r="G1798" s="6" t="str">
        <f t="shared" si="450"/>
        <v>F310631650000000</v>
      </c>
      <c r="H1798" s="6" t="str">
        <f t="shared" si="451"/>
        <v>PLAR 6316 FD - 500 g</v>
      </c>
      <c r="I1798" s="6" t="str">
        <f>"201855"</f>
        <v>201855</v>
      </c>
      <c r="J1798" s="6" t="str">
        <f>"AZUL 1855"</f>
        <v>AZUL 1855</v>
      </c>
      <c r="K1798" s="6" t="str">
        <f>"2020"</f>
        <v>2020</v>
      </c>
      <c r="L1798" s="6" t="str">
        <f>"Lençóis"</f>
        <v>Lençóis</v>
      </c>
      <c r="M1798" s="6" t="str">
        <f>"100x150"</f>
        <v>100x150</v>
      </c>
      <c r="N1798" s="6" t="str">
        <f>"5602972281064"</f>
        <v>5602972281064</v>
      </c>
      <c r="O1798" s="8">
        <v>3</v>
      </c>
      <c r="R1798" s="8">
        <v>0</v>
      </c>
      <c r="U1798" s="8">
        <v>0</v>
      </c>
      <c r="X1798" s="8">
        <v>0</v>
      </c>
      <c r="Z1798" s="8">
        <v>0</v>
      </c>
      <c r="AC1798" s="8">
        <v>0</v>
      </c>
      <c r="AF1798" s="8">
        <v>0</v>
      </c>
      <c r="AN1798" s="8">
        <v>0</v>
      </c>
      <c r="AO1798" s="8">
        <v>3</v>
      </c>
    </row>
    <row r="1799" spans="1:41" x14ac:dyDescent="0.25">
      <c r="A1799" s="6" t="str">
        <f>"522-2026000089"</f>
        <v>522-2026000089</v>
      </c>
      <c r="B1799" s="6" t="str">
        <f t="shared" ref="B1799:B1862" si="458">"EL CORTE"</f>
        <v>EL CORTE</v>
      </c>
      <c r="C1799" s="7">
        <v>46030</v>
      </c>
      <c r="D1799" s="7">
        <v>46035</v>
      </c>
      <c r="E1799" s="8">
        <v>3</v>
      </c>
      <c r="F1799" s="6" t="str">
        <f>"94765701_07026"</f>
        <v>94765701_07026</v>
      </c>
      <c r="G1799" s="6" t="str">
        <f t="shared" ref="G1799:G1862" si="459">"F310631650000000"</f>
        <v>F310631650000000</v>
      </c>
      <c r="H1799" s="6" t="str">
        <f t="shared" ref="H1799:H1862" si="460">"PLAR 6316 FD - 500 g"</f>
        <v>PLAR 6316 FD - 500 g</v>
      </c>
      <c r="I1799" s="6" t="str">
        <f>"202575"</f>
        <v>202575</v>
      </c>
      <c r="J1799" s="6" t="str">
        <f>"BEGE 2575"</f>
        <v>BEGE 2575</v>
      </c>
      <c r="K1799" s="6" t="str">
        <f>"2020"</f>
        <v>2020</v>
      </c>
      <c r="L1799" s="6" t="str">
        <f>"Lençóis"</f>
        <v>Lençóis</v>
      </c>
      <c r="M1799" s="6" t="str">
        <f>"100x150"</f>
        <v>100x150</v>
      </c>
      <c r="N1799" s="6" t="str">
        <f>"5602972281095"</f>
        <v>5602972281095</v>
      </c>
      <c r="O1799" s="8">
        <v>3</v>
      </c>
      <c r="R1799" s="8">
        <v>0</v>
      </c>
      <c r="U1799" s="8">
        <v>0</v>
      </c>
      <c r="X1799" s="8">
        <v>0</v>
      </c>
      <c r="Z1799" s="8">
        <v>0</v>
      </c>
      <c r="AC1799" s="8">
        <v>0</v>
      </c>
      <c r="AF1799" s="8">
        <v>0</v>
      </c>
      <c r="AN1799" s="8">
        <v>0</v>
      </c>
      <c r="AO1799" s="8">
        <v>3</v>
      </c>
    </row>
    <row r="1800" spans="1:41" x14ac:dyDescent="0.25">
      <c r="A1800" s="6" t="str">
        <f t="shared" ref="A1800:A1805" si="461">"522-2026000090"</f>
        <v>522-2026000090</v>
      </c>
      <c r="B1800" s="6" t="str">
        <f t="shared" si="458"/>
        <v>EL CORTE</v>
      </c>
      <c r="C1800" s="7">
        <v>46030</v>
      </c>
      <c r="D1800" s="7">
        <v>46035</v>
      </c>
      <c r="E1800" s="8">
        <v>1</v>
      </c>
      <c r="F1800" s="6" t="str">
        <f t="shared" ref="F1800:F1805" si="462">"94761801_07026"</f>
        <v>94761801_07026</v>
      </c>
      <c r="G1800" s="6" t="str">
        <f t="shared" si="459"/>
        <v>F310631650000000</v>
      </c>
      <c r="H1800" s="6" t="str">
        <f t="shared" si="460"/>
        <v>PLAR 6316 FD - 500 g</v>
      </c>
      <c r="I1800" s="6" t="str">
        <f>"202575"</f>
        <v>202575</v>
      </c>
      <c r="J1800" s="6" t="str">
        <f>"BEGE 2575"</f>
        <v>BEGE 2575</v>
      </c>
      <c r="K1800" s="6" t="str">
        <f>"0520"</f>
        <v>0520</v>
      </c>
      <c r="L1800" s="6" t="str">
        <f>"Toalhetes"</f>
        <v>Toalhetes</v>
      </c>
      <c r="M1800" s="6" t="str">
        <f>"30x50"</f>
        <v>30x50</v>
      </c>
      <c r="N1800" s="6" t="str">
        <f>"5602972281071"</f>
        <v>5602972281071</v>
      </c>
      <c r="O1800" s="8">
        <v>6</v>
      </c>
      <c r="R1800" s="8">
        <v>0</v>
      </c>
      <c r="U1800" s="8">
        <v>0</v>
      </c>
      <c r="X1800" s="8">
        <v>0</v>
      </c>
      <c r="Z1800" s="8">
        <v>0</v>
      </c>
      <c r="AC1800" s="8">
        <v>0</v>
      </c>
      <c r="AF1800" s="8">
        <v>0</v>
      </c>
      <c r="AN1800" s="8">
        <v>6</v>
      </c>
      <c r="AO1800" s="8">
        <v>0</v>
      </c>
    </row>
    <row r="1801" spans="1:41" x14ac:dyDescent="0.25">
      <c r="A1801" s="6" t="str">
        <f t="shared" si="461"/>
        <v>522-2026000090</v>
      </c>
      <c r="B1801" s="6" t="str">
        <f t="shared" si="458"/>
        <v>EL CORTE</v>
      </c>
      <c r="C1801" s="7">
        <v>46030</v>
      </c>
      <c r="D1801" s="7">
        <v>46035</v>
      </c>
      <c r="E1801" s="8">
        <v>2</v>
      </c>
      <c r="F1801" s="6" t="str">
        <f t="shared" si="462"/>
        <v>94761801_07026</v>
      </c>
      <c r="G1801" s="6" t="str">
        <f t="shared" si="459"/>
        <v>F310631650000000</v>
      </c>
      <c r="H1801" s="6" t="str">
        <f t="shared" si="460"/>
        <v>PLAR 6316 FD - 500 g</v>
      </c>
      <c r="I1801" s="6" t="str">
        <f>"202575"</f>
        <v>202575</v>
      </c>
      <c r="J1801" s="6" t="str">
        <f>"BEGE 2575"</f>
        <v>BEGE 2575</v>
      </c>
      <c r="K1801" s="6" t="str">
        <f>"1024"</f>
        <v>1024</v>
      </c>
      <c r="L1801" s="6" t="str">
        <f>"Toalhas"</f>
        <v>Toalhas</v>
      </c>
      <c r="M1801" s="6" t="str">
        <f>"50x100"</f>
        <v>50x100</v>
      </c>
      <c r="N1801" s="6" t="str">
        <f>"5602972281088"</f>
        <v>5602972281088</v>
      </c>
      <c r="O1801" s="8">
        <v>6</v>
      </c>
      <c r="R1801" s="8">
        <v>0</v>
      </c>
      <c r="U1801" s="8">
        <v>0</v>
      </c>
      <c r="X1801" s="8">
        <v>0</v>
      </c>
      <c r="Z1801" s="8">
        <v>0</v>
      </c>
      <c r="AC1801" s="8">
        <v>0</v>
      </c>
      <c r="AF1801" s="8">
        <v>0</v>
      </c>
      <c r="AN1801" s="8">
        <v>6</v>
      </c>
      <c r="AO1801" s="8">
        <v>0</v>
      </c>
    </row>
    <row r="1802" spans="1:41" x14ac:dyDescent="0.25">
      <c r="A1802" s="6" t="str">
        <f t="shared" si="461"/>
        <v>522-2026000090</v>
      </c>
      <c r="B1802" s="6" t="str">
        <f t="shared" si="458"/>
        <v>EL CORTE</v>
      </c>
      <c r="C1802" s="7">
        <v>46030</v>
      </c>
      <c r="D1802" s="7">
        <v>46035</v>
      </c>
      <c r="E1802" s="8">
        <v>3</v>
      </c>
      <c r="F1802" s="6" t="str">
        <f t="shared" si="462"/>
        <v>94761801_07026</v>
      </c>
      <c r="G1802" s="6" t="str">
        <f t="shared" si="459"/>
        <v>F310631650000000</v>
      </c>
      <c r="H1802" s="6" t="str">
        <f t="shared" si="460"/>
        <v>PLAR 6316 FD - 500 g</v>
      </c>
      <c r="I1802" s="6" t="str">
        <f>"200901"</f>
        <v>200901</v>
      </c>
      <c r="J1802" s="6" t="str">
        <f>"ROSA 901"</f>
        <v>ROSA 901</v>
      </c>
      <c r="K1802" s="6" t="str">
        <f>"1024"</f>
        <v>1024</v>
      </c>
      <c r="L1802" s="6" t="str">
        <f>"Toalhas"</f>
        <v>Toalhas</v>
      </c>
      <c r="M1802" s="6" t="str">
        <f>"50x100"</f>
        <v>50x100</v>
      </c>
      <c r="N1802" s="6" t="str">
        <f>"5602972281118"</f>
        <v>5602972281118</v>
      </c>
      <c r="O1802" s="8">
        <v>6</v>
      </c>
      <c r="R1802" s="8">
        <v>0</v>
      </c>
      <c r="U1802" s="8">
        <v>0</v>
      </c>
      <c r="X1802" s="8">
        <v>0</v>
      </c>
      <c r="Z1802" s="8">
        <v>0</v>
      </c>
      <c r="AC1802" s="8">
        <v>0</v>
      </c>
      <c r="AF1802" s="8">
        <v>0</v>
      </c>
      <c r="AN1802" s="8">
        <v>6</v>
      </c>
      <c r="AO1802" s="8">
        <v>0</v>
      </c>
    </row>
    <row r="1803" spans="1:41" x14ac:dyDescent="0.25">
      <c r="A1803" s="6" t="str">
        <f t="shared" si="461"/>
        <v>522-2026000090</v>
      </c>
      <c r="B1803" s="6" t="str">
        <f t="shared" si="458"/>
        <v>EL CORTE</v>
      </c>
      <c r="C1803" s="7">
        <v>46030</v>
      </c>
      <c r="D1803" s="7">
        <v>46035</v>
      </c>
      <c r="E1803" s="8">
        <v>4</v>
      </c>
      <c r="F1803" s="6" t="str">
        <f t="shared" si="462"/>
        <v>94761801_07026</v>
      </c>
      <c r="G1803" s="6" t="str">
        <f t="shared" si="459"/>
        <v>F310631650000000</v>
      </c>
      <c r="H1803" s="6" t="str">
        <f t="shared" si="460"/>
        <v>PLAR 6316 FD - 500 g</v>
      </c>
      <c r="I1803" s="6" t="str">
        <f>"200510"</f>
        <v>200510</v>
      </c>
      <c r="J1803" s="6" t="str">
        <f>"VERDE 510"</f>
        <v>VERDE 510</v>
      </c>
      <c r="K1803" s="6" t="str">
        <f>"0520"</f>
        <v>0520</v>
      </c>
      <c r="L1803" s="6" t="str">
        <f>"Toalhetes"</f>
        <v>Toalhetes</v>
      </c>
      <c r="M1803" s="6" t="str">
        <f>"30x50"</f>
        <v>30x50</v>
      </c>
      <c r="N1803" s="6" t="str">
        <f>"5602972281132"</f>
        <v>5602972281132</v>
      </c>
      <c r="O1803" s="8">
        <v>6</v>
      </c>
      <c r="R1803" s="8">
        <v>0</v>
      </c>
      <c r="U1803" s="8">
        <v>0</v>
      </c>
      <c r="X1803" s="8">
        <v>0</v>
      </c>
      <c r="Z1803" s="8">
        <v>0</v>
      </c>
      <c r="AC1803" s="8">
        <v>0</v>
      </c>
      <c r="AF1803" s="8">
        <v>0</v>
      </c>
      <c r="AN1803" s="8">
        <v>6</v>
      </c>
      <c r="AO1803" s="8">
        <v>0</v>
      </c>
    </row>
    <row r="1804" spans="1:41" x14ac:dyDescent="0.25">
      <c r="A1804" s="6" t="str">
        <f t="shared" si="461"/>
        <v>522-2026000090</v>
      </c>
      <c r="B1804" s="6" t="str">
        <f t="shared" si="458"/>
        <v>EL CORTE</v>
      </c>
      <c r="C1804" s="7">
        <v>46030</v>
      </c>
      <c r="D1804" s="7">
        <v>46035</v>
      </c>
      <c r="E1804" s="8">
        <v>5</v>
      </c>
      <c r="F1804" s="6" t="str">
        <f t="shared" si="462"/>
        <v>94761801_07026</v>
      </c>
      <c r="G1804" s="6" t="str">
        <f t="shared" si="459"/>
        <v>F310631650000000</v>
      </c>
      <c r="H1804" s="6" t="str">
        <f t="shared" si="460"/>
        <v>PLAR 6316 FD - 500 g</v>
      </c>
      <c r="I1804" s="6" t="str">
        <f>"200510"</f>
        <v>200510</v>
      </c>
      <c r="J1804" s="6" t="str">
        <f>"VERDE 510"</f>
        <v>VERDE 510</v>
      </c>
      <c r="K1804" s="6" t="str">
        <f>"1024"</f>
        <v>1024</v>
      </c>
      <c r="L1804" s="6" t="str">
        <f>"Toalhas"</f>
        <v>Toalhas</v>
      </c>
      <c r="M1804" s="6" t="str">
        <f>"50x100"</f>
        <v>50x100</v>
      </c>
      <c r="N1804" s="6" t="str">
        <f>"5602972281149"</f>
        <v>5602972281149</v>
      </c>
      <c r="O1804" s="8">
        <v>12</v>
      </c>
      <c r="R1804" s="8">
        <v>0</v>
      </c>
      <c r="U1804" s="8">
        <v>0</v>
      </c>
      <c r="X1804" s="8">
        <v>0</v>
      </c>
      <c r="Z1804" s="8">
        <v>0</v>
      </c>
      <c r="AC1804" s="8">
        <v>0</v>
      </c>
      <c r="AF1804" s="8">
        <v>0</v>
      </c>
      <c r="AN1804" s="8">
        <v>12</v>
      </c>
      <c r="AO1804" s="8">
        <v>0</v>
      </c>
    </row>
    <row r="1805" spans="1:41" x14ac:dyDescent="0.25">
      <c r="A1805" s="6" t="str">
        <f t="shared" si="461"/>
        <v>522-2026000090</v>
      </c>
      <c r="B1805" s="6" t="str">
        <f t="shared" si="458"/>
        <v>EL CORTE</v>
      </c>
      <c r="C1805" s="7">
        <v>46030</v>
      </c>
      <c r="D1805" s="7">
        <v>46035</v>
      </c>
      <c r="E1805" s="8">
        <v>6</v>
      </c>
      <c r="F1805" s="6" t="str">
        <f t="shared" si="462"/>
        <v>94761801_07026</v>
      </c>
      <c r="G1805" s="6" t="str">
        <f t="shared" si="459"/>
        <v>F310631650000000</v>
      </c>
      <c r="H1805" s="6" t="str">
        <f t="shared" si="460"/>
        <v>PLAR 6316 FD - 500 g</v>
      </c>
      <c r="I1805" s="6" t="str">
        <f>"200510"</f>
        <v>200510</v>
      </c>
      <c r="J1805" s="6" t="str">
        <f>"VERDE 510"</f>
        <v>VERDE 510</v>
      </c>
      <c r="K1805" s="6" t="str">
        <f>"2020"</f>
        <v>2020</v>
      </c>
      <c r="L1805" s="6" t="str">
        <f>"Lençóis"</f>
        <v>Lençóis</v>
      </c>
      <c r="M1805" s="6" t="str">
        <f>"100x150"</f>
        <v>100x150</v>
      </c>
      <c r="N1805" s="6" t="str">
        <f>"5602972281156"</f>
        <v>5602972281156</v>
      </c>
      <c r="O1805" s="8">
        <v>6</v>
      </c>
      <c r="R1805" s="8">
        <v>0</v>
      </c>
      <c r="U1805" s="8">
        <v>0</v>
      </c>
      <c r="X1805" s="8">
        <v>0</v>
      </c>
      <c r="Z1805" s="8">
        <v>0</v>
      </c>
      <c r="AC1805" s="8">
        <v>0</v>
      </c>
      <c r="AF1805" s="8">
        <v>0</v>
      </c>
      <c r="AN1805" s="8">
        <v>0</v>
      </c>
      <c r="AO1805" s="8">
        <v>6</v>
      </c>
    </row>
    <row r="1806" spans="1:41" x14ac:dyDescent="0.25">
      <c r="A1806" s="6" t="str">
        <f>"522-2026000091"</f>
        <v>522-2026000091</v>
      </c>
      <c r="B1806" s="6" t="str">
        <f t="shared" si="458"/>
        <v>EL CORTE</v>
      </c>
      <c r="C1806" s="7">
        <v>46030</v>
      </c>
      <c r="D1806" s="7">
        <v>46035</v>
      </c>
      <c r="E1806" s="8">
        <v>1</v>
      </c>
      <c r="F1806" s="6" t="str">
        <f>"94761601_07026"</f>
        <v>94761601_07026</v>
      </c>
      <c r="G1806" s="6" t="str">
        <f t="shared" si="459"/>
        <v>F310631650000000</v>
      </c>
      <c r="H1806" s="6" t="str">
        <f t="shared" si="460"/>
        <v>PLAR 6316 FD - 500 g</v>
      </c>
      <c r="I1806" s="6" t="str">
        <f>"202575"</f>
        <v>202575</v>
      </c>
      <c r="J1806" s="6" t="str">
        <f>"BEGE 2575"</f>
        <v>BEGE 2575</v>
      </c>
      <c r="K1806" s="6" t="str">
        <f>"2020"</f>
        <v>2020</v>
      </c>
      <c r="L1806" s="6" t="str">
        <f>"Lençóis"</f>
        <v>Lençóis</v>
      </c>
      <c r="M1806" s="6" t="str">
        <f>"100x150"</f>
        <v>100x150</v>
      </c>
      <c r="N1806" s="6" t="str">
        <f>"5602972281095"</f>
        <v>5602972281095</v>
      </c>
      <c r="O1806" s="8">
        <v>3</v>
      </c>
      <c r="R1806" s="8">
        <v>0</v>
      </c>
      <c r="U1806" s="8">
        <v>0</v>
      </c>
      <c r="X1806" s="8">
        <v>0</v>
      </c>
      <c r="Z1806" s="8">
        <v>0</v>
      </c>
      <c r="AC1806" s="8">
        <v>0</v>
      </c>
      <c r="AF1806" s="8">
        <v>0</v>
      </c>
      <c r="AN1806" s="8">
        <v>0</v>
      </c>
      <c r="AO1806" s="8">
        <v>3</v>
      </c>
    </row>
    <row r="1807" spans="1:41" x14ac:dyDescent="0.25">
      <c r="A1807" s="6" t="str">
        <f>"522-2026000091"</f>
        <v>522-2026000091</v>
      </c>
      <c r="B1807" s="6" t="str">
        <f t="shared" si="458"/>
        <v>EL CORTE</v>
      </c>
      <c r="C1807" s="7">
        <v>46030</v>
      </c>
      <c r="D1807" s="7">
        <v>46035</v>
      </c>
      <c r="E1807" s="8">
        <v>2</v>
      </c>
      <c r="F1807" s="6" t="str">
        <f>"94761601_07026"</f>
        <v>94761601_07026</v>
      </c>
      <c r="G1807" s="6" t="str">
        <f t="shared" si="459"/>
        <v>F310631650000000</v>
      </c>
      <c r="H1807" s="6" t="str">
        <f t="shared" si="460"/>
        <v>PLAR 6316 FD - 500 g</v>
      </c>
      <c r="I1807" s="6" t="str">
        <f>"200901"</f>
        <v>200901</v>
      </c>
      <c r="J1807" s="6" t="str">
        <f>"ROSA 901"</f>
        <v>ROSA 901</v>
      </c>
      <c r="K1807" s="6" t="str">
        <f>"2020"</f>
        <v>2020</v>
      </c>
      <c r="L1807" s="6" t="str">
        <f>"Lençóis"</f>
        <v>Lençóis</v>
      </c>
      <c r="M1807" s="6" t="str">
        <f>"100x150"</f>
        <v>100x150</v>
      </c>
      <c r="N1807" s="6" t="str">
        <f>"5602972281125"</f>
        <v>5602972281125</v>
      </c>
      <c r="O1807" s="8">
        <v>3</v>
      </c>
      <c r="R1807" s="8">
        <v>0</v>
      </c>
      <c r="U1807" s="8">
        <v>0</v>
      </c>
      <c r="X1807" s="8">
        <v>0</v>
      </c>
      <c r="Z1807" s="8">
        <v>0</v>
      </c>
      <c r="AC1807" s="8">
        <v>0</v>
      </c>
      <c r="AF1807" s="8">
        <v>0</v>
      </c>
      <c r="AN1807" s="8">
        <v>0</v>
      </c>
      <c r="AO1807" s="8">
        <v>3</v>
      </c>
    </row>
    <row r="1808" spans="1:41" x14ac:dyDescent="0.25">
      <c r="A1808" s="6" t="str">
        <f>"522-2026000091"</f>
        <v>522-2026000091</v>
      </c>
      <c r="B1808" s="6" t="str">
        <f t="shared" si="458"/>
        <v>EL CORTE</v>
      </c>
      <c r="C1808" s="7">
        <v>46030</v>
      </c>
      <c r="D1808" s="7">
        <v>46035</v>
      </c>
      <c r="E1808" s="8">
        <v>3</v>
      </c>
      <c r="F1808" s="6" t="str">
        <f>"94761601_07026"</f>
        <v>94761601_07026</v>
      </c>
      <c r="G1808" s="6" t="str">
        <f t="shared" si="459"/>
        <v>F310631650000000</v>
      </c>
      <c r="H1808" s="6" t="str">
        <f t="shared" si="460"/>
        <v>PLAR 6316 FD - 500 g</v>
      </c>
      <c r="I1808" s="6" t="str">
        <f>"200510"</f>
        <v>200510</v>
      </c>
      <c r="J1808" s="6" t="str">
        <f>"VERDE 510"</f>
        <v>VERDE 510</v>
      </c>
      <c r="K1808" s="6" t="str">
        <f>"1024"</f>
        <v>1024</v>
      </c>
      <c r="L1808" s="6" t="str">
        <f>"Toalhas"</f>
        <v>Toalhas</v>
      </c>
      <c r="M1808" s="6" t="str">
        <f>"50x100"</f>
        <v>50x100</v>
      </c>
      <c r="N1808" s="6" t="str">
        <f>"5602972281149"</f>
        <v>5602972281149</v>
      </c>
      <c r="O1808" s="8">
        <v>6</v>
      </c>
      <c r="R1808" s="8">
        <v>0</v>
      </c>
      <c r="U1808" s="8">
        <v>0</v>
      </c>
      <c r="X1808" s="8">
        <v>0</v>
      </c>
      <c r="Z1808" s="8">
        <v>0</v>
      </c>
      <c r="AC1808" s="8">
        <v>0</v>
      </c>
      <c r="AF1808" s="8">
        <v>0</v>
      </c>
      <c r="AN1808" s="8">
        <v>6</v>
      </c>
      <c r="AO1808" s="8">
        <v>0</v>
      </c>
    </row>
    <row r="1809" spans="1:41" x14ac:dyDescent="0.25">
      <c r="A1809" s="6" t="str">
        <f>"522-2026000091"</f>
        <v>522-2026000091</v>
      </c>
      <c r="B1809" s="6" t="str">
        <f t="shared" si="458"/>
        <v>EL CORTE</v>
      </c>
      <c r="C1809" s="7">
        <v>46030</v>
      </c>
      <c r="D1809" s="7">
        <v>46035</v>
      </c>
      <c r="E1809" s="8">
        <v>4</v>
      </c>
      <c r="F1809" s="6" t="str">
        <f>"94761601_07026"</f>
        <v>94761601_07026</v>
      </c>
      <c r="G1809" s="6" t="str">
        <f t="shared" si="459"/>
        <v>F310631650000000</v>
      </c>
      <c r="H1809" s="6" t="str">
        <f t="shared" si="460"/>
        <v>PLAR 6316 FD - 500 g</v>
      </c>
      <c r="I1809" s="6" t="str">
        <f>"200510"</f>
        <v>200510</v>
      </c>
      <c r="J1809" s="6" t="str">
        <f>"VERDE 510"</f>
        <v>VERDE 510</v>
      </c>
      <c r="K1809" s="6" t="str">
        <f>"2020"</f>
        <v>2020</v>
      </c>
      <c r="L1809" s="6" t="str">
        <f>"Lençóis"</f>
        <v>Lençóis</v>
      </c>
      <c r="M1809" s="6" t="str">
        <f>"100x150"</f>
        <v>100x150</v>
      </c>
      <c r="N1809" s="6" t="str">
        <f>"5602972281156"</f>
        <v>5602972281156</v>
      </c>
      <c r="O1809" s="8">
        <v>6</v>
      </c>
      <c r="R1809" s="8">
        <v>0</v>
      </c>
      <c r="U1809" s="8">
        <v>0</v>
      </c>
      <c r="X1809" s="8">
        <v>0</v>
      </c>
      <c r="Z1809" s="8">
        <v>0</v>
      </c>
      <c r="AC1809" s="8">
        <v>0</v>
      </c>
      <c r="AF1809" s="8">
        <v>0</v>
      </c>
      <c r="AN1809" s="8">
        <v>0</v>
      </c>
      <c r="AO1809" s="8">
        <v>6</v>
      </c>
    </row>
    <row r="1810" spans="1:41" x14ac:dyDescent="0.25">
      <c r="A1810" s="6" t="str">
        <f>"522-2026000092"</f>
        <v>522-2026000092</v>
      </c>
      <c r="B1810" s="6" t="str">
        <f t="shared" si="458"/>
        <v>EL CORTE</v>
      </c>
      <c r="C1810" s="7">
        <v>46030</v>
      </c>
      <c r="D1810" s="7">
        <v>46035</v>
      </c>
      <c r="E1810" s="8">
        <v>1</v>
      </c>
      <c r="F1810" s="6" t="str">
        <f>"94764301_07026"</f>
        <v>94764301_07026</v>
      </c>
      <c r="G1810" s="6" t="str">
        <f t="shared" si="459"/>
        <v>F310631650000000</v>
      </c>
      <c r="H1810" s="6" t="str">
        <f t="shared" si="460"/>
        <v>PLAR 6316 FD - 500 g</v>
      </c>
      <c r="I1810" s="6" t="str">
        <f>"200901"</f>
        <v>200901</v>
      </c>
      <c r="J1810" s="6" t="str">
        <f>"ROSA 901"</f>
        <v>ROSA 901</v>
      </c>
      <c r="K1810" s="6" t="str">
        <f>"1024"</f>
        <v>1024</v>
      </c>
      <c r="L1810" s="6" t="str">
        <f>"Toalhas"</f>
        <v>Toalhas</v>
      </c>
      <c r="M1810" s="6" t="str">
        <f>"50x100"</f>
        <v>50x100</v>
      </c>
      <c r="N1810" s="6" t="str">
        <f>"5602972281118"</f>
        <v>5602972281118</v>
      </c>
      <c r="O1810" s="8">
        <v>6</v>
      </c>
      <c r="R1810" s="8">
        <v>0</v>
      </c>
      <c r="U1810" s="8">
        <v>0</v>
      </c>
      <c r="X1810" s="8">
        <v>0</v>
      </c>
      <c r="Z1810" s="8">
        <v>0</v>
      </c>
      <c r="AC1810" s="8">
        <v>0</v>
      </c>
      <c r="AF1810" s="8">
        <v>0</v>
      </c>
      <c r="AN1810" s="8">
        <v>6</v>
      </c>
      <c r="AO1810" s="8">
        <v>0</v>
      </c>
    </row>
    <row r="1811" spans="1:41" x14ac:dyDescent="0.25">
      <c r="A1811" s="6" t="str">
        <f>"522-2026000093"</f>
        <v>522-2026000093</v>
      </c>
      <c r="B1811" s="6" t="str">
        <f t="shared" si="458"/>
        <v>EL CORTE</v>
      </c>
      <c r="C1811" s="7">
        <v>46030</v>
      </c>
      <c r="D1811" s="7">
        <v>46035</v>
      </c>
      <c r="E1811" s="8">
        <v>1</v>
      </c>
      <c r="F1811" s="6" t="str">
        <f>"94762201_07026"</f>
        <v>94762201_07026</v>
      </c>
      <c r="G1811" s="6" t="str">
        <f t="shared" si="459"/>
        <v>F310631650000000</v>
      </c>
      <c r="H1811" s="6" t="str">
        <f t="shared" si="460"/>
        <v>PLAR 6316 FD - 500 g</v>
      </c>
      <c r="I1811" s="6" t="str">
        <f>"202575"</f>
        <v>202575</v>
      </c>
      <c r="J1811" s="6" t="str">
        <f>"BEGE 2575"</f>
        <v>BEGE 2575</v>
      </c>
      <c r="K1811" s="6" t="str">
        <f>"2020"</f>
        <v>2020</v>
      </c>
      <c r="L1811" s="6" t="str">
        <f>"Lençóis"</f>
        <v>Lençóis</v>
      </c>
      <c r="M1811" s="6" t="str">
        <f>"100x150"</f>
        <v>100x150</v>
      </c>
      <c r="N1811" s="6" t="str">
        <f>"5602972281095"</f>
        <v>5602972281095</v>
      </c>
      <c r="O1811" s="8">
        <v>3</v>
      </c>
      <c r="R1811" s="8">
        <v>0</v>
      </c>
      <c r="U1811" s="8">
        <v>0</v>
      </c>
      <c r="X1811" s="8">
        <v>0</v>
      </c>
      <c r="Z1811" s="8">
        <v>0</v>
      </c>
      <c r="AC1811" s="8">
        <v>0</v>
      </c>
      <c r="AF1811" s="8">
        <v>0</v>
      </c>
      <c r="AN1811" s="8">
        <v>0</v>
      </c>
      <c r="AO1811" s="8">
        <v>3</v>
      </c>
    </row>
    <row r="1812" spans="1:41" x14ac:dyDescent="0.25">
      <c r="A1812" s="6" t="str">
        <f>"522-2026000093"</f>
        <v>522-2026000093</v>
      </c>
      <c r="B1812" s="6" t="str">
        <f t="shared" si="458"/>
        <v>EL CORTE</v>
      </c>
      <c r="C1812" s="7">
        <v>46030</v>
      </c>
      <c r="D1812" s="7">
        <v>46035</v>
      </c>
      <c r="E1812" s="8">
        <v>2</v>
      </c>
      <c r="F1812" s="6" t="str">
        <f>"94762201_07026"</f>
        <v>94762201_07026</v>
      </c>
      <c r="G1812" s="6" t="str">
        <f t="shared" si="459"/>
        <v>F310631650000000</v>
      </c>
      <c r="H1812" s="6" t="str">
        <f t="shared" si="460"/>
        <v>PLAR 6316 FD - 500 g</v>
      </c>
      <c r="I1812" s="6" t="str">
        <f>"200901"</f>
        <v>200901</v>
      </c>
      <c r="J1812" s="6" t="str">
        <f>"ROSA 901"</f>
        <v>ROSA 901</v>
      </c>
      <c r="K1812" s="6" t="str">
        <f>"1024"</f>
        <v>1024</v>
      </c>
      <c r="L1812" s="6" t="str">
        <f>"Toalhas"</f>
        <v>Toalhas</v>
      </c>
      <c r="M1812" s="6" t="str">
        <f>"50x100"</f>
        <v>50x100</v>
      </c>
      <c r="N1812" s="6" t="str">
        <f>"5602972281118"</f>
        <v>5602972281118</v>
      </c>
      <c r="O1812" s="8">
        <v>6</v>
      </c>
      <c r="R1812" s="8">
        <v>0</v>
      </c>
      <c r="U1812" s="8">
        <v>0</v>
      </c>
      <c r="X1812" s="8">
        <v>0</v>
      </c>
      <c r="Z1812" s="8">
        <v>0</v>
      </c>
      <c r="AC1812" s="8">
        <v>0</v>
      </c>
      <c r="AF1812" s="8">
        <v>0</v>
      </c>
      <c r="AN1812" s="8">
        <v>6</v>
      </c>
      <c r="AO1812" s="8">
        <v>0</v>
      </c>
    </row>
    <row r="1813" spans="1:41" x14ac:dyDescent="0.25">
      <c r="A1813" s="6" t="str">
        <f>"522-2026000093"</f>
        <v>522-2026000093</v>
      </c>
      <c r="B1813" s="6" t="str">
        <f t="shared" si="458"/>
        <v>EL CORTE</v>
      </c>
      <c r="C1813" s="7">
        <v>46030</v>
      </c>
      <c r="D1813" s="7">
        <v>46035</v>
      </c>
      <c r="E1813" s="8">
        <v>3</v>
      </c>
      <c r="F1813" s="6" t="str">
        <f>"94762201_07026"</f>
        <v>94762201_07026</v>
      </c>
      <c r="G1813" s="6" t="str">
        <f t="shared" si="459"/>
        <v>F310631650000000</v>
      </c>
      <c r="H1813" s="6" t="str">
        <f t="shared" si="460"/>
        <v>PLAR 6316 FD - 500 g</v>
      </c>
      <c r="I1813" s="6" t="str">
        <f>"200901"</f>
        <v>200901</v>
      </c>
      <c r="J1813" s="6" t="str">
        <f>"ROSA 901"</f>
        <v>ROSA 901</v>
      </c>
      <c r="K1813" s="6" t="str">
        <f>"2020"</f>
        <v>2020</v>
      </c>
      <c r="L1813" s="6" t="str">
        <f>"Lençóis"</f>
        <v>Lençóis</v>
      </c>
      <c r="M1813" s="6" t="str">
        <f>"100x150"</f>
        <v>100x150</v>
      </c>
      <c r="N1813" s="6" t="str">
        <f>"5602972281125"</f>
        <v>5602972281125</v>
      </c>
      <c r="O1813" s="8">
        <v>3</v>
      </c>
      <c r="R1813" s="8">
        <v>0</v>
      </c>
      <c r="U1813" s="8">
        <v>0</v>
      </c>
      <c r="X1813" s="8">
        <v>0</v>
      </c>
      <c r="Z1813" s="8">
        <v>0</v>
      </c>
      <c r="AC1813" s="8">
        <v>0</v>
      </c>
      <c r="AF1813" s="8">
        <v>0</v>
      </c>
      <c r="AN1813" s="8">
        <v>0</v>
      </c>
      <c r="AO1813" s="8">
        <v>3</v>
      </c>
    </row>
    <row r="1814" spans="1:41" x14ac:dyDescent="0.25">
      <c r="A1814" s="6" t="str">
        <f>"522-2026000094"</f>
        <v>522-2026000094</v>
      </c>
      <c r="B1814" s="6" t="str">
        <f t="shared" si="458"/>
        <v>EL CORTE</v>
      </c>
      <c r="C1814" s="7">
        <v>46030</v>
      </c>
      <c r="D1814" s="7">
        <v>46035</v>
      </c>
      <c r="E1814" s="8">
        <v>1</v>
      </c>
      <c r="F1814" s="6" t="str">
        <f>"94764601_07026"</f>
        <v>94764601_07026</v>
      </c>
      <c r="G1814" s="6" t="str">
        <f t="shared" si="459"/>
        <v>F310631650000000</v>
      </c>
      <c r="H1814" s="6" t="str">
        <f t="shared" si="460"/>
        <v>PLAR 6316 FD - 500 g</v>
      </c>
      <c r="I1814" s="6" t="str">
        <f>"202575"</f>
        <v>202575</v>
      </c>
      <c r="J1814" s="6" t="str">
        <f>"BEGE 2575"</f>
        <v>BEGE 2575</v>
      </c>
      <c r="K1814" s="6" t="str">
        <f>"2020"</f>
        <v>2020</v>
      </c>
      <c r="L1814" s="6" t="str">
        <f>"Lençóis"</f>
        <v>Lençóis</v>
      </c>
      <c r="M1814" s="6" t="str">
        <f>"100x150"</f>
        <v>100x150</v>
      </c>
      <c r="N1814" s="6" t="str">
        <f>"5602972281095"</f>
        <v>5602972281095</v>
      </c>
      <c r="O1814" s="8">
        <v>3</v>
      </c>
      <c r="R1814" s="8">
        <v>0</v>
      </c>
      <c r="U1814" s="8">
        <v>0</v>
      </c>
      <c r="X1814" s="8">
        <v>0</v>
      </c>
      <c r="Z1814" s="8">
        <v>0</v>
      </c>
      <c r="AC1814" s="8">
        <v>0</v>
      </c>
      <c r="AF1814" s="8">
        <v>0</v>
      </c>
      <c r="AN1814" s="8">
        <v>0</v>
      </c>
      <c r="AO1814" s="8">
        <v>3</v>
      </c>
    </row>
    <row r="1815" spans="1:41" x14ac:dyDescent="0.25">
      <c r="A1815" s="6" t="str">
        <f>"522-2026000094"</f>
        <v>522-2026000094</v>
      </c>
      <c r="B1815" s="6" t="str">
        <f t="shared" si="458"/>
        <v>EL CORTE</v>
      </c>
      <c r="C1815" s="7">
        <v>46030</v>
      </c>
      <c r="D1815" s="7">
        <v>46035</v>
      </c>
      <c r="E1815" s="8">
        <v>2</v>
      </c>
      <c r="F1815" s="6" t="str">
        <f>"94764601_07026"</f>
        <v>94764601_07026</v>
      </c>
      <c r="G1815" s="6" t="str">
        <f t="shared" si="459"/>
        <v>F310631650000000</v>
      </c>
      <c r="H1815" s="6" t="str">
        <f t="shared" si="460"/>
        <v>PLAR 6316 FD - 500 g</v>
      </c>
      <c r="I1815" s="6" t="str">
        <f>"200510"</f>
        <v>200510</v>
      </c>
      <c r="J1815" s="6" t="str">
        <f>"VERDE 510"</f>
        <v>VERDE 510</v>
      </c>
      <c r="K1815" s="6" t="str">
        <f>"2020"</f>
        <v>2020</v>
      </c>
      <c r="L1815" s="6" t="str">
        <f>"Lençóis"</f>
        <v>Lençóis</v>
      </c>
      <c r="M1815" s="6" t="str">
        <f>"100x150"</f>
        <v>100x150</v>
      </c>
      <c r="N1815" s="6" t="str">
        <f>"5602972281156"</f>
        <v>5602972281156</v>
      </c>
      <c r="O1815" s="8">
        <v>3</v>
      </c>
      <c r="R1815" s="8">
        <v>0</v>
      </c>
      <c r="U1815" s="8">
        <v>0</v>
      </c>
      <c r="X1815" s="8">
        <v>0</v>
      </c>
      <c r="Z1815" s="8">
        <v>0</v>
      </c>
      <c r="AC1815" s="8">
        <v>0</v>
      </c>
      <c r="AF1815" s="8">
        <v>0</v>
      </c>
      <c r="AN1815" s="8">
        <v>0</v>
      </c>
      <c r="AO1815" s="8">
        <v>3</v>
      </c>
    </row>
    <row r="1816" spans="1:41" x14ac:dyDescent="0.25">
      <c r="A1816" s="6" t="str">
        <f>"522-2026000095"</f>
        <v>522-2026000095</v>
      </c>
      <c r="B1816" s="6" t="str">
        <f t="shared" si="458"/>
        <v>EL CORTE</v>
      </c>
      <c r="C1816" s="7">
        <v>46030</v>
      </c>
      <c r="D1816" s="7">
        <v>46035</v>
      </c>
      <c r="E1816" s="8">
        <v>1</v>
      </c>
      <c r="F1816" s="6" t="str">
        <f>"94765901_07026"</f>
        <v>94765901_07026</v>
      </c>
      <c r="G1816" s="6" t="str">
        <f t="shared" si="459"/>
        <v>F310631650000000</v>
      </c>
      <c r="H1816" s="6" t="str">
        <f t="shared" si="460"/>
        <v>PLAR 6316 FD - 500 g</v>
      </c>
      <c r="I1816" s="6" t="str">
        <f>"200901"</f>
        <v>200901</v>
      </c>
      <c r="J1816" s="6" t="str">
        <f>"ROSA 901"</f>
        <v>ROSA 901</v>
      </c>
      <c r="K1816" s="6" t="str">
        <f>"1024"</f>
        <v>1024</v>
      </c>
      <c r="L1816" s="6" t="str">
        <f>"Toalhas"</f>
        <v>Toalhas</v>
      </c>
      <c r="M1816" s="6" t="str">
        <f>"50x100"</f>
        <v>50x100</v>
      </c>
      <c r="N1816" s="6" t="str">
        <f>"5602972281118"</f>
        <v>5602972281118</v>
      </c>
      <c r="O1816" s="8">
        <v>6</v>
      </c>
      <c r="R1816" s="8">
        <v>0</v>
      </c>
      <c r="U1816" s="8">
        <v>0</v>
      </c>
      <c r="X1816" s="8">
        <v>0</v>
      </c>
      <c r="Z1816" s="8">
        <v>0</v>
      </c>
      <c r="AC1816" s="8">
        <v>0</v>
      </c>
      <c r="AF1816" s="8">
        <v>0</v>
      </c>
      <c r="AN1816" s="8">
        <v>6</v>
      </c>
      <c r="AO1816" s="8">
        <v>0</v>
      </c>
    </row>
    <row r="1817" spans="1:41" x14ac:dyDescent="0.25">
      <c r="A1817" s="6" t="str">
        <f>"522-2026000096"</f>
        <v>522-2026000096</v>
      </c>
      <c r="B1817" s="6" t="str">
        <f t="shared" si="458"/>
        <v>EL CORTE</v>
      </c>
      <c r="C1817" s="7">
        <v>46030</v>
      </c>
      <c r="D1817" s="7">
        <v>46035</v>
      </c>
      <c r="E1817" s="8">
        <v>1</v>
      </c>
      <c r="F1817" s="6" t="str">
        <f>"94766101_07026"</f>
        <v>94766101_07026</v>
      </c>
      <c r="G1817" s="6" t="str">
        <f t="shared" si="459"/>
        <v>F310631650000000</v>
      </c>
      <c r="H1817" s="6" t="str">
        <f t="shared" si="460"/>
        <v>PLAR 6316 FD - 500 g</v>
      </c>
      <c r="I1817" s="6" t="str">
        <f>"200901"</f>
        <v>200901</v>
      </c>
      <c r="J1817" s="6" t="str">
        <f>"ROSA 901"</f>
        <v>ROSA 901</v>
      </c>
      <c r="K1817" s="6" t="str">
        <f>"1024"</f>
        <v>1024</v>
      </c>
      <c r="L1817" s="6" t="str">
        <f>"Toalhas"</f>
        <v>Toalhas</v>
      </c>
      <c r="M1817" s="6" t="str">
        <f>"50x100"</f>
        <v>50x100</v>
      </c>
      <c r="N1817" s="6" t="str">
        <f>"5602972281118"</f>
        <v>5602972281118</v>
      </c>
      <c r="O1817" s="8">
        <v>6</v>
      </c>
      <c r="R1817" s="8">
        <v>0</v>
      </c>
      <c r="U1817" s="8">
        <v>0</v>
      </c>
      <c r="X1817" s="8">
        <v>0</v>
      </c>
      <c r="Z1817" s="8">
        <v>0</v>
      </c>
      <c r="AC1817" s="8">
        <v>0</v>
      </c>
      <c r="AF1817" s="8">
        <v>0</v>
      </c>
      <c r="AN1817" s="8">
        <v>6</v>
      </c>
      <c r="AO1817" s="8">
        <v>0</v>
      </c>
    </row>
    <row r="1818" spans="1:41" x14ac:dyDescent="0.25">
      <c r="A1818" s="6" t="str">
        <f>"522-2026000096"</f>
        <v>522-2026000096</v>
      </c>
      <c r="B1818" s="6" t="str">
        <f t="shared" si="458"/>
        <v>EL CORTE</v>
      </c>
      <c r="C1818" s="7">
        <v>46030</v>
      </c>
      <c r="D1818" s="7">
        <v>46035</v>
      </c>
      <c r="E1818" s="8">
        <v>2</v>
      </c>
      <c r="F1818" s="6" t="str">
        <f>"94766101_07026"</f>
        <v>94766101_07026</v>
      </c>
      <c r="G1818" s="6" t="str">
        <f t="shared" si="459"/>
        <v>F310631650000000</v>
      </c>
      <c r="H1818" s="6" t="str">
        <f t="shared" si="460"/>
        <v>PLAR 6316 FD - 500 g</v>
      </c>
      <c r="I1818" s="6" t="str">
        <f>"200510"</f>
        <v>200510</v>
      </c>
      <c r="J1818" s="6" t="str">
        <f>"VERDE 510"</f>
        <v>VERDE 510</v>
      </c>
      <c r="K1818" s="6" t="str">
        <f>"0520"</f>
        <v>0520</v>
      </c>
      <c r="L1818" s="6" t="str">
        <f>"Toalhetes"</f>
        <v>Toalhetes</v>
      </c>
      <c r="M1818" s="6" t="str">
        <f>"30x50"</f>
        <v>30x50</v>
      </c>
      <c r="N1818" s="6" t="str">
        <f>"5602972281132"</f>
        <v>5602972281132</v>
      </c>
      <c r="O1818" s="8">
        <v>6</v>
      </c>
      <c r="R1818" s="8">
        <v>0</v>
      </c>
      <c r="U1818" s="8">
        <v>0</v>
      </c>
      <c r="X1818" s="8">
        <v>0</v>
      </c>
      <c r="Z1818" s="8">
        <v>0</v>
      </c>
      <c r="AC1818" s="8">
        <v>0</v>
      </c>
      <c r="AF1818" s="8">
        <v>0</v>
      </c>
      <c r="AN1818" s="8">
        <v>6</v>
      </c>
      <c r="AO1818" s="8">
        <v>0</v>
      </c>
    </row>
    <row r="1819" spans="1:41" x14ac:dyDescent="0.25">
      <c r="A1819" s="6" t="str">
        <f>"522-2026000096"</f>
        <v>522-2026000096</v>
      </c>
      <c r="B1819" s="6" t="str">
        <f t="shared" si="458"/>
        <v>EL CORTE</v>
      </c>
      <c r="C1819" s="7">
        <v>46030</v>
      </c>
      <c r="D1819" s="7">
        <v>46035</v>
      </c>
      <c r="E1819" s="8">
        <v>3</v>
      </c>
      <c r="F1819" s="6" t="str">
        <f>"94766101_07026"</f>
        <v>94766101_07026</v>
      </c>
      <c r="G1819" s="6" t="str">
        <f t="shared" si="459"/>
        <v>F310631650000000</v>
      </c>
      <c r="H1819" s="6" t="str">
        <f t="shared" si="460"/>
        <v>PLAR 6316 FD - 500 g</v>
      </c>
      <c r="I1819" s="6" t="str">
        <f>"200510"</f>
        <v>200510</v>
      </c>
      <c r="J1819" s="6" t="str">
        <f>"VERDE 510"</f>
        <v>VERDE 510</v>
      </c>
      <c r="K1819" s="6" t="str">
        <f>"2020"</f>
        <v>2020</v>
      </c>
      <c r="L1819" s="6" t="str">
        <f>"Lençóis"</f>
        <v>Lençóis</v>
      </c>
      <c r="M1819" s="6" t="str">
        <f>"100x150"</f>
        <v>100x150</v>
      </c>
      <c r="N1819" s="6" t="str">
        <f>"5602972281156"</f>
        <v>5602972281156</v>
      </c>
      <c r="O1819" s="8">
        <v>3</v>
      </c>
      <c r="R1819" s="8">
        <v>0</v>
      </c>
      <c r="U1819" s="8">
        <v>0</v>
      </c>
      <c r="X1819" s="8">
        <v>0</v>
      </c>
      <c r="Z1819" s="8">
        <v>0</v>
      </c>
      <c r="AC1819" s="8">
        <v>0</v>
      </c>
      <c r="AF1819" s="8">
        <v>0</v>
      </c>
      <c r="AN1819" s="8">
        <v>0</v>
      </c>
      <c r="AO1819" s="8">
        <v>3</v>
      </c>
    </row>
    <row r="1820" spans="1:41" x14ac:dyDescent="0.25">
      <c r="A1820" s="6" t="str">
        <f>"522-2026000097"</f>
        <v>522-2026000097</v>
      </c>
      <c r="B1820" s="6" t="str">
        <f t="shared" si="458"/>
        <v>EL CORTE</v>
      </c>
      <c r="C1820" s="7">
        <v>46030</v>
      </c>
      <c r="D1820" s="7">
        <v>46035</v>
      </c>
      <c r="E1820" s="8">
        <v>1</v>
      </c>
      <c r="F1820" s="6" t="str">
        <f>"94764901_07026"</f>
        <v>94764901_07026</v>
      </c>
      <c r="G1820" s="6" t="str">
        <f t="shared" si="459"/>
        <v>F310631650000000</v>
      </c>
      <c r="H1820" s="6" t="str">
        <f t="shared" si="460"/>
        <v>PLAR 6316 FD - 500 g</v>
      </c>
      <c r="I1820" s="6" t="str">
        <f>"201855"</f>
        <v>201855</v>
      </c>
      <c r="J1820" s="6" t="str">
        <f>"AZUL 1855"</f>
        <v>AZUL 1855</v>
      </c>
      <c r="K1820" s="6" t="str">
        <f>"1024"</f>
        <v>1024</v>
      </c>
      <c r="L1820" s="6" t="str">
        <f>"Toalhas"</f>
        <v>Toalhas</v>
      </c>
      <c r="M1820" s="6" t="str">
        <f>"50x100"</f>
        <v>50x100</v>
      </c>
      <c r="N1820" s="6" t="str">
        <f>"5602972281057"</f>
        <v>5602972281057</v>
      </c>
      <c r="O1820" s="8">
        <v>6</v>
      </c>
      <c r="R1820" s="8">
        <v>0</v>
      </c>
      <c r="U1820" s="8">
        <v>0</v>
      </c>
      <c r="X1820" s="8">
        <v>0</v>
      </c>
      <c r="Z1820" s="8">
        <v>0</v>
      </c>
      <c r="AC1820" s="8">
        <v>0</v>
      </c>
      <c r="AF1820" s="8">
        <v>0</v>
      </c>
      <c r="AN1820" s="8">
        <v>6</v>
      </c>
      <c r="AO1820" s="8">
        <v>0</v>
      </c>
    </row>
    <row r="1821" spans="1:41" x14ac:dyDescent="0.25">
      <c r="A1821" s="6" t="str">
        <f>"522-2026000097"</f>
        <v>522-2026000097</v>
      </c>
      <c r="B1821" s="6" t="str">
        <f t="shared" si="458"/>
        <v>EL CORTE</v>
      </c>
      <c r="C1821" s="7">
        <v>46030</v>
      </c>
      <c r="D1821" s="7">
        <v>46035</v>
      </c>
      <c r="E1821" s="8">
        <v>2</v>
      </c>
      <c r="F1821" s="6" t="str">
        <f>"94764901_07026"</f>
        <v>94764901_07026</v>
      </c>
      <c r="G1821" s="6" t="str">
        <f t="shared" si="459"/>
        <v>F310631650000000</v>
      </c>
      <c r="H1821" s="6" t="str">
        <f t="shared" si="460"/>
        <v>PLAR 6316 FD - 500 g</v>
      </c>
      <c r="I1821" s="6" t="str">
        <f>"202575"</f>
        <v>202575</v>
      </c>
      <c r="J1821" s="6" t="str">
        <f>"BEGE 2575"</f>
        <v>BEGE 2575</v>
      </c>
      <c r="K1821" s="6" t="str">
        <f>"1024"</f>
        <v>1024</v>
      </c>
      <c r="L1821" s="6" t="str">
        <f>"Toalhas"</f>
        <v>Toalhas</v>
      </c>
      <c r="M1821" s="6" t="str">
        <f>"50x100"</f>
        <v>50x100</v>
      </c>
      <c r="N1821" s="6" t="str">
        <f>"5602972281088"</f>
        <v>5602972281088</v>
      </c>
      <c r="O1821" s="8">
        <v>6</v>
      </c>
      <c r="R1821" s="8">
        <v>0</v>
      </c>
      <c r="U1821" s="8">
        <v>0</v>
      </c>
      <c r="X1821" s="8">
        <v>0</v>
      </c>
      <c r="Z1821" s="8">
        <v>0</v>
      </c>
      <c r="AC1821" s="8">
        <v>0</v>
      </c>
      <c r="AF1821" s="8">
        <v>0</v>
      </c>
      <c r="AN1821" s="8">
        <v>6</v>
      </c>
      <c r="AO1821" s="8">
        <v>0</v>
      </c>
    </row>
    <row r="1822" spans="1:41" x14ac:dyDescent="0.25">
      <c r="A1822" s="6" t="str">
        <f>"522-2026000097"</f>
        <v>522-2026000097</v>
      </c>
      <c r="B1822" s="6" t="str">
        <f t="shared" si="458"/>
        <v>EL CORTE</v>
      </c>
      <c r="C1822" s="7">
        <v>46030</v>
      </c>
      <c r="D1822" s="7">
        <v>46035</v>
      </c>
      <c r="E1822" s="8">
        <v>3</v>
      </c>
      <c r="F1822" s="6" t="str">
        <f>"94764901_07026"</f>
        <v>94764901_07026</v>
      </c>
      <c r="G1822" s="6" t="str">
        <f t="shared" si="459"/>
        <v>F310631650000000</v>
      </c>
      <c r="H1822" s="6" t="str">
        <f t="shared" si="460"/>
        <v>PLAR 6316 FD - 500 g</v>
      </c>
      <c r="I1822" s="6" t="str">
        <f>"202575"</f>
        <v>202575</v>
      </c>
      <c r="J1822" s="6" t="str">
        <f>"BEGE 2575"</f>
        <v>BEGE 2575</v>
      </c>
      <c r="K1822" s="6" t="str">
        <f>"2020"</f>
        <v>2020</v>
      </c>
      <c r="L1822" s="6" t="str">
        <f>"Lençóis"</f>
        <v>Lençóis</v>
      </c>
      <c r="M1822" s="6" t="str">
        <f>"100x150"</f>
        <v>100x150</v>
      </c>
      <c r="N1822" s="6" t="str">
        <f>"5602972281095"</f>
        <v>5602972281095</v>
      </c>
      <c r="O1822" s="8">
        <v>6</v>
      </c>
      <c r="R1822" s="8">
        <v>0</v>
      </c>
      <c r="U1822" s="8">
        <v>0</v>
      </c>
      <c r="X1822" s="8">
        <v>0</v>
      </c>
      <c r="Z1822" s="8">
        <v>0</v>
      </c>
      <c r="AC1822" s="8">
        <v>0</v>
      </c>
      <c r="AF1822" s="8">
        <v>0</v>
      </c>
      <c r="AN1822" s="8">
        <v>0</v>
      </c>
      <c r="AO1822" s="8">
        <v>6</v>
      </c>
    </row>
    <row r="1823" spans="1:41" x14ac:dyDescent="0.25">
      <c r="A1823" s="6" t="str">
        <f>"522-2026000097"</f>
        <v>522-2026000097</v>
      </c>
      <c r="B1823" s="6" t="str">
        <f t="shared" si="458"/>
        <v>EL CORTE</v>
      </c>
      <c r="C1823" s="7">
        <v>46030</v>
      </c>
      <c r="D1823" s="7">
        <v>46035</v>
      </c>
      <c r="E1823" s="8">
        <v>4</v>
      </c>
      <c r="F1823" s="6" t="str">
        <f>"94764901_07026"</f>
        <v>94764901_07026</v>
      </c>
      <c r="G1823" s="6" t="str">
        <f t="shared" si="459"/>
        <v>F310631650000000</v>
      </c>
      <c r="H1823" s="6" t="str">
        <f t="shared" si="460"/>
        <v>PLAR 6316 FD - 500 g</v>
      </c>
      <c r="I1823" s="6" t="str">
        <f>"200901"</f>
        <v>200901</v>
      </c>
      <c r="J1823" s="6" t="str">
        <f>"ROSA 901"</f>
        <v>ROSA 901</v>
      </c>
      <c r="K1823" s="6" t="str">
        <f>"1024"</f>
        <v>1024</v>
      </c>
      <c r="L1823" s="6" t="str">
        <f>"Toalhas"</f>
        <v>Toalhas</v>
      </c>
      <c r="M1823" s="6" t="str">
        <f>"50x100"</f>
        <v>50x100</v>
      </c>
      <c r="N1823" s="6" t="str">
        <f>"5602972281118"</f>
        <v>5602972281118</v>
      </c>
      <c r="O1823" s="8">
        <v>6</v>
      </c>
      <c r="R1823" s="8">
        <v>0</v>
      </c>
      <c r="U1823" s="8">
        <v>0</v>
      </c>
      <c r="X1823" s="8">
        <v>0</v>
      </c>
      <c r="Z1823" s="8">
        <v>0</v>
      </c>
      <c r="AC1823" s="8">
        <v>0</v>
      </c>
      <c r="AF1823" s="8">
        <v>0</v>
      </c>
      <c r="AN1823" s="8">
        <v>6</v>
      </c>
      <c r="AO1823" s="8">
        <v>0</v>
      </c>
    </row>
    <row r="1824" spans="1:41" x14ac:dyDescent="0.25">
      <c r="A1824" s="6" t="str">
        <f>"522-2026000098"</f>
        <v>522-2026000098</v>
      </c>
      <c r="B1824" s="6" t="str">
        <f t="shared" si="458"/>
        <v>EL CORTE</v>
      </c>
      <c r="C1824" s="7">
        <v>46030</v>
      </c>
      <c r="D1824" s="7">
        <v>46035</v>
      </c>
      <c r="E1824" s="8">
        <v>1</v>
      </c>
      <c r="F1824" s="6" t="str">
        <f>"94764201_07026"</f>
        <v>94764201_07026</v>
      </c>
      <c r="G1824" s="6" t="str">
        <f t="shared" si="459"/>
        <v>F310631650000000</v>
      </c>
      <c r="H1824" s="6" t="str">
        <f t="shared" si="460"/>
        <v>PLAR 6316 FD - 500 g</v>
      </c>
      <c r="I1824" s="6" t="str">
        <f>"201855"</f>
        <v>201855</v>
      </c>
      <c r="J1824" s="6" t="str">
        <f>"AZUL 1855"</f>
        <v>AZUL 1855</v>
      </c>
      <c r="K1824" s="6" t="str">
        <f>"2020"</f>
        <v>2020</v>
      </c>
      <c r="L1824" s="6" t="str">
        <f>"Lençóis"</f>
        <v>Lençóis</v>
      </c>
      <c r="M1824" s="6" t="str">
        <f>"100x150"</f>
        <v>100x150</v>
      </c>
      <c r="N1824" s="6" t="str">
        <f>"5602972281064"</f>
        <v>5602972281064</v>
      </c>
      <c r="O1824" s="8">
        <v>3</v>
      </c>
      <c r="R1824" s="8">
        <v>0</v>
      </c>
      <c r="U1824" s="8">
        <v>0</v>
      </c>
      <c r="X1824" s="8">
        <v>0</v>
      </c>
      <c r="Z1824" s="8">
        <v>0</v>
      </c>
      <c r="AC1824" s="8">
        <v>0</v>
      </c>
      <c r="AF1824" s="8">
        <v>0</v>
      </c>
      <c r="AN1824" s="8">
        <v>0</v>
      </c>
      <c r="AO1824" s="8">
        <v>3</v>
      </c>
    </row>
    <row r="1825" spans="1:41" x14ac:dyDescent="0.25">
      <c r="A1825" s="6" t="str">
        <f>"522-2026000098"</f>
        <v>522-2026000098</v>
      </c>
      <c r="B1825" s="6" t="str">
        <f t="shared" si="458"/>
        <v>EL CORTE</v>
      </c>
      <c r="C1825" s="7">
        <v>46030</v>
      </c>
      <c r="D1825" s="7">
        <v>46035</v>
      </c>
      <c r="E1825" s="8">
        <v>2</v>
      </c>
      <c r="F1825" s="6" t="str">
        <f>"94764201_07026"</f>
        <v>94764201_07026</v>
      </c>
      <c r="G1825" s="6" t="str">
        <f t="shared" si="459"/>
        <v>F310631650000000</v>
      </c>
      <c r="H1825" s="6" t="str">
        <f t="shared" si="460"/>
        <v>PLAR 6316 FD - 500 g</v>
      </c>
      <c r="I1825" s="6" t="str">
        <f>"202575"</f>
        <v>202575</v>
      </c>
      <c r="J1825" s="6" t="str">
        <f>"BEGE 2575"</f>
        <v>BEGE 2575</v>
      </c>
      <c r="K1825" s="6" t="str">
        <f>"1024"</f>
        <v>1024</v>
      </c>
      <c r="L1825" s="6" t="str">
        <f>"Toalhas"</f>
        <v>Toalhas</v>
      </c>
      <c r="M1825" s="6" t="str">
        <f>"50x100"</f>
        <v>50x100</v>
      </c>
      <c r="N1825" s="6" t="str">
        <f>"5602972281088"</f>
        <v>5602972281088</v>
      </c>
      <c r="O1825" s="8">
        <v>6</v>
      </c>
      <c r="R1825" s="8">
        <v>0</v>
      </c>
      <c r="U1825" s="8">
        <v>0</v>
      </c>
      <c r="X1825" s="8">
        <v>0</v>
      </c>
      <c r="Z1825" s="8">
        <v>0</v>
      </c>
      <c r="AC1825" s="8">
        <v>0</v>
      </c>
      <c r="AF1825" s="8">
        <v>0</v>
      </c>
      <c r="AN1825" s="8">
        <v>6</v>
      </c>
      <c r="AO1825" s="8">
        <v>0</v>
      </c>
    </row>
    <row r="1826" spans="1:41" x14ac:dyDescent="0.25">
      <c r="A1826" s="6" t="str">
        <f>"522-2026000098"</f>
        <v>522-2026000098</v>
      </c>
      <c r="B1826" s="6" t="str">
        <f t="shared" si="458"/>
        <v>EL CORTE</v>
      </c>
      <c r="C1826" s="7">
        <v>46030</v>
      </c>
      <c r="D1826" s="7">
        <v>46035</v>
      </c>
      <c r="E1826" s="8">
        <v>3</v>
      </c>
      <c r="F1826" s="6" t="str">
        <f>"94764201_07026"</f>
        <v>94764201_07026</v>
      </c>
      <c r="G1826" s="6" t="str">
        <f t="shared" si="459"/>
        <v>F310631650000000</v>
      </c>
      <c r="H1826" s="6" t="str">
        <f t="shared" si="460"/>
        <v>PLAR 6316 FD - 500 g</v>
      </c>
      <c r="I1826" s="6" t="str">
        <f>"200510"</f>
        <v>200510</v>
      </c>
      <c r="J1826" s="6" t="str">
        <f>"VERDE 510"</f>
        <v>VERDE 510</v>
      </c>
      <c r="K1826" s="6" t="str">
        <f>"1024"</f>
        <v>1024</v>
      </c>
      <c r="L1826" s="6" t="str">
        <f>"Toalhas"</f>
        <v>Toalhas</v>
      </c>
      <c r="M1826" s="6" t="str">
        <f>"50x100"</f>
        <v>50x100</v>
      </c>
      <c r="N1826" s="6" t="str">
        <f>"5602972281149"</f>
        <v>5602972281149</v>
      </c>
      <c r="O1826" s="8">
        <v>6</v>
      </c>
      <c r="R1826" s="8">
        <v>0</v>
      </c>
      <c r="U1826" s="8">
        <v>0</v>
      </c>
      <c r="X1826" s="8">
        <v>0</v>
      </c>
      <c r="Z1826" s="8">
        <v>0</v>
      </c>
      <c r="AC1826" s="8">
        <v>0</v>
      </c>
      <c r="AF1826" s="8">
        <v>0</v>
      </c>
      <c r="AN1826" s="8">
        <v>6</v>
      </c>
      <c r="AO1826" s="8">
        <v>0</v>
      </c>
    </row>
    <row r="1827" spans="1:41" x14ac:dyDescent="0.25">
      <c r="A1827" s="6" t="str">
        <f>"522-2026000098"</f>
        <v>522-2026000098</v>
      </c>
      <c r="B1827" s="6" t="str">
        <f t="shared" si="458"/>
        <v>EL CORTE</v>
      </c>
      <c r="C1827" s="7">
        <v>46030</v>
      </c>
      <c r="D1827" s="7">
        <v>46035</v>
      </c>
      <c r="E1827" s="8">
        <v>4</v>
      </c>
      <c r="F1827" s="6" t="str">
        <f>"94764201_07026"</f>
        <v>94764201_07026</v>
      </c>
      <c r="G1827" s="6" t="str">
        <f t="shared" si="459"/>
        <v>F310631650000000</v>
      </c>
      <c r="H1827" s="6" t="str">
        <f t="shared" si="460"/>
        <v>PLAR 6316 FD - 500 g</v>
      </c>
      <c r="I1827" s="6" t="str">
        <f>"200510"</f>
        <v>200510</v>
      </c>
      <c r="J1827" s="6" t="str">
        <f>"VERDE 510"</f>
        <v>VERDE 510</v>
      </c>
      <c r="K1827" s="6" t="str">
        <f>"2020"</f>
        <v>2020</v>
      </c>
      <c r="L1827" s="6" t="str">
        <f>"Lençóis"</f>
        <v>Lençóis</v>
      </c>
      <c r="M1827" s="6" t="str">
        <f>"100x150"</f>
        <v>100x150</v>
      </c>
      <c r="N1827" s="6" t="str">
        <f>"5602972281156"</f>
        <v>5602972281156</v>
      </c>
      <c r="O1827" s="8">
        <v>3</v>
      </c>
      <c r="R1827" s="8">
        <v>0</v>
      </c>
      <c r="U1827" s="8">
        <v>0</v>
      </c>
      <c r="X1827" s="8">
        <v>0</v>
      </c>
      <c r="Z1827" s="8">
        <v>0</v>
      </c>
      <c r="AC1827" s="8">
        <v>0</v>
      </c>
      <c r="AF1827" s="8">
        <v>0</v>
      </c>
      <c r="AN1827" s="8">
        <v>0</v>
      </c>
      <c r="AO1827" s="8">
        <v>3</v>
      </c>
    </row>
    <row r="1828" spans="1:41" x14ac:dyDescent="0.25">
      <c r="A1828" s="6" t="str">
        <f>"522-2026000099"</f>
        <v>522-2026000099</v>
      </c>
      <c r="B1828" s="6" t="str">
        <f t="shared" si="458"/>
        <v>EL CORTE</v>
      </c>
      <c r="C1828" s="7">
        <v>46030</v>
      </c>
      <c r="D1828" s="7">
        <v>46035</v>
      </c>
      <c r="E1828" s="8">
        <v>1</v>
      </c>
      <c r="F1828" s="6" t="str">
        <f>"94765801_07026"</f>
        <v>94765801_07026</v>
      </c>
      <c r="G1828" s="6" t="str">
        <f t="shared" si="459"/>
        <v>F310631650000000</v>
      </c>
      <c r="H1828" s="6" t="str">
        <f t="shared" si="460"/>
        <v>PLAR 6316 FD - 500 g</v>
      </c>
      <c r="I1828" s="6" t="str">
        <f>"202575"</f>
        <v>202575</v>
      </c>
      <c r="J1828" s="6" t="str">
        <f>"BEGE 2575"</f>
        <v>BEGE 2575</v>
      </c>
      <c r="K1828" s="6" t="str">
        <f>"1024"</f>
        <v>1024</v>
      </c>
      <c r="L1828" s="6" t="str">
        <f>"Toalhas"</f>
        <v>Toalhas</v>
      </c>
      <c r="M1828" s="6" t="str">
        <f>"50x100"</f>
        <v>50x100</v>
      </c>
      <c r="N1828" s="6" t="str">
        <f>"5602972281088"</f>
        <v>5602972281088</v>
      </c>
      <c r="O1828" s="8">
        <v>6</v>
      </c>
      <c r="R1828" s="8">
        <v>0</v>
      </c>
      <c r="U1828" s="8">
        <v>0</v>
      </c>
      <c r="X1828" s="8">
        <v>0</v>
      </c>
      <c r="Z1828" s="8">
        <v>0</v>
      </c>
      <c r="AC1828" s="8">
        <v>0</v>
      </c>
      <c r="AF1828" s="8">
        <v>0</v>
      </c>
      <c r="AN1828" s="8">
        <v>6</v>
      </c>
      <c r="AO1828" s="8">
        <v>0</v>
      </c>
    </row>
    <row r="1829" spans="1:41" x14ac:dyDescent="0.25">
      <c r="A1829" s="6" t="str">
        <f>"522-2026000099"</f>
        <v>522-2026000099</v>
      </c>
      <c r="B1829" s="6" t="str">
        <f t="shared" si="458"/>
        <v>EL CORTE</v>
      </c>
      <c r="C1829" s="7">
        <v>46030</v>
      </c>
      <c r="D1829" s="7">
        <v>46035</v>
      </c>
      <c r="E1829" s="8">
        <v>2</v>
      </c>
      <c r="F1829" s="6" t="str">
        <f>"94765801_07026"</f>
        <v>94765801_07026</v>
      </c>
      <c r="G1829" s="6" t="str">
        <f t="shared" si="459"/>
        <v>F310631650000000</v>
      </c>
      <c r="H1829" s="6" t="str">
        <f t="shared" si="460"/>
        <v>PLAR 6316 FD - 500 g</v>
      </c>
      <c r="I1829" s="6" t="str">
        <f>"200901"</f>
        <v>200901</v>
      </c>
      <c r="J1829" s="6" t="str">
        <f>"ROSA 901"</f>
        <v>ROSA 901</v>
      </c>
      <c r="K1829" s="6" t="str">
        <f>"1024"</f>
        <v>1024</v>
      </c>
      <c r="L1829" s="6" t="str">
        <f>"Toalhas"</f>
        <v>Toalhas</v>
      </c>
      <c r="M1829" s="6" t="str">
        <f>"50x100"</f>
        <v>50x100</v>
      </c>
      <c r="N1829" s="6" t="str">
        <f>"5602972281118"</f>
        <v>5602972281118</v>
      </c>
      <c r="O1829" s="8">
        <v>6</v>
      </c>
      <c r="R1829" s="8">
        <v>0</v>
      </c>
      <c r="U1829" s="8">
        <v>0</v>
      </c>
      <c r="X1829" s="8">
        <v>0</v>
      </c>
      <c r="Z1829" s="8">
        <v>0</v>
      </c>
      <c r="AC1829" s="8">
        <v>0</v>
      </c>
      <c r="AF1829" s="8">
        <v>0</v>
      </c>
      <c r="AN1829" s="8">
        <v>6</v>
      </c>
      <c r="AO1829" s="8">
        <v>0</v>
      </c>
    </row>
    <row r="1830" spans="1:41" x14ac:dyDescent="0.25">
      <c r="A1830" s="6" t="str">
        <f>"522-2026000100"</f>
        <v>522-2026000100</v>
      </c>
      <c r="B1830" s="6" t="str">
        <f t="shared" si="458"/>
        <v>EL CORTE</v>
      </c>
      <c r="C1830" s="7">
        <v>46030</v>
      </c>
      <c r="D1830" s="7">
        <v>46035</v>
      </c>
      <c r="E1830" s="8">
        <v>1</v>
      </c>
      <c r="F1830" s="6" t="str">
        <f>"94762401_07026"</f>
        <v>94762401_07026</v>
      </c>
      <c r="G1830" s="6" t="str">
        <f t="shared" si="459"/>
        <v>F310631650000000</v>
      </c>
      <c r="H1830" s="6" t="str">
        <f t="shared" si="460"/>
        <v>PLAR 6316 FD - 500 g</v>
      </c>
      <c r="I1830" s="6" t="str">
        <f>"202575"</f>
        <v>202575</v>
      </c>
      <c r="J1830" s="6" t="str">
        <f>"BEGE 2575"</f>
        <v>BEGE 2575</v>
      </c>
      <c r="K1830" s="6" t="str">
        <f>"1024"</f>
        <v>1024</v>
      </c>
      <c r="L1830" s="6" t="str">
        <f>"Toalhas"</f>
        <v>Toalhas</v>
      </c>
      <c r="M1830" s="6" t="str">
        <f>"50x100"</f>
        <v>50x100</v>
      </c>
      <c r="N1830" s="6" t="str">
        <f>"5602972281088"</f>
        <v>5602972281088</v>
      </c>
      <c r="O1830" s="8">
        <v>6</v>
      </c>
      <c r="R1830" s="8">
        <v>0</v>
      </c>
      <c r="U1830" s="8">
        <v>0</v>
      </c>
      <c r="X1830" s="8">
        <v>0</v>
      </c>
      <c r="Z1830" s="8">
        <v>0</v>
      </c>
      <c r="AC1830" s="8">
        <v>0</v>
      </c>
      <c r="AF1830" s="8">
        <v>0</v>
      </c>
      <c r="AN1830" s="8">
        <v>6</v>
      </c>
      <c r="AO1830" s="8">
        <v>0</v>
      </c>
    </row>
    <row r="1831" spans="1:41" x14ac:dyDescent="0.25">
      <c r="A1831" s="6" t="str">
        <f>"522-2026000100"</f>
        <v>522-2026000100</v>
      </c>
      <c r="B1831" s="6" t="str">
        <f t="shared" si="458"/>
        <v>EL CORTE</v>
      </c>
      <c r="C1831" s="7">
        <v>46030</v>
      </c>
      <c r="D1831" s="7">
        <v>46035</v>
      </c>
      <c r="E1831" s="8">
        <v>2</v>
      </c>
      <c r="F1831" s="6" t="str">
        <f>"94762401_07026"</f>
        <v>94762401_07026</v>
      </c>
      <c r="G1831" s="6" t="str">
        <f t="shared" si="459"/>
        <v>F310631650000000</v>
      </c>
      <c r="H1831" s="6" t="str">
        <f t="shared" si="460"/>
        <v>PLAR 6316 FD - 500 g</v>
      </c>
      <c r="I1831" s="6" t="str">
        <f>"202575"</f>
        <v>202575</v>
      </c>
      <c r="J1831" s="6" t="str">
        <f>"BEGE 2575"</f>
        <v>BEGE 2575</v>
      </c>
      <c r="K1831" s="6" t="str">
        <f>"2020"</f>
        <v>2020</v>
      </c>
      <c r="L1831" s="6" t="str">
        <f>"Lençóis"</f>
        <v>Lençóis</v>
      </c>
      <c r="M1831" s="6" t="str">
        <f>"100x150"</f>
        <v>100x150</v>
      </c>
      <c r="N1831" s="6" t="str">
        <f>"5602972281095"</f>
        <v>5602972281095</v>
      </c>
      <c r="O1831" s="8">
        <v>3</v>
      </c>
      <c r="R1831" s="8">
        <v>0</v>
      </c>
      <c r="U1831" s="8">
        <v>0</v>
      </c>
      <c r="X1831" s="8">
        <v>0</v>
      </c>
      <c r="Z1831" s="8">
        <v>0</v>
      </c>
      <c r="AC1831" s="8">
        <v>0</v>
      </c>
      <c r="AF1831" s="8">
        <v>0</v>
      </c>
      <c r="AN1831" s="8">
        <v>0</v>
      </c>
      <c r="AO1831" s="8">
        <v>3</v>
      </c>
    </row>
    <row r="1832" spans="1:41" x14ac:dyDescent="0.25">
      <c r="A1832" s="6" t="str">
        <f>"522-2026000100"</f>
        <v>522-2026000100</v>
      </c>
      <c r="B1832" s="6" t="str">
        <f t="shared" si="458"/>
        <v>EL CORTE</v>
      </c>
      <c r="C1832" s="7">
        <v>46030</v>
      </c>
      <c r="D1832" s="7">
        <v>46035</v>
      </c>
      <c r="E1832" s="8">
        <v>3</v>
      </c>
      <c r="F1832" s="6" t="str">
        <f>"94762401_07026"</f>
        <v>94762401_07026</v>
      </c>
      <c r="G1832" s="6" t="str">
        <f t="shared" si="459"/>
        <v>F310631650000000</v>
      </c>
      <c r="H1832" s="6" t="str">
        <f t="shared" si="460"/>
        <v>PLAR 6316 FD - 500 g</v>
      </c>
      <c r="I1832" s="6" t="str">
        <f>"200901"</f>
        <v>200901</v>
      </c>
      <c r="J1832" s="6" t="str">
        <f>"ROSA 901"</f>
        <v>ROSA 901</v>
      </c>
      <c r="K1832" s="6" t="str">
        <f>"1024"</f>
        <v>1024</v>
      </c>
      <c r="L1832" s="6" t="str">
        <f>"Toalhas"</f>
        <v>Toalhas</v>
      </c>
      <c r="M1832" s="6" t="str">
        <f>"50x100"</f>
        <v>50x100</v>
      </c>
      <c r="N1832" s="6" t="str">
        <f>"5602972281118"</f>
        <v>5602972281118</v>
      </c>
      <c r="O1832" s="8">
        <v>6</v>
      </c>
      <c r="R1832" s="8">
        <v>0</v>
      </c>
      <c r="U1832" s="8">
        <v>0</v>
      </c>
      <c r="X1832" s="8">
        <v>0</v>
      </c>
      <c r="Z1832" s="8">
        <v>0</v>
      </c>
      <c r="AC1832" s="8">
        <v>0</v>
      </c>
      <c r="AF1832" s="8">
        <v>0</v>
      </c>
      <c r="AN1832" s="8">
        <v>6</v>
      </c>
      <c r="AO1832" s="8">
        <v>0</v>
      </c>
    </row>
    <row r="1833" spans="1:41" x14ac:dyDescent="0.25">
      <c r="A1833" s="6" t="str">
        <f>"522-2026000100"</f>
        <v>522-2026000100</v>
      </c>
      <c r="B1833" s="6" t="str">
        <f t="shared" si="458"/>
        <v>EL CORTE</v>
      </c>
      <c r="C1833" s="7">
        <v>46030</v>
      </c>
      <c r="D1833" s="7">
        <v>46035</v>
      </c>
      <c r="E1833" s="8">
        <v>4</v>
      </c>
      <c r="F1833" s="6" t="str">
        <f>"94762401_07026"</f>
        <v>94762401_07026</v>
      </c>
      <c r="G1833" s="6" t="str">
        <f t="shared" si="459"/>
        <v>F310631650000000</v>
      </c>
      <c r="H1833" s="6" t="str">
        <f t="shared" si="460"/>
        <v>PLAR 6316 FD - 500 g</v>
      </c>
      <c r="I1833" s="6" t="str">
        <f>"200510"</f>
        <v>200510</v>
      </c>
      <c r="J1833" s="6" t="str">
        <f>"VERDE 510"</f>
        <v>VERDE 510</v>
      </c>
      <c r="K1833" s="6" t="str">
        <f>"1024"</f>
        <v>1024</v>
      </c>
      <c r="L1833" s="6" t="str">
        <f>"Toalhas"</f>
        <v>Toalhas</v>
      </c>
      <c r="M1833" s="6" t="str">
        <f>"50x100"</f>
        <v>50x100</v>
      </c>
      <c r="N1833" s="6" t="str">
        <f>"5602972281149"</f>
        <v>5602972281149</v>
      </c>
      <c r="O1833" s="8">
        <v>6</v>
      </c>
      <c r="R1833" s="8">
        <v>0</v>
      </c>
      <c r="U1833" s="8">
        <v>0</v>
      </c>
      <c r="X1833" s="8">
        <v>0</v>
      </c>
      <c r="Z1833" s="8">
        <v>0</v>
      </c>
      <c r="AC1833" s="8">
        <v>0</v>
      </c>
      <c r="AF1833" s="8">
        <v>0</v>
      </c>
      <c r="AN1833" s="8">
        <v>6</v>
      </c>
      <c r="AO1833" s="8">
        <v>0</v>
      </c>
    </row>
    <row r="1834" spans="1:41" x14ac:dyDescent="0.25">
      <c r="A1834" s="6" t="str">
        <f>"522-2026000101"</f>
        <v>522-2026000101</v>
      </c>
      <c r="B1834" s="6" t="str">
        <f t="shared" si="458"/>
        <v>EL CORTE</v>
      </c>
      <c r="C1834" s="7">
        <v>46030</v>
      </c>
      <c r="D1834" s="7">
        <v>46035</v>
      </c>
      <c r="E1834" s="8">
        <v>1</v>
      </c>
      <c r="F1834" s="6" t="str">
        <f>"94764101_07026"</f>
        <v>94764101_07026</v>
      </c>
      <c r="G1834" s="6" t="str">
        <f t="shared" si="459"/>
        <v>F310631650000000</v>
      </c>
      <c r="H1834" s="6" t="str">
        <f t="shared" si="460"/>
        <v>PLAR 6316 FD - 500 g</v>
      </c>
      <c r="I1834" s="6" t="str">
        <f>"200510"</f>
        <v>200510</v>
      </c>
      <c r="J1834" s="6" t="str">
        <f>"VERDE 510"</f>
        <v>VERDE 510</v>
      </c>
      <c r="K1834" s="6" t="str">
        <f>"1024"</f>
        <v>1024</v>
      </c>
      <c r="L1834" s="6" t="str">
        <f>"Toalhas"</f>
        <v>Toalhas</v>
      </c>
      <c r="M1834" s="6" t="str">
        <f>"50x100"</f>
        <v>50x100</v>
      </c>
      <c r="N1834" s="6" t="str">
        <f>"5602972281149"</f>
        <v>5602972281149</v>
      </c>
      <c r="O1834" s="8">
        <v>6</v>
      </c>
      <c r="R1834" s="8">
        <v>0</v>
      </c>
      <c r="U1834" s="8">
        <v>0</v>
      </c>
      <c r="X1834" s="8">
        <v>0</v>
      </c>
      <c r="Z1834" s="8">
        <v>0</v>
      </c>
      <c r="AC1834" s="8">
        <v>0</v>
      </c>
      <c r="AF1834" s="8">
        <v>0</v>
      </c>
      <c r="AN1834" s="8">
        <v>6</v>
      </c>
      <c r="AO1834" s="8">
        <v>0</v>
      </c>
    </row>
    <row r="1835" spans="1:41" x14ac:dyDescent="0.25">
      <c r="A1835" s="6" t="str">
        <f>"522-2026000101"</f>
        <v>522-2026000101</v>
      </c>
      <c r="B1835" s="6" t="str">
        <f t="shared" si="458"/>
        <v>EL CORTE</v>
      </c>
      <c r="C1835" s="7">
        <v>46030</v>
      </c>
      <c r="D1835" s="7">
        <v>46035</v>
      </c>
      <c r="E1835" s="8">
        <v>2</v>
      </c>
      <c r="F1835" s="6" t="str">
        <f>"94764101_07026"</f>
        <v>94764101_07026</v>
      </c>
      <c r="G1835" s="6" t="str">
        <f t="shared" si="459"/>
        <v>F310631650000000</v>
      </c>
      <c r="H1835" s="6" t="str">
        <f t="shared" si="460"/>
        <v>PLAR 6316 FD - 500 g</v>
      </c>
      <c r="I1835" s="6" t="str">
        <f>"200510"</f>
        <v>200510</v>
      </c>
      <c r="J1835" s="6" t="str">
        <f>"VERDE 510"</f>
        <v>VERDE 510</v>
      </c>
      <c r="K1835" s="6" t="str">
        <f>"2020"</f>
        <v>2020</v>
      </c>
      <c r="L1835" s="6" t="str">
        <f>"Lençóis"</f>
        <v>Lençóis</v>
      </c>
      <c r="M1835" s="6" t="str">
        <f>"100x150"</f>
        <v>100x150</v>
      </c>
      <c r="N1835" s="6" t="str">
        <f>"5602972281156"</f>
        <v>5602972281156</v>
      </c>
      <c r="O1835" s="8">
        <v>3</v>
      </c>
      <c r="R1835" s="8">
        <v>0</v>
      </c>
      <c r="U1835" s="8">
        <v>0</v>
      </c>
      <c r="X1835" s="8">
        <v>0</v>
      </c>
      <c r="Z1835" s="8">
        <v>0</v>
      </c>
      <c r="AC1835" s="8">
        <v>0</v>
      </c>
      <c r="AF1835" s="8">
        <v>0</v>
      </c>
      <c r="AN1835" s="8">
        <v>0</v>
      </c>
      <c r="AO1835" s="8">
        <v>3</v>
      </c>
    </row>
    <row r="1836" spans="1:41" x14ac:dyDescent="0.25">
      <c r="A1836" s="6" t="str">
        <f>"522-2026000102"</f>
        <v>522-2026000102</v>
      </c>
      <c r="B1836" s="6" t="str">
        <f t="shared" si="458"/>
        <v>EL CORTE</v>
      </c>
      <c r="C1836" s="7">
        <v>46030</v>
      </c>
      <c r="D1836" s="7">
        <v>46035</v>
      </c>
      <c r="E1836" s="8">
        <v>1</v>
      </c>
      <c r="F1836" s="6" t="str">
        <f>"94763201_07026"</f>
        <v>94763201_07026</v>
      </c>
      <c r="G1836" s="6" t="str">
        <f t="shared" si="459"/>
        <v>F310631650000000</v>
      </c>
      <c r="H1836" s="6" t="str">
        <f t="shared" si="460"/>
        <v>PLAR 6316 FD - 500 g</v>
      </c>
      <c r="I1836" s="6" t="str">
        <f>"202575"</f>
        <v>202575</v>
      </c>
      <c r="J1836" s="6" t="str">
        <f>"BEGE 2575"</f>
        <v>BEGE 2575</v>
      </c>
      <c r="K1836" s="6" t="str">
        <f>"1024"</f>
        <v>1024</v>
      </c>
      <c r="L1836" s="6" t="str">
        <f>"Toalhas"</f>
        <v>Toalhas</v>
      </c>
      <c r="M1836" s="6" t="str">
        <f>"50x100"</f>
        <v>50x100</v>
      </c>
      <c r="N1836" s="6" t="str">
        <f>"5602972281088"</f>
        <v>5602972281088</v>
      </c>
      <c r="O1836" s="8">
        <v>6</v>
      </c>
      <c r="R1836" s="8">
        <v>0</v>
      </c>
      <c r="U1836" s="8">
        <v>0</v>
      </c>
      <c r="X1836" s="8">
        <v>0</v>
      </c>
      <c r="Z1836" s="8">
        <v>0</v>
      </c>
      <c r="AC1836" s="8">
        <v>0</v>
      </c>
      <c r="AF1836" s="8">
        <v>0</v>
      </c>
      <c r="AN1836" s="8">
        <v>6</v>
      </c>
      <c r="AO1836" s="8">
        <v>0</v>
      </c>
    </row>
    <row r="1837" spans="1:41" x14ac:dyDescent="0.25">
      <c r="A1837" s="6" t="str">
        <f>"522-2026000102"</f>
        <v>522-2026000102</v>
      </c>
      <c r="B1837" s="6" t="str">
        <f t="shared" si="458"/>
        <v>EL CORTE</v>
      </c>
      <c r="C1837" s="7">
        <v>46030</v>
      </c>
      <c r="D1837" s="7">
        <v>46035</v>
      </c>
      <c r="E1837" s="8">
        <v>2</v>
      </c>
      <c r="F1837" s="6" t="str">
        <f>"94763201_07026"</f>
        <v>94763201_07026</v>
      </c>
      <c r="G1837" s="6" t="str">
        <f t="shared" si="459"/>
        <v>F310631650000000</v>
      </c>
      <c r="H1837" s="6" t="str">
        <f t="shared" si="460"/>
        <v>PLAR 6316 FD - 500 g</v>
      </c>
      <c r="I1837" s="6" t="str">
        <f>"200901"</f>
        <v>200901</v>
      </c>
      <c r="J1837" s="6" t="str">
        <f>"ROSA 901"</f>
        <v>ROSA 901</v>
      </c>
      <c r="K1837" s="6" t="str">
        <f>"2020"</f>
        <v>2020</v>
      </c>
      <c r="L1837" s="6" t="str">
        <f>"Lençóis"</f>
        <v>Lençóis</v>
      </c>
      <c r="M1837" s="6" t="str">
        <f>"100x150"</f>
        <v>100x150</v>
      </c>
      <c r="N1837" s="6" t="str">
        <f>"5602972281125"</f>
        <v>5602972281125</v>
      </c>
      <c r="O1837" s="8">
        <v>3</v>
      </c>
      <c r="R1837" s="8">
        <v>0</v>
      </c>
      <c r="U1837" s="8">
        <v>0</v>
      </c>
      <c r="X1837" s="8">
        <v>0</v>
      </c>
      <c r="Z1837" s="8">
        <v>0</v>
      </c>
      <c r="AC1837" s="8">
        <v>0</v>
      </c>
      <c r="AF1837" s="8">
        <v>0</v>
      </c>
      <c r="AN1837" s="8">
        <v>0</v>
      </c>
      <c r="AO1837" s="8">
        <v>3</v>
      </c>
    </row>
    <row r="1838" spans="1:41" x14ac:dyDescent="0.25">
      <c r="A1838" s="6" t="str">
        <f>"522-2026000103"</f>
        <v>522-2026000103</v>
      </c>
      <c r="B1838" s="6" t="str">
        <f t="shared" si="458"/>
        <v>EL CORTE</v>
      </c>
      <c r="C1838" s="7">
        <v>46030</v>
      </c>
      <c r="D1838" s="7">
        <v>46035</v>
      </c>
      <c r="E1838" s="8">
        <v>1</v>
      </c>
      <c r="F1838" s="6" t="str">
        <f>"94765301_07026"</f>
        <v>94765301_07026</v>
      </c>
      <c r="G1838" s="6" t="str">
        <f t="shared" si="459"/>
        <v>F310631650000000</v>
      </c>
      <c r="H1838" s="6" t="str">
        <f t="shared" si="460"/>
        <v>PLAR 6316 FD - 500 g</v>
      </c>
      <c r="I1838" s="6" t="str">
        <f>"202575"</f>
        <v>202575</v>
      </c>
      <c r="J1838" s="6" t="str">
        <f>"BEGE 2575"</f>
        <v>BEGE 2575</v>
      </c>
      <c r="K1838" s="6" t="str">
        <f>"0520"</f>
        <v>0520</v>
      </c>
      <c r="L1838" s="6" t="str">
        <f>"Toalhetes"</f>
        <v>Toalhetes</v>
      </c>
      <c r="M1838" s="6" t="str">
        <f>"30x50"</f>
        <v>30x50</v>
      </c>
      <c r="N1838" s="6" t="str">
        <f>"5602972281071"</f>
        <v>5602972281071</v>
      </c>
      <c r="O1838" s="8">
        <v>6</v>
      </c>
      <c r="R1838" s="8">
        <v>0</v>
      </c>
      <c r="U1838" s="8">
        <v>0</v>
      </c>
      <c r="X1838" s="8">
        <v>0</v>
      </c>
      <c r="Z1838" s="8">
        <v>0</v>
      </c>
      <c r="AC1838" s="8">
        <v>0</v>
      </c>
      <c r="AF1838" s="8">
        <v>0</v>
      </c>
      <c r="AN1838" s="8">
        <v>6</v>
      </c>
      <c r="AO1838" s="8">
        <v>0</v>
      </c>
    </row>
    <row r="1839" spans="1:41" x14ac:dyDescent="0.25">
      <c r="A1839" s="6" t="str">
        <f>"522-2026000103"</f>
        <v>522-2026000103</v>
      </c>
      <c r="B1839" s="6" t="str">
        <f t="shared" si="458"/>
        <v>EL CORTE</v>
      </c>
      <c r="C1839" s="7">
        <v>46030</v>
      </c>
      <c r="D1839" s="7">
        <v>46035</v>
      </c>
      <c r="E1839" s="8">
        <v>2</v>
      </c>
      <c r="F1839" s="6" t="str">
        <f>"94765301_07026"</f>
        <v>94765301_07026</v>
      </c>
      <c r="G1839" s="6" t="str">
        <f t="shared" si="459"/>
        <v>F310631650000000</v>
      </c>
      <c r="H1839" s="6" t="str">
        <f t="shared" si="460"/>
        <v>PLAR 6316 FD - 500 g</v>
      </c>
      <c r="I1839" s="6" t="str">
        <f>"200901"</f>
        <v>200901</v>
      </c>
      <c r="J1839" s="6" t="str">
        <f>"ROSA 901"</f>
        <v>ROSA 901</v>
      </c>
      <c r="K1839" s="6" t="str">
        <f>"1024"</f>
        <v>1024</v>
      </c>
      <c r="L1839" s="6" t="str">
        <f>"Toalhas"</f>
        <v>Toalhas</v>
      </c>
      <c r="M1839" s="6" t="str">
        <f>"50x100"</f>
        <v>50x100</v>
      </c>
      <c r="N1839" s="6" t="str">
        <f>"5602972281118"</f>
        <v>5602972281118</v>
      </c>
      <c r="O1839" s="8">
        <v>6</v>
      </c>
      <c r="R1839" s="8">
        <v>0</v>
      </c>
      <c r="U1839" s="8">
        <v>0</v>
      </c>
      <c r="X1839" s="8">
        <v>0</v>
      </c>
      <c r="Z1839" s="8">
        <v>0</v>
      </c>
      <c r="AC1839" s="8">
        <v>0</v>
      </c>
      <c r="AF1839" s="8">
        <v>0</v>
      </c>
      <c r="AN1839" s="8">
        <v>6</v>
      </c>
      <c r="AO1839" s="8">
        <v>0</v>
      </c>
    </row>
    <row r="1840" spans="1:41" x14ac:dyDescent="0.25">
      <c r="A1840" s="6" t="str">
        <f>"522-2026000103"</f>
        <v>522-2026000103</v>
      </c>
      <c r="B1840" s="6" t="str">
        <f t="shared" si="458"/>
        <v>EL CORTE</v>
      </c>
      <c r="C1840" s="7">
        <v>46030</v>
      </c>
      <c r="D1840" s="7">
        <v>46035</v>
      </c>
      <c r="E1840" s="8">
        <v>3</v>
      </c>
      <c r="F1840" s="6" t="str">
        <f>"94765301_07026"</f>
        <v>94765301_07026</v>
      </c>
      <c r="G1840" s="6" t="str">
        <f t="shared" si="459"/>
        <v>F310631650000000</v>
      </c>
      <c r="H1840" s="6" t="str">
        <f t="shared" si="460"/>
        <v>PLAR 6316 FD - 500 g</v>
      </c>
      <c r="I1840" s="6" t="str">
        <f>"200510"</f>
        <v>200510</v>
      </c>
      <c r="J1840" s="6" t="str">
        <f>"VERDE 510"</f>
        <v>VERDE 510</v>
      </c>
      <c r="K1840" s="6" t="str">
        <f>"0520"</f>
        <v>0520</v>
      </c>
      <c r="L1840" s="6" t="str">
        <f>"Toalhetes"</f>
        <v>Toalhetes</v>
      </c>
      <c r="M1840" s="6" t="str">
        <f>"30x50"</f>
        <v>30x50</v>
      </c>
      <c r="N1840" s="6" t="str">
        <f>"5602972281132"</f>
        <v>5602972281132</v>
      </c>
      <c r="O1840" s="8">
        <v>6</v>
      </c>
      <c r="R1840" s="8">
        <v>0</v>
      </c>
      <c r="U1840" s="8">
        <v>0</v>
      </c>
      <c r="X1840" s="8">
        <v>0</v>
      </c>
      <c r="Z1840" s="8">
        <v>0</v>
      </c>
      <c r="AC1840" s="8">
        <v>0</v>
      </c>
      <c r="AF1840" s="8">
        <v>0</v>
      </c>
      <c r="AN1840" s="8">
        <v>6</v>
      </c>
      <c r="AO1840" s="8">
        <v>0</v>
      </c>
    </row>
    <row r="1841" spans="1:41" x14ac:dyDescent="0.25">
      <c r="A1841" s="6" t="str">
        <f>"522-2026000103"</f>
        <v>522-2026000103</v>
      </c>
      <c r="B1841" s="6" t="str">
        <f t="shared" si="458"/>
        <v>EL CORTE</v>
      </c>
      <c r="C1841" s="7">
        <v>46030</v>
      </c>
      <c r="D1841" s="7">
        <v>46035</v>
      </c>
      <c r="E1841" s="8">
        <v>4</v>
      </c>
      <c r="F1841" s="6" t="str">
        <f>"94765301_07026"</f>
        <v>94765301_07026</v>
      </c>
      <c r="G1841" s="6" t="str">
        <f t="shared" si="459"/>
        <v>F310631650000000</v>
      </c>
      <c r="H1841" s="6" t="str">
        <f t="shared" si="460"/>
        <v>PLAR 6316 FD - 500 g</v>
      </c>
      <c r="I1841" s="6" t="str">
        <f>"200510"</f>
        <v>200510</v>
      </c>
      <c r="J1841" s="6" t="str">
        <f>"VERDE 510"</f>
        <v>VERDE 510</v>
      </c>
      <c r="K1841" s="6" t="str">
        <f>"2020"</f>
        <v>2020</v>
      </c>
      <c r="L1841" s="6" t="str">
        <f>"Lençóis"</f>
        <v>Lençóis</v>
      </c>
      <c r="M1841" s="6" t="str">
        <f>"100x150"</f>
        <v>100x150</v>
      </c>
      <c r="N1841" s="6" t="str">
        <f>"5602972281156"</f>
        <v>5602972281156</v>
      </c>
      <c r="O1841" s="8">
        <v>3</v>
      </c>
      <c r="R1841" s="8">
        <v>0</v>
      </c>
      <c r="U1841" s="8">
        <v>0</v>
      </c>
      <c r="X1841" s="8">
        <v>0</v>
      </c>
      <c r="Z1841" s="8">
        <v>0</v>
      </c>
      <c r="AC1841" s="8">
        <v>0</v>
      </c>
      <c r="AF1841" s="8">
        <v>0</v>
      </c>
      <c r="AN1841" s="8">
        <v>0</v>
      </c>
      <c r="AO1841" s="8">
        <v>3</v>
      </c>
    </row>
    <row r="1842" spans="1:41" x14ac:dyDescent="0.25">
      <c r="A1842" s="6" t="str">
        <f>"522-2026000104"</f>
        <v>522-2026000104</v>
      </c>
      <c r="B1842" s="6" t="str">
        <f t="shared" si="458"/>
        <v>EL CORTE</v>
      </c>
      <c r="C1842" s="7">
        <v>46030</v>
      </c>
      <c r="D1842" s="7">
        <v>46035</v>
      </c>
      <c r="E1842" s="8">
        <v>1</v>
      </c>
      <c r="F1842" s="6" t="str">
        <f>"94766201_07026"</f>
        <v>94766201_07026</v>
      </c>
      <c r="G1842" s="6" t="str">
        <f t="shared" si="459"/>
        <v>F310631650000000</v>
      </c>
      <c r="H1842" s="6" t="str">
        <f t="shared" si="460"/>
        <v>PLAR 6316 FD - 500 g</v>
      </c>
      <c r="I1842" s="6" t="str">
        <f>"201855"</f>
        <v>201855</v>
      </c>
      <c r="J1842" s="6" t="str">
        <f>"AZUL 1855"</f>
        <v>AZUL 1855</v>
      </c>
      <c r="K1842" s="6" t="str">
        <f>"1024"</f>
        <v>1024</v>
      </c>
      <c r="L1842" s="6" t="str">
        <f>"Toalhas"</f>
        <v>Toalhas</v>
      </c>
      <c r="M1842" s="6" t="str">
        <f>"50x100"</f>
        <v>50x100</v>
      </c>
      <c r="N1842" s="6" t="str">
        <f>"5602972281057"</f>
        <v>5602972281057</v>
      </c>
      <c r="O1842" s="8">
        <v>6</v>
      </c>
      <c r="R1842" s="8">
        <v>0</v>
      </c>
      <c r="U1842" s="8">
        <v>0</v>
      </c>
      <c r="X1842" s="8">
        <v>0</v>
      </c>
      <c r="Z1842" s="8">
        <v>0</v>
      </c>
      <c r="AC1842" s="8">
        <v>0</v>
      </c>
      <c r="AF1842" s="8">
        <v>0</v>
      </c>
      <c r="AN1842" s="8">
        <v>6</v>
      </c>
      <c r="AO1842" s="8">
        <v>0</v>
      </c>
    </row>
    <row r="1843" spans="1:41" x14ac:dyDescent="0.25">
      <c r="A1843" s="6" t="str">
        <f>"522-2026000104"</f>
        <v>522-2026000104</v>
      </c>
      <c r="B1843" s="6" t="str">
        <f t="shared" si="458"/>
        <v>EL CORTE</v>
      </c>
      <c r="C1843" s="7">
        <v>46030</v>
      </c>
      <c r="D1843" s="7">
        <v>46035</v>
      </c>
      <c r="E1843" s="8">
        <v>2</v>
      </c>
      <c r="F1843" s="6" t="str">
        <f>"94766201_07026"</f>
        <v>94766201_07026</v>
      </c>
      <c r="G1843" s="6" t="str">
        <f t="shared" si="459"/>
        <v>F310631650000000</v>
      </c>
      <c r="H1843" s="6" t="str">
        <f t="shared" si="460"/>
        <v>PLAR 6316 FD - 500 g</v>
      </c>
      <c r="I1843" s="6" t="str">
        <f>"202575"</f>
        <v>202575</v>
      </c>
      <c r="J1843" s="6" t="str">
        <f>"BEGE 2575"</f>
        <v>BEGE 2575</v>
      </c>
      <c r="K1843" s="6" t="str">
        <f>"1024"</f>
        <v>1024</v>
      </c>
      <c r="L1843" s="6" t="str">
        <f>"Toalhas"</f>
        <v>Toalhas</v>
      </c>
      <c r="M1843" s="6" t="str">
        <f>"50x100"</f>
        <v>50x100</v>
      </c>
      <c r="N1843" s="6" t="str">
        <f>"5602972281088"</f>
        <v>5602972281088</v>
      </c>
      <c r="O1843" s="8">
        <v>6</v>
      </c>
      <c r="R1843" s="8">
        <v>0</v>
      </c>
      <c r="U1843" s="8">
        <v>0</v>
      </c>
      <c r="X1843" s="8">
        <v>0</v>
      </c>
      <c r="Z1843" s="8">
        <v>0</v>
      </c>
      <c r="AC1843" s="8">
        <v>0</v>
      </c>
      <c r="AF1843" s="8">
        <v>0</v>
      </c>
      <c r="AN1843" s="8">
        <v>6</v>
      </c>
      <c r="AO1843" s="8">
        <v>0</v>
      </c>
    </row>
    <row r="1844" spans="1:41" x14ac:dyDescent="0.25">
      <c r="A1844" s="6" t="str">
        <f>"522-2026000105"</f>
        <v>522-2026000105</v>
      </c>
      <c r="B1844" s="6" t="str">
        <f t="shared" si="458"/>
        <v>EL CORTE</v>
      </c>
      <c r="C1844" s="7">
        <v>46030</v>
      </c>
      <c r="D1844" s="7">
        <v>46035</v>
      </c>
      <c r="E1844" s="8">
        <v>1</v>
      </c>
      <c r="F1844" s="6" t="str">
        <f>"94762101_07026"</f>
        <v>94762101_07026</v>
      </c>
      <c r="G1844" s="6" t="str">
        <f t="shared" si="459"/>
        <v>F310631650000000</v>
      </c>
      <c r="H1844" s="6" t="str">
        <f t="shared" si="460"/>
        <v>PLAR 6316 FD - 500 g</v>
      </c>
      <c r="I1844" s="6" t="str">
        <f>"202575"</f>
        <v>202575</v>
      </c>
      <c r="J1844" s="6" t="str">
        <f>"BEGE 2575"</f>
        <v>BEGE 2575</v>
      </c>
      <c r="K1844" s="6" t="str">
        <f>"1024"</f>
        <v>1024</v>
      </c>
      <c r="L1844" s="6" t="str">
        <f>"Toalhas"</f>
        <v>Toalhas</v>
      </c>
      <c r="M1844" s="6" t="str">
        <f>"50x100"</f>
        <v>50x100</v>
      </c>
      <c r="N1844" s="6" t="str">
        <f>"5602972281088"</f>
        <v>5602972281088</v>
      </c>
      <c r="O1844" s="8">
        <v>6</v>
      </c>
      <c r="R1844" s="8">
        <v>0</v>
      </c>
      <c r="U1844" s="8">
        <v>0</v>
      </c>
      <c r="X1844" s="8">
        <v>0</v>
      </c>
      <c r="Z1844" s="8">
        <v>0</v>
      </c>
      <c r="AC1844" s="8">
        <v>0</v>
      </c>
      <c r="AF1844" s="8">
        <v>0</v>
      </c>
      <c r="AN1844" s="8">
        <v>6</v>
      </c>
      <c r="AO1844" s="8">
        <v>0</v>
      </c>
    </row>
    <row r="1845" spans="1:41" x14ac:dyDescent="0.25">
      <c r="A1845" s="6" t="str">
        <f>"522-2026000105"</f>
        <v>522-2026000105</v>
      </c>
      <c r="B1845" s="6" t="str">
        <f t="shared" si="458"/>
        <v>EL CORTE</v>
      </c>
      <c r="C1845" s="7">
        <v>46030</v>
      </c>
      <c r="D1845" s="7">
        <v>46035</v>
      </c>
      <c r="E1845" s="8">
        <v>2</v>
      </c>
      <c r="F1845" s="6" t="str">
        <f>"94762101_07026"</f>
        <v>94762101_07026</v>
      </c>
      <c r="G1845" s="6" t="str">
        <f t="shared" si="459"/>
        <v>F310631650000000</v>
      </c>
      <c r="H1845" s="6" t="str">
        <f t="shared" si="460"/>
        <v>PLAR 6316 FD - 500 g</v>
      </c>
      <c r="I1845" s="6" t="str">
        <f>"200901"</f>
        <v>200901</v>
      </c>
      <c r="J1845" s="6" t="str">
        <f>"ROSA 901"</f>
        <v>ROSA 901</v>
      </c>
      <c r="K1845" s="6" t="str">
        <f>"1024"</f>
        <v>1024</v>
      </c>
      <c r="L1845" s="6" t="str">
        <f>"Toalhas"</f>
        <v>Toalhas</v>
      </c>
      <c r="M1845" s="6" t="str">
        <f>"50x100"</f>
        <v>50x100</v>
      </c>
      <c r="N1845" s="6" t="str">
        <f>"5602972281118"</f>
        <v>5602972281118</v>
      </c>
      <c r="O1845" s="8">
        <v>6</v>
      </c>
      <c r="R1845" s="8">
        <v>0</v>
      </c>
      <c r="U1845" s="8">
        <v>0</v>
      </c>
      <c r="X1845" s="8">
        <v>0</v>
      </c>
      <c r="Z1845" s="8">
        <v>0</v>
      </c>
      <c r="AC1845" s="8">
        <v>0</v>
      </c>
      <c r="AF1845" s="8">
        <v>0</v>
      </c>
      <c r="AN1845" s="8">
        <v>6</v>
      </c>
      <c r="AO1845" s="8">
        <v>0</v>
      </c>
    </row>
    <row r="1846" spans="1:41" x14ac:dyDescent="0.25">
      <c r="A1846" s="6" t="str">
        <f>"522-2026000106"</f>
        <v>522-2026000106</v>
      </c>
      <c r="B1846" s="6" t="str">
        <f t="shared" si="458"/>
        <v>EL CORTE</v>
      </c>
      <c r="C1846" s="7">
        <v>46030</v>
      </c>
      <c r="D1846" s="7">
        <v>46035</v>
      </c>
      <c r="E1846" s="8">
        <v>1</v>
      </c>
      <c r="F1846" s="6" t="str">
        <f>"94766001_07026"</f>
        <v>94766001_07026</v>
      </c>
      <c r="G1846" s="6" t="str">
        <f t="shared" si="459"/>
        <v>F310631650000000</v>
      </c>
      <c r="H1846" s="6" t="str">
        <f t="shared" si="460"/>
        <v>PLAR 6316 FD - 500 g</v>
      </c>
      <c r="I1846" s="6" t="str">
        <f>"202575"</f>
        <v>202575</v>
      </c>
      <c r="J1846" s="6" t="str">
        <f>"BEGE 2575"</f>
        <v>BEGE 2575</v>
      </c>
      <c r="K1846" s="6" t="str">
        <f>"1024"</f>
        <v>1024</v>
      </c>
      <c r="L1846" s="6" t="str">
        <f>"Toalhas"</f>
        <v>Toalhas</v>
      </c>
      <c r="M1846" s="6" t="str">
        <f>"50x100"</f>
        <v>50x100</v>
      </c>
      <c r="N1846" s="6" t="str">
        <f>"5602972281088"</f>
        <v>5602972281088</v>
      </c>
      <c r="O1846" s="8">
        <v>6</v>
      </c>
      <c r="R1846" s="8">
        <v>0</v>
      </c>
      <c r="U1846" s="8">
        <v>0</v>
      </c>
      <c r="X1846" s="8">
        <v>0</v>
      </c>
      <c r="Z1846" s="8">
        <v>0</v>
      </c>
      <c r="AC1846" s="8">
        <v>0</v>
      </c>
      <c r="AF1846" s="8">
        <v>0</v>
      </c>
      <c r="AN1846" s="8">
        <v>6</v>
      </c>
      <c r="AO1846" s="8">
        <v>0</v>
      </c>
    </row>
    <row r="1847" spans="1:41" x14ac:dyDescent="0.25">
      <c r="A1847" s="6" t="str">
        <f>"522-2026000106"</f>
        <v>522-2026000106</v>
      </c>
      <c r="B1847" s="6" t="str">
        <f t="shared" si="458"/>
        <v>EL CORTE</v>
      </c>
      <c r="C1847" s="7">
        <v>46030</v>
      </c>
      <c r="D1847" s="7">
        <v>46035</v>
      </c>
      <c r="E1847" s="8">
        <v>2</v>
      </c>
      <c r="F1847" s="6" t="str">
        <f>"94766001_07026"</f>
        <v>94766001_07026</v>
      </c>
      <c r="G1847" s="6" t="str">
        <f t="shared" si="459"/>
        <v>F310631650000000</v>
      </c>
      <c r="H1847" s="6" t="str">
        <f t="shared" si="460"/>
        <v>PLAR 6316 FD - 500 g</v>
      </c>
      <c r="I1847" s="6" t="str">
        <f>"202575"</f>
        <v>202575</v>
      </c>
      <c r="J1847" s="6" t="str">
        <f>"BEGE 2575"</f>
        <v>BEGE 2575</v>
      </c>
      <c r="K1847" s="6" t="str">
        <f>"2020"</f>
        <v>2020</v>
      </c>
      <c r="L1847" s="6" t="str">
        <f>"Lençóis"</f>
        <v>Lençóis</v>
      </c>
      <c r="M1847" s="6" t="str">
        <f>"100x150"</f>
        <v>100x150</v>
      </c>
      <c r="N1847" s="6" t="str">
        <f>"5602972281095"</f>
        <v>5602972281095</v>
      </c>
      <c r="O1847" s="8">
        <v>6</v>
      </c>
      <c r="R1847" s="8">
        <v>0</v>
      </c>
      <c r="U1847" s="8">
        <v>0</v>
      </c>
      <c r="X1847" s="8">
        <v>0</v>
      </c>
      <c r="Z1847" s="8">
        <v>0</v>
      </c>
      <c r="AC1847" s="8">
        <v>0</v>
      </c>
      <c r="AF1847" s="8">
        <v>0</v>
      </c>
      <c r="AN1847" s="8">
        <v>0</v>
      </c>
      <c r="AO1847" s="8">
        <v>6</v>
      </c>
    </row>
    <row r="1848" spans="1:41" x14ac:dyDescent="0.25">
      <c r="A1848" s="6" t="str">
        <f t="shared" ref="A1848:A1854" si="463">"522-2026000107"</f>
        <v>522-2026000107</v>
      </c>
      <c r="B1848" s="6" t="str">
        <f t="shared" si="458"/>
        <v>EL CORTE</v>
      </c>
      <c r="C1848" s="7">
        <v>46030</v>
      </c>
      <c r="D1848" s="7">
        <v>46035</v>
      </c>
      <c r="E1848" s="8">
        <v>1</v>
      </c>
      <c r="F1848" s="6" t="str">
        <f t="shared" ref="F1848:F1854" si="464">"94763401_07026"</f>
        <v>94763401_07026</v>
      </c>
      <c r="G1848" s="6" t="str">
        <f t="shared" si="459"/>
        <v>F310631650000000</v>
      </c>
      <c r="H1848" s="6" t="str">
        <f t="shared" si="460"/>
        <v>PLAR 6316 FD - 500 g</v>
      </c>
      <c r="I1848" s="6" t="str">
        <f>"201855"</f>
        <v>201855</v>
      </c>
      <c r="J1848" s="6" t="str">
        <f>"AZUL 1855"</f>
        <v>AZUL 1855</v>
      </c>
      <c r="K1848" s="6" t="str">
        <f>"1024"</f>
        <v>1024</v>
      </c>
      <c r="L1848" s="6" t="str">
        <f>"Toalhas"</f>
        <v>Toalhas</v>
      </c>
      <c r="M1848" s="6" t="str">
        <f>"50x100"</f>
        <v>50x100</v>
      </c>
      <c r="N1848" s="6" t="str">
        <f>"5602972281057"</f>
        <v>5602972281057</v>
      </c>
      <c r="O1848" s="8">
        <v>6</v>
      </c>
      <c r="R1848" s="8">
        <v>0</v>
      </c>
      <c r="U1848" s="8">
        <v>0</v>
      </c>
      <c r="X1848" s="8">
        <v>0</v>
      </c>
      <c r="Z1848" s="8">
        <v>0</v>
      </c>
      <c r="AC1848" s="8">
        <v>0</v>
      </c>
      <c r="AF1848" s="8">
        <v>0</v>
      </c>
      <c r="AN1848" s="8">
        <v>6</v>
      </c>
      <c r="AO1848" s="8">
        <v>0</v>
      </c>
    </row>
    <row r="1849" spans="1:41" x14ac:dyDescent="0.25">
      <c r="A1849" s="6" t="str">
        <f t="shared" si="463"/>
        <v>522-2026000107</v>
      </c>
      <c r="B1849" s="6" t="str">
        <f t="shared" si="458"/>
        <v>EL CORTE</v>
      </c>
      <c r="C1849" s="7">
        <v>46030</v>
      </c>
      <c r="D1849" s="7">
        <v>46035</v>
      </c>
      <c r="E1849" s="8">
        <v>2</v>
      </c>
      <c r="F1849" s="6" t="str">
        <f t="shared" si="464"/>
        <v>94763401_07026</v>
      </c>
      <c r="G1849" s="6" t="str">
        <f t="shared" si="459"/>
        <v>F310631650000000</v>
      </c>
      <c r="H1849" s="6" t="str">
        <f t="shared" si="460"/>
        <v>PLAR 6316 FD - 500 g</v>
      </c>
      <c r="I1849" s="6" t="str">
        <f>"201855"</f>
        <v>201855</v>
      </c>
      <c r="J1849" s="6" t="str">
        <f>"AZUL 1855"</f>
        <v>AZUL 1855</v>
      </c>
      <c r="K1849" s="6" t="str">
        <f>"2020"</f>
        <v>2020</v>
      </c>
      <c r="L1849" s="6" t="str">
        <f>"Lençóis"</f>
        <v>Lençóis</v>
      </c>
      <c r="M1849" s="6" t="str">
        <f>"100x150"</f>
        <v>100x150</v>
      </c>
      <c r="N1849" s="6" t="str">
        <f>"5602972281064"</f>
        <v>5602972281064</v>
      </c>
      <c r="O1849" s="8">
        <v>3</v>
      </c>
      <c r="R1849" s="8">
        <v>0</v>
      </c>
      <c r="U1849" s="8">
        <v>0</v>
      </c>
      <c r="X1849" s="8">
        <v>0</v>
      </c>
      <c r="Z1849" s="8">
        <v>0</v>
      </c>
      <c r="AC1849" s="8">
        <v>0</v>
      </c>
      <c r="AF1849" s="8">
        <v>0</v>
      </c>
      <c r="AN1849" s="8">
        <v>0</v>
      </c>
      <c r="AO1849" s="8">
        <v>3</v>
      </c>
    </row>
    <row r="1850" spans="1:41" x14ac:dyDescent="0.25">
      <c r="A1850" s="6" t="str">
        <f t="shared" si="463"/>
        <v>522-2026000107</v>
      </c>
      <c r="B1850" s="6" t="str">
        <f t="shared" si="458"/>
        <v>EL CORTE</v>
      </c>
      <c r="C1850" s="7">
        <v>46030</v>
      </c>
      <c r="D1850" s="7">
        <v>46035</v>
      </c>
      <c r="E1850" s="8">
        <v>3</v>
      </c>
      <c r="F1850" s="6" t="str">
        <f t="shared" si="464"/>
        <v>94763401_07026</v>
      </c>
      <c r="G1850" s="6" t="str">
        <f t="shared" si="459"/>
        <v>F310631650000000</v>
      </c>
      <c r="H1850" s="6" t="str">
        <f t="shared" si="460"/>
        <v>PLAR 6316 FD - 500 g</v>
      </c>
      <c r="I1850" s="6" t="str">
        <f>"202575"</f>
        <v>202575</v>
      </c>
      <c r="J1850" s="6" t="str">
        <f>"BEGE 2575"</f>
        <v>BEGE 2575</v>
      </c>
      <c r="K1850" s="6" t="str">
        <f>"1024"</f>
        <v>1024</v>
      </c>
      <c r="L1850" s="6" t="str">
        <f>"Toalhas"</f>
        <v>Toalhas</v>
      </c>
      <c r="M1850" s="6" t="str">
        <f>"50x100"</f>
        <v>50x100</v>
      </c>
      <c r="N1850" s="6" t="str">
        <f>"5602972281088"</f>
        <v>5602972281088</v>
      </c>
      <c r="O1850" s="8">
        <v>6</v>
      </c>
      <c r="R1850" s="8">
        <v>0</v>
      </c>
      <c r="U1850" s="8">
        <v>0</v>
      </c>
      <c r="X1850" s="8">
        <v>0</v>
      </c>
      <c r="Z1850" s="8">
        <v>0</v>
      </c>
      <c r="AC1850" s="8">
        <v>0</v>
      </c>
      <c r="AF1850" s="8">
        <v>0</v>
      </c>
      <c r="AN1850" s="8">
        <v>6</v>
      </c>
      <c r="AO1850" s="8">
        <v>0</v>
      </c>
    </row>
    <row r="1851" spans="1:41" x14ac:dyDescent="0.25">
      <c r="A1851" s="6" t="str">
        <f t="shared" si="463"/>
        <v>522-2026000107</v>
      </c>
      <c r="B1851" s="6" t="str">
        <f t="shared" si="458"/>
        <v>EL CORTE</v>
      </c>
      <c r="C1851" s="7">
        <v>46030</v>
      </c>
      <c r="D1851" s="7">
        <v>46035</v>
      </c>
      <c r="E1851" s="8">
        <v>4</v>
      </c>
      <c r="F1851" s="6" t="str">
        <f t="shared" si="464"/>
        <v>94763401_07026</v>
      </c>
      <c r="G1851" s="6" t="str">
        <f t="shared" si="459"/>
        <v>F310631650000000</v>
      </c>
      <c r="H1851" s="6" t="str">
        <f t="shared" si="460"/>
        <v>PLAR 6316 FD - 500 g</v>
      </c>
      <c r="I1851" s="6" t="str">
        <f>"202575"</f>
        <v>202575</v>
      </c>
      <c r="J1851" s="6" t="str">
        <f>"BEGE 2575"</f>
        <v>BEGE 2575</v>
      </c>
      <c r="K1851" s="6" t="str">
        <f>"2020"</f>
        <v>2020</v>
      </c>
      <c r="L1851" s="6" t="str">
        <f>"Lençóis"</f>
        <v>Lençóis</v>
      </c>
      <c r="M1851" s="6" t="str">
        <f>"100x150"</f>
        <v>100x150</v>
      </c>
      <c r="N1851" s="6" t="str">
        <f>"5602972281095"</f>
        <v>5602972281095</v>
      </c>
      <c r="O1851" s="8">
        <v>3</v>
      </c>
      <c r="R1851" s="8">
        <v>0</v>
      </c>
      <c r="U1851" s="8">
        <v>0</v>
      </c>
      <c r="X1851" s="8">
        <v>0</v>
      </c>
      <c r="Z1851" s="8">
        <v>0</v>
      </c>
      <c r="AC1851" s="8">
        <v>0</v>
      </c>
      <c r="AF1851" s="8">
        <v>0</v>
      </c>
      <c r="AN1851" s="8">
        <v>0</v>
      </c>
      <c r="AO1851" s="8">
        <v>3</v>
      </c>
    </row>
    <row r="1852" spans="1:41" x14ac:dyDescent="0.25">
      <c r="A1852" s="6" t="str">
        <f t="shared" si="463"/>
        <v>522-2026000107</v>
      </c>
      <c r="B1852" s="6" t="str">
        <f t="shared" si="458"/>
        <v>EL CORTE</v>
      </c>
      <c r="C1852" s="7">
        <v>46030</v>
      </c>
      <c r="D1852" s="7">
        <v>46035</v>
      </c>
      <c r="E1852" s="8">
        <v>5</v>
      </c>
      <c r="F1852" s="6" t="str">
        <f t="shared" si="464"/>
        <v>94763401_07026</v>
      </c>
      <c r="G1852" s="6" t="str">
        <f t="shared" si="459"/>
        <v>F310631650000000</v>
      </c>
      <c r="H1852" s="6" t="str">
        <f t="shared" si="460"/>
        <v>PLAR 6316 FD - 500 g</v>
      </c>
      <c r="I1852" s="6" t="str">
        <f>"200901"</f>
        <v>200901</v>
      </c>
      <c r="J1852" s="6" t="str">
        <f>"ROSA 901"</f>
        <v>ROSA 901</v>
      </c>
      <c r="K1852" s="6" t="str">
        <f>"1024"</f>
        <v>1024</v>
      </c>
      <c r="L1852" s="6" t="str">
        <f>"Toalhas"</f>
        <v>Toalhas</v>
      </c>
      <c r="M1852" s="6" t="str">
        <f>"50x100"</f>
        <v>50x100</v>
      </c>
      <c r="N1852" s="6" t="str">
        <f>"5602972281118"</f>
        <v>5602972281118</v>
      </c>
      <c r="O1852" s="8">
        <v>6</v>
      </c>
      <c r="R1852" s="8">
        <v>0</v>
      </c>
      <c r="U1852" s="8">
        <v>0</v>
      </c>
      <c r="X1852" s="8">
        <v>0</v>
      </c>
      <c r="Z1852" s="8">
        <v>0</v>
      </c>
      <c r="AC1852" s="8">
        <v>0</v>
      </c>
      <c r="AF1852" s="8">
        <v>0</v>
      </c>
      <c r="AN1852" s="8">
        <v>6</v>
      </c>
      <c r="AO1852" s="8">
        <v>0</v>
      </c>
    </row>
    <row r="1853" spans="1:41" x14ac:dyDescent="0.25">
      <c r="A1853" s="6" t="str">
        <f t="shared" si="463"/>
        <v>522-2026000107</v>
      </c>
      <c r="B1853" s="6" t="str">
        <f t="shared" si="458"/>
        <v>EL CORTE</v>
      </c>
      <c r="C1853" s="7">
        <v>46030</v>
      </c>
      <c r="D1853" s="7">
        <v>46035</v>
      </c>
      <c r="E1853" s="8">
        <v>6</v>
      </c>
      <c r="F1853" s="6" t="str">
        <f t="shared" si="464"/>
        <v>94763401_07026</v>
      </c>
      <c r="G1853" s="6" t="str">
        <f t="shared" si="459"/>
        <v>F310631650000000</v>
      </c>
      <c r="H1853" s="6" t="str">
        <f t="shared" si="460"/>
        <v>PLAR 6316 FD - 500 g</v>
      </c>
      <c r="I1853" s="6" t="str">
        <f>"200510"</f>
        <v>200510</v>
      </c>
      <c r="J1853" s="6" t="str">
        <f>"VERDE 510"</f>
        <v>VERDE 510</v>
      </c>
      <c r="K1853" s="6" t="str">
        <f>"1024"</f>
        <v>1024</v>
      </c>
      <c r="L1853" s="6" t="str">
        <f>"Toalhas"</f>
        <v>Toalhas</v>
      </c>
      <c r="M1853" s="6" t="str">
        <f>"50x100"</f>
        <v>50x100</v>
      </c>
      <c r="N1853" s="6" t="str">
        <f>"5602972281149"</f>
        <v>5602972281149</v>
      </c>
      <c r="O1853" s="8">
        <v>6</v>
      </c>
      <c r="R1853" s="8">
        <v>0</v>
      </c>
      <c r="U1853" s="8">
        <v>0</v>
      </c>
      <c r="X1853" s="8">
        <v>0</v>
      </c>
      <c r="Z1853" s="8">
        <v>0</v>
      </c>
      <c r="AC1853" s="8">
        <v>0</v>
      </c>
      <c r="AF1853" s="8">
        <v>0</v>
      </c>
      <c r="AN1853" s="8">
        <v>6</v>
      </c>
      <c r="AO1853" s="8">
        <v>0</v>
      </c>
    </row>
    <row r="1854" spans="1:41" x14ac:dyDescent="0.25">
      <c r="A1854" s="6" t="str">
        <f t="shared" si="463"/>
        <v>522-2026000107</v>
      </c>
      <c r="B1854" s="6" t="str">
        <f t="shared" si="458"/>
        <v>EL CORTE</v>
      </c>
      <c r="C1854" s="7">
        <v>46030</v>
      </c>
      <c r="D1854" s="7">
        <v>46035</v>
      </c>
      <c r="E1854" s="8">
        <v>7</v>
      </c>
      <c r="F1854" s="6" t="str">
        <f t="shared" si="464"/>
        <v>94763401_07026</v>
      </c>
      <c r="G1854" s="6" t="str">
        <f t="shared" si="459"/>
        <v>F310631650000000</v>
      </c>
      <c r="H1854" s="6" t="str">
        <f t="shared" si="460"/>
        <v>PLAR 6316 FD - 500 g</v>
      </c>
      <c r="I1854" s="6" t="str">
        <f>"200510"</f>
        <v>200510</v>
      </c>
      <c r="J1854" s="6" t="str">
        <f>"VERDE 510"</f>
        <v>VERDE 510</v>
      </c>
      <c r="K1854" s="6" t="str">
        <f>"2020"</f>
        <v>2020</v>
      </c>
      <c r="L1854" s="6" t="str">
        <f>"Lençóis"</f>
        <v>Lençóis</v>
      </c>
      <c r="M1854" s="6" t="str">
        <f>"100x150"</f>
        <v>100x150</v>
      </c>
      <c r="N1854" s="6" t="str">
        <f>"5602972281156"</f>
        <v>5602972281156</v>
      </c>
      <c r="O1854" s="8">
        <v>3</v>
      </c>
      <c r="R1854" s="8">
        <v>0</v>
      </c>
      <c r="U1854" s="8">
        <v>0</v>
      </c>
      <c r="X1854" s="8">
        <v>0</v>
      </c>
      <c r="Z1854" s="8">
        <v>0</v>
      </c>
      <c r="AC1854" s="8">
        <v>0</v>
      </c>
      <c r="AF1854" s="8">
        <v>0</v>
      </c>
      <c r="AN1854" s="8">
        <v>0</v>
      </c>
      <c r="AO1854" s="8">
        <v>3</v>
      </c>
    </row>
    <row r="1855" spans="1:41" x14ac:dyDescent="0.25">
      <c r="A1855" s="6" t="str">
        <f>"522-2026000108"</f>
        <v>522-2026000108</v>
      </c>
      <c r="B1855" s="6" t="str">
        <f t="shared" si="458"/>
        <v>EL CORTE</v>
      </c>
      <c r="C1855" s="7">
        <v>46030</v>
      </c>
      <c r="D1855" s="7">
        <v>46035</v>
      </c>
      <c r="E1855" s="8">
        <v>1</v>
      </c>
      <c r="F1855" s="6" t="str">
        <f>"94764501_07026"</f>
        <v>94764501_07026</v>
      </c>
      <c r="G1855" s="6" t="str">
        <f t="shared" si="459"/>
        <v>F310631650000000</v>
      </c>
      <c r="H1855" s="6" t="str">
        <f t="shared" si="460"/>
        <v>PLAR 6316 FD - 500 g</v>
      </c>
      <c r="I1855" s="6" t="str">
        <f>"202575"</f>
        <v>202575</v>
      </c>
      <c r="J1855" s="6" t="str">
        <f>"BEGE 2575"</f>
        <v>BEGE 2575</v>
      </c>
      <c r="K1855" s="6" t="str">
        <f>"1024"</f>
        <v>1024</v>
      </c>
      <c r="L1855" s="6" t="str">
        <f>"Toalhas"</f>
        <v>Toalhas</v>
      </c>
      <c r="M1855" s="6" t="str">
        <f>"50x100"</f>
        <v>50x100</v>
      </c>
      <c r="N1855" s="6" t="str">
        <f>"5602972281088"</f>
        <v>5602972281088</v>
      </c>
      <c r="O1855" s="8">
        <v>6</v>
      </c>
      <c r="R1855" s="8">
        <v>0</v>
      </c>
      <c r="U1855" s="8">
        <v>0</v>
      </c>
      <c r="X1855" s="8">
        <v>0</v>
      </c>
      <c r="Z1855" s="8">
        <v>0</v>
      </c>
      <c r="AC1855" s="8">
        <v>0</v>
      </c>
      <c r="AF1855" s="8">
        <v>0</v>
      </c>
      <c r="AN1855" s="8">
        <v>6</v>
      </c>
      <c r="AO1855" s="8">
        <v>0</v>
      </c>
    </row>
    <row r="1856" spans="1:41" x14ac:dyDescent="0.25">
      <c r="A1856" s="6" t="str">
        <f>"522-2026000108"</f>
        <v>522-2026000108</v>
      </c>
      <c r="B1856" s="6" t="str">
        <f t="shared" si="458"/>
        <v>EL CORTE</v>
      </c>
      <c r="C1856" s="7">
        <v>46030</v>
      </c>
      <c r="D1856" s="7">
        <v>46035</v>
      </c>
      <c r="E1856" s="8">
        <v>2</v>
      </c>
      <c r="F1856" s="6" t="str">
        <f>"94764501_07026"</f>
        <v>94764501_07026</v>
      </c>
      <c r="G1856" s="6" t="str">
        <f t="shared" si="459"/>
        <v>F310631650000000</v>
      </c>
      <c r="H1856" s="6" t="str">
        <f t="shared" si="460"/>
        <v>PLAR 6316 FD - 500 g</v>
      </c>
      <c r="I1856" s="6" t="str">
        <f>"202575"</f>
        <v>202575</v>
      </c>
      <c r="J1856" s="6" t="str">
        <f>"BEGE 2575"</f>
        <v>BEGE 2575</v>
      </c>
      <c r="K1856" s="6" t="str">
        <f>"2020"</f>
        <v>2020</v>
      </c>
      <c r="L1856" s="6" t="str">
        <f>"Lençóis"</f>
        <v>Lençóis</v>
      </c>
      <c r="M1856" s="6" t="str">
        <f>"100x150"</f>
        <v>100x150</v>
      </c>
      <c r="N1856" s="6" t="str">
        <f>"5602972281095"</f>
        <v>5602972281095</v>
      </c>
      <c r="O1856" s="8">
        <v>3</v>
      </c>
      <c r="R1856" s="8">
        <v>0</v>
      </c>
      <c r="U1856" s="8">
        <v>0</v>
      </c>
      <c r="X1856" s="8">
        <v>0</v>
      </c>
      <c r="Z1856" s="8">
        <v>0</v>
      </c>
      <c r="AC1856" s="8">
        <v>0</v>
      </c>
      <c r="AF1856" s="8">
        <v>0</v>
      </c>
      <c r="AN1856" s="8">
        <v>0</v>
      </c>
      <c r="AO1856" s="8">
        <v>3</v>
      </c>
    </row>
    <row r="1857" spans="1:41" x14ac:dyDescent="0.25">
      <c r="A1857" s="6" t="str">
        <f>"522-2026000108"</f>
        <v>522-2026000108</v>
      </c>
      <c r="B1857" s="6" t="str">
        <f t="shared" si="458"/>
        <v>EL CORTE</v>
      </c>
      <c r="C1857" s="7">
        <v>46030</v>
      </c>
      <c r="D1857" s="7">
        <v>46035</v>
      </c>
      <c r="E1857" s="8">
        <v>3</v>
      </c>
      <c r="F1857" s="6" t="str">
        <f>"94764501_07026"</f>
        <v>94764501_07026</v>
      </c>
      <c r="G1857" s="6" t="str">
        <f t="shared" si="459"/>
        <v>F310631650000000</v>
      </c>
      <c r="H1857" s="6" t="str">
        <f t="shared" si="460"/>
        <v>PLAR 6316 FD - 500 g</v>
      </c>
      <c r="I1857" s="6" t="str">
        <f>"200510"</f>
        <v>200510</v>
      </c>
      <c r="J1857" s="6" t="str">
        <f>"VERDE 510"</f>
        <v>VERDE 510</v>
      </c>
      <c r="K1857" s="6" t="str">
        <f>"1024"</f>
        <v>1024</v>
      </c>
      <c r="L1857" s="6" t="str">
        <f>"Toalhas"</f>
        <v>Toalhas</v>
      </c>
      <c r="M1857" s="6" t="str">
        <f>"50x100"</f>
        <v>50x100</v>
      </c>
      <c r="N1857" s="6" t="str">
        <f>"5602972281149"</f>
        <v>5602972281149</v>
      </c>
      <c r="O1857" s="8">
        <v>6</v>
      </c>
      <c r="R1857" s="8">
        <v>0</v>
      </c>
      <c r="U1857" s="8">
        <v>0</v>
      </c>
      <c r="X1857" s="8">
        <v>0</v>
      </c>
      <c r="Z1857" s="8">
        <v>0</v>
      </c>
      <c r="AC1857" s="8">
        <v>0</v>
      </c>
      <c r="AF1857" s="8">
        <v>0</v>
      </c>
      <c r="AN1857" s="8">
        <v>6</v>
      </c>
      <c r="AO1857" s="8">
        <v>0</v>
      </c>
    </row>
    <row r="1858" spans="1:41" x14ac:dyDescent="0.25">
      <c r="A1858" s="6" t="str">
        <f>"522-2026000108"</f>
        <v>522-2026000108</v>
      </c>
      <c r="B1858" s="6" t="str">
        <f t="shared" si="458"/>
        <v>EL CORTE</v>
      </c>
      <c r="C1858" s="7">
        <v>46030</v>
      </c>
      <c r="D1858" s="7">
        <v>46035</v>
      </c>
      <c r="E1858" s="8">
        <v>4</v>
      </c>
      <c r="F1858" s="6" t="str">
        <f>"94764501_07026"</f>
        <v>94764501_07026</v>
      </c>
      <c r="G1858" s="6" t="str">
        <f t="shared" si="459"/>
        <v>F310631650000000</v>
      </c>
      <c r="H1858" s="6" t="str">
        <f t="shared" si="460"/>
        <v>PLAR 6316 FD - 500 g</v>
      </c>
      <c r="I1858" s="6" t="str">
        <f>"200510"</f>
        <v>200510</v>
      </c>
      <c r="J1858" s="6" t="str">
        <f>"VERDE 510"</f>
        <v>VERDE 510</v>
      </c>
      <c r="K1858" s="6" t="str">
        <f>"2020"</f>
        <v>2020</v>
      </c>
      <c r="L1858" s="6" t="str">
        <f>"Lençóis"</f>
        <v>Lençóis</v>
      </c>
      <c r="M1858" s="6" t="str">
        <f>"100x150"</f>
        <v>100x150</v>
      </c>
      <c r="N1858" s="6" t="str">
        <f>"5602972281156"</f>
        <v>5602972281156</v>
      </c>
      <c r="O1858" s="8">
        <v>3</v>
      </c>
      <c r="R1858" s="8">
        <v>0</v>
      </c>
      <c r="U1858" s="8">
        <v>0</v>
      </c>
      <c r="X1858" s="8">
        <v>0</v>
      </c>
      <c r="Z1858" s="8">
        <v>0</v>
      </c>
      <c r="AC1858" s="8">
        <v>0</v>
      </c>
      <c r="AF1858" s="8">
        <v>0</v>
      </c>
      <c r="AN1858" s="8">
        <v>0</v>
      </c>
      <c r="AO1858" s="8">
        <v>3</v>
      </c>
    </row>
    <row r="1859" spans="1:41" x14ac:dyDescent="0.25">
      <c r="A1859" s="6" t="str">
        <f>"522-2026000109"</f>
        <v>522-2026000109</v>
      </c>
      <c r="B1859" s="6" t="str">
        <f t="shared" si="458"/>
        <v>EL CORTE</v>
      </c>
      <c r="C1859" s="7">
        <v>46030</v>
      </c>
      <c r="D1859" s="7">
        <v>46035</v>
      </c>
      <c r="E1859" s="8">
        <v>1</v>
      </c>
      <c r="F1859" s="6" t="str">
        <f>"94761501_07026"</f>
        <v>94761501_07026</v>
      </c>
      <c r="G1859" s="6" t="str">
        <f t="shared" si="459"/>
        <v>F310631650000000</v>
      </c>
      <c r="H1859" s="6" t="str">
        <f t="shared" si="460"/>
        <v>PLAR 6316 FD - 500 g</v>
      </c>
      <c r="I1859" s="6" t="str">
        <f>"201855"</f>
        <v>201855</v>
      </c>
      <c r="J1859" s="6" t="str">
        <f>"AZUL 1855"</f>
        <v>AZUL 1855</v>
      </c>
      <c r="K1859" s="6" t="str">
        <f>"1024"</f>
        <v>1024</v>
      </c>
      <c r="L1859" s="6" t="str">
        <f>"Toalhas"</f>
        <v>Toalhas</v>
      </c>
      <c r="M1859" s="6" t="str">
        <f>"50x100"</f>
        <v>50x100</v>
      </c>
      <c r="N1859" s="6" t="str">
        <f>"5602972281057"</f>
        <v>5602972281057</v>
      </c>
      <c r="O1859" s="8">
        <v>6</v>
      </c>
      <c r="R1859" s="8">
        <v>0</v>
      </c>
      <c r="U1859" s="8">
        <v>0</v>
      </c>
      <c r="X1859" s="8">
        <v>0</v>
      </c>
      <c r="Z1859" s="8">
        <v>0</v>
      </c>
      <c r="AC1859" s="8">
        <v>0</v>
      </c>
      <c r="AF1859" s="8">
        <v>0</v>
      </c>
      <c r="AN1859" s="8">
        <v>6</v>
      </c>
      <c r="AO1859" s="8">
        <v>0</v>
      </c>
    </row>
    <row r="1860" spans="1:41" x14ac:dyDescent="0.25">
      <c r="A1860" s="6" t="str">
        <f>"522-2026000109"</f>
        <v>522-2026000109</v>
      </c>
      <c r="B1860" s="6" t="str">
        <f t="shared" si="458"/>
        <v>EL CORTE</v>
      </c>
      <c r="C1860" s="7">
        <v>46030</v>
      </c>
      <c r="D1860" s="7">
        <v>46035</v>
      </c>
      <c r="E1860" s="8">
        <v>2</v>
      </c>
      <c r="F1860" s="6" t="str">
        <f>"94761501_07026"</f>
        <v>94761501_07026</v>
      </c>
      <c r="G1860" s="6" t="str">
        <f t="shared" si="459"/>
        <v>F310631650000000</v>
      </c>
      <c r="H1860" s="6" t="str">
        <f t="shared" si="460"/>
        <v>PLAR 6316 FD - 500 g</v>
      </c>
      <c r="I1860" s="6" t="str">
        <f>"202575"</f>
        <v>202575</v>
      </c>
      <c r="J1860" s="6" t="str">
        <f>"BEGE 2575"</f>
        <v>BEGE 2575</v>
      </c>
      <c r="K1860" s="6" t="str">
        <f>"1024"</f>
        <v>1024</v>
      </c>
      <c r="L1860" s="6" t="str">
        <f>"Toalhas"</f>
        <v>Toalhas</v>
      </c>
      <c r="M1860" s="6" t="str">
        <f>"50x100"</f>
        <v>50x100</v>
      </c>
      <c r="N1860" s="6" t="str">
        <f>"5602972281088"</f>
        <v>5602972281088</v>
      </c>
      <c r="O1860" s="8">
        <v>6</v>
      </c>
      <c r="R1860" s="8">
        <v>0</v>
      </c>
      <c r="U1860" s="8">
        <v>0</v>
      </c>
      <c r="X1860" s="8">
        <v>0</v>
      </c>
      <c r="Z1860" s="8">
        <v>0</v>
      </c>
      <c r="AC1860" s="8">
        <v>0</v>
      </c>
      <c r="AF1860" s="8">
        <v>0</v>
      </c>
      <c r="AN1860" s="8">
        <v>6</v>
      </c>
      <c r="AO1860" s="8">
        <v>0</v>
      </c>
    </row>
    <row r="1861" spans="1:41" x14ac:dyDescent="0.25">
      <c r="A1861" s="6" t="str">
        <f>"522-2026000109"</f>
        <v>522-2026000109</v>
      </c>
      <c r="B1861" s="6" t="str">
        <f t="shared" si="458"/>
        <v>EL CORTE</v>
      </c>
      <c r="C1861" s="7">
        <v>46030</v>
      </c>
      <c r="D1861" s="7">
        <v>46035</v>
      </c>
      <c r="E1861" s="8">
        <v>3</v>
      </c>
      <c r="F1861" s="6" t="str">
        <f>"94761501_07026"</f>
        <v>94761501_07026</v>
      </c>
      <c r="G1861" s="6" t="str">
        <f t="shared" si="459"/>
        <v>F310631650000000</v>
      </c>
      <c r="H1861" s="6" t="str">
        <f t="shared" si="460"/>
        <v>PLAR 6316 FD - 500 g</v>
      </c>
      <c r="I1861" s="6" t="str">
        <f>"202575"</f>
        <v>202575</v>
      </c>
      <c r="J1861" s="6" t="str">
        <f>"BEGE 2575"</f>
        <v>BEGE 2575</v>
      </c>
      <c r="K1861" s="6" t="str">
        <f>"2020"</f>
        <v>2020</v>
      </c>
      <c r="L1861" s="6" t="str">
        <f>"Lençóis"</f>
        <v>Lençóis</v>
      </c>
      <c r="M1861" s="6" t="str">
        <f>"100x150"</f>
        <v>100x150</v>
      </c>
      <c r="N1861" s="6" t="str">
        <f>"5602972281095"</f>
        <v>5602972281095</v>
      </c>
      <c r="O1861" s="8">
        <v>6</v>
      </c>
      <c r="R1861" s="8">
        <v>0</v>
      </c>
      <c r="U1861" s="8">
        <v>0</v>
      </c>
      <c r="X1861" s="8">
        <v>0</v>
      </c>
      <c r="Z1861" s="8">
        <v>0</v>
      </c>
      <c r="AC1861" s="8">
        <v>0</v>
      </c>
      <c r="AF1861" s="8">
        <v>0</v>
      </c>
      <c r="AN1861" s="8">
        <v>0</v>
      </c>
      <c r="AO1861" s="8">
        <v>6</v>
      </c>
    </row>
    <row r="1862" spans="1:41" x14ac:dyDescent="0.25">
      <c r="A1862" s="6" t="str">
        <f>"522-2026000109"</f>
        <v>522-2026000109</v>
      </c>
      <c r="B1862" s="6" t="str">
        <f t="shared" si="458"/>
        <v>EL CORTE</v>
      </c>
      <c r="C1862" s="7">
        <v>46030</v>
      </c>
      <c r="D1862" s="7">
        <v>46035</v>
      </c>
      <c r="E1862" s="8">
        <v>4</v>
      </c>
      <c r="F1862" s="6" t="str">
        <f>"94761501_07026"</f>
        <v>94761501_07026</v>
      </c>
      <c r="G1862" s="6" t="str">
        <f t="shared" si="459"/>
        <v>F310631650000000</v>
      </c>
      <c r="H1862" s="6" t="str">
        <f t="shared" si="460"/>
        <v>PLAR 6316 FD - 500 g</v>
      </c>
      <c r="I1862" s="6" t="str">
        <f>"200901"</f>
        <v>200901</v>
      </c>
      <c r="J1862" s="6" t="str">
        <f>"ROSA 901"</f>
        <v>ROSA 901</v>
      </c>
      <c r="K1862" s="6" t="str">
        <f>"0520"</f>
        <v>0520</v>
      </c>
      <c r="L1862" s="6" t="str">
        <f>"Toalhetes"</f>
        <v>Toalhetes</v>
      </c>
      <c r="M1862" s="6" t="str">
        <f>"30x50"</f>
        <v>30x50</v>
      </c>
      <c r="N1862" s="6" t="str">
        <f>"5602972281101"</f>
        <v>5602972281101</v>
      </c>
      <c r="O1862" s="8">
        <v>6</v>
      </c>
      <c r="R1862" s="8">
        <v>0</v>
      </c>
      <c r="U1862" s="8">
        <v>0</v>
      </c>
      <c r="X1862" s="8">
        <v>0</v>
      </c>
      <c r="Z1862" s="8">
        <v>0</v>
      </c>
      <c r="AC1862" s="8">
        <v>0</v>
      </c>
      <c r="AF1862" s="8">
        <v>0</v>
      </c>
      <c r="AN1862" s="8">
        <v>6</v>
      </c>
      <c r="AO1862" s="8">
        <v>0</v>
      </c>
    </row>
    <row r="1863" spans="1:41" x14ac:dyDescent="0.25">
      <c r="A1863" s="6" t="str">
        <f>"522-2026000109"</f>
        <v>522-2026000109</v>
      </c>
      <c r="B1863" s="6" t="str">
        <f t="shared" ref="B1863:B1926" si="465">"EL CORTE"</f>
        <v>EL CORTE</v>
      </c>
      <c r="C1863" s="7">
        <v>46030</v>
      </c>
      <c r="D1863" s="7">
        <v>46035</v>
      </c>
      <c r="E1863" s="8">
        <v>5</v>
      </c>
      <c r="F1863" s="6" t="str">
        <f>"94761501_07026"</f>
        <v>94761501_07026</v>
      </c>
      <c r="G1863" s="6" t="str">
        <f t="shared" ref="G1863:G1926" si="466">"F310631650000000"</f>
        <v>F310631650000000</v>
      </c>
      <c r="H1863" s="6" t="str">
        <f t="shared" ref="H1863:H1926" si="467">"PLAR 6316 FD - 500 g"</f>
        <v>PLAR 6316 FD - 500 g</v>
      </c>
      <c r="I1863" s="6" t="str">
        <f>"200901"</f>
        <v>200901</v>
      </c>
      <c r="J1863" s="6" t="str">
        <f>"ROSA 901"</f>
        <v>ROSA 901</v>
      </c>
      <c r="K1863" s="6" t="str">
        <f>"1024"</f>
        <v>1024</v>
      </c>
      <c r="L1863" s="6" t="str">
        <f>"Toalhas"</f>
        <v>Toalhas</v>
      </c>
      <c r="M1863" s="6" t="str">
        <f>"50x100"</f>
        <v>50x100</v>
      </c>
      <c r="N1863" s="6" t="str">
        <f>"5602972281118"</f>
        <v>5602972281118</v>
      </c>
      <c r="O1863" s="8">
        <v>6</v>
      </c>
      <c r="R1863" s="8">
        <v>0</v>
      </c>
      <c r="U1863" s="8">
        <v>0</v>
      </c>
      <c r="X1863" s="8">
        <v>0</v>
      </c>
      <c r="Z1863" s="8">
        <v>0</v>
      </c>
      <c r="AC1863" s="8">
        <v>0</v>
      </c>
      <c r="AF1863" s="8">
        <v>0</v>
      </c>
      <c r="AN1863" s="8">
        <v>6</v>
      </c>
      <c r="AO1863" s="8">
        <v>0</v>
      </c>
    </row>
    <row r="1864" spans="1:41" x14ac:dyDescent="0.25">
      <c r="A1864" s="6" t="str">
        <f>"522-2026000110"</f>
        <v>522-2026000110</v>
      </c>
      <c r="B1864" s="6" t="str">
        <f t="shared" si="465"/>
        <v>EL CORTE</v>
      </c>
      <c r="C1864" s="7">
        <v>46030</v>
      </c>
      <c r="D1864" s="7">
        <v>46035</v>
      </c>
      <c r="E1864" s="8">
        <v>1</v>
      </c>
      <c r="F1864" s="6" t="str">
        <f>"94763601_07026"</f>
        <v>94763601_07026</v>
      </c>
      <c r="G1864" s="6" t="str">
        <f t="shared" si="466"/>
        <v>F310631650000000</v>
      </c>
      <c r="H1864" s="6" t="str">
        <f t="shared" si="467"/>
        <v>PLAR 6316 FD - 500 g</v>
      </c>
      <c r="I1864" s="6" t="str">
        <f>"202575"</f>
        <v>202575</v>
      </c>
      <c r="J1864" s="6" t="str">
        <f>"BEGE 2575"</f>
        <v>BEGE 2575</v>
      </c>
      <c r="K1864" s="6" t="str">
        <f>"1024"</f>
        <v>1024</v>
      </c>
      <c r="L1864" s="6" t="str">
        <f>"Toalhas"</f>
        <v>Toalhas</v>
      </c>
      <c r="M1864" s="6" t="str">
        <f>"50x100"</f>
        <v>50x100</v>
      </c>
      <c r="N1864" s="6" t="str">
        <f>"5602972281088"</f>
        <v>5602972281088</v>
      </c>
      <c r="O1864" s="8">
        <v>6</v>
      </c>
      <c r="R1864" s="8">
        <v>0</v>
      </c>
      <c r="U1864" s="8">
        <v>0</v>
      </c>
      <c r="X1864" s="8">
        <v>0</v>
      </c>
      <c r="Z1864" s="8">
        <v>0</v>
      </c>
      <c r="AC1864" s="8">
        <v>0</v>
      </c>
      <c r="AF1864" s="8">
        <v>0</v>
      </c>
      <c r="AN1864" s="8">
        <v>6</v>
      </c>
      <c r="AO1864" s="8">
        <v>0</v>
      </c>
    </row>
    <row r="1865" spans="1:41" x14ac:dyDescent="0.25">
      <c r="A1865" s="6" t="str">
        <f>"522-2026000110"</f>
        <v>522-2026000110</v>
      </c>
      <c r="B1865" s="6" t="str">
        <f t="shared" si="465"/>
        <v>EL CORTE</v>
      </c>
      <c r="C1865" s="7">
        <v>46030</v>
      </c>
      <c r="D1865" s="7">
        <v>46035</v>
      </c>
      <c r="E1865" s="8">
        <v>2</v>
      </c>
      <c r="F1865" s="6" t="str">
        <f>"94763601_07026"</f>
        <v>94763601_07026</v>
      </c>
      <c r="G1865" s="6" t="str">
        <f t="shared" si="466"/>
        <v>F310631650000000</v>
      </c>
      <c r="H1865" s="6" t="str">
        <f t="shared" si="467"/>
        <v>PLAR 6316 FD - 500 g</v>
      </c>
      <c r="I1865" s="6" t="str">
        <f>"202575"</f>
        <v>202575</v>
      </c>
      <c r="J1865" s="6" t="str">
        <f>"BEGE 2575"</f>
        <v>BEGE 2575</v>
      </c>
      <c r="K1865" s="6" t="str">
        <f>"2020"</f>
        <v>2020</v>
      </c>
      <c r="L1865" s="6" t="str">
        <f>"Lençóis"</f>
        <v>Lençóis</v>
      </c>
      <c r="M1865" s="6" t="str">
        <f>"100x150"</f>
        <v>100x150</v>
      </c>
      <c r="N1865" s="6" t="str">
        <f>"5602972281095"</f>
        <v>5602972281095</v>
      </c>
      <c r="O1865" s="8">
        <v>6</v>
      </c>
      <c r="R1865" s="8">
        <v>0</v>
      </c>
      <c r="U1865" s="8">
        <v>0</v>
      </c>
      <c r="X1865" s="8">
        <v>0</v>
      </c>
      <c r="Z1865" s="8">
        <v>0</v>
      </c>
      <c r="AC1865" s="8">
        <v>0</v>
      </c>
      <c r="AF1865" s="8">
        <v>0</v>
      </c>
      <c r="AN1865" s="8">
        <v>0</v>
      </c>
      <c r="AO1865" s="8">
        <v>6</v>
      </c>
    </row>
    <row r="1866" spans="1:41" x14ac:dyDescent="0.25">
      <c r="A1866" s="6" t="str">
        <f>"522-2026000110"</f>
        <v>522-2026000110</v>
      </c>
      <c r="B1866" s="6" t="str">
        <f t="shared" si="465"/>
        <v>EL CORTE</v>
      </c>
      <c r="C1866" s="7">
        <v>46030</v>
      </c>
      <c r="D1866" s="7">
        <v>46035</v>
      </c>
      <c r="E1866" s="8">
        <v>3</v>
      </c>
      <c r="F1866" s="6" t="str">
        <f>"94763601_07026"</f>
        <v>94763601_07026</v>
      </c>
      <c r="G1866" s="6" t="str">
        <f t="shared" si="466"/>
        <v>F310631650000000</v>
      </c>
      <c r="H1866" s="6" t="str">
        <f t="shared" si="467"/>
        <v>PLAR 6316 FD - 500 g</v>
      </c>
      <c r="I1866" s="6" t="str">
        <f>"200510"</f>
        <v>200510</v>
      </c>
      <c r="J1866" s="6" t="str">
        <f>"VERDE 510"</f>
        <v>VERDE 510</v>
      </c>
      <c r="K1866" s="6" t="str">
        <f>"2020"</f>
        <v>2020</v>
      </c>
      <c r="L1866" s="6" t="str">
        <f>"Lençóis"</f>
        <v>Lençóis</v>
      </c>
      <c r="M1866" s="6" t="str">
        <f>"100x150"</f>
        <v>100x150</v>
      </c>
      <c r="N1866" s="6" t="str">
        <f>"5602972281156"</f>
        <v>5602972281156</v>
      </c>
      <c r="O1866" s="8">
        <v>6</v>
      </c>
      <c r="R1866" s="8">
        <v>0</v>
      </c>
      <c r="U1866" s="8">
        <v>0</v>
      </c>
      <c r="X1866" s="8">
        <v>0</v>
      </c>
      <c r="Z1866" s="8">
        <v>0</v>
      </c>
      <c r="AC1866" s="8">
        <v>0</v>
      </c>
      <c r="AF1866" s="8">
        <v>0</v>
      </c>
      <c r="AN1866" s="8">
        <v>0</v>
      </c>
      <c r="AO1866" s="8">
        <v>6</v>
      </c>
    </row>
    <row r="1867" spans="1:41" x14ac:dyDescent="0.25">
      <c r="A1867" s="6" t="str">
        <f>"522-2026000111"</f>
        <v>522-2026000111</v>
      </c>
      <c r="B1867" s="6" t="str">
        <f t="shared" si="465"/>
        <v>EL CORTE</v>
      </c>
      <c r="C1867" s="7">
        <v>46030</v>
      </c>
      <c r="D1867" s="7">
        <v>46035</v>
      </c>
      <c r="E1867" s="8">
        <v>1</v>
      </c>
      <c r="F1867" s="6" t="str">
        <f>"94766401_07026"</f>
        <v>94766401_07026</v>
      </c>
      <c r="G1867" s="6" t="str">
        <f t="shared" si="466"/>
        <v>F310631650000000</v>
      </c>
      <c r="H1867" s="6" t="str">
        <f t="shared" si="467"/>
        <v>PLAR 6316 FD - 500 g</v>
      </c>
      <c r="I1867" s="6" t="str">
        <f>"200510"</f>
        <v>200510</v>
      </c>
      <c r="J1867" s="6" t="str">
        <f>"VERDE 510"</f>
        <v>VERDE 510</v>
      </c>
      <c r="K1867" s="6" t="str">
        <f>"0520"</f>
        <v>0520</v>
      </c>
      <c r="L1867" s="6" t="str">
        <f>"Toalhetes"</f>
        <v>Toalhetes</v>
      </c>
      <c r="M1867" s="6" t="str">
        <f>"30x50"</f>
        <v>30x50</v>
      </c>
      <c r="N1867" s="6" t="str">
        <f>"5602972281132"</f>
        <v>5602972281132</v>
      </c>
      <c r="O1867" s="8">
        <v>6</v>
      </c>
      <c r="R1867" s="8">
        <v>0</v>
      </c>
      <c r="U1867" s="8">
        <v>0</v>
      </c>
      <c r="X1867" s="8">
        <v>0</v>
      </c>
      <c r="Z1867" s="8">
        <v>0</v>
      </c>
      <c r="AC1867" s="8">
        <v>0</v>
      </c>
      <c r="AF1867" s="8">
        <v>0</v>
      </c>
      <c r="AN1867" s="8">
        <v>6</v>
      </c>
      <c r="AO1867" s="8">
        <v>0</v>
      </c>
    </row>
    <row r="1868" spans="1:41" x14ac:dyDescent="0.25">
      <c r="A1868" s="6" t="str">
        <f>"522-2026000112"</f>
        <v>522-2026000112</v>
      </c>
      <c r="B1868" s="6" t="str">
        <f t="shared" si="465"/>
        <v>EL CORTE</v>
      </c>
      <c r="C1868" s="7">
        <v>46030</v>
      </c>
      <c r="D1868" s="7">
        <v>46035</v>
      </c>
      <c r="E1868" s="8">
        <v>1</v>
      </c>
      <c r="F1868" s="6" t="str">
        <f>"94762001_07026"</f>
        <v>94762001_07026</v>
      </c>
      <c r="G1868" s="6" t="str">
        <f t="shared" si="466"/>
        <v>F310631650000000</v>
      </c>
      <c r="H1868" s="6" t="str">
        <f t="shared" si="467"/>
        <v>PLAR 6316 FD - 500 g</v>
      </c>
      <c r="I1868" s="6" t="str">
        <f>"202575"</f>
        <v>202575</v>
      </c>
      <c r="J1868" s="6" t="str">
        <f>"BEGE 2575"</f>
        <v>BEGE 2575</v>
      </c>
      <c r="K1868" s="6" t="str">
        <f>"0520"</f>
        <v>0520</v>
      </c>
      <c r="L1868" s="6" t="str">
        <f>"Toalhetes"</f>
        <v>Toalhetes</v>
      </c>
      <c r="M1868" s="6" t="str">
        <f>"30x50"</f>
        <v>30x50</v>
      </c>
      <c r="N1868" s="6" t="str">
        <f>"5602972281071"</f>
        <v>5602972281071</v>
      </c>
      <c r="O1868" s="8">
        <v>6</v>
      </c>
      <c r="R1868" s="8">
        <v>0</v>
      </c>
      <c r="U1868" s="8">
        <v>0</v>
      </c>
      <c r="X1868" s="8">
        <v>0</v>
      </c>
      <c r="Z1868" s="8">
        <v>0</v>
      </c>
      <c r="AC1868" s="8">
        <v>0</v>
      </c>
      <c r="AF1868" s="8">
        <v>0</v>
      </c>
      <c r="AN1868" s="8">
        <v>6</v>
      </c>
      <c r="AO1868" s="8">
        <v>0</v>
      </c>
    </row>
    <row r="1869" spans="1:41" x14ac:dyDescent="0.25">
      <c r="A1869" s="6" t="str">
        <f>"522-2026000113"</f>
        <v>522-2026000113</v>
      </c>
      <c r="B1869" s="6" t="str">
        <f t="shared" si="465"/>
        <v>EL CORTE</v>
      </c>
      <c r="C1869" s="7">
        <v>46030</v>
      </c>
      <c r="D1869" s="7">
        <v>46035</v>
      </c>
      <c r="E1869" s="8">
        <v>1</v>
      </c>
      <c r="F1869" s="6" t="str">
        <f>"94765001_07026"</f>
        <v>94765001_07026</v>
      </c>
      <c r="G1869" s="6" t="str">
        <f t="shared" si="466"/>
        <v>F310631650000000</v>
      </c>
      <c r="H1869" s="6" t="str">
        <f t="shared" si="467"/>
        <v>PLAR 6316 FD - 500 g</v>
      </c>
      <c r="I1869" s="6" t="str">
        <f>"202575"</f>
        <v>202575</v>
      </c>
      <c r="J1869" s="6" t="str">
        <f>"BEGE 2575"</f>
        <v>BEGE 2575</v>
      </c>
      <c r="K1869" s="6" t="str">
        <f>"0520"</f>
        <v>0520</v>
      </c>
      <c r="L1869" s="6" t="str">
        <f>"Toalhetes"</f>
        <v>Toalhetes</v>
      </c>
      <c r="M1869" s="6" t="str">
        <f>"30x50"</f>
        <v>30x50</v>
      </c>
      <c r="N1869" s="6" t="str">
        <f>"5602972281071"</f>
        <v>5602972281071</v>
      </c>
      <c r="O1869" s="8">
        <v>6</v>
      </c>
      <c r="R1869" s="8">
        <v>0</v>
      </c>
      <c r="U1869" s="8">
        <v>0</v>
      </c>
      <c r="X1869" s="8">
        <v>0</v>
      </c>
      <c r="Z1869" s="8">
        <v>0</v>
      </c>
      <c r="AC1869" s="8">
        <v>0</v>
      </c>
      <c r="AF1869" s="8">
        <v>0</v>
      </c>
      <c r="AN1869" s="8">
        <v>6</v>
      </c>
      <c r="AO1869" s="8">
        <v>0</v>
      </c>
    </row>
    <row r="1870" spans="1:41" x14ac:dyDescent="0.25">
      <c r="A1870" s="6" t="str">
        <f>"522-2026000113"</f>
        <v>522-2026000113</v>
      </c>
      <c r="B1870" s="6" t="str">
        <f t="shared" si="465"/>
        <v>EL CORTE</v>
      </c>
      <c r="C1870" s="7">
        <v>46030</v>
      </c>
      <c r="D1870" s="7">
        <v>46035</v>
      </c>
      <c r="E1870" s="8">
        <v>2</v>
      </c>
      <c r="F1870" s="6" t="str">
        <f>"94765001_07026"</f>
        <v>94765001_07026</v>
      </c>
      <c r="G1870" s="6" t="str">
        <f t="shared" si="466"/>
        <v>F310631650000000</v>
      </c>
      <c r="H1870" s="6" t="str">
        <f t="shared" si="467"/>
        <v>PLAR 6316 FD - 500 g</v>
      </c>
      <c r="I1870" s="6" t="str">
        <f>"202575"</f>
        <v>202575</v>
      </c>
      <c r="J1870" s="6" t="str">
        <f>"BEGE 2575"</f>
        <v>BEGE 2575</v>
      </c>
      <c r="K1870" s="6" t="str">
        <f>"2020"</f>
        <v>2020</v>
      </c>
      <c r="L1870" s="6" t="str">
        <f>"Lençóis"</f>
        <v>Lençóis</v>
      </c>
      <c r="M1870" s="6" t="str">
        <f>"100x150"</f>
        <v>100x150</v>
      </c>
      <c r="N1870" s="6" t="str">
        <f>"5602972281095"</f>
        <v>5602972281095</v>
      </c>
      <c r="O1870" s="8">
        <v>6</v>
      </c>
      <c r="R1870" s="8">
        <v>0</v>
      </c>
      <c r="U1870" s="8">
        <v>0</v>
      </c>
      <c r="X1870" s="8">
        <v>0</v>
      </c>
      <c r="Z1870" s="8">
        <v>0</v>
      </c>
      <c r="AC1870" s="8">
        <v>0</v>
      </c>
      <c r="AF1870" s="8">
        <v>0</v>
      </c>
      <c r="AN1870" s="8">
        <v>0</v>
      </c>
      <c r="AO1870" s="8">
        <v>6</v>
      </c>
    </row>
    <row r="1871" spans="1:41" x14ac:dyDescent="0.25">
      <c r="A1871" s="6" t="str">
        <f>"522-2026000113"</f>
        <v>522-2026000113</v>
      </c>
      <c r="B1871" s="6" t="str">
        <f t="shared" si="465"/>
        <v>EL CORTE</v>
      </c>
      <c r="C1871" s="7">
        <v>46030</v>
      </c>
      <c r="D1871" s="7">
        <v>46035</v>
      </c>
      <c r="E1871" s="8">
        <v>3</v>
      </c>
      <c r="F1871" s="6" t="str">
        <f>"94765001_07026"</f>
        <v>94765001_07026</v>
      </c>
      <c r="G1871" s="6" t="str">
        <f t="shared" si="466"/>
        <v>F310631650000000</v>
      </c>
      <c r="H1871" s="6" t="str">
        <f t="shared" si="467"/>
        <v>PLAR 6316 FD - 500 g</v>
      </c>
      <c r="I1871" s="6" t="str">
        <f>"200510"</f>
        <v>200510</v>
      </c>
      <c r="J1871" s="6" t="str">
        <f>"VERDE 510"</f>
        <v>VERDE 510</v>
      </c>
      <c r="K1871" s="6" t="str">
        <f>"2020"</f>
        <v>2020</v>
      </c>
      <c r="L1871" s="6" t="str">
        <f>"Lençóis"</f>
        <v>Lençóis</v>
      </c>
      <c r="M1871" s="6" t="str">
        <f>"100x150"</f>
        <v>100x150</v>
      </c>
      <c r="N1871" s="6" t="str">
        <f>"5602972281156"</f>
        <v>5602972281156</v>
      </c>
      <c r="O1871" s="8">
        <v>3</v>
      </c>
      <c r="R1871" s="8">
        <v>0</v>
      </c>
      <c r="U1871" s="8">
        <v>0</v>
      </c>
      <c r="X1871" s="8">
        <v>0</v>
      </c>
      <c r="Z1871" s="8">
        <v>0</v>
      </c>
      <c r="AC1871" s="8">
        <v>0</v>
      </c>
      <c r="AF1871" s="8">
        <v>0</v>
      </c>
      <c r="AN1871" s="8">
        <v>0</v>
      </c>
      <c r="AO1871" s="8">
        <v>3</v>
      </c>
    </row>
    <row r="1872" spans="1:41" x14ac:dyDescent="0.25">
      <c r="A1872" s="6" t="str">
        <f>"522-2026000114"</f>
        <v>522-2026000114</v>
      </c>
      <c r="B1872" s="6" t="str">
        <f t="shared" si="465"/>
        <v>EL CORTE</v>
      </c>
      <c r="C1872" s="7">
        <v>46030</v>
      </c>
      <c r="D1872" s="7">
        <v>46035</v>
      </c>
      <c r="E1872" s="8">
        <v>1</v>
      </c>
      <c r="F1872" s="6" t="str">
        <f>"94762501_07026"</f>
        <v>94762501_07026</v>
      </c>
      <c r="G1872" s="6" t="str">
        <f t="shared" si="466"/>
        <v>F310631650000000</v>
      </c>
      <c r="H1872" s="6" t="str">
        <f t="shared" si="467"/>
        <v>PLAR 6316 FD - 500 g</v>
      </c>
      <c r="I1872" s="6" t="str">
        <f>"202575"</f>
        <v>202575</v>
      </c>
      <c r="J1872" s="6" t="str">
        <f>"BEGE 2575"</f>
        <v>BEGE 2575</v>
      </c>
      <c r="K1872" s="6" t="str">
        <f>"1024"</f>
        <v>1024</v>
      </c>
      <c r="L1872" s="6" t="str">
        <f>"Toalhas"</f>
        <v>Toalhas</v>
      </c>
      <c r="M1872" s="6" t="str">
        <f>"50x100"</f>
        <v>50x100</v>
      </c>
      <c r="N1872" s="6" t="str">
        <f>"5602972281088"</f>
        <v>5602972281088</v>
      </c>
      <c r="O1872" s="8">
        <v>6</v>
      </c>
      <c r="R1872" s="8">
        <v>0</v>
      </c>
      <c r="U1872" s="8">
        <v>0</v>
      </c>
      <c r="X1872" s="8">
        <v>0</v>
      </c>
      <c r="Z1872" s="8">
        <v>0</v>
      </c>
      <c r="AC1872" s="8">
        <v>0</v>
      </c>
      <c r="AF1872" s="8">
        <v>0</v>
      </c>
      <c r="AN1872" s="8">
        <v>6</v>
      </c>
      <c r="AO1872" s="8">
        <v>0</v>
      </c>
    </row>
    <row r="1873" spans="1:41" x14ac:dyDescent="0.25">
      <c r="A1873" s="6" t="str">
        <f>"522-2026000115"</f>
        <v>522-2026000115</v>
      </c>
      <c r="B1873" s="6" t="str">
        <f t="shared" si="465"/>
        <v>EL CORTE</v>
      </c>
      <c r="C1873" s="7">
        <v>46030</v>
      </c>
      <c r="D1873" s="7">
        <v>46035</v>
      </c>
      <c r="E1873" s="8">
        <v>1</v>
      </c>
      <c r="F1873" s="6" t="str">
        <f>"94761701_07026"</f>
        <v>94761701_07026</v>
      </c>
      <c r="G1873" s="6" t="str">
        <f t="shared" si="466"/>
        <v>F310631650000000</v>
      </c>
      <c r="H1873" s="6" t="str">
        <f t="shared" si="467"/>
        <v>PLAR 6316 FD - 500 g</v>
      </c>
      <c r="I1873" s="6" t="str">
        <f>"201855"</f>
        <v>201855</v>
      </c>
      <c r="J1873" s="6" t="str">
        <f>"AZUL 1855"</f>
        <v>AZUL 1855</v>
      </c>
      <c r="K1873" s="6" t="str">
        <f>"1024"</f>
        <v>1024</v>
      </c>
      <c r="L1873" s="6" t="str">
        <f>"Toalhas"</f>
        <v>Toalhas</v>
      </c>
      <c r="M1873" s="6" t="str">
        <f>"50x100"</f>
        <v>50x100</v>
      </c>
      <c r="N1873" s="6" t="str">
        <f>"5602972281057"</f>
        <v>5602972281057</v>
      </c>
      <c r="O1873" s="8">
        <v>6</v>
      </c>
      <c r="R1873" s="8">
        <v>0</v>
      </c>
      <c r="U1873" s="8">
        <v>0</v>
      </c>
      <c r="X1873" s="8">
        <v>0</v>
      </c>
      <c r="Z1873" s="8">
        <v>0</v>
      </c>
      <c r="AC1873" s="8">
        <v>0</v>
      </c>
      <c r="AF1873" s="8">
        <v>0</v>
      </c>
      <c r="AN1873" s="8">
        <v>6</v>
      </c>
      <c r="AO1873" s="8">
        <v>0</v>
      </c>
    </row>
    <row r="1874" spans="1:41" x14ac:dyDescent="0.25">
      <c r="A1874" s="6" t="str">
        <f>"522-2026000115"</f>
        <v>522-2026000115</v>
      </c>
      <c r="B1874" s="6" t="str">
        <f t="shared" si="465"/>
        <v>EL CORTE</v>
      </c>
      <c r="C1874" s="7">
        <v>46030</v>
      </c>
      <c r="D1874" s="7">
        <v>46035</v>
      </c>
      <c r="E1874" s="8">
        <v>2</v>
      </c>
      <c r="F1874" s="6" t="str">
        <f>"94761701_07026"</f>
        <v>94761701_07026</v>
      </c>
      <c r="G1874" s="6" t="str">
        <f t="shared" si="466"/>
        <v>F310631650000000</v>
      </c>
      <c r="H1874" s="6" t="str">
        <f t="shared" si="467"/>
        <v>PLAR 6316 FD - 500 g</v>
      </c>
      <c r="I1874" s="6" t="str">
        <f>"202575"</f>
        <v>202575</v>
      </c>
      <c r="J1874" s="6" t="str">
        <f>"BEGE 2575"</f>
        <v>BEGE 2575</v>
      </c>
      <c r="K1874" s="6" t="str">
        <f>"1024"</f>
        <v>1024</v>
      </c>
      <c r="L1874" s="6" t="str">
        <f>"Toalhas"</f>
        <v>Toalhas</v>
      </c>
      <c r="M1874" s="6" t="str">
        <f>"50x100"</f>
        <v>50x100</v>
      </c>
      <c r="N1874" s="6" t="str">
        <f>"5602972281088"</f>
        <v>5602972281088</v>
      </c>
      <c r="O1874" s="8">
        <v>6</v>
      </c>
      <c r="R1874" s="8">
        <v>0</v>
      </c>
      <c r="U1874" s="8">
        <v>0</v>
      </c>
      <c r="X1874" s="8">
        <v>0</v>
      </c>
      <c r="Z1874" s="8">
        <v>0</v>
      </c>
      <c r="AC1874" s="8">
        <v>0</v>
      </c>
      <c r="AF1874" s="8">
        <v>0</v>
      </c>
      <c r="AN1874" s="8">
        <v>6</v>
      </c>
      <c r="AO1874" s="8">
        <v>0</v>
      </c>
    </row>
    <row r="1875" spans="1:41" x14ac:dyDescent="0.25">
      <c r="A1875" s="6" t="str">
        <f>"522-2026000115"</f>
        <v>522-2026000115</v>
      </c>
      <c r="B1875" s="6" t="str">
        <f t="shared" si="465"/>
        <v>EL CORTE</v>
      </c>
      <c r="C1875" s="7">
        <v>46030</v>
      </c>
      <c r="D1875" s="7">
        <v>46035</v>
      </c>
      <c r="E1875" s="8">
        <v>3</v>
      </c>
      <c r="F1875" s="6" t="str">
        <f>"94761701_07026"</f>
        <v>94761701_07026</v>
      </c>
      <c r="G1875" s="6" t="str">
        <f t="shared" si="466"/>
        <v>F310631650000000</v>
      </c>
      <c r="H1875" s="6" t="str">
        <f t="shared" si="467"/>
        <v>PLAR 6316 FD - 500 g</v>
      </c>
      <c r="I1875" s="6" t="str">
        <f>"200901"</f>
        <v>200901</v>
      </c>
      <c r="J1875" s="6" t="str">
        <f>"ROSA 901"</f>
        <v>ROSA 901</v>
      </c>
      <c r="K1875" s="6" t="str">
        <f>"1024"</f>
        <v>1024</v>
      </c>
      <c r="L1875" s="6" t="str">
        <f>"Toalhas"</f>
        <v>Toalhas</v>
      </c>
      <c r="M1875" s="6" t="str">
        <f>"50x100"</f>
        <v>50x100</v>
      </c>
      <c r="N1875" s="6" t="str">
        <f>"5602972281118"</f>
        <v>5602972281118</v>
      </c>
      <c r="O1875" s="8">
        <v>6</v>
      </c>
      <c r="R1875" s="8">
        <v>0</v>
      </c>
      <c r="U1875" s="8">
        <v>0</v>
      </c>
      <c r="X1875" s="8">
        <v>0</v>
      </c>
      <c r="Z1875" s="8">
        <v>0</v>
      </c>
      <c r="AC1875" s="8">
        <v>0</v>
      </c>
      <c r="AF1875" s="8">
        <v>0</v>
      </c>
      <c r="AN1875" s="8">
        <v>6</v>
      </c>
      <c r="AO1875" s="8">
        <v>0</v>
      </c>
    </row>
    <row r="1876" spans="1:41" x14ac:dyDescent="0.25">
      <c r="A1876" s="6" t="str">
        <f t="shared" ref="A1876:A1886" si="468">"522-2026000116"</f>
        <v>522-2026000116</v>
      </c>
      <c r="B1876" s="6" t="str">
        <f t="shared" si="465"/>
        <v>EL CORTE</v>
      </c>
      <c r="C1876" s="7">
        <v>46030</v>
      </c>
      <c r="D1876" s="7">
        <v>46035</v>
      </c>
      <c r="E1876" s="8">
        <v>1</v>
      </c>
      <c r="F1876" s="6" t="str">
        <f t="shared" ref="F1876:F1886" si="469">"33324201_07026"</f>
        <v>33324201_07026</v>
      </c>
      <c r="G1876" s="6" t="str">
        <f t="shared" si="466"/>
        <v>F310631650000000</v>
      </c>
      <c r="H1876" s="6" t="str">
        <f t="shared" si="467"/>
        <v>PLAR 6316 FD - 500 g</v>
      </c>
      <c r="I1876" s="6" t="str">
        <f>"201855"</f>
        <v>201855</v>
      </c>
      <c r="J1876" s="6" t="str">
        <f>"AZUL 1855"</f>
        <v>AZUL 1855</v>
      </c>
      <c r="K1876" s="6" t="str">
        <f>"1024"</f>
        <v>1024</v>
      </c>
      <c r="L1876" s="6" t="str">
        <f>"Toalhas"</f>
        <v>Toalhas</v>
      </c>
      <c r="M1876" s="6" t="str">
        <f>"50x100"</f>
        <v>50x100</v>
      </c>
      <c r="N1876" s="6" t="str">
        <f>"5602972281057"</f>
        <v>5602972281057</v>
      </c>
      <c r="O1876" s="8">
        <v>6</v>
      </c>
      <c r="R1876" s="8">
        <v>0</v>
      </c>
      <c r="U1876" s="8">
        <v>0</v>
      </c>
      <c r="X1876" s="8">
        <v>0</v>
      </c>
      <c r="Z1876" s="8">
        <v>0</v>
      </c>
      <c r="AC1876" s="8">
        <v>0</v>
      </c>
      <c r="AF1876" s="8">
        <v>0</v>
      </c>
      <c r="AN1876" s="8">
        <v>6</v>
      </c>
      <c r="AO1876" s="8">
        <v>0</v>
      </c>
    </row>
    <row r="1877" spans="1:41" x14ac:dyDescent="0.25">
      <c r="A1877" s="6" t="str">
        <f t="shared" si="468"/>
        <v>522-2026000116</v>
      </c>
      <c r="B1877" s="6" t="str">
        <f t="shared" si="465"/>
        <v>EL CORTE</v>
      </c>
      <c r="C1877" s="7">
        <v>46030</v>
      </c>
      <c r="D1877" s="7">
        <v>46035</v>
      </c>
      <c r="E1877" s="8">
        <v>2</v>
      </c>
      <c r="F1877" s="6" t="str">
        <f t="shared" si="469"/>
        <v>33324201_07026</v>
      </c>
      <c r="G1877" s="6" t="str">
        <f t="shared" si="466"/>
        <v>F310631650000000</v>
      </c>
      <c r="H1877" s="6" t="str">
        <f t="shared" si="467"/>
        <v>PLAR 6316 FD - 500 g</v>
      </c>
      <c r="I1877" s="6" t="str">
        <f>"201855"</f>
        <v>201855</v>
      </c>
      <c r="J1877" s="6" t="str">
        <f>"AZUL 1855"</f>
        <v>AZUL 1855</v>
      </c>
      <c r="K1877" s="6" t="str">
        <f>"2020"</f>
        <v>2020</v>
      </c>
      <c r="L1877" s="6" t="str">
        <f>"Lençóis"</f>
        <v>Lençóis</v>
      </c>
      <c r="M1877" s="6" t="str">
        <f>"100x150"</f>
        <v>100x150</v>
      </c>
      <c r="N1877" s="6" t="str">
        <f>"5602972281064"</f>
        <v>5602972281064</v>
      </c>
      <c r="O1877" s="8">
        <v>6</v>
      </c>
      <c r="R1877" s="8">
        <v>0</v>
      </c>
      <c r="U1877" s="8">
        <v>0</v>
      </c>
      <c r="X1877" s="8">
        <v>0</v>
      </c>
      <c r="Z1877" s="8">
        <v>0</v>
      </c>
      <c r="AC1877" s="8">
        <v>0</v>
      </c>
      <c r="AF1877" s="8">
        <v>0</v>
      </c>
      <c r="AN1877" s="8">
        <v>0</v>
      </c>
      <c r="AO1877" s="8">
        <v>6</v>
      </c>
    </row>
    <row r="1878" spans="1:41" x14ac:dyDescent="0.25">
      <c r="A1878" s="6" t="str">
        <f t="shared" si="468"/>
        <v>522-2026000116</v>
      </c>
      <c r="B1878" s="6" t="str">
        <f t="shared" si="465"/>
        <v>EL CORTE</v>
      </c>
      <c r="C1878" s="7">
        <v>46030</v>
      </c>
      <c r="D1878" s="7">
        <v>46035</v>
      </c>
      <c r="E1878" s="8">
        <v>3</v>
      </c>
      <c r="F1878" s="6" t="str">
        <f t="shared" si="469"/>
        <v>33324201_07026</v>
      </c>
      <c r="G1878" s="6" t="str">
        <f t="shared" si="466"/>
        <v>F310631650000000</v>
      </c>
      <c r="H1878" s="6" t="str">
        <f t="shared" si="467"/>
        <v>PLAR 6316 FD - 500 g</v>
      </c>
      <c r="I1878" s="6" t="str">
        <f>"202575"</f>
        <v>202575</v>
      </c>
      <c r="J1878" s="6" t="str">
        <f>"BEGE 2575"</f>
        <v>BEGE 2575</v>
      </c>
      <c r="K1878" s="6" t="str">
        <f>"0520"</f>
        <v>0520</v>
      </c>
      <c r="L1878" s="6" t="str">
        <f>"Toalhetes"</f>
        <v>Toalhetes</v>
      </c>
      <c r="M1878" s="6" t="str">
        <f>"30x50"</f>
        <v>30x50</v>
      </c>
      <c r="N1878" s="6" t="str">
        <f>"5602972281071"</f>
        <v>5602972281071</v>
      </c>
      <c r="O1878" s="8">
        <v>6</v>
      </c>
      <c r="R1878" s="8">
        <v>0</v>
      </c>
      <c r="U1878" s="8">
        <v>0</v>
      </c>
      <c r="X1878" s="8">
        <v>0</v>
      </c>
      <c r="Z1878" s="8">
        <v>0</v>
      </c>
      <c r="AC1878" s="8">
        <v>0</v>
      </c>
      <c r="AF1878" s="8">
        <v>0</v>
      </c>
      <c r="AN1878" s="8">
        <v>6</v>
      </c>
      <c r="AO1878" s="8">
        <v>0</v>
      </c>
    </row>
    <row r="1879" spans="1:41" x14ac:dyDescent="0.25">
      <c r="A1879" s="6" t="str">
        <f t="shared" si="468"/>
        <v>522-2026000116</v>
      </c>
      <c r="B1879" s="6" t="str">
        <f t="shared" si="465"/>
        <v>EL CORTE</v>
      </c>
      <c r="C1879" s="7">
        <v>46030</v>
      </c>
      <c r="D1879" s="7">
        <v>46035</v>
      </c>
      <c r="E1879" s="8">
        <v>4</v>
      </c>
      <c r="F1879" s="6" t="str">
        <f t="shared" si="469"/>
        <v>33324201_07026</v>
      </c>
      <c r="G1879" s="6" t="str">
        <f t="shared" si="466"/>
        <v>F310631650000000</v>
      </c>
      <c r="H1879" s="6" t="str">
        <f t="shared" si="467"/>
        <v>PLAR 6316 FD - 500 g</v>
      </c>
      <c r="I1879" s="6" t="str">
        <f>"202575"</f>
        <v>202575</v>
      </c>
      <c r="J1879" s="6" t="str">
        <f>"BEGE 2575"</f>
        <v>BEGE 2575</v>
      </c>
      <c r="K1879" s="6" t="str">
        <f>"1024"</f>
        <v>1024</v>
      </c>
      <c r="L1879" s="6" t="str">
        <f>"Toalhas"</f>
        <v>Toalhas</v>
      </c>
      <c r="M1879" s="6" t="str">
        <f>"50x100"</f>
        <v>50x100</v>
      </c>
      <c r="N1879" s="6" t="str">
        <f>"5602972281088"</f>
        <v>5602972281088</v>
      </c>
      <c r="O1879" s="8">
        <v>6</v>
      </c>
      <c r="R1879" s="8">
        <v>0</v>
      </c>
      <c r="U1879" s="8">
        <v>0</v>
      </c>
      <c r="X1879" s="8">
        <v>0</v>
      </c>
      <c r="Z1879" s="8">
        <v>0</v>
      </c>
      <c r="AC1879" s="8">
        <v>0</v>
      </c>
      <c r="AF1879" s="8">
        <v>0</v>
      </c>
      <c r="AN1879" s="8">
        <v>6</v>
      </c>
      <c r="AO1879" s="8">
        <v>0</v>
      </c>
    </row>
    <row r="1880" spans="1:41" x14ac:dyDescent="0.25">
      <c r="A1880" s="6" t="str">
        <f t="shared" si="468"/>
        <v>522-2026000116</v>
      </c>
      <c r="B1880" s="6" t="str">
        <f t="shared" si="465"/>
        <v>EL CORTE</v>
      </c>
      <c r="C1880" s="7">
        <v>46030</v>
      </c>
      <c r="D1880" s="7">
        <v>46035</v>
      </c>
      <c r="E1880" s="8">
        <v>5</v>
      </c>
      <c r="F1880" s="6" t="str">
        <f t="shared" si="469"/>
        <v>33324201_07026</v>
      </c>
      <c r="G1880" s="6" t="str">
        <f t="shared" si="466"/>
        <v>F310631650000000</v>
      </c>
      <c r="H1880" s="6" t="str">
        <f t="shared" si="467"/>
        <v>PLAR 6316 FD - 500 g</v>
      </c>
      <c r="I1880" s="6" t="str">
        <f>"202575"</f>
        <v>202575</v>
      </c>
      <c r="J1880" s="6" t="str">
        <f>"BEGE 2575"</f>
        <v>BEGE 2575</v>
      </c>
      <c r="K1880" s="6" t="str">
        <f>"2020"</f>
        <v>2020</v>
      </c>
      <c r="L1880" s="6" t="str">
        <f>"Lençóis"</f>
        <v>Lençóis</v>
      </c>
      <c r="M1880" s="6" t="str">
        <f>"100x150"</f>
        <v>100x150</v>
      </c>
      <c r="N1880" s="6" t="str">
        <f>"5602972281095"</f>
        <v>5602972281095</v>
      </c>
      <c r="O1880" s="8">
        <v>9</v>
      </c>
      <c r="R1880" s="8">
        <v>0</v>
      </c>
      <c r="U1880" s="8">
        <v>0</v>
      </c>
      <c r="X1880" s="8">
        <v>0</v>
      </c>
      <c r="Z1880" s="8">
        <v>0</v>
      </c>
      <c r="AC1880" s="8">
        <v>0</v>
      </c>
      <c r="AF1880" s="8">
        <v>0</v>
      </c>
      <c r="AN1880" s="8">
        <v>0</v>
      </c>
      <c r="AO1880" s="8">
        <v>9</v>
      </c>
    </row>
    <row r="1881" spans="1:41" x14ac:dyDescent="0.25">
      <c r="A1881" s="6" t="str">
        <f t="shared" si="468"/>
        <v>522-2026000116</v>
      </c>
      <c r="B1881" s="6" t="str">
        <f t="shared" si="465"/>
        <v>EL CORTE</v>
      </c>
      <c r="C1881" s="7">
        <v>46030</v>
      </c>
      <c r="D1881" s="7">
        <v>46035</v>
      </c>
      <c r="E1881" s="8">
        <v>6</v>
      </c>
      <c r="F1881" s="6" t="str">
        <f t="shared" si="469"/>
        <v>33324201_07026</v>
      </c>
      <c r="G1881" s="6" t="str">
        <f t="shared" si="466"/>
        <v>F310631650000000</v>
      </c>
      <c r="H1881" s="6" t="str">
        <f t="shared" si="467"/>
        <v>PLAR 6316 FD - 500 g</v>
      </c>
      <c r="I1881" s="6" t="str">
        <f>"200901"</f>
        <v>200901</v>
      </c>
      <c r="J1881" s="6" t="str">
        <f>"ROSA 901"</f>
        <v>ROSA 901</v>
      </c>
      <c r="K1881" s="6" t="str">
        <f>"0520"</f>
        <v>0520</v>
      </c>
      <c r="L1881" s="6" t="str">
        <f>"Toalhetes"</f>
        <v>Toalhetes</v>
      </c>
      <c r="M1881" s="6" t="str">
        <f>"30x50"</f>
        <v>30x50</v>
      </c>
      <c r="N1881" s="6" t="str">
        <f>"5602972281101"</f>
        <v>5602972281101</v>
      </c>
      <c r="O1881" s="8">
        <v>6</v>
      </c>
      <c r="R1881" s="8">
        <v>0</v>
      </c>
      <c r="U1881" s="8">
        <v>0</v>
      </c>
      <c r="X1881" s="8">
        <v>0</v>
      </c>
      <c r="Z1881" s="8">
        <v>0</v>
      </c>
      <c r="AC1881" s="8">
        <v>0</v>
      </c>
      <c r="AF1881" s="8">
        <v>0</v>
      </c>
      <c r="AN1881" s="8">
        <v>6</v>
      </c>
      <c r="AO1881" s="8">
        <v>0</v>
      </c>
    </row>
    <row r="1882" spans="1:41" x14ac:dyDescent="0.25">
      <c r="A1882" s="6" t="str">
        <f t="shared" si="468"/>
        <v>522-2026000116</v>
      </c>
      <c r="B1882" s="6" t="str">
        <f t="shared" si="465"/>
        <v>EL CORTE</v>
      </c>
      <c r="C1882" s="7">
        <v>46030</v>
      </c>
      <c r="D1882" s="7">
        <v>46035</v>
      </c>
      <c r="E1882" s="8">
        <v>7</v>
      </c>
      <c r="F1882" s="6" t="str">
        <f t="shared" si="469"/>
        <v>33324201_07026</v>
      </c>
      <c r="G1882" s="6" t="str">
        <f t="shared" si="466"/>
        <v>F310631650000000</v>
      </c>
      <c r="H1882" s="6" t="str">
        <f t="shared" si="467"/>
        <v>PLAR 6316 FD - 500 g</v>
      </c>
      <c r="I1882" s="6" t="str">
        <f>"200901"</f>
        <v>200901</v>
      </c>
      <c r="J1882" s="6" t="str">
        <f>"ROSA 901"</f>
        <v>ROSA 901</v>
      </c>
      <c r="K1882" s="6" t="str">
        <f>"1024"</f>
        <v>1024</v>
      </c>
      <c r="L1882" s="6" t="str">
        <f>"Toalhas"</f>
        <v>Toalhas</v>
      </c>
      <c r="M1882" s="6" t="str">
        <f>"50x100"</f>
        <v>50x100</v>
      </c>
      <c r="N1882" s="6" t="str">
        <f>"5602972281118"</f>
        <v>5602972281118</v>
      </c>
      <c r="O1882" s="8">
        <v>6</v>
      </c>
      <c r="R1882" s="8">
        <v>0</v>
      </c>
      <c r="U1882" s="8">
        <v>0</v>
      </c>
      <c r="X1882" s="8">
        <v>0</v>
      </c>
      <c r="Z1882" s="8">
        <v>0</v>
      </c>
      <c r="AC1882" s="8">
        <v>0</v>
      </c>
      <c r="AF1882" s="8">
        <v>0</v>
      </c>
      <c r="AN1882" s="8">
        <v>6</v>
      </c>
      <c r="AO1882" s="8">
        <v>0</v>
      </c>
    </row>
    <row r="1883" spans="1:41" x14ac:dyDescent="0.25">
      <c r="A1883" s="6" t="str">
        <f t="shared" si="468"/>
        <v>522-2026000116</v>
      </c>
      <c r="B1883" s="6" t="str">
        <f t="shared" si="465"/>
        <v>EL CORTE</v>
      </c>
      <c r="C1883" s="7">
        <v>46030</v>
      </c>
      <c r="D1883" s="7">
        <v>46035</v>
      </c>
      <c r="E1883" s="8">
        <v>8</v>
      </c>
      <c r="F1883" s="6" t="str">
        <f t="shared" si="469"/>
        <v>33324201_07026</v>
      </c>
      <c r="G1883" s="6" t="str">
        <f t="shared" si="466"/>
        <v>F310631650000000</v>
      </c>
      <c r="H1883" s="6" t="str">
        <f t="shared" si="467"/>
        <v>PLAR 6316 FD - 500 g</v>
      </c>
      <c r="I1883" s="6" t="str">
        <f>"200901"</f>
        <v>200901</v>
      </c>
      <c r="J1883" s="6" t="str">
        <f>"ROSA 901"</f>
        <v>ROSA 901</v>
      </c>
      <c r="K1883" s="6" t="str">
        <f>"2020"</f>
        <v>2020</v>
      </c>
      <c r="L1883" s="6" t="str">
        <f>"Lençóis"</f>
        <v>Lençóis</v>
      </c>
      <c r="M1883" s="6" t="str">
        <f>"100x150"</f>
        <v>100x150</v>
      </c>
      <c r="N1883" s="6" t="str">
        <f>"5602972281125"</f>
        <v>5602972281125</v>
      </c>
      <c r="O1883" s="8">
        <v>6</v>
      </c>
      <c r="R1883" s="8">
        <v>0</v>
      </c>
      <c r="U1883" s="8">
        <v>0</v>
      </c>
      <c r="X1883" s="8">
        <v>0</v>
      </c>
      <c r="Z1883" s="8">
        <v>0</v>
      </c>
      <c r="AC1883" s="8">
        <v>0</v>
      </c>
      <c r="AF1883" s="8">
        <v>0</v>
      </c>
      <c r="AN1883" s="8">
        <v>0</v>
      </c>
      <c r="AO1883" s="8">
        <v>6</v>
      </c>
    </row>
    <row r="1884" spans="1:41" x14ac:dyDescent="0.25">
      <c r="A1884" s="6" t="str">
        <f t="shared" si="468"/>
        <v>522-2026000116</v>
      </c>
      <c r="B1884" s="6" t="str">
        <f t="shared" si="465"/>
        <v>EL CORTE</v>
      </c>
      <c r="C1884" s="7">
        <v>46030</v>
      </c>
      <c r="D1884" s="7">
        <v>46035</v>
      </c>
      <c r="E1884" s="8">
        <v>9</v>
      </c>
      <c r="F1884" s="6" t="str">
        <f t="shared" si="469"/>
        <v>33324201_07026</v>
      </c>
      <c r="G1884" s="6" t="str">
        <f t="shared" si="466"/>
        <v>F310631650000000</v>
      </c>
      <c r="H1884" s="6" t="str">
        <f t="shared" si="467"/>
        <v>PLAR 6316 FD - 500 g</v>
      </c>
      <c r="I1884" s="6" t="str">
        <f>"200510"</f>
        <v>200510</v>
      </c>
      <c r="J1884" s="6" t="str">
        <f>"VERDE 510"</f>
        <v>VERDE 510</v>
      </c>
      <c r="K1884" s="6" t="str">
        <f>"0520"</f>
        <v>0520</v>
      </c>
      <c r="L1884" s="6" t="str">
        <f>"Toalhetes"</f>
        <v>Toalhetes</v>
      </c>
      <c r="M1884" s="6" t="str">
        <f>"30x50"</f>
        <v>30x50</v>
      </c>
      <c r="N1884" s="6" t="str">
        <f>"5602972281132"</f>
        <v>5602972281132</v>
      </c>
      <c r="O1884" s="8">
        <v>6</v>
      </c>
      <c r="R1884" s="8">
        <v>0</v>
      </c>
      <c r="U1884" s="8">
        <v>0</v>
      </c>
      <c r="X1884" s="8">
        <v>0</v>
      </c>
      <c r="Z1884" s="8">
        <v>0</v>
      </c>
      <c r="AC1884" s="8">
        <v>0</v>
      </c>
      <c r="AF1884" s="8">
        <v>0</v>
      </c>
      <c r="AN1884" s="8">
        <v>6</v>
      </c>
      <c r="AO1884" s="8">
        <v>0</v>
      </c>
    </row>
    <row r="1885" spans="1:41" x14ac:dyDescent="0.25">
      <c r="A1885" s="6" t="str">
        <f t="shared" si="468"/>
        <v>522-2026000116</v>
      </c>
      <c r="B1885" s="6" t="str">
        <f t="shared" si="465"/>
        <v>EL CORTE</v>
      </c>
      <c r="C1885" s="7">
        <v>46030</v>
      </c>
      <c r="D1885" s="7">
        <v>46035</v>
      </c>
      <c r="E1885" s="8">
        <v>10</v>
      </c>
      <c r="F1885" s="6" t="str">
        <f t="shared" si="469"/>
        <v>33324201_07026</v>
      </c>
      <c r="G1885" s="6" t="str">
        <f t="shared" si="466"/>
        <v>F310631650000000</v>
      </c>
      <c r="H1885" s="6" t="str">
        <f t="shared" si="467"/>
        <v>PLAR 6316 FD - 500 g</v>
      </c>
      <c r="I1885" s="6" t="str">
        <f>"200510"</f>
        <v>200510</v>
      </c>
      <c r="J1885" s="6" t="str">
        <f>"VERDE 510"</f>
        <v>VERDE 510</v>
      </c>
      <c r="K1885" s="6" t="str">
        <f>"1024"</f>
        <v>1024</v>
      </c>
      <c r="L1885" s="6" t="str">
        <f>"Toalhas"</f>
        <v>Toalhas</v>
      </c>
      <c r="M1885" s="6" t="str">
        <f>"50x100"</f>
        <v>50x100</v>
      </c>
      <c r="N1885" s="6" t="str">
        <f>"5602972281149"</f>
        <v>5602972281149</v>
      </c>
      <c r="O1885" s="8">
        <v>6</v>
      </c>
      <c r="R1885" s="8">
        <v>0</v>
      </c>
      <c r="U1885" s="8">
        <v>0</v>
      </c>
      <c r="X1885" s="8">
        <v>0</v>
      </c>
      <c r="Z1885" s="8">
        <v>0</v>
      </c>
      <c r="AC1885" s="8">
        <v>0</v>
      </c>
      <c r="AF1885" s="8">
        <v>0</v>
      </c>
      <c r="AN1885" s="8">
        <v>6</v>
      </c>
      <c r="AO1885" s="8">
        <v>0</v>
      </c>
    </row>
    <row r="1886" spans="1:41" x14ac:dyDescent="0.25">
      <c r="A1886" s="6" t="str">
        <f t="shared" si="468"/>
        <v>522-2026000116</v>
      </c>
      <c r="B1886" s="6" t="str">
        <f t="shared" si="465"/>
        <v>EL CORTE</v>
      </c>
      <c r="C1886" s="7">
        <v>46030</v>
      </c>
      <c r="D1886" s="7">
        <v>46035</v>
      </c>
      <c r="E1886" s="8">
        <v>11</v>
      </c>
      <c r="F1886" s="6" t="str">
        <f t="shared" si="469"/>
        <v>33324201_07026</v>
      </c>
      <c r="G1886" s="6" t="str">
        <f t="shared" si="466"/>
        <v>F310631650000000</v>
      </c>
      <c r="H1886" s="6" t="str">
        <f t="shared" si="467"/>
        <v>PLAR 6316 FD - 500 g</v>
      </c>
      <c r="I1886" s="6" t="str">
        <f>"200510"</f>
        <v>200510</v>
      </c>
      <c r="J1886" s="6" t="str">
        <f>"VERDE 510"</f>
        <v>VERDE 510</v>
      </c>
      <c r="K1886" s="6" t="str">
        <f>"2020"</f>
        <v>2020</v>
      </c>
      <c r="L1886" s="6" t="str">
        <f>"Lençóis"</f>
        <v>Lençóis</v>
      </c>
      <c r="M1886" s="6" t="str">
        <f>"100x150"</f>
        <v>100x150</v>
      </c>
      <c r="N1886" s="6" t="str">
        <f>"5602972281156"</f>
        <v>5602972281156</v>
      </c>
      <c r="O1886" s="8">
        <v>6</v>
      </c>
      <c r="R1886" s="8">
        <v>0</v>
      </c>
      <c r="U1886" s="8">
        <v>0</v>
      </c>
      <c r="X1886" s="8">
        <v>0</v>
      </c>
      <c r="Z1886" s="8">
        <v>0</v>
      </c>
      <c r="AC1886" s="8">
        <v>0</v>
      </c>
      <c r="AF1886" s="8">
        <v>0</v>
      </c>
      <c r="AN1886" s="8">
        <v>0</v>
      </c>
      <c r="AO1886" s="8">
        <v>6</v>
      </c>
    </row>
    <row r="1887" spans="1:41" x14ac:dyDescent="0.25">
      <c r="A1887" s="6" t="str">
        <f t="shared" ref="A1887:A1897" si="470">"522-2026000117"</f>
        <v>522-2026000117</v>
      </c>
      <c r="B1887" s="6" t="str">
        <f t="shared" si="465"/>
        <v>EL CORTE</v>
      </c>
      <c r="C1887" s="7">
        <v>46030</v>
      </c>
      <c r="D1887" s="7">
        <v>46035</v>
      </c>
      <c r="E1887" s="8">
        <v>1</v>
      </c>
      <c r="F1887" s="6" t="str">
        <f t="shared" ref="F1887:F1897" si="471">"33324101_07026"</f>
        <v>33324101_07026</v>
      </c>
      <c r="G1887" s="6" t="str">
        <f t="shared" si="466"/>
        <v>F310631650000000</v>
      </c>
      <c r="H1887" s="6" t="str">
        <f t="shared" si="467"/>
        <v>PLAR 6316 FD - 500 g</v>
      </c>
      <c r="I1887" s="6" t="str">
        <f>"201855"</f>
        <v>201855</v>
      </c>
      <c r="J1887" s="6" t="str">
        <f>"AZUL 1855"</f>
        <v>AZUL 1855</v>
      </c>
      <c r="K1887" s="6" t="str">
        <f>"0520"</f>
        <v>0520</v>
      </c>
      <c r="L1887" s="6" t="str">
        <f>"Toalhetes"</f>
        <v>Toalhetes</v>
      </c>
      <c r="M1887" s="6" t="str">
        <f>"30x50"</f>
        <v>30x50</v>
      </c>
      <c r="N1887" s="6" t="str">
        <f>"5602972281040"</f>
        <v>5602972281040</v>
      </c>
      <c r="O1887" s="8">
        <v>6</v>
      </c>
      <c r="R1887" s="8">
        <v>0</v>
      </c>
      <c r="U1887" s="8">
        <v>0</v>
      </c>
      <c r="X1887" s="8">
        <v>0</v>
      </c>
      <c r="Z1887" s="8">
        <v>0</v>
      </c>
      <c r="AC1887" s="8">
        <v>0</v>
      </c>
      <c r="AF1887" s="8">
        <v>0</v>
      </c>
      <c r="AN1887" s="8">
        <v>6</v>
      </c>
      <c r="AO1887" s="8">
        <v>0</v>
      </c>
    </row>
    <row r="1888" spans="1:41" x14ac:dyDescent="0.25">
      <c r="A1888" s="6" t="str">
        <f t="shared" si="470"/>
        <v>522-2026000117</v>
      </c>
      <c r="B1888" s="6" t="str">
        <f t="shared" si="465"/>
        <v>EL CORTE</v>
      </c>
      <c r="C1888" s="7">
        <v>46030</v>
      </c>
      <c r="D1888" s="7">
        <v>46035</v>
      </c>
      <c r="E1888" s="8">
        <v>2</v>
      </c>
      <c r="F1888" s="6" t="str">
        <f t="shared" si="471"/>
        <v>33324101_07026</v>
      </c>
      <c r="G1888" s="6" t="str">
        <f t="shared" si="466"/>
        <v>F310631650000000</v>
      </c>
      <c r="H1888" s="6" t="str">
        <f t="shared" si="467"/>
        <v>PLAR 6316 FD - 500 g</v>
      </c>
      <c r="I1888" s="6" t="str">
        <f>"201855"</f>
        <v>201855</v>
      </c>
      <c r="J1888" s="6" t="str">
        <f>"AZUL 1855"</f>
        <v>AZUL 1855</v>
      </c>
      <c r="K1888" s="6" t="str">
        <f>"1024"</f>
        <v>1024</v>
      </c>
      <c r="L1888" s="6" t="str">
        <f>"Toalhas"</f>
        <v>Toalhas</v>
      </c>
      <c r="M1888" s="6" t="str">
        <f>"50x100"</f>
        <v>50x100</v>
      </c>
      <c r="N1888" s="6" t="str">
        <f>"5602972281057"</f>
        <v>5602972281057</v>
      </c>
      <c r="O1888" s="8">
        <v>12</v>
      </c>
      <c r="R1888" s="8">
        <v>0</v>
      </c>
      <c r="U1888" s="8">
        <v>0</v>
      </c>
      <c r="X1888" s="8">
        <v>0</v>
      </c>
      <c r="Z1888" s="8">
        <v>0</v>
      </c>
      <c r="AC1888" s="8">
        <v>0</v>
      </c>
      <c r="AF1888" s="8">
        <v>0</v>
      </c>
      <c r="AN1888" s="8">
        <v>12</v>
      </c>
      <c r="AO1888" s="8">
        <v>0</v>
      </c>
    </row>
    <row r="1889" spans="1:41" x14ac:dyDescent="0.25">
      <c r="A1889" s="6" t="str">
        <f t="shared" si="470"/>
        <v>522-2026000117</v>
      </c>
      <c r="B1889" s="6" t="str">
        <f t="shared" si="465"/>
        <v>EL CORTE</v>
      </c>
      <c r="C1889" s="7">
        <v>46030</v>
      </c>
      <c r="D1889" s="7">
        <v>46035</v>
      </c>
      <c r="E1889" s="8">
        <v>3</v>
      </c>
      <c r="F1889" s="6" t="str">
        <f t="shared" si="471"/>
        <v>33324101_07026</v>
      </c>
      <c r="G1889" s="6" t="str">
        <f t="shared" si="466"/>
        <v>F310631650000000</v>
      </c>
      <c r="H1889" s="6" t="str">
        <f t="shared" si="467"/>
        <v>PLAR 6316 FD - 500 g</v>
      </c>
      <c r="I1889" s="6" t="str">
        <f>"201855"</f>
        <v>201855</v>
      </c>
      <c r="J1889" s="6" t="str">
        <f>"AZUL 1855"</f>
        <v>AZUL 1855</v>
      </c>
      <c r="K1889" s="6" t="str">
        <f>"2020"</f>
        <v>2020</v>
      </c>
      <c r="L1889" s="6" t="str">
        <f>"Lençóis"</f>
        <v>Lençóis</v>
      </c>
      <c r="M1889" s="6" t="str">
        <f>"100x150"</f>
        <v>100x150</v>
      </c>
      <c r="N1889" s="6" t="str">
        <f>"5602972281064"</f>
        <v>5602972281064</v>
      </c>
      <c r="O1889" s="8">
        <v>12</v>
      </c>
      <c r="R1889" s="8">
        <v>0</v>
      </c>
      <c r="U1889" s="8">
        <v>0</v>
      </c>
      <c r="X1889" s="8">
        <v>0</v>
      </c>
      <c r="Z1889" s="8">
        <v>0</v>
      </c>
      <c r="AC1889" s="8">
        <v>0</v>
      </c>
      <c r="AF1889" s="8">
        <v>0</v>
      </c>
      <c r="AN1889" s="8">
        <v>0</v>
      </c>
      <c r="AO1889" s="8">
        <v>12</v>
      </c>
    </row>
    <row r="1890" spans="1:41" x14ac:dyDescent="0.25">
      <c r="A1890" s="6" t="str">
        <f t="shared" si="470"/>
        <v>522-2026000117</v>
      </c>
      <c r="B1890" s="6" t="str">
        <f t="shared" si="465"/>
        <v>EL CORTE</v>
      </c>
      <c r="C1890" s="7">
        <v>46030</v>
      </c>
      <c r="D1890" s="7">
        <v>46035</v>
      </c>
      <c r="E1890" s="8">
        <v>4</v>
      </c>
      <c r="F1890" s="6" t="str">
        <f t="shared" si="471"/>
        <v>33324101_07026</v>
      </c>
      <c r="G1890" s="6" t="str">
        <f t="shared" si="466"/>
        <v>F310631650000000</v>
      </c>
      <c r="H1890" s="6" t="str">
        <f t="shared" si="467"/>
        <v>PLAR 6316 FD - 500 g</v>
      </c>
      <c r="I1890" s="6" t="str">
        <f>"202575"</f>
        <v>202575</v>
      </c>
      <c r="J1890" s="6" t="str">
        <f>"BEGE 2575"</f>
        <v>BEGE 2575</v>
      </c>
      <c r="K1890" s="6" t="str">
        <f>"0520"</f>
        <v>0520</v>
      </c>
      <c r="L1890" s="6" t="str">
        <f>"Toalhetes"</f>
        <v>Toalhetes</v>
      </c>
      <c r="M1890" s="6" t="str">
        <f>"30x50"</f>
        <v>30x50</v>
      </c>
      <c r="N1890" s="6" t="str">
        <f>"5602972281071"</f>
        <v>5602972281071</v>
      </c>
      <c r="O1890" s="8">
        <v>6</v>
      </c>
      <c r="R1890" s="8">
        <v>0</v>
      </c>
      <c r="U1890" s="8">
        <v>0</v>
      </c>
      <c r="X1890" s="8">
        <v>0</v>
      </c>
      <c r="Z1890" s="8">
        <v>0</v>
      </c>
      <c r="AC1890" s="8">
        <v>0</v>
      </c>
      <c r="AF1890" s="8">
        <v>0</v>
      </c>
      <c r="AN1890" s="8">
        <v>6</v>
      </c>
      <c r="AO1890" s="8">
        <v>0</v>
      </c>
    </row>
    <row r="1891" spans="1:41" x14ac:dyDescent="0.25">
      <c r="A1891" s="6" t="str">
        <f t="shared" si="470"/>
        <v>522-2026000117</v>
      </c>
      <c r="B1891" s="6" t="str">
        <f t="shared" si="465"/>
        <v>EL CORTE</v>
      </c>
      <c r="C1891" s="7">
        <v>46030</v>
      </c>
      <c r="D1891" s="7">
        <v>46035</v>
      </c>
      <c r="E1891" s="8">
        <v>5</v>
      </c>
      <c r="F1891" s="6" t="str">
        <f t="shared" si="471"/>
        <v>33324101_07026</v>
      </c>
      <c r="G1891" s="6" t="str">
        <f t="shared" si="466"/>
        <v>F310631650000000</v>
      </c>
      <c r="H1891" s="6" t="str">
        <f t="shared" si="467"/>
        <v>PLAR 6316 FD - 500 g</v>
      </c>
      <c r="I1891" s="6" t="str">
        <f>"202575"</f>
        <v>202575</v>
      </c>
      <c r="J1891" s="6" t="str">
        <f>"BEGE 2575"</f>
        <v>BEGE 2575</v>
      </c>
      <c r="K1891" s="6" t="str">
        <f>"1024"</f>
        <v>1024</v>
      </c>
      <c r="L1891" s="6" t="str">
        <f>"Toalhas"</f>
        <v>Toalhas</v>
      </c>
      <c r="M1891" s="6" t="str">
        <f>"50x100"</f>
        <v>50x100</v>
      </c>
      <c r="N1891" s="6" t="str">
        <f>"5602972281088"</f>
        <v>5602972281088</v>
      </c>
      <c r="O1891" s="8">
        <v>18</v>
      </c>
      <c r="R1891" s="8">
        <v>0</v>
      </c>
      <c r="U1891" s="8">
        <v>0</v>
      </c>
      <c r="X1891" s="8">
        <v>0</v>
      </c>
      <c r="Z1891" s="8">
        <v>0</v>
      </c>
      <c r="AC1891" s="8">
        <v>0</v>
      </c>
      <c r="AF1891" s="8">
        <v>0</v>
      </c>
      <c r="AN1891" s="8">
        <v>18</v>
      </c>
      <c r="AO1891" s="8">
        <v>0</v>
      </c>
    </row>
    <row r="1892" spans="1:41" x14ac:dyDescent="0.25">
      <c r="A1892" s="6" t="str">
        <f t="shared" si="470"/>
        <v>522-2026000117</v>
      </c>
      <c r="B1892" s="6" t="str">
        <f t="shared" si="465"/>
        <v>EL CORTE</v>
      </c>
      <c r="C1892" s="7">
        <v>46030</v>
      </c>
      <c r="D1892" s="7">
        <v>46035</v>
      </c>
      <c r="E1892" s="8">
        <v>6</v>
      </c>
      <c r="F1892" s="6" t="str">
        <f t="shared" si="471"/>
        <v>33324101_07026</v>
      </c>
      <c r="G1892" s="6" t="str">
        <f t="shared" si="466"/>
        <v>F310631650000000</v>
      </c>
      <c r="H1892" s="6" t="str">
        <f t="shared" si="467"/>
        <v>PLAR 6316 FD - 500 g</v>
      </c>
      <c r="I1892" s="6" t="str">
        <f>"202575"</f>
        <v>202575</v>
      </c>
      <c r="J1892" s="6" t="str">
        <f>"BEGE 2575"</f>
        <v>BEGE 2575</v>
      </c>
      <c r="K1892" s="6" t="str">
        <f>"2020"</f>
        <v>2020</v>
      </c>
      <c r="L1892" s="6" t="str">
        <f>"Lençóis"</f>
        <v>Lençóis</v>
      </c>
      <c r="M1892" s="6" t="str">
        <f>"100x150"</f>
        <v>100x150</v>
      </c>
      <c r="N1892" s="6" t="str">
        <f>"5602972281095"</f>
        <v>5602972281095</v>
      </c>
      <c r="O1892" s="8">
        <v>18</v>
      </c>
      <c r="R1892" s="8">
        <v>0</v>
      </c>
      <c r="U1892" s="8">
        <v>0</v>
      </c>
      <c r="X1892" s="8">
        <v>0</v>
      </c>
      <c r="Z1892" s="8">
        <v>0</v>
      </c>
      <c r="AC1892" s="8">
        <v>0</v>
      </c>
      <c r="AF1892" s="8">
        <v>0</v>
      </c>
      <c r="AN1892" s="8">
        <v>0</v>
      </c>
      <c r="AO1892" s="8">
        <v>18</v>
      </c>
    </row>
    <row r="1893" spans="1:41" x14ac:dyDescent="0.25">
      <c r="A1893" s="6" t="str">
        <f t="shared" si="470"/>
        <v>522-2026000117</v>
      </c>
      <c r="B1893" s="6" t="str">
        <f t="shared" si="465"/>
        <v>EL CORTE</v>
      </c>
      <c r="C1893" s="7">
        <v>46030</v>
      </c>
      <c r="D1893" s="7">
        <v>46035</v>
      </c>
      <c r="E1893" s="8">
        <v>7</v>
      </c>
      <c r="F1893" s="6" t="str">
        <f t="shared" si="471"/>
        <v>33324101_07026</v>
      </c>
      <c r="G1893" s="6" t="str">
        <f t="shared" si="466"/>
        <v>F310631650000000</v>
      </c>
      <c r="H1893" s="6" t="str">
        <f t="shared" si="467"/>
        <v>PLAR 6316 FD - 500 g</v>
      </c>
      <c r="I1893" s="6" t="str">
        <f>"200901"</f>
        <v>200901</v>
      </c>
      <c r="J1893" s="6" t="str">
        <f>"ROSA 901"</f>
        <v>ROSA 901</v>
      </c>
      <c r="K1893" s="6" t="str">
        <f>"1024"</f>
        <v>1024</v>
      </c>
      <c r="L1893" s="6" t="str">
        <f>"Toalhas"</f>
        <v>Toalhas</v>
      </c>
      <c r="M1893" s="6" t="str">
        <f>"50x100"</f>
        <v>50x100</v>
      </c>
      <c r="N1893" s="6" t="str">
        <f>"5602972281118"</f>
        <v>5602972281118</v>
      </c>
      <c r="O1893" s="8">
        <v>12</v>
      </c>
      <c r="R1893" s="8">
        <v>0</v>
      </c>
      <c r="U1893" s="8">
        <v>0</v>
      </c>
      <c r="X1893" s="8">
        <v>0</v>
      </c>
      <c r="Z1893" s="8">
        <v>0</v>
      </c>
      <c r="AC1893" s="8">
        <v>0</v>
      </c>
      <c r="AF1893" s="8">
        <v>0</v>
      </c>
      <c r="AN1893" s="8">
        <v>12</v>
      </c>
      <c r="AO1893" s="8">
        <v>0</v>
      </c>
    </row>
    <row r="1894" spans="1:41" x14ac:dyDescent="0.25">
      <c r="A1894" s="6" t="str">
        <f t="shared" si="470"/>
        <v>522-2026000117</v>
      </c>
      <c r="B1894" s="6" t="str">
        <f t="shared" si="465"/>
        <v>EL CORTE</v>
      </c>
      <c r="C1894" s="7">
        <v>46030</v>
      </c>
      <c r="D1894" s="7">
        <v>46035</v>
      </c>
      <c r="E1894" s="8">
        <v>8</v>
      </c>
      <c r="F1894" s="6" t="str">
        <f t="shared" si="471"/>
        <v>33324101_07026</v>
      </c>
      <c r="G1894" s="6" t="str">
        <f t="shared" si="466"/>
        <v>F310631650000000</v>
      </c>
      <c r="H1894" s="6" t="str">
        <f t="shared" si="467"/>
        <v>PLAR 6316 FD - 500 g</v>
      </c>
      <c r="I1894" s="6" t="str">
        <f>"200901"</f>
        <v>200901</v>
      </c>
      <c r="J1894" s="6" t="str">
        <f>"ROSA 901"</f>
        <v>ROSA 901</v>
      </c>
      <c r="K1894" s="6" t="str">
        <f>"2020"</f>
        <v>2020</v>
      </c>
      <c r="L1894" s="6" t="str">
        <f>"Lençóis"</f>
        <v>Lençóis</v>
      </c>
      <c r="M1894" s="6" t="str">
        <f>"100x150"</f>
        <v>100x150</v>
      </c>
      <c r="N1894" s="6" t="str">
        <f>"5602972281125"</f>
        <v>5602972281125</v>
      </c>
      <c r="O1894" s="8">
        <v>9</v>
      </c>
      <c r="R1894" s="8">
        <v>0</v>
      </c>
      <c r="U1894" s="8">
        <v>0</v>
      </c>
      <c r="X1894" s="8">
        <v>0</v>
      </c>
      <c r="Z1894" s="8">
        <v>0</v>
      </c>
      <c r="AC1894" s="8">
        <v>0</v>
      </c>
      <c r="AF1894" s="8">
        <v>0</v>
      </c>
      <c r="AN1894" s="8">
        <v>0</v>
      </c>
      <c r="AO1894" s="8">
        <v>9</v>
      </c>
    </row>
    <row r="1895" spans="1:41" x14ac:dyDescent="0.25">
      <c r="A1895" s="6" t="str">
        <f t="shared" si="470"/>
        <v>522-2026000117</v>
      </c>
      <c r="B1895" s="6" t="str">
        <f t="shared" si="465"/>
        <v>EL CORTE</v>
      </c>
      <c r="C1895" s="7">
        <v>46030</v>
      </c>
      <c r="D1895" s="7">
        <v>46035</v>
      </c>
      <c r="E1895" s="8">
        <v>9</v>
      </c>
      <c r="F1895" s="6" t="str">
        <f t="shared" si="471"/>
        <v>33324101_07026</v>
      </c>
      <c r="G1895" s="6" t="str">
        <f t="shared" si="466"/>
        <v>F310631650000000</v>
      </c>
      <c r="H1895" s="6" t="str">
        <f t="shared" si="467"/>
        <v>PLAR 6316 FD - 500 g</v>
      </c>
      <c r="I1895" s="6" t="str">
        <f>"200510"</f>
        <v>200510</v>
      </c>
      <c r="J1895" s="6" t="str">
        <f>"VERDE 510"</f>
        <v>VERDE 510</v>
      </c>
      <c r="K1895" s="6" t="str">
        <f>"0520"</f>
        <v>0520</v>
      </c>
      <c r="L1895" s="6" t="str">
        <f>"Toalhetes"</f>
        <v>Toalhetes</v>
      </c>
      <c r="M1895" s="6" t="str">
        <f>"30x50"</f>
        <v>30x50</v>
      </c>
      <c r="N1895" s="6" t="str">
        <f>"5602972281132"</f>
        <v>5602972281132</v>
      </c>
      <c r="O1895" s="8">
        <v>12</v>
      </c>
      <c r="R1895" s="8">
        <v>0</v>
      </c>
      <c r="U1895" s="8">
        <v>0</v>
      </c>
      <c r="X1895" s="8">
        <v>0</v>
      </c>
      <c r="Z1895" s="8">
        <v>0</v>
      </c>
      <c r="AC1895" s="8">
        <v>0</v>
      </c>
      <c r="AF1895" s="8">
        <v>0</v>
      </c>
      <c r="AN1895" s="8">
        <v>12</v>
      </c>
      <c r="AO1895" s="8">
        <v>0</v>
      </c>
    </row>
    <row r="1896" spans="1:41" x14ac:dyDescent="0.25">
      <c r="A1896" s="6" t="str">
        <f t="shared" si="470"/>
        <v>522-2026000117</v>
      </c>
      <c r="B1896" s="6" t="str">
        <f t="shared" si="465"/>
        <v>EL CORTE</v>
      </c>
      <c r="C1896" s="7">
        <v>46030</v>
      </c>
      <c r="D1896" s="7">
        <v>46035</v>
      </c>
      <c r="E1896" s="8">
        <v>10</v>
      </c>
      <c r="F1896" s="6" t="str">
        <f t="shared" si="471"/>
        <v>33324101_07026</v>
      </c>
      <c r="G1896" s="6" t="str">
        <f t="shared" si="466"/>
        <v>F310631650000000</v>
      </c>
      <c r="H1896" s="6" t="str">
        <f t="shared" si="467"/>
        <v>PLAR 6316 FD - 500 g</v>
      </c>
      <c r="I1896" s="6" t="str">
        <f>"200510"</f>
        <v>200510</v>
      </c>
      <c r="J1896" s="6" t="str">
        <f>"VERDE 510"</f>
        <v>VERDE 510</v>
      </c>
      <c r="K1896" s="6" t="str">
        <f>"1024"</f>
        <v>1024</v>
      </c>
      <c r="L1896" s="6" t="str">
        <f>"Toalhas"</f>
        <v>Toalhas</v>
      </c>
      <c r="M1896" s="6" t="str">
        <f>"50x100"</f>
        <v>50x100</v>
      </c>
      <c r="N1896" s="6" t="str">
        <f>"5602972281149"</f>
        <v>5602972281149</v>
      </c>
      <c r="O1896" s="8">
        <v>12</v>
      </c>
      <c r="R1896" s="8">
        <v>0</v>
      </c>
      <c r="U1896" s="8">
        <v>0</v>
      </c>
      <c r="X1896" s="8">
        <v>0</v>
      </c>
      <c r="Z1896" s="8">
        <v>0</v>
      </c>
      <c r="AC1896" s="8">
        <v>0</v>
      </c>
      <c r="AF1896" s="8">
        <v>0</v>
      </c>
      <c r="AN1896" s="8">
        <v>12</v>
      </c>
      <c r="AO1896" s="8">
        <v>0</v>
      </c>
    </row>
    <row r="1897" spans="1:41" x14ac:dyDescent="0.25">
      <c r="A1897" s="6" t="str">
        <f t="shared" si="470"/>
        <v>522-2026000117</v>
      </c>
      <c r="B1897" s="6" t="str">
        <f t="shared" si="465"/>
        <v>EL CORTE</v>
      </c>
      <c r="C1897" s="7">
        <v>46030</v>
      </c>
      <c r="D1897" s="7">
        <v>46035</v>
      </c>
      <c r="E1897" s="8">
        <v>11</v>
      </c>
      <c r="F1897" s="6" t="str">
        <f t="shared" si="471"/>
        <v>33324101_07026</v>
      </c>
      <c r="G1897" s="6" t="str">
        <f t="shared" si="466"/>
        <v>F310631650000000</v>
      </c>
      <c r="H1897" s="6" t="str">
        <f t="shared" si="467"/>
        <v>PLAR 6316 FD - 500 g</v>
      </c>
      <c r="I1897" s="6" t="str">
        <f>"200510"</f>
        <v>200510</v>
      </c>
      <c r="J1897" s="6" t="str">
        <f>"VERDE 510"</f>
        <v>VERDE 510</v>
      </c>
      <c r="K1897" s="6" t="str">
        <f>"2020"</f>
        <v>2020</v>
      </c>
      <c r="L1897" s="6" t="str">
        <f>"Lençóis"</f>
        <v>Lençóis</v>
      </c>
      <c r="M1897" s="6" t="str">
        <f>"100x150"</f>
        <v>100x150</v>
      </c>
      <c r="N1897" s="6" t="str">
        <f>"5602972281156"</f>
        <v>5602972281156</v>
      </c>
      <c r="O1897" s="8">
        <v>15</v>
      </c>
      <c r="R1897" s="8">
        <v>0</v>
      </c>
      <c r="U1897" s="8">
        <v>0</v>
      </c>
      <c r="X1897" s="8">
        <v>0</v>
      </c>
      <c r="Z1897" s="8">
        <v>0</v>
      </c>
      <c r="AC1897" s="8">
        <v>0</v>
      </c>
      <c r="AF1897" s="8">
        <v>0</v>
      </c>
      <c r="AN1897" s="8">
        <v>0</v>
      </c>
      <c r="AO1897" s="8">
        <v>15</v>
      </c>
    </row>
    <row r="1898" spans="1:41" x14ac:dyDescent="0.25">
      <c r="A1898" s="6" t="str">
        <f t="shared" ref="A1898:A1903" si="472">"522-2026000118"</f>
        <v>522-2026000118</v>
      </c>
      <c r="B1898" s="6" t="str">
        <f t="shared" si="465"/>
        <v>EL CORTE</v>
      </c>
      <c r="C1898" s="7">
        <v>46034</v>
      </c>
      <c r="D1898" s="7">
        <v>46037</v>
      </c>
      <c r="E1898" s="8">
        <v>1</v>
      </c>
      <c r="F1898" s="6" t="str">
        <f t="shared" ref="F1898:F1903" si="473">"94791501_07026"</f>
        <v>94791501_07026</v>
      </c>
      <c r="G1898" s="6" t="str">
        <f t="shared" si="466"/>
        <v>F310631650000000</v>
      </c>
      <c r="H1898" s="6" t="str">
        <f t="shared" si="467"/>
        <v>PLAR 6316 FD - 500 g</v>
      </c>
      <c r="I1898" s="6" t="str">
        <f>"201855"</f>
        <v>201855</v>
      </c>
      <c r="J1898" s="6" t="str">
        <f>"AZUL 1855"</f>
        <v>AZUL 1855</v>
      </c>
      <c r="K1898" s="6" t="str">
        <f>"1024"</f>
        <v>1024</v>
      </c>
      <c r="L1898" s="6" t="str">
        <f>"Toalhas"</f>
        <v>Toalhas</v>
      </c>
      <c r="M1898" s="6" t="str">
        <f>"50x100"</f>
        <v>50x100</v>
      </c>
      <c r="N1898" s="6" t="str">
        <f>"5602972281057"</f>
        <v>5602972281057</v>
      </c>
      <c r="O1898" s="8">
        <v>6</v>
      </c>
      <c r="R1898" s="8">
        <v>0</v>
      </c>
      <c r="U1898" s="8">
        <v>0</v>
      </c>
      <c r="X1898" s="8">
        <v>0</v>
      </c>
      <c r="Z1898" s="8">
        <v>0</v>
      </c>
      <c r="AC1898" s="8">
        <v>0</v>
      </c>
      <c r="AF1898" s="8">
        <v>0</v>
      </c>
      <c r="AN1898" s="8">
        <v>6</v>
      </c>
      <c r="AO1898" s="8">
        <v>0</v>
      </c>
    </row>
    <row r="1899" spans="1:41" x14ac:dyDescent="0.25">
      <c r="A1899" s="6" t="str">
        <f t="shared" si="472"/>
        <v>522-2026000118</v>
      </c>
      <c r="B1899" s="6" t="str">
        <f t="shared" si="465"/>
        <v>EL CORTE</v>
      </c>
      <c r="C1899" s="7">
        <v>46034</v>
      </c>
      <c r="D1899" s="7">
        <v>46037</v>
      </c>
      <c r="E1899" s="8">
        <v>2</v>
      </c>
      <c r="F1899" s="6" t="str">
        <f t="shared" si="473"/>
        <v>94791501_07026</v>
      </c>
      <c r="G1899" s="6" t="str">
        <f t="shared" si="466"/>
        <v>F310631650000000</v>
      </c>
      <c r="H1899" s="6" t="str">
        <f t="shared" si="467"/>
        <v>PLAR 6316 FD - 500 g</v>
      </c>
      <c r="I1899" s="6" t="str">
        <f>"201855"</f>
        <v>201855</v>
      </c>
      <c r="J1899" s="6" t="str">
        <f>"AZUL 1855"</f>
        <v>AZUL 1855</v>
      </c>
      <c r="K1899" s="6" t="str">
        <f>"2020"</f>
        <v>2020</v>
      </c>
      <c r="L1899" s="6" t="str">
        <f>"Lençóis"</f>
        <v>Lençóis</v>
      </c>
      <c r="M1899" s="6" t="str">
        <f>"100x150"</f>
        <v>100x150</v>
      </c>
      <c r="N1899" s="6" t="str">
        <f>"5602972281064"</f>
        <v>5602972281064</v>
      </c>
      <c r="O1899" s="8">
        <v>3</v>
      </c>
      <c r="R1899" s="8">
        <v>0</v>
      </c>
      <c r="U1899" s="8">
        <v>0</v>
      </c>
      <c r="X1899" s="8">
        <v>0</v>
      </c>
      <c r="Z1899" s="8">
        <v>0</v>
      </c>
      <c r="AC1899" s="8">
        <v>0</v>
      </c>
      <c r="AF1899" s="8">
        <v>0</v>
      </c>
      <c r="AN1899" s="8">
        <v>0</v>
      </c>
      <c r="AO1899" s="8">
        <v>3</v>
      </c>
    </row>
    <row r="1900" spans="1:41" x14ac:dyDescent="0.25">
      <c r="A1900" s="6" t="str">
        <f t="shared" si="472"/>
        <v>522-2026000118</v>
      </c>
      <c r="B1900" s="6" t="str">
        <f t="shared" si="465"/>
        <v>EL CORTE</v>
      </c>
      <c r="C1900" s="7">
        <v>46034</v>
      </c>
      <c r="D1900" s="7">
        <v>46037</v>
      </c>
      <c r="E1900" s="8">
        <v>3</v>
      </c>
      <c r="F1900" s="6" t="str">
        <f t="shared" si="473"/>
        <v>94791501_07026</v>
      </c>
      <c r="G1900" s="6" t="str">
        <f t="shared" si="466"/>
        <v>F310631650000000</v>
      </c>
      <c r="H1900" s="6" t="str">
        <f t="shared" si="467"/>
        <v>PLAR 6316 FD - 500 g</v>
      </c>
      <c r="I1900" s="6" t="str">
        <f>"202575"</f>
        <v>202575</v>
      </c>
      <c r="J1900" s="6" t="str">
        <f>"BEGE 2575"</f>
        <v>BEGE 2575</v>
      </c>
      <c r="K1900" s="6" t="str">
        <f>"1024"</f>
        <v>1024</v>
      </c>
      <c r="L1900" s="6" t="str">
        <f>"Toalhas"</f>
        <v>Toalhas</v>
      </c>
      <c r="M1900" s="6" t="str">
        <f>"50x100"</f>
        <v>50x100</v>
      </c>
      <c r="N1900" s="6" t="str">
        <f>"5602972281088"</f>
        <v>5602972281088</v>
      </c>
      <c r="O1900" s="8">
        <v>6</v>
      </c>
      <c r="R1900" s="8">
        <v>0</v>
      </c>
      <c r="U1900" s="8">
        <v>0</v>
      </c>
      <c r="X1900" s="8">
        <v>0</v>
      </c>
      <c r="Z1900" s="8">
        <v>0</v>
      </c>
      <c r="AC1900" s="8">
        <v>0</v>
      </c>
      <c r="AF1900" s="8">
        <v>0</v>
      </c>
      <c r="AN1900" s="8">
        <v>6</v>
      </c>
      <c r="AO1900" s="8">
        <v>0</v>
      </c>
    </row>
    <row r="1901" spans="1:41" x14ac:dyDescent="0.25">
      <c r="A1901" s="6" t="str">
        <f t="shared" si="472"/>
        <v>522-2026000118</v>
      </c>
      <c r="B1901" s="6" t="str">
        <f t="shared" si="465"/>
        <v>EL CORTE</v>
      </c>
      <c r="C1901" s="7">
        <v>46034</v>
      </c>
      <c r="D1901" s="7">
        <v>46037</v>
      </c>
      <c r="E1901" s="8">
        <v>4</v>
      </c>
      <c r="F1901" s="6" t="str">
        <f t="shared" si="473"/>
        <v>94791501_07026</v>
      </c>
      <c r="G1901" s="6" t="str">
        <f t="shared" si="466"/>
        <v>F310631650000000</v>
      </c>
      <c r="H1901" s="6" t="str">
        <f t="shared" si="467"/>
        <v>PLAR 6316 FD - 500 g</v>
      </c>
      <c r="I1901" s="6" t="str">
        <f>"200901"</f>
        <v>200901</v>
      </c>
      <c r="J1901" s="6" t="str">
        <f>"ROSA 901"</f>
        <v>ROSA 901</v>
      </c>
      <c r="K1901" s="6" t="str">
        <f>"1024"</f>
        <v>1024</v>
      </c>
      <c r="L1901" s="6" t="str">
        <f>"Toalhas"</f>
        <v>Toalhas</v>
      </c>
      <c r="M1901" s="6" t="str">
        <f>"50x100"</f>
        <v>50x100</v>
      </c>
      <c r="N1901" s="6" t="str">
        <f>"5602972281118"</f>
        <v>5602972281118</v>
      </c>
      <c r="O1901" s="8">
        <v>6</v>
      </c>
      <c r="R1901" s="8">
        <v>0</v>
      </c>
      <c r="U1901" s="8">
        <v>0</v>
      </c>
      <c r="X1901" s="8">
        <v>0</v>
      </c>
      <c r="Z1901" s="8">
        <v>0</v>
      </c>
      <c r="AC1901" s="8">
        <v>0</v>
      </c>
      <c r="AF1901" s="8">
        <v>0</v>
      </c>
      <c r="AN1901" s="8">
        <v>6</v>
      </c>
      <c r="AO1901" s="8">
        <v>0</v>
      </c>
    </row>
    <row r="1902" spans="1:41" x14ac:dyDescent="0.25">
      <c r="A1902" s="6" t="str">
        <f t="shared" si="472"/>
        <v>522-2026000118</v>
      </c>
      <c r="B1902" s="6" t="str">
        <f t="shared" si="465"/>
        <v>EL CORTE</v>
      </c>
      <c r="C1902" s="7">
        <v>46034</v>
      </c>
      <c r="D1902" s="7">
        <v>46037</v>
      </c>
      <c r="E1902" s="8">
        <v>5</v>
      </c>
      <c r="F1902" s="6" t="str">
        <f t="shared" si="473"/>
        <v>94791501_07026</v>
      </c>
      <c r="G1902" s="6" t="str">
        <f t="shared" si="466"/>
        <v>F310631650000000</v>
      </c>
      <c r="H1902" s="6" t="str">
        <f t="shared" si="467"/>
        <v>PLAR 6316 FD - 500 g</v>
      </c>
      <c r="I1902" s="6" t="str">
        <f>"200901"</f>
        <v>200901</v>
      </c>
      <c r="J1902" s="6" t="str">
        <f>"ROSA 901"</f>
        <v>ROSA 901</v>
      </c>
      <c r="K1902" s="6" t="str">
        <f>"2020"</f>
        <v>2020</v>
      </c>
      <c r="L1902" s="6" t="str">
        <f>"Lençóis"</f>
        <v>Lençóis</v>
      </c>
      <c r="M1902" s="6" t="str">
        <f>"100x150"</f>
        <v>100x150</v>
      </c>
      <c r="N1902" s="6" t="str">
        <f>"5602972281125"</f>
        <v>5602972281125</v>
      </c>
      <c r="O1902" s="8">
        <v>6</v>
      </c>
      <c r="R1902" s="8">
        <v>0</v>
      </c>
      <c r="U1902" s="8">
        <v>0</v>
      </c>
      <c r="X1902" s="8">
        <v>0</v>
      </c>
      <c r="Z1902" s="8">
        <v>0</v>
      </c>
      <c r="AC1902" s="8">
        <v>0</v>
      </c>
      <c r="AF1902" s="8">
        <v>0</v>
      </c>
      <c r="AN1902" s="8">
        <v>0</v>
      </c>
      <c r="AO1902" s="8">
        <v>6</v>
      </c>
    </row>
    <row r="1903" spans="1:41" x14ac:dyDescent="0.25">
      <c r="A1903" s="6" t="str">
        <f t="shared" si="472"/>
        <v>522-2026000118</v>
      </c>
      <c r="B1903" s="6" t="str">
        <f t="shared" si="465"/>
        <v>EL CORTE</v>
      </c>
      <c r="C1903" s="7">
        <v>46034</v>
      </c>
      <c r="D1903" s="7">
        <v>46037</v>
      </c>
      <c r="E1903" s="8">
        <v>6</v>
      </c>
      <c r="F1903" s="6" t="str">
        <f t="shared" si="473"/>
        <v>94791501_07026</v>
      </c>
      <c r="G1903" s="6" t="str">
        <f t="shared" si="466"/>
        <v>F310631650000000</v>
      </c>
      <c r="H1903" s="6" t="str">
        <f t="shared" si="467"/>
        <v>PLAR 6316 FD - 500 g</v>
      </c>
      <c r="I1903" s="6" t="str">
        <f>"200510"</f>
        <v>200510</v>
      </c>
      <c r="J1903" s="6" t="str">
        <f>"VERDE 510"</f>
        <v>VERDE 510</v>
      </c>
      <c r="K1903" s="6" t="str">
        <f>"1024"</f>
        <v>1024</v>
      </c>
      <c r="L1903" s="6" t="str">
        <f>"Toalhas"</f>
        <v>Toalhas</v>
      </c>
      <c r="M1903" s="6" t="str">
        <f>"50x100"</f>
        <v>50x100</v>
      </c>
      <c r="N1903" s="6" t="str">
        <f>"5602972281149"</f>
        <v>5602972281149</v>
      </c>
      <c r="O1903" s="8">
        <v>6</v>
      </c>
      <c r="R1903" s="8">
        <v>0</v>
      </c>
      <c r="U1903" s="8">
        <v>0</v>
      </c>
      <c r="X1903" s="8">
        <v>0</v>
      </c>
      <c r="Z1903" s="8">
        <v>0</v>
      </c>
      <c r="AC1903" s="8">
        <v>0</v>
      </c>
      <c r="AF1903" s="8">
        <v>0</v>
      </c>
      <c r="AN1903" s="8">
        <v>6</v>
      </c>
      <c r="AO1903" s="8">
        <v>0</v>
      </c>
    </row>
    <row r="1904" spans="1:41" x14ac:dyDescent="0.25">
      <c r="A1904" s="6" t="str">
        <f>"522-2026000119"</f>
        <v>522-2026000119</v>
      </c>
      <c r="B1904" s="6" t="str">
        <f t="shared" si="465"/>
        <v>EL CORTE</v>
      </c>
      <c r="C1904" s="7">
        <v>46034</v>
      </c>
      <c r="D1904" s="7">
        <v>46037</v>
      </c>
      <c r="E1904" s="8">
        <v>1</v>
      </c>
      <c r="F1904" s="6" t="str">
        <f>"94792401_07026"</f>
        <v>94792401_07026</v>
      </c>
      <c r="G1904" s="6" t="str">
        <f t="shared" si="466"/>
        <v>F310631650000000</v>
      </c>
      <c r="H1904" s="6" t="str">
        <f t="shared" si="467"/>
        <v>PLAR 6316 FD - 500 g</v>
      </c>
      <c r="I1904" s="6" t="str">
        <f>"200901"</f>
        <v>200901</v>
      </c>
      <c r="J1904" s="6" t="str">
        <f>"ROSA 901"</f>
        <v>ROSA 901</v>
      </c>
      <c r="K1904" s="6" t="str">
        <f>"0520"</f>
        <v>0520</v>
      </c>
      <c r="L1904" s="6" t="str">
        <f>"Toalhetes"</f>
        <v>Toalhetes</v>
      </c>
      <c r="M1904" s="6" t="str">
        <f>"30x50"</f>
        <v>30x50</v>
      </c>
      <c r="N1904" s="6" t="str">
        <f>"5602972281101"</f>
        <v>5602972281101</v>
      </c>
      <c r="O1904" s="8">
        <v>6</v>
      </c>
      <c r="R1904" s="8">
        <v>0</v>
      </c>
      <c r="U1904" s="8">
        <v>0</v>
      </c>
      <c r="X1904" s="8">
        <v>0</v>
      </c>
      <c r="Z1904" s="8">
        <v>0</v>
      </c>
      <c r="AC1904" s="8">
        <v>0</v>
      </c>
      <c r="AF1904" s="8">
        <v>0</v>
      </c>
      <c r="AN1904" s="8">
        <v>6</v>
      </c>
      <c r="AO1904" s="8">
        <v>0</v>
      </c>
    </row>
    <row r="1905" spans="1:41" x14ac:dyDescent="0.25">
      <c r="A1905" s="6" t="str">
        <f>"522-2026000119"</f>
        <v>522-2026000119</v>
      </c>
      <c r="B1905" s="6" t="str">
        <f t="shared" si="465"/>
        <v>EL CORTE</v>
      </c>
      <c r="C1905" s="7">
        <v>46034</v>
      </c>
      <c r="D1905" s="7">
        <v>46037</v>
      </c>
      <c r="E1905" s="8">
        <v>2</v>
      </c>
      <c r="F1905" s="6" t="str">
        <f>"94792401_07026"</f>
        <v>94792401_07026</v>
      </c>
      <c r="G1905" s="6" t="str">
        <f t="shared" si="466"/>
        <v>F310631650000000</v>
      </c>
      <c r="H1905" s="6" t="str">
        <f t="shared" si="467"/>
        <v>PLAR 6316 FD - 500 g</v>
      </c>
      <c r="I1905" s="6" t="str">
        <f>"200901"</f>
        <v>200901</v>
      </c>
      <c r="J1905" s="6" t="str">
        <f>"ROSA 901"</f>
        <v>ROSA 901</v>
      </c>
      <c r="K1905" s="6" t="str">
        <f>"2020"</f>
        <v>2020</v>
      </c>
      <c r="L1905" s="6" t="str">
        <f>"Lençóis"</f>
        <v>Lençóis</v>
      </c>
      <c r="M1905" s="6" t="str">
        <f>"100x150"</f>
        <v>100x150</v>
      </c>
      <c r="N1905" s="6" t="str">
        <f>"5602972281125"</f>
        <v>5602972281125</v>
      </c>
      <c r="O1905" s="8">
        <v>3</v>
      </c>
      <c r="R1905" s="8">
        <v>0</v>
      </c>
      <c r="U1905" s="8">
        <v>0</v>
      </c>
      <c r="X1905" s="8">
        <v>0</v>
      </c>
      <c r="Z1905" s="8">
        <v>0</v>
      </c>
      <c r="AC1905" s="8">
        <v>0</v>
      </c>
      <c r="AF1905" s="8">
        <v>0</v>
      </c>
      <c r="AN1905" s="8">
        <v>0</v>
      </c>
      <c r="AO1905" s="8">
        <v>3</v>
      </c>
    </row>
    <row r="1906" spans="1:41" x14ac:dyDescent="0.25">
      <c r="A1906" s="6" t="str">
        <f>"522-2026000120"</f>
        <v>522-2026000120</v>
      </c>
      <c r="B1906" s="6" t="str">
        <f t="shared" si="465"/>
        <v>EL CORTE</v>
      </c>
      <c r="C1906" s="7">
        <v>46034</v>
      </c>
      <c r="D1906" s="7">
        <v>46037</v>
      </c>
      <c r="E1906" s="8">
        <v>1</v>
      </c>
      <c r="F1906" s="6" t="str">
        <f>"94790901_07026"</f>
        <v>94790901_07026</v>
      </c>
      <c r="G1906" s="6" t="str">
        <f t="shared" si="466"/>
        <v>F310631650000000</v>
      </c>
      <c r="H1906" s="6" t="str">
        <f t="shared" si="467"/>
        <v>PLAR 6316 FD - 500 g</v>
      </c>
      <c r="I1906" s="6" t="str">
        <f>"201855"</f>
        <v>201855</v>
      </c>
      <c r="J1906" s="6" t="str">
        <f>"AZUL 1855"</f>
        <v>AZUL 1855</v>
      </c>
      <c r="K1906" s="6" t="str">
        <f>"1024"</f>
        <v>1024</v>
      </c>
      <c r="L1906" s="6" t="str">
        <f>"Toalhas"</f>
        <v>Toalhas</v>
      </c>
      <c r="M1906" s="6" t="str">
        <f>"50x100"</f>
        <v>50x100</v>
      </c>
      <c r="N1906" s="6" t="str">
        <f>"5602972281057"</f>
        <v>5602972281057</v>
      </c>
      <c r="O1906" s="8">
        <v>6</v>
      </c>
      <c r="R1906" s="8">
        <v>0</v>
      </c>
      <c r="U1906" s="8">
        <v>0</v>
      </c>
      <c r="X1906" s="8">
        <v>0</v>
      </c>
      <c r="Z1906" s="8">
        <v>0</v>
      </c>
      <c r="AC1906" s="8">
        <v>0</v>
      </c>
      <c r="AF1906" s="8">
        <v>0</v>
      </c>
      <c r="AN1906" s="8">
        <v>6</v>
      </c>
      <c r="AO1906" s="8">
        <v>0</v>
      </c>
    </row>
    <row r="1907" spans="1:41" x14ac:dyDescent="0.25">
      <c r="A1907" s="6" t="str">
        <f>"522-2026000120"</f>
        <v>522-2026000120</v>
      </c>
      <c r="B1907" s="6" t="str">
        <f t="shared" si="465"/>
        <v>EL CORTE</v>
      </c>
      <c r="C1907" s="7">
        <v>46034</v>
      </c>
      <c r="D1907" s="7">
        <v>46037</v>
      </c>
      <c r="E1907" s="8">
        <v>2</v>
      </c>
      <c r="F1907" s="6" t="str">
        <f>"94790901_07026"</f>
        <v>94790901_07026</v>
      </c>
      <c r="G1907" s="6" t="str">
        <f t="shared" si="466"/>
        <v>F310631650000000</v>
      </c>
      <c r="H1907" s="6" t="str">
        <f t="shared" si="467"/>
        <v>PLAR 6316 FD - 500 g</v>
      </c>
      <c r="I1907" s="6" t="str">
        <f>"201855"</f>
        <v>201855</v>
      </c>
      <c r="J1907" s="6" t="str">
        <f>"AZUL 1855"</f>
        <v>AZUL 1855</v>
      </c>
      <c r="K1907" s="6" t="str">
        <f>"2020"</f>
        <v>2020</v>
      </c>
      <c r="L1907" s="6" t="str">
        <f>"Lençóis"</f>
        <v>Lençóis</v>
      </c>
      <c r="M1907" s="6" t="str">
        <f>"100x150"</f>
        <v>100x150</v>
      </c>
      <c r="N1907" s="6" t="str">
        <f>"5602972281064"</f>
        <v>5602972281064</v>
      </c>
      <c r="O1907" s="8">
        <v>6</v>
      </c>
      <c r="R1907" s="8">
        <v>0</v>
      </c>
      <c r="U1907" s="8">
        <v>0</v>
      </c>
      <c r="X1907" s="8">
        <v>0</v>
      </c>
      <c r="Z1907" s="8">
        <v>0</v>
      </c>
      <c r="AC1907" s="8">
        <v>0</v>
      </c>
      <c r="AF1907" s="8">
        <v>0</v>
      </c>
      <c r="AN1907" s="8">
        <v>0</v>
      </c>
      <c r="AO1907" s="8">
        <v>6</v>
      </c>
    </row>
    <row r="1908" spans="1:41" x14ac:dyDescent="0.25">
      <c r="A1908" s="6" t="str">
        <f>"522-2026000120"</f>
        <v>522-2026000120</v>
      </c>
      <c r="B1908" s="6" t="str">
        <f t="shared" si="465"/>
        <v>EL CORTE</v>
      </c>
      <c r="C1908" s="7">
        <v>46034</v>
      </c>
      <c r="D1908" s="7">
        <v>46037</v>
      </c>
      <c r="E1908" s="8">
        <v>3</v>
      </c>
      <c r="F1908" s="6" t="str">
        <f>"94790901_07026"</f>
        <v>94790901_07026</v>
      </c>
      <c r="G1908" s="6" t="str">
        <f t="shared" si="466"/>
        <v>F310631650000000</v>
      </c>
      <c r="H1908" s="6" t="str">
        <f t="shared" si="467"/>
        <v>PLAR 6316 FD - 500 g</v>
      </c>
      <c r="I1908" s="6" t="str">
        <f>"200901"</f>
        <v>200901</v>
      </c>
      <c r="J1908" s="6" t="str">
        <f>"ROSA 901"</f>
        <v>ROSA 901</v>
      </c>
      <c r="K1908" s="6" t="str">
        <f>"2020"</f>
        <v>2020</v>
      </c>
      <c r="L1908" s="6" t="str">
        <f>"Lençóis"</f>
        <v>Lençóis</v>
      </c>
      <c r="M1908" s="6" t="str">
        <f>"100x150"</f>
        <v>100x150</v>
      </c>
      <c r="N1908" s="6" t="str">
        <f>"5602972281125"</f>
        <v>5602972281125</v>
      </c>
      <c r="O1908" s="8">
        <v>3</v>
      </c>
      <c r="R1908" s="8">
        <v>0</v>
      </c>
      <c r="U1908" s="8">
        <v>0</v>
      </c>
      <c r="X1908" s="8">
        <v>0</v>
      </c>
      <c r="Z1908" s="8">
        <v>0</v>
      </c>
      <c r="AC1908" s="8">
        <v>0</v>
      </c>
      <c r="AF1908" s="8">
        <v>0</v>
      </c>
      <c r="AN1908" s="8">
        <v>0</v>
      </c>
      <c r="AO1908" s="8">
        <v>3</v>
      </c>
    </row>
    <row r="1909" spans="1:41" x14ac:dyDescent="0.25">
      <c r="A1909" s="6" t="str">
        <f>"522-2026000120"</f>
        <v>522-2026000120</v>
      </c>
      <c r="B1909" s="6" t="str">
        <f t="shared" si="465"/>
        <v>EL CORTE</v>
      </c>
      <c r="C1909" s="7">
        <v>46034</v>
      </c>
      <c r="D1909" s="7">
        <v>46037</v>
      </c>
      <c r="E1909" s="8">
        <v>4</v>
      </c>
      <c r="F1909" s="6" t="str">
        <f>"94790901_07026"</f>
        <v>94790901_07026</v>
      </c>
      <c r="G1909" s="6" t="str">
        <f t="shared" si="466"/>
        <v>F310631650000000</v>
      </c>
      <c r="H1909" s="6" t="str">
        <f t="shared" si="467"/>
        <v>PLAR 6316 FD - 500 g</v>
      </c>
      <c r="I1909" s="6" t="str">
        <f>"200510"</f>
        <v>200510</v>
      </c>
      <c r="J1909" s="6" t="str">
        <f>"VERDE 510"</f>
        <v>VERDE 510</v>
      </c>
      <c r="K1909" s="6" t="str">
        <f>"1024"</f>
        <v>1024</v>
      </c>
      <c r="L1909" s="6" t="str">
        <f>"Toalhas"</f>
        <v>Toalhas</v>
      </c>
      <c r="M1909" s="6" t="str">
        <f>"50x100"</f>
        <v>50x100</v>
      </c>
      <c r="N1909" s="6" t="str">
        <f>"5602972281149"</f>
        <v>5602972281149</v>
      </c>
      <c r="O1909" s="8">
        <v>12</v>
      </c>
      <c r="R1909" s="8">
        <v>0</v>
      </c>
      <c r="U1909" s="8">
        <v>0</v>
      </c>
      <c r="X1909" s="8">
        <v>0</v>
      </c>
      <c r="Z1909" s="8">
        <v>0</v>
      </c>
      <c r="AC1909" s="8">
        <v>0</v>
      </c>
      <c r="AF1909" s="8">
        <v>0</v>
      </c>
      <c r="AN1909" s="8">
        <v>12</v>
      </c>
      <c r="AO1909" s="8">
        <v>0</v>
      </c>
    </row>
    <row r="1910" spans="1:41" x14ac:dyDescent="0.25">
      <c r="A1910" s="6" t="str">
        <f>"522-2026000120"</f>
        <v>522-2026000120</v>
      </c>
      <c r="B1910" s="6" t="str">
        <f t="shared" si="465"/>
        <v>EL CORTE</v>
      </c>
      <c r="C1910" s="7">
        <v>46034</v>
      </c>
      <c r="D1910" s="7">
        <v>46037</v>
      </c>
      <c r="E1910" s="8">
        <v>5</v>
      </c>
      <c r="F1910" s="6" t="str">
        <f>"94790901_07026"</f>
        <v>94790901_07026</v>
      </c>
      <c r="G1910" s="6" t="str">
        <f t="shared" si="466"/>
        <v>F310631650000000</v>
      </c>
      <c r="H1910" s="6" t="str">
        <f t="shared" si="467"/>
        <v>PLAR 6316 FD - 500 g</v>
      </c>
      <c r="I1910" s="6" t="str">
        <f>"200510"</f>
        <v>200510</v>
      </c>
      <c r="J1910" s="6" t="str">
        <f>"VERDE 510"</f>
        <v>VERDE 510</v>
      </c>
      <c r="K1910" s="6" t="str">
        <f>"2020"</f>
        <v>2020</v>
      </c>
      <c r="L1910" s="6" t="str">
        <f>"Lençóis"</f>
        <v>Lençóis</v>
      </c>
      <c r="M1910" s="6" t="str">
        <f>"100x150"</f>
        <v>100x150</v>
      </c>
      <c r="N1910" s="6" t="str">
        <f>"5602972281156"</f>
        <v>5602972281156</v>
      </c>
      <c r="O1910" s="8">
        <v>9</v>
      </c>
      <c r="R1910" s="8">
        <v>0</v>
      </c>
      <c r="U1910" s="8">
        <v>0</v>
      </c>
      <c r="X1910" s="8">
        <v>0</v>
      </c>
      <c r="Z1910" s="8">
        <v>0</v>
      </c>
      <c r="AC1910" s="8">
        <v>0</v>
      </c>
      <c r="AF1910" s="8">
        <v>0</v>
      </c>
      <c r="AN1910" s="8">
        <v>0</v>
      </c>
      <c r="AO1910" s="8">
        <v>9</v>
      </c>
    </row>
    <row r="1911" spans="1:41" x14ac:dyDescent="0.25">
      <c r="A1911" s="6" t="str">
        <f>"522-2026000121"</f>
        <v>522-2026000121</v>
      </c>
      <c r="B1911" s="6" t="str">
        <f t="shared" si="465"/>
        <v>EL CORTE</v>
      </c>
      <c r="C1911" s="7">
        <v>46034</v>
      </c>
      <c r="D1911" s="7">
        <v>46037</v>
      </c>
      <c r="E1911" s="8">
        <v>1</v>
      </c>
      <c r="F1911" s="6" t="str">
        <f>"94795601_07026"</f>
        <v>94795601_07026</v>
      </c>
      <c r="G1911" s="6" t="str">
        <f t="shared" si="466"/>
        <v>F310631650000000</v>
      </c>
      <c r="H1911" s="6" t="str">
        <f t="shared" si="467"/>
        <v>PLAR 6316 FD - 500 g</v>
      </c>
      <c r="I1911" s="6" t="str">
        <f>"202575"</f>
        <v>202575</v>
      </c>
      <c r="J1911" s="6" t="str">
        <f>"BEGE 2575"</f>
        <v>BEGE 2575</v>
      </c>
      <c r="K1911" s="6" t="str">
        <f>"2020"</f>
        <v>2020</v>
      </c>
      <c r="L1911" s="6" t="str">
        <f>"Lençóis"</f>
        <v>Lençóis</v>
      </c>
      <c r="M1911" s="6" t="str">
        <f>"100x150"</f>
        <v>100x150</v>
      </c>
      <c r="N1911" s="6" t="str">
        <f>"5602972281095"</f>
        <v>5602972281095</v>
      </c>
      <c r="O1911" s="8">
        <v>3</v>
      </c>
      <c r="R1911" s="8">
        <v>0</v>
      </c>
      <c r="U1911" s="8">
        <v>0</v>
      </c>
      <c r="X1911" s="8">
        <v>0</v>
      </c>
      <c r="Z1911" s="8">
        <v>0</v>
      </c>
      <c r="AC1911" s="8">
        <v>0</v>
      </c>
      <c r="AF1911" s="8">
        <v>0</v>
      </c>
      <c r="AN1911" s="8">
        <v>0</v>
      </c>
      <c r="AO1911" s="8">
        <v>3</v>
      </c>
    </row>
    <row r="1912" spans="1:41" x14ac:dyDescent="0.25">
      <c r="A1912" s="6" t="str">
        <f>"522-2026000121"</f>
        <v>522-2026000121</v>
      </c>
      <c r="B1912" s="6" t="str">
        <f t="shared" si="465"/>
        <v>EL CORTE</v>
      </c>
      <c r="C1912" s="7">
        <v>46034</v>
      </c>
      <c r="D1912" s="7">
        <v>46037</v>
      </c>
      <c r="E1912" s="8">
        <v>2</v>
      </c>
      <c r="F1912" s="6" t="str">
        <f>"94795601_07026"</f>
        <v>94795601_07026</v>
      </c>
      <c r="G1912" s="6" t="str">
        <f t="shared" si="466"/>
        <v>F310631650000000</v>
      </c>
      <c r="H1912" s="6" t="str">
        <f t="shared" si="467"/>
        <v>PLAR 6316 FD - 500 g</v>
      </c>
      <c r="I1912" s="6" t="str">
        <f>"200901"</f>
        <v>200901</v>
      </c>
      <c r="J1912" s="6" t="str">
        <f>"ROSA 901"</f>
        <v>ROSA 901</v>
      </c>
      <c r="K1912" s="6" t="str">
        <f>"2020"</f>
        <v>2020</v>
      </c>
      <c r="L1912" s="6" t="str">
        <f>"Lençóis"</f>
        <v>Lençóis</v>
      </c>
      <c r="M1912" s="6" t="str">
        <f>"100x150"</f>
        <v>100x150</v>
      </c>
      <c r="N1912" s="6" t="str">
        <f>"5602972281125"</f>
        <v>5602972281125</v>
      </c>
      <c r="O1912" s="8">
        <v>3</v>
      </c>
      <c r="R1912" s="8">
        <v>0</v>
      </c>
      <c r="U1912" s="8">
        <v>0</v>
      </c>
      <c r="X1912" s="8">
        <v>0</v>
      </c>
      <c r="Z1912" s="8">
        <v>0</v>
      </c>
      <c r="AC1912" s="8">
        <v>0</v>
      </c>
      <c r="AF1912" s="8">
        <v>0</v>
      </c>
      <c r="AN1912" s="8">
        <v>0</v>
      </c>
      <c r="AO1912" s="8">
        <v>3</v>
      </c>
    </row>
    <row r="1913" spans="1:41" x14ac:dyDescent="0.25">
      <c r="A1913" s="6" t="str">
        <f>"522-2026000121"</f>
        <v>522-2026000121</v>
      </c>
      <c r="B1913" s="6" t="str">
        <f t="shared" si="465"/>
        <v>EL CORTE</v>
      </c>
      <c r="C1913" s="7">
        <v>46034</v>
      </c>
      <c r="D1913" s="7">
        <v>46037</v>
      </c>
      <c r="E1913" s="8">
        <v>3</v>
      </c>
      <c r="F1913" s="6" t="str">
        <f>"94795601_07026"</f>
        <v>94795601_07026</v>
      </c>
      <c r="G1913" s="6" t="str">
        <f t="shared" si="466"/>
        <v>F310631650000000</v>
      </c>
      <c r="H1913" s="6" t="str">
        <f t="shared" si="467"/>
        <v>PLAR 6316 FD - 500 g</v>
      </c>
      <c r="I1913" s="6" t="str">
        <f>"200510"</f>
        <v>200510</v>
      </c>
      <c r="J1913" s="6" t="str">
        <f>"VERDE 510"</f>
        <v>VERDE 510</v>
      </c>
      <c r="K1913" s="6" t="str">
        <f>"1024"</f>
        <v>1024</v>
      </c>
      <c r="L1913" s="6" t="str">
        <f>"Toalhas"</f>
        <v>Toalhas</v>
      </c>
      <c r="M1913" s="6" t="str">
        <f>"50x100"</f>
        <v>50x100</v>
      </c>
      <c r="N1913" s="6" t="str">
        <f>"5602972281149"</f>
        <v>5602972281149</v>
      </c>
      <c r="O1913" s="8">
        <v>6</v>
      </c>
      <c r="R1913" s="8">
        <v>0</v>
      </c>
      <c r="U1913" s="8">
        <v>0</v>
      </c>
      <c r="X1913" s="8">
        <v>0</v>
      </c>
      <c r="Z1913" s="8">
        <v>0</v>
      </c>
      <c r="AC1913" s="8">
        <v>0</v>
      </c>
      <c r="AF1913" s="8">
        <v>0</v>
      </c>
      <c r="AN1913" s="8">
        <v>6</v>
      </c>
      <c r="AO1913" s="8">
        <v>0</v>
      </c>
    </row>
    <row r="1914" spans="1:41" x14ac:dyDescent="0.25">
      <c r="A1914" s="6" t="str">
        <f>"522-2026000121"</f>
        <v>522-2026000121</v>
      </c>
      <c r="B1914" s="6" t="str">
        <f t="shared" si="465"/>
        <v>EL CORTE</v>
      </c>
      <c r="C1914" s="7">
        <v>46034</v>
      </c>
      <c r="D1914" s="7">
        <v>46037</v>
      </c>
      <c r="E1914" s="8">
        <v>4</v>
      </c>
      <c r="F1914" s="6" t="str">
        <f>"94795601_07026"</f>
        <v>94795601_07026</v>
      </c>
      <c r="G1914" s="6" t="str">
        <f t="shared" si="466"/>
        <v>F310631650000000</v>
      </c>
      <c r="H1914" s="6" t="str">
        <f t="shared" si="467"/>
        <v>PLAR 6316 FD - 500 g</v>
      </c>
      <c r="I1914" s="6" t="str">
        <f>"200510"</f>
        <v>200510</v>
      </c>
      <c r="J1914" s="6" t="str">
        <f>"VERDE 510"</f>
        <v>VERDE 510</v>
      </c>
      <c r="K1914" s="6" t="str">
        <f>"2020"</f>
        <v>2020</v>
      </c>
      <c r="L1914" s="6" t="str">
        <f>"Lençóis"</f>
        <v>Lençóis</v>
      </c>
      <c r="M1914" s="6" t="str">
        <f>"100x150"</f>
        <v>100x150</v>
      </c>
      <c r="N1914" s="6" t="str">
        <f>"5602972281156"</f>
        <v>5602972281156</v>
      </c>
      <c r="O1914" s="8">
        <v>3</v>
      </c>
      <c r="R1914" s="8">
        <v>0</v>
      </c>
      <c r="U1914" s="8">
        <v>0</v>
      </c>
      <c r="X1914" s="8">
        <v>0</v>
      </c>
      <c r="Z1914" s="8">
        <v>0</v>
      </c>
      <c r="AC1914" s="8">
        <v>0</v>
      </c>
      <c r="AF1914" s="8">
        <v>0</v>
      </c>
      <c r="AN1914" s="8">
        <v>0</v>
      </c>
      <c r="AO1914" s="8">
        <v>3</v>
      </c>
    </row>
    <row r="1915" spans="1:41" x14ac:dyDescent="0.25">
      <c r="A1915" s="6" t="str">
        <f>"522-2026000122"</f>
        <v>522-2026000122</v>
      </c>
      <c r="B1915" s="6" t="str">
        <f t="shared" si="465"/>
        <v>EL CORTE</v>
      </c>
      <c r="C1915" s="7">
        <v>46034</v>
      </c>
      <c r="D1915" s="7">
        <v>46037</v>
      </c>
      <c r="E1915" s="8">
        <v>1</v>
      </c>
      <c r="F1915" s="6" t="str">
        <f>"94794101_07026"</f>
        <v>94794101_07026</v>
      </c>
      <c r="G1915" s="6" t="str">
        <f t="shared" si="466"/>
        <v>F310631650000000</v>
      </c>
      <c r="H1915" s="6" t="str">
        <f t="shared" si="467"/>
        <v>PLAR 6316 FD - 500 g</v>
      </c>
      <c r="I1915" s="6" t="str">
        <f>"202575"</f>
        <v>202575</v>
      </c>
      <c r="J1915" s="6" t="str">
        <f>"BEGE 2575"</f>
        <v>BEGE 2575</v>
      </c>
      <c r="K1915" s="6" t="str">
        <f>"2020"</f>
        <v>2020</v>
      </c>
      <c r="L1915" s="6" t="str">
        <f>"Lençóis"</f>
        <v>Lençóis</v>
      </c>
      <c r="M1915" s="6" t="str">
        <f>"100x150"</f>
        <v>100x150</v>
      </c>
      <c r="N1915" s="6" t="str">
        <f>"5602972281095"</f>
        <v>5602972281095</v>
      </c>
      <c r="O1915" s="8">
        <v>3</v>
      </c>
      <c r="R1915" s="8">
        <v>0</v>
      </c>
      <c r="U1915" s="8">
        <v>0</v>
      </c>
      <c r="X1915" s="8">
        <v>0</v>
      </c>
      <c r="Z1915" s="8">
        <v>0</v>
      </c>
      <c r="AC1915" s="8">
        <v>0</v>
      </c>
      <c r="AF1915" s="8">
        <v>0</v>
      </c>
      <c r="AN1915" s="8">
        <v>0</v>
      </c>
      <c r="AO1915" s="8">
        <v>3</v>
      </c>
    </row>
    <row r="1916" spans="1:41" x14ac:dyDescent="0.25">
      <c r="A1916" s="6" t="str">
        <f>"522-2026000123"</f>
        <v>522-2026000123</v>
      </c>
      <c r="B1916" s="6" t="str">
        <f t="shared" si="465"/>
        <v>EL CORTE</v>
      </c>
      <c r="C1916" s="7">
        <v>46034</v>
      </c>
      <c r="D1916" s="7">
        <v>46037</v>
      </c>
      <c r="E1916" s="8">
        <v>1</v>
      </c>
      <c r="F1916" s="6" t="str">
        <f>"94794001_07026"</f>
        <v>94794001_07026</v>
      </c>
      <c r="G1916" s="6" t="str">
        <f t="shared" si="466"/>
        <v>F310631650000000</v>
      </c>
      <c r="H1916" s="6" t="str">
        <f t="shared" si="467"/>
        <v>PLAR 6316 FD - 500 g</v>
      </c>
      <c r="I1916" s="6" t="str">
        <f>"200901"</f>
        <v>200901</v>
      </c>
      <c r="J1916" s="6" t="str">
        <f>"ROSA 901"</f>
        <v>ROSA 901</v>
      </c>
      <c r="K1916" s="6" t="str">
        <f>"2020"</f>
        <v>2020</v>
      </c>
      <c r="L1916" s="6" t="str">
        <f>"Lençóis"</f>
        <v>Lençóis</v>
      </c>
      <c r="M1916" s="6" t="str">
        <f>"100x150"</f>
        <v>100x150</v>
      </c>
      <c r="N1916" s="6" t="str">
        <f>"5602972281125"</f>
        <v>5602972281125</v>
      </c>
      <c r="O1916" s="8">
        <v>3</v>
      </c>
      <c r="R1916" s="8">
        <v>0</v>
      </c>
      <c r="U1916" s="8">
        <v>0</v>
      </c>
      <c r="X1916" s="8">
        <v>0</v>
      </c>
      <c r="Z1916" s="8">
        <v>0</v>
      </c>
      <c r="AC1916" s="8">
        <v>0</v>
      </c>
      <c r="AF1916" s="8">
        <v>0</v>
      </c>
      <c r="AN1916" s="8">
        <v>0</v>
      </c>
      <c r="AO1916" s="8">
        <v>3</v>
      </c>
    </row>
    <row r="1917" spans="1:41" x14ac:dyDescent="0.25">
      <c r="A1917" s="6" t="str">
        <f>"522-2026000124"</f>
        <v>522-2026000124</v>
      </c>
      <c r="B1917" s="6" t="str">
        <f t="shared" si="465"/>
        <v>EL CORTE</v>
      </c>
      <c r="C1917" s="7">
        <v>46034</v>
      </c>
      <c r="D1917" s="7">
        <v>46037</v>
      </c>
      <c r="E1917" s="8">
        <v>1</v>
      </c>
      <c r="F1917" s="6" t="str">
        <f>"94792301_07026"</f>
        <v>94792301_07026</v>
      </c>
      <c r="G1917" s="6" t="str">
        <f t="shared" si="466"/>
        <v>F310631650000000</v>
      </c>
      <c r="H1917" s="6" t="str">
        <f t="shared" si="467"/>
        <v>PLAR 6316 FD - 500 g</v>
      </c>
      <c r="I1917" s="6" t="str">
        <f>"201855"</f>
        <v>201855</v>
      </c>
      <c r="J1917" s="6" t="str">
        <f>"AZUL 1855"</f>
        <v>AZUL 1855</v>
      </c>
      <c r="K1917" s="6" t="str">
        <f>"1024"</f>
        <v>1024</v>
      </c>
      <c r="L1917" s="6" t="str">
        <f>"Toalhas"</f>
        <v>Toalhas</v>
      </c>
      <c r="M1917" s="6" t="str">
        <f>"50x100"</f>
        <v>50x100</v>
      </c>
      <c r="N1917" s="6" t="str">
        <f>"5602972281057"</f>
        <v>5602972281057</v>
      </c>
      <c r="O1917" s="8">
        <v>6</v>
      </c>
      <c r="R1917" s="8">
        <v>0</v>
      </c>
      <c r="U1917" s="8">
        <v>0</v>
      </c>
      <c r="X1917" s="8">
        <v>0</v>
      </c>
      <c r="Z1917" s="8">
        <v>0</v>
      </c>
      <c r="AC1917" s="8">
        <v>0</v>
      </c>
      <c r="AF1917" s="8">
        <v>0</v>
      </c>
      <c r="AN1917" s="8">
        <v>6</v>
      </c>
      <c r="AO1917" s="8">
        <v>0</v>
      </c>
    </row>
    <row r="1918" spans="1:41" x14ac:dyDescent="0.25">
      <c r="A1918" s="6" t="str">
        <f>"522-2026000124"</f>
        <v>522-2026000124</v>
      </c>
      <c r="B1918" s="6" t="str">
        <f t="shared" si="465"/>
        <v>EL CORTE</v>
      </c>
      <c r="C1918" s="7">
        <v>46034</v>
      </c>
      <c r="D1918" s="7">
        <v>46037</v>
      </c>
      <c r="E1918" s="8">
        <v>2</v>
      </c>
      <c r="F1918" s="6" t="str">
        <f>"94792301_07026"</f>
        <v>94792301_07026</v>
      </c>
      <c r="G1918" s="6" t="str">
        <f t="shared" si="466"/>
        <v>F310631650000000</v>
      </c>
      <c r="H1918" s="6" t="str">
        <f t="shared" si="467"/>
        <v>PLAR 6316 FD - 500 g</v>
      </c>
      <c r="I1918" s="6" t="str">
        <f>"201855"</f>
        <v>201855</v>
      </c>
      <c r="J1918" s="6" t="str">
        <f>"AZUL 1855"</f>
        <v>AZUL 1855</v>
      </c>
      <c r="K1918" s="6" t="str">
        <f>"2020"</f>
        <v>2020</v>
      </c>
      <c r="L1918" s="6" t="str">
        <f>"Lençóis"</f>
        <v>Lençóis</v>
      </c>
      <c r="M1918" s="6" t="str">
        <f>"100x150"</f>
        <v>100x150</v>
      </c>
      <c r="N1918" s="6" t="str">
        <f>"5602972281064"</f>
        <v>5602972281064</v>
      </c>
      <c r="O1918" s="8">
        <v>3</v>
      </c>
      <c r="R1918" s="8">
        <v>0</v>
      </c>
      <c r="U1918" s="8">
        <v>0</v>
      </c>
      <c r="X1918" s="8">
        <v>0</v>
      </c>
      <c r="Z1918" s="8">
        <v>0</v>
      </c>
      <c r="AC1918" s="8">
        <v>0</v>
      </c>
      <c r="AF1918" s="8">
        <v>0</v>
      </c>
      <c r="AN1918" s="8">
        <v>0</v>
      </c>
      <c r="AO1918" s="8">
        <v>3</v>
      </c>
    </row>
    <row r="1919" spans="1:41" x14ac:dyDescent="0.25">
      <c r="A1919" s="6" t="str">
        <f>"522-2026000125"</f>
        <v>522-2026000125</v>
      </c>
      <c r="B1919" s="6" t="str">
        <f t="shared" si="465"/>
        <v>EL CORTE</v>
      </c>
      <c r="C1919" s="7">
        <v>46034</v>
      </c>
      <c r="D1919" s="7">
        <v>46037</v>
      </c>
      <c r="E1919" s="8">
        <v>1</v>
      </c>
      <c r="F1919" s="6" t="str">
        <f>"94792501_07026"</f>
        <v>94792501_07026</v>
      </c>
      <c r="G1919" s="6" t="str">
        <f t="shared" si="466"/>
        <v>F310631650000000</v>
      </c>
      <c r="H1919" s="6" t="str">
        <f t="shared" si="467"/>
        <v>PLAR 6316 FD - 500 g</v>
      </c>
      <c r="I1919" s="6" t="str">
        <f>"202575"</f>
        <v>202575</v>
      </c>
      <c r="J1919" s="6" t="str">
        <f>"BEGE 2575"</f>
        <v>BEGE 2575</v>
      </c>
      <c r="K1919" s="6" t="str">
        <f>"2020"</f>
        <v>2020</v>
      </c>
      <c r="L1919" s="6" t="str">
        <f>"Lençóis"</f>
        <v>Lençóis</v>
      </c>
      <c r="M1919" s="6" t="str">
        <f>"100x150"</f>
        <v>100x150</v>
      </c>
      <c r="N1919" s="6" t="str">
        <f>"5602972281095"</f>
        <v>5602972281095</v>
      </c>
      <c r="O1919" s="8">
        <v>3</v>
      </c>
      <c r="R1919" s="8">
        <v>0</v>
      </c>
      <c r="U1919" s="8">
        <v>0</v>
      </c>
      <c r="X1919" s="8">
        <v>0</v>
      </c>
      <c r="Z1919" s="8">
        <v>0</v>
      </c>
      <c r="AC1919" s="8">
        <v>0</v>
      </c>
      <c r="AF1919" s="8">
        <v>0</v>
      </c>
      <c r="AN1919" s="8">
        <v>0</v>
      </c>
      <c r="AO1919" s="8">
        <v>3</v>
      </c>
    </row>
    <row r="1920" spans="1:41" x14ac:dyDescent="0.25">
      <c r="A1920" s="6" t="str">
        <f>"522-2026000126"</f>
        <v>522-2026000126</v>
      </c>
      <c r="B1920" s="6" t="str">
        <f t="shared" si="465"/>
        <v>EL CORTE</v>
      </c>
      <c r="C1920" s="7">
        <v>46034</v>
      </c>
      <c r="D1920" s="7">
        <v>46037</v>
      </c>
      <c r="E1920" s="8">
        <v>1</v>
      </c>
      <c r="F1920" s="6" t="str">
        <f>"94790601_07026"</f>
        <v>94790601_07026</v>
      </c>
      <c r="G1920" s="6" t="str">
        <f t="shared" si="466"/>
        <v>F310631650000000</v>
      </c>
      <c r="H1920" s="6" t="str">
        <f t="shared" si="467"/>
        <v>PLAR 6316 FD - 500 g</v>
      </c>
      <c r="I1920" s="6" t="str">
        <f>"201855"</f>
        <v>201855</v>
      </c>
      <c r="J1920" s="6" t="str">
        <f>"AZUL 1855"</f>
        <v>AZUL 1855</v>
      </c>
      <c r="K1920" s="6" t="str">
        <f>"2020"</f>
        <v>2020</v>
      </c>
      <c r="L1920" s="6" t="str">
        <f>"Lençóis"</f>
        <v>Lençóis</v>
      </c>
      <c r="M1920" s="6" t="str">
        <f>"100x150"</f>
        <v>100x150</v>
      </c>
      <c r="N1920" s="6" t="str">
        <f>"5602972281064"</f>
        <v>5602972281064</v>
      </c>
      <c r="O1920" s="8">
        <v>3</v>
      </c>
      <c r="R1920" s="8">
        <v>0</v>
      </c>
      <c r="U1920" s="8">
        <v>0</v>
      </c>
      <c r="X1920" s="8">
        <v>0</v>
      </c>
      <c r="Z1920" s="8">
        <v>0</v>
      </c>
      <c r="AC1920" s="8">
        <v>0</v>
      </c>
      <c r="AF1920" s="8">
        <v>0</v>
      </c>
      <c r="AN1920" s="8">
        <v>0</v>
      </c>
      <c r="AO1920" s="8">
        <v>3</v>
      </c>
    </row>
    <row r="1921" spans="1:41" x14ac:dyDescent="0.25">
      <c r="A1921" s="6" t="str">
        <f>"522-2026000126"</f>
        <v>522-2026000126</v>
      </c>
      <c r="B1921" s="6" t="str">
        <f t="shared" si="465"/>
        <v>EL CORTE</v>
      </c>
      <c r="C1921" s="7">
        <v>46034</v>
      </c>
      <c r="D1921" s="7">
        <v>46037</v>
      </c>
      <c r="E1921" s="8">
        <v>2</v>
      </c>
      <c r="F1921" s="6" t="str">
        <f>"94790601_07026"</f>
        <v>94790601_07026</v>
      </c>
      <c r="G1921" s="6" t="str">
        <f t="shared" si="466"/>
        <v>F310631650000000</v>
      </c>
      <c r="H1921" s="6" t="str">
        <f t="shared" si="467"/>
        <v>PLAR 6316 FD - 500 g</v>
      </c>
      <c r="I1921" s="6" t="str">
        <f>"202575"</f>
        <v>202575</v>
      </c>
      <c r="J1921" s="6" t="str">
        <f>"BEGE 2575"</f>
        <v>BEGE 2575</v>
      </c>
      <c r="K1921" s="6" t="str">
        <f>"1024"</f>
        <v>1024</v>
      </c>
      <c r="L1921" s="6" t="str">
        <f>"Toalhas"</f>
        <v>Toalhas</v>
      </c>
      <c r="M1921" s="6" t="str">
        <f>"50x100"</f>
        <v>50x100</v>
      </c>
      <c r="N1921" s="6" t="str">
        <f>"5602972281088"</f>
        <v>5602972281088</v>
      </c>
      <c r="O1921" s="8">
        <v>6</v>
      </c>
      <c r="R1921" s="8">
        <v>0</v>
      </c>
      <c r="U1921" s="8">
        <v>0</v>
      </c>
      <c r="X1921" s="8">
        <v>0</v>
      </c>
      <c r="Z1921" s="8">
        <v>0</v>
      </c>
      <c r="AC1921" s="8">
        <v>0</v>
      </c>
      <c r="AF1921" s="8">
        <v>0</v>
      </c>
      <c r="AN1921" s="8">
        <v>6</v>
      </c>
      <c r="AO1921" s="8">
        <v>0</v>
      </c>
    </row>
    <row r="1922" spans="1:41" x14ac:dyDescent="0.25">
      <c r="A1922" s="6" t="str">
        <f>"522-2026000126"</f>
        <v>522-2026000126</v>
      </c>
      <c r="B1922" s="6" t="str">
        <f t="shared" si="465"/>
        <v>EL CORTE</v>
      </c>
      <c r="C1922" s="7">
        <v>46034</v>
      </c>
      <c r="D1922" s="7">
        <v>46037</v>
      </c>
      <c r="E1922" s="8">
        <v>3</v>
      </c>
      <c r="F1922" s="6" t="str">
        <f>"94790601_07026"</f>
        <v>94790601_07026</v>
      </c>
      <c r="G1922" s="6" t="str">
        <f t="shared" si="466"/>
        <v>F310631650000000</v>
      </c>
      <c r="H1922" s="6" t="str">
        <f t="shared" si="467"/>
        <v>PLAR 6316 FD - 500 g</v>
      </c>
      <c r="I1922" s="6" t="str">
        <f>"202575"</f>
        <v>202575</v>
      </c>
      <c r="J1922" s="6" t="str">
        <f>"BEGE 2575"</f>
        <v>BEGE 2575</v>
      </c>
      <c r="K1922" s="6" t="str">
        <f>"2020"</f>
        <v>2020</v>
      </c>
      <c r="L1922" s="6" t="str">
        <f>"Lençóis"</f>
        <v>Lençóis</v>
      </c>
      <c r="M1922" s="6" t="str">
        <f>"100x150"</f>
        <v>100x150</v>
      </c>
      <c r="N1922" s="6" t="str">
        <f>"5602972281095"</f>
        <v>5602972281095</v>
      </c>
      <c r="O1922" s="8">
        <v>3</v>
      </c>
      <c r="R1922" s="8">
        <v>0</v>
      </c>
      <c r="U1922" s="8">
        <v>0</v>
      </c>
      <c r="X1922" s="8">
        <v>0</v>
      </c>
      <c r="Z1922" s="8">
        <v>0</v>
      </c>
      <c r="AC1922" s="8">
        <v>0</v>
      </c>
      <c r="AF1922" s="8">
        <v>0</v>
      </c>
      <c r="AN1922" s="8">
        <v>0</v>
      </c>
      <c r="AO1922" s="8">
        <v>3</v>
      </c>
    </row>
    <row r="1923" spans="1:41" x14ac:dyDescent="0.25">
      <c r="A1923" s="6" t="str">
        <f>"522-2026000127"</f>
        <v>522-2026000127</v>
      </c>
      <c r="B1923" s="6" t="str">
        <f t="shared" si="465"/>
        <v>EL CORTE</v>
      </c>
      <c r="C1923" s="7">
        <v>46034</v>
      </c>
      <c r="D1923" s="7">
        <v>46037</v>
      </c>
      <c r="E1923" s="8">
        <v>1</v>
      </c>
      <c r="F1923" s="6" t="str">
        <f>"94795301_07026"</f>
        <v>94795301_07026</v>
      </c>
      <c r="G1923" s="6" t="str">
        <f t="shared" si="466"/>
        <v>F310631650000000</v>
      </c>
      <c r="H1923" s="6" t="str">
        <f t="shared" si="467"/>
        <v>PLAR 6316 FD - 500 g</v>
      </c>
      <c r="I1923" s="6" t="str">
        <f>"200901"</f>
        <v>200901</v>
      </c>
      <c r="J1923" s="6" t="str">
        <f>"ROSA 901"</f>
        <v>ROSA 901</v>
      </c>
      <c r="K1923" s="6" t="str">
        <f>"2020"</f>
        <v>2020</v>
      </c>
      <c r="L1923" s="6" t="str">
        <f>"Lençóis"</f>
        <v>Lençóis</v>
      </c>
      <c r="M1923" s="6" t="str">
        <f>"100x150"</f>
        <v>100x150</v>
      </c>
      <c r="N1923" s="6" t="str">
        <f>"5602972281125"</f>
        <v>5602972281125</v>
      </c>
      <c r="O1923" s="8">
        <v>3</v>
      </c>
      <c r="R1923" s="8">
        <v>0</v>
      </c>
      <c r="U1923" s="8">
        <v>0</v>
      </c>
      <c r="X1923" s="8">
        <v>0</v>
      </c>
      <c r="Z1923" s="8">
        <v>0</v>
      </c>
      <c r="AC1923" s="8">
        <v>0</v>
      </c>
      <c r="AF1923" s="8">
        <v>0</v>
      </c>
      <c r="AN1923" s="8">
        <v>0</v>
      </c>
      <c r="AO1923" s="8">
        <v>3</v>
      </c>
    </row>
    <row r="1924" spans="1:41" x14ac:dyDescent="0.25">
      <c r="A1924" s="6" t="str">
        <f>"522-2026000128"</f>
        <v>522-2026000128</v>
      </c>
      <c r="B1924" s="6" t="str">
        <f t="shared" si="465"/>
        <v>EL CORTE</v>
      </c>
      <c r="C1924" s="7">
        <v>46034</v>
      </c>
      <c r="D1924" s="7">
        <v>46037</v>
      </c>
      <c r="E1924" s="8">
        <v>1</v>
      </c>
      <c r="F1924" s="6" t="str">
        <f>"94794701_07026"</f>
        <v>94794701_07026</v>
      </c>
      <c r="G1924" s="6" t="str">
        <f t="shared" si="466"/>
        <v>F310631650000000</v>
      </c>
      <c r="H1924" s="6" t="str">
        <f t="shared" si="467"/>
        <v>PLAR 6316 FD - 500 g</v>
      </c>
      <c r="I1924" s="6" t="str">
        <f>"202575"</f>
        <v>202575</v>
      </c>
      <c r="J1924" s="6" t="str">
        <f>"BEGE 2575"</f>
        <v>BEGE 2575</v>
      </c>
      <c r="K1924" s="6" t="str">
        <f>"0520"</f>
        <v>0520</v>
      </c>
      <c r="L1924" s="6" t="str">
        <f>"Toalhetes"</f>
        <v>Toalhetes</v>
      </c>
      <c r="M1924" s="6" t="str">
        <f>"30x50"</f>
        <v>30x50</v>
      </c>
      <c r="N1924" s="6" t="str">
        <f>"5602972281071"</f>
        <v>5602972281071</v>
      </c>
      <c r="O1924" s="8">
        <v>6</v>
      </c>
      <c r="R1924" s="8">
        <v>0</v>
      </c>
      <c r="U1924" s="8">
        <v>0</v>
      </c>
      <c r="X1924" s="8">
        <v>0</v>
      </c>
      <c r="Z1924" s="8">
        <v>0</v>
      </c>
      <c r="AC1924" s="8">
        <v>0</v>
      </c>
      <c r="AF1924" s="8">
        <v>0</v>
      </c>
      <c r="AN1924" s="8">
        <v>6</v>
      </c>
      <c r="AO1924" s="8">
        <v>0</v>
      </c>
    </row>
    <row r="1925" spans="1:41" x14ac:dyDescent="0.25">
      <c r="A1925" s="6" t="str">
        <f>"522-2026000128"</f>
        <v>522-2026000128</v>
      </c>
      <c r="B1925" s="6" t="str">
        <f t="shared" si="465"/>
        <v>EL CORTE</v>
      </c>
      <c r="C1925" s="7">
        <v>46034</v>
      </c>
      <c r="D1925" s="7">
        <v>46037</v>
      </c>
      <c r="E1925" s="8">
        <v>2</v>
      </c>
      <c r="F1925" s="6" t="str">
        <f>"94794701_07026"</f>
        <v>94794701_07026</v>
      </c>
      <c r="G1925" s="6" t="str">
        <f t="shared" si="466"/>
        <v>F310631650000000</v>
      </c>
      <c r="H1925" s="6" t="str">
        <f t="shared" si="467"/>
        <v>PLAR 6316 FD - 500 g</v>
      </c>
      <c r="I1925" s="6" t="str">
        <f>"200510"</f>
        <v>200510</v>
      </c>
      <c r="J1925" s="6" t="str">
        <f>"VERDE 510"</f>
        <v>VERDE 510</v>
      </c>
      <c r="K1925" s="6" t="str">
        <f>"2020"</f>
        <v>2020</v>
      </c>
      <c r="L1925" s="6" t="str">
        <f>"Lençóis"</f>
        <v>Lençóis</v>
      </c>
      <c r="M1925" s="6" t="str">
        <f>"100x150"</f>
        <v>100x150</v>
      </c>
      <c r="N1925" s="6" t="str">
        <f>"5602972281156"</f>
        <v>5602972281156</v>
      </c>
      <c r="O1925" s="8">
        <v>3</v>
      </c>
      <c r="R1925" s="8">
        <v>0</v>
      </c>
      <c r="U1925" s="8">
        <v>0</v>
      </c>
      <c r="X1925" s="8">
        <v>0</v>
      </c>
      <c r="Z1925" s="8">
        <v>0</v>
      </c>
      <c r="AC1925" s="8">
        <v>0</v>
      </c>
      <c r="AF1925" s="8">
        <v>0</v>
      </c>
      <c r="AN1925" s="8">
        <v>0</v>
      </c>
      <c r="AO1925" s="8">
        <v>3</v>
      </c>
    </row>
    <row r="1926" spans="1:41" x14ac:dyDescent="0.25">
      <c r="A1926" s="6" t="str">
        <f>"522-2026000129"</f>
        <v>522-2026000129</v>
      </c>
      <c r="B1926" s="6" t="str">
        <f t="shared" si="465"/>
        <v>EL CORTE</v>
      </c>
      <c r="C1926" s="7">
        <v>46034</v>
      </c>
      <c r="D1926" s="7">
        <v>46037</v>
      </c>
      <c r="E1926" s="8">
        <v>1</v>
      </c>
      <c r="F1926" s="6" t="str">
        <f>"94795001_07026"</f>
        <v>94795001_07026</v>
      </c>
      <c r="G1926" s="6" t="str">
        <f t="shared" si="466"/>
        <v>F310631650000000</v>
      </c>
      <c r="H1926" s="6" t="str">
        <f t="shared" si="467"/>
        <v>PLAR 6316 FD - 500 g</v>
      </c>
      <c r="I1926" s="6" t="str">
        <f>"200901"</f>
        <v>200901</v>
      </c>
      <c r="J1926" s="6" t="str">
        <f>"ROSA 901"</f>
        <v>ROSA 901</v>
      </c>
      <c r="K1926" s="6" t="str">
        <f>"0520"</f>
        <v>0520</v>
      </c>
      <c r="L1926" s="6" t="str">
        <f>"Toalhetes"</f>
        <v>Toalhetes</v>
      </c>
      <c r="M1926" s="6" t="str">
        <f>"30x50"</f>
        <v>30x50</v>
      </c>
      <c r="N1926" s="6" t="str">
        <f>"5602972281101"</f>
        <v>5602972281101</v>
      </c>
      <c r="O1926" s="8">
        <v>6</v>
      </c>
      <c r="R1926" s="8">
        <v>0</v>
      </c>
      <c r="U1926" s="8">
        <v>0</v>
      </c>
      <c r="X1926" s="8">
        <v>0</v>
      </c>
      <c r="Z1926" s="8">
        <v>0</v>
      </c>
      <c r="AC1926" s="8">
        <v>0</v>
      </c>
      <c r="AF1926" s="8">
        <v>0</v>
      </c>
      <c r="AN1926" s="8">
        <v>6</v>
      </c>
      <c r="AO1926" s="8">
        <v>0</v>
      </c>
    </row>
    <row r="1927" spans="1:41" x14ac:dyDescent="0.25">
      <c r="A1927" s="6" t="str">
        <f>"522-2026000129"</f>
        <v>522-2026000129</v>
      </c>
      <c r="B1927" s="6" t="str">
        <f t="shared" ref="B1927:B1990" si="474">"EL CORTE"</f>
        <v>EL CORTE</v>
      </c>
      <c r="C1927" s="7">
        <v>46034</v>
      </c>
      <c r="D1927" s="7">
        <v>46037</v>
      </c>
      <c r="E1927" s="8">
        <v>2</v>
      </c>
      <c r="F1927" s="6" t="str">
        <f>"94795001_07026"</f>
        <v>94795001_07026</v>
      </c>
      <c r="G1927" s="6" t="str">
        <f t="shared" ref="G1927:G1990" si="475">"F310631650000000"</f>
        <v>F310631650000000</v>
      </c>
      <c r="H1927" s="6" t="str">
        <f t="shared" ref="H1927:H1990" si="476">"PLAR 6316 FD - 500 g"</f>
        <v>PLAR 6316 FD - 500 g</v>
      </c>
      <c r="I1927" s="6" t="str">
        <f>"200510"</f>
        <v>200510</v>
      </c>
      <c r="J1927" s="6" t="str">
        <f>"VERDE 510"</f>
        <v>VERDE 510</v>
      </c>
      <c r="K1927" s="6" t="str">
        <f>"1024"</f>
        <v>1024</v>
      </c>
      <c r="L1927" s="6" t="str">
        <f>"Toalhas"</f>
        <v>Toalhas</v>
      </c>
      <c r="M1927" s="6" t="str">
        <f>"50x100"</f>
        <v>50x100</v>
      </c>
      <c r="N1927" s="6" t="str">
        <f>"5602972281149"</f>
        <v>5602972281149</v>
      </c>
      <c r="O1927" s="8">
        <v>6</v>
      </c>
      <c r="R1927" s="8">
        <v>0</v>
      </c>
      <c r="U1927" s="8">
        <v>0</v>
      </c>
      <c r="X1927" s="8">
        <v>0</v>
      </c>
      <c r="Z1927" s="8">
        <v>0</v>
      </c>
      <c r="AC1927" s="8">
        <v>0</v>
      </c>
      <c r="AF1927" s="8">
        <v>0</v>
      </c>
      <c r="AN1927" s="8">
        <v>6</v>
      </c>
      <c r="AO1927" s="8">
        <v>0</v>
      </c>
    </row>
    <row r="1928" spans="1:41" x14ac:dyDescent="0.25">
      <c r="A1928" s="6" t="str">
        <f>"522-2026000129"</f>
        <v>522-2026000129</v>
      </c>
      <c r="B1928" s="6" t="str">
        <f t="shared" si="474"/>
        <v>EL CORTE</v>
      </c>
      <c r="C1928" s="7">
        <v>46034</v>
      </c>
      <c r="D1928" s="7">
        <v>46037</v>
      </c>
      <c r="E1928" s="8">
        <v>3</v>
      </c>
      <c r="F1928" s="6" t="str">
        <f>"94795001_07026"</f>
        <v>94795001_07026</v>
      </c>
      <c r="G1928" s="6" t="str">
        <f t="shared" si="475"/>
        <v>F310631650000000</v>
      </c>
      <c r="H1928" s="6" t="str">
        <f t="shared" si="476"/>
        <v>PLAR 6316 FD - 500 g</v>
      </c>
      <c r="I1928" s="6" t="str">
        <f>"200510"</f>
        <v>200510</v>
      </c>
      <c r="J1928" s="6" t="str">
        <f>"VERDE 510"</f>
        <v>VERDE 510</v>
      </c>
      <c r="K1928" s="6" t="str">
        <f>"2020"</f>
        <v>2020</v>
      </c>
      <c r="L1928" s="6" t="str">
        <f>"Lençóis"</f>
        <v>Lençóis</v>
      </c>
      <c r="M1928" s="6" t="str">
        <f>"100x150"</f>
        <v>100x150</v>
      </c>
      <c r="N1928" s="6" t="str">
        <f>"5602972281156"</f>
        <v>5602972281156</v>
      </c>
      <c r="O1928" s="8">
        <v>3</v>
      </c>
      <c r="R1928" s="8">
        <v>0</v>
      </c>
      <c r="U1928" s="8">
        <v>0</v>
      </c>
      <c r="X1928" s="8">
        <v>0</v>
      </c>
      <c r="Z1928" s="8">
        <v>0</v>
      </c>
      <c r="AC1928" s="8">
        <v>0</v>
      </c>
      <c r="AF1928" s="8">
        <v>0</v>
      </c>
      <c r="AN1928" s="8">
        <v>0</v>
      </c>
      <c r="AO1928" s="8">
        <v>3</v>
      </c>
    </row>
    <row r="1929" spans="1:41" x14ac:dyDescent="0.25">
      <c r="A1929" s="6" t="str">
        <f>"522-2026000130"</f>
        <v>522-2026000130</v>
      </c>
      <c r="B1929" s="6" t="str">
        <f t="shared" si="474"/>
        <v>EL CORTE</v>
      </c>
      <c r="C1929" s="7">
        <v>46034</v>
      </c>
      <c r="D1929" s="7">
        <v>46037</v>
      </c>
      <c r="E1929" s="8">
        <v>1</v>
      </c>
      <c r="F1929" s="6" t="str">
        <f>"94793301_07026"</f>
        <v>94793301_07026</v>
      </c>
      <c r="G1929" s="6" t="str">
        <f t="shared" si="475"/>
        <v>F310631650000000</v>
      </c>
      <c r="H1929" s="6" t="str">
        <f t="shared" si="476"/>
        <v>PLAR 6316 FD - 500 g</v>
      </c>
      <c r="I1929" s="6" t="str">
        <f>"201855"</f>
        <v>201855</v>
      </c>
      <c r="J1929" s="6" t="str">
        <f>"AZUL 1855"</f>
        <v>AZUL 1855</v>
      </c>
      <c r="K1929" s="6" t="str">
        <f>"2020"</f>
        <v>2020</v>
      </c>
      <c r="L1929" s="6" t="str">
        <f>"Lençóis"</f>
        <v>Lençóis</v>
      </c>
      <c r="M1929" s="6" t="str">
        <f>"100x150"</f>
        <v>100x150</v>
      </c>
      <c r="N1929" s="6" t="str">
        <f>"5602972281064"</f>
        <v>5602972281064</v>
      </c>
      <c r="O1929" s="8">
        <v>3</v>
      </c>
      <c r="R1929" s="8">
        <v>0</v>
      </c>
      <c r="U1929" s="8">
        <v>0</v>
      </c>
      <c r="X1929" s="8">
        <v>0</v>
      </c>
      <c r="Z1929" s="8">
        <v>0</v>
      </c>
      <c r="AC1929" s="8">
        <v>0</v>
      </c>
      <c r="AF1929" s="8">
        <v>0</v>
      </c>
      <c r="AN1929" s="8">
        <v>0</v>
      </c>
      <c r="AO1929" s="8">
        <v>3</v>
      </c>
    </row>
    <row r="1930" spans="1:41" x14ac:dyDescent="0.25">
      <c r="A1930" s="6" t="str">
        <f>"522-2026000130"</f>
        <v>522-2026000130</v>
      </c>
      <c r="B1930" s="6" t="str">
        <f t="shared" si="474"/>
        <v>EL CORTE</v>
      </c>
      <c r="C1930" s="7">
        <v>46034</v>
      </c>
      <c r="D1930" s="7">
        <v>46037</v>
      </c>
      <c r="E1930" s="8">
        <v>2</v>
      </c>
      <c r="F1930" s="6" t="str">
        <f>"94793301_07026"</f>
        <v>94793301_07026</v>
      </c>
      <c r="G1930" s="6" t="str">
        <f t="shared" si="475"/>
        <v>F310631650000000</v>
      </c>
      <c r="H1930" s="6" t="str">
        <f t="shared" si="476"/>
        <v>PLAR 6316 FD - 500 g</v>
      </c>
      <c r="I1930" s="6" t="str">
        <f>"200510"</f>
        <v>200510</v>
      </c>
      <c r="J1930" s="6" t="str">
        <f>"VERDE 510"</f>
        <v>VERDE 510</v>
      </c>
      <c r="K1930" s="6" t="str">
        <f>"1024"</f>
        <v>1024</v>
      </c>
      <c r="L1930" s="6" t="str">
        <f>"Toalhas"</f>
        <v>Toalhas</v>
      </c>
      <c r="M1930" s="6" t="str">
        <f>"50x100"</f>
        <v>50x100</v>
      </c>
      <c r="N1930" s="6" t="str">
        <f>"5602972281149"</f>
        <v>5602972281149</v>
      </c>
      <c r="O1930" s="8">
        <v>6</v>
      </c>
      <c r="R1930" s="8">
        <v>0</v>
      </c>
      <c r="U1930" s="8">
        <v>0</v>
      </c>
      <c r="X1930" s="8">
        <v>0</v>
      </c>
      <c r="Z1930" s="8">
        <v>0</v>
      </c>
      <c r="AC1930" s="8">
        <v>0</v>
      </c>
      <c r="AF1930" s="8">
        <v>0</v>
      </c>
      <c r="AN1930" s="8">
        <v>6</v>
      </c>
      <c r="AO1930" s="8">
        <v>0</v>
      </c>
    </row>
    <row r="1931" spans="1:41" x14ac:dyDescent="0.25">
      <c r="A1931" s="6" t="str">
        <f>"522-2026000130"</f>
        <v>522-2026000130</v>
      </c>
      <c r="B1931" s="6" t="str">
        <f t="shared" si="474"/>
        <v>EL CORTE</v>
      </c>
      <c r="C1931" s="7">
        <v>46034</v>
      </c>
      <c r="D1931" s="7">
        <v>46037</v>
      </c>
      <c r="E1931" s="8">
        <v>3</v>
      </c>
      <c r="F1931" s="6" t="str">
        <f>"94793301_07026"</f>
        <v>94793301_07026</v>
      </c>
      <c r="G1931" s="6" t="str">
        <f t="shared" si="475"/>
        <v>F310631650000000</v>
      </c>
      <c r="H1931" s="6" t="str">
        <f t="shared" si="476"/>
        <v>PLAR 6316 FD - 500 g</v>
      </c>
      <c r="I1931" s="6" t="str">
        <f>"200510"</f>
        <v>200510</v>
      </c>
      <c r="J1931" s="6" t="str">
        <f>"VERDE 510"</f>
        <v>VERDE 510</v>
      </c>
      <c r="K1931" s="6" t="str">
        <f>"2020"</f>
        <v>2020</v>
      </c>
      <c r="L1931" s="6" t="str">
        <f>"Lençóis"</f>
        <v>Lençóis</v>
      </c>
      <c r="M1931" s="6" t="str">
        <f>"100x150"</f>
        <v>100x150</v>
      </c>
      <c r="N1931" s="6" t="str">
        <f>"5602972281156"</f>
        <v>5602972281156</v>
      </c>
      <c r="O1931" s="8">
        <v>3</v>
      </c>
      <c r="R1931" s="8">
        <v>0</v>
      </c>
      <c r="U1931" s="8">
        <v>0</v>
      </c>
      <c r="X1931" s="8">
        <v>0</v>
      </c>
      <c r="Z1931" s="8">
        <v>0</v>
      </c>
      <c r="AC1931" s="8">
        <v>0</v>
      </c>
      <c r="AF1931" s="8">
        <v>0</v>
      </c>
      <c r="AN1931" s="8">
        <v>0</v>
      </c>
      <c r="AO1931" s="8">
        <v>3</v>
      </c>
    </row>
    <row r="1932" spans="1:41" x14ac:dyDescent="0.25">
      <c r="A1932" s="6" t="str">
        <f>"522-2026000131"</f>
        <v>522-2026000131</v>
      </c>
      <c r="B1932" s="6" t="str">
        <f t="shared" si="474"/>
        <v>EL CORTE</v>
      </c>
      <c r="C1932" s="7">
        <v>46034</v>
      </c>
      <c r="D1932" s="7">
        <v>46037</v>
      </c>
      <c r="E1932" s="8">
        <v>1</v>
      </c>
      <c r="F1932" s="6" t="str">
        <f>"94793101_07026"</f>
        <v>94793101_07026</v>
      </c>
      <c r="G1932" s="6" t="str">
        <f t="shared" si="475"/>
        <v>F310631650000000</v>
      </c>
      <c r="H1932" s="6" t="str">
        <f t="shared" si="476"/>
        <v>PLAR 6316 FD - 500 g</v>
      </c>
      <c r="I1932" s="6" t="str">
        <f>"202575"</f>
        <v>202575</v>
      </c>
      <c r="J1932" s="6" t="str">
        <f>"BEGE 2575"</f>
        <v>BEGE 2575</v>
      </c>
      <c r="K1932" s="6" t="str">
        <f>"2020"</f>
        <v>2020</v>
      </c>
      <c r="L1932" s="6" t="str">
        <f>"Lençóis"</f>
        <v>Lençóis</v>
      </c>
      <c r="M1932" s="6" t="str">
        <f>"100x150"</f>
        <v>100x150</v>
      </c>
      <c r="N1932" s="6" t="str">
        <f>"5602972281095"</f>
        <v>5602972281095</v>
      </c>
      <c r="O1932" s="8">
        <v>3</v>
      </c>
      <c r="R1932" s="8">
        <v>0</v>
      </c>
      <c r="U1932" s="8">
        <v>0</v>
      </c>
      <c r="X1932" s="8">
        <v>0</v>
      </c>
      <c r="Z1932" s="8">
        <v>0</v>
      </c>
      <c r="AC1932" s="8">
        <v>0</v>
      </c>
      <c r="AF1932" s="8">
        <v>0</v>
      </c>
      <c r="AN1932" s="8">
        <v>0</v>
      </c>
      <c r="AO1932" s="8">
        <v>3</v>
      </c>
    </row>
    <row r="1933" spans="1:41" x14ac:dyDescent="0.25">
      <c r="A1933" s="6" t="str">
        <f>"522-2026000132"</f>
        <v>522-2026000132</v>
      </c>
      <c r="B1933" s="6" t="str">
        <f t="shared" si="474"/>
        <v>EL CORTE</v>
      </c>
      <c r="C1933" s="7">
        <v>46034</v>
      </c>
      <c r="D1933" s="7">
        <v>46037</v>
      </c>
      <c r="E1933" s="8">
        <v>1</v>
      </c>
      <c r="F1933" s="6" t="str">
        <f>"94794501_07026"</f>
        <v>94794501_07026</v>
      </c>
      <c r="G1933" s="6" t="str">
        <f t="shared" si="475"/>
        <v>F310631650000000</v>
      </c>
      <c r="H1933" s="6" t="str">
        <f t="shared" si="476"/>
        <v>PLAR 6316 FD - 500 g</v>
      </c>
      <c r="I1933" s="6" t="str">
        <f>"201855"</f>
        <v>201855</v>
      </c>
      <c r="J1933" s="6" t="str">
        <f>"AZUL 1855"</f>
        <v>AZUL 1855</v>
      </c>
      <c r="K1933" s="6" t="str">
        <f>"1024"</f>
        <v>1024</v>
      </c>
      <c r="L1933" s="6" t="str">
        <f>"Toalhas"</f>
        <v>Toalhas</v>
      </c>
      <c r="M1933" s="6" t="str">
        <f>"50x100"</f>
        <v>50x100</v>
      </c>
      <c r="N1933" s="6" t="str">
        <f>"5602972281057"</f>
        <v>5602972281057</v>
      </c>
      <c r="O1933" s="8">
        <v>6</v>
      </c>
      <c r="R1933" s="8">
        <v>0</v>
      </c>
      <c r="U1933" s="8">
        <v>0</v>
      </c>
      <c r="X1933" s="8">
        <v>0</v>
      </c>
      <c r="Z1933" s="8">
        <v>0</v>
      </c>
      <c r="AC1933" s="8">
        <v>0</v>
      </c>
      <c r="AF1933" s="8">
        <v>0</v>
      </c>
      <c r="AN1933" s="8">
        <v>6</v>
      </c>
      <c r="AO1933" s="8">
        <v>0</v>
      </c>
    </row>
    <row r="1934" spans="1:41" x14ac:dyDescent="0.25">
      <c r="A1934" s="6" t="str">
        <f>"522-2026000132"</f>
        <v>522-2026000132</v>
      </c>
      <c r="B1934" s="6" t="str">
        <f t="shared" si="474"/>
        <v>EL CORTE</v>
      </c>
      <c r="C1934" s="7">
        <v>46034</v>
      </c>
      <c r="D1934" s="7">
        <v>46037</v>
      </c>
      <c r="E1934" s="8">
        <v>2</v>
      </c>
      <c r="F1934" s="6" t="str">
        <f>"94794501_07026"</f>
        <v>94794501_07026</v>
      </c>
      <c r="G1934" s="6" t="str">
        <f t="shared" si="475"/>
        <v>F310631650000000</v>
      </c>
      <c r="H1934" s="6" t="str">
        <f t="shared" si="476"/>
        <v>PLAR 6316 FD - 500 g</v>
      </c>
      <c r="I1934" s="6" t="str">
        <f>"201855"</f>
        <v>201855</v>
      </c>
      <c r="J1934" s="6" t="str">
        <f>"AZUL 1855"</f>
        <v>AZUL 1855</v>
      </c>
      <c r="K1934" s="6" t="str">
        <f>"2020"</f>
        <v>2020</v>
      </c>
      <c r="L1934" s="6" t="str">
        <f>"Lençóis"</f>
        <v>Lençóis</v>
      </c>
      <c r="M1934" s="6" t="str">
        <f>"100x150"</f>
        <v>100x150</v>
      </c>
      <c r="N1934" s="6" t="str">
        <f>"5602972281064"</f>
        <v>5602972281064</v>
      </c>
      <c r="O1934" s="8">
        <v>3</v>
      </c>
      <c r="R1934" s="8">
        <v>0</v>
      </c>
      <c r="U1934" s="8">
        <v>0</v>
      </c>
      <c r="X1934" s="8">
        <v>0</v>
      </c>
      <c r="Z1934" s="8">
        <v>0</v>
      </c>
      <c r="AC1934" s="8">
        <v>0</v>
      </c>
      <c r="AF1934" s="8">
        <v>0</v>
      </c>
      <c r="AN1934" s="8">
        <v>0</v>
      </c>
      <c r="AO1934" s="8">
        <v>3</v>
      </c>
    </row>
    <row r="1935" spans="1:41" x14ac:dyDescent="0.25">
      <c r="A1935" s="6" t="str">
        <f>"522-2026000132"</f>
        <v>522-2026000132</v>
      </c>
      <c r="B1935" s="6" t="str">
        <f t="shared" si="474"/>
        <v>EL CORTE</v>
      </c>
      <c r="C1935" s="7">
        <v>46034</v>
      </c>
      <c r="D1935" s="7">
        <v>46037</v>
      </c>
      <c r="E1935" s="8">
        <v>3</v>
      </c>
      <c r="F1935" s="6" t="str">
        <f>"94794501_07026"</f>
        <v>94794501_07026</v>
      </c>
      <c r="G1935" s="6" t="str">
        <f t="shared" si="475"/>
        <v>F310631650000000</v>
      </c>
      <c r="H1935" s="6" t="str">
        <f t="shared" si="476"/>
        <v>PLAR 6316 FD - 500 g</v>
      </c>
      <c r="I1935" s="6" t="str">
        <f>"202575"</f>
        <v>202575</v>
      </c>
      <c r="J1935" s="6" t="str">
        <f>"BEGE 2575"</f>
        <v>BEGE 2575</v>
      </c>
      <c r="K1935" s="6" t="str">
        <f>"2020"</f>
        <v>2020</v>
      </c>
      <c r="L1935" s="6" t="str">
        <f>"Lençóis"</f>
        <v>Lençóis</v>
      </c>
      <c r="M1935" s="6" t="str">
        <f>"100x150"</f>
        <v>100x150</v>
      </c>
      <c r="N1935" s="6" t="str">
        <f>"5602972281095"</f>
        <v>5602972281095</v>
      </c>
      <c r="O1935" s="8">
        <v>3</v>
      </c>
      <c r="R1935" s="8">
        <v>0</v>
      </c>
      <c r="U1935" s="8">
        <v>0</v>
      </c>
      <c r="X1935" s="8">
        <v>0</v>
      </c>
      <c r="Z1935" s="8">
        <v>0</v>
      </c>
      <c r="AC1935" s="8">
        <v>0</v>
      </c>
      <c r="AF1935" s="8">
        <v>0</v>
      </c>
      <c r="AN1935" s="8">
        <v>0</v>
      </c>
      <c r="AO1935" s="8">
        <v>3</v>
      </c>
    </row>
    <row r="1936" spans="1:41" x14ac:dyDescent="0.25">
      <c r="A1936" s="6" t="str">
        <f>"522-2026000133"</f>
        <v>522-2026000133</v>
      </c>
      <c r="B1936" s="6" t="str">
        <f t="shared" si="474"/>
        <v>EL CORTE</v>
      </c>
      <c r="C1936" s="7">
        <v>46034</v>
      </c>
      <c r="D1936" s="7">
        <v>46037</v>
      </c>
      <c r="E1936" s="8">
        <v>1</v>
      </c>
      <c r="F1936" s="6" t="str">
        <f>"94795101_07026"</f>
        <v>94795101_07026</v>
      </c>
      <c r="G1936" s="6" t="str">
        <f t="shared" si="475"/>
        <v>F310631650000000</v>
      </c>
      <c r="H1936" s="6" t="str">
        <f t="shared" si="476"/>
        <v>PLAR 6316 FD - 500 g</v>
      </c>
      <c r="I1936" s="6" t="str">
        <f>"201855"</f>
        <v>201855</v>
      </c>
      <c r="J1936" s="6" t="str">
        <f>"AZUL 1855"</f>
        <v>AZUL 1855</v>
      </c>
      <c r="K1936" s="6" t="str">
        <f>"2020"</f>
        <v>2020</v>
      </c>
      <c r="L1936" s="6" t="str">
        <f>"Lençóis"</f>
        <v>Lençóis</v>
      </c>
      <c r="M1936" s="6" t="str">
        <f>"100x150"</f>
        <v>100x150</v>
      </c>
      <c r="N1936" s="6" t="str">
        <f>"5602972281064"</f>
        <v>5602972281064</v>
      </c>
      <c r="O1936" s="8">
        <v>3</v>
      </c>
      <c r="R1936" s="8">
        <v>0</v>
      </c>
      <c r="U1936" s="8">
        <v>0</v>
      </c>
      <c r="X1936" s="8">
        <v>0</v>
      </c>
      <c r="Z1936" s="8">
        <v>0</v>
      </c>
      <c r="AC1936" s="8">
        <v>0</v>
      </c>
      <c r="AF1936" s="8">
        <v>0</v>
      </c>
      <c r="AN1936" s="8">
        <v>0</v>
      </c>
      <c r="AO1936" s="8">
        <v>3</v>
      </c>
    </row>
    <row r="1937" spans="1:41" x14ac:dyDescent="0.25">
      <c r="A1937" s="6" t="str">
        <f>"522-2026000133"</f>
        <v>522-2026000133</v>
      </c>
      <c r="B1937" s="6" t="str">
        <f t="shared" si="474"/>
        <v>EL CORTE</v>
      </c>
      <c r="C1937" s="7">
        <v>46034</v>
      </c>
      <c r="D1937" s="7">
        <v>46037</v>
      </c>
      <c r="E1937" s="8">
        <v>2</v>
      </c>
      <c r="F1937" s="6" t="str">
        <f>"94795101_07026"</f>
        <v>94795101_07026</v>
      </c>
      <c r="G1937" s="6" t="str">
        <f t="shared" si="475"/>
        <v>F310631650000000</v>
      </c>
      <c r="H1937" s="6" t="str">
        <f t="shared" si="476"/>
        <v>PLAR 6316 FD - 500 g</v>
      </c>
      <c r="I1937" s="6" t="str">
        <f>"200901"</f>
        <v>200901</v>
      </c>
      <c r="J1937" s="6" t="str">
        <f>"ROSA 901"</f>
        <v>ROSA 901</v>
      </c>
      <c r="K1937" s="6" t="str">
        <f>"2020"</f>
        <v>2020</v>
      </c>
      <c r="L1937" s="6" t="str">
        <f>"Lençóis"</f>
        <v>Lençóis</v>
      </c>
      <c r="M1937" s="6" t="str">
        <f>"100x150"</f>
        <v>100x150</v>
      </c>
      <c r="N1937" s="6" t="str">
        <f>"5602972281125"</f>
        <v>5602972281125</v>
      </c>
      <c r="O1937" s="8">
        <v>6</v>
      </c>
      <c r="R1937" s="8">
        <v>0</v>
      </c>
      <c r="U1937" s="8">
        <v>0</v>
      </c>
      <c r="X1937" s="8">
        <v>0</v>
      </c>
      <c r="Z1937" s="8">
        <v>0</v>
      </c>
      <c r="AC1937" s="8">
        <v>0</v>
      </c>
      <c r="AF1937" s="8">
        <v>0</v>
      </c>
      <c r="AN1937" s="8">
        <v>0</v>
      </c>
      <c r="AO1937" s="8">
        <v>6</v>
      </c>
    </row>
    <row r="1938" spans="1:41" x14ac:dyDescent="0.25">
      <c r="A1938" s="6" t="str">
        <f>"522-2026000133"</f>
        <v>522-2026000133</v>
      </c>
      <c r="B1938" s="6" t="str">
        <f t="shared" si="474"/>
        <v>EL CORTE</v>
      </c>
      <c r="C1938" s="7">
        <v>46034</v>
      </c>
      <c r="D1938" s="7">
        <v>46037</v>
      </c>
      <c r="E1938" s="8">
        <v>3</v>
      </c>
      <c r="F1938" s="6" t="str">
        <f>"94795101_07026"</f>
        <v>94795101_07026</v>
      </c>
      <c r="G1938" s="6" t="str">
        <f t="shared" si="475"/>
        <v>F310631650000000</v>
      </c>
      <c r="H1938" s="6" t="str">
        <f t="shared" si="476"/>
        <v>PLAR 6316 FD - 500 g</v>
      </c>
      <c r="I1938" s="6" t="str">
        <f>"200510"</f>
        <v>200510</v>
      </c>
      <c r="J1938" s="6" t="str">
        <f>"VERDE 510"</f>
        <v>VERDE 510</v>
      </c>
      <c r="K1938" s="6" t="str">
        <f>"1024"</f>
        <v>1024</v>
      </c>
      <c r="L1938" s="6" t="str">
        <f>"Toalhas"</f>
        <v>Toalhas</v>
      </c>
      <c r="M1938" s="6" t="str">
        <f>"50x100"</f>
        <v>50x100</v>
      </c>
      <c r="N1938" s="6" t="str">
        <f>"5602972281149"</f>
        <v>5602972281149</v>
      </c>
      <c r="O1938" s="8">
        <v>6</v>
      </c>
      <c r="R1938" s="8">
        <v>0</v>
      </c>
      <c r="U1938" s="8">
        <v>0</v>
      </c>
      <c r="X1938" s="8">
        <v>0</v>
      </c>
      <c r="Z1938" s="8">
        <v>0</v>
      </c>
      <c r="AC1938" s="8">
        <v>0</v>
      </c>
      <c r="AF1938" s="8">
        <v>0</v>
      </c>
      <c r="AN1938" s="8">
        <v>6</v>
      </c>
      <c r="AO1938" s="8">
        <v>0</v>
      </c>
    </row>
    <row r="1939" spans="1:41" x14ac:dyDescent="0.25">
      <c r="A1939" s="6" t="str">
        <f>"522-2026000134"</f>
        <v>522-2026000134</v>
      </c>
      <c r="B1939" s="6" t="str">
        <f t="shared" si="474"/>
        <v>EL CORTE</v>
      </c>
      <c r="C1939" s="7">
        <v>46034</v>
      </c>
      <c r="D1939" s="7">
        <v>46037</v>
      </c>
      <c r="E1939" s="8">
        <v>1</v>
      </c>
      <c r="F1939" s="6" t="str">
        <f>"94792601_07026"</f>
        <v>94792601_07026</v>
      </c>
      <c r="G1939" s="6" t="str">
        <f t="shared" si="475"/>
        <v>F310631650000000</v>
      </c>
      <c r="H1939" s="6" t="str">
        <f t="shared" si="476"/>
        <v>PLAR 6316 FD - 500 g</v>
      </c>
      <c r="I1939" s="6" t="str">
        <f>"202575"</f>
        <v>202575</v>
      </c>
      <c r="J1939" s="6" t="str">
        <f>"BEGE 2575"</f>
        <v>BEGE 2575</v>
      </c>
      <c r="K1939" s="6" t="str">
        <f>"0520"</f>
        <v>0520</v>
      </c>
      <c r="L1939" s="6" t="str">
        <f>"Toalhetes"</f>
        <v>Toalhetes</v>
      </c>
      <c r="M1939" s="6" t="str">
        <f>"30x50"</f>
        <v>30x50</v>
      </c>
      <c r="N1939" s="6" t="str">
        <f>"5602972281071"</f>
        <v>5602972281071</v>
      </c>
      <c r="O1939" s="8">
        <v>6</v>
      </c>
      <c r="R1939" s="8">
        <v>0</v>
      </c>
      <c r="U1939" s="8">
        <v>0</v>
      </c>
      <c r="X1939" s="8">
        <v>0</v>
      </c>
      <c r="Z1939" s="8">
        <v>0</v>
      </c>
      <c r="AC1939" s="8">
        <v>0</v>
      </c>
      <c r="AF1939" s="8">
        <v>0</v>
      </c>
      <c r="AN1939" s="8">
        <v>6</v>
      </c>
      <c r="AO1939" s="8">
        <v>0</v>
      </c>
    </row>
    <row r="1940" spans="1:41" x14ac:dyDescent="0.25">
      <c r="A1940" s="6" t="str">
        <f t="shared" ref="A1940:A1947" si="477">"522-2026000135"</f>
        <v>522-2026000135</v>
      </c>
      <c r="B1940" s="6" t="str">
        <f t="shared" si="474"/>
        <v>EL CORTE</v>
      </c>
      <c r="C1940" s="7">
        <v>46034</v>
      </c>
      <c r="D1940" s="7">
        <v>46037</v>
      </c>
      <c r="E1940" s="8">
        <v>1</v>
      </c>
      <c r="F1940" s="6" t="str">
        <f t="shared" ref="F1940:F1947" si="478">"94795701_07026"</f>
        <v>94795701_07026</v>
      </c>
      <c r="G1940" s="6" t="str">
        <f t="shared" si="475"/>
        <v>F310631650000000</v>
      </c>
      <c r="H1940" s="6" t="str">
        <f t="shared" si="476"/>
        <v>PLAR 6316 FD - 500 g</v>
      </c>
      <c r="I1940" s="6" t="str">
        <f>"201855"</f>
        <v>201855</v>
      </c>
      <c r="J1940" s="6" t="str">
        <f>"AZUL 1855"</f>
        <v>AZUL 1855</v>
      </c>
      <c r="K1940" s="6" t="str">
        <f>"0520"</f>
        <v>0520</v>
      </c>
      <c r="L1940" s="6" t="str">
        <f>"Toalhetes"</f>
        <v>Toalhetes</v>
      </c>
      <c r="M1940" s="6" t="str">
        <f>"30x50"</f>
        <v>30x50</v>
      </c>
      <c r="N1940" s="6" t="str">
        <f>"5602972281040"</f>
        <v>5602972281040</v>
      </c>
      <c r="O1940" s="8">
        <v>24</v>
      </c>
      <c r="R1940" s="8">
        <v>0</v>
      </c>
      <c r="U1940" s="8">
        <v>0</v>
      </c>
      <c r="X1940" s="8">
        <v>0</v>
      </c>
      <c r="Z1940" s="8">
        <v>0</v>
      </c>
      <c r="AC1940" s="8">
        <v>0</v>
      </c>
      <c r="AF1940" s="8">
        <v>0</v>
      </c>
      <c r="AN1940" s="8">
        <v>24</v>
      </c>
      <c r="AO1940" s="8">
        <v>0</v>
      </c>
    </row>
    <row r="1941" spans="1:41" x14ac:dyDescent="0.25">
      <c r="A1941" s="6" t="str">
        <f t="shared" si="477"/>
        <v>522-2026000135</v>
      </c>
      <c r="B1941" s="6" t="str">
        <f t="shared" si="474"/>
        <v>EL CORTE</v>
      </c>
      <c r="C1941" s="7">
        <v>46034</v>
      </c>
      <c r="D1941" s="7">
        <v>46037</v>
      </c>
      <c r="E1941" s="8">
        <v>2</v>
      </c>
      <c r="F1941" s="6" t="str">
        <f t="shared" si="478"/>
        <v>94795701_07026</v>
      </c>
      <c r="G1941" s="6" t="str">
        <f t="shared" si="475"/>
        <v>F310631650000000</v>
      </c>
      <c r="H1941" s="6" t="str">
        <f t="shared" si="476"/>
        <v>PLAR 6316 FD - 500 g</v>
      </c>
      <c r="I1941" s="6" t="str">
        <f>"201855"</f>
        <v>201855</v>
      </c>
      <c r="J1941" s="6" t="str">
        <f>"AZUL 1855"</f>
        <v>AZUL 1855</v>
      </c>
      <c r="K1941" s="6" t="str">
        <f>"1024"</f>
        <v>1024</v>
      </c>
      <c r="L1941" s="6" t="str">
        <f>"Toalhas"</f>
        <v>Toalhas</v>
      </c>
      <c r="M1941" s="6" t="str">
        <f>"50x100"</f>
        <v>50x100</v>
      </c>
      <c r="N1941" s="6" t="str">
        <f>"5602972281057"</f>
        <v>5602972281057</v>
      </c>
      <c r="O1941" s="8">
        <v>24</v>
      </c>
      <c r="R1941" s="8">
        <v>0</v>
      </c>
      <c r="U1941" s="8">
        <v>0</v>
      </c>
      <c r="X1941" s="8">
        <v>0</v>
      </c>
      <c r="Z1941" s="8">
        <v>0</v>
      </c>
      <c r="AC1941" s="8">
        <v>0</v>
      </c>
      <c r="AF1941" s="8">
        <v>0</v>
      </c>
      <c r="AN1941" s="8">
        <v>24</v>
      </c>
      <c r="AO1941" s="8">
        <v>0</v>
      </c>
    </row>
    <row r="1942" spans="1:41" x14ac:dyDescent="0.25">
      <c r="A1942" s="6" t="str">
        <f t="shared" si="477"/>
        <v>522-2026000135</v>
      </c>
      <c r="B1942" s="6" t="str">
        <f t="shared" si="474"/>
        <v>EL CORTE</v>
      </c>
      <c r="C1942" s="7">
        <v>46034</v>
      </c>
      <c r="D1942" s="7">
        <v>46037</v>
      </c>
      <c r="E1942" s="8">
        <v>3</v>
      </c>
      <c r="F1942" s="6" t="str">
        <f t="shared" si="478"/>
        <v>94795701_07026</v>
      </c>
      <c r="G1942" s="6" t="str">
        <f t="shared" si="475"/>
        <v>F310631650000000</v>
      </c>
      <c r="H1942" s="6" t="str">
        <f t="shared" si="476"/>
        <v>PLAR 6316 FD - 500 g</v>
      </c>
      <c r="I1942" s="6" t="str">
        <f>"202575"</f>
        <v>202575</v>
      </c>
      <c r="J1942" s="6" t="str">
        <f>"BEGE 2575"</f>
        <v>BEGE 2575</v>
      </c>
      <c r="K1942" s="6" t="str">
        <f>"0520"</f>
        <v>0520</v>
      </c>
      <c r="L1942" s="6" t="str">
        <f>"Toalhetes"</f>
        <v>Toalhetes</v>
      </c>
      <c r="M1942" s="6" t="str">
        <f>"30x50"</f>
        <v>30x50</v>
      </c>
      <c r="N1942" s="6" t="str">
        <f>"5602972281071"</f>
        <v>5602972281071</v>
      </c>
      <c r="O1942" s="8">
        <v>24</v>
      </c>
      <c r="R1942" s="8">
        <v>0</v>
      </c>
      <c r="U1942" s="8">
        <v>0</v>
      </c>
      <c r="X1942" s="8">
        <v>0</v>
      </c>
      <c r="Z1942" s="8">
        <v>0</v>
      </c>
      <c r="AC1942" s="8">
        <v>0</v>
      </c>
      <c r="AF1942" s="8">
        <v>0</v>
      </c>
      <c r="AN1942" s="8">
        <v>24</v>
      </c>
      <c r="AO1942" s="8">
        <v>0</v>
      </c>
    </row>
    <row r="1943" spans="1:41" x14ac:dyDescent="0.25">
      <c r="A1943" s="6" t="str">
        <f t="shared" si="477"/>
        <v>522-2026000135</v>
      </c>
      <c r="B1943" s="6" t="str">
        <f t="shared" si="474"/>
        <v>EL CORTE</v>
      </c>
      <c r="C1943" s="7">
        <v>46034</v>
      </c>
      <c r="D1943" s="7">
        <v>46037</v>
      </c>
      <c r="E1943" s="8">
        <v>4</v>
      </c>
      <c r="F1943" s="6" t="str">
        <f t="shared" si="478"/>
        <v>94795701_07026</v>
      </c>
      <c r="G1943" s="6" t="str">
        <f t="shared" si="475"/>
        <v>F310631650000000</v>
      </c>
      <c r="H1943" s="6" t="str">
        <f t="shared" si="476"/>
        <v>PLAR 6316 FD - 500 g</v>
      </c>
      <c r="I1943" s="6" t="str">
        <f>"202575"</f>
        <v>202575</v>
      </c>
      <c r="J1943" s="6" t="str">
        <f>"BEGE 2575"</f>
        <v>BEGE 2575</v>
      </c>
      <c r="K1943" s="6" t="str">
        <f>"1024"</f>
        <v>1024</v>
      </c>
      <c r="L1943" s="6" t="str">
        <f>"Toalhas"</f>
        <v>Toalhas</v>
      </c>
      <c r="M1943" s="6" t="str">
        <f>"50x100"</f>
        <v>50x100</v>
      </c>
      <c r="N1943" s="6" t="str">
        <f>"5602972281088"</f>
        <v>5602972281088</v>
      </c>
      <c r="O1943" s="8">
        <v>24</v>
      </c>
      <c r="R1943" s="8">
        <v>0</v>
      </c>
      <c r="U1943" s="8">
        <v>0</v>
      </c>
      <c r="X1943" s="8">
        <v>0</v>
      </c>
      <c r="Z1943" s="8">
        <v>0</v>
      </c>
      <c r="AC1943" s="8">
        <v>0</v>
      </c>
      <c r="AF1943" s="8">
        <v>0</v>
      </c>
      <c r="AN1943" s="8">
        <v>24</v>
      </c>
      <c r="AO1943" s="8">
        <v>0</v>
      </c>
    </row>
    <row r="1944" spans="1:41" x14ac:dyDescent="0.25">
      <c r="A1944" s="6" t="str">
        <f t="shared" si="477"/>
        <v>522-2026000135</v>
      </c>
      <c r="B1944" s="6" t="str">
        <f t="shared" si="474"/>
        <v>EL CORTE</v>
      </c>
      <c r="C1944" s="7">
        <v>46034</v>
      </c>
      <c r="D1944" s="7">
        <v>46037</v>
      </c>
      <c r="E1944" s="8">
        <v>5</v>
      </c>
      <c r="F1944" s="6" t="str">
        <f t="shared" si="478"/>
        <v>94795701_07026</v>
      </c>
      <c r="G1944" s="6" t="str">
        <f t="shared" si="475"/>
        <v>F310631650000000</v>
      </c>
      <c r="H1944" s="6" t="str">
        <f t="shared" si="476"/>
        <v>PLAR 6316 FD - 500 g</v>
      </c>
      <c r="I1944" s="6" t="str">
        <f>"200901"</f>
        <v>200901</v>
      </c>
      <c r="J1944" s="6" t="str">
        <f>"ROSA 901"</f>
        <v>ROSA 901</v>
      </c>
      <c r="K1944" s="6" t="str">
        <f>"0520"</f>
        <v>0520</v>
      </c>
      <c r="L1944" s="6" t="str">
        <f>"Toalhetes"</f>
        <v>Toalhetes</v>
      </c>
      <c r="M1944" s="6" t="str">
        <f>"30x50"</f>
        <v>30x50</v>
      </c>
      <c r="N1944" s="6" t="str">
        <f>"5602972281101"</f>
        <v>5602972281101</v>
      </c>
      <c r="O1944" s="8">
        <v>24</v>
      </c>
      <c r="R1944" s="8">
        <v>0</v>
      </c>
      <c r="U1944" s="8">
        <v>0</v>
      </c>
      <c r="X1944" s="8">
        <v>0</v>
      </c>
      <c r="Z1944" s="8">
        <v>0</v>
      </c>
      <c r="AC1944" s="8">
        <v>0</v>
      </c>
      <c r="AF1944" s="8">
        <v>0</v>
      </c>
      <c r="AN1944" s="8">
        <v>24</v>
      </c>
      <c r="AO1944" s="8">
        <v>0</v>
      </c>
    </row>
    <row r="1945" spans="1:41" x14ac:dyDescent="0.25">
      <c r="A1945" s="6" t="str">
        <f t="shared" si="477"/>
        <v>522-2026000135</v>
      </c>
      <c r="B1945" s="6" t="str">
        <f t="shared" si="474"/>
        <v>EL CORTE</v>
      </c>
      <c r="C1945" s="7">
        <v>46034</v>
      </c>
      <c r="D1945" s="7">
        <v>46037</v>
      </c>
      <c r="E1945" s="8">
        <v>6</v>
      </c>
      <c r="F1945" s="6" t="str">
        <f t="shared" si="478"/>
        <v>94795701_07026</v>
      </c>
      <c r="G1945" s="6" t="str">
        <f t="shared" si="475"/>
        <v>F310631650000000</v>
      </c>
      <c r="H1945" s="6" t="str">
        <f t="shared" si="476"/>
        <v>PLAR 6316 FD - 500 g</v>
      </c>
      <c r="I1945" s="6" t="str">
        <f>"200901"</f>
        <v>200901</v>
      </c>
      <c r="J1945" s="6" t="str">
        <f>"ROSA 901"</f>
        <v>ROSA 901</v>
      </c>
      <c r="K1945" s="6" t="str">
        <f>"1024"</f>
        <v>1024</v>
      </c>
      <c r="L1945" s="6" t="str">
        <f>"Toalhas"</f>
        <v>Toalhas</v>
      </c>
      <c r="M1945" s="6" t="str">
        <f>"50x100"</f>
        <v>50x100</v>
      </c>
      <c r="N1945" s="6" t="str">
        <f>"5602972281118"</f>
        <v>5602972281118</v>
      </c>
      <c r="O1945" s="8">
        <v>24</v>
      </c>
      <c r="R1945" s="8">
        <v>0</v>
      </c>
      <c r="U1945" s="8">
        <v>0</v>
      </c>
      <c r="X1945" s="8">
        <v>0</v>
      </c>
      <c r="Z1945" s="8">
        <v>0</v>
      </c>
      <c r="AC1945" s="8">
        <v>0</v>
      </c>
      <c r="AF1945" s="8">
        <v>0</v>
      </c>
      <c r="AN1945" s="8">
        <v>24</v>
      </c>
      <c r="AO1945" s="8">
        <v>0</v>
      </c>
    </row>
    <row r="1946" spans="1:41" x14ac:dyDescent="0.25">
      <c r="A1946" s="6" t="str">
        <f t="shared" si="477"/>
        <v>522-2026000135</v>
      </c>
      <c r="B1946" s="6" t="str">
        <f t="shared" si="474"/>
        <v>EL CORTE</v>
      </c>
      <c r="C1946" s="7">
        <v>46034</v>
      </c>
      <c r="D1946" s="7">
        <v>46037</v>
      </c>
      <c r="E1946" s="8">
        <v>7</v>
      </c>
      <c r="F1946" s="6" t="str">
        <f t="shared" si="478"/>
        <v>94795701_07026</v>
      </c>
      <c r="G1946" s="6" t="str">
        <f t="shared" si="475"/>
        <v>F310631650000000</v>
      </c>
      <c r="H1946" s="6" t="str">
        <f t="shared" si="476"/>
        <v>PLAR 6316 FD - 500 g</v>
      </c>
      <c r="I1946" s="6" t="str">
        <f>"200510"</f>
        <v>200510</v>
      </c>
      <c r="J1946" s="6" t="str">
        <f>"VERDE 510"</f>
        <v>VERDE 510</v>
      </c>
      <c r="K1946" s="6" t="str">
        <f>"0520"</f>
        <v>0520</v>
      </c>
      <c r="L1946" s="6" t="str">
        <f>"Toalhetes"</f>
        <v>Toalhetes</v>
      </c>
      <c r="M1946" s="6" t="str">
        <f>"30x50"</f>
        <v>30x50</v>
      </c>
      <c r="N1946" s="6" t="str">
        <f>"5602972281132"</f>
        <v>5602972281132</v>
      </c>
      <c r="O1946" s="8">
        <v>24</v>
      </c>
      <c r="R1946" s="8">
        <v>0</v>
      </c>
      <c r="U1946" s="8">
        <v>0</v>
      </c>
      <c r="X1946" s="8">
        <v>0</v>
      </c>
      <c r="Z1946" s="8">
        <v>0</v>
      </c>
      <c r="AC1946" s="8">
        <v>0</v>
      </c>
      <c r="AF1946" s="8">
        <v>0</v>
      </c>
      <c r="AN1946" s="8">
        <v>24</v>
      </c>
      <c r="AO1946" s="8">
        <v>0</v>
      </c>
    </row>
    <row r="1947" spans="1:41" x14ac:dyDescent="0.25">
      <c r="A1947" s="6" t="str">
        <f t="shared" si="477"/>
        <v>522-2026000135</v>
      </c>
      <c r="B1947" s="6" t="str">
        <f t="shared" si="474"/>
        <v>EL CORTE</v>
      </c>
      <c r="C1947" s="7">
        <v>46034</v>
      </c>
      <c r="D1947" s="7">
        <v>46037</v>
      </c>
      <c r="E1947" s="8">
        <v>8</v>
      </c>
      <c r="F1947" s="6" t="str">
        <f t="shared" si="478"/>
        <v>94795701_07026</v>
      </c>
      <c r="G1947" s="6" t="str">
        <f t="shared" si="475"/>
        <v>F310631650000000</v>
      </c>
      <c r="H1947" s="6" t="str">
        <f t="shared" si="476"/>
        <v>PLAR 6316 FD - 500 g</v>
      </c>
      <c r="I1947" s="6" t="str">
        <f>"200510"</f>
        <v>200510</v>
      </c>
      <c r="J1947" s="6" t="str">
        <f>"VERDE 510"</f>
        <v>VERDE 510</v>
      </c>
      <c r="K1947" s="6" t="str">
        <f>"1024"</f>
        <v>1024</v>
      </c>
      <c r="L1947" s="6" t="str">
        <f>"Toalhas"</f>
        <v>Toalhas</v>
      </c>
      <c r="M1947" s="6" t="str">
        <f>"50x100"</f>
        <v>50x100</v>
      </c>
      <c r="N1947" s="6" t="str">
        <f>"5602972281149"</f>
        <v>5602972281149</v>
      </c>
      <c r="O1947" s="8">
        <v>24</v>
      </c>
      <c r="R1947" s="8">
        <v>0</v>
      </c>
      <c r="U1947" s="8">
        <v>0</v>
      </c>
      <c r="X1947" s="8">
        <v>0</v>
      </c>
      <c r="Z1947" s="8">
        <v>0</v>
      </c>
      <c r="AC1947" s="8">
        <v>0</v>
      </c>
      <c r="AF1947" s="8">
        <v>0</v>
      </c>
      <c r="AN1947" s="8">
        <v>24</v>
      </c>
      <c r="AO1947" s="8">
        <v>0</v>
      </c>
    </row>
    <row r="1948" spans="1:41" x14ac:dyDescent="0.25">
      <c r="A1948" s="6" t="str">
        <f>"522-2026000136"</f>
        <v>522-2026000136</v>
      </c>
      <c r="B1948" s="6" t="str">
        <f t="shared" si="474"/>
        <v>EL CORTE</v>
      </c>
      <c r="C1948" s="7">
        <v>46034</v>
      </c>
      <c r="D1948" s="7">
        <v>46037</v>
      </c>
      <c r="E1948" s="8">
        <v>1</v>
      </c>
      <c r="F1948" s="6" t="str">
        <f>"94794801_07026"</f>
        <v>94794801_07026</v>
      </c>
      <c r="G1948" s="6" t="str">
        <f t="shared" si="475"/>
        <v>F310631650000000</v>
      </c>
      <c r="H1948" s="6" t="str">
        <f t="shared" si="476"/>
        <v>PLAR 6316 FD - 500 g</v>
      </c>
      <c r="I1948" s="6" t="str">
        <f>"200510"</f>
        <v>200510</v>
      </c>
      <c r="J1948" s="6" t="str">
        <f>"VERDE 510"</f>
        <v>VERDE 510</v>
      </c>
      <c r="K1948" s="6" t="str">
        <f>"2020"</f>
        <v>2020</v>
      </c>
      <c r="L1948" s="6" t="str">
        <f>"Lençóis"</f>
        <v>Lençóis</v>
      </c>
      <c r="M1948" s="6" t="str">
        <f>"100x150"</f>
        <v>100x150</v>
      </c>
      <c r="N1948" s="6" t="str">
        <f>"5602972281156"</f>
        <v>5602972281156</v>
      </c>
      <c r="O1948" s="8">
        <v>3</v>
      </c>
      <c r="R1948" s="8">
        <v>0</v>
      </c>
      <c r="U1948" s="8">
        <v>0</v>
      </c>
      <c r="X1948" s="8">
        <v>0</v>
      </c>
      <c r="Z1948" s="8">
        <v>0</v>
      </c>
      <c r="AC1948" s="8">
        <v>0</v>
      </c>
      <c r="AF1948" s="8">
        <v>0</v>
      </c>
      <c r="AN1948" s="8">
        <v>0</v>
      </c>
      <c r="AO1948" s="8">
        <v>3</v>
      </c>
    </row>
    <row r="1949" spans="1:41" x14ac:dyDescent="0.25">
      <c r="A1949" s="6" t="str">
        <f>"522-2026000137"</f>
        <v>522-2026000137</v>
      </c>
      <c r="B1949" s="6" t="str">
        <f t="shared" si="474"/>
        <v>EL CORTE</v>
      </c>
      <c r="C1949" s="7">
        <v>46034</v>
      </c>
      <c r="D1949" s="7">
        <v>46037</v>
      </c>
      <c r="E1949" s="8">
        <v>1</v>
      </c>
      <c r="F1949" s="6" t="str">
        <f>"94793401_07026"</f>
        <v>94793401_07026</v>
      </c>
      <c r="G1949" s="6" t="str">
        <f t="shared" si="475"/>
        <v>F310631650000000</v>
      </c>
      <c r="H1949" s="6" t="str">
        <f t="shared" si="476"/>
        <v>PLAR 6316 FD - 500 g</v>
      </c>
      <c r="I1949" s="6" t="str">
        <f>"201855"</f>
        <v>201855</v>
      </c>
      <c r="J1949" s="6" t="str">
        <f>"AZUL 1855"</f>
        <v>AZUL 1855</v>
      </c>
      <c r="K1949" s="6" t="str">
        <f>"2020"</f>
        <v>2020</v>
      </c>
      <c r="L1949" s="6" t="str">
        <f>"Lençóis"</f>
        <v>Lençóis</v>
      </c>
      <c r="M1949" s="6" t="str">
        <f>"100x150"</f>
        <v>100x150</v>
      </c>
      <c r="N1949" s="6" t="str">
        <f>"5602972281064"</f>
        <v>5602972281064</v>
      </c>
      <c r="O1949" s="8">
        <v>6</v>
      </c>
      <c r="R1949" s="8">
        <v>0</v>
      </c>
      <c r="U1949" s="8">
        <v>0</v>
      </c>
      <c r="X1949" s="8">
        <v>0</v>
      </c>
      <c r="Z1949" s="8">
        <v>0</v>
      </c>
      <c r="AC1949" s="8">
        <v>0</v>
      </c>
      <c r="AF1949" s="8">
        <v>0</v>
      </c>
      <c r="AN1949" s="8">
        <v>0</v>
      </c>
      <c r="AO1949" s="8">
        <v>6</v>
      </c>
    </row>
    <row r="1950" spans="1:41" x14ac:dyDescent="0.25">
      <c r="A1950" s="6" t="str">
        <f>"522-2026000137"</f>
        <v>522-2026000137</v>
      </c>
      <c r="B1950" s="6" t="str">
        <f t="shared" si="474"/>
        <v>EL CORTE</v>
      </c>
      <c r="C1950" s="7">
        <v>46034</v>
      </c>
      <c r="D1950" s="7">
        <v>46037</v>
      </c>
      <c r="E1950" s="8">
        <v>2</v>
      </c>
      <c r="F1950" s="6" t="str">
        <f>"94793401_07026"</f>
        <v>94793401_07026</v>
      </c>
      <c r="G1950" s="6" t="str">
        <f t="shared" si="475"/>
        <v>F310631650000000</v>
      </c>
      <c r="H1950" s="6" t="str">
        <f t="shared" si="476"/>
        <v>PLAR 6316 FD - 500 g</v>
      </c>
      <c r="I1950" s="6" t="str">
        <f>"200901"</f>
        <v>200901</v>
      </c>
      <c r="J1950" s="6" t="str">
        <f>"ROSA 901"</f>
        <v>ROSA 901</v>
      </c>
      <c r="K1950" s="6" t="str">
        <f>"0520"</f>
        <v>0520</v>
      </c>
      <c r="L1950" s="6" t="str">
        <f>"Toalhetes"</f>
        <v>Toalhetes</v>
      </c>
      <c r="M1950" s="6" t="str">
        <f>"30x50"</f>
        <v>30x50</v>
      </c>
      <c r="N1950" s="6" t="str">
        <f>"5602972281101"</f>
        <v>5602972281101</v>
      </c>
      <c r="O1950" s="8">
        <v>6</v>
      </c>
      <c r="R1950" s="8">
        <v>0</v>
      </c>
      <c r="U1950" s="8">
        <v>0</v>
      </c>
      <c r="X1950" s="8">
        <v>0</v>
      </c>
      <c r="Z1950" s="8">
        <v>0</v>
      </c>
      <c r="AC1950" s="8">
        <v>0</v>
      </c>
      <c r="AF1950" s="8">
        <v>0</v>
      </c>
      <c r="AN1950" s="8">
        <v>6</v>
      </c>
      <c r="AO1950" s="8">
        <v>0</v>
      </c>
    </row>
    <row r="1951" spans="1:41" x14ac:dyDescent="0.25">
      <c r="A1951" s="6" t="str">
        <f>"522-2026000137"</f>
        <v>522-2026000137</v>
      </c>
      <c r="B1951" s="6" t="str">
        <f t="shared" si="474"/>
        <v>EL CORTE</v>
      </c>
      <c r="C1951" s="7">
        <v>46034</v>
      </c>
      <c r="D1951" s="7">
        <v>46037</v>
      </c>
      <c r="E1951" s="8">
        <v>3</v>
      </c>
      <c r="F1951" s="6" t="str">
        <f>"94793401_07026"</f>
        <v>94793401_07026</v>
      </c>
      <c r="G1951" s="6" t="str">
        <f t="shared" si="475"/>
        <v>F310631650000000</v>
      </c>
      <c r="H1951" s="6" t="str">
        <f t="shared" si="476"/>
        <v>PLAR 6316 FD - 500 g</v>
      </c>
      <c r="I1951" s="6" t="str">
        <f>"200901"</f>
        <v>200901</v>
      </c>
      <c r="J1951" s="6" t="str">
        <f>"ROSA 901"</f>
        <v>ROSA 901</v>
      </c>
      <c r="K1951" s="6" t="str">
        <f>"2020"</f>
        <v>2020</v>
      </c>
      <c r="L1951" s="6" t="str">
        <f>"Lençóis"</f>
        <v>Lençóis</v>
      </c>
      <c r="M1951" s="6" t="str">
        <f>"100x150"</f>
        <v>100x150</v>
      </c>
      <c r="N1951" s="6" t="str">
        <f>"5602972281125"</f>
        <v>5602972281125</v>
      </c>
      <c r="O1951" s="8">
        <v>3</v>
      </c>
      <c r="R1951" s="8">
        <v>0</v>
      </c>
      <c r="U1951" s="8">
        <v>0</v>
      </c>
      <c r="X1951" s="8">
        <v>0</v>
      </c>
      <c r="Z1951" s="8">
        <v>0</v>
      </c>
      <c r="AC1951" s="8">
        <v>0</v>
      </c>
      <c r="AF1951" s="8">
        <v>0</v>
      </c>
      <c r="AN1951" s="8">
        <v>0</v>
      </c>
      <c r="AO1951" s="8">
        <v>3</v>
      </c>
    </row>
    <row r="1952" spans="1:41" x14ac:dyDescent="0.25">
      <c r="A1952" s="6" t="str">
        <f>"522-2026000137"</f>
        <v>522-2026000137</v>
      </c>
      <c r="B1952" s="6" t="str">
        <f t="shared" si="474"/>
        <v>EL CORTE</v>
      </c>
      <c r="C1952" s="7">
        <v>46034</v>
      </c>
      <c r="D1952" s="7">
        <v>46037</v>
      </c>
      <c r="E1952" s="8">
        <v>4</v>
      </c>
      <c r="F1952" s="6" t="str">
        <f>"94793401_07026"</f>
        <v>94793401_07026</v>
      </c>
      <c r="G1952" s="6" t="str">
        <f t="shared" si="475"/>
        <v>F310631650000000</v>
      </c>
      <c r="H1952" s="6" t="str">
        <f t="shared" si="476"/>
        <v>PLAR 6316 FD - 500 g</v>
      </c>
      <c r="I1952" s="6" t="str">
        <f>"200510"</f>
        <v>200510</v>
      </c>
      <c r="J1952" s="6" t="str">
        <f>"VERDE 510"</f>
        <v>VERDE 510</v>
      </c>
      <c r="K1952" s="6" t="str">
        <f>"0520"</f>
        <v>0520</v>
      </c>
      <c r="L1952" s="6" t="str">
        <f>"Toalhetes"</f>
        <v>Toalhetes</v>
      </c>
      <c r="M1952" s="6" t="str">
        <f>"30x50"</f>
        <v>30x50</v>
      </c>
      <c r="N1952" s="6" t="str">
        <f>"5602972281132"</f>
        <v>5602972281132</v>
      </c>
      <c r="O1952" s="8">
        <v>6</v>
      </c>
      <c r="R1952" s="8">
        <v>0</v>
      </c>
      <c r="U1952" s="8">
        <v>0</v>
      </c>
      <c r="X1952" s="8">
        <v>0</v>
      </c>
      <c r="Z1952" s="8">
        <v>0</v>
      </c>
      <c r="AC1952" s="8">
        <v>0</v>
      </c>
      <c r="AF1952" s="8">
        <v>0</v>
      </c>
      <c r="AN1952" s="8">
        <v>6</v>
      </c>
      <c r="AO1952" s="8">
        <v>0</v>
      </c>
    </row>
    <row r="1953" spans="1:41" x14ac:dyDescent="0.25">
      <c r="A1953" s="6" t="str">
        <f>"522-2026000137"</f>
        <v>522-2026000137</v>
      </c>
      <c r="B1953" s="6" t="str">
        <f t="shared" si="474"/>
        <v>EL CORTE</v>
      </c>
      <c r="C1953" s="7">
        <v>46034</v>
      </c>
      <c r="D1953" s="7">
        <v>46037</v>
      </c>
      <c r="E1953" s="8">
        <v>5</v>
      </c>
      <c r="F1953" s="6" t="str">
        <f>"94793401_07026"</f>
        <v>94793401_07026</v>
      </c>
      <c r="G1953" s="6" t="str">
        <f t="shared" si="475"/>
        <v>F310631650000000</v>
      </c>
      <c r="H1953" s="6" t="str">
        <f t="shared" si="476"/>
        <v>PLAR 6316 FD - 500 g</v>
      </c>
      <c r="I1953" s="6" t="str">
        <f>"200510"</f>
        <v>200510</v>
      </c>
      <c r="J1953" s="6" t="str">
        <f>"VERDE 510"</f>
        <v>VERDE 510</v>
      </c>
      <c r="K1953" s="6" t="str">
        <f>"1024"</f>
        <v>1024</v>
      </c>
      <c r="L1953" s="6" t="str">
        <f>"Toalhas"</f>
        <v>Toalhas</v>
      </c>
      <c r="M1953" s="6" t="str">
        <f>"50x100"</f>
        <v>50x100</v>
      </c>
      <c r="N1953" s="6" t="str">
        <f>"5602972281149"</f>
        <v>5602972281149</v>
      </c>
      <c r="O1953" s="8">
        <v>6</v>
      </c>
      <c r="R1953" s="8">
        <v>0</v>
      </c>
      <c r="U1953" s="8">
        <v>0</v>
      </c>
      <c r="X1953" s="8">
        <v>0</v>
      </c>
      <c r="Z1953" s="8">
        <v>0</v>
      </c>
      <c r="AC1953" s="8">
        <v>0</v>
      </c>
      <c r="AF1953" s="8">
        <v>0</v>
      </c>
      <c r="AN1953" s="8">
        <v>6</v>
      </c>
      <c r="AO1953" s="8">
        <v>0</v>
      </c>
    </row>
    <row r="1954" spans="1:41" x14ac:dyDescent="0.25">
      <c r="A1954" s="6" t="str">
        <f>"522-2026000138"</f>
        <v>522-2026000138</v>
      </c>
      <c r="B1954" s="6" t="str">
        <f t="shared" si="474"/>
        <v>EL CORTE</v>
      </c>
      <c r="C1954" s="7">
        <v>46034</v>
      </c>
      <c r="D1954" s="7">
        <v>46037</v>
      </c>
      <c r="E1954" s="8">
        <v>1</v>
      </c>
      <c r="F1954" s="6" t="str">
        <f>"33325201_07026"</f>
        <v>33325201_07026</v>
      </c>
      <c r="G1954" s="6" t="str">
        <f t="shared" si="475"/>
        <v>F310631650000000</v>
      </c>
      <c r="H1954" s="6" t="str">
        <f t="shared" si="476"/>
        <v>PLAR 6316 FD - 500 g</v>
      </c>
      <c r="I1954" s="6" t="str">
        <f>"201855"</f>
        <v>201855</v>
      </c>
      <c r="J1954" s="6" t="str">
        <f>"AZUL 1855"</f>
        <v>AZUL 1855</v>
      </c>
      <c r="K1954" s="6" t="str">
        <f>"2020"</f>
        <v>2020</v>
      </c>
      <c r="L1954" s="6" t="str">
        <f>"Lençóis"</f>
        <v>Lençóis</v>
      </c>
      <c r="M1954" s="6" t="str">
        <f>"100x150"</f>
        <v>100x150</v>
      </c>
      <c r="N1954" s="6" t="str">
        <f>"5602972281064"</f>
        <v>5602972281064</v>
      </c>
      <c r="O1954" s="8">
        <v>3</v>
      </c>
      <c r="R1954" s="8">
        <v>0</v>
      </c>
      <c r="U1954" s="8">
        <v>0</v>
      </c>
      <c r="X1954" s="8">
        <v>0</v>
      </c>
      <c r="Z1954" s="8">
        <v>0</v>
      </c>
      <c r="AC1954" s="8">
        <v>0</v>
      </c>
      <c r="AF1954" s="8">
        <v>0</v>
      </c>
      <c r="AN1954" s="8">
        <v>0</v>
      </c>
      <c r="AO1954" s="8">
        <v>3</v>
      </c>
    </row>
    <row r="1955" spans="1:41" x14ac:dyDescent="0.25">
      <c r="A1955" s="6" t="str">
        <f>"522-2026000138"</f>
        <v>522-2026000138</v>
      </c>
      <c r="B1955" s="6" t="str">
        <f t="shared" si="474"/>
        <v>EL CORTE</v>
      </c>
      <c r="C1955" s="7">
        <v>46034</v>
      </c>
      <c r="D1955" s="7">
        <v>46037</v>
      </c>
      <c r="E1955" s="8">
        <v>2</v>
      </c>
      <c r="F1955" s="6" t="str">
        <f>"33325201_07026"</f>
        <v>33325201_07026</v>
      </c>
      <c r="G1955" s="6" t="str">
        <f t="shared" si="475"/>
        <v>F310631650000000</v>
      </c>
      <c r="H1955" s="6" t="str">
        <f t="shared" si="476"/>
        <v>PLAR 6316 FD - 500 g</v>
      </c>
      <c r="I1955" s="6" t="str">
        <f>"200901"</f>
        <v>200901</v>
      </c>
      <c r="J1955" s="6" t="str">
        <f>"ROSA 901"</f>
        <v>ROSA 901</v>
      </c>
      <c r="K1955" s="6" t="str">
        <f>"2020"</f>
        <v>2020</v>
      </c>
      <c r="L1955" s="6" t="str">
        <f>"Lençóis"</f>
        <v>Lençóis</v>
      </c>
      <c r="M1955" s="6" t="str">
        <f>"100x150"</f>
        <v>100x150</v>
      </c>
      <c r="N1955" s="6" t="str">
        <f>"5602972281125"</f>
        <v>5602972281125</v>
      </c>
      <c r="O1955" s="8">
        <v>3</v>
      </c>
      <c r="R1955" s="8">
        <v>0</v>
      </c>
      <c r="U1955" s="8">
        <v>0</v>
      </c>
      <c r="X1955" s="8">
        <v>0</v>
      </c>
      <c r="Z1955" s="8">
        <v>0</v>
      </c>
      <c r="AC1955" s="8">
        <v>0</v>
      </c>
      <c r="AF1955" s="8">
        <v>0</v>
      </c>
      <c r="AN1955" s="8">
        <v>0</v>
      </c>
      <c r="AO1955" s="8">
        <v>3</v>
      </c>
    </row>
    <row r="1956" spans="1:41" x14ac:dyDescent="0.25">
      <c r="A1956" s="6" t="str">
        <f>"522-2026000138"</f>
        <v>522-2026000138</v>
      </c>
      <c r="B1956" s="6" t="str">
        <f t="shared" si="474"/>
        <v>EL CORTE</v>
      </c>
      <c r="C1956" s="7">
        <v>46034</v>
      </c>
      <c r="D1956" s="7">
        <v>46037</v>
      </c>
      <c r="E1956" s="8">
        <v>3</v>
      </c>
      <c r="F1956" s="6" t="str">
        <f>"33325201_07026"</f>
        <v>33325201_07026</v>
      </c>
      <c r="G1956" s="6" t="str">
        <f t="shared" si="475"/>
        <v>F310631650000000</v>
      </c>
      <c r="H1956" s="6" t="str">
        <f t="shared" si="476"/>
        <v>PLAR 6316 FD - 500 g</v>
      </c>
      <c r="I1956" s="6" t="str">
        <f>"200510"</f>
        <v>200510</v>
      </c>
      <c r="J1956" s="6" t="str">
        <f>"VERDE 510"</f>
        <v>VERDE 510</v>
      </c>
      <c r="K1956" s="6" t="str">
        <f>"2020"</f>
        <v>2020</v>
      </c>
      <c r="L1956" s="6" t="str">
        <f>"Lençóis"</f>
        <v>Lençóis</v>
      </c>
      <c r="M1956" s="6" t="str">
        <f>"100x150"</f>
        <v>100x150</v>
      </c>
      <c r="N1956" s="6" t="str">
        <f>"5602972281156"</f>
        <v>5602972281156</v>
      </c>
      <c r="O1956" s="8">
        <v>6</v>
      </c>
      <c r="R1956" s="8">
        <v>0</v>
      </c>
      <c r="U1956" s="8">
        <v>0</v>
      </c>
      <c r="X1956" s="8">
        <v>0</v>
      </c>
      <c r="Z1956" s="8">
        <v>0</v>
      </c>
      <c r="AC1956" s="8">
        <v>0</v>
      </c>
      <c r="AF1956" s="8">
        <v>0</v>
      </c>
      <c r="AN1956" s="8">
        <v>0</v>
      </c>
      <c r="AO1956" s="8">
        <v>6</v>
      </c>
    </row>
    <row r="1957" spans="1:41" x14ac:dyDescent="0.25">
      <c r="A1957" s="6" t="str">
        <f>"522-2026000139"</f>
        <v>522-2026000139</v>
      </c>
      <c r="B1957" s="6" t="str">
        <f t="shared" si="474"/>
        <v>EL CORTE</v>
      </c>
      <c r="C1957" s="7">
        <v>46034</v>
      </c>
      <c r="D1957" s="7">
        <v>46037</v>
      </c>
      <c r="E1957" s="8">
        <v>1</v>
      </c>
      <c r="F1957" s="6" t="str">
        <f>"33325101_07026"</f>
        <v>33325101_07026</v>
      </c>
      <c r="G1957" s="6" t="str">
        <f t="shared" si="475"/>
        <v>F310631650000000</v>
      </c>
      <c r="H1957" s="6" t="str">
        <f t="shared" si="476"/>
        <v>PLAR 6316 FD - 500 g</v>
      </c>
      <c r="I1957" s="6" t="str">
        <f>"201855"</f>
        <v>201855</v>
      </c>
      <c r="J1957" s="6" t="str">
        <f>"AZUL 1855"</f>
        <v>AZUL 1855</v>
      </c>
      <c r="K1957" s="6" t="str">
        <f>"0520"</f>
        <v>0520</v>
      </c>
      <c r="L1957" s="6" t="str">
        <f>"Toalhetes"</f>
        <v>Toalhetes</v>
      </c>
      <c r="M1957" s="6" t="str">
        <f>"30x50"</f>
        <v>30x50</v>
      </c>
      <c r="N1957" s="6" t="str">
        <f>"5602972281040"</f>
        <v>5602972281040</v>
      </c>
      <c r="O1957" s="8">
        <v>6</v>
      </c>
      <c r="R1957" s="8">
        <v>0</v>
      </c>
      <c r="U1957" s="8">
        <v>0</v>
      </c>
      <c r="X1957" s="8">
        <v>0</v>
      </c>
      <c r="Z1957" s="8">
        <v>0</v>
      </c>
      <c r="AC1957" s="8">
        <v>0</v>
      </c>
      <c r="AF1957" s="8">
        <v>0</v>
      </c>
      <c r="AN1957" s="8">
        <v>6</v>
      </c>
      <c r="AO1957" s="8">
        <v>0</v>
      </c>
    </row>
    <row r="1958" spans="1:41" x14ac:dyDescent="0.25">
      <c r="A1958" s="6" t="str">
        <f>"522-2026000139"</f>
        <v>522-2026000139</v>
      </c>
      <c r="B1958" s="6" t="str">
        <f t="shared" si="474"/>
        <v>EL CORTE</v>
      </c>
      <c r="C1958" s="7">
        <v>46034</v>
      </c>
      <c r="D1958" s="7">
        <v>46037</v>
      </c>
      <c r="E1958" s="8">
        <v>2</v>
      </c>
      <c r="F1958" s="6" t="str">
        <f>"33325101_07026"</f>
        <v>33325101_07026</v>
      </c>
      <c r="G1958" s="6" t="str">
        <f t="shared" si="475"/>
        <v>F310631650000000</v>
      </c>
      <c r="H1958" s="6" t="str">
        <f t="shared" si="476"/>
        <v>PLAR 6316 FD - 500 g</v>
      </c>
      <c r="I1958" s="6" t="str">
        <f>"200901"</f>
        <v>200901</v>
      </c>
      <c r="J1958" s="6" t="str">
        <f>"ROSA 901"</f>
        <v>ROSA 901</v>
      </c>
      <c r="K1958" s="6" t="str">
        <f>"0520"</f>
        <v>0520</v>
      </c>
      <c r="L1958" s="6" t="str">
        <f>"Toalhetes"</f>
        <v>Toalhetes</v>
      </c>
      <c r="M1958" s="6" t="str">
        <f>"30x50"</f>
        <v>30x50</v>
      </c>
      <c r="N1958" s="6" t="str">
        <f>"5602972281101"</f>
        <v>5602972281101</v>
      </c>
      <c r="O1958" s="8">
        <v>6</v>
      </c>
      <c r="R1958" s="8">
        <v>0</v>
      </c>
      <c r="U1958" s="8">
        <v>0</v>
      </c>
      <c r="X1958" s="8">
        <v>0</v>
      </c>
      <c r="Z1958" s="8">
        <v>0</v>
      </c>
      <c r="AC1958" s="8">
        <v>0</v>
      </c>
      <c r="AF1958" s="8">
        <v>0</v>
      </c>
      <c r="AN1958" s="8">
        <v>6</v>
      </c>
      <c r="AO1958" s="8">
        <v>0</v>
      </c>
    </row>
    <row r="1959" spans="1:41" x14ac:dyDescent="0.25">
      <c r="A1959" s="6" t="str">
        <f>"522-2026000140"</f>
        <v>522-2026000140</v>
      </c>
      <c r="B1959" s="6" t="str">
        <f t="shared" si="474"/>
        <v>EL CORTE</v>
      </c>
      <c r="C1959" s="7">
        <v>46034</v>
      </c>
      <c r="D1959" s="7">
        <v>46037</v>
      </c>
      <c r="E1959" s="8">
        <v>1</v>
      </c>
      <c r="F1959" s="6" t="str">
        <f>"94794201_07026"</f>
        <v>94794201_07026</v>
      </c>
      <c r="G1959" s="6" t="str">
        <f t="shared" si="475"/>
        <v>F310631650000000</v>
      </c>
      <c r="H1959" s="6" t="str">
        <f t="shared" si="476"/>
        <v>PLAR 6316 FD - 500 g</v>
      </c>
      <c r="I1959" s="6" t="str">
        <f>"200901"</f>
        <v>200901</v>
      </c>
      <c r="J1959" s="6" t="str">
        <f>"ROSA 901"</f>
        <v>ROSA 901</v>
      </c>
      <c r="K1959" s="6" t="str">
        <f>"1024"</f>
        <v>1024</v>
      </c>
      <c r="L1959" s="6" t="str">
        <f>"Toalhas"</f>
        <v>Toalhas</v>
      </c>
      <c r="M1959" s="6" t="str">
        <f>"50x100"</f>
        <v>50x100</v>
      </c>
      <c r="N1959" s="6" t="str">
        <f>"5602972281118"</f>
        <v>5602972281118</v>
      </c>
      <c r="O1959" s="8">
        <v>6</v>
      </c>
      <c r="R1959" s="8">
        <v>0</v>
      </c>
      <c r="U1959" s="8">
        <v>0</v>
      </c>
      <c r="X1959" s="8">
        <v>0</v>
      </c>
      <c r="Z1959" s="8">
        <v>0</v>
      </c>
      <c r="AC1959" s="8">
        <v>0</v>
      </c>
      <c r="AF1959" s="8">
        <v>0</v>
      </c>
      <c r="AN1959" s="8">
        <v>6</v>
      </c>
      <c r="AO1959" s="8">
        <v>0</v>
      </c>
    </row>
    <row r="1960" spans="1:41" x14ac:dyDescent="0.25">
      <c r="A1960" s="6" t="str">
        <f>"522-2026000140"</f>
        <v>522-2026000140</v>
      </c>
      <c r="B1960" s="6" t="str">
        <f t="shared" si="474"/>
        <v>EL CORTE</v>
      </c>
      <c r="C1960" s="7">
        <v>46034</v>
      </c>
      <c r="D1960" s="7">
        <v>46037</v>
      </c>
      <c r="E1960" s="8">
        <v>2</v>
      </c>
      <c r="F1960" s="6" t="str">
        <f>"94794201_07026"</f>
        <v>94794201_07026</v>
      </c>
      <c r="G1960" s="6" t="str">
        <f t="shared" si="475"/>
        <v>F310631650000000</v>
      </c>
      <c r="H1960" s="6" t="str">
        <f t="shared" si="476"/>
        <v>PLAR 6316 FD - 500 g</v>
      </c>
      <c r="I1960" s="6" t="str">
        <f>"200901"</f>
        <v>200901</v>
      </c>
      <c r="J1960" s="6" t="str">
        <f>"ROSA 901"</f>
        <v>ROSA 901</v>
      </c>
      <c r="K1960" s="6" t="str">
        <f>"2020"</f>
        <v>2020</v>
      </c>
      <c r="L1960" s="6" t="str">
        <f>"Lençóis"</f>
        <v>Lençóis</v>
      </c>
      <c r="M1960" s="6" t="str">
        <f>"100x150"</f>
        <v>100x150</v>
      </c>
      <c r="N1960" s="6" t="str">
        <f>"5602972281125"</f>
        <v>5602972281125</v>
      </c>
      <c r="O1960" s="8">
        <v>3</v>
      </c>
      <c r="R1960" s="8">
        <v>0</v>
      </c>
      <c r="U1960" s="8">
        <v>0</v>
      </c>
      <c r="X1960" s="8">
        <v>0</v>
      </c>
      <c r="Z1960" s="8">
        <v>0</v>
      </c>
      <c r="AC1960" s="8">
        <v>0</v>
      </c>
      <c r="AF1960" s="8">
        <v>0</v>
      </c>
      <c r="AN1960" s="8">
        <v>0</v>
      </c>
      <c r="AO1960" s="8">
        <v>3</v>
      </c>
    </row>
    <row r="1961" spans="1:41" x14ac:dyDescent="0.25">
      <c r="A1961" s="6" t="str">
        <f>"522-2026000141"</f>
        <v>522-2026000141</v>
      </c>
      <c r="B1961" s="6" t="str">
        <f t="shared" si="474"/>
        <v>EL CORTE</v>
      </c>
      <c r="C1961" s="7">
        <v>46034</v>
      </c>
      <c r="D1961" s="7">
        <v>46037</v>
      </c>
      <c r="E1961" s="8">
        <v>1</v>
      </c>
      <c r="F1961" s="6" t="str">
        <f>"94795901_07026"</f>
        <v>94795901_07026</v>
      </c>
      <c r="G1961" s="6" t="str">
        <f t="shared" si="475"/>
        <v>F310631650000000</v>
      </c>
      <c r="H1961" s="6" t="str">
        <f t="shared" si="476"/>
        <v>PLAR 6316 FD - 500 g</v>
      </c>
      <c r="I1961" s="6" t="str">
        <f>"201855"</f>
        <v>201855</v>
      </c>
      <c r="J1961" s="6" t="str">
        <f>"AZUL 1855"</f>
        <v>AZUL 1855</v>
      </c>
      <c r="K1961" s="6" t="str">
        <f>"2020"</f>
        <v>2020</v>
      </c>
      <c r="L1961" s="6" t="str">
        <f>"Lençóis"</f>
        <v>Lençóis</v>
      </c>
      <c r="M1961" s="6" t="str">
        <f>"100x150"</f>
        <v>100x150</v>
      </c>
      <c r="N1961" s="6" t="str">
        <f>"5602972281064"</f>
        <v>5602972281064</v>
      </c>
      <c r="O1961" s="8">
        <v>6</v>
      </c>
      <c r="R1961" s="8">
        <v>0</v>
      </c>
      <c r="U1961" s="8">
        <v>0</v>
      </c>
      <c r="X1961" s="8">
        <v>0</v>
      </c>
      <c r="Z1961" s="8">
        <v>0</v>
      </c>
      <c r="AC1961" s="8">
        <v>0</v>
      </c>
      <c r="AF1961" s="8">
        <v>0</v>
      </c>
      <c r="AN1961" s="8">
        <v>0</v>
      </c>
      <c r="AO1961" s="8">
        <v>6</v>
      </c>
    </row>
    <row r="1962" spans="1:41" x14ac:dyDescent="0.25">
      <c r="A1962" s="6" t="str">
        <f>"522-2026000141"</f>
        <v>522-2026000141</v>
      </c>
      <c r="B1962" s="6" t="str">
        <f t="shared" si="474"/>
        <v>EL CORTE</v>
      </c>
      <c r="C1962" s="7">
        <v>46034</v>
      </c>
      <c r="D1962" s="7">
        <v>46037</v>
      </c>
      <c r="E1962" s="8">
        <v>2</v>
      </c>
      <c r="F1962" s="6" t="str">
        <f>"94795901_07026"</f>
        <v>94795901_07026</v>
      </c>
      <c r="G1962" s="6" t="str">
        <f t="shared" si="475"/>
        <v>F310631650000000</v>
      </c>
      <c r="H1962" s="6" t="str">
        <f t="shared" si="476"/>
        <v>PLAR 6316 FD - 500 g</v>
      </c>
      <c r="I1962" s="6" t="str">
        <f>"202575"</f>
        <v>202575</v>
      </c>
      <c r="J1962" s="6" t="str">
        <f>"BEGE 2575"</f>
        <v>BEGE 2575</v>
      </c>
      <c r="K1962" s="6" t="str">
        <f>"2020"</f>
        <v>2020</v>
      </c>
      <c r="L1962" s="6" t="str">
        <f>"Lençóis"</f>
        <v>Lençóis</v>
      </c>
      <c r="M1962" s="6" t="str">
        <f>"100x150"</f>
        <v>100x150</v>
      </c>
      <c r="N1962" s="6" t="str">
        <f>"5602972281095"</f>
        <v>5602972281095</v>
      </c>
      <c r="O1962" s="8">
        <v>3</v>
      </c>
      <c r="R1962" s="8">
        <v>0</v>
      </c>
      <c r="U1962" s="8">
        <v>0</v>
      </c>
      <c r="X1962" s="8">
        <v>0</v>
      </c>
      <c r="Z1962" s="8">
        <v>0</v>
      </c>
      <c r="AC1962" s="8">
        <v>0</v>
      </c>
      <c r="AF1962" s="8">
        <v>0</v>
      </c>
      <c r="AN1962" s="8">
        <v>0</v>
      </c>
      <c r="AO1962" s="8">
        <v>3</v>
      </c>
    </row>
    <row r="1963" spans="1:41" x14ac:dyDescent="0.25">
      <c r="A1963" s="6" t="str">
        <f>"522-2026000141"</f>
        <v>522-2026000141</v>
      </c>
      <c r="B1963" s="6" t="str">
        <f t="shared" si="474"/>
        <v>EL CORTE</v>
      </c>
      <c r="C1963" s="7">
        <v>46034</v>
      </c>
      <c r="D1963" s="7">
        <v>46037</v>
      </c>
      <c r="E1963" s="8">
        <v>3</v>
      </c>
      <c r="F1963" s="6" t="str">
        <f>"94795901_07026"</f>
        <v>94795901_07026</v>
      </c>
      <c r="G1963" s="6" t="str">
        <f t="shared" si="475"/>
        <v>F310631650000000</v>
      </c>
      <c r="H1963" s="6" t="str">
        <f t="shared" si="476"/>
        <v>PLAR 6316 FD - 500 g</v>
      </c>
      <c r="I1963" s="6" t="str">
        <f>"200510"</f>
        <v>200510</v>
      </c>
      <c r="J1963" s="6" t="str">
        <f>"VERDE 510"</f>
        <v>VERDE 510</v>
      </c>
      <c r="K1963" s="6" t="str">
        <f>"2020"</f>
        <v>2020</v>
      </c>
      <c r="L1963" s="6" t="str">
        <f>"Lençóis"</f>
        <v>Lençóis</v>
      </c>
      <c r="M1963" s="6" t="str">
        <f>"100x150"</f>
        <v>100x150</v>
      </c>
      <c r="N1963" s="6" t="str">
        <f>"5602972281156"</f>
        <v>5602972281156</v>
      </c>
      <c r="O1963" s="8">
        <v>3</v>
      </c>
      <c r="R1963" s="8">
        <v>0</v>
      </c>
      <c r="U1963" s="8">
        <v>0</v>
      </c>
      <c r="X1963" s="8">
        <v>0</v>
      </c>
      <c r="Z1963" s="8">
        <v>0</v>
      </c>
      <c r="AC1963" s="8">
        <v>0</v>
      </c>
      <c r="AF1963" s="8">
        <v>0</v>
      </c>
      <c r="AN1963" s="8">
        <v>0</v>
      </c>
      <c r="AO1963" s="8">
        <v>3</v>
      </c>
    </row>
    <row r="1964" spans="1:41" x14ac:dyDescent="0.25">
      <c r="A1964" s="6" t="str">
        <f>"522-2026000142"</f>
        <v>522-2026000142</v>
      </c>
      <c r="B1964" s="6" t="str">
        <f t="shared" si="474"/>
        <v>EL CORTE</v>
      </c>
      <c r="C1964" s="7">
        <v>46034</v>
      </c>
      <c r="D1964" s="7">
        <v>46037</v>
      </c>
      <c r="E1964" s="8">
        <v>1</v>
      </c>
      <c r="F1964" s="6" t="str">
        <f>"94794401_07026"</f>
        <v>94794401_07026</v>
      </c>
      <c r="G1964" s="6" t="str">
        <f t="shared" si="475"/>
        <v>F310631650000000</v>
      </c>
      <c r="H1964" s="6" t="str">
        <f t="shared" si="476"/>
        <v>PLAR 6316 FD - 500 g</v>
      </c>
      <c r="I1964" s="6" t="str">
        <f>"202575"</f>
        <v>202575</v>
      </c>
      <c r="J1964" s="6" t="str">
        <f>"BEGE 2575"</f>
        <v>BEGE 2575</v>
      </c>
      <c r="K1964" s="6" t="str">
        <f>"0520"</f>
        <v>0520</v>
      </c>
      <c r="L1964" s="6" t="str">
        <f>"Toalhetes"</f>
        <v>Toalhetes</v>
      </c>
      <c r="M1964" s="6" t="str">
        <f>"30x50"</f>
        <v>30x50</v>
      </c>
      <c r="N1964" s="6" t="str">
        <f>"5602972281071"</f>
        <v>5602972281071</v>
      </c>
      <c r="O1964" s="8">
        <v>6</v>
      </c>
      <c r="R1964" s="8">
        <v>0</v>
      </c>
      <c r="U1964" s="8">
        <v>0</v>
      </c>
      <c r="X1964" s="8">
        <v>0</v>
      </c>
      <c r="Z1964" s="8">
        <v>0</v>
      </c>
      <c r="AC1964" s="8">
        <v>0</v>
      </c>
      <c r="AF1964" s="8">
        <v>0</v>
      </c>
      <c r="AN1964" s="8">
        <v>6</v>
      </c>
      <c r="AO1964" s="8">
        <v>0</v>
      </c>
    </row>
    <row r="1965" spans="1:41" x14ac:dyDescent="0.25">
      <c r="A1965" s="6" t="str">
        <f>"522-2026000143"</f>
        <v>522-2026000143</v>
      </c>
      <c r="B1965" s="6" t="str">
        <f t="shared" si="474"/>
        <v>EL CORTE</v>
      </c>
      <c r="C1965" s="7">
        <v>46034</v>
      </c>
      <c r="D1965" s="7">
        <v>46037</v>
      </c>
      <c r="E1965" s="8">
        <v>1</v>
      </c>
      <c r="F1965" s="6" t="str">
        <f>"94795401_07026"</f>
        <v>94795401_07026</v>
      </c>
      <c r="G1965" s="6" t="str">
        <f t="shared" si="475"/>
        <v>F310631650000000</v>
      </c>
      <c r="H1965" s="6" t="str">
        <f t="shared" si="476"/>
        <v>PLAR 6316 FD - 500 g</v>
      </c>
      <c r="I1965" s="6" t="str">
        <f>"201855"</f>
        <v>201855</v>
      </c>
      <c r="J1965" s="6" t="str">
        <f>"AZUL 1855"</f>
        <v>AZUL 1855</v>
      </c>
      <c r="K1965" s="6" t="str">
        <f>"0520"</f>
        <v>0520</v>
      </c>
      <c r="L1965" s="6" t="str">
        <f>"Toalhetes"</f>
        <v>Toalhetes</v>
      </c>
      <c r="M1965" s="6" t="str">
        <f>"30x50"</f>
        <v>30x50</v>
      </c>
      <c r="N1965" s="6" t="str">
        <f>"5602972281040"</f>
        <v>5602972281040</v>
      </c>
      <c r="O1965" s="8">
        <v>6</v>
      </c>
      <c r="R1965" s="8">
        <v>0</v>
      </c>
      <c r="U1965" s="8">
        <v>0</v>
      </c>
      <c r="X1965" s="8">
        <v>0</v>
      </c>
      <c r="Z1965" s="8">
        <v>0</v>
      </c>
      <c r="AC1965" s="8">
        <v>0</v>
      </c>
      <c r="AF1965" s="8">
        <v>0</v>
      </c>
      <c r="AN1965" s="8">
        <v>6</v>
      </c>
      <c r="AO1965" s="8">
        <v>0</v>
      </c>
    </row>
    <row r="1966" spans="1:41" x14ac:dyDescent="0.25">
      <c r="A1966" s="6" t="str">
        <f>"522-2026000143"</f>
        <v>522-2026000143</v>
      </c>
      <c r="B1966" s="6" t="str">
        <f t="shared" si="474"/>
        <v>EL CORTE</v>
      </c>
      <c r="C1966" s="7">
        <v>46034</v>
      </c>
      <c r="D1966" s="7">
        <v>46037</v>
      </c>
      <c r="E1966" s="8">
        <v>2</v>
      </c>
      <c r="F1966" s="6" t="str">
        <f>"94795401_07026"</f>
        <v>94795401_07026</v>
      </c>
      <c r="G1966" s="6" t="str">
        <f t="shared" si="475"/>
        <v>F310631650000000</v>
      </c>
      <c r="H1966" s="6" t="str">
        <f t="shared" si="476"/>
        <v>PLAR 6316 FD - 500 g</v>
      </c>
      <c r="I1966" s="6" t="str">
        <f>"201855"</f>
        <v>201855</v>
      </c>
      <c r="J1966" s="6" t="str">
        <f>"AZUL 1855"</f>
        <v>AZUL 1855</v>
      </c>
      <c r="K1966" s="6" t="str">
        <f>"1024"</f>
        <v>1024</v>
      </c>
      <c r="L1966" s="6" t="str">
        <f>"Toalhas"</f>
        <v>Toalhas</v>
      </c>
      <c r="M1966" s="6" t="str">
        <f>"50x100"</f>
        <v>50x100</v>
      </c>
      <c r="N1966" s="6" t="str">
        <f>"5602972281057"</f>
        <v>5602972281057</v>
      </c>
      <c r="O1966" s="8">
        <v>6</v>
      </c>
      <c r="R1966" s="8">
        <v>0</v>
      </c>
      <c r="U1966" s="8">
        <v>0</v>
      </c>
      <c r="X1966" s="8">
        <v>0</v>
      </c>
      <c r="Z1966" s="8">
        <v>0</v>
      </c>
      <c r="AC1966" s="8">
        <v>0</v>
      </c>
      <c r="AF1966" s="8">
        <v>0</v>
      </c>
      <c r="AN1966" s="8">
        <v>6</v>
      </c>
      <c r="AO1966" s="8">
        <v>0</v>
      </c>
    </row>
    <row r="1967" spans="1:41" x14ac:dyDescent="0.25">
      <c r="A1967" s="6" t="str">
        <f>"522-2026000143"</f>
        <v>522-2026000143</v>
      </c>
      <c r="B1967" s="6" t="str">
        <f t="shared" si="474"/>
        <v>EL CORTE</v>
      </c>
      <c r="C1967" s="7">
        <v>46034</v>
      </c>
      <c r="D1967" s="7">
        <v>46037</v>
      </c>
      <c r="E1967" s="8">
        <v>3</v>
      </c>
      <c r="F1967" s="6" t="str">
        <f>"94795401_07026"</f>
        <v>94795401_07026</v>
      </c>
      <c r="G1967" s="6" t="str">
        <f t="shared" si="475"/>
        <v>F310631650000000</v>
      </c>
      <c r="H1967" s="6" t="str">
        <f t="shared" si="476"/>
        <v>PLAR 6316 FD - 500 g</v>
      </c>
      <c r="I1967" s="6" t="str">
        <f>"201855"</f>
        <v>201855</v>
      </c>
      <c r="J1967" s="6" t="str">
        <f>"AZUL 1855"</f>
        <v>AZUL 1855</v>
      </c>
      <c r="K1967" s="6" t="str">
        <f>"2020"</f>
        <v>2020</v>
      </c>
      <c r="L1967" s="6" t="str">
        <f>"Lençóis"</f>
        <v>Lençóis</v>
      </c>
      <c r="M1967" s="6" t="str">
        <f>"100x150"</f>
        <v>100x150</v>
      </c>
      <c r="N1967" s="6" t="str">
        <f>"5602972281064"</f>
        <v>5602972281064</v>
      </c>
      <c r="O1967" s="8">
        <v>3</v>
      </c>
      <c r="R1967" s="8">
        <v>0</v>
      </c>
      <c r="U1967" s="8">
        <v>0</v>
      </c>
      <c r="X1967" s="8">
        <v>0</v>
      </c>
      <c r="Z1967" s="8">
        <v>0</v>
      </c>
      <c r="AC1967" s="8">
        <v>0</v>
      </c>
      <c r="AF1967" s="8">
        <v>0</v>
      </c>
      <c r="AN1967" s="8">
        <v>0</v>
      </c>
      <c r="AO1967" s="8">
        <v>3</v>
      </c>
    </row>
    <row r="1968" spans="1:41" x14ac:dyDescent="0.25">
      <c r="A1968" s="6" t="str">
        <f>"522-2026000143"</f>
        <v>522-2026000143</v>
      </c>
      <c r="B1968" s="6" t="str">
        <f t="shared" si="474"/>
        <v>EL CORTE</v>
      </c>
      <c r="C1968" s="7">
        <v>46034</v>
      </c>
      <c r="D1968" s="7">
        <v>46037</v>
      </c>
      <c r="E1968" s="8">
        <v>4</v>
      </c>
      <c r="F1968" s="6" t="str">
        <f>"94795401_07026"</f>
        <v>94795401_07026</v>
      </c>
      <c r="G1968" s="6" t="str">
        <f t="shared" si="475"/>
        <v>F310631650000000</v>
      </c>
      <c r="H1968" s="6" t="str">
        <f t="shared" si="476"/>
        <v>PLAR 6316 FD - 500 g</v>
      </c>
      <c r="I1968" s="6" t="str">
        <f>"200510"</f>
        <v>200510</v>
      </c>
      <c r="J1968" s="6" t="str">
        <f>"VERDE 510"</f>
        <v>VERDE 510</v>
      </c>
      <c r="K1968" s="6" t="str">
        <f>"2020"</f>
        <v>2020</v>
      </c>
      <c r="L1968" s="6" t="str">
        <f>"Lençóis"</f>
        <v>Lençóis</v>
      </c>
      <c r="M1968" s="6" t="str">
        <f>"100x150"</f>
        <v>100x150</v>
      </c>
      <c r="N1968" s="6" t="str">
        <f>"5602972281156"</f>
        <v>5602972281156</v>
      </c>
      <c r="O1968" s="8">
        <v>3</v>
      </c>
      <c r="R1968" s="8">
        <v>0</v>
      </c>
      <c r="U1968" s="8">
        <v>0</v>
      </c>
      <c r="X1968" s="8">
        <v>0</v>
      </c>
      <c r="Z1968" s="8">
        <v>0</v>
      </c>
      <c r="AC1968" s="8">
        <v>0</v>
      </c>
      <c r="AF1968" s="8">
        <v>0</v>
      </c>
      <c r="AN1968" s="8">
        <v>0</v>
      </c>
      <c r="AO1968" s="8">
        <v>3</v>
      </c>
    </row>
    <row r="1969" spans="1:41" x14ac:dyDescent="0.25">
      <c r="A1969" s="6" t="str">
        <f>"522-2026000144"</f>
        <v>522-2026000144</v>
      </c>
      <c r="B1969" s="6" t="str">
        <f t="shared" si="474"/>
        <v>EL CORTE</v>
      </c>
      <c r="C1969" s="7">
        <v>46034</v>
      </c>
      <c r="D1969" s="7">
        <v>46037</v>
      </c>
      <c r="E1969" s="8">
        <v>1</v>
      </c>
      <c r="F1969" s="6" t="str">
        <f>"94794901_07026"</f>
        <v>94794901_07026</v>
      </c>
      <c r="G1969" s="6" t="str">
        <f t="shared" si="475"/>
        <v>F310631650000000</v>
      </c>
      <c r="H1969" s="6" t="str">
        <f t="shared" si="476"/>
        <v>PLAR 6316 FD - 500 g</v>
      </c>
      <c r="I1969" s="6" t="str">
        <f>"201855"</f>
        <v>201855</v>
      </c>
      <c r="J1969" s="6" t="str">
        <f>"AZUL 1855"</f>
        <v>AZUL 1855</v>
      </c>
      <c r="K1969" s="6" t="str">
        <f>"2020"</f>
        <v>2020</v>
      </c>
      <c r="L1969" s="6" t="str">
        <f>"Lençóis"</f>
        <v>Lençóis</v>
      </c>
      <c r="M1969" s="6" t="str">
        <f>"100x150"</f>
        <v>100x150</v>
      </c>
      <c r="N1969" s="6" t="str">
        <f>"5602972281064"</f>
        <v>5602972281064</v>
      </c>
      <c r="O1969" s="8">
        <v>3</v>
      </c>
      <c r="R1969" s="8">
        <v>0</v>
      </c>
      <c r="U1969" s="8">
        <v>0</v>
      </c>
      <c r="X1969" s="8">
        <v>0</v>
      </c>
      <c r="Z1969" s="8">
        <v>0</v>
      </c>
      <c r="AC1969" s="8">
        <v>0</v>
      </c>
      <c r="AF1969" s="8">
        <v>0</v>
      </c>
      <c r="AN1969" s="8">
        <v>0</v>
      </c>
      <c r="AO1969" s="8">
        <v>3</v>
      </c>
    </row>
    <row r="1970" spans="1:41" x14ac:dyDescent="0.25">
      <c r="A1970" s="6" t="str">
        <f>"522-2026000145"</f>
        <v>522-2026000145</v>
      </c>
      <c r="B1970" s="6" t="str">
        <f t="shared" si="474"/>
        <v>EL CORTE</v>
      </c>
      <c r="C1970" s="7">
        <v>46034</v>
      </c>
      <c r="D1970" s="7">
        <v>46037</v>
      </c>
      <c r="E1970" s="8">
        <v>1</v>
      </c>
      <c r="F1970" s="6" t="str">
        <f>"94795501_07026"</f>
        <v>94795501_07026</v>
      </c>
      <c r="G1970" s="6" t="str">
        <f t="shared" si="475"/>
        <v>F310631650000000</v>
      </c>
      <c r="H1970" s="6" t="str">
        <f t="shared" si="476"/>
        <v>PLAR 6316 FD - 500 g</v>
      </c>
      <c r="I1970" s="6" t="str">
        <f>"201855"</f>
        <v>201855</v>
      </c>
      <c r="J1970" s="6" t="str">
        <f>"AZUL 1855"</f>
        <v>AZUL 1855</v>
      </c>
      <c r="K1970" s="6" t="str">
        <f>"1024"</f>
        <v>1024</v>
      </c>
      <c r="L1970" s="6" t="str">
        <f>"Toalhas"</f>
        <v>Toalhas</v>
      </c>
      <c r="M1970" s="6" t="str">
        <f>"50x100"</f>
        <v>50x100</v>
      </c>
      <c r="N1970" s="6" t="str">
        <f>"5602972281057"</f>
        <v>5602972281057</v>
      </c>
      <c r="O1970" s="8">
        <v>6</v>
      </c>
      <c r="R1970" s="8">
        <v>0</v>
      </c>
      <c r="U1970" s="8">
        <v>0</v>
      </c>
      <c r="X1970" s="8">
        <v>0</v>
      </c>
      <c r="Z1970" s="8">
        <v>0</v>
      </c>
      <c r="AC1970" s="8">
        <v>0</v>
      </c>
      <c r="AF1970" s="8">
        <v>0</v>
      </c>
      <c r="AN1970" s="8">
        <v>6</v>
      </c>
      <c r="AO1970" s="8">
        <v>0</v>
      </c>
    </row>
    <row r="1971" spans="1:41" x14ac:dyDescent="0.25">
      <c r="A1971" s="6" t="str">
        <f>"522-2026000145"</f>
        <v>522-2026000145</v>
      </c>
      <c r="B1971" s="6" t="str">
        <f t="shared" si="474"/>
        <v>EL CORTE</v>
      </c>
      <c r="C1971" s="7">
        <v>46034</v>
      </c>
      <c r="D1971" s="7">
        <v>46037</v>
      </c>
      <c r="E1971" s="8">
        <v>2</v>
      </c>
      <c r="F1971" s="6" t="str">
        <f>"94795501_07026"</f>
        <v>94795501_07026</v>
      </c>
      <c r="G1971" s="6" t="str">
        <f t="shared" si="475"/>
        <v>F310631650000000</v>
      </c>
      <c r="H1971" s="6" t="str">
        <f t="shared" si="476"/>
        <v>PLAR 6316 FD - 500 g</v>
      </c>
      <c r="I1971" s="6" t="str">
        <f>"201855"</f>
        <v>201855</v>
      </c>
      <c r="J1971" s="6" t="str">
        <f>"AZUL 1855"</f>
        <v>AZUL 1855</v>
      </c>
      <c r="K1971" s="6" t="str">
        <f>"2020"</f>
        <v>2020</v>
      </c>
      <c r="L1971" s="6" t="str">
        <f>"Lençóis"</f>
        <v>Lençóis</v>
      </c>
      <c r="M1971" s="6" t="str">
        <f>"100x150"</f>
        <v>100x150</v>
      </c>
      <c r="N1971" s="6" t="str">
        <f>"5602972281064"</f>
        <v>5602972281064</v>
      </c>
      <c r="O1971" s="8">
        <v>3</v>
      </c>
      <c r="R1971" s="8">
        <v>0</v>
      </c>
      <c r="U1971" s="8">
        <v>0</v>
      </c>
      <c r="X1971" s="8">
        <v>0</v>
      </c>
      <c r="Z1971" s="8">
        <v>0</v>
      </c>
      <c r="AC1971" s="8">
        <v>0</v>
      </c>
      <c r="AF1971" s="8">
        <v>0</v>
      </c>
      <c r="AN1971" s="8">
        <v>0</v>
      </c>
      <c r="AO1971" s="8">
        <v>3</v>
      </c>
    </row>
    <row r="1972" spans="1:41" x14ac:dyDescent="0.25">
      <c r="A1972" s="6" t="str">
        <f t="shared" ref="A1972:A1978" si="479">"522-2026000146"</f>
        <v>522-2026000146</v>
      </c>
      <c r="B1972" s="6" t="str">
        <f t="shared" si="474"/>
        <v>EL CORTE</v>
      </c>
      <c r="C1972" s="7">
        <v>46034</v>
      </c>
      <c r="D1972" s="7">
        <v>46037</v>
      </c>
      <c r="E1972" s="8">
        <v>1</v>
      </c>
      <c r="F1972" s="6" t="str">
        <f t="shared" ref="F1972:F1978" si="480">"94793001_07026"</f>
        <v>94793001_07026</v>
      </c>
      <c r="G1972" s="6" t="str">
        <f t="shared" si="475"/>
        <v>F310631650000000</v>
      </c>
      <c r="H1972" s="6" t="str">
        <f t="shared" si="476"/>
        <v>PLAR 6316 FD - 500 g</v>
      </c>
      <c r="I1972" s="6" t="str">
        <f>"201855"</f>
        <v>201855</v>
      </c>
      <c r="J1972" s="6" t="str">
        <f>"AZUL 1855"</f>
        <v>AZUL 1855</v>
      </c>
      <c r="K1972" s="6" t="str">
        <f>"1024"</f>
        <v>1024</v>
      </c>
      <c r="L1972" s="6" t="str">
        <f>"Toalhas"</f>
        <v>Toalhas</v>
      </c>
      <c r="M1972" s="6" t="str">
        <f>"50x100"</f>
        <v>50x100</v>
      </c>
      <c r="N1972" s="6" t="str">
        <f>"5602972281057"</f>
        <v>5602972281057</v>
      </c>
      <c r="O1972" s="8">
        <v>6</v>
      </c>
      <c r="R1972" s="8">
        <v>0</v>
      </c>
      <c r="U1972" s="8">
        <v>0</v>
      </c>
      <c r="X1972" s="8">
        <v>0</v>
      </c>
      <c r="Z1972" s="8">
        <v>0</v>
      </c>
      <c r="AC1972" s="8">
        <v>0</v>
      </c>
      <c r="AF1972" s="8">
        <v>0</v>
      </c>
      <c r="AN1972" s="8">
        <v>6</v>
      </c>
      <c r="AO1972" s="8">
        <v>0</v>
      </c>
    </row>
    <row r="1973" spans="1:41" x14ac:dyDescent="0.25">
      <c r="A1973" s="6" t="str">
        <f t="shared" si="479"/>
        <v>522-2026000146</v>
      </c>
      <c r="B1973" s="6" t="str">
        <f t="shared" si="474"/>
        <v>EL CORTE</v>
      </c>
      <c r="C1973" s="7">
        <v>46034</v>
      </c>
      <c r="D1973" s="7">
        <v>46037</v>
      </c>
      <c r="E1973" s="8">
        <v>2</v>
      </c>
      <c r="F1973" s="6" t="str">
        <f t="shared" si="480"/>
        <v>94793001_07026</v>
      </c>
      <c r="G1973" s="6" t="str">
        <f t="shared" si="475"/>
        <v>F310631650000000</v>
      </c>
      <c r="H1973" s="6" t="str">
        <f t="shared" si="476"/>
        <v>PLAR 6316 FD - 500 g</v>
      </c>
      <c r="I1973" s="6" t="str">
        <f>"202575"</f>
        <v>202575</v>
      </c>
      <c r="J1973" s="6" t="str">
        <f>"BEGE 2575"</f>
        <v>BEGE 2575</v>
      </c>
      <c r="K1973" s="6" t="str">
        <f>"0520"</f>
        <v>0520</v>
      </c>
      <c r="L1973" s="6" t="str">
        <f>"Toalhetes"</f>
        <v>Toalhetes</v>
      </c>
      <c r="M1973" s="6" t="str">
        <f>"30x50"</f>
        <v>30x50</v>
      </c>
      <c r="N1973" s="6" t="str">
        <f>"5602972281071"</f>
        <v>5602972281071</v>
      </c>
      <c r="O1973" s="8">
        <v>6</v>
      </c>
      <c r="R1973" s="8">
        <v>0</v>
      </c>
      <c r="U1973" s="8">
        <v>0</v>
      </c>
      <c r="X1973" s="8">
        <v>0</v>
      </c>
      <c r="Z1973" s="8">
        <v>0</v>
      </c>
      <c r="AC1973" s="8">
        <v>0</v>
      </c>
      <c r="AF1973" s="8">
        <v>0</v>
      </c>
      <c r="AN1973" s="8">
        <v>6</v>
      </c>
      <c r="AO1973" s="8">
        <v>0</v>
      </c>
    </row>
    <row r="1974" spans="1:41" x14ac:dyDescent="0.25">
      <c r="A1974" s="6" t="str">
        <f t="shared" si="479"/>
        <v>522-2026000146</v>
      </c>
      <c r="B1974" s="6" t="str">
        <f t="shared" si="474"/>
        <v>EL CORTE</v>
      </c>
      <c r="C1974" s="7">
        <v>46034</v>
      </c>
      <c r="D1974" s="7">
        <v>46037</v>
      </c>
      <c r="E1974" s="8">
        <v>3</v>
      </c>
      <c r="F1974" s="6" t="str">
        <f t="shared" si="480"/>
        <v>94793001_07026</v>
      </c>
      <c r="G1974" s="6" t="str">
        <f t="shared" si="475"/>
        <v>F310631650000000</v>
      </c>
      <c r="H1974" s="6" t="str">
        <f t="shared" si="476"/>
        <v>PLAR 6316 FD - 500 g</v>
      </c>
      <c r="I1974" s="6" t="str">
        <f>"202575"</f>
        <v>202575</v>
      </c>
      <c r="J1974" s="6" t="str">
        <f>"BEGE 2575"</f>
        <v>BEGE 2575</v>
      </c>
      <c r="K1974" s="6" t="str">
        <f>"1024"</f>
        <v>1024</v>
      </c>
      <c r="L1974" s="6" t="str">
        <f>"Toalhas"</f>
        <v>Toalhas</v>
      </c>
      <c r="M1974" s="6" t="str">
        <f>"50x100"</f>
        <v>50x100</v>
      </c>
      <c r="N1974" s="6" t="str">
        <f>"5602972281088"</f>
        <v>5602972281088</v>
      </c>
      <c r="O1974" s="8">
        <v>6</v>
      </c>
      <c r="R1974" s="8">
        <v>0</v>
      </c>
      <c r="U1974" s="8">
        <v>0</v>
      </c>
      <c r="X1974" s="8">
        <v>0</v>
      </c>
      <c r="Z1974" s="8">
        <v>0</v>
      </c>
      <c r="AC1974" s="8">
        <v>0</v>
      </c>
      <c r="AF1974" s="8">
        <v>0</v>
      </c>
      <c r="AN1974" s="8">
        <v>6</v>
      </c>
      <c r="AO1974" s="8">
        <v>0</v>
      </c>
    </row>
    <row r="1975" spans="1:41" x14ac:dyDescent="0.25">
      <c r="A1975" s="6" t="str">
        <f t="shared" si="479"/>
        <v>522-2026000146</v>
      </c>
      <c r="B1975" s="6" t="str">
        <f t="shared" si="474"/>
        <v>EL CORTE</v>
      </c>
      <c r="C1975" s="7">
        <v>46034</v>
      </c>
      <c r="D1975" s="7">
        <v>46037</v>
      </c>
      <c r="E1975" s="8">
        <v>4</v>
      </c>
      <c r="F1975" s="6" t="str">
        <f t="shared" si="480"/>
        <v>94793001_07026</v>
      </c>
      <c r="G1975" s="6" t="str">
        <f t="shared" si="475"/>
        <v>F310631650000000</v>
      </c>
      <c r="H1975" s="6" t="str">
        <f t="shared" si="476"/>
        <v>PLAR 6316 FD - 500 g</v>
      </c>
      <c r="I1975" s="6" t="str">
        <f>"200901"</f>
        <v>200901</v>
      </c>
      <c r="J1975" s="6" t="str">
        <f>"ROSA 901"</f>
        <v>ROSA 901</v>
      </c>
      <c r="K1975" s="6" t="str">
        <f>"0520"</f>
        <v>0520</v>
      </c>
      <c r="L1975" s="6" t="str">
        <f>"Toalhetes"</f>
        <v>Toalhetes</v>
      </c>
      <c r="M1975" s="6" t="str">
        <f>"30x50"</f>
        <v>30x50</v>
      </c>
      <c r="N1975" s="6" t="str">
        <f>"5602972281101"</f>
        <v>5602972281101</v>
      </c>
      <c r="O1975" s="8">
        <v>6</v>
      </c>
      <c r="R1975" s="8">
        <v>0</v>
      </c>
      <c r="U1975" s="8">
        <v>0</v>
      </c>
      <c r="X1975" s="8">
        <v>0</v>
      </c>
      <c r="Z1975" s="8">
        <v>0</v>
      </c>
      <c r="AC1975" s="8">
        <v>0</v>
      </c>
      <c r="AF1975" s="8">
        <v>0</v>
      </c>
      <c r="AN1975" s="8">
        <v>6</v>
      </c>
      <c r="AO1975" s="8">
        <v>0</v>
      </c>
    </row>
    <row r="1976" spans="1:41" x14ac:dyDescent="0.25">
      <c r="A1976" s="6" t="str">
        <f t="shared" si="479"/>
        <v>522-2026000146</v>
      </c>
      <c r="B1976" s="6" t="str">
        <f t="shared" si="474"/>
        <v>EL CORTE</v>
      </c>
      <c r="C1976" s="7">
        <v>46034</v>
      </c>
      <c r="D1976" s="7">
        <v>46037</v>
      </c>
      <c r="E1976" s="8">
        <v>5</v>
      </c>
      <c r="F1976" s="6" t="str">
        <f t="shared" si="480"/>
        <v>94793001_07026</v>
      </c>
      <c r="G1976" s="6" t="str">
        <f t="shared" si="475"/>
        <v>F310631650000000</v>
      </c>
      <c r="H1976" s="6" t="str">
        <f t="shared" si="476"/>
        <v>PLAR 6316 FD - 500 g</v>
      </c>
      <c r="I1976" s="6" t="str">
        <f>"200901"</f>
        <v>200901</v>
      </c>
      <c r="J1976" s="6" t="str">
        <f>"ROSA 901"</f>
        <v>ROSA 901</v>
      </c>
      <c r="K1976" s="6" t="str">
        <f>"1024"</f>
        <v>1024</v>
      </c>
      <c r="L1976" s="6" t="str">
        <f>"Toalhas"</f>
        <v>Toalhas</v>
      </c>
      <c r="M1976" s="6" t="str">
        <f>"50x100"</f>
        <v>50x100</v>
      </c>
      <c r="N1976" s="6" t="str">
        <f>"5602972281118"</f>
        <v>5602972281118</v>
      </c>
      <c r="O1976" s="8">
        <v>18</v>
      </c>
      <c r="R1976" s="8">
        <v>0</v>
      </c>
      <c r="U1976" s="8">
        <v>0</v>
      </c>
      <c r="X1976" s="8">
        <v>0</v>
      </c>
      <c r="Z1976" s="8">
        <v>0</v>
      </c>
      <c r="AC1976" s="8">
        <v>0</v>
      </c>
      <c r="AF1976" s="8">
        <v>0</v>
      </c>
      <c r="AN1976" s="8">
        <v>18</v>
      </c>
      <c r="AO1976" s="8">
        <v>0</v>
      </c>
    </row>
    <row r="1977" spans="1:41" x14ac:dyDescent="0.25">
      <c r="A1977" s="6" t="str">
        <f t="shared" si="479"/>
        <v>522-2026000146</v>
      </c>
      <c r="B1977" s="6" t="str">
        <f t="shared" si="474"/>
        <v>EL CORTE</v>
      </c>
      <c r="C1977" s="7">
        <v>46034</v>
      </c>
      <c r="D1977" s="7">
        <v>46037</v>
      </c>
      <c r="E1977" s="8">
        <v>6</v>
      </c>
      <c r="F1977" s="6" t="str">
        <f t="shared" si="480"/>
        <v>94793001_07026</v>
      </c>
      <c r="G1977" s="6" t="str">
        <f t="shared" si="475"/>
        <v>F310631650000000</v>
      </c>
      <c r="H1977" s="6" t="str">
        <f t="shared" si="476"/>
        <v>PLAR 6316 FD - 500 g</v>
      </c>
      <c r="I1977" s="6" t="str">
        <f>"200510"</f>
        <v>200510</v>
      </c>
      <c r="J1977" s="6" t="str">
        <f>"VERDE 510"</f>
        <v>VERDE 510</v>
      </c>
      <c r="K1977" s="6" t="str">
        <f>"0520"</f>
        <v>0520</v>
      </c>
      <c r="L1977" s="6" t="str">
        <f>"Toalhetes"</f>
        <v>Toalhetes</v>
      </c>
      <c r="M1977" s="6" t="str">
        <f>"30x50"</f>
        <v>30x50</v>
      </c>
      <c r="N1977" s="6" t="str">
        <f>"5602972281132"</f>
        <v>5602972281132</v>
      </c>
      <c r="O1977" s="8">
        <v>6</v>
      </c>
      <c r="R1977" s="8">
        <v>0</v>
      </c>
      <c r="U1977" s="8">
        <v>0</v>
      </c>
      <c r="X1977" s="8">
        <v>0</v>
      </c>
      <c r="Z1977" s="8">
        <v>0</v>
      </c>
      <c r="AC1977" s="8">
        <v>0</v>
      </c>
      <c r="AF1977" s="8">
        <v>0</v>
      </c>
      <c r="AN1977" s="8">
        <v>6</v>
      </c>
      <c r="AO1977" s="8">
        <v>0</v>
      </c>
    </row>
    <row r="1978" spans="1:41" x14ac:dyDescent="0.25">
      <c r="A1978" s="6" t="str">
        <f t="shared" si="479"/>
        <v>522-2026000146</v>
      </c>
      <c r="B1978" s="6" t="str">
        <f t="shared" si="474"/>
        <v>EL CORTE</v>
      </c>
      <c r="C1978" s="7">
        <v>46034</v>
      </c>
      <c r="D1978" s="7">
        <v>46037</v>
      </c>
      <c r="E1978" s="8">
        <v>7</v>
      </c>
      <c r="F1978" s="6" t="str">
        <f t="shared" si="480"/>
        <v>94793001_07026</v>
      </c>
      <c r="G1978" s="6" t="str">
        <f t="shared" si="475"/>
        <v>F310631650000000</v>
      </c>
      <c r="H1978" s="6" t="str">
        <f t="shared" si="476"/>
        <v>PLAR 6316 FD - 500 g</v>
      </c>
      <c r="I1978" s="6" t="str">
        <f>"200510"</f>
        <v>200510</v>
      </c>
      <c r="J1978" s="6" t="str">
        <f>"VERDE 510"</f>
        <v>VERDE 510</v>
      </c>
      <c r="K1978" s="6" t="str">
        <f>"1024"</f>
        <v>1024</v>
      </c>
      <c r="L1978" s="6" t="str">
        <f>"Toalhas"</f>
        <v>Toalhas</v>
      </c>
      <c r="M1978" s="6" t="str">
        <f>"50x100"</f>
        <v>50x100</v>
      </c>
      <c r="N1978" s="6" t="str">
        <f>"5602972281149"</f>
        <v>5602972281149</v>
      </c>
      <c r="O1978" s="8">
        <v>12</v>
      </c>
      <c r="R1978" s="8">
        <v>0</v>
      </c>
      <c r="U1978" s="8">
        <v>0</v>
      </c>
      <c r="X1978" s="8">
        <v>0</v>
      </c>
      <c r="Z1978" s="8">
        <v>0</v>
      </c>
      <c r="AC1978" s="8">
        <v>0</v>
      </c>
      <c r="AF1978" s="8">
        <v>0</v>
      </c>
      <c r="AN1978" s="8">
        <v>12</v>
      </c>
      <c r="AO1978" s="8">
        <v>0</v>
      </c>
    </row>
    <row r="1979" spans="1:41" x14ac:dyDescent="0.25">
      <c r="A1979" s="6" t="str">
        <f>"522-2026000147"</f>
        <v>522-2026000147</v>
      </c>
      <c r="B1979" s="6" t="str">
        <f t="shared" si="474"/>
        <v>EL CORTE</v>
      </c>
      <c r="C1979" s="7">
        <v>46034</v>
      </c>
      <c r="D1979" s="7">
        <v>46037</v>
      </c>
      <c r="E1979" s="8">
        <v>1</v>
      </c>
      <c r="F1979" s="6" t="str">
        <f>"94791401_07026"</f>
        <v>94791401_07026</v>
      </c>
      <c r="G1979" s="6" t="str">
        <f t="shared" si="475"/>
        <v>F310631650000000</v>
      </c>
      <c r="H1979" s="6" t="str">
        <f t="shared" si="476"/>
        <v>PLAR 6316 FD - 500 g</v>
      </c>
      <c r="I1979" s="6" t="str">
        <f>"201855"</f>
        <v>201855</v>
      </c>
      <c r="J1979" s="6" t="str">
        <f>"AZUL 1855"</f>
        <v>AZUL 1855</v>
      </c>
      <c r="K1979" s="6" t="str">
        <f>"1024"</f>
        <v>1024</v>
      </c>
      <c r="L1979" s="6" t="str">
        <f>"Toalhas"</f>
        <v>Toalhas</v>
      </c>
      <c r="M1979" s="6" t="str">
        <f>"50x100"</f>
        <v>50x100</v>
      </c>
      <c r="N1979" s="6" t="str">
        <f>"5602972281057"</f>
        <v>5602972281057</v>
      </c>
      <c r="O1979" s="8">
        <v>6</v>
      </c>
      <c r="R1979" s="8">
        <v>0</v>
      </c>
      <c r="U1979" s="8">
        <v>0</v>
      </c>
      <c r="X1979" s="8">
        <v>0</v>
      </c>
      <c r="Z1979" s="8">
        <v>0</v>
      </c>
      <c r="AC1979" s="8">
        <v>0</v>
      </c>
      <c r="AF1979" s="8">
        <v>0</v>
      </c>
      <c r="AN1979" s="8">
        <v>6</v>
      </c>
      <c r="AO1979" s="8">
        <v>0</v>
      </c>
    </row>
    <row r="1980" spans="1:41" x14ac:dyDescent="0.25">
      <c r="A1980" s="6" t="str">
        <f>"522-2026000147"</f>
        <v>522-2026000147</v>
      </c>
      <c r="B1980" s="6" t="str">
        <f t="shared" si="474"/>
        <v>EL CORTE</v>
      </c>
      <c r="C1980" s="7">
        <v>46034</v>
      </c>
      <c r="D1980" s="7">
        <v>46037</v>
      </c>
      <c r="E1980" s="8">
        <v>2</v>
      </c>
      <c r="F1980" s="6" t="str">
        <f>"94791401_07026"</f>
        <v>94791401_07026</v>
      </c>
      <c r="G1980" s="6" t="str">
        <f t="shared" si="475"/>
        <v>F310631650000000</v>
      </c>
      <c r="H1980" s="6" t="str">
        <f t="shared" si="476"/>
        <v>PLAR 6316 FD - 500 g</v>
      </c>
      <c r="I1980" s="6" t="str">
        <f>"201855"</f>
        <v>201855</v>
      </c>
      <c r="J1980" s="6" t="str">
        <f>"AZUL 1855"</f>
        <v>AZUL 1855</v>
      </c>
      <c r="K1980" s="6" t="str">
        <f>"2020"</f>
        <v>2020</v>
      </c>
      <c r="L1980" s="6" t="str">
        <f>"Lençóis"</f>
        <v>Lençóis</v>
      </c>
      <c r="M1980" s="6" t="str">
        <f>"100x150"</f>
        <v>100x150</v>
      </c>
      <c r="N1980" s="6" t="str">
        <f>"5602972281064"</f>
        <v>5602972281064</v>
      </c>
      <c r="O1980" s="8">
        <v>3</v>
      </c>
      <c r="R1980" s="8">
        <v>0</v>
      </c>
      <c r="U1980" s="8">
        <v>0</v>
      </c>
      <c r="X1980" s="8">
        <v>0</v>
      </c>
      <c r="Z1980" s="8">
        <v>0</v>
      </c>
      <c r="AC1980" s="8">
        <v>0</v>
      </c>
      <c r="AF1980" s="8">
        <v>0</v>
      </c>
      <c r="AN1980" s="8">
        <v>0</v>
      </c>
      <c r="AO1980" s="8">
        <v>3</v>
      </c>
    </row>
    <row r="1981" spans="1:41" x14ac:dyDescent="0.25">
      <c r="A1981" s="6" t="str">
        <f>"522-2026000148"</f>
        <v>522-2026000148</v>
      </c>
      <c r="B1981" s="6" t="str">
        <f t="shared" si="474"/>
        <v>EL CORTE</v>
      </c>
      <c r="C1981" s="7">
        <v>46034</v>
      </c>
      <c r="D1981" s="7">
        <v>46037</v>
      </c>
      <c r="E1981" s="8">
        <v>1</v>
      </c>
      <c r="F1981" s="6" t="str">
        <f>"94793201_07026"</f>
        <v>94793201_07026</v>
      </c>
      <c r="G1981" s="6" t="str">
        <f t="shared" si="475"/>
        <v>F310631650000000</v>
      </c>
      <c r="H1981" s="6" t="str">
        <f t="shared" si="476"/>
        <v>PLAR 6316 FD - 500 g</v>
      </c>
      <c r="I1981" s="6" t="str">
        <f>"200901"</f>
        <v>200901</v>
      </c>
      <c r="J1981" s="6" t="str">
        <f>"ROSA 901"</f>
        <v>ROSA 901</v>
      </c>
      <c r="K1981" s="6" t="str">
        <f>"1024"</f>
        <v>1024</v>
      </c>
      <c r="L1981" s="6" t="str">
        <f>"Toalhas"</f>
        <v>Toalhas</v>
      </c>
      <c r="M1981" s="6" t="str">
        <f>"50x100"</f>
        <v>50x100</v>
      </c>
      <c r="N1981" s="6" t="str">
        <f>"5602972281118"</f>
        <v>5602972281118</v>
      </c>
      <c r="O1981" s="8">
        <v>6</v>
      </c>
      <c r="R1981" s="8">
        <v>0</v>
      </c>
      <c r="U1981" s="8">
        <v>0</v>
      </c>
      <c r="X1981" s="8">
        <v>0</v>
      </c>
      <c r="Z1981" s="8">
        <v>0</v>
      </c>
      <c r="AC1981" s="8">
        <v>0</v>
      </c>
      <c r="AF1981" s="8">
        <v>0</v>
      </c>
      <c r="AN1981" s="8">
        <v>6</v>
      </c>
      <c r="AO1981" s="8">
        <v>0</v>
      </c>
    </row>
    <row r="1982" spans="1:41" x14ac:dyDescent="0.25">
      <c r="A1982" s="6" t="str">
        <f>"522-2026000149"</f>
        <v>522-2026000149</v>
      </c>
      <c r="B1982" s="6" t="str">
        <f t="shared" si="474"/>
        <v>EL CORTE</v>
      </c>
      <c r="C1982" s="7">
        <v>46034</v>
      </c>
      <c r="D1982" s="7">
        <v>46037</v>
      </c>
      <c r="E1982" s="8">
        <v>1</v>
      </c>
      <c r="F1982" s="6" t="str">
        <f>"94795801_07026"</f>
        <v>94795801_07026</v>
      </c>
      <c r="G1982" s="6" t="str">
        <f t="shared" si="475"/>
        <v>F310631650000000</v>
      </c>
      <c r="H1982" s="6" t="str">
        <f t="shared" si="476"/>
        <v>PLAR 6316 FD - 500 g</v>
      </c>
      <c r="I1982" s="6" t="str">
        <f>"201855"</f>
        <v>201855</v>
      </c>
      <c r="J1982" s="6" t="str">
        <f>"AZUL 1855"</f>
        <v>AZUL 1855</v>
      </c>
      <c r="K1982" s="6" t="str">
        <f>"2020"</f>
        <v>2020</v>
      </c>
      <c r="L1982" s="6" t="str">
        <f>"Lençóis"</f>
        <v>Lençóis</v>
      </c>
      <c r="M1982" s="6" t="str">
        <f>"100x150"</f>
        <v>100x150</v>
      </c>
      <c r="N1982" s="6" t="str">
        <f>"5602972281064"</f>
        <v>5602972281064</v>
      </c>
      <c r="O1982" s="8">
        <v>3</v>
      </c>
      <c r="R1982" s="8">
        <v>0</v>
      </c>
      <c r="U1982" s="8">
        <v>0</v>
      </c>
      <c r="X1982" s="8">
        <v>0</v>
      </c>
      <c r="Z1982" s="8">
        <v>0</v>
      </c>
      <c r="AC1982" s="8">
        <v>0</v>
      </c>
      <c r="AF1982" s="8">
        <v>0</v>
      </c>
      <c r="AN1982" s="8">
        <v>0</v>
      </c>
      <c r="AO1982" s="8">
        <v>3</v>
      </c>
    </row>
    <row r="1983" spans="1:41" x14ac:dyDescent="0.25">
      <c r="A1983" s="6" t="str">
        <f>"522-2026000149"</f>
        <v>522-2026000149</v>
      </c>
      <c r="B1983" s="6" t="str">
        <f t="shared" si="474"/>
        <v>EL CORTE</v>
      </c>
      <c r="C1983" s="7">
        <v>46034</v>
      </c>
      <c r="D1983" s="7">
        <v>46037</v>
      </c>
      <c r="E1983" s="8">
        <v>2</v>
      </c>
      <c r="F1983" s="6" t="str">
        <f>"94795801_07026"</f>
        <v>94795801_07026</v>
      </c>
      <c r="G1983" s="6" t="str">
        <f t="shared" si="475"/>
        <v>F310631650000000</v>
      </c>
      <c r="H1983" s="6" t="str">
        <f t="shared" si="476"/>
        <v>PLAR 6316 FD - 500 g</v>
      </c>
      <c r="I1983" s="6" t="str">
        <f>"202575"</f>
        <v>202575</v>
      </c>
      <c r="J1983" s="6" t="str">
        <f>"BEGE 2575"</f>
        <v>BEGE 2575</v>
      </c>
      <c r="K1983" s="6" t="str">
        <f>"2020"</f>
        <v>2020</v>
      </c>
      <c r="L1983" s="6" t="str">
        <f>"Lençóis"</f>
        <v>Lençóis</v>
      </c>
      <c r="M1983" s="6" t="str">
        <f>"100x150"</f>
        <v>100x150</v>
      </c>
      <c r="N1983" s="6" t="str">
        <f>"5602972281095"</f>
        <v>5602972281095</v>
      </c>
      <c r="O1983" s="8">
        <v>3</v>
      </c>
      <c r="R1983" s="8">
        <v>0</v>
      </c>
      <c r="U1983" s="8">
        <v>0</v>
      </c>
      <c r="X1983" s="8">
        <v>0</v>
      </c>
      <c r="Z1983" s="8">
        <v>0</v>
      </c>
      <c r="AC1983" s="8">
        <v>0</v>
      </c>
      <c r="AF1983" s="8">
        <v>0</v>
      </c>
      <c r="AN1983" s="8">
        <v>0</v>
      </c>
      <c r="AO1983" s="8">
        <v>3</v>
      </c>
    </row>
    <row r="1984" spans="1:41" x14ac:dyDescent="0.25">
      <c r="A1984" s="6" t="str">
        <f>"522-2026000149"</f>
        <v>522-2026000149</v>
      </c>
      <c r="B1984" s="6" t="str">
        <f t="shared" si="474"/>
        <v>EL CORTE</v>
      </c>
      <c r="C1984" s="7">
        <v>46034</v>
      </c>
      <c r="D1984" s="7">
        <v>46037</v>
      </c>
      <c r="E1984" s="8">
        <v>3</v>
      </c>
      <c r="F1984" s="6" t="str">
        <f>"94795801_07026"</f>
        <v>94795801_07026</v>
      </c>
      <c r="G1984" s="6" t="str">
        <f t="shared" si="475"/>
        <v>F310631650000000</v>
      </c>
      <c r="H1984" s="6" t="str">
        <f t="shared" si="476"/>
        <v>PLAR 6316 FD - 500 g</v>
      </c>
      <c r="I1984" s="6" t="str">
        <f>"200901"</f>
        <v>200901</v>
      </c>
      <c r="J1984" s="6" t="str">
        <f>"ROSA 901"</f>
        <v>ROSA 901</v>
      </c>
      <c r="K1984" s="6" t="str">
        <f>"2020"</f>
        <v>2020</v>
      </c>
      <c r="L1984" s="6" t="str">
        <f>"Lençóis"</f>
        <v>Lençóis</v>
      </c>
      <c r="M1984" s="6" t="str">
        <f>"100x150"</f>
        <v>100x150</v>
      </c>
      <c r="N1984" s="6" t="str">
        <f>"5602972281125"</f>
        <v>5602972281125</v>
      </c>
      <c r="O1984" s="8">
        <v>3</v>
      </c>
      <c r="R1984" s="8">
        <v>0</v>
      </c>
      <c r="U1984" s="8">
        <v>0</v>
      </c>
      <c r="X1984" s="8">
        <v>0</v>
      </c>
      <c r="Z1984" s="8">
        <v>0</v>
      </c>
      <c r="AC1984" s="8">
        <v>0</v>
      </c>
      <c r="AF1984" s="8">
        <v>0</v>
      </c>
      <c r="AN1984" s="8">
        <v>0</v>
      </c>
      <c r="AO1984" s="8">
        <v>3</v>
      </c>
    </row>
    <row r="1985" spans="1:41" x14ac:dyDescent="0.25">
      <c r="A1985" s="6" t="str">
        <f>"522-2026000149"</f>
        <v>522-2026000149</v>
      </c>
      <c r="B1985" s="6" t="str">
        <f t="shared" si="474"/>
        <v>EL CORTE</v>
      </c>
      <c r="C1985" s="7">
        <v>46034</v>
      </c>
      <c r="D1985" s="7">
        <v>46037</v>
      </c>
      <c r="E1985" s="8">
        <v>4</v>
      </c>
      <c r="F1985" s="6" t="str">
        <f>"94795801_07026"</f>
        <v>94795801_07026</v>
      </c>
      <c r="G1985" s="6" t="str">
        <f t="shared" si="475"/>
        <v>F310631650000000</v>
      </c>
      <c r="H1985" s="6" t="str">
        <f t="shared" si="476"/>
        <v>PLAR 6316 FD - 500 g</v>
      </c>
      <c r="I1985" s="6" t="str">
        <f>"200510"</f>
        <v>200510</v>
      </c>
      <c r="J1985" s="6" t="str">
        <f>"VERDE 510"</f>
        <v>VERDE 510</v>
      </c>
      <c r="K1985" s="6" t="str">
        <f>"1024"</f>
        <v>1024</v>
      </c>
      <c r="L1985" s="6" t="str">
        <f>"Toalhas"</f>
        <v>Toalhas</v>
      </c>
      <c r="M1985" s="6" t="str">
        <f>"50x100"</f>
        <v>50x100</v>
      </c>
      <c r="N1985" s="6" t="str">
        <f>"5602972281149"</f>
        <v>5602972281149</v>
      </c>
      <c r="O1985" s="8">
        <v>6</v>
      </c>
      <c r="R1985" s="8">
        <v>0</v>
      </c>
      <c r="U1985" s="8">
        <v>0</v>
      </c>
      <c r="X1985" s="8">
        <v>0</v>
      </c>
      <c r="Z1985" s="8">
        <v>0</v>
      </c>
      <c r="AC1985" s="8">
        <v>0</v>
      </c>
      <c r="AF1985" s="8">
        <v>0</v>
      </c>
      <c r="AN1985" s="8">
        <v>6</v>
      </c>
      <c r="AO1985" s="8">
        <v>0</v>
      </c>
    </row>
    <row r="1986" spans="1:41" x14ac:dyDescent="0.25">
      <c r="A1986" s="6" t="str">
        <f>"522-2026000149"</f>
        <v>522-2026000149</v>
      </c>
      <c r="B1986" s="6" t="str">
        <f t="shared" si="474"/>
        <v>EL CORTE</v>
      </c>
      <c r="C1986" s="7">
        <v>46034</v>
      </c>
      <c r="D1986" s="7">
        <v>46037</v>
      </c>
      <c r="E1986" s="8">
        <v>5</v>
      </c>
      <c r="F1986" s="6" t="str">
        <f>"94795801_07026"</f>
        <v>94795801_07026</v>
      </c>
      <c r="G1986" s="6" t="str">
        <f t="shared" si="475"/>
        <v>F310631650000000</v>
      </c>
      <c r="H1986" s="6" t="str">
        <f t="shared" si="476"/>
        <v>PLAR 6316 FD - 500 g</v>
      </c>
      <c r="I1986" s="6" t="str">
        <f>"200510"</f>
        <v>200510</v>
      </c>
      <c r="J1986" s="6" t="str">
        <f>"VERDE 510"</f>
        <v>VERDE 510</v>
      </c>
      <c r="K1986" s="6" t="str">
        <f>"2020"</f>
        <v>2020</v>
      </c>
      <c r="L1986" s="6" t="str">
        <f>"Lençóis"</f>
        <v>Lençóis</v>
      </c>
      <c r="M1986" s="6" t="str">
        <f>"100x150"</f>
        <v>100x150</v>
      </c>
      <c r="N1986" s="6" t="str">
        <f>"5602972281156"</f>
        <v>5602972281156</v>
      </c>
      <c r="O1986" s="8">
        <v>3</v>
      </c>
      <c r="R1986" s="8">
        <v>0</v>
      </c>
      <c r="U1986" s="8">
        <v>0</v>
      </c>
      <c r="X1986" s="8">
        <v>0</v>
      </c>
      <c r="Z1986" s="8">
        <v>0</v>
      </c>
      <c r="AC1986" s="8">
        <v>0</v>
      </c>
      <c r="AF1986" s="8">
        <v>0</v>
      </c>
      <c r="AN1986" s="8">
        <v>0</v>
      </c>
      <c r="AO1986" s="8">
        <v>3</v>
      </c>
    </row>
    <row r="1987" spans="1:41" x14ac:dyDescent="0.25">
      <c r="A1987" s="6" t="str">
        <f>"522-2026000150"</f>
        <v>522-2026000150</v>
      </c>
      <c r="B1987" s="6" t="str">
        <f t="shared" si="474"/>
        <v>EL CORTE</v>
      </c>
      <c r="C1987" s="7">
        <v>46034</v>
      </c>
      <c r="D1987" s="7">
        <v>46037</v>
      </c>
      <c r="E1987" s="8">
        <v>1</v>
      </c>
      <c r="F1987" s="6" t="str">
        <f>"94792001_07026"</f>
        <v>94792001_07026</v>
      </c>
      <c r="G1987" s="6" t="str">
        <f t="shared" si="475"/>
        <v>F310631650000000</v>
      </c>
      <c r="H1987" s="6" t="str">
        <f t="shared" si="476"/>
        <v>PLAR 6316 FD - 500 g</v>
      </c>
      <c r="I1987" s="6" t="str">
        <f>"202575"</f>
        <v>202575</v>
      </c>
      <c r="J1987" s="6" t="str">
        <f>"BEGE 2575"</f>
        <v>BEGE 2575</v>
      </c>
      <c r="K1987" s="6" t="str">
        <f>"1024"</f>
        <v>1024</v>
      </c>
      <c r="L1987" s="6" t="str">
        <f>"Toalhas"</f>
        <v>Toalhas</v>
      </c>
      <c r="M1987" s="6" t="str">
        <f>"50x100"</f>
        <v>50x100</v>
      </c>
      <c r="N1987" s="6" t="str">
        <f>"5602972281088"</f>
        <v>5602972281088</v>
      </c>
      <c r="O1987" s="8">
        <v>6</v>
      </c>
      <c r="R1987" s="8">
        <v>0</v>
      </c>
      <c r="U1987" s="8">
        <v>0</v>
      </c>
      <c r="X1987" s="8">
        <v>0</v>
      </c>
      <c r="Z1987" s="8">
        <v>0</v>
      </c>
      <c r="AC1987" s="8">
        <v>0</v>
      </c>
      <c r="AF1987" s="8">
        <v>0</v>
      </c>
      <c r="AN1987" s="8">
        <v>6</v>
      </c>
      <c r="AO1987" s="8">
        <v>0</v>
      </c>
    </row>
    <row r="1988" spans="1:41" x14ac:dyDescent="0.25">
      <c r="A1988" s="6" t="str">
        <f>"522-2026000150"</f>
        <v>522-2026000150</v>
      </c>
      <c r="B1988" s="6" t="str">
        <f t="shared" si="474"/>
        <v>EL CORTE</v>
      </c>
      <c r="C1988" s="7">
        <v>46034</v>
      </c>
      <c r="D1988" s="7">
        <v>46037</v>
      </c>
      <c r="E1988" s="8">
        <v>2</v>
      </c>
      <c r="F1988" s="6" t="str">
        <f>"94792001_07026"</f>
        <v>94792001_07026</v>
      </c>
      <c r="G1988" s="6" t="str">
        <f t="shared" si="475"/>
        <v>F310631650000000</v>
      </c>
      <c r="H1988" s="6" t="str">
        <f t="shared" si="476"/>
        <v>PLAR 6316 FD - 500 g</v>
      </c>
      <c r="I1988" s="6" t="str">
        <f>"200510"</f>
        <v>200510</v>
      </c>
      <c r="J1988" s="6" t="str">
        <f>"VERDE 510"</f>
        <v>VERDE 510</v>
      </c>
      <c r="K1988" s="6" t="str">
        <f>"2020"</f>
        <v>2020</v>
      </c>
      <c r="L1988" s="6" t="str">
        <f>"Lençóis"</f>
        <v>Lençóis</v>
      </c>
      <c r="M1988" s="6" t="str">
        <f>"100x150"</f>
        <v>100x150</v>
      </c>
      <c r="N1988" s="6" t="str">
        <f>"5602972281156"</f>
        <v>5602972281156</v>
      </c>
      <c r="O1988" s="8">
        <v>3</v>
      </c>
      <c r="R1988" s="8">
        <v>0</v>
      </c>
      <c r="U1988" s="8">
        <v>0</v>
      </c>
      <c r="X1988" s="8">
        <v>0</v>
      </c>
      <c r="Z1988" s="8">
        <v>0</v>
      </c>
      <c r="AC1988" s="8">
        <v>0</v>
      </c>
      <c r="AF1988" s="8">
        <v>0</v>
      </c>
      <c r="AN1988" s="8">
        <v>0</v>
      </c>
      <c r="AO1988" s="8">
        <v>3</v>
      </c>
    </row>
    <row r="1989" spans="1:41" x14ac:dyDescent="0.25">
      <c r="A1989" s="6" t="str">
        <f>"522-2026000151"</f>
        <v>522-2026000151</v>
      </c>
      <c r="B1989" s="6" t="str">
        <f t="shared" si="474"/>
        <v>EL CORTE</v>
      </c>
      <c r="C1989" s="7">
        <v>46034</v>
      </c>
      <c r="D1989" s="7">
        <v>46037</v>
      </c>
      <c r="E1989" s="8">
        <v>1</v>
      </c>
      <c r="F1989" s="6" t="str">
        <f>"94791701_07026"</f>
        <v>94791701_07026</v>
      </c>
      <c r="G1989" s="6" t="str">
        <f t="shared" si="475"/>
        <v>F310631650000000</v>
      </c>
      <c r="H1989" s="6" t="str">
        <f t="shared" si="476"/>
        <v>PLAR 6316 FD - 500 g</v>
      </c>
      <c r="I1989" s="6" t="str">
        <f>"202575"</f>
        <v>202575</v>
      </c>
      <c r="J1989" s="6" t="str">
        <f>"BEGE 2575"</f>
        <v>BEGE 2575</v>
      </c>
      <c r="K1989" s="6" t="str">
        <f>"2020"</f>
        <v>2020</v>
      </c>
      <c r="L1989" s="6" t="str">
        <f>"Lençóis"</f>
        <v>Lençóis</v>
      </c>
      <c r="M1989" s="6" t="str">
        <f>"100x150"</f>
        <v>100x150</v>
      </c>
      <c r="N1989" s="6" t="str">
        <f>"5602972281095"</f>
        <v>5602972281095</v>
      </c>
      <c r="O1989" s="8">
        <v>3</v>
      </c>
      <c r="R1989" s="8">
        <v>0</v>
      </c>
      <c r="U1989" s="8">
        <v>0</v>
      </c>
      <c r="X1989" s="8">
        <v>0</v>
      </c>
      <c r="Z1989" s="8">
        <v>0</v>
      </c>
      <c r="AC1989" s="8">
        <v>0</v>
      </c>
      <c r="AF1989" s="8">
        <v>0</v>
      </c>
      <c r="AN1989" s="8">
        <v>0</v>
      </c>
      <c r="AO1989" s="8">
        <v>3</v>
      </c>
    </row>
    <row r="1990" spans="1:41" x14ac:dyDescent="0.25">
      <c r="A1990" s="6" t="str">
        <f>"522-2026000152"</f>
        <v>522-2026000152</v>
      </c>
      <c r="B1990" s="6" t="str">
        <f t="shared" si="474"/>
        <v>EL CORTE</v>
      </c>
      <c r="C1990" s="7">
        <v>46034</v>
      </c>
      <c r="D1990" s="7">
        <v>46037</v>
      </c>
      <c r="E1990" s="8">
        <v>1</v>
      </c>
      <c r="F1990" s="6" t="str">
        <f>"94790701_07026"</f>
        <v>94790701_07026</v>
      </c>
      <c r="G1990" s="6" t="str">
        <f t="shared" si="475"/>
        <v>F310631650000000</v>
      </c>
      <c r="H1990" s="6" t="str">
        <f t="shared" si="476"/>
        <v>PLAR 6316 FD - 500 g</v>
      </c>
      <c r="I1990" s="6" t="str">
        <f>"202575"</f>
        <v>202575</v>
      </c>
      <c r="J1990" s="6" t="str">
        <f>"BEGE 2575"</f>
        <v>BEGE 2575</v>
      </c>
      <c r="K1990" s="6" t="str">
        <f>"2020"</f>
        <v>2020</v>
      </c>
      <c r="L1990" s="6" t="str">
        <f>"Lençóis"</f>
        <v>Lençóis</v>
      </c>
      <c r="M1990" s="6" t="str">
        <f>"100x150"</f>
        <v>100x150</v>
      </c>
      <c r="N1990" s="6" t="str">
        <f>"5602972281095"</f>
        <v>5602972281095</v>
      </c>
      <c r="O1990" s="8">
        <v>3</v>
      </c>
      <c r="R1990" s="8">
        <v>0</v>
      </c>
      <c r="U1990" s="8">
        <v>0</v>
      </c>
      <c r="X1990" s="8">
        <v>0</v>
      </c>
      <c r="Z1990" s="8">
        <v>0</v>
      </c>
      <c r="AC1990" s="8">
        <v>0</v>
      </c>
      <c r="AF1990" s="8">
        <v>0</v>
      </c>
      <c r="AN1990" s="8">
        <v>0</v>
      </c>
      <c r="AO1990" s="8">
        <v>3</v>
      </c>
    </row>
    <row r="1991" spans="1:41" x14ac:dyDescent="0.25">
      <c r="A1991" s="6" t="str">
        <f>"522-2026000152"</f>
        <v>522-2026000152</v>
      </c>
      <c r="B1991" s="6" t="str">
        <f t="shared" ref="B1991:B2054" si="481">"EL CORTE"</f>
        <v>EL CORTE</v>
      </c>
      <c r="C1991" s="7">
        <v>46034</v>
      </c>
      <c r="D1991" s="7">
        <v>46037</v>
      </c>
      <c r="E1991" s="8">
        <v>2</v>
      </c>
      <c r="F1991" s="6" t="str">
        <f>"94790701_07026"</f>
        <v>94790701_07026</v>
      </c>
      <c r="G1991" s="6" t="str">
        <f t="shared" ref="G1991:G2054" si="482">"F310631650000000"</f>
        <v>F310631650000000</v>
      </c>
      <c r="H1991" s="6" t="str">
        <f t="shared" ref="H1991:H2054" si="483">"PLAR 6316 FD - 500 g"</f>
        <v>PLAR 6316 FD - 500 g</v>
      </c>
      <c r="I1991" s="6" t="str">
        <f>"200901"</f>
        <v>200901</v>
      </c>
      <c r="J1991" s="6" t="str">
        <f>"ROSA 901"</f>
        <v>ROSA 901</v>
      </c>
      <c r="K1991" s="6" t="str">
        <f>"2020"</f>
        <v>2020</v>
      </c>
      <c r="L1991" s="6" t="str">
        <f>"Lençóis"</f>
        <v>Lençóis</v>
      </c>
      <c r="M1991" s="6" t="str">
        <f>"100x150"</f>
        <v>100x150</v>
      </c>
      <c r="N1991" s="6" t="str">
        <f>"5602972281125"</f>
        <v>5602972281125</v>
      </c>
      <c r="O1991" s="8">
        <v>9</v>
      </c>
      <c r="R1991" s="8">
        <v>0</v>
      </c>
      <c r="U1991" s="8">
        <v>0</v>
      </c>
      <c r="X1991" s="8">
        <v>0</v>
      </c>
      <c r="Z1991" s="8">
        <v>0</v>
      </c>
      <c r="AC1991" s="8">
        <v>0</v>
      </c>
      <c r="AF1991" s="8">
        <v>0</v>
      </c>
      <c r="AN1991" s="8">
        <v>0</v>
      </c>
      <c r="AO1991" s="8">
        <v>9</v>
      </c>
    </row>
    <row r="1992" spans="1:41" x14ac:dyDescent="0.25">
      <c r="A1992" s="6" t="str">
        <f>"522-2026000152"</f>
        <v>522-2026000152</v>
      </c>
      <c r="B1992" s="6" t="str">
        <f t="shared" si="481"/>
        <v>EL CORTE</v>
      </c>
      <c r="C1992" s="7">
        <v>46034</v>
      </c>
      <c r="D1992" s="7">
        <v>46037</v>
      </c>
      <c r="E1992" s="8">
        <v>3</v>
      </c>
      <c r="F1992" s="6" t="str">
        <f>"94790701_07026"</f>
        <v>94790701_07026</v>
      </c>
      <c r="G1992" s="6" t="str">
        <f t="shared" si="482"/>
        <v>F310631650000000</v>
      </c>
      <c r="H1992" s="6" t="str">
        <f t="shared" si="483"/>
        <v>PLAR 6316 FD - 500 g</v>
      </c>
      <c r="I1992" s="6" t="str">
        <f>"200510"</f>
        <v>200510</v>
      </c>
      <c r="J1992" s="6" t="str">
        <f>"VERDE 510"</f>
        <v>VERDE 510</v>
      </c>
      <c r="K1992" s="6" t="str">
        <f>"1024"</f>
        <v>1024</v>
      </c>
      <c r="L1992" s="6" t="str">
        <f>"Toalhas"</f>
        <v>Toalhas</v>
      </c>
      <c r="M1992" s="6" t="str">
        <f>"50x100"</f>
        <v>50x100</v>
      </c>
      <c r="N1992" s="6" t="str">
        <f>"5602972281149"</f>
        <v>5602972281149</v>
      </c>
      <c r="O1992" s="8">
        <v>6</v>
      </c>
      <c r="R1992" s="8">
        <v>0</v>
      </c>
      <c r="U1992" s="8">
        <v>0</v>
      </c>
      <c r="X1992" s="8">
        <v>0</v>
      </c>
      <c r="Z1992" s="8">
        <v>0</v>
      </c>
      <c r="AC1992" s="8">
        <v>0</v>
      </c>
      <c r="AF1992" s="8">
        <v>0</v>
      </c>
      <c r="AN1992" s="8">
        <v>6</v>
      </c>
      <c r="AO1992" s="8">
        <v>0</v>
      </c>
    </row>
    <row r="1993" spans="1:41" x14ac:dyDescent="0.25">
      <c r="A1993" s="6" t="str">
        <f>"522-2026000152"</f>
        <v>522-2026000152</v>
      </c>
      <c r="B1993" s="6" t="str">
        <f t="shared" si="481"/>
        <v>EL CORTE</v>
      </c>
      <c r="C1993" s="7">
        <v>46034</v>
      </c>
      <c r="D1993" s="7">
        <v>46037</v>
      </c>
      <c r="E1993" s="8">
        <v>4</v>
      </c>
      <c r="F1993" s="6" t="str">
        <f>"94790701_07026"</f>
        <v>94790701_07026</v>
      </c>
      <c r="G1993" s="6" t="str">
        <f t="shared" si="482"/>
        <v>F310631650000000</v>
      </c>
      <c r="H1993" s="6" t="str">
        <f t="shared" si="483"/>
        <v>PLAR 6316 FD - 500 g</v>
      </c>
      <c r="I1993" s="6" t="str">
        <f>"200510"</f>
        <v>200510</v>
      </c>
      <c r="J1993" s="6" t="str">
        <f>"VERDE 510"</f>
        <v>VERDE 510</v>
      </c>
      <c r="K1993" s="6" t="str">
        <f>"2020"</f>
        <v>2020</v>
      </c>
      <c r="L1993" s="6" t="str">
        <f>"Lençóis"</f>
        <v>Lençóis</v>
      </c>
      <c r="M1993" s="6" t="str">
        <f>"100x150"</f>
        <v>100x150</v>
      </c>
      <c r="N1993" s="6" t="str">
        <f>"5602972281156"</f>
        <v>5602972281156</v>
      </c>
      <c r="O1993" s="8">
        <v>6</v>
      </c>
      <c r="R1993" s="8">
        <v>0</v>
      </c>
      <c r="U1993" s="8">
        <v>0</v>
      </c>
      <c r="X1993" s="8">
        <v>0</v>
      </c>
      <c r="Z1993" s="8">
        <v>0</v>
      </c>
      <c r="AC1993" s="8">
        <v>0</v>
      </c>
      <c r="AF1993" s="8">
        <v>0</v>
      </c>
      <c r="AN1993" s="8">
        <v>0</v>
      </c>
      <c r="AO1993" s="8">
        <v>6</v>
      </c>
    </row>
    <row r="1994" spans="1:41" x14ac:dyDescent="0.25">
      <c r="A1994" s="6" t="str">
        <f>"522-2026000153"</f>
        <v>522-2026000153</v>
      </c>
      <c r="B1994" s="6" t="str">
        <f t="shared" si="481"/>
        <v>EL CORTE</v>
      </c>
      <c r="C1994" s="7">
        <v>46034</v>
      </c>
      <c r="D1994" s="7">
        <v>46037</v>
      </c>
      <c r="E1994" s="8">
        <v>1</v>
      </c>
      <c r="F1994" s="6" t="str">
        <f>"94794301_07026"</f>
        <v>94794301_07026</v>
      </c>
      <c r="G1994" s="6" t="str">
        <f t="shared" si="482"/>
        <v>F310631650000000</v>
      </c>
      <c r="H1994" s="6" t="str">
        <f t="shared" si="483"/>
        <v>PLAR 6316 FD - 500 g</v>
      </c>
      <c r="I1994" s="6" t="str">
        <f>"202575"</f>
        <v>202575</v>
      </c>
      <c r="J1994" s="6" t="str">
        <f>"BEGE 2575"</f>
        <v>BEGE 2575</v>
      </c>
      <c r="K1994" s="6" t="str">
        <f t="shared" ref="K1994:K1999" si="484">"1024"</f>
        <v>1024</v>
      </c>
      <c r="L1994" s="6" t="str">
        <f t="shared" ref="L1994:L1999" si="485">"Toalhas"</f>
        <v>Toalhas</v>
      </c>
      <c r="M1994" s="6" t="str">
        <f t="shared" ref="M1994:M1999" si="486">"50x100"</f>
        <v>50x100</v>
      </c>
      <c r="N1994" s="6" t="str">
        <f>"5602972281088"</f>
        <v>5602972281088</v>
      </c>
      <c r="O1994" s="8">
        <v>6</v>
      </c>
      <c r="R1994" s="8">
        <v>0</v>
      </c>
      <c r="U1994" s="8">
        <v>0</v>
      </c>
      <c r="X1994" s="8">
        <v>0</v>
      </c>
      <c r="Z1994" s="8">
        <v>0</v>
      </c>
      <c r="AC1994" s="8">
        <v>0</v>
      </c>
      <c r="AF1994" s="8">
        <v>0</v>
      </c>
      <c r="AN1994" s="8">
        <v>6</v>
      </c>
      <c r="AO1994" s="8">
        <v>0</v>
      </c>
    </row>
    <row r="1995" spans="1:41" x14ac:dyDescent="0.25">
      <c r="A1995" s="6" t="str">
        <f>"522-2026000153"</f>
        <v>522-2026000153</v>
      </c>
      <c r="B1995" s="6" t="str">
        <f t="shared" si="481"/>
        <v>EL CORTE</v>
      </c>
      <c r="C1995" s="7">
        <v>46034</v>
      </c>
      <c r="D1995" s="7">
        <v>46037</v>
      </c>
      <c r="E1995" s="8">
        <v>2</v>
      </c>
      <c r="F1995" s="6" t="str">
        <f>"94794301_07026"</f>
        <v>94794301_07026</v>
      </c>
      <c r="G1995" s="6" t="str">
        <f t="shared" si="482"/>
        <v>F310631650000000</v>
      </c>
      <c r="H1995" s="6" t="str">
        <f t="shared" si="483"/>
        <v>PLAR 6316 FD - 500 g</v>
      </c>
      <c r="I1995" s="6" t="str">
        <f>"200901"</f>
        <v>200901</v>
      </c>
      <c r="J1995" s="6" t="str">
        <f>"ROSA 901"</f>
        <v>ROSA 901</v>
      </c>
      <c r="K1995" s="6" t="str">
        <f t="shared" si="484"/>
        <v>1024</v>
      </c>
      <c r="L1995" s="6" t="str">
        <f t="shared" si="485"/>
        <v>Toalhas</v>
      </c>
      <c r="M1995" s="6" t="str">
        <f t="shared" si="486"/>
        <v>50x100</v>
      </c>
      <c r="N1995" s="6" t="str">
        <f>"5602972281118"</f>
        <v>5602972281118</v>
      </c>
      <c r="O1995" s="8">
        <v>6</v>
      </c>
      <c r="R1995" s="8">
        <v>0</v>
      </c>
      <c r="U1995" s="8">
        <v>0</v>
      </c>
      <c r="X1995" s="8">
        <v>0</v>
      </c>
      <c r="Z1995" s="8">
        <v>0</v>
      </c>
      <c r="AC1995" s="8">
        <v>0</v>
      </c>
      <c r="AF1995" s="8">
        <v>0</v>
      </c>
      <c r="AN1995" s="8">
        <v>6</v>
      </c>
      <c r="AO1995" s="8">
        <v>0</v>
      </c>
    </row>
    <row r="1996" spans="1:41" x14ac:dyDescent="0.25">
      <c r="A1996" s="6" t="str">
        <f>"522-2026000153"</f>
        <v>522-2026000153</v>
      </c>
      <c r="B1996" s="6" t="str">
        <f t="shared" si="481"/>
        <v>EL CORTE</v>
      </c>
      <c r="C1996" s="7">
        <v>46034</v>
      </c>
      <c r="D1996" s="7">
        <v>46037</v>
      </c>
      <c r="E1996" s="8">
        <v>3</v>
      </c>
      <c r="F1996" s="6" t="str">
        <f>"94794301_07026"</f>
        <v>94794301_07026</v>
      </c>
      <c r="G1996" s="6" t="str">
        <f t="shared" si="482"/>
        <v>F310631650000000</v>
      </c>
      <c r="H1996" s="6" t="str">
        <f t="shared" si="483"/>
        <v>PLAR 6316 FD - 500 g</v>
      </c>
      <c r="I1996" s="6" t="str">
        <f>"200510"</f>
        <v>200510</v>
      </c>
      <c r="J1996" s="6" t="str">
        <f>"VERDE 510"</f>
        <v>VERDE 510</v>
      </c>
      <c r="K1996" s="6" t="str">
        <f t="shared" si="484"/>
        <v>1024</v>
      </c>
      <c r="L1996" s="6" t="str">
        <f t="shared" si="485"/>
        <v>Toalhas</v>
      </c>
      <c r="M1996" s="6" t="str">
        <f t="shared" si="486"/>
        <v>50x100</v>
      </c>
      <c r="N1996" s="6" t="str">
        <f>"5602972281149"</f>
        <v>5602972281149</v>
      </c>
      <c r="O1996" s="8">
        <v>6</v>
      </c>
      <c r="R1996" s="8">
        <v>0</v>
      </c>
      <c r="U1996" s="8">
        <v>0</v>
      </c>
      <c r="X1996" s="8">
        <v>0</v>
      </c>
      <c r="Z1996" s="8">
        <v>0</v>
      </c>
      <c r="AC1996" s="8">
        <v>0</v>
      </c>
      <c r="AF1996" s="8">
        <v>0</v>
      </c>
      <c r="AN1996" s="8">
        <v>6</v>
      </c>
      <c r="AO1996" s="8">
        <v>0</v>
      </c>
    </row>
    <row r="1997" spans="1:41" x14ac:dyDescent="0.25">
      <c r="A1997" s="6" t="str">
        <f>"522-2026000154"</f>
        <v>522-2026000154</v>
      </c>
      <c r="B1997" s="6" t="str">
        <f t="shared" si="481"/>
        <v>EL CORTE</v>
      </c>
      <c r="C1997" s="7">
        <v>46035</v>
      </c>
      <c r="D1997" s="7">
        <v>46038</v>
      </c>
      <c r="E1997" s="8">
        <v>1</v>
      </c>
      <c r="F1997" s="6" t="str">
        <f>"94812401_07026"</f>
        <v>94812401_07026</v>
      </c>
      <c r="G1997" s="6" t="str">
        <f t="shared" si="482"/>
        <v>F310631650000000</v>
      </c>
      <c r="H1997" s="6" t="str">
        <f t="shared" si="483"/>
        <v>PLAR 6316 FD - 500 g</v>
      </c>
      <c r="I1997" s="6" t="str">
        <f>"202575"</f>
        <v>202575</v>
      </c>
      <c r="J1997" s="6" t="str">
        <f>"BEGE 2575"</f>
        <v>BEGE 2575</v>
      </c>
      <c r="K1997" s="6" t="str">
        <f t="shared" si="484"/>
        <v>1024</v>
      </c>
      <c r="L1997" s="6" t="str">
        <f t="shared" si="485"/>
        <v>Toalhas</v>
      </c>
      <c r="M1997" s="6" t="str">
        <f t="shared" si="486"/>
        <v>50x100</v>
      </c>
      <c r="N1997" s="6" t="str">
        <f>"5602972281088"</f>
        <v>5602972281088</v>
      </c>
      <c r="O1997" s="8">
        <v>6</v>
      </c>
      <c r="R1997" s="8">
        <v>0</v>
      </c>
      <c r="U1997" s="8">
        <v>0</v>
      </c>
      <c r="X1997" s="8">
        <v>0</v>
      </c>
      <c r="Z1997" s="8">
        <v>0</v>
      </c>
      <c r="AC1997" s="8">
        <v>0</v>
      </c>
      <c r="AF1997" s="8">
        <v>0</v>
      </c>
      <c r="AN1997" s="8">
        <v>6</v>
      </c>
      <c r="AO1997" s="8">
        <v>0</v>
      </c>
    </row>
    <row r="1998" spans="1:41" x14ac:dyDescent="0.25">
      <c r="A1998" s="6" t="str">
        <f>"522-2026000155"</f>
        <v>522-2026000155</v>
      </c>
      <c r="B1998" s="6" t="str">
        <f t="shared" si="481"/>
        <v>EL CORTE</v>
      </c>
      <c r="C1998" s="7">
        <v>46035</v>
      </c>
      <c r="D1998" s="7">
        <v>46038</v>
      </c>
      <c r="E1998" s="8">
        <v>1</v>
      </c>
      <c r="F1998" s="6" t="str">
        <f>"94812201_07026"</f>
        <v>94812201_07026</v>
      </c>
      <c r="G1998" s="6" t="str">
        <f t="shared" si="482"/>
        <v>F310631650000000</v>
      </c>
      <c r="H1998" s="6" t="str">
        <f t="shared" si="483"/>
        <v>PLAR 6316 FD - 500 g</v>
      </c>
      <c r="I1998" s="6" t="str">
        <f>"200901"</f>
        <v>200901</v>
      </c>
      <c r="J1998" s="6" t="str">
        <f>"ROSA 901"</f>
        <v>ROSA 901</v>
      </c>
      <c r="K1998" s="6" t="str">
        <f t="shared" si="484"/>
        <v>1024</v>
      </c>
      <c r="L1998" s="6" t="str">
        <f t="shared" si="485"/>
        <v>Toalhas</v>
      </c>
      <c r="M1998" s="6" t="str">
        <f t="shared" si="486"/>
        <v>50x100</v>
      </c>
      <c r="N1998" s="6" t="str">
        <f>"5602972281118"</f>
        <v>5602972281118</v>
      </c>
      <c r="O1998" s="8">
        <v>6</v>
      </c>
      <c r="R1998" s="8">
        <v>0</v>
      </c>
      <c r="U1998" s="8">
        <v>0</v>
      </c>
      <c r="X1998" s="8">
        <v>0</v>
      </c>
      <c r="Z1998" s="8">
        <v>0</v>
      </c>
      <c r="AC1998" s="8">
        <v>0</v>
      </c>
      <c r="AF1998" s="8">
        <v>0</v>
      </c>
      <c r="AN1998" s="8">
        <v>6</v>
      </c>
      <c r="AO1998" s="8">
        <v>0</v>
      </c>
    </row>
    <row r="1999" spans="1:41" x14ac:dyDescent="0.25">
      <c r="A1999" s="6" t="str">
        <f>"522-2026000156"</f>
        <v>522-2026000156</v>
      </c>
      <c r="B1999" s="6" t="str">
        <f t="shared" si="481"/>
        <v>EL CORTE</v>
      </c>
      <c r="C1999" s="7">
        <v>46035</v>
      </c>
      <c r="D1999" s="7">
        <v>46038</v>
      </c>
      <c r="E1999" s="8">
        <v>1</v>
      </c>
      <c r="F1999" s="6" t="str">
        <f>"94812501_07026"</f>
        <v>94812501_07026</v>
      </c>
      <c r="G1999" s="6" t="str">
        <f t="shared" si="482"/>
        <v>F310631650000000</v>
      </c>
      <c r="H1999" s="6" t="str">
        <f t="shared" si="483"/>
        <v>PLAR 6316 FD - 500 g</v>
      </c>
      <c r="I1999" s="6" t="str">
        <f>"202575"</f>
        <v>202575</v>
      </c>
      <c r="J1999" s="6" t="str">
        <f>"BEGE 2575"</f>
        <v>BEGE 2575</v>
      </c>
      <c r="K1999" s="6" t="str">
        <f t="shared" si="484"/>
        <v>1024</v>
      </c>
      <c r="L1999" s="6" t="str">
        <f t="shared" si="485"/>
        <v>Toalhas</v>
      </c>
      <c r="M1999" s="6" t="str">
        <f t="shared" si="486"/>
        <v>50x100</v>
      </c>
      <c r="N1999" s="6" t="str">
        <f>"5602972281088"</f>
        <v>5602972281088</v>
      </c>
      <c r="O1999" s="8">
        <v>6</v>
      </c>
      <c r="R1999" s="8">
        <v>0</v>
      </c>
      <c r="U1999" s="8">
        <v>0</v>
      </c>
      <c r="X1999" s="8">
        <v>0</v>
      </c>
      <c r="Z1999" s="8">
        <v>0</v>
      </c>
      <c r="AC1999" s="8">
        <v>0</v>
      </c>
      <c r="AF1999" s="8">
        <v>0</v>
      </c>
      <c r="AN1999" s="8">
        <v>6</v>
      </c>
      <c r="AO1999" s="8">
        <v>0</v>
      </c>
    </row>
    <row r="2000" spans="1:41" x14ac:dyDescent="0.25">
      <c r="A2000" s="6" t="str">
        <f>"522-2026000156"</f>
        <v>522-2026000156</v>
      </c>
      <c r="B2000" s="6" t="str">
        <f t="shared" si="481"/>
        <v>EL CORTE</v>
      </c>
      <c r="C2000" s="7">
        <v>46035</v>
      </c>
      <c r="D2000" s="7">
        <v>46038</v>
      </c>
      <c r="E2000" s="8">
        <v>2</v>
      </c>
      <c r="F2000" s="6" t="str">
        <f>"94812501_07026"</f>
        <v>94812501_07026</v>
      </c>
      <c r="G2000" s="6" t="str">
        <f t="shared" si="482"/>
        <v>F310631650000000</v>
      </c>
      <c r="H2000" s="6" t="str">
        <f t="shared" si="483"/>
        <v>PLAR 6316 FD - 500 g</v>
      </c>
      <c r="I2000" s="6" t="str">
        <f>"202575"</f>
        <v>202575</v>
      </c>
      <c r="J2000" s="6" t="str">
        <f>"BEGE 2575"</f>
        <v>BEGE 2575</v>
      </c>
      <c r="K2000" s="6" t="str">
        <f>"2020"</f>
        <v>2020</v>
      </c>
      <c r="L2000" s="6" t="str">
        <f>"Lençóis"</f>
        <v>Lençóis</v>
      </c>
      <c r="M2000" s="6" t="str">
        <f>"100x150"</f>
        <v>100x150</v>
      </c>
      <c r="N2000" s="6" t="str">
        <f>"5602972281095"</f>
        <v>5602972281095</v>
      </c>
      <c r="O2000" s="8">
        <v>3</v>
      </c>
      <c r="R2000" s="8">
        <v>0</v>
      </c>
      <c r="U2000" s="8">
        <v>0</v>
      </c>
      <c r="X2000" s="8">
        <v>0</v>
      </c>
      <c r="Z2000" s="8">
        <v>0</v>
      </c>
      <c r="AC2000" s="8">
        <v>0</v>
      </c>
      <c r="AF2000" s="8">
        <v>0</v>
      </c>
      <c r="AN2000" s="8">
        <v>0</v>
      </c>
      <c r="AO2000" s="8">
        <v>3</v>
      </c>
    </row>
    <row r="2001" spans="1:41" x14ac:dyDescent="0.25">
      <c r="A2001" s="6" t="str">
        <f t="shared" ref="A2001:A2012" si="487">"522-2026000157"</f>
        <v>522-2026000157</v>
      </c>
      <c r="B2001" s="6" t="str">
        <f t="shared" si="481"/>
        <v>EL CORTE</v>
      </c>
      <c r="C2001" s="7">
        <v>46035</v>
      </c>
      <c r="D2001" s="7">
        <v>46038</v>
      </c>
      <c r="E2001" s="8">
        <v>1</v>
      </c>
      <c r="F2001" s="6" t="str">
        <f t="shared" ref="F2001:F2012" si="488">"94812901_07026"</f>
        <v>94812901_07026</v>
      </c>
      <c r="G2001" s="6" t="str">
        <f t="shared" si="482"/>
        <v>F310631650000000</v>
      </c>
      <c r="H2001" s="6" t="str">
        <f t="shared" si="483"/>
        <v>PLAR 6316 FD - 500 g</v>
      </c>
      <c r="I2001" s="6" t="str">
        <f>"201855"</f>
        <v>201855</v>
      </c>
      <c r="J2001" s="6" t="str">
        <f>"AZUL 1855"</f>
        <v>AZUL 1855</v>
      </c>
      <c r="K2001" s="6" t="str">
        <f>"0520"</f>
        <v>0520</v>
      </c>
      <c r="L2001" s="6" t="str">
        <f>"Toalhetes"</f>
        <v>Toalhetes</v>
      </c>
      <c r="M2001" s="6" t="str">
        <f>"30x50"</f>
        <v>30x50</v>
      </c>
      <c r="N2001" s="6" t="str">
        <f>"5602972281040"</f>
        <v>5602972281040</v>
      </c>
      <c r="O2001" s="8">
        <v>6</v>
      </c>
      <c r="R2001" s="8">
        <v>0</v>
      </c>
      <c r="U2001" s="8">
        <v>0</v>
      </c>
      <c r="X2001" s="8">
        <v>0</v>
      </c>
      <c r="Z2001" s="8">
        <v>0</v>
      </c>
      <c r="AC2001" s="8">
        <v>0</v>
      </c>
      <c r="AF2001" s="8">
        <v>0</v>
      </c>
      <c r="AN2001" s="8">
        <v>6</v>
      </c>
      <c r="AO2001" s="8">
        <v>0</v>
      </c>
    </row>
    <row r="2002" spans="1:41" x14ac:dyDescent="0.25">
      <c r="A2002" s="6" t="str">
        <f t="shared" si="487"/>
        <v>522-2026000157</v>
      </c>
      <c r="B2002" s="6" t="str">
        <f t="shared" si="481"/>
        <v>EL CORTE</v>
      </c>
      <c r="C2002" s="7">
        <v>46035</v>
      </c>
      <c r="D2002" s="7">
        <v>46038</v>
      </c>
      <c r="E2002" s="8">
        <v>2</v>
      </c>
      <c r="F2002" s="6" t="str">
        <f t="shared" si="488"/>
        <v>94812901_07026</v>
      </c>
      <c r="G2002" s="6" t="str">
        <f t="shared" si="482"/>
        <v>F310631650000000</v>
      </c>
      <c r="H2002" s="6" t="str">
        <f t="shared" si="483"/>
        <v>PLAR 6316 FD - 500 g</v>
      </c>
      <c r="I2002" s="6" t="str">
        <f>"201855"</f>
        <v>201855</v>
      </c>
      <c r="J2002" s="6" t="str">
        <f>"AZUL 1855"</f>
        <v>AZUL 1855</v>
      </c>
      <c r="K2002" s="6" t="str">
        <f>"1024"</f>
        <v>1024</v>
      </c>
      <c r="L2002" s="6" t="str">
        <f>"Toalhas"</f>
        <v>Toalhas</v>
      </c>
      <c r="M2002" s="6" t="str">
        <f>"50x100"</f>
        <v>50x100</v>
      </c>
      <c r="N2002" s="6" t="str">
        <f>"5602972281057"</f>
        <v>5602972281057</v>
      </c>
      <c r="O2002" s="8">
        <v>6</v>
      </c>
      <c r="R2002" s="8">
        <v>0</v>
      </c>
      <c r="U2002" s="8">
        <v>0</v>
      </c>
      <c r="X2002" s="8">
        <v>0</v>
      </c>
      <c r="Z2002" s="8">
        <v>0</v>
      </c>
      <c r="AC2002" s="8">
        <v>0</v>
      </c>
      <c r="AF2002" s="8">
        <v>0</v>
      </c>
      <c r="AN2002" s="8">
        <v>6</v>
      </c>
      <c r="AO2002" s="8">
        <v>0</v>
      </c>
    </row>
    <row r="2003" spans="1:41" x14ac:dyDescent="0.25">
      <c r="A2003" s="6" t="str">
        <f t="shared" si="487"/>
        <v>522-2026000157</v>
      </c>
      <c r="B2003" s="6" t="str">
        <f t="shared" si="481"/>
        <v>EL CORTE</v>
      </c>
      <c r="C2003" s="7">
        <v>46035</v>
      </c>
      <c r="D2003" s="7">
        <v>46038</v>
      </c>
      <c r="E2003" s="8">
        <v>3</v>
      </c>
      <c r="F2003" s="6" t="str">
        <f t="shared" si="488"/>
        <v>94812901_07026</v>
      </c>
      <c r="G2003" s="6" t="str">
        <f t="shared" si="482"/>
        <v>F310631650000000</v>
      </c>
      <c r="H2003" s="6" t="str">
        <f t="shared" si="483"/>
        <v>PLAR 6316 FD - 500 g</v>
      </c>
      <c r="I2003" s="6" t="str">
        <f>"201855"</f>
        <v>201855</v>
      </c>
      <c r="J2003" s="6" t="str">
        <f>"AZUL 1855"</f>
        <v>AZUL 1855</v>
      </c>
      <c r="K2003" s="6" t="str">
        <f>"2020"</f>
        <v>2020</v>
      </c>
      <c r="L2003" s="6" t="str">
        <f>"Lençóis"</f>
        <v>Lençóis</v>
      </c>
      <c r="M2003" s="6" t="str">
        <f>"100x150"</f>
        <v>100x150</v>
      </c>
      <c r="N2003" s="6" t="str">
        <f>"5602972281064"</f>
        <v>5602972281064</v>
      </c>
      <c r="O2003" s="8">
        <v>6</v>
      </c>
      <c r="R2003" s="8">
        <v>0</v>
      </c>
      <c r="U2003" s="8">
        <v>0</v>
      </c>
      <c r="X2003" s="8">
        <v>0</v>
      </c>
      <c r="Z2003" s="8">
        <v>0</v>
      </c>
      <c r="AC2003" s="8">
        <v>0</v>
      </c>
      <c r="AF2003" s="8">
        <v>0</v>
      </c>
      <c r="AN2003" s="8">
        <v>0</v>
      </c>
      <c r="AO2003" s="8">
        <v>6</v>
      </c>
    </row>
    <row r="2004" spans="1:41" x14ac:dyDescent="0.25">
      <c r="A2004" s="6" t="str">
        <f t="shared" si="487"/>
        <v>522-2026000157</v>
      </c>
      <c r="B2004" s="6" t="str">
        <f t="shared" si="481"/>
        <v>EL CORTE</v>
      </c>
      <c r="C2004" s="7">
        <v>46035</v>
      </c>
      <c r="D2004" s="7">
        <v>46038</v>
      </c>
      <c r="E2004" s="8">
        <v>4</v>
      </c>
      <c r="F2004" s="6" t="str">
        <f t="shared" si="488"/>
        <v>94812901_07026</v>
      </c>
      <c r="G2004" s="6" t="str">
        <f t="shared" si="482"/>
        <v>F310631650000000</v>
      </c>
      <c r="H2004" s="6" t="str">
        <f t="shared" si="483"/>
        <v>PLAR 6316 FD - 500 g</v>
      </c>
      <c r="I2004" s="6" t="str">
        <f>"202575"</f>
        <v>202575</v>
      </c>
      <c r="J2004" s="6" t="str">
        <f>"BEGE 2575"</f>
        <v>BEGE 2575</v>
      </c>
      <c r="K2004" s="6" t="str">
        <f>"0520"</f>
        <v>0520</v>
      </c>
      <c r="L2004" s="6" t="str">
        <f>"Toalhetes"</f>
        <v>Toalhetes</v>
      </c>
      <c r="M2004" s="6" t="str">
        <f>"30x50"</f>
        <v>30x50</v>
      </c>
      <c r="N2004" s="6" t="str">
        <f>"5602972281071"</f>
        <v>5602972281071</v>
      </c>
      <c r="O2004" s="8">
        <v>6</v>
      </c>
      <c r="R2004" s="8">
        <v>0</v>
      </c>
      <c r="U2004" s="8">
        <v>0</v>
      </c>
      <c r="X2004" s="8">
        <v>0</v>
      </c>
      <c r="Z2004" s="8">
        <v>0</v>
      </c>
      <c r="AC2004" s="8">
        <v>0</v>
      </c>
      <c r="AF2004" s="8">
        <v>0</v>
      </c>
      <c r="AN2004" s="8">
        <v>6</v>
      </c>
      <c r="AO2004" s="8">
        <v>0</v>
      </c>
    </row>
    <row r="2005" spans="1:41" x14ac:dyDescent="0.25">
      <c r="A2005" s="6" t="str">
        <f t="shared" si="487"/>
        <v>522-2026000157</v>
      </c>
      <c r="B2005" s="6" t="str">
        <f t="shared" si="481"/>
        <v>EL CORTE</v>
      </c>
      <c r="C2005" s="7">
        <v>46035</v>
      </c>
      <c r="D2005" s="7">
        <v>46038</v>
      </c>
      <c r="E2005" s="8">
        <v>5</v>
      </c>
      <c r="F2005" s="6" t="str">
        <f t="shared" si="488"/>
        <v>94812901_07026</v>
      </c>
      <c r="G2005" s="6" t="str">
        <f t="shared" si="482"/>
        <v>F310631650000000</v>
      </c>
      <c r="H2005" s="6" t="str">
        <f t="shared" si="483"/>
        <v>PLAR 6316 FD - 500 g</v>
      </c>
      <c r="I2005" s="6" t="str">
        <f>"202575"</f>
        <v>202575</v>
      </c>
      <c r="J2005" s="6" t="str">
        <f>"BEGE 2575"</f>
        <v>BEGE 2575</v>
      </c>
      <c r="K2005" s="6" t="str">
        <f>"1024"</f>
        <v>1024</v>
      </c>
      <c r="L2005" s="6" t="str">
        <f>"Toalhas"</f>
        <v>Toalhas</v>
      </c>
      <c r="M2005" s="6" t="str">
        <f>"50x100"</f>
        <v>50x100</v>
      </c>
      <c r="N2005" s="6" t="str">
        <f>"5602972281088"</f>
        <v>5602972281088</v>
      </c>
      <c r="O2005" s="8">
        <v>6</v>
      </c>
      <c r="R2005" s="8">
        <v>0</v>
      </c>
      <c r="U2005" s="8">
        <v>0</v>
      </c>
      <c r="X2005" s="8">
        <v>0</v>
      </c>
      <c r="Z2005" s="8">
        <v>0</v>
      </c>
      <c r="AC2005" s="8">
        <v>0</v>
      </c>
      <c r="AF2005" s="8">
        <v>0</v>
      </c>
      <c r="AN2005" s="8">
        <v>6</v>
      </c>
      <c r="AO2005" s="8">
        <v>0</v>
      </c>
    </row>
    <row r="2006" spans="1:41" x14ac:dyDescent="0.25">
      <c r="A2006" s="6" t="str">
        <f t="shared" si="487"/>
        <v>522-2026000157</v>
      </c>
      <c r="B2006" s="6" t="str">
        <f t="shared" si="481"/>
        <v>EL CORTE</v>
      </c>
      <c r="C2006" s="7">
        <v>46035</v>
      </c>
      <c r="D2006" s="7">
        <v>46038</v>
      </c>
      <c r="E2006" s="8">
        <v>6</v>
      </c>
      <c r="F2006" s="6" t="str">
        <f t="shared" si="488"/>
        <v>94812901_07026</v>
      </c>
      <c r="G2006" s="6" t="str">
        <f t="shared" si="482"/>
        <v>F310631650000000</v>
      </c>
      <c r="H2006" s="6" t="str">
        <f t="shared" si="483"/>
        <v>PLAR 6316 FD - 500 g</v>
      </c>
      <c r="I2006" s="6" t="str">
        <f>"202575"</f>
        <v>202575</v>
      </c>
      <c r="J2006" s="6" t="str">
        <f>"BEGE 2575"</f>
        <v>BEGE 2575</v>
      </c>
      <c r="K2006" s="6" t="str">
        <f>"2020"</f>
        <v>2020</v>
      </c>
      <c r="L2006" s="6" t="str">
        <f>"Lençóis"</f>
        <v>Lençóis</v>
      </c>
      <c r="M2006" s="6" t="str">
        <f>"100x150"</f>
        <v>100x150</v>
      </c>
      <c r="N2006" s="6" t="str">
        <f>"5602972281095"</f>
        <v>5602972281095</v>
      </c>
      <c r="O2006" s="8">
        <v>6</v>
      </c>
      <c r="R2006" s="8">
        <v>0</v>
      </c>
      <c r="U2006" s="8">
        <v>0</v>
      </c>
      <c r="X2006" s="8">
        <v>0</v>
      </c>
      <c r="Z2006" s="8">
        <v>0</v>
      </c>
      <c r="AC2006" s="8">
        <v>0</v>
      </c>
      <c r="AF2006" s="8">
        <v>0</v>
      </c>
      <c r="AN2006" s="8">
        <v>0</v>
      </c>
      <c r="AO2006" s="8">
        <v>6</v>
      </c>
    </row>
    <row r="2007" spans="1:41" x14ac:dyDescent="0.25">
      <c r="A2007" s="6" t="str">
        <f t="shared" si="487"/>
        <v>522-2026000157</v>
      </c>
      <c r="B2007" s="6" t="str">
        <f t="shared" si="481"/>
        <v>EL CORTE</v>
      </c>
      <c r="C2007" s="7">
        <v>46035</v>
      </c>
      <c r="D2007" s="7">
        <v>46038</v>
      </c>
      <c r="E2007" s="8">
        <v>7</v>
      </c>
      <c r="F2007" s="6" t="str">
        <f t="shared" si="488"/>
        <v>94812901_07026</v>
      </c>
      <c r="G2007" s="6" t="str">
        <f t="shared" si="482"/>
        <v>F310631650000000</v>
      </c>
      <c r="H2007" s="6" t="str">
        <f t="shared" si="483"/>
        <v>PLAR 6316 FD - 500 g</v>
      </c>
      <c r="I2007" s="6" t="str">
        <f>"200901"</f>
        <v>200901</v>
      </c>
      <c r="J2007" s="6" t="str">
        <f>"ROSA 901"</f>
        <v>ROSA 901</v>
      </c>
      <c r="K2007" s="6" t="str">
        <f>"0520"</f>
        <v>0520</v>
      </c>
      <c r="L2007" s="6" t="str">
        <f>"Toalhetes"</f>
        <v>Toalhetes</v>
      </c>
      <c r="M2007" s="6" t="str">
        <f>"30x50"</f>
        <v>30x50</v>
      </c>
      <c r="N2007" s="6" t="str">
        <f>"5602972281101"</f>
        <v>5602972281101</v>
      </c>
      <c r="O2007" s="8">
        <v>6</v>
      </c>
      <c r="R2007" s="8">
        <v>0</v>
      </c>
      <c r="U2007" s="8">
        <v>0</v>
      </c>
      <c r="X2007" s="8">
        <v>0</v>
      </c>
      <c r="Z2007" s="8">
        <v>0</v>
      </c>
      <c r="AC2007" s="8">
        <v>0</v>
      </c>
      <c r="AF2007" s="8">
        <v>0</v>
      </c>
      <c r="AN2007" s="8">
        <v>6</v>
      </c>
      <c r="AO2007" s="8">
        <v>0</v>
      </c>
    </row>
    <row r="2008" spans="1:41" x14ac:dyDescent="0.25">
      <c r="A2008" s="6" t="str">
        <f t="shared" si="487"/>
        <v>522-2026000157</v>
      </c>
      <c r="B2008" s="6" t="str">
        <f t="shared" si="481"/>
        <v>EL CORTE</v>
      </c>
      <c r="C2008" s="7">
        <v>46035</v>
      </c>
      <c r="D2008" s="7">
        <v>46038</v>
      </c>
      <c r="E2008" s="8">
        <v>8</v>
      </c>
      <c r="F2008" s="6" t="str">
        <f t="shared" si="488"/>
        <v>94812901_07026</v>
      </c>
      <c r="G2008" s="6" t="str">
        <f t="shared" si="482"/>
        <v>F310631650000000</v>
      </c>
      <c r="H2008" s="6" t="str">
        <f t="shared" si="483"/>
        <v>PLAR 6316 FD - 500 g</v>
      </c>
      <c r="I2008" s="6" t="str">
        <f>"200901"</f>
        <v>200901</v>
      </c>
      <c r="J2008" s="6" t="str">
        <f>"ROSA 901"</f>
        <v>ROSA 901</v>
      </c>
      <c r="K2008" s="6" t="str">
        <f>"1024"</f>
        <v>1024</v>
      </c>
      <c r="L2008" s="6" t="str">
        <f>"Toalhas"</f>
        <v>Toalhas</v>
      </c>
      <c r="M2008" s="6" t="str">
        <f>"50x100"</f>
        <v>50x100</v>
      </c>
      <c r="N2008" s="6" t="str">
        <f>"5602972281118"</f>
        <v>5602972281118</v>
      </c>
      <c r="O2008" s="8">
        <v>6</v>
      </c>
      <c r="R2008" s="8">
        <v>0</v>
      </c>
      <c r="U2008" s="8">
        <v>0</v>
      </c>
      <c r="X2008" s="8">
        <v>0</v>
      </c>
      <c r="Z2008" s="8">
        <v>0</v>
      </c>
      <c r="AC2008" s="8">
        <v>0</v>
      </c>
      <c r="AF2008" s="8">
        <v>0</v>
      </c>
      <c r="AN2008" s="8">
        <v>6</v>
      </c>
      <c r="AO2008" s="8">
        <v>0</v>
      </c>
    </row>
    <row r="2009" spans="1:41" x14ac:dyDescent="0.25">
      <c r="A2009" s="6" t="str">
        <f t="shared" si="487"/>
        <v>522-2026000157</v>
      </c>
      <c r="B2009" s="6" t="str">
        <f t="shared" si="481"/>
        <v>EL CORTE</v>
      </c>
      <c r="C2009" s="7">
        <v>46035</v>
      </c>
      <c r="D2009" s="7">
        <v>46038</v>
      </c>
      <c r="E2009" s="8">
        <v>9</v>
      </c>
      <c r="F2009" s="6" t="str">
        <f t="shared" si="488"/>
        <v>94812901_07026</v>
      </c>
      <c r="G2009" s="6" t="str">
        <f t="shared" si="482"/>
        <v>F310631650000000</v>
      </c>
      <c r="H2009" s="6" t="str">
        <f t="shared" si="483"/>
        <v>PLAR 6316 FD - 500 g</v>
      </c>
      <c r="I2009" s="6" t="str">
        <f>"200901"</f>
        <v>200901</v>
      </c>
      <c r="J2009" s="6" t="str">
        <f>"ROSA 901"</f>
        <v>ROSA 901</v>
      </c>
      <c r="K2009" s="6" t="str">
        <f>"2020"</f>
        <v>2020</v>
      </c>
      <c r="L2009" s="6" t="str">
        <f>"Lençóis"</f>
        <v>Lençóis</v>
      </c>
      <c r="M2009" s="6" t="str">
        <f>"100x150"</f>
        <v>100x150</v>
      </c>
      <c r="N2009" s="6" t="str">
        <f>"5602972281125"</f>
        <v>5602972281125</v>
      </c>
      <c r="O2009" s="8">
        <v>6</v>
      </c>
      <c r="R2009" s="8">
        <v>0</v>
      </c>
      <c r="U2009" s="8">
        <v>0</v>
      </c>
      <c r="X2009" s="8">
        <v>0</v>
      </c>
      <c r="Z2009" s="8">
        <v>0</v>
      </c>
      <c r="AC2009" s="8">
        <v>0</v>
      </c>
      <c r="AF2009" s="8">
        <v>0</v>
      </c>
      <c r="AN2009" s="8">
        <v>0</v>
      </c>
      <c r="AO2009" s="8">
        <v>6</v>
      </c>
    </row>
    <row r="2010" spans="1:41" x14ac:dyDescent="0.25">
      <c r="A2010" s="6" t="str">
        <f t="shared" si="487"/>
        <v>522-2026000157</v>
      </c>
      <c r="B2010" s="6" t="str">
        <f t="shared" si="481"/>
        <v>EL CORTE</v>
      </c>
      <c r="C2010" s="7">
        <v>46035</v>
      </c>
      <c r="D2010" s="7">
        <v>46038</v>
      </c>
      <c r="E2010" s="8">
        <v>10</v>
      </c>
      <c r="F2010" s="6" t="str">
        <f t="shared" si="488"/>
        <v>94812901_07026</v>
      </c>
      <c r="G2010" s="6" t="str">
        <f t="shared" si="482"/>
        <v>F310631650000000</v>
      </c>
      <c r="H2010" s="6" t="str">
        <f t="shared" si="483"/>
        <v>PLAR 6316 FD - 500 g</v>
      </c>
      <c r="I2010" s="6" t="str">
        <f>"200510"</f>
        <v>200510</v>
      </c>
      <c r="J2010" s="6" t="str">
        <f>"VERDE 510"</f>
        <v>VERDE 510</v>
      </c>
      <c r="K2010" s="6" t="str">
        <f>"0520"</f>
        <v>0520</v>
      </c>
      <c r="L2010" s="6" t="str">
        <f>"Toalhetes"</f>
        <v>Toalhetes</v>
      </c>
      <c r="M2010" s="6" t="str">
        <f>"30x50"</f>
        <v>30x50</v>
      </c>
      <c r="N2010" s="6" t="str">
        <f>"5602972281132"</f>
        <v>5602972281132</v>
      </c>
      <c r="O2010" s="8">
        <v>6</v>
      </c>
      <c r="R2010" s="8">
        <v>0</v>
      </c>
      <c r="U2010" s="8">
        <v>0</v>
      </c>
      <c r="X2010" s="8">
        <v>0</v>
      </c>
      <c r="Z2010" s="8">
        <v>0</v>
      </c>
      <c r="AC2010" s="8">
        <v>0</v>
      </c>
      <c r="AF2010" s="8">
        <v>0</v>
      </c>
      <c r="AN2010" s="8">
        <v>6</v>
      </c>
      <c r="AO2010" s="8">
        <v>0</v>
      </c>
    </row>
    <row r="2011" spans="1:41" x14ac:dyDescent="0.25">
      <c r="A2011" s="6" t="str">
        <f t="shared" si="487"/>
        <v>522-2026000157</v>
      </c>
      <c r="B2011" s="6" t="str">
        <f t="shared" si="481"/>
        <v>EL CORTE</v>
      </c>
      <c r="C2011" s="7">
        <v>46035</v>
      </c>
      <c r="D2011" s="7">
        <v>46038</v>
      </c>
      <c r="E2011" s="8">
        <v>11</v>
      </c>
      <c r="F2011" s="6" t="str">
        <f t="shared" si="488"/>
        <v>94812901_07026</v>
      </c>
      <c r="G2011" s="6" t="str">
        <f t="shared" si="482"/>
        <v>F310631650000000</v>
      </c>
      <c r="H2011" s="6" t="str">
        <f t="shared" si="483"/>
        <v>PLAR 6316 FD - 500 g</v>
      </c>
      <c r="I2011" s="6" t="str">
        <f>"200510"</f>
        <v>200510</v>
      </c>
      <c r="J2011" s="6" t="str">
        <f>"VERDE 510"</f>
        <v>VERDE 510</v>
      </c>
      <c r="K2011" s="6" t="str">
        <f>"1024"</f>
        <v>1024</v>
      </c>
      <c r="L2011" s="6" t="str">
        <f>"Toalhas"</f>
        <v>Toalhas</v>
      </c>
      <c r="M2011" s="6" t="str">
        <f>"50x100"</f>
        <v>50x100</v>
      </c>
      <c r="N2011" s="6" t="str">
        <f>"5602972281149"</f>
        <v>5602972281149</v>
      </c>
      <c r="O2011" s="8">
        <v>12</v>
      </c>
      <c r="R2011" s="8">
        <v>0</v>
      </c>
      <c r="U2011" s="8">
        <v>0</v>
      </c>
      <c r="X2011" s="8">
        <v>0</v>
      </c>
      <c r="Z2011" s="8">
        <v>0</v>
      </c>
      <c r="AC2011" s="8">
        <v>0</v>
      </c>
      <c r="AF2011" s="8">
        <v>0</v>
      </c>
      <c r="AN2011" s="8">
        <v>12</v>
      </c>
      <c r="AO2011" s="8">
        <v>0</v>
      </c>
    </row>
    <row r="2012" spans="1:41" x14ac:dyDescent="0.25">
      <c r="A2012" s="6" t="str">
        <f t="shared" si="487"/>
        <v>522-2026000157</v>
      </c>
      <c r="B2012" s="6" t="str">
        <f t="shared" si="481"/>
        <v>EL CORTE</v>
      </c>
      <c r="C2012" s="7">
        <v>46035</v>
      </c>
      <c r="D2012" s="7">
        <v>46038</v>
      </c>
      <c r="E2012" s="8">
        <v>12</v>
      </c>
      <c r="F2012" s="6" t="str">
        <f t="shared" si="488"/>
        <v>94812901_07026</v>
      </c>
      <c r="G2012" s="6" t="str">
        <f t="shared" si="482"/>
        <v>F310631650000000</v>
      </c>
      <c r="H2012" s="6" t="str">
        <f t="shared" si="483"/>
        <v>PLAR 6316 FD - 500 g</v>
      </c>
      <c r="I2012" s="6" t="str">
        <f>"200510"</f>
        <v>200510</v>
      </c>
      <c r="J2012" s="6" t="str">
        <f>"VERDE 510"</f>
        <v>VERDE 510</v>
      </c>
      <c r="K2012" s="6" t="str">
        <f>"2020"</f>
        <v>2020</v>
      </c>
      <c r="L2012" s="6" t="str">
        <f>"Lençóis"</f>
        <v>Lençóis</v>
      </c>
      <c r="M2012" s="6" t="str">
        <f>"100x150"</f>
        <v>100x150</v>
      </c>
      <c r="N2012" s="6" t="str">
        <f>"5602972281156"</f>
        <v>5602972281156</v>
      </c>
      <c r="O2012" s="8">
        <v>6</v>
      </c>
      <c r="R2012" s="8">
        <v>0</v>
      </c>
      <c r="U2012" s="8">
        <v>0</v>
      </c>
      <c r="X2012" s="8">
        <v>0</v>
      </c>
      <c r="Z2012" s="8">
        <v>0</v>
      </c>
      <c r="AC2012" s="8">
        <v>0</v>
      </c>
      <c r="AF2012" s="8">
        <v>0</v>
      </c>
      <c r="AN2012" s="8">
        <v>0</v>
      </c>
      <c r="AO2012" s="8">
        <v>6</v>
      </c>
    </row>
    <row r="2013" spans="1:41" x14ac:dyDescent="0.25">
      <c r="A2013" s="6" t="str">
        <f>"522-2026000158"</f>
        <v>522-2026000158</v>
      </c>
      <c r="B2013" s="6" t="str">
        <f t="shared" si="481"/>
        <v>EL CORTE</v>
      </c>
      <c r="C2013" s="7">
        <v>46035</v>
      </c>
      <c r="D2013" s="7">
        <v>46038</v>
      </c>
      <c r="E2013" s="8">
        <v>1</v>
      </c>
      <c r="F2013" s="6" t="str">
        <f>"94812101_07026"</f>
        <v>94812101_07026</v>
      </c>
      <c r="G2013" s="6" t="str">
        <f t="shared" si="482"/>
        <v>F310631650000000</v>
      </c>
      <c r="H2013" s="6" t="str">
        <f t="shared" si="483"/>
        <v>PLAR 6316 FD - 500 g</v>
      </c>
      <c r="I2013" s="6" t="str">
        <f>"201855"</f>
        <v>201855</v>
      </c>
      <c r="J2013" s="6" t="str">
        <f>"AZUL 1855"</f>
        <v>AZUL 1855</v>
      </c>
      <c r="K2013" s="6" t="str">
        <f>"2020"</f>
        <v>2020</v>
      </c>
      <c r="L2013" s="6" t="str">
        <f>"Lençóis"</f>
        <v>Lençóis</v>
      </c>
      <c r="M2013" s="6" t="str">
        <f>"100x150"</f>
        <v>100x150</v>
      </c>
      <c r="N2013" s="6" t="str">
        <f>"5602972281064"</f>
        <v>5602972281064</v>
      </c>
      <c r="O2013" s="8">
        <v>3</v>
      </c>
      <c r="R2013" s="8">
        <v>0</v>
      </c>
      <c r="U2013" s="8">
        <v>0</v>
      </c>
      <c r="X2013" s="8">
        <v>0</v>
      </c>
      <c r="Z2013" s="8">
        <v>0</v>
      </c>
      <c r="AC2013" s="8">
        <v>0</v>
      </c>
      <c r="AF2013" s="8">
        <v>0</v>
      </c>
      <c r="AN2013" s="8">
        <v>0</v>
      </c>
      <c r="AO2013" s="8">
        <v>3</v>
      </c>
    </row>
    <row r="2014" spans="1:41" x14ac:dyDescent="0.25">
      <c r="A2014" s="6" t="str">
        <f>"522-2026000158"</f>
        <v>522-2026000158</v>
      </c>
      <c r="B2014" s="6" t="str">
        <f t="shared" si="481"/>
        <v>EL CORTE</v>
      </c>
      <c r="C2014" s="7">
        <v>46035</v>
      </c>
      <c r="D2014" s="7">
        <v>46038</v>
      </c>
      <c r="E2014" s="8">
        <v>2</v>
      </c>
      <c r="F2014" s="6" t="str">
        <f>"94812101_07026"</f>
        <v>94812101_07026</v>
      </c>
      <c r="G2014" s="6" t="str">
        <f t="shared" si="482"/>
        <v>F310631650000000</v>
      </c>
      <c r="H2014" s="6" t="str">
        <f t="shared" si="483"/>
        <v>PLAR 6316 FD - 500 g</v>
      </c>
      <c r="I2014" s="6" t="str">
        <f>"202575"</f>
        <v>202575</v>
      </c>
      <c r="J2014" s="6" t="str">
        <f>"BEGE 2575"</f>
        <v>BEGE 2575</v>
      </c>
      <c r="K2014" s="6" t="str">
        <f>"2020"</f>
        <v>2020</v>
      </c>
      <c r="L2014" s="6" t="str">
        <f>"Lençóis"</f>
        <v>Lençóis</v>
      </c>
      <c r="M2014" s="6" t="str">
        <f>"100x150"</f>
        <v>100x150</v>
      </c>
      <c r="N2014" s="6" t="str">
        <f>"5602972281095"</f>
        <v>5602972281095</v>
      </c>
      <c r="O2014" s="8">
        <v>3</v>
      </c>
      <c r="R2014" s="8">
        <v>0</v>
      </c>
      <c r="U2014" s="8">
        <v>0</v>
      </c>
      <c r="X2014" s="8">
        <v>0</v>
      </c>
      <c r="Z2014" s="8">
        <v>0</v>
      </c>
      <c r="AC2014" s="8">
        <v>0</v>
      </c>
      <c r="AF2014" s="8">
        <v>0</v>
      </c>
      <c r="AN2014" s="8">
        <v>0</v>
      </c>
      <c r="AO2014" s="8">
        <v>3</v>
      </c>
    </row>
    <row r="2015" spans="1:41" x14ac:dyDescent="0.25">
      <c r="A2015" s="6" t="str">
        <f>"522-2026000158"</f>
        <v>522-2026000158</v>
      </c>
      <c r="B2015" s="6" t="str">
        <f t="shared" si="481"/>
        <v>EL CORTE</v>
      </c>
      <c r="C2015" s="7">
        <v>46035</v>
      </c>
      <c r="D2015" s="7">
        <v>46038</v>
      </c>
      <c r="E2015" s="8">
        <v>3</v>
      </c>
      <c r="F2015" s="6" t="str">
        <f>"94812101_07026"</f>
        <v>94812101_07026</v>
      </c>
      <c r="G2015" s="6" t="str">
        <f t="shared" si="482"/>
        <v>F310631650000000</v>
      </c>
      <c r="H2015" s="6" t="str">
        <f t="shared" si="483"/>
        <v>PLAR 6316 FD - 500 g</v>
      </c>
      <c r="I2015" s="6" t="str">
        <f>"200901"</f>
        <v>200901</v>
      </c>
      <c r="J2015" s="6" t="str">
        <f>"ROSA 901"</f>
        <v>ROSA 901</v>
      </c>
      <c r="K2015" s="6" t="str">
        <f>"2020"</f>
        <v>2020</v>
      </c>
      <c r="L2015" s="6" t="str">
        <f>"Lençóis"</f>
        <v>Lençóis</v>
      </c>
      <c r="M2015" s="6" t="str">
        <f>"100x150"</f>
        <v>100x150</v>
      </c>
      <c r="N2015" s="6" t="str">
        <f>"5602972281125"</f>
        <v>5602972281125</v>
      </c>
      <c r="O2015" s="8">
        <v>3</v>
      </c>
      <c r="R2015" s="8">
        <v>0</v>
      </c>
      <c r="U2015" s="8">
        <v>0</v>
      </c>
      <c r="X2015" s="8">
        <v>0</v>
      </c>
      <c r="Z2015" s="8">
        <v>0</v>
      </c>
      <c r="AC2015" s="8">
        <v>0</v>
      </c>
      <c r="AF2015" s="8">
        <v>0</v>
      </c>
      <c r="AN2015" s="8">
        <v>0</v>
      </c>
      <c r="AO2015" s="8">
        <v>3</v>
      </c>
    </row>
    <row r="2016" spans="1:41" x14ac:dyDescent="0.25">
      <c r="A2016" s="6" t="str">
        <f>"522-2026000158"</f>
        <v>522-2026000158</v>
      </c>
      <c r="B2016" s="6" t="str">
        <f t="shared" si="481"/>
        <v>EL CORTE</v>
      </c>
      <c r="C2016" s="7">
        <v>46035</v>
      </c>
      <c r="D2016" s="7">
        <v>46038</v>
      </c>
      <c r="E2016" s="8">
        <v>4</v>
      </c>
      <c r="F2016" s="6" t="str">
        <f>"94812101_07026"</f>
        <v>94812101_07026</v>
      </c>
      <c r="G2016" s="6" t="str">
        <f t="shared" si="482"/>
        <v>F310631650000000</v>
      </c>
      <c r="H2016" s="6" t="str">
        <f t="shared" si="483"/>
        <v>PLAR 6316 FD - 500 g</v>
      </c>
      <c r="I2016" s="6" t="str">
        <f>"200510"</f>
        <v>200510</v>
      </c>
      <c r="J2016" s="6" t="str">
        <f>"VERDE 510"</f>
        <v>VERDE 510</v>
      </c>
      <c r="K2016" s="6" t="str">
        <f>"1024"</f>
        <v>1024</v>
      </c>
      <c r="L2016" s="6" t="str">
        <f>"Toalhas"</f>
        <v>Toalhas</v>
      </c>
      <c r="M2016" s="6" t="str">
        <f>"50x100"</f>
        <v>50x100</v>
      </c>
      <c r="N2016" s="6" t="str">
        <f>"5602972281149"</f>
        <v>5602972281149</v>
      </c>
      <c r="O2016" s="8">
        <v>6</v>
      </c>
      <c r="R2016" s="8">
        <v>0</v>
      </c>
      <c r="U2016" s="8">
        <v>0</v>
      </c>
      <c r="X2016" s="8">
        <v>0</v>
      </c>
      <c r="Z2016" s="8">
        <v>0</v>
      </c>
      <c r="AC2016" s="8">
        <v>0</v>
      </c>
      <c r="AF2016" s="8">
        <v>0</v>
      </c>
      <c r="AN2016" s="8">
        <v>6</v>
      </c>
      <c r="AO2016" s="8">
        <v>0</v>
      </c>
    </row>
    <row r="2017" spans="1:41" x14ac:dyDescent="0.25">
      <c r="A2017" s="6" t="str">
        <f>"522-2026000159"</f>
        <v>522-2026000159</v>
      </c>
      <c r="B2017" s="6" t="str">
        <f t="shared" si="481"/>
        <v>EL CORTE</v>
      </c>
      <c r="C2017" s="7">
        <v>46035</v>
      </c>
      <c r="D2017" s="7">
        <v>46038</v>
      </c>
      <c r="E2017" s="8">
        <v>1</v>
      </c>
      <c r="F2017" s="6" t="str">
        <f>"94812801_07026"</f>
        <v>94812801_07026</v>
      </c>
      <c r="G2017" s="6" t="str">
        <f t="shared" si="482"/>
        <v>F310631650000000</v>
      </c>
      <c r="H2017" s="6" t="str">
        <f t="shared" si="483"/>
        <v>PLAR 6316 FD - 500 g</v>
      </c>
      <c r="I2017" s="6" t="str">
        <f>"200901"</f>
        <v>200901</v>
      </c>
      <c r="J2017" s="6" t="str">
        <f>"ROSA 901"</f>
        <v>ROSA 901</v>
      </c>
      <c r="K2017" s="6" t="str">
        <f>"2020"</f>
        <v>2020</v>
      </c>
      <c r="L2017" s="6" t="str">
        <f>"Lençóis"</f>
        <v>Lençóis</v>
      </c>
      <c r="M2017" s="6" t="str">
        <f>"100x150"</f>
        <v>100x150</v>
      </c>
      <c r="N2017" s="6" t="str">
        <f>"5602972281125"</f>
        <v>5602972281125</v>
      </c>
      <c r="O2017" s="8">
        <v>3</v>
      </c>
      <c r="R2017" s="8">
        <v>0</v>
      </c>
      <c r="U2017" s="8">
        <v>0</v>
      </c>
      <c r="X2017" s="8">
        <v>0</v>
      </c>
      <c r="Z2017" s="8">
        <v>0</v>
      </c>
      <c r="AC2017" s="8">
        <v>0</v>
      </c>
      <c r="AF2017" s="8">
        <v>0</v>
      </c>
      <c r="AN2017" s="8">
        <v>0</v>
      </c>
      <c r="AO2017" s="8">
        <v>3</v>
      </c>
    </row>
    <row r="2018" spans="1:41" x14ac:dyDescent="0.25">
      <c r="A2018" s="6" t="str">
        <f>"522-2026000160"</f>
        <v>522-2026000160</v>
      </c>
      <c r="B2018" s="6" t="str">
        <f t="shared" si="481"/>
        <v>EL CORTE</v>
      </c>
      <c r="C2018" s="7">
        <v>46035</v>
      </c>
      <c r="D2018" s="7">
        <v>46038</v>
      </c>
      <c r="E2018" s="8">
        <v>1</v>
      </c>
      <c r="F2018" s="6" t="str">
        <f>"94811301_07026"</f>
        <v>94811301_07026</v>
      </c>
      <c r="G2018" s="6" t="str">
        <f t="shared" si="482"/>
        <v>F310631650000000</v>
      </c>
      <c r="H2018" s="6" t="str">
        <f t="shared" si="483"/>
        <v>PLAR 6316 FD - 500 g</v>
      </c>
      <c r="I2018" s="6" t="str">
        <f>"200510"</f>
        <v>200510</v>
      </c>
      <c r="J2018" s="6" t="str">
        <f>"VERDE 510"</f>
        <v>VERDE 510</v>
      </c>
      <c r="K2018" s="6" t="str">
        <f>"1024"</f>
        <v>1024</v>
      </c>
      <c r="L2018" s="6" t="str">
        <f>"Toalhas"</f>
        <v>Toalhas</v>
      </c>
      <c r="M2018" s="6" t="str">
        <f>"50x100"</f>
        <v>50x100</v>
      </c>
      <c r="N2018" s="6" t="str">
        <f>"5602972281149"</f>
        <v>5602972281149</v>
      </c>
      <c r="O2018" s="8">
        <v>6</v>
      </c>
      <c r="R2018" s="8">
        <v>0</v>
      </c>
      <c r="U2018" s="8">
        <v>0</v>
      </c>
      <c r="X2018" s="8">
        <v>0</v>
      </c>
      <c r="Z2018" s="8">
        <v>0</v>
      </c>
      <c r="AC2018" s="8">
        <v>0</v>
      </c>
      <c r="AF2018" s="8">
        <v>0</v>
      </c>
      <c r="AN2018" s="8">
        <v>6</v>
      </c>
      <c r="AO2018" s="8">
        <v>0</v>
      </c>
    </row>
    <row r="2019" spans="1:41" x14ac:dyDescent="0.25">
      <c r="A2019" s="6" t="str">
        <f>"522-2026000161"</f>
        <v>522-2026000161</v>
      </c>
      <c r="B2019" s="6" t="str">
        <f t="shared" si="481"/>
        <v>EL CORTE</v>
      </c>
      <c r="C2019" s="7">
        <v>46035</v>
      </c>
      <c r="D2019" s="7">
        <v>46038</v>
      </c>
      <c r="E2019" s="8">
        <v>1</v>
      </c>
      <c r="F2019" s="6" t="str">
        <f>"94813001_07026"</f>
        <v>94813001_07026</v>
      </c>
      <c r="G2019" s="6" t="str">
        <f t="shared" si="482"/>
        <v>F310631650000000</v>
      </c>
      <c r="H2019" s="6" t="str">
        <f t="shared" si="483"/>
        <v>PLAR 6316 FD - 500 g</v>
      </c>
      <c r="I2019" s="6" t="str">
        <f>"202575"</f>
        <v>202575</v>
      </c>
      <c r="J2019" s="6" t="str">
        <f>"BEGE 2575"</f>
        <v>BEGE 2575</v>
      </c>
      <c r="K2019" s="6" t="str">
        <f>"2020"</f>
        <v>2020</v>
      </c>
      <c r="L2019" s="6" t="str">
        <f>"Lençóis"</f>
        <v>Lençóis</v>
      </c>
      <c r="M2019" s="6" t="str">
        <f>"100x150"</f>
        <v>100x150</v>
      </c>
      <c r="N2019" s="6" t="str">
        <f>"5602972281095"</f>
        <v>5602972281095</v>
      </c>
      <c r="O2019" s="8">
        <v>3</v>
      </c>
      <c r="R2019" s="8">
        <v>0</v>
      </c>
      <c r="U2019" s="8">
        <v>0</v>
      </c>
      <c r="X2019" s="8">
        <v>0</v>
      </c>
      <c r="Z2019" s="8">
        <v>0</v>
      </c>
      <c r="AC2019" s="8">
        <v>0</v>
      </c>
      <c r="AF2019" s="8">
        <v>0</v>
      </c>
      <c r="AN2019" s="8">
        <v>0</v>
      </c>
      <c r="AO2019" s="8">
        <v>3</v>
      </c>
    </row>
    <row r="2020" spans="1:41" x14ac:dyDescent="0.25">
      <c r="A2020" s="6" t="str">
        <f>"522-2026000162"</f>
        <v>522-2026000162</v>
      </c>
      <c r="B2020" s="6" t="str">
        <f t="shared" si="481"/>
        <v>EL CORTE</v>
      </c>
      <c r="C2020" s="7">
        <v>46035</v>
      </c>
      <c r="D2020" s="7">
        <v>46038</v>
      </c>
      <c r="E2020" s="8">
        <v>1</v>
      </c>
      <c r="F2020" s="6" t="str">
        <f>"94811901_07026"</f>
        <v>94811901_07026</v>
      </c>
      <c r="G2020" s="6" t="str">
        <f t="shared" si="482"/>
        <v>F310631650000000</v>
      </c>
      <c r="H2020" s="6" t="str">
        <f t="shared" si="483"/>
        <v>PLAR 6316 FD - 500 g</v>
      </c>
      <c r="I2020" s="6" t="str">
        <f>"201855"</f>
        <v>201855</v>
      </c>
      <c r="J2020" s="6" t="str">
        <f>"AZUL 1855"</f>
        <v>AZUL 1855</v>
      </c>
      <c r="K2020" s="6" t="str">
        <f>"1024"</f>
        <v>1024</v>
      </c>
      <c r="L2020" s="6" t="str">
        <f>"Toalhas"</f>
        <v>Toalhas</v>
      </c>
      <c r="M2020" s="6" t="str">
        <f>"50x100"</f>
        <v>50x100</v>
      </c>
      <c r="N2020" s="6" t="str">
        <f>"5602972281057"</f>
        <v>5602972281057</v>
      </c>
      <c r="O2020" s="8">
        <v>6</v>
      </c>
      <c r="R2020" s="8">
        <v>0</v>
      </c>
      <c r="U2020" s="8">
        <v>0</v>
      </c>
      <c r="X2020" s="8">
        <v>0</v>
      </c>
      <c r="Z2020" s="8">
        <v>0</v>
      </c>
      <c r="AC2020" s="8">
        <v>0</v>
      </c>
      <c r="AF2020" s="8">
        <v>0</v>
      </c>
      <c r="AN2020" s="8">
        <v>6</v>
      </c>
      <c r="AO2020" s="8">
        <v>0</v>
      </c>
    </row>
    <row r="2021" spans="1:41" x14ac:dyDescent="0.25">
      <c r="A2021" s="6" t="str">
        <f>"522-2026000162"</f>
        <v>522-2026000162</v>
      </c>
      <c r="B2021" s="6" t="str">
        <f t="shared" si="481"/>
        <v>EL CORTE</v>
      </c>
      <c r="C2021" s="7">
        <v>46035</v>
      </c>
      <c r="D2021" s="7">
        <v>46038</v>
      </c>
      <c r="E2021" s="8">
        <v>2</v>
      </c>
      <c r="F2021" s="6" t="str">
        <f>"94811901_07026"</f>
        <v>94811901_07026</v>
      </c>
      <c r="G2021" s="6" t="str">
        <f t="shared" si="482"/>
        <v>F310631650000000</v>
      </c>
      <c r="H2021" s="6" t="str">
        <f t="shared" si="483"/>
        <v>PLAR 6316 FD - 500 g</v>
      </c>
      <c r="I2021" s="6" t="str">
        <f>"200901"</f>
        <v>200901</v>
      </c>
      <c r="J2021" s="6" t="str">
        <f>"ROSA 901"</f>
        <v>ROSA 901</v>
      </c>
      <c r="K2021" s="6" t="str">
        <f>"1024"</f>
        <v>1024</v>
      </c>
      <c r="L2021" s="6" t="str">
        <f>"Toalhas"</f>
        <v>Toalhas</v>
      </c>
      <c r="M2021" s="6" t="str">
        <f>"50x100"</f>
        <v>50x100</v>
      </c>
      <c r="N2021" s="6" t="str">
        <f>"5602972281118"</f>
        <v>5602972281118</v>
      </c>
      <c r="O2021" s="8">
        <v>6</v>
      </c>
      <c r="R2021" s="8">
        <v>0</v>
      </c>
      <c r="U2021" s="8">
        <v>0</v>
      </c>
      <c r="X2021" s="8">
        <v>0</v>
      </c>
      <c r="Z2021" s="8">
        <v>0</v>
      </c>
      <c r="AC2021" s="8">
        <v>0</v>
      </c>
      <c r="AF2021" s="8">
        <v>0</v>
      </c>
      <c r="AN2021" s="8">
        <v>6</v>
      </c>
      <c r="AO2021" s="8">
        <v>0</v>
      </c>
    </row>
    <row r="2022" spans="1:41" x14ac:dyDescent="0.25">
      <c r="A2022" s="6" t="str">
        <f>"522-2026000163"</f>
        <v>522-2026000163</v>
      </c>
      <c r="B2022" s="6" t="str">
        <f t="shared" si="481"/>
        <v>EL CORTE</v>
      </c>
      <c r="C2022" s="7">
        <v>46035</v>
      </c>
      <c r="D2022" s="7">
        <v>46038</v>
      </c>
      <c r="E2022" s="8">
        <v>1</v>
      </c>
      <c r="F2022" s="6" t="str">
        <f>"94811401_07026"</f>
        <v>94811401_07026</v>
      </c>
      <c r="G2022" s="6" t="str">
        <f t="shared" si="482"/>
        <v>F310631650000000</v>
      </c>
      <c r="H2022" s="6" t="str">
        <f t="shared" si="483"/>
        <v>PLAR 6316 FD - 500 g</v>
      </c>
      <c r="I2022" s="6" t="str">
        <f>"201855"</f>
        <v>201855</v>
      </c>
      <c r="J2022" s="6" t="str">
        <f>"AZUL 1855"</f>
        <v>AZUL 1855</v>
      </c>
      <c r="K2022" s="6" t="str">
        <f>"2020"</f>
        <v>2020</v>
      </c>
      <c r="L2022" s="6" t="str">
        <f>"Lençóis"</f>
        <v>Lençóis</v>
      </c>
      <c r="M2022" s="6" t="str">
        <f>"100x150"</f>
        <v>100x150</v>
      </c>
      <c r="N2022" s="6" t="str">
        <f>"5602972281064"</f>
        <v>5602972281064</v>
      </c>
      <c r="O2022" s="8">
        <v>3</v>
      </c>
      <c r="R2022" s="8">
        <v>0</v>
      </c>
      <c r="U2022" s="8">
        <v>0</v>
      </c>
      <c r="X2022" s="8">
        <v>0</v>
      </c>
      <c r="Z2022" s="8">
        <v>0</v>
      </c>
      <c r="AC2022" s="8">
        <v>0</v>
      </c>
      <c r="AF2022" s="8">
        <v>0</v>
      </c>
      <c r="AN2022" s="8">
        <v>0</v>
      </c>
      <c r="AO2022" s="8">
        <v>3</v>
      </c>
    </row>
    <row r="2023" spans="1:41" x14ac:dyDescent="0.25">
      <c r="A2023" s="6" t="str">
        <f>"522-2026000163"</f>
        <v>522-2026000163</v>
      </c>
      <c r="B2023" s="6" t="str">
        <f t="shared" si="481"/>
        <v>EL CORTE</v>
      </c>
      <c r="C2023" s="7">
        <v>46035</v>
      </c>
      <c r="D2023" s="7">
        <v>46038</v>
      </c>
      <c r="E2023" s="8">
        <v>2</v>
      </c>
      <c r="F2023" s="6" t="str">
        <f>"94811401_07026"</f>
        <v>94811401_07026</v>
      </c>
      <c r="G2023" s="6" t="str">
        <f t="shared" si="482"/>
        <v>F310631650000000</v>
      </c>
      <c r="H2023" s="6" t="str">
        <f t="shared" si="483"/>
        <v>PLAR 6316 FD - 500 g</v>
      </c>
      <c r="I2023" s="6" t="str">
        <f>"200901"</f>
        <v>200901</v>
      </c>
      <c r="J2023" s="6" t="str">
        <f>"ROSA 901"</f>
        <v>ROSA 901</v>
      </c>
      <c r="K2023" s="6" t="str">
        <f>"0520"</f>
        <v>0520</v>
      </c>
      <c r="L2023" s="6" t="str">
        <f>"Toalhetes"</f>
        <v>Toalhetes</v>
      </c>
      <c r="M2023" s="6" t="str">
        <f>"30x50"</f>
        <v>30x50</v>
      </c>
      <c r="N2023" s="6" t="str">
        <f>"5602972281101"</f>
        <v>5602972281101</v>
      </c>
      <c r="O2023" s="8">
        <v>6</v>
      </c>
      <c r="R2023" s="8">
        <v>0</v>
      </c>
      <c r="U2023" s="8">
        <v>0</v>
      </c>
      <c r="X2023" s="8">
        <v>0</v>
      </c>
      <c r="Z2023" s="8">
        <v>0</v>
      </c>
      <c r="AC2023" s="8">
        <v>0</v>
      </c>
      <c r="AF2023" s="8">
        <v>0</v>
      </c>
      <c r="AN2023" s="8">
        <v>6</v>
      </c>
      <c r="AO2023" s="8">
        <v>0</v>
      </c>
    </row>
    <row r="2024" spans="1:41" x14ac:dyDescent="0.25">
      <c r="A2024" s="6" t="str">
        <f>"522-2026000163"</f>
        <v>522-2026000163</v>
      </c>
      <c r="B2024" s="6" t="str">
        <f t="shared" si="481"/>
        <v>EL CORTE</v>
      </c>
      <c r="C2024" s="7">
        <v>46035</v>
      </c>
      <c r="D2024" s="7">
        <v>46038</v>
      </c>
      <c r="E2024" s="8">
        <v>3</v>
      </c>
      <c r="F2024" s="6" t="str">
        <f>"94811401_07026"</f>
        <v>94811401_07026</v>
      </c>
      <c r="G2024" s="6" t="str">
        <f t="shared" si="482"/>
        <v>F310631650000000</v>
      </c>
      <c r="H2024" s="6" t="str">
        <f t="shared" si="483"/>
        <v>PLAR 6316 FD - 500 g</v>
      </c>
      <c r="I2024" s="6" t="str">
        <f>"200901"</f>
        <v>200901</v>
      </c>
      <c r="J2024" s="6" t="str">
        <f>"ROSA 901"</f>
        <v>ROSA 901</v>
      </c>
      <c r="K2024" s="6" t="str">
        <f>"1024"</f>
        <v>1024</v>
      </c>
      <c r="L2024" s="6" t="str">
        <f>"Toalhas"</f>
        <v>Toalhas</v>
      </c>
      <c r="M2024" s="6" t="str">
        <f>"50x100"</f>
        <v>50x100</v>
      </c>
      <c r="N2024" s="6" t="str">
        <f>"5602972281118"</f>
        <v>5602972281118</v>
      </c>
      <c r="O2024" s="8">
        <v>6</v>
      </c>
      <c r="R2024" s="8">
        <v>0</v>
      </c>
      <c r="U2024" s="8">
        <v>0</v>
      </c>
      <c r="X2024" s="8">
        <v>0</v>
      </c>
      <c r="Z2024" s="8">
        <v>0</v>
      </c>
      <c r="AC2024" s="8">
        <v>0</v>
      </c>
      <c r="AF2024" s="8">
        <v>0</v>
      </c>
      <c r="AN2024" s="8">
        <v>6</v>
      </c>
      <c r="AO2024" s="8">
        <v>0</v>
      </c>
    </row>
    <row r="2025" spans="1:41" x14ac:dyDescent="0.25">
      <c r="A2025" s="6" t="str">
        <f>"522-2026000164"</f>
        <v>522-2026000164</v>
      </c>
      <c r="B2025" s="6" t="str">
        <f t="shared" si="481"/>
        <v>EL CORTE</v>
      </c>
      <c r="C2025" s="7">
        <v>46035</v>
      </c>
      <c r="D2025" s="7">
        <v>46038</v>
      </c>
      <c r="E2025" s="8">
        <v>1</v>
      </c>
      <c r="F2025" s="6" t="str">
        <f>"94811701_07026"</f>
        <v>94811701_07026</v>
      </c>
      <c r="G2025" s="6" t="str">
        <f t="shared" si="482"/>
        <v>F310631650000000</v>
      </c>
      <c r="H2025" s="6" t="str">
        <f t="shared" si="483"/>
        <v>PLAR 6316 FD - 500 g</v>
      </c>
      <c r="I2025" s="6" t="str">
        <f>"202575"</f>
        <v>202575</v>
      </c>
      <c r="J2025" s="6" t="str">
        <f>"BEGE 2575"</f>
        <v>BEGE 2575</v>
      </c>
      <c r="K2025" s="6" t="str">
        <f>"0520"</f>
        <v>0520</v>
      </c>
      <c r="L2025" s="6" t="str">
        <f>"Toalhetes"</f>
        <v>Toalhetes</v>
      </c>
      <c r="M2025" s="6" t="str">
        <f>"30x50"</f>
        <v>30x50</v>
      </c>
      <c r="N2025" s="6" t="str">
        <f>"5602972281071"</f>
        <v>5602972281071</v>
      </c>
      <c r="O2025" s="8">
        <v>6</v>
      </c>
      <c r="R2025" s="8">
        <v>0</v>
      </c>
      <c r="U2025" s="8">
        <v>0</v>
      </c>
      <c r="X2025" s="8">
        <v>0</v>
      </c>
      <c r="Z2025" s="8">
        <v>0</v>
      </c>
      <c r="AC2025" s="8">
        <v>0</v>
      </c>
      <c r="AF2025" s="8">
        <v>0</v>
      </c>
      <c r="AN2025" s="8">
        <v>6</v>
      </c>
      <c r="AO2025" s="8">
        <v>0</v>
      </c>
    </row>
    <row r="2026" spans="1:41" x14ac:dyDescent="0.25">
      <c r="A2026" s="6" t="str">
        <f>"522-2026000165"</f>
        <v>522-2026000165</v>
      </c>
      <c r="B2026" s="6" t="str">
        <f t="shared" si="481"/>
        <v>EL CORTE</v>
      </c>
      <c r="C2026" s="7">
        <v>46035</v>
      </c>
      <c r="D2026" s="7">
        <v>46038</v>
      </c>
      <c r="E2026" s="8">
        <v>1</v>
      </c>
      <c r="F2026" s="6" t="str">
        <f>"94812701_07026"</f>
        <v>94812701_07026</v>
      </c>
      <c r="G2026" s="6" t="str">
        <f t="shared" si="482"/>
        <v>F310631650000000</v>
      </c>
      <c r="H2026" s="6" t="str">
        <f t="shared" si="483"/>
        <v>PLAR 6316 FD - 500 g</v>
      </c>
      <c r="I2026" s="6" t="str">
        <f>"202575"</f>
        <v>202575</v>
      </c>
      <c r="J2026" s="6" t="str">
        <f>"BEGE 2575"</f>
        <v>BEGE 2575</v>
      </c>
      <c r="K2026" s="6" t="str">
        <f>"2020"</f>
        <v>2020</v>
      </c>
      <c r="L2026" s="6" t="str">
        <f>"Lençóis"</f>
        <v>Lençóis</v>
      </c>
      <c r="M2026" s="6" t="str">
        <f>"100x150"</f>
        <v>100x150</v>
      </c>
      <c r="N2026" s="6" t="str">
        <f>"5602972281095"</f>
        <v>5602972281095</v>
      </c>
      <c r="O2026" s="8">
        <v>3</v>
      </c>
      <c r="R2026" s="8">
        <v>0</v>
      </c>
      <c r="U2026" s="8">
        <v>0</v>
      </c>
      <c r="X2026" s="8">
        <v>0</v>
      </c>
      <c r="Z2026" s="8">
        <v>0</v>
      </c>
      <c r="AC2026" s="8">
        <v>0</v>
      </c>
      <c r="AF2026" s="8">
        <v>0</v>
      </c>
      <c r="AN2026" s="8">
        <v>0</v>
      </c>
      <c r="AO2026" s="8">
        <v>3</v>
      </c>
    </row>
    <row r="2027" spans="1:41" x14ac:dyDescent="0.25">
      <c r="A2027" s="6" t="str">
        <f>"522-2026000165"</f>
        <v>522-2026000165</v>
      </c>
      <c r="B2027" s="6" t="str">
        <f t="shared" si="481"/>
        <v>EL CORTE</v>
      </c>
      <c r="C2027" s="7">
        <v>46035</v>
      </c>
      <c r="D2027" s="7">
        <v>46038</v>
      </c>
      <c r="E2027" s="8">
        <v>2</v>
      </c>
      <c r="F2027" s="6" t="str">
        <f>"94812701_07026"</f>
        <v>94812701_07026</v>
      </c>
      <c r="G2027" s="6" t="str">
        <f t="shared" si="482"/>
        <v>F310631650000000</v>
      </c>
      <c r="H2027" s="6" t="str">
        <f t="shared" si="483"/>
        <v>PLAR 6316 FD - 500 g</v>
      </c>
      <c r="I2027" s="6" t="str">
        <f>"200901"</f>
        <v>200901</v>
      </c>
      <c r="J2027" s="6" t="str">
        <f>"ROSA 901"</f>
        <v>ROSA 901</v>
      </c>
      <c r="K2027" s="6" t="str">
        <f>"0520"</f>
        <v>0520</v>
      </c>
      <c r="L2027" s="6" t="str">
        <f>"Toalhetes"</f>
        <v>Toalhetes</v>
      </c>
      <c r="M2027" s="6" t="str">
        <f>"30x50"</f>
        <v>30x50</v>
      </c>
      <c r="N2027" s="6" t="str">
        <f>"5602972281101"</f>
        <v>5602972281101</v>
      </c>
      <c r="O2027" s="8">
        <v>6</v>
      </c>
      <c r="R2027" s="8">
        <v>0</v>
      </c>
      <c r="U2027" s="8">
        <v>0</v>
      </c>
      <c r="X2027" s="8">
        <v>0</v>
      </c>
      <c r="Z2027" s="8">
        <v>0</v>
      </c>
      <c r="AC2027" s="8">
        <v>0</v>
      </c>
      <c r="AF2027" s="8">
        <v>0</v>
      </c>
      <c r="AN2027" s="8">
        <v>6</v>
      </c>
      <c r="AO2027" s="8">
        <v>0</v>
      </c>
    </row>
    <row r="2028" spans="1:41" x14ac:dyDescent="0.25">
      <c r="A2028" s="6" t="str">
        <f>"522-2026000166"</f>
        <v>522-2026000166</v>
      </c>
      <c r="B2028" s="6" t="str">
        <f t="shared" si="481"/>
        <v>EL CORTE</v>
      </c>
      <c r="C2028" s="7">
        <v>46035</v>
      </c>
      <c r="D2028" s="7">
        <v>46038</v>
      </c>
      <c r="E2028" s="8">
        <v>1</v>
      </c>
      <c r="F2028" s="6" t="str">
        <f>"94810801_07026"</f>
        <v>94810801_07026</v>
      </c>
      <c r="G2028" s="6" t="str">
        <f t="shared" si="482"/>
        <v>F310631650000000</v>
      </c>
      <c r="H2028" s="6" t="str">
        <f t="shared" si="483"/>
        <v>PLAR 6316 FD - 500 g</v>
      </c>
      <c r="I2028" s="6" t="str">
        <f>"201855"</f>
        <v>201855</v>
      </c>
      <c r="J2028" s="6" t="str">
        <f>"AZUL 1855"</f>
        <v>AZUL 1855</v>
      </c>
      <c r="K2028" s="6" t="str">
        <f>"1024"</f>
        <v>1024</v>
      </c>
      <c r="L2028" s="6" t="str">
        <f>"Toalhas"</f>
        <v>Toalhas</v>
      </c>
      <c r="M2028" s="6" t="str">
        <f>"50x100"</f>
        <v>50x100</v>
      </c>
      <c r="N2028" s="6" t="str">
        <f>"5602972281057"</f>
        <v>5602972281057</v>
      </c>
      <c r="O2028" s="8">
        <v>6</v>
      </c>
      <c r="R2028" s="8">
        <v>0</v>
      </c>
      <c r="U2028" s="8">
        <v>0</v>
      </c>
      <c r="X2028" s="8">
        <v>0</v>
      </c>
      <c r="Z2028" s="8">
        <v>0</v>
      </c>
      <c r="AC2028" s="8">
        <v>0</v>
      </c>
      <c r="AF2028" s="8">
        <v>0</v>
      </c>
      <c r="AN2028" s="8">
        <v>6</v>
      </c>
      <c r="AO2028" s="8">
        <v>0</v>
      </c>
    </row>
    <row r="2029" spans="1:41" x14ac:dyDescent="0.25">
      <c r="A2029" s="6" t="str">
        <f>"522-2026000167"</f>
        <v>522-2026000167</v>
      </c>
      <c r="B2029" s="6" t="str">
        <f t="shared" si="481"/>
        <v>EL CORTE</v>
      </c>
      <c r="C2029" s="7">
        <v>46035</v>
      </c>
      <c r="D2029" s="7">
        <v>46038</v>
      </c>
      <c r="E2029" s="8">
        <v>1</v>
      </c>
      <c r="F2029" s="6" t="str">
        <f>"94811801_07026"</f>
        <v>94811801_07026</v>
      </c>
      <c r="G2029" s="6" t="str">
        <f t="shared" si="482"/>
        <v>F310631650000000</v>
      </c>
      <c r="H2029" s="6" t="str">
        <f t="shared" si="483"/>
        <v>PLAR 6316 FD - 500 g</v>
      </c>
      <c r="I2029" s="6" t="str">
        <f>"200510"</f>
        <v>200510</v>
      </c>
      <c r="J2029" s="6" t="str">
        <f>"VERDE 510"</f>
        <v>VERDE 510</v>
      </c>
      <c r="K2029" s="6" t="str">
        <f>"2020"</f>
        <v>2020</v>
      </c>
      <c r="L2029" s="6" t="str">
        <f>"Lençóis"</f>
        <v>Lençóis</v>
      </c>
      <c r="M2029" s="6" t="str">
        <f>"100x150"</f>
        <v>100x150</v>
      </c>
      <c r="N2029" s="6" t="str">
        <f>"5602972281156"</f>
        <v>5602972281156</v>
      </c>
      <c r="O2029" s="8">
        <v>3</v>
      </c>
      <c r="R2029" s="8">
        <v>0</v>
      </c>
      <c r="U2029" s="8">
        <v>0</v>
      </c>
      <c r="X2029" s="8">
        <v>0</v>
      </c>
      <c r="Z2029" s="8">
        <v>0</v>
      </c>
      <c r="AC2029" s="8">
        <v>0</v>
      </c>
      <c r="AF2029" s="8">
        <v>0</v>
      </c>
      <c r="AN2029" s="8">
        <v>0</v>
      </c>
      <c r="AO2029" s="8">
        <v>3</v>
      </c>
    </row>
    <row r="2030" spans="1:41" x14ac:dyDescent="0.25">
      <c r="A2030" s="6" t="str">
        <f>"522-2026000168"</f>
        <v>522-2026000168</v>
      </c>
      <c r="B2030" s="6" t="str">
        <f t="shared" si="481"/>
        <v>EL CORTE</v>
      </c>
      <c r="C2030" s="7">
        <v>46035</v>
      </c>
      <c r="D2030" s="7">
        <v>46038</v>
      </c>
      <c r="E2030" s="8">
        <v>1</v>
      </c>
      <c r="F2030" s="6" t="str">
        <f>"94812601_07026"</f>
        <v>94812601_07026</v>
      </c>
      <c r="G2030" s="6" t="str">
        <f t="shared" si="482"/>
        <v>F310631650000000</v>
      </c>
      <c r="H2030" s="6" t="str">
        <f t="shared" si="483"/>
        <v>PLAR 6316 FD - 500 g</v>
      </c>
      <c r="I2030" s="6" t="str">
        <f>"202575"</f>
        <v>202575</v>
      </c>
      <c r="J2030" s="6" t="str">
        <f>"BEGE 2575"</f>
        <v>BEGE 2575</v>
      </c>
      <c r="K2030" s="6" t="str">
        <f>"2020"</f>
        <v>2020</v>
      </c>
      <c r="L2030" s="6" t="str">
        <f>"Lençóis"</f>
        <v>Lençóis</v>
      </c>
      <c r="M2030" s="6" t="str">
        <f>"100x150"</f>
        <v>100x150</v>
      </c>
      <c r="N2030" s="6" t="str">
        <f>"5602972281095"</f>
        <v>5602972281095</v>
      </c>
      <c r="O2030" s="8">
        <v>3</v>
      </c>
      <c r="R2030" s="8">
        <v>0</v>
      </c>
      <c r="U2030" s="8">
        <v>0</v>
      </c>
      <c r="X2030" s="8">
        <v>0</v>
      </c>
      <c r="Z2030" s="8">
        <v>0</v>
      </c>
      <c r="AC2030" s="8">
        <v>0</v>
      </c>
      <c r="AF2030" s="8">
        <v>0</v>
      </c>
      <c r="AN2030" s="8">
        <v>0</v>
      </c>
      <c r="AO2030" s="8">
        <v>3</v>
      </c>
    </row>
    <row r="2031" spans="1:41" x14ac:dyDescent="0.25">
      <c r="A2031" s="6" t="str">
        <f>"522-2026000169"</f>
        <v>522-2026000169</v>
      </c>
      <c r="B2031" s="6" t="str">
        <f t="shared" si="481"/>
        <v>EL CORTE</v>
      </c>
      <c r="C2031" s="7">
        <v>46035</v>
      </c>
      <c r="D2031" s="7">
        <v>46038</v>
      </c>
      <c r="E2031" s="8">
        <v>1</v>
      </c>
      <c r="F2031" s="6" t="str">
        <f>"94811601_07026"</f>
        <v>94811601_07026</v>
      </c>
      <c r="G2031" s="6" t="str">
        <f t="shared" si="482"/>
        <v>F310631650000000</v>
      </c>
      <c r="H2031" s="6" t="str">
        <f t="shared" si="483"/>
        <v>PLAR 6316 FD - 500 g</v>
      </c>
      <c r="I2031" s="6" t="str">
        <f>"201855"</f>
        <v>201855</v>
      </c>
      <c r="J2031" s="6" t="str">
        <f>"AZUL 1855"</f>
        <v>AZUL 1855</v>
      </c>
      <c r="K2031" s="6" t="str">
        <f>"0520"</f>
        <v>0520</v>
      </c>
      <c r="L2031" s="6" t="str">
        <f>"Toalhetes"</f>
        <v>Toalhetes</v>
      </c>
      <c r="M2031" s="6" t="str">
        <f>"30x50"</f>
        <v>30x50</v>
      </c>
      <c r="N2031" s="6" t="str">
        <f>"5602972281040"</f>
        <v>5602972281040</v>
      </c>
      <c r="O2031" s="8">
        <v>6</v>
      </c>
      <c r="R2031" s="8">
        <v>0</v>
      </c>
      <c r="U2031" s="8">
        <v>0</v>
      </c>
      <c r="X2031" s="8">
        <v>0</v>
      </c>
      <c r="Z2031" s="8">
        <v>0</v>
      </c>
      <c r="AC2031" s="8">
        <v>0</v>
      </c>
      <c r="AF2031" s="8">
        <v>0</v>
      </c>
      <c r="AN2031" s="8">
        <v>6</v>
      </c>
      <c r="AO2031" s="8">
        <v>0</v>
      </c>
    </row>
    <row r="2032" spans="1:41" x14ac:dyDescent="0.25">
      <c r="A2032" s="6" t="str">
        <f>"522-2026000169"</f>
        <v>522-2026000169</v>
      </c>
      <c r="B2032" s="6" t="str">
        <f t="shared" si="481"/>
        <v>EL CORTE</v>
      </c>
      <c r="C2032" s="7">
        <v>46035</v>
      </c>
      <c r="D2032" s="7">
        <v>46038</v>
      </c>
      <c r="E2032" s="8">
        <v>2</v>
      </c>
      <c r="F2032" s="6" t="str">
        <f>"94811601_07026"</f>
        <v>94811601_07026</v>
      </c>
      <c r="G2032" s="6" t="str">
        <f t="shared" si="482"/>
        <v>F310631650000000</v>
      </c>
      <c r="H2032" s="6" t="str">
        <f t="shared" si="483"/>
        <v>PLAR 6316 FD - 500 g</v>
      </c>
      <c r="I2032" s="6" t="str">
        <f>"202575"</f>
        <v>202575</v>
      </c>
      <c r="J2032" s="6" t="str">
        <f>"BEGE 2575"</f>
        <v>BEGE 2575</v>
      </c>
      <c r="K2032" s="6" t="str">
        <f>"1024"</f>
        <v>1024</v>
      </c>
      <c r="L2032" s="6" t="str">
        <f>"Toalhas"</f>
        <v>Toalhas</v>
      </c>
      <c r="M2032" s="6" t="str">
        <f>"50x100"</f>
        <v>50x100</v>
      </c>
      <c r="N2032" s="6" t="str">
        <f>"5602972281088"</f>
        <v>5602972281088</v>
      </c>
      <c r="O2032" s="8">
        <v>12</v>
      </c>
      <c r="R2032" s="8">
        <v>0</v>
      </c>
      <c r="U2032" s="8">
        <v>0</v>
      </c>
      <c r="X2032" s="8">
        <v>0</v>
      </c>
      <c r="Z2032" s="8">
        <v>0</v>
      </c>
      <c r="AC2032" s="8">
        <v>0</v>
      </c>
      <c r="AF2032" s="8">
        <v>0</v>
      </c>
      <c r="AN2032" s="8">
        <v>12</v>
      </c>
      <c r="AO2032" s="8">
        <v>0</v>
      </c>
    </row>
    <row r="2033" spans="1:41" x14ac:dyDescent="0.25">
      <c r="A2033" s="6" t="str">
        <f>"522-2026000169"</f>
        <v>522-2026000169</v>
      </c>
      <c r="B2033" s="6" t="str">
        <f t="shared" si="481"/>
        <v>EL CORTE</v>
      </c>
      <c r="C2033" s="7">
        <v>46035</v>
      </c>
      <c r="D2033" s="7">
        <v>46038</v>
      </c>
      <c r="E2033" s="8">
        <v>3</v>
      </c>
      <c r="F2033" s="6" t="str">
        <f>"94811601_07026"</f>
        <v>94811601_07026</v>
      </c>
      <c r="G2033" s="6" t="str">
        <f t="shared" si="482"/>
        <v>F310631650000000</v>
      </c>
      <c r="H2033" s="6" t="str">
        <f t="shared" si="483"/>
        <v>PLAR 6316 FD - 500 g</v>
      </c>
      <c r="I2033" s="6" t="str">
        <f>"200901"</f>
        <v>200901</v>
      </c>
      <c r="J2033" s="6" t="str">
        <f>"ROSA 901"</f>
        <v>ROSA 901</v>
      </c>
      <c r="K2033" s="6" t="str">
        <f>"0520"</f>
        <v>0520</v>
      </c>
      <c r="L2033" s="6" t="str">
        <f>"Toalhetes"</f>
        <v>Toalhetes</v>
      </c>
      <c r="M2033" s="6" t="str">
        <f>"30x50"</f>
        <v>30x50</v>
      </c>
      <c r="N2033" s="6" t="str">
        <f>"5602972281101"</f>
        <v>5602972281101</v>
      </c>
      <c r="O2033" s="8">
        <v>6</v>
      </c>
      <c r="R2033" s="8">
        <v>0</v>
      </c>
      <c r="U2033" s="8">
        <v>0</v>
      </c>
      <c r="X2033" s="8">
        <v>0</v>
      </c>
      <c r="Z2033" s="8">
        <v>0</v>
      </c>
      <c r="AC2033" s="8">
        <v>0</v>
      </c>
      <c r="AF2033" s="8">
        <v>0</v>
      </c>
      <c r="AN2033" s="8">
        <v>6</v>
      </c>
      <c r="AO2033" s="8">
        <v>0</v>
      </c>
    </row>
    <row r="2034" spans="1:41" x14ac:dyDescent="0.25">
      <c r="A2034" s="6" t="str">
        <f>"522-2026000169"</f>
        <v>522-2026000169</v>
      </c>
      <c r="B2034" s="6" t="str">
        <f t="shared" si="481"/>
        <v>EL CORTE</v>
      </c>
      <c r="C2034" s="7">
        <v>46035</v>
      </c>
      <c r="D2034" s="7">
        <v>46038</v>
      </c>
      <c r="E2034" s="8">
        <v>4</v>
      </c>
      <c r="F2034" s="6" t="str">
        <f>"94811601_07026"</f>
        <v>94811601_07026</v>
      </c>
      <c r="G2034" s="6" t="str">
        <f t="shared" si="482"/>
        <v>F310631650000000</v>
      </c>
      <c r="H2034" s="6" t="str">
        <f t="shared" si="483"/>
        <v>PLAR 6316 FD - 500 g</v>
      </c>
      <c r="I2034" s="6" t="str">
        <f>"200510"</f>
        <v>200510</v>
      </c>
      <c r="J2034" s="6" t="str">
        <f>"VERDE 510"</f>
        <v>VERDE 510</v>
      </c>
      <c r="K2034" s="6" t="str">
        <f>"0520"</f>
        <v>0520</v>
      </c>
      <c r="L2034" s="6" t="str">
        <f>"Toalhetes"</f>
        <v>Toalhetes</v>
      </c>
      <c r="M2034" s="6" t="str">
        <f>"30x50"</f>
        <v>30x50</v>
      </c>
      <c r="N2034" s="6" t="str">
        <f>"5602972281132"</f>
        <v>5602972281132</v>
      </c>
      <c r="O2034" s="8">
        <v>6</v>
      </c>
      <c r="R2034" s="8">
        <v>0</v>
      </c>
      <c r="U2034" s="8">
        <v>0</v>
      </c>
      <c r="X2034" s="8">
        <v>0</v>
      </c>
      <c r="Z2034" s="8">
        <v>0</v>
      </c>
      <c r="AC2034" s="8">
        <v>0</v>
      </c>
      <c r="AF2034" s="8">
        <v>0</v>
      </c>
      <c r="AN2034" s="8">
        <v>6</v>
      </c>
      <c r="AO2034" s="8">
        <v>0</v>
      </c>
    </row>
    <row r="2035" spans="1:41" x14ac:dyDescent="0.25">
      <c r="A2035" s="6" t="str">
        <f>"522-2026000170"</f>
        <v>522-2026000170</v>
      </c>
      <c r="B2035" s="6" t="str">
        <f t="shared" si="481"/>
        <v>EL CORTE</v>
      </c>
      <c r="C2035" s="7">
        <v>46035</v>
      </c>
      <c r="D2035" s="7">
        <v>46038</v>
      </c>
      <c r="E2035" s="8">
        <v>1</v>
      </c>
      <c r="F2035" s="6" t="str">
        <f>"94811001_07026"</f>
        <v>94811001_07026</v>
      </c>
      <c r="G2035" s="6" t="str">
        <f t="shared" si="482"/>
        <v>F310631650000000</v>
      </c>
      <c r="H2035" s="6" t="str">
        <f t="shared" si="483"/>
        <v>PLAR 6316 FD - 500 g</v>
      </c>
      <c r="I2035" s="6" t="str">
        <f>"201855"</f>
        <v>201855</v>
      </c>
      <c r="J2035" s="6" t="str">
        <f>"AZUL 1855"</f>
        <v>AZUL 1855</v>
      </c>
      <c r="K2035" s="6" t="str">
        <f>"1024"</f>
        <v>1024</v>
      </c>
      <c r="L2035" s="6" t="str">
        <f>"Toalhas"</f>
        <v>Toalhas</v>
      </c>
      <c r="M2035" s="6" t="str">
        <f>"50x100"</f>
        <v>50x100</v>
      </c>
      <c r="N2035" s="6" t="str">
        <f>"5602972281057"</f>
        <v>5602972281057</v>
      </c>
      <c r="O2035" s="8">
        <v>6</v>
      </c>
      <c r="R2035" s="8">
        <v>0</v>
      </c>
      <c r="U2035" s="8">
        <v>0</v>
      </c>
      <c r="X2035" s="8">
        <v>0</v>
      </c>
      <c r="Z2035" s="8">
        <v>0</v>
      </c>
      <c r="AC2035" s="8">
        <v>0</v>
      </c>
      <c r="AF2035" s="8">
        <v>0</v>
      </c>
      <c r="AN2035" s="8">
        <v>6</v>
      </c>
      <c r="AO2035" s="8">
        <v>0</v>
      </c>
    </row>
    <row r="2036" spans="1:41" x14ac:dyDescent="0.25">
      <c r="A2036" s="6" t="str">
        <f>"522-2026000170"</f>
        <v>522-2026000170</v>
      </c>
      <c r="B2036" s="6" t="str">
        <f t="shared" si="481"/>
        <v>EL CORTE</v>
      </c>
      <c r="C2036" s="7">
        <v>46035</v>
      </c>
      <c r="D2036" s="7">
        <v>46038</v>
      </c>
      <c r="E2036" s="8">
        <v>2</v>
      </c>
      <c r="F2036" s="6" t="str">
        <f>"94811001_07026"</f>
        <v>94811001_07026</v>
      </c>
      <c r="G2036" s="6" t="str">
        <f t="shared" si="482"/>
        <v>F310631650000000</v>
      </c>
      <c r="H2036" s="6" t="str">
        <f t="shared" si="483"/>
        <v>PLAR 6316 FD - 500 g</v>
      </c>
      <c r="I2036" s="6" t="str">
        <f>"202575"</f>
        <v>202575</v>
      </c>
      <c r="J2036" s="6" t="str">
        <f>"BEGE 2575"</f>
        <v>BEGE 2575</v>
      </c>
      <c r="K2036" s="6" t="str">
        <f>"1024"</f>
        <v>1024</v>
      </c>
      <c r="L2036" s="6" t="str">
        <f>"Toalhas"</f>
        <v>Toalhas</v>
      </c>
      <c r="M2036" s="6" t="str">
        <f>"50x100"</f>
        <v>50x100</v>
      </c>
      <c r="N2036" s="6" t="str">
        <f>"5602972281088"</f>
        <v>5602972281088</v>
      </c>
      <c r="O2036" s="8">
        <v>6</v>
      </c>
      <c r="R2036" s="8">
        <v>0</v>
      </c>
      <c r="U2036" s="8">
        <v>0</v>
      </c>
      <c r="X2036" s="8">
        <v>0</v>
      </c>
      <c r="Z2036" s="8">
        <v>0</v>
      </c>
      <c r="AC2036" s="8">
        <v>0</v>
      </c>
      <c r="AF2036" s="8">
        <v>0</v>
      </c>
      <c r="AN2036" s="8">
        <v>6</v>
      </c>
      <c r="AO2036" s="8">
        <v>0</v>
      </c>
    </row>
    <row r="2037" spans="1:41" x14ac:dyDescent="0.25">
      <c r="A2037" s="6" t="str">
        <f>"522-2026000170"</f>
        <v>522-2026000170</v>
      </c>
      <c r="B2037" s="6" t="str">
        <f t="shared" si="481"/>
        <v>EL CORTE</v>
      </c>
      <c r="C2037" s="7">
        <v>46035</v>
      </c>
      <c r="D2037" s="7">
        <v>46038</v>
      </c>
      <c r="E2037" s="8">
        <v>3</v>
      </c>
      <c r="F2037" s="6" t="str">
        <f>"94811001_07026"</f>
        <v>94811001_07026</v>
      </c>
      <c r="G2037" s="6" t="str">
        <f t="shared" si="482"/>
        <v>F310631650000000</v>
      </c>
      <c r="H2037" s="6" t="str">
        <f t="shared" si="483"/>
        <v>PLAR 6316 FD - 500 g</v>
      </c>
      <c r="I2037" s="6" t="str">
        <f>"200510"</f>
        <v>200510</v>
      </c>
      <c r="J2037" s="6" t="str">
        <f>"VERDE 510"</f>
        <v>VERDE 510</v>
      </c>
      <c r="K2037" s="6" t="str">
        <f>"0520"</f>
        <v>0520</v>
      </c>
      <c r="L2037" s="6" t="str">
        <f>"Toalhetes"</f>
        <v>Toalhetes</v>
      </c>
      <c r="M2037" s="6" t="str">
        <f>"30x50"</f>
        <v>30x50</v>
      </c>
      <c r="N2037" s="6" t="str">
        <f>"5602972281132"</f>
        <v>5602972281132</v>
      </c>
      <c r="O2037" s="8">
        <v>6</v>
      </c>
      <c r="R2037" s="8">
        <v>0</v>
      </c>
      <c r="U2037" s="8">
        <v>0</v>
      </c>
      <c r="X2037" s="8">
        <v>0</v>
      </c>
      <c r="Z2037" s="8">
        <v>0</v>
      </c>
      <c r="AC2037" s="8">
        <v>0</v>
      </c>
      <c r="AF2037" s="8">
        <v>0</v>
      </c>
      <c r="AN2037" s="8">
        <v>6</v>
      </c>
      <c r="AO2037" s="8">
        <v>0</v>
      </c>
    </row>
    <row r="2038" spans="1:41" x14ac:dyDescent="0.25">
      <c r="A2038" s="6" t="str">
        <f>"522-2026000171"</f>
        <v>522-2026000171</v>
      </c>
      <c r="B2038" s="6" t="str">
        <f t="shared" si="481"/>
        <v>EL CORTE</v>
      </c>
      <c r="C2038" s="7">
        <v>46035</v>
      </c>
      <c r="D2038" s="7">
        <v>46038</v>
      </c>
      <c r="E2038" s="8">
        <v>1</v>
      </c>
      <c r="F2038" s="6" t="str">
        <f>"94812301_07026"</f>
        <v>94812301_07026</v>
      </c>
      <c r="G2038" s="6" t="str">
        <f t="shared" si="482"/>
        <v>F310631650000000</v>
      </c>
      <c r="H2038" s="6" t="str">
        <f t="shared" si="483"/>
        <v>PLAR 6316 FD - 500 g</v>
      </c>
      <c r="I2038" s="6" t="str">
        <f>"202575"</f>
        <v>202575</v>
      </c>
      <c r="J2038" s="6" t="str">
        <f>"BEGE 2575"</f>
        <v>BEGE 2575</v>
      </c>
      <c r="K2038" s="6" t="str">
        <f>"0520"</f>
        <v>0520</v>
      </c>
      <c r="L2038" s="6" t="str">
        <f>"Toalhetes"</f>
        <v>Toalhetes</v>
      </c>
      <c r="M2038" s="6" t="str">
        <f>"30x50"</f>
        <v>30x50</v>
      </c>
      <c r="N2038" s="6" t="str">
        <f>"5602972281071"</f>
        <v>5602972281071</v>
      </c>
      <c r="O2038" s="8">
        <v>6</v>
      </c>
      <c r="R2038" s="8">
        <v>0</v>
      </c>
      <c r="U2038" s="8">
        <v>0</v>
      </c>
      <c r="X2038" s="8">
        <v>0</v>
      </c>
      <c r="Z2038" s="8">
        <v>0</v>
      </c>
      <c r="AC2038" s="8">
        <v>0</v>
      </c>
      <c r="AF2038" s="8">
        <v>0</v>
      </c>
      <c r="AN2038" s="8">
        <v>6</v>
      </c>
      <c r="AO2038" s="8">
        <v>0</v>
      </c>
    </row>
    <row r="2039" spans="1:41" x14ac:dyDescent="0.25">
      <c r="A2039" s="6" t="str">
        <f t="shared" ref="A2039:A2048" si="489">"522-2026000172"</f>
        <v>522-2026000172</v>
      </c>
      <c r="B2039" s="6" t="str">
        <f t="shared" si="481"/>
        <v>EL CORTE</v>
      </c>
      <c r="C2039" s="7">
        <v>46035</v>
      </c>
      <c r="D2039" s="7">
        <v>46038</v>
      </c>
      <c r="E2039" s="8">
        <v>1</v>
      </c>
      <c r="F2039" s="6" t="str">
        <f t="shared" ref="F2039:F2048" si="490">"94810701_07026"</f>
        <v>94810701_07026</v>
      </c>
      <c r="G2039" s="6" t="str">
        <f t="shared" si="482"/>
        <v>F310631650000000</v>
      </c>
      <c r="H2039" s="6" t="str">
        <f t="shared" si="483"/>
        <v>PLAR 6316 FD - 500 g</v>
      </c>
      <c r="I2039" s="6" t="str">
        <f>"201855"</f>
        <v>201855</v>
      </c>
      <c r="J2039" s="6" t="str">
        <f>"AZUL 1855"</f>
        <v>AZUL 1855</v>
      </c>
      <c r="K2039" s="6" t="str">
        <f>"0520"</f>
        <v>0520</v>
      </c>
      <c r="L2039" s="6" t="str">
        <f>"Toalhetes"</f>
        <v>Toalhetes</v>
      </c>
      <c r="M2039" s="6" t="str">
        <f>"30x50"</f>
        <v>30x50</v>
      </c>
      <c r="N2039" s="6" t="str">
        <f>"5602972281040"</f>
        <v>5602972281040</v>
      </c>
      <c r="O2039" s="8">
        <v>6</v>
      </c>
      <c r="R2039" s="8">
        <v>0</v>
      </c>
      <c r="U2039" s="8">
        <v>0</v>
      </c>
      <c r="X2039" s="8">
        <v>0</v>
      </c>
      <c r="Z2039" s="8">
        <v>0</v>
      </c>
      <c r="AC2039" s="8">
        <v>0</v>
      </c>
      <c r="AF2039" s="8">
        <v>0</v>
      </c>
      <c r="AN2039" s="8">
        <v>6</v>
      </c>
      <c r="AO2039" s="8">
        <v>0</v>
      </c>
    </row>
    <row r="2040" spans="1:41" x14ac:dyDescent="0.25">
      <c r="A2040" s="6" t="str">
        <f t="shared" si="489"/>
        <v>522-2026000172</v>
      </c>
      <c r="B2040" s="6" t="str">
        <f t="shared" si="481"/>
        <v>EL CORTE</v>
      </c>
      <c r="C2040" s="7">
        <v>46035</v>
      </c>
      <c r="D2040" s="7">
        <v>46038</v>
      </c>
      <c r="E2040" s="8">
        <v>2</v>
      </c>
      <c r="F2040" s="6" t="str">
        <f t="shared" si="490"/>
        <v>94810701_07026</v>
      </c>
      <c r="G2040" s="6" t="str">
        <f t="shared" si="482"/>
        <v>F310631650000000</v>
      </c>
      <c r="H2040" s="6" t="str">
        <f t="shared" si="483"/>
        <v>PLAR 6316 FD - 500 g</v>
      </c>
      <c r="I2040" s="6" t="str">
        <f>"201855"</f>
        <v>201855</v>
      </c>
      <c r="J2040" s="6" t="str">
        <f>"AZUL 1855"</f>
        <v>AZUL 1855</v>
      </c>
      <c r="K2040" s="6" t="str">
        <f>"1024"</f>
        <v>1024</v>
      </c>
      <c r="L2040" s="6" t="str">
        <f>"Toalhas"</f>
        <v>Toalhas</v>
      </c>
      <c r="M2040" s="6" t="str">
        <f>"50x100"</f>
        <v>50x100</v>
      </c>
      <c r="N2040" s="6" t="str">
        <f>"5602972281057"</f>
        <v>5602972281057</v>
      </c>
      <c r="O2040" s="8">
        <v>6</v>
      </c>
      <c r="R2040" s="8">
        <v>0</v>
      </c>
      <c r="U2040" s="8">
        <v>0</v>
      </c>
      <c r="X2040" s="8">
        <v>0</v>
      </c>
      <c r="Z2040" s="8">
        <v>0</v>
      </c>
      <c r="AC2040" s="8">
        <v>0</v>
      </c>
      <c r="AF2040" s="8">
        <v>0</v>
      </c>
      <c r="AN2040" s="8">
        <v>6</v>
      </c>
      <c r="AO2040" s="8">
        <v>0</v>
      </c>
    </row>
    <row r="2041" spans="1:41" x14ac:dyDescent="0.25">
      <c r="A2041" s="6" t="str">
        <f t="shared" si="489"/>
        <v>522-2026000172</v>
      </c>
      <c r="B2041" s="6" t="str">
        <f t="shared" si="481"/>
        <v>EL CORTE</v>
      </c>
      <c r="C2041" s="7">
        <v>46035</v>
      </c>
      <c r="D2041" s="7">
        <v>46038</v>
      </c>
      <c r="E2041" s="8">
        <v>3</v>
      </c>
      <c r="F2041" s="6" t="str">
        <f t="shared" si="490"/>
        <v>94810701_07026</v>
      </c>
      <c r="G2041" s="6" t="str">
        <f t="shared" si="482"/>
        <v>F310631650000000</v>
      </c>
      <c r="H2041" s="6" t="str">
        <f t="shared" si="483"/>
        <v>PLAR 6316 FD - 500 g</v>
      </c>
      <c r="I2041" s="6" t="str">
        <f>"201855"</f>
        <v>201855</v>
      </c>
      <c r="J2041" s="6" t="str">
        <f>"AZUL 1855"</f>
        <v>AZUL 1855</v>
      </c>
      <c r="K2041" s="6" t="str">
        <f>"2020"</f>
        <v>2020</v>
      </c>
      <c r="L2041" s="6" t="str">
        <f>"Lençóis"</f>
        <v>Lençóis</v>
      </c>
      <c r="M2041" s="6" t="str">
        <f>"100x150"</f>
        <v>100x150</v>
      </c>
      <c r="N2041" s="6" t="str">
        <f>"5602972281064"</f>
        <v>5602972281064</v>
      </c>
      <c r="O2041" s="8">
        <v>9</v>
      </c>
      <c r="R2041" s="8">
        <v>0</v>
      </c>
      <c r="U2041" s="8">
        <v>0</v>
      </c>
      <c r="X2041" s="8">
        <v>0</v>
      </c>
      <c r="Z2041" s="8">
        <v>0</v>
      </c>
      <c r="AC2041" s="8">
        <v>0</v>
      </c>
      <c r="AF2041" s="8">
        <v>0</v>
      </c>
      <c r="AN2041" s="8">
        <v>0</v>
      </c>
      <c r="AO2041" s="8">
        <v>9</v>
      </c>
    </row>
    <row r="2042" spans="1:41" x14ac:dyDescent="0.25">
      <c r="A2042" s="6" t="str">
        <f t="shared" si="489"/>
        <v>522-2026000172</v>
      </c>
      <c r="B2042" s="6" t="str">
        <f t="shared" si="481"/>
        <v>EL CORTE</v>
      </c>
      <c r="C2042" s="7">
        <v>46035</v>
      </c>
      <c r="D2042" s="7">
        <v>46038</v>
      </c>
      <c r="E2042" s="8">
        <v>4</v>
      </c>
      <c r="F2042" s="6" t="str">
        <f t="shared" si="490"/>
        <v>94810701_07026</v>
      </c>
      <c r="G2042" s="6" t="str">
        <f t="shared" si="482"/>
        <v>F310631650000000</v>
      </c>
      <c r="H2042" s="6" t="str">
        <f t="shared" si="483"/>
        <v>PLAR 6316 FD - 500 g</v>
      </c>
      <c r="I2042" s="6" t="str">
        <f>"202575"</f>
        <v>202575</v>
      </c>
      <c r="J2042" s="6" t="str">
        <f>"BEGE 2575"</f>
        <v>BEGE 2575</v>
      </c>
      <c r="K2042" s="6" t="str">
        <f>"1024"</f>
        <v>1024</v>
      </c>
      <c r="L2042" s="6" t="str">
        <f>"Toalhas"</f>
        <v>Toalhas</v>
      </c>
      <c r="M2042" s="6" t="str">
        <f>"50x100"</f>
        <v>50x100</v>
      </c>
      <c r="N2042" s="6" t="str">
        <f>"5602972281088"</f>
        <v>5602972281088</v>
      </c>
      <c r="O2042" s="8">
        <v>12</v>
      </c>
      <c r="R2042" s="8">
        <v>0</v>
      </c>
      <c r="U2042" s="8">
        <v>0</v>
      </c>
      <c r="X2042" s="8">
        <v>0</v>
      </c>
      <c r="Z2042" s="8">
        <v>0</v>
      </c>
      <c r="AC2042" s="8">
        <v>0</v>
      </c>
      <c r="AF2042" s="8">
        <v>0</v>
      </c>
      <c r="AN2042" s="8">
        <v>12</v>
      </c>
      <c r="AO2042" s="8">
        <v>0</v>
      </c>
    </row>
    <row r="2043" spans="1:41" x14ac:dyDescent="0.25">
      <c r="A2043" s="6" t="str">
        <f t="shared" si="489"/>
        <v>522-2026000172</v>
      </c>
      <c r="B2043" s="6" t="str">
        <f t="shared" si="481"/>
        <v>EL CORTE</v>
      </c>
      <c r="C2043" s="7">
        <v>46035</v>
      </c>
      <c r="D2043" s="7">
        <v>46038</v>
      </c>
      <c r="E2043" s="8">
        <v>5</v>
      </c>
      <c r="F2043" s="6" t="str">
        <f t="shared" si="490"/>
        <v>94810701_07026</v>
      </c>
      <c r="G2043" s="6" t="str">
        <f t="shared" si="482"/>
        <v>F310631650000000</v>
      </c>
      <c r="H2043" s="6" t="str">
        <f t="shared" si="483"/>
        <v>PLAR 6316 FD - 500 g</v>
      </c>
      <c r="I2043" s="6" t="str">
        <f>"202575"</f>
        <v>202575</v>
      </c>
      <c r="J2043" s="6" t="str">
        <f>"BEGE 2575"</f>
        <v>BEGE 2575</v>
      </c>
      <c r="K2043" s="6" t="str">
        <f>"2020"</f>
        <v>2020</v>
      </c>
      <c r="L2043" s="6" t="str">
        <f>"Lençóis"</f>
        <v>Lençóis</v>
      </c>
      <c r="M2043" s="6" t="str">
        <f>"100x150"</f>
        <v>100x150</v>
      </c>
      <c r="N2043" s="6" t="str">
        <f>"5602972281095"</f>
        <v>5602972281095</v>
      </c>
      <c r="O2043" s="8">
        <v>12</v>
      </c>
      <c r="R2043" s="8">
        <v>0</v>
      </c>
      <c r="U2043" s="8">
        <v>0</v>
      </c>
      <c r="X2043" s="8">
        <v>0</v>
      </c>
      <c r="Z2043" s="8">
        <v>0</v>
      </c>
      <c r="AC2043" s="8">
        <v>0</v>
      </c>
      <c r="AF2043" s="8">
        <v>0</v>
      </c>
      <c r="AN2043" s="8">
        <v>0</v>
      </c>
      <c r="AO2043" s="8">
        <v>12</v>
      </c>
    </row>
    <row r="2044" spans="1:41" x14ac:dyDescent="0.25">
      <c r="A2044" s="6" t="str">
        <f t="shared" si="489"/>
        <v>522-2026000172</v>
      </c>
      <c r="B2044" s="6" t="str">
        <f t="shared" si="481"/>
        <v>EL CORTE</v>
      </c>
      <c r="C2044" s="7">
        <v>46035</v>
      </c>
      <c r="D2044" s="7">
        <v>46038</v>
      </c>
      <c r="E2044" s="8">
        <v>6</v>
      </c>
      <c r="F2044" s="6" t="str">
        <f t="shared" si="490"/>
        <v>94810701_07026</v>
      </c>
      <c r="G2044" s="6" t="str">
        <f t="shared" si="482"/>
        <v>F310631650000000</v>
      </c>
      <c r="H2044" s="6" t="str">
        <f t="shared" si="483"/>
        <v>PLAR 6316 FD - 500 g</v>
      </c>
      <c r="I2044" s="6" t="str">
        <f>"200901"</f>
        <v>200901</v>
      </c>
      <c r="J2044" s="6" t="str">
        <f>"ROSA 901"</f>
        <v>ROSA 901</v>
      </c>
      <c r="K2044" s="6" t="str">
        <f>"0520"</f>
        <v>0520</v>
      </c>
      <c r="L2044" s="6" t="str">
        <f>"Toalhetes"</f>
        <v>Toalhetes</v>
      </c>
      <c r="M2044" s="6" t="str">
        <f>"30x50"</f>
        <v>30x50</v>
      </c>
      <c r="N2044" s="6" t="str">
        <f>"5602972281101"</f>
        <v>5602972281101</v>
      </c>
      <c r="O2044" s="8">
        <v>18</v>
      </c>
      <c r="R2044" s="8">
        <v>0</v>
      </c>
      <c r="U2044" s="8">
        <v>0</v>
      </c>
      <c r="X2044" s="8">
        <v>0</v>
      </c>
      <c r="Z2044" s="8">
        <v>0</v>
      </c>
      <c r="AC2044" s="8">
        <v>0</v>
      </c>
      <c r="AF2044" s="8">
        <v>0</v>
      </c>
      <c r="AN2044" s="8">
        <v>18</v>
      </c>
      <c r="AO2044" s="8">
        <v>0</v>
      </c>
    </row>
    <row r="2045" spans="1:41" x14ac:dyDescent="0.25">
      <c r="A2045" s="6" t="str">
        <f t="shared" si="489"/>
        <v>522-2026000172</v>
      </c>
      <c r="B2045" s="6" t="str">
        <f t="shared" si="481"/>
        <v>EL CORTE</v>
      </c>
      <c r="C2045" s="7">
        <v>46035</v>
      </c>
      <c r="D2045" s="7">
        <v>46038</v>
      </c>
      <c r="E2045" s="8">
        <v>7</v>
      </c>
      <c r="F2045" s="6" t="str">
        <f t="shared" si="490"/>
        <v>94810701_07026</v>
      </c>
      <c r="G2045" s="6" t="str">
        <f t="shared" si="482"/>
        <v>F310631650000000</v>
      </c>
      <c r="H2045" s="6" t="str">
        <f t="shared" si="483"/>
        <v>PLAR 6316 FD - 500 g</v>
      </c>
      <c r="I2045" s="6" t="str">
        <f>"200901"</f>
        <v>200901</v>
      </c>
      <c r="J2045" s="6" t="str">
        <f>"ROSA 901"</f>
        <v>ROSA 901</v>
      </c>
      <c r="K2045" s="6" t="str">
        <f>"1024"</f>
        <v>1024</v>
      </c>
      <c r="L2045" s="6" t="str">
        <f>"Toalhas"</f>
        <v>Toalhas</v>
      </c>
      <c r="M2045" s="6" t="str">
        <f>"50x100"</f>
        <v>50x100</v>
      </c>
      <c r="N2045" s="6" t="str">
        <f>"5602972281118"</f>
        <v>5602972281118</v>
      </c>
      <c r="O2045" s="8">
        <v>6</v>
      </c>
      <c r="R2045" s="8">
        <v>0</v>
      </c>
      <c r="U2045" s="8">
        <v>0</v>
      </c>
      <c r="X2045" s="8">
        <v>0</v>
      </c>
      <c r="Z2045" s="8">
        <v>0</v>
      </c>
      <c r="AC2045" s="8">
        <v>0</v>
      </c>
      <c r="AF2045" s="8">
        <v>0</v>
      </c>
      <c r="AN2045" s="8">
        <v>6</v>
      </c>
      <c r="AO2045" s="8">
        <v>0</v>
      </c>
    </row>
    <row r="2046" spans="1:41" x14ac:dyDescent="0.25">
      <c r="A2046" s="6" t="str">
        <f t="shared" si="489"/>
        <v>522-2026000172</v>
      </c>
      <c r="B2046" s="6" t="str">
        <f t="shared" si="481"/>
        <v>EL CORTE</v>
      </c>
      <c r="C2046" s="7">
        <v>46035</v>
      </c>
      <c r="D2046" s="7">
        <v>46038</v>
      </c>
      <c r="E2046" s="8">
        <v>8</v>
      </c>
      <c r="F2046" s="6" t="str">
        <f t="shared" si="490"/>
        <v>94810701_07026</v>
      </c>
      <c r="G2046" s="6" t="str">
        <f t="shared" si="482"/>
        <v>F310631650000000</v>
      </c>
      <c r="H2046" s="6" t="str">
        <f t="shared" si="483"/>
        <v>PLAR 6316 FD - 500 g</v>
      </c>
      <c r="I2046" s="6" t="str">
        <f>"200901"</f>
        <v>200901</v>
      </c>
      <c r="J2046" s="6" t="str">
        <f>"ROSA 901"</f>
        <v>ROSA 901</v>
      </c>
      <c r="K2046" s="6" t="str">
        <f>"2020"</f>
        <v>2020</v>
      </c>
      <c r="L2046" s="6" t="str">
        <f>"Lençóis"</f>
        <v>Lençóis</v>
      </c>
      <c r="M2046" s="6" t="str">
        <f>"100x150"</f>
        <v>100x150</v>
      </c>
      <c r="N2046" s="6" t="str">
        <f>"5602972281125"</f>
        <v>5602972281125</v>
      </c>
      <c r="O2046" s="8">
        <v>9</v>
      </c>
      <c r="R2046" s="8">
        <v>0</v>
      </c>
      <c r="U2046" s="8">
        <v>0</v>
      </c>
      <c r="X2046" s="8">
        <v>0</v>
      </c>
      <c r="Z2046" s="8">
        <v>0</v>
      </c>
      <c r="AC2046" s="8">
        <v>0</v>
      </c>
      <c r="AF2046" s="8">
        <v>0</v>
      </c>
      <c r="AN2046" s="8">
        <v>0</v>
      </c>
      <c r="AO2046" s="8">
        <v>9</v>
      </c>
    </row>
    <row r="2047" spans="1:41" x14ac:dyDescent="0.25">
      <c r="A2047" s="6" t="str">
        <f t="shared" si="489"/>
        <v>522-2026000172</v>
      </c>
      <c r="B2047" s="6" t="str">
        <f t="shared" si="481"/>
        <v>EL CORTE</v>
      </c>
      <c r="C2047" s="7">
        <v>46035</v>
      </c>
      <c r="D2047" s="7">
        <v>46038</v>
      </c>
      <c r="E2047" s="8">
        <v>9</v>
      </c>
      <c r="F2047" s="6" t="str">
        <f t="shared" si="490"/>
        <v>94810701_07026</v>
      </c>
      <c r="G2047" s="6" t="str">
        <f t="shared" si="482"/>
        <v>F310631650000000</v>
      </c>
      <c r="H2047" s="6" t="str">
        <f t="shared" si="483"/>
        <v>PLAR 6316 FD - 500 g</v>
      </c>
      <c r="I2047" s="6" t="str">
        <f>"200510"</f>
        <v>200510</v>
      </c>
      <c r="J2047" s="6" t="str">
        <f>"VERDE 510"</f>
        <v>VERDE 510</v>
      </c>
      <c r="K2047" s="6" t="str">
        <f>"0520"</f>
        <v>0520</v>
      </c>
      <c r="L2047" s="6" t="str">
        <f>"Toalhetes"</f>
        <v>Toalhetes</v>
      </c>
      <c r="M2047" s="6" t="str">
        <f>"30x50"</f>
        <v>30x50</v>
      </c>
      <c r="N2047" s="6" t="str">
        <f>"5602972281132"</f>
        <v>5602972281132</v>
      </c>
      <c r="O2047" s="8">
        <v>12</v>
      </c>
      <c r="R2047" s="8">
        <v>0</v>
      </c>
      <c r="U2047" s="8">
        <v>0</v>
      </c>
      <c r="X2047" s="8">
        <v>0</v>
      </c>
      <c r="Z2047" s="8">
        <v>0</v>
      </c>
      <c r="AC2047" s="8">
        <v>0</v>
      </c>
      <c r="AF2047" s="8">
        <v>0</v>
      </c>
      <c r="AN2047" s="8">
        <v>12</v>
      </c>
      <c r="AO2047" s="8">
        <v>0</v>
      </c>
    </row>
    <row r="2048" spans="1:41" x14ac:dyDescent="0.25">
      <c r="A2048" s="6" t="str">
        <f t="shared" si="489"/>
        <v>522-2026000172</v>
      </c>
      <c r="B2048" s="6" t="str">
        <f t="shared" si="481"/>
        <v>EL CORTE</v>
      </c>
      <c r="C2048" s="7">
        <v>46035</v>
      </c>
      <c r="D2048" s="7">
        <v>46038</v>
      </c>
      <c r="E2048" s="8">
        <v>10</v>
      </c>
      <c r="F2048" s="6" t="str">
        <f t="shared" si="490"/>
        <v>94810701_07026</v>
      </c>
      <c r="G2048" s="6" t="str">
        <f t="shared" si="482"/>
        <v>F310631650000000</v>
      </c>
      <c r="H2048" s="6" t="str">
        <f t="shared" si="483"/>
        <v>PLAR 6316 FD - 500 g</v>
      </c>
      <c r="I2048" s="6" t="str">
        <f>"200510"</f>
        <v>200510</v>
      </c>
      <c r="J2048" s="6" t="str">
        <f>"VERDE 510"</f>
        <v>VERDE 510</v>
      </c>
      <c r="K2048" s="6" t="str">
        <f>"1024"</f>
        <v>1024</v>
      </c>
      <c r="L2048" s="6" t="str">
        <f>"Toalhas"</f>
        <v>Toalhas</v>
      </c>
      <c r="M2048" s="6" t="str">
        <f>"50x100"</f>
        <v>50x100</v>
      </c>
      <c r="N2048" s="6" t="str">
        <f>"5602972281149"</f>
        <v>5602972281149</v>
      </c>
      <c r="O2048" s="8">
        <v>12</v>
      </c>
      <c r="R2048" s="8">
        <v>0</v>
      </c>
      <c r="U2048" s="8">
        <v>0</v>
      </c>
      <c r="X2048" s="8">
        <v>0</v>
      </c>
      <c r="Z2048" s="8">
        <v>0</v>
      </c>
      <c r="AC2048" s="8">
        <v>0</v>
      </c>
      <c r="AF2048" s="8">
        <v>0</v>
      </c>
      <c r="AN2048" s="8">
        <v>12</v>
      </c>
      <c r="AO2048" s="8">
        <v>0</v>
      </c>
    </row>
    <row r="2049" spans="1:41" x14ac:dyDescent="0.25">
      <c r="A2049" s="6" t="str">
        <f>"522-2026000173"</f>
        <v>522-2026000173</v>
      </c>
      <c r="B2049" s="6" t="str">
        <f t="shared" si="481"/>
        <v>EL CORTE</v>
      </c>
      <c r="C2049" s="7">
        <v>46035</v>
      </c>
      <c r="D2049" s="7">
        <v>46038</v>
      </c>
      <c r="E2049" s="8">
        <v>1</v>
      </c>
      <c r="F2049" s="6" t="str">
        <f>"94811201_07026"</f>
        <v>94811201_07026</v>
      </c>
      <c r="G2049" s="6" t="str">
        <f t="shared" si="482"/>
        <v>F310631650000000</v>
      </c>
      <c r="H2049" s="6" t="str">
        <f t="shared" si="483"/>
        <v>PLAR 6316 FD - 500 g</v>
      </c>
      <c r="I2049" s="6" t="str">
        <f>"200901"</f>
        <v>200901</v>
      </c>
      <c r="J2049" s="6" t="str">
        <f>"ROSA 901"</f>
        <v>ROSA 901</v>
      </c>
      <c r="K2049" s="6" t="str">
        <f>"1024"</f>
        <v>1024</v>
      </c>
      <c r="L2049" s="6" t="str">
        <f>"Toalhas"</f>
        <v>Toalhas</v>
      </c>
      <c r="M2049" s="6" t="str">
        <f>"50x100"</f>
        <v>50x100</v>
      </c>
      <c r="N2049" s="6" t="str">
        <f>"5602972281118"</f>
        <v>5602972281118</v>
      </c>
      <c r="O2049" s="8">
        <v>6</v>
      </c>
      <c r="R2049" s="8">
        <v>0</v>
      </c>
      <c r="U2049" s="8">
        <v>0</v>
      </c>
      <c r="X2049" s="8">
        <v>0</v>
      </c>
      <c r="Z2049" s="8">
        <v>0</v>
      </c>
      <c r="AC2049" s="8">
        <v>0</v>
      </c>
      <c r="AF2049" s="8">
        <v>0</v>
      </c>
      <c r="AN2049" s="8">
        <v>6</v>
      </c>
      <c r="AO2049" s="8">
        <v>0</v>
      </c>
    </row>
    <row r="2050" spans="1:41" x14ac:dyDescent="0.25">
      <c r="A2050" s="6" t="str">
        <f>"522-2026000174"</f>
        <v>522-2026000174</v>
      </c>
      <c r="B2050" s="6" t="str">
        <f t="shared" si="481"/>
        <v>EL CORTE</v>
      </c>
      <c r="C2050" s="7">
        <v>46035</v>
      </c>
      <c r="D2050" s="7">
        <v>46038</v>
      </c>
      <c r="E2050" s="8">
        <v>1</v>
      </c>
      <c r="F2050" s="6" t="str">
        <f>"94810901_07026"</f>
        <v>94810901_07026</v>
      </c>
      <c r="G2050" s="6" t="str">
        <f t="shared" si="482"/>
        <v>F310631650000000</v>
      </c>
      <c r="H2050" s="6" t="str">
        <f t="shared" si="483"/>
        <v>PLAR 6316 FD - 500 g</v>
      </c>
      <c r="I2050" s="6" t="str">
        <f>"202575"</f>
        <v>202575</v>
      </c>
      <c r="J2050" s="6" t="str">
        <f>"BEGE 2575"</f>
        <v>BEGE 2575</v>
      </c>
      <c r="K2050" s="6" t="str">
        <f>"1024"</f>
        <v>1024</v>
      </c>
      <c r="L2050" s="6" t="str">
        <f>"Toalhas"</f>
        <v>Toalhas</v>
      </c>
      <c r="M2050" s="6" t="str">
        <f>"50x100"</f>
        <v>50x100</v>
      </c>
      <c r="N2050" s="6" t="str">
        <f>"5602972281088"</f>
        <v>5602972281088</v>
      </c>
      <c r="O2050" s="8">
        <v>6</v>
      </c>
      <c r="R2050" s="8">
        <v>0</v>
      </c>
      <c r="U2050" s="8">
        <v>0</v>
      </c>
      <c r="X2050" s="8">
        <v>0</v>
      </c>
      <c r="Z2050" s="8">
        <v>0</v>
      </c>
      <c r="AC2050" s="8">
        <v>0</v>
      </c>
      <c r="AF2050" s="8">
        <v>0</v>
      </c>
      <c r="AN2050" s="8">
        <v>6</v>
      </c>
      <c r="AO2050" s="8">
        <v>0</v>
      </c>
    </row>
    <row r="2051" spans="1:41" x14ac:dyDescent="0.25">
      <c r="A2051" s="6" t="str">
        <f>"522-2026000174"</f>
        <v>522-2026000174</v>
      </c>
      <c r="B2051" s="6" t="str">
        <f t="shared" si="481"/>
        <v>EL CORTE</v>
      </c>
      <c r="C2051" s="7">
        <v>46035</v>
      </c>
      <c r="D2051" s="7">
        <v>46038</v>
      </c>
      <c r="E2051" s="8">
        <v>2</v>
      </c>
      <c r="F2051" s="6" t="str">
        <f>"94810901_07026"</f>
        <v>94810901_07026</v>
      </c>
      <c r="G2051" s="6" t="str">
        <f t="shared" si="482"/>
        <v>F310631650000000</v>
      </c>
      <c r="H2051" s="6" t="str">
        <f t="shared" si="483"/>
        <v>PLAR 6316 FD - 500 g</v>
      </c>
      <c r="I2051" s="6" t="str">
        <f>"202575"</f>
        <v>202575</v>
      </c>
      <c r="J2051" s="6" t="str">
        <f>"BEGE 2575"</f>
        <v>BEGE 2575</v>
      </c>
      <c r="K2051" s="6" t="str">
        <f>"2020"</f>
        <v>2020</v>
      </c>
      <c r="L2051" s="6" t="str">
        <f>"Lençóis"</f>
        <v>Lençóis</v>
      </c>
      <c r="M2051" s="6" t="str">
        <f>"100x150"</f>
        <v>100x150</v>
      </c>
      <c r="N2051" s="6" t="str">
        <f>"5602972281095"</f>
        <v>5602972281095</v>
      </c>
      <c r="O2051" s="8">
        <v>3</v>
      </c>
      <c r="R2051" s="8">
        <v>0</v>
      </c>
      <c r="U2051" s="8">
        <v>0</v>
      </c>
      <c r="X2051" s="8">
        <v>0</v>
      </c>
      <c r="Z2051" s="8">
        <v>0</v>
      </c>
      <c r="AC2051" s="8">
        <v>0</v>
      </c>
      <c r="AF2051" s="8">
        <v>0</v>
      </c>
      <c r="AN2051" s="8">
        <v>0</v>
      </c>
      <c r="AO2051" s="8">
        <v>3</v>
      </c>
    </row>
    <row r="2052" spans="1:41" x14ac:dyDescent="0.25">
      <c r="A2052" s="6" t="str">
        <f>"522-2026000174"</f>
        <v>522-2026000174</v>
      </c>
      <c r="B2052" s="6" t="str">
        <f t="shared" si="481"/>
        <v>EL CORTE</v>
      </c>
      <c r="C2052" s="7">
        <v>46035</v>
      </c>
      <c r="D2052" s="7">
        <v>46038</v>
      </c>
      <c r="E2052" s="8">
        <v>3</v>
      </c>
      <c r="F2052" s="6" t="str">
        <f>"94810901_07026"</f>
        <v>94810901_07026</v>
      </c>
      <c r="G2052" s="6" t="str">
        <f t="shared" si="482"/>
        <v>F310631650000000</v>
      </c>
      <c r="H2052" s="6" t="str">
        <f t="shared" si="483"/>
        <v>PLAR 6316 FD - 500 g</v>
      </c>
      <c r="I2052" s="6" t="str">
        <f>"200901"</f>
        <v>200901</v>
      </c>
      <c r="J2052" s="6" t="str">
        <f>"ROSA 901"</f>
        <v>ROSA 901</v>
      </c>
      <c r="K2052" s="6" t="str">
        <f>"1024"</f>
        <v>1024</v>
      </c>
      <c r="L2052" s="6" t="str">
        <f>"Toalhas"</f>
        <v>Toalhas</v>
      </c>
      <c r="M2052" s="6" t="str">
        <f>"50x100"</f>
        <v>50x100</v>
      </c>
      <c r="N2052" s="6" t="str">
        <f>"5602972281118"</f>
        <v>5602972281118</v>
      </c>
      <c r="O2052" s="8">
        <v>6</v>
      </c>
      <c r="R2052" s="8">
        <v>0</v>
      </c>
      <c r="U2052" s="8">
        <v>0</v>
      </c>
      <c r="X2052" s="8">
        <v>0</v>
      </c>
      <c r="Z2052" s="8">
        <v>0</v>
      </c>
      <c r="AC2052" s="8">
        <v>0</v>
      </c>
      <c r="AF2052" s="8">
        <v>0</v>
      </c>
      <c r="AN2052" s="8">
        <v>6</v>
      </c>
      <c r="AO2052" s="8">
        <v>0</v>
      </c>
    </row>
    <row r="2053" spans="1:41" x14ac:dyDescent="0.25">
      <c r="A2053" s="6" t="str">
        <f>"522-2026000174"</f>
        <v>522-2026000174</v>
      </c>
      <c r="B2053" s="6" t="str">
        <f t="shared" si="481"/>
        <v>EL CORTE</v>
      </c>
      <c r="C2053" s="7">
        <v>46035</v>
      </c>
      <c r="D2053" s="7">
        <v>46038</v>
      </c>
      <c r="E2053" s="8">
        <v>4</v>
      </c>
      <c r="F2053" s="6" t="str">
        <f>"94810901_07026"</f>
        <v>94810901_07026</v>
      </c>
      <c r="G2053" s="6" t="str">
        <f t="shared" si="482"/>
        <v>F310631650000000</v>
      </c>
      <c r="H2053" s="6" t="str">
        <f t="shared" si="483"/>
        <v>PLAR 6316 FD - 500 g</v>
      </c>
      <c r="I2053" s="6" t="str">
        <f>"200901"</f>
        <v>200901</v>
      </c>
      <c r="J2053" s="6" t="str">
        <f>"ROSA 901"</f>
        <v>ROSA 901</v>
      </c>
      <c r="K2053" s="6" t="str">
        <f>"2020"</f>
        <v>2020</v>
      </c>
      <c r="L2053" s="6" t="str">
        <f>"Lençóis"</f>
        <v>Lençóis</v>
      </c>
      <c r="M2053" s="6" t="str">
        <f>"100x150"</f>
        <v>100x150</v>
      </c>
      <c r="N2053" s="6" t="str">
        <f>"5602972281125"</f>
        <v>5602972281125</v>
      </c>
      <c r="O2053" s="8">
        <v>3</v>
      </c>
      <c r="R2053" s="8">
        <v>0</v>
      </c>
      <c r="U2053" s="8">
        <v>0</v>
      </c>
      <c r="X2053" s="8">
        <v>0</v>
      </c>
      <c r="Z2053" s="8">
        <v>0</v>
      </c>
      <c r="AC2053" s="8">
        <v>0</v>
      </c>
      <c r="AF2053" s="8">
        <v>0</v>
      </c>
      <c r="AN2053" s="8">
        <v>0</v>
      </c>
      <c r="AO2053" s="8">
        <v>3</v>
      </c>
    </row>
    <row r="2054" spans="1:41" x14ac:dyDescent="0.25">
      <c r="A2054" s="6" t="str">
        <f>"522-2026000175"</f>
        <v>522-2026000175</v>
      </c>
      <c r="B2054" s="6" t="str">
        <f t="shared" si="481"/>
        <v>EL CORTE</v>
      </c>
      <c r="C2054" s="7">
        <v>46035</v>
      </c>
      <c r="D2054" s="7">
        <v>46038</v>
      </c>
      <c r="E2054" s="8">
        <v>1</v>
      </c>
      <c r="F2054" s="6" t="str">
        <f>"94811101_07026"</f>
        <v>94811101_07026</v>
      </c>
      <c r="G2054" s="6" t="str">
        <f t="shared" si="482"/>
        <v>F310631650000000</v>
      </c>
      <c r="H2054" s="6" t="str">
        <f t="shared" si="483"/>
        <v>PLAR 6316 FD - 500 g</v>
      </c>
      <c r="I2054" s="6" t="str">
        <f>"201855"</f>
        <v>201855</v>
      </c>
      <c r="J2054" s="6" t="str">
        <f>"AZUL 1855"</f>
        <v>AZUL 1855</v>
      </c>
      <c r="K2054" s="6" t="str">
        <f>"1024"</f>
        <v>1024</v>
      </c>
      <c r="L2054" s="6" t="str">
        <f>"Toalhas"</f>
        <v>Toalhas</v>
      </c>
      <c r="M2054" s="6" t="str">
        <f>"50x100"</f>
        <v>50x100</v>
      </c>
      <c r="N2054" s="6" t="str">
        <f>"5602972281057"</f>
        <v>5602972281057</v>
      </c>
      <c r="O2054" s="8">
        <v>6</v>
      </c>
      <c r="R2054" s="8">
        <v>0</v>
      </c>
      <c r="U2054" s="8">
        <v>0</v>
      </c>
      <c r="X2054" s="8">
        <v>0</v>
      </c>
      <c r="Z2054" s="8">
        <v>0</v>
      </c>
      <c r="AC2054" s="8">
        <v>0</v>
      </c>
      <c r="AF2054" s="8">
        <v>0</v>
      </c>
      <c r="AN2054" s="8">
        <v>6</v>
      </c>
      <c r="AO2054" s="8">
        <v>0</v>
      </c>
    </row>
    <row r="2055" spans="1:41" x14ac:dyDescent="0.25">
      <c r="A2055" s="6" t="str">
        <f>"522-2026000175"</f>
        <v>522-2026000175</v>
      </c>
      <c r="B2055" s="6" t="str">
        <f t="shared" ref="B2055:B2118" si="491">"EL CORTE"</f>
        <v>EL CORTE</v>
      </c>
      <c r="C2055" s="7">
        <v>46035</v>
      </c>
      <c r="D2055" s="7">
        <v>46038</v>
      </c>
      <c r="E2055" s="8">
        <v>2</v>
      </c>
      <c r="F2055" s="6" t="str">
        <f>"94811101_07026"</f>
        <v>94811101_07026</v>
      </c>
      <c r="G2055" s="6" t="str">
        <f t="shared" ref="G2055:G2118" si="492">"F310631650000000"</f>
        <v>F310631650000000</v>
      </c>
      <c r="H2055" s="6" t="str">
        <f t="shared" ref="H2055:H2118" si="493">"PLAR 6316 FD - 500 g"</f>
        <v>PLAR 6316 FD - 500 g</v>
      </c>
      <c r="I2055" s="6" t="str">
        <f>"200901"</f>
        <v>200901</v>
      </c>
      <c r="J2055" s="6" t="str">
        <f>"ROSA 901"</f>
        <v>ROSA 901</v>
      </c>
      <c r="K2055" s="6" t="str">
        <f>"1024"</f>
        <v>1024</v>
      </c>
      <c r="L2055" s="6" t="str">
        <f>"Toalhas"</f>
        <v>Toalhas</v>
      </c>
      <c r="M2055" s="6" t="str">
        <f>"50x100"</f>
        <v>50x100</v>
      </c>
      <c r="N2055" s="6" t="str">
        <f>"5602972281118"</f>
        <v>5602972281118</v>
      </c>
      <c r="O2055" s="8">
        <v>6</v>
      </c>
      <c r="R2055" s="8">
        <v>0</v>
      </c>
      <c r="U2055" s="8">
        <v>0</v>
      </c>
      <c r="X2055" s="8">
        <v>0</v>
      </c>
      <c r="Z2055" s="8">
        <v>0</v>
      </c>
      <c r="AC2055" s="8">
        <v>0</v>
      </c>
      <c r="AF2055" s="8">
        <v>0</v>
      </c>
      <c r="AN2055" s="8">
        <v>6</v>
      </c>
      <c r="AO2055" s="8">
        <v>0</v>
      </c>
    </row>
    <row r="2056" spans="1:41" x14ac:dyDescent="0.25">
      <c r="A2056" s="6" t="str">
        <f t="shared" ref="A2056:A2065" si="494">"522-2026000176"</f>
        <v>522-2026000176</v>
      </c>
      <c r="B2056" s="6" t="str">
        <f t="shared" si="491"/>
        <v>EL CORTE</v>
      </c>
      <c r="C2056" s="7">
        <v>46035</v>
      </c>
      <c r="D2056" s="7">
        <v>46038</v>
      </c>
      <c r="E2056" s="8">
        <v>1</v>
      </c>
      <c r="F2056" s="6" t="str">
        <f t="shared" ref="F2056:F2065" si="495">"94810601_07026"</f>
        <v>94810601_07026</v>
      </c>
      <c r="G2056" s="6" t="str">
        <f t="shared" si="492"/>
        <v>F310631650000000</v>
      </c>
      <c r="H2056" s="6" t="str">
        <f t="shared" si="493"/>
        <v>PLAR 6316 FD - 500 g</v>
      </c>
      <c r="I2056" s="6" t="str">
        <f>"201855"</f>
        <v>201855</v>
      </c>
      <c r="J2056" s="6" t="str">
        <f>"AZUL 1855"</f>
        <v>AZUL 1855</v>
      </c>
      <c r="K2056" s="6" t="str">
        <f>"1024"</f>
        <v>1024</v>
      </c>
      <c r="L2056" s="6" t="str">
        <f>"Toalhas"</f>
        <v>Toalhas</v>
      </c>
      <c r="M2056" s="6" t="str">
        <f>"50x100"</f>
        <v>50x100</v>
      </c>
      <c r="N2056" s="6" t="str">
        <f>"5602972281057"</f>
        <v>5602972281057</v>
      </c>
      <c r="O2056" s="8">
        <v>6</v>
      </c>
      <c r="R2056" s="8">
        <v>0</v>
      </c>
      <c r="U2056" s="8">
        <v>0</v>
      </c>
      <c r="X2056" s="8">
        <v>0</v>
      </c>
      <c r="Z2056" s="8">
        <v>0</v>
      </c>
      <c r="AC2056" s="8">
        <v>0</v>
      </c>
      <c r="AF2056" s="8">
        <v>0</v>
      </c>
      <c r="AN2056" s="8">
        <v>6</v>
      </c>
      <c r="AO2056" s="8">
        <v>0</v>
      </c>
    </row>
    <row r="2057" spans="1:41" x14ac:dyDescent="0.25">
      <c r="A2057" s="6" t="str">
        <f t="shared" si="494"/>
        <v>522-2026000176</v>
      </c>
      <c r="B2057" s="6" t="str">
        <f t="shared" si="491"/>
        <v>EL CORTE</v>
      </c>
      <c r="C2057" s="7">
        <v>46035</v>
      </c>
      <c r="D2057" s="7">
        <v>46038</v>
      </c>
      <c r="E2057" s="8">
        <v>2</v>
      </c>
      <c r="F2057" s="6" t="str">
        <f t="shared" si="495"/>
        <v>94810601_07026</v>
      </c>
      <c r="G2057" s="6" t="str">
        <f t="shared" si="492"/>
        <v>F310631650000000</v>
      </c>
      <c r="H2057" s="6" t="str">
        <f t="shared" si="493"/>
        <v>PLAR 6316 FD - 500 g</v>
      </c>
      <c r="I2057" s="6" t="str">
        <f>"201855"</f>
        <v>201855</v>
      </c>
      <c r="J2057" s="6" t="str">
        <f>"AZUL 1855"</f>
        <v>AZUL 1855</v>
      </c>
      <c r="K2057" s="6" t="str">
        <f>"2020"</f>
        <v>2020</v>
      </c>
      <c r="L2057" s="6" t="str">
        <f>"Lençóis"</f>
        <v>Lençóis</v>
      </c>
      <c r="M2057" s="6" t="str">
        <f>"100x150"</f>
        <v>100x150</v>
      </c>
      <c r="N2057" s="6" t="str">
        <f>"5602972281064"</f>
        <v>5602972281064</v>
      </c>
      <c r="O2057" s="8">
        <v>6</v>
      </c>
      <c r="R2057" s="8">
        <v>0</v>
      </c>
      <c r="U2057" s="8">
        <v>0</v>
      </c>
      <c r="X2057" s="8">
        <v>0</v>
      </c>
      <c r="Z2057" s="8">
        <v>0</v>
      </c>
      <c r="AC2057" s="8">
        <v>0</v>
      </c>
      <c r="AF2057" s="8">
        <v>0</v>
      </c>
      <c r="AN2057" s="8">
        <v>0</v>
      </c>
      <c r="AO2057" s="8">
        <v>6</v>
      </c>
    </row>
    <row r="2058" spans="1:41" x14ac:dyDescent="0.25">
      <c r="A2058" s="6" t="str">
        <f t="shared" si="494"/>
        <v>522-2026000176</v>
      </c>
      <c r="B2058" s="6" t="str">
        <f t="shared" si="491"/>
        <v>EL CORTE</v>
      </c>
      <c r="C2058" s="7">
        <v>46035</v>
      </c>
      <c r="D2058" s="7">
        <v>46038</v>
      </c>
      <c r="E2058" s="8">
        <v>3</v>
      </c>
      <c r="F2058" s="6" t="str">
        <f t="shared" si="495"/>
        <v>94810601_07026</v>
      </c>
      <c r="G2058" s="6" t="str">
        <f t="shared" si="492"/>
        <v>F310631650000000</v>
      </c>
      <c r="H2058" s="6" t="str">
        <f t="shared" si="493"/>
        <v>PLAR 6316 FD - 500 g</v>
      </c>
      <c r="I2058" s="6" t="str">
        <f>"202575"</f>
        <v>202575</v>
      </c>
      <c r="J2058" s="6" t="str">
        <f>"BEGE 2575"</f>
        <v>BEGE 2575</v>
      </c>
      <c r="K2058" s="6" t="str">
        <f>"0520"</f>
        <v>0520</v>
      </c>
      <c r="L2058" s="6" t="str">
        <f>"Toalhetes"</f>
        <v>Toalhetes</v>
      </c>
      <c r="M2058" s="6" t="str">
        <f>"30x50"</f>
        <v>30x50</v>
      </c>
      <c r="N2058" s="6" t="str">
        <f>"5602972281071"</f>
        <v>5602972281071</v>
      </c>
      <c r="O2058" s="8">
        <v>6</v>
      </c>
      <c r="R2058" s="8">
        <v>0</v>
      </c>
      <c r="U2058" s="8">
        <v>0</v>
      </c>
      <c r="X2058" s="8">
        <v>0</v>
      </c>
      <c r="Z2058" s="8">
        <v>0</v>
      </c>
      <c r="AC2058" s="8">
        <v>0</v>
      </c>
      <c r="AF2058" s="8">
        <v>0</v>
      </c>
      <c r="AN2058" s="8">
        <v>6</v>
      </c>
      <c r="AO2058" s="8">
        <v>0</v>
      </c>
    </row>
    <row r="2059" spans="1:41" x14ac:dyDescent="0.25">
      <c r="A2059" s="6" t="str">
        <f t="shared" si="494"/>
        <v>522-2026000176</v>
      </c>
      <c r="B2059" s="6" t="str">
        <f t="shared" si="491"/>
        <v>EL CORTE</v>
      </c>
      <c r="C2059" s="7">
        <v>46035</v>
      </c>
      <c r="D2059" s="7">
        <v>46038</v>
      </c>
      <c r="E2059" s="8">
        <v>4</v>
      </c>
      <c r="F2059" s="6" t="str">
        <f t="shared" si="495"/>
        <v>94810601_07026</v>
      </c>
      <c r="G2059" s="6" t="str">
        <f t="shared" si="492"/>
        <v>F310631650000000</v>
      </c>
      <c r="H2059" s="6" t="str">
        <f t="shared" si="493"/>
        <v>PLAR 6316 FD - 500 g</v>
      </c>
      <c r="I2059" s="6" t="str">
        <f>"202575"</f>
        <v>202575</v>
      </c>
      <c r="J2059" s="6" t="str">
        <f>"BEGE 2575"</f>
        <v>BEGE 2575</v>
      </c>
      <c r="K2059" s="6" t="str">
        <f>"1024"</f>
        <v>1024</v>
      </c>
      <c r="L2059" s="6" t="str">
        <f>"Toalhas"</f>
        <v>Toalhas</v>
      </c>
      <c r="M2059" s="6" t="str">
        <f>"50x100"</f>
        <v>50x100</v>
      </c>
      <c r="N2059" s="6" t="str">
        <f>"5602972281088"</f>
        <v>5602972281088</v>
      </c>
      <c r="O2059" s="8">
        <v>6</v>
      </c>
      <c r="R2059" s="8">
        <v>0</v>
      </c>
      <c r="U2059" s="8">
        <v>0</v>
      </c>
      <c r="X2059" s="8">
        <v>0</v>
      </c>
      <c r="Z2059" s="8">
        <v>0</v>
      </c>
      <c r="AC2059" s="8">
        <v>0</v>
      </c>
      <c r="AF2059" s="8">
        <v>0</v>
      </c>
      <c r="AN2059" s="8">
        <v>6</v>
      </c>
      <c r="AO2059" s="8">
        <v>0</v>
      </c>
    </row>
    <row r="2060" spans="1:41" x14ac:dyDescent="0.25">
      <c r="A2060" s="6" t="str">
        <f t="shared" si="494"/>
        <v>522-2026000176</v>
      </c>
      <c r="B2060" s="6" t="str">
        <f t="shared" si="491"/>
        <v>EL CORTE</v>
      </c>
      <c r="C2060" s="7">
        <v>46035</v>
      </c>
      <c r="D2060" s="7">
        <v>46038</v>
      </c>
      <c r="E2060" s="8">
        <v>5</v>
      </c>
      <c r="F2060" s="6" t="str">
        <f t="shared" si="495"/>
        <v>94810601_07026</v>
      </c>
      <c r="G2060" s="6" t="str">
        <f t="shared" si="492"/>
        <v>F310631650000000</v>
      </c>
      <c r="H2060" s="6" t="str">
        <f t="shared" si="493"/>
        <v>PLAR 6316 FD - 500 g</v>
      </c>
      <c r="I2060" s="6" t="str">
        <f>"202575"</f>
        <v>202575</v>
      </c>
      <c r="J2060" s="6" t="str">
        <f>"BEGE 2575"</f>
        <v>BEGE 2575</v>
      </c>
      <c r="K2060" s="6" t="str">
        <f>"2020"</f>
        <v>2020</v>
      </c>
      <c r="L2060" s="6" t="str">
        <f>"Lençóis"</f>
        <v>Lençóis</v>
      </c>
      <c r="M2060" s="6" t="str">
        <f>"100x150"</f>
        <v>100x150</v>
      </c>
      <c r="N2060" s="6" t="str">
        <f>"5602972281095"</f>
        <v>5602972281095</v>
      </c>
      <c r="O2060" s="8">
        <v>6</v>
      </c>
      <c r="R2060" s="8">
        <v>0</v>
      </c>
      <c r="U2060" s="8">
        <v>0</v>
      </c>
      <c r="X2060" s="8">
        <v>0</v>
      </c>
      <c r="Z2060" s="8">
        <v>0</v>
      </c>
      <c r="AC2060" s="8">
        <v>0</v>
      </c>
      <c r="AF2060" s="8">
        <v>0</v>
      </c>
      <c r="AN2060" s="8">
        <v>0</v>
      </c>
      <c r="AO2060" s="8">
        <v>6</v>
      </c>
    </row>
    <row r="2061" spans="1:41" x14ac:dyDescent="0.25">
      <c r="A2061" s="6" t="str">
        <f t="shared" si="494"/>
        <v>522-2026000176</v>
      </c>
      <c r="B2061" s="6" t="str">
        <f t="shared" si="491"/>
        <v>EL CORTE</v>
      </c>
      <c r="C2061" s="7">
        <v>46035</v>
      </c>
      <c r="D2061" s="7">
        <v>46038</v>
      </c>
      <c r="E2061" s="8">
        <v>6</v>
      </c>
      <c r="F2061" s="6" t="str">
        <f t="shared" si="495"/>
        <v>94810601_07026</v>
      </c>
      <c r="G2061" s="6" t="str">
        <f t="shared" si="492"/>
        <v>F310631650000000</v>
      </c>
      <c r="H2061" s="6" t="str">
        <f t="shared" si="493"/>
        <v>PLAR 6316 FD - 500 g</v>
      </c>
      <c r="I2061" s="6" t="str">
        <f>"200901"</f>
        <v>200901</v>
      </c>
      <c r="J2061" s="6" t="str">
        <f>"ROSA 901"</f>
        <v>ROSA 901</v>
      </c>
      <c r="K2061" s="6" t="str">
        <f>"1024"</f>
        <v>1024</v>
      </c>
      <c r="L2061" s="6" t="str">
        <f>"Toalhas"</f>
        <v>Toalhas</v>
      </c>
      <c r="M2061" s="6" t="str">
        <f>"50x100"</f>
        <v>50x100</v>
      </c>
      <c r="N2061" s="6" t="str">
        <f>"5602972281118"</f>
        <v>5602972281118</v>
      </c>
      <c r="O2061" s="8">
        <v>6</v>
      </c>
      <c r="R2061" s="8">
        <v>0</v>
      </c>
      <c r="U2061" s="8">
        <v>0</v>
      </c>
      <c r="X2061" s="8">
        <v>0</v>
      </c>
      <c r="Z2061" s="8">
        <v>0</v>
      </c>
      <c r="AC2061" s="8">
        <v>0</v>
      </c>
      <c r="AF2061" s="8">
        <v>0</v>
      </c>
      <c r="AN2061" s="8">
        <v>6</v>
      </c>
      <c r="AO2061" s="8">
        <v>0</v>
      </c>
    </row>
    <row r="2062" spans="1:41" x14ac:dyDescent="0.25">
      <c r="A2062" s="6" t="str">
        <f t="shared" si="494"/>
        <v>522-2026000176</v>
      </c>
      <c r="B2062" s="6" t="str">
        <f t="shared" si="491"/>
        <v>EL CORTE</v>
      </c>
      <c r="C2062" s="7">
        <v>46035</v>
      </c>
      <c r="D2062" s="7">
        <v>46038</v>
      </c>
      <c r="E2062" s="8">
        <v>7</v>
      </c>
      <c r="F2062" s="6" t="str">
        <f t="shared" si="495"/>
        <v>94810601_07026</v>
      </c>
      <c r="G2062" s="6" t="str">
        <f t="shared" si="492"/>
        <v>F310631650000000</v>
      </c>
      <c r="H2062" s="6" t="str">
        <f t="shared" si="493"/>
        <v>PLAR 6316 FD - 500 g</v>
      </c>
      <c r="I2062" s="6" t="str">
        <f>"200901"</f>
        <v>200901</v>
      </c>
      <c r="J2062" s="6" t="str">
        <f>"ROSA 901"</f>
        <v>ROSA 901</v>
      </c>
      <c r="K2062" s="6" t="str">
        <f>"2020"</f>
        <v>2020</v>
      </c>
      <c r="L2062" s="6" t="str">
        <f>"Lençóis"</f>
        <v>Lençóis</v>
      </c>
      <c r="M2062" s="6" t="str">
        <f>"100x150"</f>
        <v>100x150</v>
      </c>
      <c r="N2062" s="6" t="str">
        <f>"5602972281125"</f>
        <v>5602972281125</v>
      </c>
      <c r="O2062" s="8">
        <v>6</v>
      </c>
      <c r="R2062" s="8">
        <v>0</v>
      </c>
      <c r="U2062" s="8">
        <v>0</v>
      </c>
      <c r="X2062" s="8">
        <v>0</v>
      </c>
      <c r="Z2062" s="8">
        <v>0</v>
      </c>
      <c r="AC2062" s="8">
        <v>0</v>
      </c>
      <c r="AF2062" s="8">
        <v>0</v>
      </c>
      <c r="AN2062" s="8">
        <v>0</v>
      </c>
      <c r="AO2062" s="8">
        <v>6</v>
      </c>
    </row>
    <row r="2063" spans="1:41" x14ac:dyDescent="0.25">
      <c r="A2063" s="6" t="str">
        <f t="shared" si="494"/>
        <v>522-2026000176</v>
      </c>
      <c r="B2063" s="6" t="str">
        <f t="shared" si="491"/>
        <v>EL CORTE</v>
      </c>
      <c r="C2063" s="7">
        <v>46035</v>
      </c>
      <c r="D2063" s="7">
        <v>46038</v>
      </c>
      <c r="E2063" s="8">
        <v>8</v>
      </c>
      <c r="F2063" s="6" t="str">
        <f t="shared" si="495"/>
        <v>94810601_07026</v>
      </c>
      <c r="G2063" s="6" t="str">
        <f t="shared" si="492"/>
        <v>F310631650000000</v>
      </c>
      <c r="H2063" s="6" t="str">
        <f t="shared" si="493"/>
        <v>PLAR 6316 FD - 500 g</v>
      </c>
      <c r="I2063" s="6" t="str">
        <f>"200510"</f>
        <v>200510</v>
      </c>
      <c r="J2063" s="6" t="str">
        <f>"VERDE 510"</f>
        <v>VERDE 510</v>
      </c>
      <c r="K2063" s="6" t="str">
        <f>"0520"</f>
        <v>0520</v>
      </c>
      <c r="L2063" s="6" t="str">
        <f>"Toalhetes"</f>
        <v>Toalhetes</v>
      </c>
      <c r="M2063" s="6" t="str">
        <f>"30x50"</f>
        <v>30x50</v>
      </c>
      <c r="N2063" s="6" t="str">
        <f>"5602972281132"</f>
        <v>5602972281132</v>
      </c>
      <c r="O2063" s="8">
        <v>6</v>
      </c>
      <c r="R2063" s="8">
        <v>0</v>
      </c>
      <c r="U2063" s="8">
        <v>0</v>
      </c>
      <c r="X2063" s="8">
        <v>0</v>
      </c>
      <c r="Z2063" s="8">
        <v>0</v>
      </c>
      <c r="AC2063" s="8">
        <v>0</v>
      </c>
      <c r="AF2063" s="8">
        <v>0</v>
      </c>
      <c r="AN2063" s="8">
        <v>6</v>
      </c>
      <c r="AO2063" s="8">
        <v>0</v>
      </c>
    </row>
    <row r="2064" spans="1:41" x14ac:dyDescent="0.25">
      <c r="A2064" s="6" t="str">
        <f t="shared" si="494"/>
        <v>522-2026000176</v>
      </c>
      <c r="B2064" s="6" t="str">
        <f t="shared" si="491"/>
        <v>EL CORTE</v>
      </c>
      <c r="C2064" s="7">
        <v>46035</v>
      </c>
      <c r="D2064" s="7">
        <v>46038</v>
      </c>
      <c r="E2064" s="8">
        <v>9</v>
      </c>
      <c r="F2064" s="6" t="str">
        <f t="shared" si="495"/>
        <v>94810601_07026</v>
      </c>
      <c r="G2064" s="6" t="str">
        <f t="shared" si="492"/>
        <v>F310631650000000</v>
      </c>
      <c r="H2064" s="6" t="str">
        <f t="shared" si="493"/>
        <v>PLAR 6316 FD - 500 g</v>
      </c>
      <c r="I2064" s="6" t="str">
        <f>"200510"</f>
        <v>200510</v>
      </c>
      <c r="J2064" s="6" t="str">
        <f>"VERDE 510"</f>
        <v>VERDE 510</v>
      </c>
      <c r="K2064" s="6" t="str">
        <f>"1024"</f>
        <v>1024</v>
      </c>
      <c r="L2064" s="6" t="str">
        <f>"Toalhas"</f>
        <v>Toalhas</v>
      </c>
      <c r="M2064" s="6" t="str">
        <f>"50x100"</f>
        <v>50x100</v>
      </c>
      <c r="N2064" s="6" t="str">
        <f>"5602972281149"</f>
        <v>5602972281149</v>
      </c>
      <c r="O2064" s="8">
        <v>6</v>
      </c>
      <c r="R2064" s="8">
        <v>0</v>
      </c>
      <c r="U2064" s="8">
        <v>0</v>
      </c>
      <c r="X2064" s="8">
        <v>0</v>
      </c>
      <c r="Z2064" s="8">
        <v>0</v>
      </c>
      <c r="AC2064" s="8">
        <v>0</v>
      </c>
      <c r="AF2064" s="8">
        <v>0</v>
      </c>
      <c r="AN2064" s="8">
        <v>6</v>
      </c>
      <c r="AO2064" s="8">
        <v>0</v>
      </c>
    </row>
    <row r="2065" spans="1:41" x14ac:dyDescent="0.25">
      <c r="A2065" s="6" t="str">
        <f t="shared" si="494"/>
        <v>522-2026000176</v>
      </c>
      <c r="B2065" s="6" t="str">
        <f t="shared" si="491"/>
        <v>EL CORTE</v>
      </c>
      <c r="C2065" s="7">
        <v>46035</v>
      </c>
      <c r="D2065" s="7">
        <v>46038</v>
      </c>
      <c r="E2065" s="8">
        <v>10</v>
      </c>
      <c r="F2065" s="6" t="str">
        <f t="shared" si="495"/>
        <v>94810601_07026</v>
      </c>
      <c r="G2065" s="6" t="str">
        <f t="shared" si="492"/>
        <v>F310631650000000</v>
      </c>
      <c r="H2065" s="6" t="str">
        <f t="shared" si="493"/>
        <v>PLAR 6316 FD - 500 g</v>
      </c>
      <c r="I2065" s="6" t="str">
        <f>"200510"</f>
        <v>200510</v>
      </c>
      <c r="J2065" s="6" t="str">
        <f>"VERDE 510"</f>
        <v>VERDE 510</v>
      </c>
      <c r="K2065" s="6" t="str">
        <f>"2020"</f>
        <v>2020</v>
      </c>
      <c r="L2065" s="6" t="str">
        <f>"Lençóis"</f>
        <v>Lençóis</v>
      </c>
      <c r="M2065" s="6" t="str">
        <f>"100x150"</f>
        <v>100x150</v>
      </c>
      <c r="N2065" s="6" t="str">
        <f>"5602972281156"</f>
        <v>5602972281156</v>
      </c>
      <c r="O2065" s="8">
        <v>6</v>
      </c>
      <c r="R2065" s="8">
        <v>0</v>
      </c>
      <c r="U2065" s="8">
        <v>0</v>
      </c>
      <c r="X2065" s="8">
        <v>0</v>
      </c>
      <c r="Z2065" s="8">
        <v>0</v>
      </c>
      <c r="AC2065" s="8">
        <v>0</v>
      </c>
      <c r="AF2065" s="8">
        <v>0</v>
      </c>
      <c r="AN2065" s="8">
        <v>0</v>
      </c>
      <c r="AO2065" s="8">
        <v>6</v>
      </c>
    </row>
    <row r="2066" spans="1:41" x14ac:dyDescent="0.25">
      <c r="A2066" s="6" t="str">
        <f>"522-2026000177"</f>
        <v>522-2026000177</v>
      </c>
      <c r="B2066" s="6" t="str">
        <f t="shared" si="491"/>
        <v>EL CORTE</v>
      </c>
      <c r="C2066" s="7">
        <v>46035</v>
      </c>
      <c r="D2066" s="7">
        <v>46038</v>
      </c>
      <c r="E2066" s="8">
        <v>1</v>
      </c>
      <c r="F2066" s="6" t="str">
        <f>"94811501_07026"</f>
        <v>94811501_07026</v>
      </c>
      <c r="G2066" s="6" t="str">
        <f t="shared" si="492"/>
        <v>F310631650000000</v>
      </c>
      <c r="H2066" s="6" t="str">
        <f t="shared" si="493"/>
        <v>PLAR 6316 FD - 500 g</v>
      </c>
      <c r="I2066" s="6" t="str">
        <f>"202575"</f>
        <v>202575</v>
      </c>
      <c r="J2066" s="6" t="str">
        <f>"BEGE 2575"</f>
        <v>BEGE 2575</v>
      </c>
      <c r="K2066" s="6" t="str">
        <f>"2020"</f>
        <v>2020</v>
      </c>
      <c r="L2066" s="6" t="str">
        <f>"Lençóis"</f>
        <v>Lençóis</v>
      </c>
      <c r="M2066" s="6" t="str">
        <f>"100x150"</f>
        <v>100x150</v>
      </c>
      <c r="N2066" s="6" t="str">
        <f>"5602972281095"</f>
        <v>5602972281095</v>
      </c>
      <c r="O2066" s="8">
        <v>3</v>
      </c>
      <c r="R2066" s="8">
        <v>0</v>
      </c>
      <c r="U2066" s="8">
        <v>0</v>
      </c>
      <c r="X2066" s="8">
        <v>0</v>
      </c>
      <c r="Z2066" s="8">
        <v>0</v>
      </c>
      <c r="AC2066" s="8">
        <v>0</v>
      </c>
      <c r="AF2066" s="8">
        <v>0</v>
      </c>
      <c r="AN2066" s="8">
        <v>0</v>
      </c>
      <c r="AO2066" s="8">
        <v>3</v>
      </c>
    </row>
    <row r="2067" spans="1:41" x14ac:dyDescent="0.25">
      <c r="A2067" s="6" t="str">
        <f>"522-2026000177"</f>
        <v>522-2026000177</v>
      </c>
      <c r="B2067" s="6" t="str">
        <f t="shared" si="491"/>
        <v>EL CORTE</v>
      </c>
      <c r="C2067" s="7">
        <v>46035</v>
      </c>
      <c r="D2067" s="7">
        <v>46038</v>
      </c>
      <c r="E2067" s="8">
        <v>2</v>
      </c>
      <c r="F2067" s="6" t="str">
        <f>"94811501_07026"</f>
        <v>94811501_07026</v>
      </c>
      <c r="G2067" s="6" t="str">
        <f t="shared" si="492"/>
        <v>F310631650000000</v>
      </c>
      <c r="H2067" s="6" t="str">
        <f t="shared" si="493"/>
        <v>PLAR 6316 FD - 500 g</v>
      </c>
      <c r="I2067" s="6" t="str">
        <f>"200510"</f>
        <v>200510</v>
      </c>
      <c r="J2067" s="6" t="str">
        <f>"VERDE 510"</f>
        <v>VERDE 510</v>
      </c>
      <c r="K2067" s="6" t="str">
        <f>"2020"</f>
        <v>2020</v>
      </c>
      <c r="L2067" s="6" t="str">
        <f>"Lençóis"</f>
        <v>Lençóis</v>
      </c>
      <c r="M2067" s="6" t="str">
        <f>"100x150"</f>
        <v>100x150</v>
      </c>
      <c r="N2067" s="6" t="str">
        <f>"5602972281156"</f>
        <v>5602972281156</v>
      </c>
      <c r="O2067" s="8">
        <v>3</v>
      </c>
      <c r="R2067" s="8">
        <v>0</v>
      </c>
      <c r="U2067" s="8">
        <v>0</v>
      </c>
      <c r="X2067" s="8">
        <v>0</v>
      </c>
      <c r="Z2067" s="8">
        <v>0</v>
      </c>
      <c r="AC2067" s="8">
        <v>0</v>
      </c>
      <c r="AF2067" s="8">
        <v>0</v>
      </c>
      <c r="AN2067" s="8">
        <v>0</v>
      </c>
      <c r="AO2067" s="8">
        <v>3</v>
      </c>
    </row>
    <row r="2068" spans="1:41" x14ac:dyDescent="0.25">
      <c r="A2068" s="6" t="str">
        <f>"522-2026000178"</f>
        <v>522-2026000178</v>
      </c>
      <c r="B2068" s="6" t="str">
        <f t="shared" si="491"/>
        <v>EL CORTE</v>
      </c>
      <c r="C2068" s="7">
        <v>46035</v>
      </c>
      <c r="D2068" s="7">
        <v>46038</v>
      </c>
      <c r="E2068" s="8">
        <v>1</v>
      </c>
      <c r="F2068" s="6" t="str">
        <f>"94812001_07026"</f>
        <v>94812001_07026</v>
      </c>
      <c r="G2068" s="6" t="str">
        <f t="shared" si="492"/>
        <v>F310631650000000</v>
      </c>
      <c r="H2068" s="6" t="str">
        <f t="shared" si="493"/>
        <v>PLAR 6316 FD - 500 g</v>
      </c>
      <c r="I2068" s="6" t="str">
        <f>"201855"</f>
        <v>201855</v>
      </c>
      <c r="J2068" s="6" t="str">
        <f>"AZUL 1855"</f>
        <v>AZUL 1855</v>
      </c>
      <c r="K2068" s="6" t="str">
        <f>"1024"</f>
        <v>1024</v>
      </c>
      <c r="L2068" s="6" t="str">
        <f>"Toalhas"</f>
        <v>Toalhas</v>
      </c>
      <c r="M2068" s="6" t="str">
        <f>"50x100"</f>
        <v>50x100</v>
      </c>
      <c r="N2068" s="6" t="str">
        <f>"5602972281057"</f>
        <v>5602972281057</v>
      </c>
      <c r="O2068" s="8">
        <v>6</v>
      </c>
      <c r="R2068" s="8">
        <v>0</v>
      </c>
      <c r="U2068" s="8">
        <v>0</v>
      </c>
      <c r="X2068" s="8">
        <v>0</v>
      </c>
      <c r="Z2068" s="8">
        <v>0</v>
      </c>
      <c r="AC2068" s="8">
        <v>0</v>
      </c>
      <c r="AF2068" s="8">
        <v>0</v>
      </c>
      <c r="AN2068" s="8">
        <v>6</v>
      </c>
      <c r="AO2068" s="8">
        <v>0</v>
      </c>
    </row>
    <row r="2069" spans="1:41" x14ac:dyDescent="0.25">
      <c r="A2069" s="6" t="str">
        <f>"522-2026000179"</f>
        <v>522-2026000179</v>
      </c>
      <c r="B2069" s="6" t="str">
        <f t="shared" si="491"/>
        <v>EL CORTE</v>
      </c>
      <c r="C2069" s="7">
        <v>46034</v>
      </c>
      <c r="D2069" s="7">
        <v>46037</v>
      </c>
      <c r="E2069" s="8">
        <v>1</v>
      </c>
      <c r="F2069" s="6" t="str">
        <f>"94791301_07026"</f>
        <v>94791301_07026</v>
      </c>
      <c r="G2069" s="6" t="str">
        <f t="shared" si="492"/>
        <v>F310631650000000</v>
      </c>
      <c r="H2069" s="6" t="str">
        <f t="shared" si="493"/>
        <v>PLAR 6316 FD - 500 g</v>
      </c>
      <c r="I2069" s="6" t="str">
        <f>"201855"</f>
        <v>201855</v>
      </c>
      <c r="J2069" s="6" t="str">
        <f>"AZUL 1855"</f>
        <v>AZUL 1855</v>
      </c>
      <c r="K2069" s="6" t="str">
        <f>"2020"</f>
        <v>2020</v>
      </c>
      <c r="L2069" s="6" t="str">
        <f>"Lençóis"</f>
        <v>Lençóis</v>
      </c>
      <c r="M2069" s="6" t="str">
        <f>"100x150"</f>
        <v>100x150</v>
      </c>
      <c r="N2069" s="6" t="str">
        <f>"5602972281064"</f>
        <v>5602972281064</v>
      </c>
      <c r="O2069" s="8">
        <v>3</v>
      </c>
      <c r="R2069" s="8">
        <v>0</v>
      </c>
      <c r="U2069" s="8">
        <v>0</v>
      </c>
      <c r="X2069" s="8">
        <v>0</v>
      </c>
      <c r="Z2069" s="8">
        <v>0</v>
      </c>
      <c r="AC2069" s="8">
        <v>0</v>
      </c>
      <c r="AF2069" s="8">
        <v>0</v>
      </c>
      <c r="AN2069" s="8">
        <v>0</v>
      </c>
      <c r="AO2069" s="8">
        <v>3</v>
      </c>
    </row>
    <row r="2070" spans="1:41" x14ac:dyDescent="0.25">
      <c r="A2070" s="6" t="str">
        <f>"522-2026000179"</f>
        <v>522-2026000179</v>
      </c>
      <c r="B2070" s="6" t="str">
        <f t="shared" si="491"/>
        <v>EL CORTE</v>
      </c>
      <c r="C2070" s="7">
        <v>46034</v>
      </c>
      <c r="D2070" s="7">
        <v>46037</v>
      </c>
      <c r="E2070" s="8">
        <v>2</v>
      </c>
      <c r="F2070" s="6" t="str">
        <f>"94791301_07026"</f>
        <v>94791301_07026</v>
      </c>
      <c r="G2070" s="6" t="str">
        <f t="shared" si="492"/>
        <v>F310631650000000</v>
      </c>
      <c r="H2070" s="6" t="str">
        <f t="shared" si="493"/>
        <v>PLAR 6316 FD - 500 g</v>
      </c>
      <c r="I2070" s="6" t="str">
        <f>"200510"</f>
        <v>200510</v>
      </c>
      <c r="J2070" s="6" t="str">
        <f>"VERDE 510"</f>
        <v>VERDE 510</v>
      </c>
      <c r="K2070" s="6" t="str">
        <f>"2020"</f>
        <v>2020</v>
      </c>
      <c r="L2070" s="6" t="str">
        <f>"Lençóis"</f>
        <v>Lençóis</v>
      </c>
      <c r="M2070" s="6" t="str">
        <f>"100x150"</f>
        <v>100x150</v>
      </c>
      <c r="N2070" s="6" t="str">
        <f>"5602972281156"</f>
        <v>5602972281156</v>
      </c>
      <c r="O2070" s="8">
        <v>6</v>
      </c>
      <c r="R2070" s="8">
        <v>0</v>
      </c>
      <c r="U2070" s="8">
        <v>0</v>
      </c>
      <c r="X2070" s="8">
        <v>0</v>
      </c>
      <c r="Z2070" s="8">
        <v>0</v>
      </c>
      <c r="AC2070" s="8">
        <v>0</v>
      </c>
      <c r="AF2070" s="8">
        <v>0</v>
      </c>
      <c r="AN2070" s="8">
        <v>0</v>
      </c>
      <c r="AO2070" s="8">
        <v>6</v>
      </c>
    </row>
    <row r="2071" spans="1:41" x14ac:dyDescent="0.25">
      <c r="A2071" s="6" t="str">
        <f>"522-2026000180"</f>
        <v>522-2026000180</v>
      </c>
      <c r="B2071" s="6" t="str">
        <f t="shared" si="491"/>
        <v>EL CORTE</v>
      </c>
      <c r="C2071" s="7">
        <v>46034</v>
      </c>
      <c r="D2071" s="7">
        <v>46037</v>
      </c>
      <c r="E2071" s="8">
        <v>1</v>
      </c>
      <c r="F2071" s="6" t="str">
        <f>"94793801_07026"</f>
        <v>94793801_07026</v>
      </c>
      <c r="G2071" s="6" t="str">
        <f t="shared" si="492"/>
        <v>F310631650000000</v>
      </c>
      <c r="H2071" s="6" t="str">
        <f t="shared" si="493"/>
        <v>PLAR 6316 FD - 500 g</v>
      </c>
      <c r="I2071" s="6" t="str">
        <f>"201855"</f>
        <v>201855</v>
      </c>
      <c r="J2071" s="6" t="str">
        <f>"AZUL 1855"</f>
        <v>AZUL 1855</v>
      </c>
      <c r="K2071" s="6" t="str">
        <f>"2020"</f>
        <v>2020</v>
      </c>
      <c r="L2071" s="6" t="str">
        <f>"Lençóis"</f>
        <v>Lençóis</v>
      </c>
      <c r="M2071" s="6" t="str">
        <f>"100x150"</f>
        <v>100x150</v>
      </c>
      <c r="N2071" s="6" t="str">
        <f>"5602972281064"</f>
        <v>5602972281064</v>
      </c>
      <c r="O2071" s="8">
        <v>3</v>
      </c>
      <c r="R2071" s="8">
        <v>0</v>
      </c>
      <c r="U2071" s="8">
        <v>0</v>
      </c>
      <c r="X2071" s="8">
        <v>0</v>
      </c>
      <c r="Z2071" s="8">
        <v>0</v>
      </c>
      <c r="AC2071" s="8">
        <v>0</v>
      </c>
      <c r="AF2071" s="8">
        <v>0</v>
      </c>
      <c r="AN2071" s="8">
        <v>0</v>
      </c>
      <c r="AO2071" s="8">
        <v>3</v>
      </c>
    </row>
    <row r="2072" spans="1:41" x14ac:dyDescent="0.25">
      <c r="A2072" s="6" t="str">
        <f>"522-2026000180"</f>
        <v>522-2026000180</v>
      </c>
      <c r="B2072" s="6" t="str">
        <f t="shared" si="491"/>
        <v>EL CORTE</v>
      </c>
      <c r="C2072" s="7">
        <v>46034</v>
      </c>
      <c r="D2072" s="7">
        <v>46037</v>
      </c>
      <c r="E2072" s="8">
        <v>2</v>
      </c>
      <c r="F2072" s="6" t="str">
        <f>"94793801_07026"</f>
        <v>94793801_07026</v>
      </c>
      <c r="G2072" s="6" t="str">
        <f t="shared" si="492"/>
        <v>F310631650000000</v>
      </c>
      <c r="H2072" s="6" t="str">
        <f t="shared" si="493"/>
        <v>PLAR 6316 FD - 500 g</v>
      </c>
      <c r="I2072" s="6" t="str">
        <f>"202575"</f>
        <v>202575</v>
      </c>
      <c r="J2072" s="6" t="str">
        <f>"BEGE 2575"</f>
        <v>BEGE 2575</v>
      </c>
      <c r="K2072" s="6" t="str">
        <f>"2020"</f>
        <v>2020</v>
      </c>
      <c r="L2072" s="6" t="str">
        <f>"Lençóis"</f>
        <v>Lençóis</v>
      </c>
      <c r="M2072" s="6" t="str">
        <f>"100x150"</f>
        <v>100x150</v>
      </c>
      <c r="N2072" s="6" t="str">
        <f>"5602972281095"</f>
        <v>5602972281095</v>
      </c>
      <c r="O2072" s="8">
        <v>3</v>
      </c>
      <c r="R2072" s="8">
        <v>0</v>
      </c>
      <c r="U2072" s="8">
        <v>0</v>
      </c>
      <c r="X2072" s="8">
        <v>0</v>
      </c>
      <c r="Z2072" s="8">
        <v>0</v>
      </c>
      <c r="AC2072" s="8">
        <v>0</v>
      </c>
      <c r="AF2072" s="8">
        <v>0</v>
      </c>
      <c r="AN2072" s="8">
        <v>0</v>
      </c>
      <c r="AO2072" s="8">
        <v>3</v>
      </c>
    </row>
    <row r="2073" spans="1:41" x14ac:dyDescent="0.25">
      <c r="A2073" s="6" t="str">
        <f>"522-2026000180"</f>
        <v>522-2026000180</v>
      </c>
      <c r="B2073" s="6" t="str">
        <f t="shared" si="491"/>
        <v>EL CORTE</v>
      </c>
      <c r="C2073" s="7">
        <v>46034</v>
      </c>
      <c r="D2073" s="7">
        <v>46037</v>
      </c>
      <c r="E2073" s="8">
        <v>3</v>
      </c>
      <c r="F2073" s="6" t="str">
        <f>"94793801_07026"</f>
        <v>94793801_07026</v>
      </c>
      <c r="G2073" s="6" t="str">
        <f t="shared" si="492"/>
        <v>F310631650000000</v>
      </c>
      <c r="H2073" s="6" t="str">
        <f t="shared" si="493"/>
        <v>PLAR 6316 FD - 500 g</v>
      </c>
      <c r="I2073" s="6" t="str">
        <f>"200901"</f>
        <v>200901</v>
      </c>
      <c r="J2073" s="6" t="str">
        <f>"ROSA 901"</f>
        <v>ROSA 901</v>
      </c>
      <c r="K2073" s="6" t="str">
        <f>"1024"</f>
        <v>1024</v>
      </c>
      <c r="L2073" s="6" t="str">
        <f>"Toalhas"</f>
        <v>Toalhas</v>
      </c>
      <c r="M2073" s="6" t="str">
        <f>"50x100"</f>
        <v>50x100</v>
      </c>
      <c r="N2073" s="6" t="str">
        <f>"5602972281118"</f>
        <v>5602972281118</v>
      </c>
      <c r="O2073" s="8">
        <v>6</v>
      </c>
      <c r="R2073" s="8">
        <v>0</v>
      </c>
      <c r="U2073" s="8">
        <v>0</v>
      </c>
      <c r="X2073" s="8">
        <v>0</v>
      </c>
      <c r="Z2073" s="8">
        <v>0</v>
      </c>
      <c r="AC2073" s="8">
        <v>0</v>
      </c>
      <c r="AF2073" s="8">
        <v>0</v>
      </c>
      <c r="AN2073" s="8">
        <v>6</v>
      </c>
      <c r="AO2073" s="8">
        <v>0</v>
      </c>
    </row>
    <row r="2074" spans="1:41" x14ac:dyDescent="0.25">
      <c r="A2074" s="6" t="str">
        <f>"522-2026000181"</f>
        <v>522-2026000181</v>
      </c>
      <c r="B2074" s="6" t="str">
        <f t="shared" si="491"/>
        <v>EL CORTE</v>
      </c>
      <c r="C2074" s="7">
        <v>46034</v>
      </c>
      <c r="D2074" s="7">
        <v>46037</v>
      </c>
      <c r="E2074" s="8">
        <v>1</v>
      </c>
      <c r="F2074" s="6" t="str">
        <f>"94793501_07026"</f>
        <v>94793501_07026</v>
      </c>
      <c r="G2074" s="6" t="str">
        <f t="shared" si="492"/>
        <v>F310631650000000</v>
      </c>
      <c r="H2074" s="6" t="str">
        <f t="shared" si="493"/>
        <v>PLAR 6316 FD - 500 g</v>
      </c>
      <c r="I2074" s="6" t="str">
        <f>"202575"</f>
        <v>202575</v>
      </c>
      <c r="J2074" s="6" t="str">
        <f>"BEGE 2575"</f>
        <v>BEGE 2575</v>
      </c>
      <c r="K2074" s="6" t="str">
        <f>"2020"</f>
        <v>2020</v>
      </c>
      <c r="L2074" s="6" t="str">
        <f>"Lençóis"</f>
        <v>Lençóis</v>
      </c>
      <c r="M2074" s="6" t="str">
        <f>"100x150"</f>
        <v>100x150</v>
      </c>
      <c r="N2074" s="6" t="str">
        <f>"5602972281095"</f>
        <v>5602972281095</v>
      </c>
      <c r="O2074" s="8">
        <v>3</v>
      </c>
      <c r="R2074" s="8">
        <v>0</v>
      </c>
      <c r="U2074" s="8">
        <v>0</v>
      </c>
      <c r="X2074" s="8">
        <v>0</v>
      </c>
      <c r="Z2074" s="8">
        <v>0</v>
      </c>
      <c r="AC2074" s="8">
        <v>0</v>
      </c>
      <c r="AF2074" s="8">
        <v>0</v>
      </c>
      <c r="AN2074" s="8">
        <v>0</v>
      </c>
      <c r="AO2074" s="8">
        <v>3</v>
      </c>
    </row>
    <row r="2075" spans="1:41" x14ac:dyDescent="0.25">
      <c r="A2075" s="6" t="str">
        <f>"522-2026000181"</f>
        <v>522-2026000181</v>
      </c>
      <c r="B2075" s="6" t="str">
        <f t="shared" si="491"/>
        <v>EL CORTE</v>
      </c>
      <c r="C2075" s="7">
        <v>46034</v>
      </c>
      <c r="D2075" s="7">
        <v>46037</v>
      </c>
      <c r="E2075" s="8">
        <v>2</v>
      </c>
      <c r="F2075" s="6" t="str">
        <f>"94793501_07026"</f>
        <v>94793501_07026</v>
      </c>
      <c r="G2075" s="6" t="str">
        <f t="shared" si="492"/>
        <v>F310631650000000</v>
      </c>
      <c r="H2075" s="6" t="str">
        <f t="shared" si="493"/>
        <v>PLAR 6316 FD - 500 g</v>
      </c>
      <c r="I2075" s="6" t="str">
        <f>"200510"</f>
        <v>200510</v>
      </c>
      <c r="J2075" s="6" t="str">
        <f>"VERDE 510"</f>
        <v>VERDE 510</v>
      </c>
      <c r="K2075" s="6" t="str">
        <f>"1024"</f>
        <v>1024</v>
      </c>
      <c r="L2075" s="6" t="str">
        <f>"Toalhas"</f>
        <v>Toalhas</v>
      </c>
      <c r="M2075" s="6" t="str">
        <f>"50x100"</f>
        <v>50x100</v>
      </c>
      <c r="N2075" s="6" t="str">
        <f>"5602972281149"</f>
        <v>5602972281149</v>
      </c>
      <c r="O2075" s="8">
        <v>6</v>
      </c>
      <c r="R2075" s="8">
        <v>0</v>
      </c>
      <c r="U2075" s="8">
        <v>0</v>
      </c>
      <c r="X2075" s="8">
        <v>0</v>
      </c>
      <c r="Z2075" s="8">
        <v>0</v>
      </c>
      <c r="AC2075" s="8">
        <v>0</v>
      </c>
      <c r="AF2075" s="8">
        <v>0</v>
      </c>
      <c r="AN2075" s="8">
        <v>6</v>
      </c>
      <c r="AO2075" s="8">
        <v>0</v>
      </c>
    </row>
    <row r="2076" spans="1:41" x14ac:dyDescent="0.25">
      <c r="A2076" s="6" t="str">
        <f>"522-2026000182"</f>
        <v>522-2026000182</v>
      </c>
      <c r="B2076" s="6" t="str">
        <f t="shared" si="491"/>
        <v>EL CORTE</v>
      </c>
      <c r="C2076" s="7">
        <v>46034</v>
      </c>
      <c r="D2076" s="7">
        <v>46037</v>
      </c>
      <c r="E2076" s="8">
        <v>1</v>
      </c>
      <c r="F2076" s="6" t="str">
        <f>"94791601_07026"</f>
        <v>94791601_07026</v>
      </c>
      <c r="G2076" s="6" t="str">
        <f t="shared" si="492"/>
        <v>F310631650000000</v>
      </c>
      <c r="H2076" s="6" t="str">
        <f t="shared" si="493"/>
        <v>PLAR 6316 FD - 500 g</v>
      </c>
      <c r="I2076" s="6" t="str">
        <f>"200510"</f>
        <v>200510</v>
      </c>
      <c r="J2076" s="6" t="str">
        <f>"VERDE 510"</f>
        <v>VERDE 510</v>
      </c>
      <c r="K2076" s="6" t="str">
        <f>"1024"</f>
        <v>1024</v>
      </c>
      <c r="L2076" s="6" t="str">
        <f>"Toalhas"</f>
        <v>Toalhas</v>
      </c>
      <c r="M2076" s="6" t="str">
        <f>"50x100"</f>
        <v>50x100</v>
      </c>
      <c r="N2076" s="6" t="str">
        <f>"5602972281149"</f>
        <v>5602972281149</v>
      </c>
      <c r="O2076" s="8">
        <v>6</v>
      </c>
      <c r="R2076" s="8">
        <v>0</v>
      </c>
      <c r="U2076" s="8">
        <v>0</v>
      </c>
      <c r="X2076" s="8">
        <v>0</v>
      </c>
      <c r="Z2076" s="8">
        <v>0</v>
      </c>
      <c r="AC2076" s="8">
        <v>0</v>
      </c>
      <c r="AF2076" s="8">
        <v>0</v>
      </c>
      <c r="AN2076" s="8">
        <v>6</v>
      </c>
      <c r="AO2076" s="8">
        <v>0</v>
      </c>
    </row>
    <row r="2077" spans="1:41" x14ac:dyDescent="0.25">
      <c r="A2077" s="6" t="str">
        <f>"522-2026000182"</f>
        <v>522-2026000182</v>
      </c>
      <c r="B2077" s="6" t="str">
        <f t="shared" si="491"/>
        <v>EL CORTE</v>
      </c>
      <c r="C2077" s="7">
        <v>46034</v>
      </c>
      <c r="D2077" s="7">
        <v>46037</v>
      </c>
      <c r="E2077" s="8">
        <v>2</v>
      </c>
      <c r="F2077" s="6" t="str">
        <f>"94791601_07026"</f>
        <v>94791601_07026</v>
      </c>
      <c r="G2077" s="6" t="str">
        <f t="shared" si="492"/>
        <v>F310631650000000</v>
      </c>
      <c r="H2077" s="6" t="str">
        <f t="shared" si="493"/>
        <v>PLAR 6316 FD - 500 g</v>
      </c>
      <c r="I2077" s="6" t="str">
        <f>"200510"</f>
        <v>200510</v>
      </c>
      <c r="J2077" s="6" t="str">
        <f>"VERDE 510"</f>
        <v>VERDE 510</v>
      </c>
      <c r="K2077" s="6" t="str">
        <f>"2020"</f>
        <v>2020</v>
      </c>
      <c r="L2077" s="6" t="str">
        <f>"Lençóis"</f>
        <v>Lençóis</v>
      </c>
      <c r="M2077" s="6" t="str">
        <f>"100x150"</f>
        <v>100x150</v>
      </c>
      <c r="N2077" s="6" t="str">
        <f>"5602972281156"</f>
        <v>5602972281156</v>
      </c>
      <c r="O2077" s="8">
        <v>3</v>
      </c>
      <c r="R2077" s="8">
        <v>0</v>
      </c>
      <c r="U2077" s="8">
        <v>0</v>
      </c>
      <c r="X2077" s="8">
        <v>0</v>
      </c>
      <c r="Z2077" s="8">
        <v>0</v>
      </c>
      <c r="AC2077" s="8">
        <v>0</v>
      </c>
      <c r="AF2077" s="8">
        <v>0</v>
      </c>
      <c r="AN2077" s="8">
        <v>0</v>
      </c>
      <c r="AO2077" s="8">
        <v>3</v>
      </c>
    </row>
    <row r="2078" spans="1:41" x14ac:dyDescent="0.25">
      <c r="A2078" s="6" t="str">
        <f>"522-2026000183"</f>
        <v>522-2026000183</v>
      </c>
      <c r="B2078" s="6" t="str">
        <f t="shared" si="491"/>
        <v>EL CORTE</v>
      </c>
      <c r="C2078" s="7">
        <v>46034</v>
      </c>
      <c r="D2078" s="7">
        <v>46037</v>
      </c>
      <c r="E2078" s="8">
        <v>1</v>
      </c>
      <c r="F2078" s="6" t="str">
        <f>"94793901_07026"</f>
        <v>94793901_07026</v>
      </c>
      <c r="G2078" s="6" t="str">
        <f t="shared" si="492"/>
        <v>F310631650000000</v>
      </c>
      <c r="H2078" s="6" t="str">
        <f t="shared" si="493"/>
        <v>PLAR 6316 FD - 500 g</v>
      </c>
      <c r="I2078" s="6" t="str">
        <f>"202575"</f>
        <v>202575</v>
      </c>
      <c r="J2078" s="6" t="str">
        <f>"BEGE 2575"</f>
        <v>BEGE 2575</v>
      </c>
      <c r="K2078" s="6" t="str">
        <f>"2020"</f>
        <v>2020</v>
      </c>
      <c r="L2078" s="6" t="str">
        <f>"Lençóis"</f>
        <v>Lençóis</v>
      </c>
      <c r="M2078" s="6" t="str">
        <f>"100x150"</f>
        <v>100x150</v>
      </c>
      <c r="N2078" s="6" t="str">
        <f>"5602972281095"</f>
        <v>5602972281095</v>
      </c>
      <c r="O2078" s="8">
        <v>3</v>
      </c>
      <c r="R2078" s="8">
        <v>0</v>
      </c>
      <c r="U2078" s="8">
        <v>0</v>
      </c>
      <c r="X2078" s="8">
        <v>0</v>
      </c>
      <c r="Z2078" s="8">
        <v>0</v>
      </c>
      <c r="AC2078" s="8">
        <v>0</v>
      </c>
      <c r="AF2078" s="8">
        <v>0</v>
      </c>
      <c r="AN2078" s="8">
        <v>0</v>
      </c>
      <c r="AO2078" s="8">
        <v>3</v>
      </c>
    </row>
    <row r="2079" spans="1:41" x14ac:dyDescent="0.25">
      <c r="A2079" s="6" t="str">
        <f>"522-2026000184"</f>
        <v>522-2026000184</v>
      </c>
      <c r="B2079" s="6" t="str">
        <f t="shared" si="491"/>
        <v>EL CORTE</v>
      </c>
      <c r="C2079" s="7">
        <v>46034</v>
      </c>
      <c r="D2079" s="7">
        <v>46037</v>
      </c>
      <c r="E2079" s="8">
        <v>1</v>
      </c>
      <c r="F2079" s="6" t="str">
        <f>"94793601_07026"</f>
        <v>94793601_07026</v>
      </c>
      <c r="G2079" s="6" t="str">
        <f t="shared" si="492"/>
        <v>F310631650000000</v>
      </c>
      <c r="H2079" s="6" t="str">
        <f t="shared" si="493"/>
        <v>PLAR 6316 FD - 500 g</v>
      </c>
      <c r="I2079" s="6" t="str">
        <f>"200901"</f>
        <v>200901</v>
      </c>
      <c r="J2079" s="6" t="str">
        <f>"ROSA 901"</f>
        <v>ROSA 901</v>
      </c>
      <c r="K2079" s="6" t="str">
        <f>"2020"</f>
        <v>2020</v>
      </c>
      <c r="L2079" s="6" t="str">
        <f>"Lençóis"</f>
        <v>Lençóis</v>
      </c>
      <c r="M2079" s="6" t="str">
        <f>"100x150"</f>
        <v>100x150</v>
      </c>
      <c r="N2079" s="6" t="str">
        <f>"5602972281125"</f>
        <v>5602972281125</v>
      </c>
      <c r="O2079" s="8">
        <v>3</v>
      </c>
      <c r="R2079" s="8">
        <v>0</v>
      </c>
      <c r="U2079" s="8">
        <v>0</v>
      </c>
      <c r="X2079" s="8">
        <v>0</v>
      </c>
      <c r="Z2079" s="8">
        <v>0</v>
      </c>
      <c r="AC2079" s="8">
        <v>0</v>
      </c>
      <c r="AF2079" s="8">
        <v>0</v>
      </c>
      <c r="AN2079" s="8">
        <v>0</v>
      </c>
      <c r="AO2079" s="8">
        <v>3</v>
      </c>
    </row>
    <row r="2080" spans="1:41" x14ac:dyDescent="0.25">
      <c r="A2080" s="6" t="str">
        <f>"522-2026000185"</f>
        <v>522-2026000185</v>
      </c>
      <c r="B2080" s="6" t="str">
        <f t="shared" si="491"/>
        <v>EL CORTE</v>
      </c>
      <c r="C2080" s="7">
        <v>46034</v>
      </c>
      <c r="D2080" s="7">
        <v>46037</v>
      </c>
      <c r="E2080" s="8">
        <v>1</v>
      </c>
      <c r="F2080" s="6" t="str">
        <f>"94795201_07026"</f>
        <v>94795201_07026</v>
      </c>
      <c r="G2080" s="6" t="str">
        <f t="shared" si="492"/>
        <v>F310631650000000</v>
      </c>
      <c r="H2080" s="6" t="str">
        <f t="shared" si="493"/>
        <v>PLAR 6316 FD - 500 g</v>
      </c>
      <c r="I2080" s="6" t="str">
        <f>"201855"</f>
        <v>201855</v>
      </c>
      <c r="J2080" s="6" t="str">
        <f>"AZUL 1855"</f>
        <v>AZUL 1855</v>
      </c>
      <c r="K2080" s="6" t="str">
        <f>"1024"</f>
        <v>1024</v>
      </c>
      <c r="L2080" s="6" t="str">
        <f>"Toalhas"</f>
        <v>Toalhas</v>
      </c>
      <c r="M2080" s="6" t="str">
        <f>"50x100"</f>
        <v>50x100</v>
      </c>
      <c r="N2080" s="6" t="str">
        <f>"5602972281057"</f>
        <v>5602972281057</v>
      </c>
      <c r="O2080" s="8">
        <v>6</v>
      </c>
      <c r="R2080" s="8">
        <v>0</v>
      </c>
      <c r="U2080" s="8">
        <v>0</v>
      </c>
      <c r="X2080" s="8">
        <v>0</v>
      </c>
      <c r="Z2080" s="8">
        <v>0</v>
      </c>
      <c r="AC2080" s="8">
        <v>0</v>
      </c>
      <c r="AF2080" s="8">
        <v>0</v>
      </c>
      <c r="AN2080" s="8">
        <v>6</v>
      </c>
      <c r="AO2080" s="8">
        <v>0</v>
      </c>
    </row>
    <row r="2081" spans="1:41" x14ac:dyDescent="0.25">
      <c r="A2081" s="6" t="str">
        <f>"522-2026000185"</f>
        <v>522-2026000185</v>
      </c>
      <c r="B2081" s="6" t="str">
        <f t="shared" si="491"/>
        <v>EL CORTE</v>
      </c>
      <c r="C2081" s="7">
        <v>46034</v>
      </c>
      <c r="D2081" s="7">
        <v>46037</v>
      </c>
      <c r="E2081" s="8">
        <v>2</v>
      </c>
      <c r="F2081" s="6" t="str">
        <f>"94795201_07026"</f>
        <v>94795201_07026</v>
      </c>
      <c r="G2081" s="6" t="str">
        <f t="shared" si="492"/>
        <v>F310631650000000</v>
      </c>
      <c r="H2081" s="6" t="str">
        <f t="shared" si="493"/>
        <v>PLAR 6316 FD - 500 g</v>
      </c>
      <c r="I2081" s="6" t="str">
        <f>"200901"</f>
        <v>200901</v>
      </c>
      <c r="J2081" s="6" t="str">
        <f>"ROSA 901"</f>
        <v>ROSA 901</v>
      </c>
      <c r="K2081" s="6" t="str">
        <f>"0520"</f>
        <v>0520</v>
      </c>
      <c r="L2081" s="6" t="str">
        <f>"Toalhetes"</f>
        <v>Toalhetes</v>
      </c>
      <c r="M2081" s="6" t="str">
        <f>"30x50"</f>
        <v>30x50</v>
      </c>
      <c r="N2081" s="6" t="str">
        <f>"5602972281101"</f>
        <v>5602972281101</v>
      </c>
      <c r="O2081" s="8">
        <v>6</v>
      </c>
      <c r="R2081" s="8">
        <v>0</v>
      </c>
      <c r="U2081" s="8">
        <v>0</v>
      </c>
      <c r="X2081" s="8">
        <v>0</v>
      </c>
      <c r="Z2081" s="8">
        <v>0</v>
      </c>
      <c r="AC2081" s="8">
        <v>0</v>
      </c>
      <c r="AF2081" s="8">
        <v>0</v>
      </c>
      <c r="AN2081" s="8">
        <v>6</v>
      </c>
      <c r="AO2081" s="8">
        <v>0</v>
      </c>
    </row>
    <row r="2082" spans="1:41" x14ac:dyDescent="0.25">
      <c r="A2082" s="6" t="str">
        <f>"522-2026000185"</f>
        <v>522-2026000185</v>
      </c>
      <c r="B2082" s="6" t="str">
        <f t="shared" si="491"/>
        <v>EL CORTE</v>
      </c>
      <c r="C2082" s="7">
        <v>46034</v>
      </c>
      <c r="D2082" s="7">
        <v>46037</v>
      </c>
      <c r="E2082" s="8">
        <v>3</v>
      </c>
      <c r="F2082" s="6" t="str">
        <f>"94795201_07026"</f>
        <v>94795201_07026</v>
      </c>
      <c r="G2082" s="6" t="str">
        <f t="shared" si="492"/>
        <v>F310631650000000</v>
      </c>
      <c r="H2082" s="6" t="str">
        <f t="shared" si="493"/>
        <v>PLAR 6316 FD - 500 g</v>
      </c>
      <c r="I2082" s="6" t="str">
        <f>"200901"</f>
        <v>200901</v>
      </c>
      <c r="J2082" s="6" t="str">
        <f>"ROSA 901"</f>
        <v>ROSA 901</v>
      </c>
      <c r="K2082" s="6" t="str">
        <f>"2020"</f>
        <v>2020</v>
      </c>
      <c r="L2082" s="6" t="str">
        <f>"Lençóis"</f>
        <v>Lençóis</v>
      </c>
      <c r="M2082" s="6" t="str">
        <f>"100x150"</f>
        <v>100x150</v>
      </c>
      <c r="N2082" s="6" t="str">
        <f>"5602972281125"</f>
        <v>5602972281125</v>
      </c>
      <c r="O2082" s="8">
        <v>3</v>
      </c>
      <c r="R2082" s="8">
        <v>0</v>
      </c>
      <c r="U2082" s="8">
        <v>0</v>
      </c>
      <c r="X2082" s="8">
        <v>0</v>
      </c>
      <c r="Z2082" s="8">
        <v>0</v>
      </c>
      <c r="AC2082" s="8">
        <v>0</v>
      </c>
      <c r="AF2082" s="8">
        <v>0</v>
      </c>
      <c r="AN2082" s="8">
        <v>0</v>
      </c>
      <c r="AO2082" s="8">
        <v>3</v>
      </c>
    </row>
    <row r="2083" spans="1:41" x14ac:dyDescent="0.25">
      <c r="A2083" s="6" t="str">
        <f>"522-2026000186"</f>
        <v>522-2026000186</v>
      </c>
      <c r="B2083" s="6" t="str">
        <f t="shared" si="491"/>
        <v>EL CORTE</v>
      </c>
      <c r="C2083" s="7">
        <v>46034</v>
      </c>
      <c r="D2083" s="7">
        <v>46037</v>
      </c>
      <c r="E2083" s="8">
        <v>1</v>
      </c>
      <c r="F2083" s="6" t="str">
        <f>"94791101_07026"</f>
        <v>94791101_07026</v>
      </c>
      <c r="G2083" s="6" t="str">
        <f t="shared" si="492"/>
        <v>F310631650000000</v>
      </c>
      <c r="H2083" s="6" t="str">
        <f t="shared" si="493"/>
        <v>PLAR 6316 FD - 500 g</v>
      </c>
      <c r="I2083" s="6" t="str">
        <f>"202575"</f>
        <v>202575</v>
      </c>
      <c r="J2083" s="6" t="str">
        <f>"BEGE 2575"</f>
        <v>BEGE 2575</v>
      </c>
      <c r="K2083" s="6" t="str">
        <f>"1024"</f>
        <v>1024</v>
      </c>
      <c r="L2083" s="6" t="str">
        <f>"Toalhas"</f>
        <v>Toalhas</v>
      </c>
      <c r="M2083" s="6" t="str">
        <f>"50x100"</f>
        <v>50x100</v>
      </c>
      <c r="N2083" s="6" t="str">
        <f>"5602972281088"</f>
        <v>5602972281088</v>
      </c>
      <c r="O2083" s="8">
        <v>6</v>
      </c>
      <c r="R2083" s="8">
        <v>0</v>
      </c>
      <c r="U2083" s="8">
        <v>0</v>
      </c>
      <c r="X2083" s="8">
        <v>0</v>
      </c>
      <c r="Z2083" s="8">
        <v>0</v>
      </c>
      <c r="AC2083" s="8">
        <v>0</v>
      </c>
      <c r="AF2083" s="8">
        <v>0</v>
      </c>
      <c r="AN2083" s="8">
        <v>6</v>
      </c>
      <c r="AO2083" s="8">
        <v>0</v>
      </c>
    </row>
    <row r="2084" spans="1:41" x14ac:dyDescent="0.25">
      <c r="A2084" s="6" t="str">
        <f>"522-2026000186"</f>
        <v>522-2026000186</v>
      </c>
      <c r="B2084" s="6" t="str">
        <f t="shared" si="491"/>
        <v>EL CORTE</v>
      </c>
      <c r="C2084" s="7">
        <v>46034</v>
      </c>
      <c r="D2084" s="7">
        <v>46037</v>
      </c>
      <c r="E2084" s="8">
        <v>2</v>
      </c>
      <c r="F2084" s="6" t="str">
        <f>"94791101_07026"</f>
        <v>94791101_07026</v>
      </c>
      <c r="G2084" s="6" t="str">
        <f t="shared" si="492"/>
        <v>F310631650000000</v>
      </c>
      <c r="H2084" s="6" t="str">
        <f t="shared" si="493"/>
        <v>PLAR 6316 FD - 500 g</v>
      </c>
      <c r="I2084" s="6" t="str">
        <f>"200901"</f>
        <v>200901</v>
      </c>
      <c r="J2084" s="6" t="str">
        <f>"ROSA 901"</f>
        <v>ROSA 901</v>
      </c>
      <c r="K2084" s="6" t="str">
        <f>"0520"</f>
        <v>0520</v>
      </c>
      <c r="L2084" s="6" t="str">
        <f>"Toalhetes"</f>
        <v>Toalhetes</v>
      </c>
      <c r="M2084" s="6" t="str">
        <f>"30x50"</f>
        <v>30x50</v>
      </c>
      <c r="N2084" s="6" t="str">
        <f>"5602972281101"</f>
        <v>5602972281101</v>
      </c>
      <c r="O2084" s="8">
        <v>6</v>
      </c>
      <c r="R2084" s="8">
        <v>0</v>
      </c>
      <c r="U2084" s="8">
        <v>0</v>
      </c>
      <c r="X2084" s="8">
        <v>0</v>
      </c>
      <c r="Z2084" s="8">
        <v>0</v>
      </c>
      <c r="AC2084" s="8">
        <v>0</v>
      </c>
      <c r="AF2084" s="8">
        <v>0</v>
      </c>
      <c r="AN2084" s="8">
        <v>6</v>
      </c>
      <c r="AO2084" s="8">
        <v>0</v>
      </c>
    </row>
    <row r="2085" spans="1:41" x14ac:dyDescent="0.25">
      <c r="A2085" s="6" t="str">
        <f>"522-2026000186"</f>
        <v>522-2026000186</v>
      </c>
      <c r="B2085" s="6" t="str">
        <f t="shared" si="491"/>
        <v>EL CORTE</v>
      </c>
      <c r="C2085" s="7">
        <v>46034</v>
      </c>
      <c r="D2085" s="7">
        <v>46037</v>
      </c>
      <c r="E2085" s="8">
        <v>3</v>
      </c>
      <c r="F2085" s="6" t="str">
        <f>"94791101_07026"</f>
        <v>94791101_07026</v>
      </c>
      <c r="G2085" s="6" t="str">
        <f t="shared" si="492"/>
        <v>F310631650000000</v>
      </c>
      <c r="H2085" s="6" t="str">
        <f t="shared" si="493"/>
        <v>PLAR 6316 FD - 500 g</v>
      </c>
      <c r="I2085" s="6" t="str">
        <f>"200510"</f>
        <v>200510</v>
      </c>
      <c r="J2085" s="6" t="str">
        <f>"VERDE 510"</f>
        <v>VERDE 510</v>
      </c>
      <c r="K2085" s="6" t="str">
        <f>"1024"</f>
        <v>1024</v>
      </c>
      <c r="L2085" s="6" t="str">
        <f>"Toalhas"</f>
        <v>Toalhas</v>
      </c>
      <c r="M2085" s="6" t="str">
        <f>"50x100"</f>
        <v>50x100</v>
      </c>
      <c r="N2085" s="6" t="str">
        <f>"5602972281149"</f>
        <v>5602972281149</v>
      </c>
      <c r="O2085" s="8">
        <v>6</v>
      </c>
      <c r="R2085" s="8">
        <v>0</v>
      </c>
      <c r="U2085" s="8">
        <v>0</v>
      </c>
      <c r="X2085" s="8">
        <v>0</v>
      </c>
      <c r="Z2085" s="8">
        <v>0</v>
      </c>
      <c r="AC2085" s="8">
        <v>0</v>
      </c>
      <c r="AF2085" s="8">
        <v>0</v>
      </c>
      <c r="AN2085" s="8">
        <v>6</v>
      </c>
      <c r="AO2085" s="8">
        <v>0</v>
      </c>
    </row>
    <row r="2086" spans="1:41" x14ac:dyDescent="0.25">
      <c r="A2086" s="6" t="str">
        <f>"522-2026000187"</f>
        <v>522-2026000187</v>
      </c>
      <c r="B2086" s="6" t="str">
        <f t="shared" si="491"/>
        <v>EL CORTE</v>
      </c>
      <c r="C2086" s="7">
        <v>46034</v>
      </c>
      <c r="D2086" s="7">
        <v>46037</v>
      </c>
      <c r="E2086" s="8">
        <v>1</v>
      </c>
      <c r="F2086" s="6" t="str">
        <f>"94793701_07026"</f>
        <v>94793701_07026</v>
      </c>
      <c r="G2086" s="6" t="str">
        <f t="shared" si="492"/>
        <v>F310631650000000</v>
      </c>
      <c r="H2086" s="6" t="str">
        <f t="shared" si="493"/>
        <v>PLAR 6316 FD - 500 g</v>
      </c>
      <c r="I2086" s="6" t="str">
        <f>"201855"</f>
        <v>201855</v>
      </c>
      <c r="J2086" s="6" t="str">
        <f>"AZUL 1855"</f>
        <v>AZUL 1855</v>
      </c>
      <c r="K2086" s="6" t="str">
        <f>"1024"</f>
        <v>1024</v>
      </c>
      <c r="L2086" s="6" t="str">
        <f>"Toalhas"</f>
        <v>Toalhas</v>
      </c>
      <c r="M2086" s="6" t="str">
        <f>"50x100"</f>
        <v>50x100</v>
      </c>
      <c r="N2086" s="6" t="str">
        <f>"5602972281057"</f>
        <v>5602972281057</v>
      </c>
      <c r="O2086" s="8">
        <v>6</v>
      </c>
      <c r="R2086" s="8">
        <v>0</v>
      </c>
      <c r="U2086" s="8">
        <v>0</v>
      </c>
      <c r="X2086" s="8">
        <v>0</v>
      </c>
      <c r="Z2086" s="8">
        <v>0</v>
      </c>
      <c r="AC2086" s="8">
        <v>0</v>
      </c>
      <c r="AF2086" s="8">
        <v>0</v>
      </c>
      <c r="AN2086" s="8">
        <v>6</v>
      </c>
      <c r="AO2086" s="8">
        <v>0</v>
      </c>
    </row>
    <row r="2087" spans="1:41" x14ac:dyDescent="0.25">
      <c r="A2087" s="6" t="str">
        <f>"522-2026000187"</f>
        <v>522-2026000187</v>
      </c>
      <c r="B2087" s="6" t="str">
        <f t="shared" si="491"/>
        <v>EL CORTE</v>
      </c>
      <c r="C2087" s="7">
        <v>46034</v>
      </c>
      <c r="D2087" s="7">
        <v>46037</v>
      </c>
      <c r="E2087" s="8">
        <v>2</v>
      </c>
      <c r="F2087" s="6" t="str">
        <f>"94793701_07026"</f>
        <v>94793701_07026</v>
      </c>
      <c r="G2087" s="6" t="str">
        <f t="shared" si="492"/>
        <v>F310631650000000</v>
      </c>
      <c r="H2087" s="6" t="str">
        <f t="shared" si="493"/>
        <v>PLAR 6316 FD - 500 g</v>
      </c>
      <c r="I2087" s="6" t="str">
        <f>"200510"</f>
        <v>200510</v>
      </c>
      <c r="J2087" s="6" t="str">
        <f>"VERDE 510"</f>
        <v>VERDE 510</v>
      </c>
      <c r="K2087" s="6" t="str">
        <f>"2020"</f>
        <v>2020</v>
      </c>
      <c r="L2087" s="6" t="str">
        <f>"Lençóis"</f>
        <v>Lençóis</v>
      </c>
      <c r="M2087" s="6" t="str">
        <f>"100x150"</f>
        <v>100x150</v>
      </c>
      <c r="N2087" s="6" t="str">
        <f>"5602972281156"</f>
        <v>5602972281156</v>
      </c>
      <c r="O2087" s="8">
        <v>3</v>
      </c>
      <c r="R2087" s="8">
        <v>0</v>
      </c>
      <c r="U2087" s="8">
        <v>0</v>
      </c>
      <c r="X2087" s="8">
        <v>0</v>
      </c>
      <c r="Z2087" s="8">
        <v>0</v>
      </c>
      <c r="AC2087" s="8">
        <v>0</v>
      </c>
      <c r="AF2087" s="8">
        <v>0</v>
      </c>
      <c r="AN2087" s="8">
        <v>0</v>
      </c>
      <c r="AO2087" s="8">
        <v>3</v>
      </c>
    </row>
    <row r="2088" spans="1:41" x14ac:dyDescent="0.25">
      <c r="A2088" s="6" t="str">
        <f>"522-2026000188"</f>
        <v>522-2026000188</v>
      </c>
      <c r="B2088" s="6" t="str">
        <f t="shared" si="491"/>
        <v>EL CORTE</v>
      </c>
      <c r="C2088" s="7">
        <v>46034</v>
      </c>
      <c r="D2088" s="7">
        <v>46037</v>
      </c>
      <c r="E2088" s="8">
        <v>1</v>
      </c>
      <c r="F2088" s="6" t="str">
        <f>"94794601_07026"</f>
        <v>94794601_07026</v>
      </c>
      <c r="G2088" s="6" t="str">
        <f t="shared" si="492"/>
        <v>F310631650000000</v>
      </c>
      <c r="H2088" s="6" t="str">
        <f t="shared" si="493"/>
        <v>PLAR 6316 FD - 500 g</v>
      </c>
      <c r="I2088" s="6" t="str">
        <f>"202575"</f>
        <v>202575</v>
      </c>
      <c r="J2088" s="6" t="str">
        <f>"BEGE 2575"</f>
        <v>BEGE 2575</v>
      </c>
      <c r="K2088" s="6" t="str">
        <f>"1024"</f>
        <v>1024</v>
      </c>
      <c r="L2088" s="6" t="str">
        <f>"Toalhas"</f>
        <v>Toalhas</v>
      </c>
      <c r="M2088" s="6" t="str">
        <f>"50x100"</f>
        <v>50x100</v>
      </c>
      <c r="N2088" s="6" t="str">
        <f>"5602972281088"</f>
        <v>5602972281088</v>
      </c>
      <c r="O2088" s="8">
        <v>6</v>
      </c>
      <c r="R2088" s="8">
        <v>0</v>
      </c>
      <c r="U2088" s="8">
        <v>0</v>
      </c>
      <c r="X2088" s="8">
        <v>0</v>
      </c>
      <c r="Z2088" s="8">
        <v>0</v>
      </c>
      <c r="AC2088" s="8">
        <v>0</v>
      </c>
      <c r="AF2088" s="8">
        <v>0</v>
      </c>
      <c r="AN2088" s="8">
        <v>6</v>
      </c>
      <c r="AO2088" s="8">
        <v>0</v>
      </c>
    </row>
    <row r="2089" spans="1:41" x14ac:dyDescent="0.25">
      <c r="A2089" s="6" t="str">
        <f>"522-2026000189"</f>
        <v>522-2026000189</v>
      </c>
      <c r="B2089" s="6" t="str">
        <f t="shared" si="491"/>
        <v>EL CORTE</v>
      </c>
      <c r="C2089" s="7">
        <v>46036</v>
      </c>
      <c r="D2089" s="7">
        <v>46041</v>
      </c>
      <c r="E2089" s="8">
        <v>1</v>
      </c>
      <c r="F2089" s="6" t="str">
        <f>"94824601_07026"</f>
        <v>94824601_07026</v>
      </c>
      <c r="G2089" s="6" t="str">
        <f t="shared" si="492"/>
        <v>F310631650000000</v>
      </c>
      <c r="H2089" s="6" t="str">
        <f t="shared" si="493"/>
        <v>PLAR 6316 FD - 500 g</v>
      </c>
      <c r="I2089" s="6" t="str">
        <f>"200901"</f>
        <v>200901</v>
      </c>
      <c r="J2089" s="6" t="str">
        <f>"ROSA 901"</f>
        <v>ROSA 901</v>
      </c>
      <c r="K2089" s="6" t="str">
        <f>"0520"</f>
        <v>0520</v>
      </c>
      <c r="L2089" s="6" t="str">
        <f>"Toalhetes"</f>
        <v>Toalhetes</v>
      </c>
      <c r="M2089" s="6" t="str">
        <f>"30x50"</f>
        <v>30x50</v>
      </c>
      <c r="N2089" s="6" t="str">
        <f>"5602972281101"</f>
        <v>5602972281101</v>
      </c>
      <c r="O2089" s="8">
        <v>6</v>
      </c>
      <c r="R2089" s="8">
        <v>0</v>
      </c>
      <c r="U2089" s="8">
        <v>0</v>
      </c>
      <c r="X2089" s="8">
        <v>0</v>
      </c>
      <c r="Z2089" s="8">
        <v>0</v>
      </c>
      <c r="AC2089" s="8">
        <v>0</v>
      </c>
      <c r="AF2089" s="8">
        <v>0</v>
      </c>
      <c r="AN2089" s="8">
        <v>6</v>
      </c>
      <c r="AO2089" s="8">
        <v>0</v>
      </c>
    </row>
    <row r="2090" spans="1:41" x14ac:dyDescent="0.25">
      <c r="A2090" s="6" t="str">
        <f>"522-2026000190"</f>
        <v>522-2026000190</v>
      </c>
      <c r="B2090" s="6" t="str">
        <f t="shared" si="491"/>
        <v>EL CORTE</v>
      </c>
      <c r="C2090" s="7">
        <v>46036</v>
      </c>
      <c r="D2090" s="7">
        <v>46041</v>
      </c>
      <c r="E2090" s="8">
        <v>1</v>
      </c>
      <c r="F2090" s="6" t="str">
        <f>"94824101_07026"</f>
        <v>94824101_07026</v>
      </c>
      <c r="G2090" s="6" t="str">
        <f t="shared" si="492"/>
        <v>F310631650000000</v>
      </c>
      <c r="H2090" s="6" t="str">
        <f t="shared" si="493"/>
        <v>PLAR 6316 FD - 500 g</v>
      </c>
      <c r="I2090" s="6" t="str">
        <f>"200510"</f>
        <v>200510</v>
      </c>
      <c r="J2090" s="6" t="str">
        <f>"VERDE 510"</f>
        <v>VERDE 510</v>
      </c>
      <c r="K2090" s="6" t="str">
        <f>"2020"</f>
        <v>2020</v>
      </c>
      <c r="L2090" s="6" t="str">
        <f>"Lençóis"</f>
        <v>Lençóis</v>
      </c>
      <c r="M2090" s="6" t="str">
        <f>"100x150"</f>
        <v>100x150</v>
      </c>
      <c r="N2090" s="6" t="str">
        <f>"5602972281156"</f>
        <v>5602972281156</v>
      </c>
      <c r="O2090" s="8">
        <v>3</v>
      </c>
      <c r="R2090" s="8">
        <v>0</v>
      </c>
      <c r="U2090" s="8">
        <v>0</v>
      </c>
      <c r="X2090" s="8">
        <v>0</v>
      </c>
      <c r="Z2090" s="8">
        <v>0</v>
      </c>
      <c r="AC2090" s="8">
        <v>0</v>
      </c>
      <c r="AF2090" s="8">
        <v>0</v>
      </c>
      <c r="AN2090" s="8">
        <v>0</v>
      </c>
      <c r="AO2090" s="8">
        <v>3</v>
      </c>
    </row>
    <row r="2091" spans="1:41" x14ac:dyDescent="0.25">
      <c r="A2091" s="6" t="str">
        <f>"522-2026000191"</f>
        <v>522-2026000191</v>
      </c>
      <c r="B2091" s="6" t="str">
        <f t="shared" si="491"/>
        <v>EL CORTE</v>
      </c>
      <c r="C2091" s="7">
        <v>46036</v>
      </c>
      <c r="D2091" s="7">
        <v>46041</v>
      </c>
      <c r="E2091" s="8">
        <v>1</v>
      </c>
      <c r="F2091" s="6" t="str">
        <f>"94823501_07026"</f>
        <v>94823501_07026</v>
      </c>
      <c r="G2091" s="6" t="str">
        <f t="shared" si="492"/>
        <v>F310631650000000</v>
      </c>
      <c r="H2091" s="6" t="str">
        <f t="shared" si="493"/>
        <v>PLAR 6316 FD - 500 g</v>
      </c>
      <c r="I2091" s="6" t="str">
        <f>"202575"</f>
        <v>202575</v>
      </c>
      <c r="J2091" s="6" t="str">
        <f>"BEGE 2575"</f>
        <v>BEGE 2575</v>
      </c>
      <c r="K2091" s="6" t="str">
        <f>"2020"</f>
        <v>2020</v>
      </c>
      <c r="L2091" s="6" t="str">
        <f>"Lençóis"</f>
        <v>Lençóis</v>
      </c>
      <c r="M2091" s="6" t="str">
        <f>"100x150"</f>
        <v>100x150</v>
      </c>
      <c r="N2091" s="6" t="str">
        <f>"5602972281095"</f>
        <v>5602972281095</v>
      </c>
      <c r="O2091" s="8">
        <v>3</v>
      </c>
      <c r="R2091" s="8">
        <v>0</v>
      </c>
      <c r="U2091" s="8">
        <v>0</v>
      </c>
      <c r="X2091" s="8">
        <v>0</v>
      </c>
      <c r="Z2091" s="8">
        <v>0</v>
      </c>
      <c r="AC2091" s="8">
        <v>0</v>
      </c>
      <c r="AF2091" s="8">
        <v>0</v>
      </c>
      <c r="AN2091" s="8">
        <v>0</v>
      </c>
      <c r="AO2091" s="8">
        <v>3</v>
      </c>
    </row>
    <row r="2092" spans="1:41" x14ac:dyDescent="0.25">
      <c r="A2092" s="6" t="str">
        <f>"522-2026000192"</f>
        <v>522-2026000192</v>
      </c>
      <c r="B2092" s="6" t="str">
        <f t="shared" si="491"/>
        <v>EL CORTE</v>
      </c>
      <c r="C2092" s="7">
        <v>46036</v>
      </c>
      <c r="D2092" s="7">
        <v>46041</v>
      </c>
      <c r="E2092" s="8">
        <v>1</v>
      </c>
      <c r="F2092" s="6" t="str">
        <f>"94824001_07026"</f>
        <v>94824001_07026</v>
      </c>
      <c r="G2092" s="6" t="str">
        <f t="shared" si="492"/>
        <v>F310631650000000</v>
      </c>
      <c r="H2092" s="6" t="str">
        <f t="shared" si="493"/>
        <v>PLAR 6316 FD - 500 g</v>
      </c>
      <c r="I2092" s="6" t="str">
        <f>"201855"</f>
        <v>201855</v>
      </c>
      <c r="J2092" s="6" t="str">
        <f>"AZUL 1855"</f>
        <v>AZUL 1855</v>
      </c>
      <c r="K2092" s="6" t="str">
        <f>"1024"</f>
        <v>1024</v>
      </c>
      <c r="L2092" s="6" t="str">
        <f>"Toalhas"</f>
        <v>Toalhas</v>
      </c>
      <c r="M2092" s="6" t="str">
        <f>"50x100"</f>
        <v>50x100</v>
      </c>
      <c r="N2092" s="6" t="str">
        <f>"5602972281057"</f>
        <v>5602972281057</v>
      </c>
      <c r="O2092" s="8">
        <v>6</v>
      </c>
      <c r="R2092" s="8">
        <v>0</v>
      </c>
      <c r="U2092" s="8">
        <v>0</v>
      </c>
      <c r="X2092" s="8">
        <v>0</v>
      </c>
      <c r="Z2092" s="8">
        <v>0</v>
      </c>
      <c r="AC2092" s="8">
        <v>0</v>
      </c>
      <c r="AF2092" s="8">
        <v>0</v>
      </c>
      <c r="AN2092" s="8">
        <v>6</v>
      </c>
      <c r="AO2092" s="8">
        <v>0</v>
      </c>
    </row>
    <row r="2093" spans="1:41" x14ac:dyDescent="0.25">
      <c r="A2093" s="6" t="str">
        <f>"522-2026000192"</f>
        <v>522-2026000192</v>
      </c>
      <c r="B2093" s="6" t="str">
        <f t="shared" si="491"/>
        <v>EL CORTE</v>
      </c>
      <c r="C2093" s="7">
        <v>46036</v>
      </c>
      <c r="D2093" s="7">
        <v>46041</v>
      </c>
      <c r="E2093" s="8">
        <v>2</v>
      </c>
      <c r="F2093" s="6" t="str">
        <f>"94824001_07026"</f>
        <v>94824001_07026</v>
      </c>
      <c r="G2093" s="6" t="str">
        <f t="shared" si="492"/>
        <v>F310631650000000</v>
      </c>
      <c r="H2093" s="6" t="str">
        <f t="shared" si="493"/>
        <v>PLAR 6316 FD - 500 g</v>
      </c>
      <c r="I2093" s="6" t="str">
        <f>"202575"</f>
        <v>202575</v>
      </c>
      <c r="J2093" s="6" t="str">
        <f>"BEGE 2575"</f>
        <v>BEGE 2575</v>
      </c>
      <c r="K2093" s="6" t="str">
        <f>"1024"</f>
        <v>1024</v>
      </c>
      <c r="L2093" s="6" t="str">
        <f>"Toalhas"</f>
        <v>Toalhas</v>
      </c>
      <c r="M2093" s="6" t="str">
        <f>"50x100"</f>
        <v>50x100</v>
      </c>
      <c r="N2093" s="6" t="str">
        <f>"5602972281088"</f>
        <v>5602972281088</v>
      </c>
      <c r="O2093" s="8">
        <v>6</v>
      </c>
      <c r="R2093" s="8">
        <v>0</v>
      </c>
      <c r="U2093" s="8">
        <v>0</v>
      </c>
      <c r="X2093" s="8">
        <v>0</v>
      </c>
      <c r="Z2093" s="8">
        <v>0</v>
      </c>
      <c r="AC2093" s="8">
        <v>0</v>
      </c>
      <c r="AF2093" s="8">
        <v>0</v>
      </c>
      <c r="AN2093" s="8">
        <v>6</v>
      </c>
      <c r="AO2093" s="8">
        <v>0</v>
      </c>
    </row>
    <row r="2094" spans="1:41" x14ac:dyDescent="0.25">
      <c r="A2094" s="6" t="str">
        <f>"522-2026000192"</f>
        <v>522-2026000192</v>
      </c>
      <c r="B2094" s="6" t="str">
        <f t="shared" si="491"/>
        <v>EL CORTE</v>
      </c>
      <c r="C2094" s="7">
        <v>46036</v>
      </c>
      <c r="D2094" s="7">
        <v>46041</v>
      </c>
      <c r="E2094" s="8">
        <v>3</v>
      </c>
      <c r="F2094" s="6" t="str">
        <f>"94824001_07026"</f>
        <v>94824001_07026</v>
      </c>
      <c r="G2094" s="6" t="str">
        <f t="shared" si="492"/>
        <v>F310631650000000</v>
      </c>
      <c r="H2094" s="6" t="str">
        <f t="shared" si="493"/>
        <v>PLAR 6316 FD - 500 g</v>
      </c>
      <c r="I2094" s="6" t="str">
        <f>"202575"</f>
        <v>202575</v>
      </c>
      <c r="J2094" s="6" t="str">
        <f>"BEGE 2575"</f>
        <v>BEGE 2575</v>
      </c>
      <c r="K2094" s="6" t="str">
        <f>"2020"</f>
        <v>2020</v>
      </c>
      <c r="L2094" s="6" t="str">
        <f>"Lençóis"</f>
        <v>Lençóis</v>
      </c>
      <c r="M2094" s="6" t="str">
        <f>"100x150"</f>
        <v>100x150</v>
      </c>
      <c r="N2094" s="6" t="str">
        <f>"5602972281095"</f>
        <v>5602972281095</v>
      </c>
      <c r="O2094" s="8">
        <v>3</v>
      </c>
      <c r="R2094" s="8">
        <v>0</v>
      </c>
      <c r="U2094" s="8">
        <v>0</v>
      </c>
      <c r="X2094" s="8">
        <v>0</v>
      </c>
      <c r="Z2094" s="8">
        <v>0</v>
      </c>
      <c r="AC2094" s="8">
        <v>0</v>
      </c>
      <c r="AF2094" s="8">
        <v>0</v>
      </c>
      <c r="AN2094" s="8">
        <v>0</v>
      </c>
      <c r="AO2094" s="8">
        <v>3</v>
      </c>
    </row>
    <row r="2095" spans="1:41" x14ac:dyDescent="0.25">
      <c r="A2095" s="6" t="str">
        <f>"522-2026000192"</f>
        <v>522-2026000192</v>
      </c>
      <c r="B2095" s="6" t="str">
        <f t="shared" si="491"/>
        <v>EL CORTE</v>
      </c>
      <c r="C2095" s="7">
        <v>46036</v>
      </c>
      <c r="D2095" s="7">
        <v>46041</v>
      </c>
      <c r="E2095" s="8">
        <v>4</v>
      </c>
      <c r="F2095" s="6" t="str">
        <f>"94824001_07026"</f>
        <v>94824001_07026</v>
      </c>
      <c r="G2095" s="6" t="str">
        <f t="shared" si="492"/>
        <v>F310631650000000</v>
      </c>
      <c r="H2095" s="6" t="str">
        <f t="shared" si="493"/>
        <v>PLAR 6316 FD - 500 g</v>
      </c>
      <c r="I2095" s="6" t="str">
        <f>"200901"</f>
        <v>200901</v>
      </c>
      <c r="J2095" s="6" t="str">
        <f>"ROSA 901"</f>
        <v>ROSA 901</v>
      </c>
      <c r="K2095" s="6" t="str">
        <f>"1024"</f>
        <v>1024</v>
      </c>
      <c r="L2095" s="6" t="str">
        <f>"Toalhas"</f>
        <v>Toalhas</v>
      </c>
      <c r="M2095" s="6" t="str">
        <f>"50x100"</f>
        <v>50x100</v>
      </c>
      <c r="N2095" s="6" t="str">
        <f>"5602972281118"</f>
        <v>5602972281118</v>
      </c>
      <c r="O2095" s="8">
        <v>6</v>
      </c>
      <c r="R2095" s="8">
        <v>0</v>
      </c>
      <c r="U2095" s="8">
        <v>0</v>
      </c>
      <c r="X2095" s="8">
        <v>0</v>
      </c>
      <c r="Z2095" s="8">
        <v>0</v>
      </c>
      <c r="AC2095" s="8">
        <v>0</v>
      </c>
      <c r="AF2095" s="8">
        <v>0</v>
      </c>
      <c r="AN2095" s="8">
        <v>6</v>
      </c>
      <c r="AO2095" s="8">
        <v>0</v>
      </c>
    </row>
    <row r="2096" spans="1:41" x14ac:dyDescent="0.25">
      <c r="A2096" s="6" t="str">
        <f>"522-2026000192"</f>
        <v>522-2026000192</v>
      </c>
      <c r="B2096" s="6" t="str">
        <f t="shared" si="491"/>
        <v>EL CORTE</v>
      </c>
      <c r="C2096" s="7">
        <v>46036</v>
      </c>
      <c r="D2096" s="7">
        <v>46041</v>
      </c>
      <c r="E2096" s="8">
        <v>5</v>
      </c>
      <c r="F2096" s="6" t="str">
        <f>"94824001_07026"</f>
        <v>94824001_07026</v>
      </c>
      <c r="G2096" s="6" t="str">
        <f t="shared" si="492"/>
        <v>F310631650000000</v>
      </c>
      <c r="H2096" s="6" t="str">
        <f t="shared" si="493"/>
        <v>PLAR 6316 FD - 500 g</v>
      </c>
      <c r="I2096" s="6" t="str">
        <f>"200510"</f>
        <v>200510</v>
      </c>
      <c r="J2096" s="6" t="str">
        <f>"VERDE 510"</f>
        <v>VERDE 510</v>
      </c>
      <c r="K2096" s="6" t="str">
        <f>"2020"</f>
        <v>2020</v>
      </c>
      <c r="L2096" s="6" t="str">
        <f>"Lençóis"</f>
        <v>Lençóis</v>
      </c>
      <c r="M2096" s="6" t="str">
        <f>"100x150"</f>
        <v>100x150</v>
      </c>
      <c r="N2096" s="6" t="str">
        <f>"5602972281156"</f>
        <v>5602972281156</v>
      </c>
      <c r="O2096" s="8">
        <v>3</v>
      </c>
      <c r="R2096" s="8">
        <v>0</v>
      </c>
      <c r="U2096" s="8">
        <v>0</v>
      </c>
      <c r="X2096" s="8">
        <v>0</v>
      </c>
      <c r="Z2096" s="8">
        <v>0</v>
      </c>
      <c r="AC2096" s="8">
        <v>0</v>
      </c>
      <c r="AF2096" s="8">
        <v>0</v>
      </c>
      <c r="AN2096" s="8">
        <v>0</v>
      </c>
      <c r="AO2096" s="8">
        <v>3</v>
      </c>
    </row>
    <row r="2097" spans="1:41" x14ac:dyDescent="0.25">
      <c r="A2097" s="6" t="str">
        <f>"522-2026000193"</f>
        <v>522-2026000193</v>
      </c>
      <c r="B2097" s="6" t="str">
        <f t="shared" si="491"/>
        <v>EL CORTE</v>
      </c>
      <c r="C2097" s="7">
        <v>46036</v>
      </c>
      <c r="D2097" s="7">
        <v>46041</v>
      </c>
      <c r="E2097" s="8">
        <v>1</v>
      </c>
      <c r="F2097" s="6" t="str">
        <f>"94823601_07026"</f>
        <v>94823601_07026</v>
      </c>
      <c r="G2097" s="6" t="str">
        <f t="shared" si="492"/>
        <v>F310631650000000</v>
      </c>
      <c r="H2097" s="6" t="str">
        <f t="shared" si="493"/>
        <v>PLAR 6316 FD - 500 g</v>
      </c>
      <c r="I2097" s="6" t="str">
        <f>"201855"</f>
        <v>201855</v>
      </c>
      <c r="J2097" s="6" t="str">
        <f>"AZUL 1855"</f>
        <v>AZUL 1855</v>
      </c>
      <c r="K2097" s="6" t="str">
        <f>"0520"</f>
        <v>0520</v>
      </c>
      <c r="L2097" s="6" t="str">
        <f>"Toalhetes"</f>
        <v>Toalhetes</v>
      </c>
      <c r="M2097" s="6" t="str">
        <f>"30x50"</f>
        <v>30x50</v>
      </c>
      <c r="N2097" s="6" t="str">
        <f>"5602972281040"</f>
        <v>5602972281040</v>
      </c>
      <c r="O2097" s="8">
        <v>6</v>
      </c>
      <c r="R2097" s="8">
        <v>0</v>
      </c>
      <c r="U2097" s="8">
        <v>0</v>
      </c>
      <c r="X2097" s="8">
        <v>0</v>
      </c>
      <c r="Z2097" s="8">
        <v>0</v>
      </c>
      <c r="AC2097" s="8">
        <v>0</v>
      </c>
      <c r="AF2097" s="8">
        <v>0</v>
      </c>
      <c r="AN2097" s="8">
        <v>6</v>
      </c>
      <c r="AO2097" s="8">
        <v>0</v>
      </c>
    </row>
    <row r="2098" spans="1:41" x14ac:dyDescent="0.25">
      <c r="A2098" s="6" t="str">
        <f>"522-2026000193"</f>
        <v>522-2026000193</v>
      </c>
      <c r="B2098" s="6" t="str">
        <f t="shared" si="491"/>
        <v>EL CORTE</v>
      </c>
      <c r="C2098" s="7">
        <v>46036</v>
      </c>
      <c r="D2098" s="7">
        <v>46041</v>
      </c>
      <c r="E2098" s="8">
        <v>2</v>
      </c>
      <c r="F2098" s="6" t="str">
        <f>"94823601_07026"</f>
        <v>94823601_07026</v>
      </c>
      <c r="G2098" s="6" t="str">
        <f t="shared" si="492"/>
        <v>F310631650000000</v>
      </c>
      <c r="H2098" s="6" t="str">
        <f t="shared" si="493"/>
        <v>PLAR 6316 FD - 500 g</v>
      </c>
      <c r="I2098" s="6" t="str">
        <f>"202575"</f>
        <v>202575</v>
      </c>
      <c r="J2098" s="6" t="str">
        <f>"BEGE 2575"</f>
        <v>BEGE 2575</v>
      </c>
      <c r="K2098" s="6" t="str">
        <f>"0520"</f>
        <v>0520</v>
      </c>
      <c r="L2098" s="6" t="str">
        <f>"Toalhetes"</f>
        <v>Toalhetes</v>
      </c>
      <c r="M2098" s="6" t="str">
        <f>"30x50"</f>
        <v>30x50</v>
      </c>
      <c r="N2098" s="6" t="str">
        <f>"5602972281071"</f>
        <v>5602972281071</v>
      </c>
      <c r="O2098" s="8">
        <v>6</v>
      </c>
      <c r="R2098" s="8">
        <v>0</v>
      </c>
      <c r="U2098" s="8">
        <v>0</v>
      </c>
      <c r="X2098" s="8">
        <v>0</v>
      </c>
      <c r="Z2098" s="8">
        <v>0</v>
      </c>
      <c r="AC2098" s="8">
        <v>0</v>
      </c>
      <c r="AF2098" s="8">
        <v>0</v>
      </c>
      <c r="AN2098" s="8">
        <v>6</v>
      </c>
      <c r="AO2098" s="8">
        <v>0</v>
      </c>
    </row>
    <row r="2099" spans="1:41" x14ac:dyDescent="0.25">
      <c r="A2099" s="6" t="str">
        <f>"522-2026000193"</f>
        <v>522-2026000193</v>
      </c>
      <c r="B2099" s="6" t="str">
        <f t="shared" si="491"/>
        <v>EL CORTE</v>
      </c>
      <c r="C2099" s="7">
        <v>46036</v>
      </c>
      <c r="D2099" s="7">
        <v>46041</v>
      </c>
      <c r="E2099" s="8">
        <v>3</v>
      </c>
      <c r="F2099" s="6" t="str">
        <f>"94823601_07026"</f>
        <v>94823601_07026</v>
      </c>
      <c r="G2099" s="6" t="str">
        <f t="shared" si="492"/>
        <v>F310631650000000</v>
      </c>
      <c r="H2099" s="6" t="str">
        <f t="shared" si="493"/>
        <v>PLAR 6316 FD - 500 g</v>
      </c>
      <c r="I2099" s="6" t="str">
        <f>"202575"</f>
        <v>202575</v>
      </c>
      <c r="J2099" s="6" t="str">
        <f>"BEGE 2575"</f>
        <v>BEGE 2575</v>
      </c>
      <c r="K2099" s="6" t="str">
        <f>"2020"</f>
        <v>2020</v>
      </c>
      <c r="L2099" s="6" t="str">
        <f>"Lençóis"</f>
        <v>Lençóis</v>
      </c>
      <c r="M2099" s="6" t="str">
        <f>"100x150"</f>
        <v>100x150</v>
      </c>
      <c r="N2099" s="6" t="str">
        <f>"5602972281095"</f>
        <v>5602972281095</v>
      </c>
      <c r="O2099" s="8">
        <v>3</v>
      </c>
      <c r="R2099" s="8">
        <v>0</v>
      </c>
      <c r="U2099" s="8">
        <v>0</v>
      </c>
      <c r="X2099" s="8">
        <v>0</v>
      </c>
      <c r="Z2099" s="8">
        <v>0</v>
      </c>
      <c r="AC2099" s="8">
        <v>0</v>
      </c>
      <c r="AF2099" s="8">
        <v>0</v>
      </c>
      <c r="AN2099" s="8">
        <v>0</v>
      </c>
      <c r="AO2099" s="8">
        <v>3</v>
      </c>
    </row>
    <row r="2100" spans="1:41" x14ac:dyDescent="0.25">
      <c r="A2100" s="6" t="str">
        <f>"522-2026000193"</f>
        <v>522-2026000193</v>
      </c>
      <c r="B2100" s="6" t="str">
        <f t="shared" si="491"/>
        <v>EL CORTE</v>
      </c>
      <c r="C2100" s="7">
        <v>46036</v>
      </c>
      <c r="D2100" s="7">
        <v>46041</v>
      </c>
      <c r="E2100" s="8">
        <v>4</v>
      </c>
      <c r="F2100" s="6" t="str">
        <f>"94823601_07026"</f>
        <v>94823601_07026</v>
      </c>
      <c r="G2100" s="6" t="str">
        <f t="shared" si="492"/>
        <v>F310631650000000</v>
      </c>
      <c r="H2100" s="6" t="str">
        <f t="shared" si="493"/>
        <v>PLAR 6316 FD - 500 g</v>
      </c>
      <c r="I2100" s="6" t="str">
        <f>"200901"</f>
        <v>200901</v>
      </c>
      <c r="J2100" s="6" t="str">
        <f>"ROSA 901"</f>
        <v>ROSA 901</v>
      </c>
      <c r="K2100" s="6" t="str">
        <f>"0520"</f>
        <v>0520</v>
      </c>
      <c r="L2100" s="6" t="str">
        <f>"Toalhetes"</f>
        <v>Toalhetes</v>
      </c>
      <c r="M2100" s="6" t="str">
        <f>"30x50"</f>
        <v>30x50</v>
      </c>
      <c r="N2100" s="6" t="str">
        <f>"5602972281101"</f>
        <v>5602972281101</v>
      </c>
      <c r="O2100" s="8">
        <v>6</v>
      </c>
      <c r="R2100" s="8">
        <v>0</v>
      </c>
      <c r="U2100" s="8">
        <v>0</v>
      </c>
      <c r="X2100" s="8">
        <v>0</v>
      </c>
      <c r="Z2100" s="8">
        <v>0</v>
      </c>
      <c r="AC2100" s="8">
        <v>0</v>
      </c>
      <c r="AF2100" s="8">
        <v>0</v>
      </c>
      <c r="AN2100" s="8">
        <v>6</v>
      </c>
      <c r="AO2100" s="8">
        <v>0</v>
      </c>
    </row>
    <row r="2101" spans="1:41" x14ac:dyDescent="0.25">
      <c r="A2101" s="6" t="str">
        <f>"522-2026000193"</f>
        <v>522-2026000193</v>
      </c>
      <c r="B2101" s="6" t="str">
        <f t="shared" si="491"/>
        <v>EL CORTE</v>
      </c>
      <c r="C2101" s="7">
        <v>46036</v>
      </c>
      <c r="D2101" s="7">
        <v>46041</v>
      </c>
      <c r="E2101" s="8">
        <v>5</v>
      </c>
      <c r="F2101" s="6" t="str">
        <f>"94823601_07026"</f>
        <v>94823601_07026</v>
      </c>
      <c r="G2101" s="6" t="str">
        <f t="shared" si="492"/>
        <v>F310631650000000</v>
      </c>
      <c r="H2101" s="6" t="str">
        <f t="shared" si="493"/>
        <v>PLAR 6316 FD - 500 g</v>
      </c>
      <c r="I2101" s="6" t="str">
        <f>"200901"</f>
        <v>200901</v>
      </c>
      <c r="J2101" s="6" t="str">
        <f>"ROSA 901"</f>
        <v>ROSA 901</v>
      </c>
      <c r="K2101" s="6" t="str">
        <f>"2020"</f>
        <v>2020</v>
      </c>
      <c r="L2101" s="6" t="str">
        <f>"Lençóis"</f>
        <v>Lençóis</v>
      </c>
      <c r="M2101" s="6" t="str">
        <f>"100x150"</f>
        <v>100x150</v>
      </c>
      <c r="N2101" s="6" t="str">
        <f>"5602972281125"</f>
        <v>5602972281125</v>
      </c>
      <c r="O2101" s="8">
        <v>6</v>
      </c>
      <c r="R2101" s="8">
        <v>0</v>
      </c>
      <c r="U2101" s="8">
        <v>0</v>
      </c>
      <c r="X2101" s="8">
        <v>0</v>
      </c>
      <c r="Z2101" s="8">
        <v>0</v>
      </c>
      <c r="AC2101" s="8">
        <v>0</v>
      </c>
      <c r="AF2101" s="8">
        <v>0</v>
      </c>
      <c r="AN2101" s="8">
        <v>0</v>
      </c>
      <c r="AO2101" s="8">
        <v>6</v>
      </c>
    </row>
    <row r="2102" spans="1:41" x14ac:dyDescent="0.25">
      <c r="A2102" s="6" t="str">
        <f t="shared" ref="A2102:A2110" si="496">"522-2026000194"</f>
        <v>522-2026000194</v>
      </c>
      <c r="B2102" s="6" t="str">
        <f t="shared" si="491"/>
        <v>EL CORTE</v>
      </c>
      <c r="C2102" s="7">
        <v>46036</v>
      </c>
      <c r="D2102" s="7">
        <v>46041</v>
      </c>
      <c r="E2102" s="8">
        <v>1</v>
      </c>
      <c r="F2102" s="6" t="str">
        <f t="shared" ref="F2102:F2110" si="497">"94824401_07026"</f>
        <v>94824401_07026</v>
      </c>
      <c r="G2102" s="6" t="str">
        <f t="shared" si="492"/>
        <v>F310631650000000</v>
      </c>
      <c r="H2102" s="6" t="str">
        <f t="shared" si="493"/>
        <v>PLAR 6316 FD - 500 g</v>
      </c>
      <c r="I2102" s="6" t="str">
        <f>"201855"</f>
        <v>201855</v>
      </c>
      <c r="J2102" s="6" t="str">
        <f>"AZUL 1855"</f>
        <v>AZUL 1855</v>
      </c>
      <c r="K2102" s="6" t="str">
        <f>"1024"</f>
        <v>1024</v>
      </c>
      <c r="L2102" s="6" t="str">
        <f>"Toalhas"</f>
        <v>Toalhas</v>
      </c>
      <c r="M2102" s="6" t="str">
        <f>"50x100"</f>
        <v>50x100</v>
      </c>
      <c r="N2102" s="6" t="str">
        <f>"5602972281057"</f>
        <v>5602972281057</v>
      </c>
      <c r="O2102" s="8">
        <v>6</v>
      </c>
      <c r="R2102" s="8">
        <v>0</v>
      </c>
      <c r="U2102" s="8">
        <v>0</v>
      </c>
      <c r="X2102" s="8">
        <v>0</v>
      </c>
      <c r="Z2102" s="8">
        <v>0</v>
      </c>
      <c r="AC2102" s="8">
        <v>0</v>
      </c>
      <c r="AF2102" s="8">
        <v>0</v>
      </c>
      <c r="AN2102" s="8">
        <v>6</v>
      </c>
      <c r="AO2102" s="8">
        <v>0</v>
      </c>
    </row>
    <row r="2103" spans="1:41" x14ac:dyDescent="0.25">
      <c r="A2103" s="6" t="str">
        <f t="shared" si="496"/>
        <v>522-2026000194</v>
      </c>
      <c r="B2103" s="6" t="str">
        <f t="shared" si="491"/>
        <v>EL CORTE</v>
      </c>
      <c r="C2103" s="7">
        <v>46036</v>
      </c>
      <c r="D2103" s="7">
        <v>46041</v>
      </c>
      <c r="E2103" s="8">
        <v>2</v>
      </c>
      <c r="F2103" s="6" t="str">
        <f t="shared" si="497"/>
        <v>94824401_07026</v>
      </c>
      <c r="G2103" s="6" t="str">
        <f t="shared" si="492"/>
        <v>F310631650000000</v>
      </c>
      <c r="H2103" s="6" t="str">
        <f t="shared" si="493"/>
        <v>PLAR 6316 FD - 500 g</v>
      </c>
      <c r="I2103" s="6" t="str">
        <f>"201855"</f>
        <v>201855</v>
      </c>
      <c r="J2103" s="6" t="str">
        <f>"AZUL 1855"</f>
        <v>AZUL 1855</v>
      </c>
      <c r="K2103" s="6" t="str">
        <f>"2020"</f>
        <v>2020</v>
      </c>
      <c r="L2103" s="6" t="str">
        <f>"Lençóis"</f>
        <v>Lençóis</v>
      </c>
      <c r="M2103" s="6" t="str">
        <f>"100x150"</f>
        <v>100x150</v>
      </c>
      <c r="N2103" s="6" t="str">
        <f>"5602972281064"</f>
        <v>5602972281064</v>
      </c>
      <c r="O2103" s="8">
        <v>3</v>
      </c>
      <c r="R2103" s="8">
        <v>0</v>
      </c>
      <c r="U2103" s="8">
        <v>0</v>
      </c>
      <c r="X2103" s="8">
        <v>0</v>
      </c>
      <c r="Z2103" s="8">
        <v>0</v>
      </c>
      <c r="AC2103" s="8">
        <v>0</v>
      </c>
      <c r="AF2103" s="8">
        <v>0</v>
      </c>
      <c r="AN2103" s="8">
        <v>0</v>
      </c>
      <c r="AO2103" s="8">
        <v>3</v>
      </c>
    </row>
    <row r="2104" spans="1:41" x14ac:dyDescent="0.25">
      <c r="A2104" s="6" t="str">
        <f t="shared" si="496"/>
        <v>522-2026000194</v>
      </c>
      <c r="B2104" s="6" t="str">
        <f t="shared" si="491"/>
        <v>EL CORTE</v>
      </c>
      <c r="C2104" s="7">
        <v>46036</v>
      </c>
      <c r="D2104" s="7">
        <v>46041</v>
      </c>
      <c r="E2104" s="8">
        <v>3</v>
      </c>
      <c r="F2104" s="6" t="str">
        <f t="shared" si="497"/>
        <v>94824401_07026</v>
      </c>
      <c r="G2104" s="6" t="str">
        <f t="shared" si="492"/>
        <v>F310631650000000</v>
      </c>
      <c r="H2104" s="6" t="str">
        <f t="shared" si="493"/>
        <v>PLAR 6316 FD - 500 g</v>
      </c>
      <c r="I2104" s="6" t="str">
        <f>"202575"</f>
        <v>202575</v>
      </c>
      <c r="J2104" s="6" t="str">
        <f>"BEGE 2575"</f>
        <v>BEGE 2575</v>
      </c>
      <c r="K2104" s="6" t="str">
        <f>"0520"</f>
        <v>0520</v>
      </c>
      <c r="L2104" s="6" t="str">
        <f>"Toalhetes"</f>
        <v>Toalhetes</v>
      </c>
      <c r="M2104" s="6" t="str">
        <f>"30x50"</f>
        <v>30x50</v>
      </c>
      <c r="N2104" s="6" t="str">
        <f>"5602972281071"</f>
        <v>5602972281071</v>
      </c>
      <c r="O2104" s="8">
        <v>6</v>
      </c>
      <c r="R2104" s="8">
        <v>0</v>
      </c>
      <c r="U2104" s="8">
        <v>0</v>
      </c>
      <c r="X2104" s="8">
        <v>0</v>
      </c>
      <c r="Z2104" s="8">
        <v>0</v>
      </c>
      <c r="AC2104" s="8">
        <v>0</v>
      </c>
      <c r="AF2104" s="8">
        <v>0</v>
      </c>
      <c r="AN2104" s="8">
        <v>6</v>
      </c>
      <c r="AO2104" s="8">
        <v>0</v>
      </c>
    </row>
    <row r="2105" spans="1:41" x14ac:dyDescent="0.25">
      <c r="A2105" s="6" t="str">
        <f t="shared" si="496"/>
        <v>522-2026000194</v>
      </c>
      <c r="B2105" s="6" t="str">
        <f t="shared" si="491"/>
        <v>EL CORTE</v>
      </c>
      <c r="C2105" s="7">
        <v>46036</v>
      </c>
      <c r="D2105" s="7">
        <v>46041</v>
      </c>
      <c r="E2105" s="8">
        <v>4</v>
      </c>
      <c r="F2105" s="6" t="str">
        <f t="shared" si="497"/>
        <v>94824401_07026</v>
      </c>
      <c r="G2105" s="6" t="str">
        <f t="shared" si="492"/>
        <v>F310631650000000</v>
      </c>
      <c r="H2105" s="6" t="str">
        <f t="shared" si="493"/>
        <v>PLAR 6316 FD - 500 g</v>
      </c>
      <c r="I2105" s="6" t="str">
        <f>"202575"</f>
        <v>202575</v>
      </c>
      <c r="J2105" s="6" t="str">
        <f>"BEGE 2575"</f>
        <v>BEGE 2575</v>
      </c>
      <c r="K2105" s="6" t="str">
        <f>"2020"</f>
        <v>2020</v>
      </c>
      <c r="L2105" s="6" t="str">
        <f>"Lençóis"</f>
        <v>Lençóis</v>
      </c>
      <c r="M2105" s="6" t="str">
        <f>"100x150"</f>
        <v>100x150</v>
      </c>
      <c r="N2105" s="6" t="str">
        <f>"5602972281095"</f>
        <v>5602972281095</v>
      </c>
      <c r="O2105" s="8">
        <v>3</v>
      </c>
      <c r="R2105" s="8">
        <v>0</v>
      </c>
      <c r="U2105" s="8">
        <v>0</v>
      </c>
      <c r="X2105" s="8">
        <v>0</v>
      </c>
      <c r="Z2105" s="8">
        <v>0</v>
      </c>
      <c r="AC2105" s="8">
        <v>0</v>
      </c>
      <c r="AF2105" s="8">
        <v>0</v>
      </c>
      <c r="AN2105" s="8">
        <v>0</v>
      </c>
      <c r="AO2105" s="8">
        <v>3</v>
      </c>
    </row>
    <row r="2106" spans="1:41" x14ac:dyDescent="0.25">
      <c r="A2106" s="6" t="str">
        <f t="shared" si="496"/>
        <v>522-2026000194</v>
      </c>
      <c r="B2106" s="6" t="str">
        <f t="shared" si="491"/>
        <v>EL CORTE</v>
      </c>
      <c r="C2106" s="7">
        <v>46036</v>
      </c>
      <c r="D2106" s="7">
        <v>46041</v>
      </c>
      <c r="E2106" s="8">
        <v>5</v>
      </c>
      <c r="F2106" s="6" t="str">
        <f t="shared" si="497"/>
        <v>94824401_07026</v>
      </c>
      <c r="G2106" s="6" t="str">
        <f t="shared" si="492"/>
        <v>F310631650000000</v>
      </c>
      <c r="H2106" s="6" t="str">
        <f t="shared" si="493"/>
        <v>PLAR 6316 FD - 500 g</v>
      </c>
      <c r="I2106" s="6" t="str">
        <f>"200901"</f>
        <v>200901</v>
      </c>
      <c r="J2106" s="6" t="str">
        <f>"ROSA 901"</f>
        <v>ROSA 901</v>
      </c>
      <c r="K2106" s="6" t="str">
        <f>"0520"</f>
        <v>0520</v>
      </c>
      <c r="L2106" s="6" t="str">
        <f>"Toalhetes"</f>
        <v>Toalhetes</v>
      </c>
      <c r="M2106" s="6" t="str">
        <f>"30x50"</f>
        <v>30x50</v>
      </c>
      <c r="N2106" s="6" t="str">
        <f>"5602972281101"</f>
        <v>5602972281101</v>
      </c>
      <c r="O2106" s="8">
        <v>6</v>
      </c>
      <c r="R2106" s="8">
        <v>0</v>
      </c>
      <c r="U2106" s="8">
        <v>0</v>
      </c>
      <c r="X2106" s="8">
        <v>0</v>
      </c>
      <c r="Z2106" s="8">
        <v>0</v>
      </c>
      <c r="AC2106" s="8">
        <v>0</v>
      </c>
      <c r="AF2106" s="8">
        <v>0</v>
      </c>
      <c r="AN2106" s="8">
        <v>6</v>
      </c>
      <c r="AO2106" s="8">
        <v>0</v>
      </c>
    </row>
    <row r="2107" spans="1:41" x14ac:dyDescent="0.25">
      <c r="A2107" s="6" t="str">
        <f t="shared" si="496"/>
        <v>522-2026000194</v>
      </c>
      <c r="B2107" s="6" t="str">
        <f t="shared" si="491"/>
        <v>EL CORTE</v>
      </c>
      <c r="C2107" s="7">
        <v>46036</v>
      </c>
      <c r="D2107" s="7">
        <v>46041</v>
      </c>
      <c r="E2107" s="8">
        <v>6</v>
      </c>
      <c r="F2107" s="6" t="str">
        <f t="shared" si="497"/>
        <v>94824401_07026</v>
      </c>
      <c r="G2107" s="6" t="str">
        <f t="shared" si="492"/>
        <v>F310631650000000</v>
      </c>
      <c r="H2107" s="6" t="str">
        <f t="shared" si="493"/>
        <v>PLAR 6316 FD - 500 g</v>
      </c>
      <c r="I2107" s="6" t="str">
        <f>"200901"</f>
        <v>200901</v>
      </c>
      <c r="J2107" s="6" t="str">
        <f>"ROSA 901"</f>
        <v>ROSA 901</v>
      </c>
      <c r="K2107" s="6" t="str">
        <f>"1024"</f>
        <v>1024</v>
      </c>
      <c r="L2107" s="6" t="str">
        <f>"Toalhas"</f>
        <v>Toalhas</v>
      </c>
      <c r="M2107" s="6" t="str">
        <f>"50x100"</f>
        <v>50x100</v>
      </c>
      <c r="N2107" s="6" t="str">
        <f>"5602972281118"</f>
        <v>5602972281118</v>
      </c>
      <c r="O2107" s="8">
        <v>6</v>
      </c>
      <c r="R2107" s="8">
        <v>0</v>
      </c>
      <c r="U2107" s="8">
        <v>0</v>
      </c>
      <c r="X2107" s="8">
        <v>0</v>
      </c>
      <c r="Z2107" s="8">
        <v>0</v>
      </c>
      <c r="AC2107" s="8">
        <v>0</v>
      </c>
      <c r="AF2107" s="8">
        <v>0</v>
      </c>
      <c r="AN2107" s="8">
        <v>6</v>
      </c>
      <c r="AO2107" s="8">
        <v>0</v>
      </c>
    </row>
    <row r="2108" spans="1:41" x14ac:dyDescent="0.25">
      <c r="A2108" s="6" t="str">
        <f t="shared" si="496"/>
        <v>522-2026000194</v>
      </c>
      <c r="B2108" s="6" t="str">
        <f t="shared" si="491"/>
        <v>EL CORTE</v>
      </c>
      <c r="C2108" s="7">
        <v>46036</v>
      </c>
      <c r="D2108" s="7">
        <v>46041</v>
      </c>
      <c r="E2108" s="8">
        <v>7</v>
      </c>
      <c r="F2108" s="6" t="str">
        <f t="shared" si="497"/>
        <v>94824401_07026</v>
      </c>
      <c r="G2108" s="6" t="str">
        <f t="shared" si="492"/>
        <v>F310631650000000</v>
      </c>
      <c r="H2108" s="6" t="str">
        <f t="shared" si="493"/>
        <v>PLAR 6316 FD - 500 g</v>
      </c>
      <c r="I2108" s="6" t="str">
        <f>"200510"</f>
        <v>200510</v>
      </c>
      <c r="J2108" s="6" t="str">
        <f>"VERDE 510"</f>
        <v>VERDE 510</v>
      </c>
      <c r="K2108" s="6" t="str">
        <f>"0520"</f>
        <v>0520</v>
      </c>
      <c r="L2108" s="6" t="str">
        <f>"Toalhetes"</f>
        <v>Toalhetes</v>
      </c>
      <c r="M2108" s="6" t="str">
        <f>"30x50"</f>
        <v>30x50</v>
      </c>
      <c r="N2108" s="6" t="str">
        <f>"5602972281132"</f>
        <v>5602972281132</v>
      </c>
      <c r="O2108" s="8">
        <v>6</v>
      </c>
      <c r="R2108" s="8">
        <v>0</v>
      </c>
      <c r="U2108" s="8">
        <v>0</v>
      </c>
      <c r="X2108" s="8">
        <v>0</v>
      </c>
      <c r="Z2108" s="8">
        <v>0</v>
      </c>
      <c r="AC2108" s="8">
        <v>0</v>
      </c>
      <c r="AF2108" s="8">
        <v>0</v>
      </c>
      <c r="AN2108" s="8">
        <v>6</v>
      </c>
      <c r="AO2108" s="8">
        <v>0</v>
      </c>
    </row>
    <row r="2109" spans="1:41" x14ac:dyDescent="0.25">
      <c r="A2109" s="6" t="str">
        <f t="shared" si="496"/>
        <v>522-2026000194</v>
      </c>
      <c r="B2109" s="6" t="str">
        <f t="shared" si="491"/>
        <v>EL CORTE</v>
      </c>
      <c r="C2109" s="7">
        <v>46036</v>
      </c>
      <c r="D2109" s="7">
        <v>46041</v>
      </c>
      <c r="E2109" s="8">
        <v>8</v>
      </c>
      <c r="F2109" s="6" t="str">
        <f t="shared" si="497"/>
        <v>94824401_07026</v>
      </c>
      <c r="G2109" s="6" t="str">
        <f t="shared" si="492"/>
        <v>F310631650000000</v>
      </c>
      <c r="H2109" s="6" t="str">
        <f t="shared" si="493"/>
        <v>PLAR 6316 FD - 500 g</v>
      </c>
      <c r="I2109" s="6" t="str">
        <f>"200510"</f>
        <v>200510</v>
      </c>
      <c r="J2109" s="6" t="str">
        <f>"VERDE 510"</f>
        <v>VERDE 510</v>
      </c>
      <c r="K2109" s="6" t="str">
        <f>"1024"</f>
        <v>1024</v>
      </c>
      <c r="L2109" s="6" t="str">
        <f>"Toalhas"</f>
        <v>Toalhas</v>
      </c>
      <c r="M2109" s="6" t="str">
        <f>"50x100"</f>
        <v>50x100</v>
      </c>
      <c r="N2109" s="6" t="str">
        <f>"5602972281149"</f>
        <v>5602972281149</v>
      </c>
      <c r="O2109" s="8">
        <v>6</v>
      </c>
      <c r="R2109" s="8">
        <v>0</v>
      </c>
      <c r="U2109" s="8">
        <v>0</v>
      </c>
      <c r="X2109" s="8">
        <v>0</v>
      </c>
      <c r="Z2109" s="8">
        <v>0</v>
      </c>
      <c r="AC2109" s="8">
        <v>0</v>
      </c>
      <c r="AF2109" s="8">
        <v>0</v>
      </c>
      <c r="AN2109" s="8">
        <v>6</v>
      </c>
      <c r="AO2109" s="8">
        <v>0</v>
      </c>
    </row>
    <row r="2110" spans="1:41" x14ac:dyDescent="0.25">
      <c r="A2110" s="6" t="str">
        <f t="shared" si="496"/>
        <v>522-2026000194</v>
      </c>
      <c r="B2110" s="6" t="str">
        <f t="shared" si="491"/>
        <v>EL CORTE</v>
      </c>
      <c r="C2110" s="7">
        <v>46036</v>
      </c>
      <c r="D2110" s="7">
        <v>46041</v>
      </c>
      <c r="E2110" s="8">
        <v>9</v>
      </c>
      <c r="F2110" s="6" t="str">
        <f t="shared" si="497"/>
        <v>94824401_07026</v>
      </c>
      <c r="G2110" s="6" t="str">
        <f t="shared" si="492"/>
        <v>F310631650000000</v>
      </c>
      <c r="H2110" s="6" t="str">
        <f t="shared" si="493"/>
        <v>PLAR 6316 FD - 500 g</v>
      </c>
      <c r="I2110" s="6" t="str">
        <f>"200510"</f>
        <v>200510</v>
      </c>
      <c r="J2110" s="6" t="str">
        <f>"VERDE 510"</f>
        <v>VERDE 510</v>
      </c>
      <c r="K2110" s="6" t="str">
        <f>"2020"</f>
        <v>2020</v>
      </c>
      <c r="L2110" s="6" t="str">
        <f>"Lençóis"</f>
        <v>Lençóis</v>
      </c>
      <c r="M2110" s="6" t="str">
        <f>"100x150"</f>
        <v>100x150</v>
      </c>
      <c r="N2110" s="6" t="str">
        <f>"5602972281156"</f>
        <v>5602972281156</v>
      </c>
      <c r="O2110" s="8">
        <v>6</v>
      </c>
      <c r="R2110" s="8">
        <v>0</v>
      </c>
      <c r="U2110" s="8">
        <v>0</v>
      </c>
      <c r="X2110" s="8">
        <v>0</v>
      </c>
      <c r="Z2110" s="8">
        <v>0</v>
      </c>
      <c r="AC2110" s="8">
        <v>0</v>
      </c>
      <c r="AF2110" s="8">
        <v>0</v>
      </c>
      <c r="AN2110" s="8">
        <v>0</v>
      </c>
      <c r="AO2110" s="8">
        <v>6</v>
      </c>
    </row>
    <row r="2111" spans="1:41" x14ac:dyDescent="0.25">
      <c r="A2111" s="6" t="str">
        <f>"522-2026000195"</f>
        <v>522-2026000195</v>
      </c>
      <c r="B2111" s="6" t="str">
        <f t="shared" si="491"/>
        <v>EL CORTE</v>
      </c>
      <c r="C2111" s="7">
        <v>46036</v>
      </c>
      <c r="D2111" s="7">
        <v>46041</v>
      </c>
      <c r="E2111" s="8">
        <v>1</v>
      </c>
      <c r="F2111" s="6" t="str">
        <f>"94824301_07026"</f>
        <v>94824301_07026</v>
      </c>
      <c r="G2111" s="6" t="str">
        <f t="shared" si="492"/>
        <v>F310631650000000</v>
      </c>
      <c r="H2111" s="6" t="str">
        <f t="shared" si="493"/>
        <v>PLAR 6316 FD - 500 g</v>
      </c>
      <c r="I2111" s="6" t="str">
        <f>"202575"</f>
        <v>202575</v>
      </c>
      <c r="J2111" s="6" t="str">
        <f>"BEGE 2575"</f>
        <v>BEGE 2575</v>
      </c>
      <c r="K2111" s="6" t="str">
        <f>"1024"</f>
        <v>1024</v>
      </c>
      <c r="L2111" s="6" t="str">
        <f>"Toalhas"</f>
        <v>Toalhas</v>
      </c>
      <c r="M2111" s="6" t="str">
        <f>"50x100"</f>
        <v>50x100</v>
      </c>
      <c r="N2111" s="6" t="str">
        <f>"5602972281088"</f>
        <v>5602972281088</v>
      </c>
      <c r="O2111" s="8">
        <v>6</v>
      </c>
      <c r="R2111" s="8">
        <v>0</v>
      </c>
      <c r="U2111" s="8">
        <v>0</v>
      </c>
      <c r="X2111" s="8">
        <v>0</v>
      </c>
      <c r="Z2111" s="8">
        <v>0</v>
      </c>
      <c r="AC2111" s="8">
        <v>0</v>
      </c>
      <c r="AF2111" s="8">
        <v>0</v>
      </c>
      <c r="AN2111" s="8">
        <v>6</v>
      </c>
      <c r="AO2111" s="8">
        <v>0</v>
      </c>
    </row>
    <row r="2112" spans="1:41" x14ac:dyDescent="0.25">
      <c r="A2112" s="6" t="str">
        <f>"522-2026000195"</f>
        <v>522-2026000195</v>
      </c>
      <c r="B2112" s="6" t="str">
        <f t="shared" si="491"/>
        <v>EL CORTE</v>
      </c>
      <c r="C2112" s="7">
        <v>46036</v>
      </c>
      <c r="D2112" s="7">
        <v>46041</v>
      </c>
      <c r="E2112" s="8">
        <v>2</v>
      </c>
      <c r="F2112" s="6" t="str">
        <f>"94824301_07026"</f>
        <v>94824301_07026</v>
      </c>
      <c r="G2112" s="6" t="str">
        <f t="shared" si="492"/>
        <v>F310631650000000</v>
      </c>
      <c r="H2112" s="6" t="str">
        <f t="shared" si="493"/>
        <v>PLAR 6316 FD - 500 g</v>
      </c>
      <c r="I2112" s="6" t="str">
        <f>"202575"</f>
        <v>202575</v>
      </c>
      <c r="J2112" s="6" t="str">
        <f>"BEGE 2575"</f>
        <v>BEGE 2575</v>
      </c>
      <c r="K2112" s="6" t="str">
        <f>"2020"</f>
        <v>2020</v>
      </c>
      <c r="L2112" s="6" t="str">
        <f>"Lençóis"</f>
        <v>Lençóis</v>
      </c>
      <c r="M2112" s="6" t="str">
        <f>"100x150"</f>
        <v>100x150</v>
      </c>
      <c r="N2112" s="6" t="str">
        <f>"5602972281095"</f>
        <v>5602972281095</v>
      </c>
      <c r="O2112" s="8">
        <v>3</v>
      </c>
      <c r="R2112" s="8">
        <v>0</v>
      </c>
      <c r="U2112" s="8">
        <v>0</v>
      </c>
      <c r="X2112" s="8">
        <v>0</v>
      </c>
      <c r="Z2112" s="8">
        <v>0</v>
      </c>
      <c r="AC2112" s="8">
        <v>0</v>
      </c>
      <c r="AF2112" s="8">
        <v>0</v>
      </c>
      <c r="AN2112" s="8">
        <v>0</v>
      </c>
      <c r="AO2112" s="8">
        <v>3</v>
      </c>
    </row>
    <row r="2113" spans="1:41" x14ac:dyDescent="0.25">
      <c r="A2113" s="6" t="str">
        <f>"522-2026000196"</f>
        <v>522-2026000196</v>
      </c>
      <c r="B2113" s="6" t="str">
        <f t="shared" si="491"/>
        <v>EL CORTE</v>
      </c>
      <c r="C2113" s="7">
        <v>46036</v>
      </c>
      <c r="D2113" s="7">
        <v>46041</v>
      </c>
      <c r="E2113" s="8">
        <v>1</v>
      </c>
      <c r="F2113" s="6" t="str">
        <f>"94821801_07026"</f>
        <v>94821801_07026</v>
      </c>
      <c r="G2113" s="6" t="str">
        <f t="shared" si="492"/>
        <v>F310631650000000</v>
      </c>
      <c r="H2113" s="6" t="str">
        <f t="shared" si="493"/>
        <v>PLAR 6316 FD - 500 g</v>
      </c>
      <c r="I2113" s="6" t="str">
        <f>"202575"</f>
        <v>202575</v>
      </c>
      <c r="J2113" s="6" t="str">
        <f>"BEGE 2575"</f>
        <v>BEGE 2575</v>
      </c>
      <c r="K2113" s="6" t="str">
        <f>"0520"</f>
        <v>0520</v>
      </c>
      <c r="L2113" s="6" t="str">
        <f>"Toalhetes"</f>
        <v>Toalhetes</v>
      </c>
      <c r="M2113" s="6" t="str">
        <f>"30x50"</f>
        <v>30x50</v>
      </c>
      <c r="N2113" s="6" t="str">
        <f>"5602972281071"</f>
        <v>5602972281071</v>
      </c>
      <c r="O2113" s="8">
        <v>6</v>
      </c>
      <c r="R2113" s="8">
        <v>0</v>
      </c>
      <c r="U2113" s="8">
        <v>0</v>
      </c>
      <c r="X2113" s="8">
        <v>0</v>
      </c>
      <c r="Z2113" s="8">
        <v>0</v>
      </c>
      <c r="AC2113" s="8">
        <v>0</v>
      </c>
      <c r="AF2113" s="8">
        <v>0</v>
      </c>
      <c r="AN2113" s="8">
        <v>6</v>
      </c>
      <c r="AO2113" s="8">
        <v>0</v>
      </c>
    </row>
    <row r="2114" spans="1:41" x14ac:dyDescent="0.25">
      <c r="A2114" s="6" t="str">
        <f>"522-2026000197"</f>
        <v>522-2026000197</v>
      </c>
      <c r="B2114" s="6" t="str">
        <f t="shared" si="491"/>
        <v>EL CORTE</v>
      </c>
      <c r="C2114" s="7">
        <v>46036</v>
      </c>
      <c r="D2114" s="7">
        <v>46041</v>
      </c>
      <c r="E2114" s="8">
        <v>1</v>
      </c>
      <c r="F2114" s="6" t="str">
        <f>"94823401_07026"</f>
        <v>94823401_07026</v>
      </c>
      <c r="G2114" s="6" t="str">
        <f t="shared" si="492"/>
        <v>F310631650000000</v>
      </c>
      <c r="H2114" s="6" t="str">
        <f t="shared" si="493"/>
        <v>PLAR 6316 FD - 500 g</v>
      </c>
      <c r="I2114" s="6" t="str">
        <f>"200901"</f>
        <v>200901</v>
      </c>
      <c r="J2114" s="6" t="str">
        <f>"ROSA 901"</f>
        <v>ROSA 901</v>
      </c>
      <c r="K2114" s="6" t="str">
        <f>"2020"</f>
        <v>2020</v>
      </c>
      <c r="L2114" s="6" t="str">
        <f>"Lençóis"</f>
        <v>Lençóis</v>
      </c>
      <c r="M2114" s="6" t="str">
        <f>"100x150"</f>
        <v>100x150</v>
      </c>
      <c r="N2114" s="6" t="str">
        <f>"5602972281125"</f>
        <v>5602972281125</v>
      </c>
      <c r="O2114" s="8">
        <v>3</v>
      </c>
      <c r="R2114" s="8">
        <v>0</v>
      </c>
      <c r="U2114" s="8">
        <v>0</v>
      </c>
      <c r="X2114" s="8">
        <v>0</v>
      </c>
      <c r="Z2114" s="8">
        <v>0</v>
      </c>
      <c r="AC2114" s="8">
        <v>0</v>
      </c>
      <c r="AF2114" s="8">
        <v>0</v>
      </c>
      <c r="AN2114" s="8">
        <v>0</v>
      </c>
      <c r="AO2114" s="8">
        <v>3</v>
      </c>
    </row>
    <row r="2115" spans="1:41" x14ac:dyDescent="0.25">
      <c r="A2115" s="6" t="str">
        <f>"522-2026000197"</f>
        <v>522-2026000197</v>
      </c>
      <c r="B2115" s="6" t="str">
        <f t="shared" si="491"/>
        <v>EL CORTE</v>
      </c>
      <c r="C2115" s="7">
        <v>46036</v>
      </c>
      <c r="D2115" s="7">
        <v>46041</v>
      </c>
      <c r="E2115" s="8">
        <v>2</v>
      </c>
      <c r="F2115" s="6" t="str">
        <f>"94823401_07026"</f>
        <v>94823401_07026</v>
      </c>
      <c r="G2115" s="6" t="str">
        <f t="shared" si="492"/>
        <v>F310631650000000</v>
      </c>
      <c r="H2115" s="6" t="str">
        <f t="shared" si="493"/>
        <v>PLAR 6316 FD - 500 g</v>
      </c>
      <c r="I2115" s="6" t="str">
        <f>"200510"</f>
        <v>200510</v>
      </c>
      <c r="J2115" s="6" t="str">
        <f>"VERDE 510"</f>
        <v>VERDE 510</v>
      </c>
      <c r="K2115" s="6" t="str">
        <f>"2020"</f>
        <v>2020</v>
      </c>
      <c r="L2115" s="6" t="str">
        <f>"Lençóis"</f>
        <v>Lençóis</v>
      </c>
      <c r="M2115" s="6" t="str">
        <f>"100x150"</f>
        <v>100x150</v>
      </c>
      <c r="N2115" s="6" t="str">
        <f>"5602972281156"</f>
        <v>5602972281156</v>
      </c>
      <c r="O2115" s="8">
        <v>3</v>
      </c>
      <c r="R2115" s="8">
        <v>0</v>
      </c>
      <c r="U2115" s="8">
        <v>0</v>
      </c>
      <c r="X2115" s="8">
        <v>0</v>
      </c>
      <c r="Z2115" s="8">
        <v>0</v>
      </c>
      <c r="AC2115" s="8">
        <v>0</v>
      </c>
      <c r="AF2115" s="8">
        <v>0</v>
      </c>
      <c r="AN2115" s="8">
        <v>0</v>
      </c>
      <c r="AO2115" s="8">
        <v>3</v>
      </c>
    </row>
    <row r="2116" spans="1:41" x14ac:dyDescent="0.25">
      <c r="A2116" s="6" t="str">
        <f>"522-2026000198"</f>
        <v>522-2026000198</v>
      </c>
      <c r="B2116" s="6" t="str">
        <f t="shared" si="491"/>
        <v>EL CORTE</v>
      </c>
      <c r="C2116" s="7">
        <v>46036</v>
      </c>
      <c r="D2116" s="7">
        <v>46041</v>
      </c>
      <c r="E2116" s="8">
        <v>1</v>
      </c>
      <c r="F2116" s="6" t="str">
        <f>"94824501_07026"</f>
        <v>94824501_07026</v>
      </c>
      <c r="G2116" s="6" t="str">
        <f t="shared" si="492"/>
        <v>F310631650000000</v>
      </c>
      <c r="H2116" s="6" t="str">
        <f t="shared" si="493"/>
        <v>PLAR 6316 FD - 500 g</v>
      </c>
      <c r="I2116" s="6" t="str">
        <f>"202575"</f>
        <v>202575</v>
      </c>
      <c r="J2116" s="6" t="str">
        <f>"BEGE 2575"</f>
        <v>BEGE 2575</v>
      </c>
      <c r="K2116" s="6" t="str">
        <f>"1024"</f>
        <v>1024</v>
      </c>
      <c r="L2116" s="6" t="str">
        <f>"Toalhas"</f>
        <v>Toalhas</v>
      </c>
      <c r="M2116" s="6" t="str">
        <f>"50x100"</f>
        <v>50x100</v>
      </c>
      <c r="N2116" s="6" t="str">
        <f>"5602972281088"</f>
        <v>5602972281088</v>
      </c>
      <c r="O2116" s="8">
        <v>6</v>
      </c>
      <c r="R2116" s="8">
        <v>0</v>
      </c>
      <c r="U2116" s="8">
        <v>0</v>
      </c>
      <c r="X2116" s="8">
        <v>0</v>
      </c>
      <c r="Z2116" s="8">
        <v>0</v>
      </c>
      <c r="AC2116" s="8">
        <v>0</v>
      </c>
      <c r="AF2116" s="8">
        <v>0</v>
      </c>
      <c r="AN2116" s="8">
        <v>6</v>
      </c>
      <c r="AO2116" s="8">
        <v>0</v>
      </c>
    </row>
    <row r="2117" spans="1:41" x14ac:dyDescent="0.25">
      <c r="A2117" s="6" t="str">
        <f>"522-2026000198"</f>
        <v>522-2026000198</v>
      </c>
      <c r="B2117" s="6" t="str">
        <f t="shared" si="491"/>
        <v>EL CORTE</v>
      </c>
      <c r="C2117" s="7">
        <v>46036</v>
      </c>
      <c r="D2117" s="7">
        <v>46041</v>
      </c>
      <c r="E2117" s="8">
        <v>2</v>
      </c>
      <c r="F2117" s="6" t="str">
        <f>"94824501_07026"</f>
        <v>94824501_07026</v>
      </c>
      <c r="G2117" s="6" t="str">
        <f t="shared" si="492"/>
        <v>F310631650000000</v>
      </c>
      <c r="H2117" s="6" t="str">
        <f t="shared" si="493"/>
        <v>PLAR 6316 FD - 500 g</v>
      </c>
      <c r="I2117" s="6" t="str">
        <f>"202575"</f>
        <v>202575</v>
      </c>
      <c r="J2117" s="6" t="str">
        <f>"BEGE 2575"</f>
        <v>BEGE 2575</v>
      </c>
      <c r="K2117" s="6" t="str">
        <f>"2020"</f>
        <v>2020</v>
      </c>
      <c r="L2117" s="6" t="str">
        <f>"Lençóis"</f>
        <v>Lençóis</v>
      </c>
      <c r="M2117" s="6" t="str">
        <f>"100x150"</f>
        <v>100x150</v>
      </c>
      <c r="N2117" s="6" t="str">
        <f>"5602972281095"</f>
        <v>5602972281095</v>
      </c>
      <c r="O2117" s="8">
        <v>3</v>
      </c>
      <c r="R2117" s="8">
        <v>0</v>
      </c>
      <c r="U2117" s="8">
        <v>0</v>
      </c>
      <c r="X2117" s="8">
        <v>0</v>
      </c>
      <c r="Z2117" s="8">
        <v>0</v>
      </c>
      <c r="AC2117" s="8">
        <v>0</v>
      </c>
      <c r="AF2117" s="8">
        <v>0</v>
      </c>
      <c r="AN2117" s="8">
        <v>0</v>
      </c>
      <c r="AO2117" s="8">
        <v>3</v>
      </c>
    </row>
    <row r="2118" spans="1:41" x14ac:dyDescent="0.25">
      <c r="A2118" s="6" t="str">
        <f>"522-2026000199"</f>
        <v>522-2026000199</v>
      </c>
      <c r="B2118" s="6" t="str">
        <f t="shared" si="491"/>
        <v>EL CORTE</v>
      </c>
      <c r="C2118" s="7">
        <v>46036</v>
      </c>
      <c r="D2118" s="7">
        <v>46041</v>
      </c>
      <c r="E2118" s="8">
        <v>1</v>
      </c>
      <c r="F2118" s="6" t="str">
        <f>"94824201_07026"</f>
        <v>94824201_07026</v>
      </c>
      <c r="G2118" s="6" t="str">
        <f t="shared" si="492"/>
        <v>F310631650000000</v>
      </c>
      <c r="H2118" s="6" t="str">
        <f t="shared" si="493"/>
        <v>PLAR 6316 FD - 500 g</v>
      </c>
      <c r="I2118" s="6" t="str">
        <f>"201855"</f>
        <v>201855</v>
      </c>
      <c r="J2118" s="6" t="str">
        <f>"AZUL 1855"</f>
        <v>AZUL 1855</v>
      </c>
      <c r="K2118" s="6" t="str">
        <f>"1024"</f>
        <v>1024</v>
      </c>
      <c r="L2118" s="6" t="str">
        <f>"Toalhas"</f>
        <v>Toalhas</v>
      </c>
      <c r="M2118" s="6" t="str">
        <f>"50x100"</f>
        <v>50x100</v>
      </c>
      <c r="N2118" s="6" t="str">
        <f>"5602972281057"</f>
        <v>5602972281057</v>
      </c>
      <c r="O2118" s="8">
        <v>6</v>
      </c>
      <c r="R2118" s="8">
        <v>0</v>
      </c>
      <c r="U2118" s="8">
        <v>0</v>
      </c>
      <c r="X2118" s="8">
        <v>0</v>
      </c>
      <c r="Z2118" s="8">
        <v>0</v>
      </c>
      <c r="AC2118" s="8">
        <v>0</v>
      </c>
      <c r="AF2118" s="8">
        <v>0</v>
      </c>
      <c r="AN2118" s="8">
        <v>6</v>
      </c>
      <c r="AO2118" s="8">
        <v>0</v>
      </c>
    </row>
    <row r="2119" spans="1:41" x14ac:dyDescent="0.25">
      <c r="A2119" s="6" t="str">
        <f>"522-2026000199"</f>
        <v>522-2026000199</v>
      </c>
      <c r="B2119" s="6" t="str">
        <f t="shared" ref="B2119:B2182" si="498">"EL CORTE"</f>
        <v>EL CORTE</v>
      </c>
      <c r="C2119" s="7">
        <v>46036</v>
      </c>
      <c r="D2119" s="7">
        <v>46041</v>
      </c>
      <c r="E2119" s="8">
        <v>2</v>
      </c>
      <c r="F2119" s="6" t="str">
        <f>"94824201_07026"</f>
        <v>94824201_07026</v>
      </c>
      <c r="G2119" s="6" t="str">
        <f t="shared" ref="G2119:G2182" si="499">"F310631650000000"</f>
        <v>F310631650000000</v>
      </c>
      <c r="H2119" s="6" t="str">
        <f t="shared" ref="H2119:H2182" si="500">"PLAR 6316 FD - 500 g"</f>
        <v>PLAR 6316 FD - 500 g</v>
      </c>
      <c r="I2119" s="6" t="str">
        <f>"202575"</f>
        <v>202575</v>
      </c>
      <c r="J2119" s="6" t="str">
        <f>"BEGE 2575"</f>
        <v>BEGE 2575</v>
      </c>
      <c r="K2119" s="6" t="str">
        <f>"0520"</f>
        <v>0520</v>
      </c>
      <c r="L2119" s="6" t="str">
        <f>"Toalhetes"</f>
        <v>Toalhetes</v>
      </c>
      <c r="M2119" s="6" t="str">
        <f>"30x50"</f>
        <v>30x50</v>
      </c>
      <c r="N2119" s="6" t="str">
        <f>"5602972281071"</f>
        <v>5602972281071</v>
      </c>
      <c r="O2119" s="8">
        <v>6</v>
      </c>
      <c r="R2119" s="8">
        <v>0</v>
      </c>
      <c r="U2119" s="8">
        <v>0</v>
      </c>
      <c r="X2119" s="8">
        <v>0</v>
      </c>
      <c r="Z2119" s="8">
        <v>0</v>
      </c>
      <c r="AC2119" s="8">
        <v>0</v>
      </c>
      <c r="AF2119" s="8">
        <v>0</v>
      </c>
      <c r="AN2119" s="8">
        <v>6</v>
      </c>
      <c r="AO2119" s="8">
        <v>0</v>
      </c>
    </row>
    <row r="2120" spans="1:41" x14ac:dyDescent="0.25">
      <c r="A2120" s="6" t="str">
        <f>"522-2026000200"</f>
        <v>522-2026000200</v>
      </c>
      <c r="B2120" s="6" t="str">
        <f t="shared" si="498"/>
        <v>EL CORTE</v>
      </c>
      <c r="C2120" s="7">
        <v>46036</v>
      </c>
      <c r="D2120" s="7">
        <v>46041</v>
      </c>
      <c r="E2120" s="8">
        <v>1</v>
      </c>
      <c r="F2120" s="6" t="str">
        <f>"94823901_07026"</f>
        <v>94823901_07026</v>
      </c>
      <c r="G2120" s="6" t="str">
        <f t="shared" si="499"/>
        <v>F310631650000000</v>
      </c>
      <c r="H2120" s="6" t="str">
        <f t="shared" si="500"/>
        <v>PLAR 6316 FD - 500 g</v>
      </c>
      <c r="I2120" s="6" t="str">
        <f>"200901"</f>
        <v>200901</v>
      </c>
      <c r="J2120" s="6" t="str">
        <f>"ROSA 901"</f>
        <v>ROSA 901</v>
      </c>
      <c r="K2120" s="6" t="str">
        <f>"1024"</f>
        <v>1024</v>
      </c>
      <c r="L2120" s="6" t="str">
        <f>"Toalhas"</f>
        <v>Toalhas</v>
      </c>
      <c r="M2120" s="6" t="str">
        <f>"50x100"</f>
        <v>50x100</v>
      </c>
      <c r="N2120" s="6" t="str">
        <f>"5602972281118"</f>
        <v>5602972281118</v>
      </c>
      <c r="O2120" s="8">
        <v>6</v>
      </c>
      <c r="R2120" s="8">
        <v>0</v>
      </c>
      <c r="U2120" s="8">
        <v>0</v>
      </c>
      <c r="X2120" s="8">
        <v>0</v>
      </c>
      <c r="Z2120" s="8">
        <v>0</v>
      </c>
      <c r="AC2120" s="8">
        <v>0</v>
      </c>
      <c r="AF2120" s="8">
        <v>0</v>
      </c>
      <c r="AN2120" s="8">
        <v>6</v>
      </c>
      <c r="AO2120" s="8">
        <v>0</v>
      </c>
    </row>
    <row r="2121" spans="1:41" x14ac:dyDescent="0.25">
      <c r="A2121" s="6" t="str">
        <f>"522-2026000200"</f>
        <v>522-2026000200</v>
      </c>
      <c r="B2121" s="6" t="str">
        <f t="shared" si="498"/>
        <v>EL CORTE</v>
      </c>
      <c r="C2121" s="7">
        <v>46036</v>
      </c>
      <c r="D2121" s="7">
        <v>46041</v>
      </c>
      <c r="E2121" s="8">
        <v>2</v>
      </c>
      <c r="F2121" s="6" t="str">
        <f>"94823901_07026"</f>
        <v>94823901_07026</v>
      </c>
      <c r="G2121" s="6" t="str">
        <f t="shared" si="499"/>
        <v>F310631650000000</v>
      </c>
      <c r="H2121" s="6" t="str">
        <f t="shared" si="500"/>
        <v>PLAR 6316 FD - 500 g</v>
      </c>
      <c r="I2121" s="6" t="str">
        <f>"200510"</f>
        <v>200510</v>
      </c>
      <c r="J2121" s="6" t="str">
        <f>"VERDE 510"</f>
        <v>VERDE 510</v>
      </c>
      <c r="K2121" s="6" t="str">
        <f>"2020"</f>
        <v>2020</v>
      </c>
      <c r="L2121" s="6" t="str">
        <f>"Lençóis"</f>
        <v>Lençóis</v>
      </c>
      <c r="M2121" s="6" t="str">
        <f>"100x150"</f>
        <v>100x150</v>
      </c>
      <c r="N2121" s="6" t="str">
        <f>"5602972281156"</f>
        <v>5602972281156</v>
      </c>
      <c r="O2121" s="8">
        <v>3</v>
      </c>
      <c r="R2121" s="8">
        <v>0</v>
      </c>
      <c r="U2121" s="8">
        <v>0</v>
      </c>
      <c r="X2121" s="8">
        <v>0</v>
      </c>
      <c r="Z2121" s="8">
        <v>0</v>
      </c>
      <c r="AC2121" s="8">
        <v>0</v>
      </c>
      <c r="AF2121" s="8">
        <v>0</v>
      </c>
      <c r="AN2121" s="8">
        <v>0</v>
      </c>
      <c r="AO2121" s="8">
        <v>3</v>
      </c>
    </row>
    <row r="2122" spans="1:41" x14ac:dyDescent="0.25">
      <c r="A2122" s="6" t="str">
        <f>"522-2026000201"</f>
        <v>522-2026000201</v>
      </c>
      <c r="B2122" s="6" t="str">
        <f t="shared" si="498"/>
        <v>EL CORTE</v>
      </c>
      <c r="C2122" s="7">
        <v>46036</v>
      </c>
      <c r="D2122" s="7">
        <v>46041</v>
      </c>
      <c r="E2122" s="8">
        <v>1</v>
      </c>
      <c r="F2122" s="6" t="str">
        <f>"94822801_07026"</f>
        <v>94822801_07026</v>
      </c>
      <c r="G2122" s="6" t="str">
        <f t="shared" si="499"/>
        <v>F310631650000000</v>
      </c>
      <c r="H2122" s="6" t="str">
        <f t="shared" si="500"/>
        <v>PLAR 6316 FD - 500 g</v>
      </c>
      <c r="I2122" s="6" t="str">
        <f>"202575"</f>
        <v>202575</v>
      </c>
      <c r="J2122" s="6" t="str">
        <f>"BEGE 2575"</f>
        <v>BEGE 2575</v>
      </c>
      <c r="K2122" s="6" t="str">
        <f>"0520"</f>
        <v>0520</v>
      </c>
      <c r="L2122" s="6" t="str">
        <f>"Toalhetes"</f>
        <v>Toalhetes</v>
      </c>
      <c r="M2122" s="6" t="str">
        <f>"30x50"</f>
        <v>30x50</v>
      </c>
      <c r="N2122" s="6" t="str">
        <f>"5602972281071"</f>
        <v>5602972281071</v>
      </c>
      <c r="O2122" s="8">
        <v>6</v>
      </c>
      <c r="R2122" s="8">
        <v>0</v>
      </c>
      <c r="U2122" s="8">
        <v>0</v>
      </c>
      <c r="X2122" s="8">
        <v>0</v>
      </c>
      <c r="Z2122" s="8">
        <v>0</v>
      </c>
      <c r="AC2122" s="8">
        <v>0</v>
      </c>
      <c r="AF2122" s="8">
        <v>0</v>
      </c>
      <c r="AN2122" s="8">
        <v>6</v>
      </c>
      <c r="AO2122" s="8">
        <v>0</v>
      </c>
    </row>
    <row r="2123" spans="1:41" x14ac:dyDescent="0.25">
      <c r="A2123" s="6" t="str">
        <f>"522-2026000201"</f>
        <v>522-2026000201</v>
      </c>
      <c r="B2123" s="6" t="str">
        <f t="shared" si="498"/>
        <v>EL CORTE</v>
      </c>
      <c r="C2123" s="7">
        <v>46036</v>
      </c>
      <c r="D2123" s="7">
        <v>46041</v>
      </c>
      <c r="E2123" s="8">
        <v>2</v>
      </c>
      <c r="F2123" s="6" t="str">
        <f>"94822801_07026"</f>
        <v>94822801_07026</v>
      </c>
      <c r="G2123" s="6" t="str">
        <f t="shared" si="499"/>
        <v>F310631650000000</v>
      </c>
      <c r="H2123" s="6" t="str">
        <f t="shared" si="500"/>
        <v>PLAR 6316 FD - 500 g</v>
      </c>
      <c r="I2123" s="6" t="str">
        <f>"200510"</f>
        <v>200510</v>
      </c>
      <c r="J2123" s="6" t="str">
        <f>"VERDE 510"</f>
        <v>VERDE 510</v>
      </c>
      <c r="K2123" s="6" t="str">
        <f>"1024"</f>
        <v>1024</v>
      </c>
      <c r="L2123" s="6" t="str">
        <f>"Toalhas"</f>
        <v>Toalhas</v>
      </c>
      <c r="M2123" s="6" t="str">
        <f>"50x100"</f>
        <v>50x100</v>
      </c>
      <c r="N2123" s="6" t="str">
        <f>"5602972281149"</f>
        <v>5602972281149</v>
      </c>
      <c r="O2123" s="8">
        <v>6</v>
      </c>
      <c r="R2123" s="8">
        <v>0</v>
      </c>
      <c r="U2123" s="8">
        <v>0</v>
      </c>
      <c r="X2123" s="8">
        <v>0</v>
      </c>
      <c r="Z2123" s="8">
        <v>0</v>
      </c>
      <c r="AC2123" s="8">
        <v>0</v>
      </c>
      <c r="AF2123" s="8">
        <v>0</v>
      </c>
      <c r="AN2123" s="8">
        <v>6</v>
      </c>
      <c r="AO2123" s="8">
        <v>0</v>
      </c>
    </row>
    <row r="2124" spans="1:41" x14ac:dyDescent="0.25">
      <c r="A2124" s="6" t="str">
        <f>"522-2026000201"</f>
        <v>522-2026000201</v>
      </c>
      <c r="B2124" s="6" t="str">
        <f t="shared" si="498"/>
        <v>EL CORTE</v>
      </c>
      <c r="C2124" s="7">
        <v>46036</v>
      </c>
      <c r="D2124" s="7">
        <v>46041</v>
      </c>
      <c r="E2124" s="8">
        <v>3</v>
      </c>
      <c r="F2124" s="6" t="str">
        <f>"94822801_07026"</f>
        <v>94822801_07026</v>
      </c>
      <c r="G2124" s="6" t="str">
        <f t="shared" si="499"/>
        <v>F310631650000000</v>
      </c>
      <c r="H2124" s="6" t="str">
        <f t="shared" si="500"/>
        <v>PLAR 6316 FD - 500 g</v>
      </c>
      <c r="I2124" s="6" t="str">
        <f>"200510"</f>
        <v>200510</v>
      </c>
      <c r="J2124" s="6" t="str">
        <f>"VERDE 510"</f>
        <v>VERDE 510</v>
      </c>
      <c r="K2124" s="6" t="str">
        <f>"2020"</f>
        <v>2020</v>
      </c>
      <c r="L2124" s="6" t="str">
        <f>"Lençóis"</f>
        <v>Lençóis</v>
      </c>
      <c r="M2124" s="6" t="str">
        <f>"100x150"</f>
        <v>100x150</v>
      </c>
      <c r="N2124" s="6" t="str">
        <f>"5602972281156"</f>
        <v>5602972281156</v>
      </c>
      <c r="O2124" s="8">
        <v>3</v>
      </c>
      <c r="R2124" s="8">
        <v>0</v>
      </c>
      <c r="U2124" s="8">
        <v>0</v>
      </c>
      <c r="X2124" s="8">
        <v>0</v>
      </c>
      <c r="Z2124" s="8">
        <v>0</v>
      </c>
      <c r="AC2124" s="8">
        <v>0</v>
      </c>
      <c r="AF2124" s="8">
        <v>0</v>
      </c>
      <c r="AN2124" s="8">
        <v>0</v>
      </c>
      <c r="AO2124" s="8">
        <v>3</v>
      </c>
    </row>
    <row r="2125" spans="1:41" x14ac:dyDescent="0.25">
      <c r="A2125" s="6" t="str">
        <f>"522-2026000202"</f>
        <v>522-2026000202</v>
      </c>
      <c r="B2125" s="6" t="str">
        <f t="shared" si="498"/>
        <v>EL CORTE</v>
      </c>
      <c r="C2125" s="7">
        <v>46036</v>
      </c>
      <c r="D2125" s="7">
        <v>46041</v>
      </c>
      <c r="E2125" s="8">
        <v>1</v>
      </c>
      <c r="F2125" s="6" t="str">
        <f>"94822201_07026"</f>
        <v>94822201_07026</v>
      </c>
      <c r="G2125" s="6" t="str">
        <f t="shared" si="499"/>
        <v>F310631650000000</v>
      </c>
      <c r="H2125" s="6" t="str">
        <f t="shared" si="500"/>
        <v>PLAR 6316 FD - 500 g</v>
      </c>
      <c r="I2125" s="6" t="str">
        <f>"200901"</f>
        <v>200901</v>
      </c>
      <c r="J2125" s="6" t="str">
        <f>"ROSA 901"</f>
        <v>ROSA 901</v>
      </c>
      <c r="K2125" s="6" t="str">
        <f>"0520"</f>
        <v>0520</v>
      </c>
      <c r="L2125" s="6" t="str">
        <f>"Toalhetes"</f>
        <v>Toalhetes</v>
      </c>
      <c r="M2125" s="6" t="str">
        <f>"30x50"</f>
        <v>30x50</v>
      </c>
      <c r="N2125" s="6" t="str">
        <f>"5602972281101"</f>
        <v>5602972281101</v>
      </c>
      <c r="O2125" s="8">
        <v>6</v>
      </c>
      <c r="R2125" s="8">
        <v>0</v>
      </c>
      <c r="U2125" s="8">
        <v>0</v>
      </c>
      <c r="X2125" s="8">
        <v>0</v>
      </c>
      <c r="Z2125" s="8">
        <v>0</v>
      </c>
      <c r="AC2125" s="8">
        <v>0</v>
      </c>
      <c r="AF2125" s="8">
        <v>0</v>
      </c>
      <c r="AN2125" s="8">
        <v>6</v>
      </c>
      <c r="AO2125" s="8">
        <v>0</v>
      </c>
    </row>
    <row r="2126" spans="1:41" x14ac:dyDescent="0.25">
      <c r="A2126" s="6" t="str">
        <f>"522-2026000202"</f>
        <v>522-2026000202</v>
      </c>
      <c r="B2126" s="6" t="str">
        <f t="shared" si="498"/>
        <v>EL CORTE</v>
      </c>
      <c r="C2126" s="7">
        <v>46036</v>
      </c>
      <c r="D2126" s="7">
        <v>46041</v>
      </c>
      <c r="E2126" s="8">
        <v>2</v>
      </c>
      <c r="F2126" s="6" t="str">
        <f>"94822201_07026"</f>
        <v>94822201_07026</v>
      </c>
      <c r="G2126" s="6" t="str">
        <f t="shared" si="499"/>
        <v>F310631650000000</v>
      </c>
      <c r="H2126" s="6" t="str">
        <f t="shared" si="500"/>
        <v>PLAR 6316 FD - 500 g</v>
      </c>
      <c r="I2126" s="6" t="str">
        <f>"200901"</f>
        <v>200901</v>
      </c>
      <c r="J2126" s="6" t="str">
        <f>"ROSA 901"</f>
        <v>ROSA 901</v>
      </c>
      <c r="K2126" s="6" t="str">
        <f>"1024"</f>
        <v>1024</v>
      </c>
      <c r="L2126" s="6" t="str">
        <f>"Toalhas"</f>
        <v>Toalhas</v>
      </c>
      <c r="M2126" s="6" t="str">
        <f>"50x100"</f>
        <v>50x100</v>
      </c>
      <c r="N2126" s="6" t="str">
        <f>"5602972281118"</f>
        <v>5602972281118</v>
      </c>
      <c r="O2126" s="8">
        <v>6</v>
      </c>
      <c r="R2126" s="8">
        <v>0</v>
      </c>
      <c r="U2126" s="8">
        <v>0</v>
      </c>
      <c r="X2126" s="8">
        <v>0</v>
      </c>
      <c r="Z2126" s="8">
        <v>0</v>
      </c>
      <c r="AC2126" s="8">
        <v>0</v>
      </c>
      <c r="AF2126" s="8">
        <v>0</v>
      </c>
      <c r="AN2126" s="8">
        <v>6</v>
      </c>
      <c r="AO2126" s="8">
        <v>0</v>
      </c>
    </row>
    <row r="2127" spans="1:41" x14ac:dyDescent="0.25">
      <c r="A2127" s="6" t="str">
        <f>"522-2026000203"</f>
        <v>522-2026000203</v>
      </c>
      <c r="B2127" s="6" t="str">
        <f t="shared" si="498"/>
        <v>EL CORTE</v>
      </c>
      <c r="C2127" s="7">
        <v>46036</v>
      </c>
      <c r="D2127" s="7">
        <v>46041</v>
      </c>
      <c r="E2127" s="8">
        <v>1</v>
      </c>
      <c r="F2127" s="6" t="str">
        <f>"94822401_07026"</f>
        <v>94822401_07026</v>
      </c>
      <c r="G2127" s="6" t="str">
        <f t="shared" si="499"/>
        <v>F310631650000000</v>
      </c>
      <c r="H2127" s="6" t="str">
        <f t="shared" si="500"/>
        <v>PLAR 6316 FD - 500 g</v>
      </c>
      <c r="I2127" s="6" t="str">
        <f>"202575"</f>
        <v>202575</v>
      </c>
      <c r="J2127" s="6" t="str">
        <f>"BEGE 2575"</f>
        <v>BEGE 2575</v>
      </c>
      <c r="K2127" s="6" t="str">
        <f>"2020"</f>
        <v>2020</v>
      </c>
      <c r="L2127" s="6" t="str">
        <f>"Lençóis"</f>
        <v>Lençóis</v>
      </c>
      <c r="M2127" s="6" t="str">
        <f>"100x150"</f>
        <v>100x150</v>
      </c>
      <c r="N2127" s="6" t="str">
        <f>"5602972281095"</f>
        <v>5602972281095</v>
      </c>
      <c r="O2127" s="8">
        <v>3</v>
      </c>
      <c r="R2127" s="8">
        <v>0</v>
      </c>
      <c r="U2127" s="8">
        <v>0</v>
      </c>
      <c r="X2127" s="8">
        <v>0</v>
      </c>
      <c r="Z2127" s="8">
        <v>0</v>
      </c>
      <c r="AC2127" s="8">
        <v>0</v>
      </c>
      <c r="AF2127" s="8">
        <v>0</v>
      </c>
      <c r="AN2127" s="8">
        <v>0</v>
      </c>
      <c r="AO2127" s="8">
        <v>3</v>
      </c>
    </row>
    <row r="2128" spans="1:41" x14ac:dyDescent="0.25">
      <c r="A2128" s="6" t="str">
        <f>"522-2026000203"</f>
        <v>522-2026000203</v>
      </c>
      <c r="B2128" s="6" t="str">
        <f t="shared" si="498"/>
        <v>EL CORTE</v>
      </c>
      <c r="C2128" s="7">
        <v>46036</v>
      </c>
      <c r="D2128" s="7">
        <v>46041</v>
      </c>
      <c r="E2128" s="8">
        <v>2</v>
      </c>
      <c r="F2128" s="6" t="str">
        <f>"94822401_07026"</f>
        <v>94822401_07026</v>
      </c>
      <c r="G2128" s="6" t="str">
        <f t="shared" si="499"/>
        <v>F310631650000000</v>
      </c>
      <c r="H2128" s="6" t="str">
        <f t="shared" si="500"/>
        <v>PLAR 6316 FD - 500 g</v>
      </c>
      <c r="I2128" s="6" t="str">
        <f>"200510"</f>
        <v>200510</v>
      </c>
      <c r="J2128" s="6" t="str">
        <f>"VERDE 510"</f>
        <v>VERDE 510</v>
      </c>
      <c r="K2128" s="6" t="str">
        <f>"2020"</f>
        <v>2020</v>
      </c>
      <c r="L2128" s="6" t="str">
        <f>"Lençóis"</f>
        <v>Lençóis</v>
      </c>
      <c r="M2128" s="6" t="str">
        <f>"100x150"</f>
        <v>100x150</v>
      </c>
      <c r="N2128" s="6" t="str">
        <f>"5602972281156"</f>
        <v>5602972281156</v>
      </c>
      <c r="O2128" s="8">
        <v>3</v>
      </c>
      <c r="R2128" s="8">
        <v>0</v>
      </c>
      <c r="U2128" s="8">
        <v>0</v>
      </c>
      <c r="X2128" s="8">
        <v>0</v>
      </c>
      <c r="Z2128" s="8">
        <v>0</v>
      </c>
      <c r="AC2128" s="8">
        <v>0</v>
      </c>
      <c r="AF2128" s="8">
        <v>0</v>
      </c>
      <c r="AN2128" s="8">
        <v>0</v>
      </c>
      <c r="AO2128" s="8">
        <v>3</v>
      </c>
    </row>
    <row r="2129" spans="1:41" x14ac:dyDescent="0.25">
      <c r="A2129" s="6" t="str">
        <f>"522-2026000204"</f>
        <v>522-2026000204</v>
      </c>
      <c r="B2129" s="6" t="str">
        <f t="shared" si="498"/>
        <v>EL CORTE</v>
      </c>
      <c r="C2129" s="7">
        <v>46036</v>
      </c>
      <c r="D2129" s="7">
        <v>46041</v>
      </c>
      <c r="E2129" s="8">
        <v>1</v>
      </c>
      <c r="F2129" s="6" t="str">
        <f>"94823001_07026"</f>
        <v>94823001_07026</v>
      </c>
      <c r="G2129" s="6" t="str">
        <f t="shared" si="499"/>
        <v>F310631650000000</v>
      </c>
      <c r="H2129" s="6" t="str">
        <f t="shared" si="500"/>
        <v>PLAR 6316 FD - 500 g</v>
      </c>
      <c r="I2129" s="6" t="str">
        <f>"200901"</f>
        <v>200901</v>
      </c>
      <c r="J2129" s="6" t="str">
        <f>"ROSA 901"</f>
        <v>ROSA 901</v>
      </c>
      <c r="K2129" s="6" t="str">
        <f>"0520"</f>
        <v>0520</v>
      </c>
      <c r="L2129" s="6" t="str">
        <f>"Toalhetes"</f>
        <v>Toalhetes</v>
      </c>
      <c r="M2129" s="6" t="str">
        <f>"30x50"</f>
        <v>30x50</v>
      </c>
      <c r="N2129" s="6" t="str">
        <f>"5602972281101"</f>
        <v>5602972281101</v>
      </c>
      <c r="O2129" s="8">
        <v>6</v>
      </c>
      <c r="R2129" s="8">
        <v>0</v>
      </c>
      <c r="U2129" s="8">
        <v>0</v>
      </c>
      <c r="X2129" s="8">
        <v>0</v>
      </c>
      <c r="Z2129" s="8">
        <v>0</v>
      </c>
      <c r="AC2129" s="8">
        <v>0</v>
      </c>
      <c r="AF2129" s="8">
        <v>0</v>
      </c>
      <c r="AN2129" s="8">
        <v>6</v>
      </c>
      <c r="AO2129" s="8">
        <v>0</v>
      </c>
    </row>
    <row r="2130" spans="1:41" x14ac:dyDescent="0.25">
      <c r="A2130" s="6" t="str">
        <f>"522-2026000205"</f>
        <v>522-2026000205</v>
      </c>
      <c r="B2130" s="6" t="str">
        <f t="shared" si="498"/>
        <v>EL CORTE</v>
      </c>
      <c r="C2130" s="7">
        <v>46036</v>
      </c>
      <c r="D2130" s="7">
        <v>46041</v>
      </c>
      <c r="E2130" s="8">
        <v>1</v>
      </c>
      <c r="F2130" s="6" t="str">
        <f>"94822301_07026"</f>
        <v>94822301_07026</v>
      </c>
      <c r="G2130" s="6" t="str">
        <f t="shared" si="499"/>
        <v>F310631650000000</v>
      </c>
      <c r="H2130" s="6" t="str">
        <f t="shared" si="500"/>
        <v>PLAR 6316 FD - 500 g</v>
      </c>
      <c r="I2130" s="6" t="str">
        <f>"202575"</f>
        <v>202575</v>
      </c>
      <c r="J2130" s="6" t="str">
        <f>"BEGE 2575"</f>
        <v>BEGE 2575</v>
      </c>
      <c r="K2130" s="6" t="str">
        <f>"1024"</f>
        <v>1024</v>
      </c>
      <c r="L2130" s="6" t="str">
        <f>"Toalhas"</f>
        <v>Toalhas</v>
      </c>
      <c r="M2130" s="6" t="str">
        <f>"50x100"</f>
        <v>50x100</v>
      </c>
      <c r="N2130" s="6" t="str">
        <f>"5602972281088"</f>
        <v>5602972281088</v>
      </c>
      <c r="O2130" s="8">
        <v>6</v>
      </c>
      <c r="R2130" s="8">
        <v>0</v>
      </c>
      <c r="U2130" s="8">
        <v>0</v>
      </c>
      <c r="X2130" s="8">
        <v>0</v>
      </c>
      <c r="Z2130" s="8">
        <v>0</v>
      </c>
      <c r="AC2130" s="8">
        <v>0</v>
      </c>
      <c r="AF2130" s="8">
        <v>0</v>
      </c>
      <c r="AN2130" s="8">
        <v>6</v>
      </c>
      <c r="AO2130" s="8">
        <v>0</v>
      </c>
    </row>
    <row r="2131" spans="1:41" x14ac:dyDescent="0.25">
      <c r="A2131" s="6" t="str">
        <f>"522-2026000205"</f>
        <v>522-2026000205</v>
      </c>
      <c r="B2131" s="6" t="str">
        <f t="shared" si="498"/>
        <v>EL CORTE</v>
      </c>
      <c r="C2131" s="7">
        <v>46036</v>
      </c>
      <c r="D2131" s="7">
        <v>46041</v>
      </c>
      <c r="E2131" s="8">
        <v>2</v>
      </c>
      <c r="F2131" s="6" t="str">
        <f>"94822301_07026"</f>
        <v>94822301_07026</v>
      </c>
      <c r="G2131" s="6" t="str">
        <f t="shared" si="499"/>
        <v>F310631650000000</v>
      </c>
      <c r="H2131" s="6" t="str">
        <f t="shared" si="500"/>
        <v>PLAR 6316 FD - 500 g</v>
      </c>
      <c r="I2131" s="6" t="str">
        <f>"200901"</f>
        <v>200901</v>
      </c>
      <c r="J2131" s="6" t="str">
        <f>"ROSA 901"</f>
        <v>ROSA 901</v>
      </c>
      <c r="K2131" s="6" t="str">
        <f>"2020"</f>
        <v>2020</v>
      </c>
      <c r="L2131" s="6" t="str">
        <f>"Lençóis"</f>
        <v>Lençóis</v>
      </c>
      <c r="M2131" s="6" t="str">
        <f>"100x150"</f>
        <v>100x150</v>
      </c>
      <c r="N2131" s="6" t="str">
        <f>"5602972281125"</f>
        <v>5602972281125</v>
      </c>
      <c r="O2131" s="8">
        <v>3</v>
      </c>
      <c r="R2131" s="8">
        <v>0</v>
      </c>
      <c r="U2131" s="8">
        <v>0</v>
      </c>
      <c r="X2131" s="8">
        <v>0</v>
      </c>
      <c r="Z2131" s="8">
        <v>0</v>
      </c>
      <c r="AC2131" s="8">
        <v>0</v>
      </c>
      <c r="AF2131" s="8">
        <v>0</v>
      </c>
      <c r="AN2131" s="8">
        <v>0</v>
      </c>
      <c r="AO2131" s="8">
        <v>3</v>
      </c>
    </row>
    <row r="2132" spans="1:41" x14ac:dyDescent="0.25">
      <c r="A2132" s="6" t="str">
        <f>"522-2026000206"</f>
        <v>522-2026000206</v>
      </c>
      <c r="B2132" s="6" t="str">
        <f t="shared" si="498"/>
        <v>EL CORTE</v>
      </c>
      <c r="C2132" s="7">
        <v>46036</v>
      </c>
      <c r="D2132" s="7">
        <v>46041</v>
      </c>
      <c r="E2132" s="8">
        <v>1</v>
      </c>
      <c r="F2132" s="6" t="str">
        <f>"94822101_07026"</f>
        <v>94822101_07026</v>
      </c>
      <c r="G2132" s="6" t="str">
        <f t="shared" si="499"/>
        <v>F310631650000000</v>
      </c>
      <c r="H2132" s="6" t="str">
        <f t="shared" si="500"/>
        <v>PLAR 6316 FD - 500 g</v>
      </c>
      <c r="I2132" s="6" t="str">
        <f>"200901"</f>
        <v>200901</v>
      </c>
      <c r="J2132" s="6" t="str">
        <f>"ROSA 901"</f>
        <v>ROSA 901</v>
      </c>
      <c r="K2132" s="6" t="str">
        <f>"0520"</f>
        <v>0520</v>
      </c>
      <c r="L2132" s="6" t="str">
        <f>"Toalhetes"</f>
        <v>Toalhetes</v>
      </c>
      <c r="M2132" s="6" t="str">
        <f>"30x50"</f>
        <v>30x50</v>
      </c>
      <c r="N2132" s="6" t="str">
        <f>"5602972281101"</f>
        <v>5602972281101</v>
      </c>
      <c r="O2132" s="8">
        <v>6</v>
      </c>
      <c r="R2132" s="8">
        <v>0</v>
      </c>
      <c r="U2132" s="8">
        <v>0</v>
      </c>
      <c r="X2132" s="8">
        <v>0</v>
      </c>
      <c r="Z2132" s="8">
        <v>0</v>
      </c>
      <c r="AC2132" s="8">
        <v>0</v>
      </c>
      <c r="AF2132" s="8">
        <v>0</v>
      </c>
      <c r="AN2132" s="8">
        <v>6</v>
      </c>
      <c r="AO2132" s="8">
        <v>0</v>
      </c>
    </row>
    <row r="2133" spans="1:41" x14ac:dyDescent="0.25">
      <c r="A2133" s="6" t="str">
        <f>"522-2026000206"</f>
        <v>522-2026000206</v>
      </c>
      <c r="B2133" s="6" t="str">
        <f t="shared" si="498"/>
        <v>EL CORTE</v>
      </c>
      <c r="C2133" s="7">
        <v>46036</v>
      </c>
      <c r="D2133" s="7">
        <v>46041</v>
      </c>
      <c r="E2133" s="8">
        <v>2</v>
      </c>
      <c r="F2133" s="6" t="str">
        <f>"94822101_07026"</f>
        <v>94822101_07026</v>
      </c>
      <c r="G2133" s="6" t="str">
        <f t="shared" si="499"/>
        <v>F310631650000000</v>
      </c>
      <c r="H2133" s="6" t="str">
        <f t="shared" si="500"/>
        <v>PLAR 6316 FD - 500 g</v>
      </c>
      <c r="I2133" s="6" t="str">
        <f>"200510"</f>
        <v>200510</v>
      </c>
      <c r="J2133" s="6" t="str">
        <f>"VERDE 510"</f>
        <v>VERDE 510</v>
      </c>
      <c r="K2133" s="6" t="str">
        <f>"1024"</f>
        <v>1024</v>
      </c>
      <c r="L2133" s="6" t="str">
        <f>"Toalhas"</f>
        <v>Toalhas</v>
      </c>
      <c r="M2133" s="6" t="str">
        <f>"50x100"</f>
        <v>50x100</v>
      </c>
      <c r="N2133" s="6" t="str">
        <f>"5602972281149"</f>
        <v>5602972281149</v>
      </c>
      <c r="O2133" s="8">
        <v>6</v>
      </c>
      <c r="R2133" s="8">
        <v>0</v>
      </c>
      <c r="U2133" s="8">
        <v>0</v>
      </c>
      <c r="X2133" s="8">
        <v>0</v>
      </c>
      <c r="Z2133" s="8">
        <v>0</v>
      </c>
      <c r="AC2133" s="8">
        <v>0</v>
      </c>
      <c r="AF2133" s="8">
        <v>0</v>
      </c>
      <c r="AN2133" s="8">
        <v>6</v>
      </c>
      <c r="AO2133" s="8">
        <v>0</v>
      </c>
    </row>
    <row r="2134" spans="1:41" x14ac:dyDescent="0.25">
      <c r="A2134" s="6" t="str">
        <f>"522-2026000206"</f>
        <v>522-2026000206</v>
      </c>
      <c r="B2134" s="6" t="str">
        <f t="shared" si="498"/>
        <v>EL CORTE</v>
      </c>
      <c r="C2134" s="7">
        <v>46036</v>
      </c>
      <c r="D2134" s="7">
        <v>46041</v>
      </c>
      <c r="E2134" s="8">
        <v>3</v>
      </c>
      <c r="F2134" s="6" t="str">
        <f>"94822101_07026"</f>
        <v>94822101_07026</v>
      </c>
      <c r="G2134" s="6" t="str">
        <f t="shared" si="499"/>
        <v>F310631650000000</v>
      </c>
      <c r="H2134" s="6" t="str">
        <f t="shared" si="500"/>
        <v>PLAR 6316 FD - 500 g</v>
      </c>
      <c r="I2134" s="6" t="str">
        <f>"200510"</f>
        <v>200510</v>
      </c>
      <c r="J2134" s="6" t="str">
        <f>"VERDE 510"</f>
        <v>VERDE 510</v>
      </c>
      <c r="K2134" s="6" t="str">
        <f>"2020"</f>
        <v>2020</v>
      </c>
      <c r="L2134" s="6" t="str">
        <f>"Lençóis"</f>
        <v>Lençóis</v>
      </c>
      <c r="M2134" s="6" t="str">
        <f>"100x150"</f>
        <v>100x150</v>
      </c>
      <c r="N2134" s="6" t="str">
        <f>"5602972281156"</f>
        <v>5602972281156</v>
      </c>
      <c r="O2134" s="8">
        <v>3</v>
      </c>
      <c r="R2134" s="8">
        <v>0</v>
      </c>
      <c r="U2134" s="8">
        <v>0</v>
      </c>
      <c r="X2134" s="8">
        <v>0</v>
      </c>
      <c r="Z2134" s="8">
        <v>0</v>
      </c>
      <c r="AC2134" s="8">
        <v>0</v>
      </c>
      <c r="AF2134" s="8">
        <v>0</v>
      </c>
      <c r="AN2134" s="8">
        <v>0</v>
      </c>
      <c r="AO2134" s="8">
        <v>3</v>
      </c>
    </row>
    <row r="2135" spans="1:41" x14ac:dyDescent="0.25">
      <c r="A2135" s="6" t="str">
        <f>"522-2026000207"</f>
        <v>522-2026000207</v>
      </c>
      <c r="B2135" s="6" t="str">
        <f t="shared" si="498"/>
        <v>EL CORTE</v>
      </c>
      <c r="C2135" s="7">
        <v>46036</v>
      </c>
      <c r="D2135" s="7">
        <v>46041</v>
      </c>
      <c r="E2135" s="8">
        <v>1</v>
      </c>
      <c r="F2135" s="6" t="str">
        <f>"94821901_07026"</f>
        <v>94821901_07026</v>
      </c>
      <c r="G2135" s="6" t="str">
        <f t="shared" si="499"/>
        <v>F310631650000000</v>
      </c>
      <c r="H2135" s="6" t="str">
        <f t="shared" si="500"/>
        <v>PLAR 6316 FD - 500 g</v>
      </c>
      <c r="I2135" s="6" t="str">
        <f>"200510"</f>
        <v>200510</v>
      </c>
      <c r="J2135" s="6" t="str">
        <f>"VERDE 510"</f>
        <v>VERDE 510</v>
      </c>
      <c r="K2135" s="6" t="str">
        <f>"1024"</f>
        <v>1024</v>
      </c>
      <c r="L2135" s="6" t="str">
        <f>"Toalhas"</f>
        <v>Toalhas</v>
      </c>
      <c r="M2135" s="6" t="str">
        <f>"50x100"</f>
        <v>50x100</v>
      </c>
      <c r="N2135" s="6" t="str">
        <f>"5602972281149"</f>
        <v>5602972281149</v>
      </c>
      <c r="O2135" s="8">
        <v>6</v>
      </c>
      <c r="R2135" s="8">
        <v>0</v>
      </c>
      <c r="U2135" s="8">
        <v>0</v>
      </c>
      <c r="X2135" s="8">
        <v>0</v>
      </c>
      <c r="Z2135" s="8">
        <v>0</v>
      </c>
      <c r="AC2135" s="8">
        <v>0</v>
      </c>
      <c r="AF2135" s="8">
        <v>0</v>
      </c>
      <c r="AN2135" s="8">
        <v>6</v>
      </c>
      <c r="AO2135" s="8">
        <v>0</v>
      </c>
    </row>
    <row r="2136" spans="1:41" x14ac:dyDescent="0.25">
      <c r="A2136" s="6" t="str">
        <f>"522-2026000207"</f>
        <v>522-2026000207</v>
      </c>
      <c r="B2136" s="6" t="str">
        <f t="shared" si="498"/>
        <v>EL CORTE</v>
      </c>
      <c r="C2136" s="7">
        <v>46036</v>
      </c>
      <c r="D2136" s="7">
        <v>46041</v>
      </c>
      <c r="E2136" s="8">
        <v>2</v>
      </c>
      <c r="F2136" s="6" t="str">
        <f>"94821901_07026"</f>
        <v>94821901_07026</v>
      </c>
      <c r="G2136" s="6" t="str">
        <f t="shared" si="499"/>
        <v>F310631650000000</v>
      </c>
      <c r="H2136" s="6" t="str">
        <f t="shared" si="500"/>
        <v>PLAR 6316 FD - 500 g</v>
      </c>
      <c r="I2136" s="6" t="str">
        <f>"200510"</f>
        <v>200510</v>
      </c>
      <c r="J2136" s="6" t="str">
        <f>"VERDE 510"</f>
        <v>VERDE 510</v>
      </c>
      <c r="K2136" s="6" t="str">
        <f>"2020"</f>
        <v>2020</v>
      </c>
      <c r="L2136" s="6" t="str">
        <f>"Lençóis"</f>
        <v>Lençóis</v>
      </c>
      <c r="M2136" s="6" t="str">
        <f>"100x150"</f>
        <v>100x150</v>
      </c>
      <c r="N2136" s="6" t="str">
        <f>"5602972281156"</f>
        <v>5602972281156</v>
      </c>
      <c r="O2136" s="8">
        <v>3</v>
      </c>
      <c r="R2136" s="8">
        <v>0</v>
      </c>
      <c r="U2136" s="8">
        <v>0</v>
      </c>
      <c r="X2136" s="8">
        <v>0</v>
      </c>
      <c r="Z2136" s="8">
        <v>0</v>
      </c>
      <c r="AC2136" s="8">
        <v>0</v>
      </c>
      <c r="AF2136" s="8">
        <v>0</v>
      </c>
      <c r="AN2136" s="8">
        <v>0</v>
      </c>
      <c r="AO2136" s="8">
        <v>3</v>
      </c>
    </row>
    <row r="2137" spans="1:41" x14ac:dyDescent="0.25">
      <c r="A2137" s="6" t="str">
        <f>"522-2026000208"</f>
        <v>522-2026000208</v>
      </c>
      <c r="B2137" s="6" t="str">
        <f t="shared" si="498"/>
        <v>EL CORTE</v>
      </c>
      <c r="C2137" s="7">
        <v>46036</v>
      </c>
      <c r="D2137" s="7">
        <v>46041</v>
      </c>
      <c r="E2137" s="8">
        <v>1</v>
      </c>
      <c r="F2137" s="6" t="str">
        <f>"94823701_07026"</f>
        <v>94823701_07026</v>
      </c>
      <c r="G2137" s="6" t="str">
        <f t="shared" si="499"/>
        <v>F310631650000000</v>
      </c>
      <c r="H2137" s="6" t="str">
        <f t="shared" si="500"/>
        <v>PLAR 6316 FD - 500 g</v>
      </c>
      <c r="I2137" s="6" t="str">
        <f>"201855"</f>
        <v>201855</v>
      </c>
      <c r="J2137" s="6" t="str">
        <f>"AZUL 1855"</f>
        <v>AZUL 1855</v>
      </c>
      <c r="K2137" s="6" t="str">
        <f>"0520"</f>
        <v>0520</v>
      </c>
      <c r="L2137" s="6" t="str">
        <f>"Toalhetes"</f>
        <v>Toalhetes</v>
      </c>
      <c r="M2137" s="6" t="str">
        <f>"30x50"</f>
        <v>30x50</v>
      </c>
      <c r="N2137" s="6" t="str">
        <f>"5602972281040"</f>
        <v>5602972281040</v>
      </c>
      <c r="O2137" s="8">
        <v>6</v>
      </c>
      <c r="R2137" s="8">
        <v>0</v>
      </c>
      <c r="U2137" s="8">
        <v>0</v>
      </c>
      <c r="X2137" s="8">
        <v>0</v>
      </c>
      <c r="Z2137" s="8">
        <v>0</v>
      </c>
      <c r="AC2137" s="8">
        <v>0</v>
      </c>
      <c r="AF2137" s="8">
        <v>0</v>
      </c>
      <c r="AN2137" s="8">
        <v>6</v>
      </c>
      <c r="AO2137" s="8">
        <v>0</v>
      </c>
    </row>
    <row r="2138" spans="1:41" x14ac:dyDescent="0.25">
      <c r="A2138" s="6" t="str">
        <f>"522-2026000208"</f>
        <v>522-2026000208</v>
      </c>
      <c r="B2138" s="6" t="str">
        <f t="shared" si="498"/>
        <v>EL CORTE</v>
      </c>
      <c r="C2138" s="7">
        <v>46036</v>
      </c>
      <c r="D2138" s="7">
        <v>46041</v>
      </c>
      <c r="E2138" s="8">
        <v>2</v>
      </c>
      <c r="F2138" s="6" t="str">
        <f>"94823701_07026"</f>
        <v>94823701_07026</v>
      </c>
      <c r="G2138" s="6" t="str">
        <f t="shared" si="499"/>
        <v>F310631650000000</v>
      </c>
      <c r="H2138" s="6" t="str">
        <f t="shared" si="500"/>
        <v>PLAR 6316 FD - 500 g</v>
      </c>
      <c r="I2138" s="6" t="str">
        <f>"201855"</f>
        <v>201855</v>
      </c>
      <c r="J2138" s="6" t="str">
        <f>"AZUL 1855"</f>
        <v>AZUL 1855</v>
      </c>
      <c r="K2138" s="6" t="str">
        <f>"2020"</f>
        <v>2020</v>
      </c>
      <c r="L2138" s="6" t="str">
        <f>"Lençóis"</f>
        <v>Lençóis</v>
      </c>
      <c r="M2138" s="6" t="str">
        <f>"100x150"</f>
        <v>100x150</v>
      </c>
      <c r="N2138" s="6" t="str">
        <f>"5602972281064"</f>
        <v>5602972281064</v>
      </c>
      <c r="O2138" s="8">
        <v>3</v>
      </c>
      <c r="R2138" s="8">
        <v>0</v>
      </c>
      <c r="U2138" s="8">
        <v>0</v>
      </c>
      <c r="X2138" s="8">
        <v>0</v>
      </c>
      <c r="Z2138" s="8">
        <v>0</v>
      </c>
      <c r="AC2138" s="8">
        <v>0</v>
      </c>
      <c r="AF2138" s="8">
        <v>0</v>
      </c>
      <c r="AN2138" s="8">
        <v>0</v>
      </c>
      <c r="AO2138" s="8">
        <v>3</v>
      </c>
    </row>
    <row r="2139" spans="1:41" x14ac:dyDescent="0.25">
      <c r="A2139" s="6" t="str">
        <f>"522-2026000208"</f>
        <v>522-2026000208</v>
      </c>
      <c r="B2139" s="6" t="str">
        <f t="shared" si="498"/>
        <v>EL CORTE</v>
      </c>
      <c r="C2139" s="7">
        <v>46036</v>
      </c>
      <c r="D2139" s="7">
        <v>46041</v>
      </c>
      <c r="E2139" s="8">
        <v>3</v>
      </c>
      <c r="F2139" s="6" t="str">
        <f>"94823701_07026"</f>
        <v>94823701_07026</v>
      </c>
      <c r="G2139" s="6" t="str">
        <f t="shared" si="499"/>
        <v>F310631650000000</v>
      </c>
      <c r="H2139" s="6" t="str">
        <f t="shared" si="500"/>
        <v>PLAR 6316 FD - 500 g</v>
      </c>
      <c r="I2139" s="6" t="str">
        <f>"200510"</f>
        <v>200510</v>
      </c>
      <c r="J2139" s="6" t="str">
        <f>"VERDE 510"</f>
        <v>VERDE 510</v>
      </c>
      <c r="K2139" s="6" t="str">
        <f>"0520"</f>
        <v>0520</v>
      </c>
      <c r="L2139" s="6" t="str">
        <f>"Toalhetes"</f>
        <v>Toalhetes</v>
      </c>
      <c r="M2139" s="6" t="str">
        <f>"30x50"</f>
        <v>30x50</v>
      </c>
      <c r="N2139" s="6" t="str">
        <f>"5602972281132"</f>
        <v>5602972281132</v>
      </c>
      <c r="O2139" s="8">
        <v>6</v>
      </c>
      <c r="R2139" s="8">
        <v>0</v>
      </c>
      <c r="U2139" s="8">
        <v>0</v>
      </c>
      <c r="X2139" s="8">
        <v>0</v>
      </c>
      <c r="Z2139" s="8">
        <v>0</v>
      </c>
      <c r="AC2139" s="8">
        <v>0</v>
      </c>
      <c r="AF2139" s="8">
        <v>0</v>
      </c>
      <c r="AN2139" s="8">
        <v>6</v>
      </c>
      <c r="AO2139" s="8">
        <v>0</v>
      </c>
    </row>
    <row r="2140" spans="1:41" x14ac:dyDescent="0.25">
      <c r="A2140" s="6" t="str">
        <f>"522-2026000209"</f>
        <v>522-2026000209</v>
      </c>
      <c r="B2140" s="6" t="str">
        <f t="shared" si="498"/>
        <v>EL CORTE</v>
      </c>
      <c r="C2140" s="7">
        <v>46036</v>
      </c>
      <c r="D2140" s="7">
        <v>46041</v>
      </c>
      <c r="E2140" s="8">
        <v>1</v>
      </c>
      <c r="F2140" s="6" t="str">
        <f>"94822001_07026"</f>
        <v>94822001_07026</v>
      </c>
      <c r="G2140" s="6" t="str">
        <f t="shared" si="499"/>
        <v>F310631650000000</v>
      </c>
      <c r="H2140" s="6" t="str">
        <f t="shared" si="500"/>
        <v>PLAR 6316 FD - 500 g</v>
      </c>
      <c r="I2140" s="6" t="str">
        <f>"201855"</f>
        <v>201855</v>
      </c>
      <c r="J2140" s="6" t="str">
        <f>"AZUL 1855"</f>
        <v>AZUL 1855</v>
      </c>
      <c r="K2140" s="6" t="str">
        <f>"1024"</f>
        <v>1024</v>
      </c>
      <c r="L2140" s="6" t="str">
        <f>"Toalhas"</f>
        <v>Toalhas</v>
      </c>
      <c r="M2140" s="6" t="str">
        <f>"50x100"</f>
        <v>50x100</v>
      </c>
      <c r="N2140" s="6" t="str">
        <f>"5602972281057"</f>
        <v>5602972281057</v>
      </c>
      <c r="O2140" s="8">
        <v>6</v>
      </c>
      <c r="R2140" s="8">
        <v>0</v>
      </c>
      <c r="U2140" s="8">
        <v>0</v>
      </c>
      <c r="X2140" s="8">
        <v>0</v>
      </c>
      <c r="Z2140" s="8">
        <v>0</v>
      </c>
      <c r="AC2140" s="8">
        <v>0</v>
      </c>
      <c r="AF2140" s="8">
        <v>0</v>
      </c>
      <c r="AN2140" s="8">
        <v>6</v>
      </c>
      <c r="AO2140" s="8">
        <v>0</v>
      </c>
    </row>
    <row r="2141" spans="1:41" x14ac:dyDescent="0.25">
      <c r="A2141" s="6" t="str">
        <f>"522-2026000210"</f>
        <v>522-2026000210</v>
      </c>
      <c r="B2141" s="6" t="str">
        <f t="shared" si="498"/>
        <v>EL CORTE</v>
      </c>
      <c r="C2141" s="7">
        <v>46036</v>
      </c>
      <c r="D2141" s="7">
        <v>46041</v>
      </c>
      <c r="E2141" s="8">
        <v>1</v>
      </c>
      <c r="F2141" s="6" t="str">
        <f>"94823201_07026"</f>
        <v>94823201_07026</v>
      </c>
      <c r="G2141" s="6" t="str">
        <f t="shared" si="499"/>
        <v>F310631650000000</v>
      </c>
      <c r="H2141" s="6" t="str">
        <f t="shared" si="500"/>
        <v>PLAR 6316 FD - 500 g</v>
      </c>
      <c r="I2141" s="6" t="str">
        <f>"200901"</f>
        <v>200901</v>
      </c>
      <c r="J2141" s="6" t="str">
        <f>"ROSA 901"</f>
        <v>ROSA 901</v>
      </c>
      <c r="K2141" s="6" t="str">
        <f>"1024"</f>
        <v>1024</v>
      </c>
      <c r="L2141" s="6" t="str">
        <f>"Toalhas"</f>
        <v>Toalhas</v>
      </c>
      <c r="M2141" s="6" t="str">
        <f>"50x100"</f>
        <v>50x100</v>
      </c>
      <c r="N2141" s="6" t="str">
        <f>"5602972281118"</f>
        <v>5602972281118</v>
      </c>
      <c r="O2141" s="8">
        <v>6</v>
      </c>
      <c r="R2141" s="8">
        <v>0</v>
      </c>
      <c r="U2141" s="8">
        <v>0</v>
      </c>
      <c r="X2141" s="8">
        <v>0</v>
      </c>
      <c r="Z2141" s="8">
        <v>0</v>
      </c>
      <c r="AC2141" s="8">
        <v>0</v>
      </c>
      <c r="AF2141" s="8">
        <v>0</v>
      </c>
      <c r="AN2141" s="8">
        <v>6</v>
      </c>
      <c r="AO2141" s="8">
        <v>0</v>
      </c>
    </row>
    <row r="2142" spans="1:41" x14ac:dyDescent="0.25">
      <c r="A2142" s="6" t="str">
        <f>"522-2026000211"</f>
        <v>522-2026000211</v>
      </c>
      <c r="B2142" s="6" t="str">
        <f t="shared" si="498"/>
        <v>EL CORTE</v>
      </c>
      <c r="C2142" s="7">
        <v>46036</v>
      </c>
      <c r="D2142" s="7">
        <v>46041</v>
      </c>
      <c r="E2142" s="8">
        <v>1</v>
      </c>
      <c r="F2142" s="6" t="str">
        <f>"94823101_07026"</f>
        <v>94823101_07026</v>
      </c>
      <c r="G2142" s="6" t="str">
        <f t="shared" si="499"/>
        <v>F310631650000000</v>
      </c>
      <c r="H2142" s="6" t="str">
        <f t="shared" si="500"/>
        <v>PLAR 6316 FD - 500 g</v>
      </c>
      <c r="I2142" s="6" t="str">
        <f>"202575"</f>
        <v>202575</v>
      </c>
      <c r="J2142" s="6" t="str">
        <f>"BEGE 2575"</f>
        <v>BEGE 2575</v>
      </c>
      <c r="K2142" s="6" t="str">
        <f>"2020"</f>
        <v>2020</v>
      </c>
      <c r="L2142" s="6" t="str">
        <f>"Lençóis"</f>
        <v>Lençóis</v>
      </c>
      <c r="M2142" s="6" t="str">
        <f>"100x150"</f>
        <v>100x150</v>
      </c>
      <c r="N2142" s="6" t="str">
        <f>"5602972281095"</f>
        <v>5602972281095</v>
      </c>
      <c r="O2142" s="8">
        <v>3</v>
      </c>
      <c r="R2142" s="8">
        <v>0</v>
      </c>
      <c r="U2142" s="8">
        <v>0</v>
      </c>
      <c r="X2142" s="8">
        <v>0</v>
      </c>
      <c r="Z2142" s="8">
        <v>0</v>
      </c>
      <c r="AC2142" s="8">
        <v>0</v>
      </c>
      <c r="AF2142" s="8">
        <v>0</v>
      </c>
      <c r="AN2142" s="8">
        <v>0</v>
      </c>
      <c r="AO2142" s="8">
        <v>3</v>
      </c>
    </row>
    <row r="2143" spans="1:41" x14ac:dyDescent="0.25">
      <c r="A2143" s="6" t="str">
        <f>"522-2026000212"</f>
        <v>522-2026000212</v>
      </c>
      <c r="B2143" s="6" t="str">
        <f t="shared" si="498"/>
        <v>EL CORTE</v>
      </c>
      <c r="C2143" s="7">
        <v>46036</v>
      </c>
      <c r="D2143" s="7">
        <v>46041</v>
      </c>
      <c r="E2143" s="8">
        <v>1</v>
      </c>
      <c r="F2143" s="6" t="str">
        <f>"94823801_07026"</f>
        <v>94823801_07026</v>
      </c>
      <c r="G2143" s="6" t="str">
        <f t="shared" si="499"/>
        <v>F310631650000000</v>
      </c>
      <c r="H2143" s="6" t="str">
        <f t="shared" si="500"/>
        <v>PLAR 6316 FD - 500 g</v>
      </c>
      <c r="I2143" s="6" t="str">
        <f>"200510"</f>
        <v>200510</v>
      </c>
      <c r="J2143" s="6" t="str">
        <f>"VERDE 510"</f>
        <v>VERDE 510</v>
      </c>
      <c r="K2143" s="6" t="str">
        <f>"1024"</f>
        <v>1024</v>
      </c>
      <c r="L2143" s="6" t="str">
        <f>"Toalhas"</f>
        <v>Toalhas</v>
      </c>
      <c r="M2143" s="6" t="str">
        <f>"50x100"</f>
        <v>50x100</v>
      </c>
      <c r="N2143" s="6" t="str">
        <f>"5602972281149"</f>
        <v>5602972281149</v>
      </c>
      <c r="O2143" s="8">
        <v>6</v>
      </c>
      <c r="R2143" s="8">
        <v>0</v>
      </c>
      <c r="U2143" s="8">
        <v>0</v>
      </c>
      <c r="X2143" s="8">
        <v>0</v>
      </c>
      <c r="Z2143" s="8">
        <v>0</v>
      </c>
      <c r="AC2143" s="8">
        <v>0</v>
      </c>
      <c r="AF2143" s="8">
        <v>0</v>
      </c>
      <c r="AN2143" s="8">
        <v>6</v>
      </c>
      <c r="AO2143" s="8">
        <v>0</v>
      </c>
    </row>
    <row r="2144" spans="1:41" x14ac:dyDescent="0.25">
      <c r="A2144" s="6" t="str">
        <f>"522-2026000212"</f>
        <v>522-2026000212</v>
      </c>
      <c r="B2144" s="6" t="str">
        <f t="shared" si="498"/>
        <v>EL CORTE</v>
      </c>
      <c r="C2144" s="7">
        <v>46036</v>
      </c>
      <c r="D2144" s="7">
        <v>46041</v>
      </c>
      <c r="E2144" s="8">
        <v>2</v>
      </c>
      <c r="F2144" s="6" t="str">
        <f>"94823801_07026"</f>
        <v>94823801_07026</v>
      </c>
      <c r="G2144" s="6" t="str">
        <f t="shared" si="499"/>
        <v>F310631650000000</v>
      </c>
      <c r="H2144" s="6" t="str">
        <f t="shared" si="500"/>
        <v>PLAR 6316 FD - 500 g</v>
      </c>
      <c r="I2144" s="6" t="str">
        <f>"200510"</f>
        <v>200510</v>
      </c>
      <c r="J2144" s="6" t="str">
        <f>"VERDE 510"</f>
        <v>VERDE 510</v>
      </c>
      <c r="K2144" s="6" t="str">
        <f>"2020"</f>
        <v>2020</v>
      </c>
      <c r="L2144" s="6" t="str">
        <f>"Lençóis"</f>
        <v>Lençóis</v>
      </c>
      <c r="M2144" s="6" t="str">
        <f>"100x150"</f>
        <v>100x150</v>
      </c>
      <c r="N2144" s="6" t="str">
        <f>"5602972281156"</f>
        <v>5602972281156</v>
      </c>
      <c r="O2144" s="8">
        <v>3</v>
      </c>
      <c r="R2144" s="8">
        <v>0</v>
      </c>
      <c r="U2144" s="8">
        <v>0</v>
      </c>
      <c r="X2144" s="8">
        <v>0</v>
      </c>
      <c r="Z2144" s="8">
        <v>0</v>
      </c>
      <c r="AC2144" s="8">
        <v>0</v>
      </c>
      <c r="AF2144" s="8">
        <v>0</v>
      </c>
      <c r="AN2144" s="8">
        <v>0</v>
      </c>
      <c r="AO2144" s="8">
        <v>3</v>
      </c>
    </row>
    <row r="2145" spans="1:41" x14ac:dyDescent="0.25">
      <c r="A2145" s="6" t="str">
        <f>"522-2026000213"</f>
        <v>522-2026000213</v>
      </c>
      <c r="B2145" s="6" t="str">
        <f t="shared" si="498"/>
        <v>EL CORTE</v>
      </c>
      <c r="C2145" s="7">
        <v>46036</v>
      </c>
      <c r="D2145" s="7">
        <v>46041</v>
      </c>
      <c r="E2145" s="8">
        <v>1</v>
      </c>
      <c r="F2145" s="6" t="str">
        <f>"94822501_07026"</f>
        <v>94822501_07026</v>
      </c>
      <c r="G2145" s="6" t="str">
        <f t="shared" si="499"/>
        <v>F310631650000000</v>
      </c>
      <c r="H2145" s="6" t="str">
        <f t="shared" si="500"/>
        <v>PLAR 6316 FD - 500 g</v>
      </c>
      <c r="I2145" s="6" t="str">
        <f>"200901"</f>
        <v>200901</v>
      </c>
      <c r="J2145" s="6" t="str">
        <f>"ROSA 901"</f>
        <v>ROSA 901</v>
      </c>
      <c r="K2145" s="6" t="str">
        <f>"1024"</f>
        <v>1024</v>
      </c>
      <c r="L2145" s="6" t="str">
        <f>"Toalhas"</f>
        <v>Toalhas</v>
      </c>
      <c r="M2145" s="6" t="str">
        <f>"50x100"</f>
        <v>50x100</v>
      </c>
      <c r="N2145" s="6" t="str">
        <f>"5602972281118"</f>
        <v>5602972281118</v>
      </c>
      <c r="O2145" s="8">
        <v>6</v>
      </c>
      <c r="R2145" s="8">
        <v>0</v>
      </c>
      <c r="U2145" s="8">
        <v>0</v>
      </c>
      <c r="X2145" s="8">
        <v>0</v>
      </c>
      <c r="Z2145" s="8">
        <v>0</v>
      </c>
      <c r="AC2145" s="8">
        <v>0</v>
      </c>
      <c r="AF2145" s="8">
        <v>0</v>
      </c>
      <c r="AN2145" s="8">
        <v>6</v>
      </c>
      <c r="AO2145" s="8">
        <v>0</v>
      </c>
    </row>
    <row r="2146" spans="1:41" x14ac:dyDescent="0.25">
      <c r="A2146" s="6" t="str">
        <f>"522-2026000214"</f>
        <v>522-2026000214</v>
      </c>
      <c r="B2146" s="6" t="str">
        <f t="shared" si="498"/>
        <v>EL CORTE</v>
      </c>
      <c r="C2146" s="7">
        <v>46036</v>
      </c>
      <c r="D2146" s="7">
        <v>46041</v>
      </c>
      <c r="E2146" s="8">
        <v>1</v>
      </c>
      <c r="F2146" s="6" t="str">
        <f>"94823301_07026"</f>
        <v>94823301_07026</v>
      </c>
      <c r="G2146" s="6" t="str">
        <f t="shared" si="499"/>
        <v>F310631650000000</v>
      </c>
      <c r="H2146" s="6" t="str">
        <f t="shared" si="500"/>
        <v>PLAR 6316 FD - 500 g</v>
      </c>
      <c r="I2146" s="6" t="str">
        <f>"200510"</f>
        <v>200510</v>
      </c>
      <c r="J2146" s="6" t="str">
        <f>"VERDE 510"</f>
        <v>VERDE 510</v>
      </c>
      <c r="K2146" s="6" t="str">
        <f>"2020"</f>
        <v>2020</v>
      </c>
      <c r="L2146" s="6" t="str">
        <f>"Lençóis"</f>
        <v>Lençóis</v>
      </c>
      <c r="M2146" s="6" t="str">
        <f>"100x150"</f>
        <v>100x150</v>
      </c>
      <c r="N2146" s="6" t="str">
        <f>"5602972281156"</f>
        <v>5602972281156</v>
      </c>
      <c r="O2146" s="8">
        <v>3</v>
      </c>
      <c r="R2146" s="8">
        <v>0</v>
      </c>
      <c r="U2146" s="8">
        <v>0</v>
      </c>
      <c r="X2146" s="8">
        <v>0</v>
      </c>
      <c r="Z2146" s="8">
        <v>0</v>
      </c>
      <c r="AC2146" s="8">
        <v>0</v>
      </c>
      <c r="AF2146" s="8">
        <v>0</v>
      </c>
      <c r="AN2146" s="8">
        <v>0</v>
      </c>
      <c r="AO2146" s="8">
        <v>3</v>
      </c>
    </row>
    <row r="2147" spans="1:41" x14ac:dyDescent="0.25">
      <c r="A2147" s="6" t="str">
        <f>"522-2026000215"</f>
        <v>522-2026000215</v>
      </c>
      <c r="B2147" s="6" t="str">
        <f t="shared" si="498"/>
        <v>EL CORTE</v>
      </c>
      <c r="C2147" s="7">
        <v>46036</v>
      </c>
      <c r="D2147" s="7">
        <v>46041</v>
      </c>
      <c r="E2147" s="8">
        <v>1</v>
      </c>
      <c r="F2147" s="6" t="str">
        <f>"94822601_07026"</f>
        <v>94822601_07026</v>
      </c>
      <c r="G2147" s="6" t="str">
        <f t="shared" si="499"/>
        <v>F310631650000000</v>
      </c>
      <c r="H2147" s="6" t="str">
        <f t="shared" si="500"/>
        <v>PLAR 6316 FD - 500 g</v>
      </c>
      <c r="I2147" s="6" t="str">
        <f>"200510"</f>
        <v>200510</v>
      </c>
      <c r="J2147" s="6" t="str">
        <f>"VERDE 510"</f>
        <v>VERDE 510</v>
      </c>
      <c r="K2147" s="6" t="str">
        <f>"2020"</f>
        <v>2020</v>
      </c>
      <c r="L2147" s="6" t="str">
        <f>"Lençóis"</f>
        <v>Lençóis</v>
      </c>
      <c r="M2147" s="6" t="str">
        <f>"100x150"</f>
        <v>100x150</v>
      </c>
      <c r="N2147" s="6" t="str">
        <f>"5602972281156"</f>
        <v>5602972281156</v>
      </c>
      <c r="O2147" s="8">
        <v>3</v>
      </c>
      <c r="R2147" s="8">
        <v>0</v>
      </c>
      <c r="U2147" s="8">
        <v>0</v>
      </c>
      <c r="X2147" s="8">
        <v>0</v>
      </c>
      <c r="Z2147" s="8">
        <v>0</v>
      </c>
      <c r="AC2147" s="8">
        <v>0</v>
      </c>
      <c r="AF2147" s="8">
        <v>0</v>
      </c>
      <c r="AN2147" s="8">
        <v>0</v>
      </c>
      <c r="AO2147" s="8">
        <v>3</v>
      </c>
    </row>
    <row r="2148" spans="1:41" x14ac:dyDescent="0.25">
      <c r="A2148" s="6" t="str">
        <f>"522-2026000216"</f>
        <v>522-2026000216</v>
      </c>
      <c r="B2148" s="6" t="str">
        <f t="shared" si="498"/>
        <v>EL CORTE</v>
      </c>
      <c r="C2148" s="7">
        <v>46036</v>
      </c>
      <c r="D2148" s="7">
        <v>46041</v>
      </c>
      <c r="E2148" s="8">
        <v>1</v>
      </c>
      <c r="F2148" s="6" t="str">
        <f>"94822701_07026"</f>
        <v>94822701_07026</v>
      </c>
      <c r="G2148" s="6" t="str">
        <f t="shared" si="499"/>
        <v>F310631650000000</v>
      </c>
      <c r="H2148" s="6" t="str">
        <f t="shared" si="500"/>
        <v>PLAR 6316 FD - 500 g</v>
      </c>
      <c r="I2148" s="6" t="str">
        <f>"200510"</f>
        <v>200510</v>
      </c>
      <c r="J2148" s="6" t="str">
        <f>"VERDE 510"</f>
        <v>VERDE 510</v>
      </c>
      <c r="K2148" s="6" t="str">
        <f>"1024"</f>
        <v>1024</v>
      </c>
      <c r="L2148" s="6" t="str">
        <f>"Toalhas"</f>
        <v>Toalhas</v>
      </c>
      <c r="M2148" s="6" t="str">
        <f>"50x100"</f>
        <v>50x100</v>
      </c>
      <c r="N2148" s="6" t="str">
        <f>"5602972281149"</f>
        <v>5602972281149</v>
      </c>
      <c r="O2148" s="8">
        <v>6</v>
      </c>
      <c r="R2148" s="8">
        <v>0</v>
      </c>
      <c r="U2148" s="8">
        <v>0</v>
      </c>
      <c r="X2148" s="8">
        <v>0</v>
      </c>
      <c r="Z2148" s="8">
        <v>0</v>
      </c>
      <c r="AC2148" s="8">
        <v>0</v>
      </c>
      <c r="AF2148" s="8">
        <v>0</v>
      </c>
      <c r="AN2148" s="8">
        <v>6</v>
      </c>
      <c r="AO2148" s="8">
        <v>0</v>
      </c>
    </row>
    <row r="2149" spans="1:41" x14ac:dyDescent="0.25">
      <c r="A2149" s="6" t="str">
        <f>"522-2026000217"</f>
        <v>522-2026000217</v>
      </c>
      <c r="B2149" s="6" t="str">
        <f t="shared" si="498"/>
        <v>EL CORTE</v>
      </c>
      <c r="C2149" s="7">
        <v>46036</v>
      </c>
      <c r="D2149" s="7">
        <v>46041</v>
      </c>
      <c r="E2149" s="8">
        <v>1</v>
      </c>
      <c r="F2149" s="6" t="str">
        <f>"94822901_07026"</f>
        <v>94822901_07026</v>
      </c>
      <c r="G2149" s="6" t="str">
        <f t="shared" si="499"/>
        <v>F310631650000000</v>
      </c>
      <c r="H2149" s="6" t="str">
        <f t="shared" si="500"/>
        <v>PLAR 6316 FD - 500 g</v>
      </c>
      <c r="I2149" s="6" t="str">
        <f>"202575"</f>
        <v>202575</v>
      </c>
      <c r="J2149" s="6" t="str">
        <f>"BEGE 2575"</f>
        <v>BEGE 2575</v>
      </c>
      <c r="K2149" s="6" t="str">
        <f>"1024"</f>
        <v>1024</v>
      </c>
      <c r="L2149" s="6" t="str">
        <f>"Toalhas"</f>
        <v>Toalhas</v>
      </c>
      <c r="M2149" s="6" t="str">
        <f>"50x100"</f>
        <v>50x100</v>
      </c>
      <c r="N2149" s="6" t="str">
        <f>"5602972281088"</f>
        <v>5602972281088</v>
      </c>
      <c r="O2149" s="8">
        <v>6</v>
      </c>
      <c r="R2149" s="8">
        <v>0</v>
      </c>
      <c r="U2149" s="8">
        <v>0</v>
      </c>
      <c r="X2149" s="8">
        <v>0</v>
      </c>
      <c r="Z2149" s="8">
        <v>0</v>
      </c>
      <c r="AC2149" s="8">
        <v>0</v>
      </c>
      <c r="AF2149" s="8">
        <v>0</v>
      </c>
      <c r="AN2149" s="8">
        <v>6</v>
      </c>
      <c r="AO2149" s="8">
        <v>0</v>
      </c>
    </row>
    <row r="2150" spans="1:41" x14ac:dyDescent="0.25">
      <c r="A2150" s="6" t="str">
        <f>"522-2026000218"</f>
        <v>522-2026000218</v>
      </c>
      <c r="B2150" s="6" t="str">
        <f t="shared" si="498"/>
        <v>EL CORTE</v>
      </c>
      <c r="C2150" s="7">
        <v>46037</v>
      </c>
      <c r="D2150" s="7">
        <v>46042</v>
      </c>
      <c r="E2150" s="8">
        <v>1</v>
      </c>
      <c r="F2150" s="6" t="str">
        <f>"33329901_07026"</f>
        <v>33329901_07026</v>
      </c>
      <c r="G2150" s="6" t="str">
        <f t="shared" si="499"/>
        <v>F310631650000000</v>
      </c>
      <c r="H2150" s="6" t="str">
        <f t="shared" si="500"/>
        <v>PLAR 6316 FD - 500 g</v>
      </c>
      <c r="I2150" s="6" t="str">
        <f>"201855"</f>
        <v>201855</v>
      </c>
      <c r="J2150" s="6" t="str">
        <f>"AZUL 1855"</f>
        <v>AZUL 1855</v>
      </c>
      <c r="K2150" s="6" t="str">
        <f>"0520"</f>
        <v>0520</v>
      </c>
      <c r="L2150" s="6" t="str">
        <f>"Toalhetes"</f>
        <v>Toalhetes</v>
      </c>
      <c r="M2150" s="6" t="str">
        <f>"30x50"</f>
        <v>30x50</v>
      </c>
      <c r="N2150" s="6" t="str">
        <f>"5602972281040"</f>
        <v>5602972281040</v>
      </c>
      <c r="O2150" s="8">
        <v>12</v>
      </c>
      <c r="R2150" s="8">
        <v>0</v>
      </c>
      <c r="U2150" s="8">
        <v>0</v>
      </c>
      <c r="X2150" s="8">
        <v>0</v>
      </c>
      <c r="Z2150" s="8">
        <v>0</v>
      </c>
      <c r="AC2150" s="8">
        <v>0</v>
      </c>
      <c r="AF2150" s="8">
        <v>0</v>
      </c>
      <c r="AN2150" s="8">
        <v>12</v>
      </c>
      <c r="AO2150" s="8">
        <v>0</v>
      </c>
    </row>
    <row r="2151" spans="1:41" x14ac:dyDescent="0.25">
      <c r="A2151" s="6" t="str">
        <f>"522-2026000218"</f>
        <v>522-2026000218</v>
      </c>
      <c r="B2151" s="6" t="str">
        <f t="shared" si="498"/>
        <v>EL CORTE</v>
      </c>
      <c r="C2151" s="7">
        <v>46037</v>
      </c>
      <c r="D2151" s="7">
        <v>46042</v>
      </c>
      <c r="E2151" s="8">
        <v>2</v>
      </c>
      <c r="F2151" s="6" t="str">
        <f>"33329901_07026"</f>
        <v>33329901_07026</v>
      </c>
      <c r="G2151" s="6" t="str">
        <f t="shared" si="499"/>
        <v>F310631650000000</v>
      </c>
      <c r="H2151" s="6" t="str">
        <f t="shared" si="500"/>
        <v>PLAR 6316 FD - 500 g</v>
      </c>
      <c r="I2151" s="6" t="str">
        <f>"201855"</f>
        <v>201855</v>
      </c>
      <c r="J2151" s="6" t="str">
        <f>"AZUL 1855"</f>
        <v>AZUL 1855</v>
      </c>
      <c r="K2151" s="6" t="str">
        <f>"1024"</f>
        <v>1024</v>
      </c>
      <c r="L2151" s="6" t="str">
        <f>"Toalhas"</f>
        <v>Toalhas</v>
      </c>
      <c r="M2151" s="6" t="str">
        <f>"50x100"</f>
        <v>50x100</v>
      </c>
      <c r="N2151" s="6" t="str">
        <f>"5602972281057"</f>
        <v>5602972281057</v>
      </c>
      <c r="O2151" s="8">
        <v>6</v>
      </c>
      <c r="R2151" s="8">
        <v>0</v>
      </c>
      <c r="U2151" s="8">
        <v>0</v>
      </c>
      <c r="X2151" s="8">
        <v>0</v>
      </c>
      <c r="Z2151" s="8">
        <v>0</v>
      </c>
      <c r="AC2151" s="8">
        <v>0</v>
      </c>
      <c r="AF2151" s="8">
        <v>0</v>
      </c>
      <c r="AN2151" s="8">
        <v>6</v>
      </c>
      <c r="AO2151" s="8">
        <v>0</v>
      </c>
    </row>
    <row r="2152" spans="1:41" x14ac:dyDescent="0.25">
      <c r="A2152" s="6" t="str">
        <f>"522-2026000218"</f>
        <v>522-2026000218</v>
      </c>
      <c r="B2152" s="6" t="str">
        <f t="shared" si="498"/>
        <v>EL CORTE</v>
      </c>
      <c r="C2152" s="7">
        <v>46037</v>
      </c>
      <c r="D2152" s="7">
        <v>46042</v>
      </c>
      <c r="E2152" s="8">
        <v>3</v>
      </c>
      <c r="F2152" s="6" t="str">
        <f>"33329901_07026"</f>
        <v>33329901_07026</v>
      </c>
      <c r="G2152" s="6" t="str">
        <f t="shared" si="499"/>
        <v>F310631650000000</v>
      </c>
      <c r="H2152" s="6" t="str">
        <f t="shared" si="500"/>
        <v>PLAR 6316 FD - 500 g</v>
      </c>
      <c r="I2152" s="6" t="str">
        <f>"202575"</f>
        <v>202575</v>
      </c>
      <c r="J2152" s="6" t="str">
        <f>"BEGE 2575"</f>
        <v>BEGE 2575</v>
      </c>
      <c r="K2152" s="6" t="str">
        <f>"0520"</f>
        <v>0520</v>
      </c>
      <c r="L2152" s="6" t="str">
        <f>"Toalhetes"</f>
        <v>Toalhetes</v>
      </c>
      <c r="M2152" s="6" t="str">
        <f>"30x50"</f>
        <v>30x50</v>
      </c>
      <c r="N2152" s="6" t="str">
        <f>"5602972281071"</f>
        <v>5602972281071</v>
      </c>
      <c r="O2152" s="8">
        <v>12</v>
      </c>
      <c r="R2152" s="8">
        <v>0</v>
      </c>
      <c r="U2152" s="8">
        <v>0</v>
      </c>
      <c r="X2152" s="8">
        <v>0</v>
      </c>
      <c r="Z2152" s="8">
        <v>0</v>
      </c>
      <c r="AC2152" s="8">
        <v>0</v>
      </c>
      <c r="AF2152" s="8">
        <v>0</v>
      </c>
      <c r="AN2152" s="8">
        <v>12</v>
      </c>
      <c r="AO2152" s="8">
        <v>0</v>
      </c>
    </row>
    <row r="2153" spans="1:41" x14ac:dyDescent="0.25">
      <c r="A2153" s="6" t="str">
        <f>"522-2026000218"</f>
        <v>522-2026000218</v>
      </c>
      <c r="B2153" s="6" t="str">
        <f t="shared" si="498"/>
        <v>EL CORTE</v>
      </c>
      <c r="C2153" s="7">
        <v>46037</v>
      </c>
      <c r="D2153" s="7">
        <v>46042</v>
      </c>
      <c r="E2153" s="8">
        <v>4</v>
      </c>
      <c r="F2153" s="6" t="str">
        <f>"33329901_07026"</f>
        <v>33329901_07026</v>
      </c>
      <c r="G2153" s="6" t="str">
        <f t="shared" si="499"/>
        <v>F310631650000000</v>
      </c>
      <c r="H2153" s="6" t="str">
        <f t="shared" si="500"/>
        <v>PLAR 6316 FD - 500 g</v>
      </c>
      <c r="I2153" s="6" t="str">
        <f>"200901"</f>
        <v>200901</v>
      </c>
      <c r="J2153" s="6" t="str">
        <f>"ROSA 901"</f>
        <v>ROSA 901</v>
      </c>
      <c r="K2153" s="6" t="str">
        <f>"0520"</f>
        <v>0520</v>
      </c>
      <c r="L2153" s="6" t="str">
        <f>"Toalhetes"</f>
        <v>Toalhetes</v>
      </c>
      <c r="M2153" s="6" t="str">
        <f>"30x50"</f>
        <v>30x50</v>
      </c>
      <c r="N2153" s="6" t="str">
        <f>"5602972281101"</f>
        <v>5602972281101</v>
      </c>
      <c r="O2153" s="8">
        <v>18</v>
      </c>
      <c r="R2153" s="8">
        <v>0</v>
      </c>
      <c r="U2153" s="8">
        <v>0</v>
      </c>
      <c r="X2153" s="8">
        <v>0</v>
      </c>
      <c r="Z2153" s="8">
        <v>0</v>
      </c>
      <c r="AC2153" s="8">
        <v>0</v>
      </c>
      <c r="AF2153" s="8">
        <v>0</v>
      </c>
      <c r="AN2153" s="8">
        <v>18</v>
      </c>
      <c r="AO2153" s="8">
        <v>0</v>
      </c>
    </row>
    <row r="2154" spans="1:41" x14ac:dyDescent="0.25">
      <c r="A2154" s="6" t="str">
        <f>"522-2026000218"</f>
        <v>522-2026000218</v>
      </c>
      <c r="B2154" s="6" t="str">
        <f t="shared" si="498"/>
        <v>EL CORTE</v>
      </c>
      <c r="C2154" s="7">
        <v>46037</v>
      </c>
      <c r="D2154" s="7">
        <v>46042</v>
      </c>
      <c r="E2154" s="8">
        <v>5</v>
      </c>
      <c r="F2154" s="6" t="str">
        <f>"33329901_07026"</f>
        <v>33329901_07026</v>
      </c>
      <c r="G2154" s="6" t="str">
        <f t="shared" si="499"/>
        <v>F310631650000000</v>
      </c>
      <c r="H2154" s="6" t="str">
        <f t="shared" si="500"/>
        <v>PLAR 6316 FD - 500 g</v>
      </c>
      <c r="I2154" s="6" t="str">
        <f>"200510"</f>
        <v>200510</v>
      </c>
      <c r="J2154" s="6" t="str">
        <f>"VERDE 510"</f>
        <v>VERDE 510</v>
      </c>
      <c r="K2154" s="6" t="str">
        <f>"0520"</f>
        <v>0520</v>
      </c>
      <c r="L2154" s="6" t="str">
        <f>"Toalhetes"</f>
        <v>Toalhetes</v>
      </c>
      <c r="M2154" s="6" t="str">
        <f>"30x50"</f>
        <v>30x50</v>
      </c>
      <c r="N2154" s="6" t="str">
        <f>"5602972281132"</f>
        <v>5602972281132</v>
      </c>
      <c r="O2154" s="8">
        <v>6</v>
      </c>
      <c r="R2154" s="8">
        <v>0</v>
      </c>
      <c r="U2154" s="8">
        <v>0</v>
      </c>
      <c r="X2154" s="8">
        <v>0</v>
      </c>
      <c r="Z2154" s="8">
        <v>0</v>
      </c>
      <c r="AC2154" s="8">
        <v>0</v>
      </c>
      <c r="AF2154" s="8">
        <v>0</v>
      </c>
      <c r="AN2154" s="8">
        <v>6</v>
      </c>
      <c r="AO2154" s="8">
        <v>0</v>
      </c>
    </row>
    <row r="2155" spans="1:41" x14ac:dyDescent="0.25">
      <c r="A2155" s="6" t="str">
        <f t="shared" ref="A2155:A2162" si="501">"522-2026000219"</f>
        <v>522-2026000219</v>
      </c>
      <c r="B2155" s="6" t="str">
        <f t="shared" si="498"/>
        <v>EL CORTE</v>
      </c>
      <c r="C2155" s="7">
        <v>46037</v>
      </c>
      <c r="D2155" s="7">
        <v>46042</v>
      </c>
      <c r="E2155" s="8">
        <v>1</v>
      </c>
      <c r="F2155" s="6" t="str">
        <f t="shared" ref="F2155:F2162" si="502">"33330001_07026"</f>
        <v>33330001_07026</v>
      </c>
      <c r="G2155" s="6" t="str">
        <f t="shared" si="499"/>
        <v>F310631650000000</v>
      </c>
      <c r="H2155" s="6" t="str">
        <f t="shared" si="500"/>
        <v>PLAR 6316 FD - 500 g</v>
      </c>
      <c r="I2155" s="6" t="str">
        <f>"201855"</f>
        <v>201855</v>
      </c>
      <c r="J2155" s="6" t="str">
        <f>"AZUL 1855"</f>
        <v>AZUL 1855</v>
      </c>
      <c r="K2155" s="6" t="str">
        <f>"0520"</f>
        <v>0520</v>
      </c>
      <c r="L2155" s="6" t="str">
        <f>"Toalhetes"</f>
        <v>Toalhetes</v>
      </c>
      <c r="M2155" s="6" t="str">
        <f>"30x50"</f>
        <v>30x50</v>
      </c>
      <c r="N2155" s="6" t="str">
        <f>"5602972281040"</f>
        <v>5602972281040</v>
      </c>
      <c r="O2155" s="8">
        <v>18</v>
      </c>
      <c r="R2155" s="8">
        <v>0</v>
      </c>
      <c r="U2155" s="8">
        <v>0</v>
      </c>
      <c r="X2155" s="8">
        <v>0</v>
      </c>
      <c r="Z2155" s="8">
        <v>0</v>
      </c>
      <c r="AC2155" s="8">
        <v>0</v>
      </c>
      <c r="AF2155" s="8">
        <v>0</v>
      </c>
      <c r="AN2155" s="8">
        <v>18</v>
      </c>
      <c r="AO2155" s="8">
        <v>0</v>
      </c>
    </row>
    <row r="2156" spans="1:41" x14ac:dyDescent="0.25">
      <c r="A2156" s="6" t="str">
        <f t="shared" si="501"/>
        <v>522-2026000219</v>
      </c>
      <c r="B2156" s="6" t="str">
        <f t="shared" si="498"/>
        <v>EL CORTE</v>
      </c>
      <c r="C2156" s="7">
        <v>46037</v>
      </c>
      <c r="D2156" s="7">
        <v>46042</v>
      </c>
      <c r="E2156" s="8">
        <v>2</v>
      </c>
      <c r="F2156" s="6" t="str">
        <f t="shared" si="502"/>
        <v>33330001_07026</v>
      </c>
      <c r="G2156" s="6" t="str">
        <f t="shared" si="499"/>
        <v>F310631650000000</v>
      </c>
      <c r="H2156" s="6" t="str">
        <f t="shared" si="500"/>
        <v>PLAR 6316 FD - 500 g</v>
      </c>
      <c r="I2156" s="6" t="str">
        <f>"201855"</f>
        <v>201855</v>
      </c>
      <c r="J2156" s="6" t="str">
        <f>"AZUL 1855"</f>
        <v>AZUL 1855</v>
      </c>
      <c r="K2156" s="6" t="str">
        <f>"1024"</f>
        <v>1024</v>
      </c>
      <c r="L2156" s="6" t="str">
        <f>"Toalhas"</f>
        <v>Toalhas</v>
      </c>
      <c r="M2156" s="6" t="str">
        <f>"50x100"</f>
        <v>50x100</v>
      </c>
      <c r="N2156" s="6" t="str">
        <f>"5602972281057"</f>
        <v>5602972281057</v>
      </c>
      <c r="O2156" s="8">
        <v>6</v>
      </c>
      <c r="R2156" s="8">
        <v>0</v>
      </c>
      <c r="U2156" s="8">
        <v>0</v>
      </c>
      <c r="X2156" s="8">
        <v>0</v>
      </c>
      <c r="Z2156" s="8">
        <v>0</v>
      </c>
      <c r="AC2156" s="8">
        <v>0</v>
      </c>
      <c r="AF2156" s="8">
        <v>0</v>
      </c>
      <c r="AN2156" s="8">
        <v>6</v>
      </c>
      <c r="AO2156" s="8">
        <v>0</v>
      </c>
    </row>
    <row r="2157" spans="1:41" x14ac:dyDescent="0.25">
      <c r="A2157" s="6" t="str">
        <f t="shared" si="501"/>
        <v>522-2026000219</v>
      </c>
      <c r="B2157" s="6" t="str">
        <f t="shared" si="498"/>
        <v>EL CORTE</v>
      </c>
      <c r="C2157" s="7">
        <v>46037</v>
      </c>
      <c r="D2157" s="7">
        <v>46042</v>
      </c>
      <c r="E2157" s="8">
        <v>3</v>
      </c>
      <c r="F2157" s="6" t="str">
        <f t="shared" si="502"/>
        <v>33330001_07026</v>
      </c>
      <c r="G2157" s="6" t="str">
        <f t="shared" si="499"/>
        <v>F310631650000000</v>
      </c>
      <c r="H2157" s="6" t="str">
        <f t="shared" si="500"/>
        <v>PLAR 6316 FD - 500 g</v>
      </c>
      <c r="I2157" s="6" t="str">
        <f>"202575"</f>
        <v>202575</v>
      </c>
      <c r="J2157" s="6" t="str">
        <f>"BEGE 2575"</f>
        <v>BEGE 2575</v>
      </c>
      <c r="K2157" s="6" t="str">
        <f>"0520"</f>
        <v>0520</v>
      </c>
      <c r="L2157" s="6" t="str">
        <f>"Toalhetes"</f>
        <v>Toalhetes</v>
      </c>
      <c r="M2157" s="6" t="str">
        <f>"30x50"</f>
        <v>30x50</v>
      </c>
      <c r="N2157" s="6" t="str">
        <f>"5602972281071"</f>
        <v>5602972281071</v>
      </c>
      <c r="O2157" s="8">
        <v>6</v>
      </c>
      <c r="R2157" s="8">
        <v>0</v>
      </c>
      <c r="U2157" s="8">
        <v>0</v>
      </c>
      <c r="X2157" s="8">
        <v>0</v>
      </c>
      <c r="Z2157" s="8">
        <v>0</v>
      </c>
      <c r="AC2157" s="8">
        <v>0</v>
      </c>
      <c r="AF2157" s="8">
        <v>0</v>
      </c>
      <c r="AN2157" s="8">
        <v>6</v>
      </c>
      <c r="AO2157" s="8">
        <v>0</v>
      </c>
    </row>
    <row r="2158" spans="1:41" x14ac:dyDescent="0.25">
      <c r="A2158" s="6" t="str">
        <f t="shared" si="501"/>
        <v>522-2026000219</v>
      </c>
      <c r="B2158" s="6" t="str">
        <f t="shared" si="498"/>
        <v>EL CORTE</v>
      </c>
      <c r="C2158" s="7">
        <v>46037</v>
      </c>
      <c r="D2158" s="7">
        <v>46042</v>
      </c>
      <c r="E2158" s="8">
        <v>4</v>
      </c>
      <c r="F2158" s="6" t="str">
        <f t="shared" si="502"/>
        <v>33330001_07026</v>
      </c>
      <c r="G2158" s="6" t="str">
        <f t="shared" si="499"/>
        <v>F310631650000000</v>
      </c>
      <c r="H2158" s="6" t="str">
        <f t="shared" si="500"/>
        <v>PLAR 6316 FD - 500 g</v>
      </c>
      <c r="I2158" s="6" t="str">
        <f>"202575"</f>
        <v>202575</v>
      </c>
      <c r="J2158" s="6" t="str">
        <f>"BEGE 2575"</f>
        <v>BEGE 2575</v>
      </c>
      <c r="K2158" s="6" t="str">
        <f>"1024"</f>
        <v>1024</v>
      </c>
      <c r="L2158" s="6" t="str">
        <f>"Toalhas"</f>
        <v>Toalhas</v>
      </c>
      <c r="M2158" s="6" t="str">
        <f>"50x100"</f>
        <v>50x100</v>
      </c>
      <c r="N2158" s="6" t="str">
        <f>"5602972281088"</f>
        <v>5602972281088</v>
      </c>
      <c r="O2158" s="8">
        <v>6</v>
      </c>
      <c r="R2158" s="8">
        <v>0</v>
      </c>
      <c r="U2158" s="8">
        <v>0</v>
      </c>
      <c r="X2158" s="8">
        <v>0</v>
      </c>
      <c r="Z2158" s="8">
        <v>0</v>
      </c>
      <c r="AC2158" s="8">
        <v>0</v>
      </c>
      <c r="AF2158" s="8">
        <v>0</v>
      </c>
      <c r="AN2158" s="8">
        <v>6</v>
      </c>
      <c r="AO2158" s="8">
        <v>0</v>
      </c>
    </row>
    <row r="2159" spans="1:41" x14ac:dyDescent="0.25">
      <c r="A2159" s="6" t="str">
        <f t="shared" si="501"/>
        <v>522-2026000219</v>
      </c>
      <c r="B2159" s="6" t="str">
        <f t="shared" si="498"/>
        <v>EL CORTE</v>
      </c>
      <c r="C2159" s="7">
        <v>46037</v>
      </c>
      <c r="D2159" s="7">
        <v>46042</v>
      </c>
      <c r="E2159" s="8">
        <v>5</v>
      </c>
      <c r="F2159" s="6" t="str">
        <f t="shared" si="502"/>
        <v>33330001_07026</v>
      </c>
      <c r="G2159" s="6" t="str">
        <f t="shared" si="499"/>
        <v>F310631650000000</v>
      </c>
      <c r="H2159" s="6" t="str">
        <f t="shared" si="500"/>
        <v>PLAR 6316 FD - 500 g</v>
      </c>
      <c r="I2159" s="6" t="str">
        <f>"200901"</f>
        <v>200901</v>
      </c>
      <c r="J2159" s="6" t="str">
        <f>"ROSA 901"</f>
        <v>ROSA 901</v>
      </c>
      <c r="K2159" s="6" t="str">
        <f>"0520"</f>
        <v>0520</v>
      </c>
      <c r="L2159" s="6" t="str">
        <f>"Toalhetes"</f>
        <v>Toalhetes</v>
      </c>
      <c r="M2159" s="6" t="str">
        <f>"30x50"</f>
        <v>30x50</v>
      </c>
      <c r="N2159" s="6" t="str">
        <f>"5602972281101"</f>
        <v>5602972281101</v>
      </c>
      <c r="O2159" s="8">
        <v>6</v>
      </c>
      <c r="R2159" s="8">
        <v>0</v>
      </c>
      <c r="U2159" s="8">
        <v>0</v>
      </c>
      <c r="X2159" s="8">
        <v>0</v>
      </c>
      <c r="Z2159" s="8">
        <v>0</v>
      </c>
      <c r="AC2159" s="8">
        <v>0</v>
      </c>
      <c r="AF2159" s="8">
        <v>0</v>
      </c>
      <c r="AN2159" s="8">
        <v>6</v>
      </c>
      <c r="AO2159" s="8">
        <v>0</v>
      </c>
    </row>
    <row r="2160" spans="1:41" x14ac:dyDescent="0.25">
      <c r="A2160" s="6" t="str">
        <f t="shared" si="501"/>
        <v>522-2026000219</v>
      </c>
      <c r="B2160" s="6" t="str">
        <f t="shared" si="498"/>
        <v>EL CORTE</v>
      </c>
      <c r="C2160" s="7">
        <v>46037</v>
      </c>
      <c r="D2160" s="7">
        <v>46042</v>
      </c>
      <c r="E2160" s="8">
        <v>6</v>
      </c>
      <c r="F2160" s="6" t="str">
        <f t="shared" si="502"/>
        <v>33330001_07026</v>
      </c>
      <c r="G2160" s="6" t="str">
        <f t="shared" si="499"/>
        <v>F310631650000000</v>
      </c>
      <c r="H2160" s="6" t="str">
        <f t="shared" si="500"/>
        <v>PLAR 6316 FD - 500 g</v>
      </c>
      <c r="I2160" s="6" t="str">
        <f>"200901"</f>
        <v>200901</v>
      </c>
      <c r="J2160" s="6" t="str">
        <f>"ROSA 901"</f>
        <v>ROSA 901</v>
      </c>
      <c r="K2160" s="6" t="str">
        <f>"1024"</f>
        <v>1024</v>
      </c>
      <c r="L2160" s="6" t="str">
        <f>"Toalhas"</f>
        <v>Toalhas</v>
      </c>
      <c r="M2160" s="6" t="str">
        <f>"50x100"</f>
        <v>50x100</v>
      </c>
      <c r="N2160" s="6" t="str">
        <f>"5602972281118"</f>
        <v>5602972281118</v>
      </c>
      <c r="O2160" s="8">
        <v>6</v>
      </c>
      <c r="R2160" s="8">
        <v>0</v>
      </c>
      <c r="U2160" s="8">
        <v>0</v>
      </c>
      <c r="X2160" s="8">
        <v>0</v>
      </c>
      <c r="Z2160" s="8">
        <v>0</v>
      </c>
      <c r="AC2160" s="8">
        <v>0</v>
      </c>
      <c r="AF2160" s="8">
        <v>0</v>
      </c>
      <c r="AN2160" s="8">
        <v>6</v>
      </c>
      <c r="AO2160" s="8">
        <v>0</v>
      </c>
    </row>
    <row r="2161" spans="1:41" x14ac:dyDescent="0.25">
      <c r="A2161" s="6" t="str">
        <f t="shared" si="501"/>
        <v>522-2026000219</v>
      </c>
      <c r="B2161" s="6" t="str">
        <f t="shared" si="498"/>
        <v>EL CORTE</v>
      </c>
      <c r="C2161" s="7">
        <v>46037</v>
      </c>
      <c r="D2161" s="7">
        <v>46042</v>
      </c>
      <c r="E2161" s="8">
        <v>7</v>
      </c>
      <c r="F2161" s="6" t="str">
        <f t="shared" si="502"/>
        <v>33330001_07026</v>
      </c>
      <c r="G2161" s="6" t="str">
        <f t="shared" si="499"/>
        <v>F310631650000000</v>
      </c>
      <c r="H2161" s="6" t="str">
        <f t="shared" si="500"/>
        <v>PLAR 6316 FD - 500 g</v>
      </c>
      <c r="I2161" s="6" t="str">
        <f>"200510"</f>
        <v>200510</v>
      </c>
      <c r="J2161" s="6" t="str">
        <f>"VERDE 510"</f>
        <v>VERDE 510</v>
      </c>
      <c r="K2161" s="6" t="str">
        <f>"0520"</f>
        <v>0520</v>
      </c>
      <c r="L2161" s="6" t="str">
        <f>"Toalhetes"</f>
        <v>Toalhetes</v>
      </c>
      <c r="M2161" s="6" t="str">
        <f>"30x50"</f>
        <v>30x50</v>
      </c>
      <c r="N2161" s="6" t="str">
        <f>"5602972281132"</f>
        <v>5602972281132</v>
      </c>
      <c r="O2161" s="8">
        <v>6</v>
      </c>
      <c r="R2161" s="8">
        <v>0</v>
      </c>
      <c r="U2161" s="8">
        <v>0</v>
      </c>
      <c r="X2161" s="8">
        <v>0</v>
      </c>
      <c r="Z2161" s="8">
        <v>0</v>
      </c>
      <c r="AC2161" s="8">
        <v>0</v>
      </c>
      <c r="AF2161" s="8">
        <v>0</v>
      </c>
      <c r="AN2161" s="8">
        <v>6</v>
      </c>
      <c r="AO2161" s="8">
        <v>0</v>
      </c>
    </row>
    <row r="2162" spans="1:41" x14ac:dyDescent="0.25">
      <c r="A2162" s="6" t="str">
        <f t="shared" si="501"/>
        <v>522-2026000219</v>
      </c>
      <c r="B2162" s="6" t="str">
        <f t="shared" si="498"/>
        <v>EL CORTE</v>
      </c>
      <c r="C2162" s="7">
        <v>46037</v>
      </c>
      <c r="D2162" s="7">
        <v>46042</v>
      </c>
      <c r="E2162" s="8">
        <v>8</v>
      </c>
      <c r="F2162" s="6" t="str">
        <f t="shared" si="502"/>
        <v>33330001_07026</v>
      </c>
      <c r="G2162" s="6" t="str">
        <f t="shared" si="499"/>
        <v>F310631650000000</v>
      </c>
      <c r="H2162" s="6" t="str">
        <f t="shared" si="500"/>
        <v>PLAR 6316 FD - 500 g</v>
      </c>
      <c r="I2162" s="6" t="str">
        <f>"200510"</f>
        <v>200510</v>
      </c>
      <c r="J2162" s="6" t="str">
        <f>"VERDE 510"</f>
        <v>VERDE 510</v>
      </c>
      <c r="K2162" s="6" t="str">
        <f>"1024"</f>
        <v>1024</v>
      </c>
      <c r="L2162" s="6" t="str">
        <f>"Toalhas"</f>
        <v>Toalhas</v>
      </c>
      <c r="M2162" s="6" t="str">
        <f>"50x100"</f>
        <v>50x100</v>
      </c>
      <c r="N2162" s="6" t="str">
        <f>"5602972281149"</f>
        <v>5602972281149</v>
      </c>
      <c r="O2162" s="8">
        <v>6</v>
      </c>
      <c r="R2162" s="8">
        <v>0</v>
      </c>
      <c r="U2162" s="8">
        <v>0</v>
      </c>
      <c r="X2162" s="8">
        <v>0</v>
      </c>
      <c r="Z2162" s="8">
        <v>0</v>
      </c>
      <c r="AC2162" s="8">
        <v>0</v>
      </c>
      <c r="AF2162" s="8">
        <v>0</v>
      </c>
      <c r="AN2162" s="8">
        <v>6</v>
      </c>
      <c r="AO2162" s="8">
        <v>0</v>
      </c>
    </row>
    <row r="2163" spans="1:41" x14ac:dyDescent="0.25">
      <c r="A2163" s="6" t="str">
        <f t="shared" ref="A2163:A2173" si="503">"522-2026000220"</f>
        <v>522-2026000220</v>
      </c>
      <c r="B2163" s="6" t="str">
        <f t="shared" si="498"/>
        <v>EL CORTE</v>
      </c>
      <c r="C2163" s="7">
        <v>46037</v>
      </c>
      <c r="D2163" s="7">
        <v>46042</v>
      </c>
      <c r="E2163" s="8">
        <v>1</v>
      </c>
      <c r="F2163" s="6" t="str">
        <f t="shared" ref="F2163:F2173" si="504">"94825201_07026"</f>
        <v>94825201_07026</v>
      </c>
      <c r="G2163" s="6" t="str">
        <f t="shared" si="499"/>
        <v>F310631650000000</v>
      </c>
      <c r="H2163" s="6" t="str">
        <f t="shared" si="500"/>
        <v>PLAR 6316 FD - 500 g</v>
      </c>
      <c r="I2163" s="6" t="str">
        <f>"201855"</f>
        <v>201855</v>
      </c>
      <c r="J2163" s="6" t="str">
        <f>"AZUL 1855"</f>
        <v>AZUL 1855</v>
      </c>
      <c r="K2163" s="6" t="str">
        <f>"0520"</f>
        <v>0520</v>
      </c>
      <c r="L2163" s="6" t="str">
        <f>"Toalhetes"</f>
        <v>Toalhetes</v>
      </c>
      <c r="M2163" s="6" t="str">
        <f>"30x50"</f>
        <v>30x50</v>
      </c>
      <c r="N2163" s="6" t="str">
        <f>"5602972281040"</f>
        <v>5602972281040</v>
      </c>
      <c r="O2163" s="8">
        <v>6</v>
      </c>
      <c r="R2163" s="8">
        <v>0</v>
      </c>
      <c r="U2163" s="8">
        <v>0</v>
      </c>
      <c r="X2163" s="8">
        <v>0</v>
      </c>
      <c r="Z2163" s="8">
        <v>0</v>
      </c>
      <c r="AC2163" s="8">
        <v>0</v>
      </c>
      <c r="AF2163" s="8">
        <v>0</v>
      </c>
      <c r="AN2163" s="8">
        <v>6</v>
      </c>
      <c r="AO2163" s="8">
        <v>0</v>
      </c>
    </row>
    <row r="2164" spans="1:41" x14ac:dyDescent="0.25">
      <c r="A2164" s="6" t="str">
        <f t="shared" si="503"/>
        <v>522-2026000220</v>
      </c>
      <c r="B2164" s="6" t="str">
        <f t="shared" si="498"/>
        <v>EL CORTE</v>
      </c>
      <c r="C2164" s="7">
        <v>46037</v>
      </c>
      <c r="D2164" s="7">
        <v>46042</v>
      </c>
      <c r="E2164" s="8">
        <v>2</v>
      </c>
      <c r="F2164" s="6" t="str">
        <f t="shared" si="504"/>
        <v>94825201_07026</v>
      </c>
      <c r="G2164" s="6" t="str">
        <f t="shared" si="499"/>
        <v>F310631650000000</v>
      </c>
      <c r="H2164" s="6" t="str">
        <f t="shared" si="500"/>
        <v>PLAR 6316 FD - 500 g</v>
      </c>
      <c r="I2164" s="6" t="str">
        <f>"201855"</f>
        <v>201855</v>
      </c>
      <c r="J2164" s="6" t="str">
        <f>"AZUL 1855"</f>
        <v>AZUL 1855</v>
      </c>
      <c r="K2164" s="6" t="str">
        <f>"1024"</f>
        <v>1024</v>
      </c>
      <c r="L2164" s="6" t="str">
        <f>"Toalhas"</f>
        <v>Toalhas</v>
      </c>
      <c r="M2164" s="6" t="str">
        <f>"50x100"</f>
        <v>50x100</v>
      </c>
      <c r="N2164" s="6" t="str">
        <f>"5602972281057"</f>
        <v>5602972281057</v>
      </c>
      <c r="O2164" s="8">
        <v>6</v>
      </c>
      <c r="R2164" s="8">
        <v>0</v>
      </c>
      <c r="U2164" s="8">
        <v>0</v>
      </c>
      <c r="X2164" s="8">
        <v>0</v>
      </c>
      <c r="Z2164" s="8">
        <v>0</v>
      </c>
      <c r="AC2164" s="8">
        <v>0</v>
      </c>
      <c r="AF2164" s="8">
        <v>0</v>
      </c>
      <c r="AN2164" s="8">
        <v>6</v>
      </c>
      <c r="AO2164" s="8">
        <v>0</v>
      </c>
    </row>
    <row r="2165" spans="1:41" x14ac:dyDescent="0.25">
      <c r="A2165" s="6" t="str">
        <f t="shared" si="503"/>
        <v>522-2026000220</v>
      </c>
      <c r="B2165" s="6" t="str">
        <f t="shared" si="498"/>
        <v>EL CORTE</v>
      </c>
      <c r="C2165" s="7">
        <v>46037</v>
      </c>
      <c r="D2165" s="7">
        <v>46042</v>
      </c>
      <c r="E2165" s="8">
        <v>3</v>
      </c>
      <c r="F2165" s="6" t="str">
        <f t="shared" si="504"/>
        <v>94825201_07026</v>
      </c>
      <c r="G2165" s="6" t="str">
        <f t="shared" si="499"/>
        <v>F310631650000000</v>
      </c>
      <c r="H2165" s="6" t="str">
        <f t="shared" si="500"/>
        <v>PLAR 6316 FD - 500 g</v>
      </c>
      <c r="I2165" s="6" t="str">
        <f>"201855"</f>
        <v>201855</v>
      </c>
      <c r="J2165" s="6" t="str">
        <f>"AZUL 1855"</f>
        <v>AZUL 1855</v>
      </c>
      <c r="K2165" s="6" t="str">
        <f>"2020"</f>
        <v>2020</v>
      </c>
      <c r="L2165" s="6" t="str">
        <f>"Lençóis"</f>
        <v>Lençóis</v>
      </c>
      <c r="M2165" s="6" t="str">
        <f>"100x150"</f>
        <v>100x150</v>
      </c>
      <c r="N2165" s="6" t="str">
        <f>"5602972281064"</f>
        <v>5602972281064</v>
      </c>
      <c r="O2165" s="8">
        <v>6</v>
      </c>
      <c r="R2165" s="8">
        <v>0</v>
      </c>
      <c r="U2165" s="8">
        <v>0</v>
      </c>
      <c r="X2165" s="8">
        <v>0</v>
      </c>
      <c r="Z2165" s="8">
        <v>0</v>
      </c>
      <c r="AC2165" s="8">
        <v>0</v>
      </c>
      <c r="AF2165" s="8">
        <v>0</v>
      </c>
      <c r="AN2165" s="8">
        <v>6</v>
      </c>
      <c r="AO2165" s="8">
        <v>0</v>
      </c>
    </row>
    <row r="2166" spans="1:41" x14ac:dyDescent="0.25">
      <c r="A2166" s="6" t="str">
        <f t="shared" si="503"/>
        <v>522-2026000220</v>
      </c>
      <c r="B2166" s="6" t="str">
        <f t="shared" si="498"/>
        <v>EL CORTE</v>
      </c>
      <c r="C2166" s="7">
        <v>46037</v>
      </c>
      <c r="D2166" s="7">
        <v>46042</v>
      </c>
      <c r="E2166" s="8">
        <v>4</v>
      </c>
      <c r="F2166" s="6" t="str">
        <f t="shared" si="504"/>
        <v>94825201_07026</v>
      </c>
      <c r="G2166" s="6" t="str">
        <f t="shared" si="499"/>
        <v>F310631650000000</v>
      </c>
      <c r="H2166" s="6" t="str">
        <f t="shared" si="500"/>
        <v>PLAR 6316 FD - 500 g</v>
      </c>
      <c r="I2166" s="6" t="str">
        <f>"202575"</f>
        <v>202575</v>
      </c>
      <c r="J2166" s="6" t="str">
        <f>"BEGE 2575"</f>
        <v>BEGE 2575</v>
      </c>
      <c r="K2166" s="6" t="str">
        <f>"0520"</f>
        <v>0520</v>
      </c>
      <c r="L2166" s="6" t="str">
        <f>"Toalhetes"</f>
        <v>Toalhetes</v>
      </c>
      <c r="M2166" s="6" t="str">
        <f>"30x50"</f>
        <v>30x50</v>
      </c>
      <c r="N2166" s="6" t="str">
        <f>"5602972281071"</f>
        <v>5602972281071</v>
      </c>
      <c r="O2166" s="8">
        <v>18</v>
      </c>
      <c r="R2166" s="8">
        <v>0</v>
      </c>
      <c r="U2166" s="8">
        <v>0</v>
      </c>
      <c r="X2166" s="8">
        <v>0</v>
      </c>
      <c r="Z2166" s="8">
        <v>0</v>
      </c>
      <c r="AC2166" s="8">
        <v>0</v>
      </c>
      <c r="AF2166" s="8">
        <v>0</v>
      </c>
      <c r="AN2166" s="8">
        <v>18</v>
      </c>
      <c r="AO2166" s="8">
        <v>0</v>
      </c>
    </row>
    <row r="2167" spans="1:41" x14ac:dyDescent="0.25">
      <c r="A2167" s="6" t="str">
        <f t="shared" si="503"/>
        <v>522-2026000220</v>
      </c>
      <c r="B2167" s="6" t="str">
        <f t="shared" si="498"/>
        <v>EL CORTE</v>
      </c>
      <c r="C2167" s="7">
        <v>46037</v>
      </c>
      <c r="D2167" s="7">
        <v>46042</v>
      </c>
      <c r="E2167" s="8">
        <v>5</v>
      </c>
      <c r="F2167" s="6" t="str">
        <f t="shared" si="504"/>
        <v>94825201_07026</v>
      </c>
      <c r="G2167" s="6" t="str">
        <f t="shared" si="499"/>
        <v>F310631650000000</v>
      </c>
      <c r="H2167" s="6" t="str">
        <f t="shared" si="500"/>
        <v>PLAR 6316 FD - 500 g</v>
      </c>
      <c r="I2167" s="6" t="str">
        <f>"202575"</f>
        <v>202575</v>
      </c>
      <c r="J2167" s="6" t="str">
        <f>"BEGE 2575"</f>
        <v>BEGE 2575</v>
      </c>
      <c r="K2167" s="6" t="str">
        <f>"2020"</f>
        <v>2020</v>
      </c>
      <c r="L2167" s="6" t="str">
        <f>"Lençóis"</f>
        <v>Lençóis</v>
      </c>
      <c r="M2167" s="6" t="str">
        <f>"100x150"</f>
        <v>100x150</v>
      </c>
      <c r="N2167" s="6" t="str">
        <f>"5602972281095"</f>
        <v>5602972281095</v>
      </c>
      <c r="O2167" s="8">
        <v>6</v>
      </c>
      <c r="R2167" s="8">
        <v>0</v>
      </c>
      <c r="U2167" s="8">
        <v>0</v>
      </c>
      <c r="X2167" s="8">
        <v>0</v>
      </c>
      <c r="Z2167" s="8">
        <v>0</v>
      </c>
      <c r="AC2167" s="8">
        <v>0</v>
      </c>
      <c r="AF2167" s="8">
        <v>0</v>
      </c>
      <c r="AN2167" s="8">
        <v>6</v>
      </c>
      <c r="AO2167" s="8">
        <v>0</v>
      </c>
    </row>
    <row r="2168" spans="1:41" x14ac:dyDescent="0.25">
      <c r="A2168" s="6" t="str">
        <f t="shared" si="503"/>
        <v>522-2026000220</v>
      </c>
      <c r="B2168" s="6" t="str">
        <f t="shared" si="498"/>
        <v>EL CORTE</v>
      </c>
      <c r="C2168" s="7">
        <v>46037</v>
      </c>
      <c r="D2168" s="7">
        <v>46042</v>
      </c>
      <c r="E2168" s="8">
        <v>6</v>
      </c>
      <c r="F2168" s="6" t="str">
        <f t="shared" si="504"/>
        <v>94825201_07026</v>
      </c>
      <c r="G2168" s="6" t="str">
        <f t="shared" si="499"/>
        <v>F310631650000000</v>
      </c>
      <c r="H2168" s="6" t="str">
        <f t="shared" si="500"/>
        <v>PLAR 6316 FD - 500 g</v>
      </c>
      <c r="I2168" s="6" t="str">
        <f>"200901"</f>
        <v>200901</v>
      </c>
      <c r="J2168" s="6" t="str">
        <f>"ROSA 901"</f>
        <v>ROSA 901</v>
      </c>
      <c r="K2168" s="6" t="str">
        <f>"0520"</f>
        <v>0520</v>
      </c>
      <c r="L2168" s="6" t="str">
        <f>"Toalhetes"</f>
        <v>Toalhetes</v>
      </c>
      <c r="M2168" s="6" t="str">
        <f>"30x50"</f>
        <v>30x50</v>
      </c>
      <c r="N2168" s="6" t="str">
        <f>"5602972281101"</f>
        <v>5602972281101</v>
      </c>
      <c r="O2168" s="8">
        <v>6</v>
      </c>
      <c r="R2168" s="8">
        <v>0</v>
      </c>
      <c r="U2168" s="8">
        <v>0</v>
      </c>
      <c r="X2168" s="8">
        <v>0</v>
      </c>
      <c r="Z2168" s="8">
        <v>0</v>
      </c>
      <c r="AC2168" s="8">
        <v>0</v>
      </c>
      <c r="AF2168" s="8">
        <v>0</v>
      </c>
      <c r="AN2168" s="8">
        <v>6</v>
      </c>
      <c r="AO2168" s="8">
        <v>0</v>
      </c>
    </row>
    <row r="2169" spans="1:41" x14ac:dyDescent="0.25">
      <c r="A2169" s="6" t="str">
        <f t="shared" si="503"/>
        <v>522-2026000220</v>
      </c>
      <c r="B2169" s="6" t="str">
        <f t="shared" si="498"/>
        <v>EL CORTE</v>
      </c>
      <c r="C2169" s="7">
        <v>46037</v>
      </c>
      <c r="D2169" s="7">
        <v>46042</v>
      </c>
      <c r="E2169" s="8">
        <v>7</v>
      </c>
      <c r="F2169" s="6" t="str">
        <f t="shared" si="504"/>
        <v>94825201_07026</v>
      </c>
      <c r="G2169" s="6" t="str">
        <f t="shared" si="499"/>
        <v>F310631650000000</v>
      </c>
      <c r="H2169" s="6" t="str">
        <f t="shared" si="500"/>
        <v>PLAR 6316 FD - 500 g</v>
      </c>
      <c r="I2169" s="6" t="str">
        <f>"200901"</f>
        <v>200901</v>
      </c>
      <c r="J2169" s="6" t="str">
        <f>"ROSA 901"</f>
        <v>ROSA 901</v>
      </c>
      <c r="K2169" s="6" t="str">
        <f>"1024"</f>
        <v>1024</v>
      </c>
      <c r="L2169" s="6" t="str">
        <f>"Toalhas"</f>
        <v>Toalhas</v>
      </c>
      <c r="M2169" s="6" t="str">
        <f>"50x100"</f>
        <v>50x100</v>
      </c>
      <c r="N2169" s="6" t="str">
        <f>"5602972281118"</f>
        <v>5602972281118</v>
      </c>
      <c r="O2169" s="8">
        <v>6</v>
      </c>
      <c r="R2169" s="8">
        <v>0</v>
      </c>
      <c r="U2169" s="8">
        <v>0</v>
      </c>
      <c r="X2169" s="8">
        <v>0</v>
      </c>
      <c r="Z2169" s="8">
        <v>0</v>
      </c>
      <c r="AC2169" s="8">
        <v>0</v>
      </c>
      <c r="AF2169" s="8">
        <v>0</v>
      </c>
      <c r="AN2169" s="8">
        <v>6</v>
      </c>
      <c r="AO2169" s="8">
        <v>0</v>
      </c>
    </row>
    <row r="2170" spans="1:41" x14ac:dyDescent="0.25">
      <c r="A2170" s="6" t="str">
        <f t="shared" si="503"/>
        <v>522-2026000220</v>
      </c>
      <c r="B2170" s="6" t="str">
        <f t="shared" si="498"/>
        <v>EL CORTE</v>
      </c>
      <c r="C2170" s="7">
        <v>46037</v>
      </c>
      <c r="D2170" s="7">
        <v>46042</v>
      </c>
      <c r="E2170" s="8">
        <v>8</v>
      </c>
      <c r="F2170" s="6" t="str">
        <f t="shared" si="504"/>
        <v>94825201_07026</v>
      </c>
      <c r="G2170" s="6" t="str">
        <f t="shared" si="499"/>
        <v>F310631650000000</v>
      </c>
      <c r="H2170" s="6" t="str">
        <f t="shared" si="500"/>
        <v>PLAR 6316 FD - 500 g</v>
      </c>
      <c r="I2170" s="6" t="str">
        <f>"200901"</f>
        <v>200901</v>
      </c>
      <c r="J2170" s="6" t="str">
        <f>"ROSA 901"</f>
        <v>ROSA 901</v>
      </c>
      <c r="K2170" s="6" t="str">
        <f>"2020"</f>
        <v>2020</v>
      </c>
      <c r="L2170" s="6" t="str">
        <f>"Lençóis"</f>
        <v>Lençóis</v>
      </c>
      <c r="M2170" s="6" t="str">
        <f>"100x150"</f>
        <v>100x150</v>
      </c>
      <c r="N2170" s="6" t="str">
        <f>"5602972281125"</f>
        <v>5602972281125</v>
      </c>
      <c r="O2170" s="8">
        <v>6</v>
      </c>
      <c r="R2170" s="8">
        <v>0</v>
      </c>
      <c r="U2170" s="8">
        <v>0</v>
      </c>
      <c r="X2170" s="8">
        <v>0</v>
      </c>
      <c r="Z2170" s="8">
        <v>0</v>
      </c>
      <c r="AC2170" s="8">
        <v>0</v>
      </c>
      <c r="AF2170" s="8">
        <v>0</v>
      </c>
      <c r="AN2170" s="8">
        <v>6</v>
      </c>
      <c r="AO2170" s="8">
        <v>0</v>
      </c>
    </row>
    <row r="2171" spans="1:41" x14ac:dyDescent="0.25">
      <c r="A2171" s="6" t="str">
        <f t="shared" si="503"/>
        <v>522-2026000220</v>
      </c>
      <c r="B2171" s="6" t="str">
        <f t="shared" si="498"/>
        <v>EL CORTE</v>
      </c>
      <c r="C2171" s="7">
        <v>46037</v>
      </c>
      <c r="D2171" s="7">
        <v>46042</v>
      </c>
      <c r="E2171" s="8">
        <v>9</v>
      </c>
      <c r="F2171" s="6" t="str">
        <f t="shared" si="504"/>
        <v>94825201_07026</v>
      </c>
      <c r="G2171" s="6" t="str">
        <f t="shared" si="499"/>
        <v>F310631650000000</v>
      </c>
      <c r="H2171" s="6" t="str">
        <f t="shared" si="500"/>
        <v>PLAR 6316 FD - 500 g</v>
      </c>
      <c r="I2171" s="6" t="str">
        <f>"200510"</f>
        <v>200510</v>
      </c>
      <c r="J2171" s="6" t="str">
        <f>"VERDE 510"</f>
        <v>VERDE 510</v>
      </c>
      <c r="K2171" s="6" t="str">
        <f>"0520"</f>
        <v>0520</v>
      </c>
      <c r="L2171" s="6" t="str">
        <f>"Toalhetes"</f>
        <v>Toalhetes</v>
      </c>
      <c r="M2171" s="6" t="str">
        <f>"30x50"</f>
        <v>30x50</v>
      </c>
      <c r="N2171" s="6" t="str">
        <f>"5602972281132"</f>
        <v>5602972281132</v>
      </c>
      <c r="O2171" s="8">
        <v>6</v>
      </c>
      <c r="R2171" s="8">
        <v>0</v>
      </c>
      <c r="U2171" s="8">
        <v>0</v>
      </c>
      <c r="X2171" s="8">
        <v>0</v>
      </c>
      <c r="Z2171" s="8">
        <v>0</v>
      </c>
      <c r="AC2171" s="8">
        <v>0</v>
      </c>
      <c r="AF2171" s="8">
        <v>0</v>
      </c>
      <c r="AN2171" s="8">
        <v>6</v>
      </c>
      <c r="AO2171" s="8">
        <v>0</v>
      </c>
    </row>
    <row r="2172" spans="1:41" x14ac:dyDescent="0.25">
      <c r="A2172" s="6" t="str">
        <f t="shared" si="503"/>
        <v>522-2026000220</v>
      </c>
      <c r="B2172" s="6" t="str">
        <f t="shared" si="498"/>
        <v>EL CORTE</v>
      </c>
      <c r="C2172" s="7">
        <v>46037</v>
      </c>
      <c r="D2172" s="7">
        <v>46042</v>
      </c>
      <c r="E2172" s="8">
        <v>10</v>
      </c>
      <c r="F2172" s="6" t="str">
        <f t="shared" si="504"/>
        <v>94825201_07026</v>
      </c>
      <c r="G2172" s="6" t="str">
        <f t="shared" si="499"/>
        <v>F310631650000000</v>
      </c>
      <c r="H2172" s="6" t="str">
        <f t="shared" si="500"/>
        <v>PLAR 6316 FD - 500 g</v>
      </c>
      <c r="I2172" s="6" t="str">
        <f>"200510"</f>
        <v>200510</v>
      </c>
      <c r="J2172" s="6" t="str">
        <f>"VERDE 510"</f>
        <v>VERDE 510</v>
      </c>
      <c r="K2172" s="6" t="str">
        <f>"1024"</f>
        <v>1024</v>
      </c>
      <c r="L2172" s="6" t="str">
        <f>"Toalhas"</f>
        <v>Toalhas</v>
      </c>
      <c r="M2172" s="6" t="str">
        <f>"50x100"</f>
        <v>50x100</v>
      </c>
      <c r="N2172" s="6" t="str">
        <f>"5602972281149"</f>
        <v>5602972281149</v>
      </c>
      <c r="O2172" s="8">
        <v>12</v>
      </c>
      <c r="R2172" s="8">
        <v>0</v>
      </c>
      <c r="U2172" s="8">
        <v>0</v>
      </c>
      <c r="X2172" s="8">
        <v>0</v>
      </c>
      <c r="Z2172" s="8">
        <v>0</v>
      </c>
      <c r="AC2172" s="8">
        <v>0</v>
      </c>
      <c r="AF2172" s="8">
        <v>0</v>
      </c>
      <c r="AN2172" s="8">
        <v>12</v>
      </c>
      <c r="AO2172" s="8">
        <v>0</v>
      </c>
    </row>
    <row r="2173" spans="1:41" x14ac:dyDescent="0.25">
      <c r="A2173" s="6" t="str">
        <f t="shared" si="503"/>
        <v>522-2026000220</v>
      </c>
      <c r="B2173" s="6" t="str">
        <f t="shared" si="498"/>
        <v>EL CORTE</v>
      </c>
      <c r="C2173" s="7">
        <v>46037</v>
      </c>
      <c r="D2173" s="7">
        <v>46042</v>
      </c>
      <c r="E2173" s="8">
        <v>11</v>
      </c>
      <c r="F2173" s="6" t="str">
        <f t="shared" si="504"/>
        <v>94825201_07026</v>
      </c>
      <c r="G2173" s="6" t="str">
        <f t="shared" si="499"/>
        <v>F310631650000000</v>
      </c>
      <c r="H2173" s="6" t="str">
        <f t="shared" si="500"/>
        <v>PLAR 6316 FD - 500 g</v>
      </c>
      <c r="I2173" s="6" t="str">
        <f>"200510"</f>
        <v>200510</v>
      </c>
      <c r="J2173" s="6" t="str">
        <f>"VERDE 510"</f>
        <v>VERDE 510</v>
      </c>
      <c r="K2173" s="6" t="str">
        <f>"2020"</f>
        <v>2020</v>
      </c>
      <c r="L2173" s="6" t="str">
        <f>"Lençóis"</f>
        <v>Lençóis</v>
      </c>
      <c r="M2173" s="6" t="str">
        <f>"100x150"</f>
        <v>100x150</v>
      </c>
      <c r="N2173" s="6" t="str">
        <f>"5602972281156"</f>
        <v>5602972281156</v>
      </c>
      <c r="O2173" s="8">
        <v>6</v>
      </c>
      <c r="R2173" s="8">
        <v>0</v>
      </c>
      <c r="U2173" s="8">
        <v>0</v>
      </c>
      <c r="X2173" s="8">
        <v>0</v>
      </c>
      <c r="Z2173" s="8">
        <v>0</v>
      </c>
      <c r="AC2173" s="8">
        <v>0</v>
      </c>
      <c r="AF2173" s="8">
        <v>0</v>
      </c>
      <c r="AN2173" s="8">
        <v>6</v>
      </c>
      <c r="AO2173" s="8">
        <v>0</v>
      </c>
    </row>
    <row r="2174" spans="1:41" x14ac:dyDescent="0.25">
      <c r="A2174" s="6" t="str">
        <f>"522-2026000221"</f>
        <v>522-2026000221</v>
      </c>
      <c r="B2174" s="6" t="str">
        <f t="shared" si="498"/>
        <v>EL CORTE</v>
      </c>
      <c r="C2174" s="7">
        <v>46037</v>
      </c>
      <c r="D2174" s="7">
        <v>46042</v>
      </c>
      <c r="E2174" s="8">
        <v>1</v>
      </c>
      <c r="F2174" s="6" t="str">
        <f>"94829401_07026"</f>
        <v>94829401_07026</v>
      </c>
      <c r="G2174" s="6" t="str">
        <f t="shared" si="499"/>
        <v>F310631650000000</v>
      </c>
      <c r="H2174" s="6" t="str">
        <f t="shared" si="500"/>
        <v>PLAR 6316 FD - 500 g</v>
      </c>
      <c r="I2174" s="6" t="str">
        <f>"202575"</f>
        <v>202575</v>
      </c>
      <c r="J2174" s="6" t="str">
        <f>"BEGE 2575"</f>
        <v>BEGE 2575</v>
      </c>
      <c r="K2174" s="6" t="str">
        <f>"1024"</f>
        <v>1024</v>
      </c>
      <c r="L2174" s="6" t="str">
        <f>"Toalhas"</f>
        <v>Toalhas</v>
      </c>
      <c r="M2174" s="6" t="str">
        <f>"50x100"</f>
        <v>50x100</v>
      </c>
      <c r="N2174" s="6" t="str">
        <f>"5602972281088"</f>
        <v>5602972281088</v>
      </c>
      <c r="O2174" s="8">
        <v>12</v>
      </c>
      <c r="R2174" s="8">
        <v>0</v>
      </c>
      <c r="U2174" s="8">
        <v>0</v>
      </c>
      <c r="X2174" s="8">
        <v>0</v>
      </c>
      <c r="Z2174" s="8">
        <v>0</v>
      </c>
      <c r="AC2174" s="8">
        <v>0</v>
      </c>
      <c r="AF2174" s="8">
        <v>0</v>
      </c>
      <c r="AN2174" s="8">
        <v>12</v>
      </c>
      <c r="AO2174" s="8">
        <v>0</v>
      </c>
    </row>
    <row r="2175" spans="1:41" x14ac:dyDescent="0.25">
      <c r="A2175" s="6" t="str">
        <f>"522-2026000221"</f>
        <v>522-2026000221</v>
      </c>
      <c r="B2175" s="6" t="str">
        <f t="shared" si="498"/>
        <v>EL CORTE</v>
      </c>
      <c r="C2175" s="7">
        <v>46037</v>
      </c>
      <c r="D2175" s="7">
        <v>46042</v>
      </c>
      <c r="E2175" s="8">
        <v>2</v>
      </c>
      <c r="F2175" s="6" t="str">
        <f>"94829401_07026"</f>
        <v>94829401_07026</v>
      </c>
      <c r="G2175" s="6" t="str">
        <f t="shared" si="499"/>
        <v>F310631650000000</v>
      </c>
      <c r="H2175" s="6" t="str">
        <f t="shared" si="500"/>
        <v>PLAR 6316 FD - 500 g</v>
      </c>
      <c r="I2175" s="6" t="str">
        <f>"202575"</f>
        <v>202575</v>
      </c>
      <c r="J2175" s="6" t="str">
        <f>"BEGE 2575"</f>
        <v>BEGE 2575</v>
      </c>
      <c r="K2175" s="6" t="str">
        <f>"2020"</f>
        <v>2020</v>
      </c>
      <c r="L2175" s="6" t="str">
        <f>"Lençóis"</f>
        <v>Lençóis</v>
      </c>
      <c r="M2175" s="6" t="str">
        <f>"100x150"</f>
        <v>100x150</v>
      </c>
      <c r="N2175" s="6" t="str">
        <f>"5602972281095"</f>
        <v>5602972281095</v>
      </c>
      <c r="O2175" s="8">
        <v>6</v>
      </c>
      <c r="R2175" s="8">
        <v>0</v>
      </c>
      <c r="U2175" s="8">
        <v>0</v>
      </c>
      <c r="X2175" s="8">
        <v>0</v>
      </c>
      <c r="Z2175" s="8">
        <v>0</v>
      </c>
      <c r="AC2175" s="8">
        <v>0</v>
      </c>
      <c r="AF2175" s="8">
        <v>0</v>
      </c>
      <c r="AN2175" s="8">
        <v>0</v>
      </c>
      <c r="AO2175" s="8">
        <v>6</v>
      </c>
    </row>
    <row r="2176" spans="1:41" x14ac:dyDescent="0.25">
      <c r="A2176" s="6" t="str">
        <f>"522-2026000221"</f>
        <v>522-2026000221</v>
      </c>
      <c r="B2176" s="6" t="str">
        <f t="shared" si="498"/>
        <v>EL CORTE</v>
      </c>
      <c r="C2176" s="7">
        <v>46037</v>
      </c>
      <c r="D2176" s="7">
        <v>46042</v>
      </c>
      <c r="E2176" s="8">
        <v>3</v>
      </c>
      <c r="F2176" s="6" t="str">
        <f>"94829401_07026"</f>
        <v>94829401_07026</v>
      </c>
      <c r="G2176" s="6" t="str">
        <f t="shared" si="499"/>
        <v>F310631650000000</v>
      </c>
      <c r="H2176" s="6" t="str">
        <f t="shared" si="500"/>
        <v>PLAR 6316 FD - 500 g</v>
      </c>
      <c r="I2176" s="6" t="str">
        <f>"200901"</f>
        <v>200901</v>
      </c>
      <c r="J2176" s="6" t="str">
        <f>"ROSA 901"</f>
        <v>ROSA 901</v>
      </c>
      <c r="K2176" s="6" t="str">
        <f>"1024"</f>
        <v>1024</v>
      </c>
      <c r="L2176" s="6" t="str">
        <f>"Toalhas"</f>
        <v>Toalhas</v>
      </c>
      <c r="M2176" s="6" t="str">
        <f>"50x100"</f>
        <v>50x100</v>
      </c>
      <c r="N2176" s="6" t="str">
        <f>"5602972281118"</f>
        <v>5602972281118</v>
      </c>
      <c r="O2176" s="8">
        <v>6</v>
      </c>
      <c r="R2176" s="8">
        <v>0</v>
      </c>
      <c r="U2176" s="8">
        <v>0</v>
      </c>
      <c r="X2176" s="8">
        <v>0</v>
      </c>
      <c r="Z2176" s="8">
        <v>0</v>
      </c>
      <c r="AC2176" s="8">
        <v>0</v>
      </c>
      <c r="AF2176" s="8">
        <v>0</v>
      </c>
      <c r="AN2176" s="8">
        <v>6</v>
      </c>
      <c r="AO2176" s="8">
        <v>0</v>
      </c>
    </row>
    <row r="2177" spans="1:41" x14ac:dyDescent="0.25">
      <c r="A2177" s="6" t="str">
        <f>"522-2026000221"</f>
        <v>522-2026000221</v>
      </c>
      <c r="B2177" s="6" t="str">
        <f t="shared" si="498"/>
        <v>EL CORTE</v>
      </c>
      <c r="C2177" s="7">
        <v>46037</v>
      </c>
      <c r="D2177" s="7">
        <v>46042</v>
      </c>
      <c r="E2177" s="8">
        <v>4</v>
      </c>
      <c r="F2177" s="6" t="str">
        <f>"94829401_07026"</f>
        <v>94829401_07026</v>
      </c>
      <c r="G2177" s="6" t="str">
        <f t="shared" si="499"/>
        <v>F310631650000000</v>
      </c>
      <c r="H2177" s="6" t="str">
        <f t="shared" si="500"/>
        <v>PLAR 6316 FD - 500 g</v>
      </c>
      <c r="I2177" s="6" t="str">
        <f>"200901"</f>
        <v>200901</v>
      </c>
      <c r="J2177" s="6" t="str">
        <f>"ROSA 901"</f>
        <v>ROSA 901</v>
      </c>
      <c r="K2177" s="6" t="str">
        <f>"2020"</f>
        <v>2020</v>
      </c>
      <c r="L2177" s="6" t="str">
        <f>"Lençóis"</f>
        <v>Lençóis</v>
      </c>
      <c r="M2177" s="6" t="str">
        <f>"100x150"</f>
        <v>100x150</v>
      </c>
      <c r="N2177" s="6" t="str">
        <f>"5602972281125"</f>
        <v>5602972281125</v>
      </c>
      <c r="O2177" s="8">
        <v>6</v>
      </c>
      <c r="R2177" s="8">
        <v>0</v>
      </c>
      <c r="U2177" s="8">
        <v>0</v>
      </c>
      <c r="X2177" s="8">
        <v>0</v>
      </c>
      <c r="Z2177" s="8">
        <v>0</v>
      </c>
      <c r="AC2177" s="8">
        <v>0</v>
      </c>
      <c r="AF2177" s="8">
        <v>0</v>
      </c>
      <c r="AN2177" s="8">
        <v>0</v>
      </c>
      <c r="AO2177" s="8">
        <v>6</v>
      </c>
    </row>
    <row r="2178" spans="1:41" x14ac:dyDescent="0.25">
      <c r="A2178" s="6" t="str">
        <f t="shared" ref="A2178:A2187" si="505">"522-2026000222"</f>
        <v>522-2026000222</v>
      </c>
      <c r="B2178" s="6" t="str">
        <f t="shared" si="498"/>
        <v>EL CORTE</v>
      </c>
      <c r="C2178" s="7">
        <v>46037</v>
      </c>
      <c r="D2178" s="7">
        <v>46042</v>
      </c>
      <c r="E2178" s="8">
        <v>1</v>
      </c>
      <c r="F2178" s="6" t="str">
        <f t="shared" ref="F2178:F2187" si="506">"94826801_07026"</f>
        <v>94826801_07026</v>
      </c>
      <c r="G2178" s="6" t="str">
        <f t="shared" si="499"/>
        <v>F310631650000000</v>
      </c>
      <c r="H2178" s="6" t="str">
        <f t="shared" si="500"/>
        <v>PLAR 6316 FD - 500 g</v>
      </c>
      <c r="I2178" s="6" t="str">
        <f>"201855"</f>
        <v>201855</v>
      </c>
      <c r="J2178" s="6" t="str">
        <f>"AZUL 1855"</f>
        <v>AZUL 1855</v>
      </c>
      <c r="K2178" s="6" t="str">
        <f>"1024"</f>
        <v>1024</v>
      </c>
      <c r="L2178" s="6" t="str">
        <f>"Toalhas"</f>
        <v>Toalhas</v>
      </c>
      <c r="M2178" s="6" t="str">
        <f>"50x100"</f>
        <v>50x100</v>
      </c>
      <c r="N2178" s="6" t="str">
        <f>"5602972281057"</f>
        <v>5602972281057</v>
      </c>
      <c r="O2178" s="8">
        <v>6</v>
      </c>
      <c r="R2178" s="8">
        <v>0</v>
      </c>
      <c r="U2178" s="8">
        <v>0</v>
      </c>
      <c r="X2178" s="8">
        <v>0</v>
      </c>
      <c r="Z2178" s="8">
        <v>0</v>
      </c>
      <c r="AC2178" s="8">
        <v>0</v>
      </c>
      <c r="AF2178" s="8">
        <v>0</v>
      </c>
      <c r="AN2178" s="8">
        <v>6</v>
      </c>
      <c r="AO2178" s="8">
        <v>0</v>
      </c>
    </row>
    <row r="2179" spans="1:41" x14ac:dyDescent="0.25">
      <c r="A2179" s="6" t="str">
        <f t="shared" si="505"/>
        <v>522-2026000222</v>
      </c>
      <c r="B2179" s="6" t="str">
        <f t="shared" si="498"/>
        <v>EL CORTE</v>
      </c>
      <c r="C2179" s="7">
        <v>46037</v>
      </c>
      <c r="D2179" s="7">
        <v>46042</v>
      </c>
      <c r="E2179" s="8">
        <v>2</v>
      </c>
      <c r="F2179" s="6" t="str">
        <f t="shared" si="506"/>
        <v>94826801_07026</v>
      </c>
      <c r="G2179" s="6" t="str">
        <f t="shared" si="499"/>
        <v>F310631650000000</v>
      </c>
      <c r="H2179" s="6" t="str">
        <f t="shared" si="500"/>
        <v>PLAR 6316 FD - 500 g</v>
      </c>
      <c r="I2179" s="6" t="str">
        <f>"201855"</f>
        <v>201855</v>
      </c>
      <c r="J2179" s="6" t="str">
        <f>"AZUL 1855"</f>
        <v>AZUL 1855</v>
      </c>
      <c r="K2179" s="6" t="str">
        <f>"2020"</f>
        <v>2020</v>
      </c>
      <c r="L2179" s="6" t="str">
        <f>"Lençóis"</f>
        <v>Lençóis</v>
      </c>
      <c r="M2179" s="6" t="str">
        <f>"100x150"</f>
        <v>100x150</v>
      </c>
      <c r="N2179" s="6" t="str">
        <f>"5602972281064"</f>
        <v>5602972281064</v>
      </c>
      <c r="O2179" s="8">
        <v>6</v>
      </c>
      <c r="R2179" s="8">
        <v>0</v>
      </c>
      <c r="U2179" s="8">
        <v>0</v>
      </c>
      <c r="X2179" s="8">
        <v>0</v>
      </c>
      <c r="Z2179" s="8">
        <v>0</v>
      </c>
      <c r="AC2179" s="8">
        <v>0</v>
      </c>
      <c r="AF2179" s="8">
        <v>0</v>
      </c>
      <c r="AN2179" s="8">
        <v>0</v>
      </c>
      <c r="AO2179" s="8">
        <v>6</v>
      </c>
    </row>
    <row r="2180" spans="1:41" x14ac:dyDescent="0.25">
      <c r="A2180" s="6" t="str">
        <f t="shared" si="505"/>
        <v>522-2026000222</v>
      </c>
      <c r="B2180" s="6" t="str">
        <f t="shared" si="498"/>
        <v>EL CORTE</v>
      </c>
      <c r="C2180" s="7">
        <v>46037</v>
      </c>
      <c r="D2180" s="7">
        <v>46042</v>
      </c>
      <c r="E2180" s="8">
        <v>3</v>
      </c>
      <c r="F2180" s="6" t="str">
        <f t="shared" si="506"/>
        <v>94826801_07026</v>
      </c>
      <c r="G2180" s="6" t="str">
        <f t="shared" si="499"/>
        <v>F310631650000000</v>
      </c>
      <c r="H2180" s="6" t="str">
        <f t="shared" si="500"/>
        <v>PLAR 6316 FD - 500 g</v>
      </c>
      <c r="I2180" s="6" t="str">
        <f>"202575"</f>
        <v>202575</v>
      </c>
      <c r="J2180" s="6" t="str">
        <f>"BEGE 2575"</f>
        <v>BEGE 2575</v>
      </c>
      <c r="K2180" s="6" t="str">
        <f>"0520"</f>
        <v>0520</v>
      </c>
      <c r="L2180" s="6" t="str">
        <f>"Toalhetes"</f>
        <v>Toalhetes</v>
      </c>
      <c r="M2180" s="6" t="str">
        <f>"30x50"</f>
        <v>30x50</v>
      </c>
      <c r="N2180" s="6" t="str">
        <f>"5602972281071"</f>
        <v>5602972281071</v>
      </c>
      <c r="O2180" s="8">
        <v>6</v>
      </c>
      <c r="R2180" s="8">
        <v>0</v>
      </c>
      <c r="U2180" s="8">
        <v>0</v>
      </c>
      <c r="X2180" s="8">
        <v>0</v>
      </c>
      <c r="Z2180" s="8">
        <v>0</v>
      </c>
      <c r="AC2180" s="8">
        <v>0</v>
      </c>
      <c r="AF2180" s="8">
        <v>0</v>
      </c>
      <c r="AN2180" s="8">
        <v>6</v>
      </c>
      <c r="AO2180" s="8">
        <v>0</v>
      </c>
    </row>
    <row r="2181" spans="1:41" x14ac:dyDescent="0.25">
      <c r="A2181" s="6" t="str">
        <f t="shared" si="505"/>
        <v>522-2026000222</v>
      </c>
      <c r="B2181" s="6" t="str">
        <f t="shared" si="498"/>
        <v>EL CORTE</v>
      </c>
      <c r="C2181" s="7">
        <v>46037</v>
      </c>
      <c r="D2181" s="7">
        <v>46042</v>
      </c>
      <c r="E2181" s="8">
        <v>4</v>
      </c>
      <c r="F2181" s="6" t="str">
        <f t="shared" si="506"/>
        <v>94826801_07026</v>
      </c>
      <c r="G2181" s="6" t="str">
        <f t="shared" si="499"/>
        <v>F310631650000000</v>
      </c>
      <c r="H2181" s="6" t="str">
        <f t="shared" si="500"/>
        <v>PLAR 6316 FD - 500 g</v>
      </c>
      <c r="I2181" s="6" t="str">
        <f>"202575"</f>
        <v>202575</v>
      </c>
      <c r="J2181" s="6" t="str">
        <f>"BEGE 2575"</f>
        <v>BEGE 2575</v>
      </c>
      <c r="K2181" s="6" t="str">
        <f>"1024"</f>
        <v>1024</v>
      </c>
      <c r="L2181" s="6" t="str">
        <f>"Toalhas"</f>
        <v>Toalhas</v>
      </c>
      <c r="M2181" s="6" t="str">
        <f>"50x100"</f>
        <v>50x100</v>
      </c>
      <c r="N2181" s="6" t="str">
        <f>"5602972281088"</f>
        <v>5602972281088</v>
      </c>
      <c r="O2181" s="8">
        <v>6</v>
      </c>
      <c r="R2181" s="8">
        <v>0</v>
      </c>
      <c r="U2181" s="8">
        <v>0</v>
      </c>
      <c r="X2181" s="8">
        <v>0</v>
      </c>
      <c r="Z2181" s="8">
        <v>0</v>
      </c>
      <c r="AC2181" s="8">
        <v>0</v>
      </c>
      <c r="AF2181" s="8">
        <v>0</v>
      </c>
      <c r="AN2181" s="8">
        <v>6</v>
      </c>
      <c r="AO2181" s="8">
        <v>0</v>
      </c>
    </row>
    <row r="2182" spans="1:41" x14ac:dyDescent="0.25">
      <c r="A2182" s="6" t="str">
        <f t="shared" si="505"/>
        <v>522-2026000222</v>
      </c>
      <c r="B2182" s="6" t="str">
        <f t="shared" si="498"/>
        <v>EL CORTE</v>
      </c>
      <c r="C2182" s="7">
        <v>46037</v>
      </c>
      <c r="D2182" s="7">
        <v>46042</v>
      </c>
      <c r="E2182" s="8">
        <v>5</v>
      </c>
      <c r="F2182" s="6" t="str">
        <f t="shared" si="506"/>
        <v>94826801_07026</v>
      </c>
      <c r="G2182" s="6" t="str">
        <f t="shared" si="499"/>
        <v>F310631650000000</v>
      </c>
      <c r="H2182" s="6" t="str">
        <f t="shared" si="500"/>
        <v>PLAR 6316 FD - 500 g</v>
      </c>
      <c r="I2182" s="6" t="str">
        <f>"202575"</f>
        <v>202575</v>
      </c>
      <c r="J2182" s="6" t="str">
        <f>"BEGE 2575"</f>
        <v>BEGE 2575</v>
      </c>
      <c r="K2182" s="6" t="str">
        <f>"2020"</f>
        <v>2020</v>
      </c>
      <c r="L2182" s="6" t="str">
        <f>"Lençóis"</f>
        <v>Lençóis</v>
      </c>
      <c r="M2182" s="6" t="str">
        <f>"100x150"</f>
        <v>100x150</v>
      </c>
      <c r="N2182" s="6" t="str">
        <f>"5602972281095"</f>
        <v>5602972281095</v>
      </c>
      <c r="O2182" s="8">
        <v>6</v>
      </c>
      <c r="R2182" s="8">
        <v>0</v>
      </c>
      <c r="U2182" s="8">
        <v>0</v>
      </c>
      <c r="X2182" s="8">
        <v>0</v>
      </c>
      <c r="Z2182" s="8">
        <v>0</v>
      </c>
      <c r="AC2182" s="8">
        <v>0</v>
      </c>
      <c r="AF2182" s="8">
        <v>0</v>
      </c>
      <c r="AN2182" s="8">
        <v>0</v>
      </c>
      <c r="AO2182" s="8">
        <v>6</v>
      </c>
    </row>
    <row r="2183" spans="1:41" x14ac:dyDescent="0.25">
      <c r="A2183" s="6" t="str">
        <f t="shared" si="505"/>
        <v>522-2026000222</v>
      </c>
      <c r="B2183" s="6" t="str">
        <f t="shared" ref="B2183:B2246" si="507">"EL CORTE"</f>
        <v>EL CORTE</v>
      </c>
      <c r="C2183" s="7">
        <v>46037</v>
      </c>
      <c r="D2183" s="7">
        <v>46042</v>
      </c>
      <c r="E2183" s="8">
        <v>6</v>
      </c>
      <c r="F2183" s="6" t="str">
        <f t="shared" si="506"/>
        <v>94826801_07026</v>
      </c>
      <c r="G2183" s="6" t="str">
        <f t="shared" ref="G2183:G2246" si="508">"F310631650000000"</f>
        <v>F310631650000000</v>
      </c>
      <c r="H2183" s="6" t="str">
        <f t="shared" ref="H2183:H2246" si="509">"PLAR 6316 FD - 500 g"</f>
        <v>PLAR 6316 FD - 500 g</v>
      </c>
      <c r="I2183" s="6" t="str">
        <f>"200901"</f>
        <v>200901</v>
      </c>
      <c r="J2183" s="6" t="str">
        <f>"ROSA 901"</f>
        <v>ROSA 901</v>
      </c>
      <c r="K2183" s="6" t="str">
        <f>"0520"</f>
        <v>0520</v>
      </c>
      <c r="L2183" s="6" t="str">
        <f>"Toalhetes"</f>
        <v>Toalhetes</v>
      </c>
      <c r="M2183" s="6" t="str">
        <f>"30x50"</f>
        <v>30x50</v>
      </c>
      <c r="N2183" s="6" t="str">
        <f>"5602972281101"</f>
        <v>5602972281101</v>
      </c>
      <c r="O2183" s="8">
        <v>6</v>
      </c>
      <c r="R2183" s="8">
        <v>0</v>
      </c>
      <c r="U2183" s="8">
        <v>0</v>
      </c>
      <c r="X2183" s="8">
        <v>0</v>
      </c>
      <c r="Z2183" s="8">
        <v>0</v>
      </c>
      <c r="AC2183" s="8">
        <v>0</v>
      </c>
      <c r="AF2183" s="8">
        <v>0</v>
      </c>
      <c r="AN2183" s="8">
        <v>6</v>
      </c>
      <c r="AO2183" s="8">
        <v>0</v>
      </c>
    </row>
    <row r="2184" spans="1:41" x14ac:dyDescent="0.25">
      <c r="A2184" s="6" t="str">
        <f t="shared" si="505"/>
        <v>522-2026000222</v>
      </c>
      <c r="B2184" s="6" t="str">
        <f t="shared" si="507"/>
        <v>EL CORTE</v>
      </c>
      <c r="C2184" s="7">
        <v>46037</v>
      </c>
      <c r="D2184" s="7">
        <v>46042</v>
      </c>
      <c r="E2184" s="8">
        <v>7</v>
      </c>
      <c r="F2184" s="6" t="str">
        <f t="shared" si="506"/>
        <v>94826801_07026</v>
      </c>
      <c r="G2184" s="6" t="str">
        <f t="shared" si="508"/>
        <v>F310631650000000</v>
      </c>
      <c r="H2184" s="6" t="str">
        <f t="shared" si="509"/>
        <v>PLAR 6316 FD - 500 g</v>
      </c>
      <c r="I2184" s="6" t="str">
        <f>"200901"</f>
        <v>200901</v>
      </c>
      <c r="J2184" s="6" t="str">
        <f>"ROSA 901"</f>
        <v>ROSA 901</v>
      </c>
      <c r="K2184" s="6" t="str">
        <f>"1024"</f>
        <v>1024</v>
      </c>
      <c r="L2184" s="6" t="str">
        <f>"Toalhas"</f>
        <v>Toalhas</v>
      </c>
      <c r="M2184" s="6" t="str">
        <f>"50x100"</f>
        <v>50x100</v>
      </c>
      <c r="N2184" s="6" t="str">
        <f>"5602972281118"</f>
        <v>5602972281118</v>
      </c>
      <c r="O2184" s="8">
        <v>6</v>
      </c>
      <c r="R2184" s="8">
        <v>0</v>
      </c>
      <c r="U2184" s="8">
        <v>0</v>
      </c>
      <c r="X2184" s="8">
        <v>0</v>
      </c>
      <c r="Z2184" s="8">
        <v>0</v>
      </c>
      <c r="AC2184" s="8">
        <v>0</v>
      </c>
      <c r="AF2184" s="8">
        <v>0</v>
      </c>
      <c r="AN2184" s="8">
        <v>6</v>
      </c>
      <c r="AO2184" s="8">
        <v>0</v>
      </c>
    </row>
    <row r="2185" spans="1:41" x14ac:dyDescent="0.25">
      <c r="A2185" s="6" t="str">
        <f t="shared" si="505"/>
        <v>522-2026000222</v>
      </c>
      <c r="B2185" s="6" t="str">
        <f t="shared" si="507"/>
        <v>EL CORTE</v>
      </c>
      <c r="C2185" s="7">
        <v>46037</v>
      </c>
      <c r="D2185" s="7">
        <v>46042</v>
      </c>
      <c r="E2185" s="8">
        <v>8</v>
      </c>
      <c r="F2185" s="6" t="str">
        <f t="shared" si="506"/>
        <v>94826801_07026</v>
      </c>
      <c r="G2185" s="6" t="str">
        <f t="shared" si="508"/>
        <v>F310631650000000</v>
      </c>
      <c r="H2185" s="6" t="str">
        <f t="shared" si="509"/>
        <v>PLAR 6316 FD - 500 g</v>
      </c>
      <c r="I2185" s="6" t="str">
        <f>"200901"</f>
        <v>200901</v>
      </c>
      <c r="J2185" s="6" t="str">
        <f>"ROSA 901"</f>
        <v>ROSA 901</v>
      </c>
      <c r="K2185" s="6" t="str">
        <f>"2020"</f>
        <v>2020</v>
      </c>
      <c r="L2185" s="6" t="str">
        <f>"Lençóis"</f>
        <v>Lençóis</v>
      </c>
      <c r="M2185" s="6" t="str">
        <f>"100x150"</f>
        <v>100x150</v>
      </c>
      <c r="N2185" s="6" t="str">
        <f>"5602972281125"</f>
        <v>5602972281125</v>
      </c>
      <c r="O2185" s="8">
        <v>6</v>
      </c>
      <c r="R2185" s="8">
        <v>0</v>
      </c>
      <c r="U2185" s="8">
        <v>0</v>
      </c>
      <c r="X2185" s="8">
        <v>0</v>
      </c>
      <c r="Z2185" s="8">
        <v>0</v>
      </c>
      <c r="AC2185" s="8">
        <v>0</v>
      </c>
      <c r="AF2185" s="8">
        <v>0</v>
      </c>
      <c r="AN2185" s="8">
        <v>0</v>
      </c>
      <c r="AO2185" s="8">
        <v>6</v>
      </c>
    </row>
    <row r="2186" spans="1:41" x14ac:dyDescent="0.25">
      <c r="A2186" s="6" t="str">
        <f t="shared" si="505"/>
        <v>522-2026000222</v>
      </c>
      <c r="B2186" s="6" t="str">
        <f t="shared" si="507"/>
        <v>EL CORTE</v>
      </c>
      <c r="C2186" s="7">
        <v>46037</v>
      </c>
      <c r="D2186" s="7">
        <v>46042</v>
      </c>
      <c r="E2186" s="8">
        <v>9</v>
      </c>
      <c r="F2186" s="6" t="str">
        <f t="shared" si="506"/>
        <v>94826801_07026</v>
      </c>
      <c r="G2186" s="6" t="str">
        <f t="shared" si="508"/>
        <v>F310631650000000</v>
      </c>
      <c r="H2186" s="6" t="str">
        <f t="shared" si="509"/>
        <v>PLAR 6316 FD - 500 g</v>
      </c>
      <c r="I2186" s="6" t="str">
        <f>"200510"</f>
        <v>200510</v>
      </c>
      <c r="J2186" s="6" t="str">
        <f>"VERDE 510"</f>
        <v>VERDE 510</v>
      </c>
      <c r="K2186" s="6" t="str">
        <f>"0520"</f>
        <v>0520</v>
      </c>
      <c r="L2186" s="6" t="str">
        <f>"Toalhetes"</f>
        <v>Toalhetes</v>
      </c>
      <c r="M2186" s="6" t="str">
        <f>"30x50"</f>
        <v>30x50</v>
      </c>
      <c r="N2186" s="6" t="str">
        <f>"5602972281132"</f>
        <v>5602972281132</v>
      </c>
      <c r="O2186" s="8">
        <v>6</v>
      </c>
      <c r="R2186" s="8">
        <v>0</v>
      </c>
      <c r="U2186" s="8">
        <v>0</v>
      </c>
      <c r="X2186" s="8">
        <v>0</v>
      </c>
      <c r="Z2186" s="8">
        <v>0</v>
      </c>
      <c r="AC2186" s="8">
        <v>0</v>
      </c>
      <c r="AF2186" s="8">
        <v>0</v>
      </c>
      <c r="AN2186" s="8">
        <v>6</v>
      </c>
      <c r="AO2186" s="8">
        <v>0</v>
      </c>
    </row>
    <row r="2187" spans="1:41" x14ac:dyDescent="0.25">
      <c r="A2187" s="6" t="str">
        <f t="shared" si="505"/>
        <v>522-2026000222</v>
      </c>
      <c r="B2187" s="6" t="str">
        <f t="shared" si="507"/>
        <v>EL CORTE</v>
      </c>
      <c r="C2187" s="7">
        <v>46037</v>
      </c>
      <c r="D2187" s="7">
        <v>46042</v>
      </c>
      <c r="E2187" s="8">
        <v>10</v>
      </c>
      <c r="F2187" s="6" t="str">
        <f t="shared" si="506"/>
        <v>94826801_07026</v>
      </c>
      <c r="G2187" s="6" t="str">
        <f t="shared" si="508"/>
        <v>F310631650000000</v>
      </c>
      <c r="H2187" s="6" t="str">
        <f t="shared" si="509"/>
        <v>PLAR 6316 FD - 500 g</v>
      </c>
      <c r="I2187" s="6" t="str">
        <f>"200510"</f>
        <v>200510</v>
      </c>
      <c r="J2187" s="6" t="str">
        <f>"VERDE 510"</f>
        <v>VERDE 510</v>
      </c>
      <c r="K2187" s="6" t="str">
        <f>"2020"</f>
        <v>2020</v>
      </c>
      <c r="L2187" s="6" t="str">
        <f>"Lençóis"</f>
        <v>Lençóis</v>
      </c>
      <c r="M2187" s="6" t="str">
        <f>"100x150"</f>
        <v>100x150</v>
      </c>
      <c r="N2187" s="6" t="str">
        <f>"5602972281156"</f>
        <v>5602972281156</v>
      </c>
      <c r="O2187" s="8">
        <v>6</v>
      </c>
      <c r="R2187" s="8">
        <v>0</v>
      </c>
      <c r="U2187" s="8">
        <v>0</v>
      </c>
      <c r="X2187" s="8">
        <v>0</v>
      </c>
      <c r="Z2187" s="8">
        <v>0</v>
      </c>
      <c r="AC2187" s="8">
        <v>0</v>
      </c>
      <c r="AF2187" s="8">
        <v>0</v>
      </c>
      <c r="AN2187" s="8">
        <v>0</v>
      </c>
      <c r="AO2187" s="8">
        <v>6</v>
      </c>
    </row>
    <row r="2188" spans="1:41" x14ac:dyDescent="0.25">
      <c r="A2188" s="6" t="str">
        <f t="shared" ref="A2188:A2194" si="510">"522-2026000223"</f>
        <v>522-2026000223</v>
      </c>
      <c r="B2188" s="6" t="str">
        <f t="shared" si="507"/>
        <v>EL CORTE</v>
      </c>
      <c r="C2188" s="7">
        <v>46037</v>
      </c>
      <c r="D2188" s="7">
        <v>46042</v>
      </c>
      <c r="E2188" s="8">
        <v>1</v>
      </c>
      <c r="F2188" s="6" t="str">
        <f t="shared" ref="F2188:F2194" si="511">"94829201_07026"</f>
        <v>94829201_07026</v>
      </c>
      <c r="G2188" s="6" t="str">
        <f t="shared" si="508"/>
        <v>F310631650000000</v>
      </c>
      <c r="H2188" s="6" t="str">
        <f t="shared" si="509"/>
        <v>PLAR 6316 FD - 500 g</v>
      </c>
      <c r="I2188" s="6" t="str">
        <f>"201855"</f>
        <v>201855</v>
      </c>
      <c r="J2188" s="6" t="str">
        <f>"AZUL 1855"</f>
        <v>AZUL 1855</v>
      </c>
      <c r="K2188" s="6" t="str">
        <f>"1024"</f>
        <v>1024</v>
      </c>
      <c r="L2188" s="6" t="str">
        <f>"Toalhas"</f>
        <v>Toalhas</v>
      </c>
      <c r="M2188" s="6" t="str">
        <f>"50x100"</f>
        <v>50x100</v>
      </c>
      <c r="N2188" s="6" t="str">
        <f>"5602972281057"</f>
        <v>5602972281057</v>
      </c>
      <c r="O2188" s="8">
        <v>6</v>
      </c>
      <c r="R2188" s="8">
        <v>0</v>
      </c>
      <c r="U2188" s="8">
        <v>0</v>
      </c>
      <c r="X2188" s="8">
        <v>0</v>
      </c>
      <c r="Z2188" s="8">
        <v>0</v>
      </c>
      <c r="AC2188" s="8">
        <v>0</v>
      </c>
      <c r="AF2188" s="8">
        <v>0</v>
      </c>
      <c r="AN2188" s="8">
        <v>6</v>
      </c>
      <c r="AO2188" s="8">
        <v>0</v>
      </c>
    </row>
    <row r="2189" spans="1:41" x14ac:dyDescent="0.25">
      <c r="A2189" s="6" t="str">
        <f t="shared" si="510"/>
        <v>522-2026000223</v>
      </c>
      <c r="B2189" s="6" t="str">
        <f t="shared" si="507"/>
        <v>EL CORTE</v>
      </c>
      <c r="C2189" s="7">
        <v>46037</v>
      </c>
      <c r="D2189" s="7">
        <v>46042</v>
      </c>
      <c r="E2189" s="8">
        <v>2</v>
      </c>
      <c r="F2189" s="6" t="str">
        <f t="shared" si="511"/>
        <v>94829201_07026</v>
      </c>
      <c r="G2189" s="6" t="str">
        <f t="shared" si="508"/>
        <v>F310631650000000</v>
      </c>
      <c r="H2189" s="6" t="str">
        <f t="shared" si="509"/>
        <v>PLAR 6316 FD - 500 g</v>
      </c>
      <c r="I2189" s="6" t="str">
        <f>"201855"</f>
        <v>201855</v>
      </c>
      <c r="J2189" s="6" t="str">
        <f>"AZUL 1855"</f>
        <v>AZUL 1855</v>
      </c>
      <c r="K2189" s="6" t="str">
        <f>"2020"</f>
        <v>2020</v>
      </c>
      <c r="L2189" s="6" t="str">
        <f>"Lençóis"</f>
        <v>Lençóis</v>
      </c>
      <c r="M2189" s="6" t="str">
        <f>"100x150"</f>
        <v>100x150</v>
      </c>
      <c r="N2189" s="6" t="str">
        <f>"5602972281064"</f>
        <v>5602972281064</v>
      </c>
      <c r="O2189" s="8">
        <v>3</v>
      </c>
      <c r="R2189" s="8">
        <v>0</v>
      </c>
      <c r="U2189" s="8">
        <v>0</v>
      </c>
      <c r="X2189" s="8">
        <v>0</v>
      </c>
      <c r="Z2189" s="8">
        <v>0</v>
      </c>
      <c r="AC2189" s="8">
        <v>0</v>
      </c>
      <c r="AF2189" s="8">
        <v>0</v>
      </c>
      <c r="AN2189" s="8">
        <v>0</v>
      </c>
      <c r="AO2189" s="8">
        <v>3</v>
      </c>
    </row>
    <row r="2190" spans="1:41" x14ac:dyDescent="0.25">
      <c r="A2190" s="6" t="str">
        <f t="shared" si="510"/>
        <v>522-2026000223</v>
      </c>
      <c r="B2190" s="6" t="str">
        <f t="shared" si="507"/>
        <v>EL CORTE</v>
      </c>
      <c r="C2190" s="7">
        <v>46037</v>
      </c>
      <c r="D2190" s="7">
        <v>46042</v>
      </c>
      <c r="E2190" s="8">
        <v>3</v>
      </c>
      <c r="F2190" s="6" t="str">
        <f t="shared" si="511"/>
        <v>94829201_07026</v>
      </c>
      <c r="G2190" s="6" t="str">
        <f t="shared" si="508"/>
        <v>F310631650000000</v>
      </c>
      <c r="H2190" s="6" t="str">
        <f t="shared" si="509"/>
        <v>PLAR 6316 FD - 500 g</v>
      </c>
      <c r="I2190" s="6" t="str">
        <f>"202575"</f>
        <v>202575</v>
      </c>
      <c r="J2190" s="6" t="str">
        <f>"BEGE 2575"</f>
        <v>BEGE 2575</v>
      </c>
      <c r="K2190" s="6" t="str">
        <f>"1024"</f>
        <v>1024</v>
      </c>
      <c r="L2190" s="6" t="str">
        <f>"Toalhas"</f>
        <v>Toalhas</v>
      </c>
      <c r="M2190" s="6" t="str">
        <f>"50x100"</f>
        <v>50x100</v>
      </c>
      <c r="N2190" s="6" t="str">
        <f>"5602972281088"</f>
        <v>5602972281088</v>
      </c>
      <c r="O2190" s="8">
        <v>6</v>
      </c>
      <c r="R2190" s="8">
        <v>0</v>
      </c>
      <c r="U2190" s="8">
        <v>0</v>
      </c>
      <c r="X2190" s="8">
        <v>0</v>
      </c>
      <c r="Z2190" s="8">
        <v>0</v>
      </c>
      <c r="AC2190" s="8">
        <v>0</v>
      </c>
      <c r="AF2190" s="8">
        <v>0</v>
      </c>
      <c r="AN2190" s="8">
        <v>6</v>
      </c>
      <c r="AO2190" s="8">
        <v>0</v>
      </c>
    </row>
    <row r="2191" spans="1:41" x14ac:dyDescent="0.25">
      <c r="A2191" s="6" t="str">
        <f t="shared" si="510"/>
        <v>522-2026000223</v>
      </c>
      <c r="B2191" s="6" t="str">
        <f t="shared" si="507"/>
        <v>EL CORTE</v>
      </c>
      <c r="C2191" s="7">
        <v>46037</v>
      </c>
      <c r="D2191" s="7">
        <v>46042</v>
      </c>
      <c r="E2191" s="8">
        <v>4</v>
      </c>
      <c r="F2191" s="6" t="str">
        <f t="shared" si="511"/>
        <v>94829201_07026</v>
      </c>
      <c r="G2191" s="6" t="str">
        <f t="shared" si="508"/>
        <v>F310631650000000</v>
      </c>
      <c r="H2191" s="6" t="str">
        <f t="shared" si="509"/>
        <v>PLAR 6316 FD - 500 g</v>
      </c>
      <c r="I2191" s="6" t="str">
        <f>"202575"</f>
        <v>202575</v>
      </c>
      <c r="J2191" s="6" t="str">
        <f>"BEGE 2575"</f>
        <v>BEGE 2575</v>
      </c>
      <c r="K2191" s="6" t="str">
        <f>"2020"</f>
        <v>2020</v>
      </c>
      <c r="L2191" s="6" t="str">
        <f>"Lençóis"</f>
        <v>Lençóis</v>
      </c>
      <c r="M2191" s="6" t="str">
        <f>"100x150"</f>
        <v>100x150</v>
      </c>
      <c r="N2191" s="6" t="str">
        <f>"5602972281095"</f>
        <v>5602972281095</v>
      </c>
      <c r="O2191" s="8">
        <v>6</v>
      </c>
      <c r="R2191" s="8">
        <v>0</v>
      </c>
      <c r="U2191" s="8">
        <v>0</v>
      </c>
      <c r="X2191" s="8">
        <v>0</v>
      </c>
      <c r="Z2191" s="8">
        <v>0</v>
      </c>
      <c r="AC2191" s="8">
        <v>0</v>
      </c>
      <c r="AF2191" s="8">
        <v>0</v>
      </c>
      <c r="AN2191" s="8">
        <v>0</v>
      </c>
      <c r="AO2191" s="8">
        <v>6</v>
      </c>
    </row>
    <row r="2192" spans="1:41" x14ac:dyDescent="0.25">
      <c r="A2192" s="6" t="str">
        <f t="shared" si="510"/>
        <v>522-2026000223</v>
      </c>
      <c r="B2192" s="6" t="str">
        <f t="shared" si="507"/>
        <v>EL CORTE</v>
      </c>
      <c r="C2192" s="7">
        <v>46037</v>
      </c>
      <c r="D2192" s="7">
        <v>46042</v>
      </c>
      <c r="E2192" s="8">
        <v>5</v>
      </c>
      <c r="F2192" s="6" t="str">
        <f t="shared" si="511"/>
        <v>94829201_07026</v>
      </c>
      <c r="G2192" s="6" t="str">
        <f t="shared" si="508"/>
        <v>F310631650000000</v>
      </c>
      <c r="H2192" s="6" t="str">
        <f t="shared" si="509"/>
        <v>PLAR 6316 FD - 500 g</v>
      </c>
      <c r="I2192" s="6" t="str">
        <f>"200901"</f>
        <v>200901</v>
      </c>
      <c r="J2192" s="6" t="str">
        <f>"ROSA 901"</f>
        <v>ROSA 901</v>
      </c>
      <c r="K2192" s="6" t="str">
        <f>"1024"</f>
        <v>1024</v>
      </c>
      <c r="L2192" s="6" t="str">
        <f>"Toalhas"</f>
        <v>Toalhas</v>
      </c>
      <c r="M2192" s="6" t="str">
        <f>"50x100"</f>
        <v>50x100</v>
      </c>
      <c r="N2192" s="6" t="str">
        <f>"5602972281118"</f>
        <v>5602972281118</v>
      </c>
      <c r="O2192" s="8">
        <v>6</v>
      </c>
      <c r="R2192" s="8">
        <v>0</v>
      </c>
      <c r="U2192" s="8">
        <v>0</v>
      </c>
      <c r="X2192" s="8">
        <v>0</v>
      </c>
      <c r="Z2192" s="8">
        <v>0</v>
      </c>
      <c r="AC2192" s="8">
        <v>0</v>
      </c>
      <c r="AF2192" s="8">
        <v>0</v>
      </c>
      <c r="AN2192" s="8">
        <v>6</v>
      </c>
      <c r="AO2192" s="8">
        <v>0</v>
      </c>
    </row>
    <row r="2193" spans="1:41" x14ac:dyDescent="0.25">
      <c r="A2193" s="6" t="str">
        <f t="shared" si="510"/>
        <v>522-2026000223</v>
      </c>
      <c r="B2193" s="6" t="str">
        <f t="shared" si="507"/>
        <v>EL CORTE</v>
      </c>
      <c r="C2193" s="7">
        <v>46037</v>
      </c>
      <c r="D2193" s="7">
        <v>46042</v>
      </c>
      <c r="E2193" s="8">
        <v>6</v>
      </c>
      <c r="F2193" s="6" t="str">
        <f t="shared" si="511"/>
        <v>94829201_07026</v>
      </c>
      <c r="G2193" s="6" t="str">
        <f t="shared" si="508"/>
        <v>F310631650000000</v>
      </c>
      <c r="H2193" s="6" t="str">
        <f t="shared" si="509"/>
        <v>PLAR 6316 FD - 500 g</v>
      </c>
      <c r="I2193" s="6" t="str">
        <f>"200901"</f>
        <v>200901</v>
      </c>
      <c r="J2193" s="6" t="str">
        <f>"ROSA 901"</f>
        <v>ROSA 901</v>
      </c>
      <c r="K2193" s="6" t="str">
        <f>"2020"</f>
        <v>2020</v>
      </c>
      <c r="L2193" s="6" t="str">
        <f>"Lençóis"</f>
        <v>Lençóis</v>
      </c>
      <c r="M2193" s="6" t="str">
        <f>"100x150"</f>
        <v>100x150</v>
      </c>
      <c r="N2193" s="6" t="str">
        <f>"5602972281125"</f>
        <v>5602972281125</v>
      </c>
      <c r="O2193" s="8">
        <v>6</v>
      </c>
      <c r="R2193" s="8">
        <v>0</v>
      </c>
      <c r="U2193" s="8">
        <v>0</v>
      </c>
      <c r="X2193" s="8">
        <v>0</v>
      </c>
      <c r="Z2193" s="8">
        <v>0</v>
      </c>
      <c r="AC2193" s="8">
        <v>0</v>
      </c>
      <c r="AF2193" s="8">
        <v>0</v>
      </c>
      <c r="AN2193" s="8">
        <v>0</v>
      </c>
      <c r="AO2193" s="8">
        <v>6</v>
      </c>
    </row>
    <row r="2194" spans="1:41" x14ac:dyDescent="0.25">
      <c r="A2194" s="6" t="str">
        <f t="shared" si="510"/>
        <v>522-2026000223</v>
      </c>
      <c r="B2194" s="6" t="str">
        <f t="shared" si="507"/>
        <v>EL CORTE</v>
      </c>
      <c r="C2194" s="7">
        <v>46037</v>
      </c>
      <c r="D2194" s="7">
        <v>46042</v>
      </c>
      <c r="E2194" s="8">
        <v>7</v>
      </c>
      <c r="F2194" s="6" t="str">
        <f t="shared" si="511"/>
        <v>94829201_07026</v>
      </c>
      <c r="G2194" s="6" t="str">
        <f t="shared" si="508"/>
        <v>F310631650000000</v>
      </c>
      <c r="H2194" s="6" t="str">
        <f t="shared" si="509"/>
        <v>PLAR 6316 FD - 500 g</v>
      </c>
      <c r="I2194" s="6" t="str">
        <f>"200510"</f>
        <v>200510</v>
      </c>
      <c r="J2194" s="6" t="str">
        <f>"VERDE 510"</f>
        <v>VERDE 510</v>
      </c>
      <c r="K2194" s="6" t="str">
        <f>"2020"</f>
        <v>2020</v>
      </c>
      <c r="L2194" s="6" t="str">
        <f>"Lençóis"</f>
        <v>Lençóis</v>
      </c>
      <c r="M2194" s="6" t="str">
        <f>"100x150"</f>
        <v>100x150</v>
      </c>
      <c r="N2194" s="6" t="str">
        <f>"5602972281156"</f>
        <v>5602972281156</v>
      </c>
      <c r="O2194" s="8">
        <v>3</v>
      </c>
      <c r="R2194" s="8">
        <v>0</v>
      </c>
      <c r="U2194" s="8">
        <v>0</v>
      </c>
      <c r="X2194" s="8">
        <v>0</v>
      </c>
      <c r="Z2194" s="8">
        <v>0</v>
      </c>
      <c r="AC2194" s="8">
        <v>0</v>
      </c>
      <c r="AF2194" s="8">
        <v>0</v>
      </c>
      <c r="AN2194" s="8">
        <v>0</v>
      </c>
      <c r="AO2194" s="8">
        <v>3</v>
      </c>
    </row>
    <row r="2195" spans="1:41" x14ac:dyDescent="0.25">
      <c r="A2195" s="6" t="str">
        <f t="shared" ref="A2195:A2205" si="512">"522-2026000224"</f>
        <v>522-2026000224</v>
      </c>
      <c r="B2195" s="6" t="str">
        <f t="shared" si="507"/>
        <v>EL CORTE</v>
      </c>
      <c r="C2195" s="7">
        <v>46037</v>
      </c>
      <c r="D2195" s="7">
        <v>46042</v>
      </c>
      <c r="E2195" s="8">
        <v>1</v>
      </c>
      <c r="F2195" s="6" t="str">
        <f t="shared" ref="F2195:F2205" si="513">"94826001_07026"</f>
        <v>94826001_07026</v>
      </c>
      <c r="G2195" s="6" t="str">
        <f t="shared" si="508"/>
        <v>F310631650000000</v>
      </c>
      <c r="H2195" s="6" t="str">
        <f t="shared" si="509"/>
        <v>PLAR 6316 FD - 500 g</v>
      </c>
      <c r="I2195" s="6" t="str">
        <f>"201855"</f>
        <v>201855</v>
      </c>
      <c r="J2195" s="6" t="str">
        <f>"AZUL 1855"</f>
        <v>AZUL 1855</v>
      </c>
      <c r="K2195" s="6" t="str">
        <f>"1024"</f>
        <v>1024</v>
      </c>
      <c r="L2195" s="6" t="str">
        <f>"Toalhas"</f>
        <v>Toalhas</v>
      </c>
      <c r="M2195" s="6" t="str">
        <f>"50x100"</f>
        <v>50x100</v>
      </c>
      <c r="N2195" s="6" t="str">
        <f>"5602972281057"</f>
        <v>5602972281057</v>
      </c>
      <c r="O2195" s="8">
        <v>6</v>
      </c>
      <c r="R2195" s="8">
        <v>0</v>
      </c>
      <c r="U2195" s="8">
        <v>0</v>
      </c>
      <c r="X2195" s="8">
        <v>0</v>
      </c>
      <c r="Z2195" s="8">
        <v>0</v>
      </c>
      <c r="AC2195" s="8">
        <v>0</v>
      </c>
      <c r="AF2195" s="8">
        <v>0</v>
      </c>
      <c r="AN2195" s="8">
        <v>6</v>
      </c>
      <c r="AO2195" s="8">
        <v>0</v>
      </c>
    </row>
    <row r="2196" spans="1:41" x14ac:dyDescent="0.25">
      <c r="A2196" s="6" t="str">
        <f t="shared" si="512"/>
        <v>522-2026000224</v>
      </c>
      <c r="B2196" s="6" t="str">
        <f t="shared" si="507"/>
        <v>EL CORTE</v>
      </c>
      <c r="C2196" s="7">
        <v>46037</v>
      </c>
      <c r="D2196" s="7">
        <v>46042</v>
      </c>
      <c r="E2196" s="8">
        <v>2</v>
      </c>
      <c r="F2196" s="6" t="str">
        <f t="shared" si="513"/>
        <v>94826001_07026</v>
      </c>
      <c r="G2196" s="6" t="str">
        <f t="shared" si="508"/>
        <v>F310631650000000</v>
      </c>
      <c r="H2196" s="6" t="str">
        <f t="shared" si="509"/>
        <v>PLAR 6316 FD - 500 g</v>
      </c>
      <c r="I2196" s="6" t="str">
        <f>"201855"</f>
        <v>201855</v>
      </c>
      <c r="J2196" s="6" t="str">
        <f>"AZUL 1855"</f>
        <v>AZUL 1855</v>
      </c>
      <c r="K2196" s="6" t="str">
        <f>"2020"</f>
        <v>2020</v>
      </c>
      <c r="L2196" s="6" t="str">
        <f>"Lençóis"</f>
        <v>Lençóis</v>
      </c>
      <c r="M2196" s="6" t="str">
        <f>"100x150"</f>
        <v>100x150</v>
      </c>
      <c r="N2196" s="6" t="str">
        <f>"5602972281064"</f>
        <v>5602972281064</v>
      </c>
      <c r="O2196" s="8">
        <v>6</v>
      </c>
      <c r="R2196" s="8">
        <v>0</v>
      </c>
      <c r="U2196" s="8">
        <v>0</v>
      </c>
      <c r="X2196" s="8">
        <v>0</v>
      </c>
      <c r="Z2196" s="8">
        <v>0</v>
      </c>
      <c r="AC2196" s="8">
        <v>0</v>
      </c>
      <c r="AF2196" s="8">
        <v>0</v>
      </c>
      <c r="AN2196" s="8">
        <v>0</v>
      </c>
      <c r="AO2196" s="8">
        <v>6</v>
      </c>
    </row>
    <row r="2197" spans="1:41" x14ac:dyDescent="0.25">
      <c r="A2197" s="6" t="str">
        <f t="shared" si="512"/>
        <v>522-2026000224</v>
      </c>
      <c r="B2197" s="6" t="str">
        <f t="shared" si="507"/>
        <v>EL CORTE</v>
      </c>
      <c r="C2197" s="7">
        <v>46037</v>
      </c>
      <c r="D2197" s="7">
        <v>46042</v>
      </c>
      <c r="E2197" s="8">
        <v>3</v>
      </c>
      <c r="F2197" s="6" t="str">
        <f t="shared" si="513"/>
        <v>94826001_07026</v>
      </c>
      <c r="G2197" s="6" t="str">
        <f t="shared" si="508"/>
        <v>F310631650000000</v>
      </c>
      <c r="H2197" s="6" t="str">
        <f t="shared" si="509"/>
        <v>PLAR 6316 FD - 500 g</v>
      </c>
      <c r="I2197" s="6" t="str">
        <f>"202575"</f>
        <v>202575</v>
      </c>
      <c r="J2197" s="6" t="str">
        <f>"BEGE 2575"</f>
        <v>BEGE 2575</v>
      </c>
      <c r="K2197" s="6" t="str">
        <f>"0520"</f>
        <v>0520</v>
      </c>
      <c r="L2197" s="6" t="str">
        <f>"Toalhetes"</f>
        <v>Toalhetes</v>
      </c>
      <c r="M2197" s="6" t="str">
        <f>"30x50"</f>
        <v>30x50</v>
      </c>
      <c r="N2197" s="6" t="str">
        <f>"5602972281071"</f>
        <v>5602972281071</v>
      </c>
      <c r="O2197" s="8">
        <v>6</v>
      </c>
      <c r="R2197" s="8">
        <v>0</v>
      </c>
      <c r="U2197" s="8">
        <v>0</v>
      </c>
      <c r="X2197" s="8">
        <v>0</v>
      </c>
      <c r="Z2197" s="8">
        <v>0</v>
      </c>
      <c r="AC2197" s="8">
        <v>0</v>
      </c>
      <c r="AF2197" s="8">
        <v>0</v>
      </c>
      <c r="AN2197" s="8">
        <v>6</v>
      </c>
      <c r="AO2197" s="8">
        <v>0</v>
      </c>
    </row>
    <row r="2198" spans="1:41" x14ac:dyDescent="0.25">
      <c r="A2198" s="6" t="str">
        <f t="shared" si="512"/>
        <v>522-2026000224</v>
      </c>
      <c r="B2198" s="6" t="str">
        <f t="shared" si="507"/>
        <v>EL CORTE</v>
      </c>
      <c r="C2198" s="7">
        <v>46037</v>
      </c>
      <c r="D2198" s="7">
        <v>46042</v>
      </c>
      <c r="E2198" s="8">
        <v>4</v>
      </c>
      <c r="F2198" s="6" t="str">
        <f t="shared" si="513"/>
        <v>94826001_07026</v>
      </c>
      <c r="G2198" s="6" t="str">
        <f t="shared" si="508"/>
        <v>F310631650000000</v>
      </c>
      <c r="H2198" s="6" t="str">
        <f t="shared" si="509"/>
        <v>PLAR 6316 FD - 500 g</v>
      </c>
      <c r="I2198" s="6" t="str">
        <f>"202575"</f>
        <v>202575</v>
      </c>
      <c r="J2198" s="6" t="str">
        <f>"BEGE 2575"</f>
        <v>BEGE 2575</v>
      </c>
      <c r="K2198" s="6" t="str">
        <f>"1024"</f>
        <v>1024</v>
      </c>
      <c r="L2198" s="6" t="str">
        <f>"Toalhas"</f>
        <v>Toalhas</v>
      </c>
      <c r="M2198" s="6" t="str">
        <f>"50x100"</f>
        <v>50x100</v>
      </c>
      <c r="N2198" s="6" t="str">
        <f>"5602972281088"</f>
        <v>5602972281088</v>
      </c>
      <c r="O2198" s="8">
        <v>18</v>
      </c>
      <c r="R2198" s="8">
        <v>0</v>
      </c>
      <c r="U2198" s="8">
        <v>0</v>
      </c>
      <c r="X2198" s="8">
        <v>0</v>
      </c>
      <c r="Z2198" s="8">
        <v>0</v>
      </c>
      <c r="AC2198" s="8">
        <v>0</v>
      </c>
      <c r="AF2198" s="8">
        <v>0</v>
      </c>
      <c r="AN2198" s="8">
        <v>18</v>
      </c>
      <c r="AO2198" s="8">
        <v>0</v>
      </c>
    </row>
    <row r="2199" spans="1:41" x14ac:dyDescent="0.25">
      <c r="A2199" s="6" t="str">
        <f t="shared" si="512"/>
        <v>522-2026000224</v>
      </c>
      <c r="B2199" s="6" t="str">
        <f t="shared" si="507"/>
        <v>EL CORTE</v>
      </c>
      <c r="C2199" s="7">
        <v>46037</v>
      </c>
      <c r="D2199" s="7">
        <v>46042</v>
      </c>
      <c r="E2199" s="8">
        <v>5</v>
      </c>
      <c r="F2199" s="6" t="str">
        <f t="shared" si="513"/>
        <v>94826001_07026</v>
      </c>
      <c r="G2199" s="6" t="str">
        <f t="shared" si="508"/>
        <v>F310631650000000</v>
      </c>
      <c r="H2199" s="6" t="str">
        <f t="shared" si="509"/>
        <v>PLAR 6316 FD - 500 g</v>
      </c>
      <c r="I2199" s="6" t="str">
        <f>"202575"</f>
        <v>202575</v>
      </c>
      <c r="J2199" s="6" t="str">
        <f>"BEGE 2575"</f>
        <v>BEGE 2575</v>
      </c>
      <c r="K2199" s="6" t="str">
        <f>"2020"</f>
        <v>2020</v>
      </c>
      <c r="L2199" s="6" t="str">
        <f>"Lençóis"</f>
        <v>Lençóis</v>
      </c>
      <c r="M2199" s="6" t="str">
        <f>"100x150"</f>
        <v>100x150</v>
      </c>
      <c r="N2199" s="6" t="str">
        <f>"5602972281095"</f>
        <v>5602972281095</v>
      </c>
      <c r="O2199" s="8">
        <v>6</v>
      </c>
      <c r="R2199" s="8">
        <v>0</v>
      </c>
      <c r="U2199" s="8">
        <v>0</v>
      </c>
      <c r="X2199" s="8">
        <v>0</v>
      </c>
      <c r="Z2199" s="8">
        <v>0</v>
      </c>
      <c r="AC2199" s="8">
        <v>0</v>
      </c>
      <c r="AF2199" s="8">
        <v>0</v>
      </c>
      <c r="AN2199" s="8">
        <v>0</v>
      </c>
      <c r="AO2199" s="8">
        <v>6</v>
      </c>
    </row>
    <row r="2200" spans="1:41" x14ac:dyDescent="0.25">
      <c r="A2200" s="6" t="str">
        <f t="shared" si="512"/>
        <v>522-2026000224</v>
      </c>
      <c r="B2200" s="6" t="str">
        <f t="shared" si="507"/>
        <v>EL CORTE</v>
      </c>
      <c r="C2200" s="7">
        <v>46037</v>
      </c>
      <c r="D2200" s="7">
        <v>46042</v>
      </c>
      <c r="E2200" s="8">
        <v>6</v>
      </c>
      <c r="F2200" s="6" t="str">
        <f t="shared" si="513"/>
        <v>94826001_07026</v>
      </c>
      <c r="G2200" s="6" t="str">
        <f t="shared" si="508"/>
        <v>F310631650000000</v>
      </c>
      <c r="H2200" s="6" t="str">
        <f t="shared" si="509"/>
        <v>PLAR 6316 FD - 500 g</v>
      </c>
      <c r="I2200" s="6" t="str">
        <f>"200901"</f>
        <v>200901</v>
      </c>
      <c r="J2200" s="6" t="str">
        <f>"ROSA 901"</f>
        <v>ROSA 901</v>
      </c>
      <c r="K2200" s="6" t="str">
        <f>"0520"</f>
        <v>0520</v>
      </c>
      <c r="L2200" s="6" t="str">
        <f>"Toalhetes"</f>
        <v>Toalhetes</v>
      </c>
      <c r="M2200" s="6" t="str">
        <f>"30x50"</f>
        <v>30x50</v>
      </c>
      <c r="N2200" s="6" t="str">
        <f>"5602972281101"</f>
        <v>5602972281101</v>
      </c>
      <c r="O2200" s="8">
        <v>6</v>
      </c>
      <c r="R2200" s="8">
        <v>0</v>
      </c>
      <c r="U2200" s="8">
        <v>0</v>
      </c>
      <c r="X2200" s="8">
        <v>0</v>
      </c>
      <c r="Z2200" s="8">
        <v>0</v>
      </c>
      <c r="AC2200" s="8">
        <v>0</v>
      </c>
      <c r="AF2200" s="8">
        <v>0</v>
      </c>
      <c r="AN2200" s="8">
        <v>6</v>
      </c>
      <c r="AO2200" s="8">
        <v>0</v>
      </c>
    </row>
    <row r="2201" spans="1:41" x14ac:dyDescent="0.25">
      <c r="A2201" s="6" t="str">
        <f t="shared" si="512"/>
        <v>522-2026000224</v>
      </c>
      <c r="B2201" s="6" t="str">
        <f t="shared" si="507"/>
        <v>EL CORTE</v>
      </c>
      <c r="C2201" s="7">
        <v>46037</v>
      </c>
      <c r="D2201" s="7">
        <v>46042</v>
      </c>
      <c r="E2201" s="8">
        <v>7</v>
      </c>
      <c r="F2201" s="6" t="str">
        <f t="shared" si="513"/>
        <v>94826001_07026</v>
      </c>
      <c r="G2201" s="6" t="str">
        <f t="shared" si="508"/>
        <v>F310631650000000</v>
      </c>
      <c r="H2201" s="6" t="str">
        <f t="shared" si="509"/>
        <v>PLAR 6316 FD - 500 g</v>
      </c>
      <c r="I2201" s="6" t="str">
        <f>"200901"</f>
        <v>200901</v>
      </c>
      <c r="J2201" s="6" t="str">
        <f>"ROSA 901"</f>
        <v>ROSA 901</v>
      </c>
      <c r="K2201" s="6" t="str">
        <f>"1024"</f>
        <v>1024</v>
      </c>
      <c r="L2201" s="6" t="str">
        <f>"Toalhas"</f>
        <v>Toalhas</v>
      </c>
      <c r="M2201" s="6" t="str">
        <f>"50x100"</f>
        <v>50x100</v>
      </c>
      <c r="N2201" s="6" t="str">
        <f>"5602972281118"</f>
        <v>5602972281118</v>
      </c>
      <c r="O2201" s="8">
        <v>12</v>
      </c>
      <c r="R2201" s="8">
        <v>0</v>
      </c>
      <c r="U2201" s="8">
        <v>0</v>
      </c>
      <c r="X2201" s="8">
        <v>0</v>
      </c>
      <c r="Z2201" s="8">
        <v>0</v>
      </c>
      <c r="AC2201" s="8">
        <v>0</v>
      </c>
      <c r="AF2201" s="8">
        <v>0</v>
      </c>
      <c r="AN2201" s="8">
        <v>12</v>
      </c>
      <c r="AO2201" s="8">
        <v>0</v>
      </c>
    </row>
    <row r="2202" spans="1:41" x14ac:dyDescent="0.25">
      <c r="A2202" s="6" t="str">
        <f t="shared" si="512"/>
        <v>522-2026000224</v>
      </c>
      <c r="B2202" s="6" t="str">
        <f t="shared" si="507"/>
        <v>EL CORTE</v>
      </c>
      <c r="C2202" s="7">
        <v>46037</v>
      </c>
      <c r="D2202" s="7">
        <v>46042</v>
      </c>
      <c r="E2202" s="8">
        <v>8</v>
      </c>
      <c r="F2202" s="6" t="str">
        <f t="shared" si="513"/>
        <v>94826001_07026</v>
      </c>
      <c r="G2202" s="6" t="str">
        <f t="shared" si="508"/>
        <v>F310631650000000</v>
      </c>
      <c r="H2202" s="6" t="str">
        <f t="shared" si="509"/>
        <v>PLAR 6316 FD - 500 g</v>
      </c>
      <c r="I2202" s="6" t="str">
        <f>"200901"</f>
        <v>200901</v>
      </c>
      <c r="J2202" s="6" t="str">
        <f>"ROSA 901"</f>
        <v>ROSA 901</v>
      </c>
      <c r="K2202" s="6" t="str">
        <f>"2020"</f>
        <v>2020</v>
      </c>
      <c r="L2202" s="6" t="str">
        <f>"Lençóis"</f>
        <v>Lençóis</v>
      </c>
      <c r="M2202" s="6" t="str">
        <f>"100x150"</f>
        <v>100x150</v>
      </c>
      <c r="N2202" s="6" t="str">
        <f>"5602972281125"</f>
        <v>5602972281125</v>
      </c>
      <c r="O2202" s="8">
        <v>6</v>
      </c>
      <c r="R2202" s="8">
        <v>0</v>
      </c>
      <c r="U2202" s="8">
        <v>0</v>
      </c>
      <c r="X2202" s="8">
        <v>0</v>
      </c>
      <c r="Z2202" s="8">
        <v>0</v>
      </c>
      <c r="AC2202" s="8">
        <v>0</v>
      </c>
      <c r="AF2202" s="8">
        <v>0</v>
      </c>
      <c r="AN2202" s="8">
        <v>0</v>
      </c>
      <c r="AO2202" s="8">
        <v>6</v>
      </c>
    </row>
    <row r="2203" spans="1:41" x14ac:dyDescent="0.25">
      <c r="A2203" s="6" t="str">
        <f t="shared" si="512"/>
        <v>522-2026000224</v>
      </c>
      <c r="B2203" s="6" t="str">
        <f t="shared" si="507"/>
        <v>EL CORTE</v>
      </c>
      <c r="C2203" s="7">
        <v>46037</v>
      </c>
      <c r="D2203" s="7">
        <v>46042</v>
      </c>
      <c r="E2203" s="8">
        <v>9</v>
      </c>
      <c r="F2203" s="6" t="str">
        <f t="shared" si="513"/>
        <v>94826001_07026</v>
      </c>
      <c r="G2203" s="6" t="str">
        <f t="shared" si="508"/>
        <v>F310631650000000</v>
      </c>
      <c r="H2203" s="6" t="str">
        <f t="shared" si="509"/>
        <v>PLAR 6316 FD - 500 g</v>
      </c>
      <c r="I2203" s="6" t="str">
        <f>"200510"</f>
        <v>200510</v>
      </c>
      <c r="J2203" s="6" t="str">
        <f>"VERDE 510"</f>
        <v>VERDE 510</v>
      </c>
      <c r="K2203" s="6" t="str">
        <f>"0520"</f>
        <v>0520</v>
      </c>
      <c r="L2203" s="6" t="str">
        <f>"Toalhetes"</f>
        <v>Toalhetes</v>
      </c>
      <c r="M2203" s="6" t="str">
        <f>"30x50"</f>
        <v>30x50</v>
      </c>
      <c r="N2203" s="6" t="str">
        <f>"5602972281132"</f>
        <v>5602972281132</v>
      </c>
      <c r="O2203" s="8">
        <v>6</v>
      </c>
      <c r="R2203" s="8">
        <v>0</v>
      </c>
      <c r="U2203" s="8">
        <v>0</v>
      </c>
      <c r="X2203" s="8">
        <v>0</v>
      </c>
      <c r="Z2203" s="8">
        <v>0</v>
      </c>
      <c r="AC2203" s="8">
        <v>0</v>
      </c>
      <c r="AF2203" s="8">
        <v>0</v>
      </c>
      <c r="AN2203" s="8">
        <v>6</v>
      </c>
      <c r="AO2203" s="8">
        <v>0</v>
      </c>
    </row>
    <row r="2204" spans="1:41" x14ac:dyDescent="0.25">
      <c r="A2204" s="6" t="str">
        <f t="shared" si="512"/>
        <v>522-2026000224</v>
      </c>
      <c r="B2204" s="6" t="str">
        <f t="shared" si="507"/>
        <v>EL CORTE</v>
      </c>
      <c r="C2204" s="7">
        <v>46037</v>
      </c>
      <c r="D2204" s="7">
        <v>46042</v>
      </c>
      <c r="E2204" s="8">
        <v>10</v>
      </c>
      <c r="F2204" s="6" t="str">
        <f t="shared" si="513"/>
        <v>94826001_07026</v>
      </c>
      <c r="G2204" s="6" t="str">
        <f t="shared" si="508"/>
        <v>F310631650000000</v>
      </c>
      <c r="H2204" s="6" t="str">
        <f t="shared" si="509"/>
        <v>PLAR 6316 FD - 500 g</v>
      </c>
      <c r="I2204" s="6" t="str">
        <f>"200510"</f>
        <v>200510</v>
      </c>
      <c r="J2204" s="6" t="str">
        <f>"VERDE 510"</f>
        <v>VERDE 510</v>
      </c>
      <c r="K2204" s="6" t="str">
        <f>"1024"</f>
        <v>1024</v>
      </c>
      <c r="L2204" s="6" t="str">
        <f>"Toalhas"</f>
        <v>Toalhas</v>
      </c>
      <c r="M2204" s="6" t="str">
        <f>"50x100"</f>
        <v>50x100</v>
      </c>
      <c r="N2204" s="6" t="str">
        <f>"5602972281149"</f>
        <v>5602972281149</v>
      </c>
      <c r="O2204" s="8">
        <v>6</v>
      </c>
      <c r="R2204" s="8">
        <v>0</v>
      </c>
      <c r="U2204" s="8">
        <v>0</v>
      </c>
      <c r="X2204" s="8">
        <v>0</v>
      </c>
      <c r="Z2204" s="8">
        <v>0</v>
      </c>
      <c r="AC2204" s="8">
        <v>0</v>
      </c>
      <c r="AF2204" s="8">
        <v>0</v>
      </c>
      <c r="AN2204" s="8">
        <v>6</v>
      </c>
      <c r="AO2204" s="8">
        <v>0</v>
      </c>
    </row>
    <row r="2205" spans="1:41" x14ac:dyDescent="0.25">
      <c r="A2205" s="6" t="str">
        <f t="shared" si="512"/>
        <v>522-2026000224</v>
      </c>
      <c r="B2205" s="6" t="str">
        <f t="shared" si="507"/>
        <v>EL CORTE</v>
      </c>
      <c r="C2205" s="7">
        <v>46037</v>
      </c>
      <c r="D2205" s="7">
        <v>46042</v>
      </c>
      <c r="E2205" s="8">
        <v>11</v>
      </c>
      <c r="F2205" s="6" t="str">
        <f t="shared" si="513"/>
        <v>94826001_07026</v>
      </c>
      <c r="G2205" s="6" t="str">
        <f t="shared" si="508"/>
        <v>F310631650000000</v>
      </c>
      <c r="H2205" s="6" t="str">
        <f t="shared" si="509"/>
        <v>PLAR 6316 FD - 500 g</v>
      </c>
      <c r="I2205" s="6" t="str">
        <f>"200510"</f>
        <v>200510</v>
      </c>
      <c r="J2205" s="6" t="str">
        <f>"VERDE 510"</f>
        <v>VERDE 510</v>
      </c>
      <c r="K2205" s="6" t="str">
        <f>"2020"</f>
        <v>2020</v>
      </c>
      <c r="L2205" s="6" t="str">
        <f>"Lençóis"</f>
        <v>Lençóis</v>
      </c>
      <c r="M2205" s="6" t="str">
        <f>"100x150"</f>
        <v>100x150</v>
      </c>
      <c r="N2205" s="6" t="str">
        <f>"5602972281156"</f>
        <v>5602972281156</v>
      </c>
      <c r="O2205" s="8">
        <v>6</v>
      </c>
      <c r="R2205" s="8">
        <v>0</v>
      </c>
      <c r="U2205" s="8">
        <v>0</v>
      </c>
      <c r="X2205" s="8">
        <v>0</v>
      </c>
      <c r="Z2205" s="8">
        <v>0</v>
      </c>
      <c r="AC2205" s="8">
        <v>0</v>
      </c>
      <c r="AF2205" s="8">
        <v>0</v>
      </c>
      <c r="AN2205" s="8">
        <v>0</v>
      </c>
      <c r="AO2205" s="8">
        <v>6</v>
      </c>
    </row>
    <row r="2206" spans="1:41" x14ac:dyDescent="0.25">
      <c r="A2206" s="6" t="str">
        <f>"522-2026000225"</f>
        <v>522-2026000225</v>
      </c>
      <c r="B2206" s="6" t="str">
        <f t="shared" si="507"/>
        <v>EL CORTE</v>
      </c>
      <c r="C2206" s="7">
        <v>46037</v>
      </c>
      <c r="D2206" s="7">
        <v>46042</v>
      </c>
      <c r="E2206" s="8">
        <v>1</v>
      </c>
      <c r="F2206" s="6" t="str">
        <f>"94831101_07026"</f>
        <v>94831101_07026</v>
      </c>
      <c r="G2206" s="6" t="str">
        <f t="shared" si="508"/>
        <v>F310631650000000</v>
      </c>
      <c r="H2206" s="6" t="str">
        <f t="shared" si="509"/>
        <v>PLAR 6316 FD - 500 g</v>
      </c>
      <c r="I2206" s="6" t="str">
        <f>"202575"</f>
        <v>202575</v>
      </c>
      <c r="J2206" s="6" t="str">
        <f>"BEGE 2575"</f>
        <v>BEGE 2575</v>
      </c>
      <c r="K2206" s="6" t="str">
        <f>"2020"</f>
        <v>2020</v>
      </c>
      <c r="L2206" s="6" t="str">
        <f>"Lençóis"</f>
        <v>Lençóis</v>
      </c>
      <c r="M2206" s="6" t="str">
        <f>"100x150"</f>
        <v>100x150</v>
      </c>
      <c r="N2206" s="6" t="str">
        <f>"5602972281095"</f>
        <v>5602972281095</v>
      </c>
      <c r="O2206" s="8">
        <v>3</v>
      </c>
      <c r="R2206" s="8">
        <v>0</v>
      </c>
      <c r="U2206" s="8">
        <v>0</v>
      </c>
      <c r="X2206" s="8">
        <v>0</v>
      </c>
      <c r="Z2206" s="8">
        <v>0</v>
      </c>
      <c r="AC2206" s="8">
        <v>0</v>
      </c>
      <c r="AF2206" s="8">
        <v>0</v>
      </c>
      <c r="AN2206" s="8">
        <v>0</v>
      </c>
      <c r="AO2206" s="8">
        <v>3</v>
      </c>
    </row>
    <row r="2207" spans="1:41" x14ac:dyDescent="0.25">
      <c r="A2207" s="6" t="str">
        <f>"522-2026000225"</f>
        <v>522-2026000225</v>
      </c>
      <c r="B2207" s="6" t="str">
        <f t="shared" si="507"/>
        <v>EL CORTE</v>
      </c>
      <c r="C2207" s="7">
        <v>46037</v>
      </c>
      <c r="D2207" s="7">
        <v>46042</v>
      </c>
      <c r="E2207" s="8">
        <v>2</v>
      </c>
      <c r="F2207" s="6" t="str">
        <f>"94831101_07026"</f>
        <v>94831101_07026</v>
      </c>
      <c r="G2207" s="6" t="str">
        <f t="shared" si="508"/>
        <v>F310631650000000</v>
      </c>
      <c r="H2207" s="6" t="str">
        <f t="shared" si="509"/>
        <v>PLAR 6316 FD - 500 g</v>
      </c>
      <c r="I2207" s="6" t="str">
        <f>"200901"</f>
        <v>200901</v>
      </c>
      <c r="J2207" s="6" t="str">
        <f>"ROSA 901"</f>
        <v>ROSA 901</v>
      </c>
      <c r="K2207" s="6" t="str">
        <f>"2020"</f>
        <v>2020</v>
      </c>
      <c r="L2207" s="6" t="str">
        <f>"Lençóis"</f>
        <v>Lençóis</v>
      </c>
      <c r="M2207" s="6" t="str">
        <f>"100x150"</f>
        <v>100x150</v>
      </c>
      <c r="N2207" s="6" t="str">
        <f>"5602972281125"</f>
        <v>5602972281125</v>
      </c>
      <c r="O2207" s="8">
        <v>3</v>
      </c>
      <c r="R2207" s="8">
        <v>0</v>
      </c>
      <c r="U2207" s="8">
        <v>0</v>
      </c>
      <c r="X2207" s="8">
        <v>0</v>
      </c>
      <c r="Z2207" s="8">
        <v>0</v>
      </c>
      <c r="AC2207" s="8">
        <v>0</v>
      </c>
      <c r="AF2207" s="8">
        <v>0</v>
      </c>
      <c r="AN2207" s="8">
        <v>0</v>
      </c>
      <c r="AO2207" s="8">
        <v>3</v>
      </c>
    </row>
    <row r="2208" spans="1:41" x14ac:dyDescent="0.25">
      <c r="A2208" s="6" t="str">
        <f>"522-2026000226"</f>
        <v>522-2026000226</v>
      </c>
      <c r="B2208" s="6" t="str">
        <f t="shared" si="507"/>
        <v>EL CORTE</v>
      </c>
      <c r="C2208" s="7">
        <v>46037</v>
      </c>
      <c r="D2208" s="7">
        <v>46042</v>
      </c>
      <c r="E2208" s="8">
        <v>1</v>
      </c>
      <c r="F2208" s="6" t="str">
        <f>"94830501_07026"</f>
        <v>94830501_07026</v>
      </c>
      <c r="G2208" s="6" t="str">
        <f t="shared" si="508"/>
        <v>F310631650000000</v>
      </c>
      <c r="H2208" s="6" t="str">
        <f t="shared" si="509"/>
        <v>PLAR 6316 FD - 500 g</v>
      </c>
      <c r="I2208" s="6" t="str">
        <f>"200901"</f>
        <v>200901</v>
      </c>
      <c r="J2208" s="6" t="str">
        <f>"ROSA 901"</f>
        <v>ROSA 901</v>
      </c>
      <c r="K2208" s="6" t="str">
        <f>"1024"</f>
        <v>1024</v>
      </c>
      <c r="L2208" s="6" t="str">
        <f>"Toalhas"</f>
        <v>Toalhas</v>
      </c>
      <c r="M2208" s="6" t="str">
        <f>"50x100"</f>
        <v>50x100</v>
      </c>
      <c r="N2208" s="6" t="str">
        <f>"5602972281118"</f>
        <v>5602972281118</v>
      </c>
      <c r="O2208" s="8">
        <v>6</v>
      </c>
      <c r="R2208" s="8">
        <v>0</v>
      </c>
      <c r="U2208" s="8">
        <v>0</v>
      </c>
      <c r="X2208" s="8">
        <v>0</v>
      </c>
      <c r="Z2208" s="8">
        <v>0</v>
      </c>
      <c r="AC2208" s="8">
        <v>0</v>
      </c>
      <c r="AF2208" s="8">
        <v>0</v>
      </c>
      <c r="AN2208" s="8">
        <v>6</v>
      </c>
      <c r="AO2208" s="8">
        <v>0</v>
      </c>
    </row>
    <row r="2209" spans="1:41" x14ac:dyDescent="0.25">
      <c r="A2209" s="6" t="str">
        <f t="shared" ref="A2209:A2214" si="514">"522-2026000227"</f>
        <v>522-2026000227</v>
      </c>
      <c r="B2209" s="6" t="str">
        <f t="shared" si="507"/>
        <v>EL CORTE</v>
      </c>
      <c r="C2209" s="7">
        <v>46037</v>
      </c>
      <c r="D2209" s="7">
        <v>46042</v>
      </c>
      <c r="E2209" s="8">
        <v>1</v>
      </c>
      <c r="F2209" s="6" t="str">
        <f t="shared" ref="F2209:F2214" si="515">"94829801_07026"</f>
        <v>94829801_07026</v>
      </c>
      <c r="G2209" s="6" t="str">
        <f t="shared" si="508"/>
        <v>F310631650000000</v>
      </c>
      <c r="H2209" s="6" t="str">
        <f t="shared" si="509"/>
        <v>PLAR 6316 FD - 500 g</v>
      </c>
      <c r="I2209" s="6" t="str">
        <f>"201855"</f>
        <v>201855</v>
      </c>
      <c r="J2209" s="6" t="str">
        <f>"AZUL 1855"</f>
        <v>AZUL 1855</v>
      </c>
      <c r="K2209" s="6" t="str">
        <f>"0520"</f>
        <v>0520</v>
      </c>
      <c r="L2209" s="6" t="str">
        <f>"Toalhetes"</f>
        <v>Toalhetes</v>
      </c>
      <c r="M2209" s="6" t="str">
        <f>"30x50"</f>
        <v>30x50</v>
      </c>
      <c r="N2209" s="6" t="str">
        <f>"5602972281040"</f>
        <v>5602972281040</v>
      </c>
      <c r="O2209" s="8">
        <v>6</v>
      </c>
      <c r="R2209" s="8">
        <v>0</v>
      </c>
      <c r="U2209" s="8">
        <v>0</v>
      </c>
      <c r="X2209" s="8">
        <v>0</v>
      </c>
      <c r="Z2209" s="8">
        <v>0</v>
      </c>
      <c r="AC2209" s="8">
        <v>0</v>
      </c>
      <c r="AF2209" s="8">
        <v>0</v>
      </c>
      <c r="AN2209" s="8">
        <v>0</v>
      </c>
      <c r="AO2209" s="8">
        <v>6</v>
      </c>
    </row>
    <row r="2210" spans="1:41" x14ac:dyDescent="0.25">
      <c r="A2210" s="6" t="str">
        <f t="shared" si="514"/>
        <v>522-2026000227</v>
      </c>
      <c r="B2210" s="6" t="str">
        <f t="shared" si="507"/>
        <v>EL CORTE</v>
      </c>
      <c r="C2210" s="7">
        <v>46037</v>
      </c>
      <c r="D2210" s="7">
        <v>46042</v>
      </c>
      <c r="E2210" s="8">
        <v>2</v>
      </c>
      <c r="F2210" s="6" t="str">
        <f t="shared" si="515"/>
        <v>94829801_07026</v>
      </c>
      <c r="G2210" s="6" t="str">
        <f t="shared" si="508"/>
        <v>F310631650000000</v>
      </c>
      <c r="H2210" s="6" t="str">
        <f t="shared" si="509"/>
        <v>PLAR 6316 FD - 500 g</v>
      </c>
      <c r="I2210" s="6" t="str">
        <f>"201855"</f>
        <v>201855</v>
      </c>
      <c r="J2210" s="6" t="str">
        <f>"AZUL 1855"</f>
        <v>AZUL 1855</v>
      </c>
      <c r="K2210" s="6" t="str">
        <f>"2020"</f>
        <v>2020</v>
      </c>
      <c r="L2210" s="6" t="str">
        <f>"Lençóis"</f>
        <v>Lençóis</v>
      </c>
      <c r="M2210" s="6" t="str">
        <f>"100x150"</f>
        <v>100x150</v>
      </c>
      <c r="N2210" s="6" t="str">
        <f>"5602972281064"</f>
        <v>5602972281064</v>
      </c>
      <c r="O2210" s="8">
        <v>6</v>
      </c>
      <c r="R2210" s="8">
        <v>0</v>
      </c>
      <c r="U2210" s="8">
        <v>0</v>
      </c>
      <c r="X2210" s="8">
        <v>0</v>
      </c>
      <c r="Z2210" s="8">
        <v>0</v>
      </c>
      <c r="AC2210" s="8">
        <v>0</v>
      </c>
      <c r="AF2210" s="8">
        <v>0</v>
      </c>
      <c r="AN2210" s="8">
        <v>0</v>
      </c>
      <c r="AO2210" s="8">
        <v>6</v>
      </c>
    </row>
    <row r="2211" spans="1:41" x14ac:dyDescent="0.25">
      <c r="A2211" s="6" t="str">
        <f t="shared" si="514"/>
        <v>522-2026000227</v>
      </c>
      <c r="B2211" s="6" t="str">
        <f t="shared" si="507"/>
        <v>EL CORTE</v>
      </c>
      <c r="C2211" s="7">
        <v>46037</v>
      </c>
      <c r="D2211" s="7">
        <v>46042</v>
      </c>
      <c r="E2211" s="8">
        <v>3</v>
      </c>
      <c r="F2211" s="6" t="str">
        <f t="shared" si="515"/>
        <v>94829801_07026</v>
      </c>
      <c r="G2211" s="6" t="str">
        <f t="shared" si="508"/>
        <v>F310631650000000</v>
      </c>
      <c r="H2211" s="6" t="str">
        <f t="shared" si="509"/>
        <v>PLAR 6316 FD - 500 g</v>
      </c>
      <c r="I2211" s="6" t="str">
        <f>"202575"</f>
        <v>202575</v>
      </c>
      <c r="J2211" s="6" t="str">
        <f>"BEGE 2575"</f>
        <v>BEGE 2575</v>
      </c>
      <c r="K2211" s="6" t="str">
        <f>"1024"</f>
        <v>1024</v>
      </c>
      <c r="L2211" s="6" t="str">
        <f>"Toalhas"</f>
        <v>Toalhas</v>
      </c>
      <c r="M2211" s="6" t="str">
        <f>"50x100"</f>
        <v>50x100</v>
      </c>
      <c r="N2211" s="6" t="str">
        <f>"5602972281088"</f>
        <v>5602972281088</v>
      </c>
      <c r="O2211" s="8">
        <v>6</v>
      </c>
      <c r="R2211" s="8">
        <v>0</v>
      </c>
      <c r="U2211" s="8">
        <v>0</v>
      </c>
      <c r="X2211" s="8">
        <v>0</v>
      </c>
      <c r="Z2211" s="8">
        <v>0</v>
      </c>
      <c r="AC2211" s="8">
        <v>0</v>
      </c>
      <c r="AF2211" s="8">
        <v>0</v>
      </c>
      <c r="AN2211" s="8">
        <v>6</v>
      </c>
      <c r="AO2211" s="8">
        <v>0</v>
      </c>
    </row>
    <row r="2212" spans="1:41" x14ac:dyDescent="0.25">
      <c r="A2212" s="6" t="str">
        <f t="shared" si="514"/>
        <v>522-2026000227</v>
      </c>
      <c r="B2212" s="6" t="str">
        <f t="shared" si="507"/>
        <v>EL CORTE</v>
      </c>
      <c r="C2212" s="7">
        <v>46037</v>
      </c>
      <c r="D2212" s="7">
        <v>46042</v>
      </c>
      <c r="E2212" s="8">
        <v>4</v>
      </c>
      <c r="F2212" s="6" t="str">
        <f t="shared" si="515"/>
        <v>94829801_07026</v>
      </c>
      <c r="G2212" s="6" t="str">
        <f t="shared" si="508"/>
        <v>F310631650000000</v>
      </c>
      <c r="H2212" s="6" t="str">
        <f t="shared" si="509"/>
        <v>PLAR 6316 FD - 500 g</v>
      </c>
      <c r="I2212" s="6" t="str">
        <f>"202575"</f>
        <v>202575</v>
      </c>
      <c r="J2212" s="6" t="str">
        <f>"BEGE 2575"</f>
        <v>BEGE 2575</v>
      </c>
      <c r="K2212" s="6" t="str">
        <f>"2020"</f>
        <v>2020</v>
      </c>
      <c r="L2212" s="6" t="str">
        <f>"Lençóis"</f>
        <v>Lençóis</v>
      </c>
      <c r="M2212" s="6" t="str">
        <f>"100x150"</f>
        <v>100x150</v>
      </c>
      <c r="N2212" s="6" t="str">
        <f>"5602972281095"</f>
        <v>5602972281095</v>
      </c>
      <c r="O2212" s="8">
        <v>6</v>
      </c>
      <c r="R2212" s="8">
        <v>0</v>
      </c>
      <c r="U2212" s="8">
        <v>0</v>
      </c>
      <c r="X2212" s="8">
        <v>0</v>
      </c>
      <c r="Z2212" s="8">
        <v>0</v>
      </c>
      <c r="AC2212" s="8">
        <v>0</v>
      </c>
      <c r="AF2212" s="8">
        <v>0</v>
      </c>
      <c r="AN2212" s="8">
        <v>0</v>
      </c>
      <c r="AO2212" s="8">
        <v>6</v>
      </c>
    </row>
    <row r="2213" spans="1:41" x14ac:dyDescent="0.25">
      <c r="A2213" s="6" t="str">
        <f t="shared" si="514"/>
        <v>522-2026000227</v>
      </c>
      <c r="B2213" s="6" t="str">
        <f t="shared" si="507"/>
        <v>EL CORTE</v>
      </c>
      <c r="C2213" s="7">
        <v>46037</v>
      </c>
      <c r="D2213" s="7">
        <v>46042</v>
      </c>
      <c r="E2213" s="8">
        <v>5</v>
      </c>
      <c r="F2213" s="6" t="str">
        <f t="shared" si="515"/>
        <v>94829801_07026</v>
      </c>
      <c r="G2213" s="6" t="str">
        <f t="shared" si="508"/>
        <v>F310631650000000</v>
      </c>
      <c r="H2213" s="6" t="str">
        <f t="shared" si="509"/>
        <v>PLAR 6316 FD - 500 g</v>
      </c>
      <c r="I2213" s="6" t="str">
        <f>"200901"</f>
        <v>200901</v>
      </c>
      <c r="J2213" s="6" t="str">
        <f>"ROSA 901"</f>
        <v>ROSA 901</v>
      </c>
      <c r="K2213" s="6" t="str">
        <f>"0520"</f>
        <v>0520</v>
      </c>
      <c r="L2213" s="6" t="str">
        <f>"Toalhetes"</f>
        <v>Toalhetes</v>
      </c>
      <c r="M2213" s="6" t="str">
        <f>"30x50"</f>
        <v>30x50</v>
      </c>
      <c r="N2213" s="6" t="str">
        <f>"5602972281101"</f>
        <v>5602972281101</v>
      </c>
      <c r="O2213" s="8">
        <v>6</v>
      </c>
      <c r="R2213" s="8">
        <v>0</v>
      </c>
      <c r="U2213" s="8">
        <v>0</v>
      </c>
      <c r="X2213" s="8">
        <v>0</v>
      </c>
      <c r="Z2213" s="8">
        <v>0</v>
      </c>
      <c r="AC2213" s="8">
        <v>0</v>
      </c>
      <c r="AF2213" s="8">
        <v>0</v>
      </c>
      <c r="AN2213" s="8">
        <v>0</v>
      </c>
      <c r="AO2213" s="8">
        <v>6</v>
      </c>
    </row>
    <row r="2214" spans="1:41" x14ac:dyDescent="0.25">
      <c r="A2214" s="6" t="str">
        <f t="shared" si="514"/>
        <v>522-2026000227</v>
      </c>
      <c r="B2214" s="6" t="str">
        <f t="shared" si="507"/>
        <v>EL CORTE</v>
      </c>
      <c r="C2214" s="7">
        <v>46037</v>
      </c>
      <c r="D2214" s="7">
        <v>46042</v>
      </c>
      <c r="E2214" s="8">
        <v>6</v>
      </c>
      <c r="F2214" s="6" t="str">
        <f t="shared" si="515"/>
        <v>94829801_07026</v>
      </c>
      <c r="G2214" s="6" t="str">
        <f t="shared" si="508"/>
        <v>F310631650000000</v>
      </c>
      <c r="H2214" s="6" t="str">
        <f t="shared" si="509"/>
        <v>PLAR 6316 FD - 500 g</v>
      </c>
      <c r="I2214" s="6" t="str">
        <f>"200901"</f>
        <v>200901</v>
      </c>
      <c r="J2214" s="6" t="str">
        <f>"ROSA 901"</f>
        <v>ROSA 901</v>
      </c>
      <c r="K2214" s="6" t="str">
        <f>"2020"</f>
        <v>2020</v>
      </c>
      <c r="L2214" s="6" t="str">
        <f>"Lençóis"</f>
        <v>Lençóis</v>
      </c>
      <c r="M2214" s="6" t="str">
        <f>"100x150"</f>
        <v>100x150</v>
      </c>
      <c r="N2214" s="6" t="str">
        <f>"5602972281125"</f>
        <v>5602972281125</v>
      </c>
      <c r="O2214" s="8">
        <v>3</v>
      </c>
      <c r="R2214" s="8">
        <v>0</v>
      </c>
      <c r="U2214" s="8">
        <v>0</v>
      </c>
      <c r="X2214" s="8">
        <v>0</v>
      </c>
      <c r="Z2214" s="8">
        <v>0</v>
      </c>
      <c r="AC2214" s="8">
        <v>0</v>
      </c>
      <c r="AF2214" s="8">
        <v>0</v>
      </c>
      <c r="AN2214" s="8">
        <v>0</v>
      </c>
      <c r="AO2214" s="8">
        <v>3</v>
      </c>
    </row>
    <row r="2215" spans="1:41" x14ac:dyDescent="0.25">
      <c r="A2215" s="6" t="str">
        <f t="shared" ref="A2215:A2221" si="516">"522-2026000228"</f>
        <v>522-2026000228</v>
      </c>
      <c r="B2215" s="6" t="str">
        <f t="shared" si="507"/>
        <v>EL CORTE</v>
      </c>
      <c r="C2215" s="7">
        <v>46037</v>
      </c>
      <c r="D2215" s="7">
        <v>46042</v>
      </c>
      <c r="E2215" s="8">
        <v>1</v>
      </c>
      <c r="F2215" s="6" t="str">
        <f t="shared" ref="F2215:F2221" si="517">"94828901_07026"</f>
        <v>94828901_07026</v>
      </c>
      <c r="G2215" s="6" t="str">
        <f t="shared" si="508"/>
        <v>F310631650000000</v>
      </c>
      <c r="H2215" s="6" t="str">
        <f t="shared" si="509"/>
        <v>PLAR 6316 FD - 500 g</v>
      </c>
      <c r="I2215" s="6" t="str">
        <f>"201855"</f>
        <v>201855</v>
      </c>
      <c r="J2215" s="6" t="str">
        <f>"AZUL 1855"</f>
        <v>AZUL 1855</v>
      </c>
      <c r="K2215" s="6" t="str">
        <f>"1024"</f>
        <v>1024</v>
      </c>
      <c r="L2215" s="6" t="str">
        <f>"Toalhas"</f>
        <v>Toalhas</v>
      </c>
      <c r="M2215" s="6" t="str">
        <f>"50x100"</f>
        <v>50x100</v>
      </c>
      <c r="N2215" s="6" t="str">
        <f>"5602972281057"</f>
        <v>5602972281057</v>
      </c>
      <c r="O2215" s="8">
        <v>6</v>
      </c>
      <c r="R2215" s="8">
        <v>0</v>
      </c>
      <c r="U2215" s="8">
        <v>0</v>
      </c>
      <c r="X2215" s="8">
        <v>0</v>
      </c>
      <c r="Z2215" s="8">
        <v>0</v>
      </c>
      <c r="AC2215" s="8">
        <v>0</v>
      </c>
      <c r="AF2215" s="8">
        <v>0</v>
      </c>
      <c r="AN2215" s="8">
        <v>6</v>
      </c>
      <c r="AO2215" s="8">
        <v>0</v>
      </c>
    </row>
    <row r="2216" spans="1:41" x14ac:dyDescent="0.25">
      <c r="A2216" s="6" t="str">
        <f t="shared" si="516"/>
        <v>522-2026000228</v>
      </c>
      <c r="B2216" s="6" t="str">
        <f t="shared" si="507"/>
        <v>EL CORTE</v>
      </c>
      <c r="C2216" s="7">
        <v>46037</v>
      </c>
      <c r="D2216" s="7">
        <v>46042</v>
      </c>
      <c r="E2216" s="8">
        <v>2</v>
      </c>
      <c r="F2216" s="6" t="str">
        <f t="shared" si="517"/>
        <v>94828901_07026</v>
      </c>
      <c r="G2216" s="6" t="str">
        <f t="shared" si="508"/>
        <v>F310631650000000</v>
      </c>
      <c r="H2216" s="6" t="str">
        <f t="shared" si="509"/>
        <v>PLAR 6316 FD - 500 g</v>
      </c>
      <c r="I2216" s="6" t="str">
        <f>"201855"</f>
        <v>201855</v>
      </c>
      <c r="J2216" s="6" t="str">
        <f>"AZUL 1855"</f>
        <v>AZUL 1855</v>
      </c>
      <c r="K2216" s="6" t="str">
        <f>"2020"</f>
        <v>2020</v>
      </c>
      <c r="L2216" s="6" t="str">
        <f>"Lençóis"</f>
        <v>Lençóis</v>
      </c>
      <c r="M2216" s="6" t="str">
        <f>"100x150"</f>
        <v>100x150</v>
      </c>
      <c r="N2216" s="6" t="str">
        <f>"5602972281064"</f>
        <v>5602972281064</v>
      </c>
      <c r="O2216" s="8">
        <v>6</v>
      </c>
      <c r="R2216" s="8">
        <v>0</v>
      </c>
      <c r="U2216" s="8">
        <v>0</v>
      </c>
      <c r="X2216" s="8">
        <v>0</v>
      </c>
      <c r="Z2216" s="8">
        <v>0</v>
      </c>
      <c r="AC2216" s="8">
        <v>0</v>
      </c>
      <c r="AF2216" s="8">
        <v>0</v>
      </c>
      <c r="AN2216" s="8">
        <v>0</v>
      </c>
      <c r="AO2216" s="8">
        <v>6</v>
      </c>
    </row>
    <row r="2217" spans="1:41" x14ac:dyDescent="0.25">
      <c r="A2217" s="6" t="str">
        <f t="shared" si="516"/>
        <v>522-2026000228</v>
      </c>
      <c r="B2217" s="6" t="str">
        <f t="shared" si="507"/>
        <v>EL CORTE</v>
      </c>
      <c r="C2217" s="7">
        <v>46037</v>
      </c>
      <c r="D2217" s="7">
        <v>46042</v>
      </c>
      <c r="E2217" s="8">
        <v>3</v>
      </c>
      <c r="F2217" s="6" t="str">
        <f t="shared" si="517"/>
        <v>94828901_07026</v>
      </c>
      <c r="G2217" s="6" t="str">
        <f t="shared" si="508"/>
        <v>F310631650000000</v>
      </c>
      <c r="H2217" s="6" t="str">
        <f t="shared" si="509"/>
        <v>PLAR 6316 FD - 500 g</v>
      </c>
      <c r="I2217" s="6" t="str">
        <f>"202575"</f>
        <v>202575</v>
      </c>
      <c r="J2217" s="6" t="str">
        <f>"BEGE 2575"</f>
        <v>BEGE 2575</v>
      </c>
      <c r="K2217" s="6" t="str">
        <f>"1024"</f>
        <v>1024</v>
      </c>
      <c r="L2217" s="6" t="str">
        <f>"Toalhas"</f>
        <v>Toalhas</v>
      </c>
      <c r="M2217" s="6" t="str">
        <f>"50x100"</f>
        <v>50x100</v>
      </c>
      <c r="N2217" s="6" t="str">
        <f>"5602972281088"</f>
        <v>5602972281088</v>
      </c>
      <c r="O2217" s="8">
        <v>6</v>
      </c>
      <c r="R2217" s="8">
        <v>0</v>
      </c>
      <c r="U2217" s="8">
        <v>0</v>
      </c>
      <c r="X2217" s="8">
        <v>0</v>
      </c>
      <c r="Z2217" s="8">
        <v>0</v>
      </c>
      <c r="AC2217" s="8">
        <v>0</v>
      </c>
      <c r="AF2217" s="8">
        <v>0</v>
      </c>
      <c r="AN2217" s="8">
        <v>6</v>
      </c>
      <c r="AO2217" s="8">
        <v>0</v>
      </c>
    </row>
    <row r="2218" spans="1:41" x14ac:dyDescent="0.25">
      <c r="A2218" s="6" t="str">
        <f t="shared" si="516"/>
        <v>522-2026000228</v>
      </c>
      <c r="B2218" s="6" t="str">
        <f t="shared" si="507"/>
        <v>EL CORTE</v>
      </c>
      <c r="C2218" s="7">
        <v>46037</v>
      </c>
      <c r="D2218" s="7">
        <v>46042</v>
      </c>
      <c r="E2218" s="8">
        <v>4</v>
      </c>
      <c r="F2218" s="6" t="str">
        <f t="shared" si="517"/>
        <v>94828901_07026</v>
      </c>
      <c r="G2218" s="6" t="str">
        <f t="shared" si="508"/>
        <v>F310631650000000</v>
      </c>
      <c r="H2218" s="6" t="str">
        <f t="shared" si="509"/>
        <v>PLAR 6316 FD - 500 g</v>
      </c>
      <c r="I2218" s="6" t="str">
        <f>"202575"</f>
        <v>202575</v>
      </c>
      <c r="J2218" s="6" t="str">
        <f>"BEGE 2575"</f>
        <v>BEGE 2575</v>
      </c>
      <c r="K2218" s="6" t="str">
        <f>"2020"</f>
        <v>2020</v>
      </c>
      <c r="L2218" s="6" t="str">
        <f>"Lençóis"</f>
        <v>Lençóis</v>
      </c>
      <c r="M2218" s="6" t="str">
        <f>"100x150"</f>
        <v>100x150</v>
      </c>
      <c r="N2218" s="6" t="str">
        <f>"5602972281095"</f>
        <v>5602972281095</v>
      </c>
      <c r="O2218" s="8">
        <v>3</v>
      </c>
      <c r="R2218" s="8">
        <v>0</v>
      </c>
      <c r="U2218" s="8">
        <v>0</v>
      </c>
      <c r="X2218" s="8">
        <v>0</v>
      </c>
      <c r="Z2218" s="8">
        <v>0</v>
      </c>
      <c r="AC2218" s="8">
        <v>0</v>
      </c>
      <c r="AF2218" s="8">
        <v>0</v>
      </c>
      <c r="AN2218" s="8">
        <v>0</v>
      </c>
      <c r="AO2218" s="8">
        <v>3</v>
      </c>
    </row>
    <row r="2219" spans="1:41" x14ac:dyDescent="0.25">
      <c r="A2219" s="6" t="str">
        <f t="shared" si="516"/>
        <v>522-2026000228</v>
      </c>
      <c r="B2219" s="6" t="str">
        <f t="shared" si="507"/>
        <v>EL CORTE</v>
      </c>
      <c r="C2219" s="7">
        <v>46037</v>
      </c>
      <c r="D2219" s="7">
        <v>46042</v>
      </c>
      <c r="E2219" s="8">
        <v>5</v>
      </c>
      <c r="F2219" s="6" t="str">
        <f t="shared" si="517"/>
        <v>94828901_07026</v>
      </c>
      <c r="G2219" s="6" t="str">
        <f t="shared" si="508"/>
        <v>F310631650000000</v>
      </c>
      <c r="H2219" s="6" t="str">
        <f t="shared" si="509"/>
        <v>PLAR 6316 FD - 500 g</v>
      </c>
      <c r="I2219" s="6" t="str">
        <f>"200901"</f>
        <v>200901</v>
      </c>
      <c r="J2219" s="6" t="str">
        <f>"ROSA 901"</f>
        <v>ROSA 901</v>
      </c>
      <c r="K2219" s="6" t="str">
        <f>"2020"</f>
        <v>2020</v>
      </c>
      <c r="L2219" s="6" t="str">
        <f>"Lençóis"</f>
        <v>Lençóis</v>
      </c>
      <c r="M2219" s="6" t="str">
        <f>"100x150"</f>
        <v>100x150</v>
      </c>
      <c r="N2219" s="6" t="str">
        <f>"5602972281125"</f>
        <v>5602972281125</v>
      </c>
      <c r="O2219" s="8">
        <v>6</v>
      </c>
      <c r="R2219" s="8">
        <v>0</v>
      </c>
      <c r="U2219" s="8">
        <v>0</v>
      </c>
      <c r="X2219" s="8">
        <v>0</v>
      </c>
      <c r="Z2219" s="8">
        <v>0</v>
      </c>
      <c r="AC2219" s="8">
        <v>0</v>
      </c>
      <c r="AF2219" s="8">
        <v>0</v>
      </c>
      <c r="AN2219" s="8">
        <v>0</v>
      </c>
      <c r="AO2219" s="8">
        <v>6</v>
      </c>
    </row>
    <row r="2220" spans="1:41" x14ac:dyDescent="0.25">
      <c r="A2220" s="6" t="str">
        <f t="shared" si="516"/>
        <v>522-2026000228</v>
      </c>
      <c r="B2220" s="6" t="str">
        <f t="shared" si="507"/>
        <v>EL CORTE</v>
      </c>
      <c r="C2220" s="7">
        <v>46037</v>
      </c>
      <c r="D2220" s="7">
        <v>46042</v>
      </c>
      <c r="E2220" s="8">
        <v>6</v>
      </c>
      <c r="F2220" s="6" t="str">
        <f t="shared" si="517"/>
        <v>94828901_07026</v>
      </c>
      <c r="G2220" s="6" t="str">
        <f t="shared" si="508"/>
        <v>F310631650000000</v>
      </c>
      <c r="H2220" s="6" t="str">
        <f t="shared" si="509"/>
        <v>PLAR 6316 FD - 500 g</v>
      </c>
      <c r="I2220" s="6" t="str">
        <f>"200510"</f>
        <v>200510</v>
      </c>
      <c r="J2220" s="6" t="str">
        <f>"VERDE 510"</f>
        <v>VERDE 510</v>
      </c>
      <c r="K2220" s="6" t="str">
        <f>"1024"</f>
        <v>1024</v>
      </c>
      <c r="L2220" s="6" t="str">
        <f>"Toalhas"</f>
        <v>Toalhas</v>
      </c>
      <c r="M2220" s="6" t="str">
        <f>"50x100"</f>
        <v>50x100</v>
      </c>
      <c r="N2220" s="6" t="str">
        <f>"5602972281149"</f>
        <v>5602972281149</v>
      </c>
      <c r="O2220" s="8">
        <v>6</v>
      </c>
      <c r="R2220" s="8">
        <v>0</v>
      </c>
      <c r="U2220" s="8">
        <v>0</v>
      </c>
      <c r="X2220" s="8">
        <v>0</v>
      </c>
      <c r="Z2220" s="8">
        <v>0</v>
      </c>
      <c r="AC2220" s="8">
        <v>0</v>
      </c>
      <c r="AF2220" s="8">
        <v>0</v>
      </c>
      <c r="AN2220" s="8">
        <v>6</v>
      </c>
      <c r="AO2220" s="8">
        <v>0</v>
      </c>
    </row>
    <row r="2221" spans="1:41" x14ac:dyDescent="0.25">
      <c r="A2221" s="6" t="str">
        <f t="shared" si="516"/>
        <v>522-2026000228</v>
      </c>
      <c r="B2221" s="6" t="str">
        <f t="shared" si="507"/>
        <v>EL CORTE</v>
      </c>
      <c r="C2221" s="7">
        <v>46037</v>
      </c>
      <c r="D2221" s="7">
        <v>46042</v>
      </c>
      <c r="E2221" s="8">
        <v>7</v>
      </c>
      <c r="F2221" s="6" t="str">
        <f t="shared" si="517"/>
        <v>94828901_07026</v>
      </c>
      <c r="G2221" s="6" t="str">
        <f t="shared" si="508"/>
        <v>F310631650000000</v>
      </c>
      <c r="H2221" s="6" t="str">
        <f t="shared" si="509"/>
        <v>PLAR 6316 FD - 500 g</v>
      </c>
      <c r="I2221" s="6" t="str">
        <f>"200510"</f>
        <v>200510</v>
      </c>
      <c r="J2221" s="6" t="str">
        <f>"VERDE 510"</f>
        <v>VERDE 510</v>
      </c>
      <c r="K2221" s="6" t="str">
        <f>"2020"</f>
        <v>2020</v>
      </c>
      <c r="L2221" s="6" t="str">
        <f>"Lençóis"</f>
        <v>Lençóis</v>
      </c>
      <c r="M2221" s="6" t="str">
        <f>"100x150"</f>
        <v>100x150</v>
      </c>
      <c r="N2221" s="6" t="str">
        <f>"5602972281156"</f>
        <v>5602972281156</v>
      </c>
      <c r="O2221" s="8">
        <v>6</v>
      </c>
      <c r="R2221" s="8">
        <v>0</v>
      </c>
      <c r="U2221" s="8">
        <v>0</v>
      </c>
      <c r="X2221" s="8">
        <v>0</v>
      </c>
      <c r="Z2221" s="8">
        <v>0</v>
      </c>
      <c r="AC2221" s="8">
        <v>0</v>
      </c>
      <c r="AF2221" s="8">
        <v>0</v>
      </c>
      <c r="AN2221" s="8">
        <v>0</v>
      </c>
      <c r="AO2221" s="8">
        <v>6</v>
      </c>
    </row>
    <row r="2222" spans="1:41" x14ac:dyDescent="0.25">
      <c r="A2222" s="6" t="str">
        <f t="shared" ref="A2222:A2229" si="518">"522-2026000229"</f>
        <v>522-2026000229</v>
      </c>
      <c r="B2222" s="6" t="str">
        <f t="shared" si="507"/>
        <v>EL CORTE</v>
      </c>
      <c r="C2222" s="7">
        <v>46037</v>
      </c>
      <c r="D2222" s="7">
        <v>46042</v>
      </c>
      <c r="E2222" s="8">
        <v>1</v>
      </c>
      <c r="F2222" s="6" t="str">
        <f t="shared" ref="F2222:F2229" si="519">"94828801_07026"</f>
        <v>94828801_07026</v>
      </c>
      <c r="G2222" s="6" t="str">
        <f t="shared" si="508"/>
        <v>F310631650000000</v>
      </c>
      <c r="H2222" s="6" t="str">
        <f t="shared" si="509"/>
        <v>PLAR 6316 FD - 500 g</v>
      </c>
      <c r="I2222" s="6" t="str">
        <f>"201855"</f>
        <v>201855</v>
      </c>
      <c r="J2222" s="6" t="str">
        <f>"AZUL 1855"</f>
        <v>AZUL 1855</v>
      </c>
      <c r="K2222" s="6" t="str">
        <f>"1024"</f>
        <v>1024</v>
      </c>
      <c r="L2222" s="6" t="str">
        <f>"Toalhas"</f>
        <v>Toalhas</v>
      </c>
      <c r="M2222" s="6" t="str">
        <f>"50x100"</f>
        <v>50x100</v>
      </c>
      <c r="N2222" s="6" t="str">
        <f>"5602972281057"</f>
        <v>5602972281057</v>
      </c>
      <c r="O2222" s="8">
        <v>6</v>
      </c>
      <c r="R2222" s="8">
        <v>0</v>
      </c>
      <c r="U2222" s="8">
        <v>0</v>
      </c>
      <c r="X2222" s="8">
        <v>0</v>
      </c>
      <c r="Z2222" s="8">
        <v>0</v>
      </c>
      <c r="AC2222" s="8">
        <v>0</v>
      </c>
      <c r="AF2222" s="8">
        <v>0</v>
      </c>
      <c r="AN2222" s="8">
        <v>6</v>
      </c>
      <c r="AO2222" s="8">
        <v>0</v>
      </c>
    </row>
    <row r="2223" spans="1:41" x14ac:dyDescent="0.25">
      <c r="A2223" s="6" t="str">
        <f t="shared" si="518"/>
        <v>522-2026000229</v>
      </c>
      <c r="B2223" s="6" t="str">
        <f t="shared" si="507"/>
        <v>EL CORTE</v>
      </c>
      <c r="C2223" s="7">
        <v>46037</v>
      </c>
      <c r="D2223" s="7">
        <v>46042</v>
      </c>
      <c r="E2223" s="8">
        <v>2</v>
      </c>
      <c r="F2223" s="6" t="str">
        <f t="shared" si="519"/>
        <v>94828801_07026</v>
      </c>
      <c r="G2223" s="6" t="str">
        <f t="shared" si="508"/>
        <v>F310631650000000</v>
      </c>
      <c r="H2223" s="6" t="str">
        <f t="shared" si="509"/>
        <v>PLAR 6316 FD - 500 g</v>
      </c>
      <c r="I2223" s="6" t="str">
        <f>"201855"</f>
        <v>201855</v>
      </c>
      <c r="J2223" s="6" t="str">
        <f>"AZUL 1855"</f>
        <v>AZUL 1855</v>
      </c>
      <c r="K2223" s="6" t="str">
        <f>"2020"</f>
        <v>2020</v>
      </c>
      <c r="L2223" s="6" t="str">
        <f>"Lençóis"</f>
        <v>Lençóis</v>
      </c>
      <c r="M2223" s="6" t="str">
        <f>"100x150"</f>
        <v>100x150</v>
      </c>
      <c r="N2223" s="6" t="str">
        <f>"5602972281064"</f>
        <v>5602972281064</v>
      </c>
      <c r="O2223" s="8">
        <v>3</v>
      </c>
      <c r="R2223" s="8">
        <v>0</v>
      </c>
      <c r="U2223" s="8">
        <v>0</v>
      </c>
      <c r="X2223" s="8">
        <v>0</v>
      </c>
      <c r="Z2223" s="8">
        <v>0</v>
      </c>
      <c r="AC2223" s="8">
        <v>0</v>
      </c>
      <c r="AF2223" s="8">
        <v>0</v>
      </c>
      <c r="AN2223" s="8">
        <v>0</v>
      </c>
      <c r="AO2223" s="8">
        <v>3</v>
      </c>
    </row>
    <row r="2224" spans="1:41" x14ac:dyDescent="0.25">
      <c r="A2224" s="6" t="str">
        <f t="shared" si="518"/>
        <v>522-2026000229</v>
      </c>
      <c r="B2224" s="6" t="str">
        <f t="shared" si="507"/>
        <v>EL CORTE</v>
      </c>
      <c r="C2224" s="7">
        <v>46037</v>
      </c>
      <c r="D2224" s="7">
        <v>46042</v>
      </c>
      <c r="E2224" s="8">
        <v>3</v>
      </c>
      <c r="F2224" s="6" t="str">
        <f t="shared" si="519"/>
        <v>94828801_07026</v>
      </c>
      <c r="G2224" s="6" t="str">
        <f t="shared" si="508"/>
        <v>F310631650000000</v>
      </c>
      <c r="H2224" s="6" t="str">
        <f t="shared" si="509"/>
        <v>PLAR 6316 FD - 500 g</v>
      </c>
      <c r="I2224" s="6" t="str">
        <f>"202575"</f>
        <v>202575</v>
      </c>
      <c r="J2224" s="6" t="str">
        <f>"BEGE 2575"</f>
        <v>BEGE 2575</v>
      </c>
      <c r="K2224" s="6" t="str">
        <f>"0520"</f>
        <v>0520</v>
      </c>
      <c r="L2224" s="6" t="str">
        <f>"Toalhetes"</f>
        <v>Toalhetes</v>
      </c>
      <c r="M2224" s="6" t="str">
        <f>"30x50"</f>
        <v>30x50</v>
      </c>
      <c r="N2224" s="6" t="str">
        <f>"5602972281071"</f>
        <v>5602972281071</v>
      </c>
      <c r="O2224" s="8">
        <v>6</v>
      </c>
      <c r="R2224" s="8">
        <v>0</v>
      </c>
      <c r="U2224" s="8">
        <v>0</v>
      </c>
      <c r="X2224" s="8">
        <v>0</v>
      </c>
      <c r="Z2224" s="8">
        <v>0</v>
      </c>
      <c r="AC2224" s="8">
        <v>0</v>
      </c>
      <c r="AF2224" s="8">
        <v>0</v>
      </c>
      <c r="AN2224" s="8">
        <v>6</v>
      </c>
      <c r="AO2224" s="8">
        <v>0</v>
      </c>
    </row>
    <row r="2225" spans="1:41" x14ac:dyDescent="0.25">
      <c r="A2225" s="6" t="str">
        <f t="shared" si="518"/>
        <v>522-2026000229</v>
      </c>
      <c r="B2225" s="6" t="str">
        <f t="shared" si="507"/>
        <v>EL CORTE</v>
      </c>
      <c r="C2225" s="7">
        <v>46037</v>
      </c>
      <c r="D2225" s="7">
        <v>46042</v>
      </c>
      <c r="E2225" s="8">
        <v>4</v>
      </c>
      <c r="F2225" s="6" t="str">
        <f t="shared" si="519"/>
        <v>94828801_07026</v>
      </c>
      <c r="G2225" s="6" t="str">
        <f t="shared" si="508"/>
        <v>F310631650000000</v>
      </c>
      <c r="H2225" s="6" t="str">
        <f t="shared" si="509"/>
        <v>PLAR 6316 FD - 500 g</v>
      </c>
      <c r="I2225" s="6" t="str">
        <f>"202575"</f>
        <v>202575</v>
      </c>
      <c r="J2225" s="6" t="str">
        <f>"BEGE 2575"</f>
        <v>BEGE 2575</v>
      </c>
      <c r="K2225" s="6" t="str">
        <f>"1024"</f>
        <v>1024</v>
      </c>
      <c r="L2225" s="6" t="str">
        <f>"Toalhas"</f>
        <v>Toalhas</v>
      </c>
      <c r="M2225" s="6" t="str">
        <f>"50x100"</f>
        <v>50x100</v>
      </c>
      <c r="N2225" s="6" t="str">
        <f>"5602972281088"</f>
        <v>5602972281088</v>
      </c>
      <c r="O2225" s="8">
        <v>12</v>
      </c>
      <c r="R2225" s="8">
        <v>0</v>
      </c>
      <c r="U2225" s="8">
        <v>0</v>
      </c>
      <c r="X2225" s="8">
        <v>0</v>
      </c>
      <c r="Z2225" s="8">
        <v>0</v>
      </c>
      <c r="AC2225" s="8">
        <v>0</v>
      </c>
      <c r="AF2225" s="8">
        <v>0</v>
      </c>
      <c r="AN2225" s="8">
        <v>12</v>
      </c>
      <c r="AO2225" s="8">
        <v>0</v>
      </c>
    </row>
    <row r="2226" spans="1:41" x14ac:dyDescent="0.25">
      <c r="A2226" s="6" t="str">
        <f t="shared" si="518"/>
        <v>522-2026000229</v>
      </c>
      <c r="B2226" s="6" t="str">
        <f t="shared" si="507"/>
        <v>EL CORTE</v>
      </c>
      <c r="C2226" s="7">
        <v>46037</v>
      </c>
      <c r="D2226" s="7">
        <v>46042</v>
      </c>
      <c r="E2226" s="8">
        <v>5</v>
      </c>
      <c r="F2226" s="6" t="str">
        <f t="shared" si="519"/>
        <v>94828801_07026</v>
      </c>
      <c r="G2226" s="6" t="str">
        <f t="shared" si="508"/>
        <v>F310631650000000</v>
      </c>
      <c r="H2226" s="6" t="str">
        <f t="shared" si="509"/>
        <v>PLAR 6316 FD - 500 g</v>
      </c>
      <c r="I2226" s="6" t="str">
        <f>"202575"</f>
        <v>202575</v>
      </c>
      <c r="J2226" s="6" t="str">
        <f>"BEGE 2575"</f>
        <v>BEGE 2575</v>
      </c>
      <c r="K2226" s="6" t="str">
        <f>"2020"</f>
        <v>2020</v>
      </c>
      <c r="L2226" s="6" t="str">
        <f>"Lençóis"</f>
        <v>Lençóis</v>
      </c>
      <c r="M2226" s="6" t="str">
        <f>"100x150"</f>
        <v>100x150</v>
      </c>
      <c r="N2226" s="6" t="str">
        <f>"5602972281095"</f>
        <v>5602972281095</v>
      </c>
      <c r="O2226" s="8">
        <v>6</v>
      </c>
      <c r="R2226" s="8">
        <v>0</v>
      </c>
      <c r="U2226" s="8">
        <v>0</v>
      </c>
      <c r="X2226" s="8">
        <v>0</v>
      </c>
      <c r="Z2226" s="8">
        <v>0</v>
      </c>
      <c r="AC2226" s="8">
        <v>0</v>
      </c>
      <c r="AF2226" s="8">
        <v>0</v>
      </c>
      <c r="AN2226" s="8">
        <v>0</v>
      </c>
      <c r="AO2226" s="8">
        <v>6</v>
      </c>
    </row>
    <row r="2227" spans="1:41" x14ac:dyDescent="0.25">
      <c r="A2227" s="6" t="str">
        <f t="shared" si="518"/>
        <v>522-2026000229</v>
      </c>
      <c r="B2227" s="6" t="str">
        <f t="shared" si="507"/>
        <v>EL CORTE</v>
      </c>
      <c r="C2227" s="7">
        <v>46037</v>
      </c>
      <c r="D2227" s="7">
        <v>46042</v>
      </c>
      <c r="E2227" s="8">
        <v>6</v>
      </c>
      <c r="F2227" s="6" t="str">
        <f t="shared" si="519"/>
        <v>94828801_07026</v>
      </c>
      <c r="G2227" s="6" t="str">
        <f t="shared" si="508"/>
        <v>F310631650000000</v>
      </c>
      <c r="H2227" s="6" t="str">
        <f t="shared" si="509"/>
        <v>PLAR 6316 FD - 500 g</v>
      </c>
      <c r="I2227" s="6" t="str">
        <f>"200901"</f>
        <v>200901</v>
      </c>
      <c r="J2227" s="6" t="str">
        <f>"ROSA 901"</f>
        <v>ROSA 901</v>
      </c>
      <c r="K2227" s="6" t="str">
        <f>"1024"</f>
        <v>1024</v>
      </c>
      <c r="L2227" s="6" t="str">
        <f>"Toalhas"</f>
        <v>Toalhas</v>
      </c>
      <c r="M2227" s="6" t="str">
        <f>"50x100"</f>
        <v>50x100</v>
      </c>
      <c r="N2227" s="6" t="str">
        <f>"5602972281118"</f>
        <v>5602972281118</v>
      </c>
      <c r="O2227" s="8">
        <v>6</v>
      </c>
      <c r="R2227" s="8">
        <v>0</v>
      </c>
      <c r="U2227" s="8">
        <v>0</v>
      </c>
      <c r="X2227" s="8">
        <v>0</v>
      </c>
      <c r="Z2227" s="8">
        <v>0</v>
      </c>
      <c r="AC2227" s="8">
        <v>0</v>
      </c>
      <c r="AF2227" s="8">
        <v>0</v>
      </c>
      <c r="AN2227" s="8">
        <v>6</v>
      </c>
      <c r="AO2227" s="8">
        <v>0</v>
      </c>
    </row>
    <row r="2228" spans="1:41" x14ac:dyDescent="0.25">
      <c r="A2228" s="6" t="str">
        <f t="shared" si="518"/>
        <v>522-2026000229</v>
      </c>
      <c r="B2228" s="6" t="str">
        <f t="shared" si="507"/>
        <v>EL CORTE</v>
      </c>
      <c r="C2228" s="7">
        <v>46037</v>
      </c>
      <c r="D2228" s="7">
        <v>46042</v>
      </c>
      <c r="E2228" s="8">
        <v>7</v>
      </c>
      <c r="F2228" s="6" t="str">
        <f t="shared" si="519"/>
        <v>94828801_07026</v>
      </c>
      <c r="G2228" s="6" t="str">
        <f t="shared" si="508"/>
        <v>F310631650000000</v>
      </c>
      <c r="H2228" s="6" t="str">
        <f t="shared" si="509"/>
        <v>PLAR 6316 FD - 500 g</v>
      </c>
      <c r="I2228" s="6" t="str">
        <f>"200901"</f>
        <v>200901</v>
      </c>
      <c r="J2228" s="6" t="str">
        <f>"ROSA 901"</f>
        <v>ROSA 901</v>
      </c>
      <c r="K2228" s="6" t="str">
        <f>"2020"</f>
        <v>2020</v>
      </c>
      <c r="L2228" s="6" t="str">
        <f>"Lençóis"</f>
        <v>Lençóis</v>
      </c>
      <c r="M2228" s="6" t="str">
        <f>"100x150"</f>
        <v>100x150</v>
      </c>
      <c r="N2228" s="6" t="str">
        <f>"5602972281125"</f>
        <v>5602972281125</v>
      </c>
      <c r="O2228" s="8">
        <v>6</v>
      </c>
      <c r="R2228" s="8">
        <v>0</v>
      </c>
      <c r="U2228" s="8">
        <v>0</v>
      </c>
      <c r="X2228" s="8">
        <v>0</v>
      </c>
      <c r="Z2228" s="8">
        <v>0</v>
      </c>
      <c r="AC2228" s="8">
        <v>0</v>
      </c>
      <c r="AF2228" s="8">
        <v>0</v>
      </c>
      <c r="AN2228" s="8">
        <v>0</v>
      </c>
      <c r="AO2228" s="8">
        <v>6</v>
      </c>
    </row>
    <row r="2229" spans="1:41" x14ac:dyDescent="0.25">
      <c r="A2229" s="6" t="str">
        <f t="shared" si="518"/>
        <v>522-2026000229</v>
      </c>
      <c r="B2229" s="6" t="str">
        <f t="shared" si="507"/>
        <v>EL CORTE</v>
      </c>
      <c r="C2229" s="7">
        <v>46037</v>
      </c>
      <c r="D2229" s="7">
        <v>46042</v>
      </c>
      <c r="E2229" s="8">
        <v>8</v>
      </c>
      <c r="F2229" s="6" t="str">
        <f t="shared" si="519"/>
        <v>94828801_07026</v>
      </c>
      <c r="G2229" s="6" t="str">
        <f t="shared" si="508"/>
        <v>F310631650000000</v>
      </c>
      <c r="H2229" s="6" t="str">
        <f t="shared" si="509"/>
        <v>PLAR 6316 FD - 500 g</v>
      </c>
      <c r="I2229" s="6" t="str">
        <f>"200510"</f>
        <v>200510</v>
      </c>
      <c r="J2229" s="6" t="str">
        <f>"VERDE 510"</f>
        <v>VERDE 510</v>
      </c>
      <c r="K2229" s="6" t="str">
        <f>"1024"</f>
        <v>1024</v>
      </c>
      <c r="L2229" s="6" t="str">
        <f>"Toalhas"</f>
        <v>Toalhas</v>
      </c>
      <c r="M2229" s="6" t="str">
        <f>"50x100"</f>
        <v>50x100</v>
      </c>
      <c r="N2229" s="6" t="str">
        <f>"5602972281149"</f>
        <v>5602972281149</v>
      </c>
      <c r="O2229" s="8">
        <v>12</v>
      </c>
      <c r="R2229" s="8">
        <v>0</v>
      </c>
      <c r="U2229" s="8">
        <v>0</v>
      </c>
      <c r="X2229" s="8">
        <v>0</v>
      </c>
      <c r="Z2229" s="8">
        <v>0</v>
      </c>
      <c r="AC2229" s="8">
        <v>0</v>
      </c>
      <c r="AF2229" s="8">
        <v>0</v>
      </c>
      <c r="AN2229" s="8">
        <v>12</v>
      </c>
      <c r="AO2229" s="8">
        <v>0</v>
      </c>
    </row>
    <row r="2230" spans="1:41" x14ac:dyDescent="0.25">
      <c r="A2230" s="6" t="str">
        <f>"522-2026000230"</f>
        <v>522-2026000230</v>
      </c>
      <c r="B2230" s="6" t="str">
        <f t="shared" si="507"/>
        <v>EL CORTE</v>
      </c>
      <c r="C2230" s="7">
        <v>46037</v>
      </c>
      <c r="D2230" s="7">
        <v>46042</v>
      </c>
      <c r="E2230" s="8">
        <v>1</v>
      </c>
      <c r="F2230" s="6" t="str">
        <f>"94831201_07026"</f>
        <v>94831201_07026</v>
      </c>
      <c r="G2230" s="6" t="str">
        <f t="shared" si="508"/>
        <v>F310631650000000</v>
      </c>
      <c r="H2230" s="6" t="str">
        <f t="shared" si="509"/>
        <v>PLAR 6316 FD - 500 g</v>
      </c>
      <c r="I2230" s="6" t="str">
        <f>"201855"</f>
        <v>201855</v>
      </c>
      <c r="J2230" s="6" t="str">
        <f>"AZUL 1855"</f>
        <v>AZUL 1855</v>
      </c>
      <c r="K2230" s="6" t="str">
        <f>"1024"</f>
        <v>1024</v>
      </c>
      <c r="L2230" s="6" t="str">
        <f>"Toalhas"</f>
        <v>Toalhas</v>
      </c>
      <c r="M2230" s="6" t="str">
        <f>"50x100"</f>
        <v>50x100</v>
      </c>
      <c r="N2230" s="6" t="str">
        <f>"5602972281057"</f>
        <v>5602972281057</v>
      </c>
      <c r="O2230" s="8">
        <v>6</v>
      </c>
      <c r="R2230" s="8">
        <v>0</v>
      </c>
      <c r="U2230" s="8">
        <v>0</v>
      </c>
      <c r="X2230" s="8">
        <v>0</v>
      </c>
      <c r="Z2230" s="8">
        <v>0</v>
      </c>
      <c r="AC2230" s="8">
        <v>0</v>
      </c>
      <c r="AF2230" s="8">
        <v>0</v>
      </c>
      <c r="AN2230" s="8">
        <v>6</v>
      </c>
      <c r="AO2230" s="8">
        <v>0</v>
      </c>
    </row>
    <row r="2231" spans="1:41" x14ac:dyDescent="0.25">
      <c r="A2231" s="6" t="str">
        <f>"522-2026000230"</f>
        <v>522-2026000230</v>
      </c>
      <c r="B2231" s="6" t="str">
        <f t="shared" si="507"/>
        <v>EL CORTE</v>
      </c>
      <c r="C2231" s="7">
        <v>46037</v>
      </c>
      <c r="D2231" s="7">
        <v>46042</v>
      </c>
      <c r="E2231" s="8">
        <v>2</v>
      </c>
      <c r="F2231" s="6" t="str">
        <f>"94831201_07026"</f>
        <v>94831201_07026</v>
      </c>
      <c r="G2231" s="6" t="str">
        <f t="shared" si="508"/>
        <v>F310631650000000</v>
      </c>
      <c r="H2231" s="6" t="str">
        <f t="shared" si="509"/>
        <v>PLAR 6316 FD - 500 g</v>
      </c>
      <c r="I2231" s="6" t="str">
        <f>"202575"</f>
        <v>202575</v>
      </c>
      <c r="J2231" s="6" t="str">
        <f>"BEGE 2575"</f>
        <v>BEGE 2575</v>
      </c>
      <c r="K2231" s="6" t="str">
        <f>"0520"</f>
        <v>0520</v>
      </c>
      <c r="L2231" s="6" t="str">
        <f>"Toalhetes"</f>
        <v>Toalhetes</v>
      </c>
      <c r="M2231" s="6" t="str">
        <f>"30x50"</f>
        <v>30x50</v>
      </c>
      <c r="N2231" s="6" t="str">
        <f>"5602972281071"</f>
        <v>5602972281071</v>
      </c>
      <c r="O2231" s="8">
        <v>6</v>
      </c>
      <c r="R2231" s="8">
        <v>0</v>
      </c>
      <c r="U2231" s="8">
        <v>0</v>
      </c>
      <c r="X2231" s="8">
        <v>0</v>
      </c>
      <c r="Z2231" s="8">
        <v>0</v>
      </c>
      <c r="AC2231" s="8">
        <v>0</v>
      </c>
      <c r="AF2231" s="8">
        <v>0</v>
      </c>
      <c r="AN2231" s="8">
        <v>6</v>
      </c>
      <c r="AO2231" s="8">
        <v>0</v>
      </c>
    </row>
    <row r="2232" spans="1:41" x14ac:dyDescent="0.25">
      <c r="A2232" s="6" t="str">
        <f>"522-2026000230"</f>
        <v>522-2026000230</v>
      </c>
      <c r="B2232" s="6" t="str">
        <f t="shared" si="507"/>
        <v>EL CORTE</v>
      </c>
      <c r="C2232" s="7">
        <v>46037</v>
      </c>
      <c r="D2232" s="7">
        <v>46042</v>
      </c>
      <c r="E2232" s="8">
        <v>3</v>
      </c>
      <c r="F2232" s="6" t="str">
        <f>"94831201_07026"</f>
        <v>94831201_07026</v>
      </c>
      <c r="G2232" s="6" t="str">
        <f t="shared" si="508"/>
        <v>F310631650000000</v>
      </c>
      <c r="H2232" s="6" t="str">
        <f t="shared" si="509"/>
        <v>PLAR 6316 FD - 500 g</v>
      </c>
      <c r="I2232" s="6" t="str">
        <f>"202575"</f>
        <v>202575</v>
      </c>
      <c r="J2232" s="6" t="str">
        <f>"BEGE 2575"</f>
        <v>BEGE 2575</v>
      </c>
      <c r="K2232" s="6" t="str">
        <f>"2020"</f>
        <v>2020</v>
      </c>
      <c r="L2232" s="6" t="str">
        <f>"Lençóis"</f>
        <v>Lençóis</v>
      </c>
      <c r="M2232" s="6" t="str">
        <f>"100x150"</f>
        <v>100x150</v>
      </c>
      <c r="N2232" s="6" t="str">
        <f>"5602972281095"</f>
        <v>5602972281095</v>
      </c>
      <c r="O2232" s="8">
        <v>6</v>
      </c>
      <c r="R2232" s="8">
        <v>0</v>
      </c>
      <c r="U2232" s="8">
        <v>0</v>
      </c>
      <c r="X2232" s="8">
        <v>0</v>
      </c>
      <c r="Z2232" s="8">
        <v>0</v>
      </c>
      <c r="AC2232" s="8">
        <v>0</v>
      </c>
      <c r="AF2232" s="8">
        <v>0</v>
      </c>
      <c r="AN2232" s="8">
        <v>0</v>
      </c>
      <c r="AO2232" s="8">
        <v>6</v>
      </c>
    </row>
    <row r="2233" spans="1:41" x14ac:dyDescent="0.25">
      <c r="A2233" s="6" t="str">
        <f>"522-2026000230"</f>
        <v>522-2026000230</v>
      </c>
      <c r="B2233" s="6" t="str">
        <f t="shared" si="507"/>
        <v>EL CORTE</v>
      </c>
      <c r="C2233" s="7">
        <v>46037</v>
      </c>
      <c r="D2233" s="7">
        <v>46042</v>
      </c>
      <c r="E2233" s="8">
        <v>4</v>
      </c>
      <c r="F2233" s="6" t="str">
        <f>"94831201_07026"</f>
        <v>94831201_07026</v>
      </c>
      <c r="G2233" s="6" t="str">
        <f t="shared" si="508"/>
        <v>F310631650000000</v>
      </c>
      <c r="H2233" s="6" t="str">
        <f t="shared" si="509"/>
        <v>PLAR 6316 FD - 500 g</v>
      </c>
      <c r="I2233" s="6" t="str">
        <f>"200901"</f>
        <v>200901</v>
      </c>
      <c r="J2233" s="6" t="str">
        <f>"ROSA 901"</f>
        <v>ROSA 901</v>
      </c>
      <c r="K2233" s="6" t="str">
        <f>"2020"</f>
        <v>2020</v>
      </c>
      <c r="L2233" s="6" t="str">
        <f>"Lençóis"</f>
        <v>Lençóis</v>
      </c>
      <c r="M2233" s="6" t="str">
        <f>"100x150"</f>
        <v>100x150</v>
      </c>
      <c r="N2233" s="6" t="str">
        <f>"5602972281125"</f>
        <v>5602972281125</v>
      </c>
      <c r="O2233" s="8">
        <v>3</v>
      </c>
      <c r="R2233" s="8">
        <v>0</v>
      </c>
      <c r="U2233" s="8">
        <v>0</v>
      </c>
      <c r="X2233" s="8">
        <v>0</v>
      </c>
      <c r="Z2233" s="8">
        <v>0</v>
      </c>
      <c r="AC2233" s="8">
        <v>0</v>
      </c>
      <c r="AF2233" s="8">
        <v>0</v>
      </c>
      <c r="AN2233" s="8">
        <v>0</v>
      </c>
      <c r="AO2233" s="8">
        <v>3</v>
      </c>
    </row>
    <row r="2234" spans="1:41" x14ac:dyDescent="0.25">
      <c r="A2234" s="6" t="str">
        <f>"522-2026000231"</f>
        <v>522-2026000231</v>
      </c>
      <c r="B2234" s="6" t="str">
        <f t="shared" si="507"/>
        <v>EL CORTE</v>
      </c>
      <c r="C2234" s="7">
        <v>46037</v>
      </c>
      <c r="D2234" s="7">
        <v>46042</v>
      </c>
      <c r="E2234" s="8">
        <v>1</v>
      </c>
      <c r="F2234" s="6" t="str">
        <f>"94829901_07026"</f>
        <v>94829901_07026</v>
      </c>
      <c r="G2234" s="6" t="str">
        <f t="shared" si="508"/>
        <v>F310631650000000</v>
      </c>
      <c r="H2234" s="6" t="str">
        <f t="shared" si="509"/>
        <v>PLAR 6316 FD - 500 g</v>
      </c>
      <c r="I2234" s="6" t="str">
        <f>"200901"</f>
        <v>200901</v>
      </c>
      <c r="J2234" s="6" t="str">
        <f>"ROSA 901"</f>
        <v>ROSA 901</v>
      </c>
      <c r="K2234" s="6" t="str">
        <f>"1024"</f>
        <v>1024</v>
      </c>
      <c r="L2234" s="6" t="str">
        <f>"Toalhas"</f>
        <v>Toalhas</v>
      </c>
      <c r="M2234" s="6" t="str">
        <f>"50x100"</f>
        <v>50x100</v>
      </c>
      <c r="N2234" s="6" t="str">
        <f>"5602972281118"</f>
        <v>5602972281118</v>
      </c>
      <c r="O2234" s="8">
        <v>6</v>
      </c>
      <c r="R2234" s="8">
        <v>0</v>
      </c>
      <c r="U2234" s="8">
        <v>0</v>
      </c>
      <c r="X2234" s="8">
        <v>0</v>
      </c>
      <c r="Z2234" s="8">
        <v>0</v>
      </c>
      <c r="AC2234" s="8">
        <v>0</v>
      </c>
      <c r="AF2234" s="8">
        <v>0</v>
      </c>
      <c r="AN2234" s="8">
        <v>6</v>
      </c>
      <c r="AO2234" s="8">
        <v>0</v>
      </c>
    </row>
    <row r="2235" spans="1:41" x14ac:dyDescent="0.25">
      <c r="A2235" s="6" t="str">
        <f t="shared" ref="A2235:A2246" si="520">"522-2026000232"</f>
        <v>522-2026000232</v>
      </c>
      <c r="B2235" s="6" t="str">
        <f t="shared" si="507"/>
        <v>EL CORTE</v>
      </c>
      <c r="C2235" s="7">
        <v>46037</v>
      </c>
      <c r="D2235" s="7">
        <v>46042</v>
      </c>
      <c r="E2235" s="8">
        <v>1</v>
      </c>
      <c r="F2235" s="6" t="str">
        <f t="shared" ref="F2235:F2246" si="521">"94830601_07026"</f>
        <v>94830601_07026</v>
      </c>
      <c r="G2235" s="6" t="str">
        <f t="shared" si="508"/>
        <v>F310631650000000</v>
      </c>
      <c r="H2235" s="6" t="str">
        <f t="shared" si="509"/>
        <v>PLAR 6316 FD - 500 g</v>
      </c>
      <c r="I2235" s="6" t="str">
        <f>"201855"</f>
        <v>201855</v>
      </c>
      <c r="J2235" s="6" t="str">
        <f>"AZUL 1855"</f>
        <v>AZUL 1855</v>
      </c>
      <c r="K2235" s="6" t="str">
        <f>"0520"</f>
        <v>0520</v>
      </c>
      <c r="L2235" s="6" t="str">
        <f>"Toalhetes"</f>
        <v>Toalhetes</v>
      </c>
      <c r="M2235" s="6" t="str">
        <f>"30x50"</f>
        <v>30x50</v>
      </c>
      <c r="N2235" s="6" t="str">
        <f>"5602972281040"</f>
        <v>5602972281040</v>
      </c>
      <c r="O2235" s="8">
        <v>6</v>
      </c>
      <c r="R2235" s="8">
        <v>0</v>
      </c>
      <c r="U2235" s="8">
        <v>0</v>
      </c>
      <c r="X2235" s="8">
        <v>0</v>
      </c>
      <c r="Z2235" s="8">
        <v>0</v>
      </c>
      <c r="AC2235" s="8">
        <v>0</v>
      </c>
      <c r="AF2235" s="8">
        <v>0</v>
      </c>
      <c r="AN2235" s="8">
        <v>6</v>
      </c>
      <c r="AO2235" s="8">
        <v>0</v>
      </c>
    </row>
    <row r="2236" spans="1:41" x14ac:dyDescent="0.25">
      <c r="A2236" s="6" t="str">
        <f t="shared" si="520"/>
        <v>522-2026000232</v>
      </c>
      <c r="B2236" s="6" t="str">
        <f t="shared" si="507"/>
        <v>EL CORTE</v>
      </c>
      <c r="C2236" s="7">
        <v>46037</v>
      </c>
      <c r="D2236" s="7">
        <v>46042</v>
      </c>
      <c r="E2236" s="8">
        <v>2</v>
      </c>
      <c r="F2236" s="6" t="str">
        <f t="shared" si="521"/>
        <v>94830601_07026</v>
      </c>
      <c r="G2236" s="6" t="str">
        <f t="shared" si="508"/>
        <v>F310631650000000</v>
      </c>
      <c r="H2236" s="6" t="str">
        <f t="shared" si="509"/>
        <v>PLAR 6316 FD - 500 g</v>
      </c>
      <c r="I2236" s="6" t="str">
        <f>"201855"</f>
        <v>201855</v>
      </c>
      <c r="J2236" s="6" t="str">
        <f>"AZUL 1855"</f>
        <v>AZUL 1855</v>
      </c>
      <c r="K2236" s="6" t="str">
        <f>"1024"</f>
        <v>1024</v>
      </c>
      <c r="L2236" s="6" t="str">
        <f>"Toalhas"</f>
        <v>Toalhas</v>
      </c>
      <c r="M2236" s="6" t="str">
        <f>"50x100"</f>
        <v>50x100</v>
      </c>
      <c r="N2236" s="6" t="str">
        <f>"5602972281057"</f>
        <v>5602972281057</v>
      </c>
      <c r="O2236" s="8">
        <v>6</v>
      </c>
      <c r="R2236" s="8">
        <v>0</v>
      </c>
      <c r="U2236" s="8">
        <v>0</v>
      </c>
      <c r="X2236" s="8">
        <v>0</v>
      </c>
      <c r="Z2236" s="8">
        <v>0</v>
      </c>
      <c r="AC2236" s="8">
        <v>0</v>
      </c>
      <c r="AF2236" s="8">
        <v>0</v>
      </c>
      <c r="AN2236" s="8">
        <v>6</v>
      </c>
      <c r="AO2236" s="8">
        <v>0</v>
      </c>
    </row>
    <row r="2237" spans="1:41" x14ac:dyDescent="0.25">
      <c r="A2237" s="6" t="str">
        <f t="shared" si="520"/>
        <v>522-2026000232</v>
      </c>
      <c r="B2237" s="6" t="str">
        <f t="shared" si="507"/>
        <v>EL CORTE</v>
      </c>
      <c r="C2237" s="7">
        <v>46037</v>
      </c>
      <c r="D2237" s="7">
        <v>46042</v>
      </c>
      <c r="E2237" s="8">
        <v>3</v>
      </c>
      <c r="F2237" s="6" t="str">
        <f t="shared" si="521"/>
        <v>94830601_07026</v>
      </c>
      <c r="G2237" s="6" t="str">
        <f t="shared" si="508"/>
        <v>F310631650000000</v>
      </c>
      <c r="H2237" s="6" t="str">
        <f t="shared" si="509"/>
        <v>PLAR 6316 FD - 500 g</v>
      </c>
      <c r="I2237" s="6" t="str">
        <f>"201855"</f>
        <v>201855</v>
      </c>
      <c r="J2237" s="6" t="str">
        <f>"AZUL 1855"</f>
        <v>AZUL 1855</v>
      </c>
      <c r="K2237" s="6" t="str">
        <f>"2020"</f>
        <v>2020</v>
      </c>
      <c r="L2237" s="6" t="str">
        <f>"Lençóis"</f>
        <v>Lençóis</v>
      </c>
      <c r="M2237" s="6" t="str">
        <f>"100x150"</f>
        <v>100x150</v>
      </c>
      <c r="N2237" s="6" t="str">
        <f>"5602972281064"</f>
        <v>5602972281064</v>
      </c>
      <c r="O2237" s="8">
        <v>6</v>
      </c>
      <c r="R2237" s="8">
        <v>0</v>
      </c>
      <c r="U2237" s="8">
        <v>0</v>
      </c>
      <c r="X2237" s="8">
        <v>0</v>
      </c>
      <c r="Z2237" s="8">
        <v>0</v>
      </c>
      <c r="AC2237" s="8">
        <v>0</v>
      </c>
      <c r="AF2237" s="8">
        <v>0</v>
      </c>
      <c r="AN2237" s="8">
        <v>0</v>
      </c>
      <c r="AO2237" s="8">
        <v>6</v>
      </c>
    </row>
    <row r="2238" spans="1:41" x14ac:dyDescent="0.25">
      <c r="A2238" s="6" t="str">
        <f t="shared" si="520"/>
        <v>522-2026000232</v>
      </c>
      <c r="B2238" s="6" t="str">
        <f t="shared" si="507"/>
        <v>EL CORTE</v>
      </c>
      <c r="C2238" s="7">
        <v>46037</v>
      </c>
      <c r="D2238" s="7">
        <v>46042</v>
      </c>
      <c r="E2238" s="8">
        <v>4</v>
      </c>
      <c r="F2238" s="6" t="str">
        <f t="shared" si="521"/>
        <v>94830601_07026</v>
      </c>
      <c r="G2238" s="6" t="str">
        <f t="shared" si="508"/>
        <v>F310631650000000</v>
      </c>
      <c r="H2238" s="6" t="str">
        <f t="shared" si="509"/>
        <v>PLAR 6316 FD - 500 g</v>
      </c>
      <c r="I2238" s="6" t="str">
        <f>"202575"</f>
        <v>202575</v>
      </c>
      <c r="J2238" s="6" t="str">
        <f>"BEGE 2575"</f>
        <v>BEGE 2575</v>
      </c>
      <c r="K2238" s="6" t="str">
        <f>"0520"</f>
        <v>0520</v>
      </c>
      <c r="L2238" s="6" t="str">
        <f>"Toalhetes"</f>
        <v>Toalhetes</v>
      </c>
      <c r="M2238" s="6" t="str">
        <f>"30x50"</f>
        <v>30x50</v>
      </c>
      <c r="N2238" s="6" t="str">
        <f>"5602972281071"</f>
        <v>5602972281071</v>
      </c>
      <c r="O2238" s="8">
        <v>6</v>
      </c>
      <c r="R2238" s="8">
        <v>0</v>
      </c>
      <c r="U2238" s="8">
        <v>0</v>
      </c>
      <c r="X2238" s="8">
        <v>0</v>
      </c>
      <c r="Z2238" s="8">
        <v>0</v>
      </c>
      <c r="AC2238" s="8">
        <v>0</v>
      </c>
      <c r="AF2238" s="8">
        <v>0</v>
      </c>
      <c r="AN2238" s="8">
        <v>6</v>
      </c>
      <c r="AO2238" s="8">
        <v>0</v>
      </c>
    </row>
    <row r="2239" spans="1:41" x14ac:dyDescent="0.25">
      <c r="A2239" s="6" t="str">
        <f t="shared" si="520"/>
        <v>522-2026000232</v>
      </c>
      <c r="B2239" s="6" t="str">
        <f t="shared" si="507"/>
        <v>EL CORTE</v>
      </c>
      <c r="C2239" s="7">
        <v>46037</v>
      </c>
      <c r="D2239" s="7">
        <v>46042</v>
      </c>
      <c r="E2239" s="8">
        <v>5</v>
      </c>
      <c r="F2239" s="6" t="str">
        <f t="shared" si="521"/>
        <v>94830601_07026</v>
      </c>
      <c r="G2239" s="6" t="str">
        <f t="shared" si="508"/>
        <v>F310631650000000</v>
      </c>
      <c r="H2239" s="6" t="str">
        <f t="shared" si="509"/>
        <v>PLAR 6316 FD - 500 g</v>
      </c>
      <c r="I2239" s="6" t="str">
        <f>"202575"</f>
        <v>202575</v>
      </c>
      <c r="J2239" s="6" t="str">
        <f>"BEGE 2575"</f>
        <v>BEGE 2575</v>
      </c>
      <c r="K2239" s="6" t="str">
        <f>"1024"</f>
        <v>1024</v>
      </c>
      <c r="L2239" s="6" t="str">
        <f>"Toalhas"</f>
        <v>Toalhas</v>
      </c>
      <c r="M2239" s="6" t="str">
        <f>"50x100"</f>
        <v>50x100</v>
      </c>
      <c r="N2239" s="6" t="str">
        <f>"5602972281088"</f>
        <v>5602972281088</v>
      </c>
      <c r="O2239" s="8">
        <v>6</v>
      </c>
      <c r="R2239" s="8">
        <v>0</v>
      </c>
      <c r="U2239" s="8">
        <v>0</v>
      </c>
      <c r="X2239" s="8">
        <v>0</v>
      </c>
      <c r="Z2239" s="8">
        <v>0</v>
      </c>
      <c r="AC2239" s="8">
        <v>0</v>
      </c>
      <c r="AF2239" s="8">
        <v>0</v>
      </c>
      <c r="AN2239" s="8">
        <v>6</v>
      </c>
      <c r="AO2239" s="8">
        <v>0</v>
      </c>
    </row>
    <row r="2240" spans="1:41" x14ac:dyDescent="0.25">
      <c r="A2240" s="6" t="str">
        <f t="shared" si="520"/>
        <v>522-2026000232</v>
      </c>
      <c r="B2240" s="6" t="str">
        <f t="shared" si="507"/>
        <v>EL CORTE</v>
      </c>
      <c r="C2240" s="7">
        <v>46037</v>
      </c>
      <c r="D2240" s="7">
        <v>46042</v>
      </c>
      <c r="E2240" s="8">
        <v>6</v>
      </c>
      <c r="F2240" s="6" t="str">
        <f t="shared" si="521"/>
        <v>94830601_07026</v>
      </c>
      <c r="G2240" s="6" t="str">
        <f t="shared" si="508"/>
        <v>F310631650000000</v>
      </c>
      <c r="H2240" s="6" t="str">
        <f t="shared" si="509"/>
        <v>PLAR 6316 FD - 500 g</v>
      </c>
      <c r="I2240" s="6" t="str">
        <f>"202575"</f>
        <v>202575</v>
      </c>
      <c r="J2240" s="6" t="str">
        <f>"BEGE 2575"</f>
        <v>BEGE 2575</v>
      </c>
      <c r="K2240" s="6" t="str">
        <f>"2020"</f>
        <v>2020</v>
      </c>
      <c r="L2240" s="6" t="str">
        <f>"Lençóis"</f>
        <v>Lençóis</v>
      </c>
      <c r="M2240" s="6" t="str">
        <f>"100x150"</f>
        <v>100x150</v>
      </c>
      <c r="N2240" s="6" t="str">
        <f>"5602972281095"</f>
        <v>5602972281095</v>
      </c>
      <c r="O2240" s="8">
        <v>9</v>
      </c>
      <c r="R2240" s="8">
        <v>0</v>
      </c>
      <c r="U2240" s="8">
        <v>0</v>
      </c>
      <c r="X2240" s="8">
        <v>0</v>
      </c>
      <c r="Z2240" s="8">
        <v>0</v>
      </c>
      <c r="AC2240" s="8">
        <v>0</v>
      </c>
      <c r="AF2240" s="8">
        <v>0</v>
      </c>
      <c r="AN2240" s="8">
        <v>0</v>
      </c>
      <c r="AO2240" s="8">
        <v>9</v>
      </c>
    </row>
    <row r="2241" spans="1:41" x14ac:dyDescent="0.25">
      <c r="A2241" s="6" t="str">
        <f t="shared" si="520"/>
        <v>522-2026000232</v>
      </c>
      <c r="B2241" s="6" t="str">
        <f t="shared" si="507"/>
        <v>EL CORTE</v>
      </c>
      <c r="C2241" s="7">
        <v>46037</v>
      </c>
      <c r="D2241" s="7">
        <v>46042</v>
      </c>
      <c r="E2241" s="8">
        <v>7</v>
      </c>
      <c r="F2241" s="6" t="str">
        <f t="shared" si="521"/>
        <v>94830601_07026</v>
      </c>
      <c r="G2241" s="6" t="str">
        <f t="shared" si="508"/>
        <v>F310631650000000</v>
      </c>
      <c r="H2241" s="6" t="str">
        <f t="shared" si="509"/>
        <v>PLAR 6316 FD - 500 g</v>
      </c>
      <c r="I2241" s="6" t="str">
        <f>"200901"</f>
        <v>200901</v>
      </c>
      <c r="J2241" s="6" t="str">
        <f>"ROSA 901"</f>
        <v>ROSA 901</v>
      </c>
      <c r="K2241" s="6" t="str">
        <f>"0520"</f>
        <v>0520</v>
      </c>
      <c r="L2241" s="6" t="str">
        <f>"Toalhetes"</f>
        <v>Toalhetes</v>
      </c>
      <c r="M2241" s="6" t="str">
        <f>"30x50"</f>
        <v>30x50</v>
      </c>
      <c r="N2241" s="6" t="str">
        <f>"5602972281101"</f>
        <v>5602972281101</v>
      </c>
      <c r="O2241" s="8">
        <v>6</v>
      </c>
      <c r="R2241" s="8">
        <v>0</v>
      </c>
      <c r="U2241" s="8">
        <v>0</v>
      </c>
      <c r="X2241" s="8">
        <v>0</v>
      </c>
      <c r="Z2241" s="8">
        <v>0</v>
      </c>
      <c r="AC2241" s="8">
        <v>0</v>
      </c>
      <c r="AF2241" s="8">
        <v>0</v>
      </c>
      <c r="AN2241" s="8">
        <v>6</v>
      </c>
      <c r="AO2241" s="8">
        <v>0</v>
      </c>
    </row>
    <row r="2242" spans="1:41" x14ac:dyDescent="0.25">
      <c r="A2242" s="6" t="str">
        <f t="shared" si="520"/>
        <v>522-2026000232</v>
      </c>
      <c r="B2242" s="6" t="str">
        <f t="shared" si="507"/>
        <v>EL CORTE</v>
      </c>
      <c r="C2242" s="7">
        <v>46037</v>
      </c>
      <c r="D2242" s="7">
        <v>46042</v>
      </c>
      <c r="E2242" s="8">
        <v>8</v>
      </c>
      <c r="F2242" s="6" t="str">
        <f t="shared" si="521"/>
        <v>94830601_07026</v>
      </c>
      <c r="G2242" s="6" t="str">
        <f t="shared" si="508"/>
        <v>F310631650000000</v>
      </c>
      <c r="H2242" s="6" t="str">
        <f t="shared" si="509"/>
        <v>PLAR 6316 FD - 500 g</v>
      </c>
      <c r="I2242" s="6" t="str">
        <f>"200901"</f>
        <v>200901</v>
      </c>
      <c r="J2242" s="6" t="str">
        <f>"ROSA 901"</f>
        <v>ROSA 901</v>
      </c>
      <c r="K2242" s="6" t="str">
        <f>"1024"</f>
        <v>1024</v>
      </c>
      <c r="L2242" s="6" t="str">
        <f>"Toalhas"</f>
        <v>Toalhas</v>
      </c>
      <c r="M2242" s="6" t="str">
        <f>"50x100"</f>
        <v>50x100</v>
      </c>
      <c r="N2242" s="6" t="str">
        <f>"5602972281118"</f>
        <v>5602972281118</v>
      </c>
      <c r="O2242" s="8">
        <v>6</v>
      </c>
      <c r="R2242" s="8">
        <v>0</v>
      </c>
      <c r="U2242" s="8">
        <v>0</v>
      </c>
      <c r="X2242" s="8">
        <v>0</v>
      </c>
      <c r="Z2242" s="8">
        <v>0</v>
      </c>
      <c r="AC2242" s="8">
        <v>0</v>
      </c>
      <c r="AF2242" s="8">
        <v>0</v>
      </c>
      <c r="AN2242" s="8">
        <v>6</v>
      </c>
      <c r="AO2242" s="8">
        <v>0</v>
      </c>
    </row>
    <row r="2243" spans="1:41" x14ac:dyDescent="0.25">
      <c r="A2243" s="6" t="str">
        <f t="shared" si="520"/>
        <v>522-2026000232</v>
      </c>
      <c r="B2243" s="6" t="str">
        <f t="shared" si="507"/>
        <v>EL CORTE</v>
      </c>
      <c r="C2243" s="7">
        <v>46037</v>
      </c>
      <c r="D2243" s="7">
        <v>46042</v>
      </c>
      <c r="E2243" s="8">
        <v>9</v>
      </c>
      <c r="F2243" s="6" t="str">
        <f t="shared" si="521"/>
        <v>94830601_07026</v>
      </c>
      <c r="G2243" s="6" t="str">
        <f t="shared" si="508"/>
        <v>F310631650000000</v>
      </c>
      <c r="H2243" s="6" t="str">
        <f t="shared" si="509"/>
        <v>PLAR 6316 FD - 500 g</v>
      </c>
      <c r="I2243" s="6" t="str">
        <f>"200901"</f>
        <v>200901</v>
      </c>
      <c r="J2243" s="6" t="str">
        <f>"ROSA 901"</f>
        <v>ROSA 901</v>
      </c>
      <c r="K2243" s="6" t="str">
        <f>"2020"</f>
        <v>2020</v>
      </c>
      <c r="L2243" s="6" t="str">
        <f>"Lençóis"</f>
        <v>Lençóis</v>
      </c>
      <c r="M2243" s="6" t="str">
        <f>"100x150"</f>
        <v>100x150</v>
      </c>
      <c r="N2243" s="6" t="str">
        <f>"5602972281125"</f>
        <v>5602972281125</v>
      </c>
      <c r="O2243" s="8">
        <v>6</v>
      </c>
      <c r="R2243" s="8">
        <v>0</v>
      </c>
      <c r="U2243" s="8">
        <v>0</v>
      </c>
      <c r="X2243" s="8">
        <v>0</v>
      </c>
      <c r="Z2243" s="8">
        <v>0</v>
      </c>
      <c r="AC2243" s="8">
        <v>0</v>
      </c>
      <c r="AF2243" s="8">
        <v>0</v>
      </c>
      <c r="AN2243" s="8">
        <v>0</v>
      </c>
      <c r="AO2243" s="8">
        <v>6</v>
      </c>
    </row>
    <row r="2244" spans="1:41" x14ac:dyDescent="0.25">
      <c r="A2244" s="6" t="str">
        <f t="shared" si="520"/>
        <v>522-2026000232</v>
      </c>
      <c r="B2244" s="6" t="str">
        <f t="shared" si="507"/>
        <v>EL CORTE</v>
      </c>
      <c r="C2244" s="7">
        <v>46037</v>
      </c>
      <c r="D2244" s="7">
        <v>46042</v>
      </c>
      <c r="E2244" s="8">
        <v>10</v>
      </c>
      <c r="F2244" s="6" t="str">
        <f t="shared" si="521"/>
        <v>94830601_07026</v>
      </c>
      <c r="G2244" s="6" t="str">
        <f t="shared" si="508"/>
        <v>F310631650000000</v>
      </c>
      <c r="H2244" s="6" t="str">
        <f t="shared" si="509"/>
        <v>PLAR 6316 FD - 500 g</v>
      </c>
      <c r="I2244" s="6" t="str">
        <f>"200510"</f>
        <v>200510</v>
      </c>
      <c r="J2244" s="6" t="str">
        <f>"VERDE 510"</f>
        <v>VERDE 510</v>
      </c>
      <c r="K2244" s="6" t="str">
        <f>"0520"</f>
        <v>0520</v>
      </c>
      <c r="L2244" s="6" t="str">
        <f>"Toalhetes"</f>
        <v>Toalhetes</v>
      </c>
      <c r="M2244" s="6" t="str">
        <f>"30x50"</f>
        <v>30x50</v>
      </c>
      <c r="N2244" s="6" t="str">
        <f>"5602972281132"</f>
        <v>5602972281132</v>
      </c>
      <c r="O2244" s="8">
        <v>6</v>
      </c>
      <c r="R2244" s="8">
        <v>0</v>
      </c>
      <c r="U2244" s="8">
        <v>0</v>
      </c>
      <c r="X2244" s="8">
        <v>0</v>
      </c>
      <c r="Z2244" s="8">
        <v>0</v>
      </c>
      <c r="AC2244" s="8">
        <v>0</v>
      </c>
      <c r="AF2244" s="8">
        <v>0</v>
      </c>
      <c r="AN2244" s="8">
        <v>6</v>
      </c>
      <c r="AO2244" s="8">
        <v>0</v>
      </c>
    </row>
    <row r="2245" spans="1:41" x14ac:dyDescent="0.25">
      <c r="A2245" s="6" t="str">
        <f t="shared" si="520"/>
        <v>522-2026000232</v>
      </c>
      <c r="B2245" s="6" t="str">
        <f t="shared" si="507"/>
        <v>EL CORTE</v>
      </c>
      <c r="C2245" s="7">
        <v>46037</v>
      </c>
      <c r="D2245" s="7">
        <v>46042</v>
      </c>
      <c r="E2245" s="8">
        <v>11</v>
      </c>
      <c r="F2245" s="6" t="str">
        <f t="shared" si="521"/>
        <v>94830601_07026</v>
      </c>
      <c r="G2245" s="6" t="str">
        <f t="shared" si="508"/>
        <v>F310631650000000</v>
      </c>
      <c r="H2245" s="6" t="str">
        <f t="shared" si="509"/>
        <v>PLAR 6316 FD - 500 g</v>
      </c>
      <c r="I2245" s="6" t="str">
        <f>"200510"</f>
        <v>200510</v>
      </c>
      <c r="J2245" s="6" t="str">
        <f>"VERDE 510"</f>
        <v>VERDE 510</v>
      </c>
      <c r="K2245" s="6" t="str">
        <f>"1024"</f>
        <v>1024</v>
      </c>
      <c r="L2245" s="6" t="str">
        <f>"Toalhas"</f>
        <v>Toalhas</v>
      </c>
      <c r="M2245" s="6" t="str">
        <f>"50x100"</f>
        <v>50x100</v>
      </c>
      <c r="N2245" s="6" t="str">
        <f>"5602972281149"</f>
        <v>5602972281149</v>
      </c>
      <c r="O2245" s="8">
        <v>12</v>
      </c>
      <c r="R2245" s="8">
        <v>0</v>
      </c>
      <c r="U2245" s="8">
        <v>0</v>
      </c>
      <c r="X2245" s="8">
        <v>0</v>
      </c>
      <c r="Z2245" s="8">
        <v>0</v>
      </c>
      <c r="AC2245" s="8">
        <v>0</v>
      </c>
      <c r="AF2245" s="8">
        <v>0</v>
      </c>
      <c r="AN2245" s="8">
        <v>12</v>
      </c>
      <c r="AO2245" s="8">
        <v>0</v>
      </c>
    </row>
    <row r="2246" spans="1:41" x14ac:dyDescent="0.25">
      <c r="A2246" s="6" t="str">
        <f t="shared" si="520"/>
        <v>522-2026000232</v>
      </c>
      <c r="B2246" s="6" t="str">
        <f t="shared" si="507"/>
        <v>EL CORTE</v>
      </c>
      <c r="C2246" s="7">
        <v>46037</v>
      </c>
      <c r="D2246" s="7">
        <v>46042</v>
      </c>
      <c r="E2246" s="8">
        <v>12</v>
      </c>
      <c r="F2246" s="6" t="str">
        <f t="shared" si="521"/>
        <v>94830601_07026</v>
      </c>
      <c r="G2246" s="6" t="str">
        <f t="shared" si="508"/>
        <v>F310631650000000</v>
      </c>
      <c r="H2246" s="6" t="str">
        <f t="shared" si="509"/>
        <v>PLAR 6316 FD - 500 g</v>
      </c>
      <c r="I2246" s="6" t="str">
        <f>"200510"</f>
        <v>200510</v>
      </c>
      <c r="J2246" s="6" t="str">
        <f>"VERDE 510"</f>
        <v>VERDE 510</v>
      </c>
      <c r="K2246" s="6" t="str">
        <f>"2020"</f>
        <v>2020</v>
      </c>
      <c r="L2246" s="6" t="str">
        <f>"Lençóis"</f>
        <v>Lençóis</v>
      </c>
      <c r="M2246" s="6" t="str">
        <f>"100x150"</f>
        <v>100x150</v>
      </c>
      <c r="N2246" s="6" t="str">
        <f>"5602972281156"</f>
        <v>5602972281156</v>
      </c>
      <c r="O2246" s="8">
        <v>6</v>
      </c>
      <c r="R2246" s="8">
        <v>0</v>
      </c>
      <c r="U2246" s="8">
        <v>0</v>
      </c>
      <c r="X2246" s="8">
        <v>0</v>
      </c>
      <c r="Z2246" s="8">
        <v>0</v>
      </c>
      <c r="AC2246" s="8">
        <v>0</v>
      </c>
      <c r="AF2246" s="8">
        <v>0</v>
      </c>
      <c r="AN2246" s="8">
        <v>0</v>
      </c>
      <c r="AO2246" s="8">
        <v>6</v>
      </c>
    </row>
    <row r="2247" spans="1:41" x14ac:dyDescent="0.25">
      <c r="A2247" s="6" t="str">
        <f t="shared" ref="A2247:A2256" si="522">"522-2026000233"</f>
        <v>522-2026000233</v>
      </c>
      <c r="B2247" s="6" t="str">
        <f t="shared" ref="B2247:B2310" si="523">"EL CORTE"</f>
        <v>EL CORTE</v>
      </c>
      <c r="C2247" s="7">
        <v>46037</v>
      </c>
      <c r="D2247" s="7">
        <v>46042</v>
      </c>
      <c r="E2247" s="8">
        <v>1</v>
      </c>
      <c r="F2247" s="6" t="str">
        <f t="shared" ref="F2247:F2256" si="524">"94831301_07026"</f>
        <v>94831301_07026</v>
      </c>
      <c r="G2247" s="6" t="str">
        <f t="shared" ref="G2247:G2310" si="525">"F310631650000000"</f>
        <v>F310631650000000</v>
      </c>
      <c r="H2247" s="6" t="str">
        <f t="shared" ref="H2247:H2310" si="526">"PLAR 6316 FD - 500 g"</f>
        <v>PLAR 6316 FD - 500 g</v>
      </c>
      <c r="I2247" s="6" t="str">
        <f>"201855"</f>
        <v>201855</v>
      </c>
      <c r="J2247" s="6" t="str">
        <f>"AZUL 1855"</f>
        <v>AZUL 1855</v>
      </c>
      <c r="K2247" s="6" t="str">
        <f>"0520"</f>
        <v>0520</v>
      </c>
      <c r="L2247" s="6" t="str">
        <f>"Toalhetes"</f>
        <v>Toalhetes</v>
      </c>
      <c r="M2247" s="6" t="str">
        <f>"30x50"</f>
        <v>30x50</v>
      </c>
      <c r="N2247" s="6" t="str">
        <f>"5602972281040"</f>
        <v>5602972281040</v>
      </c>
      <c r="O2247" s="8">
        <v>6</v>
      </c>
      <c r="R2247" s="8">
        <v>0</v>
      </c>
      <c r="U2247" s="8">
        <v>0</v>
      </c>
      <c r="X2247" s="8">
        <v>0</v>
      </c>
      <c r="Z2247" s="8">
        <v>0</v>
      </c>
      <c r="AC2247" s="8">
        <v>0</v>
      </c>
      <c r="AF2247" s="8">
        <v>0</v>
      </c>
      <c r="AN2247" s="8">
        <v>0</v>
      </c>
      <c r="AO2247" s="8">
        <v>6</v>
      </c>
    </row>
    <row r="2248" spans="1:41" x14ac:dyDescent="0.25">
      <c r="A2248" s="6" t="str">
        <f t="shared" si="522"/>
        <v>522-2026000233</v>
      </c>
      <c r="B2248" s="6" t="str">
        <f t="shared" si="523"/>
        <v>EL CORTE</v>
      </c>
      <c r="C2248" s="7">
        <v>46037</v>
      </c>
      <c r="D2248" s="7">
        <v>46042</v>
      </c>
      <c r="E2248" s="8">
        <v>2</v>
      </c>
      <c r="F2248" s="6" t="str">
        <f t="shared" si="524"/>
        <v>94831301_07026</v>
      </c>
      <c r="G2248" s="6" t="str">
        <f t="shared" si="525"/>
        <v>F310631650000000</v>
      </c>
      <c r="H2248" s="6" t="str">
        <f t="shared" si="526"/>
        <v>PLAR 6316 FD - 500 g</v>
      </c>
      <c r="I2248" s="6" t="str">
        <f>"201855"</f>
        <v>201855</v>
      </c>
      <c r="J2248" s="6" t="str">
        <f>"AZUL 1855"</f>
        <v>AZUL 1855</v>
      </c>
      <c r="K2248" s="6" t="str">
        <f>"1024"</f>
        <v>1024</v>
      </c>
      <c r="L2248" s="6" t="str">
        <f>"Toalhas"</f>
        <v>Toalhas</v>
      </c>
      <c r="M2248" s="6" t="str">
        <f>"50x100"</f>
        <v>50x100</v>
      </c>
      <c r="N2248" s="6" t="str">
        <f>"5602972281057"</f>
        <v>5602972281057</v>
      </c>
      <c r="O2248" s="8">
        <v>6</v>
      </c>
      <c r="R2248" s="8">
        <v>0</v>
      </c>
      <c r="U2248" s="8">
        <v>0</v>
      </c>
      <c r="X2248" s="8">
        <v>0</v>
      </c>
      <c r="Z2248" s="8">
        <v>0</v>
      </c>
      <c r="AC2248" s="8">
        <v>0</v>
      </c>
      <c r="AF2248" s="8">
        <v>0</v>
      </c>
      <c r="AN2248" s="8">
        <v>6</v>
      </c>
      <c r="AO2248" s="8">
        <v>0</v>
      </c>
    </row>
    <row r="2249" spans="1:41" x14ac:dyDescent="0.25">
      <c r="A2249" s="6" t="str">
        <f t="shared" si="522"/>
        <v>522-2026000233</v>
      </c>
      <c r="B2249" s="6" t="str">
        <f t="shared" si="523"/>
        <v>EL CORTE</v>
      </c>
      <c r="C2249" s="7">
        <v>46037</v>
      </c>
      <c r="D2249" s="7">
        <v>46042</v>
      </c>
      <c r="E2249" s="8">
        <v>3</v>
      </c>
      <c r="F2249" s="6" t="str">
        <f t="shared" si="524"/>
        <v>94831301_07026</v>
      </c>
      <c r="G2249" s="6" t="str">
        <f t="shared" si="525"/>
        <v>F310631650000000</v>
      </c>
      <c r="H2249" s="6" t="str">
        <f t="shared" si="526"/>
        <v>PLAR 6316 FD - 500 g</v>
      </c>
      <c r="I2249" s="6" t="str">
        <f>"201855"</f>
        <v>201855</v>
      </c>
      <c r="J2249" s="6" t="str">
        <f>"AZUL 1855"</f>
        <v>AZUL 1855</v>
      </c>
      <c r="K2249" s="6" t="str">
        <f>"2020"</f>
        <v>2020</v>
      </c>
      <c r="L2249" s="6" t="str">
        <f>"Lençóis"</f>
        <v>Lençóis</v>
      </c>
      <c r="M2249" s="6" t="str">
        <f>"100x150"</f>
        <v>100x150</v>
      </c>
      <c r="N2249" s="6" t="str">
        <f>"5602972281064"</f>
        <v>5602972281064</v>
      </c>
      <c r="O2249" s="8">
        <v>9</v>
      </c>
      <c r="R2249" s="8">
        <v>0</v>
      </c>
      <c r="U2249" s="8">
        <v>0</v>
      </c>
      <c r="X2249" s="8">
        <v>0</v>
      </c>
      <c r="Z2249" s="8">
        <v>0</v>
      </c>
      <c r="AC2249" s="8">
        <v>0</v>
      </c>
      <c r="AF2249" s="8">
        <v>0</v>
      </c>
      <c r="AN2249" s="8">
        <v>0</v>
      </c>
      <c r="AO2249" s="8">
        <v>9</v>
      </c>
    </row>
    <row r="2250" spans="1:41" x14ac:dyDescent="0.25">
      <c r="A2250" s="6" t="str">
        <f t="shared" si="522"/>
        <v>522-2026000233</v>
      </c>
      <c r="B2250" s="6" t="str">
        <f t="shared" si="523"/>
        <v>EL CORTE</v>
      </c>
      <c r="C2250" s="7">
        <v>46037</v>
      </c>
      <c r="D2250" s="7">
        <v>46042</v>
      </c>
      <c r="E2250" s="8">
        <v>4</v>
      </c>
      <c r="F2250" s="6" t="str">
        <f t="shared" si="524"/>
        <v>94831301_07026</v>
      </c>
      <c r="G2250" s="6" t="str">
        <f t="shared" si="525"/>
        <v>F310631650000000</v>
      </c>
      <c r="H2250" s="6" t="str">
        <f t="shared" si="526"/>
        <v>PLAR 6316 FD - 500 g</v>
      </c>
      <c r="I2250" s="6" t="str">
        <f>"202575"</f>
        <v>202575</v>
      </c>
      <c r="J2250" s="6" t="str">
        <f>"BEGE 2575"</f>
        <v>BEGE 2575</v>
      </c>
      <c r="K2250" s="6" t="str">
        <f>"0520"</f>
        <v>0520</v>
      </c>
      <c r="L2250" s="6" t="str">
        <f>"Toalhetes"</f>
        <v>Toalhetes</v>
      </c>
      <c r="M2250" s="6" t="str">
        <f>"30x50"</f>
        <v>30x50</v>
      </c>
      <c r="N2250" s="6" t="str">
        <f>"5602972281071"</f>
        <v>5602972281071</v>
      </c>
      <c r="O2250" s="8">
        <v>6</v>
      </c>
      <c r="R2250" s="8">
        <v>0</v>
      </c>
      <c r="U2250" s="8">
        <v>0</v>
      </c>
      <c r="X2250" s="8">
        <v>0</v>
      </c>
      <c r="Z2250" s="8">
        <v>0</v>
      </c>
      <c r="AC2250" s="8">
        <v>0</v>
      </c>
      <c r="AF2250" s="8">
        <v>0</v>
      </c>
      <c r="AN2250" s="8">
        <v>6</v>
      </c>
      <c r="AO2250" s="8">
        <v>0</v>
      </c>
    </row>
    <row r="2251" spans="1:41" x14ac:dyDescent="0.25">
      <c r="A2251" s="6" t="str">
        <f t="shared" si="522"/>
        <v>522-2026000233</v>
      </c>
      <c r="B2251" s="6" t="str">
        <f t="shared" si="523"/>
        <v>EL CORTE</v>
      </c>
      <c r="C2251" s="7">
        <v>46037</v>
      </c>
      <c r="D2251" s="7">
        <v>46042</v>
      </c>
      <c r="E2251" s="8">
        <v>5</v>
      </c>
      <c r="F2251" s="6" t="str">
        <f t="shared" si="524"/>
        <v>94831301_07026</v>
      </c>
      <c r="G2251" s="6" t="str">
        <f t="shared" si="525"/>
        <v>F310631650000000</v>
      </c>
      <c r="H2251" s="6" t="str">
        <f t="shared" si="526"/>
        <v>PLAR 6316 FD - 500 g</v>
      </c>
      <c r="I2251" s="6" t="str">
        <f>"202575"</f>
        <v>202575</v>
      </c>
      <c r="J2251" s="6" t="str">
        <f>"BEGE 2575"</f>
        <v>BEGE 2575</v>
      </c>
      <c r="K2251" s="6" t="str">
        <f>"1024"</f>
        <v>1024</v>
      </c>
      <c r="L2251" s="6" t="str">
        <f>"Toalhas"</f>
        <v>Toalhas</v>
      </c>
      <c r="M2251" s="6" t="str">
        <f>"50x100"</f>
        <v>50x100</v>
      </c>
      <c r="N2251" s="6" t="str">
        <f>"5602972281088"</f>
        <v>5602972281088</v>
      </c>
      <c r="O2251" s="8">
        <v>6</v>
      </c>
      <c r="R2251" s="8">
        <v>0</v>
      </c>
      <c r="U2251" s="8">
        <v>0</v>
      </c>
      <c r="X2251" s="8">
        <v>0</v>
      </c>
      <c r="Z2251" s="8">
        <v>0</v>
      </c>
      <c r="AC2251" s="8">
        <v>0</v>
      </c>
      <c r="AF2251" s="8">
        <v>0</v>
      </c>
      <c r="AN2251" s="8">
        <v>6</v>
      </c>
      <c r="AO2251" s="8">
        <v>0</v>
      </c>
    </row>
    <row r="2252" spans="1:41" x14ac:dyDescent="0.25">
      <c r="A2252" s="6" t="str">
        <f t="shared" si="522"/>
        <v>522-2026000233</v>
      </c>
      <c r="B2252" s="6" t="str">
        <f t="shared" si="523"/>
        <v>EL CORTE</v>
      </c>
      <c r="C2252" s="7">
        <v>46037</v>
      </c>
      <c r="D2252" s="7">
        <v>46042</v>
      </c>
      <c r="E2252" s="8">
        <v>6</v>
      </c>
      <c r="F2252" s="6" t="str">
        <f t="shared" si="524"/>
        <v>94831301_07026</v>
      </c>
      <c r="G2252" s="6" t="str">
        <f t="shared" si="525"/>
        <v>F310631650000000</v>
      </c>
      <c r="H2252" s="6" t="str">
        <f t="shared" si="526"/>
        <v>PLAR 6316 FD - 500 g</v>
      </c>
      <c r="I2252" s="6" t="str">
        <f>"202575"</f>
        <v>202575</v>
      </c>
      <c r="J2252" s="6" t="str">
        <f>"BEGE 2575"</f>
        <v>BEGE 2575</v>
      </c>
      <c r="K2252" s="6" t="str">
        <f>"2020"</f>
        <v>2020</v>
      </c>
      <c r="L2252" s="6" t="str">
        <f>"Lençóis"</f>
        <v>Lençóis</v>
      </c>
      <c r="M2252" s="6" t="str">
        <f>"100x150"</f>
        <v>100x150</v>
      </c>
      <c r="N2252" s="6" t="str">
        <f>"5602972281095"</f>
        <v>5602972281095</v>
      </c>
      <c r="O2252" s="8">
        <v>12</v>
      </c>
      <c r="R2252" s="8">
        <v>0</v>
      </c>
      <c r="U2252" s="8">
        <v>0</v>
      </c>
      <c r="X2252" s="8">
        <v>0</v>
      </c>
      <c r="Z2252" s="8">
        <v>0</v>
      </c>
      <c r="AC2252" s="8">
        <v>0</v>
      </c>
      <c r="AF2252" s="8">
        <v>0</v>
      </c>
      <c r="AN2252" s="8">
        <v>0</v>
      </c>
      <c r="AO2252" s="8">
        <v>12</v>
      </c>
    </row>
    <row r="2253" spans="1:41" x14ac:dyDescent="0.25">
      <c r="A2253" s="6" t="str">
        <f t="shared" si="522"/>
        <v>522-2026000233</v>
      </c>
      <c r="B2253" s="6" t="str">
        <f t="shared" si="523"/>
        <v>EL CORTE</v>
      </c>
      <c r="C2253" s="7">
        <v>46037</v>
      </c>
      <c r="D2253" s="7">
        <v>46042</v>
      </c>
      <c r="E2253" s="8">
        <v>7</v>
      </c>
      <c r="F2253" s="6" t="str">
        <f t="shared" si="524"/>
        <v>94831301_07026</v>
      </c>
      <c r="G2253" s="6" t="str">
        <f t="shared" si="525"/>
        <v>F310631650000000</v>
      </c>
      <c r="H2253" s="6" t="str">
        <f t="shared" si="526"/>
        <v>PLAR 6316 FD - 500 g</v>
      </c>
      <c r="I2253" s="6" t="str">
        <f>"200901"</f>
        <v>200901</v>
      </c>
      <c r="J2253" s="6" t="str">
        <f>"ROSA 901"</f>
        <v>ROSA 901</v>
      </c>
      <c r="K2253" s="6" t="str">
        <f>"1024"</f>
        <v>1024</v>
      </c>
      <c r="L2253" s="6" t="str">
        <f>"Toalhas"</f>
        <v>Toalhas</v>
      </c>
      <c r="M2253" s="6" t="str">
        <f>"50x100"</f>
        <v>50x100</v>
      </c>
      <c r="N2253" s="6" t="str">
        <f>"5602972281118"</f>
        <v>5602972281118</v>
      </c>
      <c r="O2253" s="8">
        <v>6</v>
      </c>
      <c r="R2253" s="8">
        <v>0</v>
      </c>
      <c r="U2253" s="8">
        <v>0</v>
      </c>
      <c r="X2253" s="8">
        <v>0</v>
      </c>
      <c r="Z2253" s="8">
        <v>0</v>
      </c>
      <c r="AC2253" s="8">
        <v>0</v>
      </c>
      <c r="AF2253" s="8">
        <v>0</v>
      </c>
      <c r="AN2253" s="8">
        <v>6</v>
      </c>
      <c r="AO2253" s="8">
        <v>0</v>
      </c>
    </row>
    <row r="2254" spans="1:41" x14ac:dyDescent="0.25">
      <c r="A2254" s="6" t="str">
        <f t="shared" si="522"/>
        <v>522-2026000233</v>
      </c>
      <c r="B2254" s="6" t="str">
        <f t="shared" si="523"/>
        <v>EL CORTE</v>
      </c>
      <c r="C2254" s="7">
        <v>46037</v>
      </c>
      <c r="D2254" s="7">
        <v>46042</v>
      </c>
      <c r="E2254" s="8">
        <v>8</v>
      </c>
      <c r="F2254" s="6" t="str">
        <f t="shared" si="524"/>
        <v>94831301_07026</v>
      </c>
      <c r="G2254" s="6" t="str">
        <f t="shared" si="525"/>
        <v>F310631650000000</v>
      </c>
      <c r="H2254" s="6" t="str">
        <f t="shared" si="526"/>
        <v>PLAR 6316 FD - 500 g</v>
      </c>
      <c r="I2254" s="6" t="str">
        <f>"200901"</f>
        <v>200901</v>
      </c>
      <c r="J2254" s="6" t="str">
        <f>"ROSA 901"</f>
        <v>ROSA 901</v>
      </c>
      <c r="K2254" s="6" t="str">
        <f>"2020"</f>
        <v>2020</v>
      </c>
      <c r="L2254" s="6" t="str">
        <f>"Lençóis"</f>
        <v>Lençóis</v>
      </c>
      <c r="M2254" s="6" t="str">
        <f>"100x150"</f>
        <v>100x150</v>
      </c>
      <c r="N2254" s="6" t="str">
        <f>"5602972281125"</f>
        <v>5602972281125</v>
      </c>
      <c r="O2254" s="8">
        <v>6</v>
      </c>
      <c r="R2254" s="8">
        <v>0</v>
      </c>
      <c r="U2254" s="8">
        <v>0</v>
      </c>
      <c r="X2254" s="8">
        <v>0</v>
      </c>
      <c r="Z2254" s="8">
        <v>0</v>
      </c>
      <c r="AC2254" s="8">
        <v>0</v>
      </c>
      <c r="AF2254" s="8">
        <v>0</v>
      </c>
      <c r="AN2254" s="8">
        <v>0</v>
      </c>
      <c r="AO2254" s="8">
        <v>6</v>
      </c>
    </row>
    <row r="2255" spans="1:41" x14ac:dyDescent="0.25">
      <c r="A2255" s="6" t="str">
        <f t="shared" si="522"/>
        <v>522-2026000233</v>
      </c>
      <c r="B2255" s="6" t="str">
        <f t="shared" si="523"/>
        <v>EL CORTE</v>
      </c>
      <c r="C2255" s="7">
        <v>46037</v>
      </c>
      <c r="D2255" s="7">
        <v>46042</v>
      </c>
      <c r="E2255" s="8">
        <v>9</v>
      </c>
      <c r="F2255" s="6" t="str">
        <f t="shared" si="524"/>
        <v>94831301_07026</v>
      </c>
      <c r="G2255" s="6" t="str">
        <f t="shared" si="525"/>
        <v>F310631650000000</v>
      </c>
      <c r="H2255" s="6" t="str">
        <f t="shared" si="526"/>
        <v>PLAR 6316 FD - 500 g</v>
      </c>
      <c r="I2255" s="6" t="str">
        <f>"200510"</f>
        <v>200510</v>
      </c>
      <c r="J2255" s="6" t="str">
        <f>"VERDE 510"</f>
        <v>VERDE 510</v>
      </c>
      <c r="K2255" s="6" t="str">
        <f>"1024"</f>
        <v>1024</v>
      </c>
      <c r="L2255" s="6" t="str">
        <f>"Toalhas"</f>
        <v>Toalhas</v>
      </c>
      <c r="M2255" s="6" t="str">
        <f>"50x100"</f>
        <v>50x100</v>
      </c>
      <c r="N2255" s="6" t="str">
        <f>"5602972281149"</f>
        <v>5602972281149</v>
      </c>
      <c r="O2255" s="8">
        <v>6</v>
      </c>
      <c r="R2255" s="8">
        <v>0</v>
      </c>
      <c r="U2255" s="8">
        <v>0</v>
      </c>
      <c r="X2255" s="8">
        <v>0</v>
      </c>
      <c r="Z2255" s="8">
        <v>0</v>
      </c>
      <c r="AC2255" s="8">
        <v>0</v>
      </c>
      <c r="AF2255" s="8">
        <v>0</v>
      </c>
      <c r="AN2255" s="8">
        <v>6</v>
      </c>
      <c r="AO2255" s="8">
        <v>0</v>
      </c>
    </row>
    <row r="2256" spans="1:41" x14ac:dyDescent="0.25">
      <c r="A2256" s="6" t="str">
        <f t="shared" si="522"/>
        <v>522-2026000233</v>
      </c>
      <c r="B2256" s="6" t="str">
        <f t="shared" si="523"/>
        <v>EL CORTE</v>
      </c>
      <c r="C2256" s="7">
        <v>46037</v>
      </c>
      <c r="D2256" s="7">
        <v>46042</v>
      </c>
      <c r="E2256" s="8">
        <v>10</v>
      </c>
      <c r="F2256" s="6" t="str">
        <f t="shared" si="524"/>
        <v>94831301_07026</v>
      </c>
      <c r="G2256" s="6" t="str">
        <f t="shared" si="525"/>
        <v>F310631650000000</v>
      </c>
      <c r="H2256" s="6" t="str">
        <f t="shared" si="526"/>
        <v>PLAR 6316 FD - 500 g</v>
      </c>
      <c r="I2256" s="6" t="str">
        <f>"200510"</f>
        <v>200510</v>
      </c>
      <c r="J2256" s="6" t="str">
        <f>"VERDE 510"</f>
        <v>VERDE 510</v>
      </c>
      <c r="K2256" s="6" t="str">
        <f>"2020"</f>
        <v>2020</v>
      </c>
      <c r="L2256" s="6" t="str">
        <f>"Lençóis"</f>
        <v>Lençóis</v>
      </c>
      <c r="M2256" s="6" t="str">
        <f>"100x150"</f>
        <v>100x150</v>
      </c>
      <c r="N2256" s="6" t="str">
        <f>"5602972281156"</f>
        <v>5602972281156</v>
      </c>
      <c r="O2256" s="8">
        <v>6</v>
      </c>
      <c r="R2256" s="8">
        <v>0</v>
      </c>
      <c r="U2256" s="8">
        <v>0</v>
      </c>
      <c r="X2256" s="8">
        <v>0</v>
      </c>
      <c r="Z2256" s="8">
        <v>0</v>
      </c>
      <c r="AC2256" s="8">
        <v>0</v>
      </c>
      <c r="AF2256" s="8">
        <v>0</v>
      </c>
      <c r="AN2256" s="8">
        <v>0</v>
      </c>
      <c r="AO2256" s="8">
        <v>6</v>
      </c>
    </row>
    <row r="2257" spans="1:41" x14ac:dyDescent="0.25">
      <c r="A2257" s="6" t="str">
        <f t="shared" ref="A2257:A2265" si="527">"522-2026000234"</f>
        <v>522-2026000234</v>
      </c>
      <c r="B2257" s="6" t="str">
        <f t="shared" si="523"/>
        <v>EL CORTE</v>
      </c>
      <c r="C2257" s="7">
        <v>46037</v>
      </c>
      <c r="D2257" s="7">
        <v>46042</v>
      </c>
      <c r="E2257" s="8">
        <v>1</v>
      </c>
      <c r="F2257" s="6" t="str">
        <f t="shared" ref="F2257:F2265" si="528">"94829601_07026"</f>
        <v>94829601_07026</v>
      </c>
      <c r="G2257" s="6" t="str">
        <f t="shared" si="525"/>
        <v>F310631650000000</v>
      </c>
      <c r="H2257" s="6" t="str">
        <f t="shared" si="526"/>
        <v>PLAR 6316 FD - 500 g</v>
      </c>
      <c r="I2257" s="6" t="str">
        <f>"201855"</f>
        <v>201855</v>
      </c>
      <c r="J2257" s="6" t="str">
        <f>"AZUL 1855"</f>
        <v>AZUL 1855</v>
      </c>
      <c r="K2257" s="6" t="str">
        <f>"0520"</f>
        <v>0520</v>
      </c>
      <c r="L2257" s="6" t="str">
        <f>"Toalhetes"</f>
        <v>Toalhetes</v>
      </c>
      <c r="M2257" s="6" t="str">
        <f>"30x50"</f>
        <v>30x50</v>
      </c>
      <c r="N2257" s="6" t="str">
        <f>"5602972281040"</f>
        <v>5602972281040</v>
      </c>
      <c r="O2257" s="8">
        <v>6</v>
      </c>
      <c r="R2257" s="8">
        <v>0</v>
      </c>
      <c r="U2257" s="8">
        <v>0</v>
      </c>
      <c r="X2257" s="8">
        <v>0</v>
      </c>
      <c r="Z2257" s="8">
        <v>0</v>
      </c>
      <c r="AC2257" s="8">
        <v>0</v>
      </c>
      <c r="AF2257" s="8">
        <v>0</v>
      </c>
      <c r="AN2257" s="8">
        <v>0</v>
      </c>
      <c r="AO2257" s="8">
        <v>6</v>
      </c>
    </row>
    <row r="2258" spans="1:41" x14ac:dyDescent="0.25">
      <c r="A2258" s="6" t="str">
        <f t="shared" si="527"/>
        <v>522-2026000234</v>
      </c>
      <c r="B2258" s="6" t="str">
        <f t="shared" si="523"/>
        <v>EL CORTE</v>
      </c>
      <c r="C2258" s="7">
        <v>46037</v>
      </c>
      <c r="D2258" s="7">
        <v>46042</v>
      </c>
      <c r="E2258" s="8">
        <v>2</v>
      </c>
      <c r="F2258" s="6" t="str">
        <f t="shared" si="528"/>
        <v>94829601_07026</v>
      </c>
      <c r="G2258" s="6" t="str">
        <f t="shared" si="525"/>
        <v>F310631650000000</v>
      </c>
      <c r="H2258" s="6" t="str">
        <f t="shared" si="526"/>
        <v>PLAR 6316 FD - 500 g</v>
      </c>
      <c r="I2258" s="6" t="str">
        <f>"201855"</f>
        <v>201855</v>
      </c>
      <c r="J2258" s="6" t="str">
        <f>"AZUL 1855"</f>
        <v>AZUL 1855</v>
      </c>
      <c r="K2258" s="6" t="str">
        <f>"1024"</f>
        <v>1024</v>
      </c>
      <c r="L2258" s="6" t="str">
        <f>"Toalhas"</f>
        <v>Toalhas</v>
      </c>
      <c r="M2258" s="6" t="str">
        <f>"50x100"</f>
        <v>50x100</v>
      </c>
      <c r="N2258" s="6" t="str">
        <f>"5602972281057"</f>
        <v>5602972281057</v>
      </c>
      <c r="O2258" s="8">
        <v>6</v>
      </c>
      <c r="R2258" s="8">
        <v>0</v>
      </c>
      <c r="U2258" s="8">
        <v>0</v>
      </c>
      <c r="X2258" s="8">
        <v>0</v>
      </c>
      <c r="Z2258" s="8">
        <v>0</v>
      </c>
      <c r="AC2258" s="8">
        <v>0</v>
      </c>
      <c r="AF2258" s="8">
        <v>0</v>
      </c>
      <c r="AN2258" s="8">
        <v>6</v>
      </c>
      <c r="AO2258" s="8">
        <v>0</v>
      </c>
    </row>
    <row r="2259" spans="1:41" x14ac:dyDescent="0.25">
      <c r="A2259" s="6" t="str">
        <f t="shared" si="527"/>
        <v>522-2026000234</v>
      </c>
      <c r="B2259" s="6" t="str">
        <f t="shared" si="523"/>
        <v>EL CORTE</v>
      </c>
      <c r="C2259" s="7">
        <v>46037</v>
      </c>
      <c r="D2259" s="7">
        <v>46042</v>
      </c>
      <c r="E2259" s="8">
        <v>3</v>
      </c>
      <c r="F2259" s="6" t="str">
        <f t="shared" si="528"/>
        <v>94829601_07026</v>
      </c>
      <c r="G2259" s="6" t="str">
        <f t="shared" si="525"/>
        <v>F310631650000000</v>
      </c>
      <c r="H2259" s="6" t="str">
        <f t="shared" si="526"/>
        <v>PLAR 6316 FD - 500 g</v>
      </c>
      <c r="I2259" s="6" t="str">
        <f>"201855"</f>
        <v>201855</v>
      </c>
      <c r="J2259" s="6" t="str">
        <f>"AZUL 1855"</f>
        <v>AZUL 1855</v>
      </c>
      <c r="K2259" s="6" t="str">
        <f>"2020"</f>
        <v>2020</v>
      </c>
      <c r="L2259" s="6" t="str">
        <f>"Lençóis"</f>
        <v>Lençóis</v>
      </c>
      <c r="M2259" s="6" t="str">
        <f>"100x150"</f>
        <v>100x150</v>
      </c>
      <c r="N2259" s="6" t="str">
        <f>"5602972281064"</f>
        <v>5602972281064</v>
      </c>
      <c r="O2259" s="8">
        <v>9</v>
      </c>
      <c r="R2259" s="8">
        <v>0</v>
      </c>
      <c r="U2259" s="8">
        <v>0</v>
      </c>
      <c r="X2259" s="8">
        <v>0</v>
      </c>
      <c r="Z2259" s="8">
        <v>0</v>
      </c>
      <c r="AC2259" s="8">
        <v>0</v>
      </c>
      <c r="AF2259" s="8">
        <v>0</v>
      </c>
      <c r="AN2259" s="8">
        <v>0</v>
      </c>
      <c r="AO2259" s="8">
        <v>9</v>
      </c>
    </row>
    <row r="2260" spans="1:41" x14ac:dyDescent="0.25">
      <c r="A2260" s="6" t="str">
        <f t="shared" si="527"/>
        <v>522-2026000234</v>
      </c>
      <c r="B2260" s="6" t="str">
        <f t="shared" si="523"/>
        <v>EL CORTE</v>
      </c>
      <c r="C2260" s="7">
        <v>46037</v>
      </c>
      <c r="D2260" s="7">
        <v>46042</v>
      </c>
      <c r="E2260" s="8">
        <v>4</v>
      </c>
      <c r="F2260" s="6" t="str">
        <f t="shared" si="528"/>
        <v>94829601_07026</v>
      </c>
      <c r="G2260" s="6" t="str">
        <f t="shared" si="525"/>
        <v>F310631650000000</v>
      </c>
      <c r="H2260" s="6" t="str">
        <f t="shared" si="526"/>
        <v>PLAR 6316 FD - 500 g</v>
      </c>
      <c r="I2260" s="6" t="str">
        <f>"202575"</f>
        <v>202575</v>
      </c>
      <c r="J2260" s="6" t="str">
        <f>"BEGE 2575"</f>
        <v>BEGE 2575</v>
      </c>
      <c r="K2260" s="6" t="str">
        <f>"1024"</f>
        <v>1024</v>
      </c>
      <c r="L2260" s="6" t="str">
        <f>"Toalhas"</f>
        <v>Toalhas</v>
      </c>
      <c r="M2260" s="6" t="str">
        <f>"50x100"</f>
        <v>50x100</v>
      </c>
      <c r="N2260" s="6" t="str">
        <f>"5602972281088"</f>
        <v>5602972281088</v>
      </c>
      <c r="O2260" s="8">
        <v>6</v>
      </c>
      <c r="R2260" s="8">
        <v>0</v>
      </c>
      <c r="U2260" s="8">
        <v>0</v>
      </c>
      <c r="X2260" s="8">
        <v>0</v>
      </c>
      <c r="Z2260" s="8">
        <v>0</v>
      </c>
      <c r="AC2260" s="8">
        <v>0</v>
      </c>
      <c r="AF2260" s="8">
        <v>0</v>
      </c>
      <c r="AN2260" s="8">
        <v>6</v>
      </c>
      <c r="AO2260" s="8">
        <v>0</v>
      </c>
    </row>
    <row r="2261" spans="1:41" x14ac:dyDescent="0.25">
      <c r="A2261" s="6" t="str">
        <f t="shared" si="527"/>
        <v>522-2026000234</v>
      </c>
      <c r="B2261" s="6" t="str">
        <f t="shared" si="523"/>
        <v>EL CORTE</v>
      </c>
      <c r="C2261" s="7">
        <v>46037</v>
      </c>
      <c r="D2261" s="7">
        <v>46042</v>
      </c>
      <c r="E2261" s="8">
        <v>5</v>
      </c>
      <c r="F2261" s="6" t="str">
        <f t="shared" si="528"/>
        <v>94829601_07026</v>
      </c>
      <c r="G2261" s="6" t="str">
        <f t="shared" si="525"/>
        <v>F310631650000000</v>
      </c>
      <c r="H2261" s="6" t="str">
        <f t="shared" si="526"/>
        <v>PLAR 6316 FD - 500 g</v>
      </c>
      <c r="I2261" s="6" t="str">
        <f>"202575"</f>
        <v>202575</v>
      </c>
      <c r="J2261" s="6" t="str">
        <f>"BEGE 2575"</f>
        <v>BEGE 2575</v>
      </c>
      <c r="K2261" s="6" t="str">
        <f>"2020"</f>
        <v>2020</v>
      </c>
      <c r="L2261" s="6" t="str">
        <f>"Lençóis"</f>
        <v>Lençóis</v>
      </c>
      <c r="M2261" s="6" t="str">
        <f>"100x150"</f>
        <v>100x150</v>
      </c>
      <c r="N2261" s="6" t="str">
        <f>"5602972281095"</f>
        <v>5602972281095</v>
      </c>
      <c r="O2261" s="8">
        <v>6</v>
      </c>
      <c r="R2261" s="8">
        <v>0</v>
      </c>
      <c r="U2261" s="8">
        <v>0</v>
      </c>
      <c r="X2261" s="8">
        <v>0</v>
      </c>
      <c r="Z2261" s="8">
        <v>0</v>
      </c>
      <c r="AC2261" s="8">
        <v>0</v>
      </c>
      <c r="AF2261" s="8">
        <v>0</v>
      </c>
      <c r="AN2261" s="8">
        <v>0</v>
      </c>
      <c r="AO2261" s="8">
        <v>6</v>
      </c>
    </row>
    <row r="2262" spans="1:41" x14ac:dyDescent="0.25">
      <c r="A2262" s="6" t="str">
        <f t="shared" si="527"/>
        <v>522-2026000234</v>
      </c>
      <c r="B2262" s="6" t="str">
        <f t="shared" si="523"/>
        <v>EL CORTE</v>
      </c>
      <c r="C2262" s="7">
        <v>46037</v>
      </c>
      <c r="D2262" s="7">
        <v>46042</v>
      </c>
      <c r="E2262" s="8">
        <v>6</v>
      </c>
      <c r="F2262" s="6" t="str">
        <f t="shared" si="528"/>
        <v>94829601_07026</v>
      </c>
      <c r="G2262" s="6" t="str">
        <f t="shared" si="525"/>
        <v>F310631650000000</v>
      </c>
      <c r="H2262" s="6" t="str">
        <f t="shared" si="526"/>
        <v>PLAR 6316 FD - 500 g</v>
      </c>
      <c r="I2262" s="6" t="str">
        <f>"200901"</f>
        <v>200901</v>
      </c>
      <c r="J2262" s="6" t="str">
        <f>"ROSA 901"</f>
        <v>ROSA 901</v>
      </c>
      <c r="K2262" s="6" t="str">
        <f>"1024"</f>
        <v>1024</v>
      </c>
      <c r="L2262" s="6" t="str">
        <f>"Toalhas"</f>
        <v>Toalhas</v>
      </c>
      <c r="M2262" s="6" t="str">
        <f>"50x100"</f>
        <v>50x100</v>
      </c>
      <c r="N2262" s="6" t="str">
        <f>"5602972281118"</f>
        <v>5602972281118</v>
      </c>
      <c r="O2262" s="8">
        <v>6</v>
      </c>
      <c r="R2262" s="8">
        <v>0</v>
      </c>
      <c r="U2262" s="8">
        <v>0</v>
      </c>
      <c r="X2262" s="8">
        <v>0</v>
      </c>
      <c r="Z2262" s="8">
        <v>0</v>
      </c>
      <c r="AC2262" s="8">
        <v>0</v>
      </c>
      <c r="AF2262" s="8">
        <v>0</v>
      </c>
      <c r="AN2262" s="8">
        <v>6</v>
      </c>
      <c r="AO2262" s="8">
        <v>0</v>
      </c>
    </row>
    <row r="2263" spans="1:41" x14ac:dyDescent="0.25">
      <c r="A2263" s="6" t="str">
        <f t="shared" si="527"/>
        <v>522-2026000234</v>
      </c>
      <c r="B2263" s="6" t="str">
        <f t="shared" si="523"/>
        <v>EL CORTE</v>
      </c>
      <c r="C2263" s="7">
        <v>46037</v>
      </c>
      <c r="D2263" s="7">
        <v>46042</v>
      </c>
      <c r="E2263" s="8">
        <v>7</v>
      </c>
      <c r="F2263" s="6" t="str">
        <f t="shared" si="528"/>
        <v>94829601_07026</v>
      </c>
      <c r="G2263" s="6" t="str">
        <f t="shared" si="525"/>
        <v>F310631650000000</v>
      </c>
      <c r="H2263" s="6" t="str">
        <f t="shared" si="526"/>
        <v>PLAR 6316 FD - 500 g</v>
      </c>
      <c r="I2263" s="6" t="str">
        <f>"200901"</f>
        <v>200901</v>
      </c>
      <c r="J2263" s="6" t="str">
        <f>"ROSA 901"</f>
        <v>ROSA 901</v>
      </c>
      <c r="K2263" s="6" t="str">
        <f>"2020"</f>
        <v>2020</v>
      </c>
      <c r="L2263" s="6" t="str">
        <f>"Lençóis"</f>
        <v>Lençóis</v>
      </c>
      <c r="M2263" s="6" t="str">
        <f>"100x150"</f>
        <v>100x150</v>
      </c>
      <c r="N2263" s="6" t="str">
        <f>"5602972281125"</f>
        <v>5602972281125</v>
      </c>
      <c r="O2263" s="8">
        <v>6</v>
      </c>
      <c r="R2263" s="8">
        <v>0</v>
      </c>
      <c r="U2263" s="8">
        <v>0</v>
      </c>
      <c r="X2263" s="8">
        <v>0</v>
      </c>
      <c r="Z2263" s="8">
        <v>0</v>
      </c>
      <c r="AC2263" s="8">
        <v>0</v>
      </c>
      <c r="AF2263" s="8">
        <v>0</v>
      </c>
      <c r="AN2263" s="8">
        <v>0</v>
      </c>
      <c r="AO2263" s="8">
        <v>6</v>
      </c>
    </row>
    <row r="2264" spans="1:41" x14ac:dyDescent="0.25">
      <c r="A2264" s="6" t="str">
        <f t="shared" si="527"/>
        <v>522-2026000234</v>
      </c>
      <c r="B2264" s="6" t="str">
        <f t="shared" si="523"/>
        <v>EL CORTE</v>
      </c>
      <c r="C2264" s="7">
        <v>46037</v>
      </c>
      <c r="D2264" s="7">
        <v>46042</v>
      </c>
      <c r="E2264" s="8">
        <v>8</v>
      </c>
      <c r="F2264" s="6" t="str">
        <f t="shared" si="528"/>
        <v>94829601_07026</v>
      </c>
      <c r="G2264" s="6" t="str">
        <f t="shared" si="525"/>
        <v>F310631650000000</v>
      </c>
      <c r="H2264" s="6" t="str">
        <f t="shared" si="526"/>
        <v>PLAR 6316 FD - 500 g</v>
      </c>
      <c r="I2264" s="6" t="str">
        <f>"200510"</f>
        <v>200510</v>
      </c>
      <c r="J2264" s="6" t="str">
        <f>"VERDE 510"</f>
        <v>VERDE 510</v>
      </c>
      <c r="K2264" s="6" t="str">
        <f>"1024"</f>
        <v>1024</v>
      </c>
      <c r="L2264" s="6" t="str">
        <f>"Toalhas"</f>
        <v>Toalhas</v>
      </c>
      <c r="M2264" s="6" t="str">
        <f>"50x100"</f>
        <v>50x100</v>
      </c>
      <c r="N2264" s="6" t="str">
        <f>"5602972281149"</f>
        <v>5602972281149</v>
      </c>
      <c r="O2264" s="8">
        <v>6</v>
      </c>
      <c r="R2264" s="8">
        <v>0</v>
      </c>
      <c r="U2264" s="8">
        <v>0</v>
      </c>
      <c r="X2264" s="8">
        <v>0</v>
      </c>
      <c r="Z2264" s="8">
        <v>0</v>
      </c>
      <c r="AC2264" s="8">
        <v>0</v>
      </c>
      <c r="AF2264" s="8">
        <v>0</v>
      </c>
      <c r="AN2264" s="8">
        <v>6</v>
      </c>
      <c r="AO2264" s="8">
        <v>0</v>
      </c>
    </row>
    <row r="2265" spans="1:41" x14ac:dyDescent="0.25">
      <c r="A2265" s="6" t="str">
        <f t="shared" si="527"/>
        <v>522-2026000234</v>
      </c>
      <c r="B2265" s="6" t="str">
        <f t="shared" si="523"/>
        <v>EL CORTE</v>
      </c>
      <c r="C2265" s="7">
        <v>46037</v>
      </c>
      <c r="D2265" s="7">
        <v>46042</v>
      </c>
      <c r="E2265" s="8">
        <v>9</v>
      </c>
      <c r="F2265" s="6" t="str">
        <f t="shared" si="528"/>
        <v>94829601_07026</v>
      </c>
      <c r="G2265" s="6" t="str">
        <f t="shared" si="525"/>
        <v>F310631650000000</v>
      </c>
      <c r="H2265" s="6" t="str">
        <f t="shared" si="526"/>
        <v>PLAR 6316 FD - 500 g</v>
      </c>
      <c r="I2265" s="6" t="str">
        <f>"200510"</f>
        <v>200510</v>
      </c>
      <c r="J2265" s="6" t="str">
        <f>"VERDE 510"</f>
        <v>VERDE 510</v>
      </c>
      <c r="K2265" s="6" t="str">
        <f>"2020"</f>
        <v>2020</v>
      </c>
      <c r="L2265" s="6" t="str">
        <f>"Lençóis"</f>
        <v>Lençóis</v>
      </c>
      <c r="M2265" s="6" t="str">
        <f>"100x150"</f>
        <v>100x150</v>
      </c>
      <c r="N2265" s="6" t="str">
        <f>"5602972281156"</f>
        <v>5602972281156</v>
      </c>
      <c r="O2265" s="8">
        <v>6</v>
      </c>
      <c r="R2265" s="8">
        <v>0</v>
      </c>
      <c r="U2265" s="8">
        <v>0</v>
      </c>
      <c r="X2265" s="8">
        <v>0</v>
      </c>
      <c r="Z2265" s="8">
        <v>0</v>
      </c>
      <c r="AC2265" s="8">
        <v>0</v>
      </c>
      <c r="AF2265" s="8">
        <v>0</v>
      </c>
      <c r="AN2265" s="8">
        <v>0</v>
      </c>
      <c r="AO2265" s="8">
        <v>6</v>
      </c>
    </row>
    <row r="2266" spans="1:41" x14ac:dyDescent="0.25">
      <c r="A2266" s="6" t="str">
        <f t="shared" ref="A2266:A2275" si="529">"522-2026000235"</f>
        <v>522-2026000235</v>
      </c>
      <c r="B2266" s="6" t="str">
        <f t="shared" si="523"/>
        <v>EL CORTE</v>
      </c>
      <c r="C2266" s="7">
        <v>46037</v>
      </c>
      <c r="D2266" s="7">
        <v>46042</v>
      </c>
      <c r="E2266" s="8">
        <v>1</v>
      </c>
      <c r="F2266" s="6" t="str">
        <f t="shared" ref="F2266:F2275" si="530">"94829501_07026"</f>
        <v>94829501_07026</v>
      </c>
      <c r="G2266" s="6" t="str">
        <f t="shared" si="525"/>
        <v>F310631650000000</v>
      </c>
      <c r="H2266" s="6" t="str">
        <f t="shared" si="526"/>
        <v>PLAR 6316 FD - 500 g</v>
      </c>
      <c r="I2266" s="6" t="str">
        <f>"201855"</f>
        <v>201855</v>
      </c>
      <c r="J2266" s="6" t="str">
        <f>"AZUL 1855"</f>
        <v>AZUL 1855</v>
      </c>
      <c r="K2266" s="6" t="str">
        <f>"0520"</f>
        <v>0520</v>
      </c>
      <c r="L2266" s="6" t="str">
        <f>"Toalhetes"</f>
        <v>Toalhetes</v>
      </c>
      <c r="M2266" s="6" t="str">
        <f>"30x50"</f>
        <v>30x50</v>
      </c>
      <c r="N2266" s="6" t="str">
        <f>"5602972281040"</f>
        <v>5602972281040</v>
      </c>
      <c r="O2266" s="8">
        <v>6</v>
      </c>
      <c r="R2266" s="8">
        <v>0</v>
      </c>
      <c r="U2266" s="8">
        <v>0</v>
      </c>
      <c r="X2266" s="8">
        <v>0</v>
      </c>
      <c r="Z2266" s="8">
        <v>0</v>
      </c>
      <c r="AC2266" s="8">
        <v>0</v>
      </c>
      <c r="AF2266" s="8">
        <v>0</v>
      </c>
      <c r="AN2266" s="8">
        <v>0</v>
      </c>
      <c r="AO2266" s="8">
        <v>6</v>
      </c>
    </row>
    <row r="2267" spans="1:41" x14ac:dyDescent="0.25">
      <c r="A2267" s="6" t="str">
        <f t="shared" si="529"/>
        <v>522-2026000235</v>
      </c>
      <c r="B2267" s="6" t="str">
        <f t="shared" si="523"/>
        <v>EL CORTE</v>
      </c>
      <c r="C2267" s="7">
        <v>46037</v>
      </c>
      <c r="D2267" s="7">
        <v>46042</v>
      </c>
      <c r="E2267" s="8">
        <v>2</v>
      </c>
      <c r="F2267" s="6" t="str">
        <f t="shared" si="530"/>
        <v>94829501_07026</v>
      </c>
      <c r="G2267" s="6" t="str">
        <f t="shared" si="525"/>
        <v>F310631650000000</v>
      </c>
      <c r="H2267" s="6" t="str">
        <f t="shared" si="526"/>
        <v>PLAR 6316 FD - 500 g</v>
      </c>
      <c r="I2267" s="6" t="str">
        <f>"201855"</f>
        <v>201855</v>
      </c>
      <c r="J2267" s="6" t="str">
        <f>"AZUL 1855"</f>
        <v>AZUL 1855</v>
      </c>
      <c r="K2267" s="6" t="str">
        <f>"1024"</f>
        <v>1024</v>
      </c>
      <c r="L2267" s="6" t="str">
        <f>"Toalhas"</f>
        <v>Toalhas</v>
      </c>
      <c r="M2267" s="6" t="str">
        <f>"50x100"</f>
        <v>50x100</v>
      </c>
      <c r="N2267" s="6" t="str">
        <f>"5602972281057"</f>
        <v>5602972281057</v>
      </c>
      <c r="O2267" s="8">
        <v>6</v>
      </c>
      <c r="R2267" s="8">
        <v>0</v>
      </c>
      <c r="U2267" s="8">
        <v>0</v>
      </c>
      <c r="X2267" s="8">
        <v>0</v>
      </c>
      <c r="Z2267" s="8">
        <v>0</v>
      </c>
      <c r="AC2267" s="8">
        <v>0</v>
      </c>
      <c r="AF2267" s="8">
        <v>0</v>
      </c>
      <c r="AN2267" s="8">
        <v>6</v>
      </c>
      <c r="AO2267" s="8">
        <v>0</v>
      </c>
    </row>
    <row r="2268" spans="1:41" x14ac:dyDescent="0.25">
      <c r="A2268" s="6" t="str">
        <f t="shared" si="529"/>
        <v>522-2026000235</v>
      </c>
      <c r="B2268" s="6" t="str">
        <f t="shared" si="523"/>
        <v>EL CORTE</v>
      </c>
      <c r="C2268" s="7">
        <v>46037</v>
      </c>
      <c r="D2268" s="7">
        <v>46042</v>
      </c>
      <c r="E2268" s="8">
        <v>3</v>
      </c>
      <c r="F2268" s="6" t="str">
        <f t="shared" si="530"/>
        <v>94829501_07026</v>
      </c>
      <c r="G2268" s="6" t="str">
        <f t="shared" si="525"/>
        <v>F310631650000000</v>
      </c>
      <c r="H2268" s="6" t="str">
        <f t="shared" si="526"/>
        <v>PLAR 6316 FD - 500 g</v>
      </c>
      <c r="I2268" s="6" t="str">
        <f>"202575"</f>
        <v>202575</v>
      </c>
      <c r="J2268" s="6" t="str">
        <f>"BEGE 2575"</f>
        <v>BEGE 2575</v>
      </c>
      <c r="K2268" s="6" t="str">
        <f>"0520"</f>
        <v>0520</v>
      </c>
      <c r="L2268" s="6" t="str">
        <f>"Toalhetes"</f>
        <v>Toalhetes</v>
      </c>
      <c r="M2268" s="6" t="str">
        <f>"30x50"</f>
        <v>30x50</v>
      </c>
      <c r="N2268" s="6" t="str">
        <f>"5602972281071"</f>
        <v>5602972281071</v>
      </c>
      <c r="O2268" s="8">
        <v>6</v>
      </c>
      <c r="R2268" s="8">
        <v>0</v>
      </c>
      <c r="U2268" s="8">
        <v>0</v>
      </c>
      <c r="X2268" s="8">
        <v>0</v>
      </c>
      <c r="Z2268" s="8">
        <v>0</v>
      </c>
      <c r="AC2268" s="8">
        <v>0</v>
      </c>
      <c r="AF2268" s="8">
        <v>0</v>
      </c>
      <c r="AN2268" s="8">
        <v>6</v>
      </c>
      <c r="AO2268" s="8">
        <v>0</v>
      </c>
    </row>
    <row r="2269" spans="1:41" x14ac:dyDescent="0.25">
      <c r="A2269" s="6" t="str">
        <f t="shared" si="529"/>
        <v>522-2026000235</v>
      </c>
      <c r="B2269" s="6" t="str">
        <f t="shared" si="523"/>
        <v>EL CORTE</v>
      </c>
      <c r="C2269" s="7">
        <v>46037</v>
      </c>
      <c r="D2269" s="7">
        <v>46042</v>
      </c>
      <c r="E2269" s="8">
        <v>4</v>
      </c>
      <c r="F2269" s="6" t="str">
        <f t="shared" si="530"/>
        <v>94829501_07026</v>
      </c>
      <c r="G2269" s="6" t="str">
        <f t="shared" si="525"/>
        <v>F310631650000000</v>
      </c>
      <c r="H2269" s="6" t="str">
        <f t="shared" si="526"/>
        <v>PLAR 6316 FD - 500 g</v>
      </c>
      <c r="I2269" s="6" t="str">
        <f>"202575"</f>
        <v>202575</v>
      </c>
      <c r="J2269" s="6" t="str">
        <f>"BEGE 2575"</f>
        <v>BEGE 2575</v>
      </c>
      <c r="K2269" s="6" t="str">
        <f>"1024"</f>
        <v>1024</v>
      </c>
      <c r="L2269" s="6" t="str">
        <f>"Toalhas"</f>
        <v>Toalhas</v>
      </c>
      <c r="M2269" s="6" t="str">
        <f>"50x100"</f>
        <v>50x100</v>
      </c>
      <c r="N2269" s="6" t="str">
        <f>"5602972281088"</f>
        <v>5602972281088</v>
      </c>
      <c r="O2269" s="8">
        <v>6</v>
      </c>
      <c r="R2269" s="8">
        <v>0</v>
      </c>
      <c r="U2269" s="8">
        <v>0</v>
      </c>
      <c r="X2269" s="8">
        <v>0</v>
      </c>
      <c r="Z2269" s="8">
        <v>0</v>
      </c>
      <c r="AC2269" s="8">
        <v>0</v>
      </c>
      <c r="AF2269" s="8">
        <v>0</v>
      </c>
      <c r="AN2269" s="8">
        <v>6</v>
      </c>
      <c r="AO2269" s="8">
        <v>0</v>
      </c>
    </row>
    <row r="2270" spans="1:41" x14ac:dyDescent="0.25">
      <c r="A2270" s="6" t="str">
        <f t="shared" si="529"/>
        <v>522-2026000235</v>
      </c>
      <c r="B2270" s="6" t="str">
        <f t="shared" si="523"/>
        <v>EL CORTE</v>
      </c>
      <c r="C2270" s="7">
        <v>46037</v>
      </c>
      <c r="D2270" s="7">
        <v>46042</v>
      </c>
      <c r="E2270" s="8">
        <v>5</v>
      </c>
      <c r="F2270" s="6" t="str">
        <f t="shared" si="530"/>
        <v>94829501_07026</v>
      </c>
      <c r="G2270" s="6" t="str">
        <f t="shared" si="525"/>
        <v>F310631650000000</v>
      </c>
      <c r="H2270" s="6" t="str">
        <f t="shared" si="526"/>
        <v>PLAR 6316 FD - 500 g</v>
      </c>
      <c r="I2270" s="6" t="str">
        <f>"202575"</f>
        <v>202575</v>
      </c>
      <c r="J2270" s="6" t="str">
        <f>"BEGE 2575"</f>
        <v>BEGE 2575</v>
      </c>
      <c r="K2270" s="6" t="str">
        <f>"2020"</f>
        <v>2020</v>
      </c>
      <c r="L2270" s="6" t="str">
        <f>"Lençóis"</f>
        <v>Lençóis</v>
      </c>
      <c r="M2270" s="6" t="str">
        <f>"100x150"</f>
        <v>100x150</v>
      </c>
      <c r="N2270" s="6" t="str">
        <f>"5602972281095"</f>
        <v>5602972281095</v>
      </c>
      <c r="O2270" s="8">
        <v>6</v>
      </c>
      <c r="R2270" s="8">
        <v>0</v>
      </c>
      <c r="U2270" s="8">
        <v>0</v>
      </c>
      <c r="X2270" s="8">
        <v>0</v>
      </c>
      <c r="Z2270" s="8">
        <v>0</v>
      </c>
      <c r="AC2270" s="8">
        <v>0</v>
      </c>
      <c r="AF2270" s="8">
        <v>0</v>
      </c>
      <c r="AN2270" s="8">
        <v>0</v>
      </c>
      <c r="AO2270" s="8">
        <v>6</v>
      </c>
    </row>
    <row r="2271" spans="1:41" x14ac:dyDescent="0.25">
      <c r="A2271" s="6" t="str">
        <f t="shared" si="529"/>
        <v>522-2026000235</v>
      </c>
      <c r="B2271" s="6" t="str">
        <f t="shared" si="523"/>
        <v>EL CORTE</v>
      </c>
      <c r="C2271" s="7">
        <v>46037</v>
      </c>
      <c r="D2271" s="7">
        <v>46042</v>
      </c>
      <c r="E2271" s="8">
        <v>6</v>
      </c>
      <c r="F2271" s="6" t="str">
        <f t="shared" si="530"/>
        <v>94829501_07026</v>
      </c>
      <c r="G2271" s="6" t="str">
        <f t="shared" si="525"/>
        <v>F310631650000000</v>
      </c>
      <c r="H2271" s="6" t="str">
        <f t="shared" si="526"/>
        <v>PLAR 6316 FD - 500 g</v>
      </c>
      <c r="I2271" s="6" t="str">
        <f>"200901"</f>
        <v>200901</v>
      </c>
      <c r="J2271" s="6" t="str">
        <f>"ROSA 901"</f>
        <v>ROSA 901</v>
      </c>
      <c r="K2271" s="6" t="str">
        <f>"0520"</f>
        <v>0520</v>
      </c>
      <c r="L2271" s="6" t="str">
        <f>"Toalhetes"</f>
        <v>Toalhetes</v>
      </c>
      <c r="M2271" s="6" t="str">
        <f>"30x50"</f>
        <v>30x50</v>
      </c>
      <c r="N2271" s="6" t="str">
        <f>"5602972281101"</f>
        <v>5602972281101</v>
      </c>
      <c r="O2271" s="8">
        <v>6</v>
      </c>
      <c r="R2271" s="8">
        <v>0</v>
      </c>
      <c r="U2271" s="8">
        <v>0</v>
      </c>
      <c r="X2271" s="8">
        <v>0</v>
      </c>
      <c r="Z2271" s="8">
        <v>0</v>
      </c>
      <c r="AC2271" s="8">
        <v>0</v>
      </c>
      <c r="AF2271" s="8">
        <v>0</v>
      </c>
      <c r="AN2271" s="8">
        <v>0</v>
      </c>
      <c r="AO2271" s="8">
        <v>6</v>
      </c>
    </row>
    <row r="2272" spans="1:41" x14ac:dyDescent="0.25">
      <c r="A2272" s="6" t="str">
        <f t="shared" si="529"/>
        <v>522-2026000235</v>
      </c>
      <c r="B2272" s="6" t="str">
        <f t="shared" si="523"/>
        <v>EL CORTE</v>
      </c>
      <c r="C2272" s="7">
        <v>46037</v>
      </c>
      <c r="D2272" s="7">
        <v>46042</v>
      </c>
      <c r="E2272" s="8">
        <v>7</v>
      </c>
      <c r="F2272" s="6" t="str">
        <f t="shared" si="530"/>
        <v>94829501_07026</v>
      </c>
      <c r="G2272" s="6" t="str">
        <f t="shared" si="525"/>
        <v>F310631650000000</v>
      </c>
      <c r="H2272" s="6" t="str">
        <f t="shared" si="526"/>
        <v>PLAR 6316 FD - 500 g</v>
      </c>
      <c r="I2272" s="6" t="str">
        <f>"200901"</f>
        <v>200901</v>
      </c>
      <c r="J2272" s="6" t="str">
        <f>"ROSA 901"</f>
        <v>ROSA 901</v>
      </c>
      <c r="K2272" s="6" t="str">
        <f>"1024"</f>
        <v>1024</v>
      </c>
      <c r="L2272" s="6" t="str">
        <f>"Toalhas"</f>
        <v>Toalhas</v>
      </c>
      <c r="M2272" s="6" t="str">
        <f>"50x100"</f>
        <v>50x100</v>
      </c>
      <c r="N2272" s="6" t="str">
        <f>"5602972281118"</f>
        <v>5602972281118</v>
      </c>
      <c r="O2272" s="8">
        <v>6</v>
      </c>
      <c r="R2272" s="8">
        <v>0</v>
      </c>
      <c r="U2272" s="8">
        <v>0</v>
      </c>
      <c r="X2272" s="8">
        <v>0</v>
      </c>
      <c r="Z2272" s="8">
        <v>0</v>
      </c>
      <c r="AC2272" s="8">
        <v>0</v>
      </c>
      <c r="AF2272" s="8">
        <v>0</v>
      </c>
      <c r="AN2272" s="8">
        <v>6</v>
      </c>
      <c r="AO2272" s="8">
        <v>0</v>
      </c>
    </row>
    <row r="2273" spans="1:41" x14ac:dyDescent="0.25">
      <c r="A2273" s="6" t="str">
        <f t="shared" si="529"/>
        <v>522-2026000235</v>
      </c>
      <c r="B2273" s="6" t="str">
        <f t="shared" si="523"/>
        <v>EL CORTE</v>
      </c>
      <c r="C2273" s="7">
        <v>46037</v>
      </c>
      <c r="D2273" s="7">
        <v>46042</v>
      </c>
      <c r="E2273" s="8">
        <v>8</v>
      </c>
      <c r="F2273" s="6" t="str">
        <f t="shared" si="530"/>
        <v>94829501_07026</v>
      </c>
      <c r="G2273" s="6" t="str">
        <f t="shared" si="525"/>
        <v>F310631650000000</v>
      </c>
      <c r="H2273" s="6" t="str">
        <f t="shared" si="526"/>
        <v>PLAR 6316 FD - 500 g</v>
      </c>
      <c r="I2273" s="6" t="str">
        <f>"200901"</f>
        <v>200901</v>
      </c>
      <c r="J2273" s="6" t="str">
        <f>"ROSA 901"</f>
        <v>ROSA 901</v>
      </c>
      <c r="K2273" s="6" t="str">
        <f>"2020"</f>
        <v>2020</v>
      </c>
      <c r="L2273" s="6" t="str">
        <f>"Lençóis"</f>
        <v>Lençóis</v>
      </c>
      <c r="M2273" s="6" t="str">
        <f>"100x150"</f>
        <v>100x150</v>
      </c>
      <c r="N2273" s="6" t="str">
        <f>"5602972281125"</f>
        <v>5602972281125</v>
      </c>
      <c r="O2273" s="8">
        <v>6</v>
      </c>
      <c r="R2273" s="8">
        <v>0</v>
      </c>
      <c r="U2273" s="8">
        <v>0</v>
      </c>
      <c r="X2273" s="8">
        <v>0</v>
      </c>
      <c r="Z2273" s="8">
        <v>0</v>
      </c>
      <c r="AC2273" s="8">
        <v>0</v>
      </c>
      <c r="AF2273" s="8">
        <v>0</v>
      </c>
      <c r="AN2273" s="8">
        <v>0</v>
      </c>
      <c r="AO2273" s="8">
        <v>6</v>
      </c>
    </row>
    <row r="2274" spans="1:41" x14ac:dyDescent="0.25">
      <c r="A2274" s="6" t="str">
        <f t="shared" si="529"/>
        <v>522-2026000235</v>
      </c>
      <c r="B2274" s="6" t="str">
        <f t="shared" si="523"/>
        <v>EL CORTE</v>
      </c>
      <c r="C2274" s="7">
        <v>46037</v>
      </c>
      <c r="D2274" s="7">
        <v>46042</v>
      </c>
      <c r="E2274" s="8">
        <v>9</v>
      </c>
      <c r="F2274" s="6" t="str">
        <f t="shared" si="530"/>
        <v>94829501_07026</v>
      </c>
      <c r="G2274" s="6" t="str">
        <f t="shared" si="525"/>
        <v>F310631650000000</v>
      </c>
      <c r="H2274" s="6" t="str">
        <f t="shared" si="526"/>
        <v>PLAR 6316 FD - 500 g</v>
      </c>
      <c r="I2274" s="6" t="str">
        <f>"200510"</f>
        <v>200510</v>
      </c>
      <c r="J2274" s="6" t="str">
        <f>"VERDE 510"</f>
        <v>VERDE 510</v>
      </c>
      <c r="K2274" s="6" t="str">
        <f>"1024"</f>
        <v>1024</v>
      </c>
      <c r="L2274" s="6" t="str">
        <f>"Toalhas"</f>
        <v>Toalhas</v>
      </c>
      <c r="M2274" s="6" t="str">
        <f>"50x100"</f>
        <v>50x100</v>
      </c>
      <c r="N2274" s="6" t="str">
        <f>"5602972281149"</f>
        <v>5602972281149</v>
      </c>
      <c r="O2274" s="8">
        <v>6</v>
      </c>
      <c r="R2274" s="8">
        <v>0</v>
      </c>
      <c r="U2274" s="8">
        <v>0</v>
      </c>
      <c r="X2274" s="8">
        <v>0</v>
      </c>
      <c r="Z2274" s="8">
        <v>0</v>
      </c>
      <c r="AC2274" s="8">
        <v>0</v>
      </c>
      <c r="AF2274" s="8">
        <v>0</v>
      </c>
      <c r="AN2274" s="8">
        <v>6</v>
      </c>
      <c r="AO2274" s="8">
        <v>0</v>
      </c>
    </row>
    <row r="2275" spans="1:41" x14ac:dyDescent="0.25">
      <c r="A2275" s="6" t="str">
        <f t="shared" si="529"/>
        <v>522-2026000235</v>
      </c>
      <c r="B2275" s="6" t="str">
        <f t="shared" si="523"/>
        <v>EL CORTE</v>
      </c>
      <c r="C2275" s="7">
        <v>46037</v>
      </c>
      <c r="D2275" s="7">
        <v>46042</v>
      </c>
      <c r="E2275" s="8">
        <v>10</v>
      </c>
      <c r="F2275" s="6" t="str">
        <f t="shared" si="530"/>
        <v>94829501_07026</v>
      </c>
      <c r="G2275" s="6" t="str">
        <f t="shared" si="525"/>
        <v>F310631650000000</v>
      </c>
      <c r="H2275" s="6" t="str">
        <f t="shared" si="526"/>
        <v>PLAR 6316 FD - 500 g</v>
      </c>
      <c r="I2275" s="6" t="str">
        <f>"200510"</f>
        <v>200510</v>
      </c>
      <c r="J2275" s="6" t="str">
        <f>"VERDE 510"</f>
        <v>VERDE 510</v>
      </c>
      <c r="K2275" s="6" t="str">
        <f>"2020"</f>
        <v>2020</v>
      </c>
      <c r="L2275" s="6" t="str">
        <f>"Lençóis"</f>
        <v>Lençóis</v>
      </c>
      <c r="M2275" s="6" t="str">
        <f>"100x150"</f>
        <v>100x150</v>
      </c>
      <c r="N2275" s="6" t="str">
        <f>"5602972281156"</f>
        <v>5602972281156</v>
      </c>
      <c r="O2275" s="8">
        <v>9</v>
      </c>
      <c r="R2275" s="8">
        <v>0</v>
      </c>
      <c r="U2275" s="8">
        <v>0</v>
      </c>
      <c r="X2275" s="8">
        <v>0</v>
      </c>
      <c r="Z2275" s="8">
        <v>0</v>
      </c>
      <c r="AC2275" s="8">
        <v>0</v>
      </c>
      <c r="AF2275" s="8">
        <v>0</v>
      </c>
      <c r="AN2275" s="8">
        <v>0</v>
      </c>
      <c r="AO2275" s="8">
        <v>9</v>
      </c>
    </row>
    <row r="2276" spans="1:41" x14ac:dyDescent="0.25">
      <c r="A2276" s="6" t="str">
        <f t="shared" ref="A2276:A2286" si="531">"522-2026000236"</f>
        <v>522-2026000236</v>
      </c>
      <c r="B2276" s="6" t="str">
        <f t="shared" si="523"/>
        <v>EL CORTE</v>
      </c>
      <c r="C2276" s="7">
        <v>46037</v>
      </c>
      <c r="D2276" s="7">
        <v>46042</v>
      </c>
      <c r="E2276" s="8">
        <v>1</v>
      </c>
      <c r="F2276" s="6" t="str">
        <f t="shared" ref="F2276:F2286" si="532">"94830901_07026"</f>
        <v>94830901_07026</v>
      </c>
      <c r="G2276" s="6" t="str">
        <f t="shared" si="525"/>
        <v>F310631650000000</v>
      </c>
      <c r="H2276" s="6" t="str">
        <f t="shared" si="526"/>
        <v>PLAR 6316 FD - 500 g</v>
      </c>
      <c r="I2276" s="6" t="str">
        <f>"201855"</f>
        <v>201855</v>
      </c>
      <c r="J2276" s="6" t="str">
        <f>"AZUL 1855"</f>
        <v>AZUL 1855</v>
      </c>
      <c r="K2276" s="6" t="str">
        <f>"1024"</f>
        <v>1024</v>
      </c>
      <c r="L2276" s="6" t="str">
        <f>"Toalhas"</f>
        <v>Toalhas</v>
      </c>
      <c r="M2276" s="6" t="str">
        <f>"50x100"</f>
        <v>50x100</v>
      </c>
      <c r="N2276" s="6" t="str">
        <f>"5602972281057"</f>
        <v>5602972281057</v>
      </c>
      <c r="O2276" s="8">
        <v>6</v>
      </c>
      <c r="R2276" s="8">
        <v>0</v>
      </c>
      <c r="U2276" s="8">
        <v>0</v>
      </c>
      <c r="X2276" s="8">
        <v>0</v>
      </c>
      <c r="Z2276" s="8">
        <v>0</v>
      </c>
      <c r="AC2276" s="8">
        <v>0</v>
      </c>
      <c r="AF2276" s="8">
        <v>0</v>
      </c>
      <c r="AN2276" s="8">
        <v>6</v>
      </c>
      <c r="AO2276" s="8">
        <v>0</v>
      </c>
    </row>
    <row r="2277" spans="1:41" x14ac:dyDescent="0.25">
      <c r="A2277" s="6" t="str">
        <f t="shared" si="531"/>
        <v>522-2026000236</v>
      </c>
      <c r="B2277" s="6" t="str">
        <f t="shared" si="523"/>
        <v>EL CORTE</v>
      </c>
      <c r="C2277" s="7">
        <v>46037</v>
      </c>
      <c r="D2277" s="7">
        <v>46042</v>
      </c>
      <c r="E2277" s="8">
        <v>2</v>
      </c>
      <c r="F2277" s="6" t="str">
        <f t="shared" si="532"/>
        <v>94830901_07026</v>
      </c>
      <c r="G2277" s="6" t="str">
        <f t="shared" si="525"/>
        <v>F310631650000000</v>
      </c>
      <c r="H2277" s="6" t="str">
        <f t="shared" si="526"/>
        <v>PLAR 6316 FD - 500 g</v>
      </c>
      <c r="I2277" s="6" t="str">
        <f>"201855"</f>
        <v>201855</v>
      </c>
      <c r="J2277" s="6" t="str">
        <f>"AZUL 1855"</f>
        <v>AZUL 1855</v>
      </c>
      <c r="K2277" s="6" t="str">
        <f>"2020"</f>
        <v>2020</v>
      </c>
      <c r="L2277" s="6" t="str">
        <f>"Lençóis"</f>
        <v>Lençóis</v>
      </c>
      <c r="M2277" s="6" t="str">
        <f>"100x150"</f>
        <v>100x150</v>
      </c>
      <c r="N2277" s="6" t="str">
        <f>"5602972281064"</f>
        <v>5602972281064</v>
      </c>
      <c r="O2277" s="8">
        <v>6</v>
      </c>
      <c r="R2277" s="8">
        <v>0</v>
      </c>
      <c r="U2277" s="8">
        <v>0</v>
      </c>
      <c r="X2277" s="8">
        <v>0</v>
      </c>
      <c r="Z2277" s="8">
        <v>0</v>
      </c>
      <c r="AC2277" s="8">
        <v>0</v>
      </c>
      <c r="AF2277" s="8">
        <v>0</v>
      </c>
      <c r="AN2277" s="8">
        <v>0</v>
      </c>
      <c r="AO2277" s="8">
        <v>6</v>
      </c>
    </row>
    <row r="2278" spans="1:41" x14ac:dyDescent="0.25">
      <c r="A2278" s="6" t="str">
        <f t="shared" si="531"/>
        <v>522-2026000236</v>
      </c>
      <c r="B2278" s="6" t="str">
        <f t="shared" si="523"/>
        <v>EL CORTE</v>
      </c>
      <c r="C2278" s="7">
        <v>46037</v>
      </c>
      <c r="D2278" s="7">
        <v>46042</v>
      </c>
      <c r="E2278" s="8">
        <v>3</v>
      </c>
      <c r="F2278" s="6" t="str">
        <f t="shared" si="532"/>
        <v>94830901_07026</v>
      </c>
      <c r="G2278" s="6" t="str">
        <f t="shared" si="525"/>
        <v>F310631650000000</v>
      </c>
      <c r="H2278" s="6" t="str">
        <f t="shared" si="526"/>
        <v>PLAR 6316 FD - 500 g</v>
      </c>
      <c r="I2278" s="6" t="str">
        <f>"202575"</f>
        <v>202575</v>
      </c>
      <c r="J2278" s="6" t="str">
        <f>"BEGE 2575"</f>
        <v>BEGE 2575</v>
      </c>
      <c r="K2278" s="6" t="str">
        <f>"0520"</f>
        <v>0520</v>
      </c>
      <c r="L2278" s="6" t="str">
        <f>"Toalhetes"</f>
        <v>Toalhetes</v>
      </c>
      <c r="M2278" s="6" t="str">
        <f>"30x50"</f>
        <v>30x50</v>
      </c>
      <c r="N2278" s="6" t="str">
        <f>"5602972281071"</f>
        <v>5602972281071</v>
      </c>
      <c r="O2278" s="8">
        <v>6</v>
      </c>
      <c r="R2278" s="8">
        <v>0</v>
      </c>
      <c r="U2278" s="8">
        <v>0</v>
      </c>
      <c r="X2278" s="8">
        <v>0</v>
      </c>
      <c r="Z2278" s="8">
        <v>0</v>
      </c>
      <c r="AC2278" s="8">
        <v>0</v>
      </c>
      <c r="AF2278" s="8">
        <v>0</v>
      </c>
      <c r="AN2278" s="8">
        <v>6</v>
      </c>
      <c r="AO2278" s="8">
        <v>0</v>
      </c>
    </row>
    <row r="2279" spans="1:41" x14ac:dyDescent="0.25">
      <c r="A2279" s="6" t="str">
        <f t="shared" si="531"/>
        <v>522-2026000236</v>
      </c>
      <c r="B2279" s="6" t="str">
        <f t="shared" si="523"/>
        <v>EL CORTE</v>
      </c>
      <c r="C2279" s="7">
        <v>46037</v>
      </c>
      <c r="D2279" s="7">
        <v>46042</v>
      </c>
      <c r="E2279" s="8">
        <v>4</v>
      </c>
      <c r="F2279" s="6" t="str">
        <f t="shared" si="532"/>
        <v>94830901_07026</v>
      </c>
      <c r="G2279" s="6" t="str">
        <f t="shared" si="525"/>
        <v>F310631650000000</v>
      </c>
      <c r="H2279" s="6" t="str">
        <f t="shared" si="526"/>
        <v>PLAR 6316 FD - 500 g</v>
      </c>
      <c r="I2279" s="6" t="str">
        <f>"202575"</f>
        <v>202575</v>
      </c>
      <c r="J2279" s="6" t="str">
        <f>"BEGE 2575"</f>
        <v>BEGE 2575</v>
      </c>
      <c r="K2279" s="6" t="str">
        <f>"1024"</f>
        <v>1024</v>
      </c>
      <c r="L2279" s="6" t="str">
        <f>"Toalhas"</f>
        <v>Toalhas</v>
      </c>
      <c r="M2279" s="6" t="str">
        <f>"50x100"</f>
        <v>50x100</v>
      </c>
      <c r="N2279" s="6" t="str">
        <f>"5602972281088"</f>
        <v>5602972281088</v>
      </c>
      <c r="O2279" s="8">
        <v>6</v>
      </c>
      <c r="R2279" s="8">
        <v>0</v>
      </c>
      <c r="U2279" s="8">
        <v>0</v>
      </c>
      <c r="X2279" s="8">
        <v>0</v>
      </c>
      <c r="Z2279" s="8">
        <v>0</v>
      </c>
      <c r="AC2279" s="8">
        <v>0</v>
      </c>
      <c r="AF2279" s="8">
        <v>0</v>
      </c>
      <c r="AN2279" s="8">
        <v>6</v>
      </c>
      <c r="AO2279" s="8">
        <v>0</v>
      </c>
    </row>
    <row r="2280" spans="1:41" x14ac:dyDescent="0.25">
      <c r="A2280" s="6" t="str">
        <f t="shared" si="531"/>
        <v>522-2026000236</v>
      </c>
      <c r="B2280" s="6" t="str">
        <f t="shared" si="523"/>
        <v>EL CORTE</v>
      </c>
      <c r="C2280" s="7">
        <v>46037</v>
      </c>
      <c r="D2280" s="7">
        <v>46042</v>
      </c>
      <c r="E2280" s="8">
        <v>5</v>
      </c>
      <c r="F2280" s="6" t="str">
        <f t="shared" si="532"/>
        <v>94830901_07026</v>
      </c>
      <c r="G2280" s="6" t="str">
        <f t="shared" si="525"/>
        <v>F310631650000000</v>
      </c>
      <c r="H2280" s="6" t="str">
        <f t="shared" si="526"/>
        <v>PLAR 6316 FD - 500 g</v>
      </c>
      <c r="I2280" s="6" t="str">
        <f>"202575"</f>
        <v>202575</v>
      </c>
      <c r="J2280" s="6" t="str">
        <f>"BEGE 2575"</f>
        <v>BEGE 2575</v>
      </c>
      <c r="K2280" s="6" t="str">
        <f>"2020"</f>
        <v>2020</v>
      </c>
      <c r="L2280" s="6" t="str">
        <f>"Lençóis"</f>
        <v>Lençóis</v>
      </c>
      <c r="M2280" s="6" t="str">
        <f>"100x150"</f>
        <v>100x150</v>
      </c>
      <c r="N2280" s="6" t="str">
        <f>"5602972281095"</f>
        <v>5602972281095</v>
      </c>
      <c r="O2280" s="8">
        <v>6</v>
      </c>
      <c r="R2280" s="8">
        <v>0</v>
      </c>
      <c r="U2280" s="8">
        <v>0</v>
      </c>
      <c r="X2280" s="8">
        <v>0</v>
      </c>
      <c r="Z2280" s="8">
        <v>0</v>
      </c>
      <c r="AC2280" s="8">
        <v>0</v>
      </c>
      <c r="AF2280" s="8">
        <v>0</v>
      </c>
      <c r="AN2280" s="8">
        <v>0</v>
      </c>
      <c r="AO2280" s="8">
        <v>6</v>
      </c>
    </row>
    <row r="2281" spans="1:41" x14ac:dyDescent="0.25">
      <c r="A2281" s="6" t="str">
        <f t="shared" si="531"/>
        <v>522-2026000236</v>
      </c>
      <c r="B2281" s="6" t="str">
        <f t="shared" si="523"/>
        <v>EL CORTE</v>
      </c>
      <c r="C2281" s="7">
        <v>46037</v>
      </c>
      <c r="D2281" s="7">
        <v>46042</v>
      </c>
      <c r="E2281" s="8">
        <v>6</v>
      </c>
      <c r="F2281" s="6" t="str">
        <f t="shared" si="532"/>
        <v>94830901_07026</v>
      </c>
      <c r="G2281" s="6" t="str">
        <f t="shared" si="525"/>
        <v>F310631650000000</v>
      </c>
      <c r="H2281" s="6" t="str">
        <f t="shared" si="526"/>
        <v>PLAR 6316 FD - 500 g</v>
      </c>
      <c r="I2281" s="6" t="str">
        <f>"200901"</f>
        <v>200901</v>
      </c>
      <c r="J2281" s="6" t="str">
        <f>"ROSA 901"</f>
        <v>ROSA 901</v>
      </c>
      <c r="K2281" s="6" t="str">
        <f>"0520"</f>
        <v>0520</v>
      </c>
      <c r="L2281" s="6" t="str">
        <f>"Toalhetes"</f>
        <v>Toalhetes</v>
      </c>
      <c r="M2281" s="6" t="str">
        <f>"30x50"</f>
        <v>30x50</v>
      </c>
      <c r="N2281" s="6" t="str">
        <f>"5602972281101"</f>
        <v>5602972281101</v>
      </c>
      <c r="O2281" s="8">
        <v>6</v>
      </c>
      <c r="R2281" s="8">
        <v>0</v>
      </c>
      <c r="U2281" s="8">
        <v>0</v>
      </c>
      <c r="X2281" s="8">
        <v>0</v>
      </c>
      <c r="Z2281" s="8">
        <v>0</v>
      </c>
      <c r="AC2281" s="8">
        <v>0</v>
      </c>
      <c r="AF2281" s="8">
        <v>0</v>
      </c>
      <c r="AN2281" s="8">
        <v>0</v>
      </c>
      <c r="AO2281" s="8">
        <v>6</v>
      </c>
    </row>
    <row r="2282" spans="1:41" x14ac:dyDescent="0.25">
      <c r="A2282" s="6" t="str">
        <f t="shared" si="531"/>
        <v>522-2026000236</v>
      </c>
      <c r="B2282" s="6" t="str">
        <f t="shared" si="523"/>
        <v>EL CORTE</v>
      </c>
      <c r="C2282" s="7">
        <v>46037</v>
      </c>
      <c r="D2282" s="7">
        <v>46042</v>
      </c>
      <c r="E2282" s="8">
        <v>7</v>
      </c>
      <c r="F2282" s="6" t="str">
        <f t="shared" si="532"/>
        <v>94830901_07026</v>
      </c>
      <c r="G2282" s="6" t="str">
        <f t="shared" si="525"/>
        <v>F310631650000000</v>
      </c>
      <c r="H2282" s="6" t="str">
        <f t="shared" si="526"/>
        <v>PLAR 6316 FD - 500 g</v>
      </c>
      <c r="I2282" s="6" t="str">
        <f>"200901"</f>
        <v>200901</v>
      </c>
      <c r="J2282" s="6" t="str">
        <f>"ROSA 901"</f>
        <v>ROSA 901</v>
      </c>
      <c r="K2282" s="6" t="str">
        <f>"1024"</f>
        <v>1024</v>
      </c>
      <c r="L2282" s="6" t="str">
        <f>"Toalhas"</f>
        <v>Toalhas</v>
      </c>
      <c r="M2282" s="6" t="str">
        <f>"50x100"</f>
        <v>50x100</v>
      </c>
      <c r="N2282" s="6" t="str">
        <f>"5602972281118"</f>
        <v>5602972281118</v>
      </c>
      <c r="O2282" s="8">
        <v>12</v>
      </c>
      <c r="R2282" s="8">
        <v>0</v>
      </c>
      <c r="U2282" s="8">
        <v>0</v>
      </c>
      <c r="X2282" s="8">
        <v>0</v>
      </c>
      <c r="Z2282" s="8">
        <v>0</v>
      </c>
      <c r="AC2282" s="8">
        <v>0</v>
      </c>
      <c r="AF2282" s="8">
        <v>0</v>
      </c>
      <c r="AN2282" s="8">
        <v>12</v>
      </c>
      <c r="AO2282" s="8">
        <v>0</v>
      </c>
    </row>
    <row r="2283" spans="1:41" x14ac:dyDescent="0.25">
      <c r="A2283" s="6" t="str">
        <f t="shared" si="531"/>
        <v>522-2026000236</v>
      </c>
      <c r="B2283" s="6" t="str">
        <f t="shared" si="523"/>
        <v>EL CORTE</v>
      </c>
      <c r="C2283" s="7">
        <v>46037</v>
      </c>
      <c r="D2283" s="7">
        <v>46042</v>
      </c>
      <c r="E2283" s="8">
        <v>8</v>
      </c>
      <c r="F2283" s="6" t="str">
        <f t="shared" si="532"/>
        <v>94830901_07026</v>
      </c>
      <c r="G2283" s="6" t="str">
        <f t="shared" si="525"/>
        <v>F310631650000000</v>
      </c>
      <c r="H2283" s="6" t="str">
        <f t="shared" si="526"/>
        <v>PLAR 6316 FD - 500 g</v>
      </c>
      <c r="I2283" s="6" t="str">
        <f>"200901"</f>
        <v>200901</v>
      </c>
      <c r="J2283" s="6" t="str">
        <f>"ROSA 901"</f>
        <v>ROSA 901</v>
      </c>
      <c r="K2283" s="6" t="str">
        <f>"2020"</f>
        <v>2020</v>
      </c>
      <c r="L2283" s="6" t="str">
        <f>"Lençóis"</f>
        <v>Lençóis</v>
      </c>
      <c r="M2283" s="6" t="str">
        <f>"100x150"</f>
        <v>100x150</v>
      </c>
      <c r="N2283" s="6" t="str">
        <f>"5602972281125"</f>
        <v>5602972281125</v>
      </c>
      <c r="O2283" s="8">
        <v>6</v>
      </c>
      <c r="R2283" s="8">
        <v>0</v>
      </c>
      <c r="U2283" s="8">
        <v>0</v>
      </c>
      <c r="X2283" s="8">
        <v>0</v>
      </c>
      <c r="Z2283" s="8">
        <v>0</v>
      </c>
      <c r="AC2283" s="8">
        <v>0</v>
      </c>
      <c r="AF2283" s="8">
        <v>0</v>
      </c>
      <c r="AN2283" s="8">
        <v>0</v>
      </c>
      <c r="AO2283" s="8">
        <v>6</v>
      </c>
    </row>
    <row r="2284" spans="1:41" x14ac:dyDescent="0.25">
      <c r="A2284" s="6" t="str">
        <f t="shared" si="531"/>
        <v>522-2026000236</v>
      </c>
      <c r="B2284" s="6" t="str">
        <f t="shared" si="523"/>
        <v>EL CORTE</v>
      </c>
      <c r="C2284" s="7">
        <v>46037</v>
      </c>
      <c r="D2284" s="7">
        <v>46042</v>
      </c>
      <c r="E2284" s="8">
        <v>9</v>
      </c>
      <c r="F2284" s="6" t="str">
        <f t="shared" si="532"/>
        <v>94830901_07026</v>
      </c>
      <c r="G2284" s="6" t="str">
        <f t="shared" si="525"/>
        <v>F310631650000000</v>
      </c>
      <c r="H2284" s="6" t="str">
        <f t="shared" si="526"/>
        <v>PLAR 6316 FD - 500 g</v>
      </c>
      <c r="I2284" s="6" t="str">
        <f>"200510"</f>
        <v>200510</v>
      </c>
      <c r="J2284" s="6" t="str">
        <f>"VERDE 510"</f>
        <v>VERDE 510</v>
      </c>
      <c r="K2284" s="6" t="str">
        <f>"0520"</f>
        <v>0520</v>
      </c>
      <c r="L2284" s="6" t="str">
        <f>"Toalhetes"</f>
        <v>Toalhetes</v>
      </c>
      <c r="M2284" s="6" t="str">
        <f>"30x50"</f>
        <v>30x50</v>
      </c>
      <c r="N2284" s="6" t="str">
        <f>"5602972281132"</f>
        <v>5602972281132</v>
      </c>
      <c r="O2284" s="8">
        <v>6</v>
      </c>
      <c r="R2284" s="8">
        <v>0</v>
      </c>
      <c r="U2284" s="8">
        <v>0</v>
      </c>
      <c r="X2284" s="8">
        <v>0</v>
      </c>
      <c r="Z2284" s="8">
        <v>0</v>
      </c>
      <c r="AC2284" s="8">
        <v>0</v>
      </c>
      <c r="AF2284" s="8">
        <v>0</v>
      </c>
      <c r="AN2284" s="8">
        <v>6</v>
      </c>
      <c r="AO2284" s="8">
        <v>0</v>
      </c>
    </row>
    <row r="2285" spans="1:41" x14ac:dyDescent="0.25">
      <c r="A2285" s="6" t="str">
        <f t="shared" si="531"/>
        <v>522-2026000236</v>
      </c>
      <c r="B2285" s="6" t="str">
        <f t="shared" si="523"/>
        <v>EL CORTE</v>
      </c>
      <c r="C2285" s="7">
        <v>46037</v>
      </c>
      <c r="D2285" s="7">
        <v>46042</v>
      </c>
      <c r="E2285" s="8">
        <v>10</v>
      </c>
      <c r="F2285" s="6" t="str">
        <f t="shared" si="532"/>
        <v>94830901_07026</v>
      </c>
      <c r="G2285" s="6" t="str">
        <f t="shared" si="525"/>
        <v>F310631650000000</v>
      </c>
      <c r="H2285" s="6" t="str">
        <f t="shared" si="526"/>
        <v>PLAR 6316 FD - 500 g</v>
      </c>
      <c r="I2285" s="6" t="str">
        <f>"200510"</f>
        <v>200510</v>
      </c>
      <c r="J2285" s="6" t="str">
        <f>"VERDE 510"</f>
        <v>VERDE 510</v>
      </c>
      <c r="K2285" s="6" t="str">
        <f>"1024"</f>
        <v>1024</v>
      </c>
      <c r="L2285" s="6" t="str">
        <f>"Toalhas"</f>
        <v>Toalhas</v>
      </c>
      <c r="M2285" s="6" t="str">
        <f>"50x100"</f>
        <v>50x100</v>
      </c>
      <c r="N2285" s="6" t="str">
        <f>"5602972281149"</f>
        <v>5602972281149</v>
      </c>
      <c r="O2285" s="8">
        <v>6</v>
      </c>
      <c r="R2285" s="8">
        <v>0</v>
      </c>
      <c r="U2285" s="8">
        <v>0</v>
      </c>
      <c r="X2285" s="8">
        <v>0</v>
      </c>
      <c r="Z2285" s="8">
        <v>0</v>
      </c>
      <c r="AC2285" s="8">
        <v>0</v>
      </c>
      <c r="AF2285" s="8">
        <v>0</v>
      </c>
      <c r="AN2285" s="8">
        <v>6</v>
      </c>
      <c r="AO2285" s="8">
        <v>0</v>
      </c>
    </row>
    <row r="2286" spans="1:41" x14ac:dyDescent="0.25">
      <c r="A2286" s="6" t="str">
        <f t="shared" si="531"/>
        <v>522-2026000236</v>
      </c>
      <c r="B2286" s="6" t="str">
        <f t="shared" si="523"/>
        <v>EL CORTE</v>
      </c>
      <c r="C2286" s="7">
        <v>46037</v>
      </c>
      <c r="D2286" s="7">
        <v>46042</v>
      </c>
      <c r="E2286" s="8">
        <v>11</v>
      </c>
      <c r="F2286" s="6" t="str">
        <f t="shared" si="532"/>
        <v>94830901_07026</v>
      </c>
      <c r="G2286" s="6" t="str">
        <f t="shared" si="525"/>
        <v>F310631650000000</v>
      </c>
      <c r="H2286" s="6" t="str">
        <f t="shared" si="526"/>
        <v>PLAR 6316 FD - 500 g</v>
      </c>
      <c r="I2286" s="6" t="str">
        <f>"200510"</f>
        <v>200510</v>
      </c>
      <c r="J2286" s="6" t="str">
        <f>"VERDE 510"</f>
        <v>VERDE 510</v>
      </c>
      <c r="K2286" s="6" t="str">
        <f>"2020"</f>
        <v>2020</v>
      </c>
      <c r="L2286" s="6" t="str">
        <f>"Lençóis"</f>
        <v>Lençóis</v>
      </c>
      <c r="M2286" s="6" t="str">
        <f>"100x150"</f>
        <v>100x150</v>
      </c>
      <c r="N2286" s="6" t="str">
        <f>"5602972281156"</f>
        <v>5602972281156</v>
      </c>
      <c r="O2286" s="8">
        <v>3</v>
      </c>
      <c r="R2286" s="8">
        <v>0</v>
      </c>
      <c r="U2286" s="8">
        <v>0</v>
      </c>
      <c r="X2286" s="8">
        <v>0</v>
      </c>
      <c r="Z2286" s="8">
        <v>0</v>
      </c>
      <c r="AC2286" s="8">
        <v>0</v>
      </c>
      <c r="AF2286" s="8">
        <v>0</v>
      </c>
      <c r="AN2286" s="8">
        <v>0</v>
      </c>
      <c r="AO2286" s="8">
        <v>3</v>
      </c>
    </row>
    <row r="2287" spans="1:41" x14ac:dyDescent="0.25">
      <c r="A2287" s="6" t="str">
        <f t="shared" ref="A2287:A2294" si="533">"522-2026000237"</f>
        <v>522-2026000237</v>
      </c>
      <c r="B2287" s="6" t="str">
        <f t="shared" si="523"/>
        <v>EL CORTE</v>
      </c>
      <c r="C2287" s="7">
        <v>46037</v>
      </c>
      <c r="D2287" s="7">
        <v>46042</v>
      </c>
      <c r="E2287" s="8">
        <v>1</v>
      </c>
      <c r="F2287" s="6" t="str">
        <f t="shared" ref="F2287:F2294" si="534">"94829301_07026"</f>
        <v>94829301_07026</v>
      </c>
      <c r="G2287" s="6" t="str">
        <f t="shared" si="525"/>
        <v>F310631650000000</v>
      </c>
      <c r="H2287" s="6" t="str">
        <f t="shared" si="526"/>
        <v>PLAR 6316 FD - 500 g</v>
      </c>
      <c r="I2287" s="6" t="str">
        <f>"201855"</f>
        <v>201855</v>
      </c>
      <c r="J2287" s="6" t="str">
        <f>"AZUL 1855"</f>
        <v>AZUL 1855</v>
      </c>
      <c r="K2287" s="6" t="str">
        <f>"1024"</f>
        <v>1024</v>
      </c>
      <c r="L2287" s="6" t="str">
        <f>"Toalhas"</f>
        <v>Toalhas</v>
      </c>
      <c r="M2287" s="6" t="str">
        <f>"50x100"</f>
        <v>50x100</v>
      </c>
      <c r="N2287" s="6" t="str">
        <f>"5602972281057"</f>
        <v>5602972281057</v>
      </c>
      <c r="O2287" s="8">
        <v>6</v>
      </c>
      <c r="R2287" s="8">
        <v>0</v>
      </c>
      <c r="U2287" s="8">
        <v>0</v>
      </c>
      <c r="X2287" s="8">
        <v>0</v>
      </c>
      <c r="Z2287" s="8">
        <v>0</v>
      </c>
      <c r="AC2287" s="8">
        <v>0</v>
      </c>
      <c r="AF2287" s="8">
        <v>0</v>
      </c>
      <c r="AN2287" s="8">
        <v>6</v>
      </c>
      <c r="AO2287" s="8">
        <v>0</v>
      </c>
    </row>
    <row r="2288" spans="1:41" x14ac:dyDescent="0.25">
      <c r="A2288" s="6" t="str">
        <f t="shared" si="533"/>
        <v>522-2026000237</v>
      </c>
      <c r="B2288" s="6" t="str">
        <f t="shared" si="523"/>
        <v>EL CORTE</v>
      </c>
      <c r="C2288" s="7">
        <v>46037</v>
      </c>
      <c r="D2288" s="7">
        <v>46042</v>
      </c>
      <c r="E2288" s="8">
        <v>2</v>
      </c>
      <c r="F2288" s="6" t="str">
        <f t="shared" si="534"/>
        <v>94829301_07026</v>
      </c>
      <c r="G2288" s="6" t="str">
        <f t="shared" si="525"/>
        <v>F310631650000000</v>
      </c>
      <c r="H2288" s="6" t="str">
        <f t="shared" si="526"/>
        <v>PLAR 6316 FD - 500 g</v>
      </c>
      <c r="I2288" s="6" t="str">
        <f>"202575"</f>
        <v>202575</v>
      </c>
      <c r="J2288" s="6" t="str">
        <f>"BEGE 2575"</f>
        <v>BEGE 2575</v>
      </c>
      <c r="K2288" s="6" t="str">
        <f>"0520"</f>
        <v>0520</v>
      </c>
      <c r="L2288" s="6" t="str">
        <f>"Toalhetes"</f>
        <v>Toalhetes</v>
      </c>
      <c r="M2288" s="6" t="str">
        <f>"30x50"</f>
        <v>30x50</v>
      </c>
      <c r="N2288" s="6" t="str">
        <f>"5602972281071"</f>
        <v>5602972281071</v>
      </c>
      <c r="O2288" s="8">
        <v>6</v>
      </c>
      <c r="R2288" s="8">
        <v>0</v>
      </c>
      <c r="U2288" s="8">
        <v>0</v>
      </c>
      <c r="X2288" s="8">
        <v>0</v>
      </c>
      <c r="Z2288" s="8">
        <v>0</v>
      </c>
      <c r="AC2288" s="8">
        <v>0</v>
      </c>
      <c r="AF2288" s="8">
        <v>0</v>
      </c>
      <c r="AN2288" s="8">
        <v>6</v>
      </c>
      <c r="AO2288" s="8">
        <v>0</v>
      </c>
    </row>
    <row r="2289" spans="1:41" x14ac:dyDescent="0.25">
      <c r="A2289" s="6" t="str">
        <f t="shared" si="533"/>
        <v>522-2026000237</v>
      </c>
      <c r="B2289" s="6" t="str">
        <f t="shared" si="523"/>
        <v>EL CORTE</v>
      </c>
      <c r="C2289" s="7">
        <v>46037</v>
      </c>
      <c r="D2289" s="7">
        <v>46042</v>
      </c>
      <c r="E2289" s="8">
        <v>3</v>
      </c>
      <c r="F2289" s="6" t="str">
        <f t="shared" si="534"/>
        <v>94829301_07026</v>
      </c>
      <c r="G2289" s="6" t="str">
        <f t="shared" si="525"/>
        <v>F310631650000000</v>
      </c>
      <c r="H2289" s="6" t="str">
        <f t="shared" si="526"/>
        <v>PLAR 6316 FD - 500 g</v>
      </c>
      <c r="I2289" s="6" t="str">
        <f>"202575"</f>
        <v>202575</v>
      </c>
      <c r="J2289" s="6" t="str">
        <f>"BEGE 2575"</f>
        <v>BEGE 2575</v>
      </c>
      <c r="K2289" s="6" t="str">
        <f>"1024"</f>
        <v>1024</v>
      </c>
      <c r="L2289" s="6" t="str">
        <f>"Toalhas"</f>
        <v>Toalhas</v>
      </c>
      <c r="M2289" s="6" t="str">
        <f>"50x100"</f>
        <v>50x100</v>
      </c>
      <c r="N2289" s="6" t="str">
        <f>"5602972281088"</f>
        <v>5602972281088</v>
      </c>
      <c r="O2289" s="8">
        <v>6</v>
      </c>
      <c r="R2289" s="8">
        <v>0</v>
      </c>
      <c r="U2289" s="8">
        <v>0</v>
      </c>
      <c r="X2289" s="8">
        <v>0</v>
      </c>
      <c r="Z2289" s="8">
        <v>0</v>
      </c>
      <c r="AC2289" s="8">
        <v>0</v>
      </c>
      <c r="AF2289" s="8">
        <v>0</v>
      </c>
      <c r="AN2289" s="8">
        <v>6</v>
      </c>
      <c r="AO2289" s="8">
        <v>0</v>
      </c>
    </row>
    <row r="2290" spans="1:41" x14ac:dyDescent="0.25">
      <c r="A2290" s="6" t="str">
        <f t="shared" si="533"/>
        <v>522-2026000237</v>
      </c>
      <c r="B2290" s="6" t="str">
        <f t="shared" si="523"/>
        <v>EL CORTE</v>
      </c>
      <c r="C2290" s="7">
        <v>46037</v>
      </c>
      <c r="D2290" s="7">
        <v>46042</v>
      </c>
      <c r="E2290" s="8">
        <v>4</v>
      </c>
      <c r="F2290" s="6" t="str">
        <f t="shared" si="534"/>
        <v>94829301_07026</v>
      </c>
      <c r="G2290" s="6" t="str">
        <f t="shared" si="525"/>
        <v>F310631650000000</v>
      </c>
      <c r="H2290" s="6" t="str">
        <f t="shared" si="526"/>
        <v>PLAR 6316 FD - 500 g</v>
      </c>
      <c r="I2290" s="6" t="str">
        <f>"202575"</f>
        <v>202575</v>
      </c>
      <c r="J2290" s="6" t="str">
        <f>"BEGE 2575"</f>
        <v>BEGE 2575</v>
      </c>
      <c r="K2290" s="6" t="str">
        <f>"2020"</f>
        <v>2020</v>
      </c>
      <c r="L2290" s="6" t="str">
        <f>"Lençóis"</f>
        <v>Lençóis</v>
      </c>
      <c r="M2290" s="6" t="str">
        <f>"100x150"</f>
        <v>100x150</v>
      </c>
      <c r="N2290" s="6" t="str">
        <f>"5602972281095"</f>
        <v>5602972281095</v>
      </c>
      <c r="O2290" s="8">
        <v>6</v>
      </c>
      <c r="R2290" s="8">
        <v>0</v>
      </c>
      <c r="U2290" s="8">
        <v>0</v>
      </c>
      <c r="X2290" s="8">
        <v>0</v>
      </c>
      <c r="Z2290" s="8">
        <v>0</v>
      </c>
      <c r="AC2290" s="8">
        <v>0</v>
      </c>
      <c r="AF2290" s="8">
        <v>0</v>
      </c>
      <c r="AN2290" s="8">
        <v>0</v>
      </c>
      <c r="AO2290" s="8">
        <v>6</v>
      </c>
    </row>
    <row r="2291" spans="1:41" x14ac:dyDescent="0.25">
      <c r="A2291" s="6" t="str">
        <f t="shared" si="533"/>
        <v>522-2026000237</v>
      </c>
      <c r="B2291" s="6" t="str">
        <f t="shared" si="523"/>
        <v>EL CORTE</v>
      </c>
      <c r="C2291" s="7">
        <v>46037</v>
      </c>
      <c r="D2291" s="7">
        <v>46042</v>
      </c>
      <c r="E2291" s="8">
        <v>5</v>
      </c>
      <c r="F2291" s="6" t="str">
        <f t="shared" si="534"/>
        <v>94829301_07026</v>
      </c>
      <c r="G2291" s="6" t="str">
        <f t="shared" si="525"/>
        <v>F310631650000000</v>
      </c>
      <c r="H2291" s="6" t="str">
        <f t="shared" si="526"/>
        <v>PLAR 6316 FD - 500 g</v>
      </c>
      <c r="I2291" s="6" t="str">
        <f>"200901"</f>
        <v>200901</v>
      </c>
      <c r="J2291" s="6" t="str">
        <f>"ROSA 901"</f>
        <v>ROSA 901</v>
      </c>
      <c r="K2291" s="6" t="str">
        <f>"1024"</f>
        <v>1024</v>
      </c>
      <c r="L2291" s="6" t="str">
        <f>"Toalhas"</f>
        <v>Toalhas</v>
      </c>
      <c r="M2291" s="6" t="str">
        <f>"50x100"</f>
        <v>50x100</v>
      </c>
      <c r="N2291" s="6" t="str">
        <f>"5602972281118"</f>
        <v>5602972281118</v>
      </c>
      <c r="O2291" s="8">
        <v>6</v>
      </c>
      <c r="R2291" s="8">
        <v>0</v>
      </c>
      <c r="U2291" s="8">
        <v>0</v>
      </c>
      <c r="X2291" s="8">
        <v>0</v>
      </c>
      <c r="Z2291" s="8">
        <v>0</v>
      </c>
      <c r="AC2291" s="8">
        <v>0</v>
      </c>
      <c r="AF2291" s="8">
        <v>0</v>
      </c>
      <c r="AN2291" s="8">
        <v>6</v>
      </c>
      <c r="AO2291" s="8">
        <v>0</v>
      </c>
    </row>
    <row r="2292" spans="1:41" x14ac:dyDescent="0.25">
      <c r="A2292" s="6" t="str">
        <f t="shared" si="533"/>
        <v>522-2026000237</v>
      </c>
      <c r="B2292" s="6" t="str">
        <f t="shared" si="523"/>
        <v>EL CORTE</v>
      </c>
      <c r="C2292" s="7">
        <v>46037</v>
      </c>
      <c r="D2292" s="7">
        <v>46042</v>
      </c>
      <c r="E2292" s="8">
        <v>6</v>
      </c>
      <c r="F2292" s="6" t="str">
        <f t="shared" si="534"/>
        <v>94829301_07026</v>
      </c>
      <c r="G2292" s="6" t="str">
        <f t="shared" si="525"/>
        <v>F310631650000000</v>
      </c>
      <c r="H2292" s="6" t="str">
        <f t="shared" si="526"/>
        <v>PLAR 6316 FD - 500 g</v>
      </c>
      <c r="I2292" s="6" t="str">
        <f>"200901"</f>
        <v>200901</v>
      </c>
      <c r="J2292" s="6" t="str">
        <f>"ROSA 901"</f>
        <v>ROSA 901</v>
      </c>
      <c r="K2292" s="6" t="str">
        <f>"2020"</f>
        <v>2020</v>
      </c>
      <c r="L2292" s="6" t="str">
        <f>"Lençóis"</f>
        <v>Lençóis</v>
      </c>
      <c r="M2292" s="6" t="str">
        <f>"100x150"</f>
        <v>100x150</v>
      </c>
      <c r="N2292" s="6" t="str">
        <f>"5602972281125"</f>
        <v>5602972281125</v>
      </c>
      <c r="O2292" s="8">
        <v>6</v>
      </c>
      <c r="R2292" s="8">
        <v>0</v>
      </c>
      <c r="U2292" s="8">
        <v>0</v>
      </c>
      <c r="X2292" s="8">
        <v>0</v>
      </c>
      <c r="Z2292" s="8">
        <v>0</v>
      </c>
      <c r="AC2292" s="8">
        <v>0</v>
      </c>
      <c r="AF2292" s="8">
        <v>0</v>
      </c>
      <c r="AN2292" s="8">
        <v>0</v>
      </c>
      <c r="AO2292" s="8">
        <v>6</v>
      </c>
    </row>
    <row r="2293" spans="1:41" x14ac:dyDescent="0.25">
      <c r="A2293" s="6" t="str">
        <f t="shared" si="533"/>
        <v>522-2026000237</v>
      </c>
      <c r="B2293" s="6" t="str">
        <f t="shared" si="523"/>
        <v>EL CORTE</v>
      </c>
      <c r="C2293" s="7">
        <v>46037</v>
      </c>
      <c r="D2293" s="7">
        <v>46042</v>
      </c>
      <c r="E2293" s="8">
        <v>7</v>
      </c>
      <c r="F2293" s="6" t="str">
        <f t="shared" si="534"/>
        <v>94829301_07026</v>
      </c>
      <c r="G2293" s="6" t="str">
        <f t="shared" si="525"/>
        <v>F310631650000000</v>
      </c>
      <c r="H2293" s="6" t="str">
        <f t="shared" si="526"/>
        <v>PLAR 6316 FD - 500 g</v>
      </c>
      <c r="I2293" s="6" t="str">
        <f>"200510"</f>
        <v>200510</v>
      </c>
      <c r="J2293" s="6" t="str">
        <f>"VERDE 510"</f>
        <v>VERDE 510</v>
      </c>
      <c r="K2293" s="6" t="str">
        <f>"1024"</f>
        <v>1024</v>
      </c>
      <c r="L2293" s="6" t="str">
        <f>"Toalhas"</f>
        <v>Toalhas</v>
      </c>
      <c r="M2293" s="6" t="str">
        <f>"50x100"</f>
        <v>50x100</v>
      </c>
      <c r="N2293" s="6" t="str">
        <f>"5602972281149"</f>
        <v>5602972281149</v>
      </c>
      <c r="O2293" s="8">
        <v>6</v>
      </c>
      <c r="R2293" s="8">
        <v>0</v>
      </c>
      <c r="U2293" s="8">
        <v>0</v>
      </c>
      <c r="X2293" s="8">
        <v>0</v>
      </c>
      <c r="Z2293" s="8">
        <v>0</v>
      </c>
      <c r="AC2293" s="8">
        <v>0</v>
      </c>
      <c r="AF2293" s="8">
        <v>0</v>
      </c>
      <c r="AN2293" s="8">
        <v>6</v>
      </c>
      <c r="AO2293" s="8">
        <v>0</v>
      </c>
    </row>
    <row r="2294" spans="1:41" x14ac:dyDescent="0.25">
      <c r="A2294" s="6" t="str">
        <f t="shared" si="533"/>
        <v>522-2026000237</v>
      </c>
      <c r="B2294" s="6" t="str">
        <f t="shared" si="523"/>
        <v>EL CORTE</v>
      </c>
      <c r="C2294" s="7">
        <v>46037</v>
      </c>
      <c r="D2294" s="7">
        <v>46042</v>
      </c>
      <c r="E2294" s="8">
        <v>8</v>
      </c>
      <c r="F2294" s="6" t="str">
        <f t="shared" si="534"/>
        <v>94829301_07026</v>
      </c>
      <c r="G2294" s="6" t="str">
        <f t="shared" si="525"/>
        <v>F310631650000000</v>
      </c>
      <c r="H2294" s="6" t="str">
        <f t="shared" si="526"/>
        <v>PLAR 6316 FD - 500 g</v>
      </c>
      <c r="I2294" s="6" t="str">
        <f>"200510"</f>
        <v>200510</v>
      </c>
      <c r="J2294" s="6" t="str">
        <f>"VERDE 510"</f>
        <v>VERDE 510</v>
      </c>
      <c r="K2294" s="6" t="str">
        <f>"2020"</f>
        <v>2020</v>
      </c>
      <c r="L2294" s="6" t="str">
        <f>"Lençóis"</f>
        <v>Lençóis</v>
      </c>
      <c r="M2294" s="6" t="str">
        <f>"100x150"</f>
        <v>100x150</v>
      </c>
      <c r="N2294" s="6" t="str">
        <f>"5602972281156"</f>
        <v>5602972281156</v>
      </c>
      <c r="O2294" s="8">
        <v>6</v>
      </c>
      <c r="R2294" s="8">
        <v>0</v>
      </c>
      <c r="U2294" s="8">
        <v>0</v>
      </c>
      <c r="X2294" s="8">
        <v>0</v>
      </c>
      <c r="Z2294" s="8">
        <v>0</v>
      </c>
      <c r="AC2294" s="8">
        <v>0</v>
      </c>
      <c r="AF2294" s="8">
        <v>0</v>
      </c>
      <c r="AN2294" s="8">
        <v>0</v>
      </c>
      <c r="AO2294" s="8">
        <v>6</v>
      </c>
    </row>
    <row r="2295" spans="1:41" x14ac:dyDescent="0.25">
      <c r="A2295" s="6" t="str">
        <f>"522-2026000238"</f>
        <v>522-2026000238</v>
      </c>
      <c r="B2295" s="6" t="str">
        <f t="shared" si="523"/>
        <v>EL CORTE</v>
      </c>
      <c r="C2295" s="7">
        <v>46037</v>
      </c>
      <c r="D2295" s="7">
        <v>46042</v>
      </c>
      <c r="E2295" s="8">
        <v>1</v>
      </c>
      <c r="F2295" s="6" t="str">
        <f>"94831401_07026"</f>
        <v>94831401_07026</v>
      </c>
      <c r="G2295" s="6" t="str">
        <f t="shared" si="525"/>
        <v>F310631650000000</v>
      </c>
      <c r="H2295" s="6" t="str">
        <f t="shared" si="526"/>
        <v>PLAR 6316 FD - 500 g</v>
      </c>
      <c r="I2295" s="6" t="str">
        <f>"201855"</f>
        <v>201855</v>
      </c>
      <c r="J2295" s="6" t="str">
        <f>"AZUL 1855"</f>
        <v>AZUL 1855</v>
      </c>
      <c r="K2295" s="6" t="str">
        <f>"2020"</f>
        <v>2020</v>
      </c>
      <c r="L2295" s="6" t="str">
        <f>"Lençóis"</f>
        <v>Lençóis</v>
      </c>
      <c r="M2295" s="6" t="str">
        <f>"100x150"</f>
        <v>100x150</v>
      </c>
      <c r="N2295" s="6" t="str">
        <f>"5602972281064"</f>
        <v>5602972281064</v>
      </c>
      <c r="O2295" s="8">
        <v>3</v>
      </c>
      <c r="R2295" s="8">
        <v>0</v>
      </c>
      <c r="U2295" s="8">
        <v>0</v>
      </c>
      <c r="X2295" s="8">
        <v>0</v>
      </c>
      <c r="Z2295" s="8">
        <v>0</v>
      </c>
      <c r="AC2295" s="8">
        <v>0</v>
      </c>
      <c r="AF2295" s="8">
        <v>0</v>
      </c>
      <c r="AN2295" s="8">
        <v>0</v>
      </c>
      <c r="AO2295" s="8">
        <v>3</v>
      </c>
    </row>
    <row r="2296" spans="1:41" x14ac:dyDescent="0.25">
      <c r="A2296" s="6" t="str">
        <f>"522-2026000238"</f>
        <v>522-2026000238</v>
      </c>
      <c r="B2296" s="6" t="str">
        <f t="shared" si="523"/>
        <v>EL CORTE</v>
      </c>
      <c r="C2296" s="7">
        <v>46037</v>
      </c>
      <c r="D2296" s="7">
        <v>46042</v>
      </c>
      <c r="E2296" s="8">
        <v>2</v>
      </c>
      <c r="F2296" s="6" t="str">
        <f>"94831401_07026"</f>
        <v>94831401_07026</v>
      </c>
      <c r="G2296" s="6" t="str">
        <f t="shared" si="525"/>
        <v>F310631650000000</v>
      </c>
      <c r="H2296" s="6" t="str">
        <f t="shared" si="526"/>
        <v>PLAR 6316 FD - 500 g</v>
      </c>
      <c r="I2296" s="6" t="str">
        <f>"202575"</f>
        <v>202575</v>
      </c>
      <c r="J2296" s="6" t="str">
        <f>"BEGE 2575"</f>
        <v>BEGE 2575</v>
      </c>
      <c r="K2296" s="6" t="str">
        <f>"1024"</f>
        <v>1024</v>
      </c>
      <c r="L2296" s="6" t="str">
        <f>"Toalhas"</f>
        <v>Toalhas</v>
      </c>
      <c r="M2296" s="6" t="str">
        <f>"50x100"</f>
        <v>50x100</v>
      </c>
      <c r="N2296" s="6" t="str">
        <f>"5602972281088"</f>
        <v>5602972281088</v>
      </c>
      <c r="O2296" s="8">
        <v>6</v>
      </c>
      <c r="R2296" s="8">
        <v>0</v>
      </c>
      <c r="U2296" s="8">
        <v>0</v>
      </c>
      <c r="X2296" s="8">
        <v>0</v>
      </c>
      <c r="Z2296" s="8">
        <v>0</v>
      </c>
      <c r="AC2296" s="8">
        <v>0</v>
      </c>
      <c r="AF2296" s="8">
        <v>0</v>
      </c>
      <c r="AN2296" s="8">
        <v>6</v>
      </c>
      <c r="AO2296" s="8">
        <v>0</v>
      </c>
    </row>
    <row r="2297" spans="1:41" x14ac:dyDescent="0.25">
      <c r="A2297" s="6" t="str">
        <f>"522-2026000238"</f>
        <v>522-2026000238</v>
      </c>
      <c r="B2297" s="6" t="str">
        <f t="shared" si="523"/>
        <v>EL CORTE</v>
      </c>
      <c r="C2297" s="7">
        <v>46037</v>
      </c>
      <c r="D2297" s="7">
        <v>46042</v>
      </c>
      <c r="E2297" s="8">
        <v>3</v>
      </c>
      <c r="F2297" s="6" t="str">
        <f>"94831401_07026"</f>
        <v>94831401_07026</v>
      </c>
      <c r="G2297" s="6" t="str">
        <f t="shared" si="525"/>
        <v>F310631650000000</v>
      </c>
      <c r="H2297" s="6" t="str">
        <f t="shared" si="526"/>
        <v>PLAR 6316 FD - 500 g</v>
      </c>
      <c r="I2297" s="6" t="str">
        <f>"202575"</f>
        <v>202575</v>
      </c>
      <c r="J2297" s="6" t="str">
        <f>"BEGE 2575"</f>
        <v>BEGE 2575</v>
      </c>
      <c r="K2297" s="6" t="str">
        <f>"2020"</f>
        <v>2020</v>
      </c>
      <c r="L2297" s="6" t="str">
        <f>"Lençóis"</f>
        <v>Lençóis</v>
      </c>
      <c r="M2297" s="6" t="str">
        <f>"100x150"</f>
        <v>100x150</v>
      </c>
      <c r="N2297" s="6" t="str">
        <f>"5602972281095"</f>
        <v>5602972281095</v>
      </c>
      <c r="O2297" s="8">
        <v>3</v>
      </c>
      <c r="R2297" s="8">
        <v>0</v>
      </c>
      <c r="U2297" s="8">
        <v>0</v>
      </c>
      <c r="X2297" s="8">
        <v>0</v>
      </c>
      <c r="Z2297" s="8">
        <v>0</v>
      </c>
      <c r="AC2297" s="8">
        <v>0</v>
      </c>
      <c r="AF2297" s="8">
        <v>0</v>
      </c>
      <c r="AN2297" s="8">
        <v>0</v>
      </c>
      <c r="AO2297" s="8">
        <v>3</v>
      </c>
    </row>
    <row r="2298" spans="1:41" x14ac:dyDescent="0.25">
      <c r="A2298" s="6" t="str">
        <f>"522-2026000238"</f>
        <v>522-2026000238</v>
      </c>
      <c r="B2298" s="6" t="str">
        <f t="shared" si="523"/>
        <v>EL CORTE</v>
      </c>
      <c r="C2298" s="7">
        <v>46037</v>
      </c>
      <c r="D2298" s="7">
        <v>46042</v>
      </c>
      <c r="E2298" s="8">
        <v>4</v>
      </c>
      <c r="F2298" s="6" t="str">
        <f>"94831401_07026"</f>
        <v>94831401_07026</v>
      </c>
      <c r="G2298" s="6" t="str">
        <f t="shared" si="525"/>
        <v>F310631650000000</v>
      </c>
      <c r="H2298" s="6" t="str">
        <f t="shared" si="526"/>
        <v>PLAR 6316 FD - 500 g</v>
      </c>
      <c r="I2298" s="6" t="str">
        <f>"200901"</f>
        <v>200901</v>
      </c>
      <c r="J2298" s="6" t="str">
        <f>"ROSA 901"</f>
        <v>ROSA 901</v>
      </c>
      <c r="K2298" s="6" t="str">
        <f>"2020"</f>
        <v>2020</v>
      </c>
      <c r="L2298" s="6" t="str">
        <f>"Lençóis"</f>
        <v>Lençóis</v>
      </c>
      <c r="M2298" s="6" t="str">
        <f>"100x150"</f>
        <v>100x150</v>
      </c>
      <c r="N2298" s="6" t="str">
        <f>"5602972281125"</f>
        <v>5602972281125</v>
      </c>
      <c r="O2298" s="8">
        <v>3</v>
      </c>
      <c r="R2298" s="8">
        <v>0</v>
      </c>
      <c r="U2298" s="8">
        <v>0</v>
      </c>
      <c r="X2298" s="8">
        <v>0</v>
      </c>
      <c r="Z2298" s="8">
        <v>0</v>
      </c>
      <c r="AC2298" s="8">
        <v>0</v>
      </c>
      <c r="AF2298" s="8">
        <v>0</v>
      </c>
      <c r="AN2298" s="8">
        <v>0</v>
      </c>
      <c r="AO2298" s="8">
        <v>3</v>
      </c>
    </row>
    <row r="2299" spans="1:41" x14ac:dyDescent="0.25">
      <c r="A2299" s="6" t="str">
        <f>"522-2026000238"</f>
        <v>522-2026000238</v>
      </c>
      <c r="B2299" s="6" t="str">
        <f t="shared" si="523"/>
        <v>EL CORTE</v>
      </c>
      <c r="C2299" s="7">
        <v>46037</v>
      </c>
      <c r="D2299" s="7">
        <v>46042</v>
      </c>
      <c r="E2299" s="8">
        <v>5</v>
      </c>
      <c r="F2299" s="6" t="str">
        <f>"94831401_07026"</f>
        <v>94831401_07026</v>
      </c>
      <c r="G2299" s="6" t="str">
        <f t="shared" si="525"/>
        <v>F310631650000000</v>
      </c>
      <c r="H2299" s="6" t="str">
        <f t="shared" si="526"/>
        <v>PLAR 6316 FD - 500 g</v>
      </c>
      <c r="I2299" s="6" t="str">
        <f>"200510"</f>
        <v>200510</v>
      </c>
      <c r="J2299" s="6" t="str">
        <f>"VERDE 510"</f>
        <v>VERDE 510</v>
      </c>
      <c r="K2299" s="6" t="str">
        <f>"2020"</f>
        <v>2020</v>
      </c>
      <c r="L2299" s="6" t="str">
        <f>"Lençóis"</f>
        <v>Lençóis</v>
      </c>
      <c r="M2299" s="6" t="str">
        <f>"100x150"</f>
        <v>100x150</v>
      </c>
      <c r="N2299" s="6" t="str">
        <f>"5602972281156"</f>
        <v>5602972281156</v>
      </c>
      <c r="O2299" s="8">
        <v>3</v>
      </c>
      <c r="R2299" s="8">
        <v>0</v>
      </c>
      <c r="U2299" s="8">
        <v>0</v>
      </c>
      <c r="X2299" s="8">
        <v>0</v>
      </c>
      <c r="Z2299" s="8">
        <v>0</v>
      </c>
      <c r="AC2299" s="8">
        <v>0</v>
      </c>
      <c r="AF2299" s="8">
        <v>0</v>
      </c>
      <c r="AN2299" s="8">
        <v>0</v>
      </c>
      <c r="AO2299" s="8">
        <v>3</v>
      </c>
    </row>
    <row r="2300" spans="1:41" x14ac:dyDescent="0.25">
      <c r="A2300" s="6" t="str">
        <f>"522-2026000239"</f>
        <v>522-2026000239</v>
      </c>
      <c r="B2300" s="6" t="str">
        <f t="shared" si="523"/>
        <v>EL CORTE</v>
      </c>
      <c r="C2300" s="7">
        <v>46037</v>
      </c>
      <c r="D2300" s="7">
        <v>46042</v>
      </c>
      <c r="E2300" s="8">
        <v>1</v>
      </c>
      <c r="F2300" s="6" t="str">
        <f>"94829701_07026"</f>
        <v>94829701_07026</v>
      </c>
      <c r="G2300" s="6" t="str">
        <f t="shared" si="525"/>
        <v>F310631650000000</v>
      </c>
      <c r="H2300" s="6" t="str">
        <f t="shared" si="526"/>
        <v>PLAR 6316 FD - 500 g</v>
      </c>
      <c r="I2300" s="6" t="str">
        <f>"202575"</f>
        <v>202575</v>
      </c>
      <c r="J2300" s="6" t="str">
        <f>"BEGE 2575"</f>
        <v>BEGE 2575</v>
      </c>
      <c r="K2300" s="6" t="str">
        <f>"1024"</f>
        <v>1024</v>
      </c>
      <c r="L2300" s="6" t="str">
        <f>"Toalhas"</f>
        <v>Toalhas</v>
      </c>
      <c r="M2300" s="6" t="str">
        <f>"50x100"</f>
        <v>50x100</v>
      </c>
      <c r="N2300" s="6" t="str">
        <f>"5602972281088"</f>
        <v>5602972281088</v>
      </c>
      <c r="O2300" s="8">
        <v>6</v>
      </c>
      <c r="R2300" s="8">
        <v>0</v>
      </c>
      <c r="U2300" s="8">
        <v>0</v>
      </c>
      <c r="X2300" s="8">
        <v>0</v>
      </c>
      <c r="Z2300" s="8">
        <v>0</v>
      </c>
      <c r="AC2300" s="8">
        <v>0</v>
      </c>
      <c r="AF2300" s="8">
        <v>0</v>
      </c>
      <c r="AN2300" s="8">
        <v>6</v>
      </c>
      <c r="AO2300" s="8">
        <v>0</v>
      </c>
    </row>
    <row r="2301" spans="1:41" x14ac:dyDescent="0.25">
      <c r="A2301" s="6" t="str">
        <f>"522-2026000239"</f>
        <v>522-2026000239</v>
      </c>
      <c r="B2301" s="6" t="str">
        <f t="shared" si="523"/>
        <v>EL CORTE</v>
      </c>
      <c r="C2301" s="7">
        <v>46037</v>
      </c>
      <c r="D2301" s="7">
        <v>46042</v>
      </c>
      <c r="E2301" s="8">
        <v>2</v>
      </c>
      <c r="F2301" s="6" t="str">
        <f>"94829701_07026"</f>
        <v>94829701_07026</v>
      </c>
      <c r="G2301" s="6" t="str">
        <f t="shared" si="525"/>
        <v>F310631650000000</v>
      </c>
      <c r="H2301" s="6" t="str">
        <f t="shared" si="526"/>
        <v>PLAR 6316 FD - 500 g</v>
      </c>
      <c r="I2301" s="6" t="str">
        <f>"202575"</f>
        <v>202575</v>
      </c>
      <c r="J2301" s="6" t="str">
        <f>"BEGE 2575"</f>
        <v>BEGE 2575</v>
      </c>
      <c r="K2301" s="6" t="str">
        <f>"2020"</f>
        <v>2020</v>
      </c>
      <c r="L2301" s="6" t="str">
        <f>"Lençóis"</f>
        <v>Lençóis</v>
      </c>
      <c r="M2301" s="6" t="str">
        <f>"100x150"</f>
        <v>100x150</v>
      </c>
      <c r="N2301" s="6" t="str">
        <f>"5602972281095"</f>
        <v>5602972281095</v>
      </c>
      <c r="O2301" s="8">
        <v>6</v>
      </c>
      <c r="R2301" s="8">
        <v>0</v>
      </c>
      <c r="U2301" s="8">
        <v>0</v>
      </c>
      <c r="X2301" s="8">
        <v>0</v>
      </c>
      <c r="Z2301" s="8">
        <v>0</v>
      </c>
      <c r="AC2301" s="8">
        <v>0</v>
      </c>
      <c r="AF2301" s="8">
        <v>0</v>
      </c>
      <c r="AN2301" s="8">
        <v>0</v>
      </c>
      <c r="AO2301" s="8">
        <v>6</v>
      </c>
    </row>
    <row r="2302" spans="1:41" x14ac:dyDescent="0.25">
      <c r="A2302" s="6" t="str">
        <f>"522-2026000239"</f>
        <v>522-2026000239</v>
      </c>
      <c r="B2302" s="6" t="str">
        <f t="shared" si="523"/>
        <v>EL CORTE</v>
      </c>
      <c r="C2302" s="7">
        <v>46037</v>
      </c>
      <c r="D2302" s="7">
        <v>46042</v>
      </c>
      <c r="E2302" s="8">
        <v>3</v>
      </c>
      <c r="F2302" s="6" t="str">
        <f>"94829701_07026"</f>
        <v>94829701_07026</v>
      </c>
      <c r="G2302" s="6" t="str">
        <f t="shared" si="525"/>
        <v>F310631650000000</v>
      </c>
      <c r="H2302" s="6" t="str">
        <f t="shared" si="526"/>
        <v>PLAR 6316 FD - 500 g</v>
      </c>
      <c r="I2302" s="6" t="str">
        <f>"200901"</f>
        <v>200901</v>
      </c>
      <c r="J2302" s="6" t="str">
        <f>"ROSA 901"</f>
        <v>ROSA 901</v>
      </c>
      <c r="K2302" s="6" t="str">
        <f>"0520"</f>
        <v>0520</v>
      </c>
      <c r="L2302" s="6" t="str">
        <f>"Toalhetes"</f>
        <v>Toalhetes</v>
      </c>
      <c r="M2302" s="6" t="str">
        <f>"30x50"</f>
        <v>30x50</v>
      </c>
      <c r="N2302" s="6" t="str">
        <f>"5602972281101"</f>
        <v>5602972281101</v>
      </c>
      <c r="O2302" s="8">
        <v>6</v>
      </c>
      <c r="R2302" s="8">
        <v>0</v>
      </c>
      <c r="U2302" s="8">
        <v>0</v>
      </c>
      <c r="X2302" s="8">
        <v>0</v>
      </c>
      <c r="Z2302" s="8">
        <v>0</v>
      </c>
      <c r="AC2302" s="8">
        <v>0</v>
      </c>
      <c r="AF2302" s="8">
        <v>0</v>
      </c>
      <c r="AN2302" s="8">
        <v>0</v>
      </c>
      <c r="AO2302" s="8">
        <v>6</v>
      </c>
    </row>
    <row r="2303" spans="1:41" x14ac:dyDescent="0.25">
      <c r="A2303" s="6" t="str">
        <f>"522-2026000239"</f>
        <v>522-2026000239</v>
      </c>
      <c r="B2303" s="6" t="str">
        <f t="shared" si="523"/>
        <v>EL CORTE</v>
      </c>
      <c r="C2303" s="7">
        <v>46037</v>
      </c>
      <c r="D2303" s="7">
        <v>46042</v>
      </c>
      <c r="E2303" s="8">
        <v>4</v>
      </c>
      <c r="F2303" s="6" t="str">
        <f>"94829701_07026"</f>
        <v>94829701_07026</v>
      </c>
      <c r="G2303" s="6" t="str">
        <f t="shared" si="525"/>
        <v>F310631650000000</v>
      </c>
      <c r="H2303" s="6" t="str">
        <f t="shared" si="526"/>
        <v>PLAR 6316 FD - 500 g</v>
      </c>
      <c r="I2303" s="6" t="str">
        <f>"200901"</f>
        <v>200901</v>
      </c>
      <c r="J2303" s="6" t="str">
        <f>"ROSA 901"</f>
        <v>ROSA 901</v>
      </c>
      <c r="K2303" s="6" t="str">
        <f>"1024"</f>
        <v>1024</v>
      </c>
      <c r="L2303" s="6" t="str">
        <f>"Toalhas"</f>
        <v>Toalhas</v>
      </c>
      <c r="M2303" s="6" t="str">
        <f>"50x100"</f>
        <v>50x100</v>
      </c>
      <c r="N2303" s="6" t="str">
        <f>"5602972281118"</f>
        <v>5602972281118</v>
      </c>
      <c r="O2303" s="8">
        <v>6</v>
      </c>
      <c r="R2303" s="8">
        <v>0</v>
      </c>
      <c r="U2303" s="8">
        <v>0</v>
      </c>
      <c r="X2303" s="8">
        <v>0</v>
      </c>
      <c r="Z2303" s="8">
        <v>0</v>
      </c>
      <c r="AC2303" s="8">
        <v>0</v>
      </c>
      <c r="AF2303" s="8">
        <v>0</v>
      </c>
      <c r="AN2303" s="8">
        <v>6</v>
      </c>
      <c r="AO2303" s="8">
        <v>0</v>
      </c>
    </row>
    <row r="2304" spans="1:41" x14ac:dyDescent="0.25">
      <c r="A2304" s="6" t="str">
        <f>"522-2026000239"</f>
        <v>522-2026000239</v>
      </c>
      <c r="B2304" s="6" t="str">
        <f t="shared" si="523"/>
        <v>EL CORTE</v>
      </c>
      <c r="C2304" s="7">
        <v>46037</v>
      </c>
      <c r="D2304" s="7">
        <v>46042</v>
      </c>
      <c r="E2304" s="8">
        <v>5</v>
      </c>
      <c r="F2304" s="6" t="str">
        <f>"94829701_07026"</f>
        <v>94829701_07026</v>
      </c>
      <c r="G2304" s="6" t="str">
        <f t="shared" si="525"/>
        <v>F310631650000000</v>
      </c>
      <c r="H2304" s="6" t="str">
        <f t="shared" si="526"/>
        <v>PLAR 6316 FD - 500 g</v>
      </c>
      <c r="I2304" s="6" t="str">
        <f>"200510"</f>
        <v>200510</v>
      </c>
      <c r="J2304" s="6" t="str">
        <f>"VERDE 510"</f>
        <v>VERDE 510</v>
      </c>
      <c r="K2304" s="6" t="str">
        <f>"1024"</f>
        <v>1024</v>
      </c>
      <c r="L2304" s="6" t="str">
        <f>"Toalhas"</f>
        <v>Toalhas</v>
      </c>
      <c r="M2304" s="6" t="str">
        <f>"50x100"</f>
        <v>50x100</v>
      </c>
      <c r="N2304" s="6" t="str">
        <f>"5602972281149"</f>
        <v>5602972281149</v>
      </c>
      <c r="O2304" s="8">
        <v>6</v>
      </c>
      <c r="R2304" s="8">
        <v>0</v>
      </c>
      <c r="U2304" s="8">
        <v>0</v>
      </c>
      <c r="X2304" s="8">
        <v>0</v>
      </c>
      <c r="Z2304" s="8">
        <v>0</v>
      </c>
      <c r="AC2304" s="8">
        <v>0</v>
      </c>
      <c r="AF2304" s="8">
        <v>0</v>
      </c>
      <c r="AN2304" s="8">
        <v>6</v>
      </c>
      <c r="AO2304" s="8">
        <v>0</v>
      </c>
    </row>
    <row r="2305" spans="1:41" x14ac:dyDescent="0.25">
      <c r="A2305" s="6" t="str">
        <f>"522-2026000240"</f>
        <v>522-2026000240</v>
      </c>
      <c r="B2305" s="6" t="str">
        <f t="shared" si="523"/>
        <v>EL CORTE</v>
      </c>
      <c r="C2305" s="7">
        <v>46037</v>
      </c>
      <c r="D2305" s="7">
        <v>46042</v>
      </c>
      <c r="E2305" s="8">
        <v>1</v>
      </c>
      <c r="F2305" s="6" t="str">
        <f>"94831501_07026"</f>
        <v>94831501_07026</v>
      </c>
      <c r="G2305" s="6" t="str">
        <f t="shared" si="525"/>
        <v>F310631650000000</v>
      </c>
      <c r="H2305" s="6" t="str">
        <f t="shared" si="526"/>
        <v>PLAR 6316 FD - 500 g</v>
      </c>
      <c r="I2305" s="6" t="str">
        <f>"200901"</f>
        <v>200901</v>
      </c>
      <c r="J2305" s="6" t="str">
        <f>"ROSA 901"</f>
        <v>ROSA 901</v>
      </c>
      <c r="K2305" s="6" t="str">
        <f>"1024"</f>
        <v>1024</v>
      </c>
      <c r="L2305" s="6" t="str">
        <f>"Toalhas"</f>
        <v>Toalhas</v>
      </c>
      <c r="M2305" s="6" t="str">
        <f>"50x100"</f>
        <v>50x100</v>
      </c>
      <c r="N2305" s="6" t="str">
        <f>"5602972281118"</f>
        <v>5602972281118</v>
      </c>
      <c r="O2305" s="8">
        <v>6</v>
      </c>
      <c r="R2305" s="8">
        <v>0</v>
      </c>
      <c r="U2305" s="8">
        <v>0</v>
      </c>
      <c r="X2305" s="8">
        <v>0</v>
      </c>
      <c r="Z2305" s="8">
        <v>0</v>
      </c>
      <c r="AC2305" s="8">
        <v>0</v>
      </c>
      <c r="AF2305" s="8">
        <v>0</v>
      </c>
      <c r="AN2305" s="8">
        <v>6</v>
      </c>
      <c r="AO2305" s="8">
        <v>0</v>
      </c>
    </row>
    <row r="2306" spans="1:41" x14ac:dyDescent="0.25">
      <c r="A2306" s="6" t="str">
        <f>"522-2026000240"</f>
        <v>522-2026000240</v>
      </c>
      <c r="B2306" s="6" t="str">
        <f t="shared" si="523"/>
        <v>EL CORTE</v>
      </c>
      <c r="C2306" s="7">
        <v>46037</v>
      </c>
      <c r="D2306" s="7">
        <v>46042</v>
      </c>
      <c r="E2306" s="8">
        <v>2</v>
      </c>
      <c r="F2306" s="6" t="str">
        <f>"94831501_07026"</f>
        <v>94831501_07026</v>
      </c>
      <c r="G2306" s="6" t="str">
        <f t="shared" si="525"/>
        <v>F310631650000000</v>
      </c>
      <c r="H2306" s="6" t="str">
        <f t="shared" si="526"/>
        <v>PLAR 6316 FD - 500 g</v>
      </c>
      <c r="I2306" s="6" t="str">
        <f>"200901"</f>
        <v>200901</v>
      </c>
      <c r="J2306" s="6" t="str">
        <f>"ROSA 901"</f>
        <v>ROSA 901</v>
      </c>
      <c r="K2306" s="6" t="str">
        <f>"2020"</f>
        <v>2020</v>
      </c>
      <c r="L2306" s="6" t="str">
        <f>"Lençóis"</f>
        <v>Lençóis</v>
      </c>
      <c r="M2306" s="6" t="str">
        <f>"100x150"</f>
        <v>100x150</v>
      </c>
      <c r="N2306" s="6" t="str">
        <f>"5602972281125"</f>
        <v>5602972281125</v>
      </c>
      <c r="O2306" s="8">
        <v>3</v>
      </c>
      <c r="R2306" s="8">
        <v>0</v>
      </c>
      <c r="U2306" s="8">
        <v>0</v>
      </c>
      <c r="X2306" s="8">
        <v>0</v>
      </c>
      <c r="Z2306" s="8">
        <v>0</v>
      </c>
      <c r="AC2306" s="8">
        <v>0</v>
      </c>
      <c r="AF2306" s="8">
        <v>0</v>
      </c>
      <c r="AN2306" s="8">
        <v>0</v>
      </c>
      <c r="AO2306" s="8">
        <v>3</v>
      </c>
    </row>
    <row r="2307" spans="1:41" x14ac:dyDescent="0.25">
      <c r="A2307" s="6" t="str">
        <f>"522-2026000240"</f>
        <v>522-2026000240</v>
      </c>
      <c r="B2307" s="6" t="str">
        <f t="shared" si="523"/>
        <v>EL CORTE</v>
      </c>
      <c r="C2307" s="7">
        <v>46037</v>
      </c>
      <c r="D2307" s="7">
        <v>46042</v>
      </c>
      <c r="E2307" s="8">
        <v>3</v>
      </c>
      <c r="F2307" s="6" t="str">
        <f>"94831501_07026"</f>
        <v>94831501_07026</v>
      </c>
      <c r="G2307" s="6" t="str">
        <f t="shared" si="525"/>
        <v>F310631650000000</v>
      </c>
      <c r="H2307" s="6" t="str">
        <f t="shared" si="526"/>
        <v>PLAR 6316 FD - 500 g</v>
      </c>
      <c r="I2307" s="6" t="str">
        <f>"200510"</f>
        <v>200510</v>
      </c>
      <c r="J2307" s="6" t="str">
        <f>"VERDE 510"</f>
        <v>VERDE 510</v>
      </c>
      <c r="K2307" s="6" t="str">
        <f>"2020"</f>
        <v>2020</v>
      </c>
      <c r="L2307" s="6" t="str">
        <f>"Lençóis"</f>
        <v>Lençóis</v>
      </c>
      <c r="M2307" s="6" t="str">
        <f>"100x150"</f>
        <v>100x150</v>
      </c>
      <c r="N2307" s="6" t="str">
        <f>"5602972281156"</f>
        <v>5602972281156</v>
      </c>
      <c r="O2307" s="8">
        <v>3</v>
      </c>
      <c r="R2307" s="8">
        <v>0</v>
      </c>
      <c r="U2307" s="8">
        <v>0</v>
      </c>
      <c r="X2307" s="8">
        <v>0</v>
      </c>
      <c r="Z2307" s="8">
        <v>0</v>
      </c>
      <c r="AC2307" s="8">
        <v>0</v>
      </c>
      <c r="AF2307" s="8">
        <v>0</v>
      </c>
      <c r="AN2307" s="8">
        <v>0</v>
      </c>
      <c r="AO2307" s="8">
        <v>3</v>
      </c>
    </row>
    <row r="2308" spans="1:41" x14ac:dyDescent="0.25">
      <c r="A2308" s="6" t="str">
        <f t="shared" ref="A2308:A2317" si="535">"522-2026000241"</f>
        <v>522-2026000241</v>
      </c>
      <c r="B2308" s="6" t="str">
        <f t="shared" si="523"/>
        <v>EL CORTE</v>
      </c>
      <c r="C2308" s="7">
        <v>46037</v>
      </c>
      <c r="D2308" s="7">
        <v>46042</v>
      </c>
      <c r="E2308" s="8">
        <v>1</v>
      </c>
      <c r="F2308" s="6" t="str">
        <f t="shared" ref="F2308:F2317" si="536">"94830301_07026"</f>
        <v>94830301_07026</v>
      </c>
      <c r="G2308" s="6" t="str">
        <f t="shared" si="525"/>
        <v>F310631650000000</v>
      </c>
      <c r="H2308" s="6" t="str">
        <f t="shared" si="526"/>
        <v>PLAR 6316 FD - 500 g</v>
      </c>
      <c r="I2308" s="6" t="str">
        <f>"201855"</f>
        <v>201855</v>
      </c>
      <c r="J2308" s="6" t="str">
        <f>"AZUL 1855"</f>
        <v>AZUL 1855</v>
      </c>
      <c r="K2308" s="6" t="str">
        <f>"1024"</f>
        <v>1024</v>
      </c>
      <c r="L2308" s="6" t="str">
        <f>"Toalhas"</f>
        <v>Toalhas</v>
      </c>
      <c r="M2308" s="6" t="str">
        <f>"50x100"</f>
        <v>50x100</v>
      </c>
      <c r="N2308" s="6" t="str">
        <f>"5602972281057"</f>
        <v>5602972281057</v>
      </c>
      <c r="O2308" s="8">
        <v>6</v>
      </c>
      <c r="R2308" s="8">
        <v>0</v>
      </c>
      <c r="U2308" s="8">
        <v>0</v>
      </c>
      <c r="X2308" s="8">
        <v>0</v>
      </c>
      <c r="Z2308" s="8">
        <v>0</v>
      </c>
      <c r="AC2308" s="8">
        <v>0</v>
      </c>
      <c r="AF2308" s="8">
        <v>0</v>
      </c>
      <c r="AN2308" s="8">
        <v>6</v>
      </c>
      <c r="AO2308" s="8">
        <v>0</v>
      </c>
    </row>
    <row r="2309" spans="1:41" x14ac:dyDescent="0.25">
      <c r="A2309" s="6" t="str">
        <f t="shared" si="535"/>
        <v>522-2026000241</v>
      </c>
      <c r="B2309" s="6" t="str">
        <f t="shared" si="523"/>
        <v>EL CORTE</v>
      </c>
      <c r="C2309" s="7">
        <v>46037</v>
      </c>
      <c r="D2309" s="7">
        <v>46042</v>
      </c>
      <c r="E2309" s="8">
        <v>2</v>
      </c>
      <c r="F2309" s="6" t="str">
        <f t="shared" si="536"/>
        <v>94830301_07026</v>
      </c>
      <c r="G2309" s="6" t="str">
        <f t="shared" si="525"/>
        <v>F310631650000000</v>
      </c>
      <c r="H2309" s="6" t="str">
        <f t="shared" si="526"/>
        <v>PLAR 6316 FD - 500 g</v>
      </c>
      <c r="I2309" s="6" t="str">
        <f>"201855"</f>
        <v>201855</v>
      </c>
      <c r="J2309" s="6" t="str">
        <f>"AZUL 1855"</f>
        <v>AZUL 1855</v>
      </c>
      <c r="K2309" s="6" t="str">
        <f>"2020"</f>
        <v>2020</v>
      </c>
      <c r="L2309" s="6" t="str">
        <f>"Lençóis"</f>
        <v>Lençóis</v>
      </c>
      <c r="M2309" s="6" t="str">
        <f>"100x150"</f>
        <v>100x150</v>
      </c>
      <c r="N2309" s="6" t="str">
        <f>"5602972281064"</f>
        <v>5602972281064</v>
      </c>
      <c r="O2309" s="8">
        <v>3</v>
      </c>
      <c r="R2309" s="8">
        <v>0</v>
      </c>
      <c r="U2309" s="8">
        <v>0</v>
      </c>
      <c r="X2309" s="8">
        <v>0</v>
      </c>
      <c r="Z2309" s="8">
        <v>0</v>
      </c>
      <c r="AC2309" s="8">
        <v>0</v>
      </c>
      <c r="AF2309" s="8">
        <v>0</v>
      </c>
      <c r="AN2309" s="8">
        <v>0</v>
      </c>
      <c r="AO2309" s="8">
        <v>3</v>
      </c>
    </row>
    <row r="2310" spans="1:41" x14ac:dyDescent="0.25">
      <c r="A2310" s="6" t="str">
        <f t="shared" si="535"/>
        <v>522-2026000241</v>
      </c>
      <c r="B2310" s="6" t="str">
        <f t="shared" si="523"/>
        <v>EL CORTE</v>
      </c>
      <c r="C2310" s="7">
        <v>46037</v>
      </c>
      <c r="D2310" s="7">
        <v>46042</v>
      </c>
      <c r="E2310" s="8">
        <v>3</v>
      </c>
      <c r="F2310" s="6" t="str">
        <f t="shared" si="536"/>
        <v>94830301_07026</v>
      </c>
      <c r="G2310" s="6" t="str">
        <f t="shared" si="525"/>
        <v>F310631650000000</v>
      </c>
      <c r="H2310" s="6" t="str">
        <f t="shared" si="526"/>
        <v>PLAR 6316 FD - 500 g</v>
      </c>
      <c r="I2310" s="6" t="str">
        <f>"202575"</f>
        <v>202575</v>
      </c>
      <c r="J2310" s="6" t="str">
        <f>"BEGE 2575"</f>
        <v>BEGE 2575</v>
      </c>
      <c r="K2310" s="6" t="str">
        <f>"0520"</f>
        <v>0520</v>
      </c>
      <c r="L2310" s="6" t="str">
        <f>"Toalhetes"</f>
        <v>Toalhetes</v>
      </c>
      <c r="M2310" s="6" t="str">
        <f>"30x50"</f>
        <v>30x50</v>
      </c>
      <c r="N2310" s="6" t="str">
        <f>"5602972281071"</f>
        <v>5602972281071</v>
      </c>
      <c r="O2310" s="8">
        <v>6</v>
      </c>
      <c r="R2310" s="8">
        <v>0</v>
      </c>
      <c r="U2310" s="8">
        <v>0</v>
      </c>
      <c r="X2310" s="8">
        <v>0</v>
      </c>
      <c r="Z2310" s="8">
        <v>0</v>
      </c>
      <c r="AC2310" s="8">
        <v>0</v>
      </c>
      <c r="AF2310" s="8">
        <v>0</v>
      </c>
      <c r="AN2310" s="8">
        <v>6</v>
      </c>
      <c r="AO2310" s="8">
        <v>0</v>
      </c>
    </row>
    <row r="2311" spans="1:41" x14ac:dyDescent="0.25">
      <c r="A2311" s="6" t="str">
        <f t="shared" si="535"/>
        <v>522-2026000241</v>
      </c>
      <c r="B2311" s="6" t="str">
        <f t="shared" ref="B2311:B2374" si="537">"EL CORTE"</f>
        <v>EL CORTE</v>
      </c>
      <c r="C2311" s="7">
        <v>46037</v>
      </c>
      <c r="D2311" s="7">
        <v>46042</v>
      </c>
      <c r="E2311" s="8">
        <v>4</v>
      </c>
      <c r="F2311" s="6" t="str">
        <f t="shared" si="536"/>
        <v>94830301_07026</v>
      </c>
      <c r="G2311" s="6" t="str">
        <f t="shared" ref="G2311:G2374" si="538">"F310631650000000"</f>
        <v>F310631650000000</v>
      </c>
      <c r="H2311" s="6" t="str">
        <f t="shared" ref="H2311:H2374" si="539">"PLAR 6316 FD - 500 g"</f>
        <v>PLAR 6316 FD - 500 g</v>
      </c>
      <c r="I2311" s="6" t="str">
        <f>"202575"</f>
        <v>202575</v>
      </c>
      <c r="J2311" s="6" t="str">
        <f>"BEGE 2575"</f>
        <v>BEGE 2575</v>
      </c>
      <c r="K2311" s="6" t="str">
        <f>"1024"</f>
        <v>1024</v>
      </c>
      <c r="L2311" s="6" t="str">
        <f>"Toalhas"</f>
        <v>Toalhas</v>
      </c>
      <c r="M2311" s="6" t="str">
        <f>"50x100"</f>
        <v>50x100</v>
      </c>
      <c r="N2311" s="6" t="str">
        <f>"5602972281088"</f>
        <v>5602972281088</v>
      </c>
      <c r="O2311" s="8">
        <v>6</v>
      </c>
      <c r="R2311" s="8">
        <v>0</v>
      </c>
      <c r="U2311" s="8">
        <v>0</v>
      </c>
      <c r="X2311" s="8">
        <v>0</v>
      </c>
      <c r="Z2311" s="8">
        <v>0</v>
      </c>
      <c r="AC2311" s="8">
        <v>0</v>
      </c>
      <c r="AF2311" s="8">
        <v>0</v>
      </c>
      <c r="AN2311" s="8">
        <v>6</v>
      </c>
      <c r="AO2311" s="8">
        <v>0</v>
      </c>
    </row>
    <row r="2312" spans="1:41" x14ac:dyDescent="0.25">
      <c r="A2312" s="6" t="str">
        <f t="shared" si="535"/>
        <v>522-2026000241</v>
      </c>
      <c r="B2312" s="6" t="str">
        <f t="shared" si="537"/>
        <v>EL CORTE</v>
      </c>
      <c r="C2312" s="7">
        <v>46037</v>
      </c>
      <c r="D2312" s="7">
        <v>46042</v>
      </c>
      <c r="E2312" s="8">
        <v>5</v>
      </c>
      <c r="F2312" s="6" t="str">
        <f t="shared" si="536"/>
        <v>94830301_07026</v>
      </c>
      <c r="G2312" s="6" t="str">
        <f t="shared" si="538"/>
        <v>F310631650000000</v>
      </c>
      <c r="H2312" s="6" t="str">
        <f t="shared" si="539"/>
        <v>PLAR 6316 FD - 500 g</v>
      </c>
      <c r="I2312" s="6" t="str">
        <f>"202575"</f>
        <v>202575</v>
      </c>
      <c r="J2312" s="6" t="str">
        <f>"BEGE 2575"</f>
        <v>BEGE 2575</v>
      </c>
      <c r="K2312" s="6" t="str">
        <f>"2020"</f>
        <v>2020</v>
      </c>
      <c r="L2312" s="6" t="str">
        <f>"Lençóis"</f>
        <v>Lençóis</v>
      </c>
      <c r="M2312" s="6" t="str">
        <f>"100x150"</f>
        <v>100x150</v>
      </c>
      <c r="N2312" s="6" t="str">
        <f>"5602972281095"</f>
        <v>5602972281095</v>
      </c>
      <c r="O2312" s="8">
        <v>6</v>
      </c>
      <c r="R2312" s="8">
        <v>0</v>
      </c>
      <c r="U2312" s="8">
        <v>0</v>
      </c>
      <c r="X2312" s="8">
        <v>0</v>
      </c>
      <c r="Z2312" s="8">
        <v>0</v>
      </c>
      <c r="AC2312" s="8">
        <v>0</v>
      </c>
      <c r="AF2312" s="8">
        <v>0</v>
      </c>
      <c r="AN2312" s="8">
        <v>0</v>
      </c>
      <c r="AO2312" s="8">
        <v>6</v>
      </c>
    </row>
    <row r="2313" spans="1:41" x14ac:dyDescent="0.25">
      <c r="A2313" s="6" t="str">
        <f t="shared" si="535"/>
        <v>522-2026000241</v>
      </c>
      <c r="B2313" s="6" t="str">
        <f t="shared" si="537"/>
        <v>EL CORTE</v>
      </c>
      <c r="C2313" s="7">
        <v>46037</v>
      </c>
      <c r="D2313" s="7">
        <v>46042</v>
      </c>
      <c r="E2313" s="8">
        <v>6</v>
      </c>
      <c r="F2313" s="6" t="str">
        <f t="shared" si="536"/>
        <v>94830301_07026</v>
      </c>
      <c r="G2313" s="6" t="str">
        <f t="shared" si="538"/>
        <v>F310631650000000</v>
      </c>
      <c r="H2313" s="6" t="str">
        <f t="shared" si="539"/>
        <v>PLAR 6316 FD - 500 g</v>
      </c>
      <c r="I2313" s="6" t="str">
        <f>"200901"</f>
        <v>200901</v>
      </c>
      <c r="J2313" s="6" t="str">
        <f>"ROSA 901"</f>
        <v>ROSA 901</v>
      </c>
      <c r="K2313" s="6" t="str">
        <f>"0520"</f>
        <v>0520</v>
      </c>
      <c r="L2313" s="6" t="str">
        <f>"Toalhetes"</f>
        <v>Toalhetes</v>
      </c>
      <c r="M2313" s="6" t="str">
        <f>"30x50"</f>
        <v>30x50</v>
      </c>
      <c r="N2313" s="6" t="str">
        <f>"5602972281101"</f>
        <v>5602972281101</v>
      </c>
      <c r="O2313" s="8">
        <v>6</v>
      </c>
      <c r="R2313" s="8">
        <v>0</v>
      </c>
      <c r="U2313" s="8">
        <v>0</v>
      </c>
      <c r="X2313" s="8">
        <v>0</v>
      </c>
      <c r="Z2313" s="8">
        <v>0</v>
      </c>
      <c r="AC2313" s="8">
        <v>0</v>
      </c>
      <c r="AF2313" s="8">
        <v>0</v>
      </c>
      <c r="AN2313" s="8">
        <v>0</v>
      </c>
      <c r="AO2313" s="8">
        <v>6</v>
      </c>
    </row>
    <row r="2314" spans="1:41" x14ac:dyDescent="0.25">
      <c r="A2314" s="6" t="str">
        <f t="shared" si="535"/>
        <v>522-2026000241</v>
      </c>
      <c r="B2314" s="6" t="str">
        <f t="shared" si="537"/>
        <v>EL CORTE</v>
      </c>
      <c r="C2314" s="7">
        <v>46037</v>
      </c>
      <c r="D2314" s="7">
        <v>46042</v>
      </c>
      <c r="E2314" s="8">
        <v>7</v>
      </c>
      <c r="F2314" s="6" t="str">
        <f t="shared" si="536"/>
        <v>94830301_07026</v>
      </c>
      <c r="G2314" s="6" t="str">
        <f t="shared" si="538"/>
        <v>F310631650000000</v>
      </c>
      <c r="H2314" s="6" t="str">
        <f t="shared" si="539"/>
        <v>PLAR 6316 FD - 500 g</v>
      </c>
      <c r="I2314" s="6" t="str">
        <f>"200901"</f>
        <v>200901</v>
      </c>
      <c r="J2314" s="6" t="str">
        <f>"ROSA 901"</f>
        <v>ROSA 901</v>
      </c>
      <c r="K2314" s="6" t="str">
        <f>"1024"</f>
        <v>1024</v>
      </c>
      <c r="L2314" s="6" t="str">
        <f>"Toalhas"</f>
        <v>Toalhas</v>
      </c>
      <c r="M2314" s="6" t="str">
        <f>"50x100"</f>
        <v>50x100</v>
      </c>
      <c r="N2314" s="6" t="str">
        <f>"5602972281118"</f>
        <v>5602972281118</v>
      </c>
      <c r="O2314" s="8">
        <v>6</v>
      </c>
      <c r="R2314" s="8">
        <v>0</v>
      </c>
      <c r="U2314" s="8">
        <v>0</v>
      </c>
      <c r="X2314" s="8">
        <v>0</v>
      </c>
      <c r="Z2314" s="8">
        <v>0</v>
      </c>
      <c r="AC2314" s="8">
        <v>0</v>
      </c>
      <c r="AF2314" s="8">
        <v>0</v>
      </c>
      <c r="AN2314" s="8">
        <v>6</v>
      </c>
      <c r="AO2314" s="8">
        <v>0</v>
      </c>
    </row>
    <row r="2315" spans="1:41" x14ac:dyDescent="0.25">
      <c r="A2315" s="6" t="str">
        <f t="shared" si="535"/>
        <v>522-2026000241</v>
      </c>
      <c r="B2315" s="6" t="str">
        <f t="shared" si="537"/>
        <v>EL CORTE</v>
      </c>
      <c r="C2315" s="7">
        <v>46037</v>
      </c>
      <c r="D2315" s="7">
        <v>46042</v>
      </c>
      <c r="E2315" s="8">
        <v>8</v>
      </c>
      <c r="F2315" s="6" t="str">
        <f t="shared" si="536"/>
        <v>94830301_07026</v>
      </c>
      <c r="G2315" s="6" t="str">
        <f t="shared" si="538"/>
        <v>F310631650000000</v>
      </c>
      <c r="H2315" s="6" t="str">
        <f t="shared" si="539"/>
        <v>PLAR 6316 FD - 500 g</v>
      </c>
      <c r="I2315" s="6" t="str">
        <f>"200901"</f>
        <v>200901</v>
      </c>
      <c r="J2315" s="6" t="str">
        <f>"ROSA 901"</f>
        <v>ROSA 901</v>
      </c>
      <c r="K2315" s="6" t="str">
        <f>"2020"</f>
        <v>2020</v>
      </c>
      <c r="L2315" s="6" t="str">
        <f>"Lençóis"</f>
        <v>Lençóis</v>
      </c>
      <c r="M2315" s="6" t="str">
        <f>"100x150"</f>
        <v>100x150</v>
      </c>
      <c r="N2315" s="6" t="str">
        <f>"5602972281125"</f>
        <v>5602972281125</v>
      </c>
      <c r="O2315" s="8">
        <v>9</v>
      </c>
      <c r="R2315" s="8">
        <v>0</v>
      </c>
      <c r="U2315" s="8">
        <v>0</v>
      </c>
      <c r="X2315" s="8">
        <v>0</v>
      </c>
      <c r="Z2315" s="8">
        <v>0</v>
      </c>
      <c r="AC2315" s="8">
        <v>0</v>
      </c>
      <c r="AF2315" s="8">
        <v>0</v>
      </c>
      <c r="AN2315" s="8">
        <v>0</v>
      </c>
      <c r="AO2315" s="8">
        <v>9</v>
      </c>
    </row>
    <row r="2316" spans="1:41" x14ac:dyDescent="0.25">
      <c r="A2316" s="6" t="str">
        <f t="shared" si="535"/>
        <v>522-2026000241</v>
      </c>
      <c r="B2316" s="6" t="str">
        <f t="shared" si="537"/>
        <v>EL CORTE</v>
      </c>
      <c r="C2316" s="7">
        <v>46037</v>
      </c>
      <c r="D2316" s="7">
        <v>46042</v>
      </c>
      <c r="E2316" s="8">
        <v>9</v>
      </c>
      <c r="F2316" s="6" t="str">
        <f t="shared" si="536"/>
        <v>94830301_07026</v>
      </c>
      <c r="G2316" s="6" t="str">
        <f t="shared" si="538"/>
        <v>F310631650000000</v>
      </c>
      <c r="H2316" s="6" t="str">
        <f t="shared" si="539"/>
        <v>PLAR 6316 FD - 500 g</v>
      </c>
      <c r="I2316" s="6" t="str">
        <f>"200510"</f>
        <v>200510</v>
      </c>
      <c r="J2316" s="6" t="str">
        <f>"VERDE 510"</f>
        <v>VERDE 510</v>
      </c>
      <c r="K2316" s="6" t="str">
        <f>"1024"</f>
        <v>1024</v>
      </c>
      <c r="L2316" s="6" t="str">
        <f>"Toalhas"</f>
        <v>Toalhas</v>
      </c>
      <c r="M2316" s="6" t="str">
        <f>"50x100"</f>
        <v>50x100</v>
      </c>
      <c r="N2316" s="6" t="str">
        <f>"5602972281149"</f>
        <v>5602972281149</v>
      </c>
      <c r="O2316" s="8">
        <v>12</v>
      </c>
      <c r="R2316" s="8">
        <v>0</v>
      </c>
      <c r="U2316" s="8">
        <v>0</v>
      </c>
      <c r="X2316" s="8">
        <v>0</v>
      </c>
      <c r="Z2316" s="8">
        <v>0</v>
      </c>
      <c r="AC2316" s="8">
        <v>0</v>
      </c>
      <c r="AF2316" s="8">
        <v>0</v>
      </c>
      <c r="AN2316" s="8">
        <v>12</v>
      </c>
      <c r="AO2316" s="8">
        <v>0</v>
      </c>
    </row>
    <row r="2317" spans="1:41" x14ac:dyDescent="0.25">
      <c r="A2317" s="6" t="str">
        <f t="shared" si="535"/>
        <v>522-2026000241</v>
      </c>
      <c r="B2317" s="6" t="str">
        <f t="shared" si="537"/>
        <v>EL CORTE</v>
      </c>
      <c r="C2317" s="7">
        <v>46037</v>
      </c>
      <c r="D2317" s="7">
        <v>46042</v>
      </c>
      <c r="E2317" s="8">
        <v>10</v>
      </c>
      <c r="F2317" s="6" t="str">
        <f t="shared" si="536"/>
        <v>94830301_07026</v>
      </c>
      <c r="G2317" s="6" t="str">
        <f t="shared" si="538"/>
        <v>F310631650000000</v>
      </c>
      <c r="H2317" s="6" t="str">
        <f t="shared" si="539"/>
        <v>PLAR 6316 FD - 500 g</v>
      </c>
      <c r="I2317" s="6" t="str">
        <f>"200510"</f>
        <v>200510</v>
      </c>
      <c r="J2317" s="6" t="str">
        <f>"VERDE 510"</f>
        <v>VERDE 510</v>
      </c>
      <c r="K2317" s="6" t="str">
        <f>"2020"</f>
        <v>2020</v>
      </c>
      <c r="L2317" s="6" t="str">
        <f>"Lençóis"</f>
        <v>Lençóis</v>
      </c>
      <c r="M2317" s="6" t="str">
        <f>"100x150"</f>
        <v>100x150</v>
      </c>
      <c r="N2317" s="6" t="str">
        <f>"5602972281156"</f>
        <v>5602972281156</v>
      </c>
      <c r="O2317" s="8">
        <v>6</v>
      </c>
      <c r="R2317" s="8">
        <v>0</v>
      </c>
      <c r="U2317" s="8">
        <v>0</v>
      </c>
      <c r="X2317" s="8">
        <v>0</v>
      </c>
      <c r="Z2317" s="8">
        <v>0</v>
      </c>
      <c r="AC2317" s="8">
        <v>0</v>
      </c>
      <c r="AF2317" s="8">
        <v>0</v>
      </c>
      <c r="AN2317" s="8">
        <v>0</v>
      </c>
      <c r="AO2317" s="8">
        <v>6</v>
      </c>
    </row>
    <row r="2318" spans="1:41" x14ac:dyDescent="0.25">
      <c r="A2318" s="6" t="str">
        <f t="shared" ref="A2318:A2325" si="540">"522-2026000242"</f>
        <v>522-2026000242</v>
      </c>
      <c r="B2318" s="6" t="str">
        <f t="shared" si="537"/>
        <v>EL CORTE</v>
      </c>
      <c r="C2318" s="7">
        <v>46037</v>
      </c>
      <c r="D2318" s="7">
        <v>46042</v>
      </c>
      <c r="E2318" s="8">
        <v>1</v>
      </c>
      <c r="F2318" s="6" t="str">
        <f t="shared" ref="F2318:F2325" si="541">"94830701_07026"</f>
        <v>94830701_07026</v>
      </c>
      <c r="G2318" s="6" t="str">
        <f t="shared" si="538"/>
        <v>F310631650000000</v>
      </c>
      <c r="H2318" s="6" t="str">
        <f t="shared" si="539"/>
        <v>PLAR 6316 FD - 500 g</v>
      </c>
      <c r="I2318" s="6" t="str">
        <f>"201855"</f>
        <v>201855</v>
      </c>
      <c r="J2318" s="6" t="str">
        <f>"AZUL 1855"</f>
        <v>AZUL 1855</v>
      </c>
      <c r="K2318" s="6" t="str">
        <f>"1024"</f>
        <v>1024</v>
      </c>
      <c r="L2318" s="6" t="str">
        <f>"Toalhas"</f>
        <v>Toalhas</v>
      </c>
      <c r="M2318" s="6" t="str">
        <f>"50x100"</f>
        <v>50x100</v>
      </c>
      <c r="N2318" s="6" t="str">
        <f>"5602972281057"</f>
        <v>5602972281057</v>
      </c>
      <c r="O2318" s="8">
        <v>6</v>
      </c>
      <c r="R2318" s="8">
        <v>0</v>
      </c>
      <c r="U2318" s="8">
        <v>0</v>
      </c>
      <c r="X2318" s="8">
        <v>0</v>
      </c>
      <c r="Z2318" s="8">
        <v>0</v>
      </c>
      <c r="AC2318" s="8">
        <v>0</v>
      </c>
      <c r="AF2318" s="8">
        <v>0</v>
      </c>
      <c r="AN2318" s="8">
        <v>6</v>
      </c>
      <c r="AO2318" s="8">
        <v>0</v>
      </c>
    </row>
    <row r="2319" spans="1:41" x14ac:dyDescent="0.25">
      <c r="A2319" s="6" t="str">
        <f t="shared" si="540"/>
        <v>522-2026000242</v>
      </c>
      <c r="B2319" s="6" t="str">
        <f t="shared" si="537"/>
        <v>EL CORTE</v>
      </c>
      <c r="C2319" s="7">
        <v>46037</v>
      </c>
      <c r="D2319" s="7">
        <v>46042</v>
      </c>
      <c r="E2319" s="8">
        <v>2</v>
      </c>
      <c r="F2319" s="6" t="str">
        <f t="shared" si="541"/>
        <v>94830701_07026</v>
      </c>
      <c r="G2319" s="6" t="str">
        <f t="shared" si="538"/>
        <v>F310631650000000</v>
      </c>
      <c r="H2319" s="6" t="str">
        <f t="shared" si="539"/>
        <v>PLAR 6316 FD - 500 g</v>
      </c>
      <c r="I2319" s="6" t="str">
        <f>"201855"</f>
        <v>201855</v>
      </c>
      <c r="J2319" s="6" t="str">
        <f>"AZUL 1855"</f>
        <v>AZUL 1855</v>
      </c>
      <c r="K2319" s="6" t="str">
        <f>"2020"</f>
        <v>2020</v>
      </c>
      <c r="L2319" s="6" t="str">
        <f>"Lençóis"</f>
        <v>Lençóis</v>
      </c>
      <c r="M2319" s="6" t="str">
        <f>"100x150"</f>
        <v>100x150</v>
      </c>
      <c r="N2319" s="6" t="str">
        <f>"5602972281064"</f>
        <v>5602972281064</v>
      </c>
      <c r="O2319" s="8">
        <v>3</v>
      </c>
      <c r="R2319" s="8">
        <v>0</v>
      </c>
      <c r="U2319" s="8">
        <v>0</v>
      </c>
      <c r="X2319" s="8">
        <v>0</v>
      </c>
      <c r="Z2319" s="8">
        <v>0</v>
      </c>
      <c r="AC2319" s="8">
        <v>0</v>
      </c>
      <c r="AF2319" s="8">
        <v>0</v>
      </c>
      <c r="AN2319" s="8">
        <v>0</v>
      </c>
      <c r="AO2319" s="8">
        <v>3</v>
      </c>
    </row>
    <row r="2320" spans="1:41" x14ac:dyDescent="0.25">
      <c r="A2320" s="6" t="str">
        <f t="shared" si="540"/>
        <v>522-2026000242</v>
      </c>
      <c r="B2320" s="6" t="str">
        <f t="shared" si="537"/>
        <v>EL CORTE</v>
      </c>
      <c r="C2320" s="7">
        <v>46037</v>
      </c>
      <c r="D2320" s="7">
        <v>46042</v>
      </c>
      <c r="E2320" s="8">
        <v>3</v>
      </c>
      <c r="F2320" s="6" t="str">
        <f t="shared" si="541"/>
        <v>94830701_07026</v>
      </c>
      <c r="G2320" s="6" t="str">
        <f t="shared" si="538"/>
        <v>F310631650000000</v>
      </c>
      <c r="H2320" s="6" t="str">
        <f t="shared" si="539"/>
        <v>PLAR 6316 FD - 500 g</v>
      </c>
      <c r="I2320" s="6" t="str">
        <f>"202575"</f>
        <v>202575</v>
      </c>
      <c r="J2320" s="6" t="str">
        <f>"BEGE 2575"</f>
        <v>BEGE 2575</v>
      </c>
      <c r="K2320" s="6" t="str">
        <f>"1024"</f>
        <v>1024</v>
      </c>
      <c r="L2320" s="6" t="str">
        <f>"Toalhas"</f>
        <v>Toalhas</v>
      </c>
      <c r="M2320" s="6" t="str">
        <f>"50x100"</f>
        <v>50x100</v>
      </c>
      <c r="N2320" s="6" t="str">
        <f>"5602972281088"</f>
        <v>5602972281088</v>
      </c>
      <c r="O2320" s="8">
        <v>6</v>
      </c>
      <c r="R2320" s="8">
        <v>0</v>
      </c>
      <c r="U2320" s="8">
        <v>0</v>
      </c>
      <c r="X2320" s="8">
        <v>0</v>
      </c>
      <c r="Z2320" s="8">
        <v>0</v>
      </c>
      <c r="AC2320" s="8">
        <v>0</v>
      </c>
      <c r="AF2320" s="8">
        <v>0</v>
      </c>
      <c r="AN2320" s="8">
        <v>6</v>
      </c>
      <c r="AO2320" s="8">
        <v>0</v>
      </c>
    </row>
    <row r="2321" spans="1:41" x14ac:dyDescent="0.25">
      <c r="A2321" s="6" t="str">
        <f t="shared" si="540"/>
        <v>522-2026000242</v>
      </c>
      <c r="B2321" s="6" t="str">
        <f t="shared" si="537"/>
        <v>EL CORTE</v>
      </c>
      <c r="C2321" s="7">
        <v>46037</v>
      </c>
      <c r="D2321" s="7">
        <v>46042</v>
      </c>
      <c r="E2321" s="8">
        <v>4</v>
      </c>
      <c r="F2321" s="6" t="str">
        <f t="shared" si="541"/>
        <v>94830701_07026</v>
      </c>
      <c r="G2321" s="6" t="str">
        <f t="shared" si="538"/>
        <v>F310631650000000</v>
      </c>
      <c r="H2321" s="6" t="str">
        <f t="shared" si="539"/>
        <v>PLAR 6316 FD - 500 g</v>
      </c>
      <c r="I2321" s="6" t="str">
        <f>"202575"</f>
        <v>202575</v>
      </c>
      <c r="J2321" s="6" t="str">
        <f>"BEGE 2575"</f>
        <v>BEGE 2575</v>
      </c>
      <c r="K2321" s="6" t="str">
        <f>"2020"</f>
        <v>2020</v>
      </c>
      <c r="L2321" s="6" t="str">
        <f>"Lençóis"</f>
        <v>Lençóis</v>
      </c>
      <c r="M2321" s="6" t="str">
        <f>"100x150"</f>
        <v>100x150</v>
      </c>
      <c r="N2321" s="6" t="str">
        <f>"5602972281095"</f>
        <v>5602972281095</v>
      </c>
      <c r="O2321" s="8">
        <v>6</v>
      </c>
      <c r="R2321" s="8">
        <v>0</v>
      </c>
      <c r="U2321" s="8">
        <v>0</v>
      </c>
      <c r="X2321" s="8">
        <v>0</v>
      </c>
      <c r="Z2321" s="8">
        <v>0</v>
      </c>
      <c r="AC2321" s="8">
        <v>0</v>
      </c>
      <c r="AF2321" s="8">
        <v>0</v>
      </c>
      <c r="AN2321" s="8">
        <v>0</v>
      </c>
      <c r="AO2321" s="8">
        <v>6</v>
      </c>
    </row>
    <row r="2322" spans="1:41" x14ac:dyDescent="0.25">
      <c r="A2322" s="6" t="str">
        <f t="shared" si="540"/>
        <v>522-2026000242</v>
      </c>
      <c r="B2322" s="6" t="str">
        <f t="shared" si="537"/>
        <v>EL CORTE</v>
      </c>
      <c r="C2322" s="7">
        <v>46037</v>
      </c>
      <c r="D2322" s="7">
        <v>46042</v>
      </c>
      <c r="E2322" s="8">
        <v>5</v>
      </c>
      <c r="F2322" s="6" t="str">
        <f t="shared" si="541"/>
        <v>94830701_07026</v>
      </c>
      <c r="G2322" s="6" t="str">
        <f t="shared" si="538"/>
        <v>F310631650000000</v>
      </c>
      <c r="H2322" s="6" t="str">
        <f t="shared" si="539"/>
        <v>PLAR 6316 FD - 500 g</v>
      </c>
      <c r="I2322" s="6" t="str">
        <f>"200901"</f>
        <v>200901</v>
      </c>
      <c r="J2322" s="6" t="str">
        <f>"ROSA 901"</f>
        <v>ROSA 901</v>
      </c>
      <c r="K2322" s="6" t="str">
        <f>"1024"</f>
        <v>1024</v>
      </c>
      <c r="L2322" s="6" t="str">
        <f>"Toalhas"</f>
        <v>Toalhas</v>
      </c>
      <c r="M2322" s="6" t="str">
        <f>"50x100"</f>
        <v>50x100</v>
      </c>
      <c r="N2322" s="6" t="str">
        <f>"5602972281118"</f>
        <v>5602972281118</v>
      </c>
      <c r="O2322" s="8">
        <v>6</v>
      </c>
      <c r="R2322" s="8">
        <v>0</v>
      </c>
      <c r="U2322" s="8">
        <v>0</v>
      </c>
      <c r="X2322" s="8">
        <v>0</v>
      </c>
      <c r="Z2322" s="8">
        <v>0</v>
      </c>
      <c r="AC2322" s="8">
        <v>0</v>
      </c>
      <c r="AF2322" s="8">
        <v>0</v>
      </c>
      <c r="AN2322" s="8">
        <v>6</v>
      </c>
      <c r="AO2322" s="8">
        <v>0</v>
      </c>
    </row>
    <row r="2323" spans="1:41" x14ac:dyDescent="0.25">
      <c r="A2323" s="6" t="str">
        <f t="shared" si="540"/>
        <v>522-2026000242</v>
      </c>
      <c r="B2323" s="6" t="str">
        <f t="shared" si="537"/>
        <v>EL CORTE</v>
      </c>
      <c r="C2323" s="7">
        <v>46037</v>
      </c>
      <c r="D2323" s="7">
        <v>46042</v>
      </c>
      <c r="E2323" s="8">
        <v>6</v>
      </c>
      <c r="F2323" s="6" t="str">
        <f t="shared" si="541"/>
        <v>94830701_07026</v>
      </c>
      <c r="G2323" s="6" t="str">
        <f t="shared" si="538"/>
        <v>F310631650000000</v>
      </c>
      <c r="H2323" s="6" t="str">
        <f t="shared" si="539"/>
        <v>PLAR 6316 FD - 500 g</v>
      </c>
      <c r="I2323" s="6" t="str">
        <f>"200901"</f>
        <v>200901</v>
      </c>
      <c r="J2323" s="6" t="str">
        <f>"ROSA 901"</f>
        <v>ROSA 901</v>
      </c>
      <c r="K2323" s="6" t="str">
        <f>"2020"</f>
        <v>2020</v>
      </c>
      <c r="L2323" s="6" t="str">
        <f>"Lençóis"</f>
        <v>Lençóis</v>
      </c>
      <c r="M2323" s="6" t="str">
        <f>"100x150"</f>
        <v>100x150</v>
      </c>
      <c r="N2323" s="6" t="str">
        <f>"5602972281125"</f>
        <v>5602972281125</v>
      </c>
      <c r="O2323" s="8">
        <v>3</v>
      </c>
      <c r="R2323" s="8">
        <v>0</v>
      </c>
      <c r="U2323" s="8">
        <v>0</v>
      </c>
      <c r="X2323" s="8">
        <v>0</v>
      </c>
      <c r="Z2323" s="8">
        <v>0</v>
      </c>
      <c r="AC2323" s="8">
        <v>0</v>
      </c>
      <c r="AF2323" s="8">
        <v>0</v>
      </c>
      <c r="AN2323" s="8">
        <v>0</v>
      </c>
      <c r="AO2323" s="8">
        <v>3</v>
      </c>
    </row>
    <row r="2324" spans="1:41" x14ac:dyDescent="0.25">
      <c r="A2324" s="6" t="str">
        <f t="shared" si="540"/>
        <v>522-2026000242</v>
      </c>
      <c r="B2324" s="6" t="str">
        <f t="shared" si="537"/>
        <v>EL CORTE</v>
      </c>
      <c r="C2324" s="7">
        <v>46037</v>
      </c>
      <c r="D2324" s="7">
        <v>46042</v>
      </c>
      <c r="E2324" s="8">
        <v>7</v>
      </c>
      <c r="F2324" s="6" t="str">
        <f t="shared" si="541"/>
        <v>94830701_07026</v>
      </c>
      <c r="G2324" s="6" t="str">
        <f t="shared" si="538"/>
        <v>F310631650000000</v>
      </c>
      <c r="H2324" s="6" t="str">
        <f t="shared" si="539"/>
        <v>PLAR 6316 FD - 500 g</v>
      </c>
      <c r="I2324" s="6" t="str">
        <f>"200510"</f>
        <v>200510</v>
      </c>
      <c r="J2324" s="6" t="str">
        <f>"VERDE 510"</f>
        <v>VERDE 510</v>
      </c>
      <c r="K2324" s="6" t="str">
        <f>"1024"</f>
        <v>1024</v>
      </c>
      <c r="L2324" s="6" t="str">
        <f>"Toalhas"</f>
        <v>Toalhas</v>
      </c>
      <c r="M2324" s="6" t="str">
        <f>"50x100"</f>
        <v>50x100</v>
      </c>
      <c r="N2324" s="6" t="str">
        <f>"5602972281149"</f>
        <v>5602972281149</v>
      </c>
      <c r="O2324" s="8">
        <v>6</v>
      </c>
      <c r="R2324" s="8">
        <v>0</v>
      </c>
      <c r="U2324" s="8">
        <v>0</v>
      </c>
      <c r="X2324" s="8">
        <v>0</v>
      </c>
      <c r="Z2324" s="8">
        <v>0</v>
      </c>
      <c r="AC2324" s="8">
        <v>0</v>
      </c>
      <c r="AF2324" s="8">
        <v>0</v>
      </c>
      <c r="AN2324" s="8">
        <v>6</v>
      </c>
      <c r="AO2324" s="8">
        <v>0</v>
      </c>
    </row>
    <row r="2325" spans="1:41" x14ac:dyDescent="0.25">
      <c r="A2325" s="6" t="str">
        <f t="shared" si="540"/>
        <v>522-2026000242</v>
      </c>
      <c r="B2325" s="6" t="str">
        <f t="shared" si="537"/>
        <v>EL CORTE</v>
      </c>
      <c r="C2325" s="7">
        <v>46037</v>
      </c>
      <c r="D2325" s="7">
        <v>46042</v>
      </c>
      <c r="E2325" s="8">
        <v>8</v>
      </c>
      <c r="F2325" s="6" t="str">
        <f t="shared" si="541"/>
        <v>94830701_07026</v>
      </c>
      <c r="G2325" s="6" t="str">
        <f t="shared" si="538"/>
        <v>F310631650000000</v>
      </c>
      <c r="H2325" s="6" t="str">
        <f t="shared" si="539"/>
        <v>PLAR 6316 FD - 500 g</v>
      </c>
      <c r="I2325" s="6" t="str">
        <f>"200510"</f>
        <v>200510</v>
      </c>
      <c r="J2325" s="6" t="str">
        <f>"VERDE 510"</f>
        <v>VERDE 510</v>
      </c>
      <c r="K2325" s="6" t="str">
        <f>"2020"</f>
        <v>2020</v>
      </c>
      <c r="L2325" s="6" t="str">
        <f>"Lençóis"</f>
        <v>Lençóis</v>
      </c>
      <c r="M2325" s="6" t="str">
        <f>"100x150"</f>
        <v>100x150</v>
      </c>
      <c r="N2325" s="6" t="str">
        <f>"5602972281156"</f>
        <v>5602972281156</v>
      </c>
      <c r="O2325" s="8">
        <v>6</v>
      </c>
      <c r="R2325" s="8">
        <v>0</v>
      </c>
      <c r="U2325" s="8">
        <v>0</v>
      </c>
      <c r="X2325" s="8">
        <v>0</v>
      </c>
      <c r="Z2325" s="8">
        <v>0</v>
      </c>
      <c r="AC2325" s="8">
        <v>0</v>
      </c>
      <c r="AF2325" s="8">
        <v>0</v>
      </c>
      <c r="AN2325" s="8">
        <v>0</v>
      </c>
      <c r="AO2325" s="8">
        <v>6</v>
      </c>
    </row>
    <row r="2326" spans="1:41" x14ac:dyDescent="0.25">
      <c r="A2326" s="6" t="str">
        <f t="shared" ref="A2326:A2334" si="542">"522-2026000243"</f>
        <v>522-2026000243</v>
      </c>
      <c r="B2326" s="6" t="str">
        <f t="shared" si="537"/>
        <v>EL CORTE</v>
      </c>
      <c r="C2326" s="7">
        <v>46037</v>
      </c>
      <c r="D2326" s="7">
        <v>46042</v>
      </c>
      <c r="E2326" s="8">
        <v>1</v>
      </c>
      <c r="F2326" s="6" t="str">
        <f t="shared" ref="F2326:F2334" si="543">"94831001_07026"</f>
        <v>94831001_07026</v>
      </c>
      <c r="G2326" s="6" t="str">
        <f t="shared" si="538"/>
        <v>F310631650000000</v>
      </c>
      <c r="H2326" s="6" t="str">
        <f t="shared" si="539"/>
        <v>PLAR 6316 FD - 500 g</v>
      </c>
      <c r="I2326" s="6" t="str">
        <f>"201855"</f>
        <v>201855</v>
      </c>
      <c r="J2326" s="6" t="str">
        <f>"AZUL 1855"</f>
        <v>AZUL 1855</v>
      </c>
      <c r="K2326" s="6" t="str">
        <f>"1024"</f>
        <v>1024</v>
      </c>
      <c r="L2326" s="6" t="str">
        <f>"Toalhas"</f>
        <v>Toalhas</v>
      </c>
      <c r="M2326" s="6" t="str">
        <f>"50x100"</f>
        <v>50x100</v>
      </c>
      <c r="N2326" s="6" t="str">
        <f>"5602972281057"</f>
        <v>5602972281057</v>
      </c>
      <c r="O2326" s="8">
        <v>6</v>
      </c>
      <c r="R2326" s="8">
        <v>0</v>
      </c>
      <c r="U2326" s="8">
        <v>0</v>
      </c>
      <c r="X2326" s="8">
        <v>0</v>
      </c>
      <c r="Z2326" s="8">
        <v>0</v>
      </c>
      <c r="AC2326" s="8">
        <v>0</v>
      </c>
      <c r="AF2326" s="8">
        <v>0</v>
      </c>
      <c r="AN2326" s="8">
        <v>6</v>
      </c>
      <c r="AO2326" s="8">
        <v>0</v>
      </c>
    </row>
    <row r="2327" spans="1:41" x14ac:dyDescent="0.25">
      <c r="A2327" s="6" t="str">
        <f t="shared" si="542"/>
        <v>522-2026000243</v>
      </c>
      <c r="B2327" s="6" t="str">
        <f t="shared" si="537"/>
        <v>EL CORTE</v>
      </c>
      <c r="C2327" s="7">
        <v>46037</v>
      </c>
      <c r="D2327" s="7">
        <v>46042</v>
      </c>
      <c r="E2327" s="8">
        <v>2</v>
      </c>
      <c r="F2327" s="6" t="str">
        <f t="shared" si="543"/>
        <v>94831001_07026</v>
      </c>
      <c r="G2327" s="6" t="str">
        <f t="shared" si="538"/>
        <v>F310631650000000</v>
      </c>
      <c r="H2327" s="6" t="str">
        <f t="shared" si="539"/>
        <v>PLAR 6316 FD - 500 g</v>
      </c>
      <c r="I2327" s="6" t="str">
        <f>"201855"</f>
        <v>201855</v>
      </c>
      <c r="J2327" s="6" t="str">
        <f>"AZUL 1855"</f>
        <v>AZUL 1855</v>
      </c>
      <c r="K2327" s="6" t="str">
        <f>"2020"</f>
        <v>2020</v>
      </c>
      <c r="L2327" s="6" t="str">
        <f>"Lençóis"</f>
        <v>Lençóis</v>
      </c>
      <c r="M2327" s="6" t="str">
        <f>"100x150"</f>
        <v>100x150</v>
      </c>
      <c r="N2327" s="6" t="str">
        <f>"5602972281064"</f>
        <v>5602972281064</v>
      </c>
      <c r="O2327" s="8">
        <v>3</v>
      </c>
      <c r="R2327" s="8">
        <v>0</v>
      </c>
      <c r="U2327" s="8">
        <v>0</v>
      </c>
      <c r="X2327" s="8">
        <v>0</v>
      </c>
      <c r="Z2327" s="8">
        <v>0</v>
      </c>
      <c r="AC2327" s="8">
        <v>0</v>
      </c>
      <c r="AF2327" s="8">
        <v>0</v>
      </c>
      <c r="AN2327" s="8">
        <v>0</v>
      </c>
      <c r="AO2327" s="8">
        <v>3</v>
      </c>
    </row>
    <row r="2328" spans="1:41" x14ac:dyDescent="0.25">
      <c r="A2328" s="6" t="str">
        <f t="shared" si="542"/>
        <v>522-2026000243</v>
      </c>
      <c r="B2328" s="6" t="str">
        <f t="shared" si="537"/>
        <v>EL CORTE</v>
      </c>
      <c r="C2328" s="7">
        <v>46037</v>
      </c>
      <c r="D2328" s="7">
        <v>46042</v>
      </c>
      <c r="E2328" s="8">
        <v>3</v>
      </c>
      <c r="F2328" s="6" t="str">
        <f t="shared" si="543"/>
        <v>94831001_07026</v>
      </c>
      <c r="G2328" s="6" t="str">
        <f t="shared" si="538"/>
        <v>F310631650000000</v>
      </c>
      <c r="H2328" s="6" t="str">
        <f t="shared" si="539"/>
        <v>PLAR 6316 FD - 500 g</v>
      </c>
      <c r="I2328" s="6" t="str">
        <f>"202575"</f>
        <v>202575</v>
      </c>
      <c r="J2328" s="6" t="str">
        <f>"BEGE 2575"</f>
        <v>BEGE 2575</v>
      </c>
      <c r="K2328" s="6" t="str">
        <f>"1024"</f>
        <v>1024</v>
      </c>
      <c r="L2328" s="6" t="str">
        <f>"Toalhas"</f>
        <v>Toalhas</v>
      </c>
      <c r="M2328" s="6" t="str">
        <f>"50x100"</f>
        <v>50x100</v>
      </c>
      <c r="N2328" s="6" t="str">
        <f>"5602972281088"</f>
        <v>5602972281088</v>
      </c>
      <c r="O2328" s="8">
        <v>6</v>
      </c>
      <c r="R2328" s="8">
        <v>0</v>
      </c>
      <c r="U2328" s="8">
        <v>0</v>
      </c>
      <c r="X2328" s="8">
        <v>0</v>
      </c>
      <c r="Z2328" s="8">
        <v>0</v>
      </c>
      <c r="AC2328" s="8">
        <v>0</v>
      </c>
      <c r="AF2328" s="8">
        <v>0</v>
      </c>
      <c r="AN2328" s="8">
        <v>6</v>
      </c>
      <c r="AO2328" s="8">
        <v>0</v>
      </c>
    </row>
    <row r="2329" spans="1:41" x14ac:dyDescent="0.25">
      <c r="A2329" s="6" t="str">
        <f t="shared" si="542"/>
        <v>522-2026000243</v>
      </c>
      <c r="B2329" s="6" t="str">
        <f t="shared" si="537"/>
        <v>EL CORTE</v>
      </c>
      <c r="C2329" s="7">
        <v>46037</v>
      </c>
      <c r="D2329" s="7">
        <v>46042</v>
      </c>
      <c r="E2329" s="8">
        <v>4</v>
      </c>
      <c r="F2329" s="6" t="str">
        <f t="shared" si="543"/>
        <v>94831001_07026</v>
      </c>
      <c r="G2329" s="6" t="str">
        <f t="shared" si="538"/>
        <v>F310631650000000</v>
      </c>
      <c r="H2329" s="6" t="str">
        <f t="shared" si="539"/>
        <v>PLAR 6316 FD - 500 g</v>
      </c>
      <c r="I2329" s="6" t="str">
        <f>"202575"</f>
        <v>202575</v>
      </c>
      <c r="J2329" s="6" t="str">
        <f>"BEGE 2575"</f>
        <v>BEGE 2575</v>
      </c>
      <c r="K2329" s="6" t="str">
        <f>"2020"</f>
        <v>2020</v>
      </c>
      <c r="L2329" s="6" t="str">
        <f>"Lençóis"</f>
        <v>Lençóis</v>
      </c>
      <c r="M2329" s="6" t="str">
        <f>"100x150"</f>
        <v>100x150</v>
      </c>
      <c r="N2329" s="6" t="str">
        <f>"5602972281095"</f>
        <v>5602972281095</v>
      </c>
      <c r="O2329" s="8">
        <v>3</v>
      </c>
      <c r="R2329" s="8">
        <v>0</v>
      </c>
      <c r="U2329" s="8">
        <v>0</v>
      </c>
      <c r="X2329" s="8">
        <v>0</v>
      </c>
      <c r="Z2329" s="8">
        <v>0</v>
      </c>
      <c r="AC2329" s="8">
        <v>0</v>
      </c>
      <c r="AF2329" s="8">
        <v>0</v>
      </c>
      <c r="AN2329" s="8">
        <v>0</v>
      </c>
      <c r="AO2329" s="8">
        <v>3</v>
      </c>
    </row>
    <row r="2330" spans="1:41" x14ac:dyDescent="0.25">
      <c r="A2330" s="6" t="str">
        <f t="shared" si="542"/>
        <v>522-2026000243</v>
      </c>
      <c r="B2330" s="6" t="str">
        <f t="shared" si="537"/>
        <v>EL CORTE</v>
      </c>
      <c r="C2330" s="7">
        <v>46037</v>
      </c>
      <c r="D2330" s="7">
        <v>46042</v>
      </c>
      <c r="E2330" s="8">
        <v>5</v>
      </c>
      <c r="F2330" s="6" t="str">
        <f t="shared" si="543"/>
        <v>94831001_07026</v>
      </c>
      <c r="G2330" s="6" t="str">
        <f t="shared" si="538"/>
        <v>F310631650000000</v>
      </c>
      <c r="H2330" s="6" t="str">
        <f t="shared" si="539"/>
        <v>PLAR 6316 FD - 500 g</v>
      </c>
      <c r="I2330" s="6" t="str">
        <f>"200901"</f>
        <v>200901</v>
      </c>
      <c r="J2330" s="6" t="str">
        <f>"ROSA 901"</f>
        <v>ROSA 901</v>
      </c>
      <c r="K2330" s="6" t="str">
        <f>"0520"</f>
        <v>0520</v>
      </c>
      <c r="L2330" s="6" t="str">
        <f>"Toalhetes"</f>
        <v>Toalhetes</v>
      </c>
      <c r="M2330" s="6" t="str">
        <f>"30x50"</f>
        <v>30x50</v>
      </c>
      <c r="N2330" s="6" t="str">
        <f>"5602972281101"</f>
        <v>5602972281101</v>
      </c>
      <c r="O2330" s="8">
        <v>6</v>
      </c>
      <c r="R2330" s="8">
        <v>0</v>
      </c>
      <c r="U2330" s="8">
        <v>0</v>
      </c>
      <c r="X2330" s="8">
        <v>0</v>
      </c>
      <c r="Z2330" s="8">
        <v>0</v>
      </c>
      <c r="AC2330" s="8">
        <v>0</v>
      </c>
      <c r="AF2330" s="8">
        <v>0</v>
      </c>
      <c r="AN2330" s="8">
        <v>0</v>
      </c>
      <c r="AO2330" s="8">
        <v>6</v>
      </c>
    </row>
    <row r="2331" spans="1:41" x14ac:dyDescent="0.25">
      <c r="A2331" s="6" t="str">
        <f t="shared" si="542"/>
        <v>522-2026000243</v>
      </c>
      <c r="B2331" s="6" t="str">
        <f t="shared" si="537"/>
        <v>EL CORTE</v>
      </c>
      <c r="C2331" s="7">
        <v>46037</v>
      </c>
      <c r="D2331" s="7">
        <v>46042</v>
      </c>
      <c r="E2331" s="8">
        <v>6</v>
      </c>
      <c r="F2331" s="6" t="str">
        <f t="shared" si="543"/>
        <v>94831001_07026</v>
      </c>
      <c r="G2331" s="6" t="str">
        <f t="shared" si="538"/>
        <v>F310631650000000</v>
      </c>
      <c r="H2331" s="6" t="str">
        <f t="shared" si="539"/>
        <v>PLAR 6316 FD - 500 g</v>
      </c>
      <c r="I2331" s="6" t="str">
        <f>"200901"</f>
        <v>200901</v>
      </c>
      <c r="J2331" s="6" t="str">
        <f>"ROSA 901"</f>
        <v>ROSA 901</v>
      </c>
      <c r="K2331" s="6" t="str">
        <f>"1024"</f>
        <v>1024</v>
      </c>
      <c r="L2331" s="6" t="str">
        <f>"Toalhas"</f>
        <v>Toalhas</v>
      </c>
      <c r="M2331" s="6" t="str">
        <f>"50x100"</f>
        <v>50x100</v>
      </c>
      <c r="N2331" s="6" t="str">
        <f>"5602972281118"</f>
        <v>5602972281118</v>
      </c>
      <c r="O2331" s="8">
        <v>12</v>
      </c>
      <c r="R2331" s="8">
        <v>0</v>
      </c>
      <c r="U2331" s="8">
        <v>0</v>
      </c>
      <c r="X2331" s="8">
        <v>0</v>
      </c>
      <c r="Z2331" s="8">
        <v>0</v>
      </c>
      <c r="AC2331" s="8">
        <v>0</v>
      </c>
      <c r="AF2331" s="8">
        <v>0</v>
      </c>
      <c r="AN2331" s="8">
        <v>12</v>
      </c>
      <c r="AO2331" s="8">
        <v>0</v>
      </c>
    </row>
    <row r="2332" spans="1:41" x14ac:dyDescent="0.25">
      <c r="A2332" s="6" t="str">
        <f t="shared" si="542"/>
        <v>522-2026000243</v>
      </c>
      <c r="B2332" s="6" t="str">
        <f t="shared" si="537"/>
        <v>EL CORTE</v>
      </c>
      <c r="C2332" s="7">
        <v>46037</v>
      </c>
      <c r="D2332" s="7">
        <v>46042</v>
      </c>
      <c r="E2332" s="8">
        <v>7</v>
      </c>
      <c r="F2332" s="6" t="str">
        <f t="shared" si="543"/>
        <v>94831001_07026</v>
      </c>
      <c r="G2332" s="6" t="str">
        <f t="shared" si="538"/>
        <v>F310631650000000</v>
      </c>
      <c r="H2332" s="6" t="str">
        <f t="shared" si="539"/>
        <v>PLAR 6316 FD - 500 g</v>
      </c>
      <c r="I2332" s="6" t="str">
        <f>"200901"</f>
        <v>200901</v>
      </c>
      <c r="J2332" s="6" t="str">
        <f>"ROSA 901"</f>
        <v>ROSA 901</v>
      </c>
      <c r="K2332" s="6" t="str">
        <f>"2020"</f>
        <v>2020</v>
      </c>
      <c r="L2332" s="6" t="str">
        <f>"Lençóis"</f>
        <v>Lençóis</v>
      </c>
      <c r="M2332" s="6" t="str">
        <f>"100x150"</f>
        <v>100x150</v>
      </c>
      <c r="N2332" s="6" t="str">
        <f>"5602972281125"</f>
        <v>5602972281125</v>
      </c>
      <c r="O2332" s="8">
        <v>6</v>
      </c>
      <c r="R2332" s="8">
        <v>0</v>
      </c>
      <c r="U2332" s="8">
        <v>0</v>
      </c>
      <c r="X2332" s="8">
        <v>0</v>
      </c>
      <c r="Z2332" s="8">
        <v>0</v>
      </c>
      <c r="AC2332" s="8">
        <v>0</v>
      </c>
      <c r="AF2332" s="8">
        <v>0</v>
      </c>
      <c r="AN2332" s="8">
        <v>3</v>
      </c>
      <c r="AO2332" s="8">
        <v>3</v>
      </c>
    </row>
    <row r="2333" spans="1:41" x14ac:dyDescent="0.25">
      <c r="A2333" s="6" t="str">
        <f t="shared" si="542"/>
        <v>522-2026000243</v>
      </c>
      <c r="B2333" s="6" t="str">
        <f t="shared" si="537"/>
        <v>EL CORTE</v>
      </c>
      <c r="C2333" s="7">
        <v>46037</v>
      </c>
      <c r="D2333" s="7">
        <v>46042</v>
      </c>
      <c r="E2333" s="8">
        <v>8</v>
      </c>
      <c r="F2333" s="6" t="str">
        <f t="shared" si="543"/>
        <v>94831001_07026</v>
      </c>
      <c r="G2333" s="6" t="str">
        <f t="shared" si="538"/>
        <v>F310631650000000</v>
      </c>
      <c r="H2333" s="6" t="str">
        <f t="shared" si="539"/>
        <v>PLAR 6316 FD - 500 g</v>
      </c>
      <c r="I2333" s="6" t="str">
        <f>"200510"</f>
        <v>200510</v>
      </c>
      <c r="J2333" s="6" t="str">
        <f>"VERDE 510"</f>
        <v>VERDE 510</v>
      </c>
      <c r="K2333" s="6" t="str">
        <f>"1024"</f>
        <v>1024</v>
      </c>
      <c r="L2333" s="6" t="str">
        <f>"Toalhas"</f>
        <v>Toalhas</v>
      </c>
      <c r="M2333" s="6" t="str">
        <f>"50x100"</f>
        <v>50x100</v>
      </c>
      <c r="N2333" s="6" t="str">
        <f>"5602972281149"</f>
        <v>5602972281149</v>
      </c>
      <c r="O2333" s="8">
        <v>6</v>
      </c>
      <c r="R2333" s="8">
        <v>0</v>
      </c>
      <c r="U2333" s="8">
        <v>0</v>
      </c>
      <c r="X2333" s="8">
        <v>0</v>
      </c>
      <c r="Z2333" s="8">
        <v>0</v>
      </c>
      <c r="AC2333" s="8">
        <v>0</v>
      </c>
      <c r="AF2333" s="8">
        <v>0</v>
      </c>
      <c r="AN2333" s="8">
        <v>6</v>
      </c>
      <c r="AO2333" s="8">
        <v>0</v>
      </c>
    </row>
    <row r="2334" spans="1:41" x14ac:dyDescent="0.25">
      <c r="A2334" s="6" t="str">
        <f t="shared" si="542"/>
        <v>522-2026000243</v>
      </c>
      <c r="B2334" s="6" t="str">
        <f t="shared" si="537"/>
        <v>EL CORTE</v>
      </c>
      <c r="C2334" s="7">
        <v>46037</v>
      </c>
      <c r="D2334" s="7">
        <v>46042</v>
      </c>
      <c r="E2334" s="8">
        <v>9</v>
      </c>
      <c r="F2334" s="6" t="str">
        <f t="shared" si="543"/>
        <v>94831001_07026</v>
      </c>
      <c r="G2334" s="6" t="str">
        <f t="shared" si="538"/>
        <v>F310631650000000</v>
      </c>
      <c r="H2334" s="6" t="str">
        <f t="shared" si="539"/>
        <v>PLAR 6316 FD - 500 g</v>
      </c>
      <c r="I2334" s="6" t="str">
        <f>"200510"</f>
        <v>200510</v>
      </c>
      <c r="J2334" s="6" t="str">
        <f>"VERDE 510"</f>
        <v>VERDE 510</v>
      </c>
      <c r="K2334" s="6" t="str">
        <f>"2020"</f>
        <v>2020</v>
      </c>
      <c r="L2334" s="6" t="str">
        <f>"Lençóis"</f>
        <v>Lençóis</v>
      </c>
      <c r="M2334" s="6" t="str">
        <f>"100x150"</f>
        <v>100x150</v>
      </c>
      <c r="N2334" s="6" t="str">
        <f>"5602972281156"</f>
        <v>5602972281156</v>
      </c>
      <c r="O2334" s="8">
        <v>6</v>
      </c>
      <c r="R2334" s="8">
        <v>0</v>
      </c>
      <c r="U2334" s="8">
        <v>0</v>
      </c>
      <c r="X2334" s="8">
        <v>0</v>
      </c>
      <c r="Z2334" s="8">
        <v>0</v>
      </c>
      <c r="AC2334" s="8">
        <v>0</v>
      </c>
      <c r="AF2334" s="8">
        <v>0</v>
      </c>
      <c r="AN2334" s="8">
        <v>0</v>
      </c>
      <c r="AO2334" s="8">
        <v>6</v>
      </c>
    </row>
    <row r="2335" spans="1:41" x14ac:dyDescent="0.25">
      <c r="A2335" s="6" t="str">
        <f t="shared" ref="A2335:A2345" si="544">"522-2026000244"</f>
        <v>522-2026000244</v>
      </c>
      <c r="B2335" s="6" t="str">
        <f t="shared" si="537"/>
        <v>EL CORTE</v>
      </c>
      <c r="C2335" s="7">
        <v>46037</v>
      </c>
      <c r="D2335" s="7">
        <v>46042</v>
      </c>
      <c r="E2335" s="8">
        <v>1</v>
      </c>
      <c r="F2335" s="6" t="str">
        <f t="shared" ref="F2335:F2345" si="545">"94830401_07026"</f>
        <v>94830401_07026</v>
      </c>
      <c r="G2335" s="6" t="str">
        <f t="shared" si="538"/>
        <v>F310631650000000</v>
      </c>
      <c r="H2335" s="6" t="str">
        <f t="shared" si="539"/>
        <v>PLAR 6316 FD - 500 g</v>
      </c>
      <c r="I2335" s="6" t="str">
        <f>"201855"</f>
        <v>201855</v>
      </c>
      <c r="J2335" s="6" t="str">
        <f>"AZUL 1855"</f>
        <v>AZUL 1855</v>
      </c>
      <c r="K2335" s="6" t="str">
        <f>"0520"</f>
        <v>0520</v>
      </c>
      <c r="L2335" s="6" t="str">
        <f>"Toalhetes"</f>
        <v>Toalhetes</v>
      </c>
      <c r="M2335" s="6" t="str">
        <f>"30x50"</f>
        <v>30x50</v>
      </c>
      <c r="N2335" s="6" t="str">
        <f>"5602972281040"</f>
        <v>5602972281040</v>
      </c>
      <c r="O2335" s="8">
        <v>6</v>
      </c>
      <c r="R2335" s="8">
        <v>0</v>
      </c>
      <c r="U2335" s="8">
        <v>0</v>
      </c>
      <c r="X2335" s="8">
        <v>0</v>
      </c>
      <c r="Z2335" s="8">
        <v>0</v>
      </c>
      <c r="AC2335" s="8">
        <v>0</v>
      </c>
      <c r="AF2335" s="8">
        <v>0</v>
      </c>
      <c r="AN2335" s="8">
        <v>6</v>
      </c>
      <c r="AO2335" s="8">
        <v>0</v>
      </c>
    </row>
    <row r="2336" spans="1:41" x14ac:dyDescent="0.25">
      <c r="A2336" s="6" t="str">
        <f t="shared" si="544"/>
        <v>522-2026000244</v>
      </c>
      <c r="B2336" s="6" t="str">
        <f t="shared" si="537"/>
        <v>EL CORTE</v>
      </c>
      <c r="C2336" s="7">
        <v>46037</v>
      </c>
      <c r="D2336" s="7">
        <v>46042</v>
      </c>
      <c r="E2336" s="8">
        <v>2</v>
      </c>
      <c r="F2336" s="6" t="str">
        <f t="shared" si="545"/>
        <v>94830401_07026</v>
      </c>
      <c r="G2336" s="6" t="str">
        <f t="shared" si="538"/>
        <v>F310631650000000</v>
      </c>
      <c r="H2336" s="6" t="str">
        <f t="shared" si="539"/>
        <v>PLAR 6316 FD - 500 g</v>
      </c>
      <c r="I2336" s="6" t="str">
        <f>"201855"</f>
        <v>201855</v>
      </c>
      <c r="J2336" s="6" t="str">
        <f>"AZUL 1855"</f>
        <v>AZUL 1855</v>
      </c>
      <c r="K2336" s="6" t="str">
        <f>"1024"</f>
        <v>1024</v>
      </c>
      <c r="L2336" s="6" t="str">
        <f>"Toalhas"</f>
        <v>Toalhas</v>
      </c>
      <c r="M2336" s="6" t="str">
        <f>"50x100"</f>
        <v>50x100</v>
      </c>
      <c r="N2336" s="6" t="str">
        <f>"5602972281057"</f>
        <v>5602972281057</v>
      </c>
      <c r="O2336" s="8">
        <v>6</v>
      </c>
      <c r="R2336" s="8">
        <v>0</v>
      </c>
      <c r="U2336" s="8">
        <v>0</v>
      </c>
      <c r="X2336" s="8">
        <v>0</v>
      </c>
      <c r="Z2336" s="8">
        <v>0</v>
      </c>
      <c r="AC2336" s="8">
        <v>0</v>
      </c>
      <c r="AF2336" s="8">
        <v>0</v>
      </c>
      <c r="AN2336" s="8">
        <v>6</v>
      </c>
      <c r="AO2336" s="8">
        <v>0</v>
      </c>
    </row>
    <row r="2337" spans="1:41" x14ac:dyDescent="0.25">
      <c r="A2337" s="6" t="str">
        <f t="shared" si="544"/>
        <v>522-2026000244</v>
      </c>
      <c r="B2337" s="6" t="str">
        <f t="shared" si="537"/>
        <v>EL CORTE</v>
      </c>
      <c r="C2337" s="7">
        <v>46037</v>
      </c>
      <c r="D2337" s="7">
        <v>46042</v>
      </c>
      <c r="E2337" s="8">
        <v>3</v>
      </c>
      <c r="F2337" s="6" t="str">
        <f t="shared" si="545"/>
        <v>94830401_07026</v>
      </c>
      <c r="G2337" s="6" t="str">
        <f t="shared" si="538"/>
        <v>F310631650000000</v>
      </c>
      <c r="H2337" s="6" t="str">
        <f t="shared" si="539"/>
        <v>PLAR 6316 FD - 500 g</v>
      </c>
      <c r="I2337" s="6" t="str">
        <f>"201855"</f>
        <v>201855</v>
      </c>
      <c r="J2337" s="6" t="str">
        <f>"AZUL 1855"</f>
        <v>AZUL 1855</v>
      </c>
      <c r="K2337" s="6" t="str">
        <f>"2020"</f>
        <v>2020</v>
      </c>
      <c r="L2337" s="6" t="str">
        <f>"Lençóis"</f>
        <v>Lençóis</v>
      </c>
      <c r="M2337" s="6" t="str">
        <f>"100x150"</f>
        <v>100x150</v>
      </c>
      <c r="N2337" s="6" t="str">
        <f>"5602972281064"</f>
        <v>5602972281064</v>
      </c>
      <c r="O2337" s="8">
        <v>6</v>
      </c>
      <c r="R2337" s="8">
        <v>0</v>
      </c>
      <c r="U2337" s="8">
        <v>0</v>
      </c>
      <c r="X2337" s="8">
        <v>0</v>
      </c>
      <c r="Z2337" s="8">
        <v>0</v>
      </c>
      <c r="AC2337" s="8">
        <v>0</v>
      </c>
      <c r="AF2337" s="8">
        <v>0</v>
      </c>
      <c r="AN2337" s="8">
        <v>0</v>
      </c>
      <c r="AO2337" s="8">
        <v>6</v>
      </c>
    </row>
    <row r="2338" spans="1:41" x14ac:dyDescent="0.25">
      <c r="A2338" s="6" t="str">
        <f t="shared" si="544"/>
        <v>522-2026000244</v>
      </c>
      <c r="B2338" s="6" t="str">
        <f t="shared" si="537"/>
        <v>EL CORTE</v>
      </c>
      <c r="C2338" s="7">
        <v>46037</v>
      </c>
      <c r="D2338" s="7">
        <v>46042</v>
      </c>
      <c r="E2338" s="8">
        <v>4</v>
      </c>
      <c r="F2338" s="6" t="str">
        <f t="shared" si="545"/>
        <v>94830401_07026</v>
      </c>
      <c r="G2338" s="6" t="str">
        <f t="shared" si="538"/>
        <v>F310631650000000</v>
      </c>
      <c r="H2338" s="6" t="str">
        <f t="shared" si="539"/>
        <v>PLAR 6316 FD - 500 g</v>
      </c>
      <c r="I2338" s="6" t="str">
        <f>"202575"</f>
        <v>202575</v>
      </c>
      <c r="J2338" s="6" t="str">
        <f>"BEGE 2575"</f>
        <v>BEGE 2575</v>
      </c>
      <c r="K2338" s="6" t="str">
        <f>"0520"</f>
        <v>0520</v>
      </c>
      <c r="L2338" s="6" t="str">
        <f>"Toalhetes"</f>
        <v>Toalhetes</v>
      </c>
      <c r="M2338" s="6" t="str">
        <f>"30x50"</f>
        <v>30x50</v>
      </c>
      <c r="N2338" s="6" t="str">
        <f>"5602972281071"</f>
        <v>5602972281071</v>
      </c>
      <c r="O2338" s="8">
        <v>6</v>
      </c>
      <c r="R2338" s="8">
        <v>0</v>
      </c>
      <c r="U2338" s="8">
        <v>0</v>
      </c>
      <c r="X2338" s="8">
        <v>0</v>
      </c>
      <c r="Z2338" s="8">
        <v>0</v>
      </c>
      <c r="AC2338" s="8">
        <v>0</v>
      </c>
      <c r="AF2338" s="8">
        <v>0</v>
      </c>
      <c r="AN2338" s="8">
        <v>6</v>
      </c>
      <c r="AO2338" s="8">
        <v>0</v>
      </c>
    </row>
    <row r="2339" spans="1:41" x14ac:dyDescent="0.25">
      <c r="A2339" s="6" t="str">
        <f t="shared" si="544"/>
        <v>522-2026000244</v>
      </c>
      <c r="B2339" s="6" t="str">
        <f t="shared" si="537"/>
        <v>EL CORTE</v>
      </c>
      <c r="C2339" s="7">
        <v>46037</v>
      </c>
      <c r="D2339" s="7">
        <v>46042</v>
      </c>
      <c r="E2339" s="8">
        <v>5</v>
      </c>
      <c r="F2339" s="6" t="str">
        <f t="shared" si="545"/>
        <v>94830401_07026</v>
      </c>
      <c r="G2339" s="6" t="str">
        <f t="shared" si="538"/>
        <v>F310631650000000</v>
      </c>
      <c r="H2339" s="6" t="str">
        <f t="shared" si="539"/>
        <v>PLAR 6316 FD - 500 g</v>
      </c>
      <c r="I2339" s="6" t="str">
        <f>"202575"</f>
        <v>202575</v>
      </c>
      <c r="J2339" s="6" t="str">
        <f>"BEGE 2575"</f>
        <v>BEGE 2575</v>
      </c>
      <c r="K2339" s="6" t="str">
        <f>"1024"</f>
        <v>1024</v>
      </c>
      <c r="L2339" s="6" t="str">
        <f>"Toalhas"</f>
        <v>Toalhas</v>
      </c>
      <c r="M2339" s="6" t="str">
        <f>"50x100"</f>
        <v>50x100</v>
      </c>
      <c r="N2339" s="6" t="str">
        <f>"5602972281088"</f>
        <v>5602972281088</v>
      </c>
      <c r="O2339" s="8">
        <v>12</v>
      </c>
      <c r="R2339" s="8">
        <v>0</v>
      </c>
      <c r="U2339" s="8">
        <v>0</v>
      </c>
      <c r="X2339" s="8">
        <v>0</v>
      </c>
      <c r="Z2339" s="8">
        <v>0</v>
      </c>
      <c r="AC2339" s="8">
        <v>0</v>
      </c>
      <c r="AF2339" s="8">
        <v>0</v>
      </c>
      <c r="AN2339" s="8">
        <v>12</v>
      </c>
      <c r="AO2339" s="8">
        <v>0</v>
      </c>
    </row>
    <row r="2340" spans="1:41" x14ac:dyDescent="0.25">
      <c r="A2340" s="6" t="str">
        <f t="shared" si="544"/>
        <v>522-2026000244</v>
      </c>
      <c r="B2340" s="6" t="str">
        <f t="shared" si="537"/>
        <v>EL CORTE</v>
      </c>
      <c r="C2340" s="7">
        <v>46037</v>
      </c>
      <c r="D2340" s="7">
        <v>46042</v>
      </c>
      <c r="E2340" s="8">
        <v>6</v>
      </c>
      <c r="F2340" s="6" t="str">
        <f t="shared" si="545"/>
        <v>94830401_07026</v>
      </c>
      <c r="G2340" s="6" t="str">
        <f t="shared" si="538"/>
        <v>F310631650000000</v>
      </c>
      <c r="H2340" s="6" t="str">
        <f t="shared" si="539"/>
        <v>PLAR 6316 FD - 500 g</v>
      </c>
      <c r="I2340" s="6" t="str">
        <f>"202575"</f>
        <v>202575</v>
      </c>
      <c r="J2340" s="6" t="str">
        <f>"BEGE 2575"</f>
        <v>BEGE 2575</v>
      </c>
      <c r="K2340" s="6" t="str">
        <f>"2020"</f>
        <v>2020</v>
      </c>
      <c r="L2340" s="6" t="str">
        <f>"Lençóis"</f>
        <v>Lençóis</v>
      </c>
      <c r="M2340" s="6" t="str">
        <f>"100x150"</f>
        <v>100x150</v>
      </c>
      <c r="N2340" s="6" t="str">
        <f>"5602972281095"</f>
        <v>5602972281095</v>
      </c>
      <c r="O2340" s="8">
        <v>6</v>
      </c>
      <c r="R2340" s="8">
        <v>0</v>
      </c>
      <c r="U2340" s="8">
        <v>0</v>
      </c>
      <c r="X2340" s="8">
        <v>0</v>
      </c>
      <c r="Z2340" s="8">
        <v>0</v>
      </c>
      <c r="AC2340" s="8">
        <v>0</v>
      </c>
      <c r="AF2340" s="8">
        <v>0</v>
      </c>
      <c r="AN2340" s="8">
        <v>0</v>
      </c>
      <c r="AO2340" s="8">
        <v>6</v>
      </c>
    </row>
    <row r="2341" spans="1:41" x14ac:dyDescent="0.25">
      <c r="A2341" s="6" t="str">
        <f t="shared" si="544"/>
        <v>522-2026000244</v>
      </c>
      <c r="B2341" s="6" t="str">
        <f t="shared" si="537"/>
        <v>EL CORTE</v>
      </c>
      <c r="C2341" s="7">
        <v>46037</v>
      </c>
      <c r="D2341" s="7">
        <v>46042</v>
      </c>
      <c r="E2341" s="8">
        <v>7</v>
      </c>
      <c r="F2341" s="6" t="str">
        <f t="shared" si="545"/>
        <v>94830401_07026</v>
      </c>
      <c r="G2341" s="6" t="str">
        <f t="shared" si="538"/>
        <v>F310631650000000</v>
      </c>
      <c r="H2341" s="6" t="str">
        <f t="shared" si="539"/>
        <v>PLAR 6316 FD - 500 g</v>
      </c>
      <c r="I2341" s="6" t="str">
        <f>"200901"</f>
        <v>200901</v>
      </c>
      <c r="J2341" s="6" t="str">
        <f>"ROSA 901"</f>
        <v>ROSA 901</v>
      </c>
      <c r="K2341" s="6" t="str">
        <f>"0520"</f>
        <v>0520</v>
      </c>
      <c r="L2341" s="6" t="str">
        <f>"Toalhetes"</f>
        <v>Toalhetes</v>
      </c>
      <c r="M2341" s="6" t="str">
        <f>"30x50"</f>
        <v>30x50</v>
      </c>
      <c r="N2341" s="6" t="str">
        <f>"5602972281101"</f>
        <v>5602972281101</v>
      </c>
      <c r="O2341" s="8">
        <v>6</v>
      </c>
      <c r="R2341" s="8">
        <v>0</v>
      </c>
      <c r="U2341" s="8">
        <v>0</v>
      </c>
      <c r="X2341" s="8">
        <v>0</v>
      </c>
      <c r="Z2341" s="8">
        <v>0</v>
      </c>
      <c r="AC2341" s="8">
        <v>0</v>
      </c>
      <c r="AF2341" s="8">
        <v>0</v>
      </c>
      <c r="AN2341" s="8">
        <v>6</v>
      </c>
      <c r="AO2341" s="8">
        <v>0</v>
      </c>
    </row>
    <row r="2342" spans="1:41" x14ac:dyDescent="0.25">
      <c r="A2342" s="6" t="str">
        <f t="shared" si="544"/>
        <v>522-2026000244</v>
      </c>
      <c r="B2342" s="6" t="str">
        <f t="shared" si="537"/>
        <v>EL CORTE</v>
      </c>
      <c r="C2342" s="7">
        <v>46037</v>
      </c>
      <c r="D2342" s="7">
        <v>46042</v>
      </c>
      <c r="E2342" s="8">
        <v>8</v>
      </c>
      <c r="F2342" s="6" t="str">
        <f t="shared" si="545"/>
        <v>94830401_07026</v>
      </c>
      <c r="G2342" s="6" t="str">
        <f t="shared" si="538"/>
        <v>F310631650000000</v>
      </c>
      <c r="H2342" s="6" t="str">
        <f t="shared" si="539"/>
        <v>PLAR 6316 FD - 500 g</v>
      </c>
      <c r="I2342" s="6" t="str">
        <f>"200901"</f>
        <v>200901</v>
      </c>
      <c r="J2342" s="6" t="str">
        <f>"ROSA 901"</f>
        <v>ROSA 901</v>
      </c>
      <c r="K2342" s="6" t="str">
        <f>"1024"</f>
        <v>1024</v>
      </c>
      <c r="L2342" s="6" t="str">
        <f>"Toalhas"</f>
        <v>Toalhas</v>
      </c>
      <c r="M2342" s="6" t="str">
        <f>"50x100"</f>
        <v>50x100</v>
      </c>
      <c r="N2342" s="6" t="str">
        <f>"5602972281118"</f>
        <v>5602972281118</v>
      </c>
      <c r="O2342" s="8">
        <v>6</v>
      </c>
      <c r="R2342" s="8">
        <v>0</v>
      </c>
      <c r="U2342" s="8">
        <v>0</v>
      </c>
      <c r="X2342" s="8">
        <v>0</v>
      </c>
      <c r="Z2342" s="8">
        <v>0</v>
      </c>
      <c r="AC2342" s="8">
        <v>0</v>
      </c>
      <c r="AF2342" s="8">
        <v>0</v>
      </c>
      <c r="AN2342" s="8">
        <v>6</v>
      </c>
      <c r="AO2342" s="8">
        <v>0</v>
      </c>
    </row>
    <row r="2343" spans="1:41" x14ac:dyDescent="0.25">
      <c r="A2343" s="6" t="str">
        <f t="shared" si="544"/>
        <v>522-2026000244</v>
      </c>
      <c r="B2343" s="6" t="str">
        <f t="shared" si="537"/>
        <v>EL CORTE</v>
      </c>
      <c r="C2343" s="7">
        <v>46037</v>
      </c>
      <c r="D2343" s="7">
        <v>46042</v>
      </c>
      <c r="E2343" s="8">
        <v>9</v>
      </c>
      <c r="F2343" s="6" t="str">
        <f t="shared" si="545"/>
        <v>94830401_07026</v>
      </c>
      <c r="G2343" s="6" t="str">
        <f t="shared" si="538"/>
        <v>F310631650000000</v>
      </c>
      <c r="H2343" s="6" t="str">
        <f t="shared" si="539"/>
        <v>PLAR 6316 FD - 500 g</v>
      </c>
      <c r="I2343" s="6" t="str">
        <f>"200510"</f>
        <v>200510</v>
      </c>
      <c r="J2343" s="6" t="str">
        <f>"VERDE 510"</f>
        <v>VERDE 510</v>
      </c>
      <c r="K2343" s="6" t="str">
        <f>"0520"</f>
        <v>0520</v>
      </c>
      <c r="L2343" s="6" t="str">
        <f>"Toalhetes"</f>
        <v>Toalhetes</v>
      </c>
      <c r="M2343" s="6" t="str">
        <f>"30x50"</f>
        <v>30x50</v>
      </c>
      <c r="N2343" s="6" t="str">
        <f>"5602972281132"</f>
        <v>5602972281132</v>
      </c>
      <c r="O2343" s="8">
        <v>6</v>
      </c>
      <c r="R2343" s="8">
        <v>0</v>
      </c>
      <c r="U2343" s="8">
        <v>0</v>
      </c>
      <c r="X2343" s="8">
        <v>0</v>
      </c>
      <c r="Z2343" s="8">
        <v>0</v>
      </c>
      <c r="AC2343" s="8">
        <v>0</v>
      </c>
      <c r="AF2343" s="8">
        <v>0</v>
      </c>
      <c r="AN2343" s="8">
        <v>6</v>
      </c>
      <c r="AO2343" s="8">
        <v>0</v>
      </c>
    </row>
    <row r="2344" spans="1:41" x14ac:dyDescent="0.25">
      <c r="A2344" s="6" t="str">
        <f t="shared" si="544"/>
        <v>522-2026000244</v>
      </c>
      <c r="B2344" s="6" t="str">
        <f t="shared" si="537"/>
        <v>EL CORTE</v>
      </c>
      <c r="C2344" s="7">
        <v>46037</v>
      </c>
      <c r="D2344" s="7">
        <v>46042</v>
      </c>
      <c r="E2344" s="8">
        <v>10</v>
      </c>
      <c r="F2344" s="6" t="str">
        <f t="shared" si="545"/>
        <v>94830401_07026</v>
      </c>
      <c r="G2344" s="6" t="str">
        <f t="shared" si="538"/>
        <v>F310631650000000</v>
      </c>
      <c r="H2344" s="6" t="str">
        <f t="shared" si="539"/>
        <v>PLAR 6316 FD - 500 g</v>
      </c>
      <c r="I2344" s="6" t="str">
        <f>"200510"</f>
        <v>200510</v>
      </c>
      <c r="J2344" s="6" t="str">
        <f>"VERDE 510"</f>
        <v>VERDE 510</v>
      </c>
      <c r="K2344" s="6" t="str">
        <f>"1024"</f>
        <v>1024</v>
      </c>
      <c r="L2344" s="6" t="str">
        <f>"Toalhas"</f>
        <v>Toalhas</v>
      </c>
      <c r="M2344" s="6" t="str">
        <f>"50x100"</f>
        <v>50x100</v>
      </c>
      <c r="N2344" s="6" t="str">
        <f>"5602972281149"</f>
        <v>5602972281149</v>
      </c>
      <c r="O2344" s="8">
        <v>6</v>
      </c>
      <c r="R2344" s="8">
        <v>0</v>
      </c>
      <c r="U2344" s="8">
        <v>0</v>
      </c>
      <c r="X2344" s="8">
        <v>0</v>
      </c>
      <c r="Z2344" s="8">
        <v>0</v>
      </c>
      <c r="AC2344" s="8">
        <v>0</v>
      </c>
      <c r="AF2344" s="8">
        <v>0</v>
      </c>
      <c r="AN2344" s="8">
        <v>6</v>
      </c>
      <c r="AO2344" s="8">
        <v>0</v>
      </c>
    </row>
    <row r="2345" spans="1:41" x14ac:dyDescent="0.25">
      <c r="A2345" s="6" t="str">
        <f t="shared" si="544"/>
        <v>522-2026000244</v>
      </c>
      <c r="B2345" s="6" t="str">
        <f t="shared" si="537"/>
        <v>EL CORTE</v>
      </c>
      <c r="C2345" s="7">
        <v>46037</v>
      </c>
      <c r="D2345" s="7">
        <v>46042</v>
      </c>
      <c r="E2345" s="8">
        <v>11</v>
      </c>
      <c r="F2345" s="6" t="str">
        <f t="shared" si="545"/>
        <v>94830401_07026</v>
      </c>
      <c r="G2345" s="6" t="str">
        <f t="shared" si="538"/>
        <v>F310631650000000</v>
      </c>
      <c r="H2345" s="6" t="str">
        <f t="shared" si="539"/>
        <v>PLAR 6316 FD - 500 g</v>
      </c>
      <c r="I2345" s="6" t="str">
        <f>"200510"</f>
        <v>200510</v>
      </c>
      <c r="J2345" s="6" t="str">
        <f>"VERDE 510"</f>
        <v>VERDE 510</v>
      </c>
      <c r="K2345" s="6" t="str">
        <f>"2020"</f>
        <v>2020</v>
      </c>
      <c r="L2345" s="6" t="str">
        <f>"Lençóis"</f>
        <v>Lençóis</v>
      </c>
      <c r="M2345" s="6" t="str">
        <f>"100x150"</f>
        <v>100x150</v>
      </c>
      <c r="N2345" s="6" t="str">
        <f>"5602972281156"</f>
        <v>5602972281156</v>
      </c>
      <c r="O2345" s="8">
        <v>6</v>
      </c>
      <c r="R2345" s="8">
        <v>0</v>
      </c>
      <c r="U2345" s="8">
        <v>0</v>
      </c>
      <c r="X2345" s="8">
        <v>0</v>
      </c>
      <c r="Z2345" s="8">
        <v>0</v>
      </c>
      <c r="AC2345" s="8">
        <v>0</v>
      </c>
      <c r="AF2345" s="8">
        <v>0</v>
      </c>
      <c r="AN2345" s="8">
        <v>0</v>
      </c>
      <c r="AO2345" s="8">
        <v>6</v>
      </c>
    </row>
    <row r="2346" spans="1:41" x14ac:dyDescent="0.25">
      <c r="A2346" s="6" t="str">
        <f t="shared" ref="A2346:A2354" si="546">"522-2026000245"</f>
        <v>522-2026000245</v>
      </c>
      <c r="B2346" s="6" t="str">
        <f t="shared" si="537"/>
        <v>EL CORTE</v>
      </c>
      <c r="C2346" s="7">
        <v>46037</v>
      </c>
      <c r="D2346" s="7">
        <v>46042</v>
      </c>
      <c r="E2346" s="8">
        <v>1</v>
      </c>
      <c r="F2346" s="6" t="str">
        <f t="shared" ref="F2346:F2354" si="547">"94830201_07026"</f>
        <v>94830201_07026</v>
      </c>
      <c r="G2346" s="6" t="str">
        <f t="shared" si="538"/>
        <v>F310631650000000</v>
      </c>
      <c r="H2346" s="6" t="str">
        <f t="shared" si="539"/>
        <v>PLAR 6316 FD - 500 g</v>
      </c>
      <c r="I2346" s="6" t="str">
        <f>"201855"</f>
        <v>201855</v>
      </c>
      <c r="J2346" s="6" t="str">
        <f>"AZUL 1855"</f>
        <v>AZUL 1855</v>
      </c>
      <c r="K2346" s="6" t="str">
        <f>"0520"</f>
        <v>0520</v>
      </c>
      <c r="L2346" s="6" t="str">
        <f>"Toalhetes"</f>
        <v>Toalhetes</v>
      </c>
      <c r="M2346" s="6" t="str">
        <f>"30x50"</f>
        <v>30x50</v>
      </c>
      <c r="N2346" s="6" t="str">
        <f>"5602972281040"</f>
        <v>5602972281040</v>
      </c>
      <c r="O2346" s="8">
        <v>6</v>
      </c>
      <c r="R2346" s="8">
        <v>0</v>
      </c>
      <c r="U2346" s="8">
        <v>0</v>
      </c>
      <c r="X2346" s="8">
        <v>0</v>
      </c>
      <c r="Z2346" s="8">
        <v>0</v>
      </c>
      <c r="AC2346" s="8">
        <v>0</v>
      </c>
      <c r="AF2346" s="8">
        <v>0</v>
      </c>
      <c r="AN2346" s="8">
        <v>6</v>
      </c>
      <c r="AO2346" s="8">
        <v>0</v>
      </c>
    </row>
    <row r="2347" spans="1:41" x14ac:dyDescent="0.25">
      <c r="A2347" s="6" t="str">
        <f t="shared" si="546"/>
        <v>522-2026000245</v>
      </c>
      <c r="B2347" s="6" t="str">
        <f t="shared" si="537"/>
        <v>EL CORTE</v>
      </c>
      <c r="C2347" s="7">
        <v>46037</v>
      </c>
      <c r="D2347" s="7">
        <v>46042</v>
      </c>
      <c r="E2347" s="8">
        <v>2</v>
      </c>
      <c r="F2347" s="6" t="str">
        <f t="shared" si="547"/>
        <v>94830201_07026</v>
      </c>
      <c r="G2347" s="6" t="str">
        <f t="shared" si="538"/>
        <v>F310631650000000</v>
      </c>
      <c r="H2347" s="6" t="str">
        <f t="shared" si="539"/>
        <v>PLAR 6316 FD - 500 g</v>
      </c>
      <c r="I2347" s="6" t="str">
        <f>"201855"</f>
        <v>201855</v>
      </c>
      <c r="J2347" s="6" t="str">
        <f>"AZUL 1855"</f>
        <v>AZUL 1855</v>
      </c>
      <c r="K2347" s="6" t="str">
        <f>"1024"</f>
        <v>1024</v>
      </c>
      <c r="L2347" s="6" t="str">
        <f>"Toalhas"</f>
        <v>Toalhas</v>
      </c>
      <c r="M2347" s="6" t="str">
        <f>"50x100"</f>
        <v>50x100</v>
      </c>
      <c r="N2347" s="6" t="str">
        <f>"5602972281057"</f>
        <v>5602972281057</v>
      </c>
      <c r="O2347" s="8">
        <v>6</v>
      </c>
      <c r="R2347" s="8">
        <v>0</v>
      </c>
      <c r="U2347" s="8">
        <v>0</v>
      </c>
      <c r="X2347" s="8">
        <v>0</v>
      </c>
      <c r="Z2347" s="8">
        <v>0</v>
      </c>
      <c r="AC2347" s="8">
        <v>0</v>
      </c>
      <c r="AF2347" s="8">
        <v>0</v>
      </c>
      <c r="AN2347" s="8">
        <v>6</v>
      </c>
      <c r="AO2347" s="8">
        <v>0</v>
      </c>
    </row>
    <row r="2348" spans="1:41" x14ac:dyDescent="0.25">
      <c r="A2348" s="6" t="str">
        <f t="shared" si="546"/>
        <v>522-2026000245</v>
      </c>
      <c r="B2348" s="6" t="str">
        <f t="shared" si="537"/>
        <v>EL CORTE</v>
      </c>
      <c r="C2348" s="7">
        <v>46037</v>
      </c>
      <c r="D2348" s="7">
        <v>46042</v>
      </c>
      <c r="E2348" s="8">
        <v>3</v>
      </c>
      <c r="F2348" s="6" t="str">
        <f t="shared" si="547"/>
        <v>94830201_07026</v>
      </c>
      <c r="G2348" s="6" t="str">
        <f t="shared" si="538"/>
        <v>F310631650000000</v>
      </c>
      <c r="H2348" s="6" t="str">
        <f t="shared" si="539"/>
        <v>PLAR 6316 FD - 500 g</v>
      </c>
      <c r="I2348" s="6" t="str">
        <f>"201855"</f>
        <v>201855</v>
      </c>
      <c r="J2348" s="6" t="str">
        <f>"AZUL 1855"</f>
        <v>AZUL 1855</v>
      </c>
      <c r="K2348" s="6" t="str">
        <f>"2020"</f>
        <v>2020</v>
      </c>
      <c r="L2348" s="6" t="str">
        <f>"Lençóis"</f>
        <v>Lençóis</v>
      </c>
      <c r="M2348" s="6" t="str">
        <f>"100x150"</f>
        <v>100x150</v>
      </c>
      <c r="N2348" s="6" t="str">
        <f>"5602972281064"</f>
        <v>5602972281064</v>
      </c>
      <c r="O2348" s="8">
        <v>6</v>
      </c>
      <c r="R2348" s="8">
        <v>0</v>
      </c>
      <c r="U2348" s="8">
        <v>0</v>
      </c>
      <c r="X2348" s="8">
        <v>0</v>
      </c>
      <c r="Z2348" s="8">
        <v>0</v>
      </c>
      <c r="AC2348" s="8">
        <v>0</v>
      </c>
      <c r="AF2348" s="8">
        <v>0</v>
      </c>
      <c r="AN2348" s="8">
        <v>0</v>
      </c>
      <c r="AO2348" s="8">
        <v>6</v>
      </c>
    </row>
    <row r="2349" spans="1:41" x14ac:dyDescent="0.25">
      <c r="A2349" s="6" t="str">
        <f t="shared" si="546"/>
        <v>522-2026000245</v>
      </c>
      <c r="B2349" s="6" t="str">
        <f t="shared" si="537"/>
        <v>EL CORTE</v>
      </c>
      <c r="C2349" s="7">
        <v>46037</v>
      </c>
      <c r="D2349" s="7">
        <v>46042</v>
      </c>
      <c r="E2349" s="8">
        <v>4</v>
      </c>
      <c r="F2349" s="6" t="str">
        <f t="shared" si="547"/>
        <v>94830201_07026</v>
      </c>
      <c r="G2349" s="6" t="str">
        <f t="shared" si="538"/>
        <v>F310631650000000</v>
      </c>
      <c r="H2349" s="6" t="str">
        <f t="shared" si="539"/>
        <v>PLAR 6316 FD - 500 g</v>
      </c>
      <c r="I2349" s="6" t="str">
        <f>"202575"</f>
        <v>202575</v>
      </c>
      <c r="J2349" s="6" t="str">
        <f>"BEGE 2575"</f>
        <v>BEGE 2575</v>
      </c>
      <c r="K2349" s="6" t="str">
        <f>"0520"</f>
        <v>0520</v>
      </c>
      <c r="L2349" s="6" t="str">
        <f>"Toalhetes"</f>
        <v>Toalhetes</v>
      </c>
      <c r="M2349" s="6" t="str">
        <f>"30x50"</f>
        <v>30x50</v>
      </c>
      <c r="N2349" s="6" t="str">
        <f>"5602972281071"</f>
        <v>5602972281071</v>
      </c>
      <c r="O2349" s="8">
        <v>6</v>
      </c>
      <c r="R2349" s="8">
        <v>0</v>
      </c>
      <c r="U2349" s="8">
        <v>0</v>
      </c>
      <c r="X2349" s="8">
        <v>0</v>
      </c>
      <c r="Z2349" s="8">
        <v>0</v>
      </c>
      <c r="AC2349" s="8">
        <v>0</v>
      </c>
      <c r="AF2349" s="8">
        <v>0</v>
      </c>
      <c r="AN2349" s="8">
        <v>6</v>
      </c>
      <c r="AO2349" s="8">
        <v>0</v>
      </c>
    </row>
    <row r="2350" spans="1:41" x14ac:dyDescent="0.25">
      <c r="A2350" s="6" t="str">
        <f t="shared" si="546"/>
        <v>522-2026000245</v>
      </c>
      <c r="B2350" s="6" t="str">
        <f t="shared" si="537"/>
        <v>EL CORTE</v>
      </c>
      <c r="C2350" s="7">
        <v>46037</v>
      </c>
      <c r="D2350" s="7">
        <v>46042</v>
      </c>
      <c r="E2350" s="8">
        <v>5</v>
      </c>
      <c r="F2350" s="6" t="str">
        <f t="shared" si="547"/>
        <v>94830201_07026</v>
      </c>
      <c r="G2350" s="6" t="str">
        <f t="shared" si="538"/>
        <v>F310631650000000</v>
      </c>
      <c r="H2350" s="6" t="str">
        <f t="shared" si="539"/>
        <v>PLAR 6316 FD - 500 g</v>
      </c>
      <c r="I2350" s="6" t="str">
        <f>"202575"</f>
        <v>202575</v>
      </c>
      <c r="J2350" s="6" t="str">
        <f>"BEGE 2575"</f>
        <v>BEGE 2575</v>
      </c>
      <c r="K2350" s="6" t="str">
        <f>"1024"</f>
        <v>1024</v>
      </c>
      <c r="L2350" s="6" t="str">
        <f>"Toalhas"</f>
        <v>Toalhas</v>
      </c>
      <c r="M2350" s="6" t="str">
        <f>"50x100"</f>
        <v>50x100</v>
      </c>
      <c r="N2350" s="6" t="str">
        <f>"5602972281088"</f>
        <v>5602972281088</v>
      </c>
      <c r="O2350" s="8">
        <v>6</v>
      </c>
      <c r="R2350" s="8">
        <v>0</v>
      </c>
      <c r="U2350" s="8">
        <v>0</v>
      </c>
      <c r="X2350" s="8">
        <v>0</v>
      </c>
      <c r="Z2350" s="8">
        <v>0</v>
      </c>
      <c r="AC2350" s="8">
        <v>0</v>
      </c>
      <c r="AF2350" s="8">
        <v>0</v>
      </c>
      <c r="AN2350" s="8">
        <v>6</v>
      </c>
      <c r="AO2350" s="8">
        <v>0</v>
      </c>
    </row>
    <row r="2351" spans="1:41" x14ac:dyDescent="0.25">
      <c r="A2351" s="6" t="str">
        <f t="shared" si="546"/>
        <v>522-2026000245</v>
      </c>
      <c r="B2351" s="6" t="str">
        <f t="shared" si="537"/>
        <v>EL CORTE</v>
      </c>
      <c r="C2351" s="7">
        <v>46037</v>
      </c>
      <c r="D2351" s="7">
        <v>46042</v>
      </c>
      <c r="E2351" s="8">
        <v>6</v>
      </c>
      <c r="F2351" s="6" t="str">
        <f t="shared" si="547"/>
        <v>94830201_07026</v>
      </c>
      <c r="G2351" s="6" t="str">
        <f t="shared" si="538"/>
        <v>F310631650000000</v>
      </c>
      <c r="H2351" s="6" t="str">
        <f t="shared" si="539"/>
        <v>PLAR 6316 FD - 500 g</v>
      </c>
      <c r="I2351" s="6" t="str">
        <f>"202575"</f>
        <v>202575</v>
      </c>
      <c r="J2351" s="6" t="str">
        <f>"BEGE 2575"</f>
        <v>BEGE 2575</v>
      </c>
      <c r="K2351" s="6" t="str">
        <f>"2020"</f>
        <v>2020</v>
      </c>
      <c r="L2351" s="6" t="str">
        <f>"Lençóis"</f>
        <v>Lençóis</v>
      </c>
      <c r="M2351" s="6" t="str">
        <f>"100x150"</f>
        <v>100x150</v>
      </c>
      <c r="N2351" s="6" t="str">
        <f>"5602972281095"</f>
        <v>5602972281095</v>
      </c>
      <c r="O2351" s="8">
        <v>6</v>
      </c>
      <c r="R2351" s="8">
        <v>0</v>
      </c>
      <c r="U2351" s="8">
        <v>0</v>
      </c>
      <c r="X2351" s="8">
        <v>0</v>
      </c>
      <c r="Z2351" s="8">
        <v>0</v>
      </c>
      <c r="AC2351" s="8">
        <v>0</v>
      </c>
      <c r="AF2351" s="8">
        <v>0</v>
      </c>
      <c r="AN2351" s="8">
        <v>0</v>
      </c>
      <c r="AO2351" s="8">
        <v>6</v>
      </c>
    </row>
    <row r="2352" spans="1:41" x14ac:dyDescent="0.25">
      <c r="A2352" s="6" t="str">
        <f t="shared" si="546"/>
        <v>522-2026000245</v>
      </c>
      <c r="B2352" s="6" t="str">
        <f t="shared" si="537"/>
        <v>EL CORTE</v>
      </c>
      <c r="C2352" s="7">
        <v>46037</v>
      </c>
      <c r="D2352" s="7">
        <v>46042</v>
      </c>
      <c r="E2352" s="8">
        <v>7</v>
      </c>
      <c r="F2352" s="6" t="str">
        <f t="shared" si="547"/>
        <v>94830201_07026</v>
      </c>
      <c r="G2352" s="6" t="str">
        <f t="shared" si="538"/>
        <v>F310631650000000</v>
      </c>
      <c r="H2352" s="6" t="str">
        <f t="shared" si="539"/>
        <v>PLAR 6316 FD - 500 g</v>
      </c>
      <c r="I2352" s="6" t="str">
        <f>"200901"</f>
        <v>200901</v>
      </c>
      <c r="J2352" s="6" t="str">
        <f>"ROSA 901"</f>
        <v>ROSA 901</v>
      </c>
      <c r="K2352" s="6" t="str">
        <f>"1024"</f>
        <v>1024</v>
      </c>
      <c r="L2352" s="6" t="str">
        <f>"Toalhas"</f>
        <v>Toalhas</v>
      </c>
      <c r="M2352" s="6" t="str">
        <f>"50x100"</f>
        <v>50x100</v>
      </c>
      <c r="N2352" s="6" t="str">
        <f>"5602972281118"</f>
        <v>5602972281118</v>
      </c>
      <c r="O2352" s="8">
        <v>6</v>
      </c>
      <c r="R2352" s="8">
        <v>0</v>
      </c>
      <c r="U2352" s="8">
        <v>0</v>
      </c>
      <c r="X2352" s="8">
        <v>0</v>
      </c>
      <c r="Z2352" s="8">
        <v>0</v>
      </c>
      <c r="AC2352" s="8">
        <v>0</v>
      </c>
      <c r="AF2352" s="8">
        <v>0</v>
      </c>
      <c r="AN2352" s="8">
        <v>6</v>
      </c>
      <c r="AO2352" s="8">
        <v>0</v>
      </c>
    </row>
    <row r="2353" spans="1:41" x14ac:dyDescent="0.25">
      <c r="A2353" s="6" t="str">
        <f t="shared" si="546"/>
        <v>522-2026000245</v>
      </c>
      <c r="B2353" s="6" t="str">
        <f t="shared" si="537"/>
        <v>EL CORTE</v>
      </c>
      <c r="C2353" s="7">
        <v>46037</v>
      </c>
      <c r="D2353" s="7">
        <v>46042</v>
      </c>
      <c r="E2353" s="8">
        <v>8</v>
      </c>
      <c r="F2353" s="6" t="str">
        <f t="shared" si="547"/>
        <v>94830201_07026</v>
      </c>
      <c r="G2353" s="6" t="str">
        <f t="shared" si="538"/>
        <v>F310631650000000</v>
      </c>
      <c r="H2353" s="6" t="str">
        <f t="shared" si="539"/>
        <v>PLAR 6316 FD - 500 g</v>
      </c>
      <c r="I2353" s="6" t="str">
        <f>"200510"</f>
        <v>200510</v>
      </c>
      <c r="J2353" s="6" t="str">
        <f>"VERDE 510"</f>
        <v>VERDE 510</v>
      </c>
      <c r="K2353" s="6" t="str">
        <f>"1024"</f>
        <v>1024</v>
      </c>
      <c r="L2353" s="6" t="str">
        <f>"Toalhas"</f>
        <v>Toalhas</v>
      </c>
      <c r="M2353" s="6" t="str">
        <f>"50x100"</f>
        <v>50x100</v>
      </c>
      <c r="N2353" s="6" t="str">
        <f>"5602972281149"</f>
        <v>5602972281149</v>
      </c>
      <c r="O2353" s="8">
        <v>6</v>
      </c>
      <c r="R2353" s="8">
        <v>0</v>
      </c>
      <c r="U2353" s="8">
        <v>0</v>
      </c>
      <c r="X2353" s="8">
        <v>0</v>
      </c>
      <c r="Z2353" s="8">
        <v>0</v>
      </c>
      <c r="AC2353" s="8">
        <v>0</v>
      </c>
      <c r="AF2353" s="8">
        <v>0</v>
      </c>
      <c r="AN2353" s="8">
        <v>6</v>
      </c>
      <c r="AO2353" s="8">
        <v>0</v>
      </c>
    </row>
    <row r="2354" spans="1:41" x14ac:dyDescent="0.25">
      <c r="A2354" s="6" t="str">
        <f t="shared" si="546"/>
        <v>522-2026000245</v>
      </c>
      <c r="B2354" s="6" t="str">
        <f t="shared" si="537"/>
        <v>EL CORTE</v>
      </c>
      <c r="C2354" s="7">
        <v>46037</v>
      </c>
      <c r="D2354" s="7">
        <v>46042</v>
      </c>
      <c r="E2354" s="8">
        <v>9</v>
      </c>
      <c r="F2354" s="6" t="str">
        <f t="shared" si="547"/>
        <v>94830201_07026</v>
      </c>
      <c r="G2354" s="6" t="str">
        <f t="shared" si="538"/>
        <v>F310631650000000</v>
      </c>
      <c r="H2354" s="6" t="str">
        <f t="shared" si="539"/>
        <v>PLAR 6316 FD - 500 g</v>
      </c>
      <c r="I2354" s="6" t="str">
        <f>"200510"</f>
        <v>200510</v>
      </c>
      <c r="J2354" s="6" t="str">
        <f>"VERDE 510"</f>
        <v>VERDE 510</v>
      </c>
      <c r="K2354" s="6" t="str">
        <f>"2020"</f>
        <v>2020</v>
      </c>
      <c r="L2354" s="6" t="str">
        <f>"Lençóis"</f>
        <v>Lençóis</v>
      </c>
      <c r="M2354" s="6" t="str">
        <f>"100x150"</f>
        <v>100x150</v>
      </c>
      <c r="N2354" s="6" t="str">
        <f>"5602972281156"</f>
        <v>5602972281156</v>
      </c>
      <c r="O2354" s="8">
        <v>9</v>
      </c>
      <c r="R2354" s="8">
        <v>0</v>
      </c>
      <c r="U2354" s="8">
        <v>0</v>
      </c>
      <c r="X2354" s="8">
        <v>0</v>
      </c>
      <c r="Z2354" s="8">
        <v>0</v>
      </c>
      <c r="AC2354" s="8">
        <v>0</v>
      </c>
      <c r="AF2354" s="8">
        <v>0</v>
      </c>
      <c r="AN2354" s="8">
        <v>0</v>
      </c>
      <c r="AO2354" s="8">
        <v>9</v>
      </c>
    </row>
    <row r="2355" spans="1:41" x14ac:dyDescent="0.25">
      <c r="A2355" s="6" t="str">
        <f t="shared" ref="A2355:A2361" si="548">"522-2026000246"</f>
        <v>522-2026000246</v>
      </c>
      <c r="B2355" s="6" t="str">
        <f t="shared" si="537"/>
        <v>EL CORTE</v>
      </c>
      <c r="C2355" s="7">
        <v>46037</v>
      </c>
      <c r="D2355" s="7">
        <v>46042</v>
      </c>
      <c r="E2355" s="8">
        <v>1</v>
      </c>
      <c r="F2355" s="6" t="str">
        <f t="shared" ref="F2355:F2361" si="549">"94830101_07026"</f>
        <v>94830101_07026</v>
      </c>
      <c r="G2355" s="6" t="str">
        <f t="shared" si="538"/>
        <v>F310631650000000</v>
      </c>
      <c r="H2355" s="6" t="str">
        <f t="shared" si="539"/>
        <v>PLAR 6316 FD - 500 g</v>
      </c>
      <c r="I2355" s="6" t="str">
        <f>"201855"</f>
        <v>201855</v>
      </c>
      <c r="J2355" s="6" t="str">
        <f>"AZUL 1855"</f>
        <v>AZUL 1855</v>
      </c>
      <c r="K2355" s="6" t="str">
        <f>"2020"</f>
        <v>2020</v>
      </c>
      <c r="L2355" s="6" t="str">
        <f>"Lençóis"</f>
        <v>Lençóis</v>
      </c>
      <c r="M2355" s="6" t="str">
        <f>"100x150"</f>
        <v>100x150</v>
      </c>
      <c r="N2355" s="6" t="str">
        <f>"5602972281064"</f>
        <v>5602972281064</v>
      </c>
      <c r="O2355" s="8">
        <v>3</v>
      </c>
      <c r="R2355" s="8">
        <v>0</v>
      </c>
      <c r="U2355" s="8">
        <v>0</v>
      </c>
      <c r="X2355" s="8">
        <v>0</v>
      </c>
      <c r="Z2355" s="8">
        <v>0</v>
      </c>
      <c r="AC2355" s="8">
        <v>0</v>
      </c>
      <c r="AF2355" s="8">
        <v>0</v>
      </c>
      <c r="AN2355" s="8">
        <v>0</v>
      </c>
      <c r="AO2355" s="8">
        <v>3</v>
      </c>
    </row>
    <row r="2356" spans="1:41" x14ac:dyDescent="0.25">
      <c r="A2356" s="6" t="str">
        <f t="shared" si="548"/>
        <v>522-2026000246</v>
      </c>
      <c r="B2356" s="6" t="str">
        <f t="shared" si="537"/>
        <v>EL CORTE</v>
      </c>
      <c r="C2356" s="7">
        <v>46037</v>
      </c>
      <c r="D2356" s="7">
        <v>46042</v>
      </c>
      <c r="E2356" s="8">
        <v>2</v>
      </c>
      <c r="F2356" s="6" t="str">
        <f t="shared" si="549"/>
        <v>94830101_07026</v>
      </c>
      <c r="G2356" s="6" t="str">
        <f t="shared" si="538"/>
        <v>F310631650000000</v>
      </c>
      <c r="H2356" s="6" t="str">
        <f t="shared" si="539"/>
        <v>PLAR 6316 FD - 500 g</v>
      </c>
      <c r="I2356" s="6" t="str">
        <f>"202575"</f>
        <v>202575</v>
      </c>
      <c r="J2356" s="6" t="str">
        <f>"BEGE 2575"</f>
        <v>BEGE 2575</v>
      </c>
      <c r="K2356" s="6" t="str">
        <f>"1024"</f>
        <v>1024</v>
      </c>
      <c r="L2356" s="6" t="str">
        <f>"Toalhas"</f>
        <v>Toalhas</v>
      </c>
      <c r="M2356" s="6" t="str">
        <f>"50x100"</f>
        <v>50x100</v>
      </c>
      <c r="N2356" s="6" t="str">
        <f>"5602972281088"</f>
        <v>5602972281088</v>
      </c>
      <c r="O2356" s="8">
        <v>6</v>
      </c>
      <c r="R2356" s="8">
        <v>0</v>
      </c>
      <c r="U2356" s="8">
        <v>0</v>
      </c>
      <c r="X2356" s="8">
        <v>0</v>
      </c>
      <c r="Z2356" s="8">
        <v>0</v>
      </c>
      <c r="AC2356" s="8">
        <v>0</v>
      </c>
      <c r="AF2356" s="8">
        <v>0</v>
      </c>
      <c r="AN2356" s="8">
        <v>6</v>
      </c>
      <c r="AO2356" s="8">
        <v>0</v>
      </c>
    </row>
    <row r="2357" spans="1:41" x14ac:dyDescent="0.25">
      <c r="A2357" s="6" t="str">
        <f t="shared" si="548"/>
        <v>522-2026000246</v>
      </c>
      <c r="B2357" s="6" t="str">
        <f t="shared" si="537"/>
        <v>EL CORTE</v>
      </c>
      <c r="C2357" s="7">
        <v>46037</v>
      </c>
      <c r="D2357" s="7">
        <v>46042</v>
      </c>
      <c r="E2357" s="8">
        <v>3</v>
      </c>
      <c r="F2357" s="6" t="str">
        <f t="shared" si="549"/>
        <v>94830101_07026</v>
      </c>
      <c r="G2357" s="6" t="str">
        <f t="shared" si="538"/>
        <v>F310631650000000</v>
      </c>
      <c r="H2357" s="6" t="str">
        <f t="shared" si="539"/>
        <v>PLAR 6316 FD - 500 g</v>
      </c>
      <c r="I2357" s="6" t="str">
        <f>"202575"</f>
        <v>202575</v>
      </c>
      <c r="J2357" s="6" t="str">
        <f>"BEGE 2575"</f>
        <v>BEGE 2575</v>
      </c>
      <c r="K2357" s="6" t="str">
        <f>"2020"</f>
        <v>2020</v>
      </c>
      <c r="L2357" s="6" t="str">
        <f>"Lençóis"</f>
        <v>Lençóis</v>
      </c>
      <c r="M2357" s="6" t="str">
        <f>"100x150"</f>
        <v>100x150</v>
      </c>
      <c r="N2357" s="6" t="str">
        <f>"5602972281095"</f>
        <v>5602972281095</v>
      </c>
      <c r="O2357" s="8">
        <v>6</v>
      </c>
      <c r="R2357" s="8">
        <v>0</v>
      </c>
      <c r="U2357" s="8">
        <v>0</v>
      </c>
      <c r="X2357" s="8">
        <v>0</v>
      </c>
      <c r="Z2357" s="8">
        <v>0</v>
      </c>
      <c r="AC2357" s="8">
        <v>0</v>
      </c>
      <c r="AF2357" s="8">
        <v>0</v>
      </c>
      <c r="AN2357" s="8">
        <v>0</v>
      </c>
      <c r="AO2357" s="8">
        <v>6</v>
      </c>
    </row>
    <row r="2358" spans="1:41" x14ac:dyDescent="0.25">
      <c r="A2358" s="6" t="str">
        <f t="shared" si="548"/>
        <v>522-2026000246</v>
      </c>
      <c r="B2358" s="6" t="str">
        <f t="shared" si="537"/>
        <v>EL CORTE</v>
      </c>
      <c r="C2358" s="7">
        <v>46037</v>
      </c>
      <c r="D2358" s="7">
        <v>46042</v>
      </c>
      <c r="E2358" s="8">
        <v>4</v>
      </c>
      <c r="F2358" s="6" t="str">
        <f t="shared" si="549"/>
        <v>94830101_07026</v>
      </c>
      <c r="G2358" s="6" t="str">
        <f t="shared" si="538"/>
        <v>F310631650000000</v>
      </c>
      <c r="H2358" s="6" t="str">
        <f t="shared" si="539"/>
        <v>PLAR 6316 FD - 500 g</v>
      </c>
      <c r="I2358" s="6" t="str">
        <f>"200901"</f>
        <v>200901</v>
      </c>
      <c r="J2358" s="6" t="str">
        <f>"ROSA 901"</f>
        <v>ROSA 901</v>
      </c>
      <c r="K2358" s="6" t="str">
        <f>"1024"</f>
        <v>1024</v>
      </c>
      <c r="L2358" s="6" t="str">
        <f>"Toalhas"</f>
        <v>Toalhas</v>
      </c>
      <c r="M2358" s="6" t="str">
        <f>"50x100"</f>
        <v>50x100</v>
      </c>
      <c r="N2358" s="6" t="str">
        <f>"5602972281118"</f>
        <v>5602972281118</v>
      </c>
      <c r="O2358" s="8">
        <v>6</v>
      </c>
      <c r="R2358" s="8">
        <v>0</v>
      </c>
      <c r="U2358" s="8">
        <v>0</v>
      </c>
      <c r="X2358" s="8">
        <v>0</v>
      </c>
      <c r="Z2358" s="8">
        <v>0</v>
      </c>
      <c r="AC2358" s="8">
        <v>0</v>
      </c>
      <c r="AF2358" s="8">
        <v>0</v>
      </c>
      <c r="AN2358" s="8">
        <v>6</v>
      </c>
      <c r="AO2358" s="8">
        <v>0</v>
      </c>
    </row>
    <row r="2359" spans="1:41" x14ac:dyDescent="0.25">
      <c r="A2359" s="6" t="str">
        <f t="shared" si="548"/>
        <v>522-2026000246</v>
      </c>
      <c r="B2359" s="6" t="str">
        <f t="shared" si="537"/>
        <v>EL CORTE</v>
      </c>
      <c r="C2359" s="7">
        <v>46037</v>
      </c>
      <c r="D2359" s="7">
        <v>46042</v>
      </c>
      <c r="E2359" s="8">
        <v>5</v>
      </c>
      <c r="F2359" s="6" t="str">
        <f t="shared" si="549"/>
        <v>94830101_07026</v>
      </c>
      <c r="G2359" s="6" t="str">
        <f t="shared" si="538"/>
        <v>F310631650000000</v>
      </c>
      <c r="H2359" s="6" t="str">
        <f t="shared" si="539"/>
        <v>PLAR 6316 FD - 500 g</v>
      </c>
      <c r="I2359" s="6" t="str">
        <f>"200901"</f>
        <v>200901</v>
      </c>
      <c r="J2359" s="6" t="str">
        <f>"ROSA 901"</f>
        <v>ROSA 901</v>
      </c>
      <c r="K2359" s="6" t="str">
        <f>"2020"</f>
        <v>2020</v>
      </c>
      <c r="L2359" s="6" t="str">
        <f>"Lençóis"</f>
        <v>Lençóis</v>
      </c>
      <c r="M2359" s="6" t="str">
        <f>"100x150"</f>
        <v>100x150</v>
      </c>
      <c r="N2359" s="6" t="str">
        <f>"5602972281125"</f>
        <v>5602972281125</v>
      </c>
      <c r="O2359" s="8">
        <v>3</v>
      </c>
      <c r="R2359" s="8">
        <v>0</v>
      </c>
      <c r="U2359" s="8">
        <v>0</v>
      </c>
      <c r="X2359" s="8">
        <v>0</v>
      </c>
      <c r="Z2359" s="8">
        <v>0</v>
      </c>
      <c r="AC2359" s="8">
        <v>0</v>
      </c>
      <c r="AF2359" s="8">
        <v>0</v>
      </c>
      <c r="AN2359" s="8">
        <v>0</v>
      </c>
      <c r="AO2359" s="8">
        <v>3</v>
      </c>
    </row>
    <row r="2360" spans="1:41" x14ac:dyDescent="0.25">
      <c r="A2360" s="6" t="str">
        <f t="shared" si="548"/>
        <v>522-2026000246</v>
      </c>
      <c r="B2360" s="6" t="str">
        <f t="shared" si="537"/>
        <v>EL CORTE</v>
      </c>
      <c r="C2360" s="7">
        <v>46037</v>
      </c>
      <c r="D2360" s="7">
        <v>46042</v>
      </c>
      <c r="E2360" s="8">
        <v>6</v>
      </c>
      <c r="F2360" s="6" t="str">
        <f t="shared" si="549"/>
        <v>94830101_07026</v>
      </c>
      <c r="G2360" s="6" t="str">
        <f t="shared" si="538"/>
        <v>F310631650000000</v>
      </c>
      <c r="H2360" s="6" t="str">
        <f t="shared" si="539"/>
        <v>PLAR 6316 FD - 500 g</v>
      </c>
      <c r="I2360" s="6" t="str">
        <f>"200510"</f>
        <v>200510</v>
      </c>
      <c r="J2360" s="6" t="str">
        <f>"VERDE 510"</f>
        <v>VERDE 510</v>
      </c>
      <c r="K2360" s="6" t="str">
        <f>"1024"</f>
        <v>1024</v>
      </c>
      <c r="L2360" s="6" t="str">
        <f>"Toalhas"</f>
        <v>Toalhas</v>
      </c>
      <c r="M2360" s="6" t="str">
        <f>"50x100"</f>
        <v>50x100</v>
      </c>
      <c r="N2360" s="6" t="str">
        <f>"5602972281149"</f>
        <v>5602972281149</v>
      </c>
      <c r="O2360" s="8">
        <v>6</v>
      </c>
      <c r="R2360" s="8">
        <v>0</v>
      </c>
      <c r="U2360" s="8">
        <v>0</v>
      </c>
      <c r="X2360" s="8">
        <v>0</v>
      </c>
      <c r="Z2360" s="8">
        <v>0</v>
      </c>
      <c r="AC2360" s="8">
        <v>0</v>
      </c>
      <c r="AF2360" s="8">
        <v>0</v>
      </c>
      <c r="AN2360" s="8">
        <v>6</v>
      </c>
      <c r="AO2360" s="8">
        <v>0</v>
      </c>
    </row>
    <row r="2361" spans="1:41" x14ac:dyDescent="0.25">
      <c r="A2361" s="6" t="str">
        <f t="shared" si="548"/>
        <v>522-2026000246</v>
      </c>
      <c r="B2361" s="6" t="str">
        <f t="shared" si="537"/>
        <v>EL CORTE</v>
      </c>
      <c r="C2361" s="7">
        <v>46037</v>
      </c>
      <c r="D2361" s="7">
        <v>46042</v>
      </c>
      <c r="E2361" s="8">
        <v>7</v>
      </c>
      <c r="F2361" s="6" t="str">
        <f t="shared" si="549"/>
        <v>94830101_07026</v>
      </c>
      <c r="G2361" s="6" t="str">
        <f t="shared" si="538"/>
        <v>F310631650000000</v>
      </c>
      <c r="H2361" s="6" t="str">
        <f t="shared" si="539"/>
        <v>PLAR 6316 FD - 500 g</v>
      </c>
      <c r="I2361" s="6" t="str">
        <f>"200510"</f>
        <v>200510</v>
      </c>
      <c r="J2361" s="6" t="str">
        <f>"VERDE 510"</f>
        <v>VERDE 510</v>
      </c>
      <c r="K2361" s="6" t="str">
        <f>"2020"</f>
        <v>2020</v>
      </c>
      <c r="L2361" s="6" t="str">
        <f>"Lençóis"</f>
        <v>Lençóis</v>
      </c>
      <c r="M2361" s="6" t="str">
        <f>"100x150"</f>
        <v>100x150</v>
      </c>
      <c r="N2361" s="6" t="str">
        <f>"5602972281156"</f>
        <v>5602972281156</v>
      </c>
      <c r="O2361" s="8">
        <v>3</v>
      </c>
      <c r="R2361" s="8">
        <v>0</v>
      </c>
      <c r="U2361" s="8">
        <v>0</v>
      </c>
      <c r="X2361" s="8">
        <v>0</v>
      </c>
      <c r="Z2361" s="8">
        <v>0</v>
      </c>
      <c r="AC2361" s="8">
        <v>0</v>
      </c>
      <c r="AF2361" s="8">
        <v>0</v>
      </c>
      <c r="AN2361" s="8">
        <v>0</v>
      </c>
      <c r="AO2361" s="8">
        <v>3</v>
      </c>
    </row>
    <row r="2362" spans="1:41" x14ac:dyDescent="0.25">
      <c r="A2362" s="6" t="str">
        <f t="shared" ref="A2362:A2370" si="550">"522-2026000247"</f>
        <v>522-2026000247</v>
      </c>
      <c r="B2362" s="6" t="str">
        <f t="shared" si="537"/>
        <v>EL CORTE</v>
      </c>
      <c r="C2362" s="7">
        <v>46037</v>
      </c>
      <c r="D2362" s="7">
        <v>46042</v>
      </c>
      <c r="E2362" s="8">
        <v>1</v>
      </c>
      <c r="F2362" s="6" t="str">
        <f t="shared" ref="F2362:F2370" si="551">"94830001_07026"</f>
        <v>94830001_07026</v>
      </c>
      <c r="G2362" s="6" t="str">
        <f t="shared" si="538"/>
        <v>F310631650000000</v>
      </c>
      <c r="H2362" s="6" t="str">
        <f t="shared" si="539"/>
        <v>PLAR 6316 FD - 500 g</v>
      </c>
      <c r="I2362" s="6" t="str">
        <f>"201855"</f>
        <v>201855</v>
      </c>
      <c r="J2362" s="6" t="str">
        <f>"AZUL 1855"</f>
        <v>AZUL 1855</v>
      </c>
      <c r="K2362" s="6" t="str">
        <f>"1024"</f>
        <v>1024</v>
      </c>
      <c r="L2362" s="6" t="str">
        <f>"Toalhas"</f>
        <v>Toalhas</v>
      </c>
      <c r="M2362" s="6" t="str">
        <f>"50x100"</f>
        <v>50x100</v>
      </c>
      <c r="N2362" s="6" t="str">
        <f>"5602972281057"</f>
        <v>5602972281057</v>
      </c>
      <c r="O2362" s="8">
        <v>6</v>
      </c>
      <c r="R2362" s="8">
        <v>0</v>
      </c>
      <c r="U2362" s="8">
        <v>0</v>
      </c>
      <c r="X2362" s="8">
        <v>0</v>
      </c>
      <c r="Z2362" s="8">
        <v>0</v>
      </c>
      <c r="AC2362" s="8">
        <v>0</v>
      </c>
      <c r="AF2362" s="8">
        <v>0</v>
      </c>
      <c r="AN2362" s="8">
        <v>6</v>
      </c>
      <c r="AO2362" s="8">
        <v>0</v>
      </c>
    </row>
    <row r="2363" spans="1:41" x14ac:dyDescent="0.25">
      <c r="A2363" s="6" t="str">
        <f t="shared" si="550"/>
        <v>522-2026000247</v>
      </c>
      <c r="B2363" s="6" t="str">
        <f t="shared" si="537"/>
        <v>EL CORTE</v>
      </c>
      <c r="C2363" s="7">
        <v>46037</v>
      </c>
      <c r="D2363" s="7">
        <v>46042</v>
      </c>
      <c r="E2363" s="8">
        <v>2</v>
      </c>
      <c r="F2363" s="6" t="str">
        <f t="shared" si="551"/>
        <v>94830001_07026</v>
      </c>
      <c r="G2363" s="6" t="str">
        <f t="shared" si="538"/>
        <v>F310631650000000</v>
      </c>
      <c r="H2363" s="6" t="str">
        <f t="shared" si="539"/>
        <v>PLAR 6316 FD - 500 g</v>
      </c>
      <c r="I2363" s="6" t="str">
        <f>"201855"</f>
        <v>201855</v>
      </c>
      <c r="J2363" s="6" t="str">
        <f>"AZUL 1855"</f>
        <v>AZUL 1855</v>
      </c>
      <c r="K2363" s="6" t="str">
        <f>"2020"</f>
        <v>2020</v>
      </c>
      <c r="L2363" s="6" t="str">
        <f>"Lençóis"</f>
        <v>Lençóis</v>
      </c>
      <c r="M2363" s="6" t="str">
        <f>"100x150"</f>
        <v>100x150</v>
      </c>
      <c r="N2363" s="6" t="str">
        <f>"5602972281064"</f>
        <v>5602972281064</v>
      </c>
      <c r="O2363" s="8">
        <v>3</v>
      </c>
      <c r="R2363" s="8">
        <v>0</v>
      </c>
      <c r="U2363" s="8">
        <v>0</v>
      </c>
      <c r="X2363" s="8">
        <v>0</v>
      </c>
      <c r="Z2363" s="8">
        <v>0</v>
      </c>
      <c r="AC2363" s="8">
        <v>0</v>
      </c>
      <c r="AF2363" s="8">
        <v>0</v>
      </c>
      <c r="AN2363" s="8">
        <v>0</v>
      </c>
      <c r="AO2363" s="8">
        <v>3</v>
      </c>
    </row>
    <row r="2364" spans="1:41" x14ac:dyDescent="0.25">
      <c r="A2364" s="6" t="str">
        <f t="shared" si="550"/>
        <v>522-2026000247</v>
      </c>
      <c r="B2364" s="6" t="str">
        <f t="shared" si="537"/>
        <v>EL CORTE</v>
      </c>
      <c r="C2364" s="7">
        <v>46037</v>
      </c>
      <c r="D2364" s="7">
        <v>46042</v>
      </c>
      <c r="E2364" s="8">
        <v>3</v>
      </c>
      <c r="F2364" s="6" t="str">
        <f t="shared" si="551"/>
        <v>94830001_07026</v>
      </c>
      <c r="G2364" s="6" t="str">
        <f t="shared" si="538"/>
        <v>F310631650000000</v>
      </c>
      <c r="H2364" s="6" t="str">
        <f t="shared" si="539"/>
        <v>PLAR 6316 FD - 500 g</v>
      </c>
      <c r="I2364" s="6" t="str">
        <f>"202575"</f>
        <v>202575</v>
      </c>
      <c r="J2364" s="6" t="str">
        <f>"BEGE 2575"</f>
        <v>BEGE 2575</v>
      </c>
      <c r="K2364" s="6" t="str">
        <f>"0520"</f>
        <v>0520</v>
      </c>
      <c r="L2364" s="6" t="str">
        <f>"Toalhetes"</f>
        <v>Toalhetes</v>
      </c>
      <c r="M2364" s="6" t="str">
        <f>"30x50"</f>
        <v>30x50</v>
      </c>
      <c r="N2364" s="6" t="str">
        <f>"5602972281071"</f>
        <v>5602972281071</v>
      </c>
      <c r="O2364" s="8">
        <v>6</v>
      </c>
      <c r="R2364" s="8">
        <v>0</v>
      </c>
      <c r="U2364" s="8">
        <v>0</v>
      </c>
      <c r="X2364" s="8">
        <v>0</v>
      </c>
      <c r="Z2364" s="8">
        <v>0</v>
      </c>
      <c r="AC2364" s="8">
        <v>0</v>
      </c>
      <c r="AF2364" s="8">
        <v>0</v>
      </c>
      <c r="AN2364" s="8">
        <v>6</v>
      </c>
      <c r="AO2364" s="8">
        <v>0</v>
      </c>
    </row>
    <row r="2365" spans="1:41" x14ac:dyDescent="0.25">
      <c r="A2365" s="6" t="str">
        <f t="shared" si="550"/>
        <v>522-2026000247</v>
      </c>
      <c r="B2365" s="6" t="str">
        <f t="shared" si="537"/>
        <v>EL CORTE</v>
      </c>
      <c r="C2365" s="7">
        <v>46037</v>
      </c>
      <c r="D2365" s="7">
        <v>46042</v>
      </c>
      <c r="E2365" s="8">
        <v>4</v>
      </c>
      <c r="F2365" s="6" t="str">
        <f t="shared" si="551"/>
        <v>94830001_07026</v>
      </c>
      <c r="G2365" s="6" t="str">
        <f t="shared" si="538"/>
        <v>F310631650000000</v>
      </c>
      <c r="H2365" s="6" t="str">
        <f t="shared" si="539"/>
        <v>PLAR 6316 FD - 500 g</v>
      </c>
      <c r="I2365" s="6" t="str">
        <f>"202575"</f>
        <v>202575</v>
      </c>
      <c r="J2365" s="6" t="str">
        <f>"BEGE 2575"</f>
        <v>BEGE 2575</v>
      </c>
      <c r="K2365" s="6" t="str">
        <f>"1024"</f>
        <v>1024</v>
      </c>
      <c r="L2365" s="6" t="str">
        <f>"Toalhas"</f>
        <v>Toalhas</v>
      </c>
      <c r="M2365" s="6" t="str">
        <f>"50x100"</f>
        <v>50x100</v>
      </c>
      <c r="N2365" s="6" t="str">
        <f>"5602972281088"</f>
        <v>5602972281088</v>
      </c>
      <c r="O2365" s="8">
        <v>6</v>
      </c>
      <c r="R2365" s="8">
        <v>0</v>
      </c>
      <c r="U2365" s="8">
        <v>0</v>
      </c>
      <c r="X2365" s="8">
        <v>0</v>
      </c>
      <c r="Z2365" s="8">
        <v>0</v>
      </c>
      <c r="AC2365" s="8">
        <v>0</v>
      </c>
      <c r="AF2365" s="8">
        <v>0</v>
      </c>
      <c r="AN2365" s="8">
        <v>6</v>
      </c>
      <c r="AO2365" s="8">
        <v>0</v>
      </c>
    </row>
    <row r="2366" spans="1:41" x14ac:dyDescent="0.25">
      <c r="A2366" s="6" t="str">
        <f t="shared" si="550"/>
        <v>522-2026000247</v>
      </c>
      <c r="B2366" s="6" t="str">
        <f t="shared" si="537"/>
        <v>EL CORTE</v>
      </c>
      <c r="C2366" s="7">
        <v>46037</v>
      </c>
      <c r="D2366" s="7">
        <v>46042</v>
      </c>
      <c r="E2366" s="8">
        <v>5</v>
      </c>
      <c r="F2366" s="6" t="str">
        <f t="shared" si="551"/>
        <v>94830001_07026</v>
      </c>
      <c r="G2366" s="6" t="str">
        <f t="shared" si="538"/>
        <v>F310631650000000</v>
      </c>
      <c r="H2366" s="6" t="str">
        <f t="shared" si="539"/>
        <v>PLAR 6316 FD - 500 g</v>
      </c>
      <c r="I2366" s="6" t="str">
        <f>"202575"</f>
        <v>202575</v>
      </c>
      <c r="J2366" s="6" t="str">
        <f>"BEGE 2575"</f>
        <v>BEGE 2575</v>
      </c>
      <c r="K2366" s="6" t="str">
        <f>"2020"</f>
        <v>2020</v>
      </c>
      <c r="L2366" s="6" t="str">
        <f>"Lençóis"</f>
        <v>Lençóis</v>
      </c>
      <c r="M2366" s="6" t="str">
        <f>"100x150"</f>
        <v>100x150</v>
      </c>
      <c r="N2366" s="6" t="str">
        <f>"5602972281095"</f>
        <v>5602972281095</v>
      </c>
      <c r="O2366" s="8">
        <v>9</v>
      </c>
      <c r="R2366" s="8">
        <v>0</v>
      </c>
      <c r="U2366" s="8">
        <v>0</v>
      </c>
      <c r="X2366" s="8">
        <v>0</v>
      </c>
      <c r="Z2366" s="8">
        <v>0</v>
      </c>
      <c r="AC2366" s="8">
        <v>0</v>
      </c>
      <c r="AF2366" s="8">
        <v>0</v>
      </c>
      <c r="AN2366" s="8">
        <v>0</v>
      </c>
      <c r="AO2366" s="8">
        <v>9</v>
      </c>
    </row>
    <row r="2367" spans="1:41" x14ac:dyDescent="0.25">
      <c r="A2367" s="6" t="str">
        <f t="shared" si="550"/>
        <v>522-2026000247</v>
      </c>
      <c r="B2367" s="6" t="str">
        <f t="shared" si="537"/>
        <v>EL CORTE</v>
      </c>
      <c r="C2367" s="7">
        <v>46037</v>
      </c>
      <c r="D2367" s="7">
        <v>46042</v>
      </c>
      <c r="E2367" s="8">
        <v>6</v>
      </c>
      <c r="F2367" s="6" t="str">
        <f t="shared" si="551"/>
        <v>94830001_07026</v>
      </c>
      <c r="G2367" s="6" t="str">
        <f t="shared" si="538"/>
        <v>F310631650000000</v>
      </c>
      <c r="H2367" s="6" t="str">
        <f t="shared" si="539"/>
        <v>PLAR 6316 FD - 500 g</v>
      </c>
      <c r="I2367" s="6" t="str">
        <f>"200901"</f>
        <v>200901</v>
      </c>
      <c r="J2367" s="6" t="str">
        <f>"ROSA 901"</f>
        <v>ROSA 901</v>
      </c>
      <c r="K2367" s="6" t="str">
        <f>"1024"</f>
        <v>1024</v>
      </c>
      <c r="L2367" s="6" t="str">
        <f>"Toalhas"</f>
        <v>Toalhas</v>
      </c>
      <c r="M2367" s="6" t="str">
        <f>"50x100"</f>
        <v>50x100</v>
      </c>
      <c r="N2367" s="6" t="str">
        <f>"5602972281118"</f>
        <v>5602972281118</v>
      </c>
      <c r="O2367" s="8">
        <v>6</v>
      </c>
      <c r="R2367" s="8">
        <v>0</v>
      </c>
      <c r="U2367" s="8">
        <v>0</v>
      </c>
      <c r="X2367" s="8">
        <v>0</v>
      </c>
      <c r="Z2367" s="8">
        <v>0</v>
      </c>
      <c r="AC2367" s="8">
        <v>0</v>
      </c>
      <c r="AF2367" s="8">
        <v>0</v>
      </c>
      <c r="AN2367" s="8">
        <v>6</v>
      </c>
      <c r="AO2367" s="8">
        <v>0</v>
      </c>
    </row>
    <row r="2368" spans="1:41" x14ac:dyDescent="0.25">
      <c r="A2368" s="6" t="str">
        <f t="shared" si="550"/>
        <v>522-2026000247</v>
      </c>
      <c r="B2368" s="6" t="str">
        <f t="shared" si="537"/>
        <v>EL CORTE</v>
      </c>
      <c r="C2368" s="7">
        <v>46037</v>
      </c>
      <c r="D2368" s="7">
        <v>46042</v>
      </c>
      <c r="E2368" s="8">
        <v>7</v>
      </c>
      <c r="F2368" s="6" t="str">
        <f t="shared" si="551"/>
        <v>94830001_07026</v>
      </c>
      <c r="G2368" s="6" t="str">
        <f t="shared" si="538"/>
        <v>F310631650000000</v>
      </c>
      <c r="H2368" s="6" t="str">
        <f t="shared" si="539"/>
        <v>PLAR 6316 FD - 500 g</v>
      </c>
      <c r="I2368" s="6" t="str">
        <f>"200901"</f>
        <v>200901</v>
      </c>
      <c r="J2368" s="6" t="str">
        <f>"ROSA 901"</f>
        <v>ROSA 901</v>
      </c>
      <c r="K2368" s="6" t="str">
        <f>"2020"</f>
        <v>2020</v>
      </c>
      <c r="L2368" s="6" t="str">
        <f>"Lençóis"</f>
        <v>Lençóis</v>
      </c>
      <c r="M2368" s="6" t="str">
        <f>"100x150"</f>
        <v>100x150</v>
      </c>
      <c r="N2368" s="6" t="str">
        <f>"5602972281125"</f>
        <v>5602972281125</v>
      </c>
      <c r="O2368" s="8">
        <v>6</v>
      </c>
      <c r="R2368" s="8">
        <v>0</v>
      </c>
      <c r="U2368" s="8">
        <v>0</v>
      </c>
      <c r="X2368" s="8">
        <v>0</v>
      </c>
      <c r="Z2368" s="8">
        <v>0</v>
      </c>
      <c r="AC2368" s="8">
        <v>0</v>
      </c>
      <c r="AF2368" s="8">
        <v>0</v>
      </c>
      <c r="AN2368" s="8">
        <v>0</v>
      </c>
      <c r="AO2368" s="8">
        <v>6</v>
      </c>
    </row>
    <row r="2369" spans="1:41" x14ac:dyDescent="0.25">
      <c r="A2369" s="6" t="str">
        <f t="shared" si="550"/>
        <v>522-2026000247</v>
      </c>
      <c r="B2369" s="6" t="str">
        <f t="shared" si="537"/>
        <v>EL CORTE</v>
      </c>
      <c r="C2369" s="7">
        <v>46037</v>
      </c>
      <c r="D2369" s="7">
        <v>46042</v>
      </c>
      <c r="E2369" s="8">
        <v>8</v>
      </c>
      <c r="F2369" s="6" t="str">
        <f t="shared" si="551"/>
        <v>94830001_07026</v>
      </c>
      <c r="G2369" s="6" t="str">
        <f t="shared" si="538"/>
        <v>F310631650000000</v>
      </c>
      <c r="H2369" s="6" t="str">
        <f t="shared" si="539"/>
        <v>PLAR 6316 FD - 500 g</v>
      </c>
      <c r="I2369" s="6" t="str">
        <f>"200510"</f>
        <v>200510</v>
      </c>
      <c r="J2369" s="6" t="str">
        <f>"VERDE 510"</f>
        <v>VERDE 510</v>
      </c>
      <c r="K2369" s="6" t="str">
        <f>"1024"</f>
        <v>1024</v>
      </c>
      <c r="L2369" s="6" t="str">
        <f>"Toalhas"</f>
        <v>Toalhas</v>
      </c>
      <c r="M2369" s="6" t="str">
        <f>"50x100"</f>
        <v>50x100</v>
      </c>
      <c r="N2369" s="6" t="str">
        <f>"5602972281149"</f>
        <v>5602972281149</v>
      </c>
      <c r="O2369" s="8">
        <v>6</v>
      </c>
      <c r="R2369" s="8">
        <v>0</v>
      </c>
      <c r="U2369" s="8">
        <v>0</v>
      </c>
      <c r="X2369" s="8">
        <v>0</v>
      </c>
      <c r="Z2369" s="8">
        <v>0</v>
      </c>
      <c r="AC2369" s="8">
        <v>0</v>
      </c>
      <c r="AF2369" s="8">
        <v>0</v>
      </c>
      <c r="AN2369" s="8">
        <v>6</v>
      </c>
      <c r="AO2369" s="8">
        <v>0</v>
      </c>
    </row>
    <row r="2370" spans="1:41" x14ac:dyDescent="0.25">
      <c r="A2370" s="6" t="str">
        <f t="shared" si="550"/>
        <v>522-2026000247</v>
      </c>
      <c r="B2370" s="6" t="str">
        <f t="shared" si="537"/>
        <v>EL CORTE</v>
      </c>
      <c r="C2370" s="7">
        <v>46037</v>
      </c>
      <c r="D2370" s="7">
        <v>46042</v>
      </c>
      <c r="E2370" s="8">
        <v>9</v>
      </c>
      <c r="F2370" s="6" t="str">
        <f t="shared" si="551"/>
        <v>94830001_07026</v>
      </c>
      <c r="G2370" s="6" t="str">
        <f t="shared" si="538"/>
        <v>F310631650000000</v>
      </c>
      <c r="H2370" s="6" t="str">
        <f t="shared" si="539"/>
        <v>PLAR 6316 FD - 500 g</v>
      </c>
      <c r="I2370" s="6" t="str">
        <f>"200510"</f>
        <v>200510</v>
      </c>
      <c r="J2370" s="6" t="str">
        <f>"VERDE 510"</f>
        <v>VERDE 510</v>
      </c>
      <c r="K2370" s="6" t="str">
        <f>"2020"</f>
        <v>2020</v>
      </c>
      <c r="L2370" s="6" t="str">
        <f>"Lençóis"</f>
        <v>Lençóis</v>
      </c>
      <c r="M2370" s="6" t="str">
        <f>"100x150"</f>
        <v>100x150</v>
      </c>
      <c r="N2370" s="6" t="str">
        <f>"5602972281156"</f>
        <v>5602972281156</v>
      </c>
      <c r="O2370" s="8">
        <v>9</v>
      </c>
      <c r="R2370" s="8">
        <v>0</v>
      </c>
      <c r="U2370" s="8">
        <v>0</v>
      </c>
      <c r="X2370" s="8">
        <v>0</v>
      </c>
      <c r="Z2370" s="8">
        <v>0</v>
      </c>
      <c r="AC2370" s="8">
        <v>0</v>
      </c>
      <c r="AF2370" s="8">
        <v>0</v>
      </c>
      <c r="AN2370" s="8">
        <v>0</v>
      </c>
      <c r="AO2370" s="8">
        <v>9</v>
      </c>
    </row>
    <row r="2371" spans="1:41" x14ac:dyDescent="0.25">
      <c r="A2371" s="6" t="str">
        <f t="shared" ref="A2371:A2381" si="552">"522-2026000248"</f>
        <v>522-2026000248</v>
      </c>
      <c r="B2371" s="6" t="str">
        <f t="shared" si="537"/>
        <v>EL CORTE</v>
      </c>
      <c r="C2371" s="7">
        <v>46037</v>
      </c>
      <c r="D2371" s="7">
        <v>46042</v>
      </c>
      <c r="E2371" s="8">
        <v>1</v>
      </c>
      <c r="F2371" s="6" t="str">
        <f t="shared" ref="F2371:F2381" si="553">"94831901_07026"</f>
        <v>94831901_07026</v>
      </c>
      <c r="G2371" s="6" t="str">
        <f t="shared" si="538"/>
        <v>F310631650000000</v>
      </c>
      <c r="H2371" s="6" t="str">
        <f t="shared" si="539"/>
        <v>PLAR 6316 FD - 500 g</v>
      </c>
      <c r="I2371" s="6" t="str">
        <f>"201855"</f>
        <v>201855</v>
      </c>
      <c r="J2371" s="6" t="str">
        <f>"AZUL 1855"</f>
        <v>AZUL 1855</v>
      </c>
      <c r="K2371" s="6" t="str">
        <f>"0520"</f>
        <v>0520</v>
      </c>
      <c r="L2371" s="6" t="str">
        <f>"Toalhetes"</f>
        <v>Toalhetes</v>
      </c>
      <c r="M2371" s="6" t="str">
        <f>"30x50"</f>
        <v>30x50</v>
      </c>
      <c r="N2371" s="6" t="str">
        <f>"5602972281040"</f>
        <v>5602972281040</v>
      </c>
      <c r="O2371" s="8">
        <v>6</v>
      </c>
      <c r="R2371" s="8">
        <v>0</v>
      </c>
      <c r="U2371" s="8">
        <v>0</v>
      </c>
      <c r="X2371" s="8">
        <v>0</v>
      </c>
      <c r="Z2371" s="8">
        <v>0</v>
      </c>
      <c r="AC2371" s="8">
        <v>0</v>
      </c>
      <c r="AF2371" s="8">
        <v>0</v>
      </c>
      <c r="AN2371" s="8">
        <v>6</v>
      </c>
      <c r="AO2371" s="8">
        <v>0</v>
      </c>
    </row>
    <row r="2372" spans="1:41" x14ac:dyDescent="0.25">
      <c r="A2372" s="6" t="str">
        <f t="shared" si="552"/>
        <v>522-2026000248</v>
      </c>
      <c r="B2372" s="6" t="str">
        <f t="shared" si="537"/>
        <v>EL CORTE</v>
      </c>
      <c r="C2372" s="7">
        <v>46037</v>
      </c>
      <c r="D2372" s="7">
        <v>46042</v>
      </c>
      <c r="E2372" s="8">
        <v>2</v>
      </c>
      <c r="F2372" s="6" t="str">
        <f t="shared" si="553"/>
        <v>94831901_07026</v>
      </c>
      <c r="G2372" s="6" t="str">
        <f t="shared" si="538"/>
        <v>F310631650000000</v>
      </c>
      <c r="H2372" s="6" t="str">
        <f t="shared" si="539"/>
        <v>PLAR 6316 FD - 500 g</v>
      </c>
      <c r="I2372" s="6" t="str">
        <f>"201855"</f>
        <v>201855</v>
      </c>
      <c r="J2372" s="6" t="str">
        <f>"AZUL 1855"</f>
        <v>AZUL 1855</v>
      </c>
      <c r="K2372" s="6" t="str">
        <f>"1024"</f>
        <v>1024</v>
      </c>
      <c r="L2372" s="6" t="str">
        <f>"Toalhas"</f>
        <v>Toalhas</v>
      </c>
      <c r="M2372" s="6" t="str">
        <f>"50x100"</f>
        <v>50x100</v>
      </c>
      <c r="N2372" s="6" t="str">
        <f>"5602972281057"</f>
        <v>5602972281057</v>
      </c>
      <c r="O2372" s="8">
        <v>6</v>
      </c>
      <c r="R2372" s="8">
        <v>0</v>
      </c>
      <c r="U2372" s="8">
        <v>0</v>
      </c>
      <c r="X2372" s="8">
        <v>0</v>
      </c>
      <c r="Z2372" s="8">
        <v>0</v>
      </c>
      <c r="AC2372" s="8">
        <v>0</v>
      </c>
      <c r="AF2372" s="8">
        <v>0</v>
      </c>
      <c r="AN2372" s="8">
        <v>6</v>
      </c>
      <c r="AO2372" s="8">
        <v>0</v>
      </c>
    </row>
    <row r="2373" spans="1:41" x14ac:dyDescent="0.25">
      <c r="A2373" s="6" t="str">
        <f t="shared" si="552"/>
        <v>522-2026000248</v>
      </c>
      <c r="B2373" s="6" t="str">
        <f t="shared" si="537"/>
        <v>EL CORTE</v>
      </c>
      <c r="C2373" s="7">
        <v>46037</v>
      </c>
      <c r="D2373" s="7">
        <v>46042</v>
      </c>
      <c r="E2373" s="8">
        <v>3</v>
      </c>
      <c r="F2373" s="6" t="str">
        <f t="shared" si="553"/>
        <v>94831901_07026</v>
      </c>
      <c r="G2373" s="6" t="str">
        <f t="shared" si="538"/>
        <v>F310631650000000</v>
      </c>
      <c r="H2373" s="6" t="str">
        <f t="shared" si="539"/>
        <v>PLAR 6316 FD - 500 g</v>
      </c>
      <c r="I2373" s="6" t="str">
        <f>"201855"</f>
        <v>201855</v>
      </c>
      <c r="J2373" s="6" t="str">
        <f>"AZUL 1855"</f>
        <v>AZUL 1855</v>
      </c>
      <c r="K2373" s="6" t="str">
        <f>"2020"</f>
        <v>2020</v>
      </c>
      <c r="L2373" s="6" t="str">
        <f>"Lençóis"</f>
        <v>Lençóis</v>
      </c>
      <c r="M2373" s="6" t="str">
        <f>"100x150"</f>
        <v>100x150</v>
      </c>
      <c r="N2373" s="6" t="str">
        <f>"5602972281064"</f>
        <v>5602972281064</v>
      </c>
      <c r="O2373" s="8">
        <v>6</v>
      </c>
      <c r="R2373" s="8">
        <v>0</v>
      </c>
      <c r="U2373" s="8">
        <v>0</v>
      </c>
      <c r="X2373" s="8">
        <v>0</v>
      </c>
      <c r="Z2373" s="8">
        <v>0</v>
      </c>
      <c r="AC2373" s="8">
        <v>0</v>
      </c>
      <c r="AF2373" s="8">
        <v>0</v>
      </c>
      <c r="AN2373" s="8">
        <v>0</v>
      </c>
      <c r="AO2373" s="8">
        <v>6</v>
      </c>
    </row>
    <row r="2374" spans="1:41" x14ac:dyDescent="0.25">
      <c r="A2374" s="6" t="str">
        <f t="shared" si="552"/>
        <v>522-2026000248</v>
      </c>
      <c r="B2374" s="6" t="str">
        <f t="shared" si="537"/>
        <v>EL CORTE</v>
      </c>
      <c r="C2374" s="7">
        <v>46037</v>
      </c>
      <c r="D2374" s="7">
        <v>46042</v>
      </c>
      <c r="E2374" s="8">
        <v>4</v>
      </c>
      <c r="F2374" s="6" t="str">
        <f t="shared" si="553"/>
        <v>94831901_07026</v>
      </c>
      <c r="G2374" s="6" t="str">
        <f t="shared" si="538"/>
        <v>F310631650000000</v>
      </c>
      <c r="H2374" s="6" t="str">
        <f t="shared" si="539"/>
        <v>PLAR 6316 FD - 500 g</v>
      </c>
      <c r="I2374" s="6" t="str">
        <f>"202575"</f>
        <v>202575</v>
      </c>
      <c r="J2374" s="6" t="str">
        <f>"BEGE 2575"</f>
        <v>BEGE 2575</v>
      </c>
      <c r="K2374" s="6" t="str">
        <f>"0520"</f>
        <v>0520</v>
      </c>
      <c r="L2374" s="6" t="str">
        <f>"Toalhetes"</f>
        <v>Toalhetes</v>
      </c>
      <c r="M2374" s="6" t="str">
        <f>"30x50"</f>
        <v>30x50</v>
      </c>
      <c r="N2374" s="6" t="str">
        <f>"5602972281071"</f>
        <v>5602972281071</v>
      </c>
      <c r="O2374" s="8">
        <v>6</v>
      </c>
      <c r="R2374" s="8">
        <v>0</v>
      </c>
      <c r="U2374" s="8">
        <v>0</v>
      </c>
      <c r="X2374" s="8">
        <v>0</v>
      </c>
      <c r="Z2374" s="8">
        <v>0</v>
      </c>
      <c r="AC2374" s="8">
        <v>0</v>
      </c>
      <c r="AF2374" s="8">
        <v>0</v>
      </c>
      <c r="AN2374" s="8">
        <v>6</v>
      </c>
      <c r="AO2374" s="8">
        <v>0</v>
      </c>
    </row>
    <row r="2375" spans="1:41" x14ac:dyDescent="0.25">
      <c r="A2375" s="6" t="str">
        <f t="shared" si="552"/>
        <v>522-2026000248</v>
      </c>
      <c r="B2375" s="6" t="str">
        <f t="shared" ref="B2375:B2438" si="554">"EL CORTE"</f>
        <v>EL CORTE</v>
      </c>
      <c r="C2375" s="7">
        <v>46037</v>
      </c>
      <c r="D2375" s="7">
        <v>46042</v>
      </c>
      <c r="E2375" s="8">
        <v>5</v>
      </c>
      <c r="F2375" s="6" t="str">
        <f t="shared" si="553"/>
        <v>94831901_07026</v>
      </c>
      <c r="G2375" s="6" t="str">
        <f t="shared" ref="G2375:G2438" si="555">"F310631650000000"</f>
        <v>F310631650000000</v>
      </c>
      <c r="H2375" s="6" t="str">
        <f t="shared" ref="H2375:H2438" si="556">"PLAR 6316 FD - 500 g"</f>
        <v>PLAR 6316 FD - 500 g</v>
      </c>
      <c r="I2375" s="6" t="str">
        <f>"202575"</f>
        <v>202575</v>
      </c>
      <c r="J2375" s="6" t="str">
        <f>"BEGE 2575"</f>
        <v>BEGE 2575</v>
      </c>
      <c r="K2375" s="6" t="str">
        <f>"1024"</f>
        <v>1024</v>
      </c>
      <c r="L2375" s="6" t="str">
        <f>"Toalhas"</f>
        <v>Toalhas</v>
      </c>
      <c r="M2375" s="6" t="str">
        <f>"50x100"</f>
        <v>50x100</v>
      </c>
      <c r="N2375" s="6" t="str">
        <f>"5602972281088"</f>
        <v>5602972281088</v>
      </c>
      <c r="O2375" s="8">
        <v>6</v>
      </c>
      <c r="R2375" s="8">
        <v>0</v>
      </c>
      <c r="U2375" s="8">
        <v>0</v>
      </c>
      <c r="X2375" s="8">
        <v>0</v>
      </c>
      <c r="Z2375" s="8">
        <v>0</v>
      </c>
      <c r="AC2375" s="8">
        <v>0</v>
      </c>
      <c r="AF2375" s="8">
        <v>0</v>
      </c>
      <c r="AN2375" s="8">
        <v>6</v>
      </c>
      <c r="AO2375" s="8">
        <v>0</v>
      </c>
    </row>
    <row r="2376" spans="1:41" x14ac:dyDescent="0.25">
      <c r="A2376" s="6" t="str">
        <f t="shared" si="552"/>
        <v>522-2026000248</v>
      </c>
      <c r="B2376" s="6" t="str">
        <f t="shared" si="554"/>
        <v>EL CORTE</v>
      </c>
      <c r="C2376" s="7">
        <v>46037</v>
      </c>
      <c r="D2376" s="7">
        <v>46042</v>
      </c>
      <c r="E2376" s="8">
        <v>6</v>
      </c>
      <c r="F2376" s="6" t="str">
        <f t="shared" si="553"/>
        <v>94831901_07026</v>
      </c>
      <c r="G2376" s="6" t="str">
        <f t="shared" si="555"/>
        <v>F310631650000000</v>
      </c>
      <c r="H2376" s="6" t="str">
        <f t="shared" si="556"/>
        <v>PLAR 6316 FD - 500 g</v>
      </c>
      <c r="I2376" s="6" t="str">
        <f>"202575"</f>
        <v>202575</v>
      </c>
      <c r="J2376" s="6" t="str">
        <f>"BEGE 2575"</f>
        <v>BEGE 2575</v>
      </c>
      <c r="K2376" s="6" t="str">
        <f>"2020"</f>
        <v>2020</v>
      </c>
      <c r="L2376" s="6" t="str">
        <f>"Lençóis"</f>
        <v>Lençóis</v>
      </c>
      <c r="M2376" s="6" t="str">
        <f>"100x150"</f>
        <v>100x150</v>
      </c>
      <c r="N2376" s="6" t="str">
        <f>"5602972281095"</f>
        <v>5602972281095</v>
      </c>
      <c r="O2376" s="8">
        <v>6</v>
      </c>
      <c r="R2376" s="8">
        <v>0</v>
      </c>
      <c r="U2376" s="8">
        <v>0</v>
      </c>
      <c r="X2376" s="8">
        <v>0</v>
      </c>
      <c r="Z2376" s="8">
        <v>0</v>
      </c>
      <c r="AC2376" s="8">
        <v>0</v>
      </c>
      <c r="AF2376" s="8">
        <v>0</v>
      </c>
      <c r="AN2376" s="8">
        <v>0</v>
      </c>
      <c r="AO2376" s="8">
        <v>6</v>
      </c>
    </row>
    <row r="2377" spans="1:41" x14ac:dyDescent="0.25">
      <c r="A2377" s="6" t="str">
        <f t="shared" si="552"/>
        <v>522-2026000248</v>
      </c>
      <c r="B2377" s="6" t="str">
        <f t="shared" si="554"/>
        <v>EL CORTE</v>
      </c>
      <c r="C2377" s="7">
        <v>46037</v>
      </c>
      <c r="D2377" s="7">
        <v>46042</v>
      </c>
      <c r="E2377" s="8">
        <v>7</v>
      </c>
      <c r="F2377" s="6" t="str">
        <f t="shared" si="553"/>
        <v>94831901_07026</v>
      </c>
      <c r="G2377" s="6" t="str">
        <f t="shared" si="555"/>
        <v>F310631650000000</v>
      </c>
      <c r="H2377" s="6" t="str">
        <f t="shared" si="556"/>
        <v>PLAR 6316 FD - 500 g</v>
      </c>
      <c r="I2377" s="6" t="str">
        <f>"200901"</f>
        <v>200901</v>
      </c>
      <c r="J2377" s="6" t="str">
        <f>"ROSA 901"</f>
        <v>ROSA 901</v>
      </c>
      <c r="K2377" s="6" t="str">
        <f>"0520"</f>
        <v>0520</v>
      </c>
      <c r="L2377" s="6" t="str">
        <f>"Toalhetes"</f>
        <v>Toalhetes</v>
      </c>
      <c r="M2377" s="6" t="str">
        <f>"30x50"</f>
        <v>30x50</v>
      </c>
      <c r="N2377" s="6" t="str">
        <f>"5602972281101"</f>
        <v>5602972281101</v>
      </c>
      <c r="O2377" s="8">
        <v>6</v>
      </c>
      <c r="R2377" s="8">
        <v>0</v>
      </c>
      <c r="U2377" s="8">
        <v>0</v>
      </c>
      <c r="X2377" s="8">
        <v>0</v>
      </c>
      <c r="Z2377" s="8">
        <v>0</v>
      </c>
      <c r="AC2377" s="8">
        <v>0</v>
      </c>
      <c r="AF2377" s="8">
        <v>0</v>
      </c>
      <c r="AN2377" s="8">
        <v>6</v>
      </c>
      <c r="AO2377" s="8">
        <v>0</v>
      </c>
    </row>
    <row r="2378" spans="1:41" x14ac:dyDescent="0.25">
      <c r="A2378" s="6" t="str">
        <f t="shared" si="552"/>
        <v>522-2026000248</v>
      </c>
      <c r="B2378" s="6" t="str">
        <f t="shared" si="554"/>
        <v>EL CORTE</v>
      </c>
      <c r="C2378" s="7">
        <v>46037</v>
      </c>
      <c r="D2378" s="7">
        <v>46042</v>
      </c>
      <c r="E2378" s="8">
        <v>8</v>
      </c>
      <c r="F2378" s="6" t="str">
        <f t="shared" si="553"/>
        <v>94831901_07026</v>
      </c>
      <c r="G2378" s="6" t="str">
        <f t="shared" si="555"/>
        <v>F310631650000000</v>
      </c>
      <c r="H2378" s="6" t="str">
        <f t="shared" si="556"/>
        <v>PLAR 6316 FD - 500 g</v>
      </c>
      <c r="I2378" s="6" t="str">
        <f>"200901"</f>
        <v>200901</v>
      </c>
      <c r="J2378" s="6" t="str">
        <f>"ROSA 901"</f>
        <v>ROSA 901</v>
      </c>
      <c r="K2378" s="6" t="str">
        <f>"1024"</f>
        <v>1024</v>
      </c>
      <c r="L2378" s="6" t="str">
        <f>"Toalhas"</f>
        <v>Toalhas</v>
      </c>
      <c r="M2378" s="6" t="str">
        <f>"50x100"</f>
        <v>50x100</v>
      </c>
      <c r="N2378" s="6" t="str">
        <f>"5602972281118"</f>
        <v>5602972281118</v>
      </c>
      <c r="O2378" s="8">
        <v>6</v>
      </c>
      <c r="R2378" s="8">
        <v>0</v>
      </c>
      <c r="U2378" s="8">
        <v>0</v>
      </c>
      <c r="X2378" s="8">
        <v>0</v>
      </c>
      <c r="Z2378" s="8">
        <v>0</v>
      </c>
      <c r="AC2378" s="8">
        <v>0</v>
      </c>
      <c r="AF2378" s="8">
        <v>0</v>
      </c>
      <c r="AN2378" s="8">
        <v>6</v>
      </c>
      <c r="AO2378" s="8">
        <v>0</v>
      </c>
    </row>
    <row r="2379" spans="1:41" x14ac:dyDescent="0.25">
      <c r="A2379" s="6" t="str">
        <f t="shared" si="552"/>
        <v>522-2026000248</v>
      </c>
      <c r="B2379" s="6" t="str">
        <f t="shared" si="554"/>
        <v>EL CORTE</v>
      </c>
      <c r="C2379" s="7">
        <v>46037</v>
      </c>
      <c r="D2379" s="7">
        <v>46042</v>
      </c>
      <c r="E2379" s="8">
        <v>9</v>
      </c>
      <c r="F2379" s="6" t="str">
        <f t="shared" si="553"/>
        <v>94831901_07026</v>
      </c>
      <c r="G2379" s="6" t="str">
        <f t="shared" si="555"/>
        <v>F310631650000000</v>
      </c>
      <c r="H2379" s="6" t="str">
        <f t="shared" si="556"/>
        <v>PLAR 6316 FD - 500 g</v>
      </c>
      <c r="I2379" s="6" t="str">
        <f>"200510"</f>
        <v>200510</v>
      </c>
      <c r="J2379" s="6" t="str">
        <f>"VERDE 510"</f>
        <v>VERDE 510</v>
      </c>
      <c r="K2379" s="6" t="str">
        <f>"0520"</f>
        <v>0520</v>
      </c>
      <c r="L2379" s="6" t="str">
        <f>"Toalhetes"</f>
        <v>Toalhetes</v>
      </c>
      <c r="M2379" s="6" t="str">
        <f>"30x50"</f>
        <v>30x50</v>
      </c>
      <c r="N2379" s="6" t="str">
        <f>"5602972281132"</f>
        <v>5602972281132</v>
      </c>
      <c r="O2379" s="8">
        <v>6</v>
      </c>
      <c r="R2379" s="8">
        <v>0</v>
      </c>
      <c r="U2379" s="8">
        <v>0</v>
      </c>
      <c r="X2379" s="8">
        <v>0</v>
      </c>
      <c r="Z2379" s="8">
        <v>0</v>
      </c>
      <c r="AC2379" s="8">
        <v>0</v>
      </c>
      <c r="AF2379" s="8">
        <v>0</v>
      </c>
      <c r="AN2379" s="8">
        <v>6</v>
      </c>
      <c r="AO2379" s="8">
        <v>0</v>
      </c>
    </row>
    <row r="2380" spans="1:41" x14ac:dyDescent="0.25">
      <c r="A2380" s="6" t="str">
        <f t="shared" si="552"/>
        <v>522-2026000248</v>
      </c>
      <c r="B2380" s="6" t="str">
        <f t="shared" si="554"/>
        <v>EL CORTE</v>
      </c>
      <c r="C2380" s="7">
        <v>46037</v>
      </c>
      <c r="D2380" s="7">
        <v>46042</v>
      </c>
      <c r="E2380" s="8">
        <v>10</v>
      </c>
      <c r="F2380" s="6" t="str">
        <f t="shared" si="553"/>
        <v>94831901_07026</v>
      </c>
      <c r="G2380" s="6" t="str">
        <f t="shared" si="555"/>
        <v>F310631650000000</v>
      </c>
      <c r="H2380" s="6" t="str">
        <f t="shared" si="556"/>
        <v>PLAR 6316 FD - 500 g</v>
      </c>
      <c r="I2380" s="6" t="str">
        <f>"200510"</f>
        <v>200510</v>
      </c>
      <c r="J2380" s="6" t="str">
        <f>"VERDE 510"</f>
        <v>VERDE 510</v>
      </c>
      <c r="K2380" s="6" t="str">
        <f>"1024"</f>
        <v>1024</v>
      </c>
      <c r="L2380" s="6" t="str">
        <f>"Toalhas"</f>
        <v>Toalhas</v>
      </c>
      <c r="M2380" s="6" t="str">
        <f>"50x100"</f>
        <v>50x100</v>
      </c>
      <c r="N2380" s="6" t="str">
        <f>"5602972281149"</f>
        <v>5602972281149</v>
      </c>
      <c r="O2380" s="8">
        <v>6</v>
      </c>
      <c r="R2380" s="8">
        <v>0</v>
      </c>
      <c r="U2380" s="8">
        <v>0</v>
      </c>
      <c r="X2380" s="8">
        <v>0</v>
      </c>
      <c r="Z2380" s="8">
        <v>0</v>
      </c>
      <c r="AC2380" s="8">
        <v>0</v>
      </c>
      <c r="AF2380" s="8">
        <v>0</v>
      </c>
      <c r="AN2380" s="8">
        <v>6</v>
      </c>
      <c r="AO2380" s="8">
        <v>0</v>
      </c>
    </row>
    <row r="2381" spans="1:41" x14ac:dyDescent="0.25">
      <c r="A2381" s="6" t="str">
        <f t="shared" si="552"/>
        <v>522-2026000248</v>
      </c>
      <c r="B2381" s="6" t="str">
        <f t="shared" si="554"/>
        <v>EL CORTE</v>
      </c>
      <c r="C2381" s="7">
        <v>46037</v>
      </c>
      <c r="D2381" s="7">
        <v>46042</v>
      </c>
      <c r="E2381" s="8">
        <v>11</v>
      </c>
      <c r="F2381" s="6" t="str">
        <f t="shared" si="553"/>
        <v>94831901_07026</v>
      </c>
      <c r="G2381" s="6" t="str">
        <f t="shared" si="555"/>
        <v>F310631650000000</v>
      </c>
      <c r="H2381" s="6" t="str">
        <f t="shared" si="556"/>
        <v>PLAR 6316 FD - 500 g</v>
      </c>
      <c r="I2381" s="6" t="str">
        <f>"200510"</f>
        <v>200510</v>
      </c>
      <c r="J2381" s="6" t="str">
        <f>"VERDE 510"</f>
        <v>VERDE 510</v>
      </c>
      <c r="K2381" s="6" t="str">
        <f>"2020"</f>
        <v>2020</v>
      </c>
      <c r="L2381" s="6" t="str">
        <f>"Lençóis"</f>
        <v>Lençóis</v>
      </c>
      <c r="M2381" s="6" t="str">
        <f>"100x150"</f>
        <v>100x150</v>
      </c>
      <c r="N2381" s="6" t="str">
        <f>"5602972281156"</f>
        <v>5602972281156</v>
      </c>
      <c r="O2381" s="8">
        <v>6</v>
      </c>
      <c r="R2381" s="8">
        <v>0</v>
      </c>
      <c r="U2381" s="8">
        <v>0</v>
      </c>
      <c r="X2381" s="8">
        <v>0</v>
      </c>
      <c r="Z2381" s="8">
        <v>0</v>
      </c>
      <c r="AC2381" s="8">
        <v>0</v>
      </c>
      <c r="AF2381" s="8">
        <v>0</v>
      </c>
      <c r="AN2381" s="8">
        <v>0</v>
      </c>
      <c r="AO2381" s="8">
        <v>6</v>
      </c>
    </row>
    <row r="2382" spans="1:41" x14ac:dyDescent="0.25">
      <c r="A2382" s="6" t="str">
        <f>"522-2026000249"</f>
        <v>522-2026000249</v>
      </c>
      <c r="B2382" s="6" t="str">
        <f t="shared" si="554"/>
        <v>EL CORTE</v>
      </c>
      <c r="C2382" s="7">
        <v>46037</v>
      </c>
      <c r="D2382" s="7">
        <v>46042</v>
      </c>
      <c r="E2382" s="8">
        <v>1</v>
      </c>
      <c r="F2382" s="6" t="str">
        <f>"94828201_07026"</f>
        <v>94828201_07026</v>
      </c>
      <c r="G2382" s="6" t="str">
        <f t="shared" si="555"/>
        <v>F310631650000000</v>
      </c>
      <c r="H2382" s="6" t="str">
        <f t="shared" si="556"/>
        <v>PLAR 6316 FD - 500 g</v>
      </c>
      <c r="I2382" s="6" t="str">
        <f>"202575"</f>
        <v>202575</v>
      </c>
      <c r="J2382" s="6" t="str">
        <f>"BEGE 2575"</f>
        <v>BEGE 2575</v>
      </c>
      <c r="K2382" s="6" t="str">
        <f>"2020"</f>
        <v>2020</v>
      </c>
      <c r="L2382" s="6" t="str">
        <f>"Lençóis"</f>
        <v>Lençóis</v>
      </c>
      <c r="M2382" s="6" t="str">
        <f>"100x150"</f>
        <v>100x150</v>
      </c>
      <c r="N2382" s="6" t="str">
        <f>"5602972281095"</f>
        <v>5602972281095</v>
      </c>
      <c r="O2382" s="8">
        <v>3</v>
      </c>
      <c r="R2382" s="8">
        <v>0</v>
      </c>
      <c r="U2382" s="8">
        <v>0</v>
      </c>
      <c r="X2382" s="8">
        <v>0</v>
      </c>
      <c r="Z2382" s="8">
        <v>0</v>
      </c>
      <c r="AC2382" s="8">
        <v>0</v>
      </c>
      <c r="AF2382" s="8">
        <v>0</v>
      </c>
      <c r="AN2382" s="8">
        <v>0</v>
      </c>
      <c r="AO2382" s="8">
        <v>3</v>
      </c>
    </row>
    <row r="2383" spans="1:41" x14ac:dyDescent="0.25">
      <c r="A2383" s="6" t="str">
        <f>"522-2026000250"</f>
        <v>522-2026000250</v>
      </c>
      <c r="B2383" s="6" t="str">
        <f t="shared" si="554"/>
        <v>EL CORTE</v>
      </c>
      <c r="C2383" s="7">
        <v>46037</v>
      </c>
      <c r="D2383" s="7">
        <v>46042</v>
      </c>
      <c r="E2383" s="8">
        <v>1</v>
      </c>
      <c r="F2383" s="6" t="str">
        <f>"94827801_07026"</f>
        <v>94827801_07026</v>
      </c>
      <c r="G2383" s="6" t="str">
        <f t="shared" si="555"/>
        <v>F310631650000000</v>
      </c>
      <c r="H2383" s="6" t="str">
        <f t="shared" si="556"/>
        <v>PLAR 6316 FD - 500 g</v>
      </c>
      <c r="I2383" s="6" t="str">
        <f>"202575"</f>
        <v>202575</v>
      </c>
      <c r="J2383" s="6" t="str">
        <f>"BEGE 2575"</f>
        <v>BEGE 2575</v>
      </c>
      <c r="K2383" s="6" t="str">
        <f>"1024"</f>
        <v>1024</v>
      </c>
      <c r="L2383" s="6" t="str">
        <f>"Toalhas"</f>
        <v>Toalhas</v>
      </c>
      <c r="M2383" s="6" t="str">
        <f>"50x100"</f>
        <v>50x100</v>
      </c>
      <c r="N2383" s="6" t="str">
        <f>"5602972281088"</f>
        <v>5602972281088</v>
      </c>
      <c r="O2383" s="8">
        <v>6</v>
      </c>
      <c r="R2383" s="8">
        <v>0</v>
      </c>
      <c r="U2383" s="8">
        <v>0</v>
      </c>
      <c r="X2383" s="8">
        <v>0</v>
      </c>
      <c r="Z2383" s="8">
        <v>0</v>
      </c>
      <c r="AC2383" s="8">
        <v>0</v>
      </c>
      <c r="AF2383" s="8">
        <v>0</v>
      </c>
      <c r="AN2383" s="8">
        <v>6</v>
      </c>
      <c r="AO2383" s="8">
        <v>0</v>
      </c>
    </row>
    <row r="2384" spans="1:41" x14ac:dyDescent="0.25">
      <c r="A2384" s="6" t="str">
        <f>"522-2026000251"</f>
        <v>522-2026000251</v>
      </c>
      <c r="B2384" s="6" t="str">
        <f t="shared" si="554"/>
        <v>EL CORTE</v>
      </c>
      <c r="C2384" s="7">
        <v>46037</v>
      </c>
      <c r="D2384" s="7">
        <v>46042</v>
      </c>
      <c r="E2384" s="8">
        <v>1</v>
      </c>
      <c r="F2384" s="6" t="str">
        <f>"94828601_07026"</f>
        <v>94828601_07026</v>
      </c>
      <c r="G2384" s="6" t="str">
        <f t="shared" si="555"/>
        <v>F310631650000000</v>
      </c>
      <c r="H2384" s="6" t="str">
        <f t="shared" si="556"/>
        <v>PLAR 6316 FD - 500 g</v>
      </c>
      <c r="I2384" s="6" t="str">
        <f>"200901"</f>
        <v>200901</v>
      </c>
      <c r="J2384" s="6" t="str">
        <f>"ROSA 901"</f>
        <v>ROSA 901</v>
      </c>
      <c r="K2384" s="6" t="str">
        <f>"2020"</f>
        <v>2020</v>
      </c>
      <c r="L2384" s="6" t="str">
        <f>"Lençóis"</f>
        <v>Lençóis</v>
      </c>
      <c r="M2384" s="6" t="str">
        <f>"100x150"</f>
        <v>100x150</v>
      </c>
      <c r="N2384" s="6" t="str">
        <f>"5602972281125"</f>
        <v>5602972281125</v>
      </c>
      <c r="O2384" s="8">
        <v>3</v>
      </c>
      <c r="R2384" s="8">
        <v>0</v>
      </c>
      <c r="U2384" s="8">
        <v>0</v>
      </c>
      <c r="X2384" s="8">
        <v>0</v>
      </c>
      <c r="Z2384" s="8">
        <v>0</v>
      </c>
      <c r="AC2384" s="8">
        <v>0</v>
      </c>
      <c r="AF2384" s="8">
        <v>0</v>
      </c>
      <c r="AN2384" s="8">
        <v>0</v>
      </c>
      <c r="AO2384" s="8">
        <v>3</v>
      </c>
    </row>
    <row r="2385" spans="1:41" x14ac:dyDescent="0.25">
      <c r="A2385" s="6" t="str">
        <f>"522-2026000251"</f>
        <v>522-2026000251</v>
      </c>
      <c r="B2385" s="6" t="str">
        <f t="shared" si="554"/>
        <v>EL CORTE</v>
      </c>
      <c r="C2385" s="7">
        <v>46037</v>
      </c>
      <c r="D2385" s="7">
        <v>46042</v>
      </c>
      <c r="E2385" s="8">
        <v>2</v>
      </c>
      <c r="F2385" s="6" t="str">
        <f>"94828601_07026"</f>
        <v>94828601_07026</v>
      </c>
      <c r="G2385" s="6" t="str">
        <f t="shared" si="555"/>
        <v>F310631650000000</v>
      </c>
      <c r="H2385" s="6" t="str">
        <f t="shared" si="556"/>
        <v>PLAR 6316 FD - 500 g</v>
      </c>
      <c r="I2385" s="6" t="str">
        <f>"200510"</f>
        <v>200510</v>
      </c>
      <c r="J2385" s="6" t="str">
        <f>"VERDE 510"</f>
        <v>VERDE 510</v>
      </c>
      <c r="K2385" s="6" t="str">
        <f>"2020"</f>
        <v>2020</v>
      </c>
      <c r="L2385" s="6" t="str">
        <f>"Lençóis"</f>
        <v>Lençóis</v>
      </c>
      <c r="M2385" s="6" t="str">
        <f>"100x150"</f>
        <v>100x150</v>
      </c>
      <c r="N2385" s="6" t="str">
        <f>"5602972281156"</f>
        <v>5602972281156</v>
      </c>
      <c r="O2385" s="8">
        <v>3</v>
      </c>
      <c r="R2385" s="8">
        <v>0</v>
      </c>
      <c r="U2385" s="8">
        <v>0</v>
      </c>
      <c r="X2385" s="8">
        <v>0</v>
      </c>
      <c r="Z2385" s="8">
        <v>0</v>
      </c>
      <c r="AC2385" s="8">
        <v>0</v>
      </c>
      <c r="AF2385" s="8">
        <v>0</v>
      </c>
      <c r="AN2385" s="8">
        <v>0</v>
      </c>
      <c r="AO2385" s="8">
        <v>3</v>
      </c>
    </row>
    <row r="2386" spans="1:41" x14ac:dyDescent="0.25">
      <c r="A2386" s="6" t="str">
        <f t="shared" ref="A2386:A2397" si="557">"522-2026000252"</f>
        <v>522-2026000252</v>
      </c>
      <c r="B2386" s="6" t="str">
        <f t="shared" si="554"/>
        <v>EL CORTE</v>
      </c>
      <c r="C2386" s="7">
        <v>46037</v>
      </c>
      <c r="D2386" s="7">
        <v>46042</v>
      </c>
      <c r="E2386" s="8">
        <v>1</v>
      </c>
      <c r="F2386" s="6" t="str">
        <f t="shared" ref="F2386:F2397" si="558">"94826401_07026"</f>
        <v>94826401_07026</v>
      </c>
      <c r="G2386" s="6" t="str">
        <f t="shared" si="555"/>
        <v>F310631650000000</v>
      </c>
      <c r="H2386" s="6" t="str">
        <f t="shared" si="556"/>
        <v>PLAR 6316 FD - 500 g</v>
      </c>
      <c r="I2386" s="6" t="str">
        <f>"201855"</f>
        <v>201855</v>
      </c>
      <c r="J2386" s="6" t="str">
        <f>"AZUL 1855"</f>
        <v>AZUL 1855</v>
      </c>
      <c r="K2386" s="6" t="str">
        <f>"0520"</f>
        <v>0520</v>
      </c>
      <c r="L2386" s="6" t="str">
        <f>"Toalhetes"</f>
        <v>Toalhetes</v>
      </c>
      <c r="M2386" s="6" t="str">
        <f>"30x50"</f>
        <v>30x50</v>
      </c>
      <c r="N2386" s="6" t="str">
        <f>"5602972281040"</f>
        <v>5602972281040</v>
      </c>
      <c r="O2386" s="8">
        <v>6</v>
      </c>
      <c r="R2386" s="8">
        <v>0</v>
      </c>
      <c r="U2386" s="8">
        <v>0</v>
      </c>
      <c r="X2386" s="8">
        <v>0</v>
      </c>
      <c r="Z2386" s="8">
        <v>0</v>
      </c>
      <c r="AC2386" s="8">
        <v>0</v>
      </c>
      <c r="AF2386" s="8">
        <v>0</v>
      </c>
      <c r="AN2386" s="8">
        <v>6</v>
      </c>
      <c r="AO2386" s="8">
        <v>0</v>
      </c>
    </row>
    <row r="2387" spans="1:41" x14ac:dyDescent="0.25">
      <c r="A2387" s="6" t="str">
        <f t="shared" si="557"/>
        <v>522-2026000252</v>
      </c>
      <c r="B2387" s="6" t="str">
        <f t="shared" si="554"/>
        <v>EL CORTE</v>
      </c>
      <c r="C2387" s="7">
        <v>46037</v>
      </c>
      <c r="D2387" s="7">
        <v>46042</v>
      </c>
      <c r="E2387" s="8">
        <v>2</v>
      </c>
      <c r="F2387" s="6" t="str">
        <f t="shared" si="558"/>
        <v>94826401_07026</v>
      </c>
      <c r="G2387" s="6" t="str">
        <f t="shared" si="555"/>
        <v>F310631650000000</v>
      </c>
      <c r="H2387" s="6" t="str">
        <f t="shared" si="556"/>
        <v>PLAR 6316 FD - 500 g</v>
      </c>
      <c r="I2387" s="6" t="str">
        <f>"201855"</f>
        <v>201855</v>
      </c>
      <c r="J2387" s="6" t="str">
        <f>"AZUL 1855"</f>
        <v>AZUL 1855</v>
      </c>
      <c r="K2387" s="6" t="str">
        <f>"1024"</f>
        <v>1024</v>
      </c>
      <c r="L2387" s="6" t="str">
        <f>"Toalhas"</f>
        <v>Toalhas</v>
      </c>
      <c r="M2387" s="6" t="str">
        <f>"50x100"</f>
        <v>50x100</v>
      </c>
      <c r="N2387" s="6" t="str">
        <f>"5602972281057"</f>
        <v>5602972281057</v>
      </c>
      <c r="O2387" s="8">
        <v>12</v>
      </c>
      <c r="R2387" s="8">
        <v>0</v>
      </c>
      <c r="U2387" s="8">
        <v>0</v>
      </c>
      <c r="X2387" s="8">
        <v>0</v>
      </c>
      <c r="Z2387" s="8">
        <v>0</v>
      </c>
      <c r="AC2387" s="8">
        <v>0</v>
      </c>
      <c r="AF2387" s="8">
        <v>0</v>
      </c>
      <c r="AN2387" s="8">
        <v>12</v>
      </c>
      <c r="AO2387" s="8">
        <v>0</v>
      </c>
    </row>
    <row r="2388" spans="1:41" x14ac:dyDescent="0.25">
      <c r="A2388" s="6" t="str">
        <f t="shared" si="557"/>
        <v>522-2026000252</v>
      </c>
      <c r="B2388" s="6" t="str">
        <f t="shared" si="554"/>
        <v>EL CORTE</v>
      </c>
      <c r="C2388" s="7">
        <v>46037</v>
      </c>
      <c r="D2388" s="7">
        <v>46042</v>
      </c>
      <c r="E2388" s="8">
        <v>3</v>
      </c>
      <c r="F2388" s="6" t="str">
        <f t="shared" si="558"/>
        <v>94826401_07026</v>
      </c>
      <c r="G2388" s="6" t="str">
        <f t="shared" si="555"/>
        <v>F310631650000000</v>
      </c>
      <c r="H2388" s="6" t="str">
        <f t="shared" si="556"/>
        <v>PLAR 6316 FD - 500 g</v>
      </c>
      <c r="I2388" s="6" t="str">
        <f>"201855"</f>
        <v>201855</v>
      </c>
      <c r="J2388" s="6" t="str">
        <f>"AZUL 1855"</f>
        <v>AZUL 1855</v>
      </c>
      <c r="K2388" s="6" t="str">
        <f>"2020"</f>
        <v>2020</v>
      </c>
      <c r="L2388" s="6" t="str">
        <f>"Lençóis"</f>
        <v>Lençóis</v>
      </c>
      <c r="M2388" s="6" t="str">
        <f>"100x150"</f>
        <v>100x150</v>
      </c>
      <c r="N2388" s="6" t="str">
        <f>"5602972281064"</f>
        <v>5602972281064</v>
      </c>
      <c r="O2388" s="8">
        <v>6</v>
      </c>
      <c r="R2388" s="8">
        <v>0</v>
      </c>
      <c r="U2388" s="8">
        <v>0</v>
      </c>
      <c r="X2388" s="8">
        <v>0</v>
      </c>
      <c r="Z2388" s="8">
        <v>0</v>
      </c>
      <c r="AC2388" s="8">
        <v>0</v>
      </c>
      <c r="AF2388" s="8">
        <v>0</v>
      </c>
      <c r="AN2388" s="8">
        <v>0</v>
      </c>
      <c r="AO2388" s="8">
        <v>6</v>
      </c>
    </row>
    <row r="2389" spans="1:41" x14ac:dyDescent="0.25">
      <c r="A2389" s="6" t="str">
        <f t="shared" si="557"/>
        <v>522-2026000252</v>
      </c>
      <c r="B2389" s="6" t="str">
        <f t="shared" si="554"/>
        <v>EL CORTE</v>
      </c>
      <c r="C2389" s="7">
        <v>46037</v>
      </c>
      <c r="D2389" s="7">
        <v>46042</v>
      </c>
      <c r="E2389" s="8">
        <v>4</v>
      </c>
      <c r="F2389" s="6" t="str">
        <f t="shared" si="558"/>
        <v>94826401_07026</v>
      </c>
      <c r="G2389" s="6" t="str">
        <f t="shared" si="555"/>
        <v>F310631650000000</v>
      </c>
      <c r="H2389" s="6" t="str">
        <f t="shared" si="556"/>
        <v>PLAR 6316 FD - 500 g</v>
      </c>
      <c r="I2389" s="6" t="str">
        <f>"202575"</f>
        <v>202575</v>
      </c>
      <c r="J2389" s="6" t="str">
        <f>"BEGE 2575"</f>
        <v>BEGE 2575</v>
      </c>
      <c r="K2389" s="6" t="str">
        <f>"0520"</f>
        <v>0520</v>
      </c>
      <c r="L2389" s="6" t="str">
        <f>"Toalhetes"</f>
        <v>Toalhetes</v>
      </c>
      <c r="M2389" s="6" t="str">
        <f>"30x50"</f>
        <v>30x50</v>
      </c>
      <c r="N2389" s="6" t="str">
        <f>"5602972281071"</f>
        <v>5602972281071</v>
      </c>
      <c r="O2389" s="8">
        <v>6</v>
      </c>
      <c r="R2389" s="8">
        <v>0</v>
      </c>
      <c r="U2389" s="8">
        <v>0</v>
      </c>
      <c r="X2389" s="8">
        <v>0</v>
      </c>
      <c r="Z2389" s="8">
        <v>0</v>
      </c>
      <c r="AC2389" s="8">
        <v>0</v>
      </c>
      <c r="AF2389" s="8">
        <v>0</v>
      </c>
      <c r="AN2389" s="8">
        <v>6</v>
      </c>
      <c r="AO2389" s="8">
        <v>0</v>
      </c>
    </row>
    <row r="2390" spans="1:41" x14ac:dyDescent="0.25">
      <c r="A2390" s="6" t="str">
        <f t="shared" si="557"/>
        <v>522-2026000252</v>
      </c>
      <c r="B2390" s="6" t="str">
        <f t="shared" si="554"/>
        <v>EL CORTE</v>
      </c>
      <c r="C2390" s="7">
        <v>46037</v>
      </c>
      <c r="D2390" s="7">
        <v>46042</v>
      </c>
      <c r="E2390" s="8">
        <v>5</v>
      </c>
      <c r="F2390" s="6" t="str">
        <f t="shared" si="558"/>
        <v>94826401_07026</v>
      </c>
      <c r="G2390" s="6" t="str">
        <f t="shared" si="555"/>
        <v>F310631650000000</v>
      </c>
      <c r="H2390" s="6" t="str">
        <f t="shared" si="556"/>
        <v>PLAR 6316 FD - 500 g</v>
      </c>
      <c r="I2390" s="6" t="str">
        <f>"202575"</f>
        <v>202575</v>
      </c>
      <c r="J2390" s="6" t="str">
        <f>"BEGE 2575"</f>
        <v>BEGE 2575</v>
      </c>
      <c r="K2390" s="6" t="str">
        <f>"1024"</f>
        <v>1024</v>
      </c>
      <c r="L2390" s="6" t="str">
        <f>"Toalhas"</f>
        <v>Toalhas</v>
      </c>
      <c r="M2390" s="6" t="str">
        <f>"50x100"</f>
        <v>50x100</v>
      </c>
      <c r="N2390" s="6" t="str">
        <f>"5602972281088"</f>
        <v>5602972281088</v>
      </c>
      <c r="O2390" s="8">
        <v>12</v>
      </c>
      <c r="R2390" s="8">
        <v>0</v>
      </c>
      <c r="U2390" s="8">
        <v>0</v>
      </c>
      <c r="X2390" s="8">
        <v>0</v>
      </c>
      <c r="Z2390" s="8">
        <v>0</v>
      </c>
      <c r="AC2390" s="8">
        <v>0</v>
      </c>
      <c r="AF2390" s="8">
        <v>0</v>
      </c>
      <c r="AN2390" s="8">
        <v>12</v>
      </c>
      <c r="AO2390" s="8">
        <v>0</v>
      </c>
    </row>
    <row r="2391" spans="1:41" x14ac:dyDescent="0.25">
      <c r="A2391" s="6" t="str">
        <f t="shared" si="557"/>
        <v>522-2026000252</v>
      </c>
      <c r="B2391" s="6" t="str">
        <f t="shared" si="554"/>
        <v>EL CORTE</v>
      </c>
      <c r="C2391" s="7">
        <v>46037</v>
      </c>
      <c r="D2391" s="7">
        <v>46042</v>
      </c>
      <c r="E2391" s="8">
        <v>6</v>
      </c>
      <c r="F2391" s="6" t="str">
        <f t="shared" si="558"/>
        <v>94826401_07026</v>
      </c>
      <c r="G2391" s="6" t="str">
        <f t="shared" si="555"/>
        <v>F310631650000000</v>
      </c>
      <c r="H2391" s="6" t="str">
        <f t="shared" si="556"/>
        <v>PLAR 6316 FD - 500 g</v>
      </c>
      <c r="I2391" s="6" t="str">
        <f>"202575"</f>
        <v>202575</v>
      </c>
      <c r="J2391" s="6" t="str">
        <f>"BEGE 2575"</f>
        <v>BEGE 2575</v>
      </c>
      <c r="K2391" s="6" t="str">
        <f>"2020"</f>
        <v>2020</v>
      </c>
      <c r="L2391" s="6" t="str">
        <f>"Lençóis"</f>
        <v>Lençóis</v>
      </c>
      <c r="M2391" s="6" t="str">
        <f>"100x150"</f>
        <v>100x150</v>
      </c>
      <c r="N2391" s="6" t="str">
        <f>"5602972281095"</f>
        <v>5602972281095</v>
      </c>
      <c r="O2391" s="8">
        <v>6</v>
      </c>
      <c r="R2391" s="8">
        <v>0</v>
      </c>
      <c r="U2391" s="8">
        <v>0</v>
      </c>
      <c r="X2391" s="8">
        <v>0</v>
      </c>
      <c r="Z2391" s="8">
        <v>0</v>
      </c>
      <c r="AC2391" s="8">
        <v>0</v>
      </c>
      <c r="AF2391" s="8">
        <v>0</v>
      </c>
      <c r="AN2391" s="8">
        <v>0</v>
      </c>
      <c r="AO2391" s="8">
        <v>6</v>
      </c>
    </row>
    <row r="2392" spans="1:41" x14ac:dyDescent="0.25">
      <c r="A2392" s="6" t="str">
        <f t="shared" si="557"/>
        <v>522-2026000252</v>
      </c>
      <c r="B2392" s="6" t="str">
        <f t="shared" si="554"/>
        <v>EL CORTE</v>
      </c>
      <c r="C2392" s="7">
        <v>46037</v>
      </c>
      <c r="D2392" s="7">
        <v>46042</v>
      </c>
      <c r="E2392" s="8">
        <v>7</v>
      </c>
      <c r="F2392" s="6" t="str">
        <f t="shared" si="558"/>
        <v>94826401_07026</v>
      </c>
      <c r="G2392" s="6" t="str">
        <f t="shared" si="555"/>
        <v>F310631650000000</v>
      </c>
      <c r="H2392" s="6" t="str">
        <f t="shared" si="556"/>
        <v>PLAR 6316 FD - 500 g</v>
      </c>
      <c r="I2392" s="6" t="str">
        <f>"200901"</f>
        <v>200901</v>
      </c>
      <c r="J2392" s="6" t="str">
        <f>"ROSA 901"</f>
        <v>ROSA 901</v>
      </c>
      <c r="K2392" s="6" t="str">
        <f>"0520"</f>
        <v>0520</v>
      </c>
      <c r="L2392" s="6" t="str">
        <f>"Toalhetes"</f>
        <v>Toalhetes</v>
      </c>
      <c r="M2392" s="6" t="str">
        <f>"30x50"</f>
        <v>30x50</v>
      </c>
      <c r="N2392" s="6" t="str">
        <f>"5602972281101"</f>
        <v>5602972281101</v>
      </c>
      <c r="O2392" s="8">
        <v>6</v>
      </c>
      <c r="R2392" s="8">
        <v>0</v>
      </c>
      <c r="U2392" s="8">
        <v>0</v>
      </c>
      <c r="X2392" s="8">
        <v>0</v>
      </c>
      <c r="Z2392" s="8">
        <v>0</v>
      </c>
      <c r="AC2392" s="8">
        <v>0</v>
      </c>
      <c r="AF2392" s="8">
        <v>0</v>
      </c>
      <c r="AN2392" s="8">
        <v>6</v>
      </c>
      <c r="AO2392" s="8">
        <v>0</v>
      </c>
    </row>
    <row r="2393" spans="1:41" x14ac:dyDescent="0.25">
      <c r="A2393" s="6" t="str">
        <f t="shared" si="557"/>
        <v>522-2026000252</v>
      </c>
      <c r="B2393" s="6" t="str">
        <f t="shared" si="554"/>
        <v>EL CORTE</v>
      </c>
      <c r="C2393" s="7">
        <v>46037</v>
      </c>
      <c r="D2393" s="7">
        <v>46042</v>
      </c>
      <c r="E2393" s="8">
        <v>8</v>
      </c>
      <c r="F2393" s="6" t="str">
        <f t="shared" si="558"/>
        <v>94826401_07026</v>
      </c>
      <c r="G2393" s="6" t="str">
        <f t="shared" si="555"/>
        <v>F310631650000000</v>
      </c>
      <c r="H2393" s="6" t="str">
        <f t="shared" si="556"/>
        <v>PLAR 6316 FD - 500 g</v>
      </c>
      <c r="I2393" s="6" t="str">
        <f>"200901"</f>
        <v>200901</v>
      </c>
      <c r="J2393" s="6" t="str">
        <f>"ROSA 901"</f>
        <v>ROSA 901</v>
      </c>
      <c r="K2393" s="6" t="str">
        <f>"1024"</f>
        <v>1024</v>
      </c>
      <c r="L2393" s="6" t="str">
        <f>"Toalhas"</f>
        <v>Toalhas</v>
      </c>
      <c r="M2393" s="6" t="str">
        <f>"50x100"</f>
        <v>50x100</v>
      </c>
      <c r="N2393" s="6" t="str">
        <f>"5602972281118"</f>
        <v>5602972281118</v>
      </c>
      <c r="O2393" s="8">
        <v>6</v>
      </c>
      <c r="R2393" s="8">
        <v>0</v>
      </c>
      <c r="U2393" s="8">
        <v>0</v>
      </c>
      <c r="X2393" s="8">
        <v>0</v>
      </c>
      <c r="Z2393" s="8">
        <v>0</v>
      </c>
      <c r="AC2393" s="8">
        <v>0</v>
      </c>
      <c r="AF2393" s="8">
        <v>0</v>
      </c>
      <c r="AN2393" s="8">
        <v>6</v>
      </c>
      <c r="AO2393" s="8">
        <v>0</v>
      </c>
    </row>
    <row r="2394" spans="1:41" x14ac:dyDescent="0.25">
      <c r="A2394" s="6" t="str">
        <f t="shared" si="557"/>
        <v>522-2026000252</v>
      </c>
      <c r="B2394" s="6" t="str">
        <f t="shared" si="554"/>
        <v>EL CORTE</v>
      </c>
      <c r="C2394" s="7">
        <v>46037</v>
      </c>
      <c r="D2394" s="7">
        <v>46042</v>
      </c>
      <c r="E2394" s="8">
        <v>9</v>
      </c>
      <c r="F2394" s="6" t="str">
        <f t="shared" si="558"/>
        <v>94826401_07026</v>
      </c>
      <c r="G2394" s="6" t="str">
        <f t="shared" si="555"/>
        <v>F310631650000000</v>
      </c>
      <c r="H2394" s="6" t="str">
        <f t="shared" si="556"/>
        <v>PLAR 6316 FD - 500 g</v>
      </c>
      <c r="I2394" s="6" t="str">
        <f>"200901"</f>
        <v>200901</v>
      </c>
      <c r="J2394" s="6" t="str">
        <f>"ROSA 901"</f>
        <v>ROSA 901</v>
      </c>
      <c r="K2394" s="6" t="str">
        <f>"2020"</f>
        <v>2020</v>
      </c>
      <c r="L2394" s="6" t="str">
        <f>"Lençóis"</f>
        <v>Lençóis</v>
      </c>
      <c r="M2394" s="6" t="str">
        <f>"100x150"</f>
        <v>100x150</v>
      </c>
      <c r="N2394" s="6" t="str">
        <f>"5602972281125"</f>
        <v>5602972281125</v>
      </c>
      <c r="O2394" s="8">
        <v>6</v>
      </c>
      <c r="R2394" s="8">
        <v>0</v>
      </c>
      <c r="U2394" s="8">
        <v>0</v>
      </c>
      <c r="X2394" s="8">
        <v>0</v>
      </c>
      <c r="Z2394" s="8">
        <v>0</v>
      </c>
      <c r="AC2394" s="8">
        <v>0</v>
      </c>
      <c r="AF2394" s="8">
        <v>0</v>
      </c>
      <c r="AN2394" s="8">
        <v>0</v>
      </c>
      <c r="AO2394" s="8">
        <v>6</v>
      </c>
    </row>
    <row r="2395" spans="1:41" x14ac:dyDescent="0.25">
      <c r="A2395" s="6" t="str">
        <f t="shared" si="557"/>
        <v>522-2026000252</v>
      </c>
      <c r="B2395" s="6" t="str">
        <f t="shared" si="554"/>
        <v>EL CORTE</v>
      </c>
      <c r="C2395" s="7">
        <v>46037</v>
      </c>
      <c r="D2395" s="7">
        <v>46042</v>
      </c>
      <c r="E2395" s="8">
        <v>10</v>
      </c>
      <c r="F2395" s="6" t="str">
        <f t="shared" si="558"/>
        <v>94826401_07026</v>
      </c>
      <c r="G2395" s="6" t="str">
        <f t="shared" si="555"/>
        <v>F310631650000000</v>
      </c>
      <c r="H2395" s="6" t="str">
        <f t="shared" si="556"/>
        <v>PLAR 6316 FD - 500 g</v>
      </c>
      <c r="I2395" s="6" t="str">
        <f>"200510"</f>
        <v>200510</v>
      </c>
      <c r="J2395" s="6" t="str">
        <f>"VERDE 510"</f>
        <v>VERDE 510</v>
      </c>
      <c r="K2395" s="6" t="str">
        <f>"0520"</f>
        <v>0520</v>
      </c>
      <c r="L2395" s="6" t="str">
        <f>"Toalhetes"</f>
        <v>Toalhetes</v>
      </c>
      <c r="M2395" s="6" t="str">
        <f>"30x50"</f>
        <v>30x50</v>
      </c>
      <c r="N2395" s="6" t="str">
        <f>"5602972281132"</f>
        <v>5602972281132</v>
      </c>
      <c r="O2395" s="8">
        <v>6</v>
      </c>
      <c r="R2395" s="8">
        <v>0</v>
      </c>
      <c r="U2395" s="8">
        <v>0</v>
      </c>
      <c r="X2395" s="8">
        <v>0</v>
      </c>
      <c r="Z2395" s="8">
        <v>0</v>
      </c>
      <c r="AC2395" s="8">
        <v>0</v>
      </c>
      <c r="AF2395" s="8">
        <v>0</v>
      </c>
      <c r="AN2395" s="8">
        <v>6</v>
      </c>
      <c r="AO2395" s="8">
        <v>0</v>
      </c>
    </row>
    <row r="2396" spans="1:41" x14ac:dyDescent="0.25">
      <c r="A2396" s="6" t="str">
        <f t="shared" si="557"/>
        <v>522-2026000252</v>
      </c>
      <c r="B2396" s="6" t="str">
        <f t="shared" si="554"/>
        <v>EL CORTE</v>
      </c>
      <c r="C2396" s="7">
        <v>46037</v>
      </c>
      <c r="D2396" s="7">
        <v>46042</v>
      </c>
      <c r="E2396" s="8">
        <v>11</v>
      </c>
      <c r="F2396" s="6" t="str">
        <f t="shared" si="558"/>
        <v>94826401_07026</v>
      </c>
      <c r="G2396" s="6" t="str">
        <f t="shared" si="555"/>
        <v>F310631650000000</v>
      </c>
      <c r="H2396" s="6" t="str">
        <f t="shared" si="556"/>
        <v>PLAR 6316 FD - 500 g</v>
      </c>
      <c r="I2396" s="6" t="str">
        <f>"200510"</f>
        <v>200510</v>
      </c>
      <c r="J2396" s="6" t="str">
        <f>"VERDE 510"</f>
        <v>VERDE 510</v>
      </c>
      <c r="K2396" s="6" t="str">
        <f>"1024"</f>
        <v>1024</v>
      </c>
      <c r="L2396" s="6" t="str">
        <f>"Toalhas"</f>
        <v>Toalhas</v>
      </c>
      <c r="M2396" s="6" t="str">
        <f>"50x100"</f>
        <v>50x100</v>
      </c>
      <c r="N2396" s="6" t="str">
        <f>"5602972281149"</f>
        <v>5602972281149</v>
      </c>
      <c r="O2396" s="8">
        <v>6</v>
      </c>
      <c r="R2396" s="8">
        <v>0</v>
      </c>
      <c r="U2396" s="8">
        <v>0</v>
      </c>
      <c r="X2396" s="8">
        <v>0</v>
      </c>
      <c r="Z2396" s="8">
        <v>0</v>
      </c>
      <c r="AC2396" s="8">
        <v>0</v>
      </c>
      <c r="AF2396" s="8">
        <v>0</v>
      </c>
      <c r="AN2396" s="8">
        <v>6</v>
      </c>
      <c r="AO2396" s="8">
        <v>0</v>
      </c>
    </row>
    <row r="2397" spans="1:41" x14ac:dyDescent="0.25">
      <c r="A2397" s="6" t="str">
        <f t="shared" si="557"/>
        <v>522-2026000252</v>
      </c>
      <c r="B2397" s="6" t="str">
        <f t="shared" si="554"/>
        <v>EL CORTE</v>
      </c>
      <c r="C2397" s="7">
        <v>46037</v>
      </c>
      <c r="D2397" s="7">
        <v>46042</v>
      </c>
      <c r="E2397" s="8">
        <v>12</v>
      </c>
      <c r="F2397" s="6" t="str">
        <f t="shared" si="558"/>
        <v>94826401_07026</v>
      </c>
      <c r="G2397" s="6" t="str">
        <f t="shared" si="555"/>
        <v>F310631650000000</v>
      </c>
      <c r="H2397" s="6" t="str">
        <f t="shared" si="556"/>
        <v>PLAR 6316 FD - 500 g</v>
      </c>
      <c r="I2397" s="6" t="str">
        <f>"200510"</f>
        <v>200510</v>
      </c>
      <c r="J2397" s="6" t="str">
        <f>"VERDE 510"</f>
        <v>VERDE 510</v>
      </c>
      <c r="K2397" s="6" t="str">
        <f>"2020"</f>
        <v>2020</v>
      </c>
      <c r="L2397" s="6" t="str">
        <f>"Lençóis"</f>
        <v>Lençóis</v>
      </c>
      <c r="M2397" s="6" t="str">
        <f>"100x150"</f>
        <v>100x150</v>
      </c>
      <c r="N2397" s="6" t="str">
        <f>"5602972281156"</f>
        <v>5602972281156</v>
      </c>
      <c r="O2397" s="8">
        <v>6</v>
      </c>
      <c r="R2397" s="8">
        <v>0</v>
      </c>
      <c r="U2397" s="8">
        <v>0</v>
      </c>
      <c r="X2397" s="8">
        <v>0</v>
      </c>
      <c r="Z2397" s="8">
        <v>0</v>
      </c>
      <c r="AC2397" s="8">
        <v>0</v>
      </c>
      <c r="AF2397" s="8">
        <v>0</v>
      </c>
      <c r="AN2397" s="8">
        <v>0</v>
      </c>
      <c r="AO2397" s="8">
        <v>6</v>
      </c>
    </row>
    <row r="2398" spans="1:41" x14ac:dyDescent="0.25">
      <c r="A2398" s="6" t="str">
        <f t="shared" ref="A2398:A2403" si="559">"522-2026000253"</f>
        <v>522-2026000253</v>
      </c>
      <c r="B2398" s="6" t="str">
        <f t="shared" si="554"/>
        <v>EL CORTE</v>
      </c>
      <c r="C2398" s="7">
        <v>46037</v>
      </c>
      <c r="D2398" s="7">
        <v>46042</v>
      </c>
      <c r="E2398" s="8">
        <v>1</v>
      </c>
      <c r="F2398" s="6" t="str">
        <f t="shared" ref="F2398:F2403" si="560">"94832001_07026"</f>
        <v>94832001_07026</v>
      </c>
      <c r="G2398" s="6" t="str">
        <f t="shared" si="555"/>
        <v>F310631650000000</v>
      </c>
      <c r="H2398" s="6" t="str">
        <f t="shared" si="556"/>
        <v>PLAR 6316 FD - 500 g</v>
      </c>
      <c r="I2398" s="6" t="str">
        <f>"201855"</f>
        <v>201855</v>
      </c>
      <c r="J2398" s="6" t="str">
        <f>"AZUL 1855"</f>
        <v>AZUL 1855</v>
      </c>
      <c r="K2398" s="6" t="str">
        <f>"1024"</f>
        <v>1024</v>
      </c>
      <c r="L2398" s="6" t="str">
        <f>"Toalhas"</f>
        <v>Toalhas</v>
      </c>
      <c r="M2398" s="6" t="str">
        <f>"50x100"</f>
        <v>50x100</v>
      </c>
      <c r="N2398" s="6" t="str">
        <f>"5602972281057"</f>
        <v>5602972281057</v>
      </c>
      <c r="O2398" s="8">
        <v>6</v>
      </c>
      <c r="R2398" s="8">
        <v>0</v>
      </c>
      <c r="U2398" s="8">
        <v>0</v>
      </c>
      <c r="X2398" s="8">
        <v>0</v>
      </c>
      <c r="Z2398" s="8">
        <v>0</v>
      </c>
      <c r="AC2398" s="8">
        <v>0</v>
      </c>
      <c r="AF2398" s="8">
        <v>0</v>
      </c>
      <c r="AN2398" s="8">
        <v>6</v>
      </c>
      <c r="AO2398" s="8">
        <v>0</v>
      </c>
    </row>
    <row r="2399" spans="1:41" x14ac:dyDescent="0.25">
      <c r="A2399" s="6" t="str">
        <f t="shared" si="559"/>
        <v>522-2026000253</v>
      </c>
      <c r="B2399" s="6" t="str">
        <f t="shared" si="554"/>
        <v>EL CORTE</v>
      </c>
      <c r="C2399" s="7">
        <v>46037</v>
      </c>
      <c r="D2399" s="7">
        <v>46042</v>
      </c>
      <c r="E2399" s="8">
        <v>2</v>
      </c>
      <c r="F2399" s="6" t="str">
        <f t="shared" si="560"/>
        <v>94832001_07026</v>
      </c>
      <c r="G2399" s="6" t="str">
        <f t="shared" si="555"/>
        <v>F310631650000000</v>
      </c>
      <c r="H2399" s="6" t="str">
        <f t="shared" si="556"/>
        <v>PLAR 6316 FD - 500 g</v>
      </c>
      <c r="I2399" s="6" t="str">
        <f>"202575"</f>
        <v>202575</v>
      </c>
      <c r="J2399" s="6" t="str">
        <f>"BEGE 2575"</f>
        <v>BEGE 2575</v>
      </c>
      <c r="K2399" s="6" t="str">
        <f>"1024"</f>
        <v>1024</v>
      </c>
      <c r="L2399" s="6" t="str">
        <f>"Toalhas"</f>
        <v>Toalhas</v>
      </c>
      <c r="M2399" s="6" t="str">
        <f>"50x100"</f>
        <v>50x100</v>
      </c>
      <c r="N2399" s="6" t="str">
        <f>"5602972281088"</f>
        <v>5602972281088</v>
      </c>
      <c r="O2399" s="8">
        <v>6</v>
      </c>
      <c r="R2399" s="8">
        <v>0</v>
      </c>
      <c r="U2399" s="8">
        <v>0</v>
      </c>
      <c r="X2399" s="8">
        <v>0</v>
      </c>
      <c r="Z2399" s="8">
        <v>0</v>
      </c>
      <c r="AC2399" s="8">
        <v>0</v>
      </c>
      <c r="AF2399" s="8">
        <v>0</v>
      </c>
      <c r="AN2399" s="8">
        <v>6</v>
      </c>
      <c r="AO2399" s="8">
        <v>0</v>
      </c>
    </row>
    <row r="2400" spans="1:41" x14ac:dyDescent="0.25">
      <c r="A2400" s="6" t="str">
        <f t="shared" si="559"/>
        <v>522-2026000253</v>
      </c>
      <c r="B2400" s="6" t="str">
        <f t="shared" si="554"/>
        <v>EL CORTE</v>
      </c>
      <c r="C2400" s="7">
        <v>46037</v>
      </c>
      <c r="D2400" s="7">
        <v>46042</v>
      </c>
      <c r="E2400" s="8">
        <v>3</v>
      </c>
      <c r="F2400" s="6" t="str">
        <f t="shared" si="560"/>
        <v>94832001_07026</v>
      </c>
      <c r="G2400" s="6" t="str">
        <f t="shared" si="555"/>
        <v>F310631650000000</v>
      </c>
      <c r="H2400" s="6" t="str">
        <f t="shared" si="556"/>
        <v>PLAR 6316 FD - 500 g</v>
      </c>
      <c r="I2400" s="6" t="str">
        <f>"202575"</f>
        <v>202575</v>
      </c>
      <c r="J2400" s="6" t="str">
        <f>"BEGE 2575"</f>
        <v>BEGE 2575</v>
      </c>
      <c r="K2400" s="6" t="str">
        <f>"2020"</f>
        <v>2020</v>
      </c>
      <c r="L2400" s="6" t="str">
        <f>"Lençóis"</f>
        <v>Lençóis</v>
      </c>
      <c r="M2400" s="6" t="str">
        <f>"100x150"</f>
        <v>100x150</v>
      </c>
      <c r="N2400" s="6" t="str">
        <f>"5602972281095"</f>
        <v>5602972281095</v>
      </c>
      <c r="O2400" s="8">
        <v>6</v>
      </c>
      <c r="R2400" s="8">
        <v>0</v>
      </c>
      <c r="U2400" s="8">
        <v>0</v>
      </c>
      <c r="X2400" s="8">
        <v>0</v>
      </c>
      <c r="Z2400" s="8">
        <v>0</v>
      </c>
      <c r="AC2400" s="8">
        <v>0</v>
      </c>
      <c r="AF2400" s="8">
        <v>0</v>
      </c>
      <c r="AN2400" s="8">
        <v>0</v>
      </c>
      <c r="AO2400" s="8">
        <v>6</v>
      </c>
    </row>
    <row r="2401" spans="1:41" x14ac:dyDescent="0.25">
      <c r="A2401" s="6" t="str">
        <f t="shared" si="559"/>
        <v>522-2026000253</v>
      </c>
      <c r="B2401" s="6" t="str">
        <f t="shared" si="554"/>
        <v>EL CORTE</v>
      </c>
      <c r="C2401" s="7">
        <v>46037</v>
      </c>
      <c r="D2401" s="7">
        <v>46042</v>
      </c>
      <c r="E2401" s="8">
        <v>4</v>
      </c>
      <c r="F2401" s="6" t="str">
        <f t="shared" si="560"/>
        <v>94832001_07026</v>
      </c>
      <c r="G2401" s="6" t="str">
        <f t="shared" si="555"/>
        <v>F310631650000000</v>
      </c>
      <c r="H2401" s="6" t="str">
        <f t="shared" si="556"/>
        <v>PLAR 6316 FD - 500 g</v>
      </c>
      <c r="I2401" s="6" t="str">
        <f>"200510"</f>
        <v>200510</v>
      </c>
      <c r="J2401" s="6" t="str">
        <f>"VERDE 510"</f>
        <v>VERDE 510</v>
      </c>
      <c r="K2401" s="6" t="str">
        <f>"0520"</f>
        <v>0520</v>
      </c>
      <c r="L2401" s="6" t="str">
        <f>"Toalhetes"</f>
        <v>Toalhetes</v>
      </c>
      <c r="M2401" s="6" t="str">
        <f>"30x50"</f>
        <v>30x50</v>
      </c>
      <c r="N2401" s="6" t="str">
        <f>"5602972281132"</f>
        <v>5602972281132</v>
      </c>
      <c r="O2401" s="8">
        <v>6</v>
      </c>
      <c r="R2401" s="8">
        <v>0</v>
      </c>
      <c r="U2401" s="8">
        <v>0</v>
      </c>
      <c r="X2401" s="8">
        <v>0</v>
      </c>
      <c r="Z2401" s="8">
        <v>0</v>
      </c>
      <c r="AC2401" s="8">
        <v>0</v>
      </c>
      <c r="AF2401" s="8">
        <v>0</v>
      </c>
      <c r="AN2401" s="8">
        <v>6</v>
      </c>
      <c r="AO2401" s="8">
        <v>0</v>
      </c>
    </row>
    <row r="2402" spans="1:41" x14ac:dyDescent="0.25">
      <c r="A2402" s="6" t="str">
        <f t="shared" si="559"/>
        <v>522-2026000253</v>
      </c>
      <c r="B2402" s="6" t="str">
        <f t="shared" si="554"/>
        <v>EL CORTE</v>
      </c>
      <c r="C2402" s="7">
        <v>46037</v>
      </c>
      <c r="D2402" s="7">
        <v>46042</v>
      </c>
      <c r="E2402" s="8">
        <v>5</v>
      </c>
      <c r="F2402" s="6" t="str">
        <f t="shared" si="560"/>
        <v>94832001_07026</v>
      </c>
      <c r="G2402" s="6" t="str">
        <f t="shared" si="555"/>
        <v>F310631650000000</v>
      </c>
      <c r="H2402" s="6" t="str">
        <f t="shared" si="556"/>
        <v>PLAR 6316 FD - 500 g</v>
      </c>
      <c r="I2402" s="6" t="str">
        <f>"200510"</f>
        <v>200510</v>
      </c>
      <c r="J2402" s="6" t="str">
        <f>"VERDE 510"</f>
        <v>VERDE 510</v>
      </c>
      <c r="K2402" s="6" t="str">
        <f>"1024"</f>
        <v>1024</v>
      </c>
      <c r="L2402" s="6" t="str">
        <f>"Toalhas"</f>
        <v>Toalhas</v>
      </c>
      <c r="M2402" s="6" t="str">
        <f>"50x100"</f>
        <v>50x100</v>
      </c>
      <c r="N2402" s="6" t="str">
        <f>"5602972281149"</f>
        <v>5602972281149</v>
      </c>
      <c r="O2402" s="8">
        <v>6</v>
      </c>
      <c r="R2402" s="8">
        <v>0</v>
      </c>
      <c r="U2402" s="8">
        <v>0</v>
      </c>
      <c r="X2402" s="8">
        <v>0</v>
      </c>
      <c r="Z2402" s="8">
        <v>0</v>
      </c>
      <c r="AC2402" s="8">
        <v>0</v>
      </c>
      <c r="AF2402" s="8">
        <v>0</v>
      </c>
      <c r="AN2402" s="8">
        <v>6</v>
      </c>
      <c r="AO2402" s="8">
        <v>0</v>
      </c>
    </row>
    <row r="2403" spans="1:41" x14ac:dyDescent="0.25">
      <c r="A2403" s="6" t="str">
        <f t="shared" si="559"/>
        <v>522-2026000253</v>
      </c>
      <c r="B2403" s="6" t="str">
        <f t="shared" si="554"/>
        <v>EL CORTE</v>
      </c>
      <c r="C2403" s="7">
        <v>46037</v>
      </c>
      <c r="D2403" s="7">
        <v>46042</v>
      </c>
      <c r="E2403" s="8">
        <v>6</v>
      </c>
      <c r="F2403" s="6" t="str">
        <f t="shared" si="560"/>
        <v>94832001_07026</v>
      </c>
      <c r="G2403" s="6" t="str">
        <f t="shared" si="555"/>
        <v>F310631650000000</v>
      </c>
      <c r="H2403" s="6" t="str">
        <f t="shared" si="556"/>
        <v>PLAR 6316 FD - 500 g</v>
      </c>
      <c r="I2403" s="6" t="str">
        <f>"200510"</f>
        <v>200510</v>
      </c>
      <c r="J2403" s="6" t="str">
        <f>"VERDE 510"</f>
        <v>VERDE 510</v>
      </c>
      <c r="K2403" s="6" t="str">
        <f>"2020"</f>
        <v>2020</v>
      </c>
      <c r="L2403" s="6" t="str">
        <f>"Lençóis"</f>
        <v>Lençóis</v>
      </c>
      <c r="M2403" s="6" t="str">
        <f>"100x150"</f>
        <v>100x150</v>
      </c>
      <c r="N2403" s="6" t="str">
        <f>"5602972281156"</f>
        <v>5602972281156</v>
      </c>
      <c r="O2403" s="8">
        <v>6</v>
      </c>
      <c r="R2403" s="8">
        <v>0</v>
      </c>
      <c r="U2403" s="8">
        <v>0</v>
      </c>
      <c r="X2403" s="8">
        <v>0</v>
      </c>
      <c r="Z2403" s="8">
        <v>0</v>
      </c>
      <c r="AC2403" s="8">
        <v>0</v>
      </c>
      <c r="AF2403" s="8">
        <v>0</v>
      </c>
      <c r="AN2403" s="8">
        <v>0</v>
      </c>
      <c r="AO2403" s="8">
        <v>6</v>
      </c>
    </row>
    <row r="2404" spans="1:41" x14ac:dyDescent="0.25">
      <c r="A2404" s="6" t="str">
        <f t="shared" ref="A2404:A2409" si="561">"522-2026000254"</f>
        <v>522-2026000254</v>
      </c>
      <c r="B2404" s="6" t="str">
        <f t="shared" si="554"/>
        <v>EL CORTE</v>
      </c>
      <c r="C2404" s="7">
        <v>46037</v>
      </c>
      <c r="D2404" s="7">
        <v>46042</v>
      </c>
      <c r="E2404" s="8">
        <v>1</v>
      </c>
      <c r="F2404" s="6" t="str">
        <f t="shared" ref="F2404:F2409" si="562">"94831601_07026"</f>
        <v>94831601_07026</v>
      </c>
      <c r="G2404" s="6" t="str">
        <f t="shared" si="555"/>
        <v>F310631650000000</v>
      </c>
      <c r="H2404" s="6" t="str">
        <f t="shared" si="556"/>
        <v>PLAR 6316 FD - 500 g</v>
      </c>
      <c r="I2404" s="6" t="str">
        <f>"201855"</f>
        <v>201855</v>
      </c>
      <c r="J2404" s="6" t="str">
        <f>"AZUL 1855"</f>
        <v>AZUL 1855</v>
      </c>
      <c r="K2404" s="6" t="str">
        <f>"1024"</f>
        <v>1024</v>
      </c>
      <c r="L2404" s="6" t="str">
        <f>"Toalhas"</f>
        <v>Toalhas</v>
      </c>
      <c r="M2404" s="6" t="str">
        <f>"50x100"</f>
        <v>50x100</v>
      </c>
      <c r="N2404" s="6" t="str">
        <f>"5602972281057"</f>
        <v>5602972281057</v>
      </c>
      <c r="O2404" s="8">
        <v>6</v>
      </c>
      <c r="R2404" s="8">
        <v>0</v>
      </c>
      <c r="U2404" s="8">
        <v>0</v>
      </c>
      <c r="X2404" s="8">
        <v>0</v>
      </c>
      <c r="Z2404" s="8">
        <v>0</v>
      </c>
      <c r="AC2404" s="8">
        <v>0</v>
      </c>
      <c r="AF2404" s="8">
        <v>0</v>
      </c>
      <c r="AN2404" s="8">
        <v>6</v>
      </c>
      <c r="AO2404" s="8">
        <v>0</v>
      </c>
    </row>
    <row r="2405" spans="1:41" x14ac:dyDescent="0.25">
      <c r="A2405" s="6" t="str">
        <f t="shared" si="561"/>
        <v>522-2026000254</v>
      </c>
      <c r="B2405" s="6" t="str">
        <f t="shared" si="554"/>
        <v>EL CORTE</v>
      </c>
      <c r="C2405" s="7">
        <v>46037</v>
      </c>
      <c r="D2405" s="7">
        <v>46042</v>
      </c>
      <c r="E2405" s="8">
        <v>2</v>
      </c>
      <c r="F2405" s="6" t="str">
        <f t="shared" si="562"/>
        <v>94831601_07026</v>
      </c>
      <c r="G2405" s="6" t="str">
        <f t="shared" si="555"/>
        <v>F310631650000000</v>
      </c>
      <c r="H2405" s="6" t="str">
        <f t="shared" si="556"/>
        <v>PLAR 6316 FD - 500 g</v>
      </c>
      <c r="I2405" s="6" t="str">
        <f>"201855"</f>
        <v>201855</v>
      </c>
      <c r="J2405" s="6" t="str">
        <f>"AZUL 1855"</f>
        <v>AZUL 1855</v>
      </c>
      <c r="K2405" s="6" t="str">
        <f>"2020"</f>
        <v>2020</v>
      </c>
      <c r="L2405" s="6" t="str">
        <f>"Lençóis"</f>
        <v>Lençóis</v>
      </c>
      <c r="M2405" s="6" t="str">
        <f>"100x150"</f>
        <v>100x150</v>
      </c>
      <c r="N2405" s="6" t="str">
        <f>"5602972281064"</f>
        <v>5602972281064</v>
      </c>
      <c r="O2405" s="8">
        <v>3</v>
      </c>
      <c r="R2405" s="8">
        <v>0</v>
      </c>
      <c r="U2405" s="8">
        <v>0</v>
      </c>
      <c r="X2405" s="8">
        <v>0</v>
      </c>
      <c r="Z2405" s="8">
        <v>0</v>
      </c>
      <c r="AC2405" s="8">
        <v>0</v>
      </c>
      <c r="AF2405" s="8">
        <v>0</v>
      </c>
      <c r="AN2405" s="8">
        <v>0</v>
      </c>
      <c r="AO2405" s="8">
        <v>3</v>
      </c>
    </row>
    <row r="2406" spans="1:41" x14ac:dyDescent="0.25">
      <c r="A2406" s="6" t="str">
        <f t="shared" si="561"/>
        <v>522-2026000254</v>
      </c>
      <c r="B2406" s="6" t="str">
        <f t="shared" si="554"/>
        <v>EL CORTE</v>
      </c>
      <c r="C2406" s="7">
        <v>46037</v>
      </c>
      <c r="D2406" s="7">
        <v>46042</v>
      </c>
      <c r="E2406" s="8">
        <v>3</v>
      </c>
      <c r="F2406" s="6" t="str">
        <f t="shared" si="562"/>
        <v>94831601_07026</v>
      </c>
      <c r="G2406" s="6" t="str">
        <f t="shared" si="555"/>
        <v>F310631650000000</v>
      </c>
      <c r="H2406" s="6" t="str">
        <f t="shared" si="556"/>
        <v>PLAR 6316 FD - 500 g</v>
      </c>
      <c r="I2406" s="6" t="str">
        <f>"202575"</f>
        <v>202575</v>
      </c>
      <c r="J2406" s="6" t="str">
        <f>"BEGE 2575"</f>
        <v>BEGE 2575</v>
      </c>
      <c r="K2406" s="6" t="str">
        <f>"1024"</f>
        <v>1024</v>
      </c>
      <c r="L2406" s="6" t="str">
        <f>"Toalhas"</f>
        <v>Toalhas</v>
      </c>
      <c r="M2406" s="6" t="str">
        <f>"50x100"</f>
        <v>50x100</v>
      </c>
      <c r="N2406" s="6" t="str">
        <f>"5602972281088"</f>
        <v>5602972281088</v>
      </c>
      <c r="O2406" s="8">
        <v>6</v>
      </c>
      <c r="R2406" s="8">
        <v>0</v>
      </c>
      <c r="U2406" s="8">
        <v>0</v>
      </c>
      <c r="X2406" s="8">
        <v>0</v>
      </c>
      <c r="Z2406" s="8">
        <v>0</v>
      </c>
      <c r="AC2406" s="8">
        <v>0</v>
      </c>
      <c r="AF2406" s="8">
        <v>0</v>
      </c>
      <c r="AN2406" s="8">
        <v>6</v>
      </c>
      <c r="AO2406" s="8">
        <v>0</v>
      </c>
    </row>
    <row r="2407" spans="1:41" x14ac:dyDescent="0.25">
      <c r="A2407" s="6" t="str">
        <f t="shared" si="561"/>
        <v>522-2026000254</v>
      </c>
      <c r="B2407" s="6" t="str">
        <f t="shared" si="554"/>
        <v>EL CORTE</v>
      </c>
      <c r="C2407" s="7">
        <v>46037</v>
      </c>
      <c r="D2407" s="7">
        <v>46042</v>
      </c>
      <c r="E2407" s="8">
        <v>4</v>
      </c>
      <c r="F2407" s="6" t="str">
        <f t="shared" si="562"/>
        <v>94831601_07026</v>
      </c>
      <c r="G2407" s="6" t="str">
        <f t="shared" si="555"/>
        <v>F310631650000000</v>
      </c>
      <c r="H2407" s="6" t="str">
        <f t="shared" si="556"/>
        <v>PLAR 6316 FD - 500 g</v>
      </c>
      <c r="I2407" s="6" t="str">
        <f>"202575"</f>
        <v>202575</v>
      </c>
      <c r="J2407" s="6" t="str">
        <f>"BEGE 2575"</f>
        <v>BEGE 2575</v>
      </c>
      <c r="K2407" s="6" t="str">
        <f>"2020"</f>
        <v>2020</v>
      </c>
      <c r="L2407" s="6" t="str">
        <f>"Lençóis"</f>
        <v>Lençóis</v>
      </c>
      <c r="M2407" s="6" t="str">
        <f>"100x150"</f>
        <v>100x150</v>
      </c>
      <c r="N2407" s="6" t="str">
        <f>"5602972281095"</f>
        <v>5602972281095</v>
      </c>
      <c r="O2407" s="8">
        <v>6</v>
      </c>
      <c r="R2407" s="8">
        <v>0</v>
      </c>
      <c r="U2407" s="8">
        <v>0</v>
      </c>
      <c r="X2407" s="8">
        <v>0</v>
      </c>
      <c r="Z2407" s="8">
        <v>0</v>
      </c>
      <c r="AC2407" s="8">
        <v>0</v>
      </c>
      <c r="AF2407" s="8">
        <v>0</v>
      </c>
      <c r="AN2407" s="8">
        <v>0</v>
      </c>
      <c r="AO2407" s="8">
        <v>6</v>
      </c>
    </row>
    <row r="2408" spans="1:41" x14ac:dyDescent="0.25">
      <c r="A2408" s="6" t="str">
        <f t="shared" si="561"/>
        <v>522-2026000254</v>
      </c>
      <c r="B2408" s="6" t="str">
        <f t="shared" si="554"/>
        <v>EL CORTE</v>
      </c>
      <c r="C2408" s="7">
        <v>46037</v>
      </c>
      <c r="D2408" s="7">
        <v>46042</v>
      </c>
      <c r="E2408" s="8">
        <v>5</v>
      </c>
      <c r="F2408" s="6" t="str">
        <f t="shared" si="562"/>
        <v>94831601_07026</v>
      </c>
      <c r="G2408" s="6" t="str">
        <f t="shared" si="555"/>
        <v>F310631650000000</v>
      </c>
      <c r="H2408" s="6" t="str">
        <f t="shared" si="556"/>
        <v>PLAR 6316 FD - 500 g</v>
      </c>
      <c r="I2408" s="6" t="str">
        <f>"200901"</f>
        <v>200901</v>
      </c>
      <c r="J2408" s="6" t="str">
        <f>"ROSA 901"</f>
        <v>ROSA 901</v>
      </c>
      <c r="K2408" s="6" t="str">
        <f>"1024"</f>
        <v>1024</v>
      </c>
      <c r="L2408" s="6" t="str">
        <f>"Toalhas"</f>
        <v>Toalhas</v>
      </c>
      <c r="M2408" s="6" t="str">
        <f>"50x100"</f>
        <v>50x100</v>
      </c>
      <c r="N2408" s="6" t="str">
        <f>"5602972281118"</f>
        <v>5602972281118</v>
      </c>
      <c r="O2408" s="8">
        <v>6</v>
      </c>
      <c r="R2408" s="8">
        <v>0</v>
      </c>
      <c r="U2408" s="8">
        <v>0</v>
      </c>
      <c r="X2408" s="8">
        <v>0</v>
      </c>
      <c r="Z2408" s="8">
        <v>0</v>
      </c>
      <c r="AC2408" s="8">
        <v>0</v>
      </c>
      <c r="AF2408" s="8">
        <v>0</v>
      </c>
      <c r="AN2408" s="8">
        <v>6</v>
      </c>
      <c r="AO2408" s="8">
        <v>0</v>
      </c>
    </row>
    <row r="2409" spans="1:41" x14ac:dyDescent="0.25">
      <c r="A2409" s="6" t="str">
        <f t="shared" si="561"/>
        <v>522-2026000254</v>
      </c>
      <c r="B2409" s="6" t="str">
        <f t="shared" si="554"/>
        <v>EL CORTE</v>
      </c>
      <c r="C2409" s="7">
        <v>46037</v>
      </c>
      <c r="D2409" s="7">
        <v>46042</v>
      </c>
      <c r="E2409" s="8">
        <v>6</v>
      </c>
      <c r="F2409" s="6" t="str">
        <f t="shared" si="562"/>
        <v>94831601_07026</v>
      </c>
      <c r="G2409" s="6" t="str">
        <f t="shared" si="555"/>
        <v>F310631650000000</v>
      </c>
      <c r="H2409" s="6" t="str">
        <f t="shared" si="556"/>
        <v>PLAR 6316 FD - 500 g</v>
      </c>
      <c r="I2409" s="6" t="str">
        <f>"200510"</f>
        <v>200510</v>
      </c>
      <c r="J2409" s="6" t="str">
        <f>"VERDE 510"</f>
        <v>VERDE 510</v>
      </c>
      <c r="K2409" s="6" t="str">
        <f>"1024"</f>
        <v>1024</v>
      </c>
      <c r="L2409" s="6" t="str">
        <f>"Toalhas"</f>
        <v>Toalhas</v>
      </c>
      <c r="M2409" s="6" t="str">
        <f>"50x100"</f>
        <v>50x100</v>
      </c>
      <c r="N2409" s="6" t="str">
        <f>"5602972281149"</f>
        <v>5602972281149</v>
      </c>
      <c r="O2409" s="8">
        <v>6</v>
      </c>
      <c r="R2409" s="8">
        <v>0</v>
      </c>
      <c r="U2409" s="8">
        <v>0</v>
      </c>
      <c r="X2409" s="8">
        <v>0</v>
      </c>
      <c r="Z2409" s="8">
        <v>0</v>
      </c>
      <c r="AC2409" s="8">
        <v>0</v>
      </c>
      <c r="AF2409" s="8">
        <v>0</v>
      </c>
      <c r="AN2409" s="8">
        <v>6</v>
      </c>
      <c r="AO2409" s="8">
        <v>0</v>
      </c>
    </row>
    <row r="2410" spans="1:41" x14ac:dyDescent="0.25">
      <c r="A2410" s="6" t="str">
        <f t="shared" ref="A2410:A2421" si="563">"522-2026000255"</f>
        <v>522-2026000255</v>
      </c>
      <c r="B2410" s="6" t="str">
        <f t="shared" si="554"/>
        <v>EL CORTE</v>
      </c>
      <c r="C2410" s="7">
        <v>46037</v>
      </c>
      <c r="D2410" s="7">
        <v>46042</v>
      </c>
      <c r="E2410" s="8">
        <v>1</v>
      </c>
      <c r="F2410" s="6" t="str">
        <f t="shared" ref="F2410:F2421" si="564">"94828401_07026"</f>
        <v>94828401_07026</v>
      </c>
      <c r="G2410" s="6" t="str">
        <f t="shared" si="555"/>
        <v>F310631650000000</v>
      </c>
      <c r="H2410" s="6" t="str">
        <f t="shared" si="556"/>
        <v>PLAR 6316 FD - 500 g</v>
      </c>
      <c r="I2410" s="6" t="str">
        <f>"201855"</f>
        <v>201855</v>
      </c>
      <c r="J2410" s="6" t="str">
        <f>"AZUL 1855"</f>
        <v>AZUL 1855</v>
      </c>
      <c r="K2410" s="6" t="str">
        <f>"0520"</f>
        <v>0520</v>
      </c>
      <c r="L2410" s="6" t="str">
        <f>"Toalhetes"</f>
        <v>Toalhetes</v>
      </c>
      <c r="M2410" s="6" t="str">
        <f>"30x50"</f>
        <v>30x50</v>
      </c>
      <c r="N2410" s="6" t="str">
        <f>"5602972281040"</f>
        <v>5602972281040</v>
      </c>
      <c r="O2410" s="8">
        <v>6</v>
      </c>
      <c r="R2410" s="8">
        <v>0</v>
      </c>
      <c r="U2410" s="8">
        <v>0</v>
      </c>
      <c r="X2410" s="8">
        <v>0</v>
      </c>
      <c r="Z2410" s="8">
        <v>0</v>
      </c>
      <c r="AC2410" s="8">
        <v>0</v>
      </c>
      <c r="AF2410" s="8">
        <v>0</v>
      </c>
      <c r="AN2410" s="8">
        <v>6</v>
      </c>
      <c r="AO2410" s="8">
        <v>0</v>
      </c>
    </row>
    <row r="2411" spans="1:41" x14ac:dyDescent="0.25">
      <c r="A2411" s="6" t="str">
        <f t="shared" si="563"/>
        <v>522-2026000255</v>
      </c>
      <c r="B2411" s="6" t="str">
        <f t="shared" si="554"/>
        <v>EL CORTE</v>
      </c>
      <c r="C2411" s="7">
        <v>46037</v>
      </c>
      <c r="D2411" s="7">
        <v>46042</v>
      </c>
      <c r="E2411" s="8">
        <v>2</v>
      </c>
      <c r="F2411" s="6" t="str">
        <f t="shared" si="564"/>
        <v>94828401_07026</v>
      </c>
      <c r="G2411" s="6" t="str">
        <f t="shared" si="555"/>
        <v>F310631650000000</v>
      </c>
      <c r="H2411" s="6" t="str">
        <f t="shared" si="556"/>
        <v>PLAR 6316 FD - 500 g</v>
      </c>
      <c r="I2411" s="6" t="str">
        <f>"201855"</f>
        <v>201855</v>
      </c>
      <c r="J2411" s="6" t="str">
        <f>"AZUL 1855"</f>
        <v>AZUL 1855</v>
      </c>
      <c r="K2411" s="6" t="str">
        <f>"1024"</f>
        <v>1024</v>
      </c>
      <c r="L2411" s="6" t="str">
        <f>"Toalhas"</f>
        <v>Toalhas</v>
      </c>
      <c r="M2411" s="6" t="str">
        <f>"50x100"</f>
        <v>50x100</v>
      </c>
      <c r="N2411" s="6" t="str">
        <f>"5602972281057"</f>
        <v>5602972281057</v>
      </c>
      <c r="O2411" s="8">
        <v>6</v>
      </c>
      <c r="R2411" s="8">
        <v>0</v>
      </c>
      <c r="U2411" s="8">
        <v>0</v>
      </c>
      <c r="X2411" s="8">
        <v>0</v>
      </c>
      <c r="Z2411" s="8">
        <v>0</v>
      </c>
      <c r="AC2411" s="8">
        <v>0</v>
      </c>
      <c r="AF2411" s="8">
        <v>0</v>
      </c>
      <c r="AN2411" s="8">
        <v>6</v>
      </c>
      <c r="AO2411" s="8">
        <v>0</v>
      </c>
    </row>
    <row r="2412" spans="1:41" x14ac:dyDescent="0.25">
      <c r="A2412" s="6" t="str">
        <f t="shared" si="563"/>
        <v>522-2026000255</v>
      </c>
      <c r="B2412" s="6" t="str">
        <f t="shared" si="554"/>
        <v>EL CORTE</v>
      </c>
      <c r="C2412" s="7">
        <v>46037</v>
      </c>
      <c r="D2412" s="7">
        <v>46042</v>
      </c>
      <c r="E2412" s="8">
        <v>3</v>
      </c>
      <c r="F2412" s="6" t="str">
        <f t="shared" si="564"/>
        <v>94828401_07026</v>
      </c>
      <c r="G2412" s="6" t="str">
        <f t="shared" si="555"/>
        <v>F310631650000000</v>
      </c>
      <c r="H2412" s="6" t="str">
        <f t="shared" si="556"/>
        <v>PLAR 6316 FD - 500 g</v>
      </c>
      <c r="I2412" s="6" t="str">
        <f>"201855"</f>
        <v>201855</v>
      </c>
      <c r="J2412" s="6" t="str">
        <f>"AZUL 1855"</f>
        <v>AZUL 1855</v>
      </c>
      <c r="K2412" s="6" t="str">
        <f>"2020"</f>
        <v>2020</v>
      </c>
      <c r="L2412" s="6" t="str">
        <f>"Lençóis"</f>
        <v>Lençóis</v>
      </c>
      <c r="M2412" s="6" t="str">
        <f>"100x150"</f>
        <v>100x150</v>
      </c>
      <c r="N2412" s="6" t="str">
        <f>"5602972281064"</f>
        <v>5602972281064</v>
      </c>
      <c r="O2412" s="8">
        <v>6</v>
      </c>
      <c r="R2412" s="8">
        <v>0</v>
      </c>
      <c r="U2412" s="8">
        <v>0</v>
      </c>
      <c r="X2412" s="8">
        <v>0</v>
      </c>
      <c r="Z2412" s="8">
        <v>0</v>
      </c>
      <c r="AC2412" s="8">
        <v>0</v>
      </c>
      <c r="AF2412" s="8">
        <v>0</v>
      </c>
      <c r="AN2412" s="8">
        <v>0</v>
      </c>
      <c r="AO2412" s="8">
        <v>6</v>
      </c>
    </row>
    <row r="2413" spans="1:41" x14ac:dyDescent="0.25">
      <c r="A2413" s="6" t="str">
        <f t="shared" si="563"/>
        <v>522-2026000255</v>
      </c>
      <c r="B2413" s="6" t="str">
        <f t="shared" si="554"/>
        <v>EL CORTE</v>
      </c>
      <c r="C2413" s="7">
        <v>46037</v>
      </c>
      <c r="D2413" s="7">
        <v>46042</v>
      </c>
      <c r="E2413" s="8">
        <v>4</v>
      </c>
      <c r="F2413" s="6" t="str">
        <f t="shared" si="564"/>
        <v>94828401_07026</v>
      </c>
      <c r="G2413" s="6" t="str">
        <f t="shared" si="555"/>
        <v>F310631650000000</v>
      </c>
      <c r="H2413" s="6" t="str">
        <f t="shared" si="556"/>
        <v>PLAR 6316 FD - 500 g</v>
      </c>
      <c r="I2413" s="6" t="str">
        <f>"202575"</f>
        <v>202575</v>
      </c>
      <c r="J2413" s="6" t="str">
        <f>"BEGE 2575"</f>
        <v>BEGE 2575</v>
      </c>
      <c r="K2413" s="6" t="str">
        <f>"0520"</f>
        <v>0520</v>
      </c>
      <c r="L2413" s="6" t="str">
        <f>"Toalhetes"</f>
        <v>Toalhetes</v>
      </c>
      <c r="M2413" s="6" t="str">
        <f>"30x50"</f>
        <v>30x50</v>
      </c>
      <c r="N2413" s="6" t="str">
        <f>"5602972281071"</f>
        <v>5602972281071</v>
      </c>
      <c r="O2413" s="8">
        <v>6</v>
      </c>
      <c r="R2413" s="8">
        <v>0</v>
      </c>
      <c r="U2413" s="8">
        <v>0</v>
      </c>
      <c r="X2413" s="8">
        <v>0</v>
      </c>
      <c r="Z2413" s="8">
        <v>0</v>
      </c>
      <c r="AC2413" s="8">
        <v>0</v>
      </c>
      <c r="AF2413" s="8">
        <v>0</v>
      </c>
      <c r="AN2413" s="8">
        <v>6</v>
      </c>
      <c r="AO2413" s="8">
        <v>0</v>
      </c>
    </row>
    <row r="2414" spans="1:41" x14ac:dyDescent="0.25">
      <c r="A2414" s="6" t="str">
        <f t="shared" si="563"/>
        <v>522-2026000255</v>
      </c>
      <c r="B2414" s="6" t="str">
        <f t="shared" si="554"/>
        <v>EL CORTE</v>
      </c>
      <c r="C2414" s="7">
        <v>46037</v>
      </c>
      <c r="D2414" s="7">
        <v>46042</v>
      </c>
      <c r="E2414" s="8">
        <v>5</v>
      </c>
      <c r="F2414" s="6" t="str">
        <f t="shared" si="564"/>
        <v>94828401_07026</v>
      </c>
      <c r="G2414" s="6" t="str">
        <f t="shared" si="555"/>
        <v>F310631650000000</v>
      </c>
      <c r="H2414" s="6" t="str">
        <f t="shared" si="556"/>
        <v>PLAR 6316 FD - 500 g</v>
      </c>
      <c r="I2414" s="6" t="str">
        <f>"202575"</f>
        <v>202575</v>
      </c>
      <c r="J2414" s="6" t="str">
        <f>"BEGE 2575"</f>
        <v>BEGE 2575</v>
      </c>
      <c r="K2414" s="6" t="str">
        <f>"1024"</f>
        <v>1024</v>
      </c>
      <c r="L2414" s="6" t="str">
        <f>"Toalhas"</f>
        <v>Toalhas</v>
      </c>
      <c r="M2414" s="6" t="str">
        <f>"50x100"</f>
        <v>50x100</v>
      </c>
      <c r="N2414" s="6" t="str">
        <f>"5602972281088"</f>
        <v>5602972281088</v>
      </c>
      <c r="O2414" s="8">
        <v>6</v>
      </c>
      <c r="R2414" s="8">
        <v>0</v>
      </c>
      <c r="U2414" s="8">
        <v>0</v>
      </c>
      <c r="X2414" s="8">
        <v>0</v>
      </c>
      <c r="Z2414" s="8">
        <v>0</v>
      </c>
      <c r="AC2414" s="8">
        <v>0</v>
      </c>
      <c r="AF2414" s="8">
        <v>0</v>
      </c>
      <c r="AN2414" s="8">
        <v>6</v>
      </c>
      <c r="AO2414" s="8">
        <v>0</v>
      </c>
    </row>
    <row r="2415" spans="1:41" x14ac:dyDescent="0.25">
      <c r="A2415" s="6" t="str">
        <f t="shared" si="563"/>
        <v>522-2026000255</v>
      </c>
      <c r="B2415" s="6" t="str">
        <f t="shared" si="554"/>
        <v>EL CORTE</v>
      </c>
      <c r="C2415" s="7">
        <v>46037</v>
      </c>
      <c r="D2415" s="7">
        <v>46042</v>
      </c>
      <c r="E2415" s="8">
        <v>6</v>
      </c>
      <c r="F2415" s="6" t="str">
        <f t="shared" si="564"/>
        <v>94828401_07026</v>
      </c>
      <c r="G2415" s="6" t="str">
        <f t="shared" si="555"/>
        <v>F310631650000000</v>
      </c>
      <c r="H2415" s="6" t="str">
        <f t="shared" si="556"/>
        <v>PLAR 6316 FD - 500 g</v>
      </c>
      <c r="I2415" s="6" t="str">
        <f>"202575"</f>
        <v>202575</v>
      </c>
      <c r="J2415" s="6" t="str">
        <f>"BEGE 2575"</f>
        <v>BEGE 2575</v>
      </c>
      <c r="K2415" s="6" t="str">
        <f>"2020"</f>
        <v>2020</v>
      </c>
      <c r="L2415" s="6" t="str">
        <f>"Lençóis"</f>
        <v>Lençóis</v>
      </c>
      <c r="M2415" s="6" t="str">
        <f>"100x150"</f>
        <v>100x150</v>
      </c>
      <c r="N2415" s="6" t="str">
        <f>"5602972281095"</f>
        <v>5602972281095</v>
      </c>
      <c r="O2415" s="8">
        <v>12</v>
      </c>
      <c r="R2415" s="8">
        <v>0</v>
      </c>
      <c r="U2415" s="8">
        <v>0</v>
      </c>
      <c r="X2415" s="8">
        <v>0</v>
      </c>
      <c r="Z2415" s="8">
        <v>0</v>
      </c>
      <c r="AC2415" s="8">
        <v>0</v>
      </c>
      <c r="AF2415" s="8">
        <v>0</v>
      </c>
      <c r="AN2415" s="8">
        <v>0</v>
      </c>
      <c r="AO2415" s="8">
        <v>12</v>
      </c>
    </row>
    <row r="2416" spans="1:41" x14ac:dyDescent="0.25">
      <c r="A2416" s="6" t="str">
        <f t="shared" si="563"/>
        <v>522-2026000255</v>
      </c>
      <c r="B2416" s="6" t="str">
        <f t="shared" si="554"/>
        <v>EL CORTE</v>
      </c>
      <c r="C2416" s="7">
        <v>46037</v>
      </c>
      <c r="D2416" s="7">
        <v>46042</v>
      </c>
      <c r="E2416" s="8">
        <v>7</v>
      </c>
      <c r="F2416" s="6" t="str">
        <f t="shared" si="564"/>
        <v>94828401_07026</v>
      </c>
      <c r="G2416" s="6" t="str">
        <f t="shared" si="555"/>
        <v>F310631650000000</v>
      </c>
      <c r="H2416" s="6" t="str">
        <f t="shared" si="556"/>
        <v>PLAR 6316 FD - 500 g</v>
      </c>
      <c r="I2416" s="6" t="str">
        <f>"200901"</f>
        <v>200901</v>
      </c>
      <c r="J2416" s="6" t="str">
        <f>"ROSA 901"</f>
        <v>ROSA 901</v>
      </c>
      <c r="K2416" s="6" t="str">
        <f>"0520"</f>
        <v>0520</v>
      </c>
      <c r="L2416" s="6" t="str">
        <f>"Toalhetes"</f>
        <v>Toalhetes</v>
      </c>
      <c r="M2416" s="6" t="str">
        <f>"30x50"</f>
        <v>30x50</v>
      </c>
      <c r="N2416" s="6" t="str">
        <f>"5602972281101"</f>
        <v>5602972281101</v>
      </c>
      <c r="O2416" s="8">
        <v>6</v>
      </c>
      <c r="R2416" s="8">
        <v>0</v>
      </c>
      <c r="U2416" s="8">
        <v>0</v>
      </c>
      <c r="X2416" s="8">
        <v>0</v>
      </c>
      <c r="Z2416" s="8">
        <v>0</v>
      </c>
      <c r="AC2416" s="8">
        <v>0</v>
      </c>
      <c r="AF2416" s="8">
        <v>0</v>
      </c>
      <c r="AN2416" s="8">
        <v>0</v>
      </c>
      <c r="AO2416" s="8">
        <v>6</v>
      </c>
    </row>
    <row r="2417" spans="1:41" x14ac:dyDescent="0.25">
      <c r="A2417" s="6" t="str">
        <f t="shared" si="563"/>
        <v>522-2026000255</v>
      </c>
      <c r="B2417" s="6" t="str">
        <f t="shared" si="554"/>
        <v>EL CORTE</v>
      </c>
      <c r="C2417" s="7">
        <v>46037</v>
      </c>
      <c r="D2417" s="7">
        <v>46042</v>
      </c>
      <c r="E2417" s="8">
        <v>8</v>
      </c>
      <c r="F2417" s="6" t="str">
        <f t="shared" si="564"/>
        <v>94828401_07026</v>
      </c>
      <c r="G2417" s="6" t="str">
        <f t="shared" si="555"/>
        <v>F310631650000000</v>
      </c>
      <c r="H2417" s="6" t="str">
        <f t="shared" si="556"/>
        <v>PLAR 6316 FD - 500 g</v>
      </c>
      <c r="I2417" s="6" t="str">
        <f>"200901"</f>
        <v>200901</v>
      </c>
      <c r="J2417" s="6" t="str">
        <f>"ROSA 901"</f>
        <v>ROSA 901</v>
      </c>
      <c r="K2417" s="6" t="str">
        <f>"1024"</f>
        <v>1024</v>
      </c>
      <c r="L2417" s="6" t="str">
        <f>"Toalhas"</f>
        <v>Toalhas</v>
      </c>
      <c r="M2417" s="6" t="str">
        <f>"50x100"</f>
        <v>50x100</v>
      </c>
      <c r="N2417" s="6" t="str">
        <f>"5602972281118"</f>
        <v>5602972281118</v>
      </c>
      <c r="O2417" s="8">
        <v>6</v>
      </c>
      <c r="R2417" s="8">
        <v>0</v>
      </c>
      <c r="U2417" s="8">
        <v>0</v>
      </c>
      <c r="X2417" s="8">
        <v>0</v>
      </c>
      <c r="Z2417" s="8">
        <v>0</v>
      </c>
      <c r="AC2417" s="8">
        <v>0</v>
      </c>
      <c r="AF2417" s="8">
        <v>0</v>
      </c>
      <c r="AN2417" s="8">
        <v>6</v>
      </c>
      <c r="AO2417" s="8">
        <v>0</v>
      </c>
    </row>
    <row r="2418" spans="1:41" x14ac:dyDescent="0.25">
      <c r="A2418" s="6" t="str">
        <f t="shared" si="563"/>
        <v>522-2026000255</v>
      </c>
      <c r="B2418" s="6" t="str">
        <f t="shared" si="554"/>
        <v>EL CORTE</v>
      </c>
      <c r="C2418" s="7">
        <v>46037</v>
      </c>
      <c r="D2418" s="7">
        <v>46042</v>
      </c>
      <c r="E2418" s="8">
        <v>9</v>
      </c>
      <c r="F2418" s="6" t="str">
        <f t="shared" si="564"/>
        <v>94828401_07026</v>
      </c>
      <c r="G2418" s="6" t="str">
        <f t="shared" si="555"/>
        <v>F310631650000000</v>
      </c>
      <c r="H2418" s="6" t="str">
        <f t="shared" si="556"/>
        <v>PLAR 6316 FD - 500 g</v>
      </c>
      <c r="I2418" s="6" t="str">
        <f>"200901"</f>
        <v>200901</v>
      </c>
      <c r="J2418" s="6" t="str">
        <f>"ROSA 901"</f>
        <v>ROSA 901</v>
      </c>
      <c r="K2418" s="6" t="str">
        <f>"2020"</f>
        <v>2020</v>
      </c>
      <c r="L2418" s="6" t="str">
        <f>"Lençóis"</f>
        <v>Lençóis</v>
      </c>
      <c r="M2418" s="6" t="str">
        <f>"100x150"</f>
        <v>100x150</v>
      </c>
      <c r="N2418" s="6" t="str">
        <f>"5602972281125"</f>
        <v>5602972281125</v>
      </c>
      <c r="O2418" s="8">
        <v>6</v>
      </c>
      <c r="R2418" s="8">
        <v>0</v>
      </c>
      <c r="U2418" s="8">
        <v>0</v>
      </c>
      <c r="X2418" s="8">
        <v>0</v>
      </c>
      <c r="Z2418" s="8">
        <v>0</v>
      </c>
      <c r="AC2418" s="8">
        <v>0</v>
      </c>
      <c r="AF2418" s="8">
        <v>0</v>
      </c>
      <c r="AN2418" s="8">
        <v>0</v>
      </c>
      <c r="AO2418" s="8">
        <v>6</v>
      </c>
    </row>
    <row r="2419" spans="1:41" x14ac:dyDescent="0.25">
      <c r="A2419" s="6" t="str">
        <f t="shared" si="563"/>
        <v>522-2026000255</v>
      </c>
      <c r="B2419" s="6" t="str">
        <f t="shared" si="554"/>
        <v>EL CORTE</v>
      </c>
      <c r="C2419" s="7">
        <v>46037</v>
      </c>
      <c r="D2419" s="7">
        <v>46042</v>
      </c>
      <c r="E2419" s="8">
        <v>10</v>
      </c>
      <c r="F2419" s="6" t="str">
        <f t="shared" si="564"/>
        <v>94828401_07026</v>
      </c>
      <c r="G2419" s="6" t="str">
        <f t="shared" si="555"/>
        <v>F310631650000000</v>
      </c>
      <c r="H2419" s="6" t="str">
        <f t="shared" si="556"/>
        <v>PLAR 6316 FD - 500 g</v>
      </c>
      <c r="I2419" s="6" t="str">
        <f>"200510"</f>
        <v>200510</v>
      </c>
      <c r="J2419" s="6" t="str">
        <f>"VERDE 510"</f>
        <v>VERDE 510</v>
      </c>
      <c r="K2419" s="6" t="str">
        <f>"0520"</f>
        <v>0520</v>
      </c>
      <c r="L2419" s="6" t="str">
        <f>"Toalhetes"</f>
        <v>Toalhetes</v>
      </c>
      <c r="M2419" s="6" t="str">
        <f>"30x50"</f>
        <v>30x50</v>
      </c>
      <c r="N2419" s="6" t="str">
        <f>"5602972281132"</f>
        <v>5602972281132</v>
      </c>
      <c r="O2419" s="8">
        <v>6</v>
      </c>
      <c r="R2419" s="8">
        <v>0</v>
      </c>
      <c r="U2419" s="8">
        <v>0</v>
      </c>
      <c r="X2419" s="8">
        <v>0</v>
      </c>
      <c r="Z2419" s="8">
        <v>0</v>
      </c>
      <c r="AC2419" s="8">
        <v>0</v>
      </c>
      <c r="AF2419" s="8">
        <v>0</v>
      </c>
      <c r="AN2419" s="8">
        <v>6</v>
      </c>
      <c r="AO2419" s="8">
        <v>0</v>
      </c>
    </row>
    <row r="2420" spans="1:41" x14ac:dyDescent="0.25">
      <c r="A2420" s="6" t="str">
        <f t="shared" si="563"/>
        <v>522-2026000255</v>
      </c>
      <c r="B2420" s="6" t="str">
        <f t="shared" si="554"/>
        <v>EL CORTE</v>
      </c>
      <c r="C2420" s="7">
        <v>46037</v>
      </c>
      <c r="D2420" s="7">
        <v>46042</v>
      </c>
      <c r="E2420" s="8">
        <v>11</v>
      </c>
      <c r="F2420" s="6" t="str">
        <f t="shared" si="564"/>
        <v>94828401_07026</v>
      </c>
      <c r="G2420" s="6" t="str">
        <f t="shared" si="555"/>
        <v>F310631650000000</v>
      </c>
      <c r="H2420" s="6" t="str">
        <f t="shared" si="556"/>
        <v>PLAR 6316 FD - 500 g</v>
      </c>
      <c r="I2420" s="6" t="str">
        <f>"200510"</f>
        <v>200510</v>
      </c>
      <c r="J2420" s="6" t="str">
        <f>"VERDE 510"</f>
        <v>VERDE 510</v>
      </c>
      <c r="K2420" s="6" t="str">
        <f>"1024"</f>
        <v>1024</v>
      </c>
      <c r="L2420" s="6" t="str">
        <f>"Toalhas"</f>
        <v>Toalhas</v>
      </c>
      <c r="M2420" s="6" t="str">
        <f>"50x100"</f>
        <v>50x100</v>
      </c>
      <c r="N2420" s="6" t="str">
        <f>"5602972281149"</f>
        <v>5602972281149</v>
      </c>
      <c r="O2420" s="8">
        <v>6</v>
      </c>
      <c r="R2420" s="8">
        <v>0</v>
      </c>
      <c r="U2420" s="8">
        <v>0</v>
      </c>
      <c r="X2420" s="8">
        <v>0</v>
      </c>
      <c r="Z2420" s="8">
        <v>0</v>
      </c>
      <c r="AC2420" s="8">
        <v>0</v>
      </c>
      <c r="AF2420" s="8">
        <v>0</v>
      </c>
      <c r="AN2420" s="8">
        <v>6</v>
      </c>
      <c r="AO2420" s="8">
        <v>0</v>
      </c>
    </row>
    <row r="2421" spans="1:41" x14ac:dyDescent="0.25">
      <c r="A2421" s="6" t="str">
        <f t="shared" si="563"/>
        <v>522-2026000255</v>
      </c>
      <c r="B2421" s="6" t="str">
        <f t="shared" si="554"/>
        <v>EL CORTE</v>
      </c>
      <c r="C2421" s="7">
        <v>46037</v>
      </c>
      <c r="D2421" s="7">
        <v>46042</v>
      </c>
      <c r="E2421" s="8">
        <v>12</v>
      </c>
      <c r="F2421" s="6" t="str">
        <f t="shared" si="564"/>
        <v>94828401_07026</v>
      </c>
      <c r="G2421" s="6" t="str">
        <f t="shared" si="555"/>
        <v>F310631650000000</v>
      </c>
      <c r="H2421" s="6" t="str">
        <f t="shared" si="556"/>
        <v>PLAR 6316 FD - 500 g</v>
      </c>
      <c r="I2421" s="6" t="str">
        <f>"200510"</f>
        <v>200510</v>
      </c>
      <c r="J2421" s="6" t="str">
        <f>"VERDE 510"</f>
        <v>VERDE 510</v>
      </c>
      <c r="K2421" s="6" t="str">
        <f>"2020"</f>
        <v>2020</v>
      </c>
      <c r="L2421" s="6" t="str">
        <f>"Lençóis"</f>
        <v>Lençóis</v>
      </c>
      <c r="M2421" s="6" t="str">
        <f>"100x150"</f>
        <v>100x150</v>
      </c>
      <c r="N2421" s="6" t="str">
        <f>"5602972281156"</f>
        <v>5602972281156</v>
      </c>
      <c r="O2421" s="8">
        <v>6</v>
      </c>
      <c r="R2421" s="8">
        <v>0</v>
      </c>
      <c r="U2421" s="8">
        <v>0</v>
      </c>
      <c r="X2421" s="8">
        <v>0</v>
      </c>
      <c r="Z2421" s="8">
        <v>0</v>
      </c>
      <c r="AC2421" s="8">
        <v>0</v>
      </c>
      <c r="AF2421" s="8">
        <v>0</v>
      </c>
      <c r="AN2421" s="8">
        <v>0</v>
      </c>
      <c r="AO2421" s="8">
        <v>6</v>
      </c>
    </row>
    <row r="2422" spans="1:41" x14ac:dyDescent="0.25">
      <c r="A2422" s="6" t="str">
        <f>"522-2026000256"</f>
        <v>522-2026000256</v>
      </c>
      <c r="B2422" s="6" t="str">
        <f t="shared" si="554"/>
        <v>EL CORTE</v>
      </c>
      <c r="C2422" s="7">
        <v>46037</v>
      </c>
      <c r="D2422" s="7">
        <v>46042</v>
      </c>
      <c r="E2422" s="8">
        <v>1</v>
      </c>
      <c r="F2422" s="6" t="str">
        <f>"94829101_07026"</f>
        <v>94829101_07026</v>
      </c>
      <c r="G2422" s="6" t="str">
        <f t="shared" si="555"/>
        <v>F310631650000000</v>
      </c>
      <c r="H2422" s="6" t="str">
        <f t="shared" si="556"/>
        <v>PLAR 6316 FD - 500 g</v>
      </c>
      <c r="I2422" s="6" t="str">
        <f>"201855"</f>
        <v>201855</v>
      </c>
      <c r="J2422" s="6" t="str">
        <f>"AZUL 1855"</f>
        <v>AZUL 1855</v>
      </c>
      <c r="K2422" s="6" t="str">
        <f>"0520"</f>
        <v>0520</v>
      </c>
      <c r="L2422" s="6" t="str">
        <f>"Toalhetes"</f>
        <v>Toalhetes</v>
      </c>
      <c r="M2422" s="6" t="str">
        <f>"30x50"</f>
        <v>30x50</v>
      </c>
      <c r="N2422" s="6" t="str">
        <f>"5602972281040"</f>
        <v>5602972281040</v>
      </c>
      <c r="O2422" s="8">
        <v>6</v>
      </c>
      <c r="R2422" s="8">
        <v>0</v>
      </c>
      <c r="U2422" s="8">
        <v>0</v>
      </c>
      <c r="X2422" s="8">
        <v>0</v>
      </c>
      <c r="Z2422" s="8">
        <v>0</v>
      </c>
      <c r="AC2422" s="8">
        <v>0</v>
      </c>
      <c r="AF2422" s="8">
        <v>0</v>
      </c>
      <c r="AN2422" s="8">
        <v>0</v>
      </c>
      <c r="AO2422" s="8">
        <v>6</v>
      </c>
    </row>
    <row r="2423" spans="1:41" x14ac:dyDescent="0.25">
      <c r="A2423" s="6" t="str">
        <f>"522-2026000256"</f>
        <v>522-2026000256</v>
      </c>
      <c r="B2423" s="6" t="str">
        <f t="shared" si="554"/>
        <v>EL CORTE</v>
      </c>
      <c r="C2423" s="7">
        <v>46037</v>
      </c>
      <c r="D2423" s="7">
        <v>46042</v>
      </c>
      <c r="E2423" s="8">
        <v>2</v>
      </c>
      <c r="F2423" s="6" t="str">
        <f>"94829101_07026"</f>
        <v>94829101_07026</v>
      </c>
      <c r="G2423" s="6" t="str">
        <f t="shared" si="555"/>
        <v>F310631650000000</v>
      </c>
      <c r="H2423" s="6" t="str">
        <f t="shared" si="556"/>
        <v>PLAR 6316 FD - 500 g</v>
      </c>
      <c r="I2423" s="6" t="str">
        <f>"201855"</f>
        <v>201855</v>
      </c>
      <c r="J2423" s="6" t="str">
        <f>"AZUL 1855"</f>
        <v>AZUL 1855</v>
      </c>
      <c r="K2423" s="6" t="str">
        <f>"1024"</f>
        <v>1024</v>
      </c>
      <c r="L2423" s="6" t="str">
        <f>"Toalhas"</f>
        <v>Toalhas</v>
      </c>
      <c r="M2423" s="6" t="str">
        <f>"50x100"</f>
        <v>50x100</v>
      </c>
      <c r="N2423" s="6" t="str">
        <f>"5602972281057"</f>
        <v>5602972281057</v>
      </c>
      <c r="O2423" s="8">
        <v>6</v>
      </c>
      <c r="R2423" s="8">
        <v>0</v>
      </c>
      <c r="U2423" s="8">
        <v>0</v>
      </c>
      <c r="X2423" s="8">
        <v>0</v>
      </c>
      <c r="Z2423" s="8">
        <v>0</v>
      </c>
      <c r="AC2423" s="8">
        <v>0</v>
      </c>
      <c r="AF2423" s="8">
        <v>0</v>
      </c>
      <c r="AN2423" s="8">
        <v>6</v>
      </c>
      <c r="AO2423" s="8">
        <v>0</v>
      </c>
    </row>
    <row r="2424" spans="1:41" x14ac:dyDescent="0.25">
      <c r="A2424" s="6" t="str">
        <f>"522-2026000256"</f>
        <v>522-2026000256</v>
      </c>
      <c r="B2424" s="6" t="str">
        <f t="shared" si="554"/>
        <v>EL CORTE</v>
      </c>
      <c r="C2424" s="7">
        <v>46037</v>
      </c>
      <c r="D2424" s="7">
        <v>46042</v>
      </c>
      <c r="E2424" s="8">
        <v>3</v>
      </c>
      <c r="F2424" s="6" t="str">
        <f>"94829101_07026"</f>
        <v>94829101_07026</v>
      </c>
      <c r="G2424" s="6" t="str">
        <f t="shared" si="555"/>
        <v>F310631650000000</v>
      </c>
      <c r="H2424" s="6" t="str">
        <f t="shared" si="556"/>
        <v>PLAR 6316 FD - 500 g</v>
      </c>
      <c r="I2424" s="6" t="str">
        <f>"201855"</f>
        <v>201855</v>
      </c>
      <c r="J2424" s="6" t="str">
        <f>"AZUL 1855"</f>
        <v>AZUL 1855</v>
      </c>
      <c r="K2424" s="6" t="str">
        <f>"2020"</f>
        <v>2020</v>
      </c>
      <c r="L2424" s="6" t="str">
        <f>"Lençóis"</f>
        <v>Lençóis</v>
      </c>
      <c r="M2424" s="6" t="str">
        <f>"100x150"</f>
        <v>100x150</v>
      </c>
      <c r="N2424" s="6" t="str">
        <f>"5602972281064"</f>
        <v>5602972281064</v>
      </c>
      <c r="O2424" s="8">
        <v>3</v>
      </c>
      <c r="R2424" s="8">
        <v>0</v>
      </c>
      <c r="U2424" s="8">
        <v>0</v>
      </c>
      <c r="X2424" s="8">
        <v>0</v>
      </c>
      <c r="Z2424" s="8">
        <v>0</v>
      </c>
      <c r="AC2424" s="8">
        <v>0</v>
      </c>
      <c r="AF2424" s="8">
        <v>0</v>
      </c>
      <c r="AN2424" s="8">
        <v>0</v>
      </c>
      <c r="AO2424" s="8">
        <v>3</v>
      </c>
    </row>
    <row r="2425" spans="1:41" x14ac:dyDescent="0.25">
      <c r="A2425" s="6" t="str">
        <f>"522-2026000256"</f>
        <v>522-2026000256</v>
      </c>
      <c r="B2425" s="6" t="str">
        <f t="shared" si="554"/>
        <v>EL CORTE</v>
      </c>
      <c r="C2425" s="7">
        <v>46037</v>
      </c>
      <c r="D2425" s="7">
        <v>46042</v>
      </c>
      <c r="E2425" s="8">
        <v>4</v>
      </c>
      <c r="F2425" s="6" t="str">
        <f>"94829101_07026"</f>
        <v>94829101_07026</v>
      </c>
      <c r="G2425" s="6" t="str">
        <f t="shared" si="555"/>
        <v>F310631650000000</v>
      </c>
      <c r="H2425" s="6" t="str">
        <f t="shared" si="556"/>
        <v>PLAR 6316 FD - 500 g</v>
      </c>
      <c r="I2425" s="6" t="str">
        <f>"202575"</f>
        <v>202575</v>
      </c>
      <c r="J2425" s="6" t="str">
        <f>"BEGE 2575"</f>
        <v>BEGE 2575</v>
      </c>
      <c r="K2425" s="6" t="str">
        <f>"1024"</f>
        <v>1024</v>
      </c>
      <c r="L2425" s="6" t="str">
        <f>"Toalhas"</f>
        <v>Toalhas</v>
      </c>
      <c r="M2425" s="6" t="str">
        <f>"50x100"</f>
        <v>50x100</v>
      </c>
      <c r="N2425" s="6" t="str">
        <f>"5602972281088"</f>
        <v>5602972281088</v>
      </c>
      <c r="O2425" s="8">
        <v>6</v>
      </c>
      <c r="R2425" s="8">
        <v>0</v>
      </c>
      <c r="U2425" s="8">
        <v>0</v>
      </c>
      <c r="X2425" s="8">
        <v>0</v>
      </c>
      <c r="Z2425" s="8">
        <v>0</v>
      </c>
      <c r="AC2425" s="8">
        <v>0</v>
      </c>
      <c r="AF2425" s="8">
        <v>0</v>
      </c>
      <c r="AN2425" s="8">
        <v>6</v>
      </c>
      <c r="AO2425" s="8">
        <v>0</v>
      </c>
    </row>
    <row r="2426" spans="1:41" x14ac:dyDescent="0.25">
      <c r="A2426" s="6" t="str">
        <f>"522-2026000256"</f>
        <v>522-2026000256</v>
      </c>
      <c r="B2426" s="6" t="str">
        <f t="shared" si="554"/>
        <v>EL CORTE</v>
      </c>
      <c r="C2426" s="7">
        <v>46037</v>
      </c>
      <c r="D2426" s="7">
        <v>46042</v>
      </c>
      <c r="E2426" s="8">
        <v>5</v>
      </c>
      <c r="F2426" s="6" t="str">
        <f>"94829101_07026"</f>
        <v>94829101_07026</v>
      </c>
      <c r="G2426" s="6" t="str">
        <f t="shared" si="555"/>
        <v>F310631650000000</v>
      </c>
      <c r="H2426" s="6" t="str">
        <f t="shared" si="556"/>
        <v>PLAR 6316 FD - 500 g</v>
      </c>
      <c r="I2426" s="6" t="str">
        <f>"200510"</f>
        <v>200510</v>
      </c>
      <c r="J2426" s="6" t="str">
        <f>"VERDE 510"</f>
        <v>VERDE 510</v>
      </c>
      <c r="K2426" s="6" t="str">
        <f>"1024"</f>
        <v>1024</v>
      </c>
      <c r="L2426" s="6" t="str">
        <f>"Toalhas"</f>
        <v>Toalhas</v>
      </c>
      <c r="M2426" s="6" t="str">
        <f>"50x100"</f>
        <v>50x100</v>
      </c>
      <c r="N2426" s="6" t="str">
        <f>"5602972281149"</f>
        <v>5602972281149</v>
      </c>
      <c r="O2426" s="8">
        <v>6</v>
      </c>
      <c r="R2426" s="8">
        <v>0</v>
      </c>
      <c r="U2426" s="8">
        <v>0</v>
      </c>
      <c r="X2426" s="8">
        <v>0</v>
      </c>
      <c r="Z2426" s="8">
        <v>0</v>
      </c>
      <c r="AC2426" s="8">
        <v>0</v>
      </c>
      <c r="AF2426" s="8">
        <v>0</v>
      </c>
      <c r="AN2426" s="8">
        <v>6</v>
      </c>
      <c r="AO2426" s="8">
        <v>0</v>
      </c>
    </row>
    <row r="2427" spans="1:41" x14ac:dyDescent="0.25">
      <c r="A2427" s="6" t="str">
        <f>"522-2026000257"</f>
        <v>522-2026000257</v>
      </c>
      <c r="B2427" s="6" t="str">
        <f t="shared" si="554"/>
        <v>EL CORTE</v>
      </c>
      <c r="C2427" s="7">
        <v>46037</v>
      </c>
      <c r="D2427" s="7">
        <v>46042</v>
      </c>
      <c r="E2427" s="8">
        <v>1</v>
      </c>
      <c r="F2427" s="6" t="str">
        <f>"94828501_07026"</f>
        <v>94828501_07026</v>
      </c>
      <c r="G2427" s="6" t="str">
        <f t="shared" si="555"/>
        <v>F310631650000000</v>
      </c>
      <c r="H2427" s="6" t="str">
        <f t="shared" si="556"/>
        <v>PLAR 6316 FD - 500 g</v>
      </c>
      <c r="I2427" s="6" t="str">
        <f>"201855"</f>
        <v>201855</v>
      </c>
      <c r="J2427" s="6" t="str">
        <f>"AZUL 1855"</f>
        <v>AZUL 1855</v>
      </c>
      <c r="K2427" s="6" t="str">
        <f>"1024"</f>
        <v>1024</v>
      </c>
      <c r="L2427" s="6" t="str">
        <f>"Toalhas"</f>
        <v>Toalhas</v>
      </c>
      <c r="M2427" s="6" t="str">
        <f>"50x100"</f>
        <v>50x100</v>
      </c>
      <c r="N2427" s="6" t="str">
        <f>"5602972281057"</f>
        <v>5602972281057</v>
      </c>
      <c r="O2427" s="8">
        <v>6</v>
      </c>
      <c r="R2427" s="8">
        <v>0</v>
      </c>
      <c r="U2427" s="8">
        <v>0</v>
      </c>
      <c r="X2427" s="8">
        <v>0</v>
      </c>
      <c r="Z2427" s="8">
        <v>0</v>
      </c>
      <c r="AC2427" s="8">
        <v>0</v>
      </c>
      <c r="AF2427" s="8">
        <v>0</v>
      </c>
      <c r="AN2427" s="8">
        <v>6</v>
      </c>
      <c r="AO2427" s="8">
        <v>0</v>
      </c>
    </row>
    <row r="2428" spans="1:41" x14ac:dyDescent="0.25">
      <c r="A2428" s="6" t="str">
        <f>"522-2026000257"</f>
        <v>522-2026000257</v>
      </c>
      <c r="B2428" s="6" t="str">
        <f t="shared" si="554"/>
        <v>EL CORTE</v>
      </c>
      <c r="C2428" s="7">
        <v>46037</v>
      </c>
      <c r="D2428" s="7">
        <v>46042</v>
      </c>
      <c r="E2428" s="8">
        <v>2</v>
      </c>
      <c r="F2428" s="6" t="str">
        <f>"94828501_07026"</f>
        <v>94828501_07026</v>
      </c>
      <c r="G2428" s="6" t="str">
        <f t="shared" si="555"/>
        <v>F310631650000000</v>
      </c>
      <c r="H2428" s="6" t="str">
        <f t="shared" si="556"/>
        <v>PLAR 6316 FD - 500 g</v>
      </c>
      <c r="I2428" s="6" t="str">
        <f>"201855"</f>
        <v>201855</v>
      </c>
      <c r="J2428" s="6" t="str">
        <f>"AZUL 1855"</f>
        <v>AZUL 1855</v>
      </c>
      <c r="K2428" s="6" t="str">
        <f>"2020"</f>
        <v>2020</v>
      </c>
      <c r="L2428" s="6" t="str">
        <f>"Lençóis"</f>
        <v>Lençóis</v>
      </c>
      <c r="M2428" s="6" t="str">
        <f>"100x150"</f>
        <v>100x150</v>
      </c>
      <c r="N2428" s="6" t="str">
        <f>"5602972281064"</f>
        <v>5602972281064</v>
      </c>
      <c r="O2428" s="8">
        <v>3</v>
      </c>
      <c r="R2428" s="8">
        <v>0</v>
      </c>
      <c r="U2428" s="8">
        <v>0</v>
      </c>
      <c r="X2428" s="8">
        <v>0</v>
      </c>
      <c r="Z2428" s="8">
        <v>0</v>
      </c>
      <c r="AC2428" s="8">
        <v>0</v>
      </c>
      <c r="AF2428" s="8">
        <v>0</v>
      </c>
      <c r="AN2428" s="8">
        <v>0</v>
      </c>
      <c r="AO2428" s="8">
        <v>3</v>
      </c>
    </row>
    <row r="2429" spans="1:41" x14ac:dyDescent="0.25">
      <c r="A2429" s="6" t="str">
        <f>"522-2026000257"</f>
        <v>522-2026000257</v>
      </c>
      <c r="B2429" s="6" t="str">
        <f t="shared" si="554"/>
        <v>EL CORTE</v>
      </c>
      <c r="C2429" s="7">
        <v>46037</v>
      </c>
      <c r="D2429" s="7">
        <v>46042</v>
      </c>
      <c r="E2429" s="8">
        <v>3</v>
      </c>
      <c r="F2429" s="6" t="str">
        <f>"94828501_07026"</f>
        <v>94828501_07026</v>
      </c>
      <c r="G2429" s="6" t="str">
        <f t="shared" si="555"/>
        <v>F310631650000000</v>
      </c>
      <c r="H2429" s="6" t="str">
        <f t="shared" si="556"/>
        <v>PLAR 6316 FD - 500 g</v>
      </c>
      <c r="I2429" s="6" t="str">
        <f>"202575"</f>
        <v>202575</v>
      </c>
      <c r="J2429" s="6" t="str">
        <f>"BEGE 2575"</f>
        <v>BEGE 2575</v>
      </c>
      <c r="K2429" s="6" t="str">
        <f>"1024"</f>
        <v>1024</v>
      </c>
      <c r="L2429" s="6" t="str">
        <f>"Toalhas"</f>
        <v>Toalhas</v>
      </c>
      <c r="M2429" s="6" t="str">
        <f>"50x100"</f>
        <v>50x100</v>
      </c>
      <c r="N2429" s="6" t="str">
        <f>"5602972281088"</f>
        <v>5602972281088</v>
      </c>
      <c r="O2429" s="8">
        <v>6</v>
      </c>
      <c r="R2429" s="8">
        <v>0</v>
      </c>
      <c r="U2429" s="8">
        <v>0</v>
      </c>
      <c r="X2429" s="8">
        <v>0</v>
      </c>
      <c r="Z2429" s="8">
        <v>0</v>
      </c>
      <c r="AC2429" s="8">
        <v>0</v>
      </c>
      <c r="AF2429" s="8">
        <v>0</v>
      </c>
      <c r="AN2429" s="8">
        <v>6</v>
      </c>
      <c r="AO2429" s="8">
        <v>0</v>
      </c>
    </row>
    <row r="2430" spans="1:41" x14ac:dyDescent="0.25">
      <c r="A2430" s="6" t="str">
        <f>"522-2026000257"</f>
        <v>522-2026000257</v>
      </c>
      <c r="B2430" s="6" t="str">
        <f t="shared" si="554"/>
        <v>EL CORTE</v>
      </c>
      <c r="C2430" s="7">
        <v>46037</v>
      </c>
      <c r="D2430" s="7">
        <v>46042</v>
      </c>
      <c r="E2430" s="8">
        <v>4</v>
      </c>
      <c r="F2430" s="6" t="str">
        <f>"94828501_07026"</f>
        <v>94828501_07026</v>
      </c>
      <c r="G2430" s="6" t="str">
        <f t="shared" si="555"/>
        <v>F310631650000000</v>
      </c>
      <c r="H2430" s="6" t="str">
        <f t="shared" si="556"/>
        <v>PLAR 6316 FD - 500 g</v>
      </c>
      <c r="I2430" s="6" t="str">
        <f>"202575"</f>
        <v>202575</v>
      </c>
      <c r="J2430" s="6" t="str">
        <f>"BEGE 2575"</f>
        <v>BEGE 2575</v>
      </c>
      <c r="K2430" s="6" t="str">
        <f>"2020"</f>
        <v>2020</v>
      </c>
      <c r="L2430" s="6" t="str">
        <f>"Lençóis"</f>
        <v>Lençóis</v>
      </c>
      <c r="M2430" s="6" t="str">
        <f>"100x150"</f>
        <v>100x150</v>
      </c>
      <c r="N2430" s="6" t="str">
        <f>"5602972281095"</f>
        <v>5602972281095</v>
      </c>
      <c r="O2430" s="8">
        <v>6</v>
      </c>
      <c r="R2430" s="8">
        <v>0</v>
      </c>
      <c r="U2430" s="8">
        <v>0</v>
      </c>
      <c r="X2430" s="8">
        <v>0</v>
      </c>
      <c r="Z2430" s="8">
        <v>0</v>
      </c>
      <c r="AC2430" s="8">
        <v>0</v>
      </c>
      <c r="AF2430" s="8">
        <v>0</v>
      </c>
      <c r="AN2430" s="8">
        <v>0</v>
      </c>
      <c r="AO2430" s="8">
        <v>6</v>
      </c>
    </row>
    <row r="2431" spans="1:41" x14ac:dyDescent="0.25">
      <c r="A2431" s="6" t="str">
        <f>"522-2026000257"</f>
        <v>522-2026000257</v>
      </c>
      <c r="B2431" s="6" t="str">
        <f t="shared" si="554"/>
        <v>EL CORTE</v>
      </c>
      <c r="C2431" s="7">
        <v>46037</v>
      </c>
      <c r="D2431" s="7">
        <v>46042</v>
      </c>
      <c r="E2431" s="8">
        <v>5</v>
      </c>
      <c r="F2431" s="6" t="str">
        <f>"94828501_07026"</f>
        <v>94828501_07026</v>
      </c>
      <c r="G2431" s="6" t="str">
        <f t="shared" si="555"/>
        <v>F310631650000000</v>
      </c>
      <c r="H2431" s="6" t="str">
        <f t="shared" si="556"/>
        <v>PLAR 6316 FD - 500 g</v>
      </c>
      <c r="I2431" s="6" t="str">
        <f>"200901"</f>
        <v>200901</v>
      </c>
      <c r="J2431" s="6" t="str">
        <f>"ROSA 901"</f>
        <v>ROSA 901</v>
      </c>
      <c r="K2431" s="6" t="str">
        <f>"1024"</f>
        <v>1024</v>
      </c>
      <c r="L2431" s="6" t="str">
        <f>"Toalhas"</f>
        <v>Toalhas</v>
      </c>
      <c r="M2431" s="6" t="str">
        <f>"50x100"</f>
        <v>50x100</v>
      </c>
      <c r="N2431" s="6" t="str">
        <f>"5602972281118"</f>
        <v>5602972281118</v>
      </c>
      <c r="O2431" s="8">
        <v>6</v>
      </c>
      <c r="R2431" s="8">
        <v>0</v>
      </c>
      <c r="U2431" s="8">
        <v>0</v>
      </c>
      <c r="X2431" s="8">
        <v>0</v>
      </c>
      <c r="Z2431" s="8">
        <v>0</v>
      </c>
      <c r="AC2431" s="8">
        <v>0</v>
      </c>
      <c r="AF2431" s="8">
        <v>0</v>
      </c>
      <c r="AN2431" s="8">
        <v>6</v>
      </c>
      <c r="AO2431" s="8">
        <v>0</v>
      </c>
    </row>
    <row r="2432" spans="1:41" x14ac:dyDescent="0.25">
      <c r="A2432" s="6" t="str">
        <f>"522-2026000258"</f>
        <v>522-2026000258</v>
      </c>
      <c r="B2432" s="6" t="str">
        <f t="shared" si="554"/>
        <v>EL CORTE</v>
      </c>
      <c r="C2432" s="7">
        <v>46037</v>
      </c>
      <c r="D2432" s="7">
        <v>46042</v>
      </c>
      <c r="E2432" s="8">
        <v>1</v>
      </c>
      <c r="F2432" s="6" t="str">
        <f>"94826601_07026"</f>
        <v>94826601_07026</v>
      </c>
      <c r="G2432" s="6" t="str">
        <f t="shared" si="555"/>
        <v>F310631650000000</v>
      </c>
      <c r="H2432" s="6" t="str">
        <f t="shared" si="556"/>
        <v>PLAR 6316 FD - 500 g</v>
      </c>
      <c r="I2432" s="6" t="str">
        <f>"202575"</f>
        <v>202575</v>
      </c>
      <c r="J2432" s="6" t="str">
        <f>"BEGE 2575"</f>
        <v>BEGE 2575</v>
      </c>
      <c r="K2432" s="6" t="str">
        <f>"1024"</f>
        <v>1024</v>
      </c>
      <c r="L2432" s="6" t="str">
        <f>"Toalhas"</f>
        <v>Toalhas</v>
      </c>
      <c r="M2432" s="6" t="str">
        <f>"50x100"</f>
        <v>50x100</v>
      </c>
      <c r="N2432" s="6" t="str">
        <f>"5602972281088"</f>
        <v>5602972281088</v>
      </c>
      <c r="O2432" s="8">
        <v>6</v>
      </c>
      <c r="R2432" s="8">
        <v>0</v>
      </c>
      <c r="U2432" s="8">
        <v>0</v>
      </c>
      <c r="X2432" s="8">
        <v>0</v>
      </c>
      <c r="Z2432" s="8">
        <v>0</v>
      </c>
      <c r="AC2432" s="8">
        <v>0</v>
      </c>
      <c r="AF2432" s="8">
        <v>0</v>
      </c>
      <c r="AN2432" s="8">
        <v>6</v>
      </c>
      <c r="AO2432" s="8">
        <v>0</v>
      </c>
    </row>
    <row r="2433" spans="1:41" x14ac:dyDescent="0.25">
      <c r="A2433" s="6" t="str">
        <f>"522-2026000258"</f>
        <v>522-2026000258</v>
      </c>
      <c r="B2433" s="6" t="str">
        <f t="shared" si="554"/>
        <v>EL CORTE</v>
      </c>
      <c r="C2433" s="7">
        <v>46037</v>
      </c>
      <c r="D2433" s="7">
        <v>46042</v>
      </c>
      <c r="E2433" s="8">
        <v>2</v>
      </c>
      <c r="F2433" s="6" t="str">
        <f>"94826601_07026"</f>
        <v>94826601_07026</v>
      </c>
      <c r="G2433" s="6" t="str">
        <f t="shared" si="555"/>
        <v>F310631650000000</v>
      </c>
      <c r="H2433" s="6" t="str">
        <f t="shared" si="556"/>
        <v>PLAR 6316 FD - 500 g</v>
      </c>
      <c r="I2433" s="6" t="str">
        <f>"200901"</f>
        <v>200901</v>
      </c>
      <c r="J2433" s="6" t="str">
        <f>"ROSA 901"</f>
        <v>ROSA 901</v>
      </c>
      <c r="K2433" s="6" t="str">
        <f>"1024"</f>
        <v>1024</v>
      </c>
      <c r="L2433" s="6" t="str">
        <f>"Toalhas"</f>
        <v>Toalhas</v>
      </c>
      <c r="M2433" s="6" t="str">
        <f>"50x100"</f>
        <v>50x100</v>
      </c>
      <c r="N2433" s="6" t="str">
        <f>"5602972281118"</f>
        <v>5602972281118</v>
      </c>
      <c r="O2433" s="8">
        <v>6</v>
      </c>
      <c r="R2433" s="8">
        <v>0</v>
      </c>
      <c r="U2433" s="8">
        <v>0</v>
      </c>
      <c r="X2433" s="8">
        <v>0</v>
      </c>
      <c r="Z2433" s="8">
        <v>0</v>
      </c>
      <c r="AC2433" s="8">
        <v>0</v>
      </c>
      <c r="AF2433" s="8">
        <v>0</v>
      </c>
      <c r="AN2433" s="8">
        <v>6</v>
      </c>
      <c r="AO2433" s="8">
        <v>0</v>
      </c>
    </row>
    <row r="2434" spans="1:41" x14ac:dyDescent="0.25">
      <c r="A2434" s="6" t="str">
        <f>"522-2026000258"</f>
        <v>522-2026000258</v>
      </c>
      <c r="B2434" s="6" t="str">
        <f t="shared" si="554"/>
        <v>EL CORTE</v>
      </c>
      <c r="C2434" s="7">
        <v>46037</v>
      </c>
      <c r="D2434" s="7">
        <v>46042</v>
      </c>
      <c r="E2434" s="8">
        <v>3</v>
      </c>
      <c r="F2434" s="6" t="str">
        <f>"94826601_07026"</f>
        <v>94826601_07026</v>
      </c>
      <c r="G2434" s="6" t="str">
        <f t="shared" si="555"/>
        <v>F310631650000000</v>
      </c>
      <c r="H2434" s="6" t="str">
        <f t="shared" si="556"/>
        <v>PLAR 6316 FD - 500 g</v>
      </c>
      <c r="I2434" s="6" t="str">
        <f>"200901"</f>
        <v>200901</v>
      </c>
      <c r="J2434" s="6" t="str">
        <f>"ROSA 901"</f>
        <v>ROSA 901</v>
      </c>
      <c r="K2434" s="6" t="str">
        <f>"2020"</f>
        <v>2020</v>
      </c>
      <c r="L2434" s="6" t="str">
        <f>"Lençóis"</f>
        <v>Lençóis</v>
      </c>
      <c r="M2434" s="6" t="str">
        <f>"100x150"</f>
        <v>100x150</v>
      </c>
      <c r="N2434" s="6" t="str">
        <f>"5602972281125"</f>
        <v>5602972281125</v>
      </c>
      <c r="O2434" s="8">
        <v>9</v>
      </c>
      <c r="R2434" s="8">
        <v>0</v>
      </c>
      <c r="U2434" s="8">
        <v>0</v>
      </c>
      <c r="X2434" s="8">
        <v>0</v>
      </c>
      <c r="Z2434" s="8">
        <v>0</v>
      </c>
      <c r="AC2434" s="8">
        <v>0</v>
      </c>
      <c r="AF2434" s="8">
        <v>0</v>
      </c>
      <c r="AN2434" s="8">
        <v>0</v>
      </c>
      <c r="AO2434" s="8">
        <v>9</v>
      </c>
    </row>
    <row r="2435" spans="1:41" x14ac:dyDescent="0.25">
      <c r="A2435" s="6" t="str">
        <f t="shared" ref="A2435:A2441" si="565">"522-2026000259"</f>
        <v>522-2026000259</v>
      </c>
      <c r="B2435" s="6" t="str">
        <f t="shared" si="554"/>
        <v>EL CORTE</v>
      </c>
      <c r="C2435" s="7">
        <v>46037</v>
      </c>
      <c r="D2435" s="7">
        <v>46042</v>
      </c>
      <c r="E2435" s="8">
        <v>1</v>
      </c>
      <c r="F2435" s="6" t="str">
        <f t="shared" ref="F2435:F2441" si="566">"94829001_07026"</f>
        <v>94829001_07026</v>
      </c>
      <c r="G2435" s="6" t="str">
        <f t="shared" si="555"/>
        <v>F310631650000000</v>
      </c>
      <c r="H2435" s="6" t="str">
        <f t="shared" si="556"/>
        <v>PLAR 6316 FD - 500 g</v>
      </c>
      <c r="I2435" s="6" t="str">
        <f>"201855"</f>
        <v>201855</v>
      </c>
      <c r="J2435" s="6" t="str">
        <f>"AZUL 1855"</f>
        <v>AZUL 1855</v>
      </c>
      <c r="K2435" s="6" t="str">
        <f>"0520"</f>
        <v>0520</v>
      </c>
      <c r="L2435" s="6" t="str">
        <f>"Toalhetes"</f>
        <v>Toalhetes</v>
      </c>
      <c r="M2435" s="6" t="str">
        <f>"30x50"</f>
        <v>30x50</v>
      </c>
      <c r="N2435" s="6" t="str">
        <f>"5602972281040"</f>
        <v>5602972281040</v>
      </c>
      <c r="O2435" s="8">
        <v>6</v>
      </c>
      <c r="R2435" s="8">
        <v>0</v>
      </c>
      <c r="U2435" s="8">
        <v>0</v>
      </c>
      <c r="X2435" s="8">
        <v>0</v>
      </c>
      <c r="Z2435" s="8">
        <v>0</v>
      </c>
      <c r="AC2435" s="8">
        <v>0</v>
      </c>
      <c r="AF2435" s="8">
        <v>0</v>
      </c>
      <c r="AN2435" s="8">
        <v>0</v>
      </c>
      <c r="AO2435" s="8">
        <v>6</v>
      </c>
    </row>
    <row r="2436" spans="1:41" x14ac:dyDescent="0.25">
      <c r="A2436" s="6" t="str">
        <f t="shared" si="565"/>
        <v>522-2026000259</v>
      </c>
      <c r="B2436" s="6" t="str">
        <f t="shared" si="554"/>
        <v>EL CORTE</v>
      </c>
      <c r="C2436" s="7">
        <v>46037</v>
      </c>
      <c r="D2436" s="7">
        <v>46042</v>
      </c>
      <c r="E2436" s="8">
        <v>2</v>
      </c>
      <c r="F2436" s="6" t="str">
        <f t="shared" si="566"/>
        <v>94829001_07026</v>
      </c>
      <c r="G2436" s="6" t="str">
        <f t="shared" si="555"/>
        <v>F310631650000000</v>
      </c>
      <c r="H2436" s="6" t="str">
        <f t="shared" si="556"/>
        <v>PLAR 6316 FD - 500 g</v>
      </c>
      <c r="I2436" s="6" t="str">
        <f>"201855"</f>
        <v>201855</v>
      </c>
      <c r="J2436" s="6" t="str">
        <f>"AZUL 1855"</f>
        <v>AZUL 1855</v>
      </c>
      <c r="K2436" s="6" t="str">
        <f>"1024"</f>
        <v>1024</v>
      </c>
      <c r="L2436" s="6" t="str">
        <f>"Toalhas"</f>
        <v>Toalhas</v>
      </c>
      <c r="M2436" s="6" t="str">
        <f>"50x100"</f>
        <v>50x100</v>
      </c>
      <c r="N2436" s="6" t="str">
        <f>"5602972281057"</f>
        <v>5602972281057</v>
      </c>
      <c r="O2436" s="8">
        <v>6</v>
      </c>
      <c r="R2436" s="8">
        <v>0</v>
      </c>
      <c r="U2436" s="8">
        <v>0</v>
      </c>
      <c r="X2436" s="8">
        <v>0</v>
      </c>
      <c r="Z2436" s="8">
        <v>0</v>
      </c>
      <c r="AC2436" s="8">
        <v>0</v>
      </c>
      <c r="AF2436" s="8">
        <v>0</v>
      </c>
      <c r="AN2436" s="8">
        <v>6</v>
      </c>
      <c r="AO2436" s="8">
        <v>0</v>
      </c>
    </row>
    <row r="2437" spans="1:41" x14ac:dyDescent="0.25">
      <c r="A2437" s="6" t="str">
        <f t="shared" si="565"/>
        <v>522-2026000259</v>
      </c>
      <c r="B2437" s="6" t="str">
        <f t="shared" si="554"/>
        <v>EL CORTE</v>
      </c>
      <c r="C2437" s="7">
        <v>46037</v>
      </c>
      <c r="D2437" s="7">
        <v>46042</v>
      </c>
      <c r="E2437" s="8">
        <v>3</v>
      </c>
      <c r="F2437" s="6" t="str">
        <f t="shared" si="566"/>
        <v>94829001_07026</v>
      </c>
      <c r="G2437" s="6" t="str">
        <f t="shared" si="555"/>
        <v>F310631650000000</v>
      </c>
      <c r="H2437" s="6" t="str">
        <f t="shared" si="556"/>
        <v>PLAR 6316 FD - 500 g</v>
      </c>
      <c r="I2437" s="6" t="str">
        <f>"202575"</f>
        <v>202575</v>
      </c>
      <c r="J2437" s="6" t="str">
        <f>"BEGE 2575"</f>
        <v>BEGE 2575</v>
      </c>
      <c r="K2437" s="6" t="str">
        <f>"2020"</f>
        <v>2020</v>
      </c>
      <c r="L2437" s="6" t="str">
        <f>"Lençóis"</f>
        <v>Lençóis</v>
      </c>
      <c r="M2437" s="6" t="str">
        <f>"100x150"</f>
        <v>100x150</v>
      </c>
      <c r="N2437" s="6" t="str">
        <f>"5602972281095"</f>
        <v>5602972281095</v>
      </c>
      <c r="O2437" s="8">
        <v>3</v>
      </c>
      <c r="R2437" s="8">
        <v>0</v>
      </c>
      <c r="U2437" s="8">
        <v>0</v>
      </c>
      <c r="X2437" s="8">
        <v>0</v>
      </c>
      <c r="Z2437" s="8">
        <v>0</v>
      </c>
      <c r="AC2437" s="8">
        <v>0</v>
      </c>
      <c r="AF2437" s="8">
        <v>0</v>
      </c>
      <c r="AN2437" s="8">
        <v>0</v>
      </c>
      <c r="AO2437" s="8">
        <v>3</v>
      </c>
    </row>
    <row r="2438" spans="1:41" x14ac:dyDescent="0.25">
      <c r="A2438" s="6" t="str">
        <f t="shared" si="565"/>
        <v>522-2026000259</v>
      </c>
      <c r="B2438" s="6" t="str">
        <f t="shared" si="554"/>
        <v>EL CORTE</v>
      </c>
      <c r="C2438" s="7">
        <v>46037</v>
      </c>
      <c r="D2438" s="7">
        <v>46042</v>
      </c>
      <c r="E2438" s="8">
        <v>4</v>
      </c>
      <c r="F2438" s="6" t="str">
        <f t="shared" si="566"/>
        <v>94829001_07026</v>
      </c>
      <c r="G2438" s="6" t="str">
        <f t="shared" si="555"/>
        <v>F310631650000000</v>
      </c>
      <c r="H2438" s="6" t="str">
        <f t="shared" si="556"/>
        <v>PLAR 6316 FD - 500 g</v>
      </c>
      <c r="I2438" s="6" t="str">
        <f>"200901"</f>
        <v>200901</v>
      </c>
      <c r="J2438" s="6" t="str">
        <f>"ROSA 901"</f>
        <v>ROSA 901</v>
      </c>
      <c r="K2438" s="6" t="str">
        <f>"1024"</f>
        <v>1024</v>
      </c>
      <c r="L2438" s="6" t="str">
        <f>"Toalhas"</f>
        <v>Toalhas</v>
      </c>
      <c r="M2438" s="6" t="str">
        <f>"50x100"</f>
        <v>50x100</v>
      </c>
      <c r="N2438" s="6" t="str">
        <f>"5602972281118"</f>
        <v>5602972281118</v>
      </c>
      <c r="O2438" s="8">
        <v>6</v>
      </c>
      <c r="R2438" s="8">
        <v>0</v>
      </c>
      <c r="U2438" s="8">
        <v>0</v>
      </c>
      <c r="X2438" s="8">
        <v>0</v>
      </c>
      <c r="Z2438" s="8">
        <v>0</v>
      </c>
      <c r="AC2438" s="8">
        <v>0</v>
      </c>
      <c r="AF2438" s="8">
        <v>0</v>
      </c>
      <c r="AN2438" s="8">
        <v>6</v>
      </c>
      <c r="AO2438" s="8">
        <v>0</v>
      </c>
    </row>
    <row r="2439" spans="1:41" x14ac:dyDescent="0.25">
      <c r="A2439" s="6" t="str">
        <f t="shared" si="565"/>
        <v>522-2026000259</v>
      </c>
      <c r="B2439" s="6" t="str">
        <f t="shared" ref="B2439:B2502" si="567">"EL CORTE"</f>
        <v>EL CORTE</v>
      </c>
      <c r="C2439" s="7">
        <v>46037</v>
      </c>
      <c r="D2439" s="7">
        <v>46042</v>
      </c>
      <c r="E2439" s="8">
        <v>5</v>
      </c>
      <c r="F2439" s="6" t="str">
        <f t="shared" si="566"/>
        <v>94829001_07026</v>
      </c>
      <c r="G2439" s="6" t="str">
        <f t="shared" ref="G2439:G2502" si="568">"F310631650000000"</f>
        <v>F310631650000000</v>
      </c>
      <c r="H2439" s="6" t="str">
        <f t="shared" ref="H2439:H2502" si="569">"PLAR 6316 FD - 500 g"</f>
        <v>PLAR 6316 FD - 500 g</v>
      </c>
      <c r="I2439" s="6" t="str">
        <f>"200901"</f>
        <v>200901</v>
      </c>
      <c r="J2439" s="6" t="str">
        <f>"ROSA 901"</f>
        <v>ROSA 901</v>
      </c>
      <c r="K2439" s="6" t="str">
        <f>"2020"</f>
        <v>2020</v>
      </c>
      <c r="L2439" s="6" t="str">
        <f>"Lençóis"</f>
        <v>Lençóis</v>
      </c>
      <c r="M2439" s="6" t="str">
        <f>"100x150"</f>
        <v>100x150</v>
      </c>
      <c r="N2439" s="6" t="str">
        <f>"5602972281125"</f>
        <v>5602972281125</v>
      </c>
      <c r="O2439" s="8">
        <v>3</v>
      </c>
      <c r="R2439" s="8">
        <v>0</v>
      </c>
      <c r="U2439" s="8">
        <v>0</v>
      </c>
      <c r="X2439" s="8">
        <v>0</v>
      </c>
      <c r="Z2439" s="8">
        <v>0</v>
      </c>
      <c r="AC2439" s="8">
        <v>0</v>
      </c>
      <c r="AF2439" s="8">
        <v>0</v>
      </c>
      <c r="AN2439" s="8">
        <v>0</v>
      </c>
      <c r="AO2439" s="8">
        <v>3</v>
      </c>
    </row>
    <row r="2440" spans="1:41" x14ac:dyDescent="0.25">
      <c r="A2440" s="6" t="str">
        <f t="shared" si="565"/>
        <v>522-2026000259</v>
      </c>
      <c r="B2440" s="6" t="str">
        <f t="shared" si="567"/>
        <v>EL CORTE</v>
      </c>
      <c r="C2440" s="7">
        <v>46037</v>
      </c>
      <c r="D2440" s="7">
        <v>46042</v>
      </c>
      <c r="E2440" s="8">
        <v>6</v>
      </c>
      <c r="F2440" s="6" t="str">
        <f t="shared" si="566"/>
        <v>94829001_07026</v>
      </c>
      <c r="G2440" s="6" t="str">
        <f t="shared" si="568"/>
        <v>F310631650000000</v>
      </c>
      <c r="H2440" s="6" t="str">
        <f t="shared" si="569"/>
        <v>PLAR 6316 FD - 500 g</v>
      </c>
      <c r="I2440" s="6" t="str">
        <f>"200510"</f>
        <v>200510</v>
      </c>
      <c r="J2440" s="6" t="str">
        <f>"VERDE 510"</f>
        <v>VERDE 510</v>
      </c>
      <c r="K2440" s="6" t="str">
        <f>"1024"</f>
        <v>1024</v>
      </c>
      <c r="L2440" s="6" t="str">
        <f>"Toalhas"</f>
        <v>Toalhas</v>
      </c>
      <c r="M2440" s="6" t="str">
        <f>"50x100"</f>
        <v>50x100</v>
      </c>
      <c r="N2440" s="6" t="str">
        <f>"5602972281149"</f>
        <v>5602972281149</v>
      </c>
      <c r="O2440" s="8">
        <v>6</v>
      </c>
      <c r="R2440" s="8">
        <v>0</v>
      </c>
      <c r="U2440" s="8">
        <v>0</v>
      </c>
      <c r="X2440" s="8">
        <v>0</v>
      </c>
      <c r="Z2440" s="8">
        <v>0</v>
      </c>
      <c r="AC2440" s="8">
        <v>0</v>
      </c>
      <c r="AF2440" s="8">
        <v>0</v>
      </c>
      <c r="AN2440" s="8">
        <v>6</v>
      </c>
      <c r="AO2440" s="8">
        <v>0</v>
      </c>
    </row>
    <row r="2441" spans="1:41" x14ac:dyDescent="0.25">
      <c r="A2441" s="6" t="str">
        <f t="shared" si="565"/>
        <v>522-2026000259</v>
      </c>
      <c r="B2441" s="6" t="str">
        <f t="shared" si="567"/>
        <v>EL CORTE</v>
      </c>
      <c r="C2441" s="7">
        <v>46037</v>
      </c>
      <c r="D2441" s="7">
        <v>46042</v>
      </c>
      <c r="E2441" s="8">
        <v>7</v>
      </c>
      <c r="F2441" s="6" t="str">
        <f t="shared" si="566"/>
        <v>94829001_07026</v>
      </c>
      <c r="G2441" s="6" t="str">
        <f t="shared" si="568"/>
        <v>F310631650000000</v>
      </c>
      <c r="H2441" s="6" t="str">
        <f t="shared" si="569"/>
        <v>PLAR 6316 FD - 500 g</v>
      </c>
      <c r="I2441" s="6" t="str">
        <f>"200510"</f>
        <v>200510</v>
      </c>
      <c r="J2441" s="6" t="str">
        <f>"VERDE 510"</f>
        <v>VERDE 510</v>
      </c>
      <c r="K2441" s="6" t="str">
        <f>"2020"</f>
        <v>2020</v>
      </c>
      <c r="L2441" s="6" t="str">
        <f>"Lençóis"</f>
        <v>Lençóis</v>
      </c>
      <c r="M2441" s="6" t="str">
        <f>"100x150"</f>
        <v>100x150</v>
      </c>
      <c r="N2441" s="6" t="str">
        <f>"5602972281156"</f>
        <v>5602972281156</v>
      </c>
      <c r="O2441" s="8">
        <v>3</v>
      </c>
      <c r="R2441" s="8">
        <v>0</v>
      </c>
      <c r="U2441" s="8">
        <v>0</v>
      </c>
      <c r="X2441" s="8">
        <v>0</v>
      </c>
      <c r="Z2441" s="8">
        <v>0</v>
      </c>
      <c r="AC2441" s="8">
        <v>0</v>
      </c>
      <c r="AF2441" s="8">
        <v>0</v>
      </c>
      <c r="AN2441" s="8">
        <v>0</v>
      </c>
      <c r="AO2441" s="8">
        <v>3</v>
      </c>
    </row>
    <row r="2442" spans="1:41" x14ac:dyDescent="0.25">
      <c r="A2442" s="6" t="str">
        <f t="shared" ref="A2442:A2450" si="570">"522-2026000260"</f>
        <v>522-2026000260</v>
      </c>
      <c r="B2442" s="6" t="str">
        <f t="shared" si="567"/>
        <v>EL CORTE</v>
      </c>
      <c r="C2442" s="7">
        <v>46037</v>
      </c>
      <c r="D2442" s="7">
        <v>46042</v>
      </c>
      <c r="E2442" s="8">
        <v>1</v>
      </c>
      <c r="F2442" s="6" t="str">
        <f t="shared" ref="F2442:F2450" si="571">"94827001_07026"</f>
        <v>94827001_07026</v>
      </c>
      <c r="G2442" s="6" t="str">
        <f t="shared" si="568"/>
        <v>F310631650000000</v>
      </c>
      <c r="H2442" s="6" t="str">
        <f t="shared" si="569"/>
        <v>PLAR 6316 FD - 500 g</v>
      </c>
      <c r="I2442" s="6" t="str">
        <f>"201855"</f>
        <v>201855</v>
      </c>
      <c r="J2442" s="6" t="str">
        <f>"AZUL 1855"</f>
        <v>AZUL 1855</v>
      </c>
      <c r="K2442" s="6" t="str">
        <f>"1024"</f>
        <v>1024</v>
      </c>
      <c r="L2442" s="6" t="str">
        <f>"Toalhas"</f>
        <v>Toalhas</v>
      </c>
      <c r="M2442" s="6" t="str">
        <f>"50x100"</f>
        <v>50x100</v>
      </c>
      <c r="N2442" s="6" t="str">
        <f>"5602972281057"</f>
        <v>5602972281057</v>
      </c>
      <c r="O2442" s="8">
        <v>6</v>
      </c>
      <c r="R2442" s="8">
        <v>0</v>
      </c>
      <c r="U2442" s="8">
        <v>0</v>
      </c>
      <c r="X2442" s="8">
        <v>0</v>
      </c>
      <c r="Z2442" s="8">
        <v>0</v>
      </c>
      <c r="AC2442" s="8">
        <v>0</v>
      </c>
      <c r="AF2442" s="8">
        <v>0</v>
      </c>
      <c r="AN2442" s="8">
        <v>6</v>
      </c>
      <c r="AO2442" s="8">
        <v>0</v>
      </c>
    </row>
    <row r="2443" spans="1:41" x14ac:dyDescent="0.25">
      <c r="A2443" s="6" t="str">
        <f t="shared" si="570"/>
        <v>522-2026000260</v>
      </c>
      <c r="B2443" s="6" t="str">
        <f t="shared" si="567"/>
        <v>EL CORTE</v>
      </c>
      <c r="C2443" s="7">
        <v>46037</v>
      </c>
      <c r="D2443" s="7">
        <v>46042</v>
      </c>
      <c r="E2443" s="8">
        <v>2</v>
      </c>
      <c r="F2443" s="6" t="str">
        <f t="shared" si="571"/>
        <v>94827001_07026</v>
      </c>
      <c r="G2443" s="6" t="str">
        <f t="shared" si="568"/>
        <v>F310631650000000</v>
      </c>
      <c r="H2443" s="6" t="str">
        <f t="shared" si="569"/>
        <v>PLAR 6316 FD - 500 g</v>
      </c>
      <c r="I2443" s="6" t="str">
        <f>"201855"</f>
        <v>201855</v>
      </c>
      <c r="J2443" s="6" t="str">
        <f>"AZUL 1855"</f>
        <v>AZUL 1855</v>
      </c>
      <c r="K2443" s="6" t="str">
        <f>"2020"</f>
        <v>2020</v>
      </c>
      <c r="L2443" s="6" t="str">
        <f>"Lençóis"</f>
        <v>Lençóis</v>
      </c>
      <c r="M2443" s="6" t="str">
        <f>"100x150"</f>
        <v>100x150</v>
      </c>
      <c r="N2443" s="6" t="str">
        <f>"5602972281064"</f>
        <v>5602972281064</v>
      </c>
      <c r="O2443" s="8">
        <v>6</v>
      </c>
      <c r="R2443" s="8">
        <v>0</v>
      </c>
      <c r="U2443" s="8">
        <v>0</v>
      </c>
      <c r="X2443" s="8">
        <v>0</v>
      </c>
      <c r="Z2443" s="8">
        <v>0</v>
      </c>
      <c r="AC2443" s="8">
        <v>0</v>
      </c>
      <c r="AF2443" s="8">
        <v>0</v>
      </c>
      <c r="AN2443" s="8">
        <v>0</v>
      </c>
      <c r="AO2443" s="8">
        <v>6</v>
      </c>
    </row>
    <row r="2444" spans="1:41" x14ac:dyDescent="0.25">
      <c r="A2444" s="6" t="str">
        <f t="shared" si="570"/>
        <v>522-2026000260</v>
      </c>
      <c r="B2444" s="6" t="str">
        <f t="shared" si="567"/>
        <v>EL CORTE</v>
      </c>
      <c r="C2444" s="7">
        <v>46037</v>
      </c>
      <c r="D2444" s="7">
        <v>46042</v>
      </c>
      <c r="E2444" s="8">
        <v>3</v>
      </c>
      <c r="F2444" s="6" t="str">
        <f t="shared" si="571"/>
        <v>94827001_07026</v>
      </c>
      <c r="G2444" s="6" t="str">
        <f t="shared" si="568"/>
        <v>F310631650000000</v>
      </c>
      <c r="H2444" s="6" t="str">
        <f t="shared" si="569"/>
        <v>PLAR 6316 FD - 500 g</v>
      </c>
      <c r="I2444" s="6" t="str">
        <f>"202575"</f>
        <v>202575</v>
      </c>
      <c r="J2444" s="6" t="str">
        <f>"BEGE 2575"</f>
        <v>BEGE 2575</v>
      </c>
      <c r="K2444" s="6" t="str">
        <f>"0520"</f>
        <v>0520</v>
      </c>
      <c r="L2444" s="6" t="str">
        <f>"Toalhetes"</f>
        <v>Toalhetes</v>
      </c>
      <c r="M2444" s="6" t="str">
        <f>"30x50"</f>
        <v>30x50</v>
      </c>
      <c r="N2444" s="6" t="str">
        <f>"5602972281071"</f>
        <v>5602972281071</v>
      </c>
      <c r="O2444" s="8">
        <v>6</v>
      </c>
      <c r="R2444" s="8">
        <v>0</v>
      </c>
      <c r="U2444" s="8">
        <v>0</v>
      </c>
      <c r="X2444" s="8">
        <v>0</v>
      </c>
      <c r="Z2444" s="8">
        <v>0</v>
      </c>
      <c r="AC2444" s="8">
        <v>0</v>
      </c>
      <c r="AF2444" s="8">
        <v>0</v>
      </c>
      <c r="AN2444" s="8">
        <v>6</v>
      </c>
      <c r="AO2444" s="8">
        <v>0</v>
      </c>
    </row>
    <row r="2445" spans="1:41" x14ac:dyDescent="0.25">
      <c r="A2445" s="6" t="str">
        <f t="shared" si="570"/>
        <v>522-2026000260</v>
      </c>
      <c r="B2445" s="6" t="str">
        <f t="shared" si="567"/>
        <v>EL CORTE</v>
      </c>
      <c r="C2445" s="7">
        <v>46037</v>
      </c>
      <c r="D2445" s="7">
        <v>46042</v>
      </c>
      <c r="E2445" s="8">
        <v>4</v>
      </c>
      <c r="F2445" s="6" t="str">
        <f t="shared" si="571"/>
        <v>94827001_07026</v>
      </c>
      <c r="G2445" s="6" t="str">
        <f t="shared" si="568"/>
        <v>F310631650000000</v>
      </c>
      <c r="H2445" s="6" t="str">
        <f t="shared" si="569"/>
        <v>PLAR 6316 FD - 500 g</v>
      </c>
      <c r="I2445" s="6" t="str">
        <f>"202575"</f>
        <v>202575</v>
      </c>
      <c r="J2445" s="6" t="str">
        <f>"BEGE 2575"</f>
        <v>BEGE 2575</v>
      </c>
      <c r="K2445" s="6" t="str">
        <f>"1024"</f>
        <v>1024</v>
      </c>
      <c r="L2445" s="6" t="str">
        <f>"Toalhas"</f>
        <v>Toalhas</v>
      </c>
      <c r="M2445" s="6" t="str">
        <f>"50x100"</f>
        <v>50x100</v>
      </c>
      <c r="N2445" s="6" t="str">
        <f>"5602972281088"</f>
        <v>5602972281088</v>
      </c>
      <c r="O2445" s="8">
        <v>12</v>
      </c>
      <c r="R2445" s="8">
        <v>0</v>
      </c>
      <c r="U2445" s="8">
        <v>0</v>
      </c>
      <c r="X2445" s="8">
        <v>0</v>
      </c>
      <c r="Z2445" s="8">
        <v>0</v>
      </c>
      <c r="AC2445" s="8">
        <v>0</v>
      </c>
      <c r="AF2445" s="8">
        <v>0</v>
      </c>
      <c r="AN2445" s="8">
        <v>12</v>
      </c>
      <c r="AO2445" s="8">
        <v>0</v>
      </c>
    </row>
    <row r="2446" spans="1:41" x14ac:dyDescent="0.25">
      <c r="A2446" s="6" t="str">
        <f t="shared" si="570"/>
        <v>522-2026000260</v>
      </c>
      <c r="B2446" s="6" t="str">
        <f t="shared" si="567"/>
        <v>EL CORTE</v>
      </c>
      <c r="C2446" s="7">
        <v>46037</v>
      </c>
      <c r="D2446" s="7">
        <v>46042</v>
      </c>
      <c r="E2446" s="8">
        <v>5</v>
      </c>
      <c r="F2446" s="6" t="str">
        <f t="shared" si="571"/>
        <v>94827001_07026</v>
      </c>
      <c r="G2446" s="6" t="str">
        <f t="shared" si="568"/>
        <v>F310631650000000</v>
      </c>
      <c r="H2446" s="6" t="str">
        <f t="shared" si="569"/>
        <v>PLAR 6316 FD - 500 g</v>
      </c>
      <c r="I2446" s="6" t="str">
        <f>"202575"</f>
        <v>202575</v>
      </c>
      <c r="J2446" s="6" t="str">
        <f>"BEGE 2575"</f>
        <v>BEGE 2575</v>
      </c>
      <c r="K2446" s="6" t="str">
        <f>"2020"</f>
        <v>2020</v>
      </c>
      <c r="L2446" s="6" t="str">
        <f>"Lençóis"</f>
        <v>Lençóis</v>
      </c>
      <c r="M2446" s="6" t="str">
        <f>"100x150"</f>
        <v>100x150</v>
      </c>
      <c r="N2446" s="6" t="str">
        <f>"5602972281095"</f>
        <v>5602972281095</v>
      </c>
      <c r="O2446" s="8">
        <v>9</v>
      </c>
      <c r="R2446" s="8">
        <v>0</v>
      </c>
      <c r="U2446" s="8">
        <v>0</v>
      </c>
      <c r="X2446" s="8">
        <v>0</v>
      </c>
      <c r="Z2446" s="8">
        <v>0</v>
      </c>
      <c r="AC2446" s="8">
        <v>0</v>
      </c>
      <c r="AF2446" s="8">
        <v>0</v>
      </c>
      <c r="AN2446" s="8">
        <v>0</v>
      </c>
      <c r="AO2446" s="8">
        <v>9</v>
      </c>
    </row>
    <row r="2447" spans="1:41" x14ac:dyDescent="0.25">
      <c r="A2447" s="6" t="str">
        <f t="shared" si="570"/>
        <v>522-2026000260</v>
      </c>
      <c r="B2447" s="6" t="str">
        <f t="shared" si="567"/>
        <v>EL CORTE</v>
      </c>
      <c r="C2447" s="7">
        <v>46037</v>
      </c>
      <c r="D2447" s="7">
        <v>46042</v>
      </c>
      <c r="E2447" s="8">
        <v>6</v>
      </c>
      <c r="F2447" s="6" t="str">
        <f t="shared" si="571"/>
        <v>94827001_07026</v>
      </c>
      <c r="G2447" s="6" t="str">
        <f t="shared" si="568"/>
        <v>F310631650000000</v>
      </c>
      <c r="H2447" s="6" t="str">
        <f t="shared" si="569"/>
        <v>PLAR 6316 FD - 500 g</v>
      </c>
      <c r="I2447" s="6" t="str">
        <f>"200901"</f>
        <v>200901</v>
      </c>
      <c r="J2447" s="6" t="str">
        <f>"ROSA 901"</f>
        <v>ROSA 901</v>
      </c>
      <c r="K2447" s="6" t="str">
        <f>"1024"</f>
        <v>1024</v>
      </c>
      <c r="L2447" s="6" t="str">
        <f>"Toalhas"</f>
        <v>Toalhas</v>
      </c>
      <c r="M2447" s="6" t="str">
        <f>"50x100"</f>
        <v>50x100</v>
      </c>
      <c r="N2447" s="6" t="str">
        <f>"5602972281118"</f>
        <v>5602972281118</v>
      </c>
      <c r="O2447" s="8">
        <v>12</v>
      </c>
      <c r="R2447" s="8">
        <v>0</v>
      </c>
      <c r="U2447" s="8">
        <v>0</v>
      </c>
      <c r="X2447" s="8">
        <v>0</v>
      </c>
      <c r="Z2447" s="8">
        <v>0</v>
      </c>
      <c r="AC2447" s="8">
        <v>0</v>
      </c>
      <c r="AF2447" s="8">
        <v>0</v>
      </c>
      <c r="AN2447" s="8">
        <v>12</v>
      </c>
      <c r="AO2447" s="8">
        <v>0</v>
      </c>
    </row>
    <row r="2448" spans="1:41" x14ac:dyDescent="0.25">
      <c r="A2448" s="6" t="str">
        <f t="shared" si="570"/>
        <v>522-2026000260</v>
      </c>
      <c r="B2448" s="6" t="str">
        <f t="shared" si="567"/>
        <v>EL CORTE</v>
      </c>
      <c r="C2448" s="7">
        <v>46037</v>
      </c>
      <c r="D2448" s="7">
        <v>46042</v>
      </c>
      <c r="E2448" s="8">
        <v>7</v>
      </c>
      <c r="F2448" s="6" t="str">
        <f t="shared" si="571"/>
        <v>94827001_07026</v>
      </c>
      <c r="G2448" s="6" t="str">
        <f t="shared" si="568"/>
        <v>F310631650000000</v>
      </c>
      <c r="H2448" s="6" t="str">
        <f t="shared" si="569"/>
        <v>PLAR 6316 FD - 500 g</v>
      </c>
      <c r="I2448" s="6" t="str">
        <f>"200901"</f>
        <v>200901</v>
      </c>
      <c r="J2448" s="6" t="str">
        <f>"ROSA 901"</f>
        <v>ROSA 901</v>
      </c>
      <c r="K2448" s="6" t="str">
        <f>"2020"</f>
        <v>2020</v>
      </c>
      <c r="L2448" s="6" t="str">
        <f>"Lençóis"</f>
        <v>Lençóis</v>
      </c>
      <c r="M2448" s="6" t="str">
        <f>"100x150"</f>
        <v>100x150</v>
      </c>
      <c r="N2448" s="6" t="str">
        <f>"5602972281125"</f>
        <v>5602972281125</v>
      </c>
      <c r="O2448" s="8">
        <v>6</v>
      </c>
      <c r="R2448" s="8">
        <v>0</v>
      </c>
      <c r="U2448" s="8">
        <v>0</v>
      </c>
      <c r="X2448" s="8">
        <v>0</v>
      </c>
      <c r="Z2448" s="8">
        <v>0</v>
      </c>
      <c r="AC2448" s="8">
        <v>0</v>
      </c>
      <c r="AF2448" s="8">
        <v>0</v>
      </c>
      <c r="AN2448" s="8">
        <v>0</v>
      </c>
      <c r="AO2448" s="8">
        <v>6</v>
      </c>
    </row>
    <row r="2449" spans="1:41" x14ac:dyDescent="0.25">
      <c r="A2449" s="6" t="str">
        <f t="shared" si="570"/>
        <v>522-2026000260</v>
      </c>
      <c r="B2449" s="6" t="str">
        <f t="shared" si="567"/>
        <v>EL CORTE</v>
      </c>
      <c r="C2449" s="7">
        <v>46037</v>
      </c>
      <c r="D2449" s="7">
        <v>46042</v>
      </c>
      <c r="E2449" s="8">
        <v>8</v>
      </c>
      <c r="F2449" s="6" t="str">
        <f t="shared" si="571"/>
        <v>94827001_07026</v>
      </c>
      <c r="G2449" s="6" t="str">
        <f t="shared" si="568"/>
        <v>F310631650000000</v>
      </c>
      <c r="H2449" s="6" t="str">
        <f t="shared" si="569"/>
        <v>PLAR 6316 FD - 500 g</v>
      </c>
      <c r="I2449" s="6" t="str">
        <f>"200510"</f>
        <v>200510</v>
      </c>
      <c r="J2449" s="6" t="str">
        <f>"VERDE 510"</f>
        <v>VERDE 510</v>
      </c>
      <c r="K2449" s="6" t="str">
        <f>"1024"</f>
        <v>1024</v>
      </c>
      <c r="L2449" s="6" t="str">
        <f>"Toalhas"</f>
        <v>Toalhas</v>
      </c>
      <c r="M2449" s="6" t="str">
        <f>"50x100"</f>
        <v>50x100</v>
      </c>
      <c r="N2449" s="6" t="str">
        <f>"5602972281149"</f>
        <v>5602972281149</v>
      </c>
      <c r="O2449" s="8">
        <v>6</v>
      </c>
      <c r="R2449" s="8">
        <v>0</v>
      </c>
      <c r="U2449" s="8">
        <v>0</v>
      </c>
      <c r="X2449" s="8">
        <v>0</v>
      </c>
      <c r="Z2449" s="8">
        <v>0</v>
      </c>
      <c r="AC2449" s="8">
        <v>0</v>
      </c>
      <c r="AF2449" s="8">
        <v>0</v>
      </c>
      <c r="AN2449" s="8">
        <v>6</v>
      </c>
      <c r="AO2449" s="8">
        <v>0</v>
      </c>
    </row>
    <row r="2450" spans="1:41" x14ac:dyDescent="0.25">
      <c r="A2450" s="6" t="str">
        <f t="shared" si="570"/>
        <v>522-2026000260</v>
      </c>
      <c r="B2450" s="6" t="str">
        <f t="shared" si="567"/>
        <v>EL CORTE</v>
      </c>
      <c r="C2450" s="7">
        <v>46037</v>
      </c>
      <c r="D2450" s="7">
        <v>46042</v>
      </c>
      <c r="E2450" s="8">
        <v>9</v>
      </c>
      <c r="F2450" s="6" t="str">
        <f t="shared" si="571"/>
        <v>94827001_07026</v>
      </c>
      <c r="G2450" s="6" t="str">
        <f t="shared" si="568"/>
        <v>F310631650000000</v>
      </c>
      <c r="H2450" s="6" t="str">
        <f t="shared" si="569"/>
        <v>PLAR 6316 FD - 500 g</v>
      </c>
      <c r="I2450" s="6" t="str">
        <f>"200510"</f>
        <v>200510</v>
      </c>
      <c r="J2450" s="6" t="str">
        <f>"VERDE 510"</f>
        <v>VERDE 510</v>
      </c>
      <c r="K2450" s="6" t="str">
        <f>"2020"</f>
        <v>2020</v>
      </c>
      <c r="L2450" s="6" t="str">
        <f>"Lençóis"</f>
        <v>Lençóis</v>
      </c>
      <c r="M2450" s="6" t="str">
        <f>"100x150"</f>
        <v>100x150</v>
      </c>
      <c r="N2450" s="6" t="str">
        <f>"5602972281156"</f>
        <v>5602972281156</v>
      </c>
      <c r="O2450" s="8">
        <v>9</v>
      </c>
      <c r="R2450" s="8">
        <v>0</v>
      </c>
      <c r="U2450" s="8">
        <v>0</v>
      </c>
      <c r="X2450" s="8">
        <v>0</v>
      </c>
      <c r="Z2450" s="8">
        <v>0</v>
      </c>
      <c r="AC2450" s="8">
        <v>0</v>
      </c>
      <c r="AF2450" s="8">
        <v>0</v>
      </c>
      <c r="AN2450" s="8">
        <v>0</v>
      </c>
      <c r="AO2450" s="8">
        <v>9</v>
      </c>
    </row>
    <row r="2451" spans="1:41" x14ac:dyDescent="0.25">
      <c r="A2451" s="6" t="str">
        <f t="shared" ref="A2451:A2458" si="572">"522-2026000261"</f>
        <v>522-2026000261</v>
      </c>
      <c r="B2451" s="6" t="str">
        <f t="shared" si="567"/>
        <v>EL CORTE</v>
      </c>
      <c r="C2451" s="7">
        <v>46037</v>
      </c>
      <c r="D2451" s="7">
        <v>46042</v>
      </c>
      <c r="E2451" s="8">
        <v>1</v>
      </c>
      <c r="F2451" s="6" t="str">
        <f t="shared" ref="F2451:F2458" si="573">"94828301_07026"</f>
        <v>94828301_07026</v>
      </c>
      <c r="G2451" s="6" t="str">
        <f t="shared" si="568"/>
        <v>F310631650000000</v>
      </c>
      <c r="H2451" s="6" t="str">
        <f t="shared" si="569"/>
        <v>PLAR 6316 FD - 500 g</v>
      </c>
      <c r="I2451" s="6" t="str">
        <f>"201855"</f>
        <v>201855</v>
      </c>
      <c r="J2451" s="6" t="str">
        <f>"AZUL 1855"</f>
        <v>AZUL 1855</v>
      </c>
      <c r="K2451" s="6" t="str">
        <f>"1024"</f>
        <v>1024</v>
      </c>
      <c r="L2451" s="6" t="str">
        <f>"Toalhas"</f>
        <v>Toalhas</v>
      </c>
      <c r="M2451" s="6" t="str">
        <f>"50x100"</f>
        <v>50x100</v>
      </c>
      <c r="N2451" s="6" t="str">
        <f>"5602972281057"</f>
        <v>5602972281057</v>
      </c>
      <c r="O2451" s="8">
        <v>12</v>
      </c>
      <c r="R2451" s="8">
        <v>0</v>
      </c>
      <c r="U2451" s="8">
        <v>0</v>
      </c>
      <c r="X2451" s="8">
        <v>0</v>
      </c>
      <c r="Z2451" s="8">
        <v>0</v>
      </c>
      <c r="AC2451" s="8">
        <v>0</v>
      </c>
      <c r="AF2451" s="8">
        <v>0</v>
      </c>
      <c r="AN2451" s="8">
        <v>12</v>
      </c>
      <c r="AO2451" s="8">
        <v>0</v>
      </c>
    </row>
    <row r="2452" spans="1:41" x14ac:dyDescent="0.25">
      <c r="A2452" s="6" t="str">
        <f t="shared" si="572"/>
        <v>522-2026000261</v>
      </c>
      <c r="B2452" s="6" t="str">
        <f t="shared" si="567"/>
        <v>EL CORTE</v>
      </c>
      <c r="C2452" s="7">
        <v>46037</v>
      </c>
      <c r="D2452" s="7">
        <v>46042</v>
      </c>
      <c r="E2452" s="8">
        <v>2</v>
      </c>
      <c r="F2452" s="6" t="str">
        <f t="shared" si="573"/>
        <v>94828301_07026</v>
      </c>
      <c r="G2452" s="6" t="str">
        <f t="shared" si="568"/>
        <v>F310631650000000</v>
      </c>
      <c r="H2452" s="6" t="str">
        <f t="shared" si="569"/>
        <v>PLAR 6316 FD - 500 g</v>
      </c>
      <c r="I2452" s="6" t="str">
        <f>"201855"</f>
        <v>201855</v>
      </c>
      <c r="J2452" s="6" t="str">
        <f>"AZUL 1855"</f>
        <v>AZUL 1855</v>
      </c>
      <c r="K2452" s="6" t="str">
        <f>"2020"</f>
        <v>2020</v>
      </c>
      <c r="L2452" s="6" t="str">
        <f>"Lençóis"</f>
        <v>Lençóis</v>
      </c>
      <c r="M2452" s="6" t="str">
        <f>"100x150"</f>
        <v>100x150</v>
      </c>
      <c r="N2452" s="6" t="str">
        <f>"5602972281064"</f>
        <v>5602972281064</v>
      </c>
      <c r="O2452" s="8">
        <v>6</v>
      </c>
      <c r="R2452" s="8">
        <v>0</v>
      </c>
      <c r="U2452" s="8">
        <v>0</v>
      </c>
      <c r="X2452" s="8">
        <v>0</v>
      </c>
      <c r="Z2452" s="8">
        <v>0</v>
      </c>
      <c r="AC2452" s="8">
        <v>0</v>
      </c>
      <c r="AF2452" s="8">
        <v>0</v>
      </c>
      <c r="AN2452" s="8">
        <v>0</v>
      </c>
      <c r="AO2452" s="8">
        <v>6</v>
      </c>
    </row>
    <row r="2453" spans="1:41" x14ac:dyDescent="0.25">
      <c r="A2453" s="6" t="str">
        <f t="shared" si="572"/>
        <v>522-2026000261</v>
      </c>
      <c r="B2453" s="6" t="str">
        <f t="shared" si="567"/>
        <v>EL CORTE</v>
      </c>
      <c r="C2453" s="7">
        <v>46037</v>
      </c>
      <c r="D2453" s="7">
        <v>46042</v>
      </c>
      <c r="E2453" s="8">
        <v>3</v>
      </c>
      <c r="F2453" s="6" t="str">
        <f t="shared" si="573"/>
        <v>94828301_07026</v>
      </c>
      <c r="G2453" s="6" t="str">
        <f t="shared" si="568"/>
        <v>F310631650000000</v>
      </c>
      <c r="H2453" s="6" t="str">
        <f t="shared" si="569"/>
        <v>PLAR 6316 FD - 500 g</v>
      </c>
      <c r="I2453" s="6" t="str">
        <f>"202575"</f>
        <v>202575</v>
      </c>
      <c r="J2453" s="6" t="str">
        <f>"BEGE 2575"</f>
        <v>BEGE 2575</v>
      </c>
      <c r="K2453" s="6" t="str">
        <f>"0520"</f>
        <v>0520</v>
      </c>
      <c r="L2453" s="6" t="str">
        <f>"Toalhetes"</f>
        <v>Toalhetes</v>
      </c>
      <c r="M2453" s="6" t="str">
        <f>"30x50"</f>
        <v>30x50</v>
      </c>
      <c r="N2453" s="6" t="str">
        <f>"5602972281071"</f>
        <v>5602972281071</v>
      </c>
      <c r="O2453" s="8">
        <v>6</v>
      </c>
      <c r="R2453" s="8">
        <v>0</v>
      </c>
      <c r="U2453" s="8">
        <v>0</v>
      </c>
      <c r="X2453" s="8">
        <v>0</v>
      </c>
      <c r="Z2453" s="8">
        <v>0</v>
      </c>
      <c r="AC2453" s="8">
        <v>0</v>
      </c>
      <c r="AF2453" s="8">
        <v>0</v>
      </c>
      <c r="AN2453" s="8">
        <v>6</v>
      </c>
      <c r="AO2453" s="8">
        <v>0</v>
      </c>
    </row>
    <row r="2454" spans="1:41" x14ac:dyDescent="0.25">
      <c r="A2454" s="6" t="str">
        <f t="shared" si="572"/>
        <v>522-2026000261</v>
      </c>
      <c r="B2454" s="6" t="str">
        <f t="shared" si="567"/>
        <v>EL CORTE</v>
      </c>
      <c r="C2454" s="7">
        <v>46037</v>
      </c>
      <c r="D2454" s="7">
        <v>46042</v>
      </c>
      <c r="E2454" s="8">
        <v>4</v>
      </c>
      <c r="F2454" s="6" t="str">
        <f t="shared" si="573"/>
        <v>94828301_07026</v>
      </c>
      <c r="G2454" s="6" t="str">
        <f t="shared" si="568"/>
        <v>F310631650000000</v>
      </c>
      <c r="H2454" s="6" t="str">
        <f t="shared" si="569"/>
        <v>PLAR 6316 FD - 500 g</v>
      </c>
      <c r="I2454" s="6" t="str">
        <f>"202575"</f>
        <v>202575</v>
      </c>
      <c r="J2454" s="6" t="str">
        <f>"BEGE 2575"</f>
        <v>BEGE 2575</v>
      </c>
      <c r="K2454" s="6" t="str">
        <f>"1024"</f>
        <v>1024</v>
      </c>
      <c r="L2454" s="6" t="str">
        <f>"Toalhas"</f>
        <v>Toalhas</v>
      </c>
      <c r="M2454" s="6" t="str">
        <f>"50x100"</f>
        <v>50x100</v>
      </c>
      <c r="N2454" s="6" t="str">
        <f>"5602972281088"</f>
        <v>5602972281088</v>
      </c>
      <c r="O2454" s="8">
        <v>12</v>
      </c>
      <c r="R2454" s="8">
        <v>0</v>
      </c>
      <c r="U2454" s="8">
        <v>0</v>
      </c>
      <c r="X2454" s="8">
        <v>0</v>
      </c>
      <c r="Z2454" s="8">
        <v>0</v>
      </c>
      <c r="AC2454" s="8">
        <v>0</v>
      </c>
      <c r="AF2454" s="8">
        <v>0</v>
      </c>
      <c r="AN2454" s="8">
        <v>12</v>
      </c>
      <c r="AO2454" s="8">
        <v>0</v>
      </c>
    </row>
    <row r="2455" spans="1:41" x14ac:dyDescent="0.25">
      <c r="A2455" s="6" t="str">
        <f t="shared" si="572"/>
        <v>522-2026000261</v>
      </c>
      <c r="B2455" s="6" t="str">
        <f t="shared" si="567"/>
        <v>EL CORTE</v>
      </c>
      <c r="C2455" s="7">
        <v>46037</v>
      </c>
      <c r="D2455" s="7">
        <v>46042</v>
      </c>
      <c r="E2455" s="8">
        <v>5</v>
      </c>
      <c r="F2455" s="6" t="str">
        <f t="shared" si="573"/>
        <v>94828301_07026</v>
      </c>
      <c r="G2455" s="6" t="str">
        <f t="shared" si="568"/>
        <v>F310631650000000</v>
      </c>
      <c r="H2455" s="6" t="str">
        <f t="shared" si="569"/>
        <v>PLAR 6316 FD - 500 g</v>
      </c>
      <c r="I2455" s="6" t="str">
        <f>"202575"</f>
        <v>202575</v>
      </c>
      <c r="J2455" s="6" t="str">
        <f>"BEGE 2575"</f>
        <v>BEGE 2575</v>
      </c>
      <c r="K2455" s="6" t="str">
        <f>"2020"</f>
        <v>2020</v>
      </c>
      <c r="L2455" s="6" t="str">
        <f>"Lençóis"</f>
        <v>Lençóis</v>
      </c>
      <c r="M2455" s="6" t="str">
        <f>"100x150"</f>
        <v>100x150</v>
      </c>
      <c r="N2455" s="6" t="str">
        <f>"5602972281095"</f>
        <v>5602972281095</v>
      </c>
      <c r="O2455" s="8">
        <v>12</v>
      </c>
      <c r="R2455" s="8">
        <v>0</v>
      </c>
      <c r="U2455" s="8">
        <v>0</v>
      </c>
      <c r="X2455" s="8">
        <v>0</v>
      </c>
      <c r="Z2455" s="8">
        <v>0</v>
      </c>
      <c r="AC2455" s="8">
        <v>0</v>
      </c>
      <c r="AF2455" s="8">
        <v>0</v>
      </c>
      <c r="AN2455" s="8">
        <v>0</v>
      </c>
      <c r="AO2455" s="8">
        <v>12</v>
      </c>
    </row>
    <row r="2456" spans="1:41" x14ac:dyDescent="0.25">
      <c r="A2456" s="6" t="str">
        <f t="shared" si="572"/>
        <v>522-2026000261</v>
      </c>
      <c r="B2456" s="6" t="str">
        <f t="shared" si="567"/>
        <v>EL CORTE</v>
      </c>
      <c r="C2456" s="7">
        <v>46037</v>
      </c>
      <c r="D2456" s="7">
        <v>46042</v>
      </c>
      <c r="E2456" s="8">
        <v>6</v>
      </c>
      <c r="F2456" s="6" t="str">
        <f t="shared" si="573"/>
        <v>94828301_07026</v>
      </c>
      <c r="G2456" s="6" t="str">
        <f t="shared" si="568"/>
        <v>F310631650000000</v>
      </c>
      <c r="H2456" s="6" t="str">
        <f t="shared" si="569"/>
        <v>PLAR 6316 FD - 500 g</v>
      </c>
      <c r="I2456" s="6" t="str">
        <f>"200901"</f>
        <v>200901</v>
      </c>
      <c r="J2456" s="6" t="str">
        <f>"ROSA 901"</f>
        <v>ROSA 901</v>
      </c>
      <c r="K2456" s="6" t="str">
        <f>"1024"</f>
        <v>1024</v>
      </c>
      <c r="L2456" s="6" t="str">
        <f>"Toalhas"</f>
        <v>Toalhas</v>
      </c>
      <c r="M2456" s="6" t="str">
        <f>"50x100"</f>
        <v>50x100</v>
      </c>
      <c r="N2456" s="6" t="str">
        <f>"5602972281118"</f>
        <v>5602972281118</v>
      </c>
      <c r="O2456" s="8">
        <v>6</v>
      </c>
      <c r="R2456" s="8">
        <v>0</v>
      </c>
      <c r="U2456" s="8">
        <v>0</v>
      </c>
      <c r="X2456" s="8">
        <v>0</v>
      </c>
      <c r="Z2456" s="8">
        <v>0</v>
      </c>
      <c r="AC2456" s="8">
        <v>0</v>
      </c>
      <c r="AF2456" s="8">
        <v>0</v>
      </c>
      <c r="AN2456" s="8">
        <v>6</v>
      </c>
      <c r="AO2456" s="8">
        <v>0</v>
      </c>
    </row>
    <row r="2457" spans="1:41" x14ac:dyDescent="0.25">
      <c r="A2457" s="6" t="str">
        <f t="shared" si="572"/>
        <v>522-2026000261</v>
      </c>
      <c r="B2457" s="6" t="str">
        <f t="shared" si="567"/>
        <v>EL CORTE</v>
      </c>
      <c r="C2457" s="7">
        <v>46037</v>
      </c>
      <c r="D2457" s="7">
        <v>46042</v>
      </c>
      <c r="E2457" s="8">
        <v>7</v>
      </c>
      <c r="F2457" s="6" t="str">
        <f t="shared" si="573"/>
        <v>94828301_07026</v>
      </c>
      <c r="G2457" s="6" t="str">
        <f t="shared" si="568"/>
        <v>F310631650000000</v>
      </c>
      <c r="H2457" s="6" t="str">
        <f t="shared" si="569"/>
        <v>PLAR 6316 FD - 500 g</v>
      </c>
      <c r="I2457" s="6" t="str">
        <f>"200510"</f>
        <v>200510</v>
      </c>
      <c r="J2457" s="6" t="str">
        <f>"VERDE 510"</f>
        <v>VERDE 510</v>
      </c>
      <c r="K2457" s="6" t="str">
        <f>"1024"</f>
        <v>1024</v>
      </c>
      <c r="L2457" s="6" t="str">
        <f>"Toalhas"</f>
        <v>Toalhas</v>
      </c>
      <c r="M2457" s="6" t="str">
        <f>"50x100"</f>
        <v>50x100</v>
      </c>
      <c r="N2457" s="6" t="str">
        <f>"5602972281149"</f>
        <v>5602972281149</v>
      </c>
      <c r="O2457" s="8">
        <v>6</v>
      </c>
      <c r="R2457" s="8">
        <v>0</v>
      </c>
      <c r="U2457" s="8">
        <v>0</v>
      </c>
      <c r="X2457" s="8">
        <v>0</v>
      </c>
      <c r="Z2457" s="8">
        <v>0</v>
      </c>
      <c r="AC2457" s="8">
        <v>0</v>
      </c>
      <c r="AF2457" s="8">
        <v>0</v>
      </c>
      <c r="AN2457" s="8">
        <v>6</v>
      </c>
      <c r="AO2457" s="8">
        <v>0</v>
      </c>
    </row>
    <row r="2458" spans="1:41" x14ac:dyDescent="0.25">
      <c r="A2458" s="6" t="str">
        <f t="shared" si="572"/>
        <v>522-2026000261</v>
      </c>
      <c r="B2458" s="6" t="str">
        <f t="shared" si="567"/>
        <v>EL CORTE</v>
      </c>
      <c r="C2458" s="7">
        <v>46037</v>
      </c>
      <c r="D2458" s="7">
        <v>46042</v>
      </c>
      <c r="E2458" s="8">
        <v>8</v>
      </c>
      <c r="F2458" s="6" t="str">
        <f t="shared" si="573"/>
        <v>94828301_07026</v>
      </c>
      <c r="G2458" s="6" t="str">
        <f t="shared" si="568"/>
        <v>F310631650000000</v>
      </c>
      <c r="H2458" s="6" t="str">
        <f t="shared" si="569"/>
        <v>PLAR 6316 FD - 500 g</v>
      </c>
      <c r="I2458" s="6" t="str">
        <f>"200510"</f>
        <v>200510</v>
      </c>
      <c r="J2458" s="6" t="str">
        <f>"VERDE 510"</f>
        <v>VERDE 510</v>
      </c>
      <c r="K2458" s="6" t="str">
        <f>"2020"</f>
        <v>2020</v>
      </c>
      <c r="L2458" s="6" t="str">
        <f>"Lençóis"</f>
        <v>Lençóis</v>
      </c>
      <c r="M2458" s="6" t="str">
        <f>"100x150"</f>
        <v>100x150</v>
      </c>
      <c r="N2458" s="6" t="str">
        <f>"5602972281156"</f>
        <v>5602972281156</v>
      </c>
      <c r="O2458" s="8">
        <v>6</v>
      </c>
      <c r="R2458" s="8">
        <v>0</v>
      </c>
      <c r="U2458" s="8">
        <v>0</v>
      </c>
      <c r="X2458" s="8">
        <v>0</v>
      </c>
      <c r="Z2458" s="8">
        <v>0</v>
      </c>
      <c r="AC2458" s="8">
        <v>0</v>
      </c>
      <c r="AF2458" s="8">
        <v>0</v>
      </c>
      <c r="AN2458" s="8">
        <v>0</v>
      </c>
      <c r="AO2458" s="8">
        <v>6</v>
      </c>
    </row>
    <row r="2459" spans="1:41" x14ac:dyDescent="0.25">
      <c r="A2459" s="6" t="str">
        <f t="shared" ref="A2459:A2466" si="574">"522-2026000262"</f>
        <v>522-2026000262</v>
      </c>
      <c r="B2459" s="6" t="str">
        <f t="shared" si="567"/>
        <v>EL CORTE</v>
      </c>
      <c r="C2459" s="7">
        <v>46037</v>
      </c>
      <c r="D2459" s="7">
        <v>46042</v>
      </c>
      <c r="E2459" s="8">
        <v>1</v>
      </c>
      <c r="F2459" s="6" t="str">
        <f t="shared" ref="F2459:F2466" si="575">"94831801_07026"</f>
        <v>94831801_07026</v>
      </c>
      <c r="G2459" s="6" t="str">
        <f t="shared" si="568"/>
        <v>F310631650000000</v>
      </c>
      <c r="H2459" s="6" t="str">
        <f t="shared" si="569"/>
        <v>PLAR 6316 FD - 500 g</v>
      </c>
      <c r="I2459" s="6" t="str">
        <f>"201855"</f>
        <v>201855</v>
      </c>
      <c r="J2459" s="6" t="str">
        <f>"AZUL 1855"</f>
        <v>AZUL 1855</v>
      </c>
      <c r="K2459" s="6" t="str">
        <f>"1024"</f>
        <v>1024</v>
      </c>
      <c r="L2459" s="6" t="str">
        <f>"Toalhas"</f>
        <v>Toalhas</v>
      </c>
      <c r="M2459" s="6" t="str">
        <f>"50x100"</f>
        <v>50x100</v>
      </c>
      <c r="N2459" s="6" t="str">
        <f>"5602972281057"</f>
        <v>5602972281057</v>
      </c>
      <c r="O2459" s="8">
        <v>6</v>
      </c>
      <c r="R2459" s="8">
        <v>0</v>
      </c>
      <c r="U2459" s="8">
        <v>0</v>
      </c>
      <c r="X2459" s="8">
        <v>0</v>
      </c>
      <c r="Z2459" s="8">
        <v>0</v>
      </c>
      <c r="AC2459" s="8">
        <v>0</v>
      </c>
      <c r="AF2459" s="8">
        <v>0</v>
      </c>
      <c r="AN2459" s="8">
        <v>6</v>
      </c>
      <c r="AO2459" s="8">
        <v>0</v>
      </c>
    </row>
    <row r="2460" spans="1:41" x14ac:dyDescent="0.25">
      <c r="A2460" s="6" t="str">
        <f t="shared" si="574"/>
        <v>522-2026000262</v>
      </c>
      <c r="B2460" s="6" t="str">
        <f t="shared" si="567"/>
        <v>EL CORTE</v>
      </c>
      <c r="C2460" s="7">
        <v>46037</v>
      </c>
      <c r="D2460" s="7">
        <v>46042</v>
      </c>
      <c r="E2460" s="8">
        <v>2</v>
      </c>
      <c r="F2460" s="6" t="str">
        <f t="shared" si="575"/>
        <v>94831801_07026</v>
      </c>
      <c r="G2460" s="6" t="str">
        <f t="shared" si="568"/>
        <v>F310631650000000</v>
      </c>
      <c r="H2460" s="6" t="str">
        <f t="shared" si="569"/>
        <v>PLAR 6316 FD - 500 g</v>
      </c>
      <c r="I2460" s="6" t="str">
        <f>"202575"</f>
        <v>202575</v>
      </c>
      <c r="J2460" s="6" t="str">
        <f>"BEGE 2575"</f>
        <v>BEGE 2575</v>
      </c>
      <c r="K2460" s="6" t="str">
        <f>"0520"</f>
        <v>0520</v>
      </c>
      <c r="L2460" s="6" t="str">
        <f>"Toalhetes"</f>
        <v>Toalhetes</v>
      </c>
      <c r="M2460" s="6" t="str">
        <f>"30x50"</f>
        <v>30x50</v>
      </c>
      <c r="N2460" s="6" t="str">
        <f>"5602972281071"</f>
        <v>5602972281071</v>
      </c>
      <c r="O2460" s="8">
        <v>12</v>
      </c>
      <c r="R2460" s="8">
        <v>0</v>
      </c>
      <c r="U2460" s="8">
        <v>0</v>
      </c>
      <c r="X2460" s="8">
        <v>0</v>
      </c>
      <c r="Z2460" s="8">
        <v>0</v>
      </c>
      <c r="AC2460" s="8">
        <v>0</v>
      </c>
      <c r="AF2460" s="8">
        <v>0</v>
      </c>
      <c r="AN2460" s="8">
        <v>12</v>
      </c>
      <c r="AO2460" s="8">
        <v>0</v>
      </c>
    </row>
    <row r="2461" spans="1:41" x14ac:dyDescent="0.25">
      <c r="A2461" s="6" t="str">
        <f t="shared" si="574"/>
        <v>522-2026000262</v>
      </c>
      <c r="B2461" s="6" t="str">
        <f t="shared" si="567"/>
        <v>EL CORTE</v>
      </c>
      <c r="C2461" s="7">
        <v>46037</v>
      </c>
      <c r="D2461" s="7">
        <v>46042</v>
      </c>
      <c r="E2461" s="8">
        <v>3</v>
      </c>
      <c r="F2461" s="6" t="str">
        <f t="shared" si="575"/>
        <v>94831801_07026</v>
      </c>
      <c r="G2461" s="6" t="str">
        <f t="shared" si="568"/>
        <v>F310631650000000</v>
      </c>
      <c r="H2461" s="6" t="str">
        <f t="shared" si="569"/>
        <v>PLAR 6316 FD - 500 g</v>
      </c>
      <c r="I2461" s="6" t="str">
        <f>"202575"</f>
        <v>202575</v>
      </c>
      <c r="J2461" s="6" t="str">
        <f>"BEGE 2575"</f>
        <v>BEGE 2575</v>
      </c>
      <c r="K2461" s="6" t="str">
        <f>"1024"</f>
        <v>1024</v>
      </c>
      <c r="L2461" s="6" t="str">
        <f>"Toalhas"</f>
        <v>Toalhas</v>
      </c>
      <c r="M2461" s="6" t="str">
        <f>"50x100"</f>
        <v>50x100</v>
      </c>
      <c r="N2461" s="6" t="str">
        <f>"5602972281088"</f>
        <v>5602972281088</v>
      </c>
      <c r="O2461" s="8">
        <v>6</v>
      </c>
      <c r="R2461" s="8">
        <v>0</v>
      </c>
      <c r="U2461" s="8">
        <v>0</v>
      </c>
      <c r="X2461" s="8">
        <v>0</v>
      </c>
      <c r="Z2461" s="8">
        <v>0</v>
      </c>
      <c r="AC2461" s="8">
        <v>0</v>
      </c>
      <c r="AF2461" s="8">
        <v>0</v>
      </c>
      <c r="AN2461" s="8">
        <v>6</v>
      </c>
      <c r="AO2461" s="8">
        <v>0</v>
      </c>
    </row>
    <row r="2462" spans="1:41" x14ac:dyDescent="0.25">
      <c r="A2462" s="6" t="str">
        <f t="shared" si="574"/>
        <v>522-2026000262</v>
      </c>
      <c r="B2462" s="6" t="str">
        <f t="shared" si="567"/>
        <v>EL CORTE</v>
      </c>
      <c r="C2462" s="7">
        <v>46037</v>
      </c>
      <c r="D2462" s="7">
        <v>46042</v>
      </c>
      <c r="E2462" s="8">
        <v>4</v>
      </c>
      <c r="F2462" s="6" t="str">
        <f t="shared" si="575"/>
        <v>94831801_07026</v>
      </c>
      <c r="G2462" s="6" t="str">
        <f t="shared" si="568"/>
        <v>F310631650000000</v>
      </c>
      <c r="H2462" s="6" t="str">
        <f t="shared" si="569"/>
        <v>PLAR 6316 FD - 500 g</v>
      </c>
      <c r="I2462" s="6" t="str">
        <f>"202575"</f>
        <v>202575</v>
      </c>
      <c r="J2462" s="6" t="str">
        <f>"BEGE 2575"</f>
        <v>BEGE 2575</v>
      </c>
      <c r="K2462" s="6" t="str">
        <f>"2020"</f>
        <v>2020</v>
      </c>
      <c r="L2462" s="6" t="str">
        <f>"Lençóis"</f>
        <v>Lençóis</v>
      </c>
      <c r="M2462" s="6" t="str">
        <f>"100x150"</f>
        <v>100x150</v>
      </c>
      <c r="N2462" s="6" t="str">
        <f>"5602972281095"</f>
        <v>5602972281095</v>
      </c>
      <c r="O2462" s="8">
        <v>6</v>
      </c>
      <c r="R2462" s="8">
        <v>0</v>
      </c>
      <c r="U2462" s="8">
        <v>0</v>
      </c>
      <c r="X2462" s="8">
        <v>0</v>
      </c>
      <c r="Z2462" s="8">
        <v>0</v>
      </c>
      <c r="AC2462" s="8">
        <v>0</v>
      </c>
      <c r="AF2462" s="8">
        <v>0</v>
      </c>
      <c r="AN2462" s="8">
        <v>0</v>
      </c>
      <c r="AO2462" s="8">
        <v>6</v>
      </c>
    </row>
    <row r="2463" spans="1:41" x14ac:dyDescent="0.25">
      <c r="A2463" s="6" t="str">
        <f t="shared" si="574"/>
        <v>522-2026000262</v>
      </c>
      <c r="B2463" s="6" t="str">
        <f t="shared" si="567"/>
        <v>EL CORTE</v>
      </c>
      <c r="C2463" s="7">
        <v>46037</v>
      </c>
      <c r="D2463" s="7">
        <v>46042</v>
      </c>
      <c r="E2463" s="8">
        <v>5</v>
      </c>
      <c r="F2463" s="6" t="str">
        <f t="shared" si="575"/>
        <v>94831801_07026</v>
      </c>
      <c r="G2463" s="6" t="str">
        <f t="shared" si="568"/>
        <v>F310631650000000</v>
      </c>
      <c r="H2463" s="6" t="str">
        <f t="shared" si="569"/>
        <v>PLAR 6316 FD - 500 g</v>
      </c>
      <c r="I2463" s="6" t="str">
        <f>"200901"</f>
        <v>200901</v>
      </c>
      <c r="J2463" s="6" t="str">
        <f>"ROSA 901"</f>
        <v>ROSA 901</v>
      </c>
      <c r="K2463" s="6" t="str">
        <f>"0520"</f>
        <v>0520</v>
      </c>
      <c r="L2463" s="6" t="str">
        <f>"Toalhetes"</f>
        <v>Toalhetes</v>
      </c>
      <c r="M2463" s="6" t="str">
        <f>"30x50"</f>
        <v>30x50</v>
      </c>
      <c r="N2463" s="6" t="str">
        <f>"5602972281101"</f>
        <v>5602972281101</v>
      </c>
      <c r="O2463" s="8">
        <v>6</v>
      </c>
      <c r="R2463" s="8">
        <v>0</v>
      </c>
      <c r="U2463" s="8">
        <v>0</v>
      </c>
      <c r="X2463" s="8">
        <v>0</v>
      </c>
      <c r="Z2463" s="8">
        <v>0</v>
      </c>
      <c r="AC2463" s="8">
        <v>0</v>
      </c>
      <c r="AF2463" s="8">
        <v>0</v>
      </c>
      <c r="AN2463" s="8">
        <v>0</v>
      </c>
      <c r="AO2463" s="8">
        <v>6</v>
      </c>
    </row>
    <row r="2464" spans="1:41" x14ac:dyDescent="0.25">
      <c r="A2464" s="6" t="str">
        <f t="shared" si="574"/>
        <v>522-2026000262</v>
      </c>
      <c r="B2464" s="6" t="str">
        <f t="shared" si="567"/>
        <v>EL CORTE</v>
      </c>
      <c r="C2464" s="7">
        <v>46037</v>
      </c>
      <c r="D2464" s="7">
        <v>46042</v>
      </c>
      <c r="E2464" s="8">
        <v>6</v>
      </c>
      <c r="F2464" s="6" t="str">
        <f t="shared" si="575"/>
        <v>94831801_07026</v>
      </c>
      <c r="G2464" s="6" t="str">
        <f t="shared" si="568"/>
        <v>F310631650000000</v>
      </c>
      <c r="H2464" s="6" t="str">
        <f t="shared" si="569"/>
        <v>PLAR 6316 FD - 500 g</v>
      </c>
      <c r="I2464" s="6" t="str">
        <f>"200901"</f>
        <v>200901</v>
      </c>
      <c r="J2464" s="6" t="str">
        <f>"ROSA 901"</f>
        <v>ROSA 901</v>
      </c>
      <c r="K2464" s="6" t="str">
        <f>"2020"</f>
        <v>2020</v>
      </c>
      <c r="L2464" s="6" t="str">
        <f>"Lençóis"</f>
        <v>Lençóis</v>
      </c>
      <c r="M2464" s="6" t="str">
        <f>"100x150"</f>
        <v>100x150</v>
      </c>
      <c r="N2464" s="6" t="str">
        <f>"5602972281125"</f>
        <v>5602972281125</v>
      </c>
      <c r="O2464" s="8">
        <v>6</v>
      </c>
      <c r="R2464" s="8">
        <v>0</v>
      </c>
      <c r="U2464" s="8">
        <v>0</v>
      </c>
      <c r="X2464" s="8">
        <v>0</v>
      </c>
      <c r="Z2464" s="8">
        <v>0</v>
      </c>
      <c r="AC2464" s="8">
        <v>0</v>
      </c>
      <c r="AF2464" s="8">
        <v>0</v>
      </c>
      <c r="AN2464" s="8">
        <v>0</v>
      </c>
      <c r="AO2464" s="8">
        <v>6</v>
      </c>
    </row>
    <row r="2465" spans="1:41" x14ac:dyDescent="0.25">
      <c r="A2465" s="6" t="str">
        <f t="shared" si="574"/>
        <v>522-2026000262</v>
      </c>
      <c r="B2465" s="6" t="str">
        <f t="shared" si="567"/>
        <v>EL CORTE</v>
      </c>
      <c r="C2465" s="7">
        <v>46037</v>
      </c>
      <c r="D2465" s="7">
        <v>46042</v>
      </c>
      <c r="E2465" s="8">
        <v>7</v>
      </c>
      <c r="F2465" s="6" t="str">
        <f t="shared" si="575"/>
        <v>94831801_07026</v>
      </c>
      <c r="G2465" s="6" t="str">
        <f t="shared" si="568"/>
        <v>F310631650000000</v>
      </c>
      <c r="H2465" s="6" t="str">
        <f t="shared" si="569"/>
        <v>PLAR 6316 FD - 500 g</v>
      </c>
      <c r="I2465" s="6" t="str">
        <f>"200510"</f>
        <v>200510</v>
      </c>
      <c r="J2465" s="6" t="str">
        <f>"VERDE 510"</f>
        <v>VERDE 510</v>
      </c>
      <c r="K2465" s="6" t="str">
        <f>"0520"</f>
        <v>0520</v>
      </c>
      <c r="L2465" s="6" t="str">
        <f>"Toalhetes"</f>
        <v>Toalhetes</v>
      </c>
      <c r="M2465" s="6" t="str">
        <f>"30x50"</f>
        <v>30x50</v>
      </c>
      <c r="N2465" s="6" t="str">
        <f>"5602972281132"</f>
        <v>5602972281132</v>
      </c>
      <c r="O2465" s="8">
        <v>6</v>
      </c>
      <c r="R2465" s="8">
        <v>0</v>
      </c>
      <c r="U2465" s="8">
        <v>0</v>
      </c>
      <c r="X2465" s="8">
        <v>0</v>
      </c>
      <c r="Z2465" s="8">
        <v>0</v>
      </c>
      <c r="AC2465" s="8">
        <v>0</v>
      </c>
      <c r="AF2465" s="8">
        <v>0</v>
      </c>
      <c r="AN2465" s="8">
        <v>6</v>
      </c>
      <c r="AO2465" s="8">
        <v>0</v>
      </c>
    </row>
    <row r="2466" spans="1:41" x14ac:dyDescent="0.25">
      <c r="A2466" s="6" t="str">
        <f t="shared" si="574"/>
        <v>522-2026000262</v>
      </c>
      <c r="B2466" s="6" t="str">
        <f t="shared" si="567"/>
        <v>EL CORTE</v>
      </c>
      <c r="C2466" s="7">
        <v>46037</v>
      </c>
      <c r="D2466" s="7">
        <v>46042</v>
      </c>
      <c r="E2466" s="8">
        <v>8</v>
      </c>
      <c r="F2466" s="6" t="str">
        <f t="shared" si="575"/>
        <v>94831801_07026</v>
      </c>
      <c r="G2466" s="6" t="str">
        <f t="shared" si="568"/>
        <v>F310631650000000</v>
      </c>
      <c r="H2466" s="6" t="str">
        <f t="shared" si="569"/>
        <v>PLAR 6316 FD - 500 g</v>
      </c>
      <c r="I2466" s="6" t="str">
        <f>"200510"</f>
        <v>200510</v>
      </c>
      <c r="J2466" s="6" t="str">
        <f>"VERDE 510"</f>
        <v>VERDE 510</v>
      </c>
      <c r="K2466" s="6" t="str">
        <f>"2020"</f>
        <v>2020</v>
      </c>
      <c r="L2466" s="6" t="str">
        <f>"Lençóis"</f>
        <v>Lençóis</v>
      </c>
      <c r="M2466" s="6" t="str">
        <f>"100x150"</f>
        <v>100x150</v>
      </c>
      <c r="N2466" s="6" t="str">
        <f>"5602972281156"</f>
        <v>5602972281156</v>
      </c>
      <c r="O2466" s="8">
        <v>6</v>
      </c>
      <c r="R2466" s="8">
        <v>0</v>
      </c>
      <c r="U2466" s="8">
        <v>0</v>
      </c>
      <c r="X2466" s="8">
        <v>0</v>
      </c>
      <c r="Z2466" s="8">
        <v>0</v>
      </c>
      <c r="AC2466" s="8">
        <v>0</v>
      </c>
      <c r="AF2466" s="8">
        <v>0</v>
      </c>
      <c r="AN2466" s="8">
        <v>0</v>
      </c>
      <c r="AO2466" s="8">
        <v>6</v>
      </c>
    </row>
    <row r="2467" spans="1:41" x14ac:dyDescent="0.25">
      <c r="A2467" s="6" t="str">
        <f t="shared" ref="A2467:A2473" si="576">"522-2026000263"</f>
        <v>522-2026000263</v>
      </c>
      <c r="B2467" s="6" t="str">
        <f t="shared" si="567"/>
        <v>EL CORTE</v>
      </c>
      <c r="C2467" s="7">
        <v>46037</v>
      </c>
      <c r="D2467" s="7">
        <v>46042</v>
      </c>
      <c r="E2467" s="8">
        <v>1</v>
      </c>
      <c r="F2467" s="6" t="str">
        <f t="shared" ref="F2467:F2473" si="577">"94826501_07026"</f>
        <v>94826501_07026</v>
      </c>
      <c r="G2467" s="6" t="str">
        <f t="shared" si="568"/>
        <v>F310631650000000</v>
      </c>
      <c r="H2467" s="6" t="str">
        <f t="shared" si="569"/>
        <v>PLAR 6316 FD - 500 g</v>
      </c>
      <c r="I2467" s="6" t="str">
        <f>"201855"</f>
        <v>201855</v>
      </c>
      <c r="J2467" s="6" t="str">
        <f>"AZUL 1855"</f>
        <v>AZUL 1855</v>
      </c>
      <c r="K2467" s="6" t="str">
        <f>"1024"</f>
        <v>1024</v>
      </c>
      <c r="L2467" s="6" t="str">
        <f>"Toalhas"</f>
        <v>Toalhas</v>
      </c>
      <c r="M2467" s="6" t="str">
        <f>"50x100"</f>
        <v>50x100</v>
      </c>
      <c r="N2467" s="6" t="str">
        <f>"5602972281057"</f>
        <v>5602972281057</v>
      </c>
      <c r="O2467" s="8">
        <v>6</v>
      </c>
      <c r="R2467" s="8">
        <v>0</v>
      </c>
      <c r="U2467" s="8">
        <v>0</v>
      </c>
      <c r="X2467" s="8">
        <v>0</v>
      </c>
      <c r="Z2467" s="8">
        <v>0</v>
      </c>
      <c r="AC2467" s="8">
        <v>0</v>
      </c>
      <c r="AF2467" s="8">
        <v>0</v>
      </c>
      <c r="AN2467" s="8">
        <v>6</v>
      </c>
      <c r="AO2467" s="8">
        <v>0</v>
      </c>
    </row>
    <row r="2468" spans="1:41" x14ac:dyDescent="0.25">
      <c r="A2468" s="6" t="str">
        <f t="shared" si="576"/>
        <v>522-2026000263</v>
      </c>
      <c r="B2468" s="6" t="str">
        <f t="shared" si="567"/>
        <v>EL CORTE</v>
      </c>
      <c r="C2468" s="7">
        <v>46037</v>
      </c>
      <c r="D2468" s="7">
        <v>46042</v>
      </c>
      <c r="E2468" s="8">
        <v>2</v>
      </c>
      <c r="F2468" s="6" t="str">
        <f t="shared" si="577"/>
        <v>94826501_07026</v>
      </c>
      <c r="G2468" s="6" t="str">
        <f t="shared" si="568"/>
        <v>F310631650000000</v>
      </c>
      <c r="H2468" s="6" t="str">
        <f t="shared" si="569"/>
        <v>PLAR 6316 FD - 500 g</v>
      </c>
      <c r="I2468" s="6" t="str">
        <f>"202575"</f>
        <v>202575</v>
      </c>
      <c r="J2468" s="6" t="str">
        <f>"BEGE 2575"</f>
        <v>BEGE 2575</v>
      </c>
      <c r="K2468" s="6" t="str">
        <f>"0520"</f>
        <v>0520</v>
      </c>
      <c r="L2468" s="6" t="str">
        <f>"Toalhetes"</f>
        <v>Toalhetes</v>
      </c>
      <c r="M2468" s="6" t="str">
        <f>"30x50"</f>
        <v>30x50</v>
      </c>
      <c r="N2468" s="6" t="str">
        <f>"5602972281071"</f>
        <v>5602972281071</v>
      </c>
      <c r="O2468" s="8">
        <v>6</v>
      </c>
      <c r="R2468" s="8">
        <v>0</v>
      </c>
      <c r="U2468" s="8">
        <v>0</v>
      </c>
      <c r="X2468" s="8">
        <v>0</v>
      </c>
      <c r="Z2468" s="8">
        <v>0</v>
      </c>
      <c r="AC2468" s="8">
        <v>0</v>
      </c>
      <c r="AF2468" s="8">
        <v>0</v>
      </c>
      <c r="AN2468" s="8">
        <v>6</v>
      </c>
      <c r="AO2468" s="8">
        <v>0</v>
      </c>
    </row>
    <row r="2469" spans="1:41" x14ac:dyDescent="0.25">
      <c r="A2469" s="6" t="str">
        <f t="shared" si="576"/>
        <v>522-2026000263</v>
      </c>
      <c r="B2469" s="6" t="str">
        <f t="shared" si="567"/>
        <v>EL CORTE</v>
      </c>
      <c r="C2469" s="7">
        <v>46037</v>
      </c>
      <c r="D2469" s="7">
        <v>46042</v>
      </c>
      <c r="E2469" s="8">
        <v>3</v>
      </c>
      <c r="F2469" s="6" t="str">
        <f t="shared" si="577"/>
        <v>94826501_07026</v>
      </c>
      <c r="G2469" s="6" t="str">
        <f t="shared" si="568"/>
        <v>F310631650000000</v>
      </c>
      <c r="H2469" s="6" t="str">
        <f t="shared" si="569"/>
        <v>PLAR 6316 FD - 500 g</v>
      </c>
      <c r="I2469" s="6" t="str">
        <f>"202575"</f>
        <v>202575</v>
      </c>
      <c r="J2469" s="6" t="str">
        <f>"BEGE 2575"</f>
        <v>BEGE 2575</v>
      </c>
      <c r="K2469" s="6" t="str">
        <f>"2020"</f>
        <v>2020</v>
      </c>
      <c r="L2469" s="6" t="str">
        <f>"Lençóis"</f>
        <v>Lençóis</v>
      </c>
      <c r="M2469" s="6" t="str">
        <f>"100x150"</f>
        <v>100x150</v>
      </c>
      <c r="N2469" s="6" t="str">
        <f>"5602972281095"</f>
        <v>5602972281095</v>
      </c>
      <c r="O2469" s="8">
        <v>6</v>
      </c>
      <c r="R2469" s="8">
        <v>0</v>
      </c>
      <c r="U2469" s="8">
        <v>0</v>
      </c>
      <c r="X2469" s="8">
        <v>0</v>
      </c>
      <c r="Z2469" s="8">
        <v>0</v>
      </c>
      <c r="AC2469" s="8">
        <v>0</v>
      </c>
      <c r="AF2469" s="8">
        <v>0</v>
      </c>
      <c r="AN2469" s="8">
        <v>6</v>
      </c>
      <c r="AO2469" s="8">
        <v>0</v>
      </c>
    </row>
    <row r="2470" spans="1:41" x14ac:dyDescent="0.25">
      <c r="A2470" s="6" t="str">
        <f t="shared" si="576"/>
        <v>522-2026000263</v>
      </c>
      <c r="B2470" s="6" t="str">
        <f t="shared" si="567"/>
        <v>EL CORTE</v>
      </c>
      <c r="C2470" s="7">
        <v>46037</v>
      </c>
      <c r="D2470" s="7">
        <v>46042</v>
      </c>
      <c r="E2470" s="8">
        <v>4</v>
      </c>
      <c r="F2470" s="6" t="str">
        <f t="shared" si="577"/>
        <v>94826501_07026</v>
      </c>
      <c r="G2470" s="6" t="str">
        <f t="shared" si="568"/>
        <v>F310631650000000</v>
      </c>
      <c r="H2470" s="6" t="str">
        <f t="shared" si="569"/>
        <v>PLAR 6316 FD - 500 g</v>
      </c>
      <c r="I2470" s="6" t="str">
        <f>"200901"</f>
        <v>200901</v>
      </c>
      <c r="J2470" s="6" t="str">
        <f>"ROSA 901"</f>
        <v>ROSA 901</v>
      </c>
      <c r="K2470" s="6" t="str">
        <f>"1024"</f>
        <v>1024</v>
      </c>
      <c r="L2470" s="6" t="str">
        <f>"Toalhas"</f>
        <v>Toalhas</v>
      </c>
      <c r="M2470" s="6" t="str">
        <f>"50x100"</f>
        <v>50x100</v>
      </c>
      <c r="N2470" s="6" t="str">
        <f>"5602972281118"</f>
        <v>5602972281118</v>
      </c>
      <c r="O2470" s="8">
        <v>6</v>
      </c>
      <c r="R2470" s="8">
        <v>0</v>
      </c>
      <c r="U2470" s="8">
        <v>0</v>
      </c>
      <c r="X2470" s="8">
        <v>0</v>
      </c>
      <c r="Z2470" s="8">
        <v>0</v>
      </c>
      <c r="AC2470" s="8">
        <v>0</v>
      </c>
      <c r="AF2470" s="8">
        <v>0</v>
      </c>
      <c r="AN2470" s="8">
        <v>6</v>
      </c>
      <c r="AO2470" s="8">
        <v>0</v>
      </c>
    </row>
    <row r="2471" spans="1:41" x14ac:dyDescent="0.25">
      <c r="A2471" s="6" t="str">
        <f t="shared" si="576"/>
        <v>522-2026000263</v>
      </c>
      <c r="B2471" s="6" t="str">
        <f t="shared" si="567"/>
        <v>EL CORTE</v>
      </c>
      <c r="C2471" s="7">
        <v>46037</v>
      </c>
      <c r="D2471" s="7">
        <v>46042</v>
      </c>
      <c r="E2471" s="8">
        <v>5</v>
      </c>
      <c r="F2471" s="6" t="str">
        <f t="shared" si="577"/>
        <v>94826501_07026</v>
      </c>
      <c r="G2471" s="6" t="str">
        <f t="shared" si="568"/>
        <v>F310631650000000</v>
      </c>
      <c r="H2471" s="6" t="str">
        <f t="shared" si="569"/>
        <v>PLAR 6316 FD - 500 g</v>
      </c>
      <c r="I2471" s="6" t="str">
        <f>"200510"</f>
        <v>200510</v>
      </c>
      <c r="J2471" s="6" t="str">
        <f>"VERDE 510"</f>
        <v>VERDE 510</v>
      </c>
      <c r="K2471" s="6" t="str">
        <f>"0520"</f>
        <v>0520</v>
      </c>
      <c r="L2471" s="6" t="str">
        <f>"Toalhetes"</f>
        <v>Toalhetes</v>
      </c>
      <c r="M2471" s="6" t="str">
        <f>"30x50"</f>
        <v>30x50</v>
      </c>
      <c r="N2471" s="6" t="str">
        <f>"5602972281132"</f>
        <v>5602972281132</v>
      </c>
      <c r="O2471" s="8">
        <v>6</v>
      </c>
      <c r="R2471" s="8">
        <v>0</v>
      </c>
      <c r="U2471" s="8">
        <v>0</v>
      </c>
      <c r="X2471" s="8">
        <v>0</v>
      </c>
      <c r="Z2471" s="8">
        <v>0</v>
      </c>
      <c r="AC2471" s="8">
        <v>0</v>
      </c>
      <c r="AF2471" s="8">
        <v>0</v>
      </c>
      <c r="AN2471" s="8">
        <v>6</v>
      </c>
      <c r="AO2471" s="8">
        <v>0</v>
      </c>
    </row>
    <row r="2472" spans="1:41" x14ac:dyDescent="0.25">
      <c r="A2472" s="6" t="str">
        <f t="shared" si="576"/>
        <v>522-2026000263</v>
      </c>
      <c r="B2472" s="6" t="str">
        <f t="shared" si="567"/>
        <v>EL CORTE</v>
      </c>
      <c r="C2472" s="7">
        <v>46037</v>
      </c>
      <c r="D2472" s="7">
        <v>46042</v>
      </c>
      <c r="E2472" s="8">
        <v>6</v>
      </c>
      <c r="F2472" s="6" t="str">
        <f t="shared" si="577"/>
        <v>94826501_07026</v>
      </c>
      <c r="G2472" s="6" t="str">
        <f t="shared" si="568"/>
        <v>F310631650000000</v>
      </c>
      <c r="H2472" s="6" t="str">
        <f t="shared" si="569"/>
        <v>PLAR 6316 FD - 500 g</v>
      </c>
      <c r="I2472" s="6" t="str">
        <f>"200510"</f>
        <v>200510</v>
      </c>
      <c r="J2472" s="6" t="str">
        <f>"VERDE 510"</f>
        <v>VERDE 510</v>
      </c>
      <c r="K2472" s="6" t="str">
        <f>"1024"</f>
        <v>1024</v>
      </c>
      <c r="L2472" s="6" t="str">
        <f>"Toalhas"</f>
        <v>Toalhas</v>
      </c>
      <c r="M2472" s="6" t="str">
        <f>"50x100"</f>
        <v>50x100</v>
      </c>
      <c r="N2472" s="6" t="str">
        <f>"5602972281149"</f>
        <v>5602972281149</v>
      </c>
      <c r="O2472" s="8">
        <v>6</v>
      </c>
      <c r="R2472" s="8">
        <v>0</v>
      </c>
      <c r="U2472" s="8">
        <v>0</v>
      </c>
      <c r="X2472" s="8">
        <v>0</v>
      </c>
      <c r="Z2472" s="8">
        <v>0</v>
      </c>
      <c r="AC2472" s="8">
        <v>0</v>
      </c>
      <c r="AF2472" s="8">
        <v>0</v>
      </c>
      <c r="AN2472" s="8">
        <v>6</v>
      </c>
      <c r="AO2472" s="8">
        <v>0</v>
      </c>
    </row>
    <row r="2473" spans="1:41" x14ac:dyDescent="0.25">
      <c r="A2473" s="6" t="str">
        <f t="shared" si="576"/>
        <v>522-2026000263</v>
      </c>
      <c r="B2473" s="6" t="str">
        <f t="shared" si="567"/>
        <v>EL CORTE</v>
      </c>
      <c r="C2473" s="7">
        <v>46037</v>
      </c>
      <c r="D2473" s="7">
        <v>46042</v>
      </c>
      <c r="E2473" s="8">
        <v>7</v>
      </c>
      <c r="F2473" s="6" t="str">
        <f t="shared" si="577"/>
        <v>94826501_07026</v>
      </c>
      <c r="G2473" s="6" t="str">
        <f t="shared" si="568"/>
        <v>F310631650000000</v>
      </c>
      <c r="H2473" s="6" t="str">
        <f t="shared" si="569"/>
        <v>PLAR 6316 FD - 500 g</v>
      </c>
      <c r="I2473" s="6" t="str">
        <f>"200510"</f>
        <v>200510</v>
      </c>
      <c r="J2473" s="6" t="str">
        <f>"VERDE 510"</f>
        <v>VERDE 510</v>
      </c>
      <c r="K2473" s="6" t="str">
        <f>"2020"</f>
        <v>2020</v>
      </c>
      <c r="L2473" s="6" t="str">
        <f>"Lençóis"</f>
        <v>Lençóis</v>
      </c>
      <c r="M2473" s="6" t="str">
        <f>"100x150"</f>
        <v>100x150</v>
      </c>
      <c r="N2473" s="6" t="str">
        <f>"5602972281156"</f>
        <v>5602972281156</v>
      </c>
      <c r="O2473" s="8">
        <v>6</v>
      </c>
      <c r="R2473" s="8">
        <v>0</v>
      </c>
      <c r="U2473" s="8">
        <v>0</v>
      </c>
      <c r="X2473" s="8">
        <v>0</v>
      </c>
      <c r="Z2473" s="8">
        <v>0</v>
      </c>
      <c r="AC2473" s="8">
        <v>0</v>
      </c>
      <c r="AF2473" s="8">
        <v>0</v>
      </c>
      <c r="AN2473" s="8">
        <v>6</v>
      </c>
      <c r="AO2473" s="8">
        <v>0</v>
      </c>
    </row>
    <row r="2474" spans="1:41" x14ac:dyDescent="0.25">
      <c r="A2474" s="6" t="str">
        <f>"522-2026000264"</f>
        <v>522-2026000264</v>
      </c>
      <c r="B2474" s="6" t="str">
        <f t="shared" si="567"/>
        <v>EL CORTE</v>
      </c>
      <c r="C2474" s="7">
        <v>46037</v>
      </c>
      <c r="D2474" s="7">
        <v>46042</v>
      </c>
      <c r="E2474" s="8">
        <v>1</v>
      </c>
      <c r="F2474" s="6" t="str">
        <f>"94830801_07026"</f>
        <v>94830801_07026</v>
      </c>
      <c r="G2474" s="6" t="str">
        <f t="shared" si="568"/>
        <v>F310631650000000</v>
      </c>
      <c r="H2474" s="6" t="str">
        <f t="shared" si="569"/>
        <v>PLAR 6316 FD - 500 g</v>
      </c>
      <c r="I2474" s="6" t="str">
        <f>"202575"</f>
        <v>202575</v>
      </c>
      <c r="J2474" s="6" t="str">
        <f>"BEGE 2575"</f>
        <v>BEGE 2575</v>
      </c>
      <c r="K2474" s="6" t="str">
        <f>"0520"</f>
        <v>0520</v>
      </c>
      <c r="L2474" s="6" t="str">
        <f>"Toalhetes"</f>
        <v>Toalhetes</v>
      </c>
      <c r="M2474" s="6" t="str">
        <f>"30x50"</f>
        <v>30x50</v>
      </c>
      <c r="N2474" s="6" t="str">
        <f>"5602972281071"</f>
        <v>5602972281071</v>
      </c>
      <c r="O2474" s="8">
        <v>6</v>
      </c>
      <c r="R2474" s="8">
        <v>0</v>
      </c>
      <c r="U2474" s="8">
        <v>0</v>
      </c>
      <c r="X2474" s="8">
        <v>0</v>
      </c>
      <c r="Z2474" s="8">
        <v>0</v>
      </c>
      <c r="AC2474" s="8">
        <v>0</v>
      </c>
      <c r="AF2474" s="8">
        <v>0</v>
      </c>
      <c r="AN2474" s="8">
        <v>6</v>
      </c>
      <c r="AO2474" s="8">
        <v>0</v>
      </c>
    </row>
    <row r="2475" spans="1:41" x14ac:dyDescent="0.25">
      <c r="A2475" s="6" t="str">
        <f>"522-2026000264"</f>
        <v>522-2026000264</v>
      </c>
      <c r="B2475" s="6" t="str">
        <f t="shared" si="567"/>
        <v>EL CORTE</v>
      </c>
      <c r="C2475" s="7">
        <v>46037</v>
      </c>
      <c r="D2475" s="7">
        <v>46042</v>
      </c>
      <c r="E2475" s="8">
        <v>2</v>
      </c>
      <c r="F2475" s="6" t="str">
        <f>"94830801_07026"</f>
        <v>94830801_07026</v>
      </c>
      <c r="G2475" s="6" t="str">
        <f t="shared" si="568"/>
        <v>F310631650000000</v>
      </c>
      <c r="H2475" s="6" t="str">
        <f t="shared" si="569"/>
        <v>PLAR 6316 FD - 500 g</v>
      </c>
      <c r="I2475" s="6" t="str">
        <f>"202575"</f>
        <v>202575</v>
      </c>
      <c r="J2475" s="6" t="str">
        <f>"BEGE 2575"</f>
        <v>BEGE 2575</v>
      </c>
      <c r="K2475" s="6" t="str">
        <f>"1024"</f>
        <v>1024</v>
      </c>
      <c r="L2475" s="6" t="str">
        <f>"Toalhas"</f>
        <v>Toalhas</v>
      </c>
      <c r="M2475" s="6" t="str">
        <f>"50x100"</f>
        <v>50x100</v>
      </c>
      <c r="N2475" s="6" t="str">
        <f>"5602972281088"</f>
        <v>5602972281088</v>
      </c>
      <c r="O2475" s="8">
        <v>6</v>
      </c>
      <c r="R2475" s="8">
        <v>0</v>
      </c>
      <c r="U2475" s="8">
        <v>0</v>
      </c>
      <c r="X2475" s="8">
        <v>0</v>
      </c>
      <c r="Z2475" s="8">
        <v>0</v>
      </c>
      <c r="AC2475" s="8">
        <v>0</v>
      </c>
      <c r="AF2475" s="8">
        <v>0</v>
      </c>
      <c r="AN2475" s="8">
        <v>6</v>
      </c>
      <c r="AO2475" s="8">
        <v>0</v>
      </c>
    </row>
    <row r="2476" spans="1:41" x14ac:dyDescent="0.25">
      <c r="A2476" s="6" t="str">
        <f>"522-2026000264"</f>
        <v>522-2026000264</v>
      </c>
      <c r="B2476" s="6" t="str">
        <f t="shared" si="567"/>
        <v>EL CORTE</v>
      </c>
      <c r="C2476" s="7">
        <v>46037</v>
      </c>
      <c r="D2476" s="7">
        <v>46042</v>
      </c>
      <c r="E2476" s="8">
        <v>3</v>
      </c>
      <c r="F2476" s="6" t="str">
        <f>"94830801_07026"</f>
        <v>94830801_07026</v>
      </c>
      <c r="G2476" s="6" t="str">
        <f t="shared" si="568"/>
        <v>F310631650000000</v>
      </c>
      <c r="H2476" s="6" t="str">
        <f t="shared" si="569"/>
        <v>PLAR 6316 FD - 500 g</v>
      </c>
      <c r="I2476" s="6" t="str">
        <f>"200901"</f>
        <v>200901</v>
      </c>
      <c r="J2476" s="6" t="str">
        <f>"ROSA 901"</f>
        <v>ROSA 901</v>
      </c>
      <c r="K2476" s="6" t="str">
        <f>"2020"</f>
        <v>2020</v>
      </c>
      <c r="L2476" s="6" t="str">
        <f>"Lençóis"</f>
        <v>Lençóis</v>
      </c>
      <c r="M2476" s="6" t="str">
        <f>"100x150"</f>
        <v>100x150</v>
      </c>
      <c r="N2476" s="6" t="str">
        <f>"5602972281125"</f>
        <v>5602972281125</v>
      </c>
      <c r="O2476" s="8">
        <v>3</v>
      </c>
      <c r="R2476" s="8">
        <v>0</v>
      </c>
      <c r="U2476" s="8">
        <v>0</v>
      </c>
      <c r="X2476" s="8">
        <v>0</v>
      </c>
      <c r="Z2476" s="8">
        <v>0</v>
      </c>
      <c r="AC2476" s="8">
        <v>0</v>
      </c>
      <c r="AF2476" s="8">
        <v>0</v>
      </c>
      <c r="AN2476" s="8">
        <v>0</v>
      </c>
      <c r="AO2476" s="8">
        <v>3</v>
      </c>
    </row>
    <row r="2477" spans="1:41" x14ac:dyDescent="0.25">
      <c r="A2477" s="6" t="str">
        <f>"522-2026000264"</f>
        <v>522-2026000264</v>
      </c>
      <c r="B2477" s="6" t="str">
        <f t="shared" si="567"/>
        <v>EL CORTE</v>
      </c>
      <c r="C2477" s="7">
        <v>46037</v>
      </c>
      <c r="D2477" s="7">
        <v>46042</v>
      </c>
      <c r="E2477" s="8">
        <v>4</v>
      </c>
      <c r="F2477" s="6" t="str">
        <f>"94830801_07026"</f>
        <v>94830801_07026</v>
      </c>
      <c r="G2477" s="6" t="str">
        <f t="shared" si="568"/>
        <v>F310631650000000</v>
      </c>
      <c r="H2477" s="6" t="str">
        <f t="shared" si="569"/>
        <v>PLAR 6316 FD - 500 g</v>
      </c>
      <c r="I2477" s="6" t="str">
        <f>"200510"</f>
        <v>200510</v>
      </c>
      <c r="J2477" s="6" t="str">
        <f>"VERDE 510"</f>
        <v>VERDE 510</v>
      </c>
      <c r="K2477" s="6" t="str">
        <f>"2020"</f>
        <v>2020</v>
      </c>
      <c r="L2477" s="6" t="str">
        <f>"Lençóis"</f>
        <v>Lençóis</v>
      </c>
      <c r="M2477" s="6" t="str">
        <f>"100x150"</f>
        <v>100x150</v>
      </c>
      <c r="N2477" s="6" t="str">
        <f>"5602972281156"</f>
        <v>5602972281156</v>
      </c>
      <c r="O2477" s="8">
        <v>6</v>
      </c>
      <c r="R2477" s="8">
        <v>0</v>
      </c>
      <c r="U2477" s="8">
        <v>0</v>
      </c>
      <c r="X2477" s="8">
        <v>0</v>
      </c>
      <c r="Z2477" s="8">
        <v>0</v>
      </c>
      <c r="AC2477" s="8">
        <v>0</v>
      </c>
      <c r="AF2477" s="8">
        <v>0</v>
      </c>
      <c r="AN2477" s="8">
        <v>0</v>
      </c>
      <c r="AO2477" s="8">
        <v>6</v>
      </c>
    </row>
    <row r="2478" spans="1:41" x14ac:dyDescent="0.25">
      <c r="A2478" s="6" t="str">
        <f t="shared" ref="A2478:A2483" si="578">"522-2026000265"</f>
        <v>522-2026000265</v>
      </c>
      <c r="B2478" s="6" t="str">
        <f t="shared" si="567"/>
        <v>EL CORTE</v>
      </c>
      <c r="C2478" s="7">
        <v>46037</v>
      </c>
      <c r="D2478" s="7">
        <v>46042</v>
      </c>
      <c r="E2478" s="8">
        <v>1</v>
      </c>
      <c r="F2478" s="6" t="str">
        <f t="shared" ref="F2478:F2483" si="579">"94826301_07026"</f>
        <v>94826301_07026</v>
      </c>
      <c r="G2478" s="6" t="str">
        <f t="shared" si="568"/>
        <v>F310631650000000</v>
      </c>
      <c r="H2478" s="6" t="str">
        <f t="shared" si="569"/>
        <v>PLAR 6316 FD - 500 g</v>
      </c>
      <c r="I2478" s="6" t="str">
        <f>"201855"</f>
        <v>201855</v>
      </c>
      <c r="J2478" s="6" t="str">
        <f>"AZUL 1855"</f>
        <v>AZUL 1855</v>
      </c>
      <c r="K2478" s="6" t="str">
        <f>"1024"</f>
        <v>1024</v>
      </c>
      <c r="L2478" s="6" t="str">
        <f>"Toalhas"</f>
        <v>Toalhas</v>
      </c>
      <c r="M2478" s="6" t="str">
        <f>"50x100"</f>
        <v>50x100</v>
      </c>
      <c r="N2478" s="6" t="str">
        <f>"5602972281057"</f>
        <v>5602972281057</v>
      </c>
      <c r="O2478" s="8">
        <v>6</v>
      </c>
      <c r="R2478" s="8">
        <v>0</v>
      </c>
      <c r="U2478" s="8">
        <v>0</v>
      </c>
      <c r="X2478" s="8">
        <v>0</v>
      </c>
      <c r="Z2478" s="8">
        <v>0</v>
      </c>
      <c r="AC2478" s="8">
        <v>0</v>
      </c>
      <c r="AF2478" s="8">
        <v>0</v>
      </c>
      <c r="AN2478" s="8">
        <v>6</v>
      </c>
      <c r="AO2478" s="8">
        <v>0</v>
      </c>
    </row>
    <row r="2479" spans="1:41" x14ac:dyDescent="0.25">
      <c r="A2479" s="6" t="str">
        <f t="shared" si="578"/>
        <v>522-2026000265</v>
      </c>
      <c r="B2479" s="6" t="str">
        <f t="shared" si="567"/>
        <v>EL CORTE</v>
      </c>
      <c r="C2479" s="7">
        <v>46037</v>
      </c>
      <c r="D2479" s="7">
        <v>46042</v>
      </c>
      <c r="E2479" s="8">
        <v>2</v>
      </c>
      <c r="F2479" s="6" t="str">
        <f t="shared" si="579"/>
        <v>94826301_07026</v>
      </c>
      <c r="G2479" s="6" t="str">
        <f t="shared" si="568"/>
        <v>F310631650000000</v>
      </c>
      <c r="H2479" s="6" t="str">
        <f t="shared" si="569"/>
        <v>PLAR 6316 FD - 500 g</v>
      </c>
      <c r="I2479" s="6" t="str">
        <f>"202575"</f>
        <v>202575</v>
      </c>
      <c r="J2479" s="6" t="str">
        <f>"BEGE 2575"</f>
        <v>BEGE 2575</v>
      </c>
      <c r="K2479" s="6" t="str">
        <f>"0520"</f>
        <v>0520</v>
      </c>
      <c r="L2479" s="6" t="str">
        <f>"Toalhetes"</f>
        <v>Toalhetes</v>
      </c>
      <c r="M2479" s="6" t="str">
        <f>"30x50"</f>
        <v>30x50</v>
      </c>
      <c r="N2479" s="6" t="str">
        <f>"5602972281071"</f>
        <v>5602972281071</v>
      </c>
      <c r="O2479" s="8">
        <v>6</v>
      </c>
      <c r="R2479" s="8">
        <v>0</v>
      </c>
      <c r="U2479" s="8">
        <v>0</v>
      </c>
      <c r="X2479" s="8">
        <v>0</v>
      </c>
      <c r="Z2479" s="8">
        <v>0</v>
      </c>
      <c r="AC2479" s="8">
        <v>0</v>
      </c>
      <c r="AF2479" s="8">
        <v>0</v>
      </c>
      <c r="AN2479" s="8">
        <v>6</v>
      </c>
      <c r="AO2479" s="8">
        <v>0</v>
      </c>
    </row>
    <row r="2480" spans="1:41" x14ac:dyDescent="0.25">
      <c r="A2480" s="6" t="str">
        <f t="shared" si="578"/>
        <v>522-2026000265</v>
      </c>
      <c r="B2480" s="6" t="str">
        <f t="shared" si="567"/>
        <v>EL CORTE</v>
      </c>
      <c r="C2480" s="7">
        <v>46037</v>
      </c>
      <c r="D2480" s="7">
        <v>46042</v>
      </c>
      <c r="E2480" s="8">
        <v>3</v>
      </c>
      <c r="F2480" s="6" t="str">
        <f t="shared" si="579"/>
        <v>94826301_07026</v>
      </c>
      <c r="G2480" s="6" t="str">
        <f t="shared" si="568"/>
        <v>F310631650000000</v>
      </c>
      <c r="H2480" s="6" t="str">
        <f t="shared" si="569"/>
        <v>PLAR 6316 FD - 500 g</v>
      </c>
      <c r="I2480" s="6" t="str">
        <f>"202575"</f>
        <v>202575</v>
      </c>
      <c r="J2480" s="6" t="str">
        <f>"BEGE 2575"</f>
        <v>BEGE 2575</v>
      </c>
      <c r="K2480" s="6" t="str">
        <f>"2020"</f>
        <v>2020</v>
      </c>
      <c r="L2480" s="6" t="str">
        <f>"Lençóis"</f>
        <v>Lençóis</v>
      </c>
      <c r="M2480" s="6" t="str">
        <f>"100x150"</f>
        <v>100x150</v>
      </c>
      <c r="N2480" s="6" t="str">
        <f>"5602972281095"</f>
        <v>5602972281095</v>
      </c>
      <c r="O2480" s="8">
        <v>3</v>
      </c>
      <c r="R2480" s="8">
        <v>0</v>
      </c>
      <c r="U2480" s="8">
        <v>0</v>
      </c>
      <c r="X2480" s="8">
        <v>0</v>
      </c>
      <c r="Z2480" s="8">
        <v>0</v>
      </c>
      <c r="AC2480" s="8">
        <v>0</v>
      </c>
      <c r="AF2480" s="8">
        <v>0</v>
      </c>
      <c r="AN2480" s="8">
        <v>0</v>
      </c>
      <c r="AO2480" s="8">
        <v>3</v>
      </c>
    </row>
    <row r="2481" spans="1:41" x14ac:dyDescent="0.25">
      <c r="A2481" s="6" t="str">
        <f t="shared" si="578"/>
        <v>522-2026000265</v>
      </c>
      <c r="B2481" s="6" t="str">
        <f t="shared" si="567"/>
        <v>EL CORTE</v>
      </c>
      <c r="C2481" s="7">
        <v>46037</v>
      </c>
      <c r="D2481" s="7">
        <v>46042</v>
      </c>
      <c r="E2481" s="8">
        <v>4</v>
      </c>
      <c r="F2481" s="6" t="str">
        <f t="shared" si="579"/>
        <v>94826301_07026</v>
      </c>
      <c r="G2481" s="6" t="str">
        <f t="shared" si="568"/>
        <v>F310631650000000</v>
      </c>
      <c r="H2481" s="6" t="str">
        <f t="shared" si="569"/>
        <v>PLAR 6316 FD - 500 g</v>
      </c>
      <c r="I2481" s="6" t="str">
        <f>"200901"</f>
        <v>200901</v>
      </c>
      <c r="J2481" s="6" t="str">
        <f>"ROSA 901"</f>
        <v>ROSA 901</v>
      </c>
      <c r="K2481" s="6" t="str">
        <f>"1024"</f>
        <v>1024</v>
      </c>
      <c r="L2481" s="6" t="str">
        <f>"Toalhas"</f>
        <v>Toalhas</v>
      </c>
      <c r="M2481" s="6" t="str">
        <f>"50x100"</f>
        <v>50x100</v>
      </c>
      <c r="N2481" s="6" t="str">
        <f>"5602972281118"</f>
        <v>5602972281118</v>
      </c>
      <c r="O2481" s="8">
        <v>6</v>
      </c>
      <c r="R2481" s="8">
        <v>0</v>
      </c>
      <c r="U2481" s="8">
        <v>0</v>
      </c>
      <c r="X2481" s="8">
        <v>0</v>
      </c>
      <c r="Z2481" s="8">
        <v>0</v>
      </c>
      <c r="AC2481" s="8">
        <v>0</v>
      </c>
      <c r="AF2481" s="8">
        <v>0</v>
      </c>
      <c r="AN2481" s="8">
        <v>6</v>
      </c>
      <c r="AO2481" s="8">
        <v>0</v>
      </c>
    </row>
    <row r="2482" spans="1:41" x14ac:dyDescent="0.25">
      <c r="A2482" s="6" t="str">
        <f t="shared" si="578"/>
        <v>522-2026000265</v>
      </c>
      <c r="B2482" s="6" t="str">
        <f t="shared" si="567"/>
        <v>EL CORTE</v>
      </c>
      <c r="C2482" s="7">
        <v>46037</v>
      </c>
      <c r="D2482" s="7">
        <v>46042</v>
      </c>
      <c r="E2482" s="8">
        <v>5</v>
      </c>
      <c r="F2482" s="6" t="str">
        <f t="shared" si="579"/>
        <v>94826301_07026</v>
      </c>
      <c r="G2482" s="6" t="str">
        <f t="shared" si="568"/>
        <v>F310631650000000</v>
      </c>
      <c r="H2482" s="6" t="str">
        <f t="shared" si="569"/>
        <v>PLAR 6316 FD - 500 g</v>
      </c>
      <c r="I2482" s="6" t="str">
        <f>"200901"</f>
        <v>200901</v>
      </c>
      <c r="J2482" s="6" t="str">
        <f>"ROSA 901"</f>
        <v>ROSA 901</v>
      </c>
      <c r="K2482" s="6" t="str">
        <f>"2020"</f>
        <v>2020</v>
      </c>
      <c r="L2482" s="6" t="str">
        <f>"Lençóis"</f>
        <v>Lençóis</v>
      </c>
      <c r="M2482" s="6" t="str">
        <f>"100x150"</f>
        <v>100x150</v>
      </c>
      <c r="N2482" s="6" t="str">
        <f>"5602972281125"</f>
        <v>5602972281125</v>
      </c>
      <c r="O2482" s="8">
        <v>3</v>
      </c>
      <c r="R2482" s="8">
        <v>0</v>
      </c>
      <c r="U2482" s="8">
        <v>0</v>
      </c>
      <c r="X2482" s="8">
        <v>0</v>
      </c>
      <c r="Z2482" s="8">
        <v>0</v>
      </c>
      <c r="AC2482" s="8">
        <v>0</v>
      </c>
      <c r="AF2482" s="8">
        <v>0</v>
      </c>
      <c r="AN2482" s="8">
        <v>0</v>
      </c>
      <c r="AO2482" s="8">
        <v>3</v>
      </c>
    </row>
    <row r="2483" spans="1:41" x14ac:dyDescent="0.25">
      <c r="A2483" s="6" t="str">
        <f t="shared" si="578"/>
        <v>522-2026000265</v>
      </c>
      <c r="B2483" s="6" t="str">
        <f t="shared" si="567"/>
        <v>EL CORTE</v>
      </c>
      <c r="C2483" s="7">
        <v>46037</v>
      </c>
      <c r="D2483" s="7">
        <v>46042</v>
      </c>
      <c r="E2483" s="8">
        <v>6</v>
      </c>
      <c r="F2483" s="6" t="str">
        <f t="shared" si="579"/>
        <v>94826301_07026</v>
      </c>
      <c r="G2483" s="6" t="str">
        <f t="shared" si="568"/>
        <v>F310631650000000</v>
      </c>
      <c r="H2483" s="6" t="str">
        <f t="shared" si="569"/>
        <v>PLAR 6316 FD - 500 g</v>
      </c>
      <c r="I2483" s="6" t="str">
        <f>"200510"</f>
        <v>200510</v>
      </c>
      <c r="J2483" s="6" t="str">
        <f>"VERDE 510"</f>
        <v>VERDE 510</v>
      </c>
      <c r="K2483" s="6" t="str">
        <f>"1024"</f>
        <v>1024</v>
      </c>
      <c r="L2483" s="6" t="str">
        <f>"Toalhas"</f>
        <v>Toalhas</v>
      </c>
      <c r="M2483" s="6" t="str">
        <f>"50x100"</f>
        <v>50x100</v>
      </c>
      <c r="N2483" s="6" t="str">
        <f>"5602972281149"</f>
        <v>5602972281149</v>
      </c>
      <c r="O2483" s="8">
        <v>6</v>
      </c>
      <c r="R2483" s="8">
        <v>0</v>
      </c>
      <c r="U2483" s="8">
        <v>0</v>
      </c>
      <c r="X2483" s="8">
        <v>0</v>
      </c>
      <c r="Z2483" s="8">
        <v>0</v>
      </c>
      <c r="AC2483" s="8">
        <v>0</v>
      </c>
      <c r="AF2483" s="8">
        <v>0</v>
      </c>
      <c r="AN2483" s="8">
        <v>6</v>
      </c>
      <c r="AO2483" s="8">
        <v>0</v>
      </c>
    </row>
    <row r="2484" spans="1:41" x14ac:dyDescent="0.25">
      <c r="A2484" s="6" t="str">
        <f t="shared" ref="A2484:A2494" si="580">"522-2026000266"</f>
        <v>522-2026000266</v>
      </c>
      <c r="B2484" s="6" t="str">
        <f t="shared" si="567"/>
        <v>EL CORTE</v>
      </c>
      <c r="C2484" s="7">
        <v>46037</v>
      </c>
      <c r="D2484" s="7">
        <v>46042</v>
      </c>
      <c r="E2484" s="8">
        <v>1</v>
      </c>
      <c r="F2484" s="6" t="str">
        <f t="shared" ref="F2484:F2494" si="581">"94824701_07026"</f>
        <v>94824701_07026</v>
      </c>
      <c r="G2484" s="6" t="str">
        <f t="shared" si="568"/>
        <v>F310631650000000</v>
      </c>
      <c r="H2484" s="6" t="str">
        <f t="shared" si="569"/>
        <v>PLAR 6316 FD - 500 g</v>
      </c>
      <c r="I2484" s="6" t="str">
        <f>"201855"</f>
        <v>201855</v>
      </c>
      <c r="J2484" s="6" t="str">
        <f>"AZUL 1855"</f>
        <v>AZUL 1855</v>
      </c>
      <c r="K2484" s="6" t="str">
        <f>"0520"</f>
        <v>0520</v>
      </c>
      <c r="L2484" s="6" t="str">
        <f>"Toalhetes"</f>
        <v>Toalhetes</v>
      </c>
      <c r="M2484" s="6" t="str">
        <f>"30x50"</f>
        <v>30x50</v>
      </c>
      <c r="N2484" s="6" t="str">
        <f>"5602972281040"</f>
        <v>5602972281040</v>
      </c>
      <c r="O2484" s="8">
        <v>6</v>
      </c>
      <c r="R2484" s="8">
        <v>0</v>
      </c>
      <c r="U2484" s="8">
        <v>0</v>
      </c>
      <c r="X2484" s="8">
        <v>0</v>
      </c>
      <c r="Z2484" s="8">
        <v>0</v>
      </c>
      <c r="AC2484" s="8">
        <v>0</v>
      </c>
      <c r="AF2484" s="8">
        <v>0</v>
      </c>
      <c r="AN2484" s="8">
        <v>6</v>
      </c>
      <c r="AO2484" s="8">
        <v>0</v>
      </c>
    </row>
    <row r="2485" spans="1:41" x14ac:dyDescent="0.25">
      <c r="A2485" s="6" t="str">
        <f t="shared" si="580"/>
        <v>522-2026000266</v>
      </c>
      <c r="B2485" s="6" t="str">
        <f t="shared" si="567"/>
        <v>EL CORTE</v>
      </c>
      <c r="C2485" s="7">
        <v>46037</v>
      </c>
      <c r="D2485" s="7">
        <v>46042</v>
      </c>
      <c r="E2485" s="8">
        <v>2</v>
      </c>
      <c r="F2485" s="6" t="str">
        <f t="shared" si="581"/>
        <v>94824701_07026</v>
      </c>
      <c r="G2485" s="6" t="str">
        <f t="shared" si="568"/>
        <v>F310631650000000</v>
      </c>
      <c r="H2485" s="6" t="str">
        <f t="shared" si="569"/>
        <v>PLAR 6316 FD - 500 g</v>
      </c>
      <c r="I2485" s="6" t="str">
        <f>"201855"</f>
        <v>201855</v>
      </c>
      <c r="J2485" s="6" t="str">
        <f>"AZUL 1855"</f>
        <v>AZUL 1855</v>
      </c>
      <c r="K2485" s="6" t="str">
        <f>"1024"</f>
        <v>1024</v>
      </c>
      <c r="L2485" s="6" t="str">
        <f>"Toalhas"</f>
        <v>Toalhas</v>
      </c>
      <c r="M2485" s="6" t="str">
        <f>"50x100"</f>
        <v>50x100</v>
      </c>
      <c r="N2485" s="6" t="str">
        <f>"5602972281057"</f>
        <v>5602972281057</v>
      </c>
      <c r="O2485" s="8">
        <v>12</v>
      </c>
      <c r="R2485" s="8">
        <v>0</v>
      </c>
      <c r="U2485" s="8">
        <v>0</v>
      </c>
      <c r="X2485" s="8">
        <v>0</v>
      </c>
      <c r="Z2485" s="8">
        <v>0</v>
      </c>
      <c r="AC2485" s="8">
        <v>0</v>
      </c>
      <c r="AF2485" s="8">
        <v>0</v>
      </c>
      <c r="AN2485" s="8">
        <v>12</v>
      </c>
      <c r="AO2485" s="8">
        <v>0</v>
      </c>
    </row>
    <row r="2486" spans="1:41" x14ac:dyDescent="0.25">
      <c r="A2486" s="6" t="str">
        <f t="shared" si="580"/>
        <v>522-2026000266</v>
      </c>
      <c r="B2486" s="6" t="str">
        <f t="shared" si="567"/>
        <v>EL CORTE</v>
      </c>
      <c r="C2486" s="7">
        <v>46037</v>
      </c>
      <c r="D2486" s="7">
        <v>46042</v>
      </c>
      <c r="E2486" s="8">
        <v>3</v>
      </c>
      <c r="F2486" s="6" t="str">
        <f t="shared" si="581"/>
        <v>94824701_07026</v>
      </c>
      <c r="G2486" s="6" t="str">
        <f t="shared" si="568"/>
        <v>F310631650000000</v>
      </c>
      <c r="H2486" s="6" t="str">
        <f t="shared" si="569"/>
        <v>PLAR 6316 FD - 500 g</v>
      </c>
      <c r="I2486" s="6" t="str">
        <f>"202575"</f>
        <v>202575</v>
      </c>
      <c r="J2486" s="6" t="str">
        <f>"BEGE 2575"</f>
        <v>BEGE 2575</v>
      </c>
      <c r="K2486" s="6" t="str">
        <f>"0520"</f>
        <v>0520</v>
      </c>
      <c r="L2486" s="6" t="str">
        <f>"Toalhetes"</f>
        <v>Toalhetes</v>
      </c>
      <c r="M2486" s="6" t="str">
        <f>"30x50"</f>
        <v>30x50</v>
      </c>
      <c r="N2486" s="6" t="str">
        <f>"5602972281071"</f>
        <v>5602972281071</v>
      </c>
      <c r="O2486" s="8">
        <v>12</v>
      </c>
      <c r="R2486" s="8">
        <v>0</v>
      </c>
      <c r="U2486" s="8">
        <v>0</v>
      </c>
      <c r="X2486" s="8">
        <v>0</v>
      </c>
      <c r="Z2486" s="8">
        <v>0</v>
      </c>
      <c r="AC2486" s="8">
        <v>0</v>
      </c>
      <c r="AF2486" s="8">
        <v>0</v>
      </c>
      <c r="AN2486" s="8">
        <v>12</v>
      </c>
      <c r="AO2486" s="8">
        <v>0</v>
      </c>
    </row>
    <row r="2487" spans="1:41" x14ac:dyDescent="0.25">
      <c r="A2487" s="6" t="str">
        <f t="shared" si="580"/>
        <v>522-2026000266</v>
      </c>
      <c r="B2487" s="6" t="str">
        <f t="shared" si="567"/>
        <v>EL CORTE</v>
      </c>
      <c r="C2487" s="7">
        <v>46037</v>
      </c>
      <c r="D2487" s="7">
        <v>46042</v>
      </c>
      <c r="E2487" s="8">
        <v>4</v>
      </c>
      <c r="F2487" s="6" t="str">
        <f t="shared" si="581"/>
        <v>94824701_07026</v>
      </c>
      <c r="G2487" s="6" t="str">
        <f t="shared" si="568"/>
        <v>F310631650000000</v>
      </c>
      <c r="H2487" s="6" t="str">
        <f t="shared" si="569"/>
        <v>PLAR 6316 FD - 500 g</v>
      </c>
      <c r="I2487" s="6" t="str">
        <f>"202575"</f>
        <v>202575</v>
      </c>
      <c r="J2487" s="6" t="str">
        <f>"BEGE 2575"</f>
        <v>BEGE 2575</v>
      </c>
      <c r="K2487" s="6" t="str">
        <f>"1024"</f>
        <v>1024</v>
      </c>
      <c r="L2487" s="6" t="str">
        <f>"Toalhas"</f>
        <v>Toalhas</v>
      </c>
      <c r="M2487" s="6" t="str">
        <f>"50x100"</f>
        <v>50x100</v>
      </c>
      <c r="N2487" s="6" t="str">
        <f>"5602972281088"</f>
        <v>5602972281088</v>
      </c>
      <c r="O2487" s="8">
        <v>12</v>
      </c>
      <c r="R2487" s="8">
        <v>0</v>
      </c>
      <c r="U2487" s="8">
        <v>0</v>
      </c>
      <c r="X2487" s="8">
        <v>0</v>
      </c>
      <c r="Z2487" s="8">
        <v>0</v>
      </c>
      <c r="AC2487" s="8">
        <v>0</v>
      </c>
      <c r="AF2487" s="8">
        <v>0</v>
      </c>
      <c r="AN2487" s="8">
        <v>12</v>
      </c>
      <c r="AO2487" s="8">
        <v>0</v>
      </c>
    </row>
    <row r="2488" spans="1:41" x14ac:dyDescent="0.25">
      <c r="A2488" s="6" t="str">
        <f t="shared" si="580"/>
        <v>522-2026000266</v>
      </c>
      <c r="B2488" s="6" t="str">
        <f t="shared" si="567"/>
        <v>EL CORTE</v>
      </c>
      <c r="C2488" s="7">
        <v>46037</v>
      </c>
      <c r="D2488" s="7">
        <v>46042</v>
      </c>
      <c r="E2488" s="8">
        <v>5</v>
      </c>
      <c r="F2488" s="6" t="str">
        <f t="shared" si="581"/>
        <v>94824701_07026</v>
      </c>
      <c r="G2488" s="6" t="str">
        <f t="shared" si="568"/>
        <v>F310631650000000</v>
      </c>
      <c r="H2488" s="6" t="str">
        <f t="shared" si="569"/>
        <v>PLAR 6316 FD - 500 g</v>
      </c>
      <c r="I2488" s="6" t="str">
        <f>"202575"</f>
        <v>202575</v>
      </c>
      <c r="J2488" s="6" t="str">
        <f>"BEGE 2575"</f>
        <v>BEGE 2575</v>
      </c>
      <c r="K2488" s="6" t="str">
        <f>"2020"</f>
        <v>2020</v>
      </c>
      <c r="L2488" s="6" t="str">
        <f>"Lençóis"</f>
        <v>Lençóis</v>
      </c>
      <c r="M2488" s="6" t="str">
        <f>"100x150"</f>
        <v>100x150</v>
      </c>
      <c r="N2488" s="6" t="str">
        <f>"5602972281095"</f>
        <v>5602972281095</v>
      </c>
      <c r="O2488" s="8">
        <v>12</v>
      </c>
      <c r="R2488" s="8">
        <v>0</v>
      </c>
      <c r="U2488" s="8">
        <v>0</v>
      </c>
      <c r="X2488" s="8">
        <v>0</v>
      </c>
      <c r="Z2488" s="8">
        <v>0</v>
      </c>
      <c r="AC2488" s="8">
        <v>0</v>
      </c>
      <c r="AF2488" s="8">
        <v>0</v>
      </c>
      <c r="AN2488" s="8">
        <v>0</v>
      </c>
      <c r="AO2488" s="8">
        <v>12</v>
      </c>
    </row>
    <row r="2489" spans="1:41" x14ac:dyDescent="0.25">
      <c r="A2489" s="6" t="str">
        <f t="shared" si="580"/>
        <v>522-2026000266</v>
      </c>
      <c r="B2489" s="6" t="str">
        <f t="shared" si="567"/>
        <v>EL CORTE</v>
      </c>
      <c r="C2489" s="7">
        <v>46037</v>
      </c>
      <c r="D2489" s="7">
        <v>46042</v>
      </c>
      <c r="E2489" s="8">
        <v>6</v>
      </c>
      <c r="F2489" s="6" t="str">
        <f t="shared" si="581"/>
        <v>94824701_07026</v>
      </c>
      <c r="G2489" s="6" t="str">
        <f t="shared" si="568"/>
        <v>F310631650000000</v>
      </c>
      <c r="H2489" s="6" t="str">
        <f t="shared" si="569"/>
        <v>PLAR 6316 FD - 500 g</v>
      </c>
      <c r="I2489" s="6" t="str">
        <f>"200901"</f>
        <v>200901</v>
      </c>
      <c r="J2489" s="6" t="str">
        <f>"ROSA 901"</f>
        <v>ROSA 901</v>
      </c>
      <c r="K2489" s="6" t="str">
        <f>"0520"</f>
        <v>0520</v>
      </c>
      <c r="L2489" s="6" t="str">
        <f>"Toalhetes"</f>
        <v>Toalhetes</v>
      </c>
      <c r="M2489" s="6" t="str">
        <f>"30x50"</f>
        <v>30x50</v>
      </c>
      <c r="N2489" s="6" t="str">
        <f>"5602972281101"</f>
        <v>5602972281101</v>
      </c>
      <c r="O2489" s="8">
        <v>12</v>
      </c>
      <c r="R2489" s="8">
        <v>0</v>
      </c>
      <c r="U2489" s="8">
        <v>0</v>
      </c>
      <c r="X2489" s="8">
        <v>0</v>
      </c>
      <c r="Z2489" s="8">
        <v>0</v>
      </c>
      <c r="AC2489" s="8">
        <v>0</v>
      </c>
      <c r="AF2489" s="8">
        <v>0</v>
      </c>
      <c r="AN2489" s="8">
        <v>12</v>
      </c>
      <c r="AO2489" s="8">
        <v>0</v>
      </c>
    </row>
    <row r="2490" spans="1:41" x14ac:dyDescent="0.25">
      <c r="A2490" s="6" t="str">
        <f t="shared" si="580"/>
        <v>522-2026000266</v>
      </c>
      <c r="B2490" s="6" t="str">
        <f t="shared" si="567"/>
        <v>EL CORTE</v>
      </c>
      <c r="C2490" s="7">
        <v>46037</v>
      </c>
      <c r="D2490" s="7">
        <v>46042</v>
      </c>
      <c r="E2490" s="8">
        <v>7</v>
      </c>
      <c r="F2490" s="6" t="str">
        <f t="shared" si="581"/>
        <v>94824701_07026</v>
      </c>
      <c r="G2490" s="6" t="str">
        <f t="shared" si="568"/>
        <v>F310631650000000</v>
      </c>
      <c r="H2490" s="6" t="str">
        <f t="shared" si="569"/>
        <v>PLAR 6316 FD - 500 g</v>
      </c>
      <c r="I2490" s="6" t="str">
        <f>"200901"</f>
        <v>200901</v>
      </c>
      <c r="J2490" s="6" t="str">
        <f>"ROSA 901"</f>
        <v>ROSA 901</v>
      </c>
      <c r="K2490" s="6" t="str">
        <f>"1024"</f>
        <v>1024</v>
      </c>
      <c r="L2490" s="6" t="str">
        <f>"Toalhas"</f>
        <v>Toalhas</v>
      </c>
      <c r="M2490" s="6" t="str">
        <f>"50x100"</f>
        <v>50x100</v>
      </c>
      <c r="N2490" s="6" t="str">
        <f>"5602972281118"</f>
        <v>5602972281118</v>
      </c>
      <c r="O2490" s="8">
        <v>12</v>
      </c>
      <c r="R2490" s="8">
        <v>0</v>
      </c>
      <c r="U2490" s="8">
        <v>0</v>
      </c>
      <c r="X2490" s="8">
        <v>0</v>
      </c>
      <c r="Z2490" s="8">
        <v>0</v>
      </c>
      <c r="AC2490" s="8">
        <v>0</v>
      </c>
      <c r="AF2490" s="8">
        <v>0</v>
      </c>
      <c r="AN2490" s="8">
        <v>12</v>
      </c>
      <c r="AO2490" s="8">
        <v>0</v>
      </c>
    </row>
    <row r="2491" spans="1:41" x14ac:dyDescent="0.25">
      <c r="A2491" s="6" t="str">
        <f t="shared" si="580"/>
        <v>522-2026000266</v>
      </c>
      <c r="B2491" s="6" t="str">
        <f t="shared" si="567"/>
        <v>EL CORTE</v>
      </c>
      <c r="C2491" s="7">
        <v>46037</v>
      </c>
      <c r="D2491" s="7">
        <v>46042</v>
      </c>
      <c r="E2491" s="8">
        <v>8</v>
      </c>
      <c r="F2491" s="6" t="str">
        <f t="shared" si="581"/>
        <v>94824701_07026</v>
      </c>
      <c r="G2491" s="6" t="str">
        <f t="shared" si="568"/>
        <v>F310631650000000</v>
      </c>
      <c r="H2491" s="6" t="str">
        <f t="shared" si="569"/>
        <v>PLAR 6316 FD - 500 g</v>
      </c>
      <c r="I2491" s="6" t="str">
        <f>"200901"</f>
        <v>200901</v>
      </c>
      <c r="J2491" s="6" t="str">
        <f>"ROSA 901"</f>
        <v>ROSA 901</v>
      </c>
      <c r="K2491" s="6" t="str">
        <f>"2020"</f>
        <v>2020</v>
      </c>
      <c r="L2491" s="6" t="str">
        <f>"Lençóis"</f>
        <v>Lençóis</v>
      </c>
      <c r="M2491" s="6" t="str">
        <f>"100x150"</f>
        <v>100x150</v>
      </c>
      <c r="N2491" s="6" t="str">
        <f>"5602972281125"</f>
        <v>5602972281125</v>
      </c>
      <c r="O2491" s="8">
        <v>6</v>
      </c>
      <c r="R2491" s="8">
        <v>0</v>
      </c>
      <c r="U2491" s="8">
        <v>0</v>
      </c>
      <c r="X2491" s="8">
        <v>0</v>
      </c>
      <c r="Z2491" s="8">
        <v>0</v>
      </c>
      <c r="AC2491" s="8">
        <v>0</v>
      </c>
      <c r="AF2491" s="8">
        <v>0</v>
      </c>
      <c r="AN2491" s="8">
        <v>0</v>
      </c>
      <c r="AO2491" s="8">
        <v>6</v>
      </c>
    </row>
    <row r="2492" spans="1:41" x14ac:dyDescent="0.25">
      <c r="A2492" s="6" t="str">
        <f t="shared" si="580"/>
        <v>522-2026000266</v>
      </c>
      <c r="B2492" s="6" t="str">
        <f t="shared" si="567"/>
        <v>EL CORTE</v>
      </c>
      <c r="C2492" s="7">
        <v>46037</v>
      </c>
      <c r="D2492" s="7">
        <v>46042</v>
      </c>
      <c r="E2492" s="8">
        <v>9</v>
      </c>
      <c r="F2492" s="6" t="str">
        <f t="shared" si="581"/>
        <v>94824701_07026</v>
      </c>
      <c r="G2492" s="6" t="str">
        <f t="shared" si="568"/>
        <v>F310631650000000</v>
      </c>
      <c r="H2492" s="6" t="str">
        <f t="shared" si="569"/>
        <v>PLAR 6316 FD - 500 g</v>
      </c>
      <c r="I2492" s="6" t="str">
        <f>"200510"</f>
        <v>200510</v>
      </c>
      <c r="J2492" s="6" t="str">
        <f>"VERDE 510"</f>
        <v>VERDE 510</v>
      </c>
      <c r="K2492" s="6" t="str">
        <f>"0520"</f>
        <v>0520</v>
      </c>
      <c r="L2492" s="6" t="str">
        <f>"Toalhetes"</f>
        <v>Toalhetes</v>
      </c>
      <c r="M2492" s="6" t="str">
        <f>"30x50"</f>
        <v>30x50</v>
      </c>
      <c r="N2492" s="6" t="str">
        <f>"5602972281132"</f>
        <v>5602972281132</v>
      </c>
      <c r="O2492" s="8">
        <v>6</v>
      </c>
      <c r="R2492" s="8">
        <v>0</v>
      </c>
      <c r="U2492" s="8">
        <v>0</v>
      </c>
      <c r="X2492" s="8">
        <v>0</v>
      </c>
      <c r="Z2492" s="8">
        <v>0</v>
      </c>
      <c r="AC2492" s="8">
        <v>0</v>
      </c>
      <c r="AF2492" s="8">
        <v>0</v>
      </c>
      <c r="AN2492" s="8">
        <v>6</v>
      </c>
      <c r="AO2492" s="8">
        <v>0</v>
      </c>
    </row>
    <row r="2493" spans="1:41" x14ac:dyDescent="0.25">
      <c r="A2493" s="6" t="str">
        <f t="shared" si="580"/>
        <v>522-2026000266</v>
      </c>
      <c r="B2493" s="6" t="str">
        <f t="shared" si="567"/>
        <v>EL CORTE</v>
      </c>
      <c r="C2493" s="7">
        <v>46037</v>
      </c>
      <c r="D2493" s="7">
        <v>46042</v>
      </c>
      <c r="E2493" s="8">
        <v>10</v>
      </c>
      <c r="F2493" s="6" t="str">
        <f t="shared" si="581"/>
        <v>94824701_07026</v>
      </c>
      <c r="G2493" s="6" t="str">
        <f t="shared" si="568"/>
        <v>F310631650000000</v>
      </c>
      <c r="H2493" s="6" t="str">
        <f t="shared" si="569"/>
        <v>PLAR 6316 FD - 500 g</v>
      </c>
      <c r="I2493" s="6" t="str">
        <f>"200510"</f>
        <v>200510</v>
      </c>
      <c r="J2493" s="6" t="str">
        <f>"VERDE 510"</f>
        <v>VERDE 510</v>
      </c>
      <c r="K2493" s="6" t="str">
        <f>"1024"</f>
        <v>1024</v>
      </c>
      <c r="L2493" s="6" t="str">
        <f>"Toalhas"</f>
        <v>Toalhas</v>
      </c>
      <c r="M2493" s="6" t="str">
        <f>"50x100"</f>
        <v>50x100</v>
      </c>
      <c r="N2493" s="6" t="str">
        <f>"5602972281149"</f>
        <v>5602972281149</v>
      </c>
      <c r="O2493" s="8">
        <v>6</v>
      </c>
      <c r="R2493" s="8">
        <v>0</v>
      </c>
      <c r="U2493" s="8">
        <v>0</v>
      </c>
      <c r="X2493" s="8">
        <v>0</v>
      </c>
      <c r="Z2493" s="8">
        <v>0</v>
      </c>
      <c r="AC2493" s="8">
        <v>0</v>
      </c>
      <c r="AF2493" s="8">
        <v>0</v>
      </c>
      <c r="AN2493" s="8">
        <v>6</v>
      </c>
      <c r="AO2493" s="8">
        <v>0</v>
      </c>
    </row>
    <row r="2494" spans="1:41" x14ac:dyDescent="0.25">
      <c r="A2494" s="6" t="str">
        <f t="shared" si="580"/>
        <v>522-2026000266</v>
      </c>
      <c r="B2494" s="6" t="str">
        <f t="shared" si="567"/>
        <v>EL CORTE</v>
      </c>
      <c r="C2494" s="7">
        <v>46037</v>
      </c>
      <c r="D2494" s="7">
        <v>46042</v>
      </c>
      <c r="E2494" s="8">
        <v>11</v>
      </c>
      <c r="F2494" s="6" t="str">
        <f t="shared" si="581"/>
        <v>94824701_07026</v>
      </c>
      <c r="G2494" s="6" t="str">
        <f t="shared" si="568"/>
        <v>F310631650000000</v>
      </c>
      <c r="H2494" s="6" t="str">
        <f t="shared" si="569"/>
        <v>PLAR 6316 FD - 500 g</v>
      </c>
      <c r="I2494" s="6" t="str">
        <f>"200510"</f>
        <v>200510</v>
      </c>
      <c r="J2494" s="6" t="str">
        <f>"VERDE 510"</f>
        <v>VERDE 510</v>
      </c>
      <c r="K2494" s="6" t="str">
        <f>"2020"</f>
        <v>2020</v>
      </c>
      <c r="L2494" s="6" t="str">
        <f>"Lençóis"</f>
        <v>Lençóis</v>
      </c>
      <c r="M2494" s="6" t="str">
        <f>"100x150"</f>
        <v>100x150</v>
      </c>
      <c r="N2494" s="6" t="str">
        <f>"5602972281156"</f>
        <v>5602972281156</v>
      </c>
      <c r="O2494" s="8">
        <v>6</v>
      </c>
      <c r="R2494" s="8">
        <v>0</v>
      </c>
      <c r="U2494" s="8">
        <v>0</v>
      </c>
      <c r="X2494" s="8">
        <v>0</v>
      </c>
      <c r="Z2494" s="8">
        <v>0</v>
      </c>
      <c r="AC2494" s="8">
        <v>0</v>
      </c>
      <c r="AF2494" s="8">
        <v>0</v>
      </c>
      <c r="AN2494" s="8">
        <v>0</v>
      </c>
      <c r="AO2494" s="8">
        <v>6</v>
      </c>
    </row>
    <row r="2495" spans="1:41" x14ac:dyDescent="0.25">
      <c r="A2495" s="6" t="str">
        <f t="shared" ref="A2495:A2503" si="582">"522-2026000267"</f>
        <v>522-2026000267</v>
      </c>
      <c r="B2495" s="6" t="str">
        <f t="shared" si="567"/>
        <v>EL CORTE</v>
      </c>
      <c r="C2495" s="7">
        <v>46037</v>
      </c>
      <c r="D2495" s="7">
        <v>46042</v>
      </c>
      <c r="E2495" s="8">
        <v>1</v>
      </c>
      <c r="F2495" s="6" t="str">
        <f t="shared" ref="F2495:F2503" si="583">"94825401_07026"</f>
        <v>94825401_07026</v>
      </c>
      <c r="G2495" s="6" t="str">
        <f t="shared" si="568"/>
        <v>F310631650000000</v>
      </c>
      <c r="H2495" s="6" t="str">
        <f t="shared" si="569"/>
        <v>PLAR 6316 FD - 500 g</v>
      </c>
      <c r="I2495" s="6" t="str">
        <f>"201855"</f>
        <v>201855</v>
      </c>
      <c r="J2495" s="6" t="str">
        <f>"AZUL 1855"</f>
        <v>AZUL 1855</v>
      </c>
      <c r="K2495" s="6" t="str">
        <f>"1024"</f>
        <v>1024</v>
      </c>
      <c r="L2495" s="6" t="str">
        <f>"Toalhas"</f>
        <v>Toalhas</v>
      </c>
      <c r="M2495" s="6" t="str">
        <f>"50x100"</f>
        <v>50x100</v>
      </c>
      <c r="N2495" s="6" t="str">
        <f>"5602972281057"</f>
        <v>5602972281057</v>
      </c>
      <c r="O2495" s="8">
        <v>6</v>
      </c>
      <c r="R2495" s="8">
        <v>0</v>
      </c>
      <c r="U2495" s="8">
        <v>0</v>
      </c>
      <c r="X2495" s="8">
        <v>0</v>
      </c>
      <c r="Z2495" s="8">
        <v>0</v>
      </c>
      <c r="AC2495" s="8">
        <v>0</v>
      </c>
      <c r="AF2495" s="8">
        <v>0</v>
      </c>
      <c r="AN2495" s="8">
        <v>6</v>
      </c>
      <c r="AO2495" s="8">
        <v>0</v>
      </c>
    </row>
    <row r="2496" spans="1:41" x14ac:dyDescent="0.25">
      <c r="A2496" s="6" t="str">
        <f t="shared" si="582"/>
        <v>522-2026000267</v>
      </c>
      <c r="B2496" s="6" t="str">
        <f t="shared" si="567"/>
        <v>EL CORTE</v>
      </c>
      <c r="C2496" s="7">
        <v>46037</v>
      </c>
      <c r="D2496" s="7">
        <v>46042</v>
      </c>
      <c r="E2496" s="8">
        <v>2</v>
      </c>
      <c r="F2496" s="6" t="str">
        <f t="shared" si="583"/>
        <v>94825401_07026</v>
      </c>
      <c r="G2496" s="6" t="str">
        <f t="shared" si="568"/>
        <v>F310631650000000</v>
      </c>
      <c r="H2496" s="6" t="str">
        <f t="shared" si="569"/>
        <v>PLAR 6316 FD - 500 g</v>
      </c>
      <c r="I2496" s="6" t="str">
        <f>"201855"</f>
        <v>201855</v>
      </c>
      <c r="J2496" s="6" t="str">
        <f>"AZUL 1855"</f>
        <v>AZUL 1855</v>
      </c>
      <c r="K2496" s="6" t="str">
        <f>"2020"</f>
        <v>2020</v>
      </c>
      <c r="L2496" s="6" t="str">
        <f>"Lençóis"</f>
        <v>Lençóis</v>
      </c>
      <c r="M2496" s="6" t="str">
        <f>"100x150"</f>
        <v>100x150</v>
      </c>
      <c r="N2496" s="6" t="str">
        <f>"5602972281064"</f>
        <v>5602972281064</v>
      </c>
      <c r="O2496" s="8">
        <v>6</v>
      </c>
      <c r="R2496" s="8">
        <v>0</v>
      </c>
      <c r="U2496" s="8">
        <v>0</v>
      </c>
      <c r="X2496" s="8">
        <v>0</v>
      </c>
      <c r="Z2496" s="8">
        <v>0</v>
      </c>
      <c r="AC2496" s="8">
        <v>0</v>
      </c>
      <c r="AF2496" s="8">
        <v>0</v>
      </c>
      <c r="AN2496" s="8">
        <v>0</v>
      </c>
      <c r="AO2496" s="8">
        <v>6</v>
      </c>
    </row>
    <row r="2497" spans="1:41" x14ac:dyDescent="0.25">
      <c r="A2497" s="6" t="str">
        <f t="shared" si="582"/>
        <v>522-2026000267</v>
      </c>
      <c r="B2497" s="6" t="str">
        <f t="shared" si="567"/>
        <v>EL CORTE</v>
      </c>
      <c r="C2497" s="7">
        <v>46037</v>
      </c>
      <c r="D2497" s="7">
        <v>46042</v>
      </c>
      <c r="E2497" s="8">
        <v>3</v>
      </c>
      <c r="F2497" s="6" t="str">
        <f t="shared" si="583"/>
        <v>94825401_07026</v>
      </c>
      <c r="G2497" s="6" t="str">
        <f t="shared" si="568"/>
        <v>F310631650000000</v>
      </c>
      <c r="H2497" s="6" t="str">
        <f t="shared" si="569"/>
        <v>PLAR 6316 FD - 500 g</v>
      </c>
      <c r="I2497" s="6" t="str">
        <f>"202575"</f>
        <v>202575</v>
      </c>
      <c r="J2497" s="6" t="str">
        <f>"BEGE 2575"</f>
        <v>BEGE 2575</v>
      </c>
      <c r="K2497" s="6" t="str">
        <f>"0520"</f>
        <v>0520</v>
      </c>
      <c r="L2497" s="6" t="str">
        <f>"Toalhetes"</f>
        <v>Toalhetes</v>
      </c>
      <c r="M2497" s="6" t="str">
        <f>"30x50"</f>
        <v>30x50</v>
      </c>
      <c r="N2497" s="6" t="str">
        <f>"5602972281071"</f>
        <v>5602972281071</v>
      </c>
      <c r="O2497" s="8">
        <v>6</v>
      </c>
      <c r="R2497" s="8">
        <v>0</v>
      </c>
      <c r="U2497" s="8">
        <v>0</v>
      </c>
      <c r="X2497" s="8">
        <v>0</v>
      </c>
      <c r="Z2497" s="8">
        <v>0</v>
      </c>
      <c r="AC2497" s="8">
        <v>0</v>
      </c>
      <c r="AF2497" s="8">
        <v>0</v>
      </c>
      <c r="AN2497" s="8">
        <v>6</v>
      </c>
      <c r="AO2497" s="8">
        <v>0</v>
      </c>
    </row>
    <row r="2498" spans="1:41" x14ac:dyDescent="0.25">
      <c r="A2498" s="6" t="str">
        <f t="shared" si="582"/>
        <v>522-2026000267</v>
      </c>
      <c r="B2498" s="6" t="str">
        <f t="shared" si="567"/>
        <v>EL CORTE</v>
      </c>
      <c r="C2498" s="7">
        <v>46037</v>
      </c>
      <c r="D2498" s="7">
        <v>46042</v>
      </c>
      <c r="E2498" s="8">
        <v>4</v>
      </c>
      <c r="F2498" s="6" t="str">
        <f t="shared" si="583"/>
        <v>94825401_07026</v>
      </c>
      <c r="G2498" s="6" t="str">
        <f t="shared" si="568"/>
        <v>F310631650000000</v>
      </c>
      <c r="H2498" s="6" t="str">
        <f t="shared" si="569"/>
        <v>PLAR 6316 FD - 500 g</v>
      </c>
      <c r="I2498" s="6" t="str">
        <f>"202575"</f>
        <v>202575</v>
      </c>
      <c r="J2498" s="6" t="str">
        <f>"BEGE 2575"</f>
        <v>BEGE 2575</v>
      </c>
      <c r="K2498" s="6" t="str">
        <f>"1024"</f>
        <v>1024</v>
      </c>
      <c r="L2498" s="6" t="str">
        <f>"Toalhas"</f>
        <v>Toalhas</v>
      </c>
      <c r="M2498" s="6" t="str">
        <f>"50x100"</f>
        <v>50x100</v>
      </c>
      <c r="N2498" s="6" t="str">
        <f>"5602972281088"</f>
        <v>5602972281088</v>
      </c>
      <c r="O2498" s="8">
        <v>6</v>
      </c>
      <c r="R2498" s="8">
        <v>0</v>
      </c>
      <c r="U2498" s="8">
        <v>0</v>
      </c>
      <c r="X2498" s="8">
        <v>0</v>
      </c>
      <c r="Z2498" s="8">
        <v>0</v>
      </c>
      <c r="AC2498" s="8">
        <v>0</v>
      </c>
      <c r="AF2498" s="8">
        <v>0</v>
      </c>
      <c r="AN2498" s="8">
        <v>6</v>
      </c>
      <c r="AO2498" s="8">
        <v>0</v>
      </c>
    </row>
    <row r="2499" spans="1:41" x14ac:dyDescent="0.25">
      <c r="A2499" s="6" t="str">
        <f t="shared" si="582"/>
        <v>522-2026000267</v>
      </c>
      <c r="B2499" s="6" t="str">
        <f t="shared" si="567"/>
        <v>EL CORTE</v>
      </c>
      <c r="C2499" s="7">
        <v>46037</v>
      </c>
      <c r="D2499" s="7">
        <v>46042</v>
      </c>
      <c r="E2499" s="8">
        <v>5</v>
      </c>
      <c r="F2499" s="6" t="str">
        <f t="shared" si="583"/>
        <v>94825401_07026</v>
      </c>
      <c r="G2499" s="6" t="str">
        <f t="shared" si="568"/>
        <v>F310631650000000</v>
      </c>
      <c r="H2499" s="6" t="str">
        <f t="shared" si="569"/>
        <v>PLAR 6316 FD - 500 g</v>
      </c>
      <c r="I2499" s="6" t="str">
        <f>"202575"</f>
        <v>202575</v>
      </c>
      <c r="J2499" s="6" t="str">
        <f>"BEGE 2575"</f>
        <v>BEGE 2575</v>
      </c>
      <c r="K2499" s="6" t="str">
        <f>"2020"</f>
        <v>2020</v>
      </c>
      <c r="L2499" s="6" t="str">
        <f>"Lençóis"</f>
        <v>Lençóis</v>
      </c>
      <c r="M2499" s="6" t="str">
        <f>"100x150"</f>
        <v>100x150</v>
      </c>
      <c r="N2499" s="6" t="str">
        <f>"5602972281095"</f>
        <v>5602972281095</v>
      </c>
      <c r="O2499" s="8">
        <v>9</v>
      </c>
      <c r="R2499" s="8">
        <v>0</v>
      </c>
      <c r="U2499" s="8">
        <v>0</v>
      </c>
      <c r="X2499" s="8">
        <v>0</v>
      </c>
      <c r="Z2499" s="8">
        <v>0</v>
      </c>
      <c r="AC2499" s="8">
        <v>0</v>
      </c>
      <c r="AF2499" s="8">
        <v>0</v>
      </c>
      <c r="AN2499" s="8">
        <v>0</v>
      </c>
      <c r="AO2499" s="8">
        <v>9</v>
      </c>
    </row>
    <row r="2500" spans="1:41" x14ac:dyDescent="0.25">
      <c r="A2500" s="6" t="str">
        <f t="shared" si="582"/>
        <v>522-2026000267</v>
      </c>
      <c r="B2500" s="6" t="str">
        <f t="shared" si="567"/>
        <v>EL CORTE</v>
      </c>
      <c r="C2500" s="7">
        <v>46037</v>
      </c>
      <c r="D2500" s="7">
        <v>46042</v>
      </c>
      <c r="E2500" s="8">
        <v>6</v>
      </c>
      <c r="F2500" s="6" t="str">
        <f t="shared" si="583"/>
        <v>94825401_07026</v>
      </c>
      <c r="G2500" s="6" t="str">
        <f t="shared" si="568"/>
        <v>F310631650000000</v>
      </c>
      <c r="H2500" s="6" t="str">
        <f t="shared" si="569"/>
        <v>PLAR 6316 FD - 500 g</v>
      </c>
      <c r="I2500" s="6" t="str">
        <f>"200901"</f>
        <v>200901</v>
      </c>
      <c r="J2500" s="6" t="str">
        <f>"ROSA 901"</f>
        <v>ROSA 901</v>
      </c>
      <c r="K2500" s="6" t="str">
        <f>"0520"</f>
        <v>0520</v>
      </c>
      <c r="L2500" s="6" t="str">
        <f>"Toalhetes"</f>
        <v>Toalhetes</v>
      </c>
      <c r="M2500" s="6" t="str">
        <f>"30x50"</f>
        <v>30x50</v>
      </c>
      <c r="N2500" s="6" t="str">
        <f>"5602972281101"</f>
        <v>5602972281101</v>
      </c>
      <c r="O2500" s="8">
        <v>6</v>
      </c>
      <c r="R2500" s="8">
        <v>0</v>
      </c>
      <c r="U2500" s="8">
        <v>0</v>
      </c>
      <c r="X2500" s="8">
        <v>0</v>
      </c>
      <c r="Z2500" s="8">
        <v>0</v>
      </c>
      <c r="AC2500" s="8">
        <v>0</v>
      </c>
      <c r="AF2500" s="8">
        <v>0</v>
      </c>
      <c r="AN2500" s="8">
        <v>6</v>
      </c>
      <c r="AO2500" s="8">
        <v>0</v>
      </c>
    </row>
    <row r="2501" spans="1:41" x14ac:dyDescent="0.25">
      <c r="A2501" s="6" t="str">
        <f t="shared" si="582"/>
        <v>522-2026000267</v>
      </c>
      <c r="B2501" s="6" t="str">
        <f t="shared" si="567"/>
        <v>EL CORTE</v>
      </c>
      <c r="C2501" s="7">
        <v>46037</v>
      </c>
      <c r="D2501" s="7">
        <v>46042</v>
      </c>
      <c r="E2501" s="8">
        <v>7</v>
      </c>
      <c r="F2501" s="6" t="str">
        <f t="shared" si="583"/>
        <v>94825401_07026</v>
      </c>
      <c r="G2501" s="6" t="str">
        <f t="shared" si="568"/>
        <v>F310631650000000</v>
      </c>
      <c r="H2501" s="6" t="str">
        <f t="shared" si="569"/>
        <v>PLAR 6316 FD - 500 g</v>
      </c>
      <c r="I2501" s="6" t="str">
        <f>"200901"</f>
        <v>200901</v>
      </c>
      <c r="J2501" s="6" t="str">
        <f>"ROSA 901"</f>
        <v>ROSA 901</v>
      </c>
      <c r="K2501" s="6" t="str">
        <f>"2020"</f>
        <v>2020</v>
      </c>
      <c r="L2501" s="6" t="str">
        <f>"Lençóis"</f>
        <v>Lençóis</v>
      </c>
      <c r="M2501" s="6" t="str">
        <f>"100x150"</f>
        <v>100x150</v>
      </c>
      <c r="N2501" s="6" t="str">
        <f>"5602972281125"</f>
        <v>5602972281125</v>
      </c>
      <c r="O2501" s="8">
        <v>9</v>
      </c>
      <c r="R2501" s="8">
        <v>0</v>
      </c>
      <c r="U2501" s="8">
        <v>0</v>
      </c>
      <c r="X2501" s="8">
        <v>0</v>
      </c>
      <c r="Z2501" s="8">
        <v>0</v>
      </c>
      <c r="AC2501" s="8">
        <v>0</v>
      </c>
      <c r="AF2501" s="8">
        <v>0</v>
      </c>
      <c r="AN2501" s="8">
        <v>0</v>
      </c>
      <c r="AO2501" s="8">
        <v>9</v>
      </c>
    </row>
    <row r="2502" spans="1:41" x14ac:dyDescent="0.25">
      <c r="A2502" s="6" t="str">
        <f t="shared" si="582"/>
        <v>522-2026000267</v>
      </c>
      <c r="B2502" s="6" t="str">
        <f t="shared" si="567"/>
        <v>EL CORTE</v>
      </c>
      <c r="C2502" s="7">
        <v>46037</v>
      </c>
      <c r="D2502" s="7">
        <v>46042</v>
      </c>
      <c r="E2502" s="8">
        <v>8</v>
      </c>
      <c r="F2502" s="6" t="str">
        <f t="shared" si="583"/>
        <v>94825401_07026</v>
      </c>
      <c r="G2502" s="6" t="str">
        <f t="shared" si="568"/>
        <v>F310631650000000</v>
      </c>
      <c r="H2502" s="6" t="str">
        <f t="shared" si="569"/>
        <v>PLAR 6316 FD - 500 g</v>
      </c>
      <c r="I2502" s="6" t="str">
        <f>"200510"</f>
        <v>200510</v>
      </c>
      <c r="J2502" s="6" t="str">
        <f>"VERDE 510"</f>
        <v>VERDE 510</v>
      </c>
      <c r="K2502" s="6" t="str">
        <f>"0520"</f>
        <v>0520</v>
      </c>
      <c r="L2502" s="6" t="str">
        <f>"Toalhetes"</f>
        <v>Toalhetes</v>
      </c>
      <c r="M2502" s="6" t="str">
        <f>"30x50"</f>
        <v>30x50</v>
      </c>
      <c r="N2502" s="6" t="str">
        <f>"5602972281132"</f>
        <v>5602972281132</v>
      </c>
      <c r="O2502" s="8">
        <v>6</v>
      </c>
      <c r="R2502" s="8">
        <v>0</v>
      </c>
      <c r="U2502" s="8">
        <v>0</v>
      </c>
      <c r="X2502" s="8">
        <v>0</v>
      </c>
      <c r="Z2502" s="8">
        <v>0</v>
      </c>
      <c r="AC2502" s="8">
        <v>0</v>
      </c>
      <c r="AF2502" s="8">
        <v>0</v>
      </c>
      <c r="AN2502" s="8">
        <v>6</v>
      </c>
      <c r="AO2502" s="8">
        <v>0</v>
      </c>
    </row>
    <row r="2503" spans="1:41" x14ac:dyDescent="0.25">
      <c r="A2503" s="6" t="str">
        <f t="shared" si="582"/>
        <v>522-2026000267</v>
      </c>
      <c r="B2503" s="6" t="str">
        <f t="shared" ref="B2503:B2566" si="584">"EL CORTE"</f>
        <v>EL CORTE</v>
      </c>
      <c r="C2503" s="7">
        <v>46037</v>
      </c>
      <c r="D2503" s="7">
        <v>46042</v>
      </c>
      <c r="E2503" s="8">
        <v>9</v>
      </c>
      <c r="F2503" s="6" t="str">
        <f t="shared" si="583"/>
        <v>94825401_07026</v>
      </c>
      <c r="G2503" s="6" t="str">
        <f t="shared" ref="G2503:G2566" si="585">"F310631650000000"</f>
        <v>F310631650000000</v>
      </c>
      <c r="H2503" s="6" t="str">
        <f t="shared" ref="H2503:H2566" si="586">"PLAR 6316 FD - 500 g"</f>
        <v>PLAR 6316 FD - 500 g</v>
      </c>
      <c r="I2503" s="6" t="str">
        <f>"200510"</f>
        <v>200510</v>
      </c>
      <c r="J2503" s="6" t="str">
        <f>"VERDE 510"</f>
        <v>VERDE 510</v>
      </c>
      <c r="K2503" s="6" t="str">
        <f>"1024"</f>
        <v>1024</v>
      </c>
      <c r="L2503" s="6" t="str">
        <f>"Toalhas"</f>
        <v>Toalhas</v>
      </c>
      <c r="M2503" s="6" t="str">
        <f>"50x100"</f>
        <v>50x100</v>
      </c>
      <c r="N2503" s="6" t="str">
        <f>"5602972281149"</f>
        <v>5602972281149</v>
      </c>
      <c r="O2503" s="8">
        <v>6</v>
      </c>
      <c r="R2503" s="8">
        <v>0</v>
      </c>
      <c r="U2503" s="8">
        <v>0</v>
      </c>
      <c r="X2503" s="8">
        <v>0</v>
      </c>
      <c r="Z2503" s="8">
        <v>0</v>
      </c>
      <c r="AC2503" s="8">
        <v>0</v>
      </c>
      <c r="AF2503" s="8">
        <v>0</v>
      </c>
      <c r="AN2503" s="8">
        <v>6</v>
      </c>
      <c r="AO2503" s="8">
        <v>0</v>
      </c>
    </row>
    <row r="2504" spans="1:41" x14ac:dyDescent="0.25">
      <c r="A2504" s="6" t="str">
        <f t="shared" ref="A2504:A2513" si="587">"522-2026000268"</f>
        <v>522-2026000268</v>
      </c>
      <c r="B2504" s="6" t="str">
        <f t="shared" si="584"/>
        <v>EL CORTE</v>
      </c>
      <c r="C2504" s="7">
        <v>46037</v>
      </c>
      <c r="D2504" s="7">
        <v>46042</v>
      </c>
      <c r="E2504" s="8">
        <v>1</v>
      </c>
      <c r="F2504" s="6" t="str">
        <f t="shared" ref="F2504:F2513" si="588">"94825301_07026"</f>
        <v>94825301_07026</v>
      </c>
      <c r="G2504" s="6" t="str">
        <f t="shared" si="585"/>
        <v>F310631650000000</v>
      </c>
      <c r="H2504" s="6" t="str">
        <f t="shared" si="586"/>
        <v>PLAR 6316 FD - 500 g</v>
      </c>
      <c r="I2504" s="6" t="str">
        <f>"201855"</f>
        <v>201855</v>
      </c>
      <c r="J2504" s="6" t="str">
        <f>"AZUL 1855"</f>
        <v>AZUL 1855</v>
      </c>
      <c r="K2504" s="6" t="str">
        <f>"1024"</f>
        <v>1024</v>
      </c>
      <c r="L2504" s="6" t="str">
        <f>"Toalhas"</f>
        <v>Toalhas</v>
      </c>
      <c r="M2504" s="6" t="str">
        <f>"50x100"</f>
        <v>50x100</v>
      </c>
      <c r="N2504" s="6" t="str">
        <f>"5602972281057"</f>
        <v>5602972281057</v>
      </c>
      <c r="O2504" s="8">
        <v>6</v>
      </c>
      <c r="R2504" s="8">
        <v>0</v>
      </c>
      <c r="U2504" s="8">
        <v>0</v>
      </c>
      <c r="X2504" s="8">
        <v>0</v>
      </c>
      <c r="Z2504" s="8">
        <v>0</v>
      </c>
      <c r="AC2504" s="8">
        <v>0</v>
      </c>
      <c r="AF2504" s="8">
        <v>0</v>
      </c>
      <c r="AN2504" s="8">
        <v>6</v>
      </c>
      <c r="AO2504" s="8">
        <v>0</v>
      </c>
    </row>
    <row r="2505" spans="1:41" x14ac:dyDescent="0.25">
      <c r="A2505" s="6" t="str">
        <f t="shared" si="587"/>
        <v>522-2026000268</v>
      </c>
      <c r="B2505" s="6" t="str">
        <f t="shared" si="584"/>
        <v>EL CORTE</v>
      </c>
      <c r="C2505" s="7">
        <v>46037</v>
      </c>
      <c r="D2505" s="7">
        <v>46042</v>
      </c>
      <c r="E2505" s="8">
        <v>2</v>
      </c>
      <c r="F2505" s="6" t="str">
        <f t="shared" si="588"/>
        <v>94825301_07026</v>
      </c>
      <c r="G2505" s="6" t="str">
        <f t="shared" si="585"/>
        <v>F310631650000000</v>
      </c>
      <c r="H2505" s="6" t="str">
        <f t="shared" si="586"/>
        <v>PLAR 6316 FD - 500 g</v>
      </c>
      <c r="I2505" s="6" t="str">
        <f>"201855"</f>
        <v>201855</v>
      </c>
      <c r="J2505" s="6" t="str">
        <f>"AZUL 1855"</f>
        <v>AZUL 1855</v>
      </c>
      <c r="K2505" s="6" t="str">
        <f>"2020"</f>
        <v>2020</v>
      </c>
      <c r="L2505" s="6" t="str">
        <f>"Lençóis"</f>
        <v>Lençóis</v>
      </c>
      <c r="M2505" s="6" t="str">
        <f>"100x150"</f>
        <v>100x150</v>
      </c>
      <c r="N2505" s="6" t="str">
        <f>"5602972281064"</f>
        <v>5602972281064</v>
      </c>
      <c r="O2505" s="8">
        <v>6</v>
      </c>
      <c r="R2505" s="8">
        <v>0</v>
      </c>
      <c r="U2505" s="8">
        <v>0</v>
      </c>
      <c r="X2505" s="8">
        <v>0</v>
      </c>
      <c r="Z2505" s="8">
        <v>0</v>
      </c>
      <c r="AC2505" s="8">
        <v>0</v>
      </c>
      <c r="AF2505" s="8">
        <v>0</v>
      </c>
      <c r="AN2505" s="8">
        <v>0</v>
      </c>
      <c r="AO2505" s="8">
        <v>6</v>
      </c>
    </row>
    <row r="2506" spans="1:41" x14ac:dyDescent="0.25">
      <c r="A2506" s="6" t="str">
        <f t="shared" si="587"/>
        <v>522-2026000268</v>
      </c>
      <c r="B2506" s="6" t="str">
        <f t="shared" si="584"/>
        <v>EL CORTE</v>
      </c>
      <c r="C2506" s="7">
        <v>46037</v>
      </c>
      <c r="D2506" s="7">
        <v>46042</v>
      </c>
      <c r="E2506" s="8">
        <v>3</v>
      </c>
      <c r="F2506" s="6" t="str">
        <f t="shared" si="588"/>
        <v>94825301_07026</v>
      </c>
      <c r="G2506" s="6" t="str">
        <f t="shared" si="585"/>
        <v>F310631650000000</v>
      </c>
      <c r="H2506" s="6" t="str">
        <f t="shared" si="586"/>
        <v>PLAR 6316 FD - 500 g</v>
      </c>
      <c r="I2506" s="6" t="str">
        <f>"202575"</f>
        <v>202575</v>
      </c>
      <c r="J2506" s="6" t="str">
        <f>"BEGE 2575"</f>
        <v>BEGE 2575</v>
      </c>
      <c r="K2506" s="6" t="str">
        <f>"0520"</f>
        <v>0520</v>
      </c>
      <c r="L2506" s="6" t="str">
        <f>"Toalhetes"</f>
        <v>Toalhetes</v>
      </c>
      <c r="M2506" s="6" t="str">
        <f>"30x50"</f>
        <v>30x50</v>
      </c>
      <c r="N2506" s="6" t="str">
        <f>"5602972281071"</f>
        <v>5602972281071</v>
      </c>
      <c r="O2506" s="8">
        <v>6</v>
      </c>
      <c r="R2506" s="8">
        <v>0</v>
      </c>
      <c r="U2506" s="8">
        <v>0</v>
      </c>
      <c r="X2506" s="8">
        <v>0</v>
      </c>
      <c r="Z2506" s="8">
        <v>0</v>
      </c>
      <c r="AC2506" s="8">
        <v>0</v>
      </c>
      <c r="AF2506" s="8">
        <v>0</v>
      </c>
      <c r="AN2506" s="8">
        <v>6</v>
      </c>
      <c r="AO2506" s="8">
        <v>0</v>
      </c>
    </row>
    <row r="2507" spans="1:41" x14ac:dyDescent="0.25">
      <c r="A2507" s="6" t="str">
        <f t="shared" si="587"/>
        <v>522-2026000268</v>
      </c>
      <c r="B2507" s="6" t="str">
        <f t="shared" si="584"/>
        <v>EL CORTE</v>
      </c>
      <c r="C2507" s="7">
        <v>46037</v>
      </c>
      <c r="D2507" s="7">
        <v>46042</v>
      </c>
      <c r="E2507" s="8">
        <v>4</v>
      </c>
      <c r="F2507" s="6" t="str">
        <f t="shared" si="588"/>
        <v>94825301_07026</v>
      </c>
      <c r="G2507" s="6" t="str">
        <f t="shared" si="585"/>
        <v>F310631650000000</v>
      </c>
      <c r="H2507" s="6" t="str">
        <f t="shared" si="586"/>
        <v>PLAR 6316 FD - 500 g</v>
      </c>
      <c r="I2507" s="6" t="str">
        <f>"202575"</f>
        <v>202575</v>
      </c>
      <c r="J2507" s="6" t="str">
        <f>"BEGE 2575"</f>
        <v>BEGE 2575</v>
      </c>
      <c r="K2507" s="6" t="str">
        <f>"1024"</f>
        <v>1024</v>
      </c>
      <c r="L2507" s="6" t="str">
        <f>"Toalhas"</f>
        <v>Toalhas</v>
      </c>
      <c r="M2507" s="6" t="str">
        <f>"50x100"</f>
        <v>50x100</v>
      </c>
      <c r="N2507" s="6" t="str">
        <f>"5602972281088"</f>
        <v>5602972281088</v>
      </c>
      <c r="O2507" s="8">
        <v>12</v>
      </c>
      <c r="R2507" s="8">
        <v>0</v>
      </c>
      <c r="U2507" s="8">
        <v>0</v>
      </c>
      <c r="X2507" s="8">
        <v>0</v>
      </c>
      <c r="Z2507" s="8">
        <v>0</v>
      </c>
      <c r="AC2507" s="8">
        <v>0</v>
      </c>
      <c r="AF2507" s="8">
        <v>0</v>
      </c>
      <c r="AN2507" s="8">
        <v>12</v>
      </c>
      <c r="AO2507" s="8">
        <v>0</v>
      </c>
    </row>
    <row r="2508" spans="1:41" x14ac:dyDescent="0.25">
      <c r="A2508" s="6" t="str">
        <f t="shared" si="587"/>
        <v>522-2026000268</v>
      </c>
      <c r="B2508" s="6" t="str">
        <f t="shared" si="584"/>
        <v>EL CORTE</v>
      </c>
      <c r="C2508" s="7">
        <v>46037</v>
      </c>
      <c r="D2508" s="7">
        <v>46042</v>
      </c>
      <c r="E2508" s="8">
        <v>5</v>
      </c>
      <c r="F2508" s="6" t="str">
        <f t="shared" si="588"/>
        <v>94825301_07026</v>
      </c>
      <c r="G2508" s="6" t="str">
        <f t="shared" si="585"/>
        <v>F310631650000000</v>
      </c>
      <c r="H2508" s="6" t="str">
        <f t="shared" si="586"/>
        <v>PLAR 6316 FD - 500 g</v>
      </c>
      <c r="I2508" s="6" t="str">
        <f>"202575"</f>
        <v>202575</v>
      </c>
      <c r="J2508" s="6" t="str">
        <f>"BEGE 2575"</f>
        <v>BEGE 2575</v>
      </c>
      <c r="K2508" s="6" t="str">
        <f>"2020"</f>
        <v>2020</v>
      </c>
      <c r="L2508" s="6" t="str">
        <f>"Lençóis"</f>
        <v>Lençóis</v>
      </c>
      <c r="M2508" s="6" t="str">
        <f>"100x150"</f>
        <v>100x150</v>
      </c>
      <c r="N2508" s="6" t="str">
        <f>"5602972281095"</f>
        <v>5602972281095</v>
      </c>
      <c r="O2508" s="8">
        <v>6</v>
      </c>
      <c r="R2508" s="8">
        <v>0</v>
      </c>
      <c r="U2508" s="8">
        <v>0</v>
      </c>
      <c r="X2508" s="8">
        <v>0</v>
      </c>
      <c r="Z2508" s="8">
        <v>0</v>
      </c>
      <c r="AC2508" s="8">
        <v>0</v>
      </c>
      <c r="AF2508" s="8">
        <v>0</v>
      </c>
      <c r="AN2508" s="8">
        <v>0</v>
      </c>
      <c r="AO2508" s="8">
        <v>6</v>
      </c>
    </row>
    <row r="2509" spans="1:41" x14ac:dyDescent="0.25">
      <c r="A2509" s="6" t="str">
        <f t="shared" si="587"/>
        <v>522-2026000268</v>
      </c>
      <c r="B2509" s="6" t="str">
        <f t="shared" si="584"/>
        <v>EL CORTE</v>
      </c>
      <c r="C2509" s="7">
        <v>46037</v>
      </c>
      <c r="D2509" s="7">
        <v>46042</v>
      </c>
      <c r="E2509" s="8">
        <v>6</v>
      </c>
      <c r="F2509" s="6" t="str">
        <f t="shared" si="588"/>
        <v>94825301_07026</v>
      </c>
      <c r="G2509" s="6" t="str">
        <f t="shared" si="585"/>
        <v>F310631650000000</v>
      </c>
      <c r="H2509" s="6" t="str">
        <f t="shared" si="586"/>
        <v>PLAR 6316 FD - 500 g</v>
      </c>
      <c r="I2509" s="6" t="str">
        <f>"200901"</f>
        <v>200901</v>
      </c>
      <c r="J2509" s="6" t="str">
        <f>"ROSA 901"</f>
        <v>ROSA 901</v>
      </c>
      <c r="K2509" s="6" t="str">
        <f>"0520"</f>
        <v>0520</v>
      </c>
      <c r="L2509" s="6" t="str">
        <f>"Toalhetes"</f>
        <v>Toalhetes</v>
      </c>
      <c r="M2509" s="6" t="str">
        <f>"30x50"</f>
        <v>30x50</v>
      </c>
      <c r="N2509" s="6" t="str">
        <f>"5602972281101"</f>
        <v>5602972281101</v>
      </c>
      <c r="O2509" s="8">
        <v>6</v>
      </c>
      <c r="R2509" s="8">
        <v>0</v>
      </c>
      <c r="U2509" s="8">
        <v>0</v>
      </c>
      <c r="X2509" s="8">
        <v>0</v>
      </c>
      <c r="Z2509" s="8">
        <v>0</v>
      </c>
      <c r="AC2509" s="8">
        <v>0</v>
      </c>
      <c r="AF2509" s="8">
        <v>0</v>
      </c>
      <c r="AN2509" s="8">
        <v>6</v>
      </c>
      <c r="AO2509" s="8">
        <v>0</v>
      </c>
    </row>
    <row r="2510" spans="1:41" x14ac:dyDescent="0.25">
      <c r="A2510" s="6" t="str">
        <f t="shared" si="587"/>
        <v>522-2026000268</v>
      </c>
      <c r="B2510" s="6" t="str">
        <f t="shared" si="584"/>
        <v>EL CORTE</v>
      </c>
      <c r="C2510" s="7">
        <v>46037</v>
      </c>
      <c r="D2510" s="7">
        <v>46042</v>
      </c>
      <c r="E2510" s="8">
        <v>7</v>
      </c>
      <c r="F2510" s="6" t="str">
        <f t="shared" si="588"/>
        <v>94825301_07026</v>
      </c>
      <c r="G2510" s="6" t="str">
        <f t="shared" si="585"/>
        <v>F310631650000000</v>
      </c>
      <c r="H2510" s="6" t="str">
        <f t="shared" si="586"/>
        <v>PLAR 6316 FD - 500 g</v>
      </c>
      <c r="I2510" s="6" t="str">
        <f>"200901"</f>
        <v>200901</v>
      </c>
      <c r="J2510" s="6" t="str">
        <f>"ROSA 901"</f>
        <v>ROSA 901</v>
      </c>
      <c r="K2510" s="6" t="str">
        <f>"2020"</f>
        <v>2020</v>
      </c>
      <c r="L2510" s="6" t="str">
        <f>"Lençóis"</f>
        <v>Lençóis</v>
      </c>
      <c r="M2510" s="6" t="str">
        <f>"100x150"</f>
        <v>100x150</v>
      </c>
      <c r="N2510" s="6" t="str">
        <f>"5602972281125"</f>
        <v>5602972281125</v>
      </c>
      <c r="O2510" s="8">
        <v>6</v>
      </c>
      <c r="R2510" s="8">
        <v>0</v>
      </c>
      <c r="U2510" s="8">
        <v>0</v>
      </c>
      <c r="X2510" s="8">
        <v>0</v>
      </c>
      <c r="Z2510" s="8">
        <v>0</v>
      </c>
      <c r="AC2510" s="8">
        <v>0</v>
      </c>
      <c r="AF2510" s="8">
        <v>0</v>
      </c>
      <c r="AN2510" s="8">
        <v>0</v>
      </c>
      <c r="AO2510" s="8">
        <v>6</v>
      </c>
    </row>
    <row r="2511" spans="1:41" x14ac:dyDescent="0.25">
      <c r="A2511" s="6" t="str">
        <f t="shared" si="587"/>
        <v>522-2026000268</v>
      </c>
      <c r="B2511" s="6" t="str">
        <f t="shared" si="584"/>
        <v>EL CORTE</v>
      </c>
      <c r="C2511" s="7">
        <v>46037</v>
      </c>
      <c r="D2511" s="7">
        <v>46042</v>
      </c>
      <c r="E2511" s="8">
        <v>8</v>
      </c>
      <c r="F2511" s="6" t="str">
        <f t="shared" si="588"/>
        <v>94825301_07026</v>
      </c>
      <c r="G2511" s="6" t="str">
        <f t="shared" si="585"/>
        <v>F310631650000000</v>
      </c>
      <c r="H2511" s="6" t="str">
        <f t="shared" si="586"/>
        <v>PLAR 6316 FD - 500 g</v>
      </c>
      <c r="I2511" s="6" t="str">
        <f>"200510"</f>
        <v>200510</v>
      </c>
      <c r="J2511" s="6" t="str">
        <f>"VERDE 510"</f>
        <v>VERDE 510</v>
      </c>
      <c r="K2511" s="6" t="str">
        <f>"0520"</f>
        <v>0520</v>
      </c>
      <c r="L2511" s="6" t="str">
        <f>"Toalhetes"</f>
        <v>Toalhetes</v>
      </c>
      <c r="M2511" s="6" t="str">
        <f>"30x50"</f>
        <v>30x50</v>
      </c>
      <c r="N2511" s="6" t="str">
        <f>"5602972281132"</f>
        <v>5602972281132</v>
      </c>
      <c r="O2511" s="8">
        <v>6</v>
      </c>
      <c r="R2511" s="8">
        <v>0</v>
      </c>
      <c r="U2511" s="8">
        <v>0</v>
      </c>
      <c r="X2511" s="8">
        <v>0</v>
      </c>
      <c r="Z2511" s="8">
        <v>0</v>
      </c>
      <c r="AC2511" s="8">
        <v>0</v>
      </c>
      <c r="AF2511" s="8">
        <v>0</v>
      </c>
      <c r="AN2511" s="8">
        <v>6</v>
      </c>
      <c r="AO2511" s="8">
        <v>0</v>
      </c>
    </row>
    <row r="2512" spans="1:41" x14ac:dyDescent="0.25">
      <c r="A2512" s="6" t="str">
        <f t="shared" si="587"/>
        <v>522-2026000268</v>
      </c>
      <c r="B2512" s="6" t="str">
        <f t="shared" si="584"/>
        <v>EL CORTE</v>
      </c>
      <c r="C2512" s="7">
        <v>46037</v>
      </c>
      <c r="D2512" s="7">
        <v>46042</v>
      </c>
      <c r="E2512" s="8">
        <v>9</v>
      </c>
      <c r="F2512" s="6" t="str">
        <f t="shared" si="588"/>
        <v>94825301_07026</v>
      </c>
      <c r="G2512" s="6" t="str">
        <f t="shared" si="585"/>
        <v>F310631650000000</v>
      </c>
      <c r="H2512" s="6" t="str">
        <f t="shared" si="586"/>
        <v>PLAR 6316 FD - 500 g</v>
      </c>
      <c r="I2512" s="6" t="str">
        <f>"200510"</f>
        <v>200510</v>
      </c>
      <c r="J2512" s="6" t="str">
        <f>"VERDE 510"</f>
        <v>VERDE 510</v>
      </c>
      <c r="K2512" s="6" t="str">
        <f>"1024"</f>
        <v>1024</v>
      </c>
      <c r="L2512" s="6" t="str">
        <f>"Toalhas"</f>
        <v>Toalhas</v>
      </c>
      <c r="M2512" s="6" t="str">
        <f>"50x100"</f>
        <v>50x100</v>
      </c>
      <c r="N2512" s="6" t="str">
        <f>"5602972281149"</f>
        <v>5602972281149</v>
      </c>
      <c r="O2512" s="8">
        <v>12</v>
      </c>
      <c r="R2512" s="8">
        <v>0</v>
      </c>
      <c r="U2512" s="8">
        <v>0</v>
      </c>
      <c r="X2512" s="8">
        <v>0</v>
      </c>
      <c r="Z2512" s="8">
        <v>0</v>
      </c>
      <c r="AC2512" s="8">
        <v>0</v>
      </c>
      <c r="AF2512" s="8">
        <v>0</v>
      </c>
      <c r="AN2512" s="8">
        <v>12</v>
      </c>
      <c r="AO2512" s="8">
        <v>0</v>
      </c>
    </row>
    <row r="2513" spans="1:41" x14ac:dyDescent="0.25">
      <c r="A2513" s="6" t="str">
        <f t="shared" si="587"/>
        <v>522-2026000268</v>
      </c>
      <c r="B2513" s="6" t="str">
        <f t="shared" si="584"/>
        <v>EL CORTE</v>
      </c>
      <c r="C2513" s="7">
        <v>46037</v>
      </c>
      <c r="D2513" s="7">
        <v>46042</v>
      </c>
      <c r="E2513" s="8">
        <v>10</v>
      </c>
      <c r="F2513" s="6" t="str">
        <f t="shared" si="588"/>
        <v>94825301_07026</v>
      </c>
      <c r="G2513" s="6" t="str">
        <f t="shared" si="585"/>
        <v>F310631650000000</v>
      </c>
      <c r="H2513" s="6" t="str">
        <f t="shared" si="586"/>
        <v>PLAR 6316 FD - 500 g</v>
      </c>
      <c r="I2513" s="6" t="str">
        <f>"200510"</f>
        <v>200510</v>
      </c>
      <c r="J2513" s="6" t="str">
        <f>"VERDE 510"</f>
        <v>VERDE 510</v>
      </c>
      <c r="K2513" s="6" t="str">
        <f>"2020"</f>
        <v>2020</v>
      </c>
      <c r="L2513" s="6" t="str">
        <f>"Lençóis"</f>
        <v>Lençóis</v>
      </c>
      <c r="M2513" s="6" t="str">
        <f>"100x150"</f>
        <v>100x150</v>
      </c>
      <c r="N2513" s="6" t="str">
        <f>"5602972281156"</f>
        <v>5602972281156</v>
      </c>
      <c r="O2513" s="8">
        <v>6</v>
      </c>
      <c r="R2513" s="8">
        <v>0</v>
      </c>
      <c r="U2513" s="8">
        <v>0</v>
      </c>
      <c r="X2513" s="8">
        <v>0</v>
      </c>
      <c r="Z2513" s="8">
        <v>0</v>
      </c>
      <c r="AC2513" s="8">
        <v>0</v>
      </c>
      <c r="AF2513" s="8">
        <v>0</v>
      </c>
      <c r="AN2513" s="8">
        <v>0</v>
      </c>
      <c r="AO2513" s="8">
        <v>6</v>
      </c>
    </row>
    <row r="2514" spans="1:41" x14ac:dyDescent="0.25">
      <c r="A2514" s="6" t="str">
        <f>"522-2026000269"</f>
        <v>522-2026000269</v>
      </c>
      <c r="B2514" s="6" t="str">
        <f t="shared" si="584"/>
        <v>EL CORTE</v>
      </c>
      <c r="C2514" s="7">
        <v>46037</v>
      </c>
      <c r="D2514" s="7">
        <v>46042</v>
      </c>
      <c r="E2514" s="8">
        <v>1</v>
      </c>
      <c r="F2514" s="6" t="str">
        <f>"94825901_07026"</f>
        <v>94825901_07026</v>
      </c>
      <c r="G2514" s="6" t="str">
        <f t="shared" si="585"/>
        <v>F310631650000000</v>
      </c>
      <c r="H2514" s="6" t="str">
        <f t="shared" si="586"/>
        <v>PLAR 6316 FD - 500 g</v>
      </c>
      <c r="I2514" s="6" t="str">
        <f>"202575"</f>
        <v>202575</v>
      </c>
      <c r="J2514" s="6" t="str">
        <f>"BEGE 2575"</f>
        <v>BEGE 2575</v>
      </c>
      <c r="K2514" s="6" t="str">
        <f>"0520"</f>
        <v>0520</v>
      </c>
      <c r="L2514" s="6" t="str">
        <f>"Toalhetes"</f>
        <v>Toalhetes</v>
      </c>
      <c r="M2514" s="6" t="str">
        <f>"30x50"</f>
        <v>30x50</v>
      </c>
      <c r="N2514" s="6" t="str">
        <f>"5602972281071"</f>
        <v>5602972281071</v>
      </c>
      <c r="O2514" s="8">
        <v>6</v>
      </c>
      <c r="R2514" s="8">
        <v>0</v>
      </c>
      <c r="U2514" s="8">
        <v>0</v>
      </c>
      <c r="X2514" s="8">
        <v>0</v>
      </c>
      <c r="Z2514" s="8">
        <v>0</v>
      </c>
      <c r="AC2514" s="8">
        <v>0</v>
      </c>
      <c r="AF2514" s="8">
        <v>0</v>
      </c>
      <c r="AN2514" s="8">
        <v>6</v>
      </c>
      <c r="AO2514" s="8">
        <v>0</v>
      </c>
    </row>
    <row r="2515" spans="1:41" x14ac:dyDescent="0.25">
      <c r="A2515" s="6" t="str">
        <f>"522-2026000269"</f>
        <v>522-2026000269</v>
      </c>
      <c r="B2515" s="6" t="str">
        <f t="shared" si="584"/>
        <v>EL CORTE</v>
      </c>
      <c r="C2515" s="7">
        <v>46037</v>
      </c>
      <c r="D2515" s="7">
        <v>46042</v>
      </c>
      <c r="E2515" s="8">
        <v>2</v>
      </c>
      <c r="F2515" s="6" t="str">
        <f>"94825901_07026"</f>
        <v>94825901_07026</v>
      </c>
      <c r="G2515" s="6" t="str">
        <f t="shared" si="585"/>
        <v>F310631650000000</v>
      </c>
      <c r="H2515" s="6" t="str">
        <f t="shared" si="586"/>
        <v>PLAR 6316 FD - 500 g</v>
      </c>
      <c r="I2515" s="6" t="str">
        <f>"202575"</f>
        <v>202575</v>
      </c>
      <c r="J2515" s="6" t="str">
        <f>"BEGE 2575"</f>
        <v>BEGE 2575</v>
      </c>
      <c r="K2515" s="6" t="str">
        <f>"1024"</f>
        <v>1024</v>
      </c>
      <c r="L2515" s="6" t="str">
        <f>"Toalhas"</f>
        <v>Toalhas</v>
      </c>
      <c r="M2515" s="6" t="str">
        <f>"50x100"</f>
        <v>50x100</v>
      </c>
      <c r="N2515" s="6" t="str">
        <f>"5602972281088"</f>
        <v>5602972281088</v>
      </c>
      <c r="O2515" s="8">
        <v>12</v>
      </c>
      <c r="R2515" s="8">
        <v>0</v>
      </c>
      <c r="U2515" s="8">
        <v>0</v>
      </c>
      <c r="X2515" s="8">
        <v>0</v>
      </c>
      <c r="Z2515" s="8">
        <v>0</v>
      </c>
      <c r="AC2515" s="8">
        <v>0</v>
      </c>
      <c r="AF2515" s="8">
        <v>0</v>
      </c>
      <c r="AN2515" s="8">
        <v>12</v>
      </c>
      <c r="AO2515" s="8">
        <v>0</v>
      </c>
    </row>
    <row r="2516" spans="1:41" x14ac:dyDescent="0.25">
      <c r="A2516" s="6" t="str">
        <f>"522-2026000269"</f>
        <v>522-2026000269</v>
      </c>
      <c r="B2516" s="6" t="str">
        <f t="shared" si="584"/>
        <v>EL CORTE</v>
      </c>
      <c r="C2516" s="7">
        <v>46037</v>
      </c>
      <c r="D2516" s="7">
        <v>46042</v>
      </c>
      <c r="E2516" s="8">
        <v>3</v>
      </c>
      <c r="F2516" s="6" t="str">
        <f>"94825901_07026"</f>
        <v>94825901_07026</v>
      </c>
      <c r="G2516" s="6" t="str">
        <f t="shared" si="585"/>
        <v>F310631650000000</v>
      </c>
      <c r="H2516" s="6" t="str">
        <f t="shared" si="586"/>
        <v>PLAR 6316 FD - 500 g</v>
      </c>
      <c r="I2516" s="6" t="str">
        <f>"200901"</f>
        <v>200901</v>
      </c>
      <c r="J2516" s="6" t="str">
        <f>"ROSA 901"</f>
        <v>ROSA 901</v>
      </c>
      <c r="K2516" s="6" t="str">
        <f>"1024"</f>
        <v>1024</v>
      </c>
      <c r="L2516" s="6" t="str">
        <f>"Toalhas"</f>
        <v>Toalhas</v>
      </c>
      <c r="M2516" s="6" t="str">
        <f>"50x100"</f>
        <v>50x100</v>
      </c>
      <c r="N2516" s="6" t="str">
        <f>"5602972281118"</f>
        <v>5602972281118</v>
      </c>
      <c r="O2516" s="8">
        <v>6</v>
      </c>
      <c r="R2516" s="8">
        <v>0</v>
      </c>
      <c r="U2516" s="8">
        <v>0</v>
      </c>
      <c r="X2516" s="8">
        <v>0</v>
      </c>
      <c r="Z2516" s="8">
        <v>0</v>
      </c>
      <c r="AC2516" s="8">
        <v>0</v>
      </c>
      <c r="AF2516" s="8">
        <v>0</v>
      </c>
      <c r="AN2516" s="8">
        <v>6</v>
      </c>
      <c r="AO2516" s="8">
        <v>0</v>
      </c>
    </row>
    <row r="2517" spans="1:41" x14ac:dyDescent="0.25">
      <c r="A2517" s="6" t="str">
        <f>"522-2026000269"</f>
        <v>522-2026000269</v>
      </c>
      <c r="B2517" s="6" t="str">
        <f t="shared" si="584"/>
        <v>EL CORTE</v>
      </c>
      <c r="C2517" s="7">
        <v>46037</v>
      </c>
      <c r="D2517" s="7">
        <v>46042</v>
      </c>
      <c r="E2517" s="8">
        <v>4</v>
      </c>
      <c r="F2517" s="6" t="str">
        <f>"94825901_07026"</f>
        <v>94825901_07026</v>
      </c>
      <c r="G2517" s="6" t="str">
        <f t="shared" si="585"/>
        <v>F310631650000000</v>
      </c>
      <c r="H2517" s="6" t="str">
        <f t="shared" si="586"/>
        <v>PLAR 6316 FD - 500 g</v>
      </c>
      <c r="I2517" s="6" t="str">
        <f>"200510"</f>
        <v>200510</v>
      </c>
      <c r="J2517" s="6" t="str">
        <f>"VERDE 510"</f>
        <v>VERDE 510</v>
      </c>
      <c r="K2517" s="6" t="str">
        <f>"1024"</f>
        <v>1024</v>
      </c>
      <c r="L2517" s="6" t="str">
        <f>"Toalhas"</f>
        <v>Toalhas</v>
      </c>
      <c r="M2517" s="6" t="str">
        <f>"50x100"</f>
        <v>50x100</v>
      </c>
      <c r="N2517" s="6" t="str">
        <f>"5602972281149"</f>
        <v>5602972281149</v>
      </c>
      <c r="O2517" s="8">
        <v>6</v>
      </c>
      <c r="R2517" s="8">
        <v>0</v>
      </c>
      <c r="U2517" s="8">
        <v>0</v>
      </c>
      <c r="X2517" s="8">
        <v>0</v>
      </c>
      <c r="Z2517" s="8">
        <v>0</v>
      </c>
      <c r="AC2517" s="8">
        <v>0</v>
      </c>
      <c r="AF2517" s="8">
        <v>0</v>
      </c>
      <c r="AN2517" s="8">
        <v>6</v>
      </c>
      <c r="AO2517" s="8">
        <v>0</v>
      </c>
    </row>
    <row r="2518" spans="1:41" x14ac:dyDescent="0.25">
      <c r="A2518" s="6" t="str">
        <f t="shared" ref="A2518:A2526" si="589">"522-2026000270"</f>
        <v>522-2026000270</v>
      </c>
      <c r="B2518" s="6" t="str">
        <f t="shared" si="584"/>
        <v>EL CORTE</v>
      </c>
      <c r="C2518" s="7">
        <v>46037</v>
      </c>
      <c r="D2518" s="7">
        <v>46042</v>
      </c>
      <c r="E2518" s="8">
        <v>1</v>
      </c>
      <c r="F2518" s="6" t="str">
        <f t="shared" ref="F2518:F2526" si="590">"94825601_07026"</f>
        <v>94825601_07026</v>
      </c>
      <c r="G2518" s="6" t="str">
        <f t="shared" si="585"/>
        <v>F310631650000000</v>
      </c>
      <c r="H2518" s="6" t="str">
        <f t="shared" si="586"/>
        <v>PLAR 6316 FD - 500 g</v>
      </c>
      <c r="I2518" s="6" t="str">
        <f>"201855"</f>
        <v>201855</v>
      </c>
      <c r="J2518" s="6" t="str">
        <f>"AZUL 1855"</f>
        <v>AZUL 1855</v>
      </c>
      <c r="K2518" s="6" t="str">
        <f>"1024"</f>
        <v>1024</v>
      </c>
      <c r="L2518" s="6" t="str">
        <f>"Toalhas"</f>
        <v>Toalhas</v>
      </c>
      <c r="M2518" s="6" t="str">
        <f>"50x100"</f>
        <v>50x100</v>
      </c>
      <c r="N2518" s="6" t="str">
        <f>"5602972281057"</f>
        <v>5602972281057</v>
      </c>
      <c r="O2518" s="8">
        <v>6</v>
      </c>
      <c r="R2518" s="8">
        <v>0</v>
      </c>
      <c r="U2518" s="8">
        <v>0</v>
      </c>
      <c r="X2518" s="8">
        <v>0</v>
      </c>
      <c r="Z2518" s="8">
        <v>0</v>
      </c>
      <c r="AC2518" s="8">
        <v>0</v>
      </c>
      <c r="AF2518" s="8">
        <v>0</v>
      </c>
      <c r="AN2518" s="8">
        <v>6</v>
      </c>
      <c r="AO2518" s="8">
        <v>0</v>
      </c>
    </row>
    <row r="2519" spans="1:41" x14ac:dyDescent="0.25">
      <c r="A2519" s="6" t="str">
        <f t="shared" si="589"/>
        <v>522-2026000270</v>
      </c>
      <c r="B2519" s="6" t="str">
        <f t="shared" si="584"/>
        <v>EL CORTE</v>
      </c>
      <c r="C2519" s="7">
        <v>46037</v>
      </c>
      <c r="D2519" s="7">
        <v>46042</v>
      </c>
      <c r="E2519" s="8">
        <v>2</v>
      </c>
      <c r="F2519" s="6" t="str">
        <f t="shared" si="590"/>
        <v>94825601_07026</v>
      </c>
      <c r="G2519" s="6" t="str">
        <f t="shared" si="585"/>
        <v>F310631650000000</v>
      </c>
      <c r="H2519" s="6" t="str">
        <f t="shared" si="586"/>
        <v>PLAR 6316 FD - 500 g</v>
      </c>
      <c r="I2519" s="6" t="str">
        <f>"201855"</f>
        <v>201855</v>
      </c>
      <c r="J2519" s="6" t="str">
        <f>"AZUL 1855"</f>
        <v>AZUL 1855</v>
      </c>
      <c r="K2519" s="6" t="str">
        <f>"2020"</f>
        <v>2020</v>
      </c>
      <c r="L2519" s="6" t="str">
        <f>"Lençóis"</f>
        <v>Lençóis</v>
      </c>
      <c r="M2519" s="6" t="str">
        <f>"100x150"</f>
        <v>100x150</v>
      </c>
      <c r="N2519" s="6" t="str">
        <f>"5602972281064"</f>
        <v>5602972281064</v>
      </c>
      <c r="O2519" s="8">
        <v>6</v>
      </c>
      <c r="R2519" s="8">
        <v>0</v>
      </c>
      <c r="U2519" s="8">
        <v>0</v>
      </c>
      <c r="X2519" s="8">
        <v>0</v>
      </c>
      <c r="Z2519" s="8">
        <v>0</v>
      </c>
      <c r="AC2519" s="8">
        <v>0</v>
      </c>
      <c r="AF2519" s="8">
        <v>0</v>
      </c>
      <c r="AN2519" s="8">
        <v>0</v>
      </c>
      <c r="AO2519" s="8">
        <v>6</v>
      </c>
    </row>
    <row r="2520" spans="1:41" x14ac:dyDescent="0.25">
      <c r="A2520" s="6" t="str">
        <f t="shared" si="589"/>
        <v>522-2026000270</v>
      </c>
      <c r="B2520" s="6" t="str">
        <f t="shared" si="584"/>
        <v>EL CORTE</v>
      </c>
      <c r="C2520" s="7">
        <v>46037</v>
      </c>
      <c r="D2520" s="7">
        <v>46042</v>
      </c>
      <c r="E2520" s="8">
        <v>3</v>
      </c>
      <c r="F2520" s="6" t="str">
        <f t="shared" si="590"/>
        <v>94825601_07026</v>
      </c>
      <c r="G2520" s="6" t="str">
        <f t="shared" si="585"/>
        <v>F310631650000000</v>
      </c>
      <c r="H2520" s="6" t="str">
        <f t="shared" si="586"/>
        <v>PLAR 6316 FD - 500 g</v>
      </c>
      <c r="I2520" s="6" t="str">
        <f>"202575"</f>
        <v>202575</v>
      </c>
      <c r="J2520" s="6" t="str">
        <f>"BEGE 2575"</f>
        <v>BEGE 2575</v>
      </c>
      <c r="K2520" s="6" t="str">
        <f>"1024"</f>
        <v>1024</v>
      </c>
      <c r="L2520" s="6" t="str">
        <f>"Toalhas"</f>
        <v>Toalhas</v>
      </c>
      <c r="M2520" s="6" t="str">
        <f>"50x100"</f>
        <v>50x100</v>
      </c>
      <c r="N2520" s="6" t="str">
        <f>"5602972281088"</f>
        <v>5602972281088</v>
      </c>
      <c r="O2520" s="8">
        <v>6</v>
      </c>
      <c r="R2520" s="8">
        <v>0</v>
      </c>
      <c r="U2520" s="8">
        <v>0</v>
      </c>
      <c r="X2520" s="8">
        <v>0</v>
      </c>
      <c r="Z2520" s="8">
        <v>0</v>
      </c>
      <c r="AC2520" s="8">
        <v>0</v>
      </c>
      <c r="AF2520" s="8">
        <v>0</v>
      </c>
      <c r="AN2520" s="8">
        <v>6</v>
      </c>
      <c r="AO2520" s="8">
        <v>0</v>
      </c>
    </row>
    <row r="2521" spans="1:41" x14ac:dyDescent="0.25">
      <c r="A2521" s="6" t="str">
        <f t="shared" si="589"/>
        <v>522-2026000270</v>
      </c>
      <c r="B2521" s="6" t="str">
        <f t="shared" si="584"/>
        <v>EL CORTE</v>
      </c>
      <c r="C2521" s="7">
        <v>46037</v>
      </c>
      <c r="D2521" s="7">
        <v>46042</v>
      </c>
      <c r="E2521" s="8">
        <v>4</v>
      </c>
      <c r="F2521" s="6" t="str">
        <f t="shared" si="590"/>
        <v>94825601_07026</v>
      </c>
      <c r="G2521" s="6" t="str">
        <f t="shared" si="585"/>
        <v>F310631650000000</v>
      </c>
      <c r="H2521" s="6" t="str">
        <f t="shared" si="586"/>
        <v>PLAR 6316 FD - 500 g</v>
      </c>
      <c r="I2521" s="6" t="str">
        <f>"202575"</f>
        <v>202575</v>
      </c>
      <c r="J2521" s="6" t="str">
        <f>"BEGE 2575"</f>
        <v>BEGE 2575</v>
      </c>
      <c r="K2521" s="6" t="str">
        <f>"2020"</f>
        <v>2020</v>
      </c>
      <c r="L2521" s="6" t="str">
        <f>"Lençóis"</f>
        <v>Lençóis</v>
      </c>
      <c r="M2521" s="6" t="str">
        <f>"100x150"</f>
        <v>100x150</v>
      </c>
      <c r="N2521" s="6" t="str">
        <f>"5602972281095"</f>
        <v>5602972281095</v>
      </c>
      <c r="O2521" s="8">
        <v>9</v>
      </c>
      <c r="R2521" s="8">
        <v>0</v>
      </c>
      <c r="U2521" s="8">
        <v>0</v>
      </c>
      <c r="X2521" s="8">
        <v>0</v>
      </c>
      <c r="Z2521" s="8">
        <v>0</v>
      </c>
      <c r="AC2521" s="8">
        <v>0</v>
      </c>
      <c r="AF2521" s="8">
        <v>0</v>
      </c>
      <c r="AN2521" s="8">
        <v>0</v>
      </c>
      <c r="AO2521" s="8">
        <v>9</v>
      </c>
    </row>
    <row r="2522" spans="1:41" x14ac:dyDescent="0.25">
      <c r="A2522" s="6" t="str">
        <f t="shared" si="589"/>
        <v>522-2026000270</v>
      </c>
      <c r="B2522" s="6" t="str">
        <f t="shared" si="584"/>
        <v>EL CORTE</v>
      </c>
      <c r="C2522" s="7">
        <v>46037</v>
      </c>
      <c r="D2522" s="7">
        <v>46042</v>
      </c>
      <c r="E2522" s="8">
        <v>5</v>
      </c>
      <c r="F2522" s="6" t="str">
        <f t="shared" si="590"/>
        <v>94825601_07026</v>
      </c>
      <c r="G2522" s="6" t="str">
        <f t="shared" si="585"/>
        <v>F310631650000000</v>
      </c>
      <c r="H2522" s="6" t="str">
        <f t="shared" si="586"/>
        <v>PLAR 6316 FD - 500 g</v>
      </c>
      <c r="I2522" s="6" t="str">
        <f>"200901"</f>
        <v>200901</v>
      </c>
      <c r="J2522" s="6" t="str">
        <f>"ROSA 901"</f>
        <v>ROSA 901</v>
      </c>
      <c r="K2522" s="6" t="str">
        <f>"0520"</f>
        <v>0520</v>
      </c>
      <c r="L2522" s="6" t="str">
        <f>"Toalhetes"</f>
        <v>Toalhetes</v>
      </c>
      <c r="M2522" s="6" t="str">
        <f>"30x50"</f>
        <v>30x50</v>
      </c>
      <c r="N2522" s="6" t="str">
        <f>"5602972281101"</f>
        <v>5602972281101</v>
      </c>
      <c r="O2522" s="8">
        <v>6</v>
      </c>
      <c r="R2522" s="8">
        <v>0</v>
      </c>
      <c r="U2522" s="8">
        <v>0</v>
      </c>
      <c r="X2522" s="8">
        <v>0</v>
      </c>
      <c r="Z2522" s="8">
        <v>0</v>
      </c>
      <c r="AC2522" s="8">
        <v>0</v>
      </c>
      <c r="AF2522" s="8">
        <v>0</v>
      </c>
      <c r="AN2522" s="8">
        <v>0</v>
      </c>
      <c r="AO2522" s="8">
        <v>6</v>
      </c>
    </row>
    <row r="2523" spans="1:41" x14ac:dyDescent="0.25">
      <c r="A2523" s="6" t="str">
        <f t="shared" si="589"/>
        <v>522-2026000270</v>
      </c>
      <c r="B2523" s="6" t="str">
        <f t="shared" si="584"/>
        <v>EL CORTE</v>
      </c>
      <c r="C2523" s="7">
        <v>46037</v>
      </c>
      <c r="D2523" s="7">
        <v>46042</v>
      </c>
      <c r="E2523" s="8">
        <v>6</v>
      </c>
      <c r="F2523" s="6" t="str">
        <f t="shared" si="590"/>
        <v>94825601_07026</v>
      </c>
      <c r="G2523" s="6" t="str">
        <f t="shared" si="585"/>
        <v>F310631650000000</v>
      </c>
      <c r="H2523" s="6" t="str">
        <f t="shared" si="586"/>
        <v>PLAR 6316 FD - 500 g</v>
      </c>
      <c r="I2523" s="6" t="str">
        <f>"200901"</f>
        <v>200901</v>
      </c>
      <c r="J2523" s="6" t="str">
        <f>"ROSA 901"</f>
        <v>ROSA 901</v>
      </c>
      <c r="K2523" s="6" t="str">
        <f>"1024"</f>
        <v>1024</v>
      </c>
      <c r="L2523" s="6" t="str">
        <f>"Toalhas"</f>
        <v>Toalhas</v>
      </c>
      <c r="M2523" s="6" t="str">
        <f>"50x100"</f>
        <v>50x100</v>
      </c>
      <c r="N2523" s="6" t="str">
        <f>"5602972281118"</f>
        <v>5602972281118</v>
      </c>
      <c r="O2523" s="8">
        <v>6</v>
      </c>
      <c r="R2523" s="8">
        <v>0</v>
      </c>
      <c r="U2523" s="8">
        <v>0</v>
      </c>
      <c r="X2523" s="8">
        <v>0</v>
      </c>
      <c r="Z2523" s="8">
        <v>0</v>
      </c>
      <c r="AC2523" s="8">
        <v>0</v>
      </c>
      <c r="AF2523" s="8">
        <v>0</v>
      </c>
      <c r="AN2523" s="8">
        <v>6</v>
      </c>
      <c r="AO2523" s="8">
        <v>0</v>
      </c>
    </row>
    <row r="2524" spans="1:41" x14ac:dyDescent="0.25">
      <c r="A2524" s="6" t="str">
        <f t="shared" si="589"/>
        <v>522-2026000270</v>
      </c>
      <c r="B2524" s="6" t="str">
        <f t="shared" si="584"/>
        <v>EL CORTE</v>
      </c>
      <c r="C2524" s="7">
        <v>46037</v>
      </c>
      <c r="D2524" s="7">
        <v>46042</v>
      </c>
      <c r="E2524" s="8">
        <v>7</v>
      </c>
      <c r="F2524" s="6" t="str">
        <f t="shared" si="590"/>
        <v>94825601_07026</v>
      </c>
      <c r="G2524" s="6" t="str">
        <f t="shared" si="585"/>
        <v>F310631650000000</v>
      </c>
      <c r="H2524" s="6" t="str">
        <f t="shared" si="586"/>
        <v>PLAR 6316 FD - 500 g</v>
      </c>
      <c r="I2524" s="6" t="str">
        <f>"200901"</f>
        <v>200901</v>
      </c>
      <c r="J2524" s="6" t="str">
        <f>"ROSA 901"</f>
        <v>ROSA 901</v>
      </c>
      <c r="K2524" s="6" t="str">
        <f>"2020"</f>
        <v>2020</v>
      </c>
      <c r="L2524" s="6" t="str">
        <f>"Lençóis"</f>
        <v>Lençóis</v>
      </c>
      <c r="M2524" s="6" t="str">
        <f>"100x150"</f>
        <v>100x150</v>
      </c>
      <c r="N2524" s="6" t="str">
        <f>"5602972281125"</f>
        <v>5602972281125</v>
      </c>
      <c r="O2524" s="8">
        <v>6</v>
      </c>
      <c r="R2524" s="8">
        <v>0</v>
      </c>
      <c r="U2524" s="8">
        <v>0</v>
      </c>
      <c r="X2524" s="8">
        <v>0</v>
      </c>
      <c r="Z2524" s="8">
        <v>0</v>
      </c>
      <c r="AC2524" s="8">
        <v>0</v>
      </c>
      <c r="AF2524" s="8">
        <v>0</v>
      </c>
      <c r="AN2524" s="8">
        <v>0</v>
      </c>
      <c r="AO2524" s="8">
        <v>6</v>
      </c>
    </row>
    <row r="2525" spans="1:41" x14ac:dyDescent="0.25">
      <c r="A2525" s="6" t="str">
        <f t="shared" si="589"/>
        <v>522-2026000270</v>
      </c>
      <c r="B2525" s="6" t="str">
        <f t="shared" si="584"/>
        <v>EL CORTE</v>
      </c>
      <c r="C2525" s="7">
        <v>46037</v>
      </c>
      <c r="D2525" s="7">
        <v>46042</v>
      </c>
      <c r="E2525" s="8">
        <v>8</v>
      </c>
      <c r="F2525" s="6" t="str">
        <f t="shared" si="590"/>
        <v>94825601_07026</v>
      </c>
      <c r="G2525" s="6" t="str">
        <f t="shared" si="585"/>
        <v>F310631650000000</v>
      </c>
      <c r="H2525" s="6" t="str">
        <f t="shared" si="586"/>
        <v>PLAR 6316 FD - 500 g</v>
      </c>
      <c r="I2525" s="6" t="str">
        <f>"200510"</f>
        <v>200510</v>
      </c>
      <c r="J2525" s="6" t="str">
        <f>"VERDE 510"</f>
        <v>VERDE 510</v>
      </c>
      <c r="K2525" s="6" t="str">
        <f>"1024"</f>
        <v>1024</v>
      </c>
      <c r="L2525" s="6" t="str">
        <f>"Toalhas"</f>
        <v>Toalhas</v>
      </c>
      <c r="M2525" s="6" t="str">
        <f>"50x100"</f>
        <v>50x100</v>
      </c>
      <c r="N2525" s="6" t="str">
        <f>"5602972281149"</f>
        <v>5602972281149</v>
      </c>
      <c r="O2525" s="8">
        <v>6</v>
      </c>
      <c r="R2525" s="8">
        <v>0</v>
      </c>
      <c r="U2525" s="8">
        <v>0</v>
      </c>
      <c r="X2525" s="8">
        <v>0</v>
      </c>
      <c r="Z2525" s="8">
        <v>0</v>
      </c>
      <c r="AC2525" s="8">
        <v>0</v>
      </c>
      <c r="AF2525" s="8">
        <v>0</v>
      </c>
      <c r="AN2525" s="8">
        <v>6</v>
      </c>
      <c r="AO2525" s="8">
        <v>0</v>
      </c>
    </row>
    <row r="2526" spans="1:41" x14ac:dyDescent="0.25">
      <c r="A2526" s="6" t="str">
        <f t="shared" si="589"/>
        <v>522-2026000270</v>
      </c>
      <c r="B2526" s="6" t="str">
        <f t="shared" si="584"/>
        <v>EL CORTE</v>
      </c>
      <c r="C2526" s="7">
        <v>46037</v>
      </c>
      <c r="D2526" s="7">
        <v>46042</v>
      </c>
      <c r="E2526" s="8">
        <v>9</v>
      </c>
      <c r="F2526" s="6" t="str">
        <f t="shared" si="590"/>
        <v>94825601_07026</v>
      </c>
      <c r="G2526" s="6" t="str">
        <f t="shared" si="585"/>
        <v>F310631650000000</v>
      </c>
      <c r="H2526" s="6" t="str">
        <f t="shared" si="586"/>
        <v>PLAR 6316 FD - 500 g</v>
      </c>
      <c r="I2526" s="6" t="str">
        <f>"200510"</f>
        <v>200510</v>
      </c>
      <c r="J2526" s="6" t="str">
        <f>"VERDE 510"</f>
        <v>VERDE 510</v>
      </c>
      <c r="K2526" s="6" t="str">
        <f>"2020"</f>
        <v>2020</v>
      </c>
      <c r="L2526" s="6" t="str">
        <f>"Lençóis"</f>
        <v>Lençóis</v>
      </c>
      <c r="M2526" s="6" t="str">
        <f>"100x150"</f>
        <v>100x150</v>
      </c>
      <c r="N2526" s="6" t="str">
        <f>"5602972281156"</f>
        <v>5602972281156</v>
      </c>
      <c r="O2526" s="8">
        <v>3</v>
      </c>
      <c r="R2526" s="8">
        <v>0</v>
      </c>
      <c r="U2526" s="8">
        <v>0</v>
      </c>
      <c r="X2526" s="8">
        <v>0</v>
      </c>
      <c r="Z2526" s="8">
        <v>0</v>
      </c>
      <c r="AC2526" s="8">
        <v>0</v>
      </c>
      <c r="AF2526" s="8">
        <v>0</v>
      </c>
      <c r="AN2526" s="8">
        <v>0</v>
      </c>
      <c r="AO2526" s="8">
        <v>3</v>
      </c>
    </row>
    <row r="2527" spans="1:41" x14ac:dyDescent="0.25">
      <c r="A2527" s="6" t="str">
        <f t="shared" ref="A2527:A2538" si="591">"522-2026000271"</f>
        <v>522-2026000271</v>
      </c>
      <c r="B2527" s="6" t="str">
        <f t="shared" si="584"/>
        <v>EL CORTE</v>
      </c>
      <c r="C2527" s="7">
        <v>46037</v>
      </c>
      <c r="D2527" s="7">
        <v>46042</v>
      </c>
      <c r="E2527" s="8">
        <v>1</v>
      </c>
      <c r="F2527" s="6" t="str">
        <f t="shared" ref="F2527:F2538" si="592">"94825001_07026"</f>
        <v>94825001_07026</v>
      </c>
      <c r="G2527" s="6" t="str">
        <f t="shared" si="585"/>
        <v>F310631650000000</v>
      </c>
      <c r="H2527" s="6" t="str">
        <f t="shared" si="586"/>
        <v>PLAR 6316 FD - 500 g</v>
      </c>
      <c r="I2527" s="6" t="str">
        <f>"201855"</f>
        <v>201855</v>
      </c>
      <c r="J2527" s="6" t="str">
        <f>"AZUL 1855"</f>
        <v>AZUL 1855</v>
      </c>
      <c r="K2527" s="6" t="str">
        <f>"0520"</f>
        <v>0520</v>
      </c>
      <c r="L2527" s="6" t="str">
        <f>"Toalhetes"</f>
        <v>Toalhetes</v>
      </c>
      <c r="M2527" s="6" t="str">
        <f>"30x50"</f>
        <v>30x50</v>
      </c>
      <c r="N2527" s="6" t="str">
        <f>"5602972281040"</f>
        <v>5602972281040</v>
      </c>
      <c r="O2527" s="8">
        <v>6</v>
      </c>
      <c r="R2527" s="8">
        <v>0</v>
      </c>
      <c r="U2527" s="8">
        <v>0</v>
      </c>
      <c r="X2527" s="8">
        <v>0</v>
      </c>
      <c r="Z2527" s="8">
        <v>0</v>
      </c>
      <c r="AC2527" s="8">
        <v>0</v>
      </c>
      <c r="AF2527" s="8">
        <v>0</v>
      </c>
      <c r="AN2527" s="8">
        <v>0</v>
      </c>
      <c r="AO2527" s="8">
        <v>6</v>
      </c>
    </row>
    <row r="2528" spans="1:41" x14ac:dyDescent="0.25">
      <c r="A2528" s="6" t="str">
        <f t="shared" si="591"/>
        <v>522-2026000271</v>
      </c>
      <c r="B2528" s="6" t="str">
        <f t="shared" si="584"/>
        <v>EL CORTE</v>
      </c>
      <c r="C2528" s="7">
        <v>46037</v>
      </c>
      <c r="D2528" s="7">
        <v>46042</v>
      </c>
      <c r="E2528" s="8">
        <v>2</v>
      </c>
      <c r="F2528" s="6" t="str">
        <f t="shared" si="592"/>
        <v>94825001_07026</v>
      </c>
      <c r="G2528" s="6" t="str">
        <f t="shared" si="585"/>
        <v>F310631650000000</v>
      </c>
      <c r="H2528" s="6" t="str">
        <f t="shared" si="586"/>
        <v>PLAR 6316 FD - 500 g</v>
      </c>
      <c r="I2528" s="6" t="str">
        <f>"201855"</f>
        <v>201855</v>
      </c>
      <c r="J2528" s="6" t="str">
        <f>"AZUL 1855"</f>
        <v>AZUL 1855</v>
      </c>
      <c r="K2528" s="6" t="str">
        <f>"1024"</f>
        <v>1024</v>
      </c>
      <c r="L2528" s="6" t="str">
        <f>"Toalhas"</f>
        <v>Toalhas</v>
      </c>
      <c r="M2528" s="6" t="str">
        <f>"50x100"</f>
        <v>50x100</v>
      </c>
      <c r="N2528" s="6" t="str">
        <f>"5602972281057"</f>
        <v>5602972281057</v>
      </c>
      <c r="O2528" s="8">
        <v>12</v>
      </c>
      <c r="R2528" s="8">
        <v>0</v>
      </c>
      <c r="U2528" s="8">
        <v>0</v>
      </c>
      <c r="X2528" s="8">
        <v>0</v>
      </c>
      <c r="Z2528" s="8">
        <v>0</v>
      </c>
      <c r="AC2528" s="8">
        <v>0</v>
      </c>
      <c r="AF2528" s="8">
        <v>0</v>
      </c>
      <c r="AN2528" s="8">
        <v>12</v>
      </c>
      <c r="AO2528" s="8">
        <v>0</v>
      </c>
    </row>
    <row r="2529" spans="1:41" x14ac:dyDescent="0.25">
      <c r="A2529" s="6" t="str">
        <f t="shared" si="591"/>
        <v>522-2026000271</v>
      </c>
      <c r="B2529" s="6" t="str">
        <f t="shared" si="584"/>
        <v>EL CORTE</v>
      </c>
      <c r="C2529" s="7">
        <v>46037</v>
      </c>
      <c r="D2529" s="7">
        <v>46042</v>
      </c>
      <c r="E2529" s="8">
        <v>3</v>
      </c>
      <c r="F2529" s="6" t="str">
        <f t="shared" si="592"/>
        <v>94825001_07026</v>
      </c>
      <c r="G2529" s="6" t="str">
        <f t="shared" si="585"/>
        <v>F310631650000000</v>
      </c>
      <c r="H2529" s="6" t="str">
        <f t="shared" si="586"/>
        <v>PLAR 6316 FD - 500 g</v>
      </c>
      <c r="I2529" s="6" t="str">
        <f>"201855"</f>
        <v>201855</v>
      </c>
      <c r="J2529" s="6" t="str">
        <f>"AZUL 1855"</f>
        <v>AZUL 1855</v>
      </c>
      <c r="K2529" s="6" t="str">
        <f>"2020"</f>
        <v>2020</v>
      </c>
      <c r="L2529" s="6" t="str">
        <f>"Lençóis"</f>
        <v>Lençóis</v>
      </c>
      <c r="M2529" s="6" t="str">
        <f>"100x150"</f>
        <v>100x150</v>
      </c>
      <c r="N2529" s="6" t="str">
        <f>"5602972281064"</f>
        <v>5602972281064</v>
      </c>
      <c r="O2529" s="8">
        <v>6</v>
      </c>
      <c r="R2529" s="8">
        <v>0</v>
      </c>
      <c r="U2529" s="8">
        <v>0</v>
      </c>
      <c r="X2529" s="8">
        <v>0</v>
      </c>
      <c r="Z2529" s="8">
        <v>0</v>
      </c>
      <c r="AC2529" s="8">
        <v>0</v>
      </c>
      <c r="AF2529" s="8">
        <v>0</v>
      </c>
      <c r="AN2529" s="8">
        <v>0</v>
      </c>
      <c r="AO2529" s="8">
        <v>6</v>
      </c>
    </row>
    <row r="2530" spans="1:41" x14ac:dyDescent="0.25">
      <c r="A2530" s="6" t="str">
        <f t="shared" si="591"/>
        <v>522-2026000271</v>
      </c>
      <c r="B2530" s="6" t="str">
        <f t="shared" si="584"/>
        <v>EL CORTE</v>
      </c>
      <c r="C2530" s="7">
        <v>46037</v>
      </c>
      <c r="D2530" s="7">
        <v>46042</v>
      </c>
      <c r="E2530" s="8">
        <v>4</v>
      </c>
      <c r="F2530" s="6" t="str">
        <f t="shared" si="592"/>
        <v>94825001_07026</v>
      </c>
      <c r="G2530" s="6" t="str">
        <f t="shared" si="585"/>
        <v>F310631650000000</v>
      </c>
      <c r="H2530" s="6" t="str">
        <f t="shared" si="586"/>
        <v>PLAR 6316 FD - 500 g</v>
      </c>
      <c r="I2530" s="6" t="str">
        <f>"202575"</f>
        <v>202575</v>
      </c>
      <c r="J2530" s="6" t="str">
        <f>"BEGE 2575"</f>
        <v>BEGE 2575</v>
      </c>
      <c r="K2530" s="6" t="str">
        <f>"0520"</f>
        <v>0520</v>
      </c>
      <c r="L2530" s="6" t="str">
        <f>"Toalhetes"</f>
        <v>Toalhetes</v>
      </c>
      <c r="M2530" s="6" t="str">
        <f>"30x50"</f>
        <v>30x50</v>
      </c>
      <c r="N2530" s="6" t="str">
        <f>"5602972281071"</f>
        <v>5602972281071</v>
      </c>
      <c r="O2530" s="8">
        <v>6</v>
      </c>
      <c r="R2530" s="8">
        <v>0</v>
      </c>
      <c r="U2530" s="8">
        <v>0</v>
      </c>
      <c r="X2530" s="8">
        <v>0</v>
      </c>
      <c r="Z2530" s="8">
        <v>0</v>
      </c>
      <c r="AC2530" s="8">
        <v>0</v>
      </c>
      <c r="AF2530" s="8">
        <v>0</v>
      </c>
      <c r="AN2530" s="8">
        <v>6</v>
      </c>
      <c r="AO2530" s="8">
        <v>0</v>
      </c>
    </row>
    <row r="2531" spans="1:41" x14ac:dyDescent="0.25">
      <c r="A2531" s="6" t="str">
        <f t="shared" si="591"/>
        <v>522-2026000271</v>
      </c>
      <c r="B2531" s="6" t="str">
        <f t="shared" si="584"/>
        <v>EL CORTE</v>
      </c>
      <c r="C2531" s="7">
        <v>46037</v>
      </c>
      <c r="D2531" s="7">
        <v>46042</v>
      </c>
      <c r="E2531" s="8">
        <v>5</v>
      </c>
      <c r="F2531" s="6" t="str">
        <f t="shared" si="592"/>
        <v>94825001_07026</v>
      </c>
      <c r="G2531" s="6" t="str">
        <f t="shared" si="585"/>
        <v>F310631650000000</v>
      </c>
      <c r="H2531" s="6" t="str">
        <f t="shared" si="586"/>
        <v>PLAR 6316 FD - 500 g</v>
      </c>
      <c r="I2531" s="6" t="str">
        <f>"202575"</f>
        <v>202575</v>
      </c>
      <c r="J2531" s="6" t="str">
        <f>"BEGE 2575"</f>
        <v>BEGE 2575</v>
      </c>
      <c r="K2531" s="6" t="str">
        <f>"1024"</f>
        <v>1024</v>
      </c>
      <c r="L2531" s="6" t="str">
        <f>"Toalhas"</f>
        <v>Toalhas</v>
      </c>
      <c r="M2531" s="6" t="str">
        <f>"50x100"</f>
        <v>50x100</v>
      </c>
      <c r="N2531" s="6" t="str">
        <f>"5602972281088"</f>
        <v>5602972281088</v>
      </c>
      <c r="O2531" s="8">
        <v>12</v>
      </c>
      <c r="R2531" s="8">
        <v>0</v>
      </c>
      <c r="U2531" s="8">
        <v>0</v>
      </c>
      <c r="X2531" s="8">
        <v>0</v>
      </c>
      <c r="Z2531" s="8">
        <v>0</v>
      </c>
      <c r="AC2531" s="8">
        <v>0</v>
      </c>
      <c r="AF2531" s="8">
        <v>0</v>
      </c>
      <c r="AN2531" s="8">
        <v>12</v>
      </c>
      <c r="AO2531" s="8">
        <v>0</v>
      </c>
    </row>
    <row r="2532" spans="1:41" x14ac:dyDescent="0.25">
      <c r="A2532" s="6" t="str">
        <f t="shared" si="591"/>
        <v>522-2026000271</v>
      </c>
      <c r="B2532" s="6" t="str">
        <f t="shared" si="584"/>
        <v>EL CORTE</v>
      </c>
      <c r="C2532" s="7">
        <v>46037</v>
      </c>
      <c r="D2532" s="7">
        <v>46042</v>
      </c>
      <c r="E2532" s="8">
        <v>6</v>
      </c>
      <c r="F2532" s="6" t="str">
        <f t="shared" si="592"/>
        <v>94825001_07026</v>
      </c>
      <c r="G2532" s="6" t="str">
        <f t="shared" si="585"/>
        <v>F310631650000000</v>
      </c>
      <c r="H2532" s="6" t="str">
        <f t="shared" si="586"/>
        <v>PLAR 6316 FD - 500 g</v>
      </c>
      <c r="I2532" s="6" t="str">
        <f>"202575"</f>
        <v>202575</v>
      </c>
      <c r="J2532" s="6" t="str">
        <f>"BEGE 2575"</f>
        <v>BEGE 2575</v>
      </c>
      <c r="K2532" s="6" t="str">
        <f>"2020"</f>
        <v>2020</v>
      </c>
      <c r="L2532" s="6" t="str">
        <f>"Lençóis"</f>
        <v>Lençóis</v>
      </c>
      <c r="M2532" s="6" t="str">
        <f>"100x150"</f>
        <v>100x150</v>
      </c>
      <c r="N2532" s="6" t="str">
        <f>"5602972281095"</f>
        <v>5602972281095</v>
      </c>
      <c r="O2532" s="8">
        <v>6</v>
      </c>
      <c r="R2532" s="8">
        <v>0</v>
      </c>
      <c r="U2532" s="8">
        <v>0</v>
      </c>
      <c r="X2532" s="8">
        <v>0</v>
      </c>
      <c r="Z2532" s="8">
        <v>0</v>
      </c>
      <c r="AC2532" s="8">
        <v>0</v>
      </c>
      <c r="AF2532" s="8">
        <v>0</v>
      </c>
      <c r="AN2532" s="8">
        <v>0</v>
      </c>
      <c r="AO2532" s="8">
        <v>6</v>
      </c>
    </row>
    <row r="2533" spans="1:41" x14ac:dyDescent="0.25">
      <c r="A2533" s="6" t="str">
        <f t="shared" si="591"/>
        <v>522-2026000271</v>
      </c>
      <c r="B2533" s="6" t="str">
        <f t="shared" si="584"/>
        <v>EL CORTE</v>
      </c>
      <c r="C2533" s="7">
        <v>46037</v>
      </c>
      <c r="D2533" s="7">
        <v>46042</v>
      </c>
      <c r="E2533" s="8">
        <v>7</v>
      </c>
      <c r="F2533" s="6" t="str">
        <f t="shared" si="592"/>
        <v>94825001_07026</v>
      </c>
      <c r="G2533" s="6" t="str">
        <f t="shared" si="585"/>
        <v>F310631650000000</v>
      </c>
      <c r="H2533" s="6" t="str">
        <f t="shared" si="586"/>
        <v>PLAR 6316 FD - 500 g</v>
      </c>
      <c r="I2533" s="6" t="str">
        <f>"200901"</f>
        <v>200901</v>
      </c>
      <c r="J2533" s="6" t="str">
        <f>"ROSA 901"</f>
        <v>ROSA 901</v>
      </c>
      <c r="K2533" s="6" t="str">
        <f>"0520"</f>
        <v>0520</v>
      </c>
      <c r="L2533" s="6" t="str">
        <f>"Toalhetes"</f>
        <v>Toalhetes</v>
      </c>
      <c r="M2533" s="6" t="str">
        <f>"30x50"</f>
        <v>30x50</v>
      </c>
      <c r="N2533" s="6" t="str">
        <f>"5602972281101"</f>
        <v>5602972281101</v>
      </c>
      <c r="O2533" s="8">
        <v>6</v>
      </c>
      <c r="R2533" s="8">
        <v>0</v>
      </c>
      <c r="U2533" s="8">
        <v>0</v>
      </c>
      <c r="X2533" s="8">
        <v>0</v>
      </c>
      <c r="Z2533" s="8">
        <v>0</v>
      </c>
      <c r="AC2533" s="8">
        <v>0</v>
      </c>
      <c r="AF2533" s="8">
        <v>0</v>
      </c>
      <c r="AN2533" s="8">
        <v>0</v>
      </c>
      <c r="AO2533" s="8">
        <v>6</v>
      </c>
    </row>
    <row r="2534" spans="1:41" x14ac:dyDescent="0.25">
      <c r="A2534" s="6" t="str">
        <f t="shared" si="591"/>
        <v>522-2026000271</v>
      </c>
      <c r="B2534" s="6" t="str">
        <f t="shared" si="584"/>
        <v>EL CORTE</v>
      </c>
      <c r="C2534" s="7">
        <v>46037</v>
      </c>
      <c r="D2534" s="7">
        <v>46042</v>
      </c>
      <c r="E2534" s="8">
        <v>8</v>
      </c>
      <c r="F2534" s="6" t="str">
        <f t="shared" si="592"/>
        <v>94825001_07026</v>
      </c>
      <c r="G2534" s="6" t="str">
        <f t="shared" si="585"/>
        <v>F310631650000000</v>
      </c>
      <c r="H2534" s="6" t="str">
        <f t="shared" si="586"/>
        <v>PLAR 6316 FD - 500 g</v>
      </c>
      <c r="I2534" s="6" t="str">
        <f>"200901"</f>
        <v>200901</v>
      </c>
      <c r="J2534" s="6" t="str">
        <f>"ROSA 901"</f>
        <v>ROSA 901</v>
      </c>
      <c r="K2534" s="6" t="str">
        <f>"1024"</f>
        <v>1024</v>
      </c>
      <c r="L2534" s="6" t="str">
        <f>"Toalhas"</f>
        <v>Toalhas</v>
      </c>
      <c r="M2534" s="6" t="str">
        <f>"50x100"</f>
        <v>50x100</v>
      </c>
      <c r="N2534" s="6" t="str">
        <f>"5602972281118"</f>
        <v>5602972281118</v>
      </c>
      <c r="O2534" s="8">
        <v>12</v>
      </c>
      <c r="R2534" s="8">
        <v>0</v>
      </c>
      <c r="U2534" s="8">
        <v>0</v>
      </c>
      <c r="X2534" s="8">
        <v>0</v>
      </c>
      <c r="Z2534" s="8">
        <v>0</v>
      </c>
      <c r="AC2534" s="8">
        <v>0</v>
      </c>
      <c r="AF2534" s="8">
        <v>0</v>
      </c>
      <c r="AN2534" s="8">
        <v>12</v>
      </c>
      <c r="AO2534" s="8">
        <v>0</v>
      </c>
    </row>
    <row r="2535" spans="1:41" x14ac:dyDescent="0.25">
      <c r="A2535" s="6" t="str">
        <f t="shared" si="591"/>
        <v>522-2026000271</v>
      </c>
      <c r="B2535" s="6" t="str">
        <f t="shared" si="584"/>
        <v>EL CORTE</v>
      </c>
      <c r="C2535" s="7">
        <v>46037</v>
      </c>
      <c r="D2535" s="7">
        <v>46042</v>
      </c>
      <c r="E2535" s="8">
        <v>9</v>
      </c>
      <c r="F2535" s="6" t="str">
        <f t="shared" si="592"/>
        <v>94825001_07026</v>
      </c>
      <c r="G2535" s="6" t="str">
        <f t="shared" si="585"/>
        <v>F310631650000000</v>
      </c>
      <c r="H2535" s="6" t="str">
        <f t="shared" si="586"/>
        <v>PLAR 6316 FD - 500 g</v>
      </c>
      <c r="I2535" s="6" t="str">
        <f>"200901"</f>
        <v>200901</v>
      </c>
      <c r="J2535" s="6" t="str">
        <f>"ROSA 901"</f>
        <v>ROSA 901</v>
      </c>
      <c r="K2535" s="6" t="str">
        <f>"2020"</f>
        <v>2020</v>
      </c>
      <c r="L2535" s="6" t="str">
        <f>"Lençóis"</f>
        <v>Lençóis</v>
      </c>
      <c r="M2535" s="6" t="str">
        <f>"100x150"</f>
        <v>100x150</v>
      </c>
      <c r="N2535" s="6" t="str">
        <f>"5602972281125"</f>
        <v>5602972281125</v>
      </c>
      <c r="O2535" s="8">
        <v>9</v>
      </c>
      <c r="R2535" s="8">
        <v>0</v>
      </c>
      <c r="U2535" s="8">
        <v>0</v>
      </c>
      <c r="X2535" s="8">
        <v>0</v>
      </c>
      <c r="Z2535" s="8">
        <v>0</v>
      </c>
      <c r="AC2535" s="8">
        <v>0</v>
      </c>
      <c r="AF2535" s="8">
        <v>0</v>
      </c>
      <c r="AN2535" s="8">
        <v>0</v>
      </c>
      <c r="AO2535" s="8">
        <v>9</v>
      </c>
    </row>
    <row r="2536" spans="1:41" x14ac:dyDescent="0.25">
      <c r="A2536" s="6" t="str">
        <f t="shared" si="591"/>
        <v>522-2026000271</v>
      </c>
      <c r="B2536" s="6" t="str">
        <f t="shared" si="584"/>
        <v>EL CORTE</v>
      </c>
      <c r="C2536" s="7">
        <v>46037</v>
      </c>
      <c r="D2536" s="7">
        <v>46042</v>
      </c>
      <c r="E2536" s="8">
        <v>10</v>
      </c>
      <c r="F2536" s="6" t="str">
        <f t="shared" si="592"/>
        <v>94825001_07026</v>
      </c>
      <c r="G2536" s="6" t="str">
        <f t="shared" si="585"/>
        <v>F310631650000000</v>
      </c>
      <c r="H2536" s="6" t="str">
        <f t="shared" si="586"/>
        <v>PLAR 6316 FD - 500 g</v>
      </c>
      <c r="I2536" s="6" t="str">
        <f>"200510"</f>
        <v>200510</v>
      </c>
      <c r="J2536" s="6" t="str">
        <f>"VERDE 510"</f>
        <v>VERDE 510</v>
      </c>
      <c r="K2536" s="6" t="str">
        <f>"0520"</f>
        <v>0520</v>
      </c>
      <c r="L2536" s="6" t="str">
        <f>"Toalhetes"</f>
        <v>Toalhetes</v>
      </c>
      <c r="M2536" s="6" t="str">
        <f>"30x50"</f>
        <v>30x50</v>
      </c>
      <c r="N2536" s="6" t="str">
        <f>"5602972281132"</f>
        <v>5602972281132</v>
      </c>
      <c r="O2536" s="8">
        <v>6</v>
      </c>
      <c r="R2536" s="8">
        <v>0</v>
      </c>
      <c r="U2536" s="8">
        <v>0</v>
      </c>
      <c r="X2536" s="8">
        <v>0</v>
      </c>
      <c r="Z2536" s="8">
        <v>0</v>
      </c>
      <c r="AC2536" s="8">
        <v>0</v>
      </c>
      <c r="AF2536" s="8">
        <v>0</v>
      </c>
      <c r="AN2536" s="8">
        <v>6</v>
      </c>
      <c r="AO2536" s="8">
        <v>0</v>
      </c>
    </row>
    <row r="2537" spans="1:41" x14ac:dyDescent="0.25">
      <c r="A2537" s="6" t="str">
        <f t="shared" si="591"/>
        <v>522-2026000271</v>
      </c>
      <c r="B2537" s="6" t="str">
        <f t="shared" si="584"/>
        <v>EL CORTE</v>
      </c>
      <c r="C2537" s="7">
        <v>46037</v>
      </c>
      <c r="D2537" s="7">
        <v>46042</v>
      </c>
      <c r="E2537" s="8">
        <v>11</v>
      </c>
      <c r="F2537" s="6" t="str">
        <f t="shared" si="592"/>
        <v>94825001_07026</v>
      </c>
      <c r="G2537" s="6" t="str">
        <f t="shared" si="585"/>
        <v>F310631650000000</v>
      </c>
      <c r="H2537" s="6" t="str">
        <f t="shared" si="586"/>
        <v>PLAR 6316 FD - 500 g</v>
      </c>
      <c r="I2537" s="6" t="str">
        <f>"200510"</f>
        <v>200510</v>
      </c>
      <c r="J2537" s="6" t="str">
        <f>"VERDE 510"</f>
        <v>VERDE 510</v>
      </c>
      <c r="K2537" s="6" t="str">
        <f>"1024"</f>
        <v>1024</v>
      </c>
      <c r="L2537" s="6" t="str">
        <f>"Toalhas"</f>
        <v>Toalhas</v>
      </c>
      <c r="M2537" s="6" t="str">
        <f>"50x100"</f>
        <v>50x100</v>
      </c>
      <c r="N2537" s="6" t="str">
        <f>"5602972281149"</f>
        <v>5602972281149</v>
      </c>
      <c r="O2537" s="8">
        <v>12</v>
      </c>
      <c r="R2537" s="8">
        <v>0</v>
      </c>
      <c r="U2537" s="8">
        <v>0</v>
      </c>
      <c r="X2537" s="8">
        <v>0</v>
      </c>
      <c r="Z2537" s="8">
        <v>0</v>
      </c>
      <c r="AC2537" s="8">
        <v>0</v>
      </c>
      <c r="AF2537" s="8">
        <v>0</v>
      </c>
      <c r="AN2537" s="8">
        <v>12</v>
      </c>
      <c r="AO2537" s="8">
        <v>0</v>
      </c>
    </row>
    <row r="2538" spans="1:41" x14ac:dyDescent="0.25">
      <c r="A2538" s="6" t="str">
        <f t="shared" si="591"/>
        <v>522-2026000271</v>
      </c>
      <c r="B2538" s="6" t="str">
        <f t="shared" si="584"/>
        <v>EL CORTE</v>
      </c>
      <c r="C2538" s="7">
        <v>46037</v>
      </c>
      <c r="D2538" s="7">
        <v>46042</v>
      </c>
      <c r="E2538" s="8">
        <v>12</v>
      </c>
      <c r="F2538" s="6" t="str">
        <f t="shared" si="592"/>
        <v>94825001_07026</v>
      </c>
      <c r="G2538" s="6" t="str">
        <f t="shared" si="585"/>
        <v>F310631650000000</v>
      </c>
      <c r="H2538" s="6" t="str">
        <f t="shared" si="586"/>
        <v>PLAR 6316 FD - 500 g</v>
      </c>
      <c r="I2538" s="6" t="str">
        <f>"200510"</f>
        <v>200510</v>
      </c>
      <c r="J2538" s="6" t="str">
        <f>"VERDE 510"</f>
        <v>VERDE 510</v>
      </c>
      <c r="K2538" s="6" t="str">
        <f>"2020"</f>
        <v>2020</v>
      </c>
      <c r="L2538" s="6" t="str">
        <f>"Lençóis"</f>
        <v>Lençóis</v>
      </c>
      <c r="M2538" s="6" t="str">
        <f>"100x150"</f>
        <v>100x150</v>
      </c>
      <c r="N2538" s="6" t="str">
        <f>"5602972281156"</f>
        <v>5602972281156</v>
      </c>
      <c r="O2538" s="8">
        <v>12</v>
      </c>
      <c r="R2538" s="8">
        <v>0</v>
      </c>
      <c r="U2538" s="8">
        <v>0</v>
      </c>
      <c r="X2538" s="8">
        <v>0</v>
      </c>
      <c r="Z2538" s="8">
        <v>0</v>
      </c>
      <c r="AC2538" s="8">
        <v>0</v>
      </c>
      <c r="AF2538" s="8">
        <v>0</v>
      </c>
      <c r="AN2538" s="8">
        <v>0</v>
      </c>
      <c r="AO2538" s="8">
        <v>12</v>
      </c>
    </row>
    <row r="2539" spans="1:41" x14ac:dyDescent="0.25">
      <c r="A2539" s="6" t="str">
        <f t="shared" ref="A2539:A2550" si="593">"522-2026000272"</f>
        <v>522-2026000272</v>
      </c>
      <c r="B2539" s="6" t="str">
        <f t="shared" si="584"/>
        <v>EL CORTE</v>
      </c>
      <c r="C2539" s="7">
        <v>46037</v>
      </c>
      <c r="D2539" s="7">
        <v>46042</v>
      </c>
      <c r="E2539" s="8">
        <v>1</v>
      </c>
      <c r="F2539" s="6" t="str">
        <f t="shared" ref="F2539:F2550" si="594">"94825501_07026"</f>
        <v>94825501_07026</v>
      </c>
      <c r="G2539" s="6" t="str">
        <f t="shared" si="585"/>
        <v>F310631650000000</v>
      </c>
      <c r="H2539" s="6" t="str">
        <f t="shared" si="586"/>
        <v>PLAR 6316 FD - 500 g</v>
      </c>
      <c r="I2539" s="6" t="str">
        <f>"201855"</f>
        <v>201855</v>
      </c>
      <c r="J2539" s="6" t="str">
        <f>"AZUL 1855"</f>
        <v>AZUL 1855</v>
      </c>
      <c r="K2539" s="6" t="str">
        <f>"0520"</f>
        <v>0520</v>
      </c>
      <c r="L2539" s="6" t="str">
        <f>"Toalhetes"</f>
        <v>Toalhetes</v>
      </c>
      <c r="M2539" s="6" t="str">
        <f>"30x50"</f>
        <v>30x50</v>
      </c>
      <c r="N2539" s="6" t="str">
        <f>"5602972281040"</f>
        <v>5602972281040</v>
      </c>
      <c r="O2539" s="8">
        <v>6</v>
      </c>
      <c r="R2539" s="8">
        <v>0</v>
      </c>
      <c r="U2539" s="8">
        <v>0</v>
      </c>
      <c r="X2539" s="8">
        <v>0</v>
      </c>
      <c r="Z2539" s="8">
        <v>0</v>
      </c>
      <c r="AC2539" s="8">
        <v>0</v>
      </c>
      <c r="AF2539" s="8">
        <v>0</v>
      </c>
      <c r="AN2539" s="8">
        <v>0</v>
      </c>
      <c r="AO2539" s="8">
        <v>6</v>
      </c>
    </row>
    <row r="2540" spans="1:41" x14ac:dyDescent="0.25">
      <c r="A2540" s="6" t="str">
        <f t="shared" si="593"/>
        <v>522-2026000272</v>
      </c>
      <c r="B2540" s="6" t="str">
        <f t="shared" si="584"/>
        <v>EL CORTE</v>
      </c>
      <c r="C2540" s="7">
        <v>46037</v>
      </c>
      <c r="D2540" s="7">
        <v>46042</v>
      </c>
      <c r="E2540" s="8">
        <v>2</v>
      </c>
      <c r="F2540" s="6" t="str">
        <f t="shared" si="594"/>
        <v>94825501_07026</v>
      </c>
      <c r="G2540" s="6" t="str">
        <f t="shared" si="585"/>
        <v>F310631650000000</v>
      </c>
      <c r="H2540" s="6" t="str">
        <f t="shared" si="586"/>
        <v>PLAR 6316 FD - 500 g</v>
      </c>
      <c r="I2540" s="6" t="str">
        <f>"201855"</f>
        <v>201855</v>
      </c>
      <c r="J2540" s="6" t="str">
        <f>"AZUL 1855"</f>
        <v>AZUL 1855</v>
      </c>
      <c r="K2540" s="6" t="str">
        <f>"1024"</f>
        <v>1024</v>
      </c>
      <c r="L2540" s="6" t="str">
        <f>"Toalhas"</f>
        <v>Toalhas</v>
      </c>
      <c r="M2540" s="6" t="str">
        <f>"50x100"</f>
        <v>50x100</v>
      </c>
      <c r="N2540" s="6" t="str">
        <f>"5602972281057"</f>
        <v>5602972281057</v>
      </c>
      <c r="O2540" s="8">
        <v>6</v>
      </c>
      <c r="R2540" s="8">
        <v>0</v>
      </c>
      <c r="U2540" s="8">
        <v>0</v>
      </c>
      <c r="X2540" s="8">
        <v>0</v>
      </c>
      <c r="Z2540" s="8">
        <v>0</v>
      </c>
      <c r="AC2540" s="8">
        <v>0</v>
      </c>
      <c r="AF2540" s="8">
        <v>0</v>
      </c>
      <c r="AN2540" s="8">
        <v>6</v>
      </c>
      <c r="AO2540" s="8">
        <v>0</v>
      </c>
    </row>
    <row r="2541" spans="1:41" x14ac:dyDescent="0.25">
      <c r="A2541" s="6" t="str">
        <f t="shared" si="593"/>
        <v>522-2026000272</v>
      </c>
      <c r="B2541" s="6" t="str">
        <f t="shared" si="584"/>
        <v>EL CORTE</v>
      </c>
      <c r="C2541" s="7">
        <v>46037</v>
      </c>
      <c r="D2541" s="7">
        <v>46042</v>
      </c>
      <c r="E2541" s="8">
        <v>3</v>
      </c>
      <c r="F2541" s="6" t="str">
        <f t="shared" si="594"/>
        <v>94825501_07026</v>
      </c>
      <c r="G2541" s="6" t="str">
        <f t="shared" si="585"/>
        <v>F310631650000000</v>
      </c>
      <c r="H2541" s="6" t="str">
        <f t="shared" si="586"/>
        <v>PLAR 6316 FD - 500 g</v>
      </c>
      <c r="I2541" s="6" t="str">
        <f>"201855"</f>
        <v>201855</v>
      </c>
      <c r="J2541" s="6" t="str">
        <f>"AZUL 1855"</f>
        <v>AZUL 1855</v>
      </c>
      <c r="K2541" s="6" t="str">
        <f>"2020"</f>
        <v>2020</v>
      </c>
      <c r="L2541" s="6" t="str">
        <f>"Lençóis"</f>
        <v>Lençóis</v>
      </c>
      <c r="M2541" s="6" t="str">
        <f>"100x150"</f>
        <v>100x150</v>
      </c>
      <c r="N2541" s="6" t="str">
        <f>"5602972281064"</f>
        <v>5602972281064</v>
      </c>
      <c r="O2541" s="8">
        <v>9</v>
      </c>
      <c r="R2541" s="8">
        <v>0</v>
      </c>
      <c r="U2541" s="8">
        <v>0</v>
      </c>
      <c r="X2541" s="8">
        <v>0</v>
      </c>
      <c r="Z2541" s="8">
        <v>0</v>
      </c>
      <c r="AC2541" s="8">
        <v>0</v>
      </c>
      <c r="AF2541" s="8">
        <v>0</v>
      </c>
      <c r="AN2541" s="8">
        <v>0</v>
      </c>
      <c r="AO2541" s="8">
        <v>9</v>
      </c>
    </row>
    <row r="2542" spans="1:41" x14ac:dyDescent="0.25">
      <c r="A2542" s="6" t="str">
        <f t="shared" si="593"/>
        <v>522-2026000272</v>
      </c>
      <c r="B2542" s="6" t="str">
        <f t="shared" si="584"/>
        <v>EL CORTE</v>
      </c>
      <c r="C2542" s="7">
        <v>46037</v>
      </c>
      <c r="D2542" s="7">
        <v>46042</v>
      </c>
      <c r="E2542" s="8">
        <v>4</v>
      </c>
      <c r="F2542" s="6" t="str">
        <f t="shared" si="594"/>
        <v>94825501_07026</v>
      </c>
      <c r="G2542" s="6" t="str">
        <f t="shared" si="585"/>
        <v>F310631650000000</v>
      </c>
      <c r="H2542" s="6" t="str">
        <f t="shared" si="586"/>
        <v>PLAR 6316 FD - 500 g</v>
      </c>
      <c r="I2542" s="6" t="str">
        <f>"202575"</f>
        <v>202575</v>
      </c>
      <c r="J2542" s="6" t="str">
        <f>"BEGE 2575"</f>
        <v>BEGE 2575</v>
      </c>
      <c r="K2542" s="6" t="str">
        <f>"0520"</f>
        <v>0520</v>
      </c>
      <c r="L2542" s="6" t="str">
        <f>"Toalhetes"</f>
        <v>Toalhetes</v>
      </c>
      <c r="M2542" s="6" t="str">
        <f>"30x50"</f>
        <v>30x50</v>
      </c>
      <c r="N2542" s="6" t="str">
        <f>"5602972281071"</f>
        <v>5602972281071</v>
      </c>
      <c r="O2542" s="8">
        <v>6</v>
      </c>
      <c r="R2542" s="8">
        <v>0</v>
      </c>
      <c r="U2542" s="8">
        <v>0</v>
      </c>
      <c r="X2542" s="8">
        <v>0</v>
      </c>
      <c r="Z2542" s="8">
        <v>0</v>
      </c>
      <c r="AC2542" s="8">
        <v>0</v>
      </c>
      <c r="AF2542" s="8">
        <v>0</v>
      </c>
      <c r="AN2542" s="8">
        <v>6</v>
      </c>
      <c r="AO2542" s="8">
        <v>0</v>
      </c>
    </row>
    <row r="2543" spans="1:41" x14ac:dyDescent="0.25">
      <c r="A2543" s="6" t="str">
        <f t="shared" si="593"/>
        <v>522-2026000272</v>
      </c>
      <c r="B2543" s="6" t="str">
        <f t="shared" si="584"/>
        <v>EL CORTE</v>
      </c>
      <c r="C2543" s="7">
        <v>46037</v>
      </c>
      <c r="D2543" s="7">
        <v>46042</v>
      </c>
      <c r="E2543" s="8">
        <v>5</v>
      </c>
      <c r="F2543" s="6" t="str">
        <f t="shared" si="594"/>
        <v>94825501_07026</v>
      </c>
      <c r="G2543" s="6" t="str">
        <f t="shared" si="585"/>
        <v>F310631650000000</v>
      </c>
      <c r="H2543" s="6" t="str">
        <f t="shared" si="586"/>
        <v>PLAR 6316 FD - 500 g</v>
      </c>
      <c r="I2543" s="6" t="str">
        <f>"202575"</f>
        <v>202575</v>
      </c>
      <c r="J2543" s="6" t="str">
        <f>"BEGE 2575"</f>
        <v>BEGE 2575</v>
      </c>
      <c r="K2543" s="6" t="str">
        <f>"1024"</f>
        <v>1024</v>
      </c>
      <c r="L2543" s="6" t="str">
        <f>"Toalhas"</f>
        <v>Toalhas</v>
      </c>
      <c r="M2543" s="6" t="str">
        <f>"50x100"</f>
        <v>50x100</v>
      </c>
      <c r="N2543" s="6" t="str">
        <f>"5602972281088"</f>
        <v>5602972281088</v>
      </c>
      <c r="O2543" s="8">
        <v>6</v>
      </c>
      <c r="R2543" s="8">
        <v>0</v>
      </c>
      <c r="U2543" s="8">
        <v>0</v>
      </c>
      <c r="X2543" s="8">
        <v>0</v>
      </c>
      <c r="Z2543" s="8">
        <v>0</v>
      </c>
      <c r="AC2543" s="8">
        <v>0</v>
      </c>
      <c r="AF2543" s="8">
        <v>0</v>
      </c>
      <c r="AN2543" s="8">
        <v>6</v>
      </c>
      <c r="AO2543" s="8">
        <v>0</v>
      </c>
    </row>
    <row r="2544" spans="1:41" x14ac:dyDescent="0.25">
      <c r="A2544" s="6" t="str">
        <f t="shared" si="593"/>
        <v>522-2026000272</v>
      </c>
      <c r="B2544" s="6" t="str">
        <f t="shared" si="584"/>
        <v>EL CORTE</v>
      </c>
      <c r="C2544" s="7">
        <v>46037</v>
      </c>
      <c r="D2544" s="7">
        <v>46042</v>
      </c>
      <c r="E2544" s="8">
        <v>6</v>
      </c>
      <c r="F2544" s="6" t="str">
        <f t="shared" si="594"/>
        <v>94825501_07026</v>
      </c>
      <c r="G2544" s="6" t="str">
        <f t="shared" si="585"/>
        <v>F310631650000000</v>
      </c>
      <c r="H2544" s="6" t="str">
        <f t="shared" si="586"/>
        <v>PLAR 6316 FD - 500 g</v>
      </c>
      <c r="I2544" s="6" t="str">
        <f>"202575"</f>
        <v>202575</v>
      </c>
      <c r="J2544" s="6" t="str">
        <f>"BEGE 2575"</f>
        <v>BEGE 2575</v>
      </c>
      <c r="K2544" s="6" t="str">
        <f>"2020"</f>
        <v>2020</v>
      </c>
      <c r="L2544" s="6" t="str">
        <f>"Lençóis"</f>
        <v>Lençóis</v>
      </c>
      <c r="M2544" s="6" t="str">
        <f>"100x150"</f>
        <v>100x150</v>
      </c>
      <c r="N2544" s="6" t="str">
        <f>"5602972281095"</f>
        <v>5602972281095</v>
      </c>
      <c r="O2544" s="8">
        <v>9</v>
      </c>
      <c r="R2544" s="8">
        <v>0</v>
      </c>
      <c r="U2544" s="8">
        <v>0</v>
      </c>
      <c r="X2544" s="8">
        <v>0</v>
      </c>
      <c r="Z2544" s="8">
        <v>0</v>
      </c>
      <c r="AC2544" s="8">
        <v>0</v>
      </c>
      <c r="AF2544" s="8">
        <v>0</v>
      </c>
      <c r="AN2544" s="8">
        <v>0</v>
      </c>
      <c r="AO2544" s="8">
        <v>9</v>
      </c>
    </row>
    <row r="2545" spans="1:41" x14ac:dyDescent="0.25">
      <c r="A2545" s="6" t="str">
        <f t="shared" si="593"/>
        <v>522-2026000272</v>
      </c>
      <c r="B2545" s="6" t="str">
        <f t="shared" si="584"/>
        <v>EL CORTE</v>
      </c>
      <c r="C2545" s="7">
        <v>46037</v>
      </c>
      <c r="D2545" s="7">
        <v>46042</v>
      </c>
      <c r="E2545" s="8">
        <v>7</v>
      </c>
      <c r="F2545" s="6" t="str">
        <f t="shared" si="594"/>
        <v>94825501_07026</v>
      </c>
      <c r="G2545" s="6" t="str">
        <f t="shared" si="585"/>
        <v>F310631650000000</v>
      </c>
      <c r="H2545" s="6" t="str">
        <f t="shared" si="586"/>
        <v>PLAR 6316 FD - 500 g</v>
      </c>
      <c r="I2545" s="6" t="str">
        <f>"200901"</f>
        <v>200901</v>
      </c>
      <c r="J2545" s="6" t="str">
        <f>"ROSA 901"</f>
        <v>ROSA 901</v>
      </c>
      <c r="K2545" s="6" t="str">
        <f>"0520"</f>
        <v>0520</v>
      </c>
      <c r="L2545" s="6" t="str">
        <f>"Toalhetes"</f>
        <v>Toalhetes</v>
      </c>
      <c r="M2545" s="6" t="str">
        <f>"30x50"</f>
        <v>30x50</v>
      </c>
      <c r="N2545" s="6" t="str">
        <f>"5602972281101"</f>
        <v>5602972281101</v>
      </c>
      <c r="O2545" s="8">
        <v>6</v>
      </c>
      <c r="R2545" s="8">
        <v>0</v>
      </c>
      <c r="U2545" s="8">
        <v>0</v>
      </c>
      <c r="X2545" s="8">
        <v>0</v>
      </c>
      <c r="Z2545" s="8">
        <v>0</v>
      </c>
      <c r="AC2545" s="8">
        <v>0</v>
      </c>
      <c r="AF2545" s="8">
        <v>0</v>
      </c>
      <c r="AN2545" s="8">
        <v>0</v>
      </c>
      <c r="AO2545" s="8">
        <v>6</v>
      </c>
    </row>
    <row r="2546" spans="1:41" x14ac:dyDescent="0.25">
      <c r="A2546" s="6" t="str">
        <f t="shared" si="593"/>
        <v>522-2026000272</v>
      </c>
      <c r="B2546" s="6" t="str">
        <f t="shared" si="584"/>
        <v>EL CORTE</v>
      </c>
      <c r="C2546" s="7">
        <v>46037</v>
      </c>
      <c r="D2546" s="7">
        <v>46042</v>
      </c>
      <c r="E2546" s="8">
        <v>8</v>
      </c>
      <c r="F2546" s="6" t="str">
        <f t="shared" si="594"/>
        <v>94825501_07026</v>
      </c>
      <c r="G2546" s="6" t="str">
        <f t="shared" si="585"/>
        <v>F310631650000000</v>
      </c>
      <c r="H2546" s="6" t="str">
        <f t="shared" si="586"/>
        <v>PLAR 6316 FD - 500 g</v>
      </c>
      <c r="I2546" s="6" t="str">
        <f>"200901"</f>
        <v>200901</v>
      </c>
      <c r="J2546" s="6" t="str">
        <f>"ROSA 901"</f>
        <v>ROSA 901</v>
      </c>
      <c r="K2546" s="6" t="str">
        <f>"1024"</f>
        <v>1024</v>
      </c>
      <c r="L2546" s="6" t="str">
        <f>"Toalhas"</f>
        <v>Toalhas</v>
      </c>
      <c r="M2546" s="6" t="str">
        <f>"50x100"</f>
        <v>50x100</v>
      </c>
      <c r="N2546" s="6" t="str">
        <f>"5602972281118"</f>
        <v>5602972281118</v>
      </c>
      <c r="O2546" s="8">
        <v>6</v>
      </c>
      <c r="R2546" s="8">
        <v>0</v>
      </c>
      <c r="U2546" s="8">
        <v>0</v>
      </c>
      <c r="X2546" s="8">
        <v>0</v>
      </c>
      <c r="Z2546" s="8">
        <v>0</v>
      </c>
      <c r="AC2546" s="8">
        <v>0</v>
      </c>
      <c r="AF2546" s="8">
        <v>0</v>
      </c>
      <c r="AN2546" s="8">
        <v>6</v>
      </c>
      <c r="AO2546" s="8">
        <v>0</v>
      </c>
    </row>
    <row r="2547" spans="1:41" x14ac:dyDescent="0.25">
      <c r="A2547" s="6" t="str">
        <f t="shared" si="593"/>
        <v>522-2026000272</v>
      </c>
      <c r="B2547" s="6" t="str">
        <f t="shared" si="584"/>
        <v>EL CORTE</v>
      </c>
      <c r="C2547" s="7">
        <v>46037</v>
      </c>
      <c r="D2547" s="7">
        <v>46042</v>
      </c>
      <c r="E2547" s="8">
        <v>9</v>
      </c>
      <c r="F2547" s="6" t="str">
        <f t="shared" si="594"/>
        <v>94825501_07026</v>
      </c>
      <c r="G2547" s="6" t="str">
        <f t="shared" si="585"/>
        <v>F310631650000000</v>
      </c>
      <c r="H2547" s="6" t="str">
        <f t="shared" si="586"/>
        <v>PLAR 6316 FD - 500 g</v>
      </c>
      <c r="I2547" s="6" t="str">
        <f>"200901"</f>
        <v>200901</v>
      </c>
      <c r="J2547" s="6" t="str">
        <f>"ROSA 901"</f>
        <v>ROSA 901</v>
      </c>
      <c r="K2547" s="6" t="str">
        <f>"2020"</f>
        <v>2020</v>
      </c>
      <c r="L2547" s="6" t="str">
        <f>"Lençóis"</f>
        <v>Lençóis</v>
      </c>
      <c r="M2547" s="6" t="str">
        <f>"100x150"</f>
        <v>100x150</v>
      </c>
      <c r="N2547" s="6" t="str">
        <f>"5602972281125"</f>
        <v>5602972281125</v>
      </c>
      <c r="O2547" s="8">
        <v>9</v>
      </c>
      <c r="R2547" s="8">
        <v>0</v>
      </c>
      <c r="U2547" s="8">
        <v>0</v>
      </c>
      <c r="X2547" s="8">
        <v>0</v>
      </c>
      <c r="Z2547" s="8">
        <v>0</v>
      </c>
      <c r="AC2547" s="8">
        <v>0</v>
      </c>
      <c r="AF2547" s="8">
        <v>0</v>
      </c>
      <c r="AN2547" s="8">
        <v>0</v>
      </c>
      <c r="AO2547" s="8">
        <v>9</v>
      </c>
    </row>
    <row r="2548" spans="1:41" x14ac:dyDescent="0.25">
      <c r="A2548" s="6" t="str">
        <f t="shared" si="593"/>
        <v>522-2026000272</v>
      </c>
      <c r="B2548" s="6" t="str">
        <f t="shared" si="584"/>
        <v>EL CORTE</v>
      </c>
      <c r="C2548" s="7">
        <v>46037</v>
      </c>
      <c r="D2548" s="7">
        <v>46042</v>
      </c>
      <c r="E2548" s="8">
        <v>10</v>
      </c>
      <c r="F2548" s="6" t="str">
        <f t="shared" si="594"/>
        <v>94825501_07026</v>
      </c>
      <c r="G2548" s="6" t="str">
        <f t="shared" si="585"/>
        <v>F310631650000000</v>
      </c>
      <c r="H2548" s="6" t="str">
        <f t="shared" si="586"/>
        <v>PLAR 6316 FD - 500 g</v>
      </c>
      <c r="I2548" s="6" t="str">
        <f>"200510"</f>
        <v>200510</v>
      </c>
      <c r="J2548" s="6" t="str">
        <f>"VERDE 510"</f>
        <v>VERDE 510</v>
      </c>
      <c r="K2548" s="6" t="str">
        <f>"0520"</f>
        <v>0520</v>
      </c>
      <c r="L2548" s="6" t="str">
        <f>"Toalhetes"</f>
        <v>Toalhetes</v>
      </c>
      <c r="M2548" s="6" t="str">
        <f>"30x50"</f>
        <v>30x50</v>
      </c>
      <c r="N2548" s="6" t="str">
        <f>"5602972281132"</f>
        <v>5602972281132</v>
      </c>
      <c r="O2548" s="8">
        <v>6</v>
      </c>
      <c r="R2548" s="8">
        <v>0</v>
      </c>
      <c r="U2548" s="8">
        <v>0</v>
      </c>
      <c r="X2548" s="8">
        <v>0</v>
      </c>
      <c r="Z2548" s="8">
        <v>0</v>
      </c>
      <c r="AC2548" s="8">
        <v>0</v>
      </c>
      <c r="AF2548" s="8">
        <v>0</v>
      </c>
      <c r="AN2548" s="8">
        <v>6</v>
      </c>
      <c r="AO2548" s="8">
        <v>0</v>
      </c>
    </row>
    <row r="2549" spans="1:41" x14ac:dyDescent="0.25">
      <c r="A2549" s="6" t="str">
        <f t="shared" si="593"/>
        <v>522-2026000272</v>
      </c>
      <c r="B2549" s="6" t="str">
        <f t="shared" si="584"/>
        <v>EL CORTE</v>
      </c>
      <c r="C2549" s="7">
        <v>46037</v>
      </c>
      <c r="D2549" s="7">
        <v>46042</v>
      </c>
      <c r="E2549" s="8">
        <v>11</v>
      </c>
      <c r="F2549" s="6" t="str">
        <f t="shared" si="594"/>
        <v>94825501_07026</v>
      </c>
      <c r="G2549" s="6" t="str">
        <f t="shared" si="585"/>
        <v>F310631650000000</v>
      </c>
      <c r="H2549" s="6" t="str">
        <f t="shared" si="586"/>
        <v>PLAR 6316 FD - 500 g</v>
      </c>
      <c r="I2549" s="6" t="str">
        <f>"200510"</f>
        <v>200510</v>
      </c>
      <c r="J2549" s="6" t="str">
        <f>"VERDE 510"</f>
        <v>VERDE 510</v>
      </c>
      <c r="K2549" s="6" t="str">
        <f>"1024"</f>
        <v>1024</v>
      </c>
      <c r="L2549" s="6" t="str">
        <f>"Toalhas"</f>
        <v>Toalhas</v>
      </c>
      <c r="M2549" s="6" t="str">
        <f>"50x100"</f>
        <v>50x100</v>
      </c>
      <c r="N2549" s="6" t="str">
        <f>"5602972281149"</f>
        <v>5602972281149</v>
      </c>
      <c r="O2549" s="8">
        <v>6</v>
      </c>
      <c r="R2549" s="8">
        <v>0</v>
      </c>
      <c r="U2549" s="8">
        <v>0</v>
      </c>
      <c r="X2549" s="8">
        <v>0</v>
      </c>
      <c r="Z2549" s="8">
        <v>0</v>
      </c>
      <c r="AC2549" s="8">
        <v>0</v>
      </c>
      <c r="AF2549" s="8">
        <v>0</v>
      </c>
      <c r="AN2549" s="8">
        <v>6</v>
      </c>
      <c r="AO2549" s="8">
        <v>0</v>
      </c>
    </row>
    <row r="2550" spans="1:41" x14ac:dyDescent="0.25">
      <c r="A2550" s="6" t="str">
        <f t="shared" si="593"/>
        <v>522-2026000272</v>
      </c>
      <c r="B2550" s="6" t="str">
        <f t="shared" si="584"/>
        <v>EL CORTE</v>
      </c>
      <c r="C2550" s="7">
        <v>46037</v>
      </c>
      <c r="D2550" s="7">
        <v>46042</v>
      </c>
      <c r="E2550" s="8">
        <v>12</v>
      </c>
      <c r="F2550" s="6" t="str">
        <f t="shared" si="594"/>
        <v>94825501_07026</v>
      </c>
      <c r="G2550" s="6" t="str">
        <f t="shared" si="585"/>
        <v>F310631650000000</v>
      </c>
      <c r="H2550" s="6" t="str">
        <f t="shared" si="586"/>
        <v>PLAR 6316 FD - 500 g</v>
      </c>
      <c r="I2550" s="6" t="str">
        <f>"200510"</f>
        <v>200510</v>
      </c>
      <c r="J2550" s="6" t="str">
        <f>"VERDE 510"</f>
        <v>VERDE 510</v>
      </c>
      <c r="K2550" s="6" t="str">
        <f>"2020"</f>
        <v>2020</v>
      </c>
      <c r="L2550" s="6" t="str">
        <f>"Lençóis"</f>
        <v>Lençóis</v>
      </c>
      <c r="M2550" s="6" t="str">
        <f>"100x150"</f>
        <v>100x150</v>
      </c>
      <c r="N2550" s="6" t="str">
        <f>"5602972281156"</f>
        <v>5602972281156</v>
      </c>
      <c r="O2550" s="8">
        <v>6</v>
      </c>
      <c r="R2550" s="8">
        <v>0</v>
      </c>
      <c r="U2550" s="8">
        <v>0</v>
      </c>
      <c r="X2550" s="8">
        <v>0</v>
      </c>
      <c r="Z2550" s="8">
        <v>0</v>
      </c>
      <c r="AC2550" s="8">
        <v>0</v>
      </c>
      <c r="AF2550" s="8">
        <v>0</v>
      </c>
      <c r="AN2550" s="8">
        <v>0</v>
      </c>
      <c r="AO2550" s="8">
        <v>6</v>
      </c>
    </row>
    <row r="2551" spans="1:41" x14ac:dyDescent="0.25">
      <c r="A2551" s="6" t="str">
        <f t="shared" ref="A2551:A2559" si="595">"522-2026000273"</f>
        <v>522-2026000273</v>
      </c>
      <c r="B2551" s="6" t="str">
        <f t="shared" si="584"/>
        <v>EL CORTE</v>
      </c>
      <c r="C2551" s="7">
        <v>46037</v>
      </c>
      <c r="D2551" s="7">
        <v>46042</v>
      </c>
      <c r="E2551" s="8">
        <v>1</v>
      </c>
      <c r="F2551" s="6" t="str">
        <f t="shared" ref="F2551:F2559" si="596">"94825101_07026"</f>
        <v>94825101_07026</v>
      </c>
      <c r="G2551" s="6" t="str">
        <f t="shared" si="585"/>
        <v>F310631650000000</v>
      </c>
      <c r="H2551" s="6" t="str">
        <f t="shared" si="586"/>
        <v>PLAR 6316 FD - 500 g</v>
      </c>
      <c r="I2551" s="6" t="str">
        <f>"201855"</f>
        <v>201855</v>
      </c>
      <c r="J2551" s="6" t="str">
        <f>"AZUL 1855"</f>
        <v>AZUL 1855</v>
      </c>
      <c r="K2551" s="6" t="str">
        <f>"1024"</f>
        <v>1024</v>
      </c>
      <c r="L2551" s="6" t="str">
        <f>"Toalhas"</f>
        <v>Toalhas</v>
      </c>
      <c r="M2551" s="6" t="str">
        <f>"50x100"</f>
        <v>50x100</v>
      </c>
      <c r="N2551" s="6" t="str">
        <f>"5602972281057"</f>
        <v>5602972281057</v>
      </c>
      <c r="O2551" s="8">
        <v>6</v>
      </c>
      <c r="R2551" s="8">
        <v>0</v>
      </c>
      <c r="U2551" s="8">
        <v>0</v>
      </c>
      <c r="X2551" s="8">
        <v>0</v>
      </c>
      <c r="Z2551" s="8">
        <v>0</v>
      </c>
      <c r="AC2551" s="8">
        <v>0</v>
      </c>
      <c r="AF2551" s="8">
        <v>0</v>
      </c>
      <c r="AN2551" s="8">
        <v>6</v>
      </c>
      <c r="AO2551" s="8">
        <v>0</v>
      </c>
    </row>
    <row r="2552" spans="1:41" x14ac:dyDescent="0.25">
      <c r="A2552" s="6" t="str">
        <f t="shared" si="595"/>
        <v>522-2026000273</v>
      </c>
      <c r="B2552" s="6" t="str">
        <f t="shared" si="584"/>
        <v>EL CORTE</v>
      </c>
      <c r="C2552" s="7">
        <v>46037</v>
      </c>
      <c r="D2552" s="7">
        <v>46042</v>
      </c>
      <c r="E2552" s="8">
        <v>2</v>
      </c>
      <c r="F2552" s="6" t="str">
        <f t="shared" si="596"/>
        <v>94825101_07026</v>
      </c>
      <c r="G2552" s="6" t="str">
        <f t="shared" si="585"/>
        <v>F310631650000000</v>
      </c>
      <c r="H2552" s="6" t="str">
        <f t="shared" si="586"/>
        <v>PLAR 6316 FD - 500 g</v>
      </c>
      <c r="I2552" s="6" t="str">
        <f>"202575"</f>
        <v>202575</v>
      </c>
      <c r="J2552" s="6" t="str">
        <f>"BEGE 2575"</f>
        <v>BEGE 2575</v>
      </c>
      <c r="K2552" s="6" t="str">
        <f>"0520"</f>
        <v>0520</v>
      </c>
      <c r="L2552" s="6" t="str">
        <f>"Toalhetes"</f>
        <v>Toalhetes</v>
      </c>
      <c r="M2552" s="6" t="str">
        <f>"30x50"</f>
        <v>30x50</v>
      </c>
      <c r="N2552" s="6" t="str">
        <f>"5602972281071"</f>
        <v>5602972281071</v>
      </c>
      <c r="O2552" s="8">
        <v>12</v>
      </c>
      <c r="R2552" s="8">
        <v>0</v>
      </c>
      <c r="U2552" s="8">
        <v>0</v>
      </c>
      <c r="X2552" s="8">
        <v>0</v>
      </c>
      <c r="Z2552" s="8">
        <v>0</v>
      </c>
      <c r="AC2552" s="8">
        <v>0</v>
      </c>
      <c r="AF2552" s="8">
        <v>0</v>
      </c>
      <c r="AN2552" s="8">
        <v>12</v>
      </c>
      <c r="AO2552" s="8">
        <v>0</v>
      </c>
    </row>
    <row r="2553" spans="1:41" x14ac:dyDescent="0.25">
      <c r="A2553" s="6" t="str">
        <f t="shared" si="595"/>
        <v>522-2026000273</v>
      </c>
      <c r="B2553" s="6" t="str">
        <f t="shared" si="584"/>
        <v>EL CORTE</v>
      </c>
      <c r="C2553" s="7">
        <v>46037</v>
      </c>
      <c r="D2553" s="7">
        <v>46042</v>
      </c>
      <c r="E2553" s="8">
        <v>3</v>
      </c>
      <c r="F2553" s="6" t="str">
        <f t="shared" si="596"/>
        <v>94825101_07026</v>
      </c>
      <c r="G2553" s="6" t="str">
        <f t="shared" si="585"/>
        <v>F310631650000000</v>
      </c>
      <c r="H2553" s="6" t="str">
        <f t="shared" si="586"/>
        <v>PLAR 6316 FD - 500 g</v>
      </c>
      <c r="I2553" s="6" t="str">
        <f>"202575"</f>
        <v>202575</v>
      </c>
      <c r="J2553" s="6" t="str">
        <f>"BEGE 2575"</f>
        <v>BEGE 2575</v>
      </c>
      <c r="K2553" s="6" t="str">
        <f>"1024"</f>
        <v>1024</v>
      </c>
      <c r="L2553" s="6" t="str">
        <f>"Toalhas"</f>
        <v>Toalhas</v>
      </c>
      <c r="M2553" s="6" t="str">
        <f>"50x100"</f>
        <v>50x100</v>
      </c>
      <c r="N2553" s="6" t="str">
        <f>"5602972281088"</f>
        <v>5602972281088</v>
      </c>
      <c r="O2553" s="8">
        <v>18</v>
      </c>
      <c r="R2553" s="8">
        <v>0</v>
      </c>
      <c r="U2553" s="8">
        <v>0</v>
      </c>
      <c r="X2553" s="8">
        <v>0</v>
      </c>
      <c r="Z2553" s="8">
        <v>0</v>
      </c>
      <c r="AC2553" s="8">
        <v>0</v>
      </c>
      <c r="AF2553" s="8">
        <v>0</v>
      </c>
      <c r="AN2553" s="8">
        <v>18</v>
      </c>
      <c r="AO2553" s="8">
        <v>0</v>
      </c>
    </row>
    <row r="2554" spans="1:41" x14ac:dyDescent="0.25">
      <c r="A2554" s="6" t="str">
        <f t="shared" si="595"/>
        <v>522-2026000273</v>
      </c>
      <c r="B2554" s="6" t="str">
        <f t="shared" si="584"/>
        <v>EL CORTE</v>
      </c>
      <c r="C2554" s="7">
        <v>46037</v>
      </c>
      <c r="D2554" s="7">
        <v>46042</v>
      </c>
      <c r="E2554" s="8">
        <v>4</v>
      </c>
      <c r="F2554" s="6" t="str">
        <f t="shared" si="596"/>
        <v>94825101_07026</v>
      </c>
      <c r="G2554" s="6" t="str">
        <f t="shared" si="585"/>
        <v>F310631650000000</v>
      </c>
      <c r="H2554" s="6" t="str">
        <f t="shared" si="586"/>
        <v>PLAR 6316 FD - 500 g</v>
      </c>
      <c r="I2554" s="6" t="str">
        <f>"202575"</f>
        <v>202575</v>
      </c>
      <c r="J2554" s="6" t="str">
        <f>"BEGE 2575"</f>
        <v>BEGE 2575</v>
      </c>
      <c r="K2554" s="6" t="str">
        <f>"2020"</f>
        <v>2020</v>
      </c>
      <c r="L2554" s="6" t="str">
        <f>"Lençóis"</f>
        <v>Lençóis</v>
      </c>
      <c r="M2554" s="6" t="str">
        <f>"100x150"</f>
        <v>100x150</v>
      </c>
      <c r="N2554" s="6" t="str">
        <f>"5602972281095"</f>
        <v>5602972281095</v>
      </c>
      <c r="O2554" s="8">
        <v>9</v>
      </c>
      <c r="R2554" s="8">
        <v>0</v>
      </c>
      <c r="U2554" s="8">
        <v>0</v>
      </c>
      <c r="X2554" s="8">
        <v>0</v>
      </c>
      <c r="Z2554" s="8">
        <v>0</v>
      </c>
      <c r="AC2554" s="8">
        <v>0</v>
      </c>
      <c r="AF2554" s="8">
        <v>0</v>
      </c>
      <c r="AN2554" s="8">
        <v>0</v>
      </c>
      <c r="AO2554" s="8">
        <v>9</v>
      </c>
    </row>
    <row r="2555" spans="1:41" x14ac:dyDescent="0.25">
      <c r="A2555" s="6" t="str">
        <f t="shared" si="595"/>
        <v>522-2026000273</v>
      </c>
      <c r="B2555" s="6" t="str">
        <f t="shared" si="584"/>
        <v>EL CORTE</v>
      </c>
      <c r="C2555" s="7">
        <v>46037</v>
      </c>
      <c r="D2555" s="7">
        <v>46042</v>
      </c>
      <c r="E2555" s="8">
        <v>5</v>
      </c>
      <c r="F2555" s="6" t="str">
        <f t="shared" si="596"/>
        <v>94825101_07026</v>
      </c>
      <c r="G2555" s="6" t="str">
        <f t="shared" si="585"/>
        <v>F310631650000000</v>
      </c>
      <c r="H2555" s="6" t="str">
        <f t="shared" si="586"/>
        <v>PLAR 6316 FD - 500 g</v>
      </c>
      <c r="I2555" s="6" t="str">
        <f>"200901"</f>
        <v>200901</v>
      </c>
      <c r="J2555" s="6" t="str">
        <f>"ROSA 901"</f>
        <v>ROSA 901</v>
      </c>
      <c r="K2555" s="6" t="str">
        <f>"0520"</f>
        <v>0520</v>
      </c>
      <c r="L2555" s="6" t="str">
        <f>"Toalhetes"</f>
        <v>Toalhetes</v>
      </c>
      <c r="M2555" s="6" t="str">
        <f>"30x50"</f>
        <v>30x50</v>
      </c>
      <c r="N2555" s="6" t="str">
        <f>"5602972281101"</f>
        <v>5602972281101</v>
      </c>
      <c r="O2555" s="8">
        <v>6</v>
      </c>
      <c r="R2555" s="8">
        <v>0</v>
      </c>
      <c r="U2555" s="8">
        <v>0</v>
      </c>
      <c r="X2555" s="8">
        <v>0</v>
      </c>
      <c r="Z2555" s="8">
        <v>0</v>
      </c>
      <c r="AC2555" s="8">
        <v>0</v>
      </c>
      <c r="AF2555" s="8">
        <v>0</v>
      </c>
      <c r="AN2555" s="8">
        <v>0</v>
      </c>
      <c r="AO2555" s="8">
        <v>6</v>
      </c>
    </row>
    <row r="2556" spans="1:41" x14ac:dyDescent="0.25">
      <c r="A2556" s="6" t="str">
        <f t="shared" si="595"/>
        <v>522-2026000273</v>
      </c>
      <c r="B2556" s="6" t="str">
        <f t="shared" si="584"/>
        <v>EL CORTE</v>
      </c>
      <c r="C2556" s="7">
        <v>46037</v>
      </c>
      <c r="D2556" s="7">
        <v>46042</v>
      </c>
      <c r="E2556" s="8">
        <v>6</v>
      </c>
      <c r="F2556" s="6" t="str">
        <f t="shared" si="596"/>
        <v>94825101_07026</v>
      </c>
      <c r="G2556" s="6" t="str">
        <f t="shared" si="585"/>
        <v>F310631650000000</v>
      </c>
      <c r="H2556" s="6" t="str">
        <f t="shared" si="586"/>
        <v>PLAR 6316 FD - 500 g</v>
      </c>
      <c r="I2556" s="6" t="str">
        <f>"200901"</f>
        <v>200901</v>
      </c>
      <c r="J2556" s="6" t="str">
        <f>"ROSA 901"</f>
        <v>ROSA 901</v>
      </c>
      <c r="K2556" s="6" t="str">
        <f>"1024"</f>
        <v>1024</v>
      </c>
      <c r="L2556" s="6" t="str">
        <f>"Toalhas"</f>
        <v>Toalhas</v>
      </c>
      <c r="M2556" s="6" t="str">
        <f>"50x100"</f>
        <v>50x100</v>
      </c>
      <c r="N2556" s="6" t="str">
        <f>"5602972281118"</f>
        <v>5602972281118</v>
      </c>
      <c r="O2556" s="8">
        <v>6</v>
      </c>
      <c r="R2556" s="8">
        <v>0</v>
      </c>
      <c r="U2556" s="8">
        <v>0</v>
      </c>
      <c r="X2556" s="8">
        <v>0</v>
      </c>
      <c r="Z2556" s="8">
        <v>0</v>
      </c>
      <c r="AC2556" s="8">
        <v>0</v>
      </c>
      <c r="AF2556" s="8">
        <v>0</v>
      </c>
      <c r="AN2556" s="8">
        <v>6</v>
      </c>
      <c r="AO2556" s="8">
        <v>0</v>
      </c>
    </row>
    <row r="2557" spans="1:41" x14ac:dyDescent="0.25">
      <c r="A2557" s="6" t="str">
        <f t="shared" si="595"/>
        <v>522-2026000273</v>
      </c>
      <c r="B2557" s="6" t="str">
        <f t="shared" si="584"/>
        <v>EL CORTE</v>
      </c>
      <c r="C2557" s="7">
        <v>46037</v>
      </c>
      <c r="D2557" s="7">
        <v>46042</v>
      </c>
      <c r="E2557" s="8">
        <v>7</v>
      </c>
      <c r="F2557" s="6" t="str">
        <f t="shared" si="596"/>
        <v>94825101_07026</v>
      </c>
      <c r="G2557" s="6" t="str">
        <f t="shared" si="585"/>
        <v>F310631650000000</v>
      </c>
      <c r="H2557" s="6" t="str">
        <f t="shared" si="586"/>
        <v>PLAR 6316 FD - 500 g</v>
      </c>
      <c r="I2557" s="6" t="str">
        <f>"200901"</f>
        <v>200901</v>
      </c>
      <c r="J2557" s="6" t="str">
        <f>"ROSA 901"</f>
        <v>ROSA 901</v>
      </c>
      <c r="K2557" s="6" t="str">
        <f>"2020"</f>
        <v>2020</v>
      </c>
      <c r="L2557" s="6" t="str">
        <f>"Lençóis"</f>
        <v>Lençóis</v>
      </c>
      <c r="M2557" s="6" t="str">
        <f>"100x150"</f>
        <v>100x150</v>
      </c>
      <c r="N2557" s="6" t="str">
        <f>"5602972281125"</f>
        <v>5602972281125</v>
      </c>
      <c r="O2557" s="8">
        <v>6</v>
      </c>
      <c r="R2557" s="8">
        <v>0</v>
      </c>
      <c r="U2557" s="8">
        <v>0</v>
      </c>
      <c r="X2557" s="8">
        <v>0</v>
      </c>
      <c r="Z2557" s="8">
        <v>0</v>
      </c>
      <c r="AC2557" s="8">
        <v>0</v>
      </c>
      <c r="AF2557" s="8">
        <v>0</v>
      </c>
      <c r="AN2557" s="8">
        <v>0</v>
      </c>
      <c r="AO2557" s="8">
        <v>6</v>
      </c>
    </row>
    <row r="2558" spans="1:41" x14ac:dyDescent="0.25">
      <c r="A2558" s="6" t="str">
        <f t="shared" si="595"/>
        <v>522-2026000273</v>
      </c>
      <c r="B2558" s="6" t="str">
        <f t="shared" si="584"/>
        <v>EL CORTE</v>
      </c>
      <c r="C2558" s="7">
        <v>46037</v>
      </c>
      <c r="D2558" s="7">
        <v>46042</v>
      </c>
      <c r="E2558" s="8">
        <v>8</v>
      </c>
      <c r="F2558" s="6" t="str">
        <f t="shared" si="596"/>
        <v>94825101_07026</v>
      </c>
      <c r="G2558" s="6" t="str">
        <f t="shared" si="585"/>
        <v>F310631650000000</v>
      </c>
      <c r="H2558" s="6" t="str">
        <f t="shared" si="586"/>
        <v>PLAR 6316 FD - 500 g</v>
      </c>
      <c r="I2558" s="6" t="str">
        <f>"200510"</f>
        <v>200510</v>
      </c>
      <c r="J2558" s="6" t="str">
        <f>"VERDE 510"</f>
        <v>VERDE 510</v>
      </c>
      <c r="K2558" s="6" t="str">
        <f>"0520"</f>
        <v>0520</v>
      </c>
      <c r="L2558" s="6" t="str">
        <f>"Toalhetes"</f>
        <v>Toalhetes</v>
      </c>
      <c r="M2558" s="6" t="str">
        <f>"30x50"</f>
        <v>30x50</v>
      </c>
      <c r="N2558" s="6" t="str">
        <f>"5602972281132"</f>
        <v>5602972281132</v>
      </c>
      <c r="O2558" s="8">
        <v>6</v>
      </c>
      <c r="R2558" s="8">
        <v>0</v>
      </c>
      <c r="U2558" s="8">
        <v>0</v>
      </c>
      <c r="X2558" s="8">
        <v>0</v>
      </c>
      <c r="Z2558" s="8">
        <v>0</v>
      </c>
      <c r="AC2558" s="8">
        <v>0</v>
      </c>
      <c r="AF2558" s="8">
        <v>0</v>
      </c>
      <c r="AN2558" s="8">
        <v>6</v>
      </c>
      <c r="AO2558" s="8">
        <v>0</v>
      </c>
    </row>
    <row r="2559" spans="1:41" x14ac:dyDescent="0.25">
      <c r="A2559" s="6" t="str">
        <f t="shared" si="595"/>
        <v>522-2026000273</v>
      </c>
      <c r="B2559" s="6" t="str">
        <f t="shared" si="584"/>
        <v>EL CORTE</v>
      </c>
      <c r="C2559" s="7">
        <v>46037</v>
      </c>
      <c r="D2559" s="7">
        <v>46042</v>
      </c>
      <c r="E2559" s="8">
        <v>9</v>
      </c>
      <c r="F2559" s="6" t="str">
        <f t="shared" si="596"/>
        <v>94825101_07026</v>
      </c>
      <c r="G2559" s="6" t="str">
        <f t="shared" si="585"/>
        <v>F310631650000000</v>
      </c>
      <c r="H2559" s="6" t="str">
        <f t="shared" si="586"/>
        <v>PLAR 6316 FD - 500 g</v>
      </c>
      <c r="I2559" s="6" t="str">
        <f>"200510"</f>
        <v>200510</v>
      </c>
      <c r="J2559" s="6" t="str">
        <f>"VERDE 510"</f>
        <v>VERDE 510</v>
      </c>
      <c r="K2559" s="6" t="str">
        <f>"2020"</f>
        <v>2020</v>
      </c>
      <c r="L2559" s="6" t="str">
        <f>"Lençóis"</f>
        <v>Lençóis</v>
      </c>
      <c r="M2559" s="6" t="str">
        <f>"100x150"</f>
        <v>100x150</v>
      </c>
      <c r="N2559" s="6" t="str">
        <f>"5602972281156"</f>
        <v>5602972281156</v>
      </c>
      <c r="O2559" s="8">
        <v>3</v>
      </c>
      <c r="R2559" s="8">
        <v>0</v>
      </c>
      <c r="U2559" s="8">
        <v>0</v>
      </c>
      <c r="X2559" s="8">
        <v>0</v>
      </c>
      <c r="Z2559" s="8">
        <v>0</v>
      </c>
      <c r="AC2559" s="8">
        <v>0</v>
      </c>
      <c r="AF2559" s="8">
        <v>0</v>
      </c>
      <c r="AN2559" s="8">
        <v>0</v>
      </c>
      <c r="AO2559" s="8">
        <v>3</v>
      </c>
    </row>
    <row r="2560" spans="1:41" x14ac:dyDescent="0.25">
      <c r="A2560" s="6" t="str">
        <f>"522-2026000274"</f>
        <v>522-2026000274</v>
      </c>
      <c r="B2560" s="6" t="str">
        <f t="shared" si="584"/>
        <v>EL CORTE</v>
      </c>
      <c r="C2560" s="7">
        <v>46037</v>
      </c>
      <c r="D2560" s="7">
        <v>46042</v>
      </c>
      <c r="E2560" s="8">
        <v>1</v>
      </c>
      <c r="F2560" s="6" t="str">
        <f>"94825701_07026"</f>
        <v>94825701_07026</v>
      </c>
      <c r="G2560" s="6" t="str">
        <f t="shared" si="585"/>
        <v>F310631650000000</v>
      </c>
      <c r="H2560" s="6" t="str">
        <f t="shared" si="586"/>
        <v>PLAR 6316 FD - 500 g</v>
      </c>
      <c r="I2560" s="6" t="str">
        <f>"202575"</f>
        <v>202575</v>
      </c>
      <c r="J2560" s="6" t="str">
        <f>"BEGE 2575"</f>
        <v>BEGE 2575</v>
      </c>
      <c r="K2560" s="6" t="str">
        <f>"1024"</f>
        <v>1024</v>
      </c>
      <c r="L2560" s="6" t="str">
        <f>"Toalhas"</f>
        <v>Toalhas</v>
      </c>
      <c r="M2560" s="6" t="str">
        <f>"50x100"</f>
        <v>50x100</v>
      </c>
      <c r="N2560" s="6" t="str">
        <f>"5602972281088"</f>
        <v>5602972281088</v>
      </c>
      <c r="O2560" s="8">
        <v>6</v>
      </c>
      <c r="R2560" s="8">
        <v>0</v>
      </c>
      <c r="U2560" s="8">
        <v>0</v>
      </c>
      <c r="X2560" s="8">
        <v>0</v>
      </c>
      <c r="Z2560" s="8">
        <v>0</v>
      </c>
      <c r="AC2560" s="8">
        <v>0</v>
      </c>
      <c r="AF2560" s="8">
        <v>0</v>
      </c>
      <c r="AN2560" s="8">
        <v>6</v>
      </c>
      <c r="AO2560" s="8">
        <v>0</v>
      </c>
    </row>
    <row r="2561" spans="1:41" x14ac:dyDescent="0.25">
      <c r="A2561" s="6" t="str">
        <f t="shared" ref="A2561:A2567" si="597">"522-2026000275"</f>
        <v>522-2026000275</v>
      </c>
      <c r="B2561" s="6" t="str">
        <f t="shared" si="584"/>
        <v>EL CORTE</v>
      </c>
      <c r="C2561" s="7">
        <v>46037</v>
      </c>
      <c r="D2561" s="7">
        <v>46042</v>
      </c>
      <c r="E2561" s="8">
        <v>1</v>
      </c>
      <c r="F2561" s="6" t="str">
        <f t="shared" ref="F2561:F2567" si="598">"94826201_07026"</f>
        <v>94826201_07026</v>
      </c>
      <c r="G2561" s="6" t="str">
        <f t="shared" si="585"/>
        <v>F310631650000000</v>
      </c>
      <c r="H2561" s="6" t="str">
        <f t="shared" si="586"/>
        <v>PLAR 6316 FD - 500 g</v>
      </c>
      <c r="I2561" s="6" t="str">
        <f>"201855"</f>
        <v>201855</v>
      </c>
      <c r="J2561" s="6" t="str">
        <f>"AZUL 1855"</f>
        <v>AZUL 1855</v>
      </c>
      <c r="K2561" s="6" t="str">
        <f>"1024"</f>
        <v>1024</v>
      </c>
      <c r="L2561" s="6" t="str">
        <f>"Toalhas"</f>
        <v>Toalhas</v>
      </c>
      <c r="M2561" s="6" t="str">
        <f>"50x100"</f>
        <v>50x100</v>
      </c>
      <c r="N2561" s="6" t="str">
        <f>"5602972281057"</f>
        <v>5602972281057</v>
      </c>
      <c r="O2561" s="8">
        <v>6</v>
      </c>
      <c r="R2561" s="8">
        <v>0</v>
      </c>
      <c r="U2561" s="8">
        <v>0</v>
      </c>
      <c r="X2561" s="8">
        <v>0</v>
      </c>
      <c r="Z2561" s="8">
        <v>0</v>
      </c>
      <c r="AC2561" s="8">
        <v>0</v>
      </c>
      <c r="AF2561" s="8">
        <v>0</v>
      </c>
      <c r="AN2561" s="8">
        <v>6</v>
      </c>
      <c r="AO2561" s="8">
        <v>0</v>
      </c>
    </row>
    <row r="2562" spans="1:41" x14ac:dyDescent="0.25">
      <c r="A2562" s="6" t="str">
        <f t="shared" si="597"/>
        <v>522-2026000275</v>
      </c>
      <c r="B2562" s="6" t="str">
        <f t="shared" si="584"/>
        <v>EL CORTE</v>
      </c>
      <c r="C2562" s="7">
        <v>46037</v>
      </c>
      <c r="D2562" s="7">
        <v>46042</v>
      </c>
      <c r="E2562" s="8">
        <v>2</v>
      </c>
      <c r="F2562" s="6" t="str">
        <f t="shared" si="598"/>
        <v>94826201_07026</v>
      </c>
      <c r="G2562" s="6" t="str">
        <f t="shared" si="585"/>
        <v>F310631650000000</v>
      </c>
      <c r="H2562" s="6" t="str">
        <f t="shared" si="586"/>
        <v>PLAR 6316 FD - 500 g</v>
      </c>
      <c r="I2562" s="6" t="str">
        <f>"202575"</f>
        <v>202575</v>
      </c>
      <c r="J2562" s="6" t="str">
        <f>"BEGE 2575"</f>
        <v>BEGE 2575</v>
      </c>
      <c r="K2562" s="6" t="str">
        <f>"0520"</f>
        <v>0520</v>
      </c>
      <c r="L2562" s="6" t="str">
        <f>"Toalhetes"</f>
        <v>Toalhetes</v>
      </c>
      <c r="M2562" s="6" t="str">
        <f>"30x50"</f>
        <v>30x50</v>
      </c>
      <c r="N2562" s="6" t="str">
        <f>"5602972281071"</f>
        <v>5602972281071</v>
      </c>
      <c r="O2562" s="8">
        <v>6</v>
      </c>
      <c r="R2562" s="8">
        <v>0</v>
      </c>
      <c r="U2562" s="8">
        <v>0</v>
      </c>
      <c r="X2562" s="8">
        <v>0</v>
      </c>
      <c r="Z2562" s="8">
        <v>0</v>
      </c>
      <c r="AC2562" s="8">
        <v>0</v>
      </c>
      <c r="AF2562" s="8">
        <v>0</v>
      </c>
      <c r="AN2562" s="8">
        <v>6</v>
      </c>
      <c r="AO2562" s="8">
        <v>0</v>
      </c>
    </row>
    <row r="2563" spans="1:41" x14ac:dyDescent="0.25">
      <c r="A2563" s="6" t="str">
        <f t="shared" si="597"/>
        <v>522-2026000275</v>
      </c>
      <c r="B2563" s="6" t="str">
        <f t="shared" si="584"/>
        <v>EL CORTE</v>
      </c>
      <c r="C2563" s="7">
        <v>46037</v>
      </c>
      <c r="D2563" s="7">
        <v>46042</v>
      </c>
      <c r="E2563" s="8">
        <v>3</v>
      </c>
      <c r="F2563" s="6" t="str">
        <f t="shared" si="598"/>
        <v>94826201_07026</v>
      </c>
      <c r="G2563" s="6" t="str">
        <f t="shared" si="585"/>
        <v>F310631650000000</v>
      </c>
      <c r="H2563" s="6" t="str">
        <f t="shared" si="586"/>
        <v>PLAR 6316 FD - 500 g</v>
      </c>
      <c r="I2563" s="6" t="str">
        <f>"202575"</f>
        <v>202575</v>
      </c>
      <c r="J2563" s="6" t="str">
        <f>"BEGE 2575"</f>
        <v>BEGE 2575</v>
      </c>
      <c r="K2563" s="6" t="str">
        <f>"1024"</f>
        <v>1024</v>
      </c>
      <c r="L2563" s="6" t="str">
        <f>"Toalhas"</f>
        <v>Toalhas</v>
      </c>
      <c r="M2563" s="6" t="str">
        <f>"50x100"</f>
        <v>50x100</v>
      </c>
      <c r="N2563" s="6" t="str">
        <f>"5602972281088"</f>
        <v>5602972281088</v>
      </c>
      <c r="O2563" s="8">
        <v>6</v>
      </c>
      <c r="R2563" s="8">
        <v>0</v>
      </c>
      <c r="U2563" s="8">
        <v>0</v>
      </c>
      <c r="X2563" s="8">
        <v>0</v>
      </c>
      <c r="Z2563" s="8">
        <v>0</v>
      </c>
      <c r="AC2563" s="8">
        <v>0</v>
      </c>
      <c r="AF2563" s="8">
        <v>0</v>
      </c>
      <c r="AN2563" s="8">
        <v>6</v>
      </c>
      <c r="AO2563" s="8">
        <v>0</v>
      </c>
    </row>
    <row r="2564" spans="1:41" x14ac:dyDescent="0.25">
      <c r="A2564" s="6" t="str">
        <f t="shared" si="597"/>
        <v>522-2026000275</v>
      </c>
      <c r="B2564" s="6" t="str">
        <f t="shared" si="584"/>
        <v>EL CORTE</v>
      </c>
      <c r="C2564" s="7">
        <v>46037</v>
      </c>
      <c r="D2564" s="7">
        <v>46042</v>
      </c>
      <c r="E2564" s="8">
        <v>4</v>
      </c>
      <c r="F2564" s="6" t="str">
        <f t="shared" si="598"/>
        <v>94826201_07026</v>
      </c>
      <c r="G2564" s="6" t="str">
        <f t="shared" si="585"/>
        <v>F310631650000000</v>
      </c>
      <c r="H2564" s="6" t="str">
        <f t="shared" si="586"/>
        <v>PLAR 6316 FD - 500 g</v>
      </c>
      <c r="I2564" s="6" t="str">
        <f>"202575"</f>
        <v>202575</v>
      </c>
      <c r="J2564" s="6" t="str">
        <f>"BEGE 2575"</f>
        <v>BEGE 2575</v>
      </c>
      <c r="K2564" s="6" t="str">
        <f>"2020"</f>
        <v>2020</v>
      </c>
      <c r="L2564" s="6" t="str">
        <f>"Lençóis"</f>
        <v>Lençóis</v>
      </c>
      <c r="M2564" s="6" t="str">
        <f>"100x150"</f>
        <v>100x150</v>
      </c>
      <c r="N2564" s="6" t="str">
        <f>"5602972281095"</f>
        <v>5602972281095</v>
      </c>
      <c r="O2564" s="8">
        <v>6</v>
      </c>
      <c r="R2564" s="8">
        <v>0</v>
      </c>
      <c r="U2564" s="8">
        <v>0</v>
      </c>
      <c r="X2564" s="8">
        <v>0</v>
      </c>
      <c r="Z2564" s="8">
        <v>0</v>
      </c>
      <c r="AC2564" s="8">
        <v>0</v>
      </c>
      <c r="AF2564" s="8">
        <v>0</v>
      </c>
      <c r="AN2564" s="8">
        <v>0</v>
      </c>
      <c r="AO2564" s="8">
        <v>6</v>
      </c>
    </row>
    <row r="2565" spans="1:41" x14ac:dyDescent="0.25">
      <c r="A2565" s="6" t="str">
        <f t="shared" si="597"/>
        <v>522-2026000275</v>
      </c>
      <c r="B2565" s="6" t="str">
        <f t="shared" si="584"/>
        <v>EL CORTE</v>
      </c>
      <c r="C2565" s="7">
        <v>46037</v>
      </c>
      <c r="D2565" s="7">
        <v>46042</v>
      </c>
      <c r="E2565" s="8">
        <v>5</v>
      </c>
      <c r="F2565" s="6" t="str">
        <f t="shared" si="598"/>
        <v>94826201_07026</v>
      </c>
      <c r="G2565" s="6" t="str">
        <f t="shared" si="585"/>
        <v>F310631650000000</v>
      </c>
      <c r="H2565" s="6" t="str">
        <f t="shared" si="586"/>
        <v>PLAR 6316 FD - 500 g</v>
      </c>
      <c r="I2565" s="6" t="str">
        <f>"200901"</f>
        <v>200901</v>
      </c>
      <c r="J2565" s="6" t="str">
        <f>"ROSA 901"</f>
        <v>ROSA 901</v>
      </c>
      <c r="K2565" s="6" t="str">
        <f>"2020"</f>
        <v>2020</v>
      </c>
      <c r="L2565" s="6" t="str">
        <f>"Lençóis"</f>
        <v>Lençóis</v>
      </c>
      <c r="M2565" s="6" t="str">
        <f>"100x150"</f>
        <v>100x150</v>
      </c>
      <c r="N2565" s="6" t="str">
        <f>"5602972281125"</f>
        <v>5602972281125</v>
      </c>
      <c r="O2565" s="8">
        <v>3</v>
      </c>
      <c r="R2565" s="8">
        <v>0</v>
      </c>
      <c r="U2565" s="8">
        <v>0</v>
      </c>
      <c r="X2565" s="8">
        <v>0</v>
      </c>
      <c r="Z2565" s="8">
        <v>0</v>
      </c>
      <c r="AC2565" s="8">
        <v>0</v>
      </c>
      <c r="AF2565" s="8">
        <v>0</v>
      </c>
      <c r="AN2565" s="8">
        <v>0</v>
      </c>
      <c r="AO2565" s="8">
        <v>3</v>
      </c>
    </row>
    <row r="2566" spans="1:41" x14ac:dyDescent="0.25">
      <c r="A2566" s="6" t="str">
        <f t="shared" si="597"/>
        <v>522-2026000275</v>
      </c>
      <c r="B2566" s="6" t="str">
        <f t="shared" si="584"/>
        <v>EL CORTE</v>
      </c>
      <c r="C2566" s="7">
        <v>46037</v>
      </c>
      <c r="D2566" s="7">
        <v>46042</v>
      </c>
      <c r="E2566" s="8">
        <v>6</v>
      </c>
      <c r="F2566" s="6" t="str">
        <f t="shared" si="598"/>
        <v>94826201_07026</v>
      </c>
      <c r="G2566" s="6" t="str">
        <f t="shared" si="585"/>
        <v>F310631650000000</v>
      </c>
      <c r="H2566" s="6" t="str">
        <f t="shared" si="586"/>
        <v>PLAR 6316 FD - 500 g</v>
      </c>
      <c r="I2566" s="6" t="str">
        <f>"200510"</f>
        <v>200510</v>
      </c>
      <c r="J2566" s="6" t="str">
        <f>"VERDE 510"</f>
        <v>VERDE 510</v>
      </c>
      <c r="K2566" s="6" t="str">
        <f>"1024"</f>
        <v>1024</v>
      </c>
      <c r="L2566" s="6" t="str">
        <f>"Toalhas"</f>
        <v>Toalhas</v>
      </c>
      <c r="M2566" s="6" t="str">
        <f>"50x100"</f>
        <v>50x100</v>
      </c>
      <c r="N2566" s="6" t="str">
        <f>"5602972281149"</f>
        <v>5602972281149</v>
      </c>
      <c r="O2566" s="8">
        <v>6</v>
      </c>
      <c r="R2566" s="8">
        <v>0</v>
      </c>
      <c r="U2566" s="8">
        <v>0</v>
      </c>
      <c r="X2566" s="8">
        <v>0</v>
      </c>
      <c r="Z2566" s="8">
        <v>0</v>
      </c>
      <c r="AC2566" s="8">
        <v>0</v>
      </c>
      <c r="AF2566" s="8">
        <v>0</v>
      </c>
      <c r="AN2566" s="8">
        <v>6</v>
      </c>
      <c r="AO2566" s="8">
        <v>0</v>
      </c>
    </row>
    <row r="2567" spans="1:41" x14ac:dyDescent="0.25">
      <c r="A2567" s="6" t="str">
        <f t="shared" si="597"/>
        <v>522-2026000275</v>
      </c>
      <c r="B2567" s="6" t="str">
        <f t="shared" ref="B2567:B2630" si="599">"EL CORTE"</f>
        <v>EL CORTE</v>
      </c>
      <c r="C2567" s="7">
        <v>46037</v>
      </c>
      <c r="D2567" s="7">
        <v>46042</v>
      </c>
      <c r="E2567" s="8">
        <v>7</v>
      </c>
      <c r="F2567" s="6" t="str">
        <f t="shared" si="598"/>
        <v>94826201_07026</v>
      </c>
      <c r="G2567" s="6" t="str">
        <f t="shared" ref="G2567:G2630" si="600">"F310631650000000"</f>
        <v>F310631650000000</v>
      </c>
      <c r="H2567" s="6" t="str">
        <f t="shared" ref="H2567:H2630" si="601">"PLAR 6316 FD - 500 g"</f>
        <v>PLAR 6316 FD - 500 g</v>
      </c>
      <c r="I2567" s="6" t="str">
        <f>"200510"</f>
        <v>200510</v>
      </c>
      <c r="J2567" s="6" t="str">
        <f>"VERDE 510"</f>
        <v>VERDE 510</v>
      </c>
      <c r="K2567" s="6" t="str">
        <f>"2020"</f>
        <v>2020</v>
      </c>
      <c r="L2567" s="6" t="str">
        <f>"Lençóis"</f>
        <v>Lençóis</v>
      </c>
      <c r="M2567" s="6" t="str">
        <f>"100x150"</f>
        <v>100x150</v>
      </c>
      <c r="N2567" s="6" t="str">
        <f>"5602972281156"</f>
        <v>5602972281156</v>
      </c>
      <c r="O2567" s="8">
        <v>6</v>
      </c>
      <c r="R2567" s="8">
        <v>0</v>
      </c>
      <c r="U2567" s="8">
        <v>0</v>
      </c>
      <c r="X2567" s="8">
        <v>0</v>
      </c>
      <c r="Z2567" s="8">
        <v>0</v>
      </c>
      <c r="AC2567" s="8">
        <v>0</v>
      </c>
      <c r="AF2567" s="8">
        <v>0</v>
      </c>
      <c r="AN2567" s="8">
        <v>0</v>
      </c>
      <c r="AO2567" s="8">
        <v>6</v>
      </c>
    </row>
    <row r="2568" spans="1:41" x14ac:dyDescent="0.25">
      <c r="A2568" s="6" t="str">
        <f t="shared" ref="A2568:A2578" si="602">"522-2026000276"</f>
        <v>522-2026000276</v>
      </c>
      <c r="B2568" s="6" t="str">
        <f t="shared" si="599"/>
        <v>EL CORTE</v>
      </c>
      <c r="C2568" s="7">
        <v>46037</v>
      </c>
      <c r="D2568" s="7">
        <v>46042</v>
      </c>
      <c r="E2568" s="8">
        <v>1</v>
      </c>
      <c r="F2568" s="6" t="str">
        <f t="shared" ref="F2568:F2578" si="603">"94825801_07026"</f>
        <v>94825801_07026</v>
      </c>
      <c r="G2568" s="6" t="str">
        <f t="shared" si="600"/>
        <v>F310631650000000</v>
      </c>
      <c r="H2568" s="6" t="str">
        <f t="shared" si="601"/>
        <v>PLAR 6316 FD - 500 g</v>
      </c>
      <c r="I2568" s="6" t="str">
        <f>"201855"</f>
        <v>201855</v>
      </c>
      <c r="J2568" s="6" t="str">
        <f>"AZUL 1855"</f>
        <v>AZUL 1855</v>
      </c>
      <c r="K2568" s="6" t="str">
        <f>"0520"</f>
        <v>0520</v>
      </c>
      <c r="L2568" s="6" t="str">
        <f>"Toalhetes"</f>
        <v>Toalhetes</v>
      </c>
      <c r="M2568" s="6" t="str">
        <f>"30x50"</f>
        <v>30x50</v>
      </c>
      <c r="N2568" s="6" t="str">
        <f>"5602972281040"</f>
        <v>5602972281040</v>
      </c>
      <c r="O2568" s="8">
        <v>6</v>
      </c>
      <c r="R2568" s="8">
        <v>0</v>
      </c>
      <c r="U2568" s="8">
        <v>0</v>
      </c>
      <c r="X2568" s="8">
        <v>0</v>
      </c>
      <c r="Z2568" s="8">
        <v>0</v>
      </c>
      <c r="AC2568" s="8">
        <v>0</v>
      </c>
      <c r="AF2568" s="8">
        <v>0</v>
      </c>
      <c r="AN2568" s="8">
        <v>6</v>
      </c>
      <c r="AO2568" s="8">
        <v>0</v>
      </c>
    </row>
    <row r="2569" spans="1:41" x14ac:dyDescent="0.25">
      <c r="A2569" s="6" t="str">
        <f t="shared" si="602"/>
        <v>522-2026000276</v>
      </c>
      <c r="B2569" s="6" t="str">
        <f t="shared" si="599"/>
        <v>EL CORTE</v>
      </c>
      <c r="C2569" s="7">
        <v>46037</v>
      </c>
      <c r="D2569" s="7">
        <v>46042</v>
      </c>
      <c r="E2569" s="8">
        <v>2</v>
      </c>
      <c r="F2569" s="6" t="str">
        <f t="shared" si="603"/>
        <v>94825801_07026</v>
      </c>
      <c r="G2569" s="6" t="str">
        <f t="shared" si="600"/>
        <v>F310631650000000</v>
      </c>
      <c r="H2569" s="6" t="str">
        <f t="shared" si="601"/>
        <v>PLAR 6316 FD - 500 g</v>
      </c>
      <c r="I2569" s="6" t="str">
        <f>"201855"</f>
        <v>201855</v>
      </c>
      <c r="J2569" s="6" t="str">
        <f>"AZUL 1855"</f>
        <v>AZUL 1855</v>
      </c>
      <c r="K2569" s="6" t="str">
        <f>"1024"</f>
        <v>1024</v>
      </c>
      <c r="L2569" s="6" t="str">
        <f>"Toalhas"</f>
        <v>Toalhas</v>
      </c>
      <c r="M2569" s="6" t="str">
        <f>"50x100"</f>
        <v>50x100</v>
      </c>
      <c r="N2569" s="6" t="str">
        <f>"5602972281057"</f>
        <v>5602972281057</v>
      </c>
      <c r="O2569" s="8">
        <v>6</v>
      </c>
      <c r="R2569" s="8">
        <v>0</v>
      </c>
      <c r="U2569" s="8">
        <v>0</v>
      </c>
      <c r="X2569" s="8">
        <v>0</v>
      </c>
      <c r="Z2569" s="8">
        <v>0</v>
      </c>
      <c r="AC2569" s="8">
        <v>0</v>
      </c>
      <c r="AF2569" s="8">
        <v>0</v>
      </c>
      <c r="AN2569" s="8">
        <v>6</v>
      </c>
      <c r="AO2569" s="8">
        <v>0</v>
      </c>
    </row>
    <row r="2570" spans="1:41" x14ac:dyDescent="0.25">
      <c r="A2570" s="6" t="str">
        <f t="shared" si="602"/>
        <v>522-2026000276</v>
      </c>
      <c r="B2570" s="6" t="str">
        <f t="shared" si="599"/>
        <v>EL CORTE</v>
      </c>
      <c r="C2570" s="7">
        <v>46037</v>
      </c>
      <c r="D2570" s="7">
        <v>46042</v>
      </c>
      <c r="E2570" s="8">
        <v>3</v>
      </c>
      <c r="F2570" s="6" t="str">
        <f t="shared" si="603"/>
        <v>94825801_07026</v>
      </c>
      <c r="G2570" s="6" t="str">
        <f t="shared" si="600"/>
        <v>F310631650000000</v>
      </c>
      <c r="H2570" s="6" t="str">
        <f t="shared" si="601"/>
        <v>PLAR 6316 FD - 500 g</v>
      </c>
      <c r="I2570" s="6" t="str">
        <f>"201855"</f>
        <v>201855</v>
      </c>
      <c r="J2570" s="6" t="str">
        <f>"AZUL 1855"</f>
        <v>AZUL 1855</v>
      </c>
      <c r="K2570" s="6" t="str">
        <f>"2020"</f>
        <v>2020</v>
      </c>
      <c r="L2570" s="6" t="str">
        <f>"Lençóis"</f>
        <v>Lençóis</v>
      </c>
      <c r="M2570" s="6" t="str">
        <f>"100x150"</f>
        <v>100x150</v>
      </c>
      <c r="N2570" s="6" t="str">
        <f>"5602972281064"</f>
        <v>5602972281064</v>
      </c>
      <c r="O2570" s="8">
        <v>6</v>
      </c>
      <c r="R2570" s="8">
        <v>0</v>
      </c>
      <c r="U2570" s="8">
        <v>0</v>
      </c>
      <c r="X2570" s="8">
        <v>0</v>
      </c>
      <c r="Z2570" s="8">
        <v>0</v>
      </c>
      <c r="AC2570" s="8">
        <v>0</v>
      </c>
      <c r="AF2570" s="8">
        <v>0</v>
      </c>
      <c r="AN2570" s="8">
        <v>0</v>
      </c>
      <c r="AO2570" s="8">
        <v>6</v>
      </c>
    </row>
    <row r="2571" spans="1:41" x14ac:dyDescent="0.25">
      <c r="A2571" s="6" t="str">
        <f t="shared" si="602"/>
        <v>522-2026000276</v>
      </c>
      <c r="B2571" s="6" t="str">
        <f t="shared" si="599"/>
        <v>EL CORTE</v>
      </c>
      <c r="C2571" s="7">
        <v>46037</v>
      </c>
      <c r="D2571" s="7">
        <v>46042</v>
      </c>
      <c r="E2571" s="8">
        <v>4</v>
      </c>
      <c r="F2571" s="6" t="str">
        <f t="shared" si="603"/>
        <v>94825801_07026</v>
      </c>
      <c r="G2571" s="6" t="str">
        <f t="shared" si="600"/>
        <v>F310631650000000</v>
      </c>
      <c r="H2571" s="6" t="str">
        <f t="shared" si="601"/>
        <v>PLAR 6316 FD - 500 g</v>
      </c>
      <c r="I2571" s="6" t="str">
        <f>"202575"</f>
        <v>202575</v>
      </c>
      <c r="J2571" s="6" t="str">
        <f>"BEGE 2575"</f>
        <v>BEGE 2575</v>
      </c>
      <c r="K2571" s="6" t="str">
        <f>"0520"</f>
        <v>0520</v>
      </c>
      <c r="L2571" s="6" t="str">
        <f>"Toalhetes"</f>
        <v>Toalhetes</v>
      </c>
      <c r="M2571" s="6" t="str">
        <f>"30x50"</f>
        <v>30x50</v>
      </c>
      <c r="N2571" s="6" t="str">
        <f>"5602972281071"</f>
        <v>5602972281071</v>
      </c>
      <c r="O2571" s="8">
        <v>6</v>
      </c>
      <c r="R2571" s="8">
        <v>0</v>
      </c>
      <c r="U2571" s="8">
        <v>0</v>
      </c>
      <c r="X2571" s="8">
        <v>0</v>
      </c>
      <c r="Z2571" s="8">
        <v>0</v>
      </c>
      <c r="AC2571" s="8">
        <v>0</v>
      </c>
      <c r="AF2571" s="8">
        <v>0</v>
      </c>
      <c r="AN2571" s="8">
        <v>6</v>
      </c>
      <c r="AO2571" s="8">
        <v>0</v>
      </c>
    </row>
    <row r="2572" spans="1:41" x14ac:dyDescent="0.25">
      <c r="A2572" s="6" t="str">
        <f t="shared" si="602"/>
        <v>522-2026000276</v>
      </c>
      <c r="B2572" s="6" t="str">
        <f t="shared" si="599"/>
        <v>EL CORTE</v>
      </c>
      <c r="C2572" s="7">
        <v>46037</v>
      </c>
      <c r="D2572" s="7">
        <v>46042</v>
      </c>
      <c r="E2572" s="8">
        <v>5</v>
      </c>
      <c r="F2572" s="6" t="str">
        <f t="shared" si="603"/>
        <v>94825801_07026</v>
      </c>
      <c r="G2572" s="6" t="str">
        <f t="shared" si="600"/>
        <v>F310631650000000</v>
      </c>
      <c r="H2572" s="6" t="str">
        <f t="shared" si="601"/>
        <v>PLAR 6316 FD - 500 g</v>
      </c>
      <c r="I2572" s="6" t="str">
        <f>"202575"</f>
        <v>202575</v>
      </c>
      <c r="J2572" s="6" t="str">
        <f>"BEGE 2575"</f>
        <v>BEGE 2575</v>
      </c>
      <c r="K2572" s="6" t="str">
        <f>"1024"</f>
        <v>1024</v>
      </c>
      <c r="L2572" s="6" t="str">
        <f>"Toalhas"</f>
        <v>Toalhas</v>
      </c>
      <c r="M2572" s="6" t="str">
        <f>"50x100"</f>
        <v>50x100</v>
      </c>
      <c r="N2572" s="6" t="str">
        <f>"5602972281088"</f>
        <v>5602972281088</v>
      </c>
      <c r="O2572" s="8">
        <v>6</v>
      </c>
      <c r="R2572" s="8">
        <v>0</v>
      </c>
      <c r="U2572" s="8">
        <v>0</v>
      </c>
      <c r="X2572" s="8">
        <v>0</v>
      </c>
      <c r="Z2572" s="8">
        <v>0</v>
      </c>
      <c r="AC2572" s="8">
        <v>0</v>
      </c>
      <c r="AF2572" s="8">
        <v>0</v>
      </c>
      <c r="AN2572" s="8">
        <v>6</v>
      </c>
      <c r="AO2572" s="8">
        <v>0</v>
      </c>
    </row>
    <row r="2573" spans="1:41" x14ac:dyDescent="0.25">
      <c r="A2573" s="6" t="str">
        <f t="shared" si="602"/>
        <v>522-2026000276</v>
      </c>
      <c r="B2573" s="6" t="str">
        <f t="shared" si="599"/>
        <v>EL CORTE</v>
      </c>
      <c r="C2573" s="7">
        <v>46037</v>
      </c>
      <c r="D2573" s="7">
        <v>46042</v>
      </c>
      <c r="E2573" s="8">
        <v>6</v>
      </c>
      <c r="F2573" s="6" t="str">
        <f t="shared" si="603"/>
        <v>94825801_07026</v>
      </c>
      <c r="G2573" s="6" t="str">
        <f t="shared" si="600"/>
        <v>F310631650000000</v>
      </c>
      <c r="H2573" s="6" t="str">
        <f t="shared" si="601"/>
        <v>PLAR 6316 FD - 500 g</v>
      </c>
      <c r="I2573" s="6" t="str">
        <f>"202575"</f>
        <v>202575</v>
      </c>
      <c r="J2573" s="6" t="str">
        <f>"BEGE 2575"</f>
        <v>BEGE 2575</v>
      </c>
      <c r="K2573" s="6" t="str">
        <f>"2020"</f>
        <v>2020</v>
      </c>
      <c r="L2573" s="6" t="str">
        <f>"Lençóis"</f>
        <v>Lençóis</v>
      </c>
      <c r="M2573" s="6" t="str">
        <f>"100x150"</f>
        <v>100x150</v>
      </c>
      <c r="N2573" s="6" t="str">
        <f>"5602972281095"</f>
        <v>5602972281095</v>
      </c>
      <c r="O2573" s="8">
        <v>6</v>
      </c>
      <c r="R2573" s="8">
        <v>0</v>
      </c>
      <c r="U2573" s="8">
        <v>0</v>
      </c>
      <c r="X2573" s="8">
        <v>0</v>
      </c>
      <c r="Z2573" s="8">
        <v>0</v>
      </c>
      <c r="AC2573" s="8">
        <v>0</v>
      </c>
      <c r="AF2573" s="8">
        <v>0</v>
      </c>
      <c r="AN2573" s="8">
        <v>0</v>
      </c>
      <c r="AO2573" s="8">
        <v>6</v>
      </c>
    </row>
    <row r="2574" spans="1:41" x14ac:dyDescent="0.25">
      <c r="A2574" s="6" t="str">
        <f t="shared" si="602"/>
        <v>522-2026000276</v>
      </c>
      <c r="B2574" s="6" t="str">
        <f t="shared" si="599"/>
        <v>EL CORTE</v>
      </c>
      <c r="C2574" s="7">
        <v>46037</v>
      </c>
      <c r="D2574" s="7">
        <v>46042</v>
      </c>
      <c r="E2574" s="8">
        <v>7</v>
      </c>
      <c r="F2574" s="6" t="str">
        <f t="shared" si="603"/>
        <v>94825801_07026</v>
      </c>
      <c r="G2574" s="6" t="str">
        <f t="shared" si="600"/>
        <v>F310631650000000</v>
      </c>
      <c r="H2574" s="6" t="str">
        <f t="shared" si="601"/>
        <v>PLAR 6316 FD - 500 g</v>
      </c>
      <c r="I2574" s="6" t="str">
        <f>"200901"</f>
        <v>200901</v>
      </c>
      <c r="J2574" s="6" t="str">
        <f>"ROSA 901"</f>
        <v>ROSA 901</v>
      </c>
      <c r="K2574" s="6" t="str">
        <f>"0520"</f>
        <v>0520</v>
      </c>
      <c r="L2574" s="6" t="str">
        <f>"Toalhetes"</f>
        <v>Toalhetes</v>
      </c>
      <c r="M2574" s="6" t="str">
        <f>"30x50"</f>
        <v>30x50</v>
      </c>
      <c r="N2574" s="6" t="str">
        <f>"5602972281101"</f>
        <v>5602972281101</v>
      </c>
      <c r="O2574" s="8">
        <v>6</v>
      </c>
      <c r="R2574" s="8">
        <v>0</v>
      </c>
      <c r="U2574" s="8">
        <v>0</v>
      </c>
      <c r="X2574" s="8">
        <v>0</v>
      </c>
      <c r="Z2574" s="8">
        <v>0</v>
      </c>
      <c r="AC2574" s="8">
        <v>0</v>
      </c>
      <c r="AF2574" s="8">
        <v>0</v>
      </c>
      <c r="AN2574" s="8">
        <v>6</v>
      </c>
      <c r="AO2574" s="8">
        <v>0</v>
      </c>
    </row>
    <row r="2575" spans="1:41" x14ac:dyDescent="0.25">
      <c r="A2575" s="6" t="str">
        <f t="shared" si="602"/>
        <v>522-2026000276</v>
      </c>
      <c r="B2575" s="6" t="str">
        <f t="shared" si="599"/>
        <v>EL CORTE</v>
      </c>
      <c r="C2575" s="7">
        <v>46037</v>
      </c>
      <c r="D2575" s="7">
        <v>46042</v>
      </c>
      <c r="E2575" s="8">
        <v>8</v>
      </c>
      <c r="F2575" s="6" t="str">
        <f t="shared" si="603"/>
        <v>94825801_07026</v>
      </c>
      <c r="G2575" s="6" t="str">
        <f t="shared" si="600"/>
        <v>F310631650000000</v>
      </c>
      <c r="H2575" s="6" t="str">
        <f t="shared" si="601"/>
        <v>PLAR 6316 FD - 500 g</v>
      </c>
      <c r="I2575" s="6" t="str">
        <f>"200901"</f>
        <v>200901</v>
      </c>
      <c r="J2575" s="6" t="str">
        <f>"ROSA 901"</f>
        <v>ROSA 901</v>
      </c>
      <c r="K2575" s="6" t="str">
        <f>"1024"</f>
        <v>1024</v>
      </c>
      <c r="L2575" s="6" t="str">
        <f>"Toalhas"</f>
        <v>Toalhas</v>
      </c>
      <c r="M2575" s="6" t="str">
        <f>"50x100"</f>
        <v>50x100</v>
      </c>
      <c r="N2575" s="6" t="str">
        <f>"5602972281118"</f>
        <v>5602972281118</v>
      </c>
      <c r="O2575" s="8">
        <v>6</v>
      </c>
      <c r="R2575" s="8">
        <v>0</v>
      </c>
      <c r="U2575" s="8">
        <v>0</v>
      </c>
      <c r="X2575" s="8">
        <v>0</v>
      </c>
      <c r="Z2575" s="8">
        <v>0</v>
      </c>
      <c r="AC2575" s="8">
        <v>0</v>
      </c>
      <c r="AF2575" s="8">
        <v>0</v>
      </c>
      <c r="AN2575" s="8">
        <v>6</v>
      </c>
      <c r="AO2575" s="8">
        <v>0</v>
      </c>
    </row>
    <row r="2576" spans="1:41" x14ac:dyDescent="0.25">
      <c r="A2576" s="6" t="str">
        <f t="shared" si="602"/>
        <v>522-2026000276</v>
      </c>
      <c r="B2576" s="6" t="str">
        <f t="shared" si="599"/>
        <v>EL CORTE</v>
      </c>
      <c r="C2576" s="7">
        <v>46037</v>
      </c>
      <c r="D2576" s="7">
        <v>46042</v>
      </c>
      <c r="E2576" s="8">
        <v>9</v>
      </c>
      <c r="F2576" s="6" t="str">
        <f t="shared" si="603"/>
        <v>94825801_07026</v>
      </c>
      <c r="G2576" s="6" t="str">
        <f t="shared" si="600"/>
        <v>F310631650000000</v>
      </c>
      <c r="H2576" s="6" t="str">
        <f t="shared" si="601"/>
        <v>PLAR 6316 FD - 500 g</v>
      </c>
      <c r="I2576" s="6" t="str">
        <f>"200901"</f>
        <v>200901</v>
      </c>
      <c r="J2576" s="6" t="str">
        <f>"ROSA 901"</f>
        <v>ROSA 901</v>
      </c>
      <c r="K2576" s="6" t="str">
        <f>"2020"</f>
        <v>2020</v>
      </c>
      <c r="L2576" s="6" t="str">
        <f>"Lençóis"</f>
        <v>Lençóis</v>
      </c>
      <c r="M2576" s="6" t="str">
        <f>"100x150"</f>
        <v>100x150</v>
      </c>
      <c r="N2576" s="6" t="str">
        <f>"5602972281125"</f>
        <v>5602972281125</v>
      </c>
      <c r="O2576" s="8">
        <v>9</v>
      </c>
      <c r="R2576" s="8">
        <v>0</v>
      </c>
      <c r="U2576" s="8">
        <v>0</v>
      </c>
      <c r="X2576" s="8">
        <v>0</v>
      </c>
      <c r="Z2576" s="8">
        <v>0</v>
      </c>
      <c r="AC2576" s="8">
        <v>0</v>
      </c>
      <c r="AF2576" s="8">
        <v>0</v>
      </c>
      <c r="AN2576" s="8">
        <v>0</v>
      </c>
      <c r="AO2576" s="8">
        <v>9</v>
      </c>
    </row>
    <row r="2577" spans="1:41" x14ac:dyDescent="0.25">
      <c r="A2577" s="6" t="str">
        <f t="shared" si="602"/>
        <v>522-2026000276</v>
      </c>
      <c r="B2577" s="6" t="str">
        <f t="shared" si="599"/>
        <v>EL CORTE</v>
      </c>
      <c r="C2577" s="7">
        <v>46037</v>
      </c>
      <c r="D2577" s="7">
        <v>46042</v>
      </c>
      <c r="E2577" s="8">
        <v>10</v>
      </c>
      <c r="F2577" s="6" t="str">
        <f t="shared" si="603"/>
        <v>94825801_07026</v>
      </c>
      <c r="G2577" s="6" t="str">
        <f t="shared" si="600"/>
        <v>F310631650000000</v>
      </c>
      <c r="H2577" s="6" t="str">
        <f t="shared" si="601"/>
        <v>PLAR 6316 FD - 500 g</v>
      </c>
      <c r="I2577" s="6" t="str">
        <f>"200510"</f>
        <v>200510</v>
      </c>
      <c r="J2577" s="6" t="str">
        <f>"VERDE 510"</f>
        <v>VERDE 510</v>
      </c>
      <c r="K2577" s="6" t="str">
        <f>"0520"</f>
        <v>0520</v>
      </c>
      <c r="L2577" s="6" t="str">
        <f>"Toalhetes"</f>
        <v>Toalhetes</v>
      </c>
      <c r="M2577" s="6" t="str">
        <f>"30x50"</f>
        <v>30x50</v>
      </c>
      <c r="N2577" s="6" t="str">
        <f>"5602972281132"</f>
        <v>5602972281132</v>
      </c>
      <c r="O2577" s="8">
        <v>6</v>
      </c>
      <c r="R2577" s="8">
        <v>0</v>
      </c>
      <c r="U2577" s="8">
        <v>0</v>
      </c>
      <c r="X2577" s="8">
        <v>0</v>
      </c>
      <c r="Z2577" s="8">
        <v>0</v>
      </c>
      <c r="AC2577" s="8">
        <v>0</v>
      </c>
      <c r="AF2577" s="8">
        <v>0</v>
      </c>
      <c r="AN2577" s="8">
        <v>6</v>
      </c>
      <c r="AO2577" s="8">
        <v>0</v>
      </c>
    </row>
    <row r="2578" spans="1:41" x14ac:dyDescent="0.25">
      <c r="A2578" s="6" t="str">
        <f t="shared" si="602"/>
        <v>522-2026000276</v>
      </c>
      <c r="B2578" s="6" t="str">
        <f t="shared" si="599"/>
        <v>EL CORTE</v>
      </c>
      <c r="C2578" s="7">
        <v>46037</v>
      </c>
      <c r="D2578" s="7">
        <v>46042</v>
      </c>
      <c r="E2578" s="8">
        <v>11</v>
      </c>
      <c r="F2578" s="6" t="str">
        <f t="shared" si="603"/>
        <v>94825801_07026</v>
      </c>
      <c r="G2578" s="6" t="str">
        <f t="shared" si="600"/>
        <v>F310631650000000</v>
      </c>
      <c r="H2578" s="6" t="str">
        <f t="shared" si="601"/>
        <v>PLAR 6316 FD - 500 g</v>
      </c>
      <c r="I2578" s="6" t="str">
        <f>"200510"</f>
        <v>200510</v>
      </c>
      <c r="J2578" s="6" t="str">
        <f>"VERDE 510"</f>
        <v>VERDE 510</v>
      </c>
      <c r="K2578" s="6" t="str">
        <f>"2020"</f>
        <v>2020</v>
      </c>
      <c r="L2578" s="6" t="str">
        <f>"Lençóis"</f>
        <v>Lençóis</v>
      </c>
      <c r="M2578" s="6" t="str">
        <f>"100x150"</f>
        <v>100x150</v>
      </c>
      <c r="N2578" s="6" t="str">
        <f>"5602972281156"</f>
        <v>5602972281156</v>
      </c>
      <c r="O2578" s="8">
        <v>3</v>
      </c>
      <c r="R2578" s="8">
        <v>0</v>
      </c>
      <c r="U2578" s="8">
        <v>0</v>
      </c>
      <c r="X2578" s="8">
        <v>0</v>
      </c>
      <c r="Z2578" s="8">
        <v>0</v>
      </c>
      <c r="AC2578" s="8">
        <v>0</v>
      </c>
      <c r="AF2578" s="8">
        <v>0</v>
      </c>
      <c r="AN2578" s="8">
        <v>0</v>
      </c>
      <c r="AO2578" s="8">
        <v>3</v>
      </c>
    </row>
    <row r="2579" spans="1:41" x14ac:dyDescent="0.25">
      <c r="A2579" s="6" t="str">
        <f t="shared" ref="A2579:A2588" si="604">"522-2026000277"</f>
        <v>522-2026000277</v>
      </c>
      <c r="B2579" s="6" t="str">
        <f t="shared" si="599"/>
        <v>EL CORTE</v>
      </c>
      <c r="C2579" s="7">
        <v>46037</v>
      </c>
      <c r="D2579" s="7">
        <v>46042</v>
      </c>
      <c r="E2579" s="8">
        <v>1</v>
      </c>
      <c r="F2579" s="6" t="str">
        <f t="shared" ref="F2579:F2588" si="605">"94826101_07026"</f>
        <v>94826101_07026</v>
      </c>
      <c r="G2579" s="6" t="str">
        <f t="shared" si="600"/>
        <v>F310631650000000</v>
      </c>
      <c r="H2579" s="6" t="str">
        <f t="shared" si="601"/>
        <v>PLAR 6316 FD - 500 g</v>
      </c>
      <c r="I2579" s="6" t="str">
        <f>"201855"</f>
        <v>201855</v>
      </c>
      <c r="J2579" s="6" t="str">
        <f>"AZUL 1855"</f>
        <v>AZUL 1855</v>
      </c>
      <c r="K2579" s="6" t="str">
        <f>"0520"</f>
        <v>0520</v>
      </c>
      <c r="L2579" s="6" t="str">
        <f>"Toalhetes"</f>
        <v>Toalhetes</v>
      </c>
      <c r="M2579" s="6" t="str">
        <f>"30x50"</f>
        <v>30x50</v>
      </c>
      <c r="N2579" s="6" t="str">
        <f>"5602972281040"</f>
        <v>5602972281040</v>
      </c>
      <c r="O2579" s="8">
        <v>6</v>
      </c>
      <c r="R2579" s="8">
        <v>0</v>
      </c>
      <c r="U2579" s="8">
        <v>0</v>
      </c>
      <c r="X2579" s="8">
        <v>0</v>
      </c>
      <c r="Z2579" s="8">
        <v>0</v>
      </c>
      <c r="AC2579" s="8">
        <v>0</v>
      </c>
      <c r="AF2579" s="8">
        <v>0</v>
      </c>
      <c r="AN2579" s="8">
        <v>6</v>
      </c>
      <c r="AO2579" s="8">
        <v>0</v>
      </c>
    </row>
    <row r="2580" spans="1:41" x14ac:dyDescent="0.25">
      <c r="A2580" s="6" t="str">
        <f t="shared" si="604"/>
        <v>522-2026000277</v>
      </c>
      <c r="B2580" s="6" t="str">
        <f t="shared" si="599"/>
        <v>EL CORTE</v>
      </c>
      <c r="C2580" s="7">
        <v>46037</v>
      </c>
      <c r="D2580" s="7">
        <v>46042</v>
      </c>
      <c r="E2580" s="8">
        <v>2</v>
      </c>
      <c r="F2580" s="6" t="str">
        <f t="shared" si="605"/>
        <v>94826101_07026</v>
      </c>
      <c r="G2580" s="6" t="str">
        <f t="shared" si="600"/>
        <v>F310631650000000</v>
      </c>
      <c r="H2580" s="6" t="str">
        <f t="shared" si="601"/>
        <v>PLAR 6316 FD - 500 g</v>
      </c>
      <c r="I2580" s="6" t="str">
        <f>"201855"</f>
        <v>201855</v>
      </c>
      <c r="J2580" s="6" t="str">
        <f>"AZUL 1855"</f>
        <v>AZUL 1855</v>
      </c>
      <c r="K2580" s="6" t="str">
        <f>"1024"</f>
        <v>1024</v>
      </c>
      <c r="L2580" s="6" t="str">
        <f>"Toalhas"</f>
        <v>Toalhas</v>
      </c>
      <c r="M2580" s="6" t="str">
        <f>"50x100"</f>
        <v>50x100</v>
      </c>
      <c r="N2580" s="6" t="str">
        <f>"5602972281057"</f>
        <v>5602972281057</v>
      </c>
      <c r="O2580" s="8">
        <v>6</v>
      </c>
      <c r="R2580" s="8">
        <v>0</v>
      </c>
      <c r="U2580" s="8">
        <v>0</v>
      </c>
      <c r="X2580" s="8">
        <v>0</v>
      </c>
      <c r="Z2580" s="8">
        <v>0</v>
      </c>
      <c r="AC2580" s="8">
        <v>0</v>
      </c>
      <c r="AF2580" s="8">
        <v>0</v>
      </c>
      <c r="AN2580" s="8">
        <v>6</v>
      </c>
      <c r="AO2580" s="8">
        <v>0</v>
      </c>
    </row>
    <row r="2581" spans="1:41" x14ac:dyDescent="0.25">
      <c r="A2581" s="6" t="str">
        <f t="shared" si="604"/>
        <v>522-2026000277</v>
      </c>
      <c r="B2581" s="6" t="str">
        <f t="shared" si="599"/>
        <v>EL CORTE</v>
      </c>
      <c r="C2581" s="7">
        <v>46037</v>
      </c>
      <c r="D2581" s="7">
        <v>46042</v>
      </c>
      <c r="E2581" s="8">
        <v>3</v>
      </c>
      <c r="F2581" s="6" t="str">
        <f t="shared" si="605"/>
        <v>94826101_07026</v>
      </c>
      <c r="G2581" s="6" t="str">
        <f t="shared" si="600"/>
        <v>F310631650000000</v>
      </c>
      <c r="H2581" s="6" t="str">
        <f t="shared" si="601"/>
        <v>PLAR 6316 FD - 500 g</v>
      </c>
      <c r="I2581" s="6" t="str">
        <f>"201855"</f>
        <v>201855</v>
      </c>
      <c r="J2581" s="6" t="str">
        <f>"AZUL 1855"</f>
        <v>AZUL 1855</v>
      </c>
      <c r="K2581" s="6" t="str">
        <f>"2020"</f>
        <v>2020</v>
      </c>
      <c r="L2581" s="6" t="str">
        <f>"Lençóis"</f>
        <v>Lençóis</v>
      </c>
      <c r="M2581" s="6" t="str">
        <f>"100x150"</f>
        <v>100x150</v>
      </c>
      <c r="N2581" s="6" t="str">
        <f>"5602972281064"</f>
        <v>5602972281064</v>
      </c>
      <c r="O2581" s="8">
        <v>6</v>
      </c>
      <c r="R2581" s="8">
        <v>0</v>
      </c>
      <c r="U2581" s="8">
        <v>0</v>
      </c>
      <c r="X2581" s="8">
        <v>0</v>
      </c>
      <c r="Z2581" s="8">
        <v>0</v>
      </c>
      <c r="AC2581" s="8">
        <v>0</v>
      </c>
      <c r="AF2581" s="8">
        <v>0</v>
      </c>
      <c r="AN2581" s="8">
        <v>0</v>
      </c>
      <c r="AO2581" s="8">
        <v>6</v>
      </c>
    </row>
    <row r="2582" spans="1:41" x14ac:dyDescent="0.25">
      <c r="A2582" s="6" t="str">
        <f t="shared" si="604"/>
        <v>522-2026000277</v>
      </c>
      <c r="B2582" s="6" t="str">
        <f t="shared" si="599"/>
        <v>EL CORTE</v>
      </c>
      <c r="C2582" s="7">
        <v>46037</v>
      </c>
      <c r="D2582" s="7">
        <v>46042</v>
      </c>
      <c r="E2582" s="8">
        <v>4</v>
      </c>
      <c r="F2582" s="6" t="str">
        <f t="shared" si="605"/>
        <v>94826101_07026</v>
      </c>
      <c r="G2582" s="6" t="str">
        <f t="shared" si="600"/>
        <v>F310631650000000</v>
      </c>
      <c r="H2582" s="6" t="str">
        <f t="shared" si="601"/>
        <v>PLAR 6316 FD - 500 g</v>
      </c>
      <c r="I2582" s="6" t="str">
        <f>"202575"</f>
        <v>202575</v>
      </c>
      <c r="J2582" s="6" t="str">
        <f>"BEGE 2575"</f>
        <v>BEGE 2575</v>
      </c>
      <c r="K2582" s="6" t="str">
        <f>"1024"</f>
        <v>1024</v>
      </c>
      <c r="L2582" s="6" t="str">
        <f>"Toalhas"</f>
        <v>Toalhas</v>
      </c>
      <c r="M2582" s="6" t="str">
        <f>"50x100"</f>
        <v>50x100</v>
      </c>
      <c r="N2582" s="6" t="str">
        <f>"5602972281088"</f>
        <v>5602972281088</v>
      </c>
      <c r="O2582" s="8">
        <v>6</v>
      </c>
      <c r="R2582" s="8">
        <v>0</v>
      </c>
      <c r="U2582" s="8">
        <v>0</v>
      </c>
      <c r="X2582" s="8">
        <v>0</v>
      </c>
      <c r="Z2582" s="8">
        <v>0</v>
      </c>
      <c r="AC2582" s="8">
        <v>0</v>
      </c>
      <c r="AF2582" s="8">
        <v>0</v>
      </c>
      <c r="AN2582" s="8">
        <v>6</v>
      </c>
      <c r="AO2582" s="8">
        <v>0</v>
      </c>
    </row>
    <row r="2583" spans="1:41" x14ac:dyDescent="0.25">
      <c r="A2583" s="6" t="str">
        <f t="shared" si="604"/>
        <v>522-2026000277</v>
      </c>
      <c r="B2583" s="6" t="str">
        <f t="shared" si="599"/>
        <v>EL CORTE</v>
      </c>
      <c r="C2583" s="7">
        <v>46037</v>
      </c>
      <c r="D2583" s="7">
        <v>46042</v>
      </c>
      <c r="E2583" s="8">
        <v>5</v>
      </c>
      <c r="F2583" s="6" t="str">
        <f t="shared" si="605"/>
        <v>94826101_07026</v>
      </c>
      <c r="G2583" s="6" t="str">
        <f t="shared" si="600"/>
        <v>F310631650000000</v>
      </c>
      <c r="H2583" s="6" t="str">
        <f t="shared" si="601"/>
        <v>PLAR 6316 FD - 500 g</v>
      </c>
      <c r="I2583" s="6" t="str">
        <f>"202575"</f>
        <v>202575</v>
      </c>
      <c r="J2583" s="6" t="str">
        <f>"BEGE 2575"</f>
        <v>BEGE 2575</v>
      </c>
      <c r="K2583" s="6" t="str">
        <f>"2020"</f>
        <v>2020</v>
      </c>
      <c r="L2583" s="6" t="str">
        <f>"Lençóis"</f>
        <v>Lençóis</v>
      </c>
      <c r="M2583" s="6" t="str">
        <f>"100x150"</f>
        <v>100x150</v>
      </c>
      <c r="N2583" s="6" t="str">
        <f>"5602972281095"</f>
        <v>5602972281095</v>
      </c>
      <c r="O2583" s="8">
        <v>3</v>
      </c>
      <c r="R2583" s="8">
        <v>0</v>
      </c>
      <c r="U2583" s="8">
        <v>0</v>
      </c>
      <c r="X2583" s="8">
        <v>0</v>
      </c>
      <c r="Z2583" s="8">
        <v>0</v>
      </c>
      <c r="AC2583" s="8">
        <v>0</v>
      </c>
      <c r="AF2583" s="8">
        <v>0</v>
      </c>
      <c r="AN2583" s="8">
        <v>0</v>
      </c>
      <c r="AO2583" s="8">
        <v>3</v>
      </c>
    </row>
    <row r="2584" spans="1:41" x14ac:dyDescent="0.25">
      <c r="A2584" s="6" t="str">
        <f t="shared" si="604"/>
        <v>522-2026000277</v>
      </c>
      <c r="B2584" s="6" t="str">
        <f t="shared" si="599"/>
        <v>EL CORTE</v>
      </c>
      <c r="C2584" s="7">
        <v>46037</v>
      </c>
      <c r="D2584" s="7">
        <v>46042</v>
      </c>
      <c r="E2584" s="8">
        <v>6</v>
      </c>
      <c r="F2584" s="6" t="str">
        <f t="shared" si="605"/>
        <v>94826101_07026</v>
      </c>
      <c r="G2584" s="6" t="str">
        <f t="shared" si="600"/>
        <v>F310631650000000</v>
      </c>
      <c r="H2584" s="6" t="str">
        <f t="shared" si="601"/>
        <v>PLAR 6316 FD - 500 g</v>
      </c>
      <c r="I2584" s="6" t="str">
        <f>"200901"</f>
        <v>200901</v>
      </c>
      <c r="J2584" s="6" t="str">
        <f>"ROSA 901"</f>
        <v>ROSA 901</v>
      </c>
      <c r="K2584" s="6" t="str">
        <f>"0520"</f>
        <v>0520</v>
      </c>
      <c r="L2584" s="6" t="str">
        <f>"Toalhetes"</f>
        <v>Toalhetes</v>
      </c>
      <c r="M2584" s="6" t="str">
        <f>"30x50"</f>
        <v>30x50</v>
      </c>
      <c r="N2584" s="6" t="str">
        <f>"5602972281101"</f>
        <v>5602972281101</v>
      </c>
      <c r="O2584" s="8">
        <v>6</v>
      </c>
      <c r="R2584" s="8">
        <v>0</v>
      </c>
      <c r="U2584" s="8">
        <v>0</v>
      </c>
      <c r="X2584" s="8">
        <v>0</v>
      </c>
      <c r="Z2584" s="8">
        <v>0</v>
      </c>
      <c r="AC2584" s="8">
        <v>0</v>
      </c>
      <c r="AF2584" s="8">
        <v>0</v>
      </c>
      <c r="AN2584" s="8">
        <v>0</v>
      </c>
      <c r="AO2584" s="8">
        <v>6</v>
      </c>
    </row>
    <row r="2585" spans="1:41" x14ac:dyDescent="0.25">
      <c r="A2585" s="6" t="str">
        <f t="shared" si="604"/>
        <v>522-2026000277</v>
      </c>
      <c r="B2585" s="6" t="str">
        <f t="shared" si="599"/>
        <v>EL CORTE</v>
      </c>
      <c r="C2585" s="7">
        <v>46037</v>
      </c>
      <c r="D2585" s="7">
        <v>46042</v>
      </c>
      <c r="E2585" s="8">
        <v>7</v>
      </c>
      <c r="F2585" s="6" t="str">
        <f t="shared" si="605"/>
        <v>94826101_07026</v>
      </c>
      <c r="G2585" s="6" t="str">
        <f t="shared" si="600"/>
        <v>F310631650000000</v>
      </c>
      <c r="H2585" s="6" t="str">
        <f t="shared" si="601"/>
        <v>PLAR 6316 FD - 500 g</v>
      </c>
      <c r="I2585" s="6" t="str">
        <f>"200901"</f>
        <v>200901</v>
      </c>
      <c r="J2585" s="6" t="str">
        <f>"ROSA 901"</f>
        <v>ROSA 901</v>
      </c>
      <c r="K2585" s="6" t="str">
        <f>"1024"</f>
        <v>1024</v>
      </c>
      <c r="L2585" s="6" t="str">
        <f>"Toalhas"</f>
        <v>Toalhas</v>
      </c>
      <c r="M2585" s="6" t="str">
        <f>"50x100"</f>
        <v>50x100</v>
      </c>
      <c r="N2585" s="6" t="str">
        <f>"5602972281118"</f>
        <v>5602972281118</v>
      </c>
      <c r="O2585" s="8">
        <v>6</v>
      </c>
      <c r="R2585" s="8">
        <v>0</v>
      </c>
      <c r="U2585" s="8">
        <v>0</v>
      </c>
      <c r="X2585" s="8">
        <v>0</v>
      </c>
      <c r="Z2585" s="8">
        <v>0</v>
      </c>
      <c r="AC2585" s="8">
        <v>0</v>
      </c>
      <c r="AF2585" s="8">
        <v>0</v>
      </c>
      <c r="AN2585" s="8">
        <v>6</v>
      </c>
      <c r="AO2585" s="8">
        <v>0</v>
      </c>
    </row>
    <row r="2586" spans="1:41" x14ac:dyDescent="0.25">
      <c r="A2586" s="6" t="str">
        <f t="shared" si="604"/>
        <v>522-2026000277</v>
      </c>
      <c r="B2586" s="6" t="str">
        <f t="shared" si="599"/>
        <v>EL CORTE</v>
      </c>
      <c r="C2586" s="7">
        <v>46037</v>
      </c>
      <c r="D2586" s="7">
        <v>46042</v>
      </c>
      <c r="E2586" s="8">
        <v>8</v>
      </c>
      <c r="F2586" s="6" t="str">
        <f t="shared" si="605"/>
        <v>94826101_07026</v>
      </c>
      <c r="G2586" s="6" t="str">
        <f t="shared" si="600"/>
        <v>F310631650000000</v>
      </c>
      <c r="H2586" s="6" t="str">
        <f t="shared" si="601"/>
        <v>PLAR 6316 FD - 500 g</v>
      </c>
      <c r="I2586" s="6" t="str">
        <f>"200901"</f>
        <v>200901</v>
      </c>
      <c r="J2586" s="6" t="str">
        <f>"ROSA 901"</f>
        <v>ROSA 901</v>
      </c>
      <c r="K2586" s="6" t="str">
        <f>"2020"</f>
        <v>2020</v>
      </c>
      <c r="L2586" s="6" t="str">
        <f>"Lençóis"</f>
        <v>Lençóis</v>
      </c>
      <c r="M2586" s="6" t="str">
        <f>"100x150"</f>
        <v>100x150</v>
      </c>
      <c r="N2586" s="6" t="str">
        <f>"5602972281125"</f>
        <v>5602972281125</v>
      </c>
      <c r="O2586" s="8">
        <v>6</v>
      </c>
      <c r="R2586" s="8">
        <v>0</v>
      </c>
      <c r="U2586" s="8">
        <v>0</v>
      </c>
      <c r="X2586" s="8">
        <v>0</v>
      </c>
      <c r="Z2586" s="8">
        <v>0</v>
      </c>
      <c r="AC2586" s="8">
        <v>0</v>
      </c>
      <c r="AF2586" s="8">
        <v>0</v>
      </c>
      <c r="AN2586" s="8">
        <v>0</v>
      </c>
      <c r="AO2586" s="8">
        <v>6</v>
      </c>
    </row>
    <row r="2587" spans="1:41" x14ac:dyDescent="0.25">
      <c r="A2587" s="6" t="str">
        <f t="shared" si="604"/>
        <v>522-2026000277</v>
      </c>
      <c r="B2587" s="6" t="str">
        <f t="shared" si="599"/>
        <v>EL CORTE</v>
      </c>
      <c r="C2587" s="7">
        <v>46037</v>
      </c>
      <c r="D2587" s="7">
        <v>46042</v>
      </c>
      <c r="E2587" s="8">
        <v>9</v>
      </c>
      <c r="F2587" s="6" t="str">
        <f t="shared" si="605"/>
        <v>94826101_07026</v>
      </c>
      <c r="G2587" s="6" t="str">
        <f t="shared" si="600"/>
        <v>F310631650000000</v>
      </c>
      <c r="H2587" s="6" t="str">
        <f t="shared" si="601"/>
        <v>PLAR 6316 FD - 500 g</v>
      </c>
      <c r="I2587" s="6" t="str">
        <f>"200510"</f>
        <v>200510</v>
      </c>
      <c r="J2587" s="6" t="str">
        <f>"VERDE 510"</f>
        <v>VERDE 510</v>
      </c>
      <c r="K2587" s="6" t="str">
        <f>"1024"</f>
        <v>1024</v>
      </c>
      <c r="L2587" s="6" t="str">
        <f>"Toalhas"</f>
        <v>Toalhas</v>
      </c>
      <c r="M2587" s="6" t="str">
        <f>"50x100"</f>
        <v>50x100</v>
      </c>
      <c r="N2587" s="6" t="str">
        <f>"5602972281149"</f>
        <v>5602972281149</v>
      </c>
      <c r="O2587" s="8">
        <v>6</v>
      </c>
      <c r="R2587" s="8">
        <v>0</v>
      </c>
      <c r="U2587" s="8">
        <v>0</v>
      </c>
      <c r="X2587" s="8">
        <v>0</v>
      </c>
      <c r="Z2587" s="8">
        <v>0</v>
      </c>
      <c r="AC2587" s="8">
        <v>0</v>
      </c>
      <c r="AF2587" s="8">
        <v>0</v>
      </c>
      <c r="AN2587" s="8">
        <v>6</v>
      </c>
      <c r="AO2587" s="8">
        <v>0</v>
      </c>
    </row>
    <row r="2588" spans="1:41" x14ac:dyDescent="0.25">
      <c r="A2588" s="6" t="str">
        <f t="shared" si="604"/>
        <v>522-2026000277</v>
      </c>
      <c r="B2588" s="6" t="str">
        <f t="shared" si="599"/>
        <v>EL CORTE</v>
      </c>
      <c r="C2588" s="7">
        <v>46037</v>
      </c>
      <c r="D2588" s="7">
        <v>46042</v>
      </c>
      <c r="E2588" s="8">
        <v>10</v>
      </c>
      <c r="F2588" s="6" t="str">
        <f t="shared" si="605"/>
        <v>94826101_07026</v>
      </c>
      <c r="G2588" s="6" t="str">
        <f t="shared" si="600"/>
        <v>F310631650000000</v>
      </c>
      <c r="H2588" s="6" t="str">
        <f t="shared" si="601"/>
        <v>PLAR 6316 FD - 500 g</v>
      </c>
      <c r="I2588" s="6" t="str">
        <f>"200510"</f>
        <v>200510</v>
      </c>
      <c r="J2588" s="6" t="str">
        <f>"VERDE 510"</f>
        <v>VERDE 510</v>
      </c>
      <c r="K2588" s="6" t="str">
        <f t="shared" ref="K2588:K2595" si="606">"2020"</f>
        <v>2020</v>
      </c>
      <c r="L2588" s="6" t="str">
        <f t="shared" ref="L2588:L2595" si="607">"Lençóis"</f>
        <v>Lençóis</v>
      </c>
      <c r="M2588" s="6" t="str">
        <f t="shared" ref="M2588:M2595" si="608">"100x150"</f>
        <v>100x150</v>
      </c>
      <c r="N2588" s="6" t="str">
        <f>"5602972281156"</f>
        <v>5602972281156</v>
      </c>
      <c r="O2588" s="8">
        <v>6</v>
      </c>
      <c r="R2588" s="8">
        <v>0</v>
      </c>
      <c r="U2588" s="8">
        <v>0</v>
      </c>
      <c r="X2588" s="8">
        <v>0</v>
      </c>
      <c r="Z2588" s="8">
        <v>0</v>
      </c>
      <c r="AC2588" s="8">
        <v>0</v>
      </c>
      <c r="AF2588" s="8">
        <v>0</v>
      </c>
      <c r="AN2588" s="8">
        <v>0</v>
      </c>
      <c r="AO2588" s="8">
        <v>6</v>
      </c>
    </row>
    <row r="2589" spans="1:41" x14ac:dyDescent="0.25">
      <c r="A2589" s="6" t="str">
        <f>"522-2026000278"</f>
        <v>522-2026000278</v>
      </c>
      <c r="B2589" s="6" t="str">
        <f t="shared" si="599"/>
        <v>EL CORTE</v>
      </c>
      <c r="C2589" s="7">
        <v>46038</v>
      </c>
      <c r="D2589" s="7">
        <v>46043</v>
      </c>
      <c r="E2589" s="8">
        <v>1</v>
      </c>
      <c r="F2589" s="6" t="str">
        <f>"94845901_07026"</f>
        <v>94845901_07026</v>
      </c>
      <c r="G2589" s="6" t="str">
        <f t="shared" si="600"/>
        <v>F310631650000000</v>
      </c>
      <c r="H2589" s="6" t="str">
        <f t="shared" si="601"/>
        <v>PLAR 6316 FD - 500 g</v>
      </c>
      <c r="I2589" s="6" t="str">
        <f>"200510"</f>
        <v>200510</v>
      </c>
      <c r="J2589" s="6" t="str">
        <f>"VERDE 510"</f>
        <v>VERDE 510</v>
      </c>
      <c r="K2589" s="6" t="str">
        <f t="shared" si="606"/>
        <v>2020</v>
      </c>
      <c r="L2589" s="6" t="str">
        <f t="shared" si="607"/>
        <v>Lençóis</v>
      </c>
      <c r="M2589" s="6" t="str">
        <f t="shared" si="608"/>
        <v>100x150</v>
      </c>
      <c r="N2589" s="6" t="str">
        <f>"5602972281156"</f>
        <v>5602972281156</v>
      </c>
      <c r="O2589" s="8">
        <v>3</v>
      </c>
      <c r="R2589" s="8">
        <v>0</v>
      </c>
      <c r="U2589" s="8">
        <v>0</v>
      </c>
      <c r="X2589" s="8">
        <v>0</v>
      </c>
      <c r="Z2589" s="8">
        <v>0</v>
      </c>
      <c r="AC2589" s="8">
        <v>0</v>
      </c>
      <c r="AF2589" s="8">
        <v>0</v>
      </c>
      <c r="AN2589" s="8">
        <v>0</v>
      </c>
      <c r="AO2589" s="8">
        <v>3</v>
      </c>
    </row>
    <row r="2590" spans="1:41" x14ac:dyDescent="0.25">
      <c r="A2590" s="6" t="str">
        <f>"522-2026000279"</f>
        <v>522-2026000279</v>
      </c>
      <c r="B2590" s="6" t="str">
        <f t="shared" si="599"/>
        <v>EL CORTE</v>
      </c>
      <c r="C2590" s="7">
        <v>46038</v>
      </c>
      <c r="D2590" s="7">
        <v>46043</v>
      </c>
      <c r="E2590" s="8">
        <v>1</v>
      </c>
      <c r="F2590" s="6" t="str">
        <f>"94846501_07026"</f>
        <v>94846501_07026</v>
      </c>
      <c r="G2590" s="6" t="str">
        <f t="shared" si="600"/>
        <v>F310631650000000</v>
      </c>
      <c r="H2590" s="6" t="str">
        <f t="shared" si="601"/>
        <v>PLAR 6316 FD - 500 g</v>
      </c>
      <c r="I2590" s="6" t="str">
        <f>"201855"</f>
        <v>201855</v>
      </c>
      <c r="J2590" s="6" t="str">
        <f>"AZUL 1855"</f>
        <v>AZUL 1855</v>
      </c>
      <c r="K2590" s="6" t="str">
        <f t="shared" si="606"/>
        <v>2020</v>
      </c>
      <c r="L2590" s="6" t="str">
        <f t="shared" si="607"/>
        <v>Lençóis</v>
      </c>
      <c r="M2590" s="6" t="str">
        <f t="shared" si="608"/>
        <v>100x150</v>
      </c>
      <c r="N2590" s="6" t="str">
        <f>"5602972281064"</f>
        <v>5602972281064</v>
      </c>
      <c r="O2590" s="8">
        <v>3</v>
      </c>
      <c r="R2590" s="8">
        <v>0</v>
      </c>
      <c r="U2590" s="8">
        <v>0</v>
      </c>
      <c r="X2590" s="8">
        <v>0</v>
      </c>
      <c r="Z2590" s="8">
        <v>0</v>
      </c>
      <c r="AC2590" s="8">
        <v>0</v>
      </c>
      <c r="AF2590" s="8">
        <v>0</v>
      </c>
      <c r="AN2590" s="8">
        <v>0</v>
      </c>
      <c r="AO2590" s="8">
        <v>3</v>
      </c>
    </row>
    <row r="2591" spans="1:41" x14ac:dyDescent="0.25">
      <c r="A2591" s="6" t="str">
        <f>"522-2026000280"</f>
        <v>522-2026000280</v>
      </c>
      <c r="B2591" s="6" t="str">
        <f t="shared" si="599"/>
        <v>EL CORTE</v>
      </c>
      <c r="C2591" s="7">
        <v>46038</v>
      </c>
      <c r="D2591" s="7">
        <v>46043</v>
      </c>
      <c r="E2591" s="8">
        <v>1</v>
      </c>
      <c r="F2591" s="6" t="str">
        <f>"94847001_07026"</f>
        <v>94847001_07026</v>
      </c>
      <c r="G2591" s="6" t="str">
        <f t="shared" si="600"/>
        <v>F310631650000000</v>
      </c>
      <c r="H2591" s="6" t="str">
        <f t="shared" si="601"/>
        <v>PLAR 6316 FD - 500 g</v>
      </c>
      <c r="I2591" s="6" t="str">
        <f>"200510"</f>
        <v>200510</v>
      </c>
      <c r="J2591" s="6" t="str">
        <f>"VERDE 510"</f>
        <v>VERDE 510</v>
      </c>
      <c r="K2591" s="6" t="str">
        <f t="shared" si="606"/>
        <v>2020</v>
      </c>
      <c r="L2591" s="6" t="str">
        <f t="shared" si="607"/>
        <v>Lençóis</v>
      </c>
      <c r="M2591" s="6" t="str">
        <f t="shared" si="608"/>
        <v>100x150</v>
      </c>
      <c r="N2591" s="6" t="str">
        <f>"5602972281156"</f>
        <v>5602972281156</v>
      </c>
      <c r="O2591" s="8">
        <v>3</v>
      </c>
      <c r="R2591" s="8">
        <v>0</v>
      </c>
      <c r="U2591" s="8">
        <v>0</v>
      </c>
      <c r="X2591" s="8">
        <v>0</v>
      </c>
      <c r="Z2591" s="8">
        <v>0</v>
      </c>
      <c r="AC2591" s="8">
        <v>0</v>
      </c>
      <c r="AF2591" s="8">
        <v>0</v>
      </c>
      <c r="AN2591" s="8">
        <v>0</v>
      </c>
      <c r="AO2591" s="8">
        <v>3</v>
      </c>
    </row>
    <row r="2592" spans="1:41" x14ac:dyDescent="0.25">
      <c r="A2592" s="6" t="str">
        <f>"522-2026000281"</f>
        <v>522-2026000281</v>
      </c>
      <c r="B2592" s="6" t="str">
        <f t="shared" si="599"/>
        <v>EL CORTE</v>
      </c>
      <c r="C2592" s="7">
        <v>46038</v>
      </c>
      <c r="D2592" s="7">
        <v>46043</v>
      </c>
      <c r="E2592" s="8">
        <v>1</v>
      </c>
      <c r="F2592" s="6" t="str">
        <f>"94846601_07026"</f>
        <v>94846601_07026</v>
      </c>
      <c r="G2592" s="6" t="str">
        <f t="shared" si="600"/>
        <v>F310631650000000</v>
      </c>
      <c r="H2592" s="6" t="str">
        <f t="shared" si="601"/>
        <v>PLAR 6316 FD - 500 g</v>
      </c>
      <c r="I2592" s="6" t="str">
        <f>"200901"</f>
        <v>200901</v>
      </c>
      <c r="J2592" s="6" t="str">
        <f>"ROSA 901"</f>
        <v>ROSA 901</v>
      </c>
      <c r="K2592" s="6" t="str">
        <f t="shared" si="606"/>
        <v>2020</v>
      </c>
      <c r="L2592" s="6" t="str">
        <f t="shared" si="607"/>
        <v>Lençóis</v>
      </c>
      <c r="M2592" s="6" t="str">
        <f t="shared" si="608"/>
        <v>100x150</v>
      </c>
      <c r="N2592" s="6" t="str">
        <f>"5602972281125"</f>
        <v>5602972281125</v>
      </c>
      <c r="O2592" s="8">
        <v>3</v>
      </c>
      <c r="R2592" s="8">
        <v>0</v>
      </c>
      <c r="U2592" s="8">
        <v>0</v>
      </c>
      <c r="X2592" s="8">
        <v>0</v>
      </c>
      <c r="Z2592" s="8">
        <v>0</v>
      </c>
      <c r="AC2592" s="8">
        <v>0</v>
      </c>
      <c r="AF2592" s="8">
        <v>0</v>
      </c>
      <c r="AN2592" s="8">
        <v>0</v>
      </c>
      <c r="AO2592" s="8">
        <v>3</v>
      </c>
    </row>
    <row r="2593" spans="1:41" x14ac:dyDescent="0.25">
      <c r="A2593" s="6" t="str">
        <f>"522-2026000281"</f>
        <v>522-2026000281</v>
      </c>
      <c r="B2593" s="6" t="str">
        <f t="shared" si="599"/>
        <v>EL CORTE</v>
      </c>
      <c r="C2593" s="7">
        <v>46038</v>
      </c>
      <c r="D2593" s="7">
        <v>46043</v>
      </c>
      <c r="E2593" s="8">
        <v>2</v>
      </c>
      <c r="F2593" s="6" t="str">
        <f>"94846601_07026"</f>
        <v>94846601_07026</v>
      </c>
      <c r="G2593" s="6" t="str">
        <f t="shared" si="600"/>
        <v>F310631650000000</v>
      </c>
      <c r="H2593" s="6" t="str">
        <f t="shared" si="601"/>
        <v>PLAR 6316 FD - 500 g</v>
      </c>
      <c r="I2593" s="6" t="str">
        <f>"200510"</f>
        <v>200510</v>
      </c>
      <c r="J2593" s="6" t="str">
        <f>"VERDE 510"</f>
        <v>VERDE 510</v>
      </c>
      <c r="K2593" s="6" t="str">
        <f t="shared" si="606"/>
        <v>2020</v>
      </c>
      <c r="L2593" s="6" t="str">
        <f t="shared" si="607"/>
        <v>Lençóis</v>
      </c>
      <c r="M2593" s="6" t="str">
        <f t="shared" si="608"/>
        <v>100x150</v>
      </c>
      <c r="N2593" s="6" t="str">
        <f>"5602972281156"</f>
        <v>5602972281156</v>
      </c>
      <c r="O2593" s="8">
        <v>3</v>
      </c>
      <c r="R2593" s="8">
        <v>0</v>
      </c>
      <c r="U2593" s="8">
        <v>0</v>
      </c>
      <c r="X2593" s="8">
        <v>0</v>
      </c>
      <c r="Z2593" s="8">
        <v>0</v>
      </c>
      <c r="AC2593" s="8">
        <v>0</v>
      </c>
      <c r="AF2593" s="8">
        <v>0</v>
      </c>
      <c r="AN2593" s="8">
        <v>0</v>
      </c>
      <c r="AO2593" s="8">
        <v>3</v>
      </c>
    </row>
    <row r="2594" spans="1:41" x14ac:dyDescent="0.25">
      <c r="A2594" s="6" t="str">
        <f>"522-2026000282"</f>
        <v>522-2026000282</v>
      </c>
      <c r="B2594" s="6" t="str">
        <f t="shared" si="599"/>
        <v>EL CORTE</v>
      </c>
      <c r="C2594" s="7">
        <v>46038</v>
      </c>
      <c r="D2594" s="7">
        <v>46043</v>
      </c>
      <c r="E2594" s="8">
        <v>1</v>
      </c>
      <c r="F2594" s="6" t="str">
        <f>"94847201_07026"</f>
        <v>94847201_07026</v>
      </c>
      <c r="G2594" s="6" t="str">
        <f t="shared" si="600"/>
        <v>F310631650000000</v>
      </c>
      <c r="H2594" s="6" t="str">
        <f t="shared" si="601"/>
        <v>PLAR 6316 FD - 500 g</v>
      </c>
      <c r="I2594" s="6" t="str">
        <f>"200510"</f>
        <v>200510</v>
      </c>
      <c r="J2594" s="6" t="str">
        <f>"VERDE 510"</f>
        <v>VERDE 510</v>
      </c>
      <c r="K2594" s="6" t="str">
        <f t="shared" si="606"/>
        <v>2020</v>
      </c>
      <c r="L2594" s="6" t="str">
        <f t="shared" si="607"/>
        <v>Lençóis</v>
      </c>
      <c r="M2594" s="6" t="str">
        <f t="shared" si="608"/>
        <v>100x150</v>
      </c>
      <c r="N2594" s="6" t="str">
        <f>"5602972281156"</f>
        <v>5602972281156</v>
      </c>
      <c r="O2594" s="8">
        <v>3</v>
      </c>
      <c r="R2594" s="8">
        <v>0</v>
      </c>
      <c r="U2594" s="8">
        <v>0</v>
      </c>
      <c r="X2594" s="8">
        <v>0</v>
      </c>
      <c r="Z2594" s="8">
        <v>0</v>
      </c>
      <c r="AC2594" s="8">
        <v>0</v>
      </c>
      <c r="AF2594" s="8">
        <v>0</v>
      </c>
      <c r="AN2594" s="8">
        <v>0</v>
      </c>
      <c r="AO2594" s="8">
        <v>3</v>
      </c>
    </row>
    <row r="2595" spans="1:41" x14ac:dyDescent="0.25">
      <c r="A2595" s="6" t="str">
        <f>"522-2026000283"</f>
        <v>522-2026000283</v>
      </c>
      <c r="B2595" s="6" t="str">
        <f t="shared" si="599"/>
        <v>EL CORTE</v>
      </c>
      <c r="C2595" s="7">
        <v>46038</v>
      </c>
      <c r="D2595" s="7">
        <v>46043</v>
      </c>
      <c r="E2595" s="8">
        <v>1</v>
      </c>
      <c r="F2595" s="6" t="str">
        <f>"94846801_07026"</f>
        <v>94846801_07026</v>
      </c>
      <c r="G2595" s="6" t="str">
        <f t="shared" si="600"/>
        <v>F310631650000000</v>
      </c>
      <c r="H2595" s="6" t="str">
        <f t="shared" si="601"/>
        <v>PLAR 6316 FD - 500 g</v>
      </c>
      <c r="I2595" s="6" t="str">
        <f>"201855"</f>
        <v>201855</v>
      </c>
      <c r="J2595" s="6" t="str">
        <f>"AZUL 1855"</f>
        <v>AZUL 1855</v>
      </c>
      <c r="K2595" s="6" t="str">
        <f t="shared" si="606"/>
        <v>2020</v>
      </c>
      <c r="L2595" s="6" t="str">
        <f t="shared" si="607"/>
        <v>Lençóis</v>
      </c>
      <c r="M2595" s="6" t="str">
        <f t="shared" si="608"/>
        <v>100x150</v>
      </c>
      <c r="N2595" s="6" t="str">
        <f>"5602972281064"</f>
        <v>5602972281064</v>
      </c>
      <c r="O2595" s="8">
        <v>3</v>
      </c>
      <c r="R2595" s="8">
        <v>0</v>
      </c>
      <c r="U2595" s="8">
        <v>0</v>
      </c>
      <c r="X2595" s="8">
        <v>0</v>
      </c>
      <c r="Z2595" s="8">
        <v>0</v>
      </c>
      <c r="AC2595" s="8">
        <v>0</v>
      </c>
      <c r="AF2595" s="8">
        <v>0</v>
      </c>
      <c r="AN2595" s="8">
        <v>0</v>
      </c>
      <c r="AO2595" s="8">
        <v>3</v>
      </c>
    </row>
    <row r="2596" spans="1:41" x14ac:dyDescent="0.25">
      <c r="A2596" s="6" t="str">
        <f>"522-2026000284"</f>
        <v>522-2026000284</v>
      </c>
      <c r="B2596" s="6" t="str">
        <f t="shared" si="599"/>
        <v>EL CORTE</v>
      </c>
      <c r="C2596" s="7">
        <v>46038</v>
      </c>
      <c r="D2596" s="7">
        <v>46043</v>
      </c>
      <c r="E2596" s="8">
        <v>1</v>
      </c>
      <c r="F2596" s="6" t="str">
        <f>"94846901_07026"</f>
        <v>94846901_07026</v>
      </c>
      <c r="G2596" s="6" t="str">
        <f t="shared" si="600"/>
        <v>F310631650000000</v>
      </c>
      <c r="H2596" s="6" t="str">
        <f t="shared" si="601"/>
        <v>PLAR 6316 FD - 500 g</v>
      </c>
      <c r="I2596" s="6" t="str">
        <f>"200510"</f>
        <v>200510</v>
      </c>
      <c r="J2596" s="6" t="str">
        <f>"VERDE 510"</f>
        <v>VERDE 510</v>
      </c>
      <c r="K2596" s="6" t="str">
        <f>"0520"</f>
        <v>0520</v>
      </c>
      <c r="L2596" s="6" t="str">
        <f>"Toalhetes"</f>
        <v>Toalhetes</v>
      </c>
      <c r="M2596" s="6" t="str">
        <f>"30x50"</f>
        <v>30x50</v>
      </c>
      <c r="N2596" s="6" t="str">
        <f>"5602972281132"</f>
        <v>5602972281132</v>
      </c>
      <c r="O2596" s="8">
        <v>6</v>
      </c>
      <c r="R2596" s="8">
        <v>0</v>
      </c>
      <c r="U2596" s="8">
        <v>0</v>
      </c>
      <c r="X2596" s="8">
        <v>0</v>
      </c>
      <c r="Z2596" s="8">
        <v>0</v>
      </c>
      <c r="AC2596" s="8">
        <v>0</v>
      </c>
      <c r="AF2596" s="8">
        <v>0</v>
      </c>
      <c r="AN2596" s="8">
        <v>6</v>
      </c>
      <c r="AO2596" s="8">
        <v>0</v>
      </c>
    </row>
    <row r="2597" spans="1:41" x14ac:dyDescent="0.25">
      <c r="A2597" s="6" t="str">
        <f>"522-2026000285"</f>
        <v>522-2026000285</v>
      </c>
      <c r="B2597" s="6" t="str">
        <f t="shared" si="599"/>
        <v>EL CORTE</v>
      </c>
      <c r="C2597" s="7">
        <v>46038</v>
      </c>
      <c r="D2597" s="7">
        <v>46043</v>
      </c>
      <c r="E2597" s="8">
        <v>1</v>
      </c>
      <c r="F2597" s="6" t="str">
        <f>"94846701_07026"</f>
        <v>94846701_07026</v>
      </c>
      <c r="G2597" s="6" t="str">
        <f t="shared" si="600"/>
        <v>F310631650000000</v>
      </c>
      <c r="H2597" s="6" t="str">
        <f t="shared" si="601"/>
        <v>PLAR 6316 FD - 500 g</v>
      </c>
      <c r="I2597" s="6" t="str">
        <f>"201855"</f>
        <v>201855</v>
      </c>
      <c r="J2597" s="6" t="str">
        <f>"AZUL 1855"</f>
        <v>AZUL 1855</v>
      </c>
      <c r="K2597" s="6" t="str">
        <f>"0520"</f>
        <v>0520</v>
      </c>
      <c r="L2597" s="6" t="str">
        <f>"Toalhetes"</f>
        <v>Toalhetes</v>
      </c>
      <c r="M2597" s="6" t="str">
        <f>"30x50"</f>
        <v>30x50</v>
      </c>
      <c r="N2597" s="6" t="str">
        <f>"5602972281040"</f>
        <v>5602972281040</v>
      </c>
      <c r="O2597" s="8">
        <v>6</v>
      </c>
      <c r="R2597" s="8">
        <v>0</v>
      </c>
      <c r="U2597" s="8">
        <v>0</v>
      </c>
      <c r="X2597" s="8">
        <v>0</v>
      </c>
      <c r="Z2597" s="8">
        <v>0</v>
      </c>
      <c r="AC2597" s="8">
        <v>0</v>
      </c>
      <c r="AF2597" s="8">
        <v>0</v>
      </c>
      <c r="AN2597" s="8">
        <v>0</v>
      </c>
      <c r="AO2597" s="8">
        <v>6</v>
      </c>
    </row>
    <row r="2598" spans="1:41" x14ac:dyDescent="0.25">
      <c r="A2598" s="6" t="str">
        <f>"522-2026000285"</f>
        <v>522-2026000285</v>
      </c>
      <c r="B2598" s="6" t="str">
        <f t="shared" si="599"/>
        <v>EL CORTE</v>
      </c>
      <c r="C2598" s="7">
        <v>46038</v>
      </c>
      <c r="D2598" s="7">
        <v>46043</v>
      </c>
      <c r="E2598" s="8">
        <v>2</v>
      </c>
      <c r="F2598" s="6" t="str">
        <f>"94846701_07026"</f>
        <v>94846701_07026</v>
      </c>
      <c r="G2598" s="6" t="str">
        <f t="shared" si="600"/>
        <v>F310631650000000</v>
      </c>
      <c r="H2598" s="6" t="str">
        <f t="shared" si="601"/>
        <v>PLAR 6316 FD - 500 g</v>
      </c>
      <c r="I2598" s="6" t="str">
        <f>"202575"</f>
        <v>202575</v>
      </c>
      <c r="J2598" s="6" t="str">
        <f>"BEGE 2575"</f>
        <v>BEGE 2575</v>
      </c>
      <c r="K2598" s="6" t="str">
        <f>"2020"</f>
        <v>2020</v>
      </c>
      <c r="L2598" s="6" t="str">
        <f>"Lençóis"</f>
        <v>Lençóis</v>
      </c>
      <c r="M2598" s="6" t="str">
        <f>"100x150"</f>
        <v>100x150</v>
      </c>
      <c r="N2598" s="6" t="str">
        <f>"5602972281095"</f>
        <v>5602972281095</v>
      </c>
      <c r="O2598" s="8">
        <v>3</v>
      </c>
      <c r="R2598" s="8">
        <v>0</v>
      </c>
      <c r="U2598" s="8">
        <v>0</v>
      </c>
      <c r="X2598" s="8">
        <v>0</v>
      </c>
      <c r="Z2598" s="8">
        <v>0</v>
      </c>
      <c r="AC2598" s="8">
        <v>0</v>
      </c>
      <c r="AF2598" s="8">
        <v>0</v>
      </c>
      <c r="AN2598" s="8">
        <v>0</v>
      </c>
      <c r="AO2598" s="8">
        <v>3</v>
      </c>
    </row>
    <row r="2599" spans="1:41" x14ac:dyDescent="0.25">
      <c r="A2599" s="6" t="str">
        <f>"522-2026000286"</f>
        <v>522-2026000286</v>
      </c>
      <c r="B2599" s="6" t="str">
        <f t="shared" si="599"/>
        <v>EL CORTE</v>
      </c>
      <c r="C2599" s="7">
        <v>46038</v>
      </c>
      <c r="D2599" s="7">
        <v>46043</v>
      </c>
      <c r="E2599" s="8">
        <v>1</v>
      </c>
      <c r="F2599" s="6" t="str">
        <f>"94847501_07026"</f>
        <v>94847501_07026</v>
      </c>
      <c r="G2599" s="6" t="str">
        <f t="shared" si="600"/>
        <v>F310631650000000</v>
      </c>
      <c r="H2599" s="6" t="str">
        <f t="shared" si="601"/>
        <v>PLAR 6316 FD - 500 g</v>
      </c>
      <c r="I2599" s="6" t="str">
        <f>"200510"</f>
        <v>200510</v>
      </c>
      <c r="J2599" s="6" t="str">
        <f>"VERDE 510"</f>
        <v>VERDE 510</v>
      </c>
      <c r="K2599" s="6" t="str">
        <f>"2020"</f>
        <v>2020</v>
      </c>
      <c r="L2599" s="6" t="str">
        <f>"Lençóis"</f>
        <v>Lençóis</v>
      </c>
      <c r="M2599" s="6" t="str">
        <f>"100x150"</f>
        <v>100x150</v>
      </c>
      <c r="N2599" s="6" t="str">
        <f>"5602972281156"</f>
        <v>5602972281156</v>
      </c>
      <c r="O2599" s="8">
        <v>3</v>
      </c>
      <c r="R2599" s="8">
        <v>0</v>
      </c>
      <c r="U2599" s="8">
        <v>0</v>
      </c>
      <c r="X2599" s="8">
        <v>0</v>
      </c>
      <c r="Z2599" s="8">
        <v>0</v>
      </c>
      <c r="AC2599" s="8">
        <v>0</v>
      </c>
      <c r="AF2599" s="8">
        <v>0</v>
      </c>
      <c r="AN2599" s="8">
        <v>0</v>
      </c>
      <c r="AO2599" s="8">
        <v>3</v>
      </c>
    </row>
    <row r="2600" spans="1:41" x14ac:dyDescent="0.25">
      <c r="A2600" s="6" t="str">
        <f>"522-2026000287"</f>
        <v>522-2026000287</v>
      </c>
      <c r="B2600" s="6" t="str">
        <f t="shared" si="599"/>
        <v>EL CORTE</v>
      </c>
      <c r="C2600" s="7">
        <v>46038</v>
      </c>
      <c r="D2600" s="7">
        <v>46043</v>
      </c>
      <c r="E2600" s="8">
        <v>1</v>
      </c>
      <c r="F2600" s="6" t="str">
        <f>"94847301_07026"</f>
        <v>94847301_07026</v>
      </c>
      <c r="G2600" s="6" t="str">
        <f t="shared" si="600"/>
        <v>F310631650000000</v>
      </c>
      <c r="H2600" s="6" t="str">
        <f t="shared" si="601"/>
        <v>PLAR 6316 FD - 500 g</v>
      </c>
      <c r="I2600" s="6" t="str">
        <f>"201855"</f>
        <v>201855</v>
      </c>
      <c r="J2600" s="6" t="str">
        <f>"AZUL 1855"</f>
        <v>AZUL 1855</v>
      </c>
      <c r="K2600" s="6" t="str">
        <f>"0520"</f>
        <v>0520</v>
      </c>
      <c r="L2600" s="6" t="str">
        <f>"Toalhetes"</f>
        <v>Toalhetes</v>
      </c>
      <c r="M2600" s="6" t="str">
        <f>"30x50"</f>
        <v>30x50</v>
      </c>
      <c r="N2600" s="6" t="str">
        <f>"5602972281040"</f>
        <v>5602972281040</v>
      </c>
      <c r="O2600" s="8">
        <v>6</v>
      </c>
      <c r="R2600" s="8">
        <v>0</v>
      </c>
      <c r="U2600" s="8">
        <v>0</v>
      </c>
      <c r="X2600" s="8">
        <v>0</v>
      </c>
      <c r="Z2600" s="8">
        <v>0</v>
      </c>
      <c r="AC2600" s="8">
        <v>0</v>
      </c>
      <c r="AF2600" s="8">
        <v>0</v>
      </c>
      <c r="AN2600" s="8">
        <v>0</v>
      </c>
      <c r="AO2600" s="8">
        <v>6</v>
      </c>
    </row>
    <row r="2601" spans="1:41" x14ac:dyDescent="0.25">
      <c r="A2601" s="6" t="str">
        <f>"522-2026000287"</f>
        <v>522-2026000287</v>
      </c>
      <c r="B2601" s="6" t="str">
        <f t="shared" si="599"/>
        <v>EL CORTE</v>
      </c>
      <c r="C2601" s="7">
        <v>46038</v>
      </c>
      <c r="D2601" s="7">
        <v>46043</v>
      </c>
      <c r="E2601" s="8">
        <v>2</v>
      </c>
      <c r="F2601" s="6" t="str">
        <f>"94847301_07026"</f>
        <v>94847301_07026</v>
      </c>
      <c r="G2601" s="6" t="str">
        <f t="shared" si="600"/>
        <v>F310631650000000</v>
      </c>
      <c r="H2601" s="6" t="str">
        <f t="shared" si="601"/>
        <v>PLAR 6316 FD - 500 g</v>
      </c>
      <c r="I2601" s="6" t="str">
        <f>"201855"</f>
        <v>201855</v>
      </c>
      <c r="J2601" s="6" t="str">
        <f>"AZUL 1855"</f>
        <v>AZUL 1855</v>
      </c>
      <c r="K2601" s="6" t="str">
        <f>"1024"</f>
        <v>1024</v>
      </c>
      <c r="L2601" s="6" t="str">
        <f>"Toalhas"</f>
        <v>Toalhas</v>
      </c>
      <c r="M2601" s="6" t="str">
        <f>"50x100"</f>
        <v>50x100</v>
      </c>
      <c r="N2601" s="6" t="str">
        <f>"5602972281057"</f>
        <v>5602972281057</v>
      </c>
      <c r="O2601" s="8">
        <v>6</v>
      </c>
      <c r="R2601" s="8">
        <v>0</v>
      </c>
      <c r="U2601" s="8">
        <v>0</v>
      </c>
      <c r="X2601" s="8">
        <v>0</v>
      </c>
      <c r="Z2601" s="8">
        <v>0</v>
      </c>
      <c r="AC2601" s="8">
        <v>0</v>
      </c>
      <c r="AF2601" s="8">
        <v>0</v>
      </c>
      <c r="AN2601" s="8">
        <v>6</v>
      </c>
      <c r="AO2601" s="8">
        <v>0</v>
      </c>
    </row>
    <row r="2602" spans="1:41" x14ac:dyDescent="0.25">
      <c r="A2602" s="6" t="str">
        <f>"522-2026000287"</f>
        <v>522-2026000287</v>
      </c>
      <c r="B2602" s="6" t="str">
        <f t="shared" si="599"/>
        <v>EL CORTE</v>
      </c>
      <c r="C2602" s="7">
        <v>46038</v>
      </c>
      <c r="D2602" s="7">
        <v>46043</v>
      </c>
      <c r="E2602" s="8">
        <v>3</v>
      </c>
      <c r="F2602" s="6" t="str">
        <f>"94847301_07026"</f>
        <v>94847301_07026</v>
      </c>
      <c r="G2602" s="6" t="str">
        <f t="shared" si="600"/>
        <v>F310631650000000</v>
      </c>
      <c r="H2602" s="6" t="str">
        <f t="shared" si="601"/>
        <v>PLAR 6316 FD - 500 g</v>
      </c>
      <c r="I2602" s="6" t="str">
        <f>"201855"</f>
        <v>201855</v>
      </c>
      <c r="J2602" s="6" t="str">
        <f>"AZUL 1855"</f>
        <v>AZUL 1855</v>
      </c>
      <c r="K2602" s="6" t="str">
        <f>"2020"</f>
        <v>2020</v>
      </c>
      <c r="L2602" s="6" t="str">
        <f>"Lençóis"</f>
        <v>Lençóis</v>
      </c>
      <c r="M2602" s="6" t="str">
        <f>"100x150"</f>
        <v>100x150</v>
      </c>
      <c r="N2602" s="6" t="str">
        <f>"5602972281064"</f>
        <v>5602972281064</v>
      </c>
      <c r="O2602" s="8">
        <v>3</v>
      </c>
      <c r="R2602" s="8">
        <v>0</v>
      </c>
      <c r="U2602" s="8">
        <v>0</v>
      </c>
      <c r="X2602" s="8">
        <v>0</v>
      </c>
      <c r="Z2602" s="8">
        <v>0</v>
      </c>
      <c r="AC2602" s="8">
        <v>0</v>
      </c>
      <c r="AF2602" s="8">
        <v>0</v>
      </c>
      <c r="AN2602" s="8">
        <v>0</v>
      </c>
      <c r="AO2602" s="8">
        <v>3</v>
      </c>
    </row>
    <row r="2603" spans="1:41" x14ac:dyDescent="0.25">
      <c r="A2603" s="6" t="str">
        <f>"522-2026000287"</f>
        <v>522-2026000287</v>
      </c>
      <c r="B2603" s="6" t="str">
        <f t="shared" si="599"/>
        <v>EL CORTE</v>
      </c>
      <c r="C2603" s="7">
        <v>46038</v>
      </c>
      <c r="D2603" s="7">
        <v>46043</v>
      </c>
      <c r="E2603" s="8">
        <v>4</v>
      </c>
      <c r="F2603" s="6" t="str">
        <f>"94847301_07026"</f>
        <v>94847301_07026</v>
      </c>
      <c r="G2603" s="6" t="str">
        <f t="shared" si="600"/>
        <v>F310631650000000</v>
      </c>
      <c r="H2603" s="6" t="str">
        <f t="shared" si="601"/>
        <v>PLAR 6316 FD - 500 g</v>
      </c>
      <c r="I2603" s="6" t="str">
        <f>"202575"</f>
        <v>202575</v>
      </c>
      <c r="J2603" s="6" t="str">
        <f>"BEGE 2575"</f>
        <v>BEGE 2575</v>
      </c>
      <c r="K2603" s="6" t="str">
        <f>"2020"</f>
        <v>2020</v>
      </c>
      <c r="L2603" s="6" t="str">
        <f>"Lençóis"</f>
        <v>Lençóis</v>
      </c>
      <c r="M2603" s="6" t="str">
        <f>"100x150"</f>
        <v>100x150</v>
      </c>
      <c r="N2603" s="6" t="str">
        <f>"5602972281095"</f>
        <v>5602972281095</v>
      </c>
      <c r="O2603" s="8">
        <v>3</v>
      </c>
      <c r="R2603" s="8">
        <v>0</v>
      </c>
      <c r="U2603" s="8">
        <v>0</v>
      </c>
      <c r="X2603" s="8">
        <v>0</v>
      </c>
      <c r="Z2603" s="8">
        <v>0</v>
      </c>
      <c r="AC2603" s="8">
        <v>0</v>
      </c>
      <c r="AF2603" s="8">
        <v>0</v>
      </c>
      <c r="AN2603" s="8">
        <v>0</v>
      </c>
      <c r="AO2603" s="8">
        <v>3</v>
      </c>
    </row>
    <row r="2604" spans="1:41" x14ac:dyDescent="0.25">
      <c r="A2604" s="6" t="str">
        <f>"522-2026000288"</f>
        <v>522-2026000288</v>
      </c>
      <c r="B2604" s="6" t="str">
        <f t="shared" si="599"/>
        <v>EL CORTE</v>
      </c>
      <c r="C2604" s="7">
        <v>46038</v>
      </c>
      <c r="D2604" s="7">
        <v>46043</v>
      </c>
      <c r="E2604" s="8">
        <v>1</v>
      </c>
      <c r="F2604" s="6" t="str">
        <f>"94847101_07026"</f>
        <v>94847101_07026</v>
      </c>
      <c r="G2604" s="6" t="str">
        <f t="shared" si="600"/>
        <v>F310631650000000</v>
      </c>
      <c r="H2604" s="6" t="str">
        <f t="shared" si="601"/>
        <v>PLAR 6316 FD - 500 g</v>
      </c>
      <c r="I2604" s="6" t="str">
        <f>"201855"</f>
        <v>201855</v>
      </c>
      <c r="J2604" s="6" t="str">
        <f>"AZUL 1855"</f>
        <v>AZUL 1855</v>
      </c>
      <c r="K2604" s="6" t="str">
        <f>"2020"</f>
        <v>2020</v>
      </c>
      <c r="L2604" s="6" t="str">
        <f>"Lençóis"</f>
        <v>Lençóis</v>
      </c>
      <c r="M2604" s="6" t="str">
        <f>"100x150"</f>
        <v>100x150</v>
      </c>
      <c r="N2604" s="6" t="str">
        <f>"5602972281064"</f>
        <v>5602972281064</v>
      </c>
      <c r="O2604" s="8">
        <v>3</v>
      </c>
      <c r="R2604" s="8">
        <v>0</v>
      </c>
      <c r="U2604" s="8">
        <v>0</v>
      </c>
      <c r="X2604" s="8">
        <v>0</v>
      </c>
      <c r="Z2604" s="8">
        <v>0</v>
      </c>
      <c r="AC2604" s="8">
        <v>0</v>
      </c>
      <c r="AF2604" s="8">
        <v>0</v>
      </c>
      <c r="AN2604" s="8">
        <v>0</v>
      </c>
      <c r="AO2604" s="8">
        <v>3</v>
      </c>
    </row>
    <row r="2605" spans="1:41" x14ac:dyDescent="0.25">
      <c r="A2605" s="6" t="str">
        <f>"522-2026000289"</f>
        <v>522-2026000289</v>
      </c>
      <c r="B2605" s="6" t="str">
        <f t="shared" si="599"/>
        <v>EL CORTE</v>
      </c>
      <c r="C2605" s="7">
        <v>46038</v>
      </c>
      <c r="D2605" s="7">
        <v>46043</v>
      </c>
      <c r="E2605" s="8">
        <v>1</v>
      </c>
      <c r="F2605" s="6" t="str">
        <f>"94846001_07026"</f>
        <v>94846001_07026</v>
      </c>
      <c r="G2605" s="6" t="str">
        <f t="shared" si="600"/>
        <v>F310631650000000</v>
      </c>
      <c r="H2605" s="6" t="str">
        <f t="shared" si="601"/>
        <v>PLAR 6316 FD - 500 g</v>
      </c>
      <c r="I2605" s="6" t="str">
        <f>"201855"</f>
        <v>201855</v>
      </c>
      <c r="J2605" s="6" t="str">
        <f>"AZUL 1855"</f>
        <v>AZUL 1855</v>
      </c>
      <c r="K2605" s="6" t="str">
        <f>"2020"</f>
        <v>2020</v>
      </c>
      <c r="L2605" s="6" t="str">
        <f>"Lençóis"</f>
        <v>Lençóis</v>
      </c>
      <c r="M2605" s="6" t="str">
        <f>"100x150"</f>
        <v>100x150</v>
      </c>
      <c r="N2605" s="6" t="str">
        <f>"5602972281064"</f>
        <v>5602972281064</v>
      </c>
      <c r="O2605" s="8">
        <v>6</v>
      </c>
      <c r="R2605" s="8">
        <v>0</v>
      </c>
      <c r="U2605" s="8">
        <v>0</v>
      </c>
      <c r="X2605" s="8">
        <v>0</v>
      </c>
      <c r="Z2605" s="8">
        <v>0</v>
      </c>
      <c r="AC2605" s="8">
        <v>0</v>
      </c>
      <c r="AF2605" s="8">
        <v>0</v>
      </c>
      <c r="AN2605" s="8">
        <v>0</v>
      </c>
      <c r="AO2605" s="8">
        <v>6</v>
      </c>
    </row>
    <row r="2606" spans="1:41" x14ac:dyDescent="0.25">
      <c r="A2606" s="6" t="str">
        <f>"522-2026000289"</f>
        <v>522-2026000289</v>
      </c>
      <c r="B2606" s="6" t="str">
        <f t="shared" si="599"/>
        <v>EL CORTE</v>
      </c>
      <c r="C2606" s="7">
        <v>46038</v>
      </c>
      <c r="D2606" s="7">
        <v>46043</v>
      </c>
      <c r="E2606" s="8">
        <v>2</v>
      </c>
      <c r="F2606" s="6" t="str">
        <f>"94846001_07026"</f>
        <v>94846001_07026</v>
      </c>
      <c r="G2606" s="6" t="str">
        <f t="shared" si="600"/>
        <v>F310631650000000</v>
      </c>
      <c r="H2606" s="6" t="str">
        <f t="shared" si="601"/>
        <v>PLAR 6316 FD - 500 g</v>
      </c>
      <c r="I2606" s="6" t="str">
        <f>"200901"</f>
        <v>200901</v>
      </c>
      <c r="J2606" s="6" t="str">
        <f>"ROSA 901"</f>
        <v>ROSA 901</v>
      </c>
      <c r="K2606" s="6" t="str">
        <f>"2020"</f>
        <v>2020</v>
      </c>
      <c r="L2606" s="6" t="str">
        <f>"Lençóis"</f>
        <v>Lençóis</v>
      </c>
      <c r="M2606" s="6" t="str">
        <f>"100x150"</f>
        <v>100x150</v>
      </c>
      <c r="N2606" s="6" t="str">
        <f>"5602972281125"</f>
        <v>5602972281125</v>
      </c>
      <c r="O2606" s="8">
        <v>3</v>
      </c>
      <c r="R2606" s="8">
        <v>0</v>
      </c>
      <c r="U2606" s="8">
        <v>0</v>
      </c>
      <c r="X2606" s="8">
        <v>0</v>
      </c>
      <c r="Z2606" s="8">
        <v>0</v>
      </c>
      <c r="AC2606" s="8">
        <v>0</v>
      </c>
      <c r="AF2606" s="8">
        <v>0</v>
      </c>
      <c r="AN2606" s="8">
        <v>0</v>
      </c>
      <c r="AO2606" s="8">
        <v>3</v>
      </c>
    </row>
    <row r="2607" spans="1:41" x14ac:dyDescent="0.25">
      <c r="A2607" s="6" t="str">
        <f>"522-2026000290"</f>
        <v>522-2026000290</v>
      </c>
      <c r="B2607" s="6" t="str">
        <f t="shared" si="599"/>
        <v>EL CORTE</v>
      </c>
      <c r="C2607" s="7">
        <v>46038</v>
      </c>
      <c r="D2607" s="7">
        <v>46043</v>
      </c>
      <c r="E2607" s="8">
        <v>1</v>
      </c>
      <c r="F2607" s="6" t="str">
        <f>"94846101_07026"</f>
        <v>94846101_07026</v>
      </c>
      <c r="G2607" s="6" t="str">
        <f t="shared" si="600"/>
        <v>F310631650000000</v>
      </c>
      <c r="H2607" s="6" t="str">
        <f t="shared" si="601"/>
        <v>PLAR 6316 FD - 500 g</v>
      </c>
      <c r="I2607" s="6" t="str">
        <f>"200901"</f>
        <v>200901</v>
      </c>
      <c r="J2607" s="6" t="str">
        <f>"ROSA 901"</f>
        <v>ROSA 901</v>
      </c>
      <c r="K2607" s="6" t="str">
        <f>"0520"</f>
        <v>0520</v>
      </c>
      <c r="L2607" s="6" t="str">
        <f>"Toalhetes"</f>
        <v>Toalhetes</v>
      </c>
      <c r="M2607" s="6" t="str">
        <f>"30x50"</f>
        <v>30x50</v>
      </c>
      <c r="N2607" s="6" t="str">
        <f>"5602972281101"</f>
        <v>5602972281101</v>
      </c>
      <c r="O2607" s="8">
        <v>6</v>
      </c>
      <c r="R2607" s="8">
        <v>0</v>
      </c>
      <c r="U2607" s="8">
        <v>0</v>
      </c>
      <c r="X2607" s="8">
        <v>0</v>
      </c>
      <c r="Z2607" s="8">
        <v>0</v>
      </c>
      <c r="AC2607" s="8">
        <v>0</v>
      </c>
      <c r="AF2607" s="8">
        <v>0</v>
      </c>
      <c r="AN2607" s="8">
        <v>0</v>
      </c>
      <c r="AO2607" s="8">
        <v>6</v>
      </c>
    </row>
    <row r="2608" spans="1:41" x14ac:dyDescent="0.25">
      <c r="A2608" s="6" t="str">
        <f>"522-2026000290"</f>
        <v>522-2026000290</v>
      </c>
      <c r="B2608" s="6" t="str">
        <f t="shared" si="599"/>
        <v>EL CORTE</v>
      </c>
      <c r="C2608" s="7">
        <v>46038</v>
      </c>
      <c r="D2608" s="7">
        <v>46043</v>
      </c>
      <c r="E2608" s="8">
        <v>2</v>
      </c>
      <c r="F2608" s="6" t="str">
        <f>"94846101_07026"</f>
        <v>94846101_07026</v>
      </c>
      <c r="G2608" s="6" t="str">
        <f t="shared" si="600"/>
        <v>F310631650000000</v>
      </c>
      <c r="H2608" s="6" t="str">
        <f t="shared" si="601"/>
        <v>PLAR 6316 FD - 500 g</v>
      </c>
      <c r="I2608" s="6" t="str">
        <f>"200901"</f>
        <v>200901</v>
      </c>
      <c r="J2608" s="6" t="str">
        <f>"ROSA 901"</f>
        <v>ROSA 901</v>
      </c>
      <c r="K2608" s="6" t="str">
        <f>"1024"</f>
        <v>1024</v>
      </c>
      <c r="L2608" s="6" t="str">
        <f>"Toalhas"</f>
        <v>Toalhas</v>
      </c>
      <c r="M2608" s="6" t="str">
        <f>"50x100"</f>
        <v>50x100</v>
      </c>
      <c r="N2608" s="6" t="str">
        <f>"5602972281118"</f>
        <v>5602972281118</v>
      </c>
      <c r="O2608" s="8">
        <v>6</v>
      </c>
      <c r="R2608" s="8">
        <v>0</v>
      </c>
      <c r="U2608" s="8">
        <v>0</v>
      </c>
      <c r="X2608" s="8">
        <v>0</v>
      </c>
      <c r="Z2608" s="8">
        <v>0</v>
      </c>
      <c r="AC2608" s="8">
        <v>0</v>
      </c>
      <c r="AF2608" s="8">
        <v>0</v>
      </c>
      <c r="AN2608" s="8">
        <v>6</v>
      </c>
      <c r="AO2608" s="8">
        <v>0</v>
      </c>
    </row>
    <row r="2609" spans="1:41" x14ac:dyDescent="0.25">
      <c r="A2609" s="6" t="str">
        <f>"522-2026000291"</f>
        <v>522-2026000291</v>
      </c>
      <c r="B2609" s="6" t="str">
        <f t="shared" si="599"/>
        <v>EL CORTE</v>
      </c>
      <c r="C2609" s="7">
        <v>46038</v>
      </c>
      <c r="D2609" s="7">
        <v>46043</v>
      </c>
      <c r="E2609" s="8">
        <v>1</v>
      </c>
      <c r="F2609" s="6" t="str">
        <f>"94846301_07026"</f>
        <v>94846301_07026</v>
      </c>
      <c r="G2609" s="6" t="str">
        <f t="shared" si="600"/>
        <v>F310631650000000</v>
      </c>
      <c r="H2609" s="6" t="str">
        <f t="shared" si="601"/>
        <v>PLAR 6316 FD - 500 g</v>
      </c>
      <c r="I2609" s="6" t="str">
        <f>"201855"</f>
        <v>201855</v>
      </c>
      <c r="J2609" s="6" t="str">
        <f>"AZUL 1855"</f>
        <v>AZUL 1855</v>
      </c>
      <c r="K2609" s="6" t="str">
        <f>"0520"</f>
        <v>0520</v>
      </c>
      <c r="L2609" s="6" t="str">
        <f>"Toalhetes"</f>
        <v>Toalhetes</v>
      </c>
      <c r="M2609" s="6" t="str">
        <f>"30x50"</f>
        <v>30x50</v>
      </c>
      <c r="N2609" s="6" t="str">
        <f>"5602972281040"</f>
        <v>5602972281040</v>
      </c>
      <c r="O2609" s="8">
        <v>6</v>
      </c>
      <c r="R2609" s="8">
        <v>0</v>
      </c>
      <c r="U2609" s="8">
        <v>0</v>
      </c>
      <c r="X2609" s="8">
        <v>0</v>
      </c>
      <c r="Z2609" s="8">
        <v>0</v>
      </c>
      <c r="AC2609" s="8">
        <v>0</v>
      </c>
      <c r="AF2609" s="8">
        <v>0</v>
      </c>
      <c r="AN2609" s="8">
        <v>0</v>
      </c>
      <c r="AO2609" s="8">
        <v>6</v>
      </c>
    </row>
    <row r="2610" spans="1:41" x14ac:dyDescent="0.25">
      <c r="A2610" s="6" t="str">
        <f>"522-2026000291"</f>
        <v>522-2026000291</v>
      </c>
      <c r="B2610" s="6" t="str">
        <f t="shared" si="599"/>
        <v>EL CORTE</v>
      </c>
      <c r="C2610" s="7">
        <v>46038</v>
      </c>
      <c r="D2610" s="7">
        <v>46043</v>
      </c>
      <c r="E2610" s="8">
        <v>2</v>
      </c>
      <c r="F2610" s="6" t="str">
        <f>"94846301_07026"</f>
        <v>94846301_07026</v>
      </c>
      <c r="G2610" s="6" t="str">
        <f t="shared" si="600"/>
        <v>F310631650000000</v>
      </c>
      <c r="H2610" s="6" t="str">
        <f t="shared" si="601"/>
        <v>PLAR 6316 FD - 500 g</v>
      </c>
      <c r="I2610" s="6" t="str">
        <f>"200901"</f>
        <v>200901</v>
      </c>
      <c r="J2610" s="6" t="str">
        <f>"ROSA 901"</f>
        <v>ROSA 901</v>
      </c>
      <c r="K2610" s="6" t="str">
        <f t="shared" ref="K2610:K2620" si="609">"2020"</f>
        <v>2020</v>
      </c>
      <c r="L2610" s="6" t="str">
        <f t="shared" ref="L2610:L2620" si="610">"Lençóis"</f>
        <v>Lençóis</v>
      </c>
      <c r="M2610" s="6" t="str">
        <f t="shared" ref="M2610:M2620" si="611">"100x150"</f>
        <v>100x150</v>
      </c>
      <c r="N2610" s="6" t="str">
        <f>"5602972281125"</f>
        <v>5602972281125</v>
      </c>
      <c r="O2610" s="8">
        <v>3</v>
      </c>
      <c r="R2610" s="8">
        <v>0</v>
      </c>
      <c r="U2610" s="8">
        <v>0</v>
      </c>
      <c r="X2610" s="8">
        <v>0</v>
      </c>
      <c r="Z2610" s="8">
        <v>0</v>
      </c>
      <c r="AC2610" s="8">
        <v>0</v>
      </c>
      <c r="AF2610" s="8">
        <v>0</v>
      </c>
      <c r="AN2610" s="8">
        <v>0</v>
      </c>
      <c r="AO2610" s="8">
        <v>3</v>
      </c>
    </row>
    <row r="2611" spans="1:41" x14ac:dyDescent="0.25">
      <c r="A2611" s="6" t="str">
        <f>"522-2026000291"</f>
        <v>522-2026000291</v>
      </c>
      <c r="B2611" s="6" t="str">
        <f t="shared" si="599"/>
        <v>EL CORTE</v>
      </c>
      <c r="C2611" s="7">
        <v>46038</v>
      </c>
      <c r="D2611" s="7">
        <v>46043</v>
      </c>
      <c r="E2611" s="8">
        <v>3</v>
      </c>
      <c r="F2611" s="6" t="str">
        <f>"94846301_07026"</f>
        <v>94846301_07026</v>
      </c>
      <c r="G2611" s="6" t="str">
        <f t="shared" si="600"/>
        <v>F310631650000000</v>
      </c>
      <c r="H2611" s="6" t="str">
        <f t="shared" si="601"/>
        <v>PLAR 6316 FD - 500 g</v>
      </c>
      <c r="I2611" s="6" t="str">
        <f>"200510"</f>
        <v>200510</v>
      </c>
      <c r="J2611" s="6" t="str">
        <f>"VERDE 510"</f>
        <v>VERDE 510</v>
      </c>
      <c r="K2611" s="6" t="str">
        <f t="shared" si="609"/>
        <v>2020</v>
      </c>
      <c r="L2611" s="6" t="str">
        <f t="shared" si="610"/>
        <v>Lençóis</v>
      </c>
      <c r="M2611" s="6" t="str">
        <f t="shared" si="611"/>
        <v>100x150</v>
      </c>
      <c r="N2611" s="6" t="str">
        <f>"5602972281156"</f>
        <v>5602972281156</v>
      </c>
      <c r="O2611" s="8">
        <v>3</v>
      </c>
      <c r="R2611" s="8">
        <v>0</v>
      </c>
      <c r="U2611" s="8">
        <v>0</v>
      </c>
      <c r="X2611" s="8">
        <v>0</v>
      </c>
      <c r="Z2611" s="8">
        <v>0</v>
      </c>
      <c r="AC2611" s="8">
        <v>0</v>
      </c>
      <c r="AF2611" s="8">
        <v>0</v>
      </c>
      <c r="AN2611" s="8">
        <v>0</v>
      </c>
      <c r="AO2611" s="8">
        <v>3</v>
      </c>
    </row>
    <row r="2612" spans="1:41" x14ac:dyDescent="0.25">
      <c r="A2612" s="6" t="str">
        <f>"522-2026000292"</f>
        <v>522-2026000292</v>
      </c>
      <c r="B2612" s="6" t="str">
        <f t="shared" si="599"/>
        <v>EL CORTE</v>
      </c>
      <c r="C2612" s="7">
        <v>46038</v>
      </c>
      <c r="D2612" s="7">
        <v>46043</v>
      </c>
      <c r="E2612" s="8">
        <v>1</v>
      </c>
      <c r="F2612" s="6" t="str">
        <f>"94845701_07026"</f>
        <v>94845701_07026</v>
      </c>
      <c r="G2612" s="6" t="str">
        <f t="shared" si="600"/>
        <v>F310631650000000</v>
      </c>
      <c r="H2612" s="6" t="str">
        <f t="shared" si="601"/>
        <v>PLAR 6316 FD - 500 g</v>
      </c>
      <c r="I2612" s="6" t="str">
        <f>"201855"</f>
        <v>201855</v>
      </c>
      <c r="J2612" s="6" t="str">
        <f>"AZUL 1855"</f>
        <v>AZUL 1855</v>
      </c>
      <c r="K2612" s="6" t="str">
        <f t="shared" si="609"/>
        <v>2020</v>
      </c>
      <c r="L2612" s="6" t="str">
        <f t="shared" si="610"/>
        <v>Lençóis</v>
      </c>
      <c r="M2612" s="6" t="str">
        <f t="shared" si="611"/>
        <v>100x150</v>
      </c>
      <c r="N2612" s="6" t="str">
        <f>"5602972281064"</f>
        <v>5602972281064</v>
      </c>
      <c r="O2612" s="8">
        <v>3</v>
      </c>
      <c r="R2612" s="8">
        <v>0</v>
      </c>
      <c r="U2612" s="8">
        <v>0</v>
      </c>
      <c r="X2612" s="8">
        <v>0</v>
      </c>
      <c r="Z2612" s="8">
        <v>0</v>
      </c>
      <c r="AC2612" s="8">
        <v>0</v>
      </c>
      <c r="AF2612" s="8">
        <v>0</v>
      </c>
      <c r="AN2612" s="8">
        <v>0</v>
      </c>
      <c r="AO2612" s="8">
        <v>3</v>
      </c>
    </row>
    <row r="2613" spans="1:41" x14ac:dyDescent="0.25">
      <c r="A2613" s="6" t="str">
        <f>"522-2026000292"</f>
        <v>522-2026000292</v>
      </c>
      <c r="B2613" s="6" t="str">
        <f t="shared" si="599"/>
        <v>EL CORTE</v>
      </c>
      <c r="C2613" s="7">
        <v>46038</v>
      </c>
      <c r="D2613" s="7">
        <v>46043</v>
      </c>
      <c r="E2613" s="8">
        <v>2</v>
      </c>
      <c r="F2613" s="6" t="str">
        <f>"94845701_07026"</f>
        <v>94845701_07026</v>
      </c>
      <c r="G2613" s="6" t="str">
        <f t="shared" si="600"/>
        <v>F310631650000000</v>
      </c>
      <c r="H2613" s="6" t="str">
        <f t="shared" si="601"/>
        <v>PLAR 6316 FD - 500 g</v>
      </c>
      <c r="I2613" s="6" t="str">
        <f>"202575"</f>
        <v>202575</v>
      </c>
      <c r="J2613" s="6" t="str">
        <f>"BEGE 2575"</f>
        <v>BEGE 2575</v>
      </c>
      <c r="K2613" s="6" t="str">
        <f t="shared" si="609"/>
        <v>2020</v>
      </c>
      <c r="L2613" s="6" t="str">
        <f t="shared" si="610"/>
        <v>Lençóis</v>
      </c>
      <c r="M2613" s="6" t="str">
        <f t="shared" si="611"/>
        <v>100x150</v>
      </c>
      <c r="N2613" s="6" t="str">
        <f>"5602972281095"</f>
        <v>5602972281095</v>
      </c>
      <c r="O2613" s="8">
        <v>6</v>
      </c>
      <c r="R2613" s="8">
        <v>0</v>
      </c>
      <c r="U2613" s="8">
        <v>0</v>
      </c>
      <c r="X2613" s="8">
        <v>0</v>
      </c>
      <c r="Z2613" s="8">
        <v>0</v>
      </c>
      <c r="AC2613" s="8">
        <v>0</v>
      </c>
      <c r="AF2613" s="8">
        <v>0</v>
      </c>
      <c r="AN2613" s="8">
        <v>0</v>
      </c>
      <c r="AO2613" s="8">
        <v>6</v>
      </c>
    </row>
    <row r="2614" spans="1:41" x14ac:dyDescent="0.25">
      <c r="A2614" s="6" t="str">
        <f>"522-2026000292"</f>
        <v>522-2026000292</v>
      </c>
      <c r="B2614" s="6" t="str">
        <f t="shared" si="599"/>
        <v>EL CORTE</v>
      </c>
      <c r="C2614" s="7">
        <v>46038</v>
      </c>
      <c r="D2614" s="7">
        <v>46043</v>
      </c>
      <c r="E2614" s="8">
        <v>3</v>
      </c>
      <c r="F2614" s="6" t="str">
        <f>"94845701_07026"</f>
        <v>94845701_07026</v>
      </c>
      <c r="G2614" s="6" t="str">
        <f t="shared" si="600"/>
        <v>F310631650000000</v>
      </c>
      <c r="H2614" s="6" t="str">
        <f t="shared" si="601"/>
        <v>PLAR 6316 FD - 500 g</v>
      </c>
      <c r="I2614" s="6" t="str">
        <f>"200901"</f>
        <v>200901</v>
      </c>
      <c r="J2614" s="6" t="str">
        <f>"ROSA 901"</f>
        <v>ROSA 901</v>
      </c>
      <c r="K2614" s="6" t="str">
        <f t="shared" si="609"/>
        <v>2020</v>
      </c>
      <c r="L2614" s="6" t="str">
        <f t="shared" si="610"/>
        <v>Lençóis</v>
      </c>
      <c r="M2614" s="6" t="str">
        <f t="shared" si="611"/>
        <v>100x150</v>
      </c>
      <c r="N2614" s="6" t="str">
        <f>"5602972281125"</f>
        <v>5602972281125</v>
      </c>
      <c r="O2614" s="8">
        <v>6</v>
      </c>
      <c r="R2614" s="8">
        <v>0</v>
      </c>
      <c r="U2614" s="8">
        <v>0</v>
      </c>
      <c r="X2614" s="8">
        <v>0</v>
      </c>
      <c r="Z2614" s="8">
        <v>0</v>
      </c>
      <c r="AC2614" s="8">
        <v>0</v>
      </c>
      <c r="AF2614" s="8">
        <v>0</v>
      </c>
      <c r="AN2614" s="8">
        <v>0</v>
      </c>
      <c r="AO2614" s="8">
        <v>6</v>
      </c>
    </row>
    <row r="2615" spans="1:41" x14ac:dyDescent="0.25">
      <c r="A2615" s="6" t="str">
        <f>"522-2026000293"</f>
        <v>522-2026000293</v>
      </c>
      <c r="B2615" s="6" t="str">
        <f t="shared" si="599"/>
        <v>EL CORTE</v>
      </c>
      <c r="C2615" s="7">
        <v>46038</v>
      </c>
      <c r="D2615" s="7">
        <v>46043</v>
      </c>
      <c r="E2615" s="8">
        <v>1</v>
      </c>
      <c r="F2615" s="6" t="str">
        <f>"94847401_07026"</f>
        <v>94847401_07026</v>
      </c>
      <c r="G2615" s="6" t="str">
        <f t="shared" si="600"/>
        <v>F310631650000000</v>
      </c>
      <c r="H2615" s="6" t="str">
        <f t="shared" si="601"/>
        <v>PLAR 6316 FD - 500 g</v>
      </c>
      <c r="I2615" s="6" t="str">
        <f>"201855"</f>
        <v>201855</v>
      </c>
      <c r="J2615" s="6" t="str">
        <f>"AZUL 1855"</f>
        <v>AZUL 1855</v>
      </c>
      <c r="K2615" s="6" t="str">
        <f t="shared" si="609"/>
        <v>2020</v>
      </c>
      <c r="L2615" s="6" t="str">
        <f t="shared" si="610"/>
        <v>Lençóis</v>
      </c>
      <c r="M2615" s="6" t="str">
        <f t="shared" si="611"/>
        <v>100x150</v>
      </c>
      <c r="N2615" s="6" t="str">
        <f>"5602972281064"</f>
        <v>5602972281064</v>
      </c>
      <c r="O2615" s="8">
        <v>9</v>
      </c>
      <c r="R2615" s="8">
        <v>0</v>
      </c>
      <c r="U2615" s="8">
        <v>0</v>
      </c>
      <c r="X2615" s="8">
        <v>0</v>
      </c>
      <c r="Z2615" s="8">
        <v>0</v>
      </c>
      <c r="AC2615" s="8">
        <v>0</v>
      </c>
      <c r="AF2615" s="8">
        <v>0</v>
      </c>
      <c r="AN2615" s="8">
        <v>0</v>
      </c>
      <c r="AO2615" s="8">
        <v>9</v>
      </c>
    </row>
    <row r="2616" spans="1:41" x14ac:dyDescent="0.25">
      <c r="A2616" s="6" t="str">
        <f>"522-2026000293"</f>
        <v>522-2026000293</v>
      </c>
      <c r="B2616" s="6" t="str">
        <f t="shared" si="599"/>
        <v>EL CORTE</v>
      </c>
      <c r="C2616" s="7">
        <v>46038</v>
      </c>
      <c r="D2616" s="7">
        <v>46043</v>
      </c>
      <c r="E2616" s="8">
        <v>2</v>
      </c>
      <c r="F2616" s="6" t="str">
        <f>"94847401_07026"</f>
        <v>94847401_07026</v>
      </c>
      <c r="G2616" s="6" t="str">
        <f t="shared" si="600"/>
        <v>F310631650000000</v>
      </c>
      <c r="H2616" s="6" t="str">
        <f t="shared" si="601"/>
        <v>PLAR 6316 FD - 500 g</v>
      </c>
      <c r="I2616" s="6" t="str">
        <f>"202575"</f>
        <v>202575</v>
      </c>
      <c r="J2616" s="6" t="str">
        <f>"BEGE 2575"</f>
        <v>BEGE 2575</v>
      </c>
      <c r="K2616" s="6" t="str">
        <f t="shared" si="609"/>
        <v>2020</v>
      </c>
      <c r="L2616" s="6" t="str">
        <f t="shared" si="610"/>
        <v>Lençóis</v>
      </c>
      <c r="M2616" s="6" t="str">
        <f t="shared" si="611"/>
        <v>100x150</v>
      </c>
      <c r="N2616" s="6" t="str">
        <f>"5602972281095"</f>
        <v>5602972281095</v>
      </c>
      <c r="O2616" s="8">
        <v>9</v>
      </c>
      <c r="R2616" s="8">
        <v>0</v>
      </c>
      <c r="U2616" s="8">
        <v>0</v>
      </c>
      <c r="X2616" s="8">
        <v>0</v>
      </c>
      <c r="Z2616" s="8">
        <v>0</v>
      </c>
      <c r="AC2616" s="8">
        <v>0</v>
      </c>
      <c r="AF2616" s="8">
        <v>0</v>
      </c>
      <c r="AN2616" s="8">
        <v>0</v>
      </c>
      <c r="AO2616" s="8">
        <v>9</v>
      </c>
    </row>
    <row r="2617" spans="1:41" x14ac:dyDescent="0.25">
      <c r="A2617" s="6" t="str">
        <f>"522-2026000293"</f>
        <v>522-2026000293</v>
      </c>
      <c r="B2617" s="6" t="str">
        <f t="shared" si="599"/>
        <v>EL CORTE</v>
      </c>
      <c r="C2617" s="7">
        <v>46038</v>
      </c>
      <c r="D2617" s="7">
        <v>46043</v>
      </c>
      <c r="E2617" s="8">
        <v>3</v>
      </c>
      <c r="F2617" s="6" t="str">
        <f>"94847401_07026"</f>
        <v>94847401_07026</v>
      </c>
      <c r="G2617" s="6" t="str">
        <f t="shared" si="600"/>
        <v>F310631650000000</v>
      </c>
      <c r="H2617" s="6" t="str">
        <f t="shared" si="601"/>
        <v>PLAR 6316 FD - 500 g</v>
      </c>
      <c r="I2617" s="6" t="str">
        <f>"200901"</f>
        <v>200901</v>
      </c>
      <c r="J2617" s="6" t="str">
        <f>"ROSA 901"</f>
        <v>ROSA 901</v>
      </c>
      <c r="K2617" s="6" t="str">
        <f t="shared" si="609"/>
        <v>2020</v>
      </c>
      <c r="L2617" s="6" t="str">
        <f t="shared" si="610"/>
        <v>Lençóis</v>
      </c>
      <c r="M2617" s="6" t="str">
        <f t="shared" si="611"/>
        <v>100x150</v>
      </c>
      <c r="N2617" s="6" t="str">
        <f>"5602972281125"</f>
        <v>5602972281125</v>
      </c>
      <c r="O2617" s="8">
        <v>6</v>
      </c>
      <c r="R2617" s="8">
        <v>0</v>
      </c>
      <c r="U2617" s="8">
        <v>0</v>
      </c>
      <c r="X2617" s="8">
        <v>0</v>
      </c>
      <c r="Z2617" s="8">
        <v>0</v>
      </c>
      <c r="AC2617" s="8">
        <v>0</v>
      </c>
      <c r="AF2617" s="8">
        <v>0</v>
      </c>
      <c r="AN2617" s="8">
        <v>0</v>
      </c>
      <c r="AO2617" s="8">
        <v>6</v>
      </c>
    </row>
    <row r="2618" spans="1:41" x14ac:dyDescent="0.25">
      <c r="A2618" s="6" t="str">
        <f>"522-2026000293"</f>
        <v>522-2026000293</v>
      </c>
      <c r="B2618" s="6" t="str">
        <f t="shared" si="599"/>
        <v>EL CORTE</v>
      </c>
      <c r="C2618" s="7">
        <v>46038</v>
      </c>
      <c r="D2618" s="7">
        <v>46043</v>
      </c>
      <c r="E2618" s="8">
        <v>4</v>
      </c>
      <c r="F2618" s="6" t="str">
        <f>"94847401_07026"</f>
        <v>94847401_07026</v>
      </c>
      <c r="G2618" s="6" t="str">
        <f t="shared" si="600"/>
        <v>F310631650000000</v>
      </c>
      <c r="H2618" s="6" t="str">
        <f t="shared" si="601"/>
        <v>PLAR 6316 FD - 500 g</v>
      </c>
      <c r="I2618" s="6" t="str">
        <f>"200510"</f>
        <v>200510</v>
      </c>
      <c r="J2618" s="6" t="str">
        <f>"VERDE 510"</f>
        <v>VERDE 510</v>
      </c>
      <c r="K2618" s="6" t="str">
        <f t="shared" si="609"/>
        <v>2020</v>
      </c>
      <c r="L2618" s="6" t="str">
        <f t="shared" si="610"/>
        <v>Lençóis</v>
      </c>
      <c r="M2618" s="6" t="str">
        <f t="shared" si="611"/>
        <v>100x150</v>
      </c>
      <c r="N2618" s="6" t="str">
        <f>"5602972281156"</f>
        <v>5602972281156</v>
      </c>
      <c r="O2618" s="8">
        <v>3</v>
      </c>
      <c r="R2618" s="8">
        <v>0</v>
      </c>
      <c r="U2618" s="8">
        <v>0</v>
      </c>
      <c r="X2618" s="8">
        <v>0</v>
      </c>
      <c r="Z2618" s="8">
        <v>0</v>
      </c>
      <c r="AC2618" s="8">
        <v>0</v>
      </c>
      <c r="AF2618" s="8">
        <v>0</v>
      </c>
      <c r="AN2618" s="8">
        <v>0</v>
      </c>
      <c r="AO2618" s="8">
        <v>3</v>
      </c>
    </row>
    <row r="2619" spans="1:41" x14ac:dyDescent="0.25">
      <c r="A2619" s="6" t="str">
        <f>"522-2026000294"</f>
        <v>522-2026000294</v>
      </c>
      <c r="B2619" s="6" t="str">
        <f t="shared" si="599"/>
        <v>EL CORTE</v>
      </c>
      <c r="C2619" s="7">
        <v>46038</v>
      </c>
      <c r="D2619" s="7">
        <v>46043</v>
      </c>
      <c r="E2619" s="8">
        <v>1</v>
      </c>
      <c r="F2619" s="6" t="str">
        <f>"94845801_07026"</f>
        <v>94845801_07026</v>
      </c>
      <c r="G2619" s="6" t="str">
        <f t="shared" si="600"/>
        <v>F310631650000000</v>
      </c>
      <c r="H2619" s="6" t="str">
        <f t="shared" si="601"/>
        <v>PLAR 6316 FD - 500 g</v>
      </c>
      <c r="I2619" s="6" t="str">
        <f>"201855"</f>
        <v>201855</v>
      </c>
      <c r="J2619" s="6" t="str">
        <f>"AZUL 1855"</f>
        <v>AZUL 1855</v>
      </c>
      <c r="K2619" s="6" t="str">
        <f t="shared" si="609"/>
        <v>2020</v>
      </c>
      <c r="L2619" s="6" t="str">
        <f t="shared" si="610"/>
        <v>Lençóis</v>
      </c>
      <c r="M2619" s="6" t="str">
        <f t="shared" si="611"/>
        <v>100x150</v>
      </c>
      <c r="N2619" s="6" t="str">
        <f>"5602972281064"</f>
        <v>5602972281064</v>
      </c>
      <c r="O2619" s="8">
        <v>3</v>
      </c>
      <c r="R2619" s="8">
        <v>0</v>
      </c>
      <c r="U2619" s="8">
        <v>0</v>
      </c>
      <c r="X2619" s="8">
        <v>0</v>
      </c>
      <c r="Z2619" s="8">
        <v>0</v>
      </c>
      <c r="AC2619" s="8">
        <v>0</v>
      </c>
      <c r="AF2619" s="8">
        <v>0</v>
      </c>
      <c r="AN2619" s="8">
        <v>0</v>
      </c>
      <c r="AO2619" s="8">
        <v>3</v>
      </c>
    </row>
    <row r="2620" spans="1:41" x14ac:dyDescent="0.25">
      <c r="A2620" s="6" t="str">
        <f>"522-2026000294"</f>
        <v>522-2026000294</v>
      </c>
      <c r="B2620" s="6" t="str">
        <f t="shared" si="599"/>
        <v>EL CORTE</v>
      </c>
      <c r="C2620" s="7">
        <v>46038</v>
      </c>
      <c r="D2620" s="7">
        <v>46043</v>
      </c>
      <c r="E2620" s="8">
        <v>2</v>
      </c>
      <c r="F2620" s="6" t="str">
        <f>"94845801_07026"</f>
        <v>94845801_07026</v>
      </c>
      <c r="G2620" s="6" t="str">
        <f t="shared" si="600"/>
        <v>F310631650000000</v>
      </c>
      <c r="H2620" s="6" t="str">
        <f t="shared" si="601"/>
        <v>PLAR 6316 FD - 500 g</v>
      </c>
      <c r="I2620" s="6" t="str">
        <f>"200510"</f>
        <v>200510</v>
      </c>
      <c r="J2620" s="6" t="str">
        <f>"VERDE 510"</f>
        <v>VERDE 510</v>
      </c>
      <c r="K2620" s="6" t="str">
        <f t="shared" si="609"/>
        <v>2020</v>
      </c>
      <c r="L2620" s="6" t="str">
        <f t="shared" si="610"/>
        <v>Lençóis</v>
      </c>
      <c r="M2620" s="6" t="str">
        <f t="shared" si="611"/>
        <v>100x150</v>
      </c>
      <c r="N2620" s="6" t="str">
        <f>"5602972281156"</f>
        <v>5602972281156</v>
      </c>
      <c r="O2620" s="8">
        <v>6</v>
      </c>
      <c r="R2620" s="8">
        <v>0</v>
      </c>
      <c r="U2620" s="8">
        <v>0</v>
      </c>
      <c r="X2620" s="8">
        <v>0</v>
      </c>
      <c r="Z2620" s="8">
        <v>0</v>
      </c>
      <c r="AC2620" s="8">
        <v>0</v>
      </c>
      <c r="AF2620" s="8">
        <v>0</v>
      </c>
      <c r="AN2620" s="8">
        <v>0</v>
      </c>
      <c r="AO2620" s="8">
        <v>6</v>
      </c>
    </row>
    <row r="2621" spans="1:41" x14ac:dyDescent="0.25">
      <c r="A2621" s="6" t="str">
        <f>"522-2026000295"</f>
        <v>522-2026000295</v>
      </c>
      <c r="B2621" s="6" t="str">
        <f t="shared" si="599"/>
        <v>EL CORTE</v>
      </c>
      <c r="C2621" s="7">
        <v>46038</v>
      </c>
      <c r="D2621" s="7">
        <v>46043</v>
      </c>
      <c r="E2621" s="8">
        <v>1</v>
      </c>
      <c r="F2621" s="6" t="str">
        <f>"94846401_07026"</f>
        <v>94846401_07026</v>
      </c>
      <c r="G2621" s="6" t="str">
        <f t="shared" si="600"/>
        <v>F310631650000000</v>
      </c>
      <c r="H2621" s="6" t="str">
        <f t="shared" si="601"/>
        <v>PLAR 6316 FD - 500 g</v>
      </c>
      <c r="I2621" s="6" t="str">
        <f>"200901"</f>
        <v>200901</v>
      </c>
      <c r="J2621" s="6" t="str">
        <f>"ROSA 901"</f>
        <v>ROSA 901</v>
      </c>
      <c r="K2621" s="6" t="str">
        <f>"1024"</f>
        <v>1024</v>
      </c>
      <c r="L2621" s="6" t="str">
        <f>"Toalhas"</f>
        <v>Toalhas</v>
      </c>
      <c r="M2621" s="6" t="str">
        <f>"50x100"</f>
        <v>50x100</v>
      </c>
      <c r="N2621" s="6" t="str">
        <f>"5602972281118"</f>
        <v>5602972281118</v>
      </c>
      <c r="O2621" s="8">
        <v>6</v>
      </c>
      <c r="R2621" s="8">
        <v>0</v>
      </c>
      <c r="U2621" s="8">
        <v>0</v>
      </c>
      <c r="X2621" s="8">
        <v>0</v>
      </c>
      <c r="Z2621" s="8">
        <v>0</v>
      </c>
      <c r="AC2621" s="8">
        <v>0</v>
      </c>
      <c r="AF2621" s="8">
        <v>0</v>
      </c>
      <c r="AN2621" s="8">
        <v>6</v>
      </c>
      <c r="AO2621" s="8">
        <v>0</v>
      </c>
    </row>
    <row r="2622" spans="1:41" x14ac:dyDescent="0.25">
      <c r="A2622" s="6" t="str">
        <f>"522-2026000296"</f>
        <v>522-2026000296</v>
      </c>
      <c r="B2622" s="6" t="str">
        <f t="shared" si="599"/>
        <v>EL CORTE</v>
      </c>
      <c r="C2622" s="7">
        <v>46038</v>
      </c>
      <c r="D2622" s="7">
        <v>46043</v>
      </c>
      <c r="E2622" s="8">
        <v>1</v>
      </c>
      <c r="F2622" s="6" t="str">
        <f>"94846201_07026"</f>
        <v>94846201_07026</v>
      </c>
      <c r="G2622" s="6" t="str">
        <f t="shared" si="600"/>
        <v>F310631650000000</v>
      </c>
      <c r="H2622" s="6" t="str">
        <f t="shared" si="601"/>
        <v>PLAR 6316 FD - 500 g</v>
      </c>
      <c r="I2622" s="6" t="str">
        <f>"201855"</f>
        <v>201855</v>
      </c>
      <c r="J2622" s="6" t="str">
        <f>"AZUL 1855"</f>
        <v>AZUL 1855</v>
      </c>
      <c r="K2622" s="6" t="str">
        <f>"2020"</f>
        <v>2020</v>
      </c>
      <c r="L2622" s="6" t="str">
        <f>"Lençóis"</f>
        <v>Lençóis</v>
      </c>
      <c r="M2622" s="6" t="str">
        <f>"100x150"</f>
        <v>100x150</v>
      </c>
      <c r="N2622" s="6" t="str">
        <f>"5602972281064"</f>
        <v>5602972281064</v>
      </c>
      <c r="O2622" s="8">
        <v>3</v>
      </c>
      <c r="R2622" s="8">
        <v>0</v>
      </c>
      <c r="U2622" s="8">
        <v>0</v>
      </c>
      <c r="X2622" s="8">
        <v>0</v>
      </c>
      <c r="Z2622" s="8">
        <v>0</v>
      </c>
      <c r="AC2622" s="8">
        <v>0</v>
      </c>
      <c r="AF2622" s="8">
        <v>0</v>
      </c>
      <c r="AN2622" s="8">
        <v>0</v>
      </c>
      <c r="AO2622" s="8">
        <v>3</v>
      </c>
    </row>
    <row r="2623" spans="1:41" x14ac:dyDescent="0.25">
      <c r="A2623" s="6" t="str">
        <f>"522-2026000296"</f>
        <v>522-2026000296</v>
      </c>
      <c r="B2623" s="6" t="str">
        <f t="shared" si="599"/>
        <v>EL CORTE</v>
      </c>
      <c r="C2623" s="7">
        <v>46038</v>
      </c>
      <c r="D2623" s="7">
        <v>46043</v>
      </c>
      <c r="E2623" s="8">
        <v>2</v>
      </c>
      <c r="F2623" s="6" t="str">
        <f>"94846201_07026"</f>
        <v>94846201_07026</v>
      </c>
      <c r="G2623" s="6" t="str">
        <f t="shared" si="600"/>
        <v>F310631650000000</v>
      </c>
      <c r="H2623" s="6" t="str">
        <f t="shared" si="601"/>
        <v>PLAR 6316 FD - 500 g</v>
      </c>
      <c r="I2623" s="6" t="str">
        <f>"202575"</f>
        <v>202575</v>
      </c>
      <c r="J2623" s="6" t="str">
        <f>"BEGE 2575"</f>
        <v>BEGE 2575</v>
      </c>
      <c r="K2623" s="6" t="str">
        <f>"2020"</f>
        <v>2020</v>
      </c>
      <c r="L2623" s="6" t="str">
        <f>"Lençóis"</f>
        <v>Lençóis</v>
      </c>
      <c r="M2623" s="6" t="str">
        <f>"100x150"</f>
        <v>100x150</v>
      </c>
      <c r="N2623" s="6" t="str">
        <f>"5602972281095"</f>
        <v>5602972281095</v>
      </c>
      <c r="O2623" s="8">
        <v>3</v>
      </c>
      <c r="R2623" s="8">
        <v>0</v>
      </c>
      <c r="U2623" s="8">
        <v>0</v>
      </c>
      <c r="X2623" s="8">
        <v>0</v>
      </c>
      <c r="Z2623" s="8">
        <v>0</v>
      </c>
      <c r="AC2623" s="8">
        <v>0</v>
      </c>
      <c r="AF2623" s="8">
        <v>0</v>
      </c>
      <c r="AN2623" s="8">
        <v>0</v>
      </c>
      <c r="AO2623" s="8">
        <v>3</v>
      </c>
    </row>
    <row r="2624" spans="1:41" x14ac:dyDescent="0.25">
      <c r="A2624" s="6" t="str">
        <f>"522-2026000297"</f>
        <v>522-2026000297</v>
      </c>
      <c r="B2624" s="6" t="str">
        <f t="shared" si="599"/>
        <v>EL CORTE</v>
      </c>
      <c r="C2624" s="7">
        <v>46038</v>
      </c>
      <c r="D2624" s="7">
        <v>46043</v>
      </c>
      <c r="E2624" s="8">
        <v>1</v>
      </c>
      <c r="F2624" s="6" t="str">
        <f>"94845601_07026"</f>
        <v>94845601_07026</v>
      </c>
      <c r="G2624" s="6" t="str">
        <f t="shared" si="600"/>
        <v>F310631650000000</v>
      </c>
      <c r="H2624" s="6" t="str">
        <f t="shared" si="601"/>
        <v>PLAR 6316 FD - 500 g</v>
      </c>
      <c r="I2624" s="6" t="str">
        <f>"201855"</f>
        <v>201855</v>
      </c>
      <c r="J2624" s="6" t="str">
        <f>"AZUL 1855"</f>
        <v>AZUL 1855</v>
      </c>
      <c r="K2624" s="6" t="str">
        <f>"2020"</f>
        <v>2020</v>
      </c>
      <c r="L2624" s="6" t="str">
        <f>"Lençóis"</f>
        <v>Lençóis</v>
      </c>
      <c r="M2624" s="6" t="str">
        <f>"100x150"</f>
        <v>100x150</v>
      </c>
      <c r="N2624" s="6" t="str">
        <f>"5602972281064"</f>
        <v>5602972281064</v>
      </c>
      <c r="O2624" s="8">
        <v>3</v>
      </c>
      <c r="R2624" s="8">
        <v>0</v>
      </c>
      <c r="U2624" s="8">
        <v>0</v>
      </c>
      <c r="X2624" s="8">
        <v>0</v>
      </c>
      <c r="Z2624" s="8">
        <v>0</v>
      </c>
      <c r="AC2624" s="8">
        <v>0</v>
      </c>
      <c r="AF2624" s="8">
        <v>0</v>
      </c>
      <c r="AN2624" s="8">
        <v>0</v>
      </c>
      <c r="AO2624" s="8">
        <v>3</v>
      </c>
    </row>
    <row r="2625" spans="1:41" x14ac:dyDescent="0.25">
      <c r="A2625" s="6" t="str">
        <f>"522-2026000297"</f>
        <v>522-2026000297</v>
      </c>
      <c r="B2625" s="6" t="str">
        <f t="shared" si="599"/>
        <v>EL CORTE</v>
      </c>
      <c r="C2625" s="7">
        <v>46038</v>
      </c>
      <c r="D2625" s="7">
        <v>46043</v>
      </c>
      <c r="E2625" s="8">
        <v>2</v>
      </c>
      <c r="F2625" s="6" t="str">
        <f>"94845601_07026"</f>
        <v>94845601_07026</v>
      </c>
      <c r="G2625" s="6" t="str">
        <f t="shared" si="600"/>
        <v>F310631650000000</v>
      </c>
      <c r="H2625" s="6" t="str">
        <f t="shared" si="601"/>
        <v>PLAR 6316 FD - 500 g</v>
      </c>
      <c r="I2625" s="6" t="str">
        <f>"202575"</f>
        <v>202575</v>
      </c>
      <c r="J2625" s="6" t="str">
        <f>"BEGE 2575"</f>
        <v>BEGE 2575</v>
      </c>
      <c r="K2625" s="6" t="str">
        <f>"1024"</f>
        <v>1024</v>
      </c>
      <c r="L2625" s="6" t="str">
        <f>"Toalhas"</f>
        <v>Toalhas</v>
      </c>
      <c r="M2625" s="6" t="str">
        <f>"50x100"</f>
        <v>50x100</v>
      </c>
      <c r="N2625" s="6" t="str">
        <f>"5602972281088"</f>
        <v>5602972281088</v>
      </c>
      <c r="O2625" s="8">
        <v>6</v>
      </c>
      <c r="R2625" s="8">
        <v>0</v>
      </c>
      <c r="U2625" s="8">
        <v>0</v>
      </c>
      <c r="X2625" s="8">
        <v>0</v>
      </c>
      <c r="Z2625" s="8">
        <v>0</v>
      </c>
      <c r="AC2625" s="8">
        <v>0</v>
      </c>
      <c r="AF2625" s="8">
        <v>0</v>
      </c>
      <c r="AN2625" s="8">
        <v>6</v>
      </c>
      <c r="AO2625" s="8">
        <v>0</v>
      </c>
    </row>
    <row r="2626" spans="1:41" x14ac:dyDescent="0.25">
      <c r="A2626" s="6" t="str">
        <f>"522-2026000297"</f>
        <v>522-2026000297</v>
      </c>
      <c r="B2626" s="6" t="str">
        <f t="shared" si="599"/>
        <v>EL CORTE</v>
      </c>
      <c r="C2626" s="7">
        <v>46038</v>
      </c>
      <c r="D2626" s="7">
        <v>46043</v>
      </c>
      <c r="E2626" s="8">
        <v>3</v>
      </c>
      <c r="F2626" s="6" t="str">
        <f>"94845601_07026"</f>
        <v>94845601_07026</v>
      </c>
      <c r="G2626" s="6" t="str">
        <f t="shared" si="600"/>
        <v>F310631650000000</v>
      </c>
      <c r="H2626" s="6" t="str">
        <f t="shared" si="601"/>
        <v>PLAR 6316 FD - 500 g</v>
      </c>
      <c r="I2626" s="6" t="str">
        <f>"202575"</f>
        <v>202575</v>
      </c>
      <c r="J2626" s="6" t="str">
        <f>"BEGE 2575"</f>
        <v>BEGE 2575</v>
      </c>
      <c r="K2626" s="6" t="str">
        <f>"2020"</f>
        <v>2020</v>
      </c>
      <c r="L2626" s="6" t="str">
        <f>"Lençóis"</f>
        <v>Lençóis</v>
      </c>
      <c r="M2626" s="6" t="str">
        <f>"100x150"</f>
        <v>100x150</v>
      </c>
      <c r="N2626" s="6" t="str">
        <f>"5602972281095"</f>
        <v>5602972281095</v>
      </c>
      <c r="O2626" s="8">
        <v>3</v>
      </c>
      <c r="R2626" s="8">
        <v>0</v>
      </c>
      <c r="U2626" s="8">
        <v>0</v>
      </c>
      <c r="X2626" s="8">
        <v>0</v>
      </c>
      <c r="Z2626" s="8">
        <v>0</v>
      </c>
      <c r="AC2626" s="8">
        <v>0</v>
      </c>
      <c r="AF2626" s="8">
        <v>0</v>
      </c>
      <c r="AN2626" s="8">
        <v>0</v>
      </c>
      <c r="AO2626" s="8">
        <v>3</v>
      </c>
    </row>
    <row r="2627" spans="1:41" x14ac:dyDescent="0.25">
      <c r="A2627" s="6" t="str">
        <f>"522-2026000297"</f>
        <v>522-2026000297</v>
      </c>
      <c r="B2627" s="6" t="str">
        <f t="shared" si="599"/>
        <v>EL CORTE</v>
      </c>
      <c r="C2627" s="7">
        <v>46038</v>
      </c>
      <c r="D2627" s="7">
        <v>46043</v>
      </c>
      <c r="E2627" s="8">
        <v>4</v>
      </c>
      <c r="F2627" s="6" t="str">
        <f>"94845601_07026"</f>
        <v>94845601_07026</v>
      </c>
      <c r="G2627" s="6" t="str">
        <f t="shared" si="600"/>
        <v>F310631650000000</v>
      </c>
      <c r="H2627" s="6" t="str">
        <f t="shared" si="601"/>
        <v>PLAR 6316 FD - 500 g</v>
      </c>
      <c r="I2627" s="6" t="str">
        <f>"200510"</f>
        <v>200510</v>
      </c>
      <c r="J2627" s="6" t="str">
        <f>"VERDE 510"</f>
        <v>VERDE 510</v>
      </c>
      <c r="K2627" s="6" t="str">
        <f>"2020"</f>
        <v>2020</v>
      </c>
      <c r="L2627" s="6" t="str">
        <f>"Lençóis"</f>
        <v>Lençóis</v>
      </c>
      <c r="M2627" s="6" t="str">
        <f>"100x150"</f>
        <v>100x150</v>
      </c>
      <c r="N2627" s="6" t="str">
        <f>"5602972281156"</f>
        <v>5602972281156</v>
      </c>
      <c r="O2627" s="8">
        <v>3</v>
      </c>
      <c r="R2627" s="8">
        <v>0</v>
      </c>
      <c r="U2627" s="8">
        <v>0</v>
      </c>
      <c r="X2627" s="8">
        <v>0</v>
      </c>
      <c r="Z2627" s="8">
        <v>0</v>
      </c>
      <c r="AC2627" s="8">
        <v>0</v>
      </c>
      <c r="AF2627" s="8">
        <v>0</v>
      </c>
      <c r="AN2627" s="8">
        <v>0</v>
      </c>
      <c r="AO2627" s="8">
        <v>3</v>
      </c>
    </row>
    <row r="2628" spans="1:41" x14ac:dyDescent="0.25">
      <c r="A2628" s="6" t="str">
        <f t="shared" ref="A2628:A2633" si="612">"522-2026000298"</f>
        <v>522-2026000298</v>
      </c>
      <c r="B2628" s="6" t="str">
        <f t="shared" si="599"/>
        <v>EL CORTE</v>
      </c>
      <c r="C2628" s="7">
        <v>46037</v>
      </c>
      <c r="D2628" s="7">
        <v>46042</v>
      </c>
      <c r="E2628" s="8">
        <v>1</v>
      </c>
      <c r="F2628" s="6" t="str">
        <f t="shared" ref="F2628:F2633" si="613">"94824901_07026"</f>
        <v>94824901_07026</v>
      </c>
      <c r="G2628" s="6" t="str">
        <f t="shared" si="600"/>
        <v>F310631650000000</v>
      </c>
      <c r="H2628" s="6" t="str">
        <f t="shared" si="601"/>
        <v>PLAR 6316 FD - 500 g</v>
      </c>
      <c r="I2628" s="6" t="str">
        <f>"201855"</f>
        <v>201855</v>
      </c>
      <c r="J2628" s="6" t="str">
        <f>"AZUL 1855"</f>
        <v>AZUL 1855</v>
      </c>
      <c r="K2628" s="6" t="str">
        <f>"0520"</f>
        <v>0520</v>
      </c>
      <c r="L2628" s="6" t="str">
        <f>"Toalhetes"</f>
        <v>Toalhetes</v>
      </c>
      <c r="M2628" s="6" t="str">
        <f>"30x50"</f>
        <v>30x50</v>
      </c>
      <c r="N2628" s="6" t="str">
        <f>"5602972281040"</f>
        <v>5602972281040</v>
      </c>
      <c r="O2628" s="8">
        <v>6</v>
      </c>
      <c r="R2628" s="8">
        <v>0</v>
      </c>
      <c r="U2628" s="8">
        <v>0</v>
      </c>
      <c r="X2628" s="8">
        <v>0</v>
      </c>
      <c r="Z2628" s="8">
        <v>0</v>
      </c>
      <c r="AC2628" s="8">
        <v>0</v>
      </c>
      <c r="AF2628" s="8">
        <v>0</v>
      </c>
      <c r="AN2628" s="8">
        <v>0</v>
      </c>
      <c r="AO2628" s="8">
        <v>6</v>
      </c>
    </row>
    <row r="2629" spans="1:41" x14ac:dyDescent="0.25">
      <c r="A2629" s="6" t="str">
        <f t="shared" si="612"/>
        <v>522-2026000298</v>
      </c>
      <c r="B2629" s="6" t="str">
        <f t="shared" si="599"/>
        <v>EL CORTE</v>
      </c>
      <c r="C2629" s="7">
        <v>46037</v>
      </c>
      <c r="D2629" s="7">
        <v>46042</v>
      </c>
      <c r="E2629" s="8">
        <v>2</v>
      </c>
      <c r="F2629" s="6" t="str">
        <f t="shared" si="613"/>
        <v>94824901_07026</v>
      </c>
      <c r="G2629" s="6" t="str">
        <f t="shared" si="600"/>
        <v>F310631650000000</v>
      </c>
      <c r="H2629" s="6" t="str">
        <f t="shared" si="601"/>
        <v>PLAR 6316 FD - 500 g</v>
      </c>
      <c r="I2629" s="6" t="str">
        <f>"201855"</f>
        <v>201855</v>
      </c>
      <c r="J2629" s="6" t="str">
        <f>"AZUL 1855"</f>
        <v>AZUL 1855</v>
      </c>
      <c r="K2629" s="6" t="str">
        <f>"1024"</f>
        <v>1024</v>
      </c>
      <c r="L2629" s="6" t="str">
        <f>"Toalhas"</f>
        <v>Toalhas</v>
      </c>
      <c r="M2629" s="6" t="str">
        <f>"50x100"</f>
        <v>50x100</v>
      </c>
      <c r="N2629" s="6" t="str">
        <f>"5602972281057"</f>
        <v>5602972281057</v>
      </c>
      <c r="O2629" s="8">
        <v>6</v>
      </c>
      <c r="R2629" s="8">
        <v>0</v>
      </c>
      <c r="U2629" s="8">
        <v>0</v>
      </c>
      <c r="X2629" s="8">
        <v>0</v>
      </c>
      <c r="Z2629" s="8">
        <v>0</v>
      </c>
      <c r="AC2629" s="8">
        <v>0</v>
      </c>
      <c r="AF2629" s="8">
        <v>0</v>
      </c>
      <c r="AN2629" s="8">
        <v>6</v>
      </c>
      <c r="AO2629" s="8">
        <v>0</v>
      </c>
    </row>
    <row r="2630" spans="1:41" x14ac:dyDescent="0.25">
      <c r="A2630" s="6" t="str">
        <f t="shared" si="612"/>
        <v>522-2026000298</v>
      </c>
      <c r="B2630" s="6" t="str">
        <f t="shared" si="599"/>
        <v>EL CORTE</v>
      </c>
      <c r="C2630" s="7">
        <v>46037</v>
      </c>
      <c r="D2630" s="7">
        <v>46042</v>
      </c>
      <c r="E2630" s="8">
        <v>3</v>
      </c>
      <c r="F2630" s="6" t="str">
        <f t="shared" si="613"/>
        <v>94824901_07026</v>
      </c>
      <c r="G2630" s="6" t="str">
        <f t="shared" si="600"/>
        <v>F310631650000000</v>
      </c>
      <c r="H2630" s="6" t="str">
        <f t="shared" si="601"/>
        <v>PLAR 6316 FD - 500 g</v>
      </c>
      <c r="I2630" s="6" t="str">
        <f>"201855"</f>
        <v>201855</v>
      </c>
      <c r="J2630" s="6" t="str">
        <f>"AZUL 1855"</f>
        <v>AZUL 1855</v>
      </c>
      <c r="K2630" s="6" t="str">
        <f>"2020"</f>
        <v>2020</v>
      </c>
      <c r="L2630" s="6" t="str">
        <f>"Lençóis"</f>
        <v>Lençóis</v>
      </c>
      <c r="M2630" s="6" t="str">
        <f>"100x150"</f>
        <v>100x150</v>
      </c>
      <c r="N2630" s="6" t="str">
        <f>"5602972281064"</f>
        <v>5602972281064</v>
      </c>
      <c r="O2630" s="8">
        <v>3</v>
      </c>
      <c r="R2630" s="8">
        <v>0</v>
      </c>
      <c r="U2630" s="8">
        <v>0</v>
      </c>
      <c r="X2630" s="8">
        <v>0</v>
      </c>
      <c r="Z2630" s="8">
        <v>0</v>
      </c>
      <c r="AC2630" s="8">
        <v>0</v>
      </c>
      <c r="AF2630" s="8">
        <v>0</v>
      </c>
      <c r="AN2630" s="8">
        <v>0</v>
      </c>
      <c r="AO2630" s="8">
        <v>3</v>
      </c>
    </row>
    <row r="2631" spans="1:41" x14ac:dyDescent="0.25">
      <c r="A2631" s="6" t="str">
        <f t="shared" si="612"/>
        <v>522-2026000298</v>
      </c>
      <c r="B2631" s="6" t="str">
        <f t="shared" ref="B2631:B2694" si="614">"EL CORTE"</f>
        <v>EL CORTE</v>
      </c>
      <c r="C2631" s="7">
        <v>46037</v>
      </c>
      <c r="D2631" s="7">
        <v>46042</v>
      </c>
      <c r="E2631" s="8">
        <v>4</v>
      </c>
      <c r="F2631" s="6" t="str">
        <f t="shared" si="613"/>
        <v>94824901_07026</v>
      </c>
      <c r="G2631" s="6" t="str">
        <f t="shared" ref="G2631:G2694" si="615">"F310631650000000"</f>
        <v>F310631650000000</v>
      </c>
      <c r="H2631" s="6" t="str">
        <f t="shared" ref="H2631:H2694" si="616">"PLAR 6316 FD - 500 g"</f>
        <v>PLAR 6316 FD - 500 g</v>
      </c>
      <c r="I2631" s="6" t="str">
        <f>"202575"</f>
        <v>202575</v>
      </c>
      <c r="J2631" s="6" t="str">
        <f>"BEGE 2575"</f>
        <v>BEGE 2575</v>
      </c>
      <c r="K2631" s="6" t="str">
        <f>"0520"</f>
        <v>0520</v>
      </c>
      <c r="L2631" s="6" t="str">
        <f>"Toalhetes"</f>
        <v>Toalhetes</v>
      </c>
      <c r="M2631" s="6" t="str">
        <f>"30x50"</f>
        <v>30x50</v>
      </c>
      <c r="N2631" s="6" t="str">
        <f>"5602972281071"</f>
        <v>5602972281071</v>
      </c>
      <c r="O2631" s="8">
        <v>6</v>
      </c>
      <c r="R2631" s="8">
        <v>0</v>
      </c>
      <c r="U2631" s="8">
        <v>0</v>
      </c>
      <c r="X2631" s="8">
        <v>0</v>
      </c>
      <c r="Z2631" s="8">
        <v>0</v>
      </c>
      <c r="AC2631" s="8">
        <v>0</v>
      </c>
      <c r="AF2631" s="8">
        <v>0</v>
      </c>
      <c r="AN2631" s="8">
        <v>6</v>
      </c>
      <c r="AO2631" s="8">
        <v>0</v>
      </c>
    </row>
    <row r="2632" spans="1:41" x14ac:dyDescent="0.25">
      <c r="A2632" s="6" t="str">
        <f t="shared" si="612"/>
        <v>522-2026000298</v>
      </c>
      <c r="B2632" s="6" t="str">
        <f t="shared" si="614"/>
        <v>EL CORTE</v>
      </c>
      <c r="C2632" s="7">
        <v>46037</v>
      </c>
      <c r="D2632" s="7">
        <v>46042</v>
      </c>
      <c r="E2632" s="8">
        <v>5</v>
      </c>
      <c r="F2632" s="6" t="str">
        <f t="shared" si="613"/>
        <v>94824901_07026</v>
      </c>
      <c r="G2632" s="6" t="str">
        <f t="shared" si="615"/>
        <v>F310631650000000</v>
      </c>
      <c r="H2632" s="6" t="str">
        <f t="shared" si="616"/>
        <v>PLAR 6316 FD - 500 g</v>
      </c>
      <c r="I2632" s="6" t="str">
        <f>"200901"</f>
        <v>200901</v>
      </c>
      <c r="J2632" s="6" t="str">
        <f>"ROSA 901"</f>
        <v>ROSA 901</v>
      </c>
      <c r="K2632" s="6" t="str">
        <f>"1024"</f>
        <v>1024</v>
      </c>
      <c r="L2632" s="6" t="str">
        <f>"Toalhas"</f>
        <v>Toalhas</v>
      </c>
      <c r="M2632" s="6" t="str">
        <f>"50x100"</f>
        <v>50x100</v>
      </c>
      <c r="N2632" s="6" t="str">
        <f>"5602972281118"</f>
        <v>5602972281118</v>
      </c>
      <c r="O2632" s="8">
        <v>6</v>
      </c>
      <c r="R2632" s="8">
        <v>0</v>
      </c>
      <c r="U2632" s="8">
        <v>0</v>
      </c>
      <c r="X2632" s="8">
        <v>0</v>
      </c>
      <c r="Z2632" s="8">
        <v>0</v>
      </c>
      <c r="AC2632" s="8">
        <v>0</v>
      </c>
      <c r="AF2632" s="8">
        <v>0</v>
      </c>
      <c r="AN2632" s="8">
        <v>6</v>
      </c>
      <c r="AO2632" s="8">
        <v>0</v>
      </c>
    </row>
    <row r="2633" spans="1:41" x14ac:dyDescent="0.25">
      <c r="A2633" s="6" t="str">
        <f t="shared" si="612"/>
        <v>522-2026000298</v>
      </c>
      <c r="B2633" s="6" t="str">
        <f t="shared" si="614"/>
        <v>EL CORTE</v>
      </c>
      <c r="C2633" s="7">
        <v>46037</v>
      </c>
      <c r="D2633" s="7">
        <v>46042</v>
      </c>
      <c r="E2633" s="8">
        <v>6</v>
      </c>
      <c r="F2633" s="6" t="str">
        <f t="shared" si="613"/>
        <v>94824901_07026</v>
      </c>
      <c r="G2633" s="6" t="str">
        <f t="shared" si="615"/>
        <v>F310631650000000</v>
      </c>
      <c r="H2633" s="6" t="str">
        <f t="shared" si="616"/>
        <v>PLAR 6316 FD - 500 g</v>
      </c>
      <c r="I2633" s="6" t="str">
        <f>"200510"</f>
        <v>200510</v>
      </c>
      <c r="J2633" s="6" t="str">
        <f>"VERDE 510"</f>
        <v>VERDE 510</v>
      </c>
      <c r="K2633" s="6" t="str">
        <f>"2020"</f>
        <v>2020</v>
      </c>
      <c r="L2633" s="6" t="str">
        <f>"Lençóis"</f>
        <v>Lençóis</v>
      </c>
      <c r="M2633" s="6" t="str">
        <f>"100x150"</f>
        <v>100x150</v>
      </c>
      <c r="N2633" s="6" t="str">
        <f>"5602972281156"</f>
        <v>5602972281156</v>
      </c>
      <c r="O2633" s="8">
        <v>6</v>
      </c>
      <c r="R2633" s="8">
        <v>0</v>
      </c>
      <c r="U2633" s="8">
        <v>0</v>
      </c>
      <c r="X2633" s="8">
        <v>0</v>
      </c>
      <c r="Z2633" s="8">
        <v>0</v>
      </c>
      <c r="AC2633" s="8">
        <v>0</v>
      </c>
      <c r="AF2633" s="8">
        <v>0</v>
      </c>
      <c r="AN2633" s="8">
        <v>0</v>
      </c>
      <c r="AO2633" s="8">
        <v>6</v>
      </c>
    </row>
    <row r="2634" spans="1:41" x14ac:dyDescent="0.25">
      <c r="A2634" s="6" t="str">
        <f t="shared" ref="A2634:A2643" si="617">"522-2026000299"</f>
        <v>522-2026000299</v>
      </c>
      <c r="B2634" s="6" t="str">
        <f t="shared" si="614"/>
        <v>EL CORTE</v>
      </c>
      <c r="C2634" s="7">
        <v>46037</v>
      </c>
      <c r="D2634" s="7">
        <v>46042</v>
      </c>
      <c r="E2634" s="8">
        <v>1</v>
      </c>
      <c r="F2634" s="6" t="str">
        <f t="shared" ref="F2634:F2643" si="618">"94824801_07026"</f>
        <v>94824801_07026</v>
      </c>
      <c r="G2634" s="6" t="str">
        <f t="shared" si="615"/>
        <v>F310631650000000</v>
      </c>
      <c r="H2634" s="6" t="str">
        <f t="shared" si="616"/>
        <v>PLAR 6316 FD - 500 g</v>
      </c>
      <c r="I2634" s="6" t="str">
        <f>"201855"</f>
        <v>201855</v>
      </c>
      <c r="J2634" s="6" t="str">
        <f>"AZUL 1855"</f>
        <v>AZUL 1855</v>
      </c>
      <c r="K2634" s="6" t="str">
        <f>"0520"</f>
        <v>0520</v>
      </c>
      <c r="L2634" s="6" t="str">
        <f>"Toalhetes"</f>
        <v>Toalhetes</v>
      </c>
      <c r="M2634" s="6" t="str">
        <f>"30x50"</f>
        <v>30x50</v>
      </c>
      <c r="N2634" s="6" t="str">
        <f>"5602972281040"</f>
        <v>5602972281040</v>
      </c>
      <c r="O2634" s="8">
        <v>6</v>
      </c>
      <c r="R2634" s="8">
        <v>0</v>
      </c>
      <c r="U2634" s="8">
        <v>0</v>
      </c>
      <c r="X2634" s="8">
        <v>0</v>
      </c>
      <c r="Z2634" s="8">
        <v>0</v>
      </c>
      <c r="AC2634" s="8">
        <v>0</v>
      </c>
      <c r="AF2634" s="8">
        <v>0</v>
      </c>
      <c r="AN2634" s="8">
        <v>0</v>
      </c>
      <c r="AO2634" s="8">
        <v>6</v>
      </c>
    </row>
    <row r="2635" spans="1:41" x14ac:dyDescent="0.25">
      <c r="A2635" s="6" t="str">
        <f t="shared" si="617"/>
        <v>522-2026000299</v>
      </c>
      <c r="B2635" s="6" t="str">
        <f t="shared" si="614"/>
        <v>EL CORTE</v>
      </c>
      <c r="C2635" s="7">
        <v>46037</v>
      </c>
      <c r="D2635" s="7">
        <v>46042</v>
      </c>
      <c r="E2635" s="8">
        <v>2</v>
      </c>
      <c r="F2635" s="6" t="str">
        <f t="shared" si="618"/>
        <v>94824801_07026</v>
      </c>
      <c r="G2635" s="6" t="str">
        <f t="shared" si="615"/>
        <v>F310631650000000</v>
      </c>
      <c r="H2635" s="6" t="str">
        <f t="shared" si="616"/>
        <v>PLAR 6316 FD - 500 g</v>
      </c>
      <c r="I2635" s="6" t="str">
        <f>"201855"</f>
        <v>201855</v>
      </c>
      <c r="J2635" s="6" t="str">
        <f>"AZUL 1855"</f>
        <v>AZUL 1855</v>
      </c>
      <c r="K2635" s="6" t="str">
        <f>"1024"</f>
        <v>1024</v>
      </c>
      <c r="L2635" s="6" t="str">
        <f>"Toalhas"</f>
        <v>Toalhas</v>
      </c>
      <c r="M2635" s="6" t="str">
        <f>"50x100"</f>
        <v>50x100</v>
      </c>
      <c r="N2635" s="6" t="str">
        <f>"5602972281057"</f>
        <v>5602972281057</v>
      </c>
      <c r="O2635" s="8">
        <v>6</v>
      </c>
      <c r="R2635" s="8">
        <v>0</v>
      </c>
      <c r="U2635" s="8">
        <v>0</v>
      </c>
      <c r="X2635" s="8">
        <v>0</v>
      </c>
      <c r="Z2635" s="8">
        <v>0</v>
      </c>
      <c r="AC2635" s="8">
        <v>0</v>
      </c>
      <c r="AF2635" s="8">
        <v>0</v>
      </c>
      <c r="AN2635" s="8">
        <v>6</v>
      </c>
      <c r="AO2635" s="8">
        <v>0</v>
      </c>
    </row>
    <row r="2636" spans="1:41" x14ac:dyDescent="0.25">
      <c r="A2636" s="6" t="str">
        <f t="shared" si="617"/>
        <v>522-2026000299</v>
      </c>
      <c r="B2636" s="6" t="str">
        <f t="shared" si="614"/>
        <v>EL CORTE</v>
      </c>
      <c r="C2636" s="7">
        <v>46037</v>
      </c>
      <c r="D2636" s="7">
        <v>46042</v>
      </c>
      <c r="E2636" s="8">
        <v>3</v>
      </c>
      <c r="F2636" s="6" t="str">
        <f t="shared" si="618"/>
        <v>94824801_07026</v>
      </c>
      <c r="G2636" s="6" t="str">
        <f t="shared" si="615"/>
        <v>F310631650000000</v>
      </c>
      <c r="H2636" s="6" t="str">
        <f t="shared" si="616"/>
        <v>PLAR 6316 FD - 500 g</v>
      </c>
      <c r="I2636" s="6" t="str">
        <f>"202575"</f>
        <v>202575</v>
      </c>
      <c r="J2636" s="6" t="str">
        <f>"BEGE 2575"</f>
        <v>BEGE 2575</v>
      </c>
      <c r="K2636" s="6" t="str">
        <f>"0520"</f>
        <v>0520</v>
      </c>
      <c r="L2636" s="6" t="str">
        <f>"Toalhetes"</f>
        <v>Toalhetes</v>
      </c>
      <c r="M2636" s="6" t="str">
        <f>"30x50"</f>
        <v>30x50</v>
      </c>
      <c r="N2636" s="6" t="str">
        <f>"5602972281071"</f>
        <v>5602972281071</v>
      </c>
      <c r="O2636" s="8">
        <v>6</v>
      </c>
      <c r="R2636" s="8">
        <v>0</v>
      </c>
      <c r="U2636" s="8">
        <v>0</v>
      </c>
      <c r="X2636" s="8">
        <v>0</v>
      </c>
      <c r="Z2636" s="8">
        <v>0</v>
      </c>
      <c r="AC2636" s="8">
        <v>0</v>
      </c>
      <c r="AF2636" s="8">
        <v>0</v>
      </c>
      <c r="AN2636" s="8">
        <v>6</v>
      </c>
      <c r="AO2636" s="8">
        <v>0</v>
      </c>
    </row>
    <row r="2637" spans="1:41" x14ac:dyDescent="0.25">
      <c r="A2637" s="6" t="str">
        <f t="shared" si="617"/>
        <v>522-2026000299</v>
      </c>
      <c r="B2637" s="6" t="str">
        <f t="shared" si="614"/>
        <v>EL CORTE</v>
      </c>
      <c r="C2637" s="7">
        <v>46037</v>
      </c>
      <c r="D2637" s="7">
        <v>46042</v>
      </c>
      <c r="E2637" s="8">
        <v>4</v>
      </c>
      <c r="F2637" s="6" t="str">
        <f t="shared" si="618"/>
        <v>94824801_07026</v>
      </c>
      <c r="G2637" s="6" t="str">
        <f t="shared" si="615"/>
        <v>F310631650000000</v>
      </c>
      <c r="H2637" s="6" t="str">
        <f t="shared" si="616"/>
        <v>PLAR 6316 FD - 500 g</v>
      </c>
      <c r="I2637" s="6" t="str">
        <f>"202575"</f>
        <v>202575</v>
      </c>
      <c r="J2637" s="6" t="str">
        <f>"BEGE 2575"</f>
        <v>BEGE 2575</v>
      </c>
      <c r="K2637" s="6" t="str">
        <f>"2020"</f>
        <v>2020</v>
      </c>
      <c r="L2637" s="6" t="str">
        <f>"Lençóis"</f>
        <v>Lençóis</v>
      </c>
      <c r="M2637" s="6" t="str">
        <f>"100x150"</f>
        <v>100x150</v>
      </c>
      <c r="N2637" s="6" t="str">
        <f>"5602972281095"</f>
        <v>5602972281095</v>
      </c>
      <c r="O2637" s="8">
        <v>6</v>
      </c>
      <c r="R2637" s="8">
        <v>0</v>
      </c>
      <c r="U2637" s="8">
        <v>0</v>
      </c>
      <c r="X2637" s="8">
        <v>0</v>
      </c>
      <c r="Z2637" s="8">
        <v>0</v>
      </c>
      <c r="AC2637" s="8">
        <v>0</v>
      </c>
      <c r="AF2637" s="8">
        <v>0</v>
      </c>
      <c r="AN2637" s="8">
        <v>0</v>
      </c>
      <c r="AO2637" s="8">
        <v>6</v>
      </c>
    </row>
    <row r="2638" spans="1:41" x14ac:dyDescent="0.25">
      <c r="A2638" s="6" t="str">
        <f t="shared" si="617"/>
        <v>522-2026000299</v>
      </c>
      <c r="B2638" s="6" t="str">
        <f t="shared" si="614"/>
        <v>EL CORTE</v>
      </c>
      <c r="C2638" s="7">
        <v>46037</v>
      </c>
      <c r="D2638" s="7">
        <v>46042</v>
      </c>
      <c r="E2638" s="8">
        <v>5</v>
      </c>
      <c r="F2638" s="6" t="str">
        <f t="shared" si="618"/>
        <v>94824801_07026</v>
      </c>
      <c r="G2638" s="6" t="str">
        <f t="shared" si="615"/>
        <v>F310631650000000</v>
      </c>
      <c r="H2638" s="6" t="str">
        <f t="shared" si="616"/>
        <v>PLAR 6316 FD - 500 g</v>
      </c>
      <c r="I2638" s="6" t="str">
        <f>"200901"</f>
        <v>200901</v>
      </c>
      <c r="J2638" s="6" t="str">
        <f>"ROSA 901"</f>
        <v>ROSA 901</v>
      </c>
      <c r="K2638" s="6" t="str">
        <f>"0520"</f>
        <v>0520</v>
      </c>
      <c r="L2638" s="6" t="str">
        <f>"Toalhetes"</f>
        <v>Toalhetes</v>
      </c>
      <c r="M2638" s="6" t="str">
        <f>"30x50"</f>
        <v>30x50</v>
      </c>
      <c r="N2638" s="6" t="str">
        <f>"5602972281101"</f>
        <v>5602972281101</v>
      </c>
      <c r="O2638" s="8">
        <v>6</v>
      </c>
      <c r="R2638" s="8">
        <v>0</v>
      </c>
      <c r="U2638" s="8">
        <v>0</v>
      </c>
      <c r="X2638" s="8">
        <v>0</v>
      </c>
      <c r="Z2638" s="8">
        <v>0</v>
      </c>
      <c r="AC2638" s="8">
        <v>0</v>
      </c>
      <c r="AF2638" s="8">
        <v>0</v>
      </c>
      <c r="AN2638" s="8">
        <v>0</v>
      </c>
      <c r="AO2638" s="8">
        <v>6</v>
      </c>
    </row>
    <row r="2639" spans="1:41" x14ac:dyDescent="0.25">
      <c r="A2639" s="6" t="str">
        <f t="shared" si="617"/>
        <v>522-2026000299</v>
      </c>
      <c r="B2639" s="6" t="str">
        <f t="shared" si="614"/>
        <v>EL CORTE</v>
      </c>
      <c r="C2639" s="7">
        <v>46037</v>
      </c>
      <c r="D2639" s="7">
        <v>46042</v>
      </c>
      <c r="E2639" s="8">
        <v>6</v>
      </c>
      <c r="F2639" s="6" t="str">
        <f t="shared" si="618"/>
        <v>94824801_07026</v>
      </c>
      <c r="G2639" s="6" t="str">
        <f t="shared" si="615"/>
        <v>F310631650000000</v>
      </c>
      <c r="H2639" s="6" t="str">
        <f t="shared" si="616"/>
        <v>PLAR 6316 FD - 500 g</v>
      </c>
      <c r="I2639" s="6" t="str">
        <f>"200901"</f>
        <v>200901</v>
      </c>
      <c r="J2639" s="6" t="str">
        <f>"ROSA 901"</f>
        <v>ROSA 901</v>
      </c>
      <c r="K2639" s="6" t="str">
        <f>"1024"</f>
        <v>1024</v>
      </c>
      <c r="L2639" s="6" t="str">
        <f>"Toalhas"</f>
        <v>Toalhas</v>
      </c>
      <c r="M2639" s="6" t="str">
        <f>"50x100"</f>
        <v>50x100</v>
      </c>
      <c r="N2639" s="6" t="str">
        <f>"5602972281118"</f>
        <v>5602972281118</v>
      </c>
      <c r="O2639" s="8">
        <v>6</v>
      </c>
      <c r="R2639" s="8">
        <v>0</v>
      </c>
      <c r="U2639" s="8">
        <v>0</v>
      </c>
      <c r="X2639" s="8">
        <v>0</v>
      </c>
      <c r="Z2639" s="8">
        <v>0</v>
      </c>
      <c r="AC2639" s="8">
        <v>0</v>
      </c>
      <c r="AF2639" s="8">
        <v>0</v>
      </c>
      <c r="AN2639" s="8">
        <v>6</v>
      </c>
      <c r="AO2639" s="8">
        <v>0</v>
      </c>
    </row>
    <row r="2640" spans="1:41" x14ac:dyDescent="0.25">
      <c r="A2640" s="6" t="str">
        <f t="shared" si="617"/>
        <v>522-2026000299</v>
      </c>
      <c r="B2640" s="6" t="str">
        <f t="shared" si="614"/>
        <v>EL CORTE</v>
      </c>
      <c r="C2640" s="7">
        <v>46037</v>
      </c>
      <c r="D2640" s="7">
        <v>46042</v>
      </c>
      <c r="E2640" s="8">
        <v>7</v>
      </c>
      <c r="F2640" s="6" t="str">
        <f t="shared" si="618"/>
        <v>94824801_07026</v>
      </c>
      <c r="G2640" s="6" t="str">
        <f t="shared" si="615"/>
        <v>F310631650000000</v>
      </c>
      <c r="H2640" s="6" t="str">
        <f t="shared" si="616"/>
        <v>PLAR 6316 FD - 500 g</v>
      </c>
      <c r="I2640" s="6" t="str">
        <f>"200901"</f>
        <v>200901</v>
      </c>
      <c r="J2640" s="6" t="str">
        <f>"ROSA 901"</f>
        <v>ROSA 901</v>
      </c>
      <c r="K2640" s="6" t="str">
        <f>"2020"</f>
        <v>2020</v>
      </c>
      <c r="L2640" s="6" t="str">
        <f>"Lençóis"</f>
        <v>Lençóis</v>
      </c>
      <c r="M2640" s="6" t="str">
        <f>"100x150"</f>
        <v>100x150</v>
      </c>
      <c r="N2640" s="6" t="str">
        <f>"5602972281125"</f>
        <v>5602972281125</v>
      </c>
      <c r="O2640" s="8">
        <v>3</v>
      </c>
      <c r="R2640" s="8">
        <v>0</v>
      </c>
      <c r="U2640" s="8">
        <v>0</v>
      </c>
      <c r="X2640" s="8">
        <v>0</v>
      </c>
      <c r="Z2640" s="8">
        <v>0</v>
      </c>
      <c r="AC2640" s="8">
        <v>0</v>
      </c>
      <c r="AF2640" s="8">
        <v>0</v>
      </c>
      <c r="AN2640" s="8">
        <v>0</v>
      </c>
      <c r="AO2640" s="8">
        <v>3</v>
      </c>
    </row>
    <row r="2641" spans="1:41" x14ac:dyDescent="0.25">
      <c r="A2641" s="6" t="str">
        <f t="shared" si="617"/>
        <v>522-2026000299</v>
      </c>
      <c r="B2641" s="6" t="str">
        <f t="shared" si="614"/>
        <v>EL CORTE</v>
      </c>
      <c r="C2641" s="7">
        <v>46037</v>
      </c>
      <c r="D2641" s="7">
        <v>46042</v>
      </c>
      <c r="E2641" s="8">
        <v>8</v>
      </c>
      <c r="F2641" s="6" t="str">
        <f t="shared" si="618"/>
        <v>94824801_07026</v>
      </c>
      <c r="G2641" s="6" t="str">
        <f t="shared" si="615"/>
        <v>F310631650000000</v>
      </c>
      <c r="H2641" s="6" t="str">
        <f t="shared" si="616"/>
        <v>PLAR 6316 FD - 500 g</v>
      </c>
      <c r="I2641" s="6" t="str">
        <f>"200510"</f>
        <v>200510</v>
      </c>
      <c r="J2641" s="6" t="str">
        <f>"VERDE 510"</f>
        <v>VERDE 510</v>
      </c>
      <c r="K2641" s="6" t="str">
        <f>"0520"</f>
        <v>0520</v>
      </c>
      <c r="L2641" s="6" t="str">
        <f>"Toalhetes"</f>
        <v>Toalhetes</v>
      </c>
      <c r="M2641" s="6" t="str">
        <f>"30x50"</f>
        <v>30x50</v>
      </c>
      <c r="N2641" s="6" t="str">
        <f>"5602972281132"</f>
        <v>5602972281132</v>
      </c>
      <c r="O2641" s="8">
        <v>6</v>
      </c>
      <c r="R2641" s="8">
        <v>0</v>
      </c>
      <c r="U2641" s="8">
        <v>0</v>
      </c>
      <c r="X2641" s="8">
        <v>0</v>
      </c>
      <c r="Z2641" s="8">
        <v>0</v>
      </c>
      <c r="AC2641" s="8">
        <v>0</v>
      </c>
      <c r="AF2641" s="8">
        <v>0</v>
      </c>
      <c r="AN2641" s="8">
        <v>0</v>
      </c>
      <c r="AO2641" s="8">
        <v>6</v>
      </c>
    </row>
    <row r="2642" spans="1:41" x14ac:dyDescent="0.25">
      <c r="A2642" s="6" t="str">
        <f t="shared" si="617"/>
        <v>522-2026000299</v>
      </c>
      <c r="B2642" s="6" t="str">
        <f t="shared" si="614"/>
        <v>EL CORTE</v>
      </c>
      <c r="C2642" s="7">
        <v>46037</v>
      </c>
      <c r="D2642" s="7">
        <v>46042</v>
      </c>
      <c r="E2642" s="8">
        <v>9</v>
      </c>
      <c r="F2642" s="6" t="str">
        <f t="shared" si="618"/>
        <v>94824801_07026</v>
      </c>
      <c r="G2642" s="6" t="str">
        <f t="shared" si="615"/>
        <v>F310631650000000</v>
      </c>
      <c r="H2642" s="6" t="str">
        <f t="shared" si="616"/>
        <v>PLAR 6316 FD - 500 g</v>
      </c>
      <c r="I2642" s="6" t="str">
        <f>"200510"</f>
        <v>200510</v>
      </c>
      <c r="J2642" s="6" t="str">
        <f>"VERDE 510"</f>
        <v>VERDE 510</v>
      </c>
      <c r="K2642" s="6" t="str">
        <f>"1024"</f>
        <v>1024</v>
      </c>
      <c r="L2642" s="6" t="str">
        <f>"Toalhas"</f>
        <v>Toalhas</v>
      </c>
      <c r="M2642" s="6" t="str">
        <f>"50x100"</f>
        <v>50x100</v>
      </c>
      <c r="N2642" s="6" t="str">
        <f>"5602972281149"</f>
        <v>5602972281149</v>
      </c>
      <c r="O2642" s="8">
        <v>6</v>
      </c>
      <c r="R2642" s="8">
        <v>0</v>
      </c>
      <c r="U2642" s="8">
        <v>0</v>
      </c>
      <c r="X2642" s="8">
        <v>0</v>
      </c>
      <c r="Z2642" s="8">
        <v>0</v>
      </c>
      <c r="AC2642" s="8">
        <v>0</v>
      </c>
      <c r="AF2642" s="8">
        <v>0</v>
      </c>
      <c r="AN2642" s="8">
        <v>6</v>
      </c>
      <c r="AO2642" s="8">
        <v>0</v>
      </c>
    </row>
    <row r="2643" spans="1:41" x14ac:dyDescent="0.25">
      <c r="A2643" s="6" t="str">
        <f t="shared" si="617"/>
        <v>522-2026000299</v>
      </c>
      <c r="B2643" s="6" t="str">
        <f t="shared" si="614"/>
        <v>EL CORTE</v>
      </c>
      <c r="C2643" s="7">
        <v>46037</v>
      </c>
      <c r="D2643" s="7">
        <v>46042</v>
      </c>
      <c r="E2643" s="8">
        <v>10</v>
      </c>
      <c r="F2643" s="6" t="str">
        <f t="shared" si="618"/>
        <v>94824801_07026</v>
      </c>
      <c r="G2643" s="6" t="str">
        <f t="shared" si="615"/>
        <v>F310631650000000</v>
      </c>
      <c r="H2643" s="6" t="str">
        <f t="shared" si="616"/>
        <v>PLAR 6316 FD - 500 g</v>
      </c>
      <c r="I2643" s="6" t="str">
        <f>"200510"</f>
        <v>200510</v>
      </c>
      <c r="J2643" s="6" t="str">
        <f>"VERDE 510"</f>
        <v>VERDE 510</v>
      </c>
      <c r="K2643" s="6" t="str">
        <f>"2020"</f>
        <v>2020</v>
      </c>
      <c r="L2643" s="6" t="str">
        <f>"Lençóis"</f>
        <v>Lençóis</v>
      </c>
      <c r="M2643" s="6" t="str">
        <f>"100x150"</f>
        <v>100x150</v>
      </c>
      <c r="N2643" s="6" t="str">
        <f>"5602972281156"</f>
        <v>5602972281156</v>
      </c>
      <c r="O2643" s="8">
        <v>6</v>
      </c>
      <c r="R2643" s="8">
        <v>0</v>
      </c>
      <c r="U2643" s="8">
        <v>0</v>
      </c>
      <c r="X2643" s="8">
        <v>0</v>
      </c>
      <c r="Z2643" s="8">
        <v>0</v>
      </c>
      <c r="AC2643" s="8">
        <v>0</v>
      </c>
      <c r="AF2643" s="8">
        <v>0</v>
      </c>
      <c r="AN2643" s="8">
        <v>0</v>
      </c>
      <c r="AO2643" s="8">
        <v>6</v>
      </c>
    </row>
    <row r="2644" spans="1:41" x14ac:dyDescent="0.25">
      <c r="A2644" s="6" t="str">
        <f t="shared" ref="A2644:A2650" si="619">"522-2026000300"</f>
        <v>522-2026000300</v>
      </c>
      <c r="B2644" s="6" t="str">
        <f t="shared" si="614"/>
        <v>EL CORTE</v>
      </c>
      <c r="C2644" s="7">
        <v>46041</v>
      </c>
      <c r="D2644" s="7">
        <v>46044</v>
      </c>
      <c r="E2644" s="8">
        <v>1</v>
      </c>
      <c r="F2644" s="6" t="str">
        <f t="shared" ref="F2644:F2650" si="620">"94857101_07026"</f>
        <v>94857101_07026</v>
      </c>
      <c r="G2644" s="6" t="str">
        <f t="shared" si="615"/>
        <v>F310631650000000</v>
      </c>
      <c r="H2644" s="6" t="str">
        <f t="shared" si="616"/>
        <v>PLAR 6316 FD - 500 g</v>
      </c>
      <c r="I2644" s="6" t="str">
        <f>"202575"</f>
        <v>202575</v>
      </c>
      <c r="J2644" s="6" t="str">
        <f>"BEGE 2575"</f>
        <v>BEGE 2575</v>
      </c>
      <c r="K2644" s="6" t="str">
        <f>"2020"</f>
        <v>2020</v>
      </c>
      <c r="L2644" s="6" t="str">
        <f>"Lençóis"</f>
        <v>Lençóis</v>
      </c>
      <c r="M2644" s="6" t="str">
        <f>"100x150"</f>
        <v>100x150</v>
      </c>
      <c r="N2644" s="6" t="str">
        <f>"5602972281095"</f>
        <v>5602972281095</v>
      </c>
      <c r="O2644" s="8">
        <v>12</v>
      </c>
      <c r="R2644" s="8">
        <v>0</v>
      </c>
      <c r="U2644" s="8">
        <v>0</v>
      </c>
      <c r="X2644" s="8">
        <v>0</v>
      </c>
      <c r="Z2644" s="8">
        <v>0</v>
      </c>
      <c r="AC2644" s="8">
        <v>0</v>
      </c>
      <c r="AF2644" s="8">
        <v>0</v>
      </c>
      <c r="AN2644" s="8">
        <v>0</v>
      </c>
      <c r="AO2644" s="8">
        <v>12</v>
      </c>
    </row>
    <row r="2645" spans="1:41" x14ac:dyDescent="0.25">
      <c r="A2645" s="6" t="str">
        <f t="shared" si="619"/>
        <v>522-2026000300</v>
      </c>
      <c r="B2645" s="6" t="str">
        <f t="shared" si="614"/>
        <v>EL CORTE</v>
      </c>
      <c r="C2645" s="7">
        <v>46041</v>
      </c>
      <c r="D2645" s="7">
        <v>46044</v>
      </c>
      <c r="E2645" s="8">
        <v>2</v>
      </c>
      <c r="F2645" s="6" t="str">
        <f t="shared" si="620"/>
        <v>94857101_07026</v>
      </c>
      <c r="G2645" s="6" t="str">
        <f t="shared" si="615"/>
        <v>F310631650000000</v>
      </c>
      <c r="H2645" s="6" t="str">
        <f t="shared" si="616"/>
        <v>PLAR 6316 FD - 500 g</v>
      </c>
      <c r="I2645" s="6" t="str">
        <f>"200901"</f>
        <v>200901</v>
      </c>
      <c r="J2645" s="6" t="str">
        <f>"ROSA 901"</f>
        <v>ROSA 901</v>
      </c>
      <c r="K2645" s="6" t="str">
        <f>"0520"</f>
        <v>0520</v>
      </c>
      <c r="L2645" s="6" t="str">
        <f>"Toalhetes"</f>
        <v>Toalhetes</v>
      </c>
      <c r="M2645" s="6" t="str">
        <f>"30x50"</f>
        <v>30x50</v>
      </c>
      <c r="N2645" s="6" t="str">
        <f>"5602972281101"</f>
        <v>5602972281101</v>
      </c>
      <c r="O2645" s="8">
        <v>6</v>
      </c>
      <c r="R2645" s="8">
        <v>0</v>
      </c>
      <c r="U2645" s="8">
        <v>0</v>
      </c>
      <c r="X2645" s="8">
        <v>0</v>
      </c>
      <c r="Z2645" s="8">
        <v>0</v>
      </c>
      <c r="AC2645" s="8">
        <v>0</v>
      </c>
      <c r="AF2645" s="8">
        <v>0</v>
      </c>
      <c r="AN2645" s="8">
        <v>0</v>
      </c>
      <c r="AO2645" s="8">
        <v>6</v>
      </c>
    </row>
    <row r="2646" spans="1:41" x14ac:dyDescent="0.25">
      <c r="A2646" s="6" t="str">
        <f t="shared" si="619"/>
        <v>522-2026000300</v>
      </c>
      <c r="B2646" s="6" t="str">
        <f t="shared" si="614"/>
        <v>EL CORTE</v>
      </c>
      <c r="C2646" s="7">
        <v>46041</v>
      </c>
      <c r="D2646" s="7">
        <v>46044</v>
      </c>
      <c r="E2646" s="8">
        <v>3</v>
      </c>
      <c r="F2646" s="6" t="str">
        <f t="shared" si="620"/>
        <v>94857101_07026</v>
      </c>
      <c r="G2646" s="6" t="str">
        <f t="shared" si="615"/>
        <v>F310631650000000</v>
      </c>
      <c r="H2646" s="6" t="str">
        <f t="shared" si="616"/>
        <v>PLAR 6316 FD - 500 g</v>
      </c>
      <c r="I2646" s="6" t="str">
        <f>"200901"</f>
        <v>200901</v>
      </c>
      <c r="J2646" s="6" t="str">
        <f>"ROSA 901"</f>
        <v>ROSA 901</v>
      </c>
      <c r="K2646" s="6" t="str">
        <f>"1024"</f>
        <v>1024</v>
      </c>
      <c r="L2646" s="6" t="str">
        <f>"Toalhas"</f>
        <v>Toalhas</v>
      </c>
      <c r="M2646" s="6" t="str">
        <f>"50x100"</f>
        <v>50x100</v>
      </c>
      <c r="N2646" s="6" t="str">
        <f>"5602972281118"</f>
        <v>5602972281118</v>
      </c>
      <c r="O2646" s="8">
        <v>6</v>
      </c>
      <c r="R2646" s="8">
        <v>0</v>
      </c>
      <c r="U2646" s="8">
        <v>0</v>
      </c>
      <c r="X2646" s="8">
        <v>0</v>
      </c>
      <c r="Z2646" s="8">
        <v>0</v>
      </c>
      <c r="AC2646" s="8">
        <v>0</v>
      </c>
      <c r="AF2646" s="8">
        <v>0</v>
      </c>
      <c r="AN2646" s="8">
        <v>6</v>
      </c>
      <c r="AO2646" s="8">
        <v>0</v>
      </c>
    </row>
    <row r="2647" spans="1:41" x14ac:dyDescent="0.25">
      <c r="A2647" s="6" t="str">
        <f t="shared" si="619"/>
        <v>522-2026000300</v>
      </c>
      <c r="B2647" s="6" t="str">
        <f t="shared" si="614"/>
        <v>EL CORTE</v>
      </c>
      <c r="C2647" s="7">
        <v>46041</v>
      </c>
      <c r="D2647" s="7">
        <v>46044</v>
      </c>
      <c r="E2647" s="8">
        <v>4</v>
      </c>
      <c r="F2647" s="6" t="str">
        <f t="shared" si="620"/>
        <v>94857101_07026</v>
      </c>
      <c r="G2647" s="6" t="str">
        <f t="shared" si="615"/>
        <v>F310631650000000</v>
      </c>
      <c r="H2647" s="6" t="str">
        <f t="shared" si="616"/>
        <v>PLAR 6316 FD - 500 g</v>
      </c>
      <c r="I2647" s="6" t="str">
        <f>"200901"</f>
        <v>200901</v>
      </c>
      <c r="J2647" s="6" t="str">
        <f>"ROSA 901"</f>
        <v>ROSA 901</v>
      </c>
      <c r="K2647" s="6" t="str">
        <f>"2020"</f>
        <v>2020</v>
      </c>
      <c r="L2647" s="6" t="str">
        <f>"Lençóis"</f>
        <v>Lençóis</v>
      </c>
      <c r="M2647" s="6" t="str">
        <f>"100x150"</f>
        <v>100x150</v>
      </c>
      <c r="N2647" s="6" t="str">
        <f>"5602972281125"</f>
        <v>5602972281125</v>
      </c>
      <c r="O2647" s="8">
        <v>12</v>
      </c>
      <c r="R2647" s="8">
        <v>0</v>
      </c>
      <c r="U2647" s="8">
        <v>0</v>
      </c>
      <c r="X2647" s="8">
        <v>0</v>
      </c>
      <c r="Z2647" s="8">
        <v>0</v>
      </c>
      <c r="AC2647" s="8">
        <v>0</v>
      </c>
      <c r="AF2647" s="8">
        <v>0</v>
      </c>
      <c r="AN2647" s="8">
        <v>0</v>
      </c>
      <c r="AO2647" s="8">
        <v>12</v>
      </c>
    </row>
    <row r="2648" spans="1:41" x14ac:dyDescent="0.25">
      <c r="A2648" s="6" t="str">
        <f t="shared" si="619"/>
        <v>522-2026000300</v>
      </c>
      <c r="B2648" s="6" t="str">
        <f t="shared" si="614"/>
        <v>EL CORTE</v>
      </c>
      <c r="C2648" s="7">
        <v>46041</v>
      </c>
      <c r="D2648" s="7">
        <v>46044</v>
      </c>
      <c r="E2648" s="8">
        <v>5</v>
      </c>
      <c r="F2648" s="6" t="str">
        <f t="shared" si="620"/>
        <v>94857101_07026</v>
      </c>
      <c r="G2648" s="6" t="str">
        <f t="shared" si="615"/>
        <v>F310631650000000</v>
      </c>
      <c r="H2648" s="6" t="str">
        <f t="shared" si="616"/>
        <v>PLAR 6316 FD - 500 g</v>
      </c>
      <c r="I2648" s="6" t="str">
        <f>"200510"</f>
        <v>200510</v>
      </c>
      <c r="J2648" s="6" t="str">
        <f>"VERDE 510"</f>
        <v>VERDE 510</v>
      </c>
      <c r="K2648" s="6" t="str">
        <f>"0520"</f>
        <v>0520</v>
      </c>
      <c r="L2648" s="6" t="str">
        <f>"Toalhetes"</f>
        <v>Toalhetes</v>
      </c>
      <c r="M2648" s="6" t="str">
        <f>"30x50"</f>
        <v>30x50</v>
      </c>
      <c r="N2648" s="6" t="str">
        <f>"5602972281132"</f>
        <v>5602972281132</v>
      </c>
      <c r="O2648" s="8">
        <v>6</v>
      </c>
      <c r="R2648" s="8">
        <v>0</v>
      </c>
      <c r="U2648" s="8">
        <v>0</v>
      </c>
      <c r="X2648" s="8">
        <v>0</v>
      </c>
      <c r="Z2648" s="8">
        <v>0</v>
      </c>
      <c r="AC2648" s="8">
        <v>0</v>
      </c>
      <c r="AF2648" s="8">
        <v>0</v>
      </c>
      <c r="AN2648" s="8">
        <v>0</v>
      </c>
      <c r="AO2648" s="8">
        <v>6</v>
      </c>
    </row>
    <row r="2649" spans="1:41" x14ac:dyDescent="0.25">
      <c r="A2649" s="6" t="str">
        <f t="shared" si="619"/>
        <v>522-2026000300</v>
      </c>
      <c r="B2649" s="6" t="str">
        <f t="shared" si="614"/>
        <v>EL CORTE</v>
      </c>
      <c r="C2649" s="7">
        <v>46041</v>
      </c>
      <c r="D2649" s="7">
        <v>46044</v>
      </c>
      <c r="E2649" s="8">
        <v>6</v>
      </c>
      <c r="F2649" s="6" t="str">
        <f t="shared" si="620"/>
        <v>94857101_07026</v>
      </c>
      <c r="G2649" s="6" t="str">
        <f t="shared" si="615"/>
        <v>F310631650000000</v>
      </c>
      <c r="H2649" s="6" t="str">
        <f t="shared" si="616"/>
        <v>PLAR 6316 FD - 500 g</v>
      </c>
      <c r="I2649" s="6" t="str">
        <f>"200510"</f>
        <v>200510</v>
      </c>
      <c r="J2649" s="6" t="str">
        <f>"VERDE 510"</f>
        <v>VERDE 510</v>
      </c>
      <c r="K2649" s="6" t="str">
        <f>"1024"</f>
        <v>1024</v>
      </c>
      <c r="L2649" s="6" t="str">
        <f>"Toalhas"</f>
        <v>Toalhas</v>
      </c>
      <c r="M2649" s="6" t="str">
        <f>"50x100"</f>
        <v>50x100</v>
      </c>
      <c r="N2649" s="6" t="str">
        <f>"5602972281149"</f>
        <v>5602972281149</v>
      </c>
      <c r="O2649" s="8">
        <v>18</v>
      </c>
      <c r="R2649" s="8">
        <v>0</v>
      </c>
      <c r="U2649" s="8">
        <v>0</v>
      </c>
      <c r="X2649" s="8">
        <v>0</v>
      </c>
      <c r="Z2649" s="8">
        <v>0</v>
      </c>
      <c r="AC2649" s="8">
        <v>0</v>
      </c>
      <c r="AF2649" s="8">
        <v>0</v>
      </c>
      <c r="AN2649" s="8">
        <v>18</v>
      </c>
      <c r="AO2649" s="8">
        <v>0</v>
      </c>
    </row>
    <row r="2650" spans="1:41" x14ac:dyDescent="0.25">
      <c r="A2650" s="6" t="str">
        <f t="shared" si="619"/>
        <v>522-2026000300</v>
      </c>
      <c r="B2650" s="6" t="str">
        <f t="shared" si="614"/>
        <v>EL CORTE</v>
      </c>
      <c r="C2650" s="7">
        <v>46041</v>
      </c>
      <c r="D2650" s="7">
        <v>46044</v>
      </c>
      <c r="E2650" s="8">
        <v>7</v>
      </c>
      <c r="F2650" s="6" t="str">
        <f t="shared" si="620"/>
        <v>94857101_07026</v>
      </c>
      <c r="G2650" s="6" t="str">
        <f t="shared" si="615"/>
        <v>F310631650000000</v>
      </c>
      <c r="H2650" s="6" t="str">
        <f t="shared" si="616"/>
        <v>PLAR 6316 FD - 500 g</v>
      </c>
      <c r="I2650" s="6" t="str">
        <f>"200510"</f>
        <v>200510</v>
      </c>
      <c r="J2650" s="6" t="str">
        <f>"VERDE 510"</f>
        <v>VERDE 510</v>
      </c>
      <c r="K2650" s="6" t="str">
        <f>"2020"</f>
        <v>2020</v>
      </c>
      <c r="L2650" s="6" t="str">
        <f>"Lençóis"</f>
        <v>Lençóis</v>
      </c>
      <c r="M2650" s="6" t="str">
        <f>"100x150"</f>
        <v>100x150</v>
      </c>
      <c r="N2650" s="6" t="str">
        <f>"5602972281156"</f>
        <v>5602972281156</v>
      </c>
      <c r="O2650" s="8">
        <v>6</v>
      </c>
      <c r="R2650" s="8">
        <v>0</v>
      </c>
      <c r="U2650" s="8">
        <v>0</v>
      </c>
      <c r="X2650" s="8">
        <v>0</v>
      </c>
      <c r="Z2650" s="8">
        <v>0</v>
      </c>
      <c r="AC2650" s="8">
        <v>0</v>
      </c>
      <c r="AF2650" s="8">
        <v>0</v>
      </c>
      <c r="AN2650" s="8">
        <v>0</v>
      </c>
      <c r="AO2650" s="8">
        <v>6</v>
      </c>
    </row>
    <row r="2651" spans="1:41" x14ac:dyDescent="0.25">
      <c r="A2651" s="6" t="str">
        <f>"522-2026000301"</f>
        <v>522-2026000301</v>
      </c>
      <c r="B2651" s="6" t="str">
        <f t="shared" si="614"/>
        <v>EL CORTE</v>
      </c>
      <c r="C2651" s="7">
        <v>46041</v>
      </c>
      <c r="D2651" s="7">
        <v>46044</v>
      </c>
      <c r="E2651" s="8">
        <v>1</v>
      </c>
      <c r="F2651" s="6" t="str">
        <f>"94860301_07026"</f>
        <v>94860301_07026</v>
      </c>
      <c r="G2651" s="6" t="str">
        <f t="shared" si="615"/>
        <v>F310631650000000</v>
      </c>
      <c r="H2651" s="6" t="str">
        <f t="shared" si="616"/>
        <v>PLAR 6316 FD - 500 g</v>
      </c>
      <c r="I2651" s="6" t="str">
        <f>"200901"</f>
        <v>200901</v>
      </c>
      <c r="J2651" s="6" t="str">
        <f>"ROSA 901"</f>
        <v>ROSA 901</v>
      </c>
      <c r="K2651" s="6" t="str">
        <f>"1024"</f>
        <v>1024</v>
      </c>
      <c r="L2651" s="6" t="str">
        <f>"Toalhas"</f>
        <v>Toalhas</v>
      </c>
      <c r="M2651" s="6" t="str">
        <f>"50x100"</f>
        <v>50x100</v>
      </c>
      <c r="N2651" s="6" t="str">
        <f>"5602972281118"</f>
        <v>5602972281118</v>
      </c>
      <c r="O2651" s="8">
        <v>6</v>
      </c>
      <c r="R2651" s="8">
        <v>0</v>
      </c>
      <c r="U2651" s="8">
        <v>0</v>
      </c>
      <c r="X2651" s="8">
        <v>0</v>
      </c>
      <c r="Z2651" s="8">
        <v>0</v>
      </c>
      <c r="AC2651" s="8">
        <v>0</v>
      </c>
      <c r="AF2651" s="8">
        <v>0</v>
      </c>
      <c r="AN2651" s="8">
        <v>6</v>
      </c>
      <c r="AO2651" s="8">
        <v>0</v>
      </c>
    </row>
    <row r="2652" spans="1:41" x14ac:dyDescent="0.25">
      <c r="A2652" s="6" t="str">
        <f>"522-2026000302"</f>
        <v>522-2026000302</v>
      </c>
      <c r="B2652" s="6" t="str">
        <f t="shared" si="614"/>
        <v>EL CORTE</v>
      </c>
      <c r="C2652" s="7">
        <v>46041</v>
      </c>
      <c r="D2652" s="7">
        <v>46044</v>
      </c>
      <c r="E2652" s="8">
        <v>1</v>
      </c>
      <c r="F2652" s="6" t="str">
        <f>"94859301_07026"</f>
        <v>94859301_07026</v>
      </c>
      <c r="G2652" s="6" t="str">
        <f t="shared" si="615"/>
        <v>F310631650000000</v>
      </c>
      <c r="H2652" s="6" t="str">
        <f t="shared" si="616"/>
        <v>PLAR 6316 FD - 500 g</v>
      </c>
      <c r="I2652" s="6" t="str">
        <f>"202575"</f>
        <v>202575</v>
      </c>
      <c r="J2652" s="6" t="str">
        <f>"BEGE 2575"</f>
        <v>BEGE 2575</v>
      </c>
      <c r="K2652" s="6" t="str">
        <f>"2020"</f>
        <v>2020</v>
      </c>
      <c r="L2652" s="6" t="str">
        <f>"Lençóis"</f>
        <v>Lençóis</v>
      </c>
      <c r="M2652" s="6" t="str">
        <f>"100x150"</f>
        <v>100x150</v>
      </c>
      <c r="N2652" s="6" t="str">
        <f>"5602972281095"</f>
        <v>5602972281095</v>
      </c>
      <c r="O2652" s="8">
        <v>3</v>
      </c>
      <c r="R2652" s="8">
        <v>0</v>
      </c>
      <c r="U2652" s="8">
        <v>0</v>
      </c>
      <c r="X2652" s="8">
        <v>0</v>
      </c>
      <c r="Z2652" s="8">
        <v>0</v>
      </c>
      <c r="AC2652" s="8">
        <v>0</v>
      </c>
      <c r="AF2652" s="8">
        <v>0</v>
      </c>
      <c r="AN2652" s="8">
        <v>0</v>
      </c>
      <c r="AO2652" s="8">
        <v>3</v>
      </c>
    </row>
    <row r="2653" spans="1:41" x14ac:dyDescent="0.25">
      <c r="A2653" s="6" t="str">
        <f>"522-2026000302"</f>
        <v>522-2026000302</v>
      </c>
      <c r="B2653" s="6" t="str">
        <f t="shared" si="614"/>
        <v>EL CORTE</v>
      </c>
      <c r="C2653" s="7">
        <v>46041</v>
      </c>
      <c r="D2653" s="7">
        <v>46044</v>
      </c>
      <c r="E2653" s="8">
        <v>2</v>
      </c>
      <c r="F2653" s="6" t="str">
        <f>"94859301_07026"</f>
        <v>94859301_07026</v>
      </c>
      <c r="G2653" s="6" t="str">
        <f t="shared" si="615"/>
        <v>F310631650000000</v>
      </c>
      <c r="H2653" s="6" t="str">
        <f t="shared" si="616"/>
        <v>PLAR 6316 FD - 500 g</v>
      </c>
      <c r="I2653" s="6" t="str">
        <f>"200901"</f>
        <v>200901</v>
      </c>
      <c r="J2653" s="6" t="str">
        <f>"ROSA 901"</f>
        <v>ROSA 901</v>
      </c>
      <c r="K2653" s="6" t="str">
        <f>"2020"</f>
        <v>2020</v>
      </c>
      <c r="L2653" s="6" t="str">
        <f>"Lençóis"</f>
        <v>Lençóis</v>
      </c>
      <c r="M2653" s="6" t="str">
        <f>"100x150"</f>
        <v>100x150</v>
      </c>
      <c r="N2653" s="6" t="str">
        <f>"5602972281125"</f>
        <v>5602972281125</v>
      </c>
      <c r="O2653" s="8">
        <v>6</v>
      </c>
      <c r="R2653" s="8">
        <v>0</v>
      </c>
      <c r="U2653" s="8">
        <v>0</v>
      </c>
      <c r="X2653" s="8">
        <v>0</v>
      </c>
      <c r="Z2653" s="8">
        <v>0</v>
      </c>
      <c r="AC2653" s="8">
        <v>0</v>
      </c>
      <c r="AF2653" s="8">
        <v>0</v>
      </c>
      <c r="AN2653" s="8">
        <v>0</v>
      </c>
      <c r="AO2653" s="8">
        <v>6</v>
      </c>
    </row>
    <row r="2654" spans="1:41" x14ac:dyDescent="0.25">
      <c r="A2654" s="6" t="str">
        <f>"522-2026000302"</f>
        <v>522-2026000302</v>
      </c>
      <c r="B2654" s="6" t="str">
        <f t="shared" si="614"/>
        <v>EL CORTE</v>
      </c>
      <c r="C2654" s="7">
        <v>46041</v>
      </c>
      <c r="D2654" s="7">
        <v>46044</v>
      </c>
      <c r="E2654" s="8">
        <v>3</v>
      </c>
      <c r="F2654" s="6" t="str">
        <f>"94859301_07026"</f>
        <v>94859301_07026</v>
      </c>
      <c r="G2654" s="6" t="str">
        <f t="shared" si="615"/>
        <v>F310631650000000</v>
      </c>
      <c r="H2654" s="6" t="str">
        <f t="shared" si="616"/>
        <v>PLAR 6316 FD - 500 g</v>
      </c>
      <c r="I2654" s="6" t="str">
        <f>"200510"</f>
        <v>200510</v>
      </c>
      <c r="J2654" s="6" t="str">
        <f>"VERDE 510"</f>
        <v>VERDE 510</v>
      </c>
      <c r="K2654" s="6" t="str">
        <f>"0520"</f>
        <v>0520</v>
      </c>
      <c r="L2654" s="6" t="str">
        <f>"Toalhetes"</f>
        <v>Toalhetes</v>
      </c>
      <c r="M2654" s="6" t="str">
        <f>"30x50"</f>
        <v>30x50</v>
      </c>
      <c r="N2654" s="6" t="str">
        <f>"5602972281132"</f>
        <v>5602972281132</v>
      </c>
      <c r="O2654" s="8">
        <v>6</v>
      </c>
      <c r="R2654" s="8">
        <v>0</v>
      </c>
      <c r="U2654" s="8">
        <v>0</v>
      </c>
      <c r="X2654" s="8">
        <v>0</v>
      </c>
      <c r="Z2654" s="8">
        <v>0</v>
      </c>
      <c r="AC2654" s="8">
        <v>0</v>
      </c>
      <c r="AF2654" s="8">
        <v>0</v>
      </c>
      <c r="AN2654" s="8">
        <v>6</v>
      </c>
      <c r="AO2654" s="8">
        <v>0</v>
      </c>
    </row>
    <row r="2655" spans="1:41" x14ac:dyDescent="0.25">
      <c r="A2655" s="6" t="str">
        <f>"522-2026000302"</f>
        <v>522-2026000302</v>
      </c>
      <c r="B2655" s="6" t="str">
        <f t="shared" si="614"/>
        <v>EL CORTE</v>
      </c>
      <c r="C2655" s="7">
        <v>46041</v>
      </c>
      <c r="D2655" s="7">
        <v>46044</v>
      </c>
      <c r="E2655" s="8">
        <v>4</v>
      </c>
      <c r="F2655" s="6" t="str">
        <f>"94859301_07026"</f>
        <v>94859301_07026</v>
      </c>
      <c r="G2655" s="6" t="str">
        <f t="shared" si="615"/>
        <v>F310631650000000</v>
      </c>
      <c r="H2655" s="6" t="str">
        <f t="shared" si="616"/>
        <v>PLAR 6316 FD - 500 g</v>
      </c>
      <c r="I2655" s="6" t="str">
        <f>"200510"</f>
        <v>200510</v>
      </c>
      <c r="J2655" s="6" t="str">
        <f>"VERDE 510"</f>
        <v>VERDE 510</v>
      </c>
      <c r="K2655" s="6" t="str">
        <f>"2020"</f>
        <v>2020</v>
      </c>
      <c r="L2655" s="6" t="str">
        <f>"Lençóis"</f>
        <v>Lençóis</v>
      </c>
      <c r="M2655" s="6" t="str">
        <f>"100x150"</f>
        <v>100x150</v>
      </c>
      <c r="N2655" s="6" t="str">
        <f>"5602972281156"</f>
        <v>5602972281156</v>
      </c>
      <c r="O2655" s="8">
        <v>6</v>
      </c>
      <c r="R2655" s="8">
        <v>0</v>
      </c>
      <c r="U2655" s="8">
        <v>0</v>
      </c>
      <c r="X2655" s="8">
        <v>0</v>
      </c>
      <c r="Z2655" s="8">
        <v>0</v>
      </c>
      <c r="AC2655" s="8">
        <v>0</v>
      </c>
      <c r="AF2655" s="8">
        <v>0</v>
      </c>
      <c r="AN2655" s="8">
        <v>0</v>
      </c>
      <c r="AO2655" s="8">
        <v>6</v>
      </c>
    </row>
    <row r="2656" spans="1:41" x14ac:dyDescent="0.25">
      <c r="A2656" s="6" t="str">
        <f t="shared" ref="A2656:A2661" si="621">"522-2026000303"</f>
        <v>522-2026000303</v>
      </c>
      <c r="B2656" s="6" t="str">
        <f t="shared" si="614"/>
        <v>EL CORTE</v>
      </c>
      <c r="C2656" s="7">
        <v>46041</v>
      </c>
      <c r="D2656" s="7">
        <v>46044</v>
      </c>
      <c r="E2656" s="8">
        <v>1</v>
      </c>
      <c r="F2656" s="6" t="str">
        <f t="shared" ref="F2656:F2661" si="622">"94861201_07026"</f>
        <v>94861201_07026</v>
      </c>
      <c r="G2656" s="6" t="str">
        <f t="shared" si="615"/>
        <v>F310631650000000</v>
      </c>
      <c r="H2656" s="6" t="str">
        <f t="shared" si="616"/>
        <v>PLAR 6316 FD - 500 g</v>
      </c>
      <c r="I2656" s="6" t="str">
        <f>"201855"</f>
        <v>201855</v>
      </c>
      <c r="J2656" s="6" t="str">
        <f>"AZUL 1855"</f>
        <v>AZUL 1855</v>
      </c>
      <c r="K2656" s="6" t="str">
        <f>"2020"</f>
        <v>2020</v>
      </c>
      <c r="L2656" s="6" t="str">
        <f>"Lençóis"</f>
        <v>Lençóis</v>
      </c>
      <c r="M2656" s="6" t="str">
        <f>"100x150"</f>
        <v>100x150</v>
      </c>
      <c r="N2656" s="6" t="str">
        <f>"5602972281064"</f>
        <v>5602972281064</v>
      </c>
      <c r="O2656" s="8">
        <v>3</v>
      </c>
      <c r="R2656" s="8">
        <v>0</v>
      </c>
      <c r="U2656" s="8">
        <v>0</v>
      </c>
      <c r="X2656" s="8">
        <v>0</v>
      </c>
      <c r="Z2656" s="8">
        <v>0</v>
      </c>
      <c r="AC2656" s="8">
        <v>0</v>
      </c>
      <c r="AF2656" s="8">
        <v>0</v>
      </c>
      <c r="AN2656" s="8">
        <v>0</v>
      </c>
      <c r="AO2656" s="8">
        <v>3</v>
      </c>
    </row>
    <row r="2657" spans="1:41" x14ac:dyDescent="0.25">
      <c r="A2657" s="6" t="str">
        <f t="shared" si="621"/>
        <v>522-2026000303</v>
      </c>
      <c r="B2657" s="6" t="str">
        <f t="shared" si="614"/>
        <v>EL CORTE</v>
      </c>
      <c r="C2657" s="7">
        <v>46041</v>
      </c>
      <c r="D2657" s="7">
        <v>46044</v>
      </c>
      <c r="E2657" s="8">
        <v>2</v>
      </c>
      <c r="F2657" s="6" t="str">
        <f t="shared" si="622"/>
        <v>94861201_07026</v>
      </c>
      <c r="G2657" s="6" t="str">
        <f t="shared" si="615"/>
        <v>F310631650000000</v>
      </c>
      <c r="H2657" s="6" t="str">
        <f t="shared" si="616"/>
        <v>PLAR 6316 FD - 500 g</v>
      </c>
      <c r="I2657" s="6" t="str">
        <f>"202575"</f>
        <v>202575</v>
      </c>
      <c r="J2657" s="6" t="str">
        <f>"BEGE 2575"</f>
        <v>BEGE 2575</v>
      </c>
      <c r="K2657" s="6" t="str">
        <f>"2020"</f>
        <v>2020</v>
      </c>
      <c r="L2657" s="6" t="str">
        <f>"Lençóis"</f>
        <v>Lençóis</v>
      </c>
      <c r="M2657" s="6" t="str">
        <f>"100x150"</f>
        <v>100x150</v>
      </c>
      <c r="N2657" s="6" t="str">
        <f>"5602972281095"</f>
        <v>5602972281095</v>
      </c>
      <c r="O2657" s="8">
        <v>6</v>
      </c>
      <c r="R2657" s="8">
        <v>0</v>
      </c>
      <c r="U2657" s="8">
        <v>0</v>
      </c>
      <c r="X2657" s="8">
        <v>0</v>
      </c>
      <c r="Z2657" s="8">
        <v>0</v>
      </c>
      <c r="AC2657" s="8">
        <v>0</v>
      </c>
      <c r="AF2657" s="8">
        <v>0</v>
      </c>
      <c r="AN2657" s="8">
        <v>0</v>
      </c>
      <c r="AO2657" s="8">
        <v>6</v>
      </c>
    </row>
    <row r="2658" spans="1:41" x14ac:dyDescent="0.25">
      <c r="A2658" s="6" t="str">
        <f t="shared" si="621"/>
        <v>522-2026000303</v>
      </c>
      <c r="B2658" s="6" t="str">
        <f t="shared" si="614"/>
        <v>EL CORTE</v>
      </c>
      <c r="C2658" s="7">
        <v>46041</v>
      </c>
      <c r="D2658" s="7">
        <v>46044</v>
      </c>
      <c r="E2658" s="8">
        <v>3</v>
      </c>
      <c r="F2658" s="6" t="str">
        <f t="shared" si="622"/>
        <v>94861201_07026</v>
      </c>
      <c r="G2658" s="6" t="str">
        <f t="shared" si="615"/>
        <v>F310631650000000</v>
      </c>
      <c r="H2658" s="6" t="str">
        <f t="shared" si="616"/>
        <v>PLAR 6316 FD - 500 g</v>
      </c>
      <c r="I2658" s="6" t="str">
        <f>"200901"</f>
        <v>200901</v>
      </c>
      <c r="J2658" s="6" t="str">
        <f>"ROSA 901"</f>
        <v>ROSA 901</v>
      </c>
      <c r="K2658" s="6" t="str">
        <f>"0520"</f>
        <v>0520</v>
      </c>
      <c r="L2658" s="6" t="str">
        <f>"Toalhetes"</f>
        <v>Toalhetes</v>
      </c>
      <c r="M2658" s="6" t="str">
        <f>"30x50"</f>
        <v>30x50</v>
      </c>
      <c r="N2658" s="6" t="str">
        <f>"5602972281101"</f>
        <v>5602972281101</v>
      </c>
      <c r="O2658" s="8">
        <v>6</v>
      </c>
      <c r="R2658" s="8">
        <v>0</v>
      </c>
      <c r="U2658" s="8">
        <v>0</v>
      </c>
      <c r="X2658" s="8">
        <v>0</v>
      </c>
      <c r="Z2658" s="8">
        <v>0</v>
      </c>
      <c r="AC2658" s="8">
        <v>0</v>
      </c>
      <c r="AF2658" s="8">
        <v>0</v>
      </c>
      <c r="AN2658" s="8">
        <v>0</v>
      </c>
      <c r="AO2658" s="8">
        <v>6</v>
      </c>
    </row>
    <row r="2659" spans="1:41" x14ac:dyDescent="0.25">
      <c r="A2659" s="6" t="str">
        <f t="shared" si="621"/>
        <v>522-2026000303</v>
      </c>
      <c r="B2659" s="6" t="str">
        <f t="shared" si="614"/>
        <v>EL CORTE</v>
      </c>
      <c r="C2659" s="7">
        <v>46041</v>
      </c>
      <c r="D2659" s="7">
        <v>46044</v>
      </c>
      <c r="E2659" s="8">
        <v>4</v>
      </c>
      <c r="F2659" s="6" t="str">
        <f t="shared" si="622"/>
        <v>94861201_07026</v>
      </c>
      <c r="G2659" s="6" t="str">
        <f t="shared" si="615"/>
        <v>F310631650000000</v>
      </c>
      <c r="H2659" s="6" t="str">
        <f t="shared" si="616"/>
        <v>PLAR 6316 FD - 500 g</v>
      </c>
      <c r="I2659" s="6" t="str">
        <f>"200901"</f>
        <v>200901</v>
      </c>
      <c r="J2659" s="6" t="str">
        <f>"ROSA 901"</f>
        <v>ROSA 901</v>
      </c>
      <c r="K2659" s="6" t="str">
        <f>"1024"</f>
        <v>1024</v>
      </c>
      <c r="L2659" s="6" t="str">
        <f>"Toalhas"</f>
        <v>Toalhas</v>
      </c>
      <c r="M2659" s="6" t="str">
        <f>"50x100"</f>
        <v>50x100</v>
      </c>
      <c r="N2659" s="6" t="str">
        <f>"5602972281118"</f>
        <v>5602972281118</v>
      </c>
      <c r="O2659" s="8">
        <v>6</v>
      </c>
      <c r="R2659" s="8">
        <v>0</v>
      </c>
      <c r="U2659" s="8">
        <v>0</v>
      </c>
      <c r="X2659" s="8">
        <v>0</v>
      </c>
      <c r="Z2659" s="8">
        <v>0</v>
      </c>
      <c r="AC2659" s="8">
        <v>0</v>
      </c>
      <c r="AF2659" s="8">
        <v>0</v>
      </c>
      <c r="AN2659" s="8">
        <v>6</v>
      </c>
      <c r="AO2659" s="8">
        <v>0</v>
      </c>
    </row>
    <row r="2660" spans="1:41" x14ac:dyDescent="0.25">
      <c r="A2660" s="6" t="str">
        <f t="shared" si="621"/>
        <v>522-2026000303</v>
      </c>
      <c r="B2660" s="6" t="str">
        <f t="shared" si="614"/>
        <v>EL CORTE</v>
      </c>
      <c r="C2660" s="7">
        <v>46041</v>
      </c>
      <c r="D2660" s="7">
        <v>46044</v>
      </c>
      <c r="E2660" s="8">
        <v>5</v>
      </c>
      <c r="F2660" s="6" t="str">
        <f t="shared" si="622"/>
        <v>94861201_07026</v>
      </c>
      <c r="G2660" s="6" t="str">
        <f t="shared" si="615"/>
        <v>F310631650000000</v>
      </c>
      <c r="H2660" s="6" t="str">
        <f t="shared" si="616"/>
        <v>PLAR 6316 FD - 500 g</v>
      </c>
      <c r="I2660" s="6" t="str">
        <f>"200901"</f>
        <v>200901</v>
      </c>
      <c r="J2660" s="6" t="str">
        <f>"ROSA 901"</f>
        <v>ROSA 901</v>
      </c>
      <c r="K2660" s="6" t="str">
        <f>"2020"</f>
        <v>2020</v>
      </c>
      <c r="L2660" s="6" t="str">
        <f>"Lençóis"</f>
        <v>Lençóis</v>
      </c>
      <c r="M2660" s="6" t="str">
        <f>"100x150"</f>
        <v>100x150</v>
      </c>
      <c r="N2660" s="6" t="str">
        <f>"5602972281125"</f>
        <v>5602972281125</v>
      </c>
      <c r="O2660" s="8">
        <v>6</v>
      </c>
      <c r="R2660" s="8">
        <v>0</v>
      </c>
      <c r="U2660" s="8">
        <v>0</v>
      </c>
      <c r="X2660" s="8">
        <v>0</v>
      </c>
      <c r="Z2660" s="8">
        <v>0</v>
      </c>
      <c r="AC2660" s="8">
        <v>0</v>
      </c>
      <c r="AF2660" s="8">
        <v>0</v>
      </c>
      <c r="AN2660" s="8">
        <v>0</v>
      </c>
      <c r="AO2660" s="8">
        <v>6</v>
      </c>
    </row>
    <row r="2661" spans="1:41" x14ac:dyDescent="0.25">
      <c r="A2661" s="6" t="str">
        <f t="shared" si="621"/>
        <v>522-2026000303</v>
      </c>
      <c r="B2661" s="6" t="str">
        <f t="shared" si="614"/>
        <v>EL CORTE</v>
      </c>
      <c r="C2661" s="7">
        <v>46041</v>
      </c>
      <c r="D2661" s="7">
        <v>46044</v>
      </c>
      <c r="E2661" s="8">
        <v>6</v>
      </c>
      <c r="F2661" s="6" t="str">
        <f t="shared" si="622"/>
        <v>94861201_07026</v>
      </c>
      <c r="G2661" s="6" t="str">
        <f t="shared" si="615"/>
        <v>F310631650000000</v>
      </c>
      <c r="H2661" s="6" t="str">
        <f t="shared" si="616"/>
        <v>PLAR 6316 FD - 500 g</v>
      </c>
      <c r="I2661" s="6" t="str">
        <f>"200510"</f>
        <v>200510</v>
      </c>
      <c r="J2661" s="6" t="str">
        <f>"VERDE 510"</f>
        <v>VERDE 510</v>
      </c>
      <c r="K2661" s="6" t="str">
        <f>"2020"</f>
        <v>2020</v>
      </c>
      <c r="L2661" s="6" t="str">
        <f>"Lençóis"</f>
        <v>Lençóis</v>
      </c>
      <c r="M2661" s="6" t="str">
        <f>"100x150"</f>
        <v>100x150</v>
      </c>
      <c r="N2661" s="6" t="str">
        <f>"5602972281156"</f>
        <v>5602972281156</v>
      </c>
      <c r="O2661" s="8">
        <v>6</v>
      </c>
      <c r="R2661" s="8">
        <v>0</v>
      </c>
      <c r="U2661" s="8">
        <v>0</v>
      </c>
      <c r="X2661" s="8">
        <v>0</v>
      </c>
      <c r="Z2661" s="8">
        <v>0</v>
      </c>
      <c r="AC2661" s="8">
        <v>0</v>
      </c>
      <c r="AF2661" s="8">
        <v>0</v>
      </c>
      <c r="AN2661" s="8">
        <v>0</v>
      </c>
      <c r="AO2661" s="8">
        <v>6</v>
      </c>
    </row>
    <row r="2662" spans="1:41" x14ac:dyDescent="0.25">
      <c r="A2662" s="6" t="str">
        <f>"522-2026000304"</f>
        <v>522-2026000304</v>
      </c>
      <c r="B2662" s="6" t="str">
        <f t="shared" si="614"/>
        <v>EL CORTE</v>
      </c>
      <c r="C2662" s="7">
        <v>46041</v>
      </c>
      <c r="D2662" s="7">
        <v>46044</v>
      </c>
      <c r="E2662" s="8">
        <v>1</v>
      </c>
      <c r="F2662" s="6" t="str">
        <f>"94857001_07026"</f>
        <v>94857001_07026</v>
      </c>
      <c r="G2662" s="6" t="str">
        <f t="shared" si="615"/>
        <v>F310631650000000</v>
      </c>
      <c r="H2662" s="6" t="str">
        <f t="shared" si="616"/>
        <v>PLAR 6316 FD - 500 g</v>
      </c>
      <c r="I2662" s="6" t="str">
        <f>"201855"</f>
        <v>201855</v>
      </c>
      <c r="J2662" s="6" t="str">
        <f>"AZUL 1855"</f>
        <v>AZUL 1855</v>
      </c>
      <c r="K2662" s="6" t="str">
        <f>"2020"</f>
        <v>2020</v>
      </c>
      <c r="L2662" s="6" t="str">
        <f>"Lençóis"</f>
        <v>Lençóis</v>
      </c>
      <c r="M2662" s="6" t="str">
        <f>"100x150"</f>
        <v>100x150</v>
      </c>
      <c r="N2662" s="6" t="str">
        <f>"5602972281064"</f>
        <v>5602972281064</v>
      </c>
      <c r="O2662" s="8">
        <v>3</v>
      </c>
      <c r="R2662" s="8">
        <v>0</v>
      </c>
      <c r="U2662" s="8">
        <v>0</v>
      </c>
      <c r="X2662" s="8">
        <v>0</v>
      </c>
      <c r="Z2662" s="8">
        <v>0</v>
      </c>
      <c r="AC2662" s="8">
        <v>0</v>
      </c>
      <c r="AF2662" s="8">
        <v>0</v>
      </c>
      <c r="AN2662" s="8">
        <v>0</v>
      </c>
      <c r="AO2662" s="8">
        <v>3</v>
      </c>
    </row>
    <row r="2663" spans="1:41" x14ac:dyDescent="0.25">
      <c r="A2663" s="6" t="str">
        <f>"522-2026000304"</f>
        <v>522-2026000304</v>
      </c>
      <c r="B2663" s="6" t="str">
        <f t="shared" si="614"/>
        <v>EL CORTE</v>
      </c>
      <c r="C2663" s="7">
        <v>46041</v>
      </c>
      <c r="D2663" s="7">
        <v>46044</v>
      </c>
      <c r="E2663" s="8">
        <v>2</v>
      </c>
      <c r="F2663" s="6" t="str">
        <f>"94857001_07026"</f>
        <v>94857001_07026</v>
      </c>
      <c r="G2663" s="6" t="str">
        <f t="shared" si="615"/>
        <v>F310631650000000</v>
      </c>
      <c r="H2663" s="6" t="str">
        <f t="shared" si="616"/>
        <v>PLAR 6316 FD - 500 g</v>
      </c>
      <c r="I2663" s="6" t="str">
        <f>"200901"</f>
        <v>200901</v>
      </c>
      <c r="J2663" s="6" t="str">
        <f>"ROSA 901"</f>
        <v>ROSA 901</v>
      </c>
      <c r="K2663" s="6" t="str">
        <f>"0520"</f>
        <v>0520</v>
      </c>
      <c r="L2663" s="6" t="str">
        <f>"Toalhetes"</f>
        <v>Toalhetes</v>
      </c>
      <c r="M2663" s="6" t="str">
        <f>"30x50"</f>
        <v>30x50</v>
      </c>
      <c r="N2663" s="6" t="str">
        <f>"5602972281101"</f>
        <v>5602972281101</v>
      </c>
      <c r="O2663" s="8">
        <v>6</v>
      </c>
      <c r="R2663" s="8">
        <v>0</v>
      </c>
      <c r="U2663" s="8">
        <v>0</v>
      </c>
      <c r="X2663" s="8">
        <v>0</v>
      </c>
      <c r="Z2663" s="8">
        <v>0</v>
      </c>
      <c r="AC2663" s="8">
        <v>0</v>
      </c>
      <c r="AF2663" s="8">
        <v>0</v>
      </c>
      <c r="AN2663" s="8">
        <v>0</v>
      </c>
      <c r="AO2663" s="8">
        <v>6</v>
      </c>
    </row>
    <row r="2664" spans="1:41" x14ac:dyDescent="0.25">
      <c r="A2664" s="6" t="str">
        <f>"522-2026000304"</f>
        <v>522-2026000304</v>
      </c>
      <c r="B2664" s="6" t="str">
        <f t="shared" si="614"/>
        <v>EL CORTE</v>
      </c>
      <c r="C2664" s="7">
        <v>46041</v>
      </c>
      <c r="D2664" s="7">
        <v>46044</v>
      </c>
      <c r="E2664" s="8">
        <v>3</v>
      </c>
      <c r="F2664" s="6" t="str">
        <f>"94857001_07026"</f>
        <v>94857001_07026</v>
      </c>
      <c r="G2664" s="6" t="str">
        <f t="shared" si="615"/>
        <v>F310631650000000</v>
      </c>
      <c r="H2664" s="6" t="str">
        <f t="shared" si="616"/>
        <v>PLAR 6316 FD - 500 g</v>
      </c>
      <c r="I2664" s="6" t="str">
        <f>"200901"</f>
        <v>200901</v>
      </c>
      <c r="J2664" s="6" t="str">
        <f>"ROSA 901"</f>
        <v>ROSA 901</v>
      </c>
      <c r="K2664" s="6" t="str">
        <f>"2020"</f>
        <v>2020</v>
      </c>
      <c r="L2664" s="6" t="str">
        <f>"Lençóis"</f>
        <v>Lençóis</v>
      </c>
      <c r="M2664" s="6" t="str">
        <f>"100x150"</f>
        <v>100x150</v>
      </c>
      <c r="N2664" s="6" t="str">
        <f>"5602972281125"</f>
        <v>5602972281125</v>
      </c>
      <c r="O2664" s="8">
        <v>9</v>
      </c>
      <c r="R2664" s="8">
        <v>0</v>
      </c>
      <c r="U2664" s="8">
        <v>0</v>
      </c>
      <c r="X2664" s="8">
        <v>0</v>
      </c>
      <c r="Z2664" s="8">
        <v>0</v>
      </c>
      <c r="AC2664" s="8">
        <v>0</v>
      </c>
      <c r="AF2664" s="8">
        <v>0</v>
      </c>
      <c r="AN2664" s="8">
        <v>0</v>
      </c>
      <c r="AO2664" s="8">
        <v>9</v>
      </c>
    </row>
    <row r="2665" spans="1:41" x14ac:dyDescent="0.25">
      <c r="A2665" s="6" t="str">
        <f>"522-2026000304"</f>
        <v>522-2026000304</v>
      </c>
      <c r="B2665" s="6" t="str">
        <f t="shared" si="614"/>
        <v>EL CORTE</v>
      </c>
      <c r="C2665" s="7">
        <v>46041</v>
      </c>
      <c r="D2665" s="7">
        <v>46044</v>
      </c>
      <c r="E2665" s="8">
        <v>4</v>
      </c>
      <c r="F2665" s="6" t="str">
        <f>"94857001_07026"</f>
        <v>94857001_07026</v>
      </c>
      <c r="G2665" s="6" t="str">
        <f t="shared" si="615"/>
        <v>F310631650000000</v>
      </c>
      <c r="H2665" s="6" t="str">
        <f t="shared" si="616"/>
        <v>PLAR 6316 FD - 500 g</v>
      </c>
      <c r="I2665" s="6" t="str">
        <f>"200510"</f>
        <v>200510</v>
      </c>
      <c r="J2665" s="6" t="str">
        <f>"VERDE 510"</f>
        <v>VERDE 510</v>
      </c>
      <c r="K2665" s="6" t="str">
        <f>"2020"</f>
        <v>2020</v>
      </c>
      <c r="L2665" s="6" t="str">
        <f>"Lençóis"</f>
        <v>Lençóis</v>
      </c>
      <c r="M2665" s="6" t="str">
        <f>"100x150"</f>
        <v>100x150</v>
      </c>
      <c r="N2665" s="6" t="str">
        <f>"5602972281156"</f>
        <v>5602972281156</v>
      </c>
      <c r="O2665" s="8">
        <v>15</v>
      </c>
      <c r="R2665" s="8">
        <v>0</v>
      </c>
      <c r="U2665" s="8">
        <v>0</v>
      </c>
      <c r="X2665" s="8">
        <v>0</v>
      </c>
      <c r="Z2665" s="8">
        <v>0</v>
      </c>
      <c r="AC2665" s="8">
        <v>0</v>
      </c>
      <c r="AF2665" s="8">
        <v>0</v>
      </c>
      <c r="AN2665" s="8">
        <v>0</v>
      </c>
      <c r="AO2665" s="8">
        <v>15</v>
      </c>
    </row>
    <row r="2666" spans="1:41" x14ac:dyDescent="0.25">
      <c r="A2666" s="6" t="str">
        <f>"522-2026000305"</f>
        <v>522-2026000305</v>
      </c>
      <c r="B2666" s="6" t="str">
        <f t="shared" si="614"/>
        <v>EL CORTE</v>
      </c>
      <c r="C2666" s="7">
        <v>46041</v>
      </c>
      <c r="D2666" s="7">
        <v>46044</v>
      </c>
      <c r="E2666" s="8">
        <v>1</v>
      </c>
      <c r="F2666" s="6" t="str">
        <f>"94859401_07026"</f>
        <v>94859401_07026</v>
      </c>
      <c r="G2666" s="6" t="str">
        <f t="shared" si="615"/>
        <v>F310631650000000</v>
      </c>
      <c r="H2666" s="6" t="str">
        <f t="shared" si="616"/>
        <v>PLAR 6316 FD - 500 g</v>
      </c>
      <c r="I2666" s="6" t="str">
        <f>"201855"</f>
        <v>201855</v>
      </c>
      <c r="J2666" s="6" t="str">
        <f>"AZUL 1855"</f>
        <v>AZUL 1855</v>
      </c>
      <c r="K2666" s="6" t="str">
        <f>"0520"</f>
        <v>0520</v>
      </c>
      <c r="L2666" s="6" t="str">
        <f>"Toalhetes"</f>
        <v>Toalhetes</v>
      </c>
      <c r="M2666" s="6" t="str">
        <f>"30x50"</f>
        <v>30x50</v>
      </c>
      <c r="N2666" s="6" t="str">
        <f>"5602972281040"</f>
        <v>5602972281040</v>
      </c>
      <c r="O2666" s="8">
        <v>6</v>
      </c>
      <c r="R2666" s="8">
        <v>0</v>
      </c>
      <c r="U2666" s="8">
        <v>0</v>
      </c>
      <c r="X2666" s="8">
        <v>0</v>
      </c>
      <c r="Z2666" s="8">
        <v>0</v>
      </c>
      <c r="AC2666" s="8">
        <v>0</v>
      </c>
      <c r="AF2666" s="8">
        <v>0</v>
      </c>
      <c r="AN2666" s="8">
        <v>0</v>
      </c>
      <c r="AO2666" s="8">
        <v>6</v>
      </c>
    </row>
    <row r="2667" spans="1:41" x14ac:dyDescent="0.25">
      <c r="A2667" s="6" t="str">
        <f>"522-2026000305"</f>
        <v>522-2026000305</v>
      </c>
      <c r="B2667" s="6" t="str">
        <f t="shared" si="614"/>
        <v>EL CORTE</v>
      </c>
      <c r="C2667" s="7">
        <v>46041</v>
      </c>
      <c r="D2667" s="7">
        <v>46044</v>
      </c>
      <c r="E2667" s="8">
        <v>2</v>
      </c>
      <c r="F2667" s="6" t="str">
        <f>"94859401_07026"</f>
        <v>94859401_07026</v>
      </c>
      <c r="G2667" s="6" t="str">
        <f t="shared" si="615"/>
        <v>F310631650000000</v>
      </c>
      <c r="H2667" s="6" t="str">
        <f t="shared" si="616"/>
        <v>PLAR 6316 FD - 500 g</v>
      </c>
      <c r="I2667" s="6" t="str">
        <f>"201855"</f>
        <v>201855</v>
      </c>
      <c r="J2667" s="6" t="str">
        <f>"AZUL 1855"</f>
        <v>AZUL 1855</v>
      </c>
      <c r="K2667" s="6" t="str">
        <f>"2020"</f>
        <v>2020</v>
      </c>
      <c r="L2667" s="6" t="str">
        <f>"Lençóis"</f>
        <v>Lençóis</v>
      </c>
      <c r="M2667" s="6" t="str">
        <f>"100x150"</f>
        <v>100x150</v>
      </c>
      <c r="N2667" s="6" t="str">
        <f>"5602972281064"</f>
        <v>5602972281064</v>
      </c>
      <c r="O2667" s="8">
        <v>9</v>
      </c>
      <c r="R2667" s="8">
        <v>0</v>
      </c>
      <c r="U2667" s="8">
        <v>0</v>
      </c>
      <c r="X2667" s="8">
        <v>0</v>
      </c>
      <c r="Z2667" s="8">
        <v>0</v>
      </c>
      <c r="AC2667" s="8">
        <v>0</v>
      </c>
      <c r="AF2667" s="8">
        <v>0</v>
      </c>
      <c r="AN2667" s="8">
        <v>0</v>
      </c>
      <c r="AO2667" s="8">
        <v>9</v>
      </c>
    </row>
    <row r="2668" spans="1:41" x14ac:dyDescent="0.25">
      <c r="A2668" s="6" t="str">
        <f>"522-2026000305"</f>
        <v>522-2026000305</v>
      </c>
      <c r="B2668" s="6" t="str">
        <f t="shared" si="614"/>
        <v>EL CORTE</v>
      </c>
      <c r="C2668" s="7">
        <v>46041</v>
      </c>
      <c r="D2668" s="7">
        <v>46044</v>
      </c>
      <c r="E2668" s="8">
        <v>3</v>
      </c>
      <c r="F2668" s="6" t="str">
        <f>"94859401_07026"</f>
        <v>94859401_07026</v>
      </c>
      <c r="G2668" s="6" t="str">
        <f t="shared" si="615"/>
        <v>F310631650000000</v>
      </c>
      <c r="H2668" s="6" t="str">
        <f t="shared" si="616"/>
        <v>PLAR 6316 FD - 500 g</v>
      </c>
      <c r="I2668" s="6" t="str">
        <f>"202575"</f>
        <v>202575</v>
      </c>
      <c r="J2668" s="6" t="str">
        <f>"BEGE 2575"</f>
        <v>BEGE 2575</v>
      </c>
      <c r="K2668" s="6" t="str">
        <f>"2020"</f>
        <v>2020</v>
      </c>
      <c r="L2668" s="6" t="str">
        <f>"Lençóis"</f>
        <v>Lençóis</v>
      </c>
      <c r="M2668" s="6" t="str">
        <f>"100x150"</f>
        <v>100x150</v>
      </c>
      <c r="N2668" s="6" t="str">
        <f>"5602972281095"</f>
        <v>5602972281095</v>
      </c>
      <c r="O2668" s="8">
        <v>6</v>
      </c>
      <c r="R2668" s="8">
        <v>0</v>
      </c>
      <c r="U2668" s="8">
        <v>0</v>
      </c>
      <c r="X2668" s="8">
        <v>0</v>
      </c>
      <c r="Z2668" s="8">
        <v>0</v>
      </c>
      <c r="AC2668" s="8">
        <v>0</v>
      </c>
      <c r="AF2668" s="8">
        <v>0</v>
      </c>
      <c r="AN2668" s="8">
        <v>0</v>
      </c>
      <c r="AO2668" s="8">
        <v>6</v>
      </c>
    </row>
    <row r="2669" spans="1:41" x14ac:dyDescent="0.25">
      <c r="A2669" s="6" t="str">
        <f>"522-2026000305"</f>
        <v>522-2026000305</v>
      </c>
      <c r="B2669" s="6" t="str">
        <f t="shared" si="614"/>
        <v>EL CORTE</v>
      </c>
      <c r="C2669" s="7">
        <v>46041</v>
      </c>
      <c r="D2669" s="7">
        <v>46044</v>
      </c>
      <c r="E2669" s="8">
        <v>4</v>
      </c>
      <c r="F2669" s="6" t="str">
        <f>"94859401_07026"</f>
        <v>94859401_07026</v>
      </c>
      <c r="G2669" s="6" t="str">
        <f t="shared" si="615"/>
        <v>F310631650000000</v>
      </c>
      <c r="H2669" s="6" t="str">
        <f t="shared" si="616"/>
        <v>PLAR 6316 FD - 500 g</v>
      </c>
      <c r="I2669" s="6" t="str">
        <f>"200901"</f>
        <v>200901</v>
      </c>
      <c r="J2669" s="6" t="str">
        <f>"ROSA 901"</f>
        <v>ROSA 901</v>
      </c>
      <c r="K2669" s="6" t="str">
        <f>"0520"</f>
        <v>0520</v>
      </c>
      <c r="L2669" s="6" t="str">
        <f>"Toalhetes"</f>
        <v>Toalhetes</v>
      </c>
      <c r="M2669" s="6" t="str">
        <f>"30x50"</f>
        <v>30x50</v>
      </c>
      <c r="N2669" s="6" t="str">
        <f>"5602972281101"</f>
        <v>5602972281101</v>
      </c>
      <c r="O2669" s="8">
        <v>6</v>
      </c>
      <c r="R2669" s="8">
        <v>0</v>
      </c>
      <c r="U2669" s="8">
        <v>0</v>
      </c>
      <c r="X2669" s="8">
        <v>0</v>
      </c>
      <c r="Z2669" s="8">
        <v>0</v>
      </c>
      <c r="AC2669" s="8">
        <v>0</v>
      </c>
      <c r="AF2669" s="8">
        <v>0</v>
      </c>
      <c r="AN2669" s="8">
        <v>0</v>
      </c>
      <c r="AO2669" s="8">
        <v>6</v>
      </c>
    </row>
    <row r="2670" spans="1:41" x14ac:dyDescent="0.25">
      <c r="A2670" s="6" t="str">
        <f>"522-2026000306"</f>
        <v>522-2026000306</v>
      </c>
      <c r="B2670" s="6" t="str">
        <f t="shared" si="614"/>
        <v>EL CORTE</v>
      </c>
      <c r="C2670" s="7">
        <v>46041</v>
      </c>
      <c r="D2670" s="7">
        <v>46044</v>
      </c>
      <c r="E2670" s="8">
        <v>1</v>
      </c>
      <c r="F2670" s="6" t="str">
        <f>"94857801_07026"</f>
        <v>94857801_07026</v>
      </c>
      <c r="G2670" s="6" t="str">
        <f t="shared" si="615"/>
        <v>F310631650000000</v>
      </c>
      <c r="H2670" s="6" t="str">
        <f t="shared" si="616"/>
        <v>PLAR 6316 FD - 500 g</v>
      </c>
      <c r="I2670" s="6" t="str">
        <f>"200901"</f>
        <v>200901</v>
      </c>
      <c r="J2670" s="6" t="str">
        <f>"ROSA 901"</f>
        <v>ROSA 901</v>
      </c>
      <c r="K2670" s="6" t="str">
        <f>"2020"</f>
        <v>2020</v>
      </c>
      <c r="L2670" s="6" t="str">
        <f>"Lençóis"</f>
        <v>Lençóis</v>
      </c>
      <c r="M2670" s="6" t="str">
        <f>"100x150"</f>
        <v>100x150</v>
      </c>
      <c r="N2670" s="6" t="str">
        <f>"5602972281125"</f>
        <v>5602972281125</v>
      </c>
      <c r="O2670" s="8">
        <v>6</v>
      </c>
      <c r="R2670" s="8">
        <v>0</v>
      </c>
      <c r="U2670" s="8">
        <v>0</v>
      </c>
      <c r="X2670" s="8">
        <v>0</v>
      </c>
      <c r="Z2670" s="8">
        <v>0</v>
      </c>
      <c r="AC2670" s="8">
        <v>0</v>
      </c>
      <c r="AF2670" s="8">
        <v>0</v>
      </c>
      <c r="AN2670" s="8">
        <v>0</v>
      </c>
      <c r="AO2670" s="8">
        <v>6</v>
      </c>
    </row>
    <row r="2671" spans="1:41" x14ac:dyDescent="0.25">
      <c r="A2671" s="6" t="str">
        <f>"522-2026000306"</f>
        <v>522-2026000306</v>
      </c>
      <c r="B2671" s="6" t="str">
        <f t="shared" si="614"/>
        <v>EL CORTE</v>
      </c>
      <c r="C2671" s="7">
        <v>46041</v>
      </c>
      <c r="D2671" s="7">
        <v>46044</v>
      </c>
      <c r="E2671" s="8">
        <v>2</v>
      </c>
      <c r="F2671" s="6" t="str">
        <f>"94857801_07026"</f>
        <v>94857801_07026</v>
      </c>
      <c r="G2671" s="6" t="str">
        <f t="shared" si="615"/>
        <v>F310631650000000</v>
      </c>
      <c r="H2671" s="6" t="str">
        <f t="shared" si="616"/>
        <v>PLAR 6316 FD - 500 g</v>
      </c>
      <c r="I2671" s="6" t="str">
        <f>"200510"</f>
        <v>200510</v>
      </c>
      <c r="J2671" s="6" t="str">
        <f>"VERDE 510"</f>
        <v>VERDE 510</v>
      </c>
      <c r="K2671" s="6" t="str">
        <f>"1024"</f>
        <v>1024</v>
      </c>
      <c r="L2671" s="6" t="str">
        <f>"Toalhas"</f>
        <v>Toalhas</v>
      </c>
      <c r="M2671" s="6" t="str">
        <f>"50x100"</f>
        <v>50x100</v>
      </c>
      <c r="N2671" s="6" t="str">
        <f>"5602972281149"</f>
        <v>5602972281149</v>
      </c>
      <c r="O2671" s="8">
        <v>6</v>
      </c>
      <c r="R2671" s="8">
        <v>0</v>
      </c>
      <c r="U2671" s="8">
        <v>0</v>
      </c>
      <c r="X2671" s="8">
        <v>0</v>
      </c>
      <c r="Z2671" s="8">
        <v>0</v>
      </c>
      <c r="AC2671" s="8">
        <v>0</v>
      </c>
      <c r="AF2671" s="8">
        <v>0</v>
      </c>
      <c r="AN2671" s="8">
        <v>6</v>
      </c>
      <c r="AO2671" s="8">
        <v>0</v>
      </c>
    </row>
    <row r="2672" spans="1:41" x14ac:dyDescent="0.25">
      <c r="A2672" s="6" t="str">
        <f>"522-2026000306"</f>
        <v>522-2026000306</v>
      </c>
      <c r="B2672" s="6" t="str">
        <f t="shared" si="614"/>
        <v>EL CORTE</v>
      </c>
      <c r="C2672" s="7">
        <v>46041</v>
      </c>
      <c r="D2672" s="7">
        <v>46044</v>
      </c>
      <c r="E2672" s="8">
        <v>3</v>
      </c>
      <c r="F2672" s="6" t="str">
        <f>"94857801_07026"</f>
        <v>94857801_07026</v>
      </c>
      <c r="G2672" s="6" t="str">
        <f t="shared" si="615"/>
        <v>F310631650000000</v>
      </c>
      <c r="H2672" s="6" t="str">
        <f t="shared" si="616"/>
        <v>PLAR 6316 FD - 500 g</v>
      </c>
      <c r="I2672" s="6" t="str">
        <f>"200510"</f>
        <v>200510</v>
      </c>
      <c r="J2672" s="6" t="str">
        <f>"VERDE 510"</f>
        <v>VERDE 510</v>
      </c>
      <c r="K2672" s="6" t="str">
        <f>"2020"</f>
        <v>2020</v>
      </c>
      <c r="L2672" s="6" t="str">
        <f>"Lençóis"</f>
        <v>Lençóis</v>
      </c>
      <c r="M2672" s="6" t="str">
        <f>"100x150"</f>
        <v>100x150</v>
      </c>
      <c r="N2672" s="6" t="str">
        <f>"5602972281156"</f>
        <v>5602972281156</v>
      </c>
      <c r="O2672" s="8">
        <v>9</v>
      </c>
      <c r="R2672" s="8">
        <v>0</v>
      </c>
      <c r="U2672" s="8">
        <v>0</v>
      </c>
      <c r="X2672" s="8">
        <v>0</v>
      </c>
      <c r="Z2672" s="8">
        <v>0</v>
      </c>
      <c r="AC2672" s="8">
        <v>0</v>
      </c>
      <c r="AF2672" s="8">
        <v>0</v>
      </c>
      <c r="AN2672" s="8">
        <v>0</v>
      </c>
      <c r="AO2672" s="8">
        <v>9</v>
      </c>
    </row>
    <row r="2673" spans="1:41" x14ac:dyDescent="0.25">
      <c r="A2673" s="6" t="str">
        <f t="shared" ref="A2673:A2683" si="623">"522-2026000307"</f>
        <v>522-2026000307</v>
      </c>
      <c r="B2673" s="6" t="str">
        <f t="shared" si="614"/>
        <v>EL CORTE</v>
      </c>
      <c r="C2673" s="7">
        <v>46041</v>
      </c>
      <c r="D2673" s="7">
        <v>46044</v>
      </c>
      <c r="E2673" s="8">
        <v>1</v>
      </c>
      <c r="F2673" s="6" t="str">
        <f t="shared" ref="F2673:F2683" si="624">"94858701_07026"</f>
        <v>94858701_07026</v>
      </c>
      <c r="G2673" s="6" t="str">
        <f t="shared" si="615"/>
        <v>F310631650000000</v>
      </c>
      <c r="H2673" s="6" t="str">
        <f t="shared" si="616"/>
        <v>PLAR 6316 FD - 500 g</v>
      </c>
      <c r="I2673" s="6" t="str">
        <f>"201855"</f>
        <v>201855</v>
      </c>
      <c r="J2673" s="6" t="str">
        <f>"AZUL 1855"</f>
        <v>AZUL 1855</v>
      </c>
      <c r="K2673" s="6" t="str">
        <f>"0520"</f>
        <v>0520</v>
      </c>
      <c r="L2673" s="6" t="str">
        <f>"Toalhetes"</f>
        <v>Toalhetes</v>
      </c>
      <c r="M2673" s="6" t="str">
        <f>"30x50"</f>
        <v>30x50</v>
      </c>
      <c r="N2673" s="6" t="str">
        <f>"5602972281040"</f>
        <v>5602972281040</v>
      </c>
      <c r="O2673" s="8">
        <v>6</v>
      </c>
      <c r="R2673" s="8">
        <v>0</v>
      </c>
      <c r="U2673" s="8">
        <v>0</v>
      </c>
      <c r="X2673" s="8">
        <v>0</v>
      </c>
      <c r="Z2673" s="8">
        <v>0</v>
      </c>
      <c r="AC2673" s="8">
        <v>0</v>
      </c>
      <c r="AF2673" s="8">
        <v>0</v>
      </c>
      <c r="AN2673" s="8">
        <v>0</v>
      </c>
      <c r="AO2673" s="8">
        <v>6</v>
      </c>
    </row>
    <row r="2674" spans="1:41" x14ac:dyDescent="0.25">
      <c r="A2674" s="6" t="str">
        <f t="shared" si="623"/>
        <v>522-2026000307</v>
      </c>
      <c r="B2674" s="6" t="str">
        <f t="shared" si="614"/>
        <v>EL CORTE</v>
      </c>
      <c r="C2674" s="7">
        <v>46041</v>
      </c>
      <c r="D2674" s="7">
        <v>46044</v>
      </c>
      <c r="E2674" s="8">
        <v>2</v>
      </c>
      <c r="F2674" s="6" t="str">
        <f t="shared" si="624"/>
        <v>94858701_07026</v>
      </c>
      <c r="G2674" s="6" t="str">
        <f t="shared" si="615"/>
        <v>F310631650000000</v>
      </c>
      <c r="H2674" s="6" t="str">
        <f t="shared" si="616"/>
        <v>PLAR 6316 FD - 500 g</v>
      </c>
      <c r="I2674" s="6" t="str">
        <f>"201855"</f>
        <v>201855</v>
      </c>
      <c r="J2674" s="6" t="str">
        <f>"AZUL 1855"</f>
        <v>AZUL 1855</v>
      </c>
      <c r="K2674" s="6" t="str">
        <f>"1024"</f>
        <v>1024</v>
      </c>
      <c r="L2674" s="6" t="str">
        <f>"Toalhas"</f>
        <v>Toalhas</v>
      </c>
      <c r="M2674" s="6" t="str">
        <f>"50x100"</f>
        <v>50x100</v>
      </c>
      <c r="N2674" s="6" t="str">
        <f>"5602972281057"</f>
        <v>5602972281057</v>
      </c>
      <c r="O2674" s="8">
        <v>12</v>
      </c>
      <c r="R2674" s="8">
        <v>0</v>
      </c>
      <c r="U2674" s="8">
        <v>0</v>
      </c>
      <c r="X2674" s="8">
        <v>0</v>
      </c>
      <c r="Z2674" s="8">
        <v>0</v>
      </c>
      <c r="AC2674" s="8">
        <v>0</v>
      </c>
      <c r="AF2674" s="8">
        <v>0</v>
      </c>
      <c r="AN2674" s="8">
        <v>12</v>
      </c>
      <c r="AO2674" s="8">
        <v>0</v>
      </c>
    </row>
    <row r="2675" spans="1:41" x14ac:dyDescent="0.25">
      <c r="A2675" s="6" t="str">
        <f t="shared" si="623"/>
        <v>522-2026000307</v>
      </c>
      <c r="B2675" s="6" t="str">
        <f t="shared" si="614"/>
        <v>EL CORTE</v>
      </c>
      <c r="C2675" s="7">
        <v>46041</v>
      </c>
      <c r="D2675" s="7">
        <v>46044</v>
      </c>
      <c r="E2675" s="8">
        <v>3</v>
      </c>
      <c r="F2675" s="6" t="str">
        <f t="shared" si="624"/>
        <v>94858701_07026</v>
      </c>
      <c r="G2675" s="6" t="str">
        <f t="shared" si="615"/>
        <v>F310631650000000</v>
      </c>
      <c r="H2675" s="6" t="str">
        <f t="shared" si="616"/>
        <v>PLAR 6316 FD - 500 g</v>
      </c>
      <c r="I2675" s="6" t="str">
        <f>"201855"</f>
        <v>201855</v>
      </c>
      <c r="J2675" s="6" t="str">
        <f>"AZUL 1855"</f>
        <v>AZUL 1855</v>
      </c>
      <c r="K2675" s="6" t="str">
        <f>"2020"</f>
        <v>2020</v>
      </c>
      <c r="L2675" s="6" t="str">
        <f>"Lençóis"</f>
        <v>Lençóis</v>
      </c>
      <c r="M2675" s="6" t="str">
        <f>"100x150"</f>
        <v>100x150</v>
      </c>
      <c r="N2675" s="6" t="str">
        <f>"5602972281064"</f>
        <v>5602972281064</v>
      </c>
      <c r="O2675" s="8">
        <v>15</v>
      </c>
      <c r="R2675" s="8">
        <v>0</v>
      </c>
      <c r="U2675" s="8">
        <v>0</v>
      </c>
      <c r="X2675" s="8">
        <v>0</v>
      </c>
      <c r="Z2675" s="8">
        <v>0</v>
      </c>
      <c r="AC2675" s="8">
        <v>0</v>
      </c>
      <c r="AF2675" s="8">
        <v>0</v>
      </c>
      <c r="AN2675" s="8">
        <v>0</v>
      </c>
      <c r="AO2675" s="8">
        <v>15</v>
      </c>
    </row>
    <row r="2676" spans="1:41" x14ac:dyDescent="0.25">
      <c r="A2676" s="6" t="str">
        <f t="shared" si="623"/>
        <v>522-2026000307</v>
      </c>
      <c r="B2676" s="6" t="str">
        <f t="shared" si="614"/>
        <v>EL CORTE</v>
      </c>
      <c r="C2676" s="7">
        <v>46041</v>
      </c>
      <c r="D2676" s="7">
        <v>46044</v>
      </c>
      <c r="E2676" s="8">
        <v>4</v>
      </c>
      <c r="F2676" s="6" t="str">
        <f t="shared" si="624"/>
        <v>94858701_07026</v>
      </c>
      <c r="G2676" s="6" t="str">
        <f t="shared" si="615"/>
        <v>F310631650000000</v>
      </c>
      <c r="H2676" s="6" t="str">
        <f t="shared" si="616"/>
        <v>PLAR 6316 FD - 500 g</v>
      </c>
      <c r="I2676" s="6" t="str">
        <f>"202575"</f>
        <v>202575</v>
      </c>
      <c r="J2676" s="6" t="str">
        <f>"BEGE 2575"</f>
        <v>BEGE 2575</v>
      </c>
      <c r="K2676" s="6" t="str">
        <f>"0520"</f>
        <v>0520</v>
      </c>
      <c r="L2676" s="6" t="str">
        <f>"Toalhetes"</f>
        <v>Toalhetes</v>
      </c>
      <c r="M2676" s="6" t="str">
        <f>"30x50"</f>
        <v>30x50</v>
      </c>
      <c r="N2676" s="6" t="str">
        <f>"5602972281071"</f>
        <v>5602972281071</v>
      </c>
      <c r="O2676" s="8">
        <v>12</v>
      </c>
      <c r="R2676" s="8">
        <v>0</v>
      </c>
      <c r="U2676" s="8">
        <v>0</v>
      </c>
      <c r="X2676" s="8">
        <v>0</v>
      </c>
      <c r="Z2676" s="8">
        <v>0</v>
      </c>
      <c r="AC2676" s="8">
        <v>0</v>
      </c>
      <c r="AF2676" s="8">
        <v>0</v>
      </c>
      <c r="AN2676" s="8">
        <v>12</v>
      </c>
      <c r="AO2676" s="8">
        <v>0</v>
      </c>
    </row>
    <row r="2677" spans="1:41" x14ac:dyDescent="0.25">
      <c r="A2677" s="6" t="str">
        <f t="shared" si="623"/>
        <v>522-2026000307</v>
      </c>
      <c r="B2677" s="6" t="str">
        <f t="shared" si="614"/>
        <v>EL CORTE</v>
      </c>
      <c r="C2677" s="7">
        <v>46041</v>
      </c>
      <c r="D2677" s="7">
        <v>46044</v>
      </c>
      <c r="E2677" s="8">
        <v>5</v>
      </c>
      <c r="F2677" s="6" t="str">
        <f t="shared" si="624"/>
        <v>94858701_07026</v>
      </c>
      <c r="G2677" s="6" t="str">
        <f t="shared" si="615"/>
        <v>F310631650000000</v>
      </c>
      <c r="H2677" s="6" t="str">
        <f t="shared" si="616"/>
        <v>PLAR 6316 FD - 500 g</v>
      </c>
      <c r="I2677" s="6" t="str">
        <f>"202575"</f>
        <v>202575</v>
      </c>
      <c r="J2677" s="6" t="str">
        <f>"BEGE 2575"</f>
        <v>BEGE 2575</v>
      </c>
      <c r="K2677" s="6" t="str">
        <f>"1024"</f>
        <v>1024</v>
      </c>
      <c r="L2677" s="6" t="str">
        <f>"Toalhas"</f>
        <v>Toalhas</v>
      </c>
      <c r="M2677" s="6" t="str">
        <f>"50x100"</f>
        <v>50x100</v>
      </c>
      <c r="N2677" s="6" t="str">
        <f>"5602972281088"</f>
        <v>5602972281088</v>
      </c>
      <c r="O2677" s="8">
        <v>6</v>
      </c>
      <c r="R2677" s="8">
        <v>0</v>
      </c>
      <c r="U2677" s="8">
        <v>0</v>
      </c>
      <c r="X2677" s="8">
        <v>0</v>
      </c>
      <c r="Z2677" s="8">
        <v>0</v>
      </c>
      <c r="AC2677" s="8">
        <v>0</v>
      </c>
      <c r="AF2677" s="8">
        <v>0</v>
      </c>
      <c r="AN2677" s="8">
        <v>6</v>
      </c>
      <c r="AO2677" s="8">
        <v>0</v>
      </c>
    </row>
    <row r="2678" spans="1:41" x14ac:dyDescent="0.25">
      <c r="A2678" s="6" t="str">
        <f t="shared" si="623"/>
        <v>522-2026000307</v>
      </c>
      <c r="B2678" s="6" t="str">
        <f t="shared" si="614"/>
        <v>EL CORTE</v>
      </c>
      <c r="C2678" s="7">
        <v>46041</v>
      </c>
      <c r="D2678" s="7">
        <v>46044</v>
      </c>
      <c r="E2678" s="8">
        <v>6</v>
      </c>
      <c r="F2678" s="6" t="str">
        <f t="shared" si="624"/>
        <v>94858701_07026</v>
      </c>
      <c r="G2678" s="6" t="str">
        <f t="shared" si="615"/>
        <v>F310631650000000</v>
      </c>
      <c r="H2678" s="6" t="str">
        <f t="shared" si="616"/>
        <v>PLAR 6316 FD - 500 g</v>
      </c>
      <c r="I2678" s="6" t="str">
        <f>"200901"</f>
        <v>200901</v>
      </c>
      <c r="J2678" s="6" t="str">
        <f>"ROSA 901"</f>
        <v>ROSA 901</v>
      </c>
      <c r="K2678" s="6" t="str">
        <f>"0520"</f>
        <v>0520</v>
      </c>
      <c r="L2678" s="6" t="str">
        <f>"Toalhetes"</f>
        <v>Toalhetes</v>
      </c>
      <c r="M2678" s="6" t="str">
        <f>"30x50"</f>
        <v>30x50</v>
      </c>
      <c r="N2678" s="6" t="str">
        <f>"5602972281101"</f>
        <v>5602972281101</v>
      </c>
      <c r="O2678" s="8">
        <v>12</v>
      </c>
      <c r="R2678" s="8">
        <v>0</v>
      </c>
      <c r="U2678" s="8">
        <v>0</v>
      </c>
      <c r="X2678" s="8">
        <v>0</v>
      </c>
      <c r="Z2678" s="8">
        <v>0</v>
      </c>
      <c r="AC2678" s="8">
        <v>0</v>
      </c>
      <c r="AF2678" s="8">
        <v>0</v>
      </c>
      <c r="AN2678" s="8">
        <v>0</v>
      </c>
      <c r="AO2678" s="8">
        <v>12</v>
      </c>
    </row>
    <row r="2679" spans="1:41" x14ac:dyDescent="0.25">
      <c r="A2679" s="6" t="str">
        <f t="shared" si="623"/>
        <v>522-2026000307</v>
      </c>
      <c r="B2679" s="6" t="str">
        <f t="shared" si="614"/>
        <v>EL CORTE</v>
      </c>
      <c r="C2679" s="7">
        <v>46041</v>
      </c>
      <c r="D2679" s="7">
        <v>46044</v>
      </c>
      <c r="E2679" s="8">
        <v>7</v>
      </c>
      <c r="F2679" s="6" t="str">
        <f t="shared" si="624"/>
        <v>94858701_07026</v>
      </c>
      <c r="G2679" s="6" t="str">
        <f t="shared" si="615"/>
        <v>F310631650000000</v>
      </c>
      <c r="H2679" s="6" t="str">
        <f t="shared" si="616"/>
        <v>PLAR 6316 FD - 500 g</v>
      </c>
      <c r="I2679" s="6" t="str">
        <f>"200901"</f>
        <v>200901</v>
      </c>
      <c r="J2679" s="6" t="str">
        <f>"ROSA 901"</f>
        <v>ROSA 901</v>
      </c>
      <c r="K2679" s="6" t="str">
        <f>"1024"</f>
        <v>1024</v>
      </c>
      <c r="L2679" s="6" t="str">
        <f>"Toalhas"</f>
        <v>Toalhas</v>
      </c>
      <c r="M2679" s="6" t="str">
        <f>"50x100"</f>
        <v>50x100</v>
      </c>
      <c r="N2679" s="6" t="str">
        <f>"5602972281118"</f>
        <v>5602972281118</v>
      </c>
      <c r="O2679" s="8">
        <v>12</v>
      </c>
      <c r="R2679" s="8">
        <v>0</v>
      </c>
      <c r="U2679" s="8">
        <v>0</v>
      </c>
      <c r="X2679" s="8">
        <v>0</v>
      </c>
      <c r="Z2679" s="8">
        <v>0</v>
      </c>
      <c r="AC2679" s="8">
        <v>0</v>
      </c>
      <c r="AF2679" s="8">
        <v>0</v>
      </c>
      <c r="AN2679" s="8">
        <v>12</v>
      </c>
      <c r="AO2679" s="8">
        <v>0</v>
      </c>
    </row>
    <row r="2680" spans="1:41" x14ac:dyDescent="0.25">
      <c r="A2680" s="6" t="str">
        <f t="shared" si="623"/>
        <v>522-2026000307</v>
      </c>
      <c r="B2680" s="6" t="str">
        <f t="shared" si="614"/>
        <v>EL CORTE</v>
      </c>
      <c r="C2680" s="7">
        <v>46041</v>
      </c>
      <c r="D2680" s="7">
        <v>46044</v>
      </c>
      <c r="E2680" s="8">
        <v>8</v>
      </c>
      <c r="F2680" s="6" t="str">
        <f t="shared" si="624"/>
        <v>94858701_07026</v>
      </c>
      <c r="G2680" s="6" t="str">
        <f t="shared" si="615"/>
        <v>F310631650000000</v>
      </c>
      <c r="H2680" s="6" t="str">
        <f t="shared" si="616"/>
        <v>PLAR 6316 FD - 500 g</v>
      </c>
      <c r="I2680" s="6" t="str">
        <f>"200901"</f>
        <v>200901</v>
      </c>
      <c r="J2680" s="6" t="str">
        <f>"ROSA 901"</f>
        <v>ROSA 901</v>
      </c>
      <c r="K2680" s="6" t="str">
        <f>"2020"</f>
        <v>2020</v>
      </c>
      <c r="L2680" s="6" t="str">
        <f>"Lençóis"</f>
        <v>Lençóis</v>
      </c>
      <c r="M2680" s="6" t="str">
        <f>"100x150"</f>
        <v>100x150</v>
      </c>
      <c r="N2680" s="6" t="str">
        <f>"5602972281125"</f>
        <v>5602972281125</v>
      </c>
      <c r="O2680" s="8">
        <v>3</v>
      </c>
      <c r="R2680" s="8">
        <v>0</v>
      </c>
      <c r="U2680" s="8">
        <v>0</v>
      </c>
      <c r="X2680" s="8">
        <v>0</v>
      </c>
      <c r="Z2680" s="8">
        <v>0</v>
      </c>
      <c r="AC2680" s="8">
        <v>0</v>
      </c>
      <c r="AF2680" s="8">
        <v>0</v>
      </c>
      <c r="AN2680" s="8">
        <v>0</v>
      </c>
      <c r="AO2680" s="8">
        <v>3</v>
      </c>
    </row>
    <row r="2681" spans="1:41" x14ac:dyDescent="0.25">
      <c r="A2681" s="6" t="str">
        <f t="shared" si="623"/>
        <v>522-2026000307</v>
      </c>
      <c r="B2681" s="6" t="str">
        <f t="shared" si="614"/>
        <v>EL CORTE</v>
      </c>
      <c r="C2681" s="7">
        <v>46041</v>
      </c>
      <c r="D2681" s="7">
        <v>46044</v>
      </c>
      <c r="E2681" s="8">
        <v>9</v>
      </c>
      <c r="F2681" s="6" t="str">
        <f t="shared" si="624"/>
        <v>94858701_07026</v>
      </c>
      <c r="G2681" s="6" t="str">
        <f t="shared" si="615"/>
        <v>F310631650000000</v>
      </c>
      <c r="H2681" s="6" t="str">
        <f t="shared" si="616"/>
        <v>PLAR 6316 FD - 500 g</v>
      </c>
      <c r="I2681" s="6" t="str">
        <f>"200510"</f>
        <v>200510</v>
      </c>
      <c r="J2681" s="6" t="str">
        <f>"VERDE 510"</f>
        <v>VERDE 510</v>
      </c>
      <c r="K2681" s="6" t="str">
        <f>"0520"</f>
        <v>0520</v>
      </c>
      <c r="L2681" s="6" t="str">
        <f>"Toalhetes"</f>
        <v>Toalhetes</v>
      </c>
      <c r="M2681" s="6" t="str">
        <f>"30x50"</f>
        <v>30x50</v>
      </c>
      <c r="N2681" s="6" t="str">
        <f>"5602972281132"</f>
        <v>5602972281132</v>
      </c>
      <c r="O2681" s="8">
        <v>6</v>
      </c>
      <c r="R2681" s="8">
        <v>0</v>
      </c>
      <c r="U2681" s="8">
        <v>0</v>
      </c>
      <c r="X2681" s="8">
        <v>0</v>
      </c>
      <c r="Z2681" s="8">
        <v>0</v>
      </c>
      <c r="AC2681" s="8">
        <v>0</v>
      </c>
      <c r="AF2681" s="8">
        <v>0</v>
      </c>
      <c r="AN2681" s="8">
        <v>0</v>
      </c>
      <c r="AO2681" s="8">
        <v>6</v>
      </c>
    </row>
    <row r="2682" spans="1:41" x14ac:dyDescent="0.25">
      <c r="A2682" s="6" t="str">
        <f t="shared" si="623"/>
        <v>522-2026000307</v>
      </c>
      <c r="B2682" s="6" t="str">
        <f t="shared" si="614"/>
        <v>EL CORTE</v>
      </c>
      <c r="C2682" s="7">
        <v>46041</v>
      </c>
      <c r="D2682" s="7">
        <v>46044</v>
      </c>
      <c r="E2682" s="8">
        <v>10</v>
      </c>
      <c r="F2682" s="6" t="str">
        <f t="shared" si="624"/>
        <v>94858701_07026</v>
      </c>
      <c r="G2682" s="6" t="str">
        <f t="shared" si="615"/>
        <v>F310631650000000</v>
      </c>
      <c r="H2682" s="6" t="str">
        <f t="shared" si="616"/>
        <v>PLAR 6316 FD - 500 g</v>
      </c>
      <c r="I2682" s="6" t="str">
        <f>"200510"</f>
        <v>200510</v>
      </c>
      <c r="J2682" s="6" t="str">
        <f>"VERDE 510"</f>
        <v>VERDE 510</v>
      </c>
      <c r="K2682" s="6" t="str">
        <f>"1024"</f>
        <v>1024</v>
      </c>
      <c r="L2682" s="6" t="str">
        <f>"Toalhas"</f>
        <v>Toalhas</v>
      </c>
      <c r="M2682" s="6" t="str">
        <f>"50x100"</f>
        <v>50x100</v>
      </c>
      <c r="N2682" s="6" t="str">
        <f>"5602972281149"</f>
        <v>5602972281149</v>
      </c>
      <c r="O2682" s="8">
        <v>24</v>
      </c>
      <c r="R2682" s="8">
        <v>0</v>
      </c>
      <c r="U2682" s="8">
        <v>0</v>
      </c>
      <c r="X2682" s="8">
        <v>0</v>
      </c>
      <c r="Z2682" s="8">
        <v>0</v>
      </c>
      <c r="AC2682" s="8">
        <v>0</v>
      </c>
      <c r="AF2682" s="8">
        <v>0</v>
      </c>
      <c r="AN2682" s="8">
        <v>24</v>
      </c>
      <c r="AO2682" s="8">
        <v>0</v>
      </c>
    </row>
    <row r="2683" spans="1:41" x14ac:dyDescent="0.25">
      <c r="A2683" s="6" t="str">
        <f t="shared" si="623"/>
        <v>522-2026000307</v>
      </c>
      <c r="B2683" s="6" t="str">
        <f t="shared" si="614"/>
        <v>EL CORTE</v>
      </c>
      <c r="C2683" s="7">
        <v>46041</v>
      </c>
      <c r="D2683" s="7">
        <v>46044</v>
      </c>
      <c r="E2683" s="8">
        <v>11</v>
      </c>
      <c r="F2683" s="6" t="str">
        <f t="shared" si="624"/>
        <v>94858701_07026</v>
      </c>
      <c r="G2683" s="6" t="str">
        <f t="shared" si="615"/>
        <v>F310631650000000</v>
      </c>
      <c r="H2683" s="6" t="str">
        <f t="shared" si="616"/>
        <v>PLAR 6316 FD - 500 g</v>
      </c>
      <c r="I2683" s="6" t="str">
        <f>"200510"</f>
        <v>200510</v>
      </c>
      <c r="J2683" s="6" t="str">
        <f>"VERDE 510"</f>
        <v>VERDE 510</v>
      </c>
      <c r="K2683" s="6" t="str">
        <f>"2020"</f>
        <v>2020</v>
      </c>
      <c r="L2683" s="6" t="str">
        <f>"Lençóis"</f>
        <v>Lençóis</v>
      </c>
      <c r="M2683" s="6" t="str">
        <f>"100x150"</f>
        <v>100x150</v>
      </c>
      <c r="N2683" s="6" t="str">
        <f>"5602972281156"</f>
        <v>5602972281156</v>
      </c>
      <c r="O2683" s="8">
        <v>9</v>
      </c>
      <c r="R2683" s="8">
        <v>0</v>
      </c>
      <c r="U2683" s="8">
        <v>0</v>
      </c>
      <c r="X2683" s="8">
        <v>0</v>
      </c>
      <c r="Z2683" s="8">
        <v>0</v>
      </c>
      <c r="AC2683" s="8">
        <v>0</v>
      </c>
      <c r="AF2683" s="8">
        <v>0</v>
      </c>
      <c r="AN2683" s="8">
        <v>0</v>
      </c>
      <c r="AO2683" s="8">
        <v>9</v>
      </c>
    </row>
    <row r="2684" spans="1:41" x14ac:dyDescent="0.25">
      <c r="A2684" s="6" t="str">
        <f>"522-2026000308"</f>
        <v>522-2026000308</v>
      </c>
      <c r="B2684" s="6" t="str">
        <f t="shared" si="614"/>
        <v>EL CORTE</v>
      </c>
      <c r="C2684" s="7">
        <v>46041</v>
      </c>
      <c r="D2684" s="7">
        <v>46044</v>
      </c>
      <c r="E2684" s="8">
        <v>1</v>
      </c>
      <c r="F2684" s="6" t="str">
        <f>"94857501_07026"</f>
        <v>94857501_07026</v>
      </c>
      <c r="G2684" s="6" t="str">
        <f t="shared" si="615"/>
        <v>F310631650000000</v>
      </c>
      <c r="H2684" s="6" t="str">
        <f t="shared" si="616"/>
        <v>PLAR 6316 FD - 500 g</v>
      </c>
      <c r="I2684" s="6" t="str">
        <f>"201855"</f>
        <v>201855</v>
      </c>
      <c r="J2684" s="6" t="str">
        <f>"AZUL 1855"</f>
        <v>AZUL 1855</v>
      </c>
      <c r="K2684" s="6" t="str">
        <f>"0520"</f>
        <v>0520</v>
      </c>
      <c r="L2684" s="6" t="str">
        <f>"Toalhetes"</f>
        <v>Toalhetes</v>
      </c>
      <c r="M2684" s="6" t="str">
        <f>"30x50"</f>
        <v>30x50</v>
      </c>
      <c r="N2684" s="6" t="str">
        <f>"5602972281040"</f>
        <v>5602972281040</v>
      </c>
      <c r="O2684" s="8">
        <v>6</v>
      </c>
      <c r="R2684" s="8">
        <v>0</v>
      </c>
      <c r="U2684" s="8">
        <v>0</v>
      </c>
      <c r="X2684" s="8">
        <v>0</v>
      </c>
      <c r="Z2684" s="8">
        <v>0</v>
      </c>
      <c r="AC2684" s="8">
        <v>0</v>
      </c>
      <c r="AF2684" s="8">
        <v>0</v>
      </c>
      <c r="AN2684" s="8">
        <v>0</v>
      </c>
      <c r="AO2684" s="8">
        <v>6</v>
      </c>
    </row>
    <row r="2685" spans="1:41" x14ac:dyDescent="0.25">
      <c r="A2685" s="6" t="str">
        <f>"522-2026000308"</f>
        <v>522-2026000308</v>
      </c>
      <c r="B2685" s="6" t="str">
        <f t="shared" si="614"/>
        <v>EL CORTE</v>
      </c>
      <c r="C2685" s="7">
        <v>46041</v>
      </c>
      <c r="D2685" s="7">
        <v>46044</v>
      </c>
      <c r="E2685" s="8">
        <v>2</v>
      </c>
      <c r="F2685" s="6" t="str">
        <f>"94857501_07026"</f>
        <v>94857501_07026</v>
      </c>
      <c r="G2685" s="6" t="str">
        <f t="shared" si="615"/>
        <v>F310631650000000</v>
      </c>
      <c r="H2685" s="6" t="str">
        <f t="shared" si="616"/>
        <v>PLAR 6316 FD - 500 g</v>
      </c>
      <c r="I2685" s="6" t="str">
        <f>"201855"</f>
        <v>201855</v>
      </c>
      <c r="J2685" s="6" t="str">
        <f>"AZUL 1855"</f>
        <v>AZUL 1855</v>
      </c>
      <c r="K2685" s="6" t="str">
        <f>"2020"</f>
        <v>2020</v>
      </c>
      <c r="L2685" s="6" t="str">
        <f>"Lençóis"</f>
        <v>Lençóis</v>
      </c>
      <c r="M2685" s="6" t="str">
        <f>"100x150"</f>
        <v>100x150</v>
      </c>
      <c r="N2685" s="6" t="str">
        <f>"5602972281064"</f>
        <v>5602972281064</v>
      </c>
      <c r="O2685" s="8">
        <v>6</v>
      </c>
      <c r="R2685" s="8">
        <v>0</v>
      </c>
      <c r="U2685" s="8">
        <v>0</v>
      </c>
      <c r="X2685" s="8">
        <v>0</v>
      </c>
      <c r="Z2685" s="8">
        <v>0</v>
      </c>
      <c r="AC2685" s="8">
        <v>0</v>
      </c>
      <c r="AF2685" s="8">
        <v>0</v>
      </c>
      <c r="AN2685" s="8">
        <v>0</v>
      </c>
      <c r="AO2685" s="8">
        <v>6</v>
      </c>
    </row>
    <row r="2686" spans="1:41" x14ac:dyDescent="0.25">
      <c r="A2686" s="6" t="str">
        <f>"522-2026000308"</f>
        <v>522-2026000308</v>
      </c>
      <c r="B2686" s="6" t="str">
        <f t="shared" si="614"/>
        <v>EL CORTE</v>
      </c>
      <c r="C2686" s="7">
        <v>46041</v>
      </c>
      <c r="D2686" s="7">
        <v>46044</v>
      </c>
      <c r="E2686" s="8">
        <v>3</v>
      </c>
      <c r="F2686" s="6" t="str">
        <f>"94857501_07026"</f>
        <v>94857501_07026</v>
      </c>
      <c r="G2686" s="6" t="str">
        <f t="shared" si="615"/>
        <v>F310631650000000</v>
      </c>
      <c r="H2686" s="6" t="str">
        <f t="shared" si="616"/>
        <v>PLAR 6316 FD - 500 g</v>
      </c>
      <c r="I2686" s="6" t="str">
        <f>"202575"</f>
        <v>202575</v>
      </c>
      <c r="J2686" s="6" t="str">
        <f>"BEGE 2575"</f>
        <v>BEGE 2575</v>
      </c>
      <c r="K2686" s="6" t="str">
        <f>"2020"</f>
        <v>2020</v>
      </c>
      <c r="L2686" s="6" t="str">
        <f>"Lençóis"</f>
        <v>Lençóis</v>
      </c>
      <c r="M2686" s="6" t="str">
        <f>"100x150"</f>
        <v>100x150</v>
      </c>
      <c r="N2686" s="6" t="str">
        <f>"5602972281095"</f>
        <v>5602972281095</v>
      </c>
      <c r="O2686" s="8">
        <v>9</v>
      </c>
      <c r="R2686" s="8">
        <v>0</v>
      </c>
      <c r="U2686" s="8">
        <v>0</v>
      </c>
      <c r="X2686" s="8">
        <v>0</v>
      </c>
      <c r="Z2686" s="8">
        <v>0</v>
      </c>
      <c r="AC2686" s="8">
        <v>0</v>
      </c>
      <c r="AF2686" s="8">
        <v>0</v>
      </c>
      <c r="AN2686" s="8">
        <v>0</v>
      </c>
      <c r="AO2686" s="8">
        <v>9</v>
      </c>
    </row>
    <row r="2687" spans="1:41" x14ac:dyDescent="0.25">
      <c r="A2687" s="6" t="str">
        <f>"522-2026000308"</f>
        <v>522-2026000308</v>
      </c>
      <c r="B2687" s="6" t="str">
        <f t="shared" si="614"/>
        <v>EL CORTE</v>
      </c>
      <c r="C2687" s="7">
        <v>46041</v>
      </c>
      <c r="D2687" s="7">
        <v>46044</v>
      </c>
      <c r="E2687" s="8">
        <v>4</v>
      </c>
      <c r="F2687" s="6" t="str">
        <f>"94857501_07026"</f>
        <v>94857501_07026</v>
      </c>
      <c r="G2687" s="6" t="str">
        <f t="shared" si="615"/>
        <v>F310631650000000</v>
      </c>
      <c r="H2687" s="6" t="str">
        <f t="shared" si="616"/>
        <v>PLAR 6316 FD - 500 g</v>
      </c>
      <c r="I2687" s="6" t="str">
        <f>"200901"</f>
        <v>200901</v>
      </c>
      <c r="J2687" s="6" t="str">
        <f>"ROSA 901"</f>
        <v>ROSA 901</v>
      </c>
      <c r="K2687" s="6" t="str">
        <f>"2020"</f>
        <v>2020</v>
      </c>
      <c r="L2687" s="6" t="str">
        <f>"Lençóis"</f>
        <v>Lençóis</v>
      </c>
      <c r="M2687" s="6" t="str">
        <f>"100x150"</f>
        <v>100x150</v>
      </c>
      <c r="N2687" s="6" t="str">
        <f>"5602972281125"</f>
        <v>5602972281125</v>
      </c>
      <c r="O2687" s="8">
        <v>6</v>
      </c>
      <c r="R2687" s="8">
        <v>0</v>
      </c>
      <c r="U2687" s="8">
        <v>0</v>
      </c>
      <c r="X2687" s="8">
        <v>0</v>
      </c>
      <c r="Z2687" s="8">
        <v>0</v>
      </c>
      <c r="AC2687" s="8">
        <v>0</v>
      </c>
      <c r="AF2687" s="8">
        <v>0</v>
      </c>
      <c r="AN2687" s="8">
        <v>0</v>
      </c>
      <c r="AO2687" s="8">
        <v>6</v>
      </c>
    </row>
    <row r="2688" spans="1:41" x14ac:dyDescent="0.25">
      <c r="A2688" s="6" t="str">
        <f>"522-2026000308"</f>
        <v>522-2026000308</v>
      </c>
      <c r="B2688" s="6" t="str">
        <f t="shared" si="614"/>
        <v>EL CORTE</v>
      </c>
      <c r="C2688" s="7">
        <v>46041</v>
      </c>
      <c r="D2688" s="7">
        <v>46044</v>
      </c>
      <c r="E2688" s="8">
        <v>5</v>
      </c>
      <c r="F2688" s="6" t="str">
        <f>"94857501_07026"</f>
        <v>94857501_07026</v>
      </c>
      <c r="G2688" s="6" t="str">
        <f t="shared" si="615"/>
        <v>F310631650000000</v>
      </c>
      <c r="H2688" s="6" t="str">
        <f t="shared" si="616"/>
        <v>PLAR 6316 FD - 500 g</v>
      </c>
      <c r="I2688" s="6" t="str">
        <f>"200510"</f>
        <v>200510</v>
      </c>
      <c r="J2688" s="6" t="str">
        <f>"VERDE 510"</f>
        <v>VERDE 510</v>
      </c>
      <c r="K2688" s="6" t="str">
        <f>"2020"</f>
        <v>2020</v>
      </c>
      <c r="L2688" s="6" t="str">
        <f>"Lençóis"</f>
        <v>Lençóis</v>
      </c>
      <c r="M2688" s="6" t="str">
        <f>"100x150"</f>
        <v>100x150</v>
      </c>
      <c r="N2688" s="6" t="str">
        <f>"5602972281156"</f>
        <v>5602972281156</v>
      </c>
      <c r="O2688" s="8">
        <v>3</v>
      </c>
      <c r="R2688" s="8">
        <v>0</v>
      </c>
      <c r="U2688" s="8">
        <v>0</v>
      </c>
      <c r="X2688" s="8">
        <v>0</v>
      </c>
      <c r="Z2688" s="8">
        <v>0</v>
      </c>
      <c r="AC2688" s="8">
        <v>0</v>
      </c>
      <c r="AF2688" s="8">
        <v>0</v>
      </c>
      <c r="AN2688" s="8">
        <v>0</v>
      </c>
      <c r="AO2688" s="8">
        <v>3</v>
      </c>
    </row>
    <row r="2689" spans="1:41" x14ac:dyDescent="0.25">
      <c r="A2689" s="6" t="str">
        <f>"522-2026000309"</f>
        <v>522-2026000309</v>
      </c>
      <c r="B2689" s="6" t="str">
        <f t="shared" si="614"/>
        <v>EL CORTE</v>
      </c>
      <c r="C2689" s="7">
        <v>46041</v>
      </c>
      <c r="D2689" s="7">
        <v>46044</v>
      </c>
      <c r="E2689" s="8">
        <v>1</v>
      </c>
      <c r="F2689" s="6" t="str">
        <f>"94860001_07026"</f>
        <v>94860001_07026</v>
      </c>
      <c r="G2689" s="6" t="str">
        <f t="shared" si="615"/>
        <v>F310631650000000</v>
      </c>
      <c r="H2689" s="6" t="str">
        <f t="shared" si="616"/>
        <v>PLAR 6316 FD - 500 g</v>
      </c>
      <c r="I2689" s="6" t="str">
        <f>"200510"</f>
        <v>200510</v>
      </c>
      <c r="J2689" s="6" t="str">
        <f>"VERDE 510"</f>
        <v>VERDE 510</v>
      </c>
      <c r="K2689" s="6" t="str">
        <f>"2020"</f>
        <v>2020</v>
      </c>
      <c r="L2689" s="6" t="str">
        <f>"Lençóis"</f>
        <v>Lençóis</v>
      </c>
      <c r="M2689" s="6" t="str">
        <f>"100x150"</f>
        <v>100x150</v>
      </c>
      <c r="N2689" s="6" t="str">
        <f>"5602972281156"</f>
        <v>5602972281156</v>
      </c>
      <c r="O2689" s="8">
        <v>6</v>
      </c>
      <c r="R2689" s="8">
        <v>0</v>
      </c>
      <c r="U2689" s="8">
        <v>0</v>
      </c>
      <c r="X2689" s="8">
        <v>0</v>
      </c>
      <c r="Z2689" s="8">
        <v>0</v>
      </c>
      <c r="AC2689" s="8">
        <v>0</v>
      </c>
      <c r="AF2689" s="8">
        <v>0</v>
      </c>
      <c r="AN2689" s="8">
        <v>0</v>
      </c>
      <c r="AO2689" s="8">
        <v>6</v>
      </c>
    </row>
    <row r="2690" spans="1:41" x14ac:dyDescent="0.25">
      <c r="A2690" s="6" t="str">
        <f>"522-2026000310"</f>
        <v>522-2026000310</v>
      </c>
      <c r="B2690" s="6" t="str">
        <f t="shared" si="614"/>
        <v>EL CORTE</v>
      </c>
      <c r="C2690" s="7">
        <v>46041</v>
      </c>
      <c r="D2690" s="7">
        <v>46044</v>
      </c>
      <c r="E2690" s="8">
        <v>1</v>
      </c>
      <c r="F2690" s="6" t="str">
        <f>"94859701_07026"</f>
        <v>94859701_07026</v>
      </c>
      <c r="G2690" s="6" t="str">
        <f t="shared" si="615"/>
        <v>F310631650000000</v>
      </c>
      <c r="H2690" s="6" t="str">
        <f t="shared" si="616"/>
        <v>PLAR 6316 FD - 500 g</v>
      </c>
      <c r="I2690" s="6" t="str">
        <f>"201855"</f>
        <v>201855</v>
      </c>
      <c r="J2690" s="6" t="str">
        <f>"AZUL 1855"</f>
        <v>AZUL 1855</v>
      </c>
      <c r="K2690" s="6" t="str">
        <f>"1024"</f>
        <v>1024</v>
      </c>
      <c r="L2690" s="6" t="str">
        <f>"Toalhas"</f>
        <v>Toalhas</v>
      </c>
      <c r="M2690" s="6" t="str">
        <f>"50x100"</f>
        <v>50x100</v>
      </c>
      <c r="N2690" s="6" t="str">
        <f>"5602972281057"</f>
        <v>5602972281057</v>
      </c>
      <c r="O2690" s="8">
        <v>6</v>
      </c>
      <c r="R2690" s="8">
        <v>0</v>
      </c>
      <c r="U2690" s="8">
        <v>0</v>
      </c>
      <c r="X2690" s="8">
        <v>0</v>
      </c>
      <c r="Z2690" s="8">
        <v>0</v>
      </c>
      <c r="AC2690" s="8">
        <v>0</v>
      </c>
      <c r="AF2690" s="8">
        <v>0</v>
      </c>
      <c r="AN2690" s="8">
        <v>6</v>
      </c>
      <c r="AO2690" s="8">
        <v>0</v>
      </c>
    </row>
    <row r="2691" spans="1:41" x14ac:dyDescent="0.25">
      <c r="A2691" s="6" t="str">
        <f>"522-2026000310"</f>
        <v>522-2026000310</v>
      </c>
      <c r="B2691" s="6" t="str">
        <f t="shared" si="614"/>
        <v>EL CORTE</v>
      </c>
      <c r="C2691" s="7">
        <v>46041</v>
      </c>
      <c r="D2691" s="7">
        <v>46044</v>
      </c>
      <c r="E2691" s="8">
        <v>2</v>
      </c>
      <c r="F2691" s="6" t="str">
        <f>"94859701_07026"</f>
        <v>94859701_07026</v>
      </c>
      <c r="G2691" s="6" t="str">
        <f t="shared" si="615"/>
        <v>F310631650000000</v>
      </c>
      <c r="H2691" s="6" t="str">
        <f t="shared" si="616"/>
        <v>PLAR 6316 FD - 500 g</v>
      </c>
      <c r="I2691" s="6" t="str">
        <f>"201855"</f>
        <v>201855</v>
      </c>
      <c r="J2691" s="6" t="str">
        <f>"AZUL 1855"</f>
        <v>AZUL 1855</v>
      </c>
      <c r="K2691" s="6" t="str">
        <f t="shared" ref="K2691:K2700" si="625">"2020"</f>
        <v>2020</v>
      </c>
      <c r="L2691" s="6" t="str">
        <f t="shared" ref="L2691:L2700" si="626">"Lençóis"</f>
        <v>Lençóis</v>
      </c>
      <c r="M2691" s="6" t="str">
        <f t="shared" ref="M2691:M2700" si="627">"100x150"</f>
        <v>100x150</v>
      </c>
      <c r="N2691" s="6" t="str">
        <f>"5602972281064"</f>
        <v>5602972281064</v>
      </c>
      <c r="O2691" s="8">
        <v>3</v>
      </c>
      <c r="R2691" s="8">
        <v>0</v>
      </c>
      <c r="U2691" s="8">
        <v>0</v>
      </c>
      <c r="X2691" s="8">
        <v>0</v>
      </c>
      <c r="Z2691" s="8">
        <v>0</v>
      </c>
      <c r="AC2691" s="8">
        <v>0</v>
      </c>
      <c r="AF2691" s="8">
        <v>0</v>
      </c>
      <c r="AN2691" s="8">
        <v>0</v>
      </c>
      <c r="AO2691" s="8">
        <v>3</v>
      </c>
    </row>
    <row r="2692" spans="1:41" x14ac:dyDescent="0.25">
      <c r="A2692" s="6" t="str">
        <f>"522-2026000310"</f>
        <v>522-2026000310</v>
      </c>
      <c r="B2692" s="6" t="str">
        <f t="shared" si="614"/>
        <v>EL CORTE</v>
      </c>
      <c r="C2692" s="7">
        <v>46041</v>
      </c>
      <c r="D2692" s="7">
        <v>46044</v>
      </c>
      <c r="E2692" s="8">
        <v>3</v>
      </c>
      <c r="F2692" s="6" t="str">
        <f>"94859701_07026"</f>
        <v>94859701_07026</v>
      </c>
      <c r="G2692" s="6" t="str">
        <f t="shared" si="615"/>
        <v>F310631650000000</v>
      </c>
      <c r="H2692" s="6" t="str">
        <f t="shared" si="616"/>
        <v>PLAR 6316 FD - 500 g</v>
      </c>
      <c r="I2692" s="6" t="str">
        <f>"200510"</f>
        <v>200510</v>
      </c>
      <c r="J2692" s="6" t="str">
        <f>"VERDE 510"</f>
        <v>VERDE 510</v>
      </c>
      <c r="K2692" s="6" t="str">
        <f t="shared" si="625"/>
        <v>2020</v>
      </c>
      <c r="L2692" s="6" t="str">
        <f t="shared" si="626"/>
        <v>Lençóis</v>
      </c>
      <c r="M2692" s="6" t="str">
        <f t="shared" si="627"/>
        <v>100x150</v>
      </c>
      <c r="N2692" s="6" t="str">
        <f>"5602972281156"</f>
        <v>5602972281156</v>
      </c>
      <c r="O2692" s="8">
        <v>6</v>
      </c>
      <c r="R2692" s="8">
        <v>0</v>
      </c>
      <c r="U2692" s="8">
        <v>0</v>
      </c>
      <c r="X2692" s="8">
        <v>0</v>
      </c>
      <c r="Z2692" s="8">
        <v>0</v>
      </c>
      <c r="AC2692" s="8">
        <v>0</v>
      </c>
      <c r="AF2692" s="8">
        <v>0</v>
      </c>
      <c r="AN2692" s="8">
        <v>0</v>
      </c>
      <c r="AO2692" s="8">
        <v>6</v>
      </c>
    </row>
    <row r="2693" spans="1:41" x14ac:dyDescent="0.25">
      <c r="A2693" s="6" t="str">
        <f>"522-2026000311"</f>
        <v>522-2026000311</v>
      </c>
      <c r="B2693" s="6" t="str">
        <f t="shared" si="614"/>
        <v>EL CORTE</v>
      </c>
      <c r="C2693" s="7">
        <v>46041</v>
      </c>
      <c r="D2693" s="7">
        <v>46044</v>
      </c>
      <c r="E2693" s="8">
        <v>1</v>
      </c>
      <c r="F2693" s="6" t="str">
        <f>"94859201_07026"</f>
        <v>94859201_07026</v>
      </c>
      <c r="G2693" s="6" t="str">
        <f t="shared" si="615"/>
        <v>F310631650000000</v>
      </c>
      <c r="H2693" s="6" t="str">
        <f t="shared" si="616"/>
        <v>PLAR 6316 FD - 500 g</v>
      </c>
      <c r="I2693" s="6" t="str">
        <f>"201855"</f>
        <v>201855</v>
      </c>
      <c r="J2693" s="6" t="str">
        <f>"AZUL 1855"</f>
        <v>AZUL 1855</v>
      </c>
      <c r="K2693" s="6" t="str">
        <f t="shared" si="625"/>
        <v>2020</v>
      </c>
      <c r="L2693" s="6" t="str">
        <f t="shared" si="626"/>
        <v>Lençóis</v>
      </c>
      <c r="M2693" s="6" t="str">
        <f t="shared" si="627"/>
        <v>100x150</v>
      </c>
      <c r="N2693" s="6" t="str">
        <f>"5602972281064"</f>
        <v>5602972281064</v>
      </c>
      <c r="O2693" s="8">
        <v>9</v>
      </c>
      <c r="R2693" s="8">
        <v>0</v>
      </c>
      <c r="U2693" s="8">
        <v>0</v>
      </c>
      <c r="X2693" s="8">
        <v>0</v>
      </c>
      <c r="Z2693" s="8">
        <v>0</v>
      </c>
      <c r="AC2693" s="8">
        <v>0</v>
      </c>
      <c r="AF2693" s="8">
        <v>0</v>
      </c>
      <c r="AN2693" s="8">
        <v>0</v>
      </c>
      <c r="AO2693" s="8">
        <v>9</v>
      </c>
    </row>
    <row r="2694" spans="1:41" x14ac:dyDescent="0.25">
      <c r="A2694" s="6" t="str">
        <f>"522-2026000311"</f>
        <v>522-2026000311</v>
      </c>
      <c r="B2694" s="6" t="str">
        <f t="shared" si="614"/>
        <v>EL CORTE</v>
      </c>
      <c r="C2694" s="7">
        <v>46041</v>
      </c>
      <c r="D2694" s="7">
        <v>46044</v>
      </c>
      <c r="E2694" s="8">
        <v>2</v>
      </c>
      <c r="F2694" s="6" t="str">
        <f>"94859201_07026"</f>
        <v>94859201_07026</v>
      </c>
      <c r="G2694" s="6" t="str">
        <f t="shared" si="615"/>
        <v>F310631650000000</v>
      </c>
      <c r="H2694" s="6" t="str">
        <f t="shared" si="616"/>
        <v>PLAR 6316 FD - 500 g</v>
      </c>
      <c r="I2694" s="6" t="str">
        <f>"202575"</f>
        <v>202575</v>
      </c>
      <c r="J2694" s="6" t="str">
        <f>"BEGE 2575"</f>
        <v>BEGE 2575</v>
      </c>
      <c r="K2694" s="6" t="str">
        <f t="shared" si="625"/>
        <v>2020</v>
      </c>
      <c r="L2694" s="6" t="str">
        <f t="shared" si="626"/>
        <v>Lençóis</v>
      </c>
      <c r="M2694" s="6" t="str">
        <f t="shared" si="627"/>
        <v>100x150</v>
      </c>
      <c r="N2694" s="6" t="str">
        <f>"5602972281095"</f>
        <v>5602972281095</v>
      </c>
      <c r="O2694" s="8">
        <v>9</v>
      </c>
      <c r="R2694" s="8">
        <v>0</v>
      </c>
      <c r="U2694" s="8">
        <v>0</v>
      </c>
      <c r="X2694" s="8">
        <v>0</v>
      </c>
      <c r="Z2694" s="8">
        <v>0</v>
      </c>
      <c r="AC2694" s="8">
        <v>0</v>
      </c>
      <c r="AF2694" s="8">
        <v>0</v>
      </c>
      <c r="AN2694" s="8">
        <v>0</v>
      </c>
      <c r="AO2694" s="8">
        <v>9</v>
      </c>
    </row>
    <row r="2695" spans="1:41" x14ac:dyDescent="0.25">
      <c r="A2695" s="6" t="str">
        <f>"522-2026000311"</f>
        <v>522-2026000311</v>
      </c>
      <c r="B2695" s="6" t="str">
        <f t="shared" ref="B2695:B2758" si="628">"EL CORTE"</f>
        <v>EL CORTE</v>
      </c>
      <c r="C2695" s="7">
        <v>46041</v>
      </c>
      <c r="D2695" s="7">
        <v>46044</v>
      </c>
      <c r="E2695" s="8">
        <v>3</v>
      </c>
      <c r="F2695" s="6" t="str">
        <f>"94859201_07026"</f>
        <v>94859201_07026</v>
      </c>
      <c r="G2695" s="6" t="str">
        <f t="shared" ref="G2695:G2758" si="629">"F310631650000000"</f>
        <v>F310631650000000</v>
      </c>
      <c r="H2695" s="6" t="str">
        <f t="shared" ref="H2695:H2758" si="630">"PLAR 6316 FD - 500 g"</f>
        <v>PLAR 6316 FD - 500 g</v>
      </c>
      <c r="I2695" s="6" t="str">
        <f>"200901"</f>
        <v>200901</v>
      </c>
      <c r="J2695" s="6" t="str">
        <f>"ROSA 901"</f>
        <v>ROSA 901</v>
      </c>
      <c r="K2695" s="6" t="str">
        <f t="shared" si="625"/>
        <v>2020</v>
      </c>
      <c r="L2695" s="6" t="str">
        <f t="shared" si="626"/>
        <v>Lençóis</v>
      </c>
      <c r="M2695" s="6" t="str">
        <f t="shared" si="627"/>
        <v>100x150</v>
      </c>
      <c r="N2695" s="6" t="str">
        <f>"5602972281125"</f>
        <v>5602972281125</v>
      </c>
      <c r="O2695" s="8">
        <v>6</v>
      </c>
      <c r="R2695" s="8">
        <v>0</v>
      </c>
      <c r="U2695" s="8">
        <v>0</v>
      </c>
      <c r="X2695" s="8">
        <v>0</v>
      </c>
      <c r="Z2695" s="8">
        <v>0</v>
      </c>
      <c r="AC2695" s="8">
        <v>0</v>
      </c>
      <c r="AF2695" s="8">
        <v>0</v>
      </c>
      <c r="AN2695" s="8">
        <v>0</v>
      </c>
      <c r="AO2695" s="8">
        <v>6</v>
      </c>
    </row>
    <row r="2696" spans="1:41" x14ac:dyDescent="0.25">
      <c r="A2696" s="6" t="str">
        <f>"522-2026000312"</f>
        <v>522-2026000312</v>
      </c>
      <c r="B2696" s="6" t="str">
        <f t="shared" si="628"/>
        <v>EL CORTE</v>
      </c>
      <c r="C2696" s="7">
        <v>46041</v>
      </c>
      <c r="D2696" s="7">
        <v>46044</v>
      </c>
      <c r="E2696" s="8">
        <v>1</v>
      </c>
      <c r="F2696" s="6" t="str">
        <f>"94858401_07026"</f>
        <v>94858401_07026</v>
      </c>
      <c r="G2696" s="6" t="str">
        <f t="shared" si="629"/>
        <v>F310631650000000</v>
      </c>
      <c r="H2696" s="6" t="str">
        <f t="shared" si="630"/>
        <v>PLAR 6316 FD - 500 g</v>
      </c>
      <c r="I2696" s="6" t="str">
        <f>"201855"</f>
        <v>201855</v>
      </c>
      <c r="J2696" s="6" t="str">
        <f>"AZUL 1855"</f>
        <v>AZUL 1855</v>
      </c>
      <c r="K2696" s="6" t="str">
        <f t="shared" si="625"/>
        <v>2020</v>
      </c>
      <c r="L2696" s="6" t="str">
        <f t="shared" si="626"/>
        <v>Lençóis</v>
      </c>
      <c r="M2696" s="6" t="str">
        <f t="shared" si="627"/>
        <v>100x150</v>
      </c>
      <c r="N2696" s="6" t="str">
        <f>"5602972281064"</f>
        <v>5602972281064</v>
      </c>
      <c r="O2696" s="8">
        <v>3</v>
      </c>
      <c r="R2696" s="8">
        <v>0</v>
      </c>
      <c r="U2696" s="8">
        <v>0</v>
      </c>
      <c r="X2696" s="8">
        <v>0</v>
      </c>
      <c r="Z2696" s="8">
        <v>0</v>
      </c>
      <c r="AC2696" s="8">
        <v>0</v>
      </c>
      <c r="AF2696" s="8">
        <v>0</v>
      </c>
      <c r="AN2696" s="8">
        <v>0</v>
      </c>
      <c r="AO2696" s="8">
        <v>3</v>
      </c>
    </row>
    <row r="2697" spans="1:41" x14ac:dyDescent="0.25">
      <c r="A2697" s="6" t="str">
        <f>"522-2026000312"</f>
        <v>522-2026000312</v>
      </c>
      <c r="B2697" s="6" t="str">
        <f t="shared" si="628"/>
        <v>EL CORTE</v>
      </c>
      <c r="C2697" s="7">
        <v>46041</v>
      </c>
      <c r="D2697" s="7">
        <v>46044</v>
      </c>
      <c r="E2697" s="8">
        <v>2</v>
      </c>
      <c r="F2697" s="6" t="str">
        <f>"94858401_07026"</f>
        <v>94858401_07026</v>
      </c>
      <c r="G2697" s="6" t="str">
        <f t="shared" si="629"/>
        <v>F310631650000000</v>
      </c>
      <c r="H2697" s="6" t="str">
        <f t="shared" si="630"/>
        <v>PLAR 6316 FD - 500 g</v>
      </c>
      <c r="I2697" s="6" t="str">
        <f>"202575"</f>
        <v>202575</v>
      </c>
      <c r="J2697" s="6" t="str">
        <f>"BEGE 2575"</f>
        <v>BEGE 2575</v>
      </c>
      <c r="K2697" s="6" t="str">
        <f t="shared" si="625"/>
        <v>2020</v>
      </c>
      <c r="L2697" s="6" t="str">
        <f t="shared" si="626"/>
        <v>Lençóis</v>
      </c>
      <c r="M2697" s="6" t="str">
        <f t="shared" si="627"/>
        <v>100x150</v>
      </c>
      <c r="N2697" s="6" t="str">
        <f>"5602972281095"</f>
        <v>5602972281095</v>
      </c>
      <c r="O2697" s="8">
        <v>3</v>
      </c>
      <c r="R2697" s="8">
        <v>0</v>
      </c>
      <c r="U2697" s="8">
        <v>0</v>
      </c>
      <c r="X2697" s="8">
        <v>0</v>
      </c>
      <c r="Z2697" s="8">
        <v>0</v>
      </c>
      <c r="AC2697" s="8">
        <v>0</v>
      </c>
      <c r="AF2697" s="8">
        <v>0</v>
      </c>
      <c r="AN2697" s="8">
        <v>0</v>
      </c>
      <c r="AO2697" s="8">
        <v>3</v>
      </c>
    </row>
    <row r="2698" spans="1:41" x14ac:dyDescent="0.25">
      <c r="A2698" s="6" t="str">
        <f>"522-2026000313"</f>
        <v>522-2026000313</v>
      </c>
      <c r="B2698" s="6" t="str">
        <f t="shared" si="628"/>
        <v>EL CORTE</v>
      </c>
      <c r="C2698" s="7">
        <v>46041</v>
      </c>
      <c r="D2698" s="7">
        <v>46044</v>
      </c>
      <c r="E2698" s="8">
        <v>1</v>
      </c>
      <c r="F2698" s="6" t="str">
        <f>"94857401_07026"</f>
        <v>94857401_07026</v>
      </c>
      <c r="G2698" s="6" t="str">
        <f t="shared" si="629"/>
        <v>F310631650000000</v>
      </c>
      <c r="H2698" s="6" t="str">
        <f t="shared" si="630"/>
        <v>PLAR 6316 FD - 500 g</v>
      </c>
      <c r="I2698" s="6" t="str">
        <f>"202575"</f>
        <v>202575</v>
      </c>
      <c r="J2698" s="6" t="str">
        <f>"BEGE 2575"</f>
        <v>BEGE 2575</v>
      </c>
      <c r="K2698" s="6" t="str">
        <f t="shared" si="625"/>
        <v>2020</v>
      </c>
      <c r="L2698" s="6" t="str">
        <f t="shared" si="626"/>
        <v>Lençóis</v>
      </c>
      <c r="M2698" s="6" t="str">
        <f t="shared" si="627"/>
        <v>100x150</v>
      </c>
      <c r="N2698" s="6" t="str">
        <f>"5602972281095"</f>
        <v>5602972281095</v>
      </c>
      <c r="O2698" s="8">
        <v>3</v>
      </c>
      <c r="R2698" s="8">
        <v>0</v>
      </c>
      <c r="U2698" s="8">
        <v>0</v>
      </c>
      <c r="X2698" s="8">
        <v>0</v>
      </c>
      <c r="Z2698" s="8">
        <v>0</v>
      </c>
      <c r="AC2698" s="8">
        <v>0</v>
      </c>
      <c r="AF2698" s="8">
        <v>0</v>
      </c>
      <c r="AN2698" s="8">
        <v>0</v>
      </c>
      <c r="AO2698" s="8">
        <v>3</v>
      </c>
    </row>
    <row r="2699" spans="1:41" x14ac:dyDescent="0.25">
      <c r="A2699" s="6" t="str">
        <f>"522-2026000314"</f>
        <v>522-2026000314</v>
      </c>
      <c r="B2699" s="6" t="str">
        <f t="shared" si="628"/>
        <v>EL CORTE</v>
      </c>
      <c r="C2699" s="7">
        <v>46041</v>
      </c>
      <c r="D2699" s="7">
        <v>46044</v>
      </c>
      <c r="E2699" s="8">
        <v>1</v>
      </c>
      <c r="F2699" s="6" t="str">
        <f>"94857901_07026"</f>
        <v>94857901_07026</v>
      </c>
      <c r="G2699" s="6" t="str">
        <f t="shared" si="629"/>
        <v>F310631650000000</v>
      </c>
      <c r="H2699" s="6" t="str">
        <f t="shared" si="630"/>
        <v>PLAR 6316 FD - 500 g</v>
      </c>
      <c r="I2699" s="6" t="str">
        <f>"201855"</f>
        <v>201855</v>
      </c>
      <c r="J2699" s="6" t="str">
        <f>"AZUL 1855"</f>
        <v>AZUL 1855</v>
      </c>
      <c r="K2699" s="6" t="str">
        <f t="shared" si="625"/>
        <v>2020</v>
      </c>
      <c r="L2699" s="6" t="str">
        <f t="shared" si="626"/>
        <v>Lençóis</v>
      </c>
      <c r="M2699" s="6" t="str">
        <f t="shared" si="627"/>
        <v>100x150</v>
      </c>
      <c r="N2699" s="6" t="str">
        <f>"5602972281064"</f>
        <v>5602972281064</v>
      </c>
      <c r="O2699" s="8">
        <v>6</v>
      </c>
      <c r="R2699" s="8">
        <v>0</v>
      </c>
      <c r="U2699" s="8">
        <v>0</v>
      </c>
      <c r="X2699" s="8">
        <v>0</v>
      </c>
      <c r="Z2699" s="8">
        <v>0</v>
      </c>
      <c r="AC2699" s="8">
        <v>0</v>
      </c>
      <c r="AF2699" s="8">
        <v>0</v>
      </c>
      <c r="AN2699" s="8">
        <v>0</v>
      </c>
      <c r="AO2699" s="8">
        <v>6</v>
      </c>
    </row>
    <row r="2700" spans="1:41" x14ac:dyDescent="0.25">
      <c r="A2700" s="6" t="str">
        <f>"522-2026000314"</f>
        <v>522-2026000314</v>
      </c>
      <c r="B2700" s="6" t="str">
        <f t="shared" si="628"/>
        <v>EL CORTE</v>
      </c>
      <c r="C2700" s="7">
        <v>46041</v>
      </c>
      <c r="D2700" s="7">
        <v>46044</v>
      </c>
      <c r="E2700" s="8">
        <v>2</v>
      </c>
      <c r="F2700" s="6" t="str">
        <f>"94857901_07026"</f>
        <v>94857901_07026</v>
      </c>
      <c r="G2700" s="6" t="str">
        <f t="shared" si="629"/>
        <v>F310631650000000</v>
      </c>
      <c r="H2700" s="6" t="str">
        <f t="shared" si="630"/>
        <v>PLAR 6316 FD - 500 g</v>
      </c>
      <c r="I2700" s="6" t="str">
        <f>"202575"</f>
        <v>202575</v>
      </c>
      <c r="J2700" s="6" t="str">
        <f>"BEGE 2575"</f>
        <v>BEGE 2575</v>
      </c>
      <c r="K2700" s="6" t="str">
        <f t="shared" si="625"/>
        <v>2020</v>
      </c>
      <c r="L2700" s="6" t="str">
        <f t="shared" si="626"/>
        <v>Lençóis</v>
      </c>
      <c r="M2700" s="6" t="str">
        <f t="shared" si="627"/>
        <v>100x150</v>
      </c>
      <c r="N2700" s="6" t="str">
        <f>"5602972281095"</f>
        <v>5602972281095</v>
      </c>
      <c r="O2700" s="8">
        <v>3</v>
      </c>
      <c r="R2700" s="8">
        <v>0</v>
      </c>
      <c r="U2700" s="8">
        <v>0</v>
      </c>
      <c r="X2700" s="8">
        <v>0</v>
      </c>
      <c r="Z2700" s="8">
        <v>0</v>
      </c>
      <c r="AC2700" s="8">
        <v>0</v>
      </c>
      <c r="AF2700" s="8">
        <v>0</v>
      </c>
      <c r="AN2700" s="8">
        <v>0</v>
      </c>
      <c r="AO2700" s="8">
        <v>3</v>
      </c>
    </row>
    <row r="2701" spans="1:41" x14ac:dyDescent="0.25">
      <c r="A2701" s="6" t="str">
        <f>"522-2026000314"</f>
        <v>522-2026000314</v>
      </c>
      <c r="B2701" s="6" t="str">
        <f t="shared" si="628"/>
        <v>EL CORTE</v>
      </c>
      <c r="C2701" s="7">
        <v>46041</v>
      </c>
      <c r="D2701" s="7">
        <v>46044</v>
      </c>
      <c r="E2701" s="8">
        <v>3</v>
      </c>
      <c r="F2701" s="6" t="str">
        <f>"94857901_07026"</f>
        <v>94857901_07026</v>
      </c>
      <c r="G2701" s="6" t="str">
        <f t="shared" si="629"/>
        <v>F310631650000000</v>
      </c>
      <c r="H2701" s="6" t="str">
        <f t="shared" si="630"/>
        <v>PLAR 6316 FD - 500 g</v>
      </c>
      <c r="I2701" s="6" t="str">
        <f>"200901"</f>
        <v>200901</v>
      </c>
      <c r="J2701" s="6" t="str">
        <f>"ROSA 901"</f>
        <v>ROSA 901</v>
      </c>
      <c r="K2701" s="6" t="str">
        <f>"0520"</f>
        <v>0520</v>
      </c>
      <c r="L2701" s="6" t="str">
        <f>"Toalhetes"</f>
        <v>Toalhetes</v>
      </c>
      <c r="M2701" s="6" t="str">
        <f>"30x50"</f>
        <v>30x50</v>
      </c>
      <c r="N2701" s="6" t="str">
        <f>"5602972281101"</f>
        <v>5602972281101</v>
      </c>
      <c r="O2701" s="8">
        <v>6</v>
      </c>
      <c r="R2701" s="8">
        <v>0</v>
      </c>
      <c r="U2701" s="8">
        <v>0</v>
      </c>
      <c r="X2701" s="8">
        <v>0</v>
      </c>
      <c r="Z2701" s="8">
        <v>0</v>
      </c>
      <c r="AC2701" s="8">
        <v>0</v>
      </c>
      <c r="AF2701" s="8">
        <v>0</v>
      </c>
      <c r="AN2701" s="8">
        <v>0</v>
      </c>
      <c r="AO2701" s="8">
        <v>6</v>
      </c>
    </row>
    <row r="2702" spans="1:41" x14ac:dyDescent="0.25">
      <c r="A2702" s="6" t="str">
        <f>"522-2026000314"</f>
        <v>522-2026000314</v>
      </c>
      <c r="B2702" s="6" t="str">
        <f t="shared" si="628"/>
        <v>EL CORTE</v>
      </c>
      <c r="C2702" s="7">
        <v>46041</v>
      </c>
      <c r="D2702" s="7">
        <v>46044</v>
      </c>
      <c r="E2702" s="8">
        <v>4</v>
      </c>
      <c r="F2702" s="6" t="str">
        <f>"94857901_07026"</f>
        <v>94857901_07026</v>
      </c>
      <c r="G2702" s="6" t="str">
        <f t="shared" si="629"/>
        <v>F310631650000000</v>
      </c>
      <c r="H2702" s="6" t="str">
        <f t="shared" si="630"/>
        <v>PLAR 6316 FD - 500 g</v>
      </c>
      <c r="I2702" s="6" t="str">
        <f>"200901"</f>
        <v>200901</v>
      </c>
      <c r="J2702" s="6" t="str">
        <f>"ROSA 901"</f>
        <v>ROSA 901</v>
      </c>
      <c r="K2702" s="6" t="str">
        <f t="shared" ref="K2702:K2709" si="631">"2020"</f>
        <v>2020</v>
      </c>
      <c r="L2702" s="6" t="str">
        <f t="shared" ref="L2702:L2709" si="632">"Lençóis"</f>
        <v>Lençóis</v>
      </c>
      <c r="M2702" s="6" t="str">
        <f t="shared" ref="M2702:M2709" si="633">"100x150"</f>
        <v>100x150</v>
      </c>
      <c r="N2702" s="6" t="str">
        <f>"5602972281125"</f>
        <v>5602972281125</v>
      </c>
      <c r="O2702" s="8">
        <v>6</v>
      </c>
      <c r="R2702" s="8">
        <v>0</v>
      </c>
      <c r="U2702" s="8">
        <v>0</v>
      </c>
      <c r="X2702" s="8">
        <v>0</v>
      </c>
      <c r="Z2702" s="8">
        <v>0</v>
      </c>
      <c r="AC2702" s="8">
        <v>0</v>
      </c>
      <c r="AF2702" s="8">
        <v>0</v>
      </c>
      <c r="AN2702" s="8">
        <v>0</v>
      </c>
      <c r="AO2702" s="8">
        <v>6</v>
      </c>
    </row>
    <row r="2703" spans="1:41" x14ac:dyDescent="0.25">
      <c r="A2703" s="6" t="str">
        <f>"522-2026000315"</f>
        <v>522-2026000315</v>
      </c>
      <c r="B2703" s="6" t="str">
        <f t="shared" si="628"/>
        <v>EL CORTE</v>
      </c>
      <c r="C2703" s="7">
        <v>46041</v>
      </c>
      <c r="D2703" s="7">
        <v>46044</v>
      </c>
      <c r="E2703" s="8">
        <v>1</v>
      </c>
      <c r="F2703" s="6" t="str">
        <f>"94859501_07026"</f>
        <v>94859501_07026</v>
      </c>
      <c r="G2703" s="6" t="str">
        <f t="shared" si="629"/>
        <v>F310631650000000</v>
      </c>
      <c r="H2703" s="6" t="str">
        <f t="shared" si="630"/>
        <v>PLAR 6316 FD - 500 g</v>
      </c>
      <c r="I2703" s="6" t="str">
        <f>"200901"</f>
        <v>200901</v>
      </c>
      <c r="J2703" s="6" t="str">
        <f>"ROSA 901"</f>
        <v>ROSA 901</v>
      </c>
      <c r="K2703" s="6" t="str">
        <f t="shared" si="631"/>
        <v>2020</v>
      </c>
      <c r="L2703" s="6" t="str">
        <f t="shared" si="632"/>
        <v>Lençóis</v>
      </c>
      <c r="M2703" s="6" t="str">
        <f t="shared" si="633"/>
        <v>100x150</v>
      </c>
      <c r="N2703" s="6" t="str">
        <f>"5602972281125"</f>
        <v>5602972281125</v>
      </c>
      <c r="O2703" s="8">
        <v>3</v>
      </c>
      <c r="R2703" s="8">
        <v>0</v>
      </c>
      <c r="U2703" s="8">
        <v>0</v>
      </c>
      <c r="X2703" s="8">
        <v>0</v>
      </c>
      <c r="Z2703" s="8">
        <v>0</v>
      </c>
      <c r="AC2703" s="8">
        <v>0</v>
      </c>
      <c r="AF2703" s="8">
        <v>0</v>
      </c>
      <c r="AN2703" s="8">
        <v>0</v>
      </c>
      <c r="AO2703" s="8">
        <v>3</v>
      </c>
    </row>
    <row r="2704" spans="1:41" x14ac:dyDescent="0.25">
      <c r="A2704" s="6" t="str">
        <f>"522-2026000315"</f>
        <v>522-2026000315</v>
      </c>
      <c r="B2704" s="6" t="str">
        <f t="shared" si="628"/>
        <v>EL CORTE</v>
      </c>
      <c r="C2704" s="7">
        <v>46041</v>
      </c>
      <c r="D2704" s="7">
        <v>46044</v>
      </c>
      <c r="E2704" s="8">
        <v>2</v>
      </c>
      <c r="F2704" s="6" t="str">
        <f>"94859501_07026"</f>
        <v>94859501_07026</v>
      </c>
      <c r="G2704" s="6" t="str">
        <f t="shared" si="629"/>
        <v>F310631650000000</v>
      </c>
      <c r="H2704" s="6" t="str">
        <f t="shared" si="630"/>
        <v>PLAR 6316 FD - 500 g</v>
      </c>
      <c r="I2704" s="6" t="str">
        <f>"200510"</f>
        <v>200510</v>
      </c>
      <c r="J2704" s="6" t="str">
        <f>"VERDE 510"</f>
        <v>VERDE 510</v>
      </c>
      <c r="K2704" s="6" t="str">
        <f t="shared" si="631"/>
        <v>2020</v>
      </c>
      <c r="L2704" s="6" t="str">
        <f t="shared" si="632"/>
        <v>Lençóis</v>
      </c>
      <c r="M2704" s="6" t="str">
        <f t="shared" si="633"/>
        <v>100x150</v>
      </c>
      <c r="N2704" s="6" t="str">
        <f>"5602972281156"</f>
        <v>5602972281156</v>
      </c>
      <c r="O2704" s="8">
        <v>3</v>
      </c>
      <c r="R2704" s="8">
        <v>0</v>
      </c>
      <c r="U2704" s="8">
        <v>0</v>
      </c>
      <c r="X2704" s="8">
        <v>0</v>
      </c>
      <c r="Z2704" s="8">
        <v>0</v>
      </c>
      <c r="AC2704" s="8">
        <v>0</v>
      </c>
      <c r="AF2704" s="8">
        <v>0</v>
      </c>
      <c r="AN2704" s="8">
        <v>0</v>
      </c>
      <c r="AO2704" s="8">
        <v>3</v>
      </c>
    </row>
    <row r="2705" spans="1:41" x14ac:dyDescent="0.25">
      <c r="A2705" s="6" t="str">
        <f>"522-2026000316"</f>
        <v>522-2026000316</v>
      </c>
      <c r="B2705" s="6" t="str">
        <f t="shared" si="628"/>
        <v>EL CORTE</v>
      </c>
      <c r="C2705" s="7">
        <v>46041</v>
      </c>
      <c r="D2705" s="7">
        <v>46044</v>
      </c>
      <c r="E2705" s="8">
        <v>1</v>
      </c>
      <c r="F2705" s="6" t="str">
        <f>"94859801_07026"</f>
        <v>94859801_07026</v>
      </c>
      <c r="G2705" s="6" t="str">
        <f t="shared" si="629"/>
        <v>F310631650000000</v>
      </c>
      <c r="H2705" s="6" t="str">
        <f t="shared" si="630"/>
        <v>PLAR 6316 FD - 500 g</v>
      </c>
      <c r="I2705" s="6" t="str">
        <f>"201855"</f>
        <v>201855</v>
      </c>
      <c r="J2705" s="6" t="str">
        <f>"AZUL 1855"</f>
        <v>AZUL 1855</v>
      </c>
      <c r="K2705" s="6" t="str">
        <f t="shared" si="631"/>
        <v>2020</v>
      </c>
      <c r="L2705" s="6" t="str">
        <f t="shared" si="632"/>
        <v>Lençóis</v>
      </c>
      <c r="M2705" s="6" t="str">
        <f t="shared" si="633"/>
        <v>100x150</v>
      </c>
      <c r="N2705" s="6" t="str">
        <f>"5602972281064"</f>
        <v>5602972281064</v>
      </c>
      <c r="O2705" s="8">
        <v>6</v>
      </c>
      <c r="R2705" s="8">
        <v>0</v>
      </c>
      <c r="U2705" s="8">
        <v>0</v>
      </c>
      <c r="X2705" s="8">
        <v>0</v>
      </c>
      <c r="Z2705" s="8">
        <v>0</v>
      </c>
      <c r="AC2705" s="8">
        <v>0</v>
      </c>
      <c r="AF2705" s="8">
        <v>0</v>
      </c>
      <c r="AN2705" s="8">
        <v>0</v>
      </c>
      <c r="AO2705" s="8">
        <v>6</v>
      </c>
    </row>
    <row r="2706" spans="1:41" x14ac:dyDescent="0.25">
      <c r="A2706" s="6" t="str">
        <f>"522-2026000316"</f>
        <v>522-2026000316</v>
      </c>
      <c r="B2706" s="6" t="str">
        <f t="shared" si="628"/>
        <v>EL CORTE</v>
      </c>
      <c r="C2706" s="7">
        <v>46041</v>
      </c>
      <c r="D2706" s="7">
        <v>46044</v>
      </c>
      <c r="E2706" s="8">
        <v>2</v>
      </c>
      <c r="F2706" s="6" t="str">
        <f>"94859801_07026"</f>
        <v>94859801_07026</v>
      </c>
      <c r="G2706" s="6" t="str">
        <f t="shared" si="629"/>
        <v>F310631650000000</v>
      </c>
      <c r="H2706" s="6" t="str">
        <f t="shared" si="630"/>
        <v>PLAR 6316 FD - 500 g</v>
      </c>
      <c r="I2706" s="6" t="str">
        <f>"202575"</f>
        <v>202575</v>
      </c>
      <c r="J2706" s="6" t="str">
        <f>"BEGE 2575"</f>
        <v>BEGE 2575</v>
      </c>
      <c r="K2706" s="6" t="str">
        <f t="shared" si="631"/>
        <v>2020</v>
      </c>
      <c r="L2706" s="6" t="str">
        <f t="shared" si="632"/>
        <v>Lençóis</v>
      </c>
      <c r="M2706" s="6" t="str">
        <f t="shared" si="633"/>
        <v>100x150</v>
      </c>
      <c r="N2706" s="6" t="str">
        <f>"5602972281095"</f>
        <v>5602972281095</v>
      </c>
      <c r="O2706" s="8">
        <v>6</v>
      </c>
      <c r="R2706" s="8">
        <v>0</v>
      </c>
      <c r="U2706" s="8">
        <v>0</v>
      </c>
      <c r="X2706" s="8">
        <v>0</v>
      </c>
      <c r="Z2706" s="8">
        <v>0</v>
      </c>
      <c r="AC2706" s="8">
        <v>0</v>
      </c>
      <c r="AF2706" s="8">
        <v>0</v>
      </c>
      <c r="AN2706" s="8">
        <v>0</v>
      </c>
      <c r="AO2706" s="8">
        <v>6</v>
      </c>
    </row>
    <row r="2707" spans="1:41" x14ac:dyDescent="0.25">
      <c r="A2707" s="6" t="str">
        <f>"522-2026000316"</f>
        <v>522-2026000316</v>
      </c>
      <c r="B2707" s="6" t="str">
        <f t="shared" si="628"/>
        <v>EL CORTE</v>
      </c>
      <c r="C2707" s="7">
        <v>46041</v>
      </c>
      <c r="D2707" s="7">
        <v>46044</v>
      </c>
      <c r="E2707" s="8">
        <v>3</v>
      </c>
      <c r="F2707" s="6" t="str">
        <f>"94859801_07026"</f>
        <v>94859801_07026</v>
      </c>
      <c r="G2707" s="6" t="str">
        <f t="shared" si="629"/>
        <v>F310631650000000</v>
      </c>
      <c r="H2707" s="6" t="str">
        <f t="shared" si="630"/>
        <v>PLAR 6316 FD - 500 g</v>
      </c>
      <c r="I2707" s="6" t="str">
        <f>"200901"</f>
        <v>200901</v>
      </c>
      <c r="J2707" s="6" t="str">
        <f>"ROSA 901"</f>
        <v>ROSA 901</v>
      </c>
      <c r="K2707" s="6" t="str">
        <f t="shared" si="631"/>
        <v>2020</v>
      </c>
      <c r="L2707" s="6" t="str">
        <f t="shared" si="632"/>
        <v>Lençóis</v>
      </c>
      <c r="M2707" s="6" t="str">
        <f t="shared" si="633"/>
        <v>100x150</v>
      </c>
      <c r="N2707" s="6" t="str">
        <f>"5602972281125"</f>
        <v>5602972281125</v>
      </c>
      <c r="O2707" s="8">
        <v>6</v>
      </c>
      <c r="R2707" s="8">
        <v>0</v>
      </c>
      <c r="U2707" s="8">
        <v>0</v>
      </c>
      <c r="X2707" s="8">
        <v>0</v>
      </c>
      <c r="Z2707" s="8">
        <v>0</v>
      </c>
      <c r="AC2707" s="8">
        <v>0</v>
      </c>
      <c r="AF2707" s="8">
        <v>0</v>
      </c>
      <c r="AN2707" s="8">
        <v>0</v>
      </c>
      <c r="AO2707" s="8">
        <v>6</v>
      </c>
    </row>
    <row r="2708" spans="1:41" x14ac:dyDescent="0.25">
      <c r="A2708" s="6" t="str">
        <f>"522-2026000316"</f>
        <v>522-2026000316</v>
      </c>
      <c r="B2708" s="6" t="str">
        <f t="shared" si="628"/>
        <v>EL CORTE</v>
      </c>
      <c r="C2708" s="7">
        <v>46041</v>
      </c>
      <c r="D2708" s="7">
        <v>46044</v>
      </c>
      <c r="E2708" s="8">
        <v>4</v>
      </c>
      <c r="F2708" s="6" t="str">
        <f>"94859801_07026"</f>
        <v>94859801_07026</v>
      </c>
      <c r="G2708" s="6" t="str">
        <f t="shared" si="629"/>
        <v>F310631650000000</v>
      </c>
      <c r="H2708" s="6" t="str">
        <f t="shared" si="630"/>
        <v>PLAR 6316 FD - 500 g</v>
      </c>
      <c r="I2708" s="6" t="str">
        <f>"200510"</f>
        <v>200510</v>
      </c>
      <c r="J2708" s="6" t="str">
        <f>"VERDE 510"</f>
        <v>VERDE 510</v>
      </c>
      <c r="K2708" s="6" t="str">
        <f t="shared" si="631"/>
        <v>2020</v>
      </c>
      <c r="L2708" s="6" t="str">
        <f t="shared" si="632"/>
        <v>Lençóis</v>
      </c>
      <c r="M2708" s="6" t="str">
        <f t="shared" si="633"/>
        <v>100x150</v>
      </c>
      <c r="N2708" s="6" t="str">
        <f>"5602972281156"</f>
        <v>5602972281156</v>
      </c>
      <c r="O2708" s="8">
        <v>3</v>
      </c>
      <c r="R2708" s="8">
        <v>0</v>
      </c>
      <c r="U2708" s="8">
        <v>0</v>
      </c>
      <c r="X2708" s="8">
        <v>0</v>
      </c>
      <c r="Z2708" s="8">
        <v>0</v>
      </c>
      <c r="AC2708" s="8">
        <v>0</v>
      </c>
      <c r="AF2708" s="8">
        <v>0</v>
      </c>
      <c r="AN2708" s="8">
        <v>0</v>
      </c>
      <c r="AO2708" s="8">
        <v>3</v>
      </c>
    </row>
    <row r="2709" spans="1:41" x14ac:dyDescent="0.25">
      <c r="A2709" s="6" t="str">
        <f>"522-2026000317"</f>
        <v>522-2026000317</v>
      </c>
      <c r="B2709" s="6" t="str">
        <f t="shared" si="628"/>
        <v>EL CORTE</v>
      </c>
      <c r="C2709" s="7">
        <v>46041</v>
      </c>
      <c r="D2709" s="7">
        <v>46044</v>
      </c>
      <c r="E2709" s="8">
        <v>1</v>
      </c>
      <c r="F2709" s="6" t="str">
        <f>"94858501_07026"</f>
        <v>94858501_07026</v>
      </c>
      <c r="G2709" s="6" t="str">
        <f t="shared" si="629"/>
        <v>F310631650000000</v>
      </c>
      <c r="H2709" s="6" t="str">
        <f t="shared" si="630"/>
        <v>PLAR 6316 FD - 500 g</v>
      </c>
      <c r="I2709" s="6" t="str">
        <f>"200510"</f>
        <v>200510</v>
      </c>
      <c r="J2709" s="6" t="str">
        <f>"VERDE 510"</f>
        <v>VERDE 510</v>
      </c>
      <c r="K2709" s="6" t="str">
        <f t="shared" si="631"/>
        <v>2020</v>
      </c>
      <c r="L2709" s="6" t="str">
        <f t="shared" si="632"/>
        <v>Lençóis</v>
      </c>
      <c r="M2709" s="6" t="str">
        <f t="shared" si="633"/>
        <v>100x150</v>
      </c>
      <c r="N2709" s="6" t="str">
        <f>"5602972281156"</f>
        <v>5602972281156</v>
      </c>
      <c r="O2709" s="8">
        <v>3</v>
      </c>
      <c r="R2709" s="8">
        <v>0</v>
      </c>
      <c r="U2709" s="8">
        <v>0</v>
      </c>
      <c r="X2709" s="8">
        <v>0</v>
      </c>
      <c r="Z2709" s="8">
        <v>0</v>
      </c>
      <c r="AC2709" s="8">
        <v>0</v>
      </c>
      <c r="AF2709" s="8">
        <v>0</v>
      </c>
      <c r="AN2709" s="8">
        <v>0</v>
      </c>
      <c r="AO2709" s="8">
        <v>3</v>
      </c>
    </row>
    <row r="2710" spans="1:41" x14ac:dyDescent="0.25">
      <c r="A2710" s="6" t="str">
        <f>"522-2026000318"</f>
        <v>522-2026000318</v>
      </c>
      <c r="B2710" s="6" t="str">
        <f t="shared" si="628"/>
        <v>EL CORTE</v>
      </c>
      <c r="C2710" s="7">
        <v>46041</v>
      </c>
      <c r="D2710" s="7">
        <v>46044</v>
      </c>
      <c r="E2710" s="8">
        <v>1</v>
      </c>
      <c r="F2710" s="6" t="str">
        <f>"94858001_07026"</f>
        <v>94858001_07026</v>
      </c>
      <c r="G2710" s="6" t="str">
        <f t="shared" si="629"/>
        <v>F310631650000000</v>
      </c>
      <c r="H2710" s="6" t="str">
        <f t="shared" si="630"/>
        <v>PLAR 6316 FD - 500 g</v>
      </c>
      <c r="I2710" s="6" t="str">
        <f>"201855"</f>
        <v>201855</v>
      </c>
      <c r="J2710" s="6" t="str">
        <f>"AZUL 1855"</f>
        <v>AZUL 1855</v>
      </c>
      <c r="K2710" s="6" t="str">
        <f>"0520"</f>
        <v>0520</v>
      </c>
      <c r="L2710" s="6" t="str">
        <f>"Toalhetes"</f>
        <v>Toalhetes</v>
      </c>
      <c r="M2710" s="6" t="str">
        <f>"30x50"</f>
        <v>30x50</v>
      </c>
      <c r="N2710" s="6" t="str">
        <f>"5602972281040"</f>
        <v>5602972281040</v>
      </c>
      <c r="O2710" s="8">
        <v>6</v>
      </c>
      <c r="R2710" s="8">
        <v>0</v>
      </c>
      <c r="U2710" s="8">
        <v>0</v>
      </c>
      <c r="X2710" s="8">
        <v>0</v>
      </c>
      <c r="Z2710" s="8">
        <v>0</v>
      </c>
      <c r="AC2710" s="8">
        <v>0</v>
      </c>
      <c r="AF2710" s="8">
        <v>0</v>
      </c>
      <c r="AN2710" s="8">
        <v>0</v>
      </c>
      <c r="AO2710" s="8">
        <v>6</v>
      </c>
    </row>
    <row r="2711" spans="1:41" x14ac:dyDescent="0.25">
      <c r="A2711" s="6" t="str">
        <f>"522-2026000318"</f>
        <v>522-2026000318</v>
      </c>
      <c r="B2711" s="6" t="str">
        <f t="shared" si="628"/>
        <v>EL CORTE</v>
      </c>
      <c r="C2711" s="7">
        <v>46041</v>
      </c>
      <c r="D2711" s="7">
        <v>46044</v>
      </c>
      <c r="E2711" s="8">
        <v>2</v>
      </c>
      <c r="F2711" s="6" t="str">
        <f>"94858001_07026"</f>
        <v>94858001_07026</v>
      </c>
      <c r="G2711" s="6" t="str">
        <f t="shared" si="629"/>
        <v>F310631650000000</v>
      </c>
      <c r="H2711" s="6" t="str">
        <f t="shared" si="630"/>
        <v>PLAR 6316 FD - 500 g</v>
      </c>
      <c r="I2711" s="6" t="str">
        <f>"202575"</f>
        <v>202575</v>
      </c>
      <c r="J2711" s="6" t="str">
        <f>"BEGE 2575"</f>
        <v>BEGE 2575</v>
      </c>
      <c r="K2711" s="6" t="str">
        <f>"2020"</f>
        <v>2020</v>
      </c>
      <c r="L2711" s="6" t="str">
        <f>"Lençóis"</f>
        <v>Lençóis</v>
      </c>
      <c r="M2711" s="6" t="str">
        <f>"100x150"</f>
        <v>100x150</v>
      </c>
      <c r="N2711" s="6" t="str">
        <f>"5602972281095"</f>
        <v>5602972281095</v>
      </c>
      <c r="O2711" s="8">
        <v>6</v>
      </c>
      <c r="R2711" s="8">
        <v>0</v>
      </c>
      <c r="U2711" s="8">
        <v>0</v>
      </c>
      <c r="X2711" s="8">
        <v>0</v>
      </c>
      <c r="Z2711" s="8">
        <v>0</v>
      </c>
      <c r="AC2711" s="8">
        <v>0</v>
      </c>
      <c r="AF2711" s="8">
        <v>0</v>
      </c>
      <c r="AN2711" s="8">
        <v>0</v>
      </c>
      <c r="AO2711" s="8">
        <v>6</v>
      </c>
    </row>
    <row r="2712" spans="1:41" x14ac:dyDescent="0.25">
      <c r="A2712" s="6" t="str">
        <f>"522-2026000318"</f>
        <v>522-2026000318</v>
      </c>
      <c r="B2712" s="6" t="str">
        <f t="shared" si="628"/>
        <v>EL CORTE</v>
      </c>
      <c r="C2712" s="7">
        <v>46041</v>
      </c>
      <c r="D2712" s="7">
        <v>46044</v>
      </c>
      <c r="E2712" s="8">
        <v>3</v>
      </c>
      <c r="F2712" s="6" t="str">
        <f>"94858001_07026"</f>
        <v>94858001_07026</v>
      </c>
      <c r="G2712" s="6" t="str">
        <f t="shared" si="629"/>
        <v>F310631650000000</v>
      </c>
      <c r="H2712" s="6" t="str">
        <f t="shared" si="630"/>
        <v>PLAR 6316 FD - 500 g</v>
      </c>
      <c r="I2712" s="6" t="str">
        <f>"200510"</f>
        <v>200510</v>
      </c>
      <c r="J2712" s="6" t="str">
        <f>"VERDE 510"</f>
        <v>VERDE 510</v>
      </c>
      <c r="K2712" s="6" t="str">
        <f>"2020"</f>
        <v>2020</v>
      </c>
      <c r="L2712" s="6" t="str">
        <f>"Lençóis"</f>
        <v>Lençóis</v>
      </c>
      <c r="M2712" s="6" t="str">
        <f>"100x150"</f>
        <v>100x150</v>
      </c>
      <c r="N2712" s="6" t="str">
        <f>"5602972281156"</f>
        <v>5602972281156</v>
      </c>
      <c r="O2712" s="8">
        <v>6</v>
      </c>
      <c r="R2712" s="8">
        <v>0</v>
      </c>
      <c r="U2712" s="8">
        <v>0</v>
      </c>
      <c r="X2712" s="8">
        <v>0</v>
      </c>
      <c r="Z2712" s="8">
        <v>0</v>
      </c>
      <c r="AC2712" s="8">
        <v>0</v>
      </c>
      <c r="AF2712" s="8">
        <v>0</v>
      </c>
      <c r="AN2712" s="8">
        <v>0</v>
      </c>
      <c r="AO2712" s="8">
        <v>6</v>
      </c>
    </row>
    <row r="2713" spans="1:41" x14ac:dyDescent="0.25">
      <c r="A2713" s="6" t="str">
        <f t="shared" ref="A2713:A2718" si="634">"522-2026000319"</f>
        <v>522-2026000319</v>
      </c>
      <c r="B2713" s="6" t="str">
        <f t="shared" si="628"/>
        <v>EL CORTE</v>
      </c>
      <c r="C2713" s="7">
        <v>46041</v>
      </c>
      <c r="D2713" s="7">
        <v>46044</v>
      </c>
      <c r="E2713" s="8">
        <v>1</v>
      </c>
      <c r="F2713" s="6" t="str">
        <f t="shared" ref="F2713:F2718" si="635">"94858101_07026"</f>
        <v>94858101_07026</v>
      </c>
      <c r="G2713" s="6" t="str">
        <f t="shared" si="629"/>
        <v>F310631650000000</v>
      </c>
      <c r="H2713" s="6" t="str">
        <f t="shared" si="630"/>
        <v>PLAR 6316 FD - 500 g</v>
      </c>
      <c r="I2713" s="6" t="str">
        <f>"201855"</f>
        <v>201855</v>
      </c>
      <c r="J2713" s="6" t="str">
        <f>"AZUL 1855"</f>
        <v>AZUL 1855</v>
      </c>
      <c r="K2713" s="6" t="str">
        <f>"2020"</f>
        <v>2020</v>
      </c>
      <c r="L2713" s="6" t="str">
        <f>"Lençóis"</f>
        <v>Lençóis</v>
      </c>
      <c r="M2713" s="6" t="str">
        <f>"100x150"</f>
        <v>100x150</v>
      </c>
      <c r="N2713" s="6" t="str">
        <f>"5602972281064"</f>
        <v>5602972281064</v>
      </c>
      <c r="O2713" s="8">
        <v>3</v>
      </c>
      <c r="R2713" s="8">
        <v>0</v>
      </c>
      <c r="U2713" s="8">
        <v>0</v>
      </c>
      <c r="X2713" s="8">
        <v>0</v>
      </c>
      <c r="Z2713" s="8">
        <v>0</v>
      </c>
      <c r="AC2713" s="8">
        <v>0</v>
      </c>
      <c r="AF2713" s="8">
        <v>0</v>
      </c>
      <c r="AN2713" s="8">
        <v>0</v>
      </c>
      <c r="AO2713" s="8">
        <v>3</v>
      </c>
    </row>
    <row r="2714" spans="1:41" x14ac:dyDescent="0.25">
      <c r="A2714" s="6" t="str">
        <f t="shared" si="634"/>
        <v>522-2026000319</v>
      </c>
      <c r="B2714" s="6" t="str">
        <f t="shared" si="628"/>
        <v>EL CORTE</v>
      </c>
      <c r="C2714" s="7">
        <v>46041</v>
      </c>
      <c r="D2714" s="7">
        <v>46044</v>
      </c>
      <c r="E2714" s="8">
        <v>2</v>
      </c>
      <c r="F2714" s="6" t="str">
        <f t="shared" si="635"/>
        <v>94858101_07026</v>
      </c>
      <c r="G2714" s="6" t="str">
        <f t="shared" si="629"/>
        <v>F310631650000000</v>
      </c>
      <c r="H2714" s="6" t="str">
        <f t="shared" si="630"/>
        <v>PLAR 6316 FD - 500 g</v>
      </c>
      <c r="I2714" s="6" t="str">
        <f>"202575"</f>
        <v>202575</v>
      </c>
      <c r="J2714" s="6" t="str">
        <f>"BEGE 2575"</f>
        <v>BEGE 2575</v>
      </c>
      <c r="K2714" s="6" t="str">
        <f>"1024"</f>
        <v>1024</v>
      </c>
      <c r="L2714" s="6" t="str">
        <f>"Toalhas"</f>
        <v>Toalhas</v>
      </c>
      <c r="M2714" s="6" t="str">
        <f>"50x100"</f>
        <v>50x100</v>
      </c>
      <c r="N2714" s="6" t="str">
        <f>"5602972281088"</f>
        <v>5602972281088</v>
      </c>
      <c r="O2714" s="8">
        <v>6</v>
      </c>
      <c r="R2714" s="8">
        <v>0</v>
      </c>
      <c r="U2714" s="8">
        <v>0</v>
      </c>
      <c r="X2714" s="8">
        <v>0</v>
      </c>
      <c r="Z2714" s="8">
        <v>0</v>
      </c>
      <c r="AC2714" s="8">
        <v>0</v>
      </c>
      <c r="AF2714" s="8">
        <v>0</v>
      </c>
      <c r="AN2714" s="8">
        <v>6</v>
      </c>
      <c r="AO2714" s="8">
        <v>0</v>
      </c>
    </row>
    <row r="2715" spans="1:41" x14ac:dyDescent="0.25">
      <c r="A2715" s="6" t="str">
        <f t="shared" si="634"/>
        <v>522-2026000319</v>
      </c>
      <c r="B2715" s="6" t="str">
        <f t="shared" si="628"/>
        <v>EL CORTE</v>
      </c>
      <c r="C2715" s="7">
        <v>46041</v>
      </c>
      <c r="D2715" s="7">
        <v>46044</v>
      </c>
      <c r="E2715" s="8">
        <v>3</v>
      </c>
      <c r="F2715" s="6" t="str">
        <f t="shared" si="635"/>
        <v>94858101_07026</v>
      </c>
      <c r="G2715" s="6" t="str">
        <f t="shared" si="629"/>
        <v>F310631650000000</v>
      </c>
      <c r="H2715" s="6" t="str">
        <f t="shared" si="630"/>
        <v>PLAR 6316 FD - 500 g</v>
      </c>
      <c r="I2715" s="6" t="str">
        <f>"202575"</f>
        <v>202575</v>
      </c>
      <c r="J2715" s="6" t="str">
        <f>"BEGE 2575"</f>
        <v>BEGE 2575</v>
      </c>
      <c r="K2715" s="6" t="str">
        <f>"2020"</f>
        <v>2020</v>
      </c>
      <c r="L2715" s="6" t="str">
        <f>"Lençóis"</f>
        <v>Lençóis</v>
      </c>
      <c r="M2715" s="6" t="str">
        <f>"100x150"</f>
        <v>100x150</v>
      </c>
      <c r="N2715" s="6" t="str">
        <f>"5602972281095"</f>
        <v>5602972281095</v>
      </c>
      <c r="O2715" s="8">
        <v>3</v>
      </c>
      <c r="R2715" s="8">
        <v>0</v>
      </c>
      <c r="U2715" s="8">
        <v>0</v>
      </c>
      <c r="X2715" s="8">
        <v>0</v>
      </c>
      <c r="Z2715" s="8">
        <v>0</v>
      </c>
      <c r="AC2715" s="8">
        <v>0</v>
      </c>
      <c r="AF2715" s="8">
        <v>0</v>
      </c>
      <c r="AN2715" s="8">
        <v>0</v>
      </c>
      <c r="AO2715" s="8">
        <v>3</v>
      </c>
    </row>
    <row r="2716" spans="1:41" x14ac:dyDescent="0.25">
      <c r="A2716" s="6" t="str">
        <f t="shared" si="634"/>
        <v>522-2026000319</v>
      </c>
      <c r="B2716" s="6" t="str">
        <f t="shared" si="628"/>
        <v>EL CORTE</v>
      </c>
      <c r="C2716" s="7">
        <v>46041</v>
      </c>
      <c r="D2716" s="7">
        <v>46044</v>
      </c>
      <c r="E2716" s="8">
        <v>4</v>
      </c>
      <c r="F2716" s="6" t="str">
        <f t="shared" si="635"/>
        <v>94858101_07026</v>
      </c>
      <c r="G2716" s="6" t="str">
        <f t="shared" si="629"/>
        <v>F310631650000000</v>
      </c>
      <c r="H2716" s="6" t="str">
        <f t="shared" si="630"/>
        <v>PLAR 6316 FD - 500 g</v>
      </c>
      <c r="I2716" s="6" t="str">
        <f>"200901"</f>
        <v>200901</v>
      </c>
      <c r="J2716" s="6" t="str">
        <f>"ROSA 901"</f>
        <v>ROSA 901</v>
      </c>
      <c r="K2716" s="6" t="str">
        <f>"2020"</f>
        <v>2020</v>
      </c>
      <c r="L2716" s="6" t="str">
        <f>"Lençóis"</f>
        <v>Lençóis</v>
      </c>
      <c r="M2716" s="6" t="str">
        <f>"100x150"</f>
        <v>100x150</v>
      </c>
      <c r="N2716" s="6" t="str">
        <f>"5602972281125"</f>
        <v>5602972281125</v>
      </c>
      <c r="O2716" s="8">
        <v>3</v>
      </c>
      <c r="R2716" s="8">
        <v>0</v>
      </c>
      <c r="U2716" s="8">
        <v>0</v>
      </c>
      <c r="X2716" s="8">
        <v>0</v>
      </c>
      <c r="Z2716" s="8">
        <v>0</v>
      </c>
      <c r="AC2716" s="8">
        <v>0</v>
      </c>
      <c r="AF2716" s="8">
        <v>0</v>
      </c>
      <c r="AN2716" s="8">
        <v>0</v>
      </c>
      <c r="AO2716" s="8">
        <v>3</v>
      </c>
    </row>
    <row r="2717" spans="1:41" x14ac:dyDescent="0.25">
      <c r="A2717" s="6" t="str">
        <f t="shared" si="634"/>
        <v>522-2026000319</v>
      </c>
      <c r="B2717" s="6" t="str">
        <f t="shared" si="628"/>
        <v>EL CORTE</v>
      </c>
      <c r="C2717" s="7">
        <v>46041</v>
      </c>
      <c r="D2717" s="7">
        <v>46044</v>
      </c>
      <c r="E2717" s="8">
        <v>5</v>
      </c>
      <c r="F2717" s="6" t="str">
        <f t="shared" si="635"/>
        <v>94858101_07026</v>
      </c>
      <c r="G2717" s="6" t="str">
        <f t="shared" si="629"/>
        <v>F310631650000000</v>
      </c>
      <c r="H2717" s="6" t="str">
        <f t="shared" si="630"/>
        <v>PLAR 6316 FD - 500 g</v>
      </c>
      <c r="I2717" s="6" t="str">
        <f>"200510"</f>
        <v>200510</v>
      </c>
      <c r="J2717" s="6" t="str">
        <f>"VERDE 510"</f>
        <v>VERDE 510</v>
      </c>
      <c r="K2717" s="6" t="str">
        <f>"0520"</f>
        <v>0520</v>
      </c>
      <c r="L2717" s="6" t="str">
        <f>"Toalhetes"</f>
        <v>Toalhetes</v>
      </c>
      <c r="M2717" s="6" t="str">
        <f>"30x50"</f>
        <v>30x50</v>
      </c>
      <c r="N2717" s="6" t="str">
        <f>"5602972281132"</f>
        <v>5602972281132</v>
      </c>
      <c r="O2717" s="8">
        <v>6</v>
      </c>
      <c r="R2717" s="8">
        <v>0</v>
      </c>
      <c r="U2717" s="8">
        <v>0</v>
      </c>
      <c r="X2717" s="8">
        <v>0</v>
      </c>
      <c r="Z2717" s="8">
        <v>0</v>
      </c>
      <c r="AC2717" s="8">
        <v>0</v>
      </c>
      <c r="AF2717" s="8">
        <v>0</v>
      </c>
      <c r="AN2717" s="8">
        <v>6</v>
      </c>
      <c r="AO2717" s="8">
        <v>0</v>
      </c>
    </row>
    <row r="2718" spans="1:41" x14ac:dyDescent="0.25">
      <c r="A2718" s="6" t="str">
        <f t="shared" si="634"/>
        <v>522-2026000319</v>
      </c>
      <c r="B2718" s="6" t="str">
        <f t="shared" si="628"/>
        <v>EL CORTE</v>
      </c>
      <c r="C2718" s="7">
        <v>46041</v>
      </c>
      <c r="D2718" s="7">
        <v>46044</v>
      </c>
      <c r="E2718" s="8">
        <v>6</v>
      </c>
      <c r="F2718" s="6" t="str">
        <f t="shared" si="635"/>
        <v>94858101_07026</v>
      </c>
      <c r="G2718" s="6" t="str">
        <f t="shared" si="629"/>
        <v>F310631650000000</v>
      </c>
      <c r="H2718" s="6" t="str">
        <f t="shared" si="630"/>
        <v>PLAR 6316 FD - 500 g</v>
      </c>
      <c r="I2718" s="6" t="str">
        <f>"200510"</f>
        <v>200510</v>
      </c>
      <c r="J2718" s="6" t="str">
        <f>"VERDE 510"</f>
        <v>VERDE 510</v>
      </c>
      <c r="K2718" s="6" t="str">
        <f>"2020"</f>
        <v>2020</v>
      </c>
      <c r="L2718" s="6" t="str">
        <f>"Lençóis"</f>
        <v>Lençóis</v>
      </c>
      <c r="M2718" s="6" t="str">
        <f>"100x150"</f>
        <v>100x150</v>
      </c>
      <c r="N2718" s="6" t="str">
        <f>"5602972281156"</f>
        <v>5602972281156</v>
      </c>
      <c r="O2718" s="8">
        <v>3</v>
      </c>
      <c r="R2718" s="8">
        <v>0</v>
      </c>
      <c r="U2718" s="8">
        <v>0</v>
      </c>
      <c r="X2718" s="8">
        <v>0</v>
      </c>
      <c r="Z2718" s="8">
        <v>0</v>
      </c>
      <c r="AC2718" s="8">
        <v>0</v>
      </c>
      <c r="AF2718" s="8">
        <v>0</v>
      </c>
      <c r="AN2718" s="8">
        <v>0</v>
      </c>
      <c r="AO2718" s="8">
        <v>3</v>
      </c>
    </row>
    <row r="2719" spans="1:41" x14ac:dyDescent="0.25">
      <c r="A2719" s="6" t="str">
        <f>"522-2026000320"</f>
        <v>522-2026000320</v>
      </c>
      <c r="B2719" s="6" t="str">
        <f t="shared" si="628"/>
        <v>EL CORTE</v>
      </c>
      <c r="C2719" s="7">
        <v>46041</v>
      </c>
      <c r="D2719" s="7">
        <v>46044</v>
      </c>
      <c r="E2719" s="8">
        <v>1</v>
      </c>
      <c r="F2719" s="6" t="str">
        <f>"94860201_07026"</f>
        <v>94860201_07026</v>
      </c>
      <c r="G2719" s="6" t="str">
        <f t="shared" si="629"/>
        <v>F310631650000000</v>
      </c>
      <c r="H2719" s="6" t="str">
        <f t="shared" si="630"/>
        <v>PLAR 6316 FD - 500 g</v>
      </c>
      <c r="I2719" s="6" t="str">
        <f>"201855"</f>
        <v>201855</v>
      </c>
      <c r="J2719" s="6" t="str">
        <f>"AZUL 1855"</f>
        <v>AZUL 1855</v>
      </c>
      <c r="K2719" s="6" t="str">
        <f>"2020"</f>
        <v>2020</v>
      </c>
      <c r="L2719" s="6" t="str">
        <f>"Lençóis"</f>
        <v>Lençóis</v>
      </c>
      <c r="M2719" s="6" t="str">
        <f>"100x150"</f>
        <v>100x150</v>
      </c>
      <c r="N2719" s="6" t="str">
        <f>"5602972281064"</f>
        <v>5602972281064</v>
      </c>
      <c r="O2719" s="8">
        <v>3</v>
      </c>
      <c r="R2719" s="8">
        <v>0</v>
      </c>
      <c r="U2719" s="8">
        <v>0</v>
      </c>
      <c r="X2719" s="8">
        <v>0</v>
      </c>
      <c r="Z2719" s="8">
        <v>0</v>
      </c>
      <c r="AC2719" s="8">
        <v>0</v>
      </c>
      <c r="AF2719" s="8">
        <v>0</v>
      </c>
      <c r="AN2719" s="8">
        <v>0</v>
      </c>
      <c r="AO2719" s="8">
        <v>3</v>
      </c>
    </row>
    <row r="2720" spans="1:41" x14ac:dyDescent="0.25">
      <c r="A2720" s="6" t="str">
        <f>"522-2026000321"</f>
        <v>522-2026000321</v>
      </c>
      <c r="B2720" s="6" t="str">
        <f t="shared" si="628"/>
        <v>EL CORTE</v>
      </c>
      <c r="C2720" s="7">
        <v>46041</v>
      </c>
      <c r="D2720" s="7">
        <v>46044</v>
      </c>
      <c r="E2720" s="8">
        <v>1</v>
      </c>
      <c r="F2720" s="6" t="str">
        <f>"94856701_07026"</f>
        <v>94856701_07026</v>
      </c>
      <c r="G2720" s="6" t="str">
        <f t="shared" si="629"/>
        <v>F310631650000000</v>
      </c>
      <c r="H2720" s="6" t="str">
        <f t="shared" si="630"/>
        <v>PLAR 6316 FD - 500 g</v>
      </c>
      <c r="I2720" s="6" t="str">
        <f>"200510"</f>
        <v>200510</v>
      </c>
      <c r="J2720" s="6" t="str">
        <f>"VERDE 510"</f>
        <v>VERDE 510</v>
      </c>
      <c r="K2720" s="6" t="str">
        <f>"2020"</f>
        <v>2020</v>
      </c>
      <c r="L2720" s="6" t="str">
        <f>"Lençóis"</f>
        <v>Lençóis</v>
      </c>
      <c r="M2720" s="6" t="str">
        <f>"100x150"</f>
        <v>100x150</v>
      </c>
      <c r="N2720" s="6" t="str">
        <f>"5602972281156"</f>
        <v>5602972281156</v>
      </c>
      <c r="O2720" s="8">
        <v>6</v>
      </c>
      <c r="R2720" s="8">
        <v>0</v>
      </c>
      <c r="U2720" s="8">
        <v>0</v>
      </c>
      <c r="X2720" s="8">
        <v>0</v>
      </c>
      <c r="Z2720" s="8">
        <v>0</v>
      </c>
      <c r="AC2720" s="8">
        <v>0</v>
      </c>
      <c r="AF2720" s="8">
        <v>0</v>
      </c>
      <c r="AN2720" s="8">
        <v>0</v>
      </c>
      <c r="AO2720" s="8">
        <v>6</v>
      </c>
    </row>
    <row r="2721" spans="1:41" x14ac:dyDescent="0.25">
      <c r="A2721" s="6" t="str">
        <f>"522-2026000322"</f>
        <v>522-2026000322</v>
      </c>
      <c r="B2721" s="6" t="str">
        <f t="shared" si="628"/>
        <v>EL CORTE</v>
      </c>
      <c r="C2721" s="7">
        <v>46041</v>
      </c>
      <c r="D2721" s="7">
        <v>46044</v>
      </c>
      <c r="E2721" s="8">
        <v>1</v>
      </c>
      <c r="F2721" s="6" t="str">
        <f>"94858201_07026"</f>
        <v>94858201_07026</v>
      </c>
      <c r="G2721" s="6" t="str">
        <f t="shared" si="629"/>
        <v>F310631650000000</v>
      </c>
      <c r="H2721" s="6" t="str">
        <f t="shared" si="630"/>
        <v>PLAR 6316 FD - 500 g</v>
      </c>
      <c r="I2721" s="6" t="str">
        <f>"202575"</f>
        <v>202575</v>
      </c>
      <c r="J2721" s="6" t="str">
        <f>"BEGE 2575"</f>
        <v>BEGE 2575</v>
      </c>
      <c r="K2721" s="6" t="str">
        <f>"1024"</f>
        <v>1024</v>
      </c>
      <c r="L2721" s="6" t="str">
        <f>"Toalhas"</f>
        <v>Toalhas</v>
      </c>
      <c r="M2721" s="6" t="str">
        <f>"50x100"</f>
        <v>50x100</v>
      </c>
      <c r="N2721" s="6" t="str">
        <f>"5602972281088"</f>
        <v>5602972281088</v>
      </c>
      <c r="O2721" s="8">
        <v>6</v>
      </c>
      <c r="R2721" s="8">
        <v>0</v>
      </c>
      <c r="U2721" s="8">
        <v>0</v>
      </c>
      <c r="X2721" s="8">
        <v>0</v>
      </c>
      <c r="Z2721" s="8">
        <v>0</v>
      </c>
      <c r="AC2721" s="8">
        <v>0</v>
      </c>
      <c r="AF2721" s="8">
        <v>0</v>
      </c>
      <c r="AN2721" s="8">
        <v>6</v>
      </c>
      <c r="AO2721" s="8">
        <v>0</v>
      </c>
    </row>
    <row r="2722" spans="1:41" x14ac:dyDescent="0.25">
      <c r="A2722" s="6" t="str">
        <f>"522-2026000322"</f>
        <v>522-2026000322</v>
      </c>
      <c r="B2722" s="6" t="str">
        <f t="shared" si="628"/>
        <v>EL CORTE</v>
      </c>
      <c r="C2722" s="7">
        <v>46041</v>
      </c>
      <c r="D2722" s="7">
        <v>46044</v>
      </c>
      <c r="E2722" s="8">
        <v>2</v>
      </c>
      <c r="F2722" s="6" t="str">
        <f>"94858201_07026"</f>
        <v>94858201_07026</v>
      </c>
      <c r="G2722" s="6" t="str">
        <f t="shared" si="629"/>
        <v>F310631650000000</v>
      </c>
      <c r="H2722" s="6" t="str">
        <f t="shared" si="630"/>
        <v>PLAR 6316 FD - 500 g</v>
      </c>
      <c r="I2722" s="6" t="str">
        <f>"202575"</f>
        <v>202575</v>
      </c>
      <c r="J2722" s="6" t="str">
        <f>"BEGE 2575"</f>
        <v>BEGE 2575</v>
      </c>
      <c r="K2722" s="6" t="str">
        <f>"2020"</f>
        <v>2020</v>
      </c>
      <c r="L2722" s="6" t="str">
        <f>"Lençóis"</f>
        <v>Lençóis</v>
      </c>
      <c r="M2722" s="6" t="str">
        <f>"100x150"</f>
        <v>100x150</v>
      </c>
      <c r="N2722" s="6" t="str">
        <f>"5602972281095"</f>
        <v>5602972281095</v>
      </c>
      <c r="O2722" s="8">
        <v>3</v>
      </c>
      <c r="R2722" s="8">
        <v>0</v>
      </c>
      <c r="U2722" s="8">
        <v>0</v>
      </c>
      <c r="X2722" s="8">
        <v>0</v>
      </c>
      <c r="Z2722" s="8">
        <v>0</v>
      </c>
      <c r="AC2722" s="8">
        <v>0</v>
      </c>
      <c r="AF2722" s="8">
        <v>0</v>
      </c>
      <c r="AN2722" s="8">
        <v>0</v>
      </c>
      <c r="AO2722" s="8">
        <v>3</v>
      </c>
    </row>
    <row r="2723" spans="1:41" x14ac:dyDescent="0.25">
      <c r="A2723" s="6" t="str">
        <f>"522-2026000323"</f>
        <v>522-2026000323</v>
      </c>
      <c r="B2723" s="6" t="str">
        <f t="shared" si="628"/>
        <v>EL CORTE</v>
      </c>
      <c r="C2723" s="7">
        <v>46041</v>
      </c>
      <c r="D2723" s="7">
        <v>46044</v>
      </c>
      <c r="E2723" s="8">
        <v>1</v>
      </c>
      <c r="F2723" s="6" t="str">
        <f>"94861101_07026"</f>
        <v>94861101_07026</v>
      </c>
      <c r="G2723" s="6" t="str">
        <f t="shared" si="629"/>
        <v>F310631650000000</v>
      </c>
      <c r="H2723" s="6" t="str">
        <f t="shared" si="630"/>
        <v>PLAR 6316 FD - 500 g</v>
      </c>
      <c r="I2723" s="6" t="str">
        <f>"201855"</f>
        <v>201855</v>
      </c>
      <c r="J2723" s="6" t="str">
        <f>"AZUL 1855"</f>
        <v>AZUL 1855</v>
      </c>
      <c r="K2723" s="6" t="str">
        <f>"2020"</f>
        <v>2020</v>
      </c>
      <c r="L2723" s="6" t="str">
        <f>"Lençóis"</f>
        <v>Lençóis</v>
      </c>
      <c r="M2723" s="6" t="str">
        <f>"100x150"</f>
        <v>100x150</v>
      </c>
      <c r="N2723" s="6" t="str">
        <f>"5602972281064"</f>
        <v>5602972281064</v>
      </c>
      <c r="O2723" s="8">
        <v>6</v>
      </c>
      <c r="R2723" s="8">
        <v>0</v>
      </c>
      <c r="U2723" s="8">
        <v>0</v>
      </c>
      <c r="X2723" s="8">
        <v>0</v>
      </c>
      <c r="Z2723" s="8">
        <v>0</v>
      </c>
      <c r="AC2723" s="8">
        <v>0</v>
      </c>
      <c r="AF2723" s="8">
        <v>0</v>
      </c>
      <c r="AN2723" s="8">
        <v>0</v>
      </c>
      <c r="AO2723" s="8">
        <v>6</v>
      </c>
    </row>
    <row r="2724" spans="1:41" x14ac:dyDescent="0.25">
      <c r="A2724" s="6" t="str">
        <f>"522-2026000323"</f>
        <v>522-2026000323</v>
      </c>
      <c r="B2724" s="6" t="str">
        <f t="shared" si="628"/>
        <v>EL CORTE</v>
      </c>
      <c r="C2724" s="7">
        <v>46041</v>
      </c>
      <c r="D2724" s="7">
        <v>46044</v>
      </c>
      <c r="E2724" s="8">
        <v>2</v>
      </c>
      <c r="F2724" s="6" t="str">
        <f>"94861101_07026"</f>
        <v>94861101_07026</v>
      </c>
      <c r="G2724" s="6" t="str">
        <f t="shared" si="629"/>
        <v>F310631650000000</v>
      </c>
      <c r="H2724" s="6" t="str">
        <f t="shared" si="630"/>
        <v>PLAR 6316 FD - 500 g</v>
      </c>
      <c r="I2724" s="6" t="str">
        <f>"202575"</f>
        <v>202575</v>
      </c>
      <c r="J2724" s="6" t="str">
        <f>"BEGE 2575"</f>
        <v>BEGE 2575</v>
      </c>
      <c r="K2724" s="6" t="str">
        <f>"2020"</f>
        <v>2020</v>
      </c>
      <c r="L2724" s="6" t="str">
        <f>"Lençóis"</f>
        <v>Lençóis</v>
      </c>
      <c r="M2724" s="6" t="str">
        <f>"100x150"</f>
        <v>100x150</v>
      </c>
      <c r="N2724" s="6" t="str">
        <f>"5602972281095"</f>
        <v>5602972281095</v>
      </c>
      <c r="O2724" s="8">
        <v>9</v>
      </c>
      <c r="R2724" s="8">
        <v>0</v>
      </c>
      <c r="U2724" s="8">
        <v>0</v>
      </c>
      <c r="X2724" s="8">
        <v>0</v>
      </c>
      <c r="Z2724" s="8">
        <v>0</v>
      </c>
      <c r="AC2724" s="8">
        <v>0</v>
      </c>
      <c r="AF2724" s="8">
        <v>0</v>
      </c>
      <c r="AN2724" s="8">
        <v>0</v>
      </c>
      <c r="AO2724" s="8">
        <v>9</v>
      </c>
    </row>
    <row r="2725" spans="1:41" x14ac:dyDescent="0.25">
      <c r="A2725" s="6" t="str">
        <f>"522-2026000323"</f>
        <v>522-2026000323</v>
      </c>
      <c r="B2725" s="6" t="str">
        <f t="shared" si="628"/>
        <v>EL CORTE</v>
      </c>
      <c r="C2725" s="7">
        <v>46041</v>
      </c>
      <c r="D2725" s="7">
        <v>46044</v>
      </c>
      <c r="E2725" s="8">
        <v>3</v>
      </c>
      <c r="F2725" s="6" t="str">
        <f>"94861101_07026"</f>
        <v>94861101_07026</v>
      </c>
      <c r="G2725" s="6" t="str">
        <f t="shared" si="629"/>
        <v>F310631650000000</v>
      </c>
      <c r="H2725" s="6" t="str">
        <f t="shared" si="630"/>
        <v>PLAR 6316 FD - 500 g</v>
      </c>
      <c r="I2725" s="6" t="str">
        <f>"200901"</f>
        <v>200901</v>
      </c>
      <c r="J2725" s="6" t="str">
        <f>"ROSA 901"</f>
        <v>ROSA 901</v>
      </c>
      <c r="K2725" s="6" t="str">
        <f>"0520"</f>
        <v>0520</v>
      </c>
      <c r="L2725" s="6" t="str">
        <f>"Toalhetes"</f>
        <v>Toalhetes</v>
      </c>
      <c r="M2725" s="6" t="str">
        <f>"30x50"</f>
        <v>30x50</v>
      </c>
      <c r="N2725" s="6" t="str">
        <f>"5602972281101"</f>
        <v>5602972281101</v>
      </c>
      <c r="O2725" s="8">
        <v>6</v>
      </c>
      <c r="R2725" s="8">
        <v>0</v>
      </c>
      <c r="U2725" s="8">
        <v>0</v>
      </c>
      <c r="X2725" s="8">
        <v>0</v>
      </c>
      <c r="Z2725" s="8">
        <v>0</v>
      </c>
      <c r="AC2725" s="8">
        <v>0</v>
      </c>
      <c r="AF2725" s="8">
        <v>0</v>
      </c>
      <c r="AN2725" s="8">
        <v>0</v>
      </c>
      <c r="AO2725" s="8">
        <v>6</v>
      </c>
    </row>
    <row r="2726" spans="1:41" x14ac:dyDescent="0.25">
      <c r="A2726" s="6" t="str">
        <f>"522-2026000323"</f>
        <v>522-2026000323</v>
      </c>
      <c r="B2726" s="6" t="str">
        <f t="shared" si="628"/>
        <v>EL CORTE</v>
      </c>
      <c r="C2726" s="7">
        <v>46041</v>
      </c>
      <c r="D2726" s="7">
        <v>46044</v>
      </c>
      <c r="E2726" s="8">
        <v>4</v>
      </c>
      <c r="F2726" s="6" t="str">
        <f>"94861101_07026"</f>
        <v>94861101_07026</v>
      </c>
      <c r="G2726" s="6" t="str">
        <f t="shared" si="629"/>
        <v>F310631650000000</v>
      </c>
      <c r="H2726" s="6" t="str">
        <f t="shared" si="630"/>
        <v>PLAR 6316 FD - 500 g</v>
      </c>
      <c r="I2726" s="6" t="str">
        <f>"200510"</f>
        <v>200510</v>
      </c>
      <c r="J2726" s="6" t="str">
        <f>"VERDE 510"</f>
        <v>VERDE 510</v>
      </c>
      <c r="K2726" s="6" t="str">
        <f>"2020"</f>
        <v>2020</v>
      </c>
      <c r="L2726" s="6" t="str">
        <f>"Lençóis"</f>
        <v>Lençóis</v>
      </c>
      <c r="M2726" s="6" t="str">
        <f>"100x150"</f>
        <v>100x150</v>
      </c>
      <c r="N2726" s="6" t="str">
        <f>"5602972281156"</f>
        <v>5602972281156</v>
      </c>
      <c r="O2726" s="8">
        <v>3</v>
      </c>
      <c r="R2726" s="8">
        <v>0</v>
      </c>
      <c r="U2726" s="8">
        <v>0</v>
      </c>
      <c r="X2726" s="8">
        <v>0</v>
      </c>
      <c r="Z2726" s="8">
        <v>0</v>
      </c>
      <c r="AC2726" s="8">
        <v>0</v>
      </c>
      <c r="AF2726" s="8">
        <v>0</v>
      </c>
      <c r="AN2726" s="8">
        <v>0</v>
      </c>
      <c r="AO2726" s="8">
        <v>3</v>
      </c>
    </row>
    <row r="2727" spans="1:41" x14ac:dyDescent="0.25">
      <c r="A2727" s="6" t="str">
        <f>"522-2026000324"</f>
        <v>522-2026000324</v>
      </c>
      <c r="B2727" s="6" t="str">
        <f t="shared" si="628"/>
        <v>EL CORTE</v>
      </c>
      <c r="C2727" s="7">
        <v>46041</v>
      </c>
      <c r="D2727" s="7">
        <v>46044</v>
      </c>
      <c r="E2727" s="8">
        <v>1</v>
      </c>
      <c r="F2727" s="6" t="str">
        <f>"94859001_07026"</f>
        <v>94859001_07026</v>
      </c>
      <c r="G2727" s="6" t="str">
        <f t="shared" si="629"/>
        <v>F310631650000000</v>
      </c>
      <c r="H2727" s="6" t="str">
        <f t="shared" si="630"/>
        <v>PLAR 6316 FD - 500 g</v>
      </c>
      <c r="I2727" s="6" t="str">
        <f>"201855"</f>
        <v>201855</v>
      </c>
      <c r="J2727" s="6" t="str">
        <f>"AZUL 1855"</f>
        <v>AZUL 1855</v>
      </c>
      <c r="K2727" s="6" t="str">
        <f>"0520"</f>
        <v>0520</v>
      </c>
      <c r="L2727" s="6" t="str">
        <f>"Toalhetes"</f>
        <v>Toalhetes</v>
      </c>
      <c r="M2727" s="6" t="str">
        <f>"30x50"</f>
        <v>30x50</v>
      </c>
      <c r="N2727" s="6" t="str">
        <f>"5602972281040"</f>
        <v>5602972281040</v>
      </c>
      <c r="O2727" s="8">
        <v>6</v>
      </c>
      <c r="R2727" s="8">
        <v>0</v>
      </c>
      <c r="U2727" s="8">
        <v>0</v>
      </c>
      <c r="X2727" s="8">
        <v>0</v>
      </c>
      <c r="Z2727" s="8">
        <v>0</v>
      </c>
      <c r="AC2727" s="8">
        <v>0</v>
      </c>
      <c r="AF2727" s="8">
        <v>0</v>
      </c>
      <c r="AN2727" s="8">
        <v>0</v>
      </c>
      <c r="AO2727" s="8">
        <v>6</v>
      </c>
    </row>
    <row r="2728" spans="1:41" x14ac:dyDescent="0.25">
      <c r="A2728" s="6" t="str">
        <f>"522-2026000324"</f>
        <v>522-2026000324</v>
      </c>
      <c r="B2728" s="6" t="str">
        <f t="shared" si="628"/>
        <v>EL CORTE</v>
      </c>
      <c r="C2728" s="7">
        <v>46041</v>
      </c>
      <c r="D2728" s="7">
        <v>46044</v>
      </c>
      <c r="E2728" s="8">
        <v>2</v>
      </c>
      <c r="F2728" s="6" t="str">
        <f>"94859001_07026"</f>
        <v>94859001_07026</v>
      </c>
      <c r="G2728" s="6" t="str">
        <f t="shared" si="629"/>
        <v>F310631650000000</v>
      </c>
      <c r="H2728" s="6" t="str">
        <f t="shared" si="630"/>
        <v>PLAR 6316 FD - 500 g</v>
      </c>
      <c r="I2728" s="6" t="str">
        <f>"202575"</f>
        <v>202575</v>
      </c>
      <c r="J2728" s="6" t="str">
        <f>"BEGE 2575"</f>
        <v>BEGE 2575</v>
      </c>
      <c r="K2728" s="6" t="str">
        <f t="shared" ref="K2728:K2734" si="636">"2020"</f>
        <v>2020</v>
      </c>
      <c r="L2728" s="6" t="str">
        <f t="shared" ref="L2728:L2734" si="637">"Lençóis"</f>
        <v>Lençóis</v>
      </c>
      <c r="M2728" s="6" t="str">
        <f t="shared" ref="M2728:M2734" si="638">"100x150"</f>
        <v>100x150</v>
      </c>
      <c r="N2728" s="6" t="str">
        <f>"5602972281095"</f>
        <v>5602972281095</v>
      </c>
      <c r="O2728" s="8">
        <v>6</v>
      </c>
      <c r="R2728" s="8">
        <v>0</v>
      </c>
      <c r="U2728" s="8">
        <v>0</v>
      </c>
      <c r="X2728" s="8">
        <v>0</v>
      </c>
      <c r="Z2728" s="8">
        <v>0</v>
      </c>
      <c r="AC2728" s="8">
        <v>0</v>
      </c>
      <c r="AF2728" s="8">
        <v>0</v>
      </c>
      <c r="AN2728" s="8">
        <v>0</v>
      </c>
      <c r="AO2728" s="8">
        <v>6</v>
      </c>
    </row>
    <row r="2729" spans="1:41" x14ac:dyDescent="0.25">
      <c r="A2729" s="6" t="str">
        <f>"522-2026000325"</f>
        <v>522-2026000325</v>
      </c>
      <c r="B2729" s="6" t="str">
        <f t="shared" si="628"/>
        <v>EL CORTE</v>
      </c>
      <c r="C2729" s="7">
        <v>46041</v>
      </c>
      <c r="D2729" s="7">
        <v>46044</v>
      </c>
      <c r="E2729" s="8">
        <v>1</v>
      </c>
      <c r="F2729" s="6" t="str">
        <f>"94856801_07026"</f>
        <v>94856801_07026</v>
      </c>
      <c r="G2729" s="6" t="str">
        <f t="shared" si="629"/>
        <v>F310631650000000</v>
      </c>
      <c r="H2729" s="6" t="str">
        <f t="shared" si="630"/>
        <v>PLAR 6316 FD - 500 g</v>
      </c>
      <c r="I2729" s="6" t="str">
        <f>"201855"</f>
        <v>201855</v>
      </c>
      <c r="J2729" s="6" t="str">
        <f>"AZUL 1855"</f>
        <v>AZUL 1855</v>
      </c>
      <c r="K2729" s="6" t="str">
        <f t="shared" si="636"/>
        <v>2020</v>
      </c>
      <c r="L2729" s="6" t="str">
        <f t="shared" si="637"/>
        <v>Lençóis</v>
      </c>
      <c r="M2729" s="6" t="str">
        <f t="shared" si="638"/>
        <v>100x150</v>
      </c>
      <c r="N2729" s="6" t="str">
        <f>"5602972281064"</f>
        <v>5602972281064</v>
      </c>
      <c r="O2729" s="8">
        <v>6</v>
      </c>
      <c r="R2729" s="8">
        <v>0</v>
      </c>
      <c r="U2729" s="8">
        <v>0</v>
      </c>
      <c r="X2729" s="8">
        <v>0</v>
      </c>
      <c r="Z2729" s="8">
        <v>0</v>
      </c>
      <c r="AC2729" s="8">
        <v>0</v>
      </c>
      <c r="AF2729" s="8">
        <v>0</v>
      </c>
      <c r="AN2729" s="8">
        <v>0</v>
      </c>
      <c r="AO2729" s="8">
        <v>6</v>
      </c>
    </row>
    <row r="2730" spans="1:41" x14ac:dyDescent="0.25">
      <c r="A2730" s="6" t="str">
        <f>"522-2026000325"</f>
        <v>522-2026000325</v>
      </c>
      <c r="B2730" s="6" t="str">
        <f t="shared" si="628"/>
        <v>EL CORTE</v>
      </c>
      <c r="C2730" s="7">
        <v>46041</v>
      </c>
      <c r="D2730" s="7">
        <v>46044</v>
      </c>
      <c r="E2730" s="8">
        <v>2</v>
      </c>
      <c r="F2730" s="6" t="str">
        <f>"94856801_07026"</f>
        <v>94856801_07026</v>
      </c>
      <c r="G2730" s="6" t="str">
        <f t="shared" si="629"/>
        <v>F310631650000000</v>
      </c>
      <c r="H2730" s="6" t="str">
        <f t="shared" si="630"/>
        <v>PLAR 6316 FD - 500 g</v>
      </c>
      <c r="I2730" s="6" t="str">
        <f>"202575"</f>
        <v>202575</v>
      </c>
      <c r="J2730" s="6" t="str">
        <f>"BEGE 2575"</f>
        <v>BEGE 2575</v>
      </c>
      <c r="K2730" s="6" t="str">
        <f t="shared" si="636"/>
        <v>2020</v>
      </c>
      <c r="L2730" s="6" t="str">
        <f t="shared" si="637"/>
        <v>Lençóis</v>
      </c>
      <c r="M2730" s="6" t="str">
        <f t="shared" si="638"/>
        <v>100x150</v>
      </c>
      <c r="N2730" s="6" t="str">
        <f>"5602972281095"</f>
        <v>5602972281095</v>
      </c>
      <c r="O2730" s="8">
        <v>6</v>
      </c>
      <c r="R2730" s="8">
        <v>0</v>
      </c>
      <c r="U2730" s="8">
        <v>0</v>
      </c>
      <c r="X2730" s="8">
        <v>0</v>
      </c>
      <c r="Z2730" s="8">
        <v>0</v>
      </c>
      <c r="AC2730" s="8">
        <v>0</v>
      </c>
      <c r="AF2730" s="8">
        <v>0</v>
      </c>
      <c r="AN2730" s="8">
        <v>0</v>
      </c>
      <c r="AO2730" s="8">
        <v>6</v>
      </c>
    </row>
    <row r="2731" spans="1:41" x14ac:dyDescent="0.25">
      <c r="A2731" s="6" t="str">
        <f>"522-2026000325"</f>
        <v>522-2026000325</v>
      </c>
      <c r="B2731" s="6" t="str">
        <f t="shared" si="628"/>
        <v>EL CORTE</v>
      </c>
      <c r="C2731" s="7">
        <v>46041</v>
      </c>
      <c r="D2731" s="7">
        <v>46044</v>
      </c>
      <c r="E2731" s="8">
        <v>3</v>
      </c>
      <c r="F2731" s="6" t="str">
        <f>"94856801_07026"</f>
        <v>94856801_07026</v>
      </c>
      <c r="G2731" s="6" t="str">
        <f t="shared" si="629"/>
        <v>F310631650000000</v>
      </c>
      <c r="H2731" s="6" t="str">
        <f t="shared" si="630"/>
        <v>PLAR 6316 FD - 500 g</v>
      </c>
      <c r="I2731" s="6" t="str">
        <f>"200901"</f>
        <v>200901</v>
      </c>
      <c r="J2731" s="6" t="str">
        <f>"ROSA 901"</f>
        <v>ROSA 901</v>
      </c>
      <c r="K2731" s="6" t="str">
        <f t="shared" si="636"/>
        <v>2020</v>
      </c>
      <c r="L2731" s="6" t="str">
        <f t="shared" si="637"/>
        <v>Lençóis</v>
      </c>
      <c r="M2731" s="6" t="str">
        <f t="shared" si="638"/>
        <v>100x150</v>
      </c>
      <c r="N2731" s="6" t="str">
        <f>"5602972281125"</f>
        <v>5602972281125</v>
      </c>
      <c r="O2731" s="8">
        <v>6</v>
      </c>
      <c r="R2731" s="8">
        <v>0</v>
      </c>
      <c r="U2731" s="8">
        <v>0</v>
      </c>
      <c r="X2731" s="8">
        <v>0</v>
      </c>
      <c r="Z2731" s="8">
        <v>0</v>
      </c>
      <c r="AC2731" s="8">
        <v>0</v>
      </c>
      <c r="AF2731" s="8">
        <v>0</v>
      </c>
      <c r="AN2731" s="8">
        <v>0</v>
      </c>
      <c r="AO2731" s="8">
        <v>6</v>
      </c>
    </row>
    <row r="2732" spans="1:41" x14ac:dyDescent="0.25">
      <c r="A2732" s="6" t="str">
        <f>"522-2026000325"</f>
        <v>522-2026000325</v>
      </c>
      <c r="B2732" s="6" t="str">
        <f t="shared" si="628"/>
        <v>EL CORTE</v>
      </c>
      <c r="C2732" s="7">
        <v>46041</v>
      </c>
      <c r="D2732" s="7">
        <v>46044</v>
      </c>
      <c r="E2732" s="8">
        <v>4</v>
      </c>
      <c r="F2732" s="6" t="str">
        <f>"94856801_07026"</f>
        <v>94856801_07026</v>
      </c>
      <c r="G2732" s="6" t="str">
        <f t="shared" si="629"/>
        <v>F310631650000000</v>
      </c>
      <c r="H2732" s="6" t="str">
        <f t="shared" si="630"/>
        <v>PLAR 6316 FD - 500 g</v>
      </c>
      <c r="I2732" s="6" t="str">
        <f>"200510"</f>
        <v>200510</v>
      </c>
      <c r="J2732" s="6" t="str">
        <f>"VERDE 510"</f>
        <v>VERDE 510</v>
      </c>
      <c r="K2732" s="6" t="str">
        <f t="shared" si="636"/>
        <v>2020</v>
      </c>
      <c r="L2732" s="6" t="str">
        <f t="shared" si="637"/>
        <v>Lençóis</v>
      </c>
      <c r="M2732" s="6" t="str">
        <f t="shared" si="638"/>
        <v>100x150</v>
      </c>
      <c r="N2732" s="6" t="str">
        <f>"5602972281156"</f>
        <v>5602972281156</v>
      </c>
      <c r="O2732" s="8">
        <v>9</v>
      </c>
      <c r="R2732" s="8">
        <v>0</v>
      </c>
      <c r="U2732" s="8">
        <v>0</v>
      </c>
      <c r="X2732" s="8">
        <v>0</v>
      </c>
      <c r="Z2732" s="8">
        <v>0</v>
      </c>
      <c r="AC2732" s="8">
        <v>0</v>
      </c>
      <c r="AF2732" s="8">
        <v>0</v>
      </c>
      <c r="AN2732" s="8">
        <v>0</v>
      </c>
      <c r="AO2732" s="8">
        <v>9</v>
      </c>
    </row>
    <row r="2733" spans="1:41" x14ac:dyDescent="0.25">
      <c r="A2733" s="6" t="str">
        <f>"522-2026000326"</f>
        <v>522-2026000326</v>
      </c>
      <c r="B2733" s="6" t="str">
        <f t="shared" si="628"/>
        <v>EL CORTE</v>
      </c>
      <c r="C2733" s="7">
        <v>46041</v>
      </c>
      <c r="D2733" s="7">
        <v>46044</v>
      </c>
      <c r="E2733" s="8">
        <v>1</v>
      </c>
      <c r="F2733" s="6" t="str">
        <f>"94857201_07026"</f>
        <v>94857201_07026</v>
      </c>
      <c r="G2733" s="6" t="str">
        <f t="shared" si="629"/>
        <v>F310631650000000</v>
      </c>
      <c r="H2733" s="6" t="str">
        <f t="shared" si="630"/>
        <v>PLAR 6316 FD - 500 g</v>
      </c>
      <c r="I2733" s="6" t="str">
        <f>"202575"</f>
        <v>202575</v>
      </c>
      <c r="J2733" s="6" t="str">
        <f>"BEGE 2575"</f>
        <v>BEGE 2575</v>
      </c>
      <c r="K2733" s="6" t="str">
        <f t="shared" si="636"/>
        <v>2020</v>
      </c>
      <c r="L2733" s="6" t="str">
        <f t="shared" si="637"/>
        <v>Lençóis</v>
      </c>
      <c r="M2733" s="6" t="str">
        <f t="shared" si="638"/>
        <v>100x150</v>
      </c>
      <c r="N2733" s="6" t="str">
        <f>"5602972281095"</f>
        <v>5602972281095</v>
      </c>
      <c r="O2733" s="8">
        <v>3</v>
      </c>
      <c r="R2733" s="8">
        <v>0</v>
      </c>
      <c r="U2733" s="8">
        <v>0</v>
      </c>
      <c r="X2733" s="8">
        <v>0</v>
      </c>
      <c r="Z2733" s="8">
        <v>0</v>
      </c>
      <c r="AC2733" s="8">
        <v>0</v>
      </c>
      <c r="AF2733" s="8">
        <v>0</v>
      </c>
      <c r="AN2733" s="8">
        <v>0</v>
      </c>
      <c r="AO2733" s="8">
        <v>3</v>
      </c>
    </row>
    <row r="2734" spans="1:41" x14ac:dyDescent="0.25">
      <c r="A2734" s="6" t="str">
        <f>"522-2026000327"</f>
        <v>522-2026000327</v>
      </c>
      <c r="B2734" s="6" t="str">
        <f t="shared" si="628"/>
        <v>EL CORTE</v>
      </c>
      <c r="C2734" s="7">
        <v>46041</v>
      </c>
      <c r="D2734" s="7">
        <v>46044</v>
      </c>
      <c r="E2734" s="8">
        <v>1</v>
      </c>
      <c r="F2734" s="6" t="str">
        <f>"94858801_07026"</f>
        <v>94858801_07026</v>
      </c>
      <c r="G2734" s="6" t="str">
        <f t="shared" si="629"/>
        <v>F310631650000000</v>
      </c>
      <c r="H2734" s="6" t="str">
        <f t="shared" si="630"/>
        <v>PLAR 6316 FD - 500 g</v>
      </c>
      <c r="I2734" s="6" t="str">
        <f>"201855"</f>
        <v>201855</v>
      </c>
      <c r="J2734" s="6" t="str">
        <f>"AZUL 1855"</f>
        <v>AZUL 1855</v>
      </c>
      <c r="K2734" s="6" t="str">
        <f t="shared" si="636"/>
        <v>2020</v>
      </c>
      <c r="L2734" s="6" t="str">
        <f t="shared" si="637"/>
        <v>Lençóis</v>
      </c>
      <c r="M2734" s="6" t="str">
        <f t="shared" si="638"/>
        <v>100x150</v>
      </c>
      <c r="N2734" s="6" t="str">
        <f>"5602972281064"</f>
        <v>5602972281064</v>
      </c>
      <c r="O2734" s="8">
        <v>3</v>
      </c>
      <c r="R2734" s="8">
        <v>0</v>
      </c>
      <c r="U2734" s="8">
        <v>0</v>
      </c>
      <c r="X2734" s="8">
        <v>0</v>
      </c>
      <c r="Z2734" s="8">
        <v>0</v>
      </c>
      <c r="AC2734" s="8">
        <v>0</v>
      </c>
      <c r="AF2734" s="8">
        <v>0</v>
      </c>
      <c r="AN2734" s="8">
        <v>0</v>
      </c>
      <c r="AO2734" s="8">
        <v>3</v>
      </c>
    </row>
    <row r="2735" spans="1:41" x14ac:dyDescent="0.25">
      <c r="A2735" s="6" t="str">
        <f>"522-2026000327"</f>
        <v>522-2026000327</v>
      </c>
      <c r="B2735" s="6" t="str">
        <f t="shared" si="628"/>
        <v>EL CORTE</v>
      </c>
      <c r="C2735" s="7">
        <v>46041</v>
      </c>
      <c r="D2735" s="7">
        <v>46044</v>
      </c>
      <c r="E2735" s="8">
        <v>2</v>
      </c>
      <c r="F2735" s="6" t="str">
        <f>"94858801_07026"</f>
        <v>94858801_07026</v>
      </c>
      <c r="G2735" s="6" t="str">
        <f t="shared" si="629"/>
        <v>F310631650000000</v>
      </c>
      <c r="H2735" s="6" t="str">
        <f t="shared" si="630"/>
        <v>PLAR 6316 FD - 500 g</v>
      </c>
      <c r="I2735" s="6" t="str">
        <f>"202575"</f>
        <v>202575</v>
      </c>
      <c r="J2735" s="6" t="str">
        <f>"BEGE 2575"</f>
        <v>BEGE 2575</v>
      </c>
      <c r="K2735" s="6" t="str">
        <f>"1024"</f>
        <v>1024</v>
      </c>
      <c r="L2735" s="6" t="str">
        <f>"Toalhas"</f>
        <v>Toalhas</v>
      </c>
      <c r="M2735" s="6" t="str">
        <f>"50x100"</f>
        <v>50x100</v>
      </c>
      <c r="N2735" s="6" t="str">
        <f>"5602972281088"</f>
        <v>5602972281088</v>
      </c>
      <c r="O2735" s="8">
        <v>6</v>
      </c>
      <c r="R2735" s="8">
        <v>0</v>
      </c>
      <c r="U2735" s="8">
        <v>0</v>
      </c>
      <c r="X2735" s="8">
        <v>0</v>
      </c>
      <c r="Z2735" s="8">
        <v>0</v>
      </c>
      <c r="AC2735" s="8">
        <v>0</v>
      </c>
      <c r="AF2735" s="8">
        <v>0</v>
      </c>
      <c r="AN2735" s="8">
        <v>6</v>
      </c>
      <c r="AO2735" s="8">
        <v>0</v>
      </c>
    </row>
    <row r="2736" spans="1:41" x14ac:dyDescent="0.25">
      <c r="A2736" s="6" t="str">
        <f>"522-2026000327"</f>
        <v>522-2026000327</v>
      </c>
      <c r="B2736" s="6" t="str">
        <f t="shared" si="628"/>
        <v>EL CORTE</v>
      </c>
      <c r="C2736" s="7">
        <v>46041</v>
      </c>
      <c r="D2736" s="7">
        <v>46044</v>
      </c>
      <c r="E2736" s="8">
        <v>3</v>
      </c>
      <c r="F2736" s="6" t="str">
        <f>"94858801_07026"</f>
        <v>94858801_07026</v>
      </c>
      <c r="G2736" s="6" t="str">
        <f t="shared" si="629"/>
        <v>F310631650000000</v>
      </c>
      <c r="H2736" s="6" t="str">
        <f t="shared" si="630"/>
        <v>PLAR 6316 FD - 500 g</v>
      </c>
      <c r="I2736" s="6" t="str">
        <f>"202575"</f>
        <v>202575</v>
      </c>
      <c r="J2736" s="6" t="str">
        <f>"BEGE 2575"</f>
        <v>BEGE 2575</v>
      </c>
      <c r="K2736" s="6" t="str">
        <f>"2020"</f>
        <v>2020</v>
      </c>
      <c r="L2736" s="6" t="str">
        <f>"Lençóis"</f>
        <v>Lençóis</v>
      </c>
      <c r="M2736" s="6" t="str">
        <f>"100x150"</f>
        <v>100x150</v>
      </c>
      <c r="N2736" s="6" t="str">
        <f>"5602972281095"</f>
        <v>5602972281095</v>
      </c>
      <c r="O2736" s="8">
        <v>3</v>
      </c>
      <c r="R2736" s="8">
        <v>0</v>
      </c>
      <c r="U2736" s="8">
        <v>0</v>
      </c>
      <c r="X2736" s="8">
        <v>0</v>
      </c>
      <c r="Z2736" s="8">
        <v>0</v>
      </c>
      <c r="AC2736" s="8">
        <v>0</v>
      </c>
      <c r="AF2736" s="8">
        <v>0</v>
      </c>
      <c r="AN2736" s="8">
        <v>0</v>
      </c>
      <c r="AO2736" s="8">
        <v>3</v>
      </c>
    </row>
    <row r="2737" spans="1:41" x14ac:dyDescent="0.25">
      <c r="A2737" s="6" t="str">
        <f>"522-2026000328"</f>
        <v>522-2026000328</v>
      </c>
      <c r="B2737" s="6" t="str">
        <f t="shared" si="628"/>
        <v>EL CORTE</v>
      </c>
      <c r="C2737" s="7">
        <v>46041</v>
      </c>
      <c r="D2737" s="7">
        <v>46044</v>
      </c>
      <c r="E2737" s="8">
        <v>1</v>
      </c>
      <c r="F2737" s="6" t="str">
        <f>"94859901_07026"</f>
        <v>94859901_07026</v>
      </c>
      <c r="G2737" s="6" t="str">
        <f t="shared" si="629"/>
        <v>F310631650000000</v>
      </c>
      <c r="H2737" s="6" t="str">
        <f t="shared" si="630"/>
        <v>PLAR 6316 FD - 500 g</v>
      </c>
      <c r="I2737" s="6" t="str">
        <f>"201855"</f>
        <v>201855</v>
      </c>
      <c r="J2737" s="6" t="str">
        <f>"AZUL 1855"</f>
        <v>AZUL 1855</v>
      </c>
      <c r="K2737" s="6" t="str">
        <f>"1024"</f>
        <v>1024</v>
      </c>
      <c r="L2737" s="6" t="str">
        <f>"Toalhas"</f>
        <v>Toalhas</v>
      </c>
      <c r="M2737" s="6" t="str">
        <f>"50x100"</f>
        <v>50x100</v>
      </c>
      <c r="N2737" s="6" t="str">
        <f>"5602972281057"</f>
        <v>5602972281057</v>
      </c>
      <c r="O2737" s="8">
        <v>6</v>
      </c>
      <c r="R2737" s="8">
        <v>0</v>
      </c>
      <c r="U2737" s="8">
        <v>0</v>
      </c>
      <c r="X2737" s="8">
        <v>0</v>
      </c>
      <c r="Z2737" s="8">
        <v>0</v>
      </c>
      <c r="AC2737" s="8">
        <v>0</v>
      </c>
      <c r="AF2737" s="8">
        <v>0</v>
      </c>
      <c r="AN2737" s="8">
        <v>6</v>
      </c>
      <c r="AO2737" s="8">
        <v>0</v>
      </c>
    </row>
    <row r="2738" spans="1:41" x14ac:dyDescent="0.25">
      <c r="A2738" s="6" t="str">
        <f>"522-2026000328"</f>
        <v>522-2026000328</v>
      </c>
      <c r="B2738" s="6" t="str">
        <f t="shared" si="628"/>
        <v>EL CORTE</v>
      </c>
      <c r="C2738" s="7">
        <v>46041</v>
      </c>
      <c r="D2738" s="7">
        <v>46044</v>
      </c>
      <c r="E2738" s="8">
        <v>2</v>
      </c>
      <c r="F2738" s="6" t="str">
        <f>"94859901_07026"</f>
        <v>94859901_07026</v>
      </c>
      <c r="G2738" s="6" t="str">
        <f t="shared" si="629"/>
        <v>F310631650000000</v>
      </c>
      <c r="H2738" s="6" t="str">
        <f t="shared" si="630"/>
        <v>PLAR 6316 FD - 500 g</v>
      </c>
      <c r="I2738" s="6" t="str">
        <f>"202575"</f>
        <v>202575</v>
      </c>
      <c r="J2738" s="6" t="str">
        <f>"BEGE 2575"</f>
        <v>BEGE 2575</v>
      </c>
      <c r="K2738" s="6" t="str">
        <f>"2020"</f>
        <v>2020</v>
      </c>
      <c r="L2738" s="6" t="str">
        <f>"Lençóis"</f>
        <v>Lençóis</v>
      </c>
      <c r="M2738" s="6" t="str">
        <f>"100x150"</f>
        <v>100x150</v>
      </c>
      <c r="N2738" s="6" t="str">
        <f>"5602972281095"</f>
        <v>5602972281095</v>
      </c>
      <c r="O2738" s="8">
        <v>3</v>
      </c>
      <c r="R2738" s="8">
        <v>0</v>
      </c>
      <c r="U2738" s="8">
        <v>0</v>
      </c>
      <c r="X2738" s="8">
        <v>0</v>
      </c>
      <c r="Z2738" s="8">
        <v>0</v>
      </c>
      <c r="AC2738" s="8">
        <v>0</v>
      </c>
      <c r="AF2738" s="8">
        <v>0</v>
      </c>
      <c r="AN2738" s="8">
        <v>0</v>
      </c>
      <c r="AO2738" s="8">
        <v>3</v>
      </c>
    </row>
    <row r="2739" spans="1:41" x14ac:dyDescent="0.25">
      <c r="A2739" s="6" t="str">
        <f>"522-2026000329"</f>
        <v>522-2026000329</v>
      </c>
      <c r="B2739" s="6" t="str">
        <f t="shared" si="628"/>
        <v>EL CORTE</v>
      </c>
      <c r="C2739" s="7">
        <v>46041</v>
      </c>
      <c r="D2739" s="7">
        <v>46044</v>
      </c>
      <c r="E2739" s="8">
        <v>1</v>
      </c>
      <c r="F2739" s="6" t="str">
        <f>"94860401_07026"</f>
        <v>94860401_07026</v>
      </c>
      <c r="G2739" s="6" t="str">
        <f t="shared" si="629"/>
        <v>F310631650000000</v>
      </c>
      <c r="H2739" s="6" t="str">
        <f t="shared" si="630"/>
        <v>PLAR 6316 FD - 500 g</v>
      </c>
      <c r="I2739" s="6" t="str">
        <f>"201855"</f>
        <v>201855</v>
      </c>
      <c r="J2739" s="6" t="str">
        <f>"AZUL 1855"</f>
        <v>AZUL 1855</v>
      </c>
      <c r="K2739" s="6" t="str">
        <f>"2020"</f>
        <v>2020</v>
      </c>
      <c r="L2739" s="6" t="str">
        <f>"Lençóis"</f>
        <v>Lençóis</v>
      </c>
      <c r="M2739" s="6" t="str">
        <f>"100x150"</f>
        <v>100x150</v>
      </c>
      <c r="N2739" s="6" t="str">
        <f>"5602972281064"</f>
        <v>5602972281064</v>
      </c>
      <c r="O2739" s="8">
        <v>6</v>
      </c>
      <c r="R2739" s="8">
        <v>0</v>
      </c>
      <c r="U2739" s="8">
        <v>0</v>
      </c>
      <c r="X2739" s="8">
        <v>0</v>
      </c>
      <c r="Z2739" s="8">
        <v>0</v>
      </c>
      <c r="AC2739" s="8">
        <v>0</v>
      </c>
      <c r="AF2739" s="8">
        <v>0</v>
      </c>
      <c r="AN2739" s="8">
        <v>0</v>
      </c>
      <c r="AO2739" s="8">
        <v>6</v>
      </c>
    </row>
    <row r="2740" spans="1:41" x14ac:dyDescent="0.25">
      <c r="A2740" s="6" t="str">
        <f>"522-2026000329"</f>
        <v>522-2026000329</v>
      </c>
      <c r="B2740" s="6" t="str">
        <f t="shared" si="628"/>
        <v>EL CORTE</v>
      </c>
      <c r="C2740" s="7">
        <v>46041</v>
      </c>
      <c r="D2740" s="7">
        <v>46044</v>
      </c>
      <c r="E2740" s="8">
        <v>2</v>
      </c>
      <c r="F2740" s="6" t="str">
        <f>"94860401_07026"</f>
        <v>94860401_07026</v>
      </c>
      <c r="G2740" s="6" t="str">
        <f t="shared" si="629"/>
        <v>F310631650000000</v>
      </c>
      <c r="H2740" s="6" t="str">
        <f t="shared" si="630"/>
        <v>PLAR 6316 FD - 500 g</v>
      </c>
      <c r="I2740" s="6" t="str">
        <f>"202575"</f>
        <v>202575</v>
      </c>
      <c r="J2740" s="6" t="str">
        <f>"BEGE 2575"</f>
        <v>BEGE 2575</v>
      </c>
      <c r="K2740" s="6" t="str">
        <f>"2020"</f>
        <v>2020</v>
      </c>
      <c r="L2740" s="6" t="str">
        <f>"Lençóis"</f>
        <v>Lençóis</v>
      </c>
      <c r="M2740" s="6" t="str">
        <f>"100x150"</f>
        <v>100x150</v>
      </c>
      <c r="N2740" s="6" t="str">
        <f>"5602972281095"</f>
        <v>5602972281095</v>
      </c>
      <c r="O2740" s="8">
        <v>6</v>
      </c>
      <c r="R2740" s="8">
        <v>0</v>
      </c>
      <c r="U2740" s="8">
        <v>0</v>
      </c>
      <c r="X2740" s="8">
        <v>0</v>
      </c>
      <c r="Z2740" s="8">
        <v>0</v>
      </c>
      <c r="AC2740" s="8">
        <v>0</v>
      </c>
      <c r="AF2740" s="8">
        <v>0</v>
      </c>
      <c r="AN2740" s="8">
        <v>0</v>
      </c>
      <c r="AO2740" s="8">
        <v>6</v>
      </c>
    </row>
    <row r="2741" spans="1:41" x14ac:dyDescent="0.25">
      <c r="A2741" s="6" t="str">
        <f>"522-2026000329"</f>
        <v>522-2026000329</v>
      </c>
      <c r="B2741" s="6" t="str">
        <f t="shared" si="628"/>
        <v>EL CORTE</v>
      </c>
      <c r="C2741" s="7">
        <v>46041</v>
      </c>
      <c r="D2741" s="7">
        <v>46044</v>
      </c>
      <c r="E2741" s="8">
        <v>3</v>
      </c>
      <c r="F2741" s="6" t="str">
        <f>"94860401_07026"</f>
        <v>94860401_07026</v>
      </c>
      <c r="G2741" s="6" t="str">
        <f t="shared" si="629"/>
        <v>F310631650000000</v>
      </c>
      <c r="H2741" s="6" t="str">
        <f t="shared" si="630"/>
        <v>PLAR 6316 FD - 500 g</v>
      </c>
      <c r="I2741" s="6" t="str">
        <f>"200901"</f>
        <v>200901</v>
      </c>
      <c r="J2741" s="6" t="str">
        <f>"ROSA 901"</f>
        <v>ROSA 901</v>
      </c>
      <c r="K2741" s="6" t="str">
        <f>"2020"</f>
        <v>2020</v>
      </c>
      <c r="L2741" s="6" t="str">
        <f>"Lençóis"</f>
        <v>Lençóis</v>
      </c>
      <c r="M2741" s="6" t="str">
        <f>"100x150"</f>
        <v>100x150</v>
      </c>
      <c r="N2741" s="6" t="str">
        <f>"5602972281125"</f>
        <v>5602972281125</v>
      </c>
      <c r="O2741" s="8">
        <v>6</v>
      </c>
      <c r="R2741" s="8">
        <v>0</v>
      </c>
      <c r="U2741" s="8">
        <v>0</v>
      </c>
      <c r="X2741" s="8">
        <v>0</v>
      </c>
      <c r="Z2741" s="8">
        <v>0</v>
      </c>
      <c r="AC2741" s="8">
        <v>0</v>
      </c>
      <c r="AF2741" s="8">
        <v>0</v>
      </c>
      <c r="AN2741" s="8">
        <v>0</v>
      </c>
      <c r="AO2741" s="8">
        <v>6</v>
      </c>
    </row>
    <row r="2742" spans="1:41" x14ac:dyDescent="0.25">
      <c r="A2742" s="6" t="str">
        <f>"522-2026000329"</f>
        <v>522-2026000329</v>
      </c>
      <c r="B2742" s="6" t="str">
        <f t="shared" si="628"/>
        <v>EL CORTE</v>
      </c>
      <c r="C2742" s="7">
        <v>46041</v>
      </c>
      <c r="D2742" s="7">
        <v>46044</v>
      </c>
      <c r="E2742" s="8">
        <v>4</v>
      </c>
      <c r="F2742" s="6" t="str">
        <f>"94860401_07026"</f>
        <v>94860401_07026</v>
      </c>
      <c r="G2742" s="6" t="str">
        <f t="shared" si="629"/>
        <v>F310631650000000</v>
      </c>
      <c r="H2742" s="6" t="str">
        <f t="shared" si="630"/>
        <v>PLAR 6316 FD - 500 g</v>
      </c>
      <c r="I2742" s="6" t="str">
        <f>"200510"</f>
        <v>200510</v>
      </c>
      <c r="J2742" s="6" t="str">
        <f>"VERDE 510"</f>
        <v>VERDE 510</v>
      </c>
      <c r="K2742" s="6" t="str">
        <f>"2020"</f>
        <v>2020</v>
      </c>
      <c r="L2742" s="6" t="str">
        <f>"Lençóis"</f>
        <v>Lençóis</v>
      </c>
      <c r="M2742" s="6" t="str">
        <f>"100x150"</f>
        <v>100x150</v>
      </c>
      <c r="N2742" s="6" t="str">
        <f>"5602972281156"</f>
        <v>5602972281156</v>
      </c>
      <c r="O2742" s="8">
        <v>3</v>
      </c>
      <c r="R2742" s="8">
        <v>0</v>
      </c>
      <c r="U2742" s="8">
        <v>0</v>
      </c>
      <c r="X2742" s="8">
        <v>0</v>
      </c>
      <c r="Z2742" s="8">
        <v>0</v>
      </c>
      <c r="AC2742" s="8">
        <v>0</v>
      </c>
      <c r="AF2742" s="8">
        <v>0</v>
      </c>
      <c r="AN2742" s="8">
        <v>0</v>
      </c>
      <c r="AO2742" s="8">
        <v>3</v>
      </c>
    </row>
    <row r="2743" spans="1:41" x14ac:dyDescent="0.25">
      <c r="A2743" s="6" t="str">
        <f>"522-2026000330"</f>
        <v>522-2026000330</v>
      </c>
      <c r="B2743" s="6" t="str">
        <f t="shared" si="628"/>
        <v>EL CORTE</v>
      </c>
      <c r="C2743" s="7">
        <v>46041</v>
      </c>
      <c r="D2743" s="7">
        <v>46044</v>
      </c>
      <c r="E2743" s="8">
        <v>1</v>
      </c>
      <c r="F2743" s="6" t="str">
        <f>"94858301_07026"</f>
        <v>94858301_07026</v>
      </c>
      <c r="G2743" s="6" t="str">
        <f t="shared" si="629"/>
        <v>F310631650000000</v>
      </c>
      <c r="H2743" s="6" t="str">
        <f t="shared" si="630"/>
        <v>PLAR 6316 FD - 500 g</v>
      </c>
      <c r="I2743" s="6" t="str">
        <f>"201855"</f>
        <v>201855</v>
      </c>
      <c r="J2743" s="6" t="str">
        <f>"AZUL 1855"</f>
        <v>AZUL 1855</v>
      </c>
      <c r="K2743" s="6" t="str">
        <f>"1024"</f>
        <v>1024</v>
      </c>
      <c r="L2743" s="6" t="str">
        <f>"Toalhas"</f>
        <v>Toalhas</v>
      </c>
      <c r="M2743" s="6" t="str">
        <f>"50x100"</f>
        <v>50x100</v>
      </c>
      <c r="N2743" s="6" t="str">
        <f>"5602972281057"</f>
        <v>5602972281057</v>
      </c>
      <c r="O2743" s="8">
        <v>6</v>
      </c>
      <c r="R2743" s="8">
        <v>0</v>
      </c>
      <c r="U2743" s="8">
        <v>0</v>
      </c>
      <c r="X2743" s="8">
        <v>0</v>
      </c>
      <c r="Z2743" s="8">
        <v>0</v>
      </c>
      <c r="AC2743" s="8">
        <v>0</v>
      </c>
      <c r="AF2743" s="8">
        <v>0</v>
      </c>
      <c r="AN2743" s="8">
        <v>6</v>
      </c>
      <c r="AO2743" s="8">
        <v>0</v>
      </c>
    </row>
    <row r="2744" spans="1:41" x14ac:dyDescent="0.25">
      <c r="A2744" s="6" t="str">
        <f>"522-2026000330"</f>
        <v>522-2026000330</v>
      </c>
      <c r="B2744" s="6" t="str">
        <f t="shared" si="628"/>
        <v>EL CORTE</v>
      </c>
      <c r="C2744" s="7">
        <v>46041</v>
      </c>
      <c r="D2744" s="7">
        <v>46044</v>
      </c>
      <c r="E2744" s="8">
        <v>2</v>
      </c>
      <c r="F2744" s="6" t="str">
        <f>"94858301_07026"</f>
        <v>94858301_07026</v>
      </c>
      <c r="G2744" s="6" t="str">
        <f t="shared" si="629"/>
        <v>F310631650000000</v>
      </c>
      <c r="H2744" s="6" t="str">
        <f t="shared" si="630"/>
        <v>PLAR 6316 FD - 500 g</v>
      </c>
      <c r="I2744" s="6" t="str">
        <f>"200901"</f>
        <v>200901</v>
      </c>
      <c r="J2744" s="6" t="str">
        <f>"ROSA 901"</f>
        <v>ROSA 901</v>
      </c>
      <c r="K2744" s="6" t="str">
        <f>"2020"</f>
        <v>2020</v>
      </c>
      <c r="L2744" s="6" t="str">
        <f>"Lençóis"</f>
        <v>Lençóis</v>
      </c>
      <c r="M2744" s="6" t="str">
        <f>"100x150"</f>
        <v>100x150</v>
      </c>
      <c r="N2744" s="6" t="str">
        <f>"5602972281125"</f>
        <v>5602972281125</v>
      </c>
      <c r="O2744" s="8">
        <v>3</v>
      </c>
      <c r="R2744" s="8">
        <v>0</v>
      </c>
      <c r="U2744" s="8">
        <v>0</v>
      </c>
      <c r="X2744" s="8">
        <v>0</v>
      </c>
      <c r="Z2744" s="8">
        <v>0</v>
      </c>
      <c r="AC2744" s="8">
        <v>0</v>
      </c>
      <c r="AF2744" s="8">
        <v>0</v>
      </c>
      <c r="AN2744" s="8">
        <v>0</v>
      </c>
      <c r="AO2744" s="8">
        <v>3</v>
      </c>
    </row>
    <row r="2745" spans="1:41" x14ac:dyDescent="0.25">
      <c r="A2745" s="6" t="str">
        <f>"522-2026000330"</f>
        <v>522-2026000330</v>
      </c>
      <c r="B2745" s="6" t="str">
        <f t="shared" si="628"/>
        <v>EL CORTE</v>
      </c>
      <c r="C2745" s="7">
        <v>46041</v>
      </c>
      <c r="D2745" s="7">
        <v>46044</v>
      </c>
      <c r="E2745" s="8">
        <v>3</v>
      </c>
      <c r="F2745" s="6" t="str">
        <f>"94858301_07026"</f>
        <v>94858301_07026</v>
      </c>
      <c r="G2745" s="6" t="str">
        <f t="shared" si="629"/>
        <v>F310631650000000</v>
      </c>
      <c r="H2745" s="6" t="str">
        <f t="shared" si="630"/>
        <v>PLAR 6316 FD - 500 g</v>
      </c>
      <c r="I2745" s="6" t="str">
        <f>"200510"</f>
        <v>200510</v>
      </c>
      <c r="J2745" s="6" t="str">
        <f>"VERDE 510"</f>
        <v>VERDE 510</v>
      </c>
      <c r="K2745" s="6" t="str">
        <f>"1024"</f>
        <v>1024</v>
      </c>
      <c r="L2745" s="6" t="str">
        <f>"Toalhas"</f>
        <v>Toalhas</v>
      </c>
      <c r="M2745" s="6" t="str">
        <f>"50x100"</f>
        <v>50x100</v>
      </c>
      <c r="N2745" s="6" t="str">
        <f>"5602972281149"</f>
        <v>5602972281149</v>
      </c>
      <c r="O2745" s="8">
        <v>6</v>
      </c>
      <c r="R2745" s="8">
        <v>0</v>
      </c>
      <c r="U2745" s="8">
        <v>0</v>
      </c>
      <c r="X2745" s="8">
        <v>0</v>
      </c>
      <c r="Z2745" s="8">
        <v>0</v>
      </c>
      <c r="AC2745" s="8">
        <v>0</v>
      </c>
      <c r="AF2745" s="8">
        <v>0</v>
      </c>
      <c r="AN2745" s="8">
        <v>6</v>
      </c>
      <c r="AO2745" s="8">
        <v>0</v>
      </c>
    </row>
    <row r="2746" spans="1:41" x14ac:dyDescent="0.25">
      <c r="A2746" s="6" t="str">
        <f>"522-2026000331"</f>
        <v>522-2026000331</v>
      </c>
      <c r="B2746" s="6" t="str">
        <f t="shared" si="628"/>
        <v>EL CORTE</v>
      </c>
      <c r="C2746" s="7">
        <v>46041</v>
      </c>
      <c r="D2746" s="7">
        <v>46044</v>
      </c>
      <c r="E2746" s="8">
        <v>1</v>
      </c>
      <c r="F2746" s="6" t="str">
        <f>"94860101_07026"</f>
        <v>94860101_07026</v>
      </c>
      <c r="G2746" s="6" t="str">
        <f t="shared" si="629"/>
        <v>F310631650000000</v>
      </c>
      <c r="H2746" s="6" t="str">
        <f t="shared" si="630"/>
        <v>PLAR 6316 FD - 500 g</v>
      </c>
      <c r="I2746" s="6" t="str">
        <f>"201855"</f>
        <v>201855</v>
      </c>
      <c r="J2746" s="6" t="str">
        <f>"AZUL 1855"</f>
        <v>AZUL 1855</v>
      </c>
      <c r="K2746" s="6" t="str">
        <f>"2020"</f>
        <v>2020</v>
      </c>
      <c r="L2746" s="6" t="str">
        <f>"Lençóis"</f>
        <v>Lençóis</v>
      </c>
      <c r="M2746" s="6" t="str">
        <f>"100x150"</f>
        <v>100x150</v>
      </c>
      <c r="N2746" s="6" t="str">
        <f>"5602972281064"</f>
        <v>5602972281064</v>
      </c>
      <c r="O2746" s="8">
        <v>3</v>
      </c>
      <c r="R2746" s="8">
        <v>0</v>
      </c>
      <c r="U2746" s="8">
        <v>0</v>
      </c>
      <c r="X2746" s="8">
        <v>0</v>
      </c>
      <c r="Z2746" s="8">
        <v>0</v>
      </c>
      <c r="AC2746" s="8">
        <v>0</v>
      </c>
      <c r="AF2746" s="8">
        <v>0</v>
      </c>
      <c r="AN2746" s="8">
        <v>0</v>
      </c>
      <c r="AO2746" s="8">
        <v>3</v>
      </c>
    </row>
    <row r="2747" spans="1:41" x14ac:dyDescent="0.25">
      <c r="A2747" s="6" t="str">
        <f>"522-2026000331"</f>
        <v>522-2026000331</v>
      </c>
      <c r="B2747" s="6" t="str">
        <f t="shared" si="628"/>
        <v>EL CORTE</v>
      </c>
      <c r="C2747" s="7">
        <v>46041</v>
      </c>
      <c r="D2747" s="7">
        <v>46044</v>
      </c>
      <c r="E2747" s="8">
        <v>2</v>
      </c>
      <c r="F2747" s="6" t="str">
        <f>"94860101_07026"</f>
        <v>94860101_07026</v>
      </c>
      <c r="G2747" s="6" t="str">
        <f t="shared" si="629"/>
        <v>F310631650000000</v>
      </c>
      <c r="H2747" s="6" t="str">
        <f t="shared" si="630"/>
        <v>PLAR 6316 FD - 500 g</v>
      </c>
      <c r="I2747" s="6" t="str">
        <f>"202575"</f>
        <v>202575</v>
      </c>
      <c r="J2747" s="6" t="str">
        <f>"BEGE 2575"</f>
        <v>BEGE 2575</v>
      </c>
      <c r="K2747" s="6" t="str">
        <f>"2020"</f>
        <v>2020</v>
      </c>
      <c r="L2747" s="6" t="str">
        <f>"Lençóis"</f>
        <v>Lençóis</v>
      </c>
      <c r="M2747" s="6" t="str">
        <f>"100x150"</f>
        <v>100x150</v>
      </c>
      <c r="N2747" s="6" t="str">
        <f>"5602972281095"</f>
        <v>5602972281095</v>
      </c>
      <c r="O2747" s="8">
        <v>12</v>
      </c>
      <c r="R2747" s="8">
        <v>0</v>
      </c>
      <c r="U2747" s="8">
        <v>0</v>
      </c>
      <c r="X2747" s="8">
        <v>0</v>
      </c>
      <c r="Z2747" s="8">
        <v>0</v>
      </c>
      <c r="AC2747" s="8">
        <v>0</v>
      </c>
      <c r="AF2747" s="8">
        <v>0</v>
      </c>
      <c r="AN2747" s="8">
        <v>0</v>
      </c>
      <c r="AO2747" s="8">
        <v>12</v>
      </c>
    </row>
    <row r="2748" spans="1:41" x14ac:dyDescent="0.25">
      <c r="A2748" s="6" t="str">
        <f>"522-2026000331"</f>
        <v>522-2026000331</v>
      </c>
      <c r="B2748" s="6" t="str">
        <f t="shared" si="628"/>
        <v>EL CORTE</v>
      </c>
      <c r="C2748" s="7">
        <v>46041</v>
      </c>
      <c r="D2748" s="7">
        <v>46044</v>
      </c>
      <c r="E2748" s="8">
        <v>3</v>
      </c>
      <c r="F2748" s="6" t="str">
        <f>"94860101_07026"</f>
        <v>94860101_07026</v>
      </c>
      <c r="G2748" s="6" t="str">
        <f t="shared" si="629"/>
        <v>F310631650000000</v>
      </c>
      <c r="H2748" s="6" t="str">
        <f t="shared" si="630"/>
        <v>PLAR 6316 FD - 500 g</v>
      </c>
      <c r="I2748" s="6" t="str">
        <f>"200901"</f>
        <v>200901</v>
      </c>
      <c r="J2748" s="6" t="str">
        <f>"ROSA 901"</f>
        <v>ROSA 901</v>
      </c>
      <c r="K2748" s="6" t="str">
        <f>"2020"</f>
        <v>2020</v>
      </c>
      <c r="L2748" s="6" t="str">
        <f>"Lençóis"</f>
        <v>Lençóis</v>
      </c>
      <c r="M2748" s="6" t="str">
        <f>"100x150"</f>
        <v>100x150</v>
      </c>
      <c r="N2748" s="6" t="str">
        <f>"5602972281125"</f>
        <v>5602972281125</v>
      </c>
      <c r="O2748" s="8">
        <v>9</v>
      </c>
      <c r="R2748" s="8">
        <v>0</v>
      </c>
      <c r="U2748" s="8">
        <v>0</v>
      </c>
      <c r="X2748" s="8">
        <v>0</v>
      </c>
      <c r="Z2748" s="8">
        <v>0</v>
      </c>
      <c r="AC2748" s="8">
        <v>0</v>
      </c>
      <c r="AF2748" s="8">
        <v>0</v>
      </c>
      <c r="AN2748" s="8">
        <v>0</v>
      </c>
      <c r="AO2748" s="8">
        <v>9</v>
      </c>
    </row>
    <row r="2749" spans="1:41" x14ac:dyDescent="0.25">
      <c r="A2749" s="6" t="str">
        <f>"522-2026000331"</f>
        <v>522-2026000331</v>
      </c>
      <c r="B2749" s="6" t="str">
        <f t="shared" si="628"/>
        <v>EL CORTE</v>
      </c>
      <c r="C2749" s="7">
        <v>46041</v>
      </c>
      <c r="D2749" s="7">
        <v>46044</v>
      </c>
      <c r="E2749" s="8">
        <v>4</v>
      </c>
      <c r="F2749" s="6" t="str">
        <f>"94860101_07026"</f>
        <v>94860101_07026</v>
      </c>
      <c r="G2749" s="6" t="str">
        <f t="shared" si="629"/>
        <v>F310631650000000</v>
      </c>
      <c r="H2749" s="6" t="str">
        <f t="shared" si="630"/>
        <v>PLAR 6316 FD - 500 g</v>
      </c>
      <c r="I2749" s="6" t="str">
        <f>"200510"</f>
        <v>200510</v>
      </c>
      <c r="J2749" s="6" t="str">
        <f>"VERDE 510"</f>
        <v>VERDE 510</v>
      </c>
      <c r="K2749" s="6" t="str">
        <f>"2020"</f>
        <v>2020</v>
      </c>
      <c r="L2749" s="6" t="str">
        <f>"Lençóis"</f>
        <v>Lençóis</v>
      </c>
      <c r="M2749" s="6" t="str">
        <f>"100x150"</f>
        <v>100x150</v>
      </c>
      <c r="N2749" s="6" t="str">
        <f>"5602972281156"</f>
        <v>5602972281156</v>
      </c>
      <c r="O2749" s="8">
        <v>9</v>
      </c>
      <c r="R2749" s="8">
        <v>0</v>
      </c>
      <c r="U2749" s="8">
        <v>0</v>
      </c>
      <c r="X2749" s="8">
        <v>0</v>
      </c>
      <c r="Z2749" s="8">
        <v>0</v>
      </c>
      <c r="AC2749" s="8">
        <v>0</v>
      </c>
      <c r="AF2749" s="8">
        <v>0</v>
      </c>
      <c r="AN2749" s="8">
        <v>0</v>
      </c>
      <c r="AO2749" s="8">
        <v>9</v>
      </c>
    </row>
    <row r="2750" spans="1:41" x14ac:dyDescent="0.25">
      <c r="A2750" s="6" t="str">
        <f>"522-2026000332"</f>
        <v>522-2026000332</v>
      </c>
      <c r="B2750" s="6" t="str">
        <f t="shared" si="628"/>
        <v>EL CORTE</v>
      </c>
      <c r="C2750" s="7">
        <v>46041</v>
      </c>
      <c r="D2750" s="7">
        <v>46044</v>
      </c>
      <c r="E2750" s="8">
        <v>1</v>
      </c>
      <c r="F2750" s="6" t="str">
        <f>"94861001_07026"</f>
        <v>94861001_07026</v>
      </c>
      <c r="G2750" s="6" t="str">
        <f t="shared" si="629"/>
        <v>F310631650000000</v>
      </c>
      <c r="H2750" s="6" t="str">
        <f t="shared" si="630"/>
        <v>PLAR 6316 FD - 500 g</v>
      </c>
      <c r="I2750" s="6" t="str">
        <f>"201855"</f>
        <v>201855</v>
      </c>
      <c r="J2750" s="6" t="str">
        <f>"AZUL 1855"</f>
        <v>AZUL 1855</v>
      </c>
      <c r="K2750" s="6" t="str">
        <f>"0520"</f>
        <v>0520</v>
      </c>
      <c r="L2750" s="6" t="str">
        <f>"Toalhetes"</f>
        <v>Toalhetes</v>
      </c>
      <c r="M2750" s="6" t="str">
        <f>"30x50"</f>
        <v>30x50</v>
      </c>
      <c r="N2750" s="6" t="str">
        <f>"5602972281040"</f>
        <v>5602972281040</v>
      </c>
      <c r="O2750" s="8">
        <v>6</v>
      </c>
      <c r="R2750" s="8">
        <v>0</v>
      </c>
      <c r="U2750" s="8">
        <v>0</v>
      </c>
      <c r="X2750" s="8">
        <v>0</v>
      </c>
      <c r="Z2750" s="8">
        <v>0</v>
      </c>
      <c r="AC2750" s="8">
        <v>0</v>
      </c>
      <c r="AF2750" s="8">
        <v>0</v>
      </c>
      <c r="AN2750" s="8">
        <v>0</v>
      </c>
      <c r="AO2750" s="8">
        <v>6</v>
      </c>
    </row>
    <row r="2751" spans="1:41" x14ac:dyDescent="0.25">
      <c r="A2751" s="6" t="str">
        <f>"522-2026000332"</f>
        <v>522-2026000332</v>
      </c>
      <c r="B2751" s="6" t="str">
        <f t="shared" si="628"/>
        <v>EL CORTE</v>
      </c>
      <c r="C2751" s="7">
        <v>46041</v>
      </c>
      <c r="D2751" s="7">
        <v>46044</v>
      </c>
      <c r="E2751" s="8">
        <v>2</v>
      </c>
      <c r="F2751" s="6" t="str">
        <f>"94861001_07026"</f>
        <v>94861001_07026</v>
      </c>
      <c r="G2751" s="6" t="str">
        <f t="shared" si="629"/>
        <v>F310631650000000</v>
      </c>
      <c r="H2751" s="6" t="str">
        <f t="shared" si="630"/>
        <v>PLAR 6316 FD - 500 g</v>
      </c>
      <c r="I2751" s="6" t="str">
        <f>"201855"</f>
        <v>201855</v>
      </c>
      <c r="J2751" s="6" t="str">
        <f>"AZUL 1855"</f>
        <v>AZUL 1855</v>
      </c>
      <c r="K2751" s="6" t="str">
        <f>"2020"</f>
        <v>2020</v>
      </c>
      <c r="L2751" s="6" t="str">
        <f>"Lençóis"</f>
        <v>Lençóis</v>
      </c>
      <c r="M2751" s="6" t="str">
        <f>"100x150"</f>
        <v>100x150</v>
      </c>
      <c r="N2751" s="6" t="str">
        <f>"5602972281064"</f>
        <v>5602972281064</v>
      </c>
      <c r="O2751" s="8">
        <v>3</v>
      </c>
      <c r="R2751" s="8">
        <v>0</v>
      </c>
      <c r="U2751" s="8">
        <v>0</v>
      </c>
      <c r="X2751" s="8">
        <v>0</v>
      </c>
      <c r="Z2751" s="8">
        <v>0</v>
      </c>
      <c r="AC2751" s="8">
        <v>0</v>
      </c>
      <c r="AF2751" s="8">
        <v>0</v>
      </c>
      <c r="AN2751" s="8">
        <v>0</v>
      </c>
      <c r="AO2751" s="8">
        <v>3</v>
      </c>
    </row>
    <row r="2752" spans="1:41" x14ac:dyDescent="0.25">
      <c r="A2752" s="6" t="str">
        <f>"522-2026000332"</f>
        <v>522-2026000332</v>
      </c>
      <c r="B2752" s="6" t="str">
        <f t="shared" si="628"/>
        <v>EL CORTE</v>
      </c>
      <c r="C2752" s="7">
        <v>46041</v>
      </c>
      <c r="D2752" s="7">
        <v>46044</v>
      </c>
      <c r="E2752" s="8">
        <v>3</v>
      </c>
      <c r="F2752" s="6" t="str">
        <f>"94861001_07026"</f>
        <v>94861001_07026</v>
      </c>
      <c r="G2752" s="6" t="str">
        <f t="shared" si="629"/>
        <v>F310631650000000</v>
      </c>
      <c r="H2752" s="6" t="str">
        <f t="shared" si="630"/>
        <v>PLAR 6316 FD - 500 g</v>
      </c>
      <c r="I2752" s="6" t="str">
        <f>"202575"</f>
        <v>202575</v>
      </c>
      <c r="J2752" s="6" t="str">
        <f>"BEGE 2575"</f>
        <v>BEGE 2575</v>
      </c>
      <c r="K2752" s="6" t="str">
        <f>"2020"</f>
        <v>2020</v>
      </c>
      <c r="L2752" s="6" t="str">
        <f>"Lençóis"</f>
        <v>Lençóis</v>
      </c>
      <c r="M2752" s="6" t="str">
        <f>"100x150"</f>
        <v>100x150</v>
      </c>
      <c r="N2752" s="6" t="str">
        <f>"5602972281095"</f>
        <v>5602972281095</v>
      </c>
      <c r="O2752" s="8">
        <v>3</v>
      </c>
      <c r="R2752" s="8">
        <v>0</v>
      </c>
      <c r="U2752" s="8">
        <v>0</v>
      </c>
      <c r="X2752" s="8">
        <v>0</v>
      </c>
      <c r="Z2752" s="8">
        <v>0</v>
      </c>
      <c r="AC2752" s="8">
        <v>0</v>
      </c>
      <c r="AF2752" s="8">
        <v>0</v>
      </c>
      <c r="AN2752" s="8">
        <v>0</v>
      </c>
      <c r="AO2752" s="8">
        <v>3</v>
      </c>
    </row>
    <row r="2753" spans="1:41" x14ac:dyDescent="0.25">
      <c r="A2753" s="6" t="str">
        <f>"522-2026000332"</f>
        <v>522-2026000332</v>
      </c>
      <c r="B2753" s="6" t="str">
        <f t="shared" si="628"/>
        <v>EL CORTE</v>
      </c>
      <c r="C2753" s="7">
        <v>46041</v>
      </c>
      <c r="D2753" s="7">
        <v>46044</v>
      </c>
      <c r="E2753" s="8">
        <v>4</v>
      </c>
      <c r="F2753" s="6" t="str">
        <f>"94861001_07026"</f>
        <v>94861001_07026</v>
      </c>
      <c r="G2753" s="6" t="str">
        <f t="shared" si="629"/>
        <v>F310631650000000</v>
      </c>
      <c r="H2753" s="6" t="str">
        <f t="shared" si="630"/>
        <v>PLAR 6316 FD - 500 g</v>
      </c>
      <c r="I2753" s="6" t="str">
        <f>"200901"</f>
        <v>200901</v>
      </c>
      <c r="J2753" s="6" t="str">
        <f>"ROSA 901"</f>
        <v>ROSA 901</v>
      </c>
      <c r="K2753" s="6" t="str">
        <f>"0520"</f>
        <v>0520</v>
      </c>
      <c r="L2753" s="6" t="str">
        <f>"Toalhetes"</f>
        <v>Toalhetes</v>
      </c>
      <c r="M2753" s="6" t="str">
        <f>"30x50"</f>
        <v>30x50</v>
      </c>
      <c r="N2753" s="6" t="str">
        <f>"5602972281101"</f>
        <v>5602972281101</v>
      </c>
      <c r="O2753" s="8">
        <v>6</v>
      </c>
      <c r="R2753" s="8">
        <v>0</v>
      </c>
      <c r="U2753" s="8">
        <v>0</v>
      </c>
      <c r="X2753" s="8">
        <v>0</v>
      </c>
      <c r="Z2753" s="8">
        <v>0</v>
      </c>
      <c r="AC2753" s="8">
        <v>0</v>
      </c>
      <c r="AF2753" s="8">
        <v>0</v>
      </c>
      <c r="AN2753" s="8">
        <v>0</v>
      </c>
      <c r="AO2753" s="8">
        <v>6</v>
      </c>
    </row>
    <row r="2754" spans="1:41" x14ac:dyDescent="0.25">
      <c r="A2754" s="6" t="str">
        <f>"522-2026000333"</f>
        <v>522-2026000333</v>
      </c>
      <c r="B2754" s="6" t="str">
        <f t="shared" si="628"/>
        <v>EL CORTE</v>
      </c>
      <c r="C2754" s="7">
        <v>46041</v>
      </c>
      <c r="D2754" s="7">
        <v>46044</v>
      </c>
      <c r="E2754" s="8">
        <v>1</v>
      </c>
      <c r="F2754" s="6" t="str">
        <f>"94857701_07026"</f>
        <v>94857701_07026</v>
      </c>
      <c r="G2754" s="6" t="str">
        <f t="shared" si="629"/>
        <v>F310631650000000</v>
      </c>
      <c r="H2754" s="6" t="str">
        <f t="shared" si="630"/>
        <v>PLAR 6316 FD - 500 g</v>
      </c>
      <c r="I2754" s="6" t="str">
        <f>"201855"</f>
        <v>201855</v>
      </c>
      <c r="J2754" s="6" t="str">
        <f>"AZUL 1855"</f>
        <v>AZUL 1855</v>
      </c>
      <c r="K2754" s="6" t="str">
        <f t="shared" ref="K2754:K2761" si="639">"2020"</f>
        <v>2020</v>
      </c>
      <c r="L2754" s="6" t="str">
        <f t="shared" ref="L2754:L2761" si="640">"Lençóis"</f>
        <v>Lençóis</v>
      </c>
      <c r="M2754" s="6" t="str">
        <f t="shared" ref="M2754:M2761" si="641">"100x150"</f>
        <v>100x150</v>
      </c>
      <c r="N2754" s="6" t="str">
        <f>"5602972281064"</f>
        <v>5602972281064</v>
      </c>
      <c r="O2754" s="8">
        <v>6</v>
      </c>
      <c r="R2754" s="8">
        <v>0</v>
      </c>
      <c r="U2754" s="8">
        <v>0</v>
      </c>
      <c r="X2754" s="8">
        <v>0</v>
      </c>
      <c r="Z2754" s="8">
        <v>0</v>
      </c>
      <c r="AC2754" s="8">
        <v>0</v>
      </c>
      <c r="AF2754" s="8">
        <v>0</v>
      </c>
      <c r="AN2754" s="8">
        <v>0</v>
      </c>
      <c r="AO2754" s="8">
        <v>6</v>
      </c>
    </row>
    <row r="2755" spans="1:41" x14ac:dyDescent="0.25">
      <c r="A2755" s="6" t="str">
        <f>"522-2026000333"</f>
        <v>522-2026000333</v>
      </c>
      <c r="B2755" s="6" t="str">
        <f t="shared" si="628"/>
        <v>EL CORTE</v>
      </c>
      <c r="C2755" s="7">
        <v>46041</v>
      </c>
      <c r="D2755" s="7">
        <v>46044</v>
      </c>
      <c r="E2755" s="8">
        <v>2</v>
      </c>
      <c r="F2755" s="6" t="str">
        <f>"94857701_07026"</f>
        <v>94857701_07026</v>
      </c>
      <c r="G2755" s="6" t="str">
        <f t="shared" si="629"/>
        <v>F310631650000000</v>
      </c>
      <c r="H2755" s="6" t="str">
        <f t="shared" si="630"/>
        <v>PLAR 6316 FD - 500 g</v>
      </c>
      <c r="I2755" s="6" t="str">
        <f>"202575"</f>
        <v>202575</v>
      </c>
      <c r="J2755" s="6" t="str">
        <f>"BEGE 2575"</f>
        <v>BEGE 2575</v>
      </c>
      <c r="K2755" s="6" t="str">
        <f t="shared" si="639"/>
        <v>2020</v>
      </c>
      <c r="L2755" s="6" t="str">
        <f t="shared" si="640"/>
        <v>Lençóis</v>
      </c>
      <c r="M2755" s="6" t="str">
        <f t="shared" si="641"/>
        <v>100x150</v>
      </c>
      <c r="N2755" s="6" t="str">
        <f>"5602972281095"</f>
        <v>5602972281095</v>
      </c>
      <c r="O2755" s="8">
        <v>3</v>
      </c>
      <c r="R2755" s="8">
        <v>0</v>
      </c>
      <c r="U2755" s="8">
        <v>0</v>
      </c>
      <c r="X2755" s="8">
        <v>0</v>
      </c>
      <c r="Z2755" s="8">
        <v>0</v>
      </c>
      <c r="AC2755" s="8">
        <v>0</v>
      </c>
      <c r="AF2755" s="8">
        <v>0</v>
      </c>
      <c r="AN2755" s="8">
        <v>0</v>
      </c>
      <c r="AO2755" s="8">
        <v>3</v>
      </c>
    </row>
    <row r="2756" spans="1:41" x14ac:dyDescent="0.25">
      <c r="A2756" s="6" t="str">
        <f>"522-2026000333"</f>
        <v>522-2026000333</v>
      </c>
      <c r="B2756" s="6" t="str">
        <f t="shared" si="628"/>
        <v>EL CORTE</v>
      </c>
      <c r="C2756" s="7">
        <v>46041</v>
      </c>
      <c r="D2756" s="7">
        <v>46044</v>
      </c>
      <c r="E2756" s="8">
        <v>3</v>
      </c>
      <c r="F2756" s="6" t="str">
        <f>"94857701_07026"</f>
        <v>94857701_07026</v>
      </c>
      <c r="G2756" s="6" t="str">
        <f t="shared" si="629"/>
        <v>F310631650000000</v>
      </c>
      <c r="H2756" s="6" t="str">
        <f t="shared" si="630"/>
        <v>PLAR 6316 FD - 500 g</v>
      </c>
      <c r="I2756" s="6" t="str">
        <f>"200901"</f>
        <v>200901</v>
      </c>
      <c r="J2756" s="6" t="str">
        <f>"ROSA 901"</f>
        <v>ROSA 901</v>
      </c>
      <c r="K2756" s="6" t="str">
        <f t="shared" si="639"/>
        <v>2020</v>
      </c>
      <c r="L2756" s="6" t="str">
        <f t="shared" si="640"/>
        <v>Lençóis</v>
      </c>
      <c r="M2756" s="6" t="str">
        <f t="shared" si="641"/>
        <v>100x150</v>
      </c>
      <c r="N2756" s="6" t="str">
        <f>"5602972281125"</f>
        <v>5602972281125</v>
      </c>
      <c r="O2756" s="8">
        <v>6</v>
      </c>
      <c r="R2756" s="8">
        <v>0</v>
      </c>
      <c r="U2756" s="8">
        <v>0</v>
      </c>
      <c r="X2756" s="8">
        <v>0</v>
      </c>
      <c r="Z2756" s="8">
        <v>0</v>
      </c>
      <c r="AC2756" s="8">
        <v>0</v>
      </c>
      <c r="AF2756" s="8">
        <v>0</v>
      </c>
      <c r="AN2756" s="8">
        <v>0</v>
      </c>
      <c r="AO2756" s="8">
        <v>6</v>
      </c>
    </row>
    <row r="2757" spans="1:41" x14ac:dyDescent="0.25">
      <c r="A2757" s="6" t="str">
        <f>"522-2026000334"</f>
        <v>522-2026000334</v>
      </c>
      <c r="B2757" s="6" t="str">
        <f t="shared" si="628"/>
        <v>EL CORTE</v>
      </c>
      <c r="C2757" s="7">
        <v>46041</v>
      </c>
      <c r="D2757" s="7">
        <v>46044</v>
      </c>
      <c r="E2757" s="8">
        <v>1</v>
      </c>
      <c r="F2757" s="6" t="str">
        <f>"94861701_07026"</f>
        <v>94861701_07026</v>
      </c>
      <c r="G2757" s="6" t="str">
        <f t="shared" si="629"/>
        <v>F310631650000000</v>
      </c>
      <c r="H2757" s="6" t="str">
        <f t="shared" si="630"/>
        <v>PLAR 6316 FD - 500 g</v>
      </c>
      <c r="I2757" s="6" t="str">
        <f>"201855"</f>
        <v>201855</v>
      </c>
      <c r="J2757" s="6" t="str">
        <f>"AZUL 1855"</f>
        <v>AZUL 1855</v>
      </c>
      <c r="K2757" s="6" t="str">
        <f t="shared" si="639"/>
        <v>2020</v>
      </c>
      <c r="L2757" s="6" t="str">
        <f t="shared" si="640"/>
        <v>Lençóis</v>
      </c>
      <c r="M2757" s="6" t="str">
        <f t="shared" si="641"/>
        <v>100x150</v>
      </c>
      <c r="N2757" s="6" t="str">
        <f>"5602972281064"</f>
        <v>5602972281064</v>
      </c>
      <c r="O2757" s="8">
        <v>6</v>
      </c>
      <c r="R2757" s="8">
        <v>0</v>
      </c>
      <c r="U2757" s="8">
        <v>0</v>
      </c>
      <c r="X2757" s="8">
        <v>0</v>
      </c>
      <c r="Z2757" s="8">
        <v>0</v>
      </c>
      <c r="AC2757" s="8">
        <v>0</v>
      </c>
      <c r="AF2757" s="8">
        <v>0</v>
      </c>
      <c r="AN2757" s="8">
        <v>0</v>
      </c>
      <c r="AO2757" s="8">
        <v>6</v>
      </c>
    </row>
    <row r="2758" spans="1:41" x14ac:dyDescent="0.25">
      <c r="A2758" s="6" t="str">
        <f>"522-2026000334"</f>
        <v>522-2026000334</v>
      </c>
      <c r="B2758" s="6" t="str">
        <f t="shared" si="628"/>
        <v>EL CORTE</v>
      </c>
      <c r="C2758" s="7">
        <v>46041</v>
      </c>
      <c r="D2758" s="7">
        <v>46044</v>
      </c>
      <c r="E2758" s="8">
        <v>2</v>
      </c>
      <c r="F2758" s="6" t="str">
        <f>"94861701_07026"</f>
        <v>94861701_07026</v>
      </c>
      <c r="G2758" s="6" t="str">
        <f t="shared" si="629"/>
        <v>F310631650000000</v>
      </c>
      <c r="H2758" s="6" t="str">
        <f t="shared" si="630"/>
        <v>PLAR 6316 FD - 500 g</v>
      </c>
      <c r="I2758" s="6" t="str">
        <f>"202575"</f>
        <v>202575</v>
      </c>
      <c r="J2758" s="6" t="str">
        <f>"BEGE 2575"</f>
        <v>BEGE 2575</v>
      </c>
      <c r="K2758" s="6" t="str">
        <f t="shared" si="639"/>
        <v>2020</v>
      </c>
      <c r="L2758" s="6" t="str">
        <f t="shared" si="640"/>
        <v>Lençóis</v>
      </c>
      <c r="M2758" s="6" t="str">
        <f t="shared" si="641"/>
        <v>100x150</v>
      </c>
      <c r="N2758" s="6" t="str">
        <f>"5602972281095"</f>
        <v>5602972281095</v>
      </c>
      <c r="O2758" s="8">
        <v>9</v>
      </c>
      <c r="R2758" s="8">
        <v>0</v>
      </c>
      <c r="U2758" s="8">
        <v>0</v>
      </c>
      <c r="X2758" s="8">
        <v>0</v>
      </c>
      <c r="Z2758" s="8">
        <v>0</v>
      </c>
      <c r="AC2758" s="8">
        <v>0</v>
      </c>
      <c r="AF2758" s="8">
        <v>0</v>
      </c>
      <c r="AN2758" s="8">
        <v>0</v>
      </c>
      <c r="AO2758" s="8">
        <v>9</v>
      </c>
    </row>
    <row r="2759" spans="1:41" x14ac:dyDescent="0.25">
      <c r="A2759" s="6" t="str">
        <f>"522-2026000334"</f>
        <v>522-2026000334</v>
      </c>
      <c r="B2759" s="6" t="str">
        <f t="shared" ref="B2759:B2822" si="642">"EL CORTE"</f>
        <v>EL CORTE</v>
      </c>
      <c r="C2759" s="7">
        <v>46041</v>
      </c>
      <c r="D2759" s="7">
        <v>46044</v>
      </c>
      <c r="E2759" s="8">
        <v>3</v>
      </c>
      <c r="F2759" s="6" t="str">
        <f>"94861701_07026"</f>
        <v>94861701_07026</v>
      </c>
      <c r="G2759" s="6" t="str">
        <f t="shared" ref="G2759:G2822" si="643">"F310631650000000"</f>
        <v>F310631650000000</v>
      </c>
      <c r="H2759" s="6" t="str">
        <f t="shared" ref="H2759:H2822" si="644">"PLAR 6316 FD - 500 g"</f>
        <v>PLAR 6316 FD - 500 g</v>
      </c>
      <c r="I2759" s="6" t="str">
        <f>"200901"</f>
        <v>200901</v>
      </c>
      <c r="J2759" s="6" t="str">
        <f>"ROSA 901"</f>
        <v>ROSA 901</v>
      </c>
      <c r="K2759" s="6" t="str">
        <f t="shared" si="639"/>
        <v>2020</v>
      </c>
      <c r="L2759" s="6" t="str">
        <f t="shared" si="640"/>
        <v>Lençóis</v>
      </c>
      <c r="M2759" s="6" t="str">
        <f t="shared" si="641"/>
        <v>100x150</v>
      </c>
      <c r="N2759" s="6" t="str">
        <f>"5602972281125"</f>
        <v>5602972281125</v>
      </c>
      <c r="O2759" s="8">
        <v>6</v>
      </c>
      <c r="R2759" s="8">
        <v>0</v>
      </c>
      <c r="U2759" s="8">
        <v>0</v>
      </c>
      <c r="X2759" s="8">
        <v>0</v>
      </c>
      <c r="Z2759" s="8">
        <v>0</v>
      </c>
      <c r="AC2759" s="8">
        <v>0</v>
      </c>
      <c r="AF2759" s="8">
        <v>0</v>
      </c>
      <c r="AN2759" s="8">
        <v>0</v>
      </c>
      <c r="AO2759" s="8">
        <v>6</v>
      </c>
    </row>
    <row r="2760" spans="1:41" x14ac:dyDescent="0.25">
      <c r="A2760" s="6" t="str">
        <f>"522-2026000334"</f>
        <v>522-2026000334</v>
      </c>
      <c r="B2760" s="6" t="str">
        <f t="shared" si="642"/>
        <v>EL CORTE</v>
      </c>
      <c r="C2760" s="7">
        <v>46041</v>
      </c>
      <c r="D2760" s="7">
        <v>46044</v>
      </c>
      <c r="E2760" s="8">
        <v>4</v>
      </c>
      <c r="F2760" s="6" t="str">
        <f>"94861701_07026"</f>
        <v>94861701_07026</v>
      </c>
      <c r="G2760" s="6" t="str">
        <f t="shared" si="643"/>
        <v>F310631650000000</v>
      </c>
      <c r="H2760" s="6" t="str">
        <f t="shared" si="644"/>
        <v>PLAR 6316 FD - 500 g</v>
      </c>
      <c r="I2760" s="6" t="str">
        <f>"200510"</f>
        <v>200510</v>
      </c>
      <c r="J2760" s="6" t="str">
        <f>"VERDE 510"</f>
        <v>VERDE 510</v>
      </c>
      <c r="K2760" s="6" t="str">
        <f t="shared" si="639"/>
        <v>2020</v>
      </c>
      <c r="L2760" s="6" t="str">
        <f t="shared" si="640"/>
        <v>Lençóis</v>
      </c>
      <c r="M2760" s="6" t="str">
        <f t="shared" si="641"/>
        <v>100x150</v>
      </c>
      <c r="N2760" s="6" t="str">
        <f>"5602972281156"</f>
        <v>5602972281156</v>
      </c>
      <c r="O2760" s="8">
        <v>6</v>
      </c>
      <c r="R2760" s="8">
        <v>0</v>
      </c>
      <c r="U2760" s="8">
        <v>0</v>
      </c>
      <c r="X2760" s="8">
        <v>0</v>
      </c>
      <c r="Z2760" s="8">
        <v>0</v>
      </c>
      <c r="AC2760" s="8">
        <v>0</v>
      </c>
      <c r="AF2760" s="8">
        <v>0</v>
      </c>
      <c r="AN2760" s="8">
        <v>0</v>
      </c>
      <c r="AO2760" s="8">
        <v>6</v>
      </c>
    </row>
    <row r="2761" spans="1:41" x14ac:dyDescent="0.25">
      <c r="A2761" s="6" t="str">
        <f>"522-2026000335"</f>
        <v>522-2026000335</v>
      </c>
      <c r="B2761" s="6" t="str">
        <f t="shared" si="642"/>
        <v>EL CORTE</v>
      </c>
      <c r="C2761" s="7">
        <v>46041</v>
      </c>
      <c r="D2761" s="7">
        <v>46044</v>
      </c>
      <c r="E2761" s="8">
        <v>1</v>
      </c>
      <c r="F2761" s="6" t="str">
        <f>"94858901_07026"</f>
        <v>94858901_07026</v>
      </c>
      <c r="G2761" s="6" t="str">
        <f t="shared" si="643"/>
        <v>F310631650000000</v>
      </c>
      <c r="H2761" s="6" t="str">
        <f t="shared" si="644"/>
        <v>PLAR 6316 FD - 500 g</v>
      </c>
      <c r="I2761" s="6" t="str">
        <f>"201855"</f>
        <v>201855</v>
      </c>
      <c r="J2761" s="6" t="str">
        <f>"AZUL 1855"</f>
        <v>AZUL 1855</v>
      </c>
      <c r="K2761" s="6" t="str">
        <f t="shared" si="639"/>
        <v>2020</v>
      </c>
      <c r="L2761" s="6" t="str">
        <f t="shared" si="640"/>
        <v>Lençóis</v>
      </c>
      <c r="M2761" s="6" t="str">
        <f t="shared" si="641"/>
        <v>100x150</v>
      </c>
      <c r="N2761" s="6" t="str">
        <f>"5602972281064"</f>
        <v>5602972281064</v>
      </c>
      <c r="O2761" s="8">
        <v>3</v>
      </c>
      <c r="R2761" s="8">
        <v>0</v>
      </c>
      <c r="U2761" s="8">
        <v>0</v>
      </c>
      <c r="X2761" s="8">
        <v>0</v>
      </c>
      <c r="Z2761" s="8">
        <v>0</v>
      </c>
      <c r="AC2761" s="8">
        <v>0</v>
      </c>
      <c r="AF2761" s="8">
        <v>0</v>
      </c>
      <c r="AN2761" s="8">
        <v>0</v>
      </c>
      <c r="AO2761" s="8">
        <v>3</v>
      </c>
    </row>
    <row r="2762" spans="1:41" x14ac:dyDescent="0.25">
      <c r="A2762" s="6" t="str">
        <f>"522-2026000335"</f>
        <v>522-2026000335</v>
      </c>
      <c r="B2762" s="6" t="str">
        <f t="shared" si="642"/>
        <v>EL CORTE</v>
      </c>
      <c r="C2762" s="7">
        <v>46041</v>
      </c>
      <c r="D2762" s="7">
        <v>46044</v>
      </c>
      <c r="E2762" s="8">
        <v>2</v>
      </c>
      <c r="F2762" s="6" t="str">
        <f>"94858901_07026"</f>
        <v>94858901_07026</v>
      </c>
      <c r="G2762" s="6" t="str">
        <f t="shared" si="643"/>
        <v>F310631650000000</v>
      </c>
      <c r="H2762" s="6" t="str">
        <f t="shared" si="644"/>
        <v>PLAR 6316 FD - 500 g</v>
      </c>
      <c r="I2762" s="6" t="str">
        <f>"202575"</f>
        <v>202575</v>
      </c>
      <c r="J2762" s="6" t="str">
        <f>"BEGE 2575"</f>
        <v>BEGE 2575</v>
      </c>
      <c r="K2762" s="6" t="str">
        <f>"0520"</f>
        <v>0520</v>
      </c>
      <c r="L2762" s="6" t="str">
        <f>"Toalhetes"</f>
        <v>Toalhetes</v>
      </c>
      <c r="M2762" s="6" t="str">
        <f>"30x50"</f>
        <v>30x50</v>
      </c>
      <c r="N2762" s="6" t="str">
        <f>"5602972281071"</f>
        <v>5602972281071</v>
      </c>
      <c r="O2762" s="8">
        <v>6</v>
      </c>
      <c r="R2762" s="8">
        <v>0</v>
      </c>
      <c r="U2762" s="8">
        <v>0</v>
      </c>
      <c r="X2762" s="8">
        <v>0</v>
      </c>
      <c r="Z2762" s="8">
        <v>0</v>
      </c>
      <c r="AC2762" s="8">
        <v>0</v>
      </c>
      <c r="AF2762" s="8">
        <v>0</v>
      </c>
      <c r="AN2762" s="8">
        <v>6</v>
      </c>
      <c r="AO2762" s="8">
        <v>0</v>
      </c>
    </row>
    <row r="2763" spans="1:41" x14ac:dyDescent="0.25">
      <c r="A2763" s="6" t="str">
        <f>"522-2026000335"</f>
        <v>522-2026000335</v>
      </c>
      <c r="B2763" s="6" t="str">
        <f t="shared" si="642"/>
        <v>EL CORTE</v>
      </c>
      <c r="C2763" s="7">
        <v>46041</v>
      </c>
      <c r="D2763" s="7">
        <v>46044</v>
      </c>
      <c r="E2763" s="8">
        <v>3</v>
      </c>
      <c r="F2763" s="6" t="str">
        <f>"94858901_07026"</f>
        <v>94858901_07026</v>
      </c>
      <c r="G2763" s="6" t="str">
        <f t="shared" si="643"/>
        <v>F310631650000000</v>
      </c>
      <c r="H2763" s="6" t="str">
        <f t="shared" si="644"/>
        <v>PLAR 6316 FD - 500 g</v>
      </c>
      <c r="I2763" s="6" t="str">
        <f>"202575"</f>
        <v>202575</v>
      </c>
      <c r="J2763" s="6" t="str">
        <f>"BEGE 2575"</f>
        <v>BEGE 2575</v>
      </c>
      <c r="K2763" s="6" t="str">
        <f>"2020"</f>
        <v>2020</v>
      </c>
      <c r="L2763" s="6" t="str">
        <f>"Lençóis"</f>
        <v>Lençóis</v>
      </c>
      <c r="M2763" s="6" t="str">
        <f>"100x150"</f>
        <v>100x150</v>
      </c>
      <c r="N2763" s="6" t="str">
        <f>"5602972281095"</f>
        <v>5602972281095</v>
      </c>
      <c r="O2763" s="8">
        <v>3</v>
      </c>
      <c r="R2763" s="8">
        <v>0</v>
      </c>
      <c r="U2763" s="8">
        <v>0</v>
      </c>
      <c r="X2763" s="8">
        <v>0</v>
      </c>
      <c r="Z2763" s="8">
        <v>0</v>
      </c>
      <c r="AC2763" s="8">
        <v>0</v>
      </c>
      <c r="AF2763" s="8">
        <v>0</v>
      </c>
      <c r="AN2763" s="8">
        <v>0</v>
      </c>
      <c r="AO2763" s="8">
        <v>3</v>
      </c>
    </row>
    <row r="2764" spans="1:41" x14ac:dyDescent="0.25">
      <c r="A2764" s="6" t="str">
        <f>"522-2026000335"</f>
        <v>522-2026000335</v>
      </c>
      <c r="B2764" s="6" t="str">
        <f t="shared" si="642"/>
        <v>EL CORTE</v>
      </c>
      <c r="C2764" s="7">
        <v>46041</v>
      </c>
      <c r="D2764" s="7">
        <v>46044</v>
      </c>
      <c r="E2764" s="8">
        <v>4</v>
      </c>
      <c r="F2764" s="6" t="str">
        <f>"94858901_07026"</f>
        <v>94858901_07026</v>
      </c>
      <c r="G2764" s="6" t="str">
        <f t="shared" si="643"/>
        <v>F310631650000000</v>
      </c>
      <c r="H2764" s="6" t="str">
        <f t="shared" si="644"/>
        <v>PLAR 6316 FD - 500 g</v>
      </c>
      <c r="I2764" s="6" t="str">
        <f>"200510"</f>
        <v>200510</v>
      </c>
      <c r="J2764" s="6" t="str">
        <f>"VERDE 510"</f>
        <v>VERDE 510</v>
      </c>
      <c r="K2764" s="6" t="str">
        <f>"2020"</f>
        <v>2020</v>
      </c>
      <c r="L2764" s="6" t="str">
        <f>"Lençóis"</f>
        <v>Lençóis</v>
      </c>
      <c r="M2764" s="6" t="str">
        <f>"100x150"</f>
        <v>100x150</v>
      </c>
      <c r="N2764" s="6" t="str">
        <f>"5602972281156"</f>
        <v>5602972281156</v>
      </c>
      <c r="O2764" s="8">
        <v>3</v>
      </c>
      <c r="R2764" s="8">
        <v>0</v>
      </c>
      <c r="U2764" s="8">
        <v>0</v>
      </c>
      <c r="X2764" s="8">
        <v>0</v>
      </c>
      <c r="Z2764" s="8">
        <v>0</v>
      </c>
      <c r="AC2764" s="8">
        <v>0</v>
      </c>
      <c r="AF2764" s="8">
        <v>0</v>
      </c>
      <c r="AN2764" s="8">
        <v>0</v>
      </c>
      <c r="AO2764" s="8">
        <v>3</v>
      </c>
    </row>
    <row r="2765" spans="1:41" x14ac:dyDescent="0.25">
      <c r="A2765" s="6" t="str">
        <f>"522-2026000336"</f>
        <v>522-2026000336</v>
      </c>
      <c r="B2765" s="6" t="str">
        <f t="shared" si="642"/>
        <v>EL CORTE</v>
      </c>
      <c r="C2765" s="7">
        <v>46041</v>
      </c>
      <c r="D2765" s="7">
        <v>46044</v>
      </c>
      <c r="E2765" s="8">
        <v>1</v>
      </c>
      <c r="F2765" s="6" t="str">
        <f>"94860601_07026"</f>
        <v>94860601_07026</v>
      </c>
      <c r="G2765" s="6" t="str">
        <f t="shared" si="643"/>
        <v>F310631650000000</v>
      </c>
      <c r="H2765" s="6" t="str">
        <f t="shared" si="644"/>
        <v>PLAR 6316 FD - 500 g</v>
      </c>
      <c r="I2765" s="6" t="str">
        <f>"201855"</f>
        <v>201855</v>
      </c>
      <c r="J2765" s="6" t="str">
        <f>"AZUL 1855"</f>
        <v>AZUL 1855</v>
      </c>
      <c r="K2765" s="6" t="str">
        <f>"1024"</f>
        <v>1024</v>
      </c>
      <c r="L2765" s="6" t="str">
        <f>"Toalhas"</f>
        <v>Toalhas</v>
      </c>
      <c r="M2765" s="6" t="str">
        <f>"50x100"</f>
        <v>50x100</v>
      </c>
      <c r="N2765" s="6" t="str">
        <f>"5602972281057"</f>
        <v>5602972281057</v>
      </c>
      <c r="O2765" s="8">
        <v>6</v>
      </c>
      <c r="R2765" s="8">
        <v>0</v>
      </c>
      <c r="U2765" s="8">
        <v>0</v>
      </c>
      <c r="X2765" s="8">
        <v>0</v>
      </c>
      <c r="Z2765" s="8">
        <v>0</v>
      </c>
      <c r="AC2765" s="8">
        <v>0</v>
      </c>
      <c r="AF2765" s="8">
        <v>0</v>
      </c>
      <c r="AN2765" s="8">
        <v>6</v>
      </c>
      <c r="AO2765" s="8">
        <v>0</v>
      </c>
    </row>
    <row r="2766" spans="1:41" x14ac:dyDescent="0.25">
      <c r="A2766" s="6" t="str">
        <f>"522-2026000336"</f>
        <v>522-2026000336</v>
      </c>
      <c r="B2766" s="6" t="str">
        <f t="shared" si="642"/>
        <v>EL CORTE</v>
      </c>
      <c r="C2766" s="7">
        <v>46041</v>
      </c>
      <c r="D2766" s="7">
        <v>46044</v>
      </c>
      <c r="E2766" s="8">
        <v>2</v>
      </c>
      <c r="F2766" s="6" t="str">
        <f>"94860601_07026"</f>
        <v>94860601_07026</v>
      </c>
      <c r="G2766" s="6" t="str">
        <f t="shared" si="643"/>
        <v>F310631650000000</v>
      </c>
      <c r="H2766" s="6" t="str">
        <f t="shared" si="644"/>
        <v>PLAR 6316 FD - 500 g</v>
      </c>
      <c r="I2766" s="6" t="str">
        <f>"200901"</f>
        <v>200901</v>
      </c>
      <c r="J2766" s="6" t="str">
        <f>"ROSA 901"</f>
        <v>ROSA 901</v>
      </c>
      <c r="K2766" s="6" t="str">
        <f>"1024"</f>
        <v>1024</v>
      </c>
      <c r="L2766" s="6" t="str">
        <f>"Toalhas"</f>
        <v>Toalhas</v>
      </c>
      <c r="M2766" s="6" t="str">
        <f>"50x100"</f>
        <v>50x100</v>
      </c>
      <c r="N2766" s="6" t="str">
        <f>"5602972281118"</f>
        <v>5602972281118</v>
      </c>
      <c r="O2766" s="8">
        <v>6</v>
      </c>
      <c r="R2766" s="8">
        <v>0</v>
      </c>
      <c r="U2766" s="8">
        <v>0</v>
      </c>
      <c r="X2766" s="8">
        <v>0</v>
      </c>
      <c r="Z2766" s="8">
        <v>0</v>
      </c>
      <c r="AC2766" s="8">
        <v>0</v>
      </c>
      <c r="AF2766" s="8">
        <v>0</v>
      </c>
      <c r="AN2766" s="8">
        <v>6</v>
      </c>
      <c r="AO2766" s="8">
        <v>0</v>
      </c>
    </row>
    <row r="2767" spans="1:41" x14ac:dyDescent="0.25">
      <c r="A2767" s="6" t="str">
        <f>"522-2026000337"</f>
        <v>522-2026000337</v>
      </c>
      <c r="B2767" s="6" t="str">
        <f t="shared" si="642"/>
        <v>EL CORTE</v>
      </c>
      <c r="C2767" s="7">
        <v>46041</v>
      </c>
      <c r="D2767" s="7">
        <v>46044</v>
      </c>
      <c r="E2767" s="8">
        <v>1</v>
      </c>
      <c r="F2767" s="6" t="str">
        <f>"94861401_07026"</f>
        <v>94861401_07026</v>
      </c>
      <c r="G2767" s="6" t="str">
        <f t="shared" si="643"/>
        <v>F310631650000000</v>
      </c>
      <c r="H2767" s="6" t="str">
        <f t="shared" si="644"/>
        <v>PLAR 6316 FD - 500 g</v>
      </c>
      <c r="I2767" s="6" t="str">
        <f>"201855"</f>
        <v>201855</v>
      </c>
      <c r="J2767" s="6" t="str">
        <f>"AZUL 1855"</f>
        <v>AZUL 1855</v>
      </c>
      <c r="K2767" s="6" t="str">
        <f t="shared" ref="K2767:K2772" si="645">"2020"</f>
        <v>2020</v>
      </c>
      <c r="L2767" s="6" t="str">
        <f t="shared" ref="L2767:L2772" si="646">"Lençóis"</f>
        <v>Lençóis</v>
      </c>
      <c r="M2767" s="6" t="str">
        <f t="shared" ref="M2767:M2772" si="647">"100x150"</f>
        <v>100x150</v>
      </c>
      <c r="N2767" s="6" t="str">
        <f>"5602972281064"</f>
        <v>5602972281064</v>
      </c>
      <c r="O2767" s="8">
        <v>9</v>
      </c>
      <c r="R2767" s="8">
        <v>0</v>
      </c>
      <c r="U2767" s="8">
        <v>0</v>
      </c>
      <c r="X2767" s="8">
        <v>0</v>
      </c>
      <c r="Z2767" s="8">
        <v>0</v>
      </c>
      <c r="AC2767" s="8">
        <v>0</v>
      </c>
      <c r="AF2767" s="8">
        <v>0</v>
      </c>
      <c r="AN2767" s="8">
        <v>0</v>
      </c>
      <c r="AO2767" s="8">
        <v>9</v>
      </c>
    </row>
    <row r="2768" spans="1:41" x14ac:dyDescent="0.25">
      <c r="A2768" s="6" t="str">
        <f>"522-2026000337"</f>
        <v>522-2026000337</v>
      </c>
      <c r="B2768" s="6" t="str">
        <f t="shared" si="642"/>
        <v>EL CORTE</v>
      </c>
      <c r="C2768" s="7">
        <v>46041</v>
      </c>
      <c r="D2768" s="7">
        <v>46044</v>
      </c>
      <c r="E2768" s="8">
        <v>2</v>
      </c>
      <c r="F2768" s="6" t="str">
        <f>"94861401_07026"</f>
        <v>94861401_07026</v>
      </c>
      <c r="G2768" s="6" t="str">
        <f t="shared" si="643"/>
        <v>F310631650000000</v>
      </c>
      <c r="H2768" s="6" t="str">
        <f t="shared" si="644"/>
        <v>PLAR 6316 FD - 500 g</v>
      </c>
      <c r="I2768" s="6" t="str">
        <f>"202575"</f>
        <v>202575</v>
      </c>
      <c r="J2768" s="6" t="str">
        <f>"BEGE 2575"</f>
        <v>BEGE 2575</v>
      </c>
      <c r="K2768" s="6" t="str">
        <f t="shared" si="645"/>
        <v>2020</v>
      </c>
      <c r="L2768" s="6" t="str">
        <f t="shared" si="646"/>
        <v>Lençóis</v>
      </c>
      <c r="M2768" s="6" t="str">
        <f t="shared" si="647"/>
        <v>100x150</v>
      </c>
      <c r="N2768" s="6" t="str">
        <f>"5602972281095"</f>
        <v>5602972281095</v>
      </c>
      <c r="O2768" s="8">
        <v>9</v>
      </c>
      <c r="R2768" s="8">
        <v>0</v>
      </c>
      <c r="U2768" s="8">
        <v>0</v>
      </c>
      <c r="X2768" s="8">
        <v>0</v>
      </c>
      <c r="Z2768" s="8">
        <v>0</v>
      </c>
      <c r="AC2768" s="8">
        <v>0</v>
      </c>
      <c r="AF2768" s="8">
        <v>0</v>
      </c>
      <c r="AN2768" s="8">
        <v>0</v>
      </c>
      <c r="AO2768" s="8">
        <v>9</v>
      </c>
    </row>
    <row r="2769" spans="1:41" x14ac:dyDescent="0.25">
      <c r="A2769" s="6" t="str">
        <f>"522-2026000337"</f>
        <v>522-2026000337</v>
      </c>
      <c r="B2769" s="6" t="str">
        <f t="shared" si="642"/>
        <v>EL CORTE</v>
      </c>
      <c r="C2769" s="7">
        <v>46041</v>
      </c>
      <c r="D2769" s="7">
        <v>46044</v>
      </c>
      <c r="E2769" s="8">
        <v>3</v>
      </c>
      <c r="F2769" s="6" t="str">
        <f>"94861401_07026"</f>
        <v>94861401_07026</v>
      </c>
      <c r="G2769" s="6" t="str">
        <f t="shared" si="643"/>
        <v>F310631650000000</v>
      </c>
      <c r="H2769" s="6" t="str">
        <f t="shared" si="644"/>
        <v>PLAR 6316 FD - 500 g</v>
      </c>
      <c r="I2769" s="6" t="str">
        <f>"200901"</f>
        <v>200901</v>
      </c>
      <c r="J2769" s="6" t="str">
        <f>"ROSA 901"</f>
        <v>ROSA 901</v>
      </c>
      <c r="K2769" s="6" t="str">
        <f t="shared" si="645"/>
        <v>2020</v>
      </c>
      <c r="L2769" s="6" t="str">
        <f t="shared" si="646"/>
        <v>Lençóis</v>
      </c>
      <c r="M2769" s="6" t="str">
        <f t="shared" si="647"/>
        <v>100x150</v>
      </c>
      <c r="N2769" s="6" t="str">
        <f>"5602972281125"</f>
        <v>5602972281125</v>
      </c>
      <c r="O2769" s="8">
        <v>9</v>
      </c>
      <c r="R2769" s="8">
        <v>0</v>
      </c>
      <c r="U2769" s="8">
        <v>0</v>
      </c>
      <c r="X2769" s="8">
        <v>0</v>
      </c>
      <c r="Z2769" s="8">
        <v>0</v>
      </c>
      <c r="AC2769" s="8">
        <v>0</v>
      </c>
      <c r="AF2769" s="8">
        <v>0</v>
      </c>
      <c r="AN2769" s="8">
        <v>0</v>
      </c>
      <c r="AO2769" s="8">
        <v>9</v>
      </c>
    </row>
    <row r="2770" spans="1:41" x14ac:dyDescent="0.25">
      <c r="A2770" s="6" t="str">
        <f>"522-2026000337"</f>
        <v>522-2026000337</v>
      </c>
      <c r="B2770" s="6" t="str">
        <f t="shared" si="642"/>
        <v>EL CORTE</v>
      </c>
      <c r="C2770" s="7">
        <v>46041</v>
      </c>
      <c r="D2770" s="7">
        <v>46044</v>
      </c>
      <c r="E2770" s="8">
        <v>4</v>
      </c>
      <c r="F2770" s="6" t="str">
        <f>"94861401_07026"</f>
        <v>94861401_07026</v>
      </c>
      <c r="G2770" s="6" t="str">
        <f t="shared" si="643"/>
        <v>F310631650000000</v>
      </c>
      <c r="H2770" s="6" t="str">
        <f t="shared" si="644"/>
        <v>PLAR 6316 FD - 500 g</v>
      </c>
      <c r="I2770" s="6" t="str">
        <f>"200510"</f>
        <v>200510</v>
      </c>
      <c r="J2770" s="6" t="str">
        <f>"VERDE 510"</f>
        <v>VERDE 510</v>
      </c>
      <c r="K2770" s="6" t="str">
        <f t="shared" si="645"/>
        <v>2020</v>
      </c>
      <c r="L2770" s="6" t="str">
        <f t="shared" si="646"/>
        <v>Lençóis</v>
      </c>
      <c r="M2770" s="6" t="str">
        <f t="shared" si="647"/>
        <v>100x150</v>
      </c>
      <c r="N2770" s="6" t="str">
        <f>"5602972281156"</f>
        <v>5602972281156</v>
      </c>
      <c r="O2770" s="8">
        <v>9</v>
      </c>
      <c r="R2770" s="8">
        <v>0</v>
      </c>
      <c r="U2770" s="8">
        <v>0</v>
      </c>
      <c r="X2770" s="8">
        <v>0</v>
      </c>
      <c r="Z2770" s="8">
        <v>0</v>
      </c>
      <c r="AC2770" s="8">
        <v>0</v>
      </c>
      <c r="AF2770" s="8">
        <v>0</v>
      </c>
      <c r="AN2770" s="8">
        <v>0</v>
      </c>
      <c r="AO2770" s="8">
        <v>9</v>
      </c>
    </row>
    <row r="2771" spans="1:41" x14ac:dyDescent="0.25">
      <c r="A2771" s="6" t="str">
        <f>"522-2026000338"</f>
        <v>522-2026000338</v>
      </c>
      <c r="B2771" s="6" t="str">
        <f t="shared" si="642"/>
        <v>EL CORTE</v>
      </c>
      <c r="C2771" s="7">
        <v>46041</v>
      </c>
      <c r="D2771" s="7">
        <v>46044</v>
      </c>
      <c r="E2771" s="8">
        <v>1</v>
      </c>
      <c r="F2771" s="6" t="str">
        <f>"94858601_07026"</f>
        <v>94858601_07026</v>
      </c>
      <c r="G2771" s="6" t="str">
        <f t="shared" si="643"/>
        <v>F310631650000000</v>
      </c>
      <c r="H2771" s="6" t="str">
        <f t="shared" si="644"/>
        <v>PLAR 6316 FD - 500 g</v>
      </c>
      <c r="I2771" s="6" t="str">
        <f>"202575"</f>
        <v>202575</v>
      </c>
      <c r="J2771" s="6" t="str">
        <f>"BEGE 2575"</f>
        <v>BEGE 2575</v>
      </c>
      <c r="K2771" s="6" t="str">
        <f t="shared" si="645"/>
        <v>2020</v>
      </c>
      <c r="L2771" s="6" t="str">
        <f t="shared" si="646"/>
        <v>Lençóis</v>
      </c>
      <c r="M2771" s="6" t="str">
        <f t="shared" si="647"/>
        <v>100x150</v>
      </c>
      <c r="N2771" s="6" t="str">
        <f>"5602972281095"</f>
        <v>5602972281095</v>
      </c>
      <c r="O2771" s="8">
        <v>9</v>
      </c>
      <c r="R2771" s="8">
        <v>0</v>
      </c>
      <c r="U2771" s="8">
        <v>0</v>
      </c>
      <c r="X2771" s="8">
        <v>0</v>
      </c>
      <c r="Z2771" s="8">
        <v>0</v>
      </c>
      <c r="AC2771" s="8">
        <v>0</v>
      </c>
      <c r="AF2771" s="8">
        <v>0</v>
      </c>
      <c r="AN2771" s="8">
        <v>0</v>
      </c>
      <c r="AO2771" s="8">
        <v>9</v>
      </c>
    </row>
    <row r="2772" spans="1:41" x14ac:dyDescent="0.25">
      <c r="A2772" s="6" t="str">
        <f>"522-2026000339"</f>
        <v>522-2026000339</v>
      </c>
      <c r="B2772" s="6" t="str">
        <f t="shared" si="642"/>
        <v>EL CORTE</v>
      </c>
      <c r="C2772" s="7">
        <v>46041</v>
      </c>
      <c r="D2772" s="7">
        <v>46044</v>
      </c>
      <c r="E2772" s="8">
        <v>1</v>
      </c>
      <c r="F2772" s="6" t="str">
        <f>"94856901_07026"</f>
        <v>94856901_07026</v>
      </c>
      <c r="G2772" s="6" t="str">
        <f t="shared" si="643"/>
        <v>F310631650000000</v>
      </c>
      <c r="H2772" s="6" t="str">
        <f t="shared" si="644"/>
        <v>PLAR 6316 FD - 500 g</v>
      </c>
      <c r="I2772" s="6" t="str">
        <f>"201855"</f>
        <v>201855</v>
      </c>
      <c r="J2772" s="6" t="str">
        <f>"AZUL 1855"</f>
        <v>AZUL 1855</v>
      </c>
      <c r="K2772" s="6" t="str">
        <f t="shared" si="645"/>
        <v>2020</v>
      </c>
      <c r="L2772" s="6" t="str">
        <f t="shared" si="646"/>
        <v>Lençóis</v>
      </c>
      <c r="M2772" s="6" t="str">
        <f t="shared" si="647"/>
        <v>100x150</v>
      </c>
      <c r="N2772" s="6" t="str">
        <f>"5602972281064"</f>
        <v>5602972281064</v>
      </c>
      <c r="O2772" s="8">
        <v>12</v>
      </c>
      <c r="R2772" s="8">
        <v>0</v>
      </c>
      <c r="U2772" s="8">
        <v>0</v>
      </c>
      <c r="X2772" s="8">
        <v>0</v>
      </c>
      <c r="Z2772" s="8">
        <v>0</v>
      </c>
      <c r="AC2772" s="8">
        <v>0</v>
      </c>
      <c r="AF2772" s="8">
        <v>0</v>
      </c>
      <c r="AN2772" s="8">
        <v>0</v>
      </c>
      <c r="AO2772" s="8">
        <v>12</v>
      </c>
    </row>
    <row r="2773" spans="1:41" x14ac:dyDescent="0.25">
      <c r="A2773" s="6" t="str">
        <f>"522-2026000339"</f>
        <v>522-2026000339</v>
      </c>
      <c r="B2773" s="6" t="str">
        <f t="shared" si="642"/>
        <v>EL CORTE</v>
      </c>
      <c r="C2773" s="7">
        <v>46041</v>
      </c>
      <c r="D2773" s="7">
        <v>46044</v>
      </c>
      <c r="E2773" s="8">
        <v>2</v>
      </c>
      <c r="F2773" s="6" t="str">
        <f>"94856901_07026"</f>
        <v>94856901_07026</v>
      </c>
      <c r="G2773" s="6" t="str">
        <f t="shared" si="643"/>
        <v>F310631650000000</v>
      </c>
      <c r="H2773" s="6" t="str">
        <f t="shared" si="644"/>
        <v>PLAR 6316 FD - 500 g</v>
      </c>
      <c r="I2773" s="6" t="str">
        <f>"202575"</f>
        <v>202575</v>
      </c>
      <c r="J2773" s="6" t="str">
        <f>"BEGE 2575"</f>
        <v>BEGE 2575</v>
      </c>
      <c r="K2773" s="6" t="str">
        <f>"1024"</f>
        <v>1024</v>
      </c>
      <c r="L2773" s="6" t="str">
        <f>"Toalhas"</f>
        <v>Toalhas</v>
      </c>
      <c r="M2773" s="6" t="str">
        <f>"50x100"</f>
        <v>50x100</v>
      </c>
      <c r="N2773" s="6" t="str">
        <f>"5602972281088"</f>
        <v>5602972281088</v>
      </c>
      <c r="O2773" s="8">
        <v>6</v>
      </c>
      <c r="R2773" s="8">
        <v>0</v>
      </c>
      <c r="U2773" s="8">
        <v>0</v>
      </c>
      <c r="X2773" s="8">
        <v>0</v>
      </c>
      <c r="Z2773" s="8">
        <v>0</v>
      </c>
      <c r="AC2773" s="8">
        <v>0</v>
      </c>
      <c r="AF2773" s="8">
        <v>0</v>
      </c>
      <c r="AN2773" s="8">
        <v>6</v>
      </c>
      <c r="AO2773" s="8">
        <v>0</v>
      </c>
    </row>
    <row r="2774" spans="1:41" x14ac:dyDescent="0.25">
      <c r="A2774" s="6" t="str">
        <f>"522-2026000339"</f>
        <v>522-2026000339</v>
      </c>
      <c r="B2774" s="6" t="str">
        <f t="shared" si="642"/>
        <v>EL CORTE</v>
      </c>
      <c r="C2774" s="7">
        <v>46041</v>
      </c>
      <c r="D2774" s="7">
        <v>46044</v>
      </c>
      <c r="E2774" s="8">
        <v>3</v>
      </c>
      <c r="F2774" s="6" t="str">
        <f>"94856901_07026"</f>
        <v>94856901_07026</v>
      </c>
      <c r="G2774" s="6" t="str">
        <f t="shared" si="643"/>
        <v>F310631650000000</v>
      </c>
      <c r="H2774" s="6" t="str">
        <f t="shared" si="644"/>
        <v>PLAR 6316 FD - 500 g</v>
      </c>
      <c r="I2774" s="6" t="str">
        <f>"202575"</f>
        <v>202575</v>
      </c>
      <c r="J2774" s="6" t="str">
        <f>"BEGE 2575"</f>
        <v>BEGE 2575</v>
      </c>
      <c r="K2774" s="6" t="str">
        <f>"2020"</f>
        <v>2020</v>
      </c>
      <c r="L2774" s="6" t="str">
        <f>"Lençóis"</f>
        <v>Lençóis</v>
      </c>
      <c r="M2774" s="6" t="str">
        <f>"100x150"</f>
        <v>100x150</v>
      </c>
      <c r="N2774" s="6" t="str">
        <f>"5602972281095"</f>
        <v>5602972281095</v>
      </c>
      <c r="O2774" s="8">
        <v>12</v>
      </c>
      <c r="R2774" s="8">
        <v>0</v>
      </c>
      <c r="U2774" s="8">
        <v>0</v>
      </c>
      <c r="X2774" s="8">
        <v>0</v>
      </c>
      <c r="Z2774" s="8">
        <v>0</v>
      </c>
      <c r="AC2774" s="8">
        <v>0</v>
      </c>
      <c r="AF2774" s="8">
        <v>0</v>
      </c>
      <c r="AN2774" s="8">
        <v>0</v>
      </c>
      <c r="AO2774" s="8">
        <v>12</v>
      </c>
    </row>
    <row r="2775" spans="1:41" x14ac:dyDescent="0.25">
      <c r="A2775" s="6" t="str">
        <f>"522-2026000339"</f>
        <v>522-2026000339</v>
      </c>
      <c r="B2775" s="6" t="str">
        <f t="shared" si="642"/>
        <v>EL CORTE</v>
      </c>
      <c r="C2775" s="7">
        <v>46041</v>
      </c>
      <c r="D2775" s="7">
        <v>46044</v>
      </c>
      <c r="E2775" s="8">
        <v>4</v>
      </c>
      <c r="F2775" s="6" t="str">
        <f>"94856901_07026"</f>
        <v>94856901_07026</v>
      </c>
      <c r="G2775" s="6" t="str">
        <f t="shared" si="643"/>
        <v>F310631650000000</v>
      </c>
      <c r="H2775" s="6" t="str">
        <f t="shared" si="644"/>
        <v>PLAR 6316 FD - 500 g</v>
      </c>
      <c r="I2775" s="6" t="str">
        <f>"200901"</f>
        <v>200901</v>
      </c>
      <c r="J2775" s="6" t="str">
        <f>"ROSA 901"</f>
        <v>ROSA 901</v>
      </c>
      <c r="K2775" s="6" t="str">
        <f>"2020"</f>
        <v>2020</v>
      </c>
      <c r="L2775" s="6" t="str">
        <f>"Lençóis"</f>
        <v>Lençóis</v>
      </c>
      <c r="M2775" s="6" t="str">
        <f>"100x150"</f>
        <v>100x150</v>
      </c>
      <c r="N2775" s="6" t="str">
        <f>"5602972281125"</f>
        <v>5602972281125</v>
      </c>
      <c r="O2775" s="8">
        <v>12</v>
      </c>
      <c r="R2775" s="8">
        <v>0</v>
      </c>
      <c r="U2775" s="8">
        <v>0</v>
      </c>
      <c r="X2775" s="8">
        <v>0</v>
      </c>
      <c r="Z2775" s="8">
        <v>0</v>
      </c>
      <c r="AC2775" s="8">
        <v>0</v>
      </c>
      <c r="AF2775" s="8">
        <v>0</v>
      </c>
      <c r="AN2775" s="8">
        <v>0</v>
      </c>
      <c r="AO2775" s="8">
        <v>12</v>
      </c>
    </row>
    <row r="2776" spans="1:41" x14ac:dyDescent="0.25">
      <c r="A2776" s="6" t="str">
        <f>"522-2026000339"</f>
        <v>522-2026000339</v>
      </c>
      <c r="B2776" s="6" t="str">
        <f t="shared" si="642"/>
        <v>EL CORTE</v>
      </c>
      <c r="C2776" s="7">
        <v>46041</v>
      </c>
      <c r="D2776" s="7">
        <v>46044</v>
      </c>
      <c r="E2776" s="8">
        <v>5</v>
      </c>
      <c r="F2776" s="6" t="str">
        <f>"94856901_07026"</f>
        <v>94856901_07026</v>
      </c>
      <c r="G2776" s="6" t="str">
        <f t="shared" si="643"/>
        <v>F310631650000000</v>
      </c>
      <c r="H2776" s="6" t="str">
        <f t="shared" si="644"/>
        <v>PLAR 6316 FD - 500 g</v>
      </c>
      <c r="I2776" s="6" t="str">
        <f>"200510"</f>
        <v>200510</v>
      </c>
      <c r="J2776" s="6" t="str">
        <f>"VERDE 510"</f>
        <v>VERDE 510</v>
      </c>
      <c r="K2776" s="6" t="str">
        <f>"0520"</f>
        <v>0520</v>
      </c>
      <c r="L2776" s="6" t="str">
        <f>"Toalhetes"</f>
        <v>Toalhetes</v>
      </c>
      <c r="M2776" s="6" t="str">
        <f>"30x50"</f>
        <v>30x50</v>
      </c>
      <c r="N2776" s="6" t="str">
        <f>"5602972281132"</f>
        <v>5602972281132</v>
      </c>
      <c r="O2776" s="8">
        <v>6</v>
      </c>
      <c r="R2776" s="8">
        <v>0</v>
      </c>
      <c r="U2776" s="8">
        <v>0</v>
      </c>
      <c r="X2776" s="8">
        <v>0</v>
      </c>
      <c r="Z2776" s="8">
        <v>0</v>
      </c>
      <c r="AC2776" s="8">
        <v>0</v>
      </c>
      <c r="AF2776" s="8">
        <v>0</v>
      </c>
      <c r="AN2776" s="8">
        <v>6</v>
      </c>
      <c r="AO2776" s="8">
        <v>0</v>
      </c>
    </row>
    <row r="2777" spans="1:41" x14ac:dyDescent="0.25">
      <c r="A2777" s="6" t="str">
        <f>"522-2026000340"</f>
        <v>522-2026000340</v>
      </c>
      <c r="B2777" s="6" t="str">
        <f t="shared" si="642"/>
        <v>EL CORTE</v>
      </c>
      <c r="C2777" s="7">
        <v>46041</v>
      </c>
      <c r="D2777" s="7">
        <v>46044</v>
      </c>
      <c r="E2777" s="8">
        <v>1</v>
      </c>
      <c r="F2777" s="6" t="str">
        <f>"94860801_07026"</f>
        <v>94860801_07026</v>
      </c>
      <c r="G2777" s="6" t="str">
        <f t="shared" si="643"/>
        <v>F310631650000000</v>
      </c>
      <c r="H2777" s="6" t="str">
        <f t="shared" si="644"/>
        <v>PLAR 6316 FD - 500 g</v>
      </c>
      <c r="I2777" s="6" t="str">
        <f>"201855"</f>
        <v>201855</v>
      </c>
      <c r="J2777" s="6" t="str">
        <f>"AZUL 1855"</f>
        <v>AZUL 1855</v>
      </c>
      <c r="K2777" s="6" t="str">
        <f>"2020"</f>
        <v>2020</v>
      </c>
      <c r="L2777" s="6" t="str">
        <f>"Lençóis"</f>
        <v>Lençóis</v>
      </c>
      <c r="M2777" s="6" t="str">
        <f>"100x150"</f>
        <v>100x150</v>
      </c>
      <c r="N2777" s="6" t="str">
        <f>"5602972281064"</f>
        <v>5602972281064</v>
      </c>
      <c r="O2777" s="8">
        <v>3</v>
      </c>
      <c r="R2777" s="8">
        <v>0</v>
      </c>
      <c r="U2777" s="8">
        <v>0</v>
      </c>
      <c r="X2777" s="8">
        <v>0</v>
      </c>
      <c r="Z2777" s="8">
        <v>0</v>
      </c>
      <c r="AC2777" s="8">
        <v>0</v>
      </c>
      <c r="AF2777" s="8">
        <v>0</v>
      </c>
      <c r="AN2777" s="8">
        <v>0</v>
      </c>
      <c r="AO2777" s="8">
        <v>3</v>
      </c>
    </row>
    <row r="2778" spans="1:41" x14ac:dyDescent="0.25">
      <c r="A2778" s="6" t="str">
        <f>"522-2026000340"</f>
        <v>522-2026000340</v>
      </c>
      <c r="B2778" s="6" t="str">
        <f t="shared" si="642"/>
        <v>EL CORTE</v>
      </c>
      <c r="C2778" s="7">
        <v>46041</v>
      </c>
      <c r="D2778" s="7">
        <v>46044</v>
      </c>
      <c r="E2778" s="8">
        <v>2</v>
      </c>
      <c r="F2778" s="6" t="str">
        <f>"94860801_07026"</f>
        <v>94860801_07026</v>
      </c>
      <c r="G2778" s="6" t="str">
        <f t="shared" si="643"/>
        <v>F310631650000000</v>
      </c>
      <c r="H2778" s="6" t="str">
        <f t="shared" si="644"/>
        <v>PLAR 6316 FD - 500 g</v>
      </c>
      <c r="I2778" s="6" t="str">
        <f>"202575"</f>
        <v>202575</v>
      </c>
      <c r="J2778" s="6" t="str">
        <f>"BEGE 2575"</f>
        <v>BEGE 2575</v>
      </c>
      <c r="K2778" s="6" t="str">
        <f>"2020"</f>
        <v>2020</v>
      </c>
      <c r="L2778" s="6" t="str">
        <f>"Lençóis"</f>
        <v>Lençóis</v>
      </c>
      <c r="M2778" s="6" t="str">
        <f>"100x150"</f>
        <v>100x150</v>
      </c>
      <c r="N2778" s="6" t="str">
        <f>"5602972281095"</f>
        <v>5602972281095</v>
      </c>
      <c r="O2778" s="8">
        <v>6</v>
      </c>
      <c r="R2778" s="8">
        <v>0</v>
      </c>
      <c r="U2778" s="8">
        <v>0</v>
      </c>
      <c r="X2778" s="8">
        <v>0</v>
      </c>
      <c r="Z2778" s="8">
        <v>0</v>
      </c>
      <c r="AC2778" s="8">
        <v>0</v>
      </c>
      <c r="AF2778" s="8">
        <v>0</v>
      </c>
      <c r="AN2778" s="8">
        <v>0</v>
      </c>
      <c r="AO2778" s="8">
        <v>6</v>
      </c>
    </row>
    <row r="2779" spans="1:41" x14ac:dyDescent="0.25">
      <c r="A2779" s="6" t="str">
        <f>"522-2026000340"</f>
        <v>522-2026000340</v>
      </c>
      <c r="B2779" s="6" t="str">
        <f t="shared" si="642"/>
        <v>EL CORTE</v>
      </c>
      <c r="C2779" s="7">
        <v>46041</v>
      </c>
      <c r="D2779" s="7">
        <v>46044</v>
      </c>
      <c r="E2779" s="8">
        <v>3</v>
      </c>
      <c r="F2779" s="6" t="str">
        <f>"94860801_07026"</f>
        <v>94860801_07026</v>
      </c>
      <c r="G2779" s="6" t="str">
        <f t="shared" si="643"/>
        <v>F310631650000000</v>
      </c>
      <c r="H2779" s="6" t="str">
        <f t="shared" si="644"/>
        <v>PLAR 6316 FD - 500 g</v>
      </c>
      <c r="I2779" s="6" t="str">
        <f>"200901"</f>
        <v>200901</v>
      </c>
      <c r="J2779" s="6" t="str">
        <f>"ROSA 901"</f>
        <v>ROSA 901</v>
      </c>
      <c r="K2779" s="6" t="str">
        <f>"0520"</f>
        <v>0520</v>
      </c>
      <c r="L2779" s="6" t="str">
        <f>"Toalhetes"</f>
        <v>Toalhetes</v>
      </c>
      <c r="M2779" s="6" t="str">
        <f>"30x50"</f>
        <v>30x50</v>
      </c>
      <c r="N2779" s="6" t="str">
        <f>"5602972281101"</f>
        <v>5602972281101</v>
      </c>
      <c r="O2779" s="8">
        <v>6</v>
      </c>
      <c r="R2779" s="8">
        <v>0</v>
      </c>
      <c r="U2779" s="8">
        <v>0</v>
      </c>
      <c r="X2779" s="8">
        <v>0</v>
      </c>
      <c r="Z2779" s="8">
        <v>0</v>
      </c>
      <c r="AC2779" s="8">
        <v>0</v>
      </c>
      <c r="AF2779" s="8">
        <v>0</v>
      </c>
      <c r="AN2779" s="8">
        <v>0</v>
      </c>
      <c r="AO2779" s="8">
        <v>6</v>
      </c>
    </row>
    <row r="2780" spans="1:41" x14ac:dyDescent="0.25">
      <c r="A2780" s="6" t="str">
        <f>"522-2026000340"</f>
        <v>522-2026000340</v>
      </c>
      <c r="B2780" s="6" t="str">
        <f t="shared" si="642"/>
        <v>EL CORTE</v>
      </c>
      <c r="C2780" s="7">
        <v>46041</v>
      </c>
      <c r="D2780" s="7">
        <v>46044</v>
      </c>
      <c r="E2780" s="8">
        <v>4</v>
      </c>
      <c r="F2780" s="6" t="str">
        <f>"94860801_07026"</f>
        <v>94860801_07026</v>
      </c>
      <c r="G2780" s="6" t="str">
        <f t="shared" si="643"/>
        <v>F310631650000000</v>
      </c>
      <c r="H2780" s="6" t="str">
        <f t="shared" si="644"/>
        <v>PLAR 6316 FD - 500 g</v>
      </c>
      <c r="I2780" s="6" t="str">
        <f>"200901"</f>
        <v>200901</v>
      </c>
      <c r="J2780" s="6" t="str">
        <f>"ROSA 901"</f>
        <v>ROSA 901</v>
      </c>
      <c r="K2780" s="6" t="str">
        <f>"2020"</f>
        <v>2020</v>
      </c>
      <c r="L2780" s="6" t="str">
        <f>"Lençóis"</f>
        <v>Lençóis</v>
      </c>
      <c r="M2780" s="6" t="str">
        <f>"100x150"</f>
        <v>100x150</v>
      </c>
      <c r="N2780" s="6" t="str">
        <f>"5602972281125"</f>
        <v>5602972281125</v>
      </c>
      <c r="O2780" s="8">
        <v>3</v>
      </c>
      <c r="R2780" s="8">
        <v>0</v>
      </c>
      <c r="U2780" s="8">
        <v>0</v>
      </c>
      <c r="X2780" s="8">
        <v>0</v>
      </c>
      <c r="Z2780" s="8">
        <v>0</v>
      </c>
      <c r="AC2780" s="8">
        <v>0</v>
      </c>
      <c r="AF2780" s="8">
        <v>0</v>
      </c>
      <c r="AN2780" s="8">
        <v>0</v>
      </c>
      <c r="AO2780" s="8">
        <v>3</v>
      </c>
    </row>
    <row r="2781" spans="1:41" x14ac:dyDescent="0.25">
      <c r="A2781" s="6" t="str">
        <f>"522-2026000340"</f>
        <v>522-2026000340</v>
      </c>
      <c r="B2781" s="6" t="str">
        <f t="shared" si="642"/>
        <v>EL CORTE</v>
      </c>
      <c r="C2781" s="7">
        <v>46041</v>
      </c>
      <c r="D2781" s="7">
        <v>46044</v>
      </c>
      <c r="E2781" s="8">
        <v>5</v>
      </c>
      <c r="F2781" s="6" t="str">
        <f>"94860801_07026"</f>
        <v>94860801_07026</v>
      </c>
      <c r="G2781" s="6" t="str">
        <f t="shared" si="643"/>
        <v>F310631650000000</v>
      </c>
      <c r="H2781" s="6" t="str">
        <f t="shared" si="644"/>
        <v>PLAR 6316 FD - 500 g</v>
      </c>
      <c r="I2781" s="6" t="str">
        <f>"200510"</f>
        <v>200510</v>
      </c>
      <c r="J2781" s="6" t="str">
        <f>"VERDE 510"</f>
        <v>VERDE 510</v>
      </c>
      <c r="K2781" s="6" t="str">
        <f>"2020"</f>
        <v>2020</v>
      </c>
      <c r="L2781" s="6" t="str">
        <f>"Lençóis"</f>
        <v>Lençóis</v>
      </c>
      <c r="M2781" s="6" t="str">
        <f>"100x150"</f>
        <v>100x150</v>
      </c>
      <c r="N2781" s="6" t="str">
        <f>"5602972281156"</f>
        <v>5602972281156</v>
      </c>
      <c r="O2781" s="8">
        <v>3</v>
      </c>
      <c r="R2781" s="8">
        <v>0</v>
      </c>
      <c r="U2781" s="8">
        <v>0</v>
      </c>
      <c r="X2781" s="8">
        <v>0</v>
      </c>
      <c r="Z2781" s="8">
        <v>0</v>
      </c>
      <c r="AC2781" s="8">
        <v>0</v>
      </c>
      <c r="AF2781" s="8">
        <v>0</v>
      </c>
      <c r="AN2781" s="8">
        <v>0</v>
      </c>
      <c r="AO2781" s="8">
        <v>3</v>
      </c>
    </row>
    <row r="2782" spans="1:41" x14ac:dyDescent="0.25">
      <c r="A2782" s="6" t="str">
        <f>"522-2026000341"</f>
        <v>522-2026000341</v>
      </c>
      <c r="B2782" s="6" t="str">
        <f t="shared" si="642"/>
        <v>EL CORTE</v>
      </c>
      <c r="C2782" s="7">
        <v>46041</v>
      </c>
      <c r="D2782" s="7">
        <v>46044</v>
      </c>
      <c r="E2782" s="8">
        <v>1</v>
      </c>
      <c r="F2782" s="6" t="str">
        <f>"94860501_07026"</f>
        <v>94860501_07026</v>
      </c>
      <c r="G2782" s="6" t="str">
        <f t="shared" si="643"/>
        <v>F310631650000000</v>
      </c>
      <c r="H2782" s="6" t="str">
        <f t="shared" si="644"/>
        <v>PLAR 6316 FD - 500 g</v>
      </c>
      <c r="I2782" s="6" t="str">
        <f>"201855"</f>
        <v>201855</v>
      </c>
      <c r="J2782" s="6" t="str">
        <f>"AZUL 1855"</f>
        <v>AZUL 1855</v>
      </c>
      <c r="K2782" s="6" t="str">
        <f>"2020"</f>
        <v>2020</v>
      </c>
      <c r="L2782" s="6" t="str">
        <f>"Lençóis"</f>
        <v>Lençóis</v>
      </c>
      <c r="M2782" s="6" t="str">
        <f>"100x150"</f>
        <v>100x150</v>
      </c>
      <c r="N2782" s="6" t="str">
        <f>"5602972281064"</f>
        <v>5602972281064</v>
      </c>
      <c r="O2782" s="8">
        <v>3</v>
      </c>
      <c r="R2782" s="8">
        <v>0</v>
      </c>
      <c r="U2782" s="8">
        <v>0</v>
      </c>
      <c r="X2782" s="8">
        <v>0</v>
      </c>
      <c r="Z2782" s="8">
        <v>0</v>
      </c>
      <c r="AC2782" s="8">
        <v>0</v>
      </c>
      <c r="AF2782" s="8">
        <v>0</v>
      </c>
      <c r="AN2782" s="8">
        <v>0</v>
      </c>
      <c r="AO2782" s="8">
        <v>3</v>
      </c>
    </row>
    <row r="2783" spans="1:41" x14ac:dyDescent="0.25">
      <c r="A2783" s="6" t="str">
        <f>"522-2026000341"</f>
        <v>522-2026000341</v>
      </c>
      <c r="B2783" s="6" t="str">
        <f t="shared" si="642"/>
        <v>EL CORTE</v>
      </c>
      <c r="C2783" s="7">
        <v>46041</v>
      </c>
      <c r="D2783" s="7">
        <v>46044</v>
      </c>
      <c r="E2783" s="8">
        <v>2</v>
      </c>
      <c r="F2783" s="6" t="str">
        <f>"94860501_07026"</f>
        <v>94860501_07026</v>
      </c>
      <c r="G2783" s="6" t="str">
        <f t="shared" si="643"/>
        <v>F310631650000000</v>
      </c>
      <c r="H2783" s="6" t="str">
        <f t="shared" si="644"/>
        <v>PLAR 6316 FD - 500 g</v>
      </c>
      <c r="I2783" s="6" t="str">
        <f>"202575"</f>
        <v>202575</v>
      </c>
      <c r="J2783" s="6" t="str">
        <f>"BEGE 2575"</f>
        <v>BEGE 2575</v>
      </c>
      <c r="K2783" s="6" t="str">
        <f>"0520"</f>
        <v>0520</v>
      </c>
      <c r="L2783" s="6" t="str">
        <f>"Toalhetes"</f>
        <v>Toalhetes</v>
      </c>
      <c r="M2783" s="6" t="str">
        <f>"30x50"</f>
        <v>30x50</v>
      </c>
      <c r="N2783" s="6" t="str">
        <f>"5602972281071"</f>
        <v>5602972281071</v>
      </c>
      <c r="O2783" s="8">
        <v>6</v>
      </c>
      <c r="R2783" s="8">
        <v>0</v>
      </c>
      <c r="U2783" s="8">
        <v>0</v>
      </c>
      <c r="X2783" s="8">
        <v>0</v>
      </c>
      <c r="Z2783" s="8">
        <v>0</v>
      </c>
      <c r="AC2783" s="8">
        <v>0</v>
      </c>
      <c r="AF2783" s="8">
        <v>0</v>
      </c>
      <c r="AN2783" s="8">
        <v>6</v>
      </c>
      <c r="AO2783" s="8">
        <v>0</v>
      </c>
    </row>
    <row r="2784" spans="1:41" x14ac:dyDescent="0.25">
      <c r="A2784" s="6" t="str">
        <f>"522-2026000341"</f>
        <v>522-2026000341</v>
      </c>
      <c r="B2784" s="6" t="str">
        <f t="shared" si="642"/>
        <v>EL CORTE</v>
      </c>
      <c r="C2784" s="7">
        <v>46041</v>
      </c>
      <c r="D2784" s="7">
        <v>46044</v>
      </c>
      <c r="E2784" s="8">
        <v>3</v>
      </c>
      <c r="F2784" s="6" t="str">
        <f>"94860501_07026"</f>
        <v>94860501_07026</v>
      </c>
      <c r="G2784" s="6" t="str">
        <f t="shared" si="643"/>
        <v>F310631650000000</v>
      </c>
      <c r="H2784" s="6" t="str">
        <f t="shared" si="644"/>
        <v>PLAR 6316 FD - 500 g</v>
      </c>
      <c r="I2784" s="6" t="str">
        <f>"202575"</f>
        <v>202575</v>
      </c>
      <c r="J2784" s="6" t="str">
        <f>"BEGE 2575"</f>
        <v>BEGE 2575</v>
      </c>
      <c r="K2784" s="6" t="str">
        <f>"2020"</f>
        <v>2020</v>
      </c>
      <c r="L2784" s="6" t="str">
        <f>"Lençóis"</f>
        <v>Lençóis</v>
      </c>
      <c r="M2784" s="6" t="str">
        <f>"100x150"</f>
        <v>100x150</v>
      </c>
      <c r="N2784" s="6" t="str">
        <f>"5602972281095"</f>
        <v>5602972281095</v>
      </c>
      <c r="O2784" s="8">
        <v>3</v>
      </c>
      <c r="R2784" s="8">
        <v>0</v>
      </c>
      <c r="U2784" s="8">
        <v>0</v>
      </c>
      <c r="X2784" s="8">
        <v>0</v>
      </c>
      <c r="Z2784" s="8">
        <v>0</v>
      </c>
      <c r="AC2784" s="8">
        <v>0</v>
      </c>
      <c r="AF2784" s="8">
        <v>0</v>
      </c>
      <c r="AN2784" s="8">
        <v>0</v>
      </c>
      <c r="AO2784" s="8">
        <v>3</v>
      </c>
    </row>
    <row r="2785" spans="1:41" x14ac:dyDescent="0.25">
      <c r="A2785" s="6" t="str">
        <f>"522-2026000341"</f>
        <v>522-2026000341</v>
      </c>
      <c r="B2785" s="6" t="str">
        <f t="shared" si="642"/>
        <v>EL CORTE</v>
      </c>
      <c r="C2785" s="7">
        <v>46041</v>
      </c>
      <c r="D2785" s="7">
        <v>46044</v>
      </c>
      <c r="E2785" s="8">
        <v>4</v>
      </c>
      <c r="F2785" s="6" t="str">
        <f>"94860501_07026"</f>
        <v>94860501_07026</v>
      </c>
      <c r="G2785" s="6" t="str">
        <f t="shared" si="643"/>
        <v>F310631650000000</v>
      </c>
      <c r="H2785" s="6" t="str">
        <f t="shared" si="644"/>
        <v>PLAR 6316 FD - 500 g</v>
      </c>
      <c r="I2785" s="6" t="str">
        <f>"200901"</f>
        <v>200901</v>
      </c>
      <c r="J2785" s="6" t="str">
        <f>"ROSA 901"</f>
        <v>ROSA 901</v>
      </c>
      <c r="K2785" s="6" t="str">
        <f>"2020"</f>
        <v>2020</v>
      </c>
      <c r="L2785" s="6" t="str">
        <f>"Lençóis"</f>
        <v>Lençóis</v>
      </c>
      <c r="M2785" s="6" t="str">
        <f>"100x150"</f>
        <v>100x150</v>
      </c>
      <c r="N2785" s="6" t="str">
        <f>"5602972281125"</f>
        <v>5602972281125</v>
      </c>
      <c r="O2785" s="8">
        <v>3</v>
      </c>
      <c r="R2785" s="8">
        <v>0</v>
      </c>
      <c r="U2785" s="8">
        <v>0</v>
      </c>
      <c r="X2785" s="8">
        <v>0</v>
      </c>
      <c r="Z2785" s="8">
        <v>0</v>
      </c>
      <c r="AC2785" s="8">
        <v>0</v>
      </c>
      <c r="AF2785" s="8">
        <v>0</v>
      </c>
      <c r="AN2785" s="8">
        <v>0</v>
      </c>
      <c r="AO2785" s="8">
        <v>3</v>
      </c>
    </row>
    <row r="2786" spans="1:41" x14ac:dyDescent="0.25">
      <c r="A2786" s="6" t="str">
        <f>"522-2026000342"</f>
        <v>522-2026000342</v>
      </c>
      <c r="B2786" s="6" t="str">
        <f t="shared" si="642"/>
        <v>EL CORTE</v>
      </c>
      <c r="C2786" s="7">
        <v>46041</v>
      </c>
      <c r="D2786" s="7">
        <v>46044</v>
      </c>
      <c r="E2786" s="8">
        <v>1</v>
      </c>
      <c r="F2786" s="6" t="str">
        <f>"94857301_07026"</f>
        <v>94857301_07026</v>
      </c>
      <c r="G2786" s="6" t="str">
        <f t="shared" si="643"/>
        <v>F310631650000000</v>
      </c>
      <c r="H2786" s="6" t="str">
        <f t="shared" si="644"/>
        <v>PLAR 6316 FD - 500 g</v>
      </c>
      <c r="I2786" s="6" t="str">
        <f>"201855"</f>
        <v>201855</v>
      </c>
      <c r="J2786" s="6" t="str">
        <f>"AZUL 1855"</f>
        <v>AZUL 1855</v>
      </c>
      <c r="K2786" s="6" t="str">
        <f>"1024"</f>
        <v>1024</v>
      </c>
      <c r="L2786" s="6" t="str">
        <f>"Toalhas"</f>
        <v>Toalhas</v>
      </c>
      <c r="M2786" s="6" t="str">
        <f>"50x100"</f>
        <v>50x100</v>
      </c>
      <c r="N2786" s="6" t="str">
        <f>"5602972281057"</f>
        <v>5602972281057</v>
      </c>
      <c r="O2786" s="8">
        <v>6</v>
      </c>
      <c r="R2786" s="8">
        <v>0</v>
      </c>
      <c r="U2786" s="8">
        <v>0</v>
      </c>
      <c r="X2786" s="8">
        <v>0</v>
      </c>
      <c r="Z2786" s="8">
        <v>0</v>
      </c>
      <c r="AC2786" s="8">
        <v>0</v>
      </c>
      <c r="AF2786" s="8">
        <v>0</v>
      </c>
      <c r="AN2786" s="8">
        <v>6</v>
      </c>
      <c r="AO2786" s="8">
        <v>0</v>
      </c>
    </row>
    <row r="2787" spans="1:41" x14ac:dyDescent="0.25">
      <c r="A2787" s="6" t="str">
        <f>"522-2026000343"</f>
        <v>522-2026000343</v>
      </c>
      <c r="B2787" s="6" t="str">
        <f t="shared" si="642"/>
        <v>EL CORTE</v>
      </c>
      <c r="C2787" s="7">
        <v>46041</v>
      </c>
      <c r="D2787" s="7">
        <v>46044</v>
      </c>
      <c r="E2787" s="8">
        <v>1</v>
      </c>
      <c r="F2787" s="6" t="str">
        <f>"94859101_07026"</f>
        <v>94859101_07026</v>
      </c>
      <c r="G2787" s="6" t="str">
        <f t="shared" si="643"/>
        <v>F310631650000000</v>
      </c>
      <c r="H2787" s="6" t="str">
        <f t="shared" si="644"/>
        <v>PLAR 6316 FD - 500 g</v>
      </c>
      <c r="I2787" s="6" t="str">
        <f>"201855"</f>
        <v>201855</v>
      </c>
      <c r="J2787" s="6" t="str">
        <f>"AZUL 1855"</f>
        <v>AZUL 1855</v>
      </c>
      <c r="K2787" s="6" t="str">
        <f>"0520"</f>
        <v>0520</v>
      </c>
      <c r="L2787" s="6" t="str">
        <f>"Toalhetes"</f>
        <v>Toalhetes</v>
      </c>
      <c r="M2787" s="6" t="str">
        <f>"30x50"</f>
        <v>30x50</v>
      </c>
      <c r="N2787" s="6" t="str">
        <f>"5602972281040"</f>
        <v>5602972281040</v>
      </c>
      <c r="O2787" s="8">
        <v>6</v>
      </c>
      <c r="R2787" s="8">
        <v>0</v>
      </c>
      <c r="U2787" s="8">
        <v>0</v>
      </c>
      <c r="X2787" s="8">
        <v>0</v>
      </c>
      <c r="Z2787" s="8">
        <v>0</v>
      </c>
      <c r="AC2787" s="8">
        <v>0</v>
      </c>
      <c r="AF2787" s="8">
        <v>0</v>
      </c>
      <c r="AN2787" s="8">
        <v>0</v>
      </c>
      <c r="AO2787" s="8">
        <v>6</v>
      </c>
    </row>
    <row r="2788" spans="1:41" x14ac:dyDescent="0.25">
      <c r="A2788" s="6" t="str">
        <f>"522-2026000343"</f>
        <v>522-2026000343</v>
      </c>
      <c r="B2788" s="6" t="str">
        <f t="shared" si="642"/>
        <v>EL CORTE</v>
      </c>
      <c r="C2788" s="7">
        <v>46041</v>
      </c>
      <c r="D2788" s="7">
        <v>46044</v>
      </c>
      <c r="E2788" s="8">
        <v>2</v>
      </c>
      <c r="F2788" s="6" t="str">
        <f>"94859101_07026"</f>
        <v>94859101_07026</v>
      </c>
      <c r="G2788" s="6" t="str">
        <f t="shared" si="643"/>
        <v>F310631650000000</v>
      </c>
      <c r="H2788" s="6" t="str">
        <f t="shared" si="644"/>
        <v>PLAR 6316 FD - 500 g</v>
      </c>
      <c r="I2788" s="6" t="str">
        <f>"201855"</f>
        <v>201855</v>
      </c>
      <c r="J2788" s="6" t="str">
        <f>"AZUL 1855"</f>
        <v>AZUL 1855</v>
      </c>
      <c r="K2788" s="6" t="str">
        <f>"2020"</f>
        <v>2020</v>
      </c>
      <c r="L2788" s="6" t="str">
        <f>"Lençóis"</f>
        <v>Lençóis</v>
      </c>
      <c r="M2788" s="6" t="str">
        <f>"100x150"</f>
        <v>100x150</v>
      </c>
      <c r="N2788" s="6" t="str">
        <f>"5602972281064"</f>
        <v>5602972281064</v>
      </c>
      <c r="O2788" s="8">
        <v>3</v>
      </c>
      <c r="R2788" s="8">
        <v>0</v>
      </c>
      <c r="U2788" s="8">
        <v>0</v>
      </c>
      <c r="X2788" s="8">
        <v>0</v>
      </c>
      <c r="Z2788" s="8">
        <v>0</v>
      </c>
      <c r="AC2788" s="8">
        <v>0</v>
      </c>
      <c r="AF2788" s="8">
        <v>0</v>
      </c>
      <c r="AN2788" s="8">
        <v>0</v>
      </c>
      <c r="AO2788" s="8">
        <v>3</v>
      </c>
    </row>
    <row r="2789" spans="1:41" x14ac:dyDescent="0.25">
      <c r="A2789" s="6" t="str">
        <f>"522-2026000343"</f>
        <v>522-2026000343</v>
      </c>
      <c r="B2789" s="6" t="str">
        <f t="shared" si="642"/>
        <v>EL CORTE</v>
      </c>
      <c r="C2789" s="7">
        <v>46041</v>
      </c>
      <c r="D2789" s="7">
        <v>46044</v>
      </c>
      <c r="E2789" s="8">
        <v>3</v>
      </c>
      <c r="F2789" s="6" t="str">
        <f>"94859101_07026"</f>
        <v>94859101_07026</v>
      </c>
      <c r="G2789" s="6" t="str">
        <f t="shared" si="643"/>
        <v>F310631650000000</v>
      </c>
      <c r="H2789" s="6" t="str">
        <f t="shared" si="644"/>
        <v>PLAR 6316 FD - 500 g</v>
      </c>
      <c r="I2789" s="6" t="str">
        <f>"202575"</f>
        <v>202575</v>
      </c>
      <c r="J2789" s="6" t="str">
        <f>"BEGE 2575"</f>
        <v>BEGE 2575</v>
      </c>
      <c r="K2789" s="6" t="str">
        <f>"2020"</f>
        <v>2020</v>
      </c>
      <c r="L2789" s="6" t="str">
        <f>"Lençóis"</f>
        <v>Lençóis</v>
      </c>
      <c r="M2789" s="6" t="str">
        <f>"100x150"</f>
        <v>100x150</v>
      </c>
      <c r="N2789" s="6" t="str">
        <f>"5602972281095"</f>
        <v>5602972281095</v>
      </c>
      <c r="O2789" s="8">
        <v>3</v>
      </c>
      <c r="R2789" s="8">
        <v>0</v>
      </c>
      <c r="U2789" s="8">
        <v>0</v>
      </c>
      <c r="X2789" s="8">
        <v>0</v>
      </c>
      <c r="Z2789" s="8">
        <v>0</v>
      </c>
      <c r="AC2789" s="8">
        <v>0</v>
      </c>
      <c r="AF2789" s="8">
        <v>0</v>
      </c>
      <c r="AN2789" s="8">
        <v>0</v>
      </c>
      <c r="AO2789" s="8">
        <v>3</v>
      </c>
    </row>
    <row r="2790" spans="1:41" x14ac:dyDescent="0.25">
      <c r="A2790" s="6" t="str">
        <f>"522-2026000343"</f>
        <v>522-2026000343</v>
      </c>
      <c r="B2790" s="6" t="str">
        <f t="shared" si="642"/>
        <v>EL CORTE</v>
      </c>
      <c r="C2790" s="7">
        <v>46041</v>
      </c>
      <c r="D2790" s="7">
        <v>46044</v>
      </c>
      <c r="E2790" s="8">
        <v>4</v>
      </c>
      <c r="F2790" s="6" t="str">
        <f>"94859101_07026"</f>
        <v>94859101_07026</v>
      </c>
      <c r="G2790" s="6" t="str">
        <f t="shared" si="643"/>
        <v>F310631650000000</v>
      </c>
      <c r="H2790" s="6" t="str">
        <f t="shared" si="644"/>
        <v>PLAR 6316 FD - 500 g</v>
      </c>
      <c r="I2790" s="6" t="str">
        <f>"200901"</f>
        <v>200901</v>
      </c>
      <c r="J2790" s="6" t="str">
        <f>"ROSA 901"</f>
        <v>ROSA 901</v>
      </c>
      <c r="K2790" s="6" t="str">
        <f>"0520"</f>
        <v>0520</v>
      </c>
      <c r="L2790" s="6" t="str">
        <f>"Toalhetes"</f>
        <v>Toalhetes</v>
      </c>
      <c r="M2790" s="6" t="str">
        <f>"30x50"</f>
        <v>30x50</v>
      </c>
      <c r="N2790" s="6" t="str">
        <f>"5602972281101"</f>
        <v>5602972281101</v>
      </c>
      <c r="O2790" s="8">
        <v>6</v>
      </c>
      <c r="R2790" s="8">
        <v>0</v>
      </c>
      <c r="U2790" s="8">
        <v>0</v>
      </c>
      <c r="X2790" s="8">
        <v>0</v>
      </c>
      <c r="Z2790" s="8">
        <v>0</v>
      </c>
      <c r="AC2790" s="8">
        <v>0</v>
      </c>
      <c r="AF2790" s="8">
        <v>0</v>
      </c>
      <c r="AN2790" s="8">
        <v>0</v>
      </c>
      <c r="AO2790" s="8">
        <v>6</v>
      </c>
    </row>
    <row r="2791" spans="1:41" x14ac:dyDescent="0.25">
      <c r="A2791" s="6" t="str">
        <f>"522-2026000343"</f>
        <v>522-2026000343</v>
      </c>
      <c r="B2791" s="6" t="str">
        <f t="shared" si="642"/>
        <v>EL CORTE</v>
      </c>
      <c r="C2791" s="7">
        <v>46041</v>
      </c>
      <c r="D2791" s="7">
        <v>46044</v>
      </c>
      <c r="E2791" s="8">
        <v>5</v>
      </c>
      <c r="F2791" s="6" t="str">
        <f>"94859101_07026"</f>
        <v>94859101_07026</v>
      </c>
      <c r="G2791" s="6" t="str">
        <f t="shared" si="643"/>
        <v>F310631650000000</v>
      </c>
      <c r="H2791" s="6" t="str">
        <f t="shared" si="644"/>
        <v>PLAR 6316 FD - 500 g</v>
      </c>
      <c r="I2791" s="6" t="str">
        <f>"200510"</f>
        <v>200510</v>
      </c>
      <c r="J2791" s="6" t="str">
        <f>"VERDE 510"</f>
        <v>VERDE 510</v>
      </c>
      <c r="K2791" s="6" t="str">
        <f>"2020"</f>
        <v>2020</v>
      </c>
      <c r="L2791" s="6" t="str">
        <f>"Lençóis"</f>
        <v>Lençóis</v>
      </c>
      <c r="M2791" s="6" t="str">
        <f>"100x150"</f>
        <v>100x150</v>
      </c>
      <c r="N2791" s="6" t="str">
        <f>"5602972281156"</f>
        <v>5602972281156</v>
      </c>
      <c r="O2791" s="8">
        <v>3</v>
      </c>
      <c r="R2791" s="8">
        <v>0</v>
      </c>
      <c r="U2791" s="8">
        <v>0</v>
      </c>
      <c r="X2791" s="8">
        <v>0</v>
      </c>
      <c r="Z2791" s="8">
        <v>0</v>
      </c>
      <c r="AC2791" s="8">
        <v>0</v>
      </c>
      <c r="AF2791" s="8">
        <v>0</v>
      </c>
      <c r="AN2791" s="8">
        <v>0</v>
      </c>
      <c r="AO2791" s="8">
        <v>3</v>
      </c>
    </row>
    <row r="2792" spans="1:41" x14ac:dyDescent="0.25">
      <c r="A2792" s="6" t="str">
        <f>"522-2026000344"</f>
        <v>522-2026000344</v>
      </c>
      <c r="B2792" s="6" t="str">
        <f t="shared" si="642"/>
        <v>EL CORTE</v>
      </c>
      <c r="C2792" s="7">
        <v>46041</v>
      </c>
      <c r="D2792" s="7">
        <v>46044</v>
      </c>
      <c r="E2792" s="8">
        <v>1</v>
      </c>
      <c r="F2792" s="6" t="str">
        <f>"94857601_07026"</f>
        <v>94857601_07026</v>
      </c>
      <c r="G2792" s="6" t="str">
        <f t="shared" si="643"/>
        <v>F310631650000000</v>
      </c>
      <c r="H2792" s="6" t="str">
        <f t="shared" si="644"/>
        <v>PLAR 6316 FD - 500 g</v>
      </c>
      <c r="I2792" s="6" t="str">
        <f>"201855"</f>
        <v>201855</v>
      </c>
      <c r="J2792" s="6" t="str">
        <f>"AZUL 1855"</f>
        <v>AZUL 1855</v>
      </c>
      <c r="K2792" s="6" t="str">
        <f>"2020"</f>
        <v>2020</v>
      </c>
      <c r="L2792" s="6" t="str">
        <f>"Lençóis"</f>
        <v>Lençóis</v>
      </c>
      <c r="M2792" s="6" t="str">
        <f>"100x150"</f>
        <v>100x150</v>
      </c>
      <c r="N2792" s="6" t="str">
        <f>"5602972281064"</f>
        <v>5602972281064</v>
      </c>
      <c r="O2792" s="8">
        <v>3</v>
      </c>
      <c r="R2792" s="8">
        <v>0</v>
      </c>
      <c r="U2792" s="8">
        <v>0</v>
      </c>
      <c r="X2792" s="8">
        <v>0</v>
      </c>
      <c r="Z2792" s="8">
        <v>0</v>
      </c>
      <c r="AC2792" s="8">
        <v>0</v>
      </c>
      <c r="AF2792" s="8">
        <v>0</v>
      </c>
      <c r="AN2792" s="8">
        <v>0</v>
      </c>
      <c r="AO2792" s="8">
        <v>3</v>
      </c>
    </row>
    <row r="2793" spans="1:41" x14ac:dyDescent="0.25">
      <c r="A2793" s="6" t="str">
        <f>"522-2026000344"</f>
        <v>522-2026000344</v>
      </c>
      <c r="B2793" s="6" t="str">
        <f t="shared" si="642"/>
        <v>EL CORTE</v>
      </c>
      <c r="C2793" s="7">
        <v>46041</v>
      </c>
      <c r="D2793" s="7">
        <v>46044</v>
      </c>
      <c r="E2793" s="8">
        <v>2</v>
      </c>
      <c r="F2793" s="6" t="str">
        <f>"94857601_07026"</f>
        <v>94857601_07026</v>
      </c>
      <c r="G2793" s="6" t="str">
        <f t="shared" si="643"/>
        <v>F310631650000000</v>
      </c>
      <c r="H2793" s="6" t="str">
        <f t="shared" si="644"/>
        <v>PLAR 6316 FD - 500 g</v>
      </c>
      <c r="I2793" s="6" t="str">
        <f>"202575"</f>
        <v>202575</v>
      </c>
      <c r="J2793" s="6" t="str">
        <f>"BEGE 2575"</f>
        <v>BEGE 2575</v>
      </c>
      <c r="K2793" s="6" t="str">
        <f>"2020"</f>
        <v>2020</v>
      </c>
      <c r="L2793" s="6" t="str">
        <f>"Lençóis"</f>
        <v>Lençóis</v>
      </c>
      <c r="M2793" s="6" t="str">
        <f>"100x150"</f>
        <v>100x150</v>
      </c>
      <c r="N2793" s="6" t="str">
        <f>"5602972281095"</f>
        <v>5602972281095</v>
      </c>
      <c r="O2793" s="8">
        <v>6</v>
      </c>
      <c r="R2793" s="8">
        <v>0</v>
      </c>
      <c r="U2793" s="8">
        <v>0</v>
      </c>
      <c r="X2793" s="8">
        <v>0</v>
      </c>
      <c r="Z2793" s="8">
        <v>0</v>
      </c>
      <c r="AC2793" s="8">
        <v>0</v>
      </c>
      <c r="AF2793" s="8">
        <v>0</v>
      </c>
      <c r="AN2793" s="8">
        <v>0</v>
      </c>
      <c r="AO2793" s="8">
        <v>6</v>
      </c>
    </row>
    <row r="2794" spans="1:41" x14ac:dyDescent="0.25">
      <c r="A2794" s="6" t="str">
        <f>"522-2026000344"</f>
        <v>522-2026000344</v>
      </c>
      <c r="B2794" s="6" t="str">
        <f t="shared" si="642"/>
        <v>EL CORTE</v>
      </c>
      <c r="C2794" s="7">
        <v>46041</v>
      </c>
      <c r="D2794" s="7">
        <v>46044</v>
      </c>
      <c r="E2794" s="8">
        <v>3</v>
      </c>
      <c r="F2794" s="6" t="str">
        <f>"94857601_07026"</f>
        <v>94857601_07026</v>
      </c>
      <c r="G2794" s="6" t="str">
        <f t="shared" si="643"/>
        <v>F310631650000000</v>
      </c>
      <c r="H2794" s="6" t="str">
        <f t="shared" si="644"/>
        <v>PLAR 6316 FD - 500 g</v>
      </c>
      <c r="I2794" s="6" t="str">
        <f>"200510"</f>
        <v>200510</v>
      </c>
      <c r="J2794" s="6" t="str">
        <f>"VERDE 510"</f>
        <v>VERDE 510</v>
      </c>
      <c r="K2794" s="6" t="str">
        <f>"2020"</f>
        <v>2020</v>
      </c>
      <c r="L2794" s="6" t="str">
        <f>"Lençóis"</f>
        <v>Lençóis</v>
      </c>
      <c r="M2794" s="6" t="str">
        <f>"100x150"</f>
        <v>100x150</v>
      </c>
      <c r="N2794" s="6" t="str">
        <f>"5602972281156"</f>
        <v>5602972281156</v>
      </c>
      <c r="O2794" s="8">
        <v>6</v>
      </c>
      <c r="R2794" s="8">
        <v>0</v>
      </c>
      <c r="U2794" s="8">
        <v>0</v>
      </c>
      <c r="X2794" s="8">
        <v>0</v>
      </c>
      <c r="Z2794" s="8">
        <v>0</v>
      </c>
      <c r="AC2794" s="8">
        <v>0</v>
      </c>
      <c r="AF2794" s="8">
        <v>0</v>
      </c>
      <c r="AN2794" s="8">
        <v>0</v>
      </c>
      <c r="AO2794" s="8">
        <v>6</v>
      </c>
    </row>
    <row r="2795" spans="1:41" x14ac:dyDescent="0.25">
      <c r="A2795" s="6" t="str">
        <f>"522-2026000345"</f>
        <v>522-2026000345</v>
      </c>
      <c r="B2795" s="6" t="str">
        <f t="shared" si="642"/>
        <v>EL CORTE</v>
      </c>
      <c r="C2795" s="7">
        <v>46041</v>
      </c>
      <c r="D2795" s="7">
        <v>46044</v>
      </c>
      <c r="E2795" s="8">
        <v>1</v>
      </c>
      <c r="F2795" s="6" t="str">
        <f>"94861301_07026"</f>
        <v>94861301_07026</v>
      </c>
      <c r="G2795" s="6" t="str">
        <f t="shared" si="643"/>
        <v>F310631650000000</v>
      </c>
      <c r="H2795" s="6" t="str">
        <f t="shared" si="644"/>
        <v>PLAR 6316 FD - 500 g</v>
      </c>
      <c r="I2795" s="6" t="str">
        <f>"202575"</f>
        <v>202575</v>
      </c>
      <c r="J2795" s="6" t="str">
        <f>"BEGE 2575"</f>
        <v>BEGE 2575</v>
      </c>
      <c r="K2795" s="6" t="str">
        <f>"1024"</f>
        <v>1024</v>
      </c>
      <c r="L2795" s="6" t="str">
        <f>"Toalhas"</f>
        <v>Toalhas</v>
      </c>
      <c r="M2795" s="6" t="str">
        <f>"50x100"</f>
        <v>50x100</v>
      </c>
      <c r="N2795" s="6" t="str">
        <f>"5602972281088"</f>
        <v>5602972281088</v>
      </c>
      <c r="O2795" s="8">
        <v>6</v>
      </c>
      <c r="R2795" s="8">
        <v>0</v>
      </c>
      <c r="U2795" s="8">
        <v>0</v>
      </c>
      <c r="X2795" s="8">
        <v>0</v>
      </c>
      <c r="Z2795" s="8">
        <v>0</v>
      </c>
      <c r="AC2795" s="8">
        <v>0</v>
      </c>
      <c r="AF2795" s="8">
        <v>0</v>
      </c>
      <c r="AN2795" s="8">
        <v>6</v>
      </c>
      <c r="AO2795" s="8">
        <v>0</v>
      </c>
    </row>
    <row r="2796" spans="1:41" x14ac:dyDescent="0.25">
      <c r="A2796" s="6" t="str">
        <f>"522-2026000345"</f>
        <v>522-2026000345</v>
      </c>
      <c r="B2796" s="6" t="str">
        <f t="shared" si="642"/>
        <v>EL CORTE</v>
      </c>
      <c r="C2796" s="7">
        <v>46041</v>
      </c>
      <c r="D2796" s="7">
        <v>46044</v>
      </c>
      <c r="E2796" s="8">
        <v>2</v>
      </c>
      <c r="F2796" s="6" t="str">
        <f>"94861301_07026"</f>
        <v>94861301_07026</v>
      </c>
      <c r="G2796" s="6" t="str">
        <f t="shared" si="643"/>
        <v>F310631650000000</v>
      </c>
      <c r="H2796" s="6" t="str">
        <f t="shared" si="644"/>
        <v>PLAR 6316 FD - 500 g</v>
      </c>
      <c r="I2796" s="6" t="str">
        <f>"202575"</f>
        <v>202575</v>
      </c>
      <c r="J2796" s="6" t="str">
        <f>"BEGE 2575"</f>
        <v>BEGE 2575</v>
      </c>
      <c r="K2796" s="6" t="str">
        <f t="shared" ref="K2796:K2801" si="648">"2020"</f>
        <v>2020</v>
      </c>
      <c r="L2796" s="6" t="str">
        <f t="shared" ref="L2796:L2801" si="649">"Lençóis"</f>
        <v>Lençóis</v>
      </c>
      <c r="M2796" s="6" t="str">
        <f t="shared" ref="M2796:M2801" si="650">"100x150"</f>
        <v>100x150</v>
      </c>
      <c r="N2796" s="6" t="str">
        <f>"5602972281095"</f>
        <v>5602972281095</v>
      </c>
      <c r="O2796" s="8">
        <v>3</v>
      </c>
      <c r="R2796" s="8">
        <v>0</v>
      </c>
      <c r="U2796" s="8">
        <v>0</v>
      </c>
      <c r="X2796" s="8">
        <v>0</v>
      </c>
      <c r="Z2796" s="8">
        <v>0</v>
      </c>
      <c r="AC2796" s="8">
        <v>0</v>
      </c>
      <c r="AF2796" s="8">
        <v>0</v>
      </c>
      <c r="AN2796" s="8">
        <v>0</v>
      </c>
      <c r="AO2796" s="8">
        <v>3</v>
      </c>
    </row>
    <row r="2797" spans="1:41" x14ac:dyDescent="0.25">
      <c r="A2797" s="6" t="str">
        <f>"522-2026000345"</f>
        <v>522-2026000345</v>
      </c>
      <c r="B2797" s="6" t="str">
        <f t="shared" si="642"/>
        <v>EL CORTE</v>
      </c>
      <c r="C2797" s="7">
        <v>46041</v>
      </c>
      <c r="D2797" s="7">
        <v>46044</v>
      </c>
      <c r="E2797" s="8">
        <v>3</v>
      </c>
      <c r="F2797" s="6" t="str">
        <f>"94861301_07026"</f>
        <v>94861301_07026</v>
      </c>
      <c r="G2797" s="6" t="str">
        <f t="shared" si="643"/>
        <v>F310631650000000</v>
      </c>
      <c r="H2797" s="6" t="str">
        <f t="shared" si="644"/>
        <v>PLAR 6316 FD - 500 g</v>
      </c>
      <c r="I2797" s="6" t="str">
        <f>"200901"</f>
        <v>200901</v>
      </c>
      <c r="J2797" s="6" t="str">
        <f>"ROSA 901"</f>
        <v>ROSA 901</v>
      </c>
      <c r="K2797" s="6" t="str">
        <f t="shared" si="648"/>
        <v>2020</v>
      </c>
      <c r="L2797" s="6" t="str">
        <f t="shared" si="649"/>
        <v>Lençóis</v>
      </c>
      <c r="M2797" s="6" t="str">
        <f t="shared" si="650"/>
        <v>100x150</v>
      </c>
      <c r="N2797" s="6" t="str">
        <f>"5602972281125"</f>
        <v>5602972281125</v>
      </c>
      <c r="O2797" s="8">
        <v>6</v>
      </c>
      <c r="R2797" s="8">
        <v>0</v>
      </c>
      <c r="U2797" s="8">
        <v>0</v>
      </c>
      <c r="X2797" s="8">
        <v>0</v>
      </c>
      <c r="Z2797" s="8">
        <v>0</v>
      </c>
      <c r="AC2797" s="8">
        <v>0</v>
      </c>
      <c r="AF2797" s="8">
        <v>0</v>
      </c>
      <c r="AN2797" s="8">
        <v>0</v>
      </c>
      <c r="AO2797" s="8">
        <v>6</v>
      </c>
    </row>
    <row r="2798" spans="1:41" x14ac:dyDescent="0.25">
      <c r="A2798" s="6" t="str">
        <f>"522-2026000345"</f>
        <v>522-2026000345</v>
      </c>
      <c r="B2798" s="6" t="str">
        <f t="shared" si="642"/>
        <v>EL CORTE</v>
      </c>
      <c r="C2798" s="7">
        <v>46041</v>
      </c>
      <c r="D2798" s="7">
        <v>46044</v>
      </c>
      <c r="E2798" s="8">
        <v>4</v>
      </c>
      <c r="F2798" s="6" t="str">
        <f>"94861301_07026"</f>
        <v>94861301_07026</v>
      </c>
      <c r="G2798" s="6" t="str">
        <f t="shared" si="643"/>
        <v>F310631650000000</v>
      </c>
      <c r="H2798" s="6" t="str">
        <f t="shared" si="644"/>
        <v>PLAR 6316 FD - 500 g</v>
      </c>
      <c r="I2798" s="6" t="str">
        <f>"200510"</f>
        <v>200510</v>
      </c>
      <c r="J2798" s="6" t="str">
        <f>"VERDE 510"</f>
        <v>VERDE 510</v>
      </c>
      <c r="K2798" s="6" t="str">
        <f t="shared" si="648"/>
        <v>2020</v>
      </c>
      <c r="L2798" s="6" t="str">
        <f t="shared" si="649"/>
        <v>Lençóis</v>
      </c>
      <c r="M2798" s="6" t="str">
        <f t="shared" si="650"/>
        <v>100x150</v>
      </c>
      <c r="N2798" s="6" t="str">
        <f>"5602972281156"</f>
        <v>5602972281156</v>
      </c>
      <c r="O2798" s="8">
        <v>3</v>
      </c>
      <c r="R2798" s="8">
        <v>0</v>
      </c>
      <c r="U2798" s="8">
        <v>0</v>
      </c>
      <c r="X2798" s="8">
        <v>0</v>
      </c>
      <c r="Z2798" s="8">
        <v>0</v>
      </c>
      <c r="AC2798" s="8">
        <v>0</v>
      </c>
      <c r="AF2798" s="8">
        <v>0</v>
      </c>
      <c r="AN2798" s="8">
        <v>0</v>
      </c>
      <c r="AO2798" s="8">
        <v>3</v>
      </c>
    </row>
    <row r="2799" spans="1:41" x14ac:dyDescent="0.25">
      <c r="A2799" s="6" t="str">
        <f>"522-2026000346"</f>
        <v>522-2026000346</v>
      </c>
      <c r="B2799" s="6" t="str">
        <f t="shared" si="642"/>
        <v>EL CORTE</v>
      </c>
      <c r="C2799" s="7">
        <v>46041</v>
      </c>
      <c r="D2799" s="7">
        <v>46044</v>
      </c>
      <c r="E2799" s="8">
        <v>1</v>
      </c>
      <c r="F2799" s="6" t="str">
        <f>"94861501_07026"</f>
        <v>94861501_07026</v>
      </c>
      <c r="G2799" s="6" t="str">
        <f t="shared" si="643"/>
        <v>F310631650000000</v>
      </c>
      <c r="H2799" s="6" t="str">
        <f t="shared" si="644"/>
        <v>PLAR 6316 FD - 500 g</v>
      </c>
      <c r="I2799" s="6" t="str">
        <f>"200901"</f>
        <v>200901</v>
      </c>
      <c r="J2799" s="6" t="str">
        <f>"ROSA 901"</f>
        <v>ROSA 901</v>
      </c>
      <c r="K2799" s="6" t="str">
        <f t="shared" si="648"/>
        <v>2020</v>
      </c>
      <c r="L2799" s="6" t="str">
        <f t="shared" si="649"/>
        <v>Lençóis</v>
      </c>
      <c r="M2799" s="6" t="str">
        <f t="shared" si="650"/>
        <v>100x150</v>
      </c>
      <c r="N2799" s="6" t="str">
        <f>"5602972281125"</f>
        <v>5602972281125</v>
      </c>
      <c r="O2799" s="8">
        <v>3</v>
      </c>
      <c r="R2799" s="8">
        <v>0</v>
      </c>
      <c r="U2799" s="8">
        <v>0</v>
      </c>
      <c r="X2799" s="8">
        <v>0</v>
      </c>
      <c r="Z2799" s="8">
        <v>0</v>
      </c>
      <c r="AC2799" s="8">
        <v>0</v>
      </c>
      <c r="AF2799" s="8">
        <v>0</v>
      </c>
      <c r="AN2799" s="8">
        <v>0</v>
      </c>
      <c r="AO2799" s="8">
        <v>3</v>
      </c>
    </row>
    <row r="2800" spans="1:41" x14ac:dyDescent="0.25">
      <c r="A2800" s="6" t="str">
        <f>"522-2026000346"</f>
        <v>522-2026000346</v>
      </c>
      <c r="B2800" s="6" t="str">
        <f t="shared" si="642"/>
        <v>EL CORTE</v>
      </c>
      <c r="C2800" s="7">
        <v>46041</v>
      </c>
      <c r="D2800" s="7">
        <v>46044</v>
      </c>
      <c r="E2800" s="8">
        <v>2</v>
      </c>
      <c r="F2800" s="6" t="str">
        <f>"94861501_07026"</f>
        <v>94861501_07026</v>
      </c>
      <c r="G2800" s="6" t="str">
        <f t="shared" si="643"/>
        <v>F310631650000000</v>
      </c>
      <c r="H2800" s="6" t="str">
        <f t="shared" si="644"/>
        <v>PLAR 6316 FD - 500 g</v>
      </c>
      <c r="I2800" s="6" t="str">
        <f>"200510"</f>
        <v>200510</v>
      </c>
      <c r="J2800" s="6" t="str">
        <f>"VERDE 510"</f>
        <v>VERDE 510</v>
      </c>
      <c r="K2800" s="6" t="str">
        <f t="shared" si="648"/>
        <v>2020</v>
      </c>
      <c r="L2800" s="6" t="str">
        <f t="shared" si="649"/>
        <v>Lençóis</v>
      </c>
      <c r="M2800" s="6" t="str">
        <f t="shared" si="650"/>
        <v>100x150</v>
      </c>
      <c r="N2800" s="6" t="str">
        <f>"5602972281156"</f>
        <v>5602972281156</v>
      </c>
      <c r="O2800" s="8">
        <v>3</v>
      </c>
      <c r="R2800" s="8">
        <v>0</v>
      </c>
      <c r="U2800" s="8">
        <v>0</v>
      </c>
      <c r="X2800" s="8">
        <v>0</v>
      </c>
      <c r="Z2800" s="8">
        <v>0</v>
      </c>
      <c r="AC2800" s="8">
        <v>0</v>
      </c>
      <c r="AF2800" s="8">
        <v>0</v>
      </c>
      <c r="AN2800" s="8">
        <v>0</v>
      </c>
      <c r="AO2800" s="8">
        <v>3</v>
      </c>
    </row>
    <row r="2801" spans="1:41" x14ac:dyDescent="0.25">
      <c r="A2801" s="6" t="str">
        <f>"522-2026000347"</f>
        <v>522-2026000347</v>
      </c>
      <c r="B2801" s="6" t="str">
        <f t="shared" si="642"/>
        <v>EL CORTE</v>
      </c>
      <c r="C2801" s="7">
        <v>46041</v>
      </c>
      <c r="D2801" s="7">
        <v>46044</v>
      </c>
      <c r="E2801" s="8">
        <v>1</v>
      </c>
      <c r="F2801" s="6" t="str">
        <f>"94859601_07026"</f>
        <v>94859601_07026</v>
      </c>
      <c r="G2801" s="6" t="str">
        <f t="shared" si="643"/>
        <v>F310631650000000</v>
      </c>
      <c r="H2801" s="6" t="str">
        <f t="shared" si="644"/>
        <v>PLAR 6316 FD - 500 g</v>
      </c>
      <c r="I2801" s="6" t="str">
        <f>"201855"</f>
        <v>201855</v>
      </c>
      <c r="J2801" s="6" t="str">
        <f>"AZUL 1855"</f>
        <v>AZUL 1855</v>
      </c>
      <c r="K2801" s="6" t="str">
        <f t="shared" si="648"/>
        <v>2020</v>
      </c>
      <c r="L2801" s="6" t="str">
        <f t="shared" si="649"/>
        <v>Lençóis</v>
      </c>
      <c r="M2801" s="6" t="str">
        <f t="shared" si="650"/>
        <v>100x150</v>
      </c>
      <c r="N2801" s="6" t="str">
        <f>"5602972281064"</f>
        <v>5602972281064</v>
      </c>
      <c r="O2801" s="8">
        <v>6</v>
      </c>
      <c r="R2801" s="8">
        <v>0</v>
      </c>
      <c r="U2801" s="8">
        <v>0</v>
      </c>
      <c r="X2801" s="8">
        <v>0</v>
      </c>
      <c r="Z2801" s="8">
        <v>0</v>
      </c>
      <c r="AC2801" s="8">
        <v>0</v>
      </c>
      <c r="AF2801" s="8">
        <v>0</v>
      </c>
      <c r="AN2801" s="8">
        <v>0</v>
      </c>
      <c r="AO2801" s="8">
        <v>6</v>
      </c>
    </row>
    <row r="2802" spans="1:41" x14ac:dyDescent="0.25">
      <c r="A2802" s="6" t="str">
        <f>"522-2026000347"</f>
        <v>522-2026000347</v>
      </c>
      <c r="B2802" s="6" t="str">
        <f t="shared" si="642"/>
        <v>EL CORTE</v>
      </c>
      <c r="C2802" s="7">
        <v>46041</v>
      </c>
      <c r="D2802" s="7">
        <v>46044</v>
      </c>
      <c r="E2802" s="8">
        <v>2</v>
      </c>
      <c r="F2802" s="6" t="str">
        <f>"94859601_07026"</f>
        <v>94859601_07026</v>
      </c>
      <c r="G2802" s="6" t="str">
        <f t="shared" si="643"/>
        <v>F310631650000000</v>
      </c>
      <c r="H2802" s="6" t="str">
        <f t="shared" si="644"/>
        <v>PLAR 6316 FD - 500 g</v>
      </c>
      <c r="I2802" s="6" t="str">
        <f>"200901"</f>
        <v>200901</v>
      </c>
      <c r="J2802" s="6" t="str">
        <f>"ROSA 901"</f>
        <v>ROSA 901</v>
      </c>
      <c r="K2802" s="6" t="str">
        <f>"0520"</f>
        <v>0520</v>
      </c>
      <c r="L2802" s="6" t="str">
        <f>"Toalhetes"</f>
        <v>Toalhetes</v>
      </c>
      <c r="M2802" s="6" t="str">
        <f>"30x50"</f>
        <v>30x50</v>
      </c>
      <c r="N2802" s="6" t="str">
        <f>"5602972281101"</f>
        <v>5602972281101</v>
      </c>
      <c r="O2802" s="8">
        <v>6</v>
      </c>
      <c r="R2802" s="8">
        <v>0</v>
      </c>
      <c r="U2802" s="8">
        <v>0</v>
      </c>
      <c r="X2802" s="8">
        <v>0</v>
      </c>
      <c r="Z2802" s="8">
        <v>0</v>
      </c>
      <c r="AC2802" s="8">
        <v>0</v>
      </c>
      <c r="AF2802" s="8">
        <v>0</v>
      </c>
      <c r="AN2802" s="8">
        <v>0</v>
      </c>
      <c r="AO2802" s="8">
        <v>6</v>
      </c>
    </row>
    <row r="2803" spans="1:41" x14ac:dyDescent="0.25">
      <c r="A2803" s="6" t="str">
        <f>"522-2026000348"</f>
        <v>522-2026000348</v>
      </c>
      <c r="B2803" s="6" t="str">
        <f t="shared" si="642"/>
        <v>EL CORTE</v>
      </c>
      <c r="C2803" s="7">
        <v>46041</v>
      </c>
      <c r="D2803" s="7">
        <v>46044</v>
      </c>
      <c r="E2803" s="8">
        <v>1</v>
      </c>
      <c r="F2803" s="6" t="str">
        <f>"94860701_07026"</f>
        <v>94860701_07026</v>
      </c>
      <c r="G2803" s="6" t="str">
        <f t="shared" si="643"/>
        <v>F310631650000000</v>
      </c>
      <c r="H2803" s="6" t="str">
        <f t="shared" si="644"/>
        <v>PLAR 6316 FD - 500 g</v>
      </c>
      <c r="I2803" s="6" t="str">
        <f>"202575"</f>
        <v>202575</v>
      </c>
      <c r="J2803" s="6" t="str">
        <f>"BEGE 2575"</f>
        <v>BEGE 2575</v>
      </c>
      <c r="K2803" s="6" t="str">
        <f>"0520"</f>
        <v>0520</v>
      </c>
      <c r="L2803" s="6" t="str">
        <f>"Toalhetes"</f>
        <v>Toalhetes</v>
      </c>
      <c r="M2803" s="6" t="str">
        <f>"30x50"</f>
        <v>30x50</v>
      </c>
      <c r="N2803" s="6" t="str">
        <f>"5602972281071"</f>
        <v>5602972281071</v>
      </c>
      <c r="O2803" s="8">
        <v>6</v>
      </c>
      <c r="R2803" s="8">
        <v>0</v>
      </c>
      <c r="U2803" s="8">
        <v>0</v>
      </c>
      <c r="X2803" s="8">
        <v>0</v>
      </c>
      <c r="Z2803" s="8">
        <v>0</v>
      </c>
      <c r="AC2803" s="8">
        <v>0</v>
      </c>
      <c r="AF2803" s="8">
        <v>0</v>
      </c>
      <c r="AN2803" s="8">
        <v>6</v>
      </c>
      <c r="AO2803" s="8">
        <v>0</v>
      </c>
    </row>
    <row r="2804" spans="1:41" x14ac:dyDescent="0.25">
      <c r="A2804" s="6" t="str">
        <f>"522-2026000348"</f>
        <v>522-2026000348</v>
      </c>
      <c r="B2804" s="6" t="str">
        <f t="shared" si="642"/>
        <v>EL CORTE</v>
      </c>
      <c r="C2804" s="7">
        <v>46041</v>
      </c>
      <c r="D2804" s="7">
        <v>46044</v>
      </c>
      <c r="E2804" s="8">
        <v>2</v>
      </c>
      <c r="F2804" s="6" t="str">
        <f>"94860701_07026"</f>
        <v>94860701_07026</v>
      </c>
      <c r="G2804" s="6" t="str">
        <f t="shared" si="643"/>
        <v>F310631650000000</v>
      </c>
      <c r="H2804" s="6" t="str">
        <f t="shared" si="644"/>
        <v>PLAR 6316 FD - 500 g</v>
      </c>
      <c r="I2804" s="6" t="str">
        <f>"200901"</f>
        <v>200901</v>
      </c>
      <c r="J2804" s="6" t="str">
        <f>"ROSA 901"</f>
        <v>ROSA 901</v>
      </c>
      <c r="K2804" s="6" t="str">
        <f>"0520"</f>
        <v>0520</v>
      </c>
      <c r="L2804" s="6" t="str">
        <f>"Toalhetes"</f>
        <v>Toalhetes</v>
      </c>
      <c r="M2804" s="6" t="str">
        <f>"30x50"</f>
        <v>30x50</v>
      </c>
      <c r="N2804" s="6" t="str">
        <f>"5602972281101"</f>
        <v>5602972281101</v>
      </c>
      <c r="O2804" s="8">
        <v>6</v>
      </c>
      <c r="R2804" s="8">
        <v>0</v>
      </c>
      <c r="U2804" s="8">
        <v>0</v>
      </c>
      <c r="X2804" s="8">
        <v>0</v>
      </c>
      <c r="Z2804" s="8">
        <v>0</v>
      </c>
      <c r="AC2804" s="8">
        <v>0</v>
      </c>
      <c r="AF2804" s="8">
        <v>0</v>
      </c>
      <c r="AN2804" s="8">
        <v>0</v>
      </c>
      <c r="AO2804" s="8">
        <v>6</v>
      </c>
    </row>
    <row r="2805" spans="1:41" x14ac:dyDescent="0.25">
      <c r="A2805" s="6" t="str">
        <f>"522-2026000348"</f>
        <v>522-2026000348</v>
      </c>
      <c r="B2805" s="6" t="str">
        <f t="shared" si="642"/>
        <v>EL CORTE</v>
      </c>
      <c r="C2805" s="7">
        <v>46041</v>
      </c>
      <c r="D2805" s="7">
        <v>46044</v>
      </c>
      <c r="E2805" s="8">
        <v>3</v>
      </c>
      <c r="F2805" s="6" t="str">
        <f>"94860701_07026"</f>
        <v>94860701_07026</v>
      </c>
      <c r="G2805" s="6" t="str">
        <f t="shared" si="643"/>
        <v>F310631650000000</v>
      </c>
      <c r="H2805" s="6" t="str">
        <f t="shared" si="644"/>
        <v>PLAR 6316 FD - 500 g</v>
      </c>
      <c r="I2805" s="6" t="str">
        <f>"200510"</f>
        <v>200510</v>
      </c>
      <c r="J2805" s="6" t="str">
        <f>"VERDE 510"</f>
        <v>VERDE 510</v>
      </c>
      <c r="K2805" s="6" t="str">
        <f>"2020"</f>
        <v>2020</v>
      </c>
      <c r="L2805" s="6" t="str">
        <f>"Lençóis"</f>
        <v>Lençóis</v>
      </c>
      <c r="M2805" s="6" t="str">
        <f>"100x150"</f>
        <v>100x150</v>
      </c>
      <c r="N2805" s="6" t="str">
        <f>"5602972281156"</f>
        <v>5602972281156</v>
      </c>
      <c r="O2805" s="8">
        <v>3</v>
      </c>
      <c r="R2805" s="8">
        <v>0</v>
      </c>
      <c r="U2805" s="8">
        <v>0</v>
      </c>
      <c r="X2805" s="8">
        <v>0</v>
      </c>
      <c r="Z2805" s="8">
        <v>0</v>
      </c>
      <c r="AC2805" s="8">
        <v>0</v>
      </c>
      <c r="AF2805" s="8">
        <v>0</v>
      </c>
      <c r="AN2805" s="8">
        <v>0</v>
      </c>
      <c r="AO2805" s="8">
        <v>3</v>
      </c>
    </row>
    <row r="2806" spans="1:41" x14ac:dyDescent="0.25">
      <c r="A2806" s="6" t="str">
        <f t="shared" ref="A2806:A2811" si="651">"522-2026000349"</f>
        <v>522-2026000349</v>
      </c>
      <c r="B2806" s="6" t="str">
        <f t="shared" si="642"/>
        <v>EL CORTE</v>
      </c>
      <c r="C2806" s="7">
        <v>46041</v>
      </c>
      <c r="D2806" s="7">
        <v>46044</v>
      </c>
      <c r="E2806" s="8">
        <v>1</v>
      </c>
      <c r="F2806" s="6" t="str">
        <f t="shared" ref="F2806:F2811" si="652">"94861601_07026"</f>
        <v>94861601_07026</v>
      </c>
      <c r="G2806" s="6" t="str">
        <f t="shared" si="643"/>
        <v>F310631650000000</v>
      </c>
      <c r="H2806" s="6" t="str">
        <f t="shared" si="644"/>
        <v>PLAR 6316 FD - 500 g</v>
      </c>
      <c r="I2806" s="6" t="str">
        <f>"201855"</f>
        <v>201855</v>
      </c>
      <c r="J2806" s="6" t="str">
        <f>"AZUL 1855"</f>
        <v>AZUL 1855</v>
      </c>
      <c r="K2806" s="6" t="str">
        <f>"0520"</f>
        <v>0520</v>
      </c>
      <c r="L2806" s="6" t="str">
        <f>"Toalhetes"</f>
        <v>Toalhetes</v>
      </c>
      <c r="M2806" s="6" t="str">
        <f>"30x50"</f>
        <v>30x50</v>
      </c>
      <c r="N2806" s="6" t="str">
        <f>"5602972281040"</f>
        <v>5602972281040</v>
      </c>
      <c r="O2806" s="8">
        <v>6</v>
      </c>
      <c r="R2806" s="8">
        <v>0</v>
      </c>
      <c r="U2806" s="8">
        <v>0</v>
      </c>
      <c r="X2806" s="8">
        <v>0</v>
      </c>
      <c r="Z2806" s="8">
        <v>0</v>
      </c>
      <c r="AC2806" s="8">
        <v>0</v>
      </c>
      <c r="AF2806" s="8">
        <v>0</v>
      </c>
      <c r="AN2806" s="8">
        <v>0</v>
      </c>
      <c r="AO2806" s="8">
        <v>6</v>
      </c>
    </row>
    <row r="2807" spans="1:41" x14ac:dyDescent="0.25">
      <c r="A2807" s="6" t="str">
        <f t="shared" si="651"/>
        <v>522-2026000349</v>
      </c>
      <c r="B2807" s="6" t="str">
        <f t="shared" si="642"/>
        <v>EL CORTE</v>
      </c>
      <c r="C2807" s="7">
        <v>46041</v>
      </c>
      <c r="D2807" s="7">
        <v>46044</v>
      </c>
      <c r="E2807" s="8">
        <v>2</v>
      </c>
      <c r="F2807" s="6" t="str">
        <f t="shared" si="652"/>
        <v>94861601_07026</v>
      </c>
      <c r="G2807" s="6" t="str">
        <f t="shared" si="643"/>
        <v>F310631650000000</v>
      </c>
      <c r="H2807" s="6" t="str">
        <f t="shared" si="644"/>
        <v>PLAR 6316 FD - 500 g</v>
      </c>
      <c r="I2807" s="6" t="str">
        <f>"201855"</f>
        <v>201855</v>
      </c>
      <c r="J2807" s="6" t="str">
        <f>"AZUL 1855"</f>
        <v>AZUL 1855</v>
      </c>
      <c r="K2807" s="6" t="str">
        <f>"2020"</f>
        <v>2020</v>
      </c>
      <c r="L2807" s="6" t="str">
        <f>"Lençóis"</f>
        <v>Lençóis</v>
      </c>
      <c r="M2807" s="6" t="str">
        <f>"100x150"</f>
        <v>100x150</v>
      </c>
      <c r="N2807" s="6" t="str">
        <f>"5602972281064"</f>
        <v>5602972281064</v>
      </c>
      <c r="O2807" s="8">
        <v>3</v>
      </c>
      <c r="R2807" s="8">
        <v>0</v>
      </c>
      <c r="U2807" s="8">
        <v>0</v>
      </c>
      <c r="X2807" s="8">
        <v>0</v>
      </c>
      <c r="Z2807" s="8">
        <v>0</v>
      </c>
      <c r="AC2807" s="8">
        <v>0</v>
      </c>
      <c r="AF2807" s="8">
        <v>0</v>
      </c>
      <c r="AN2807" s="8">
        <v>0</v>
      </c>
      <c r="AO2807" s="8">
        <v>3</v>
      </c>
    </row>
    <row r="2808" spans="1:41" x14ac:dyDescent="0.25">
      <c r="A2808" s="6" t="str">
        <f t="shared" si="651"/>
        <v>522-2026000349</v>
      </c>
      <c r="B2808" s="6" t="str">
        <f t="shared" si="642"/>
        <v>EL CORTE</v>
      </c>
      <c r="C2808" s="7">
        <v>46041</v>
      </c>
      <c r="D2808" s="7">
        <v>46044</v>
      </c>
      <c r="E2808" s="8">
        <v>3</v>
      </c>
      <c r="F2808" s="6" t="str">
        <f t="shared" si="652"/>
        <v>94861601_07026</v>
      </c>
      <c r="G2808" s="6" t="str">
        <f t="shared" si="643"/>
        <v>F310631650000000</v>
      </c>
      <c r="H2808" s="6" t="str">
        <f t="shared" si="644"/>
        <v>PLAR 6316 FD - 500 g</v>
      </c>
      <c r="I2808" s="6" t="str">
        <f>"202575"</f>
        <v>202575</v>
      </c>
      <c r="J2808" s="6" t="str">
        <f>"BEGE 2575"</f>
        <v>BEGE 2575</v>
      </c>
      <c r="K2808" s="6" t="str">
        <f>"2020"</f>
        <v>2020</v>
      </c>
      <c r="L2808" s="6" t="str">
        <f>"Lençóis"</f>
        <v>Lençóis</v>
      </c>
      <c r="M2808" s="6" t="str">
        <f>"100x150"</f>
        <v>100x150</v>
      </c>
      <c r="N2808" s="6" t="str">
        <f>"5602972281095"</f>
        <v>5602972281095</v>
      </c>
      <c r="O2808" s="8">
        <v>3</v>
      </c>
      <c r="R2808" s="8">
        <v>0</v>
      </c>
      <c r="U2808" s="8">
        <v>0</v>
      </c>
      <c r="X2808" s="8">
        <v>0</v>
      </c>
      <c r="Z2808" s="8">
        <v>0</v>
      </c>
      <c r="AC2808" s="8">
        <v>0</v>
      </c>
      <c r="AF2808" s="8">
        <v>0</v>
      </c>
      <c r="AN2808" s="8">
        <v>0</v>
      </c>
      <c r="AO2808" s="8">
        <v>3</v>
      </c>
    </row>
    <row r="2809" spans="1:41" x14ac:dyDescent="0.25">
      <c r="A2809" s="6" t="str">
        <f t="shared" si="651"/>
        <v>522-2026000349</v>
      </c>
      <c r="B2809" s="6" t="str">
        <f t="shared" si="642"/>
        <v>EL CORTE</v>
      </c>
      <c r="C2809" s="7">
        <v>46041</v>
      </c>
      <c r="D2809" s="7">
        <v>46044</v>
      </c>
      <c r="E2809" s="8">
        <v>4</v>
      </c>
      <c r="F2809" s="6" t="str">
        <f t="shared" si="652"/>
        <v>94861601_07026</v>
      </c>
      <c r="G2809" s="6" t="str">
        <f t="shared" si="643"/>
        <v>F310631650000000</v>
      </c>
      <c r="H2809" s="6" t="str">
        <f t="shared" si="644"/>
        <v>PLAR 6316 FD - 500 g</v>
      </c>
      <c r="I2809" s="6" t="str">
        <f>"200901"</f>
        <v>200901</v>
      </c>
      <c r="J2809" s="6" t="str">
        <f>"ROSA 901"</f>
        <v>ROSA 901</v>
      </c>
      <c r="K2809" s="6" t="str">
        <f>"1024"</f>
        <v>1024</v>
      </c>
      <c r="L2809" s="6" t="str">
        <f>"Toalhas"</f>
        <v>Toalhas</v>
      </c>
      <c r="M2809" s="6" t="str">
        <f>"50x100"</f>
        <v>50x100</v>
      </c>
      <c r="N2809" s="6" t="str">
        <f>"5602972281118"</f>
        <v>5602972281118</v>
      </c>
      <c r="O2809" s="8">
        <v>6</v>
      </c>
      <c r="R2809" s="8">
        <v>0</v>
      </c>
      <c r="U2809" s="8">
        <v>0</v>
      </c>
      <c r="X2809" s="8">
        <v>0</v>
      </c>
      <c r="Z2809" s="8">
        <v>0</v>
      </c>
      <c r="AC2809" s="8">
        <v>0</v>
      </c>
      <c r="AF2809" s="8">
        <v>0</v>
      </c>
      <c r="AN2809" s="8">
        <v>6</v>
      </c>
      <c r="AO2809" s="8">
        <v>0</v>
      </c>
    </row>
    <row r="2810" spans="1:41" x14ac:dyDescent="0.25">
      <c r="A2810" s="6" t="str">
        <f t="shared" si="651"/>
        <v>522-2026000349</v>
      </c>
      <c r="B2810" s="6" t="str">
        <f t="shared" si="642"/>
        <v>EL CORTE</v>
      </c>
      <c r="C2810" s="7">
        <v>46041</v>
      </c>
      <c r="D2810" s="7">
        <v>46044</v>
      </c>
      <c r="E2810" s="8">
        <v>5</v>
      </c>
      <c r="F2810" s="6" t="str">
        <f t="shared" si="652"/>
        <v>94861601_07026</v>
      </c>
      <c r="G2810" s="6" t="str">
        <f t="shared" si="643"/>
        <v>F310631650000000</v>
      </c>
      <c r="H2810" s="6" t="str">
        <f t="shared" si="644"/>
        <v>PLAR 6316 FD - 500 g</v>
      </c>
      <c r="I2810" s="6" t="str">
        <f>"200901"</f>
        <v>200901</v>
      </c>
      <c r="J2810" s="6" t="str">
        <f>"ROSA 901"</f>
        <v>ROSA 901</v>
      </c>
      <c r="K2810" s="6" t="str">
        <f>"2020"</f>
        <v>2020</v>
      </c>
      <c r="L2810" s="6" t="str">
        <f>"Lençóis"</f>
        <v>Lençóis</v>
      </c>
      <c r="M2810" s="6" t="str">
        <f>"100x150"</f>
        <v>100x150</v>
      </c>
      <c r="N2810" s="6" t="str">
        <f>"5602972281125"</f>
        <v>5602972281125</v>
      </c>
      <c r="O2810" s="8">
        <v>3</v>
      </c>
      <c r="R2810" s="8">
        <v>0</v>
      </c>
      <c r="U2810" s="8">
        <v>0</v>
      </c>
      <c r="X2810" s="8">
        <v>0</v>
      </c>
      <c r="Z2810" s="8">
        <v>0</v>
      </c>
      <c r="AC2810" s="8">
        <v>0</v>
      </c>
      <c r="AF2810" s="8">
        <v>0</v>
      </c>
      <c r="AN2810" s="8">
        <v>0</v>
      </c>
      <c r="AO2810" s="8">
        <v>3</v>
      </c>
    </row>
    <row r="2811" spans="1:41" x14ac:dyDescent="0.25">
      <c r="A2811" s="6" t="str">
        <f t="shared" si="651"/>
        <v>522-2026000349</v>
      </c>
      <c r="B2811" s="6" t="str">
        <f t="shared" si="642"/>
        <v>EL CORTE</v>
      </c>
      <c r="C2811" s="7">
        <v>46041</v>
      </c>
      <c r="D2811" s="7">
        <v>46044</v>
      </c>
      <c r="E2811" s="8">
        <v>6</v>
      </c>
      <c r="F2811" s="6" t="str">
        <f t="shared" si="652"/>
        <v>94861601_07026</v>
      </c>
      <c r="G2811" s="6" t="str">
        <f t="shared" si="643"/>
        <v>F310631650000000</v>
      </c>
      <c r="H2811" s="6" t="str">
        <f t="shared" si="644"/>
        <v>PLAR 6316 FD - 500 g</v>
      </c>
      <c r="I2811" s="6" t="str">
        <f>"200510"</f>
        <v>200510</v>
      </c>
      <c r="J2811" s="6" t="str">
        <f>"VERDE 510"</f>
        <v>VERDE 510</v>
      </c>
      <c r="K2811" s="6" t="str">
        <f>"2020"</f>
        <v>2020</v>
      </c>
      <c r="L2811" s="6" t="str">
        <f>"Lençóis"</f>
        <v>Lençóis</v>
      </c>
      <c r="M2811" s="6" t="str">
        <f>"100x150"</f>
        <v>100x150</v>
      </c>
      <c r="N2811" s="6" t="str">
        <f>"5602972281156"</f>
        <v>5602972281156</v>
      </c>
      <c r="O2811" s="8">
        <v>6</v>
      </c>
      <c r="R2811" s="8">
        <v>0</v>
      </c>
      <c r="U2811" s="8">
        <v>0</v>
      </c>
      <c r="X2811" s="8">
        <v>0</v>
      </c>
      <c r="Z2811" s="8">
        <v>0</v>
      </c>
      <c r="AC2811" s="8">
        <v>0</v>
      </c>
      <c r="AF2811" s="8">
        <v>0</v>
      </c>
      <c r="AN2811" s="8">
        <v>0</v>
      </c>
      <c r="AO2811" s="8">
        <v>6</v>
      </c>
    </row>
    <row r="2812" spans="1:41" x14ac:dyDescent="0.25">
      <c r="A2812" s="6" t="str">
        <f>"522-2026000350"</f>
        <v>522-2026000350</v>
      </c>
      <c r="B2812" s="6" t="str">
        <f t="shared" si="642"/>
        <v>EL CORTE</v>
      </c>
      <c r="C2812" s="7">
        <v>46041</v>
      </c>
      <c r="D2812" s="7">
        <v>46044</v>
      </c>
      <c r="E2812" s="8">
        <v>1</v>
      </c>
      <c r="F2812" s="6" t="str">
        <f>"94860901_07026"</f>
        <v>94860901_07026</v>
      </c>
      <c r="G2812" s="6" t="str">
        <f t="shared" si="643"/>
        <v>F310631650000000</v>
      </c>
      <c r="H2812" s="6" t="str">
        <f t="shared" si="644"/>
        <v>PLAR 6316 FD - 500 g</v>
      </c>
      <c r="I2812" s="6" t="str">
        <f>"202575"</f>
        <v>202575</v>
      </c>
      <c r="J2812" s="6" t="str">
        <f>"BEGE 2575"</f>
        <v>BEGE 2575</v>
      </c>
      <c r="K2812" s="6" t="str">
        <f>"2020"</f>
        <v>2020</v>
      </c>
      <c r="L2812" s="6" t="str">
        <f>"Lençóis"</f>
        <v>Lençóis</v>
      </c>
      <c r="M2812" s="6" t="str">
        <f>"100x150"</f>
        <v>100x150</v>
      </c>
      <c r="N2812" s="6" t="str">
        <f>"5602972281095"</f>
        <v>5602972281095</v>
      </c>
      <c r="O2812" s="8">
        <v>3</v>
      </c>
      <c r="R2812" s="8">
        <v>0</v>
      </c>
      <c r="U2812" s="8">
        <v>0</v>
      </c>
      <c r="X2812" s="8">
        <v>0</v>
      </c>
      <c r="Z2812" s="8">
        <v>0</v>
      </c>
      <c r="AC2812" s="8">
        <v>0</v>
      </c>
      <c r="AF2812" s="8">
        <v>0</v>
      </c>
      <c r="AN2812" s="8">
        <v>0</v>
      </c>
      <c r="AO2812" s="8">
        <v>3</v>
      </c>
    </row>
    <row r="2813" spans="1:41" x14ac:dyDescent="0.25">
      <c r="A2813" s="6" t="str">
        <f>"522-2026000350"</f>
        <v>522-2026000350</v>
      </c>
      <c r="B2813" s="6" t="str">
        <f t="shared" si="642"/>
        <v>EL CORTE</v>
      </c>
      <c r="C2813" s="7">
        <v>46041</v>
      </c>
      <c r="D2813" s="7">
        <v>46044</v>
      </c>
      <c r="E2813" s="8">
        <v>2</v>
      </c>
      <c r="F2813" s="6" t="str">
        <f>"94860901_07026"</f>
        <v>94860901_07026</v>
      </c>
      <c r="G2813" s="6" t="str">
        <f t="shared" si="643"/>
        <v>F310631650000000</v>
      </c>
      <c r="H2813" s="6" t="str">
        <f t="shared" si="644"/>
        <v>PLAR 6316 FD - 500 g</v>
      </c>
      <c r="I2813" s="6" t="str">
        <f>"200901"</f>
        <v>200901</v>
      </c>
      <c r="J2813" s="6" t="str">
        <f>"ROSA 901"</f>
        <v>ROSA 901</v>
      </c>
      <c r="K2813" s="6" t="str">
        <f>"0520"</f>
        <v>0520</v>
      </c>
      <c r="L2813" s="6" t="str">
        <f>"Toalhetes"</f>
        <v>Toalhetes</v>
      </c>
      <c r="M2813" s="6" t="str">
        <f>"30x50"</f>
        <v>30x50</v>
      </c>
      <c r="N2813" s="6" t="str">
        <f>"5602972281101"</f>
        <v>5602972281101</v>
      </c>
      <c r="O2813" s="8">
        <v>6</v>
      </c>
      <c r="R2813" s="8">
        <v>0</v>
      </c>
      <c r="U2813" s="8">
        <v>0</v>
      </c>
      <c r="X2813" s="8">
        <v>0</v>
      </c>
      <c r="Z2813" s="8">
        <v>0</v>
      </c>
      <c r="AC2813" s="8">
        <v>0</v>
      </c>
      <c r="AF2813" s="8">
        <v>0</v>
      </c>
      <c r="AN2813" s="8">
        <v>0</v>
      </c>
      <c r="AO2813" s="8">
        <v>6</v>
      </c>
    </row>
    <row r="2814" spans="1:41" x14ac:dyDescent="0.25">
      <c r="A2814" s="6" t="str">
        <f>"522-2026000350"</f>
        <v>522-2026000350</v>
      </c>
      <c r="B2814" s="6" t="str">
        <f t="shared" si="642"/>
        <v>EL CORTE</v>
      </c>
      <c r="C2814" s="7">
        <v>46041</v>
      </c>
      <c r="D2814" s="7">
        <v>46044</v>
      </c>
      <c r="E2814" s="8">
        <v>3</v>
      </c>
      <c r="F2814" s="6" t="str">
        <f>"94860901_07026"</f>
        <v>94860901_07026</v>
      </c>
      <c r="G2814" s="6" t="str">
        <f t="shared" si="643"/>
        <v>F310631650000000</v>
      </c>
      <c r="H2814" s="6" t="str">
        <f t="shared" si="644"/>
        <v>PLAR 6316 FD - 500 g</v>
      </c>
      <c r="I2814" s="6" t="str">
        <f>"200901"</f>
        <v>200901</v>
      </c>
      <c r="J2814" s="6" t="str">
        <f>"ROSA 901"</f>
        <v>ROSA 901</v>
      </c>
      <c r="K2814" s="6" t="str">
        <f>"2020"</f>
        <v>2020</v>
      </c>
      <c r="L2814" s="6" t="str">
        <f>"Lençóis"</f>
        <v>Lençóis</v>
      </c>
      <c r="M2814" s="6" t="str">
        <f>"100x150"</f>
        <v>100x150</v>
      </c>
      <c r="N2814" s="6" t="str">
        <f>"5602972281125"</f>
        <v>5602972281125</v>
      </c>
      <c r="O2814" s="8">
        <v>3</v>
      </c>
      <c r="R2814" s="8">
        <v>0</v>
      </c>
      <c r="U2814" s="8">
        <v>0</v>
      </c>
      <c r="X2814" s="8">
        <v>0</v>
      </c>
      <c r="Z2814" s="8">
        <v>0</v>
      </c>
      <c r="AC2814" s="8">
        <v>0</v>
      </c>
      <c r="AF2814" s="8">
        <v>0</v>
      </c>
      <c r="AN2814" s="8">
        <v>0</v>
      </c>
      <c r="AO2814" s="8">
        <v>3</v>
      </c>
    </row>
    <row r="2815" spans="1:41" x14ac:dyDescent="0.25">
      <c r="A2815" s="6" t="str">
        <f>"522-2026000351"</f>
        <v>522-2026000351</v>
      </c>
      <c r="B2815" s="6" t="str">
        <f t="shared" si="642"/>
        <v>EL CORTE</v>
      </c>
      <c r="C2815" s="7">
        <v>46041</v>
      </c>
      <c r="D2815" s="7">
        <v>46044</v>
      </c>
      <c r="E2815" s="8">
        <v>1</v>
      </c>
      <c r="F2815" s="6" t="str">
        <f>"33330801_07026"</f>
        <v>33330801_07026</v>
      </c>
      <c r="G2815" s="6" t="str">
        <f t="shared" si="643"/>
        <v>F310631650000000</v>
      </c>
      <c r="H2815" s="6" t="str">
        <f t="shared" si="644"/>
        <v>PLAR 6316 FD - 500 g</v>
      </c>
      <c r="I2815" s="6" t="str">
        <f>"200901"</f>
        <v>200901</v>
      </c>
      <c r="J2815" s="6" t="str">
        <f>"ROSA 901"</f>
        <v>ROSA 901</v>
      </c>
      <c r="K2815" s="6" t="str">
        <f>"2020"</f>
        <v>2020</v>
      </c>
      <c r="L2815" s="6" t="str">
        <f>"Lençóis"</f>
        <v>Lençóis</v>
      </c>
      <c r="M2815" s="6" t="str">
        <f>"100x150"</f>
        <v>100x150</v>
      </c>
      <c r="N2815" s="6" t="str">
        <f>"5602972281125"</f>
        <v>5602972281125</v>
      </c>
      <c r="O2815" s="8">
        <v>3</v>
      </c>
      <c r="R2815" s="8">
        <v>0</v>
      </c>
      <c r="U2815" s="8">
        <v>0</v>
      </c>
      <c r="X2815" s="8">
        <v>0</v>
      </c>
      <c r="Z2815" s="8">
        <v>0</v>
      </c>
      <c r="AC2815" s="8">
        <v>0</v>
      </c>
      <c r="AF2815" s="8">
        <v>0</v>
      </c>
      <c r="AN2815" s="8">
        <v>0</v>
      </c>
      <c r="AO2815" s="8">
        <v>3</v>
      </c>
    </row>
    <row r="2816" spans="1:41" x14ac:dyDescent="0.25">
      <c r="A2816" s="6" t="str">
        <f>"522-2026000352"</f>
        <v>522-2026000352</v>
      </c>
      <c r="B2816" s="6" t="str">
        <f t="shared" si="642"/>
        <v>EL CORTE</v>
      </c>
      <c r="C2816" s="7">
        <v>46041</v>
      </c>
      <c r="D2816" s="7">
        <v>46044</v>
      </c>
      <c r="E2816" s="8">
        <v>1</v>
      </c>
      <c r="F2816" s="6" t="str">
        <f>"33330701_07026"</f>
        <v>33330701_07026</v>
      </c>
      <c r="G2816" s="6" t="str">
        <f t="shared" si="643"/>
        <v>F310631650000000</v>
      </c>
      <c r="H2816" s="6" t="str">
        <f t="shared" si="644"/>
        <v>PLAR 6316 FD - 500 g</v>
      </c>
      <c r="I2816" s="6" t="str">
        <f>"202575"</f>
        <v>202575</v>
      </c>
      <c r="J2816" s="6" t="str">
        <f>"BEGE 2575"</f>
        <v>BEGE 2575</v>
      </c>
      <c r="K2816" s="6" t="str">
        <f>"2020"</f>
        <v>2020</v>
      </c>
      <c r="L2816" s="6" t="str">
        <f>"Lençóis"</f>
        <v>Lençóis</v>
      </c>
      <c r="M2816" s="6" t="str">
        <f>"100x150"</f>
        <v>100x150</v>
      </c>
      <c r="N2816" s="6" t="str">
        <f>"5602972281095"</f>
        <v>5602972281095</v>
      </c>
      <c r="O2816" s="8">
        <v>3</v>
      </c>
      <c r="R2816" s="8">
        <v>0</v>
      </c>
      <c r="U2816" s="8">
        <v>0</v>
      </c>
      <c r="X2816" s="8">
        <v>0</v>
      </c>
      <c r="Z2816" s="8">
        <v>0</v>
      </c>
      <c r="AC2816" s="8">
        <v>0</v>
      </c>
      <c r="AF2816" s="8">
        <v>0</v>
      </c>
      <c r="AN2816" s="8">
        <v>0</v>
      </c>
      <c r="AO2816" s="8">
        <v>3</v>
      </c>
    </row>
    <row r="2817" spans="1:41" x14ac:dyDescent="0.25">
      <c r="A2817" s="6" t="str">
        <f>"522-2026000352"</f>
        <v>522-2026000352</v>
      </c>
      <c r="B2817" s="6" t="str">
        <f t="shared" si="642"/>
        <v>EL CORTE</v>
      </c>
      <c r="C2817" s="7">
        <v>46041</v>
      </c>
      <c r="D2817" s="7">
        <v>46044</v>
      </c>
      <c r="E2817" s="8">
        <v>2</v>
      </c>
      <c r="F2817" s="6" t="str">
        <f>"33330701_07026"</f>
        <v>33330701_07026</v>
      </c>
      <c r="G2817" s="6" t="str">
        <f t="shared" si="643"/>
        <v>F310631650000000</v>
      </c>
      <c r="H2817" s="6" t="str">
        <f t="shared" si="644"/>
        <v>PLAR 6316 FD - 500 g</v>
      </c>
      <c r="I2817" s="6" t="str">
        <f>"200901"</f>
        <v>200901</v>
      </c>
      <c r="J2817" s="6" t="str">
        <f>"ROSA 901"</f>
        <v>ROSA 901</v>
      </c>
      <c r="K2817" s="6" t="str">
        <f>"1024"</f>
        <v>1024</v>
      </c>
      <c r="L2817" s="6" t="str">
        <f>"Toalhas"</f>
        <v>Toalhas</v>
      </c>
      <c r="M2817" s="6" t="str">
        <f>"50x100"</f>
        <v>50x100</v>
      </c>
      <c r="N2817" s="6" t="str">
        <f>"5602972281118"</f>
        <v>5602972281118</v>
      </c>
      <c r="O2817" s="8">
        <v>6</v>
      </c>
      <c r="R2817" s="8">
        <v>0</v>
      </c>
      <c r="U2817" s="8">
        <v>0</v>
      </c>
      <c r="X2817" s="8">
        <v>0</v>
      </c>
      <c r="Z2817" s="8">
        <v>0</v>
      </c>
      <c r="AC2817" s="8">
        <v>0</v>
      </c>
      <c r="AF2817" s="8">
        <v>0</v>
      </c>
      <c r="AN2817" s="8">
        <v>6</v>
      </c>
      <c r="AO2817" s="8">
        <v>0</v>
      </c>
    </row>
    <row r="2818" spans="1:41" x14ac:dyDescent="0.25">
      <c r="A2818" s="6" t="str">
        <f>"522-2026000352"</f>
        <v>522-2026000352</v>
      </c>
      <c r="B2818" s="6" t="str">
        <f t="shared" si="642"/>
        <v>EL CORTE</v>
      </c>
      <c r="C2818" s="7">
        <v>46041</v>
      </c>
      <c r="D2818" s="7">
        <v>46044</v>
      </c>
      <c r="E2818" s="8">
        <v>3</v>
      </c>
      <c r="F2818" s="6" t="str">
        <f>"33330701_07026"</f>
        <v>33330701_07026</v>
      </c>
      <c r="G2818" s="6" t="str">
        <f t="shared" si="643"/>
        <v>F310631650000000</v>
      </c>
      <c r="H2818" s="6" t="str">
        <f t="shared" si="644"/>
        <v>PLAR 6316 FD - 500 g</v>
      </c>
      <c r="I2818" s="6" t="str">
        <f>"200510"</f>
        <v>200510</v>
      </c>
      <c r="J2818" s="6" t="str">
        <f>"VERDE 510"</f>
        <v>VERDE 510</v>
      </c>
      <c r="K2818" s="6" t="str">
        <f>"1024"</f>
        <v>1024</v>
      </c>
      <c r="L2818" s="6" t="str">
        <f>"Toalhas"</f>
        <v>Toalhas</v>
      </c>
      <c r="M2818" s="6" t="str">
        <f>"50x100"</f>
        <v>50x100</v>
      </c>
      <c r="N2818" s="6" t="str">
        <f>"5602972281149"</f>
        <v>5602972281149</v>
      </c>
      <c r="O2818" s="8">
        <v>6</v>
      </c>
      <c r="R2818" s="8">
        <v>0</v>
      </c>
      <c r="U2818" s="8">
        <v>0</v>
      </c>
      <c r="X2818" s="8">
        <v>0</v>
      </c>
      <c r="Z2818" s="8">
        <v>0</v>
      </c>
      <c r="AC2818" s="8">
        <v>0</v>
      </c>
      <c r="AF2818" s="8">
        <v>0</v>
      </c>
      <c r="AN2818" s="8">
        <v>6</v>
      </c>
      <c r="AO2818" s="8">
        <v>0</v>
      </c>
    </row>
    <row r="2819" spans="1:41" x14ac:dyDescent="0.25">
      <c r="A2819" s="6" t="str">
        <f>"522-2026000352"</f>
        <v>522-2026000352</v>
      </c>
      <c r="B2819" s="6" t="str">
        <f t="shared" si="642"/>
        <v>EL CORTE</v>
      </c>
      <c r="C2819" s="7">
        <v>46041</v>
      </c>
      <c r="D2819" s="7">
        <v>46044</v>
      </c>
      <c r="E2819" s="8">
        <v>4</v>
      </c>
      <c r="F2819" s="6" t="str">
        <f>"33330701_07026"</f>
        <v>33330701_07026</v>
      </c>
      <c r="G2819" s="6" t="str">
        <f t="shared" si="643"/>
        <v>F310631650000000</v>
      </c>
      <c r="H2819" s="6" t="str">
        <f t="shared" si="644"/>
        <v>PLAR 6316 FD - 500 g</v>
      </c>
      <c r="I2819" s="6" t="str">
        <f>"200510"</f>
        <v>200510</v>
      </c>
      <c r="J2819" s="6" t="str">
        <f>"VERDE 510"</f>
        <v>VERDE 510</v>
      </c>
      <c r="K2819" s="6" t="str">
        <f>"2020"</f>
        <v>2020</v>
      </c>
      <c r="L2819" s="6" t="str">
        <f>"Lençóis"</f>
        <v>Lençóis</v>
      </c>
      <c r="M2819" s="6" t="str">
        <f>"100x150"</f>
        <v>100x150</v>
      </c>
      <c r="N2819" s="6" t="str">
        <f>"5602972281156"</f>
        <v>5602972281156</v>
      </c>
      <c r="O2819" s="8">
        <v>6</v>
      </c>
      <c r="R2819" s="8">
        <v>0</v>
      </c>
      <c r="U2819" s="8">
        <v>0</v>
      </c>
      <c r="X2819" s="8">
        <v>0</v>
      </c>
      <c r="Z2819" s="8">
        <v>0</v>
      </c>
      <c r="AC2819" s="8">
        <v>0</v>
      </c>
      <c r="AF2819" s="8">
        <v>0</v>
      </c>
      <c r="AN2819" s="8">
        <v>0</v>
      </c>
      <c r="AO2819" s="8">
        <v>6</v>
      </c>
    </row>
    <row r="2820" spans="1:41" x14ac:dyDescent="0.25">
      <c r="A2820" s="6" t="str">
        <f>"522-2026000353"</f>
        <v>522-2026000353</v>
      </c>
      <c r="B2820" s="6" t="str">
        <f t="shared" si="642"/>
        <v>EL CORTE</v>
      </c>
      <c r="C2820" s="7">
        <v>46042</v>
      </c>
      <c r="D2820" s="7">
        <v>46045</v>
      </c>
      <c r="E2820" s="8">
        <v>1</v>
      </c>
      <c r="F2820" s="6" t="str">
        <f>"94877601_07026"</f>
        <v>94877601_07026</v>
      </c>
      <c r="G2820" s="6" t="str">
        <f t="shared" si="643"/>
        <v>F310631650000000</v>
      </c>
      <c r="H2820" s="6" t="str">
        <f t="shared" si="644"/>
        <v>PLAR 6316 FD - 500 g</v>
      </c>
      <c r="I2820" s="6" t="str">
        <f>"200510"</f>
        <v>200510</v>
      </c>
      <c r="J2820" s="6" t="str">
        <f>"VERDE 510"</f>
        <v>VERDE 510</v>
      </c>
      <c r="K2820" s="6" t="str">
        <f>"1024"</f>
        <v>1024</v>
      </c>
      <c r="L2820" s="6" t="str">
        <f>"Toalhas"</f>
        <v>Toalhas</v>
      </c>
      <c r="M2820" s="6" t="str">
        <f>"50x100"</f>
        <v>50x100</v>
      </c>
      <c r="N2820" s="6" t="str">
        <f>"5602972281149"</f>
        <v>5602972281149</v>
      </c>
      <c r="O2820" s="8">
        <v>6</v>
      </c>
      <c r="R2820" s="8">
        <v>0</v>
      </c>
      <c r="U2820" s="8">
        <v>0</v>
      </c>
      <c r="X2820" s="8">
        <v>0</v>
      </c>
      <c r="Z2820" s="8">
        <v>0</v>
      </c>
      <c r="AC2820" s="8">
        <v>0</v>
      </c>
      <c r="AF2820" s="8">
        <v>0</v>
      </c>
      <c r="AN2820" s="8">
        <v>6</v>
      </c>
      <c r="AO2820" s="8">
        <v>0</v>
      </c>
    </row>
    <row r="2821" spans="1:41" x14ac:dyDescent="0.25">
      <c r="A2821" s="6" t="str">
        <f>"522-2026000354"</f>
        <v>522-2026000354</v>
      </c>
      <c r="B2821" s="6" t="str">
        <f t="shared" si="642"/>
        <v>EL CORTE</v>
      </c>
      <c r="C2821" s="7">
        <v>46042</v>
      </c>
      <c r="D2821" s="7">
        <v>46045</v>
      </c>
      <c r="E2821" s="8">
        <v>1</v>
      </c>
      <c r="F2821" s="6" t="str">
        <f>"94876501_07026"</f>
        <v>94876501_07026</v>
      </c>
      <c r="G2821" s="6" t="str">
        <f t="shared" si="643"/>
        <v>F310631650000000</v>
      </c>
      <c r="H2821" s="6" t="str">
        <f t="shared" si="644"/>
        <v>PLAR 6316 FD - 500 g</v>
      </c>
      <c r="I2821" s="6" t="str">
        <f>"201855"</f>
        <v>201855</v>
      </c>
      <c r="J2821" s="6" t="str">
        <f>"AZUL 1855"</f>
        <v>AZUL 1855</v>
      </c>
      <c r="K2821" s="6" t="str">
        <f>"2020"</f>
        <v>2020</v>
      </c>
      <c r="L2821" s="6" t="str">
        <f>"Lençóis"</f>
        <v>Lençóis</v>
      </c>
      <c r="M2821" s="6" t="str">
        <f>"100x150"</f>
        <v>100x150</v>
      </c>
      <c r="N2821" s="6" t="str">
        <f>"5602972281064"</f>
        <v>5602972281064</v>
      </c>
      <c r="O2821" s="8">
        <v>3</v>
      </c>
      <c r="R2821" s="8">
        <v>0</v>
      </c>
      <c r="U2821" s="8">
        <v>0</v>
      </c>
      <c r="X2821" s="8">
        <v>0</v>
      </c>
      <c r="Z2821" s="8">
        <v>0</v>
      </c>
      <c r="AC2821" s="8">
        <v>0</v>
      </c>
      <c r="AF2821" s="8">
        <v>0</v>
      </c>
      <c r="AN2821" s="8">
        <v>0</v>
      </c>
      <c r="AO2821" s="8">
        <v>3</v>
      </c>
    </row>
    <row r="2822" spans="1:41" x14ac:dyDescent="0.25">
      <c r="A2822" s="6" t="str">
        <f>"522-2026000355"</f>
        <v>522-2026000355</v>
      </c>
      <c r="B2822" s="6" t="str">
        <f t="shared" si="642"/>
        <v>EL CORTE</v>
      </c>
      <c r="C2822" s="7">
        <v>46042</v>
      </c>
      <c r="D2822" s="7">
        <v>46045</v>
      </c>
      <c r="E2822" s="8">
        <v>1</v>
      </c>
      <c r="F2822" s="6" t="str">
        <f>"94876001_07026"</f>
        <v>94876001_07026</v>
      </c>
      <c r="G2822" s="6" t="str">
        <f t="shared" si="643"/>
        <v>F310631650000000</v>
      </c>
      <c r="H2822" s="6" t="str">
        <f t="shared" si="644"/>
        <v>PLAR 6316 FD - 500 g</v>
      </c>
      <c r="I2822" s="6" t="str">
        <f>"201855"</f>
        <v>201855</v>
      </c>
      <c r="J2822" s="6" t="str">
        <f>"AZUL 1855"</f>
        <v>AZUL 1855</v>
      </c>
      <c r="K2822" s="6" t="str">
        <f>"2020"</f>
        <v>2020</v>
      </c>
      <c r="L2822" s="6" t="str">
        <f>"Lençóis"</f>
        <v>Lençóis</v>
      </c>
      <c r="M2822" s="6" t="str">
        <f>"100x150"</f>
        <v>100x150</v>
      </c>
      <c r="N2822" s="6" t="str">
        <f>"5602972281064"</f>
        <v>5602972281064</v>
      </c>
      <c r="O2822" s="8">
        <v>3</v>
      </c>
      <c r="R2822" s="8">
        <v>0</v>
      </c>
      <c r="U2822" s="8">
        <v>0</v>
      </c>
      <c r="X2822" s="8">
        <v>0</v>
      </c>
      <c r="Z2822" s="8">
        <v>0</v>
      </c>
      <c r="AC2822" s="8">
        <v>0</v>
      </c>
      <c r="AF2822" s="8">
        <v>0</v>
      </c>
      <c r="AN2822" s="8">
        <v>0</v>
      </c>
      <c r="AO2822" s="8">
        <v>3</v>
      </c>
    </row>
    <row r="2823" spans="1:41" x14ac:dyDescent="0.25">
      <c r="A2823" s="6" t="str">
        <f>"522-2026000356"</f>
        <v>522-2026000356</v>
      </c>
      <c r="B2823" s="6" t="str">
        <f t="shared" ref="B2823:B2886" si="653">"EL CORTE"</f>
        <v>EL CORTE</v>
      </c>
      <c r="C2823" s="7">
        <v>46042</v>
      </c>
      <c r="D2823" s="7">
        <v>46045</v>
      </c>
      <c r="E2823" s="8">
        <v>1</v>
      </c>
      <c r="F2823" s="6" t="str">
        <f>"94877301_07026"</f>
        <v>94877301_07026</v>
      </c>
      <c r="G2823" s="6" t="str">
        <f t="shared" ref="G2823:G2886" si="654">"F310631650000000"</f>
        <v>F310631650000000</v>
      </c>
      <c r="H2823" s="6" t="str">
        <f t="shared" ref="H2823:H2886" si="655">"PLAR 6316 FD - 500 g"</f>
        <v>PLAR 6316 FD - 500 g</v>
      </c>
      <c r="I2823" s="6" t="str">
        <f>"201855"</f>
        <v>201855</v>
      </c>
      <c r="J2823" s="6" t="str">
        <f>"AZUL 1855"</f>
        <v>AZUL 1855</v>
      </c>
      <c r="K2823" s="6" t="str">
        <f>"2020"</f>
        <v>2020</v>
      </c>
      <c r="L2823" s="6" t="str">
        <f>"Lençóis"</f>
        <v>Lençóis</v>
      </c>
      <c r="M2823" s="6" t="str">
        <f>"100x150"</f>
        <v>100x150</v>
      </c>
      <c r="N2823" s="6" t="str">
        <f>"5602972281064"</f>
        <v>5602972281064</v>
      </c>
      <c r="O2823" s="8">
        <v>3</v>
      </c>
      <c r="R2823" s="8">
        <v>0</v>
      </c>
      <c r="U2823" s="8">
        <v>0</v>
      </c>
      <c r="X2823" s="8">
        <v>0</v>
      </c>
      <c r="Z2823" s="8">
        <v>0</v>
      </c>
      <c r="AC2823" s="8">
        <v>0</v>
      </c>
      <c r="AF2823" s="8">
        <v>0</v>
      </c>
      <c r="AN2823" s="8">
        <v>0</v>
      </c>
      <c r="AO2823" s="8">
        <v>3</v>
      </c>
    </row>
    <row r="2824" spans="1:41" x14ac:dyDescent="0.25">
      <c r="A2824" s="6" t="str">
        <f>"522-2026000357"</f>
        <v>522-2026000357</v>
      </c>
      <c r="B2824" s="6" t="str">
        <f t="shared" si="653"/>
        <v>EL CORTE</v>
      </c>
      <c r="C2824" s="7">
        <v>46042</v>
      </c>
      <c r="D2824" s="7">
        <v>46045</v>
      </c>
      <c r="E2824" s="8">
        <v>1</v>
      </c>
      <c r="F2824" s="6" t="str">
        <f>"94877201_07026"</f>
        <v>94877201_07026</v>
      </c>
      <c r="G2824" s="6" t="str">
        <f t="shared" si="654"/>
        <v>F310631650000000</v>
      </c>
      <c r="H2824" s="6" t="str">
        <f t="shared" si="655"/>
        <v>PLAR 6316 FD - 500 g</v>
      </c>
      <c r="I2824" s="6" t="str">
        <f>"202575"</f>
        <v>202575</v>
      </c>
      <c r="J2824" s="6" t="str">
        <f>"BEGE 2575"</f>
        <v>BEGE 2575</v>
      </c>
      <c r="K2824" s="6" t="str">
        <f>"2020"</f>
        <v>2020</v>
      </c>
      <c r="L2824" s="6" t="str">
        <f>"Lençóis"</f>
        <v>Lençóis</v>
      </c>
      <c r="M2824" s="6" t="str">
        <f>"100x150"</f>
        <v>100x150</v>
      </c>
      <c r="N2824" s="6" t="str">
        <f>"5602972281095"</f>
        <v>5602972281095</v>
      </c>
      <c r="O2824" s="8">
        <v>3</v>
      </c>
      <c r="R2824" s="8">
        <v>0</v>
      </c>
      <c r="U2824" s="8">
        <v>0</v>
      </c>
      <c r="X2824" s="8">
        <v>0</v>
      </c>
      <c r="Z2824" s="8">
        <v>0</v>
      </c>
      <c r="AC2824" s="8">
        <v>0</v>
      </c>
      <c r="AF2824" s="8">
        <v>0</v>
      </c>
      <c r="AN2824" s="8">
        <v>0</v>
      </c>
      <c r="AO2824" s="8">
        <v>3</v>
      </c>
    </row>
    <row r="2825" spans="1:41" x14ac:dyDescent="0.25">
      <c r="A2825" s="6" t="str">
        <f>"522-2026000358"</f>
        <v>522-2026000358</v>
      </c>
      <c r="B2825" s="6" t="str">
        <f t="shared" si="653"/>
        <v>EL CORTE</v>
      </c>
      <c r="C2825" s="7">
        <v>46042</v>
      </c>
      <c r="D2825" s="7">
        <v>46045</v>
      </c>
      <c r="E2825" s="8">
        <v>1</v>
      </c>
      <c r="F2825" s="6" t="str">
        <f>"94876801_07026"</f>
        <v>94876801_07026</v>
      </c>
      <c r="G2825" s="6" t="str">
        <f t="shared" si="654"/>
        <v>F310631650000000</v>
      </c>
      <c r="H2825" s="6" t="str">
        <f t="shared" si="655"/>
        <v>PLAR 6316 FD - 500 g</v>
      </c>
      <c r="I2825" s="6" t="str">
        <f>"200510"</f>
        <v>200510</v>
      </c>
      <c r="J2825" s="6" t="str">
        <f>"VERDE 510"</f>
        <v>VERDE 510</v>
      </c>
      <c r="K2825" s="6" t="str">
        <f>"2020"</f>
        <v>2020</v>
      </c>
      <c r="L2825" s="6" t="str">
        <f>"Lençóis"</f>
        <v>Lençóis</v>
      </c>
      <c r="M2825" s="6" t="str">
        <f>"100x150"</f>
        <v>100x150</v>
      </c>
      <c r="N2825" s="6" t="str">
        <f>"5602972281156"</f>
        <v>5602972281156</v>
      </c>
      <c r="O2825" s="8">
        <v>6</v>
      </c>
      <c r="R2825" s="8">
        <v>0</v>
      </c>
      <c r="U2825" s="8">
        <v>0</v>
      </c>
      <c r="X2825" s="8">
        <v>0</v>
      </c>
      <c r="Z2825" s="8">
        <v>0</v>
      </c>
      <c r="AC2825" s="8">
        <v>0</v>
      </c>
      <c r="AF2825" s="8">
        <v>0</v>
      </c>
      <c r="AN2825" s="8">
        <v>0</v>
      </c>
      <c r="AO2825" s="8">
        <v>6</v>
      </c>
    </row>
    <row r="2826" spans="1:41" x14ac:dyDescent="0.25">
      <c r="A2826" s="6" t="str">
        <f>"522-2026000359"</f>
        <v>522-2026000359</v>
      </c>
      <c r="B2826" s="6" t="str">
        <f t="shared" si="653"/>
        <v>EL CORTE</v>
      </c>
      <c r="C2826" s="7">
        <v>46042</v>
      </c>
      <c r="D2826" s="7">
        <v>46045</v>
      </c>
      <c r="E2826" s="8">
        <v>1</v>
      </c>
      <c r="F2826" s="6" t="str">
        <f>"94875801_07026"</f>
        <v>94875801_07026</v>
      </c>
      <c r="G2826" s="6" t="str">
        <f t="shared" si="654"/>
        <v>F310631650000000</v>
      </c>
      <c r="H2826" s="6" t="str">
        <f t="shared" si="655"/>
        <v>PLAR 6316 FD - 500 g</v>
      </c>
      <c r="I2826" s="6" t="str">
        <f>"201855"</f>
        <v>201855</v>
      </c>
      <c r="J2826" s="6" t="str">
        <f>"AZUL 1855"</f>
        <v>AZUL 1855</v>
      </c>
      <c r="K2826" s="6" t="str">
        <f>"1024"</f>
        <v>1024</v>
      </c>
      <c r="L2826" s="6" t="str">
        <f>"Toalhas"</f>
        <v>Toalhas</v>
      </c>
      <c r="M2826" s="6" t="str">
        <f>"50x100"</f>
        <v>50x100</v>
      </c>
      <c r="N2826" s="6" t="str">
        <f>"5602972281057"</f>
        <v>5602972281057</v>
      </c>
      <c r="O2826" s="8">
        <v>6</v>
      </c>
      <c r="R2826" s="8">
        <v>0</v>
      </c>
      <c r="U2826" s="8">
        <v>0</v>
      </c>
      <c r="X2826" s="8">
        <v>0</v>
      </c>
      <c r="Z2826" s="8">
        <v>0</v>
      </c>
      <c r="AC2826" s="8">
        <v>0</v>
      </c>
      <c r="AF2826" s="8">
        <v>0</v>
      </c>
      <c r="AN2826" s="8">
        <v>6</v>
      </c>
      <c r="AO2826" s="8">
        <v>0</v>
      </c>
    </row>
    <row r="2827" spans="1:41" x14ac:dyDescent="0.25">
      <c r="A2827" s="6" t="str">
        <f>"522-2026000360"</f>
        <v>522-2026000360</v>
      </c>
      <c r="B2827" s="6" t="str">
        <f t="shared" si="653"/>
        <v>EL CORTE</v>
      </c>
      <c r="C2827" s="7">
        <v>46042</v>
      </c>
      <c r="D2827" s="7">
        <v>46045</v>
      </c>
      <c r="E2827" s="8">
        <v>1</v>
      </c>
      <c r="F2827" s="6" t="str">
        <f>"94876101_07026"</f>
        <v>94876101_07026</v>
      </c>
      <c r="G2827" s="6" t="str">
        <f t="shared" si="654"/>
        <v>F310631650000000</v>
      </c>
      <c r="H2827" s="6" t="str">
        <f t="shared" si="655"/>
        <v>PLAR 6316 FD - 500 g</v>
      </c>
      <c r="I2827" s="6" t="str">
        <f>"202575"</f>
        <v>202575</v>
      </c>
      <c r="J2827" s="6" t="str">
        <f>"BEGE 2575"</f>
        <v>BEGE 2575</v>
      </c>
      <c r="K2827" s="6" t="str">
        <f>"1024"</f>
        <v>1024</v>
      </c>
      <c r="L2827" s="6" t="str">
        <f>"Toalhas"</f>
        <v>Toalhas</v>
      </c>
      <c r="M2827" s="6" t="str">
        <f>"50x100"</f>
        <v>50x100</v>
      </c>
      <c r="N2827" s="6" t="str">
        <f>"5602972281088"</f>
        <v>5602972281088</v>
      </c>
      <c r="O2827" s="8">
        <v>6</v>
      </c>
      <c r="R2827" s="8">
        <v>0</v>
      </c>
      <c r="U2827" s="8">
        <v>0</v>
      </c>
      <c r="X2827" s="8">
        <v>0</v>
      </c>
      <c r="Z2827" s="8">
        <v>0</v>
      </c>
      <c r="AC2827" s="8">
        <v>0</v>
      </c>
      <c r="AF2827" s="8">
        <v>0</v>
      </c>
      <c r="AN2827" s="8">
        <v>6</v>
      </c>
      <c r="AO2827" s="8">
        <v>0</v>
      </c>
    </row>
    <row r="2828" spans="1:41" x14ac:dyDescent="0.25">
      <c r="A2828" s="6" t="str">
        <f>"522-2026000360"</f>
        <v>522-2026000360</v>
      </c>
      <c r="B2828" s="6" t="str">
        <f t="shared" si="653"/>
        <v>EL CORTE</v>
      </c>
      <c r="C2828" s="7">
        <v>46042</v>
      </c>
      <c r="D2828" s="7">
        <v>46045</v>
      </c>
      <c r="E2828" s="8">
        <v>2</v>
      </c>
      <c r="F2828" s="6" t="str">
        <f>"94876101_07026"</f>
        <v>94876101_07026</v>
      </c>
      <c r="G2828" s="6" t="str">
        <f t="shared" si="654"/>
        <v>F310631650000000</v>
      </c>
      <c r="H2828" s="6" t="str">
        <f t="shared" si="655"/>
        <v>PLAR 6316 FD - 500 g</v>
      </c>
      <c r="I2828" s="6" t="str">
        <f>"200510"</f>
        <v>200510</v>
      </c>
      <c r="J2828" s="6" t="str">
        <f>"VERDE 510"</f>
        <v>VERDE 510</v>
      </c>
      <c r="K2828" s="6" t="str">
        <f>"2020"</f>
        <v>2020</v>
      </c>
      <c r="L2828" s="6" t="str">
        <f>"Lençóis"</f>
        <v>Lençóis</v>
      </c>
      <c r="M2828" s="6" t="str">
        <f>"100x150"</f>
        <v>100x150</v>
      </c>
      <c r="N2828" s="6" t="str">
        <f>"5602972281156"</f>
        <v>5602972281156</v>
      </c>
      <c r="O2828" s="8">
        <v>3</v>
      </c>
      <c r="R2828" s="8">
        <v>0</v>
      </c>
      <c r="U2828" s="8">
        <v>0</v>
      </c>
      <c r="X2828" s="8">
        <v>0</v>
      </c>
      <c r="Z2828" s="8">
        <v>0</v>
      </c>
      <c r="AC2828" s="8">
        <v>0</v>
      </c>
      <c r="AF2828" s="8">
        <v>0</v>
      </c>
      <c r="AN2828" s="8">
        <v>0</v>
      </c>
      <c r="AO2828" s="8">
        <v>3</v>
      </c>
    </row>
    <row r="2829" spans="1:41" x14ac:dyDescent="0.25">
      <c r="A2829" s="6" t="str">
        <f>"522-2026000361"</f>
        <v>522-2026000361</v>
      </c>
      <c r="B2829" s="6" t="str">
        <f t="shared" si="653"/>
        <v>EL CORTE</v>
      </c>
      <c r="C2829" s="7">
        <v>46042</v>
      </c>
      <c r="D2829" s="7">
        <v>46045</v>
      </c>
      <c r="E2829" s="8">
        <v>1</v>
      </c>
      <c r="F2829" s="6" t="str">
        <f>"94876301_07026"</f>
        <v>94876301_07026</v>
      </c>
      <c r="G2829" s="6" t="str">
        <f t="shared" si="654"/>
        <v>F310631650000000</v>
      </c>
      <c r="H2829" s="6" t="str">
        <f t="shared" si="655"/>
        <v>PLAR 6316 FD - 500 g</v>
      </c>
      <c r="I2829" s="6" t="str">
        <f>"200901"</f>
        <v>200901</v>
      </c>
      <c r="J2829" s="6" t="str">
        <f>"ROSA 901"</f>
        <v>ROSA 901</v>
      </c>
      <c r="K2829" s="6" t="str">
        <f>"1024"</f>
        <v>1024</v>
      </c>
      <c r="L2829" s="6" t="str">
        <f>"Toalhas"</f>
        <v>Toalhas</v>
      </c>
      <c r="M2829" s="6" t="str">
        <f>"50x100"</f>
        <v>50x100</v>
      </c>
      <c r="N2829" s="6" t="str">
        <f>"5602972281118"</f>
        <v>5602972281118</v>
      </c>
      <c r="O2829" s="8">
        <v>6</v>
      </c>
      <c r="R2829" s="8">
        <v>0</v>
      </c>
      <c r="U2829" s="8">
        <v>0</v>
      </c>
      <c r="X2829" s="8">
        <v>0</v>
      </c>
      <c r="Z2829" s="8">
        <v>0</v>
      </c>
      <c r="AC2829" s="8">
        <v>0</v>
      </c>
      <c r="AF2829" s="8">
        <v>0</v>
      </c>
      <c r="AN2829" s="8">
        <v>6</v>
      </c>
      <c r="AO2829" s="8">
        <v>0</v>
      </c>
    </row>
    <row r="2830" spans="1:41" x14ac:dyDescent="0.25">
      <c r="A2830" s="6" t="str">
        <f>"522-2026000361"</f>
        <v>522-2026000361</v>
      </c>
      <c r="B2830" s="6" t="str">
        <f t="shared" si="653"/>
        <v>EL CORTE</v>
      </c>
      <c r="C2830" s="7">
        <v>46042</v>
      </c>
      <c r="D2830" s="7">
        <v>46045</v>
      </c>
      <c r="E2830" s="8">
        <v>2</v>
      </c>
      <c r="F2830" s="6" t="str">
        <f>"94876301_07026"</f>
        <v>94876301_07026</v>
      </c>
      <c r="G2830" s="6" t="str">
        <f t="shared" si="654"/>
        <v>F310631650000000</v>
      </c>
      <c r="H2830" s="6" t="str">
        <f t="shared" si="655"/>
        <v>PLAR 6316 FD - 500 g</v>
      </c>
      <c r="I2830" s="6" t="str">
        <f>"200901"</f>
        <v>200901</v>
      </c>
      <c r="J2830" s="6" t="str">
        <f>"ROSA 901"</f>
        <v>ROSA 901</v>
      </c>
      <c r="K2830" s="6" t="str">
        <f>"2020"</f>
        <v>2020</v>
      </c>
      <c r="L2830" s="6" t="str">
        <f>"Lençóis"</f>
        <v>Lençóis</v>
      </c>
      <c r="M2830" s="6" t="str">
        <f>"100x150"</f>
        <v>100x150</v>
      </c>
      <c r="N2830" s="6" t="str">
        <f>"5602972281125"</f>
        <v>5602972281125</v>
      </c>
      <c r="O2830" s="8">
        <v>3</v>
      </c>
      <c r="R2830" s="8">
        <v>0</v>
      </c>
      <c r="U2830" s="8">
        <v>0</v>
      </c>
      <c r="X2830" s="8">
        <v>0</v>
      </c>
      <c r="Z2830" s="8">
        <v>0</v>
      </c>
      <c r="AC2830" s="8">
        <v>0</v>
      </c>
      <c r="AF2830" s="8">
        <v>0</v>
      </c>
      <c r="AN2830" s="8">
        <v>0</v>
      </c>
      <c r="AO2830" s="8">
        <v>3</v>
      </c>
    </row>
    <row r="2831" spans="1:41" x14ac:dyDescent="0.25">
      <c r="A2831" s="6" t="str">
        <f>"522-2026000361"</f>
        <v>522-2026000361</v>
      </c>
      <c r="B2831" s="6" t="str">
        <f t="shared" si="653"/>
        <v>EL CORTE</v>
      </c>
      <c r="C2831" s="7">
        <v>46042</v>
      </c>
      <c r="D2831" s="7">
        <v>46045</v>
      </c>
      <c r="E2831" s="8">
        <v>3</v>
      </c>
      <c r="F2831" s="6" t="str">
        <f>"94876301_07026"</f>
        <v>94876301_07026</v>
      </c>
      <c r="G2831" s="6" t="str">
        <f t="shared" si="654"/>
        <v>F310631650000000</v>
      </c>
      <c r="H2831" s="6" t="str">
        <f t="shared" si="655"/>
        <v>PLAR 6316 FD - 500 g</v>
      </c>
      <c r="I2831" s="6" t="str">
        <f>"200510"</f>
        <v>200510</v>
      </c>
      <c r="J2831" s="6" t="str">
        <f>"VERDE 510"</f>
        <v>VERDE 510</v>
      </c>
      <c r="K2831" s="6" t="str">
        <f>"1024"</f>
        <v>1024</v>
      </c>
      <c r="L2831" s="6" t="str">
        <f>"Toalhas"</f>
        <v>Toalhas</v>
      </c>
      <c r="M2831" s="6" t="str">
        <f>"50x100"</f>
        <v>50x100</v>
      </c>
      <c r="N2831" s="6" t="str">
        <f>"5602972281149"</f>
        <v>5602972281149</v>
      </c>
      <c r="O2831" s="8">
        <v>6</v>
      </c>
      <c r="R2831" s="8">
        <v>0</v>
      </c>
      <c r="U2831" s="8">
        <v>0</v>
      </c>
      <c r="X2831" s="8">
        <v>0</v>
      </c>
      <c r="Z2831" s="8">
        <v>0</v>
      </c>
      <c r="AC2831" s="8">
        <v>0</v>
      </c>
      <c r="AF2831" s="8">
        <v>0</v>
      </c>
      <c r="AN2831" s="8">
        <v>6</v>
      </c>
      <c r="AO2831" s="8">
        <v>0</v>
      </c>
    </row>
    <row r="2832" spans="1:41" x14ac:dyDescent="0.25">
      <c r="A2832" s="6" t="str">
        <f>"522-2026000361"</f>
        <v>522-2026000361</v>
      </c>
      <c r="B2832" s="6" t="str">
        <f t="shared" si="653"/>
        <v>EL CORTE</v>
      </c>
      <c r="C2832" s="7">
        <v>46042</v>
      </c>
      <c r="D2832" s="7">
        <v>46045</v>
      </c>
      <c r="E2832" s="8">
        <v>4</v>
      </c>
      <c r="F2832" s="6" t="str">
        <f>"94876301_07026"</f>
        <v>94876301_07026</v>
      </c>
      <c r="G2832" s="6" t="str">
        <f t="shared" si="654"/>
        <v>F310631650000000</v>
      </c>
      <c r="H2832" s="6" t="str">
        <f t="shared" si="655"/>
        <v>PLAR 6316 FD - 500 g</v>
      </c>
      <c r="I2832" s="6" t="str">
        <f>"200510"</f>
        <v>200510</v>
      </c>
      <c r="J2832" s="6" t="str">
        <f>"VERDE 510"</f>
        <v>VERDE 510</v>
      </c>
      <c r="K2832" s="6" t="str">
        <f>"2020"</f>
        <v>2020</v>
      </c>
      <c r="L2832" s="6" t="str">
        <f>"Lençóis"</f>
        <v>Lençóis</v>
      </c>
      <c r="M2832" s="6" t="str">
        <f>"100x150"</f>
        <v>100x150</v>
      </c>
      <c r="N2832" s="6" t="str">
        <f>"5602972281156"</f>
        <v>5602972281156</v>
      </c>
      <c r="O2832" s="8">
        <v>3</v>
      </c>
      <c r="R2832" s="8">
        <v>0</v>
      </c>
      <c r="U2832" s="8">
        <v>0</v>
      </c>
      <c r="X2832" s="8">
        <v>0</v>
      </c>
      <c r="Z2832" s="8">
        <v>0</v>
      </c>
      <c r="AC2832" s="8">
        <v>0</v>
      </c>
      <c r="AF2832" s="8">
        <v>0</v>
      </c>
      <c r="AN2832" s="8">
        <v>0</v>
      </c>
      <c r="AO2832" s="8">
        <v>3</v>
      </c>
    </row>
    <row r="2833" spans="1:41" x14ac:dyDescent="0.25">
      <c r="A2833" s="6" t="str">
        <f>"522-2026000362"</f>
        <v>522-2026000362</v>
      </c>
      <c r="B2833" s="6" t="str">
        <f t="shared" si="653"/>
        <v>EL CORTE</v>
      </c>
      <c r="C2833" s="7">
        <v>46042</v>
      </c>
      <c r="D2833" s="7">
        <v>46045</v>
      </c>
      <c r="E2833" s="8">
        <v>1</v>
      </c>
      <c r="F2833" s="6" t="str">
        <f>"94877501_07026"</f>
        <v>94877501_07026</v>
      </c>
      <c r="G2833" s="6" t="str">
        <f t="shared" si="654"/>
        <v>F310631650000000</v>
      </c>
      <c r="H2833" s="6" t="str">
        <f t="shared" si="655"/>
        <v>PLAR 6316 FD - 500 g</v>
      </c>
      <c r="I2833" s="6" t="str">
        <f>"201855"</f>
        <v>201855</v>
      </c>
      <c r="J2833" s="6" t="str">
        <f>"AZUL 1855"</f>
        <v>AZUL 1855</v>
      </c>
      <c r="K2833" s="6" t="str">
        <f>"0520"</f>
        <v>0520</v>
      </c>
      <c r="L2833" s="6" t="str">
        <f>"Toalhetes"</f>
        <v>Toalhetes</v>
      </c>
      <c r="M2833" s="6" t="str">
        <f>"30x50"</f>
        <v>30x50</v>
      </c>
      <c r="N2833" s="6" t="str">
        <f>"5602972281040"</f>
        <v>5602972281040</v>
      </c>
      <c r="O2833" s="8">
        <v>6</v>
      </c>
      <c r="R2833" s="8">
        <v>0</v>
      </c>
      <c r="U2833" s="8">
        <v>0</v>
      </c>
      <c r="X2833" s="8">
        <v>0</v>
      </c>
      <c r="Z2833" s="8">
        <v>0</v>
      </c>
      <c r="AC2833" s="8">
        <v>0</v>
      </c>
      <c r="AF2833" s="8">
        <v>0</v>
      </c>
      <c r="AN2833" s="8">
        <v>0</v>
      </c>
      <c r="AO2833" s="8">
        <v>6</v>
      </c>
    </row>
    <row r="2834" spans="1:41" x14ac:dyDescent="0.25">
      <c r="A2834" s="6" t="str">
        <f>"522-2026000362"</f>
        <v>522-2026000362</v>
      </c>
      <c r="B2834" s="6" t="str">
        <f t="shared" si="653"/>
        <v>EL CORTE</v>
      </c>
      <c r="C2834" s="7">
        <v>46042</v>
      </c>
      <c r="D2834" s="7">
        <v>46045</v>
      </c>
      <c r="E2834" s="8">
        <v>2</v>
      </c>
      <c r="F2834" s="6" t="str">
        <f>"94877501_07026"</f>
        <v>94877501_07026</v>
      </c>
      <c r="G2834" s="6" t="str">
        <f t="shared" si="654"/>
        <v>F310631650000000</v>
      </c>
      <c r="H2834" s="6" t="str">
        <f t="shared" si="655"/>
        <v>PLAR 6316 FD - 500 g</v>
      </c>
      <c r="I2834" s="6" t="str">
        <f>"200901"</f>
        <v>200901</v>
      </c>
      <c r="J2834" s="6" t="str">
        <f>"ROSA 901"</f>
        <v>ROSA 901</v>
      </c>
      <c r="K2834" s="6" t="str">
        <f>"0520"</f>
        <v>0520</v>
      </c>
      <c r="L2834" s="6" t="str">
        <f>"Toalhetes"</f>
        <v>Toalhetes</v>
      </c>
      <c r="M2834" s="6" t="str">
        <f>"30x50"</f>
        <v>30x50</v>
      </c>
      <c r="N2834" s="6" t="str">
        <f>"5602972281101"</f>
        <v>5602972281101</v>
      </c>
      <c r="O2834" s="8">
        <v>6</v>
      </c>
      <c r="R2834" s="8">
        <v>0</v>
      </c>
      <c r="U2834" s="8">
        <v>0</v>
      </c>
      <c r="X2834" s="8">
        <v>0</v>
      </c>
      <c r="Z2834" s="8">
        <v>0</v>
      </c>
      <c r="AC2834" s="8">
        <v>0</v>
      </c>
      <c r="AF2834" s="8">
        <v>0</v>
      </c>
      <c r="AN2834" s="8">
        <v>0</v>
      </c>
      <c r="AO2834" s="8">
        <v>6</v>
      </c>
    </row>
    <row r="2835" spans="1:41" x14ac:dyDescent="0.25">
      <c r="A2835" s="6" t="str">
        <f>"522-2026000362"</f>
        <v>522-2026000362</v>
      </c>
      <c r="B2835" s="6" t="str">
        <f t="shared" si="653"/>
        <v>EL CORTE</v>
      </c>
      <c r="C2835" s="7">
        <v>46042</v>
      </c>
      <c r="D2835" s="7">
        <v>46045</v>
      </c>
      <c r="E2835" s="8">
        <v>3</v>
      </c>
      <c r="F2835" s="6" t="str">
        <f>"94877501_07026"</f>
        <v>94877501_07026</v>
      </c>
      <c r="G2835" s="6" t="str">
        <f t="shared" si="654"/>
        <v>F310631650000000</v>
      </c>
      <c r="H2835" s="6" t="str">
        <f t="shared" si="655"/>
        <v>PLAR 6316 FD - 500 g</v>
      </c>
      <c r="I2835" s="6" t="str">
        <f>"200510"</f>
        <v>200510</v>
      </c>
      <c r="J2835" s="6" t="str">
        <f>"VERDE 510"</f>
        <v>VERDE 510</v>
      </c>
      <c r="K2835" s="6" t="str">
        <f>"2020"</f>
        <v>2020</v>
      </c>
      <c r="L2835" s="6" t="str">
        <f>"Lençóis"</f>
        <v>Lençóis</v>
      </c>
      <c r="M2835" s="6" t="str">
        <f>"100x150"</f>
        <v>100x150</v>
      </c>
      <c r="N2835" s="6" t="str">
        <f>"5602972281156"</f>
        <v>5602972281156</v>
      </c>
      <c r="O2835" s="8">
        <v>3</v>
      </c>
      <c r="R2835" s="8">
        <v>0</v>
      </c>
      <c r="U2835" s="8">
        <v>0</v>
      </c>
      <c r="X2835" s="8">
        <v>0</v>
      </c>
      <c r="Z2835" s="8">
        <v>0</v>
      </c>
      <c r="AC2835" s="8">
        <v>0</v>
      </c>
      <c r="AF2835" s="8">
        <v>0</v>
      </c>
      <c r="AN2835" s="8">
        <v>0</v>
      </c>
      <c r="AO2835" s="8">
        <v>3</v>
      </c>
    </row>
    <row r="2836" spans="1:41" x14ac:dyDescent="0.25">
      <c r="A2836" s="6" t="str">
        <f>"522-2026000363"</f>
        <v>522-2026000363</v>
      </c>
      <c r="B2836" s="6" t="str">
        <f t="shared" si="653"/>
        <v>EL CORTE</v>
      </c>
      <c r="C2836" s="7">
        <v>46042</v>
      </c>
      <c r="D2836" s="7">
        <v>46045</v>
      </c>
      <c r="E2836" s="8">
        <v>1</v>
      </c>
      <c r="F2836" s="6" t="str">
        <f>"94876601_07026"</f>
        <v>94876601_07026</v>
      </c>
      <c r="G2836" s="6" t="str">
        <f t="shared" si="654"/>
        <v>F310631650000000</v>
      </c>
      <c r="H2836" s="6" t="str">
        <f t="shared" si="655"/>
        <v>PLAR 6316 FD - 500 g</v>
      </c>
      <c r="I2836" s="6" t="str">
        <f>"201855"</f>
        <v>201855</v>
      </c>
      <c r="J2836" s="6" t="str">
        <f>"AZUL 1855"</f>
        <v>AZUL 1855</v>
      </c>
      <c r="K2836" s="6" t="str">
        <f>"1024"</f>
        <v>1024</v>
      </c>
      <c r="L2836" s="6" t="str">
        <f>"Toalhas"</f>
        <v>Toalhas</v>
      </c>
      <c r="M2836" s="6" t="str">
        <f>"50x100"</f>
        <v>50x100</v>
      </c>
      <c r="N2836" s="6" t="str">
        <f>"5602972281057"</f>
        <v>5602972281057</v>
      </c>
      <c r="O2836" s="8">
        <v>6</v>
      </c>
      <c r="R2836" s="8">
        <v>0</v>
      </c>
      <c r="U2836" s="8">
        <v>0</v>
      </c>
      <c r="X2836" s="8">
        <v>0</v>
      </c>
      <c r="Z2836" s="8">
        <v>0</v>
      </c>
      <c r="AC2836" s="8">
        <v>0</v>
      </c>
      <c r="AF2836" s="8">
        <v>0</v>
      </c>
      <c r="AN2836" s="8">
        <v>6</v>
      </c>
      <c r="AO2836" s="8">
        <v>0</v>
      </c>
    </row>
    <row r="2837" spans="1:41" x14ac:dyDescent="0.25">
      <c r="A2837" s="6" t="str">
        <f>"522-2026000363"</f>
        <v>522-2026000363</v>
      </c>
      <c r="B2837" s="6" t="str">
        <f t="shared" si="653"/>
        <v>EL CORTE</v>
      </c>
      <c r="C2837" s="7">
        <v>46042</v>
      </c>
      <c r="D2837" s="7">
        <v>46045</v>
      </c>
      <c r="E2837" s="8">
        <v>2</v>
      </c>
      <c r="F2837" s="6" t="str">
        <f>"94876601_07026"</f>
        <v>94876601_07026</v>
      </c>
      <c r="G2837" s="6" t="str">
        <f t="shared" si="654"/>
        <v>F310631650000000</v>
      </c>
      <c r="H2837" s="6" t="str">
        <f t="shared" si="655"/>
        <v>PLAR 6316 FD - 500 g</v>
      </c>
      <c r="I2837" s="6" t="str">
        <f>"200510"</f>
        <v>200510</v>
      </c>
      <c r="J2837" s="6" t="str">
        <f>"VERDE 510"</f>
        <v>VERDE 510</v>
      </c>
      <c r="K2837" s="6" t="str">
        <f>"1024"</f>
        <v>1024</v>
      </c>
      <c r="L2837" s="6" t="str">
        <f>"Toalhas"</f>
        <v>Toalhas</v>
      </c>
      <c r="M2837" s="6" t="str">
        <f>"50x100"</f>
        <v>50x100</v>
      </c>
      <c r="N2837" s="6" t="str">
        <f>"5602972281149"</f>
        <v>5602972281149</v>
      </c>
      <c r="O2837" s="8">
        <v>6</v>
      </c>
      <c r="R2837" s="8">
        <v>0</v>
      </c>
      <c r="U2837" s="8">
        <v>0</v>
      </c>
      <c r="X2837" s="8">
        <v>0</v>
      </c>
      <c r="Z2837" s="8">
        <v>0</v>
      </c>
      <c r="AC2837" s="8">
        <v>0</v>
      </c>
      <c r="AF2837" s="8">
        <v>0</v>
      </c>
      <c r="AN2837" s="8">
        <v>6</v>
      </c>
      <c r="AO2837" s="8">
        <v>0</v>
      </c>
    </row>
    <row r="2838" spans="1:41" x14ac:dyDescent="0.25">
      <c r="A2838" s="6" t="str">
        <f>"522-2026000364"</f>
        <v>522-2026000364</v>
      </c>
      <c r="B2838" s="6" t="str">
        <f t="shared" si="653"/>
        <v>EL CORTE</v>
      </c>
      <c r="C2838" s="7">
        <v>46042</v>
      </c>
      <c r="D2838" s="7">
        <v>46045</v>
      </c>
      <c r="E2838" s="8">
        <v>1</v>
      </c>
      <c r="F2838" s="6" t="str">
        <f>"94876401_07026"</f>
        <v>94876401_07026</v>
      </c>
      <c r="G2838" s="6" t="str">
        <f t="shared" si="654"/>
        <v>F310631650000000</v>
      </c>
      <c r="H2838" s="6" t="str">
        <f t="shared" si="655"/>
        <v>PLAR 6316 FD - 500 g</v>
      </c>
      <c r="I2838" s="6" t="str">
        <f>"201855"</f>
        <v>201855</v>
      </c>
      <c r="J2838" s="6" t="str">
        <f>"AZUL 1855"</f>
        <v>AZUL 1855</v>
      </c>
      <c r="K2838" s="6" t="str">
        <f>"2020"</f>
        <v>2020</v>
      </c>
      <c r="L2838" s="6" t="str">
        <f>"Lençóis"</f>
        <v>Lençóis</v>
      </c>
      <c r="M2838" s="6" t="str">
        <f>"100x150"</f>
        <v>100x150</v>
      </c>
      <c r="N2838" s="6" t="str">
        <f>"5602972281064"</f>
        <v>5602972281064</v>
      </c>
      <c r="O2838" s="8">
        <v>3</v>
      </c>
      <c r="R2838" s="8">
        <v>0</v>
      </c>
      <c r="U2838" s="8">
        <v>0</v>
      </c>
      <c r="X2838" s="8">
        <v>0</v>
      </c>
      <c r="Z2838" s="8">
        <v>0</v>
      </c>
      <c r="AC2838" s="8">
        <v>0</v>
      </c>
      <c r="AF2838" s="8">
        <v>0</v>
      </c>
      <c r="AN2838" s="8">
        <v>0</v>
      </c>
      <c r="AO2838" s="8">
        <v>3</v>
      </c>
    </row>
    <row r="2839" spans="1:41" x14ac:dyDescent="0.25">
      <c r="A2839" s="6" t="str">
        <f>"522-2026000365"</f>
        <v>522-2026000365</v>
      </c>
      <c r="B2839" s="6" t="str">
        <f t="shared" si="653"/>
        <v>EL CORTE</v>
      </c>
      <c r="C2839" s="7">
        <v>46042</v>
      </c>
      <c r="D2839" s="7">
        <v>46045</v>
      </c>
      <c r="E2839" s="8">
        <v>1</v>
      </c>
      <c r="F2839" s="6" t="str">
        <f>"94877401_07026"</f>
        <v>94877401_07026</v>
      </c>
      <c r="G2839" s="6" t="str">
        <f t="shared" si="654"/>
        <v>F310631650000000</v>
      </c>
      <c r="H2839" s="6" t="str">
        <f t="shared" si="655"/>
        <v>PLAR 6316 FD - 500 g</v>
      </c>
      <c r="I2839" s="6" t="str">
        <f>"201855"</f>
        <v>201855</v>
      </c>
      <c r="J2839" s="6" t="str">
        <f>"AZUL 1855"</f>
        <v>AZUL 1855</v>
      </c>
      <c r="K2839" s="6" t="str">
        <f>"2020"</f>
        <v>2020</v>
      </c>
      <c r="L2839" s="6" t="str">
        <f>"Lençóis"</f>
        <v>Lençóis</v>
      </c>
      <c r="M2839" s="6" t="str">
        <f>"100x150"</f>
        <v>100x150</v>
      </c>
      <c r="N2839" s="6" t="str">
        <f>"5602972281064"</f>
        <v>5602972281064</v>
      </c>
      <c r="O2839" s="8">
        <v>3</v>
      </c>
      <c r="R2839" s="8">
        <v>0</v>
      </c>
      <c r="U2839" s="8">
        <v>0</v>
      </c>
      <c r="X2839" s="8">
        <v>0</v>
      </c>
      <c r="Z2839" s="8">
        <v>0</v>
      </c>
      <c r="AC2839" s="8">
        <v>0</v>
      </c>
      <c r="AF2839" s="8">
        <v>0</v>
      </c>
      <c r="AN2839" s="8">
        <v>0</v>
      </c>
      <c r="AO2839" s="8">
        <v>3</v>
      </c>
    </row>
    <row r="2840" spans="1:41" x14ac:dyDescent="0.25">
      <c r="A2840" s="6" t="str">
        <f>"522-2026000366"</f>
        <v>522-2026000366</v>
      </c>
      <c r="B2840" s="6" t="str">
        <f t="shared" si="653"/>
        <v>EL CORTE</v>
      </c>
      <c r="C2840" s="7">
        <v>46042</v>
      </c>
      <c r="D2840" s="7">
        <v>46045</v>
      </c>
      <c r="E2840" s="8">
        <v>1</v>
      </c>
      <c r="F2840" s="6" t="str">
        <f>"94875701_07026"</f>
        <v>94875701_07026</v>
      </c>
      <c r="G2840" s="6" t="str">
        <f t="shared" si="654"/>
        <v>F310631650000000</v>
      </c>
      <c r="H2840" s="6" t="str">
        <f t="shared" si="655"/>
        <v>PLAR 6316 FD - 500 g</v>
      </c>
      <c r="I2840" s="6" t="str">
        <f>"200510"</f>
        <v>200510</v>
      </c>
      <c r="J2840" s="6" t="str">
        <f>"VERDE 510"</f>
        <v>VERDE 510</v>
      </c>
      <c r="K2840" s="6" t="str">
        <f>"2020"</f>
        <v>2020</v>
      </c>
      <c r="L2840" s="6" t="str">
        <f>"Lençóis"</f>
        <v>Lençóis</v>
      </c>
      <c r="M2840" s="6" t="str">
        <f>"100x150"</f>
        <v>100x150</v>
      </c>
      <c r="N2840" s="6" t="str">
        <f>"5602972281156"</f>
        <v>5602972281156</v>
      </c>
      <c r="O2840" s="8">
        <v>3</v>
      </c>
      <c r="R2840" s="8">
        <v>0</v>
      </c>
      <c r="U2840" s="8">
        <v>0</v>
      </c>
      <c r="X2840" s="8">
        <v>0</v>
      </c>
      <c r="Z2840" s="8">
        <v>0</v>
      </c>
      <c r="AC2840" s="8">
        <v>0</v>
      </c>
      <c r="AF2840" s="8">
        <v>0</v>
      </c>
      <c r="AN2840" s="8">
        <v>0</v>
      </c>
      <c r="AO2840" s="8">
        <v>3</v>
      </c>
    </row>
    <row r="2841" spans="1:41" x14ac:dyDescent="0.25">
      <c r="A2841" s="6" t="str">
        <f>"522-2026000367"</f>
        <v>522-2026000367</v>
      </c>
      <c r="B2841" s="6" t="str">
        <f t="shared" si="653"/>
        <v>EL CORTE</v>
      </c>
      <c r="C2841" s="7">
        <v>46042</v>
      </c>
      <c r="D2841" s="7">
        <v>46045</v>
      </c>
      <c r="E2841" s="8">
        <v>1</v>
      </c>
      <c r="F2841" s="6" t="str">
        <f>"94877701_07026"</f>
        <v>94877701_07026</v>
      </c>
      <c r="G2841" s="6" t="str">
        <f t="shared" si="654"/>
        <v>F310631650000000</v>
      </c>
      <c r="H2841" s="6" t="str">
        <f t="shared" si="655"/>
        <v>PLAR 6316 FD - 500 g</v>
      </c>
      <c r="I2841" s="6" t="str">
        <f>"202575"</f>
        <v>202575</v>
      </c>
      <c r="J2841" s="6" t="str">
        <f>"BEGE 2575"</f>
        <v>BEGE 2575</v>
      </c>
      <c r="K2841" s="6" t="str">
        <f>"1024"</f>
        <v>1024</v>
      </c>
      <c r="L2841" s="6" t="str">
        <f>"Toalhas"</f>
        <v>Toalhas</v>
      </c>
      <c r="M2841" s="6" t="str">
        <f>"50x100"</f>
        <v>50x100</v>
      </c>
      <c r="N2841" s="6" t="str">
        <f>"5602972281088"</f>
        <v>5602972281088</v>
      </c>
      <c r="O2841" s="8">
        <v>6</v>
      </c>
      <c r="R2841" s="8">
        <v>0</v>
      </c>
      <c r="U2841" s="8">
        <v>0</v>
      </c>
      <c r="X2841" s="8">
        <v>0</v>
      </c>
      <c r="Z2841" s="8">
        <v>0</v>
      </c>
      <c r="AC2841" s="8">
        <v>0</v>
      </c>
      <c r="AF2841" s="8">
        <v>0</v>
      </c>
      <c r="AN2841" s="8">
        <v>6</v>
      </c>
      <c r="AO2841" s="8">
        <v>0</v>
      </c>
    </row>
    <row r="2842" spans="1:41" x14ac:dyDescent="0.25">
      <c r="A2842" s="6" t="str">
        <f>"522-2026000368"</f>
        <v>522-2026000368</v>
      </c>
      <c r="B2842" s="6" t="str">
        <f t="shared" si="653"/>
        <v>EL CORTE</v>
      </c>
      <c r="C2842" s="7">
        <v>46042</v>
      </c>
      <c r="D2842" s="7">
        <v>46045</v>
      </c>
      <c r="E2842" s="8">
        <v>1</v>
      </c>
      <c r="F2842" s="6" t="str">
        <f>"94876701_07026"</f>
        <v>94876701_07026</v>
      </c>
      <c r="G2842" s="6" t="str">
        <f t="shared" si="654"/>
        <v>F310631650000000</v>
      </c>
      <c r="H2842" s="6" t="str">
        <f t="shared" si="655"/>
        <v>PLAR 6316 FD - 500 g</v>
      </c>
      <c r="I2842" s="6" t="str">
        <f>"201855"</f>
        <v>201855</v>
      </c>
      <c r="J2842" s="6" t="str">
        <f>"AZUL 1855"</f>
        <v>AZUL 1855</v>
      </c>
      <c r="K2842" s="6" t="str">
        <f>"1024"</f>
        <v>1024</v>
      </c>
      <c r="L2842" s="6" t="str">
        <f>"Toalhas"</f>
        <v>Toalhas</v>
      </c>
      <c r="M2842" s="6" t="str">
        <f>"50x100"</f>
        <v>50x100</v>
      </c>
      <c r="N2842" s="6" t="str">
        <f>"5602972281057"</f>
        <v>5602972281057</v>
      </c>
      <c r="O2842" s="8">
        <v>12</v>
      </c>
      <c r="R2842" s="8">
        <v>0</v>
      </c>
      <c r="U2842" s="8">
        <v>0</v>
      </c>
      <c r="X2842" s="8">
        <v>0</v>
      </c>
      <c r="Z2842" s="8">
        <v>0</v>
      </c>
      <c r="AC2842" s="8">
        <v>0</v>
      </c>
      <c r="AF2842" s="8">
        <v>0</v>
      </c>
      <c r="AN2842" s="8">
        <v>12</v>
      </c>
      <c r="AO2842" s="8">
        <v>0</v>
      </c>
    </row>
    <row r="2843" spans="1:41" x14ac:dyDescent="0.25">
      <c r="A2843" s="6" t="str">
        <f>"522-2026000368"</f>
        <v>522-2026000368</v>
      </c>
      <c r="B2843" s="6" t="str">
        <f t="shared" si="653"/>
        <v>EL CORTE</v>
      </c>
      <c r="C2843" s="7">
        <v>46042</v>
      </c>
      <c r="D2843" s="7">
        <v>46045</v>
      </c>
      <c r="E2843" s="8">
        <v>2</v>
      </c>
      <c r="F2843" s="6" t="str">
        <f>"94876701_07026"</f>
        <v>94876701_07026</v>
      </c>
      <c r="G2843" s="6" t="str">
        <f t="shared" si="654"/>
        <v>F310631650000000</v>
      </c>
      <c r="H2843" s="6" t="str">
        <f t="shared" si="655"/>
        <v>PLAR 6316 FD - 500 g</v>
      </c>
      <c r="I2843" s="6" t="str">
        <f>"200901"</f>
        <v>200901</v>
      </c>
      <c r="J2843" s="6" t="str">
        <f>"ROSA 901"</f>
        <v>ROSA 901</v>
      </c>
      <c r="K2843" s="6" t="str">
        <f>"0520"</f>
        <v>0520</v>
      </c>
      <c r="L2843" s="6" t="str">
        <f>"Toalhetes"</f>
        <v>Toalhetes</v>
      </c>
      <c r="M2843" s="6" t="str">
        <f>"30x50"</f>
        <v>30x50</v>
      </c>
      <c r="N2843" s="6" t="str">
        <f>"5602972281101"</f>
        <v>5602972281101</v>
      </c>
      <c r="O2843" s="8">
        <v>12</v>
      </c>
      <c r="R2843" s="8">
        <v>0</v>
      </c>
      <c r="U2843" s="8">
        <v>0</v>
      </c>
      <c r="X2843" s="8">
        <v>0</v>
      </c>
      <c r="Z2843" s="8">
        <v>0</v>
      </c>
      <c r="AC2843" s="8">
        <v>0</v>
      </c>
      <c r="AF2843" s="8">
        <v>0</v>
      </c>
      <c r="AN2843" s="8">
        <v>0</v>
      </c>
      <c r="AO2843" s="8">
        <v>12</v>
      </c>
    </row>
    <row r="2844" spans="1:41" x14ac:dyDescent="0.25">
      <c r="A2844" s="6" t="str">
        <f>"522-2026000368"</f>
        <v>522-2026000368</v>
      </c>
      <c r="B2844" s="6" t="str">
        <f t="shared" si="653"/>
        <v>EL CORTE</v>
      </c>
      <c r="C2844" s="7">
        <v>46042</v>
      </c>
      <c r="D2844" s="7">
        <v>46045</v>
      </c>
      <c r="E2844" s="8">
        <v>3</v>
      </c>
      <c r="F2844" s="6" t="str">
        <f>"94876701_07026"</f>
        <v>94876701_07026</v>
      </c>
      <c r="G2844" s="6" t="str">
        <f t="shared" si="654"/>
        <v>F310631650000000</v>
      </c>
      <c r="H2844" s="6" t="str">
        <f t="shared" si="655"/>
        <v>PLAR 6316 FD - 500 g</v>
      </c>
      <c r="I2844" s="6" t="str">
        <f>"200901"</f>
        <v>200901</v>
      </c>
      <c r="J2844" s="6" t="str">
        <f>"ROSA 901"</f>
        <v>ROSA 901</v>
      </c>
      <c r="K2844" s="6" t="str">
        <f>"1024"</f>
        <v>1024</v>
      </c>
      <c r="L2844" s="6" t="str">
        <f>"Toalhas"</f>
        <v>Toalhas</v>
      </c>
      <c r="M2844" s="6" t="str">
        <f>"50x100"</f>
        <v>50x100</v>
      </c>
      <c r="N2844" s="6" t="str">
        <f>"5602972281118"</f>
        <v>5602972281118</v>
      </c>
      <c r="O2844" s="8">
        <v>12</v>
      </c>
      <c r="R2844" s="8">
        <v>0</v>
      </c>
      <c r="U2844" s="8">
        <v>0</v>
      </c>
      <c r="X2844" s="8">
        <v>0</v>
      </c>
      <c r="Z2844" s="8">
        <v>0</v>
      </c>
      <c r="AC2844" s="8">
        <v>0</v>
      </c>
      <c r="AF2844" s="8">
        <v>0</v>
      </c>
      <c r="AN2844" s="8">
        <v>12</v>
      </c>
      <c r="AO2844" s="8">
        <v>0</v>
      </c>
    </row>
    <row r="2845" spans="1:41" x14ac:dyDescent="0.25">
      <c r="A2845" s="6" t="str">
        <f>"522-2026000368"</f>
        <v>522-2026000368</v>
      </c>
      <c r="B2845" s="6" t="str">
        <f t="shared" si="653"/>
        <v>EL CORTE</v>
      </c>
      <c r="C2845" s="7">
        <v>46042</v>
      </c>
      <c r="D2845" s="7">
        <v>46045</v>
      </c>
      <c r="E2845" s="8">
        <v>4</v>
      </c>
      <c r="F2845" s="6" t="str">
        <f>"94876701_07026"</f>
        <v>94876701_07026</v>
      </c>
      <c r="G2845" s="6" t="str">
        <f t="shared" si="654"/>
        <v>F310631650000000</v>
      </c>
      <c r="H2845" s="6" t="str">
        <f t="shared" si="655"/>
        <v>PLAR 6316 FD - 500 g</v>
      </c>
      <c r="I2845" s="6" t="str">
        <f>"200901"</f>
        <v>200901</v>
      </c>
      <c r="J2845" s="6" t="str">
        <f>"ROSA 901"</f>
        <v>ROSA 901</v>
      </c>
      <c r="K2845" s="6" t="str">
        <f>"2020"</f>
        <v>2020</v>
      </c>
      <c r="L2845" s="6" t="str">
        <f>"Lençóis"</f>
        <v>Lençóis</v>
      </c>
      <c r="M2845" s="6" t="str">
        <f>"100x150"</f>
        <v>100x150</v>
      </c>
      <c r="N2845" s="6" t="str">
        <f>"5602972281125"</f>
        <v>5602972281125</v>
      </c>
      <c r="O2845" s="8">
        <v>6</v>
      </c>
      <c r="R2845" s="8">
        <v>0</v>
      </c>
      <c r="U2845" s="8">
        <v>0</v>
      </c>
      <c r="X2845" s="8">
        <v>0</v>
      </c>
      <c r="Z2845" s="8">
        <v>0</v>
      </c>
      <c r="AC2845" s="8">
        <v>0</v>
      </c>
      <c r="AF2845" s="8">
        <v>0</v>
      </c>
      <c r="AN2845" s="8">
        <v>0</v>
      </c>
      <c r="AO2845" s="8">
        <v>6</v>
      </c>
    </row>
    <row r="2846" spans="1:41" x14ac:dyDescent="0.25">
      <c r="A2846" s="6" t="str">
        <f>"522-2026000369"</f>
        <v>522-2026000369</v>
      </c>
      <c r="B2846" s="6" t="str">
        <f t="shared" si="653"/>
        <v>EL CORTE</v>
      </c>
      <c r="C2846" s="7">
        <v>46042</v>
      </c>
      <c r="D2846" s="7">
        <v>46045</v>
      </c>
      <c r="E2846" s="8">
        <v>1</v>
      </c>
      <c r="F2846" s="6" t="str">
        <f>"94877101_07026"</f>
        <v>94877101_07026</v>
      </c>
      <c r="G2846" s="6" t="str">
        <f t="shared" si="654"/>
        <v>F310631650000000</v>
      </c>
      <c r="H2846" s="6" t="str">
        <f t="shared" si="655"/>
        <v>PLAR 6316 FD - 500 g</v>
      </c>
      <c r="I2846" s="6" t="str">
        <f>"201855"</f>
        <v>201855</v>
      </c>
      <c r="J2846" s="6" t="str">
        <f>"AZUL 1855"</f>
        <v>AZUL 1855</v>
      </c>
      <c r="K2846" s="6" t="str">
        <f>"2020"</f>
        <v>2020</v>
      </c>
      <c r="L2846" s="6" t="str">
        <f>"Lençóis"</f>
        <v>Lençóis</v>
      </c>
      <c r="M2846" s="6" t="str">
        <f>"100x150"</f>
        <v>100x150</v>
      </c>
      <c r="N2846" s="6" t="str">
        <f>"5602972281064"</f>
        <v>5602972281064</v>
      </c>
      <c r="O2846" s="8">
        <v>3</v>
      </c>
      <c r="R2846" s="8">
        <v>0</v>
      </c>
      <c r="U2846" s="8">
        <v>0</v>
      </c>
      <c r="X2846" s="8">
        <v>0</v>
      </c>
      <c r="Z2846" s="8">
        <v>0</v>
      </c>
      <c r="AC2846" s="8">
        <v>0</v>
      </c>
      <c r="AF2846" s="8">
        <v>0</v>
      </c>
      <c r="AN2846" s="8">
        <v>0</v>
      </c>
      <c r="AO2846" s="8">
        <v>3</v>
      </c>
    </row>
    <row r="2847" spans="1:41" x14ac:dyDescent="0.25">
      <c r="A2847" s="6" t="str">
        <f>"522-2026000370"</f>
        <v>522-2026000370</v>
      </c>
      <c r="B2847" s="6" t="str">
        <f t="shared" si="653"/>
        <v>EL CORTE</v>
      </c>
      <c r="C2847" s="7">
        <v>46042</v>
      </c>
      <c r="D2847" s="7">
        <v>46045</v>
      </c>
      <c r="E2847" s="8">
        <v>1</v>
      </c>
      <c r="F2847" s="6" t="str">
        <f>"94875901_07026"</f>
        <v>94875901_07026</v>
      </c>
      <c r="G2847" s="6" t="str">
        <f t="shared" si="654"/>
        <v>F310631650000000</v>
      </c>
      <c r="H2847" s="6" t="str">
        <f t="shared" si="655"/>
        <v>PLAR 6316 FD - 500 g</v>
      </c>
      <c r="I2847" s="6" t="str">
        <f>"200901"</f>
        <v>200901</v>
      </c>
      <c r="J2847" s="6" t="str">
        <f>"ROSA 901"</f>
        <v>ROSA 901</v>
      </c>
      <c r="K2847" s="6" t="str">
        <f>"1024"</f>
        <v>1024</v>
      </c>
      <c r="L2847" s="6" t="str">
        <f>"Toalhas"</f>
        <v>Toalhas</v>
      </c>
      <c r="M2847" s="6" t="str">
        <f>"50x100"</f>
        <v>50x100</v>
      </c>
      <c r="N2847" s="6" t="str">
        <f>"5602972281118"</f>
        <v>5602972281118</v>
      </c>
      <c r="O2847" s="8">
        <v>6</v>
      </c>
      <c r="R2847" s="8">
        <v>0</v>
      </c>
      <c r="U2847" s="8">
        <v>0</v>
      </c>
      <c r="X2847" s="8">
        <v>0</v>
      </c>
      <c r="Z2847" s="8">
        <v>0</v>
      </c>
      <c r="AC2847" s="8">
        <v>0</v>
      </c>
      <c r="AF2847" s="8">
        <v>0</v>
      </c>
      <c r="AN2847" s="8">
        <v>6</v>
      </c>
      <c r="AO2847" s="8">
        <v>0</v>
      </c>
    </row>
    <row r="2848" spans="1:41" x14ac:dyDescent="0.25">
      <c r="A2848" s="6" t="str">
        <f>"522-2026000371"</f>
        <v>522-2026000371</v>
      </c>
      <c r="B2848" s="6" t="str">
        <f t="shared" si="653"/>
        <v>EL CORTE</v>
      </c>
      <c r="C2848" s="7">
        <v>46042</v>
      </c>
      <c r="D2848" s="7">
        <v>46045</v>
      </c>
      <c r="E2848" s="8">
        <v>1</v>
      </c>
      <c r="F2848" s="6" t="str">
        <f>"94876201_07026"</f>
        <v>94876201_07026</v>
      </c>
      <c r="G2848" s="6" t="str">
        <f t="shared" si="654"/>
        <v>F310631650000000</v>
      </c>
      <c r="H2848" s="6" t="str">
        <f t="shared" si="655"/>
        <v>PLAR 6316 FD - 500 g</v>
      </c>
      <c r="I2848" s="6" t="str">
        <f>"200901"</f>
        <v>200901</v>
      </c>
      <c r="J2848" s="6" t="str">
        <f>"ROSA 901"</f>
        <v>ROSA 901</v>
      </c>
      <c r="K2848" s="6" t="str">
        <f t="shared" ref="K2848:K2853" si="656">"2020"</f>
        <v>2020</v>
      </c>
      <c r="L2848" s="6" t="str">
        <f t="shared" ref="L2848:L2853" si="657">"Lençóis"</f>
        <v>Lençóis</v>
      </c>
      <c r="M2848" s="6" t="str">
        <f t="shared" ref="M2848:M2853" si="658">"100x150"</f>
        <v>100x150</v>
      </c>
      <c r="N2848" s="6" t="str">
        <f>"5602972281125"</f>
        <v>5602972281125</v>
      </c>
      <c r="O2848" s="8">
        <v>3</v>
      </c>
      <c r="R2848" s="8">
        <v>0</v>
      </c>
      <c r="U2848" s="8">
        <v>0</v>
      </c>
      <c r="X2848" s="8">
        <v>0</v>
      </c>
      <c r="Z2848" s="8">
        <v>0</v>
      </c>
      <c r="AC2848" s="8">
        <v>0</v>
      </c>
      <c r="AF2848" s="8">
        <v>0</v>
      </c>
      <c r="AN2848" s="8">
        <v>0</v>
      </c>
      <c r="AO2848" s="8">
        <v>3</v>
      </c>
    </row>
    <row r="2849" spans="1:41" x14ac:dyDescent="0.25">
      <c r="A2849" s="6" t="str">
        <f>"522-2026000372"</f>
        <v>522-2026000372</v>
      </c>
      <c r="B2849" s="6" t="str">
        <f t="shared" si="653"/>
        <v>EL CORTE</v>
      </c>
      <c r="C2849" s="7">
        <v>46042</v>
      </c>
      <c r="D2849" s="7">
        <v>46045</v>
      </c>
      <c r="E2849" s="8">
        <v>1</v>
      </c>
      <c r="F2849" s="6" t="str">
        <f>"94877001_07026"</f>
        <v>94877001_07026</v>
      </c>
      <c r="G2849" s="6" t="str">
        <f t="shared" si="654"/>
        <v>F310631650000000</v>
      </c>
      <c r="H2849" s="6" t="str">
        <f t="shared" si="655"/>
        <v>PLAR 6316 FD - 500 g</v>
      </c>
      <c r="I2849" s="6" t="str">
        <f>"201855"</f>
        <v>201855</v>
      </c>
      <c r="J2849" s="6" t="str">
        <f>"AZUL 1855"</f>
        <v>AZUL 1855</v>
      </c>
      <c r="K2849" s="6" t="str">
        <f t="shared" si="656"/>
        <v>2020</v>
      </c>
      <c r="L2849" s="6" t="str">
        <f t="shared" si="657"/>
        <v>Lençóis</v>
      </c>
      <c r="M2849" s="6" t="str">
        <f t="shared" si="658"/>
        <v>100x150</v>
      </c>
      <c r="N2849" s="6" t="str">
        <f>"5602972281064"</f>
        <v>5602972281064</v>
      </c>
      <c r="O2849" s="8">
        <v>3</v>
      </c>
      <c r="R2849" s="8">
        <v>0</v>
      </c>
      <c r="U2849" s="8">
        <v>0</v>
      </c>
      <c r="X2849" s="8">
        <v>0</v>
      </c>
      <c r="Z2849" s="8">
        <v>0</v>
      </c>
      <c r="AC2849" s="8">
        <v>0</v>
      </c>
      <c r="AF2849" s="8">
        <v>0</v>
      </c>
      <c r="AN2849" s="8">
        <v>0</v>
      </c>
      <c r="AO2849" s="8">
        <v>3</v>
      </c>
    </row>
    <row r="2850" spans="1:41" x14ac:dyDescent="0.25">
      <c r="A2850" s="6" t="str">
        <f>"522-2026000372"</f>
        <v>522-2026000372</v>
      </c>
      <c r="B2850" s="6" t="str">
        <f t="shared" si="653"/>
        <v>EL CORTE</v>
      </c>
      <c r="C2850" s="7">
        <v>46042</v>
      </c>
      <c r="D2850" s="7">
        <v>46045</v>
      </c>
      <c r="E2850" s="8">
        <v>2</v>
      </c>
      <c r="F2850" s="6" t="str">
        <f>"94877001_07026"</f>
        <v>94877001_07026</v>
      </c>
      <c r="G2850" s="6" t="str">
        <f t="shared" si="654"/>
        <v>F310631650000000</v>
      </c>
      <c r="H2850" s="6" t="str">
        <f t="shared" si="655"/>
        <v>PLAR 6316 FD - 500 g</v>
      </c>
      <c r="I2850" s="6" t="str">
        <f>"202575"</f>
        <v>202575</v>
      </c>
      <c r="J2850" s="6" t="str">
        <f>"BEGE 2575"</f>
        <v>BEGE 2575</v>
      </c>
      <c r="K2850" s="6" t="str">
        <f t="shared" si="656"/>
        <v>2020</v>
      </c>
      <c r="L2850" s="6" t="str">
        <f t="shared" si="657"/>
        <v>Lençóis</v>
      </c>
      <c r="M2850" s="6" t="str">
        <f t="shared" si="658"/>
        <v>100x150</v>
      </c>
      <c r="N2850" s="6" t="str">
        <f>"5602972281095"</f>
        <v>5602972281095</v>
      </c>
      <c r="O2850" s="8">
        <v>9</v>
      </c>
      <c r="R2850" s="8">
        <v>0</v>
      </c>
      <c r="U2850" s="8">
        <v>0</v>
      </c>
      <c r="X2850" s="8">
        <v>0</v>
      </c>
      <c r="Z2850" s="8">
        <v>0</v>
      </c>
      <c r="AC2850" s="8">
        <v>0</v>
      </c>
      <c r="AF2850" s="8">
        <v>0</v>
      </c>
      <c r="AN2850" s="8">
        <v>0</v>
      </c>
      <c r="AO2850" s="8">
        <v>9</v>
      </c>
    </row>
    <row r="2851" spans="1:41" x14ac:dyDescent="0.25">
      <c r="A2851" s="6" t="str">
        <f>"522-2026000372"</f>
        <v>522-2026000372</v>
      </c>
      <c r="B2851" s="6" t="str">
        <f t="shared" si="653"/>
        <v>EL CORTE</v>
      </c>
      <c r="C2851" s="7">
        <v>46042</v>
      </c>
      <c r="D2851" s="7">
        <v>46045</v>
      </c>
      <c r="E2851" s="8">
        <v>3</v>
      </c>
      <c r="F2851" s="6" t="str">
        <f>"94877001_07026"</f>
        <v>94877001_07026</v>
      </c>
      <c r="G2851" s="6" t="str">
        <f t="shared" si="654"/>
        <v>F310631650000000</v>
      </c>
      <c r="H2851" s="6" t="str">
        <f t="shared" si="655"/>
        <v>PLAR 6316 FD - 500 g</v>
      </c>
      <c r="I2851" s="6" t="str">
        <f>"200901"</f>
        <v>200901</v>
      </c>
      <c r="J2851" s="6" t="str">
        <f>"ROSA 901"</f>
        <v>ROSA 901</v>
      </c>
      <c r="K2851" s="6" t="str">
        <f t="shared" si="656"/>
        <v>2020</v>
      </c>
      <c r="L2851" s="6" t="str">
        <f t="shared" si="657"/>
        <v>Lençóis</v>
      </c>
      <c r="M2851" s="6" t="str">
        <f t="shared" si="658"/>
        <v>100x150</v>
      </c>
      <c r="N2851" s="6" t="str">
        <f>"5602972281125"</f>
        <v>5602972281125</v>
      </c>
      <c r="O2851" s="8">
        <v>9</v>
      </c>
      <c r="R2851" s="8">
        <v>0</v>
      </c>
      <c r="U2851" s="8">
        <v>0</v>
      </c>
      <c r="X2851" s="8">
        <v>0</v>
      </c>
      <c r="Z2851" s="8">
        <v>0</v>
      </c>
      <c r="AC2851" s="8">
        <v>0</v>
      </c>
      <c r="AF2851" s="8">
        <v>0</v>
      </c>
      <c r="AN2851" s="8">
        <v>0</v>
      </c>
      <c r="AO2851" s="8">
        <v>9</v>
      </c>
    </row>
    <row r="2852" spans="1:41" x14ac:dyDescent="0.25">
      <c r="A2852" s="6" t="str">
        <f>"522-2026000372"</f>
        <v>522-2026000372</v>
      </c>
      <c r="B2852" s="6" t="str">
        <f t="shared" si="653"/>
        <v>EL CORTE</v>
      </c>
      <c r="C2852" s="7">
        <v>46042</v>
      </c>
      <c r="D2852" s="7">
        <v>46045</v>
      </c>
      <c r="E2852" s="8">
        <v>4</v>
      </c>
      <c r="F2852" s="6" t="str">
        <f>"94877001_07026"</f>
        <v>94877001_07026</v>
      </c>
      <c r="G2852" s="6" t="str">
        <f t="shared" si="654"/>
        <v>F310631650000000</v>
      </c>
      <c r="H2852" s="6" t="str">
        <f t="shared" si="655"/>
        <v>PLAR 6316 FD - 500 g</v>
      </c>
      <c r="I2852" s="6" t="str">
        <f>"200510"</f>
        <v>200510</v>
      </c>
      <c r="J2852" s="6" t="str">
        <f>"VERDE 510"</f>
        <v>VERDE 510</v>
      </c>
      <c r="K2852" s="6" t="str">
        <f t="shared" si="656"/>
        <v>2020</v>
      </c>
      <c r="L2852" s="6" t="str">
        <f t="shared" si="657"/>
        <v>Lençóis</v>
      </c>
      <c r="M2852" s="6" t="str">
        <f t="shared" si="658"/>
        <v>100x150</v>
      </c>
      <c r="N2852" s="6" t="str">
        <f>"5602972281156"</f>
        <v>5602972281156</v>
      </c>
      <c r="O2852" s="8">
        <v>9</v>
      </c>
      <c r="R2852" s="8">
        <v>0</v>
      </c>
      <c r="U2852" s="8">
        <v>0</v>
      </c>
      <c r="X2852" s="8">
        <v>0</v>
      </c>
      <c r="Z2852" s="8">
        <v>0</v>
      </c>
      <c r="AC2852" s="8">
        <v>0</v>
      </c>
      <c r="AF2852" s="8">
        <v>0</v>
      </c>
      <c r="AN2852" s="8">
        <v>0</v>
      </c>
      <c r="AO2852" s="8">
        <v>9</v>
      </c>
    </row>
    <row r="2853" spans="1:41" x14ac:dyDescent="0.25">
      <c r="A2853" s="6" t="str">
        <f>"522-2026000373"</f>
        <v>522-2026000373</v>
      </c>
      <c r="B2853" s="6" t="str">
        <f t="shared" si="653"/>
        <v>EL CORTE</v>
      </c>
      <c r="C2853" s="7">
        <v>46042</v>
      </c>
      <c r="D2853" s="7">
        <v>46045</v>
      </c>
      <c r="E2853" s="8">
        <v>1</v>
      </c>
      <c r="F2853" s="6" t="str">
        <f>"94877901_07026"</f>
        <v>94877901_07026</v>
      </c>
      <c r="G2853" s="6" t="str">
        <f t="shared" si="654"/>
        <v>F310631650000000</v>
      </c>
      <c r="H2853" s="6" t="str">
        <f t="shared" si="655"/>
        <v>PLAR 6316 FD - 500 g</v>
      </c>
      <c r="I2853" s="6" t="str">
        <f>"200510"</f>
        <v>200510</v>
      </c>
      <c r="J2853" s="6" t="str">
        <f>"VERDE 510"</f>
        <v>VERDE 510</v>
      </c>
      <c r="K2853" s="6" t="str">
        <f t="shared" si="656"/>
        <v>2020</v>
      </c>
      <c r="L2853" s="6" t="str">
        <f t="shared" si="657"/>
        <v>Lençóis</v>
      </c>
      <c r="M2853" s="6" t="str">
        <f t="shared" si="658"/>
        <v>100x150</v>
      </c>
      <c r="N2853" s="6" t="str">
        <f>"5602972281156"</f>
        <v>5602972281156</v>
      </c>
      <c r="O2853" s="8">
        <v>3</v>
      </c>
      <c r="R2853" s="8">
        <v>0</v>
      </c>
      <c r="U2853" s="8">
        <v>0</v>
      </c>
      <c r="X2853" s="8">
        <v>0</v>
      </c>
      <c r="Z2853" s="8">
        <v>0</v>
      </c>
      <c r="AC2853" s="8">
        <v>0</v>
      </c>
      <c r="AF2853" s="8">
        <v>0</v>
      </c>
      <c r="AN2853" s="8">
        <v>0</v>
      </c>
      <c r="AO2853" s="8">
        <v>3</v>
      </c>
    </row>
    <row r="2854" spans="1:41" x14ac:dyDescent="0.25">
      <c r="A2854" s="6" t="str">
        <f>"522-2026000374"</f>
        <v>522-2026000374</v>
      </c>
      <c r="B2854" s="6" t="str">
        <f t="shared" si="653"/>
        <v>EL CORTE</v>
      </c>
      <c r="C2854" s="7">
        <v>46042</v>
      </c>
      <c r="D2854" s="7">
        <v>46045</v>
      </c>
      <c r="E2854" s="8">
        <v>1</v>
      </c>
      <c r="F2854" s="6" t="str">
        <f>"94877801_07026"</f>
        <v>94877801_07026</v>
      </c>
      <c r="G2854" s="6" t="str">
        <f t="shared" si="654"/>
        <v>F310631650000000</v>
      </c>
      <c r="H2854" s="6" t="str">
        <f t="shared" si="655"/>
        <v>PLAR 6316 FD - 500 g</v>
      </c>
      <c r="I2854" s="6" t="str">
        <f>"200510"</f>
        <v>200510</v>
      </c>
      <c r="J2854" s="6" t="str">
        <f>"VERDE 510"</f>
        <v>VERDE 510</v>
      </c>
      <c r="K2854" s="6" t="str">
        <f>"0520"</f>
        <v>0520</v>
      </c>
      <c r="L2854" s="6" t="str">
        <f>"Toalhetes"</f>
        <v>Toalhetes</v>
      </c>
      <c r="M2854" s="6" t="str">
        <f>"30x50"</f>
        <v>30x50</v>
      </c>
      <c r="N2854" s="6" t="str">
        <f>"5602972281132"</f>
        <v>5602972281132</v>
      </c>
      <c r="O2854" s="8">
        <v>6</v>
      </c>
      <c r="R2854" s="8">
        <v>0</v>
      </c>
      <c r="U2854" s="8">
        <v>0</v>
      </c>
      <c r="X2854" s="8">
        <v>0</v>
      </c>
      <c r="Z2854" s="8">
        <v>0</v>
      </c>
      <c r="AC2854" s="8">
        <v>0</v>
      </c>
      <c r="AF2854" s="8">
        <v>0</v>
      </c>
      <c r="AN2854" s="8">
        <v>0</v>
      </c>
      <c r="AO2854" s="8">
        <v>6</v>
      </c>
    </row>
    <row r="2855" spans="1:41" x14ac:dyDescent="0.25">
      <c r="A2855" s="6" t="str">
        <f t="shared" ref="A2855:A2866" si="659">"522-2026000375"</f>
        <v>522-2026000375</v>
      </c>
      <c r="B2855" s="6" t="str">
        <f t="shared" si="653"/>
        <v>EL CORTE</v>
      </c>
      <c r="C2855" s="7">
        <v>46042</v>
      </c>
      <c r="D2855" s="7">
        <v>46045</v>
      </c>
      <c r="E2855" s="8">
        <v>1</v>
      </c>
      <c r="F2855" s="6" t="str">
        <f t="shared" ref="F2855:F2866" si="660">"94876901_07026"</f>
        <v>94876901_07026</v>
      </c>
      <c r="G2855" s="6" t="str">
        <f t="shared" si="654"/>
        <v>F310631650000000</v>
      </c>
      <c r="H2855" s="6" t="str">
        <f t="shared" si="655"/>
        <v>PLAR 6316 FD - 500 g</v>
      </c>
      <c r="I2855" s="6" t="str">
        <f>"201855"</f>
        <v>201855</v>
      </c>
      <c r="J2855" s="6" t="str">
        <f>"AZUL 1855"</f>
        <v>AZUL 1855</v>
      </c>
      <c r="K2855" s="6" t="str">
        <f>"0520"</f>
        <v>0520</v>
      </c>
      <c r="L2855" s="6" t="str">
        <f>"Toalhetes"</f>
        <v>Toalhetes</v>
      </c>
      <c r="M2855" s="6" t="str">
        <f>"30x50"</f>
        <v>30x50</v>
      </c>
      <c r="N2855" s="6" t="str">
        <f>"5602972281040"</f>
        <v>5602972281040</v>
      </c>
      <c r="O2855" s="8">
        <v>18</v>
      </c>
      <c r="R2855" s="8">
        <v>0</v>
      </c>
      <c r="U2855" s="8">
        <v>0</v>
      </c>
      <c r="X2855" s="8">
        <v>0</v>
      </c>
      <c r="Z2855" s="8">
        <v>0</v>
      </c>
      <c r="AC2855" s="8">
        <v>0</v>
      </c>
      <c r="AF2855" s="8">
        <v>0</v>
      </c>
      <c r="AN2855" s="8">
        <v>0</v>
      </c>
      <c r="AO2855" s="8">
        <v>18</v>
      </c>
    </row>
    <row r="2856" spans="1:41" x14ac:dyDescent="0.25">
      <c r="A2856" s="6" t="str">
        <f t="shared" si="659"/>
        <v>522-2026000375</v>
      </c>
      <c r="B2856" s="6" t="str">
        <f t="shared" si="653"/>
        <v>EL CORTE</v>
      </c>
      <c r="C2856" s="7">
        <v>46042</v>
      </c>
      <c r="D2856" s="7">
        <v>46045</v>
      </c>
      <c r="E2856" s="8">
        <v>2</v>
      </c>
      <c r="F2856" s="6" t="str">
        <f t="shared" si="660"/>
        <v>94876901_07026</v>
      </c>
      <c r="G2856" s="6" t="str">
        <f t="shared" si="654"/>
        <v>F310631650000000</v>
      </c>
      <c r="H2856" s="6" t="str">
        <f t="shared" si="655"/>
        <v>PLAR 6316 FD - 500 g</v>
      </c>
      <c r="I2856" s="6" t="str">
        <f>"201855"</f>
        <v>201855</v>
      </c>
      <c r="J2856" s="6" t="str">
        <f>"AZUL 1855"</f>
        <v>AZUL 1855</v>
      </c>
      <c r="K2856" s="6" t="str">
        <f>"1024"</f>
        <v>1024</v>
      </c>
      <c r="L2856" s="6" t="str">
        <f>"Toalhas"</f>
        <v>Toalhas</v>
      </c>
      <c r="M2856" s="6" t="str">
        <f>"50x100"</f>
        <v>50x100</v>
      </c>
      <c r="N2856" s="6" t="str">
        <f>"5602972281057"</f>
        <v>5602972281057</v>
      </c>
      <c r="O2856" s="8">
        <v>18</v>
      </c>
      <c r="R2856" s="8">
        <v>0</v>
      </c>
      <c r="U2856" s="8">
        <v>0</v>
      </c>
      <c r="X2856" s="8">
        <v>0</v>
      </c>
      <c r="Z2856" s="8">
        <v>0</v>
      </c>
      <c r="AC2856" s="8">
        <v>0</v>
      </c>
      <c r="AF2856" s="8">
        <v>0</v>
      </c>
      <c r="AN2856" s="8">
        <v>18</v>
      </c>
      <c r="AO2856" s="8">
        <v>0</v>
      </c>
    </row>
    <row r="2857" spans="1:41" x14ac:dyDescent="0.25">
      <c r="A2857" s="6" t="str">
        <f t="shared" si="659"/>
        <v>522-2026000375</v>
      </c>
      <c r="B2857" s="6" t="str">
        <f t="shared" si="653"/>
        <v>EL CORTE</v>
      </c>
      <c r="C2857" s="7">
        <v>46042</v>
      </c>
      <c r="D2857" s="7">
        <v>46045</v>
      </c>
      <c r="E2857" s="8">
        <v>3</v>
      </c>
      <c r="F2857" s="6" t="str">
        <f t="shared" si="660"/>
        <v>94876901_07026</v>
      </c>
      <c r="G2857" s="6" t="str">
        <f t="shared" si="654"/>
        <v>F310631650000000</v>
      </c>
      <c r="H2857" s="6" t="str">
        <f t="shared" si="655"/>
        <v>PLAR 6316 FD - 500 g</v>
      </c>
      <c r="I2857" s="6" t="str">
        <f>"201855"</f>
        <v>201855</v>
      </c>
      <c r="J2857" s="6" t="str">
        <f>"AZUL 1855"</f>
        <v>AZUL 1855</v>
      </c>
      <c r="K2857" s="6" t="str">
        <f>"2020"</f>
        <v>2020</v>
      </c>
      <c r="L2857" s="6" t="str">
        <f>"Lençóis"</f>
        <v>Lençóis</v>
      </c>
      <c r="M2857" s="6" t="str">
        <f>"100x150"</f>
        <v>100x150</v>
      </c>
      <c r="N2857" s="6" t="str">
        <f>"5602972281064"</f>
        <v>5602972281064</v>
      </c>
      <c r="O2857" s="8">
        <v>15</v>
      </c>
      <c r="R2857" s="8">
        <v>0</v>
      </c>
      <c r="U2857" s="8">
        <v>0</v>
      </c>
      <c r="X2857" s="8">
        <v>0</v>
      </c>
      <c r="Z2857" s="8">
        <v>0</v>
      </c>
      <c r="AC2857" s="8">
        <v>0</v>
      </c>
      <c r="AF2857" s="8">
        <v>0</v>
      </c>
      <c r="AN2857" s="8">
        <v>0</v>
      </c>
      <c r="AO2857" s="8">
        <v>15</v>
      </c>
    </row>
    <row r="2858" spans="1:41" x14ac:dyDescent="0.25">
      <c r="A2858" s="6" t="str">
        <f t="shared" si="659"/>
        <v>522-2026000375</v>
      </c>
      <c r="B2858" s="6" t="str">
        <f t="shared" si="653"/>
        <v>EL CORTE</v>
      </c>
      <c r="C2858" s="7">
        <v>46042</v>
      </c>
      <c r="D2858" s="7">
        <v>46045</v>
      </c>
      <c r="E2858" s="8">
        <v>4</v>
      </c>
      <c r="F2858" s="6" t="str">
        <f t="shared" si="660"/>
        <v>94876901_07026</v>
      </c>
      <c r="G2858" s="6" t="str">
        <f t="shared" si="654"/>
        <v>F310631650000000</v>
      </c>
      <c r="H2858" s="6" t="str">
        <f t="shared" si="655"/>
        <v>PLAR 6316 FD - 500 g</v>
      </c>
      <c r="I2858" s="6" t="str">
        <f>"202575"</f>
        <v>202575</v>
      </c>
      <c r="J2858" s="6" t="str">
        <f>"BEGE 2575"</f>
        <v>BEGE 2575</v>
      </c>
      <c r="K2858" s="6" t="str">
        <f>"0520"</f>
        <v>0520</v>
      </c>
      <c r="L2858" s="6" t="str">
        <f>"Toalhetes"</f>
        <v>Toalhetes</v>
      </c>
      <c r="M2858" s="6" t="str">
        <f>"30x50"</f>
        <v>30x50</v>
      </c>
      <c r="N2858" s="6" t="str">
        <f>"5602972281071"</f>
        <v>5602972281071</v>
      </c>
      <c r="O2858" s="8">
        <v>18</v>
      </c>
      <c r="R2858" s="8">
        <v>0</v>
      </c>
      <c r="U2858" s="8">
        <v>0</v>
      </c>
      <c r="X2858" s="8">
        <v>0</v>
      </c>
      <c r="Z2858" s="8">
        <v>0</v>
      </c>
      <c r="AC2858" s="8">
        <v>0</v>
      </c>
      <c r="AF2858" s="8">
        <v>0</v>
      </c>
      <c r="AN2858" s="8">
        <v>18</v>
      </c>
      <c r="AO2858" s="8">
        <v>0</v>
      </c>
    </row>
    <row r="2859" spans="1:41" x14ac:dyDescent="0.25">
      <c r="A2859" s="6" t="str">
        <f t="shared" si="659"/>
        <v>522-2026000375</v>
      </c>
      <c r="B2859" s="6" t="str">
        <f t="shared" si="653"/>
        <v>EL CORTE</v>
      </c>
      <c r="C2859" s="7">
        <v>46042</v>
      </c>
      <c r="D2859" s="7">
        <v>46045</v>
      </c>
      <c r="E2859" s="8">
        <v>5</v>
      </c>
      <c r="F2859" s="6" t="str">
        <f t="shared" si="660"/>
        <v>94876901_07026</v>
      </c>
      <c r="G2859" s="6" t="str">
        <f t="shared" si="654"/>
        <v>F310631650000000</v>
      </c>
      <c r="H2859" s="6" t="str">
        <f t="shared" si="655"/>
        <v>PLAR 6316 FD - 500 g</v>
      </c>
      <c r="I2859" s="6" t="str">
        <f>"202575"</f>
        <v>202575</v>
      </c>
      <c r="J2859" s="6" t="str">
        <f>"BEGE 2575"</f>
        <v>BEGE 2575</v>
      </c>
      <c r="K2859" s="6" t="str">
        <f>"1024"</f>
        <v>1024</v>
      </c>
      <c r="L2859" s="6" t="str">
        <f>"Toalhas"</f>
        <v>Toalhas</v>
      </c>
      <c r="M2859" s="6" t="str">
        <f>"50x100"</f>
        <v>50x100</v>
      </c>
      <c r="N2859" s="6" t="str">
        <f>"5602972281088"</f>
        <v>5602972281088</v>
      </c>
      <c r="O2859" s="8">
        <v>18</v>
      </c>
      <c r="R2859" s="8">
        <v>0</v>
      </c>
      <c r="U2859" s="8">
        <v>0</v>
      </c>
      <c r="X2859" s="8">
        <v>0</v>
      </c>
      <c r="Z2859" s="8">
        <v>0</v>
      </c>
      <c r="AC2859" s="8">
        <v>0</v>
      </c>
      <c r="AF2859" s="8">
        <v>0</v>
      </c>
      <c r="AN2859" s="8">
        <v>18</v>
      </c>
      <c r="AO2859" s="8">
        <v>0</v>
      </c>
    </row>
    <row r="2860" spans="1:41" x14ac:dyDescent="0.25">
      <c r="A2860" s="6" t="str">
        <f t="shared" si="659"/>
        <v>522-2026000375</v>
      </c>
      <c r="B2860" s="6" t="str">
        <f t="shared" si="653"/>
        <v>EL CORTE</v>
      </c>
      <c r="C2860" s="7">
        <v>46042</v>
      </c>
      <c r="D2860" s="7">
        <v>46045</v>
      </c>
      <c r="E2860" s="8">
        <v>6</v>
      </c>
      <c r="F2860" s="6" t="str">
        <f t="shared" si="660"/>
        <v>94876901_07026</v>
      </c>
      <c r="G2860" s="6" t="str">
        <f t="shared" si="654"/>
        <v>F310631650000000</v>
      </c>
      <c r="H2860" s="6" t="str">
        <f t="shared" si="655"/>
        <v>PLAR 6316 FD - 500 g</v>
      </c>
      <c r="I2860" s="6" t="str">
        <f>"202575"</f>
        <v>202575</v>
      </c>
      <c r="J2860" s="6" t="str">
        <f>"BEGE 2575"</f>
        <v>BEGE 2575</v>
      </c>
      <c r="K2860" s="6" t="str">
        <f>"2020"</f>
        <v>2020</v>
      </c>
      <c r="L2860" s="6" t="str">
        <f>"Lençóis"</f>
        <v>Lençóis</v>
      </c>
      <c r="M2860" s="6" t="str">
        <f>"100x150"</f>
        <v>100x150</v>
      </c>
      <c r="N2860" s="6" t="str">
        <f>"5602972281095"</f>
        <v>5602972281095</v>
      </c>
      <c r="O2860" s="8">
        <v>12</v>
      </c>
      <c r="R2860" s="8">
        <v>0</v>
      </c>
      <c r="U2860" s="8">
        <v>0</v>
      </c>
      <c r="X2860" s="8">
        <v>0</v>
      </c>
      <c r="Z2860" s="8">
        <v>0</v>
      </c>
      <c r="AC2860" s="8">
        <v>0</v>
      </c>
      <c r="AF2860" s="8">
        <v>0</v>
      </c>
      <c r="AN2860" s="8">
        <v>0</v>
      </c>
      <c r="AO2860" s="8">
        <v>12</v>
      </c>
    </row>
    <row r="2861" spans="1:41" x14ac:dyDescent="0.25">
      <c r="A2861" s="6" t="str">
        <f t="shared" si="659"/>
        <v>522-2026000375</v>
      </c>
      <c r="B2861" s="6" t="str">
        <f t="shared" si="653"/>
        <v>EL CORTE</v>
      </c>
      <c r="C2861" s="7">
        <v>46042</v>
      </c>
      <c r="D2861" s="7">
        <v>46045</v>
      </c>
      <c r="E2861" s="8">
        <v>7</v>
      </c>
      <c r="F2861" s="6" t="str">
        <f t="shared" si="660"/>
        <v>94876901_07026</v>
      </c>
      <c r="G2861" s="6" t="str">
        <f t="shared" si="654"/>
        <v>F310631650000000</v>
      </c>
      <c r="H2861" s="6" t="str">
        <f t="shared" si="655"/>
        <v>PLAR 6316 FD - 500 g</v>
      </c>
      <c r="I2861" s="6" t="str">
        <f>"200901"</f>
        <v>200901</v>
      </c>
      <c r="J2861" s="6" t="str">
        <f>"ROSA 901"</f>
        <v>ROSA 901</v>
      </c>
      <c r="K2861" s="6" t="str">
        <f>"0520"</f>
        <v>0520</v>
      </c>
      <c r="L2861" s="6" t="str">
        <f>"Toalhetes"</f>
        <v>Toalhetes</v>
      </c>
      <c r="M2861" s="6" t="str">
        <f>"30x50"</f>
        <v>30x50</v>
      </c>
      <c r="N2861" s="6" t="str">
        <f>"5602972281101"</f>
        <v>5602972281101</v>
      </c>
      <c r="O2861" s="8">
        <v>18</v>
      </c>
      <c r="R2861" s="8">
        <v>0</v>
      </c>
      <c r="U2861" s="8">
        <v>0</v>
      </c>
      <c r="X2861" s="8">
        <v>0</v>
      </c>
      <c r="Z2861" s="8">
        <v>0</v>
      </c>
      <c r="AC2861" s="8">
        <v>0</v>
      </c>
      <c r="AF2861" s="8">
        <v>0</v>
      </c>
      <c r="AN2861" s="8">
        <v>0</v>
      </c>
      <c r="AO2861" s="8">
        <v>18</v>
      </c>
    </row>
    <row r="2862" spans="1:41" x14ac:dyDescent="0.25">
      <c r="A2862" s="6" t="str">
        <f t="shared" si="659"/>
        <v>522-2026000375</v>
      </c>
      <c r="B2862" s="6" t="str">
        <f t="shared" si="653"/>
        <v>EL CORTE</v>
      </c>
      <c r="C2862" s="7">
        <v>46042</v>
      </c>
      <c r="D2862" s="7">
        <v>46045</v>
      </c>
      <c r="E2862" s="8">
        <v>8</v>
      </c>
      <c r="F2862" s="6" t="str">
        <f t="shared" si="660"/>
        <v>94876901_07026</v>
      </c>
      <c r="G2862" s="6" t="str">
        <f t="shared" si="654"/>
        <v>F310631650000000</v>
      </c>
      <c r="H2862" s="6" t="str">
        <f t="shared" si="655"/>
        <v>PLAR 6316 FD - 500 g</v>
      </c>
      <c r="I2862" s="6" t="str">
        <f>"200901"</f>
        <v>200901</v>
      </c>
      <c r="J2862" s="6" t="str">
        <f>"ROSA 901"</f>
        <v>ROSA 901</v>
      </c>
      <c r="K2862" s="6" t="str">
        <f>"1024"</f>
        <v>1024</v>
      </c>
      <c r="L2862" s="6" t="str">
        <f>"Toalhas"</f>
        <v>Toalhas</v>
      </c>
      <c r="M2862" s="6" t="str">
        <f>"50x100"</f>
        <v>50x100</v>
      </c>
      <c r="N2862" s="6" t="str">
        <f>"5602972281118"</f>
        <v>5602972281118</v>
      </c>
      <c r="O2862" s="8">
        <v>18</v>
      </c>
      <c r="R2862" s="8">
        <v>0</v>
      </c>
      <c r="U2862" s="8">
        <v>0</v>
      </c>
      <c r="X2862" s="8">
        <v>0</v>
      </c>
      <c r="Z2862" s="8">
        <v>0</v>
      </c>
      <c r="AC2862" s="8">
        <v>0</v>
      </c>
      <c r="AF2862" s="8">
        <v>0</v>
      </c>
      <c r="AN2862" s="8">
        <v>18</v>
      </c>
      <c r="AO2862" s="8">
        <v>0</v>
      </c>
    </row>
    <row r="2863" spans="1:41" x14ac:dyDescent="0.25">
      <c r="A2863" s="6" t="str">
        <f t="shared" si="659"/>
        <v>522-2026000375</v>
      </c>
      <c r="B2863" s="6" t="str">
        <f t="shared" si="653"/>
        <v>EL CORTE</v>
      </c>
      <c r="C2863" s="7">
        <v>46042</v>
      </c>
      <c r="D2863" s="7">
        <v>46045</v>
      </c>
      <c r="E2863" s="8">
        <v>9</v>
      </c>
      <c r="F2863" s="6" t="str">
        <f t="shared" si="660"/>
        <v>94876901_07026</v>
      </c>
      <c r="G2863" s="6" t="str">
        <f t="shared" si="654"/>
        <v>F310631650000000</v>
      </c>
      <c r="H2863" s="6" t="str">
        <f t="shared" si="655"/>
        <v>PLAR 6316 FD - 500 g</v>
      </c>
      <c r="I2863" s="6" t="str">
        <f>"200901"</f>
        <v>200901</v>
      </c>
      <c r="J2863" s="6" t="str">
        <f>"ROSA 901"</f>
        <v>ROSA 901</v>
      </c>
      <c r="K2863" s="6" t="str">
        <f>"2020"</f>
        <v>2020</v>
      </c>
      <c r="L2863" s="6" t="str">
        <f>"Lençóis"</f>
        <v>Lençóis</v>
      </c>
      <c r="M2863" s="6" t="str">
        <f>"100x150"</f>
        <v>100x150</v>
      </c>
      <c r="N2863" s="6" t="str">
        <f>"5602972281125"</f>
        <v>5602972281125</v>
      </c>
      <c r="O2863" s="8">
        <v>15</v>
      </c>
      <c r="R2863" s="8">
        <v>0</v>
      </c>
      <c r="U2863" s="8">
        <v>0</v>
      </c>
      <c r="X2863" s="8">
        <v>0</v>
      </c>
      <c r="Z2863" s="8">
        <v>0</v>
      </c>
      <c r="AC2863" s="8">
        <v>0</v>
      </c>
      <c r="AF2863" s="8">
        <v>0</v>
      </c>
      <c r="AN2863" s="8">
        <v>0</v>
      </c>
      <c r="AO2863" s="8">
        <v>15</v>
      </c>
    </row>
    <row r="2864" spans="1:41" x14ac:dyDescent="0.25">
      <c r="A2864" s="6" t="str">
        <f t="shared" si="659"/>
        <v>522-2026000375</v>
      </c>
      <c r="B2864" s="6" t="str">
        <f t="shared" si="653"/>
        <v>EL CORTE</v>
      </c>
      <c r="C2864" s="7">
        <v>46042</v>
      </c>
      <c r="D2864" s="7">
        <v>46045</v>
      </c>
      <c r="E2864" s="8">
        <v>10</v>
      </c>
      <c r="F2864" s="6" t="str">
        <f t="shared" si="660"/>
        <v>94876901_07026</v>
      </c>
      <c r="G2864" s="6" t="str">
        <f t="shared" si="654"/>
        <v>F310631650000000</v>
      </c>
      <c r="H2864" s="6" t="str">
        <f t="shared" si="655"/>
        <v>PLAR 6316 FD - 500 g</v>
      </c>
      <c r="I2864" s="6" t="str">
        <f>"200510"</f>
        <v>200510</v>
      </c>
      <c r="J2864" s="6" t="str">
        <f>"VERDE 510"</f>
        <v>VERDE 510</v>
      </c>
      <c r="K2864" s="6" t="str">
        <f>"0520"</f>
        <v>0520</v>
      </c>
      <c r="L2864" s="6" t="str">
        <f>"Toalhetes"</f>
        <v>Toalhetes</v>
      </c>
      <c r="M2864" s="6" t="str">
        <f>"30x50"</f>
        <v>30x50</v>
      </c>
      <c r="N2864" s="6" t="str">
        <f>"5602972281132"</f>
        <v>5602972281132</v>
      </c>
      <c r="O2864" s="8">
        <v>18</v>
      </c>
      <c r="R2864" s="8">
        <v>0</v>
      </c>
      <c r="U2864" s="8">
        <v>0</v>
      </c>
      <c r="X2864" s="8">
        <v>0</v>
      </c>
      <c r="Z2864" s="8">
        <v>0</v>
      </c>
      <c r="AC2864" s="8">
        <v>0</v>
      </c>
      <c r="AF2864" s="8">
        <v>0</v>
      </c>
      <c r="AN2864" s="8">
        <v>0</v>
      </c>
      <c r="AO2864" s="8">
        <v>18</v>
      </c>
    </row>
    <row r="2865" spans="1:41" x14ac:dyDescent="0.25">
      <c r="A2865" s="6" t="str">
        <f t="shared" si="659"/>
        <v>522-2026000375</v>
      </c>
      <c r="B2865" s="6" t="str">
        <f t="shared" si="653"/>
        <v>EL CORTE</v>
      </c>
      <c r="C2865" s="7">
        <v>46042</v>
      </c>
      <c r="D2865" s="7">
        <v>46045</v>
      </c>
      <c r="E2865" s="8">
        <v>11</v>
      </c>
      <c r="F2865" s="6" t="str">
        <f t="shared" si="660"/>
        <v>94876901_07026</v>
      </c>
      <c r="G2865" s="6" t="str">
        <f t="shared" si="654"/>
        <v>F310631650000000</v>
      </c>
      <c r="H2865" s="6" t="str">
        <f t="shared" si="655"/>
        <v>PLAR 6316 FD - 500 g</v>
      </c>
      <c r="I2865" s="6" t="str">
        <f>"200510"</f>
        <v>200510</v>
      </c>
      <c r="J2865" s="6" t="str">
        <f>"VERDE 510"</f>
        <v>VERDE 510</v>
      </c>
      <c r="K2865" s="6" t="str">
        <f>"1024"</f>
        <v>1024</v>
      </c>
      <c r="L2865" s="6" t="str">
        <f>"Toalhas"</f>
        <v>Toalhas</v>
      </c>
      <c r="M2865" s="6" t="str">
        <f>"50x100"</f>
        <v>50x100</v>
      </c>
      <c r="N2865" s="6" t="str">
        <f>"5602972281149"</f>
        <v>5602972281149</v>
      </c>
      <c r="O2865" s="8">
        <v>18</v>
      </c>
      <c r="R2865" s="8">
        <v>0</v>
      </c>
      <c r="U2865" s="8">
        <v>0</v>
      </c>
      <c r="X2865" s="8">
        <v>0</v>
      </c>
      <c r="Z2865" s="8">
        <v>0</v>
      </c>
      <c r="AC2865" s="8">
        <v>0</v>
      </c>
      <c r="AF2865" s="8">
        <v>0</v>
      </c>
      <c r="AN2865" s="8">
        <v>18</v>
      </c>
      <c r="AO2865" s="8">
        <v>0</v>
      </c>
    </row>
    <row r="2866" spans="1:41" x14ac:dyDescent="0.25">
      <c r="A2866" s="6" t="str">
        <f t="shared" si="659"/>
        <v>522-2026000375</v>
      </c>
      <c r="B2866" s="6" t="str">
        <f t="shared" si="653"/>
        <v>EL CORTE</v>
      </c>
      <c r="C2866" s="7">
        <v>46042</v>
      </c>
      <c r="D2866" s="7">
        <v>46045</v>
      </c>
      <c r="E2866" s="8">
        <v>12</v>
      </c>
      <c r="F2866" s="6" t="str">
        <f t="shared" si="660"/>
        <v>94876901_07026</v>
      </c>
      <c r="G2866" s="6" t="str">
        <f t="shared" si="654"/>
        <v>F310631650000000</v>
      </c>
      <c r="H2866" s="6" t="str">
        <f t="shared" si="655"/>
        <v>PLAR 6316 FD - 500 g</v>
      </c>
      <c r="I2866" s="6" t="str">
        <f>"200510"</f>
        <v>200510</v>
      </c>
      <c r="J2866" s="6" t="str">
        <f>"VERDE 510"</f>
        <v>VERDE 510</v>
      </c>
      <c r="K2866" s="6" t="str">
        <f>"2020"</f>
        <v>2020</v>
      </c>
      <c r="L2866" s="6" t="str">
        <f>"Lençóis"</f>
        <v>Lençóis</v>
      </c>
      <c r="M2866" s="6" t="str">
        <f>"100x150"</f>
        <v>100x150</v>
      </c>
      <c r="N2866" s="6" t="str">
        <f>"5602972281156"</f>
        <v>5602972281156</v>
      </c>
      <c r="O2866" s="8">
        <v>12</v>
      </c>
      <c r="R2866" s="8">
        <v>0</v>
      </c>
      <c r="U2866" s="8">
        <v>0</v>
      </c>
      <c r="X2866" s="8">
        <v>0</v>
      </c>
      <c r="Z2866" s="8">
        <v>0</v>
      </c>
      <c r="AC2866" s="8">
        <v>0</v>
      </c>
      <c r="AF2866" s="8">
        <v>0</v>
      </c>
      <c r="AN2866" s="8">
        <v>0</v>
      </c>
      <c r="AO2866" s="8">
        <v>12</v>
      </c>
    </row>
    <row r="2867" spans="1:41" x14ac:dyDescent="0.25">
      <c r="A2867" s="6" t="str">
        <f>"522-2026000376"</f>
        <v>522-2026000376</v>
      </c>
      <c r="B2867" s="6" t="str">
        <f t="shared" si="653"/>
        <v>EL CORTE</v>
      </c>
      <c r="C2867" s="7">
        <v>46043</v>
      </c>
      <c r="D2867" s="7">
        <v>46048</v>
      </c>
      <c r="E2867" s="8">
        <v>1</v>
      </c>
      <c r="F2867" s="6" t="str">
        <f>"94887701_07026"</f>
        <v>94887701_07026</v>
      </c>
      <c r="G2867" s="6" t="str">
        <f t="shared" si="654"/>
        <v>F310631650000000</v>
      </c>
      <c r="H2867" s="6" t="str">
        <f t="shared" si="655"/>
        <v>PLAR 6316 FD - 500 g</v>
      </c>
      <c r="I2867" s="6" t="str">
        <f>"201855"</f>
        <v>201855</v>
      </c>
      <c r="J2867" s="6" t="str">
        <f>"AZUL 1855"</f>
        <v>AZUL 1855</v>
      </c>
      <c r="K2867" s="6" t="str">
        <f>"0520"</f>
        <v>0520</v>
      </c>
      <c r="L2867" s="6" t="str">
        <f>"Toalhetes"</f>
        <v>Toalhetes</v>
      </c>
      <c r="M2867" s="6" t="str">
        <f>"30x50"</f>
        <v>30x50</v>
      </c>
      <c r="N2867" s="6" t="str">
        <f>"5602972281040"</f>
        <v>5602972281040</v>
      </c>
      <c r="O2867" s="8">
        <v>6</v>
      </c>
      <c r="R2867" s="8">
        <v>0</v>
      </c>
      <c r="U2867" s="8">
        <v>0</v>
      </c>
      <c r="X2867" s="8">
        <v>0</v>
      </c>
      <c r="Z2867" s="8">
        <v>0</v>
      </c>
      <c r="AC2867" s="8">
        <v>0</v>
      </c>
      <c r="AF2867" s="8">
        <v>0</v>
      </c>
      <c r="AN2867" s="8">
        <v>0</v>
      </c>
      <c r="AO2867" s="8">
        <v>6</v>
      </c>
    </row>
    <row r="2868" spans="1:41" x14ac:dyDescent="0.25">
      <c r="A2868" s="6" t="str">
        <f>"522-2026000376"</f>
        <v>522-2026000376</v>
      </c>
      <c r="B2868" s="6" t="str">
        <f t="shared" si="653"/>
        <v>EL CORTE</v>
      </c>
      <c r="C2868" s="7">
        <v>46043</v>
      </c>
      <c r="D2868" s="7">
        <v>46048</v>
      </c>
      <c r="E2868" s="8">
        <v>2</v>
      </c>
      <c r="F2868" s="6" t="str">
        <f>"94887701_07026"</f>
        <v>94887701_07026</v>
      </c>
      <c r="G2868" s="6" t="str">
        <f t="shared" si="654"/>
        <v>F310631650000000</v>
      </c>
      <c r="H2868" s="6" t="str">
        <f t="shared" si="655"/>
        <v>PLAR 6316 FD - 500 g</v>
      </c>
      <c r="I2868" s="6" t="str">
        <f>"201855"</f>
        <v>201855</v>
      </c>
      <c r="J2868" s="6" t="str">
        <f>"AZUL 1855"</f>
        <v>AZUL 1855</v>
      </c>
      <c r="K2868" s="6" t="str">
        <f>"1024"</f>
        <v>1024</v>
      </c>
      <c r="L2868" s="6" t="str">
        <f>"Toalhas"</f>
        <v>Toalhas</v>
      </c>
      <c r="M2868" s="6" t="str">
        <f>"50x100"</f>
        <v>50x100</v>
      </c>
      <c r="N2868" s="6" t="str">
        <f>"5602972281057"</f>
        <v>5602972281057</v>
      </c>
      <c r="O2868" s="8">
        <v>12</v>
      </c>
      <c r="R2868" s="8">
        <v>0</v>
      </c>
      <c r="U2868" s="8">
        <v>0</v>
      </c>
      <c r="X2868" s="8">
        <v>0</v>
      </c>
      <c r="Z2868" s="8">
        <v>0</v>
      </c>
      <c r="AC2868" s="8">
        <v>0</v>
      </c>
      <c r="AF2868" s="8">
        <v>0</v>
      </c>
      <c r="AN2868" s="8">
        <v>12</v>
      </c>
      <c r="AO2868" s="8">
        <v>0</v>
      </c>
    </row>
    <row r="2869" spans="1:41" x14ac:dyDescent="0.25">
      <c r="A2869" s="6" t="str">
        <f>"522-2026000376"</f>
        <v>522-2026000376</v>
      </c>
      <c r="B2869" s="6" t="str">
        <f t="shared" si="653"/>
        <v>EL CORTE</v>
      </c>
      <c r="C2869" s="7">
        <v>46043</v>
      </c>
      <c r="D2869" s="7">
        <v>46048</v>
      </c>
      <c r="E2869" s="8">
        <v>3</v>
      </c>
      <c r="F2869" s="6" t="str">
        <f>"94887701_07026"</f>
        <v>94887701_07026</v>
      </c>
      <c r="G2869" s="6" t="str">
        <f t="shared" si="654"/>
        <v>F310631650000000</v>
      </c>
      <c r="H2869" s="6" t="str">
        <f t="shared" si="655"/>
        <v>PLAR 6316 FD - 500 g</v>
      </c>
      <c r="I2869" s="6" t="str">
        <f>"200901"</f>
        <v>200901</v>
      </c>
      <c r="J2869" s="6" t="str">
        <f>"ROSA 901"</f>
        <v>ROSA 901</v>
      </c>
      <c r="K2869" s="6" t="str">
        <f>"2020"</f>
        <v>2020</v>
      </c>
      <c r="L2869" s="6" t="str">
        <f>"Lençóis"</f>
        <v>Lençóis</v>
      </c>
      <c r="M2869" s="6" t="str">
        <f>"100x150"</f>
        <v>100x150</v>
      </c>
      <c r="N2869" s="6" t="str">
        <f>"5602972281125"</f>
        <v>5602972281125</v>
      </c>
      <c r="O2869" s="8">
        <v>3</v>
      </c>
      <c r="R2869" s="8">
        <v>0</v>
      </c>
      <c r="U2869" s="8">
        <v>0</v>
      </c>
      <c r="X2869" s="8">
        <v>0</v>
      </c>
      <c r="Z2869" s="8">
        <v>0</v>
      </c>
      <c r="AC2869" s="8">
        <v>0</v>
      </c>
      <c r="AF2869" s="8">
        <v>0</v>
      </c>
      <c r="AN2869" s="8">
        <v>0</v>
      </c>
      <c r="AO2869" s="8">
        <v>3</v>
      </c>
    </row>
    <row r="2870" spans="1:41" x14ac:dyDescent="0.25">
      <c r="A2870" s="6" t="str">
        <f>"522-2026000377"</f>
        <v>522-2026000377</v>
      </c>
      <c r="B2870" s="6" t="str">
        <f t="shared" si="653"/>
        <v>EL CORTE</v>
      </c>
      <c r="C2870" s="7">
        <v>46043</v>
      </c>
      <c r="D2870" s="7">
        <v>46048</v>
      </c>
      <c r="E2870" s="8">
        <v>1</v>
      </c>
      <c r="F2870" s="6" t="str">
        <f>"94888801_07026"</f>
        <v>94888801_07026</v>
      </c>
      <c r="G2870" s="6" t="str">
        <f t="shared" si="654"/>
        <v>F310631650000000</v>
      </c>
      <c r="H2870" s="6" t="str">
        <f t="shared" si="655"/>
        <v>PLAR 6316 FD - 500 g</v>
      </c>
      <c r="I2870" s="6" t="str">
        <f>"200510"</f>
        <v>200510</v>
      </c>
      <c r="J2870" s="6" t="str">
        <f>"VERDE 510"</f>
        <v>VERDE 510</v>
      </c>
      <c r="K2870" s="6" t="str">
        <f>"2020"</f>
        <v>2020</v>
      </c>
      <c r="L2870" s="6" t="str">
        <f>"Lençóis"</f>
        <v>Lençóis</v>
      </c>
      <c r="M2870" s="6" t="str">
        <f>"100x150"</f>
        <v>100x150</v>
      </c>
      <c r="N2870" s="6" t="str">
        <f>"5602972281156"</f>
        <v>5602972281156</v>
      </c>
      <c r="O2870" s="8">
        <v>3</v>
      </c>
      <c r="R2870" s="8">
        <v>0</v>
      </c>
      <c r="U2870" s="8">
        <v>0</v>
      </c>
      <c r="X2870" s="8">
        <v>0</v>
      </c>
      <c r="Z2870" s="8">
        <v>0</v>
      </c>
      <c r="AC2870" s="8">
        <v>0</v>
      </c>
      <c r="AF2870" s="8">
        <v>0</v>
      </c>
      <c r="AN2870" s="8">
        <v>0</v>
      </c>
      <c r="AO2870" s="8">
        <v>3</v>
      </c>
    </row>
    <row r="2871" spans="1:41" x14ac:dyDescent="0.25">
      <c r="A2871" s="6" t="str">
        <f>"522-2026000378"</f>
        <v>522-2026000378</v>
      </c>
      <c r="B2871" s="6" t="str">
        <f t="shared" si="653"/>
        <v>EL CORTE</v>
      </c>
      <c r="C2871" s="7">
        <v>46043</v>
      </c>
      <c r="D2871" s="7">
        <v>46048</v>
      </c>
      <c r="E2871" s="8">
        <v>1</v>
      </c>
      <c r="F2871" s="6" t="str">
        <f>"94889101_07026"</f>
        <v>94889101_07026</v>
      </c>
      <c r="G2871" s="6" t="str">
        <f t="shared" si="654"/>
        <v>F310631650000000</v>
      </c>
      <c r="H2871" s="6" t="str">
        <f t="shared" si="655"/>
        <v>PLAR 6316 FD - 500 g</v>
      </c>
      <c r="I2871" s="6" t="str">
        <f>"200510"</f>
        <v>200510</v>
      </c>
      <c r="J2871" s="6" t="str">
        <f>"VERDE 510"</f>
        <v>VERDE 510</v>
      </c>
      <c r="K2871" s="6" t="str">
        <f>"0520"</f>
        <v>0520</v>
      </c>
      <c r="L2871" s="6" t="str">
        <f>"Toalhetes"</f>
        <v>Toalhetes</v>
      </c>
      <c r="M2871" s="6" t="str">
        <f>"30x50"</f>
        <v>30x50</v>
      </c>
      <c r="N2871" s="6" t="str">
        <f>"5602972281132"</f>
        <v>5602972281132</v>
      </c>
      <c r="O2871" s="8">
        <v>6</v>
      </c>
      <c r="R2871" s="8">
        <v>0</v>
      </c>
      <c r="U2871" s="8">
        <v>0</v>
      </c>
      <c r="X2871" s="8">
        <v>0</v>
      </c>
      <c r="Z2871" s="8">
        <v>0</v>
      </c>
      <c r="AC2871" s="8">
        <v>0</v>
      </c>
      <c r="AF2871" s="8">
        <v>0</v>
      </c>
      <c r="AN2871" s="8">
        <v>0</v>
      </c>
      <c r="AO2871" s="8">
        <v>6</v>
      </c>
    </row>
    <row r="2872" spans="1:41" x14ac:dyDescent="0.25">
      <c r="A2872" s="6" t="str">
        <f>"522-2026000379"</f>
        <v>522-2026000379</v>
      </c>
      <c r="B2872" s="6" t="str">
        <f t="shared" si="653"/>
        <v>EL CORTE</v>
      </c>
      <c r="C2872" s="7">
        <v>46043</v>
      </c>
      <c r="D2872" s="7">
        <v>46048</v>
      </c>
      <c r="E2872" s="8">
        <v>1</v>
      </c>
      <c r="F2872" s="6" t="str">
        <f>"94886301_07026"</f>
        <v>94886301_07026</v>
      </c>
      <c r="G2872" s="6" t="str">
        <f t="shared" si="654"/>
        <v>F310631650000000</v>
      </c>
      <c r="H2872" s="6" t="str">
        <f t="shared" si="655"/>
        <v>PLAR 6316 FD - 500 g</v>
      </c>
      <c r="I2872" s="6" t="str">
        <f>"200901"</f>
        <v>200901</v>
      </c>
      <c r="J2872" s="6" t="str">
        <f>"ROSA 901"</f>
        <v>ROSA 901</v>
      </c>
      <c r="K2872" s="6" t="str">
        <f>"2020"</f>
        <v>2020</v>
      </c>
      <c r="L2872" s="6" t="str">
        <f>"Lençóis"</f>
        <v>Lençóis</v>
      </c>
      <c r="M2872" s="6" t="str">
        <f>"100x150"</f>
        <v>100x150</v>
      </c>
      <c r="N2872" s="6" t="str">
        <f>"5602972281125"</f>
        <v>5602972281125</v>
      </c>
      <c r="O2872" s="8">
        <v>3</v>
      </c>
      <c r="R2872" s="8">
        <v>0</v>
      </c>
      <c r="U2872" s="8">
        <v>0</v>
      </c>
      <c r="X2872" s="8">
        <v>0</v>
      </c>
      <c r="Z2872" s="8">
        <v>0</v>
      </c>
      <c r="AC2872" s="8">
        <v>0</v>
      </c>
      <c r="AF2872" s="8">
        <v>0</v>
      </c>
      <c r="AN2872" s="8">
        <v>0</v>
      </c>
      <c r="AO2872" s="8">
        <v>3</v>
      </c>
    </row>
    <row r="2873" spans="1:41" x14ac:dyDescent="0.25">
      <c r="A2873" s="6" t="str">
        <f>"522-2026000380"</f>
        <v>522-2026000380</v>
      </c>
      <c r="B2873" s="6" t="str">
        <f t="shared" si="653"/>
        <v>EL CORTE</v>
      </c>
      <c r="C2873" s="7">
        <v>46043</v>
      </c>
      <c r="D2873" s="7">
        <v>46048</v>
      </c>
      <c r="E2873" s="8">
        <v>1</v>
      </c>
      <c r="F2873" s="6" t="str">
        <f>"94886201_07026"</f>
        <v>94886201_07026</v>
      </c>
      <c r="G2873" s="6" t="str">
        <f t="shared" si="654"/>
        <v>F310631650000000</v>
      </c>
      <c r="H2873" s="6" t="str">
        <f t="shared" si="655"/>
        <v>PLAR 6316 FD - 500 g</v>
      </c>
      <c r="I2873" s="6" t="str">
        <f>"202575"</f>
        <v>202575</v>
      </c>
      <c r="J2873" s="6" t="str">
        <f>"BEGE 2575"</f>
        <v>BEGE 2575</v>
      </c>
      <c r="K2873" s="6" t="str">
        <f>"2020"</f>
        <v>2020</v>
      </c>
      <c r="L2873" s="6" t="str">
        <f>"Lençóis"</f>
        <v>Lençóis</v>
      </c>
      <c r="M2873" s="6" t="str">
        <f>"100x150"</f>
        <v>100x150</v>
      </c>
      <c r="N2873" s="6" t="str">
        <f>"5602972281095"</f>
        <v>5602972281095</v>
      </c>
      <c r="O2873" s="8">
        <v>6</v>
      </c>
      <c r="R2873" s="8">
        <v>0</v>
      </c>
      <c r="U2873" s="8">
        <v>0</v>
      </c>
      <c r="X2873" s="8">
        <v>0</v>
      </c>
      <c r="Z2873" s="8">
        <v>0</v>
      </c>
      <c r="AC2873" s="8">
        <v>0</v>
      </c>
      <c r="AF2873" s="8">
        <v>0</v>
      </c>
      <c r="AN2873" s="8">
        <v>0</v>
      </c>
      <c r="AO2873" s="8">
        <v>6</v>
      </c>
    </row>
    <row r="2874" spans="1:41" x14ac:dyDescent="0.25">
      <c r="A2874" s="6" t="str">
        <f>"522-2026000380"</f>
        <v>522-2026000380</v>
      </c>
      <c r="B2874" s="6" t="str">
        <f t="shared" si="653"/>
        <v>EL CORTE</v>
      </c>
      <c r="C2874" s="7">
        <v>46043</v>
      </c>
      <c r="D2874" s="7">
        <v>46048</v>
      </c>
      <c r="E2874" s="8">
        <v>2</v>
      </c>
      <c r="F2874" s="6" t="str">
        <f>"94886201_07026"</f>
        <v>94886201_07026</v>
      </c>
      <c r="G2874" s="6" t="str">
        <f t="shared" si="654"/>
        <v>F310631650000000</v>
      </c>
      <c r="H2874" s="6" t="str">
        <f t="shared" si="655"/>
        <v>PLAR 6316 FD - 500 g</v>
      </c>
      <c r="I2874" s="6" t="str">
        <f>"200901"</f>
        <v>200901</v>
      </c>
      <c r="J2874" s="6" t="str">
        <f>"ROSA 901"</f>
        <v>ROSA 901</v>
      </c>
      <c r="K2874" s="6" t="str">
        <f>"2020"</f>
        <v>2020</v>
      </c>
      <c r="L2874" s="6" t="str">
        <f>"Lençóis"</f>
        <v>Lençóis</v>
      </c>
      <c r="M2874" s="6" t="str">
        <f>"100x150"</f>
        <v>100x150</v>
      </c>
      <c r="N2874" s="6" t="str">
        <f>"5602972281125"</f>
        <v>5602972281125</v>
      </c>
      <c r="O2874" s="8">
        <v>3</v>
      </c>
      <c r="R2874" s="8">
        <v>0</v>
      </c>
      <c r="U2874" s="8">
        <v>0</v>
      </c>
      <c r="X2874" s="8">
        <v>0</v>
      </c>
      <c r="Z2874" s="8">
        <v>0</v>
      </c>
      <c r="AC2874" s="8">
        <v>0</v>
      </c>
      <c r="AF2874" s="8">
        <v>0</v>
      </c>
      <c r="AN2874" s="8">
        <v>0</v>
      </c>
      <c r="AO2874" s="8">
        <v>3</v>
      </c>
    </row>
    <row r="2875" spans="1:41" x14ac:dyDescent="0.25">
      <c r="A2875" s="6" t="str">
        <f>"522-2026000380"</f>
        <v>522-2026000380</v>
      </c>
      <c r="B2875" s="6" t="str">
        <f t="shared" si="653"/>
        <v>EL CORTE</v>
      </c>
      <c r="C2875" s="7">
        <v>46043</v>
      </c>
      <c r="D2875" s="7">
        <v>46048</v>
      </c>
      <c r="E2875" s="8">
        <v>3</v>
      </c>
      <c r="F2875" s="6" t="str">
        <f>"94886201_07026"</f>
        <v>94886201_07026</v>
      </c>
      <c r="G2875" s="6" t="str">
        <f t="shared" si="654"/>
        <v>F310631650000000</v>
      </c>
      <c r="H2875" s="6" t="str">
        <f t="shared" si="655"/>
        <v>PLAR 6316 FD - 500 g</v>
      </c>
      <c r="I2875" s="6" t="str">
        <f>"200510"</f>
        <v>200510</v>
      </c>
      <c r="J2875" s="6" t="str">
        <f>"VERDE 510"</f>
        <v>VERDE 510</v>
      </c>
      <c r="K2875" s="6" t="str">
        <f>"2020"</f>
        <v>2020</v>
      </c>
      <c r="L2875" s="6" t="str">
        <f>"Lençóis"</f>
        <v>Lençóis</v>
      </c>
      <c r="M2875" s="6" t="str">
        <f>"100x150"</f>
        <v>100x150</v>
      </c>
      <c r="N2875" s="6" t="str">
        <f>"5602972281156"</f>
        <v>5602972281156</v>
      </c>
      <c r="O2875" s="8">
        <v>6</v>
      </c>
      <c r="R2875" s="8">
        <v>0</v>
      </c>
      <c r="U2875" s="8">
        <v>0</v>
      </c>
      <c r="X2875" s="8">
        <v>0</v>
      </c>
      <c r="Z2875" s="8">
        <v>0</v>
      </c>
      <c r="AC2875" s="8">
        <v>0</v>
      </c>
      <c r="AF2875" s="8">
        <v>0</v>
      </c>
      <c r="AN2875" s="8">
        <v>0</v>
      </c>
      <c r="AO2875" s="8">
        <v>6</v>
      </c>
    </row>
    <row r="2876" spans="1:41" x14ac:dyDescent="0.25">
      <c r="A2876" s="6" t="str">
        <f t="shared" ref="A2876:A2887" si="661">"522-2026000381"</f>
        <v>522-2026000381</v>
      </c>
      <c r="B2876" s="6" t="str">
        <f t="shared" si="653"/>
        <v>EL CORTE</v>
      </c>
      <c r="C2876" s="7">
        <v>46043</v>
      </c>
      <c r="D2876" s="7">
        <v>46048</v>
      </c>
      <c r="E2876" s="8">
        <v>1</v>
      </c>
      <c r="F2876" s="6" t="str">
        <f t="shared" ref="F2876:F2887" si="662">"94887901_07026"</f>
        <v>94887901_07026</v>
      </c>
      <c r="G2876" s="6" t="str">
        <f t="shared" si="654"/>
        <v>F310631650000000</v>
      </c>
      <c r="H2876" s="6" t="str">
        <f t="shared" si="655"/>
        <v>PLAR 6316 FD - 500 g</v>
      </c>
      <c r="I2876" s="6" t="str">
        <f>"201855"</f>
        <v>201855</v>
      </c>
      <c r="J2876" s="6" t="str">
        <f>"AZUL 1855"</f>
        <v>AZUL 1855</v>
      </c>
      <c r="K2876" s="6" t="str">
        <f>"0520"</f>
        <v>0520</v>
      </c>
      <c r="L2876" s="6" t="str">
        <f>"Toalhetes"</f>
        <v>Toalhetes</v>
      </c>
      <c r="M2876" s="6" t="str">
        <f>"30x50"</f>
        <v>30x50</v>
      </c>
      <c r="N2876" s="6" t="str">
        <f>"5602972281040"</f>
        <v>5602972281040</v>
      </c>
      <c r="O2876" s="8">
        <v>36</v>
      </c>
      <c r="R2876" s="8">
        <v>0</v>
      </c>
      <c r="U2876" s="8">
        <v>0</v>
      </c>
      <c r="X2876" s="8">
        <v>0</v>
      </c>
      <c r="Z2876" s="8">
        <v>0</v>
      </c>
      <c r="AC2876" s="8">
        <v>0</v>
      </c>
      <c r="AF2876" s="8">
        <v>0</v>
      </c>
      <c r="AN2876" s="8">
        <v>0</v>
      </c>
      <c r="AO2876" s="8">
        <v>36</v>
      </c>
    </row>
    <row r="2877" spans="1:41" x14ac:dyDescent="0.25">
      <c r="A2877" s="6" t="str">
        <f t="shared" si="661"/>
        <v>522-2026000381</v>
      </c>
      <c r="B2877" s="6" t="str">
        <f t="shared" si="653"/>
        <v>EL CORTE</v>
      </c>
      <c r="C2877" s="7">
        <v>46043</v>
      </c>
      <c r="D2877" s="7">
        <v>46048</v>
      </c>
      <c r="E2877" s="8">
        <v>2</v>
      </c>
      <c r="F2877" s="6" t="str">
        <f t="shared" si="662"/>
        <v>94887901_07026</v>
      </c>
      <c r="G2877" s="6" t="str">
        <f t="shared" si="654"/>
        <v>F310631650000000</v>
      </c>
      <c r="H2877" s="6" t="str">
        <f t="shared" si="655"/>
        <v>PLAR 6316 FD - 500 g</v>
      </c>
      <c r="I2877" s="6" t="str">
        <f>"201855"</f>
        <v>201855</v>
      </c>
      <c r="J2877" s="6" t="str">
        <f>"AZUL 1855"</f>
        <v>AZUL 1855</v>
      </c>
      <c r="K2877" s="6" t="str">
        <f>"1024"</f>
        <v>1024</v>
      </c>
      <c r="L2877" s="6" t="str">
        <f>"Toalhas"</f>
        <v>Toalhas</v>
      </c>
      <c r="M2877" s="6" t="str">
        <f>"50x100"</f>
        <v>50x100</v>
      </c>
      <c r="N2877" s="6" t="str">
        <f>"5602972281057"</f>
        <v>5602972281057</v>
      </c>
      <c r="O2877" s="8">
        <v>36</v>
      </c>
      <c r="R2877" s="8">
        <v>0</v>
      </c>
      <c r="U2877" s="8">
        <v>0</v>
      </c>
      <c r="X2877" s="8">
        <v>0</v>
      </c>
      <c r="Z2877" s="8">
        <v>0</v>
      </c>
      <c r="AC2877" s="8">
        <v>0</v>
      </c>
      <c r="AF2877" s="8">
        <v>0</v>
      </c>
      <c r="AN2877" s="8">
        <v>12</v>
      </c>
      <c r="AO2877" s="8">
        <v>24</v>
      </c>
    </row>
    <row r="2878" spans="1:41" x14ac:dyDescent="0.25">
      <c r="A2878" s="6" t="str">
        <f t="shared" si="661"/>
        <v>522-2026000381</v>
      </c>
      <c r="B2878" s="6" t="str">
        <f t="shared" si="653"/>
        <v>EL CORTE</v>
      </c>
      <c r="C2878" s="7">
        <v>46043</v>
      </c>
      <c r="D2878" s="7">
        <v>46048</v>
      </c>
      <c r="E2878" s="8">
        <v>3</v>
      </c>
      <c r="F2878" s="6" t="str">
        <f t="shared" si="662"/>
        <v>94887901_07026</v>
      </c>
      <c r="G2878" s="6" t="str">
        <f t="shared" si="654"/>
        <v>F310631650000000</v>
      </c>
      <c r="H2878" s="6" t="str">
        <f t="shared" si="655"/>
        <v>PLAR 6316 FD - 500 g</v>
      </c>
      <c r="I2878" s="6" t="str">
        <f>"201855"</f>
        <v>201855</v>
      </c>
      <c r="J2878" s="6" t="str">
        <f>"AZUL 1855"</f>
        <v>AZUL 1855</v>
      </c>
      <c r="K2878" s="6" t="str">
        <f>"2020"</f>
        <v>2020</v>
      </c>
      <c r="L2878" s="6" t="str">
        <f>"Lençóis"</f>
        <v>Lençóis</v>
      </c>
      <c r="M2878" s="6" t="str">
        <f>"100x150"</f>
        <v>100x150</v>
      </c>
      <c r="N2878" s="6" t="str">
        <f>"5602972281064"</f>
        <v>5602972281064</v>
      </c>
      <c r="O2878" s="8">
        <v>39</v>
      </c>
      <c r="R2878" s="8">
        <v>0</v>
      </c>
      <c r="U2878" s="8">
        <v>0</v>
      </c>
      <c r="X2878" s="8">
        <v>0</v>
      </c>
      <c r="Z2878" s="8">
        <v>0</v>
      </c>
      <c r="AC2878" s="8">
        <v>0</v>
      </c>
      <c r="AF2878" s="8">
        <v>0</v>
      </c>
      <c r="AN2878" s="8">
        <v>0</v>
      </c>
      <c r="AO2878" s="8">
        <v>39</v>
      </c>
    </row>
    <row r="2879" spans="1:41" x14ac:dyDescent="0.25">
      <c r="A2879" s="6" t="str">
        <f t="shared" si="661"/>
        <v>522-2026000381</v>
      </c>
      <c r="B2879" s="6" t="str">
        <f t="shared" si="653"/>
        <v>EL CORTE</v>
      </c>
      <c r="C2879" s="7">
        <v>46043</v>
      </c>
      <c r="D2879" s="7">
        <v>46048</v>
      </c>
      <c r="E2879" s="8">
        <v>4</v>
      </c>
      <c r="F2879" s="6" t="str">
        <f t="shared" si="662"/>
        <v>94887901_07026</v>
      </c>
      <c r="G2879" s="6" t="str">
        <f t="shared" si="654"/>
        <v>F310631650000000</v>
      </c>
      <c r="H2879" s="6" t="str">
        <f t="shared" si="655"/>
        <v>PLAR 6316 FD - 500 g</v>
      </c>
      <c r="I2879" s="6" t="str">
        <f>"202575"</f>
        <v>202575</v>
      </c>
      <c r="J2879" s="6" t="str">
        <f>"BEGE 2575"</f>
        <v>BEGE 2575</v>
      </c>
      <c r="K2879" s="6" t="str">
        <f>"0520"</f>
        <v>0520</v>
      </c>
      <c r="L2879" s="6" t="str">
        <f>"Toalhetes"</f>
        <v>Toalhetes</v>
      </c>
      <c r="M2879" s="6" t="str">
        <f>"30x50"</f>
        <v>30x50</v>
      </c>
      <c r="N2879" s="6" t="str">
        <f>"5602972281071"</f>
        <v>5602972281071</v>
      </c>
      <c r="O2879" s="8">
        <v>36</v>
      </c>
      <c r="R2879" s="8">
        <v>0</v>
      </c>
      <c r="U2879" s="8">
        <v>0</v>
      </c>
      <c r="X2879" s="8">
        <v>0</v>
      </c>
      <c r="Z2879" s="8">
        <v>0</v>
      </c>
      <c r="AC2879" s="8">
        <v>0</v>
      </c>
      <c r="AF2879" s="8">
        <v>0</v>
      </c>
      <c r="AN2879" s="8">
        <v>12</v>
      </c>
      <c r="AO2879" s="8">
        <v>24</v>
      </c>
    </row>
    <row r="2880" spans="1:41" x14ac:dyDescent="0.25">
      <c r="A2880" s="6" t="str">
        <f t="shared" si="661"/>
        <v>522-2026000381</v>
      </c>
      <c r="B2880" s="6" t="str">
        <f t="shared" si="653"/>
        <v>EL CORTE</v>
      </c>
      <c r="C2880" s="7">
        <v>46043</v>
      </c>
      <c r="D2880" s="7">
        <v>46048</v>
      </c>
      <c r="E2880" s="8">
        <v>5</v>
      </c>
      <c r="F2880" s="6" t="str">
        <f t="shared" si="662"/>
        <v>94887901_07026</v>
      </c>
      <c r="G2880" s="6" t="str">
        <f t="shared" si="654"/>
        <v>F310631650000000</v>
      </c>
      <c r="H2880" s="6" t="str">
        <f t="shared" si="655"/>
        <v>PLAR 6316 FD - 500 g</v>
      </c>
      <c r="I2880" s="6" t="str">
        <f>"202575"</f>
        <v>202575</v>
      </c>
      <c r="J2880" s="6" t="str">
        <f>"BEGE 2575"</f>
        <v>BEGE 2575</v>
      </c>
      <c r="K2880" s="6" t="str">
        <f>"1024"</f>
        <v>1024</v>
      </c>
      <c r="L2880" s="6" t="str">
        <f>"Toalhas"</f>
        <v>Toalhas</v>
      </c>
      <c r="M2880" s="6" t="str">
        <f>"50x100"</f>
        <v>50x100</v>
      </c>
      <c r="N2880" s="6" t="str">
        <f>"5602972281088"</f>
        <v>5602972281088</v>
      </c>
      <c r="O2880" s="8">
        <v>30</v>
      </c>
      <c r="R2880" s="8">
        <v>0</v>
      </c>
      <c r="U2880" s="8">
        <v>0</v>
      </c>
      <c r="X2880" s="8">
        <v>0</v>
      </c>
      <c r="Z2880" s="8">
        <v>0</v>
      </c>
      <c r="AC2880" s="8">
        <v>0</v>
      </c>
      <c r="AF2880" s="8">
        <v>0</v>
      </c>
      <c r="AN2880" s="8">
        <v>30</v>
      </c>
      <c r="AO2880" s="8">
        <v>0</v>
      </c>
    </row>
    <row r="2881" spans="1:41" x14ac:dyDescent="0.25">
      <c r="A2881" s="6" t="str">
        <f t="shared" si="661"/>
        <v>522-2026000381</v>
      </c>
      <c r="B2881" s="6" t="str">
        <f t="shared" si="653"/>
        <v>EL CORTE</v>
      </c>
      <c r="C2881" s="7">
        <v>46043</v>
      </c>
      <c r="D2881" s="7">
        <v>46048</v>
      </c>
      <c r="E2881" s="8">
        <v>6</v>
      </c>
      <c r="F2881" s="6" t="str">
        <f t="shared" si="662"/>
        <v>94887901_07026</v>
      </c>
      <c r="G2881" s="6" t="str">
        <f t="shared" si="654"/>
        <v>F310631650000000</v>
      </c>
      <c r="H2881" s="6" t="str">
        <f t="shared" si="655"/>
        <v>PLAR 6316 FD - 500 g</v>
      </c>
      <c r="I2881" s="6" t="str">
        <f>"202575"</f>
        <v>202575</v>
      </c>
      <c r="J2881" s="6" t="str">
        <f>"BEGE 2575"</f>
        <v>BEGE 2575</v>
      </c>
      <c r="K2881" s="6" t="str">
        <f>"2020"</f>
        <v>2020</v>
      </c>
      <c r="L2881" s="6" t="str">
        <f>"Lençóis"</f>
        <v>Lençóis</v>
      </c>
      <c r="M2881" s="6" t="str">
        <f>"100x150"</f>
        <v>100x150</v>
      </c>
      <c r="N2881" s="6" t="str">
        <f>"5602972281095"</f>
        <v>5602972281095</v>
      </c>
      <c r="O2881" s="8">
        <v>39</v>
      </c>
      <c r="R2881" s="8">
        <v>0</v>
      </c>
      <c r="U2881" s="8">
        <v>0</v>
      </c>
      <c r="X2881" s="8">
        <v>0</v>
      </c>
      <c r="Z2881" s="8">
        <v>0</v>
      </c>
      <c r="AC2881" s="8">
        <v>0</v>
      </c>
      <c r="AF2881" s="8">
        <v>0</v>
      </c>
      <c r="AN2881" s="8">
        <v>0</v>
      </c>
      <c r="AO2881" s="8">
        <v>39</v>
      </c>
    </row>
    <row r="2882" spans="1:41" x14ac:dyDescent="0.25">
      <c r="A2882" s="6" t="str">
        <f t="shared" si="661"/>
        <v>522-2026000381</v>
      </c>
      <c r="B2882" s="6" t="str">
        <f t="shared" si="653"/>
        <v>EL CORTE</v>
      </c>
      <c r="C2882" s="7">
        <v>46043</v>
      </c>
      <c r="D2882" s="7">
        <v>46048</v>
      </c>
      <c r="E2882" s="8">
        <v>7</v>
      </c>
      <c r="F2882" s="6" t="str">
        <f t="shared" si="662"/>
        <v>94887901_07026</v>
      </c>
      <c r="G2882" s="6" t="str">
        <f t="shared" si="654"/>
        <v>F310631650000000</v>
      </c>
      <c r="H2882" s="6" t="str">
        <f t="shared" si="655"/>
        <v>PLAR 6316 FD - 500 g</v>
      </c>
      <c r="I2882" s="6" t="str">
        <f>"200901"</f>
        <v>200901</v>
      </c>
      <c r="J2882" s="6" t="str">
        <f>"ROSA 901"</f>
        <v>ROSA 901</v>
      </c>
      <c r="K2882" s="6" t="str">
        <f>"0520"</f>
        <v>0520</v>
      </c>
      <c r="L2882" s="6" t="str">
        <f>"Toalhetes"</f>
        <v>Toalhetes</v>
      </c>
      <c r="M2882" s="6" t="str">
        <f>"30x50"</f>
        <v>30x50</v>
      </c>
      <c r="N2882" s="6" t="str">
        <f>"5602972281101"</f>
        <v>5602972281101</v>
      </c>
      <c r="O2882" s="8">
        <v>24</v>
      </c>
      <c r="R2882" s="8">
        <v>0</v>
      </c>
      <c r="U2882" s="8">
        <v>0</v>
      </c>
      <c r="X2882" s="8">
        <v>0</v>
      </c>
      <c r="Z2882" s="8">
        <v>0</v>
      </c>
      <c r="AC2882" s="8">
        <v>0</v>
      </c>
      <c r="AF2882" s="8">
        <v>0</v>
      </c>
      <c r="AN2882" s="8">
        <v>0</v>
      </c>
      <c r="AO2882" s="8">
        <v>24</v>
      </c>
    </row>
    <row r="2883" spans="1:41" x14ac:dyDescent="0.25">
      <c r="A2883" s="6" t="str">
        <f t="shared" si="661"/>
        <v>522-2026000381</v>
      </c>
      <c r="B2883" s="6" t="str">
        <f t="shared" si="653"/>
        <v>EL CORTE</v>
      </c>
      <c r="C2883" s="7">
        <v>46043</v>
      </c>
      <c r="D2883" s="7">
        <v>46048</v>
      </c>
      <c r="E2883" s="8">
        <v>8</v>
      </c>
      <c r="F2883" s="6" t="str">
        <f t="shared" si="662"/>
        <v>94887901_07026</v>
      </c>
      <c r="G2883" s="6" t="str">
        <f t="shared" si="654"/>
        <v>F310631650000000</v>
      </c>
      <c r="H2883" s="6" t="str">
        <f t="shared" si="655"/>
        <v>PLAR 6316 FD - 500 g</v>
      </c>
      <c r="I2883" s="6" t="str">
        <f>"200901"</f>
        <v>200901</v>
      </c>
      <c r="J2883" s="6" t="str">
        <f>"ROSA 901"</f>
        <v>ROSA 901</v>
      </c>
      <c r="K2883" s="6" t="str">
        <f>"1024"</f>
        <v>1024</v>
      </c>
      <c r="L2883" s="6" t="str">
        <f>"Toalhas"</f>
        <v>Toalhas</v>
      </c>
      <c r="M2883" s="6" t="str">
        <f>"50x100"</f>
        <v>50x100</v>
      </c>
      <c r="N2883" s="6" t="str">
        <f>"5602972281118"</f>
        <v>5602972281118</v>
      </c>
      <c r="O2883" s="8">
        <v>30</v>
      </c>
      <c r="R2883" s="8">
        <v>0</v>
      </c>
      <c r="U2883" s="8">
        <v>0</v>
      </c>
      <c r="X2883" s="8">
        <v>0</v>
      </c>
      <c r="Z2883" s="8">
        <v>0</v>
      </c>
      <c r="AC2883" s="8">
        <v>0</v>
      </c>
      <c r="AF2883" s="8">
        <v>0</v>
      </c>
      <c r="AN2883" s="8">
        <v>30</v>
      </c>
      <c r="AO2883" s="8">
        <v>0</v>
      </c>
    </row>
    <row r="2884" spans="1:41" x14ac:dyDescent="0.25">
      <c r="A2884" s="6" t="str">
        <f t="shared" si="661"/>
        <v>522-2026000381</v>
      </c>
      <c r="B2884" s="6" t="str">
        <f t="shared" si="653"/>
        <v>EL CORTE</v>
      </c>
      <c r="C2884" s="7">
        <v>46043</v>
      </c>
      <c r="D2884" s="7">
        <v>46048</v>
      </c>
      <c r="E2884" s="8">
        <v>9</v>
      </c>
      <c r="F2884" s="6" t="str">
        <f t="shared" si="662"/>
        <v>94887901_07026</v>
      </c>
      <c r="G2884" s="6" t="str">
        <f t="shared" si="654"/>
        <v>F310631650000000</v>
      </c>
      <c r="H2884" s="6" t="str">
        <f t="shared" si="655"/>
        <v>PLAR 6316 FD - 500 g</v>
      </c>
      <c r="I2884" s="6" t="str">
        <f>"200901"</f>
        <v>200901</v>
      </c>
      <c r="J2884" s="6" t="str">
        <f>"ROSA 901"</f>
        <v>ROSA 901</v>
      </c>
      <c r="K2884" s="6" t="str">
        <f>"2020"</f>
        <v>2020</v>
      </c>
      <c r="L2884" s="6" t="str">
        <f>"Lençóis"</f>
        <v>Lençóis</v>
      </c>
      <c r="M2884" s="6" t="str">
        <f>"100x150"</f>
        <v>100x150</v>
      </c>
      <c r="N2884" s="6" t="str">
        <f>"5602972281125"</f>
        <v>5602972281125</v>
      </c>
      <c r="O2884" s="8">
        <v>39</v>
      </c>
      <c r="R2884" s="8">
        <v>0</v>
      </c>
      <c r="U2884" s="8">
        <v>0</v>
      </c>
      <c r="X2884" s="8">
        <v>0</v>
      </c>
      <c r="Z2884" s="8">
        <v>0</v>
      </c>
      <c r="AC2884" s="8">
        <v>0</v>
      </c>
      <c r="AF2884" s="8">
        <v>0</v>
      </c>
      <c r="AN2884" s="8">
        <v>0</v>
      </c>
      <c r="AO2884" s="8">
        <v>39</v>
      </c>
    </row>
    <row r="2885" spans="1:41" x14ac:dyDescent="0.25">
      <c r="A2885" s="6" t="str">
        <f t="shared" si="661"/>
        <v>522-2026000381</v>
      </c>
      <c r="B2885" s="6" t="str">
        <f t="shared" si="653"/>
        <v>EL CORTE</v>
      </c>
      <c r="C2885" s="7">
        <v>46043</v>
      </c>
      <c r="D2885" s="7">
        <v>46048</v>
      </c>
      <c r="E2885" s="8">
        <v>10</v>
      </c>
      <c r="F2885" s="6" t="str">
        <f t="shared" si="662"/>
        <v>94887901_07026</v>
      </c>
      <c r="G2885" s="6" t="str">
        <f t="shared" si="654"/>
        <v>F310631650000000</v>
      </c>
      <c r="H2885" s="6" t="str">
        <f t="shared" si="655"/>
        <v>PLAR 6316 FD - 500 g</v>
      </c>
      <c r="I2885" s="6" t="str">
        <f>"200510"</f>
        <v>200510</v>
      </c>
      <c r="J2885" s="6" t="str">
        <f>"VERDE 510"</f>
        <v>VERDE 510</v>
      </c>
      <c r="K2885" s="6" t="str">
        <f>"0520"</f>
        <v>0520</v>
      </c>
      <c r="L2885" s="6" t="str">
        <f>"Toalhetes"</f>
        <v>Toalhetes</v>
      </c>
      <c r="M2885" s="6" t="str">
        <f>"30x50"</f>
        <v>30x50</v>
      </c>
      <c r="N2885" s="6" t="str">
        <f>"5602972281132"</f>
        <v>5602972281132</v>
      </c>
      <c r="O2885" s="8">
        <v>42</v>
      </c>
      <c r="R2885" s="8">
        <v>0</v>
      </c>
      <c r="U2885" s="8">
        <v>0</v>
      </c>
      <c r="X2885" s="8">
        <v>0</v>
      </c>
      <c r="Z2885" s="8">
        <v>0</v>
      </c>
      <c r="AC2885" s="8">
        <v>0</v>
      </c>
      <c r="AF2885" s="8">
        <v>0</v>
      </c>
      <c r="AN2885" s="8">
        <v>0</v>
      </c>
      <c r="AO2885" s="8">
        <v>42</v>
      </c>
    </row>
    <row r="2886" spans="1:41" x14ac:dyDescent="0.25">
      <c r="A2886" s="6" t="str">
        <f t="shared" si="661"/>
        <v>522-2026000381</v>
      </c>
      <c r="B2886" s="6" t="str">
        <f t="shared" si="653"/>
        <v>EL CORTE</v>
      </c>
      <c r="C2886" s="7">
        <v>46043</v>
      </c>
      <c r="D2886" s="7">
        <v>46048</v>
      </c>
      <c r="E2886" s="8">
        <v>11</v>
      </c>
      <c r="F2886" s="6" t="str">
        <f t="shared" si="662"/>
        <v>94887901_07026</v>
      </c>
      <c r="G2886" s="6" t="str">
        <f t="shared" si="654"/>
        <v>F310631650000000</v>
      </c>
      <c r="H2886" s="6" t="str">
        <f t="shared" si="655"/>
        <v>PLAR 6316 FD - 500 g</v>
      </c>
      <c r="I2886" s="6" t="str">
        <f>"200510"</f>
        <v>200510</v>
      </c>
      <c r="J2886" s="6" t="str">
        <f>"VERDE 510"</f>
        <v>VERDE 510</v>
      </c>
      <c r="K2886" s="6" t="str">
        <f>"1024"</f>
        <v>1024</v>
      </c>
      <c r="L2886" s="6" t="str">
        <f>"Toalhas"</f>
        <v>Toalhas</v>
      </c>
      <c r="M2886" s="6" t="str">
        <f>"50x100"</f>
        <v>50x100</v>
      </c>
      <c r="N2886" s="6" t="str">
        <f>"5602972281149"</f>
        <v>5602972281149</v>
      </c>
      <c r="O2886" s="8">
        <v>24</v>
      </c>
      <c r="R2886" s="8">
        <v>0</v>
      </c>
      <c r="U2886" s="8">
        <v>0</v>
      </c>
      <c r="X2886" s="8">
        <v>0</v>
      </c>
      <c r="Z2886" s="8">
        <v>0</v>
      </c>
      <c r="AC2886" s="8">
        <v>0</v>
      </c>
      <c r="AF2886" s="8">
        <v>0</v>
      </c>
      <c r="AN2886" s="8">
        <v>24</v>
      </c>
      <c r="AO2886" s="8">
        <v>0</v>
      </c>
    </row>
    <row r="2887" spans="1:41" x14ac:dyDescent="0.25">
      <c r="A2887" s="6" t="str">
        <f t="shared" si="661"/>
        <v>522-2026000381</v>
      </c>
      <c r="B2887" s="6" t="str">
        <f t="shared" ref="B2887:B2950" si="663">"EL CORTE"</f>
        <v>EL CORTE</v>
      </c>
      <c r="C2887" s="7">
        <v>46043</v>
      </c>
      <c r="D2887" s="7">
        <v>46048</v>
      </c>
      <c r="E2887" s="8">
        <v>12</v>
      </c>
      <c r="F2887" s="6" t="str">
        <f t="shared" si="662"/>
        <v>94887901_07026</v>
      </c>
      <c r="G2887" s="6" t="str">
        <f t="shared" ref="G2887:G2950" si="664">"F310631650000000"</f>
        <v>F310631650000000</v>
      </c>
      <c r="H2887" s="6" t="str">
        <f t="shared" ref="H2887:H2950" si="665">"PLAR 6316 FD - 500 g"</f>
        <v>PLAR 6316 FD - 500 g</v>
      </c>
      <c r="I2887" s="6" t="str">
        <f>"200510"</f>
        <v>200510</v>
      </c>
      <c r="J2887" s="6" t="str">
        <f>"VERDE 510"</f>
        <v>VERDE 510</v>
      </c>
      <c r="K2887" s="6" t="str">
        <f t="shared" ref="K2887:K2893" si="666">"2020"</f>
        <v>2020</v>
      </c>
      <c r="L2887" s="6" t="str">
        <f t="shared" ref="L2887:L2893" si="667">"Lençóis"</f>
        <v>Lençóis</v>
      </c>
      <c r="M2887" s="6" t="str">
        <f t="shared" ref="M2887:M2893" si="668">"100x150"</f>
        <v>100x150</v>
      </c>
      <c r="N2887" s="6" t="str">
        <f>"5602972281156"</f>
        <v>5602972281156</v>
      </c>
      <c r="O2887" s="8">
        <v>36</v>
      </c>
      <c r="R2887" s="8">
        <v>0</v>
      </c>
      <c r="U2887" s="8">
        <v>0</v>
      </c>
      <c r="X2887" s="8">
        <v>0</v>
      </c>
      <c r="Z2887" s="8">
        <v>0</v>
      </c>
      <c r="AC2887" s="8">
        <v>0</v>
      </c>
      <c r="AF2887" s="8">
        <v>0</v>
      </c>
      <c r="AN2887" s="8">
        <v>0</v>
      </c>
      <c r="AO2887" s="8">
        <v>36</v>
      </c>
    </row>
    <row r="2888" spans="1:41" x14ac:dyDescent="0.25">
      <c r="A2888" s="6" t="str">
        <f>"522-2026000382"</f>
        <v>522-2026000382</v>
      </c>
      <c r="B2888" s="6" t="str">
        <f t="shared" si="663"/>
        <v>EL CORTE</v>
      </c>
      <c r="C2888" s="7">
        <v>46043</v>
      </c>
      <c r="D2888" s="7">
        <v>46048</v>
      </c>
      <c r="E2888" s="8">
        <v>1</v>
      </c>
      <c r="F2888" s="6" t="str">
        <f>"94888901_07026"</f>
        <v>94888901_07026</v>
      </c>
      <c r="G2888" s="6" t="str">
        <f t="shared" si="664"/>
        <v>F310631650000000</v>
      </c>
      <c r="H2888" s="6" t="str">
        <f t="shared" si="665"/>
        <v>PLAR 6316 FD - 500 g</v>
      </c>
      <c r="I2888" s="6" t="str">
        <f>"202575"</f>
        <v>202575</v>
      </c>
      <c r="J2888" s="6" t="str">
        <f>"BEGE 2575"</f>
        <v>BEGE 2575</v>
      </c>
      <c r="K2888" s="6" t="str">
        <f t="shared" si="666"/>
        <v>2020</v>
      </c>
      <c r="L2888" s="6" t="str">
        <f t="shared" si="667"/>
        <v>Lençóis</v>
      </c>
      <c r="M2888" s="6" t="str">
        <f t="shared" si="668"/>
        <v>100x150</v>
      </c>
      <c r="N2888" s="6" t="str">
        <f>"5602972281095"</f>
        <v>5602972281095</v>
      </c>
      <c r="O2888" s="8">
        <v>3</v>
      </c>
      <c r="R2888" s="8">
        <v>0</v>
      </c>
      <c r="U2888" s="8">
        <v>0</v>
      </c>
      <c r="X2888" s="8">
        <v>0</v>
      </c>
      <c r="Z2888" s="8">
        <v>0</v>
      </c>
      <c r="AC2888" s="8">
        <v>0</v>
      </c>
      <c r="AF2888" s="8">
        <v>0</v>
      </c>
      <c r="AN2888" s="8">
        <v>0</v>
      </c>
      <c r="AO2888" s="8">
        <v>3</v>
      </c>
    </row>
    <row r="2889" spans="1:41" x14ac:dyDescent="0.25">
      <c r="A2889" s="6" t="str">
        <f>"522-2026000383"</f>
        <v>522-2026000383</v>
      </c>
      <c r="B2889" s="6" t="str">
        <f t="shared" si="663"/>
        <v>EL CORTE</v>
      </c>
      <c r="C2889" s="7">
        <v>46043</v>
      </c>
      <c r="D2889" s="7">
        <v>46048</v>
      </c>
      <c r="E2889" s="8">
        <v>1</v>
      </c>
      <c r="F2889" s="6" t="str">
        <f>"94888201_07026"</f>
        <v>94888201_07026</v>
      </c>
      <c r="G2889" s="6" t="str">
        <f t="shared" si="664"/>
        <v>F310631650000000</v>
      </c>
      <c r="H2889" s="6" t="str">
        <f t="shared" si="665"/>
        <v>PLAR 6316 FD - 500 g</v>
      </c>
      <c r="I2889" s="6" t="str">
        <f>"201855"</f>
        <v>201855</v>
      </c>
      <c r="J2889" s="6" t="str">
        <f>"AZUL 1855"</f>
        <v>AZUL 1855</v>
      </c>
      <c r="K2889" s="6" t="str">
        <f t="shared" si="666"/>
        <v>2020</v>
      </c>
      <c r="L2889" s="6" t="str">
        <f t="shared" si="667"/>
        <v>Lençóis</v>
      </c>
      <c r="M2889" s="6" t="str">
        <f t="shared" si="668"/>
        <v>100x150</v>
      </c>
      <c r="N2889" s="6" t="str">
        <f>"5602972281064"</f>
        <v>5602972281064</v>
      </c>
      <c r="O2889" s="8">
        <v>3</v>
      </c>
      <c r="R2889" s="8">
        <v>0</v>
      </c>
      <c r="U2889" s="8">
        <v>0</v>
      </c>
      <c r="X2889" s="8">
        <v>0</v>
      </c>
      <c r="Z2889" s="8">
        <v>0</v>
      </c>
      <c r="AC2889" s="8">
        <v>0</v>
      </c>
      <c r="AF2889" s="8">
        <v>0</v>
      </c>
      <c r="AN2889" s="8">
        <v>0</v>
      </c>
      <c r="AO2889" s="8">
        <v>3</v>
      </c>
    </row>
    <row r="2890" spans="1:41" x14ac:dyDescent="0.25">
      <c r="A2890" s="6" t="str">
        <f>"522-2026000383"</f>
        <v>522-2026000383</v>
      </c>
      <c r="B2890" s="6" t="str">
        <f t="shared" si="663"/>
        <v>EL CORTE</v>
      </c>
      <c r="C2890" s="7">
        <v>46043</v>
      </c>
      <c r="D2890" s="7">
        <v>46048</v>
      </c>
      <c r="E2890" s="8">
        <v>2</v>
      </c>
      <c r="F2890" s="6" t="str">
        <f>"94888201_07026"</f>
        <v>94888201_07026</v>
      </c>
      <c r="G2890" s="6" t="str">
        <f t="shared" si="664"/>
        <v>F310631650000000</v>
      </c>
      <c r="H2890" s="6" t="str">
        <f t="shared" si="665"/>
        <v>PLAR 6316 FD - 500 g</v>
      </c>
      <c r="I2890" s="6" t="str">
        <f>"202575"</f>
        <v>202575</v>
      </c>
      <c r="J2890" s="6" t="str">
        <f>"BEGE 2575"</f>
        <v>BEGE 2575</v>
      </c>
      <c r="K2890" s="6" t="str">
        <f t="shared" si="666"/>
        <v>2020</v>
      </c>
      <c r="L2890" s="6" t="str">
        <f t="shared" si="667"/>
        <v>Lençóis</v>
      </c>
      <c r="M2890" s="6" t="str">
        <f t="shared" si="668"/>
        <v>100x150</v>
      </c>
      <c r="N2890" s="6" t="str">
        <f>"5602972281095"</f>
        <v>5602972281095</v>
      </c>
      <c r="O2890" s="8">
        <v>3</v>
      </c>
      <c r="R2890" s="8">
        <v>0</v>
      </c>
      <c r="U2890" s="8">
        <v>0</v>
      </c>
      <c r="X2890" s="8">
        <v>0</v>
      </c>
      <c r="Z2890" s="8">
        <v>0</v>
      </c>
      <c r="AC2890" s="8">
        <v>0</v>
      </c>
      <c r="AF2890" s="8">
        <v>0</v>
      </c>
      <c r="AN2890" s="8">
        <v>0</v>
      </c>
      <c r="AO2890" s="8">
        <v>3</v>
      </c>
    </row>
    <row r="2891" spans="1:41" x14ac:dyDescent="0.25">
      <c r="A2891" s="6" t="str">
        <f>"522-2026000383"</f>
        <v>522-2026000383</v>
      </c>
      <c r="B2891" s="6" t="str">
        <f t="shared" si="663"/>
        <v>EL CORTE</v>
      </c>
      <c r="C2891" s="7">
        <v>46043</v>
      </c>
      <c r="D2891" s="7">
        <v>46048</v>
      </c>
      <c r="E2891" s="8">
        <v>3</v>
      </c>
      <c r="F2891" s="6" t="str">
        <f>"94888201_07026"</f>
        <v>94888201_07026</v>
      </c>
      <c r="G2891" s="6" t="str">
        <f t="shared" si="664"/>
        <v>F310631650000000</v>
      </c>
      <c r="H2891" s="6" t="str">
        <f t="shared" si="665"/>
        <v>PLAR 6316 FD - 500 g</v>
      </c>
      <c r="I2891" s="6" t="str">
        <f>"200901"</f>
        <v>200901</v>
      </c>
      <c r="J2891" s="6" t="str">
        <f>"ROSA 901"</f>
        <v>ROSA 901</v>
      </c>
      <c r="K2891" s="6" t="str">
        <f t="shared" si="666"/>
        <v>2020</v>
      </c>
      <c r="L2891" s="6" t="str">
        <f t="shared" si="667"/>
        <v>Lençóis</v>
      </c>
      <c r="M2891" s="6" t="str">
        <f t="shared" si="668"/>
        <v>100x150</v>
      </c>
      <c r="N2891" s="6" t="str">
        <f>"5602972281125"</f>
        <v>5602972281125</v>
      </c>
      <c r="O2891" s="8">
        <v>3</v>
      </c>
      <c r="R2891" s="8">
        <v>0</v>
      </c>
      <c r="U2891" s="8">
        <v>0</v>
      </c>
      <c r="X2891" s="8">
        <v>0</v>
      </c>
      <c r="Z2891" s="8">
        <v>0</v>
      </c>
      <c r="AC2891" s="8">
        <v>0</v>
      </c>
      <c r="AF2891" s="8">
        <v>0</v>
      </c>
      <c r="AN2891" s="8">
        <v>0</v>
      </c>
      <c r="AO2891" s="8">
        <v>3</v>
      </c>
    </row>
    <row r="2892" spans="1:41" x14ac:dyDescent="0.25">
      <c r="A2892" s="6" t="str">
        <f>"522-2026000384"</f>
        <v>522-2026000384</v>
      </c>
      <c r="B2892" s="6" t="str">
        <f t="shared" si="663"/>
        <v>EL CORTE</v>
      </c>
      <c r="C2892" s="7">
        <v>46043</v>
      </c>
      <c r="D2892" s="7">
        <v>46048</v>
      </c>
      <c r="E2892" s="8">
        <v>1</v>
      </c>
      <c r="F2892" s="6" t="str">
        <f>"94887001_07026"</f>
        <v>94887001_07026</v>
      </c>
      <c r="G2892" s="6" t="str">
        <f t="shared" si="664"/>
        <v>F310631650000000</v>
      </c>
      <c r="H2892" s="6" t="str">
        <f t="shared" si="665"/>
        <v>PLAR 6316 FD - 500 g</v>
      </c>
      <c r="I2892" s="6" t="str">
        <f>"202575"</f>
        <v>202575</v>
      </c>
      <c r="J2892" s="6" t="str">
        <f>"BEGE 2575"</f>
        <v>BEGE 2575</v>
      </c>
      <c r="K2892" s="6" t="str">
        <f t="shared" si="666"/>
        <v>2020</v>
      </c>
      <c r="L2892" s="6" t="str">
        <f t="shared" si="667"/>
        <v>Lençóis</v>
      </c>
      <c r="M2892" s="6" t="str">
        <f t="shared" si="668"/>
        <v>100x150</v>
      </c>
      <c r="N2892" s="6" t="str">
        <f>"5602972281095"</f>
        <v>5602972281095</v>
      </c>
      <c r="O2892" s="8">
        <v>3</v>
      </c>
      <c r="R2892" s="8">
        <v>0</v>
      </c>
      <c r="U2892" s="8">
        <v>0</v>
      </c>
      <c r="X2892" s="8">
        <v>0</v>
      </c>
      <c r="Z2892" s="8">
        <v>0</v>
      </c>
      <c r="AC2892" s="8">
        <v>0</v>
      </c>
      <c r="AF2892" s="8">
        <v>0</v>
      </c>
      <c r="AN2892" s="8">
        <v>0</v>
      </c>
      <c r="AO2892" s="8">
        <v>3</v>
      </c>
    </row>
    <row r="2893" spans="1:41" x14ac:dyDescent="0.25">
      <c r="A2893" s="6" t="str">
        <f>"522-2026000384"</f>
        <v>522-2026000384</v>
      </c>
      <c r="B2893" s="6" t="str">
        <f t="shared" si="663"/>
        <v>EL CORTE</v>
      </c>
      <c r="C2893" s="7">
        <v>46043</v>
      </c>
      <c r="D2893" s="7">
        <v>46048</v>
      </c>
      <c r="E2893" s="8">
        <v>2</v>
      </c>
      <c r="F2893" s="6" t="str">
        <f>"94887001_07026"</f>
        <v>94887001_07026</v>
      </c>
      <c r="G2893" s="6" t="str">
        <f t="shared" si="664"/>
        <v>F310631650000000</v>
      </c>
      <c r="H2893" s="6" t="str">
        <f t="shared" si="665"/>
        <v>PLAR 6316 FD - 500 g</v>
      </c>
      <c r="I2893" s="6" t="str">
        <f>"200901"</f>
        <v>200901</v>
      </c>
      <c r="J2893" s="6" t="str">
        <f>"ROSA 901"</f>
        <v>ROSA 901</v>
      </c>
      <c r="K2893" s="6" t="str">
        <f t="shared" si="666"/>
        <v>2020</v>
      </c>
      <c r="L2893" s="6" t="str">
        <f t="shared" si="667"/>
        <v>Lençóis</v>
      </c>
      <c r="M2893" s="6" t="str">
        <f t="shared" si="668"/>
        <v>100x150</v>
      </c>
      <c r="N2893" s="6" t="str">
        <f>"5602972281125"</f>
        <v>5602972281125</v>
      </c>
      <c r="O2893" s="8">
        <v>3</v>
      </c>
      <c r="R2893" s="8">
        <v>0</v>
      </c>
      <c r="U2893" s="8">
        <v>0</v>
      </c>
      <c r="X2893" s="8">
        <v>0</v>
      </c>
      <c r="Z2893" s="8">
        <v>0</v>
      </c>
      <c r="AC2893" s="8">
        <v>0</v>
      </c>
      <c r="AF2893" s="8">
        <v>0</v>
      </c>
      <c r="AN2893" s="8">
        <v>0</v>
      </c>
      <c r="AO2893" s="8">
        <v>3</v>
      </c>
    </row>
    <row r="2894" spans="1:41" x14ac:dyDescent="0.25">
      <c r="A2894" s="6" t="str">
        <f>"522-2026000385"</f>
        <v>522-2026000385</v>
      </c>
      <c r="B2894" s="6" t="str">
        <f t="shared" si="663"/>
        <v>EL CORTE</v>
      </c>
      <c r="C2894" s="7">
        <v>46043</v>
      </c>
      <c r="D2894" s="7">
        <v>46048</v>
      </c>
      <c r="E2894" s="8">
        <v>1</v>
      </c>
      <c r="F2894" s="6" t="str">
        <f>"94886801_07026"</f>
        <v>94886801_07026</v>
      </c>
      <c r="G2894" s="6" t="str">
        <f t="shared" si="664"/>
        <v>F310631650000000</v>
      </c>
      <c r="H2894" s="6" t="str">
        <f t="shared" si="665"/>
        <v>PLAR 6316 FD - 500 g</v>
      </c>
      <c r="I2894" s="6" t="str">
        <f>"201855"</f>
        <v>201855</v>
      </c>
      <c r="J2894" s="6" t="str">
        <f>"AZUL 1855"</f>
        <v>AZUL 1855</v>
      </c>
      <c r="K2894" s="6" t="str">
        <f>"1024"</f>
        <v>1024</v>
      </c>
      <c r="L2894" s="6" t="str">
        <f>"Toalhas"</f>
        <v>Toalhas</v>
      </c>
      <c r="M2894" s="6" t="str">
        <f>"50x100"</f>
        <v>50x100</v>
      </c>
      <c r="N2894" s="6" t="str">
        <f>"5602972281057"</f>
        <v>5602972281057</v>
      </c>
      <c r="O2894" s="8">
        <v>6</v>
      </c>
      <c r="R2894" s="8">
        <v>0</v>
      </c>
      <c r="U2894" s="8">
        <v>0</v>
      </c>
      <c r="X2894" s="8">
        <v>0</v>
      </c>
      <c r="Z2894" s="8">
        <v>0</v>
      </c>
      <c r="AC2894" s="8">
        <v>0</v>
      </c>
      <c r="AF2894" s="8">
        <v>0</v>
      </c>
      <c r="AN2894" s="8">
        <v>0</v>
      </c>
      <c r="AO2894" s="8">
        <v>6</v>
      </c>
    </row>
    <row r="2895" spans="1:41" x14ac:dyDescent="0.25">
      <c r="A2895" s="6" t="str">
        <f>"522-2026000385"</f>
        <v>522-2026000385</v>
      </c>
      <c r="B2895" s="6" t="str">
        <f t="shared" si="663"/>
        <v>EL CORTE</v>
      </c>
      <c r="C2895" s="7">
        <v>46043</v>
      </c>
      <c r="D2895" s="7">
        <v>46048</v>
      </c>
      <c r="E2895" s="8">
        <v>2</v>
      </c>
      <c r="F2895" s="6" t="str">
        <f>"94886801_07026"</f>
        <v>94886801_07026</v>
      </c>
      <c r="G2895" s="6" t="str">
        <f t="shared" si="664"/>
        <v>F310631650000000</v>
      </c>
      <c r="H2895" s="6" t="str">
        <f t="shared" si="665"/>
        <v>PLAR 6316 FD - 500 g</v>
      </c>
      <c r="I2895" s="6" t="str">
        <f>"202575"</f>
        <v>202575</v>
      </c>
      <c r="J2895" s="6" t="str">
        <f>"BEGE 2575"</f>
        <v>BEGE 2575</v>
      </c>
      <c r="K2895" s="6" t="str">
        <f t="shared" ref="K2895:K2901" si="669">"2020"</f>
        <v>2020</v>
      </c>
      <c r="L2895" s="6" t="str">
        <f t="shared" ref="L2895:L2901" si="670">"Lençóis"</f>
        <v>Lençóis</v>
      </c>
      <c r="M2895" s="6" t="str">
        <f t="shared" ref="M2895:M2901" si="671">"100x150"</f>
        <v>100x150</v>
      </c>
      <c r="N2895" s="6" t="str">
        <f>"5602972281095"</f>
        <v>5602972281095</v>
      </c>
      <c r="O2895" s="8">
        <v>9</v>
      </c>
      <c r="R2895" s="8">
        <v>0</v>
      </c>
      <c r="U2895" s="8">
        <v>0</v>
      </c>
      <c r="X2895" s="8">
        <v>0</v>
      </c>
      <c r="Z2895" s="8">
        <v>0</v>
      </c>
      <c r="AC2895" s="8">
        <v>0</v>
      </c>
      <c r="AF2895" s="8">
        <v>0</v>
      </c>
      <c r="AN2895" s="8">
        <v>0</v>
      </c>
      <c r="AO2895" s="8">
        <v>9</v>
      </c>
    </row>
    <row r="2896" spans="1:41" x14ac:dyDescent="0.25">
      <c r="A2896" s="6" t="str">
        <f>"522-2026000385"</f>
        <v>522-2026000385</v>
      </c>
      <c r="B2896" s="6" t="str">
        <f t="shared" si="663"/>
        <v>EL CORTE</v>
      </c>
      <c r="C2896" s="7">
        <v>46043</v>
      </c>
      <c r="D2896" s="7">
        <v>46048</v>
      </c>
      <c r="E2896" s="8">
        <v>3</v>
      </c>
      <c r="F2896" s="6" t="str">
        <f>"94886801_07026"</f>
        <v>94886801_07026</v>
      </c>
      <c r="G2896" s="6" t="str">
        <f t="shared" si="664"/>
        <v>F310631650000000</v>
      </c>
      <c r="H2896" s="6" t="str">
        <f t="shared" si="665"/>
        <v>PLAR 6316 FD - 500 g</v>
      </c>
      <c r="I2896" s="6" t="str">
        <f>"200901"</f>
        <v>200901</v>
      </c>
      <c r="J2896" s="6" t="str">
        <f>"ROSA 901"</f>
        <v>ROSA 901</v>
      </c>
      <c r="K2896" s="6" t="str">
        <f t="shared" si="669"/>
        <v>2020</v>
      </c>
      <c r="L2896" s="6" t="str">
        <f t="shared" si="670"/>
        <v>Lençóis</v>
      </c>
      <c r="M2896" s="6" t="str">
        <f t="shared" si="671"/>
        <v>100x150</v>
      </c>
      <c r="N2896" s="6" t="str">
        <f>"5602972281125"</f>
        <v>5602972281125</v>
      </c>
      <c r="O2896" s="8">
        <v>9</v>
      </c>
      <c r="R2896" s="8">
        <v>0</v>
      </c>
      <c r="U2896" s="8">
        <v>0</v>
      </c>
      <c r="X2896" s="8">
        <v>0</v>
      </c>
      <c r="Z2896" s="8">
        <v>0</v>
      </c>
      <c r="AC2896" s="8">
        <v>0</v>
      </c>
      <c r="AF2896" s="8">
        <v>0</v>
      </c>
      <c r="AN2896" s="8">
        <v>0</v>
      </c>
      <c r="AO2896" s="8">
        <v>9</v>
      </c>
    </row>
    <row r="2897" spans="1:41" x14ac:dyDescent="0.25">
      <c r="A2897" s="6" t="str">
        <f>"522-2026000385"</f>
        <v>522-2026000385</v>
      </c>
      <c r="B2897" s="6" t="str">
        <f t="shared" si="663"/>
        <v>EL CORTE</v>
      </c>
      <c r="C2897" s="7">
        <v>46043</v>
      </c>
      <c r="D2897" s="7">
        <v>46048</v>
      </c>
      <c r="E2897" s="8">
        <v>4</v>
      </c>
      <c r="F2897" s="6" t="str">
        <f>"94886801_07026"</f>
        <v>94886801_07026</v>
      </c>
      <c r="G2897" s="6" t="str">
        <f t="shared" si="664"/>
        <v>F310631650000000</v>
      </c>
      <c r="H2897" s="6" t="str">
        <f t="shared" si="665"/>
        <v>PLAR 6316 FD - 500 g</v>
      </c>
      <c r="I2897" s="6" t="str">
        <f>"200510"</f>
        <v>200510</v>
      </c>
      <c r="J2897" s="6" t="str">
        <f>"VERDE 510"</f>
        <v>VERDE 510</v>
      </c>
      <c r="K2897" s="6" t="str">
        <f t="shared" si="669"/>
        <v>2020</v>
      </c>
      <c r="L2897" s="6" t="str">
        <f t="shared" si="670"/>
        <v>Lençóis</v>
      </c>
      <c r="M2897" s="6" t="str">
        <f t="shared" si="671"/>
        <v>100x150</v>
      </c>
      <c r="N2897" s="6" t="str">
        <f>"5602972281156"</f>
        <v>5602972281156</v>
      </c>
      <c r="O2897" s="8">
        <v>18</v>
      </c>
      <c r="R2897" s="8">
        <v>0</v>
      </c>
      <c r="U2897" s="8">
        <v>0</v>
      </c>
      <c r="X2897" s="8">
        <v>0</v>
      </c>
      <c r="Z2897" s="8">
        <v>0</v>
      </c>
      <c r="AC2897" s="8">
        <v>0</v>
      </c>
      <c r="AF2897" s="8">
        <v>0</v>
      </c>
      <c r="AN2897" s="8">
        <v>0</v>
      </c>
      <c r="AO2897" s="8">
        <v>18</v>
      </c>
    </row>
    <row r="2898" spans="1:41" x14ac:dyDescent="0.25">
      <c r="A2898" s="6" t="str">
        <f>"522-2026000386"</f>
        <v>522-2026000386</v>
      </c>
      <c r="B2898" s="6" t="str">
        <f t="shared" si="663"/>
        <v>EL CORTE</v>
      </c>
      <c r="C2898" s="7">
        <v>46043</v>
      </c>
      <c r="D2898" s="7">
        <v>46048</v>
      </c>
      <c r="E2898" s="8">
        <v>1</v>
      </c>
      <c r="F2898" s="6" t="str">
        <f>"94887401_07026"</f>
        <v>94887401_07026</v>
      </c>
      <c r="G2898" s="6" t="str">
        <f t="shared" si="664"/>
        <v>F310631650000000</v>
      </c>
      <c r="H2898" s="6" t="str">
        <f t="shared" si="665"/>
        <v>PLAR 6316 FD - 500 g</v>
      </c>
      <c r="I2898" s="6" t="str">
        <f>"200510"</f>
        <v>200510</v>
      </c>
      <c r="J2898" s="6" t="str">
        <f>"VERDE 510"</f>
        <v>VERDE 510</v>
      </c>
      <c r="K2898" s="6" t="str">
        <f t="shared" si="669"/>
        <v>2020</v>
      </c>
      <c r="L2898" s="6" t="str">
        <f t="shared" si="670"/>
        <v>Lençóis</v>
      </c>
      <c r="M2898" s="6" t="str">
        <f t="shared" si="671"/>
        <v>100x150</v>
      </c>
      <c r="N2898" s="6" t="str">
        <f>"5602972281156"</f>
        <v>5602972281156</v>
      </c>
      <c r="O2898" s="8">
        <v>3</v>
      </c>
      <c r="R2898" s="8">
        <v>0</v>
      </c>
      <c r="U2898" s="8">
        <v>0</v>
      </c>
      <c r="X2898" s="8">
        <v>0</v>
      </c>
      <c r="Z2898" s="8">
        <v>0</v>
      </c>
      <c r="AC2898" s="8">
        <v>0</v>
      </c>
      <c r="AF2898" s="8">
        <v>0</v>
      </c>
      <c r="AN2898" s="8">
        <v>0</v>
      </c>
      <c r="AO2898" s="8">
        <v>3</v>
      </c>
    </row>
    <row r="2899" spans="1:41" x14ac:dyDescent="0.25">
      <c r="A2899" s="6" t="str">
        <f>"522-2026000387"</f>
        <v>522-2026000387</v>
      </c>
      <c r="B2899" s="6" t="str">
        <f t="shared" si="663"/>
        <v>EL CORTE</v>
      </c>
      <c r="C2899" s="7">
        <v>46043</v>
      </c>
      <c r="D2899" s="7">
        <v>46048</v>
      </c>
      <c r="E2899" s="8">
        <v>1</v>
      </c>
      <c r="F2899" s="6" t="str">
        <f>"94888501_07026"</f>
        <v>94888501_07026</v>
      </c>
      <c r="G2899" s="6" t="str">
        <f t="shared" si="664"/>
        <v>F310631650000000</v>
      </c>
      <c r="H2899" s="6" t="str">
        <f t="shared" si="665"/>
        <v>PLAR 6316 FD - 500 g</v>
      </c>
      <c r="I2899" s="6" t="str">
        <f>"202575"</f>
        <v>202575</v>
      </c>
      <c r="J2899" s="6" t="str">
        <f>"BEGE 2575"</f>
        <v>BEGE 2575</v>
      </c>
      <c r="K2899" s="6" t="str">
        <f t="shared" si="669"/>
        <v>2020</v>
      </c>
      <c r="L2899" s="6" t="str">
        <f t="shared" si="670"/>
        <v>Lençóis</v>
      </c>
      <c r="M2899" s="6" t="str">
        <f t="shared" si="671"/>
        <v>100x150</v>
      </c>
      <c r="N2899" s="6" t="str">
        <f>"5602972281095"</f>
        <v>5602972281095</v>
      </c>
      <c r="O2899" s="8">
        <v>3</v>
      </c>
      <c r="R2899" s="8">
        <v>0</v>
      </c>
      <c r="U2899" s="8">
        <v>0</v>
      </c>
      <c r="X2899" s="8">
        <v>0</v>
      </c>
      <c r="Z2899" s="8">
        <v>0</v>
      </c>
      <c r="AC2899" s="8">
        <v>0</v>
      </c>
      <c r="AF2899" s="8">
        <v>0</v>
      </c>
      <c r="AN2899" s="8">
        <v>0</v>
      </c>
      <c r="AO2899" s="8">
        <v>3</v>
      </c>
    </row>
    <row r="2900" spans="1:41" x14ac:dyDescent="0.25">
      <c r="A2900" s="6" t="str">
        <f>"522-2026000388"</f>
        <v>522-2026000388</v>
      </c>
      <c r="B2900" s="6" t="str">
        <f t="shared" si="663"/>
        <v>EL CORTE</v>
      </c>
      <c r="C2900" s="7">
        <v>46043</v>
      </c>
      <c r="D2900" s="7">
        <v>46048</v>
      </c>
      <c r="E2900" s="8">
        <v>1</v>
      </c>
      <c r="F2900" s="6" t="str">
        <f>"94889201_07026"</f>
        <v>94889201_07026</v>
      </c>
      <c r="G2900" s="6" t="str">
        <f t="shared" si="664"/>
        <v>F310631650000000</v>
      </c>
      <c r="H2900" s="6" t="str">
        <f t="shared" si="665"/>
        <v>PLAR 6316 FD - 500 g</v>
      </c>
      <c r="I2900" s="6" t="str">
        <f>"201855"</f>
        <v>201855</v>
      </c>
      <c r="J2900" s="6" t="str">
        <f>"AZUL 1855"</f>
        <v>AZUL 1855</v>
      </c>
      <c r="K2900" s="6" t="str">
        <f t="shared" si="669"/>
        <v>2020</v>
      </c>
      <c r="L2900" s="6" t="str">
        <f t="shared" si="670"/>
        <v>Lençóis</v>
      </c>
      <c r="M2900" s="6" t="str">
        <f t="shared" si="671"/>
        <v>100x150</v>
      </c>
      <c r="N2900" s="6" t="str">
        <f>"5602972281064"</f>
        <v>5602972281064</v>
      </c>
      <c r="O2900" s="8">
        <v>3</v>
      </c>
      <c r="R2900" s="8">
        <v>0</v>
      </c>
      <c r="U2900" s="8">
        <v>0</v>
      </c>
      <c r="X2900" s="8">
        <v>0</v>
      </c>
      <c r="Z2900" s="8">
        <v>0</v>
      </c>
      <c r="AC2900" s="8">
        <v>0</v>
      </c>
      <c r="AF2900" s="8">
        <v>0</v>
      </c>
      <c r="AN2900" s="8">
        <v>0</v>
      </c>
      <c r="AO2900" s="8">
        <v>3</v>
      </c>
    </row>
    <row r="2901" spans="1:41" x14ac:dyDescent="0.25">
      <c r="A2901" s="6" t="str">
        <f>"522-2026000388"</f>
        <v>522-2026000388</v>
      </c>
      <c r="B2901" s="6" t="str">
        <f t="shared" si="663"/>
        <v>EL CORTE</v>
      </c>
      <c r="C2901" s="7">
        <v>46043</v>
      </c>
      <c r="D2901" s="7">
        <v>46048</v>
      </c>
      <c r="E2901" s="8">
        <v>2</v>
      </c>
      <c r="F2901" s="6" t="str">
        <f>"94889201_07026"</f>
        <v>94889201_07026</v>
      </c>
      <c r="G2901" s="6" t="str">
        <f t="shared" si="664"/>
        <v>F310631650000000</v>
      </c>
      <c r="H2901" s="6" t="str">
        <f t="shared" si="665"/>
        <v>PLAR 6316 FD - 500 g</v>
      </c>
      <c r="I2901" s="6" t="str">
        <f>"202575"</f>
        <v>202575</v>
      </c>
      <c r="J2901" s="6" t="str">
        <f>"BEGE 2575"</f>
        <v>BEGE 2575</v>
      </c>
      <c r="K2901" s="6" t="str">
        <f t="shared" si="669"/>
        <v>2020</v>
      </c>
      <c r="L2901" s="6" t="str">
        <f t="shared" si="670"/>
        <v>Lençóis</v>
      </c>
      <c r="M2901" s="6" t="str">
        <f t="shared" si="671"/>
        <v>100x150</v>
      </c>
      <c r="N2901" s="6" t="str">
        <f>"5602972281095"</f>
        <v>5602972281095</v>
      </c>
      <c r="O2901" s="8">
        <v>3</v>
      </c>
      <c r="R2901" s="8">
        <v>0</v>
      </c>
      <c r="U2901" s="8">
        <v>0</v>
      </c>
      <c r="X2901" s="8">
        <v>0</v>
      </c>
      <c r="Z2901" s="8">
        <v>0</v>
      </c>
      <c r="AC2901" s="8">
        <v>0</v>
      </c>
      <c r="AF2901" s="8">
        <v>0</v>
      </c>
      <c r="AN2901" s="8">
        <v>0</v>
      </c>
      <c r="AO2901" s="8">
        <v>3</v>
      </c>
    </row>
    <row r="2902" spans="1:41" x14ac:dyDescent="0.25">
      <c r="A2902" s="6" t="str">
        <f>"522-2026000389"</f>
        <v>522-2026000389</v>
      </c>
      <c r="B2902" s="6" t="str">
        <f t="shared" si="663"/>
        <v>EL CORTE</v>
      </c>
      <c r="C2902" s="7">
        <v>46043</v>
      </c>
      <c r="D2902" s="7">
        <v>46048</v>
      </c>
      <c r="E2902" s="8">
        <v>1</v>
      </c>
      <c r="F2902" s="6" t="str">
        <f>"94889001_07026"</f>
        <v>94889001_07026</v>
      </c>
      <c r="G2902" s="6" t="str">
        <f t="shared" si="664"/>
        <v>F310631650000000</v>
      </c>
      <c r="H2902" s="6" t="str">
        <f t="shared" si="665"/>
        <v>PLAR 6316 FD - 500 g</v>
      </c>
      <c r="I2902" s="6" t="str">
        <f>"200510"</f>
        <v>200510</v>
      </c>
      <c r="J2902" s="6" t="str">
        <f>"VERDE 510"</f>
        <v>VERDE 510</v>
      </c>
      <c r="K2902" s="6" t="str">
        <f>"1024"</f>
        <v>1024</v>
      </c>
      <c r="L2902" s="6" t="str">
        <f>"Toalhas"</f>
        <v>Toalhas</v>
      </c>
      <c r="M2902" s="6" t="str">
        <f>"50x100"</f>
        <v>50x100</v>
      </c>
      <c r="N2902" s="6" t="str">
        <f>"5602972281149"</f>
        <v>5602972281149</v>
      </c>
      <c r="O2902" s="8">
        <v>6</v>
      </c>
      <c r="R2902" s="8">
        <v>0</v>
      </c>
      <c r="U2902" s="8">
        <v>0</v>
      </c>
      <c r="X2902" s="8">
        <v>0</v>
      </c>
      <c r="Z2902" s="8">
        <v>0</v>
      </c>
      <c r="AC2902" s="8">
        <v>0</v>
      </c>
      <c r="AF2902" s="8">
        <v>0</v>
      </c>
      <c r="AN2902" s="8">
        <v>6</v>
      </c>
      <c r="AO2902" s="8">
        <v>0</v>
      </c>
    </row>
    <row r="2903" spans="1:41" x14ac:dyDescent="0.25">
      <c r="A2903" s="6" t="str">
        <f>"522-2026000390"</f>
        <v>522-2026000390</v>
      </c>
      <c r="B2903" s="6" t="str">
        <f t="shared" si="663"/>
        <v>EL CORTE</v>
      </c>
      <c r="C2903" s="7">
        <v>46043</v>
      </c>
      <c r="D2903" s="7">
        <v>46048</v>
      </c>
      <c r="E2903" s="8">
        <v>1</v>
      </c>
      <c r="F2903" s="6" t="str">
        <f>"94888601_07026"</f>
        <v>94888601_07026</v>
      </c>
      <c r="G2903" s="6" t="str">
        <f t="shared" si="664"/>
        <v>F310631650000000</v>
      </c>
      <c r="H2903" s="6" t="str">
        <f t="shared" si="665"/>
        <v>PLAR 6316 FD - 500 g</v>
      </c>
      <c r="I2903" s="6" t="str">
        <f>"201855"</f>
        <v>201855</v>
      </c>
      <c r="J2903" s="6" t="str">
        <f>"AZUL 1855"</f>
        <v>AZUL 1855</v>
      </c>
      <c r="K2903" s="6" t="str">
        <f>"1024"</f>
        <v>1024</v>
      </c>
      <c r="L2903" s="6" t="str">
        <f>"Toalhas"</f>
        <v>Toalhas</v>
      </c>
      <c r="M2903" s="6" t="str">
        <f>"50x100"</f>
        <v>50x100</v>
      </c>
      <c r="N2903" s="6" t="str">
        <f>"5602972281057"</f>
        <v>5602972281057</v>
      </c>
      <c r="O2903" s="8">
        <v>6</v>
      </c>
      <c r="R2903" s="8">
        <v>0</v>
      </c>
      <c r="U2903" s="8">
        <v>0</v>
      </c>
      <c r="X2903" s="8">
        <v>0</v>
      </c>
      <c r="Z2903" s="8">
        <v>0</v>
      </c>
      <c r="AC2903" s="8">
        <v>0</v>
      </c>
      <c r="AF2903" s="8">
        <v>0</v>
      </c>
      <c r="AN2903" s="8">
        <v>6</v>
      </c>
      <c r="AO2903" s="8">
        <v>0</v>
      </c>
    </row>
    <row r="2904" spans="1:41" x14ac:dyDescent="0.25">
      <c r="A2904" s="6" t="str">
        <f>"522-2026000391"</f>
        <v>522-2026000391</v>
      </c>
      <c r="B2904" s="6" t="str">
        <f t="shared" si="663"/>
        <v>EL CORTE</v>
      </c>
      <c r="C2904" s="7">
        <v>46043</v>
      </c>
      <c r="D2904" s="7">
        <v>46048</v>
      </c>
      <c r="E2904" s="8">
        <v>1</v>
      </c>
      <c r="F2904" s="6" t="str">
        <f>"94889301_07026"</f>
        <v>94889301_07026</v>
      </c>
      <c r="G2904" s="6" t="str">
        <f t="shared" si="664"/>
        <v>F310631650000000</v>
      </c>
      <c r="H2904" s="6" t="str">
        <f t="shared" si="665"/>
        <v>PLAR 6316 FD - 500 g</v>
      </c>
      <c r="I2904" s="6" t="str">
        <f>"200510"</f>
        <v>200510</v>
      </c>
      <c r="J2904" s="6" t="str">
        <f>"VERDE 510"</f>
        <v>VERDE 510</v>
      </c>
      <c r="K2904" s="6" t="str">
        <f>"1024"</f>
        <v>1024</v>
      </c>
      <c r="L2904" s="6" t="str">
        <f>"Toalhas"</f>
        <v>Toalhas</v>
      </c>
      <c r="M2904" s="6" t="str">
        <f>"50x100"</f>
        <v>50x100</v>
      </c>
      <c r="N2904" s="6" t="str">
        <f>"5602972281149"</f>
        <v>5602972281149</v>
      </c>
      <c r="O2904" s="8">
        <v>6</v>
      </c>
      <c r="R2904" s="8">
        <v>0</v>
      </c>
      <c r="U2904" s="8">
        <v>0</v>
      </c>
      <c r="X2904" s="8">
        <v>0</v>
      </c>
      <c r="Z2904" s="8">
        <v>0</v>
      </c>
      <c r="AC2904" s="8">
        <v>0</v>
      </c>
      <c r="AF2904" s="8">
        <v>0</v>
      </c>
      <c r="AN2904" s="8">
        <v>6</v>
      </c>
      <c r="AO2904" s="8">
        <v>0</v>
      </c>
    </row>
    <row r="2905" spans="1:41" x14ac:dyDescent="0.25">
      <c r="A2905" s="6" t="str">
        <f>"522-2026000392"</f>
        <v>522-2026000392</v>
      </c>
      <c r="B2905" s="6" t="str">
        <f t="shared" si="663"/>
        <v>EL CORTE</v>
      </c>
      <c r="C2905" s="7">
        <v>46043</v>
      </c>
      <c r="D2905" s="7">
        <v>46048</v>
      </c>
      <c r="E2905" s="8">
        <v>1</v>
      </c>
      <c r="F2905" s="6" t="str">
        <f>"94886601_07026"</f>
        <v>94886601_07026</v>
      </c>
      <c r="G2905" s="6" t="str">
        <f t="shared" si="664"/>
        <v>F310631650000000</v>
      </c>
      <c r="H2905" s="6" t="str">
        <f t="shared" si="665"/>
        <v>PLAR 6316 FD - 500 g</v>
      </c>
      <c r="I2905" s="6" t="str">
        <f>"202575"</f>
        <v>202575</v>
      </c>
      <c r="J2905" s="6" t="str">
        <f>"BEGE 2575"</f>
        <v>BEGE 2575</v>
      </c>
      <c r="K2905" s="6" t="str">
        <f>"1024"</f>
        <v>1024</v>
      </c>
      <c r="L2905" s="6" t="str">
        <f>"Toalhas"</f>
        <v>Toalhas</v>
      </c>
      <c r="M2905" s="6" t="str">
        <f>"50x100"</f>
        <v>50x100</v>
      </c>
      <c r="N2905" s="6" t="str">
        <f>"5602972281088"</f>
        <v>5602972281088</v>
      </c>
      <c r="O2905" s="8">
        <v>6</v>
      </c>
      <c r="R2905" s="8">
        <v>0</v>
      </c>
      <c r="U2905" s="8">
        <v>0</v>
      </c>
      <c r="X2905" s="8">
        <v>0</v>
      </c>
      <c r="Z2905" s="8">
        <v>0</v>
      </c>
      <c r="AC2905" s="8">
        <v>0</v>
      </c>
      <c r="AF2905" s="8">
        <v>0</v>
      </c>
      <c r="AN2905" s="8">
        <v>6</v>
      </c>
      <c r="AO2905" s="8">
        <v>0</v>
      </c>
    </row>
    <row r="2906" spans="1:41" x14ac:dyDescent="0.25">
      <c r="A2906" s="6" t="str">
        <f>"522-2026000392"</f>
        <v>522-2026000392</v>
      </c>
      <c r="B2906" s="6" t="str">
        <f t="shared" si="663"/>
        <v>EL CORTE</v>
      </c>
      <c r="C2906" s="7">
        <v>46043</v>
      </c>
      <c r="D2906" s="7">
        <v>46048</v>
      </c>
      <c r="E2906" s="8">
        <v>2</v>
      </c>
      <c r="F2906" s="6" t="str">
        <f>"94886601_07026"</f>
        <v>94886601_07026</v>
      </c>
      <c r="G2906" s="6" t="str">
        <f t="shared" si="664"/>
        <v>F310631650000000</v>
      </c>
      <c r="H2906" s="6" t="str">
        <f t="shared" si="665"/>
        <v>PLAR 6316 FD - 500 g</v>
      </c>
      <c r="I2906" s="6" t="str">
        <f>"200901"</f>
        <v>200901</v>
      </c>
      <c r="J2906" s="6" t="str">
        <f>"ROSA 901"</f>
        <v>ROSA 901</v>
      </c>
      <c r="K2906" s="6" t="str">
        <f>"0520"</f>
        <v>0520</v>
      </c>
      <c r="L2906" s="6" t="str">
        <f>"Toalhetes"</f>
        <v>Toalhetes</v>
      </c>
      <c r="M2906" s="6" t="str">
        <f>"30x50"</f>
        <v>30x50</v>
      </c>
      <c r="N2906" s="6" t="str">
        <f>"5602972281101"</f>
        <v>5602972281101</v>
      </c>
      <c r="O2906" s="8">
        <v>6</v>
      </c>
      <c r="R2906" s="8">
        <v>0</v>
      </c>
      <c r="U2906" s="8">
        <v>0</v>
      </c>
      <c r="X2906" s="8">
        <v>0</v>
      </c>
      <c r="Z2906" s="8">
        <v>0</v>
      </c>
      <c r="AC2906" s="8">
        <v>0</v>
      </c>
      <c r="AF2906" s="8">
        <v>0</v>
      </c>
      <c r="AN2906" s="8">
        <v>0</v>
      </c>
      <c r="AO2906" s="8">
        <v>6</v>
      </c>
    </row>
    <row r="2907" spans="1:41" x14ac:dyDescent="0.25">
      <c r="A2907" s="6" t="str">
        <f>"522-2026000393"</f>
        <v>522-2026000393</v>
      </c>
      <c r="B2907" s="6" t="str">
        <f t="shared" si="663"/>
        <v>EL CORTE</v>
      </c>
      <c r="C2907" s="7">
        <v>46043</v>
      </c>
      <c r="D2907" s="7">
        <v>46048</v>
      </c>
      <c r="E2907" s="8">
        <v>1</v>
      </c>
      <c r="F2907" s="6" t="str">
        <f>"94889401_07026"</f>
        <v>94889401_07026</v>
      </c>
      <c r="G2907" s="6" t="str">
        <f t="shared" si="664"/>
        <v>F310631650000000</v>
      </c>
      <c r="H2907" s="6" t="str">
        <f t="shared" si="665"/>
        <v>PLAR 6316 FD - 500 g</v>
      </c>
      <c r="I2907" s="6" t="str">
        <f>"201855"</f>
        <v>201855</v>
      </c>
      <c r="J2907" s="6" t="str">
        <f>"AZUL 1855"</f>
        <v>AZUL 1855</v>
      </c>
      <c r="K2907" s="6" t="str">
        <f>"2020"</f>
        <v>2020</v>
      </c>
      <c r="L2907" s="6" t="str">
        <f>"Lençóis"</f>
        <v>Lençóis</v>
      </c>
      <c r="M2907" s="6" t="str">
        <f>"100x150"</f>
        <v>100x150</v>
      </c>
      <c r="N2907" s="6" t="str">
        <f>"5602972281064"</f>
        <v>5602972281064</v>
      </c>
      <c r="O2907" s="8">
        <v>6</v>
      </c>
      <c r="R2907" s="8">
        <v>0</v>
      </c>
      <c r="U2907" s="8">
        <v>0</v>
      </c>
      <c r="X2907" s="8">
        <v>0</v>
      </c>
      <c r="Z2907" s="8">
        <v>0</v>
      </c>
      <c r="AC2907" s="8">
        <v>0</v>
      </c>
      <c r="AF2907" s="8">
        <v>0</v>
      </c>
      <c r="AN2907" s="8">
        <v>0</v>
      </c>
      <c r="AO2907" s="8">
        <v>6</v>
      </c>
    </row>
    <row r="2908" spans="1:41" x14ac:dyDescent="0.25">
      <c r="A2908" s="6" t="str">
        <f>"522-2026000393"</f>
        <v>522-2026000393</v>
      </c>
      <c r="B2908" s="6" t="str">
        <f t="shared" si="663"/>
        <v>EL CORTE</v>
      </c>
      <c r="C2908" s="7">
        <v>46043</v>
      </c>
      <c r="D2908" s="7">
        <v>46048</v>
      </c>
      <c r="E2908" s="8">
        <v>2</v>
      </c>
      <c r="F2908" s="6" t="str">
        <f>"94889401_07026"</f>
        <v>94889401_07026</v>
      </c>
      <c r="G2908" s="6" t="str">
        <f t="shared" si="664"/>
        <v>F310631650000000</v>
      </c>
      <c r="H2908" s="6" t="str">
        <f t="shared" si="665"/>
        <v>PLAR 6316 FD - 500 g</v>
      </c>
      <c r="I2908" s="6" t="str">
        <f>"202575"</f>
        <v>202575</v>
      </c>
      <c r="J2908" s="6" t="str">
        <f>"BEGE 2575"</f>
        <v>BEGE 2575</v>
      </c>
      <c r="K2908" s="6" t="str">
        <f>"2020"</f>
        <v>2020</v>
      </c>
      <c r="L2908" s="6" t="str">
        <f>"Lençóis"</f>
        <v>Lençóis</v>
      </c>
      <c r="M2908" s="6" t="str">
        <f>"100x150"</f>
        <v>100x150</v>
      </c>
      <c r="N2908" s="6" t="str">
        <f>"5602972281095"</f>
        <v>5602972281095</v>
      </c>
      <c r="O2908" s="8">
        <v>3</v>
      </c>
      <c r="R2908" s="8">
        <v>0</v>
      </c>
      <c r="U2908" s="8">
        <v>0</v>
      </c>
      <c r="X2908" s="8">
        <v>0</v>
      </c>
      <c r="Z2908" s="8">
        <v>0</v>
      </c>
      <c r="AC2908" s="8">
        <v>0</v>
      </c>
      <c r="AF2908" s="8">
        <v>0</v>
      </c>
      <c r="AN2908" s="8">
        <v>0</v>
      </c>
      <c r="AO2908" s="8">
        <v>3</v>
      </c>
    </row>
    <row r="2909" spans="1:41" x14ac:dyDescent="0.25">
      <c r="A2909" s="6" t="str">
        <f>"522-2026000393"</f>
        <v>522-2026000393</v>
      </c>
      <c r="B2909" s="6" t="str">
        <f t="shared" si="663"/>
        <v>EL CORTE</v>
      </c>
      <c r="C2909" s="7">
        <v>46043</v>
      </c>
      <c r="D2909" s="7">
        <v>46048</v>
      </c>
      <c r="E2909" s="8">
        <v>3</v>
      </c>
      <c r="F2909" s="6" t="str">
        <f>"94889401_07026"</f>
        <v>94889401_07026</v>
      </c>
      <c r="G2909" s="6" t="str">
        <f t="shared" si="664"/>
        <v>F310631650000000</v>
      </c>
      <c r="H2909" s="6" t="str">
        <f t="shared" si="665"/>
        <v>PLAR 6316 FD - 500 g</v>
      </c>
      <c r="I2909" s="6" t="str">
        <f>"200510"</f>
        <v>200510</v>
      </c>
      <c r="J2909" s="6" t="str">
        <f>"VERDE 510"</f>
        <v>VERDE 510</v>
      </c>
      <c r="K2909" s="6" t="str">
        <f>"2020"</f>
        <v>2020</v>
      </c>
      <c r="L2909" s="6" t="str">
        <f>"Lençóis"</f>
        <v>Lençóis</v>
      </c>
      <c r="M2909" s="6" t="str">
        <f>"100x150"</f>
        <v>100x150</v>
      </c>
      <c r="N2909" s="6" t="str">
        <f>"5602972281156"</f>
        <v>5602972281156</v>
      </c>
      <c r="O2909" s="8">
        <v>3</v>
      </c>
      <c r="R2909" s="8">
        <v>0</v>
      </c>
      <c r="U2909" s="8">
        <v>0</v>
      </c>
      <c r="X2909" s="8">
        <v>0</v>
      </c>
      <c r="Z2909" s="8">
        <v>0</v>
      </c>
      <c r="AC2909" s="8">
        <v>0</v>
      </c>
      <c r="AF2909" s="8">
        <v>0</v>
      </c>
      <c r="AN2909" s="8">
        <v>0</v>
      </c>
      <c r="AO2909" s="8">
        <v>3</v>
      </c>
    </row>
    <row r="2910" spans="1:41" x14ac:dyDescent="0.25">
      <c r="A2910" s="6" t="str">
        <f>"522-2026000394"</f>
        <v>522-2026000394</v>
      </c>
      <c r="B2910" s="6" t="str">
        <f t="shared" si="663"/>
        <v>EL CORTE</v>
      </c>
      <c r="C2910" s="7">
        <v>46043</v>
      </c>
      <c r="D2910" s="7">
        <v>46048</v>
      </c>
      <c r="E2910" s="8">
        <v>1</v>
      </c>
      <c r="F2910" s="6" t="str">
        <f>"94887501_07026"</f>
        <v>94887501_07026</v>
      </c>
      <c r="G2910" s="6" t="str">
        <f t="shared" si="664"/>
        <v>F310631650000000</v>
      </c>
      <c r="H2910" s="6" t="str">
        <f t="shared" si="665"/>
        <v>PLAR 6316 FD - 500 g</v>
      </c>
      <c r="I2910" s="6" t="str">
        <f>"202575"</f>
        <v>202575</v>
      </c>
      <c r="J2910" s="6" t="str">
        <f>"BEGE 2575"</f>
        <v>BEGE 2575</v>
      </c>
      <c r="K2910" s="6" t="str">
        <f>"1024"</f>
        <v>1024</v>
      </c>
      <c r="L2910" s="6" t="str">
        <f>"Toalhas"</f>
        <v>Toalhas</v>
      </c>
      <c r="M2910" s="6" t="str">
        <f>"50x100"</f>
        <v>50x100</v>
      </c>
      <c r="N2910" s="6" t="str">
        <f>"5602972281088"</f>
        <v>5602972281088</v>
      </c>
      <c r="O2910" s="8">
        <v>12</v>
      </c>
      <c r="R2910" s="8">
        <v>0</v>
      </c>
      <c r="U2910" s="8">
        <v>0</v>
      </c>
      <c r="X2910" s="8">
        <v>0</v>
      </c>
      <c r="Z2910" s="8">
        <v>0</v>
      </c>
      <c r="AC2910" s="8">
        <v>0</v>
      </c>
      <c r="AF2910" s="8">
        <v>0</v>
      </c>
      <c r="AN2910" s="8">
        <v>12</v>
      </c>
      <c r="AO2910" s="8">
        <v>0</v>
      </c>
    </row>
    <row r="2911" spans="1:41" x14ac:dyDescent="0.25">
      <c r="A2911" s="6" t="str">
        <f>"522-2026000395"</f>
        <v>522-2026000395</v>
      </c>
      <c r="B2911" s="6" t="str">
        <f t="shared" si="663"/>
        <v>EL CORTE</v>
      </c>
      <c r="C2911" s="7">
        <v>46043</v>
      </c>
      <c r="D2911" s="7">
        <v>46048</v>
      </c>
      <c r="E2911" s="8">
        <v>1</v>
      </c>
      <c r="F2911" s="6" t="str">
        <f>"94888001_07026"</f>
        <v>94888001_07026</v>
      </c>
      <c r="G2911" s="6" t="str">
        <f t="shared" si="664"/>
        <v>F310631650000000</v>
      </c>
      <c r="H2911" s="6" t="str">
        <f t="shared" si="665"/>
        <v>PLAR 6316 FD - 500 g</v>
      </c>
      <c r="I2911" s="6" t="str">
        <f>"200901"</f>
        <v>200901</v>
      </c>
      <c r="J2911" s="6" t="str">
        <f>"ROSA 901"</f>
        <v>ROSA 901</v>
      </c>
      <c r="K2911" s="6" t="str">
        <f>"1024"</f>
        <v>1024</v>
      </c>
      <c r="L2911" s="6" t="str">
        <f>"Toalhas"</f>
        <v>Toalhas</v>
      </c>
      <c r="M2911" s="6" t="str">
        <f>"50x100"</f>
        <v>50x100</v>
      </c>
      <c r="N2911" s="6" t="str">
        <f>"5602972281118"</f>
        <v>5602972281118</v>
      </c>
      <c r="O2911" s="8">
        <v>6</v>
      </c>
      <c r="R2911" s="8">
        <v>0</v>
      </c>
      <c r="U2911" s="8">
        <v>0</v>
      </c>
      <c r="X2911" s="8">
        <v>0</v>
      </c>
      <c r="Z2911" s="8">
        <v>0</v>
      </c>
      <c r="AC2911" s="8">
        <v>0</v>
      </c>
      <c r="AF2911" s="8">
        <v>0</v>
      </c>
      <c r="AN2911" s="8">
        <v>6</v>
      </c>
      <c r="AO2911" s="8">
        <v>0</v>
      </c>
    </row>
    <row r="2912" spans="1:41" x14ac:dyDescent="0.25">
      <c r="A2912" s="6" t="str">
        <f>"522-2026000395"</f>
        <v>522-2026000395</v>
      </c>
      <c r="B2912" s="6" t="str">
        <f t="shared" si="663"/>
        <v>EL CORTE</v>
      </c>
      <c r="C2912" s="7">
        <v>46043</v>
      </c>
      <c r="D2912" s="7">
        <v>46048</v>
      </c>
      <c r="E2912" s="8">
        <v>2</v>
      </c>
      <c r="F2912" s="6" t="str">
        <f>"94888001_07026"</f>
        <v>94888001_07026</v>
      </c>
      <c r="G2912" s="6" t="str">
        <f t="shared" si="664"/>
        <v>F310631650000000</v>
      </c>
      <c r="H2912" s="6" t="str">
        <f t="shared" si="665"/>
        <v>PLAR 6316 FD - 500 g</v>
      </c>
      <c r="I2912" s="6" t="str">
        <f>"200901"</f>
        <v>200901</v>
      </c>
      <c r="J2912" s="6" t="str">
        <f>"ROSA 901"</f>
        <v>ROSA 901</v>
      </c>
      <c r="K2912" s="6" t="str">
        <f>"2020"</f>
        <v>2020</v>
      </c>
      <c r="L2912" s="6" t="str">
        <f>"Lençóis"</f>
        <v>Lençóis</v>
      </c>
      <c r="M2912" s="6" t="str">
        <f>"100x150"</f>
        <v>100x150</v>
      </c>
      <c r="N2912" s="6" t="str">
        <f>"5602972281125"</f>
        <v>5602972281125</v>
      </c>
      <c r="O2912" s="8">
        <v>3</v>
      </c>
      <c r="R2912" s="8">
        <v>0</v>
      </c>
      <c r="U2912" s="8">
        <v>0</v>
      </c>
      <c r="X2912" s="8">
        <v>0</v>
      </c>
      <c r="Z2912" s="8">
        <v>0</v>
      </c>
      <c r="AC2912" s="8">
        <v>0</v>
      </c>
      <c r="AF2912" s="8">
        <v>0</v>
      </c>
      <c r="AN2912" s="8">
        <v>0</v>
      </c>
      <c r="AO2912" s="8">
        <v>3</v>
      </c>
    </row>
    <row r="2913" spans="1:41" x14ac:dyDescent="0.25">
      <c r="A2913" s="6" t="str">
        <f>"522-2026000395"</f>
        <v>522-2026000395</v>
      </c>
      <c r="B2913" s="6" t="str">
        <f t="shared" si="663"/>
        <v>EL CORTE</v>
      </c>
      <c r="C2913" s="7">
        <v>46043</v>
      </c>
      <c r="D2913" s="7">
        <v>46048</v>
      </c>
      <c r="E2913" s="8">
        <v>3</v>
      </c>
      <c r="F2913" s="6" t="str">
        <f>"94888001_07026"</f>
        <v>94888001_07026</v>
      </c>
      <c r="G2913" s="6" t="str">
        <f t="shared" si="664"/>
        <v>F310631650000000</v>
      </c>
      <c r="H2913" s="6" t="str">
        <f t="shared" si="665"/>
        <v>PLAR 6316 FD - 500 g</v>
      </c>
      <c r="I2913" s="6" t="str">
        <f>"200510"</f>
        <v>200510</v>
      </c>
      <c r="J2913" s="6" t="str">
        <f>"VERDE 510"</f>
        <v>VERDE 510</v>
      </c>
      <c r="K2913" s="6" t="str">
        <f>"2020"</f>
        <v>2020</v>
      </c>
      <c r="L2913" s="6" t="str">
        <f>"Lençóis"</f>
        <v>Lençóis</v>
      </c>
      <c r="M2913" s="6" t="str">
        <f>"100x150"</f>
        <v>100x150</v>
      </c>
      <c r="N2913" s="6" t="str">
        <f>"5602972281156"</f>
        <v>5602972281156</v>
      </c>
      <c r="O2913" s="8">
        <v>3</v>
      </c>
      <c r="R2913" s="8">
        <v>0</v>
      </c>
      <c r="U2913" s="8">
        <v>0</v>
      </c>
      <c r="X2913" s="8">
        <v>0</v>
      </c>
      <c r="Z2913" s="8">
        <v>0</v>
      </c>
      <c r="AC2913" s="8">
        <v>0</v>
      </c>
      <c r="AF2913" s="8">
        <v>0</v>
      </c>
      <c r="AN2913" s="8">
        <v>0</v>
      </c>
      <c r="AO2913" s="8">
        <v>3</v>
      </c>
    </row>
    <row r="2914" spans="1:41" x14ac:dyDescent="0.25">
      <c r="A2914" s="6" t="str">
        <f>"522-2026000396"</f>
        <v>522-2026000396</v>
      </c>
      <c r="B2914" s="6" t="str">
        <f t="shared" si="663"/>
        <v>EL CORTE</v>
      </c>
      <c r="C2914" s="7">
        <v>46043</v>
      </c>
      <c r="D2914" s="7">
        <v>46048</v>
      </c>
      <c r="E2914" s="8">
        <v>1</v>
      </c>
      <c r="F2914" s="6" t="str">
        <f>"94887801_07026"</f>
        <v>94887801_07026</v>
      </c>
      <c r="G2914" s="6" t="str">
        <f t="shared" si="664"/>
        <v>F310631650000000</v>
      </c>
      <c r="H2914" s="6" t="str">
        <f t="shared" si="665"/>
        <v>PLAR 6316 FD - 500 g</v>
      </c>
      <c r="I2914" s="6" t="str">
        <f>"200510"</f>
        <v>200510</v>
      </c>
      <c r="J2914" s="6" t="str">
        <f>"VERDE 510"</f>
        <v>VERDE 510</v>
      </c>
      <c r="K2914" s="6" t="str">
        <f>"1024"</f>
        <v>1024</v>
      </c>
      <c r="L2914" s="6" t="str">
        <f>"Toalhas"</f>
        <v>Toalhas</v>
      </c>
      <c r="M2914" s="6" t="str">
        <f>"50x100"</f>
        <v>50x100</v>
      </c>
      <c r="N2914" s="6" t="str">
        <f>"5602972281149"</f>
        <v>5602972281149</v>
      </c>
      <c r="O2914" s="8">
        <v>6</v>
      </c>
      <c r="R2914" s="8">
        <v>0</v>
      </c>
      <c r="U2914" s="8">
        <v>0</v>
      </c>
      <c r="X2914" s="8">
        <v>0</v>
      </c>
      <c r="Z2914" s="8">
        <v>0</v>
      </c>
      <c r="AC2914" s="8">
        <v>0</v>
      </c>
      <c r="AF2914" s="8">
        <v>0</v>
      </c>
      <c r="AN2914" s="8">
        <v>6</v>
      </c>
      <c r="AO2914" s="8">
        <v>0</v>
      </c>
    </row>
    <row r="2915" spans="1:41" x14ac:dyDescent="0.25">
      <c r="A2915" s="6" t="str">
        <f>"522-2026000396"</f>
        <v>522-2026000396</v>
      </c>
      <c r="B2915" s="6" t="str">
        <f t="shared" si="663"/>
        <v>EL CORTE</v>
      </c>
      <c r="C2915" s="7">
        <v>46043</v>
      </c>
      <c r="D2915" s="7">
        <v>46048</v>
      </c>
      <c r="E2915" s="8">
        <v>2</v>
      </c>
      <c r="F2915" s="6" t="str">
        <f>"94887801_07026"</f>
        <v>94887801_07026</v>
      </c>
      <c r="G2915" s="6" t="str">
        <f t="shared" si="664"/>
        <v>F310631650000000</v>
      </c>
      <c r="H2915" s="6" t="str">
        <f t="shared" si="665"/>
        <v>PLAR 6316 FD - 500 g</v>
      </c>
      <c r="I2915" s="6" t="str">
        <f>"200510"</f>
        <v>200510</v>
      </c>
      <c r="J2915" s="6" t="str">
        <f>"VERDE 510"</f>
        <v>VERDE 510</v>
      </c>
      <c r="K2915" s="6" t="str">
        <f>"2020"</f>
        <v>2020</v>
      </c>
      <c r="L2915" s="6" t="str">
        <f>"Lençóis"</f>
        <v>Lençóis</v>
      </c>
      <c r="M2915" s="6" t="str">
        <f>"100x150"</f>
        <v>100x150</v>
      </c>
      <c r="N2915" s="6" t="str">
        <f>"5602972281156"</f>
        <v>5602972281156</v>
      </c>
      <c r="O2915" s="8">
        <v>6</v>
      </c>
      <c r="R2915" s="8">
        <v>0</v>
      </c>
      <c r="U2915" s="8">
        <v>0</v>
      </c>
      <c r="X2915" s="8">
        <v>0</v>
      </c>
      <c r="Z2915" s="8">
        <v>0</v>
      </c>
      <c r="AC2915" s="8">
        <v>0</v>
      </c>
      <c r="AF2915" s="8">
        <v>0</v>
      </c>
      <c r="AN2915" s="8">
        <v>0</v>
      </c>
      <c r="AO2915" s="8">
        <v>6</v>
      </c>
    </row>
    <row r="2916" spans="1:41" x14ac:dyDescent="0.25">
      <c r="A2916" s="6" t="str">
        <f>"522-2026000397"</f>
        <v>522-2026000397</v>
      </c>
      <c r="B2916" s="6" t="str">
        <f t="shared" si="663"/>
        <v>EL CORTE</v>
      </c>
      <c r="C2916" s="7">
        <v>46043</v>
      </c>
      <c r="D2916" s="7">
        <v>46048</v>
      </c>
      <c r="E2916" s="8">
        <v>1</v>
      </c>
      <c r="F2916" s="6" t="str">
        <f>"94887601_07026"</f>
        <v>94887601_07026</v>
      </c>
      <c r="G2916" s="6" t="str">
        <f t="shared" si="664"/>
        <v>F310631650000000</v>
      </c>
      <c r="H2916" s="6" t="str">
        <f t="shared" si="665"/>
        <v>PLAR 6316 FD - 500 g</v>
      </c>
      <c r="I2916" s="6" t="str">
        <f>"201855"</f>
        <v>201855</v>
      </c>
      <c r="J2916" s="6" t="str">
        <f>"AZUL 1855"</f>
        <v>AZUL 1855</v>
      </c>
      <c r="K2916" s="6" t="str">
        <f>"2020"</f>
        <v>2020</v>
      </c>
      <c r="L2916" s="6" t="str">
        <f>"Lençóis"</f>
        <v>Lençóis</v>
      </c>
      <c r="M2916" s="6" t="str">
        <f>"100x150"</f>
        <v>100x150</v>
      </c>
      <c r="N2916" s="6" t="str">
        <f>"5602972281064"</f>
        <v>5602972281064</v>
      </c>
      <c r="O2916" s="8">
        <v>6</v>
      </c>
      <c r="R2916" s="8">
        <v>0</v>
      </c>
      <c r="U2916" s="8">
        <v>0</v>
      </c>
      <c r="X2916" s="8">
        <v>0</v>
      </c>
      <c r="Z2916" s="8">
        <v>0</v>
      </c>
      <c r="AC2916" s="8">
        <v>0</v>
      </c>
      <c r="AF2916" s="8">
        <v>0</v>
      </c>
      <c r="AN2916" s="8">
        <v>0</v>
      </c>
      <c r="AO2916" s="8">
        <v>6</v>
      </c>
    </row>
    <row r="2917" spans="1:41" x14ac:dyDescent="0.25">
      <c r="A2917" s="6" t="str">
        <f>"522-2026000397"</f>
        <v>522-2026000397</v>
      </c>
      <c r="B2917" s="6" t="str">
        <f t="shared" si="663"/>
        <v>EL CORTE</v>
      </c>
      <c r="C2917" s="7">
        <v>46043</v>
      </c>
      <c r="D2917" s="7">
        <v>46048</v>
      </c>
      <c r="E2917" s="8">
        <v>2</v>
      </c>
      <c r="F2917" s="6" t="str">
        <f>"94887601_07026"</f>
        <v>94887601_07026</v>
      </c>
      <c r="G2917" s="6" t="str">
        <f t="shared" si="664"/>
        <v>F310631650000000</v>
      </c>
      <c r="H2917" s="6" t="str">
        <f t="shared" si="665"/>
        <v>PLAR 6316 FD - 500 g</v>
      </c>
      <c r="I2917" s="6" t="str">
        <f>"202575"</f>
        <v>202575</v>
      </c>
      <c r="J2917" s="6" t="str">
        <f>"BEGE 2575"</f>
        <v>BEGE 2575</v>
      </c>
      <c r="K2917" s="6" t="str">
        <f>"2020"</f>
        <v>2020</v>
      </c>
      <c r="L2917" s="6" t="str">
        <f>"Lençóis"</f>
        <v>Lençóis</v>
      </c>
      <c r="M2917" s="6" t="str">
        <f>"100x150"</f>
        <v>100x150</v>
      </c>
      <c r="N2917" s="6" t="str">
        <f>"5602972281095"</f>
        <v>5602972281095</v>
      </c>
      <c r="O2917" s="8">
        <v>6</v>
      </c>
      <c r="R2917" s="8">
        <v>0</v>
      </c>
      <c r="U2917" s="8">
        <v>0</v>
      </c>
      <c r="X2917" s="8">
        <v>0</v>
      </c>
      <c r="Z2917" s="8">
        <v>0</v>
      </c>
      <c r="AC2917" s="8">
        <v>0</v>
      </c>
      <c r="AF2917" s="8">
        <v>0</v>
      </c>
      <c r="AN2917" s="8">
        <v>0</v>
      </c>
      <c r="AO2917" s="8">
        <v>6</v>
      </c>
    </row>
    <row r="2918" spans="1:41" x14ac:dyDescent="0.25">
      <c r="A2918" s="6" t="str">
        <f>"522-2026000397"</f>
        <v>522-2026000397</v>
      </c>
      <c r="B2918" s="6" t="str">
        <f t="shared" si="663"/>
        <v>EL CORTE</v>
      </c>
      <c r="C2918" s="7">
        <v>46043</v>
      </c>
      <c r="D2918" s="7">
        <v>46048</v>
      </c>
      <c r="E2918" s="8">
        <v>3</v>
      </c>
      <c r="F2918" s="6" t="str">
        <f>"94887601_07026"</f>
        <v>94887601_07026</v>
      </c>
      <c r="G2918" s="6" t="str">
        <f t="shared" si="664"/>
        <v>F310631650000000</v>
      </c>
      <c r="H2918" s="6" t="str">
        <f t="shared" si="665"/>
        <v>PLAR 6316 FD - 500 g</v>
      </c>
      <c r="I2918" s="6" t="str">
        <f>"200901"</f>
        <v>200901</v>
      </c>
      <c r="J2918" s="6" t="str">
        <f>"ROSA 901"</f>
        <v>ROSA 901</v>
      </c>
      <c r="K2918" s="6" t="str">
        <f>"2020"</f>
        <v>2020</v>
      </c>
      <c r="L2918" s="6" t="str">
        <f>"Lençóis"</f>
        <v>Lençóis</v>
      </c>
      <c r="M2918" s="6" t="str">
        <f>"100x150"</f>
        <v>100x150</v>
      </c>
      <c r="N2918" s="6" t="str">
        <f>"5602972281125"</f>
        <v>5602972281125</v>
      </c>
      <c r="O2918" s="8">
        <v>6</v>
      </c>
      <c r="R2918" s="8">
        <v>0</v>
      </c>
      <c r="U2918" s="8">
        <v>0</v>
      </c>
      <c r="X2918" s="8">
        <v>0</v>
      </c>
      <c r="Z2918" s="8">
        <v>0</v>
      </c>
      <c r="AC2918" s="8">
        <v>0</v>
      </c>
      <c r="AF2918" s="8">
        <v>0</v>
      </c>
      <c r="AN2918" s="8">
        <v>0</v>
      </c>
      <c r="AO2918" s="8">
        <v>6</v>
      </c>
    </row>
    <row r="2919" spans="1:41" x14ac:dyDescent="0.25">
      <c r="A2919" s="6" t="str">
        <f>"522-2026000397"</f>
        <v>522-2026000397</v>
      </c>
      <c r="B2919" s="6" t="str">
        <f t="shared" si="663"/>
        <v>EL CORTE</v>
      </c>
      <c r="C2919" s="7">
        <v>46043</v>
      </c>
      <c r="D2919" s="7">
        <v>46048</v>
      </c>
      <c r="E2919" s="8">
        <v>4</v>
      </c>
      <c r="F2919" s="6" t="str">
        <f>"94887601_07026"</f>
        <v>94887601_07026</v>
      </c>
      <c r="G2919" s="6" t="str">
        <f t="shared" si="664"/>
        <v>F310631650000000</v>
      </c>
      <c r="H2919" s="6" t="str">
        <f t="shared" si="665"/>
        <v>PLAR 6316 FD - 500 g</v>
      </c>
      <c r="I2919" s="6" t="str">
        <f>"200510"</f>
        <v>200510</v>
      </c>
      <c r="J2919" s="6" t="str">
        <f>"VERDE 510"</f>
        <v>VERDE 510</v>
      </c>
      <c r="K2919" s="6" t="str">
        <f>"2020"</f>
        <v>2020</v>
      </c>
      <c r="L2919" s="6" t="str">
        <f>"Lençóis"</f>
        <v>Lençóis</v>
      </c>
      <c r="M2919" s="6" t="str">
        <f>"100x150"</f>
        <v>100x150</v>
      </c>
      <c r="N2919" s="6" t="str">
        <f>"5602972281156"</f>
        <v>5602972281156</v>
      </c>
      <c r="O2919" s="8">
        <v>3</v>
      </c>
      <c r="R2919" s="8">
        <v>0</v>
      </c>
      <c r="U2919" s="8">
        <v>0</v>
      </c>
      <c r="X2919" s="8">
        <v>0</v>
      </c>
      <c r="Z2919" s="8">
        <v>0</v>
      </c>
      <c r="AC2919" s="8">
        <v>0</v>
      </c>
      <c r="AF2919" s="8">
        <v>0</v>
      </c>
      <c r="AN2919" s="8">
        <v>0</v>
      </c>
      <c r="AO2919" s="8">
        <v>3</v>
      </c>
    </row>
    <row r="2920" spans="1:41" x14ac:dyDescent="0.25">
      <c r="A2920" s="6" t="str">
        <f>"522-2026000398"</f>
        <v>522-2026000398</v>
      </c>
      <c r="B2920" s="6" t="str">
        <f t="shared" si="663"/>
        <v>EL CORTE</v>
      </c>
      <c r="C2920" s="7">
        <v>46043</v>
      </c>
      <c r="D2920" s="7">
        <v>46048</v>
      </c>
      <c r="E2920" s="8">
        <v>1</v>
      </c>
      <c r="F2920" s="6" t="str">
        <f>"94888301_07026"</f>
        <v>94888301_07026</v>
      </c>
      <c r="G2920" s="6" t="str">
        <f t="shared" si="664"/>
        <v>F310631650000000</v>
      </c>
      <c r="H2920" s="6" t="str">
        <f t="shared" si="665"/>
        <v>PLAR 6316 FD - 500 g</v>
      </c>
      <c r="I2920" s="6" t="str">
        <f>"201855"</f>
        <v>201855</v>
      </c>
      <c r="J2920" s="6" t="str">
        <f>"AZUL 1855"</f>
        <v>AZUL 1855</v>
      </c>
      <c r="K2920" s="6" t="str">
        <f>"1024"</f>
        <v>1024</v>
      </c>
      <c r="L2920" s="6" t="str">
        <f>"Toalhas"</f>
        <v>Toalhas</v>
      </c>
      <c r="M2920" s="6" t="str">
        <f>"50x100"</f>
        <v>50x100</v>
      </c>
      <c r="N2920" s="6" t="str">
        <f>"5602972281057"</f>
        <v>5602972281057</v>
      </c>
      <c r="O2920" s="8">
        <v>6</v>
      </c>
      <c r="R2920" s="8">
        <v>0</v>
      </c>
      <c r="U2920" s="8">
        <v>0</v>
      </c>
      <c r="X2920" s="8">
        <v>0</v>
      </c>
      <c r="Z2920" s="8">
        <v>0</v>
      </c>
      <c r="AC2920" s="8">
        <v>0</v>
      </c>
      <c r="AF2920" s="8">
        <v>0</v>
      </c>
      <c r="AN2920" s="8">
        <v>6</v>
      </c>
      <c r="AO2920" s="8">
        <v>0</v>
      </c>
    </row>
    <row r="2921" spans="1:41" x14ac:dyDescent="0.25">
      <c r="A2921" s="6" t="str">
        <f>"522-2026000399"</f>
        <v>522-2026000399</v>
      </c>
      <c r="B2921" s="6" t="str">
        <f t="shared" si="663"/>
        <v>EL CORTE</v>
      </c>
      <c r="C2921" s="7">
        <v>46043</v>
      </c>
      <c r="D2921" s="7">
        <v>46048</v>
      </c>
      <c r="E2921" s="8">
        <v>1</v>
      </c>
      <c r="F2921" s="6" t="str">
        <f>"94887101_07026"</f>
        <v>94887101_07026</v>
      </c>
      <c r="G2921" s="6" t="str">
        <f t="shared" si="664"/>
        <v>F310631650000000</v>
      </c>
      <c r="H2921" s="6" t="str">
        <f t="shared" si="665"/>
        <v>PLAR 6316 FD - 500 g</v>
      </c>
      <c r="I2921" s="6" t="str">
        <f>"202575"</f>
        <v>202575</v>
      </c>
      <c r="J2921" s="6" t="str">
        <f>"BEGE 2575"</f>
        <v>BEGE 2575</v>
      </c>
      <c r="K2921" s="6" t="str">
        <f>"2020"</f>
        <v>2020</v>
      </c>
      <c r="L2921" s="6" t="str">
        <f>"Lençóis"</f>
        <v>Lençóis</v>
      </c>
      <c r="M2921" s="6" t="str">
        <f>"100x150"</f>
        <v>100x150</v>
      </c>
      <c r="N2921" s="6" t="str">
        <f>"5602972281095"</f>
        <v>5602972281095</v>
      </c>
      <c r="O2921" s="8">
        <v>3</v>
      </c>
      <c r="R2921" s="8">
        <v>0</v>
      </c>
      <c r="U2921" s="8">
        <v>0</v>
      </c>
      <c r="X2921" s="8">
        <v>0</v>
      </c>
      <c r="Z2921" s="8">
        <v>0</v>
      </c>
      <c r="AC2921" s="8">
        <v>0</v>
      </c>
      <c r="AF2921" s="8">
        <v>0</v>
      </c>
      <c r="AN2921" s="8">
        <v>0</v>
      </c>
      <c r="AO2921" s="8">
        <v>3</v>
      </c>
    </row>
    <row r="2922" spans="1:41" x14ac:dyDescent="0.25">
      <c r="A2922" s="6" t="str">
        <f>"522-2026000399"</f>
        <v>522-2026000399</v>
      </c>
      <c r="B2922" s="6" t="str">
        <f t="shared" si="663"/>
        <v>EL CORTE</v>
      </c>
      <c r="C2922" s="7">
        <v>46043</v>
      </c>
      <c r="D2922" s="7">
        <v>46048</v>
      </c>
      <c r="E2922" s="8">
        <v>2</v>
      </c>
      <c r="F2922" s="6" t="str">
        <f>"94887101_07026"</f>
        <v>94887101_07026</v>
      </c>
      <c r="G2922" s="6" t="str">
        <f t="shared" si="664"/>
        <v>F310631650000000</v>
      </c>
      <c r="H2922" s="6" t="str">
        <f t="shared" si="665"/>
        <v>PLAR 6316 FD - 500 g</v>
      </c>
      <c r="I2922" s="6" t="str">
        <f>"200510"</f>
        <v>200510</v>
      </c>
      <c r="J2922" s="6" t="str">
        <f>"VERDE 510"</f>
        <v>VERDE 510</v>
      </c>
      <c r="K2922" s="6" t="str">
        <f>"2020"</f>
        <v>2020</v>
      </c>
      <c r="L2922" s="6" t="str">
        <f>"Lençóis"</f>
        <v>Lençóis</v>
      </c>
      <c r="M2922" s="6" t="str">
        <f>"100x150"</f>
        <v>100x150</v>
      </c>
      <c r="N2922" s="6" t="str">
        <f>"5602972281156"</f>
        <v>5602972281156</v>
      </c>
      <c r="O2922" s="8">
        <v>3</v>
      </c>
      <c r="R2922" s="8">
        <v>0</v>
      </c>
      <c r="U2922" s="8">
        <v>0</v>
      </c>
      <c r="X2922" s="8">
        <v>0</v>
      </c>
      <c r="Z2922" s="8">
        <v>0</v>
      </c>
      <c r="AC2922" s="8">
        <v>0</v>
      </c>
      <c r="AF2922" s="8">
        <v>0</v>
      </c>
      <c r="AN2922" s="8">
        <v>0</v>
      </c>
      <c r="AO2922" s="8">
        <v>3</v>
      </c>
    </row>
    <row r="2923" spans="1:41" x14ac:dyDescent="0.25">
      <c r="A2923" s="6" t="str">
        <f>"522-2026000400"</f>
        <v>522-2026000400</v>
      </c>
      <c r="B2923" s="6" t="str">
        <f t="shared" si="663"/>
        <v>EL CORTE</v>
      </c>
      <c r="C2923" s="7">
        <v>46043</v>
      </c>
      <c r="D2923" s="7">
        <v>46048</v>
      </c>
      <c r="E2923" s="8">
        <v>1</v>
      </c>
      <c r="F2923" s="6" t="str">
        <f>"94887301_07026"</f>
        <v>94887301_07026</v>
      </c>
      <c r="G2923" s="6" t="str">
        <f t="shared" si="664"/>
        <v>F310631650000000</v>
      </c>
      <c r="H2923" s="6" t="str">
        <f t="shared" si="665"/>
        <v>PLAR 6316 FD - 500 g</v>
      </c>
      <c r="I2923" s="6" t="str">
        <f>"200901"</f>
        <v>200901</v>
      </c>
      <c r="J2923" s="6" t="str">
        <f>"ROSA 901"</f>
        <v>ROSA 901</v>
      </c>
      <c r="K2923" s="6" t="str">
        <f>"2020"</f>
        <v>2020</v>
      </c>
      <c r="L2923" s="6" t="str">
        <f>"Lençóis"</f>
        <v>Lençóis</v>
      </c>
      <c r="M2923" s="6" t="str">
        <f>"100x150"</f>
        <v>100x150</v>
      </c>
      <c r="N2923" s="6" t="str">
        <f>"5602972281125"</f>
        <v>5602972281125</v>
      </c>
      <c r="O2923" s="8">
        <v>3</v>
      </c>
      <c r="R2923" s="8">
        <v>0</v>
      </c>
      <c r="U2923" s="8">
        <v>0</v>
      </c>
      <c r="X2923" s="8">
        <v>0</v>
      </c>
      <c r="Z2923" s="8">
        <v>0</v>
      </c>
      <c r="AC2923" s="8">
        <v>0</v>
      </c>
      <c r="AF2923" s="8">
        <v>0</v>
      </c>
      <c r="AN2923" s="8">
        <v>0</v>
      </c>
      <c r="AO2923" s="8">
        <v>3</v>
      </c>
    </row>
    <row r="2924" spans="1:41" x14ac:dyDescent="0.25">
      <c r="A2924" s="6" t="str">
        <f>"522-2026000400"</f>
        <v>522-2026000400</v>
      </c>
      <c r="B2924" s="6" t="str">
        <f t="shared" si="663"/>
        <v>EL CORTE</v>
      </c>
      <c r="C2924" s="7">
        <v>46043</v>
      </c>
      <c r="D2924" s="7">
        <v>46048</v>
      </c>
      <c r="E2924" s="8">
        <v>2</v>
      </c>
      <c r="F2924" s="6" t="str">
        <f>"94887301_07026"</f>
        <v>94887301_07026</v>
      </c>
      <c r="G2924" s="6" t="str">
        <f t="shared" si="664"/>
        <v>F310631650000000</v>
      </c>
      <c r="H2924" s="6" t="str">
        <f t="shared" si="665"/>
        <v>PLAR 6316 FD - 500 g</v>
      </c>
      <c r="I2924" s="6" t="str">
        <f>"200510"</f>
        <v>200510</v>
      </c>
      <c r="J2924" s="6" t="str">
        <f>"VERDE 510"</f>
        <v>VERDE 510</v>
      </c>
      <c r="K2924" s="6" t="str">
        <f>"0520"</f>
        <v>0520</v>
      </c>
      <c r="L2924" s="6" t="str">
        <f>"Toalhetes"</f>
        <v>Toalhetes</v>
      </c>
      <c r="M2924" s="6" t="str">
        <f>"30x50"</f>
        <v>30x50</v>
      </c>
      <c r="N2924" s="6" t="str">
        <f>"5602972281132"</f>
        <v>5602972281132</v>
      </c>
      <c r="O2924" s="8">
        <v>6</v>
      </c>
      <c r="R2924" s="8">
        <v>0</v>
      </c>
      <c r="U2924" s="8">
        <v>0</v>
      </c>
      <c r="X2924" s="8">
        <v>0</v>
      </c>
      <c r="Z2924" s="8">
        <v>0</v>
      </c>
      <c r="AC2924" s="8">
        <v>0</v>
      </c>
      <c r="AF2924" s="8">
        <v>0</v>
      </c>
      <c r="AN2924" s="8">
        <v>0</v>
      </c>
      <c r="AO2924" s="8">
        <v>6</v>
      </c>
    </row>
    <row r="2925" spans="1:41" x14ac:dyDescent="0.25">
      <c r="A2925" s="6" t="str">
        <f>"522-2026000400"</f>
        <v>522-2026000400</v>
      </c>
      <c r="B2925" s="6" t="str">
        <f t="shared" si="663"/>
        <v>EL CORTE</v>
      </c>
      <c r="C2925" s="7">
        <v>46043</v>
      </c>
      <c r="D2925" s="7">
        <v>46048</v>
      </c>
      <c r="E2925" s="8">
        <v>3</v>
      </c>
      <c r="F2925" s="6" t="str">
        <f>"94887301_07026"</f>
        <v>94887301_07026</v>
      </c>
      <c r="G2925" s="6" t="str">
        <f t="shared" si="664"/>
        <v>F310631650000000</v>
      </c>
      <c r="H2925" s="6" t="str">
        <f t="shared" si="665"/>
        <v>PLAR 6316 FD - 500 g</v>
      </c>
      <c r="I2925" s="6" t="str">
        <f>"200510"</f>
        <v>200510</v>
      </c>
      <c r="J2925" s="6" t="str">
        <f>"VERDE 510"</f>
        <v>VERDE 510</v>
      </c>
      <c r="K2925" s="6" t="str">
        <f>"1024"</f>
        <v>1024</v>
      </c>
      <c r="L2925" s="6" t="str">
        <f>"Toalhas"</f>
        <v>Toalhas</v>
      </c>
      <c r="M2925" s="6" t="str">
        <f>"50x100"</f>
        <v>50x100</v>
      </c>
      <c r="N2925" s="6" t="str">
        <f>"5602972281149"</f>
        <v>5602972281149</v>
      </c>
      <c r="O2925" s="8">
        <v>6</v>
      </c>
      <c r="R2925" s="8">
        <v>0</v>
      </c>
      <c r="U2925" s="8">
        <v>0</v>
      </c>
      <c r="X2925" s="8">
        <v>0</v>
      </c>
      <c r="Z2925" s="8">
        <v>0</v>
      </c>
      <c r="AC2925" s="8">
        <v>0</v>
      </c>
      <c r="AF2925" s="8">
        <v>0</v>
      </c>
      <c r="AN2925" s="8">
        <v>6</v>
      </c>
      <c r="AO2925" s="8">
        <v>0</v>
      </c>
    </row>
    <row r="2926" spans="1:41" x14ac:dyDescent="0.25">
      <c r="A2926" s="6" t="str">
        <f>"522-2026000401"</f>
        <v>522-2026000401</v>
      </c>
      <c r="B2926" s="6" t="str">
        <f t="shared" si="663"/>
        <v>EL CORTE</v>
      </c>
      <c r="C2926" s="7">
        <v>46043</v>
      </c>
      <c r="D2926" s="7">
        <v>46048</v>
      </c>
      <c r="E2926" s="8">
        <v>1</v>
      </c>
      <c r="F2926" s="6" t="str">
        <f>"94887201_07026"</f>
        <v>94887201_07026</v>
      </c>
      <c r="G2926" s="6" t="str">
        <f t="shared" si="664"/>
        <v>F310631650000000</v>
      </c>
      <c r="H2926" s="6" t="str">
        <f t="shared" si="665"/>
        <v>PLAR 6316 FD - 500 g</v>
      </c>
      <c r="I2926" s="6" t="str">
        <f>"202575"</f>
        <v>202575</v>
      </c>
      <c r="J2926" s="6" t="str">
        <f>"BEGE 2575"</f>
        <v>BEGE 2575</v>
      </c>
      <c r="K2926" s="6" t="str">
        <f t="shared" ref="K2926:K2935" si="672">"2020"</f>
        <v>2020</v>
      </c>
      <c r="L2926" s="6" t="str">
        <f t="shared" ref="L2926:L2935" si="673">"Lençóis"</f>
        <v>Lençóis</v>
      </c>
      <c r="M2926" s="6" t="str">
        <f t="shared" ref="M2926:M2935" si="674">"100x150"</f>
        <v>100x150</v>
      </c>
      <c r="N2926" s="6" t="str">
        <f>"5602972281095"</f>
        <v>5602972281095</v>
      </c>
      <c r="O2926" s="8">
        <v>6</v>
      </c>
      <c r="R2926" s="8">
        <v>0</v>
      </c>
      <c r="U2926" s="8">
        <v>0</v>
      </c>
      <c r="X2926" s="8">
        <v>0</v>
      </c>
      <c r="Z2926" s="8">
        <v>0</v>
      </c>
      <c r="AC2926" s="8">
        <v>0</v>
      </c>
      <c r="AF2926" s="8">
        <v>0</v>
      </c>
      <c r="AN2926" s="8">
        <v>0</v>
      </c>
      <c r="AO2926" s="8">
        <v>6</v>
      </c>
    </row>
    <row r="2927" spans="1:41" x14ac:dyDescent="0.25">
      <c r="A2927" s="6" t="str">
        <f>"522-2026000402"</f>
        <v>522-2026000402</v>
      </c>
      <c r="B2927" s="6" t="str">
        <f t="shared" si="663"/>
        <v>EL CORTE</v>
      </c>
      <c r="C2927" s="7">
        <v>46043</v>
      </c>
      <c r="D2927" s="7">
        <v>46048</v>
      </c>
      <c r="E2927" s="8">
        <v>1</v>
      </c>
      <c r="F2927" s="6" t="str">
        <f>"94888101_07026"</f>
        <v>94888101_07026</v>
      </c>
      <c r="G2927" s="6" t="str">
        <f t="shared" si="664"/>
        <v>F310631650000000</v>
      </c>
      <c r="H2927" s="6" t="str">
        <f t="shared" si="665"/>
        <v>PLAR 6316 FD - 500 g</v>
      </c>
      <c r="I2927" s="6" t="str">
        <f>"201855"</f>
        <v>201855</v>
      </c>
      <c r="J2927" s="6" t="str">
        <f>"AZUL 1855"</f>
        <v>AZUL 1855</v>
      </c>
      <c r="K2927" s="6" t="str">
        <f t="shared" si="672"/>
        <v>2020</v>
      </c>
      <c r="L2927" s="6" t="str">
        <f t="shared" si="673"/>
        <v>Lençóis</v>
      </c>
      <c r="M2927" s="6" t="str">
        <f t="shared" si="674"/>
        <v>100x150</v>
      </c>
      <c r="N2927" s="6" t="str">
        <f>"5602972281064"</f>
        <v>5602972281064</v>
      </c>
      <c r="O2927" s="8">
        <v>3</v>
      </c>
      <c r="R2927" s="8">
        <v>0</v>
      </c>
      <c r="U2927" s="8">
        <v>0</v>
      </c>
      <c r="X2927" s="8">
        <v>0</v>
      </c>
      <c r="Z2927" s="8">
        <v>0</v>
      </c>
      <c r="AC2927" s="8">
        <v>0</v>
      </c>
      <c r="AF2927" s="8">
        <v>0</v>
      </c>
      <c r="AN2927" s="8">
        <v>0</v>
      </c>
      <c r="AO2927" s="8">
        <v>3</v>
      </c>
    </row>
    <row r="2928" spans="1:41" x14ac:dyDescent="0.25">
      <c r="A2928" s="6" t="str">
        <f>"522-2026000402"</f>
        <v>522-2026000402</v>
      </c>
      <c r="B2928" s="6" t="str">
        <f t="shared" si="663"/>
        <v>EL CORTE</v>
      </c>
      <c r="C2928" s="7">
        <v>46043</v>
      </c>
      <c r="D2928" s="7">
        <v>46048</v>
      </c>
      <c r="E2928" s="8">
        <v>2</v>
      </c>
      <c r="F2928" s="6" t="str">
        <f>"94888101_07026"</f>
        <v>94888101_07026</v>
      </c>
      <c r="G2928" s="6" t="str">
        <f t="shared" si="664"/>
        <v>F310631650000000</v>
      </c>
      <c r="H2928" s="6" t="str">
        <f t="shared" si="665"/>
        <v>PLAR 6316 FD - 500 g</v>
      </c>
      <c r="I2928" s="6" t="str">
        <f>"200901"</f>
        <v>200901</v>
      </c>
      <c r="J2928" s="6" t="str">
        <f>"ROSA 901"</f>
        <v>ROSA 901</v>
      </c>
      <c r="K2928" s="6" t="str">
        <f t="shared" si="672"/>
        <v>2020</v>
      </c>
      <c r="L2928" s="6" t="str">
        <f t="shared" si="673"/>
        <v>Lençóis</v>
      </c>
      <c r="M2928" s="6" t="str">
        <f t="shared" si="674"/>
        <v>100x150</v>
      </c>
      <c r="N2928" s="6" t="str">
        <f>"5602972281125"</f>
        <v>5602972281125</v>
      </c>
      <c r="O2928" s="8">
        <v>3</v>
      </c>
      <c r="R2928" s="8">
        <v>0</v>
      </c>
      <c r="U2928" s="8">
        <v>0</v>
      </c>
      <c r="X2928" s="8">
        <v>0</v>
      </c>
      <c r="Z2928" s="8">
        <v>0</v>
      </c>
      <c r="AC2928" s="8">
        <v>0</v>
      </c>
      <c r="AF2928" s="8">
        <v>0</v>
      </c>
      <c r="AN2928" s="8">
        <v>0</v>
      </c>
      <c r="AO2928" s="8">
        <v>3</v>
      </c>
    </row>
    <row r="2929" spans="1:41" x14ac:dyDescent="0.25">
      <c r="A2929" s="6" t="str">
        <f>"522-2026000403"</f>
        <v>522-2026000403</v>
      </c>
      <c r="B2929" s="6" t="str">
        <f t="shared" si="663"/>
        <v>EL CORTE</v>
      </c>
      <c r="C2929" s="7">
        <v>46043</v>
      </c>
      <c r="D2929" s="7">
        <v>46048</v>
      </c>
      <c r="E2929" s="8">
        <v>1</v>
      </c>
      <c r="F2929" s="6" t="str">
        <f>"94886901_07026"</f>
        <v>94886901_07026</v>
      </c>
      <c r="G2929" s="6" t="str">
        <f t="shared" si="664"/>
        <v>F310631650000000</v>
      </c>
      <c r="H2929" s="6" t="str">
        <f t="shared" si="665"/>
        <v>PLAR 6316 FD - 500 g</v>
      </c>
      <c r="I2929" s="6" t="str">
        <f>"200901"</f>
        <v>200901</v>
      </c>
      <c r="J2929" s="6" t="str">
        <f>"ROSA 901"</f>
        <v>ROSA 901</v>
      </c>
      <c r="K2929" s="6" t="str">
        <f t="shared" si="672"/>
        <v>2020</v>
      </c>
      <c r="L2929" s="6" t="str">
        <f t="shared" si="673"/>
        <v>Lençóis</v>
      </c>
      <c r="M2929" s="6" t="str">
        <f t="shared" si="674"/>
        <v>100x150</v>
      </c>
      <c r="N2929" s="6" t="str">
        <f>"5602972281125"</f>
        <v>5602972281125</v>
      </c>
      <c r="O2929" s="8">
        <v>3</v>
      </c>
      <c r="R2929" s="8">
        <v>0</v>
      </c>
      <c r="U2929" s="8">
        <v>0</v>
      </c>
      <c r="X2929" s="8">
        <v>0</v>
      </c>
      <c r="Z2929" s="8">
        <v>0</v>
      </c>
      <c r="AC2929" s="8">
        <v>0</v>
      </c>
      <c r="AF2929" s="8">
        <v>0</v>
      </c>
      <c r="AN2929" s="8">
        <v>0</v>
      </c>
      <c r="AO2929" s="8">
        <v>3</v>
      </c>
    </row>
    <row r="2930" spans="1:41" x14ac:dyDescent="0.25">
      <c r="A2930" s="6" t="str">
        <f>"522-2026000404"</f>
        <v>522-2026000404</v>
      </c>
      <c r="B2930" s="6" t="str">
        <f t="shared" si="663"/>
        <v>EL CORTE</v>
      </c>
      <c r="C2930" s="7">
        <v>46043</v>
      </c>
      <c r="D2930" s="7">
        <v>46048</v>
      </c>
      <c r="E2930" s="8">
        <v>1</v>
      </c>
      <c r="F2930" s="6" t="str">
        <f>"94888401_07026"</f>
        <v>94888401_07026</v>
      </c>
      <c r="G2930" s="6" t="str">
        <f t="shared" si="664"/>
        <v>F310631650000000</v>
      </c>
      <c r="H2930" s="6" t="str">
        <f t="shared" si="665"/>
        <v>PLAR 6316 FD - 500 g</v>
      </c>
      <c r="I2930" s="6" t="str">
        <f>"202575"</f>
        <v>202575</v>
      </c>
      <c r="J2930" s="6" t="str">
        <f>"BEGE 2575"</f>
        <v>BEGE 2575</v>
      </c>
      <c r="K2930" s="6" t="str">
        <f t="shared" si="672"/>
        <v>2020</v>
      </c>
      <c r="L2930" s="6" t="str">
        <f t="shared" si="673"/>
        <v>Lençóis</v>
      </c>
      <c r="M2930" s="6" t="str">
        <f t="shared" si="674"/>
        <v>100x150</v>
      </c>
      <c r="N2930" s="6" t="str">
        <f>"5602972281095"</f>
        <v>5602972281095</v>
      </c>
      <c r="O2930" s="8">
        <v>3</v>
      </c>
      <c r="R2930" s="8">
        <v>0</v>
      </c>
      <c r="U2930" s="8">
        <v>0</v>
      </c>
      <c r="X2930" s="8">
        <v>0</v>
      </c>
      <c r="Z2930" s="8">
        <v>0</v>
      </c>
      <c r="AC2930" s="8">
        <v>0</v>
      </c>
      <c r="AF2930" s="8">
        <v>0</v>
      </c>
      <c r="AN2930" s="8">
        <v>0</v>
      </c>
      <c r="AO2930" s="8">
        <v>3</v>
      </c>
    </row>
    <row r="2931" spans="1:41" x14ac:dyDescent="0.25">
      <c r="A2931" s="6" t="str">
        <f>"522-2026000405"</f>
        <v>522-2026000405</v>
      </c>
      <c r="B2931" s="6" t="str">
        <f t="shared" si="663"/>
        <v>EL CORTE</v>
      </c>
      <c r="C2931" s="7">
        <v>46043</v>
      </c>
      <c r="D2931" s="7">
        <v>46048</v>
      </c>
      <c r="E2931" s="8">
        <v>1</v>
      </c>
      <c r="F2931" s="6" t="str">
        <f>"94888701_07026"</f>
        <v>94888701_07026</v>
      </c>
      <c r="G2931" s="6" t="str">
        <f t="shared" si="664"/>
        <v>F310631650000000</v>
      </c>
      <c r="H2931" s="6" t="str">
        <f t="shared" si="665"/>
        <v>PLAR 6316 FD - 500 g</v>
      </c>
      <c r="I2931" s="6" t="str">
        <f>"200901"</f>
        <v>200901</v>
      </c>
      <c r="J2931" s="6" t="str">
        <f>"ROSA 901"</f>
        <v>ROSA 901</v>
      </c>
      <c r="K2931" s="6" t="str">
        <f t="shared" si="672"/>
        <v>2020</v>
      </c>
      <c r="L2931" s="6" t="str">
        <f t="shared" si="673"/>
        <v>Lençóis</v>
      </c>
      <c r="M2931" s="6" t="str">
        <f t="shared" si="674"/>
        <v>100x150</v>
      </c>
      <c r="N2931" s="6" t="str">
        <f>"5602972281125"</f>
        <v>5602972281125</v>
      </c>
      <c r="O2931" s="8">
        <v>3</v>
      </c>
      <c r="R2931" s="8">
        <v>0</v>
      </c>
      <c r="U2931" s="8">
        <v>0</v>
      </c>
      <c r="X2931" s="8">
        <v>0</v>
      </c>
      <c r="Z2931" s="8">
        <v>0</v>
      </c>
      <c r="AC2931" s="8">
        <v>0</v>
      </c>
      <c r="AF2931" s="8">
        <v>0</v>
      </c>
      <c r="AN2931" s="8">
        <v>0</v>
      </c>
      <c r="AO2931" s="8">
        <v>3</v>
      </c>
    </row>
    <row r="2932" spans="1:41" x14ac:dyDescent="0.25">
      <c r="A2932" s="6" t="str">
        <f>"522-2026000406"</f>
        <v>522-2026000406</v>
      </c>
      <c r="B2932" s="6" t="str">
        <f t="shared" si="663"/>
        <v>EL CORTE</v>
      </c>
      <c r="C2932" s="7">
        <v>46043</v>
      </c>
      <c r="D2932" s="7">
        <v>46048</v>
      </c>
      <c r="E2932" s="8">
        <v>1</v>
      </c>
      <c r="F2932" s="6" t="str">
        <f>"94886701_07026"</f>
        <v>94886701_07026</v>
      </c>
      <c r="G2932" s="6" t="str">
        <f t="shared" si="664"/>
        <v>F310631650000000</v>
      </c>
      <c r="H2932" s="6" t="str">
        <f t="shared" si="665"/>
        <v>PLAR 6316 FD - 500 g</v>
      </c>
      <c r="I2932" s="6" t="str">
        <f>"201855"</f>
        <v>201855</v>
      </c>
      <c r="J2932" s="6" t="str">
        <f>"AZUL 1855"</f>
        <v>AZUL 1855</v>
      </c>
      <c r="K2932" s="6" t="str">
        <f t="shared" si="672"/>
        <v>2020</v>
      </c>
      <c r="L2932" s="6" t="str">
        <f t="shared" si="673"/>
        <v>Lençóis</v>
      </c>
      <c r="M2932" s="6" t="str">
        <f t="shared" si="674"/>
        <v>100x150</v>
      </c>
      <c r="N2932" s="6" t="str">
        <f>"5602972281064"</f>
        <v>5602972281064</v>
      </c>
      <c r="O2932" s="8">
        <v>3</v>
      </c>
      <c r="R2932" s="8">
        <v>0</v>
      </c>
      <c r="U2932" s="8">
        <v>0</v>
      </c>
      <c r="X2932" s="8">
        <v>0</v>
      </c>
      <c r="Z2932" s="8">
        <v>0</v>
      </c>
      <c r="AC2932" s="8">
        <v>0</v>
      </c>
      <c r="AF2932" s="8">
        <v>0</v>
      </c>
      <c r="AN2932" s="8">
        <v>0</v>
      </c>
      <c r="AO2932" s="8">
        <v>3</v>
      </c>
    </row>
    <row r="2933" spans="1:41" x14ac:dyDescent="0.25">
      <c r="A2933" s="6" t="str">
        <f>"522-2026000406"</f>
        <v>522-2026000406</v>
      </c>
      <c r="B2933" s="6" t="str">
        <f t="shared" si="663"/>
        <v>EL CORTE</v>
      </c>
      <c r="C2933" s="7">
        <v>46043</v>
      </c>
      <c r="D2933" s="7">
        <v>46048</v>
      </c>
      <c r="E2933" s="8">
        <v>2</v>
      </c>
      <c r="F2933" s="6" t="str">
        <f>"94886701_07026"</f>
        <v>94886701_07026</v>
      </c>
      <c r="G2933" s="6" t="str">
        <f t="shared" si="664"/>
        <v>F310631650000000</v>
      </c>
      <c r="H2933" s="6" t="str">
        <f t="shared" si="665"/>
        <v>PLAR 6316 FD - 500 g</v>
      </c>
      <c r="I2933" s="6" t="str">
        <f>"202575"</f>
        <v>202575</v>
      </c>
      <c r="J2933" s="6" t="str">
        <f>"BEGE 2575"</f>
        <v>BEGE 2575</v>
      </c>
      <c r="K2933" s="6" t="str">
        <f t="shared" si="672"/>
        <v>2020</v>
      </c>
      <c r="L2933" s="6" t="str">
        <f t="shared" si="673"/>
        <v>Lençóis</v>
      </c>
      <c r="M2933" s="6" t="str">
        <f t="shared" si="674"/>
        <v>100x150</v>
      </c>
      <c r="N2933" s="6" t="str">
        <f>"5602972281095"</f>
        <v>5602972281095</v>
      </c>
      <c r="O2933" s="8">
        <v>9</v>
      </c>
      <c r="R2933" s="8">
        <v>0</v>
      </c>
      <c r="U2933" s="8">
        <v>0</v>
      </c>
      <c r="X2933" s="8">
        <v>0</v>
      </c>
      <c r="Z2933" s="8">
        <v>0</v>
      </c>
      <c r="AC2933" s="8">
        <v>0</v>
      </c>
      <c r="AF2933" s="8">
        <v>0</v>
      </c>
      <c r="AN2933" s="8">
        <v>0</v>
      </c>
      <c r="AO2933" s="8">
        <v>9</v>
      </c>
    </row>
    <row r="2934" spans="1:41" x14ac:dyDescent="0.25">
      <c r="A2934" s="6" t="str">
        <f>"522-2026000406"</f>
        <v>522-2026000406</v>
      </c>
      <c r="B2934" s="6" t="str">
        <f t="shared" si="663"/>
        <v>EL CORTE</v>
      </c>
      <c r="C2934" s="7">
        <v>46043</v>
      </c>
      <c r="D2934" s="7">
        <v>46048</v>
      </c>
      <c r="E2934" s="8">
        <v>3</v>
      </c>
      <c r="F2934" s="6" t="str">
        <f>"94886701_07026"</f>
        <v>94886701_07026</v>
      </c>
      <c r="G2934" s="6" t="str">
        <f t="shared" si="664"/>
        <v>F310631650000000</v>
      </c>
      <c r="H2934" s="6" t="str">
        <f t="shared" si="665"/>
        <v>PLAR 6316 FD - 500 g</v>
      </c>
      <c r="I2934" s="6" t="str">
        <f>"200901"</f>
        <v>200901</v>
      </c>
      <c r="J2934" s="6" t="str">
        <f>"ROSA 901"</f>
        <v>ROSA 901</v>
      </c>
      <c r="K2934" s="6" t="str">
        <f t="shared" si="672"/>
        <v>2020</v>
      </c>
      <c r="L2934" s="6" t="str">
        <f t="shared" si="673"/>
        <v>Lençóis</v>
      </c>
      <c r="M2934" s="6" t="str">
        <f t="shared" si="674"/>
        <v>100x150</v>
      </c>
      <c r="N2934" s="6" t="str">
        <f>"5602972281125"</f>
        <v>5602972281125</v>
      </c>
      <c r="O2934" s="8">
        <v>9</v>
      </c>
      <c r="R2934" s="8">
        <v>0</v>
      </c>
      <c r="U2934" s="8">
        <v>0</v>
      </c>
      <c r="X2934" s="8">
        <v>0</v>
      </c>
      <c r="Z2934" s="8">
        <v>0</v>
      </c>
      <c r="AC2934" s="8">
        <v>0</v>
      </c>
      <c r="AF2934" s="8">
        <v>0</v>
      </c>
      <c r="AN2934" s="8">
        <v>0</v>
      </c>
      <c r="AO2934" s="8">
        <v>9</v>
      </c>
    </row>
    <row r="2935" spans="1:41" x14ac:dyDescent="0.25">
      <c r="A2935" s="6" t="str">
        <f>"522-2026000407"</f>
        <v>522-2026000407</v>
      </c>
      <c r="B2935" s="6" t="str">
        <f t="shared" si="663"/>
        <v>EL CORTE</v>
      </c>
      <c r="C2935" s="7">
        <v>46044</v>
      </c>
      <c r="D2935" s="7">
        <v>46049</v>
      </c>
      <c r="E2935" s="8">
        <v>1</v>
      </c>
      <c r="F2935" s="6" t="str">
        <f>"33337501_07026"</f>
        <v>33337501_07026</v>
      </c>
      <c r="G2935" s="6" t="str">
        <f t="shared" si="664"/>
        <v>F310631650000000</v>
      </c>
      <c r="H2935" s="6" t="str">
        <f t="shared" si="665"/>
        <v>PLAR 6316 FD - 500 g</v>
      </c>
      <c r="I2935" s="6" t="str">
        <f>"201855"</f>
        <v>201855</v>
      </c>
      <c r="J2935" s="6" t="str">
        <f>"AZUL 1855"</f>
        <v>AZUL 1855</v>
      </c>
      <c r="K2935" s="6" t="str">
        <f t="shared" si="672"/>
        <v>2020</v>
      </c>
      <c r="L2935" s="6" t="str">
        <f t="shared" si="673"/>
        <v>Lençóis</v>
      </c>
      <c r="M2935" s="6" t="str">
        <f t="shared" si="674"/>
        <v>100x150</v>
      </c>
      <c r="N2935" s="6" t="str">
        <f>"5602972281064"</f>
        <v>5602972281064</v>
      </c>
      <c r="O2935" s="8">
        <v>12</v>
      </c>
      <c r="R2935" s="8">
        <v>0</v>
      </c>
      <c r="U2935" s="8">
        <v>0</v>
      </c>
      <c r="X2935" s="8">
        <v>0</v>
      </c>
      <c r="Z2935" s="8">
        <v>0</v>
      </c>
      <c r="AC2935" s="8">
        <v>0</v>
      </c>
      <c r="AF2935" s="8">
        <v>0</v>
      </c>
      <c r="AN2935" s="8">
        <v>0</v>
      </c>
      <c r="AO2935" s="8">
        <v>12</v>
      </c>
    </row>
    <row r="2936" spans="1:41" x14ac:dyDescent="0.25">
      <c r="A2936" s="6" t="str">
        <f>"522-2026000407"</f>
        <v>522-2026000407</v>
      </c>
      <c r="B2936" s="6" t="str">
        <f t="shared" si="663"/>
        <v>EL CORTE</v>
      </c>
      <c r="C2936" s="7">
        <v>46044</v>
      </c>
      <c r="D2936" s="7">
        <v>46049</v>
      </c>
      <c r="E2936" s="8">
        <v>2</v>
      </c>
      <c r="F2936" s="6" t="str">
        <f>"33337501_07026"</f>
        <v>33337501_07026</v>
      </c>
      <c r="G2936" s="6" t="str">
        <f t="shared" si="664"/>
        <v>F310631650000000</v>
      </c>
      <c r="H2936" s="6" t="str">
        <f t="shared" si="665"/>
        <v>PLAR 6316 FD - 500 g</v>
      </c>
      <c r="I2936" s="6" t="str">
        <f>"202575"</f>
        <v>202575</v>
      </c>
      <c r="J2936" s="6" t="str">
        <f>"BEGE 2575"</f>
        <v>BEGE 2575</v>
      </c>
      <c r="K2936" s="6" t="str">
        <f>"1024"</f>
        <v>1024</v>
      </c>
      <c r="L2936" s="6" t="str">
        <f>"Toalhas"</f>
        <v>Toalhas</v>
      </c>
      <c r="M2936" s="6" t="str">
        <f>"50x100"</f>
        <v>50x100</v>
      </c>
      <c r="N2936" s="6" t="str">
        <f>"5602972281088"</f>
        <v>5602972281088</v>
      </c>
      <c r="O2936" s="8">
        <v>6</v>
      </c>
      <c r="R2936" s="8">
        <v>0</v>
      </c>
      <c r="U2936" s="8">
        <v>0</v>
      </c>
      <c r="X2936" s="8">
        <v>0</v>
      </c>
      <c r="Z2936" s="8">
        <v>0</v>
      </c>
      <c r="AC2936" s="8">
        <v>0</v>
      </c>
      <c r="AF2936" s="8">
        <v>0</v>
      </c>
      <c r="AN2936" s="8">
        <v>6</v>
      </c>
      <c r="AO2936" s="8">
        <v>0</v>
      </c>
    </row>
    <row r="2937" spans="1:41" x14ac:dyDescent="0.25">
      <c r="A2937" s="6" t="str">
        <f>"522-2026000407"</f>
        <v>522-2026000407</v>
      </c>
      <c r="B2937" s="6" t="str">
        <f t="shared" si="663"/>
        <v>EL CORTE</v>
      </c>
      <c r="C2937" s="7">
        <v>46044</v>
      </c>
      <c r="D2937" s="7">
        <v>46049</v>
      </c>
      <c r="E2937" s="8">
        <v>3</v>
      </c>
      <c r="F2937" s="6" t="str">
        <f>"33337501_07026"</f>
        <v>33337501_07026</v>
      </c>
      <c r="G2937" s="6" t="str">
        <f t="shared" si="664"/>
        <v>F310631650000000</v>
      </c>
      <c r="H2937" s="6" t="str">
        <f t="shared" si="665"/>
        <v>PLAR 6316 FD - 500 g</v>
      </c>
      <c r="I2937" s="6" t="str">
        <f>"202575"</f>
        <v>202575</v>
      </c>
      <c r="J2937" s="6" t="str">
        <f>"BEGE 2575"</f>
        <v>BEGE 2575</v>
      </c>
      <c r="K2937" s="6" t="str">
        <f>"2020"</f>
        <v>2020</v>
      </c>
      <c r="L2937" s="6" t="str">
        <f>"Lençóis"</f>
        <v>Lençóis</v>
      </c>
      <c r="M2937" s="6" t="str">
        <f>"100x150"</f>
        <v>100x150</v>
      </c>
      <c r="N2937" s="6" t="str">
        <f>"5602972281095"</f>
        <v>5602972281095</v>
      </c>
      <c r="O2937" s="8">
        <v>3</v>
      </c>
      <c r="R2937" s="8">
        <v>0</v>
      </c>
      <c r="U2937" s="8">
        <v>0</v>
      </c>
      <c r="X2937" s="8">
        <v>0</v>
      </c>
      <c r="Z2937" s="8">
        <v>0</v>
      </c>
      <c r="AC2937" s="8">
        <v>0</v>
      </c>
      <c r="AF2937" s="8">
        <v>0</v>
      </c>
      <c r="AN2937" s="8">
        <v>0</v>
      </c>
      <c r="AO2937" s="8">
        <v>3</v>
      </c>
    </row>
    <row r="2938" spans="1:41" x14ac:dyDescent="0.25">
      <c r="A2938" s="6" t="str">
        <f>"522-2026000407"</f>
        <v>522-2026000407</v>
      </c>
      <c r="B2938" s="6" t="str">
        <f t="shared" si="663"/>
        <v>EL CORTE</v>
      </c>
      <c r="C2938" s="7">
        <v>46044</v>
      </c>
      <c r="D2938" s="7">
        <v>46049</v>
      </c>
      <c r="E2938" s="8">
        <v>4</v>
      </c>
      <c r="F2938" s="6" t="str">
        <f>"33337501_07026"</f>
        <v>33337501_07026</v>
      </c>
      <c r="G2938" s="6" t="str">
        <f t="shared" si="664"/>
        <v>F310631650000000</v>
      </c>
      <c r="H2938" s="6" t="str">
        <f t="shared" si="665"/>
        <v>PLAR 6316 FD - 500 g</v>
      </c>
      <c r="I2938" s="6" t="str">
        <f>"200510"</f>
        <v>200510</v>
      </c>
      <c r="J2938" s="6" t="str">
        <f>"VERDE 510"</f>
        <v>VERDE 510</v>
      </c>
      <c r="K2938" s="6" t="str">
        <f>"0520"</f>
        <v>0520</v>
      </c>
      <c r="L2938" s="6" t="str">
        <f>"Toalhetes"</f>
        <v>Toalhetes</v>
      </c>
      <c r="M2938" s="6" t="str">
        <f>"30x50"</f>
        <v>30x50</v>
      </c>
      <c r="N2938" s="6" t="str">
        <f>"5602972281132"</f>
        <v>5602972281132</v>
      </c>
      <c r="O2938" s="8">
        <v>12</v>
      </c>
      <c r="R2938" s="8">
        <v>0</v>
      </c>
      <c r="U2938" s="8">
        <v>0</v>
      </c>
      <c r="X2938" s="8">
        <v>0</v>
      </c>
      <c r="Z2938" s="8">
        <v>0</v>
      </c>
      <c r="AC2938" s="8">
        <v>0</v>
      </c>
      <c r="AF2938" s="8">
        <v>0</v>
      </c>
      <c r="AN2938" s="8">
        <v>0</v>
      </c>
      <c r="AO2938" s="8">
        <v>12</v>
      </c>
    </row>
    <row r="2939" spans="1:41" x14ac:dyDescent="0.25">
      <c r="A2939" s="6" t="str">
        <f>"522-2026000408"</f>
        <v>522-2026000408</v>
      </c>
      <c r="B2939" s="6" t="str">
        <f t="shared" si="663"/>
        <v>EL CORTE</v>
      </c>
      <c r="C2939" s="7">
        <v>46044</v>
      </c>
      <c r="D2939" s="7">
        <v>46049</v>
      </c>
      <c r="E2939" s="8">
        <v>1</v>
      </c>
      <c r="F2939" s="6" t="str">
        <f>"94890201_07026"</f>
        <v>94890201_07026</v>
      </c>
      <c r="G2939" s="6" t="str">
        <f t="shared" si="664"/>
        <v>F310631650000000</v>
      </c>
      <c r="H2939" s="6" t="str">
        <f t="shared" si="665"/>
        <v>PLAR 6316 FD - 500 g</v>
      </c>
      <c r="I2939" s="6" t="str">
        <f>"202575"</f>
        <v>202575</v>
      </c>
      <c r="J2939" s="6" t="str">
        <f>"BEGE 2575"</f>
        <v>BEGE 2575</v>
      </c>
      <c r="K2939" s="6" t="str">
        <f t="shared" ref="K2939:K2946" si="675">"2020"</f>
        <v>2020</v>
      </c>
      <c r="L2939" s="6" t="str">
        <f t="shared" ref="L2939:L2946" si="676">"Lençóis"</f>
        <v>Lençóis</v>
      </c>
      <c r="M2939" s="6" t="str">
        <f t="shared" ref="M2939:M2946" si="677">"100x150"</f>
        <v>100x150</v>
      </c>
      <c r="N2939" s="6" t="str">
        <f>"5602972281095"</f>
        <v>5602972281095</v>
      </c>
      <c r="O2939" s="8">
        <v>3</v>
      </c>
      <c r="R2939" s="8">
        <v>0</v>
      </c>
      <c r="U2939" s="8">
        <v>0</v>
      </c>
      <c r="X2939" s="8">
        <v>0</v>
      </c>
      <c r="Z2939" s="8">
        <v>0</v>
      </c>
      <c r="AC2939" s="8">
        <v>0</v>
      </c>
      <c r="AF2939" s="8">
        <v>0</v>
      </c>
      <c r="AN2939" s="8">
        <v>0</v>
      </c>
      <c r="AO2939" s="8">
        <v>3</v>
      </c>
    </row>
    <row r="2940" spans="1:41" x14ac:dyDescent="0.25">
      <c r="A2940" s="6" t="str">
        <f>"522-2026000409"</f>
        <v>522-2026000409</v>
      </c>
      <c r="B2940" s="6" t="str">
        <f t="shared" si="663"/>
        <v>EL CORTE</v>
      </c>
      <c r="C2940" s="7">
        <v>46044</v>
      </c>
      <c r="D2940" s="7">
        <v>46049</v>
      </c>
      <c r="E2940" s="8">
        <v>1</v>
      </c>
      <c r="F2940" s="6" t="str">
        <f>"94890801_07026"</f>
        <v>94890801_07026</v>
      </c>
      <c r="G2940" s="6" t="str">
        <f t="shared" si="664"/>
        <v>F310631650000000</v>
      </c>
      <c r="H2940" s="6" t="str">
        <f t="shared" si="665"/>
        <v>PLAR 6316 FD - 500 g</v>
      </c>
      <c r="I2940" s="6" t="str">
        <f>"200901"</f>
        <v>200901</v>
      </c>
      <c r="J2940" s="6" t="str">
        <f>"ROSA 901"</f>
        <v>ROSA 901</v>
      </c>
      <c r="K2940" s="6" t="str">
        <f t="shared" si="675"/>
        <v>2020</v>
      </c>
      <c r="L2940" s="6" t="str">
        <f t="shared" si="676"/>
        <v>Lençóis</v>
      </c>
      <c r="M2940" s="6" t="str">
        <f t="shared" si="677"/>
        <v>100x150</v>
      </c>
      <c r="N2940" s="6" t="str">
        <f>"5602972281125"</f>
        <v>5602972281125</v>
      </c>
      <c r="O2940" s="8">
        <v>3</v>
      </c>
      <c r="R2940" s="8">
        <v>0</v>
      </c>
      <c r="U2940" s="8">
        <v>0</v>
      </c>
      <c r="X2940" s="8">
        <v>0</v>
      </c>
      <c r="Z2940" s="8">
        <v>0</v>
      </c>
      <c r="AC2940" s="8">
        <v>0</v>
      </c>
      <c r="AF2940" s="8">
        <v>0</v>
      </c>
      <c r="AN2940" s="8">
        <v>0</v>
      </c>
      <c r="AO2940" s="8">
        <v>3</v>
      </c>
    </row>
    <row r="2941" spans="1:41" x14ac:dyDescent="0.25">
      <c r="A2941" s="6" t="str">
        <f>"522-2026000409"</f>
        <v>522-2026000409</v>
      </c>
      <c r="B2941" s="6" t="str">
        <f t="shared" si="663"/>
        <v>EL CORTE</v>
      </c>
      <c r="C2941" s="7">
        <v>46044</v>
      </c>
      <c r="D2941" s="7">
        <v>46049</v>
      </c>
      <c r="E2941" s="8">
        <v>2</v>
      </c>
      <c r="F2941" s="6" t="str">
        <f>"94890801_07026"</f>
        <v>94890801_07026</v>
      </c>
      <c r="G2941" s="6" t="str">
        <f t="shared" si="664"/>
        <v>F310631650000000</v>
      </c>
      <c r="H2941" s="6" t="str">
        <f t="shared" si="665"/>
        <v>PLAR 6316 FD - 500 g</v>
      </c>
      <c r="I2941" s="6" t="str">
        <f>"200510"</f>
        <v>200510</v>
      </c>
      <c r="J2941" s="6" t="str">
        <f>"VERDE 510"</f>
        <v>VERDE 510</v>
      </c>
      <c r="K2941" s="6" t="str">
        <f t="shared" si="675"/>
        <v>2020</v>
      </c>
      <c r="L2941" s="6" t="str">
        <f t="shared" si="676"/>
        <v>Lençóis</v>
      </c>
      <c r="M2941" s="6" t="str">
        <f t="shared" si="677"/>
        <v>100x150</v>
      </c>
      <c r="N2941" s="6" t="str">
        <f>"5602972281156"</f>
        <v>5602972281156</v>
      </c>
      <c r="O2941" s="8">
        <v>3</v>
      </c>
      <c r="R2941" s="8">
        <v>0</v>
      </c>
      <c r="U2941" s="8">
        <v>0</v>
      </c>
      <c r="X2941" s="8">
        <v>0</v>
      </c>
      <c r="Z2941" s="8">
        <v>0</v>
      </c>
      <c r="AC2941" s="8">
        <v>0</v>
      </c>
      <c r="AF2941" s="8">
        <v>0</v>
      </c>
      <c r="AN2941" s="8">
        <v>0</v>
      </c>
      <c r="AO2941" s="8">
        <v>3</v>
      </c>
    </row>
    <row r="2942" spans="1:41" x14ac:dyDescent="0.25">
      <c r="A2942" s="6" t="str">
        <f>"522-2026000410"</f>
        <v>522-2026000410</v>
      </c>
      <c r="B2942" s="6" t="str">
        <f t="shared" si="663"/>
        <v>EL CORTE</v>
      </c>
      <c r="C2942" s="7">
        <v>46044</v>
      </c>
      <c r="D2942" s="7">
        <v>46049</v>
      </c>
      <c r="E2942" s="8">
        <v>1</v>
      </c>
      <c r="F2942" s="6" t="str">
        <f>"94889701_07026"</f>
        <v>94889701_07026</v>
      </c>
      <c r="G2942" s="6" t="str">
        <f t="shared" si="664"/>
        <v>F310631650000000</v>
      </c>
      <c r="H2942" s="6" t="str">
        <f t="shared" si="665"/>
        <v>PLAR 6316 FD - 500 g</v>
      </c>
      <c r="I2942" s="6" t="str">
        <f>"202575"</f>
        <v>202575</v>
      </c>
      <c r="J2942" s="6" t="str">
        <f>"BEGE 2575"</f>
        <v>BEGE 2575</v>
      </c>
      <c r="K2942" s="6" t="str">
        <f t="shared" si="675"/>
        <v>2020</v>
      </c>
      <c r="L2942" s="6" t="str">
        <f t="shared" si="676"/>
        <v>Lençóis</v>
      </c>
      <c r="M2942" s="6" t="str">
        <f t="shared" si="677"/>
        <v>100x150</v>
      </c>
      <c r="N2942" s="6" t="str">
        <f>"5602972281095"</f>
        <v>5602972281095</v>
      </c>
      <c r="O2942" s="8">
        <v>3</v>
      </c>
      <c r="R2942" s="8">
        <v>0</v>
      </c>
      <c r="U2942" s="8">
        <v>0</v>
      </c>
      <c r="X2942" s="8">
        <v>0</v>
      </c>
      <c r="Z2942" s="8">
        <v>0</v>
      </c>
      <c r="AC2942" s="8">
        <v>0</v>
      </c>
      <c r="AF2942" s="8">
        <v>0</v>
      </c>
      <c r="AN2942" s="8">
        <v>0</v>
      </c>
      <c r="AO2942" s="8">
        <v>3</v>
      </c>
    </row>
    <row r="2943" spans="1:41" x14ac:dyDescent="0.25">
      <c r="A2943" s="6" t="str">
        <f>"522-2026000410"</f>
        <v>522-2026000410</v>
      </c>
      <c r="B2943" s="6" t="str">
        <f t="shared" si="663"/>
        <v>EL CORTE</v>
      </c>
      <c r="C2943" s="7">
        <v>46044</v>
      </c>
      <c r="D2943" s="7">
        <v>46049</v>
      </c>
      <c r="E2943" s="8">
        <v>2</v>
      </c>
      <c r="F2943" s="6" t="str">
        <f>"94889701_07026"</f>
        <v>94889701_07026</v>
      </c>
      <c r="G2943" s="6" t="str">
        <f t="shared" si="664"/>
        <v>F310631650000000</v>
      </c>
      <c r="H2943" s="6" t="str">
        <f t="shared" si="665"/>
        <v>PLAR 6316 FD - 500 g</v>
      </c>
      <c r="I2943" s="6" t="str">
        <f>"200901"</f>
        <v>200901</v>
      </c>
      <c r="J2943" s="6" t="str">
        <f>"ROSA 901"</f>
        <v>ROSA 901</v>
      </c>
      <c r="K2943" s="6" t="str">
        <f t="shared" si="675"/>
        <v>2020</v>
      </c>
      <c r="L2943" s="6" t="str">
        <f t="shared" si="676"/>
        <v>Lençóis</v>
      </c>
      <c r="M2943" s="6" t="str">
        <f t="shared" si="677"/>
        <v>100x150</v>
      </c>
      <c r="N2943" s="6" t="str">
        <f>"5602972281125"</f>
        <v>5602972281125</v>
      </c>
      <c r="O2943" s="8">
        <v>3</v>
      </c>
      <c r="R2943" s="8">
        <v>0</v>
      </c>
      <c r="U2943" s="8">
        <v>0</v>
      </c>
      <c r="X2943" s="8">
        <v>0</v>
      </c>
      <c r="Z2943" s="8">
        <v>0</v>
      </c>
      <c r="AC2943" s="8">
        <v>0</v>
      </c>
      <c r="AF2943" s="8">
        <v>0</v>
      </c>
      <c r="AN2943" s="8">
        <v>0</v>
      </c>
      <c r="AO2943" s="8">
        <v>3</v>
      </c>
    </row>
    <row r="2944" spans="1:41" x14ac:dyDescent="0.25">
      <c r="A2944" s="6" t="str">
        <f>"522-2026000411"</f>
        <v>522-2026000411</v>
      </c>
      <c r="B2944" s="6" t="str">
        <f t="shared" si="663"/>
        <v>EL CORTE</v>
      </c>
      <c r="C2944" s="7">
        <v>46044</v>
      </c>
      <c r="D2944" s="7">
        <v>46049</v>
      </c>
      <c r="E2944" s="8">
        <v>1</v>
      </c>
      <c r="F2944" s="6" t="str">
        <f>"94889901_07026"</f>
        <v>94889901_07026</v>
      </c>
      <c r="G2944" s="6" t="str">
        <f t="shared" si="664"/>
        <v>F310631650000000</v>
      </c>
      <c r="H2944" s="6" t="str">
        <f t="shared" si="665"/>
        <v>PLAR 6316 FD - 500 g</v>
      </c>
      <c r="I2944" s="6" t="str">
        <f>"202575"</f>
        <v>202575</v>
      </c>
      <c r="J2944" s="6" t="str">
        <f>"BEGE 2575"</f>
        <v>BEGE 2575</v>
      </c>
      <c r="K2944" s="6" t="str">
        <f t="shared" si="675"/>
        <v>2020</v>
      </c>
      <c r="L2944" s="6" t="str">
        <f t="shared" si="676"/>
        <v>Lençóis</v>
      </c>
      <c r="M2944" s="6" t="str">
        <f t="shared" si="677"/>
        <v>100x150</v>
      </c>
      <c r="N2944" s="6" t="str">
        <f>"5602972281095"</f>
        <v>5602972281095</v>
      </c>
      <c r="O2944" s="8">
        <v>3</v>
      </c>
      <c r="R2944" s="8">
        <v>0</v>
      </c>
      <c r="U2944" s="8">
        <v>0</v>
      </c>
      <c r="X2944" s="8">
        <v>0</v>
      </c>
      <c r="Z2944" s="8">
        <v>0</v>
      </c>
      <c r="AC2944" s="8">
        <v>0</v>
      </c>
      <c r="AF2944" s="8">
        <v>0</v>
      </c>
      <c r="AN2944" s="8">
        <v>0</v>
      </c>
      <c r="AO2944" s="8">
        <v>3</v>
      </c>
    </row>
    <row r="2945" spans="1:41" x14ac:dyDescent="0.25">
      <c r="A2945" s="6" t="str">
        <f>"522-2026000411"</f>
        <v>522-2026000411</v>
      </c>
      <c r="B2945" s="6" t="str">
        <f t="shared" si="663"/>
        <v>EL CORTE</v>
      </c>
      <c r="C2945" s="7">
        <v>46044</v>
      </c>
      <c r="D2945" s="7">
        <v>46049</v>
      </c>
      <c r="E2945" s="8">
        <v>2</v>
      </c>
      <c r="F2945" s="6" t="str">
        <f>"94889901_07026"</f>
        <v>94889901_07026</v>
      </c>
      <c r="G2945" s="6" t="str">
        <f t="shared" si="664"/>
        <v>F310631650000000</v>
      </c>
      <c r="H2945" s="6" t="str">
        <f t="shared" si="665"/>
        <v>PLAR 6316 FD - 500 g</v>
      </c>
      <c r="I2945" s="6" t="str">
        <f>"200510"</f>
        <v>200510</v>
      </c>
      <c r="J2945" s="6" t="str">
        <f>"VERDE 510"</f>
        <v>VERDE 510</v>
      </c>
      <c r="K2945" s="6" t="str">
        <f t="shared" si="675"/>
        <v>2020</v>
      </c>
      <c r="L2945" s="6" t="str">
        <f t="shared" si="676"/>
        <v>Lençóis</v>
      </c>
      <c r="M2945" s="6" t="str">
        <f t="shared" si="677"/>
        <v>100x150</v>
      </c>
      <c r="N2945" s="6" t="str">
        <f>"5602972281156"</f>
        <v>5602972281156</v>
      </c>
      <c r="O2945" s="8">
        <v>3</v>
      </c>
      <c r="R2945" s="8">
        <v>0</v>
      </c>
      <c r="U2945" s="8">
        <v>0</v>
      </c>
      <c r="X2945" s="8">
        <v>0</v>
      </c>
      <c r="Z2945" s="8">
        <v>0</v>
      </c>
      <c r="AC2945" s="8">
        <v>0</v>
      </c>
      <c r="AF2945" s="8">
        <v>0</v>
      </c>
      <c r="AN2945" s="8">
        <v>0</v>
      </c>
      <c r="AO2945" s="8">
        <v>3</v>
      </c>
    </row>
    <row r="2946" spans="1:41" x14ac:dyDescent="0.25">
      <c r="A2946" s="6" t="str">
        <f>"522-2026000412"</f>
        <v>522-2026000412</v>
      </c>
      <c r="B2946" s="6" t="str">
        <f t="shared" si="663"/>
        <v>EL CORTE</v>
      </c>
      <c r="C2946" s="7">
        <v>46044</v>
      </c>
      <c r="D2946" s="7">
        <v>46049</v>
      </c>
      <c r="E2946" s="8">
        <v>1</v>
      </c>
      <c r="F2946" s="6" t="str">
        <f>"94891301_07026"</f>
        <v>94891301_07026</v>
      </c>
      <c r="G2946" s="6" t="str">
        <f t="shared" si="664"/>
        <v>F310631650000000</v>
      </c>
      <c r="H2946" s="6" t="str">
        <f t="shared" si="665"/>
        <v>PLAR 6316 FD - 500 g</v>
      </c>
      <c r="I2946" s="6" t="str">
        <f>"200510"</f>
        <v>200510</v>
      </c>
      <c r="J2946" s="6" t="str">
        <f>"VERDE 510"</f>
        <v>VERDE 510</v>
      </c>
      <c r="K2946" s="6" t="str">
        <f t="shared" si="675"/>
        <v>2020</v>
      </c>
      <c r="L2946" s="6" t="str">
        <f t="shared" si="676"/>
        <v>Lençóis</v>
      </c>
      <c r="M2946" s="6" t="str">
        <f t="shared" si="677"/>
        <v>100x150</v>
      </c>
      <c r="N2946" s="6" t="str">
        <f>"5602972281156"</f>
        <v>5602972281156</v>
      </c>
      <c r="O2946" s="8">
        <v>3</v>
      </c>
      <c r="R2946" s="8">
        <v>0</v>
      </c>
      <c r="U2946" s="8">
        <v>0</v>
      </c>
      <c r="X2946" s="8">
        <v>0</v>
      </c>
      <c r="Z2946" s="8">
        <v>0</v>
      </c>
      <c r="AC2946" s="8">
        <v>0</v>
      </c>
      <c r="AF2946" s="8">
        <v>0</v>
      </c>
      <c r="AN2946" s="8">
        <v>0</v>
      </c>
      <c r="AO2946" s="8">
        <v>3</v>
      </c>
    </row>
    <row r="2947" spans="1:41" x14ac:dyDescent="0.25">
      <c r="A2947" s="6" t="str">
        <f>"522-2026000413"</f>
        <v>522-2026000413</v>
      </c>
      <c r="B2947" s="6" t="str">
        <f t="shared" si="663"/>
        <v>EL CORTE</v>
      </c>
      <c r="C2947" s="7">
        <v>46044</v>
      </c>
      <c r="D2947" s="7">
        <v>46049</v>
      </c>
      <c r="E2947" s="8">
        <v>1</v>
      </c>
      <c r="F2947" s="6" t="str">
        <f>"94890501_07026"</f>
        <v>94890501_07026</v>
      </c>
      <c r="G2947" s="6" t="str">
        <f t="shared" si="664"/>
        <v>F310631650000000</v>
      </c>
      <c r="H2947" s="6" t="str">
        <f t="shared" si="665"/>
        <v>PLAR 6316 FD - 500 g</v>
      </c>
      <c r="I2947" s="6" t="str">
        <f>"200510"</f>
        <v>200510</v>
      </c>
      <c r="J2947" s="6" t="str">
        <f>"VERDE 510"</f>
        <v>VERDE 510</v>
      </c>
      <c r="K2947" s="6" t="str">
        <f>"0520"</f>
        <v>0520</v>
      </c>
      <c r="L2947" s="6" t="str">
        <f>"Toalhetes"</f>
        <v>Toalhetes</v>
      </c>
      <c r="M2947" s="6" t="str">
        <f>"30x50"</f>
        <v>30x50</v>
      </c>
      <c r="N2947" s="6" t="str">
        <f>"5602972281132"</f>
        <v>5602972281132</v>
      </c>
      <c r="O2947" s="8">
        <v>6</v>
      </c>
      <c r="R2947" s="8">
        <v>0</v>
      </c>
      <c r="U2947" s="8">
        <v>0</v>
      </c>
      <c r="X2947" s="8">
        <v>0</v>
      </c>
      <c r="Z2947" s="8">
        <v>0</v>
      </c>
      <c r="AC2947" s="8">
        <v>0</v>
      </c>
      <c r="AF2947" s="8">
        <v>0</v>
      </c>
      <c r="AN2947" s="8">
        <v>0</v>
      </c>
      <c r="AO2947" s="8">
        <v>6</v>
      </c>
    </row>
    <row r="2948" spans="1:41" x14ac:dyDescent="0.25">
      <c r="A2948" s="6" t="str">
        <f>"522-2026000414"</f>
        <v>522-2026000414</v>
      </c>
      <c r="B2948" s="6" t="str">
        <f t="shared" si="663"/>
        <v>EL CORTE</v>
      </c>
      <c r="C2948" s="7">
        <v>46044</v>
      </c>
      <c r="D2948" s="7">
        <v>46049</v>
      </c>
      <c r="E2948" s="8">
        <v>1</v>
      </c>
      <c r="F2948" s="6" t="str">
        <f>"94890001_07026"</f>
        <v>94890001_07026</v>
      </c>
      <c r="G2948" s="6" t="str">
        <f t="shared" si="664"/>
        <v>F310631650000000</v>
      </c>
      <c r="H2948" s="6" t="str">
        <f t="shared" si="665"/>
        <v>PLAR 6316 FD - 500 g</v>
      </c>
      <c r="I2948" s="6" t="str">
        <f>"202575"</f>
        <v>202575</v>
      </c>
      <c r="J2948" s="6" t="str">
        <f>"BEGE 2575"</f>
        <v>BEGE 2575</v>
      </c>
      <c r="K2948" s="6" t="str">
        <f>"1024"</f>
        <v>1024</v>
      </c>
      <c r="L2948" s="6" t="str">
        <f>"Toalhas"</f>
        <v>Toalhas</v>
      </c>
      <c r="M2948" s="6" t="str">
        <f>"50x100"</f>
        <v>50x100</v>
      </c>
      <c r="N2948" s="6" t="str">
        <f>"5602972281088"</f>
        <v>5602972281088</v>
      </c>
      <c r="O2948" s="8">
        <v>6</v>
      </c>
      <c r="R2948" s="8">
        <v>0</v>
      </c>
      <c r="U2948" s="8">
        <v>0</v>
      </c>
      <c r="X2948" s="8">
        <v>0</v>
      </c>
      <c r="Z2948" s="8">
        <v>0</v>
      </c>
      <c r="AC2948" s="8">
        <v>0</v>
      </c>
      <c r="AF2948" s="8">
        <v>0</v>
      </c>
      <c r="AN2948" s="8">
        <v>6</v>
      </c>
      <c r="AO2948" s="8">
        <v>0</v>
      </c>
    </row>
    <row r="2949" spans="1:41" x14ac:dyDescent="0.25">
      <c r="A2949" s="6" t="str">
        <f>"522-2026000414"</f>
        <v>522-2026000414</v>
      </c>
      <c r="B2949" s="6" t="str">
        <f t="shared" si="663"/>
        <v>EL CORTE</v>
      </c>
      <c r="C2949" s="7">
        <v>46044</v>
      </c>
      <c r="D2949" s="7">
        <v>46049</v>
      </c>
      <c r="E2949" s="8">
        <v>2</v>
      </c>
      <c r="F2949" s="6" t="str">
        <f>"94890001_07026"</f>
        <v>94890001_07026</v>
      </c>
      <c r="G2949" s="6" t="str">
        <f t="shared" si="664"/>
        <v>F310631650000000</v>
      </c>
      <c r="H2949" s="6" t="str">
        <f t="shared" si="665"/>
        <v>PLAR 6316 FD - 500 g</v>
      </c>
      <c r="I2949" s="6" t="str">
        <f>"200901"</f>
        <v>200901</v>
      </c>
      <c r="J2949" s="6" t="str">
        <f>"ROSA 901"</f>
        <v>ROSA 901</v>
      </c>
      <c r="K2949" s="6" t="str">
        <f>"1024"</f>
        <v>1024</v>
      </c>
      <c r="L2949" s="6" t="str">
        <f>"Toalhas"</f>
        <v>Toalhas</v>
      </c>
      <c r="M2949" s="6" t="str">
        <f>"50x100"</f>
        <v>50x100</v>
      </c>
      <c r="N2949" s="6" t="str">
        <f>"5602972281118"</f>
        <v>5602972281118</v>
      </c>
      <c r="O2949" s="8">
        <v>6</v>
      </c>
      <c r="R2949" s="8">
        <v>0</v>
      </c>
      <c r="U2949" s="8">
        <v>0</v>
      </c>
      <c r="X2949" s="8">
        <v>0</v>
      </c>
      <c r="Z2949" s="8">
        <v>0</v>
      </c>
      <c r="AC2949" s="8">
        <v>0</v>
      </c>
      <c r="AF2949" s="8">
        <v>0</v>
      </c>
      <c r="AN2949" s="8">
        <v>6</v>
      </c>
      <c r="AO2949" s="8">
        <v>0</v>
      </c>
    </row>
    <row r="2950" spans="1:41" x14ac:dyDescent="0.25">
      <c r="A2950" s="6" t="str">
        <f>"522-2026000415"</f>
        <v>522-2026000415</v>
      </c>
      <c r="B2950" s="6" t="str">
        <f t="shared" si="663"/>
        <v>EL CORTE</v>
      </c>
      <c r="C2950" s="7">
        <v>46044</v>
      </c>
      <c r="D2950" s="7">
        <v>46049</v>
      </c>
      <c r="E2950" s="8">
        <v>1</v>
      </c>
      <c r="F2950" s="6" t="str">
        <f>"94891901_07026"</f>
        <v>94891901_07026</v>
      </c>
      <c r="G2950" s="6" t="str">
        <f t="shared" si="664"/>
        <v>F310631650000000</v>
      </c>
      <c r="H2950" s="6" t="str">
        <f t="shared" si="665"/>
        <v>PLAR 6316 FD - 500 g</v>
      </c>
      <c r="I2950" s="6" t="str">
        <f>"200901"</f>
        <v>200901</v>
      </c>
      <c r="J2950" s="6" t="str">
        <f>"ROSA 901"</f>
        <v>ROSA 901</v>
      </c>
      <c r="K2950" s="6" t="str">
        <f>"2020"</f>
        <v>2020</v>
      </c>
      <c r="L2950" s="6" t="str">
        <f>"Lençóis"</f>
        <v>Lençóis</v>
      </c>
      <c r="M2950" s="6" t="str">
        <f>"100x150"</f>
        <v>100x150</v>
      </c>
      <c r="N2950" s="6" t="str">
        <f>"5602972281125"</f>
        <v>5602972281125</v>
      </c>
      <c r="O2950" s="8">
        <v>3</v>
      </c>
      <c r="R2950" s="8">
        <v>0</v>
      </c>
      <c r="U2950" s="8">
        <v>0</v>
      </c>
      <c r="X2950" s="8">
        <v>0</v>
      </c>
      <c r="Z2950" s="8">
        <v>0</v>
      </c>
      <c r="AC2950" s="8">
        <v>0</v>
      </c>
      <c r="AF2950" s="8">
        <v>0</v>
      </c>
      <c r="AN2950" s="8">
        <v>0</v>
      </c>
      <c r="AO2950" s="8">
        <v>3</v>
      </c>
    </row>
    <row r="2951" spans="1:41" x14ac:dyDescent="0.25">
      <c r="A2951" s="6" t="str">
        <f>"522-2026000416"</f>
        <v>522-2026000416</v>
      </c>
      <c r="B2951" s="6" t="str">
        <f t="shared" ref="B2951:B3014" si="678">"EL CORTE"</f>
        <v>EL CORTE</v>
      </c>
      <c r="C2951" s="7">
        <v>46044</v>
      </c>
      <c r="D2951" s="7">
        <v>46049</v>
      </c>
      <c r="E2951" s="8">
        <v>1</v>
      </c>
      <c r="F2951" s="6" t="str">
        <f>"94891001_07026"</f>
        <v>94891001_07026</v>
      </c>
      <c r="G2951" s="6" t="str">
        <f t="shared" ref="G2951:G3014" si="679">"F310631650000000"</f>
        <v>F310631650000000</v>
      </c>
      <c r="H2951" s="6" t="str">
        <f t="shared" ref="H2951:H3014" si="680">"PLAR 6316 FD - 500 g"</f>
        <v>PLAR 6316 FD - 500 g</v>
      </c>
      <c r="I2951" s="6" t="str">
        <f>"200901"</f>
        <v>200901</v>
      </c>
      <c r="J2951" s="6" t="str">
        <f>"ROSA 901"</f>
        <v>ROSA 901</v>
      </c>
      <c r="K2951" s="6" t="str">
        <f>"2020"</f>
        <v>2020</v>
      </c>
      <c r="L2951" s="6" t="str">
        <f>"Lençóis"</f>
        <v>Lençóis</v>
      </c>
      <c r="M2951" s="6" t="str">
        <f>"100x150"</f>
        <v>100x150</v>
      </c>
      <c r="N2951" s="6" t="str">
        <f>"5602972281125"</f>
        <v>5602972281125</v>
      </c>
      <c r="O2951" s="8">
        <v>3</v>
      </c>
      <c r="R2951" s="8">
        <v>0</v>
      </c>
      <c r="U2951" s="8">
        <v>0</v>
      </c>
      <c r="X2951" s="8">
        <v>0</v>
      </c>
      <c r="Z2951" s="8">
        <v>0</v>
      </c>
      <c r="AC2951" s="8">
        <v>0</v>
      </c>
      <c r="AF2951" s="8">
        <v>0</v>
      </c>
      <c r="AN2951" s="8">
        <v>0</v>
      </c>
      <c r="AO2951" s="8">
        <v>3</v>
      </c>
    </row>
    <row r="2952" spans="1:41" x14ac:dyDescent="0.25">
      <c r="A2952" s="6" t="str">
        <f>"522-2026000417"</f>
        <v>522-2026000417</v>
      </c>
      <c r="B2952" s="6" t="str">
        <f t="shared" si="678"/>
        <v>EL CORTE</v>
      </c>
      <c r="C2952" s="7">
        <v>46044</v>
      </c>
      <c r="D2952" s="7">
        <v>46049</v>
      </c>
      <c r="E2952" s="8">
        <v>1</v>
      </c>
      <c r="F2952" s="6" t="str">
        <f>"94890301_07026"</f>
        <v>94890301_07026</v>
      </c>
      <c r="G2952" s="6" t="str">
        <f t="shared" si="679"/>
        <v>F310631650000000</v>
      </c>
      <c r="H2952" s="6" t="str">
        <f t="shared" si="680"/>
        <v>PLAR 6316 FD - 500 g</v>
      </c>
      <c r="I2952" s="6" t="str">
        <f>"202575"</f>
        <v>202575</v>
      </c>
      <c r="J2952" s="6" t="str">
        <f>"BEGE 2575"</f>
        <v>BEGE 2575</v>
      </c>
      <c r="K2952" s="6" t="str">
        <f>"2020"</f>
        <v>2020</v>
      </c>
      <c r="L2952" s="6" t="str">
        <f>"Lençóis"</f>
        <v>Lençóis</v>
      </c>
      <c r="M2952" s="6" t="str">
        <f>"100x150"</f>
        <v>100x150</v>
      </c>
      <c r="N2952" s="6" t="str">
        <f>"5602972281095"</f>
        <v>5602972281095</v>
      </c>
      <c r="O2952" s="8">
        <v>3</v>
      </c>
      <c r="R2952" s="8">
        <v>0</v>
      </c>
      <c r="U2952" s="8">
        <v>0</v>
      </c>
      <c r="X2952" s="8">
        <v>0</v>
      </c>
      <c r="Z2952" s="8">
        <v>0</v>
      </c>
      <c r="AC2952" s="8">
        <v>0</v>
      </c>
      <c r="AF2952" s="8">
        <v>0</v>
      </c>
      <c r="AN2952" s="8">
        <v>0</v>
      </c>
      <c r="AO2952" s="8">
        <v>3</v>
      </c>
    </row>
    <row r="2953" spans="1:41" x14ac:dyDescent="0.25">
      <c r="A2953" s="6" t="str">
        <f>"522-2026000418"</f>
        <v>522-2026000418</v>
      </c>
      <c r="B2953" s="6" t="str">
        <f t="shared" si="678"/>
        <v>EL CORTE</v>
      </c>
      <c r="C2953" s="7">
        <v>46044</v>
      </c>
      <c r="D2953" s="7">
        <v>46049</v>
      </c>
      <c r="E2953" s="8">
        <v>1</v>
      </c>
      <c r="F2953" s="6" t="str">
        <f>"94891501_07026"</f>
        <v>94891501_07026</v>
      </c>
      <c r="G2953" s="6" t="str">
        <f t="shared" si="679"/>
        <v>F310631650000000</v>
      </c>
      <c r="H2953" s="6" t="str">
        <f t="shared" si="680"/>
        <v>PLAR 6316 FD - 500 g</v>
      </c>
      <c r="I2953" s="6" t="str">
        <f>"200901"</f>
        <v>200901</v>
      </c>
      <c r="J2953" s="6" t="str">
        <f>"ROSA 901"</f>
        <v>ROSA 901</v>
      </c>
      <c r="K2953" s="6" t="str">
        <f>"2020"</f>
        <v>2020</v>
      </c>
      <c r="L2953" s="6" t="str">
        <f>"Lençóis"</f>
        <v>Lençóis</v>
      </c>
      <c r="M2953" s="6" t="str">
        <f>"100x150"</f>
        <v>100x150</v>
      </c>
      <c r="N2953" s="6" t="str">
        <f>"5602972281125"</f>
        <v>5602972281125</v>
      </c>
      <c r="O2953" s="8">
        <v>3</v>
      </c>
      <c r="R2953" s="8">
        <v>0</v>
      </c>
      <c r="U2953" s="8">
        <v>0</v>
      </c>
      <c r="X2953" s="8">
        <v>0</v>
      </c>
      <c r="Z2953" s="8">
        <v>0</v>
      </c>
      <c r="AC2953" s="8">
        <v>0</v>
      </c>
      <c r="AF2953" s="8">
        <v>0</v>
      </c>
      <c r="AN2953" s="8">
        <v>0</v>
      </c>
      <c r="AO2953" s="8">
        <v>3</v>
      </c>
    </row>
    <row r="2954" spans="1:41" x14ac:dyDescent="0.25">
      <c r="A2954" s="6" t="str">
        <f>"522-2026000419"</f>
        <v>522-2026000419</v>
      </c>
      <c r="B2954" s="6" t="str">
        <f t="shared" si="678"/>
        <v>EL CORTE</v>
      </c>
      <c r="C2954" s="7">
        <v>46044</v>
      </c>
      <c r="D2954" s="7">
        <v>46049</v>
      </c>
      <c r="E2954" s="8">
        <v>1</v>
      </c>
      <c r="F2954" s="6" t="str">
        <f>"94891701_07026"</f>
        <v>94891701_07026</v>
      </c>
      <c r="G2954" s="6" t="str">
        <f t="shared" si="679"/>
        <v>F310631650000000</v>
      </c>
      <c r="H2954" s="6" t="str">
        <f t="shared" si="680"/>
        <v>PLAR 6316 FD - 500 g</v>
      </c>
      <c r="I2954" s="6" t="str">
        <f>"202575"</f>
        <v>202575</v>
      </c>
      <c r="J2954" s="6" t="str">
        <f>"BEGE 2575"</f>
        <v>BEGE 2575</v>
      </c>
      <c r="K2954" s="6" t="str">
        <f>"0520"</f>
        <v>0520</v>
      </c>
      <c r="L2954" s="6" t="str">
        <f>"Toalhetes"</f>
        <v>Toalhetes</v>
      </c>
      <c r="M2954" s="6" t="str">
        <f>"30x50"</f>
        <v>30x50</v>
      </c>
      <c r="N2954" s="6" t="str">
        <f>"5602972281071"</f>
        <v>5602972281071</v>
      </c>
      <c r="O2954" s="8">
        <v>6</v>
      </c>
      <c r="R2954" s="8">
        <v>0</v>
      </c>
      <c r="U2954" s="8">
        <v>0</v>
      </c>
      <c r="X2954" s="8">
        <v>0</v>
      </c>
      <c r="Z2954" s="8">
        <v>0</v>
      </c>
      <c r="AC2954" s="8">
        <v>0</v>
      </c>
      <c r="AF2954" s="8">
        <v>0</v>
      </c>
      <c r="AN2954" s="8">
        <v>0</v>
      </c>
      <c r="AO2954" s="8">
        <v>6</v>
      </c>
    </row>
    <row r="2955" spans="1:41" x14ac:dyDescent="0.25">
      <c r="A2955" s="6" t="str">
        <f>"522-2026000420"</f>
        <v>522-2026000420</v>
      </c>
      <c r="B2955" s="6" t="str">
        <f t="shared" si="678"/>
        <v>EL CORTE</v>
      </c>
      <c r="C2955" s="7">
        <v>46044</v>
      </c>
      <c r="D2955" s="7">
        <v>46049</v>
      </c>
      <c r="E2955" s="8">
        <v>1</v>
      </c>
      <c r="F2955" s="6" t="str">
        <f>"94890901_07026"</f>
        <v>94890901_07026</v>
      </c>
      <c r="G2955" s="6" t="str">
        <f t="shared" si="679"/>
        <v>F310631650000000</v>
      </c>
      <c r="H2955" s="6" t="str">
        <f t="shared" si="680"/>
        <v>PLAR 6316 FD - 500 g</v>
      </c>
      <c r="I2955" s="6" t="str">
        <f>"202575"</f>
        <v>202575</v>
      </c>
      <c r="J2955" s="6" t="str">
        <f>"BEGE 2575"</f>
        <v>BEGE 2575</v>
      </c>
      <c r="K2955" s="6" t="str">
        <f>"1024"</f>
        <v>1024</v>
      </c>
      <c r="L2955" s="6" t="str">
        <f>"Toalhas"</f>
        <v>Toalhas</v>
      </c>
      <c r="M2955" s="6" t="str">
        <f>"50x100"</f>
        <v>50x100</v>
      </c>
      <c r="N2955" s="6" t="str">
        <f>"5602972281088"</f>
        <v>5602972281088</v>
      </c>
      <c r="O2955" s="8">
        <v>6</v>
      </c>
      <c r="R2955" s="8">
        <v>0</v>
      </c>
      <c r="U2955" s="8">
        <v>0</v>
      </c>
      <c r="X2955" s="8">
        <v>0</v>
      </c>
      <c r="Z2955" s="8">
        <v>0</v>
      </c>
      <c r="AC2955" s="8">
        <v>0</v>
      </c>
      <c r="AF2955" s="8">
        <v>0</v>
      </c>
      <c r="AN2955" s="8">
        <v>6</v>
      </c>
      <c r="AO2955" s="8">
        <v>0</v>
      </c>
    </row>
    <row r="2956" spans="1:41" x14ac:dyDescent="0.25">
      <c r="A2956" s="6" t="str">
        <f>"522-2026000420"</f>
        <v>522-2026000420</v>
      </c>
      <c r="B2956" s="6" t="str">
        <f t="shared" si="678"/>
        <v>EL CORTE</v>
      </c>
      <c r="C2956" s="7">
        <v>46044</v>
      </c>
      <c r="D2956" s="7">
        <v>46049</v>
      </c>
      <c r="E2956" s="8">
        <v>2</v>
      </c>
      <c r="F2956" s="6" t="str">
        <f>"94890901_07026"</f>
        <v>94890901_07026</v>
      </c>
      <c r="G2956" s="6" t="str">
        <f t="shared" si="679"/>
        <v>F310631650000000</v>
      </c>
      <c r="H2956" s="6" t="str">
        <f t="shared" si="680"/>
        <v>PLAR 6316 FD - 500 g</v>
      </c>
      <c r="I2956" s="6" t="str">
        <f>"200510"</f>
        <v>200510</v>
      </c>
      <c r="J2956" s="6" t="str">
        <f>"VERDE 510"</f>
        <v>VERDE 510</v>
      </c>
      <c r="K2956" s="6" t="str">
        <f>"2020"</f>
        <v>2020</v>
      </c>
      <c r="L2956" s="6" t="str">
        <f>"Lençóis"</f>
        <v>Lençóis</v>
      </c>
      <c r="M2956" s="6" t="str">
        <f>"100x150"</f>
        <v>100x150</v>
      </c>
      <c r="N2956" s="6" t="str">
        <f>"5602972281156"</f>
        <v>5602972281156</v>
      </c>
      <c r="O2956" s="8">
        <v>3</v>
      </c>
      <c r="R2956" s="8">
        <v>0</v>
      </c>
      <c r="U2956" s="8">
        <v>0</v>
      </c>
      <c r="X2956" s="8">
        <v>0</v>
      </c>
      <c r="Z2956" s="8">
        <v>0</v>
      </c>
      <c r="AC2956" s="8">
        <v>0</v>
      </c>
      <c r="AF2956" s="8">
        <v>0</v>
      </c>
      <c r="AN2956" s="8">
        <v>0</v>
      </c>
      <c r="AO2956" s="8">
        <v>3</v>
      </c>
    </row>
    <row r="2957" spans="1:41" x14ac:dyDescent="0.25">
      <c r="A2957" s="6" t="str">
        <f>"522-2026000421"</f>
        <v>522-2026000421</v>
      </c>
      <c r="B2957" s="6" t="str">
        <f t="shared" si="678"/>
        <v>EL CORTE</v>
      </c>
      <c r="C2957" s="7">
        <v>46044</v>
      </c>
      <c r="D2957" s="7">
        <v>46049</v>
      </c>
      <c r="E2957" s="8">
        <v>1</v>
      </c>
      <c r="F2957" s="6" t="str">
        <f>"94891201_07026"</f>
        <v>94891201_07026</v>
      </c>
      <c r="G2957" s="6" t="str">
        <f t="shared" si="679"/>
        <v>F310631650000000</v>
      </c>
      <c r="H2957" s="6" t="str">
        <f t="shared" si="680"/>
        <v>PLAR 6316 FD - 500 g</v>
      </c>
      <c r="I2957" s="6" t="str">
        <f>"201855"</f>
        <v>201855</v>
      </c>
      <c r="J2957" s="6" t="str">
        <f>"AZUL 1855"</f>
        <v>AZUL 1855</v>
      </c>
      <c r="K2957" s="6" t="str">
        <f>"2020"</f>
        <v>2020</v>
      </c>
      <c r="L2957" s="6" t="str">
        <f>"Lençóis"</f>
        <v>Lençóis</v>
      </c>
      <c r="M2957" s="6" t="str">
        <f>"100x150"</f>
        <v>100x150</v>
      </c>
      <c r="N2957" s="6" t="str">
        <f>"5602972281064"</f>
        <v>5602972281064</v>
      </c>
      <c r="O2957" s="8">
        <v>6</v>
      </c>
      <c r="R2957" s="8">
        <v>0</v>
      </c>
      <c r="U2957" s="8">
        <v>0</v>
      </c>
      <c r="X2957" s="8">
        <v>0</v>
      </c>
      <c r="Z2957" s="8">
        <v>0</v>
      </c>
      <c r="AC2957" s="8">
        <v>0</v>
      </c>
      <c r="AF2957" s="8">
        <v>0</v>
      </c>
      <c r="AN2957" s="8">
        <v>0</v>
      </c>
      <c r="AO2957" s="8">
        <v>6</v>
      </c>
    </row>
    <row r="2958" spans="1:41" x14ac:dyDescent="0.25">
      <c r="A2958" s="6" t="str">
        <f>"522-2026000422"</f>
        <v>522-2026000422</v>
      </c>
      <c r="B2958" s="6" t="str">
        <f t="shared" si="678"/>
        <v>EL CORTE</v>
      </c>
      <c r="C2958" s="7">
        <v>46044</v>
      </c>
      <c r="D2958" s="7">
        <v>46049</v>
      </c>
      <c r="E2958" s="8">
        <v>1</v>
      </c>
      <c r="F2958" s="6" t="str">
        <f>"94891601_07026"</f>
        <v>94891601_07026</v>
      </c>
      <c r="G2958" s="6" t="str">
        <f t="shared" si="679"/>
        <v>F310631650000000</v>
      </c>
      <c r="H2958" s="6" t="str">
        <f t="shared" si="680"/>
        <v>PLAR 6316 FD - 500 g</v>
      </c>
      <c r="I2958" s="6" t="str">
        <f>"200901"</f>
        <v>200901</v>
      </c>
      <c r="J2958" s="6" t="str">
        <f>"ROSA 901"</f>
        <v>ROSA 901</v>
      </c>
      <c r="K2958" s="6" t="str">
        <f>"1024"</f>
        <v>1024</v>
      </c>
      <c r="L2958" s="6" t="str">
        <f>"Toalhas"</f>
        <v>Toalhas</v>
      </c>
      <c r="M2958" s="6" t="str">
        <f>"50x100"</f>
        <v>50x100</v>
      </c>
      <c r="N2958" s="6" t="str">
        <f>"5602972281118"</f>
        <v>5602972281118</v>
      </c>
      <c r="O2958" s="8">
        <v>6</v>
      </c>
      <c r="R2958" s="8">
        <v>0</v>
      </c>
      <c r="U2958" s="8">
        <v>0</v>
      </c>
      <c r="X2958" s="8">
        <v>0</v>
      </c>
      <c r="Z2958" s="8">
        <v>0</v>
      </c>
      <c r="AC2958" s="8">
        <v>0</v>
      </c>
      <c r="AF2958" s="8">
        <v>0</v>
      </c>
      <c r="AN2958" s="8">
        <v>6</v>
      </c>
      <c r="AO2958" s="8">
        <v>0</v>
      </c>
    </row>
    <row r="2959" spans="1:41" x14ac:dyDescent="0.25">
      <c r="A2959" s="6" t="str">
        <f>"522-2026000422"</f>
        <v>522-2026000422</v>
      </c>
      <c r="B2959" s="6" t="str">
        <f t="shared" si="678"/>
        <v>EL CORTE</v>
      </c>
      <c r="C2959" s="7">
        <v>46044</v>
      </c>
      <c r="D2959" s="7">
        <v>46049</v>
      </c>
      <c r="E2959" s="8">
        <v>2</v>
      </c>
      <c r="F2959" s="6" t="str">
        <f>"94891601_07026"</f>
        <v>94891601_07026</v>
      </c>
      <c r="G2959" s="6" t="str">
        <f t="shared" si="679"/>
        <v>F310631650000000</v>
      </c>
      <c r="H2959" s="6" t="str">
        <f t="shared" si="680"/>
        <v>PLAR 6316 FD - 500 g</v>
      </c>
      <c r="I2959" s="6" t="str">
        <f>"200510"</f>
        <v>200510</v>
      </c>
      <c r="J2959" s="6" t="str">
        <f>"VERDE 510"</f>
        <v>VERDE 510</v>
      </c>
      <c r="K2959" s="6" t="str">
        <f>"2020"</f>
        <v>2020</v>
      </c>
      <c r="L2959" s="6" t="str">
        <f>"Lençóis"</f>
        <v>Lençóis</v>
      </c>
      <c r="M2959" s="6" t="str">
        <f>"100x150"</f>
        <v>100x150</v>
      </c>
      <c r="N2959" s="6" t="str">
        <f>"5602972281156"</f>
        <v>5602972281156</v>
      </c>
      <c r="O2959" s="8">
        <v>3</v>
      </c>
      <c r="R2959" s="8">
        <v>0</v>
      </c>
      <c r="U2959" s="8">
        <v>0</v>
      </c>
      <c r="X2959" s="8">
        <v>0</v>
      </c>
      <c r="Z2959" s="8">
        <v>0</v>
      </c>
      <c r="AC2959" s="8">
        <v>0</v>
      </c>
      <c r="AF2959" s="8">
        <v>0</v>
      </c>
      <c r="AN2959" s="8">
        <v>0</v>
      </c>
      <c r="AO2959" s="8">
        <v>3</v>
      </c>
    </row>
    <row r="2960" spans="1:41" x14ac:dyDescent="0.25">
      <c r="A2960" s="6" t="str">
        <f>"522-2026000423"</f>
        <v>522-2026000423</v>
      </c>
      <c r="B2960" s="6" t="str">
        <f t="shared" si="678"/>
        <v>EL CORTE</v>
      </c>
      <c r="C2960" s="7">
        <v>46044</v>
      </c>
      <c r="D2960" s="7">
        <v>46049</v>
      </c>
      <c r="E2960" s="8">
        <v>1</v>
      </c>
      <c r="F2960" s="6" t="str">
        <f>"94891101_07026"</f>
        <v>94891101_07026</v>
      </c>
      <c r="G2960" s="6" t="str">
        <f t="shared" si="679"/>
        <v>F310631650000000</v>
      </c>
      <c r="H2960" s="6" t="str">
        <f t="shared" si="680"/>
        <v>PLAR 6316 FD - 500 g</v>
      </c>
      <c r="I2960" s="6" t="str">
        <f>"202575"</f>
        <v>202575</v>
      </c>
      <c r="J2960" s="6" t="str">
        <f>"BEGE 2575"</f>
        <v>BEGE 2575</v>
      </c>
      <c r="K2960" s="6" t="str">
        <f>"2020"</f>
        <v>2020</v>
      </c>
      <c r="L2960" s="6" t="str">
        <f>"Lençóis"</f>
        <v>Lençóis</v>
      </c>
      <c r="M2960" s="6" t="str">
        <f>"100x150"</f>
        <v>100x150</v>
      </c>
      <c r="N2960" s="6" t="str">
        <f>"5602972281095"</f>
        <v>5602972281095</v>
      </c>
      <c r="O2960" s="8">
        <v>3</v>
      </c>
      <c r="R2960" s="8">
        <v>0</v>
      </c>
      <c r="U2960" s="8">
        <v>0</v>
      </c>
      <c r="X2960" s="8">
        <v>0</v>
      </c>
      <c r="Z2960" s="8">
        <v>0</v>
      </c>
      <c r="AC2960" s="8">
        <v>0</v>
      </c>
      <c r="AF2960" s="8">
        <v>0</v>
      </c>
      <c r="AN2960" s="8">
        <v>0</v>
      </c>
      <c r="AO2960" s="8">
        <v>3</v>
      </c>
    </row>
    <row r="2961" spans="1:41" x14ac:dyDescent="0.25">
      <c r="A2961" s="6" t="str">
        <f>"522-2026000424"</f>
        <v>522-2026000424</v>
      </c>
      <c r="B2961" s="6" t="str">
        <f t="shared" si="678"/>
        <v>EL CORTE</v>
      </c>
      <c r="C2961" s="7">
        <v>46044</v>
      </c>
      <c r="D2961" s="7">
        <v>46049</v>
      </c>
      <c r="E2961" s="8">
        <v>1</v>
      </c>
      <c r="F2961" s="6" t="str">
        <f>"94891801_07026"</f>
        <v>94891801_07026</v>
      </c>
      <c r="G2961" s="6" t="str">
        <f t="shared" si="679"/>
        <v>F310631650000000</v>
      </c>
      <c r="H2961" s="6" t="str">
        <f t="shared" si="680"/>
        <v>PLAR 6316 FD - 500 g</v>
      </c>
      <c r="I2961" s="6" t="str">
        <f>"200901"</f>
        <v>200901</v>
      </c>
      <c r="J2961" s="6" t="str">
        <f>"ROSA 901"</f>
        <v>ROSA 901</v>
      </c>
      <c r="K2961" s="6" t="str">
        <f>"0520"</f>
        <v>0520</v>
      </c>
      <c r="L2961" s="6" t="str">
        <f>"Toalhetes"</f>
        <v>Toalhetes</v>
      </c>
      <c r="M2961" s="6" t="str">
        <f>"30x50"</f>
        <v>30x50</v>
      </c>
      <c r="N2961" s="6" t="str">
        <f>"5602972281101"</f>
        <v>5602972281101</v>
      </c>
      <c r="O2961" s="8">
        <v>6</v>
      </c>
      <c r="R2961" s="8">
        <v>0</v>
      </c>
      <c r="U2961" s="8">
        <v>0</v>
      </c>
      <c r="X2961" s="8">
        <v>0</v>
      </c>
      <c r="Z2961" s="8">
        <v>0</v>
      </c>
      <c r="AC2961" s="8">
        <v>0</v>
      </c>
      <c r="AF2961" s="8">
        <v>0</v>
      </c>
      <c r="AN2961" s="8">
        <v>0</v>
      </c>
      <c r="AO2961" s="8">
        <v>6</v>
      </c>
    </row>
    <row r="2962" spans="1:41" x14ac:dyDescent="0.25">
      <c r="A2962" s="6" t="str">
        <f>"522-2026000425"</f>
        <v>522-2026000425</v>
      </c>
      <c r="B2962" s="6" t="str">
        <f t="shared" si="678"/>
        <v>EL CORTE</v>
      </c>
      <c r="C2962" s="7">
        <v>46044</v>
      </c>
      <c r="D2962" s="7">
        <v>46049</v>
      </c>
      <c r="E2962" s="8">
        <v>1</v>
      </c>
      <c r="F2962" s="6" t="str">
        <f>"94890701_07026"</f>
        <v>94890701_07026</v>
      </c>
      <c r="G2962" s="6" t="str">
        <f t="shared" si="679"/>
        <v>F310631650000000</v>
      </c>
      <c r="H2962" s="6" t="str">
        <f t="shared" si="680"/>
        <v>PLAR 6316 FD - 500 g</v>
      </c>
      <c r="I2962" s="6" t="str">
        <f>"200901"</f>
        <v>200901</v>
      </c>
      <c r="J2962" s="6" t="str">
        <f>"ROSA 901"</f>
        <v>ROSA 901</v>
      </c>
      <c r="K2962" s="6" t="str">
        <f>"1024"</f>
        <v>1024</v>
      </c>
      <c r="L2962" s="6" t="str">
        <f>"Toalhas"</f>
        <v>Toalhas</v>
      </c>
      <c r="M2962" s="6" t="str">
        <f>"50x100"</f>
        <v>50x100</v>
      </c>
      <c r="N2962" s="6" t="str">
        <f>"5602972281118"</f>
        <v>5602972281118</v>
      </c>
      <c r="O2962" s="8">
        <v>6</v>
      </c>
      <c r="R2962" s="8">
        <v>0</v>
      </c>
      <c r="U2962" s="8">
        <v>0</v>
      </c>
      <c r="X2962" s="8">
        <v>0</v>
      </c>
      <c r="Z2962" s="8">
        <v>0</v>
      </c>
      <c r="AC2962" s="8">
        <v>0</v>
      </c>
      <c r="AF2962" s="8">
        <v>0</v>
      </c>
      <c r="AN2962" s="8">
        <v>6</v>
      </c>
      <c r="AO2962" s="8">
        <v>0</v>
      </c>
    </row>
    <row r="2963" spans="1:41" x14ac:dyDescent="0.25">
      <c r="A2963" s="6" t="str">
        <f>"522-2026000426"</f>
        <v>522-2026000426</v>
      </c>
      <c r="B2963" s="6" t="str">
        <f t="shared" si="678"/>
        <v>EL CORTE</v>
      </c>
      <c r="C2963" s="7">
        <v>46044</v>
      </c>
      <c r="D2963" s="7">
        <v>46049</v>
      </c>
      <c r="E2963" s="8">
        <v>1</v>
      </c>
      <c r="F2963" s="6" t="str">
        <f>"94889601_07026"</f>
        <v>94889601_07026</v>
      </c>
      <c r="G2963" s="6" t="str">
        <f t="shared" si="679"/>
        <v>F310631650000000</v>
      </c>
      <c r="H2963" s="6" t="str">
        <f t="shared" si="680"/>
        <v>PLAR 6316 FD - 500 g</v>
      </c>
      <c r="I2963" s="6" t="str">
        <f>"200510"</f>
        <v>200510</v>
      </c>
      <c r="J2963" s="6" t="str">
        <f>"VERDE 510"</f>
        <v>VERDE 510</v>
      </c>
      <c r="K2963" s="6" t="str">
        <f>"0520"</f>
        <v>0520</v>
      </c>
      <c r="L2963" s="6" t="str">
        <f>"Toalhetes"</f>
        <v>Toalhetes</v>
      </c>
      <c r="M2963" s="6" t="str">
        <f>"30x50"</f>
        <v>30x50</v>
      </c>
      <c r="N2963" s="6" t="str">
        <f>"5602972281132"</f>
        <v>5602972281132</v>
      </c>
      <c r="O2963" s="8">
        <v>6</v>
      </c>
      <c r="R2963" s="8">
        <v>0</v>
      </c>
      <c r="U2963" s="8">
        <v>0</v>
      </c>
      <c r="X2963" s="8">
        <v>0</v>
      </c>
      <c r="Z2963" s="8">
        <v>0</v>
      </c>
      <c r="AC2963" s="8">
        <v>0</v>
      </c>
      <c r="AF2963" s="8">
        <v>0</v>
      </c>
      <c r="AN2963" s="8">
        <v>0</v>
      </c>
      <c r="AO2963" s="8">
        <v>6</v>
      </c>
    </row>
    <row r="2964" spans="1:41" x14ac:dyDescent="0.25">
      <c r="A2964" s="6" t="str">
        <f>"522-2026000427"</f>
        <v>522-2026000427</v>
      </c>
      <c r="B2964" s="6" t="str">
        <f t="shared" si="678"/>
        <v>EL CORTE</v>
      </c>
      <c r="C2964" s="7">
        <v>46044</v>
      </c>
      <c r="D2964" s="7">
        <v>46049</v>
      </c>
      <c r="E2964" s="8">
        <v>1</v>
      </c>
      <c r="F2964" s="6" t="str">
        <f>"94890101_07026"</f>
        <v>94890101_07026</v>
      </c>
      <c r="G2964" s="6" t="str">
        <f t="shared" si="679"/>
        <v>F310631650000000</v>
      </c>
      <c r="H2964" s="6" t="str">
        <f t="shared" si="680"/>
        <v>PLAR 6316 FD - 500 g</v>
      </c>
      <c r="I2964" s="6" t="str">
        <f>"202575"</f>
        <v>202575</v>
      </c>
      <c r="J2964" s="6" t="str">
        <f>"BEGE 2575"</f>
        <v>BEGE 2575</v>
      </c>
      <c r="K2964" s="6" t="str">
        <f>"0520"</f>
        <v>0520</v>
      </c>
      <c r="L2964" s="6" t="str">
        <f>"Toalhetes"</f>
        <v>Toalhetes</v>
      </c>
      <c r="M2964" s="6" t="str">
        <f>"30x50"</f>
        <v>30x50</v>
      </c>
      <c r="N2964" s="6" t="str">
        <f>"5602972281071"</f>
        <v>5602972281071</v>
      </c>
      <c r="O2964" s="8">
        <v>6</v>
      </c>
      <c r="R2964" s="8">
        <v>0</v>
      </c>
      <c r="U2964" s="8">
        <v>0</v>
      </c>
      <c r="X2964" s="8">
        <v>0</v>
      </c>
      <c r="Z2964" s="8">
        <v>0</v>
      </c>
      <c r="AC2964" s="8">
        <v>0</v>
      </c>
      <c r="AF2964" s="8">
        <v>0</v>
      </c>
      <c r="AN2964" s="8">
        <v>0</v>
      </c>
      <c r="AO2964" s="8">
        <v>6</v>
      </c>
    </row>
    <row r="2965" spans="1:41" x14ac:dyDescent="0.25">
      <c r="A2965" s="6" t="str">
        <f>"522-2026000427"</f>
        <v>522-2026000427</v>
      </c>
      <c r="B2965" s="6" t="str">
        <f t="shared" si="678"/>
        <v>EL CORTE</v>
      </c>
      <c r="C2965" s="7">
        <v>46044</v>
      </c>
      <c r="D2965" s="7">
        <v>46049</v>
      </c>
      <c r="E2965" s="8">
        <v>2</v>
      </c>
      <c r="F2965" s="6" t="str">
        <f>"94890101_07026"</f>
        <v>94890101_07026</v>
      </c>
      <c r="G2965" s="6" t="str">
        <f t="shared" si="679"/>
        <v>F310631650000000</v>
      </c>
      <c r="H2965" s="6" t="str">
        <f t="shared" si="680"/>
        <v>PLAR 6316 FD - 500 g</v>
      </c>
      <c r="I2965" s="6" t="str">
        <f>"200901"</f>
        <v>200901</v>
      </c>
      <c r="J2965" s="6" t="str">
        <f>"ROSA 901"</f>
        <v>ROSA 901</v>
      </c>
      <c r="K2965" s="6" t="str">
        <f>"2020"</f>
        <v>2020</v>
      </c>
      <c r="L2965" s="6" t="str">
        <f>"Lençóis"</f>
        <v>Lençóis</v>
      </c>
      <c r="M2965" s="6" t="str">
        <f>"100x150"</f>
        <v>100x150</v>
      </c>
      <c r="N2965" s="6" t="str">
        <f>"5602972281125"</f>
        <v>5602972281125</v>
      </c>
      <c r="O2965" s="8">
        <v>3</v>
      </c>
      <c r="R2965" s="8">
        <v>0</v>
      </c>
      <c r="U2965" s="8">
        <v>0</v>
      </c>
      <c r="X2965" s="8">
        <v>0</v>
      </c>
      <c r="Z2965" s="8">
        <v>0</v>
      </c>
      <c r="AC2965" s="8">
        <v>0</v>
      </c>
      <c r="AF2965" s="8">
        <v>0</v>
      </c>
      <c r="AN2965" s="8">
        <v>0</v>
      </c>
      <c r="AO2965" s="8">
        <v>3</v>
      </c>
    </row>
    <row r="2966" spans="1:41" x14ac:dyDescent="0.25">
      <c r="A2966" s="6" t="str">
        <f>"522-2026000428"</f>
        <v>522-2026000428</v>
      </c>
      <c r="B2966" s="6" t="str">
        <f t="shared" si="678"/>
        <v>EL CORTE</v>
      </c>
      <c r="C2966" s="7">
        <v>46044</v>
      </c>
      <c r="D2966" s="7">
        <v>46049</v>
      </c>
      <c r="E2966" s="8">
        <v>1</v>
      </c>
      <c r="F2966" s="6" t="str">
        <f>"94892001_07026"</f>
        <v>94892001_07026</v>
      </c>
      <c r="G2966" s="6" t="str">
        <f t="shared" si="679"/>
        <v>F310631650000000</v>
      </c>
      <c r="H2966" s="6" t="str">
        <f t="shared" si="680"/>
        <v>PLAR 6316 FD - 500 g</v>
      </c>
      <c r="I2966" s="6" t="str">
        <f>"200510"</f>
        <v>200510</v>
      </c>
      <c r="J2966" s="6" t="str">
        <f>"VERDE 510"</f>
        <v>VERDE 510</v>
      </c>
      <c r="K2966" s="6" t="str">
        <f>"2020"</f>
        <v>2020</v>
      </c>
      <c r="L2966" s="6" t="str">
        <f>"Lençóis"</f>
        <v>Lençóis</v>
      </c>
      <c r="M2966" s="6" t="str">
        <f>"100x150"</f>
        <v>100x150</v>
      </c>
      <c r="N2966" s="6" t="str">
        <f>"5602972281156"</f>
        <v>5602972281156</v>
      </c>
      <c r="O2966" s="8">
        <v>3</v>
      </c>
      <c r="R2966" s="8">
        <v>0</v>
      </c>
      <c r="U2966" s="8">
        <v>0</v>
      </c>
      <c r="X2966" s="8">
        <v>0</v>
      </c>
      <c r="Z2966" s="8">
        <v>0</v>
      </c>
      <c r="AC2966" s="8">
        <v>0</v>
      </c>
      <c r="AF2966" s="8">
        <v>0</v>
      </c>
      <c r="AN2966" s="8">
        <v>0</v>
      </c>
      <c r="AO2966" s="8">
        <v>3</v>
      </c>
    </row>
    <row r="2967" spans="1:41" x14ac:dyDescent="0.25">
      <c r="A2967" s="6" t="str">
        <f>"522-2026000429"</f>
        <v>522-2026000429</v>
      </c>
      <c r="B2967" s="6" t="str">
        <f t="shared" si="678"/>
        <v>EL CORTE</v>
      </c>
      <c r="C2967" s="7">
        <v>46044</v>
      </c>
      <c r="D2967" s="7">
        <v>46049</v>
      </c>
      <c r="E2967" s="8">
        <v>1</v>
      </c>
      <c r="F2967" s="6" t="str">
        <f>"94889801_07026"</f>
        <v>94889801_07026</v>
      </c>
      <c r="G2967" s="6" t="str">
        <f t="shared" si="679"/>
        <v>F310631650000000</v>
      </c>
      <c r="H2967" s="6" t="str">
        <f t="shared" si="680"/>
        <v>PLAR 6316 FD - 500 g</v>
      </c>
      <c r="I2967" s="6" t="str">
        <f>"200901"</f>
        <v>200901</v>
      </c>
      <c r="J2967" s="6" t="str">
        <f>"ROSA 901"</f>
        <v>ROSA 901</v>
      </c>
      <c r="K2967" s="6" t="str">
        <f>"2020"</f>
        <v>2020</v>
      </c>
      <c r="L2967" s="6" t="str">
        <f>"Lençóis"</f>
        <v>Lençóis</v>
      </c>
      <c r="M2967" s="6" t="str">
        <f>"100x150"</f>
        <v>100x150</v>
      </c>
      <c r="N2967" s="6" t="str">
        <f>"5602972281125"</f>
        <v>5602972281125</v>
      </c>
      <c r="O2967" s="8">
        <v>3</v>
      </c>
      <c r="R2967" s="8">
        <v>0</v>
      </c>
      <c r="U2967" s="8">
        <v>0</v>
      </c>
      <c r="X2967" s="8">
        <v>0</v>
      </c>
      <c r="Z2967" s="8">
        <v>0</v>
      </c>
      <c r="AC2967" s="8">
        <v>0</v>
      </c>
      <c r="AF2967" s="8">
        <v>0</v>
      </c>
      <c r="AN2967" s="8">
        <v>0</v>
      </c>
      <c r="AO2967" s="8">
        <v>3</v>
      </c>
    </row>
    <row r="2968" spans="1:41" x14ac:dyDescent="0.25">
      <c r="A2968" s="6" t="str">
        <f>"522-2026000430"</f>
        <v>522-2026000430</v>
      </c>
      <c r="B2968" s="6" t="str">
        <f t="shared" si="678"/>
        <v>EL CORTE</v>
      </c>
      <c r="C2968" s="7">
        <v>46044</v>
      </c>
      <c r="D2968" s="7">
        <v>46049</v>
      </c>
      <c r="E2968" s="8">
        <v>1</v>
      </c>
      <c r="F2968" s="6" t="str">
        <f>"94889501_07026"</f>
        <v>94889501_07026</v>
      </c>
      <c r="G2968" s="6" t="str">
        <f t="shared" si="679"/>
        <v>F310631650000000</v>
      </c>
      <c r="H2968" s="6" t="str">
        <f t="shared" si="680"/>
        <v>PLAR 6316 FD - 500 g</v>
      </c>
      <c r="I2968" s="6" t="str">
        <f>"200510"</f>
        <v>200510</v>
      </c>
      <c r="J2968" s="6" t="str">
        <f>"VERDE 510"</f>
        <v>VERDE 510</v>
      </c>
      <c r="K2968" s="6" t="str">
        <f>"1024"</f>
        <v>1024</v>
      </c>
      <c r="L2968" s="6" t="str">
        <f>"Toalhas"</f>
        <v>Toalhas</v>
      </c>
      <c r="M2968" s="6" t="str">
        <f>"50x100"</f>
        <v>50x100</v>
      </c>
      <c r="N2968" s="6" t="str">
        <f>"5602972281149"</f>
        <v>5602972281149</v>
      </c>
      <c r="O2968" s="8">
        <v>6</v>
      </c>
      <c r="R2968" s="8">
        <v>0</v>
      </c>
      <c r="U2968" s="8">
        <v>0</v>
      </c>
      <c r="X2968" s="8">
        <v>0</v>
      </c>
      <c r="Z2968" s="8">
        <v>0</v>
      </c>
      <c r="AC2968" s="8">
        <v>0</v>
      </c>
      <c r="AF2968" s="8">
        <v>0</v>
      </c>
      <c r="AN2968" s="8">
        <v>6</v>
      </c>
      <c r="AO2968" s="8">
        <v>0</v>
      </c>
    </row>
    <row r="2969" spans="1:41" x14ac:dyDescent="0.25">
      <c r="A2969" s="6" t="str">
        <f>"522-2026000431"</f>
        <v>522-2026000431</v>
      </c>
      <c r="B2969" s="6" t="str">
        <f t="shared" si="678"/>
        <v>EL CORTE</v>
      </c>
      <c r="C2969" s="7">
        <v>46044</v>
      </c>
      <c r="D2969" s="7">
        <v>46049</v>
      </c>
      <c r="E2969" s="8">
        <v>1</v>
      </c>
      <c r="F2969" s="6" t="str">
        <f>"94891401_07026"</f>
        <v>94891401_07026</v>
      </c>
      <c r="G2969" s="6" t="str">
        <f t="shared" si="679"/>
        <v>F310631650000000</v>
      </c>
      <c r="H2969" s="6" t="str">
        <f t="shared" si="680"/>
        <v>PLAR 6316 FD - 500 g</v>
      </c>
      <c r="I2969" s="6" t="str">
        <f>"200901"</f>
        <v>200901</v>
      </c>
      <c r="J2969" s="6" t="str">
        <f>"ROSA 901"</f>
        <v>ROSA 901</v>
      </c>
      <c r="K2969" s="6" t="str">
        <f>"0520"</f>
        <v>0520</v>
      </c>
      <c r="L2969" s="6" t="str">
        <f>"Toalhetes"</f>
        <v>Toalhetes</v>
      </c>
      <c r="M2969" s="6" t="str">
        <f>"30x50"</f>
        <v>30x50</v>
      </c>
      <c r="N2969" s="6" t="str">
        <f>"5602972281101"</f>
        <v>5602972281101</v>
      </c>
      <c r="O2969" s="8">
        <v>6</v>
      </c>
      <c r="R2969" s="8">
        <v>0</v>
      </c>
      <c r="U2969" s="8">
        <v>0</v>
      </c>
      <c r="X2969" s="8">
        <v>0</v>
      </c>
      <c r="Z2969" s="8">
        <v>0</v>
      </c>
      <c r="AC2969" s="8">
        <v>0</v>
      </c>
      <c r="AF2969" s="8">
        <v>0</v>
      </c>
      <c r="AN2969" s="8">
        <v>0</v>
      </c>
      <c r="AO2969" s="8">
        <v>6</v>
      </c>
    </row>
    <row r="2970" spans="1:41" x14ac:dyDescent="0.25">
      <c r="A2970" s="6" t="str">
        <f>"522-2026000432"</f>
        <v>522-2026000432</v>
      </c>
      <c r="B2970" s="6" t="str">
        <f t="shared" si="678"/>
        <v>EL CORTE</v>
      </c>
      <c r="C2970" s="7">
        <v>46045</v>
      </c>
      <c r="D2970" s="7">
        <v>46050</v>
      </c>
      <c r="E2970" s="8">
        <v>1</v>
      </c>
      <c r="F2970" s="6" t="str">
        <f>"94907101_07026"</f>
        <v>94907101_07026</v>
      </c>
      <c r="G2970" s="6" t="str">
        <f t="shared" si="679"/>
        <v>F310631650000000</v>
      </c>
      <c r="H2970" s="6" t="str">
        <f t="shared" si="680"/>
        <v>PLAR 6316 FD - 500 g</v>
      </c>
      <c r="I2970" s="6" t="str">
        <f>"200901"</f>
        <v>200901</v>
      </c>
      <c r="J2970" s="6" t="str">
        <f>"ROSA 901"</f>
        <v>ROSA 901</v>
      </c>
      <c r="K2970" s="6" t="str">
        <f>"2020"</f>
        <v>2020</v>
      </c>
      <c r="L2970" s="6" t="str">
        <f>"Lençóis"</f>
        <v>Lençóis</v>
      </c>
      <c r="M2970" s="6" t="str">
        <f>"100x150"</f>
        <v>100x150</v>
      </c>
      <c r="N2970" s="6" t="str">
        <f>"5602972281125"</f>
        <v>5602972281125</v>
      </c>
      <c r="O2970" s="8">
        <v>3</v>
      </c>
      <c r="R2970" s="8">
        <v>0</v>
      </c>
      <c r="U2970" s="8">
        <v>0</v>
      </c>
      <c r="X2970" s="8">
        <v>0</v>
      </c>
      <c r="Z2970" s="8">
        <v>0</v>
      </c>
      <c r="AC2970" s="8">
        <v>0</v>
      </c>
      <c r="AF2970" s="8">
        <v>0</v>
      </c>
      <c r="AN2970" s="8">
        <v>0</v>
      </c>
      <c r="AO2970" s="8">
        <v>3</v>
      </c>
    </row>
    <row r="2971" spans="1:41" x14ac:dyDescent="0.25">
      <c r="A2971" s="6" t="str">
        <f>"522-2026000433"</f>
        <v>522-2026000433</v>
      </c>
      <c r="B2971" s="6" t="str">
        <f t="shared" si="678"/>
        <v>EL CORTE</v>
      </c>
      <c r="C2971" s="7">
        <v>46045</v>
      </c>
      <c r="D2971" s="7">
        <v>46050</v>
      </c>
      <c r="E2971" s="8">
        <v>1</v>
      </c>
      <c r="F2971" s="6" t="str">
        <f>"94906701_07026"</f>
        <v>94906701_07026</v>
      </c>
      <c r="G2971" s="6" t="str">
        <f t="shared" si="679"/>
        <v>F310631650000000</v>
      </c>
      <c r="H2971" s="6" t="str">
        <f t="shared" si="680"/>
        <v>PLAR 6316 FD - 500 g</v>
      </c>
      <c r="I2971" s="6" t="str">
        <f>"201855"</f>
        <v>201855</v>
      </c>
      <c r="J2971" s="6" t="str">
        <f>"AZUL 1855"</f>
        <v>AZUL 1855</v>
      </c>
      <c r="K2971" s="6" t="str">
        <f>"0520"</f>
        <v>0520</v>
      </c>
      <c r="L2971" s="6" t="str">
        <f>"Toalhetes"</f>
        <v>Toalhetes</v>
      </c>
      <c r="M2971" s="6" t="str">
        <f>"30x50"</f>
        <v>30x50</v>
      </c>
      <c r="N2971" s="6" t="str">
        <f>"5602972281040"</f>
        <v>5602972281040</v>
      </c>
      <c r="O2971" s="8">
        <v>6</v>
      </c>
      <c r="R2971" s="8">
        <v>0</v>
      </c>
      <c r="U2971" s="8">
        <v>0</v>
      </c>
      <c r="X2971" s="8">
        <v>0</v>
      </c>
      <c r="Z2971" s="8">
        <v>0</v>
      </c>
      <c r="AC2971" s="8">
        <v>0</v>
      </c>
      <c r="AF2971" s="8">
        <v>0</v>
      </c>
      <c r="AN2971" s="8">
        <v>0</v>
      </c>
      <c r="AO2971" s="8">
        <v>6</v>
      </c>
    </row>
    <row r="2972" spans="1:41" x14ac:dyDescent="0.25">
      <c r="A2972" s="6" t="str">
        <f>"522-2026000433"</f>
        <v>522-2026000433</v>
      </c>
      <c r="B2972" s="6" t="str">
        <f t="shared" si="678"/>
        <v>EL CORTE</v>
      </c>
      <c r="C2972" s="7">
        <v>46045</v>
      </c>
      <c r="D2972" s="7">
        <v>46050</v>
      </c>
      <c r="E2972" s="8">
        <v>2</v>
      </c>
      <c r="F2972" s="6" t="str">
        <f>"94906701_07026"</f>
        <v>94906701_07026</v>
      </c>
      <c r="G2972" s="6" t="str">
        <f t="shared" si="679"/>
        <v>F310631650000000</v>
      </c>
      <c r="H2972" s="6" t="str">
        <f t="shared" si="680"/>
        <v>PLAR 6316 FD - 500 g</v>
      </c>
      <c r="I2972" s="6" t="str">
        <f>"202575"</f>
        <v>202575</v>
      </c>
      <c r="J2972" s="6" t="str">
        <f>"BEGE 2575"</f>
        <v>BEGE 2575</v>
      </c>
      <c r="K2972" s="6" t="str">
        <f>"2020"</f>
        <v>2020</v>
      </c>
      <c r="L2972" s="6" t="str">
        <f>"Lençóis"</f>
        <v>Lençóis</v>
      </c>
      <c r="M2972" s="6" t="str">
        <f>"100x150"</f>
        <v>100x150</v>
      </c>
      <c r="N2972" s="6" t="str">
        <f>"5602972281095"</f>
        <v>5602972281095</v>
      </c>
      <c r="O2972" s="8">
        <v>3</v>
      </c>
      <c r="R2972" s="8">
        <v>0</v>
      </c>
      <c r="U2972" s="8">
        <v>0</v>
      </c>
      <c r="X2972" s="8">
        <v>0</v>
      </c>
      <c r="Z2972" s="8">
        <v>0</v>
      </c>
      <c r="AC2972" s="8">
        <v>0</v>
      </c>
      <c r="AF2972" s="8">
        <v>0</v>
      </c>
      <c r="AN2972" s="8">
        <v>0</v>
      </c>
      <c r="AO2972" s="8">
        <v>3</v>
      </c>
    </row>
    <row r="2973" spans="1:41" x14ac:dyDescent="0.25">
      <c r="A2973" s="6" t="str">
        <f>"522-2026000433"</f>
        <v>522-2026000433</v>
      </c>
      <c r="B2973" s="6" t="str">
        <f t="shared" si="678"/>
        <v>EL CORTE</v>
      </c>
      <c r="C2973" s="7">
        <v>46045</v>
      </c>
      <c r="D2973" s="7">
        <v>46050</v>
      </c>
      <c r="E2973" s="8">
        <v>3</v>
      </c>
      <c r="F2973" s="6" t="str">
        <f>"94906701_07026"</f>
        <v>94906701_07026</v>
      </c>
      <c r="G2973" s="6" t="str">
        <f t="shared" si="679"/>
        <v>F310631650000000</v>
      </c>
      <c r="H2973" s="6" t="str">
        <f t="shared" si="680"/>
        <v>PLAR 6316 FD - 500 g</v>
      </c>
      <c r="I2973" s="6" t="str">
        <f>"200901"</f>
        <v>200901</v>
      </c>
      <c r="J2973" s="6" t="str">
        <f>"ROSA 901"</f>
        <v>ROSA 901</v>
      </c>
      <c r="K2973" s="6" t="str">
        <f>"0520"</f>
        <v>0520</v>
      </c>
      <c r="L2973" s="6" t="str">
        <f>"Toalhetes"</f>
        <v>Toalhetes</v>
      </c>
      <c r="M2973" s="6" t="str">
        <f>"30x50"</f>
        <v>30x50</v>
      </c>
      <c r="N2973" s="6" t="str">
        <f>"5602972281101"</f>
        <v>5602972281101</v>
      </c>
      <c r="O2973" s="8">
        <v>6</v>
      </c>
      <c r="R2973" s="8">
        <v>0</v>
      </c>
      <c r="U2973" s="8">
        <v>0</v>
      </c>
      <c r="X2973" s="8">
        <v>0</v>
      </c>
      <c r="Z2973" s="8">
        <v>0</v>
      </c>
      <c r="AC2973" s="8">
        <v>0</v>
      </c>
      <c r="AF2973" s="8">
        <v>0</v>
      </c>
      <c r="AN2973" s="8">
        <v>0</v>
      </c>
      <c r="AO2973" s="8">
        <v>6</v>
      </c>
    </row>
    <row r="2974" spans="1:41" x14ac:dyDescent="0.25">
      <c r="A2974" s="6" t="str">
        <f>"522-2026000433"</f>
        <v>522-2026000433</v>
      </c>
      <c r="B2974" s="6" t="str">
        <f t="shared" si="678"/>
        <v>EL CORTE</v>
      </c>
      <c r="C2974" s="7">
        <v>46045</v>
      </c>
      <c r="D2974" s="7">
        <v>46050</v>
      </c>
      <c r="E2974" s="8">
        <v>4</v>
      </c>
      <c r="F2974" s="6" t="str">
        <f>"94906701_07026"</f>
        <v>94906701_07026</v>
      </c>
      <c r="G2974" s="6" t="str">
        <f t="shared" si="679"/>
        <v>F310631650000000</v>
      </c>
      <c r="H2974" s="6" t="str">
        <f t="shared" si="680"/>
        <v>PLAR 6316 FD - 500 g</v>
      </c>
      <c r="I2974" s="6" t="str">
        <f>"200901"</f>
        <v>200901</v>
      </c>
      <c r="J2974" s="6" t="str">
        <f>"ROSA 901"</f>
        <v>ROSA 901</v>
      </c>
      <c r="K2974" s="6" t="str">
        <f>"2020"</f>
        <v>2020</v>
      </c>
      <c r="L2974" s="6" t="str">
        <f>"Lençóis"</f>
        <v>Lençóis</v>
      </c>
      <c r="M2974" s="6" t="str">
        <f>"100x150"</f>
        <v>100x150</v>
      </c>
      <c r="N2974" s="6" t="str">
        <f>"5602972281125"</f>
        <v>5602972281125</v>
      </c>
      <c r="O2974" s="8">
        <v>6</v>
      </c>
      <c r="R2974" s="8">
        <v>0</v>
      </c>
      <c r="U2974" s="8">
        <v>0</v>
      </c>
      <c r="X2974" s="8">
        <v>0</v>
      </c>
      <c r="Z2974" s="8">
        <v>0</v>
      </c>
      <c r="AC2974" s="8">
        <v>0</v>
      </c>
      <c r="AF2974" s="8">
        <v>0</v>
      </c>
      <c r="AN2974" s="8">
        <v>0</v>
      </c>
      <c r="AO2974" s="8">
        <v>6</v>
      </c>
    </row>
    <row r="2975" spans="1:41" x14ac:dyDescent="0.25">
      <c r="A2975" s="6" t="str">
        <f>"522-2026000433"</f>
        <v>522-2026000433</v>
      </c>
      <c r="B2975" s="6" t="str">
        <f t="shared" si="678"/>
        <v>EL CORTE</v>
      </c>
      <c r="C2975" s="7">
        <v>46045</v>
      </c>
      <c r="D2975" s="7">
        <v>46050</v>
      </c>
      <c r="E2975" s="8">
        <v>5</v>
      </c>
      <c r="F2975" s="6" t="str">
        <f>"94906701_07026"</f>
        <v>94906701_07026</v>
      </c>
      <c r="G2975" s="6" t="str">
        <f t="shared" si="679"/>
        <v>F310631650000000</v>
      </c>
      <c r="H2975" s="6" t="str">
        <f t="shared" si="680"/>
        <v>PLAR 6316 FD - 500 g</v>
      </c>
      <c r="I2975" s="6" t="str">
        <f>"200510"</f>
        <v>200510</v>
      </c>
      <c r="J2975" s="6" t="str">
        <f>"VERDE 510"</f>
        <v>VERDE 510</v>
      </c>
      <c r="K2975" s="6" t="str">
        <f>"2020"</f>
        <v>2020</v>
      </c>
      <c r="L2975" s="6" t="str">
        <f>"Lençóis"</f>
        <v>Lençóis</v>
      </c>
      <c r="M2975" s="6" t="str">
        <f>"100x150"</f>
        <v>100x150</v>
      </c>
      <c r="N2975" s="6" t="str">
        <f>"5602972281156"</f>
        <v>5602972281156</v>
      </c>
      <c r="O2975" s="8">
        <v>6</v>
      </c>
      <c r="R2975" s="8">
        <v>0</v>
      </c>
      <c r="U2975" s="8">
        <v>0</v>
      </c>
      <c r="X2975" s="8">
        <v>0</v>
      </c>
      <c r="Z2975" s="8">
        <v>0</v>
      </c>
      <c r="AC2975" s="8">
        <v>0</v>
      </c>
      <c r="AF2975" s="8">
        <v>0</v>
      </c>
      <c r="AN2975" s="8">
        <v>0</v>
      </c>
      <c r="AO2975" s="8">
        <v>6</v>
      </c>
    </row>
    <row r="2976" spans="1:41" x14ac:dyDescent="0.25">
      <c r="A2976" s="6" t="str">
        <f>"522-2026000434"</f>
        <v>522-2026000434</v>
      </c>
      <c r="B2976" s="6" t="str">
        <f t="shared" si="678"/>
        <v>EL CORTE</v>
      </c>
      <c r="C2976" s="7">
        <v>46045</v>
      </c>
      <c r="D2976" s="7">
        <v>46050</v>
      </c>
      <c r="E2976" s="8">
        <v>1</v>
      </c>
      <c r="F2976" s="6" t="str">
        <f>"94907301_07026"</f>
        <v>94907301_07026</v>
      </c>
      <c r="G2976" s="6" t="str">
        <f t="shared" si="679"/>
        <v>F310631650000000</v>
      </c>
      <c r="H2976" s="6" t="str">
        <f t="shared" si="680"/>
        <v>PLAR 6316 FD - 500 g</v>
      </c>
      <c r="I2976" s="6" t="str">
        <f>"201855"</f>
        <v>201855</v>
      </c>
      <c r="J2976" s="6" t="str">
        <f>"AZUL 1855"</f>
        <v>AZUL 1855</v>
      </c>
      <c r="K2976" s="6" t="str">
        <f>"2020"</f>
        <v>2020</v>
      </c>
      <c r="L2976" s="6" t="str">
        <f>"Lençóis"</f>
        <v>Lençóis</v>
      </c>
      <c r="M2976" s="6" t="str">
        <f>"100x150"</f>
        <v>100x150</v>
      </c>
      <c r="N2976" s="6" t="str">
        <f>"5602972281064"</f>
        <v>5602972281064</v>
      </c>
      <c r="O2976" s="8">
        <v>3</v>
      </c>
      <c r="R2976" s="8">
        <v>0</v>
      </c>
      <c r="U2976" s="8">
        <v>0</v>
      </c>
      <c r="X2976" s="8">
        <v>0</v>
      </c>
      <c r="Z2976" s="8">
        <v>0</v>
      </c>
      <c r="AC2976" s="8">
        <v>0</v>
      </c>
      <c r="AF2976" s="8">
        <v>0</v>
      </c>
      <c r="AN2976" s="8">
        <v>0</v>
      </c>
      <c r="AO2976" s="8">
        <v>3</v>
      </c>
    </row>
    <row r="2977" spans="1:41" x14ac:dyDescent="0.25">
      <c r="A2977" s="6" t="str">
        <f>"522-2026000434"</f>
        <v>522-2026000434</v>
      </c>
      <c r="B2977" s="6" t="str">
        <f t="shared" si="678"/>
        <v>EL CORTE</v>
      </c>
      <c r="C2977" s="7">
        <v>46045</v>
      </c>
      <c r="D2977" s="7">
        <v>46050</v>
      </c>
      <c r="E2977" s="8">
        <v>2</v>
      </c>
      <c r="F2977" s="6" t="str">
        <f>"94907301_07026"</f>
        <v>94907301_07026</v>
      </c>
      <c r="G2977" s="6" t="str">
        <f t="shared" si="679"/>
        <v>F310631650000000</v>
      </c>
      <c r="H2977" s="6" t="str">
        <f t="shared" si="680"/>
        <v>PLAR 6316 FD - 500 g</v>
      </c>
      <c r="I2977" s="6" t="str">
        <f>"202575"</f>
        <v>202575</v>
      </c>
      <c r="J2977" s="6" t="str">
        <f>"BEGE 2575"</f>
        <v>BEGE 2575</v>
      </c>
      <c r="K2977" s="6" t="str">
        <f>"1024"</f>
        <v>1024</v>
      </c>
      <c r="L2977" s="6" t="str">
        <f>"Toalhas"</f>
        <v>Toalhas</v>
      </c>
      <c r="M2977" s="6" t="str">
        <f>"50x100"</f>
        <v>50x100</v>
      </c>
      <c r="N2977" s="6" t="str">
        <f>"5602972281088"</f>
        <v>5602972281088</v>
      </c>
      <c r="O2977" s="8">
        <v>6</v>
      </c>
      <c r="R2977" s="8">
        <v>0</v>
      </c>
      <c r="U2977" s="8">
        <v>0</v>
      </c>
      <c r="X2977" s="8">
        <v>0</v>
      </c>
      <c r="Z2977" s="8">
        <v>0</v>
      </c>
      <c r="AC2977" s="8">
        <v>0</v>
      </c>
      <c r="AF2977" s="8">
        <v>0</v>
      </c>
      <c r="AN2977" s="8">
        <v>6</v>
      </c>
      <c r="AO2977" s="8">
        <v>0</v>
      </c>
    </row>
    <row r="2978" spans="1:41" x14ac:dyDescent="0.25">
      <c r="A2978" s="6" t="str">
        <f>"522-2026000435"</f>
        <v>522-2026000435</v>
      </c>
      <c r="B2978" s="6" t="str">
        <f t="shared" si="678"/>
        <v>EL CORTE</v>
      </c>
      <c r="C2978" s="7">
        <v>46045</v>
      </c>
      <c r="D2978" s="7">
        <v>46050</v>
      </c>
      <c r="E2978" s="8">
        <v>1</v>
      </c>
      <c r="F2978" s="6" t="str">
        <f>"94907001_07026"</f>
        <v>94907001_07026</v>
      </c>
      <c r="G2978" s="6" t="str">
        <f t="shared" si="679"/>
        <v>F310631650000000</v>
      </c>
      <c r="H2978" s="6" t="str">
        <f t="shared" si="680"/>
        <v>PLAR 6316 FD - 500 g</v>
      </c>
      <c r="I2978" s="6" t="str">
        <f>"202575"</f>
        <v>202575</v>
      </c>
      <c r="J2978" s="6" t="str">
        <f>"BEGE 2575"</f>
        <v>BEGE 2575</v>
      </c>
      <c r="K2978" s="6" t="str">
        <f>"2020"</f>
        <v>2020</v>
      </c>
      <c r="L2978" s="6" t="str">
        <f>"Lençóis"</f>
        <v>Lençóis</v>
      </c>
      <c r="M2978" s="6" t="str">
        <f>"100x150"</f>
        <v>100x150</v>
      </c>
      <c r="N2978" s="6" t="str">
        <f>"5602972281095"</f>
        <v>5602972281095</v>
      </c>
      <c r="O2978" s="8">
        <v>3</v>
      </c>
      <c r="R2978" s="8">
        <v>0</v>
      </c>
      <c r="U2978" s="8">
        <v>0</v>
      </c>
      <c r="X2978" s="8">
        <v>0</v>
      </c>
      <c r="Z2978" s="8">
        <v>0</v>
      </c>
      <c r="AC2978" s="8">
        <v>0</v>
      </c>
      <c r="AF2978" s="8">
        <v>0</v>
      </c>
      <c r="AN2978" s="8">
        <v>0</v>
      </c>
      <c r="AO2978" s="8">
        <v>3</v>
      </c>
    </row>
    <row r="2979" spans="1:41" x14ac:dyDescent="0.25">
      <c r="A2979" s="6" t="str">
        <f>"522-2026000436"</f>
        <v>522-2026000436</v>
      </c>
      <c r="B2979" s="6" t="str">
        <f t="shared" si="678"/>
        <v>EL CORTE</v>
      </c>
      <c r="C2979" s="7">
        <v>46045</v>
      </c>
      <c r="D2979" s="7">
        <v>46050</v>
      </c>
      <c r="E2979" s="8">
        <v>1</v>
      </c>
      <c r="F2979" s="6" t="str">
        <f>"94907201_07026"</f>
        <v>94907201_07026</v>
      </c>
      <c r="G2979" s="6" t="str">
        <f t="shared" si="679"/>
        <v>F310631650000000</v>
      </c>
      <c r="H2979" s="6" t="str">
        <f t="shared" si="680"/>
        <v>PLAR 6316 FD - 500 g</v>
      </c>
      <c r="I2979" s="6" t="str">
        <f>"201855"</f>
        <v>201855</v>
      </c>
      <c r="J2979" s="6" t="str">
        <f>"AZUL 1855"</f>
        <v>AZUL 1855</v>
      </c>
      <c r="K2979" s="6" t="str">
        <f>"2020"</f>
        <v>2020</v>
      </c>
      <c r="L2979" s="6" t="str">
        <f>"Lençóis"</f>
        <v>Lençóis</v>
      </c>
      <c r="M2979" s="6" t="str">
        <f>"100x150"</f>
        <v>100x150</v>
      </c>
      <c r="N2979" s="6" t="str">
        <f>"5602972281064"</f>
        <v>5602972281064</v>
      </c>
      <c r="O2979" s="8">
        <v>3</v>
      </c>
      <c r="R2979" s="8">
        <v>0</v>
      </c>
      <c r="U2979" s="8">
        <v>0</v>
      </c>
      <c r="X2979" s="8">
        <v>0</v>
      </c>
      <c r="Z2979" s="8">
        <v>0</v>
      </c>
      <c r="AC2979" s="8">
        <v>0</v>
      </c>
      <c r="AF2979" s="8">
        <v>0</v>
      </c>
      <c r="AN2979" s="8">
        <v>0</v>
      </c>
      <c r="AO2979" s="8">
        <v>3</v>
      </c>
    </row>
    <row r="2980" spans="1:41" x14ac:dyDescent="0.25">
      <c r="A2980" s="6" t="str">
        <f>"522-2026000436"</f>
        <v>522-2026000436</v>
      </c>
      <c r="B2980" s="6" t="str">
        <f t="shared" si="678"/>
        <v>EL CORTE</v>
      </c>
      <c r="C2980" s="7">
        <v>46045</v>
      </c>
      <c r="D2980" s="7">
        <v>46050</v>
      </c>
      <c r="E2980" s="8">
        <v>2</v>
      </c>
      <c r="F2980" s="6" t="str">
        <f>"94907201_07026"</f>
        <v>94907201_07026</v>
      </c>
      <c r="G2980" s="6" t="str">
        <f t="shared" si="679"/>
        <v>F310631650000000</v>
      </c>
      <c r="H2980" s="6" t="str">
        <f t="shared" si="680"/>
        <v>PLAR 6316 FD - 500 g</v>
      </c>
      <c r="I2980" s="6" t="str">
        <f>"202575"</f>
        <v>202575</v>
      </c>
      <c r="J2980" s="6" t="str">
        <f>"BEGE 2575"</f>
        <v>BEGE 2575</v>
      </c>
      <c r="K2980" s="6" t="str">
        <f>"2020"</f>
        <v>2020</v>
      </c>
      <c r="L2980" s="6" t="str">
        <f>"Lençóis"</f>
        <v>Lençóis</v>
      </c>
      <c r="M2980" s="6" t="str">
        <f>"100x150"</f>
        <v>100x150</v>
      </c>
      <c r="N2980" s="6" t="str">
        <f>"5602972281095"</f>
        <v>5602972281095</v>
      </c>
      <c r="O2980" s="8">
        <v>6</v>
      </c>
      <c r="R2980" s="8">
        <v>0</v>
      </c>
      <c r="U2980" s="8">
        <v>0</v>
      </c>
      <c r="X2980" s="8">
        <v>0</v>
      </c>
      <c r="Z2980" s="8">
        <v>0</v>
      </c>
      <c r="AC2980" s="8">
        <v>0</v>
      </c>
      <c r="AF2980" s="8">
        <v>0</v>
      </c>
      <c r="AN2980" s="8">
        <v>0</v>
      </c>
      <c r="AO2980" s="8">
        <v>6</v>
      </c>
    </row>
    <row r="2981" spans="1:41" x14ac:dyDescent="0.25">
      <c r="A2981" s="6" t="str">
        <f>"522-2026000436"</f>
        <v>522-2026000436</v>
      </c>
      <c r="B2981" s="6" t="str">
        <f t="shared" si="678"/>
        <v>EL CORTE</v>
      </c>
      <c r="C2981" s="7">
        <v>46045</v>
      </c>
      <c r="D2981" s="7">
        <v>46050</v>
      </c>
      <c r="E2981" s="8">
        <v>3</v>
      </c>
      <c r="F2981" s="6" t="str">
        <f>"94907201_07026"</f>
        <v>94907201_07026</v>
      </c>
      <c r="G2981" s="6" t="str">
        <f t="shared" si="679"/>
        <v>F310631650000000</v>
      </c>
      <c r="H2981" s="6" t="str">
        <f t="shared" si="680"/>
        <v>PLAR 6316 FD - 500 g</v>
      </c>
      <c r="I2981" s="6" t="str">
        <f>"200901"</f>
        <v>200901</v>
      </c>
      <c r="J2981" s="6" t="str">
        <f>"ROSA 901"</f>
        <v>ROSA 901</v>
      </c>
      <c r="K2981" s="6" t="str">
        <f>"2020"</f>
        <v>2020</v>
      </c>
      <c r="L2981" s="6" t="str">
        <f>"Lençóis"</f>
        <v>Lençóis</v>
      </c>
      <c r="M2981" s="6" t="str">
        <f>"100x150"</f>
        <v>100x150</v>
      </c>
      <c r="N2981" s="6" t="str">
        <f>"5602972281125"</f>
        <v>5602972281125</v>
      </c>
      <c r="O2981" s="8">
        <v>6</v>
      </c>
      <c r="R2981" s="8">
        <v>0</v>
      </c>
      <c r="U2981" s="8">
        <v>0</v>
      </c>
      <c r="X2981" s="8">
        <v>0</v>
      </c>
      <c r="Z2981" s="8">
        <v>0</v>
      </c>
      <c r="AC2981" s="8">
        <v>0</v>
      </c>
      <c r="AF2981" s="8">
        <v>0</v>
      </c>
      <c r="AN2981" s="8">
        <v>0</v>
      </c>
      <c r="AO2981" s="8">
        <v>6</v>
      </c>
    </row>
    <row r="2982" spans="1:41" x14ac:dyDescent="0.25">
      <c r="A2982" s="6" t="str">
        <f>"522-2026000437"</f>
        <v>522-2026000437</v>
      </c>
      <c r="B2982" s="6" t="str">
        <f t="shared" si="678"/>
        <v>EL CORTE</v>
      </c>
      <c r="C2982" s="7">
        <v>46045</v>
      </c>
      <c r="D2982" s="7">
        <v>46050</v>
      </c>
      <c r="E2982" s="8">
        <v>1</v>
      </c>
      <c r="F2982" s="6" t="str">
        <f>"94906401_07026"</f>
        <v>94906401_07026</v>
      </c>
      <c r="G2982" s="6" t="str">
        <f t="shared" si="679"/>
        <v>F310631650000000</v>
      </c>
      <c r="H2982" s="6" t="str">
        <f t="shared" si="680"/>
        <v>PLAR 6316 FD - 500 g</v>
      </c>
      <c r="I2982" s="6" t="str">
        <f>"201855"</f>
        <v>201855</v>
      </c>
      <c r="J2982" s="6" t="str">
        <f>"AZUL 1855"</f>
        <v>AZUL 1855</v>
      </c>
      <c r="K2982" s="6" t="str">
        <f>"2020"</f>
        <v>2020</v>
      </c>
      <c r="L2982" s="6" t="str">
        <f>"Lençóis"</f>
        <v>Lençóis</v>
      </c>
      <c r="M2982" s="6" t="str">
        <f>"100x150"</f>
        <v>100x150</v>
      </c>
      <c r="N2982" s="6" t="str">
        <f>"5602972281064"</f>
        <v>5602972281064</v>
      </c>
      <c r="O2982" s="8">
        <v>3</v>
      </c>
      <c r="R2982" s="8">
        <v>0</v>
      </c>
      <c r="U2982" s="8">
        <v>0</v>
      </c>
      <c r="X2982" s="8">
        <v>0</v>
      </c>
      <c r="Z2982" s="8">
        <v>0</v>
      </c>
      <c r="AC2982" s="8">
        <v>0</v>
      </c>
      <c r="AF2982" s="8">
        <v>0</v>
      </c>
      <c r="AN2982" s="8">
        <v>0</v>
      </c>
      <c r="AO2982" s="8">
        <v>3</v>
      </c>
    </row>
    <row r="2983" spans="1:41" x14ac:dyDescent="0.25">
      <c r="A2983" s="6" t="str">
        <f>"522-2026000438"</f>
        <v>522-2026000438</v>
      </c>
      <c r="B2983" s="6" t="str">
        <f t="shared" si="678"/>
        <v>EL CORTE</v>
      </c>
      <c r="C2983" s="7">
        <v>46045</v>
      </c>
      <c r="D2983" s="7">
        <v>46050</v>
      </c>
      <c r="E2983" s="8">
        <v>1</v>
      </c>
      <c r="F2983" s="6" t="str">
        <f>"94907701_07026"</f>
        <v>94907701_07026</v>
      </c>
      <c r="G2983" s="6" t="str">
        <f t="shared" si="679"/>
        <v>F310631650000000</v>
      </c>
      <c r="H2983" s="6" t="str">
        <f t="shared" si="680"/>
        <v>PLAR 6316 FD - 500 g</v>
      </c>
      <c r="I2983" s="6" t="str">
        <f>"201855"</f>
        <v>201855</v>
      </c>
      <c r="J2983" s="6" t="str">
        <f>"AZUL 1855"</f>
        <v>AZUL 1855</v>
      </c>
      <c r="K2983" s="6" t="str">
        <f>"0520"</f>
        <v>0520</v>
      </c>
      <c r="L2983" s="6" t="str">
        <f>"Toalhetes"</f>
        <v>Toalhetes</v>
      </c>
      <c r="M2983" s="6" t="str">
        <f>"30x50"</f>
        <v>30x50</v>
      </c>
      <c r="N2983" s="6" t="str">
        <f>"5602972281040"</f>
        <v>5602972281040</v>
      </c>
      <c r="O2983" s="8">
        <v>6</v>
      </c>
      <c r="R2983" s="8">
        <v>0</v>
      </c>
      <c r="U2983" s="8">
        <v>0</v>
      </c>
      <c r="X2983" s="8">
        <v>0</v>
      </c>
      <c r="Z2983" s="8">
        <v>0</v>
      </c>
      <c r="AC2983" s="8">
        <v>0</v>
      </c>
      <c r="AF2983" s="8">
        <v>0</v>
      </c>
      <c r="AN2983" s="8">
        <v>0</v>
      </c>
      <c r="AO2983" s="8">
        <v>6</v>
      </c>
    </row>
    <row r="2984" spans="1:41" x14ac:dyDescent="0.25">
      <c r="A2984" s="6" t="str">
        <f>"522-2026000438"</f>
        <v>522-2026000438</v>
      </c>
      <c r="B2984" s="6" t="str">
        <f t="shared" si="678"/>
        <v>EL CORTE</v>
      </c>
      <c r="C2984" s="7">
        <v>46045</v>
      </c>
      <c r="D2984" s="7">
        <v>46050</v>
      </c>
      <c r="E2984" s="8">
        <v>2</v>
      </c>
      <c r="F2984" s="6" t="str">
        <f>"94907701_07026"</f>
        <v>94907701_07026</v>
      </c>
      <c r="G2984" s="6" t="str">
        <f t="shared" si="679"/>
        <v>F310631650000000</v>
      </c>
      <c r="H2984" s="6" t="str">
        <f t="shared" si="680"/>
        <v>PLAR 6316 FD - 500 g</v>
      </c>
      <c r="I2984" s="6" t="str">
        <f>"200510"</f>
        <v>200510</v>
      </c>
      <c r="J2984" s="6" t="str">
        <f>"VERDE 510"</f>
        <v>VERDE 510</v>
      </c>
      <c r="K2984" s="6" t="str">
        <f>"2020"</f>
        <v>2020</v>
      </c>
      <c r="L2984" s="6" t="str">
        <f>"Lençóis"</f>
        <v>Lençóis</v>
      </c>
      <c r="M2984" s="6" t="str">
        <f>"100x150"</f>
        <v>100x150</v>
      </c>
      <c r="N2984" s="6" t="str">
        <f>"5602972281156"</f>
        <v>5602972281156</v>
      </c>
      <c r="O2984" s="8">
        <v>6</v>
      </c>
      <c r="R2984" s="8">
        <v>0</v>
      </c>
      <c r="U2984" s="8">
        <v>0</v>
      </c>
      <c r="X2984" s="8">
        <v>0</v>
      </c>
      <c r="Z2984" s="8">
        <v>0</v>
      </c>
      <c r="AC2984" s="8">
        <v>0</v>
      </c>
      <c r="AF2984" s="8">
        <v>0</v>
      </c>
      <c r="AN2984" s="8">
        <v>0</v>
      </c>
      <c r="AO2984" s="8">
        <v>6</v>
      </c>
    </row>
    <row r="2985" spans="1:41" x14ac:dyDescent="0.25">
      <c r="A2985" s="6" t="str">
        <f>"522-2026000439"</f>
        <v>522-2026000439</v>
      </c>
      <c r="B2985" s="6" t="str">
        <f t="shared" si="678"/>
        <v>EL CORTE</v>
      </c>
      <c r="C2985" s="7">
        <v>46045</v>
      </c>
      <c r="D2985" s="7">
        <v>46050</v>
      </c>
      <c r="E2985" s="8">
        <v>1</v>
      </c>
      <c r="F2985" s="6" t="str">
        <f>"94907801_07026"</f>
        <v>94907801_07026</v>
      </c>
      <c r="G2985" s="6" t="str">
        <f t="shared" si="679"/>
        <v>F310631650000000</v>
      </c>
      <c r="H2985" s="6" t="str">
        <f t="shared" si="680"/>
        <v>PLAR 6316 FD - 500 g</v>
      </c>
      <c r="I2985" s="6" t="str">
        <f>"200901"</f>
        <v>200901</v>
      </c>
      <c r="J2985" s="6" t="str">
        <f>"ROSA 901"</f>
        <v>ROSA 901</v>
      </c>
      <c r="K2985" s="6" t="str">
        <f>"1024"</f>
        <v>1024</v>
      </c>
      <c r="L2985" s="6" t="str">
        <f>"Toalhas"</f>
        <v>Toalhas</v>
      </c>
      <c r="M2985" s="6" t="str">
        <f>"50x100"</f>
        <v>50x100</v>
      </c>
      <c r="N2985" s="6" t="str">
        <f>"5602972281118"</f>
        <v>5602972281118</v>
      </c>
      <c r="O2985" s="8">
        <v>6</v>
      </c>
      <c r="R2985" s="8">
        <v>0</v>
      </c>
      <c r="U2985" s="8">
        <v>0</v>
      </c>
      <c r="X2985" s="8">
        <v>0</v>
      </c>
      <c r="Z2985" s="8">
        <v>0</v>
      </c>
      <c r="AC2985" s="8">
        <v>0</v>
      </c>
      <c r="AF2985" s="8">
        <v>0</v>
      </c>
      <c r="AN2985" s="8">
        <v>6</v>
      </c>
      <c r="AO2985" s="8">
        <v>0</v>
      </c>
    </row>
    <row r="2986" spans="1:41" x14ac:dyDescent="0.25">
      <c r="A2986" s="6" t="str">
        <f>"522-2026000440"</f>
        <v>522-2026000440</v>
      </c>
      <c r="B2986" s="6" t="str">
        <f t="shared" si="678"/>
        <v>EL CORTE</v>
      </c>
      <c r="C2986" s="7">
        <v>46045</v>
      </c>
      <c r="D2986" s="7">
        <v>46050</v>
      </c>
      <c r="E2986" s="8">
        <v>1</v>
      </c>
      <c r="F2986" s="6" t="str">
        <f>"94905801_07026"</f>
        <v>94905801_07026</v>
      </c>
      <c r="G2986" s="6" t="str">
        <f t="shared" si="679"/>
        <v>F310631650000000</v>
      </c>
      <c r="H2986" s="6" t="str">
        <f t="shared" si="680"/>
        <v>PLAR 6316 FD - 500 g</v>
      </c>
      <c r="I2986" s="6" t="str">
        <f>"202575"</f>
        <v>202575</v>
      </c>
      <c r="J2986" s="6" t="str">
        <f>"BEGE 2575"</f>
        <v>BEGE 2575</v>
      </c>
      <c r="K2986" s="6" t="str">
        <f>"1024"</f>
        <v>1024</v>
      </c>
      <c r="L2986" s="6" t="str">
        <f>"Toalhas"</f>
        <v>Toalhas</v>
      </c>
      <c r="M2986" s="6" t="str">
        <f>"50x100"</f>
        <v>50x100</v>
      </c>
      <c r="N2986" s="6" t="str">
        <f>"5602972281088"</f>
        <v>5602972281088</v>
      </c>
      <c r="O2986" s="8">
        <v>6</v>
      </c>
      <c r="R2986" s="8">
        <v>0</v>
      </c>
      <c r="U2986" s="8">
        <v>0</v>
      </c>
      <c r="X2986" s="8">
        <v>0</v>
      </c>
      <c r="Z2986" s="8">
        <v>0</v>
      </c>
      <c r="AC2986" s="8">
        <v>0</v>
      </c>
      <c r="AF2986" s="8">
        <v>0</v>
      </c>
      <c r="AN2986" s="8">
        <v>6</v>
      </c>
      <c r="AO2986" s="8">
        <v>0</v>
      </c>
    </row>
    <row r="2987" spans="1:41" x14ac:dyDescent="0.25">
      <c r="A2987" s="6" t="str">
        <f>"522-2026000440"</f>
        <v>522-2026000440</v>
      </c>
      <c r="B2987" s="6" t="str">
        <f t="shared" si="678"/>
        <v>EL CORTE</v>
      </c>
      <c r="C2987" s="7">
        <v>46045</v>
      </c>
      <c r="D2987" s="7">
        <v>46050</v>
      </c>
      <c r="E2987" s="8">
        <v>2</v>
      </c>
      <c r="F2987" s="6" t="str">
        <f>"94905801_07026"</f>
        <v>94905801_07026</v>
      </c>
      <c r="G2987" s="6" t="str">
        <f t="shared" si="679"/>
        <v>F310631650000000</v>
      </c>
      <c r="H2987" s="6" t="str">
        <f t="shared" si="680"/>
        <v>PLAR 6316 FD - 500 g</v>
      </c>
      <c r="I2987" s="6" t="str">
        <f>"202575"</f>
        <v>202575</v>
      </c>
      <c r="J2987" s="6" t="str">
        <f>"BEGE 2575"</f>
        <v>BEGE 2575</v>
      </c>
      <c r="K2987" s="6" t="str">
        <f>"2020"</f>
        <v>2020</v>
      </c>
      <c r="L2987" s="6" t="str">
        <f>"Lençóis"</f>
        <v>Lençóis</v>
      </c>
      <c r="M2987" s="6" t="str">
        <f>"100x150"</f>
        <v>100x150</v>
      </c>
      <c r="N2987" s="6" t="str">
        <f>"5602972281095"</f>
        <v>5602972281095</v>
      </c>
      <c r="O2987" s="8">
        <v>3</v>
      </c>
      <c r="R2987" s="8">
        <v>0</v>
      </c>
      <c r="U2987" s="8">
        <v>0</v>
      </c>
      <c r="X2987" s="8">
        <v>0</v>
      </c>
      <c r="Z2987" s="8">
        <v>0</v>
      </c>
      <c r="AC2987" s="8">
        <v>0</v>
      </c>
      <c r="AF2987" s="8">
        <v>0</v>
      </c>
      <c r="AN2987" s="8">
        <v>0</v>
      </c>
      <c r="AO2987" s="8">
        <v>3</v>
      </c>
    </row>
    <row r="2988" spans="1:41" x14ac:dyDescent="0.25">
      <c r="A2988" s="6" t="str">
        <f>"522-2026000440"</f>
        <v>522-2026000440</v>
      </c>
      <c r="B2988" s="6" t="str">
        <f t="shared" si="678"/>
        <v>EL CORTE</v>
      </c>
      <c r="C2988" s="7">
        <v>46045</v>
      </c>
      <c r="D2988" s="7">
        <v>46050</v>
      </c>
      <c r="E2988" s="8">
        <v>3</v>
      </c>
      <c r="F2988" s="6" t="str">
        <f>"94905801_07026"</f>
        <v>94905801_07026</v>
      </c>
      <c r="G2988" s="6" t="str">
        <f t="shared" si="679"/>
        <v>F310631650000000</v>
      </c>
      <c r="H2988" s="6" t="str">
        <f t="shared" si="680"/>
        <v>PLAR 6316 FD - 500 g</v>
      </c>
      <c r="I2988" s="6" t="str">
        <f>"200510"</f>
        <v>200510</v>
      </c>
      <c r="J2988" s="6" t="str">
        <f>"VERDE 510"</f>
        <v>VERDE 510</v>
      </c>
      <c r="K2988" s="6" t="str">
        <f>"2020"</f>
        <v>2020</v>
      </c>
      <c r="L2988" s="6" t="str">
        <f>"Lençóis"</f>
        <v>Lençóis</v>
      </c>
      <c r="M2988" s="6" t="str">
        <f>"100x150"</f>
        <v>100x150</v>
      </c>
      <c r="N2988" s="6" t="str">
        <f>"5602972281156"</f>
        <v>5602972281156</v>
      </c>
      <c r="O2988" s="8">
        <v>3</v>
      </c>
      <c r="R2988" s="8">
        <v>0</v>
      </c>
      <c r="U2988" s="8">
        <v>0</v>
      </c>
      <c r="X2988" s="8">
        <v>0</v>
      </c>
      <c r="Z2988" s="8">
        <v>0</v>
      </c>
      <c r="AC2988" s="8">
        <v>0</v>
      </c>
      <c r="AF2988" s="8">
        <v>0</v>
      </c>
      <c r="AN2988" s="8">
        <v>0</v>
      </c>
      <c r="AO2988" s="8">
        <v>3</v>
      </c>
    </row>
    <row r="2989" spans="1:41" x14ac:dyDescent="0.25">
      <c r="A2989" s="6" t="str">
        <f t="shared" ref="A2989:A2995" si="681">"522-2026000441"</f>
        <v>522-2026000441</v>
      </c>
      <c r="B2989" s="6" t="str">
        <f t="shared" si="678"/>
        <v>EL CORTE</v>
      </c>
      <c r="C2989" s="7">
        <v>46045</v>
      </c>
      <c r="D2989" s="7">
        <v>46050</v>
      </c>
      <c r="E2989" s="8">
        <v>1</v>
      </c>
      <c r="F2989" s="6" t="str">
        <f t="shared" ref="F2989:F2995" si="682">"94907501_07026"</f>
        <v>94907501_07026</v>
      </c>
      <c r="G2989" s="6" t="str">
        <f t="shared" si="679"/>
        <v>F310631650000000</v>
      </c>
      <c r="H2989" s="6" t="str">
        <f t="shared" si="680"/>
        <v>PLAR 6316 FD - 500 g</v>
      </c>
      <c r="I2989" s="6" t="str">
        <f>"201855"</f>
        <v>201855</v>
      </c>
      <c r="J2989" s="6" t="str">
        <f>"AZUL 1855"</f>
        <v>AZUL 1855</v>
      </c>
      <c r="K2989" s="6" t="str">
        <f>"1024"</f>
        <v>1024</v>
      </c>
      <c r="L2989" s="6" t="str">
        <f>"Toalhas"</f>
        <v>Toalhas</v>
      </c>
      <c r="M2989" s="6" t="str">
        <f>"50x100"</f>
        <v>50x100</v>
      </c>
      <c r="N2989" s="6" t="str">
        <f>"5602972281057"</f>
        <v>5602972281057</v>
      </c>
      <c r="O2989" s="8">
        <v>6</v>
      </c>
      <c r="R2989" s="8">
        <v>0</v>
      </c>
      <c r="U2989" s="8">
        <v>0</v>
      </c>
      <c r="X2989" s="8">
        <v>0</v>
      </c>
      <c r="Z2989" s="8">
        <v>0</v>
      </c>
      <c r="AC2989" s="8">
        <v>0</v>
      </c>
      <c r="AF2989" s="8">
        <v>0</v>
      </c>
      <c r="AN2989" s="8">
        <v>0</v>
      </c>
      <c r="AO2989" s="8">
        <v>6</v>
      </c>
    </row>
    <row r="2990" spans="1:41" x14ac:dyDescent="0.25">
      <c r="A2990" s="6" t="str">
        <f t="shared" si="681"/>
        <v>522-2026000441</v>
      </c>
      <c r="B2990" s="6" t="str">
        <f t="shared" si="678"/>
        <v>EL CORTE</v>
      </c>
      <c r="C2990" s="7">
        <v>46045</v>
      </c>
      <c r="D2990" s="7">
        <v>46050</v>
      </c>
      <c r="E2990" s="8">
        <v>2</v>
      </c>
      <c r="F2990" s="6" t="str">
        <f t="shared" si="682"/>
        <v>94907501_07026</v>
      </c>
      <c r="G2990" s="6" t="str">
        <f t="shared" si="679"/>
        <v>F310631650000000</v>
      </c>
      <c r="H2990" s="6" t="str">
        <f t="shared" si="680"/>
        <v>PLAR 6316 FD - 500 g</v>
      </c>
      <c r="I2990" s="6" t="str">
        <f>"201855"</f>
        <v>201855</v>
      </c>
      <c r="J2990" s="6" t="str">
        <f>"AZUL 1855"</f>
        <v>AZUL 1855</v>
      </c>
      <c r="K2990" s="6" t="str">
        <f>"2020"</f>
        <v>2020</v>
      </c>
      <c r="L2990" s="6" t="str">
        <f>"Lençóis"</f>
        <v>Lençóis</v>
      </c>
      <c r="M2990" s="6" t="str">
        <f>"100x150"</f>
        <v>100x150</v>
      </c>
      <c r="N2990" s="6" t="str">
        <f>"5602972281064"</f>
        <v>5602972281064</v>
      </c>
      <c r="O2990" s="8">
        <v>6</v>
      </c>
      <c r="R2990" s="8">
        <v>0</v>
      </c>
      <c r="U2990" s="8">
        <v>0</v>
      </c>
      <c r="X2990" s="8">
        <v>0</v>
      </c>
      <c r="Z2990" s="8">
        <v>0</v>
      </c>
      <c r="AC2990" s="8">
        <v>0</v>
      </c>
      <c r="AF2990" s="8">
        <v>0</v>
      </c>
      <c r="AN2990" s="8">
        <v>0</v>
      </c>
      <c r="AO2990" s="8">
        <v>6</v>
      </c>
    </row>
    <row r="2991" spans="1:41" x14ac:dyDescent="0.25">
      <c r="A2991" s="6" t="str">
        <f t="shared" si="681"/>
        <v>522-2026000441</v>
      </c>
      <c r="B2991" s="6" t="str">
        <f t="shared" si="678"/>
        <v>EL CORTE</v>
      </c>
      <c r="C2991" s="7">
        <v>46045</v>
      </c>
      <c r="D2991" s="7">
        <v>46050</v>
      </c>
      <c r="E2991" s="8">
        <v>3</v>
      </c>
      <c r="F2991" s="6" t="str">
        <f t="shared" si="682"/>
        <v>94907501_07026</v>
      </c>
      <c r="G2991" s="6" t="str">
        <f t="shared" si="679"/>
        <v>F310631650000000</v>
      </c>
      <c r="H2991" s="6" t="str">
        <f t="shared" si="680"/>
        <v>PLAR 6316 FD - 500 g</v>
      </c>
      <c r="I2991" s="6" t="str">
        <f>"202575"</f>
        <v>202575</v>
      </c>
      <c r="J2991" s="6" t="str">
        <f>"BEGE 2575"</f>
        <v>BEGE 2575</v>
      </c>
      <c r="K2991" s="6" t="str">
        <f>"2020"</f>
        <v>2020</v>
      </c>
      <c r="L2991" s="6" t="str">
        <f>"Lençóis"</f>
        <v>Lençóis</v>
      </c>
      <c r="M2991" s="6" t="str">
        <f>"100x150"</f>
        <v>100x150</v>
      </c>
      <c r="N2991" s="6" t="str">
        <f>"5602972281095"</f>
        <v>5602972281095</v>
      </c>
      <c r="O2991" s="8">
        <v>6</v>
      </c>
      <c r="R2991" s="8">
        <v>0</v>
      </c>
      <c r="U2991" s="8">
        <v>0</v>
      </c>
      <c r="X2991" s="8">
        <v>0</v>
      </c>
      <c r="Z2991" s="8">
        <v>0</v>
      </c>
      <c r="AC2991" s="8">
        <v>0</v>
      </c>
      <c r="AF2991" s="8">
        <v>0</v>
      </c>
      <c r="AN2991" s="8">
        <v>0</v>
      </c>
      <c r="AO2991" s="8">
        <v>6</v>
      </c>
    </row>
    <row r="2992" spans="1:41" x14ac:dyDescent="0.25">
      <c r="A2992" s="6" t="str">
        <f t="shared" si="681"/>
        <v>522-2026000441</v>
      </c>
      <c r="B2992" s="6" t="str">
        <f t="shared" si="678"/>
        <v>EL CORTE</v>
      </c>
      <c r="C2992" s="7">
        <v>46045</v>
      </c>
      <c r="D2992" s="7">
        <v>46050</v>
      </c>
      <c r="E2992" s="8">
        <v>4</v>
      </c>
      <c r="F2992" s="6" t="str">
        <f t="shared" si="682"/>
        <v>94907501_07026</v>
      </c>
      <c r="G2992" s="6" t="str">
        <f t="shared" si="679"/>
        <v>F310631650000000</v>
      </c>
      <c r="H2992" s="6" t="str">
        <f t="shared" si="680"/>
        <v>PLAR 6316 FD - 500 g</v>
      </c>
      <c r="I2992" s="6" t="str">
        <f>"200901"</f>
        <v>200901</v>
      </c>
      <c r="J2992" s="6" t="str">
        <f>"ROSA 901"</f>
        <v>ROSA 901</v>
      </c>
      <c r="K2992" s="6" t="str">
        <f>"0520"</f>
        <v>0520</v>
      </c>
      <c r="L2992" s="6" t="str">
        <f>"Toalhetes"</f>
        <v>Toalhetes</v>
      </c>
      <c r="M2992" s="6" t="str">
        <f>"30x50"</f>
        <v>30x50</v>
      </c>
      <c r="N2992" s="6" t="str">
        <f>"5602972281101"</f>
        <v>5602972281101</v>
      </c>
      <c r="O2992" s="8">
        <v>6</v>
      </c>
      <c r="R2992" s="8">
        <v>0</v>
      </c>
      <c r="U2992" s="8">
        <v>0</v>
      </c>
      <c r="X2992" s="8">
        <v>0</v>
      </c>
      <c r="Z2992" s="8">
        <v>0</v>
      </c>
      <c r="AC2992" s="8">
        <v>0</v>
      </c>
      <c r="AF2992" s="8">
        <v>0</v>
      </c>
      <c r="AN2992" s="8">
        <v>0</v>
      </c>
      <c r="AO2992" s="8">
        <v>6</v>
      </c>
    </row>
    <row r="2993" spans="1:41" x14ac:dyDescent="0.25">
      <c r="A2993" s="6" t="str">
        <f t="shared" si="681"/>
        <v>522-2026000441</v>
      </c>
      <c r="B2993" s="6" t="str">
        <f t="shared" si="678"/>
        <v>EL CORTE</v>
      </c>
      <c r="C2993" s="7">
        <v>46045</v>
      </c>
      <c r="D2993" s="7">
        <v>46050</v>
      </c>
      <c r="E2993" s="8">
        <v>5</v>
      </c>
      <c r="F2993" s="6" t="str">
        <f t="shared" si="682"/>
        <v>94907501_07026</v>
      </c>
      <c r="G2993" s="6" t="str">
        <f t="shared" si="679"/>
        <v>F310631650000000</v>
      </c>
      <c r="H2993" s="6" t="str">
        <f t="shared" si="680"/>
        <v>PLAR 6316 FD - 500 g</v>
      </c>
      <c r="I2993" s="6" t="str">
        <f>"200901"</f>
        <v>200901</v>
      </c>
      <c r="J2993" s="6" t="str">
        <f>"ROSA 901"</f>
        <v>ROSA 901</v>
      </c>
      <c r="K2993" s="6" t="str">
        <f>"2020"</f>
        <v>2020</v>
      </c>
      <c r="L2993" s="6" t="str">
        <f>"Lençóis"</f>
        <v>Lençóis</v>
      </c>
      <c r="M2993" s="6" t="str">
        <f>"100x150"</f>
        <v>100x150</v>
      </c>
      <c r="N2993" s="6" t="str">
        <f>"5602972281125"</f>
        <v>5602972281125</v>
      </c>
      <c r="O2993" s="8">
        <v>6</v>
      </c>
      <c r="R2993" s="8">
        <v>0</v>
      </c>
      <c r="U2993" s="8">
        <v>0</v>
      </c>
      <c r="X2993" s="8">
        <v>0</v>
      </c>
      <c r="Z2993" s="8">
        <v>0</v>
      </c>
      <c r="AC2993" s="8">
        <v>0</v>
      </c>
      <c r="AF2993" s="8">
        <v>0</v>
      </c>
      <c r="AN2993" s="8">
        <v>0</v>
      </c>
      <c r="AO2993" s="8">
        <v>6</v>
      </c>
    </row>
    <row r="2994" spans="1:41" x14ac:dyDescent="0.25">
      <c r="A2994" s="6" t="str">
        <f t="shared" si="681"/>
        <v>522-2026000441</v>
      </c>
      <c r="B2994" s="6" t="str">
        <f t="shared" si="678"/>
        <v>EL CORTE</v>
      </c>
      <c r="C2994" s="7">
        <v>46045</v>
      </c>
      <c r="D2994" s="7">
        <v>46050</v>
      </c>
      <c r="E2994" s="8">
        <v>6</v>
      </c>
      <c r="F2994" s="6" t="str">
        <f t="shared" si="682"/>
        <v>94907501_07026</v>
      </c>
      <c r="G2994" s="6" t="str">
        <f t="shared" si="679"/>
        <v>F310631650000000</v>
      </c>
      <c r="H2994" s="6" t="str">
        <f t="shared" si="680"/>
        <v>PLAR 6316 FD - 500 g</v>
      </c>
      <c r="I2994" s="6" t="str">
        <f>"200510"</f>
        <v>200510</v>
      </c>
      <c r="J2994" s="6" t="str">
        <f>"VERDE 510"</f>
        <v>VERDE 510</v>
      </c>
      <c r="K2994" s="6" t="str">
        <f>"1024"</f>
        <v>1024</v>
      </c>
      <c r="L2994" s="6" t="str">
        <f>"Toalhas"</f>
        <v>Toalhas</v>
      </c>
      <c r="M2994" s="6" t="str">
        <f>"50x100"</f>
        <v>50x100</v>
      </c>
      <c r="N2994" s="6" t="str">
        <f>"5602972281149"</f>
        <v>5602972281149</v>
      </c>
      <c r="O2994" s="8">
        <v>6</v>
      </c>
      <c r="R2994" s="8">
        <v>0</v>
      </c>
      <c r="U2994" s="8">
        <v>0</v>
      </c>
      <c r="X2994" s="8">
        <v>0</v>
      </c>
      <c r="Z2994" s="8">
        <v>0</v>
      </c>
      <c r="AC2994" s="8">
        <v>0</v>
      </c>
      <c r="AF2994" s="8">
        <v>0</v>
      </c>
      <c r="AN2994" s="8">
        <v>0</v>
      </c>
      <c r="AO2994" s="8">
        <v>6</v>
      </c>
    </row>
    <row r="2995" spans="1:41" x14ac:dyDescent="0.25">
      <c r="A2995" s="6" t="str">
        <f t="shared" si="681"/>
        <v>522-2026000441</v>
      </c>
      <c r="B2995" s="6" t="str">
        <f t="shared" si="678"/>
        <v>EL CORTE</v>
      </c>
      <c r="C2995" s="7">
        <v>46045</v>
      </c>
      <c r="D2995" s="7">
        <v>46050</v>
      </c>
      <c r="E2995" s="8">
        <v>7</v>
      </c>
      <c r="F2995" s="6" t="str">
        <f t="shared" si="682"/>
        <v>94907501_07026</v>
      </c>
      <c r="G2995" s="6" t="str">
        <f t="shared" si="679"/>
        <v>F310631650000000</v>
      </c>
      <c r="H2995" s="6" t="str">
        <f t="shared" si="680"/>
        <v>PLAR 6316 FD - 500 g</v>
      </c>
      <c r="I2995" s="6" t="str">
        <f>"200510"</f>
        <v>200510</v>
      </c>
      <c r="J2995" s="6" t="str">
        <f>"VERDE 510"</f>
        <v>VERDE 510</v>
      </c>
      <c r="K2995" s="6" t="str">
        <f>"2020"</f>
        <v>2020</v>
      </c>
      <c r="L2995" s="6" t="str">
        <f>"Lençóis"</f>
        <v>Lençóis</v>
      </c>
      <c r="M2995" s="6" t="str">
        <f>"100x150"</f>
        <v>100x150</v>
      </c>
      <c r="N2995" s="6" t="str">
        <f>"5602972281156"</f>
        <v>5602972281156</v>
      </c>
      <c r="O2995" s="8">
        <v>6</v>
      </c>
      <c r="R2995" s="8">
        <v>0</v>
      </c>
      <c r="U2995" s="8">
        <v>0</v>
      </c>
      <c r="X2995" s="8">
        <v>0</v>
      </c>
      <c r="Z2995" s="8">
        <v>0</v>
      </c>
      <c r="AC2995" s="8">
        <v>0</v>
      </c>
      <c r="AF2995" s="8">
        <v>0</v>
      </c>
      <c r="AN2995" s="8">
        <v>0</v>
      </c>
      <c r="AO2995" s="8">
        <v>6</v>
      </c>
    </row>
    <row r="2996" spans="1:41" x14ac:dyDescent="0.25">
      <c r="A2996" s="6" t="str">
        <f>"522-2026000442"</f>
        <v>522-2026000442</v>
      </c>
      <c r="B2996" s="6" t="str">
        <f t="shared" si="678"/>
        <v>EL CORTE</v>
      </c>
      <c r="C2996" s="7">
        <v>46045</v>
      </c>
      <c r="D2996" s="7">
        <v>46050</v>
      </c>
      <c r="E2996" s="8">
        <v>1</v>
      </c>
      <c r="F2996" s="6" t="str">
        <f>"94904601_07026"</f>
        <v>94904601_07026</v>
      </c>
      <c r="G2996" s="6" t="str">
        <f t="shared" si="679"/>
        <v>F310631650000000</v>
      </c>
      <c r="H2996" s="6" t="str">
        <f t="shared" si="680"/>
        <v>PLAR 6316 FD - 500 g</v>
      </c>
      <c r="I2996" s="6" t="str">
        <f>"200901"</f>
        <v>200901</v>
      </c>
      <c r="J2996" s="6" t="str">
        <f>"ROSA 901"</f>
        <v>ROSA 901</v>
      </c>
      <c r="K2996" s="6" t="str">
        <f>"2020"</f>
        <v>2020</v>
      </c>
      <c r="L2996" s="6" t="str">
        <f>"Lençóis"</f>
        <v>Lençóis</v>
      </c>
      <c r="M2996" s="6" t="str">
        <f>"100x150"</f>
        <v>100x150</v>
      </c>
      <c r="N2996" s="6" t="str">
        <f>"5602972281125"</f>
        <v>5602972281125</v>
      </c>
      <c r="O2996" s="8">
        <v>6</v>
      </c>
      <c r="R2996" s="8">
        <v>0</v>
      </c>
      <c r="U2996" s="8">
        <v>0</v>
      </c>
      <c r="X2996" s="8">
        <v>0</v>
      </c>
      <c r="Z2996" s="8">
        <v>0</v>
      </c>
      <c r="AC2996" s="8">
        <v>0</v>
      </c>
      <c r="AF2996" s="8">
        <v>0</v>
      </c>
      <c r="AN2996" s="8">
        <v>0</v>
      </c>
      <c r="AO2996" s="8">
        <v>6</v>
      </c>
    </row>
    <row r="2997" spans="1:41" x14ac:dyDescent="0.25">
      <c r="A2997" s="6" t="str">
        <f>"522-2026000442"</f>
        <v>522-2026000442</v>
      </c>
      <c r="B2997" s="6" t="str">
        <f t="shared" si="678"/>
        <v>EL CORTE</v>
      </c>
      <c r="C2997" s="7">
        <v>46045</v>
      </c>
      <c r="D2997" s="7">
        <v>46050</v>
      </c>
      <c r="E2997" s="8">
        <v>2</v>
      </c>
      <c r="F2997" s="6" t="str">
        <f>"94904601_07026"</f>
        <v>94904601_07026</v>
      </c>
      <c r="G2997" s="6" t="str">
        <f t="shared" si="679"/>
        <v>F310631650000000</v>
      </c>
      <c r="H2997" s="6" t="str">
        <f t="shared" si="680"/>
        <v>PLAR 6316 FD - 500 g</v>
      </c>
      <c r="I2997" s="6" t="str">
        <f>"200510"</f>
        <v>200510</v>
      </c>
      <c r="J2997" s="6" t="str">
        <f>"VERDE 510"</f>
        <v>VERDE 510</v>
      </c>
      <c r="K2997" s="6" t="str">
        <f>"2020"</f>
        <v>2020</v>
      </c>
      <c r="L2997" s="6" t="str">
        <f>"Lençóis"</f>
        <v>Lençóis</v>
      </c>
      <c r="M2997" s="6" t="str">
        <f>"100x150"</f>
        <v>100x150</v>
      </c>
      <c r="N2997" s="6" t="str">
        <f>"5602972281156"</f>
        <v>5602972281156</v>
      </c>
      <c r="O2997" s="8">
        <v>9</v>
      </c>
      <c r="R2997" s="8">
        <v>0</v>
      </c>
      <c r="U2997" s="8">
        <v>0</v>
      </c>
      <c r="X2997" s="8">
        <v>0</v>
      </c>
      <c r="Z2997" s="8">
        <v>0</v>
      </c>
      <c r="AC2997" s="8">
        <v>0</v>
      </c>
      <c r="AF2997" s="8">
        <v>0</v>
      </c>
      <c r="AN2997" s="8">
        <v>0</v>
      </c>
      <c r="AO2997" s="8">
        <v>9</v>
      </c>
    </row>
    <row r="2998" spans="1:41" x14ac:dyDescent="0.25">
      <c r="A2998" s="6" t="str">
        <f>"522-2026000443"</f>
        <v>522-2026000443</v>
      </c>
      <c r="B2998" s="6" t="str">
        <f t="shared" si="678"/>
        <v>EL CORTE</v>
      </c>
      <c r="C2998" s="7">
        <v>46045</v>
      </c>
      <c r="D2998" s="7">
        <v>46050</v>
      </c>
      <c r="E2998" s="8">
        <v>1</v>
      </c>
      <c r="F2998" s="6" t="str">
        <f>"94906501_07026"</f>
        <v>94906501_07026</v>
      </c>
      <c r="G2998" s="6" t="str">
        <f t="shared" si="679"/>
        <v>F310631650000000</v>
      </c>
      <c r="H2998" s="6" t="str">
        <f t="shared" si="680"/>
        <v>PLAR 6316 FD - 500 g</v>
      </c>
      <c r="I2998" s="6" t="str">
        <f>"201855"</f>
        <v>201855</v>
      </c>
      <c r="J2998" s="6" t="str">
        <f>"AZUL 1855"</f>
        <v>AZUL 1855</v>
      </c>
      <c r="K2998" s="6" t="str">
        <f>"2020"</f>
        <v>2020</v>
      </c>
      <c r="L2998" s="6" t="str">
        <f>"Lençóis"</f>
        <v>Lençóis</v>
      </c>
      <c r="M2998" s="6" t="str">
        <f>"100x150"</f>
        <v>100x150</v>
      </c>
      <c r="N2998" s="6" t="str">
        <f>"5602972281064"</f>
        <v>5602972281064</v>
      </c>
      <c r="O2998" s="8">
        <v>3</v>
      </c>
      <c r="R2998" s="8">
        <v>0</v>
      </c>
      <c r="U2998" s="8">
        <v>0</v>
      </c>
      <c r="X2998" s="8">
        <v>0</v>
      </c>
      <c r="Z2998" s="8">
        <v>0</v>
      </c>
      <c r="AC2998" s="8">
        <v>0</v>
      </c>
      <c r="AF2998" s="8">
        <v>0</v>
      </c>
      <c r="AN2998" s="8">
        <v>0</v>
      </c>
      <c r="AO2998" s="8">
        <v>3</v>
      </c>
    </row>
    <row r="2999" spans="1:41" x14ac:dyDescent="0.25">
      <c r="A2999" s="6" t="str">
        <f>"522-2026000443"</f>
        <v>522-2026000443</v>
      </c>
      <c r="B2999" s="6" t="str">
        <f t="shared" si="678"/>
        <v>EL CORTE</v>
      </c>
      <c r="C2999" s="7">
        <v>46045</v>
      </c>
      <c r="D2999" s="7">
        <v>46050</v>
      </c>
      <c r="E2999" s="8">
        <v>2</v>
      </c>
      <c r="F2999" s="6" t="str">
        <f>"94906501_07026"</f>
        <v>94906501_07026</v>
      </c>
      <c r="G2999" s="6" t="str">
        <f t="shared" si="679"/>
        <v>F310631650000000</v>
      </c>
      <c r="H2999" s="6" t="str">
        <f t="shared" si="680"/>
        <v>PLAR 6316 FD - 500 g</v>
      </c>
      <c r="I2999" s="6" t="str">
        <f>"202575"</f>
        <v>202575</v>
      </c>
      <c r="J2999" s="6" t="str">
        <f>"BEGE 2575"</f>
        <v>BEGE 2575</v>
      </c>
      <c r="K2999" s="6" t="str">
        <f>"2020"</f>
        <v>2020</v>
      </c>
      <c r="L2999" s="6" t="str">
        <f>"Lençóis"</f>
        <v>Lençóis</v>
      </c>
      <c r="M2999" s="6" t="str">
        <f>"100x150"</f>
        <v>100x150</v>
      </c>
      <c r="N2999" s="6" t="str">
        <f>"5602972281095"</f>
        <v>5602972281095</v>
      </c>
      <c r="O2999" s="8">
        <v>3</v>
      </c>
      <c r="R2999" s="8">
        <v>0</v>
      </c>
      <c r="U2999" s="8">
        <v>0</v>
      </c>
      <c r="X2999" s="8">
        <v>0</v>
      </c>
      <c r="Z2999" s="8">
        <v>0</v>
      </c>
      <c r="AC2999" s="8">
        <v>0</v>
      </c>
      <c r="AF2999" s="8">
        <v>0</v>
      </c>
      <c r="AN2999" s="8">
        <v>0</v>
      </c>
      <c r="AO2999" s="8">
        <v>3</v>
      </c>
    </row>
    <row r="3000" spans="1:41" x14ac:dyDescent="0.25">
      <c r="A3000" s="6" t="str">
        <f>"522-2026000444"</f>
        <v>522-2026000444</v>
      </c>
      <c r="B3000" s="6" t="str">
        <f t="shared" si="678"/>
        <v>EL CORTE</v>
      </c>
      <c r="C3000" s="7">
        <v>46045</v>
      </c>
      <c r="D3000" s="7">
        <v>46050</v>
      </c>
      <c r="E3000" s="8">
        <v>1</v>
      </c>
      <c r="F3000" s="6" t="str">
        <f>"94907401_07026"</f>
        <v>94907401_07026</v>
      </c>
      <c r="G3000" s="6" t="str">
        <f t="shared" si="679"/>
        <v>F310631650000000</v>
      </c>
      <c r="H3000" s="6" t="str">
        <f t="shared" si="680"/>
        <v>PLAR 6316 FD - 500 g</v>
      </c>
      <c r="I3000" s="6" t="str">
        <f>"202575"</f>
        <v>202575</v>
      </c>
      <c r="J3000" s="6" t="str">
        <f>"BEGE 2575"</f>
        <v>BEGE 2575</v>
      </c>
      <c r="K3000" s="6" t="str">
        <f>"0520"</f>
        <v>0520</v>
      </c>
      <c r="L3000" s="6" t="str">
        <f>"Toalhetes"</f>
        <v>Toalhetes</v>
      </c>
      <c r="M3000" s="6" t="str">
        <f>"30x50"</f>
        <v>30x50</v>
      </c>
      <c r="N3000" s="6" t="str">
        <f>"5602972281071"</f>
        <v>5602972281071</v>
      </c>
      <c r="O3000" s="8">
        <v>6</v>
      </c>
      <c r="R3000" s="8">
        <v>0</v>
      </c>
      <c r="U3000" s="8">
        <v>0</v>
      </c>
      <c r="X3000" s="8">
        <v>0</v>
      </c>
      <c r="Z3000" s="8">
        <v>0</v>
      </c>
      <c r="AC3000" s="8">
        <v>0</v>
      </c>
      <c r="AF3000" s="8">
        <v>0</v>
      </c>
      <c r="AN3000" s="8">
        <v>0</v>
      </c>
      <c r="AO3000" s="8">
        <v>6</v>
      </c>
    </row>
    <row r="3001" spans="1:41" x14ac:dyDescent="0.25">
      <c r="A3001" s="6" t="str">
        <f>"522-2026000444"</f>
        <v>522-2026000444</v>
      </c>
      <c r="B3001" s="6" t="str">
        <f t="shared" si="678"/>
        <v>EL CORTE</v>
      </c>
      <c r="C3001" s="7">
        <v>46045</v>
      </c>
      <c r="D3001" s="7">
        <v>46050</v>
      </c>
      <c r="E3001" s="8">
        <v>2</v>
      </c>
      <c r="F3001" s="6" t="str">
        <f>"94907401_07026"</f>
        <v>94907401_07026</v>
      </c>
      <c r="G3001" s="6" t="str">
        <f t="shared" si="679"/>
        <v>F310631650000000</v>
      </c>
      <c r="H3001" s="6" t="str">
        <f t="shared" si="680"/>
        <v>PLAR 6316 FD - 500 g</v>
      </c>
      <c r="I3001" s="6" t="str">
        <f>"200901"</f>
        <v>200901</v>
      </c>
      <c r="J3001" s="6" t="str">
        <f>"ROSA 901"</f>
        <v>ROSA 901</v>
      </c>
      <c r="K3001" s="6" t="str">
        <f>"0520"</f>
        <v>0520</v>
      </c>
      <c r="L3001" s="6" t="str">
        <f>"Toalhetes"</f>
        <v>Toalhetes</v>
      </c>
      <c r="M3001" s="6" t="str">
        <f>"30x50"</f>
        <v>30x50</v>
      </c>
      <c r="N3001" s="6" t="str">
        <f>"5602972281101"</f>
        <v>5602972281101</v>
      </c>
      <c r="O3001" s="8">
        <v>6</v>
      </c>
      <c r="R3001" s="8">
        <v>0</v>
      </c>
      <c r="U3001" s="8">
        <v>0</v>
      </c>
      <c r="X3001" s="8">
        <v>0</v>
      </c>
      <c r="Z3001" s="8">
        <v>0</v>
      </c>
      <c r="AC3001" s="8">
        <v>0</v>
      </c>
      <c r="AF3001" s="8">
        <v>0</v>
      </c>
      <c r="AN3001" s="8">
        <v>0</v>
      </c>
      <c r="AO3001" s="8">
        <v>6</v>
      </c>
    </row>
    <row r="3002" spans="1:41" x14ac:dyDescent="0.25">
      <c r="A3002" s="6" t="str">
        <f>"522-2026000444"</f>
        <v>522-2026000444</v>
      </c>
      <c r="B3002" s="6" t="str">
        <f t="shared" si="678"/>
        <v>EL CORTE</v>
      </c>
      <c r="C3002" s="7">
        <v>46045</v>
      </c>
      <c r="D3002" s="7">
        <v>46050</v>
      </c>
      <c r="E3002" s="8">
        <v>3</v>
      </c>
      <c r="F3002" s="6" t="str">
        <f>"94907401_07026"</f>
        <v>94907401_07026</v>
      </c>
      <c r="G3002" s="6" t="str">
        <f t="shared" si="679"/>
        <v>F310631650000000</v>
      </c>
      <c r="H3002" s="6" t="str">
        <f t="shared" si="680"/>
        <v>PLAR 6316 FD - 500 g</v>
      </c>
      <c r="I3002" s="6" t="str">
        <f>"200510"</f>
        <v>200510</v>
      </c>
      <c r="J3002" s="6" t="str">
        <f>"VERDE 510"</f>
        <v>VERDE 510</v>
      </c>
      <c r="K3002" s="6" t="str">
        <f>"0520"</f>
        <v>0520</v>
      </c>
      <c r="L3002" s="6" t="str">
        <f>"Toalhetes"</f>
        <v>Toalhetes</v>
      </c>
      <c r="M3002" s="6" t="str">
        <f>"30x50"</f>
        <v>30x50</v>
      </c>
      <c r="N3002" s="6" t="str">
        <f>"5602972281132"</f>
        <v>5602972281132</v>
      </c>
      <c r="O3002" s="8">
        <v>6</v>
      </c>
      <c r="R3002" s="8">
        <v>0</v>
      </c>
      <c r="U3002" s="8">
        <v>0</v>
      </c>
      <c r="X3002" s="8">
        <v>0</v>
      </c>
      <c r="Z3002" s="8">
        <v>0</v>
      </c>
      <c r="AC3002" s="8">
        <v>0</v>
      </c>
      <c r="AF3002" s="8">
        <v>0</v>
      </c>
      <c r="AN3002" s="8">
        <v>0</v>
      </c>
      <c r="AO3002" s="8">
        <v>6</v>
      </c>
    </row>
    <row r="3003" spans="1:41" x14ac:dyDescent="0.25">
      <c r="A3003" s="6" t="str">
        <f>"522-2026000444"</f>
        <v>522-2026000444</v>
      </c>
      <c r="B3003" s="6" t="str">
        <f t="shared" si="678"/>
        <v>EL CORTE</v>
      </c>
      <c r="C3003" s="7">
        <v>46045</v>
      </c>
      <c r="D3003" s="7">
        <v>46050</v>
      </c>
      <c r="E3003" s="8">
        <v>4</v>
      </c>
      <c r="F3003" s="6" t="str">
        <f>"94907401_07026"</f>
        <v>94907401_07026</v>
      </c>
      <c r="G3003" s="6" t="str">
        <f t="shared" si="679"/>
        <v>F310631650000000</v>
      </c>
      <c r="H3003" s="6" t="str">
        <f t="shared" si="680"/>
        <v>PLAR 6316 FD - 500 g</v>
      </c>
      <c r="I3003" s="6" t="str">
        <f>"200510"</f>
        <v>200510</v>
      </c>
      <c r="J3003" s="6" t="str">
        <f>"VERDE 510"</f>
        <v>VERDE 510</v>
      </c>
      <c r="K3003" s="6" t="str">
        <f>"2020"</f>
        <v>2020</v>
      </c>
      <c r="L3003" s="6" t="str">
        <f>"Lençóis"</f>
        <v>Lençóis</v>
      </c>
      <c r="M3003" s="6" t="str">
        <f>"100x150"</f>
        <v>100x150</v>
      </c>
      <c r="N3003" s="6" t="str">
        <f>"5602972281156"</f>
        <v>5602972281156</v>
      </c>
      <c r="O3003" s="8">
        <v>3</v>
      </c>
      <c r="R3003" s="8">
        <v>0</v>
      </c>
      <c r="U3003" s="8">
        <v>0</v>
      </c>
      <c r="X3003" s="8">
        <v>0</v>
      </c>
      <c r="Z3003" s="8">
        <v>0</v>
      </c>
      <c r="AC3003" s="8">
        <v>0</v>
      </c>
      <c r="AF3003" s="8">
        <v>0</v>
      </c>
      <c r="AN3003" s="8">
        <v>0</v>
      </c>
      <c r="AO3003" s="8">
        <v>3</v>
      </c>
    </row>
    <row r="3004" spans="1:41" x14ac:dyDescent="0.25">
      <c r="A3004" s="6" t="str">
        <f>"522-2026000445"</f>
        <v>522-2026000445</v>
      </c>
      <c r="B3004" s="6" t="str">
        <f t="shared" si="678"/>
        <v>EL CORTE</v>
      </c>
      <c r="C3004" s="7">
        <v>46045</v>
      </c>
      <c r="D3004" s="7">
        <v>46050</v>
      </c>
      <c r="E3004" s="8">
        <v>1</v>
      </c>
      <c r="F3004" s="6" t="str">
        <f>"94906901_07026"</f>
        <v>94906901_07026</v>
      </c>
      <c r="G3004" s="6" t="str">
        <f t="shared" si="679"/>
        <v>F310631650000000</v>
      </c>
      <c r="H3004" s="6" t="str">
        <f t="shared" si="680"/>
        <v>PLAR 6316 FD - 500 g</v>
      </c>
      <c r="I3004" s="6" t="str">
        <f>"201855"</f>
        <v>201855</v>
      </c>
      <c r="J3004" s="6" t="str">
        <f>"AZUL 1855"</f>
        <v>AZUL 1855</v>
      </c>
      <c r="K3004" s="6" t="str">
        <f>"2020"</f>
        <v>2020</v>
      </c>
      <c r="L3004" s="6" t="str">
        <f>"Lençóis"</f>
        <v>Lençóis</v>
      </c>
      <c r="M3004" s="6" t="str">
        <f>"100x150"</f>
        <v>100x150</v>
      </c>
      <c r="N3004" s="6" t="str">
        <f>"5602972281064"</f>
        <v>5602972281064</v>
      </c>
      <c r="O3004" s="8">
        <v>3</v>
      </c>
      <c r="R3004" s="8">
        <v>0</v>
      </c>
      <c r="U3004" s="8">
        <v>0</v>
      </c>
      <c r="X3004" s="8">
        <v>0</v>
      </c>
      <c r="Z3004" s="8">
        <v>0</v>
      </c>
      <c r="AC3004" s="8">
        <v>0</v>
      </c>
      <c r="AF3004" s="8">
        <v>0</v>
      </c>
      <c r="AN3004" s="8">
        <v>0</v>
      </c>
      <c r="AO3004" s="8">
        <v>3</v>
      </c>
    </row>
    <row r="3005" spans="1:41" x14ac:dyDescent="0.25">
      <c r="A3005" s="6" t="str">
        <f>"522-2026000445"</f>
        <v>522-2026000445</v>
      </c>
      <c r="B3005" s="6" t="str">
        <f t="shared" si="678"/>
        <v>EL CORTE</v>
      </c>
      <c r="C3005" s="7">
        <v>46045</v>
      </c>
      <c r="D3005" s="7">
        <v>46050</v>
      </c>
      <c r="E3005" s="8">
        <v>2</v>
      </c>
      <c r="F3005" s="6" t="str">
        <f>"94906901_07026"</f>
        <v>94906901_07026</v>
      </c>
      <c r="G3005" s="6" t="str">
        <f t="shared" si="679"/>
        <v>F310631650000000</v>
      </c>
      <c r="H3005" s="6" t="str">
        <f t="shared" si="680"/>
        <v>PLAR 6316 FD - 500 g</v>
      </c>
      <c r="I3005" s="6" t="str">
        <f>"200510"</f>
        <v>200510</v>
      </c>
      <c r="J3005" s="6" t="str">
        <f>"VERDE 510"</f>
        <v>VERDE 510</v>
      </c>
      <c r="K3005" s="6" t="str">
        <f>"2020"</f>
        <v>2020</v>
      </c>
      <c r="L3005" s="6" t="str">
        <f>"Lençóis"</f>
        <v>Lençóis</v>
      </c>
      <c r="M3005" s="6" t="str">
        <f>"100x150"</f>
        <v>100x150</v>
      </c>
      <c r="N3005" s="6" t="str">
        <f>"5602972281156"</f>
        <v>5602972281156</v>
      </c>
      <c r="O3005" s="8">
        <v>6</v>
      </c>
      <c r="R3005" s="8">
        <v>0</v>
      </c>
      <c r="U3005" s="8">
        <v>0</v>
      </c>
      <c r="X3005" s="8">
        <v>0</v>
      </c>
      <c r="Z3005" s="8">
        <v>0</v>
      </c>
      <c r="AC3005" s="8">
        <v>0</v>
      </c>
      <c r="AF3005" s="8">
        <v>0</v>
      </c>
      <c r="AN3005" s="8">
        <v>0</v>
      </c>
      <c r="AO3005" s="8">
        <v>6</v>
      </c>
    </row>
    <row r="3006" spans="1:41" x14ac:dyDescent="0.25">
      <c r="A3006" s="6" t="str">
        <f>"522-2026000446"</f>
        <v>522-2026000446</v>
      </c>
      <c r="B3006" s="6" t="str">
        <f t="shared" si="678"/>
        <v>EL CORTE</v>
      </c>
      <c r="C3006" s="7">
        <v>46045</v>
      </c>
      <c r="D3006" s="7">
        <v>46050</v>
      </c>
      <c r="E3006" s="8">
        <v>1</v>
      </c>
      <c r="F3006" s="6" t="str">
        <f>"94904301_07026"</f>
        <v>94904301_07026</v>
      </c>
      <c r="G3006" s="6" t="str">
        <f t="shared" si="679"/>
        <v>F310631650000000</v>
      </c>
      <c r="H3006" s="6" t="str">
        <f t="shared" si="680"/>
        <v>PLAR 6316 FD - 500 g</v>
      </c>
      <c r="I3006" s="6" t="str">
        <f>"202575"</f>
        <v>202575</v>
      </c>
      <c r="J3006" s="6" t="str">
        <f>"BEGE 2575"</f>
        <v>BEGE 2575</v>
      </c>
      <c r="K3006" s="6" t="str">
        <f>"2020"</f>
        <v>2020</v>
      </c>
      <c r="L3006" s="6" t="str">
        <f>"Lençóis"</f>
        <v>Lençóis</v>
      </c>
      <c r="M3006" s="6" t="str">
        <f>"100x150"</f>
        <v>100x150</v>
      </c>
      <c r="N3006" s="6" t="str">
        <f>"5602972281095"</f>
        <v>5602972281095</v>
      </c>
      <c r="O3006" s="8">
        <v>12</v>
      </c>
      <c r="R3006" s="8">
        <v>0</v>
      </c>
      <c r="U3006" s="8">
        <v>0</v>
      </c>
      <c r="X3006" s="8">
        <v>0</v>
      </c>
      <c r="Z3006" s="8">
        <v>0</v>
      </c>
      <c r="AC3006" s="8">
        <v>0</v>
      </c>
      <c r="AF3006" s="8">
        <v>0</v>
      </c>
      <c r="AN3006" s="8">
        <v>0</v>
      </c>
      <c r="AO3006" s="8">
        <v>12</v>
      </c>
    </row>
    <row r="3007" spans="1:41" x14ac:dyDescent="0.25">
      <c r="A3007" s="6" t="str">
        <f>"522-2026000446"</f>
        <v>522-2026000446</v>
      </c>
      <c r="B3007" s="6" t="str">
        <f t="shared" si="678"/>
        <v>EL CORTE</v>
      </c>
      <c r="C3007" s="7">
        <v>46045</v>
      </c>
      <c r="D3007" s="7">
        <v>46050</v>
      </c>
      <c r="E3007" s="8">
        <v>2</v>
      </c>
      <c r="F3007" s="6" t="str">
        <f>"94904301_07026"</f>
        <v>94904301_07026</v>
      </c>
      <c r="G3007" s="6" t="str">
        <f t="shared" si="679"/>
        <v>F310631650000000</v>
      </c>
      <c r="H3007" s="6" t="str">
        <f t="shared" si="680"/>
        <v>PLAR 6316 FD - 500 g</v>
      </c>
      <c r="I3007" s="6" t="str">
        <f>"200901"</f>
        <v>200901</v>
      </c>
      <c r="J3007" s="6" t="str">
        <f>"ROSA 901"</f>
        <v>ROSA 901</v>
      </c>
      <c r="K3007" s="6" t="str">
        <f>"0520"</f>
        <v>0520</v>
      </c>
      <c r="L3007" s="6" t="str">
        <f>"Toalhetes"</f>
        <v>Toalhetes</v>
      </c>
      <c r="M3007" s="6" t="str">
        <f>"30x50"</f>
        <v>30x50</v>
      </c>
      <c r="N3007" s="6" t="str">
        <f>"5602972281101"</f>
        <v>5602972281101</v>
      </c>
      <c r="O3007" s="8">
        <v>6</v>
      </c>
      <c r="R3007" s="8">
        <v>0</v>
      </c>
      <c r="U3007" s="8">
        <v>0</v>
      </c>
      <c r="X3007" s="8">
        <v>0</v>
      </c>
      <c r="Z3007" s="8">
        <v>0</v>
      </c>
      <c r="AC3007" s="8">
        <v>0</v>
      </c>
      <c r="AF3007" s="8">
        <v>0</v>
      </c>
      <c r="AN3007" s="8">
        <v>0</v>
      </c>
      <c r="AO3007" s="8">
        <v>6</v>
      </c>
    </row>
    <row r="3008" spans="1:41" x14ac:dyDescent="0.25">
      <c r="A3008" s="6" t="str">
        <f>"522-2026000446"</f>
        <v>522-2026000446</v>
      </c>
      <c r="B3008" s="6" t="str">
        <f t="shared" si="678"/>
        <v>EL CORTE</v>
      </c>
      <c r="C3008" s="7">
        <v>46045</v>
      </c>
      <c r="D3008" s="7">
        <v>46050</v>
      </c>
      <c r="E3008" s="8">
        <v>3</v>
      </c>
      <c r="F3008" s="6" t="str">
        <f>"94904301_07026"</f>
        <v>94904301_07026</v>
      </c>
      <c r="G3008" s="6" t="str">
        <f t="shared" si="679"/>
        <v>F310631650000000</v>
      </c>
      <c r="H3008" s="6" t="str">
        <f t="shared" si="680"/>
        <v>PLAR 6316 FD - 500 g</v>
      </c>
      <c r="I3008" s="6" t="str">
        <f>"200901"</f>
        <v>200901</v>
      </c>
      <c r="J3008" s="6" t="str">
        <f>"ROSA 901"</f>
        <v>ROSA 901</v>
      </c>
      <c r="K3008" s="6" t="str">
        <f>"2020"</f>
        <v>2020</v>
      </c>
      <c r="L3008" s="6" t="str">
        <f>"Lençóis"</f>
        <v>Lençóis</v>
      </c>
      <c r="M3008" s="6" t="str">
        <f>"100x150"</f>
        <v>100x150</v>
      </c>
      <c r="N3008" s="6" t="str">
        <f>"5602972281125"</f>
        <v>5602972281125</v>
      </c>
      <c r="O3008" s="8">
        <v>12</v>
      </c>
      <c r="R3008" s="8">
        <v>0</v>
      </c>
      <c r="U3008" s="8">
        <v>0</v>
      </c>
      <c r="X3008" s="8">
        <v>0</v>
      </c>
      <c r="Z3008" s="8">
        <v>0</v>
      </c>
      <c r="AC3008" s="8">
        <v>0</v>
      </c>
      <c r="AF3008" s="8">
        <v>0</v>
      </c>
      <c r="AN3008" s="8">
        <v>0</v>
      </c>
      <c r="AO3008" s="8">
        <v>12</v>
      </c>
    </row>
    <row r="3009" spans="1:41" x14ac:dyDescent="0.25">
      <c r="A3009" s="6" t="str">
        <f>"522-2026000446"</f>
        <v>522-2026000446</v>
      </c>
      <c r="B3009" s="6" t="str">
        <f t="shared" si="678"/>
        <v>EL CORTE</v>
      </c>
      <c r="C3009" s="7">
        <v>46045</v>
      </c>
      <c r="D3009" s="7">
        <v>46050</v>
      </c>
      <c r="E3009" s="8">
        <v>4</v>
      </c>
      <c r="F3009" s="6" t="str">
        <f>"94904301_07026"</f>
        <v>94904301_07026</v>
      </c>
      <c r="G3009" s="6" t="str">
        <f t="shared" si="679"/>
        <v>F310631650000000</v>
      </c>
      <c r="H3009" s="6" t="str">
        <f t="shared" si="680"/>
        <v>PLAR 6316 FD - 500 g</v>
      </c>
      <c r="I3009" s="6" t="str">
        <f>"200510"</f>
        <v>200510</v>
      </c>
      <c r="J3009" s="6" t="str">
        <f>"VERDE 510"</f>
        <v>VERDE 510</v>
      </c>
      <c r="K3009" s="6" t="str">
        <f>"0520"</f>
        <v>0520</v>
      </c>
      <c r="L3009" s="6" t="str">
        <f>"Toalhetes"</f>
        <v>Toalhetes</v>
      </c>
      <c r="M3009" s="6" t="str">
        <f>"30x50"</f>
        <v>30x50</v>
      </c>
      <c r="N3009" s="6" t="str">
        <f>"5602972281132"</f>
        <v>5602972281132</v>
      </c>
      <c r="O3009" s="8">
        <v>6</v>
      </c>
      <c r="R3009" s="8">
        <v>0</v>
      </c>
      <c r="U3009" s="8">
        <v>0</v>
      </c>
      <c r="X3009" s="8">
        <v>0</v>
      </c>
      <c r="Z3009" s="8">
        <v>0</v>
      </c>
      <c r="AC3009" s="8">
        <v>0</v>
      </c>
      <c r="AF3009" s="8">
        <v>0</v>
      </c>
      <c r="AN3009" s="8">
        <v>0</v>
      </c>
      <c r="AO3009" s="8">
        <v>6</v>
      </c>
    </row>
    <row r="3010" spans="1:41" x14ac:dyDescent="0.25">
      <c r="A3010" s="6" t="str">
        <f>"522-2026000446"</f>
        <v>522-2026000446</v>
      </c>
      <c r="B3010" s="6" t="str">
        <f t="shared" si="678"/>
        <v>EL CORTE</v>
      </c>
      <c r="C3010" s="7">
        <v>46045</v>
      </c>
      <c r="D3010" s="7">
        <v>46050</v>
      </c>
      <c r="E3010" s="8">
        <v>5</v>
      </c>
      <c r="F3010" s="6" t="str">
        <f>"94904301_07026"</f>
        <v>94904301_07026</v>
      </c>
      <c r="G3010" s="6" t="str">
        <f t="shared" si="679"/>
        <v>F310631650000000</v>
      </c>
      <c r="H3010" s="6" t="str">
        <f t="shared" si="680"/>
        <v>PLAR 6316 FD - 500 g</v>
      </c>
      <c r="I3010" s="6" t="str">
        <f>"200510"</f>
        <v>200510</v>
      </c>
      <c r="J3010" s="6" t="str">
        <f>"VERDE 510"</f>
        <v>VERDE 510</v>
      </c>
      <c r="K3010" s="6" t="str">
        <f>"2020"</f>
        <v>2020</v>
      </c>
      <c r="L3010" s="6" t="str">
        <f>"Lençóis"</f>
        <v>Lençóis</v>
      </c>
      <c r="M3010" s="6" t="str">
        <f>"100x150"</f>
        <v>100x150</v>
      </c>
      <c r="N3010" s="6" t="str">
        <f>"5602972281156"</f>
        <v>5602972281156</v>
      </c>
      <c r="O3010" s="8">
        <v>6</v>
      </c>
      <c r="R3010" s="8">
        <v>0</v>
      </c>
      <c r="U3010" s="8">
        <v>0</v>
      </c>
      <c r="X3010" s="8">
        <v>0</v>
      </c>
      <c r="Z3010" s="8">
        <v>0</v>
      </c>
      <c r="AC3010" s="8">
        <v>0</v>
      </c>
      <c r="AF3010" s="8">
        <v>0</v>
      </c>
      <c r="AN3010" s="8">
        <v>0</v>
      </c>
      <c r="AO3010" s="8">
        <v>6</v>
      </c>
    </row>
    <row r="3011" spans="1:41" x14ac:dyDescent="0.25">
      <c r="A3011" s="6" t="str">
        <f>"522-2026000447"</f>
        <v>522-2026000447</v>
      </c>
      <c r="B3011" s="6" t="str">
        <f t="shared" si="678"/>
        <v>EL CORTE</v>
      </c>
      <c r="C3011" s="7">
        <v>46045</v>
      </c>
      <c r="D3011" s="7">
        <v>46050</v>
      </c>
      <c r="E3011" s="8">
        <v>1</v>
      </c>
      <c r="F3011" s="6" t="str">
        <f>"94904401_07026"</f>
        <v>94904401_07026</v>
      </c>
      <c r="G3011" s="6" t="str">
        <f t="shared" si="679"/>
        <v>F310631650000000</v>
      </c>
      <c r="H3011" s="6" t="str">
        <f t="shared" si="680"/>
        <v>PLAR 6316 FD - 500 g</v>
      </c>
      <c r="I3011" s="6" t="str">
        <f>"201855"</f>
        <v>201855</v>
      </c>
      <c r="J3011" s="6" t="str">
        <f>"AZUL 1855"</f>
        <v>AZUL 1855</v>
      </c>
      <c r="K3011" s="6" t="str">
        <f>"0520"</f>
        <v>0520</v>
      </c>
      <c r="L3011" s="6" t="str">
        <f>"Toalhetes"</f>
        <v>Toalhetes</v>
      </c>
      <c r="M3011" s="6" t="str">
        <f>"30x50"</f>
        <v>30x50</v>
      </c>
      <c r="N3011" s="6" t="str">
        <f>"5602972281040"</f>
        <v>5602972281040</v>
      </c>
      <c r="O3011" s="8">
        <v>6</v>
      </c>
      <c r="R3011" s="8">
        <v>0</v>
      </c>
      <c r="U3011" s="8">
        <v>0</v>
      </c>
      <c r="X3011" s="8">
        <v>0</v>
      </c>
      <c r="Z3011" s="8">
        <v>0</v>
      </c>
      <c r="AC3011" s="8">
        <v>0</v>
      </c>
      <c r="AF3011" s="8">
        <v>0</v>
      </c>
      <c r="AN3011" s="8">
        <v>0</v>
      </c>
      <c r="AO3011" s="8">
        <v>6</v>
      </c>
    </row>
    <row r="3012" spans="1:41" x14ac:dyDescent="0.25">
      <c r="A3012" s="6" t="str">
        <f>"522-2026000447"</f>
        <v>522-2026000447</v>
      </c>
      <c r="B3012" s="6" t="str">
        <f t="shared" si="678"/>
        <v>EL CORTE</v>
      </c>
      <c r="C3012" s="7">
        <v>46045</v>
      </c>
      <c r="D3012" s="7">
        <v>46050</v>
      </c>
      <c r="E3012" s="8">
        <v>2</v>
      </c>
      <c r="F3012" s="6" t="str">
        <f>"94904401_07026"</f>
        <v>94904401_07026</v>
      </c>
      <c r="G3012" s="6" t="str">
        <f t="shared" si="679"/>
        <v>F310631650000000</v>
      </c>
      <c r="H3012" s="6" t="str">
        <f t="shared" si="680"/>
        <v>PLAR 6316 FD - 500 g</v>
      </c>
      <c r="I3012" s="6" t="str">
        <f>"201855"</f>
        <v>201855</v>
      </c>
      <c r="J3012" s="6" t="str">
        <f>"AZUL 1855"</f>
        <v>AZUL 1855</v>
      </c>
      <c r="K3012" s="6" t="str">
        <f>"2020"</f>
        <v>2020</v>
      </c>
      <c r="L3012" s="6" t="str">
        <f>"Lençóis"</f>
        <v>Lençóis</v>
      </c>
      <c r="M3012" s="6" t="str">
        <f>"100x150"</f>
        <v>100x150</v>
      </c>
      <c r="N3012" s="6" t="str">
        <f>"5602972281064"</f>
        <v>5602972281064</v>
      </c>
      <c r="O3012" s="8">
        <v>3</v>
      </c>
      <c r="R3012" s="8">
        <v>0</v>
      </c>
      <c r="U3012" s="8">
        <v>0</v>
      </c>
      <c r="X3012" s="8">
        <v>0</v>
      </c>
      <c r="Z3012" s="8">
        <v>0</v>
      </c>
      <c r="AC3012" s="8">
        <v>0</v>
      </c>
      <c r="AF3012" s="8">
        <v>0</v>
      </c>
      <c r="AN3012" s="8">
        <v>0</v>
      </c>
      <c r="AO3012" s="8">
        <v>3</v>
      </c>
    </row>
    <row r="3013" spans="1:41" x14ac:dyDescent="0.25">
      <c r="A3013" s="6" t="str">
        <f>"522-2026000447"</f>
        <v>522-2026000447</v>
      </c>
      <c r="B3013" s="6" t="str">
        <f t="shared" si="678"/>
        <v>EL CORTE</v>
      </c>
      <c r="C3013" s="7">
        <v>46045</v>
      </c>
      <c r="D3013" s="7">
        <v>46050</v>
      </c>
      <c r="E3013" s="8">
        <v>3</v>
      </c>
      <c r="F3013" s="6" t="str">
        <f>"94904401_07026"</f>
        <v>94904401_07026</v>
      </c>
      <c r="G3013" s="6" t="str">
        <f t="shared" si="679"/>
        <v>F310631650000000</v>
      </c>
      <c r="H3013" s="6" t="str">
        <f t="shared" si="680"/>
        <v>PLAR 6316 FD - 500 g</v>
      </c>
      <c r="I3013" s="6" t="str">
        <f>"200901"</f>
        <v>200901</v>
      </c>
      <c r="J3013" s="6" t="str">
        <f>"ROSA 901"</f>
        <v>ROSA 901</v>
      </c>
      <c r="K3013" s="6" t="str">
        <f>"1024"</f>
        <v>1024</v>
      </c>
      <c r="L3013" s="6" t="str">
        <f>"Toalhas"</f>
        <v>Toalhas</v>
      </c>
      <c r="M3013" s="6" t="str">
        <f>"50x100"</f>
        <v>50x100</v>
      </c>
      <c r="N3013" s="6" t="str">
        <f>"5602972281118"</f>
        <v>5602972281118</v>
      </c>
      <c r="O3013" s="8">
        <v>6</v>
      </c>
      <c r="R3013" s="8">
        <v>0</v>
      </c>
      <c r="U3013" s="8">
        <v>0</v>
      </c>
      <c r="X3013" s="8">
        <v>0</v>
      </c>
      <c r="Z3013" s="8">
        <v>0</v>
      </c>
      <c r="AC3013" s="8">
        <v>0</v>
      </c>
      <c r="AF3013" s="8">
        <v>0</v>
      </c>
      <c r="AN3013" s="8">
        <v>6</v>
      </c>
      <c r="AO3013" s="8">
        <v>0</v>
      </c>
    </row>
    <row r="3014" spans="1:41" x14ac:dyDescent="0.25">
      <c r="A3014" s="6" t="str">
        <f>"522-2026000447"</f>
        <v>522-2026000447</v>
      </c>
      <c r="B3014" s="6" t="str">
        <f t="shared" si="678"/>
        <v>EL CORTE</v>
      </c>
      <c r="C3014" s="7">
        <v>46045</v>
      </c>
      <c r="D3014" s="7">
        <v>46050</v>
      </c>
      <c r="E3014" s="8">
        <v>4</v>
      </c>
      <c r="F3014" s="6" t="str">
        <f>"94904401_07026"</f>
        <v>94904401_07026</v>
      </c>
      <c r="G3014" s="6" t="str">
        <f t="shared" si="679"/>
        <v>F310631650000000</v>
      </c>
      <c r="H3014" s="6" t="str">
        <f t="shared" si="680"/>
        <v>PLAR 6316 FD - 500 g</v>
      </c>
      <c r="I3014" s="6" t="str">
        <f>"200901"</f>
        <v>200901</v>
      </c>
      <c r="J3014" s="6" t="str">
        <f>"ROSA 901"</f>
        <v>ROSA 901</v>
      </c>
      <c r="K3014" s="6" t="str">
        <f>"2020"</f>
        <v>2020</v>
      </c>
      <c r="L3014" s="6" t="str">
        <f>"Lençóis"</f>
        <v>Lençóis</v>
      </c>
      <c r="M3014" s="6" t="str">
        <f>"100x150"</f>
        <v>100x150</v>
      </c>
      <c r="N3014" s="6" t="str">
        <f>"5602972281125"</f>
        <v>5602972281125</v>
      </c>
      <c r="O3014" s="8">
        <v>3</v>
      </c>
      <c r="R3014" s="8">
        <v>0</v>
      </c>
      <c r="U3014" s="8">
        <v>0</v>
      </c>
      <c r="X3014" s="8">
        <v>0</v>
      </c>
      <c r="Z3014" s="8">
        <v>0</v>
      </c>
      <c r="AC3014" s="8">
        <v>0</v>
      </c>
      <c r="AF3014" s="8">
        <v>0</v>
      </c>
      <c r="AN3014" s="8">
        <v>0</v>
      </c>
      <c r="AO3014" s="8">
        <v>3</v>
      </c>
    </row>
    <row r="3015" spans="1:41" x14ac:dyDescent="0.25">
      <c r="A3015" s="6" t="str">
        <f>"522-2026000447"</f>
        <v>522-2026000447</v>
      </c>
      <c r="B3015" s="6" t="str">
        <f t="shared" ref="B3015:B3078" si="683">"EL CORTE"</f>
        <v>EL CORTE</v>
      </c>
      <c r="C3015" s="7">
        <v>46045</v>
      </c>
      <c r="D3015" s="7">
        <v>46050</v>
      </c>
      <c r="E3015" s="8">
        <v>5</v>
      </c>
      <c r="F3015" s="6" t="str">
        <f>"94904401_07026"</f>
        <v>94904401_07026</v>
      </c>
      <c r="G3015" s="6" t="str">
        <f t="shared" ref="G3015:G3078" si="684">"F310631650000000"</f>
        <v>F310631650000000</v>
      </c>
      <c r="H3015" s="6" t="str">
        <f t="shared" ref="H3015:H3078" si="685">"PLAR 6316 FD - 500 g"</f>
        <v>PLAR 6316 FD - 500 g</v>
      </c>
      <c r="I3015" s="6" t="str">
        <f>"200510"</f>
        <v>200510</v>
      </c>
      <c r="J3015" s="6" t="str">
        <f>"VERDE 510"</f>
        <v>VERDE 510</v>
      </c>
      <c r="K3015" s="6" t="str">
        <f>"2020"</f>
        <v>2020</v>
      </c>
      <c r="L3015" s="6" t="str">
        <f>"Lençóis"</f>
        <v>Lençóis</v>
      </c>
      <c r="M3015" s="6" t="str">
        <f>"100x150"</f>
        <v>100x150</v>
      </c>
      <c r="N3015" s="6" t="str">
        <f>"5602972281156"</f>
        <v>5602972281156</v>
      </c>
      <c r="O3015" s="8">
        <v>3</v>
      </c>
      <c r="R3015" s="8">
        <v>0</v>
      </c>
      <c r="U3015" s="8">
        <v>0</v>
      </c>
      <c r="X3015" s="8">
        <v>0</v>
      </c>
      <c r="Z3015" s="8">
        <v>0</v>
      </c>
      <c r="AC3015" s="8">
        <v>0</v>
      </c>
      <c r="AF3015" s="8">
        <v>0</v>
      </c>
      <c r="AN3015" s="8">
        <v>0</v>
      </c>
      <c r="AO3015" s="8">
        <v>3</v>
      </c>
    </row>
    <row r="3016" spans="1:41" x14ac:dyDescent="0.25">
      <c r="A3016" s="6" t="str">
        <f t="shared" ref="A3016:A3021" si="686">"522-2026000448"</f>
        <v>522-2026000448</v>
      </c>
      <c r="B3016" s="6" t="str">
        <f t="shared" si="683"/>
        <v>EL CORTE</v>
      </c>
      <c r="C3016" s="7">
        <v>46045</v>
      </c>
      <c r="D3016" s="7">
        <v>46050</v>
      </c>
      <c r="E3016" s="8">
        <v>1</v>
      </c>
      <c r="F3016" s="6" t="str">
        <f t="shared" ref="F3016:F3021" si="687">"94906001_07026"</f>
        <v>94906001_07026</v>
      </c>
      <c r="G3016" s="6" t="str">
        <f t="shared" si="684"/>
        <v>F310631650000000</v>
      </c>
      <c r="H3016" s="6" t="str">
        <f t="shared" si="685"/>
        <v>PLAR 6316 FD - 500 g</v>
      </c>
      <c r="I3016" s="6" t="str">
        <f>"201855"</f>
        <v>201855</v>
      </c>
      <c r="J3016" s="6" t="str">
        <f>"AZUL 1855"</f>
        <v>AZUL 1855</v>
      </c>
      <c r="K3016" s="6" t="str">
        <f>"1024"</f>
        <v>1024</v>
      </c>
      <c r="L3016" s="6" t="str">
        <f>"Toalhas"</f>
        <v>Toalhas</v>
      </c>
      <c r="M3016" s="6" t="str">
        <f>"50x100"</f>
        <v>50x100</v>
      </c>
      <c r="N3016" s="6" t="str">
        <f>"5602972281057"</f>
        <v>5602972281057</v>
      </c>
      <c r="O3016" s="8">
        <v>6</v>
      </c>
      <c r="R3016" s="8">
        <v>0</v>
      </c>
      <c r="U3016" s="8">
        <v>0</v>
      </c>
      <c r="X3016" s="8">
        <v>0</v>
      </c>
      <c r="Z3016" s="8">
        <v>0</v>
      </c>
      <c r="AC3016" s="8">
        <v>0</v>
      </c>
      <c r="AF3016" s="8">
        <v>0</v>
      </c>
      <c r="AN3016" s="8">
        <v>0</v>
      </c>
      <c r="AO3016" s="8">
        <v>6</v>
      </c>
    </row>
    <row r="3017" spans="1:41" x14ac:dyDescent="0.25">
      <c r="A3017" s="6" t="str">
        <f t="shared" si="686"/>
        <v>522-2026000448</v>
      </c>
      <c r="B3017" s="6" t="str">
        <f t="shared" si="683"/>
        <v>EL CORTE</v>
      </c>
      <c r="C3017" s="7">
        <v>46045</v>
      </c>
      <c r="D3017" s="7">
        <v>46050</v>
      </c>
      <c r="E3017" s="8">
        <v>2</v>
      </c>
      <c r="F3017" s="6" t="str">
        <f t="shared" si="687"/>
        <v>94906001_07026</v>
      </c>
      <c r="G3017" s="6" t="str">
        <f t="shared" si="684"/>
        <v>F310631650000000</v>
      </c>
      <c r="H3017" s="6" t="str">
        <f t="shared" si="685"/>
        <v>PLAR 6316 FD - 500 g</v>
      </c>
      <c r="I3017" s="6" t="str">
        <f>"201855"</f>
        <v>201855</v>
      </c>
      <c r="J3017" s="6" t="str">
        <f>"AZUL 1855"</f>
        <v>AZUL 1855</v>
      </c>
      <c r="K3017" s="6" t="str">
        <f>"2020"</f>
        <v>2020</v>
      </c>
      <c r="L3017" s="6" t="str">
        <f>"Lençóis"</f>
        <v>Lençóis</v>
      </c>
      <c r="M3017" s="6" t="str">
        <f>"100x150"</f>
        <v>100x150</v>
      </c>
      <c r="N3017" s="6" t="str">
        <f>"5602972281064"</f>
        <v>5602972281064</v>
      </c>
      <c r="O3017" s="8">
        <v>3</v>
      </c>
      <c r="R3017" s="8">
        <v>0</v>
      </c>
      <c r="U3017" s="8">
        <v>0</v>
      </c>
      <c r="X3017" s="8">
        <v>0</v>
      </c>
      <c r="Z3017" s="8">
        <v>0</v>
      </c>
      <c r="AC3017" s="8">
        <v>0</v>
      </c>
      <c r="AF3017" s="8">
        <v>0</v>
      </c>
      <c r="AN3017" s="8">
        <v>0</v>
      </c>
      <c r="AO3017" s="8">
        <v>3</v>
      </c>
    </row>
    <row r="3018" spans="1:41" x14ac:dyDescent="0.25">
      <c r="A3018" s="6" t="str">
        <f t="shared" si="686"/>
        <v>522-2026000448</v>
      </c>
      <c r="B3018" s="6" t="str">
        <f t="shared" si="683"/>
        <v>EL CORTE</v>
      </c>
      <c r="C3018" s="7">
        <v>46045</v>
      </c>
      <c r="D3018" s="7">
        <v>46050</v>
      </c>
      <c r="E3018" s="8">
        <v>3</v>
      </c>
      <c r="F3018" s="6" t="str">
        <f t="shared" si="687"/>
        <v>94906001_07026</v>
      </c>
      <c r="G3018" s="6" t="str">
        <f t="shared" si="684"/>
        <v>F310631650000000</v>
      </c>
      <c r="H3018" s="6" t="str">
        <f t="shared" si="685"/>
        <v>PLAR 6316 FD - 500 g</v>
      </c>
      <c r="I3018" s="6" t="str">
        <f>"202575"</f>
        <v>202575</v>
      </c>
      <c r="J3018" s="6" t="str">
        <f>"BEGE 2575"</f>
        <v>BEGE 2575</v>
      </c>
      <c r="K3018" s="6" t="str">
        <f>"2020"</f>
        <v>2020</v>
      </c>
      <c r="L3018" s="6" t="str">
        <f>"Lençóis"</f>
        <v>Lençóis</v>
      </c>
      <c r="M3018" s="6" t="str">
        <f>"100x150"</f>
        <v>100x150</v>
      </c>
      <c r="N3018" s="6" t="str">
        <f>"5602972281095"</f>
        <v>5602972281095</v>
      </c>
      <c r="O3018" s="8">
        <v>3</v>
      </c>
      <c r="R3018" s="8">
        <v>0</v>
      </c>
      <c r="U3018" s="8">
        <v>0</v>
      </c>
      <c r="X3018" s="8">
        <v>0</v>
      </c>
      <c r="Z3018" s="8">
        <v>0</v>
      </c>
      <c r="AC3018" s="8">
        <v>0</v>
      </c>
      <c r="AF3018" s="8">
        <v>0</v>
      </c>
      <c r="AN3018" s="8">
        <v>0</v>
      </c>
      <c r="AO3018" s="8">
        <v>3</v>
      </c>
    </row>
    <row r="3019" spans="1:41" x14ac:dyDescent="0.25">
      <c r="A3019" s="6" t="str">
        <f t="shared" si="686"/>
        <v>522-2026000448</v>
      </c>
      <c r="B3019" s="6" t="str">
        <f t="shared" si="683"/>
        <v>EL CORTE</v>
      </c>
      <c r="C3019" s="7">
        <v>46045</v>
      </c>
      <c r="D3019" s="7">
        <v>46050</v>
      </c>
      <c r="E3019" s="8">
        <v>4</v>
      </c>
      <c r="F3019" s="6" t="str">
        <f t="shared" si="687"/>
        <v>94906001_07026</v>
      </c>
      <c r="G3019" s="6" t="str">
        <f t="shared" si="684"/>
        <v>F310631650000000</v>
      </c>
      <c r="H3019" s="6" t="str">
        <f t="shared" si="685"/>
        <v>PLAR 6316 FD - 500 g</v>
      </c>
      <c r="I3019" s="6" t="str">
        <f>"200901"</f>
        <v>200901</v>
      </c>
      <c r="J3019" s="6" t="str">
        <f>"ROSA 901"</f>
        <v>ROSA 901</v>
      </c>
      <c r="K3019" s="6" t="str">
        <f>"2020"</f>
        <v>2020</v>
      </c>
      <c r="L3019" s="6" t="str">
        <f>"Lençóis"</f>
        <v>Lençóis</v>
      </c>
      <c r="M3019" s="6" t="str">
        <f>"100x150"</f>
        <v>100x150</v>
      </c>
      <c r="N3019" s="6" t="str">
        <f>"5602972281125"</f>
        <v>5602972281125</v>
      </c>
      <c r="O3019" s="8">
        <v>3</v>
      </c>
      <c r="R3019" s="8">
        <v>0</v>
      </c>
      <c r="U3019" s="8">
        <v>0</v>
      </c>
      <c r="X3019" s="8">
        <v>0</v>
      </c>
      <c r="Z3019" s="8">
        <v>0</v>
      </c>
      <c r="AC3019" s="8">
        <v>0</v>
      </c>
      <c r="AF3019" s="8">
        <v>0</v>
      </c>
      <c r="AN3019" s="8">
        <v>0</v>
      </c>
      <c r="AO3019" s="8">
        <v>3</v>
      </c>
    </row>
    <row r="3020" spans="1:41" x14ac:dyDescent="0.25">
      <c r="A3020" s="6" t="str">
        <f t="shared" si="686"/>
        <v>522-2026000448</v>
      </c>
      <c r="B3020" s="6" t="str">
        <f t="shared" si="683"/>
        <v>EL CORTE</v>
      </c>
      <c r="C3020" s="7">
        <v>46045</v>
      </c>
      <c r="D3020" s="7">
        <v>46050</v>
      </c>
      <c r="E3020" s="8">
        <v>5</v>
      </c>
      <c r="F3020" s="6" t="str">
        <f t="shared" si="687"/>
        <v>94906001_07026</v>
      </c>
      <c r="G3020" s="6" t="str">
        <f t="shared" si="684"/>
        <v>F310631650000000</v>
      </c>
      <c r="H3020" s="6" t="str">
        <f t="shared" si="685"/>
        <v>PLAR 6316 FD - 500 g</v>
      </c>
      <c r="I3020" s="6" t="str">
        <f>"200510"</f>
        <v>200510</v>
      </c>
      <c r="J3020" s="6" t="str">
        <f>"VERDE 510"</f>
        <v>VERDE 510</v>
      </c>
      <c r="K3020" s="6" t="str">
        <f>"1024"</f>
        <v>1024</v>
      </c>
      <c r="L3020" s="6" t="str">
        <f>"Toalhas"</f>
        <v>Toalhas</v>
      </c>
      <c r="M3020" s="6" t="str">
        <f>"50x100"</f>
        <v>50x100</v>
      </c>
      <c r="N3020" s="6" t="str">
        <f>"5602972281149"</f>
        <v>5602972281149</v>
      </c>
      <c r="O3020" s="8">
        <v>6</v>
      </c>
      <c r="R3020" s="8">
        <v>0</v>
      </c>
      <c r="U3020" s="8">
        <v>0</v>
      </c>
      <c r="X3020" s="8">
        <v>0</v>
      </c>
      <c r="Z3020" s="8">
        <v>0</v>
      </c>
      <c r="AC3020" s="8">
        <v>0</v>
      </c>
      <c r="AF3020" s="8">
        <v>0</v>
      </c>
      <c r="AN3020" s="8">
        <v>6</v>
      </c>
      <c r="AO3020" s="8">
        <v>0</v>
      </c>
    </row>
    <row r="3021" spans="1:41" x14ac:dyDescent="0.25">
      <c r="A3021" s="6" t="str">
        <f t="shared" si="686"/>
        <v>522-2026000448</v>
      </c>
      <c r="B3021" s="6" t="str">
        <f t="shared" si="683"/>
        <v>EL CORTE</v>
      </c>
      <c r="C3021" s="7">
        <v>46045</v>
      </c>
      <c r="D3021" s="7">
        <v>46050</v>
      </c>
      <c r="E3021" s="8">
        <v>6</v>
      </c>
      <c r="F3021" s="6" t="str">
        <f t="shared" si="687"/>
        <v>94906001_07026</v>
      </c>
      <c r="G3021" s="6" t="str">
        <f t="shared" si="684"/>
        <v>F310631650000000</v>
      </c>
      <c r="H3021" s="6" t="str">
        <f t="shared" si="685"/>
        <v>PLAR 6316 FD - 500 g</v>
      </c>
      <c r="I3021" s="6" t="str">
        <f>"200510"</f>
        <v>200510</v>
      </c>
      <c r="J3021" s="6" t="str">
        <f>"VERDE 510"</f>
        <v>VERDE 510</v>
      </c>
      <c r="K3021" s="6" t="str">
        <f>"2020"</f>
        <v>2020</v>
      </c>
      <c r="L3021" s="6" t="str">
        <f>"Lençóis"</f>
        <v>Lençóis</v>
      </c>
      <c r="M3021" s="6" t="str">
        <f>"100x150"</f>
        <v>100x150</v>
      </c>
      <c r="N3021" s="6" t="str">
        <f>"5602972281156"</f>
        <v>5602972281156</v>
      </c>
      <c r="O3021" s="8">
        <v>3</v>
      </c>
      <c r="R3021" s="8">
        <v>0</v>
      </c>
      <c r="U3021" s="8">
        <v>0</v>
      </c>
      <c r="X3021" s="8">
        <v>0</v>
      </c>
      <c r="Z3021" s="8">
        <v>0</v>
      </c>
      <c r="AC3021" s="8">
        <v>0</v>
      </c>
      <c r="AF3021" s="8">
        <v>0</v>
      </c>
      <c r="AN3021" s="8">
        <v>0</v>
      </c>
      <c r="AO3021" s="8">
        <v>3</v>
      </c>
    </row>
    <row r="3022" spans="1:41" x14ac:dyDescent="0.25">
      <c r="A3022" s="6" t="str">
        <f>"522-2026000449"</f>
        <v>522-2026000449</v>
      </c>
      <c r="B3022" s="6" t="str">
        <f t="shared" si="683"/>
        <v>EL CORTE</v>
      </c>
      <c r="C3022" s="7">
        <v>46045</v>
      </c>
      <c r="D3022" s="7">
        <v>46050</v>
      </c>
      <c r="E3022" s="8">
        <v>1</v>
      </c>
      <c r="F3022" s="6" t="str">
        <f>"94905901_07026"</f>
        <v>94905901_07026</v>
      </c>
      <c r="G3022" s="6" t="str">
        <f t="shared" si="684"/>
        <v>F310631650000000</v>
      </c>
      <c r="H3022" s="6" t="str">
        <f t="shared" si="685"/>
        <v>PLAR 6316 FD - 500 g</v>
      </c>
      <c r="I3022" s="6" t="str">
        <f>"200901"</f>
        <v>200901</v>
      </c>
      <c r="J3022" s="6" t="str">
        <f>"ROSA 901"</f>
        <v>ROSA 901</v>
      </c>
      <c r="K3022" s="6" t="str">
        <f>"2020"</f>
        <v>2020</v>
      </c>
      <c r="L3022" s="6" t="str">
        <f>"Lençóis"</f>
        <v>Lençóis</v>
      </c>
      <c r="M3022" s="6" t="str">
        <f>"100x150"</f>
        <v>100x150</v>
      </c>
      <c r="N3022" s="6" t="str">
        <f>"5602972281125"</f>
        <v>5602972281125</v>
      </c>
      <c r="O3022" s="8">
        <v>3</v>
      </c>
      <c r="R3022" s="8">
        <v>0</v>
      </c>
      <c r="U3022" s="8">
        <v>0</v>
      </c>
      <c r="X3022" s="8">
        <v>0</v>
      </c>
      <c r="Z3022" s="8">
        <v>0</v>
      </c>
      <c r="AC3022" s="8">
        <v>0</v>
      </c>
      <c r="AF3022" s="8">
        <v>0</v>
      </c>
      <c r="AN3022" s="8">
        <v>0</v>
      </c>
      <c r="AO3022" s="8">
        <v>3</v>
      </c>
    </row>
    <row r="3023" spans="1:41" x14ac:dyDescent="0.25">
      <c r="A3023" s="6" t="str">
        <f>"522-2026000450"</f>
        <v>522-2026000450</v>
      </c>
      <c r="B3023" s="6" t="str">
        <f t="shared" si="683"/>
        <v>EL CORTE</v>
      </c>
      <c r="C3023" s="7">
        <v>46045</v>
      </c>
      <c r="D3023" s="7">
        <v>46050</v>
      </c>
      <c r="E3023" s="8">
        <v>1</v>
      </c>
      <c r="F3023" s="6" t="str">
        <f>"94906201_07026"</f>
        <v>94906201_07026</v>
      </c>
      <c r="G3023" s="6" t="str">
        <f t="shared" si="684"/>
        <v>F310631650000000</v>
      </c>
      <c r="H3023" s="6" t="str">
        <f t="shared" si="685"/>
        <v>PLAR 6316 FD - 500 g</v>
      </c>
      <c r="I3023" s="6" t="str">
        <f>"200510"</f>
        <v>200510</v>
      </c>
      <c r="J3023" s="6" t="str">
        <f>"VERDE 510"</f>
        <v>VERDE 510</v>
      </c>
      <c r="K3023" s="6" t="str">
        <f>"2020"</f>
        <v>2020</v>
      </c>
      <c r="L3023" s="6" t="str">
        <f>"Lençóis"</f>
        <v>Lençóis</v>
      </c>
      <c r="M3023" s="6" t="str">
        <f>"100x150"</f>
        <v>100x150</v>
      </c>
      <c r="N3023" s="6" t="str">
        <f>"5602972281156"</f>
        <v>5602972281156</v>
      </c>
      <c r="O3023" s="8">
        <v>3</v>
      </c>
      <c r="R3023" s="8">
        <v>0</v>
      </c>
      <c r="U3023" s="8">
        <v>0</v>
      </c>
      <c r="X3023" s="8">
        <v>0</v>
      </c>
      <c r="Z3023" s="8">
        <v>0</v>
      </c>
      <c r="AC3023" s="8">
        <v>0</v>
      </c>
      <c r="AF3023" s="8">
        <v>0</v>
      </c>
      <c r="AN3023" s="8">
        <v>0</v>
      </c>
      <c r="AO3023" s="8">
        <v>3</v>
      </c>
    </row>
    <row r="3024" spans="1:41" x14ac:dyDescent="0.25">
      <c r="A3024" s="6" t="str">
        <f>"522-2026000451"</f>
        <v>522-2026000451</v>
      </c>
      <c r="B3024" s="6" t="str">
        <f t="shared" si="683"/>
        <v>EL CORTE</v>
      </c>
      <c r="C3024" s="7">
        <v>46045</v>
      </c>
      <c r="D3024" s="7">
        <v>46050</v>
      </c>
      <c r="E3024" s="8">
        <v>1</v>
      </c>
      <c r="F3024" s="6" t="str">
        <f>"94904501_07026"</f>
        <v>94904501_07026</v>
      </c>
      <c r="G3024" s="6" t="str">
        <f t="shared" si="684"/>
        <v>F310631650000000</v>
      </c>
      <c r="H3024" s="6" t="str">
        <f t="shared" si="685"/>
        <v>PLAR 6316 FD - 500 g</v>
      </c>
      <c r="I3024" s="6" t="str">
        <f>"201855"</f>
        <v>201855</v>
      </c>
      <c r="J3024" s="6" t="str">
        <f>"AZUL 1855"</f>
        <v>AZUL 1855</v>
      </c>
      <c r="K3024" s="6" t="str">
        <f>"2020"</f>
        <v>2020</v>
      </c>
      <c r="L3024" s="6" t="str">
        <f>"Lençóis"</f>
        <v>Lençóis</v>
      </c>
      <c r="M3024" s="6" t="str">
        <f>"100x150"</f>
        <v>100x150</v>
      </c>
      <c r="N3024" s="6" t="str">
        <f>"5602972281064"</f>
        <v>5602972281064</v>
      </c>
      <c r="O3024" s="8">
        <v>3</v>
      </c>
      <c r="R3024" s="8">
        <v>0</v>
      </c>
      <c r="U3024" s="8">
        <v>0</v>
      </c>
      <c r="X3024" s="8">
        <v>0</v>
      </c>
      <c r="Z3024" s="8">
        <v>0</v>
      </c>
      <c r="AC3024" s="8">
        <v>0</v>
      </c>
      <c r="AF3024" s="8">
        <v>0</v>
      </c>
      <c r="AN3024" s="8">
        <v>0</v>
      </c>
      <c r="AO3024" s="8">
        <v>3</v>
      </c>
    </row>
    <row r="3025" spans="1:41" x14ac:dyDescent="0.25">
      <c r="A3025" s="6" t="str">
        <f>"522-2026000452"</f>
        <v>522-2026000452</v>
      </c>
      <c r="B3025" s="6" t="str">
        <f t="shared" si="683"/>
        <v>EL CORTE</v>
      </c>
      <c r="C3025" s="7">
        <v>46045</v>
      </c>
      <c r="D3025" s="7">
        <v>46050</v>
      </c>
      <c r="E3025" s="8">
        <v>1</v>
      </c>
      <c r="F3025" s="6" t="str">
        <f>"94905001_07026"</f>
        <v>94905001_07026</v>
      </c>
      <c r="G3025" s="6" t="str">
        <f t="shared" si="684"/>
        <v>F310631650000000</v>
      </c>
      <c r="H3025" s="6" t="str">
        <f t="shared" si="685"/>
        <v>PLAR 6316 FD - 500 g</v>
      </c>
      <c r="I3025" s="6" t="str">
        <f>"201855"</f>
        <v>201855</v>
      </c>
      <c r="J3025" s="6" t="str">
        <f>"AZUL 1855"</f>
        <v>AZUL 1855</v>
      </c>
      <c r="K3025" s="6" t="str">
        <f>"1024"</f>
        <v>1024</v>
      </c>
      <c r="L3025" s="6" t="str">
        <f>"Toalhas"</f>
        <v>Toalhas</v>
      </c>
      <c r="M3025" s="6" t="str">
        <f>"50x100"</f>
        <v>50x100</v>
      </c>
      <c r="N3025" s="6" t="str">
        <f>"5602972281057"</f>
        <v>5602972281057</v>
      </c>
      <c r="O3025" s="8">
        <v>6</v>
      </c>
      <c r="R3025" s="8">
        <v>0</v>
      </c>
      <c r="U3025" s="8">
        <v>0</v>
      </c>
      <c r="X3025" s="8">
        <v>0</v>
      </c>
      <c r="Z3025" s="8">
        <v>0</v>
      </c>
      <c r="AC3025" s="8">
        <v>0</v>
      </c>
      <c r="AF3025" s="8">
        <v>0</v>
      </c>
      <c r="AN3025" s="8">
        <v>0</v>
      </c>
      <c r="AO3025" s="8">
        <v>6</v>
      </c>
    </row>
    <row r="3026" spans="1:41" x14ac:dyDescent="0.25">
      <c r="A3026" s="6" t="str">
        <f>"522-2026000452"</f>
        <v>522-2026000452</v>
      </c>
      <c r="B3026" s="6" t="str">
        <f t="shared" si="683"/>
        <v>EL CORTE</v>
      </c>
      <c r="C3026" s="7">
        <v>46045</v>
      </c>
      <c r="D3026" s="7">
        <v>46050</v>
      </c>
      <c r="E3026" s="8">
        <v>2</v>
      </c>
      <c r="F3026" s="6" t="str">
        <f>"94905001_07026"</f>
        <v>94905001_07026</v>
      </c>
      <c r="G3026" s="6" t="str">
        <f t="shared" si="684"/>
        <v>F310631650000000</v>
      </c>
      <c r="H3026" s="6" t="str">
        <f t="shared" si="685"/>
        <v>PLAR 6316 FD - 500 g</v>
      </c>
      <c r="I3026" s="6" t="str">
        <f>"201855"</f>
        <v>201855</v>
      </c>
      <c r="J3026" s="6" t="str">
        <f>"AZUL 1855"</f>
        <v>AZUL 1855</v>
      </c>
      <c r="K3026" s="6" t="str">
        <f>"2020"</f>
        <v>2020</v>
      </c>
      <c r="L3026" s="6" t="str">
        <f>"Lençóis"</f>
        <v>Lençóis</v>
      </c>
      <c r="M3026" s="6" t="str">
        <f>"100x150"</f>
        <v>100x150</v>
      </c>
      <c r="N3026" s="6" t="str">
        <f>"5602972281064"</f>
        <v>5602972281064</v>
      </c>
      <c r="O3026" s="8">
        <v>3</v>
      </c>
      <c r="R3026" s="8">
        <v>0</v>
      </c>
      <c r="U3026" s="8">
        <v>0</v>
      </c>
      <c r="X3026" s="8">
        <v>0</v>
      </c>
      <c r="Z3026" s="8">
        <v>0</v>
      </c>
      <c r="AC3026" s="8">
        <v>0</v>
      </c>
      <c r="AF3026" s="8">
        <v>0</v>
      </c>
      <c r="AN3026" s="8">
        <v>0</v>
      </c>
      <c r="AO3026" s="8">
        <v>3</v>
      </c>
    </row>
    <row r="3027" spans="1:41" x14ac:dyDescent="0.25">
      <c r="A3027" s="6" t="str">
        <f>"522-2026000453"</f>
        <v>522-2026000453</v>
      </c>
      <c r="B3027" s="6" t="str">
        <f t="shared" si="683"/>
        <v>EL CORTE</v>
      </c>
      <c r="C3027" s="7">
        <v>46045</v>
      </c>
      <c r="D3027" s="7">
        <v>46050</v>
      </c>
      <c r="E3027" s="8">
        <v>1</v>
      </c>
      <c r="F3027" s="6" t="str">
        <f>"94906101_07026"</f>
        <v>94906101_07026</v>
      </c>
      <c r="G3027" s="6" t="str">
        <f t="shared" si="684"/>
        <v>F310631650000000</v>
      </c>
      <c r="H3027" s="6" t="str">
        <f t="shared" si="685"/>
        <v>PLAR 6316 FD - 500 g</v>
      </c>
      <c r="I3027" s="6" t="str">
        <f>"202575"</f>
        <v>202575</v>
      </c>
      <c r="J3027" s="6" t="str">
        <f>"BEGE 2575"</f>
        <v>BEGE 2575</v>
      </c>
      <c r="K3027" s="6" t="str">
        <f>"2020"</f>
        <v>2020</v>
      </c>
      <c r="L3027" s="6" t="str">
        <f>"Lençóis"</f>
        <v>Lençóis</v>
      </c>
      <c r="M3027" s="6" t="str">
        <f>"100x150"</f>
        <v>100x150</v>
      </c>
      <c r="N3027" s="6" t="str">
        <f>"5602972281095"</f>
        <v>5602972281095</v>
      </c>
      <c r="O3027" s="8">
        <v>6</v>
      </c>
      <c r="R3027" s="8">
        <v>0</v>
      </c>
      <c r="U3027" s="8">
        <v>0</v>
      </c>
      <c r="X3027" s="8">
        <v>0</v>
      </c>
      <c r="Z3027" s="8">
        <v>0</v>
      </c>
      <c r="AC3027" s="8">
        <v>0</v>
      </c>
      <c r="AF3027" s="8">
        <v>0</v>
      </c>
      <c r="AN3027" s="8">
        <v>0</v>
      </c>
      <c r="AO3027" s="8">
        <v>6</v>
      </c>
    </row>
    <row r="3028" spans="1:41" x14ac:dyDescent="0.25">
      <c r="A3028" s="6" t="str">
        <f>"522-2026000453"</f>
        <v>522-2026000453</v>
      </c>
      <c r="B3028" s="6" t="str">
        <f t="shared" si="683"/>
        <v>EL CORTE</v>
      </c>
      <c r="C3028" s="7">
        <v>46045</v>
      </c>
      <c r="D3028" s="7">
        <v>46050</v>
      </c>
      <c r="E3028" s="8">
        <v>2</v>
      </c>
      <c r="F3028" s="6" t="str">
        <f>"94906101_07026"</f>
        <v>94906101_07026</v>
      </c>
      <c r="G3028" s="6" t="str">
        <f t="shared" si="684"/>
        <v>F310631650000000</v>
      </c>
      <c r="H3028" s="6" t="str">
        <f t="shared" si="685"/>
        <v>PLAR 6316 FD - 500 g</v>
      </c>
      <c r="I3028" s="6" t="str">
        <f>"200510"</f>
        <v>200510</v>
      </c>
      <c r="J3028" s="6" t="str">
        <f>"VERDE 510"</f>
        <v>VERDE 510</v>
      </c>
      <c r="K3028" s="6" t="str">
        <f>"2020"</f>
        <v>2020</v>
      </c>
      <c r="L3028" s="6" t="str">
        <f>"Lençóis"</f>
        <v>Lençóis</v>
      </c>
      <c r="M3028" s="6" t="str">
        <f>"100x150"</f>
        <v>100x150</v>
      </c>
      <c r="N3028" s="6" t="str">
        <f>"5602972281156"</f>
        <v>5602972281156</v>
      </c>
      <c r="O3028" s="8">
        <v>3</v>
      </c>
      <c r="R3028" s="8">
        <v>0</v>
      </c>
      <c r="U3028" s="8">
        <v>0</v>
      </c>
      <c r="X3028" s="8">
        <v>0</v>
      </c>
      <c r="Z3028" s="8">
        <v>0</v>
      </c>
      <c r="AC3028" s="8">
        <v>0</v>
      </c>
      <c r="AF3028" s="8">
        <v>0</v>
      </c>
      <c r="AN3028" s="8">
        <v>0</v>
      </c>
      <c r="AO3028" s="8">
        <v>3</v>
      </c>
    </row>
    <row r="3029" spans="1:41" x14ac:dyDescent="0.25">
      <c r="A3029" s="6" t="str">
        <f>"522-2026000454"</f>
        <v>522-2026000454</v>
      </c>
      <c r="B3029" s="6" t="str">
        <f t="shared" si="683"/>
        <v>EL CORTE</v>
      </c>
      <c r="C3029" s="7">
        <v>46045</v>
      </c>
      <c r="D3029" s="7">
        <v>46050</v>
      </c>
      <c r="E3029" s="8">
        <v>1</v>
      </c>
      <c r="F3029" s="6" t="str">
        <f>"94904701_07026"</f>
        <v>94904701_07026</v>
      </c>
      <c r="G3029" s="6" t="str">
        <f t="shared" si="684"/>
        <v>F310631650000000</v>
      </c>
      <c r="H3029" s="6" t="str">
        <f t="shared" si="685"/>
        <v>PLAR 6316 FD - 500 g</v>
      </c>
      <c r="I3029" s="6" t="str">
        <f>"201855"</f>
        <v>201855</v>
      </c>
      <c r="J3029" s="6" t="str">
        <f>"AZUL 1855"</f>
        <v>AZUL 1855</v>
      </c>
      <c r="K3029" s="6" t="str">
        <f>"1024"</f>
        <v>1024</v>
      </c>
      <c r="L3029" s="6" t="str">
        <f>"Toalhas"</f>
        <v>Toalhas</v>
      </c>
      <c r="M3029" s="6" t="str">
        <f>"50x100"</f>
        <v>50x100</v>
      </c>
      <c r="N3029" s="6" t="str">
        <f>"5602972281057"</f>
        <v>5602972281057</v>
      </c>
      <c r="O3029" s="8">
        <v>6</v>
      </c>
      <c r="R3029" s="8">
        <v>0</v>
      </c>
      <c r="U3029" s="8">
        <v>0</v>
      </c>
      <c r="X3029" s="8">
        <v>0</v>
      </c>
      <c r="Z3029" s="8">
        <v>0</v>
      </c>
      <c r="AC3029" s="8">
        <v>0</v>
      </c>
      <c r="AF3029" s="8">
        <v>0</v>
      </c>
      <c r="AN3029" s="8">
        <v>0</v>
      </c>
      <c r="AO3029" s="8">
        <v>6</v>
      </c>
    </row>
    <row r="3030" spans="1:41" x14ac:dyDescent="0.25">
      <c r="A3030" s="6" t="str">
        <f>"522-2026000455"</f>
        <v>522-2026000455</v>
      </c>
      <c r="B3030" s="6" t="str">
        <f t="shared" si="683"/>
        <v>EL CORTE</v>
      </c>
      <c r="C3030" s="7">
        <v>46045</v>
      </c>
      <c r="D3030" s="7">
        <v>46050</v>
      </c>
      <c r="E3030" s="8">
        <v>1</v>
      </c>
      <c r="F3030" s="6" t="str">
        <f>"94904201_07026"</f>
        <v>94904201_07026</v>
      </c>
      <c r="G3030" s="6" t="str">
        <f t="shared" si="684"/>
        <v>F310631650000000</v>
      </c>
      <c r="H3030" s="6" t="str">
        <f t="shared" si="685"/>
        <v>PLAR 6316 FD - 500 g</v>
      </c>
      <c r="I3030" s="6" t="str">
        <f>"201855"</f>
        <v>201855</v>
      </c>
      <c r="J3030" s="6" t="str">
        <f>"AZUL 1855"</f>
        <v>AZUL 1855</v>
      </c>
      <c r="K3030" s="6" t="str">
        <f>"1024"</f>
        <v>1024</v>
      </c>
      <c r="L3030" s="6" t="str">
        <f>"Toalhas"</f>
        <v>Toalhas</v>
      </c>
      <c r="M3030" s="6" t="str">
        <f>"50x100"</f>
        <v>50x100</v>
      </c>
      <c r="N3030" s="6" t="str">
        <f>"5602972281057"</f>
        <v>5602972281057</v>
      </c>
      <c r="O3030" s="8">
        <v>6</v>
      </c>
      <c r="R3030" s="8">
        <v>0</v>
      </c>
      <c r="U3030" s="8">
        <v>0</v>
      </c>
      <c r="X3030" s="8">
        <v>0</v>
      </c>
      <c r="Z3030" s="8">
        <v>0</v>
      </c>
      <c r="AC3030" s="8">
        <v>0</v>
      </c>
      <c r="AF3030" s="8">
        <v>0</v>
      </c>
      <c r="AN3030" s="8">
        <v>0</v>
      </c>
      <c r="AO3030" s="8">
        <v>6</v>
      </c>
    </row>
    <row r="3031" spans="1:41" x14ac:dyDescent="0.25">
      <c r="A3031" s="6" t="str">
        <f>"522-2026000455"</f>
        <v>522-2026000455</v>
      </c>
      <c r="B3031" s="6" t="str">
        <f t="shared" si="683"/>
        <v>EL CORTE</v>
      </c>
      <c r="C3031" s="7">
        <v>46045</v>
      </c>
      <c r="D3031" s="7">
        <v>46050</v>
      </c>
      <c r="E3031" s="8">
        <v>2</v>
      </c>
      <c r="F3031" s="6" t="str">
        <f>"94904201_07026"</f>
        <v>94904201_07026</v>
      </c>
      <c r="G3031" s="6" t="str">
        <f t="shared" si="684"/>
        <v>F310631650000000</v>
      </c>
      <c r="H3031" s="6" t="str">
        <f t="shared" si="685"/>
        <v>PLAR 6316 FD - 500 g</v>
      </c>
      <c r="I3031" s="6" t="str">
        <f>"201855"</f>
        <v>201855</v>
      </c>
      <c r="J3031" s="6" t="str">
        <f>"AZUL 1855"</f>
        <v>AZUL 1855</v>
      </c>
      <c r="K3031" s="6" t="str">
        <f>"2020"</f>
        <v>2020</v>
      </c>
      <c r="L3031" s="6" t="str">
        <f>"Lençóis"</f>
        <v>Lençóis</v>
      </c>
      <c r="M3031" s="6" t="str">
        <f>"100x150"</f>
        <v>100x150</v>
      </c>
      <c r="N3031" s="6" t="str">
        <f>"5602972281064"</f>
        <v>5602972281064</v>
      </c>
      <c r="O3031" s="8">
        <v>15</v>
      </c>
      <c r="R3031" s="8">
        <v>0</v>
      </c>
      <c r="U3031" s="8">
        <v>0</v>
      </c>
      <c r="X3031" s="8">
        <v>0</v>
      </c>
      <c r="Z3031" s="8">
        <v>0</v>
      </c>
      <c r="AC3031" s="8">
        <v>0</v>
      </c>
      <c r="AF3031" s="8">
        <v>0</v>
      </c>
      <c r="AN3031" s="8">
        <v>0</v>
      </c>
      <c r="AO3031" s="8">
        <v>15</v>
      </c>
    </row>
    <row r="3032" spans="1:41" x14ac:dyDescent="0.25">
      <c r="A3032" s="6" t="str">
        <f>"522-2026000455"</f>
        <v>522-2026000455</v>
      </c>
      <c r="B3032" s="6" t="str">
        <f t="shared" si="683"/>
        <v>EL CORTE</v>
      </c>
      <c r="C3032" s="7">
        <v>46045</v>
      </c>
      <c r="D3032" s="7">
        <v>46050</v>
      </c>
      <c r="E3032" s="8">
        <v>3</v>
      </c>
      <c r="F3032" s="6" t="str">
        <f>"94904201_07026"</f>
        <v>94904201_07026</v>
      </c>
      <c r="G3032" s="6" t="str">
        <f t="shared" si="684"/>
        <v>F310631650000000</v>
      </c>
      <c r="H3032" s="6" t="str">
        <f t="shared" si="685"/>
        <v>PLAR 6316 FD - 500 g</v>
      </c>
      <c r="I3032" s="6" t="str">
        <f>"202575"</f>
        <v>202575</v>
      </c>
      <c r="J3032" s="6" t="str">
        <f>"BEGE 2575"</f>
        <v>BEGE 2575</v>
      </c>
      <c r="K3032" s="6" t="str">
        <f>"2020"</f>
        <v>2020</v>
      </c>
      <c r="L3032" s="6" t="str">
        <f>"Lençóis"</f>
        <v>Lençóis</v>
      </c>
      <c r="M3032" s="6" t="str">
        <f>"100x150"</f>
        <v>100x150</v>
      </c>
      <c r="N3032" s="6" t="str">
        <f>"5602972281095"</f>
        <v>5602972281095</v>
      </c>
      <c r="O3032" s="8">
        <v>12</v>
      </c>
      <c r="R3032" s="8">
        <v>0</v>
      </c>
      <c r="U3032" s="8">
        <v>0</v>
      </c>
      <c r="X3032" s="8">
        <v>0</v>
      </c>
      <c r="Z3032" s="8">
        <v>0</v>
      </c>
      <c r="AC3032" s="8">
        <v>0</v>
      </c>
      <c r="AF3032" s="8">
        <v>0</v>
      </c>
      <c r="AN3032" s="8">
        <v>0</v>
      </c>
      <c r="AO3032" s="8">
        <v>12</v>
      </c>
    </row>
    <row r="3033" spans="1:41" x14ac:dyDescent="0.25">
      <c r="A3033" s="6" t="str">
        <f>"522-2026000455"</f>
        <v>522-2026000455</v>
      </c>
      <c r="B3033" s="6" t="str">
        <f t="shared" si="683"/>
        <v>EL CORTE</v>
      </c>
      <c r="C3033" s="7">
        <v>46045</v>
      </c>
      <c r="D3033" s="7">
        <v>46050</v>
      </c>
      <c r="E3033" s="8">
        <v>4</v>
      </c>
      <c r="F3033" s="6" t="str">
        <f>"94904201_07026"</f>
        <v>94904201_07026</v>
      </c>
      <c r="G3033" s="6" t="str">
        <f t="shared" si="684"/>
        <v>F310631650000000</v>
      </c>
      <c r="H3033" s="6" t="str">
        <f t="shared" si="685"/>
        <v>PLAR 6316 FD - 500 g</v>
      </c>
      <c r="I3033" s="6" t="str">
        <f>"200901"</f>
        <v>200901</v>
      </c>
      <c r="J3033" s="6" t="str">
        <f>"ROSA 901"</f>
        <v>ROSA 901</v>
      </c>
      <c r="K3033" s="6" t="str">
        <f>"2020"</f>
        <v>2020</v>
      </c>
      <c r="L3033" s="6" t="str">
        <f>"Lençóis"</f>
        <v>Lençóis</v>
      </c>
      <c r="M3033" s="6" t="str">
        <f>"100x150"</f>
        <v>100x150</v>
      </c>
      <c r="N3033" s="6" t="str">
        <f>"5602972281125"</f>
        <v>5602972281125</v>
      </c>
      <c r="O3033" s="8">
        <v>12</v>
      </c>
      <c r="R3033" s="8">
        <v>0</v>
      </c>
      <c r="U3033" s="8">
        <v>0</v>
      </c>
      <c r="X3033" s="8">
        <v>0</v>
      </c>
      <c r="Z3033" s="8">
        <v>0</v>
      </c>
      <c r="AC3033" s="8">
        <v>0</v>
      </c>
      <c r="AF3033" s="8">
        <v>0</v>
      </c>
      <c r="AN3033" s="8">
        <v>0</v>
      </c>
      <c r="AO3033" s="8">
        <v>12</v>
      </c>
    </row>
    <row r="3034" spans="1:41" x14ac:dyDescent="0.25">
      <c r="A3034" s="6" t="str">
        <f>"522-2026000455"</f>
        <v>522-2026000455</v>
      </c>
      <c r="B3034" s="6" t="str">
        <f t="shared" si="683"/>
        <v>EL CORTE</v>
      </c>
      <c r="C3034" s="7">
        <v>46045</v>
      </c>
      <c r="D3034" s="7">
        <v>46050</v>
      </c>
      <c r="E3034" s="8">
        <v>5</v>
      </c>
      <c r="F3034" s="6" t="str">
        <f>"94904201_07026"</f>
        <v>94904201_07026</v>
      </c>
      <c r="G3034" s="6" t="str">
        <f t="shared" si="684"/>
        <v>F310631650000000</v>
      </c>
      <c r="H3034" s="6" t="str">
        <f t="shared" si="685"/>
        <v>PLAR 6316 FD - 500 g</v>
      </c>
      <c r="I3034" s="6" t="str">
        <f>"200510"</f>
        <v>200510</v>
      </c>
      <c r="J3034" s="6" t="str">
        <f>"VERDE 510"</f>
        <v>VERDE 510</v>
      </c>
      <c r="K3034" s="6" t="str">
        <f>"2020"</f>
        <v>2020</v>
      </c>
      <c r="L3034" s="6" t="str">
        <f>"Lençóis"</f>
        <v>Lençóis</v>
      </c>
      <c r="M3034" s="6" t="str">
        <f>"100x150"</f>
        <v>100x150</v>
      </c>
      <c r="N3034" s="6" t="str">
        <f>"5602972281156"</f>
        <v>5602972281156</v>
      </c>
      <c r="O3034" s="8">
        <v>6</v>
      </c>
      <c r="R3034" s="8">
        <v>0</v>
      </c>
      <c r="U3034" s="8">
        <v>0</v>
      </c>
      <c r="X3034" s="8">
        <v>0</v>
      </c>
      <c r="Z3034" s="8">
        <v>0</v>
      </c>
      <c r="AC3034" s="8">
        <v>0</v>
      </c>
      <c r="AF3034" s="8">
        <v>0</v>
      </c>
      <c r="AN3034" s="8">
        <v>0</v>
      </c>
      <c r="AO3034" s="8">
        <v>6</v>
      </c>
    </row>
    <row r="3035" spans="1:41" x14ac:dyDescent="0.25">
      <c r="A3035" s="6" t="str">
        <f>"522-2026000456"</f>
        <v>522-2026000456</v>
      </c>
      <c r="B3035" s="6" t="str">
        <f t="shared" si="683"/>
        <v>EL CORTE</v>
      </c>
      <c r="C3035" s="7">
        <v>46045</v>
      </c>
      <c r="D3035" s="7">
        <v>46050</v>
      </c>
      <c r="E3035" s="8">
        <v>1</v>
      </c>
      <c r="F3035" s="6" t="str">
        <f>"94905701_07026"</f>
        <v>94905701_07026</v>
      </c>
      <c r="G3035" s="6" t="str">
        <f t="shared" si="684"/>
        <v>F310631650000000</v>
      </c>
      <c r="H3035" s="6" t="str">
        <f t="shared" si="685"/>
        <v>PLAR 6316 FD - 500 g</v>
      </c>
      <c r="I3035" s="6" t="str">
        <f>"200510"</f>
        <v>200510</v>
      </c>
      <c r="J3035" s="6" t="str">
        <f>"VERDE 510"</f>
        <v>VERDE 510</v>
      </c>
      <c r="K3035" s="6" t="str">
        <f>"1024"</f>
        <v>1024</v>
      </c>
      <c r="L3035" s="6" t="str">
        <f>"Toalhas"</f>
        <v>Toalhas</v>
      </c>
      <c r="M3035" s="6" t="str">
        <f>"50x100"</f>
        <v>50x100</v>
      </c>
      <c r="N3035" s="6" t="str">
        <f>"5602972281149"</f>
        <v>5602972281149</v>
      </c>
      <c r="O3035" s="8">
        <v>6</v>
      </c>
      <c r="R3035" s="8">
        <v>0</v>
      </c>
      <c r="U3035" s="8">
        <v>0</v>
      </c>
      <c r="X3035" s="8">
        <v>0</v>
      </c>
      <c r="Z3035" s="8">
        <v>0</v>
      </c>
      <c r="AC3035" s="8">
        <v>0</v>
      </c>
      <c r="AF3035" s="8">
        <v>0</v>
      </c>
      <c r="AN3035" s="8">
        <v>6</v>
      </c>
      <c r="AO3035" s="8">
        <v>0</v>
      </c>
    </row>
    <row r="3036" spans="1:41" x14ac:dyDescent="0.25">
      <c r="A3036" s="6" t="str">
        <f>"522-2026000457"</f>
        <v>522-2026000457</v>
      </c>
      <c r="B3036" s="6" t="str">
        <f t="shared" si="683"/>
        <v>EL CORTE</v>
      </c>
      <c r="C3036" s="7">
        <v>46045</v>
      </c>
      <c r="D3036" s="7">
        <v>46050</v>
      </c>
      <c r="E3036" s="8">
        <v>1</v>
      </c>
      <c r="F3036" s="6" t="str">
        <f>"94905201_07026"</f>
        <v>94905201_07026</v>
      </c>
      <c r="G3036" s="6" t="str">
        <f t="shared" si="684"/>
        <v>F310631650000000</v>
      </c>
      <c r="H3036" s="6" t="str">
        <f t="shared" si="685"/>
        <v>PLAR 6316 FD - 500 g</v>
      </c>
      <c r="I3036" s="6" t="str">
        <f>"201855"</f>
        <v>201855</v>
      </c>
      <c r="J3036" s="6" t="str">
        <f>"AZUL 1855"</f>
        <v>AZUL 1855</v>
      </c>
      <c r="K3036" s="6" t="str">
        <f>"2020"</f>
        <v>2020</v>
      </c>
      <c r="L3036" s="6" t="str">
        <f>"Lençóis"</f>
        <v>Lençóis</v>
      </c>
      <c r="M3036" s="6" t="str">
        <f>"100x150"</f>
        <v>100x150</v>
      </c>
      <c r="N3036" s="6" t="str">
        <f>"5602972281064"</f>
        <v>5602972281064</v>
      </c>
      <c r="O3036" s="8">
        <v>3</v>
      </c>
      <c r="R3036" s="8">
        <v>0</v>
      </c>
      <c r="U3036" s="8">
        <v>0</v>
      </c>
      <c r="X3036" s="8">
        <v>0</v>
      </c>
      <c r="Z3036" s="8">
        <v>0</v>
      </c>
      <c r="AC3036" s="8">
        <v>0</v>
      </c>
      <c r="AF3036" s="8">
        <v>0</v>
      </c>
      <c r="AN3036" s="8">
        <v>0</v>
      </c>
      <c r="AO3036" s="8">
        <v>3</v>
      </c>
    </row>
    <row r="3037" spans="1:41" x14ac:dyDescent="0.25">
      <c r="A3037" s="6" t="str">
        <f>"522-2026000457"</f>
        <v>522-2026000457</v>
      </c>
      <c r="B3037" s="6" t="str">
        <f t="shared" si="683"/>
        <v>EL CORTE</v>
      </c>
      <c r="C3037" s="7">
        <v>46045</v>
      </c>
      <c r="D3037" s="7">
        <v>46050</v>
      </c>
      <c r="E3037" s="8">
        <v>2</v>
      </c>
      <c r="F3037" s="6" t="str">
        <f>"94905201_07026"</f>
        <v>94905201_07026</v>
      </c>
      <c r="G3037" s="6" t="str">
        <f t="shared" si="684"/>
        <v>F310631650000000</v>
      </c>
      <c r="H3037" s="6" t="str">
        <f t="shared" si="685"/>
        <v>PLAR 6316 FD - 500 g</v>
      </c>
      <c r="I3037" s="6" t="str">
        <f>"202575"</f>
        <v>202575</v>
      </c>
      <c r="J3037" s="6" t="str">
        <f>"BEGE 2575"</f>
        <v>BEGE 2575</v>
      </c>
      <c r="K3037" s="6" t="str">
        <f>"2020"</f>
        <v>2020</v>
      </c>
      <c r="L3037" s="6" t="str">
        <f>"Lençóis"</f>
        <v>Lençóis</v>
      </c>
      <c r="M3037" s="6" t="str">
        <f>"100x150"</f>
        <v>100x150</v>
      </c>
      <c r="N3037" s="6" t="str">
        <f>"5602972281095"</f>
        <v>5602972281095</v>
      </c>
      <c r="O3037" s="8">
        <v>3</v>
      </c>
      <c r="R3037" s="8">
        <v>0</v>
      </c>
      <c r="U3037" s="8">
        <v>0</v>
      </c>
      <c r="X3037" s="8">
        <v>0</v>
      </c>
      <c r="Z3037" s="8">
        <v>0</v>
      </c>
      <c r="AC3037" s="8">
        <v>0</v>
      </c>
      <c r="AF3037" s="8">
        <v>0</v>
      </c>
      <c r="AN3037" s="8">
        <v>0</v>
      </c>
      <c r="AO3037" s="8">
        <v>3</v>
      </c>
    </row>
    <row r="3038" spans="1:41" x14ac:dyDescent="0.25">
      <c r="A3038" s="6" t="str">
        <f>"522-2026000457"</f>
        <v>522-2026000457</v>
      </c>
      <c r="B3038" s="6" t="str">
        <f t="shared" si="683"/>
        <v>EL CORTE</v>
      </c>
      <c r="C3038" s="7">
        <v>46045</v>
      </c>
      <c r="D3038" s="7">
        <v>46050</v>
      </c>
      <c r="E3038" s="8">
        <v>3</v>
      </c>
      <c r="F3038" s="6" t="str">
        <f>"94905201_07026"</f>
        <v>94905201_07026</v>
      </c>
      <c r="G3038" s="6" t="str">
        <f t="shared" si="684"/>
        <v>F310631650000000</v>
      </c>
      <c r="H3038" s="6" t="str">
        <f t="shared" si="685"/>
        <v>PLAR 6316 FD - 500 g</v>
      </c>
      <c r="I3038" s="6" t="str">
        <f>"200901"</f>
        <v>200901</v>
      </c>
      <c r="J3038" s="6" t="str">
        <f>"ROSA 901"</f>
        <v>ROSA 901</v>
      </c>
      <c r="K3038" s="6" t="str">
        <f>"2020"</f>
        <v>2020</v>
      </c>
      <c r="L3038" s="6" t="str">
        <f>"Lençóis"</f>
        <v>Lençóis</v>
      </c>
      <c r="M3038" s="6" t="str">
        <f>"100x150"</f>
        <v>100x150</v>
      </c>
      <c r="N3038" s="6" t="str">
        <f>"5602972281125"</f>
        <v>5602972281125</v>
      </c>
      <c r="O3038" s="8">
        <v>3</v>
      </c>
      <c r="R3038" s="8">
        <v>0</v>
      </c>
      <c r="U3038" s="8">
        <v>0</v>
      </c>
      <c r="X3038" s="8">
        <v>0</v>
      </c>
      <c r="Z3038" s="8">
        <v>0</v>
      </c>
      <c r="AC3038" s="8">
        <v>0</v>
      </c>
      <c r="AF3038" s="8">
        <v>0</v>
      </c>
      <c r="AN3038" s="8">
        <v>0</v>
      </c>
      <c r="AO3038" s="8">
        <v>3</v>
      </c>
    </row>
    <row r="3039" spans="1:41" x14ac:dyDescent="0.25">
      <c r="A3039" s="6" t="str">
        <f>"522-2026000457"</f>
        <v>522-2026000457</v>
      </c>
      <c r="B3039" s="6" t="str">
        <f t="shared" si="683"/>
        <v>EL CORTE</v>
      </c>
      <c r="C3039" s="7">
        <v>46045</v>
      </c>
      <c r="D3039" s="7">
        <v>46050</v>
      </c>
      <c r="E3039" s="8">
        <v>4</v>
      </c>
      <c r="F3039" s="6" t="str">
        <f>"94905201_07026"</f>
        <v>94905201_07026</v>
      </c>
      <c r="G3039" s="6" t="str">
        <f t="shared" si="684"/>
        <v>F310631650000000</v>
      </c>
      <c r="H3039" s="6" t="str">
        <f t="shared" si="685"/>
        <v>PLAR 6316 FD - 500 g</v>
      </c>
      <c r="I3039" s="6" t="str">
        <f>"200510"</f>
        <v>200510</v>
      </c>
      <c r="J3039" s="6" t="str">
        <f>"VERDE 510"</f>
        <v>VERDE 510</v>
      </c>
      <c r="K3039" s="6" t="str">
        <f>"2020"</f>
        <v>2020</v>
      </c>
      <c r="L3039" s="6" t="str">
        <f>"Lençóis"</f>
        <v>Lençóis</v>
      </c>
      <c r="M3039" s="6" t="str">
        <f>"100x150"</f>
        <v>100x150</v>
      </c>
      <c r="N3039" s="6" t="str">
        <f>"5602972281156"</f>
        <v>5602972281156</v>
      </c>
      <c r="O3039" s="8">
        <v>3</v>
      </c>
      <c r="R3039" s="8">
        <v>0</v>
      </c>
      <c r="U3039" s="8">
        <v>0</v>
      </c>
      <c r="X3039" s="8">
        <v>0</v>
      </c>
      <c r="Z3039" s="8">
        <v>0</v>
      </c>
      <c r="AC3039" s="8">
        <v>0</v>
      </c>
      <c r="AF3039" s="8">
        <v>0</v>
      </c>
      <c r="AN3039" s="8">
        <v>0</v>
      </c>
      <c r="AO3039" s="8">
        <v>3</v>
      </c>
    </row>
    <row r="3040" spans="1:41" x14ac:dyDescent="0.25">
      <c r="A3040" s="6" t="str">
        <f>"522-2026000458"</f>
        <v>522-2026000458</v>
      </c>
      <c r="B3040" s="6" t="str">
        <f t="shared" si="683"/>
        <v>EL CORTE</v>
      </c>
      <c r="C3040" s="7">
        <v>46045</v>
      </c>
      <c r="D3040" s="7">
        <v>46050</v>
      </c>
      <c r="E3040" s="8">
        <v>1</v>
      </c>
      <c r="F3040" s="6" t="str">
        <f>"94906601_07026"</f>
        <v>94906601_07026</v>
      </c>
      <c r="G3040" s="6" t="str">
        <f t="shared" si="684"/>
        <v>F310631650000000</v>
      </c>
      <c r="H3040" s="6" t="str">
        <f t="shared" si="685"/>
        <v>PLAR 6316 FD - 500 g</v>
      </c>
      <c r="I3040" s="6" t="str">
        <f>"200510"</f>
        <v>200510</v>
      </c>
      <c r="J3040" s="6" t="str">
        <f>"VERDE 510"</f>
        <v>VERDE 510</v>
      </c>
      <c r="K3040" s="6" t="str">
        <f>"2020"</f>
        <v>2020</v>
      </c>
      <c r="L3040" s="6" t="str">
        <f>"Lençóis"</f>
        <v>Lençóis</v>
      </c>
      <c r="M3040" s="6" t="str">
        <f>"100x150"</f>
        <v>100x150</v>
      </c>
      <c r="N3040" s="6" t="str">
        <f>"5602972281156"</f>
        <v>5602972281156</v>
      </c>
      <c r="O3040" s="8">
        <v>3</v>
      </c>
      <c r="R3040" s="8">
        <v>0</v>
      </c>
      <c r="U3040" s="8">
        <v>0</v>
      </c>
      <c r="X3040" s="8">
        <v>0</v>
      </c>
      <c r="Z3040" s="8">
        <v>0</v>
      </c>
      <c r="AC3040" s="8">
        <v>0</v>
      </c>
      <c r="AF3040" s="8">
        <v>0</v>
      </c>
      <c r="AN3040" s="8">
        <v>0</v>
      </c>
      <c r="AO3040" s="8">
        <v>3</v>
      </c>
    </row>
    <row r="3041" spans="1:41" x14ac:dyDescent="0.25">
      <c r="A3041" s="6" t="str">
        <f>"522-2026000459"</f>
        <v>522-2026000459</v>
      </c>
      <c r="B3041" s="6" t="str">
        <f t="shared" si="683"/>
        <v>EL CORTE</v>
      </c>
      <c r="C3041" s="7">
        <v>46045</v>
      </c>
      <c r="D3041" s="7">
        <v>46050</v>
      </c>
      <c r="E3041" s="8">
        <v>1</v>
      </c>
      <c r="F3041" s="6" t="str">
        <f>"94904101_07026"</f>
        <v>94904101_07026</v>
      </c>
      <c r="G3041" s="6" t="str">
        <f t="shared" si="684"/>
        <v>F310631650000000</v>
      </c>
      <c r="H3041" s="6" t="str">
        <f t="shared" si="685"/>
        <v>PLAR 6316 FD - 500 g</v>
      </c>
      <c r="I3041" s="6" t="str">
        <f>"201855"</f>
        <v>201855</v>
      </c>
      <c r="J3041" s="6" t="str">
        <f>"AZUL 1855"</f>
        <v>AZUL 1855</v>
      </c>
      <c r="K3041" s="6" t="str">
        <f>"0520"</f>
        <v>0520</v>
      </c>
      <c r="L3041" s="6" t="str">
        <f>"Toalhetes"</f>
        <v>Toalhetes</v>
      </c>
      <c r="M3041" s="6" t="str">
        <f>"30x50"</f>
        <v>30x50</v>
      </c>
      <c r="N3041" s="6" t="str">
        <f>"5602972281040"</f>
        <v>5602972281040</v>
      </c>
      <c r="O3041" s="8">
        <v>6</v>
      </c>
      <c r="R3041" s="8">
        <v>0</v>
      </c>
      <c r="U3041" s="8">
        <v>0</v>
      </c>
      <c r="X3041" s="8">
        <v>0</v>
      </c>
      <c r="Z3041" s="8">
        <v>0</v>
      </c>
      <c r="AC3041" s="8">
        <v>0</v>
      </c>
      <c r="AF3041" s="8">
        <v>0</v>
      </c>
      <c r="AN3041" s="8">
        <v>0</v>
      </c>
      <c r="AO3041" s="8">
        <v>6</v>
      </c>
    </row>
    <row r="3042" spans="1:41" x14ac:dyDescent="0.25">
      <c r="A3042" s="6" t="str">
        <f>"522-2026000459"</f>
        <v>522-2026000459</v>
      </c>
      <c r="B3042" s="6" t="str">
        <f t="shared" si="683"/>
        <v>EL CORTE</v>
      </c>
      <c r="C3042" s="7">
        <v>46045</v>
      </c>
      <c r="D3042" s="7">
        <v>46050</v>
      </c>
      <c r="E3042" s="8">
        <v>2</v>
      </c>
      <c r="F3042" s="6" t="str">
        <f>"94904101_07026"</f>
        <v>94904101_07026</v>
      </c>
      <c r="G3042" s="6" t="str">
        <f t="shared" si="684"/>
        <v>F310631650000000</v>
      </c>
      <c r="H3042" s="6" t="str">
        <f t="shared" si="685"/>
        <v>PLAR 6316 FD - 500 g</v>
      </c>
      <c r="I3042" s="6" t="str">
        <f>"202575"</f>
        <v>202575</v>
      </c>
      <c r="J3042" s="6" t="str">
        <f>"BEGE 2575"</f>
        <v>BEGE 2575</v>
      </c>
      <c r="K3042" s="6" t="str">
        <f>"2020"</f>
        <v>2020</v>
      </c>
      <c r="L3042" s="6" t="str">
        <f>"Lençóis"</f>
        <v>Lençóis</v>
      </c>
      <c r="M3042" s="6" t="str">
        <f>"100x150"</f>
        <v>100x150</v>
      </c>
      <c r="N3042" s="6" t="str">
        <f>"5602972281095"</f>
        <v>5602972281095</v>
      </c>
      <c r="O3042" s="8">
        <v>9</v>
      </c>
      <c r="R3042" s="8">
        <v>0</v>
      </c>
      <c r="U3042" s="8">
        <v>0</v>
      </c>
      <c r="X3042" s="8">
        <v>0</v>
      </c>
      <c r="Z3042" s="8">
        <v>0</v>
      </c>
      <c r="AC3042" s="8">
        <v>0</v>
      </c>
      <c r="AF3042" s="8">
        <v>0</v>
      </c>
      <c r="AN3042" s="8">
        <v>0</v>
      </c>
      <c r="AO3042" s="8">
        <v>9</v>
      </c>
    </row>
    <row r="3043" spans="1:41" x14ac:dyDescent="0.25">
      <c r="A3043" s="6" t="str">
        <f>"522-2026000459"</f>
        <v>522-2026000459</v>
      </c>
      <c r="B3043" s="6" t="str">
        <f t="shared" si="683"/>
        <v>EL CORTE</v>
      </c>
      <c r="C3043" s="7">
        <v>46045</v>
      </c>
      <c r="D3043" s="7">
        <v>46050</v>
      </c>
      <c r="E3043" s="8">
        <v>3</v>
      </c>
      <c r="F3043" s="6" t="str">
        <f>"94904101_07026"</f>
        <v>94904101_07026</v>
      </c>
      <c r="G3043" s="6" t="str">
        <f t="shared" si="684"/>
        <v>F310631650000000</v>
      </c>
      <c r="H3043" s="6" t="str">
        <f t="shared" si="685"/>
        <v>PLAR 6316 FD - 500 g</v>
      </c>
      <c r="I3043" s="6" t="str">
        <f>"200901"</f>
        <v>200901</v>
      </c>
      <c r="J3043" s="6" t="str">
        <f>"ROSA 901"</f>
        <v>ROSA 901</v>
      </c>
      <c r="K3043" s="6" t="str">
        <f>"2020"</f>
        <v>2020</v>
      </c>
      <c r="L3043" s="6" t="str">
        <f>"Lençóis"</f>
        <v>Lençóis</v>
      </c>
      <c r="M3043" s="6" t="str">
        <f>"100x150"</f>
        <v>100x150</v>
      </c>
      <c r="N3043" s="6" t="str">
        <f>"5602972281125"</f>
        <v>5602972281125</v>
      </c>
      <c r="O3043" s="8">
        <v>3</v>
      </c>
      <c r="R3043" s="8">
        <v>0</v>
      </c>
      <c r="U3043" s="8">
        <v>0</v>
      </c>
      <c r="X3043" s="8">
        <v>0</v>
      </c>
      <c r="Z3043" s="8">
        <v>0</v>
      </c>
      <c r="AC3043" s="8">
        <v>0</v>
      </c>
      <c r="AF3043" s="8">
        <v>0</v>
      </c>
      <c r="AN3043" s="8">
        <v>0</v>
      </c>
      <c r="AO3043" s="8">
        <v>3</v>
      </c>
    </row>
    <row r="3044" spans="1:41" x14ac:dyDescent="0.25">
      <c r="A3044" s="6" t="str">
        <f>"522-2026000459"</f>
        <v>522-2026000459</v>
      </c>
      <c r="B3044" s="6" t="str">
        <f t="shared" si="683"/>
        <v>EL CORTE</v>
      </c>
      <c r="C3044" s="7">
        <v>46045</v>
      </c>
      <c r="D3044" s="7">
        <v>46050</v>
      </c>
      <c r="E3044" s="8">
        <v>4</v>
      </c>
      <c r="F3044" s="6" t="str">
        <f>"94904101_07026"</f>
        <v>94904101_07026</v>
      </c>
      <c r="G3044" s="6" t="str">
        <f t="shared" si="684"/>
        <v>F310631650000000</v>
      </c>
      <c r="H3044" s="6" t="str">
        <f t="shared" si="685"/>
        <v>PLAR 6316 FD - 500 g</v>
      </c>
      <c r="I3044" s="6" t="str">
        <f>"200510"</f>
        <v>200510</v>
      </c>
      <c r="J3044" s="6" t="str">
        <f>"VERDE 510"</f>
        <v>VERDE 510</v>
      </c>
      <c r="K3044" s="6" t="str">
        <f>"2020"</f>
        <v>2020</v>
      </c>
      <c r="L3044" s="6" t="str">
        <f>"Lençóis"</f>
        <v>Lençóis</v>
      </c>
      <c r="M3044" s="6" t="str">
        <f>"100x150"</f>
        <v>100x150</v>
      </c>
      <c r="N3044" s="6" t="str">
        <f>"5602972281156"</f>
        <v>5602972281156</v>
      </c>
      <c r="O3044" s="8">
        <v>6</v>
      </c>
      <c r="R3044" s="8">
        <v>0</v>
      </c>
      <c r="U3044" s="8">
        <v>0</v>
      </c>
      <c r="X3044" s="8">
        <v>0</v>
      </c>
      <c r="Z3044" s="8">
        <v>0</v>
      </c>
      <c r="AC3044" s="8">
        <v>0</v>
      </c>
      <c r="AF3044" s="8">
        <v>0</v>
      </c>
      <c r="AN3044" s="8">
        <v>0</v>
      </c>
      <c r="AO3044" s="8">
        <v>6</v>
      </c>
    </row>
    <row r="3045" spans="1:41" x14ac:dyDescent="0.25">
      <c r="A3045" s="6" t="str">
        <f>"522-2026000460"</f>
        <v>522-2026000460</v>
      </c>
      <c r="B3045" s="6" t="str">
        <f t="shared" si="683"/>
        <v>EL CORTE</v>
      </c>
      <c r="C3045" s="7">
        <v>46045</v>
      </c>
      <c r="D3045" s="7">
        <v>46050</v>
      </c>
      <c r="E3045" s="8">
        <v>1</v>
      </c>
      <c r="F3045" s="6" t="str">
        <f>"94906301_07026"</f>
        <v>94906301_07026</v>
      </c>
      <c r="G3045" s="6" t="str">
        <f t="shared" si="684"/>
        <v>F310631650000000</v>
      </c>
      <c r="H3045" s="6" t="str">
        <f t="shared" si="685"/>
        <v>PLAR 6316 FD - 500 g</v>
      </c>
      <c r="I3045" s="6" t="str">
        <f>"201855"</f>
        <v>201855</v>
      </c>
      <c r="J3045" s="6" t="str">
        <f>"AZUL 1855"</f>
        <v>AZUL 1855</v>
      </c>
      <c r="K3045" s="6" t="str">
        <f>"2020"</f>
        <v>2020</v>
      </c>
      <c r="L3045" s="6" t="str">
        <f>"Lençóis"</f>
        <v>Lençóis</v>
      </c>
      <c r="M3045" s="6" t="str">
        <f>"100x150"</f>
        <v>100x150</v>
      </c>
      <c r="N3045" s="6" t="str">
        <f>"5602972281064"</f>
        <v>5602972281064</v>
      </c>
      <c r="O3045" s="8">
        <v>3</v>
      </c>
      <c r="R3045" s="8">
        <v>0</v>
      </c>
      <c r="U3045" s="8">
        <v>0</v>
      </c>
      <c r="X3045" s="8">
        <v>0</v>
      </c>
      <c r="Z3045" s="8">
        <v>0</v>
      </c>
      <c r="AC3045" s="8">
        <v>0</v>
      </c>
      <c r="AF3045" s="8">
        <v>0</v>
      </c>
      <c r="AN3045" s="8">
        <v>0</v>
      </c>
      <c r="AO3045" s="8">
        <v>3</v>
      </c>
    </row>
    <row r="3046" spans="1:41" x14ac:dyDescent="0.25">
      <c r="A3046" s="6" t="str">
        <f>"522-2026000461"</f>
        <v>522-2026000461</v>
      </c>
      <c r="B3046" s="6" t="str">
        <f t="shared" si="683"/>
        <v>EL CORTE</v>
      </c>
      <c r="C3046" s="7">
        <v>46045</v>
      </c>
      <c r="D3046" s="7">
        <v>46050</v>
      </c>
      <c r="E3046" s="8">
        <v>1</v>
      </c>
      <c r="F3046" s="6" t="str">
        <f>"94906801_07026"</f>
        <v>94906801_07026</v>
      </c>
      <c r="G3046" s="6" t="str">
        <f t="shared" si="684"/>
        <v>F310631650000000</v>
      </c>
      <c r="H3046" s="6" t="str">
        <f t="shared" si="685"/>
        <v>PLAR 6316 FD - 500 g</v>
      </c>
      <c r="I3046" s="6" t="str">
        <f>"202575"</f>
        <v>202575</v>
      </c>
      <c r="J3046" s="6" t="str">
        <f>"BEGE 2575"</f>
        <v>BEGE 2575</v>
      </c>
      <c r="K3046" s="6" t="str">
        <f>"0520"</f>
        <v>0520</v>
      </c>
      <c r="L3046" s="6" t="str">
        <f>"Toalhetes"</f>
        <v>Toalhetes</v>
      </c>
      <c r="M3046" s="6" t="str">
        <f>"30x50"</f>
        <v>30x50</v>
      </c>
      <c r="N3046" s="6" t="str">
        <f>"5602972281071"</f>
        <v>5602972281071</v>
      </c>
      <c r="O3046" s="8">
        <v>6</v>
      </c>
      <c r="R3046" s="8">
        <v>0</v>
      </c>
      <c r="U3046" s="8">
        <v>0</v>
      </c>
      <c r="X3046" s="8">
        <v>0</v>
      </c>
      <c r="Z3046" s="8">
        <v>0</v>
      </c>
      <c r="AC3046" s="8">
        <v>0</v>
      </c>
      <c r="AF3046" s="8">
        <v>0</v>
      </c>
      <c r="AN3046" s="8">
        <v>0</v>
      </c>
      <c r="AO3046" s="8">
        <v>6</v>
      </c>
    </row>
    <row r="3047" spans="1:41" x14ac:dyDescent="0.25">
      <c r="A3047" s="6" t="str">
        <f>"522-2026000462"</f>
        <v>522-2026000462</v>
      </c>
      <c r="B3047" s="6" t="str">
        <f t="shared" si="683"/>
        <v>EL CORTE</v>
      </c>
      <c r="C3047" s="7">
        <v>46045</v>
      </c>
      <c r="D3047" s="7">
        <v>46050</v>
      </c>
      <c r="E3047" s="8">
        <v>1</v>
      </c>
      <c r="F3047" s="6" t="str">
        <f>"94907601_07026"</f>
        <v>94907601_07026</v>
      </c>
      <c r="G3047" s="6" t="str">
        <f t="shared" si="684"/>
        <v>F310631650000000</v>
      </c>
      <c r="H3047" s="6" t="str">
        <f t="shared" si="685"/>
        <v>PLAR 6316 FD - 500 g</v>
      </c>
      <c r="I3047" s="6" t="str">
        <f>"201855"</f>
        <v>201855</v>
      </c>
      <c r="J3047" s="6" t="str">
        <f>"AZUL 1855"</f>
        <v>AZUL 1855</v>
      </c>
      <c r="K3047" s="6" t="str">
        <f>"0520"</f>
        <v>0520</v>
      </c>
      <c r="L3047" s="6" t="str">
        <f>"Toalhetes"</f>
        <v>Toalhetes</v>
      </c>
      <c r="M3047" s="6" t="str">
        <f>"30x50"</f>
        <v>30x50</v>
      </c>
      <c r="N3047" s="6" t="str">
        <f>"5602972281040"</f>
        <v>5602972281040</v>
      </c>
      <c r="O3047" s="8">
        <v>6</v>
      </c>
      <c r="R3047" s="8">
        <v>0</v>
      </c>
      <c r="U3047" s="8">
        <v>0</v>
      </c>
      <c r="X3047" s="8">
        <v>0</v>
      </c>
      <c r="Z3047" s="8">
        <v>0</v>
      </c>
      <c r="AC3047" s="8">
        <v>0</v>
      </c>
      <c r="AF3047" s="8">
        <v>0</v>
      </c>
      <c r="AN3047" s="8">
        <v>0</v>
      </c>
      <c r="AO3047" s="8">
        <v>6</v>
      </c>
    </row>
    <row r="3048" spans="1:41" x14ac:dyDescent="0.25">
      <c r="A3048" s="6" t="str">
        <f>"522-2026000462"</f>
        <v>522-2026000462</v>
      </c>
      <c r="B3048" s="6" t="str">
        <f t="shared" si="683"/>
        <v>EL CORTE</v>
      </c>
      <c r="C3048" s="7">
        <v>46045</v>
      </c>
      <c r="D3048" s="7">
        <v>46050</v>
      </c>
      <c r="E3048" s="8">
        <v>2</v>
      </c>
      <c r="F3048" s="6" t="str">
        <f>"94907601_07026"</f>
        <v>94907601_07026</v>
      </c>
      <c r="G3048" s="6" t="str">
        <f t="shared" si="684"/>
        <v>F310631650000000</v>
      </c>
      <c r="H3048" s="6" t="str">
        <f t="shared" si="685"/>
        <v>PLAR 6316 FD - 500 g</v>
      </c>
      <c r="I3048" s="6" t="str">
        <f>"202575"</f>
        <v>202575</v>
      </c>
      <c r="J3048" s="6" t="str">
        <f>"BEGE 2575"</f>
        <v>BEGE 2575</v>
      </c>
      <c r="K3048" s="6" t="str">
        <f>"2020"</f>
        <v>2020</v>
      </c>
      <c r="L3048" s="6" t="str">
        <f>"Lençóis"</f>
        <v>Lençóis</v>
      </c>
      <c r="M3048" s="6" t="str">
        <f>"100x150"</f>
        <v>100x150</v>
      </c>
      <c r="N3048" s="6" t="str">
        <f>"5602972281095"</f>
        <v>5602972281095</v>
      </c>
      <c r="O3048" s="8">
        <v>6</v>
      </c>
      <c r="R3048" s="8">
        <v>0</v>
      </c>
      <c r="U3048" s="8">
        <v>0</v>
      </c>
      <c r="X3048" s="8">
        <v>0</v>
      </c>
      <c r="Z3048" s="8">
        <v>0</v>
      </c>
      <c r="AC3048" s="8">
        <v>0</v>
      </c>
      <c r="AF3048" s="8">
        <v>0</v>
      </c>
      <c r="AN3048" s="8">
        <v>0</v>
      </c>
      <c r="AO3048" s="8">
        <v>6</v>
      </c>
    </row>
    <row r="3049" spans="1:41" x14ac:dyDescent="0.25">
      <c r="A3049" s="6" t="str">
        <f>"522-2026000462"</f>
        <v>522-2026000462</v>
      </c>
      <c r="B3049" s="6" t="str">
        <f t="shared" si="683"/>
        <v>EL CORTE</v>
      </c>
      <c r="C3049" s="7">
        <v>46045</v>
      </c>
      <c r="D3049" s="7">
        <v>46050</v>
      </c>
      <c r="E3049" s="8">
        <v>3</v>
      </c>
      <c r="F3049" s="6" t="str">
        <f>"94907601_07026"</f>
        <v>94907601_07026</v>
      </c>
      <c r="G3049" s="6" t="str">
        <f t="shared" si="684"/>
        <v>F310631650000000</v>
      </c>
      <c r="H3049" s="6" t="str">
        <f t="shared" si="685"/>
        <v>PLAR 6316 FD - 500 g</v>
      </c>
      <c r="I3049" s="6" t="str">
        <f>"200901"</f>
        <v>200901</v>
      </c>
      <c r="J3049" s="6" t="str">
        <f>"ROSA 901"</f>
        <v>ROSA 901</v>
      </c>
      <c r="K3049" s="6" t="str">
        <f>"2020"</f>
        <v>2020</v>
      </c>
      <c r="L3049" s="6" t="str">
        <f>"Lençóis"</f>
        <v>Lençóis</v>
      </c>
      <c r="M3049" s="6" t="str">
        <f>"100x150"</f>
        <v>100x150</v>
      </c>
      <c r="N3049" s="6" t="str">
        <f>"5602972281125"</f>
        <v>5602972281125</v>
      </c>
      <c r="O3049" s="8">
        <v>3</v>
      </c>
      <c r="R3049" s="8">
        <v>0</v>
      </c>
      <c r="U3049" s="8">
        <v>0</v>
      </c>
      <c r="X3049" s="8">
        <v>0</v>
      </c>
      <c r="Z3049" s="8">
        <v>0</v>
      </c>
      <c r="AC3049" s="8">
        <v>0</v>
      </c>
      <c r="AF3049" s="8">
        <v>0</v>
      </c>
      <c r="AN3049" s="8">
        <v>0</v>
      </c>
      <c r="AO3049" s="8">
        <v>3</v>
      </c>
    </row>
    <row r="3050" spans="1:41" x14ac:dyDescent="0.25">
      <c r="A3050" s="6" t="str">
        <f>"522-2026000462"</f>
        <v>522-2026000462</v>
      </c>
      <c r="B3050" s="6" t="str">
        <f t="shared" si="683"/>
        <v>EL CORTE</v>
      </c>
      <c r="C3050" s="7">
        <v>46045</v>
      </c>
      <c r="D3050" s="7">
        <v>46050</v>
      </c>
      <c r="E3050" s="8">
        <v>4</v>
      </c>
      <c r="F3050" s="6" t="str">
        <f>"94907601_07026"</f>
        <v>94907601_07026</v>
      </c>
      <c r="G3050" s="6" t="str">
        <f t="shared" si="684"/>
        <v>F310631650000000</v>
      </c>
      <c r="H3050" s="6" t="str">
        <f t="shared" si="685"/>
        <v>PLAR 6316 FD - 500 g</v>
      </c>
      <c r="I3050" s="6" t="str">
        <f t="shared" ref="I3050:I3084" si="688">"200510"</f>
        <v>200510</v>
      </c>
      <c r="J3050" s="6" t="str">
        <f t="shared" ref="J3050:J3084" si="689">"VERDE 510"</f>
        <v>VERDE 510</v>
      </c>
      <c r="K3050" s="6" t="str">
        <f>"2020"</f>
        <v>2020</v>
      </c>
      <c r="L3050" s="6" t="str">
        <f>"Lençóis"</f>
        <v>Lençóis</v>
      </c>
      <c r="M3050" s="6" t="str">
        <f>"100x150"</f>
        <v>100x150</v>
      </c>
      <c r="N3050" s="6" t="str">
        <f>"5602972281156"</f>
        <v>5602972281156</v>
      </c>
      <c r="O3050" s="8">
        <v>3</v>
      </c>
      <c r="R3050" s="8">
        <v>0</v>
      </c>
      <c r="U3050" s="8">
        <v>0</v>
      </c>
      <c r="X3050" s="8">
        <v>0</v>
      </c>
      <c r="Z3050" s="8">
        <v>0</v>
      </c>
      <c r="AC3050" s="8">
        <v>0</v>
      </c>
      <c r="AF3050" s="8">
        <v>0</v>
      </c>
      <c r="AN3050" s="8">
        <v>0</v>
      </c>
      <c r="AO3050" s="8">
        <v>3</v>
      </c>
    </row>
    <row r="3051" spans="1:41" x14ac:dyDescent="0.25">
      <c r="A3051" s="6" t="str">
        <f>"522-2026000463"</f>
        <v>522-2026000463</v>
      </c>
      <c r="B3051" s="6" t="str">
        <f t="shared" si="683"/>
        <v>EL CORTE</v>
      </c>
      <c r="C3051" s="7">
        <v>46048</v>
      </c>
      <c r="D3051" s="7">
        <v>46051</v>
      </c>
      <c r="E3051" s="8">
        <v>1</v>
      </c>
      <c r="F3051" s="6" t="str">
        <f>"94915301_07026"</f>
        <v>94915301_07026</v>
      </c>
      <c r="G3051" s="6" t="str">
        <f t="shared" si="684"/>
        <v>F310631650000000</v>
      </c>
      <c r="H3051" s="6" t="str">
        <f t="shared" si="685"/>
        <v>PLAR 6316 FD - 500 g</v>
      </c>
      <c r="I3051" s="6" t="str">
        <f t="shared" si="688"/>
        <v>200510</v>
      </c>
      <c r="J3051" s="6" t="str">
        <f t="shared" si="689"/>
        <v>VERDE 510</v>
      </c>
      <c r="K3051" s="6" t="str">
        <f t="shared" ref="K3051:K3084" si="690">"1024"</f>
        <v>1024</v>
      </c>
      <c r="L3051" s="6" t="str">
        <f t="shared" ref="L3051:L3084" si="691">"Toalhas"</f>
        <v>Toalhas</v>
      </c>
      <c r="M3051" s="6" t="str">
        <f t="shared" ref="M3051:M3084" si="692">"50x100"</f>
        <v>50x100</v>
      </c>
      <c r="N3051" s="6" t="str">
        <f t="shared" ref="N3051:N3084" si="693">"5602972281149"</f>
        <v>5602972281149</v>
      </c>
      <c r="O3051" s="8">
        <v>6</v>
      </c>
      <c r="R3051" s="8">
        <v>0</v>
      </c>
      <c r="U3051" s="8">
        <v>0</v>
      </c>
      <c r="X3051" s="8">
        <v>0</v>
      </c>
      <c r="Z3051" s="8">
        <v>0</v>
      </c>
      <c r="AC3051" s="8">
        <v>0</v>
      </c>
      <c r="AF3051" s="8">
        <v>0</v>
      </c>
      <c r="AN3051" s="8">
        <v>6</v>
      </c>
      <c r="AO3051" s="8">
        <v>0</v>
      </c>
    </row>
    <row r="3052" spans="1:41" x14ac:dyDescent="0.25">
      <c r="A3052" s="6" t="str">
        <f>"522-2026000464"</f>
        <v>522-2026000464</v>
      </c>
      <c r="B3052" s="6" t="str">
        <f t="shared" si="683"/>
        <v>EL CORTE</v>
      </c>
      <c r="C3052" s="7">
        <v>46048</v>
      </c>
      <c r="D3052" s="7">
        <v>46051</v>
      </c>
      <c r="E3052" s="8">
        <v>1</v>
      </c>
      <c r="F3052" s="6" t="str">
        <f>"94915501_07026"</f>
        <v>94915501_07026</v>
      </c>
      <c r="G3052" s="6" t="str">
        <f t="shared" si="684"/>
        <v>F310631650000000</v>
      </c>
      <c r="H3052" s="6" t="str">
        <f t="shared" si="685"/>
        <v>PLAR 6316 FD - 500 g</v>
      </c>
      <c r="I3052" s="6" t="str">
        <f t="shared" si="688"/>
        <v>200510</v>
      </c>
      <c r="J3052" s="6" t="str">
        <f t="shared" si="689"/>
        <v>VERDE 510</v>
      </c>
      <c r="K3052" s="6" t="str">
        <f t="shared" si="690"/>
        <v>1024</v>
      </c>
      <c r="L3052" s="6" t="str">
        <f t="shared" si="691"/>
        <v>Toalhas</v>
      </c>
      <c r="M3052" s="6" t="str">
        <f t="shared" si="692"/>
        <v>50x100</v>
      </c>
      <c r="N3052" s="6" t="str">
        <f t="shared" si="693"/>
        <v>5602972281149</v>
      </c>
      <c r="O3052" s="8">
        <v>18</v>
      </c>
      <c r="R3052" s="8">
        <v>0</v>
      </c>
      <c r="U3052" s="8">
        <v>0</v>
      </c>
      <c r="X3052" s="8">
        <v>0</v>
      </c>
      <c r="Z3052" s="8">
        <v>0</v>
      </c>
      <c r="AC3052" s="8">
        <v>0</v>
      </c>
      <c r="AF3052" s="8">
        <v>0</v>
      </c>
      <c r="AN3052" s="8">
        <v>18</v>
      </c>
      <c r="AO3052" s="8">
        <v>0</v>
      </c>
    </row>
    <row r="3053" spans="1:41" x14ac:dyDescent="0.25">
      <c r="A3053" s="6" t="str">
        <f>"522-2026000465"</f>
        <v>522-2026000465</v>
      </c>
      <c r="B3053" s="6" t="str">
        <f t="shared" si="683"/>
        <v>EL CORTE</v>
      </c>
      <c r="C3053" s="7">
        <v>46048</v>
      </c>
      <c r="D3053" s="7">
        <v>46051</v>
      </c>
      <c r="E3053" s="8">
        <v>1</v>
      </c>
      <c r="F3053" s="6" t="str">
        <f>"94917801_07026"</f>
        <v>94917801_07026</v>
      </c>
      <c r="G3053" s="6" t="str">
        <f t="shared" si="684"/>
        <v>F310631650000000</v>
      </c>
      <c r="H3053" s="6" t="str">
        <f t="shared" si="685"/>
        <v>PLAR 6316 FD - 500 g</v>
      </c>
      <c r="I3053" s="6" t="str">
        <f t="shared" si="688"/>
        <v>200510</v>
      </c>
      <c r="J3053" s="6" t="str">
        <f t="shared" si="689"/>
        <v>VERDE 510</v>
      </c>
      <c r="K3053" s="6" t="str">
        <f t="shared" si="690"/>
        <v>1024</v>
      </c>
      <c r="L3053" s="6" t="str">
        <f t="shared" si="691"/>
        <v>Toalhas</v>
      </c>
      <c r="M3053" s="6" t="str">
        <f t="shared" si="692"/>
        <v>50x100</v>
      </c>
      <c r="N3053" s="6" t="str">
        <f t="shared" si="693"/>
        <v>5602972281149</v>
      </c>
      <c r="O3053" s="8">
        <v>18</v>
      </c>
      <c r="R3053" s="8">
        <v>0</v>
      </c>
      <c r="U3053" s="8">
        <v>0</v>
      </c>
      <c r="X3053" s="8">
        <v>0</v>
      </c>
      <c r="Z3053" s="8">
        <v>0</v>
      </c>
      <c r="AC3053" s="8">
        <v>0</v>
      </c>
      <c r="AF3053" s="8">
        <v>0</v>
      </c>
      <c r="AN3053" s="8">
        <v>0</v>
      </c>
      <c r="AO3053" s="8">
        <v>18</v>
      </c>
    </row>
    <row r="3054" spans="1:41" x14ac:dyDescent="0.25">
      <c r="A3054" s="6" t="str">
        <f>"522-2026000466"</f>
        <v>522-2026000466</v>
      </c>
      <c r="B3054" s="6" t="str">
        <f t="shared" si="683"/>
        <v>EL CORTE</v>
      </c>
      <c r="C3054" s="7">
        <v>46048</v>
      </c>
      <c r="D3054" s="7">
        <v>46051</v>
      </c>
      <c r="E3054" s="8">
        <v>1</v>
      </c>
      <c r="F3054" s="6" t="str">
        <f>"94916001_07026"</f>
        <v>94916001_07026</v>
      </c>
      <c r="G3054" s="6" t="str">
        <f t="shared" si="684"/>
        <v>F310631650000000</v>
      </c>
      <c r="H3054" s="6" t="str">
        <f t="shared" si="685"/>
        <v>PLAR 6316 FD - 500 g</v>
      </c>
      <c r="I3054" s="6" t="str">
        <f t="shared" si="688"/>
        <v>200510</v>
      </c>
      <c r="J3054" s="6" t="str">
        <f t="shared" si="689"/>
        <v>VERDE 510</v>
      </c>
      <c r="K3054" s="6" t="str">
        <f t="shared" si="690"/>
        <v>1024</v>
      </c>
      <c r="L3054" s="6" t="str">
        <f t="shared" si="691"/>
        <v>Toalhas</v>
      </c>
      <c r="M3054" s="6" t="str">
        <f t="shared" si="692"/>
        <v>50x100</v>
      </c>
      <c r="N3054" s="6" t="str">
        <f t="shared" si="693"/>
        <v>5602972281149</v>
      </c>
      <c r="O3054" s="8">
        <v>12</v>
      </c>
      <c r="R3054" s="8">
        <v>0</v>
      </c>
      <c r="U3054" s="8">
        <v>0</v>
      </c>
      <c r="X3054" s="8">
        <v>0</v>
      </c>
      <c r="Z3054" s="8">
        <v>0</v>
      </c>
      <c r="AC3054" s="8">
        <v>0</v>
      </c>
      <c r="AF3054" s="8">
        <v>0</v>
      </c>
      <c r="AN3054" s="8">
        <v>0</v>
      </c>
      <c r="AO3054" s="8">
        <v>12</v>
      </c>
    </row>
    <row r="3055" spans="1:41" x14ac:dyDescent="0.25">
      <c r="A3055" s="6" t="str">
        <f>"522-2026000467"</f>
        <v>522-2026000467</v>
      </c>
      <c r="B3055" s="6" t="str">
        <f t="shared" si="683"/>
        <v>EL CORTE</v>
      </c>
      <c r="C3055" s="7">
        <v>46048</v>
      </c>
      <c r="D3055" s="7">
        <v>46051</v>
      </c>
      <c r="E3055" s="8">
        <v>1</v>
      </c>
      <c r="F3055" s="6" t="str">
        <f>"94915701_07026"</f>
        <v>94915701_07026</v>
      </c>
      <c r="G3055" s="6" t="str">
        <f t="shared" si="684"/>
        <v>F310631650000000</v>
      </c>
      <c r="H3055" s="6" t="str">
        <f t="shared" si="685"/>
        <v>PLAR 6316 FD - 500 g</v>
      </c>
      <c r="I3055" s="6" t="str">
        <f t="shared" si="688"/>
        <v>200510</v>
      </c>
      <c r="J3055" s="6" t="str">
        <f t="shared" si="689"/>
        <v>VERDE 510</v>
      </c>
      <c r="K3055" s="6" t="str">
        <f t="shared" si="690"/>
        <v>1024</v>
      </c>
      <c r="L3055" s="6" t="str">
        <f t="shared" si="691"/>
        <v>Toalhas</v>
      </c>
      <c r="M3055" s="6" t="str">
        <f t="shared" si="692"/>
        <v>50x100</v>
      </c>
      <c r="N3055" s="6" t="str">
        <f t="shared" si="693"/>
        <v>5602972281149</v>
      </c>
      <c r="O3055" s="8">
        <v>18</v>
      </c>
      <c r="R3055" s="8">
        <v>0</v>
      </c>
      <c r="U3055" s="8">
        <v>0</v>
      </c>
      <c r="X3055" s="8">
        <v>0</v>
      </c>
      <c r="Z3055" s="8">
        <v>0</v>
      </c>
      <c r="AC3055" s="8">
        <v>0</v>
      </c>
      <c r="AF3055" s="8">
        <v>0</v>
      </c>
      <c r="AN3055" s="8">
        <v>18</v>
      </c>
      <c r="AO3055" s="8">
        <v>0</v>
      </c>
    </row>
    <row r="3056" spans="1:41" x14ac:dyDescent="0.25">
      <c r="A3056" s="6" t="str">
        <f>"522-2026000468"</f>
        <v>522-2026000468</v>
      </c>
      <c r="B3056" s="6" t="str">
        <f t="shared" si="683"/>
        <v>EL CORTE</v>
      </c>
      <c r="C3056" s="7">
        <v>46048</v>
      </c>
      <c r="D3056" s="7">
        <v>46051</v>
      </c>
      <c r="E3056" s="8">
        <v>1</v>
      </c>
      <c r="F3056" s="6" t="str">
        <f>"94915401_07026"</f>
        <v>94915401_07026</v>
      </c>
      <c r="G3056" s="6" t="str">
        <f t="shared" si="684"/>
        <v>F310631650000000</v>
      </c>
      <c r="H3056" s="6" t="str">
        <f t="shared" si="685"/>
        <v>PLAR 6316 FD - 500 g</v>
      </c>
      <c r="I3056" s="6" t="str">
        <f t="shared" si="688"/>
        <v>200510</v>
      </c>
      <c r="J3056" s="6" t="str">
        <f t="shared" si="689"/>
        <v>VERDE 510</v>
      </c>
      <c r="K3056" s="6" t="str">
        <f t="shared" si="690"/>
        <v>1024</v>
      </c>
      <c r="L3056" s="6" t="str">
        <f t="shared" si="691"/>
        <v>Toalhas</v>
      </c>
      <c r="M3056" s="6" t="str">
        <f t="shared" si="692"/>
        <v>50x100</v>
      </c>
      <c r="N3056" s="6" t="str">
        <f t="shared" si="693"/>
        <v>5602972281149</v>
      </c>
      <c r="O3056" s="8">
        <v>12</v>
      </c>
      <c r="R3056" s="8">
        <v>0</v>
      </c>
      <c r="U3056" s="8">
        <v>0</v>
      </c>
      <c r="X3056" s="8">
        <v>0</v>
      </c>
      <c r="Z3056" s="8">
        <v>0</v>
      </c>
      <c r="AC3056" s="8">
        <v>0</v>
      </c>
      <c r="AF3056" s="8">
        <v>0</v>
      </c>
      <c r="AN3056" s="8">
        <v>0</v>
      </c>
      <c r="AO3056" s="8">
        <v>12</v>
      </c>
    </row>
    <row r="3057" spans="1:41" x14ac:dyDescent="0.25">
      <c r="A3057" s="6" t="str">
        <f>"522-2026000469"</f>
        <v>522-2026000469</v>
      </c>
      <c r="B3057" s="6" t="str">
        <f t="shared" si="683"/>
        <v>EL CORTE</v>
      </c>
      <c r="C3057" s="7">
        <v>46048</v>
      </c>
      <c r="D3057" s="7">
        <v>46051</v>
      </c>
      <c r="E3057" s="8">
        <v>1</v>
      </c>
      <c r="F3057" s="6" t="str">
        <f>"94916501_07026"</f>
        <v>94916501_07026</v>
      </c>
      <c r="G3057" s="6" t="str">
        <f t="shared" si="684"/>
        <v>F310631650000000</v>
      </c>
      <c r="H3057" s="6" t="str">
        <f t="shared" si="685"/>
        <v>PLAR 6316 FD - 500 g</v>
      </c>
      <c r="I3057" s="6" t="str">
        <f t="shared" si="688"/>
        <v>200510</v>
      </c>
      <c r="J3057" s="6" t="str">
        <f t="shared" si="689"/>
        <v>VERDE 510</v>
      </c>
      <c r="K3057" s="6" t="str">
        <f t="shared" si="690"/>
        <v>1024</v>
      </c>
      <c r="L3057" s="6" t="str">
        <f t="shared" si="691"/>
        <v>Toalhas</v>
      </c>
      <c r="M3057" s="6" t="str">
        <f t="shared" si="692"/>
        <v>50x100</v>
      </c>
      <c r="N3057" s="6" t="str">
        <f t="shared" si="693"/>
        <v>5602972281149</v>
      </c>
      <c r="O3057" s="8">
        <v>6</v>
      </c>
      <c r="R3057" s="8">
        <v>0</v>
      </c>
      <c r="U3057" s="8">
        <v>0</v>
      </c>
      <c r="X3057" s="8">
        <v>0</v>
      </c>
      <c r="Z3057" s="8">
        <v>0</v>
      </c>
      <c r="AC3057" s="8">
        <v>0</v>
      </c>
      <c r="AF3057" s="8">
        <v>0</v>
      </c>
      <c r="AN3057" s="8">
        <v>6</v>
      </c>
      <c r="AO3057" s="8">
        <v>0</v>
      </c>
    </row>
    <row r="3058" spans="1:41" x14ac:dyDescent="0.25">
      <c r="A3058" s="6" t="str">
        <f>"522-2026000470"</f>
        <v>522-2026000470</v>
      </c>
      <c r="B3058" s="6" t="str">
        <f t="shared" si="683"/>
        <v>EL CORTE</v>
      </c>
      <c r="C3058" s="7">
        <v>46048</v>
      </c>
      <c r="D3058" s="7">
        <v>46051</v>
      </c>
      <c r="E3058" s="8">
        <v>1</v>
      </c>
      <c r="F3058" s="6" t="str">
        <f>"94916801_07026"</f>
        <v>94916801_07026</v>
      </c>
      <c r="G3058" s="6" t="str">
        <f t="shared" si="684"/>
        <v>F310631650000000</v>
      </c>
      <c r="H3058" s="6" t="str">
        <f t="shared" si="685"/>
        <v>PLAR 6316 FD - 500 g</v>
      </c>
      <c r="I3058" s="6" t="str">
        <f t="shared" si="688"/>
        <v>200510</v>
      </c>
      <c r="J3058" s="6" t="str">
        <f t="shared" si="689"/>
        <v>VERDE 510</v>
      </c>
      <c r="K3058" s="6" t="str">
        <f t="shared" si="690"/>
        <v>1024</v>
      </c>
      <c r="L3058" s="6" t="str">
        <f t="shared" si="691"/>
        <v>Toalhas</v>
      </c>
      <c r="M3058" s="6" t="str">
        <f t="shared" si="692"/>
        <v>50x100</v>
      </c>
      <c r="N3058" s="6" t="str">
        <f t="shared" si="693"/>
        <v>5602972281149</v>
      </c>
      <c r="O3058" s="8">
        <v>6</v>
      </c>
      <c r="R3058" s="8">
        <v>0</v>
      </c>
      <c r="U3058" s="8">
        <v>0</v>
      </c>
      <c r="X3058" s="8">
        <v>0</v>
      </c>
      <c r="Z3058" s="8">
        <v>0</v>
      </c>
      <c r="AC3058" s="8">
        <v>0</v>
      </c>
      <c r="AF3058" s="8">
        <v>0</v>
      </c>
      <c r="AN3058" s="8">
        <v>6</v>
      </c>
      <c r="AO3058" s="8">
        <v>0</v>
      </c>
    </row>
    <row r="3059" spans="1:41" x14ac:dyDescent="0.25">
      <c r="A3059" s="6" t="str">
        <f>"522-2026000471"</f>
        <v>522-2026000471</v>
      </c>
      <c r="B3059" s="6" t="str">
        <f t="shared" si="683"/>
        <v>EL CORTE</v>
      </c>
      <c r="C3059" s="7">
        <v>46048</v>
      </c>
      <c r="D3059" s="7">
        <v>46051</v>
      </c>
      <c r="E3059" s="8">
        <v>1</v>
      </c>
      <c r="F3059" s="6" t="str">
        <f>"94915601_07026"</f>
        <v>94915601_07026</v>
      </c>
      <c r="G3059" s="6" t="str">
        <f t="shared" si="684"/>
        <v>F310631650000000</v>
      </c>
      <c r="H3059" s="6" t="str">
        <f t="shared" si="685"/>
        <v>PLAR 6316 FD - 500 g</v>
      </c>
      <c r="I3059" s="6" t="str">
        <f t="shared" si="688"/>
        <v>200510</v>
      </c>
      <c r="J3059" s="6" t="str">
        <f t="shared" si="689"/>
        <v>VERDE 510</v>
      </c>
      <c r="K3059" s="6" t="str">
        <f t="shared" si="690"/>
        <v>1024</v>
      </c>
      <c r="L3059" s="6" t="str">
        <f t="shared" si="691"/>
        <v>Toalhas</v>
      </c>
      <c r="M3059" s="6" t="str">
        <f t="shared" si="692"/>
        <v>50x100</v>
      </c>
      <c r="N3059" s="6" t="str">
        <f t="shared" si="693"/>
        <v>5602972281149</v>
      </c>
      <c r="O3059" s="8">
        <v>6</v>
      </c>
      <c r="R3059" s="8">
        <v>0</v>
      </c>
      <c r="U3059" s="8">
        <v>0</v>
      </c>
      <c r="X3059" s="8">
        <v>0</v>
      </c>
      <c r="Z3059" s="8">
        <v>0</v>
      </c>
      <c r="AC3059" s="8">
        <v>0</v>
      </c>
      <c r="AF3059" s="8">
        <v>0</v>
      </c>
      <c r="AN3059" s="8">
        <v>6</v>
      </c>
      <c r="AO3059" s="8">
        <v>0</v>
      </c>
    </row>
    <row r="3060" spans="1:41" x14ac:dyDescent="0.25">
      <c r="A3060" s="6" t="str">
        <f>"522-2026000472"</f>
        <v>522-2026000472</v>
      </c>
      <c r="B3060" s="6" t="str">
        <f t="shared" si="683"/>
        <v>EL CORTE</v>
      </c>
      <c r="C3060" s="7">
        <v>46048</v>
      </c>
      <c r="D3060" s="7">
        <v>46051</v>
      </c>
      <c r="E3060" s="8">
        <v>1</v>
      </c>
      <c r="F3060" s="6" t="str">
        <f>"94916701_07026"</f>
        <v>94916701_07026</v>
      </c>
      <c r="G3060" s="6" t="str">
        <f t="shared" si="684"/>
        <v>F310631650000000</v>
      </c>
      <c r="H3060" s="6" t="str">
        <f t="shared" si="685"/>
        <v>PLAR 6316 FD - 500 g</v>
      </c>
      <c r="I3060" s="6" t="str">
        <f t="shared" si="688"/>
        <v>200510</v>
      </c>
      <c r="J3060" s="6" t="str">
        <f t="shared" si="689"/>
        <v>VERDE 510</v>
      </c>
      <c r="K3060" s="6" t="str">
        <f t="shared" si="690"/>
        <v>1024</v>
      </c>
      <c r="L3060" s="6" t="str">
        <f t="shared" si="691"/>
        <v>Toalhas</v>
      </c>
      <c r="M3060" s="6" t="str">
        <f t="shared" si="692"/>
        <v>50x100</v>
      </c>
      <c r="N3060" s="6" t="str">
        <f t="shared" si="693"/>
        <v>5602972281149</v>
      </c>
      <c r="O3060" s="8">
        <v>6</v>
      </c>
      <c r="R3060" s="8">
        <v>0</v>
      </c>
      <c r="U3060" s="8">
        <v>0</v>
      </c>
      <c r="X3060" s="8">
        <v>0</v>
      </c>
      <c r="Z3060" s="8">
        <v>0</v>
      </c>
      <c r="AC3060" s="8">
        <v>0</v>
      </c>
      <c r="AF3060" s="8">
        <v>0</v>
      </c>
      <c r="AN3060" s="8">
        <v>6</v>
      </c>
      <c r="AO3060" s="8">
        <v>0</v>
      </c>
    </row>
    <row r="3061" spans="1:41" x14ac:dyDescent="0.25">
      <c r="A3061" s="6" t="str">
        <f>"522-2026000473"</f>
        <v>522-2026000473</v>
      </c>
      <c r="B3061" s="6" t="str">
        <f t="shared" si="683"/>
        <v>EL CORTE</v>
      </c>
      <c r="C3061" s="7">
        <v>46048</v>
      </c>
      <c r="D3061" s="7">
        <v>46051</v>
      </c>
      <c r="E3061" s="8">
        <v>1</v>
      </c>
      <c r="F3061" s="6" t="str">
        <f>"94916601_07026"</f>
        <v>94916601_07026</v>
      </c>
      <c r="G3061" s="6" t="str">
        <f t="shared" si="684"/>
        <v>F310631650000000</v>
      </c>
      <c r="H3061" s="6" t="str">
        <f t="shared" si="685"/>
        <v>PLAR 6316 FD - 500 g</v>
      </c>
      <c r="I3061" s="6" t="str">
        <f t="shared" si="688"/>
        <v>200510</v>
      </c>
      <c r="J3061" s="6" t="str">
        <f t="shared" si="689"/>
        <v>VERDE 510</v>
      </c>
      <c r="K3061" s="6" t="str">
        <f t="shared" si="690"/>
        <v>1024</v>
      </c>
      <c r="L3061" s="6" t="str">
        <f t="shared" si="691"/>
        <v>Toalhas</v>
      </c>
      <c r="M3061" s="6" t="str">
        <f t="shared" si="692"/>
        <v>50x100</v>
      </c>
      <c r="N3061" s="6" t="str">
        <f t="shared" si="693"/>
        <v>5602972281149</v>
      </c>
      <c r="O3061" s="8">
        <v>12</v>
      </c>
      <c r="R3061" s="8">
        <v>0</v>
      </c>
      <c r="U3061" s="8">
        <v>0</v>
      </c>
      <c r="X3061" s="8">
        <v>0</v>
      </c>
      <c r="Z3061" s="8">
        <v>0</v>
      </c>
      <c r="AC3061" s="8">
        <v>0</v>
      </c>
      <c r="AF3061" s="8">
        <v>0</v>
      </c>
      <c r="AN3061" s="8">
        <v>12</v>
      </c>
      <c r="AO3061" s="8">
        <v>0</v>
      </c>
    </row>
    <row r="3062" spans="1:41" x14ac:dyDescent="0.25">
      <c r="A3062" s="6" t="str">
        <f>"522-2026000474"</f>
        <v>522-2026000474</v>
      </c>
      <c r="B3062" s="6" t="str">
        <f t="shared" si="683"/>
        <v>EL CORTE</v>
      </c>
      <c r="C3062" s="7">
        <v>46048</v>
      </c>
      <c r="D3062" s="7">
        <v>46051</v>
      </c>
      <c r="E3062" s="8">
        <v>1</v>
      </c>
      <c r="F3062" s="6" t="str">
        <f>"94917701_07026"</f>
        <v>94917701_07026</v>
      </c>
      <c r="G3062" s="6" t="str">
        <f t="shared" si="684"/>
        <v>F310631650000000</v>
      </c>
      <c r="H3062" s="6" t="str">
        <f t="shared" si="685"/>
        <v>PLAR 6316 FD - 500 g</v>
      </c>
      <c r="I3062" s="6" t="str">
        <f t="shared" si="688"/>
        <v>200510</v>
      </c>
      <c r="J3062" s="6" t="str">
        <f t="shared" si="689"/>
        <v>VERDE 510</v>
      </c>
      <c r="K3062" s="6" t="str">
        <f t="shared" si="690"/>
        <v>1024</v>
      </c>
      <c r="L3062" s="6" t="str">
        <f t="shared" si="691"/>
        <v>Toalhas</v>
      </c>
      <c r="M3062" s="6" t="str">
        <f t="shared" si="692"/>
        <v>50x100</v>
      </c>
      <c r="N3062" s="6" t="str">
        <f t="shared" si="693"/>
        <v>5602972281149</v>
      </c>
      <c r="O3062" s="8">
        <v>6</v>
      </c>
      <c r="R3062" s="8">
        <v>0</v>
      </c>
      <c r="U3062" s="8">
        <v>0</v>
      </c>
      <c r="X3062" s="8">
        <v>0</v>
      </c>
      <c r="Z3062" s="8">
        <v>0</v>
      </c>
      <c r="AC3062" s="8">
        <v>0</v>
      </c>
      <c r="AF3062" s="8">
        <v>0</v>
      </c>
      <c r="AN3062" s="8">
        <v>0</v>
      </c>
      <c r="AO3062" s="8">
        <v>6</v>
      </c>
    </row>
    <row r="3063" spans="1:41" x14ac:dyDescent="0.25">
      <c r="A3063" s="6" t="str">
        <f>"522-2026000475"</f>
        <v>522-2026000475</v>
      </c>
      <c r="B3063" s="6" t="str">
        <f t="shared" si="683"/>
        <v>EL CORTE</v>
      </c>
      <c r="C3063" s="7">
        <v>46048</v>
      </c>
      <c r="D3063" s="7">
        <v>46051</v>
      </c>
      <c r="E3063" s="8">
        <v>1</v>
      </c>
      <c r="F3063" s="6" t="str">
        <f>"94917501_07026"</f>
        <v>94917501_07026</v>
      </c>
      <c r="G3063" s="6" t="str">
        <f t="shared" si="684"/>
        <v>F310631650000000</v>
      </c>
      <c r="H3063" s="6" t="str">
        <f t="shared" si="685"/>
        <v>PLAR 6316 FD - 500 g</v>
      </c>
      <c r="I3063" s="6" t="str">
        <f t="shared" si="688"/>
        <v>200510</v>
      </c>
      <c r="J3063" s="6" t="str">
        <f t="shared" si="689"/>
        <v>VERDE 510</v>
      </c>
      <c r="K3063" s="6" t="str">
        <f t="shared" si="690"/>
        <v>1024</v>
      </c>
      <c r="L3063" s="6" t="str">
        <f t="shared" si="691"/>
        <v>Toalhas</v>
      </c>
      <c r="M3063" s="6" t="str">
        <f t="shared" si="692"/>
        <v>50x100</v>
      </c>
      <c r="N3063" s="6" t="str">
        <f t="shared" si="693"/>
        <v>5602972281149</v>
      </c>
      <c r="O3063" s="8">
        <v>6</v>
      </c>
      <c r="R3063" s="8">
        <v>0</v>
      </c>
      <c r="U3063" s="8">
        <v>0</v>
      </c>
      <c r="X3063" s="8">
        <v>0</v>
      </c>
      <c r="Z3063" s="8">
        <v>0</v>
      </c>
      <c r="AC3063" s="8">
        <v>0</v>
      </c>
      <c r="AF3063" s="8">
        <v>0</v>
      </c>
      <c r="AN3063" s="8">
        <v>0</v>
      </c>
      <c r="AO3063" s="8">
        <v>6</v>
      </c>
    </row>
    <row r="3064" spans="1:41" x14ac:dyDescent="0.25">
      <c r="A3064" s="6" t="str">
        <f>"522-2026000476"</f>
        <v>522-2026000476</v>
      </c>
      <c r="B3064" s="6" t="str">
        <f t="shared" si="683"/>
        <v>EL CORTE</v>
      </c>
      <c r="C3064" s="7">
        <v>46048</v>
      </c>
      <c r="D3064" s="7">
        <v>46051</v>
      </c>
      <c r="E3064" s="8">
        <v>1</v>
      </c>
      <c r="F3064" s="6" t="str">
        <f>"94917001_07026"</f>
        <v>94917001_07026</v>
      </c>
      <c r="G3064" s="6" t="str">
        <f t="shared" si="684"/>
        <v>F310631650000000</v>
      </c>
      <c r="H3064" s="6" t="str">
        <f t="shared" si="685"/>
        <v>PLAR 6316 FD - 500 g</v>
      </c>
      <c r="I3064" s="6" t="str">
        <f t="shared" si="688"/>
        <v>200510</v>
      </c>
      <c r="J3064" s="6" t="str">
        <f t="shared" si="689"/>
        <v>VERDE 510</v>
      </c>
      <c r="K3064" s="6" t="str">
        <f t="shared" si="690"/>
        <v>1024</v>
      </c>
      <c r="L3064" s="6" t="str">
        <f t="shared" si="691"/>
        <v>Toalhas</v>
      </c>
      <c r="M3064" s="6" t="str">
        <f t="shared" si="692"/>
        <v>50x100</v>
      </c>
      <c r="N3064" s="6" t="str">
        <f t="shared" si="693"/>
        <v>5602972281149</v>
      </c>
      <c r="O3064" s="8">
        <v>12</v>
      </c>
      <c r="R3064" s="8">
        <v>0</v>
      </c>
      <c r="U3064" s="8">
        <v>0</v>
      </c>
      <c r="X3064" s="8">
        <v>0</v>
      </c>
      <c r="Z3064" s="8">
        <v>0</v>
      </c>
      <c r="AC3064" s="8">
        <v>0</v>
      </c>
      <c r="AF3064" s="8">
        <v>0</v>
      </c>
      <c r="AN3064" s="8">
        <v>12</v>
      </c>
      <c r="AO3064" s="8">
        <v>0</v>
      </c>
    </row>
    <row r="3065" spans="1:41" x14ac:dyDescent="0.25">
      <c r="A3065" s="6" t="str">
        <f>"522-2026000477"</f>
        <v>522-2026000477</v>
      </c>
      <c r="B3065" s="6" t="str">
        <f t="shared" si="683"/>
        <v>EL CORTE</v>
      </c>
      <c r="C3065" s="7">
        <v>46048</v>
      </c>
      <c r="D3065" s="7">
        <v>46051</v>
      </c>
      <c r="E3065" s="8">
        <v>1</v>
      </c>
      <c r="F3065" s="6" t="str">
        <f>"94917401_07026"</f>
        <v>94917401_07026</v>
      </c>
      <c r="G3065" s="6" t="str">
        <f t="shared" si="684"/>
        <v>F310631650000000</v>
      </c>
      <c r="H3065" s="6" t="str">
        <f t="shared" si="685"/>
        <v>PLAR 6316 FD - 500 g</v>
      </c>
      <c r="I3065" s="6" t="str">
        <f t="shared" si="688"/>
        <v>200510</v>
      </c>
      <c r="J3065" s="6" t="str">
        <f t="shared" si="689"/>
        <v>VERDE 510</v>
      </c>
      <c r="K3065" s="6" t="str">
        <f t="shared" si="690"/>
        <v>1024</v>
      </c>
      <c r="L3065" s="6" t="str">
        <f t="shared" si="691"/>
        <v>Toalhas</v>
      </c>
      <c r="M3065" s="6" t="str">
        <f t="shared" si="692"/>
        <v>50x100</v>
      </c>
      <c r="N3065" s="6" t="str">
        <f t="shared" si="693"/>
        <v>5602972281149</v>
      </c>
      <c r="O3065" s="8">
        <v>6</v>
      </c>
      <c r="R3065" s="8">
        <v>0</v>
      </c>
      <c r="U3065" s="8">
        <v>0</v>
      </c>
      <c r="X3065" s="8">
        <v>0</v>
      </c>
      <c r="Z3065" s="8">
        <v>0</v>
      </c>
      <c r="AC3065" s="8">
        <v>0</v>
      </c>
      <c r="AF3065" s="8">
        <v>0</v>
      </c>
      <c r="AN3065" s="8">
        <v>0</v>
      </c>
      <c r="AO3065" s="8">
        <v>6</v>
      </c>
    </row>
    <row r="3066" spans="1:41" x14ac:dyDescent="0.25">
      <c r="A3066" s="6" t="str">
        <f>"522-2026000478"</f>
        <v>522-2026000478</v>
      </c>
      <c r="B3066" s="6" t="str">
        <f t="shared" si="683"/>
        <v>EL CORTE</v>
      </c>
      <c r="C3066" s="7">
        <v>46048</v>
      </c>
      <c r="D3066" s="7">
        <v>46051</v>
      </c>
      <c r="E3066" s="8">
        <v>1</v>
      </c>
      <c r="F3066" s="6" t="str">
        <f>"94916401_07026"</f>
        <v>94916401_07026</v>
      </c>
      <c r="G3066" s="6" t="str">
        <f t="shared" si="684"/>
        <v>F310631650000000</v>
      </c>
      <c r="H3066" s="6" t="str">
        <f t="shared" si="685"/>
        <v>PLAR 6316 FD - 500 g</v>
      </c>
      <c r="I3066" s="6" t="str">
        <f t="shared" si="688"/>
        <v>200510</v>
      </c>
      <c r="J3066" s="6" t="str">
        <f t="shared" si="689"/>
        <v>VERDE 510</v>
      </c>
      <c r="K3066" s="6" t="str">
        <f t="shared" si="690"/>
        <v>1024</v>
      </c>
      <c r="L3066" s="6" t="str">
        <f t="shared" si="691"/>
        <v>Toalhas</v>
      </c>
      <c r="M3066" s="6" t="str">
        <f t="shared" si="692"/>
        <v>50x100</v>
      </c>
      <c r="N3066" s="6" t="str">
        <f t="shared" si="693"/>
        <v>5602972281149</v>
      </c>
      <c r="O3066" s="8">
        <v>6</v>
      </c>
      <c r="R3066" s="8">
        <v>0</v>
      </c>
      <c r="U3066" s="8">
        <v>0</v>
      </c>
      <c r="X3066" s="8">
        <v>0</v>
      </c>
      <c r="Z3066" s="8">
        <v>0</v>
      </c>
      <c r="AC3066" s="8">
        <v>0</v>
      </c>
      <c r="AF3066" s="8">
        <v>0</v>
      </c>
      <c r="AN3066" s="8">
        <v>6</v>
      </c>
      <c r="AO3066" s="8">
        <v>0</v>
      </c>
    </row>
    <row r="3067" spans="1:41" x14ac:dyDescent="0.25">
      <c r="A3067" s="6" t="str">
        <f>"522-2026000479"</f>
        <v>522-2026000479</v>
      </c>
      <c r="B3067" s="6" t="str">
        <f t="shared" si="683"/>
        <v>EL CORTE</v>
      </c>
      <c r="C3067" s="7">
        <v>46048</v>
      </c>
      <c r="D3067" s="7">
        <v>46051</v>
      </c>
      <c r="E3067" s="8">
        <v>1</v>
      </c>
      <c r="F3067" s="6" t="str">
        <f>"94917301_07026"</f>
        <v>94917301_07026</v>
      </c>
      <c r="G3067" s="6" t="str">
        <f t="shared" si="684"/>
        <v>F310631650000000</v>
      </c>
      <c r="H3067" s="6" t="str">
        <f t="shared" si="685"/>
        <v>PLAR 6316 FD - 500 g</v>
      </c>
      <c r="I3067" s="6" t="str">
        <f t="shared" si="688"/>
        <v>200510</v>
      </c>
      <c r="J3067" s="6" t="str">
        <f t="shared" si="689"/>
        <v>VERDE 510</v>
      </c>
      <c r="K3067" s="6" t="str">
        <f t="shared" si="690"/>
        <v>1024</v>
      </c>
      <c r="L3067" s="6" t="str">
        <f t="shared" si="691"/>
        <v>Toalhas</v>
      </c>
      <c r="M3067" s="6" t="str">
        <f t="shared" si="692"/>
        <v>50x100</v>
      </c>
      <c r="N3067" s="6" t="str">
        <f t="shared" si="693"/>
        <v>5602972281149</v>
      </c>
      <c r="O3067" s="8">
        <v>6</v>
      </c>
      <c r="R3067" s="8">
        <v>0</v>
      </c>
      <c r="U3067" s="8">
        <v>0</v>
      </c>
      <c r="X3067" s="8">
        <v>0</v>
      </c>
      <c r="Z3067" s="8">
        <v>0</v>
      </c>
      <c r="AC3067" s="8">
        <v>0</v>
      </c>
      <c r="AF3067" s="8">
        <v>0</v>
      </c>
      <c r="AN3067" s="8">
        <v>6</v>
      </c>
      <c r="AO3067" s="8">
        <v>0</v>
      </c>
    </row>
    <row r="3068" spans="1:41" x14ac:dyDescent="0.25">
      <c r="A3068" s="6" t="str">
        <f>"522-2026000480"</f>
        <v>522-2026000480</v>
      </c>
      <c r="B3068" s="6" t="str">
        <f t="shared" si="683"/>
        <v>EL CORTE</v>
      </c>
      <c r="C3068" s="7">
        <v>46048</v>
      </c>
      <c r="D3068" s="7">
        <v>46051</v>
      </c>
      <c r="E3068" s="8">
        <v>1</v>
      </c>
      <c r="F3068" s="6" t="str">
        <f>"94917101_07026"</f>
        <v>94917101_07026</v>
      </c>
      <c r="G3068" s="6" t="str">
        <f t="shared" si="684"/>
        <v>F310631650000000</v>
      </c>
      <c r="H3068" s="6" t="str">
        <f t="shared" si="685"/>
        <v>PLAR 6316 FD - 500 g</v>
      </c>
      <c r="I3068" s="6" t="str">
        <f t="shared" si="688"/>
        <v>200510</v>
      </c>
      <c r="J3068" s="6" t="str">
        <f t="shared" si="689"/>
        <v>VERDE 510</v>
      </c>
      <c r="K3068" s="6" t="str">
        <f t="shared" si="690"/>
        <v>1024</v>
      </c>
      <c r="L3068" s="6" t="str">
        <f t="shared" si="691"/>
        <v>Toalhas</v>
      </c>
      <c r="M3068" s="6" t="str">
        <f t="shared" si="692"/>
        <v>50x100</v>
      </c>
      <c r="N3068" s="6" t="str">
        <f t="shared" si="693"/>
        <v>5602972281149</v>
      </c>
      <c r="O3068" s="8">
        <v>6</v>
      </c>
      <c r="R3068" s="8">
        <v>0</v>
      </c>
      <c r="U3068" s="8">
        <v>0</v>
      </c>
      <c r="X3068" s="8">
        <v>0</v>
      </c>
      <c r="Z3068" s="8">
        <v>0</v>
      </c>
      <c r="AC3068" s="8">
        <v>0</v>
      </c>
      <c r="AF3068" s="8">
        <v>0</v>
      </c>
      <c r="AN3068" s="8">
        <v>0</v>
      </c>
      <c r="AO3068" s="8">
        <v>6</v>
      </c>
    </row>
    <row r="3069" spans="1:41" x14ac:dyDescent="0.25">
      <c r="A3069" s="6" t="str">
        <f>"522-2026000481"</f>
        <v>522-2026000481</v>
      </c>
      <c r="B3069" s="6" t="str">
        <f t="shared" si="683"/>
        <v>EL CORTE</v>
      </c>
      <c r="C3069" s="7">
        <v>46048</v>
      </c>
      <c r="D3069" s="7">
        <v>46051</v>
      </c>
      <c r="E3069" s="8">
        <v>1</v>
      </c>
      <c r="F3069" s="6" t="str">
        <f>"94917601_07026"</f>
        <v>94917601_07026</v>
      </c>
      <c r="G3069" s="6" t="str">
        <f t="shared" si="684"/>
        <v>F310631650000000</v>
      </c>
      <c r="H3069" s="6" t="str">
        <f t="shared" si="685"/>
        <v>PLAR 6316 FD - 500 g</v>
      </c>
      <c r="I3069" s="6" t="str">
        <f t="shared" si="688"/>
        <v>200510</v>
      </c>
      <c r="J3069" s="6" t="str">
        <f t="shared" si="689"/>
        <v>VERDE 510</v>
      </c>
      <c r="K3069" s="6" t="str">
        <f t="shared" si="690"/>
        <v>1024</v>
      </c>
      <c r="L3069" s="6" t="str">
        <f t="shared" si="691"/>
        <v>Toalhas</v>
      </c>
      <c r="M3069" s="6" t="str">
        <f t="shared" si="692"/>
        <v>50x100</v>
      </c>
      <c r="N3069" s="6" t="str">
        <f t="shared" si="693"/>
        <v>5602972281149</v>
      </c>
      <c r="O3069" s="8">
        <v>6</v>
      </c>
      <c r="R3069" s="8">
        <v>0</v>
      </c>
      <c r="U3069" s="8">
        <v>0</v>
      </c>
      <c r="X3069" s="8">
        <v>0</v>
      </c>
      <c r="Z3069" s="8">
        <v>0</v>
      </c>
      <c r="AC3069" s="8">
        <v>0</v>
      </c>
      <c r="AF3069" s="8">
        <v>0</v>
      </c>
      <c r="AN3069" s="8">
        <v>0</v>
      </c>
      <c r="AO3069" s="8">
        <v>6</v>
      </c>
    </row>
    <row r="3070" spans="1:41" x14ac:dyDescent="0.25">
      <c r="A3070" s="6" t="str">
        <f>"522-2026000482"</f>
        <v>522-2026000482</v>
      </c>
      <c r="B3070" s="6" t="str">
        <f t="shared" si="683"/>
        <v>EL CORTE</v>
      </c>
      <c r="C3070" s="7">
        <v>46049</v>
      </c>
      <c r="D3070" s="7">
        <v>46052</v>
      </c>
      <c r="E3070" s="8">
        <v>1</v>
      </c>
      <c r="F3070" s="6" t="str">
        <f>"94935501_07026"</f>
        <v>94935501_07026</v>
      </c>
      <c r="G3070" s="6" t="str">
        <f t="shared" si="684"/>
        <v>F310631650000000</v>
      </c>
      <c r="H3070" s="6" t="str">
        <f t="shared" si="685"/>
        <v>PLAR 6316 FD - 500 g</v>
      </c>
      <c r="I3070" s="6" t="str">
        <f t="shared" si="688"/>
        <v>200510</v>
      </c>
      <c r="J3070" s="6" t="str">
        <f t="shared" si="689"/>
        <v>VERDE 510</v>
      </c>
      <c r="K3070" s="6" t="str">
        <f t="shared" si="690"/>
        <v>1024</v>
      </c>
      <c r="L3070" s="6" t="str">
        <f t="shared" si="691"/>
        <v>Toalhas</v>
      </c>
      <c r="M3070" s="6" t="str">
        <f t="shared" si="692"/>
        <v>50x100</v>
      </c>
      <c r="N3070" s="6" t="str">
        <f t="shared" si="693"/>
        <v>5602972281149</v>
      </c>
      <c r="O3070" s="8">
        <v>6</v>
      </c>
      <c r="R3070" s="8">
        <v>0</v>
      </c>
      <c r="U3070" s="8">
        <v>0</v>
      </c>
      <c r="X3070" s="8">
        <v>0</v>
      </c>
      <c r="Z3070" s="8">
        <v>0</v>
      </c>
      <c r="AC3070" s="8">
        <v>0</v>
      </c>
      <c r="AF3070" s="8">
        <v>0</v>
      </c>
      <c r="AN3070" s="8">
        <v>0</v>
      </c>
      <c r="AO3070" s="8">
        <v>6</v>
      </c>
    </row>
    <row r="3071" spans="1:41" x14ac:dyDescent="0.25">
      <c r="A3071" s="6" t="str">
        <f>"522-2026000483"</f>
        <v>522-2026000483</v>
      </c>
      <c r="B3071" s="6" t="str">
        <f t="shared" si="683"/>
        <v>EL CORTE</v>
      </c>
      <c r="C3071" s="7">
        <v>46049</v>
      </c>
      <c r="D3071" s="7">
        <v>46052</v>
      </c>
      <c r="E3071" s="8">
        <v>1</v>
      </c>
      <c r="F3071" s="6" t="str">
        <f>"94935601_07026"</f>
        <v>94935601_07026</v>
      </c>
      <c r="G3071" s="6" t="str">
        <f t="shared" si="684"/>
        <v>F310631650000000</v>
      </c>
      <c r="H3071" s="6" t="str">
        <f t="shared" si="685"/>
        <v>PLAR 6316 FD - 500 g</v>
      </c>
      <c r="I3071" s="6" t="str">
        <f t="shared" si="688"/>
        <v>200510</v>
      </c>
      <c r="J3071" s="6" t="str">
        <f t="shared" si="689"/>
        <v>VERDE 510</v>
      </c>
      <c r="K3071" s="6" t="str">
        <f t="shared" si="690"/>
        <v>1024</v>
      </c>
      <c r="L3071" s="6" t="str">
        <f t="shared" si="691"/>
        <v>Toalhas</v>
      </c>
      <c r="M3071" s="6" t="str">
        <f t="shared" si="692"/>
        <v>50x100</v>
      </c>
      <c r="N3071" s="6" t="str">
        <f t="shared" si="693"/>
        <v>5602972281149</v>
      </c>
      <c r="O3071" s="8">
        <v>6</v>
      </c>
      <c r="R3071" s="8">
        <v>0</v>
      </c>
      <c r="U3071" s="8">
        <v>0</v>
      </c>
      <c r="X3071" s="8">
        <v>0</v>
      </c>
      <c r="Z3071" s="8">
        <v>0</v>
      </c>
      <c r="AC3071" s="8">
        <v>0</v>
      </c>
      <c r="AF3071" s="8">
        <v>0</v>
      </c>
      <c r="AN3071" s="8">
        <v>0</v>
      </c>
      <c r="AO3071" s="8">
        <v>6</v>
      </c>
    </row>
    <row r="3072" spans="1:41" x14ac:dyDescent="0.25">
      <c r="A3072" s="6" t="str">
        <f>"522-2026000484"</f>
        <v>522-2026000484</v>
      </c>
      <c r="B3072" s="6" t="str">
        <f t="shared" si="683"/>
        <v>EL CORTE</v>
      </c>
      <c r="C3072" s="7">
        <v>46050</v>
      </c>
      <c r="D3072" s="7">
        <v>46055</v>
      </c>
      <c r="E3072" s="8">
        <v>1</v>
      </c>
      <c r="F3072" s="6" t="str">
        <f>"94943201_07026"</f>
        <v>94943201_07026</v>
      </c>
      <c r="G3072" s="6" t="str">
        <f t="shared" si="684"/>
        <v>F310631650000000</v>
      </c>
      <c r="H3072" s="6" t="str">
        <f t="shared" si="685"/>
        <v>PLAR 6316 FD - 500 g</v>
      </c>
      <c r="I3072" s="6" t="str">
        <f t="shared" si="688"/>
        <v>200510</v>
      </c>
      <c r="J3072" s="6" t="str">
        <f t="shared" si="689"/>
        <v>VERDE 510</v>
      </c>
      <c r="K3072" s="6" t="str">
        <f t="shared" si="690"/>
        <v>1024</v>
      </c>
      <c r="L3072" s="6" t="str">
        <f t="shared" si="691"/>
        <v>Toalhas</v>
      </c>
      <c r="M3072" s="6" t="str">
        <f t="shared" si="692"/>
        <v>50x100</v>
      </c>
      <c r="N3072" s="6" t="str">
        <f t="shared" si="693"/>
        <v>5602972281149</v>
      </c>
      <c r="O3072" s="8">
        <v>12</v>
      </c>
      <c r="R3072" s="8">
        <v>0</v>
      </c>
      <c r="U3072" s="8">
        <v>0</v>
      </c>
      <c r="X3072" s="8">
        <v>0</v>
      </c>
      <c r="Z3072" s="8">
        <v>0</v>
      </c>
      <c r="AC3072" s="8">
        <v>0</v>
      </c>
      <c r="AF3072" s="8">
        <v>0</v>
      </c>
      <c r="AN3072" s="8">
        <v>0</v>
      </c>
      <c r="AO3072" s="8">
        <v>12</v>
      </c>
    </row>
    <row r="3073" spans="1:41" x14ac:dyDescent="0.25">
      <c r="A3073" s="6" t="str">
        <f>"522-2026000485"</f>
        <v>522-2026000485</v>
      </c>
      <c r="B3073" s="6" t="str">
        <f t="shared" si="683"/>
        <v>EL CORTE</v>
      </c>
      <c r="C3073" s="7">
        <v>46050</v>
      </c>
      <c r="D3073" s="7">
        <v>46055</v>
      </c>
      <c r="E3073" s="8">
        <v>1</v>
      </c>
      <c r="F3073" s="6" t="str">
        <f>"94942901_07026"</f>
        <v>94942901_07026</v>
      </c>
      <c r="G3073" s="6" t="str">
        <f t="shared" si="684"/>
        <v>F310631650000000</v>
      </c>
      <c r="H3073" s="6" t="str">
        <f t="shared" si="685"/>
        <v>PLAR 6316 FD - 500 g</v>
      </c>
      <c r="I3073" s="6" t="str">
        <f t="shared" si="688"/>
        <v>200510</v>
      </c>
      <c r="J3073" s="6" t="str">
        <f t="shared" si="689"/>
        <v>VERDE 510</v>
      </c>
      <c r="K3073" s="6" t="str">
        <f t="shared" si="690"/>
        <v>1024</v>
      </c>
      <c r="L3073" s="6" t="str">
        <f t="shared" si="691"/>
        <v>Toalhas</v>
      </c>
      <c r="M3073" s="6" t="str">
        <f t="shared" si="692"/>
        <v>50x100</v>
      </c>
      <c r="N3073" s="6" t="str">
        <f t="shared" si="693"/>
        <v>5602972281149</v>
      </c>
      <c r="O3073" s="8">
        <v>6</v>
      </c>
      <c r="R3073" s="8">
        <v>0</v>
      </c>
      <c r="U3073" s="8">
        <v>0</v>
      </c>
      <c r="X3073" s="8">
        <v>0</v>
      </c>
      <c r="Z3073" s="8">
        <v>0</v>
      </c>
      <c r="AC3073" s="8">
        <v>0</v>
      </c>
      <c r="AF3073" s="8">
        <v>0</v>
      </c>
      <c r="AN3073" s="8">
        <v>0</v>
      </c>
      <c r="AO3073" s="8">
        <v>6</v>
      </c>
    </row>
    <row r="3074" spans="1:41" x14ac:dyDescent="0.25">
      <c r="A3074" s="6" t="str">
        <f>"522-2026000486"</f>
        <v>522-2026000486</v>
      </c>
      <c r="B3074" s="6" t="str">
        <f t="shared" si="683"/>
        <v>EL CORTE</v>
      </c>
      <c r="C3074" s="7">
        <v>46050</v>
      </c>
      <c r="D3074" s="7">
        <v>46055</v>
      </c>
      <c r="E3074" s="8">
        <v>1</v>
      </c>
      <c r="F3074" s="6" t="str">
        <f>"94942501_07026"</f>
        <v>94942501_07026</v>
      </c>
      <c r="G3074" s="6" t="str">
        <f t="shared" si="684"/>
        <v>F310631650000000</v>
      </c>
      <c r="H3074" s="6" t="str">
        <f t="shared" si="685"/>
        <v>PLAR 6316 FD - 500 g</v>
      </c>
      <c r="I3074" s="6" t="str">
        <f t="shared" si="688"/>
        <v>200510</v>
      </c>
      <c r="J3074" s="6" t="str">
        <f t="shared" si="689"/>
        <v>VERDE 510</v>
      </c>
      <c r="K3074" s="6" t="str">
        <f t="shared" si="690"/>
        <v>1024</v>
      </c>
      <c r="L3074" s="6" t="str">
        <f t="shared" si="691"/>
        <v>Toalhas</v>
      </c>
      <c r="M3074" s="6" t="str">
        <f t="shared" si="692"/>
        <v>50x100</v>
      </c>
      <c r="N3074" s="6" t="str">
        <f t="shared" si="693"/>
        <v>5602972281149</v>
      </c>
      <c r="O3074" s="8">
        <v>12</v>
      </c>
      <c r="R3074" s="8">
        <v>0</v>
      </c>
      <c r="U3074" s="8">
        <v>0</v>
      </c>
      <c r="X3074" s="8">
        <v>0</v>
      </c>
      <c r="Z3074" s="8">
        <v>0</v>
      </c>
      <c r="AC3074" s="8">
        <v>0</v>
      </c>
      <c r="AF3074" s="8">
        <v>0</v>
      </c>
      <c r="AN3074" s="8">
        <v>0</v>
      </c>
      <c r="AO3074" s="8">
        <v>12</v>
      </c>
    </row>
    <row r="3075" spans="1:41" x14ac:dyDescent="0.25">
      <c r="A3075" s="6" t="str">
        <f>"522-2026000487"</f>
        <v>522-2026000487</v>
      </c>
      <c r="B3075" s="6" t="str">
        <f t="shared" si="683"/>
        <v>EL CORTE</v>
      </c>
      <c r="C3075" s="7">
        <v>46050</v>
      </c>
      <c r="D3075" s="7">
        <v>46055</v>
      </c>
      <c r="E3075" s="8">
        <v>1</v>
      </c>
      <c r="F3075" s="6" t="str">
        <f>"94943001_07026"</f>
        <v>94943001_07026</v>
      </c>
      <c r="G3075" s="6" t="str">
        <f t="shared" si="684"/>
        <v>F310631650000000</v>
      </c>
      <c r="H3075" s="6" t="str">
        <f t="shared" si="685"/>
        <v>PLAR 6316 FD - 500 g</v>
      </c>
      <c r="I3075" s="6" t="str">
        <f t="shared" si="688"/>
        <v>200510</v>
      </c>
      <c r="J3075" s="6" t="str">
        <f t="shared" si="689"/>
        <v>VERDE 510</v>
      </c>
      <c r="K3075" s="6" t="str">
        <f t="shared" si="690"/>
        <v>1024</v>
      </c>
      <c r="L3075" s="6" t="str">
        <f t="shared" si="691"/>
        <v>Toalhas</v>
      </c>
      <c r="M3075" s="6" t="str">
        <f t="shared" si="692"/>
        <v>50x100</v>
      </c>
      <c r="N3075" s="6" t="str">
        <f t="shared" si="693"/>
        <v>5602972281149</v>
      </c>
      <c r="O3075" s="8">
        <v>6</v>
      </c>
      <c r="R3075" s="8">
        <v>0</v>
      </c>
      <c r="U3075" s="8">
        <v>0</v>
      </c>
      <c r="X3075" s="8">
        <v>0</v>
      </c>
      <c r="Z3075" s="8">
        <v>0</v>
      </c>
      <c r="AC3075" s="8">
        <v>0</v>
      </c>
      <c r="AF3075" s="8">
        <v>0</v>
      </c>
      <c r="AN3075" s="8">
        <v>0</v>
      </c>
      <c r="AO3075" s="8">
        <v>6</v>
      </c>
    </row>
    <row r="3076" spans="1:41" x14ac:dyDescent="0.25">
      <c r="A3076" s="6" t="str">
        <f>"522-2026000488"</f>
        <v>522-2026000488</v>
      </c>
      <c r="B3076" s="6" t="str">
        <f t="shared" si="683"/>
        <v>EL CORTE</v>
      </c>
      <c r="C3076" s="7">
        <v>46050</v>
      </c>
      <c r="D3076" s="7">
        <v>46055</v>
      </c>
      <c r="E3076" s="8">
        <v>1</v>
      </c>
      <c r="F3076" s="6" t="str">
        <f>"94942801_07026"</f>
        <v>94942801_07026</v>
      </c>
      <c r="G3076" s="6" t="str">
        <f t="shared" si="684"/>
        <v>F310631650000000</v>
      </c>
      <c r="H3076" s="6" t="str">
        <f t="shared" si="685"/>
        <v>PLAR 6316 FD - 500 g</v>
      </c>
      <c r="I3076" s="6" t="str">
        <f t="shared" si="688"/>
        <v>200510</v>
      </c>
      <c r="J3076" s="6" t="str">
        <f t="shared" si="689"/>
        <v>VERDE 510</v>
      </c>
      <c r="K3076" s="6" t="str">
        <f t="shared" si="690"/>
        <v>1024</v>
      </c>
      <c r="L3076" s="6" t="str">
        <f t="shared" si="691"/>
        <v>Toalhas</v>
      </c>
      <c r="M3076" s="6" t="str">
        <f t="shared" si="692"/>
        <v>50x100</v>
      </c>
      <c r="N3076" s="6" t="str">
        <f t="shared" si="693"/>
        <v>5602972281149</v>
      </c>
      <c r="O3076" s="8">
        <v>12</v>
      </c>
      <c r="R3076" s="8">
        <v>0</v>
      </c>
      <c r="U3076" s="8">
        <v>0</v>
      </c>
      <c r="X3076" s="8">
        <v>0</v>
      </c>
      <c r="Z3076" s="8">
        <v>0</v>
      </c>
      <c r="AC3076" s="8">
        <v>0</v>
      </c>
      <c r="AF3076" s="8">
        <v>0</v>
      </c>
      <c r="AN3076" s="8">
        <v>0</v>
      </c>
      <c r="AO3076" s="8">
        <v>12</v>
      </c>
    </row>
    <row r="3077" spans="1:41" x14ac:dyDescent="0.25">
      <c r="A3077" s="6" t="str">
        <f>"522-2026000489"</f>
        <v>522-2026000489</v>
      </c>
      <c r="B3077" s="6" t="str">
        <f t="shared" si="683"/>
        <v>EL CORTE</v>
      </c>
      <c r="C3077" s="7">
        <v>46050</v>
      </c>
      <c r="D3077" s="7">
        <v>46055</v>
      </c>
      <c r="E3077" s="8">
        <v>1</v>
      </c>
      <c r="F3077" s="6" t="str">
        <f>"94942601_07026"</f>
        <v>94942601_07026</v>
      </c>
      <c r="G3077" s="6" t="str">
        <f t="shared" si="684"/>
        <v>F310631650000000</v>
      </c>
      <c r="H3077" s="6" t="str">
        <f t="shared" si="685"/>
        <v>PLAR 6316 FD - 500 g</v>
      </c>
      <c r="I3077" s="6" t="str">
        <f t="shared" si="688"/>
        <v>200510</v>
      </c>
      <c r="J3077" s="6" t="str">
        <f t="shared" si="689"/>
        <v>VERDE 510</v>
      </c>
      <c r="K3077" s="6" t="str">
        <f t="shared" si="690"/>
        <v>1024</v>
      </c>
      <c r="L3077" s="6" t="str">
        <f t="shared" si="691"/>
        <v>Toalhas</v>
      </c>
      <c r="M3077" s="6" t="str">
        <f t="shared" si="692"/>
        <v>50x100</v>
      </c>
      <c r="N3077" s="6" t="str">
        <f t="shared" si="693"/>
        <v>5602972281149</v>
      </c>
      <c r="O3077" s="8">
        <v>6</v>
      </c>
      <c r="R3077" s="8">
        <v>0</v>
      </c>
      <c r="U3077" s="8">
        <v>0</v>
      </c>
      <c r="X3077" s="8">
        <v>0</v>
      </c>
      <c r="Z3077" s="8">
        <v>0</v>
      </c>
      <c r="AC3077" s="8">
        <v>0</v>
      </c>
      <c r="AF3077" s="8">
        <v>0</v>
      </c>
      <c r="AN3077" s="8">
        <v>0</v>
      </c>
      <c r="AO3077" s="8">
        <v>6</v>
      </c>
    </row>
    <row r="3078" spans="1:41" x14ac:dyDescent="0.25">
      <c r="A3078" s="6" t="str">
        <f>"522-2026000490"</f>
        <v>522-2026000490</v>
      </c>
      <c r="B3078" s="6" t="str">
        <f t="shared" si="683"/>
        <v>EL CORTE</v>
      </c>
      <c r="C3078" s="7">
        <v>46050</v>
      </c>
      <c r="D3078" s="7">
        <v>46055</v>
      </c>
      <c r="E3078" s="8">
        <v>1</v>
      </c>
      <c r="F3078" s="6" t="str">
        <f>"94942701_07026"</f>
        <v>94942701_07026</v>
      </c>
      <c r="G3078" s="6" t="str">
        <f t="shared" si="684"/>
        <v>F310631650000000</v>
      </c>
      <c r="H3078" s="6" t="str">
        <f t="shared" si="685"/>
        <v>PLAR 6316 FD - 500 g</v>
      </c>
      <c r="I3078" s="6" t="str">
        <f t="shared" si="688"/>
        <v>200510</v>
      </c>
      <c r="J3078" s="6" t="str">
        <f t="shared" si="689"/>
        <v>VERDE 510</v>
      </c>
      <c r="K3078" s="6" t="str">
        <f t="shared" si="690"/>
        <v>1024</v>
      </c>
      <c r="L3078" s="6" t="str">
        <f t="shared" si="691"/>
        <v>Toalhas</v>
      </c>
      <c r="M3078" s="6" t="str">
        <f t="shared" si="692"/>
        <v>50x100</v>
      </c>
      <c r="N3078" s="6" t="str">
        <f t="shared" si="693"/>
        <v>5602972281149</v>
      </c>
      <c r="O3078" s="8">
        <v>12</v>
      </c>
      <c r="R3078" s="8">
        <v>0</v>
      </c>
      <c r="U3078" s="8">
        <v>0</v>
      </c>
      <c r="X3078" s="8">
        <v>0</v>
      </c>
      <c r="Z3078" s="8">
        <v>0</v>
      </c>
      <c r="AC3078" s="8">
        <v>0</v>
      </c>
      <c r="AF3078" s="8">
        <v>0</v>
      </c>
      <c r="AN3078" s="8">
        <v>0</v>
      </c>
      <c r="AO3078" s="8">
        <v>12</v>
      </c>
    </row>
    <row r="3079" spans="1:41" x14ac:dyDescent="0.25">
      <c r="A3079" s="6" t="str">
        <f>"522-2026000491"</f>
        <v>522-2026000491</v>
      </c>
      <c r="B3079" s="6" t="str">
        <f t="shared" ref="B3079:B3084" si="694">"EL CORTE"</f>
        <v>EL CORTE</v>
      </c>
      <c r="C3079" s="7">
        <v>46050</v>
      </c>
      <c r="D3079" s="7">
        <v>46055</v>
      </c>
      <c r="E3079" s="8">
        <v>1</v>
      </c>
      <c r="F3079" s="6" t="str">
        <f>"94943101_07026"</f>
        <v>94943101_07026</v>
      </c>
      <c r="G3079" s="6" t="str">
        <f t="shared" ref="G3079:G3084" si="695">"F310631650000000"</f>
        <v>F310631650000000</v>
      </c>
      <c r="H3079" s="6" t="str">
        <f t="shared" ref="H3079:H3084" si="696">"PLAR 6316 FD - 500 g"</f>
        <v>PLAR 6316 FD - 500 g</v>
      </c>
      <c r="I3079" s="6" t="str">
        <f t="shared" si="688"/>
        <v>200510</v>
      </c>
      <c r="J3079" s="6" t="str">
        <f t="shared" si="689"/>
        <v>VERDE 510</v>
      </c>
      <c r="K3079" s="6" t="str">
        <f t="shared" si="690"/>
        <v>1024</v>
      </c>
      <c r="L3079" s="6" t="str">
        <f t="shared" si="691"/>
        <v>Toalhas</v>
      </c>
      <c r="M3079" s="6" t="str">
        <f t="shared" si="692"/>
        <v>50x100</v>
      </c>
      <c r="N3079" s="6" t="str">
        <f t="shared" si="693"/>
        <v>5602972281149</v>
      </c>
      <c r="O3079" s="8">
        <v>12</v>
      </c>
      <c r="R3079" s="8">
        <v>0</v>
      </c>
      <c r="U3079" s="8">
        <v>0</v>
      </c>
      <c r="X3079" s="8">
        <v>0</v>
      </c>
      <c r="Z3079" s="8">
        <v>0</v>
      </c>
      <c r="AC3079" s="8">
        <v>0</v>
      </c>
      <c r="AF3079" s="8">
        <v>0</v>
      </c>
      <c r="AN3079" s="8">
        <v>0</v>
      </c>
      <c r="AO3079" s="8">
        <v>12</v>
      </c>
    </row>
    <row r="3080" spans="1:41" x14ac:dyDescent="0.25">
      <c r="A3080" s="6" t="str">
        <f>"522-2026000492"</f>
        <v>522-2026000492</v>
      </c>
      <c r="B3080" s="6" t="str">
        <f t="shared" si="694"/>
        <v>EL CORTE</v>
      </c>
      <c r="C3080" s="7">
        <v>46051</v>
      </c>
      <c r="D3080" s="7">
        <v>46056</v>
      </c>
      <c r="E3080" s="8">
        <v>1</v>
      </c>
      <c r="F3080" s="6" t="str">
        <f>"33342501_07026"</f>
        <v>33342501_07026</v>
      </c>
      <c r="G3080" s="6" t="str">
        <f t="shared" si="695"/>
        <v>F310631650000000</v>
      </c>
      <c r="H3080" s="6" t="str">
        <f t="shared" si="696"/>
        <v>PLAR 6316 FD - 500 g</v>
      </c>
      <c r="I3080" s="6" t="str">
        <f t="shared" si="688"/>
        <v>200510</v>
      </c>
      <c r="J3080" s="6" t="str">
        <f t="shared" si="689"/>
        <v>VERDE 510</v>
      </c>
      <c r="K3080" s="6" t="str">
        <f t="shared" si="690"/>
        <v>1024</v>
      </c>
      <c r="L3080" s="6" t="str">
        <f t="shared" si="691"/>
        <v>Toalhas</v>
      </c>
      <c r="M3080" s="6" t="str">
        <f t="shared" si="692"/>
        <v>50x100</v>
      </c>
      <c r="N3080" s="6" t="str">
        <f t="shared" si="693"/>
        <v>5602972281149</v>
      </c>
      <c r="O3080" s="8">
        <v>6</v>
      </c>
      <c r="R3080" s="8">
        <v>0</v>
      </c>
      <c r="U3080" s="8">
        <v>0</v>
      </c>
      <c r="X3080" s="8">
        <v>0</v>
      </c>
      <c r="Z3080" s="8">
        <v>0</v>
      </c>
      <c r="AC3080" s="8">
        <v>0</v>
      </c>
      <c r="AF3080" s="8">
        <v>0</v>
      </c>
      <c r="AN3080" s="8">
        <v>0</v>
      </c>
      <c r="AO3080" s="8">
        <v>6</v>
      </c>
    </row>
    <row r="3081" spans="1:41" x14ac:dyDescent="0.25">
      <c r="A3081" s="6" t="str">
        <f>"522-2026000493"</f>
        <v>522-2026000493</v>
      </c>
      <c r="B3081" s="6" t="str">
        <f t="shared" si="694"/>
        <v>EL CORTE</v>
      </c>
      <c r="C3081" s="7">
        <v>46051</v>
      </c>
      <c r="D3081" s="7">
        <v>46056</v>
      </c>
      <c r="E3081" s="8">
        <v>1</v>
      </c>
      <c r="F3081" s="6" t="str">
        <f>"94943501_07026"</f>
        <v>94943501_07026</v>
      </c>
      <c r="G3081" s="6" t="str">
        <f t="shared" si="695"/>
        <v>F310631650000000</v>
      </c>
      <c r="H3081" s="6" t="str">
        <f t="shared" si="696"/>
        <v>PLAR 6316 FD - 500 g</v>
      </c>
      <c r="I3081" s="6" t="str">
        <f t="shared" si="688"/>
        <v>200510</v>
      </c>
      <c r="J3081" s="6" t="str">
        <f t="shared" si="689"/>
        <v>VERDE 510</v>
      </c>
      <c r="K3081" s="6" t="str">
        <f t="shared" si="690"/>
        <v>1024</v>
      </c>
      <c r="L3081" s="6" t="str">
        <f t="shared" si="691"/>
        <v>Toalhas</v>
      </c>
      <c r="M3081" s="6" t="str">
        <f t="shared" si="692"/>
        <v>50x100</v>
      </c>
      <c r="N3081" s="6" t="str">
        <f t="shared" si="693"/>
        <v>5602972281149</v>
      </c>
      <c r="O3081" s="8">
        <v>6</v>
      </c>
      <c r="R3081" s="8">
        <v>0</v>
      </c>
      <c r="U3081" s="8">
        <v>0</v>
      </c>
      <c r="X3081" s="8">
        <v>0</v>
      </c>
      <c r="Z3081" s="8">
        <v>0</v>
      </c>
      <c r="AC3081" s="8">
        <v>0</v>
      </c>
      <c r="AF3081" s="8">
        <v>0</v>
      </c>
      <c r="AN3081" s="8">
        <v>0</v>
      </c>
      <c r="AO3081" s="8">
        <v>6</v>
      </c>
    </row>
    <row r="3082" spans="1:41" x14ac:dyDescent="0.25">
      <c r="A3082" s="6" t="str">
        <f>"522-2026000494"</f>
        <v>522-2026000494</v>
      </c>
      <c r="B3082" s="6" t="str">
        <f t="shared" si="694"/>
        <v>EL CORTE</v>
      </c>
      <c r="C3082" s="7">
        <v>46051</v>
      </c>
      <c r="D3082" s="7">
        <v>46056</v>
      </c>
      <c r="E3082" s="8">
        <v>1</v>
      </c>
      <c r="F3082" s="6" t="str">
        <f>"94943601_07026"</f>
        <v>94943601_07026</v>
      </c>
      <c r="G3082" s="6" t="str">
        <f t="shared" si="695"/>
        <v>F310631650000000</v>
      </c>
      <c r="H3082" s="6" t="str">
        <f t="shared" si="696"/>
        <v>PLAR 6316 FD - 500 g</v>
      </c>
      <c r="I3082" s="6" t="str">
        <f t="shared" si="688"/>
        <v>200510</v>
      </c>
      <c r="J3082" s="6" t="str">
        <f t="shared" si="689"/>
        <v>VERDE 510</v>
      </c>
      <c r="K3082" s="6" t="str">
        <f t="shared" si="690"/>
        <v>1024</v>
      </c>
      <c r="L3082" s="6" t="str">
        <f t="shared" si="691"/>
        <v>Toalhas</v>
      </c>
      <c r="M3082" s="6" t="str">
        <f t="shared" si="692"/>
        <v>50x100</v>
      </c>
      <c r="N3082" s="6" t="str">
        <f t="shared" si="693"/>
        <v>5602972281149</v>
      </c>
      <c r="O3082" s="8">
        <v>6</v>
      </c>
      <c r="R3082" s="8">
        <v>0</v>
      </c>
      <c r="U3082" s="8">
        <v>0</v>
      </c>
      <c r="X3082" s="8">
        <v>0</v>
      </c>
      <c r="Z3082" s="8">
        <v>0</v>
      </c>
      <c r="AC3082" s="8">
        <v>0</v>
      </c>
      <c r="AF3082" s="8">
        <v>0</v>
      </c>
      <c r="AN3082" s="8">
        <v>0</v>
      </c>
      <c r="AO3082" s="8">
        <v>6</v>
      </c>
    </row>
    <row r="3083" spans="1:41" x14ac:dyDescent="0.25">
      <c r="A3083" s="6" t="str">
        <f>"522-2026000495"</f>
        <v>522-2026000495</v>
      </c>
      <c r="B3083" s="6" t="str">
        <f t="shared" si="694"/>
        <v>EL CORTE</v>
      </c>
      <c r="C3083" s="7">
        <v>46051</v>
      </c>
      <c r="D3083" s="7">
        <v>46056</v>
      </c>
      <c r="E3083" s="8">
        <v>1</v>
      </c>
      <c r="F3083" s="6" t="str">
        <f>"94943801_07026"</f>
        <v>94943801_07026</v>
      </c>
      <c r="G3083" s="6" t="str">
        <f t="shared" si="695"/>
        <v>F310631650000000</v>
      </c>
      <c r="H3083" s="6" t="str">
        <f t="shared" si="696"/>
        <v>PLAR 6316 FD - 500 g</v>
      </c>
      <c r="I3083" s="6" t="str">
        <f t="shared" si="688"/>
        <v>200510</v>
      </c>
      <c r="J3083" s="6" t="str">
        <f t="shared" si="689"/>
        <v>VERDE 510</v>
      </c>
      <c r="K3083" s="6" t="str">
        <f t="shared" si="690"/>
        <v>1024</v>
      </c>
      <c r="L3083" s="6" t="str">
        <f t="shared" si="691"/>
        <v>Toalhas</v>
      </c>
      <c r="M3083" s="6" t="str">
        <f t="shared" si="692"/>
        <v>50x100</v>
      </c>
      <c r="N3083" s="6" t="str">
        <f t="shared" si="693"/>
        <v>5602972281149</v>
      </c>
      <c r="O3083" s="8">
        <v>6</v>
      </c>
      <c r="R3083" s="8">
        <v>0</v>
      </c>
      <c r="U3083" s="8">
        <v>0</v>
      </c>
      <c r="X3083" s="8">
        <v>0</v>
      </c>
      <c r="Z3083" s="8">
        <v>0</v>
      </c>
      <c r="AC3083" s="8">
        <v>0</v>
      </c>
      <c r="AF3083" s="8">
        <v>0</v>
      </c>
      <c r="AN3083" s="8">
        <v>0</v>
      </c>
      <c r="AO3083" s="8">
        <v>6</v>
      </c>
    </row>
    <row r="3084" spans="1:41" x14ac:dyDescent="0.25">
      <c r="A3084" s="6" t="str">
        <f>"522-2026000496"</f>
        <v>522-2026000496</v>
      </c>
      <c r="B3084" s="6" t="str">
        <f t="shared" si="694"/>
        <v>EL CORTE</v>
      </c>
      <c r="C3084" s="7">
        <v>46051</v>
      </c>
      <c r="D3084" s="7">
        <v>46056</v>
      </c>
      <c r="E3084" s="8">
        <v>1</v>
      </c>
      <c r="F3084" s="6" t="str">
        <f>"94943701_07026"</f>
        <v>94943701_07026</v>
      </c>
      <c r="G3084" s="6" t="str">
        <f t="shared" si="695"/>
        <v>F310631650000000</v>
      </c>
      <c r="H3084" s="6" t="str">
        <f t="shared" si="696"/>
        <v>PLAR 6316 FD - 500 g</v>
      </c>
      <c r="I3084" s="6" t="str">
        <f t="shared" si="688"/>
        <v>200510</v>
      </c>
      <c r="J3084" s="6" t="str">
        <f t="shared" si="689"/>
        <v>VERDE 510</v>
      </c>
      <c r="K3084" s="6" t="str">
        <f t="shared" si="690"/>
        <v>1024</v>
      </c>
      <c r="L3084" s="6" t="str">
        <f t="shared" si="691"/>
        <v>Toalhas</v>
      </c>
      <c r="M3084" s="6" t="str">
        <f t="shared" si="692"/>
        <v>50x100</v>
      </c>
      <c r="N3084" s="6" t="str">
        <f t="shared" si="693"/>
        <v>5602972281149</v>
      </c>
      <c r="O3084" s="8">
        <v>6</v>
      </c>
      <c r="R3084" s="8">
        <v>0</v>
      </c>
      <c r="U3084" s="8">
        <v>0</v>
      </c>
      <c r="X3084" s="8">
        <v>0</v>
      </c>
      <c r="Z3084" s="8">
        <v>0</v>
      </c>
      <c r="AC3084" s="8">
        <v>0</v>
      </c>
      <c r="AF3084" s="8">
        <v>0</v>
      </c>
      <c r="AN3084" s="8">
        <v>0</v>
      </c>
      <c r="AO3084" s="8">
        <v>6</v>
      </c>
    </row>
    <row r="3085" spans="1:41" x14ac:dyDescent="0.25">
      <c r="A3085" s="6" t="str">
        <f>"525-2024000662"</f>
        <v>525-2024000662</v>
      </c>
      <c r="B3085" s="6" t="str">
        <f t="shared" ref="B3085:B3148" si="697">"Lasa Int"</f>
        <v>Lasa Int</v>
      </c>
      <c r="C3085" s="7">
        <v>45600</v>
      </c>
      <c r="D3085" s="7">
        <v>46096</v>
      </c>
      <c r="E3085" s="8">
        <v>1</v>
      </c>
      <c r="F3085" s="6" t="str">
        <f>"Cool R"</f>
        <v>Cool R</v>
      </c>
      <c r="G3085" s="6" t="str">
        <f>"R702284130000000"</f>
        <v>R702284130000000</v>
      </c>
      <c r="H3085" s="6" t="str">
        <f>"R 2841 - Ketten - 30"</f>
        <v>R 2841 - Ketten - 30</v>
      </c>
      <c r="I3085" s="6" t="str">
        <f>"3234"</f>
        <v>3234</v>
      </c>
      <c r="J3085" s="6" t="str">
        <f>"CASTANHO 3234"</f>
        <v>CASTANHO 3234</v>
      </c>
      <c r="K3085" s="6" t="str">
        <f>"5002"</f>
        <v>5002</v>
      </c>
      <c r="L3085" s="6" t="str">
        <f>"Roupões Adulto"</f>
        <v>Roupões Adulto</v>
      </c>
      <c r="M3085" s="6" t="str">
        <f>"S"</f>
        <v>S</v>
      </c>
      <c r="N3085" s="6" t="str">
        <f>"5602972792270"</f>
        <v>5602972792270</v>
      </c>
      <c r="O3085" s="8">
        <v>36</v>
      </c>
      <c r="P3085" s="7">
        <v>45604</v>
      </c>
      <c r="R3085" s="8">
        <v>0</v>
      </c>
      <c r="S3085" s="7">
        <v>45609</v>
      </c>
      <c r="U3085" s="8">
        <v>800</v>
      </c>
      <c r="V3085" s="7">
        <v>45618</v>
      </c>
      <c r="X3085" s="8">
        <v>800</v>
      </c>
      <c r="Z3085" s="8">
        <v>0</v>
      </c>
      <c r="AA3085" s="7">
        <v>45630</v>
      </c>
      <c r="AC3085" s="8">
        <v>0</v>
      </c>
      <c r="AE3085" s="7">
        <v>45646</v>
      </c>
      <c r="AF3085" s="8">
        <v>0</v>
      </c>
      <c r="AH3085" s="7">
        <v>45646</v>
      </c>
      <c r="AI3085" s="7">
        <v>45644</v>
      </c>
      <c r="AN3085" s="8">
        <v>0</v>
      </c>
      <c r="AO3085" s="8">
        <v>36</v>
      </c>
    </row>
    <row r="3086" spans="1:41" x14ac:dyDescent="0.25">
      <c r="A3086" s="6" t="str">
        <f>"525-2024000662"</f>
        <v>525-2024000662</v>
      </c>
      <c r="B3086" s="6" t="str">
        <f t="shared" si="697"/>
        <v>Lasa Int</v>
      </c>
      <c r="C3086" s="7">
        <v>45600</v>
      </c>
      <c r="D3086" s="7">
        <v>46096</v>
      </c>
      <c r="E3086" s="8">
        <v>2</v>
      </c>
      <c r="F3086" s="6" t="str">
        <f>"Cool R"</f>
        <v>Cool R</v>
      </c>
      <c r="G3086" s="6" t="str">
        <f>"R702284130000000"</f>
        <v>R702284130000000</v>
      </c>
      <c r="H3086" s="6" t="str">
        <f>"R 2841 - Ketten - 30"</f>
        <v>R 2841 - Ketten - 30</v>
      </c>
      <c r="I3086" s="6" t="str">
        <f>"3234"</f>
        <v>3234</v>
      </c>
      <c r="J3086" s="6" t="str">
        <f>"CASTANHO 3234"</f>
        <v>CASTANHO 3234</v>
      </c>
      <c r="K3086" s="6" t="str">
        <f>"5004"</f>
        <v>5004</v>
      </c>
      <c r="L3086" s="6" t="str">
        <f>"Roupões Adulto"</f>
        <v>Roupões Adulto</v>
      </c>
      <c r="M3086" s="6" t="str">
        <f>"M"</f>
        <v>M</v>
      </c>
      <c r="N3086" s="6" t="str">
        <f>"5602972792287"</f>
        <v>5602972792287</v>
      </c>
      <c r="O3086" s="8">
        <v>72</v>
      </c>
      <c r="P3086" s="7">
        <v>45604</v>
      </c>
      <c r="R3086" s="8">
        <v>0</v>
      </c>
      <c r="S3086" s="7">
        <v>45609</v>
      </c>
      <c r="U3086" s="8">
        <v>0</v>
      </c>
      <c r="V3086" s="7">
        <v>45618</v>
      </c>
      <c r="X3086" s="8">
        <v>0</v>
      </c>
      <c r="Z3086" s="8">
        <v>0</v>
      </c>
      <c r="AA3086" s="7">
        <v>45630</v>
      </c>
      <c r="AC3086" s="8">
        <v>0</v>
      </c>
      <c r="AE3086" s="7">
        <v>45646</v>
      </c>
      <c r="AF3086" s="8">
        <v>0</v>
      </c>
      <c r="AH3086" s="7">
        <v>45646</v>
      </c>
      <c r="AI3086" s="7">
        <v>45644</v>
      </c>
      <c r="AN3086" s="8">
        <v>0</v>
      </c>
      <c r="AO3086" s="8">
        <v>72</v>
      </c>
    </row>
    <row r="3087" spans="1:41" x14ac:dyDescent="0.25">
      <c r="A3087" s="6" t="str">
        <f>"525-2024000662"</f>
        <v>525-2024000662</v>
      </c>
      <c r="B3087" s="6" t="str">
        <f t="shared" si="697"/>
        <v>Lasa Int</v>
      </c>
      <c r="C3087" s="7">
        <v>45600</v>
      </c>
      <c r="D3087" s="7">
        <v>46096</v>
      </c>
      <c r="E3087" s="8">
        <v>3</v>
      </c>
      <c r="F3087" s="6" t="str">
        <f>"Cool R"</f>
        <v>Cool R</v>
      </c>
      <c r="G3087" s="6" t="str">
        <f>"R702284130000000"</f>
        <v>R702284130000000</v>
      </c>
      <c r="H3087" s="6" t="str">
        <f>"R 2841 - Ketten - 30"</f>
        <v>R 2841 - Ketten - 30</v>
      </c>
      <c r="I3087" s="6" t="str">
        <f>"3234"</f>
        <v>3234</v>
      </c>
      <c r="J3087" s="6" t="str">
        <f>"CASTANHO 3234"</f>
        <v>CASTANHO 3234</v>
      </c>
      <c r="K3087" s="6" t="str">
        <f>"5006"</f>
        <v>5006</v>
      </c>
      <c r="L3087" s="6" t="str">
        <f>"Roupões Adulto"</f>
        <v>Roupões Adulto</v>
      </c>
      <c r="M3087" s="6" t="str">
        <f>"L"</f>
        <v>L</v>
      </c>
      <c r="N3087" s="6" t="str">
        <f>"5602972792294"</f>
        <v>5602972792294</v>
      </c>
      <c r="O3087" s="8">
        <v>96</v>
      </c>
      <c r="P3087" s="7">
        <v>45604</v>
      </c>
      <c r="R3087" s="8">
        <v>0</v>
      </c>
      <c r="S3087" s="7">
        <v>45609</v>
      </c>
      <c r="U3087" s="8">
        <v>0</v>
      </c>
      <c r="V3087" s="7">
        <v>45618</v>
      </c>
      <c r="X3087" s="8">
        <v>0</v>
      </c>
      <c r="Z3087" s="8">
        <v>0</v>
      </c>
      <c r="AA3087" s="7">
        <v>45630</v>
      </c>
      <c r="AC3087" s="8">
        <v>0</v>
      </c>
      <c r="AE3087" s="7">
        <v>45646</v>
      </c>
      <c r="AF3087" s="8">
        <v>0</v>
      </c>
      <c r="AH3087" s="7">
        <v>45646</v>
      </c>
      <c r="AI3087" s="7">
        <v>45644</v>
      </c>
      <c r="AN3087" s="8">
        <v>0</v>
      </c>
      <c r="AO3087" s="8">
        <v>96</v>
      </c>
    </row>
    <row r="3088" spans="1:41" x14ac:dyDescent="0.25">
      <c r="A3088" s="6" t="str">
        <f>"525-2024000662"</f>
        <v>525-2024000662</v>
      </c>
      <c r="B3088" s="6" t="str">
        <f t="shared" si="697"/>
        <v>Lasa Int</v>
      </c>
      <c r="C3088" s="7">
        <v>45600</v>
      </c>
      <c r="D3088" s="7">
        <v>46096</v>
      </c>
      <c r="E3088" s="8">
        <v>4</v>
      </c>
      <c r="F3088" s="6" t="str">
        <f>"Cool R"</f>
        <v>Cool R</v>
      </c>
      <c r="G3088" s="6" t="str">
        <f>"R702284130000000"</f>
        <v>R702284130000000</v>
      </c>
      <c r="H3088" s="6" t="str">
        <f>"R 2841 - Ketten - 30"</f>
        <v>R 2841 - Ketten - 30</v>
      </c>
      <c r="I3088" s="6" t="str">
        <f>"3234"</f>
        <v>3234</v>
      </c>
      <c r="J3088" s="6" t="str">
        <f>"CASTANHO 3234"</f>
        <v>CASTANHO 3234</v>
      </c>
      <c r="K3088" s="6" t="str">
        <f>"5008"</f>
        <v>5008</v>
      </c>
      <c r="L3088" s="6" t="str">
        <f>"Roupões Adulto"</f>
        <v>Roupões Adulto</v>
      </c>
      <c r="M3088" s="6" t="str">
        <f>"XL"</f>
        <v>XL</v>
      </c>
      <c r="N3088" s="6" t="str">
        <f>"5602972792300"</f>
        <v>5602972792300</v>
      </c>
      <c r="O3088" s="8">
        <v>36</v>
      </c>
      <c r="P3088" s="7">
        <v>45604</v>
      </c>
      <c r="R3088" s="8">
        <v>0</v>
      </c>
      <c r="S3088" s="7">
        <v>45609</v>
      </c>
      <c r="U3088" s="8">
        <v>0</v>
      </c>
      <c r="V3088" s="7">
        <v>45618</v>
      </c>
      <c r="X3088" s="8">
        <v>0</v>
      </c>
      <c r="Z3088" s="8">
        <v>0</v>
      </c>
      <c r="AA3088" s="7">
        <v>45630</v>
      </c>
      <c r="AC3088" s="8">
        <v>0</v>
      </c>
      <c r="AE3088" s="7">
        <v>45646</v>
      </c>
      <c r="AF3088" s="8">
        <v>0</v>
      </c>
      <c r="AH3088" s="7">
        <v>45646</v>
      </c>
      <c r="AI3088" s="7">
        <v>45644</v>
      </c>
      <c r="AN3088" s="8">
        <v>0</v>
      </c>
      <c r="AO3088" s="8">
        <v>36</v>
      </c>
    </row>
    <row r="3089" spans="1:41" x14ac:dyDescent="0.25">
      <c r="A3089" s="6" t="str">
        <f>"525-2024000662"</f>
        <v>525-2024000662</v>
      </c>
      <c r="B3089" s="6" t="str">
        <f t="shared" si="697"/>
        <v>Lasa Int</v>
      </c>
      <c r="C3089" s="7">
        <v>45600</v>
      </c>
      <c r="D3089" s="7">
        <v>46096</v>
      </c>
      <c r="E3089" s="8">
        <v>5</v>
      </c>
      <c r="F3089" s="6" t="str">
        <f>"Cool R"</f>
        <v>Cool R</v>
      </c>
      <c r="G3089" s="6" t="str">
        <f>"R702284130000000"</f>
        <v>R702284130000000</v>
      </c>
      <c r="H3089" s="6" t="str">
        <f>"R 2841 - Ketten - 30"</f>
        <v>R 2841 - Ketten - 30</v>
      </c>
      <c r="I3089" s="6" t="str">
        <f>"3234"</f>
        <v>3234</v>
      </c>
      <c r="J3089" s="6" t="str">
        <f>"CASTANHO 3234"</f>
        <v>CASTANHO 3234</v>
      </c>
      <c r="K3089" s="6" t="str">
        <f>"5010"</f>
        <v>5010</v>
      </c>
      <c r="L3089" s="6" t="str">
        <f>"Roupões Adulto"</f>
        <v>Roupões Adulto</v>
      </c>
      <c r="M3089" s="6" t="str">
        <f>"XXL"</f>
        <v>XXL</v>
      </c>
      <c r="N3089" s="6" t="str">
        <f>"5602972792317"</f>
        <v>5602972792317</v>
      </c>
      <c r="O3089" s="8">
        <v>48</v>
      </c>
      <c r="P3089" s="7">
        <v>45604</v>
      </c>
      <c r="R3089" s="8">
        <v>0</v>
      </c>
      <c r="S3089" s="7">
        <v>45609</v>
      </c>
      <c r="U3089" s="8">
        <v>0</v>
      </c>
      <c r="V3089" s="7">
        <v>45618</v>
      </c>
      <c r="X3089" s="8">
        <v>0</v>
      </c>
      <c r="Z3089" s="8">
        <v>0</v>
      </c>
      <c r="AA3089" s="7">
        <v>45630</v>
      </c>
      <c r="AC3089" s="8">
        <v>0</v>
      </c>
      <c r="AE3089" s="7">
        <v>45646</v>
      </c>
      <c r="AF3089" s="8">
        <v>0</v>
      </c>
      <c r="AH3089" s="7">
        <v>45646</v>
      </c>
      <c r="AI3089" s="7">
        <v>45644</v>
      </c>
      <c r="AN3089" s="8">
        <v>0</v>
      </c>
      <c r="AO3089" s="8">
        <v>48</v>
      </c>
    </row>
    <row r="3090" spans="1:41" x14ac:dyDescent="0.25">
      <c r="A3090" s="6" t="str">
        <f t="shared" ref="A3090:A3102" si="698">"525-2025000026"</f>
        <v>525-2025000026</v>
      </c>
      <c r="B3090" s="6" t="str">
        <f t="shared" si="697"/>
        <v>Lasa Int</v>
      </c>
      <c r="C3090" s="7">
        <v>45671</v>
      </c>
      <c r="D3090" s="7">
        <v>46068</v>
      </c>
      <c r="E3090" s="8">
        <v>1</v>
      </c>
      <c r="F3090" s="6" t="str">
        <f t="shared" ref="F3090:F3109" si="699">"PURE R"</f>
        <v>PURE R</v>
      </c>
      <c r="G3090" s="6" t="str">
        <f>"K018000135000000"</f>
        <v>K018000135000000</v>
      </c>
      <c r="H3090" s="6" t="str">
        <f>"Chinelos - LI - 350"</f>
        <v>Chinelos - LI - 350</v>
      </c>
      <c r="I3090" s="6" t="str">
        <f t="shared" ref="I3090:I3102" si="700">"3073"</f>
        <v>3073</v>
      </c>
      <c r="J3090" s="6" t="str">
        <f t="shared" ref="J3090:J3102" si="701">"CINZA 3073"</f>
        <v>CINZA 3073</v>
      </c>
      <c r="K3090" s="6" t="str">
        <f>"4808"</f>
        <v>4808</v>
      </c>
      <c r="L3090" s="6" t="str">
        <f>"Chinelos"</f>
        <v>Chinelos</v>
      </c>
      <c r="M3090" s="6" t="str">
        <f>"38"</f>
        <v>38</v>
      </c>
      <c r="N3090" s="6" t="str">
        <f>"5602972878080"</f>
        <v>5602972878080</v>
      </c>
      <c r="O3090" s="8">
        <v>60</v>
      </c>
      <c r="P3090" s="7">
        <v>45671</v>
      </c>
      <c r="R3090" s="8">
        <v>0</v>
      </c>
      <c r="S3090" s="7">
        <v>45674</v>
      </c>
      <c r="U3090" s="8">
        <v>0</v>
      </c>
      <c r="V3090" s="7">
        <v>45685</v>
      </c>
      <c r="X3090" s="8">
        <v>0</v>
      </c>
      <c r="Z3090" s="8">
        <v>0</v>
      </c>
      <c r="AA3090" s="7">
        <v>45695</v>
      </c>
      <c r="AC3090" s="8">
        <v>68</v>
      </c>
      <c r="AE3090" s="7">
        <v>45722</v>
      </c>
      <c r="AF3090" s="8">
        <v>68</v>
      </c>
      <c r="AH3090" s="7">
        <v>45722</v>
      </c>
      <c r="AI3090" s="7">
        <v>45716</v>
      </c>
      <c r="AN3090" s="8">
        <v>68</v>
      </c>
      <c r="AO3090" s="8">
        <v>-8</v>
      </c>
    </row>
    <row r="3091" spans="1:41" x14ac:dyDescent="0.25">
      <c r="A3091" s="6" t="str">
        <f t="shared" si="698"/>
        <v>525-2025000026</v>
      </c>
      <c r="B3091" s="6" t="str">
        <f t="shared" si="697"/>
        <v>Lasa Int</v>
      </c>
      <c r="C3091" s="7">
        <v>45671</v>
      </c>
      <c r="D3091" s="7">
        <v>46068</v>
      </c>
      <c r="E3091" s="8">
        <v>2</v>
      </c>
      <c r="F3091" s="6" t="str">
        <f t="shared" si="699"/>
        <v>PURE R</v>
      </c>
      <c r="G3091" s="6" t="str">
        <f>"K018000135000000"</f>
        <v>K018000135000000</v>
      </c>
      <c r="H3091" s="6" t="str">
        <f>"Chinelos - LI - 350"</f>
        <v>Chinelos - LI - 350</v>
      </c>
      <c r="I3091" s="6" t="str">
        <f t="shared" si="700"/>
        <v>3073</v>
      </c>
      <c r="J3091" s="6" t="str">
        <f t="shared" si="701"/>
        <v>CINZA 3073</v>
      </c>
      <c r="K3091" s="6" t="str">
        <f>"4813"</f>
        <v>4813</v>
      </c>
      <c r="L3091" s="6" t="str">
        <f>"Chinelos"</f>
        <v>Chinelos</v>
      </c>
      <c r="M3091" s="6" t="str">
        <f>"43"</f>
        <v>43</v>
      </c>
      <c r="N3091" s="6" t="str">
        <f>"5602972878097"</f>
        <v>5602972878097</v>
      </c>
      <c r="O3091" s="8">
        <v>120</v>
      </c>
      <c r="P3091" s="7">
        <v>45671</v>
      </c>
      <c r="R3091" s="8">
        <v>0</v>
      </c>
      <c r="S3091" s="7">
        <v>45674</v>
      </c>
      <c r="U3091" s="8">
        <v>0</v>
      </c>
      <c r="V3091" s="7">
        <v>45685</v>
      </c>
      <c r="X3091" s="8">
        <v>0</v>
      </c>
      <c r="Z3091" s="8">
        <v>0</v>
      </c>
      <c r="AA3091" s="7">
        <v>45695</v>
      </c>
      <c r="AC3091" s="8">
        <v>120</v>
      </c>
      <c r="AE3091" s="7">
        <v>45722</v>
      </c>
      <c r="AF3091" s="8">
        <v>120</v>
      </c>
      <c r="AH3091" s="7">
        <v>45722</v>
      </c>
      <c r="AI3091" s="7">
        <v>45716</v>
      </c>
      <c r="AN3091" s="8">
        <v>120</v>
      </c>
      <c r="AO3091" s="8">
        <v>0</v>
      </c>
    </row>
    <row r="3092" spans="1:41" x14ac:dyDescent="0.25">
      <c r="A3092" s="6" t="str">
        <f t="shared" si="698"/>
        <v>525-2025000026</v>
      </c>
      <c r="B3092" s="6" t="str">
        <f t="shared" si="697"/>
        <v>Lasa Int</v>
      </c>
      <c r="C3092" s="7">
        <v>45671</v>
      </c>
      <c r="D3092" s="7">
        <v>46068</v>
      </c>
      <c r="E3092" s="8">
        <v>3</v>
      </c>
      <c r="F3092" s="6" t="str">
        <f t="shared" si="699"/>
        <v>PURE R</v>
      </c>
      <c r="G3092" s="6" t="str">
        <f t="shared" ref="G3092:G3097" si="702">"R010000635000000"</f>
        <v>R010000635000000</v>
      </c>
      <c r="H3092" s="6" t="str">
        <f t="shared" ref="H3092:H3097" si="703">"Alexis Cotoral Pure"</f>
        <v>Alexis Cotoral Pure</v>
      </c>
      <c r="I3092" s="6" t="str">
        <f t="shared" si="700"/>
        <v>3073</v>
      </c>
      <c r="J3092" s="6" t="str">
        <f t="shared" si="701"/>
        <v>CINZA 3073</v>
      </c>
      <c r="K3092" s="6" t="str">
        <f>"5002"</f>
        <v>5002</v>
      </c>
      <c r="L3092" s="6" t="str">
        <f t="shared" ref="L3092:L3114" si="704">"Roupões Adulto"</f>
        <v>Roupões Adulto</v>
      </c>
      <c r="M3092" s="6" t="str">
        <f>"S"</f>
        <v>S</v>
      </c>
      <c r="N3092" s="6" t="str">
        <f>"5602972717853"</f>
        <v>5602972717853</v>
      </c>
      <c r="O3092" s="8">
        <v>72</v>
      </c>
      <c r="P3092" s="7">
        <v>45671</v>
      </c>
      <c r="R3092" s="8">
        <v>0</v>
      </c>
      <c r="S3092" s="7">
        <v>45674</v>
      </c>
      <c r="U3092" s="8">
        <v>2700</v>
      </c>
      <c r="V3092" s="7">
        <v>45685</v>
      </c>
      <c r="X3092" s="8">
        <v>2700</v>
      </c>
      <c r="Z3092" s="8">
        <v>0</v>
      </c>
      <c r="AA3092" s="7">
        <v>45695</v>
      </c>
      <c r="AC3092" s="8">
        <v>0</v>
      </c>
      <c r="AE3092" s="7">
        <v>45722</v>
      </c>
      <c r="AF3092" s="8">
        <v>0</v>
      </c>
      <c r="AH3092" s="7">
        <v>45722</v>
      </c>
      <c r="AI3092" s="7">
        <v>45716</v>
      </c>
      <c r="AN3092" s="8">
        <v>78</v>
      </c>
      <c r="AO3092" s="8">
        <v>-6</v>
      </c>
    </row>
    <row r="3093" spans="1:41" x14ac:dyDescent="0.25">
      <c r="A3093" s="6" t="str">
        <f t="shared" si="698"/>
        <v>525-2025000026</v>
      </c>
      <c r="B3093" s="6" t="str">
        <f t="shared" si="697"/>
        <v>Lasa Int</v>
      </c>
      <c r="C3093" s="7">
        <v>45671</v>
      </c>
      <c r="D3093" s="7">
        <v>46068</v>
      </c>
      <c r="E3093" s="8">
        <v>4</v>
      </c>
      <c r="F3093" s="6" t="str">
        <f t="shared" si="699"/>
        <v>PURE R</v>
      </c>
      <c r="G3093" s="6" t="str">
        <f t="shared" si="702"/>
        <v>R010000635000000</v>
      </c>
      <c r="H3093" s="6" t="str">
        <f t="shared" si="703"/>
        <v>Alexis Cotoral Pure</v>
      </c>
      <c r="I3093" s="6" t="str">
        <f t="shared" si="700"/>
        <v>3073</v>
      </c>
      <c r="J3093" s="6" t="str">
        <f t="shared" si="701"/>
        <v>CINZA 3073</v>
      </c>
      <c r="K3093" s="6" t="str">
        <f>"5004"</f>
        <v>5004</v>
      </c>
      <c r="L3093" s="6" t="str">
        <f t="shared" si="704"/>
        <v>Roupões Adulto</v>
      </c>
      <c r="M3093" s="6" t="str">
        <f>"M"</f>
        <v>M</v>
      </c>
      <c r="N3093" s="6" t="str">
        <f>"5602972878042"</f>
        <v>5602972878042</v>
      </c>
      <c r="O3093" s="8">
        <v>144</v>
      </c>
      <c r="P3093" s="7">
        <v>45671</v>
      </c>
      <c r="R3093" s="8">
        <v>0</v>
      </c>
      <c r="S3093" s="7">
        <v>45674</v>
      </c>
      <c r="U3093" s="8">
        <v>0</v>
      </c>
      <c r="V3093" s="7">
        <v>45685</v>
      </c>
      <c r="X3093" s="8">
        <v>0</v>
      </c>
      <c r="Z3093" s="8">
        <v>0</v>
      </c>
      <c r="AA3093" s="7">
        <v>45695</v>
      </c>
      <c r="AC3093" s="8">
        <v>0</v>
      </c>
      <c r="AE3093" s="7">
        <v>45722</v>
      </c>
      <c r="AF3093" s="8">
        <v>0</v>
      </c>
      <c r="AH3093" s="7">
        <v>45722</v>
      </c>
      <c r="AI3093" s="7">
        <v>45716</v>
      </c>
      <c r="AN3093" s="8">
        <v>170</v>
      </c>
      <c r="AO3093" s="8">
        <v>-26</v>
      </c>
    </row>
    <row r="3094" spans="1:41" x14ac:dyDescent="0.25">
      <c r="A3094" s="6" t="str">
        <f t="shared" si="698"/>
        <v>525-2025000026</v>
      </c>
      <c r="B3094" s="6" t="str">
        <f t="shared" si="697"/>
        <v>Lasa Int</v>
      </c>
      <c r="C3094" s="7">
        <v>45671</v>
      </c>
      <c r="D3094" s="7">
        <v>46068</v>
      </c>
      <c r="E3094" s="8">
        <v>5</v>
      </c>
      <c r="F3094" s="6" t="str">
        <f t="shared" si="699"/>
        <v>PURE R</v>
      </c>
      <c r="G3094" s="6" t="str">
        <f t="shared" si="702"/>
        <v>R010000635000000</v>
      </c>
      <c r="H3094" s="6" t="str">
        <f t="shared" si="703"/>
        <v>Alexis Cotoral Pure</v>
      </c>
      <c r="I3094" s="6" t="str">
        <f t="shared" si="700"/>
        <v>3073</v>
      </c>
      <c r="J3094" s="6" t="str">
        <f t="shared" si="701"/>
        <v>CINZA 3073</v>
      </c>
      <c r="K3094" s="6" t="str">
        <f>"5006"</f>
        <v>5006</v>
      </c>
      <c r="L3094" s="6" t="str">
        <f t="shared" si="704"/>
        <v>Roupões Adulto</v>
      </c>
      <c r="M3094" s="6" t="str">
        <f>"L"</f>
        <v>L</v>
      </c>
      <c r="N3094" s="6" t="str">
        <f>"5602972878059"</f>
        <v>5602972878059</v>
      </c>
      <c r="O3094" s="8">
        <v>216</v>
      </c>
      <c r="P3094" s="7">
        <v>45671</v>
      </c>
      <c r="R3094" s="8">
        <v>0</v>
      </c>
      <c r="S3094" s="7">
        <v>45674</v>
      </c>
      <c r="U3094" s="8">
        <v>0</v>
      </c>
      <c r="V3094" s="7">
        <v>45685</v>
      </c>
      <c r="X3094" s="8">
        <v>0</v>
      </c>
      <c r="Z3094" s="8">
        <v>0</v>
      </c>
      <c r="AA3094" s="7">
        <v>45695</v>
      </c>
      <c r="AC3094" s="8">
        <v>0</v>
      </c>
      <c r="AE3094" s="7">
        <v>45722</v>
      </c>
      <c r="AF3094" s="8">
        <v>0</v>
      </c>
      <c r="AH3094" s="7">
        <v>45722</v>
      </c>
      <c r="AI3094" s="7">
        <v>45716</v>
      </c>
      <c r="AN3094" s="8">
        <v>257</v>
      </c>
      <c r="AO3094" s="8">
        <v>-41</v>
      </c>
    </row>
    <row r="3095" spans="1:41" x14ac:dyDescent="0.25">
      <c r="A3095" s="6" t="str">
        <f t="shared" si="698"/>
        <v>525-2025000026</v>
      </c>
      <c r="B3095" s="6" t="str">
        <f t="shared" si="697"/>
        <v>Lasa Int</v>
      </c>
      <c r="C3095" s="7">
        <v>45671</v>
      </c>
      <c r="D3095" s="7">
        <v>46068</v>
      </c>
      <c r="E3095" s="8">
        <v>6</v>
      </c>
      <c r="F3095" s="6" t="str">
        <f t="shared" si="699"/>
        <v>PURE R</v>
      </c>
      <c r="G3095" s="6" t="str">
        <f t="shared" si="702"/>
        <v>R010000635000000</v>
      </c>
      <c r="H3095" s="6" t="str">
        <f t="shared" si="703"/>
        <v>Alexis Cotoral Pure</v>
      </c>
      <c r="I3095" s="6" t="str">
        <f t="shared" si="700"/>
        <v>3073</v>
      </c>
      <c r="J3095" s="6" t="str">
        <f t="shared" si="701"/>
        <v>CINZA 3073</v>
      </c>
      <c r="K3095" s="6" t="str">
        <f>"5008"</f>
        <v>5008</v>
      </c>
      <c r="L3095" s="6" t="str">
        <f t="shared" si="704"/>
        <v>Roupões Adulto</v>
      </c>
      <c r="M3095" s="6" t="str">
        <f>"XL"</f>
        <v>XL</v>
      </c>
      <c r="N3095" s="6" t="str">
        <f>"5602972878066"</f>
        <v>5602972878066</v>
      </c>
      <c r="O3095" s="8">
        <v>184</v>
      </c>
      <c r="P3095" s="7">
        <v>45671</v>
      </c>
      <c r="R3095" s="8">
        <v>0</v>
      </c>
      <c r="S3095" s="7">
        <v>45674</v>
      </c>
      <c r="U3095" s="8">
        <v>0</v>
      </c>
      <c r="V3095" s="7">
        <v>45685</v>
      </c>
      <c r="X3095" s="8">
        <v>0</v>
      </c>
      <c r="Z3095" s="8">
        <v>0</v>
      </c>
      <c r="AA3095" s="7">
        <v>45695</v>
      </c>
      <c r="AC3095" s="8">
        <v>0</v>
      </c>
      <c r="AE3095" s="7">
        <v>45722</v>
      </c>
      <c r="AF3095" s="8">
        <v>0</v>
      </c>
      <c r="AH3095" s="7">
        <v>45722</v>
      </c>
      <c r="AI3095" s="7">
        <v>45716</v>
      </c>
      <c r="AN3095" s="8">
        <v>0</v>
      </c>
      <c r="AO3095" s="8">
        <v>184</v>
      </c>
    </row>
    <row r="3096" spans="1:41" x14ac:dyDescent="0.25">
      <c r="A3096" s="6" t="str">
        <f t="shared" si="698"/>
        <v>525-2025000026</v>
      </c>
      <c r="B3096" s="6" t="str">
        <f t="shared" si="697"/>
        <v>Lasa Int</v>
      </c>
      <c r="C3096" s="7">
        <v>45671</v>
      </c>
      <c r="D3096" s="7">
        <v>46068</v>
      </c>
      <c r="E3096" s="8">
        <v>7</v>
      </c>
      <c r="F3096" s="6" t="str">
        <f t="shared" si="699"/>
        <v>PURE R</v>
      </c>
      <c r="G3096" s="6" t="str">
        <f t="shared" si="702"/>
        <v>R010000635000000</v>
      </c>
      <c r="H3096" s="6" t="str">
        <f t="shared" si="703"/>
        <v>Alexis Cotoral Pure</v>
      </c>
      <c r="I3096" s="6" t="str">
        <f t="shared" si="700"/>
        <v>3073</v>
      </c>
      <c r="J3096" s="6" t="str">
        <f t="shared" si="701"/>
        <v>CINZA 3073</v>
      </c>
      <c r="K3096" s="6" t="str">
        <f>"5010"</f>
        <v>5010</v>
      </c>
      <c r="L3096" s="6" t="str">
        <f t="shared" si="704"/>
        <v>Roupões Adulto</v>
      </c>
      <c r="M3096" s="6" t="str">
        <f>"XXL"</f>
        <v>XXL</v>
      </c>
      <c r="N3096" s="6" t="str">
        <f>"5602972878073"</f>
        <v>5602972878073</v>
      </c>
      <c r="O3096" s="8">
        <v>96</v>
      </c>
      <c r="P3096" s="7">
        <v>45671</v>
      </c>
      <c r="R3096" s="8">
        <v>0</v>
      </c>
      <c r="S3096" s="7">
        <v>45674</v>
      </c>
      <c r="U3096" s="8">
        <v>0</v>
      </c>
      <c r="V3096" s="7">
        <v>45685</v>
      </c>
      <c r="X3096" s="8">
        <v>0</v>
      </c>
      <c r="Z3096" s="8">
        <v>0</v>
      </c>
      <c r="AA3096" s="7">
        <v>45695</v>
      </c>
      <c r="AC3096" s="8">
        <v>0</v>
      </c>
      <c r="AE3096" s="7">
        <v>45722</v>
      </c>
      <c r="AF3096" s="8">
        <v>0</v>
      </c>
      <c r="AH3096" s="7">
        <v>45722</v>
      </c>
      <c r="AI3096" s="7">
        <v>45716</v>
      </c>
      <c r="AN3096" s="8">
        <v>0</v>
      </c>
      <c r="AO3096" s="8">
        <v>96</v>
      </c>
    </row>
    <row r="3097" spans="1:41" x14ac:dyDescent="0.25">
      <c r="A3097" s="6" t="str">
        <f t="shared" si="698"/>
        <v>525-2025000026</v>
      </c>
      <c r="B3097" s="6" t="str">
        <f t="shared" si="697"/>
        <v>Lasa Int</v>
      </c>
      <c r="C3097" s="7">
        <v>45671</v>
      </c>
      <c r="D3097" s="7">
        <v>46068</v>
      </c>
      <c r="E3097" s="8">
        <v>8</v>
      </c>
      <c r="F3097" s="6" t="str">
        <f t="shared" si="699"/>
        <v>PURE R</v>
      </c>
      <c r="G3097" s="6" t="str">
        <f t="shared" si="702"/>
        <v>R010000635000000</v>
      </c>
      <c r="H3097" s="6" t="str">
        <f t="shared" si="703"/>
        <v>Alexis Cotoral Pure</v>
      </c>
      <c r="I3097" s="6" t="str">
        <f t="shared" si="700"/>
        <v>3073</v>
      </c>
      <c r="J3097" s="6" t="str">
        <f t="shared" si="701"/>
        <v>CINZA 3073</v>
      </c>
      <c r="K3097" s="6" t="str">
        <f>"5012"</f>
        <v>5012</v>
      </c>
      <c r="L3097" s="6" t="str">
        <f t="shared" si="704"/>
        <v>Roupões Adulto</v>
      </c>
      <c r="M3097" s="6" t="str">
        <f>"XXXL"</f>
        <v>XXXL</v>
      </c>
      <c r="N3097" s="6" t="str">
        <f>"5602972674279"</f>
        <v>5602972674279</v>
      </c>
      <c r="O3097" s="8">
        <v>60</v>
      </c>
      <c r="P3097" s="7">
        <v>45671</v>
      </c>
      <c r="R3097" s="8">
        <v>0</v>
      </c>
      <c r="S3097" s="7">
        <v>45674</v>
      </c>
      <c r="U3097" s="8">
        <v>0</v>
      </c>
      <c r="V3097" s="7">
        <v>45685</v>
      </c>
      <c r="X3097" s="8">
        <v>0</v>
      </c>
      <c r="Z3097" s="8">
        <v>0</v>
      </c>
      <c r="AA3097" s="7">
        <v>45695</v>
      </c>
      <c r="AC3097" s="8">
        <v>0</v>
      </c>
      <c r="AE3097" s="7">
        <v>45722</v>
      </c>
      <c r="AF3097" s="8">
        <v>0</v>
      </c>
      <c r="AH3097" s="7">
        <v>45722</v>
      </c>
      <c r="AI3097" s="7">
        <v>45716</v>
      </c>
      <c r="AN3097" s="8">
        <v>69</v>
      </c>
      <c r="AO3097" s="8">
        <v>-9</v>
      </c>
    </row>
    <row r="3098" spans="1:41" x14ac:dyDescent="0.25">
      <c r="A3098" s="6" t="str">
        <f t="shared" si="698"/>
        <v>525-2025000026</v>
      </c>
      <c r="B3098" s="6" t="str">
        <f t="shared" si="697"/>
        <v>Lasa Int</v>
      </c>
      <c r="C3098" s="7">
        <v>45671</v>
      </c>
      <c r="D3098" s="7">
        <v>46068</v>
      </c>
      <c r="E3098" s="8">
        <v>9</v>
      </c>
      <c r="F3098" s="6" t="str">
        <f t="shared" si="699"/>
        <v>PURE R</v>
      </c>
      <c r="G3098" s="6" t="str">
        <f>"R120203038500000"</f>
        <v>R120203038500000</v>
      </c>
      <c r="H3098" s="6" t="str">
        <f>"R 2030 - Ketten PURE"</f>
        <v>R 2030 - Ketten PURE</v>
      </c>
      <c r="I3098" s="6" t="str">
        <f t="shared" si="700"/>
        <v>3073</v>
      </c>
      <c r="J3098" s="6" t="str">
        <f t="shared" si="701"/>
        <v>CINZA 3073</v>
      </c>
      <c r="K3098" s="6" t="str">
        <f>"5006"</f>
        <v>5006</v>
      </c>
      <c r="L3098" s="6" t="str">
        <f t="shared" si="704"/>
        <v>Roupões Adulto</v>
      </c>
      <c r="M3098" s="6" t="str">
        <f>"L"</f>
        <v>L</v>
      </c>
      <c r="N3098" s="6" t="str">
        <f>"5605247635968"</f>
        <v>5605247635968</v>
      </c>
      <c r="O3098" s="8">
        <v>12</v>
      </c>
      <c r="P3098" s="7">
        <v>45671</v>
      </c>
      <c r="R3098" s="8">
        <v>0</v>
      </c>
      <c r="S3098" s="7">
        <v>45674</v>
      </c>
      <c r="U3098" s="8">
        <v>0</v>
      </c>
      <c r="V3098" s="7">
        <v>45685</v>
      </c>
      <c r="X3098" s="8">
        <v>0</v>
      </c>
      <c r="Z3098" s="8">
        <v>0</v>
      </c>
      <c r="AA3098" s="7">
        <v>45695</v>
      </c>
      <c r="AC3098" s="8">
        <v>0</v>
      </c>
      <c r="AE3098" s="7">
        <v>45722</v>
      </c>
      <c r="AF3098" s="8">
        <v>0</v>
      </c>
      <c r="AH3098" s="7">
        <v>45722</v>
      </c>
      <c r="AI3098" s="7">
        <v>45716</v>
      </c>
      <c r="AN3098" s="8">
        <v>15</v>
      </c>
      <c r="AO3098" s="8">
        <v>-3</v>
      </c>
    </row>
    <row r="3099" spans="1:41" x14ac:dyDescent="0.25">
      <c r="A3099" s="6" t="str">
        <f t="shared" si="698"/>
        <v>525-2025000026</v>
      </c>
      <c r="B3099" s="6" t="str">
        <f t="shared" si="697"/>
        <v>Lasa Int</v>
      </c>
      <c r="C3099" s="7">
        <v>45671</v>
      </c>
      <c r="D3099" s="7">
        <v>46068</v>
      </c>
      <c r="E3099" s="8">
        <v>10</v>
      </c>
      <c r="F3099" s="6" t="str">
        <f t="shared" si="699"/>
        <v>PURE R</v>
      </c>
      <c r="G3099" s="6" t="str">
        <f>"R120203038500000"</f>
        <v>R120203038500000</v>
      </c>
      <c r="H3099" s="6" t="str">
        <f>"R 2030 - Ketten PURE"</f>
        <v>R 2030 - Ketten PURE</v>
      </c>
      <c r="I3099" s="6" t="str">
        <f t="shared" si="700"/>
        <v>3073</v>
      </c>
      <c r="J3099" s="6" t="str">
        <f t="shared" si="701"/>
        <v>CINZA 3073</v>
      </c>
      <c r="K3099" s="6" t="str">
        <f>"5008"</f>
        <v>5008</v>
      </c>
      <c r="L3099" s="6" t="str">
        <f t="shared" si="704"/>
        <v>Roupões Adulto</v>
      </c>
      <c r="M3099" s="6" t="str">
        <f>"XL"</f>
        <v>XL</v>
      </c>
      <c r="N3099" s="6" t="str">
        <f>"5605247635975"</f>
        <v>5605247635975</v>
      </c>
      <c r="O3099" s="8">
        <v>12</v>
      </c>
      <c r="P3099" s="7">
        <v>45671</v>
      </c>
      <c r="R3099" s="8">
        <v>0</v>
      </c>
      <c r="S3099" s="7">
        <v>45674</v>
      </c>
      <c r="U3099" s="8">
        <v>0</v>
      </c>
      <c r="V3099" s="7">
        <v>45685</v>
      </c>
      <c r="X3099" s="8">
        <v>0</v>
      </c>
      <c r="Z3099" s="8">
        <v>0</v>
      </c>
      <c r="AA3099" s="7">
        <v>45695</v>
      </c>
      <c r="AC3099" s="8">
        <v>0</v>
      </c>
      <c r="AE3099" s="7">
        <v>45722</v>
      </c>
      <c r="AF3099" s="8">
        <v>0</v>
      </c>
      <c r="AH3099" s="7">
        <v>45722</v>
      </c>
      <c r="AI3099" s="7">
        <v>45716</v>
      </c>
      <c r="AN3099" s="8">
        <v>15</v>
      </c>
      <c r="AO3099" s="8">
        <v>-3</v>
      </c>
    </row>
    <row r="3100" spans="1:41" x14ac:dyDescent="0.25">
      <c r="A3100" s="6" t="str">
        <f t="shared" si="698"/>
        <v>525-2025000026</v>
      </c>
      <c r="B3100" s="6" t="str">
        <f t="shared" si="697"/>
        <v>Lasa Int</v>
      </c>
      <c r="C3100" s="7">
        <v>45671</v>
      </c>
      <c r="D3100" s="7">
        <v>46068</v>
      </c>
      <c r="E3100" s="8">
        <v>11</v>
      </c>
      <c r="F3100" s="6" t="str">
        <f t="shared" si="699"/>
        <v>PURE R</v>
      </c>
      <c r="G3100" s="6" t="str">
        <f>"R120327038500000"</f>
        <v>R120327038500000</v>
      </c>
      <c r="H3100" s="6" t="str">
        <f>"R 3270 - PURE Capuz"</f>
        <v>R 3270 - PURE Capuz</v>
      </c>
      <c r="I3100" s="6" t="str">
        <f t="shared" si="700"/>
        <v>3073</v>
      </c>
      <c r="J3100" s="6" t="str">
        <f t="shared" si="701"/>
        <v>CINZA 3073</v>
      </c>
      <c r="K3100" s="6" t="str">
        <f>"5006"</f>
        <v>5006</v>
      </c>
      <c r="L3100" s="6" t="str">
        <f t="shared" si="704"/>
        <v>Roupões Adulto</v>
      </c>
      <c r="M3100" s="6" t="str">
        <f>"L"</f>
        <v>L</v>
      </c>
      <c r="N3100" s="6" t="str">
        <f>"5602972645477"</f>
        <v>5602972645477</v>
      </c>
      <c r="O3100" s="8">
        <v>24</v>
      </c>
      <c r="P3100" s="7">
        <v>45671</v>
      </c>
      <c r="R3100" s="8">
        <v>0</v>
      </c>
      <c r="S3100" s="7">
        <v>45674</v>
      </c>
      <c r="U3100" s="8">
        <v>0</v>
      </c>
      <c r="V3100" s="7">
        <v>45685</v>
      </c>
      <c r="X3100" s="8">
        <v>0</v>
      </c>
      <c r="Z3100" s="8">
        <v>0</v>
      </c>
      <c r="AA3100" s="7">
        <v>45695</v>
      </c>
      <c r="AC3100" s="8">
        <v>0</v>
      </c>
      <c r="AE3100" s="7">
        <v>45722</v>
      </c>
      <c r="AF3100" s="8">
        <v>0</v>
      </c>
      <c r="AH3100" s="7">
        <v>45722</v>
      </c>
      <c r="AI3100" s="7">
        <v>45716</v>
      </c>
      <c r="AN3100" s="8">
        <v>25</v>
      </c>
      <c r="AO3100" s="8">
        <v>-1</v>
      </c>
    </row>
    <row r="3101" spans="1:41" x14ac:dyDescent="0.25">
      <c r="A3101" s="6" t="str">
        <f t="shared" si="698"/>
        <v>525-2025000026</v>
      </c>
      <c r="B3101" s="6" t="str">
        <f t="shared" si="697"/>
        <v>Lasa Int</v>
      </c>
      <c r="C3101" s="7">
        <v>45671</v>
      </c>
      <c r="D3101" s="7">
        <v>46068</v>
      </c>
      <c r="E3101" s="8">
        <v>12</v>
      </c>
      <c r="F3101" s="6" t="str">
        <f t="shared" si="699"/>
        <v>PURE R</v>
      </c>
      <c r="G3101" s="6" t="str">
        <f>"R120327038500000"</f>
        <v>R120327038500000</v>
      </c>
      <c r="H3101" s="6" t="str">
        <f>"R 3270 - PURE Capuz"</f>
        <v>R 3270 - PURE Capuz</v>
      </c>
      <c r="I3101" s="6" t="str">
        <f t="shared" si="700"/>
        <v>3073</v>
      </c>
      <c r="J3101" s="6" t="str">
        <f t="shared" si="701"/>
        <v>CINZA 3073</v>
      </c>
      <c r="K3101" s="6" t="str">
        <f>"5008"</f>
        <v>5008</v>
      </c>
      <c r="L3101" s="6" t="str">
        <f t="shared" si="704"/>
        <v>Roupões Adulto</v>
      </c>
      <c r="M3101" s="6" t="str">
        <f>"XL"</f>
        <v>XL</v>
      </c>
      <c r="N3101" s="6" t="str">
        <f>"5602972645484"</f>
        <v>5602972645484</v>
      </c>
      <c r="O3101" s="8">
        <v>24</v>
      </c>
      <c r="P3101" s="7">
        <v>45671</v>
      </c>
      <c r="R3101" s="8">
        <v>0</v>
      </c>
      <c r="S3101" s="7">
        <v>45674</v>
      </c>
      <c r="U3101" s="8">
        <v>0</v>
      </c>
      <c r="V3101" s="7">
        <v>45685</v>
      </c>
      <c r="X3101" s="8">
        <v>0</v>
      </c>
      <c r="Z3101" s="8">
        <v>0</v>
      </c>
      <c r="AA3101" s="7">
        <v>45695</v>
      </c>
      <c r="AC3101" s="8">
        <v>0</v>
      </c>
      <c r="AE3101" s="7">
        <v>45722</v>
      </c>
      <c r="AF3101" s="8">
        <v>0</v>
      </c>
      <c r="AH3101" s="7">
        <v>45722</v>
      </c>
      <c r="AI3101" s="7">
        <v>45716</v>
      </c>
      <c r="AN3101" s="8">
        <v>25</v>
      </c>
      <c r="AO3101" s="8">
        <v>-1</v>
      </c>
    </row>
    <row r="3102" spans="1:41" x14ac:dyDescent="0.25">
      <c r="A3102" s="6" t="str">
        <f t="shared" si="698"/>
        <v>525-2025000026</v>
      </c>
      <c r="B3102" s="6" t="str">
        <f t="shared" si="697"/>
        <v>Lasa Int</v>
      </c>
      <c r="C3102" s="7">
        <v>45671</v>
      </c>
      <c r="D3102" s="7">
        <v>46068</v>
      </c>
      <c r="E3102" s="8">
        <v>13</v>
      </c>
      <c r="F3102" s="6" t="str">
        <f t="shared" si="699"/>
        <v>PURE R</v>
      </c>
      <c r="G3102" s="6" t="str">
        <f>"R120327038500000"</f>
        <v>R120327038500000</v>
      </c>
      <c r="H3102" s="6" t="str">
        <f>"R 3270 - PURE Capuz"</f>
        <v>R 3270 - PURE Capuz</v>
      </c>
      <c r="I3102" s="6" t="str">
        <f t="shared" si="700"/>
        <v>3073</v>
      </c>
      <c r="J3102" s="6" t="str">
        <f t="shared" si="701"/>
        <v>CINZA 3073</v>
      </c>
      <c r="K3102" s="6" t="str">
        <f>"5010"</f>
        <v>5010</v>
      </c>
      <c r="L3102" s="6" t="str">
        <f t="shared" si="704"/>
        <v>Roupões Adulto</v>
      </c>
      <c r="M3102" s="6" t="str">
        <f>"XXL"</f>
        <v>XXL</v>
      </c>
      <c r="N3102" s="6" t="str">
        <f>"5602972645491"</f>
        <v>5602972645491</v>
      </c>
      <c r="O3102" s="8">
        <v>12</v>
      </c>
      <c r="P3102" s="7">
        <v>45671</v>
      </c>
      <c r="R3102" s="8">
        <v>0</v>
      </c>
      <c r="S3102" s="7">
        <v>45674</v>
      </c>
      <c r="U3102" s="8">
        <v>0</v>
      </c>
      <c r="V3102" s="7">
        <v>45685</v>
      </c>
      <c r="X3102" s="8">
        <v>0</v>
      </c>
      <c r="Z3102" s="8">
        <v>0</v>
      </c>
      <c r="AA3102" s="7">
        <v>45695</v>
      </c>
      <c r="AC3102" s="8">
        <v>0</v>
      </c>
      <c r="AE3102" s="7">
        <v>45722</v>
      </c>
      <c r="AF3102" s="8">
        <v>0</v>
      </c>
      <c r="AH3102" s="7">
        <v>45722</v>
      </c>
      <c r="AI3102" s="7">
        <v>45716</v>
      </c>
      <c r="AN3102" s="8">
        <v>14</v>
      </c>
      <c r="AO3102" s="8">
        <v>-2</v>
      </c>
    </row>
    <row r="3103" spans="1:41" x14ac:dyDescent="0.25">
      <c r="A3103" s="6" t="str">
        <f t="shared" ref="A3103:A3109" si="705">"525-2025000030"</f>
        <v>525-2025000030</v>
      </c>
      <c r="B3103" s="6" t="str">
        <f t="shared" si="697"/>
        <v>Lasa Int</v>
      </c>
      <c r="C3103" s="7">
        <v>45672</v>
      </c>
      <c r="D3103" s="7">
        <v>46096</v>
      </c>
      <c r="E3103" s="8">
        <v>1</v>
      </c>
      <c r="F3103" s="6" t="str">
        <f t="shared" si="699"/>
        <v>PURE R</v>
      </c>
      <c r="G3103" s="6" t="str">
        <f>"R010000635000000"</f>
        <v>R010000635000000</v>
      </c>
      <c r="H3103" s="6" t="str">
        <f>"Alexis Cotoral Pure"</f>
        <v>Alexis Cotoral Pure</v>
      </c>
      <c r="I3103" s="6" t="str">
        <f t="shared" ref="I3103:I3109" si="706">"784"</f>
        <v>784</v>
      </c>
      <c r="J3103" s="6" t="str">
        <f t="shared" ref="J3103:J3109" si="707">"ROSA 784"</f>
        <v>ROSA 784</v>
      </c>
      <c r="K3103" s="6" t="str">
        <f>"5002"</f>
        <v>5002</v>
      </c>
      <c r="L3103" s="6" t="str">
        <f t="shared" si="704"/>
        <v>Roupões Adulto</v>
      </c>
      <c r="M3103" s="6" t="str">
        <f>"S"</f>
        <v>S</v>
      </c>
      <c r="N3103" s="6" t="str">
        <f>"5602972838428"</f>
        <v>5602972838428</v>
      </c>
      <c r="O3103" s="8">
        <v>12</v>
      </c>
      <c r="P3103" s="7">
        <v>45672</v>
      </c>
      <c r="R3103" s="8">
        <v>0</v>
      </c>
      <c r="S3103" s="7">
        <v>45677</v>
      </c>
      <c r="U3103" s="8">
        <v>675</v>
      </c>
      <c r="V3103" s="7">
        <v>45686</v>
      </c>
      <c r="X3103" s="8">
        <v>0</v>
      </c>
      <c r="Z3103" s="8">
        <v>0</v>
      </c>
      <c r="AA3103" s="7">
        <v>45698</v>
      </c>
      <c r="AC3103" s="8">
        <v>0</v>
      </c>
      <c r="AE3103" s="7">
        <v>45723</v>
      </c>
      <c r="AF3103" s="8">
        <v>0</v>
      </c>
      <c r="AH3103" s="7">
        <v>45991</v>
      </c>
      <c r="AI3103" s="7">
        <v>45721</v>
      </c>
      <c r="AN3103" s="8">
        <v>0</v>
      </c>
      <c r="AO3103" s="8">
        <v>12</v>
      </c>
    </row>
    <row r="3104" spans="1:41" x14ac:dyDescent="0.25">
      <c r="A3104" s="6" t="str">
        <f t="shared" si="705"/>
        <v>525-2025000030</v>
      </c>
      <c r="B3104" s="6" t="str">
        <f t="shared" si="697"/>
        <v>Lasa Int</v>
      </c>
      <c r="C3104" s="7">
        <v>45672</v>
      </c>
      <c r="D3104" s="7">
        <v>46096</v>
      </c>
      <c r="E3104" s="8">
        <v>2</v>
      </c>
      <c r="F3104" s="6" t="str">
        <f t="shared" si="699"/>
        <v>PURE R</v>
      </c>
      <c r="G3104" s="6" t="str">
        <f>"R010000635000000"</f>
        <v>R010000635000000</v>
      </c>
      <c r="H3104" s="6" t="str">
        <f>"Alexis Cotoral Pure"</f>
        <v>Alexis Cotoral Pure</v>
      </c>
      <c r="I3104" s="6" t="str">
        <f t="shared" si="706"/>
        <v>784</v>
      </c>
      <c r="J3104" s="6" t="str">
        <f t="shared" si="707"/>
        <v>ROSA 784</v>
      </c>
      <c r="K3104" s="6" t="str">
        <f>"5004"</f>
        <v>5004</v>
      </c>
      <c r="L3104" s="6" t="str">
        <f t="shared" si="704"/>
        <v>Roupões Adulto</v>
      </c>
      <c r="M3104" s="6" t="str">
        <f>"M"</f>
        <v>M</v>
      </c>
      <c r="N3104" s="6" t="str">
        <f>"5602972838435"</f>
        <v>5602972838435</v>
      </c>
      <c r="O3104" s="8">
        <v>36</v>
      </c>
      <c r="P3104" s="7">
        <v>45672</v>
      </c>
      <c r="R3104" s="8">
        <v>0</v>
      </c>
      <c r="S3104" s="7">
        <v>45677</v>
      </c>
      <c r="U3104" s="8">
        <v>0</v>
      </c>
      <c r="V3104" s="7">
        <v>45686</v>
      </c>
      <c r="X3104" s="8">
        <v>0</v>
      </c>
      <c r="Z3104" s="8">
        <v>0</v>
      </c>
      <c r="AA3104" s="7">
        <v>45698</v>
      </c>
      <c r="AC3104" s="8">
        <v>0</v>
      </c>
      <c r="AE3104" s="7">
        <v>45723</v>
      </c>
      <c r="AF3104" s="8">
        <v>0</v>
      </c>
      <c r="AH3104" s="7">
        <v>45991</v>
      </c>
      <c r="AI3104" s="7">
        <v>45721</v>
      </c>
      <c r="AN3104" s="8">
        <v>0</v>
      </c>
      <c r="AO3104" s="8">
        <v>36</v>
      </c>
    </row>
    <row r="3105" spans="1:41" x14ac:dyDescent="0.25">
      <c r="A3105" s="6" t="str">
        <f t="shared" si="705"/>
        <v>525-2025000030</v>
      </c>
      <c r="B3105" s="6" t="str">
        <f t="shared" si="697"/>
        <v>Lasa Int</v>
      </c>
      <c r="C3105" s="7">
        <v>45672</v>
      </c>
      <c r="D3105" s="7">
        <v>46096</v>
      </c>
      <c r="E3105" s="8">
        <v>3</v>
      </c>
      <c r="F3105" s="6" t="str">
        <f t="shared" si="699"/>
        <v>PURE R</v>
      </c>
      <c r="G3105" s="6" t="str">
        <f>"R010000635000000"</f>
        <v>R010000635000000</v>
      </c>
      <c r="H3105" s="6" t="str">
        <f>"Alexis Cotoral Pure"</f>
        <v>Alexis Cotoral Pure</v>
      </c>
      <c r="I3105" s="6" t="str">
        <f t="shared" si="706"/>
        <v>784</v>
      </c>
      <c r="J3105" s="6" t="str">
        <f t="shared" si="707"/>
        <v>ROSA 784</v>
      </c>
      <c r="K3105" s="6" t="str">
        <f>"5006"</f>
        <v>5006</v>
      </c>
      <c r="L3105" s="6" t="str">
        <f t="shared" si="704"/>
        <v>Roupões Adulto</v>
      </c>
      <c r="M3105" s="6" t="str">
        <f>"L"</f>
        <v>L</v>
      </c>
      <c r="N3105" s="6" t="str">
        <f>"5602972838442"</f>
        <v>5602972838442</v>
      </c>
      <c r="O3105" s="8">
        <v>48</v>
      </c>
      <c r="P3105" s="7">
        <v>45672</v>
      </c>
      <c r="R3105" s="8">
        <v>0</v>
      </c>
      <c r="S3105" s="7">
        <v>45677</v>
      </c>
      <c r="U3105" s="8">
        <v>0</v>
      </c>
      <c r="V3105" s="7">
        <v>45686</v>
      </c>
      <c r="X3105" s="8">
        <v>0</v>
      </c>
      <c r="Z3105" s="8">
        <v>0</v>
      </c>
      <c r="AA3105" s="7">
        <v>45698</v>
      </c>
      <c r="AC3105" s="8">
        <v>0</v>
      </c>
      <c r="AE3105" s="7">
        <v>45723</v>
      </c>
      <c r="AF3105" s="8">
        <v>0</v>
      </c>
      <c r="AH3105" s="7">
        <v>45991</v>
      </c>
      <c r="AI3105" s="7">
        <v>45721</v>
      </c>
      <c r="AN3105" s="8">
        <v>0</v>
      </c>
      <c r="AO3105" s="8">
        <v>48</v>
      </c>
    </row>
    <row r="3106" spans="1:41" x14ac:dyDescent="0.25">
      <c r="A3106" s="6" t="str">
        <f t="shared" si="705"/>
        <v>525-2025000030</v>
      </c>
      <c r="B3106" s="6" t="str">
        <f t="shared" si="697"/>
        <v>Lasa Int</v>
      </c>
      <c r="C3106" s="7">
        <v>45672</v>
      </c>
      <c r="D3106" s="7">
        <v>46096</v>
      </c>
      <c r="E3106" s="8">
        <v>4</v>
      </c>
      <c r="F3106" s="6" t="str">
        <f t="shared" si="699"/>
        <v>PURE R</v>
      </c>
      <c r="G3106" s="6" t="str">
        <f>"R010000635000000"</f>
        <v>R010000635000000</v>
      </c>
      <c r="H3106" s="6" t="str">
        <f>"Alexis Cotoral Pure"</f>
        <v>Alexis Cotoral Pure</v>
      </c>
      <c r="I3106" s="6" t="str">
        <f t="shared" si="706"/>
        <v>784</v>
      </c>
      <c r="J3106" s="6" t="str">
        <f t="shared" si="707"/>
        <v>ROSA 784</v>
      </c>
      <c r="K3106" s="6" t="str">
        <f>"5008"</f>
        <v>5008</v>
      </c>
      <c r="L3106" s="6" t="str">
        <f t="shared" si="704"/>
        <v>Roupões Adulto</v>
      </c>
      <c r="M3106" s="6" t="str">
        <f>"XL"</f>
        <v>XL</v>
      </c>
      <c r="N3106" s="6" t="str">
        <f>"5602972720488"</f>
        <v>5602972720488</v>
      </c>
      <c r="O3106" s="8">
        <v>36</v>
      </c>
      <c r="P3106" s="7">
        <v>45672</v>
      </c>
      <c r="R3106" s="8">
        <v>0</v>
      </c>
      <c r="S3106" s="7">
        <v>45677</v>
      </c>
      <c r="U3106" s="8">
        <v>0</v>
      </c>
      <c r="V3106" s="7">
        <v>45686</v>
      </c>
      <c r="X3106" s="8">
        <v>0</v>
      </c>
      <c r="Z3106" s="8">
        <v>0</v>
      </c>
      <c r="AA3106" s="7">
        <v>45698</v>
      </c>
      <c r="AC3106" s="8">
        <v>0</v>
      </c>
      <c r="AE3106" s="7">
        <v>45723</v>
      </c>
      <c r="AF3106" s="8">
        <v>0</v>
      </c>
      <c r="AH3106" s="7">
        <v>45991</v>
      </c>
      <c r="AI3106" s="7">
        <v>45721</v>
      </c>
      <c r="AN3106" s="8">
        <v>0</v>
      </c>
      <c r="AO3106" s="8">
        <v>36</v>
      </c>
    </row>
    <row r="3107" spans="1:41" x14ac:dyDescent="0.25">
      <c r="A3107" s="6" t="str">
        <f t="shared" si="705"/>
        <v>525-2025000030</v>
      </c>
      <c r="B3107" s="6" t="str">
        <f t="shared" si="697"/>
        <v>Lasa Int</v>
      </c>
      <c r="C3107" s="7">
        <v>45672</v>
      </c>
      <c r="D3107" s="7">
        <v>46096</v>
      </c>
      <c r="E3107" s="8">
        <v>5</v>
      </c>
      <c r="F3107" s="6" t="str">
        <f t="shared" si="699"/>
        <v>PURE R</v>
      </c>
      <c r="G3107" s="6" t="str">
        <f>"R010000635000000"</f>
        <v>R010000635000000</v>
      </c>
      <c r="H3107" s="6" t="str">
        <f>"Alexis Cotoral Pure"</f>
        <v>Alexis Cotoral Pure</v>
      </c>
      <c r="I3107" s="6" t="str">
        <f t="shared" si="706"/>
        <v>784</v>
      </c>
      <c r="J3107" s="6" t="str">
        <f t="shared" si="707"/>
        <v>ROSA 784</v>
      </c>
      <c r="K3107" s="6" t="str">
        <f>"5010"</f>
        <v>5010</v>
      </c>
      <c r="L3107" s="6" t="str">
        <f t="shared" si="704"/>
        <v>Roupões Adulto</v>
      </c>
      <c r="M3107" s="6" t="str">
        <f>"XXL"</f>
        <v>XXL</v>
      </c>
      <c r="N3107" s="6" t="str">
        <f>"5602972796285"</f>
        <v>5602972796285</v>
      </c>
      <c r="O3107" s="8">
        <v>36</v>
      </c>
      <c r="P3107" s="7">
        <v>45672</v>
      </c>
      <c r="R3107" s="8">
        <v>0</v>
      </c>
      <c r="S3107" s="7">
        <v>45677</v>
      </c>
      <c r="U3107" s="8">
        <v>0</v>
      </c>
      <c r="V3107" s="7">
        <v>45686</v>
      </c>
      <c r="X3107" s="8">
        <v>0</v>
      </c>
      <c r="Z3107" s="8">
        <v>0</v>
      </c>
      <c r="AA3107" s="7">
        <v>45698</v>
      </c>
      <c r="AC3107" s="8">
        <v>0</v>
      </c>
      <c r="AE3107" s="7">
        <v>45723</v>
      </c>
      <c r="AF3107" s="8">
        <v>0</v>
      </c>
      <c r="AH3107" s="7">
        <v>45991</v>
      </c>
      <c r="AI3107" s="7">
        <v>45721</v>
      </c>
      <c r="AN3107" s="8">
        <v>0</v>
      </c>
      <c r="AO3107" s="8">
        <v>36</v>
      </c>
    </row>
    <row r="3108" spans="1:41" x14ac:dyDescent="0.25">
      <c r="A3108" s="6" t="str">
        <f t="shared" si="705"/>
        <v>525-2025000030</v>
      </c>
      <c r="B3108" s="6" t="str">
        <f t="shared" si="697"/>
        <v>Lasa Int</v>
      </c>
      <c r="C3108" s="7">
        <v>45672</v>
      </c>
      <c r="D3108" s="7">
        <v>46096</v>
      </c>
      <c r="E3108" s="8">
        <v>6</v>
      </c>
      <c r="F3108" s="6" t="str">
        <f t="shared" si="699"/>
        <v>PURE R</v>
      </c>
      <c r="G3108" s="6" t="str">
        <f>"R120203038500000"</f>
        <v>R120203038500000</v>
      </c>
      <c r="H3108" s="6" t="str">
        <f>"R 2030 - Ketten PURE"</f>
        <v>R 2030 - Ketten PURE</v>
      </c>
      <c r="I3108" s="6" t="str">
        <f t="shared" si="706"/>
        <v>784</v>
      </c>
      <c r="J3108" s="6" t="str">
        <f t="shared" si="707"/>
        <v>ROSA 784</v>
      </c>
      <c r="K3108" s="6" t="str">
        <f>"5001"</f>
        <v>5001</v>
      </c>
      <c r="L3108" s="6" t="str">
        <f t="shared" si="704"/>
        <v>Roupões Adulto</v>
      </c>
      <c r="M3108" s="6" t="str">
        <f>"XS"</f>
        <v>XS</v>
      </c>
      <c r="N3108" s="6" t="str">
        <f>"5605247600683"</f>
        <v>5605247600683</v>
      </c>
      <c r="O3108" s="8">
        <v>12</v>
      </c>
      <c r="P3108" s="7">
        <v>45672</v>
      </c>
      <c r="R3108" s="8">
        <v>0</v>
      </c>
      <c r="S3108" s="7">
        <v>45677</v>
      </c>
      <c r="U3108" s="8">
        <v>0</v>
      </c>
      <c r="V3108" s="7">
        <v>45686</v>
      </c>
      <c r="X3108" s="8">
        <v>0</v>
      </c>
      <c r="Z3108" s="8">
        <v>0</v>
      </c>
      <c r="AA3108" s="7">
        <v>45698</v>
      </c>
      <c r="AC3108" s="8">
        <v>0</v>
      </c>
      <c r="AE3108" s="7">
        <v>45723</v>
      </c>
      <c r="AF3108" s="8">
        <v>0</v>
      </c>
      <c r="AH3108" s="7">
        <v>45991</v>
      </c>
      <c r="AI3108" s="7">
        <v>45721</v>
      </c>
      <c r="AN3108" s="8">
        <v>14</v>
      </c>
      <c r="AO3108" s="8">
        <v>-2</v>
      </c>
    </row>
    <row r="3109" spans="1:41" x14ac:dyDescent="0.25">
      <c r="A3109" s="6" t="str">
        <f t="shared" si="705"/>
        <v>525-2025000030</v>
      </c>
      <c r="B3109" s="6" t="str">
        <f t="shared" si="697"/>
        <v>Lasa Int</v>
      </c>
      <c r="C3109" s="7">
        <v>45672</v>
      </c>
      <c r="D3109" s="7">
        <v>46096</v>
      </c>
      <c r="E3109" s="8">
        <v>7</v>
      </c>
      <c r="F3109" s="6" t="str">
        <f t="shared" si="699"/>
        <v>PURE R</v>
      </c>
      <c r="G3109" s="6" t="str">
        <f>"R120203038500000"</f>
        <v>R120203038500000</v>
      </c>
      <c r="H3109" s="6" t="str">
        <f>"R 2030 - Ketten PURE"</f>
        <v>R 2030 - Ketten PURE</v>
      </c>
      <c r="I3109" s="6" t="str">
        <f t="shared" si="706"/>
        <v>784</v>
      </c>
      <c r="J3109" s="6" t="str">
        <f t="shared" si="707"/>
        <v>ROSA 784</v>
      </c>
      <c r="K3109" s="6" t="str">
        <f>"5002"</f>
        <v>5002</v>
      </c>
      <c r="L3109" s="6" t="str">
        <f t="shared" si="704"/>
        <v>Roupões Adulto</v>
      </c>
      <c r="M3109" s="6" t="str">
        <f>"S"</f>
        <v>S</v>
      </c>
      <c r="N3109" s="6" t="str">
        <f>"5605247600485"</f>
        <v>5605247600485</v>
      </c>
      <c r="O3109" s="8">
        <v>12</v>
      </c>
      <c r="P3109" s="7">
        <v>45672</v>
      </c>
      <c r="R3109" s="8">
        <v>0</v>
      </c>
      <c r="S3109" s="7">
        <v>45677</v>
      </c>
      <c r="U3109" s="8">
        <v>0</v>
      </c>
      <c r="V3109" s="7">
        <v>45686</v>
      </c>
      <c r="X3109" s="8">
        <v>0</v>
      </c>
      <c r="Z3109" s="8">
        <v>0</v>
      </c>
      <c r="AA3109" s="7">
        <v>45698</v>
      </c>
      <c r="AC3109" s="8">
        <v>0</v>
      </c>
      <c r="AE3109" s="7">
        <v>45723</v>
      </c>
      <c r="AF3109" s="8">
        <v>0</v>
      </c>
      <c r="AH3109" s="7">
        <v>45991</v>
      </c>
      <c r="AI3109" s="7">
        <v>45721</v>
      </c>
      <c r="AN3109" s="8">
        <v>14</v>
      </c>
      <c r="AO3109" s="8">
        <v>-2</v>
      </c>
    </row>
    <row r="3110" spans="1:41" x14ac:dyDescent="0.25">
      <c r="A3110" s="6" t="str">
        <f>"525-2025000041"</f>
        <v>525-2025000041</v>
      </c>
      <c r="B3110" s="6" t="str">
        <f t="shared" si="697"/>
        <v>Lasa Int</v>
      </c>
      <c r="C3110" s="7">
        <v>45679</v>
      </c>
      <c r="D3110" s="7">
        <v>46096</v>
      </c>
      <c r="E3110" s="8">
        <v>1</v>
      </c>
      <c r="F3110" s="6" t="str">
        <f>"Cool R"</f>
        <v>Cool R</v>
      </c>
      <c r="G3110" s="6" t="str">
        <f>"R702284130000000"</f>
        <v>R702284130000000</v>
      </c>
      <c r="H3110" s="6" t="str">
        <f>"R 2841 - Ketten - 30"</f>
        <v>R 2841 - Ketten - 30</v>
      </c>
      <c r="I3110" s="6" t="str">
        <f>"2307"</f>
        <v>2307</v>
      </c>
      <c r="J3110" s="6" t="str">
        <f>"VERMELHO 2307"</f>
        <v>VERMELHO 2307</v>
      </c>
      <c r="K3110" s="6" t="str">
        <f>"5002"</f>
        <v>5002</v>
      </c>
      <c r="L3110" s="6" t="str">
        <f t="shared" si="704"/>
        <v>Roupões Adulto</v>
      </c>
      <c r="M3110" s="6" t="str">
        <f>"S"</f>
        <v>S</v>
      </c>
      <c r="N3110" s="6" t="str">
        <f>"5602972776171"</f>
        <v>5602972776171</v>
      </c>
      <c r="O3110" s="8">
        <v>48</v>
      </c>
      <c r="P3110" s="7">
        <v>45679</v>
      </c>
      <c r="R3110" s="8">
        <v>3232</v>
      </c>
      <c r="S3110" s="7">
        <v>45684</v>
      </c>
      <c r="U3110" s="8">
        <v>400</v>
      </c>
      <c r="V3110" s="7">
        <v>45693</v>
      </c>
      <c r="X3110" s="8">
        <v>400</v>
      </c>
      <c r="Z3110" s="8">
        <v>0</v>
      </c>
      <c r="AA3110" s="7">
        <v>45705</v>
      </c>
      <c r="AC3110" s="8">
        <v>0</v>
      </c>
      <c r="AE3110" s="7">
        <v>45730</v>
      </c>
      <c r="AF3110" s="8">
        <v>0</v>
      </c>
      <c r="AH3110" s="7">
        <v>46053</v>
      </c>
      <c r="AI3110" s="7">
        <v>45728</v>
      </c>
      <c r="AN3110" s="8">
        <v>0</v>
      </c>
      <c r="AO3110" s="8">
        <v>48</v>
      </c>
    </row>
    <row r="3111" spans="1:41" x14ac:dyDescent="0.25">
      <c r="A3111" s="6" t="str">
        <f>"525-2025000041"</f>
        <v>525-2025000041</v>
      </c>
      <c r="B3111" s="6" t="str">
        <f t="shared" si="697"/>
        <v>Lasa Int</v>
      </c>
      <c r="C3111" s="7">
        <v>45679</v>
      </c>
      <c r="D3111" s="7">
        <v>46096</v>
      </c>
      <c r="E3111" s="8">
        <v>2</v>
      </c>
      <c r="F3111" s="6" t="str">
        <f>"Cool R"</f>
        <v>Cool R</v>
      </c>
      <c r="G3111" s="6" t="str">
        <f>"R702284130000000"</f>
        <v>R702284130000000</v>
      </c>
      <c r="H3111" s="6" t="str">
        <f>"R 2841 - Ketten - 30"</f>
        <v>R 2841 - Ketten - 30</v>
      </c>
      <c r="I3111" s="6" t="str">
        <f>"2307"</f>
        <v>2307</v>
      </c>
      <c r="J3111" s="6" t="str">
        <f>"VERMELHO 2307"</f>
        <v>VERMELHO 2307</v>
      </c>
      <c r="K3111" s="6" t="str">
        <f>"5004"</f>
        <v>5004</v>
      </c>
      <c r="L3111" s="6" t="str">
        <f t="shared" si="704"/>
        <v>Roupões Adulto</v>
      </c>
      <c r="M3111" s="6" t="str">
        <f>"M"</f>
        <v>M</v>
      </c>
      <c r="N3111" s="6" t="str">
        <f>"5602972776188"</f>
        <v>5602972776188</v>
      </c>
      <c r="O3111" s="8">
        <v>36</v>
      </c>
      <c r="P3111" s="7">
        <v>45679</v>
      </c>
      <c r="R3111" s="8">
        <v>0</v>
      </c>
      <c r="S3111" s="7">
        <v>45684</v>
      </c>
      <c r="U3111" s="8">
        <v>0</v>
      </c>
      <c r="V3111" s="7">
        <v>45693</v>
      </c>
      <c r="X3111" s="8">
        <v>0</v>
      </c>
      <c r="Z3111" s="8">
        <v>0</v>
      </c>
      <c r="AA3111" s="7">
        <v>45705</v>
      </c>
      <c r="AC3111" s="8">
        <v>0</v>
      </c>
      <c r="AE3111" s="7">
        <v>45730</v>
      </c>
      <c r="AF3111" s="8">
        <v>0</v>
      </c>
      <c r="AH3111" s="7">
        <v>46053</v>
      </c>
      <c r="AI3111" s="7">
        <v>45728</v>
      </c>
      <c r="AN3111" s="8">
        <v>0</v>
      </c>
      <c r="AO3111" s="8">
        <v>36</v>
      </c>
    </row>
    <row r="3112" spans="1:41" x14ac:dyDescent="0.25">
      <c r="A3112" s="6" t="str">
        <f>"525-2025000041"</f>
        <v>525-2025000041</v>
      </c>
      <c r="B3112" s="6" t="str">
        <f t="shared" si="697"/>
        <v>Lasa Int</v>
      </c>
      <c r="C3112" s="7">
        <v>45679</v>
      </c>
      <c r="D3112" s="7">
        <v>46096</v>
      </c>
      <c r="E3112" s="8">
        <v>3</v>
      </c>
      <c r="F3112" s="6" t="str">
        <f>"Cool R"</f>
        <v>Cool R</v>
      </c>
      <c r="G3112" s="6" t="str">
        <f>"R702284130000000"</f>
        <v>R702284130000000</v>
      </c>
      <c r="H3112" s="6" t="str">
        <f>"R 2841 - Ketten - 30"</f>
        <v>R 2841 - Ketten - 30</v>
      </c>
      <c r="I3112" s="6" t="str">
        <f>"2307"</f>
        <v>2307</v>
      </c>
      <c r="J3112" s="6" t="str">
        <f>"VERMELHO 2307"</f>
        <v>VERMELHO 2307</v>
      </c>
      <c r="K3112" s="6" t="str">
        <f>"5006"</f>
        <v>5006</v>
      </c>
      <c r="L3112" s="6" t="str">
        <f t="shared" si="704"/>
        <v>Roupões Adulto</v>
      </c>
      <c r="M3112" s="6" t="str">
        <f>"L"</f>
        <v>L</v>
      </c>
      <c r="N3112" s="6" t="str">
        <f>"5602972776195"</f>
        <v>5602972776195</v>
      </c>
      <c r="O3112" s="8">
        <v>24</v>
      </c>
      <c r="P3112" s="7">
        <v>45679</v>
      </c>
      <c r="R3112" s="8">
        <v>0</v>
      </c>
      <c r="S3112" s="7">
        <v>45684</v>
      </c>
      <c r="U3112" s="8">
        <v>0</v>
      </c>
      <c r="V3112" s="7">
        <v>45693</v>
      </c>
      <c r="X3112" s="8">
        <v>0</v>
      </c>
      <c r="Z3112" s="8">
        <v>0</v>
      </c>
      <c r="AA3112" s="7">
        <v>45705</v>
      </c>
      <c r="AC3112" s="8">
        <v>0</v>
      </c>
      <c r="AE3112" s="7">
        <v>45730</v>
      </c>
      <c r="AF3112" s="8">
        <v>0</v>
      </c>
      <c r="AH3112" s="7">
        <v>46053</v>
      </c>
      <c r="AI3112" s="7">
        <v>45728</v>
      </c>
      <c r="AN3112" s="8">
        <v>0</v>
      </c>
      <c r="AO3112" s="8">
        <v>24</v>
      </c>
    </row>
    <row r="3113" spans="1:41" x14ac:dyDescent="0.25">
      <c r="A3113" s="6" t="str">
        <f>"525-2025000041"</f>
        <v>525-2025000041</v>
      </c>
      <c r="B3113" s="6" t="str">
        <f t="shared" si="697"/>
        <v>Lasa Int</v>
      </c>
      <c r="C3113" s="7">
        <v>45679</v>
      </c>
      <c r="D3113" s="7">
        <v>46096</v>
      </c>
      <c r="E3113" s="8">
        <v>4</v>
      </c>
      <c r="F3113" s="6" t="str">
        <f>"Cool R"</f>
        <v>Cool R</v>
      </c>
      <c r="G3113" s="6" t="str">
        <f>"R702284130000000"</f>
        <v>R702284130000000</v>
      </c>
      <c r="H3113" s="6" t="str">
        <f>"R 2841 - Ketten - 30"</f>
        <v>R 2841 - Ketten - 30</v>
      </c>
      <c r="I3113" s="6" t="str">
        <f>"2307"</f>
        <v>2307</v>
      </c>
      <c r="J3113" s="6" t="str">
        <f>"VERMELHO 2307"</f>
        <v>VERMELHO 2307</v>
      </c>
      <c r="K3113" s="6" t="str">
        <f>"5008"</f>
        <v>5008</v>
      </c>
      <c r="L3113" s="6" t="str">
        <f t="shared" si="704"/>
        <v>Roupões Adulto</v>
      </c>
      <c r="M3113" s="6" t="str">
        <f>"XL"</f>
        <v>XL</v>
      </c>
      <c r="N3113" s="6" t="str">
        <f>"5602972776201"</f>
        <v>5602972776201</v>
      </c>
      <c r="O3113" s="8">
        <v>18</v>
      </c>
      <c r="P3113" s="7">
        <v>45679</v>
      </c>
      <c r="R3113" s="8">
        <v>0</v>
      </c>
      <c r="S3113" s="7">
        <v>45684</v>
      </c>
      <c r="U3113" s="8">
        <v>0</v>
      </c>
      <c r="V3113" s="7">
        <v>45693</v>
      </c>
      <c r="X3113" s="8">
        <v>0</v>
      </c>
      <c r="Z3113" s="8">
        <v>0</v>
      </c>
      <c r="AA3113" s="7">
        <v>45705</v>
      </c>
      <c r="AC3113" s="8">
        <v>0</v>
      </c>
      <c r="AE3113" s="7">
        <v>45730</v>
      </c>
      <c r="AF3113" s="8">
        <v>0</v>
      </c>
      <c r="AH3113" s="7">
        <v>46053</v>
      </c>
      <c r="AI3113" s="7">
        <v>45728</v>
      </c>
      <c r="AN3113" s="8">
        <v>0</v>
      </c>
      <c r="AO3113" s="8">
        <v>18</v>
      </c>
    </row>
    <row r="3114" spans="1:41" x14ac:dyDescent="0.25">
      <c r="A3114" s="6" t="str">
        <f>"525-2025000041"</f>
        <v>525-2025000041</v>
      </c>
      <c r="B3114" s="6" t="str">
        <f t="shared" si="697"/>
        <v>Lasa Int</v>
      </c>
      <c r="C3114" s="7">
        <v>45679</v>
      </c>
      <c r="D3114" s="7">
        <v>46096</v>
      </c>
      <c r="E3114" s="8">
        <v>5</v>
      </c>
      <c r="F3114" s="6" t="str">
        <f>"Cool R"</f>
        <v>Cool R</v>
      </c>
      <c r="G3114" s="6" t="str">
        <f>"R702284130000000"</f>
        <v>R702284130000000</v>
      </c>
      <c r="H3114" s="6" t="str">
        <f>"R 2841 - Ketten - 30"</f>
        <v>R 2841 - Ketten - 30</v>
      </c>
      <c r="I3114" s="6" t="str">
        <f>"2307"</f>
        <v>2307</v>
      </c>
      <c r="J3114" s="6" t="str">
        <f>"VERMELHO 2307"</f>
        <v>VERMELHO 2307</v>
      </c>
      <c r="K3114" s="6" t="str">
        <f>"5010"</f>
        <v>5010</v>
      </c>
      <c r="L3114" s="6" t="str">
        <f t="shared" si="704"/>
        <v>Roupões Adulto</v>
      </c>
      <c r="M3114" s="6" t="str">
        <f>"XXL"</f>
        <v>XXL</v>
      </c>
      <c r="N3114" s="6" t="str">
        <f>"5602972792348"</f>
        <v>5602972792348</v>
      </c>
      <c r="O3114" s="8">
        <v>12</v>
      </c>
      <c r="P3114" s="7">
        <v>45679</v>
      </c>
      <c r="R3114" s="8">
        <v>0</v>
      </c>
      <c r="S3114" s="7">
        <v>45684</v>
      </c>
      <c r="U3114" s="8">
        <v>0</v>
      </c>
      <c r="V3114" s="7">
        <v>45693</v>
      </c>
      <c r="X3114" s="8">
        <v>0</v>
      </c>
      <c r="Z3114" s="8">
        <v>0</v>
      </c>
      <c r="AA3114" s="7">
        <v>45705</v>
      </c>
      <c r="AC3114" s="8">
        <v>0</v>
      </c>
      <c r="AE3114" s="7">
        <v>45730</v>
      </c>
      <c r="AF3114" s="8">
        <v>0</v>
      </c>
      <c r="AH3114" s="7">
        <v>46053</v>
      </c>
      <c r="AI3114" s="7">
        <v>45728</v>
      </c>
      <c r="AN3114" s="8">
        <v>0</v>
      </c>
      <c r="AO3114" s="8">
        <v>12</v>
      </c>
    </row>
    <row r="3115" spans="1:41" x14ac:dyDescent="0.25">
      <c r="A3115" s="6" t="str">
        <f t="shared" ref="A3115:A3124" si="708">"525-2025000065"</f>
        <v>525-2025000065</v>
      </c>
      <c r="B3115" s="6" t="str">
        <f t="shared" si="697"/>
        <v>Lasa Int</v>
      </c>
      <c r="C3115" s="7">
        <v>45688</v>
      </c>
      <c r="D3115" s="7">
        <v>46068</v>
      </c>
      <c r="E3115" s="8">
        <v>1</v>
      </c>
      <c r="F3115" s="6" t="str">
        <f t="shared" ref="F3115:F3124" si="709">"Lofty"</f>
        <v>Lofty</v>
      </c>
      <c r="G3115" s="6" t="str">
        <f t="shared" ref="G3115:G3124" si="710">"F161900120000003"</f>
        <v>F161900120000003</v>
      </c>
      <c r="H3115" s="6" t="str">
        <f t="shared" ref="H3115:H3124" si="711">"TA ( LOFTY ) - 1500"</f>
        <v>TA ( LOFTY ) - 1500</v>
      </c>
      <c r="I3115" s="6" t="str">
        <f>"1"</f>
        <v>1</v>
      </c>
      <c r="J3115" s="6" t="str">
        <f>"BRANCO"</f>
        <v>BRANCO</v>
      </c>
      <c r="K3115" s="6" t="str">
        <f>"3013"</f>
        <v>3013</v>
      </c>
      <c r="L3115" s="6" t="str">
        <f t="shared" ref="L3115:L3124" si="712">"Tapetes"</f>
        <v>Tapetes</v>
      </c>
      <c r="M3115" s="6" t="str">
        <f>"60x90"</f>
        <v>60x90</v>
      </c>
      <c r="N3115" s="6" t="str">
        <f>"5602972604344"</f>
        <v>5602972604344</v>
      </c>
      <c r="O3115" s="8">
        <v>72</v>
      </c>
      <c r="P3115" s="7">
        <v>45688</v>
      </c>
      <c r="R3115" s="8">
        <v>0</v>
      </c>
      <c r="U3115" s="8">
        <v>0</v>
      </c>
      <c r="X3115" s="8">
        <v>0</v>
      </c>
      <c r="Z3115" s="8">
        <v>0</v>
      </c>
      <c r="AC3115" s="8">
        <v>0</v>
      </c>
      <c r="AE3115" s="7">
        <v>45695</v>
      </c>
      <c r="AF3115" s="8">
        <v>0</v>
      </c>
      <c r="AH3115" s="7">
        <v>45868</v>
      </c>
      <c r="AN3115" s="8">
        <v>0</v>
      </c>
      <c r="AO3115" s="8">
        <v>72</v>
      </c>
    </row>
    <row r="3116" spans="1:41" x14ac:dyDescent="0.25">
      <c r="A3116" s="6" t="str">
        <f t="shared" si="708"/>
        <v>525-2025000065</v>
      </c>
      <c r="B3116" s="6" t="str">
        <f t="shared" si="697"/>
        <v>Lasa Int</v>
      </c>
      <c r="C3116" s="7">
        <v>45688</v>
      </c>
      <c r="D3116" s="7">
        <v>46068</v>
      </c>
      <c r="E3116" s="8">
        <v>3</v>
      </c>
      <c r="F3116" s="6" t="str">
        <f t="shared" si="709"/>
        <v>Lofty</v>
      </c>
      <c r="G3116" s="6" t="str">
        <f t="shared" si="710"/>
        <v>F161900120000003</v>
      </c>
      <c r="H3116" s="6" t="str">
        <f t="shared" si="711"/>
        <v>TA ( LOFTY ) - 1500</v>
      </c>
      <c r="I3116" s="6" t="str">
        <f>"1670"</f>
        <v>1670</v>
      </c>
      <c r="J3116" s="6" t="str">
        <f>"BEGE 1670"</f>
        <v>BEGE 1670</v>
      </c>
      <c r="K3116" s="6" t="str">
        <f>"3011"</f>
        <v>3011</v>
      </c>
      <c r="L3116" s="6" t="str">
        <f t="shared" si="712"/>
        <v>Tapetes</v>
      </c>
      <c r="M3116" s="6" t="str">
        <f>"60x60"</f>
        <v>60x60</v>
      </c>
      <c r="N3116" s="6" t="str">
        <f>"5602972604252"</f>
        <v>5602972604252</v>
      </c>
      <c r="O3116" s="8">
        <v>12</v>
      </c>
      <c r="P3116" s="7">
        <v>45688</v>
      </c>
      <c r="R3116" s="8">
        <v>0</v>
      </c>
      <c r="U3116" s="8">
        <v>0</v>
      </c>
      <c r="X3116" s="8">
        <v>0</v>
      </c>
      <c r="Z3116" s="8">
        <v>0</v>
      </c>
      <c r="AC3116" s="8">
        <v>12</v>
      </c>
      <c r="AE3116" s="7">
        <v>45695</v>
      </c>
      <c r="AF3116" s="8">
        <v>12</v>
      </c>
      <c r="AH3116" s="7">
        <v>45868</v>
      </c>
      <c r="AN3116" s="8">
        <v>12</v>
      </c>
      <c r="AO3116" s="8">
        <v>0</v>
      </c>
    </row>
    <row r="3117" spans="1:41" x14ac:dyDescent="0.25">
      <c r="A3117" s="6" t="str">
        <f t="shared" si="708"/>
        <v>525-2025000065</v>
      </c>
      <c r="B3117" s="6" t="str">
        <f t="shared" si="697"/>
        <v>Lasa Int</v>
      </c>
      <c r="C3117" s="7">
        <v>45688</v>
      </c>
      <c r="D3117" s="7">
        <v>46068</v>
      </c>
      <c r="E3117" s="8">
        <v>4</v>
      </c>
      <c r="F3117" s="6" t="str">
        <f t="shared" si="709"/>
        <v>Lofty</v>
      </c>
      <c r="G3117" s="6" t="str">
        <f t="shared" si="710"/>
        <v>F161900120000003</v>
      </c>
      <c r="H3117" s="6" t="str">
        <f t="shared" si="711"/>
        <v>TA ( LOFTY ) - 1500</v>
      </c>
      <c r="I3117" s="6" t="str">
        <f>"1670"</f>
        <v>1670</v>
      </c>
      <c r="J3117" s="6" t="str">
        <f>"BEGE 1670"</f>
        <v>BEGE 1670</v>
      </c>
      <c r="K3117" s="6" t="str">
        <f>"3013"</f>
        <v>3013</v>
      </c>
      <c r="L3117" s="6" t="str">
        <f t="shared" si="712"/>
        <v>Tapetes</v>
      </c>
      <c r="M3117" s="6" t="str">
        <f>"60x90"</f>
        <v>60x90</v>
      </c>
      <c r="N3117" s="6" t="str">
        <f>"5602972604375"</f>
        <v>5602972604375</v>
      </c>
      <c r="O3117" s="8">
        <v>36</v>
      </c>
      <c r="P3117" s="7">
        <v>45688</v>
      </c>
      <c r="R3117" s="8">
        <v>0</v>
      </c>
      <c r="U3117" s="8">
        <v>0</v>
      </c>
      <c r="X3117" s="8">
        <v>0</v>
      </c>
      <c r="Z3117" s="8">
        <v>0</v>
      </c>
      <c r="AC3117" s="8">
        <v>32</v>
      </c>
      <c r="AE3117" s="7">
        <v>45695</v>
      </c>
      <c r="AF3117" s="8">
        <v>32</v>
      </c>
      <c r="AH3117" s="7">
        <v>45868</v>
      </c>
      <c r="AN3117" s="8">
        <v>32</v>
      </c>
      <c r="AO3117" s="8">
        <v>4</v>
      </c>
    </row>
    <row r="3118" spans="1:41" x14ac:dyDescent="0.25">
      <c r="A3118" s="6" t="str">
        <f t="shared" si="708"/>
        <v>525-2025000065</v>
      </c>
      <c r="B3118" s="6" t="str">
        <f t="shared" si="697"/>
        <v>Lasa Int</v>
      </c>
      <c r="C3118" s="7">
        <v>45688</v>
      </c>
      <c r="D3118" s="7">
        <v>46068</v>
      </c>
      <c r="E3118" s="8">
        <v>5</v>
      </c>
      <c r="F3118" s="6" t="str">
        <f t="shared" si="709"/>
        <v>Lofty</v>
      </c>
      <c r="G3118" s="6" t="str">
        <f t="shared" si="710"/>
        <v>F161900120000003</v>
      </c>
      <c r="H3118" s="6" t="str">
        <f t="shared" si="711"/>
        <v>TA ( LOFTY ) - 1500</v>
      </c>
      <c r="I3118" s="6" t="str">
        <f>"1670"</f>
        <v>1670</v>
      </c>
      <c r="J3118" s="6" t="str">
        <f>"BEGE 1670"</f>
        <v>BEGE 1670</v>
      </c>
      <c r="K3118" s="6" t="str">
        <f>"3020"</f>
        <v>3020</v>
      </c>
      <c r="L3118" s="6" t="str">
        <f t="shared" si="712"/>
        <v>Tapetes</v>
      </c>
      <c r="M3118" s="6" t="str">
        <f>"50x80"</f>
        <v>50x80</v>
      </c>
      <c r="N3118" s="6" t="str">
        <f>"5602972604139"</f>
        <v>5602972604139</v>
      </c>
      <c r="O3118" s="8">
        <v>24</v>
      </c>
      <c r="P3118" s="7">
        <v>45688</v>
      </c>
      <c r="R3118" s="8">
        <v>0</v>
      </c>
      <c r="U3118" s="8">
        <v>0</v>
      </c>
      <c r="X3118" s="8">
        <v>0</v>
      </c>
      <c r="Z3118" s="8">
        <v>0</v>
      </c>
      <c r="AC3118" s="8">
        <v>27</v>
      </c>
      <c r="AE3118" s="7">
        <v>45695</v>
      </c>
      <c r="AF3118" s="8">
        <v>27</v>
      </c>
      <c r="AH3118" s="7">
        <v>45868</v>
      </c>
      <c r="AN3118" s="8">
        <v>27</v>
      </c>
      <c r="AO3118" s="8">
        <v>-3</v>
      </c>
    </row>
    <row r="3119" spans="1:41" x14ac:dyDescent="0.25">
      <c r="A3119" s="6" t="str">
        <f t="shared" si="708"/>
        <v>525-2025000065</v>
      </c>
      <c r="B3119" s="6" t="str">
        <f t="shared" si="697"/>
        <v>Lasa Int</v>
      </c>
      <c r="C3119" s="7">
        <v>45688</v>
      </c>
      <c r="D3119" s="7">
        <v>46068</v>
      </c>
      <c r="E3119" s="8">
        <v>6</v>
      </c>
      <c r="F3119" s="6" t="str">
        <f t="shared" si="709"/>
        <v>Lofty</v>
      </c>
      <c r="G3119" s="6" t="str">
        <f t="shared" si="710"/>
        <v>F161900120000003</v>
      </c>
      <c r="H3119" s="6" t="str">
        <f t="shared" si="711"/>
        <v>TA ( LOFTY ) - 1500</v>
      </c>
      <c r="I3119" s="6" t="str">
        <f>"2307"</f>
        <v>2307</v>
      </c>
      <c r="J3119" s="6" t="str">
        <f>"VERMELHO 2307"</f>
        <v>VERMELHO 2307</v>
      </c>
      <c r="K3119" s="6" t="str">
        <f>"3011"</f>
        <v>3011</v>
      </c>
      <c r="L3119" s="6" t="str">
        <f t="shared" si="712"/>
        <v>Tapetes</v>
      </c>
      <c r="M3119" s="6" t="str">
        <f>"60x60"</f>
        <v>60x60</v>
      </c>
      <c r="N3119" s="6" t="str">
        <f>"5602972604283"</f>
        <v>5602972604283</v>
      </c>
      <c r="O3119" s="8">
        <v>12</v>
      </c>
      <c r="P3119" s="7">
        <v>45688</v>
      </c>
      <c r="R3119" s="8">
        <v>0</v>
      </c>
      <c r="U3119" s="8">
        <v>0</v>
      </c>
      <c r="X3119" s="8">
        <v>0</v>
      </c>
      <c r="Z3119" s="8">
        <v>0</v>
      </c>
      <c r="AC3119" s="8">
        <v>10</v>
      </c>
      <c r="AE3119" s="7">
        <v>45695</v>
      </c>
      <c r="AF3119" s="8">
        <v>10</v>
      </c>
      <c r="AH3119" s="7">
        <v>45868</v>
      </c>
      <c r="AN3119" s="8">
        <v>10</v>
      </c>
      <c r="AO3119" s="8">
        <v>2</v>
      </c>
    </row>
    <row r="3120" spans="1:41" x14ac:dyDescent="0.25">
      <c r="A3120" s="6" t="str">
        <f t="shared" si="708"/>
        <v>525-2025000065</v>
      </c>
      <c r="B3120" s="6" t="str">
        <f t="shared" si="697"/>
        <v>Lasa Int</v>
      </c>
      <c r="C3120" s="7">
        <v>45688</v>
      </c>
      <c r="D3120" s="7">
        <v>46068</v>
      </c>
      <c r="E3120" s="8">
        <v>7</v>
      </c>
      <c r="F3120" s="6" t="str">
        <f t="shared" si="709"/>
        <v>Lofty</v>
      </c>
      <c r="G3120" s="6" t="str">
        <f t="shared" si="710"/>
        <v>F161900120000003</v>
      </c>
      <c r="H3120" s="6" t="str">
        <f t="shared" si="711"/>
        <v>TA ( LOFTY ) - 1500</v>
      </c>
      <c r="I3120" s="6" t="str">
        <f>"2307"</f>
        <v>2307</v>
      </c>
      <c r="J3120" s="6" t="str">
        <f>"VERMELHO 2307"</f>
        <v>VERMELHO 2307</v>
      </c>
      <c r="K3120" s="6" t="str">
        <f>"3013"</f>
        <v>3013</v>
      </c>
      <c r="L3120" s="6" t="str">
        <f t="shared" si="712"/>
        <v>Tapetes</v>
      </c>
      <c r="M3120" s="6" t="str">
        <f>"60x90"</f>
        <v>60x90</v>
      </c>
      <c r="N3120" s="6" t="str">
        <f>"5602972604405"</f>
        <v>5602972604405</v>
      </c>
      <c r="O3120" s="8">
        <v>24</v>
      </c>
      <c r="P3120" s="7">
        <v>45688</v>
      </c>
      <c r="R3120" s="8">
        <v>0</v>
      </c>
      <c r="U3120" s="8">
        <v>0</v>
      </c>
      <c r="X3120" s="8">
        <v>0</v>
      </c>
      <c r="Z3120" s="8">
        <v>0</v>
      </c>
      <c r="AC3120" s="8">
        <v>25</v>
      </c>
      <c r="AE3120" s="7">
        <v>45695</v>
      </c>
      <c r="AF3120" s="8">
        <v>25</v>
      </c>
      <c r="AH3120" s="7">
        <v>45868</v>
      </c>
      <c r="AN3120" s="8">
        <v>25</v>
      </c>
      <c r="AO3120" s="8">
        <v>-1</v>
      </c>
    </row>
    <row r="3121" spans="1:41" x14ac:dyDescent="0.25">
      <c r="A3121" s="6" t="str">
        <f t="shared" si="708"/>
        <v>525-2025000065</v>
      </c>
      <c r="B3121" s="6" t="str">
        <f t="shared" si="697"/>
        <v>Lasa Int</v>
      </c>
      <c r="C3121" s="7">
        <v>45688</v>
      </c>
      <c r="D3121" s="7">
        <v>46068</v>
      </c>
      <c r="E3121" s="8">
        <v>8</v>
      </c>
      <c r="F3121" s="6" t="str">
        <f t="shared" si="709"/>
        <v>Lofty</v>
      </c>
      <c r="G3121" s="6" t="str">
        <f t="shared" si="710"/>
        <v>F161900120000003</v>
      </c>
      <c r="H3121" s="6" t="str">
        <f t="shared" si="711"/>
        <v>TA ( LOFTY ) - 1500</v>
      </c>
      <c r="I3121" s="6" t="str">
        <f>"2307"</f>
        <v>2307</v>
      </c>
      <c r="J3121" s="6" t="str">
        <f>"VERMELHO 2307"</f>
        <v>VERMELHO 2307</v>
      </c>
      <c r="K3121" s="6" t="str">
        <f>"3020"</f>
        <v>3020</v>
      </c>
      <c r="L3121" s="6" t="str">
        <f t="shared" si="712"/>
        <v>Tapetes</v>
      </c>
      <c r="M3121" s="6" t="str">
        <f>"50x80"</f>
        <v>50x80</v>
      </c>
      <c r="N3121" s="6" t="str">
        <f>"5602972604160"</f>
        <v>5602972604160</v>
      </c>
      <c r="O3121" s="8">
        <v>12</v>
      </c>
      <c r="P3121" s="7">
        <v>45688</v>
      </c>
      <c r="R3121" s="8">
        <v>0</v>
      </c>
      <c r="U3121" s="8">
        <v>0</v>
      </c>
      <c r="X3121" s="8">
        <v>0</v>
      </c>
      <c r="Z3121" s="8">
        <v>0</v>
      </c>
      <c r="AC3121" s="8">
        <v>16</v>
      </c>
      <c r="AE3121" s="7">
        <v>45695</v>
      </c>
      <c r="AF3121" s="8">
        <v>16</v>
      </c>
      <c r="AH3121" s="7">
        <v>45868</v>
      </c>
      <c r="AN3121" s="8">
        <v>16</v>
      </c>
      <c r="AO3121" s="8">
        <v>-4</v>
      </c>
    </row>
    <row r="3122" spans="1:41" x14ac:dyDescent="0.25">
      <c r="A3122" s="6" t="str">
        <f t="shared" si="708"/>
        <v>525-2025000065</v>
      </c>
      <c r="B3122" s="6" t="str">
        <f t="shared" si="697"/>
        <v>Lasa Int</v>
      </c>
      <c r="C3122" s="7">
        <v>45688</v>
      </c>
      <c r="D3122" s="7">
        <v>46068</v>
      </c>
      <c r="E3122" s="8">
        <v>9</v>
      </c>
      <c r="F3122" s="6" t="str">
        <f t="shared" si="709"/>
        <v>Lofty</v>
      </c>
      <c r="G3122" s="6" t="str">
        <f t="shared" si="710"/>
        <v>F161900120000003</v>
      </c>
      <c r="H3122" s="6" t="str">
        <f t="shared" si="711"/>
        <v>TA ( LOFTY ) - 1500</v>
      </c>
      <c r="I3122" s="6" t="str">
        <f>"3073"</f>
        <v>3073</v>
      </c>
      <c r="J3122" s="6" t="str">
        <f>"CINZA 3073"</f>
        <v>CINZA 3073</v>
      </c>
      <c r="K3122" s="6" t="str">
        <f>"3013"</f>
        <v>3013</v>
      </c>
      <c r="L3122" s="6" t="str">
        <f t="shared" si="712"/>
        <v>Tapetes</v>
      </c>
      <c r="M3122" s="6" t="str">
        <f>"60x90"</f>
        <v>60x90</v>
      </c>
      <c r="N3122" s="6" t="str">
        <f>"5602972604436"</f>
        <v>5602972604436</v>
      </c>
      <c r="O3122" s="8">
        <v>36</v>
      </c>
      <c r="P3122" s="7">
        <v>45688</v>
      </c>
      <c r="R3122" s="8">
        <v>0</v>
      </c>
      <c r="U3122" s="8">
        <v>0</v>
      </c>
      <c r="X3122" s="8">
        <v>0</v>
      </c>
      <c r="Z3122" s="8">
        <v>0</v>
      </c>
      <c r="AC3122" s="8">
        <v>0</v>
      </c>
      <c r="AE3122" s="7">
        <v>45695</v>
      </c>
      <c r="AF3122" s="8">
        <v>0</v>
      </c>
      <c r="AH3122" s="7">
        <v>45868</v>
      </c>
      <c r="AN3122" s="8">
        <v>0</v>
      </c>
      <c r="AO3122" s="8">
        <v>36</v>
      </c>
    </row>
    <row r="3123" spans="1:41" x14ac:dyDescent="0.25">
      <c r="A3123" s="6" t="str">
        <f t="shared" si="708"/>
        <v>525-2025000065</v>
      </c>
      <c r="B3123" s="6" t="str">
        <f t="shared" si="697"/>
        <v>Lasa Int</v>
      </c>
      <c r="C3123" s="7">
        <v>45688</v>
      </c>
      <c r="D3123" s="7">
        <v>46068</v>
      </c>
      <c r="E3123" s="8">
        <v>11</v>
      </c>
      <c r="F3123" s="6" t="str">
        <f t="shared" si="709"/>
        <v>Lofty</v>
      </c>
      <c r="G3123" s="6" t="str">
        <f t="shared" si="710"/>
        <v>F161900120000003</v>
      </c>
      <c r="H3123" s="6" t="str">
        <f t="shared" si="711"/>
        <v>TA ( LOFTY ) - 1500</v>
      </c>
      <c r="I3123" s="6" t="str">
        <f>"3235"</f>
        <v>3235</v>
      </c>
      <c r="J3123" s="6" t="str">
        <f>"CINZA 3235"</f>
        <v>CINZA 3235</v>
      </c>
      <c r="K3123" s="6" t="str">
        <f>"3011"</f>
        <v>3011</v>
      </c>
      <c r="L3123" s="6" t="str">
        <f t="shared" si="712"/>
        <v>Tapetes</v>
      </c>
      <c r="M3123" s="6" t="str">
        <f>"60x60"</f>
        <v>60x60</v>
      </c>
      <c r="N3123" s="6" t="str">
        <f>"5602972604337"</f>
        <v>5602972604337</v>
      </c>
      <c r="O3123" s="8">
        <v>12</v>
      </c>
      <c r="P3123" s="7">
        <v>45688</v>
      </c>
      <c r="R3123" s="8">
        <v>0</v>
      </c>
      <c r="U3123" s="8">
        <v>0</v>
      </c>
      <c r="X3123" s="8">
        <v>0</v>
      </c>
      <c r="Z3123" s="8">
        <v>0</v>
      </c>
      <c r="AC3123" s="8">
        <v>12</v>
      </c>
      <c r="AE3123" s="7">
        <v>45695</v>
      </c>
      <c r="AF3123" s="8">
        <v>12</v>
      </c>
      <c r="AH3123" s="7">
        <v>45868</v>
      </c>
      <c r="AN3123" s="8">
        <v>12</v>
      </c>
      <c r="AO3123" s="8">
        <v>0</v>
      </c>
    </row>
    <row r="3124" spans="1:41" x14ac:dyDescent="0.25">
      <c r="A3124" s="6" t="str">
        <f t="shared" si="708"/>
        <v>525-2025000065</v>
      </c>
      <c r="B3124" s="6" t="str">
        <f t="shared" si="697"/>
        <v>Lasa Int</v>
      </c>
      <c r="C3124" s="7">
        <v>45688</v>
      </c>
      <c r="D3124" s="7">
        <v>46068</v>
      </c>
      <c r="E3124" s="8">
        <v>12</v>
      </c>
      <c r="F3124" s="6" t="str">
        <f t="shared" si="709"/>
        <v>Lofty</v>
      </c>
      <c r="G3124" s="6" t="str">
        <f t="shared" si="710"/>
        <v>F161900120000003</v>
      </c>
      <c r="H3124" s="6" t="str">
        <f t="shared" si="711"/>
        <v>TA ( LOFTY ) - 1500</v>
      </c>
      <c r="I3124" s="6" t="str">
        <f>"3235"</f>
        <v>3235</v>
      </c>
      <c r="J3124" s="6" t="str">
        <f>"CINZA 3235"</f>
        <v>CINZA 3235</v>
      </c>
      <c r="K3124" s="6" t="str">
        <f>"3013"</f>
        <v>3013</v>
      </c>
      <c r="L3124" s="6" t="str">
        <f t="shared" si="712"/>
        <v>Tapetes</v>
      </c>
      <c r="M3124" s="6" t="str">
        <f>"60x90"</f>
        <v>60x90</v>
      </c>
      <c r="N3124" s="6" t="str">
        <f>"5602972604450"</f>
        <v>5602972604450</v>
      </c>
      <c r="O3124" s="8">
        <v>48</v>
      </c>
      <c r="P3124" s="7">
        <v>45688</v>
      </c>
      <c r="R3124" s="8">
        <v>0</v>
      </c>
      <c r="U3124" s="8">
        <v>0</v>
      </c>
      <c r="X3124" s="8">
        <v>0</v>
      </c>
      <c r="Z3124" s="8">
        <v>0</v>
      </c>
      <c r="AC3124" s="8">
        <v>0</v>
      </c>
      <c r="AE3124" s="7">
        <v>45695</v>
      </c>
      <c r="AF3124" s="8">
        <v>0</v>
      </c>
      <c r="AH3124" s="7">
        <v>45868</v>
      </c>
      <c r="AN3124" s="8">
        <v>0</v>
      </c>
      <c r="AO3124" s="8">
        <v>48</v>
      </c>
    </row>
    <row r="3125" spans="1:41" x14ac:dyDescent="0.25">
      <c r="A3125" s="6" t="str">
        <f>"525-2025000102"</f>
        <v>525-2025000102</v>
      </c>
      <c r="B3125" s="6" t="str">
        <f t="shared" si="697"/>
        <v>Lasa Int</v>
      </c>
      <c r="C3125" s="7">
        <v>45706</v>
      </c>
      <c r="D3125" s="7">
        <v>46051</v>
      </c>
      <c r="E3125" s="8">
        <v>1</v>
      </c>
      <c r="F3125" s="6" t="str">
        <f>"PURE light"</f>
        <v>PURE light</v>
      </c>
      <c r="G3125" s="6" t="str">
        <f>"R300374738000000"</f>
        <v>R300374738000000</v>
      </c>
      <c r="H3125" s="6" t="str">
        <f>"R 3747 - PLR 3697 (m"</f>
        <v>R 3747 - PLR 3697 (m</v>
      </c>
      <c r="I3125" s="6" t="str">
        <f>"204032"</f>
        <v>204032</v>
      </c>
      <c r="J3125" s="6" t="str">
        <f>"AZUL 4032"</f>
        <v>AZUL 4032</v>
      </c>
      <c r="K3125" s="6" t="str">
        <f>"5002"</f>
        <v>5002</v>
      </c>
      <c r="L3125" s="6" t="str">
        <f t="shared" ref="L3125:L3147" si="713">"Roupões Adulto"</f>
        <v>Roupões Adulto</v>
      </c>
      <c r="M3125" s="6" t="str">
        <f>"S"</f>
        <v>S</v>
      </c>
      <c r="N3125" s="6" t="str">
        <f>"5602972512489"</f>
        <v>5602972512489</v>
      </c>
      <c r="O3125" s="8">
        <v>36</v>
      </c>
      <c r="P3125" s="7">
        <v>45747</v>
      </c>
      <c r="R3125" s="8">
        <v>475</v>
      </c>
      <c r="S3125" s="7">
        <v>45750</v>
      </c>
      <c r="U3125" s="8">
        <v>475</v>
      </c>
      <c r="V3125" s="7">
        <v>45755</v>
      </c>
      <c r="X3125" s="8">
        <v>475</v>
      </c>
      <c r="Z3125" s="8">
        <v>0</v>
      </c>
      <c r="AA3125" s="7">
        <v>45768</v>
      </c>
      <c r="AC3125" s="8">
        <v>29</v>
      </c>
      <c r="AE3125" s="7">
        <v>45770</v>
      </c>
      <c r="AF3125" s="8">
        <v>29</v>
      </c>
      <c r="AH3125" s="7">
        <v>46044</v>
      </c>
      <c r="AN3125" s="8">
        <v>29</v>
      </c>
      <c r="AO3125" s="8">
        <v>7</v>
      </c>
    </row>
    <row r="3126" spans="1:41" x14ac:dyDescent="0.25">
      <c r="A3126" s="6" t="str">
        <f>"525-2025000102"</f>
        <v>525-2025000102</v>
      </c>
      <c r="B3126" s="6" t="str">
        <f t="shared" si="697"/>
        <v>Lasa Int</v>
      </c>
      <c r="C3126" s="7">
        <v>45706</v>
      </c>
      <c r="D3126" s="7">
        <v>46051</v>
      </c>
      <c r="E3126" s="8">
        <v>2</v>
      </c>
      <c r="F3126" s="6" t="str">
        <f>"PURE light"</f>
        <v>PURE light</v>
      </c>
      <c r="G3126" s="6" t="str">
        <f>"R300374738000000"</f>
        <v>R300374738000000</v>
      </c>
      <c r="H3126" s="6" t="str">
        <f>"R 3747 - PLR 3697 (m"</f>
        <v>R 3747 - PLR 3697 (m</v>
      </c>
      <c r="I3126" s="6" t="str">
        <f>"204032"</f>
        <v>204032</v>
      </c>
      <c r="J3126" s="6" t="str">
        <f>"AZUL 4032"</f>
        <v>AZUL 4032</v>
      </c>
      <c r="K3126" s="6" t="str">
        <f>"5004"</f>
        <v>5004</v>
      </c>
      <c r="L3126" s="6" t="str">
        <f t="shared" si="713"/>
        <v>Roupões Adulto</v>
      </c>
      <c r="M3126" s="6" t="str">
        <f>"M"</f>
        <v>M</v>
      </c>
      <c r="N3126" s="6" t="str">
        <f>"5602972512496"</f>
        <v>5602972512496</v>
      </c>
      <c r="O3126" s="8">
        <v>72</v>
      </c>
      <c r="P3126" s="7">
        <v>45747</v>
      </c>
      <c r="R3126" s="8">
        <v>0</v>
      </c>
      <c r="S3126" s="7">
        <v>45750</v>
      </c>
      <c r="U3126" s="8">
        <v>0</v>
      </c>
      <c r="V3126" s="7">
        <v>45755</v>
      </c>
      <c r="X3126" s="8">
        <v>0</v>
      </c>
      <c r="Z3126" s="8">
        <v>0</v>
      </c>
      <c r="AA3126" s="7">
        <v>45768</v>
      </c>
      <c r="AC3126" s="8">
        <v>16</v>
      </c>
      <c r="AE3126" s="7">
        <v>45770</v>
      </c>
      <c r="AF3126" s="8">
        <v>16</v>
      </c>
      <c r="AH3126" s="7">
        <v>46044</v>
      </c>
      <c r="AN3126" s="8">
        <v>16</v>
      </c>
      <c r="AO3126" s="8">
        <v>56</v>
      </c>
    </row>
    <row r="3127" spans="1:41" x14ac:dyDescent="0.25">
      <c r="A3127" s="6" t="str">
        <f>"525-2025000102"</f>
        <v>525-2025000102</v>
      </c>
      <c r="B3127" s="6" t="str">
        <f t="shared" si="697"/>
        <v>Lasa Int</v>
      </c>
      <c r="C3127" s="7">
        <v>45706</v>
      </c>
      <c r="D3127" s="7">
        <v>46051</v>
      </c>
      <c r="E3127" s="8">
        <v>3</v>
      </c>
      <c r="F3127" s="6" t="str">
        <f>"PURE light"</f>
        <v>PURE light</v>
      </c>
      <c r="G3127" s="6" t="str">
        <f>"R300374738000000"</f>
        <v>R300374738000000</v>
      </c>
      <c r="H3127" s="6" t="str">
        <f>"R 3747 - PLR 3697 (m"</f>
        <v>R 3747 - PLR 3697 (m</v>
      </c>
      <c r="I3127" s="6" t="str">
        <f>"204032"</f>
        <v>204032</v>
      </c>
      <c r="J3127" s="6" t="str">
        <f>"AZUL 4032"</f>
        <v>AZUL 4032</v>
      </c>
      <c r="K3127" s="6" t="str">
        <f>"5006"</f>
        <v>5006</v>
      </c>
      <c r="L3127" s="6" t="str">
        <f t="shared" si="713"/>
        <v>Roupões Adulto</v>
      </c>
      <c r="M3127" s="6" t="str">
        <f>"L"</f>
        <v>L</v>
      </c>
      <c r="N3127" s="6" t="str">
        <f>"5602972512502"</f>
        <v>5602972512502</v>
      </c>
      <c r="O3127" s="8">
        <v>72</v>
      </c>
      <c r="P3127" s="7">
        <v>45747</v>
      </c>
      <c r="R3127" s="8">
        <v>0</v>
      </c>
      <c r="S3127" s="7">
        <v>45750</v>
      </c>
      <c r="U3127" s="8">
        <v>0</v>
      </c>
      <c r="V3127" s="7">
        <v>45755</v>
      </c>
      <c r="X3127" s="8">
        <v>0</v>
      </c>
      <c r="Z3127" s="8">
        <v>0</v>
      </c>
      <c r="AA3127" s="7">
        <v>45768</v>
      </c>
      <c r="AC3127" s="8">
        <v>27</v>
      </c>
      <c r="AE3127" s="7">
        <v>45770</v>
      </c>
      <c r="AF3127" s="8">
        <v>27</v>
      </c>
      <c r="AH3127" s="7">
        <v>46044</v>
      </c>
      <c r="AN3127" s="8">
        <v>27</v>
      </c>
      <c r="AO3127" s="8">
        <v>45</v>
      </c>
    </row>
    <row r="3128" spans="1:41" x14ac:dyDescent="0.25">
      <c r="A3128" s="6" t="str">
        <f>"525-2025000102"</f>
        <v>525-2025000102</v>
      </c>
      <c r="B3128" s="6" t="str">
        <f t="shared" si="697"/>
        <v>Lasa Int</v>
      </c>
      <c r="C3128" s="7">
        <v>45706</v>
      </c>
      <c r="D3128" s="7">
        <v>46051</v>
      </c>
      <c r="E3128" s="8">
        <v>4</v>
      </c>
      <c r="F3128" s="6" t="str">
        <f>"PURE light"</f>
        <v>PURE light</v>
      </c>
      <c r="G3128" s="6" t="str">
        <f>"R300374738000000"</f>
        <v>R300374738000000</v>
      </c>
      <c r="H3128" s="6" t="str">
        <f>"R 3747 - PLR 3697 (m"</f>
        <v>R 3747 - PLR 3697 (m</v>
      </c>
      <c r="I3128" s="6" t="str">
        <f>"204032"</f>
        <v>204032</v>
      </c>
      <c r="J3128" s="6" t="str">
        <f>"AZUL 4032"</f>
        <v>AZUL 4032</v>
      </c>
      <c r="K3128" s="6" t="str">
        <f>"5008"</f>
        <v>5008</v>
      </c>
      <c r="L3128" s="6" t="str">
        <f t="shared" si="713"/>
        <v>Roupões Adulto</v>
      </c>
      <c r="M3128" s="6" t="str">
        <f>"XL"</f>
        <v>XL</v>
      </c>
      <c r="N3128" s="6" t="str">
        <f>"5602972512519"</f>
        <v>5602972512519</v>
      </c>
      <c r="O3128" s="8">
        <v>36</v>
      </c>
      <c r="P3128" s="7">
        <v>45747</v>
      </c>
      <c r="R3128" s="8">
        <v>0</v>
      </c>
      <c r="S3128" s="7">
        <v>45750</v>
      </c>
      <c r="U3128" s="8">
        <v>0</v>
      </c>
      <c r="V3128" s="7">
        <v>45755</v>
      </c>
      <c r="X3128" s="8">
        <v>0</v>
      </c>
      <c r="Z3128" s="8">
        <v>0</v>
      </c>
      <c r="AA3128" s="7">
        <v>45768</v>
      </c>
      <c r="AC3128" s="8">
        <v>1</v>
      </c>
      <c r="AE3128" s="7">
        <v>45770</v>
      </c>
      <c r="AF3128" s="8">
        <v>1</v>
      </c>
      <c r="AH3128" s="7">
        <v>46044</v>
      </c>
      <c r="AN3128" s="8">
        <v>1</v>
      </c>
      <c r="AO3128" s="8">
        <v>35</v>
      </c>
    </row>
    <row r="3129" spans="1:41" x14ac:dyDescent="0.25">
      <c r="A3129" s="6" t="str">
        <f>"525-2025000136"</f>
        <v>525-2025000136</v>
      </c>
      <c r="B3129" s="6" t="str">
        <f t="shared" si="697"/>
        <v>Lasa Int</v>
      </c>
      <c r="C3129" s="7">
        <v>45722</v>
      </c>
      <c r="D3129" s="7">
        <v>46051</v>
      </c>
      <c r="E3129" s="8">
        <v>1</v>
      </c>
      <c r="F3129" s="6" t="str">
        <f>"Royal C"</f>
        <v>Royal C</v>
      </c>
      <c r="G3129" s="6" t="str">
        <f>"R120218042000000"</f>
        <v>R120218042000000</v>
      </c>
      <c r="H3129" s="6" t="str">
        <f>"R 2180 - Alexis Coto"</f>
        <v>R 2180 - Alexis Coto</v>
      </c>
      <c r="I3129" s="6" t="str">
        <f>"1"</f>
        <v>1</v>
      </c>
      <c r="J3129" s="6" t="str">
        <f>"BRANCO"</f>
        <v>BRANCO</v>
      </c>
      <c r="K3129" s="6" t="str">
        <f>"5004"</f>
        <v>5004</v>
      </c>
      <c r="L3129" s="6" t="str">
        <f t="shared" si="713"/>
        <v>Roupões Adulto</v>
      </c>
      <c r="M3129" s="6" t="str">
        <f>"M"</f>
        <v>M</v>
      </c>
      <c r="N3129" s="6" t="str">
        <f>"5602972719864"</f>
        <v>5602972719864</v>
      </c>
      <c r="O3129" s="8">
        <v>60</v>
      </c>
      <c r="P3129" s="7">
        <v>45747</v>
      </c>
      <c r="R3129" s="8">
        <v>500</v>
      </c>
      <c r="S3129" s="7">
        <v>45750</v>
      </c>
      <c r="U3129" s="8">
        <v>348</v>
      </c>
      <c r="V3129" s="7">
        <v>45761</v>
      </c>
      <c r="X3129" s="8">
        <v>0</v>
      </c>
      <c r="Z3129" s="8">
        <v>0</v>
      </c>
      <c r="AA3129" s="7">
        <v>45775</v>
      </c>
      <c r="AC3129" s="8">
        <v>0</v>
      </c>
      <c r="AE3129" s="7">
        <v>45777</v>
      </c>
      <c r="AF3129" s="8">
        <v>0</v>
      </c>
      <c r="AH3129" s="7">
        <v>45838</v>
      </c>
      <c r="AN3129" s="8">
        <v>25</v>
      </c>
      <c r="AO3129" s="8">
        <v>35</v>
      </c>
    </row>
    <row r="3130" spans="1:41" x14ac:dyDescent="0.25">
      <c r="A3130" s="6" t="str">
        <f>"525-2025000136"</f>
        <v>525-2025000136</v>
      </c>
      <c r="B3130" s="6" t="str">
        <f t="shared" si="697"/>
        <v>Lasa Int</v>
      </c>
      <c r="C3130" s="7">
        <v>45722</v>
      </c>
      <c r="D3130" s="7">
        <v>46051</v>
      </c>
      <c r="E3130" s="8">
        <v>2</v>
      </c>
      <c r="F3130" s="6" t="str">
        <f>"Royal C"</f>
        <v>Royal C</v>
      </c>
      <c r="G3130" s="6" t="str">
        <f>"R120218042000000"</f>
        <v>R120218042000000</v>
      </c>
      <c r="H3130" s="6" t="str">
        <f>"R 2180 - Alexis Coto"</f>
        <v>R 2180 - Alexis Coto</v>
      </c>
      <c r="I3130" s="6" t="str">
        <f>"1"</f>
        <v>1</v>
      </c>
      <c r="J3130" s="6" t="str">
        <f>"BRANCO"</f>
        <v>BRANCO</v>
      </c>
      <c r="K3130" s="6" t="str">
        <f>"5006"</f>
        <v>5006</v>
      </c>
      <c r="L3130" s="6" t="str">
        <f t="shared" si="713"/>
        <v>Roupões Adulto</v>
      </c>
      <c r="M3130" s="6" t="str">
        <f>"L"</f>
        <v>L</v>
      </c>
      <c r="N3130" s="6" t="str">
        <f>"5602972719871"</f>
        <v>5602972719871</v>
      </c>
      <c r="O3130" s="8">
        <v>48</v>
      </c>
      <c r="P3130" s="7">
        <v>45747</v>
      </c>
      <c r="R3130" s="8">
        <v>0</v>
      </c>
      <c r="S3130" s="7">
        <v>45750</v>
      </c>
      <c r="U3130" s="8">
        <v>0</v>
      </c>
      <c r="V3130" s="7">
        <v>45761</v>
      </c>
      <c r="X3130" s="8">
        <v>0</v>
      </c>
      <c r="Z3130" s="8">
        <v>0</v>
      </c>
      <c r="AA3130" s="7">
        <v>45775</v>
      </c>
      <c r="AC3130" s="8">
        <v>0</v>
      </c>
      <c r="AE3130" s="7">
        <v>45777</v>
      </c>
      <c r="AF3130" s="8">
        <v>0</v>
      </c>
      <c r="AH3130" s="7">
        <v>45838</v>
      </c>
      <c r="AN3130" s="8">
        <v>40</v>
      </c>
      <c r="AO3130" s="8">
        <v>8</v>
      </c>
    </row>
    <row r="3131" spans="1:41" x14ac:dyDescent="0.25">
      <c r="A3131" s="6" t="str">
        <f>"525-2025000136"</f>
        <v>525-2025000136</v>
      </c>
      <c r="B3131" s="6" t="str">
        <f t="shared" si="697"/>
        <v>Lasa Int</v>
      </c>
      <c r="C3131" s="7">
        <v>45722</v>
      </c>
      <c r="D3131" s="7">
        <v>46051</v>
      </c>
      <c r="E3131" s="8">
        <v>3</v>
      </c>
      <c r="F3131" s="6" t="str">
        <f>"Royal C"</f>
        <v>Royal C</v>
      </c>
      <c r="G3131" s="6" t="str">
        <f>"R120218042000000"</f>
        <v>R120218042000000</v>
      </c>
      <c r="H3131" s="6" t="str">
        <f>"R 2180 - Alexis Coto"</f>
        <v>R 2180 - Alexis Coto</v>
      </c>
      <c r="I3131" s="6" t="str">
        <f>"1"</f>
        <v>1</v>
      </c>
      <c r="J3131" s="6" t="str">
        <f>"BRANCO"</f>
        <v>BRANCO</v>
      </c>
      <c r="K3131" s="6" t="str">
        <f>"5008"</f>
        <v>5008</v>
      </c>
      <c r="L3131" s="6" t="str">
        <f t="shared" si="713"/>
        <v>Roupões Adulto</v>
      </c>
      <c r="M3131" s="6" t="str">
        <f>"XL"</f>
        <v>XL</v>
      </c>
      <c r="N3131" s="6" t="str">
        <f>"5602972719888"</f>
        <v>5602972719888</v>
      </c>
      <c r="O3131" s="8">
        <v>60</v>
      </c>
      <c r="P3131" s="7">
        <v>45747</v>
      </c>
      <c r="R3131" s="8">
        <v>0</v>
      </c>
      <c r="S3131" s="7">
        <v>45750</v>
      </c>
      <c r="U3131" s="8">
        <v>0</v>
      </c>
      <c r="V3131" s="7">
        <v>45761</v>
      </c>
      <c r="X3131" s="8">
        <v>0</v>
      </c>
      <c r="Z3131" s="8">
        <v>0</v>
      </c>
      <c r="AA3131" s="7">
        <v>45775</v>
      </c>
      <c r="AC3131" s="8">
        <v>0</v>
      </c>
      <c r="AE3131" s="7">
        <v>45777</v>
      </c>
      <c r="AF3131" s="8">
        <v>0</v>
      </c>
      <c r="AH3131" s="7">
        <v>45838</v>
      </c>
      <c r="AN3131" s="8">
        <v>27</v>
      </c>
      <c r="AO3131" s="8">
        <v>33</v>
      </c>
    </row>
    <row r="3132" spans="1:41" x14ac:dyDescent="0.25">
      <c r="A3132" s="6" t="str">
        <f t="shared" ref="A3132:A3139" si="714">"525-2025000169"</f>
        <v>525-2025000169</v>
      </c>
      <c r="B3132" s="6" t="str">
        <f t="shared" si="697"/>
        <v>Lasa Int</v>
      </c>
      <c r="C3132" s="7">
        <v>45740</v>
      </c>
      <c r="D3132" s="7">
        <v>46068</v>
      </c>
      <c r="E3132" s="8">
        <v>1</v>
      </c>
      <c r="F3132" s="6" t="str">
        <f t="shared" ref="F3132:F3139" si="715">"Horizon R"</f>
        <v>Horizon R</v>
      </c>
      <c r="G3132" s="6" t="str">
        <f t="shared" ref="G3132:G3139" si="716">"R330377236000000"</f>
        <v>R330377236000000</v>
      </c>
      <c r="H3132" s="6" t="str">
        <f t="shared" ref="H3132:H3139" si="717">"R 3772 - PLA 3027 (m"</f>
        <v>R 3772 - PLA 3027 (m</v>
      </c>
      <c r="I3132" s="6" t="str">
        <f>"202698"</f>
        <v>202698</v>
      </c>
      <c r="J3132" s="6" t="str">
        <f>"BEGE 2698"</f>
        <v>BEGE 2698</v>
      </c>
      <c r="K3132" s="6" t="str">
        <f>"5002"</f>
        <v>5002</v>
      </c>
      <c r="L3132" s="6" t="str">
        <f t="shared" si="713"/>
        <v>Roupões Adulto</v>
      </c>
      <c r="M3132" s="6" t="str">
        <f>"S"</f>
        <v>S</v>
      </c>
      <c r="N3132" s="6" t="str">
        <f>"5602972515442"</f>
        <v>5602972515442</v>
      </c>
      <c r="O3132" s="8">
        <v>48</v>
      </c>
      <c r="P3132" s="7">
        <v>45785</v>
      </c>
      <c r="R3132" s="8">
        <v>447</v>
      </c>
      <c r="S3132" s="7">
        <v>45790</v>
      </c>
      <c r="U3132" s="8">
        <v>447</v>
      </c>
      <c r="V3132" s="7">
        <v>45793</v>
      </c>
      <c r="X3132" s="8">
        <v>447</v>
      </c>
      <c r="Z3132" s="8">
        <v>0</v>
      </c>
      <c r="AA3132" s="7">
        <v>45805</v>
      </c>
      <c r="AC3132" s="8">
        <v>35</v>
      </c>
      <c r="AE3132" s="7">
        <v>45825</v>
      </c>
      <c r="AF3132" s="8">
        <v>35</v>
      </c>
      <c r="AH3132" s="7">
        <v>46006</v>
      </c>
      <c r="AI3132" s="7">
        <v>45821</v>
      </c>
      <c r="AN3132" s="8">
        <v>35</v>
      </c>
      <c r="AO3132" s="8">
        <v>13</v>
      </c>
    </row>
    <row r="3133" spans="1:41" x14ac:dyDescent="0.25">
      <c r="A3133" s="6" t="str">
        <f t="shared" si="714"/>
        <v>525-2025000169</v>
      </c>
      <c r="B3133" s="6" t="str">
        <f t="shared" si="697"/>
        <v>Lasa Int</v>
      </c>
      <c r="C3133" s="7">
        <v>45740</v>
      </c>
      <c r="D3133" s="7">
        <v>46068</v>
      </c>
      <c r="E3133" s="8">
        <v>2</v>
      </c>
      <c r="F3133" s="6" t="str">
        <f t="shared" si="715"/>
        <v>Horizon R</v>
      </c>
      <c r="G3133" s="6" t="str">
        <f t="shared" si="716"/>
        <v>R330377236000000</v>
      </c>
      <c r="H3133" s="6" t="str">
        <f t="shared" si="717"/>
        <v>R 3772 - PLA 3027 (m</v>
      </c>
      <c r="I3133" s="6" t="str">
        <f>"202698"</f>
        <v>202698</v>
      </c>
      <c r="J3133" s="6" t="str">
        <f>"BEGE 2698"</f>
        <v>BEGE 2698</v>
      </c>
      <c r="K3133" s="6" t="str">
        <f>"5004"</f>
        <v>5004</v>
      </c>
      <c r="L3133" s="6" t="str">
        <f t="shared" si="713"/>
        <v>Roupões Adulto</v>
      </c>
      <c r="M3133" s="6" t="str">
        <f>"M"</f>
        <v>M</v>
      </c>
      <c r="N3133" s="6" t="str">
        <f>"5602972515459"</f>
        <v>5602972515459</v>
      </c>
      <c r="O3133" s="8">
        <v>60</v>
      </c>
      <c r="P3133" s="7">
        <v>45785</v>
      </c>
      <c r="R3133" s="8">
        <v>0</v>
      </c>
      <c r="S3133" s="7">
        <v>45790</v>
      </c>
      <c r="U3133" s="8">
        <v>0</v>
      </c>
      <c r="V3133" s="7">
        <v>45793</v>
      </c>
      <c r="X3133" s="8">
        <v>0</v>
      </c>
      <c r="Z3133" s="8">
        <v>0</v>
      </c>
      <c r="AA3133" s="7">
        <v>45805</v>
      </c>
      <c r="AC3133" s="8">
        <v>41</v>
      </c>
      <c r="AE3133" s="7">
        <v>45825</v>
      </c>
      <c r="AF3133" s="8">
        <v>41</v>
      </c>
      <c r="AH3133" s="7">
        <v>46006</v>
      </c>
      <c r="AI3133" s="7">
        <v>45821</v>
      </c>
      <c r="AN3133" s="8">
        <v>41</v>
      </c>
      <c r="AO3133" s="8">
        <v>19</v>
      </c>
    </row>
    <row r="3134" spans="1:41" x14ac:dyDescent="0.25">
      <c r="A3134" s="6" t="str">
        <f t="shared" si="714"/>
        <v>525-2025000169</v>
      </c>
      <c r="B3134" s="6" t="str">
        <f t="shared" si="697"/>
        <v>Lasa Int</v>
      </c>
      <c r="C3134" s="7">
        <v>45740</v>
      </c>
      <c r="D3134" s="7">
        <v>46068</v>
      </c>
      <c r="E3134" s="8">
        <v>3</v>
      </c>
      <c r="F3134" s="6" t="str">
        <f t="shared" si="715"/>
        <v>Horizon R</v>
      </c>
      <c r="G3134" s="6" t="str">
        <f t="shared" si="716"/>
        <v>R330377236000000</v>
      </c>
      <c r="H3134" s="6" t="str">
        <f t="shared" si="717"/>
        <v>R 3772 - PLA 3027 (m</v>
      </c>
      <c r="I3134" s="6" t="str">
        <f>"202698"</f>
        <v>202698</v>
      </c>
      <c r="J3134" s="6" t="str">
        <f>"BEGE 2698"</f>
        <v>BEGE 2698</v>
      </c>
      <c r="K3134" s="6" t="str">
        <f>"5006"</f>
        <v>5006</v>
      </c>
      <c r="L3134" s="6" t="str">
        <f t="shared" si="713"/>
        <v>Roupões Adulto</v>
      </c>
      <c r="M3134" s="6" t="str">
        <f>"L"</f>
        <v>L</v>
      </c>
      <c r="N3134" s="6" t="str">
        <f>"5602972515466"</f>
        <v>5602972515466</v>
      </c>
      <c r="O3134" s="8">
        <v>72</v>
      </c>
      <c r="P3134" s="7">
        <v>45785</v>
      </c>
      <c r="R3134" s="8">
        <v>0</v>
      </c>
      <c r="S3134" s="7">
        <v>45790</v>
      </c>
      <c r="U3134" s="8">
        <v>0</v>
      </c>
      <c r="V3134" s="7">
        <v>45793</v>
      </c>
      <c r="X3134" s="8">
        <v>0</v>
      </c>
      <c r="Z3134" s="8">
        <v>0</v>
      </c>
      <c r="AA3134" s="7">
        <v>45805</v>
      </c>
      <c r="AC3134" s="8">
        <v>37</v>
      </c>
      <c r="AE3134" s="7">
        <v>45825</v>
      </c>
      <c r="AF3134" s="8">
        <v>37</v>
      </c>
      <c r="AH3134" s="7">
        <v>46006</v>
      </c>
      <c r="AI3134" s="7">
        <v>45821</v>
      </c>
      <c r="AN3134" s="8">
        <v>37</v>
      </c>
      <c r="AO3134" s="8">
        <v>35</v>
      </c>
    </row>
    <row r="3135" spans="1:41" x14ac:dyDescent="0.25">
      <c r="A3135" s="6" t="str">
        <f t="shared" si="714"/>
        <v>525-2025000169</v>
      </c>
      <c r="B3135" s="6" t="str">
        <f t="shared" si="697"/>
        <v>Lasa Int</v>
      </c>
      <c r="C3135" s="7">
        <v>45740</v>
      </c>
      <c r="D3135" s="7">
        <v>46068</v>
      </c>
      <c r="E3135" s="8">
        <v>4</v>
      </c>
      <c r="F3135" s="6" t="str">
        <f t="shared" si="715"/>
        <v>Horizon R</v>
      </c>
      <c r="G3135" s="6" t="str">
        <f t="shared" si="716"/>
        <v>R330377236000000</v>
      </c>
      <c r="H3135" s="6" t="str">
        <f t="shared" si="717"/>
        <v>R 3772 - PLA 3027 (m</v>
      </c>
      <c r="I3135" s="6" t="str">
        <f>"202698"</f>
        <v>202698</v>
      </c>
      <c r="J3135" s="6" t="str">
        <f>"BEGE 2698"</f>
        <v>BEGE 2698</v>
      </c>
      <c r="K3135" s="6" t="str">
        <f>"5008"</f>
        <v>5008</v>
      </c>
      <c r="L3135" s="6" t="str">
        <f t="shared" si="713"/>
        <v>Roupões Adulto</v>
      </c>
      <c r="M3135" s="6" t="str">
        <f>"XL"</f>
        <v>XL</v>
      </c>
      <c r="N3135" s="6" t="str">
        <f>"5602972515473"</f>
        <v>5602972515473</v>
      </c>
      <c r="O3135" s="8">
        <v>36</v>
      </c>
      <c r="P3135" s="7">
        <v>45785</v>
      </c>
      <c r="R3135" s="8">
        <v>0</v>
      </c>
      <c r="S3135" s="7">
        <v>45790</v>
      </c>
      <c r="U3135" s="8">
        <v>0</v>
      </c>
      <c r="V3135" s="7">
        <v>45793</v>
      </c>
      <c r="X3135" s="8">
        <v>0</v>
      </c>
      <c r="Z3135" s="8">
        <v>0</v>
      </c>
      <c r="AA3135" s="7">
        <v>45805</v>
      </c>
      <c r="AC3135" s="8">
        <v>23</v>
      </c>
      <c r="AE3135" s="7">
        <v>45825</v>
      </c>
      <c r="AF3135" s="8">
        <v>23</v>
      </c>
      <c r="AH3135" s="7">
        <v>46006</v>
      </c>
      <c r="AI3135" s="7">
        <v>45821</v>
      </c>
      <c r="AN3135" s="8">
        <v>23</v>
      </c>
      <c r="AO3135" s="8">
        <v>13</v>
      </c>
    </row>
    <row r="3136" spans="1:41" x14ac:dyDescent="0.25">
      <c r="A3136" s="6" t="str">
        <f t="shared" si="714"/>
        <v>525-2025000169</v>
      </c>
      <c r="B3136" s="6" t="str">
        <f t="shared" si="697"/>
        <v>Lasa Int</v>
      </c>
      <c r="C3136" s="7">
        <v>45740</v>
      </c>
      <c r="D3136" s="7">
        <v>46068</v>
      </c>
      <c r="E3136" s="8">
        <v>5</v>
      </c>
      <c r="F3136" s="6" t="str">
        <f t="shared" si="715"/>
        <v>Horizon R</v>
      </c>
      <c r="G3136" s="6" t="str">
        <f t="shared" si="716"/>
        <v>R330377236000000</v>
      </c>
      <c r="H3136" s="6" t="str">
        <f t="shared" si="717"/>
        <v>R 3772 - PLA 3027 (m</v>
      </c>
      <c r="I3136" s="6" t="str">
        <f>"203735"</f>
        <v>203735</v>
      </c>
      <c r="J3136" s="6" t="str">
        <f>"VERDE 3735"</f>
        <v>VERDE 3735</v>
      </c>
      <c r="K3136" s="6" t="str">
        <f>"5002"</f>
        <v>5002</v>
      </c>
      <c r="L3136" s="6" t="str">
        <f t="shared" si="713"/>
        <v>Roupões Adulto</v>
      </c>
      <c r="M3136" s="6" t="str">
        <f>"S"</f>
        <v>S</v>
      </c>
      <c r="N3136" s="6" t="str">
        <f>"5602972515480"</f>
        <v>5602972515480</v>
      </c>
      <c r="O3136" s="8">
        <v>36</v>
      </c>
      <c r="P3136" s="7">
        <v>45785</v>
      </c>
      <c r="R3136" s="8">
        <v>198</v>
      </c>
      <c r="S3136" s="7">
        <v>45790</v>
      </c>
      <c r="U3136" s="8">
        <v>198</v>
      </c>
      <c r="V3136" s="7">
        <v>45793</v>
      </c>
      <c r="X3136" s="8">
        <v>0</v>
      </c>
      <c r="Z3136" s="8">
        <v>0</v>
      </c>
      <c r="AA3136" s="7">
        <v>45805</v>
      </c>
      <c r="AC3136" s="8">
        <v>35</v>
      </c>
      <c r="AE3136" s="7">
        <v>45825</v>
      </c>
      <c r="AF3136" s="8">
        <v>35</v>
      </c>
      <c r="AH3136" s="7">
        <v>46006</v>
      </c>
      <c r="AI3136" s="7">
        <v>45821</v>
      </c>
      <c r="AN3136" s="8">
        <v>35</v>
      </c>
      <c r="AO3136" s="8">
        <v>1</v>
      </c>
    </row>
    <row r="3137" spans="1:41" x14ac:dyDescent="0.25">
      <c r="A3137" s="6" t="str">
        <f t="shared" si="714"/>
        <v>525-2025000169</v>
      </c>
      <c r="B3137" s="6" t="str">
        <f t="shared" si="697"/>
        <v>Lasa Int</v>
      </c>
      <c r="C3137" s="7">
        <v>45740</v>
      </c>
      <c r="D3137" s="7">
        <v>46068</v>
      </c>
      <c r="E3137" s="8">
        <v>6</v>
      </c>
      <c r="F3137" s="6" t="str">
        <f t="shared" si="715"/>
        <v>Horizon R</v>
      </c>
      <c r="G3137" s="6" t="str">
        <f t="shared" si="716"/>
        <v>R330377236000000</v>
      </c>
      <c r="H3137" s="6" t="str">
        <f t="shared" si="717"/>
        <v>R 3772 - PLA 3027 (m</v>
      </c>
      <c r="I3137" s="6" t="str">
        <f>"203735"</f>
        <v>203735</v>
      </c>
      <c r="J3137" s="6" t="str">
        <f>"VERDE 3735"</f>
        <v>VERDE 3735</v>
      </c>
      <c r="K3137" s="6" t="str">
        <f>"5004"</f>
        <v>5004</v>
      </c>
      <c r="L3137" s="6" t="str">
        <f t="shared" si="713"/>
        <v>Roupões Adulto</v>
      </c>
      <c r="M3137" s="6" t="str">
        <f>"M"</f>
        <v>M</v>
      </c>
      <c r="N3137" s="6" t="str">
        <f>"5602972515497"</f>
        <v>5602972515497</v>
      </c>
      <c r="O3137" s="8">
        <v>24</v>
      </c>
      <c r="P3137" s="7">
        <v>45785</v>
      </c>
      <c r="R3137" s="8">
        <v>0</v>
      </c>
      <c r="S3137" s="7">
        <v>45790</v>
      </c>
      <c r="U3137" s="8">
        <v>0</v>
      </c>
      <c r="V3137" s="7">
        <v>45793</v>
      </c>
      <c r="X3137" s="8">
        <v>0</v>
      </c>
      <c r="Z3137" s="8">
        <v>0</v>
      </c>
      <c r="AA3137" s="7">
        <v>45805</v>
      </c>
      <c r="AC3137" s="8">
        <v>21</v>
      </c>
      <c r="AE3137" s="7">
        <v>45825</v>
      </c>
      <c r="AF3137" s="8">
        <v>21</v>
      </c>
      <c r="AH3137" s="7">
        <v>46006</v>
      </c>
      <c r="AI3137" s="7">
        <v>45821</v>
      </c>
      <c r="AN3137" s="8">
        <v>21</v>
      </c>
      <c r="AO3137" s="8">
        <v>3</v>
      </c>
    </row>
    <row r="3138" spans="1:41" x14ac:dyDescent="0.25">
      <c r="A3138" s="6" t="str">
        <f t="shared" si="714"/>
        <v>525-2025000169</v>
      </c>
      <c r="B3138" s="6" t="str">
        <f t="shared" si="697"/>
        <v>Lasa Int</v>
      </c>
      <c r="C3138" s="7">
        <v>45740</v>
      </c>
      <c r="D3138" s="7">
        <v>46068</v>
      </c>
      <c r="E3138" s="8">
        <v>7</v>
      </c>
      <c r="F3138" s="6" t="str">
        <f t="shared" si="715"/>
        <v>Horizon R</v>
      </c>
      <c r="G3138" s="6" t="str">
        <f t="shared" si="716"/>
        <v>R330377236000000</v>
      </c>
      <c r="H3138" s="6" t="str">
        <f t="shared" si="717"/>
        <v>R 3772 - PLA 3027 (m</v>
      </c>
      <c r="I3138" s="6" t="str">
        <f>"203735"</f>
        <v>203735</v>
      </c>
      <c r="J3138" s="6" t="str">
        <f>"VERDE 3735"</f>
        <v>VERDE 3735</v>
      </c>
      <c r="K3138" s="6" t="str">
        <f>"5006"</f>
        <v>5006</v>
      </c>
      <c r="L3138" s="6" t="str">
        <f t="shared" si="713"/>
        <v>Roupões Adulto</v>
      </c>
      <c r="M3138" s="6" t="str">
        <f>"L"</f>
        <v>L</v>
      </c>
      <c r="N3138" s="6" t="str">
        <f>"5602972515503"</f>
        <v>5602972515503</v>
      </c>
      <c r="O3138" s="8">
        <v>24</v>
      </c>
      <c r="P3138" s="7">
        <v>45785</v>
      </c>
      <c r="R3138" s="8">
        <v>0</v>
      </c>
      <c r="S3138" s="7">
        <v>45790</v>
      </c>
      <c r="U3138" s="8">
        <v>0</v>
      </c>
      <c r="V3138" s="7">
        <v>45793</v>
      </c>
      <c r="X3138" s="8">
        <v>0</v>
      </c>
      <c r="Z3138" s="8">
        <v>0</v>
      </c>
      <c r="AA3138" s="7">
        <v>45805</v>
      </c>
      <c r="AC3138" s="8">
        <v>21</v>
      </c>
      <c r="AE3138" s="7">
        <v>45825</v>
      </c>
      <c r="AF3138" s="8">
        <v>21</v>
      </c>
      <c r="AH3138" s="7">
        <v>46006</v>
      </c>
      <c r="AI3138" s="7">
        <v>45821</v>
      </c>
      <c r="AN3138" s="8">
        <v>21</v>
      </c>
      <c r="AO3138" s="8">
        <v>3</v>
      </c>
    </row>
    <row r="3139" spans="1:41" x14ac:dyDescent="0.25">
      <c r="A3139" s="6" t="str">
        <f t="shared" si="714"/>
        <v>525-2025000169</v>
      </c>
      <c r="B3139" s="6" t="str">
        <f t="shared" si="697"/>
        <v>Lasa Int</v>
      </c>
      <c r="C3139" s="7">
        <v>45740</v>
      </c>
      <c r="D3139" s="7">
        <v>46068</v>
      </c>
      <c r="E3139" s="8">
        <v>8</v>
      </c>
      <c r="F3139" s="6" t="str">
        <f t="shared" si="715"/>
        <v>Horizon R</v>
      </c>
      <c r="G3139" s="6" t="str">
        <f t="shared" si="716"/>
        <v>R330377236000000</v>
      </c>
      <c r="H3139" s="6" t="str">
        <f t="shared" si="717"/>
        <v>R 3772 - PLA 3027 (m</v>
      </c>
      <c r="I3139" s="6" t="str">
        <f>"203735"</f>
        <v>203735</v>
      </c>
      <c r="J3139" s="6" t="str">
        <f>"VERDE 3735"</f>
        <v>VERDE 3735</v>
      </c>
      <c r="K3139" s="6" t="str">
        <f>"5008"</f>
        <v>5008</v>
      </c>
      <c r="L3139" s="6" t="str">
        <f t="shared" si="713"/>
        <v>Roupões Adulto</v>
      </c>
      <c r="M3139" s="6" t="str">
        <f>"XL"</f>
        <v>XL</v>
      </c>
      <c r="N3139" s="6" t="str">
        <f>"5602972515510"</f>
        <v>5602972515510</v>
      </c>
      <c r="O3139" s="8">
        <v>12</v>
      </c>
      <c r="P3139" s="7">
        <v>45785</v>
      </c>
      <c r="R3139" s="8">
        <v>0</v>
      </c>
      <c r="S3139" s="7">
        <v>45790</v>
      </c>
      <c r="U3139" s="8">
        <v>0</v>
      </c>
      <c r="V3139" s="7">
        <v>45793</v>
      </c>
      <c r="X3139" s="8">
        <v>0</v>
      </c>
      <c r="Z3139" s="8">
        <v>0</v>
      </c>
      <c r="AA3139" s="7">
        <v>45805</v>
      </c>
      <c r="AC3139" s="8">
        <v>8</v>
      </c>
      <c r="AE3139" s="7">
        <v>45825</v>
      </c>
      <c r="AF3139" s="8">
        <v>8</v>
      </c>
      <c r="AH3139" s="7">
        <v>46006</v>
      </c>
      <c r="AI3139" s="7">
        <v>45821</v>
      </c>
      <c r="AN3139" s="8">
        <v>8</v>
      </c>
      <c r="AO3139" s="8">
        <v>4</v>
      </c>
    </row>
    <row r="3140" spans="1:41" x14ac:dyDescent="0.25">
      <c r="A3140" s="6" t="str">
        <f>"525-2025000196"</f>
        <v>525-2025000196</v>
      </c>
      <c r="B3140" s="6" t="str">
        <f t="shared" si="697"/>
        <v>Lasa Int</v>
      </c>
      <c r="C3140" s="7">
        <v>45747</v>
      </c>
      <c r="D3140" s="7">
        <v>46037</v>
      </c>
      <c r="E3140" s="8">
        <v>1</v>
      </c>
      <c r="F3140" s="6" t="str">
        <f>"Efficience R"</f>
        <v>Efficience R</v>
      </c>
      <c r="G3140" s="6" t="str">
        <f>"R320364338000000"</f>
        <v>R320364338000000</v>
      </c>
      <c r="H3140" s="6" t="str">
        <f>"R 3643 - PL RC 1152"</f>
        <v>R 3643 - PL RC 1152</v>
      </c>
      <c r="I3140" s="6" t="str">
        <f>"204304"</f>
        <v>204304</v>
      </c>
      <c r="J3140" s="6" t="str">
        <f>"ROSA 4304"</f>
        <v>ROSA 4304</v>
      </c>
      <c r="K3140" s="6" t="str">
        <f>"5002"</f>
        <v>5002</v>
      </c>
      <c r="L3140" s="6" t="str">
        <f t="shared" si="713"/>
        <v>Roupões Adulto</v>
      </c>
      <c r="M3140" s="6" t="str">
        <f>"S"</f>
        <v>S</v>
      </c>
      <c r="N3140" s="6" t="str">
        <f>"5602972501605"</f>
        <v>5602972501605</v>
      </c>
      <c r="O3140" s="8">
        <v>60</v>
      </c>
      <c r="P3140" s="7">
        <v>45785</v>
      </c>
      <c r="R3140" s="8">
        <v>419</v>
      </c>
      <c r="S3140" s="7">
        <v>45790</v>
      </c>
      <c r="U3140" s="8">
        <v>419</v>
      </c>
      <c r="V3140" s="7">
        <v>45793</v>
      </c>
      <c r="X3140" s="8">
        <v>419</v>
      </c>
      <c r="Z3140" s="8">
        <v>0</v>
      </c>
      <c r="AA3140" s="7">
        <v>45805</v>
      </c>
      <c r="AC3140" s="8">
        <v>57</v>
      </c>
      <c r="AE3140" s="7">
        <v>45825</v>
      </c>
      <c r="AF3140" s="8">
        <v>57</v>
      </c>
      <c r="AH3140" s="7">
        <v>46037</v>
      </c>
      <c r="AI3140" s="7">
        <v>45821</v>
      </c>
      <c r="AN3140" s="8">
        <v>57</v>
      </c>
      <c r="AO3140" s="8">
        <v>3</v>
      </c>
    </row>
    <row r="3141" spans="1:41" x14ac:dyDescent="0.25">
      <c r="A3141" s="6" t="str">
        <f>"525-2025000196"</f>
        <v>525-2025000196</v>
      </c>
      <c r="B3141" s="6" t="str">
        <f t="shared" si="697"/>
        <v>Lasa Int</v>
      </c>
      <c r="C3141" s="7">
        <v>45747</v>
      </c>
      <c r="D3141" s="7">
        <v>46037</v>
      </c>
      <c r="E3141" s="8">
        <v>2</v>
      </c>
      <c r="F3141" s="6" t="str">
        <f>"Efficience R"</f>
        <v>Efficience R</v>
      </c>
      <c r="G3141" s="6" t="str">
        <f>"R320364338000000"</f>
        <v>R320364338000000</v>
      </c>
      <c r="H3141" s="6" t="str">
        <f>"R 3643 - PL RC 1152"</f>
        <v>R 3643 - PL RC 1152</v>
      </c>
      <c r="I3141" s="6" t="str">
        <f>"204304"</f>
        <v>204304</v>
      </c>
      <c r="J3141" s="6" t="str">
        <f>"ROSA 4304"</f>
        <v>ROSA 4304</v>
      </c>
      <c r="K3141" s="6" t="str">
        <f>"5004"</f>
        <v>5004</v>
      </c>
      <c r="L3141" s="6" t="str">
        <f t="shared" si="713"/>
        <v>Roupões Adulto</v>
      </c>
      <c r="M3141" s="6" t="str">
        <f>"M"</f>
        <v>M</v>
      </c>
      <c r="N3141" s="6" t="str">
        <f>"5602972501612"</f>
        <v>5602972501612</v>
      </c>
      <c r="O3141" s="8">
        <v>48</v>
      </c>
      <c r="P3141" s="7">
        <v>45785</v>
      </c>
      <c r="R3141" s="8">
        <v>0</v>
      </c>
      <c r="S3141" s="7">
        <v>45790</v>
      </c>
      <c r="U3141" s="8">
        <v>0</v>
      </c>
      <c r="V3141" s="7">
        <v>45793</v>
      </c>
      <c r="X3141" s="8">
        <v>0</v>
      </c>
      <c r="Z3141" s="8">
        <v>0</v>
      </c>
      <c r="AA3141" s="7">
        <v>45805</v>
      </c>
      <c r="AC3141" s="8">
        <v>40</v>
      </c>
      <c r="AE3141" s="7">
        <v>45825</v>
      </c>
      <c r="AF3141" s="8">
        <v>40</v>
      </c>
      <c r="AH3141" s="7">
        <v>46037</v>
      </c>
      <c r="AI3141" s="7">
        <v>45821</v>
      </c>
      <c r="AN3141" s="8">
        <v>40</v>
      </c>
      <c r="AO3141" s="8">
        <v>8</v>
      </c>
    </row>
    <row r="3142" spans="1:41" x14ac:dyDescent="0.25">
      <c r="A3142" s="6" t="str">
        <f>"525-2025000196"</f>
        <v>525-2025000196</v>
      </c>
      <c r="B3142" s="6" t="str">
        <f t="shared" si="697"/>
        <v>Lasa Int</v>
      </c>
      <c r="C3142" s="7">
        <v>45747</v>
      </c>
      <c r="D3142" s="7">
        <v>46037</v>
      </c>
      <c r="E3142" s="8">
        <v>3</v>
      </c>
      <c r="F3142" s="6" t="str">
        <f>"Efficience R"</f>
        <v>Efficience R</v>
      </c>
      <c r="G3142" s="6" t="str">
        <f>"R320364338000000"</f>
        <v>R320364338000000</v>
      </c>
      <c r="H3142" s="6" t="str">
        <f>"R 3643 - PL RC 1152"</f>
        <v>R 3643 - PL RC 1152</v>
      </c>
      <c r="I3142" s="6" t="str">
        <f>"204304"</f>
        <v>204304</v>
      </c>
      <c r="J3142" s="6" t="str">
        <f>"ROSA 4304"</f>
        <v>ROSA 4304</v>
      </c>
      <c r="K3142" s="6" t="str">
        <f>"5006"</f>
        <v>5006</v>
      </c>
      <c r="L3142" s="6" t="str">
        <f t="shared" si="713"/>
        <v>Roupões Adulto</v>
      </c>
      <c r="M3142" s="6" t="str">
        <f>"L"</f>
        <v>L</v>
      </c>
      <c r="N3142" s="6" t="str">
        <f>"5602972501629"</f>
        <v>5602972501629</v>
      </c>
      <c r="O3142" s="8">
        <v>60</v>
      </c>
      <c r="P3142" s="7">
        <v>45785</v>
      </c>
      <c r="R3142" s="8">
        <v>0</v>
      </c>
      <c r="S3142" s="7">
        <v>45790</v>
      </c>
      <c r="U3142" s="8">
        <v>0</v>
      </c>
      <c r="V3142" s="7">
        <v>45793</v>
      </c>
      <c r="X3142" s="8">
        <v>0</v>
      </c>
      <c r="Z3142" s="8">
        <v>0</v>
      </c>
      <c r="AA3142" s="7">
        <v>45805</v>
      </c>
      <c r="AC3142" s="8">
        <v>57</v>
      </c>
      <c r="AE3142" s="7">
        <v>45825</v>
      </c>
      <c r="AF3142" s="8">
        <v>57</v>
      </c>
      <c r="AH3142" s="7">
        <v>46037</v>
      </c>
      <c r="AI3142" s="7">
        <v>45821</v>
      </c>
      <c r="AN3142" s="8">
        <v>57</v>
      </c>
      <c r="AO3142" s="8">
        <v>3</v>
      </c>
    </row>
    <row r="3143" spans="1:41" x14ac:dyDescent="0.25">
      <c r="A3143" s="6" t="str">
        <f>"525-2025000196"</f>
        <v>525-2025000196</v>
      </c>
      <c r="B3143" s="6" t="str">
        <f t="shared" si="697"/>
        <v>Lasa Int</v>
      </c>
      <c r="C3143" s="7">
        <v>45747</v>
      </c>
      <c r="D3143" s="7">
        <v>46037</v>
      </c>
      <c r="E3143" s="8">
        <v>4</v>
      </c>
      <c r="F3143" s="6" t="str">
        <f>"Efficience R"</f>
        <v>Efficience R</v>
      </c>
      <c r="G3143" s="6" t="str">
        <f>"R320364338000000"</f>
        <v>R320364338000000</v>
      </c>
      <c r="H3143" s="6" t="str">
        <f>"R 3643 - PL RC 1152"</f>
        <v>R 3643 - PL RC 1152</v>
      </c>
      <c r="I3143" s="6" t="str">
        <f>"204304"</f>
        <v>204304</v>
      </c>
      <c r="J3143" s="6" t="str">
        <f>"ROSA 4304"</f>
        <v>ROSA 4304</v>
      </c>
      <c r="K3143" s="6" t="str">
        <f>"5008"</f>
        <v>5008</v>
      </c>
      <c r="L3143" s="6" t="str">
        <f t="shared" si="713"/>
        <v>Roupões Adulto</v>
      </c>
      <c r="M3143" s="6" t="str">
        <f>"XL"</f>
        <v>XL</v>
      </c>
      <c r="N3143" s="6" t="str">
        <f>"5602972501636"</f>
        <v>5602972501636</v>
      </c>
      <c r="O3143" s="8">
        <v>48</v>
      </c>
      <c r="P3143" s="7">
        <v>45785</v>
      </c>
      <c r="R3143" s="8">
        <v>0</v>
      </c>
      <c r="S3143" s="7">
        <v>45790</v>
      </c>
      <c r="U3143" s="8">
        <v>0</v>
      </c>
      <c r="V3143" s="7">
        <v>45793</v>
      </c>
      <c r="X3143" s="8">
        <v>0</v>
      </c>
      <c r="Z3143" s="8">
        <v>0</v>
      </c>
      <c r="AA3143" s="7">
        <v>45805</v>
      </c>
      <c r="AC3143" s="8">
        <v>44</v>
      </c>
      <c r="AE3143" s="7">
        <v>45825</v>
      </c>
      <c r="AF3143" s="8">
        <v>44</v>
      </c>
      <c r="AH3143" s="7">
        <v>46037</v>
      </c>
      <c r="AI3143" s="7">
        <v>45821</v>
      </c>
      <c r="AN3143" s="8">
        <v>44</v>
      </c>
      <c r="AO3143" s="8">
        <v>4</v>
      </c>
    </row>
    <row r="3144" spans="1:41" x14ac:dyDescent="0.25">
      <c r="A3144" s="6" t="str">
        <f t="shared" ref="A3144:A3150" si="718">"525-2025000209"</f>
        <v>525-2025000209</v>
      </c>
      <c r="B3144" s="6" t="str">
        <f t="shared" si="697"/>
        <v>Lasa Int</v>
      </c>
      <c r="C3144" s="7">
        <v>45751</v>
      </c>
      <c r="D3144" s="7">
        <v>46037</v>
      </c>
      <c r="E3144" s="8">
        <v>1</v>
      </c>
      <c r="F3144" s="6" t="str">
        <f t="shared" ref="F3144:F3150" si="719">"Zebra soft"</f>
        <v>Zebra soft</v>
      </c>
      <c r="G3144" s="6" t="str">
        <f>"R310331338000000"</f>
        <v>R310331338000000</v>
      </c>
      <c r="H3144" s="6" t="str">
        <f>"R 3313 (c) - PLAR 50"</f>
        <v>R 3313 (c) - PLAR 50</v>
      </c>
      <c r="I3144" s="6" t="str">
        <f t="shared" ref="I3144:I3150" si="720">"202698"</f>
        <v>202698</v>
      </c>
      <c r="J3144" s="6" t="str">
        <f t="shared" ref="J3144:J3150" si="721">"BEGE 2698"</f>
        <v>BEGE 2698</v>
      </c>
      <c r="K3144" s="6" t="str">
        <f>"5002"</f>
        <v>5002</v>
      </c>
      <c r="L3144" s="6" t="str">
        <f t="shared" si="713"/>
        <v>Roupões Adulto</v>
      </c>
      <c r="M3144" s="6" t="str">
        <f>"S"</f>
        <v>S</v>
      </c>
      <c r="N3144" s="6" t="str">
        <f>"5602972511987"</f>
        <v>5602972511987</v>
      </c>
      <c r="O3144" s="8">
        <v>96</v>
      </c>
      <c r="P3144" s="7">
        <v>45792</v>
      </c>
      <c r="R3144" s="8">
        <v>633</v>
      </c>
      <c r="S3144" s="7">
        <v>45797</v>
      </c>
      <c r="U3144" s="8">
        <v>590</v>
      </c>
      <c r="V3144" s="7">
        <v>45800</v>
      </c>
      <c r="X3144" s="8">
        <v>590</v>
      </c>
      <c r="Z3144" s="8">
        <v>0</v>
      </c>
      <c r="AA3144" s="7">
        <v>45812</v>
      </c>
      <c r="AC3144" s="8">
        <v>80</v>
      </c>
      <c r="AE3144" s="7">
        <v>45838</v>
      </c>
      <c r="AF3144" s="8">
        <v>80</v>
      </c>
      <c r="AH3144" s="7">
        <v>45915</v>
      </c>
      <c r="AI3144" s="7">
        <v>45834</v>
      </c>
      <c r="AN3144" s="8">
        <v>80</v>
      </c>
      <c r="AO3144" s="8">
        <v>16</v>
      </c>
    </row>
    <row r="3145" spans="1:41" x14ac:dyDescent="0.25">
      <c r="A3145" s="6" t="str">
        <f t="shared" si="718"/>
        <v>525-2025000209</v>
      </c>
      <c r="B3145" s="6" t="str">
        <f t="shared" si="697"/>
        <v>Lasa Int</v>
      </c>
      <c r="C3145" s="7">
        <v>45751</v>
      </c>
      <c r="D3145" s="7">
        <v>46037</v>
      </c>
      <c r="E3145" s="8">
        <v>2</v>
      </c>
      <c r="F3145" s="6" t="str">
        <f t="shared" si="719"/>
        <v>Zebra soft</v>
      </c>
      <c r="G3145" s="6" t="str">
        <f>"R310331338000000"</f>
        <v>R310331338000000</v>
      </c>
      <c r="H3145" s="6" t="str">
        <f>"R 3313 (c) - PLAR 50"</f>
        <v>R 3313 (c) - PLAR 50</v>
      </c>
      <c r="I3145" s="6" t="str">
        <f t="shared" si="720"/>
        <v>202698</v>
      </c>
      <c r="J3145" s="6" t="str">
        <f t="shared" si="721"/>
        <v>BEGE 2698</v>
      </c>
      <c r="K3145" s="6" t="str">
        <f>"5004"</f>
        <v>5004</v>
      </c>
      <c r="L3145" s="6" t="str">
        <f t="shared" si="713"/>
        <v>Roupões Adulto</v>
      </c>
      <c r="M3145" s="6" t="str">
        <f>"M"</f>
        <v>M</v>
      </c>
      <c r="N3145" s="6" t="str">
        <f>"5602972511994"</f>
        <v>5602972511994</v>
      </c>
      <c r="O3145" s="8">
        <v>108</v>
      </c>
      <c r="P3145" s="7">
        <v>45792</v>
      </c>
      <c r="R3145" s="8">
        <v>0</v>
      </c>
      <c r="S3145" s="7">
        <v>45797</v>
      </c>
      <c r="U3145" s="8">
        <v>0</v>
      </c>
      <c r="V3145" s="7">
        <v>45800</v>
      </c>
      <c r="X3145" s="8">
        <v>0</v>
      </c>
      <c r="Z3145" s="8">
        <v>0</v>
      </c>
      <c r="AA3145" s="7">
        <v>45812</v>
      </c>
      <c r="AC3145" s="8">
        <v>101</v>
      </c>
      <c r="AE3145" s="7">
        <v>45838</v>
      </c>
      <c r="AF3145" s="8">
        <v>101</v>
      </c>
      <c r="AH3145" s="7">
        <v>45915</v>
      </c>
      <c r="AI3145" s="7">
        <v>45834</v>
      </c>
      <c r="AN3145" s="8">
        <v>101</v>
      </c>
      <c r="AO3145" s="8">
        <v>7</v>
      </c>
    </row>
    <row r="3146" spans="1:41" x14ac:dyDescent="0.25">
      <c r="A3146" s="6" t="str">
        <f t="shared" si="718"/>
        <v>525-2025000209</v>
      </c>
      <c r="B3146" s="6" t="str">
        <f t="shared" si="697"/>
        <v>Lasa Int</v>
      </c>
      <c r="C3146" s="7">
        <v>45751</v>
      </c>
      <c r="D3146" s="7">
        <v>46037</v>
      </c>
      <c r="E3146" s="8">
        <v>3</v>
      </c>
      <c r="F3146" s="6" t="str">
        <f t="shared" si="719"/>
        <v>Zebra soft</v>
      </c>
      <c r="G3146" s="6" t="str">
        <f>"R310331338000000"</f>
        <v>R310331338000000</v>
      </c>
      <c r="H3146" s="6" t="str">
        <f>"R 3313 (c) - PLAR 50"</f>
        <v>R 3313 (c) - PLAR 50</v>
      </c>
      <c r="I3146" s="6" t="str">
        <f t="shared" si="720"/>
        <v>202698</v>
      </c>
      <c r="J3146" s="6" t="str">
        <f t="shared" si="721"/>
        <v>BEGE 2698</v>
      </c>
      <c r="K3146" s="6" t="str">
        <f>"5006"</f>
        <v>5006</v>
      </c>
      <c r="L3146" s="6" t="str">
        <f t="shared" si="713"/>
        <v>Roupões Adulto</v>
      </c>
      <c r="M3146" s="6" t="str">
        <f>"L"</f>
        <v>L</v>
      </c>
      <c r="N3146" s="6" t="str">
        <f>"5602972512007"</f>
        <v>5602972512007</v>
      </c>
      <c r="O3146" s="8">
        <v>84</v>
      </c>
      <c r="P3146" s="7">
        <v>45792</v>
      </c>
      <c r="R3146" s="8">
        <v>0</v>
      </c>
      <c r="S3146" s="7">
        <v>45797</v>
      </c>
      <c r="U3146" s="8">
        <v>0</v>
      </c>
      <c r="V3146" s="7">
        <v>45800</v>
      </c>
      <c r="X3146" s="8">
        <v>0</v>
      </c>
      <c r="Z3146" s="8">
        <v>0</v>
      </c>
      <c r="AA3146" s="7">
        <v>45812</v>
      </c>
      <c r="AC3146" s="8">
        <v>60</v>
      </c>
      <c r="AE3146" s="7">
        <v>45838</v>
      </c>
      <c r="AF3146" s="8">
        <v>60</v>
      </c>
      <c r="AH3146" s="7">
        <v>45915</v>
      </c>
      <c r="AI3146" s="7">
        <v>45834</v>
      </c>
      <c r="AN3146" s="8">
        <v>60</v>
      </c>
      <c r="AO3146" s="8">
        <v>24</v>
      </c>
    </row>
    <row r="3147" spans="1:41" x14ac:dyDescent="0.25">
      <c r="A3147" s="6" t="str">
        <f t="shared" si="718"/>
        <v>525-2025000209</v>
      </c>
      <c r="B3147" s="6" t="str">
        <f t="shared" si="697"/>
        <v>Lasa Int</v>
      </c>
      <c r="C3147" s="7">
        <v>45751</v>
      </c>
      <c r="D3147" s="7">
        <v>46037</v>
      </c>
      <c r="E3147" s="8">
        <v>4</v>
      </c>
      <c r="F3147" s="6" t="str">
        <f t="shared" si="719"/>
        <v>Zebra soft</v>
      </c>
      <c r="G3147" s="6" t="str">
        <f>"R310331338000000"</f>
        <v>R310331338000000</v>
      </c>
      <c r="H3147" s="6" t="str">
        <f>"R 3313 (c) - PLAR 50"</f>
        <v>R 3313 (c) - PLAR 50</v>
      </c>
      <c r="I3147" s="6" t="str">
        <f t="shared" si="720"/>
        <v>202698</v>
      </c>
      <c r="J3147" s="6" t="str">
        <f t="shared" si="721"/>
        <v>BEGE 2698</v>
      </c>
      <c r="K3147" s="6" t="str">
        <f>"5008"</f>
        <v>5008</v>
      </c>
      <c r="L3147" s="6" t="str">
        <f t="shared" si="713"/>
        <v>Roupões Adulto</v>
      </c>
      <c r="M3147" s="6" t="str">
        <f>"XL"</f>
        <v>XL</v>
      </c>
      <c r="N3147" s="6" t="str">
        <f>"5602972512014"</f>
        <v>5602972512014</v>
      </c>
      <c r="O3147" s="8">
        <v>36</v>
      </c>
      <c r="P3147" s="7">
        <v>45792</v>
      </c>
      <c r="R3147" s="8">
        <v>0</v>
      </c>
      <c r="S3147" s="7">
        <v>45797</v>
      </c>
      <c r="U3147" s="8">
        <v>0</v>
      </c>
      <c r="V3147" s="7">
        <v>45800</v>
      </c>
      <c r="X3147" s="8">
        <v>0</v>
      </c>
      <c r="Z3147" s="8">
        <v>0</v>
      </c>
      <c r="AA3147" s="7">
        <v>45812</v>
      </c>
      <c r="AC3147" s="8">
        <v>33</v>
      </c>
      <c r="AE3147" s="7">
        <v>45838</v>
      </c>
      <c r="AF3147" s="8">
        <v>33</v>
      </c>
      <c r="AH3147" s="7">
        <v>45915</v>
      </c>
      <c r="AI3147" s="7">
        <v>45834</v>
      </c>
      <c r="AN3147" s="8">
        <v>33</v>
      </c>
      <c r="AO3147" s="8">
        <v>3</v>
      </c>
    </row>
    <row r="3148" spans="1:41" x14ac:dyDescent="0.25">
      <c r="A3148" s="6" t="str">
        <f t="shared" si="718"/>
        <v>525-2025000209</v>
      </c>
      <c r="B3148" s="6" t="str">
        <f t="shared" si="697"/>
        <v>Lasa Int</v>
      </c>
      <c r="C3148" s="7">
        <v>45751</v>
      </c>
      <c r="D3148" s="7">
        <v>46037</v>
      </c>
      <c r="E3148" s="8">
        <v>5</v>
      </c>
      <c r="F3148" s="6" t="str">
        <f t="shared" si="719"/>
        <v>Zebra soft</v>
      </c>
      <c r="G3148" s="6" t="str">
        <f>"K310157138000000"</f>
        <v>K310157138000000</v>
      </c>
      <c r="H3148" s="6" t="str">
        <f>"KB 1571 (c) - PLAR 5"</f>
        <v>KB 1571 (c) - PLAR 5</v>
      </c>
      <c r="I3148" s="6" t="str">
        <f t="shared" si="720"/>
        <v>202698</v>
      </c>
      <c r="J3148" s="6" t="str">
        <f t="shared" si="721"/>
        <v>BEGE 2698</v>
      </c>
      <c r="K3148" s="6" t="str">
        <f>"8501"</f>
        <v>8501</v>
      </c>
      <c r="L3148" s="6" t="str">
        <f>"Bolsas"</f>
        <v>Bolsas</v>
      </c>
      <c r="M3148" s="6" t="str">
        <f>"Único"</f>
        <v>Único</v>
      </c>
      <c r="N3148" s="6" t="str">
        <f>"5602972512021"</f>
        <v>5602972512021</v>
      </c>
      <c r="O3148" s="8">
        <v>120</v>
      </c>
      <c r="P3148" s="7">
        <v>45792</v>
      </c>
      <c r="R3148" s="8">
        <v>0</v>
      </c>
      <c r="S3148" s="7">
        <v>45797</v>
      </c>
      <c r="U3148" s="8">
        <v>0</v>
      </c>
      <c r="V3148" s="7">
        <v>45800</v>
      </c>
      <c r="X3148" s="8">
        <v>0</v>
      </c>
      <c r="Z3148" s="8">
        <v>0</v>
      </c>
      <c r="AA3148" s="7">
        <v>45812</v>
      </c>
      <c r="AC3148" s="8">
        <v>131</v>
      </c>
      <c r="AE3148" s="7">
        <v>45838</v>
      </c>
      <c r="AF3148" s="8">
        <v>131</v>
      </c>
      <c r="AH3148" s="7">
        <v>45915</v>
      </c>
      <c r="AI3148" s="7">
        <v>45834</v>
      </c>
      <c r="AN3148" s="8">
        <v>131</v>
      </c>
      <c r="AO3148" s="8">
        <v>-11</v>
      </c>
    </row>
    <row r="3149" spans="1:41" x14ac:dyDescent="0.25">
      <c r="A3149" s="6" t="str">
        <f t="shared" si="718"/>
        <v>525-2025000209</v>
      </c>
      <c r="B3149" s="6" t="str">
        <f t="shared" ref="B3149:B3212" si="722">"Lasa Int"</f>
        <v>Lasa Int</v>
      </c>
      <c r="C3149" s="7">
        <v>45751</v>
      </c>
      <c r="D3149" s="7">
        <v>46037</v>
      </c>
      <c r="E3149" s="8">
        <v>6</v>
      </c>
      <c r="F3149" s="6" t="str">
        <f t="shared" si="719"/>
        <v>Zebra soft</v>
      </c>
      <c r="G3149" s="6" t="str">
        <f>"K310157238000000"</f>
        <v>K310157238000000</v>
      </c>
      <c r="H3149" s="6" t="str">
        <f>"KB 1572 (c) - PLAR 5"</f>
        <v>KB 1572 (c) - PLAR 5</v>
      </c>
      <c r="I3149" s="6" t="str">
        <f t="shared" si="720"/>
        <v>202698</v>
      </c>
      <c r="J3149" s="6" t="str">
        <f t="shared" si="721"/>
        <v>BEGE 2698</v>
      </c>
      <c r="K3149" s="6" t="str">
        <f>"4865"</f>
        <v>4865</v>
      </c>
      <c r="L3149" s="6" t="str">
        <f>"Chinelos"</f>
        <v>Chinelos</v>
      </c>
      <c r="M3149" s="6" t="str">
        <f>"Tamanho S/"</f>
        <v>Tamanho S/</v>
      </c>
      <c r="N3149" s="6" t="str">
        <f>"5602972512038"</f>
        <v>5602972512038</v>
      </c>
      <c r="O3149" s="8">
        <v>96</v>
      </c>
      <c r="P3149" s="7">
        <v>45792</v>
      </c>
      <c r="R3149" s="8">
        <v>0</v>
      </c>
      <c r="S3149" s="7">
        <v>45797</v>
      </c>
      <c r="U3149" s="8">
        <v>0</v>
      </c>
      <c r="V3149" s="7">
        <v>45800</v>
      </c>
      <c r="X3149" s="8">
        <v>0</v>
      </c>
      <c r="Z3149" s="8">
        <v>0</v>
      </c>
      <c r="AA3149" s="7">
        <v>45812</v>
      </c>
      <c r="AC3149" s="8">
        <v>101</v>
      </c>
      <c r="AE3149" s="7">
        <v>45838</v>
      </c>
      <c r="AF3149" s="8">
        <v>101</v>
      </c>
      <c r="AH3149" s="7">
        <v>45915</v>
      </c>
      <c r="AI3149" s="7">
        <v>45834</v>
      </c>
      <c r="AN3149" s="8">
        <v>101</v>
      </c>
      <c r="AO3149" s="8">
        <v>-5</v>
      </c>
    </row>
    <row r="3150" spans="1:41" x14ac:dyDescent="0.25">
      <c r="A3150" s="6" t="str">
        <f t="shared" si="718"/>
        <v>525-2025000209</v>
      </c>
      <c r="B3150" s="6" t="str">
        <f t="shared" si="722"/>
        <v>Lasa Int</v>
      </c>
      <c r="C3150" s="7">
        <v>45751</v>
      </c>
      <c r="D3150" s="7">
        <v>46037</v>
      </c>
      <c r="E3150" s="8">
        <v>7</v>
      </c>
      <c r="F3150" s="6" t="str">
        <f t="shared" si="719"/>
        <v>Zebra soft</v>
      </c>
      <c r="G3150" s="6" t="str">
        <f>"K310157238000000"</f>
        <v>K310157238000000</v>
      </c>
      <c r="H3150" s="6" t="str">
        <f>"KB 1572 (c) - PLAR 5"</f>
        <v>KB 1572 (c) - PLAR 5</v>
      </c>
      <c r="I3150" s="6" t="str">
        <f t="shared" si="720"/>
        <v>202698</v>
      </c>
      <c r="J3150" s="6" t="str">
        <f t="shared" si="721"/>
        <v>BEGE 2698</v>
      </c>
      <c r="K3150" s="6" t="str">
        <f>"4867"</f>
        <v>4867</v>
      </c>
      <c r="L3150" s="6" t="str">
        <f>"Chinelos"</f>
        <v>Chinelos</v>
      </c>
      <c r="M3150" s="6" t="str">
        <f>"Tamanho L/"</f>
        <v>Tamanho L/</v>
      </c>
      <c r="N3150" s="6" t="str">
        <f>"5602972512045"</f>
        <v>5602972512045</v>
      </c>
      <c r="O3150" s="8">
        <v>60</v>
      </c>
      <c r="P3150" s="7">
        <v>45792</v>
      </c>
      <c r="R3150" s="8">
        <v>0</v>
      </c>
      <c r="S3150" s="7">
        <v>45797</v>
      </c>
      <c r="U3150" s="8">
        <v>0</v>
      </c>
      <c r="V3150" s="7">
        <v>45800</v>
      </c>
      <c r="X3150" s="8">
        <v>0</v>
      </c>
      <c r="Z3150" s="8">
        <v>0</v>
      </c>
      <c r="AA3150" s="7">
        <v>45812</v>
      </c>
      <c r="AC3150" s="8">
        <v>63</v>
      </c>
      <c r="AE3150" s="7">
        <v>45838</v>
      </c>
      <c r="AF3150" s="8">
        <v>63</v>
      </c>
      <c r="AH3150" s="7">
        <v>45915</v>
      </c>
      <c r="AI3150" s="7">
        <v>45834</v>
      </c>
      <c r="AN3150" s="8">
        <v>63</v>
      </c>
      <c r="AO3150" s="8">
        <v>-3</v>
      </c>
    </row>
    <row r="3151" spans="1:41" x14ac:dyDescent="0.25">
      <c r="A3151" s="6" t="str">
        <f t="shared" ref="A3151:A3161" si="723">"525-2025000214"</f>
        <v>525-2025000214</v>
      </c>
      <c r="B3151" s="6" t="str">
        <f t="shared" si="722"/>
        <v>Lasa Int</v>
      </c>
      <c r="C3151" s="7">
        <v>45754</v>
      </c>
      <c r="D3151" s="7">
        <v>46059</v>
      </c>
      <c r="E3151" s="8">
        <v>1</v>
      </c>
      <c r="F3151" s="6" t="str">
        <f t="shared" ref="F3151:F3161" si="724">"PURE R"</f>
        <v>PURE R</v>
      </c>
      <c r="G3151" s="6" t="str">
        <f>"R010000635000000"</f>
        <v>R010000635000000</v>
      </c>
      <c r="H3151" s="6" t="str">
        <f>"Alexis Cotoral Pure"</f>
        <v>Alexis Cotoral Pure</v>
      </c>
      <c r="I3151" s="6" t="str">
        <f t="shared" ref="I3151:I3161" si="725">"121"</f>
        <v>121</v>
      </c>
      <c r="J3151" s="6" t="str">
        <f t="shared" ref="J3151:J3161" si="726">"ROSA 121"</f>
        <v>ROSA 121</v>
      </c>
      <c r="K3151" s="6" t="str">
        <f>"5002"</f>
        <v>5002</v>
      </c>
      <c r="L3151" s="6" t="str">
        <f>"Roupões Adulto"</f>
        <v>Roupões Adulto</v>
      </c>
      <c r="M3151" s="6" t="str">
        <f>"S"</f>
        <v>S</v>
      </c>
      <c r="N3151" s="6" t="str">
        <f>"5602972637823"</f>
        <v>5602972637823</v>
      </c>
      <c r="O3151" s="8">
        <v>48</v>
      </c>
      <c r="P3151" s="7">
        <v>45754</v>
      </c>
      <c r="R3151" s="8">
        <v>0</v>
      </c>
      <c r="S3151" s="7">
        <v>45757</v>
      </c>
      <c r="U3151" s="8">
        <v>945</v>
      </c>
      <c r="V3151" s="7">
        <v>45769</v>
      </c>
      <c r="X3151" s="8">
        <v>945</v>
      </c>
      <c r="Z3151" s="8">
        <v>0</v>
      </c>
      <c r="AA3151" s="7">
        <v>45784</v>
      </c>
      <c r="AC3151" s="8">
        <v>65</v>
      </c>
      <c r="AE3151" s="7">
        <v>45800</v>
      </c>
      <c r="AF3151" s="8">
        <v>65</v>
      </c>
      <c r="AH3151" s="7">
        <v>45991</v>
      </c>
      <c r="AI3151" s="7">
        <v>45798</v>
      </c>
      <c r="AN3151" s="8">
        <v>65</v>
      </c>
      <c r="AO3151" s="8">
        <v>-17</v>
      </c>
    </row>
    <row r="3152" spans="1:41" x14ac:dyDescent="0.25">
      <c r="A3152" s="6" t="str">
        <f t="shared" si="723"/>
        <v>525-2025000214</v>
      </c>
      <c r="B3152" s="6" t="str">
        <f t="shared" si="722"/>
        <v>Lasa Int</v>
      </c>
      <c r="C3152" s="7">
        <v>45754</v>
      </c>
      <c r="D3152" s="7">
        <v>46059</v>
      </c>
      <c r="E3152" s="8">
        <v>2</v>
      </c>
      <c r="F3152" s="6" t="str">
        <f t="shared" si="724"/>
        <v>PURE R</v>
      </c>
      <c r="G3152" s="6" t="str">
        <f>"R010000635000000"</f>
        <v>R010000635000000</v>
      </c>
      <c r="H3152" s="6" t="str">
        <f>"Alexis Cotoral Pure"</f>
        <v>Alexis Cotoral Pure</v>
      </c>
      <c r="I3152" s="6" t="str">
        <f t="shared" si="725"/>
        <v>121</v>
      </c>
      <c r="J3152" s="6" t="str">
        <f t="shared" si="726"/>
        <v>ROSA 121</v>
      </c>
      <c r="K3152" s="6" t="str">
        <f>"5004"</f>
        <v>5004</v>
      </c>
      <c r="L3152" s="6" t="str">
        <f>"Roupões Adulto"</f>
        <v>Roupões Adulto</v>
      </c>
      <c r="M3152" s="6" t="str">
        <f>"M"</f>
        <v>M</v>
      </c>
      <c r="N3152" s="6" t="str">
        <f>"5602972637830"</f>
        <v>5602972637830</v>
      </c>
      <c r="O3152" s="8">
        <v>96</v>
      </c>
      <c r="P3152" s="7">
        <v>45754</v>
      </c>
      <c r="R3152" s="8">
        <v>0</v>
      </c>
      <c r="S3152" s="7">
        <v>45757</v>
      </c>
      <c r="U3152" s="8">
        <v>0</v>
      </c>
      <c r="V3152" s="7">
        <v>45769</v>
      </c>
      <c r="X3152" s="8">
        <v>0</v>
      </c>
      <c r="Z3152" s="8">
        <v>0</v>
      </c>
      <c r="AA3152" s="7">
        <v>45784</v>
      </c>
      <c r="AC3152" s="8">
        <v>118</v>
      </c>
      <c r="AE3152" s="7">
        <v>45800</v>
      </c>
      <c r="AF3152" s="8">
        <v>118</v>
      </c>
      <c r="AH3152" s="7">
        <v>45991</v>
      </c>
      <c r="AI3152" s="7">
        <v>45798</v>
      </c>
      <c r="AN3152" s="8">
        <v>118</v>
      </c>
      <c r="AO3152" s="8">
        <v>-22</v>
      </c>
    </row>
    <row r="3153" spans="1:41" x14ac:dyDescent="0.25">
      <c r="A3153" s="6" t="str">
        <f t="shared" si="723"/>
        <v>525-2025000214</v>
      </c>
      <c r="B3153" s="6" t="str">
        <f t="shared" si="722"/>
        <v>Lasa Int</v>
      </c>
      <c r="C3153" s="7">
        <v>45754</v>
      </c>
      <c r="D3153" s="7">
        <v>46059</v>
      </c>
      <c r="E3153" s="8">
        <v>3</v>
      </c>
      <c r="F3153" s="6" t="str">
        <f t="shared" si="724"/>
        <v>PURE R</v>
      </c>
      <c r="G3153" s="6" t="str">
        <f>"R010000635000000"</f>
        <v>R010000635000000</v>
      </c>
      <c r="H3153" s="6" t="str">
        <f>"Alexis Cotoral Pure"</f>
        <v>Alexis Cotoral Pure</v>
      </c>
      <c r="I3153" s="6" t="str">
        <f t="shared" si="725"/>
        <v>121</v>
      </c>
      <c r="J3153" s="6" t="str">
        <f t="shared" si="726"/>
        <v>ROSA 121</v>
      </c>
      <c r="K3153" s="6" t="str">
        <f>"5006"</f>
        <v>5006</v>
      </c>
      <c r="L3153" s="6" t="str">
        <f>"Roupões Adulto"</f>
        <v>Roupões Adulto</v>
      </c>
      <c r="M3153" s="6" t="str">
        <f>"L"</f>
        <v>L</v>
      </c>
      <c r="N3153" s="6" t="str">
        <f>"5602972637847"</f>
        <v>5602972637847</v>
      </c>
      <c r="O3153" s="8">
        <v>24</v>
      </c>
      <c r="P3153" s="7">
        <v>45754</v>
      </c>
      <c r="R3153" s="8">
        <v>0</v>
      </c>
      <c r="S3153" s="7">
        <v>45757</v>
      </c>
      <c r="U3153" s="8">
        <v>0</v>
      </c>
      <c r="V3153" s="7">
        <v>45769</v>
      </c>
      <c r="X3153" s="8">
        <v>0</v>
      </c>
      <c r="Z3153" s="8">
        <v>0</v>
      </c>
      <c r="AA3153" s="7">
        <v>45784</v>
      </c>
      <c r="AC3153" s="8">
        <v>26</v>
      </c>
      <c r="AE3153" s="7">
        <v>45800</v>
      </c>
      <c r="AF3153" s="8">
        <v>26</v>
      </c>
      <c r="AH3153" s="7">
        <v>45991</v>
      </c>
      <c r="AI3153" s="7">
        <v>45798</v>
      </c>
      <c r="AN3153" s="8">
        <v>26</v>
      </c>
      <c r="AO3153" s="8">
        <v>-2</v>
      </c>
    </row>
    <row r="3154" spans="1:41" x14ac:dyDescent="0.25">
      <c r="A3154" s="6" t="str">
        <f t="shared" si="723"/>
        <v>525-2025000214</v>
      </c>
      <c r="B3154" s="6" t="str">
        <f t="shared" si="722"/>
        <v>Lasa Int</v>
      </c>
      <c r="C3154" s="7">
        <v>45754</v>
      </c>
      <c r="D3154" s="7">
        <v>46059</v>
      </c>
      <c r="E3154" s="8">
        <v>4</v>
      </c>
      <c r="F3154" s="6" t="str">
        <f t="shared" si="724"/>
        <v>PURE R</v>
      </c>
      <c r="G3154" s="6" t="str">
        <f>"R010000635000000"</f>
        <v>R010000635000000</v>
      </c>
      <c r="H3154" s="6" t="str">
        <f>"Alexis Cotoral Pure"</f>
        <v>Alexis Cotoral Pure</v>
      </c>
      <c r="I3154" s="6" t="str">
        <f t="shared" si="725"/>
        <v>121</v>
      </c>
      <c r="J3154" s="6" t="str">
        <f t="shared" si="726"/>
        <v>ROSA 121</v>
      </c>
      <c r="K3154" s="6" t="str">
        <f>"5008"</f>
        <v>5008</v>
      </c>
      <c r="L3154" s="6" t="str">
        <f>"Roupões Adulto"</f>
        <v>Roupões Adulto</v>
      </c>
      <c r="M3154" s="6" t="str">
        <f>"XL"</f>
        <v>XL</v>
      </c>
      <c r="N3154" s="6" t="str">
        <f>"5602972637854"</f>
        <v>5602972637854</v>
      </c>
      <c r="O3154" s="8">
        <v>12</v>
      </c>
      <c r="P3154" s="7">
        <v>45754</v>
      </c>
      <c r="R3154" s="8">
        <v>0</v>
      </c>
      <c r="S3154" s="7">
        <v>45757</v>
      </c>
      <c r="U3154" s="8">
        <v>0</v>
      </c>
      <c r="V3154" s="7">
        <v>45769</v>
      </c>
      <c r="X3154" s="8">
        <v>0</v>
      </c>
      <c r="Z3154" s="8">
        <v>0</v>
      </c>
      <c r="AA3154" s="7">
        <v>45784</v>
      </c>
      <c r="AC3154" s="8">
        <v>18</v>
      </c>
      <c r="AE3154" s="7">
        <v>45800</v>
      </c>
      <c r="AF3154" s="8">
        <v>18</v>
      </c>
      <c r="AH3154" s="7">
        <v>45991</v>
      </c>
      <c r="AI3154" s="7">
        <v>45798</v>
      </c>
      <c r="AN3154" s="8">
        <v>18</v>
      </c>
      <c r="AO3154" s="8">
        <v>-6</v>
      </c>
    </row>
    <row r="3155" spans="1:41" x14ac:dyDescent="0.25">
      <c r="A3155" s="6" t="str">
        <f t="shared" si="723"/>
        <v>525-2025000214</v>
      </c>
      <c r="B3155" s="6" t="str">
        <f t="shared" si="722"/>
        <v>Lasa Int</v>
      </c>
      <c r="C3155" s="7">
        <v>45754</v>
      </c>
      <c r="D3155" s="7">
        <v>46059</v>
      </c>
      <c r="E3155" s="8">
        <v>5</v>
      </c>
      <c r="F3155" s="6" t="str">
        <f t="shared" si="724"/>
        <v>PURE R</v>
      </c>
      <c r="G3155" s="6" t="str">
        <f t="shared" ref="G3155:G3161" si="727">"R013000138500000"</f>
        <v>R013000138500000</v>
      </c>
      <c r="H3155" s="6" t="str">
        <f t="shared" ref="H3155:H3161" si="728">"Star PURE - Ketten 3"</f>
        <v>Star PURE - Ketten 3</v>
      </c>
      <c r="I3155" s="6" t="str">
        <f t="shared" si="725"/>
        <v>121</v>
      </c>
      <c r="J3155" s="6" t="str">
        <f t="shared" si="726"/>
        <v>ROSA 121</v>
      </c>
      <c r="K3155" s="6" t="str">
        <f>"5202"</f>
        <v>5202</v>
      </c>
      <c r="L3155" s="6" t="str">
        <f t="shared" ref="L3155:L3161" si="729">"Roupões Criança"</f>
        <v>Roupões Criança</v>
      </c>
      <c r="M3155" s="6" t="str">
        <f>"2 Anos"</f>
        <v>2 Anos</v>
      </c>
      <c r="N3155" s="6" t="str">
        <f>"5602972878172"</f>
        <v>5602972878172</v>
      </c>
      <c r="O3155" s="8">
        <v>24</v>
      </c>
      <c r="P3155" s="7">
        <v>45754</v>
      </c>
      <c r="R3155" s="8">
        <v>0</v>
      </c>
      <c r="S3155" s="7">
        <v>45757</v>
      </c>
      <c r="U3155" s="8">
        <v>0</v>
      </c>
      <c r="V3155" s="7">
        <v>45769</v>
      </c>
      <c r="X3155" s="8">
        <v>0</v>
      </c>
      <c r="Z3155" s="8">
        <v>0</v>
      </c>
      <c r="AA3155" s="7">
        <v>45784</v>
      </c>
      <c r="AC3155" s="8">
        <v>0</v>
      </c>
      <c r="AE3155" s="7">
        <v>45800</v>
      </c>
      <c r="AF3155" s="8">
        <v>0</v>
      </c>
      <c r="AH3155" s="7">
        <v>45991</v>
      </c>
      <c r="AI3155" s="7">
        <v>45798</v>
      </c>
      <c r="AN3155" s="8">
        <v>0</v>
      </c>
      <c r="AO3155" s="8">
        <v>24</v>
      </c>
    </row>
    <row r="3156" spans="1:41" x14ac:dyDescent="0.25">
      <c r="A3156" s="6" t="str">
        <f t="shared" si="723"/>
        <v>525-2025000214</v>
      </c>
      <c r="B3156" s="6" t="str">
        <f t="shared" si="722"/>
        <v>Lasa Int</v>
      </c>
      <c r="C3156" s="7">
        <v>45754</v>
      </c>
      <c r="D3156" s="7">
        <v>46059</v>
      </c>
      <c r="E3156" s="8">
        <v>6</v>
      </c>
      <c r="F3156" s="6" t="str">
        <f t="shared" si="724"/>
        <v>PURE R</v>
      </c>
      <c r="G3156" s="6" t="str">
        <f t="shared" si="727"/>
        <v>R013000138500000</v>
      </c>
      <c r="H3156" s="6" t="str">
        <f t="shared" si="728"/>
        <v>Star PURE - Ketten 3</v>
      </c>
      <c r="I3156" s="6" t="str">
        <f t="shared" si="725"/>
        <v>121</v>
      </c>
      <c r="J3156" s="6" t="str">
        <f t="shared" si="726"/>
        <v>ROSA 121</v>
      </c>
      <c r="K3156" s="6" t="str">
        <f>"5204"</f>
        <v>5204</v>
      </c>
      <c r="L3156" s="6" t="str">
        <f t="shared" si="729"/>
        <v>Roupões Criança</v>
      </c>
      <c r="M3156" s="6" t="str">
        <f>"4 Anos"</f>
        <v>4 Anos</v>
      </c>
      <c r="N3156" s="6" t="str">
        <f>"5602972878189"</f>
        <v>5602972878189</v>
      </c>
      <c r="O3156" s="8">
        <v>24</v>
      </c>
      <c r="P3156" s="7">
        <v>45754</v>
      </c>
      <c r="R3156" s="8">
        <v>0</v>
      </c>
      <c r="S3156" s="7">
        <v>45757</v>
      </c>
      <c r="U3156" s="8">
        <v>0</v>
      </c>
      <c r="V3156" s="7">
        <v>45769</v>
      </c>
      <c r="X3156" s="8">
        <v>0</v>
      </c>
      <c r="Z3156" s="8">
        <v>0</v>
      </c>
      <c r="AA3156" s="7">
        <v>45784</v>
      </c>
      <c r="AC3156" s="8">
        <v>0</v>
      </c>
      <c r="AE3156" s="7">
        <v>45800</v>
      </c>
      <c r="AF3156" s="8">
        <v>0</v>
      </c>
      <c r="AH3156" s="7">
        <v>45991</v>
      </c>
      <c r="AI3156" s="7">
        <v>45798</v>
      </c>
      <c r="AN3156" s="8">
        <v>0</v>
      </c>
      <c r="AO3156" s="8">
        <v>24</v>
      </c>
    </row>
    <row r="3157" spans="1:41" x14ac:dyDescent="0.25">
      <c r="A3157" s="6" t="str">
        <f t="shared" si="723"/>
        <v>525-2025000214</v>
      </c>
      <c r="B3157" s="6" t="str">
        <f t="shared" si="722"/>
        <v>Lasa Int</v>
      </c>
      <c r="C3157" s="7">
        <v>45754</v>
      </c>
      <c r="D3157" s="7">
        <v>46059</v>
      </c>
      <c r="E3157" s="8">
        <v>7</v>
      </c>
      <c r="F3157" s="6" t="str">
        <f t="shared" si="724"/>
        <v>PURE R</v>
      </c>
      <c r="G3157" s="6" t="str">
        <f t="shared" si="727"/>
        <v>R013000138500000</v>
      </c>
      <c r="H3157" s="6" t="str">
        <f t="shared" si="728"/>
        <v>Star PURE - Ketten 3</v>
      </c>
      <c r="I3157" s="6" t="str">
        <f t="shared" si="725"/>
        <v>121</v>
      </c>
      <c r="J3157" s="6" t="str">
        <f t="shared" si="726"/>
        <v>ROSA 121</v>
      </c>
      <c r="K3157" s="6" t="str">
        <f>"5206"</f>
        <v>5206</v>
      </c>
      <c r="L3157" s="6" t="str">
        <f t="shared" si="729"/>
        <v>Roupões Criança</v>
      </c>
      <c r="M3157" s="6" t="str">
        <f>"6 Anos"</f>
        <v>6 Anos</v>
      </c>
      <c r="N3157" s="6" t="str">
        <f>"5602972878196"</f>
        <v>5602972878196</v>
      </c>
      <c r="O3157" s="8">
        <v>36</v>
      </c>
      <c r="P3157" s="7">
        <v>45754</v>
      </c>
      <c r="R3157" s="8">
        <v>0</v>
      </c>
      <c r="S3157" s="7">
        <v>45757</v>
      </c>
      <c r="U3157" s="8">
        <v>0</v>
      </c>
      <c r="V3157" s="7">
        <v>45769</v>
      </c>
      <c r="X3157" s="8">
        <v>0</v>
      </c>
      <c r="Z3157" s="8">
        <v>0</v>
      </c>
      <c r="AA3157" s="7">
        <v>45784</v>
      </c>
      <c r="AC3157" s="8">
        <v>0</v>
      </c>
      <c r="AE3157" s="7">
        <v>45800</v>
      </c>
      <c r="AF3157" s="8">
        <v>0</v>
      </c>
      <c r="AH3157" s="7">
        <v>45991</v>
      </c>
      <c r="AI3157" s="7">
        <v>45798</v>
      </c>
      <c r="AN3157" s="8">
        <v>0</v>
      </c>
      <c r="AO3157" s="8">
        <v>36</v>
      </c>
    </row>
    <row r="3158" spans="1:41" x14ac:dyDescent="0.25">
      <c r="A3158" s="6" t="str">
        <f t="shared" si="723"/>
        <v>525-2025000214</v>
      </c>
      <c r="B3158" s="6" t="str">
        <f t="shared" si="722"/>
        <v>Lasa Int</v>
      </c>
      <c r="C3158" s="7">
        <v>45754</v>
      </c>
      <c r="D3158" s="7">
        <v>46059</v>
      </c>
      <c r="E3158" s="8">
        <v>8</v>
      </c>
      <c r="F3158" s="6" t="str">
        <f t="shared" si="724"/>
        <v>PURE R</v>
      </c>
      <c r="G3158" s="6" t="str">
        <f t="shared" si="727"/>
        <v>R013000138500000</v>
      </c>
      <c r="H3158" s="6" t="str">
        <f t="shared" si="728"/>
        <v>Star PURE - Ketten 3</v>
      </c>
      <c r="I3158" s="6" t="str">
        <f t="shared" si="725"/>
        <v>121</v>
      </c>
      <c r="J3158" s="6" t="str">
        <f t="shared" si="726"/>
        <v>ROSA 121</v>
      </c>
      <c r="K3158" s="6" t="str">
        <f>"5208"</f>
        <v>5208</v>
      </c>
      <c r="L3158" s="6" t="str">
        <f t="shared" si="729"/>
        <v>Roupões Criança</v>
      </c>
      <c r="M3158" s="6" t="str">
        <f>"8 Anos"</f>
        <v>8 Anos</v>
      </c>
      <c r="N3158" s="6" t="str">
        <f>"5602972878202"</f>
        <v>5602972878202</v>
      </c>
      <c r="O3158" s="8">
        <v>24</v>
      </c>
      <c r="P3158" s="7">
        <v>45754</v>
      </c>
      <c r="R3158" s="8">
        <v>0</v>
      </c>
      <c r="S3158" s="7">
        <v>45757</v>
      </c>
      <c r="U3158" s="8">
        <v>0</v>
      </c>
      <c r="V3158" s="7">
        <v>45769</v>
      </c>
      <c r="X3158" s="8">
        <v>0</v>
      </c>
      <c r="Z3158" s="8">
        <v>0</v>
      </c>
      <c r="AA3158" s="7">
        <v>45784</v>
      </c>
      <c r="AC3158" s="8">
        <v>0</v>
      </c>
      <c r="AE3158" s="7">
        <v>45800</v>
      </c>
      <c r="AF3158" s="8">
        <v>0</v>
      </c>
      <c r="AH3158" s="7">
        <v>45991</v>
      </c>
      <c r="AI3158" s="7">
        <v>45798</v>
      </c>
      <c r="AN3158" s="8">
        <v>0</v>
      </c>
      <c r="AO3158" s="8">
        <v>24</v>
      </c>
    </row>
    <row r="3159" spans="1:41" x14ac:dyDescent="0.25">
      <c r="A3159" s="6" t="str">
        <f t="shared" si="723"/>
        <v>525-2025000214</v>
      </c>
      <c r="B3159" s="6" t="str">
        <f t="shared" si="722"/>
        <v>Lasa Int</v>
      </c>
      <c r="C3159" s="7">
        <v>45754</v>
      </c>
      <c r="D3159" s="7">
        <v>46059</v>
      </c>
      <c r="E3159" s="8">
        <v>9</v>
      </c>
      <c r="F3159" s="6" t="str">
        <f t="shared" si="724"/>
        <v>PURE R</v>
      </c>
      <c r="G3159" s="6" t="str">
        <f t="shared" si="727"/>
        <v>R013000138500000</v>
      </c>
      <c r="H3159" s="6" t="str">
        <f t="shared" si="728"/>
        <v>Star PURE - Ketten 3</v>
      </c>
      <c r="I3159" s="6" t="str">
        <f t="shared" si="725"/>
        <v>121</v>
      </c>
      <c r="J3159" s="6" t="str">
        <f t="shared" si="726"/>
        <v>ROSA 121</v>
      </c>
      <c r="K3159" s="6" t="str">
        <f>"5210"</f>
        <v>5210</v>
      </c>
      <c r="L3159" s="6" t="str">
        <f t="shared" si="729"/>
        <v>Roupões Criança</v>
      </c>
      <c r="M3159" s="6" t="str">
        <f>"10 Anos"</f>
        <v>10 Anos</v>
      </c>
      <c r="N3159" s="6" t="str">
        <f>"5602972878219"</f>
        <v>5602972878219</v>
      </c>
      <c r="O3159" s="8">
        <v>24</v>
      </c>
      <c r="P3159" s="7">
        <v>45754</v>
      </c>
      <c r="R3159" s="8">
        <v>0</v>
      </c>
      <c r="S3159" s="7">
        <v>45757</v>
      </c>
      <c r="U3159" s="8">
        <v>0</v>
      </c>
      <c r="V3159" s="7">
        <v>45769</v>
      </c>
      <c r="X3159" s="8">
        <v>0</v>
      </c>
      <c r="Z3159" s="8">
        <v>0</v>
      </c>
      <c r="AA3159" s="7">
        <v>45784</v>
      </c>
      <c r="AC3159" s="8">
        <v>0</v>
      </c>
      <c r="AE3159" s="7">
        <v>45800</v>
      </c>
      <c r="AF3159" s="8">
        <v>0</v>
      </c>
      <c r="AH3159" s="7">
        <v>45991</v>
      </c>
      <c r="AI3159" s="7">
        <v>45798</v>
      </c>
      <c r="AN3159" s="8">
        <v>0</v>
      </c>
      <c r="AO3159" s="8">
        <v>24</v>
      </c>
    </row>
    <row r="3160" spans="1:41" x14ac:dyDescent="0.25">
      <c r="A3160" s="6" t="str">
        <f t="shared" si="723"/>
        <v>525-2025000214</v>
      </c>
      <c r="B3160" s="6" t="str">
        <f t="shared" si="722"/>
        <v>Lasa Int</v>
      </c>
      <c r="C3160" s="7">
        <v>45754</v>
      </c>
      <c r="D3160" s="7">
        <v>46059</v>
      </c>
      <c r="E3160" s="8">
        <v>10</v>
      </c>
      <c r="F3160" s="6" t="str">
        <f t="shared" si="724"/>
        <v>PURE R</v>
      </c>
      <c r="G3160" s="6" t="str">
        <f t="shared" si="727"/>
        <v>R013000138500000</v>
      </c>
      <c r="H3160" s="6" t="str">
        <f t="shared" si="728"/>
        <v>Star PURE - Ketten 3</v>
      </c>
      <c r="I3160" s="6" t="str">
        <f t="shared" si="725"/>
        <v>121</v>
      </c>
      <c r="J3160" s="6" t="str">
        <f t="shared" si="726"/>
        <v>ROSA 121</v>
      </c>
      <c r="K3160" s="6" t="str">
        <f>"5212"</f>
        <v>5212</v>
      </c>
      <c r="L3160" s="6" t="str">
        <f t="shared" si="729"/>
        <v>Roupões Criança</v>
      </c>
      <c r="M3160" s="6" t="str">
        <f>"12 Anos"</f>
        <v>12 Anos</v>
      </c>
      <c r="N3160" s="6" t="str">
        <f>"5602972878226"</f>
        <v>5602972878226</v>
      </c>
      <c r="O3160" s="8">
        <v>36</v>
      </c>
      <c r="P3160" s="7">
        <v>45754</v>
      </c>
      <c r="R3160" s="8">
        <v>0</v>
      </c>
      <c r="S3160" s="7">
        <v>45757</v>
      </c>
      <c r="U3160" s="8">
        <v>0</v>
      </c>
      <c r="V3160" s="7">
        <v>45769</v>
      </c>
      <c r="X3160" s="8">
        <v>0</v>
      </c>
      <c r="Z3160" s="8">
        <v>0</v>
      </c>
      <c r="AA3160" s="7">
        <v>45784</v>
      </c>
      <c r="AC3160" s="8">
        <v>0</v>
      </c>
      <c r="AE3160" s="7">
        <v>45800</v>
      </c>
      <c r="AF3160" s="8">
        <v>0</v>
      </c>
      <c r="AH3160" s="7">
        <v>45991</v>
      </c>
      <c r="AI3160" s="7">
        <v>45798</v>
      </c>
      <c r="AN3160" s="8">
        <v>0</v>
      </c>
      <c r="AO3160" s="8">
        <v>36</v>
      </c>
    </row>
    <row r="3161" spans="1:41" x14ac:dyDescent="0.25">
      <c r="A3161" s="6" t="str">
        <f t="shared" si="723"/>
        <v>525-2025000214</v>
      </c>
      <c r="B3161" s="6" t="str">
        <f t="shared" si="722"/>
        <v>Lasa Int</v>
      </c>
      <c r="C3161" s="7">
        <v>45754</v>
      </c>
      <c r="D3161" s="7">
        <v>46059</v>
      </c>
      <c r="E3161" s="8">
        <v>11</v>
      </c>
      <c r="F3161" s="6" t="str">
        <f t="shared" si="724"/>
        <v>PURE R</v>
      </c>
      <c r="G3161" s="6" t="str">
        <f t="shared" si="727"/>
        <v>R013000138500000</v>
      </c>
      <c r="H3161" s="6" t="str">
        <f t="shared" si="728"/>
        <v>Star PURE - Ketten 3</v>
      </c>
      <c r="I3161" s="6" t="str">
        <f t="shared" si="725"/>
        <v>121</v>
      </c>
      <c r="J3161" s="6" t="str">
        <f t="shared" si="726"/>
        <v>ROSA 121</v>
      </c>
      <c r="K3161" s="6" t="str">
        <f>"5214"</f>
        <v>5214</v>
      </c>
      <c r="L3161" s="6" t="str">
        <f t="shared" si="729"/>
        <v>Roupões Criança</v>
      </c>
      <c r="M3161" s="6" t="str">
        <f>"14 Anos"</f>
        <v>14 Anos</v>
      </c>
      <c r="N3161" s="6" t="str">
        <f>"5602972878233"</f>
        <v>5602972878233</v>
      </c>
      <c r="O3161" s="8">
        <v>36</v>
      </c>
      <c r="P3161" s="7">
        <v>45754</v>
      </c>
      <c r="R3161" s="8">
        <v>0</v>
      </c>
      <c r="S3161" s="7">
        <v>45757</v>
      </c>
      <c r="U3161" s="8">
        <v>0</v>
      </c>
      <c r="V3161" s="7">
        <v>45769</v>
      </c>
      <c r="X3161" s="8">
        <v>0</v>
      </c>
      <c r="Z3161" s="8">
        <v>0</v>
      </c>
      <c r="AA3161" s="7">
        <v>45784</v>
      </c>
      <c r="AC3161" s="8">
        <v>0</v>
      </c>
      <c r="AE3161" s="7">
        <v>45800</v>
      </c>
      <c r="AF3161" s="8">
        <v>0</v>
      </c>
      <c r="AH3161" s="7">
        <v>45991</v>
      </c>
      <c r="AI3161" s="7">
        <v>45798</v>
      </c>
      <c r="AN3161" s="8">
        <v>0</v>
      </c>
      <c r="AO3161" s="8">
        <v>36</v>
      </c>
    </row>
    <row r="3162" spans="1:41" x14ac:dyDescent="0.25">
      <c r="A3162" s="6" t="str">
        <f t="shared" ref="A3162:A3179" si="730">"525-2025000216"</f>
        <v>525-2025000216</v>
      </c>
      <c r="B3162" s="6" t="str">
        <f t="shared" si="722"/>
        <v>Lasa Int</v>
      </c>
      <c r="C3162" s="7">
        <v>45754</v>
      </c>
      <c r="D3162" s="7">
        <v>46037</v>
      </c>
      <c r="E3162" s="8">
        <v>1</v>
      </c>
      <c r="F3162" s="6" t="str">
        <f t="shared" ref="F3162:F3179" si="731">"Double R"</f>
        <v>Double R</v>
      </c>
      <c r="G3162" s="6" t="str">
        <f t="shared" ref="G3162:G3179" si="732">"R320379938000000"</f>
        <v>R320379938000000</v>
      </c>
      <c r="H3162" s="6" t="str">
        <f t="shared" ref="H3162:H3179" si="733">"R 3799 - PL 1193 (m)"</f>
        <v>R 3799 - PL 1193 (m)</v>
      </c>
      <c r="I3162" s="6" t="str">
        <f>"200727"</f>
        <v>200727</v>
      </c>
      <c r="J3162" s="6" t="str">
        <f>"BEGE 727"</f>
        <v>BEGE 727</v>
      </c>
      <c r="K3162" s="6" t="str">
        <f>"5002"</f>
        <v>5002</v>
      </c>
      <c r="L3162" s="6" t="str">
        <f t="shared" ref="L3162:L3193" si="734">"Roupões Adulto"</f>
        <v>Roupões Adulto</v>
      </c>
      <c r="M3162" s="6" t="str">
        <f>"S"</f>
        <v>S</v>
      </c>
      <c r="N3162" s="6" t="str">
        <f>"5602972519259"</f>
        <v>5602972519259</v>
      </c>
      <c r="O3162" s="8">
        <v>48</v>
      </c>
      <c r="P3162" s="7">
        <v>45784</v>
      </c>
      <c r="R3162" s="8">
        <v>461</v>
      </c>
      <c r="S3162" s="7">
        <v>45789</v>
      </c>
      <c r="U3162" s="8">
        <v>461</v>
      </c>
      <c r="V3162" s="7">
        <v>45796</v>
      </c>
      <c r="X3162" s="8">
        <v>461</v>
      </c>
      <c r="Z3162" s="8">
        <v>0</v>
      </c>
      <c r="AA3162" s="7">
        <v>45810</v>
      </c>
      <c r="AC3162" s="8">
        <v>41</v>
      </c>
      <c r="AE3162" s="7">
        <v>45824</v>
      </c>
      <c r="AF3162" s="8">
        <v>41</v>
      </c>
      <c r="AH3162" s="7">
        <v>46007</v>
      </c>
      <c r="AI3162" s="7">
        <v>45819</v>
      </c>
      <c r="AN3162" s="8">
        <v>41</v>
      </c>
      <c r="AO3162" s="8">
        <v>7</v>
      </c>
    </row>
    <row r="3163" spans="1:41" x14ac:dyDescent="0.25">
      <c r="A3163" s="6" t="str">
        <f t="shared" si="730"/>
        <v>525-2025000216</v>
      </c>
      <c r="B3163" s="6" t="str">
        <f t="shared" si="722"/>
        <v>Lasa Int</v>
      </c>
      <c r="C3163" s="7">
        <v>45754</v>
      </c>
      <c r="D3163" s="7">
        <v>46037</v>
      </c>
      <c r="E3163" s="8">
        <v>2</v>
      </c>
      <c r="F3163" s="6" t="str">
        <f t="shared" si="731"/>
        <v>Double R</v>
      </c>
      <c r="G3163" s="6" t="str">
        <f t="shared" si="732"/>
        <v>R320379938000000</v>
      </c>
      <c r="H3163" s="6" t="str">
        <f t="shared" si="733"/>
        <v>R 3799 - PL 1193 (m)</v>
      </c>
      <c r="I3163" s="6" t="str">
        <f>"200727"</f>
        <v>200727</v>
      </c>
      <c r="J3163" s="6" t="str">
        <f>"BEGE 727"</f>
        <v>BEGE 727</v>
      </c>
      <c r="K3163" s="6" t="str">
        <f>"5004"</f>
        <v>5004</v>
      </c>
      <c r="L3163" s="6" t="str">
        <f t="shared" si="734"/>
        <v>Roupões Adulto</v>
      </c>
      <c r="M3163" s="6" t="str">
        <f>"M"</f>
        <v>M</v>
      </c>
      <c r="N3163" s="6" t="str">
        <f>"5602972519266"</f>
        <v>5602972519266</v>
      </c>
      <c r="O3163" s="8">
        <v>84</v>
      </c>
      <c r="P3163" s="7">
        <v>45784</v>
      </c>
      <c r="R3163" s="8">
        <v>0</v>
      </c>
      <c r="S3163" s="7">
        <v>45789</v>
      </c>
      <c r="U3163" s="8">
        <v>0</v>
      </c>
      <c r="V3163" s="7">
        <v>45796</v>
      </c>
      <c r="X3163" s="8">
        <v>0</v>
      </c>
      <c r="Z3163" s="8">
        <v>0</v>
      </c>
      <c r="AA3163" s="7">
        <v>45810</v>
      </c>
      <c r="AC3163" s="8">
        <v>76</v>
      </c>
      <c r="AE3163" s="7">
        <v>45824</v>
      </c>
      <c r="AF3163" s="8">
        <v>76</v>
      </c>
      <c r="AH3163" s="7">
        <v>46007</v>
      </c>
      <c r="AI3163" s="7">
        <v>45819</v>
      </c>
      <c r="AN3163" s="8">
        <v>76</v>
      </c>
      <c r="AO3163" s="8">
        <v>8</v>
      </c>
    </row>
    <row r="3164" spans="1:41" x14ac:dyDescent="0.25">
      <c r="A3164" s="6" t="str">
        <f t="shared" si="730"/>
        <v>525-2025000216</v>
      </c>
      <c r="B3164" s="6" t="str">
        <f t="shared" si="722"/>
        <v>Lasa Int</v>
      </c>
      <c r="C3164" s="7">
        <v>45754</v>
      </c>
      <c r="D3164" s="7">
        <v>46037</v>
      </c>
      <c r="E3164" s="8">
        <v>3</v>
      </c>
      <c r="F3164" s="6" t="str">
        <f t="shared" si="731"/>
        <v>Double R</v>
      </c>
      <c r="G3164" s="6" t="str">
        <f t="shared" si="732"/>
        <v>R320379938000000</v>
      </c>
      <c r="H3164" s="6" t="str">
        <f t="shared" si="733"/>
        <v>R 3799 - PL 1193 (m)</v>
      </c>
      <c r="I3164" s="6" t="str">
        <f>"200727"</f>
        <v>200727</v>
      </c>
      <c r="J3164" s="6" t="str">
        <f>"BEGE 727"</f>
        <v>BEGE 727</v>
      </c>
      <c r="K3164" s="6" t="str">
        <f>"5006"</f>
        <v>5006</v>
      </c>
      <c r="L3164" s="6" t="str">
        <f t="shared" si="734"/>
        <v>Roupões Adulto</v>
      </c>
      <c r="M3164" s="6" t="str">
        <f>"L"</f>
        <v>L</v>
      </c>
      <c r="N3164" s="6" t="str">
        <f>"5602972519273"</f>
        <v>5602972519273</v>
      </c>
      <c r="O3164" s="8">
        <v>72</v>
      </c>
      <c r="P3164" s="7">
        <v>45784</v>
      </c>
      <c r="R3164" s="8">
        <v>0</v>
      </c>
      <c r="S3164" s="7">
        <v>45789</v>
      </c>
      <c r="U3164" s="8">
        <v>0</v>
      </c>
      <c r="V3164" s="7">
        <v>45796</v>
      </c>
      <c r="X3164" s="8">
        <v>0</v>
      </c>
      <c r="Z3164" s="8">
        <v>0</v>
      </c>
      <c r="AA3164" s="7">
        <v>45810</v>
      </c>
      <c r="AC3164" s="8">
        <v>60</v>
      </c>
      <c r="AE3164" s="7">
        <v>45824</v>
      </c>
      <c r="AF3164" s="8">
        <v>60</v>
      </c>
      <c r="AH3164" s="7">
        <v>46007</v>
      </c>
      <c r="AI3164" s="7">
        <v>45819</v>
      </c>
      <c r="AN3164" s="8">
        <v>60</v>
      </c>
      <c r="AO3164" s="8">
        <v>12</v>
      </c>
    </row>
    <row r="3165" spans="1:41" x14ac:dyDescent="0.25">
      <c r="A3165" s="6" t="str">
        <f t="shared" si="730"/>
        <v>525-2025000216</v>
      </c>
      <c r="B3165" s="6" t="str">
        <f t="shared" si="722"/>
        <v>Lasa Int</v>
      </c>
      <c r="C3165" s="7">
        <v>45754</v>
      </c>
      <c r="D3165" s="7">
        <v>46037</v>
      </c>
      <c r="E3165" s="8">
        <v>4</v>
      </c>
      <c r="F3165" s="6" t="str">
        <f t="shared" si="731"/>
        <v>Double R</v>
      </c>
      <c r="G3165" s="6" t="str">
        <f t="shared" si="732"/>
        <v>R320379938000000</v>
      </c>
      <c r="H3165" s="6" t="str">
        <f t="shared" si="733"/>
        <v>R 3799 - PL 1193 (m)</v>
      </c>
      <c r="I3165" s="6" t="str">
        <f>"200727"</f>
        <v>200727</v>
      </c>
      <c r="J3165" s="6" t="str">
        <f>"BEGE 727"</f>
        <v>BEGE 727</v>
      </c>
      <c r="K3165" s="6" t="str">
        <f>"5008"</f>
        <v>5008</v>
      </c>
      <c r="L3165" s="6" t="str">
        <f t="shared" si="734"/>
        <v>Roupões Adulto</v>
      </c>
      <c r="M3165" s="6" t="str">
        <f>"XL"</f>
        <v>XL</v>
      </c>
      <c r="N3165" s="6" t="str">
        <f>"5602972519280"</f>
        <v>5602972519280</v>
      </c>
      <c r="O3165" s="8">
        <v>48</v>
      </c>
      <c r="P3165" s="7">
        <v>45784</v>
      </c>
      <c r="R3165" s="8">
        <v>0</v>
      </c>
      <c r="S3165" s="7">
        <v>45789</v>
      </c>
      <c r="U3165" s="8">
        <v>0</v>
      </c>
      <c r="V3165" s="7">
        <v>45796</v>
      </c>
      <c r="X3165" s="8">
        <v>0</v>
      </c>
      <c r="Z3165" s="8">
        <v>0</v>
      </c>
      <c r="AA3165" s="7">
        <v>45810</v>
      </c>
      <c r="AC3165" s="8">
        <v>37</v>
      </c>
      <c r="AE3165" s="7">
        <v>45824</v>
      </c>
      <c r="AF3165" s="8">
        <v>37</v>
      </c>
      <c r="AH3165" s="7">
        <v>46007</v>
      </c>
      <c r="AI3165" s="7">
        <v>45819</v>
      </c>
      <c r="AN3165" s="8">
        <v>37</v>
      </c>
      <c r="AO3165" s="8">
        <v>11</v>
      </c>
    </row>
    <row r="3166" spans="1:41" x14ac:dyDescent="0.25">
      <c r="A3166" s="6" t="str">
        <f t="shared" si="730"/>
        <v>525-2025000216</v>
      </c>
      <c r="B3166" s="6" t="str">
        <f t="shared" si="722"/>
        <v>Lasa Int</v>
      </c>
      <c r="C3166" s="7">
        <v>45754</v>
      </c>
      <c r="D3166" s="7">
        <v>46037</v>
      </c>
      <c r="E3166" s="8">
        <v>5</v>
      </c>
      <c r="F3166" s="6" t="str">
        <f t="shared" si="731"/>
        <v>Double R</v>
      </c>
      <c r="G3166" s="6" t="str">
        <f t="shared" si="732"/>
        <v>R320379938000000</v>
      </c>
      <c r="H3166" s="6" t="str">
        <f t="shared" si="733"/>
        <v>R 3799 - PL 1193 (m)</v>
      </c>
      <c r="I3166" s="6" t="str">
        <f>"204033"</f>
        <v>204033</v>
      </c>
      <c r="J3166" s="6" t="str">
        <f>"ROSA 4033"</f>
        <v>ROSA 4033</v>
      </c>
      <c r="K3166" s="6" t="str">
        <f>"5002"</f>
        <v>5002</v>
      </c>
      <c r="L3166" s="6" t="str">
        <f t="shared" si="734"/>
        <v>Roupões Adulto</v>
      </c>
      <c r="M3166" s="6" t="str">
        <f>"S"</f>
        <v>S</v>
      </c>
      <c r="N3166" s="6" t="str">
        <f>"5602972519297"</f>
        <v>5602972519297</v>
      </c>
      <c r="O3166" s="8">
        <v>60</v>
      </c>
      <c r="P3166" s="7">
        <v>45784</v>
      </c>
      <c r="R3166" s="8">
        <v>461</v>
      </c>
      <c r="S3166" s="7">
        <v>45789</v>
      </c>
      <c r="U3166" s="8">
        <v>461</v>
      </c>
      <c r="V3166" s="7">
        <v>45796</v>
      </c>
      <c r="X3166" s="8">
        <v>461</v>
      </c>
      <c r="Z3166" s="8">
        <v>0</v>
      </c>
      <c r="AA3166" s="7">
        <v>45810</v>
      </c>
      <c r="AC3166" s="8">
        <v>58</v>
      </c>
      <c r="AE3166" s="7">
        <v>45824</v>
      </c>
      <c r="AF3166" s="8">
        <v>58</v>
      </c>
      <c r="AH3166" s="7">
        <v>46007</v>
      </c>
      <c r="AI3166" s="7">
        <v>45819</v>
      </c>
      <c r="AN3166" s="8">
        <v>58</v>
      </c>
      <c r="AO3166" s="8">
        <v>2</v>
      </c>
    </row>
    <row r="3167" spans="1:41" x14ac:dyDescent="0.25">
      <c r="A3167" s="6" t="str">
        <f t="shared" si="730"/>
        <v>525-2025000216</v>
      </c>
      <c r="B3167" s="6" t="str">
        <f t="shared" si="722"/>
        <v>Lasa Int</v>
      </c>
      <c r="C3167" s="7">
        <v>45754</v>
      </c>
      <c r="D3167" s="7">
        <v>46037</v>
      </c>
      <c r="E3167" s="8">
        <v>6</v>
      </c>
      <c r="F3167" s="6" t="str">
        <f t="shared" si="731"/>
        <v>Double R</v>
      </c>
      <c r="G3167" s="6" t="str">
        <f t="shared" si="732"/>
        <v>R320379938000000</v>
      </c>
      <c r="H3167" s="6" t="str">
        <f t="shared" si="733"/>
        <v>R 3799 - PL 1193 (m)</v>
      </c>
      <c r="I3167" s="6" t="str">
        <f>"204033"</f>
        <v>204033</v>
      </c>
      <c r="J3167" s="6" t="str">
        <f>"ROSA 4033"</f>
        <v>ROSA 4033</v>
      </c>
      <c r="K3167" s="6" t="str">
        <f>"5004"</f>
        <v>5004</v>
      </c>
      <c r="L3167" s="6" t="str">
        <f t="shared" si="734"/>
        <v>Roupões Adulto</v>
      </c>
      <c r="M3167" s="6" t="str">
        <f>"M"</f>
        <v>M</v>
      </c>
      <c r="N3167" s="6" t="str">
        <f>"5602972519303"</f>
        <v>5602972519303</v>
      </c>
      <c r="O3167" s="8">
        <v>84</v>
      </c>
      <c r="P3167" s="7">
        <v>45784</v>
      </c>
      <c r="R3167" s="8">
        <v>0</v>
      </c>
      <c r="S3167" s="7">
        <v>45789</v>
      </c>
      <c r="U3167" s="8">
        <v>0</v>
      </c>
      <c r="V3167" s="7">
        <v>45796</v>
      </c>
      <c r="X3167" s="8">
        <v>0</v>
      </c>
      <c r="Z3167" s="8">
        <v>0</v>
      </c>
      <c r="AA3167" s="7">
        <v>45810</v>
      </c>
      <c r="AC3167" s="8">
        <v>81</v>
      </c>
      <c r="AE3167" s="7">
        <v>45824</v>
      </c>
      <c r="AF3167" s="8">
        <v>81</v>
      </c>
      <c r="AH3167" s="7">
        <v>46007</v>
      </c>
      <c r="AI3167" s="7">
        <v>45819</v>
      </c>
      <c r="AN3167" s="8">
        <v>81</v>
      </c>
      <c r="AO3167" s="8">
        <v>3</v>
      </c>
    </row>
    <row r="3168" spans="1:41" x14ac:dyDescent="0.25">
      <c r="A3168" s="6" t="str">
        <f t="shared" si="730"/>
        <v>525-2025000216</v>
      </c>
      <c r="B3168" s="6" t="str">
        <f t="shared" si="722"/>
        <v>Lasa Int</v>
      </c>
      <c r="C3168" s="7">
        <v>45754</v>
      </c>
      <c r="D3168" s="7">
        <v>46037</v>
      </c>
      <c r="E3168" s="8">
        <v>7</v>
      </c>
      <c r="F3168" s="6" t="str">
        <f t="shared" si="731"/>
        <v>Double R</v>
      </c>
      <c r="G3168" s="6" t="str">
        <f t="shared" si="732"/>
        <v>R320379938000000</v>
      </c>
      <c r="H3168" s="6" t="str">
        <f t="shared" si="733"/>
        <v>R 3799 - PL 1193 (m)</v>
      </c>
      <c r="I3168" s="6" t="str">
        <f>"204033"</f>
        <v>204033</v>
      </c>
      <c r="J3168" s="6" t="str">
        <f>"ROSA 4033"</f>
        <v>ROSA 4033</v>
      </c>
      <c r="K3168" s="6" t="str">
        <f>"5006"</f>
        <v>5006</v>
      </c>
      <c r="L3168" s="6" t="str">
        <f t="shared" si="734"/>
        <v>Roupões Adulto</v>
      </c>
      <c r="M3168" s="6" t="str">
        <f>"L"</f>
        <v>L</v>
      </c>
      <c r="N3168" s="6" t="str">
        <f>"5602972519310"</f>
        <v>5602972519310</v>
      </c>
      <c r="O3168" s="8">
        <v>72</v>
      </c>
      <c r="P3168" s="7">
        <v>45784</v>
      </c>
      <c r="R3168" s="8">
        <v>0</v>
      </c>
      <c r="S3168" s="7">
        <v>45789</v>
      </c>
      <c r="U3168" s="8">
        <v>0</v>
      </c>
      <c r="V3168" s="7">
        <v>45796</v>
      </c>
      <c r="X3168" s="8">
        <v>0</v>
      </c>
      <c r="Z3168" s="8">
        <v>0</v>
      </c>
      <c r="AA3168" s="7">
        <v>45810</v>
      </c>
      <c r="AC3168" s="8">
        <v>69</v>
      </c>
      <c r="AE3168" s="7">
        <v>45824</v>
      </c>
      <c r="AF3168" s="8">
        <v>69</v>
      </c>
      <c r="AH3168" s="7">
        <v>46007</v>
      </c>
      <c r="AI3168" s="7">
        <v>45819</v>
      </c>
      <c r="AN3168" s="8">
        <v>69</v>
      </c>
      <c r="AO3168" s="8">
        <v>3</v>
      </c>
    </row>
    <row r="3169" spans="1:41" x14ac:dyDescent="0.25">
      <c r="A3169" s="6" t="str">
        <f t="shared" si="730"/>
        <v>525-2025000216</v>
      </c>
      <c r="B3169" s="6" t="str">
        <f t="shared" si="722"/>
        <v>Lasa Int</v>
      </c>
      <c r="C3169" s="7">
        <v>45754</v>
      </c>
      <c r="D3169" s="7">
        <v>46037</v>
      </c>
      <c r="E3169" s="8">
        <v>8</v>
      </c>
      <c r="F3169" s="6" t="str">
        <f t="shared" si="731"/>
        <v>Double R</v>
      </c>
      <c r="G3169" s="6" t="str">
        <f t="shared" si="732"/>
        <v>R320379938000000</v>
      </c>
      <c r="H3169" s="6" t="str">
        <f t="shared" si="733"/>
        <v>R 3799 - PL 1193 (m)</v>
      </c>
      <c r="I3169" s="6" t="str">
        <f>"204033"</f>
        <v>204033</v>
      </c>
      <c r="J3169" s="6" t="str">
        <f>"ROSA 4033"</f>
        <v>ROSA 4033</v>
      </c>
      <c r="K3169" s="6" t="str">
        <f>"5008"</f>
        <v>5008</v>
      </c>
      <c r="L3169" s="6" t="str">
        <f t="shared" si="734"/>
        <v>Roupões Adulto</v>
      </c>
      <c r="M3169" s="6" t="str">
        <f>"XL"</f>
        <v>XL</v>
      </c>
      <c r="N3169" s="6" t="str">
        <f>"5602972519327"</f>
        <v>5602972519327</v>
      </c>
      <c r="O3169" s="8">
        <v>36</v>
      </c>
      <c r="P3169" s="7">
        <v>45784</v>
      </c>
      <c r="R3169" s="8">
        <v>0</v>
      </c>
      <c r="S3169" s="7">
        <v>45789</v>
      </c>
      <c r="U3169" s="8">
        <v>0</v>
      </c>
      <c r="V3169" s="7">
        <v>45796</v>
      </c>
      <c r="X3169" s="8">
        <v>0</v>
      </c>
      <c r="Z3169" s="8">
        <v>0</v>
      </c>
      <c r="AA3169" s="7">
        <v>45810</v>
      </c>
      <c r="AC3169" s="8">
        <v>32</v>
      </c>
      <c r="AE3169" s="7">
        <v>45824</v>
      </c>
      <c r="AF3169" s="8">
        <v>32</v>
      </c>
      <c r="AH3169" s="7">
        <v>46007</v>
      </c>
      <c r="AI3169" s="7">
        <v>45819</v>
      </c>
      <c r="AN3169" s="8">
        <v>32</v>
      </c>
      <c r="AO3169" s="8">
        <v>4</v>
      </c>
    </row>
    <row r="3170" spans="1:41" x14ac:dyDescent="0.25">
      <c r="A3170" s="6" t="str">
        <f t="shared" si="730"/>
        <v>525-2025000216</v>
      </c>
      <c r="B3170" s="6" t="str">
        <f t="shared" si="722"/>
        <v>Lasa Int</v>
      </c>
      <c r="C3170" s="7">
        <v>45754</v>
      </c>
      <c r="D3170" s="7">
        <v>46037</v>
      </c>
      <c r="E3170" s="8">
        <v>9</v>
      </c>
      <c r="F3170" s="6" t="str">
        <f t="shared" si="731"/>
        <v>Double R</v>
      </c>
      <c r="G3170" s="6" t="str">
        <f t="shared" si="732"/>
        <v>R320379938000000</v>
      </c>
      <c r="H3170" s="6" t="str">
        <f t="shared" si="733"/>
        <v>R 3799 - PL 1193 (m)</v>
      </c>
      <c r="I3170" s="6" t="str">
        <f>"204258"</f>
        <v>204258</v>
      </c>
      <c r="J3170" s="6" t="str">
        <f>"VERDE 4258"</f>
        <v>VERDE 4258</v>
      </c>
      <c r="K3170" s="6" t="str">
        <f>"5002"</f>
        <v>5002</v>
      </c>
      <c r="L3170" s="6" t="str">
        <f t="shared" si="734"/>
        <v>Roupões Adulto</v>
      </c>
      <c r="M3170" s="6" t="str">
        <f>"S"</f>
        <v>S</v>
      </c>
      <c r="N3170" s="6" t="str">
        <f>"5602972519334"</f>
        <v>5602972519334</v>
      </c>
      <c r="O3170" s="8">
        <v>48</v>
      </c>
      <c r="P3170" s="7">
        <v>45784</v>
      </c>
      <c r="R3170" s="8">
        <v>441</v>
      </c>
      <c r="S3170" s="7">
        <v>45789</v>
      </c>
      <c r="U3170" s="8">
        <v>441</v>
      </c>
      <c r="V3170" s="7">
        <v>45796</v>
      </c>
      <c r="X3170" s="8">
        <v>441</v>
      </c>
      <c r="Z3170" s="8">
        <v>0</v>
      </c>
      <c r="AA3170" s="7">
        <v>45810</v>
      </c>
      <c r="AC3170" s="8">
        <v>40</v>
      </c>
      <c r="AE3170" s="7">
        <v>45824</v>
      </c>
      <c r="AF3170" s="8">
        <v>40</v>
      </c>
      <c r="AH3170" s="7">
        <v>46007</v>
      </c>
      <c r="AI3170" s="7">
        <v>45819</v>
      </c>
      <c r="AN3170" s="8">
        <v>40</v>
      </c>
      <c r="AO3170" s="8">
        <v>8</v>
      </c>
    </row>
    <row r="3171" spans="1:41" x14ac:dyDescent="0.25">
      <c r="A3171" s="6" t="str">
        <f t="shared" si="730"/>
        <v>525-2025000216</v>
      </c>
      <c r="B3171" s="6" t="str">
        <f t="shared" si="722"/>
        <v>Lasa Int</v>
      </c>
      <c r="C3171" s="7">
        <v>45754</v>
      </c>
      <c r="D3171" s="7">
        <v>46037</v>
      </c>
      <c r="E3171" s="8">
        <v>10</v>
      </c>
      <c r="F3171" s="6" t="str">
        <f t="shared" si="731"/>
        <v>Double R</v>
      </c>
      <c r="G3171" s="6" t="str">
        <f t="shared" si="732"/>
        <v>R320379938000000</v>
      </c>
      <c r="H3171" s="6" t="str">
        <f t="shared" si="733"/>
        <v>R 3799 - PL 1193 (m)</v>
      </c>
      <c r="I3171" s="6" t="str">
        <f>"204258"</f>
        <v>204258</v>
      </c>
      <c r="J3171" s="6" t="str">
        <f>"VERDE 4258"</f>
        <v>VERDE 4258</v>
      </c>
      <c r="K3171" s="6" t="str">
        <f>"5004"</f>
        <v>5004</v>
      </c>
      <c r="L3171" s="6" t="str">
        <f t="shared" si="734"/>
        <v>Roupões Adulto</v>
      </c>
      <c r="M3171" s="6" t="str">
        <f>"M"</f>
        <v>M</v>
      </c>
      <c r="N3171" s="6" t="str">
        <f>"5602972519341"</f>
        <v>5602972519341</v>
      </c>
      <c r="O3171" s="8">
        <v>84</v>
      </c>
      <c r="P3171" s="7">
        <v>45784</v>
      </c>
      <c r="R3171" s="8">
        <v>0</v>
      </c>
      <c r="S3171" s="7">
        <v>45789</v>
      </c>
      <c r="U3171" s="8">
        <v>0</v>
      </c>
      <c r="V3171" s="7">
        <v>45796</v>
      </c>
      <c r="X3171" s="8">
        <v>0</v>
      </c>
      <c r="Z3171" s="8">
        <v>0</v>
      </c>
      <c r="AA3171" s="7">
        <v>45810</v>
      </c>
      <c r="AC3171" s="8">
        <v>82</v>
      </c>
      <c r="AE3171" s="7">
        <v>45824</v>
      </c>
      <c r="AF3171" s="8">
        <v>82</v>
      </c>
      <c r="AH3171" s="7">
        <v>46007</v>
      </c>
      <c r="AI3171" s="7">
        <v>45819</v>
      </c>
      <c r="AN3171" s="8">
        <v>82</v>
      </c>
      <c r="AO3171" s="8">
        <v>2</v>
      </c>
    </row>
    <row r="3172" spans="1:41" x14ac:dyDescent="0.25">
      <c r="A3172" s="6" t="str">
        <f t="shared" si="730"/>
        <v>525-2025000216</v>
      </c>
      <c r="B3172" s="6" t="str">
        <f t="shared" si="722"/>
        <v>Lasa Int</v>
      </c>
      <c r="C3172" s="7">
        <v>45754</v>
      </c>
      <c r="D3172" s="7">
        <v>46037</v>
      </c>
      <c r="E3172" s="8">
        <v>11</v>
      </c>
      <c r="F3172" s="6" t="str">
        <f t="shared" si="731"/>
        <v>Double R</v>
      </c>
      <c r="G3172" s="6" t="str">
        <f t="shared" si="732"/>
        <v>R320379938000000</v>
      </c>
      <c r="H3172" s="6" t="str">
        <f t="shared" si="733"/>
        <v>R 3799 - PL 1193 (m)</v>
      </c>
      <c r="I3172" s="6" t="str">
        <f>"204258"</f>
        <v>204258</v>
      </c>
      <c r="J3172" s="6" t="str">
        <f>"VERDE 4258"</f>
        <v>VERDE 4258</v>
      </c>
      <c r="K3172" s="6" t="str">
        <f>"5006"</f>
        <v>5006</v>
      </c>
      <c r="L3172" s="6" t="str">
        <f t="shared" si="734"/>
        <v>Roupões Adulto</v>
      </c>
      <c r="M3172" s="6" t="str">
        <f>"L"</f>
        <v>L</v>
      </c>
      <c r="N3172" s="6" t="str">
        <f>"5602972519358"</f>
        <v>5602972519358</v>
      </c>
      <c r="O3172" s="8">
        <v>72</v>
      </c>
      <c r="P3172" s="7">
        <v>45784</v>
      </c>
      <c r="R3172" s="8">
        <v>0</v>
      </c>
      <c r="S3172" s="7">
        <v>45789</v>
      </c>
      <c r="U3172" s="8">
        <v>0</v>
      </c>
      <c r="V3172" s="7">
        <v>45796</v>
      </c>
      <c r="X3172" s="8">
        <v>0</v>
      </c>
      <c r="Z3172" s="8">
        <v>0</v>
      </c>
      <c r="AA3172" s="7">
        <v>45810</v>
      </c>
      <c r="AC3172" s="8">
        <v>62</v>
      </c>
      <c r="AE3172" s="7">
        <v>45824</v>
      </c>
      <c r="AF3172" s="8">
        <v>62</v>
      </c>
      <c r="AH3172" s="7">
        <v>46007</v>
      </c>
      <c r="AI3172" s="7">
        <v>45819</v>
      </c>
      <c r="AN3172" s="8">
        <v>62</v>
      </c>
      <c r="AO3172" s="8">
        <v>10</v>
      </c>
    </row>
    <row r="3173" spans="1:41" x14ac:dyDescent="0.25">
      <c r="A3173" s="6" t="str">
        <f t="shared" si="730"/>
        <v>525-2025000216</v>
      </c>
      <c r="B3173" s="6" t="str">
        <f t="shared" si="722"/>
        <v>Lasa Int</v>
      </c>
      <c r="C3173" s="7">
        <v>45754</v>
      </c>
      <c r="D3173" s="7">
        <v>46037</v>
      </c>
      <c r="E3173" s="8">
        <v>12</v>
      </c>
      <c r="F3173" s="6" t="str">
        <f t="shared" si="731"/>
        <v>Double R</v>
      </c>
      <c r="G3173" s="6" t="str">
        <f t="shared" si="732"/>
        <v>R320379938000000</v>
      </c>
      <c r="H3173" s="6" t="str">
        <f t="shared" si="733"/>
        <v>R 3799 - PL 1193 (m)</v>
      </c>
      <c r="I3173" s="6" t="str">
        <f>"204258"</f>
        <v>204258</v>
      </c>
      <c r="J3173" s="6" t="str">
        <f>"VERDE 4258"</f>
        <v>VERDE 4258</v>
      </c>
      <c r="K3173" s="6" t="str">
        <f>"5008"</f>
        <v>5008</v>
      </c>
      <c r="L3173" s="6" t="str">
        <f t="shared" si="734"/>
        <v>Roupões Adulto</v>
      </c>
      <c r="M3173" s="6" t="str">
        <f>"XL"</f>
        <v>XL</v>
      </c>
      <c r="N3173" s="6" t="str">
        <f>"5602972519365"</f>
        <v>5602972519365</v>
      </c>
      <c r="O3173" s="8">
        <v>48</v>
      </c>
      <c r="P3173" s="7">
        <v>45784</v>
      </c>
      <c r="R3173" s="8">
        <v>0</v>
      </c>
      <c r="S3173" s="7">
        <v>45789</v>
      </c>
      <c r="U3173" s="8">
        <v>0</v>
      </c>
      <c r="V3173" s="7">
        <v>45796</v>
      </c>
      <c r="X3173" s="8">
        <v>0</v>
      </c>
      <c r="Z3173" s="8">
        <v>0</v>
      </c>
      <c r="AA3173" s="7">
        <v>45810</v>
      </c>
      <c r="AC3173" s="8">
        <v>47</v>
      </c>
      <c r="AE3173" s="7">
        <v>45824</v>
      </c>
      <c r="AF3173" s="8">
        <v>47</v>
      </c>
      <c r="AH3173" s="7">
        <v>46007</v>
      </c>
      <c r="AI3173" s="7">
        <v>45819</v>
      </c>
      <c r="AN3173" s="8">
        <v>47</v>
      </c>
      <c r="AO3173" s="8">
        <v>1</v>
      </c>
    </row>
    <row r="3174" spans="1:41" x14ac:dyDescent="0.25">
      <c r="A3174" s="6" t="str">
        <f t="shared" si="730"/>
        <v>525-2025000216</v>
      </c>
      <c r="B3174" s="6" t="str">
        <f t="shared" si="722"/>
        <v>Lasa Int</v>
      </c>
      <c r="C3174" s="7">
        <v>45754</v>
      </c>
      <c r="D3174" s="7">
        <v>46037</v>
      </c>
      <c r="E3174" s="8">
        <v>13</v>
      </c>
      <c r="F3174" s="6" t="str">
        <f t="shared" si="731"/>
        <v>Double R</v>
      </c>
      <c r="G3174" s="6" t="str">
        <f t="shared" si="732"/>
        <v>R320379938000000</v>
      </c>
      <c r="H3174" s="6" t="str">
        <f t="shared" si="733"/>
        <v>R 3799 - PL 1193 (m)</v>
      </c>
      <c r="I3174" s="6" t="str">
        <f>"204259"</f>
        <v>204259</v>
      </c>
      <c r="J3174" s="6" t="str">
        <f>"AZUL 4259"</f>
        <v>AZUL 4259</v>
      </c>
      <c r="K3174" s="6" t="str">
        <f>"5002"</f>
        <v>5002</v>
      </c>
      <c r="L3174" s="6" t="str">
        <f t="shared" si="734"/>
        <v>Roupões Adulto</v>
      </c>
      <c r="M3174" s="6" t="str">
        <f>"S"</f>
        <v>S</v>
      </c>
      <c r="N3174" s="6" t="str">
        <f>"5602972519372"</f>
        <v>5602972519372</v>
      </c>
      <c r="O3174" s="8">
        <v>36</v>
      </c>
      <c r="P3174" s="7">
        <v>45784</v>
      </c>
      <c r="R3174" s="8">
        <v>423</v>
      </c>
      <c r="S3174" s="7">
        <v>45789</v>
      </c>
      <c r="U3174" s="8">
        <v>423</v>
      </c>
      <c r="V3174" s="7">
        <v>45796</v>
      </c>
      <c r="X3174" s="8">
        <v>423</v>
      </c>
      <c r="Z3174" s="8">
        <v>0</v>
      </c>
      <c r="AA3174" s="7">
        <v>45810</v>
      </c>
      <c r="AC3174" s="8">
        <v>32</v>
      </c>
      <c r="AE3174" s="7">
        <v>45824</v>
      </c>
      <c r="AF3174" s="8">
        <v>32</v>
      </c>
      <c r="AH3174" s="7">
        <v>46007</v>
      </c>
      <c r="AI3174" s="7">
        <v>45819</v>
      </c>
      <c r="AN3174" s="8">
        <v>32</v>
      </c>
      <c r="AO3174" s="8">
        <v>4</v>
      </c>
    </row>
    <row r="3175" spans="1:41" x14ac:dyDescent="0.25">
      <c r="A3175" s="6" t="str">
        <f t="shared" si="730"/>
        <v>525-2025000216</v>
      </c>
      <c r="B3175" s="6" t="str">
        <f t="shared" si="722"/>
        <v>Lasa Int</v>
      </c>
      <c r="C3175" s="7">
        <v>45754</v>
      </c>
      <c r="D3175" s="7">
        <v>46037</v>
      </c>
      <c r="E3175" s="8">
        <v>14</v>
      </c>
      <c r="F3175" s="6" t="str">
        <f t="shared" si="731"/>
        <v>Double R</v>
      </c>
      <c r="G3175" s="6" t="str">
        <f t="shared" si="732"/>
        <v>R320379938000000</v>
      </c>
      <c r="H3175" s="6" t="str">
        <f t="shared" si="733"/>
        <v>R 3799 - PL 1193 (m)</v>
      </c>
      <c r="I3175" s="6" t="str">
        <f>"204259"</f>
        <v>204259</v>
      </c>
      <c r="J3175" s="6" t="str">
        <f>"AZUL 4259"</f>
        <v>AZUL 4259</v>
      </c>
      <c r="K3175" s="6" t="str">
        <f>"5004"</f>
        <v>5004</v>
      </c>
      <c r="L3175" s="6" t="str">
        <f t="shared" si="734"/>
        <v>Roupões Adulto</v>
      </c>
      <c r="M3175" s="6" t="str">
        <f>"M"</f>
        <v>M</v>
      </c>
      <c r="N3175" s="6" t="str">
        <f>"5602972519389"</f>
        <v>5602972519389</v>
      </c>
      <c r="O3175" s="8">
        <v>84</v>
      </c>
      <c r="P3175" s="7">
        <v>45784</v>
      </c>
      <c r="R3175" s="8">
        <v>0</v>
      </c>
      <c r="S3175" s="7">
        <v>45789</v>
      </c>
      <c r="U3175" s="8">
        <v>0</v>
      </c>
      <c r="V3175" s="7">
        <v>45796</v>
      </c>
      <c r="X3175" s="8">
        <v>0</v>
      </c>
      <c r="Z3175" s="8">
        <v>0</v>
      </c>
      <c r="AA3175" s="7">
        <v>45810</v>
      </c>
      <c r="AC3175" s="8">
        <v>77</v>
      </c>
      <c r="AE3175" s="7">
        <v>45824</v>
      </c>
      <c r="AF3175" s="8">
        <v>77</v>
      </c>
      <c r="AH3175" s="7">
        <v>46007</v>
      </c>
      <c r="AI3175" s="7">
        <v>45819</v>
      </c>
      <c r="AN3175" s="8">
        <v>77</v>
      </c>
      <c r="AO3175" s="8">
        <v>7</v>
      </c>
    </row>
    <row r="3176" spans="1:41" x14ac:dyDescent="0.25">
      <c r="A3176" s="6" t="str">
        <f t="shared" si="730"/>
        <v>525-2025000216</v>
      </c>
      <c r="B3176" s="6" t="str">
        <f t="shared" si="722"/>
        <v>Lasa Int</v>
      </c>
      <c r="C3176" s="7">
        <v>45754</v>
      </c>
      <c r="D3176" s="7">
        <v>46037</v>
      </c>
      <c r="E3176" s="8">
        <v>15</v>
      </c>
      <c r="F3176" s="6" t="str">
        <f t="shared" si="731"/>
        <v>Double R</v>
      </c>
      <c r="G3176" s="6" t="str">
        <f t="shared" si="732"/>
        <v>R320379938000000</v>
      </c>
      <c r="H3176" s="6" t="str">
        <f t="shared" si="733"/>
        <v>R 3799 - PL 1193 (m)</v>
      </c>
      <c r="I3176" s="6" t="str">
        <f>"204259"</f>
        <v>204259</v>
      </c>
      <c r="J3176" s="6" t="str">
        <f>"AZUL 4259"</f>
        <v>AZUL 4259</v>
      </c>
      <c r="K3176" s="6" t="str">
        <f>"5006"</f>
        <v>5006</v>
      </c>
      <c r="L3176" s="6" t="str">
        <f t="shared" si="734"/>
        <v>Roupões Adulto</v>
      </c>
      <c r="M3176" s="6" t="str">
        <f>"L"</f>
        <v>L</v>
      </c>
      <c r="N3176" s="6" t="str">
        <f>"5602972519396"</f>
        <v>5602972519396</v>
      </c>
      <c r="O3176" s="8">
        <v>72</v>
      </c>
      <c r="P3176" s="7">
        <v>45784</v>
      </c>
      <c r="R3176" s="8">
        <v>0</v>
      </c>
      <c r="S3176" s="7">
        <v>45789</v>
      </c>
      <c r="U3176" s="8">
        <v>0</v>
      </c>
      <c r="V3176" s="7">
        <v>45796</v>
      </c>
      <c r="X3176" s="8">
        <v>0</v>
      </c>
      <c r="Z3176" s="8">
        <v>0</v>
      </c>
      <c r="AA3176" s="7">
        <v>45810</v>
      </c>
      <c r="AC3176" s="8">
        <v>70</v>
      </c>
      <c r="AE3176" s="7">
        <v>45824</v>
      </c>
      <c r="AF3176" s="8">
        <v>70</v>
      </c>
      <c r="AH3176" s="7">
        <v>46007</v>
      </c>
      <c r="AI3176" s="7">
        <v>45819</v>
      </c>
      <c r="AN3176" s="8">
        <v>70</v>
      </c>
      <c r="AO3176" s="8">
        <v>2</v>
      </c>
    </row>
    <row r="3177" spans="1:41" x14ac:dyDescent="0.25">
      <c r="A3177" s="6" t="str">
        <f t="shared" si="730"/>
        <v>525-2025000216</v>
      </c>
      <c r="B3177" s="6" t="str">
        <f t="shared" si="722"/>
        <v>Lasa Int</v>
      </c>
      <c r="C3177" s="7">
        <v>45754</v>
      </c>
      <c r="D3177" s="7">
        <v>46037</v>
      </c>
      <c r="E3177" s="8">
        <v>16</v>
      </c>
      <c r="F3177" s="6" t="str">
        <f t="shared" si="731"/>
        <v>Double R</v>
      </c>
      <c r="G3177" s="6" t="str">
        <f t="shared" si="732"/>
        <v>R320379938000000</v>
      </c>
      <c r="H3177" s="6" t="str">
        <f t="shared" si="733"/>
        <v>R 3799 - PL 1193 (m)</v>
      </c>
      <c r="I3177" s="6" t="str">
        <f>"204259"</f>
        <v>204259</v>
      </c>
      <c r="J3177" s="6" t="str">
        <f>"AZUL 4259"</f>
        <v>AZUL 4259</v>
      </c>
      <c r="K3177" s="6" t="str">
        <f>"5008"</f>
        <v>5008</v>
      </c>
      <c r="L3177" s="6" t="str">
        <f t="shared" si="734"/>
        <v>Roupões Adulto</v>
      </c>
      <c r="M3177" s="6" t="str">
        <f>"XL"</f>
        <v>XL</v>
      </c>
      <c r="N3177" s="6" t="str">
        <f>"5602972519402"</f>
        <v>5602972519402</v>
      </c>
      <c r="O3177" s="8">
        <v>48</v>
      </c>
      <c r="P3177" s="7">
        <v>45784</v>
      </c>
      <c r="R3177" s="8">
        <v>0</v>
      </c>
      <c r="S3177" s="7">
        <v>45789</v>
      </c>
      <c r="U3177" s="8">
        <v>0</v>
      </c>
      <c r="V3177" s="7">
        <v>45796</v>
      </c>
      <c r="X3177" s="8">
        <v>0</v>
      </c>
      <c r="Z3177" s="8">
        <v>0</v>
      </c>
      <c r="AA3177" s="7">
        <v>45810</v>
      </c>
      <c r="AC3177" s="8">
        <v>29</v>
      </c>
      <c r="AE3177" s="7">
        <v>45824</v>
      </c>
      <c r="AF3177" s="8">
        <v>29</v>
      </c>
      <c r="AH3177" s="7">
        <v>46007</v>
      </c>
      <c r="AI3177" s="7">
        <v>45819</v>
      </c>
      <c r="AN3177" s="8">
        <v>29</v>
      </c>
      <c r="AO3177" s="8">
        <v>19</v>
      </c>
    </row>
    <row r="3178" spans="1:41" x14ac:dyDescent="0.25">
      <c r="A3178" s="6" t="str">
        <f t="shared" si="730"/>
        <v>525-2025000216</v>
      </c>
      <c r="B3178" s="6" t="str">
        <f t="shared" si="722"/>
        <v>Lasa Int</v>
      </c>
      <c r="C3178" s="7">
        <v>45754</v>
      </c>
      <c r="D3178" s="7">
        <v>46037</v>
      </c>
      <c r="E3178" s="8">
        <v>17</v>
      </c>
      <c r="F3178" s="6" t="str">
        <f t="shared" si="731"/>
        <v>Double R</v>
      </c>
      <c r="G3178" s="6" t="str">
        <f t="shared" si="732"/>
        <v>R320379938000000</v>
      </c>
      <c r="H3178" s="6" t="str">
        <f t="shared" si="733"/>
        <v>R 3799 - PL 1193 (m)</v>
      </c>
      <c r="I3178" s="6" t="str">
        <f>"200727"</f>
        <v>200727</v>
      </c>
      <c r="J3178" s="6" t="str">
        <f>"BEGE 727"</f>
        <v>BEGE 727</v>
      </c>
      <c r="K3178" s="6" t="str">
        <f>"5010"</f>
        <v>5010</v>
      </c>
      <c r="L3178" s="6" t="str">
        <f t="shared" si="734"/>
        <v>Roupões Adulto</v>
      </c>
      <c r="M3178" s="6" t="str">
        <f>"XXL"</f>
        <v>XXL</v>
      </c>
      <c r="N3178" s="6" t="str">
        <f>"5602972519747"</f>
        <v>5602972519747</v>
      </c>
      <c r="O3178" s="8">
        <v>12</v>
      </c>
      <c r="P3178" s="7">
        <v>45784</v>
      </c>
      <c r="R3178" s="8">
        <v>0</v>
      </c>
      <c r="S3178" s="7">
        <v>45789</v>
      </c>
      <c r="U3178" s="8">
        <v>0</v>
      </c>
      <c r="V3178" s="7">
        <v>45796</v>
      </c>
      <c r="X3178" s="8">
        <v>0</v>
      </c>
      <c r="Z3178" s="8">
        <v>0</v>
      </c>
      <c r="AA3178" s="7">
        <v>45810</v>
      </c>
      <c r="AC3178" s="8">
        <v>12</v>
      </c>
      <c r="AE3178" s="7">
        <v>45824</v>
      </c>
      <c r="AF3178" s="8">
        <v>12</v>
      </c>
      <c r="AH3178" s="7">
        <v>46007</v>
      </c>
      <c r="AI3178" s="7">
        <v>45819</v>
      </c>
      <c r="AN3178" s="8">
        <v>12</v>
      </c>
      <c r="AO3178" s="8">
        <v>0</v>
      </c>
    </row>
    <row r="3179" spans="1:41" x14ac:dyDescent="0.25">
      <c r="A3179" s="6" t="str">
        <f t="shared" si="730"/>
        <v>525-2025000216</v>
      </c>
      <c r="B3179" s="6" t="str">
        <f t="shared" si="722"/>
        <v>Lasa Int</v>
      </c>
      <c r="C3179" s="7">
        <v>45754</v>
      </c>
      <c r="D3179" s="7">
        <v>46037</v>
      </c>
      <c r="E3179" s="8">
        <v>18</v>
      </c>
      <c r="F3179" s="6" t="str">
        <f t="shared" si="731"/>
        <v>Double R</v>
      </c>
      <c r="G3179" s="6" t="str">
        <f t="shared" si="732"/>
        <v>R320379938000000</v>
      </c>
      <c r="H3179" s="6" t="str">
        <f t="shared" si="733"/>
        <v>R 3799 - PL 1193 (m)</v>
      </c>
      <c r="I3179" s="6" t="str">
        <f>"204259"</f>
        <v>204259</v>
      </c>
      <c r="J3179" s="6" t="str">
        <f>"AZUL 4259"</f>
        <v>AZUL 4259</v>
      </c>
      <c r="K3179" s="6" t="str">
        <f>"5010"</f>
        <v>5010</v>
      </c>
      <c r="L3179" s="6" t="str">
        <f t="shared" si="734"/>
        <v>Roupões Adulto</v>
      </c>
      <c r="M3179" s="6" t="str">
        <f>"XXL"</f>
        <v>XXL</v>
      </c>
      <c r="N3179" s="6" t="str">
        <f>"5602972519730"</f>
        <v>5602972519730</v>
      </c>
      <c r="O3179" s="8">
        <v>12</v>
      </c>
      <c r="P3179" s="7">
        <v>45784</v>
      </c>
      <c r="R3179" s="8">
        <v>0</v>
      </c>
      <c r="S3179" s="7">
        <v>45789</v>
      </c>
      <c r="U3179" s="8">
        <v>0</v>
      </c>
      <c r="V3179" s="7">
        <v>45796</v>
      </c>
      <c r="X3179" s="8">
        <v>0</v>
      </c>
      <c r="Z3179" s="8">
        <v>0</v>
      </c>
      <c r="AA3179" s="7">
        <v>45810</v>
      </c>
      <c r="AC3179" s="8">
        <v>9</v>
      </c>
      <c r="AE3179" s="7">
        <v>45824</v>
      </c>
      <c r="AF3179" s="8">
        <v>9</v>
      </c>
      <c r="AH3179" s="7">
        <v>46007</v>
      </c>
      <c r="AI3179" s="7">
        <v>45819</v>
      </c>
      <c r="AN3179" s="8">
        <v>9</v>
      </c>
      <c r="AO3179" s="8">
        <v>3</v>
      </c>
    </row>
    <row r="3180" spans="1:41" x14ac:dyDescent="0.25">
      <c r="A3180" s="6" t="str">
        <f t="shared" ref="A3180:A3217" si="735">"525-2025000235"</f>
        <v>525-2025000235</v>
      </c>
      <c r="B3180" s="6" t="str">
        <f t="shared" si="722"/>
        <v>Lasa Int</v>
      </c>
      <c r="C3180" s="7">
        <v>45762</v>
      </c>
      <c r="D3180" s="7">
        <v>46034</v>
      </c>
      <c r="E3180" s="8">
        <v>1</v>
      </c>
      <c r="F3180" s="6" t="str">
        <f t="shared" ref="F3180:F3227" si="736">"PURE R"</f>
        <v>PURE R</v>
      </c>
      <c r="G3180" s="6" t="str">
        <f t="shared" ref="G3180:G3217" si="737">"R010000635000000"</f>
        <v>R010000635000000</v>
      </c>
      <c r="H3180" s="6" t="str">
        <f t="shared" ref="H3180:H3217" si="738">"Alexis Cotoral Pure"</f>
        <v>Alexis Cotoral Pure</v>
      </c>
      <c r="I3180" s="6" t="str">
        <f t="shared" ref="I3180:I3185" si="739">"1"</f>
        <v>1</v>
      </c>
      <c r="J3180" s="6" t="str">
        <f t="shared" ref="J3180:J3185" si="740">"BRANCO"</f>
        <v>BRANCO</v>
      </c>
      <c r="K3180" s="6" t="str">
        <f>"5002"</f>
        <v>5002</v>
      </c>
      <c r="L3180" s="6" t="str">
        <f t="shared" si="734"/>
        <v>Roupões Adulto</v>
      </c>
      <c r="M3180" s="6" t="str">
        <f>"S"</f>
        <v>S</v>
      </c>
      <c r="N3180" s="6" t="str">
        <f>"5602972837957"</f>
        <v>5602972837957</v>
      </c>
      <c r="O3180" s="8">
        <v>120</v>
      </c>
      <c r="P3180" s="7">
        <v>45769</v>
      </c>
      <c r="R3180" s="8">
        <v>10260</v>
      </c>
      <c r="S3180" s="7">
        <v>45775</v>
      </c>
      <c r="U3180" s="8">
        <v>2025</v>
      </c>
      <c r="V3180" s="7">
        <v>45790</v>
      </c>
      <c r="X3180" s="8">
        <v>2025</v>
      </c>
      <c r="Z3180" s="8">
        <v>0</v>
      </c>
      <c r="AA3180" s="7">
        <v>45804</v>
      </c>
      <c r="AC3180" s="8">
        <v>103</v>
      </c>
      <c r="AE3180" s="7">
        <v>45807</v>
      </c>
      <c r="AF3180" s="8">
        <v>103</v>
      </c>
      <c r="AH3180" s="7">
        <v>46034</v>
      </c>
      <c r="AN3180" s="8">
        <v>103</v>
      </c>
      <c r="AO3180" s="8">
        <v>17</v>
      </c>
    </row>
    <row r="3181" spans="1:41" x14ac:dyDescent="0.25">
      <c r="A3181" s="6" t="str">
        <f t="shared" si="735"/>
        <v>525-2025000235</v>
      </c>
      <c r="B3181" s="6" t="str">
        <f t="shared" si="722"/>
        <v>Lasa Int</v>
      </c>
      <c r="C3181" s="7">
        <v>45762</v>
      </c>
      <c r="D3181" s="7">
        <v>46034</v>
      </c>
      <c r="E3181" s="8">
        <v>2</v>
      </c>
      <c r="F3181" s="6" t="str">
        <f t="shared" si="736"/>
        <v>PURE R</v>
      </c>
      <c r="G3181" s="6" t="str">
        <f t="shared" si="737"/>
        <v>R010000635000000</v>
      </c>
      <c r="H3181" s="6" t="str">
        <f t="shared" si="738"/>
        <v>Alexis Cotoral Pure</v>
      </c>
      <c r="I3181" s="6" t="str">
        <f t="shared" si="739"/>
        <v>1</v>
      </c>
      <c r="J3181" s="6" t="str">
        <f t="shared" si="740"/>
        <v>BRANCO</v>
      </c>
      <c r="K3181" s="6" t="str">
        <f>"5004"</f>
        <v>5004</v>
      </c>
      <c r="L3181" s="6" t="str">
        <f t="shared" si="734"/>
        <v>Roupões Adulto</v>
      </c>
      <c r="M3181" s="6" t="str">
        <f>"M"</f>
        <v>M</v>
      </c>
      <c r="N3181" s="6" t="str">
        <f>"5602972837964"</f>
        <v>5602972837964</v>
      </c>
      <c r="O3181" s="8">
        <v>240</v>
      </c>
      <c r="P3181" s="7">
        <v>45769</v>
      </c>
      <c r="R3181" s="8">
        <v>0</v>
      </c>
      <c r="S3181" s="7">
        <v>45775</v>
      </c>
      <c r="U3181" s="8">
        <v>0</v>
      </c>
      <c r="V3181" s="7">
        <v>45790</v>
      </c>
      <c r="X3181" s="8">
        <v>0</v>
      </c>
      <c r="Z3181" s="8">
        <v>0</v>
      </c>
      <c r="AA3181" s="7">
        <v>45804</v>
      </c>
      <c r="AC3181" s="8">
        <v>265</v>
      </c>
      <c r="AE3181" s="7">
        <v>45807</v>
      </c>
      <c r="AF3181" s="8">
        <v>265</v>
      </c>
      <c r="AH3181" s="7">
        <v>46034</v>
      </c>
      <c r="AN3181" s="8">
        <v>265</v>
      </c>
      <c r="AO3181" s="8">
        <v>-25</v>
      </c>
    </row>
    <row r="3182" spans="1:41" x14ac:dyDescent="0.25">
      <c r="A3182" s="6" t="str">
        <f t="shared" si="735"/>
        <v>525-2025000235</v>
      </c>
      <c r="B3182" s="6" t="str">
        <f t="shared" si="722"/>
        <v>Lasa Int</v>
      </c>
      <c r="C3182" s="7">
        <v>45762</v>
      </c>
      <c r="D3182" s="7">
        <v>46034</v>
      </c>
      <c r="E3182" s="8">
        <v>3</v>
      </c>
      <c r="F3182" s="6" t="str">
        <f t="shared" si="736"/>
        <v>PURE R</v>
      </c>
      <c r="G3182" s="6" t="str">
        <f t="shared" si="737"/>
        <v>R010000635000000</v>
      </c>
      <c r="H3182" s="6" t="str">
        <f t="shared" si="738"/>
        <v>Alexis Cotoral Pure</v>
      </c>
      <c r="I3182" s="6" t="str">
        <f t="shared" si="739"/>
        <v>1</v>
      </c>
      <c r="J3182" s="6" t="str">
        <f t="shared" si="740"/>
        <v>BRANCO</v>
      </c>
      <c r="K3182" s="6" t="str">
        <f>"5006"</f>
        <v>5006</v>
      </c>
      <c r="L3182" s="6" t="str">
        <f t="shared" si="734"/>
        <v>Roupões Adulto</v>
      </c>
      <c r="M3182" s="6" t="str">
        <f>"L"</f>
        <v>L</v>
      </c>
      <c r="N3182" s="6" t="str">
        <f>"5602972837971"</f>
        <v>5602972837971</v>
      </c>
      <c r="O3182" s="8">
        <v>144</v>
      </c>
      <c r="P3182" s="7">
        <v>45769</v>
      </c>
      <c r="R3182" s="8">
        <v>0</v>
      </c>
      <c r="S3182" s="7">
        <v>45775</v>
      </c>
      <c r="U3182" s="8">
        <v>0</v>
      </c>
      <c r="V3182" s="7">
        <v>45790</v>
      </c>
      <c r="X3182" s="8">
        <v>0</v>
      </c>
      <c r="Z3182" s="8">
        <v>0</v>
      </c>
      <c r="AA3182" s="7">
        <v>45804</v>
      </c>
      <c r="AC3182" s="8">
        <v>160</v>
      </c>
      <c r="AE3182" s="7">
        <v>45807</v>
      </c>
      <c r="AF3182" s="8">
        <v>160</v>
      </c>
      <c r="AH3182" s="7">
        <v>46034</v>
      </c>
      <c r="AN3182" s="8">
        <v>160</v>
      </c>
      <c r="AO3182" s="8">
        <v>-16</v>
      </c>
    </row>
    <row r="3183" spans="1:41" x14ac:dyDescent="0.25">
      <c r="A3183" s="6" t="str">
        <f t="shared" si="735"/>
        <v>525-2025000235</v>
      </c>
      <c r="B3183" s="6" t="str">
        <f t="shared" si="722"/>
        <v>Lasa Int</v>
      </c>
      <c r="C3183" s="7">
        <v>45762</v>
      </c>
      <c r="D3183" s="7">
        <v>46034</v>
      </c>
      <c r="E3183" s="8">
        <v>4</v>
      </c>
      <c r="F3183" s="6" t="str">
        <f t="shared" si="736"/>
        <v>PURE R</v>
      </c>
      <c r="G3183" s="6" t="str">
        <f t="shared" si="737"/>
        <v>R010000635000000</v>
      </c>
      <c r="H3183" s="6" t="str">
        <f t="shared" si="738"/>
        <v>Alexis Cotoral Pure</v>
      </c>
      <c r="I3183" s="6" t="str">
        <f t="shared" si="739"/>
        <v>1</v>
      </c>
      <c r="J3183" s="6" t="str">
        <f t="shared" si="740"/>
        <v>BRANCO</v>
      </c>
      <c r="K3183" s="6" t="str">
        <f>"5008"</f>
        <v>5008</v>
      </c>
      <c r="L3183" s="6" t="str">
        <f t="shared" si="734"/>
        <v>Roupões Adulto</v>
      </c>
      <c r="M3183" s="6" t="str">
        <f>"XL"</f>
        <v>XL</v>
      </c>
      <c r="N3183" s="6" t="str">
        <f>"5602972837988"</f>
        <v>5602972837988</v>
      </c>
      <c r="O3183" s="8">
        <v>144</v>
      </c>
      <c r="P3183" s="7">
        <v>45769</v>
      </c>
      <c r="R3183" s="8">
        <v>0</v>
      </c>
      <c r="S3183" s="7">
        <v>45775</v>
      </c>
      <c r="U3183" s="8">
        <v>0</v>
      </c>
      <c r="V3183" s="7">
        <v>45790</v>
      </c>
      <c r="X3183" s="8">
        <v>0</v>
      </c>
      <c r="Z3183" s="8">
        <v>0</v>
      </c>
      <c r="AA3183" s="7">
        <v>45804</v>
      </c>
      <c r="AC3183" s="8">
        <v>152</v>
      </c>
      <c r="AE3183" s="7">
        <v>45807</v>
      </c>
      <c r="AF3183" s="8">
        <v>152</v>
      </c>
      <c r="AH3183" s="7">
        <v>46034</v>
      </c>
      <c r="AN3183" s="8">
        <v>152</v>
      </c>
      <c r="AO3183" s="8">
        <v>-8</v>
      </c>
    </row>
    <row r="3184" spans="1:41" x14ac:dyDescent="0.25">
      <c r="A3184" s="6" t="str">
        <f t="shared" si="735"/>
        <v>525-2025000235</v>
      </c>
      <c r="B3184" s="6" t="str">
        <f t="shared" si="722"/>
        <v>Lasa Int</v>
      </c>
      <c r="C3184" s="7">
        <v>45762</v>
      </c>
      <c r="D3184" s="7">
        <v>46034</v>
      </c>
      <c r="E3184" s="8">
        <v>5</v>
      </c>
      <c r="F3184" s="6" t="str">
        <f t="shared" si="736"/>
        <v>PURE R</v>
      </c>
      <c r="G3184" s="6" t="str">
        <f t="shared" si="737"/>
        <v>R010000635000000</v>
      </c>
      <c r="H3184" s="6" t="str">
        <f t="shared" si="738"/>
        <v>Alexis Cotoral Pure</v>
      </c>
      <c r="I3184" s="6" t="str">
        <f t="shared" si="739"/>
        <v>1</v>
      </c>
      <c r="J3184" s="6" t="str">
        <f t="shared" si="740"/>
        <v>BRANCO</v>
      </c>
      <c r="K3184" s="6" t="str">
        <f>"5010"</f>
        <v>5010</v>
      </c>
      <c r="L3184" s="6" t="str">
        <f t="shared" si="734"/>
        <v>Roupões Adulto</v>
      </c>
      <c r="M3184" s="6" t="str">
        <f>"XXL"</f>
        <v>XXL</v>
      </c>
      <c r="N3184" s="6" t="str">
        <f>"5602972855685"</f>
        <v>5602972855685</v>
      </c>
      <c r="O3184" s="8">
        <v>60</v>
      </c>
      <c r="P3184" s="7">
        <v>45769</v>
      </c>
      <c r="R3184" s="8">
        <v>0</v>
      </c>
      <c r="S3184" s="7">
        <v>45775</v>
      </c>
      <c r="U3184" s="8">
        <v>0</v>
      </c>
      <c r="V3184" s="7">
        <v>45790</v>
      </c>
      <c r="X3184" s="8">
        <v>0</v>
      </c>
      <c r="Z3184" s="8">
        <v>0</v>
      </c>
      <c r="AA3184" s="7">
        <v>45804</v>
      </c>
      <c r="AC3184" s="8">
        <v>46</v>
      </c>
      <c r="AE3184" s="7">
        <v>45807</v>
      </c>
      <c r="AF3184" s="8">
        <v>46</v>
      </c>
      <c r="AH3184" s="7">
        <v>46034</v>
      </c>
      <c r="AN3184" s="8">
        <v>46</v>
      </c>
      <c r="AO3184" s="8">
        <v>14</v>
      </c>
    </row>
    <row r="3185" spans="1:41" x14ac:dyDescent="0.25">
      <c r="A3185" s="6" t="str">
        <f t="shared" si="735"/>
        <v>525-2025000235</v>
      </c>
      <c r="B3185" s="6" t="str">
        <f t="shared" si="722"/>
        <v>Lasa Int</v>
      </c>
      <c r="C3185" s="7">
        <v>45762</v>
      </c>
      <c r="D3185" s="7">
        <v>46034</v>
      </c>
      <c r="E3185" s="8">
        <v>6</v>
      </c>
      <c r="F3185" s="6" t="str">
        <f t="shared" si="736"/>
        <v>PURE R</v>
      </c>
      <c r="G3185" s="6" t="str">
        <f t="shared" si="737"/>
        <v>R010000635000000</v>
      </c>
      <c r="H3185" s="6" t="str">
        <f t="shared" si="738"/>
        <v>Alexis Cotoral Pure</v>
      </c>
      <c r="I3185" s="6" t="str">
        <f t="shared" si="739"/>
        <v>1</v>
      </c>
      <c r="J3185" s="6" t="str">
        <f t="shared" si="740"/>
        <v>BRANCO</v>
      </c>
      <c r="K3185" s="6" t="str">
        <f>"5012"</f>
        <v>5012</v>
      </c>
      <c r="L3185" s="6" t="str">
        <f t="shared" si="734"/>
        <v>Roupões Adulto</v>
      </c>
      <c r="M3185" s="6" t="str">
        <f>"XXXL"</f>
        <v>XXXL</v>
      </c>
      <c r="N3185" s="6" t="str">
        <f>"5602972674248"</f>
        <v>5602972674248</v>
      </c>
      <c r="O3185" s="8">
        <v>12</v>
      </c>
      <c r="P3185" s="7">
        <v>45769</v>
      </c>
      <c r="R3185" s="8">
        <v>0</v>
      </c>
      <c r="S3185" s="7">
        <v>45775</v>
      </c>
      <c r="U3185" s="8">
        <v>0</v>
      </c>
      <c r="V3185" s="7">
        <v>45790</v>
      </c>
      <c r="X3185" s="8">
        <v>0</v>
      </c>
      <c r="Z3185" s="8">
        <v>0</v>
      </c>
      <c r="AA3185" s="7">
        <v>45804</v>
      </c>
      <c r="AC3185" s="8">
        <v>13</v>
      </c>
      <c r="AE3185" s="7">
        <v>45807</v>
      </c>
      <c r="AF3185" s="8">
        <v>13</v>
      </c>
      <c r="AH3185" s="7">
        <v>46034</v>
      </c>
      <c r="AN3185" s="8">
        <v>13</v>
      </c>
      <c r="AO3185" s="8">
        <v>-1</v>
      </c>
    </row>
    <row r="3186" spans="1:41" x14ac:dyDescent="0.25">
      <c r="A3186" s="6" t="str">
        <f t="shared" si="735"/>
        <v>525-2025000235</v>
      </c>
      <c r="B3186" s="6" t="str">
        <f t="shared" si="722"/>
        <v>Lasa Int</v>
      </c>
      <c r="C3186" s="7">
        <v>45762</v>
      </c>
      <c r="D3186" s="7">
        <v>46034</v>
      </c>
      <c r="E3186" s="8">
        <v>7</v>
      </c>
      <c r="F3186" s="6" t="str">
        <f t="shared" si="736"/>
        <v>PURE R</v>
      </c>
      <c r="G3186" s="6" t="str">
        <f t="shared" si="737"/>
        <v>R010000635000000</v>
      </c>
      <c r="H3186" s="6" t="str">
        <f t="shared" si="738"/>
        <v>Alexis Cotoral Pure</v>
      </c>
      <c r="I3186" s="6" t="str">
        <f>"1670"</f>
        <v>1670</v>
      </c>
      <c r="J3186" s="6" t="str">
        <f>"BEGE 1670"</f>
        <v>BEGE 1670</v>
      </c>
      <c r="K3186" s="6" t="str">
        <f>"5002"</f>
        <v>5002</v>
      </c>
      <c r="L3186" s="6" t="str">
        <f t="shared" si="734"/>
        <v>Roupões Adulto</v>
      </c>
      <c r="M3186" s="6" t="str">
        <f>"S"</f>
        <v>S</v>
      </c>
      <c r="N3186" s="6" t="str">
        <f>"5602972837995"</f>
        <v>5602972837995</v>
      </c>
      <c r="O3186" s="8">
        <v>48</v>
      </c>
      <c r="P3186" s="7">
        <v>45769</v>
      </c>
      <c r="R3186" s="8">
        <v>0</v>
      </c>
      <c r="S3186" s="7">
        <v>45775</v>
      </c>
      <c r="U3186" s="8">
        <v>474</v>
      </c>
      <c r="V3186" s="7">
        <v>45790</v>
      </c>
      <c r="X3186" s="8">
        <v>474</v>
      </c>
      <c r="Z3186" s="8">
        <v>0</v>
      </c>
      <c r="AA3186" s="7">
        <v>45804</v>
      </c>
      <c r="AC3186" s="8">
        <v>53</v>
      </c>
      <c r="AE3186" s="7">
        <v>45807</v>
      </c>
      <c r="AF3186" s="8">
        <v>53</v>
      </c>
      <c r="AH3186" s="7">
        <v>46034</v>
      </c>
      <c r="AN3186" s="8">
        <v>53</v>
      </c>
      <c r="AO3186" s="8">
        <v>-5</v>
      </c>
    </row>
    <row r="3187" spans="1:41" x14ac:dyDescent="0.25">
      <c r="A3187" s="6" t="str">
        <f t="shared" si="735"/>
        <v>525-2025000235</v>
      </c>
      <c r="B3187" s="6" t="str">
        <f t="shared" si="722"/>
        <v>Lasa Int</v>
      </c>
      <c r="C3187" s="7">
        <v>45762</v>
      </c>
      <c r="D3187" s="7">
        <v>46034</v>
      </c>
      <c r="E3187" s="8">
        <v>8</v>
      </c>
      <c r="F3187" s="6" t="str">
        <f t="shared" si="736"/>
        <v>PURE R</v>
      </c>
      <c r="G3187" s="6" t="str">
        <f t="shared" si="737"/>
        <v>R010000635000000</v>
      </c>
      <c r="H3187" s="6" t="str">
        <f t="shared" si="738"/>
        <v>Alexis Cotoral Pure</v>
      </c>
      <c r="I3187" s="6" t="str">
        <f>"1670"</f>
        <v>1670</v>
      </c>
      <c r="J3187" s="6" t="str">
        <f>"BEGE 1670"</f>
        <v>BEGE 1670</v>
      </c>
      <c r="K3187" s="6" t="str">
        <f>"5004"</f>
        <v>5004</v>
      </c>
      <c r="L3187" s="6" t="str">
        <f t="shared" si="734"/>
        <v>Roupões Adulto</v>
      </c>
      <c r="M3187" s="6" t="str">
        <f>"M"</f>
        <v>M</v>
      </c>
      <c r="N3187" s="6" t="str">
        <f>"5602972838008"</f>
        <v>5602972838008</v>
      </c>
      <c r="O3187" s="8">
        <v>48</v>
      </c>
      <c r="P3187" s="7">
        <v>45769</v>
      </c>
      <c r="R3187" s="8">
        <v>0</v>
      </c>
      <c r="S3187" s="7">
        <v>45775</v>
      </c>
      <c r="U3187" s="8">
        <v>0</v>
      </c>
      <c r="V3187" s="7">
        <v>45790</v>
      </c>
      <c r="X3187" s="8">
        <v>0</v>
      </c>
      <c r="Z3187" s="8">
        <v>0</v>
      </c>
      <c r="AA3187" s="7">
        <v>45804</v>
      </c>
      <c r="AC3187" s="8">
        <v>60</v>
      </c>
      <c r="AE3187" s="7">
        <v>45807</v>
      </c>
      <c r="AF3187" s="8">
        <v>60</v>
      </c>
      <c r="AH3187" s="7">
        <v>46034</v>
      </c>
      <c r="AN3187" s="8">
        <v>60</v>
      </c>
      <c r="AO3187" s="8">
        <v>-12</v>
      </c>
    </row>
    <row r="3188" spans="1:41" x14ac:dyDescent="0.25">
      <c r="A3188" s="6" t="str">
        <f t="shared" si="735"/>
        <v>525-2025000235</v>
      </c>
      <c r="B3188" s="6" t="str">
        <f t="shared" si="722"/>
        <v>Lasa Int</v>
      </c>
      <c r="C3188" s="7">
        <v>45762</v>
      </c>
      <c r="D3188" s="7">
        <v>46034</v>
      </c>
      <c r="E3188" s="8">
        <v>9</v>
      </c>
      <c r="F3188" s="6" t="str">
        <f t="shared" si="736"/>
        <v>PURE R</v>
      </c>
      <c r="G3188" s="6" t="str">
        <f t="shared" si="737"/>
        <v>R010000635000000</v>
      </c>
      <c r="H3188" s="6" t="str">
        <f t="shared" si="738"/>
        <v>Alexis Cotoral Pure</v>
      </c>
      <c r="I3188" s="6" t="str">
        <f>"1670"</f>
        <v>1670</v>
      </c>
      <c r="J3188" s="6" t="str">
        <f>"BEGE 1670"</f>
        <v>BEGE 1670</v>
      </c>
      <c r="K3188" s="6" t="str">
        <f>"5006"</f>
        <v>5006</v>
      </c>
      <c r="L3188" s="6" t="str">
        <f t="shared" si="734"/>
        <v>Roupões Adulto</v>
      </c>
      <c r="M3188" s="6" t="str">
        <f>"L"</f>
        <v>L</v>
      </c>
      <c r="N3188" s="6" t="str">
        <f>"5602972838015"</f>
        <v>5602972838015</v>
      </c>
      <c r="O3188" s="8">
        <v>36</v>
      </c>
      <c r="P3188" s="7">
        <v>45769</v>
      </c>
      <c r="R3188" s="8">
        <v>0</v>
      </c>
      <c r="S3188" s="7">
        <v>45775</v>
      </c>
      <c r="U3188" s="8">
        <v>0</v>
      </c>
      <c r="V3188" s="7">
        <v>45790</v>
      </c>
      <c r="X3188" s="8">
        <v>0</v>
      </c>
      <c r="Z3188" s="8">
        <v>0</v>
      </c>
      <c r="AA3188" s="7">
        <v>45804</v>
      </c>
      <c r="AC3188" s="8">
        <v>51</v>
      </c>
      <c r="AE3188" s="7">
        <v>45807</v>
      </c>
      <c r="AF3188" s="8">
        <v>51</v>
      </c>
      <c r="AH3188" s="7">
        <v>46034</v>
      </c>
      <c r="AN3188" s="8">
        <v>51</v>
      </c>
      <c r="AO3188" s="8">
        <v>-15</v>
      </c>
    </row>
    <row r="3189" spans="1:41" x14ac:dyDescent="0.25">
      <c r="A3189" s="6" t="str">
        <f t="shared" si="735"/>
        <v>525-2025000235</v>
      </c>
      <c r="B3189" s="6" t="str">
        <f t="shared" si="722"/>
        <v>Lasa Int</v>
      </c>
      <c r="C3189" s="7">
        <v>45762</v>
      </c>
      <c r="D3189" s="7">
        <v>46034</v>
      </c>
      <c r="E3189" s="8">
        <v>10</v>
      </c>
      <c r="F3189" s="6" t="str">
        <f t="shared" si="736"/>
        <v>PURE R</v>
      </c>
      <c r="G3189" s="6" t="str">
        <f t="shared" si="737"/>
        <v>R010000635000000</v>
      </c>
      <c r="H3189" s="6" t="str">
        <f t="shared" si="738"/>
        <v>Alexis Cotoral Pure</v>
      </c>
      <c r="I3189" s="6" t="str">
        <f>"1670"</f>
        <v>1670</v>
      </c>
      <c r="J3189" s="6" t="str">
        <f>"BEGE 1670"</f>
        <v>BEGE 1670</v>
      </c>
      <c r="K3189" s="6" t="str">
        <f>"5008"</f>
        <v>5008</v>
      </c>
      <c r="L3189" s="6" t="str">
        <f t="shared" si="734"/>
        <v>Roupões Adulto</v>
      </c>
      <c r="M3189" s="6" t="str">
        <f>"XL"</f>
        <v>XL</v>
      </c>
      <c r="N3189" s="6" t="str">
        <f>"5602972838022"</f>
        <v>5602972838022</v>
      </c>
      <c r="O3189" s="8">
        <v>24</v>
      </c>
      <c r="P3189" s="7">
        <v>45769</v>
      </c>
      <c r="R3189" s="8">
        <v>0</v>
      </c>
      <c r="S3189" s="7">
        <v>45775</v>
      </c>
      <c r="U3189" s="8">
        <v>0</v>
      </c>
      <c r="V3189" s="7">
        <v>45790</v>
      </c>
      <c r="X3189" s="8">
        <v>0</v>
      </c>
      <c r="Z3189" s="8">
        <v>0</v>
      </c>
      <c r="AA3189" s="7">
        <v>45804</v>
      </c>
      <c r="AC3189" s="8">
        <v>25</v>
      </c>
      <c r="AE3189" s="7">
        <v>45807</v>
      </c>
      <c r="AF3189" s="8">
        <v>25</v>
      </c>
      <c r="AH3189" s="7">
        <v>46034</v>
      </c>
      <c r="AN3189" s="8">
        <v>25</v>
      </c>
      <c r="AO3189" s="8">
        <v>-1</v>
      </c>
    </row>
    <row r="3190" spans="1:41" x14ac:dyDescent="0.25">
      <c r="A3190" s="6" t="str">
        <f t="shared" si="735"/>
        <v>525-2025000235</v>
      </c>
      <c r="B3190" s="6" t="str">
        <f t="shared" si="722"/>
        <v>Lasa Int</v>
      </c>
      <c r="C3190" s="7">
        <v>45762</v>
      </c>
      <c r="D3190" s="7">
        <v>46034</v>
      </c>
      <c r="E3190" s="8">
        <v>11</v>
      </c>
      <c r="F3190" s="6" t="str">
        <f t="shared" si="736"/>
        <v>PURE R</v>
      </c>
      <c r="G3190" s="6" t="str">
        <f t="shared" si="737"/>
        <v>R010000635000000</v>
      </c>
      <c r="H3190" s="6" t="str">
        <f t="shared" si="738"/>
        <v>Alexis Cotoral Pure</v>
      </c>
      <c r="I3190" s="6" t="str">
        <f>"1670"</f>
        <v>1670</v>
      </c>
      <c r="J3190" s="6" t="str">
        <f>"BEGE 1670"</f>
        <v>BEGE 1670</v>
      </c>
      <c r="K3190" s="6" t="str">
        <f>"5010"</f>
        <v>5010</v>
      </c>
      <c r="L3190" s="6" t="str">
        <f t="shared" si="734"/>
        <v>Roupões Adulto</v>
      </c>
      <c r="M3190" s="6" t="str">
        <f>"XXL"</f>
        <v>XXL</v>
      </c>
      <c r="N3190" s="6" t="str">
        <f>"5602972896664"</f>
        <v>5602972896664</v>
      </c>
      <c r="O3190" s="8">
        <v>12</v>
      </c>
      <c r="P3190" s="7">
        <v>45769</v>
      </c>
      <c r="R3190" s="8">
        <v>0</v>
      </c>
      <c r="S3190" s="7">
        <v>45775</v>
      </c>
      <c r="U3190" s="8">
        <v>0</v>
      </c>
      <c r="V3190" s="7">
        <v>45790</v>
      </c>
      <c r="X3190" s="8">
        <v>0</v>
      </c>
      <c r="Z3190" s="8">
        <v>0</v>
      </c>
      <c r="AA3190" s="7">
        <v>45804</v>
      </c>
      <c r="AC3190" s="8">
        <v>14</v>
      </c>
      <c r="AE3190" s="7">
        <v>45807</v>
      </c>
      <c r="AF3190" s="8">
        <v>14</v>
      </c>
      <c r="AH3190" s="7">
        <v>46034</v>
      </c>
      <c r="AN3190" s="8">
        <v>14</v>
      </c>
      <c r="AO3190" s="8">
        <v>-2</v>
      </c>
    </row>
    <row r="3191" spans="1:41" x14ac:dyDescent="0.25">
      <c r="A3191" s="6" t="str">
        <f t="shared" si="735"/>
        <v>525-2025000235</v>
      </c>
      <c r="B3191" s="6" t="str">
        <f t="shared" si="722"/>
        <v>Lasa Int</v>
      </c>
      <c r="C3191" s="7">
        <v>45762</v>
      </c>
      <c r="D3191" s="7">
        <v>46034</v>
      </c>
      <c r="E3191" s="8">
        <v>12</v>
      </c>
      <c r="F3191" s="6" t="str">
        <f t="shared" si="736"/>
        <v>PURE R</v>
      </c>
      <c r="G3191" s="6" t="str">
        <f t="shared" si="737"/>
        <v>R010000635000000</v>
      </c>
      <c r="H3191" s="6" t="str">
        <f t="shared" si="738"/>
        <v>Alexis Cotoral Pure</v>
      </c>
      <c r="I3191" s="6" t="str">
        <f>"2096"</f>
        <v>2096</v>
      </c>
      <c r="J3191" s="6" t="str">
        <f>"AZUL 2096"</f>
        <v>AZUL 2096</v>
      </c>
      <c r="K3191" s="6" t="str">
        <f>"5002"</f>
        <v>5002</v>
      </c>
      <c r="L3191" s="6" t="str">
        <f t="shared" si="734"/>
        <v>Roupões Adulto</v>
      </c>
      <c r="M3191" s="6" t="str">
        <f>"S"</f>
        <v>S</v>
      </c>
      <c r="N3191" s="6" t="str">
        <f>"5602972838268"</f>
        <v>5602972838268</v>
      </c>
      <c r="O3191" s="8">
        <v>48</v>
      </c>
      <c r="P3191" s="7">
        <v>45769</v>
      </c>
      <c r="R3191" s="8">
        <v>0</v>
      </c>
      <c r="S3191" s="7">
        <v>45775</v>
      </c>
      <c r="U3191" s="8">
        <v>675</v>
      </c>
      <c r="V3191" s="7">
        <v>45790</v>
      </c>
      <c r="X3191" s="8">
        <v>675</v>
      </c>
      <c r="Z3191" s="8">
        <v>0</v>
      </c>
      <c r="AA3191" s="7">
        <v>45804</v>
      </c>
      <c r="AC3191" s="8">
        <v>49</v>
      </c>
      <c r="AE3191" s="7">
        <v>45807</v>
      </c>
      <c r="AF3191" s="8">
        <v>49</v>
      </c>
      <c r="AH3191" s="7">
        <v>46034</v>
      </c>
      <c r="AN3191" s="8">
        <v>49</v>
      </c>
      <c r="AO3191" s="8">
        <v>-1</v>
      </c>
    </row>
    <row r="3192" spans="1:41" x14ac:dyDescent="0.25">
      <c r="A3192" s="6" t="str">
        <f t="shared" si="735"/>
        <v>525-2025000235</v>
      </c>
      <c r="B3192" s="6" t="str">
        <f t="shared" si="722"/>
        <v>Lasa Int</v>
      </c>
      <c r="C3192" s="7">
        <v>45762</v>
      </c>
      <c r="D3192" s="7">
        <v>46034</v>
      </c>
      <c r="E3192" s="8">
        <v>13</v>
      </c>
      <c r="F3192" s="6" t="str">
        <f t="shared" si="736"/>
        <v>PURE R</v>
      </c>
      <c r="G3192" s="6" t="str">
        <f t="shared" si="737"/>
        <v>R010000635000000</v>
      </c>
      <c r="H3192" s="6" t="str">
        <f t="shared" si="738"/>
        <v>Alexis Cotoral Pure</v>
      </c>
      <c r="I3192" s="6" t="str">
        <f>"2096"</f>
        <v>2096</v>
      </c>
      <c r="J3192" s="6" t="str">
        <f>"AZUL 2096"</f>
        <v>AZUL 2096</v>
      </c>
      <c r="K3192" s="6" t="str">
        <f>"5004"</f>
        <v>5004</v>
      </c>
      <c r="L3192" s="6" t="str">
        <f t="shared" si="734"/>
        <v>Roupões Adulto</v>
      </c>
      <c r="M3192" s="6" t="str">
        <f>"M"</f>
        <v>M</v>
      </c>
      <c r="N3192" s="6" t="str">
        <f>"5602972838275"</f>
        <v>5602972838275</v>
      </c>
      <c r="O3192" s="8">
        <v>60</v>
      </c>
      <c r="P3192" s="7">
        <v>45769</v>
      </c>
      <c r="R3192" s="8">
        <v>0</v>
      </c>
      <c r="S3192" s="7">
        <v>45775</v>
      </c>
      <c r="U3192" s="8">
        <v>0</v>
      </c>
      <c r="V3192" s="7">
        <v>45790</v>
      </c>
      <c r="X3192" s="8">
        <v>0</v>
      </c>
      <c r="Z3192" s="8">
        <v>0</v>
      </c>
      <c r="AA3192" s="7">
        <v>45804</v>
      </c>
      <c r="AC3192" s="8">
        <v>69</v>
      </c>
      <c r="AE3192" s="7">
        <v>45807</v>
      </c>
      <c r="AF3192" s="8">
        <v>69</v>
      </c>
      <c r="AH3192" s="7">
        <v>46034</v>
      </c>
      <c r="AN3192" s="8">
        <v>69</v>
      </c>
      <c r="AO3192" s="8">
        <v>-9</v>
      </c>
    </row>
    <row r="3193" spans="1:41" x14ac:dyDescent="0.25">
      <c r="A3193" s="6" t="str">
        <f t="shared" si="735"/>
        <v>525-2025000235</v>
      </c>
      <c r="B3193" s="6" t="str">
        <f t="shared" si="722"/>
        <v>Lasa Int</v>
      </c>
      <c r="C3193" s="7">
        <v>45762</v>
      </c>
      <c r="D3193" s="7">
        <v>46034</v>
      </c>
      <c r="E3193" s="8">
        <v>14</v>
      </c>
      <c r="F3193" s="6" t="str">
        <f t="shared" si="736"/>
        <v>PURE R</v>
      </c>
      <c r="G3193" s="6" t="str">
        <f t="shared" si="737"/>
        <v>R010000635000000</v>
      </c>
      <c r="H3193" s="6" t="str">
        <f t="shared" si="738"/>
        <v>Alexis Cotoral Pure</v>
      </c>
      <c r="I3193" s="6" t="str">
        <f>"2096"</f>
        <v>2096</v>
      </c>
      <c r="J3193" s="6" t="str">
        <f>"AZUL 2096"</f>
        <v>AZUL 2096</v>
      </c>
      <c r="K3193" s="6" t="str">
        <f>"5006"</f>
        <v>5006</v>
      </c>
      <c r="L3193" s="6" t="str">
        <f t="shared" si="734"/>
        <v>Roupões Adulto</v>
      </c>
      <c r="M3193" s="6" t="str">
        <f>"L"</f>
        <v>L</v>
      </c>
      <c r="N3193" s="6" t="str">
        <f>"5602972838282"</f>
        <v>5602972838282</v>
      </c>
      <c r="O3193" s="8">
        <v>60</v>
      </c>
      <c r="P3193" s="7">
        <v>45769</v>
      </c>
      <c r="R3193" s="8">
        <v>0</v>
      </c>
      <c r="S3193" s="7">
        <v>45775</v>
      </c>
      <c r="U3193" s="8">
        <v>0</v>
      </c>
      <c r="V3193" s="7">
        <v>45790</v>
      </c>
      <c r="X3193" s="8">
        <v>0</v>
      </c>
      <c r="Z3193" s="8">
        <v>0</v>
      </c>
      <c r="AA3193" s="7">
        <v>45804</v>
      </c>
      <c r="AC3193" s="8">
        <v>64</v>
      </c>
      <c r="AE3193" s="7">
        <v>45807</v>
      </c>
      <c r="AF3193" s="8">
        <v>64</v>
      </c>
      <c r="AH3193" s="7">
        <v>46034</v>
      </c>
      <c r="AN3193" s="8">
        <v>64</v>
      </c>
      <c r="AO3193" s="8">
        <v>-4</v>
      </c>
    </row>
    <row r="3194" spans="1:41" x14ac:dyDescent="0.25">
      <c r="A3194" s="6" t="str">
        <f t="shared" si="735"/>
        <v>525-2025000235</v>
      </c>
      <c r="B3194" s="6" t="str">
        <f t="shared" si="722"/>
        <v>Lasa Int</v>
      </c>
      <c r="C3194" s="7">
        <v>45762</v>
      </c>
      <c r="D3194" s="7">
        <v>46034</v>
      </c>
      <c r="E3194" s="8">
        <v>15</v>
      </c>
      <c r="F3194" s="6" t="str">
        <f t="shared" si="736"/>
        <v>PURE R</v>
      </c>
      <c r="G3194" s="6" t="str">
        <f t="shared" si="737"/>
        <v>R010000635000000</v>
      </c>
      <c r="H3194" s="6" t="str">
        <f t="shared" si="738"/>
        <v>Alexis Cotoral Pure</v>
      </c>
      <c r="I3194" s="6" t="str">
        <f>"2096"</f>
        <v>2096</v>
      </c>
      <c r="J3194" s="6" t="str">
        <f>"AZUL 2096"</f>
        <v>AZUL 2096</v>
      </c>
      <c r="K3194" s="6" t="str">
        <f>"5008"</f>
        <v>5008</v>
      </c>
      <c r="L3194" s="6" t="str">
        <f t="shared" ref="L3194:L3217" si="741">"Roupões Adulto"</f>
        <v>Roupões Adulto</v>
      </c>
      <c r="M3194" s="6" t="str">
        <f>"XL"</f>
        <v>XL</v>
      </c>
      <c r="N3194" s="6" t="str">
        <f>"5602972838299"</f>
        <v>5602972838299</v>
      </c>
      <c r="O3194" s="8">
        <v>24</v>
      </c>
      <c r="P3194" s="7">
        <v>45769</v>
      </c>
      <c r="R3194" s="8">
        <v>0</v>
      </c>
      <c r="S3194" s="7">
        <v>45775</v>
      </c>
      <c r="U3194" s="8">
        <v>0</v>
      </c>
      <c r="V3194" s="7">
        <v>45790</v>
      </c>
      <c r="X3194" s="8">
        <v>0</v>
      </c>
      <c r="Z3194" s="8">
        <v>0</v>
      </c>
      <c r="AA3194" s="7">
        <v>45804</v>
      </c>
      <c r="AC3194" s="8">
        <v>32</v>
      </c>
      <c r="AE3194" s="7">
        <v>45807</v>
      </c>
      <c r="AF3194" s="8">
        <v>32</v>
      </c>
      <c r="AH3194" s="7">
        <v>46034</v>
      </c>
      <c r="AN3194" s="8">
        <v>32</v>
      </c>
      <c r="AO3194" s="8">
        <v>-8</v>
      </c>
    </row>
    <row r="3195" spans="1:41" x14ac:dyDescent="0.25">
      <c r="A3195" s="6" t="str">
        <f t="shared" si="735"/>
        <v>525-2025000235</v>
      </c>
      <c r="B3195" s="6" t="str">
        <f t="shared" si="722"/>
        <v>Lasa Int</v>
      </c>
      <c r="C3195" s="7">
        <v>45762</v>
      </c>
      <c r="D3195" s="7">
        <v>46034</v>
      </c>
      <c r="E3195" s="8">
        <v>16</v>
      </c>
      <c r="F3195" s="6" t="str">
        <f t="shared" si="736"/>
        <v>PURE R</v>
      </c>
      <c r="G3195" s="6" t="str">
        <f t="shared" si="737"/>
        <v>R010000635000000</v>
      </c>
      <c r="H3195" s="6" t="str">
        <f t="shared" si="738"/>
        <v>Alexis Cotoral Pure</v>
      </c>
      <c r="I3195" s="6" t="str">
        <f>"2096"</f>
        <v>2096</v>
      </c>
      <c r="J3195" s="6" t="str">
        <f>"AZUL 2096"</f>
        <v>AZUL 2096</v>
      </c>
      <c r="K3195" s="6" t="str">
        <f>"5010"</f>
        <v>5010</v>
      </c>
      <c r="L3195" s="6" t="str">
        <f t="shared" si="741"/>
        <v>Roupões Adulto</v>
      </c>
      <c r="M3195" s="6" t="str">
        <f>"XXL"</f>
        <v>XXL</v>
      </c>
      <c r="N3195" s="6" t="str">
        <f>"5602972855708"</f>
        <v>5602972855708</v>
      </c>
      <c r="O3195" s="8">
        <v>24</v>
      </c>
      <c r="P3195" s="7">
        <v>45769</v>
      </c>
      <c r="R3195" s="8">
        <v>0</v>
      </c>
      <c r="S3195" s="7">
        <v>45775</v>
      </c>
      <c r="U3195" s="8">
        <v>0</v>
      </c>
      <c r="V3195" s="7">
        <v>45790</v>
      </c>
      <c r="X3195" s="8">
        <v>0</v>
      </c>
      <c r="Z3195" s="8">
        <v>0</v>
      </c>
      <c r="AA3195" s="7">
        <v>45804</v>
      </c>
      <c r="AC3195" s="8">
        <v>30</v>
      </c>
      <c r="AE3195" s="7">
        <v>45807</v>
      </c>
      <c r="AF3195" s="8">
        <v>30</v>
      </c>
      <c r="AH3195" s="7">
        <v>46034</v>
      </c>
      <c r="AN3195" s="8">
        <v>30</v>
      </c>
      <c r="AO3195" s="8">
        <v>-6</v>
      </c>
    </row>
    <row r="3196" spans="1:41" x14ac:dyDescent="0.25">
      <c r="A3196" s="6" t="str">
        <f t="shared" si="735"/>
        <v>525-2025000235</v>
      </c>
      <c r="B3196" s="6" t="str">
        <f t="shared" si="722"/>
        <v>Lasa Int</v>
      </c>
      <c r="C3196" s="7">
        <v>45762</v>
      </c>
      <c r="D3196" s="7">
        <v>46034</v>
      </c>
      <c r="E3196" s="8">
        <v>17</v>
      </c>
      <c r="F3196" s="6" t="str">
        <f t="shared" si="736"/>
        <v>PURE R</v>
      </c>
      <c r="G3196" s="6" t="str">
        <f t="shared" si="737"/>
        <v>R010000635000000</v>
      </c>
      <c r="H3196" s="6" t="str">
        <f t="shared" si="738"/>
        <v>Alexis Cotoral Pure</v>
      </c>
      <c r="I3196" s="6" t="str">
        <f>"3073"</f>
        <v>3073</v>
      </c>
      <c r="J3196" s="6" t="str">
        <f>"CINZA 3073"</f>
        <v>CINZA 3073</v>
      </c>
      <c r="K3196" s="6" t="str">
        <f>"5004"</f>
        <v>5004</v>
      </c>
      <c r="L3196" s="6" t="str">
        <f t="shared" si="741"/>
        <v>Roupões Adulto</v>
      </c>
      <c r="M3196" s="6" t="str">
        <f>"M"</f>
        <v>M</v>
      </c>
      <c r="N3196" s="6" t="str">
        <f>"5602972878042"</f>
        <v>5602972878042</v>
      </c>
      <c r="O3196" s="8">
        <v>60</v>
      </c>
      <c r="P3196" s="7">
        <v>45769</v>
      </c>
      <c r="R3196" s="8">
        <v>0</v>
      </c>
      <c r="S3196" s="7">
        <v>45775</v>
      </c>
      <c r="U3196" s="8">
        <v>945</v>
      </c>
      <c r="V3196" s="7">
        <v>45790</v>
      </c>
      <c r="X3196" s="8">
        <v>945</v>
      </c>
      <c r="Z3196" s="8">
        <v>0</v>
      </c>
      <c r="AA3196" s="7">
        <v>45804</v>
      </c>
      <c r="AC3196" s="8">
        <v>60</v>
      </c>
      <c r="AE3196" s="7">
        <v>45807</v>
      </c>
      <c r="AF3196" s="8">
        <v>60</v>
      </c>
      <c r="AH3196" s="7">
        <v>46034</v>
      </c>
      <c r="AN3196" s="8">
        <v>60</v>
      </c>
      <c r="AO3196" s="8">
        <v>0</v>
      </c>
    </row>
    <row r="3197" spans="1:41" x14ac:dyDescent="0.25">
      <c r="A3197" s="6" t="str">
        <f t="shared" si="735"/>
        <v>525-2025000235</v>
      </c>
      <c r="B3197" s="6" t="str">
        <f t="shared" si="722"/>
        <v>Lasa Int</v>
      </c>
      <c r="C3197" s="7">
        <v>45762</v>
      </c>
      <c r="D3197" s="7">
        <v>46034</v>
      </c>
      <c r="E3197" s="8">
        <v>18</v>
      </c>
      <c r="F3197" s="6" t="str">
        <f t="shared" si="736"/>
        <v>PURE R</v>
      </c>
      <c r="G3197" s="6" t="str">
        <f t="shared" si="737"/>
        <v>R010000635000000</v>
      </c>
      <c r="H3197" s="6" t="str">
        <f t="shared" si="738"/>
        <v>Alexis Cotoral Pure</v>
      </c>
      <c r="I3197" s="6" t="str">
        <f>"3073"</f>
        <v>3073</v>
      </c>
      <c r="J3197" s="6" t="str">
        <f>"CINZA 3073"</f>
        <v>CINZA 3073</v>
      </c>
      <c r="K3197" s="6" t="str">
        <f>"5006"</f>
        <v>5006</v>
      </c>
      <c r="L3197" s="6" t="str">
        <f t="shared" si="741"/>
        <v>Roupões Adulto</v>
      </c>
      <c r="M3197" s="6" t="str">
        <f>"L"</f>
        <v>L</v>
      </c>
      <c r="N3197" s="6" t="str">
        <f>"5602972878059"</f>
        <v>5602972878059</v>
      </c>
      <c r="O3197" s="8">
        <v>120</v>
      </c>
      <c r="P3197" s="7">
        <v>45769</v>
      </c>
      <c r="R3197" s="8">
        <v>0</v>
      </c>
      <c r="S3197" s="7">
        <v>45775</v>
      </c>
      <c r="U3197" s="8">
        <v>0</v>
      </c>
      <c r="V3197" s="7">
        <v>45790</v>
      </c>
      <c r="X3197" s="8">
        <v>0</v>
      </c>
      <c r="Z3197" s="8">
        <v>0</v>
      </c>
      <c r="AA3197" s="7">
        <v>45804</v>
      </c>
      <c r="AC3197" s="8">
        <v>145</v>
      </c>
      <c r="AE3197" s="7">
        <v>45807</v>
      </c>
      <c r="AF3197" s="8">
        <v>145</v>
      </c>
      <c r="AH3197" s="7">
        <v>46034</v>
      </c>
      <c r="AN3197" s="8">
        <v>145</v>
      </c>
      <c r="AO3197" s="8">
        <v>-25</v>
      </c>
    </row>
    <row r="3198" spans="1:41" x14ac:dyDescent="0.25">
      <c r="A3198" s="6" t="str">
        <f t="shared" si="735"/>
        <v>525-2025000235</v>
      </c>
      <c r="B3198" s="6" t="str">
        <f t="shared" si="722"/>
        <v>Lasa Int</v>
      </c>
      <c r="C3198" s="7">
        <v>45762</v>
      </c>
      <c r="D3198" s="7">
        <v>46034</v>
      </c>
      <c r="E3198" s="8">
        <v>19</v>
      </c>
      <c r="F3198" s="6" t="str">
        <f t="shared" si="736"/>
        <v>PURE R</v>
      </c>
      <c r="G3198" s="6" t="str">
        <f t="shared" si="737"/>
        <v>R010000635000000</v>
      </c>
      <c r="H3198" s="6" t="str">
        <f t="shared" si="738"/>
        <v>Alexis Cotoral Pure</v>
      </c>
      <c r="I3198" s="6" t="str">
        <f>"3073"</f>
        <v>3073</v>
      </c>
      <c r="J3198" s="6" t="str">
        <f>"CINZA 3073"</f>
        <v>CINZA 3073</v>
      </c>
      <c r="K3198" s="6" t="str">
        <f>"5008"</f>
        <v>5008</v>
      </c>
      <c r="L3198" s="6" t="str">
        <f t="shared" si="741"/>
        <v>Roupões Adulto</v>
      </c>
      <c r="M3198" s="6" t="str">
        <f>"XL"</f>
        <v>XL</v>
      </c>
      <c r="N3198" s="6" t="str">
        <f>"5602972878066"</f>
        <v>5602972878066</v>
      </c>
      <c r="O3198" s="8">
        <v>84</v>
      </c>
      <c r="P3198" s="7">
        <v>45769</v>
      </c>
      <c r="R3198" s="8">
        <v>0</v>
      </c>
      <c r="S3198" s="7">
        <v>45775</v>
      </c>
      <c r="U3198" s="8">
        <v>0</v>
      </c>
      <c r="V3198" s="7">
        <v>45790</v>
      </c>
      <c r="X3198" s="8">
        <v>0</v>
      </c>
      <c r="Z3198" s="8">
        <v>0</v>
      </c>
      <c r="AA3198" s="7">
        <v>45804</v>
      </c>
      <c r="AC3198" s="8">
        <v>98</v>
      </c>
      <c r="AE3198" s="7">
        <v>45807</v>
      </c>
      <c r="AF3198" s="8">
        <v>98</v>
      </c>
      <c r="AH3198" s="7">
        <v>46034</v>
      </c>
      <c r="AN3198" s="8">
        <v>98</v>
      </c>
      <c r="AO3198" s="8">
        <v>-14</v>
      </c>
    </row>
    <row r="3199" spans="1:41" x14ac:dyDescent="0.25">
      <c r="A3199" s="6" t="str">
        <f t="shared" si="735"/>
        <v>525-2025000235</v>
      </c>
      <c r="B3199" s="6" t="str">
        <f t="shared" si="722"/>
        <v>Lasa Int</v>
      </c>
      <c r="C3199" s="7">
        <v>45762</v>
      </c>
      <c r="D3199" s="7">
        <v>46034</v>
      </c>
      <c r="E3199" s="8">
        <v>20</v>
      </c>
      <c r="F3199" s="6" t="str">
        <f t="shared" si="736"/>
        <v>PURE R</v>
      </c>
      <c r="G3199" s="6" t="str">
        <f t="shared" si="737"/>
        <v>R010000635000000</v>
      </c>
      <c r="H3199" s="6" t="str">
        <f t="shared" si="738"/>
        <v>Alexis Cotoral Pure</v>
      </c>
      <c r="I3199" s="6" t="str">
        <f>"3073"</f>
        <v>3073</v>
      </c>
      <c r="J3199" s="6" t="str">
        <f>"CINZA 3073"</f>
        <v>CINZA 3073</v>
      </c>
      <c r="K3199" s="6" t="str">
        <f>"5010"</f>
        <v>5010</v>
      </c>
      <c r="L3199" s="6" t="str">
        <f t="shared" si="741"/>
        <v>Roupões Adulto</v>
      </c>
      <c r="M3199" s="6" t="str">
        <f>"XXL"</f>
        <v>XXL</v>
      </c>
      <c r="N3199" s="6" t="str">
        <f>"5602972878073"</f>
        <v>5602972878073</v>
      </c>
      <c r="O3199" s="8">
        <v>24</v>
      </c>
      <c r="P3199" s="7">
        <v>45769</v>
      </c>
      <c r="R3199" s="8">
        <v>0</v>
      </c>
      <c r="S3199" s="7">
        <v>45775</v>
      </c>
      <c r="U3199" s="8">
        <v>0</v>
      </c>
      <c r="V3199" s="7">
        <v>45790</v>
      </c>
      <c r="X3199" s="8">
        <v>0</v>
      </c>
      <c r="Z3199" s="8">
        <v>0</v>
      </c>
      <c r="AA3199" s="7">
        <v>45804</v>
      </c>
      <c r="AC3199" s="8">
        <v>24</v>
      </c>
      <c r="AE3199" s="7">
        <v>45807</v>
      </c>
      <c r="AF3199" s="8">
        <v>24</v>
      </c>
      <c r="AH3199" s="7">
        <v>46034</v>
      </c>
      <c r="AN3199" s="8">
        <v>24</v>
      </c>
      <c r="AO3199" s="8">
        <v>0</v>
      </c>
    </row>
    <row r="3200" spans="1:41" x14ac:dyDescent="0.25">
      <c r="A3200" s="6" t="str">
        <f t="shared" si="735"/>
        <v>525-2025000235</v>
      </c>
      <c r="B3200" s="6" t="str">
        <f t="shared" si="722"/>
        <v>Lasa Int</v>
      </c>
      <c r="C3200" s="7">
        <v>45762</v>
      </c>
      <c r="D3200" s="7">
        <v>46034</v>
      </c>
      <c r="E3200" s="8">
        <v>21</v>
      </c>
      <c r="F3200" s="6" t="str">
        <f t="shared" si="736"/>
        <v>PURE R</v>
      </c>
      <c r="G3200" s="6" t="str">
        <f t="shared" si="737"/>
        <v>R010000635000000</v>
      </c>
      <c r="H3200" s="6" t="str">
        <f t="shared" si="738"/>
        <v>Alexis Cotoral Pure</v>
      </c>
      <c r="I3200" s="6" t="str">
        <f>"3073"</f>
        <v>3073</v>
      </c>
      <c r="J3200" s="6" t="str">
        <f>"CINZA 3073"</f>
        <v>CINZA 3073</v>
      </c>
      <c r="K3200" s="6" t="str">
        <f>"5012"</f>
        <v>5012</v>
      </c>
      <c r="L3200" s="6" t="str">
        <f t="shared" si="741"/>
        <v>Roupões Adulto</v>
      </c>
      <c r="M3200" s="6" t="str">
        <f>"XXXL"</f>
        <v>XXXL</v>
      </c>
      <c r="N3200" s="6" t="str">
        <f>"5602972674279"</f>
        <v>5602972674279</v>
      </c>
      <c r="O3200" s="8">
        <v>12</v>
      </c>
      <c r="P3200" s="7">
        <v>45769</v>
      </c>
      <c r="R3200" s="8">
        <v>0</v>
      </c>
      <c r="S3200" s="7">
        <v>45775</v>
      </c>
      <c r="U3200" s="8">
        <v>0</v>
      </c>
      <c r="V3200" s="7">
        <v>45790</v>
      </c>
      <c r="X3200" s="8">
        <v>0</v>
      </c>
      <c r="Z3200" s="8">
        <v>0</v>
      </c>
      <c r="AA3200" s="7">
        <v>45804</v>
      </c>
      <c r="AC3200" s="8">
        <v>0</v>
      </c>
      <c r="AE3200" s="7">
        <v>45807</v>
      </c>
      <c r="AF3200" s="8">
        <v>0</v>
      </c>
      <c r="AH3200" s="7">
        <v>46034</v>
      </c>
      <c r="AN3200" s="8">
        <v>0</v>
      </c>
      <c r="AO3200" s="8">
        <v>12</v>
      </c>
    </row>
    <row r="3201" spans="1:41" x14ac:dyDescent="0.25">
      <c r="A3201" s="6" t="str">
        <f t="shared" si="735"/>
        <v>525-2025000235</v>
      </c>
      <c r="B3201" s="6" t="str">
        <f t="shared" si="722"/>
        <v>Lasa Int</v>
      </c>
      <c r="C3201" s="7">
        <v>45762</v>
      </c>
      <c r="D3201" s="7">
        <v>46034</v>
      </c>
      <c r="E3201" s="8">
        <v>22</v>
      </c>
      <c r="F3201" s="6" t="str">
        <f t="shared" si="736"/>
        <v>PURE R</v>
      </c>
      <c r="G3201" s="6" t="str">
        <f t="shared" si="737"/>
        <v>R010000635000000</v>
      </c>
      <c r="H3201" s="6" t="str">
        <f t="shared" si="738"/>
        <v>Alexis Cotoral Pure</v>
      </c>
      <c r="I3201" s="6" t="str">
        <f t="shared" ref="I3201:I3206" si="742">"4383"</f>
        <v>4383</v>
      </c>
      <c r="J3201" s="6" t="str">
        <f t="shared" ref="J3201:J3206" si="743">"AZUL 4383"</f>
        <v>AZUL 4383</v>
      </c>
      <c r="K3201" s="6" t="str">
        <f>"5002"</f>
        <v>5002</v>
      </c>
      <c r="L3201" s="6" t="str">
        <f t="shared" si="741"/>
        <v>Roupões Adulto</v>
      </c>
      <c r="M3201" s="6" t="str">
        <f>"S"</f>
        <v>S</v>
      </c>
      <c r="N3201" s="6" t="str">
        <f>"5602972796100"</f>
        <v>5602972796100</v>
      </c>
      <c r="O3201" s="8">
        <v>36</v>
      </c>
      <c r="P3201" s="7">
        <v>45769</v>
      </c>
      <c r="R3201" s="8">
        <v>0</v>
      </c>
      <c r="S3201" s="7">
        <v>45775</v>
      </c>
      <c r="U3201" s="8">
        <v>675</v>
      </c>
      <c r="V3201" s="7">
        <v>45790</v>
      </c>
      <c r="X3201" s="8">
        <v>675</v>
      </c>
      <c r="Z3201" s="8">
        <v>0</v>
      </c>
      <c r="AA3201" s="7">
        <v>45804</v>
      </c>
      <c r="AC3201" s="8">
        <v>39</v>
      </c>
      <c r="AE3201" s="7">
        <v>45807</v>
      </c>
      <c r="AF3201" s="8">
        <v>39</v>
      </c>
      <c r="AH3201" s="7">
        <v>46034</v>
      </c>
      <c r="AN3201" s="8">
        <v>39</v>
      </c>
      <c r="AO3201" s="8">
        <v>-3</v>
      </c>
    </row>
    <row r="3202" spans="1:41" x14ac:dyDescent="0.25">
      <c r="A3202" s="6" t="str">
        <f t="shared" si="735"/>
        <v>525-2025000235</v>
      </c>
      <c r="B3202" s="6" t="str">
        <f t="shared" si="722"/>
        <v>Lasa Int</v>
      </c>
      <c r="C3202" s="7">
        <v>45762</v>
      </c>
      <c r="D3202" s="7">
        <v>46034</v>
      </c>
      <c r="E3202" s="8">
        <v>23</v>
      </c>
      <c r="F3202" s="6" t="str">
        <f t="shared" si="736"/>
        <v>PURE R</v>
      </c>
      <c r="G3202" s="6" t="str">
        <f t="shared" si="737"/>
        <v>R010000635000000</v>
      </c>
      <c r="H3202" s="6" t="str">
        <f t="shared" si="738"/>
        <v>Alexis Cotoral Pure</v>
      </c>
      <c r="I3202" s="6" t="str">
        <f t="shared" si="742"/>
        <v>4383</v>
      </c>
      <c r="J3202" s="6" t="str">
        <f t="shared" si="743"/>
        <v>AZUL 4383</v>
      </c>
      <c r="K3202" s="6" t="str">
        <f>"5004"</f>
        <v>5004</v>
      </c>
      <c r="L3202" s="6" t="str">
        <f t="shared" si="741"/>
        <v>Roupões Adulto</v>
      </c>
      <c r="M3202" s="6" t="str">
        <f>"M"</f>
        <v>M</v>
      </c>
      <c r="N3202" s="6" t="str">
        <f>"5602972796117"</f>
        <v>5602972796117</v>
      </c>
      <c r="O3202" s="8">
        <v>60</v>
      </c>
      <c r="P3202" s="7">
        <v>45769</v>
      </c>
      <c r="R3202" s="8">
        <v>0</v>
      </c>
      <c r="S3202" s="7">
        <v>45775</v>
      </c>
      <c r="U3202" s="8">
        <v>0</v>
      </c>
      <c r="V3202" s="7">
        <v>45790</v>
      </c>
      <c r="X3202" s="8">
        <v>0</v>
      </c>
      <c r="Z3202" s="8">
        <v>0</v>
      </c>
      <c r="AA3202" s="7">
        <v>45804</v>
      </c>
      <c r="AC3202" s="8">
        <v>88</v>
      </c>
      <c r="AE3202" s="7">
        <v>45807</v>
      </c>
      <c r="AF3202" s="8">
        <v>88</v>
      </c>
      <c r="AH3202" s="7">
        <v>46034</v>
      </c>
      <c r="AN3202" s="8">
        <v>88</v>
      </c>
      <c r="AO3202" s="8">
        <v>-28</v>
      </c>
    </row>
    <row r="3203" spans="1:41" x14ac:dyDescent="0.25">
      <c r="A3203" s="6" t="str">
        <f t="shared" si="735"/>
        <v>525-2025000235</v>
      </c>
      <c r="B3203" s="6" t="str">
        <f t="shared" si="722"/>
        <v>Lasa Int</v>
      </c>
      <c r="C3203" s="7">
        <v>45762</v>
      </c>
      <c r="D3203" s="7">
        <v>46034</v>
      </c>
      <c r="E3203" s="8">
        <v>24</v>
      </c>
      <c r="F3203" s="6" t="str">
        <f t="shared" si="736"/>
        <v>PURE R</v>
      </c>
      <c r="G3203" s="6" t="str">
        <f t="shared" si="737"/>
        <v>R010000635000000</v>
      </c>
      <c r="H3203" s="6" t="str">
        <f t="shared" si="738"/>
        <v>Alexis Cotoral Pure</v>
      </c>
      <c r="I3203" s="6" t="str">
        <f t="shared" si="742"/>
        <v>4383</v>
      </c>
      <c r="J3203" s="6" t="str">
        <f t="shared" si="743"/>
        <v>AZUL 4383</v>
      </c>
      <c r="K3203" s="6" t="str">
        <f>"5006"</f>
        <v>5006</v>
      </c>
      <c r="L3203" s="6" t="str">
        <f t="shared" si="741"/>
        <v>Roupões Adulto</v>
      </c>
      <c r="M3203" s="6" t="str">
        <f>"L"</f>
        <v>L</v>
      </c>
      <c r="N3203" s="6" t="str">
        <f>"5602972796124"</f>
        <v>5602972796124</v>
      </c>
      <c r="O3203" s="8">
        <v>60</v>
      </c>
      <c r="P3203" s="7">
        <v>45769</v>
      </c>
      <c r="R3203" s="8">
        <v>0</v>
      </c>
      <c r="S3203" s="7">
        <v>45775</v>
      </c>
      <c r="U3203" s="8">
        <v>0</v>
      </c>
      <c r="V3203" s="7">
        <v>45790</v>
      </c>
      <c r="X3203" s="8">
        <v>0</v>
      </c>
      <c r="Z3203" s="8">
        <v>0</v>
      </c>
      <c r="AA3203" s="7">
        <v>45804</v>
      </c>
      <c r="AC3203" s="8">
        <v>68</v>
      </c>
      <c r="AE3203" s="7">
        <v>45807</v>
      </c>
      <c r="AF3203" s="8">
        <v>68</v>
      </c>
      <c r="AH3203" s="7">
        <v>46034</v>
      </c>
      <c r="AN3203" s="8">
        <v>68</v>
      </c>
      <c r="AO3203" s="8">
        <v>-8</v>
      </c>
    </row>
    <row r="3204" spans="1:41" x14ac:dyDescent="0.25">
      <c r="A3204" s="6" t="str">
        <f t="shared" si="735"/>
        <v>525-2025000235</v>
      </c>
      <c r="B3204" s="6" t="str">
        <f t="shared" si="722"/>
        <v>Lasa Int</v>
      </c>
      <c r="C3204" s="7">
        <v>45762</v>
      </c>
      <c r="D3204" s="7">
        <v>46034</v>
      </c>
      <c r="E3204" s="8">
        <v>25</v>
      </c>
      <c r="F3204" s="6" t="str">
        <f t="shared" si="736"/>
        <v>PURE R</v>
      </c>
      <c r="G3204" s="6" t="str">
        <f t="shared" si="737"/>
        <v>R010000635000000</v>
      </c>
      <c r="H3204" s="6" t="str">
        <f t="shared" si="738"/>
        <v>Alexis Cotoral Pure</v>
      </c>
      <c r="I3204" s="6" t="str">
        <f t="shared" si="742"/>
        <v>4383</v>
      </c>
      <c r="J3204" s="6" t="str">
        <f t="shared" si="743"/>
        <v>AZUL 4383</v>
      </c>
      <c r="K3204" s="6" t="str">
        <f>"5008"</f>
        <v>5008</v>
      </c>
      <c r="L3204" s="6" t="str">
        <f t="shared" si="741"/>
        <v>Roupões Adulto</v>
      </c>
      <c r="M3204" s="6" t="str">
        <f>"XL"</f>
        <v>XL</v>
      </c>
      <c r="N3204" s="6" t="str">
        <f>"5602972796131"</f>
        <v>5602972796131</v>
      </c>
      <c r="O3204" s="8">
        <v>60</v>
      </c>
      <c r="P3204" s="7">
        <v>45769</v>
      </c>
      <c r="R3204" s="8">
        <v>0</v>
      </c>
      <c r="S3204" s="7">
        <v>45775</v>
      </c>
      <c r="U3204" s="8">
        <v>0</v>
      </c>
      <c r="V3204" s="7">
        <v>45790</v>
      </c>
      <c r="X3204" s="8">
        <v>0</v>
      </c>
      <c r="Z3204" s="8">
        <v>0</v>
      </c>
      <c r="AA3204" s="7">
        <v>45804</v>
      </c>
      <c r="AC3204" s="8">
        <v>70</v>
      </c>
      <c r="AE3204" s="7">
        <v>45807</v>
      </c>
      <c r="AF3204" s="8">
        <v>70</v>
      </c>
      <c r="AH3204" s="7">
        <v>46034</v>
      </c>
      <c r="AN3204" s="8">
        <v>70</v>
      </c>
      <c r="AO3204" s="8">
        <v>-10</v>
      </c>
    </row>
    <row r="3205" spans="1:41" x14ac:dyDescent="0.25">
      <c r="A3205" s="6" t="str">
        <f t="shared" si="735"/>
        <v>525-2025000235</v>
      </c>
      <c r="B3205" s="6" t="str">
        <f t="shared" si="722"/>
        <v>Lasa Int</v>
      </c>
      <c r="C3205" s="7">
        <v>45762</v>
      </c>
      <c r="D3205" s="7">
        <v>46034</v>
      </c>
      <c r="E3205" s="8">
        <v>26</v>
      </c>
      <c r="F3205" s="6" t="str">
        <f t="shared" si="736"/>
        <v>PURE R</v>
      </c>
      <c r="G3205" s="6" t="str">
        <f t="shared" si="737"/>
        <v>R010000635000000</v>
      </c>
      <c r="H3205" s="6" t="str">
        <f t="shared" si="738"/>
        <v>Alexis Cotoral Pure</v>
      </c>
      <c r="I3205" s="6" t="str">
        <f t="shared" si="742"/>
        <v>4383</v>
      </c>
      <c r="J3205" s="6" t="str">
        <f t="shared" si="743"/>
        <v>AZUL 4383</v>
      </c>
      <c r="K3205" s="6" t="str">
        <f>"5010"</f>
        <v>5010</v>
      </c>
      <c r="L3205" s="6" t="str">
        <f t="shared" si="741"/>
        <v>Roupões Adulto</v>
      </c>
      <c r="M3205" s="6" t="str">
        <f>"XXL"</f>
        <v>XXL</v>
      </c>
      <c r="N3205" s="6" t="str">
        <f>"5602972674255"</f>
        <v>5602972674255</v>
      </c>
      <c r="O3205" s="8">
        <v>12</v>
      </c>
      <c r="P3205" s="7">
        <v>45769</v>
      </c>
      <c r="R3205" s="8">
        <v>0</v>
      </c>
      <c r="S3205" s="7">
        <v>45775</v>
      </c>
      <c r="U3205" s="8">
        <v>0</v>
      </c>
      <c r="V3205" s="7">
        <v>45790</v>
      </c>
      <c r="X3205" s="8">
        <v>0</v>
      </c>
      <c r="Z3205" s="8">
        <v>0</v>
      </c>
      <c r="AA3205" s="7">
        <v>45804</v>
      </c>
      <c r="AC3205" s="8">
        <v>19</v>
      </c>
      <c r="AE3205" s="7">
        <v>45807</v>
      </c>
      <c r="AF3205" s="8">
        <v>19</v>
      </c>
      <c r="AH3205" s="7">
        <v>46034</v>
      </c>
      <c r="AN3205" s="8">
        <v>19</v>
      </c>
      <c r="AO3205" s="8">
        <v>-7</v>
      </c>
    </row>
    <row r="3206" spans="1:41" x14ac:dyDescent="0.25">
      <c r="A3206" s="6" t="str">
        <f t="shared" si="735"/>
        <v>525-2025000235</v>
      </c>
      <c r="B3206" s="6" t="str">
        <f t="shared" si="722"/>
        <v>Lasa Int</v>
      </c>
      <c r="C3206" s="7">
        <v>45762</v>
      </c>
      <c r="D3206" s="7">
        <v>46034</v>
      </c>
      <c r="E3206" s="8">
        <v>27</v>
      </c>
      <c r="F3206" s="6" t="str">
        <f t="shared" si="736"/>
        <v>PURE R</v>
      </c>
      <c r="G3206" s="6" t="str">
        <f t="shared" si="737"/>
        <v>R010000635000000</v>
      </c>
      <c r="H3206" s="6" t="str">
        <f t="shared" si="738"/>
        <v>Alexis Cotoral Pure</v>
      </c>
      <c r="I3206" s="6" t="str">
        <f t="shared" si="742"/>
        <v>4383</v>
      </c>
      <c r="J3206" s="6" t="str">
        <f t="shared" si="743"/>
        <v>AZUL 4383</v>
      </c>
      <c r="K3206" s="6" t="str">
        <f>"5012"</f>
        <v>5012</v>
      </c>
      <c r="L3206" s="6" t="str">
        <f t="shared" si="741"/>
        <v>Roupões Adulto</v>
      </c>
      <c r="M3206" s="6" t="str">
        <f>"XXXL"</f>
        <v>XXXL</v>
      </c>
      <c r="N3206" s="6" t="str">
        <f>"5602972674262"</f>
        <v>5602972674262</v>
      </c>
      <c r="O3206" s="8">
        <v>24</v>
      </c>
      <c r="P3206" s="7">
        <v>45769</v>
      </c>
      <c r="R3206" s="8">
        <v>0</v>
      </c>
      <c r="S3206" s="7">
        <v>45775</v>
      </c>
      <c r="U3206" s="8">
        <v>0</v>
      </c>
      <c r="V3206" s="7">
        <v>45790</v>
      </c>
      <c r="X3206" s="8">
        <v>0</v>
      </c>
      <c r="Z3206" s="8">
        <v>0</v>
      </c>
      <c r="AA3206" s="7">
        <v>45804</v>
      </c>
      <c r="AC3206" s="8">
        <v>24</v>
      </c>
      <c r="AE3206" s="7">
        <v>45807</v>
      </c>
      <c r="AF3206" s="8">
        <v>24</v>
      </c>
      <c r="AH3206" s="7">
        <v>46034</v>
      </c>
      <c r="AN3206" s="8">
        <v>24</v>
      </c>
      <c r="AO3206" s="8">
        <v>0</v>
      </c>
    </row>
    <row r="3207" spans="1:41" x14ac:dyDescent="0.25">
      <c r="A3207" s="6" t="str">
        <f t="shared" si="735"/>
        <v>525-2025000235</v>
      </c>
      <c r="B3207" s="6" t="str">
        <f t="shared" si="722"/>
        <v>Lasa Int</v>
      </c>
      <c r="C3207" s="7">
        <v>45762</v>
      </c>
      <c r="D3207" s="7">
        <v>46034</v>
      </c>
      <c r="E3207" s="8">
        <v>28</v>
      </c>
      <c r="F3207" s="6" t="str">
        <f t="shared" si="736"/>
        <v>PURE R</v>
      </c>
      <c r="G3207" s="6" t="str">
        <f t="shared" si="737"/>
        <v>R010000635000000</v>
      </c>
      <c r="H3207" s="6" t="str">
        <f t="shared" si="738"/>
        <v>Alexis Cotoral Pure</v>
      </c>
      <c r="I3207" s="6" t="str">
        <f>"5148"</f>
        <v>5148</v>
      </c>
      <c r="J3207" s="6" t="str">
        <f>"BEGE 5148"</f>
        <v>BEGE 5148</v>
      </c>
      <c r="K3207" s="6" t="str">
        <f>"5002"</f>
        <v>5002</v>
      </c>
      <c r="L3207" s="6" t="str">
        <f t="shared" si="741"/>
        <v>Roupões Adulto</v>
      </c>
      <c r="M3207" s="6" t="str">
        <f>"S"</f>
        <v>S</v>
      </c>
      <c r="N3207" s="6" t="str">
        <f>"5602972655179"</f>
        <v>5602972655179</v>
      </c>
      <c r="O3207" s="8">
        <v>48</v>
      </c>
      <c r="P3207" s="7">
        <v>45769</v>
      </c>
      <c r="R3207" s="8">
        <v>0</v>
      </c>
      <c r="S3207" s="7">
        <v>45775</v>
      </c>
      <c r="U3207" s="8">
        <v>810</v>
      </c>
      <c r="V3207" s="7">
        <v>45790</v>
      </c>
      <c r="X3207" s="8">
        <v>810</v>
      </c>
      <c r="Z3207" s="8">
        <v>0</v>
      </c>
      <c r="AA3207" s="7">
        <v>45804</v>
      </c>
      <c r="AC3207" s="8">
        <v>56</v>
      </c>
      <c r="AE3207" s="7">
        <v>45807</v>
      </c>
      <c r="AF3207" s="8">
        <v>56</v>
      </c>
      <c r="AH3207" s="7">
        <v>46034</v>
      </c>
      <c r="AN3207" s="8">
        <v>56</v>
      </c>
      <c r="AO3207" s="8">
        <v>-8</v>
      </c>
    </row>
    <row r="3208" spans="1:41" x14ac:dyDescent="0.25">
      <c r="A3208" s="6" t="str">
        <f t="shared" si="735"/>
        <v>525-2025000235</v>
      </c>
      <c r="B3208" s="6" t="str">
        <f t="shared" si="722"/>
        <v>Lasa Int</v>
      </c>
      <c r="C3208" s="7">
        <v>45762</v>
      </c>
      <c r="D3208" s="7">
        <v>46034</v>
      </c>
      <c r="E3208" s="8">
        <v>29</v>
      </c>
      <c r="F3208" s="6" t="str">
        <f t="shared" si="736"/>
        <v>PURE R</v>
      </c>
      <c r="G3208" s="6" t="str">
        <f t="shared" si="737"/>
        <v>R010000635000000</v>
      </c>
      <c r="H3208" s="6" t="str">
        <f t="shared" si="738"/>
        <v>Alexis Cotoral Pure</v>
      </c>
      <c r="I3208" s="6" t="str">
        <f>"5148"</f>
        <v>5148</v>
      </c>
      <c r="J3208" s="6" t="str">
        <f>"BEGE 5148"</f>
        <v>BEGE 5148</v>
      </c>
      <c r="K3208" s="6" t="str">
        <f>"5004"</f>
        <v>5004</v>
      </c>
      <c r="L3208" s="6" t="str">
        <f t="shared" si="741"/>
        <v>Roupões Adulto</v>
      </c>
      <c r="M3208" s="6" t="str">
        <f>"M"</f>
        <v>M</v>
      </c>
      <c r="N3208" s="6" t="str">
        <f>"5602972655186"</f>
        <v>5602972655186</v>
      </c>
      <c r="O3208" s="8">
        <v>60</v>
      </c>
      <c r="P3208" s="7">
        <v>45769</v>
      </c>
      <c r="R3208" s="8">
        <v>0</v>
      </c>
      <c r="S3208" s="7">
        <v>45775</v>
      </c>
      <c r="U3208" s="8">
        <v>0</v>
      </c>
      <c r="V3208" s="7">
        <v>45790</v>
      </c>
      <c r="X3208" s="8">
        <v>0</v>
      </c>
      <c r="Z3208" s="8">
        <v>0</v>
      </c>
      <c r="AA3208" s="7">
        <v>45804</v>
      </c>
      <c r="AC3208" s="8">
        <v>79</v>
      </c>
      <c r="AE3208" s="7">
        <v>45807</v>
      </c>
      <c r="AF3208" s="8">
        <v>79</v>
      </c>
      <c r="AH3208" s="7">
        <v>46034</v>
      </c>
      <c r="AN3208" s="8">
        <v>79</v>
      </c>
      <c r="AO3208" s="8">
        <v>-19</v>
      </c>
    </row>
    <row r="3209" spans="1:41" x14ac:dyDescent="0.25">
      <c r="A3209" s="6" t="str">
        <f t="shared" si="735"/>
        <v>525-2025000235</v>
      </c>
      <c r="B3209" s="6" t="str">
        <f t="shared" si="722"/>
        <v>Lasa Int</v>
      </c>
      <c r="C3209" s="7">
        <v>45762</v>
      </c>
      <c r="D3209" s="7">
        <v>46034</v>
      </c>
      <c r="E3209" s="8">
        <v>30</v>
      </c>
      <c r="F3209" s="6" t="str">
        <f t="shared" si="736"/>
        <v>PURE R</v>
      </c>
      <c r="G3209" s="6" t="str">
        <f t="shared" si="737"/>
        <v>R010000635000000</v>
      </c>
      <c r="H3209" s="6" t="str">
        <f t="shared" si="738"/>
        <v>Alexis Cotoral Pure</v>
      </c>
      <c r="I3209" s="6" t="str">
        <f>"5148"</f>
        <v>5148</v>
      </c>
      <c r="J3209" s="6" t="str">
        <f>"BEGE 5148"</f>
        <v>BEGE 5148</v>
      </c>
      <c r="K3209" s="6" t="str">
        <f>"5006"</f>
        <v>5006</v>
      </c>
      <c r="L3209" s="6" t="str">
        <f t="shared" si="741"/>
        <v>Roupões Adulto</v>
      </c>
      <c r="M3209" s="6" t="str">
        <f>"L"</f>
        <v>L</v>
      </c>
      <c r="N3209" s="6" t="str">
        <f>"5602972655193"</f>
        <v>5602972655193</v>
      </c>
      <c r="O3209" s="8">
        <v>120</v>
      </c>
      <c r="P3209" s="7">
        <v>45769</v>
      </c>
      <c r="R3209" s="8">
        <v>0</v>
      </c>
      <c r="S3209" s="7">
        <v>45775</v>
      </c>
      <c r="U3209" s="8">
        <v>0</v>
      </c>
      <c r="V3209" s="7">
        <v>45790</v>
      </c>
      <c r="X3209" s="8">
        <v>0</v>
      </c>
      <c r="Z3209" s="8">
        <v>0</v>
      </c>
      <c r="AA3209" s="7">
        <v>45804</v>
      </c>
      <c r="AC3209" s="8">
        <v>135</v>
      </c>
      <c r="AE3209" s="7">
        <v>45807</v>
      </c>
      <c r="AF3209" s="8">
        <v>135</v>
      </c>
      <c r="AH3209" s="7">
        <v>46034</v>
      </c>
      <c r="AN3209" s="8">
        <v>135</v>
      </c>
      <c r="AO3209" s="8">
        <v>-15</v>
      </c>
    </row>
    <row r="3210" spans="1:41" x14ac:dyDescent="0.25">
      <c r="A3210" s="6" t="str">
        <f t="shared" si="735"/>
        <v>525-2025000235</v>
      </c>
      <c r="B3210" s="6" t="str">
        <f t="shared" si="722"/>
        <v>Lasa Int</v>
      </c>
      <c r="C3210" s="7">
        <v>45762</v>
      </c>
      <c r="D3210" s="7">
        <v>46034</v>
      </c>
      <c r="E3210" s="8">
        <v>31</v>
      </c>
      <c r="F3210" s="6" t="str">
        <f t="shared" si="736"/>
        <v>PURE R</v>
      </c>
      <c r="G3210" s="6" t="str">
        <f t="shared" si="737"/>
        <v>R010000635000000</v>
      </c>
      <c r="H3210" s="6" t="str">
        <f t="shared" si="738"/>
        <v>Alexis Cotoral Pure</v>
      </c>
      <c r="I3210" s="6" t="str">
        <f>"5148"</f>
        <v>5148</v>
      </c>
      <c r="J3210" s="6" t="str">
        <f>"BEGE 5148"</f>
        <v>BEGE 5148</v>
      </c>
      <c r="K3210" s="6" t="str">
        <f>"5008"</f>
        <v>5008</v>
      </c>
      <c r="L3210" s="6" t="str">
        <f t="shared" si="741"/>
        <v>Roupões Adulto</v>
      </c>
      <c r="M3210" s="6" t="str">
        <f>"XL"</f>
        <v>XL</v>
      </c>
      <c r="N3210" s="6" t="str">
        <f>"5602972655209"</f>
        <v>5602972655209</v>
      </c>
      <c r="O3210" s="8">
        <v>24</v>
      </c>
      <c r="P3210" s="7">
        <v>45769</v>
      </c>
      <c r="R3210" s="8">
        <v>0</v>
      </c>
      <c r="S3210" s="7">
        <v>45775</v>
      </c>
      <c r="U3210" s="8">
        <v>0</v>
      </c>
      <c r="V3210" s="7">
        <v>45790</v>
      </c>
      <c r="X3210" s="8">
        <v>0</v>
      </c>
      <c r="Z3210" s="8">
        <v>0</v>
      </c>
      <c r="AA3210" s="7">
        <v>45804</v>
      </c>
      <c r="AC3210" s="8">
        <v>33</v>
      </c>
      <c r="AE3210" s="7">
        <v>45807</v>
      </c>
      <c r="AF3210" s="8">
        <v>33</v>
      </c>
      <c r="AH3210" s="7">
        <v>46034</v>
      </c>
      <c r="AN3210" s="8">
        <v>33</v>
      </c>
      <c r="AO3210" s="8">
        <v>-9</v>
      </c>
    </row>
    <row r="3211" spans="1:41" x14ac:dyDescent="0.25">
      <c r="A3211" s="6" t="str">
        <f t="shared" si="735"/>
        <v>525-2025000235</v>
      </c>
      <c r="B3211" s="6" t="str">
        <f t="shared" si="722"/>
        <v>Lasa Int</v>
      </c>
      <c r="C3211" s="7">
        <v>45762</v>
      </c>
      <c r="D3211" s="7">
        <v>46034</v>
      </c>
      <c r="E3211" s="8">
        <v>32</v>
      </c>
      <c r="F3211" s="6" t="str">
        <f t="shared" si="736"/>
        <v>PURE R</v>
      </c>
      <c r="G3211" s="6" t="str">
        <f t="shared" si="737"/>
        <v>R010000635000000</v>
      </c>
      <c r="H3211" s="6" t="str">
        <f t="shared" si="738"/>
        <v>Alexis Cotoral Pure</v>
      </c>
      <c r="I3211" s="6" t="str">
        <f>"5148"</f>
        <v>5148</v>
      </c>
      <c r="J3211" s="6" t="str">
        <f>"BEGE 5148"</f>
        <v>BEGE 5148</v>
      </c>
      <c r="K3211" s="6" t="str">
        <f>"5010"</f>
        <v>5010</v>
      </c>
      <c r="L3211" s="6" t="str">
        <f t="shared" si="741"/>
        <v>Roupões Adulto</v>
      </c>
      <c r="M3211" s="6" t="str">
        <f>"XXL"</f>
        <v>XXL</v>
      </c>
      <c r="N3211" s="6" t="str">
        <f>"5602972655216"</f>
        <v>5602972655216</v>
      </c>
      <c r="O3211" s="8">
        <v>24</v>
      </c>
      <c r="P3211" s="7">
        <v>45769</v>
      </c>
      <c r="R3211" s="8">
        <v>0</v>
      </c>
      <c r="S3211" s="7">
        <v>45775</v>
      </c>
      <c r="U3211" s="8">
        <v>0</v>
      </c>
      <c r="V3211" s="7">
        <v>45790</v>
      </c>
      <c r="X3211" s="8">
        <v>0</v>
      </c>
      <c r="Z3211" s="8">
        <v>0</v>
      </c>
      <c r="AA3211" s="7">
        <v>45804</v>
      </c>
      <c r="AC3211" s="8">
        <v>24</v>
      </c>
      <c r="AE3211" s="7">
        <v>45807</v>
      </c>
      <c r="AF3211" s="8">
        <v>24</v>
      </c>
      <c r="AH3211" s="7">
        <v>46034</v>
      </c>
      <c r="AN3211" s="8">
        <v>24</v>
      </c>
      <c r="AO3211" s="8">
        <v>0</v>
      </c>
    </row>
    <row r="3212" spans="1:41" x14ac:dyDescent="0.25">
      <c r="A3212" s="6" t="str">
        <f t="shared" si="735"/>
        <v>525-2025000235</v>
      </c>
      <c r="B3212" s="6" t="str">
        <f t="shared" si="722"/>
        <v>Lasa Int</v>
      </c>
      <c r="C3212" s="7">
        <v>45762</v>
      </c>
      <c r="D3212" s="7">
        <v>46034</v>
      </c>
      <c r="E3212" s="8">
        <v>33</v>
      </c>
      <c r="F3212" s="6" t="str">
        <f t="shared" si="736"/>
        <v>PURE R</v>
      </c>
      <c r="G3212" s="6" t="str">
        <f t="shared" si="737"/>
        <v>R010000635000000</v>
      </c>
      <c r="H3212" s="6" t="str">
        <f t="shared" si="738"/>
        <v>Alexis Cotoral Pure</v>
      </c>
      <c r="I3212" s="6" t="str">
        <f t="shared" ref="I3212:I3217" si="744">"5149"</f>
        <v>5149</v>
      </c>
      <c r="J3212" s="6" t="str">
        <f t="shared" ref="J3212:J3217" si="745">"VERDE 5149"</f>
        <v>VERDE 5149</v>
      </c>
      <c r="K3212" s="6" t="str">
        <f>"5002"</f>
        <v>5002</v>
      </c>
      <c r="L3212" s="6" t="str">
        <f t="shared" si="741"/>
        <v>Roupões Adulto</v>
      </c>
      <c r="M3212" s="6" t="str">
        <f>"S"</f>
        <v>S</v>
      </c>
      <c r="N3212" s="6" t="str">
        <f>"5602972676655"</f>
        <v>5602972676655</v>
      </c>
      <c r="O3212" s="8">
        <v>60</v>
      </c>
      <c r="P3212" s="7">
        <v>45769</v>
      </c>
      <c r="R3212" s="8">
        <v>0</v>
      </c>
      <c r="S3212" s="7">
        <v>45775</v>
      </c>
      <c r="U3212" s="8">
        <v>945</v>
      </c>
      <c r="V3212" s="7">
        <v>45790</v>
      </c>
      <c r="X3212" s="8">
        <v>945</v>
      </c>
      <c r="Z3212" s="8">
        <v>0</v>
      </c>
      <c r="AA3212" s="7">
        <v>45804</v>
      </c>
      <c r="AC3212" s="8">
        <v>77</v>
      </c>
      <c r="AE3212" s="7">
        <v>45807</v>
      </c>
      <c r="AF3212" s="8">
        <v>77</v>
      </c>
      <c r="AH3212" s="7">
        <v>46034</v>
      </c>
      <c r="AN3212" s="8">
        <v>77</v>
      </c>
      <c r="AO3212" s="8">
        <v>-17</v>
      </c>
    </row>
    <row r="3213" spans="1:41" x14ac:dyDescent="0.25">
      <c r="A3213" s="6" t="str">
        <f t="shared" si="735"/>
        <v>525-2025000235</v>
      </c>
      <c r="B3213" s="6" t="str">
        <f t="shared" ref="B3213:B3276" si="746">"Lasa Int"</f>
        <v>Lasa Int</v>
      </c>
      <c r="C3213" s="7">
        <v>45762</v>
      </c>
      <c r="D3213" s="7">
        <v>46034</v>
      </c>
      <c r="E3213" s="8">
        <v>34</v>
      </c>
      <c r="F3213" s="6" t="str">
        <f t="shared" si="736"/>
        <v>PURE R</v>
      </c>
      <c r="G3213" s="6" t="str">
        <f t="shared" si="737"/>
        <v>R010000635000000</v>
      </c>
      <c r="H3213" s="6" t="str">
        <f t="shared" si="738"/>
        <v>Alexis Cotoral Pure</v>
      </c>
      <c r="I3213" s="6" t="str">
        <f t="shared" si="744"/>
        <v>5149</v>
      </c>
      <c r="J3213" s="6" t="str">
        <f t="shared" si="745"/>
        <v>VERDE 5149</v>
      </c>
      <c r="K3213" s="6" t="str">
        <f>"5004"</f>
        <v>5004</v>
      </c>
      <c r="L3213" s="6" t="str">
        <f t="shared" si="741"/>
        <v>Roupões Adulto</v>
      </c>
      <c r="M3213" s="6" t="str">
        <f>"M"</f>
        <v>M</v>
      </c>
      <c r="N3213" s="6" t="str">
        <f>"5602972676662"</f>
        <v>5602972676662</v>
      </c>
      <c r="O3213" s="8">
        <v>96</v>
      </c>
      <c r="P3213" s="7">
        <v>45769</v>
      </c>
      <c r="R3213" s="8">
        <v>0</v>
      </c>
      <c r="S3213" s="7">
        <v>45775</v>
      </c>
      <c r="U3213" s="8">
        <v>0</v>
      </c>
      <c r="V3213" s="7">
        <v>45790</v>
      </c>
      <c r="X3213" s="8">
        <v>0</v>
      </c>
      <c r="Z3213" s="8">
        <v>0</v>
      </c>
      <c r="AA3213" s="7">
        <v>45804</v>
      </c>
      <c r="AC3213" s="8">
        <v>108</v>
      </c>
      <c r="AE3213" s="7">
        <v>45807</v>
      </c>
      <c r="AF3213" s="8">
        <v>108</v>
      </c>
      <c r="AH3213" s="7">
        <v>46034</v>
      </c>
      <c r="AN3213" s="8">
        <v>108</v>
      </c>
      <c r="AO3213" s="8">
        <v>-12</v>
      </c>
    </row>
    <row r="3214" spans="1:41" x14ac:dyDescent="0.25">
      <c r="A3214" s="6" t="str">
        <f t="shared" si="735"/>
        <v>525-2025000235</v>
      </c>
      <c r="B3214" s="6" t="str">
        <f t="shared" si="746"/>
        <v>Lasa Int</v>
      </c>
      <c r="C3214" s="7">
        <v>45762</v>
      </c>
      <c r="D3214" s="7">
        <v>46034</v>
      </c>
      <c r="E3214" s="8">
        <v>35</v>
      </c>
      <c r="F3214" s="6" t="str">
        <f t="shared" si="736"/>
        <v>PURE R</v>
      </c>
      <c r="G3214" s="6" t="str">
        <f t="shared" si="737"/>
        <v>R010000635000000</v>
      </c>
      <c r="H3214" s="6" t="str">
        <f t="shared" si="738"/>
        <v>Alexis Cotoral Pure</v>
      </c>
      <c r="I3214" s="6" t="str">
        <f t="shared" si="744"/>
        <v>5149</v>
      </c>
      <c r="J3214" s="6" t="str">
        <f t="shared" si="745"/>
        <v>VERDE 5149</v>
      </c>
      <c r="K3214" s="6" t="str">
        <f>"5006"</f>
        <v>5006</v>
      </c>
      <c r="L3214" s="6" t="str">
        <f t="shared" si="741"/>
        <v>Roupões Adulto</v>
      </c>
      <c r="M3214" s="6" t="str">
        <f>"L"</f>
        <v>L</v>
      </c>
      <c r="N3214" s="6" t="str">
        <f>"5602972676679"</f>
        <v>5602972676679</v>
      </c>
      <c r="O3214" s="8">
        <v>72</v>
      </c>
      <c r="P3214" s="7">
        <v>45769</v>
      </c>
      <c r="R3214" s="8">
        <v>0</v>
      </c>
      <c r="S3214" s="7">
        <v>45775</v>
      </c>
      <c r="U3214" s="8">
        <v>0</v>
      </c>
      <c r="V3214" s="7">
        <v>45790</v>
      </c>
      <c r="X3214" s="8">
        <v>0</v>
      </c>
      <c r="Z3214" s="8">
        <v>0</v>
      </c>
      <c r="AA3214" s="7">
        <v>45804</v>
      </c>
      <c r="AC3214" s="8">
        <v>93</v>
      </c>
      <c r="AE3214" s="7">
        <v>45807</v>
      </c>
      <c r="AF3214" s="8">
        <v>93</v>
      </c>
      <c r="AH3214" s="7">
        <v>46034</v>
      </c>
      <c r="AN3214" s="8">
        <v>93</v>
      </c>
      <c r="AO3214" s="8">
        <v>-21</v>
      </c>
    </row>
    <row r="3215" spans="1:41" x14ac:dyDescent="0.25">
      <c r="A3215" s="6" t="str">
        <f t="shared" si="735"/>
        <v>525-2025000235</v>
      </c>
      <c r="B3215" s="6" t="str">
        <f t="shared" si="746"/>
        <v>Lasa Int</v>
      </c>
      <c r="C3215" s="7">
        <v>45762</v>
      </c>
      <c r="D3215" s="7">
        <v>46034</v>
      </c>
      <c r="E3215" s="8">
        <v>36</v>
      </c>
      <c r="F3215" s="6" t="str">
        <f t="shared" si="736"/>
        <v>PURE R</v>
      </c>
      <c r="G3215" s="6" t="str">
        <f t="shared" si="737"/>
        <v>R010000635000000</v>
      </c>
      <c r="H3215" s="6" t="str">
        <f t="shared" si="738"/>
        <v>Alexis Cotoral Pure</v>
      </c>
      <c r="I3215" s="6" t="str">
        <f t="shared" si="744"/>
        <v>5149</v>
      </c>
      <c r="J3215" s="6" t="str">
        <f t="shared" si="745"/>
        <v>VERDE 5149</v>
      </c>
      <c r="K3215" s="6" t="str">
        <f>"5008"</f>
        <v>5008</v>
      </c>
      <c r="L3215" s="6" t="str">
        <f t="shared" si="741"/>
        <v>Roupões Adulto</v>
      </c>
      <c r="M3215" s="6" t="str">
        <f>"XL"</f>
        <v>XL</v>
      </c>
      <c r="N3215" s="6" t="str">
        <f>"5602972676686"</f>
        <v>5602972676686</v>
      </c>
      <c r="O3215" s="8">
        <v>48</v>
      </c>
      <c r="P3215" s="7">
        <v>45769</v>
      </c>
      <c r="R3215" s="8">
        <v>0</v>
      </c>
      <c r="S3215" s="7">
        <v>45775</v>
      </c>
      <c r="U3215" s="8">
        <v>0</v>
      </c>
      <c r="V3215" s="7">
        <v>45790</v>
      </c>
      <c r="X3215" s="8">
        <v>0</v>
      </c>
      <c r="Z3215" s="8">
        <v>0</v>
      </c>
      <c r="AA3215" s="7">
        <v>45804</v>
      </c>
      <c r="AC3215" s="8">
        <v>76</v>
      </c>
      <c r="AE3215" s="7">
        <v>45807</v>
      </c>
      <c r="AF3215" s="8">
        <v>76</v>
      </c>
      <c r="AH3215" s="7">
        <v>46034</v>
      </c>
      <c r="AN3215" s="8">
        <v>76</v>
      </c>
      <c r="AO3215" s="8">
        <v>-28</v>
      </c>
    </row>
    <row r="3216" spans="1:41" x14ac:dyDescent="0.25">
      <c r="A3216" s="6" t="str">
        <f t="shared" si="735"/>
        <v>525-2025000235</v>
      </c>
      <c r="B3216" s="6" t="str">
        <f t="shared" si="746"/>
        <v>Lasa Int</v>
      </c>
      <c r="C3216" s="7">
        <v>45762</v>
      </c>
      <c r="D3216" s="7">
        <v>46034</v>
      </c>
      <c r="E3216" s="8">
        <v>37</v>
      </c>
      <c r="F3216" s="6" t="str">
        <f t="shared" si="736"/>
        <v>PURE R</v>
      </c>
      <c r="G3216" s="6" t="str">
        <f t="shared" si="737"/>
        <v>R010000635000000</v>
      </c>
      <c r="H3216" s="6" t="str">
        <f t="shared" si="738"/>
        <v>Alexis Cotoral Pure</v>
      </c>
      <c r="I3216" s="6" t="str">
        <f t="shared" si="744"/>
        <v>5149</v>
      </c>
      <c r="J3216" s="6" t="str">
        <f t="shared" si="745"/>
        <v>VERDE 5149</v>
      </c>
      <c r="K3216" s="6" t="str">
        <f>"5010"</f>
        <v>5010</v>
      </c>
      <c r="L3216" s="6" t="str">
        <f t="shared" si="741"/>
        <v>Roupões Adulto</v>
      </c>
      <c r="M3216" s="6" t="str">
        <f>"XXL"</f>
        <v>XXL</v>
      </c>
      <c r="N3216" s="6" t="str">
        <f>"5602972676693"</f>
        <v>5602972676693</v>
      </c>
      <c r="O3216" s="8">
        <v>24</v>
      </c>
      <c r="P3216" s="7">
        <v>45769</v>
      </c>
      <c r="R3216" s="8">
        <v>0</v>
      </c>
      <c r="S3216" s="7">
        <v>45775</v>
      </c>
      <c r="U3216" s="8">
        <v>0</v>
      </c>
      <c r="V3216" s="7">
        <v>45790</v>
      </c>
      <c r="X3216" s="8">
        <v>0</v>
      </c>
      <c r="Z3216" s="8">
        <v>0</v>
      </c>
      <c r="AA3216" s="7">
        <v>45804</v>
      </c>
      <c r="AC3216" s="8">
        <v>10</v>
      </c>
      <c r="AE3216" s="7">
        <v>45807</v>
      </c>
      <c r="AF3216" s="8">
        <v>10</v>
      </c>
      <c r="AH3216" s="7">
        <v>46034</v>
      </c>
      <c r="AN3216" s="8">
        <v>10</v>
      </c>
      <c r="AO3216" s="8">
        <v>14</v>
      </c>
    </row>
    <row r="3217" spans="1:41" x14ac:dyDescent="0.25">
      <c r="A3217" s="6" t="str">
        <f t="shared" si="735"/>
        <v>525-2025000235</v>
      </c>
      <c r="B3217" s="6" t="str">
        <f t="shared" si="746"/>
        <v>Lasa Int</v>
      </c>
      <c r="C3217" s="7">
        <v>45762</v>
      </c>
      <c r="D3217" s="7">
        <v>46034</v>
      </c>
      <c r="E3217" s="8">
        <v>38</v>
      </c>
      <c r="F3217" s="6" t="str">
        <f t="shared" si="736"/>
        <v>PURE R</v>
      </c>
      <c r="G3217" s="6" t="str">
        <f t="shared" si="737"/>
        <v>R010000635000000</v>
      </c>
      <c r="H3217" s="6" t="str">
        <f t="shared" si="738"/>
        <v>Alexis Cotoral Pure</v>
      </c>
      <c r="I3217" s="6" t="str">
        <f t="shared" si="744"/>
        <v>5149</v>
      </c>
      <c r="J3217" s="6" t="str">
        <f t="shared" si="745"/>
        <v>VERDE 5149</v>
      </c>
      <c r="K3217" s="6" t="str">
        <f>"5014"</f>
        <v>5014</v>
      </c>
      <c r="L3217" s="6" t="str">
        <f t="shared" si="741"/>
        <v>Roupões Adulto</v>
      </c>
      <c r="M3217" s="6" t="str">
        <f>"3XL"</f>
        <v>3XL</v>
      </c>
      <c r="N3217" s="6" t="str">
        <f>"5602972676709"</f>
        <v>5602972676709</v>
      </c>
      <c r="O3217" s="8">
        <v>24</v>
      </c>
      <c r="P3217" s="7">
        <v>45769</v>
      </c>
      <c r="R3217" s="8">
        <v>0</v>
      </c>
      <c r="S3217" s="7">
        <v>45775</v>
      </c>
      <c r="U3217" s="8">
        <v>0</v>
      </c>
      <c r="V3217" s="7">
        <v>45790</v>
      </c>
      <c r="X3217" s="8">
        <v>0</v>
      </c>
      <c r="Z3217" s="8">
        <v>0</v>
      </c>
      <c r="AA3217" s="7">
        <v>45804</v>
      </c>
      <c r="AC3217" s="8">
        <v>29</v>
      </c>
      <c r="AE3217" s="7">
        <v>45807</v>
      </c>
      <c r="AF3217" s="8">
        <v>29</v>
      </c>
      <c r="AH3217" s="7">
        <v>46034</v>
      </c>
      <c r="AN3217" s="8">
        <v>29</v>
      </c>
      <c r="AO3217" s="8">
        <v>-5</v>
      </c>
    </row>
    <row r="3218" spans="1:41" x14ac:dyDescent="0.25">
      <c r="A3218" s="6" t="str">
        <f t="shared" ref="A3218:A3227" si="747">"525-2025000236"</f>
        <v>525-2025000236</v>
      </c>
      <c r="B3218" s="6" t="str">
        <f t="shared" si="746"/>
        <v>Lasa Int</v>
      </c>
      <c r="C3218" s="7">
        <v>45762</v>
      </c>
      <c r="D3218" s="7">
        <v>46033</v>
      </c>
      <c r="E3218" s="8">
        <v>1</v>
      </c>
      <c r="F3218" s="6" t="str">
        <f t="shared" si="736"/>
        <v>PURE R</v>
      </c>
      <c r="G3218" s="6" t="str">
        <f>"K018000135000000"</f>
        <v>K018000135000000</v>
      </c>
      <c r="H3218" s="6" t="str">
        <f>"Chinelos - LI - 350"</f>
        <v>Chinelos - LI - 350</v>
      </c>
      <c r="I3218" s="6" t="str">
        <f t="shared" ref="I3218:I3227" si="748">"3235"</f>
        <v>3235</v>
      </c>
      <c r="J3218" s="6" t="str">
        <f t="shared" ref="J3218:J3227" si="749">"CINZA 3235"</f>
        <v>CINZA 3235</v>
      </c>
      <c r="K3218" s="6" t="str">
        <f>"4808"</f>
        <v>4808</v>
      </c>
      <c r="L3218" s="6" t="str">
        <f>"Chinelos"</f>
        <v>Chinelos</v>
      </c>
      <c r="M3218" s="6" t="str">
        <f>"38"</f>
        <v>38</v>
      </c>
      <c r="N3218" s="6" t="str">
        <f>"5602972724295"</f>
        <v>5602972724295</v>
      </c>
      <c r="O3218" s="8">
        <v>60</v>
      </c>
      <c r="P3218" s="7">
        <v>45762</v>
      </c>
      <c r="R3218" s="8">
        <v>0</v>
      </c>
      <c r="U3218" s="8">
        <v>0</v>
      </c>
      <c r="X3218" s="8">
        <v>0</v>
      </c>
      <c r="Z3218" s="8">
        <v>0</v>
      </c>
      <c r="AC3218" s="8">
        <v>70</v>
      </c>
      <c r="AE3218" s="7">
        <v>45770</v>
      </c>
      <c r="AF3218" s="8">
        <v>70</v>
      </c>
      <c r="AH3218" s="7">
        <v>46033</v>
      </c>
      <c r="AN3218" s="8">
        <v>70</v>
      </c>
      <c r="AO3218" s="8">
        <v>-10</v>
      </c>
    </row>
    <row r="3219" spans="1:41" x14ac:dyDescent="0.25">
      <c r="A3219" s="6" t="str">
        <f t="shared" si="747"/>
        <v>525-2025000236</v>
      </c>
      <c r="B3219" s="6" t="str">
        <f t="shared" si="746"/>
        <v>Lasa Int</v>
      </c>
      <c r="C3219" s="7">
        <v>45762</v>
      </c>
      <c r="D3219" s="7">
        <v>46033</v>
      </c>
      <c r="E3219" s="8">
        <v>2</v>
      </c>
      <c r="F3219" s="6" t="str">
        <f t="shared" si="736"/>
        <v>PURE R</v>
      </c>
      <c r="G3219" s="6" t="str">
        <f>"K018000135000000"</f>
        <v>K018000135000000</v>
      </c>
      <c r="H3219" s="6" t="str">
        <f>"Chinelos - LI - 350"</f>
        <v>Chinelos - LI - 350</v>
      </c>
      <c r="I3219" s="6" t="str">
        <f t="shared" si="748"/>
        <v>3235</v>
      </c>
      <c r="J3219" s="6" t="str">
        <f t="shared" si="749"/>
        <v>CINZA 3235</v>
      </c>
      <c r="K3219" s="6" t="str">
        <f>"4816"</f>
        <v>4816</v>
      </c>
      <c r="L3219" s="6" t="str">
        <f>"Chinelos"</f>
        <v>Chinelos</v>
      </c>
      <c r="M3219" s="6" t="str">
        <f>"45"</f>
        <v>45</v>
      </c>
      <c r="N3219" s="6" t="str">
        <f>"5602972661897"</f>
        <v>5602972661897</v>
      </c>
      <c r="O3219" s="8">
        <v>30</v>
      </c>
      <c r="P3219" s="7">
        <v>45762</v>
      </c>
      <c r="R3219" s="8">
        <v>0</v>
      </c>
      <c r="U3219" s="8">
        <v>0</v>
      </c>
      <c r="X3219" s="8">
        <v>0</v>
      </c>
      <c r="Z3219" s="8">
        <v>0</v>
      </c>
      <c r="AC3219" s="8">
        <v>40</v>
      </c>
      <c r="AE3219" s="7">
        <v>45770</v>
      </c>
      <c r="AF3219" s="8">
        <v>40</v>
      </c>
      <c r="AH3219" s="7">
        <v>46033</v>
      </c>
      <c r="AN3219" s="8">
        <v>40</v>
      </c>
      <c r="AO3219" s="8">
        <v>-10</v>
      </c>
    </row>
    <row r="3220" spans="1:41" x14ac:dyDescent="0.25">
      <c r="A3220" s="6" t="str">
        <f t="shared" si="747"/>
        <v>525-2025000236</v>
      </c>
      <c r="B3220" s="6" t="str">
        <f t="shared" si="746"/>
        <v>Lasa Int</v>
      </c>
      <c r="C3220" s="7">
        <v>45762</v>
      </c>
      <c r="D3220" s="7">
        <v>46033</v>
      </c>
      <c r="E3220" s="8">
        <v>3</v>
      </c>
      <c r="F3220" s="6" t="str">
        <f t="shared" si="736"/>
        <v>PURE R</v>
      </c>
      <c r="G3220" s="6" t="str">
        <f>"R010000635000000"</f>
        <v>R010000635000000</v>
      </c>
      <c r="H3220" s="6" t="str">
        <f>"Alexis Cotoral Pure"</f>
        <v>Alexis Cotoral Pure</v>
      </c>
      <c r="I3220" s="6" t="str">
        <f t="shared" si="748"/>
        <v>3235</v>
      </c>
      <c r="J3220" s="6" t="str">
        <f t="shared" si="749"/>
        <v>CINZA 3235</v>
      </c>
      <c r="K3220" s="6" t="str">
        <f>"5002"</f>
        <v>5002</v>
      </c>
      <c r="L3220" s="6" t="str">
        <f t="shared" ref="L3220:L3227" si="750">"Roupões Adulto"</f>
        <v>Roupões Adulto</v>
      </c>
      <c r="M3220" s="6" t="str">
        <f>"S"</f>
        <v>S</v>
      </c>
      <c r="N3220" s="6" t="str">
        <f>"5602972722406"</f>
        <v>5602972722406</v>
      </c>
      <c r="O3220" s="8">
        <v>12</v>
      </c>
      <c r="P3220" s="7">
        <v>45762</v>
      </c>
      <c r="R3220" s="8">
        <v>0</v>
      </c>
      <c r="U3220" s="8">
        <v>0</v>
      </c>
      <c r="X3220" s="8">
        <v>0</v>
      </c>
      <c r="Z3220" s="8">
        <v>0</v>
      </c>
      <c r="AC3220" s="8">
        <v>21</v>
      </c>
      <c r="AE3220" s="7">
        <v>45770</v>
      </c>
      <c r="AF3220" s="8">
        <v>21</v>
      </c>
      <c r="AH3220" s="7">
        <v>46033</v>
      </c>
      <c r="AN3220" s="8">
        <v>21</v>
      </c>
      <c r="AO3220" s="8">
        <v>-9</v>
      </c>
    </row>
    <row r="3221" spans="1:41" x14ac:dyDescent="0.25">
      <c r="A3221" s="6" t="str">
        <f t="shared" si="747"/>
        <v>525-2025000236</v>
      </c>
      <c r="B3221" s="6" t="str">
        <f t="shared" si="746"/>
        <v>Lasa Int</v>
      </c>
      <c r="C3221" s="7">
        <v>45762</v>
      </c>
      <c r="D3221" s="7">
        <v>46033</v>
      </c>
      <c r="E3221" s="8">
        <v>4</v>
      </c>
      <c r="F3221" s="6" t="str">
        <f t="shared" si="736"/>
        <v>PURE R</v>
      </c>
      <c r="G3221" s="6" t="str">
        <f>"R010000635000000"</f>
        <v>R010000635000000</v>
      </c>
      <c r="H3221" s="6" t="str">
        <f>"Alexis Cotoral Pure"</f>
        <v>Alexis Cotoral Pure</v>
      </c>
      <c r="I3221" s="6" t="str">
        <f t="shared" si="748"/>
        <v>3235</v>
      </c>
      <c r="J3221" s="6" t="str">
        <f t="shared" si="749"/>
        <v>CINZA 3235</v>
      </c>
      <c r="K3221" s="6" t="str">
        <f>"5004"</f>
        <v>5004</v>
      </c>
      <c r="L3221" s="6" t="str">
        <f t="shared" si="750"/>
        <v>Roupões Adulto</v>
      </c>
      <c r="M3221" s="6" t="str">
        <f>"M"</f>
        <v>M</v>
      </c>
      <c r="N3221" s="6" t="str">
        <f>"5602972722413"</f>
        <v>5602972722413</v>
      </c>
      <c r="O3221" s="8">
        <v>60</v>
      </c>
      <c r="P3221" s="7">
        <v>45762</v>
      </c>
      <c r="R3221" s="8">
        <v>0</v>
      </c>
      <c r="U3221" s="8">
        <v>0</v>
      </c>
      <c r="X3221" s="8">
        <v>0</v>
      </c>
      <c r="Z3221" s="8">
        <v>0</v>
      </c>
      <c r="AC3221" s="8">
        <v>69</v>
      </c>
      <c r="AE3221" s="7">
        <v>45770</v>
      </c>
      <c r="AF3221" s="8">
        <v>69</v>
      </c>
      <c r="AH3221" s="7">
        <v>46033</v>
      </c>
      <c r="AN3221" s="8">
        <v>69</v>
      </c>
      <c r="AO3221" s="8">
        <v>-9</v>
      </c>
    </row>
    <row r="3222" spans="1:41" x14ac:dyDescent="0.25">
      <c r="A3222" s="6" t="str">
        <f t="shared" si="747"/>
        <v>525-2025000236</v>
      </c>
      <c r="B3222" s="6" t="str">
        <f t="shared" si="746"/>
        <v>Lasa Int</v>
      </c>
      <c r="C3222" s="7">
        <v>45762</v>
      </c>
      <c r="D3222" s="7">
        <v>46033</v>
      </c>
      <c r="E3222" s="8">
        <v>5</v>
      </c>
      <c r="F3222" s="6" t="str">
        <f t="shared" si="736"/>
        <v>PURE R</v>
      </c>
      <c r="G3222" s="6" t="str">
        <f>"R010000635000000"</f>
        <v>R010000635000000</v>
      </c>
      <c r="H3222" s="6" t="str">
        <f>"Alexis Cotoral Pure"</f>
        <v>Alexis Cotoral Pure</v>
      </c>
      <c r="I3222" s="6" t="str">
        <f t="shared" si="748"/>
        <v>3235</v>
      </c>
      <c r="J3222" s="6" t="str">
        <f t="shared" si="749"/>
        <v>CINZA 3235</v>
      </c>
      <c r="K3222" s="6" t="str">
        <f>"5006"</f>
        <v>5006</v>
      </c>
      <c r="L3222" s="6" t="str">
        <f t="shared" si="750"/>
        <v>Roupões Adulto</v>
      </c>
      <c r="M3222" s="6" t="str">
        <f>"L"</f>
        <v>L</v>
      </c>
      <c r="N3222" s="6" t="str">
        <f>"5602972722420"</f>
        <v>5602972722420</v>
      </c>
      <c r="O3222" s="8">
        <v>36</v>
      </c>
      <c r="P3222" s="7">
        <v>45762</v>
      </c>
      <c r="R3222" s="8">
        <v>0</v>
      </c>
      <c r="U3222" s="8">
        <v>0</v>
      </c>
      <c r="X3222" s="8">
        <v>0</v>
      </c>
      <c r="Z3222" s="8">
        <v>0</v>
      </c>
      <c r="AC3222" s="8">
        <v>43</v>
      </c>
      <c r="AE3222" s="7">
        <v>45770</v>
      </c>
      <c r="AF3222" s="8">
        <v>43</v>
      </c>
      <c r="AH3222" s="7">
        <v>46033</v>
      </c>
      <c r="AN3222" s="8">
        <v>43</v>
      </c>
      <c r="AO3222" s="8">
        <v>-7</v>
      </c>
    </row>
    <row r="3223" spans="1:41" x14ac:dyDescent="0.25">
      <c r="A3223" s="6" t="str">
        <f t="shared" si="747"/>
        <v>525-2025000236</v>
      </c>
      <c r="B3223" s="6" t="str">
        <f t="shared" si="746"/>
        <v>Lasa Int</v>
      </c>
      <c r="C3223" s="7">
        <v>45762</v>
      </c>
      <c r="D3223" s="7">
        <v>46033</v>
      </c>
      <c r="E3223" s="8">
        <v>6</v>
      </c>
      <c r="F3223" s="6" t="str">
        <f t="shared" si="736"/>
        <v>PURE R</v>
      </c>
      <c r="G3223" s="6" t="str">
        <f>"R010000635000000"</f>
        <v>R010000635000000</v>
      </c>
      <c r="H3223" s="6" t="str">
        <f>"Alexis Cotoral Pure"</f>
        <v>Alexis Cotoral Pure</v>
      </c>
      <c r="I3223" s="6" t="str">
        <f t="shared" si="748"/>
        <v>3235</v>
      </c>
      <c r="J3223" s="6" t="str">
        <f t="shared" si="749"/>
        <v>CINZA 3235</v>
      </c>
      <c r="K3223" s="6" t="str">
        <f>"5008"</f>
        <v>5008</v>
      </c>
      <c r="L3223" s="6" t="str">
        <f t="shared" si="750"/>
        <v>Roupões Adulto</v>
      </c>
      <c r="M3223" s="6" t="str">
        <f>"XL"</f>
        <v>XL</v>
      </c>
      <c r="N3223" s="6" t="str">
        <f>"5602972722437"</f>
        <v>5602972722437</v>
      </c>
      <c r="O3223" s="8">
        <v>36</v>
      </c>
      <c r="P3223" s="7">
        <v>45762</v>
      </c>
      <c r="R3223" s="8">
        <v>0</v>
      </c>
      <c r="U3223" s="8">
        <v>0</v>
      </c>
      <c r="X3223" s="8">
        <v>0</v>
      </c>
      <c r="Z3223" s="8">
        <v>0</v>
      </c>
      <c r="AC3223" s="8">
        <v>44</v>
      </c>
      <c r="AE3223" s="7">
        <v>45770</v>
      </c>
      <c r="AF3223" s="8">
        <v>44</v>
      </c>
      <c r="AH3223" s="7">
        <v>46033</v>
      </c>
      <c r="AN3223" s="8">
        <v>44</v>
      </c>
      <c r="AO3223" s="8">
        <v>-8</v>
      </c>
    </row>
    <row r="3224" spans="1:41" x14ac:dyDescent="0.25">
      <c r="A3224" s="6" t="str">
        <f t="shared" si="747"/>
        <v>525-2025000236</v>
      </c>
      <c r="B3224" s="6" t="str">
        <f t="shared" si="746"/>
        <v>Lasa Int</v>
      </c>
      <c r="C3224" s="7">
        <v>45762</v>
      </c>
      <c r="D3224" s="7">
        <v>46033</v>
      </c>
      <c r="E3224" s="8">
        <v>7</v>
      </c>
      <c r="F3224" s="6" t="str">
        <f t="shared" si="736"/>
        <v>PURE R</v>
      </c>
      <c r="G3224" s="6" t="str">
        <f>"R120203038500000"</f>
        <v>R120203038500000</v>
      </c>
      <c r="H3224" s="6" t="str">
        <f>"R 2030 - Ketten PURE"</f>
        <v>R 2030 - Ketten PURE</v>
      </c>
      <c r="I3224" s="6" t="str">
        <f t="shared" si="748"/>
        <v>3235</v>
      </c>
      <c r="J3224" s="6" t="str">
        <f t="shared" si="749"/>
        <v>CINZA 3235</v>
      </c>
      <c r="K3224" s="6" t="str">
        <f>"5001"</f>
        <v>5001</v>
      </c>
      <c r="L3224" s="6" t="str">
        <f t="shared" si="750"/>
        <v>Roupões Adulto</v>
      </c>
      <c r="M3224" s="6" t="str">
        <f>"XS"</f>
        <v>XS</v>
      </c>
      <c r="N3224" s="6" t="str">
        <f>"5605247635999"</f>
        <v>5605247635999</v>
      </c>
      <c r="O3224" s="8">
        <v>12</v>
      </c>
      <c r="P3224" s="7">
        <v>45762</v>
      </c>
      <c r="R3224" s="8">
        <v>0</v>
      </c>
      <c r="U3224" s="8">
        <v>0</v>
      </c>
      <c r="X3224" s="8">
        <v>0</v>
      </c>
      <c r="Z3224" s="8">
        <v>0</v>
      </c>
      <c r="AC3224" s="8">
        <v>13</v>
      </c>
      <c r="AE3224" s="7">
        <v>45770</v>
      </c>
      <c r="AF3224" s="8">
        <v>13</v>
      </c>
      <c r="AH3224" s="7">
        <v>46033</v>
      </c>
      <c r="AN3224" s="8">
        <v>13</v>
      </c>
      <c r="AO3224" s="8">
        <v>-1</v>
      </c>
    </row>
    <row r="3225" spans="1:41" x14ac:dyDescent="0.25">
      <c r="A3225" s="6" t="str">
        <f t="shared" si="747"/>
        <v>525-2025000236</v>
      </c>
      <c r="B3225" s="6" t="str">
        <f t="shared" si="746"/>
        <v>Lasa Int</v>
      </c>
      <c r="C3225" s="7">
        <v>45762</v>
      </c>
      <c r="D3225" s="7">
        <v>46033</v>
      </c>
      <c r="E3225" s="8">
        <v>8</v>
      </c>
      <c r="F3225" s="6" t="str">
        <f t="shared" si="736"/>
        <v>PURE R</v>
      </c>
      <c r="G3225" s="6" t="str">
        <f>"R120203038500000"</f>
        <v>R120203038500000</v>
      </c>
      <c r="H3225" s="6" t="str">
        <f>"R 2030 - Ketten PURE"</f>
        <v>R 2030 - Ketten PURE</v>
      </c>
      <c r="I3225" s="6" t="str">
        <f t="shared" si="748"/>
        <v>3235</v>
      </c>
      <c r="J3225" s="6" t="str">
        <f t="shared" si="749"/>
        <v>CINZA 3235</v>
      </c>
      <c r="K3225" s="6" t="str">
        <f>"5002"</f>
        <v>5002</v>
      </c>
      <c r="L3225" s="6" t="str">
        <f t="shared" si="750"/>
        <v>Roupões Adulto</v>
      </c>
      <c r="M3225" s="6" t="str">
        <f>"S"</f>
        <v>S</v>
      </c>
      <c r="N3225" s="6" t="str">
        <f>"5605247636002"</f>
        <v>5605247636002</v>
      </c>
      <c r="O3225" s="8">
        <v>18</v>
      </c>
      <c r="P3225" s="7">
        <v>45762</v>
      </c>
      <c r="R3225" s="8">
        <v>0</v>
      </c>
      <c r="U3225" s="8">
        <v>0</v>
      </c>
      <c r="X3225" s="8">
        <v>0</v>
      </c>
      <c r="Z3225" s="8">
        <v>0</v>
      </c>
      <c r="AC3225" s="8">
        <v>17</v>
      </c>
      <c r="AE3225" s="7">
        <v>45770</v>
      </c>
      <c r="AF3225" s="8">
        <v>17</v>
      </c>
      <c r="AH3225" s="7">
        <v>46033</v>
      </c>
      <c r="AN3225" s="8">
        <v>17</v>
      </c>
      <c r="AO3225" s="8">
        <v>1</v>
      </c>
    </row>
    <row r="3226" spans="1:41" x14ac:dyDescent="0.25">
      <c r="A3226" s="6" t="str">
        <f t="shared" si="747"/>
        <v>525-2025000236</v>
      </c>
      <c r="B3226" s="6" t="str">
        <f t="shared" si="746"/>
        <v>Lasa Int</v>
      </c>
      <c r="C3226" s="7">
        <v>45762</v>
      </c>
      <c r="D3226" s="7">
        <v>46033</v>
      </c>
      <c r="E3226" s="8">
        <v>9</v>
      </c>
      <c r="F3226" s="6" t="str">
        <f t="shared" si="736"/>
        <v>PURE R</v>
      </c>
      <c r="G3226" s="6" t="str">
        <f>"R120203038500000"</f>
        <v>R120203038500000</v>
      </c>
      <c r="H3226" s="6" t="str">
        <f>"R 2030 - Ketten PURE"</f>
        <v>R 2030 - Ketten PURE</v>
      </c>
      <c r="I3226" s="6" t="str">
        <f t="shared" si="748"/>
        <v>3235</v>
      </c>
      <c r="J3226" s="6" t="str">
        <f t="shared" si="749"/>
        <v>CINZA 3235</v>
      </c>
      <c r="K3226" s="6" t="str">
        <f>"5004"</f>
        <v>5004</v>
      </c>
      <c r="L3226" s="6" t="str">
        <f t="shared" si="750"/>
        <v>Roupões Adulto</v>
      </c>
      <c r="M3226" s="6" t="str">
        <f>"M"</f>
        <v>M</v>
      </c>
      <c r="N3226" s="6" t="str">
        <f>"5605247636019"</f>
        <v>5605247636019</v>
      </c>
      <c r="O3226" s="8">
        <v>18</v>
      </c>
      <c r="P3226" s="7">
        <v>45762</v>
      </c>
      <c r="R3226" s="8">
        <v>0</v>
      </c>
      <c r="U3226" s="8">
        <v>0</v>
      </c>
      <c r="X3226" s="8">
        <v>0</v>
      </c>
      <c r="Z3226" s="8">
        <v>0</v>
      </c>
      <c r="AC3226" s="8">
        <v>18</v>
      </c>
      <c r="AE3226" s="7">
        <v>45770</v>
      </c>
      <c r="AF3226" s="8">
        <v>18</v>
      </c>
      <c r="AH3226" s="7">
        <v>46033</v>
      </c>
      <c r="AN3226" s="8">
        <v>18</v>
      </c>
      <c r="AO3226" s="8">
        <v>0</v>
      </c>
    </row>
    <row r="3227" spans="1:41" x14ac:dyDescent="0.25">
      <c r="A3227" s="6" t="str">
        <f t="shared" si="747"/>
        <v>525-2025000236</v>
      </c>
      <c r="B3227" s="6" t="str">
        <f t="shared" si="746"/>
        <v>Lasa Int</v>
      </c>
      <c r="C3227" s="7">
        <v>45762</v>
      </c>
      <c r="D3227" s="7">
        <v>46033</v>
      </c>
      <c r="E3227" s="8">
        <v>10</v>
      </c>
      <c r="F3227" s="6" t="str">
        <f t="shared" si="736"/>
        <v>PURE R</v>
      </c>
      <c r="G3227" s="6" t="str">
        <f>"R120203038500000"</f>
        <v>R120203038500000</v>
      </c>
      <c r="H3227" s="6" t="str">
        <f>"R 2030 - Ketten PURE"</f>
        <v>R 2030 - Ketten PURE</v>
      </c>
      <c r="I3227" s="6" t="str">
        <f t="shared" si="748"/>
        <v>3235</v>
      </c>
      <c r="J3227" s="6" t="str">
        <f t="shared" si="749"/>
        <v>CINZA 3235</v>
      </c>
      <c r="K3227" s="6" t="str">
        <f>"5008"</f>
        <v>5008</v>
      </c>
      <c r="L3227" s="6" t="str">
        <f t="shared" si="750"/>
        <v>Roupões Adulto</v>
      </c>
      <c r="M3227" s="6" t="str">
        <f>"XL"</f>
        <v>XL</v>
      </c>
      <c r="N3227" s="6" t="str">
        <f>"5605247636033"</f>
        <v>5605247636033</v>
      </c>
      <c r="O3227" s="8">
        <v>12</v>
      </c>
      <c r="P3227" s="7">
        <v>45762</v>
      </c>
      <c r="R3227" s="8">
        <v>0</v>
      </c>
      <c r="U3227" s="8">
        <v>0</v>
      </c>
      <c r="X3227" s="8">
        <v>0</v>
      </c>
      <c r="Z3227" s="8">
        <v>0</v>
      </c>
      <c r="AC3227" s="8">
        <v>13</v>
      </c>
      <c r="AE3227" s="7">
        <v>45770</v>
      </c>
      <c r="AF3227" s="8">
        <v>13</v>
      </c>
      <c r="AH3227" s="7">
        <v>46033</v>
      </c>
      <c r="AN3227" s="8">
        <v>13</v>
      </c>
      <c r="AO3227" s="8">
        <v>-1</v>
      </c>
    </row>
    <row r="3228" spans="1:41" x14ac:dyDescent="0.25">
      <c r="A3228" s="6" t="str">
        <f t="shared" ref="A3228:A3233" si="751">"525-2025000242"</f>
        <v>525-2025000242</v>
      </c>
      <c r="B3228" s="6" t="str">
        <f t="shared" si="746"/>
        <v>Lasa Int</v>
      </c>
      <c r="C3228" s="7">
        <v>45765</v>
      </c>
      <c r="D3228" s="7">
        <v>46037</v>
      </c>
      <c r="E3228" s="8">
        <v>1</v>
      </c>
      <c r="F3228" s="6" t="str">
        <f t="shared" ref="F3228:F3233" si="752">"Riscas 2025"</f>
        <v>Riscas 2025</v>
      </c>
      <c r="G3228" s="6" t="str">
        <f>"F320119044000000"</f>
        <v>F320119044000000</v>
      </c>
      <c r="H3228" s="6" t="str">
        <f>"PL 1190 - 440 g/m²"</f>
        <v>PL 1190 - 440 g/m²</v>
      </c>
      <c r="I3228" s="6" t="str">
        <f>"203922"</f>
        <v>203922</v>
      </c>
      <c r="J3228" s="6" t="str">
        <f>"AZUL 3922"</f>
        <v>AZUL 3922</v>
      </c>
      <c r="K3228" s="6" t="str">
        <f>"0820"</f>
        <v>0820</v>
      </c>
      <c r="L3228" s="6" t="str">
        <f t="shared" ref="L3228:L3233" si="753">"Cozinha"</f>
        <v>Cozinha</v>
      </c>
      <c r="M3228" s="6" t="str">
        <f>"50x50"</f>
        <v>50x50</v>
      </c>
      <c r="N3228" s="6" t="str">
        <f>"5602972517736"</f>
        <v>5602972517736</v>
      </c>
      <c r="O3228" s="8">
        <v>1800</v>
      </c>
      <c r="P3228" s="7">
        <v>45795</v>
      </c>
      <c r="R3228" s="8">
        <v>1920</v>
      </c>
      <c r="S3228" s="7">
        <v>45798</v>
      </c>
      <c r="U3228" s="8">
        <v>1920</v>
      </c>
      <c r="V3228" s="7">
        <v>45803</v>
      </c>
      <c r="X3228" s="8">
        <v>0</v>
      </c>
      <c r="Z3228" s="8">
        <v>1920</v>
      </c>
      <c r="AA3228" s="7">
        <v>45813</v>
      </c>
      <c r="AC3228" s="8">
        <v>1812</v>
      </c>
      <c r="AE3228" s="7">
        <v>45819</v>
      </c>
      <c r="AF3228" s="8">
        <v>1812</v>
      </c>
      <c r="AH3228" s="7">
        <v>45869</v>
      </c>
      <c r="AN3228" s="8">
        <v>1812</v>
      </c>
      <c r="AO3228" s="8">
        <v>-12</v>
      </c>
    </row>
    <row r="3229" spans="1:41" x14ac:dyDescent="0.25">
      <c r="A3229" s="6" t="str">
        <f t="shared" si="751"/>
        <v>525-2025000242</v>
      </c>
      <c r="B3229" s="6" t="str">
        <f t="shared" si="746"/>
        <v>Lasa Int</v>
      </c>
      <c r="C3229" s="7">
        <v>45765</v>
      </c>
      <c r="D3229" s="7">
        <v>46037</v>
      </c>
      <c r="E3229" s="8">
        <v>2</v>
      </c>
      <c r="F3229" s="6" t="str">
        <f t="shared" si="752"/>
        <v>Riscas 2025</v>
      </c>
      <c r="G3229" s="6" t="str">
        <f>"F320119044000000"</f>
        <v>F320119044000000</v>
      </c>
      <c r="H3229" s="6" t="str">
        <f>"PL 1190 - 440 g/m²"</f>
        <v>PL 1190 - 440 g/m²</v>
      </c>
      <c r="I3229" s="6" t="str">
        <f>"204042"</f>
        <v>204042</v>
      </c>
      <c r="J3229" s="6" t="str">
        <f>"TIJOLO 4042"</f>
        <v>TIJOLO 4042</v>
      </c>
      <c r="K3229" s="6" t="str">
        <f>"0820"</f>
        <v>0820</v>
      </c>
      <c r="L3229" s="6" t="str">
        <f t="shared" si="753"/>
        <v>Cozinha</v>
      </c>
      <c r="M3229" s="6" t="str">
        <f>"50x50"</f>
        <v>50x50</v>
      </c>
      <c r="N3229" s="6" t="str">
        <f>"5602972517743"</f>
        <v>5602972517743</v>
      </c>
      <c r="O3229" s="8">
        <v>1800</v>
      </c>
      <c r="P3229" s="7">
        <v>45795</v>
      </c>
      <c r="R3229" s="8">
        <v>1952</v>
      </c>
      <c r="S3229" s="7">
        <v>45798</v>
      </c>
      <c r="U3229" s="8">
        <v>1952</v>
      </c>
      <c r="V3229" s="7">
        <v>45803</v>
      </c>
      <c r="X3229" s="8">
        <v>0</v>
      </c>
      <c r="Z3229" s="8">
        <v>1952</v>
      </c>
      <c r="AA3229" s="7">
        <v>45813</v>
      </c>
      <c r="AC3229" s="8">
        <v>1880</v>
      </c>
      <c r="AE3229" s="7">
        <v>45819</v>
      </c>
      <c r="AF3229" s="8">
        <v>1880</v>
      </c>
      <c r="AH3229" s="7">
        <v>45869</v>
      </c>
      <c r="AN3229" s="8">
        <v>1880</v>
      </c>
      <c r="AO3229" s="8">
        <v>-80</v>
      </c>
    </row>
    <row r="3230" spans="1:41" x14ac:dyDescent="0.25">
      <c r="A3230" s="6" t="str">
        <f t="shared" si="751"/>
        <v>525-2025000242</v>
      </c>
      <c r="B3230" s="6" t="str">
        <f t="shared" si="746"/>
        <v>Lasa Int</v>
      </c>
      <c r="C3230" s="7">
        <v>45765</v>
      </c>
      <c r="D3230" s="7">
        <v>46037</v>
      </c>
      <c r="E3230" s="8">
        <v>3</v>
      </c>
      <c r="F3230" s="6" t="str">
        <f t="shared" si="752"/>
        <v>Riscas 2025</v>
      </c>
      <c r="G3230" s="6" t="str">
        <f>"C001240726000000"</f>
        <v>C001240726000000</v>
      </c>
      <c r="H3230" s="6" t="str">
        <f>"CZJ 2407 - 260 g/m²"</f>
        <v>CZJ 2407 - 260 g/m²</v>
      </c>
      <c r="I3230" s="6" t="str">
        <f>"203922"</f>
        <v>203922</v>
      </c>
      <c r="J3230" s="6" t="str">
        <f>"AZUL 3922"</f>
        <v>AZUL 3922</v>
      </c>
      <c r="K3230" s="6" t="str">
        <f>"0860"</f>
        <v>0860</v>
      </c>
      <c r="L3230" s="6" t="str">
        <f t="shared" si="753"/>
        <v>Cozinha</v>
      </c>
      <c r="M3230" s="6" t="str">
        <f>"70x50"</f>
        <v>70x50</v>
      </c>
      <c r="N3230" s="6" t="str">
        <f>"5602972517750"</f>
        <v>5602972517750</v>
      </c>
      <c r="O3230" s="8">
        <v>1000</v>
      </c>
      <c r="P3230" s="7">
        <v>45795</v>
      </c>
      <c r="R3230" s="8">
        <v>1131</v>
      </c>
      <c r="S3230" s="7">
        <v>45798</v>
      </c>
      <c r="U3230" s="8">
        <v>1131</v>
      </c>
      <c r="V3230" s="7">
        <v>45803</v>
      </c>
      <c r="X3230" s="8">
        <v>0</v>
      </c>
      <c r="Z3230" s="8">
        <v>0</v>
      </c>
      <c r="AA3230" s="7">
        <v>45813</v>
      </c>
      <c r="AC3230" s="8">
        <v>784</v>
      </c>
      <c r="AE3230" s="7">
        <v>45819</v>
      </c>
      <c r="AF3230" s="8">
        <v>784</v>
      </c>
      <c r="AH3230" s="7">
        <v>45869</v>
      </c>
      <c r="AN3230" s="8">
        <v>784</v>
      </c>
      <c r="AO3230" s="8">
        <v>216</v>
      </c>
    </row>
    <row r="3231" spans="1:41" x14ac:dyDescent="0.25">
      <c r="A3231" s="6" t="str">
        <f t="shared" si="751"/>
        <v>525-2025000242</v>
      </c>
      <c r="B3231" s="6" t="str">
        <f t="shared" si="746"/>
        <v>Lasa Int</v>
      </c>
      <c r="C3231" s="7">
        <v>45765</v>
      </c>
      <c r="D3231" s="7">
        <v>46037</v>
      </c>
      <c r="E3231" s="8">
        <v>4</v>
      </c>
      <c r="F3231" s="6" t="str">
        <f t="shared" si="752"/>
        <v>Riscas 2025</v>
      </c>
      <c r="G3231" s="6" t="str">
        <f>"C001240726000000"</f>
        <v>C001240726000000</v>
      </c>
      <c r="H3231" s="6" t="str">
        <f>"CZJ 2407 - 260 g/m²"</f>
        <v>CZJ 2407 - 260 g/m²</v>
      </c>
      <c r="I3231" s="6" t="str">
        <f>"204042"</f>
        <v>204042</v>
      </c>
      <c r="J3231" s="6" t="str">
        <f>"TIJOLO 4042"</f>
        <v>TIJOLO 4042</v>
      </c>
      <c r="K3231" s="6" t="str">
        <f>"0860"</f>
        <v>0860</v>
      </c>
      <c r="L3231" s="6" t="str">
        <f t="shared" si="753"/>
        <v>Cozinha</v>
      </c>
      <c r="M3231" s="6" t="str">
        <f>"70x50"</f>
        <v>70x50</v>
      </c>
      <c r="N3231" s="6" t="str">
        <f>"5602972517767"</f>
        <v>5602972517767</v>
      </c>
      <c r="O3231" s="8">
        <v>1000</v>
      </c>
      <c r="P3231" s="7">
        <v>45795</v>
      </c>
      <c r="R3231" s="8">
        <v>1101</v>
      </c>
      <c r="S3231" s="7">
        <v>45798</v>
      </c>
      <c r="U3231" s="8">
        <v>1101</v>
      </c>
      <c r="V3231" s="7">
        <v>45803</v>
      </c>
      <c r="X3231" s="8">
        <v>0</v>
      </c>
      <c r="Z3231" s="8">
        <v>0</v>
      </c>
      <c r="AA3231" s="7">
        <v>45813</v>
      </c>
      <c r="AC3231" s="8">
        <v>724</v>
      </c>
      <c r="AE3231" s="7">
        <v>45819</v>
      </c>
      <c r="AF3231" s="8">
        <v>724</v>
      </c>
      <c r="AH3231" s="7">
        <v>45869</v>
      </c>
      <c r="AN3231" s="8">
        <v>724</v>
      </c>
      <c r="AO3231" s="8">
        <v>276</v>
      </c>
    </row>
    <row r="3232" spans="1:41" x14ac:dyDescent="0.25">
      <c r="A3232" s="6" t="str">
        <f t="shared" si="751"/>
        <v>525-2025000242</v>
      </c>
      <c r="B3232" s="6" t="str">
        <f t="shared" si="746"/>
        <v>Lasa Int</v>
      </c>
      <c r="C3232" s="7">
        <v>45765</v>
      </c>
      <c r="D3232" s="7">
        <v>46037</v>
      </c>
      <c r="E3232" s="8">
        <v>5</v>
      </c>
      <c r="F3232" s="6" t="str">
        <f t="shared" si="752"/>
        <v>Riscas 2025</v>
      </c>
      <c r="G3232" s="6" t="str">
        <f>"K001240526000000"</f>
        <v>K001240526000000</v>
      </c>
      <c r="H3232" s="6" t="str">
        <f>"KB 2405 - CZJ 2407 ("</f>
        <v>KB 2405 - CZJ 2407 (</v>
      </c>
      <c r="I3232" s="6" t="str">
        <f>"203922"</f>
        <v>203922</v>
      </c>
      <c r="J3232" s="6" t="str">
        <f>"AZUL 3922"</f>
        <v>AZUL 3922</v>
      </c>
      <c r="K3232" s="6" t="str">
        <f>"8803"</f>
        <v>8803</v>
      </c>
      <c r="L3232" s="6" t="str">
        <f t="shared" si="753"/>
        <v>Cozinha</v>
      </c>
      <c r="M3232" s="6" t="str">
        <f>"03 Avental"</f>
        <v>03 Avental</v>
      </c>
      <c r="N3232" s="6" t="str">
        <f>"5602972517774"</f>
        <v>5602972517774</v>
      </c>
      <c r="O3232" s="8">
        <v>260</v>
      </c>
      <c r="P3232" s="7">
        <v>45795</v>
      </c>
      <c r="R3232" s="8">
        <v>190</v>
      </c>
      <c r="S3232" s="7">
        <v>45798</v>
      </c>
      <c r="U3232" s="8">
        <v>190</v>
      </c>
      <c r="V3232" s="7">
        <v>45803</v>
      </c>
      <c r="X3232" s="8">
        <v>0</v>
      </c>
      <c r="Z3232" s="8">
        <v>0</v>
      </c>
      <c r="AA3232" s="7">
        <v>45813</v>
      </c>
      <c r="AC3232" s="8">
        <v>164</v>
      </c>
      <c r="AE3232" s="7">
        <v>45819</v>
      </c>
      <c r="AF3232" s="8">
        <v>164</v>
      </c>
      <c r="AH3232" s="7">
        <v>45869</v>
      </c>
      <c r="AN3232" s="8">
        <v>164</v>
      </c>
      <c r="AO3232" s="8">
        <v>96</v>
      </c>
    </row>
    <row r="3233" spans="1:41" x14ac:dyDescent="0.25">
      <c r="A3233" s="6" t="str">
        <f t="shared" si="751"/>
        <v>525-2025000242</v>
      </c>
      <c r="B3233" s="6" t="str">
        <f t="shared" si="746"/>
        <v>Lasa Int</v>
      </c>
      <c r="C3233" s="7">
        <v>45765</v>
      </c>
      <c r="D3233" s="7">
        <v>46037</v>
      </c>
      <c r="E3233" s="8">
        <v>6</v>
      </c>
      <c r="F3233" s="6" t="str">
        <f t="shared" si="752"/>
        <v>Riscas 2025</v>
      </c>
      <c r="G3233" s="6" t="str">
        <f>"K001240526000000"</f>
        <v>K001240526000000</v>
      </c>
      <c r="H3233" s="6" t="str">
        <f>"KB 2405 - CZJ 2407 ("</f>
        <v>KB 2405 - CZJ 2407 (</v>
      </c>
      <c r="I3233" s="6" t="str">
        <f>"204042"</f>
        <v>204042</v>
      </c>
      <c r="J3233" s="6" t="str">
        <f>"TIJOLO 4042"</f>
        <v>TIJOLO 4042</v>
      </c>
      <c r="K3233" s="6" t="str">
        <f>"8803"</f>
        <v>8803</v>
      </c>
      <c r="L3233" s="6" t="str">
        <f t="shared" si="753"/>
        <v>Cozinha</v>
      </c>
      <c r="M3233" s="6" t="str">
        <f>"03 Avental"</f>
        <v>03 Avental</v>
      </c>
      <c r="N3233" s="6" t="str">
        <f>"5602972517781"</f>
        <v>5602972517781</v>
      </c>
      <c r="O3233" s="8">
        <v>260</v>
      </c>
      <c r="P3233" s="7">
        <v>45795</v>
      </c>
      <c r="R3233" s="8">
        <v>184</v>
      </c>
      <c r="S3233" s="7">
        <v>45798</v>
      </c>
      <c r="U3233" s="8">
        <v>184</v>
      </c>
      <c r="V3233" s="7">
        <v>45803</v>
      </c>
      <c r="X3233" s="8">
        <v>0</v>
      </c>
      <c r="Z3233" s="8">
        <v>0</v>
      </c>
      <c r="AA3233" s="7">
        <v>45813</v>
      </c>
      <c r="AC3233" s="8">
        <v>169</v>
      </c>
      <c r="AE3233" s="7">
        <v>45819</v>
      </c>
      <c r="AF3233" s="8">
        <v>169</v>
      </c>
      <c r="AH3233" s="7">
        <v>45869</v>
      </c>
      <c r="AN3233" s="8">
        <v>169</v>
      </c>
      <c r="AO3233" s="8">
        <v>91</v>
      </c>
    </row>
    <row r="3234" spans="1:41" x14ac:dyDescent="0.25">
      <c r="A3234" s="6" t="str">
        <f t="shared" ref="A3234:A3247" si="754">"525-2025000248"</f>
        <v>525-2025000248</v>
      </c>
      <c r="B3234" s="6" t="str">
        <f t="shared" si="746"/>
        <v>Lasa Int</v>
      </c>
      <c r="C3234" s="7">
        <v>45769</v>
      </c>
      <c r="D3234" s="7">
        <v>46053</v>
      </c>
      <c r="E3234" s="8">
        <v>1</v>
      </c>
      <c r="F3234" s="6" t="str">
        <f t="shared" ref="F3234:F3247" si="755">"PURE R"</f>
        <v>PURE R</v>
      </c>
      <c r="G3234" s="6" t="str">
        <f>"K018000135000000"</f>
        <v>K018000135000000</v>
      </c>
      <c r="H3234" s="6" t="str">
        <f>"Chinelos - LI - 350"</f>
        <v>Chinelos - LI - 350</v>
      </c>
      <c r="I3234" s="6" t="str">
        <f t="shared" ref="I3234:I3247" si="756">"2968"</f>
        <v>2968</v>
      </c>
      <c r="J3234" s="6" t="str">
        <f t="shared" ref="J3234:J3247" si="757">"ROSA 2968"</f>
        <v>ROSA 2968</v>
      </c>
      <c r="K3234" s="6" t="str">
        <f>"4808"</f>
        <v>4808</v>
      </c>
      <c r="L3234" s="6" t="str">
        <f>"Chinelos"</f>
        <v>Chinelos</v>
      </c>
      <c r="M3234" s="6" t="str">
        <f>"38"</f>
        <v>38</v>
      </c>
      <c r="N3234" s="6" t="str">
        <f>"5602972895698"</f>
        <v>5602972895698</v>
      </c>
      <c r="O3234" s="8">
        <v>80</v>
      </c>
      <c r="P3234" s="7">
        <v>45769</v>
      </c>
      <c r="R3234" s="8">
        <v>0</v>
      </c>
      <c r="S3234" s="7">
        <v>45775</v>
      </c>
      <c r="U3234" s="8">
        <v>0</v>
      </c>
      <c r="V3234" s="7">
        <v>45786</v>
      </c>
      <c r="X3234" s="8">
        <v>0</v>
      </c>
      <c r="Z3234" s="8">
        <v>0</v>
      </c>
      <c r="AA3234" s="7">
        <v>45798</v>
      </c>
      <c r="AC3234" s="8">
        <v>112</v>
      </c>
      <c r="AE3234" s="7">
        <v>45814</v>
      </c>
      <c r="AF3234" s="8">
        <v>112</v>
      </c>
      <c r="AH3234" s="7">
        <v>45934</v>
      </c>
      <c r="AI3234" s="7">
        <v>45812</v>
      </c>
      <c r="AN3234" s="8">
        <v>112</v>
      </c>
      <c r="AO3234" s="8">
        <v>-32</v>
      </c>
    </row>
    <row r="3235" spans="1:41" x14ac:dyDescent="0.25">
      <c r="A3235" s="6" t="str">
        <f t="shared" si="754"/>
        <v>525-2025000248</v>
      </c>
      <c r="B3235" s="6" t="str">
        <f t="shared" si="746"/>
        <v>Lasa Int</v>
      </c>
      <c r="C3235" s="7">
        <v>45769</v>
      </c>
      <c r="D3235" s="7">
        <v>46053</v>
      </c>
      <c r="E3235" s="8">
        <v>2</v>
      </c>
      <c r="F3235" s="6" t="str">
        <f t="shared" si="755"/>
        <v>PURE R</v>
      </c>
      <c r="G3235" s="6" t="str">
        <f>"R010000635000000"</f>
        <v>R010000635000000</v>
      </c>
      <c r="H3235" s="6" t="str">
        <f>"Alexis Cotoral Pure"</f>
        <v>Alexis Cotoral Pure</v>
      </c>
      <c r="I3235" s="6" t="str">
        <f t="shared" si="756"/>
        <v>2968</v>
      </c>
      <c r="J3235" s="6" t="str">
        <f t="shared" si="757"/>
        <v>ROSA 2968</v>
      </c>
      <c r="K3235" s="6" t="str">
        <f>"5002"</f>
        <v>5002</v>
      </c>
      <c r="L3235" s="6" t="str">
        <f>"Roupões Adulto"</f>
        <v>Roupões Adulto</v>
      </c>
      <c r="M3235" s="6" t="str">
        <f>"S"</f>
        <v>S</v>
      </c>
      <c r="N3235" s="6" t="str">
        <f>"5602972895650"</f>
        <v>5602972895650</v>
      </c>
      <c r="O3235" s="8">
        <v>72</v>
      </c>
      <c r="P3235" s="7">
        <v>45769</v>
      </c>
      <c r="R3235" s="8">
        <v>3510</v>
      </c>
      <c r="S3235" s="7">
        <v>45775</v>
      </c>
      <c r="U3235" s="8">
        <v>1350</v>
      </c>
      <c r="V3235" s="7">
        <v>45786</v>
      </c>
      <c r="X3235" s="8">
        <v>1350</v>
      </c>
      <c r="Z3235" s="8">
        <v>0</v>
      </c>
      <c r="AA3235" s="7">
        <v>45798</v>
      </c>
      <c r="AC3235" s="8">
        <v>90</v>
      </c>
      <c r="AE3235" s="7">
        <v>45814</v>
      </c>
      <c r="AF3235" s="8">
        <v>90</v>
      </c>
      <c r="AH3235" s="7">
        <v>45934</v>
      </c>
      <c r="AI3235" s="7">
        <v>45812</v>
      </c>
      <c r="AN3235" s="8">
        <v>90</v>
      </c>
      <c r="AO3235" s="8">
        <v>-18</v>
      </c>
    </row>
    <row r="3236" spans="1:41" x14ac:dyDescent="0.25">
      <c r="A3236" s="6" t="str">
        <f t="shared" si="754"/>
        <v>525-2025000248</v>
      </c>
      <c r="B3236" s="6" t="str">
        <f t="shared" si="746"/>
        <v>Lasa Int</v>
      </c>
      <c r="C3236" s="7">
        <v>45769</v>
      </c>
      <c r="D3236" s="7">
        <v>46053</v>
      </c>
      <c r="E3236" s="8">
        <v>3</v>
      </c>
      <c r="F3236" s="6" t="str">
        <f t="shared" si="755"/>
        <v>PURE R</v>
      </c>
      <c r="G3236" s="6" t="str">
        <f>"R010000635000000"</f>
        <v>R010000635000000</v>
      </c>
      <c r="H3236" s="6" t="str">
        <f>"Alexis Cotoral Pure"</f>
        <v>Alexis Cotoral Pure</v>
      </c>
      <c r="I3236" s="6" t="str">
        <f t="shared" si="756"/>
        <v>2968</v>
      </c>
      <c r="J3236" s="6" t="str">
        <f t="shared" si="757"/>
        <v>ROSA 2968</v>
      </c>
      <c r="K3236" s="6" t="str">
        <f>"5004"</f>
        <v>5004</v>
      </c>
      <c r="L3236" s="6" t="str">
        <f>"Roupões Adulto"</f>
        <v>Roupões Adulto</v>
      </c>
      <c r="M3236" s="6" t="str">
        <f>"M"</f>
        <v>M</v>
      </c>
      <c r="N3236" s="6" t="str">
        <f>"5602972895667"</f>
        <v>5602972895667</v>
      </c>
      <c r="O3236" s="8">
        <v>96</v>
      </c>
      <c r="P3236" s="7">
        <v>45769</v>
      </c>
      <c r="R3236" s="8">
        <v>0</v>
      </c>
      <c r="S3236" s="7">
        <v>45775</v>
      </c>
      <c r="U3236" s="8">
        <v>0</v>
      </c>
      <c r="V3236" s="7">
        <v>45786</v>
      </c>
      <c r="X3236" s="8">
        <v>0</v>
      </c>
      <c r="Z3236" s="8">
        <v>0</v>
      </c>
      <c r="AA3236" s="7">
        <v>45798</v>
      </c>
      <c r="AC3236" s="8">
        <v>106</v>
      </c>
      <c r="AE3236" s="7">
        <v>45814</v>
      </c>
      <c r="AF3236" s="8">
        <v>106</v>
      </c>
      <c r="AH3236" s="7">
        <v>45934</v>
      </c>
      <c r="AI3236" s="7">
        <v>45812</v>
      </c>
      <c r="AN3236" s="8">
        <v>106</v>
      </c>
      <c r="AO3236" s="8">
        <v>-10</v>
      </c>
    </row>
    <row r="3237" spans="1:41" x14ac:dyDescent="0.25">
      <c r="A3237" s="6" t="str">
        <f t="shared" si="754"/>
        <v>525-2025000248</v>
      </c>
      <c r="B3237" s="6" t="str">
        <f t="shared" si="746"/>
        <v>Lasa Int</v>
      </c>
      <c r="C3237" s="7">
        <v>45769</v>
      </c>
      <c r="D3237" s="7">
        <v>46053</v>
      </c>
      <c r="E3237" s="8">
        <v>4</v>
      </c>
      <c r="F3237" s="6" t="str">
        <f t="shared" si="755"/>
        <v>PURE R</v>
      </c>
      <c r="G3237" s="6" t="str">
        <f>"R010000635000000"</f>
        <v>R010000635000000</v>
      </c>
      <c r="H3237" s="6" t="str">
        <f>"Alexis Cotoral Pure"</f>
        <v>Alexis Cotoral Pure</v>
      </c>
      <c r="I3237" s="6" t="str">
        <f t="shared" si="756"/>
        <v>2968</v>
      </c>
      <c r="J3237" s="6" t="str">
        <f t="shared" si="757"/>
        <v>ROSA 2968</v>
      </c>
      <c r="K3237" s="6" t="str">
        <f>"5006"</f>
        <v>5006</v>
      </c>
      <c r="L3237" s="6" t="str">
        <f>"Roupões Adulto"</f>
        <v>Roupões Adulto</v>
      </c>
      <c r="M3237" s="6" t="str">
        <f>"L"</f>
        <v>L</v>
      </c>
      <c r="N3237" s="6" t="str">
        <f>"5602972895674"</f>
        <v>5602972895674</v>
      </c>
      <c r="O3237" s="8">
        <v>60</v>
      </c>
      <c r="P3237" s="7">
        <v>45769</v>
      </c>
      <c r="R3237" s="8">
        <v>0</v>
      </c>
      <c r="S3237" s="7">
        <v>45775</v>
      </c>
      <c r="U3237" s="8">
        <v>0</v>
      </c>
      <c r="V3237" s="7">
        <v>45786</v>
      </c>
      <c r="X3237" s="8">
        <v>0</v>
      </c>
      <c r="Z3237" s="8">
        <v>0</v>
      </c>
      <c r="AA3237" s="7">
        <v>45798</v>
      </c>
      <c r="AC3237" s="8">
        <v>66</v>
      </c>
      <c r="AE3237" s="7">
        <v>45814</v>
      </c>
      <c r="AF3237" s="8">
        <v>66</v>
      </c>
      <c r="AH3237" s="7">
        <v>45934</v>
      </c>
      <c r="AI3237" s="7">
        <v>45812</v>
      </c>
      <c r="AN3237" s="8">
        <v>66</v>
      </c>
      <c r="AO3237" s="8">
        <v>-6</v>
      </c>
    </row>
    <row r="3238" spans="1:41" x14ac:dyDescent="0.25">
      <c r="A3238" s="6" t="str">
        <f t="shared" si="754"/>
        <v>525-2025000248</v>
      </c>
      <c r="B3238" s="6" t="str">
        <f t="shared" si="746"/>
        <v>Lasa Int</v>
      </c>
      <c r="C3238" s="7">
        <v>45769</v>
      </c>
      <c r="D3238" s="7">
        <v>46053</v>
      </c>
      <c r="E3238" s="8">
        <v>5</v>
      </c>
      <c r="F3238" s="6" t="str">
        <f t="shared" si="755"/>
        <v>PURE R</v>
      </c>
      <c r="G3238" s="6" t="str">
        <f>"R010000635000000"</f>
        <v>R010000635000000</v>
      </c>
      <c r="H3238" s="6" t="str">
        <f>"Alexis Cotoral Pure"</f>
        <v>Alexis Cotoral Pure</v>
      </c>
      <c r="I3238" s="6" t="str">
        <f t="shared" si="756"/>
        <v>2968</v>
      </c>
      <c r="J3238" s="6" t="str">
        <f t="shared" si="757"/>
        <v>ROSA 2968</v>
      </c>
      <c r="K3238" s="6" t="str">
        <f>"5008"</f>
        <v>5008</v>
      </c>
      <c r="L3238" s="6" t="str">
        <f>"Roupões Adulto"</f>
        <v>Roupões Adulto</v>
      </c>
      <c r="M3238" s="6" t="str">
        <f>"XL"</f>
        <v>XL</v>
      </c>
      <c r="N3238" s="6" t="str">
        <f>"5602972895681"</f>
        <v>5602972895681</v>
      </c>
      <c r="O3238" s="8">
        <v>36</v>
      </c>
      <c r="P3238" s="7">
        <v>45769</v>
      </c>
      <c r="R3238" s="8">
        <v>0</v>
      </c>
      <c r="S3238" s="7">
        <v>45775</v>
      </c>
      <c r="U3238" s="8">
        <v>0</v>
      </c>
      <c r="V3238" s="7">
        <v>45786</v>
      </c>
      <c r="X3238" s="8">
        <v>0</v>
      </c>
      <c r="Z3238" s="8">
        <v>0</v>
      </c>
      <c r="AA3238" s="7">
        <v>45798</v>
      </c>
      <c r="AC3238" s="8">
        <v>42</v>
      </c>
      <c r="AE3238" s="7">
        <v>45814</v>
      </c>
      <c r="AF3238" s="8">
        <v>42</v>
      </c>
      <c r="AH3238" s="7">
        <v>45934</v>
      </c>
      <c r="AI3238" s="7">
        <v>45812</v>
      </c>
      <c r="AN3238" s="8">
        <v>42</v>
      </c>
      <c r="AO3238" s="8">
        <v>-6</v>
      </c>
    </row>
    <row r="3239" spans="1:41" x14ac:dyDescent="0.25">
      <c r="A3239" s="6" t="str">
        <f t="shared" si="754"/>
        <v>525-2025000248</v>
      </c>
      <c r="B3239" s="6" t="str">
        <f t="shared" si="746"/>
        <v>Lasa Int</v>
      </c>
      <c r="C3239" s="7">
        <v>45769</v>
      </c>
      <c r="D3239" s="7">
        <v>46053</v>
      </c>
      <c r="E3239" s="8">
        <v>6</v>
      </c>
      <c r="F3239" s="6" t="str">
        <f t="shared" si="755"/>
        <v>PURE R</v>
      </c>
      <c r="G3239" s="6" t="str">
        <f t="shared" ref="G3239:G3245" si="758">"R013000138500000"</f>
        <v>R013000138500000</v>
      </c>
      <c r="H3239" s="6" t="str">
        <f t="shared" ref="H3239:H3245" si="759">"Star PURE - Ketten 3"</f>
        <v>Star PURE - Ketten 3</v>
      </c>
      <c r="I3239" s="6" t="str">
        <f t="shared" si="756"/>
        <v>2968</v>
      </c>
      <c r="J3239" s="6" t="str">
        <f t="shared" si="757"/>
        <v>ROSA 2968</v>
      </c>
      <c r="K3239" s="6" t="str">
        <f>"5202"</f>
        <v>5202</v>
      </c>
      <c r="L3239" s="6" t="str">
        <f t="shared" ref="L3239:L3245" si="760">"Roupões Criança"</f>
        <v>Roupões Criança</v>
      </c>
      <c r="M3239" s="6" t="str">
        <f>"2 Anos"</f>
        <v>2 Anos</v>
      </c>
      <c r="N3239" s="6" t="str">
        <f>"5602972724158"</f>
        <v>5602972724158</v>
      </c>
      <c r="O3239" s="8">
        <v>12</v>
      </c>
      <c r="P3239" s="7">
        <v>45769</v>
      </c>
      <c r="R3239" s="8">
        <v>0</v>
      </c>
      <c r="S3239" s="7">
        <v>45775</v>
      </c>
      <c r="U3239" s="8">
        <v>0</v>
      </c>
      <c r="V3239" s="7">
        <v>45786</v>
      </c>
      <c r="X3239" s="8">
        <v>0</v>
      </c>
      <c r="Z3239" s="8">
        <v>0</v>
      </c>
      <c r="AA3239" s="7">
        <v>45798</v>
      </c>
      <c r="AC3239" s="8">
        <v>14</v>
      </c>
      <c r="AE3239" s="7">
        <v>45814</v>
      </c>
      <c r="AF3239" s="8">
        <v>14</v>
      </c>
      <c r="AH3239" s="7">
        <v>45934</v>
      </c>
      <c r="AI3239" s="7">
        <v>45812</v>
      </c>
      <c r="AN3239" s="8">
        <v>14</v>
      </c>
      <c r="AO3239" s="8">
        <v>-2</v>
      </c>
    </row>
    <row r="3240" spans="1:41" x14ac:dyDescent="0.25">
      <c r="A3240" s="6" t="str">
        <f t="shared" si="754"/>
        <v>525-2025000248</v>
      </c>
      <c r="B3240" s="6" t="str">
        <f t="shared" si="746"/>
        <v>Lasa Int</v>
      </c>
      <c r="C3240" s="7">
        <v>45769</v>
      </c>
      <c r="D3240" s="7">
        <v>46053</v>
      </c>
      <c r="E3240" s="8">
        <v>7</v>
      </c>
      <c r="F3240" s="6" t="str">
        <f t="shared" si="755"/>
        <v>PURE R</v>
      </c>
      <c r="G3240" s="6" t="str">
        <f t="shared" si="758"/>
        <v>R013000138500000</v>
      </c>
      <c r="H3240" s="6" t="str">
        <f t="shared" si="759"/>
        <v>Star PURE - Ketten 3</v>
      </c>
      <c r="I3240" s="6" t="str">
        <f t="shared" si="756"/>
        <v>2968</v>
      </c>
      <c r="J3240" s="6" t="str">
        <f t="shared" si="757"/>
        <v>ROSA 2968</v>
      </c>
      <c r="K3240" s="6" t="str">
        <f>"5204"</f>
        <v>5204</v>
      </c>
      <c r="L3240" s="6" t="str">
        <f t="shared" si="760"/>
        <v>Roupões Criança</v>
      </c>
      <c r="M3240" s="6" t="str">
        <f>"4 Anos"</f>
        <v>4 Anos</v>
      </c>
      <c r="N3240" s="6" t="str">
        <f>"5602972724165"</f>
        <v>5602972724165</v>
      </c>
      <c r="O3240" s="8">
        <v>24</v>
      </c>
      <c r="P3240" s="7">
        <v>45769</v>
      </c>
      <c r="R3240" s="8">
        <v>0</v>
      </c>
      <c r="S3240" s="7">
        <v>45775</v>
      </c>
      <c r="U3240" s="8">
        <v>0</v>
      </c>
      <c r="V3240" s="7">
        <v>45786</v>
      </c>
      <c r="X3240" s="8">
        <v>0</v>
      </c>
      <c r="Z3240" s="8">
        <v>0</v>
      </c>
      <c r="AA3240" s="7">
        <v>45798</v>
      </c>
      <c r="AC3240" s="8">
        <v>23</v>
      </c>
      <c r="AE3240" s="7">
        <v>45814</v>
      </c>
      <c r="AF3240" s="8">
        <v>23</v>
      </c>
      <c r="AH3240" s="7">
        <v>45934</v>
      </c>
      <c r="AI3240" s="7">
        <v>45812</v>
      </c>
      <c r="AN3240" s="8">
        <v>23</v>
      </c>
      <c r="AO3240" s="8">
        <v>1</v>
      </c>
    </row>
    <row r="3241" spans="1:41" x14ac:dyDescent="0.25">
      <c r="A3241" s="6" t="str">
        <f t="shared" si="754"/>
        <v>525-2025000248</v>
      </c>
      <c r="B3241" s="6" t="str">
        <f t="shared" si="746"/>
        <v>Lasa Int</v>
      </c>
      <c r="C3241" s="7">
        <v>45769</v>
      </c>
      <c r="D3241" s="7">
        <v>46053</v>
      </c>
      <c r="E3241" s="8">
        <v>8</v>
      </c>
      <c r="F3241" s="6" t="str">
        <f t="shared" si="755"/>
        <v>PURE R</v>
      </c>
      <c r="G3241" s="6" t="str">
        <f t="shared" si="758"/>
        <v>R013000138500000</v>
      </c>
      <c r="H3241" s="6" t="str">
        <f t="shared" si="759"/>
        <v>Star PURE - Ketten 3</v>
      </c>
      <c r="I3241" s="6" t="str">
        <f t="shared" si="756"/>
        <v>2968</v>
      </c>
      <c r="J3241" s="6" t="str">
        <f t="shared" si="757"/>
        <v>ROSA 2968</v>
      </c>
      <c r="K3241" s="6" t="str">
        <f>"5206"</f>
        <v>5206</v>
      </c>
      <c r="L3241" s="6" t="str">
        <f t="shared" si="760"/>
        <v>Roupões Criança</v>
      </c>
      <c r="M3241" s="6" t="str">
        <f>"6 Anos"</f>
        <v>6 Anos</v>
      </c>
      <c r="N3241" s="6" t="str">
        <f>"5602972724172"</f>
        <v>5602972724172</v>
      </c>
      <c r="O3241" s="8">
        <v>48</v>
      </c>
      <c r="P3241" s="7">
        <v>45769</v>
      </c>
      <c r="R3241" s="8">
        <v>0</v>
      </c>
      <c r="S3241" s="7">
        <v>45775</v>
      </c>
      <c r="U3241" s="8">
        <v>0</v>
      </c>
      <c r="V3241" s="7">
        <v>45786</v>
      </c>
      <c r="X3241" s="8">
        <v>0</v>
      </c>
      <c r="Z3241" s="8">
        <v>0</v>
      </c>
      <c r="AA3241" s="7">
        <v>45798</v>
      </c>
      <c r="AC3241" s="8">
        <v>51</v>
      </c>
      <c r="AE3241" s="7">
        <v>45814</v>
      </c>
      <c r="AF3241" s="8">
        <v>51</v>
      </c>
      <c r="AH3241" s="7">
        <v>45934</v>
      </c>
      <c r="AI3241" s="7">
        <v>45812</v>
      </c>
      <c r="AN3241" s="8">
        <v>51</v>
      </c>
      <c r="AO3241" s="8">
        <v>-3</v>
      </c>
    </row>
    <row r="3242" spans="1:41" x14ac:dyDescent="0.25">
      <c r="A3242" s="6" t="str">
        <f t="shared" si="754"/>
        <v>525-2025000248</v>
      </c>
      <c r="B3242" s="6" t="str">
        <f t="shared" si="746"/>
        <v>Lasa Int</v>
      </c>
      <c r="C3242" s="7">
        <v>45769</v>
      </c>
      <c r="D3242" s="7">
        <v>46053</v>
      </c>
      <c r="E3242" s="8">
        <v>9</v>
      </c>
      <c r="F3242" s="6" t="str">
        <f t="shared" si="755"/>
        <v>PURE R</v>
      </c>
      <c r="G3242" s="6" t="str">
        <f t="shared" si="758"/>
        <v>R013000138500000</v>
      </c>
      <c r="H3242" s="6" t="str">
        <f t="shared" si="759"/>
        <v>Star PURE - Ketten 3</v>
      </c>
      <c r="I3242" s="6" t="str">
        <f t="shared" si="756"/>
        <v>2968</v>
      </c>
      <c r="J3242" s="6" t="str">
        <f t="shared" si="757"/>
        <v>ROSA 2968</v>
      </c>
      <c r="K3242" s="6" t="str">
        <f>"5208"</f>
        <v>5208</v>
      </c>
      <c r="L3242" s="6" t="str">
        <f t="shared" si="760"/>
        <v>Roupões Criança</v>
      </c>
      <c r="M3242" s="6" t="str">
        <f>"8 Anos"</f>
        <v>8 Anos</v>
      </c>
      <c r="N3242" s="6" t="str">
        <f>"5602972724189"</f>
        <v>5602972724189</v>
      </c>
      <c r="O3242" s="8">
        <v>24</v>
      </c>
      <c r="P3242" s="7">
        <v>45769</v>
      </c>
      <c r="R3242" s="8">
        <v>0</v>
      </c>
      <c r="S3242" s="7">
        <v>45775</v>
      </c>
      <c r="U3242" s="8">
        <v>0</v>
      </c>
      <c r="V3242" s="7">
        <v>45786</v>
      </c>
      <c r="X3242" s="8">
        <v>0</v>
      </c>
      <c r="Z3242" s="8">
        <v>0</v>
      </c>
      <c r="AA3242" s="7">
        <v>45798</v>
      </c>
      <c r="AC3242" s="8">
        <v>27</v>
      </c>
      <c r="AE3242" s="7">
        <v>45814</v>
      </c>
      <c r="AF3242" s="8">
        <v>27</v>
      </c>
      <c r="AH3242" s="7">
        <v>45934</v>
      </c>
      <c r="AI3242" s="7">
        <v>45812</v>
      </c>
      <c r="AN3242" s="8">
        <v>27</v>
      </c>
      <c r="AO3242" s="8">
        <v>-3</v>
      </c>
    </row>
    <row r="3243" spans="1:41" x14ac:dyDescent="0.25">
      <c r="A3243" s="6" t="str">
        <f t="shared" si="754"/>
        <v>525-2025000248</v>
      </c>
      <c r="B3243" s="6" t="str">
        <f t="shared" si="746"/>
        <v>Lasa Int</v>
      </c>
      <c r="C3243" s="7">
        <v>45769</v>
      </c>
      <c r="D3243" s="7">
        <v>46053</v>
      </c>
      <c r="E3243" s="8">
        <v>10</v>
      </c>
      <c r="F3243" s="6" t="str">
        <f t="shared" si="755"/>
        <v>PURE R</v>
      </c>
      <c r="G3243" s="6" t="str">
        <f t="shared" si="758"/>
        <v>R013000138500000</v>
      </c>
      <c r="H3243" s="6" t="str">
        <f t="shared" si="759"/>
        <v>Star PURE - Ketten 3</v>
      </c>
      <c r="I3243" s="6" t="str">
        <f t="shared" si="756"/>
        <v>2968</v>
      </c>
      <c r="J3243" s="6" t="str">
        <f t="shared" si="757"/>
        <v>ROSA 2968</v>
      </c>
      <c r="K3243" s="6" t="str">
        <f>"5210"</f>
        <v>5210</v>
      </c>
      <c r="L3243" s="6" t="str">
        <f t="shared" si="760"/>
        <v>Roupões Criança</v>
      </c>
      <c r="M3243" s="6" t="str">
        <f>"10 Anos"</f>
        <v>10 Anos</v>
      </c>
      <c r="N3243" s="6" t="str">
        <f>"5602972724196"</f>
        <v>5602972724196</v>
      </c>
      <c r="O3243" s="8">
        <v>72</v>
      </c>
      <c r="P3243" s="7">
        <v>45769</v>
      </c>
      <c r="R3243" s="8">
        <v>0</v>
      </c>
      <c r="S3243" s="7">
        <v>45775</v>
      </c>
      <c r="U3243" s="8">
        <v>0</v>
      </c>
      <c r="V3243" s="7">
        <v>45786</v>
      </c>
      <c r="X3243" s="8">
        <v>0</v>
      </c>
      <c r="Z3243" s="8">
        <v>0</v>
      </c>
      <c r="AA3243" s="7">
        <v>45798</v>
      </c>
      <c r="AC3243" s="8">
        <v>78</v>
      </c>
      <c r="AE3243" s="7">
        <v>45814</v>
      </c>
      <c r="AF3243" s="8">
        <v>78</v>
      </c>
      <c r="AH3243" s="7">
        <v>45934</v>
      </c>
      <c r="AI3243" s="7">
        <v>45812</v>
      </c>
      <c r="AN3243" s="8">
        <v>78</v>
      </c>
      <c r="AO3243" s="8">
        <v>-6</v>
      </c>
    </row>
    <row r="3244" spans="1:41" x14ac:dyDescent="0.25">
      <c r="A3244" s="6" t="str">
        <f t="shared" si="754"/>
        <v>525-2025000248</v>
      </c>
      <c r="B3244" s="6" t="str">
        <f t="shared" si="746"/>
        <v>Lasa Int</v>
      </c>
      <c r="C3244" s="7">
        <v>45769</v>
      </c>
      <c r="D3244" s="7">
        <v>46053</v>
      </c>
      <c r="E3244" s="8">
        <v>11</v>
      </c>
      <c r="F3244" s="6" t="str">
        <f t="shared" si="755"/>
        <v>PURE R</v>
      </c>
      <c r="G3244" s="6" t="str">
        <f t="shared" si="758"/>
        <v>R013000138500000</v>
      </c>
      <c r="H3244" s="6" t="str">
        <f t="shared" si="759"/>
        <v>Star PURE - Ketten 3</v>
      </c>
      <c r="I3244" s="6" t="str">
        <f t="shared" si="756"/>
        <v>2968</v>
      </c>
      <c r="J3244" s="6" t="str">
        <f t="shared" si="757"/>
        <v>ROSA 2968</v>
      </c>
      <c r="K3244" s="6" t="str">
        <f>"5212"</f>
        <v>5212</v>
      </c>
      <c r="L3244" s="6" t="str">
        <f t="shared" si="760"/>
        <v>Roupões Criança</v>
      </c>
      <c r="M3244" s="6" t="str">
        <f>"12 Anos"</f>
        <v>12 Anos</v>
      </c>
      <c r="N3244" s="6" t="str">
        <f>"5602972724202"</f>
        <v>5602972724202</v>
      </c>
      <c r="O3244" s="8">
        <v>48</v>
      </c>
      <c r="P3244" s="7">
        <v>45769</v>
      </c>
      <c r="R3244" s="8">
        <v>0</v>
      </c>
      <c r="S3244" s="7">
        <v>45775</v>
      </c>
      <c r="U3244" s="8">
        <v>0</v>
      </c>
      <c r="V3244" s="7">
        <v>45786</v>
      </c>
      <c r="X3244" s="8">
        <v>0</v>
      </c>
      <c r="Z3244" s="8">
        <v>0</v>
      </c>
      <c r="AA3244" s="7">
        <v>45798</v>
      </c>
      <c r="AC3244" s="8">
        <v>48</v>
      </c>
      <c r="AE3244" s="7">
        <v>45814</v>
      </c>
      <c r="AF3244" s="8">
        <v>48</v>
      </c>
      <c r="AH3244" s="7">
        <v>45934</v>
      </c>
      <c r="AI3244" s="7">
        <v>45812</v>
      </c>
      <c r="AN3244" s="8">
        <v>48</v>
      </c>
      <c r="AO3244" s="8">
        <v>0</v>
      </c>
    </row>
    <row r="3245" spans="1:41" x14ac:dyDescent="0.25">
      <c r="A3245" s="6" t="str">
        <f t="shared" si="754"/>
        <v>525-2025000248</v>
      </c>
      <c r="B3245" s="6" t="str">
        <f t="shared" si="746"/>
        <v>Lasa Int</v>
      </c>
      <c r="C3245" s="7">
        <v>45769</v>
      </c>
      <c r="D3245" s="7">
        <v>46053</v>
      </c>
      <c r="E3245" s="8">
        <v>12</v>
      </c>
      <c r="F3245" s="6" t="str">
        <f t="shared" si="755"/>
        <v>PURE R</v>
      </c>
      <c r="G3245" s="6" t="str">
        <f t="shared" si="758"/>
        <v>R013000138500000</v>
      </c>
      <c r="H3245" s="6" t="str">
        <f t="shared" si="759"/>
        <v>Star PURE - Ketten 3</v>
      </c>
      <c r="I3245" s="6" t="str">
        <f t="shared" si="756"/>
        <v>2968</v>
      </c>
      <c r="J3245" s="6" t="str">
        <f t="shared" si="757"/>
        <v>ROSA 2968</v>
      </c>
      <c r="K3245" s="6" t="str">
        <f>"5214"</f>
        <v>5214</v>
      </c>
      <c r="L3245" s="6" t="str">
        <f t="shared" si="760"/>
        <v>Roupões Criança</v>
      </c>
      <c r="M3245" s="6" t="str">
        <f>"14 Anos"</f>
        <v>14 Anos</v>
      </c>
      <c r="N3245" s="6" t="str">
        <f>"5602972724219"</f>
        <v>5602972724219</v>
      </c>
      <c r="O3245" s="8">
        <v>60</v>
      </c>
      <c r="P3245" s="7">
        <v>45769</v>
      </c>
      <c r="R3245" s="8">
        <v>0</v>
      </c>
      <c r="S3245" s="7">
        <v>45775</v>
      </c>
      <c r="U3245" s="8">
        <v>0</v>
      </c>
      <c r="V3245" s="7">
        <v>45786</v>
      </c>
      <c r="X3245" s="8">
        <v>0</v>
      </c>
      <c r="Z3245" s="8">
        <v>0</v>
      </c>
      <c r="AA3245" s="7">
        <v>45798</v>
      </c>
      <c r="AC3245" s="8">
        <v>67</v>
      </c>
      <c r="AE3245" s="7">
        <v>45814</v>
      </c>
      <c r="AF3245" s="8">
        <v>67</v>
      </c>
      <c r="AH3245" s="7">
        <v>45934</v>
      </c>
      <c r="AI3245" s="7">
        <v>45812</v>
      </c>
      <c r="AN3245" s="8">
        <v>67</v>
      </c>
      <c r="AO3245" s="8">
        <v>-7</v>
      </c>
    </row>
    <row r="3246" spans="1:41" x14ac:dyDescent="0.25">
      <c r="A3246" s="6" t="str">
        <f t="shared" si="754"/>
        <v>525-2025000248</v>
      </c>
      <c r="B3246" s="6" t="str">
        <f t="shared" si="746"/>
        <v>Lasa Int</v>
      </c>
      <c r="C3246" s="7">
        <v>45769</v>
      </c>
      <c r="D3246" s="7">
        <v>46053</v>
      </c>
      <c r="E3246" s="8">
        <v>13</v>
      </c>
      <c r="F3246" s="6" t="str">
        <f t="shared" si="755"/>
        <v>PURE R</v>
      </c>
      <c r="G3246" s="6" t="str">
        <f>"R120203038500000"</f>
        <v>R120203038500000</v>
      </c>
      <c r="H3246" s="6" t="str">
        <f>"R 2030 - Ketten PURE"</f>
        <v>R 2030 - Ketten PURE</v>
      </c>
      <c r="I3246" s="6" t="str">
        <f t="shared" si="756"/>
        <v>2968</v>
      </c>
      <c r="J3246" s="6" t="str">
        <f t="shared" si="757"/>
        <v>ROSA 2968</v>
      </c>
      <c r="K3246" s="6" t="str">
        <f>"5002"</f>
        <v>5002</v>
      </c>
      <c r="L3246" s="6" t="str">
        <f>"Roupões Adulto"</f>
        <v>Roupões Adulto</v>
      </c>
      <c r="M3246" s="6" t="str">
        <f>"S"</f>
        <v>S</v>
      </c>
      <c r="N3246" s="6" t="str">
        <f>"5605247636064"</f>
        <v>5605247636064</v>
      </c>
      <c r="O3246" s="8">
        <v>12</v>
      </c>
      <c r="P3246" s="7">
        <v>45769</v>
      </c>
      <c r="R3246" s="8">
        <v>0</v>
      </c>
      <c r="S3246" s="7">
        <v>45775</v>
      </c>
      <c r="U3246" s="8">
        <v>0</v>
      </c>
      <c r="V3246" s="7">
        <v>45786</v>
      </c>
      <c r="X3246" s="8">
        <v>0</v>
      </c>
      <c r="Z3246" s="8">
        <v>0</v>
      </c>
      <c r="AA3246" s="7">
        <v>45798</v>
      </c>
      <c r="AC3246" s="8">
        <v>0</v>
      </c>
      <c r="AE3246" s="7">
        <v>45814</v>
      </c>
      <c r="AF3246" s="8">
        <v>0</v>
      </c>
      <c r="AH3246" s="7">
        <v>45934</v>
      </c>
      <c r="AI3246" s="7">
        <v>45812</v>
      </c>
      <c r="AN3246" s="8">
        <v>0</v>
      </c>
      <c r="AO3246" s="8">
        <v>12</v>
      </c>
    </row>
    <row r="3247" spans="1:41" x14ac:dyDescent="0.25">
      <c r="A3247" s="6" t="str">
        <f t="shared" si="754"/>
        <v>525-2025000248</v>
      </c>
      <c r="B3247" s="6" t="str">
        <f t="shared" si="746"/>
        <v>Lasa Int</v>
      </c>
      <c r="C3247" s="7">
        <v>45769</v>
      </c>
      <c r="D3247" s="7">
        <v>46053</v>
      </c>
      <c r="E3247" s="8">
        <v>14</v>
      </c>
      <c r="F3247" s="6" t="str">
        <f t="shared" si="755"/>
        <v>PURE R</v>
      </c>
      <c r="G3247" s="6" t="str">
        <f>"R120203038500000"</f>
        <v>R120203038500000</v>
      </c>
      <c r="H3247" s="6" t="str">
        <f>"R 2030 - Ketten PURE"</f>
        <v>R 2030 - Ketten PURE</v>
      </c>
      <c r="I3247" s="6" t="str">
        <f t="shared" si="756"/>
        <v>2968</v>
      </c>
      <c r="J3247" s="6" t="str">
        <f t="shared" si="757"/>
        <v>ROSA 2968</v>
      </c>
      <c r="K3247" s="6" t="str">
        <f>"5008"</f>
        <v>5008</v>
      </c>
      <c r="L3247" s="6" t="str">
        <f>"Roupões Adulto"</f>
        <v>Roupões Adulto</v>
      </c>
      <c r="M3247" s="6" t="str">
        <f>"XL"</f>
        <v>XL</v>
      </c>
      <c r="N3247" s="6" t="str">
        <f>"5605247636095"</f>
        <v>5605247636095</v>
      </c>
      <c r="O3247" s="8">
        <v>6</v>
      </c>
      <c r="P3247" s="7">
        <v>45769</v>
      </c>
      <c r="R3247" s="8">
        <v>0</v>
      </c>
      <c r="S3247" s="7">
        <v>45775</v>
      </c>
      <c r="U3247" s="8">
        <v>0</v>
      </c>
      <c r="V3247" s="7">
        <v>45786</v>
      </c>
      <c r="X3247" s="8">
        <v>0</v>
      </c>
      <c r="Z3247" s="8">
        <v>0</v>
      </c>
      <c r="AA3247" s="7">
        <v>45798</v>
      </c>
      <c r="AC3247" s="8">
        <v>0</v>
      </c>
      <c r="AE3247" s="7">
        <v>45814</v>
      </c>
      <c r="AF3247" s="8">
        <v>0</v>
      </c>
      <c r="AH3247" s="7">
        <v>45934</v>
      </c>
      <c r="AI3247" s="7">
        <v>45812</v>
      </c>
      <c r="AN3247" s="8">
        <v>0</v>
      </c>
      <c r="AO3247" s="8">
        <v>6</v>
      </c>
    </row>
    <row r="3248" spans="1:41" x14ac:dyDescent="0.25">
      <c r="A3248" s="6" t="str">
        <f>"525-2025000266"</f>
        <v>525-2025000266</v>
      </c>
      <c r="B3248" s="6" t="str">
        <f t="shared" si="746"/>
        <v>Lasa Int</v>
      </c>
      <c r="C3248" s="7">
        <v>45785</v>
      </c>
      <c r="D3248" s="7">
        <v>46040</v>
      </c>
      <c r="E3248" s="8">
        <v>1</v>
      </c>
      <c r="F3248" s="6" t="str">
        <f>"Pure linho"</f>
        <v>Pure linho</v>
      </c>
      <c r="G3248" s="6" t="str">
        <f>"C001170223000000"</f>
        <v>C001170223000000</v>
      </c>
      <c r="H3248" s="6" t="str">
        <f>"CZJ 1702 LN - 230 g/"</f>
        <v>CZJ 1702 LN - 230 g/</v>
      </c>
      <c r="I3248" s="6" t="str">
        <f>"200030"</f>
        <v>200030</v>
      </c>
      <c r="J3248" s="6" t="str">
        <f>"VERDE 30"</f>
        <v>VERDE 30</v>
      </c>
      <c r="K3248" s="6" t="str">
        <f>"0830"</f>
        <v>0830</v>
      </c>
      <c r="L3248" s="6" t="str">
        <f>"Cozinha"</f>
        <v>Cozinha</v>
      </c>
      <c r="M3248" s="6" t="str">
        <f>"50x70"</f>
        <v>50x70</v>
      </c>
      <c r="N3248" s="6" t="str">
        <f>"5602972624519"</f>
        <v>5602972624519</v>
      </c>
      <c r="O3248" s="8">
        <v>800</v>
      </c>
      <c r="P3248" s="7">
        <v>45834</v>
      </c>
      <c r="R3248" s="8">
        <v>840</v>
      </c>
      <c r="S3248" s="7">
        <v>45839</v>
      </c>
      <c r="U3248" s="8">
        <v>840</v>
      </c>
      <c r="V3248" s="7">
        <v>45846</v>
      </c>
      <c r="X3248" s="8">
        <v>0</v>
      </c>
      <c r="Z3248" s="8">
        <v>840</v>
      </c>
      <c r="AA3248" s="7">
        <v>45860</v>
      </c>
      <c r="AC3248" s="8">
        <v>816</v>
      </c>
      <c r="AE3248" s="7">
        <v>45863</v>
      </c>
      <c r="AF3248" s="8">
        <v>816</v>
      </c>
      <c r="AH3248" s="7">
        <v>45991</v>
      </c>
      <c r="AN3248" s="8">
        <v>816</v>
      </c>
      <c r="AO3248" s="8">
        <v>-16</v>
      </c>
    </row>
    <row r="3249" spans="1:41" x14ac:dyDescent="0.25">
      <c r="A3249" s="6" t="str">
        <f>"525-2025000266"</f>
        <v>525-2025000266</v>
      </c>
      <c r="B3249" s="6" t="str">
        <f t="shared" si="746"/>
        <v>Lasa Int</v>
      </c>
      <c r="C3249" s="7">
        <v>45785</v>
      </c>
      <c r="D3249" s="7">
        <v>46040</v>
      </c>
      <c r="E3249" s="8">
        <v>2</v>
      </c>
      <c r="F3249" s="6" t="str">
        <f>"Pure linho"</f>
        <v>Pure linho</v>
      </c>
      <c r="G3249" s="6" t="str">
        <f>"C001170223000000"</f>
        <v>C001170223000000</v>
      </c>
      <c r="H3249" s="6" t="str">
        <f>"CZJ 1702 LN - 230 g/"</f>
        <v>CZJ 1702 LN - 230 g/</v>
      </c>
      <c r="I3249" s="6" t="str">
        <f>"200138"</f>
        <v>200138</v>
      </c>
      <c r="J3249" s="6" t="str">
        <f>"AZUL 138"</f>
        <v>AZUL 138</v>
      </c>
      <c r="K3249" s="6" t="str">
        <f>"0830"</f>
        <v>0830</v>
      </c>
      <c r="L3249" s="6" t="str">
        <f>"Cozinha"</f>
        <v>Cozinha</v>
      </c>
      <c r="M3249" s="6" t="str">
        <f>"50x70"</f>
        <v>50x70</v>
      </c>
      <c r="N3249" s="6" t="str">
        <f>"5602972624526"</f>
        <v>5602972624526</v>
      </c>
      <c r="O3249" s="8">
        <v>1000</v>
      </c>
      <c r="P3249" s="7">
        <v>45834</v>
      </c>
      <c r="R3249" s="8">
        <v>1052</v>
      </c>
      <c r="S3249" s="7">
        <v>45839</v>
      </c>
      <c r="U3249" s="8">
        <v>1052</v>
      </c>
      <c r="V3249" s="7">
        <v>45846</v>
      </c>
      <c r="X3249" s="8">
        <v>0</v>
      </c>
      <c r="Z3249" s="8">
        <v>1052</v>
      </c>
      <c r="AA3249" s="7">
        <v>45860</v>
      </c>
      <c r="AC3249" s="8">
        <v>918</v>
      </c>
      <c r="AE3249" s="7">
        <v>45863</v>
      </c>
      <c r="AF3249" s="8">
        <v>918</v>
      </c>
      <c r="AH3249" s="7">
        <v>45991</v>
      </c>
      <c r="AN3249" s="8">
        <v>918</v>
      </c>
      <c r="AO3249" s="8">
        <v>82</v>
      </c>
    </row>
    <row r="3250" spans="1:41" x14ac:dyDescent="0.25">
      <c r="A3250" s="6" t="str">
        <f>"525-2025000266"</f>
        <v>525-2025000266</v>
      </c>
      <c r="B3250" s="6" t="str">
        <f t="shared" si="746"/>
        <v>Lasa Int</v>
      </c>
      <c r="C3250" s="7">
        <v>45785</v>
      </c>
      <c r="D3250" s="7">
        <v>46040</v>
      </c>
      <c r="E3250" s="8">
        <v>3</v>
      </c>
      <c r="F3250" s="6" t="str">
        <f>"Pure linho"</f>
        <v>Pure linho</v>
      </c>
      <c r="G3250" s="6" t="str">
        <f>"C001170223000000"</f>
        <v>C001170223000000</v>
      </c>
      <c r="H3250" s="6" t="str">
        <f>"CZJ 1702 LN - 230 g/"</f>
        <v>CZJ 1702 LN - 230 g/</v>
      </c>
      <c r="I3250" s="6" t="str">
        <f>"202832"</f>
        <v>202832</v>
      </c>
      <c r="J3250" s="6" t="str">
        <f>"AMARELO 2832"</f>
        <v>AMARELO 2832</v>
      </c>
      <c r="K3250" s="6" t="str">
        <f>"0830"</f>
        <v>0830</v>
      </c>
      <c r="L3250" s="6" t="str">
        <f>"Cozinha"</f>
        <v>Cozinha</v>
      </c>
      <c r="M3250" s="6" t="str">
        <f>"50x70"</f>
        <v>50x70</v>
      </c>
      <c r="N3250" s="6" t="str">
        <f>"5602972624533"</f>
        <v>5602972624533</v>
      </c>
      <c r="O3250" s="8">
        <v>700</v>
      </c>
      <c r="P3250" s="7">
        <v>45834</v>
      </c>
      <c r="R3250" s="8">
        <v>704</v>
      </c>
      <c r="S3250" s="7">
        <v>45839</v>
      </c>
      <c r="U3250" s="8">
        <v>704</v>
      </c>
      <c r="V3250" s="7">
        <v>45846</v>
      </c>
      <c r="X3250" s="8">
        <v>0</v>
      </c>
      <c r="Z3250" s="8">
        <v>704</v>
      </c>
      <c r="AA3250" s="7">
        <v>45860</v>
      </c>
      <c r="AC3250" s="8">
        <v>564</v>
      </c>
      <c r="AE3250" s="7">
        <v>45863</v>
      </c>
      <c r="AF3250" s="8">
        <v>564</v>
      </c>
      <c r="AH3250" s="7">
        <v>45991</v>
      </c>
      <c r="AN3250" s="8">
        <v>564</v>
      </c>
      <c r="AO3250" s="8">
        <v>136</v>
      </c>
    </row>
    <row r="3251" spans="1:41" x14ac:dyDescent="0.25">
      <c r="A3251" s="6" t="str">
        <f>"525-2025000266"</f>
        <v>525-2025000266</v>
      </c>
      <c r="B3251" s="6" t="str">
        <f t="shared" si="746"/>
        <v>Lasa Int</v>
      </c>
      <c r="C3251" s="7">
        <v>45785</v>
      </c>
      <c r="D3251" s="7">
        <v>46040</v>
      </c>
      <c r="E3251" s="8">
        <v>4</v>
      </c>
      <c r="F3251" s="6" t="str">
        <f>"Pure linho"</f>
        <v>Pure linho</v>
      </c>
      <c r="G3251" s="6" t="str">
        <f>"C001170223000000"</f>
        <v>C001170223000000</v>
      </c>
      <c r="H3251" s="6" t="str">
        <f>"CZJ 1702 LN - 230 g/"</f>
        <v>CZJ 1702 LN - 230 g/</v>
      </c>
      <c r="I3251" s="6" t="str">
        <f>"202833"</f>
        <v>202833</v>
      </c>
      <c r="J3251" s="6" t="str">
        <f>"CINZA 2833"</f>
        <v>CINZA 2833</v>
      </c>
      <c r="K3251" s="6" t="str">
        <f>"0830"</f>
        <v>0830</v>
      </c>
      <c r="L3251" s="6" t="str">
        <f>"Cozinha"</f>
        <v>Cozinha</v>
      </c>
      <c r="M3251" s="6" t="str">
        <f>"50x70"</f>
        <v>50x70</v>
      </c>
      <c r="N3251" s="6" t="str">
        <f>"5602972624540"</f>
        <v>5602972624540</v>
      </c>
      <c r="O3251" s="8">
        <v>740</v>
      </c>
      <c r="P3251" s="7">
        <v>45834</v>
      </c>
      <c r="R3251" s="8">
        <v>708</v>
      </c>
      <c r="S3251" s="7">
        <v>45839</v>
      </c>
      <c r="U3251" s="8">
        <v>708</v>
      </c>
      <c r="V3251" s="7">
        <v>45846</v>
      </c>
      <c r="X3251" s="8">
        <v>0</v>
      </c>
      <c r="Z3251" s="8">
        <v>708</v>
      </c>
      <c r="AA3251" s="7">
        <v>45860</v>
      </c>
      <c r="AC3251" s="8">
        <v>664</v>
      </c>
      <c r="AE3251" s="7">
        <v>45863</v>
      </c>
      <c r="AF3251" s="8">
        <v>664</v>
      </c>
      <c r="AH3251" s="7">
        <v>45991</v>
      </c>
      <c r="AN3251" s="8">
        <v>664</v>
      </c>
      <c r="AO3251" s="8">
        <v>76</v>
      </c>
    </row>
    <row r="3252" spans="1:41" x14ac:dyDescent="0.25">
      <c r="A3252" s="6" t="str">
        <f t="shared" ref="A3252:A3264" si="761">"525-2025000280"</f>
        <v>525-2025000280</v>
      </c>
      <c r="B3252" s="6" t="str">
        <f t="shared" si="746"/>
        <v>Lasa Int</v>
      </c>
      <c r="C3252" s="7">
        <v>45793</v>
      </c>
      <c r="D3252" s="7">
        <v>46066</v>
      </c>
      <c r="E3252" s="8">
        <v>1</v>
      </c>
      <c r="F3252" s="6" t="str">
        <f t="shared" ref="F3252:F3269" si="762">"PURE R"</f>
        <v>PURE R</v>
      </c>
      <c r="G3252" s="6" t="str">
        <f>"R010000635000000"</f>
        <v>R010000635000000</v>
      </c>
      <c r="H3252" s="6" t="str">
        <f>"Alexis Cotoral Pure"</f>
        <v>Alexis Cotoral Pure</v>
      </c>
      <c r="I3252" s="6" t="str">
        <f t="shared" ref="I3252:I3264" si="763">"3235"</f>
        <v>3235</v>
      </c>
      <c r="J3252" s="6" t="str">
        <f t="shared" ref="J3252:J3264" si="764">"CINZA 3235"</f>
        <v>CINZA 3235</v>
      </c>
      <c r="K3252" s="6" t="str">
        <f>"5002"</f>
        <v>5002</v>
      </c>
      <c r="L3252" s="6" t="str">
        <f t="shared" ref="L3252:L3269" si="765">"Roupões Adulto"</f>
        <v>Roupões Adulto</v>
      </c>
      <c r="M3252" s="6" t="str">
        <f>"S"</f>
        <v>S</v>
      </c>
      <c r="N3252" s="6" t="str">
        <f>"5602972722406"</f>
        <v>5602972722406</v>
      </c>
      <c r="O3252" s="8">
        <v>24</v>
      </c>
      <c r="P3252" s="7">
        <v>45793</v>
      </c>
      <c r="R3252" s="8">
        <v>0</v>
      </c>
      <c r="S3252" s="7">
        <v>45798</v>
      </c>
      <c r="U3252" s="8">
        <v>1215</v>
      </c>
      <c r="V3252" s="7">
        <v>45807</v>
      </c>
      <c r="X3252" s="8">
        <v>1215</v>
      </c>
      <c r="Z3252" s="8">
        <v>0</v>
      </c>
      <c r="AA3252" s="7">
        <v>45821</v>
      </c>
      <c r="AC3252" s="8">
        <v>4</v>
      </c>
      <c r="AE3252" s="7">
        <v>45849</v>
      </c>
      <c r="AF3252" s="8">
        <v>4</v>
      </c>
      <c r="AH3252" s="7">
        <v>46028</v>
      </c>
      <c r="AI3252" s="7">
        <v>45847</v>
      </c>
      <c r="AN3252" s="8">
        <v>4</v>
      </c>
      <c r="AO3252" s="8">
        <v>20</v>
      </c>
    </row>
    <row r="3253" spans="1:41" x14ac:dyDescent="0.25">
      <c r="A3253" s="6" t="str">
        <f t="shared" si="761"/>
        <v>525-2025000280</v>
      </c>
      <c r="B3253" s="6" t="str">
        <f t="shared" si="746"/>
        <v>Lasa Int</v>
      </c>
      <c r="C3253" s="7">
        <v>45793</v>
      </c>
      <c r="D3253" s="7">
        <v>46066</v>
      </c>
      <c r="E3253" s="8">
        <v>2</v>
      </c>
      <c r="F3253" s="6" t="str">
        <f t="shared" si="762"/>
        <v>PURE R</v>
      </c>
      <c r="G3253" s="6" t="str">
        <f>"R010000635000000"</f>
        <v>R010000635000000</v>
      </c>
      <c r="H3253" s="6" t="str">
        <f>"Alexis Cotoral Pure"</f>
        <v>Alexis Cotoral Pure</v>
      </c>
      <c r="I3253" s="6" t="str">
        <f t="shared" si="763"/>
        <v>3235</v>
      </c>
      <c r="J3253" s="6" t="str">
        <f t="shared" si="764"/>
        <v>CINZA 3235</v>
      </c>
      <c r="K3253" s="6" t="str">
        <f>"5004"</f>
        <v>5004</v>
      </c>
      <c r="L3253" s="6" t="str">
        <f t="shared" si="765"/>
        <v>Roupões Adulto</v>
      </c>
      <c r="M3253" s="6" t="str">
        <f>"M"</f>
        <v>M</v>
      </c>
      <c r="N3253" s="6" t="str">
        <f>"5602972722413"</f>
        <v>5602972722413</v>
      </c>
      <c r="O3253" s="8">
        <v>120</v>
      </c>
      <c r="P3253" s="7">
        <v>45793</v>
      </c>
      <c r="R3253" s="8">
        <v>0</v>
      </c>
      <c r="S3253" s="7">
        <v>45798</v>
      </c>
      <c r="U3253" s="8">
        <v>0</v>
      </c>
      <c r="V3253" s="7">
        <v>45807</v>
      </c>
      <c r="X3253" s="8">
        <v>0</v>
      </c>
      <c r="Z3253" s="8">
        <v>0</v>
      </c>
      <c r="AA3253" s="7">
        <v>45821</v>
      </c>
      <c r="AC3253" s="8">
        <v>120</v>
      </c>
      <c r="AE3253" s="7">
        <v>45849</v>
      </c>
      <c r="AF3253" s="8">
        <v>120</v>
      </c>
      <c r="AH3253" s="7">
        <v>46028</v>
      </c>
      <c r="AI3253" s="7">
        <v>45847</v>
      </c>
      <c r="AN3253" s="8">
        <v>120</v>
      </c>
      <c r="AO3253" s="8">
        <v>0</v>
      </c>
    </row>
    <row r="3254" spans="1:41" x14ac:dyDescent="0.25">
      <c r="A3254" s="6" t="str">
        <f t="shared" si="761"/>
        <v>525-2025000280</v>
      </c>
      <c r="B3254" s="6" t="str">
        <f t="shared" si="746"/>
        <v>Lasa Int</v>
      </c>
      <c r="C3254" s="7">
        <v>45793</v>
      </c>
      <c r="D3254" s="7">
        <v>46066</v>
      </c>
      <c r="E3254" s="8">
        <v>3</v>
      </c>
      <c r="F3254" s="6" t="str">
        <f t="shared" si="762"/>
        <v>PURE R</v>
      </c>
      <c r="G3254" s="6" t="str">
        <f>"R010000635000000"</f>
        <v>R010000635000000</v>
      </c>
      <c r="H3254" s="6" t="str">
        <f>"Alexis Cotoral Pure"</f>
        <v>Alexis Cotoral Pure</v>
      </c>
      <c r="I3254" s="6" t="str">
        <f t="shared" si="763"/>
        <v>3235</v>
      </c>
      <c r="J3254" s="6" t="str">
        <f t="shared" si="764"/>
        <v>CINZA 3235</v>
      </c>
      <c r="K3254" s="6" t="str">
        <f>"5006"</f>
        <v>5006</v>
      </c>
      <c r="L3254" s="6" t="str">
        <f t="shared" si="765"/>
        <v>Roupões Adulto</v>
      </c>
      <c r="M3254" s="6" t="str">
        <f>"L"</f>
        <v>L</v>
      </c>
      <c r="N3254" s="6" t="str">
        <f>"5602972722420"</f>
        <v>5602972722420</v>
      </c>
      <c r="O3254" s="8">
        <v>60</v>
      </c>
      <c r="P3254" s="7">
        <v>45793</v>
      </c>
      <c r="R3254" s="8">
        <v>0</v>
      </c>
      <c r="S3254" s="7">
        <v>45798</v>
      </c>
      <c r="U3254" s="8">
        <v>0</v>
      </c>
      <c r="V3254" s="7">
        <v>45807</v>
      </c>
      <c r="X3254" s="8">
        <v>0</v>
      </c>
      <c r="Z3254" s="8">
        <v>0</v>
      </c>
      <c r="AA3254" s="7">
        <v>45821</v>
      </c>
      <c r="AC3254" s="8">
        <v>65</v>
      </c>
      <c r="AE3254" s="7">
        <v>45849</v>
      </c>
      <c r="AF3254" s="8">
        <v>65</v>
      </c>
      <c r="AH3254" s="7">
        <v>46028</v>
      </c>
      <c r="AI3254" s="7">
        <v>45847</v>
      </c>
      <c r="AN3254" s="8">
        <v>65</v>
      </c>
      <c r="AO3254" s="8">
        <v>-5</v>
      </c>
    </row>
    <row r="3255" spans="1:41" x14ac:dyDescent="0.25">
      <c r="A3255" s="6" t="str">
        <f t="shared" si="761"/>
        <v>525-2025000280</v>
      </c>
      <c r="B3255" s="6" t="str">
        <f t="shared" si="746"/>
        <v>Lasa Int</v>
      </c>
      <c r="C3255" s="7">
        <v>45793</v>
      </c>
      <c r="D3255" s="7">
        <v>46066</v>
      </c>
      <c r="E3255" s="8">
        <v>4</v>
      </c>
      <c r="F3255" s="6" t="str">
        <f t="shared" si="762"/>
        <v>PURE R</v>
      </c>
      <c r="G3255" s="6" t="str">
        <f>"R010000635000000"</f>
        <v>R010000635000000</v>
      </c>
      <c r="H3255" s="6" t="str">
        <f>"Alexis Cotoral Pure"</f>
        <v>Alexis Cotoral Pure</v>
      </c>
      <c r="I3255" s="6" t="str">
        <f t="shared" si="763"/>
        <v>3235</v>
      </c>
      <c r="J3255" s="6" t="str">
        <f t="shared" si="764"/>
        <v>CINZA 3235</v>
      </c>
      <c r="K3255" s="6" t="str">
        <f>"5008"</f>
        <v>5008</v>
      </c>
      <c r="L3255" s="6" t="str">
        <f t="shared" si="765"/>
        <v>Roupões Adulto</v>
      </c>
      <c r="M3255" s="6" t="str">
        <f>"XL"</f>
        <v>XL</v>
      </c>
      <c r="N3255" s="6" t="str">
        <f>"5602972722437"</f>
        <v>5602972722437</v>
      </c>
      <c r="O3255" s="8">
        <v>60</v>
      </c>
      <c r="P3255" s="7">
        <v>45793</v>
      </c>
      <c r="R3255" s="8">
        <v>0</v>
      </c>
      <c r="S3255" s="7">
        <v>45798</v>
      </c>
      <c r="U3255" s="8">
        <v>0</v>
      </c>
      <c r="V3255" s="7">
        <v>45807</v>
      </c>
      <c r="X3255" s="8">
        <v>0</v>
      </c>
      <c r="Z3255" s="8">
        <v>0</v>
      </c>
      <c r="AA3255" s="7">
        <v>45821</v>
      </c>
      <c r="AC3255" s="8">
        <v>62</v>
      </c>
      <c r="AE3255" s="7">
        <v>45849</v>
      </c>
      <c r="AF3255" s="8">
        <v>62</v>
      </c>
      <c r="AH3255" s="7">
        <v>46028</v>
      </c>
      <c r="AI3255" s="7">
        <v>45847</v>
      </c>
      <c r="AN3255" s="8">
        <v>62</v>
      </c>
      <c r="AO3255" s="8">
        <v>-2</v>
      </c>
    </row>
    <row r="3256" spans="1:41" x14ac:dyDescent="0.25">
      <c r="A3256" s="6" t="str">
        <f t="shared" si="761"/>
        <v>525-2025000280</v>
      </c>
      <c r="B3256" s="6" t="str">
        <f t="shared" si="746"/>
        <v>Lasa Int</v>
      </c>
      <c r="C3256" s="7">
        <v>45793</v>
      </c>
      <c r="D3256" s="7">
        <v>46066</v>
      </c>
      <c r="E3256" s="8">
        <v>5</v>
      </c>
      <c r="F3256" s="6" t="str">
        <f t="shared" si="762"/>
        <v>PURE R</v>
      </c>
      <c r="G3256" s="6" t="str">
        <f>"R120203038500000"</f>
        <v>R120203038500000</v>
      </c>
      <c r="H3256" s="6" t="str">
        <f>"R 2030 - Ketten PURE"</f>
        <v>R 2030 - Ketten PURE</v>
      </c>
      <c r="I3256" s="6" t="str">
        <f t="shared" si="763"/>
        <v>3235</v>
      </c>
      <c r="J3256" s="6" t="str">
        <f t="shared" si="764"/>
        <v>CINZA 3235</v>
      </c>
      <c r="K3256" s="6" t="str">
        <f>"5001"</f>
        <v>5001</v>
      </c>
      <c r="L3256" s="6" t="str">
        <f t="shared" si="765"/>
        <v>Roupões Adulto</v>
      </c>
      <c r="M3256" s="6" t="str">
        <f>"XS"</f>
        <v>XS</v>
      </c>
      <c r="N3256" s="6" t="str">
        <f>"5605247635999"</f>
        <v>5605247635999</v>
      </c>
      <c r="O3256" s="8">
        <v>12</v>
      </c>
      <c r="P3256" s="7">
        <v>45793</v>
      </c>
      <c r="R3256" s="8">
        <v>0</v>
      </c>
      <c r="S3256" s="7">
        <v>45798</v>
      </c>
      <c r="U3256" s="8">
        <v>0</v>
      </c>
      <c r="V3256" s="7">
        <v>45807</v>
      </c>
      <c r="X3256" s="8">
        <v>0</v>
      </c>
      <c r="Z3256" s="8">
        <v>0</v>
      </c>
      <c r="AA3256" s="7">
        <v>45821</v>
      </c>
      <c r="AC3256" s="8">
        <v>0</v>
      </c>
      <c r="AE3256" s="7">
        <v>45849</v>
      </c>
      <c r="AF3256" s="8">
        <v>0</v>
      </c>
      <c r="AH3256" s="7">
        <v>46028</v>
      </c>
      <c r="AI3256" s="7">
        <v>45847</v>
      </c>
      <c r="AN3256" s="8">
        <v>0</v>
      </c>
      <c r="AO3256" s="8">
        <v>12</v>
      </c>
    </row>
    <row r="3257" spans="1:41" x14ac:dyDescent="0.25">
      <c r="A3257" s="6" t="str">
        <f t="shared" si="761"/>
        <v>525-2025000280</v>
      </c>
      <c r="B3257" s="6" t="str">
        <f t="shared" si="746"/>
        <v>Lasa Int</v>
      </c>
      <c r="C3257" s="7">
        <v>45793</v>
      </c>
      <c r="D3257" s="7">
        <v>46066</v>
      </c>
      <c r="E3257" s="8">
        <v>6</v>
      </c>
      <c r="F3257" s="6" t="str">
        <f t="shared" si="762"/>
        <v>PURE R</v>
      </c>
      <c r="G3257" s="6" t="str">
        <f>"R120203038500000"</f>
        <v>R120203038500000</v>
      </c>
      <c r="H3257" s="6" t="str">
        <f>"R 2030 - Ketten PURE"</f>
        <v>R 2030 - Ketten PURE</v>
      </c>
      <c r="I3257" s="6" t="str">
        <f t="shared" si="763"/>
        <v>3235</v>
      </c>
      <c r="J3257" s="6" t="str">
        <f t="shared" si="764"/>
        <v>CINZA 3235</v>
      </c>
      <c r="K3257" s="6" t="str">
        <f>"5002"</f>
        <v>5002</v>
      </c>
      <c r="L3257" s="6" t="str">
        <f t="shared" si="765"/>
        <v>Roupões Adulto</v>
      </c>
      <c r="M3257" s="6" t="str">
        <f>"S"</f>
        <v>S</v>
      </c>
      <c r="N3257" s="6" t="str">
        <f>"5605247636002"</f>
        <v>5605247636002</v>
      </c>
      <c r="O3257" s="8">
        <v>12</v>
      </c>
      <c r="P3257" s="7">
        <v>45793</v>
      </c>
      <c r="R3257" s="8">
        <v>0</v>
      </c>
      <c r="S3257" s="7">
        <v>45798</v>
      </c>
      <c r="U3257" s="8">
        <v>0</v>
      </c>
      <c r="V3257" s="7">
        <v>45807</v>
      </c>
      <c r="X3257" s="8">
        <v>0</v>
      </c>
      <c r="Z3257" s="8">
        <v>0</v>
      </c>
      <c r="AA3257" s="7">
        <v>45821</v>
      </c>
      <c r="AC3257" s="8">
        <v>0</v>
      </c>
      <c r="AE3257" s="7">
        <v>45849</v>
      </c>
      <c r="AF3257" s="8">
        <v>0</v>
      </c>
      <c r="AH3257" s="7">
        <v>46028</v>
      </c>
      <c r="AI3257" s="7">
        <v>45847</v>
      </c>
      <c r="AN3257" s="8">
        <v>0</v>
      </c>
      <c r="AO3257" s="8">
        <v>12</v>
      </c>
    </row>
    <row r="3258" spans="1:41" x14ac:dyDescent="0.25">
      <c r="A3258" s="6" t="str">
        <f t="shared" si="761"/>
        <v>525-2025000280</v>
      </c>
      <c r="B3258" s="6" t="str">
        <f t="shared" si="746"/>
        <v>Lasa Int</v>
      </c>
      <c r="C3258" s="7">
        <v>45793</v>
      </c>
      <c r="D3258" s="7">
        <v>46066</v>
      </c>
      <c r="E3258" s="8">
        <v>7</v>
      </c>
      <c r="F3258" s="6" t="str">
        <f t="shared" si="762"/>
        <v>PURE R</v>
      </c>
      <c r="G3258" s="6" t="str">
        <f>"R120203038500000"</f>
        <v>R120203038500000</v>
      </c>
      <c r="H3258" s="6" t="str">
        <f>"R 2030 - Ketten PURE"</f>
        <v>R 2030 - Ketten PURE</v>
      </c>
      <c r="I3258" s="6" t="str">
        <f t="shared" si="763"/>
        <v>3235</v>
      </c>
      <c r="J3258" s="6" t="str">
        <f t="shared" si="764"/>
        <v>CINZA 3235</v>
      </c>
      <c r="K3258" s="6" t="str">
        <f>"5004"</f>
        <v>5004</v>
      </c>
      <c r="L3258" s="6" t="str">
        <f t="shared" si="765"/>
        <v>Roupões Adulto</v>
      </c>
      <c r="M3258" s="6" t="str">
        <f>"M"</f>
        <v>M</v>
      </c>
      <c r="N3258" s="6" t="str">
        <f>"5605247636019"</f>
        <v>5605247636019</v>
      </c>
      <c r="O3258" s="8">
        <v>24</v>
      </c>
      <c r="P3258" s="7">
        <v>45793</v>
      </c>
      <c r="R3258" s="8">
        <v>0</v>
      </c>
      <c r="S3258" s="7">
        <v>45798</v>
      </c>
      <c r="U3258" s="8">
        <v>0</v>
      </c>
      <c r="V3258" s="7">
        <v>45807</v>
      </c>
      <c r="X3258" s="8">
        <v>0</v>
      </c>
      <c r="Z3258" s="8">
        <v>0</v>
      </c>
      <c r="AA3258" s="7">
        <v>45821</v>
      </c>
      <c r="AC3258" s="8">
        <v>0</v>
      </c>
      <c r="AE3258" s="7">
        <v>45849</v>
      </c>
      <c r="AF3258" s="8">
        <v>0</v>
      </c>
      <c r="AH3258" s="7">
        <v>46028</v>
      </c>
      <c r="AI3258" s="7">
        <v>45847</v>
      </c>
      <c r="AN3258" s="8">
        <v>0</v>
      </c>
      <c r="AO3258" s="8">
        <v>24</v>
      </c>
    </row>
    <row r="3259" spans="1:41" x14ac:dyDescent="0.25">
      <c r="A3259" s="6" t="str">
        <f t="shared" si="761"/>
        <v>525-2025000280</v>
      </c>
      <c r="B3259" s="6" t="str">
        <f t="shared" si="746"/>
        <v>Lasa Int</v>
      </c>
      <c r="C3259" s="7">
        <v>45793</v>
      </c>
      <c r="D3259" s="7">
        <v>46066</v>
      </c>
      <c r="E3259" s="8">
        <v>8</v>
      </c>
      <c r="F3259" s="6" t="str">
        <f t="shared" si="762"/>
        <v>PURE R</v>
      </c>
      <c r="G3259" s="6" t="str">
        <f>"R120203038500000"</f>
        <v>R120203038500000</v>
      </c>
      <c r="H3259" s="6" t="str">
        <f>"R 2030 - Ketten PURE"</f>
        <v>R 2030 - Ketten PURE</v>
      </c>
      <c r="I3259" s="6" t="str">
        <f t="shared" si="763"/>
        <v>3235</v>
      </c>
      <c r="J3259" s="6" t="str">
        <f t="shared" si="764"/>
        <v>CINZA 3235</v>
      </c>
      <c r="K3259" s="6" t="str">
        <f>"5006"</f>
        <v>5006</v>
      </c>
      <c r="L3259" s="6" t="str">
        <f t="shared" si="765"/>
        <v>Roupões Adulto</v>
      </c>
      <c r="M3259" s="6" t="str">
        <f>"L"</f>
        <v>L</v>
      </c>
      <c r="N3259" s="6" t="str">
        <f>"5605247636026"</f>
        <v>5605247636026</v>
      </c>
      <c r="O3259" s="8">
        <v>12</v>
      </c>
      <c r="P3259" s="7">
        <v>45793</v>
      </c>
      <c r="R3259" s="8">
        <v>0</v>
      </c>
      <c r="S3259" s="7">
        <v>45798</v>
      </c>
      <c r="U3259" s="8">
        <v>0</v>
      </c>
      <c r="V3259" s="7">
        <v>45807</v>
      </c>
      <c r="X3259" s="8">
        <v>0</v>
      </c>
      <c r="Z3259" s="8">
        <v>0</v>
      </c>
      <c r="AA3259" s="7">
        <v>45821</v>
      </c>
      <c r="AC3259" s="8">
        <v>0</v>
      </c>
      <c r="AE3259" s="7">
        <v>45849</v>
      </c>
      <c r="AF3259" s="8">
        <v>0</v>
      </c>
      <c r="AH3259" s="7">
        <v>46028</v>
      </c>
      <c r="AI3259" s="7">
        <v>45847</v>
      </c>
      <c r="AN3259" s="8">
        <v>0</v>
      </c>
      <c r="AO3259" s="8">
        <v>12</v>
      </c>
    </row>
    <row r="3260" spans="1:41" x14ac:dyDescent="0.25">
      <c r="A3260" s="6" t="str">
        <f t="shared" si="761"/>
        <v>525-2025000280</v>
      </c>
      <c r="B3260" s="6" t="str">
        <f t="shared" si="746"/>
        <v>Lasa Int</v>
      </c>
      <c r="C3260" s="7">
        <v>45793</v>
      </c>
      <c r="D3260" s="7">
        <v>46066</v>
      </c>
      <c r="E3260" s="8">
        <v>9</v>
      </c>
      <c r="F3260" s="6" t="str">
        <f t="shared" si="762"/>
        <v>PURE R</v>
      </c>
      <c r="G3260" s="6" t="str">
        <f>"R120203038500000"</f>
        <v>R120203038500000</v>
      </c>
      <c r="H3260" s="6" t="str">
        <f>"R 2030 - Ketten PURE"</f>
        <v>R 2030 - Ketten PURE</v>
      </c>
      <c r="I3260" s="6" t="str">
        <f t="shared" si="763"/>
        <v>3235</v>
      </c>
      <c r="J3260" s="6" t="str">
        <f t="shared" si="764"/>
        <v>CINZA 3235</v>
      </c>
      <c r="K3260" s="6" t="str">
        <f>"5008"</f>
        <v>5008</v>
      </c>
      <c r="L3260" s="6" t="str">
        <f t="shared" si="765"/>
        <v>Roupões Adulto</v>
      </c>
      <c r="M3260" s="6" t="str">
        <f>"XL"</f>
        <v>XL</v>
      </c>
      <c r="N3260" s="6" t="str">
        <f>"5605247636033"</f>
        <v>5605247636033</v>
      </c>
      <c r="O3260" s="8">
        <v>12</v>
      </c>
      <c r="P3260" s="7">
        <v>45793</v>
      </c>
      <c r="R3260" s="8">
        <v>0</v>
      </c>
      <c r="S3260" s="7">
        <v>45798</v>
      </c>
      <c r="U3260" s="8">
        <v>0</v>
      </c>
      <c r="V3260" s="7">
        <v>45807</v>
      </c>
      <c r="X3260" s="8">
        <v>0</v>
      </c>
      <c r="Z3260" s="8">
        <v>0</v>
      </c>
      <c r="AA3260" s="7">
        <v>45821</v>
      </c>
      <c r="AC3260" s="8">
        <v>0</v>
      </c>
      <c r="AE3260" s="7">
        <v>45849</v>
      </c>
      <c r="AF3260" s="8">
        <v>0</v>
      </c>
      <c r="AH3260" s="7">
        <v>46028</v>
      </c>
      <c r="AI3260" s="7">
        <v>45847</v>
      </c>
      <c r="AN3260" s="8">
        <v>0</v>
      </c>
      <c r="AO3260" s="8">
        <v>12</v>
      </c>
    </row>
    <row r="3261" spans="1:41" x14ac:dyDescent="0.25">
      <c r="A3261" s="6" t="str">
        <f t="shared" si="761"/>
        <v>525-2025000280</v>
      </c>
      <c r="B3261" s="6" t="str">
        <f t="shared" si="746"/>
        <v>Lasa Int</v>
      </c>
      <c r="C3261" s="7">
        <v>45793</v>
      </c>
      <c r="D3261" s="7">
        <v>46066</v>
      </c>
      <c r="E3261" s="8">
        <v>10</v>
      </c>
      <c r="F3261" s="6" t="str">
        <f t="shared" si="762"/>
        <v>PURE R</v>
      </c>
      <c r="G3261" s="6" t="str">
        <f t="shared" ref="G3261:G3269" si="766">"R120327038500000"</f>
        <v>R120327038500000</v>
      </c>
      <c r="H3261" s="6" t="str">
        <f t="shared" ref="H3261:H3269" si="767">"R 3270 - PURE Capuz"</f>
        <v>R 3270 - PURE Capuz</v>
      </c>
      <c r="I3261" s="6" t="str">
        <f t="shared" si="763"/>
        <v>3235</v>
      </c>
      <c r="J3261" s="6" t="str">
        <f t="shared" si="764"/>
        <v>CINZA 3235</v>
      </c>
      <c r="K3261" s="6" t="str">
        <f>"5002"</f>
        <v>5002</v>
      </c>
      <c r="L3261" s="6" t="str">
        <f t="shared" si="765"/>
        <v>Roupões Adulto</v>
      </c>
      <c r="M3261" s="6" t="str">
        <f>"S"</f>
        <v>S</v>
      </c>
      <c r="N3261" s="6" t="str">
        <f>"5602972645507"</f>
        <v>5602972645507</v>
      </c>
      <c r="O3261" s="8">
        <v>12</v>
      </c>
      <c r="P3261" s="7">
        <v>45793</v>
      </c>
      <c r="R3261" s="8">
        <v>0</v>
      </c>
      <c r="S3261" s="7">
        <v>45798</v>
      </c>
      <c r="U3261" s="8">
        <v>0</v>
      </c>
      <c r="V3261" s="7">
        <v>45807</v>
      </c>
      <c r="X3261" s="8">
        <v>0</v>
      </c>
      <c r="Z3261" s="8">
        <v>0</v>
      </c>
      <c r="AA3261" s="7">
        <v>45821</v>
      </c>
      <c r="AC3261" s="8">
        <v>0</v>
      </c>
      <c r="AE3261" s="7">
        <v>45849</v>
      </c>
      <c r="AF3261" s="8">
        <v>0</v>
      </c>
      <c r="AH3261" s="7">
        <v>46028</v>
      </c>
      <c r="AI3261" s="7">
        <v>45847</v>
      </c>
      <c r="AN3261" s="8">
        <v>0</v>
      </c>
      <c r="AO3261" s="8">
        <v>12</v>
      </c>
    </row>
    <row r="3262" spans="1:41" x14ac:dyDescent="0.25">
      <c r="A3262" s="6" t="str">
        <f t="shared" si="761"/>
        <v>525-2025000280</v>
      </c>
      <c r="B3262" s="6" t="str">
        <f t="shared" si="746"/>
        <v>Lasa Int</v>
      </c>
      <c r="C3262" s="7">
        <v>45793</v>
      </c>
      <c r="D3262" s="7">
        <v>46066</v>
      </c>
      <c r="E3262" s="8">
        <v>11</v>
      </c>
      <c r="F3262" s="6" t="str">
        <f t="shared" si="762"/>
        <v>PURE R</v>
      </c>
      <c r="G3262" s="6" t="str">
        <f t="shared" si="766"/>
        <v>R120327038500000</v>
      </c>
      <c r="H3262" s="6" t="str">
        <f t="shared" si="767"/>
        <v>R 3270 - PURE Capuz</v>
      </c>
      <c r="I3262" s="6" t="str">
        <f t="shared" si="763"/>
        <v>3235</v>
      </c>
      <c r="J3262" s="6" t="str">
        <f t="shared" si="764"/>
        <v>CINZA 3235</v>
      </c>
      <c r="K3262" s="6" t="str">
        <f>"5006"</f>
        <v>5006</v>
      </c>
      <c r="L3262" s="6" t="str">
        <f t="shared" si="765"/>
        <v>Roupões Adulto</v>
      </c>
      <c r="M3262" s="6" t="str">
        <f>"L"</f>
        <v>L</v>
      </c>
      <c r="N3262" s="6" t="str">
        <f>"5602972645521"</f>
        <v>5602972645521</v>
      </c>
      <c r="O3262" s="8">
        <v>24</v>
      </c>
      <c r="P3262" s="7">
        <v>45793</v>
      </c>
      <c r="R3262" s="8">
        <v>0</v>
      </c>
      <c r="S3262" s="7">
        <v>45798</v>
      </c>
      <c r="U3262" s="8">
        <v>0</v>
      </c>
      <c r="V3262" s="7">
        <v>45807</v>
      </c>
      <c r="X3262" s="8">
        <v>0</v>
      </c>
      <c r="Z3262" s="8">
        <v>0</v>
      </c>
      <c r="AA3262" s="7">
        <v>45821</v>
      </c>
      <c r="AC3262" s="8">
        <v>0</v>
      </c>
      <c r="AE3262" s="7">
        <v>45849</v>
      </c>
      <c r="AF3262" s="8">
        <v>0</v>
      </c>
      <c r="AH3262" s="7">
        <v>46028</v>
      </c>
      <c r="AI3262" s="7">
        <v>45847</v>
      </c>
      <c r="AN3262" s="8">
        <v>0</v>
      </c>
      <c r="AO3262" s="8">
        <v>24</v>
      </c>
    </row>
    <row r="3263" spans="1:41" x14ac:dyDescent="0.25">
      <c r="A3263" s="6" t="str">
        <f t="shared" si="761"/>
        <v>525-2025000280</v>
      </c>
      <c r="B3263" s="6" t="str">
        <f t="shared" si="746"/>
        <v>Lasa Int</v>
      </c>
      <c r="C3263" s="7">
        <v>45793</v>
      </c>
      <c r="D3263" s="7">
        <v>46066</v>
      </c>
      <c r="E3263" s="8">
        <v>12</v>
      </c>
      <c r="F3263" s="6" t="str">
        <f t="shared" si="762"/>
        <v>PURE R</v>
      </c>
      <c r="G3263" s="6" t="str">
        <f t="shared" si="766"/>
        <v>R120327038500000</v>
      </c>
      <c r="H3263" s="6" t="str">
        <f t="shared" si="767"/>
        <v>R 3270 - PURE Capuz</v>
      </c>
      <c r="I3263" s="6" t="str">
        <f t="shared" si="763"/>
        <v>3235</v>
      </c>
      <c r="J3263" s="6" t="str">
        <f t="shared" si="764"/>
        <v>CINZA 3235</v>
      </c>
      <c r="K3263" s="6" t="str">
        <f>"5008"</f>
        <v>5008</v>
      </c>
      <c r="L3263" s="6" t="str">
        <f t="shared" si="765"/>
        <v>Roupões Adulto</v>
      </c>
      <c r="M3263" s="6" t="str">
        <f>"XL"</f>
        <v>XL</v>
      </c>
      <c r="N3263" s="6" t="str">
        <f>"5602972645538"</f>
        <v>5602972645538</v>
      </c>
      <c r="O3263" s="8">
        <v>24</v>
      </c>
      <c r="P3263" s="7">
        <v>45793</v>
      </c>
      <c r="R3263" s="8">
        <v>0</v>
      </c>
      <c r="S3263" s="7">
        <v>45798</v>
      </c>
      <c r="U3263" s="8">
        <v>0</v>
      </c>
      <c r="V3263" s="7">
        <v>45807</v>
      </c>
      <c r="X3263" s="8">
        <v>0</v>
      </c>
      <c r="Z3263" s="8">
        <v>0</v>
      </c>
      <c r="AA3263" s="7">
        <v>45821</v>
      </c>
      <c r="AC3263" s="8">
        <v>0</v>
      </c>
      <c r="AE3263" s="7">
        <v>45849</v>
      </c>
      <c r="AF3263" s="8">
        <v>0</v>
      </c>
      <c r="AH3263" s="7">
        <v>46028</v>
      </c>
      <c r="AI3263" s="7">
        <v>45847</v>
      </c>
      <c r="AN3263" s="8">
        <v>0</v>
      </c>
      <c r="AO3263" s="8">
        <v>24</v>
      </c>
    </row>
    <row r="3264" spans="1:41" x14ac:dyDescent="0.25">
      <c r="A3264" s="6" t="str">
        <f t="shared" si="761"/>
        <v>525-2025000280</v>
      </c>
      <c r="B3264" s="6" t="str">
        <f t="shared" si="746"/>
        <v>Lasa Int</v>
      </c>
      <c r="C3264" s="7">
        <v>45793</v>
      </c>
      <c r="D3264" s="7">
        <v>46066</v>
      </c>
      <c r="E3264" s="8">
        <v>13</v>
      </c>
      <c r="F3264" s="6" t="str">
        <f t="shared" si="762"/>
        <v>PURE R</v>
      </c>
      <c r="G3264" s="6" t="str">
        <f t="shared" si="766"/>
        <v>R120327038500000</v>
      </c>
      <c r="H3264" s="6" t="str">
        <f t="shared" si="767"/>
        <v>R 3270 - PURE Capuz</v>
      </c>
      <c r="I3264" s="6" t="str">
        <f t="shared" si="763"/>
        <v>3235</v>
      </c>
      <c r="J3264" s="6" t="str">
        <f t="shared" si="764"/>
        <v>CINZA 3235</v>
      </c>
      <c r="K3264" s="6" t="str">
        <f>"5010"</f>
        <v>5010</v>
      </c>
      <c r="L3264" s="6" t="str">
        <f t="shared" si="765"/>
        <v>Roupões Adulto</v>
      </c>
      <c r="M3264" s="6" t="str">
        <f>"XXL"</f>
        <v>XXL</v>
      </c>
      <c r="N3264" s="6" t="str">
        <f>"5602972645545"</f>
        <v>5602972645545</v>
      </c>
      <c r="O3264" s="8">
        <v>24</v>
      </c>
      <c r="P3264" s="7">
        <v>45793</v>
      </c>
      <c r="R3264" s="8">
        <v>0</v>
      </c>
      <c r="S3264" s="7">
        <v>45798</v>
      </c>
      <c r="U3264" s="8">
        <v>0</v>
      </c>
      <c r="V3264" s="7">
        <v>45807</v>
      </c>
      <c r="X3264" s="8">
        <v>0</v>
      </c>
      <c r="Z3264" s="8">
        <v>0</v>
      </c>
      <c r="AA3264" s="7">
        <v>45821</v>
      </c>
      <c r="AC3264" s="8">
        <v>0</v>
      </c>
      <c r="AE3264" s="7">
        <v>45849</v>
      </c>
      <c r="AF3264" s="8">
        <v>0</v>
      </c>
      <c r="AH3264" s="7">
        <v>46028</v>
      </c>
      <c r="AI3264" s="7">
        <v>45847</v>
      </c>
      <c r="AN3264" s="8">
        <v>0</v>
      </c>
      <c r="AO3264" s="8">
        <v>24</v>
      </c>
    </row>
    <row r="3265" spans="1:41" x14ac:dyDescent="0.25">
      <c r="A3265" s="6" t="str">
        <f>"525-2025000283"</f>
        <v>525-2025000283</v>
      </c>
      <c r="B3265" s="6" t="str">
        <f t="shared" si="746"/>
        <v>Lasa Int</v>
      </c>
      <c r="C3265" s="7">
        <v>45797</v>
      </c>
      <c r="D3265" s="7">
        <v>46066</v>
      </c>
      <c r="E3265" s="8">
        <v>1</v>
      </c>
      <c r="F3265" s="6" t="str">
        <f t="shared" si="762"/>
        <v>PURE R</v>
      </c>
      <c r="G3265" s="6" t="str">
        <f t="shared" si="766"/>
        <v>R120327038500000</v>
      </c>
      <c r="H3265" s="6" t="str">
        <f t="shared" si="767"/>
        <v>R 3270 - PURE Capuz</v>
      </c>
      <c r="I3265" s="6" t="str">
        <f>"1"</f>
        <v>1</v>
      </c>
      <c r="J3265" s="6" t="str">
        <f>"BRANCO"</f>
        <v>BRANCO</v>
      </c>
      <c r="K3265" s="6" t="str">
        <f>"5002"</f>
        <v>5002</v>
      </c>
      <c r="L3265" s="6" t="str">
        <f t="shared" si="765"/>
        <v>Roupões Adulto</v>
      </c>
      <c r="M3265" s="6" t="str">
        <f>"S"</f>
        <v>S</v>
      </c>
      <c r="N3265" s="6" t="str">
        <f>"5602972645309"</f>
        <v>5602972645309</v>
      </c>
      <c r="O3265" s="8">
        <v>36</v>
      </c>
      <c r="P3265" s="7">
        <v>45797</v>
      </c>
      <c r="R3265" s="8">
        <v>0</v>
      </c>
      <c r="S3265" s="7">
        <v>45800</v>
      </c>
      <c r="U3265" s="8">
        <v>540</v>
      </c>
      <c r="V3265" s="7">
        <v>45811</v>
      </c>
      <c r="X3265" s="8">
        <v>0</v>
      </c>
      <c r="Z3265" s="8">
        <v>0</v>
      </c>
      <c r="AA3265" s="7">
        <v>45825</v>
      </c>
      <c r="AC3265" s="8">
        <v>0</v>
      </c>
      <c r="AE3265" s="7">
        <v>45847</v>
      </c>
      <c r="AF3265" s="8">
        <v>0</v>
      </c>
      <c r="AH3265" s="7">
        <v>45854</v>
      </c>
      <c r="AI3265" s="7">
        <v>45845</v>
      </c>
      <c r="AN3265" s="8">
        <v>0</v>
      </c>
      <c r="AO3265" s="8">
        <v>36</v>
      </c>
    </row>
    <row r="3266" spans="1:41" x14ac:dyDescent="0.25">
      <c r="A3266" s="6" t="str">
        <f>"525-2025000283"</f>
        <v>525-2025000283</v>
      </c>
      <c r="B3266" s="6" t="str">
        <f t="shared" si="746"/>
        <v>Lasa Int</v>
      </c>
      <c r="C3266" s="7">
        <v>45797</v>
      </c>
      <c r="D3266" s="7">
        <v>46066</v>
      </c>
      <c r="E3266" s="8">
        <v>2</v>
      </c>
      <c r="F3266" s="6" t="str">
        <f t="shared" si="762"/>
        <v>PURE R</v>
      </c>
      <c r="G3266" s="6" t="str">
        <f t="shared" si="766"/>
        <v>R120327038500000</v>
      </c>
      <c r="H3266" s="6" t="str">
        <f t="shared" si="767"/>
        <v>R 3270 - PURE Capuz</v>
      </c>
      <c r="I3266" s="6" t="str">
        <f>"1"</f>
        <v>1</v>
      </c>
      <c r="J3266" s="6" t="str">
        <f>"BRANCO"</f>
        <v>BRANCO</v>
      </c>
      <c r="K3266" s="6" t="str">
        <f>"5004"</f>
        <v>5004</v>
      </c>
      <c r="L3266" s="6" t="str">
        <f t="shared" si="765"/>
        <v>Roupões Adulto</v>
      </c>
      <c r="M3266" s="6" t="str">
        <f>"M"</f>
        <v>M</v>
      </c>
      <c r="N3266" s="6" t="str">
        <f>"5602972645316"</f>
        <v>5602972645316</v>
      </c>
      <c r="O3266" s="8">
        <v>48</v>
      </c>
      <c r="P3266" s="7">
        <v>45797</v>
      </c>
      <c r="R3266" s="8">
        <v>0</v>
      </c>
      <c r="S3266" s="7">
        <v>45800</v>
      </c>
      <c r="U3266" s="8">
        <v>0</v>
      </c>
      <c r="V3266" s="7">
        <v>45811</v>
      </c>
      <c r="X3266" s="8">
        <v>0</v>
      </c>
      <c r="Z3266" s="8">
        <v>0</v>
      </c>
      <c r="AA3266" s="7">
        <v>45825</v>
      </c>
      <c r="AC3266" s="8">
        <v>0</v>
      </c>
      <c r="AE3266" s="7">
        <v>45847</v>
      </c>
      <c r="AF3266" s="8">
        <v>0</v>
      </c>
      <c r="AH3266" s="7">
        <v>45854</v>
      </c>
      <c r="AI3266" s="7">
        <v>45845</v>
      </c>
      <c r="AN3266" s="8">
        <v>0</v>
      </c>
      <c r="AO3266" s="8">
        <v>48</v>
      </c>
    </row>
    <row r="3267" spans="1:41" x14ac:dyDescent="0.25">
      <c r="A3267" s="6" t="str">
        <f>"525-2025000283"</f>
        <v>525-2025000283</v>
      </c>
      <c r="B3267" s="6" t="str">
        <f t="shared" si="746"/>
        <v>Lasa Int</v>
      </c>
      <c r="C3267" s="7">
        <v>45797</v>
      </c>
      <c r="D3267" s="7">
        <v>46066</v>
      </c>
      <c r="E3267" s="8">
        <v>3</v>
      </c>
      <c r="F3267" s="6" t="str">
        <f t="shared" si="762"/>
        <v>PURE R</v>
      </c>
      <c r="G3267" s="6" t="str">
        <f t="shared" si="766"/>
        <v>R120327038500000</v>
      </c>
      <c r="H3267" s="6" t="str">
        <f t="shared" si="767"/>
        <v>R 3270 - PURE Capuz</v>
      </c>
      <c r="I3267" s="6" t="str">
        <f>"1"</f>
        <v>1</v>
      </c>
      <c r="J3267" s="6" t="str">
        <f>"BRANCO"</f>
        <v>BRANCO</v>
      </c>
      <c r="K3267" s="6" t="str">
        <f>"5006"</f>
        <v>5006</v>
      </c>
      <c r="L3267" s="6" t="str">
        <f t="shared" si="765"/>
        <v>Roupões Adulto</v>
      </c>
      <c r="M3267" s="6" t="str">
        <f>"L"</f>
        <v>L</v>
      </c>
      <c r="N3267" s="6" t="str">
        <f>"5602972645323"</f>
        <v>5602972645323</v>
      </c>
      <c r="O3267" s="8">
        <v>36</v>
      </c>
      <c r="P3267" s="7">
        <v>45797</v>
      </c>
      <c r="R3267" s="8">
        <v>0</v>
      </c>
      <c r="S3267" s="7">
        <v>45800</v>
      </c>
      <c r="U3267" s="8">
        <v>0</v>
      </c>
      <c r="V3267" s="7">
        <v>45811</v>
      </c>
      <c r="X3267" s="8">
        <v>0</v>
      </c>
      <c r="Z3267" s="8">
        <v>0</v>
      </c>
      <c r="AA3267" s="7">
        <v>45825</v>
      </c>
      <c r="AC3267" s="8">
        <v>0</v>
      </c>
      <c r="AE3267" s="7">
        <v>45847</v>
      </c>
      <c r="AF3267" s="8">
        <v>0</v>
      </c>
      <c r="AH3267" s="7">
        <v>45854</v>
      </c>
      <c r="AI3267" s="7">
        <v>45845</v>
      </c>
      <c r="AN3267" s="8">
        <v>0</v>
      </c>
      <c r="AO3267" s="8">
        <v>36</v>
      </c>
    </row>
    <row r="3268" spans="1:41" x14ac:dyDescent="0.25">
      <c r="A3268" s="6" t="str">
        <f>"525-2025000283"</f>
        <v>525-2025000283</v>
      </c>
      <c r="B3268" s="6" t="str">
        <f t="shared" si="746"/>
        <v>Lasa Int</v>
      </c>
      <c r="C3268" s="7">
        <v>45797</v>
      </c>
      <c r="D3268" s="7">
        <v>46066</v>
      </c>
      <c r="E3268" s="8">
        <v>4</v>
      </c>
      <c r="F3268" s="6" t="str">
        <f t="shared" si="762"/>
        <v>PURE R</v>
      </c>
      <c r="G3268" s="6" t="str">
        <f t="shared" si="766"/>
        <v>R120327038500000</v>
      </c>
      <c r="H3268" s="6" t="str">
        <f t="shared" si="767"/>
        <v>R 3270 - PURE Capuz</v>
      </c>
      <c r="I3268" s="6" t="str">
        <f>"1"</f>
        <v>1</v>
      </c>
      <c r="J3268" s="6" t="str">
        <f>"BRANCO"</f>
        <v>BRANCO</v>
      </c>
      <c r="K3268" s="6" t="str">
        <f>"5008"</f>
        <v>5008</v>
      </c>
      <c r="L3268" s="6" t="str">
        <f t="shared" si="765"/>
        <v>Roupões Adulto</v>
      </c>
      <c r="M3268" s="6" t="str">
        <f>"XL"</f>
        <v>XL</v>
      </c>
      <c r="N3268" s="6" t="str">
        <f>"5602972645330"</f>
        <v>5602972645330</v>
      </c>
      <c r="O3268" s="8">
        <v>24</v>
      </c>
      <c r="P3268" s="7">
        <v>45797</v>
      </c>
      <c r="R3268" s="8">
        <v>0</v>
      </c>
      <c r="S3268" s="7">
        <v>45800</v>
      </c>
      <c r="U3268" s="8">
        <v>0</v>
      </c>
      <c r="V3268" s="7">
        <v>45811</v>
      </c>
      <c r="X3268" s="8">
        <v>0</v>
      </c>
      <c r="Z3268" s="8">
        <v>0</v>
      </c>
      <c r="AA3268" s="7">
        <v>45825</v>
      </c>
      <c r="AC3268" s="8">
        <v>0</v>
      </c>
      <c r="AE3268" s="7">
        <v>45847</v>
      </c>
      <c r="AF3268" s="8">
        <v>0</v>
      </c>
      <c r="AH3268" s="7">
        <v>45854</v>
      </c>
      <c r="AI3268" s="7">
        <v>45845</v>
      </c>
      <c r="AN3268" s="8">
        <v>0</v>
      </c>
      <c r="AO3268" s="8">
        <v>24</v>
      </c>
    </row>
    <row r="3269" spans="1:41" x14ac:dyDescent="0.25">
      <c r="A3269" s="6" t="str">
        <f>"525-2025000283"</f>
        <v>525-2025000283</v>
      </c>
      <c r="B3269" s="6" t="str">
        <f t="shared" si="746"/>
        <v>Lasa Int</v>
      </c>
      <c r="C3269" s="7">
        <v>45797</v>
      </c>
      <c r="D3269" s="7">
        <v>46066</v>
      </c>
      <c r="E3269" s="8">
        <v>5</v>
      </c>
      <c r="F3269" s="6" t="str">
        <f t="shared" si="762"/>
        <v>PURE R</v>
      </c>
      <c r="G3269" s="6" t="str">
        <f t="shared" si="766"/>
        <v>R120327038500000</v>
      </c>
      <c r="H3269" s="6" t="str">
        <f t="shared" si="767"/>
        <v>R 3270 - PURE Capuz</v>
      </c>
      <c r="I3269" s="6" t="str">
        <f>"1"</f>
        <v>1</v>
      </c>
      <c r="J3269" s="6" t="str">
        <f>"BRANCO"</f>
        <v>BRANCO</v>
      </c>
      <c r="K3269" s="6" t="str">
        <f>"5010"</f>
        <v>5010</v>
      </c>
      <c r="L3269" s="6" t="str">
        <f t="shared" si="765"/>
        <v>Roupões Adulto</v>
      </c>
      <c r="M3269" s="6" t="str">
        <f>"XXL"</f>
        <v>XXL</v>
      </c>
      <c r="N3269" s="6" t="str">
        <f>"5602972645347"</f>
        <v>5602972645347</v>
      </c>
      <c r="O3269" s="8">
        <v>12</v>
      </c>
      <c r="P3269" s="7">
        <v>45797</v>
      </c>
      <c r="R3269" s="8">
        <v>0</v>
      </c>
      <c r="S3269" s="7">
        <v>45800</v>
      </c>
      <c r="U3269" s="8">
        <v>0</v>
      </c>
      <c r="V3269" s="7">
        <v>45811</v>
      </c>
      <c r="X3269" s="8">
        <v>0</v>
      </c>
      <c r="Z3269" s="8">
        <v>0</v>
      </c>
      <c r="AA3269" s="7">
        <v>45825</v>
      </c>
      <c r="AC3269" s="8">
        <v>0</v>
      </c>
      <c r="AE3269" s="7">
        <v>45847</v>
      </c>
      <c r="AF3269" s="8">
        <v>0</v>
      </c>
      <c r="AH3269" s="7">
        <v>45854</v>
      </c>
      <c r="AI3269" s="7">
        <v>45845</v>
      </c>
      <c r="AN3269" s="8">
        <v>0</v>
      </c>
      <c r="AO3269" s="8">
        <v>12</v>
      </c>
    </row>
    <row r="3270" spans="1:41" x14ac:dyDescent="0.25">
      <c r="A3270" s="6" t="str">
        <f t="shared" ref="A3270:A3290" si="768">"525-2025000284"</f>
        <v>525-2025000284</v>
      </c>
      <c r="B3270" s="6" t="str">
        <f t="shared" si="746"/>
        <v>Lasa Int</v>
      </c>
      <c r="C3270" s="7">
        <v>45797</v>
      </c>
      <c r="D3270" s="7">
        <v>46360</v>
      </c>
      <c r="E3270" s="8">
        <v>1</v>
      </c>
      <c r="F3270" s="6" t="str">
        <f t="shared" ref="F3270:F3290" si="769">"Xadrez + linho"</f>
        <v>Xadrez + linho</v>
      </c>
      <c r="G3270" s="6" t="str">
        <f t="shared" ref="G3270:G3276" si="770">"F300374044000000"</f>
        <v>F300374044000000</v>
      </c>
      <c r="H3270" s="6" t="str">
        <f t="shared" ref="H3270:H3276" si="771">"PLR 3740 - 440 g/m²"</f>
        <v>PLR 3740 - 440 g/m²</v>
      </c>
      <c r="I3270" s="6" t="str">
        <f>"200952"</f>
        <v>200952</v>
      </c>
      <c r="J3270" s="6" t="str">
        <f>"VERDE 952"</f>
        <v>VERDE 952</v>
      </c>
      <c r="K3270" s="6" t="str">
        <f t="shared" ref="K3270:K3276" si="772">"0820"</f>
        <v>0820</v>
      </c>
      <c r="L3270" s="6" t="str">
        <f t="shared" ref="L3270:L3290" si="773">"Cozinha"</f>
        <v>Cozinha</v>
      </c>
      <c r="M3270" s="6" t="str">
        <f t="shared" ref="M3270:M3276" si="774">"50x50"</f>
        <v>50x50</v>
      </c>
      <c r="N3270" s="6" t="str">
        <f>"5602972517798"</f>
        <v>5602972517798</v>
      </c>
      <c r="O3270" s="8">
        <v>1200</v>
      </c>
      <c r="P3270" s="7">
        <v>45855</v>
      </c>
      <c r="R3270" s="8">
        <v>1312</v>
      </c>
      <c r="S3270" s="7">
        <v>45860</v>
      </c>
      <c r="U3270" s="8">
        <v>1312</v>
      </c>
      <c r="V3270" s="7">
        <v>45867</v>
      </c>
      <c r="X3270" s="8">
        <v>0</v>
      </c>
      <c r="Z3270" s="8">
        <v>1312</v>
      </c>
      <c r="AA3270" s="7">
        <v>45902</v>
      </c>
      <c r="AC3270" s="8">
        <v>1264</v>
      </c>
      <c r="AE3270" s="7">
        <v>45905</v>
      </c>
      <c r="AF3270" s="8">
        <v>1264</v>
      </c>
      <c r="AH3270" s="7">
        <v>45934</v>
      </c>
      <c r="AN3270" s="8">
        <v>1264</v>
      </c>
      <c r="AO3270" s="8">
        <v>-64</v>
      </c>
    </row>
    <row r="3271" spans="1:41" x14ac:dyDescent="0.25">
      <c r="A3271" s="6" t="str">
        <f t="shared" si="768"/>
        <v>525-2025000284</v>
      </c>
      <c r="B3271" s="6" t="str">
        <f t="shared" si="746"/>
        <v>Lasa Int</v>
      </c>
      <c r="C3271" s="7">
        <v>45797</v>
      </c>
      <c r="D3271" s="7">
        <v>46360</v>
      </c>
      <c r="E3271" s="8">
        <v>2</v>
      </c>
      <c r="F3271" s="6" t="str">
        <f t="shared" si="769"/>
        <v>Xadrez + linho</v>
      </c>
      <c r="G3271" s="6" t="str">
        <f t="shared" si="770"/>
        <v>F300374044000000</v>
      </c>
      <c r="H3271" s="6" t="str">
        <f t="shared" si="771"/>
        <v>PLR 3740 - 440 g/m²</v>
      </c>
      <c r="I3271" s="6" t="str">
        <f>"201515"</f>
        <v>201515</v>
      </c>
      <c r="J3271" s="6" t="str">
        <f>"VERDE 1515"</f>
        <v>VERDE 1515</v>
      </c>
      <c r="K3271" s="6" t="str">
        <f t="shared" si="772"/>
        <v>0820</v>
      </c>
      <c r="L3271" s="6" t="str">
        <f t="shared" si="773"/>
        <v>Cozinha</v>
      </c>
      <c r="M3271" s="6" t="str">
        <f t="shared" si="774"/>
        <v>50x50</v>
      </c>
      <c r="N3271" s="6" t="str">
        <f>"5602972517804"</f>
        <v>5602972517804</v>
      </c>
      <c r="O3271" s="8">
        <v>1200</v>
      </c>
      <c r="P3271" s="7">
        <v>45855</v>
      </c>
      <c r="R3271" s="8">
        <v>1296</v>
      </c>
      <c r="S3271" s="7">
        <v>45860</v>
      </c>
      <c r="U3271" s="8">
        <v>1296</v>
      </c>
      <c r="V3271" s="7">
        <v>45867</v>
      </c>
      <c r="X3271" s="8">
        <v>0</v>
      </c>
      <c r="Z3271" s="8">
        <v>1296</v>
      </c>
      <c r="AA3271" s="7">
        <v>45902</v>
      </c>
      <c r="AC3271" s="8">
        <v>1200</v>
      </c>
      <c r="AE3271" s="7">
        <v>45905</v>
      </c>
      <c r="AF3271" s="8">
        <v>1200</v>
      </c>
      <c r="AH3271" s="7">
        <v>45934</v>
      </c>
      <c r="AN3271" s="8">
        <v>1200</v>
      </c>
      <c r="AO3271" s="8">
        <v>0</v>
      </c>
    </row>
    <row r="3272" spans="1:41" x14ac:dyDescent="0.25">
      <c r="A3272" s="6" t="str">
        <f t="shared" si="768"/>
        <v>525-2025000284</v>
      </c>
      <c r="B3272" s="6" t="str">
        <f t="shared" si="746"/>
        <v>Lasa Int</v>
      </c>
      <c r="C3272" s="7">
        <v>45797</v>
      </c>
      <c r="D3272" s="7">
        <v>46360</v>
      </c>
      <c r="E3272" s="8">
        <v>3</v>
      </c>
      <c r="F3272" s="6" t="str">
        <f t="shared" si="769"/>
        <v>Xadrez + linho</v>
      </c>
      <c r="G3272" s="6" t="str">
        <f t="shared" si="770"/>
        <v>F300374044000000</v>
      </c>
      <c r="H3272" s="6" t="str">
        <f t="shared" si="771"/>
        <v>PLR 3740 - 440 g/m²</v>
      </c>
      <c r="I3272" s="6" t="str">
        <f>"201652"</f>
        <v>201652</v>
      </c>
      <c r="J3272" s="6" t="str">
        <f>"MOSTARDA 1652"</f>
        <v>MOSTARDA 1652</v>
      </c>
      <c r="K3272" s="6" t="str">
        <f t="shared" si="772"/>
        <v>0820</v>
      </c>
      <c r="L3272" s="6" t="str">
        <f t="shared" si="773"/>
        <v>Cozinha</v>
      </c>
      <c r="M3272" s="6" t="str">
        <f t="shared" si="774"/>
        <v>50x50</v>
      </c>
      <c r="N3272" s="6" t="str">
        <f>"5602972517811"</f>
        <v>5602972517811</v>
      </c>
      <c r="O3272" s="8">
        <v>1200</v>
      </c>
      <c r="P3272" s="7">
        <v>45855</v>
      </c>
      <c r="R3272" s="8">
        <v>1308</v>
      </c>
      <c r="S3272" s="7">
        <v>45860</v>
      </c>
      <c r="U3272" s="8">
        <v>1308</v>
      </c>
      <c r="V3272" s="7">
        <v>45867</v>
      </c>
      <c r="X3272" s="8">
        <v>0</v>
      </c>
      <c r="Z3272" s="8">
        <v>1308</v>
      </c>
      <c r="AA3272" s="7">
        <v>45902</v>
      </c>
      <c r="AC3272" s="8">
        <v>1160</v>
      </c>
      <c r="AE3272" s="7">
        <v>45905</v>
      </c>
      <c r="AF3272" s="8">
        <v>1160</v>
      </c>
      <c r="AH3272" s="7">
        <v>45934</v>
      </c>
      <c r="AN3272" s="8">
        <v>1160</v>
      </c>
      <c r="AO3272" s="8">
        <v>40</v>
      </c>
    </row>
    <row r="3273" spans="1:41" x14ac:dyDescent="0.25">
      <c r="A3273" s="6" t="str">
        <f t="shared" si="768"/>
        <v>525-2025000284</v>
      </c>
      <c r="B3273" s="6" t="str">
        <f t="shared" si="746"/>
        <v>Lasa Int</v>
      </c>
      <c r="C3273" s="7">
        <v>45797</v>
      </c>
      <c r="D3273" s="7">
        <v>46360</v>
      </c>
      <c r="E3273" s="8">
        <v>4</v>
      </c>
      <c r="F3273" s="6" t="str">
        <f t="shared" si="769"/>
        <v>Xadrez + linho</v>
      </c>
      <c r="G3273" s="6" t="str">
        <f t="shared" si="770"/>
        <v>F300374044000000</v>
      </c>
      <c r="H3273" s="6" t="str">
        <f t="shared" si="771"/>
        <v>PLR 3740 - 440 g/m²</v>
      </c>
      <c r="I3273" s="6" t="str">
        <f>"202332"</f>
        <v>202332</v>
      </c>
      <c r="J3273" s="6" t="str">
        <f>"CINZA 2332"</f>
        <v>CINZA 2332</v>
      </c>
      <c r="K3273" s="6" t="str">
        <f t="shared" si="772"/>
        <v>0820</v>
      </c>
      <c r="L3273" s="6" t="str">
        <f t="shared" si="773"/>
        <v>Cozinha</v>
      </c>
      <c r="M3273" s="6" t="str">
        <f t="shared" si="774"/>
        <v>50x50</v>
      </c>
      <c r="N3273" s="6" t="str">
        <f>"5602972517828"</f>
        <v>5602972517828</v>
      </c>
      <c r="O3273" s="8">
        <v>1200</v>
      </c>
      <c r="P3273" s="7">
        <v>45855</v>
      </c>
      <c r="R3273" s="8">
        <v>1264</v>
      </c>
      <c r="S3273" s="7">
        <v>45860</v>
      </c>
      <c r="U3273" s="8">
        <v>1264</v>
      </c>
      <c r="V3273" s="7">
        <v>45867</v>
      </c>
      <c r="X3273" s="8">
        <v>0</v>
      </c>
      <c r="Z3273" s="8">
        <v>1264</v>
      </c>
      <c r="AA3273" s="7">
        <v>45902</v>
      </c>
      <c r="AC3273" s="8">
        <v>1116</v>
      </c>
      <c r="AE3273" s="7">
        <v>45905</v>
      </c>
      <c r="AF3273" s="8">
        <v>1116</v>
      </c>
      <c r="AH3273" s="7">
        <v>45934</v>
      </c>
      <c r="AN3273" s="8">
        <v>1116</v>
      </c>
      <c r="AO3273" s="8">
        <v>84</v>
      </c>
    </row>
    <row r="3274" spans="1:41" x14ac:dyDescent="0.25">
      <c r="A3274" s="6" t="str">
        <f t="shared" si="768"/>
        <v>525-2025000284</v>
      </c>
      <c r="B3274" s="6" t="str">
        <f t="shared" si="746"/>
        <v>Lasa Int</v>
      </c>
      <c r="C3274" s="7">
        <v>45797</v>
      </c>
      <c r="D3274" s="7">
        <v>46360</v>
      </c>
      <c r="E3274" s="8">
        <v>5</v>
      </c>
      <c r="F3274" s="6" t="str">
        <f t="shared" si="769"/>
        <v>Xadrez + linho</v>
      </c>
      <c r="G3274" s="6" t="str">
        <f t="shared" si="770"/>
        <v>F300374044000000</v>
      </c>
      <c r="H3274" s="6" t="str">
        <f t="shared" si="771"/>
        <v>PLR 3740 - 440 g/m²</v>
      </c>
      <c r="I3274" s="6" t="str">
        <f>"203922"</f>
        <v>203922</v>
      </c>
      <c r="J3274" s="6" t="str">
        <f>"AZUL 3922"</f>
        <v>AZUL 3922</v>
      </c>
      <c r="K3274" s="6" t="str">
        <f t="shared" si="772"/>
        <v>0820</v>
      </c>
      <c r="L3274" s="6" t="str">
        <f t="shared" si="773"/>
        <v>Cozinha</v>
      </c>
      <c r="M3274" s="6" t="str">
        <f t="shared" si="774"/>
        <v>50x50</v>
      </c>
      <c r="N3274" s="6" t="str">
        <f>"5602972517835"</f>
        <v>5602972517835</v>
      </c>
      <c r="O3274" s="8">
        <v>1200</v>
      </c>
      <c r="P3274" s="7">
        <v>45855</v>
      </c>
      <c r="R3274" s="8">
        <v>1320</v>
      </c>
      <c r="S3274" s="7">
        <v>45860</v>
      </c>
      <c r="U3274" s="8">
        <v>1320</v>
      </c>
      <c r="V3274" s="7">
        <v>45867</v>
      </c>
      <c r="X3274" s="8">
        <v>0</v>
      </c>
      <c r="Z3274" s="8">
        <v>1320</v>
      </c>
      <c r="AA3274" s="7">
        <v>45902</v>
      </c>
      <c r="AC3274" s="8">
        <v>1200</v>
      </c>
      <c r="AE3274" s="7">
        <v>45905</v>
      </c>
      <c r="AF3274" s="8">
        <v>1200</v>
      </c>
      <c r="AH3274" s="7">
        <v>45934</v>
      </c>
      <c r="AN3274" s="8">
        <v>1200</v>
      </c>
      <c r="AO3274" s="8">
        <v>0</v>
      </c>
    </row>
    <row r="3275" spans="1:41" x14ac:dyDescent="0.25">
      <c r="A3275" s="6" t="str">
        <f t="shared" si="768"/>
        <v>525-2025000284</v>
      </c>
      <c r="B3275" s="6" t="str">
        <f t="shared" si="746"/>
        <v>Lasa Int</v>
      </c>
      <c r="C3275" s="7">
        <v>45797</v>
      </c>
      <c r="D3275" s="7">
        <v>46360</v>
      </c>
      <c r="E3275" s="8">
        <v>6</v>
      </c>
      <c r="F3275" s="6" t="str">
        <f t="shared" si="769"/>
        <v>Xadrez + linho</v>
      </c>
      <c r="G3275" s="6" t="str">
        <f t="shared" si="770"/>
        <v>F300374044000000</v>
      </c>
      <c r="H3275" s="6" t="str">
        <f t="shared" si="771"/>
        <v>PLR 3740 - 440 g/m²</v>
      </c>
      <c r="I3275" s="6" t="str">
        <f>"204042"</f>
        <v>204042</v>
      </c>
      <c r="J3275" s="6" t="str">
        <f>"TIJOLO 4042"</f>
        <v>TIJOLO 4042</v>
      </c>
      <c r="K3275" s="6" t="str">
        <f t="shared" si="772"/>
        <v>0820</v>
      </c>
      <c r="L3275" s="6" t="str">
        <f t="shared" si="773"/>
        <v>Cozinha</v>
      </c>
      <c r="M3275" s="6" t="str">
        <f t="shared" si="774"/>
        <v>50x50</v>
      </c>
      <c r="N3275" s="6" t="str">
        <f>"5602972517842"</f>
        <v>5602972517842</v>
      </c>
      <c r="O3275" s="8">
        <v>1200</v>
      </c>
      <c r="P3275" s="7">
        <v>45855</v>
      </c>
      <c r="R3275" s="8">
        <v>1304</v>
      </c>
      <c r="S3275" s="7">
        <v>45860</v>
      </c>
      <c r="U3275" s="8">
        <v>1304</v>
      </c>
      <c r="V3275" s="7">
        <v>45867</v>
      </c>
      <c r="X3275" s="8">
        <v>0</v>
      </c>
      <c r="Z3275" s="8">
        <v>1304</v>
      </c>
      <c r="AA3275" s="7">
        <v>45902</v>
      </c>
      <c r="AC3275" s="8">
        <v>1212</v>
      </c>
      <c r="AE3275" s="7">
        <v>45905</v>
      </c>
      <c r="AF3275" s="8">
        <v>1212</v>
      </c>
      <c r="AH3275" s="7">
        <v>45934</v>
      </c>
      <c r="AN3275" s="8">
        <v>1212</v>
      </c>
      <c r="AO3275" s="8">
        <v>-12</v>
      </c>
    </row>
    <row r="3276" spans="1:41" x14ac:dyDescent="0.25">
      <c r="A3276" s="6" t="str">
        <f t="shared" si="768"/>
        <v>525-2025000284</v>
      </c>
      <c r="B3276" s="6" t="str">
        <f t="shared" si="746"/>
        <v>Lasa Int</v>
      </c>
      <c r="C3276" s="7">
        <v>45797</v>
      </c>
      <c r="D3276" s="7">
        <v>46360</v>
      </c>
      <c r="E3276" s="8">
        <v>7</v>
      </c>
      <c r="F3276" s="6" t="str">
        <f t="shared" si="769"/>
        <v>Xadrez + linho</v>
      </c>
      <c r="G3276" s="6" t="str">
        <f t="shared" si="770"/>
        <v>F300374044000000</v>
      </c>
      <c r="H3276" s="6" t="str">
        <f t="shared" si="771"/>
        <v>PLR 3740 - 440 g/m²</v>
      </c>
      <c r="I3276" s="6" t="str">
        <f>"204243"</f>
        <v>204243</v>
      </c>
      <c r="J3276" s="6" t="str">
        <f>"BEGE 4243"</f>
        <v>BEGE 4243</v>
      </c>
      <c r="K3276" s="6" t="str">
        <f t="shared" si="772"/>
        <v>0820</v>
      </c>
      <c r="L3276" s="6" t="str">
        <f t="shared" si="773"/>
        <v>Cozinha</v>
      </c>
      <c r="M3276" s="6" t="str">
        <f t="shared" si="774"/>
        <v>50x50</v>
      </c>
      <c r="N3276" s="6" t="str">
        <f>"5602972517859"</f>
        <v>5602972517859</v>
      </c>
      <c r="O3276" s="8">
        <v>1200</v>
      </c>
      <c r="P3276" s="7">
        <v>45855</v>
      </c>
      <c r="R3276" s="8">
        <v>1316</v>
      </c>
      <c r="S3276" s="7">
        <v>45860</v>
      </c>
      <c r="U3276" s="8">
        <v>1316</v>
      </c>
      <c r="V3276" s="7">
        <v>45867</v>
      </c>
      <c r="X3276" s="8">
        <v>0</v>
      </c>
      <c r="Z3276" s="8">
        <v>1316</v>
      </c>
      <c r="AA3276" s="7">
        <v>45902</v>
      </c>
      <c r="AC3276" s="8">
        <v>1176</v>
      </c>
      <c r="AE3276" s="7">
        <v>45905</v>
      </c>
      <c r="AF3276" s="8">
        <v>1176</v>
      </c>
      <c r="AH3276" s="7">
        <v>45934</v>
      </c>
      <c r="AN3276" s="8">
        <v>1176</v>
      </c>
      <c r="AO3276" s="8">
        <v>24</v>
      </c>
    </row>
    <row r="3277" spans="1:41" x14ac:dyDescent="0.25">
      <c r="A3277" s="6" t="str">
        <f t="shared" si="768"/>
        <v>525-2025000284</v>
      </c>
      <c r="B3277" s="6" t="str">
        <f t="shared" ref="B3277:B3340" si="775">"Lasa Int"</f>
        <v>Lasa Int</v>
      </c>
      <c r="C3277" s="7">
        <v>45797</v>
      </c>
      <c r="D3277" s="7">
        <v>46360</v>
      </c>
      <c r="E3277" s="8">
        <v>8</v>
      </c>
      <c r="F3277" s="6" t="str">
        <f t="shared" si="769"/>
        <v>Xadrez + linho</v>
      </c>
      <c r="G3277" s="6" t="str">
        <f t="shared" ref="G3277:G3283" si="776">"C001242724500000"</f>
        <v>C001242724500000</v>
      </c>
      <c r="H3277" s="6" t="str">
        <f t="shared" ref="H3277:H3283" si="777">"CZJ 2427 - 245 g/m²"</f>
        <v>CZJ 2427 - 245 g/m²</v>
      </c>
      <c r="I3277" s="6" t="str">
        <f>"200952"</f>
        <v>200952</v>
      </c>
      <c r="J3277" s="6" t="str">
        <f>"VERDE 952"</f>
        <v>VERDE 952</v>
      </c>
      <c r="K3277" s="6" t="str">
        <f t="shared" ref="K3277:K3290" si="778">"0830"</f>
        <v>0830</v>
      </c>
      <c r="L3277" s="6" t="str">
        <f t="shared" si="773"/>
        <v>Cozinha</v>
      </c>
      <c r="M3277" s="6" t="str">
        <f t="shared" ref="M3277:M3290" si="779">"50x70"</f>
        <v>50x70</v>
      </c>
      <c r="N3277" s="6" t="str">
        <f>"5602972517866"</f>
        <v>5602972517866</v>
      </c>
      <c r="O3277" s="8">
        <v>1000</v>
      </c>
      <c r="P3277" s="7">
        <v>45855</v>
      </c>
      <c r="R3277" s="8">
        <v>1012</v>
      </c>
      <c r="S3277" s="7">
        <v>45860</v>
      </c>
      <c r="U3277" s="8">
        <v>1012</v>
      </c>
      <c r="V3277" s="7">
        <v>45867</v>
      </c>
      <c r="X3277" s="8">
        <v>0</v>
      </c>
      <c r="Z3277" s="8">
        <v>1012</v>
      </c>
      <c r="AA3277" s="7">
        <v>45902</v>
      </c>
      <c r="AC3277" s="8">
        <v>892</v>
      </c>
      <c r="AE3277" s="7">
        <v>45905</v>
      </c>
      <c r="AF3277" s="8">
        <v>892</v>
      </c>
      <c r="AH3277" s="7">
        <v>45934</v>
      </c>
      <c r="AN3277" s="8">
        <v>892</v>
      </c>
      <c r="AO3277" s="8">
        <v>108</v>
      </c>
    </row>
    <row r="3278" spans="1:41" x14ac:dyDescent="0.25">
      <c r="A3278" s="6" t="str">
        <f t="shared" si="768"/>
        <v>525-2025000284</v>
      </c>
      <c r="B3278" s="6" t="str">
        <f t="shared" si="775"/>
        <v>Lasa Int</v>
      </c>
      <c r="C3278" s="7">
        <v>45797</v>
      </c>
      <c r="D3278" s="7">
        <v>46360</v>
      </c>
      <c r="E3278" s="8">
        <v>9</v>
      </c>
      <c r="F3278" s="6" t="str">
        <f t="shared" si="769"/>
        <v>Xadrez + linho</v>
      </c>
      <c r="G3278" s="6" t="str">
        <f t="shared" si="776"/>
        <v>C001242724500000</v>
      </c>
      <c r="H3278" s="6" t="str">
        <f t="shared" si="777"/>
        <v>CZJ 2427 - 245 g/m²</v>
      </c>
      <c r="I3278" s="6" t="str">
        <f>"201515"</f>
        <v>201515</v>
      </c>
      <c r="J3278" s="6" t="str">
        <f>"VERDE 1515"</f>
        <v>VERDE 1515</v>
      </c>
      <c r="K3278" s="6" t="str">
        <f t="shared" si="778"/>
        <v>0830</v>
      </c>
      <c r="L3278" s="6" t="str">
        <f t="shared" si="773"/>
        <v>Cozinha</v>
      </c>
      <c r="M3278" s="6" t="str">
        <f t="shared" si="779"/>
        <v>50x70</v>
      </c>
      <c r="N3278" s="6" t="str">
        <f>"5602972517873"</f>
        <v>5602972517873</v>
      </c>
      <c r="O3278" s="8">
        <v>1000</v>
      </c>
      <c r="P3278" s="7">
        <v>45855</v>
      </c>
      <c r="R3278" s="8">
        <v>1056</v>
      </c>
      <c r="S3278" s="7">
        <v>45860</v>
      </c>
      <c r="U3278" s="8">
        <v>1056</v>
      </c>
      <c r="V3278" s="7">
        <v>45867</v>
      </c>
      <c r="X3278" s="8">
        <v>0</v>
      </c>
      <c r="Z3278" s="8">
        <v>1056</v>
      </c>
      <c r="AA3278" s="7">
        <v>45902</v>
      </c>
      <c r="AC3278" s="8">
        <v>972</v>
      </c>
      <c r="AE3278" s="7">
        <v>45905</v>
      </c>
      <c r="AF3278" s="8">
        <v>972</v>
      </c>
      <c r="AH3278" s="7">
        <v>45934</v>
      </c>
      <c r="AN3278" s="8">
        <v>972</v>
      </c>
      <c r="AO3278" s="8">
        <v>28</v>
      </c>
    </row>
    <row r="3279" spans="1:41" x14ac:dyDescent="0.25">
      <c r="A3279" s="6" t="str">
        <f t="shared" si="768"/>
        <v>525-2025000284</v>
      </c>
      <c r="B3279" s="6" t="str">
        <f t="shared" si="775"/>
        <v>Lasa Int</v>
      </c>
      <c r="C3279" s="7">
        <v>45797</v>
      </c>
      <c r="D3279" s="7">
        <v>46360</v>
      </c>
      <c r="E3279" s="8">
        <v>10</v>
      </c>
      <c r="F3279" s="6" t="str">
        <f t="shared" si="769"/>
        <v>Xadrez + linho</v>
      </c>
      <c r="G3279" s="6" t="str">
        <f t="shared" si="776"/>
        <v>C001242724500000</v>
      </c>
      <c r="H3279" s="6" t="str">
        <f t="shared" si="777"/>
        <v>CZJ 2427 - 245 g/m²</v>
      </c>
      <c r="I3279" s="6" t="str">
        <f>"201652"</f>
        <v>201652</v>
      </c>
      <c r="J3279" s="6" t="str">
        <f>"MOSTARDA 1652"</f>
        <v>MOSTARDA 1652</v>
      </c>
      <c r="K3279" s="6" t="str">
        <f t="shared" si="778"/>
        <v>0830</v>
      </c>
      <c r="L3279" s="6" t="str">
        <f t="shared" si="773"/>
        <v>Cozinha</v>
      </c>
      <c r="M3279" s="6" t="str">
        <f t="shared" si="779"/>
        <v>50x70</v>
      </c>
      <c r="N3279" s="6" t="str">
        <f>"5602972517880"</f>
        <v>5602972517880</v>
      </c>
      <c r="O3279" s="8">
        <v>1000</v>
      </c>
      <c r="P3279" s="7">
        <v>45855</v>
      </c>
      <c r="R3279" s="8">
        <v>1032</v>
      </c>
      <c r="S3279" s="7">
        <v>45860</v>
      </c>
      <c r="U3279" s="8">
        <v>1032</v>
      </c>
      <c r="V3279" s="7">
        <v>45867</v>
      </c>
      <c r="X3279" s="8">
        <v>0</v>
      </c>
      <c r="Z3279" s="8">
        <v>1032</v>
      </c>
      <c r="AA3279" s="7">
        <v>45902</v>
      </c>
      <c r="AC3279" s="8">
        <v>800</v>
      </c>
      <c r="AE3279" s="7">
        <v>45905</v>
      </c>
      <c r="AF3279" s="8">
        <v>800</v>
      </c>
      <c r="AH3279" s="7">
        <v>45934</v>
      </c>
      <c r="AN3279" s="8">
        <v>800</v>
      </c>
      <c r="AO3279" s="8">
        <v>200</v>
      </c>
    </row>
    <row r="3280" spans="1:41" x14ac:dyDescent="0.25">
      <c r="A3280" s="6" t="str">
        <f t="shared" si="768"/>
        <v>525-2025000284</v>
      </c>
      <c r="B3280" s="6" t="str">
        <f t="shared" si="775"/>
        <v>Lasa Int</v>
      </c>
      <c r="C3280" s="7">
        <v>45797</v>
      </c>
      <c r="D3280" s="7">
        <v>46360</v>
      </c>
      <c r="E3280" s="8">
        <v>11</v>
      </c>
      <c r="F3280" s="6" t="str">
        <f t="shared" si="769"/>
        <v>Xadrez + linho</v>
      </c>
      <c r="G3280" s="6" t="str">
        <f t="shared" si="776"/>
        <v>C001242724500000</v>
      </c>
      <c r="H3280" s="6" t="str">
        <f t="shared" si="777"/>
        <v>CZJ 2427 - 245 g/m²</v>
      </c>
      <c r="I3280" s="6" t="str">
        <f>"202332"</f>
        <v>202332</v>
      </c>
      <c r="J3280" s="6" t="str">
        <f>"CINZA 2332"</f>
        <v>CINZA 2332</v>
      </c>
      <c r="K3280" s="6" t="str">
        <f t="shared" si="778"/>
        <v>0830</v>
      </c>
      <c r="L3280" s="6" t="str">
        <f t="shared" si="773"/>
        <v>Cozinha</v>
      </c>
      <c r="M3280" s="6" t="str">
        <f t="shared" si="779"/>
        <v>50x70</v>
      </c>
      <c r="N3280" s="6" t="str">
        <f>"5602972517897"</f>
        <v>5602972517897</v>
      </c>
      <c r="O3280" s="8">
        <v>1000</v>
      </c>
      <c r="P3280" s="7">
        <v>45855</v>
      </c>
      <c r="R3280" s="8">
        <v>1056</v>
      </c>
      <c r="S3280" s="7">
        <v>45860</v>
      </c>
      <c r="U3280" s="8">
        <v>1056</v>
      </c>
      <c r="V3280" s="7">
        <v>45867</v>
      </c>
      <c r="X3280" s="8">
        <v>0</v>
      </c>
      <c r="Z3280" s="8">
        <v>1056</v>
      </c>
      <c r="AA3280" s="7">
        <v>45902</v>
      </c>
      <c r="AC3280" s="8">
        <v>980</v>
      </c>
      <c r="AE3280" s="7">
        <v>45905</v>
      </c>
      <c r="AF3280" s="8">
        <v>980</v>
      </c>
      <c r="AH3280" s="7">
        <v>45934</v>
      </c>
      <c r="AN3280" s="8">
        <v>980</v>
      </c>
      <c r="AO3280" s="8">
        <v>20</v>
      </c>
    </row>
    <row r="3281" spans="1:41" x14ac:dyDescent="0.25">
      <c r="A3281" s="6" t="str">
        <f t="shared" si="768"/>
        <v>525-2025000284</v>
      </c>
      <c r="B3281" s="6" t="str">
        <f t="shared" si="775"/>
        <v>Lasa Int</v>
      </c>
      <c r="C3281" s="7">
        <v>45797</v>
      </c>
      <c r="D3281" s="7">
        <v>46360</v>
      </c>
      <c r="E3281" s="8">
        <v>12</v>
      </c>
      <c r="F3281" s="6" t="str">
        <f t="shared" si="769"/>
        <v>Xadrez + linho</v>
      </c>
      <c r="G3281" s="6" t="str">
        <f t="shared" si="776"/>
        <v>C001242724500000</v>
      </c>
      <c r="H3281" s="6" t="str">
        <f t="shared" si="777"/>
        <v>CZJ 2427 - 245 g/m²</v>
      </c>
      <c r="I3281" s="6" t="str">
        <f>"203922"</f>
        <v>203922</v>
      </c>
      <c r="J3281" s="6" t="str">
        <f>"AZUL 3922"</f>
        <v>AZUL 3922</v>
      </c>
      <c r="K3281" s="6" t="str">
        <f t="shared" si="778"/>
        <v>0830</v>
      </c>
      <c r="L3281" s="6" t="str">
        <f t="shared" si="773"/>
        <v>Cozinha</v>
      </c>
      <c r="M3281" s="6" t="str">
        <f t="shared" si="779"/>
        <v>50x70</v>
      </c>
      <c r="N3281" s="6" t="str">
        <f>"5602972517903"</f>
        <v>5602972517903</v>
      </c>
      <c r="O3281" s="8">
        <v>1000</v>
      </c>
      <c r="P3281" s="7">
        <v>45855</v>
      </c>
      <c r="R3281" s="8">
        <v>1036</v>
      </c>
      <c r="S3281" s="7">
        <v>45860</v>
      </c>
      <c r="U3281" s="8">
        <v>1036</v>
      </c>
      <c r="V3281" s="7">
        <v>45867</v>
      </c>
      <c r="X3281" s="8">
        <v>0</v>
      </c>
      <c r="Z3281" s="8">
        <v>1036</v>
      </c>
      <c r="AA3281" s="7">
        <v>45902</v>
      </c>
      <c r="AC3281" s="8">
        <v>860</v>
      </c>
      <c r="AE3281" s="7">
        <v>45905</v>
      </c>
      <c r="AF3281" s="8">
        <v>860</v>
      </c>
      <c r="AH3281" s="7">
        <v>45934</v>
      </c>
      <c r="AN3281" s="8">
        <v>860</v>
      </c>
      <c r="AO3281" s="8">
        <v>140</v>
      </c>
    </row>
    <row r="3282" spans="1:41" x14ac:dyDescent="0.25">
      <c r="A3282" s="6" t="str">
        <f t="shared" si="768"/>
        <v>525-2025000284</v>
      </c>
      <c r="B3282" s="6" t="str">
        <f t="shared" si="775"/>
        <v>Lasa Int</v>
      </c>
      <c r="C3282" s="7">
        <v>45797</v>
      </c>
      <c r="D3282" s="7">
        <v>46360</v>
      </c>
      <c r="E3282" s="8">
        <v>13</v>
      </c>
      <c r="F3282" s="6" t="str">
        <f t="shared" si="769"/>
        <v>Xadrez + linho</v>
      </c>
      <c r="G3282" s="6" t="str">
        <f t="shared" si="776"/>
        <v>C001242724500000</v>
      </c>
      <c r="H3282" s="6" t="str">
        <f t="shared" si="777"/>
        <v>CZJ 2427 - 245 g/m²</v>
      </c>
      <c r="I3282" s="6" t="str">
        <f>"204042"</f>
        <v>204042</v>
      </c>
      <c r="J3282" s="6" t="str">
        <f>"TIJOLO 4042"</f>
        <v>TIJOLO 4042</v>
      </c>
      <c r="K3282" s="6" t="str">
        <f t="shared" si="778"/>
        <v>0830</v>
      </c>
      <c r="L3282" s="6" t="str">
        <f t="shared" si="773"/>
        <v>Cozinha</v>
      </c>
      <c r="M3282" s="6" t="str">
        <f t="shared" si="779"/>
        <v>50x70</v>
      </c>
      <c r="N3282" s="6" t="str">
        <f>"5602972517910"</f>
        <v>5602972517910</v>
      </c>
      <c r="O3282" s="8">
        <v>1000</v>
      </c>
      <c r="P3282" s="7">
        <v>45855</v>
      </c>
      <c r="R3282" s="8">
        <v>1020</v>
      </c>
      <c r="S3282" s="7">
        <v>45860</v>
      </c>
      <c r="U3282" s="8">
        <v>1020</v>
      </c>
      <c r="V3282" s="7">
        <v>45867</v>
      </c>
      <c r="X3282" s="8">
        <v>0</v>
      </c>
      <c r="Z3282" s="8">
        <v>1020</v>
      </c>
      <c r="AA3282" s="7">
        <v>45902</v>
      </c>
      <c r="AC3282" s="8">
        <v>904</v>
      </c>
      <c r="AE3282" s="7">
        <v>45905</v>
      </c>
      <c r="AF3282" s="8">
        <v>904</v>
      </c>
      <c r="AH3282" s="7">
        <v>45934</v>
      </c>
      <c r="AN3282" s="8">
        <v>904</v>
      </c>
      <c r="AO3282" s="8">
        <v>96</v>
      </c>
    </row>
    <row r="3283" spans="1:41" x14ac:dyDescent="0.25">
      <c r="A3283" s="6" t="str">
        <f t="shared" si="768"/>
        <v>525-2025000284</v>
      </c>
      <c r="B3283" s="6" t="str">
        <f t="shared" si="775"/>
        <v>Lasa Int</v>
      </c>
      <c r="C3283" s="7">
        <v>45797</v>
      </c>
      <c r="D3283" s="7">
        <v>46360</v>
      </c>
      <c r="E3283" s="8">
        <v>14</v>
      </c>
      <c r="F3283" s="6" t="str">
        <f t="shared" si="769"/>
        <v>Xadrez + linho</v>
      </c>
      <c r="G3283" s="6" t="str">
        <f t="shared" si="776"/>
        <v>C001242724500000</v>
      </c>
      <c r="H3283" s="6" t="str">
        <f t="shared" si="777"/>
        <v>CZJ 2427 - 245 g/m²</v>
      </c>
      <c r="I3283" s="6" t="str">
        <f>"204243"</f>
        <v>204243</v>
      </c>
      <c r="J3283" s="6" t="str">
        <f>"BEGE 4243"</f>
        <v>BEGE 4243</v>
      </c>
      <c r="K3283" s="6" t="str">
        <f t="shared" si="778"/>
        <v>0830</v>
      </c>
      <c r="L3283" s="6" t="str">
        <f t="shared" si="773"/>
        <v>Cozinha</v>
      </c>
      <c r="M3283" s="6" t="str">
        <f t="shared" si="779"/>
        <v>50x70</v>
      </c>
      <c r="N3283" s="6" t="str">
        <f>"5602972517927"</f>
        <v>5602972517927</v>
      </c>
      <c r="O3283" s="8">
        <v>1000</v>
      </c>
      <c r="P3283" s="7">
        <v>45855</v>
      </c>
      <c r="R3283" s="8">
        <v>1012</v>
      </c>
      <c r="S3283" s="7">
        <v>45860</v>
      </c>
      <c r="U3283" s="8">
        <v>1012</v>
      </c>
      <c r="V3283" s="7">
        <v>45867</v>
      </c>
      <c r="X3283" s="8">
        <v>0</v>
      </c>
      <c r="Z3283" s="8">
        <v>1012</v>
      </c>
      <c r="AA3283" s="7">
        <v>45902</v>
      </c>
      <c r="AC3283" s="8">
        <v>898</v>
      </c>
      <c r="AE3283" s="7">
        <v>45905</v>
      </c>
      <c r="AF3283" s="8">
        <v>898</v>
      </c>
      <c r="AH3283" s="7">
        <v>45934</v>
      </c>
      <c r="AN3283" s="8">
        <v>898</v>
      </c>
      <c r="AO3283" s="8">
        <v>102</v>
      </c>
    </row>
    <row r="3284" spans="1:41" x14ac:dyDescent="0.25">
      <c r="A3284" s="6" t="str">
        <f t="shared" si="768"/>
        <v>525-2025000284</v>
      </c>
      <c r="B3284" s="6" t="str">
        <f t="shared" si="775"/>
        <v>Lasa Int</v>
      </c>
      <c r="C3284" s="7">
        <v>45797</v>
      </c>
      <c r="D3284" s="7">
        <v>46360</v>
      </c>
      <c r="E3284" s="8">
        <v>15</v>
      </c>
      <c r="F3284" s="6" t="str">
        <f t="shared" si="769"/>
        <v>Xadrez + linho</v>
      </c>
      <c r="G3284" s="6" t="str">
        <f t="shared" ref="G3284:G3290" si="780">"C001242824500000"</f>
        <v>C001242824500000</v>
      </c>
      <c r="H3284" s="6" t="str">
        <f t="shared" ref="H3284:H3290" si="781">"CZJ 2428 LN - 245 g/"</f>
        <v>CZJ 2428 LN - 245 g/</v>
      </c>
      <c r="I3284" s="6" t="str">
        <f>"200952"</f>
        <v>200952</v>
      </c>
      <c r="J3284" s="6" t="str">
        <f>"VERDE 952"</f>
        <v>VERDE 952</v>
      </c>
      <c r="K3284" s="6" t="str">
        <f t="shared" si="778"/>
        <v>0830</v>
      </c>
      <c r="L3284" s="6" t="str">
        <f t="shared" si="773"/>
        <v>Cozinha</v>
      </c>
      <c r="M3284" s="6" t="str">
        <f t="shared" si="779"/>
        <v>50x70</v>
      </c>
      <c r="N3284" s="6" t="str">
        <f>"5602972517934"</f>
        <v>5602972517934</v>
      </c>
      <c r="O3284" s="8">
        <v>1200</v>
      </c>
      <c r="P3284" s="7">
        <v>45855</v>
      </c>
      <c r="R3284" s="8">
        <v>1180</v>
      </c>
      <c r="S3284" s="7">
        <v>45860</v>
      </c>
      <c r="U3284" s="8">
        <v>1180</v>
      </c>
      <c r="V3284" s="7">
        <v>45867</v>
      </c>
      <c r="X3284" s="8">
        <v>0</v>
      </c>
      <c r="Z3284" s="8">
        <v>1180</v>
      </c>
      <c r="AA3284" s="7">
        <v>45902</v>
      </c>
      <c r="AC3284" s="8">
        <v>1020</v>
      </c>
      <c r="AE3284" s="7">
        <v>45905</v>
      </c>
      <c r="AF3284" s="8">
        <v>1020</v>
      </c>
      <c r="AH3284" s="7">
        <v>45934</v>
      </c>
      <c r="AN3284" s="8">
        <v>1020</v>
      </c>
      <c r="AO3284" s="8">
        <v>180</v>
      </c>
    </row>
    <row r="3285" spans="1:41" x14ac:dyDescent="0.25">
      <c r="A3285" s="6" t="str">
        <f t="shared" si="768"/>
        <v>525-2025000284</v>
      </c>
      <c r="B3285" s="6" t="str">
        <f t="shared" si="775"/>
        <v>Lasa Int</v>
      </c>
      <c r="C3285" s="7">
        <v>45797</v>
      </c>
      <c r="D3285" s="7">
        <v>46360</v>
      </c>
      <c r="E3285" s="8">
        <v>16</v>
      </c>
      <c r="F3285" s="6" t="str">
        <f t="shared" si="769"/>
        <v>Xadrez + linho</v>
      </c>
      <c r="G3285" s="6" t="str">
        <f t="shared" si="780"/>
        <v>C001242824500000</v>
      </c>
      <c r="H3285" s="6" t="str">
        <f t="shared" si="781"/>
        <v>CZJ 2428 LN - 245 g/</v>
      </c>
      <c r="I3285" s="6" t="str">
        <f>"201515"</f>
        <v>201515</v>
      </c>
      <c r="J3285" s="6" t="str">
        <f>"VERDE 1515"</f>
        <v>VERDE 1515</v>
      </c>
      <c r="K3285" s="6" t="str">
        <f t="shared" si="778"/>
        <v>0830</v>
      </c>
      <c r="L3285" s="6" t="str">
        <f t="shared" si="773"/>
        <v>Cozinha</v>
      </c>
      <c r="M3285" s="6" t="str">
        <f t="shared" si="779"/>
        <v>50x70</v>
      </c>
      <c r="N3285" s="6" t="str">
        <f>"5602972517941"</f>
        <v>5602972517941</v>
      </c>
      <c r="O3285" s="8">
        <v>1200</v>
      </c>
      <c r="P3285" s="7">
        <v>45855</v>
      </c>
      <c r="R3285" s="8">
        <v>1244</v>
      </c>
      <c r="S3285" s="7">
        <v>45860</v>
      </c>
      <c r="U3285" s="8">
        <v>1244</v>
      </c>
      <c r="V3285" s="7">
        <v>45867</v>
      </c>
      <c r="X3285" s="8">
        <v>0</v>
      </c>
      <c r="Z3285" s="8">
        <v>0</v>
      </c>
      <c r="AA3285" s="7">
        <v>45902</v>
      </c>
      <c r="AC3285" s="8">
        <v>1036</v>
      </c>
      <c r="AE3285" s="7">
        <v>45905</v>
      </c>
      <c r="AF3285" s="8">
        <v>1036</v>
      </c>
      <c r="AH3285" s="7">
        <v>45934</v>
      </c>
      <c r="AN3285" s="8">
        <v>1036</v>
      </c>
      <c r="AO3285" s="8">
        <v>164</v>
      </c>
    </row>
    <row r="3286" spans="1:41" x14ac:dyDescent="0.25">
      <c r="A3286" s="6" t="str">
        <f t="shared" si="768"/>
        <v>525-2025000284</v>
      </c>
      <c r="B3286" s="6" t="str">
        <f t="shared" si="775"/>
        <v>Lasa Int</v>
      </c>
      <c r="C3286" s="7">
        <v>45797</v>
      </c>
      <c r="D3286" s="7">
        <v>46360</v>
      </c>
      <c r="E3286" s="8">
        <v>17</v>
      </c>
      <c r="F3286" s="6" t="str">
        <f t="shared" si="769"/>
        <v>Xadrez + linho</v>
      </c>
      <c r="G3286" s="6" t="str">
        <f t="shared" si="780"/>
        <v>C001242824500000</v>
      </c>
      <c r="H3286" s="6" t="str">
        <f t="shared" si="781"/>
        <v>CZJ 2428 LN - 245 g/</v>
      </c>
      <c r="I3286" s="6" t="str">
        <f>"201652"</f>
        <v>201652</v>
      </c>
      <c r="J3286" s="6" t="str">
        <f>"MOSTARDA 1652"</f>
        <v>MOSTARDA 1652</v>
      </c>
      <c r="K3286" s="6" t="str">
        <f t="shared" si="778"/>
        <v>0830</v>
      </c>
      <c r="L3286" s="6" t="str">
        <f t="shared" si="773"/>
        <v>Cozinha</v>
      </c>
      <c r="M3286" s="6" t="str">
        <f t="shared" si="779"/>
        <v>50x70</v>
      </c>
      <c r="N3286" s="6" t="str">
        <f>"5602972517958"</f>
        <v>5602972517958</v>
      </c>
      <c r="O3286" s="8">
        <v>1200</v>
      </c>
      <c r="P3286" s="7">
        <v>45855</v>
      </c>
      <c r="R3286" s="8">
        <v>1108</v>
      </c>
      <c r="S3286" s="7">
        <v>45860</v>
      </c>
      <c r="U3286" s="8">
        <v>1108</v>
      </c>
      <c r="V3286" s="7">
        <v>45867</v>
      </c>
      <c r="X3286" s="8">
        <v>0</v>
      </c>
      <c r="Z3286" s="8">
        <v>0</v>
      </c>
      <c r="AA3286" s="7">
        <v>45902</v>
      </c>
      <c r="AC3286" s="8">
        <v>1076</v>
      </c>
      <c r="AE3286" s="7">
        <v>45905</v>
      </c>
      <c r="AF3286" s="8">
        <v>1076</v>
      </c>
      <c r="AH3286" s="7">
        <v>45934</v>
      </c>
      <c r="AN3286" s="8">
        <v>1076</v>
      </c>
      <c r="AO3286" s="8">
        <v>124</v>
      </c>
    </row>
    <row r="3287" spans="1:41" x14ac:dyDescent="0.25">
      <c r="A3287" s="6" t="str">
        <f t="shared" si="768"/>
        <v>525-2025000284</v>
      </c>
      <c r="B3287" s="6" t="str">
        <f t="shared" si="775"/>
        <v>Lasa Int</v>
      </c>
      <c r="C3287" s="7">
        <v>45797</v>
      </c>
      <c r="D3287" s="7">
        <v>46360</v>
      </c>
      <c r="E3287" s="8">
        <v>18</v>
      </c>
      <c r="F3287" s="6" t="str">
        <f t="shared" si="769"/>
        <v>Xadrez + linho</v>
      </c>
      <c r="G3287" s="6" t="str">
        <f t="shared" si="780"/>
        <v>C001242824500000</v>
      </c>
      <c r="H3287" s="6" t="str">
        <f t="shared" si="781"/>
        <v>CZJ 2428 LN - 245 g/</v>
      </c>
      <c r="I3287" s="6" t="str">
        <f>"202332"</f>
        <v>202332</v>
      </c>
      <c r="J3287" s="6" t="str">
        <f>"CINZA 2332"</f>
        <v>CINZA 2332</v>
      </c>
      <c r="K3287" s="6" t="str">
        <f t="shared" si="778"/>
        <v>0830</v>
      </c>
      <c r="L3287" s="6" t="str">
        <f t="shared" si="773"/>
        <v>Cozinha</v>
      </c>
      <c r="M3287" s="6" t="str">
        <f t="shared" si="779"/>
        <v>50x70</v>
      </c>
      <c r="N3287" s="6" t="str">
        <f>"5602972517965"</f>
        <v>5602972517965</v>
      </c>
      <c r="O3287" s="8">
        <v>1200</v>
      </c>
      <c r="P3287" s="7">
        <v>45855</v>
      </c>
      <c r="R3287" s="8">
        <v>1180</v>
      </c>
      <c r="S3287" s="7">
        <v>45860</v>
      </c>
      <c r="U3287" s="8">
        <v>1180</v>
      </c>
      <c r="V3287" s="7">
        <v>45867</v>
      </c>
      <c r="X3287" s="8">
        <v>0</v>
      </c>
      <c r="Z3287" s="8">
        <v>0</v>
      </c>
      <c r="AA3287" s="7">
        <v>45902</v>
      </c>
      <c r="AC3287" s="8">
        <v>956</v>
      </c>
      <c r="AE3287" s="7">
        <v>45905</v>
      </c>
      <c r="AF3287" s="8">
        <v>956</v>
      </c>
      <c r="AH3287" s="7">
        <v>45934</v>
      </c>
      <c r="AN3287" s="8">
        <v>956</v>
      </c>
      <c r="AO3287" s="8">
        <v>244</v>
      </c>
    </row>
    <row r="3288" spans="1:41" x14ac:dyDescent="0.25">
      <c r="A3288" s="6" t="str">
        <f t="shared" si="768"/>
        <v>525-2025000284</v>
      </c>
      <c r="B3288" s="6" t="str">
        <f t="shared" si="775"/>
        <v>Lasa Int</v>
      </c>
      <c r="C3288" s="7">
        <v>45797</v>
      </c>
      <c r="D3288" s="7">
        <v>46360</v>
      </c>
      <c r="E3288" s="8">
        <v>19</v>
      </c>
      <c r="F3288" s="6" t="str">
        <f t="shared" si="769"/>
        <v>Xadrez + linho</v>
      </c>
      <c r="G3288" s="6" t="str">
        <f t="shared" si="780"/>
        <v>C001242824500000</v>
      </c>
      <c r="H3288" s="6" t="str">
        <f t="shared" si="781"/>
        <v>CZJ 2428 LN - 245 g/</v>
      </c>
      <c r="I3288" s="6" t="str">
        <f>"203922"</f>
        <v>203922</v>
      </c>
      <c r="J3288" s="6" t="str">
        <f>"AZUL 3922"</f>
        <v>AZUL 3922</v>
      </c>
      <c r="K3288" s="6" t="str">
        <f t="shared" si="778"/>
        <v>0830</v>
      </c>
      <c r="L3288" s="6" t="str">
        <f t="shared" si="773"/>
        <v>Cozinha</v>
      </c>
      <c r="M3288" s="6" t="str">
        <f t="shared" si="779"/>
        <v>50x70</v>
      </c>
      <c r="N3288" s="6" t="str">
        <f>"5602972517972"</f>
        <v>5602972517972</v>
      </c>
      <c r="O3288" s="8">
        <v>1200</v>
      </c>
      <c r="P3288" s="7">
        <v>45855</v>
      </c>
      <c r="R3288" s="8">
        <v>1220</v>
      </c>
      <c r="S3288" s="7">
        <v>45860</v>
      </c>
      <c r="U3288" s="8">
        <v>1220</v>
      </c>
      <c r="V3288" s="7">
        <v>45867</v>
      </c>
      <c r="X3288" s="8">
        <v>0</v>
      </c>
      <c r="Z3288" s="8">
        <v>0</v>
      </c>
      <c r="AA3288" s="7">
        <v>45902</v>
      </c>
      <c r="AC3288" s="8">
        <v>1152</v>
      </c>
      <c r="AE3288" s="7">
        <v>45905</v>
      </c>
      <c r="AF3288" s="8">
        <v>1152</v>
      </c>
      <c r="AH3288" s="7">
        <v>45934</v>
      </c>
      <c r="AN3288" s="8">
        <v>1152</v>
      </c>
      <c r="AO3288" s="8">
        <v>48</v>
      </c>
    </row>
    <row r="3289" spans="1:41" x14ac:dyDescent="0.25">
      <c r="A3289" s="6" t="str">
        <f t="shared" si="768"/>
        <v>525-2025000284</v>
      </c>
      <c r="B3289" s="6" t="str">
        <f t="shared" si="775"/>
        <v>Lasa Int</v>
      </c>
      <c r="C3289" s="7">
        <v>45797</v>
      </c>
      <c r="D3289" s="7">
        <v>46360</v>
      </c>
      <c r="E3289" s="8">
        <v>20</v>
      </c>
      <c r="F3289" s="6" t="str">
        <f t="shared" si="769"/>
        <v>Xadrez + linho</v>
      </c>
      <c r="G3289" s="6" t="str">
        <f t="shared" si="780"/>
        <v>C001242824500000</v>
      </c>
      <c r="H3289" s="6" t="str">
        <f t="shared" si="781"/>
        <v>CZJ 2428 LN - 245 g/</v>
      </c>
      <c r="I3289" s="6" t="str">
        <f>"204042"</f>
        <v>204042</v>
      </c>
      <c r="J3289" s="6" t="str">
        <f>"TIJOLO 4042"</f>
        <v>TIJOLO 4042</v>
      </c>
      <c r="K3289" s="6" t="str">
        <f t="shared" si="778"/>
        <v>0830</v>
      </c>
      <c r="L3289" s="6" t="str">
        <f t="shared" si="773"/>
        <v>Cozinha</v>
      </c>
      <c r="M3289" s="6" t="str">
        <f t="shared" si="779"/>
        <v>50x70</v>
      </c>
      <c r="N3289" s="6" t="str">
        <f>"5602972517989"</f>
        <v>5602972517989</v>
      </c>
      <c r="O3289" s="8">
        <v>1200</v>
      </c>
      <c r="P3289" s="7">
        <v>45855</v>
      </c>
      <c r="R3289" s="8">
        <v>1200</v>
      </c>
      <c r="S3289" s="7">
        <v>45860</v>
      </c>
      <c r="U3289" s="8">
        <v>1200</v>
      </c>
      <c r="V3289" s="7">
        <v>45867</v>
      </c>
      <c r="X3289" s="8">
        <v>0</v>
      </c>
      <c r="Z3289" s="8">
        <v>1200</v>
      </c>
      <c r="AA3289" s="7">
        <v>45902</v>
      </c>
      <c r="AC3289" s="8">
        <v>1044</v>
      </c>
      <c r="AE3289" s="7">
        <v>45905</v>
      </c>
      <c r="AF3289" s="8">
        <v>1044</v>
      </c>
      <c r="AH3289" s="7">
        <v>45934</v>
      </c>
      <c r="AN3289" s="8">
        <v>1044</v>
      </c>
      <c r="AO3289" s="8">
        <v>156</v>
      </c>
    </row>
    <row r="3290" spans="1:41" x14ac:dyDescent="0.25">
      <c r="A3290" s="6" t="str">
        <f t="shared" si="768"/>
        <v>525-2025000284</v>
      </c>
      <c r="B3290" s="6" t="str">
        <f t="shared" si="775"/>
        <v>Lasa Int</v>
      </c>
      <c r="C3290" s="7">
        <v>45797</v>
      </c>
      <c r="D3290" s="7">
        <v>46360</v>
      </c>
      <c r="E3290" s="8">
        <v>21</v>
      </c>
      <c r="F3290" s="6" t="str">
        <f t="shared" si="769"/>
        <v>Xadrez + linho</v>
      </c>
      <c r="G3290" s="6" t="str">
        <f t="shared" si="780"/>
        <v>C001242824500000</v>
      </c>
      <c r="H3290" s="6" t="str">
        <f t="shared" si="781"/>
        <v>CZJ 2428 LN - 245 g/</v>
      </c>
      <c r="I3290" s="6" t="str">
        <f>"204243"</f>
        <v>204243</v>
      </c>
      <c r="J3290" s="6" t="str">
        <f>"BEGE 4243"</f>
        <v>BEGE 4243</v>
      </c>
      <c r="K3290" s="6" t="str">
        <f t="shared" si="778"/>
        <v>0830</v>
      </c>
      <c r="L3290" s="6" t="str">
        <f t="shared" si="773"/>
        <v>Cozinha</v>
      </c>
      <c r="M3290" s="6" t="str">
        <f t="shared" si="779"/>
        <v>50x70</v>
      </c>
      <c r="N3290" s="6" t="str">
        <f>"5602972517996"</f>
        <v>5602972517996</v>
      </c>
      <c r="O3290" s="8">
        <v>1200</v>
      </c>
      <c r="P3290" s="7">
        <v>45855</v>
      </c>
      <c r="R3290" s="8">
        <v>1184</v>
      </c>
      <c r="S3290" s="7">
        <v>45860</v>
      </c>
      <c r="U3290" s="8">
        <v>1184</v>
      </c>
      <c r="V3290" s="7">
        <v>45867</v>
      </c>
      <c r="X3290" s="8">
        <v>0</v>
      </c>
      <c r="Z3290" s="8">
        <v>0</v>
      </c>
      <c r="AA3290" s="7">
        <v>45902</v>
      </c>
      <c r="AC3290" s="8">
        <v>876</v>
      </c>
      <c r="AE3290" s="7">
        <v>45905</v>
      </c>
      <c r="AF3290" s="8">
        <v>876</v>
      </c>
      <c r="AH3290" s="7">
        <v>45934</v>
      </c>
      <c r="AN3290" s="8">
        <v>876</v>
      </c>
      <c r="AO3290" s="8">
        <v>324</v>
      </c>
    </row>
    <row r="3291" spans="1:41" x14ac:dyDescent="0.25">
      <c r="A3291" s="6" t="str">
        <f t="shared" ref="A3291:A3312" si="782">"525-2025000312"</f>
        <v>525-2025000312</v>
      </c>
      <c r="B3291" s="6" t="str">
        <f t="shared" si="775"/>
        <v>Lasa Int</v>
      </c>
      <c r="C3291" s="7">
        <v>45810</v>
      </c>
      <c r="D3291" s="7">
        <v>46068</v>
      </c>
      <c r="E3291" s="8">
        <v>1</v>
      </c>
      <c r="F3291" s="6" t="str">
        <f t="shared" ref="F3291:F3312" si="783">"ROYAL C"</f>
        <v>ROYAL C</v>
      </c>
      <c r="G3291" s="6" t="str">
        <f t="shared" ref="G3291:G3310" si="784">"F110108765000000"</f>
        <v>F110108765000000</v>
      </c>
      <c r="H3291" s="6" t="str">
        <f t="shared" ref="H3291:H3310" si="785">"FAJP 1087 M - ROYAL"</f>
        <v>FAJP 1087 M - ROYAL</v>
      </c>
      <c r="I3291" s="6" t="str">
        <f>"1"</f>
        <v>1</v>
      </c>
      <c r="J3291" s="6" t="str">
        <f>"BRANCO"</f>
        <v>BRANCO</v>
      </c>
      <c r="K3291" s="6" t="str">
        <f>"0330"</f>
        <v>0330</v>
      </c>
      <c r="L3291" s="6" t="str">
        <f>"Panos"</f>
        <v>Panos</v>
      </c>
      <c r="M3291" s="6" t="str">
        <f>"33x33"</f>
        <v>33x33</v>
      </c>
      <c r="N3291" s="6" t="str">
        <f>"5602972871777"</f>
        <v>5602972871777</v>
      </c>
      <c r="O3291" s="8">
        <v>300</v>
      </c>
      <c r="P3291" s="7">
        <v>45811</v>
      </c>
      <c r="R3291" s="8">
        <v>0</v>
      </c>
      <c r="S3291" s="7">
        <v>45814</v>
      </c>
      <c r="U3291" s="8">
        <v>300</v>
      </c>
      <c r="V3291" s="7">
        <v>45835</v>
      </c>
      <c r="X3291" s="8">
        <v>0</v>
      </c>
      <c r="Z3291" s="8">
        <v>300</v>
      </c>
      <c r="AA3291" s="7">
        <v>45849</v>
      </c>
      <c r="AC3291" s="8">
        <v>336</v>
      </c>
      <c r="AE3291" s="7">
        <v>45854</v>
      </c>
      <c r="AF3291" s="8">
        <v>336</v>
      </c>
      <c r="AH3291" s="7">
        <v>45854</v>
      </c>
      <c r="AN3291" s="8">
        <v>336</v>
      </c>
      <c r="AO3291" s="8">
        <v>-36</v>
      </c>
    </row>
    <row r="3292" spans="1:41" x14ac:dyDescent="0.25">
      <c r="A3292" s="6" t="str">
        <f t="shared" si="782"/>
        <v>525-2025000312</v>
      </c>
      <c r="B3292" s="6" t="str">
        <f t="shared" si="775"/>
        <v>Lasa Int</v>
      </c>
      <c r="C3292" s="7">
        <v>45810</v>
      </c>
      <c r="D3292" s="7">
        <v>46068</v>
      </c>
      <c r="E3292" s="8">
        <v>2</v>
      </c>
      <c r="F3292" s="6" t="str">
        <f t="shared" si="783"/>
        <v>ROYAL C</v>
      </c>
      <c r="G3292" s="6" t="str">
        <f t="shared" si="784"/>
        <v>F110108765000000</v>
      </c>
      <c r="H3292" s="6" t="str">
        <f t="shared" si="785"/>
        <v>FAJP 1087 M - ROYAL</v>
      </c>
      <c r="I3292" s="6" t="str">
        <f>"1"</f>
        <v>1</v>
      </c>
      <c r="J3292" s="6" t="str">
        <f>"BRANCO"</f>
        <v>BRANCO</v>
      </c>
      <c r="K3292" s="6" t="str">
        <f>"1024"</f>
        <v>1024</v>
      </c>
      <c r="L3292" s="6" t="str">
        <f>"Toalhas"</f>
        <v>Toalhas</v>
      </c>
      <c r="M3292" s="6" t="str">
        <f>"50x100"</f>
        <v>50x100</v>
      </c>
      <c r="N3292" s="6" t="str">
        <f>"5602972871791"</f>
        <v>5602972871791</v>
      </c>
      <c r="O3292" s="8">
        <v>240</v>
      </c>
      <c r="P3292" s="7">
        <v>45811</v>
      </c>
      <c r="R3292" s="8">
        <v>0</v>
      </c>
      <c r="S3292" s="7">
        <v>45814</v>
      </c>
      <c r="U3292" s="8">
        <v>240</v>
      </c>
      <c r="V3292" s="7">
        <v>45835</v>
      </c>
      <c r="X3292" s="8">
        <v>0</v>
      </c>
      <c r="Z3292" s="8">
        <v>240</v>
      </c>
      <c r="AA3292" s="7">
        <v>45849</v>
      </c>
      <c r="AC3292" s="8">
        <v>494</v>
      </c>
      <c r="AE3292" s="7">
        <v>45854</v>
      </c>
      <c r="AF3292" s="8">
        <v>494</v>
      </c>
      <c r="AH3292" s="7">
        <v>45854</v>
      </c>
      <c r="AN3292" s="8">
        <v>494</v>
      </c>
      <c r="AO3292" s="8">
        <v>-254</v>
      </c>
    </row>
    <row r="3293" spans="1:41" x14ac:dyDescent="0.25">
      <c r="A3293" s="6" t="str">
        <f t="shared" si="782"/>
        <v>525-2025000312</v>
      </c>
      <c r="B3293" s="6" t="str">
        <f t="shared" si="775"/>
        <v>Lasa Int</v>
      </c>
      <c r="C3293" s="7">
        <v>45810</v>
      </c>
      <c r="D3293" s="7">
        <v>46068</v>
      </c>
      <c r="E3293" s="8">
        <v>3</v>
      </c>
      <c r="F3293" s="6" t="str">
        <f t="shared" si="783"/>
        <v>ROYAL C</v>
      </c>
      <c r="G3293" s="6" t="str">
        <f t="shared" si="784"/>
        <v>F110108765000000</v>
      </c>
      <c r="H3293" s="6" t="str">
        <f t="shared" si="785"/>
        <v>FAJP 1087 M - ROYAL</v>
      </c>
      <c r="I3293" s="6" t="str">
        <f>"1"</f>
        <v>1</v>
      </c>
      <c r="J3293" s="6" t="str">
        <f>"BRANCO"</f>
        <v>BRANCO</v>
      </c>
      <c r="K3293" s="6" t="str">
        <f>"1535"</f>
        <v>1535</v>
      </c>
      <c r="L3293" s="6" t="str">
        <f>"Toalhões"</f>
        <v>Toalhões</v>
      </c>
      <c r="M3293" s="6" t="str">
        <f>"70x140"</f>
        <v>70x140</v>
      </c>
      <c r="N3293" s="6" t="str">
        <f>"5602972871807"</f>
        <v>5602972871807</v>
      </c>
      <c r="O3293" s="8">
        <v>120</v>
      </c>
      <c r="P3293" s="7">
        <v>45811</v>
      </c>
      <c r="R3293" s="8">
        <v>0</v>
      </c>
      <c r="S3293" s="7">
        <v>45814</v>
      </c>
      <c r="U3293" s="8">
        <v>162</v>
      </c>
      <c r="V3293" s="7">
        <v>45835</v>
      </c>
      <c r="X3293" s="8">
        <v>0</v>
      </c>
      <c r="Z3293" s="8">
        <v>162</v>
      </c>
      <c r="AA3293" s="7">
        <v>45849</v>
      </c>
      <c r="AC3293" s="8">
        <v>94</v>
      </c>
      <c r="AE3293" s="7">
        <v>45854</v>
      </c>
      <c r="AF3293" s="8">
        <v>94</v>
      </c>
      <c r="AH3293" s="7">
        <v>45854</v>
      </c>
      <c r="AN3293" s="8">
        <v>94</v>
      </c>
      <c r="AO3293" s="8">
        <v>26</v>
      </c>
    </row>
    <row r="3294" spans="1:41" x14ac:dyDescent="0.25">
      <c r="A3294" s="6" t="str">
        <f t="shared" si="782"/>
        <v>525-2025000312</v>
      </c>
      <c r="B3294" s="6" t="str">
        <f t="shared" si="775"/>
        <v>Lasa Int</v>
      </c>
      <c r="C3294" s="7">
        <v>45810</v>
      </c>
      <c r="D3294" s="7">
        <v>46068</v>
      </c>
      <c r="E3294" s="8">
        <v>4</v>
      </c>
      <c r="F3294" s="6" t="str">
        <f t="shared" si="783"/>
        <v>ROYAL C</v>
      </c>
      <c r="G3294" s="6" t="str">
        <f t="shared" si="784"/>
        <v>F110108765000000</v>
      </c>
      <c r="H3294" s="6" t="str">
        <f t="shared" si="785"/>
        <v>FAJP 1087 M - ROYAL</v>
      </c>
      <c r="I3294" s="6" t="str">
        <f>"2999"</f>
        <v>2999</v>
      </c>
      <c r="J3294" s="6" t="str">
        <f>"BEGE 2999"</f>
        <v>BEGE 2999</v>
      </c>
      <c r="K3294" s="6" t="str">
        <f>"0330"</f>
        <v>0330</v>
      </c>
      <c r="L3294" s="6" t="str">
        <f>"Panos"</f>
        <v>Panos</v>
      </c>
      <c r="M3294" s="6" t="str">
        <f>"33x33"</f>
        <v>33x33</v>
      </c>
      <c r="N3294" s="6" t="str">
        <f>"5602972871920"</f>
        <v>5602972871920</v>
      </c>
      <c r="O3294" s="8">
        <v>240</v>
      </c>
      <c r="P3294" s="7">
        <v>45811</v>
      </c>
      <c r="R3294" s="8">
        <v>0</v>
      </c>
      <c r="S3294" s="7">
        <v>45814</v>
      </c>
      <c r="U3294" s="8">
        <v>300</v>
      </c>
      <c r="V3294" s="7">
        <v>45835</v>
      </c>
      <c r="X3294" s="8">
        <v>0</v>
      </c>
      <c r="Z3294" s="8">
        <v>300</v>
      </c>
      <c r="AA3294" s="7">
        <v>45849</v>
      </c>
      <c r="AC3294" s="8">
        <v>288</v>
      </c>
      <c r="AE3294" s="7">
        <v>45854</v>
      </c>
      <c r="AF3294" s="8">
        <v>288</v>
      </c>
      <c r="AH3294" s="7">
        <v>45854</v>
      </c>
      <c r="AN3294" s="8">
        <v>288</v>
      </c>
      <c r="AO3294" s="8">
        <v>-48</v>
      </c>
    </row>
    <row r="3295" spans="1:41" x14ac:dyDescent="0.25">
      <c r="A3295" s="6" t="str">
        <f t="shared" si="782"/>
        <v>525-2025000312</v>
      </c>
      <c r="B3295" s="6" t="str">
        <f t="shared" si="775"/>
        <v>Lasa Int</v>
      </c>
      <c r="C3295" s="7">
        <v>45810</v>
      </c>
      <c r="D3295" s="7">
        <v>46068</v>
      </c>
      <c r="E3295" s="8">
        <v>5</v>
      </c>
      <c r="F3295" s="6" t="str">
        <f t="shared" si="783"/>
        <v>ROYAL C</v>
      </c>
      <c r="G3295" s="6" t="str">
        <f t="shared" si="784"/>
        <v>F110108765000000</v>
      </c>
      <c r="H3295" s="6" t="str">
        <f t="shared" si="785"/>
        <v>FAJP 1087 M - ROYAL</v>
      </c>
      <c r="I3295" s="6" t="str">
        <f>"2999"</f>
        <v>2999</v>
      </c>
      <c r="J3295" s="6" t="str">
        <f>"BEGE 2999"</f>
        <v>BEGE 2999</v>
      </c>
      <c r="K3295" s="6" t="str">
        <f>"1024"</f>
        <v>1024</v>
      </c>
      <c r="L3295" s="6" t="str">
        <f>"Toalhas"</f>
        <v>Toalhas</v>
      </c>
      <c r="M3295" s="6" t="str">
        <f>"50x100"</f>
        <v>50x100</v>
      </c>
      <c r="N3295" s="6" t="str">
        <f>"5602972871944"</f>
        <v>5602972871944</v>
      </c>
      <c r="O3295" s="8">
        <v>240</v>
      </c>
      <c r="P3295" s="7">
        <v>45811</v>
      </c>
      <c r="R3295" s="8">
        <v>0</v>
      </c>
      <c r="S3295" s="7">
        <v>45814</v>
      </c>
      <c r="U3295" s="8">
        <v>240</v>
      </c>
      <c r="V3295" s="7">
        <v>45835</v>
      </c>
      <c r="X3295" s="8">
        <v>0</v>
      </c>
      <c r="Z3295" s="8">
        <v>240</v>
      </c>
      <c r="AA3295" s="7">
        <v>45849</v>
      </c>
      <c r="AC3295" s="8">
        <v>216</v>
      </c>
      <c r="AE3295" s="7">
        <v>45854</v>
      </c>
      <c r="AF3295" s="8">
        <v>216</v>
      </c>
      <c r="AH3295" s="7">
        <v>45854</v>
      </c>
      <c r="AN3295" s="8">
        <v>216</v>
      </c>
      <c r="AO3295" s="8">
        <v>24</v>
      </c>
    </row>
    <row r="3296" spans="1:41" x14ac:dyDescent="0.25">
      <c r="A3296" s="6" t="str">
        <f t="shared" si="782"/>
        <v>525-2025000312</v>
      </c>
      <c r="B3296" s="6" t="str">
        <f t="shared" si="775"/>
        <v>Lasa Int</v>
      </c>
      <c r="C3296" s="7">
        <v>45810</v>
      </c>
      <c r="D3296" s="7">
        <v>46068</v>
      </c>
      <c r="E3296" s="8">
        <v>6</v>
      </c>
      <c r="F3296" s="6" t="str">
        <f t="shared" si="783"/>
        <v>ROYAL C</v>
      </c>
      <c r="G3296" s="6" t="str">
        <f t="shared" si="784"/>
        <v>F110108765000000</v>
      </c>
      <c r="H3296" s="6" t="str">
        <f t="shared" si="785"/>
        <v>FAJP 1087 M - ROYAL</v>
      </c>
      <c r="I3296" s="6" t="str">
        <f>"2999"</f>
        <v>2999</v>
      </c>
      <c r="J3296" s="6" t="str">
        <f>"BEGE 2999"</f>
        <v>BEGE 2999</v>
      </c>
      <c r="K3296" s="6" t="str">
        <f>"1535"</f>
        <v>1535</v>
      </c>
      <c r="L3296" s="6" t="str">
        <f>"Toalhões"</f>
        <v>Toalhões</v>
      </c>
      <c r="M3296" s="6" t="str">
        <f>"70x140"</f>
        <v>70x140</v>
      </c>
      <c r="N3296" s="6" t="str">
        <f>"5602972871951"</f>
        <v>5602972871951</v>
      </c>
      <c r="O3296" s="8">
        <v>120</v>
      </c>
      <c r="P3296" s="7">
        <v>45811</v>
      </c>
      <c r="R3296" s="8">
        <v>0</v>
      </c>
      <c r="S3296" s="7">
        <v>45814</v>
      </c>
      <c r="U3296" s="8">
        <v>162</v>
      </c>
      <c r="V3296" s="7">
        <v>45835</v>
      </c>
      <c r="X3296" s="8">
        <v>0</v>
      </c>
      <c r="Z3296" s="8">
        <v>162</v>
      </c>
      <c r="AA3296" s="7">
        <v>45849</v>
      </c>
      <c r="AC3296" s="8">
        <v>155</v>
      </c>
      <c r="AE3296" s="7">
        <v>45854</v>
      </c>
      <c r="AF3296" s="8">
        <v>155</v>
      </c>
      <c r="AH3296" s="7">
        <v>45854</v>
      </c>
      <c r="AN3296" s="8">
        <v>155</v>
      </c>
      <c r="AO3296" s="8">
        <v>-35</v>
      </c>
    </row>
    <row r="3297" spans="1:41" x14ac:dyDescent="0.25">
      <c r="A3297" s="6" t="str">
        <f t="shared" si="782"/>
        <v>525-2025000312</v>
      </c>
      <c r="B3297" s="6" t="str">
        <f t="shared" si="775"/>
        <v>Lasa Int</v>
      </c>
      <c r="C3297" s="7">
        <v>45810</v>
      </c>
      <c r="D3297" s="7">
        <v>46068</v>
      </c>
      <c r="E3297" s="8">
        <v>7</v>
      </c>
      <c r="F3297" s="6" t="str">
        <f t="shared" si="783"/>
        <v>ROYAL C</v>
      </c>
      <c r="G3297" s="6" t="str">
        <f t="shared" si="784"/>
        <v>F110108765000000</v>
      </c>
      <c r="H3297" s="6" t="str">
        <f t="shared" si="785"/>
        <v>FAJP 1087 M - ROYAL</v>
      </c>
      <c r="I3297" s="6" t="str">
        <f>"2999"</f>
        <v>2999</v>
      </c>
      <c r="J3297" s="6" t="str">
        <f>"BEGE 2999"</f>
        <v>BEGE 2999</v>
      </c>
      <c r="K3297" s="6" t="str">
        <f>"2020"</f>
        <v>2020</v>
      </c>
      <c r="L3297" s="6" t="str">
        <f>"Lençóis"</f>
        <v>Lençóis</v>
      </c>
      <c r="M3297" s="6" t="str">
        <f>"100x150"</f>
        <v>100x150</v>
      </c>
      <c r="N3297" s="6" t="str">
        <f>"5602972871968"</f>
        <v>5602972871968</v>
      </c>
      <c r="O3297" s="8">
        <v>160</v>
      </c>
      <c r="P3297" s="7">
        <v>45811</v>
      </c>
      <c r="R3297" s="8">
        <v>0</v>
      </c>
      <c r="S3297" s="7">
        <v>45814</v>
      </c>
      <c r="U3297" s="8">
        <v>180</v>
      </c>
      <c r="V3297" s="7">
        <v>45835</v>
      </c>
      <c r="X3297" s="8">
        <v>0</v>
      </c>
      <c r="Z3297" s="8">
        <v>180</v>
      </c>
      <c r="AA3297" s="7">
        <v>45849</v>
      </c>
      <c r="AC3297" s="8">
        <v>180</v>
      </c>
      <c r="AE3297" s="7">
        <v>45854</v>
      </c>
      <c r="AF3297" s="8">
        <v>180</v>
      </c>
      <c r="AH3297" s="7">
        <v>45854</v>
      </c>
      <c r="AN3297" s="8">
        <v>180</v>
      </c>
      <c r="AO3297" s="8">
        <v>-20</v>
      </c>
    </row>
    <row r="3298" spans="1:41" x14ac:dyDescent="0.25">
      <c r="A3298" s="6" t="str">
        <f t="shared" si="782"/>
        <v>525-2025000312</v>
      </c>
      <c r="B3298" s="6" t="str">
        <f t="shared" si="775"/>
        <v>Lasa Int</v>
      </c>
      <c r="C3298" s="7">
        <v>45810</v>
      </c>
      <c r="D3298" s="7">
        <v>46068</v>
      </c>
      <c r="E3298" s="8">
        <v>8</v>
      </c>
      <c r="F3298" s="6" t="str">
        <f t="shared" si="783"/>
        <v>ROYAL C</v>
      </c>
      <c r="G3298" s="6" t="str">
        <f t="shared" si="784"/>
        <v>F110108765000000</v>
      </c>
      <c r="H3298" s="6" t="str">
        <f t="shared" si="785"/>
        <v>FAJP 1087 M - ROYAL</v>
      </c>
      <c r="I3298" s="6" t="str">
        <f>"3001"</f>
        <v>3001</v>
      </c>
      <c r="J3298" s="6" t="str">
        <f>"LILAS 3001"</f>
        <v>LILAS 3001</v>
      </c>
      <c r="K3298" s="6" t="str">
        <f>"0112"</f>
        <v>0112</v>
      </c>
      <c r="L3298" s="6" t="str">
        <f>"Luvas"</f>
        <v>Luvas</v>
      </c>
      <c r="M3298" s="6" t="str">
        <f>"16x21"</f>
        <v>16x21</v>
      </c>
      <c r="N3298" s="6" t="str">
        <f>"5602972887167"</f>
        <v>5602972887167</v>
      </c>
      <c r="O3298" s="8">
        <v>240</v>
      </c>
      <c r="P3298" s="7">
        <v>45811</v>
      </c>
      <c r="R3298" s="8">
        <v>0</v>
      </c>
      <c r="S3298" s="7">
        <v>45814</v>
      </c>
      <c r="U3298" s="8">
        <v>240</v>
      </c>
      <c r="V3298" s="7">
        <v>45835</v>
      </c>
      <c r="X3298" s="8">
        <v>0</v>
      </c>
      <c r="Z3298" s="8">
        <v>240</v>
      </c>
      <c r="AA3298" s="7">
        <v>45849</v>
      </c>
      <c r="AC3298" s="8">
        <v>0</v>
      </c>
      <c r="AE3298" s="7">
        <v>45854</v>
      </c>
      <c r="AF3298" s="8">
        <v>0</v>
      </c>
      <c r="AH3298" s="7">
        <v>45854</v>
      </c>
      <c r="AN3298" s="8">
        <v>282</v>
      </c>
      <c r="AO3298" s="8">
        <v>-42</v>
      </c>
    </row>
    <row r="3299" spans="1:41" x14ac:dyDescent="0.25">
      <c r="A3299" s="6" t="str">
        <f t="shared" si="782"/>
        <v>525-2025000312</v>
      </c>
      <c r="B3299" s="6" t="str">
        <f t="shared" si="775"/>
        <v>Lasa Int</v>
      </c>
      <c r="C3299" s="7">
        <v>45810</v>
      </c>
      <c r="D3299" s="7">
        <v>46068</v>
      </c>
      <c r="E3299" s="8">
        <v>9</v>
      </c>
      <c r="F3299" s="6" t="str">
        <f t="shared" si="783"/>
        <v>ROYAL C</v>
      </c>
      <c r="G3299" s="6" t="str">
        <f t="shared" si="784"/>
        <v>F110108765000000</v>
      </c>
      <c r="H3299" s="6" t="str">
        <f t="shared" si="785"/>
        <v>FAJP 1087 M - ROYAL</v>
      </c>
      <c r="I3299" s="6" t="str">
        <f>"3001"</f>
        <v>3001</v>
      </c>
      <c r="J3299" s="6" t="str">
        <f>"LILAS 3001"</f>
        <v>LILAS 3001</v>
      </c>
      <c r="K3299" s="6" t="str">
        <f>"1024"</f>
        <v>1024</v>
      </c>
      <c r="L3299" s="6" t="str">
        <f>"Toalhas"</f>
        <v>Toalhas</v>
      </c>
      <c r="M3299" s="6" t="str">
        <f>"50x100"</f>
        <v>50x100</v>
      </c>
      <c r="N3299" s="6" t="str">
        <f>"5602972872392"</f>
        <v>5602972872392</v>
      </c>
      <c r="O3299" s="8">
        <v>240</v>
      </c>
      <c r="P3299" s="7">
        <v>45811</v>
      </c>
      <c r="R3299" s="8">
        <v>0</v>
      </c>
      <c r="S3299" s="7">
        <v>45814</v>
      </c>
      <c r="U3299" s="8">
        <v>240</v>
      </c>
      <c r="V3299" s="7">
        <v>45835</v>
      </c>
      <c r="X3299" s="8">
        <v>0</v>
      </c>
      <c r="Z3299" s="8">
        <v>240</v>
      </c>
      <c r="AA3299" s="7">
        <v>45849</v>
      </c>
      <c r="AC3299" s="8">
        <v>228</v>
      </c>
      <c r="AE3299" s="7">
        <v>45854</v>
      </c>
      <c r="AF3299" s="8">
        <v>228</v>
      </c>
      <c r="AH3299" s="7">
        <v>45854</v>
      </c>
      <c r="AN3299" s="8">
        <v>228</v>
      </c>
      <c r="AO3299" s="8">
        <v>12</v>
      </c>
    </row>
    <row r="3300" spans="1:41" x14ac:dyDescent="0.25">
      <c r="A3300" s="6" t="str">
        <f t="shared" si="782"/>
        <v>525-2025000312</v>
      </c>
      <c r="B3300" s="6" t="str">
        <f t="shared" si="775"/>
        <v>Lasa Int</v>
      </c>
      <c r="C3300" s="7">
        <v>45810</v>
      </c>
      <c r="D3300" s="7">
        <v>46068</v>
      </c>
      <c r="E3300" s="8">
        <v>10</v>
      </c>
      <c r="F3300" s="6" t="str">
        <f t="shared" si="783"/>
        <v>ROYAL C</v>
      </c>
      <c r="G3300" s="6" t="str">
        <f t="shared" si="784"/>
        <v>F110108765000000</v>
      </c>
      <c r="H3300" s="6" t="str">
        <f t="shared" si="785"/>
        <v>FAJP 1087 M - ROYAL</v>
      </c>
      <c r="I3300" s="6" t="str">
        <f>"3001"</f>
        <v>3001</v>
      </c>
      <c r="J3300" s="6" t="str">
        <f>"LILAS 3001"</f>
        <v>LILAS 3001</v>
      </c>
      <c r="K3300" s="6" t="str">
        <f>"1535"</f>
        <v>1535</v>
      </c>
      <c r="L3300" s="6" t="str">
        <f>"Toalhões"</f>
        <v>Toalhões</v>
      </c>
      <c r="M3300" s="6" t="str">
        <f>"70x140"</f>
        <v>70x140</v>
      </c>
      <c r="N3300" s="6" t="str">
        <f>"5602972872408"</f>
        <v>5602972872408</v>
      </c>
      <c r="O3300" s="8">
        <v>120</v>
      </c>
      <c r="P3300" s="7">
        <v>45811</v>
      </c>
      <c r="R3300" s="8">
        <v>0</v>
      </c>
      <c r="S3300" s="7">
        <v>45814</v>
      </c>
      <c r="U3300" s="8">
        <v>162</v>
      </c>
      <c r="V3300" s="7">
        <v>45835</v>
      </c>
      <c r="X3300" s="8">
        <v>0</v>
      </c>
      <c r="Z3300" s="8">
        <v>162</v>
      </c>
      <c r="AA3300" s="7">
        <v>45849</v>
      </c>
      <c r="AC3300" s="8">
        <v>148</v>
      </c>
      <c r="AE3300" s="7">
        <v>45854</v>
      </c>
      <c r="AF3300" s="8">
        <v>148</v>
      </c>
      <c r="AH3300" s="7">
        <v>45854</v>
      </c>
      <c r="AN3300" s="8">
        <v>148</v>
      </c>
      <c r="AO3300" s="8">
        <v>-28</v>
      </c>
    </row>
    <row r="3301" spans="1:41" x14ac:dyDescent="0.25">
      <c r="A3301" s="6" t="str">
        <f t="shared" si="782"/>
        <v>525-2025000312</v>
      </c>
      <c r="B3301" s="6" t="str">
        <f t="shared" si="775"/>
        <v>Lasa Int</v>
      </c>
      <c r="C3301" s="7">
        <v>45810</v>
      </c>
      <c r="D3301" s="7">
        <v>46068</v>
      </c>
      <c r="E3301" s="8">
        <v>11</v>
      </c>
      <c r="F3301" s="6" t="str">
        <f t="shared" si="783"/>
        <v>ROYAL C</v>
      </c>
      <c r="G3301" s="6" t="str">
        <f t="shared" si="784"/>
        <v>F110108765000000</v>
      </c>
      <c r="H3301" s="6" t="str">
        <f t="shared" si="785"/>
        <v>FAJP 1087 M - ROYAL</v>
      </c>
      <c r="I3301" s="6" t="str">
        <f>"3001"</f>
        <v>3001</v>
      </c>
      <c r="J3301" s="6" t="str">
        <f>"LILAS 3001"</f>
        <v>LILAS 3001</v>
      </c>
      <c r="K3301" s="6" t="str">
        <f>"2020"</f>
        <v>2020</v>
      </c>
      <c r="L3301" s="6" t="str">
        <f>"Lençóis"</f>
        <v>Lençóis</v>
      </c>
      <c r="M3301" s="6" t="str">
        <f>"100x150"</f>
        <v>100x150</v>
      </c>
      <c r="N3301" s="6" t="str">
        <f>"5602972872415"</f>
        <v>5602972872415</v>
      </c>
      <c r="O3301" s="8">
        <v>160</v>
      </c>
      <c r="P3301" s="7">
        <v>45811</v>
      </c>
      <c r="R3301" s="8">
        <v>0</v>
      </c>
      <c r="S3301" s="7">
        <v>45814</v>
      </c>
      <c r="U3301" s="8">
        <v>180</v>
      </c>
      <c r="V3301" s="7">
        <v>45835</v>
      </c>
      <c r="X3301" s="8">
        <v>0</v>
      </c>
      <c r="Z3301" s="8">
        <v>180</v>
      </c>
      <c r="AA3301" s="7">
        <v>45849</v>
      </c>
      <c r="AC3301" s="8">
        <v>166</v>
      </c>
      <c r="AE3301" s="7">
        <v>45854</v>
      </c>
      <c r="AF3301" s="8">
        <v>166</v>
      </c>
      <c r="AH3301" s="7">
        <v>45854</v>
      </c>
      <c r="AN3301" s="8">
        <v>166</v>
      </c>
      <c r="AO3301" s="8">
        <v>-6</v>
      </c>
    </row>
    <row r="3302" spans="1:41" x14ac:dyDescent="0.25">
      <c r="A3302" s="6" t="str">
        <f t="shared" si="782"/>
        <v>525-2025000312</v>
      </c>
      <c r="B3302" s="6" t="str">
        <f t="shared" si="775"/>
        <v>Lasa Int</v>
      </c>
      <c r="C3302" s="7">
        <v>45810</v>
      </c>
      <c r="D3302" s="7">
        <v>46068</v>
      </c>
      <c r="E3302" s="8">
        <v>12</v>
      </c>
      <c r="F3302" s="6" t="str">
        <f t="shared" si="783"/>
        <v>ROYAL C</v>
      </c>
      <c r="G3302" s="6" t="str">
        <f t="shared" si="784"/>
        <v>F110108765000000</v>
      </c>
      <c r="H3302" s="6" t="str">
        <f t="shared" si="785"/>
        <v>FAJP 1087 M - ROYAL</v>
      </c>
      <c r="I3302" s="6" t="str">
        <f>"3335"</f>
        <v>3335</v>
      </c>
      <c r="J3302" s="6" t="str">
        <f>"LARANJA 3335"</f>
        <v>LARANJA 3335</v>
      </c>
      <c r="K3302" s="6" t="str">
        <f>"0112"</f>
        <v>0112</v>
      </c>
      <c r="L3302" s="6" t="str">
        <f>"Luvas"</f>
        <v>Luvas</v>
      </c>
      <c r="M3302" s="6" t="str">
        <f>"16x21"</f>
        <v>16x21</v>
      </c>
      <c r="N3302" s="6" t="str">
        <f>"5602972718225"</f>
        <v>5602972718225</v>
      </c>
      <c r="O3302" s="8">
        <v>240</v>
      </c>
      <c r="P3302" s="7">
        <v>45811</v>
      </c>
      <c r="R3302" s="8">
        <v>0</v>
      </c>
      <c r="S3302" s="7">
        <v>45814</v>
      </c>
      <c r="U3302" s="8">
        <v>300</v>
      </c>
      <c r="V3302" s="7">
        <v>45835</v>
      </c>
      <c r="X3302" s="8">
        <v>0</v>
      </c>
      <c r="Z3302" s="8">
        <v>300</v>
      </c>
      <c r="AA3302" s="7">
        <v>45849</v>
      </c>
      <c r="AC3302" s="8">
        <v>0</v>
      </c>
      <c r="AE3302" s="7">
        <v>45854</v>
      </c>
      <c r="AF3302" s="8">
        <v>0</v>
      </c>
      <c r="AH3302" s="7">
        <v>45854</v>
      </c>
      <c r="AN3302" s="8">
        <v>282</v>
      </c>
      <c r="AO3302" s="8">
        <v>-42</v>
      </c>
    </row>
    <row r="3303" spans="1:41" x14ac:dyDescent="0.25">
      <c r="A3303" s="6" t="str">
        <f t="shared" si="782"/>
        <v>525-2025000312</v>
      </c>
      <c r="B3303" s="6" t="str">
        <f t="shared" si="775"/>
        <v>Lasa Int</v>
      </c>
      <c r="C3303" s="7">
        <v>45810</v>
      </c>
      <c r="D3303" s="7">
        <v>46068</v>
      </c>
      <c r="E3303" s="8">
        <v>13</v>
      </c>
      <c r="F3303" s="6" t="str">
        <f t="shared" si="783"/>
        <v>ROYAL C</v>
      </c>
      <c r="G3303" s="6" t="str">
        <f t="shared" si="784"/>
        <v>F110108765000000</v>
      </c>
      <c r="H3303" s="6" t="str">
        <f t="shared" si="785"/>
        <v>FAJP 1087 M - ROYAL</v>
      </c>
      <c r="I3303" s="6" t="str">
        <f>"3335"</f>
        <v>3335</v>
      </c>
      <c r="J3303" s="6" t="str">
        <f>"LARANJA 3335"</f>
        <v>LARANJA 3335</v>
      </c>
      <c r="K3303" s="6" t="str">
        <f>"0518"</f>
        <v>0518</v>
      </c>
      <c r="L3303" s="6" t="str">
        <f>"Toalhetes"</f>
        <v>Toalhetes</v>
      </c>
      <c r="M3303" s="6" t="str">
        <f>"40x60"</f>
        <v>40x60</v>
      </c>
      <c r="N3303" s="6" t="str">
        <f>"5602972718249"</f>
        <v>5602972718249</v>
      </c>
      <c r="O3303" s="8">
        <v>240</v>
      </c>
      <c r="P3303" s="7">
        <v>45811</v>
      </c>
      <c r="R3303" s="8">
        <v>0</v>
      </c>
      <c r="S3303" s="7">
        <v>45814</v>
      </c>
      <c r="U3303" s="8">
        <v>284</v>
      </c>
      <c r="V3303" s="7">
        <v>45835</v>
      </c>
      <c r="X3303" s="8">
        <v>0</v>
      </c>
      <c r="Z3303" s="8">
        <v>284</v>
      </c>
      <c r="AA3303" s="7">
        <v>45849</v>
      </c>
      <c r="AC3303" s="8">
        <v>225</v>
      </c>
      <c r="AE3303" s="7">
        <v>45854</v>
      </c>
      <c r="AF3303" s="8">
        <v>225</v>
      </c>
      <c r="AH3303" s="7">
        <v>45854</v>
      </c>
      <c r="AN3303" s="8">
        <v>225</v>
      </c>
      <c r="AO3303" s="8">
        <v>15</v>
      </c>
    </row>
    <row r="3304" spans="1:41" x14ac:dyDescent="0.25">
      <c r="A3304" s="6" t="str">
        <f t="shared" si="782"/>
        <v>525-2025000312</v>
      </c>
      <c r="B3304" s="6" t="str">
        <f t="shared" si="775"/>
        <v>Lasa Int</v>
      </c>
      <c r="C3304" s="7">
        <v>45810</v>
      </c>
      <c r="D3304" s="7">
        <v>46068</v>
      </c>
      <c r="E3304" s="8">
        <v>14</v>
      </c>
      <c r="F3304" s="6" t="str">
        <f t="shared" si="783"/>
        <v>ROYAL C</v>
      </c>
      <c r="G3304" s="6" t="str">
        <f t="shared" si="784"/>
        <v>F110108765000000</v>
      </c>
      <c r="H3304" s="6" t="str">
        <f t="shared" si="785"/>
        <v>FAJP 1087 M - ROYAL</v>
      </c>
      <c r="I3304" s="6" t="str">
        <f>"3335"</f>
        <v>3335</v>
      </c>
      <c r="J3304" s="6" t="str">
        <f>"LARANJA 3335"</f>
        <v>LARANJA 3335</v>
      </c>
      <c r="K3304" s="6" t="str">
        <f>"1024"</f>
        <v>1024</v>
      </c>
      <c r="L3304" s="6" t="str">
        <f>"Toalhas"</f>
        <v>Toalhas</v>
      </c>
      <c r="M3304" s="6" t="str">
        <f>"50x100"</f>
        <v>50x100</v>
      </c>
      <c r="N3304" s="6" t="str">
        <f>"5602972718256"</f>
        <v>5602972718256</v>
      </c>
      <c r="O3304" s="8">
        <v>240</v>
      </c>
      <c r="P3304" s="7">
        <v>45811</v>
      </c>
      <c r="R3304" s="8">
        <v>0</v>
      </c>
      <c r="S3304" s="7">
        <v>45814</v>
      </c>
      <c r="U3304" s="8">
        <v>240</v>
      </c>
      <c r="V3304" s="7">
        <v>45835</v>
      </c>
      <c r="X3304" s="8">
        <v>0</v>
      </c>
      <c r="Z3304" s="8">
        <v>240</v>
      </c>
      <c r="AA3304" s="7">
        <v>45849</v>
      </c>
      <c r="AC3304" s="8">
        <v>0</v>
      </c>
      <c r="AE3304" s="7">
        <v>45854</v>
      </c>
      <c r="AF3304" s="8">
        <v>0</v>
      </c>
      <c r="AH3304" s="7">
        <v>45854</v>
      </c>
      <c r="AN3304" s="8">
        <v>0</v>
      </c>
      <c r="AO3304" s="8">
        <v>240</v>
      </c>
    </row>
    <row r="3305" spans="1:41" x14ac:dyDescent="0.25">
      <c r="A3305" s="6" t="str">
        <f t="shared" si="782"/>
        <v>525-2025000312</v>
      </c>
      <c r="B3305" s="6" t="str">
        <f t="shared" si="775"/>
        <v>Lasa Int</v>
      </c>
      <c r="C3305" s="7">
        <v>45810</v>
      </c>
      <c r="D3305" s="7">
        <v>46068</v>
      </c>
      <c r="E3305" s="8">
        <v>15</v>
      </c>
      <c r="F3305" s="6" t="str">
        <f t="shared" si="783"/>
        <v>ROYAL C</v>
      </c>
      <c r="G3305" s="6" t="str">
        <f t="shared" si="784"/>
        <v>F110108765000000</v>
      </c>
      <c r="H3305" s="6" t="str">
        <f t="shared" si="785"/>
        <v>FAJP 1087 M - ROYAL</v>
      </c>
      <c r="I3305" s="6" t="str">
        <f>"3335"</f>
        <v>3335</v>
      </c>
      <c r="J3305" s="6" t="str">
        <f>"LARANJA 3335"</f>
        <v>LARANJA 3335</v>
      </c>
      <c r="K3305" s="6" t="str">
        <f>"1535"</f>
        <v>1535</v>
      </c>
      <c r="L3305" s="6" t="str">
        <f>"Toalhões"</f>
        <v>Toalhões</v>
      </c>
      <c r="M3305" s="6" t="str">
        <f>"70x140"</f>
        <v>70x140</v>
      </c>
      <c r="N3305" s="6" t="str">
        <f>"5602972718263"</f>
        <v>5602972718263</v>
      </c>
      <c r="O3305" s="8">
        <v>120</v>
      </c>
      <c r="P3305" s="7">
        <v>45811</v>
      </c>
      <c r="R3305" s="8">
        <v>0</v>
      </c>
      <c r="S3305" s="7">
        <v>45814</v>
      </c>
      <c r="U3305" s="8">
        <v>162</v>
      </c>
      <c r="V3305" s="7">
        <v>45835</v>
      </c>
      <c r="X3305" s="8">
        <v>0</v>
      </c>
      <c r="Z3305" s="8">
        <v>162</v>
      </c>
      <c r="AA3305" s="7">
        <v>45849</v>
      </c>
      <c r="AC3305" s="8">
        <v>0</v>
      </c>
      <c r="AE3305" s="7">
        <v>45854</v>
      </c>
      <c r="AF3305" s="8">
        <v>0</v>
      </c>
      <c r="AH3305" s="7">
        <v>45854</v>
      </c>
      <c r="AN3305" s="8">
        <v>0</v>
      </c>
      <c r="AO3305" s="8">
        <v>120</v>
      </c>
    </row>
    <row r="3306" spans="1:41" x14ac:dyDescent="0.25">
      <c r="A3306" s="6" t="str">
        <f t="shared" si="782"/>
        <v>525-2025000312</v>
      </c>
      <c r="B3306" s="6" t="str">
        <f t="shared" si="775"/>
        <v>Lasa Int</v>
      </c>
      <c r="C3306" s="7">
        <v>45810</v>
      </c>
      <c r="D3306" s="7">
        <v>46068</v>
      </c>
      <c r="E3306" s="8">
        <v>16</v>
      </c>
      <c r="F3306" s="6" t="str">
        <f t="shared" si="783"/>
        <v>ROYAL C</v>
      </c>
      <c r="G3306" s="6" t="str">
        <f t="shared" si="784"/>
        <v>F110108765000000</v>
      </c>
      <c r="H3306" s="6" t="str">
        <f t="shared" si="785"/>
        <v>FAJP 1087 M - ROYAL</v>
      </c>
      <c r="I3306" s="6" t="str">
        <f>"3335"</f>
        <v>3335</v>
      </c>
      <c r="J3306" s="6" t="str">
        <f>"LARANJA 3335"</f>
        <v>LARANJA 3335</v>
      </c>
      <c r="K3306" s="6" t="str">
        <f>"2020"</f>
        <v>2020</v>
      </c>
      <c r="L3306" s="6" t="str">
        <f>"Lençóis"</f>
        <v>Lençóis</v>
      </c>
      <c r="M3306" s="6" t="str">
        <f>"100x150"</f>
        <v>100x150</v>
      </c>
      <c r="N3306" s="6" t="str">
        <f>"5602972718270"</f>
        <v>5602972718270</v>
      </c>
      <c r="O3306" s="8">
        <v>160</v>
      </c>
      <c r="P3306" s="7">
        <v>45811</v>
      </c>
      <c r="R3306" s="8">
        <v>0</v>
      </c>
      <c r="S3306" s="7">
        <v>45814</v>
      </c>
      <c r="U3306" s="8">
        <v>180</v>
      </c>
      <c r="V3306" s="7">
        <v>45835</v>
      </c>
      <c r="X3306" s="8">
        <v>0</v>
      </c>
      <c r="Z3306" s="8">
        <v>180</v>
      </c>
      <c r="AA3306" s="7">
        <v>45849</v>
      </c>
      <c r="AC3306" s="8">
        <v>131</v>
      </c>
      <c r="AE3306" s="7">
        <v>45854</v>
      </c>
      <c r="AF3306" s="8">
        <v>131</v>
      </c>
      <c r="AH3306" s="7">
        <v>45854</v>
      </c>
      <c r="AN3306" s="8">
        <v>131</v>
      </c>
      <c r="AO3306" s="8">
        <v>29</v>
      </c>
    </row>
    <row r="3307" spans="1:41" x14ac:dyDescent="0.25">
      <c r="A3307" s="6" t="str">
        <f t="shared" si="782"/>
        <v>525-2025000312</v>
      </c>
      <c r="B3307" s="6" t="str">
        <f t="shared" si="775"/>
        <v>Lasa Int</v>
      </c>
      <c r="C3307" s="7">
        <v>45810</v>
      </c>
      <c r="D3307" s="7">
        <v>46068</v>
      </c>
      <c r="E3307" s="8">
        <v>17</v>
      </c>
      <c r="F3307" s="6" t="str">
        <f t="shared" si="783"/>
        <v>ROYAL C</v>
      </c>
      <c r="G3307" s="6" t="str">
        <f t="shared" si="784"/>
        <v>F110108765000000</v>
      </c>
      <c r="H3307" s="6" t="str">
        <f t="shared" si="785"/>
        <v>FAJP 1087 M - ROYAL</v>
      </c>
      <c r="I3307" s="6" t="str">
        <f>"65"</f>
        <v>65</v>
      </c>
      <c r="J3307" s="6" t="str">
        <f>"BEGE 65"</f>
        <v>BEGE 65</v>
      </c>
      <c r="K3307" s="6" t="str">
        <f>"0330"</f>
        <v>0330</v>
      </c>
      <c r="L3307" s="6" t="str">
        <f>"Panos"</f>
        <v>Panos</v>
      </c>
      <c r="M3307" s="6" t="str">
        <f>"33x33"</f>
        <v>33x33</v>
      </c>
      <c r="N3307" s="6" t="str">
        <f>"5602972871821"</f>
        <v>5602972871821</v>
      </c>
      <c r="O3307" s="8">
        <v>240</v>
      </c>
      <c r="P3307" s="7">
        <v>45811</v>
      </c>
      <c r="R3307" s="8">
        <v>0</v>
      </c>
      <c r="S3307" s="7">
        <v>45814</v>
      </c>
      <c r="U3307" s="8">
        <v>318</v>
      </c>
      <c r="V3307" s="7">
        <v>45835</v>
      </c>
      <c r="X3307" s="8">
        <v>0</v>
      </c>
      <c r="Z3307" s="8">
        <v>318</v>
      </c>
      <c r="AA3307" s="7">
        <v>45849</v>
      </c>
      <c r="AC3307" s="8">
        <v>312</v>
      </c>
      <c r="AE3307" s="7">
        <v>45854</v>
      </c>
      <c r="AF3307" s="8">
        <v>312</v>
      </c>
      <c r="AH3307" s="7">
        <v>45854</v>
      </c>
      <c r="AN3307" s="8">
        <v>312</v>
      </c>
      <c r="AO3307" s="8">
        <v>-72</v>
      </c>
    </row>
    <row r="3308" spans="1:41" x14ac:dyDescent="0.25">
      <c r="A3308" s="6" t="str">
        <f t="shared" si="782"/>
        <v>525-2025000312</v>
      </c>
      <c r="B3308" s="6" t="str">
        <f t="shared" si="775"/>
        <v>Lasa Int</v>
      </c>
      <c r="C3308" s="7">
        <v>45810</v>
      </c>
      <c r="D3308" s="7">
        <v>46068</v>
      </c>
      <c r="E3308" s="8">
        <v>18</v>
      </c>
      <c r="F3308" s="6" t="str">
        <f t="shared" si="783"/>
        <v>ROYAL C</v>
      </c>
      <c r="G3308" s="6" t="str">
        <f t="shared" si="784"/>
        <v>F110108765000000</v>
      </c>
      <c r="H3308" s="6" t="str">
        <f t="shared" si="785"/>
        <v>FAJP 1087 M - ROYAL</v>
      </c>
      <c r="I3308" s="6" t="str">
        <f>"65"</f>
        <v>65</v>
      </c>
      <c r="J3308" s="6" t="str">
        <f>"BEGE 65"</f>
        <v>BEGE 65</v>
      </c>
      <c r="K3308" s="6" t="str">
        <f>"1024"</f>
        <v>1024</v>
      </c>
      <c r="L3308" s="6" t="str">
        <f>"Toalhas"</f>
        <v>Toalhas</v>
      </c>
      <c r="M3308" s="6" t="str">
        <f>"50x100"</f>
        <v>50x100</v>
      </c>
      <c r="N3308" s="6" t="str">
        <f>"5602972871845"</f>
        <v>5602972871845</v>
      </c>
      <c r="O3308" s="8">
        <v>240</v>
      </c>
      <c r="P3308" s="7">
        <v>45811</v>
      </c>
      <c r="R3308" s="8">
        <v>0</v>
      </c>
      <c r="S3308" s="7">
        <v>45814</v>
      </c>
      <c r="U3308" s="8">
        <v>240</v>
      </c>
      <c r="V3308" s="7">
        <v>45835</v>
      </c>
      <c r="X3308" s="8">
        <v>0</v>
      </c>
      <c r="Z3308" s="8">
        <v>240</v>
      </c>
      <c r="AA3308" s="7">
        <v>45849</v>
      </c>
      <c r="AC3308" s="8">
        <v>246</v>
      </c>
      <c r="AE3308" s="7">
        <v>45854</v>
      </c>
      <c r="AF3308" s="8">
        <v>246</v>
      </c>
      <c r="AH3308" s="7">
        <v>45854</v>
      </c>
      <c r="AN3308" s="8">
        <v>246</v>
      </c>
      <c r="AO3308" s="8">
        <v>-6</v>
      </c>
    </row>
    <row r="3309" spans="1:41" x14ac:dyDescent="0.25">
      <c r="A3309" s="6" t="str">
        <f t="shared" si="782"/>
        <v>525-2025000312</v>
      </c>
      <c r="B3309" s="6" t="str">
        <f t="shared" si="775"/>
        <v>Lasa Int</v>
      </c>
      <c r="C3309" s="7">
        <v>45810</v>
      </c>
      <c r="D3309" s="7">
        <v>46068</v>
      </c>
      <c r="E3309" s="8">
        <v>19</v>
      </c>
      <c r="F3309" s="6" t="str">
        <f t="shared" si="783"/>
        <v>ROYAL C</v>
      </c>
      <c r="G3309" s="6" t="str">
        <f t="shared" si="784"/>
        <v>F110108765000000</v>
      </c>
      <c r="H3309" s="6" t="str">
        <f t="shared" si="785"/>
        <v>FAJP 1087 M - ROYAL</v>
      </c>
      <c r="I3309" s="6" t="str">
        <f>"65"</f>
        <v>65</v>
      </c>
      <c r="J3309" s="6" t="str">
        <f>"BEGE 65"</f>
        <v>BEGE 65</v>
      </c>
      <c r="K3309" s="6" t="str">
        <f>"1535"</f>
        <v>1535</v>
      </c>
      <c r="L3309" s="6" t="str">
        <f>"Toalhões"</f>
        <v>Toalhões</v>
      </c>
      <c r="M3309" s="6" t="str">
        <f>"70x140"</f>
        <v>70x140</v>
      </c>
      <c r="N3309" s="6" t="str">
        <f>"5602972871852"</f>
        <v>5602972871852</v>
      </c>
      <c r="O3309" s="8">
        <v>120</v>
      </c>
      <c r="P3309" s="7">
        <v>45811</v>
      </c>
      <c r="R3309" s="8">
        <v>0</v>
      </c>
      <c r="S3309" s="7">
        <v>45814</v>
      </c>
      <c r="U3309" s="8">
        <v>159</v>
      </c>
      <c r="V3309" s="7">
        <v>45835</v>
      </c>
      <c r="X3309" s="8">
        <v>0</v>
      </c>
      <c r="Z3309" s="8">
        <v>159</v>
      </c>
      <c r="AA3309" s="7">
        <v>45849</v>
      </c>
      <c r="AC3309" s="8">
        <v>152</v>
      </c>
      <c r="AE3309" s="7">
        <v>45854</v>
      </c>
      <c r="AF3309" s="8">
        <v>152</v>
      </c>
      <c r="AH3309" s="7">
        <v>45854</v>
      </c>
      <c r="AN3309" s="8">
        <v>152</v>
      </c>
      <c r="AO3309" s="8">
        <v>-32</v>
      </c>
    </row>
    <row r="3310" spans="1:41" x14ac:dyDescent="0.25">
      <c r="A3310" s="6" t="str">
        <f t="shared" si="782"/>
        <v>525-2025000312</v>
      </c>
      <c r="B3310" s="6" t="str">
        <f t="shared" si="775"/>
        <v>Lasa Int</v>
      </c>
      <c r="C3310" s="7">
        <v>45810</v>
      </c>
      <c r="D3310" s="7">
        <v>46068</v>
      </c>
      <c r="E3310" s="8">
        <v>20</v>
      </c>
      <c r="F3310" s="6" t="str">
        <f t="shared" si="783"/>
        <v>ROYAL C</v>
      </c>
      <c r="G3310" s="6" t="str">
        <f t="shared" si="784"/>
        <v>F110108765000000</v>
      </c>
      <c r="H3310" s="6" t="str">
        <f t="shared" si="785"/>
        <v>FAJP 1087 M - ROYAL</v>
      </c>
      <c r="I3310" s="6" t="str">
        <f>"65"</f>
        <v>65</v>
      </c>
      <c r="J3310" s="6" t="str">
        <f>"BEGE 65"</f>
        <v>BEGE 65</v>
      </c>
      <c r="K3310" s="6" t="str">
        <f>"2020"</f>
        <v>2020</v>
      </c>
      <c r="L3310" s="6" t="str">
        <f>"Lençóis"</f>
        <v>Lençóis</v>
      </c>
      <c r="M3310" s="6" t="str">
        <f>"100x150"</f>
        <v>100x150</v>
      </c>
      <c r="N3310" s="6" t="str">
        <f>"5602972871869"</f>
        <v>5602972871869</v>
      </c>
      <c r="O3310" s="8">
        <v>160</v>
      </c>
      <c r="P3310" s="7">
        <v>45811</v>
      </c>
      <c r="R3310" s="8">
        <v>0</v>
      </c>
      <c r="S3310" s="7">
        <v>45814</v>
      </c>
      <c r="U3310" s="8">
        <v>180</v>
      </c>
      <c r="V3310" s="7">
        <v>45835</v>
      </c>
      <c r="X3310" s="8">
        <v>0</v>
      </c>
      <c r="Z3310" s="8">
        <v>180</v>
      </c>
      <c r="AA3310" s="7">
        <v>45849</v>
      </c>
      <c r="AC3310" s="8">
        <v>168</v>
      </c>
      <c r="AE3310" s="7">
        <v>45854</v>
      </c>
      <c r="AF3310" s="8">
        <v>168</v>
      </c>
      <c r="AH3310" s="7">
        <v>45854</v>
      </c>
      <c r="AN3310" s="8">
        <v>168</v>
      </c>
      <c r="AO3310" s="8">
        <v>-8</v>
      </c>
    </row>
    <row r="3311" spans="1:41" x14ac:dyDescent="0.25">
      <c r="A3311" s="6" t="str">
        <f t="shared" si="782"/>
        <v>525-2025000312</v>
      </c>
      <c r="B3311" s="6" t="str">
        <f t="shared" si="775"/>
        <v>Lasa Int</v>
      </c>
      <c r="C3311" s="7">
        <v>45810</v>
      </c>
      <c r="D3311" s="7">
        <v>46068</v>
      </c>
      <c r="E3311" s="8">
        <v>21</v>
      </c>
      <c r="F3311" s="6" t="str">
        <f t="shared" si="783"/>
        <v>ROYAL C</v>
      </c>
      <c r="G3311" s="6" t="str">
        <f>"F161003085000000"</f>
        <v>F161003085000000</v>
      </c>
      <c r="H3311" s="6" t="str">
        <f>"TA 30 - 850 g/m²"</f>
        <v>TA 30 - 850 g/m²</v>
      </c>
      <c r="I3311" s="6" t="str">
        <f>"1"</f>
        <v>1</v>
      </c>
      <c r="J3311" s="6" t="str">
        <f>"BRANCO"</f>
        <v>BRANCO</v>
      </c>
      <c r="K3311" s="6" t="str">
        <f>"3020"</f>
        <v>3020</v>
      </c>
      <c r="L3311" s="6" t="str">
        <f>"Tapetes"</f>
        <v>Tapetes</v>
      </c>
      <c r="M3311" s="6" t="str">
        <f>"50x80"</f>
        <v>50x80</v>
      </c>
      <c r="N3311" s="6" t="str">
        <f>"5602972872606"</f>
        <v>5602972872606</v>
      </c>
      <c r="O3311" s="8">
        <v>400</v>
      </c>
      <c r="P3311" s="7">
        <v>45811</v>
      </c>
      <c r="R3311" s="8">
        <v>0</v>
      </c>
      <c r="S3311" s="7">
        <v>45814</v>
      </c>
      <c r="U3311" s="8">
        <v>400</v>
      </c>
      <c r="V3311" s="7">
        <v>45835</v>
      </c>
      <c r="X3311" s="8">
        <v>0</v>
      </c>
      <c r="Z3311" s="8">
        <v>400</v>
      </c>
      <c r="AA3311" s="7">
        <v>45849</v>
      </c>
      <c r="AC3311" s="8">
        <v>307</v>
      </c>
      <c r="AE3311" s="7">
        <v>45854</v>
      </c>
      <c r="AF3311" s="8">
        <v>307</v>
      </c>
      <c r="AH3311" s="7">
        <v>45854</v>
      </c>
      <c r="AN3311" s="8">
        <v>307</v>
      </c>
      <c r="AO3311" s="8">
        <v>93</v>
      </c>
    </row>
    <row r="3312" spans="1:41" x14ac:dyDescent="0.25">
      <c r="A3312" s="6" t="str">
        <f t="shared" si="782"/>
        <v>525-2025000312</v>
      </c>
      <c r="B3312" s="6" t="str">
        <f t="shared" si="775"/>
        <v>Lasa Int</v>
      </c>
      <c r="C3312" s="7">
        <v>45810</v>
      </c>
      <c r="D3312" s="7">
        <v>46068</v>
      </c>
      <c r="E3312" s="8">
        <v>22</v>
      </c>
      <c r="F3312" s="6" t="str">
        <f t="shared" si="783"/>
        <v>ROYAL C</v>
      </c>
      <c r="G3312" s="6" t="str">
        <f>"F161003085000000"</f>
        <v>F161003085000000</v>
      </c>
      <c r="H3312" s="6" t="str">
        <f>"TA 30 - 850 g/m²"</f>
        <v>TA 30 - 850 g/m²</v>
      </c>
      <c r="I3312" s="6" t="str">
        <f>"3001"</f>
        <v>3001</v>
      </c>
      <c r="J3312" s="6" t="str">
        <f>"LILAS 3001"</f>
        <v>LILAS 3001</v>
      </c>
      <c r="K3312" s="6" t="str">
        <f>"3020"</f>
        <v>3020</v>
      </c>
      <c r="L3312" s="6" t="str">
        <f>"Tapetes"</f>
        <v>Tapetes</v>
      </c>
      <c r="M3312" s="6" t="str">
        <f>"50x80"</f>
        <v>50x80</v>
      </c>
      <c r="N3312" s="6" t="str">
        <f>"5602972872484"</f>
        <v>5602972872484</v>
      </c>
      <c r="O3312" s="8">
        <v>100</v>
      </c>
      <c r="P3312" s="7">
        <v>45811</v>
      </c>
      <c r="R3312" s="8">
        <v>0</v>
      </c>
      <c r="S3312" s="7">
        <v>45814</v>
      </c>
      <c r="U3312" s="8">
        <v>100</v>
      </c>
      <c r="V3312" s="7">
        <v>45835</v>
      </c>
      <c r="X3312" s="8">
        <v>0</v>
      </c>
      <c r="Z3312" s="8">
        <v>100</v>
      </c>
      <c r="AA3312" s="7">
        <v>45849</v>
      </c>
      <c r="AC3312" s="8">
        <v>69</v>
      </c>
      <c r="AE3312" s="7">
        <v>45854</v>
      </c>
      <c r="AF3312" s="8">
        <v>69</v>
      </c>
      <c r="AH3312" s="7">
        <v>45854</v>
      </c>
      <c r="AN3312" s="8">
        <v>69</v>
      </c>
      <c r="AO3312" s="8">
        <v>31</v>
      </c>
    </row>
    <row r="3313" spans="1:41" x14ac:dyDescent="0.25">
      <c r="A3313" s="6" t="str">
        <f>"525-2025000331"</f>
        <v>525-2025000331</v>
      </c>
      <c r="B3313" s="6" t="str">
        <f t="shared" si="775"/>
        <v>Lasa Int</v>
      </c>
      <c r="C3313" s="7">
        <v>45826</v>
      </c>
      <c r="D3313" s="7">
        <v>46058</v>
      </c>
      <c r="E3313" s="8">
        <v>1</v>
      </c>
      <c r="F3313" s="6" t="str">
        <f>"PURE R"</f>
        <v>PURE R</v>
      </c>
      <c r="G3313" s="6" t="str">
        <f>"R120203038500000"</f>
        <v>R120203038500000</v>
      </c>
      <c r="H3313" s="6" t="str">
        <f>"R 2030 - Ketten PURE"</f>
        <v>R 2030 - Ketten PURE</v>
      </c>
      <c r="I3313" s="6" t="str">
        <f>"1"</f>
        <v>1</v>
      </c>
      <c r="J3313" s="6" t="str">
        <f>"BRANCO"</f>
        <v>BRANCO</v>
      </c>
      <c r="K3313" s="6" t="str">
        <f>"5001"</f>
        <v>5001</v>
      </c>
      <c r="L3313" s="6" t="str">
        <f>"Roupões Adulto"</f>
        <v>Roupões Adulto</v>
      </c>
      <c r="M3313" s="6" t="str">
        <f>"XS"</f>
        <v>XS</v>
      </c>
      <c r="N3313" s="6" t="str">
        <f>"5605247600676"</f>
        <v>5605247600676</v>
      </c>
      <c r="O3313" s="8">
        <v>18</v>
      </c>
      <c r="P3313" s="7">
        <v>45826</v>
      </c>
      <c r="R3313" s="8">
        <v>0</v>
      </c>
      <c r="S3313" s="7">
        <v>45835</v>
      </c>
      <c r="U3313" s="8">
        <v>0</v>
      </c>
      <c r="V3313" s="7">
        <v>45846</v>
      </c>
      <c r="X3313" s="8">
        <v>0</v>
      </c>
      <c r="Z3313" s="8">
        <v>0</v>
      </c>
      <c r="AA3313" s="7">
        <v>45856</v>
      </c>
      <c r="AC3313" s="8">
        <v>0</v>
      </c>
      <c r="AE3313" s="7">
        <v>45860</v>
      </c>
      <c r="AF3313" s="8">
        <v>0</v>
      </c>
      <c r="AH3313" s="7">
        <v>45874</v>
      </c>
      <c r="AN3313" s="8">
        <v>0</v>
      </c>
      <c r="AO3313" s="8">
        <v>18</v>
      </c>
    </row>
    <row r="3314" spans="1:41" x14ac:dyDescent="0.25">
      <c r="A3314" s="6" t="str">
        <f>"525-2025000331"</f>
        <v>525-2025000331</v>
      </c>
      <c r="B3314" s="6" t="str">
        <f t="shared" si="775"/>
        <v>Lasa Int</v>
      </c>
      <c r="C3314" s="7">
        <v>45826</v>
      </c>
      <c r="D3314" s="7">
        <v>46058</v>
      </c>
      <c r="E3314" s="8">
        <v>2</v>
      </c>
      <c r="F3314" s="6" t="str">
        <f>"PURE R"</f>
        <v>PURE R</v>
      </c>
      <c r="G3314" s="6" t="str">
        <f>"R120203038500000"</f>
        <v>R120203038500000</v>
      </c>
      <c r="H3314" s="6" t="str">
        <f>"R 2030 - Ketten PURE"</f>
        <v>R 2030 - Ketten PURE</v>
      </c>
      <c r="I3314" s="6" t="str">
        <f>"1"</f>
        <v>1</v>
      </c>
      <c r="J3314" s="6" t="str">
        <f>"BRANCO"</f>
        <v>BRANCO</v>
      </c>
      <c r="K3314" s="6" t="str">
        <f>"5002"</f>
        <v>5002</v>
      </c>
      <c r="L3314" s="6" t="str">
        <f>"Roupões Adulto"</f>
        <v>Roupões Adulto</v>
      </c>
      <c r="M3314" s="6" t="str">
        <f>"S"</f>
        <v>S</v>
      </c>
      <c r="N3314" s="6" t="str">
        <f>"5605247600430"</f>
        <v>5605247600430</v>
      </c>
      <c r="O3314" s="8">
        <v>12</v>
      </c>
      <c r="P3314" s="7">
        <v>45826</v>
      </c>
      <c r="R3314" s="8">
        <v>0</v>
      </c>
      <c r="S3314" s="7">
        <v>45835</v>
      </c>
      <c r="U3314" s="8">
        <v>0</v>
      </c>
      <c r="V3314" s="7">
        <v>45846</v>
      </c>
      <c r="X3314" s="8">
        <v>0</v>
      </c>
      <c r="Z3314" s="8">
        <v>0</v>
      </c>
      <c r="AA3314" s="7">
        <v>45856</v>
      </c>
      <c r="AC3314" s="8">
        <v>0</v>
      </c>
      <c r="AE3314" s="7">
        <v>45860</v>
      </c>
      <c r="AF3314" s="8">
        <v>0</v>
      </c>
      <c r="AH3314" s="7">
        <v>45874</v>
      </c>
      <c r="AN3314" s="8">
        <v>0</v>
      </c>
      <c r="AO3314" s="8">
        <v>12</v>
      </c>
    </row>
    <row r="3315" spans="1:41" x14ac:dyDescent="0.25">
      <c r="A3315" s="6" t="str">
        <f>"525-2025000331"</f>
        <v>525-2025000331</v>
      </c>
      <c r="B3315" s="6" t="str">
        <f t="shared" si="775"/>
        <v>Lasa Int</v>
      </c>
      <c r="C3315" s="7">
        <v>45826</v>
      </c>
      <c r="D3315" s="7">
        <v>46058</v>
      </c>
      <c r="E3315" s="8">
        <v>3</v>
      </c>
      <c r="F3315" s="6" t="str">
        <f>"PURE R"</f>
        <v>PURE R</v>
      </c>
      <c r="G3315" s="6" t="str">
        <f>"R120203038500000"</f>
        <v>R120203038500000</v>
      </c>
      <c r="H3315" s="6" t="str">
        <f>"R 2030 - Ketten PURE"</f>
        <v>R 2030 - Ketten PURE</v>
      </c>
      <c r="I3315" s="6" t="str">
        <f>"1"</f>
        <v>1</v>
      </c>
      <c r="J3315" s="6" t="str">
        <f>"BRANCO"</f>
        <v>BRANCO</v>
      </c>
      <c r="K3315" s="6" t="str">
        <f>"5004"</f>
        <v>5004</v>
      </c>
      <c r="L3315" s="6" t="str">
        <f>"Roupões Adulto"</f>
        <v>Roupões Adulto</v>
      </c>
      <c r="M3315" s="6" t="str">
        <f>"M"</f>
        <v>M</v>
      </c>
      <c r="N3315" s="6" t="str">
        <f>"5605247600447"</f>
        <v>5605247600447</v>
      </c>
      <c r="O3315" s="8">
        <v>12</v>
      </c>
      <c r="P3315" s="7">
        <v>45826</v>
      </c>
      <c r="R3315" s="8">
        <v>0</v>
      </c>
      <c r="S3315" s="7">
        <v>45835</v>
      </c>
      <c r="U3315" s="8">
        <v>0</v>
      </c>
      <c r="V3315" s="7">
        <v>45846</v>
      </c>
      <c r="X3315" s="8">
        <v>0</v>
      </c>
      <c r="Z3315" s="8">
        <v>0</v>
      </c>
      <c r="AA3315" s="7">
        <v>45856</v>
      </c>
      <c r="AC3315" s="8">
        <v>0</v>
      </c>
      <c r="AE3315" s="7">
        <v>45860</v>
      </c>
      <c r="AF3315" s="8">
        <v>0</v>
      </c>
      <c r="AH3315" s="7">
        <v>45874</v>
      </c>
      <c r="AN3315" s="8">
        <v>0</v>
      </c>
      <c r="AO3315" s="8">
        <v>12</v>
      </c>
    </row>
    <row r="3316" spans="1:41" x14ac:dyDescent="0.25">
      <c r="A3316" s="6" t="str">
        <f>"525-2025000331"</f>
        <v>525-2025000331</v>
      </c>
      <c r="B3316" s="6" t="str">
        <f t="shared" si="775"/>
        <v>Lasa Int</v>
      </c>
      <c r="C3316" s="7">
        <v>45826</v>
      </c>
      <c r="D3316" s="7">
        <v>46058</v>
      </c>
      <c r="E3316" s="8">
        <v>4</v>
      </c>
      <c r="F3316" s="6" t="str">
        <f>"PURE R"</f>
        <v>PURE R</v>
      </c>
      <c r="G3316" s="6" t="str">
        <f>"R120203038500000"</f>
        <v>R120203038500000</v>
      </c>
      <c r="H3316" s="6" t="str">
        <f>"R 2030 - Ketten PURE"</f>
        <v>R 2030 - Ketten PURE</v>
      </c>
      <c r="I3316" s="6" t="str">
        <f>"1"</f>
        <v>1</v>
      </c>
      <c r="J3316" s="6" t="str">
        <f>"BRANCO"</f>
        <v>BRANCO</v>
      </c>
      <c r="K3316" s="6" t="str">
        <f>"5006"</f>
        <v>5006</v>
      </c>
      <c r="L3316" s="6" t="str">
        <f>"Roupões Adulto"</f>
        <v>Roupões Adulto</v>
      </c>
      <c r="M3316" s="6" t="str">
        <f>"L"</f>
        <v>L</v>
      </c>
      <c r="N3316" s="6" t="str">
        <f>"5605247600454"</f>
        <v>5605247600454</v>
      </c>
      <c r="O3316" s="8">
        <v>24</v>
      </c>
      <c r="P3316" s="7">
        <v>45826</v>
      </c>
      <c r="R3316" s="8">
        <v>0</v>
      </c>
      <c r="S3316" s="7">
        <v>45835</v>
      </c>
      <c r="U3316" s="8">
        <v>0</v>
      </c>
      <c r="V3316" s="7">
        <v>45846</v>
      </c>
      <c r="X3316" s="8">
        <v>0</v>
      </c>
      <c r="Z3316" s="8">
        <v>0</v>
      </c>
      <c r="AA3316" s="7">
        <v>45856</v>
      </c>
      <c r="AC3316" s="8">
        <v>0</v>
      </c>
      <c r="AE3316" s="7">
        <v>45860</v>
      </c>
      <c r="AF3316" s="8">
        <v>0</v>
      </c>
      <c r="AH3316" s="7">
        <v>45874</v>
      </c>
      <c r="AN3316" s="8">
        <v>0</v>
      </c>
      <c r="AO3316" s="8">
        <v>24</v>
      </c>
    </row>
    <row r="3317" spans="1:41" x14ac:dyDescent="0.25">
      <c r="A3317" s="6" t="str">
        <f>"525-2025000331"</f>
        <v>525-2025000331</v>
      </c>
      <c r="B3317" s="6" t="str">
        <f t="shared" si="775"/>
        <v>Lasa Int</v>
      </c>
      <c r="C3317" s="7">
        <v>45826</v>
      </c>
      <c r="D3317" s="7">
        <v>46058</v>
      </c>
      <c r="E3317" s="8">
        <v>5</v>
      </c>
      <c r="F3317" s="6" t="str">
        <f>"PURE R"</f>
        <v>PURE R</v>
      </c>
      <c r="G3317" s="6" t="str">
        <f>"R120203038500000"</f>
        <v>R120203038500000</v>
      </c>
      <c r="H3317" s="6" t="str">
        <f>"R 2030 - Ketten PURE"</f>
        <v>R 2030 - Ketten PURE</v>
      </c>
      <c r="I3317" s="6" t="str">
        <f>"1"</f>
        <v>1</v>
      </c>
      <c r="J3317" s="6" t="str">
        <f>"BRANCO"</f>
        <v>BRANCO</v>
      </c>
      <c r="K3317" s="6" t="str">
        <f>"5008"</f>
        <v>5008</v>
      </c>
      <c r="L3317" s="6" t="str">
        <f>"Roupões Adulto"</f>
        <v>Roupões Adulto</v>
      </c>
      <c r="M3317" s="6" t="str">
        <f>"XL"</f>
        <v>XL</v>
      </c>
      <c r="N3317" s="6" t="str">
        <f>"5605247600461"</f>
        <v>5605247600461</v>
      </c>
      <c r="O3317" s="8">
        <v>6</v>
      </c>
      <c r="P3317" s="7">
        <v>45826</v>
      </c>
      <c r="R3317" s="8">
        <v>0</v>
      </c>
      <c r="S3317" s="7">
        <v>45835</v>
      </c>
      <c r="U3317" s="8">
        <v>0</v>
      </c>
      <c r="V3317" s="7">
        <v>45846</v>
      </c>
      <c r="X3317" s="8">
        <v>0</v>
      </c>
      <c r="Z3317" s="8">
        <v>0</v>
      </c>
      <c r="AA3317" s="7">
        <v>45856</v>
      </c>
      <c r="AC3317" s="8">
        <v>0</v>
      </c>
      <c r="AE3317" s="7">
        <v>45860</v>
      </c>
      <c r="AF3317" s="8">
        <v>0</v>
      </c>
      <c r="AH3317" s="7">
        <v>45874</v>
      </c>
      <c r="AN3317" s="8">
        <v>0</v>
      </c>
      <c r="AO3317" s="8">
        <v>6</v>
      </c>
    </row>
    <row r="3318" spans="1:41" x14ac:dyDescent="0.25">
      <c r="A3318" s="6" t="str">
        <f>"525-2025000333"</f>
        <v>525-2025000333</v>
      </c>
      <c r="B3318" s="6" t="str">
        <f t="shared" si="775"/>
        <v>Lasa Int</v>
      </c>
      <c r="C3318" s="7">
        <v>45831</v>
      </c>
      <c r="D3318" s="7">
        <v>46081</v>
      </c>
      <c r="E3318" s="8">
        <v>1</v>
      </c>
      <c r="F3318" s="6" t="str">
        <f>"Pareo"</f>
        <v>Pareo</v>
      </c>
      <c r="G3318" s="6" t="str">
        <f>"F600189329000000"</f>
        <v>F600189329000000</v>
      </c>
      <c r="H3318" s="6" t="str">
        <f>"10-1893 - 290 g/m² c"</f>
        <v>10-1893 - 290 g/m² c</v>
      </c>
      <c r="I3318" s="6" t="str">
        <f>"202276"</f>
        <v>202276</v>
      </c>
      <c r="J3318" s="6" t="str">
        <f>"BEGE 2276"</f>
        <v>BEGE 2276</v>
      </c>
      <c r="K3318" s="6" t="str">
        <f>"3539"</f>
        <v>3539</v>
      </c>
      <c r="L3318" s="6" t="str">
        <f>"Praia"</f>
        <v>Praia</v>
      </c>
      <c r="M3318" s="6" t="str">
        <f>"100x180+8"</f>
        <v>100x180+8</v>
      </c>
      <c r="N3318" s="6" t="str">
        <f>"5602972603019"</f>
        <v>5602972603019</v>
      </c>
      <c r="O3318" s="8">
        <v>200</v>
      </c>
      <c r="P3318" s="7">
        <v>45869</v>
      </c>
      <c r="R3318" s="8">
        <v>238</v>
      </c>
      <c r="S3318" s="7">
        <v>45874</v>
      </c>
      <c r="U3318" s="8">
        <v>238</v>
      </c>
      <c r="V3318" s="7">
        <v>45877</v>
      </c>
      <c r="X3318" s="8">
        <v>0</v>
      </c>
      <c r="Z3318" s="8">
        <v>238</v>
      </c>
      <c r="AA3318" s="7">
        <v>45910</v>
      </c>
      <c r="AC3318" s="8">
        <v>0</v>
      </c>
      <c r="AE3318" s="7">
        <v>45912</v>
      </c>
      <c r="AF3318" s="8">
        <v>0</v>
      </c>
      <c r="AH3318" s="7">
        <v>45912</v>
      </c>
      <c r="AN3318" s="8">
        <v>0</v>
      </c>
      <c r="AO3318" s="8">
        <v>200</v>
      </c>
    </row>
    <row r="3319" spans="1:41" x14ac:dyDescent="0.25">
      <c r="A3319" s="6" t="str">
        <f t="shared" ref="A3319:A3327" si="786">"525-2025000338"</f>
        <v>525-2025000338</v>
      </c>
      <c r="B3319" s="6" t="str">
        <f t="shared" si="775"/>
        <v>Lasa Int</v>
      </c>
      <c r="C3319" s="7">
        <v>45833</v>
      </c>
      <c r="D3319" s="7">
        <v>46058</v>
      </c>
      <c r="E3319" s="8">
        <v>1</v>
      </c>
      <c r="F3319" s="6" t="str">
        <f t="shared" ref="F3319:F3327" si="787">"PURE R"</f>
        <v>PURE R</v>
      </c>
      <c r="G3319" s="6" t="str">
        <f>"K018000135000000"</f>
        <v>K018000135000000</v>
      </c>
      <c r="H3319" s="6" t="str">
        <f>"Chinelos - LI - 350"</f>
        <v>Chinelos - LI - 350</v>
      </c>
      <c r="I3319" s="6" t="str">
        <f t="shared" ref="I3319:I3327" si="788">"2392"</f>
        <v>2392</v>
      </c>
      <c r="J3319" s="6" t="str">
        <f t="shared" ref="J3319:J3327" si="789">"LARANJA 2392"</f>
        <v>LARANJA 2392</v>
      </c>
      <c r="K3319" s="6" t="str">
        <f>"4808"</f>
        <v>4808</v>
      </c>
      <c r="L3319" s="6" t="str">
        <f>"Chinelos"</f>
        <v>Chinelos</v>
      </c>
      <c r="M3319" s="6" t="str">
        <f>"38"</f>
        <v>38</v>
      </c>
      <c r="N3319" s="6" t="str">
        <f>"5602972838565"</f>
        <v>5602972838565</v>
      </c>
      <c r="O3319" s="8">
        <v>60</v>
      </c>
      <c r="P3319" s="7">
        <v>45833</v>
      </c>
      <c r="R3319" s="8">
        <v>0</v>
      </c>
      <c r="S3319" s="7">
        <v>45838</v>
      </c>
      <c r="U3319" s="8">
        <v>0</v>
      </c>
      <c r="V3319" s="7">
        <v>45847</v>
      </c>
      <c r="X3319" s="8">
        <v>0</v>
      </c>
      <c r="Z3319" s="8">
        <v>0</v>
      </c>
      <c r="AA3319" s="7">
        <v>45859</v>
      </c>
      <c r="AC3319" s="8">
        <v>84</v>
      </c>
      <c r="AE3319" s="7">
        <v>45901</v>
      </c>
      <c r="AF3319" s="8">
        <v>84</v>
      </c>
      <c r="AH3319" s="7">
        <v>46058</v>
      </c>
      <c r="AI3319" s="7">
        <v>45891</v>
      </c>
      <c r="AN3319" s="8">
        <v>84</v>
      </c>
      <c r="AO3319" s="8">
        <v>-24</v>
      </c>
    </row>
    <row r="3320" spans="1:41" x14ac:dyDescent="0.25">
      <c r="A3320" s="6" t="str">
        <f t="shared" si="786"/>
        <v>525-2025000338</v>
      </c>
      <c r="B3320" s="6" t="str">
        <f t="shared" si="775"/>
        <v>Lasa Int</v>
      </c>
      <c r="C3320" s="7">
        <v>45833</v>
      </c>
      <c r="D3320" s="7">
        <v>46058</v>
      </c>
      <c r="E3320" s="8">
        <v>2</v>
      </c>
      <c r="F3320" s="6" t="str">
        <f t="shared" si="787"/>
        <v>PURE R</v>
      </c>
      <c r="G3320" s="6" t="str">
        <f>"R010000635000000"</f>
        <v>R010000635000000</v>
      </c>
      <c r="H3320" s="6" t="str">
        <f>"Alexis Cotoral Pure"</f>
        <v>Alexis Cotoral Pure</v>
      </c>
      <c r="I3320" s="6" t="str">
        <f t="shared" si="788"/>
        <v>2392</v>
      </c>
      <c r="J3320" s="6" t="str">
        <f t="shared" si="789"/>
        <v>LARANJA 2392</v>
      </c>
      <c r="K3320" s="6" t="str">
        <f>"5002"</f>
        <v>5002</v>
      </c>
      <c r="L3320" s="6" t="str">
        <f>"Roupões Adulto"</f>
        <v>Roupões Adulto</v>
      </c>
      <c r="M3320" s="6" t="str">
        <f>"S"</f>
        <v>S</v>
      </c>
      <c r="N3320" s="6" t="str">
        <f>"5602972838138"</f>
        <v>5602972838138</v>
      </c>
      <c r="O3320" s="8">
        <v>12</v>
      </c>
      <c r="P3320" s="7">
        <v>45833</v>
      </c>
      <c r="R3320" s="8">
        <v>0</v>
      </c>
      <c r="S3320" s="7">
        <v>45838</v>
      </c>
      <c r="U3320" s="8">
        <v>405</v>
      </c>
      <c r="V3320" s="7">
        <v>45847</v>
      </c>
      <c r="X3320" s="8">
        <v>405</v>
      </c>
      <c r="Z3320" s="8">
        <v>0</v>
      </c>
      <c r="AA3320" s="7">
        <v>45859</v>
      </c>
      <c r="AC3320" s="8">
        <v>14</v>
      </c>
      <c r="AE3320" s="7">
        <v>45901</v>
      </c>
      <c r="AF3320" s="8">
        <v>14</v>
      </c>
      <c r="AH3320" s="7">
        <v>46058</v>
      </c>
      <c r="AI3320" s="7">
        <v>45891</v>
      </c>
      <c r="AN3320" s="8">
        <v>14</v>
      </c>
      <c r="AO3320" s="8">
        <v>-2</v>
      </c>
    </row>
    <row r="3321" spans="1:41" x14ac:dyDescent="0.25">
      <c r="A3321" s="6" t="str">
        <f t="shared" si="786"/>
        <v>525-2025000338</v>
      </c>
      <c r="B3321" s="6" t="str">
        <f t="shared" si="775"/>
        <v>Lasa Int</v>
      </c>
      <c r="C3321" s="7">
        <v>45833</v>
      </c>
      <c r="D3321" s="7">
        <v>46058</v>
      </c>
      <c r="E3321" s="8">
        <v>3</v>
      </c>
      <c r="F3321" s="6" t="str">
        <f t="shared" si="787"/>
        <v>PURE R</v>
      </c>
      <c r="G3321" s="6" t="str">
        <f>"R010000635000000"</f>
        <v>R010000635000000</v>
      </c>
      <c r="H3321" s="6" t="str">
        <f>"Alexis Cotoral Pure"</f>
        <v>Alexis Cotoral Pure</v>
      </c>
      <c r="I3321" s="6" t="str">
        <f t="shared" si="788"/>
        <v>2392</v>
      </c>
      <c r="J3321" s="6" t="str">
        <f t="shared" si="789"/>
        <v>LARANJA 2392</v>
      </c>
      <c r="K3321" s="6" t="str">
        <f>"5004"</f>
        <v>5004</v>
      </c>
      <c r="L3321" s="6" t="str">
        <f>"Roupões Adulto"</f>
        <v>Roupões Adulto</v>
      </c>
      <c r="M3321" s="6" t="str">
        <f>"M"</f>
        <v>M</v>
      </c>
      <c r="N3321" s="6" t="str">
        <f>"5602972838145"</f>
        <v>5602972838145</v>
      </c>
      <c r="O3321" s="8">
        <v>24</v>
      </c>
      <c r="P3321" s="7">
        <v>45833</v>
      </c>
      <c r="R3321" s="8">
        <v>0</v>
      </c>
      <c r="S3321" s="7">
        <v>45838</v>
      </c>
      <c r="U3321" s="8">
        <v>0</v>
      </c>
      <c r="V3321" s="7">
        <v>45847</v>
      </c>
      <c r="X3321" s="8">
        <v>0</v>
      </c>
      <c r="Z3321" s="8">
        <v>0</v>
      </c>
      <c r="AA3321" s="7">
        <v>45859</v>
      </c>
      <c r="AC3321" s="8">
        <v>35</v>
      </c>
      <c r="AE3321" s="7">
        <v>45901</v>
      </c>
      <c r="AF3321" s="8">
        <v>35</v>
      </c>
      <c r="AH3321" s="7">
        <v>46058</v>
      </c>
      <c r="AI3321" s="7">
        <v>45891</v>
      </c>
      <c r="AN3321" s="8">
        <v>35</v>
      </c>
      <c r="AO3321" s="8">
        <v>-11</v>
      </c>
    </row>
    <row r="3322" spans="1:41" x14ac:dyDescent="0.25">
      <c r="A3322" s="6" t="str">
        <f t="shared" si="786"/>
        <v>525-2025000338</v>
      </c>
      <c r="B3322" s="6" t="str">
        <f t="shared" si="775"/>
        <v>Lasa Int</v>
      </c>
      <c r="C3322" s="7">
        <v>45833</v>
      </c>
      <c r="D3322" s="7">
        <v>46058</v>
      </c>
      <c r="E3322" s="8">
        <v>4</v>
      </c>
      <c r="F3322" s="6" t="str">
        <f t="shared" si="787"/>
        <v>PURE R</v>
      </c>
      <c r="G3322" s="6" t="str">
        <f>"R010000635000000"</f>
        <v>R010000635000000</v>
      </c>
      <c r="H3322" s="6" t="str">
        <f>"Alexis Cotoral Pure"</f>
        <v>Alexis Cotoral Pure</v>
      </c>
      <c r="I3322" s="6" t="str">
        <f t="shared" si="788"/>
        <v>2392</v>
      </c>
      <c r="J3322" s="6" t="str">
        <f t="shared" si="789"/>
        <v>LARANJA 2392</v>
      </c>
      <c r="K3322" s="6" t="str">
        <f>"5006"</f>
        <v>5006</v>
      </c>
      <c r="L3322" s="6" t="str">
        <f>"Roupões Adulto"</f>
        <v>Roupões Adulto</v>
      </c>
      <c r="M3322" s="6" t="str">
        <f>"L"</f>
        <v>L</v>
      </c>
      <c r="N3322" s="6" t="str">
        <f>"5602972838152"</f>
        <v>5602972838152</v>
      </c>
      <c r="O3322" s="8">
        <v>24</v>
      </c>
      <c r="P3322" s="7">
        <v>45833</v>
      </c>
      <c r="R3322" s="8">
        <v>0</v>
      </c>
      <c r="S3322" s="7">
        <v>45838</v>
      </c>
      <c r="U3322" s="8">
        <v>0</v>
      </c>
      <c r="V3322" s="7">
        <v>45847</v>
      </c>
      <c r="X3322" s="8">
        <v>0</v>
      </c>
      <c r="Z3322" s="8">
        <v>0</v>
      </c>
      <c r="AA3322" s="7">
        <v>45859</v>
      </c>
      <c r="AC3322" s="8">
        <v>34</v>
      </c>
      <c r="AE3322" s="7">
        <v>45901</v>
      </c>
      <c r="AF3322" s="8">
        <v>34</v>
      </c>
      <c r="AH3322" s="7">
        <v>46058</v>
      </c>
      <c r="AI3322" s="7">
        <v>45891</v>
      </c>
      <c r="AN3322" s="8">
        <v>34</v>
      </c>
      <c r="AO3322" s="8">
        <v>-10</v>
      </c>
    </row>
    <row r="3323" spans="1:41" x14ac:dyDescent="0.25">
      <c r="A3323" s="6" t="str">
        <f t="shared" si="786"/>
        <v>525-2025000338</v>
      </c>
      <c r="B3323" s="6" t="str">
        <f t="shared" si="775"/>
        <v>Lasa Int</v>
      </c>
      <c r="C3323" s="7">
        <v>45833</v>
      </c>
      <c r="D3323" s="7">
        <v>46058</v>
      </c>
      <c r="E3323" s="8">
        <v>5</v>
      </c>
      <c r="F3323" s="6" t="str">
        <f t="shared" si="787"/>
        <v>PURE R</v>
      </c>
      <c r="G3323" s="6" t="str">
        <f>"R010000635000000"</f>
        <v>R010000635000000</v>
      </c>
      <c r="H3323" s="6" t="str">
        <f>"Alexis Cotoral Pure"</f>
        <v>Alexis Cotoral Pure</v>
      </c>
      <c r="I3323" s="6" t="str">
        <f t="shared" si="788"/>
        <v>2392</v>
      </c>
      <c r="J3323" s="6" t="str">
        <f t="shared" si="789"/>
        <v>LARANJA 2392</v>
      </c>
      <c r="K3323" s="6" t="str">
        <f>"5008"</f>
        <v>5008</v>
      </c>
      <c r="L3323" s="6" t="str">
        <f>"Roupões Adulto"</f>
        <v>Roupões Adulto</v>
      </c>
      <c r="M3323" s="6" t="str">
        <f>"XL"</f>
        <v>XL</v>
      </c>
      <c r="N3323" s="6" t="str">
        <f>"5602972855661"</f>
        <v>5602972855661</v>
      </c>
      <c r="O3323" s="8">
        <v>12</v>
      </c>
      <c r="P3323" s="7">
        <v>45833</v>
      </c>
      <c r="R3323" s="8">
        <v>0</v>
      </c>
      <c r="S3323" s="7">
        <v>45838</v>
      </c>
      <c r="U3323" s="8">
        <v>0</v>
      </c>
      <c r="V3323" s="7">
        <v>45847</v>
      </c>
      <c r="X3323" s="8">
        <v>0</v>
      </c>
      <c r="Z3323" s="8">
        <v>0</v>
      </c>
      <c r="AA3323" s="7">
        <v>45859</v>
      </c>
      <c r="AC3323" s="8">
        <v>19</v>
      </c>
      <c r="AE3323" s="7">
        <v>45901</v>
      </c>
      <c r="AF3323" s="8">
        <v>19</v>
      </c>
      <c r="AH3323" s="7">
        <v>46058</v>
      </c>
      <c r="AI3323" s="7">
        <v>45891</v>
      </c>
      <c r="AN3323" s="8">
        <v>19</v>
      </c>
      <c r="AO3323" s="8">
        <v>-7</v>
      </c>
    </row>
    <row r="3324" spans="1:41" x14ac:dyDescent="0.25">
      <c r="A3324" s="6" t="str">
        <f t="shared" si="786"/>
        <v>525-2025000338</v>
      </c>
      <c r="B3324" s="6" t="str">
        <f t="shared" si="775"/>
        <v>Lasa Int</v>
      </c>
      <c r="C3324" s="7">
        <v>45833</v>
      </c>
      <c r="D3324" s="7">
        <v>46058</v>
      </c>
      <c r="E3324" s="8">
        <v>6</v>
      </c>
      <c r="F3324" s="6" t="str">
        <f t="shared" si="787"/>
        <v>PURE R</v>
      </c>
      <c r="G3324" s="6" t="str">
        <f>"R013000138500000"</f>
        <v>R013000138500000</v>
      </c>
      <c r="H3324" s="6" t="str">
        <f>"Star PURE - Ketten 3"</f>
        <v>Star PURE - Ketten 3</v>
      </c>
      <c r="I3324" s="6" t="str">
        <f t="shared" si="788"/>
        <v>2392</v>
      </c>
      <c r="J3324" s="6" t="str">
        <f t="shared" si="789"/>
        <v>LARANJA 2392</v>
      </c>
      <c r="K3324" s="6" t="str">
        <f>"5202"</f>
        <v>5202</v>
      </c>
      <c r="L3324" s="6" t="str">
        <f>"Roupões Criança"</f>
        <v>Roupões Criança</v>
      </c>
      <c r="M3324" s="6" t="str">
        <f>"2 Anos"</f>
        <v>2 Anos</v>
      </c>
      <c r="N3324" s="6" t="str">
        <f>"5602972853759"</f>
        <v>5602972853759</v>
      </c>
      <c r="O3324" s="8">
        <v>12</v>
      </c>
      <c r="P3324" s="7">
        <v>45833</v>
      </c>
      <c r="R3324" s="8">
        <v>0</v>
      </c>
      <c r="S3324" s="7">
        <v>45838</v>
      </c>
      <c r="U3324" s="8">
        <v>0</v>
      </c>
      <c r="V3324" s="7">
        <v>45847</v>
      </c>
      <c r="X3324" s="8">
        <v>0</v>
      </c>
      <c r="Z3324" s="8">
        <v>0</v>
      </c>
      <c r="AA3324" s="7">
        <v>45859</v>
      </c>
      <c r="AC3324" s="8">
        <v>0</v>
      </c>
      <c r="AE3324" s="7">
        <v>45901</v>
      </c>
      <c r="AF3324" s="8">
        <v>0</v>
      </c>
      <c r="AH3324" s="7">
        <v>46058</v>
      </c>
      <c r="AI3324" s="7">
        <v>45891</v>
      </c>
      <c r="AN3324" s="8">
        <v>0</v>
      </c>
      <c r="AO3324" s="8">
        <v>12</v>
      </c>
    </row>
    <row r="3325" spans="1:41" x14ac:dyDescent="0.25">
      <c r="A3325" s="6" t="str">
        <f t="shared" si="786"/>
        <v>525-2025000338</v>
      </c>
      <c r="B3325" s="6" t="str">
        <f t="shared" si="775"/>
        <v>Lasa Int</v>
      </c>
      <c r="C3325" s="7">
        <v>45833</v>
      </c>
      <c r="D3325" s="7">
        <v>46058</v>
      </c>
      <c r="E3325" s="8">
        <v>7</v>
      </c>
      <c r="F3325" s="6" t="str">
        <f t="shared" si="787"/>
        <v>PURE R</v>
      </c>
      <c r="G3325" s="6" t="str">
        <f>"R013000138500000"</f>
        <v>R013000138500000</v>
      </c>
      <c r="H3325" s="6" t="str">
        <f>"Star PURE - Ketten 3"</f>
        <v>Star PURE - Ketten 3</v>
      </c>
      <c r="I3325" s="6" t="str">
        <f t="shared" si="788"/>
        <v>2392</v>
      </c>
      <c r="J3325" s="6" t="str">
        <f t="shared" si="789"/>
        <v>LARANJA 2392</v>
      </c>
      <c r="K3325" s="6" t="str">
        <f>"5204"</f>
        <v>5204</v>
      </c>
      <c r="L3325" s="6" t="str">
        <f>"Roupões Criança"</f>
        <v>Roupões Criança</v>
      </c>
      <c r="M3325" s="6" t="str">
        <f>"4 Anos"</f>
        <v>4 Anos</v>
      </c>
      <c r="N3325" s="6" t="str">
        <f>"5602972853766"</f>
        <v>5602972853766</v>
      </c>
      <c r="O3325" s="8">
        <v>12</v>
      </c>
      <c r="P3325" s="7">
        <v>45833</v>
      </c>
      <c r="R3325" s="8">
        <v>0</v>
      </c>
      <c r="S3325" s="7">
        <v>45838</v>
      </c>
      <c r="U3325" s="8">
        <v>0</v>
      </c>
      <c r="V3325" s="7">
        <v>45847</v>
      </c>
      <c r="X3325" s="8">
        <v>0</v>
      </c>
      <c r="Z3325" s="8">
        <v>0</v>
      </c>
      <c r="AA3325" s="7">
        <v>45859</v>
      </c>
      <c r="AC3325" s="8">
        <v>0</v>
      </c>
      <c r="AE3325" s="7">
        <v>45901</v>
      </c>
      <c r="AF3325" s="8">
        <v>0</v>
      </c>
      <c r="AH3325" s="7">
        <v>46058</v>
      </c>
      <c r="AI3325" s="7">
        <v>45891</v>
      </c>
      <c r="AN3325" s="8">
        <v>0</v>
      </c>
      <c r="AO3325" s="8">
        <v>12</v>
      </c>
    </row>
    <row r="3326" spans="1:41" x14ac:dyDescent="0.25">
      <c r="A3326" s="6" t="str">
        <f t="shared" si="786"/>
        <v>525-2025000338</v>
      </c>
      <c r="B3326" s="6" t="str">
        <f t="shared" si="775"/>
        <v>Lasa Int</v>
      </c>
      <c r="C3326" s="7">
        <v>45833</v>
      </c>
      <c r="D3326" s="7">
        <v>46058</v>
      </c>
      <c r="E3326" s="8">
        <v>8</v>
      </c>
      <c r="F3326" s="6" t="str">
        <f t="shared" si="787"/>
        <v>PURE R</v>
      </c>
      <c r="G3326" s="6" t="str">
        <f>"R013000138500000"</f>
        <v>R013000138500000</v>
      </c>
      <c r="H3326" s="6" t="str">
        <f>"Star PURE - Ketten 3"</f>
        <v>Star PURE - Ketten 3</v>
      </c>
      <c r="I3326" s="6" t="str">
        <f t="shared" si="788"/>
        <v>2392</v>
      </c>
      <c r="J3326" s="6" t="str">
        <f t="shared" si="789"/>
        <v>LARANJA 2392</v>
      </c>
      <c r="K3326" s="6" t="str">
        <f>"5206"</f>
        <v>5206</v>
      </c>
      <c r="L3326" s="6" t="str">
        <f>"Roupões Criança"</f>
        <v>Roupões Criança</v>
      </c>
      <c r="M3326" s="6" t="str">
        <f>"6 Anos"</f>
        <v>6 Anos</v>
      </c>
      <c r="N3326" s="6" t="str">
        <f>"5602972853773"</f>
        <v>5602972853773</v>
      </c>
      <c r="O3326" s="8">
        <v>12</v>
      </c>
      <c r="P3326" s="7">
        <v>45833</v>
      </c>
      <c r="R3326" s="8">
        <v>0</v>
      </c>
      <c r="S3326" s="7">
        <v>45838</v>
      </c>
      <c r="U3326" s="8">
        <v>0</v>
      </c>
      <c r="V3326" s="7">
        <v>45847</v>
      </c>
      <c r="X3326" s="8">
        <v>0</v>
      </c>
      <c r="Z3326" s="8">
        <v>0</v>
      </c>
      <c r="AA3326" s="7">
        <v>45859</v>
      </c>
      <c r="AC3326" s="8">
        <v>0</v>
      </c>
      <c r="AE3326" s="7">
        <v>45901</v>
      </c>
      <c r="AF3326" s="8">
        <v>0</v>
      </c>
      <c r="AH3326" s="7">
        <v>46058</v>
      </c>
      <c r="AI3326" s="7">
        <v>45891</v>
      </c>
      <c r="AN3326" s="8">
        <v>0</v>
      </c>
      <c r="AO3326" s="8">
        <v>12</v>
      </c>
    </row>
    <row r="3327" spans="1:41" x14ac:dyDescent="0.25">
      <c r="A3327" s="6" t="str">
        <f t="shared" si="786"/>
        <v>525-2025000338</v>
      </c>
      <c r="B3327" s="6" t="str">
        <f t="shared" si="775"/>
        <v>Lasa Int</v>
      </c>
      <c r="C3327" s="7">
        <v>45833</v>
      </c>
      <c r="D3327" s="7">
        <v>46058</v>
      </c>
      <c r="E3327" s="8">
        <v>9</v>
      </c>
      <c r="F3327" s="6" t="str">
        <f t="shared" si="787"/>
        <v>PURE R</v>
      </c>
      <c r="G3327" s="6" t="str">
        <f>"R013000138500000"</f>
        <v>R013000138500000</v>
      </c>
      <c r="H3327" s="6" t="str">
        <f>"Star PURE - Ketten 3"</f>
        <v>Star PURE - Ketten 3</v>
      </c>
      <c r="I3327" s="6" t="str">
        <f t="shared" si="788"/>
        <v>2392</v>
      </c>
      <c r="J3327" s="6" t="str">
        <f t="shared" si="789"/>
        <v>LARANJA 2392</v>
      </c>
      <c r="K3327" s="6" t="str">
        <f>"5212"</f>
        <v>5212</v>
      </c>
      <c r="L3327" s="6" t="str">
        <f>"Roupões Criança"</f>
        <v>Roupões Criança</v>
      </c>
      <c r="M3327" s="6" t="str">
        <f>"12 Anos"</f>
        <v>12 Anos</v>
      </c>
      <c r="N3327" s="6" t="str">
        <f>"5602972853803"</f>
        <v>5602972853803</v>
      </c>
      <c r="O3327" s="8">
        <v>12</v>
      </c>
      <c r="P3327" s="7">
        <v>45833</v>
      </c>
      <c r="R3327" s="8">
        <v>0</v>
      </c>
      <c r="S3327" s="7">
        <v>45838</v>
      </c>
      <c r="U3327" s="8">
        <v>0</v>
      </c>
      <c r="V3327" s="7">
        <v>45847</v>
      </c>
      <c r="X3327" s="8">
        <v>0</v>
      </c>
      <c r="Z3327" s="8">
        <v>0</v>
      </c>
      <c r="AA3327" s="7">
        <v>45859</v>
      </c>
      <c r="AC3327" s="8">
        <v>0</v>
      </c>
      <c r="AE3327" s="7">
        <v>45901</v>
      </c>
      <c r="AF3327" s="8">
        <v>0</v>
      </c>
      <c r="AH3327" s="7">
        <v>46058</v>
      </c>
      <c r="AI3327" s="7">
        <v>45891</v>
      </c>
      <c r="AN3327" s="8">
        <v>0</v>
      </c>
      <c r="AO3327" s="8">
        <v>12</v>
      </c>
    </row>
    <row r="3328" spans="1:41" x14ac:dyDescent="0.25">
      <c r="A3328" s="6" t="str">
        <f>"525-2025000347"</f>
        <v>525-2025000347</v>
      </c>
      <c r="B3328" s="6" t="str">
        <f t="shared" si="775"/>
        <v>Lasa Int</v>
      </c>
      <c r="C3328" s="7">
        <v>45838</v>
      </c>
      <c r="D3328" s="7">
        <v>46044</v>
      </c>
      <c r="E3328" s="8">
        <v>1</v>
      </c>
      <c r="F3328" s="6" t="str">
        <f>"Alpha"</f>
        <v>Alpha</v>
      </c>
      <c r="G3328" s="6" t="str">
        <f>"R120234132000000"</f>
        <v>R120234132000000</v>
      </c>
      <c r="H3328" s="6" t="str">
        <f>"R 2341 - ALPHA - Ket"</f>
        <v>R 2341 - ALPHA - Ket</v>
      </c>
      <c r="I3328" s="6" t="str">
        <f>"1"</f>
        <v>1</v>
      </c>
      <c r="J3328" s="6" t="str">
        <f>"BRANCO"</f>
        <v>BRANCO</v>
      </c>
      <c r="K3328" s="6" t="str">
        <f>"5006"</f>
        <v>5006</v>
      </c>
      <c r="L3328" s="6" t="str">
        <f>"Roupões Adulto"</f>
        <v>Roupões Adulto</v>
      </c>
      <c r="M3328" s="6" t="str">
        <f>"L"</f>
        <v>L</v>
      </c>
      <c r="N3328" s="6" t="str">
        <f>"5602972732054"</f>
        <v>5602972732054</v>
      </c>
      <c r="O3328" s="8">
        <v>120</v>
      </c>
      <c r="P3328" s="7">
        <v>45838</v>
      </c>
      <c r="R3328" s="8">
        <v>0</v>
      </c>
      <c r="S3328" s="7">
        <v>45841</v>
      </c>
      <c r="U3328" s="8">
        <v>560</v>
      </c>
      <c r="V3328" s="7">
        <v>45852</v>
      </c>
      <c r="X3328" s="8">
        <v>560</v>
      </c>
      <c r="Z3328" s="8">
        <v>0</v>
      </c>
      <c r="AA3328" s="7">
        <v>45862</v>
      </c>
      <c r="AC3328" s="8">
        <v>117</v>
      </c>
      <c r="AE3328" s="7">
        <v>45873</v>
      </c>
      <c r="AF3328" s="8">
        <v>117</v>
      </c>
      <c r="AH3328" s="7">
        <v>46044</v>
      </c>
      <c r="AI3328" s="7">
        <v>45869</v>
      </c>
      <c r="AN3328" s="8">
        <v>117</v>
      </c>
      <c r="AO3328" s="8">
        <v>3</v>
      </c>
    </row>
    <row r="3329" spans="1:41" x14ac:dyDescent="0.25">
      <c r="A3329" s="6" t="str">
        <f>"525-2025000349"</f>
        <v>525-2025000349</v>
      </c>
      <c r="B3329" s="6" t="str">
        <f t="shared" si="775"/>
        <v>Lasa Int</v>
      </c>
      <c r="C3329" s="7">
        <v>45838</v>
      </c>
      <c r="D3329" s="7">
        <v>46068</v>
      </c>
      <c r="E3329" s="8">
        <v>1</v>
      </c>
      <c r="F3329" s="6" t="str">
        <f>"Pareo"</f>
        <v>Pareo</v>
      </c>
      <c r="G3329" s="6" t="str">
        <f>"F600189329000000"</f>
        <v>F600189329000000</v>
      </c>
      <c r="H3329" s="6" t="str">
        <f>"10-1893 - 290 g/m² c"</f>
        <v>10-1893 - 290 g/m² c</v>
      </c>
      <c r="I3329" s="6" t="str">
        <f>"201722"</f>
        <v>201722</v>
      </c>
      <c r="J3329" s="6" t="str">
        <f>"LARANJA 1722"</f>
        <v>LARANJA 1722</v>
      </c>
      <c r="K3329" s="6" t="str">
        <f>"3539"</f>
        <v>3539</v>
      </c>
      <c r="L3329" s="6" t="str">
        <f>"Praia"</f>
        <v>Praia</v>
      </c>
      <c r="M3329" s="6" t="str">
        <f>"100x180+8"</f>
        <v>100x180+8</v>
      </c>
      <c r="N3329" s="6" t="str">
        <f>"5602972603002"</f>
        <v>5602972603002</v>
      </c>
      <c r="O3329" s="8">
        <v>150</v>
      </c>
      <c r="P3329" s="7">
        <v>45904</v>
      </c>
      <c r="R3329" s="8">
        <v>174</v>
      </c>
      <c r="S3329" s="7">
        <v>45909</v>
      </c>
      <c r="U3329" s="8">
        <v>174</v>
      </c>
      <c r="V3329" s="7">
        <v>45912</v>
      </c>
      <c r="X3329" s="8">
        <v>0</v>
      </c>
      <c r="Z3329" s="8">
        <v>174</v>
      </c>
      <c r="AA3329" s="7">
        <v>45924</v>
      </c>
      <c r="AC3329" s="8">
        <v>0</v>
      </c>
      <c r="AE3329" s="7">
        <v>45926</v>
      </c>
      <c r="AF3329" s="8">
        <v>0</v>
      </c>
      <c r="AH3329" s="7">
        <v>45926</v>
      </c>
      <c r="AN3329" s="8">
        <v>0</v>
      </c>
      <c r="AO3329" s="8">
        <v>150</v>
      </c>
    </row>
    <row r="3330" spans="1:41" x14ac:dyDescent="0.25">
      <c r="A3330" s="6" t="str">
        <f t="shared" ref="A3330:A3349" si="790">"525-2025000353"</f>
        <v>525-2025000353</v>
      </c>
      <c r="B3330" s="6" t="str">
        <f t="shared" si="775"/>
        <v>Lasa Int</v>
      </c>
      <c r="C3330" s="7">
        <v>45840</v>
      </c>
      <c r="D3330" s="7">
        <v>46037</v>
      </c>
      <c r="E3330" s="8">
        <v>1</v>
      </c>
      <c r="F3330" s="6" t="str">
        <f t="shared" ref="F3330:F3349" si="791">"Panos Pure"</f>
        <v>Panos Pure</v>
      </c>
      <c r="G3330" s="6" t="str">
        <f t="shared" ref="G3330:G3339" si="792">"C001168926000000"</f>
        <v>C001168926000000</v>
      </c>
      <c r="H3330" s="6" t="str">
        <f t="shared" ref="H3330:H3339" si="793">"CZJ 1689 - 260 g/m²"</f>
        <v>CZJ 1689 - 260 g/m²</v>
      </c>
      <c r="I3330" s="6" t="str">
        <f>"200019"</f>
        <v>200019</v>
      </c>
      <c r="J3330" s="6" t="str">
        <f>"PRETO 19"</f>
        <v>PRETO 19</v>
      </c>
      <c r="K3330" s="6" t="str">
        <f t="shared" ref="K3330:K3339" si="794">"0830"</f>
        <v>0830</v>
      </c>
      <c r="L3330" s="6" t="str">
        <f t="shared" ref="L3330:L3349" si="795">"Cozinha"</f>
        <v>Cozinha</v>
      </c>
      <c r="M3330" s="6" t="str">
        <f t="shared" ref="M3330:M3339" si="796">"50x70"</f>
        <v>50x70</v>
      </c>
      <c r="N3330" s="6" t="str">
        <f>"5602972624359"</f>
        <v>5602972624359</v>
      </c>
      <c r="O3330" s="8">
        <v>600</v>
      </c>
      <c r="P3330" s="7">
        <v>45911</v>
      </c>
      <c r="R3330" s="8">
        <v>732</v>
      </c>
      <c r="S3330" s="7">
        <v>45916</v>
      </c>
      <c r="U3330" s="8">
        <v>732</v>
      </c>
      <c r="V3330" s="7">
        <v>45923</v>
      </c>
      <c r="X3330" s="8">
        <v>0</v>
      </c>
      <c r="Z3330" s="8">
        <v>732</v>
      </c>
      <c r="AA3330" s="7">
        <v>45937</v>
      </c>
      <c r="AC3330" s="8">
        <v>620</v>
      </c>
      <c r="AE3330" s="7">
        <v>45940</v>
      </c>
      <c r="AF3330" s="8">
        <v>620</v>
      </c>
      <c r="AH3330" s="7">
        <v>46037</v>
      </c>
      <c r="AN3330" s="8">
        <v>620</v>
      </c>
      <c r="AO3330" s="8">
        <v>-20</v>
      </c>
    </row>
    <row r="3331" spans="1:41" x14ac:dyDescent="0.25">
      <c r="A3331" s="6" t="str">
        <f t="shared" si="790"/>
        <v>525-2025000353</v>
      </c>
      <c r="B3331" s="6" t="str">
        <f t="shared" si="775"/>
        <v>Lasa Int</v>
      </c>
      <c r="C3331" s="7">
        <v>45840</v>
      </c>
      <c r="D3331" s="7">
        <v>46037</v>
      </c>
      <c r="E3331" s="8">
        <v>2</v>
      </c>
      <c r="F3331" s="6" t="str">
        <f t="shared" si="791"/>
        <v>Panos Pure</v>
      </c>
      <c r="G3331" s="6" t="str">
        <f t="shared" si="792"/>
        <v>C001168926000000</v>
      </c>
      <c r="H3331" s="6" t="str">
        <f t="shared" si="793"/>
        <v>CZJ 1689 - 260 g/m²</v>
      </c>
      <c r="I3331" s="6" t="str">
        <f>"200030"</f>
        <v>200030</v>
      </c>
      <c r="J3331" s="6" t="str">
        <f>"VERDE 30"</f>
        <v>VERDE 30</v>
      </c>
      <c r="K3331" s="6" t="str">
        <f t="shared" si="794"/>
        <v>0830</v>
      </c>
      <c r="L3331" s="6" t="str">
        <f t="shared" si="795"/>
        <v>Cozinha</v>
      </c>
      <c r="M3331" s="6" t="str">
        <f t="shared" si="796"/>
        <v>50x70</v>
      </c>
      <c r="N3331" s="6" t="str">
        <f>"5602972624366"</f>
        <v>5602972624366</v>
      </c>
      <c r="O3331" s="8">
        <v>600</v>
      </c>
      <c r="P3331" s="7">
        <v>45911</v>
      </c>
      <c r="R3331" s="8">
        <v>668</v>
      </c>
      <c r="S3331" s="7">
        <v>45916</v>
      </c>
      <c r="U3331" s="8">
        <v>668</v>
      </c>
      <c r="V3331" s="7">
        <v>45923</v>
      </c>
      <c r="X3331" s="8">
        <v>0</v>
      </c>
      <c r="Z3331" s="8">
        <v>668</v>
      </c>
      <c r="AA3331" s="7">
        <v>45937</v>
      </c>
      <c r="AC3331" s="8">
        <v>596</v>
      </c>
      <c r="AE3331" s="7">
        <v>45940</v>
      </c>
      <c r="AF3331" s="8">
        <v>596</v>
      </c>
      <c r="AH3331" s="7">
        <v>46037</v>
      </c>
      <c r="AN3331" s="8">
        <v>596</v>
      </c>
      <c r="AO3331" s="8">
        <v>4</v>
      </c>
    </row>
    <row r="3332" spans="1:41" x14ac:dyDescent="0.25">
      <c r="A3332" s="6" t="str">
        <f t="shared" si="790"/>
        <v>525-2025000353</v>
      </c>
      <c r="B3332" s="6" t="str">
        <f t="shared" si="775"/>
        <v>Lasa Int</v>
      </c>
      <c r="C3332" s="7">
        <v>45840</v>
      </c>
      <c r="D3332" s="7">
        <v>46037</v>
      </c>
      <c r="E3332" s="8">
        <v>3</v>
      </c>
      <c r="F3332" s="6" t="str">
        <f t="shared" si="791"/>
        <v>Panos Pure</v>
      </c>
      <c r="G3332" s="6" t="str">
        <f t="shared" si="792"/>
        <v>C001168926000000</v>
      </c>
      <c r="H3332" s="6" t="str">
        <f t="shared" si="793"/>
        <v>CZJ 1689 - 260 g/m²</v>
      </c>
      <c r="I3332" s="6" t="str">
        <f>"200138"</f>
        <v>200138</v>
      </c>
      <c r="J3332" s="6" t="str">
        <f>"AZUL 138"</f>
        <v>AZUL 138</v>
      </c>
      <c r="K3332" s="6" t="str">
        <f t="shared" si="794"/>
        <v>0830</v>
      </c>
      <c r="L3332" s="6" t="str">
        <f t="shared" si="795"/>
        <v>Cozinha</v>
      </c>
      <c r="M3332" s="6" t="str">
        <f t="shared" si="796"/>
        <v>50x70</v>
      </c>
      <c r="N3332" s="6" t="str">
        <f>"5602972624373"</f>
        <v>5602972624373</v>
      </c>
      <c r="O3332" s="8">
        <v>600</v>
      </c>
      <c r="P3332" s="7">
        <v>45911</v>
      </c>
      <c r="R3332" s="8">
        <v>672</v>
      </c>
      <c r="S3332" s="7">
        <v>45916</v>
      </c>
      <c r="U3332" s="8">
        <v>672</v>
      </c>
      <c r="V3332" s="7">
        <v>45923</v>
      </c>
      <c r="X3332" s="8">
        <v>0</v>
      </c>
      <c r="Z3332" s="8">
        <v>672</v>
      </c>
      <c r="AA3332" s="7">
        <v>45937</v>
      </c>
      <c r="AC3332" s="8">
        <v>600</v>
      </c>
      <c r="AE3332" s="7">
        <v>45940</v>
      </c>
      <c r="AF3332" s="8">
        <v>600</v>
      </c>
      <c r="AH3332" s="7">
        <v>46037</v>
      </c>
      <c r="AN3332" s="8">
        <v>600</v>
      </c>
      <c r="AO3332" s="8">
        <v>0</v>
      </c>
    </row>
    <row r="3333" spans="1:41" x14ac:dyDescent="0.25">
      <c r="A3333" s="6" t="str">
        <f t="shared" si="790"/>
        <v>525-2025000353</v>
      </c>
      <c r="B3333" s="6" t="str">
        <f t="shared" si="775"/>
        <v>Lasa Int</v>
      </c>
      <c r="C3333" s="7">
        <v>45840</v>
      </c>
      <c r="D3333" s="7">
        <v>46037</v>
      </c>
      <c r="E3333" s="8">
        <v>4</v>
      </c>
      <c r="F3333" s="6" t="str">
        <f t="shared" si="791"/>
        <v>Panos Pure</v>
      </c>
      <c r="G3333" s="6" t="str">
        <f t="shared" si="792"/>
        <v>C001168926000000</v>
      </c>
      <c r="H3333" s="6" t="str">
        <f t="shared" si="793"/>
        <v>CZJ 1689 - 260 g/m²</v>
      </c>
      <c r="I3333" s="6" t="str">
        <f>"201643"</f>
        <v>201643</v>
      </c>
      <c r="J3333" s="6" t="str">
        <f>"VERMELHO 1643"</f>
        <v>VERMELHO 1643</v>
      </c>
      <c r="K3333" s="6" t="str">
        <f t="shared" si="794"/>
        <v>0830</v>
      </c>
      <c r="L3333" s="6" t="str">
        <f t="shared" si="795"/>
        <v>Cozinha</v>
      </c>
      <c r="M3333" s="6" t="str">
        <f t="shared" si="796"/>
        <v>50x70</v>
      </c>
      <c r="N3333" s="6" t="str">
        <f>"5602972624380"</f>
        <v>5602972624380</v>
      </c>
      <c r="O3333" s="8">
        <v>1200</v>
      </c>
      <c r="P3333" s="7">
        <v>45911</v>
      </c>
      <c r="R3333" s="8">
        <v>1296</v>
      </c>
      <c r="S3333" s="7">
        <v>45916</v>
      </c>
      <c r="U3333" s="8">
        <v>1296</v>
      </c>
      <c r="V3333" s="7">
        <v>45923</v>
      </c>
      <c r="X3333" s="8">
        <v>0</v>
      </c>
      <c r="Z3333" s="8">
        <v>1296</v>
      </c>
      <c r="AA3333" s="7">
        <v>45937</v>
      </c>
      <c r="AC3333" s="8">
        <v>1256</v>
      </c>
      <c r="AE3333" s="7">
        <v>45940</v>
      </c>
      <c r="AF3333" s="8">
        <v>1256</v>
      </c>
      <c r="AH3333" s="7">
        <v>46037</v>
      </c>
      <c r="AN3333" s="8">
        <v>1256</v>
      </c>
      <c r="AO3333" s="8">
        <v>-56</v>
      </c>
    </row>
    <row r="3334" spans="1:41" x14ac:dyDescent="0.25">
      <c r="A3334" s="6" t="str">
        <f t="shared" si="790"/>
        <v>525-2025000353</v>
      </c>
      <c r="B3334" s="6" t="str">
        <f t="shared" si="775"/>
        <v>Lasa Int</v>
      </c>
      <c r="C3334" s="7">
        <v>45840</v>
      </c>
      <c r="D3334" s="7">
        <v>46037</v>
      </c>
      <c r="E3334" s="8">
        <v>5</v>
      </c>
      <c r="F3334" s="6" t="str">
        <f t="shared" si="791"/>
        <v>Panos Pure</v>
      </c>
      <c r="G3334" s="6" t="str">
        <f t="shared" si="792"/>
        <v>C001168926000000</v>
      </c>
      <c r="H3334" s="6" t="str">
        <f t="shared" si="793"/>
        <v>CZJ 1689 - 260 g/m²</v>
      </c>
      <c r="I3334" s="6" t="str">
        <f>"202831"</f>
        <v>202831</v>
      </c>
      <c r="J3334" s="6" t="str">
        <f>"VERDE 2831"</f>
        <v>VERDE 2831</v>
      </c>
      <c r="K3334" s="6" t="str">
        <f t="shared" si="794"/>
        <v>0830</v>
      </c>
      <c r="L3334" s="6" t="str">
        <f t="shared" si="795"/>
        <v>Cozinha</v>
      </c>
      <c r="M3334" s="6" t="str">
        <f t="shared" si="796"/>
        <v>50x70</v>
      </c>
      <c r="N3334" s="6" t="str">
        <f>"5602972624397"</f>
        <v>5602972624397</v>
      </c>
      <c r="O3334" s="8">
        <v>600</v>
      </c>
      <c r="P3334" s="7">
        <v>45911</v>
      </c>
      <c r="R3334" s="8">
        <v>672</v>
      </c>
      <c r="S3334" s="7">
        <v>45916</v>
      </c>
      <c r="U3334" s="8">
        <v>672</v>
      </c>
      <c r="V3334" s="7">
        <v>45923</v>
      </c>
      <c r="X3334" s="8">
        <v>0</v>
      </c>
      <c r="Z3334" s="8">
        <v>672</v>
      </c>
      <c r="AA3334" s="7">
        <v>45937</v>
      </c>
      <c r="AC3334" s="8">
        <v>1228</v>
      </c>
      <c r="AE3334" s="7">
        <v>45940</v>
      </c>
      <c r="AF3334" s="8">
        <v>1228</v>
      </c>
      <c r="AH3334" s="7">
        <v>46037</v>
      </c>
      <c r="AN3334" s="8">
        <v>1228</v>
      </c>
      <c r="AO3334" s="8">
        <v>-628</v>
      </c>
    </row>
    <row r="3335" spans="1:41" x14ac:dyDescent="0.25">
      <c r="A3335" s="6" t="str">
        <f t="shared" si="790"/>
        <v>525-2025000353</v>
      </c>
      <c r="B3335" s="6" t="str">
        <f t="shared" si="775"/>
        <v>Lasa Int</v>
      </c>
      <c r="C3335" s="7">
        <v>45840</v>
      </c>
      <c r="D3335" s="7">
        <v>46037</v>
      </c>
      <c r="E3335" s="8">
        <v>6</v>
      </c>
      <c r="F3335" s="6" t="str">
        <f t="shared" si="791"/>
        <v>Panos Pure</v>
      </c>
      <c r="G3335" s="6" t="str">
        <f t="shared" si="792"/>
        <v>C001168926000000</v>
      </c>
      <c r="H3335" s="6" t="str">
        <f t="shared" si="793"/>
        <v>CZJ 1689 - 260 g/m²</v>
      </c>
      <c r="I3335" s="6" t="str">
        <f>"202832"</f>
        <v>202832</v>
      </c>
      <c r="J3335" s="6" t="str">
        <f>"AMARELO 2832"</f>
        <v>AMARELO 2832</v>
      </c>
      <c r="K3335" s="6" t="str">
        <f t="shared" si="794"/>
        <v>0830</v>
      </c>
      <c r="L3335" s="6" t="str">
        <f t="shared" si="795"/>
        <v>Cozinha</v>
      </c>
      <c r="M3335" s="6" t="str">
        <f t="shared" si="796"/>
        <v>50x70</v>
      </c>
      <c r="N3335" s="6" t="str">
        <f>"5602972624403"</f>
        <v>5602972624403</v>
      </c>
      <c r="O3335" s="8">
        <v>600</v>
      </c>
      <c r="P3335" s="7">
        <v>45911</v>
      </c>
      <c r="R3335" s="8">
        <v>664</v>
      </c>
      <c r="S3335" s="7">
        <v>45916</v>
      </c>
      <c r="U3335" s="8">
        <v>664</v>
      </c>
      <c r="V3335" s="7">
        <v>45923</v>
      </c>
      <c r="X3335" s="8">
        <v>0</v>
      </c>
      <c r="Z3335" s="8">
        <v>664</v>
      </c>
      <c r="AA3335" s="7">
        <v>45937</v>
      </c>
      <c r="AC3335" s="8">
        <v>0</v>
      </c>
      <c r="AE3335" s="7">
        <v>45940</v>
      </c>
      <c r="AF3335" s="8">
        <v>0</v>
      </c>
      <c r="AH3335" s="7">
        <v>46037</v>
      </c>
      <c r="AN3335" s="8">
        <v>0</v>
      </c>
      <c r="AO3335" s="8">
        <v>600</v>
      </c>
    </row>
    <row r="3336" spans="1:41" x14ac:dyDescent="0.25">
      <c r="A3336" s="6" t="str">
        <f t="shared" si="790"/>
        <v>525-2025000353</v>
      </c>
      <c r="B3336" s="6" t="str">
        <f t="shared" si="775"/>
        <v>Lasa Int</v>
      </c>
      <c r="C3336" s="7">
        <v>45840</v>
      </c>
      <c r="D3336" s="7">
        <v>46037</v>
      </c>
      <c r="E3336" s="8">
        <v>7</v>
      </c>
      <c r="F3336" s="6" t="str">
        <f t="shared" si="791"/>
        <v>Panos Pure</v>
      </c>
      <c r="G3336" s="6" t="str">
        <f t="shared" si="792"/>
        <v>C001168926000000</v>
      </c>
      <c r="H3336" s="6" t="str">
        <f t="shared" si="793"/>
        <v>CZJ 1689 - 260 g/m²</v>
      </c>
      <c r="I3336" s="6" t="str">
        <f>"203845"</f>
        <v>203845</v>
      </c>
      <c r="J3336" s="6" t="str">
        <f>"CASTANHO 3845"</f>
        <v>CASTANHO 3845</v>
      </c>
      <c r="K3336" s="6" t="str">
        <f t="shared" si="794"/>
        <v>0830</v>
      </c>
      <c r="L3336" s="6" t="str">
        <f t="shared" si="795"/>
        <v>Cozinha</v>
      </c>
      <c r="M3336" s="6" t="str">
        <f t="shared" si="796"/>
        <v>50x70</v>
      </c>
      <c r="N3336" s="6" t="str">
        <f>"5602972691689"</f>
        <v>5602972691689</v>
      </c>
      <c r="O3336" s="8">
        <v>1200</v>
      </c>
      <c r="P3336" s="7">
        <v>45911</v>
      </c>
      <c r="R3336" s="8">
        <v>1276</v>
      </c>
      <c r="S3336" s="7">
        <v>45916</v>
      </c>
      <c r="U3336" s="8">
        <v>1276</v>
      </c>
      <c r="V3336" s="7">
        <v>45923</v>
      </c>
      <c r="X3336" s="8">
        <v>0</v>
      </c>
      <c r="Z3336" s="8">
        <v>1276</v>
      </c>
      <c r="AA3336" s="7">
        <v>45937</v>
      </c>
      <c r="AC3336" s="8">
        <v>1184</v>
      </c>
      <c r="AE3336" s="7">
        <v>45940</v>
      </c>
      <c r="AF3336" s="8">
        <v>1184</v>
      </c>
      <c r="AH3336" s="7">
        <v>46037</v>
      </c>
      <c r="AN3336" s="8">
        <v>1184</v>
      </c>
      <c r="AO3336" s="8">
        <v>16</v>
      </c>
    </row>
    <row r="3337" spans="1:41" x14ac:dyDescent="0.25">
      <c r="A3337" s="6" t="str">
        <f t="shared" si="790"/>
        <v>525-2025000353</v>
      </c>
      <c r="B3337" s="6" t="str">
        <f t="shared" si="775"/>
        <v>Lasa Int</v>
      </c>
      <c r="C3337" s="7">
        <v>45840</v>
      </c>
      <c r="D3337" s="7">
        <v>46037</v>
      </c>
      <c r="E3337" s="8">
        <v>8</v>
      </c>
      <c r="F3337" s="6" t="str">
        <f t="shared" si="791"/>
        <v>Panos Pure</v>
      </c>
      <c r="G3337" s="6" t="str">
        <f t="shared" si="792"/>
        <v>C001168926000000</v>
      </c>
      <c r="H3337" s="6" t="str">
        <f t="shared" si="793"/>
        <v>CZJ 1689 - 260 g/m²</v>
      </c>
      <c r="I3337" s="6" t="str">
        <f>"203874"</f>
        <v>203874</v>
      </c>
      <c r="J3337" s="6" t="str">
        <f>"VERDE 3874"</f>
        <v>VERDE 3874</v>
      </c>
      <c r="K3337" s="6" t="str">
        <f t="shared" si="794"/>
        <v>0830</v>
      </c>
      <c r="L3337" s="6" t="str">
        <f t="shared" si="795"/>
        <v>Cozinha</v>
      </c>
      <c r="M3337" s="6" t="str">
        <f t="shared" si="796"/>
        <v>50x70</v>
      </c>
      <c r="N3337" s="6" t="str">
        <f>"5602972691696"</f>
        <v>5602972691696</v>
      </c>
      <c r="O3337" s="8">
        <v>1200</v>
      </c>
      <c r="P3337" s="7">
        <v>45911</v>
      </c>
      <c r="R3337" s="8">
        <v>1296</v>
      </c>
      <c r="S3337" s="7">
        <v>45916</v>
      </c>
      <c r="U3337" s="8">
        <v>1296</v>
      </c>
      <c r="V3337" s="7">
        <v>45923</v>
      </c>
      <c r="X3337" s="8">
        <v>0</v>
      </c>
      <c r="Z3337" s="8">
        <v>1296</v>
      </c>
      <c r="AA3337" s="7">
        <v>45937</v>
      </c>
      <c r="AC3337" s="8">
        <v>1212</v>
      </c>
      <c r="AE3337" s="7">
        <v>45940</v>
      </c>
      <c r="AF3337" s="8">
        <v>1212</v>
      </c>
      <c r="AH3337" s="7">
        <v>46037</v>
      </c>
      <c r="AN3337" s="8">
        <v>1212</v>
      </c>
      <c r="AO3337" s="8">
        <v>-12</v>
      </c>
    </row>
    <row r="3338" spans="1:41" x14ac:dyDescent="0.25">
      <c r="A3338" s="6" t="str">
        <f t="shared" si="790"/>
        <v>525-2025000353</v>
      </c>
      <c r="B3338" s="6" t="str">
        <f t="shared" si="775"/>
        <v>Lasa Int</v>
      </c>
      <c r="C3338" s="7">
        <v>45840</v>
      </c>
      <c r="D3338" s="7">
        <v>46037</v>
      </c>
      <c r="E3338" s="8">
        <v>9</v>
      </c>
      <c r="F3338" s="6" t="str">
        <f t="shared" si="791"/>
        <v>Panos Pure</v>
      </c>
      <c r="G3338" s="6" t="str">
        <f t="shared" si="792"/>
        <v>C001168926000000</v>
      </c>
      <c r="H3338" s="6" t="str">
        <f t="shared" si="793"/>
        <v>CZJ 1689 - 260 g/m²</v>
      </c>
      <c r="I3338" s="6" t="str">
        <f>"204032"</f>
        <v>204032</v>
      </c>
      <c r="J3338" s="6" t="str">
        <f>"AZUL 4032"</f>
        <v>AZUL 4032</v>
      </c>
      <c r="K3338" s="6" t="str">
        <f t="shared" si="794"/>
        <v>0830</v>
      </c>
      <c r="L3338" s="6" t="str">
        <f t="shared" si="795"/>
        <v>Cozinha</v>
      </c>
      <c r="M3338" s="6" t="str">
        <f t="shared" si="796"/>
        <v>50x70</v>
      </c>
      <c r="N3338" s="6" t="str">
        <f>"5602972691702"</f>
        <v>5602972691702</v>
      </c>
      <c r="O3338" s="8">
        <v>1100</v>
      </c>
      <c r="P3338" s="7">
        <v>45911</v>
      </c>
      <c r="R3338" s="8">
        <v>1192</v>
      </c>
      <c r="S3338" s="7">
        <v>45916</v>
      </c>
      <c r="U3338" s="8">
        <v>1192</v>
      </c>
      <c r="V3338" s="7">
        <v>45923</v>
      </c>
      <c r="X3338" s="8">
        <v>0</v>
      </c>
      <c r="Z3338" s="8">
        <v>1192</v>
      </c>
      <c r="AA3338" s="7">
        <v>45937</v>
      </c>
      <c r="AC3338" s="8">
        <v>1124</v>
      </c>
      <c r="AE3338" s="7">
        <v>45940</v>
      </c>
      <c r="AF3338" s="8">
        <v>1124</v>
      </c>
      <c r="AH3338" s="7">
        <v>46037</v>
      </c>
      <c r="AN3338" s="8">
        <v>1124</v>
      </c>
      <c r="AO3338" s="8">
        <v>-24</v>
      </c>
    </row>
    <row r="3339" spans="1:41" x14ac:dyDescent="0.25">
      <c r="A3339" s="6" t="str">
        <f t="shared" si="790"/>
        <v>525-2025000353</v>
      </c>
      <c r="B3339" s="6" t="str">
        <f t="shared" si="775"/>
        <v>Lasa Int</v>
      </c>
      <c r="C3339" s="7">
        <v>45840</v>
      </c>
      <c r="D3339" s="7">
        <v>46037</v>
      </c>
      <c r="E3339" s="8">
        <v>10</v>
      </c>
      <c r="F3339" s="6" t="str">
        <f t="shared" si="791"/>
        <v>Panos Pure</v>
      </c>
      <c r="G3339" s="6" t="str">
        <f t="shared" si="792"/>
        <v>C001168926000000</v>
      </c>
      <c r="H3339" s="6" t="str">
        <f t="shared" si="793"/>
        <v>CZJ 1689 - 260 g/m²</v>
      </c>
      <c r="I3339" s="6" t="str">
        <f>"204033"</f>
        <v>204033</v>
      </c>
      <c r="J3339" s="6" t="str">
        <f>"ROSA 4033"</f>
        <v>ROSA 4033</v>
      </c>
      <c r="K3339" s="6" t="str">
        <f t="shared" si="794"/>
        <v>0830</v>
      </c>
      <c r="L3339" s="6" t="str">
        <f t="shared" si="795"/>
        <v>Cozinha</v>
      </c>
      <c r="M3339" s="6" t="str">
        <f t="shared" si="796"/>
        <v>50x70</v>
      </c>
      <c r="N3339" s="6" t="str">
        <f>"5602972691719"</f>
        <v>5602972691719</v>
      </c>
      <c r="O3339" s="8">
        <v>900</v>
      </c>
      <c r="P3339" s="7">
        <v>45911</v>
      </c>
      <c r="R3339" s="8">
        <v>1000</v>
      </c>
      <c r="S3339" s="7">
        <v>45916</v>
      </c>
      <c r="U3339" s="8">
        <v>1000</v>
      </c>
      <c r="V3339" s="7">
        <v>45923</v>
      </c>
      <c r="X3339" s="8">
        <v>0</v>
      </c>
      <c r="Z3339" s="8">
        <v>1000</v>
      </c>
      <c r="AA3339" s="7">
        <v>45937</v>
      </c>
      <c r="AC3339" s="8">
        <v>880</v>
      </c>
      <c r="AE3339" s="7">
        <v>45940</v>
      </c>
      <c r="AF3339" s="8">
        <v>880</v>
      </c>
      <c r="AH3339" s="7">
        <v>46037</v>
      </c>
      <c r="AN3339" s="8">
        <v>880</v>
      </c>
      <c r="AO3339" s="8">
        <v>20</v>
      </c>
    </row>
    <row r="3340" spans="1:41" x14ac:dyDescent="0.25">
      <c r="A3340" s="6" t="str">
        <f t="shared" si="790"/>
        <v>525-2025000353</v>
      </c>
      <c r="B3340" s="6" t="str">
        <f t="shared" si="775"/>
        <v>Lasa Int</v>
      </c>
      <c r="C3340" s="7">
        <v>45840</v>
      </c>
      <c r="D3340" s="7">
        <v>46037</v>
      </c>
      <c r="E3340" s="8">
        <v>11</v>
      </c>
      <c r="F3340" s="6" t="str">
        <f t="shared" si="791"/>
        <v>Panos Pure</v>
      </c>
      <c r="G3340" s="6" t="str">
        <f t="shared" ref="G3340:G3349" si="797">"F320092644000000"</f>
        <v>F320092644000000</v>
      </c>
      <c r="H3340" s="6" t="str">
        <f t="shared" ref="H3340:H3349" si="798">"PL 926 - 440 gm²"</f>
        <v>PL 926 - 440 gm²</v>
      </c>
      <c r="I3340" s="6" t="str">
        <f>"200019"</f>
        <v>200019</v>
      </c>
      <c r="J3340" s="6" t="str">
        <f>"PRETO 19"</f>
        <v>PRETO 19</v>
      </c>
      <c r="K3340" s="6" t="str">
        <f t="shared" ref="K3340:K3349" si="799">"0820"</f>
        <v>0820</v>
      </c>
      <c r="L3340" s="6" t="str">
        <f t="shared" si="795"/>
        <v>Cozinha</v>
      </c>
      <c r="M3340" s="6" t="str">
        <f t="shared" ref="M3340:M3349" si="800">"50x50"</f>
        <v>50x50</v>
      </c>
      <c r="N3340" s="6" t="str">
        <f>"5602972624298"</f>
        <v>5602972624298</v>
      </c>
      <c r="O3340" s="8">
        <v>500</v>
      </c>
      <c r="P3340" s="7">
        <v>45911</v>
      </c>
      <c r="R3340" s="8">
        <v>552</v>
      </c>
      <c r="S3340" s="7">
        <v>45916</v>
      </c>
      <c r="U3340" s="8">
        <v>532</v>
      </c>
      <c r="V3340" s="7">
        <v>45923</v>
      </c>
      <c r="X3340" s="8">
        <v>0</v>
      </c>
      <c r="Z3340" s="8">
        <v>532</v>
      </c>
      <c r="AA3340" s="7">
        <v>45937</v>
      </c>
      <c r="AC3340" s="8">
        <v>548</v>
      </c>
      <c r="AE3340" s="7">
        <v>45940</v>
      </c>
      <c r="AF3340" s="8">
        <v>548</v>
      </c>
      <c r="AH3340" s="7">
        <v>46037</v>
      </c>
      <c r="AN3340" s="8">
        <v>548</v>
      </c>
      <c r="AO3340" s="8">
        <v>-48</v>
      </c>
    </row>
    <row r="3341" spans="1:41" x14ac:dyDescent="0.25">
      <c r="A3341" s="6" t="str">
        <f t="shared" si="790"/>
        <v>525-2025000353</v>
      </c>
      <c r="B3341" s="6" t="str">
        <f t="shared" ref="B3341:B3392" si="801">"Lasa Int"</f>
        <v>Lasa Int</v>
      </c>
      <c r="C3341" s="7">
        <v>45840</v>
      </c>
      <c r="D3341" s="7">
        <v>46037</v>
      </c>
      <c r="E3341" s="8">
        <v>12</v>
      </c>
      <c r="F3341" s="6" t="str">
        <f t="shared" si="791"/>
        <v>Panos Pure</v>
      </c>
      <c r="G3341" s="6" t="str">
        <f t="shared" si="797"/>
        <v>F320092644000000</v>
      </c>
      <c r="H3341" s="6" t="str">
        <f t="shared" si="798"/>
        <v>PL 926 - 440 gm²</v>
      </c>
      <c r="I3341" s="6" t="str">
        <f>"200030"</f>
        <v>200030</v>
      </c>
      <c r="J3341" s="6" t="str">
        <f>"VERDE 30"</f>
        <v>VERDE 30</v>
      </c>
      <c r="K3341" s="6" t="str">
        <f t="shared" si="799"/>
        <v>0820</v>
      </c>
      <c r="L3341" s="6" t="str">
        <f t="shared" si="795"/>
        <v>Cozinha</v>
      </c>
      <c r="M3341" s="6" t="str">
        <f t="shared" si="800"/>
        <v>50x50</v>
      </c>
      <c r="N3341" s="6" t="str">
        <f>"5602972624304"</f>
        <v>5602972624304</v>
      </c>
      <c r="O3341" s="8">
        <v>900</v>
      </c>
      <c r="P3341" s="7">
        <v>45911</v>
      </c>
      <c r="R3341" s="8">
        <v>932</v>
      </c>
      <c r="S3341" s="7">
        <v>45916</v>
      </c>
      <c r="U3341" s="8">
        <v>932</v>
      </c>
      <c r="V3341" s="7">
        <v>45923</v>
      </c>
      <c r="X3341" s="8">
        <v>0</v>
      </c>
      <c r="Z3341" s="8">
        <v>932</v>
      </c>
      <c r="AA3341" s="7">
        <v>45937</v>
      </c>
      <c r="AC3341" s="8">
        <v>880</v>
      </c>
      <c r="AE3341" s="7">
        <v>45940</v>
      </c>
      <c r="AF3341" s="8">
        <v>880</v>
      </c>
      <c r="AH3341" s="7">
        <v>46037</v>
      </c>
      <c r="AN3341" s="8">
        <v>880</v>
      </c>
      <c r="AO3341" s="8">
        <v>20</v>
      </c>
    </row>
    <row r="3342" spans="1:41" x14ac:dyDescent="0.25">
      <c r="A3342" s="6" t="str">
        <f t="shared" si="790"/>
        <v>525-2025000353</v>
      </c>
      <c r="B3342" s="6" t="str">
        <f t="shared" si="801"/>
        <v>Lasa Int</v>
      </c>
      <c r="C3342" s="7">
        <v>45840</v>
      </c>
      <c r="D3342" s="7">
        <v>46037</v>
      </c>
      <c r="E3342" s="8">
        <v>13</v>
      </c>
      <c r="F3342" s="6" t="str">
        <f t="shared" si="791"/>
        <v>Panos Pure</v>
      </c>
      <c r="G3342" s="6" t="str">
        <f t="shared" si="797"/>
        <v>F320092644000000</v>
      </c>
      <c r="H3342" s="6" t="str">
        <f t="shared" si="798"/>
        <v>PL 926 - 440 gm²</v>
      </c>
      <c r="I3342" s="6" t="str">
        <f>"200138"</f>
        <v>200138</v>
      </c>
      <c r="J3342" s="6" t="str">
        <f>"AZUL 138"</f>
        <v>AZUL 138</v>
      </c>
      <c r="K3342" s="6" t="str">
        <f t="shared" si="799"/>
        <v>0820</v>
      </c>
      <c r="L3342" s="6" t="str">
        <f t="shared" si="795"/>
        <v>Cozinha</v>
      </c>
      <c r="M3342" s="6" t="str">
        <f t="shared" si="800"/>
        <v>50x50</v>
      </c>
      <c r="N3342" s="6" t="str">
        <f>"5602972624311"</f>
        <v>5602972624311</v>
      </c>
      <c r="O3342" s="8">
        <v>800</v>
      </c>
      <c r="P3342" s="7">
        <v>45911</v>
      </c>
      <c r="R3342" s="8">
        <v>864</v>
      </c>
      <c r="S3342" s="7">
        <v>45916</v>
      </c>
      <c r="U3342" s="8">
        <v>864</v>
      </c>
      <c r="V3342" s="7">
        <v>45923</v>
      </c>
      <c r="X3342" s="8">
        <v>0</v>
      </c>
      <c r="Z3342" s="8">
        <v>864</v>
      </c>
      <c r="AA3342" s="7">
        <v>45937</v>
      </c>
      <c r="AC3342" s="8">
        <v>760</v>
      </c>
      <c r="AE3342" s="7">
        <v>45940</v>
      </c>
      <c r="AF3342" s="8">
        <v>760</v>
      </c>
      <c r="AH3342" s="7">
        <v>46037</v>
      </c>
      <c r="AN3342" s="8">
        <v>760</v>
      </c>
      <c r="AO3342" s="8">
        <v>40</v>
      </c>
    </row>
    <row r="3343" spans="1:41" x14ac:dyDescent="0.25">
      <c r="A3343" s="6" t="str">
        <f t="shared" si="790"/>
        <v>525-2025000353</v>
      </c>
      <c r="B3343" s="6" t="str">
        <f t="shared" si="801"/>
        <v>Lasa Int</v>
      </c>
      <c r="C3343" s="7">
        <v>45840</v>
      </c>
      <c r="D3343" s="7">
        <v>46037</v>
      </c>
      <c r="E3343" s="8">
        <v>14</v>
      </c>
      <c r="F3343" s="6" t="str">
        <f t="shared" si="791"/>
        <v>Panos Pure</v>
      </c>
      <c r="G3343" s="6" t="str">
        <f t="shared" si="797"/>
        <v>F320092644000000</v>
      </c>
      <c r="H3343" s="6" t="str">
        <f t="shared" si="798"/>
        <v>PL 926 - 440 gm²</v>
      </c>
      <c r="I3343" s="6" t="str">
        <f>"201643"</f>
        <v>201643</v>
      </c>
      <c r="J3343" s="6" t="str">
        <f>"VERMELHO 1643"</f>
        <v>VERMELHO 1643</v>
      </c>
      <c r="K3343" s="6" t="str">
        <f t="shared" si="799"/>
        <v>0820</v>
      </c>
      <c r="L3343" s="6" t="str">
        <f t="shared" si="795"/>
        <v>Cozinha</v>
      </c>
      <c r="M3343" s="6" t="str">
        <f t="shared" si="800"/>
        <v>50x50</v>
      </c>
      <c r="N3343" s="6" t="str">
        <f>"5602972624328"</f>
        <v>5602972624328</v>
      </c>
      <c r="O3343" s="8">
        <v>1000</v>
      </c>
      <c r="P3343" s="7">
        <v>45911</v>
      </c>
      <c r="R3343" s="8">
        <v>1056</v>
      </c>
      <c r="S3343" s="7">
        <v>45916</v>
      </c>
      <c r="U3343" s="8">
        <v>1056</v>
      </c>
      <c r="V3343" s="7">
        <v>45923</v>
      </c>
      <c r="X3343" s="8">
        <v>0</v>
      </c>
      <c r="Z3343" s="8">
        <v>1056</v>
      </c>
      <c r="AA3343" s="7">
        <v>45937</v>
      </c>
      <c r="AC3343" s="8">
        <v>1040</v>
      </c>
      <c r="AE3343" s="7">
        <v>45940</v>
      </c>
      <c r="AF3343" s="8">
        <v>1040</v>
      </c>
      <c r="AH3343" s="7">
        <v>46037</v>
      </c>
      <c r="AN3343" s="8">
        <v>1040</v>
      </c>
      <c r="AO3343" s="8">
        <v>-40</v>
      </c>
    </row>
    <row r="3344" spans="1:41" x14ac:dyDescent="0.25">
      <c r="A3344" s="6" t="str">
        <f t="shared" si="790"/>
        <v>525-2025000353</v>
      </c>
      <c r="B3344" s="6" t="str">
        <f t="shared" si="801"/>
        <v>Lasa Int</v>
      </c>
      <c r="C3344" s="7">
        <v>45840</v>
      </c>
      <c r="D3344" s="7">
        <v>46037</v>
      </c>
      <c r="E3344" s="8">
        <v>15</v>
      </c>
      <c r="F3344" s="6" t="str">
        <f t="shared" si="791"/>
        <v>Panos Pure</v>
      </c>
      <c r="G3344" s="6" t="str">
        <f t="shared" si="797"/>
        <v>F320092644000000</v>
      </c>
      <c r="H3344" s="6" t="str">
        <f t="shared" si="798"/>
        <v>PL 926 - 440 gm²</v>
      </c>
      <c r="I3344" s="6" t="str">
        <f>"202831"</f>
        <v>202831</v>
      </c>
      <c r="J3344" s="6" t="str">
        <f>"VERDE 2831"</f>
        <v>VERDE 2831</v>
      </c>
      <c r="K3344" s="6" t="str">
        <f t="shared" si="799"/>
        <v>0820</v>
      </c>
      <c r="L3344" s="6" t="str">
        <f t="shared" si="795"/>
        <v>Cozinha</v>
      </c>
      <c r="M3344" s="6" t="str">
        <f t="shared" si="800"/>
        <v>50x50</v>
      </c>
      <c r="N3344" s="6" t="str">
        <f>"5602972624335"</f>
        <v>5602972624335</v>
      </c>
      <c r="O3344" s="8">
        <v>500</v>
      </c>
      <c r="P3344" s="7">
        <v>45911</v>
      </c>
      <c r="R3344" s="8">
        <v>564</v>
      </c>
      <c r="S3344" s="7">
        <v>45916</v>
      </c>
      <c r="U3344" s="8">
        <v>564</v>
      </c>
      <c r="V3344" s="7">
        <v>45923</v>
      </c>
      <c r="X3344" s="8">
        <v>0</v>
      </c>
      <c r="Z3344" s="8">
        <v>564</v>
      </c>
      <c r="AA3344" s="7">
        <v>45937</v>
      </c>
      <c r="AC3344" s="8">
        <v>500</v>
      </c>
      <c r="AE3344" s="7">
        <v>45940</v>
      </c>
      <c r="AF3344" s="8">
        <v>500</v>
      </c>
      <c r="AH3344" s="7">
        <v>46037</v>
      </c>
      <c r="AN3344" s="8">
        <v>500</v>
      </c>
      <c r="AO3344" s="8">
        <v>0</v>
      </c>
    </row>
    <row r="3345" spans="1:41" x14ac:dyDescent="0.25">
      <c r="A3345" s="6" t="str">
        <f t="shared" si="790"/>
        <v>525-2025000353</v>
      </c>
      <c r="B3345" s="6" t="str">
        <f t="shared" si="801"/>
        <v>Lasa Int</v>
      </c>
      <c r="C3345" s="7">
        <v>45840</v>
      </c>
      <c r="D3345" s="7">
        <v>46037</v>
      </c>
      <c r="E3345" s="8">
        <v>16</v>
      </c>
      <c r="F3345" s="6" t="str">
        <f t="shared" si="791"/>
        <v>Panos Pure</v>
      </c>
      <c r="G3345" s="6" t="str">
        <f t="shared" si="797"/>
        <v>F320092644000000</v>
      </c>
      <c r="H3345" s="6" t="str">
        <f t="shared" si="798"/>
        <v>PL 926 - 440 gm²</v>
      </c>
      <c r="I3345" s="6" t="str">
        <f>"202832"</f>
        <v>202832</v>
      </c>
      <c r="J3345" s="6" t="str">
        <f>"AMARELO 2832"</f>
        <v>AMARELO 2832</v>
      </c>
      <c r="K3345" s="6" t="str">
        <f t="shared" si="799"/>
        <v>0820</v>
      </c>
      <c r="L3345" s="6" t="str">
        <f t="shared" si="795"/>
        <v>Cozinha</v>
      </c>
      <c r="M3345" s="6" t="str">
        <f t="shared" si="800"/>
        <v>50x50</v>
      </c>
      <c r="N3345" s="6" t="str">
        <f>"5602972624342"</f>
        <v>5602972624342</v>
      </c>
      <c r="O3345" s="8">
        <v>1000</v>
      </c>
      <c r="P3345" s="7">
        <v>45911</v>
      </c>
      <c r="R3345" s="8">
        <v>540</v>
      </c>
      <c r="S3345" s="7">
        <v>45916</v>
      </c>
      <c r="U3345" s="8">
        <v>1136</v>
      </c>
      <c r="V3345" s="7">
        <v>45923</v>
      </c>
      <c r="X3345" s="8">
        <v>0</v>
      </c>
      <c r="Z3345" s="8">
        <v>1136</v>
      </c>
      <c r="AA3345" s="7">
        <v>45937</v>
      </c>
      <c r="AC3345" s="8">
        <v>1188</v>
      </c>
      <c r="AE3345" s="7">
        <v>45940</v>
      </c>
      <c r="AF3345" s="8">
        <v>1188</v>
      </c>
      <c r="AH3345" s="7">
        <v>46037</v>
      </c>
      <c r="AN3345" s="8">
        <v>1188</v>
      </c>
      <c r="AO3345" s="8">
        <v>-188</v>
      </c>
    </row>
    <row r="3346" spans="1:41" x14ac:dyDescent="0.25">
      <c r="A3346" s="6" t="str">
        <f t="shared" si="790"/>
        <v>525-2025000353</v>
      </c>
      <c r="B3346" s="6" t="str">
        <f t="shared" si="801"/>
        <v>Lasa Int</v>
      </c>
      <c r="C3346" s="7">
        <v>45840</v>
      </c>
      <c r="D3346" s="7">
        <v>46037</v>
      </c>
      <c r="E3346" s="8">
        <v>17</v>
      </c>
      <c r="F3346" s="6" t="str">
        <f t="shared" si="791"/>
        <v>Panos Pure</v>
      </c>
      <c r="G3346" s="6" t="str">
        <f t="shared" si="797"/>
        <v>F320092644000000</v>
      </c>
      <c r="H3346" s="6" t="str">
        <f t="shared" si="798"/>
        <v>PL 926 - 440 gm²</v>
      </c>
      <c r="I3346" s="6" t="str">
        <f>"203845"</f>
        <v>203845</v>
      </c>
      <c r="J3346" s="6" t="str">
        <f>"CASTANHO 3845"</f>
        <v>CASTANHO 3845</v>
      </c>
      <c r="K3346" s="6" t="str">
        <f t="shared" si="799"/>
        <v>0820</v>
      </c>
      <c r="L3346" s="6" t="str">
        <f t="shared" si="795"/>
        <v>Cozinha</v>
      </c>
      <c r="M3346" s="6" t="str">
        <f t="shared" si="800"/>
        <v>50x50</v>
      </c>
      <c r="N3346" s="6" t="str">
        <f>"5602972691641"</f>
        <v>5602972691641</v>
      </c>
      <c r="O3346" s="8">
        <v>1000</v>
      </c>
      <c r="P3346" s="7">
        <v>45911</v>
      </c>
      <c r="R3346" s="8">
        <v>1132</v>
      </c>
      <c r="S3346" s="7">
        <v>45916</v>
      </c>
      <c r="U3346" s="8">
        <v>1132</v>
      </c>
      <c r="V3346" s="7">
        <v>45923</v>
      </c>
      <c r="X3346" s="8">
        <v>0</v>
      </c>
      <c r="Z3346" s="8">
        <v>1132</v>
      </c>
      <c r="AA3346" s="7">
        <v>45937</v>
      </c>
      <c r="AC3346" s="8">
        <v>1148</v>
      </c>
      <c r="AE3346" s="7">
        <v>45940</v>
      </c>
      <c r="AF3346" s="8">
        <v>1148</v>
      </c>
      <c r="AH3346" s="7">
        <v>46037</v>
      </c>
      <c r="AN3346" s="8">
        <v>1148</v>
      </c>
      <c r="AO3346" s="8">
        <v>-148</v>
      </c>
    </row>
    <row r="3347" spans="1:41" x14ac:dyDescent="0.25">
      <c r="A3347" s="6" t="str">
        <f t="shared" si="790"/>
        <v>525-2025000353</v>
      </c>
      <c r="B3347" s="6" t="str">
        <f t="shared" si="801"/>
        <v>Lasa Int</v>
      </c>
      <c r="C3347" s="7">
        <v>45840</v>
      </c>
      <c r="D3347" s="7">
        <v>46037</v>
      </c>
      <c r="E3347" s="8">
        <v>18</v>
      </c>
      <c r="F3347" s="6" t="str">
        <f t="shared" si="791"/>
        <v>Panos Pure</v>
      </c>
      <c r="G3347" s="6" t="str">
        <f t="shared" si="797"/>
        <v>F320092644000000</v>
      </c>
      <c r="H3347" s="6" t="str">
        <f t="shared" si="798"/>
        <v>PL 926 - 440 gm²</v>
      </c>
      <c r="I3347" s="6" t="str">
        <f>"203874"</f>
        <v>203874</v>
      </c>
      <c r="J3347" s="6" t="str">
        <f>"VERDE 3874"</f>
        <v>VERDE 3874</v>
      </c>
      <c r="K3347" s="6" t="str">
        <f t="shared" si="799"/>
        <v>0820</v>
      </c>
      <c r="L3347" s="6" t="str">
        <f t="shared" si="795"/>
        <v>Cozinha</v>
      </c>
      <c r="M3347" s="6" t="str">
        <f t="shared" si="800"/>
        <v>50x50</v>
      </c>
      <c r="N3347" s="6" t="str">
        <f>"5602972691658"</f>
        <v>5602972691658</v>
      </c>
      <c r="O3347" s="8">
        <v>1200</v>
      </c>
      <c r="P3347" s="7">
        <v>45911</v>
      </c>
      <c r="R3347" s="8">
        <v>1300</v>
      </c>
      <c r="S3347" s="7">
        <v>45916</v>
      </c>
      <c r="U3347" s="8">
        <v>1300</v>
      </c>
      <c r="V3347" s="7">
        <v>45923</v>
      </c>
      <c r="X3347" s="8">
        <v>0</v>
      </c>
      <c r="Z3347" s="8">
        <v>1300</v>
      </c>
      <c r="AA3347" s="7">
        <v>45937</v>
      </c>
      <c r="AC3347" s="8">
        <v>1260</v>
      </c>
      <c r="AE3347" s="7">
        <v>45940</v>
      </c>
      <c r="AF3347" s="8">
        <v>1260</v>
      </c>
      <c r="AH3347" s="7">
        <v>46037</v>
      </c>
      <c r="AN3347" s="8">
        <v>1260</v>
      </c>
      <c r="AO3347" s="8">
        <v>-60</v>
      </c>
    </row>
    <row r="3348" spans="1:41" x14ac:dyDescent="0.25">
      <c r="A3348" s="6" t="str">
        <f t="shared" si="790"/>
        <v>525-2025000353</v>
      </c>
      <c r="B3348" s="6" t="str">
        <f t="shared" si="801"/>
        <v>Lasa Int</v>
      </c>
      <c r="C3348" s="7">
        <v>45840</v>
      </c>
      <c r="D3348" s="7">
        <v>46037</v>
      </c>
      <c r="E3348" s="8">
        <v>19</v>
      </c>
      <c r="F3348" s="6" t="str">
        <f t="shared" si="791"/>
        <v>Panos Pure</v>
      </c>
      <c r="G3348" s="6" t="str">
        <f t="shared" si="797"/>
        <v>F320092644000000</v>
      </c>
      <c r="H3348" s="6" t="str">
        <f t="shared" si="798"/>
        <v>PL 926 - 440 gm²</v>
      </c>
      <c r="I3348" s="6" t="str">
        <f>"204032"</f>
        <v>204032</v>
      </c>
      <c r="J3348" s="6" t="str">
        <f>"AZUL 4032"</f>
        <v>AZUL 4032</v>
      </c>
      <c r="K3348" s="6" t="str">
        <f t="shared" si="799"/>
        <v>0820</v>
      </c>
      <c r="L3348" s="6" t="str">
        <f t="shared" si="795"/>
        <v>Cozinha</v>
      </c>
      <c r="M3348" s="6" t="str">
        <f t="shared" si="800"/>
        <v>50x50</v>
      </c>
      <c r="N3348" s="6" t="str">
        <f>"5602972691665"</f>
        <v>5602972691665</v>
      </c>
      <c r="O3348" s="8">
        <v>1200</v>
      </c>
      <c r="P3348" s="7">
        <v>45911</v>
      </c>
      <c r="R3348" s="8">
        <v>1268</v>
      </c>
      <c r="S3348" s="7">
        <v>45916</v>
      </c>
      <c r="U3348" s="8">
        <v>1268</v>
      </c>
      <c r="V3348" s="7">
        <v>45923</v>
      </c>
      <c r="X3348" s="8">
        <v>0</v>
      </c>
      <c r="Z3348" s="8">
        <v>1268</v>
      </c>
      <c r="AA3348" s="7">
        <v>45937</v>
      </c>
      <c r="AC3348" s="8">
        <v>1132</v>
      </c>
      <c r="AE3348" s="7">
        <v>45940</v>
      </c>
      <c r="AF3348" s="8">
        <v>1132</v>
      </c>
      <c r="AH3348" s="7">
        <v>46037</v>
      </c>
      <c r="AN3348" s="8">
        <v>1132</v>
      </c>
      <c r="AO3348" s="8">
        <v>68</v>
      </c>
    </row>
    <row r="3349" spans="1:41" x14ac:dyDescent="0.25">
      <c r="A3349" s="6" t="str">
        <f t="shared" si="790"/>
        <v>525-2025000353</v>
      </c>
      <c r="B3349" s="6" t="str">
        <f t="shared" si="801"/>
        <v>Lasa Int</v>
      </c>
      <c r="C3349" s="7">
        <v>45840</v>
      </c>
      <c r="D3349" s="7">
        <v>46037</v>
      </c>
      <c r="E3349" s="8">
        <v>20</v>
      </c>
      <c r="F3349" s="6" t="str">
        <f t="shared" si="791"/>
        <v>Panos Pure</v>
      </c>
      <c r="G3349" s="6" t="str">
        <f t="shared" si="797"/>
        <v>F320092644000000</v>
      </c>
      <c r="H3349" s="6" t="str">
        <f t="shared" si="798"/>
        <v>PL 926 - 440 gm²</v>
      </c>
      <c r="I3349" s="6" t="str">
        <f>"204033"</f>
        <v>204033</v>
      </c>
      <c r="J3349" s="6" t="str">
        <f>"ROSA 4033"</f>
        <v>ROSA 4033</v>
      </c>
      <c r="K3349" s="6" t="str">
        <f t="shared" si="799"/>
        <v>0820</v>
      </c>
      <c r="L3349" s="6" t="str">
        <f t="shared" si="795"/>
        <v>Cozinha</v>
      </c>
      <c r="M3349" s="6" t="str">
        <f t="shared" si="800"/>
        <v>50x50</v>
      </c>
      <c r="N3349" s="6" t="str">
        <f>"5602972691672"</f>
        <v>5602972691672</v>
      </c>
      <c r="O3349" s="8">
        <v>1200</v>
      </c>
      <c r="P3349" s="7">
        <v>45911</v>
      </c>
      <c r="R3349" s="8">
        <v>932</v>
      </c>
      <c r="S3349" s="7">
        <v>45916</v>
      </c>
      <c r="U3349" s="8">
        <v>1364</v>
      </c>
      <c r="V3349" s="7">
        <v>45923</v>
      </c>
      <c r="X3349" s="8">
        <v>0</v>
      </c>
      <c r="Z3349" s="8">
        <v>1364</v>
      </c>
      <c r="AA3349" s="7">
        <v>45937</v>
      </c>
      <c r="AC3349" s="8">
        <v>1336</v>
      </c>
      <c r="AE3349" s="7">
        <v>45940</v>
      </c>
      <c r="AF3349" s="8">
        <v>1336</v>
      </c>
      <c r="AH3349" s="7">
        <v>46037</v>
      </c>
      <c r="AN3349" s="8">
        <v>1336</v>
      </c>
      <c r="AO3349" s="8">
        <v>-136</v>
      </c>
    </row>
    <row r="3350" spans="1:41" x14ac:dyDescent="0.25">
      <c r="A3350" s="6" t="str">
        <f>"525-2025000357"</f>
        <v>525-2025000357</v>
      </c>
      <c r="B3350" s="6" t="str">
        <f t="shared" si="801"/>
        <v>Lasa Int</v>
      </c>
      <c r="C3350" s="7">
        <v>45840</v>
      </c>
      <c r="D3350" s="7">
        <v>46068</v>
      </c>
      <c r="E3350" s="8">
        <v>1</v>
      </c>
      <c r="F3350" s="6" t="str">
        <f>"Royal C"</f>
        <v>Royal C</v>
      </c>
      <c r="G3350" s="6" t="str">
        <f>"F110108765000000"</f>
        <v>F110108765000000</v>
      </c>
      <c r="H3350" s="6" t="str">
        <f>"FAJP 1087 M - ROYAL"</f>
        <v>FAJP 1087 M - ROYAL</v>
      </c>
      <c r="I3350" s="6" t="str">
        <f>"3058"</f>
        <v>3058</v>
      </c>
      <c r="J3350" s="6" t="str">
        <f>"CINZA 3058"</f>
        <v>CINZA 3058</v>
      </c>
      <c r="K3350" s="6" t="str">
        <f>"0330"</f>
        <v>0330</v>
      </c>
      <c r="L3350" s="6" t="str">
        <f>"Panos"</f>
        <v>Panos</v>
      </c>
      <c r="M3350" s="6" t="str">
        <f>"33x33"</f>
        <v>33x33</v>
      </c>
      <c r="N3350" s="6" t="str">
        <f>"5602972718119"</f>
        <v>5602972718119</v>
      </c>
      <c r="O3350" s="8">
        <v>450</v>
      </c>
      <c r="P3350" s="7">
        <v>45840</v>
      </c>
      <c r="R3350" s="8">
        <v>0</v>
      </c>
      <c r="S3350" s="7">
        <v>45845</v>
      </c>
      <c r="U3350" s="8">
        <v>600</v>
      </c>
      <c r="V3350" s="7">
        <v>45854</v>
      </c>
      <c r="X3350" s="8">
        <v>0</v>
      </c>
      <c r="Z3350" s="8">
        <v>0</v>
      </c>
      <c r="AA3350" s="7">
        <v>45866</v>
      </c>
      <c r="AC3350" s="8">
        <v>594</v>
      </c>
      <c r="AE3350" s="7">
        <v>45868</v>
      </c>
      <c r="AF3350" s="8">
        <v>594</v>
      </c>
      <c r="AH3350" s="7">
        <v>45868</v>
      </c>
      <c r="AN3350" s="8">
        <v>594</v>
      </c>
      <c r="AO3350" s="8">
        <v>-144</v>
      </c>
    </row>
    <row r="3351" spans="1:41" x14ac:dyDescent="0.25">
      <c r="A3351" s="6" t="str">
        <f>"525-2025000357"</f>
        <v>525-2025000357</v>
      </c>
      <c r="B3351" s="6" t="str">
        <f t="shared" si="801"/>
        <v>Lasa Int</v>
      </c>
      <c r="C3351" s="7">
        <v>45840</v>
      </c>
      <c r="D3351" s="7">
        <v>46068</v>
      </c>
      <c r="E3351" s="8">
        <v>2</v>
      </c>
      <c r="F3351" s="6" t="str">
        <f>"Royal C"</f>
        <v>Royal C</v>
      </c>
      <c r="G3351" s="6" t="str">
        <f>"F110108765000000"</f>
        <v>F110108765000000</v>
      </c>
      <c r="H3351" s="6" t="str">
        <f>"FAJP 1087 M - ROYAL"</f>
        <v>FAJP 1087 M - ROYAL</v>
      </c>
      <c r="I3351" s="6" t="str">
        <f>"3058"</f>
        <v>3058</v>
      </c>
      <c r="J3351" s="6" t="str">
        <f>"CINZA 3058"</f>
        <v>CINZA 3058</v>
      </c>
      <c r="K3351" s="6" t="str">
        <f>"1024"</f>
        <v>1024</v>
      </c>
      <c r="L3351" s="6" t="str">
        <f>"Toalhas"</f>
        <v>Toalhas</v>
      </c>
      <c r="M3351" s="6" t="str">
        <f>"50x100"</f>
        <v>50x100</v>
      </c>
      <c r="N3351" s="6" t="str">
        <f>"5602972718133"</f>
        <v>5602972718133</v>
      </c>
      <c r="O3351" s="8">
        <v>240</v>
      </c>
      <c r="P3351" s="7">
        <v>45840</v>
      </c>
      <c r="R3351" s="8">
        <v>0</v>
      </c>
      <c r="S3351" s="7">
        <v>45845</v>
      </c>
      <c r="U3351" s="8">
        <v>252</v>
      </c>
      <c r="V3351" s="7">
        <v>45854</v>
      </c>
      <c r="X3351" s="8">
        <v>0</v>
      </c>
      <c r="Z3351" s="8">
        <v>0</v>
      </c>
      <c r="AA3351" s="7">
        <v>45866</v>
      </c>
      <c r="AC3351" s="8">
        <v>0</v>
      </c>
      <c r="AE3351" s="7">
        <v>45868</v>
      </c>
      <c r="AF3351" s="8">
        <v>0</v>
      </c>
      <c r="AH3351" s="7">
        <v>45868</v>
      </c>
      <c r="AN3351" s="8">
        <v>0</v>
      </c>
      <c r="AO3351" s="8">
        <v>240</v>
      </c>
    </row>
    <row r="3352" spans="1:41" x14ac:dyDescent="0.25">
      <c r="A3352" s="6" t="str">
        <f>"525-2025000357"</f>
        <v>525-2025000357</v>
      </c>
      <c r="B3352" s="6" t="str">
        <f t="shared" si="801"/>
        <v>Lasa Int</v>
      </c>
      <c r="C3352" s="7">
        <v>45840</v>
      </c>
      <c r="D3352" s="7">
        <v>46068</v>
      </c>
      <c r="E3352" s="8">
        <v>3</v>
      </c>
      <c r="F3352" s="6" t="str">
        <f>"Royal C"</f>
        <v>Royal C</v>
      </c>
      <c r="G3352" s="6" t="str">
        <f>"F110108765000000"</f>
        <v>F110108765000000</v>
      </c>
      <c r="H3352" s="6" t="str">
        <f>"FAJP 1087 M - ROYAL"</f>
        <v>FAJP 1087 M - ROYAL</v>
      </c>
      <c r="I3352" s="6" t="str">
        <f>"3058"</f>
        <v>3058</v>
      </c>
      <c r="J3352" s="6" t="str">
        <f>"CINZA 3058"</f>
        <v>CINZA 3058</v>
      </c>
      <c r="K3352" s="6" t="str">
        <f>"1535"</f>
        <v>1535</v>
      </c>
      <c r="L3352" s="6" t="str">
        <f>"Toalhões"</f>
        <v>Toalhões</v>
      </c>
      <c r="M3352" s="6" t="str">
        <f>"70x140"</f>
        <v>70x140</v>
      </c>
      <c r="N3352" s="6" t="str">
        <f>"5602972718140"</f>
        <v>5602972718140</v>
      </c>
      <c r="O3352" s="8">
        <v>120</v>
      </c>
      <c r="P3352" s="7">
        <v>45840</v>
      </c>
      <c r="R3352" s="8">
        <v>0</v>
      </c>
      <c r="S3352" s="7">
        <v>45845</v>
      </c>
      <c r="U3352" s="8">
        <v>162</v>
      </c>
      <c r="V3352" s="7">
        <v>45854</v>
      </c>
      <c r="X3352" s="8">
        <v>0</v>
      </c>
      <c r="Z3352" s="8">
        <v>0</v>
      </c>
      <c r="AA3352" s="7">
        <v>45866</v>
      </c>
      <c r="AC3352" s="8">
        <v>0</v>
      </c>
      <c r="AE3352" s="7">
        <v>45868</v>
      </c>
      <c r="AF3352" s="8">
        <v>0</v>
      </c>
      <c r="AH3352" s="7">
        <v>45868</v>
      </c>
      <c r="AN3352" s="8">
        <v>0</v>
      </c>
      <c r="AO3352" s="8">
        <v>120</v>
      </c>
    </row>
    <row r="3353" spans="1:41" x14ac:dyDescent="0.25">
      <c r="A3353" s="6" t="str">
        <f>"525-2025000357"</f>
        <v>525-2025000357</v>
      </c>
      <c r="B3353" s="6" t="str">
        <f t="shared" si="801"/>
        <v>Lasa Int</v>
      </c>
      <c r="C3353" s="7">
        <v>45840</v>
      </c>
      <c r="D3353" s="7">
        <v>46068</v>
      </c>
      <c r="E3353" s="8">
        <v>4</v>
      </c>
      <c r="F3353" s="6" t="str">
        <f>"Royal C"</f>
        <v>Royal C</v>
      </c>
      <c r="G3353" s="6" t="str">
        <f>"F110108765000000"</f>
        <v>F110108765000000</v>
      </c>
      <c r="H3353" s="6" t="str">
        <f>"FAJP 1087 M - ROYAL"</f>
        <v>FAJP 1087 M - ROYAL</v>
      </c>
      <c r="I3353" s="6" t="str">
        <f>"3058"</f>
        <v>3058</v>
      </c>
      <c r="J3353" s="6" t="str">
        <f>"CINZA 3058"</f>
        <v>CINZA 3058</v>
      </c>
      <c r="K3353" s="6" t="str">
        <f>"2020"</f>
        <v>2020</v>
      </c>
      <c r="L3353" s="6" t="str">
        <f>"Lençóis"</f>
        <v>Lençóis</v>
      </c>
      <c r="M3353" s="6" t="str">
        <f>"100x150"</f>
        <v>100x150</v>
      </c>
      <c r="N3353" s="6" t="str">
        <f>"5602972718157"</f>
        <v>5602972718157</v>
      </c>
      <c r="O3353" s="8">
        <v>160</v>
      </c>
      <c r="P3353" s="7">
        <v>45840</v>
      </c>
      <c r="R3353" s="8">
        <v>0</v>
      </c>
      <c r="S3353" s="7">
        <v>45845</v>
      </c>
      <c r="U3353" s="8">
        <v>162</v>
      </c>
      <c r="V3353" s="7">
        <v>45854</v>
      </c>
      <c r="X3353" s="8">
        <v>0</v>
      </c>
      <c r="Z3353" s="8">
        <v>0</v>
      </c>
      <c r="AA3353" s="7">
        <v>45866</v>
      </c>
      <c r="AC3353" s="8">
        <v>0</v>
      </c>
      <c r="AE3353" s="7">
        <v>45868</v>
      </c>
      <c r="AF3353" s="8">
        <v>0</v>
      </c>
      <c r="AH3353" s="7">
        <v>45868</v>
      </c>
      <c r="AN3353" s="8">
        <v>0</v>
      </c>
      <c r="AO3353" s="8">
        <v>160</v>
      </c>
    </row>
    <row r="3354" spans="1:41" x14ac:dyDescent="0.25">
      <c r="A3354" s="6" t="str">
        <f t="shared" ref="A3354:A3367" si="802">"525-2025000359"</f>
        <v>525-2025000359</v>
      </c>
      <c r="B3354" s="6" t="str">
        <f t="shared" si="801"/>
        <v>Lasa Int</v>
      </c>
      <c r="C3354" s="7">
        <v>45840</v>
      </c>
      <c r="D3354" s="7">
        <v>46068</v>
      </c>
      <c r="E3354" s="8">
        <v>1</v>
      </c>
      <c r="F3354" s="6" t="str">
        <f t="shared" ref="F3354:F3367" si="803">"Juliet"</f>
        <v>Juliet</v>
      </c>
      <c r="G3354" s="6" t="str">
        <f t="shared" ref="G3354:G3367" si="804">"F137135952000000"</f>
        <v>F137135952000000</v>
      </c>
      <c r="H3354" s="6" t="str">
        <f t="shared" ref="H3354:H3367" si="805">"FAJ SP 1359 CH PO -"</f>
        <v>FAJ SP 1359 CH PO -</v>
      </c>
      <c r="I3354" s="6" t="str">
        <f>"500692"</f>
        <v>500692</v>
      </c>
      <c r="J3354" s="6" t="str">
        <f>"AZUL 2775 /2467"</f>
        <v>AZUL 2775 /2467</v>
      </c>
      <c r="K3354" s="6" t="str">
        <f>"0518"</f>
        <v>0518</v>
      </c>
      <c r="L3354" s="6" t="str">
        <f>"Toalhetes"</f>
        <v>Toalhetes</v>
      </c>
      <c r="M3354" s="6" t="str">
        <f>"40x60"</f>
        <v>40x60</v>
      </c>
      <c r="N3354" s="6" t="str">
        <f>"5602972650129"</f>
        <v>5602972650129</v>
      </c>
      <c r="O3354" s="8">
        <v>240</v>
      </c>
      <c r="P3354" s="7">
        <v>45877</v>
      </c>
      <c r="R3354" s="8">
        <v>260</v>
      </c>
      <c r="S3354" s="7">
        <v>45901</v>
      </c>
      <c r="U3354" s="8">
        <v>260</v>
      </c>
      <c r="V3354" s="7">
        <v>45912</v>
      </c>
      <c r="X3354" s="8">
        <v>0</v>
      </c>
      <c r="Z3354" s="8">
        <v>260</v>
      </c>
      <c r="AA3354" s="7">
        <v>45926</v>
      </c>
      <c r="AC3354" s="8">
        <v>0</v>
      </c>
      <c r="AE3354" s="7">
        <v>45931</v>
      </c>
      <c r="AF3354" s="8">
        <v>0</v>
      </c>
      <c r="AH3354" s="7">
        <v>46037</v>
      </c>
      <c r="AN3354" s="8">
        <v>0</v>
      </c>
      <c r="AO3354" s="8">
        <v>240</v>
      </c>
    </row>
    <row r="3355" spans="1:41" x14ac:dyDescent="0.25">
      <c r="A3355" s="6" t="str">
        <f t="shared" si="802"/>
        <v>525-2025000359</v>
      </c>
      <c r="B3355" s="6" t="str">
        <f t="shared" si="801"/>
        <v>Lasa Int</v>
      </c>
      <c r="C3355" s="7">
        <v>45840</v>
      </c>
      <c r="D3355" s="7">
        <v>46068</v>
      </c>
      <c r="E3355" s="8">
        <v>2</v>
      </c>
      <c r="F3355" s="6" t="str">
        <f t="shared" si="803"/>
        <v>Juliet</v>
      </c>
      <c r="G3355" s="6" t="str">
        <f t="shared" si="804"/>
        <v>F137135952000000</v>
      </c>
      <c r="H3355" s="6" t="str">
        <f t="shared" si="805"/>
        <v>FAJ SP 1359 CH PO -</v>
      </c>
      <c r="I3355" s="6" t="str">
        <f>"500692"</f>
        <v>500692</v>
      </c>
      <c r="J3355" s="6" t="str">
        <f>"AZUL 2775 /2467"</f>
        <v>AZUL 2775 /2467</v>
      </c>
      <c r="K3355" s="6" t="str">
        <f>"0530"</f>
        <v>0530</v>
      </c>
      <c r="L3355" s="6" t="str">
        <f>"Toalhetes"</f>
        <v>Toalhetes</v>
      </c>
      <c r="M3355" s="6" t="str">
        <f>"33x50"</f>
        <v>33x50</v>
      </c>
      <c r="N3355" s="6" t="str">
        <f>"5602972715583"</f>
        <v>5602972715583</v>
      </c>
      <c r="O3355" s="8">
        <v>240</v>
      </c>
      <c r="P3355" s="7">
        <v>45877</v>
      </c>
      <c r="R3355" s="8">
        <v>264</v>
      </c>
      <c r="S3355" s="7">
        <v>45901</v>
      </c>
      <c r="U3355" s="8">
        <v>264</v>
      </c>
      <c r="V3355" s="7">
        <v>45912</v>
      </c>
      <c r="X3355" s="8">
        <v>0</v>
      </c>
      <c r="Z3355" s="8">
        <v>264</v>
      </c>
      <c r="AA3355" s="7">
        <v>45926</v>
      </c>
      <c r="AC3355" s="8">
        <v>0</v>
      </c>
      <c r="AE3355" s="7">
        <v>45931</v>
      </c>
      <c r="AF3355" s="8">
        <v>0</v>
      </c>
      <c r="AH3355" s="7">
        <v>46037</v>
      </c>
      <c r="AN3355" s="8">
        <v>0</v>
      </c>
      <c r="AO3355" s="8">
        <v>240</v>
      </c>
    </row>
    <row r="3356" spans="1:41" x14ac:dyDescent="0.25">
      <c r="A3356" s="6" t="str">
        <f t="shared" si="802"/>
        <v>525-2025000359</v>
      </c>
      <c r="B3356" s="6" t="str">
        <f t="shared" si="801"/>
        <v>Lasa Int</v>
      </c>
      <c r="C3356" s="7">
        <v>45840</v>
      </c>
      <c r="D3356" s="7">
        <v>46068</v>
      </c>
      <c r="E3356" s="8">
        <v>3</v>
      </c>
      <c r="F3356" s="6" t="str">
        <f t="shared" si="803"/>
        <v>Juliet</v>
      </c>
      <c r="G3356" s="6" t="str">
        <f t="shared" si="804"/>
        <v>F137135952000000</v>
      </c>
      <c r="H3356" s="6" t="str">
        <f t="shared" si="805"/>
        <v>FAJ SP 1359 CH PO -</v>
      </c>
      <c r="I3356" s="6" t="str">
        <f>"500692"</f>
        <v>500692</v>
      </c>
      <c r="J3356" s="6" t="str">
        <f>"AZUL 2775 /2467"</f>
        <v>AZUL 2775 /2467</v>
      </c>
      <c r="K3356" s="6" t="str">
        <f>"1024"</f>
        <v>1024</v>
      </c>
      <c r="L3356" s="6" t="str">
        <f>"Toalhas"</f>
        <v>Toalhas</v>
      </c>
      <c r="M3356" s="6" t="str">
        <f>"50x100"</f>
        <v>50x100</v>
      </c>
      <c r="N3356" s="6" t="str">
        <f>"5602972715590"</f>
        <v>5602972715590</v>
      </c>
      <c r="O3356" s="8">
        <v>360</v>
      </c>
      <c r="P3356" s="7">
        <v>45877</v>
      </c>
      <c r="R3356" s="8">
        <v>400</v>
      </c>
      <c r="S3356" s="7">
        <v>45901</v>
      </c>
      <c r="U3356" s="8">
        <v>400</v>
      </c>
      <c r="V3356" s="7">
        <v>45912</v>
      </c>
      <c r="X3356" s="8">
        <v>0</v>
      </c>
      <c r="Z3356" s="8">
        <v>400</v>
      </c>
      <c r="AA3356" s="7">
        <v>45926</v>
      </c>
      <c r="AC3356" s="8">
        <v>4</v>
      </c>
      <c r="AE3356" s="7">
        <v>45931</v>
      </c>
      <c r="AF3356" s="8">
        <v>4</v>
      </c>
      <c r="AH3356" s="7">
        <v>46037</v>
      </c>
      <c r="AN3356" s="8">
        <v>4</v>
      </c>
      <c r="AO3356" s="8">
        <v>356</v>
      </c>
    </row>
    <row r="3357" spans="1:41" x14ac:dyDescent="0.25">
      <c r="A3357" s="6" t="str">
        <f t="shared" si="802"/>
        <v>525-2025000359</v>
      </c>
      <c r="B3357" s="6" t="str">
        <f t="shared" si="801"/>
        <v>Lasa Int</v>
      </c>
      <c r="C3357" s="7">
        <v>45840</v>
      </c>
      <c r="D3357" s="7">
        <v>46068</v>
      </c>
      <c r="E3357" s="8">
        <v>4</v>
      </c>
      <c r="F3357" s="6" t="str">
        <f t="shared" si="803"/>
        <v>Juliet</v>
      </c>
      <c r="G3357" s="6" t="str">
        <f t="shared" si="804"/>
        <v>F137135952000000</v>
      </c>
      <c r="H3357" s="6" t="str">
        <f t="shared" si="805"/>
        <v>FAJ SP 1359 CH PO -</v>
      </c>
      <c r="I3357" s="6" t="str">
        <f>"500692"</f>
        <v>500692</v>
      </c>
      <c r="J3357" s="6" t="str">
        <f>"AZUL 2775 /2467"</f>
        <v>AZUL 2775 /2467</v>
      </c>
      <c r="K3357" s="6" t="str">
        <f>"1535"</f>
        <v>1535</v>
      </c>
      <c r="L3357" s="6" t="str">
        <f>"Toalhões"</f>
        <v>Toalhões</v>
      </c>
      <c r="M3357" s="6" t="str">
        <f>"70x140"</f>
        <v>70x140</v>
      </c>
      <c r="N3357" s="6" t="str">
        <f>"5602972715606"</f>
        <v>5602972715606</v>
      </c>
      <c r="O3357" s="8">
        <v>80</v>
      </c>
      <c r="P3357" s="7">
        <v>45877</v>
      </c>
      <c r="R3357" s="8">
        <v>93</v>
      </c>
      <c r="S3357" s="7">
        <v>45901</v>
      </c>
      <c r="U3357" s="8">
        <v>93</v>
      </c>
      <c r="V3357" s="7">
        <v>45912</v>
      </c>
      <c r="X3357" s="8">
        <v>0</v>
      </c>
      <c r="Z3357" s="8">
        <v>93</v>
      </c>
      <c r="AA3357" s="7">
        <v>45926</v>
      </c>
      <c r="AC3357" s="8">
        <v>0</v>
      </c>
      <c r="AE3357" s="7">
        <v>45931</v>
      </c>
      <c r="AF3357" s="8">
        <v>0</v>
      </c>
      <c r="AH3357" s="7">
        <v>46037</v>
      </c>
      <c r="AN3357" s="8">
        <v>0</v>
      </c>
      <c r="AO3357" s="8">
        <v>80</v>
      </c>
    </row>
    <row r="3358" spans="1:41" x14ac:dyDescent="0.25">
      <c r="A3358" s="6" t="str">
        <f t="shared" si="802"/>
        <v>525-2025000359</v>
      </c>
      <c r="B3358" s="6" t="str">
        <f t="shared" si="801"/>
        <v>Lasa Int</v>
      </c>
      <c r="C3358" s="7">
        <v>45840</v>
      </c>
      <c r="D3358" s="7">
        <v>46068</v>
      </c>
      <c r="E3358" s="8">
        <v>5</v>
      </c>
      <c r="F3358" s="6" t="str">
        <f t="shared" si="803"/>
        <v>Juliet</v>
      </c>
      <c r="G3358" s="6" t="str">
        <f t="shared" si="804"/>
        <v>F137135952000000</v>
      </c>
      <c r="H3358" s="6" t="str">
        <f t="shared" si="805"/>
        <v>FAJ SP 1359 CH PO -</v>
      </c>
      <c r="I3358" s="6" t="str">
        <f>"500692"</f>
        <v>500692</v>
      </c>
      <c r="J3358" s="6" t="str">
        <f>"AZUL 2775 /2467"</f>
        <v>AZUL 2775 /2467</v>
      </c>
      <c r="K3358" s="6" t="str">
        <f>"2020"</f>
        <v>2020</v>
      </c>
      <c r="L3358" s="6" t="str">
        <f>"Lençóis"</f>
        <v>Lençóis</v>
      </c>
      <c r="M3358" s="6" t="str">
        <f>"100x150"</f>
        <v>100x150</v>
      </c>
      <c r="N3358" s="6" t="str">
        <f>"5602972715613"</f>
        <v>5602972715613</v>
      </c>
      <c r="O3358" s="8">
        <v>180</v>
      </c>
      <c r="P3358" s="7">
        <v>45877</v>
      </c>
      <c r="R3358" s="8">
        <v>206</v>
      </c>
      <c r="S3358" s="7">
        <v>45901</v>
      </c>
      <c r="U3358" s="8">
        <v>200</v>
      </c>
      <c r="V3358" s="7">
        <v>45912</v>
      </c>
      <c r="X3358" s="8">
        <v>0</v>
      </c>
      <c r="Z3358" s="8">
        <v>200</v>
      </c>
      <c r="AA3358" s="7">
        <v>45926</v>
      </c>
      <c r="AC3358" s="8">
        <v>30</v>
      </c>
      <c r="AE3358" s="7">
        <v>45931</v>
      </c>
      <c r="AF3358" s="8">
        <v>30</v>
      </c>
      <c r="AH3358" s="7">
        <v>46037</v>
      </c>
      <c r="AN3358" s="8">
        <v>30</v>
      </c>
      <c r="AO3358" s="8">
        <v>150</v>
      </c>
    </row>
    <row r="3359" spans="1:41" x14ac:dyDescent="0.25">
      <c r="A3359" s="6" t="str">
        <f t="shared" si="802"/>
        <v>525-2025000359</v>
      </c>
      <c r="B3359" s="6" t="str">
        <f t="shared" si="801"/>
        <v>Lasa Int</v>
      </c>
      <c r="C3359" s="7">
        <v>45840</v>
      </c>
      <c r="D3359" s="7">
        <v>46068</v>
      </c>
      <c r="E3359" s="8">
        <v>6</v>
      </c>
      <c r="F3359" s="6" t="str">
        <f t="shared" si="803"/>
        <v>Juliet</v>
      </c>
      <c r="G3359" s="6" t="str">
        <f t="shared" si="804"/>
        <v>F137135952000000</v>
      </c>
      <c r="H3359" s="6" t="str">
        <f t="shared" si="805"/>
        <v>FAJ SP 1359 CH PO -</v>
      </c>
      <c r="I3359" s="6" t="str">
        <f>"500693"</f>
        <v>500693</v>
      </c>
      <c r="J3359" s="6" t="str">
        <f>"BRANCO /2464"</f>
        <v>BRANCO /2464</v>
      </c>
      <c r="K3359" s="6" t="str">
        <f>"1024"</f>
        <v>1024</v>
      </c>
      <c r="L3359" s="6" t="str">
        <f>"Toalhas"</f>
        <v>Toalhas</v>
      </c>
      <c r="M3359" s="6" t="str">
        <f>"50x100"</f>
        <v>50x100</v>
      </c>
      <c r="N3359" s="6" t="str">
        <f>"5602972715644"</f>
        <v>5602972715644</v>
      </c>
      <c r="O3359" s="8">
        <v>600</v>
      </c>
      <c r="P3359" s="7">
        <v>45877</v>
      </c>
      <c r="R3359" s="8">
        <v>672</v>
      </c>
      <c r="S3359" s="7">
        <v>45901</v>
      </c>
      <c r="U3359" s="8">
        <v>672</v>
      </c>
      <c r="V3359" s="7">
        <v>45912</v>
      </c>
      <c r="X3359" s="8">
        <v>0</v>
      </c>
      <c r="Z3359" s="8">
        <v>672</v>
      </c>
      <c r="AA3359" s="7">
        <v>45926</v>
      </c>
      <c r="AC3359" s="8">
        <v>26</v>
      </c>
      <c r="AE3359" s="7">
        <v>45931</v>
      </c>
      <c r="AF3359" s="8">
        <v>26</v>
      </c>
      <c r="AH3359" s="7">
        <v>46037</v>
      </c>
      <c r="AN3359" s="8">
        <v>26</v>
      </c>
      <c r="AO3359" s="8">
        <v>574</v>
      </c>
    </row>
    <row r="3360" spans="1:41" x14ac:dyDescent="0.25">
      <c r="A3360" s="6" t="str">
        <f t="shared" si="802"/>
        <v>525-2025000359</v>
      </c>
      <c r="B3360" s="6" t="str">
        <f t="shared" si="801"/>
        <v>Lasa Int</v>
      </c>
      <c r="C3360" s="7">
        <v>45840</v>
      </c>
      <c r="D3360" s="7">
        <v>46068</v>
      </c>
      <c r="E3360" s="8">
        <v>7</v>
      </c>
      <c r="F3360" s="6" t="str">
        <f t="shared" si="803"/>
        <v>Juliet</v>
      </c>
      <c r="G3360" s="6" t="str">
        <f t="shared" si="804"/>
        <v>F137135952000000</v>
      </c>
      <c r="H3360" s="6" t="str">
        <f t="shared" si="805"/>
        <v>FAJ SP 1359 CH PO -</v>
      </c>
      <c r="I3360" s="6" t="str">
        <f>"500693"</f>
        <v>500693</v>
      </c>
      <c r="J3360" s="6" t="str">
        <f>"BRANCO /2464"</f>
        <v>BRANCO /2464</v>
      </c>
      <c r="K3360" s="6" t="str">
        <f>"1535"</f>
        <v>1535</v>
      </c>
      <c r="L3360" s="6" t="str">
        <f>"Toalhões"</f>
        <v>Toalhões</v>
      </c>
      <c r="M3360" s="6" t="str">
        <f>"70x140"</f>
        <v>70x140</v>
      </c>
      <c r="N3360" s="6" t="str">
        <f>"5602972715651"</f>
        <v>5602972715651</v>
      </c>
      <c r="O3360" s="8">
        <v>320</v>
      </c>
      <c r="P3360" s="7">
        <v>45877</v>
      </c>
      <c r="R3360" s="8">
        <v>375</v>
      </c>
      <c r="S3360" s="7">
        <v>45901</v>
      </c>
      <c r="U3360" s="8">
        <v>375</v>
      </c>
      <c r="V3360" s="7">
        <v>45912</v>
      </c>
      <c r="X3360" s="8">
        <v>0</v>
      </c>
      <c r="Z3360" s="8">
        <v>375</v>
      </c>
      <c r="AA3360" s="7">
        <v>45926</v>
      </c>
      <c r="AC3360" s="8">
        <v>0</v>
      </c>
      <c r="AE3360" s="7">
        <v>45931</v>
      </c>
      <c r="AF3360" s="8">
        <v>0</v>
      </c>
      <c r="AH3360" s="7">
        <v>46037</v>
      </c>
      <c r="AN3360" s="8">
        <v>0</v>
      </c>
      <c r="AO3360" s="8">
        <v>320</v>
      </c>
    </row>
    <row r="3361" spans="1:41" x14ac:dyDescent="0.25">
      <c r="A3361" s="6" t="str">
        <f t="shared" si="802"/>
        <v>525-2025000359</v>
      </c>
      <c r="B3361" s="6" t="str">
        <f t="shared" si="801"/>
        <v>Lasa Int</v>
      </c>
      <c r="C3361" s="7">
        <v>45840</v>
      </c>
      <c r="D3361" s="7">
        <v>46068</v>
      </c>
      <c r="E3361" s="8">
        <v>8</v>
      </c>
      <c r="F3361" s="6" t="str">
        <f t="shared" si="803"/>
        <v>Juliet</v>
      </c>
      <c r="G3361" s="6" t="str">
        <f t="shared" si="804"/>
        <v>F137135952000000</v>
      </c>
      <c r="H3361" s="6" t="str">
        <f t="shared" si="805"/>
        <v>FAJ SP 1359 CH PO -</v>
      </c>
      <c r="I3361" s="6" t="str">
        <f>"500693"</f>
        <v>500693</v>
      </c>
      <c r="J3361" s="6" t="str">
        <f>"BRANCO /2464"</f>
        <v>BRANCO /2464</v>
      </c>
      <c r="K3361" s="6" t="str">
        <f>"2020"</f>
        <v>2020</v>
      </c>
      <c r="L3361" s="6" t="str">
        <f>"Lençóis"</f>
        <v>Lençóis</v>
      </c>
      <c r="M3361" s="6" t="str">
        <f>"100x150"</f>
        <v>100x150</v>
      </c>
      <c r="N3361" s="6" t="str">
        <f>"5602972715668"</f>
        <v>5602972715668</v>
      </c>
      <c r="O3361" s="8">
        <v>320</v>
      </c>
      <c r="P3361" s="7">
        <v>45877</v>
      </c>
      <c r="R3361" s="8">
        <v>370</v>
      </c>
      <c r="S3361" s="7">
        <v>45901</v>
      </c>
      <c r="U3361" s="8">
        <v>370</v>
      </c>
      <c r="V3361" s="7">
        <v>45912</v>
      </c>
      <c r="X3361" s="8">
        <v>0</v>
      </c>
      <c r="Z3361" s="8">
        <v>370</v>
      </c>
      <c r="AA3361" s="7">
        <v>45926</v>
      </c>
      <c r="AC3361" s="8">
        <v>40</v>
      </c>
      <c r="AE3361" s="7">
        <v>45931</v>
      </c>
      <c r="AF3361" s="8">
        <v>40</v>
      </c>
      <c r="AH3361" s="7">
        <v>46037</v>
      </c>
      <c r="AN3361" s="8">
        <v>40</v>
      </c>
      <c r="AO3361" s="8">
        <v>280</v>
      </c>
    </row>
    <row r="3362" spans="1:41" x14ac:dyDescent="0.25">
      <c r="A3362" s="6" t="str">
        <f t="shared" si="802"/>
        <v>525-2025000359</v>
      </c>
      <c r="B3362" s="6" t="str">
        <f t="shared" si="801"/>
        <v>Lasa Int</v>
      </c>
      <c r="C3362" s="7">
        <v>45840</v>
      </c>
      <c r="D3362" s="7">
        <v>46068</v>
      </c>
      <c r="E3362" s="8">
        <v>9</v>
      </c>
      <c r="F3362" s="6" t="str">
        <f t="shared" si="803"/>
        <v>Juliet</v>
      </c>
      <c r="G3362" s="6" t="str">
        <f t="shared" si="804"/>
        <v>F137135952000000</v>
      </c>
      <c r="H3362" s="6" t="str">
        <f t="shared" si="805"/>
        <v>FAJ SP 1359 CH PO -</v>
      </c>
      <c r="I3362" s="6" t="str">
        <f>"500696"</f>
        <v>500696</v>
      </c>
      <c r="J3362" s="6" t="str">
        <f>"BEGE 2749 /2466"</f>
        <v>BEGE 2749 /2466</v>
      </c>
      <c r="K3362" s="6" t="str">
        <f>"0518"</f>
        <v>0518</v>
      </c>
      <c r="L3362" s="6" t="str">
        <f>"Toalhetes"</f>
        <v>Toalhetes</v>
      </c>
      <c r="M3362" s="6" t="str">
        <f>"40x60"</f>
        <v>40x60</v>
      </c>
      <c r="N3362" s="6" t="str">
        <f>"5602972650167"</f>
        <v>5602972650167</v>
      </c>
      <c r="O3362" s="8">
        <v>240</v>
      </c>
      <c r="P3362" s="7">
        <v>45877</v>
      </c>
      <c r="R3362" s="8">
        <v>260</v>
      </c>
      <c r="S3362" s="7">
        <v>45901</v>
      </c>
      <c r="U3362" s="8">
        <v>260</v>
      </c>
      <c r="V3362" s="7">
        <v>45912</v>
      </c>
      <c r="X3362" s="8">
        <v>0</v>
      </c>
      <c r="Z3362" s="8">
        <v>260</v>
      </c>
      <c r="AA3362" s="7">
        <v>45926</v>
      </c>
      <c r="AC3362" s="8">
        <v>0</v>
      </c>
      <c r="AE3362" s="7">
        <v>45931</v>
      </c>
      <c r="AF3362" s="8">
        <v>0</v>
      </c>
      <c r="AH3362" s="7">
        <v>46037</v>
      </c>
      <c r="AN3362" s="8">
        <v>0</v>
      </c>
      <c r="AO3362" s="8">
        <v>240</v>
      </c>
    </row>
    <row r="3363" spans="1:41" x14ac:dyDescent="0.25">
      <c r="A3363" s="6" t="str">
        <f t="shared" si="802"/>
        <v>525-2025000359</v>
      </c>
      <c r="B3363" s="6" t="str">
        <f t="shared" si="801"/>
        <v>Lasa Int</v>
      </c>
      <c r="C3363" s="7">
        <v>45840</v>
      </c>
      <c r="D3363" s="7">
        <v>46068</v>
      </c>
      <c r="E3363" s="8">
        <v>10</v>
      </c>
      <c r="F3363" s="6" t="str">
        <f t="shared" si="803"/>
        <v>Juliet</v>
      </c>
      <c r="G3363" s="6" t="str">
        <f t="shared" si="804"/>
        <v>F137135952000000</v>
      </c>
      <c r="H3363" s="6" t="str">
        <f t="shared" si="805"/>
        <v>FAJ SP 1359 CH PO -</v>
      </c>
      <c r="I3363" s="6" t="str">
        <f>"500696"</f>
        <v>500696</v>
      </c>
      <c r="J3363" s="6" t="str">
        <f>"BEGE 2749 /2466"</f>
        <v>BEGE 2749 /2466</v>
      </c>
      <c r="K3363" s="6" t="str">
        <f>"1071"</f>
        <v>1071</v>
      </c>
      <c r="L3363" s="6" t="str">
        <f>"Toalhas"</f>
        <v>Toalhas</v>
      </c>
      <c r="M3363" s="6" t="str">
        <f>"60x110"</f>
        <v>60x110</v>
      </c>
      <c r="N3363" s="6" t="str">
        <f>"5602972650174"</f>
        <v>5602972650174</v>
      </c>
      <c r="O3363" s="8">
        <v>240</v>
      </c>
      <c r="P3363" s="7">
        <v>45877</v>
      </c>
      <c r="R3363" s="8">
        <v>243</v>
      </c>
      <c r="S3363" s="7">
        <v>45901</v>
      </c>
      <c r="U3363" s="8">
        <v>243</v>
      </c>
      <c r="V3363" s="7">
        <v>45912</v>
      </c>
      <c r="X3363" s="8">
        <v>0</v>
      </c>
      <c r="Z3363" s="8">
        <v>243</v>
      </c>
      <c r="AA3363" s="7">
        <v>45926</v>
      </c>
      <c r="AC3363" s="8">
        <v>0</v>
      </c>
      <c r="AE3363" s="7">
        <v>45931</v>
      </c>
      <c r="AF3363" s="8">
        <v>0</v>
      </c>
      <c r="AH3363" s="7">
        <v>46037</v>
      </c>
      <c r="AN3363" s="8">
        <v>0</v>
      </c>
      <c r="AO3363" s="8">
        <v>240</v>
      </c>
    </row>
    <row r="3364" spans="1:41" x14ac:dyDescent="0.25">
      <c r="A3364" s="6" t="str">
        <f t="shared" si="802"/>
        <v>525-2025000359</v>
      </c>
      <c r="B3364" s="6" t="str">
        <f t="shared" si="801"/>
        <v>Lasa Int</v>
      </c>
      <c r="C3364" s="7">
        <v>45840</v>
      </c>
      <c r="D3364" s="7">
        <v>46068</v>
      </c>
      <c r="E3364" s="8">
        <v>11</v>
      </c>
      <c r="F3364" s="6" t="str">
        <f t="shared" si="803"/>
        <v>Juliet</v>
      </c>
      <c r="G3364" s="6" t="str">
        <f t="shared" si="804"/>
        <v>F137135952000000</v>
      </c>
      <c r="H3364" s="6" t="str">
        <f t="shared" si="805"/>
        <v>FAJ SP 1359 CH PO -</v>
      </c>
      <c r="I3364" s="6" t="str">
        <f>"500696"</f>
        <v>500696</v>
      </c>
      <c r="J3364" s="6" t="str">
        <f>"BEGE 2749 /2466"</f>
        <v>BEGE 2749 /2466</v>
      </c>
      <c r="K3364" s="6" t="str">
        <f>"1535"</f>
        <v>1535</v>
      </c>
      <c r="L3364" s="6" t="str">
        <f>"Toalhões"</f>
        <v>Toalhões</v>
      </c>
      <c r="M3364" s="6" t="str">
        <f>"70x140"</f>
        <v>70x140</v>
      </c>
      <c r="N3364" s="6" t="str">
        <f>"5602972715804"</f>
        <v>5602972715804</v>
      </c>
      <c r="O3364" s="8">
        <v>120</v>
      </c>
      <c r="P3364" s="7">
        <v>45877</v>
      </c>
      <c r="R3364" s="8">
        <v>138</v>
      </c>
      <c r="S3364" s="7">
        <v>45901</v>
      </c>
      <c r="U3364" s="8">
        <v>138</v>
      </c>
      <c r="V3364" s="7">
        <v>45912</v>
      </c>
      <c r="X3364" s="8">
        <v>0</v>
      </c>
      <c r="Z3364" s="8">
        <v>138</v>
      </c>
      <c r="AA3364" s="7">
        <v>45926</v>
      </c>
      <c r="AC3364" s="8">
        <v>0</v>
      </c>
      <c r="AE3364" s="7">
        <v>45931</v>
      </c>
      <c r="AF3364" s="8">
        <v>0</v>
      </c>
      <c r="AH3364" s="7">
        <v>46037</v>
      </c>
      <c r="AN3364" s="8">
        <v>0</v>
      </c>
      <c r="AO3364" s="8">
        <v>120</v>
      </c>
    </row>
    <row r="3365" spans="1:41" x14ac:dyDescent="0.25">
      <c r="A3365" s="6" t="str">
        <f t="shared" si="802"/>
        <v>525-2025000359</v>
      </c>
      <c r="B3365" s="6" t="str">
        <f t="shared" si="801"/>
        <v>Lasa Int</v>
      </c>
      <c r="C3365" s="7">
        <v>45840</v>
      </c>
      <c r="D3365" s="7">
        <v>46068</v>
      </c>
      <c r="E3365" s="8">
        <v>12</v>
      </c>
      <c r="F3365" s="6" t="str">
        <f t="shared" si="803"/>
        <v>Juliet</v>
      </c>
      <c r="G3365" s="6" t="str">
        <f t="shared" si="804"/>
        <v>F137135952000000</v>
      </c>
      <c r="H3365" s="6" t="str">
        <f t="shared" si="805"/>
        <v>FAJ SP 1359 CH PO -</v>
      </c>
      <c r="I3365" s="6" t="str">
        <f>"501316"</f>
        <v>501316</v>
      </c>
      <c r="J3365" s="6" t="str">
        <f>"CINZA 2992/H 3346"</f>
        <v>CINZA 2992/H 3346</v>
      </c>
      <c r="K3365" s="6" t="str">
        <f>"0530"</f>
        <v>0530</v>
      </c>
      <c r="L3365" s="6" t="str">
        <f>"Toalhetes"</f>
        <v>Toalhetes</v>
      </c>
      <c r="M3365" s="6" t="str">
        <f>"33x50"</f>
        <v>33x50</v>
      </c>
      <c r="N3365" s="6" t="str">
        <f>"5602972608267"</f>
        <v>5602972608267</v>
      </c>
      <c r="O3365" s="8">
        <v>240</v>
      </c>
      <c r="P3365" s="7">
        <v>45877</v>
      </c>
      <c r="R3365" s="8">
        <v>264</v>
      </c>
      <c r="S3365" s="7">
        <v>45901</v>
      </c>
      <c r="U3365" s="8">
        <v>264</v>
      </c>
      <c r="V3365" s="7">
        <v>45912</v>
      </c>
      <c r="X3365" s="8">
        <v>0</v>
      </c>
      <c r="Z3365" s="8">
        <v>264</v>
      </c>
      <c r="AA3365" s="7">
        <v>45926</v>
      </c>
      <c r="AC3365" s="8">
        <v>0</v>
      </c>
      <c r="AE3365" s="7">
        <v>45931</v>
      </c>
      <c r="AF3365" s="8">
        <v>0</v>
      </c>
      <c r="AH3365" s="7">
        <v>46037</v>
      </c>
      <c r="AN3365" s="8">
        <v>0</v>
      </c>
      <c r="AO3365" s="8">
        <v>240</v>
      </c>
    </row>
    <row r="3366" spans="1:41" x14ac:dyDescent="0.25">
      <c r="A3366" s="6" t="str">
        <f t="shared" si="802"/>
        <v>525-2025000359</v>
      </c>
      <c r="B3366" s="6" t="str">
        <f t="shared" si="801"/>
        <v>Lasa Int</v>
      </c>
      <c r="C3366" s="7">
        <v>45840</v>
      </c>
      <c r="D3366" s="7">
        <v>46068</v>
      </c>
      <c r="E3366" s="8">
        <v>13</v>
      </c>
      <c r="F3366" s="6" t="str">
        <f t="shared" si="803"/>
        <v>Juliet</v>
      </c>
      <c r="G3366" s="6" t="str">
        <f t="shared" si="804"/>
        <v>F137135952000000</v>
      </c>
      <c r="H3366" s="6" t="str">
        <f t="shared" si="805"/>
        <v>FAJ SP 1359 CH PO -</v>
      </c>
      <c r="I3366" s="6" t="str">
        <f>"501316"</f>
        <v>501316</v>
      </c>
      <c r="J3366" s="6" t="str">
        <f>"CINZA 2992/H 3346"</f>
        <v>CINZA 2992/H 3346</v>
      </c>
      <c r="K3366" s="6" t="str">
        <f>"1024"</f>
        <v>1024</v>
      </c>
      <c r="L3366" s="6" t="str">
        <f>"Toalhas"</f>
        <v>Toalhas</v>
      </c>
      <c r="M3366" s="6" t="str">
        <f>"50x100"</f>
        <v>50x100</v>
      </c>
      <c r="N3366" s="6" t="str">
        <f>"5602972608274"</f>
        <v>5602972608274</v>
      </c>
      <c r="O3366" s="8">
        <v>180</v>
      </c>
      <c r="P3366" s="7">
        <v>45877</v>
      </c>
      <c r="R3366" s="8">
        <v>200</v>
      </c>
      <c r="S3366" s="7">
        <v>45901</v>
      </c>
      <c r="U3366" s="8">
        <v>200</v>
      </c>
      <c r="V3366" s="7">
        <v>45912</v>
      </c>
      <c r="X3366" s="8">
        <v>0</v>
      </c>
      <c r="Z3366" s="8">
        <v>200</v>
      </c>
      <c r="AA3366" s="7">
        <v>45926</v>
      </c>
      <c r="AC3366" s="8">
        <v>0</v>
      </c>
      <c r="AE3366" s="7">
        <v>45931</v>
      </c>
      <c r="AF3366" s="8">
        <v>0</v>
      </c>
      <c r="AH3366" s="7">
        <v>46037</v>
      </c>
      <c r="AN3366" s="8">
        <v>0</v>
      </c>
      <c r="AO3366" s="8">
        <v>180</v>
      </c>
    </row>
    <row r="3367" spans="1:41" x14ac:dyDescent="0.25">
      <c r="A3367" s="6" t="str">
        <f t="shared" si="802"/>
        <v>525-2025000359</v>
      </c>
      <c r="B3367" s="6" t="str">
        <f t="shared" si="801"/>
        <v>Lasa Int</v>
      </c>
      <c r="C3367" s="7">
        <v>45840</v>
      </c>
      <c r="D3367" s="7">
        <v>46068</v>
      </c>
      <c r="E3367" s="8">
        <v>14</v>
      </c>
      <c r="F3367" s="6" t="str">
        <f t="shared" si="803"/>
        <v>Juliet</v>
      </c>
      <c r="G3367" s="6" t="str">
        <f t="shared" si="804"/>
        <v>F137135952000000</v>
      </c>
      <c r="H3367" s="6" t="str">
        <f t="shared" si="805"/>
        <v>FAJ SP 1359 CH PO -</v>
      </c>
      <c r="I3367" s="6" t="str">
        <f>"501316"</f>
        <v>501316</v>
      </c>
      <c r="J3367" s="6" t="str">
        <f>"CINZA 2992/H 3346"</f>
        <v>CINZA 2992/H 3346</v>
      </c>
      <c r="K3367" s="6" t="str">
        <f>"2020"</f>
        <v>2020</v>
      </c>
      <c r="L3367" s="6" t="str">
        <f>"Lençóis"</f>
        <v>Lençóis</v>
      </c>
      <c r="M3367" s="6" t="str">
        <f>"100x150"</f>
        <v>100x150</v>
      </c>
      <c r="N3367" s="6" t="str">
        <f>"5602972608298"</f>
        <v>5602972608298</v>
      </c>
      <c r="O3367" s="8">
        <v>320</v>
      </c>
      <c r="P3367" s="7">
        <v>45877</v>
      </c>
      <c r="R3367" s="8">
        <v>370</v>
      </c>
      <c r="S3367" s="7">
        <v>45901</v>
      </c>
      <c r="U3367" s="8">
        <v>370</v>
      </c>
      <c r="V3367" s="7">
        <v>45912</v>
      </c>
      <c r="X3367" s="8">
        <v>0</v>
      </c>
      <c r="Z3367" s="8">
        <v>370</v>
      </c>
      <c r="AA3367" s="7">
        <v>45926</v>
      </c>
      <c r="AC3367" s="8">
        <v>227</v>
      </c>
      <c r="AE3367" s="7">
        <v>45931</v>
      </c>
      <c r="AF3367" s="8">
        <v>227</v>
      </c>
      <c r="AH3367" s="7">
        <v>46037</v>
      </c>
      <c r="AN3367" s="8">
        <v>227</v>
      </c>
      <c r="AO3367" s="8">
        <v>93</v>
      </c>
    </row>
    <row r="3368" spans="1:41" x14ac:dyDescent="0.25">
      <c r="A3368" s="6" t="str">
        <f t="shared" ref="A3368:A3392" si="806">"525-2025000360"</f>
        <v>525-2025000360</v>
      </c>
      <c r="B3368" s="6" t="str">
        <f t="shared" si="801"/>
        <v>Lasa Int</v>
      </c>
      <c r="C3368" s="7">
        <v>45842</v>
      </c>
      <c r="D3368" s="7">
        <v>46037</v>
      </c>
      <c r="E3368" s="8">
        <v>1</v>
      </c>
      <c r="F3368" s="6" t="str">
        <f t="shared" ref="F3368:F3392" si="807">"PURE"</f>
        <v>PURE</v>
      </c>
      <c r="G3368" s="6" t="str">
        <f t="shared" ref="G3368:G3390" si="808">"F100021455000000"</f>
        <v>F100021455000000</v>
      </c>
      <c r="H3368" s="6" t="str">
        <f t="shared" ref="H3368:H3390" si="809">"FA 214 - PURE - 550"</f>
        <v>FA 214 - PURE - 550</v>
      </c>
      <c r="I3368" s="6" t="str">
        <f>"1"</f>
        <v>1</v>
      </c>
      <c r="J3368" s="6" t="str">
        <f>"BRANCO"</f>
        <v>BRANCO</v>
      </c>
      <c r="K3368" s="6" t="str">
        <f>"1024"</f>
        <v>1024</v>
      </c>
      <c r="L3368" s="6" t="str">
        <f>"Toalhas"</f>
        <v>Toalhas</v>
      </c>
      <c r="M3368" s="6" t="str">
        <f>"50x100"</f>
        <v>50x100</v>
      </c>
      <c r="N3368" s="6" t="str">
        <f>"5602972836257"</f>
        <v>5602972836257</v>
      </c>
      <c r="O3368" s="8">
        <v>720</v>
      </c>
      <c r="P3368" s="7">
        <v>45842</v>
      </c>
      <c r="R3368" s="8">
        <v>3840</v>
      </c>
      <c r="S3368" s="7">
        <v>45847</v>
      </c>
      <c r="U3368" s="8">
        <v>720</v>
      </c>
      <c r="V3368" s="7">
        <v>45860</v>
      </c>
      <c r="X3368" s="8">
        <v>0</v>
      </c>
      <c r="Z3368" s="8">
        <v>720</v>
      </c>
      <c r="AA3368" s="7">
        <v>45874</v>
      </c>
      <c r="AC3368" s="8">
        <v>742</v>
      </c>
      <c r="AE3368" s="7">
        <v>45877</v>
      </c>
      <c r="AF3368" s="8">
        <v>742</v>
      </c>
      <c r="AH3368" s="7">
        <v>45877</v>
      </c>
      <c r="AN3368" s="8">
        <v>742</v>
      </c>
      <c r="AO3368" s="8">
        <v>-22</v>
      </c>
    </row>
    <row r="3369" spans="1:41" x14ac:dyDescent="0.25">
      <c r="A3369" s="6" t="str">
        <f t="shared" si="806"/>
        <v>525-2025000360</v>
      </c>
      <c r="B3369" s="6" t="str">
        <f t="shared" si="801"/>
        <v>Lasa Int</v>
      </c>
      <c r="C3369" s="7">
        <v>45842</v>
      </c>
      <c r="D3369" s="7">
        <v>46037</v>
      </c>
      <c r="E3369" s="8">
        <v>2</v>
      </c>
      <c r="F3369" s="6" t="str">
        <f t="shared" si="807"/>
        <v>PURE</v>
      </c>
      <c r="G3369" s="6" t="str">
        <f t="shared" si="808"/>
        <v>F100021455000000</v>
      </c>
      <c r="H3369" s="6" t="str">
        <f t="shared" si="809"/>
        <v>FA 214 - PURE - 550</v>
      </c>
      <c r="I3369" s="6" t="str">
        <f>"1"</f>
        <v>1</v>
      </c>
      <c r="J3369" s="6" t="str">
        <f>"BRANCO"</f>
        <v>BRANCO</v>
      </c>
      <c r="K3369" s="6" t="str">
        <f>"1535"</f>
        <v>1535</v>
      </c>
      <c r="L3369" s="6" t="str">
        <f>"Toalhões"</f>
        <v>Toalhões</v>
      </c>
      <c r="M3369" s="6" t="str">
        <f>"70x140"</f>
        <v>70x140</v>
      </c>
      <c r="N3369" s="6" t="str">
        <f>"5602972836264"</f>
        <v>5602972836264</v>
      </c>
      <c r="O3369" s="8">
        <v>360</v>
      </c>
      <c r="P3369" s="7">
        <v>45842</v>
      </c>
      <c r="R3369" s="8">
        <v>2400</v>
      </c>
      <c r="S3369" s="7">
        <v>45847</v>
      </c>
      <c r="U3369" s="8">
        <v>360</v>
      </c>
      <c r="V3369" s="7">
        <v>45860</v>
      </c>
      <c r="X3369" s="8">
        <v>0</v>
      </c>
      <c r="Z3369" s="8">
        <v>360</v>
      </c>
      <c r="AA3369" s="7">
        <v>45874</v>
      </c>
      <c r="AC3369" s="8">
        <v>360</v>
      </c>
      <c r="AE3369" s="7">
        <v>45877</v>
      </c>
      <c r="AF3369" s="8">
        <v>360</v>
      </c>
      <c r="AH3369" s="7">
        <v>45877</v>
      </c>
      <c r="AN3369" s="8">
        <v>344</v>
      </c>
      <c r="AO3369" s="8">
        <v>16</v>
      </c>
    </row>
    <row r="3370" spans="1:41" x14ac:dyDescent="0.25">
      <c r="A3370" s="6" t="str">
        <f t="shared" si="806"/>
        <v>525-2025000360</v>
      </c>
      <c r="B3370" s="6" t="str">
        <f t="shared" si="801"/>
        <v>Lasa Int</v>
      </c>
      <c r="C3370" s="7">
        <v>45842</v>
      </c>
      <c r="D3370" s="7">
        <v>46037</v>
      </c>
      <c r="E3370" s="8">
        <v>3</v>
      </c>
      <c r="F3370" s="6" t="str">
        <f t="shared" si="807"/>
        <v>PURE</v>
      </c>
      <c r="G3370" s="6" t="str">
        <f t="shared" si="808"/>
        <v>F100021455000000</v>
      </c>
      <c r="H3370" s="6" t="str">
        <f t="shared" si="809"/>
        <v>FA 214 - PURE - 550</v>
      </c>
      <c r="I3370" s="6" t="str">
        <f>"1"</f>
        <v>1</v>
      </c>
      <c r="J3370" s="6" t="str">
        <f>"BRANCO"</f>
        <v>BRANCO</v>
      </c>
      <c r="K3370" s="6" t="str">
        <f>"2020"</f>
        <v>2020</v>
      </c>
      <c r="L3370" s="6" t="str">
        <f>"Lençóis"</f>
        <v>Lençóis</v>
      </c>
      <c r="M3370" s="6" t="str">
        <f>"100x150"</f>
        <v>100x150</v>
      </c>
      <c r="N3370" s="6" t="str">
        <f>"5602972836271"</f>
        <v>5602972836271</v>
      </c>
      <c r="O3370" s="8">
        <v>240</v>
      </c>
      <c r="P3370" s="7">
        <v>45842</v>
      </c>
      <c r="R3370" s="8">
        <v>2002</v>
      </c>
      <c r="S3370" s="7">
        <v>45847</v>
      </c>
      <c r="U3370" s="8">
        <v>240</v>
      </c>
      <c r="V3370" s="7">
        <v>45860</v>
      </c>
      <c r="X3370" s="8">
        <v>0</v>
      </c>
      <c r="Z3370" s="8">
        <v>240</v>
      </c>
      <c r="AA3370" s="7">
        <v>45874</v>
      </c>
      <c r="AC3370" s="8">
        <v>244</v>
      </c>
      <c r="AE3370" s="7">
        <v>45877</v>
      </c>
      <c r="AF3370" s="8">
        <v>244</v>
      </c>
      <c r="AH3370" s="7">
        <v>45877</v>
      </c>
      <c r="AN3370" s="8">
        <v>244</v>
      </c>
      <c r="AO3370" s="8">
        <v>-4</v>
      </c>
    </row>
    <row r="3371" spans="1:41" x14ac:dyDescent="0.25">
      <c r="A3371" s="6" t="str">
        <f t="shared" si="806"/>
        <v>525-2025000360</v>
      </c>
      <c r="B3371" s="6" t="str">
        <f t="shared" si="801"/>
        <v>Lasa Int</v>
      </c>
      <c r="C3371" s="7">
        <v>45842</v>
      </c>
      <c r="D3371" s="7">
        <v>46037</v>
      </c>
      <c r="E3371" s="8">
        <v>4</v>
      </c>
      <c r="F3371" s="6" t="str">
        <f t="shared" si="807"/>
        <v>PURE</v>
      </c>
      <c r="G3371" s="6" t="str">
        <f t="shared" si="808"/>
        <v>F100021455000000</v>
      </c>
      <c r="H3371" s="6" t="str">
        <f t="shared" si="809"/>
        <v>FA 214 - PURE - 550</v>
      </c>
      <c r="I3371" s="6" t="str">
        <f t="shared" ref="I3371:I3376" si="810">"3073"</f>
        <v>3073</v>
      </c>
      <c r="J3371" s="6" t="str">
        <f t="shared" ref="J3371:J3376" si="811">"CINZA 3073"</f>
        <v>CINZA 3073</v>
      </c>
      <c r="K3371" s="6" t="str">
        <f>"0112"</f>
        <v>0112</v>
      </c>
      <c r="L3371" s="6" t="str">
        <f>"Luvas"</f>
        <v>Luvas</v>
      </c>
      <c r="M3371" s="6" t="str">
        <f>"16x21"</f>
        <v>16x21</v>
      </c>
      <c r="N3371" s="6" t="str">
        <f>"5602972877878"</f>
        <v>5602972877878</v>
      </c>
      <c r="O3371" s="8">
        <v>300</v>
      </c>
      <c r="P3371" s="7">
        <v>45842</v>
      </c>
      <c r="R3371" s="8">
        <v>0</v>
      </c>
      <c r="S3371" s="7">
        <v>45847</v>
      </c>
      <c r="U3371" s="8">
        <v>300</v>
      </c>
      <c r="V3371" s="7">
        <v>45860</v>
      </c>
      <c r="X3371" s="8">
        <v>0</v>
      </c>
      <c r="Z3371" s="8">
        <v>300</v>
      </c>
      <c r="AA3371" s="7">
        <v>45874</v>
      </c>
      <c r="AC3371" s="8">
        <v>0</v>
      </c>
      <c r="AE3371" s="7">
        <v>45877</v>
      </c>
      <c r="AF3371" s="8">
        <v>0</v>
      </c>
      <c r="AH3371" s="7">
        <v>45877</v>
      </c>
      <c r="AN3371" s="8">
        <v>288</v>
      </c>
      <c r="AO3371" s="8">
        <v>12</v>
      </c>
    </row>
    <row r="3372" spans="1:41" x14ac:dyDescent="0.25">
      <c r="A3372" s="6" t="str">
        <f t="shared" si="806"/>
        <v>525-2025000360</v>
      </c>
      <c r="B3372" s="6" t="str">
        <f t="shared" si="801"/>
        <v>Lasa Int</v>
      </c>
      <c r="C3372" s="7">
        <v>45842</v>
      </c>
      <c r="D3372" s="7">
        <v>46037</v>
      </c>
      <c r="E3372" s="8">
        <v>5</v>
      </c>
      <c r="F3372" s="6" t="str">
        <f t="shared" si="807"/>
        <v>PURE</v>
      </c>
      <c r="G3372" s="6" t="str">
        <f t="shared" si="808"/>
        <v>F100021455000000</v>
      </c>
      <c r="H3372" s="6" t="str">
        <f t="shared" si="809"/>
        <v>FA 214 - PURE - 550</v>
      </c>
      <c r="I3372" s="6" t="str">
        <f t="shared" si="810"/>
        <v>3073</v>
      </c>
      <c r="J3372" s="6" t="str">
        <f t="shared" si="811"/>
        <v>CINZA 3073</v>
      </c>
      <c r="K3372" s="6" t="str">
        <f>"0530"</f>
        <v>0530</v>
      </c>
      <c r="L3372" s="6" t="str">
        <f>"Toalhetes"</f>
        <v>Toalhetes</v>
      </c>
      <c r="M3372" s="6" t="str">
        <f>"33x50"</f>
        <v>33x50</v>
      </c>
      <c r="N3372" s="6" t="str">
        <f>"5602972877885"</f>
        <v>5602972877885</v>
      </c>
      <c r="O3372" s="8">
        <v>450</v>
      </c>
      <c r="P3372" s="7">
        <v>45842</v>
      </c>
      <c r="R3372" s="8">
        <v>0</v>
      </c>
      <c r="S3372" s="7">
        <v>45847</v>
      </c>
      <c r="U3372" s="8">
        <v>450</v>
      </c>
      <c r="V3372" s="7">
        <v>45860</v>
      </c>
      <c r="X3372" s="8">
        <v>0</v>
      </c>
      <c r="Z3372" s="8">
        <v>450</v>
      </c>
      <c r="AA3372" s="7">
        <v>45874</v>
      </c>
      <c r="AC3372" s="8">
        <v>0</v>
      </c>
      <c r="AE3372" s="7">
        <v>45877</v>
      </c>
      <c r="AF3372" s="8">
        <v>0</v>
      </c>
      <c r="AH3372" s="7">
        <v>45877</v>
      </c>
      <c r="AN3372" s="8">
        <v>0</v>
      </c>
      <c r="AO3372" s="8">
        <v>450</v>
      </c>
    </row>
    <row r="3373" spans="1:41" x14ac:dyDescent="0.25">
      <c r="A3373" s="6" t="str">
        <f t="shared" si="806"/>
        <v>525-2025000360</v>
      </c>
      <c r="B3373" s="6" t="str">
        <f t="shared" si="801"/>
        <v>Lasa Int</v>
      </c>
      <c r="C3373" s="7">
        <v>45842</v>
      </c>
      <c r="D3373" s="7">
        <v>46037</v>
      </c>
      <c r="E3373" s="8">
        <v>6</v>
      </c>
      <c r="F3373" s="6" t="str">
        <f t="shared" si="807"/>
        <v>PURE</v>
      </c>
      <c r="G3373" s="6" t="str">
        <f t="shared" si="808"/>
        <v>F100021455000000</v>
      </c>
      <c r="H3373" s="6" t="str">
        <f t="shared" si="809"/>
        <v>FA 214 - PURE - 550</v>
      </c>
      <c r="I3373" s="6" t="str">
        <f t="shared" si="810"/>
        <v>3073</v>
      </c>
      <c r="J3373" s="6" t="str">
        <f t="shared" si="811"/>
        <v>CINZA 3073</v>
      </c>
      <c r="K3373" s="6" t="str">
        <f>"1024"</f>
        <v>1024</v>
      </c>
      <c r="L3373" s="6" t="str">
        <f>"Toalhas"</f>
        <v>Toalhas</v>
      </c>
      <c r="M3373" s="6" t="str">
        <f>"50x100"</f>
        <v>50x100</v>
      </c>
      <c r="N3373" s="6" t="str">
        <f>"5602972877892"</f>
        <v>5602972877892</v>
      </c>
      <c r="O3373" s="8">
        <v>720</v>
      </c>
      <c r="P3373" s="7">
        <v>45842</v>
      </c>
      <c r="R3373" s="8">
        <v>0</v>
      </c>
      <c r="S3373" s="7">
        <v>45847</v>
      </c>
      <c r="U3373" s="8">
        <v>720</v>
      </c>
      <c r="V3373" s="7">
        <v>45860</v>
      </c>
      <c r="X3373" s="8">
        <v>0</v>
      </c>
      <c r="Z3373" s="8">
        <v>720</v>
      </c>
      <c r="AA3373" s="7">
        <v>45874</v>
      </c>
      <c r="AC3373" s="8">
        <v>724</v>
      </c>
      <c r="AE3373" s="7">
        <v>45877</v>
      </c>
      <c r="AF3373" s="8">
        <v>724</v>
      </c>
      <c r="AH3373" s="7">
        <v>45877</v>
      </c>
      <c r="AN3373" s="8">
        <v>724</v>
      </c>
      <c r="AO3373" s="8">
        <v>-4</v>
      </c>
    </row>
    <row r="3374" spans="1:41" x14ac:dyDescent="0.25">
      <c r="A3374" s="6" t="str">
        <f t="shared" si="806"/>
        <v>525-2025000360</v>
      </c>
      <c r="B3374" s="6" t="str">
        <f t="shared" si="801"/>
        <v>Lasa Int</v>
      </c>
      <c r="C3374" s="7">
        <v>45842</v>
      </c>
      <c r="D3374" s="7">
        <v>46037</v>
      </c>
      <c r="E3374" s="8">
        <v>7</v>
      </c>
      <c r="F3374" s="6" t="str">
        <f t="shared" si="807"/>
        <v>PURE</v>
      </c>
      <c r="G3374" s="6" t="str">
        <f t="shared" si="808"/>
        <v>F100021455000000</v>
      </c>
      <c r="H3374" s="6" t="str">
        <f t="shared" si="809"/>
        <v>FA 214 - PURE - 550</v>
      </c>
      <c r="I3374" s="6" t="str">
        <f t="shared" si="810"/>
        <v>3073</v>
      </c>
      <c r="J3374" s="6" t="str">
        <f t="shared" si="811"/>
        <v>CINZA 3073</v>
      </c>
      <c r="K3374" s="6" t="str">
        <f>"1535"</f>
        <v>1535</v>
      </c>
      <c r="L3374" s="6" t="str">
        <f>"Toalhões"</f>
        <v>Toalhões</v>
      </c>
      <c r="M3374" s="6" t="str">
        <f>"70x140"</f>
        <v>70x140</v>
      </c>
      <c r="N3374" s="6" t="str">
        <f>"5602972877908"</f>
        <v>5602972877908</v>
      </c>
      <c r="O3374" s="8">
        <v>120</v>
      </c>
      <c r="P3374" s="7">
        <v>45842</v>
      </c>
      <c r="R3374" s="8">
        <v>0</v>
      </c>
      <c r="S3374" s="7">
        <v>45847</v>
      </c>
      <c r="U3374" s="8">
        <v>120</v>
      </c>
      <c r="V3374" s="7">
        <v>45860</v>
      </c>
      <c r="X3374" s="8">
        <v>0</v>
      </c>
      <c r="Z3374" s="8">
        <v>120</v>
      </c>
      <c r="AA3374" s="7">
        <v>45874</v>
      </c>
      <c r="AC3374" s="8">
        <v>159</v>
      </c>
      <c r="AE3374" s="7">
        <v>45877</v>
      </c>
      <c r="AF3374" s="8">
        <v>159</v>
      </c>
      <c r="AH3374" s="7">
        <v>45877</v>
      </c>
      <c r="AN3374" s="8">
        <v>159</v>
      </c>
      <c r="AO3374" s="8">
        <v>-39</v>
      </c>
    </row>
    <row r="3375" spans="1:41" x14ac:dyDescent="0.25">
      <c r="A3375" s="6" t="str">
        <f t="shared" si="806"/>
        <v>525-2025000360</v>
      </c>
      <c r="B3375" s="6" t="str">
        <f t="shared" si="801"/>
        <v>Lasa Int</v>
      </c>
      <c r="C3375" s="7">
        <v>45842</v>
      </c>
      <c r="D3375" s="7">
        <v>46037</v>
      </c>
      <c r="E3375" s="8">
        <v>8</v>
      </c>
      <c r="F3375" s="6" t="str">
        <f t="shared" si="807"/>
        <v>PURE</v>
      </c>
      <c r="G3375" s="6" t="str">
        <f t="shared" si="808"/>
        <v>F100021455000000</v>
      </c>
      <c r="H3375" s="6" t="str">
        <f t="shared" si="809"/>
        <v>FA 214 - PURE - 550</v>
      </c>
      <c r="I3375" s="6" t="str">
        <f t="shared" si="810"/>
        <v>3073</v>
      </c>
      <c r="J3375" s="6" t="str">
        <f t="shared" si="811"/>
        <v>CINZA 3073</v>
      </c>
      <c r="K3375" s="6" t="str">
        <f>"2020"</f>
        <v>2020</v>
      </c>
      <c r="L3375" s="6" t="str">
        <f>"Lençóis"</f>
        <v>Lençóis</v>
      </c>
      <c r="M3375" s="6" t="str">
        <f>"100x150"</f>
        <v>100x150</v>
      </c>
      <c r="N3375" s="6" t="str">
        <f>"5602972877915"</f>
        <v>5602972877915</v>
      </c>
      <c r="O3375" s="8">
        <v>640</v>
      </c>
      <c r="P3375" s="7">
        <v>45842</v>
      </c>
      <c r="R3375" s="8">
        <v>0</v>
      </c>
      <c r="S3375" s="7">
        <v>45847</v>
      </c>
      <c r="U3375" s="8">
        <v>640</v>
      </c>
      <c r="V3375" s="7">
        <v>45860</v>
      </c>
      <c r="X3375" s="8">
        <v>0</v>
      </c>
      <c r="Z3375" s="8">
        <v>640</v>
      </c>
      <c r="AA3375" s="7">
        <v>45874</v>
      </c>
      <c r="AC3375" s="8">
        <v>405</v>
      </c>
      <c r="AE3375" s="7">
        <v>45877</v>
      </c>
      <c r="AF3375" s="8">
        <v>405</v>
      </c>
      <c r="AH3375" s="7">
        <v>45877</v>
      </c>
      <c r="AN3375" s="8">
        <v>405</v>
      </c>
      <c r="AO3375" s="8">
        <v>235</v>
      </c>
    </row>
    <row r="3376" spans="1:41" x14ac:dyDescent="0.25">
      <c r="A3376" s="6" t="str">
        <f t="shared" si="806"/>
        <v>525-2025000360</v>
      </c>
      <c r="B3376" s="6" t="str">
        <f t="shared" si="801"/>
        <v>Lasa Int</v>
      </c>
      <c r="C3376" s="7">
        <v>45842</v>
      </c>
      <c r="D3376" s="7">
        <v>46037</v>
      </c>
      <c r="E3376" s="8">
        <v>9</v>
      </c>
      <c r="F3376" s="6" t="str">
        <f t="shared" si="807"/>
        <v>PURE</v>
      </c>
      <c r="G3376" s="6" t="str">
        <f t="shared" si="808"/>
        <v>F100021455000000</v>
      </c>
      <c r="H3376" s="6" t="str">
        <f t="shared" si="809"/>
        <v>FA 214 - PURE - 550</v>
      </c>
      <c r="I3376" s="6" t="str">
        <f t="shared" si="810"/>
        <v>3073</v>
      </c>
      <c r="J3376" s="6" t="str">
        <f t="shared" si="811"/>
        <v>CINZA 3073</v>
      </c>
      <c r="K3376" s="6" t="str">
        <f>"2030"</f>
        <v>2030</v>
      </c>
      <c r="L3376" s="6" t="str">
        <f>"Lençóis"</f>
        <v>Lençóis</v>
      </c>
      <c r="M3376" s="6" t="str">
        <f>"100x180"</f>
        <v>100x180</v>
      </c>
      <c r="N3376" s="6" t="str">
        <f>"5602972502596"</f>
        <v>5602972502596</v>
      </c>
      <c r="O3376" s="8">
        <v>60</v>
      </c>
      <c r="P3376" s="7">
        <v>45842</v>
      </c>
      <c r="R3376" s="8">
        <v>360</v>
      </c>
      <c r="S3376" s="7">
        <v>45847</v>
      </c>
      <c r="U3376" s="8">
        <v>60</v>
      </c>
      <c r="V3376" s="7">
        <v>45860</v>
      </c>
      <c r="X3376" s="8">
        <v>0</v>
      </c>
      <c r="Z3376" s="8">
        <v>60</v>
      </c>
      <c r="AA3376" s="7">
        <v>45874</v>
      </c>
      <c r="AC3376" s="8">
        <v>42</v>
      </c>
      <c r="AE3376" s="7">
        <v>45877</v>
      </c>
      <c r="AF3376" s="8">
        <v>42</v>
      </c>
      <c r="AH3376" s="7">
        <v>45877</v>
      </c>
      <c r="AN3376" s="8">
        <v>42</v>
      </c>
      <c r="AO3376" s="8">
        <v>18</v>
      </c>
    </row>
    <row r="3377" spans="1:41" x14ac:dyDescent="0.25">
      <c r="A3377" s="6" t="str">
        <f t="shared" si="806"/>
        <v>525-2025000360</v>
      </c>
      <c r="B3377" s="6" t="str">
        <f t="shared" si="801"/>
        <v>Lasa Int</v>
      </c>
      <c r="C3377" s="7">
        <v>45842</v>
      </c>
      <c r="D3377" s="7">
        <v>46037</v>
      </c>
      <c r="E3377" s="8">
        <v>10</v>
      </c>
      <c r="F3377" s="6" t="str">
        <f t="shared" si="807"/>
        <v>PURE</v>
      </c>
      <c r="G3377" s="6" t="str">
        <f t="shared" si="808"/>
        <v>F100021455000000</v>
      </c>
      <c r="H3377" s="6" t="str">
        <f t="shared" si="809"/>
        <v>FA 214 - PURE - 550</v>
      </c>
      <c r="I3377" s="6" t="str">
        <f>"3233"</f>
        <v>3233</v>
      </c>
      <c r="J3377" s="6" t="str">
        <f>"LILAS 3233"</f>
        <v>LILAS 3233</v>
      </c>
      <c r="K3377" s="6" t="str">
        <f>"1024"</f>
        <v>1024</v>
      </c>
      <c r="L3377" s="6" t="str">
        <f>"Toalhas"</f>
        <v>Toalhas</v>
      </c>
      <c r="M3377" s="6" t="str">
        <f>"50x100"</f>
        <v>50x100</v>
      </c>
      <c r="N3377" s="6" t="str">
        <f>"5602972895193"</f>
        <v>5602972895193</v>
      </c>
      <c r="O3377" s="8">
        <v>480</v>
      </c>
      <c r="P3377" s="7">
        <v>45842</v>
      </c>
      <c r="R3377" s="8">
        <v>0</v>
      </c>
      <c r="S3377" s="7">
        <v>45847</v>
      </c>
      <c r="U3377" s="8">
        <v>480</v>
      </c>
      <c r="V3377" s="7">
        <v>45860</v>
      </c>
      <c r="X3377" s="8">
        <v>0</v>
      </c>
      <c r="Z3377" s="8">
        <v>480</v>
      </c>
      <c r="AA3377" s="7">
        <v>45874</v>
      </c>
      <c r="AC3377" s="8">
        <v>480</v>
      </c>
      <c r="AE3377" s="7">
        <v>45877</v>
      </c>
      <c r="AF3377" s="8">
        <v>480</v>
      </c>
      <c r="AH3377" s="7">
        <v>45877</v>
      </c>
      <c r="AN3377" s="8">
        <v>480</v>
      </c>
      <c r="AO3377" s="8">
        <v>0</v>
      </c>
    </row>
    <row r="3378" spans="1:41" x14ac:dyDescent="0.25">
      <c r="A3378" s="6" t="str">
        <f t="shared" si="806"/>
        <v>525-2025000360</v>
      </c>
      <c r="B3378" s="6" t="str">
        <f t="shared" si="801"/>
        <v>Lasa Int</v>
      </c>
      <c r="C3378" s="7">
        <v>45842</v>
      </c>
      <c r="D3378" s="7">
        <v>46037</v>
      </c>
      <c r="E3378" s="8">
        <v>11</v>
      </c>
      <c r="F3378" s="6" t="str">
        <f t="shared" si="807"/>
        <v>PURE</v>
      </c>
      <c r="G3378" s="6" t="str">
        <f t="shared" si="808"/>
        <v>F100021455000000</v>
      </c>
      <c r="H3378" s="6" t="str">
        <f t="shared" si="809"/>
        <v>FA 214 - PURE - 550</v>
      </c>
      <c r="I3378" s="6" t="str">
        <f>"3233"</f>
        <v>3233</v>
      </c>
      <c r="J3378" s="6" t="str">
        <f>"LILAS 3233"</f>
        <v>LILAS 3233</v>
      </c>
      <c r="K3378" s="6" t="str">
        <f>"1535"</f>
        <v>1535</v>
      </c>
      <c r="L3378" s="6" t="str">
        <f>"Toalhões"</f>
        <v>Toalhões</v>
      </c>
      <c r="M3378" s="6" t="str">
        <f>"70x140"</f>
        <v>70x140</v>
      </c>
      <c r="N3378" s="6" t="str">
        <f>"5602972895209"</f>
        <v>5602972895209</v>
      </c>
      <c r="O3378" s="8">
        <v>240</v>
      </c>
      <c r="P3378" s="7">
        <v>45842</v>
      </c>
      <c r="R3378" s="8">
        <v>0</v>
      </c>
      <c r="S3378" s="7">
        <v>45847</v>
      </c>
      <c r="U3378" s="8">
        <v>240</v>
      </c>
      <c r="V3378" s="7">
        <v>45860</v>
      </c>
      <c r="X3378" s="8">
        <v>0</v>
      </c>
      <c r="Z3378" s="8">
        <v>240</v>
      </c>
      <c r="AA3378" s="7">
        <v>45874</v>
      </c>
      <c r="AC3378" s="8">
        <v>239</v>
      </c>
      <c r="AE3378" s="7">
        <v>45877</v>
      </c>
      <c r="AF3378" s="8">
        <v>239</v>
      </c>
      <c r="AH3378" s="7">
        <v>45877</v>
      </c>
      <c r="AN3378" s="8">
        <v>239</v>
      </c>
      <c r="AO3378" s="8">
        <v>1</v>
      </c>
    </row>
    <row r="3379" spans="1:41" x14ac:dyDescent="0.25">
      <c r="A3379" s="6" t="str">
        <f t="shared" si="806"/>
        <v>525-2025000360</v>
      </c>
      <c r="B3379" s="6" t="str">
        <f t="shared" si="801"/>
        <v>Lasa Int</v>
      </c>
      <c r="C3379" s="7">
        <v>45842</v>
      </c>
      <c r="D3379" s="7">
        <v>46037</v>
      </c>
      <c r="E3379" s="8">
        <v>12</v>
      </c>
      <c r="F3379" s="6" t="str">
        <f t="shared" si="807"/>
        <v>PURE</v>
      </c>
      <c r="G3379" s="6" t="str">
        <f t="shared" si="808"/>
        <v>F100021455000000</v>
      </c>
      <c r="H3379" s="6" t="str">
        <f t="shared" si="809"/>
        <v>FA 214 - PURE - 550</v>
      </c>
      <c r="I3379" s="6" t="str">
        <f>"3233"</f>
        <v>3233</v>
      </c>
      <c r="J3379" s="6" t="str">
        <f>"LILAS 3233"</f>
        <v>LILAS 3233</v>
      </c>
      <c r="K3379" s="6" t="str">
        <f>"2020"</f>
        <v>2020</v>
      </c>
      <c r="L3379" s="6" t="str">
        <f>"Lençóis"</f>
        <v>Lençóis</v>
      </c>
      <c r="M3379" s="6" t="str">
        <f>"100x150"</f>
        <v>100x150</v>
      </c>
      <c r="N3379" s="6" t="str">
        <f>"5602972895216"</f>
        <v>5602972895216</v>
      </c>
      <c r="O3379" s="8">
        <v>160</v>
      </c>
      <c r="P3379" s="7">
        <v>45842</v>
      </c>
      <c r="R3379" s="8">
        <v>0</v>
      </c>
      <c r="S3379" s="7">
        <v>45847</v>
      </c>
      <c r="U3379" s="8">
        <v>160</v>
      </c>
      <c r="V3379" s="7">
        <v>45860</v>
      </c>
      <c r="X3379" s="8">
        <v>0</v>
      </c>
      <c r="Z3379" s="8">
        <v>160</v>
      </c>
      <c r="AA3379" s="7">
        <v>45874</v>
      </c>
      <c r="AC3379" s="8">
        <v>135</v>
      </c>
      <c r="AE3379" s="7">
        <v>45877</v>
      </c>
      <c r="AF3379" s="8">
        <v>135</v>
      </c>
      <c r="AH3379" s="7">
        <v>45877</v>
      </c>
      <c r="AN3379" s="8">
        <v>135</v>
      </c>
      <c r="AO3379" s="8">
        <v>25</v>
      </c>
    </row>
    <row r="3380" spans="1:41" x14ac:dyDescent="0.25">
      <c r="A3380" s="6" t="str">
        <f t="shared" si="806"/>
        <v>525-2025000360</v>
      </c>
      <c r="B3380" s="6" t="str">
        <f t="shared" si="801"/>
        <v>Lasa Int</v>
      </c>
      <c r="C3380" s="7">
        <v>45842</v>
      </c>
      <c r="D3380" s="7">
        <v>46037</v>
      </c>
      <c r="E3380" s="8">
        <v>13</v>
      </c>
      <c r="F3380" s="6" t="str">
        <f t="shared" si="807"/>
        <v>PURE</v>
      </c>
      <c r="G3380" s="6" t="str">
        <f t="shared" si="808"/>
        <v>F100021455000000</v>
      </c>
      <c r="H3380" s="6" t="str">
        <f t="shared" si="809"/>
        <v>FA 214 - PURE - 550</v>
      </c>
      <c r="I3380" s="6" t="str">
        <f>"3235"</f>
        <v>3235</v>
      </c>
      <c r="J3380" s="6" t="str">
        <f>"CINZA 3235"</f>
        <v>CINZA 3235</v>
      </c>
      <c r="K3380" s="6" t="str">
        <f>"1024"</f>
        <v>1024</v>
      </c>
      <c r="L3380" s="6" t="str">
        <f>"Toalhas"</f>
        <v>Toalhas</v>
      </c>
      <c r="M3380" s="6" t="str">
        <f>"50x100"</f>
        <v>50x100</v>
      </c>
      <c r="N3380" s="6" t="str">
        <f>"5602972895292"</f>
        <v>5602972895292</v>
      </c>
      <c r="O3380" s="8">
        <v>1200</v>
      </c>
      <c r="P3380" s="7">
        <v>45842</v>
      </c>
      <c r="R3380" s="8">
        <v>0</v>
      </c>
      <c r="S3380" s="7">
        <v>45847</v>
      </c>
      <c r="U3380" s="8">
        <v>1200</v>
      </c>
      <c r="V3380" s="7">
        <v>45860</v>
      </c>
      <c r="X3380" s="8">
        <v>0</v>
      </c>
      <c r="Z3380" s="8">
        <v>1200</v>
      </c>
      <c r="AA3380" s="7">
        <v>45874</v>
      </c>
      <c r="AC3380" s="8">
        <v>1244</v>
      </c>
      <c r="AE3380" s="7">
        <v>45877</v>
      </c>
      <c r="AF3380" s="8">
        <v>1244</v>
      </c>
      <c r="AH3380" s="7">
        <v>45877</v>
      </c>
      <c r="AN3380" s="8">
        <v>1214</v>
      </c>
      <c r="AO3380" s="8">
        <v>-14</v>
      </c>
    </row>
    <row r="3381" spans="1:41" x14ac:dyDescent="0.25">
      <c r="A3381" s="6" t="str">
        <f t="shared" si="806"/>
        <v>525-2025000360</v>
      </c>
      <c r="B3381" s="6" t="str">
        <f t="shared" si="801"/>
        <v>Lasa Int</v>
      </c>
      <c r="C3381" s="7">
        <v>45842</v>
      </c>
      <c r="D3381" s="7">
        <v>46037</v>
      </c>
      <c r="E3381" s="8">
        <v>14</v>
      </c>
      <c r="F3381" s="6" t="str">
        <f t="shared" si="807"/>
        <v>PURE</v>
      </c>
      <c r="G3381" s="6" t="str">
        <f t="shared" si="808"/>
        <v>F100021455000000</v>
      </c>
      <c r="H3381" s="6" t="str">
        <f t="shared" si="809"/>
        <v>FA 214 - PURE - 550</v>
      </c>
      <c r="I3381" s="6" t="str">
        <f>"3235"</f>
        <v>3235</v>
      </c>
      <c r="J3381" s="6" t="str">
        <f>"CINZA 3235"</f>
        <v>CINZA 3235</v>
      </c>
      <c r="K3381" s="6" t="str">
        <f>"1535"</f>
        <v>1535</v>
      </c>
      <c r="L3381" s="6" t="str">
        <f>"Toalhões"</f>
        <v>Toalhões</v>
      </c>
      <c r="M3381" s="6" t="str">
        <f>"70x140"</f>
        <v>70x140</v>
      </c>
      <c r="N3381" s="6" t="str">
        <f>"5602972895308"</f>
        <v>5602972895308</v>
      </c>
      <c r="O3381" s="8">
        <v>240</v>
      </c>
      <c r="P3381" s="7">
        <v>45842</v>
      </c>
      <c r="R3381" s="8">
        <v>0</v>
      </c>
      <c r="S3381" s="7">
        <v>45847</v>
      </c>
      <c r="U3381" s="8">
        <v>240</v>
      </c>
      <c r="V3381" s="7">
        <v>45860</v>
      </c>
      <c r="X3381" s="8">
        <v>0</v>
      </c>
      <c r="Z3381" s="8">
        <v>240</v>
      </c>
      <c r="AA3381" s="7">
        <v>45874</v>
      </c>
      <c r="AC3381" s="8">
        <v>237</v>
      </c>
      <c r="AE3381" s="7">
        <v>45877</v>
      </c>
      <c r="AF3381" s="8">
        <v>237</v>
      </c>
      <c r="AH3381" s="7">
        <v>45877</v>
      </c>
      <c r="AN3381" s="8">
        <v>237</v>
      </c>
      <c r="AO3381" s="8">
        <v>3</v>
      </c>
    </row>
    <row r="3382" spans="1:41" x14ac:dyDescent="0.25">
      <c r="A3382" s="6" t="str">
        <f t="shared" si="806"/>
        <v>525-2025000360</v>
      </c>
      <c r="B3382" s="6" t="str">
        <f t="shared" si="801"/>
        <v>Lasa Int</v>
      </c>
      <c r="C3382" s="7">
        <v>45842</v>
      </c>
      <c r="D3382" s="7">
        <v>46037</v>
      </c>
      <c r="E3382" s="8">
        <v>15</v>
      </c>
      <c r="F3382" s="6" t="str">
        <f t="shared" si="807"/>
        <v>PURE</v>
      </c>
      <c r="G3382" s="6" t="str">
        <f t="shared" si="808"/>
        <v>F100021455000000</v>
      </c>
      <c r="H3382" s="6" t="str">
        <f t="shared" si="809"/>
        <v>FA 214 - PURE - 550</v>
      </c>
      <c r="I3382" s="6" t="str">
        <f>"3235"</f>
        <v>3235</v>
      </c>
      <c r="J3382" s="6" t="str">
        <f>"CINZA 3235"</f>
        <v>CINZA 3235</v>
      </c>
      <c r="K3382" s="6" t="str">
        <f>"2020"</f>
        <v>2020</v>
      </c>
      <c r="L3382" s="6" t="str">
        <f>"Lençóis"</f>
        <v>Lençóis</v>
      </c>
      <c r="M3382" s="6" t="str">
        <f>"100x150"</f>
        <v>100x150</v>
      </c>
      <c r="N3382" s="6" t="str">
        <f>"5602972895315"</f>
        <v>5602972895315</v>
      </c>
      <c r="O3382" s="8">
        <v>320</v>
      </c>
      <c r="P3382" s="7">
        <v>45842</v>
      </c>
      <c r="R3382" s="8">
        <v>0</v>
      </c>
      <c r="S3382" s="7">
        <v>45847</v>
      </c>
      <c r="U3382" s="8">
        <v>320</v>
      </c>
      <c r="V3382" s="7">
        <v>45860</v>
      </c>
      <c r="X3382" s="8">
        <v>0</v>
      </c>
      <c r="Z3382" s="8">
        <v>320</v>
      </c>
      <c r="AA3382" s="7">
        <v>45874</v>
      </c>
      <c r="AC3382" s="8">
        <v>336</v>
      </c>
      <c r="AE3382" s="7">
        <v>45877</v>
      </c>
      <c r="AF3382" s="8">
        <v>336</v>
      </c>
      <c r="AH3382" s="7">
        <v>45877</v>
      </c>
      <c r="AN3382" s="8">
        <v>336</v>
      </c>
      <c r="AO3382" s="8">
        <v>-16</v>
      </c>
    </row>
    <row r="3383" spans="1:41" x14ac:dyDescent="0.25">
      <c r="A3383" s="6" t="str">
        <f t="shared" si="806"/>
        <v>525-2025000360</v>
      </c>
      <c r="B3383" s="6" t="str">
        <f t="shared" si="801"/>
        <v>Lasa Int</v>
      </c>
      <c r="C3383" s="7">
        <v>45842</v>
      </c>
      <c r="D3383" s="7">
        <v>46037</v>
      </c>
      <c r="E3383" s="8">
        <v>16</v>
      </c>
      <c r="F3383" s="6" t="str">
        <f t="shared" si="807"/>
        <v>PURE</v>
      </c>
      <c r="G3383" s="6" t="str">
        <f t="shared" si="808"/>
        <v>F100021455000000</v>
      </c>
      <c r="H3383" s="6" t="str">
        <f t="shared" si="809"/>
        <v>FA 214 - PURE - 550</v>
      </c>
      <c r="I3383" s="6" t="str">
        <f>"5148"</f>
        <v>5148</v>
      </c>
      <c r="J3383" s="6" t="str">
        <f>"BEGE 5148"</f>
        <v>BEGE 5148</v>
      </c>
      <c r="K3383" s="6" t="str">
        <f>"0530"</f>
        <v>0530</v>
      </c>
      <c r="L3383" s="6" t="str">
        <f>"Toalhetes"</f>
        <v>Toalhetes</v>
      </c>
      <c r="M3383" s="6" t="str">
        <f>"33x50"</f>
        <v>33x50</v>
      </c>
      <c r="N3383" s="6" t="str">
        <f>"5602972651393"</f>
        <v>5602972651393</v>
      </c>
      <c r="O3383" s="8">
        <v>450</v>
      </c>
      <c r="P3383" s="7">
        <v>45842</v>
      </c>
      <c r="R3383" s="8">
        <v>0</v>
      </c>
      <c r="S3383" s="7">
        <v>45847</v>
      </c>
      <c r="U3383" s="8">
        <v>450</v>
      </c>
      <c r="V3383" s="7">
        <v>45860</v>
      </c>
      <c r="X3383" s="8">
        <v>0</v>
      </c>
      <c r="Z3383" s="8">
        <v>450</v>
      </c>
      <c r="AA3383" s="7">
        <v>45874</v>
      </c>
      <c r="AC3383" s="8">
        <v>404</v>
      </c>
      <c r="AE3383" s="7">
        <v>45877</v>
      </c>
      <c r="AF3383" s="8">
        <v>404</v>
      </c>
      <c r="AH3383" s="7">
        <v>45877</v>
      </c>
      <c r="AN3383" s="8">
        <v>404</v>
      </c>
      <c r="AO3383" s="8">
        <v>46</v>
      </c>
    </row>
    <row r="3384" spans="1:41" x14ac:dyDescent="0.25">
      <c r="A3384" s="6" t="str">
        <f t="shared" si="806"/>
        <v>525-2025000360</v>
      </c>
      <c r="B3384" s="6" t="str">
        <f t="shared" si="801"/>
        <v>Lasa Int</v>
      </c>
      <c r="C3384" s="7">
        <v>45842</v>
      </c>
      <c r="D3384" s="7">
        <v>46037</v>
      </c>
      <c r="E3384" s="8">
        <v>17</v>
      </c>
      <c r="F3384" s="6" t="str">
        <f t="shared" si="807"/>
        <v>PURE</v>
      </c>
      <c r="G3384" s="6" t="str">
        <f t="shared" si="808"/>
        <v>F100021455000000</v>
      </c>
      <c r="H3384" s="6" t="str">
        <f t="shared" si="809"/>
        <v>FA 214 - PURE - 550</v>
      </c>
      <c r="I3384" s="6" t="str">
        <f>"5148"</f>
        <v>5148</v>
      </c>
      <c r="J3384" s="6" t="str">
        <f>"BEGE 5148"</f>
        <v>BEGE 5148</v>
      </c>
      <c r="K3384" s="6" t="str">
        <f>"1024"</f>
        <v>1024</v>
      </c>
      <c r="L3384" s="6" t="str">
        <f>"Toalhas"</f>
        <v>Toalhas</v>
      </c>
      <c r="M3384" s="6" t="str">
        <f>"50x100"</f>
        <v>50x100</v>
      </c>
      <c r="N3384" s="6" t="str">
        <f>"5602972651409"</f>
        <v>5602972651409</v>
      </c>
      <c r="O3384" s="8">
        <v>960</v>
      </c>
      <c r="P3384" s="7">
        <v>45842</v>
      </c>
      <c r="R3384" s="8">
        <v>0</v>
      </c>
      <c r="S3384" s="7">
        <v>45847</v>
      </c>
      <c r="U3384" s="8">
        <v>960</v>
      </c>
      <c r="V3384" s="7">
        <v>45860</v>
      </c>
      <c r="X3384" s="8">
        <v>0</v>
      </c>
      <c r="Z3384" s="8">
        <v>960</v>
      </c>
      <c r="AA3384" s="7">
        <v>45874</v>
      </c>
      <c r="AC3384" s="8">
        <v>174</v>
      </c>
      <c r="AE3384" s="7">
        <v>45877</v>
      </c>
      <c r="AF3384" s="8">
        <v>174</v>
      </c>
      <c r="AH3384" s="7">
        <v>45877</v>
      </c>
      <c r="AN3384" s="8">
        <v>174</v>
      </c>
      <c r="AO3384" s="8">
        <v>786</v>
      </c>
    </row>
    <row r="3385" spans="1:41" x14ac:dyDescent="0.25">
      <c r="A3385" s="6" t="str">
        <f t="shared" si="806"/>
        <v>525-2025000360</v>
      </c>
      <c r="B3385" s="6" t="str">
        <f t="shared" si="801"/>
        <v>Lasa Int</v>
      </c>
      <c r="C3385" s="7">
        <v>45842</v>
      </c>
      <c r="D3385" s="7">
        <v>46037</v>
      </c>
      <c r="E3385" s="8">
        <v>18</v>
      </c>
      <c r="F3385" s="6" t="str">
        <f t="shared" si="807"/>
        <v>PURE</v>
      </c>
      <c r="G3385" s="6" t="str">
        <f t="shared" si="808"/>
        <v>F100021455000000</v>
      </c>
      <c r="H3385" s="6" t="str">
        <f t="shared" si="809"/>
        <v>FA 214 - PURE - 550</v>
      </c>
      <c r="I3385" s="6" t="str">
        <f>"5148"</f>
        <v>5148</v>
      </c>
      <c r="J3385" s="6" t="str">
        <f>"BEGE 5148"</f>
        <v>BEGE 5148</v>
      </c>
      <c r="K3385" s="6" t="str">
        <f>"1535"</f>
        <v>1535</v>
      </c>
      <c r="L3385" s="6" t="str">
        <f>"Toalhões"</f>
        <v>Toalhões</v>
      </c>
      <c r="M3385" s="6" t="str">
        <f>"70x140"</f>
        <v>70x140</v>
      </c>
      <c r="N3385" s="6" t="str">
        <f>"5602972651416"</f>
        <v>5602972651416</v>
      </c>
      <c r="O3385" s="8">
        <v>840</v>
      </c>
      <c r="P3385" s="7">
        <v>45842</v>
      </c>
      <c r="R3385" s="8">
        <v>0</v>
      </c>
      <c r="S3385" s="7">
        <v>45847</v>
      </c>
      <c r="U3385" s="8">
        <v>840</v>
      </c>
      <c r="V3385" s="7">
        <v>45860</v>
      </c>
      <c r="X3385" s="8">
        <v>0</v>
      </c>
      <c r="Z3385" s="8">
        <v>840</v>
      </c>
      <c r="AA3385" s="7">
        <v>45874</v>
      </c>
      <c r="AC3385" s="8">
        <v>861</v>
      </c>
      <c r="AE3385" s="7">
        <v>45877</v>
      </c>
      <c r="AF3385" s="8">
        <v>861</v>
      </c>
      <c r="AH3385" s="7">
        <v>45877</v>
      </c>
      <c r="AN3385" s="8">
        <v>861</v>
      </c>
      <c r="AO3385" s="8">
        <v>-21</v>
      </c>
    </row>
    <row r="3386" spans="1:41" x14ac:dyDescent="0.25">
      <c r="A3386" s="6" t="str">
        <f t="shared" si="806"/>
        <v>525-2025000360</v>
      </c>
      <c r="B3386" s="6" t="str">
        <f t="shared" si="801"/>
        <v>Lasa Int</v>
      </c>
      <c r="C3386" s="7">
        <v>45842</v>
      </c>
      <c r="D3386" s="7">
        <v>46037</v>
      </c>
      <c r="E3386" s="8">
        <v>19</v>
      </c>
      <c r="F3386" s="6" t="str">
        <f t="shared" si="807"/>
        <v>PURE</v>
      </c>
      <c r="G3386" s="6" t="str">
        <f t="shared" si="808"/>
        <v>F100021455000000</v>
      </c>
      <c r="H3386" s="6" t="str">
        <f t="shared" si="809"/>
        <v>FA 214 - PURE - 550</v>
      </c>
      <c r="I3386" s="6" t="str">
        <f>"5148"</f>
        <v>5148</v>
      </c>
      <c r="J3386" s="6" t="str">
        <f>"BEGE 5148"</f>
        <v>BEGE 5148</v>
      </c>
      <c r="K3386" s="6" t="str">
        <f>"2020"</f>
        <v>2020</v>
      </c>
      <c r="L3386" s="6" t="str">
        <f>"Lençóis"</f>
        <v>Lençóis</v>
      </c>
      <c r="M3386" s="6" t="str">
        <f>"100x150"</f>
        <v>100x150</v>
      </c>
      <c r="N3386" s="6" t="str">
        <f>"5602972651423"</f>
        <v>5602972651423</v>
      </c>
      <c r="O3386" s="8">
        <v>320</v>
      </c>
      <c r="P3386" s="7">
        <v>45842</v>
      </c>
      <c r="R3386" s="8">
        <v>0</v>
      </c>
      <c r="S3386" s="7">
        <v>45847</v>
      </c>
      <c r="U3386" s="8">
        <v>320</v>
      </c>
      <c r="V3386" s="7">
        <v>45860</v>
      </c>
      <c r="X3386" s="8">
        <v>0</v>
      </c>
      <c r="Z3386" s="8">
        <v>320</v>
      </c>
      <c r="AA3386" s="7">
        <v>45874</v>
      </c>
      <c r="AC3386" s="8">
        <v>14</v>
      </c>
      <c r="AE3386" s="7">
        <v>45877</v>
      </c>
      <c r="AF3386" s="8">
        <v>14</v>
      </c>
      <c r="AH3386" s="7">
        <v>45877</v>
      </c>
      <c r="AN3386" s="8">
        <v>14</v>
      </c>
      <c r="AO3386" s="8">
        <v>306</v>
      </c>
    </row>
    <row r="3387" spans="1:41" x14ac:dyDescent="0.25">
      <c r="A3387" s="6" t="str">
        <f t="shared" si="806"/>
        <v>525-2025000360</v>
      </c>
      <c r="B3387" s="6" t="str">
        <f t="shared" si="801"/>
        <v>Lasa Int</v>
      </c>
      <c r="C3387" s="7">
        <v>45842</v>
      </c>
      <c r="D3387" s="7">
        <v>46037</v>
      </c>
      <c r="E3387" s="8">
        <v>20</v>
      </c>
      <c r="F3387" s="6" t="str">
        <f t="shared" si="807"/>
        <v>PURE</v>
      </c>
      <c r="G3387" s="6" t="str">
        <f t="shared" si="808"/>
        <v>F100021455000000</v>
      </c>
      <c r="H3387" s="6" t="str">
        <f t="shared" si="809"/>
        <v>FA 214 - PURE - 550</v>
      </c>
      <c r="I3387" s="6" t="str">
        <f>"5148"</f>
        <v>5148</v>
      </c>
      <c r="J3387" s="6" t="str">
        <f>"BEGE 5148"</f>
        <v>BEGE 5148</v>
      </c>
      <c r="K3387" s="6" t="str">
        <f>"2030"</f>
        <v>2030</v>
      </c>
      <c r="L3387" s="6" t="str">
        <f>"Lençóis"</f>
        <v>Lençóis</v>
      </c>
      <c r="M3387" s="6" t="str">
        <f>"100x180"</f>
        <v>100x180</v>
      </c>
      <c r="N3387" s="6" t="str">
        <f>"5602972674217"</f>
        <v>5602972674217</v>
      </c>
      <c r="O3387" s="8">
        <v>60</v>
      </c>
      <c r="P3387" s="7">
        <v>45842</v>
      </c>
      <c r="R3387" s="8">
        <v>0</v>
      </c>
      <c r="S3387" s="7">
        <v>45847</v>
      </c>
      <c r="U3387" s="8">
        <v>60</v>
      </c>
      <c r="V3387" s="7">
        <v>45860</v>
      </c>
      <c r="X3387" s="8">
        <v>0</v>
      </c>
      <c r="Z3387" s="8">
        <v>60</v>
      </c>
      <c r="AA3387" s="7">
        <v>45874</v>
      </c>
      <c r="AC3387" s="8">
        <v>51</v>
      </c>
      <c r="AE3387" s="7">
        <v>45877</v>
      </c>
      <c r="AF3387" s="8">
        <v>51</v>
      </c>
      <c r="AH3387" s="7">
        <v>45877</v>
      </c>
      <c r="AN3387" s="8">
        <v>51</v>
      </c>
      <c r="AO3387" s="8">
        <v>9</v>
      </c>
    </row>
    <row r="3388" spans="1:41" x14ac:dyDescent="0.25">
      <c r="A3388" s="6" t="str">
        <f t="shared" si="806"/>
        <v>525-2025000360</v>
      </c>
      <c r="B3388" s="6" t="str">
        <f t="shared" si="801"/>
        <v>Lasa Int</v>
      </c>
      <c r="C3388" s="7">
        <v>45842</v>
      </c>
      <c r="D3388" s="7">
        <v>46037</v>
      </c>
      <c r="E3388" s="8">
        <v>21</v>
      </c>
      <c r="F3388" s="6" t="str">
        <f t="shared" si="807"/>
        <v>PURE</v>
      </c>
      <c r="G3388" s="6" t="str">
        <f t="shared" si="808"/>
        <v>F100021455000000</v>
      </c>
      <c r="H3388" s="6" t="str">
        <f t="shared" si="809"/>
        <v>FA 214 - PURE - 550</v>
      </c>
      <c r="I3388" s="6" t="str">
        <f>"5149"</f>
        <v>5149</v>
      </c>
      <c r="J3388" s="6" t="str">
        <f>"VERDE 5149"</f>
        <v>VERDE 5149</v>
      </c>
      <c r="K3388" s="6" t="str">
        <f>"0112"</f>
        <v>0112</v>
      </c>
      <c r="L3388" s="6" t="str">
        <f>"Luvas"</f>
        <v>Luvas</v>
      </c>
      <c r="M3388" s="6" t="str">
        <f>"16x21"</f>
        <v>16x21</v>
      </c>
      <c r="N3388" s="6" t="str">
        <f>"5602972651430"</f>
        <v>5602972651430</v>
      </c>
      <c r="O3388" s="8">
        <v>300</v>
      </c>
      <c r="P3388" s="7">
        <v>45842</v>
      </c>
      <c r="R3388" s="8">
        <v>0</v>
      </c>
      <c r="S3388" s="7">
        <v>45847</v>
      </c>
      <c r="U3388" s="8">
        <v>300</v>
      </c>
      <c r="V3388" s="7">
        <v>45860</v>
      </c>
      <c r="X3388" s="8">
        <v>0</v>
      </c>
      <c r="Z3388" s="8">
        <v>300</v>
      </c>
      <c r="AA3388" s="7">
        <v>45874</v>
      </c>
      <c r="AC3388" s="8">
        <v>0</v>
      </c>
      <c r="AE3388" s="7">
        <v>45877</v>
      </c>
      <c r="AF3388" s="8">
        <v>0</v>
      </c>
      <c r="AH3388" s="7">
        <v>45877</v>
      </c>
      <c r="AN3388" s="8">
        <v>294</v>
      </c>
      <c r="AO3388" s="8">
        <v>6</v>
      </c>
    </row>
    <row r="3389" spans="1:41" x14ac:dyDescent="0.25">
      <c r="A3389" s="6" t="str">
        <f t="shared" si="806"/>
        <v>525-2025000360</v>
      </c>
      <c r="B3389" s="6" t="str">
        <f t="shared" si="801"/>
        <v>Lasa Int</v>
      </c>
      <c r="C3389" s="7">
        <v>45842</v>
      </c>
      <c r="D3389" s="7">
        <v>46037</v>
      </c>
      <c r="E3389" s="8">
        <v>22</v>
      </c>
      <c r="F3389" s="6" t="str">
        <f t="shared" si="807"/>
        <v>PURE</v>
      </c>
      <c r="G3389" s="6" t="str">
        <f t="shared" si="808"/>
        <v>F100021455000000</v>
      </c>
      <c r="H3389" s="6" t="str">
        <f t="shared" si="809"/>
        <v>FA 214 - PURE - 550</v>
      </c>
      <c r="I3389" s="6" t="str">
        <f>"5149"</f>
        <v>5149</v>
      </c>
      <c r="J3389" s="6" t="str">
        <f>"VERDE 5149"</f>
        <v>VERDE 5149</v>
      </c>
      <c r="K3389" s="6" t="str">
        <f>"1535"</f>
        <v>1535</v>
      </c>
      <c r="L3389" s="6" t="str">
        <f>"Toalhões"</f>
        <v>Toalhões</v>
      </c>
      <c r="M3389" s="6" t="str">
        <f>"70x140"</f>
        <v>70x140</v>
      </c>
      <c r="N3389" s="6" t="str">
        <f>"5602972651461"</f>
        <v>5602972651461</v>
      </c>
      <c r="O3389" s="8">
        <v>360</v>
      </c>
      <c r="P3389" s="7">
        <v>45842</v>
      </c>
      <c r="R3389" s="8">
        <v>0</v>
      </c>
      <c r="S3389" s="7">
        <v>45847</v>
      </c>
      <c r="U3389" s="8">
        <v>360</v>
      </c>
      <c r="V3389" s="7">
        <v>45860</v>
      </c>
      <c r="X3389" s="8">
        <v>0</v>
      </c>
      <c r="Z3389" s="8">
        <v>360</v>
      </c>
      <c r="AA3389" s="7">
        <v>45874</v>
      </c>
      <c r="AC3389" s="8">
        <v>361</v>
      </c>
      <c r="AE3389" s="7">
        <v>45877</v>
      </c>
      <c r="AF3389" s="8">
        <v>361</v>
      </c>
      <c r="AH3389" s="7">
        <v>45877</v>
      </c>
      <c r="AN3389" s="8">
        <v>361</v>
      </c>
      <c r="AO3389" s="8">
        <v>-1</v>
      </c>
    </row>
    <row r="3390" spans="1:41" x14ac:dyDescent="0.25">
      <c r="A3390" s="6" t="str">
        <f t="shared" si="806"/>
        <v>525-2025000360</v>
      </c>
      <c r="B3390" s="6" t="str">
        <f t="shared" si="801"/>
        <v>Lasa Int</v>
      </c>
      <c r="C3390" s="7">
        <v>45842</v>
      </c>
      <c r="D3390" s="7">
        <v>46037</v>
      </c>
      <c r="E3390" s="8">
        <v>23</v>
      </c>
      <c r="F3390" s="6" t="str">
        <f t="shared" si="807"/>
        <v>PURE</v>
      </c>
      <c r="G3390" s="6" t="str">
        <f t="shared" si="808"/>
        <v>F100021455000000</v>
      </c>
      <c r="H3390" s="6" t="str">
        <f t="shared" si="809"/>
        <v>FA 214 - PURE - 550</v>
      </c>
      <c r="I3390" s="6" t="str">
        <f>"5149"</f>
        <v>5149</v>
      </c>
      <c r="J3390" s="6" t="str">
        <f>"VERDE 5149"</f>
        <v>VERDE 5149</v>
      </c>
      <c r="K3390" s="6" t="str">
        <f>"2020"</f>
        <v>2020</v>
      </c>
      <c r="L3390" s="6" t="str">
        <f>"Lençóis"</f>
        <v>Lençóis</v>
      </c>
      <c r="M3390" s="6" t="str">
        <f>"100x150"</f>
        <v>100x150</v>
      </c>
      <c r="N3390" s="6" t="str">
        <f>"5602972651478"</f>
        <v>5602972651478</v>
      </c>
      <c r="O3390" s="8">
        <v>240</v>
      </c>
      <c r="P3390" s="7">
        <v>45842</v>
      </c>
      <c r="R3390" s="8">
        <v>0</v>
      </c>
      <c r="S3390" s="7">
        <v>45847</v>
      </c>
      <c r="U3390" s="8">
        <v>240</v>
      </c>
      <c r="V3390" s="7">
        <v>45860</v>
      </c>
      <c r="X3390" s="8">
        <v>0</v>
      </c>
      <c r="Z3390" s="8">
        <v>240</v>
      </c>
      <c r="AA3390" s="7">
        <v>45874</v>
      </c>
      <c r="AC3390" s="8">
        <v>127</v>
      </c>
      <c r="AE3390" s="7">
        <v>45877</v>
      </c>
      <c r="AF3390" s="8">
        <v>127</v>
      </c>
      <c r="AH3390" s="7">
        <v>45877</v>
      </c>
      <c r="AN3390" s="8">
        <v>127</v>
      </c>
      <c r="AO3390" s="8">
        <v>113</v>
      </c>
    </row>
    <row r="3391" spans="1:41" x14ac:dyDescent="0.25">
      <c r="A3391" s="6" t="str">
        <f t="shared" si="806"/>
        <v>525-2025000360</v>
      </c>
      <c r="B3391" s="6" t="str">
        <f t="shared" si="801"/>
        <v>Lasa Int</v>
      </c>
      <c r="C3391" s="7">
        <v>45842</v>
      </c>
      <c r="D3391" s="7">
        <v>46037</v>
      </c>
      <c r="E3391" s="8">
        <v>24</v>
      </c>
      <c r="F3391" s="6" t="str">
        <f t="shared" si="807"/>
        <v>PURE</v>
      </c>
      <c r="G3391" s="6" t="str">
        <f>"F161003770000000"</f>
        <v>F161003770000000</v>
      </c>
      <c r="H3391" s="6" t="str">
        <f>"TA 37 - 700 g/m²"</f>
        <v>TA 37 - 700 g/m²</v>
      </c>
      <c r="I3391" s="6" t="str">
        <f>"1"</f>
        <v>1</v>
      </c>
      <c r="J3391" s="6" t="str">
        <f>"BRANCO"</f>
        <v>BRANCO</v>
      </c>
      <c r="K3391" s="6" t="str">
        <f>"3012"</f>
        <v>3012</v>
      </c>
      <c r="L3391" s="6" t="str">
        <f>"Tapetes"</f>
        <v>Tapetes</v>
      </c>
      <c r="M3391" s="6" t="str">
        <f>"50x70"</f>
        <v>50x70</v>
      </c>
      <c r="N3391" s="6" t="str">
        <f>"5602972906042"</f>
        <v>5602972906042</v>
      </c>
      <c r="O3391" s="8">
        <v>200</v>
      </c>
      <c r="P3391" s="7">
        <v>45842</v>
      </c>
      <c r="R3391" s="8">
        <v>0</v>
      </c>
      <c r="S3391" s="7">
        <v>45847</v>
      </c>
      <c r="U3391" s="8">
        <v>200</v>
      </c>
      <c r="V3391" s="7">
        <v>45860</v>
      </c>
      <c r="X3391" s="8">
        <v>0</v>
      </c>
      <c r="Z3391" s="8">
        <v>200</v>
      </c>
      <c r="AA3391" s="7">
        <v>45874</v>
      </c>
      <c r="AC3391" s="8">
        <v>198</v>
      </c>
      <c r="AE3391" s="7">
        <v>45877</v>
      </c>
      <c r="AF3391" s="8">
        <v>198</v>
      </c>
      <c r="AH3391" s="7">
        <v>45877</v>
      </c>
      <c r="AN3391" s="8">
        <v>198</v>
      </c>
      <c r="AO3391" s="8">
        <v>2</v>
      </c>
    </row>
    <row r="3392" spans="1:41" x14ac:dyDescent="0.25">
      <c r="A3392" s="6" t="str">
        <f t="shared" si="806"/>
        <v>525-2025000360</v>
      </c>
      <c r="B3392" s="6" t="str">
        <f t="shared" si="801"/>
        <v>Lasa Int</v>
      </c>
      <c r="C3392" s="7">
        <v>45842</v>
      </c>
      <c r="D3392" s="7">
        <v>46037</v>
      </c>
      <c r="E3392" s="8">
        <v>25</v>
      </c>
      <c r="F3392" s="6" t="str">
        <f t="shared" si="807"/>
        <v>PURE</v>
      </c>
      <c r="G3392" s="6" t="str">
        <f>"F161003770000000"</f>
        <v>F161003770000000</v>
      </c>
      <c r="H3392" s="6" t="str">
        <f>"TA 37 - 700 g/m²"</f>
        <v>TA 37 - 700 g/m²</v>
      </c>
      <c r="I3392" s="6" t="str">
        <f>"3073"</f>
        <v>3073</v>
      </c>
      <c r="J3392" s="6" t="str">
        <f>"CINZA 3073"</f>
        <v>CINZA 3073</v>
      </c>
      <c r="K3392" s="6" t="str">
        <f>"3012"</f>
        <v>3012</v>
      </c>
      <c r="L3392" s="6" t="str">
        <f>"Tapetes"</f>
        <v>Tapetes</v>
      </c>
      <c r="M3392" s="6" t="str">
        <f>"50x70"</f>
        <v>50x70</v>
      </c>
      <c r="N3392" s="6" t="str">
        <f>"5602972878028"</f>
        <v>5602972878028</v>
      </c>
      <c r="O3392" s="8">
        <v>200</v>
      </c>
      <c r="P3392" s="7">
        <v>45842</v>
      </c>
      <c r="R3392" s="8">
        <v>0</v>
      </c>
      <c r="S3392" s="7">
        <v>45847</v>
      </c>
      <c r="U3392" s="8">
        <v>200</v>
      </c>
      <c r="V3392" s="7">
        <v>45860</v>
      </c>
      <c r="X3392" s="8">
        <v>0</v>
      </c>
      <c r="Z3392" s="8">
        <v>200</v>
      </c>
      <c r="AA3392" s="7">
        <v>45874</v>
      </c>
      <c r="AC3392" s="8">
        <v>200</v>
      </c>
      <c r="AE3392" s="7">
        <v>45877</v>
      </c>
      <c r="AF3392" s="8">
        <v>200</v>
      </c>
      <c r="AH3392" s="7">
        <v>45877</v>
      </c>
      <c r="AN3392" s="8">
        <v>200</v>
      </c>
      <c r="AO3392" s="8">
        <v>0</v>
      </c>
    </row>
    <row r="3393" spans="1:41" x14ac:dyDescent="0.25">
      <c r="A3393" s="6" t="str">
        <f>"525-2025000361"</f>
        <v>525-2025000361</v>
      </c>
      <c r="B3393" s="6" t="str">
        <f>"KLEINMAN"</f>
        <v>KLEINMAN</v>
      </c>
      <c r="C3393" s="7">
        <v>45842</v>
      </c>
      <c r="D3393" s="7">
        <v>46037</v>
      </c>
      <c r="E3393" s="8">
        <v>1</v>
      </c>
      <c r="F3393" s="6" t="str">
        <f>"Softy"</f>
        <v>Softy</v>
      </c>
      <c r="G3393" s="6" t="str">
        <f>"F110271050000000"</f>
        <v>F110271050000000</v>
      </c>
      <c r="H3393" s="6" t="str">
        <f>"FAJ 2710 (SOFTY) - 5"</f>
        <v>FAJ 2710 (SOFTY) - 5</v>
      </c>
      <c r="I3393" s="6" t="str">
        <f>"2094"</f>
        <v>2094</v>
      </c>
      <c r="J3393" s="6" t="str">
        <f>"AZUL 2094"</f>
        <v>AZUL 2094</v>
      </c>
      <c r="K3393" s="6" t="str">
        <f>"2020"</f>
        <v>2020</v>
      </c>
      <c r="L3393" s="6" t="str">
        <f>"Lençóis"</f>
        <v>Lençóis</v>
      </c>
      <c r="M3393" s="6" t="str">
        <f>"100x150"</f>
        <v>100x150</v>
      </c>
      <c r="N3393" s="6" t="str">
        <f>"5602972650808"</f>
        <v>5602972650808</v>
      </c>
      <c r="O3393" s="8">
        <v>240</v>
      </c>
      <c r="P3393" s="7">
        <v>45842</v>
      </c>
      <c r="R3393" s="8">
        <v>0</v>
      </c>
      <c r="S3393" s="7">
        <v>45847</v>
      </c>
      <c r="U3393" s="8">
        <v>240</v>
      </c>
      <c r="V3393" s="7">
        <v>45856</v>
      </c>
      <c r="X3393" s="8">
        <v>0</v>
      </c>
      <c r="Z3393" s="8">
        <v>240</v>
      </c>
      <c r="AA3393" s="7">
        <v>45868</v>
      </c>
      <c r="AC3393" s="8">
        <v>0</v>
      </c>
      <c r="AE3393" s="7">
        <v>45870</v>
      </c>
      <c r="AF3393" s="8">
        <v>0</v>
      </c>
      <c r="AH3393" s="7">
        <v>45870</v>
      </c>
      <c r="AN3393" s="8">
        <v>0</v>
      </c>
      <c r="AO3393" s="8">
        <v>240</v>
      </c>
    </row>
    <row r="3394" spans="1:41" x14ac:dyDescent="0.25">
      <c r="A3394" s="6" t="str">
        <f>"525-2025000365"</f>
        <v>525-2025000365</v>
      </c>
      <c r="B3394" s="6" t="str">
        <f>"Lasa Int"</f>
        <v>Lasa Int</v>
      </c>
      <c r="C3394" s="7">
        <v>45845</v>
      </c>
      <c r="D3394" s="7">
        <v>46068</v>
      </c>
      <c r="E3394" s="8">
        <v>1</v>
      </c>
      <c r="F3394" s="6" t="str">
        <f>"PURE R"</f>
        <v>PURE R</v>
      </c>
      <c r="G3394" s="6" t="str">
        <f>"R010000635000000"</f>
        <v>R010000635000000</v>
      </c>
      <c r="H3394" s="6" t="str">
        <f>"Alexis Cotoral Pure"</f>
        <v>Alexis Cotoral Pure</v>
      </c>
      <c r="I3394" s="6" t="str">
        <f>"2334"</f>
        <v>2334</v>
      </c>
      <c r="J3394" s="6" t="str">
        <f>"TURQUESA 2334"</f>
        <v>TURQUESA 2334</v>
      </c>
      <c r="K3394" s="6" t="str">
        <f>"5004"</f>
        <v>5004</v>
      </c>
      <c r="L3394" s="6" t="str">
        <f>"Roupões Adulto"</f>
        <v>Roupões Adulto</v>
      </c>
      <c r="M3394" s="6" t="str">
        <f>"M"</f>
        <v>M</v>
      </c>
      <c r="N3394" s="6" t="str">
        <f>"5602972838312"</f>
        <v>5602972838312</v>
      </c>
      <c r="O3394" s="8">
        <v>60</v>
      </c>
      <c r="P3394" s="7">
        <v>45845</v>
      </c>
      <c r="R3394" s="8">
        <v>0</v>
      </c>
      <c r="S3394" s="7">
        <v>45848</v>
      </c>
      <c r="U3394" s="8">
        <v>0</v>
      </c>
      <c r="V3394" s="7">
        <v>45859</v>
      </c>
      <c r="X3394" s="8">
        <v>0</v>
      </c>
      <c r="Z3394" s="8">
        <v>0</v>
      </c>
      <c r="AA3394" s="7">
        <v>45869</v>
      </c>
      <c r="AC3394" s="8">
        <v>89</v>
      </c>
      <c r="AE3394" s="7">
        <v>45911</v>
      </c>
      <c r="AF3394" s="8">
        <v>89</v>
      </c>
      <c r="AH3394" s="7">
        <v>46068</v>
      </c>
      <c r="AI3394" s="7">
        <v>45909</v>
      </c>
      <c r="AN3394" s="8">
        <v>89</v>
      </c>
      <c r="AO3394" s="8">
        <v>-29</v>
      </c>
    </row>
    <row r="3395" spans="1:41" x14ac:dyDescent="0.25">
      <c r="A3395" s="6" t="str">
        <f>"525-2025000365"</f>
        <v>525-2025000365</v>
      </c>
      <c r="B3395" s="6" t="str">
        <f>"Lasa Int"</f>
        <v>Lasa Int</v>
      </c>
      <c r="C3395" s="7">
        <v>45845</v>
      </c>
      <c r="D3395" s="7">
        <v>46068</v>
      </c>
      <c r="E3395" s="8">
        <v>2</v>
      </c>
      <c r="F3395" s="6" t="str">
        <f>"PURE R"</f>
        <v>PURE R</v>
      </c>
      <c r="G3395" s="6" t="str">
        <f>"R010000635000000"</f>
        <v>R010000635000000</v>
      </c>
      <c r="H3395" s="6" t="str">
        <f>"Alexis Cotoral Pure"</f>
        <v>Alexis Cotoral Pure</v>
      </c>
      <c r="I3395" s="6" t="str">
        <f>"2334"</f>
        <v>2334</v>
      </c>
      <c r="J3395" s="6" t="str">
        <f>"TURQUESA 2334"</f>
        <v>TURQUESA 2334</v>
      </c>
      <c r="K3395" s="6" t="str">
        <f>"5006"</f>
        <v>5006</v>
      </c>
      <c r="L3395" s="6" t="str">
        <f>"Roupões Adulto"</f>
        <v>Roupões Adulto</v>
      </c>
      <c r="M3395" s="6" t="str">
        <f>"L"</f>
        <v>L</v>
      </c>
      <c r="N3395" s="6" t="str">
        <f>"5602972838329"</f>
        <v>5602972838329</v>
      </c>
      <c r="O3395" s="8">
        <v>82</v>
      </c>
      <c r="P3395" s="7">
        <v>45845</v>
      </c>
      <c r="R3395" s="8">
        <v>4590</v>
      </c>
      <c r="S3395" s="7">
        <v>45848</v>
      </c>
      <c r="U3395" s="8">
        <v>0</v>
      </c>
      <c r="V3395" s="7">
        <v>45859</v>
      </c>
      <c r="X3395" s="8">
        <v>0</v>
      </c>
      <c r="Z3395" s="8">
        <v>0</v>
      </c>
      <c r="AA3395" s="7">
        <v>45869</v>
      </c>
      <c r="AC3395" s="8">
        <v>85</v>
      </c>
      <c r="AE3395" s="7">
        <v>45911</v>
      </c>
      <c r="AF3395" s="8">
        <v>85</v>
      </c>
      <c r="AH3395" s="7">
        <v>46068</v>
      </c>
      <c r="AI3395" s="7">
        <v>45909</v>
      </c>
      <c r="AN3395" s="8">
        <v>85</v>
      </c>
      <c r="AO3395" s="8">
        <v>-3</v>
      </c>
    </row>
    <row r="3396" spans="1:41" x14ac:dyDescent="0.25">
      <c r="A3396" s="6" t="str">
        <f>"525-2025000365"</f>
        <v>525-2025000365</v>
      </c>
      <c r="B3396" s="6" t="str">
        <f>"Lasa Int"</f>
        <v>Lasa Int</v>
      </c>
      <c r="C3396" s="7">
        <v>45845</v>
      </c>
      <c r="D3396" s="7">
        <v>46068</v>
      </c>
      <c r="E3396" s="8">
        <v>3</v>
      </c>
      <c r="F3396" s="6" t="str">
        <f>"PURE R"</f>
        <v>PURE R</v>
      </c>
      <c r="G3396" s="6" t="str">
        <f>"R010000635000000"</f>
        <v>R010000635000000</v>
      </c>
      <c r="H3396" s="6" t="str">
        <f>"Alexis Cotoral Pure"</f>
        <v>Alexis Cotoral Pure</v>
      </c>
      <c r="I3396" s="6" t="str">
        <f>"2334"</f>
        <v>2334</v>
      </c>
      <c r="J3396" s="6" t="str">
        <f>"TURQUESA 2334"</f>
        <v>TURQUESA 2334</v>
      </c>
      <c r="K3396" s="6" t="str">
        <f>"5008"</f>
        <v>5008</v>
      </c>
      <c r="L3396" s="6" t="str">
        <f>"Roupões Adulto"</f>
        <v>Roupões Adulto</v>
      </c>
      <c r="M3396" s="6" t="str">
        <f>"XL"</f>
        <v>XL</v>
      </c>
      <c r="N3396" s="6" t="str">
        <f>"5602972838336"</f>
        <v>5602972838336</v>
      </c>
      <c r="O3396" s="8">
        <v>40</v>
      </c>
      <c r="P3396" s="7">
        <v>45845</v>
      </c>
      <c r="R3396" s="8">
        <v>0</v>
      </c>
      <c r="S3396" s="7">
        <v>45848</v>
      </c>
      <c r="U3396" s="8">
        <v>0</v>
      </c>
      <c r="V3396" s="7">
        <v>45859</v>
      </c>
      <c r="X3396" s="8">
        <v>0</v>
      </c>
      <c r="Z3396" s="8">
        <v>0</v>
      </c>
      <c r="AA3396" s="7">
        <v>45869</v>
      </c>
      <c r="AC3396" s="8">
        <v>46</v>
      </c>
      <c r="AE3396" s="7">
        <v>45911</v>
      </c>
      <c r="AF3396" s="8">
        <v>46</v>
      </c>
      <c r="AH3396" s="7">
        <v>46068</v>
      </c>
      <c r="AI3396" s="7">
        <v>45909</v>
      </c>
      <c r="AN3396" s="8">
        <v>46</v>
      </c>
      <c r="AO3396" s="8">
        <v>-6</v>
      </c>
    </row>
    <row r="3397" spans="1:41" x14ac:dyDescent="0.25">
      <c r="A3397" s="6" t="str">
        <f>"525-2025000365"</f>
        <v>525-2025000365</v>
      </c>
      <c r="B3397" s="6" t="str">
        <f>"Lasa Int"</f>
        <v>Lasa Int</v>
      </c>
      <c r="C3397" s="7">
        <v>45845</v>
      </c>
      <c r="D3397" s="7">
        <v>46068</v>
      </c>
      <c r="E3397" s="8">
        <v>4</v>
      </c>
      <c r="F3397" s="6" t="str">
        <f>"PURE R"</f>
        <v>PURE R</v>
      </c>
      <c r="G3397" s="6" t="str">
        <f>"R013000138500000"</f>
        <v>R013000138500000</v>
      </c>
      <c r="H3397" s="6" t="str">
        <f>"Star PURE - Ketten 3"</f>
        <v>Star PURE - Ketten 3</v>
      </c>
      <c r="I3397" s="6" t="str">
        <f>"2334"</f>
        <v>2334</v>
      </c>
      <c r="J3397" s="6" t="str">
        <f>"TURQUESA 2334"</f>
        <v>TURQUESA 2334</v>
      </c>
      <c r="K3397" s="6" t="str">
        <f>"5208"</f>
        <v>5208</v>
      </c>
      <c r="L3397" s="6" t="str">
        <f>"Roupões Criança"</f>
        <v>Roupões Criança</v>
      </c>
      <c r="M3397" s="6" t="str">
        <f>"8 Anos"</f>
        <v>8 Anos</v>
      </c>
      <c r="N3397" s="6" t="str">
        <f>"5602972853995"</f>
        <v>5602972853995</v>
      </c>
      <c r="O3397" s="8">
        <v>36</v>
      </c>
      <c r="P3397" s="7">
        <v>45845</v>
      </c>
      <c r="R3397" s="8">
        <v>0</v>
      </c>
      <c r="S3397" s="7">
        <v>45848</v>
      </c>
      <c r="U3397" s="8">
        <v>540</v>
      </c>
      <c r="V3397" s="7">
        <v>45859</v>
      </c>
      <c r="X3397" s="8">
        <v>540</v>
      </c>
      <c r="Z3397" s="8">
        <v>0</v>
      </c>
      <c r="AA3397" s="7">
        <v>45869</v>
      </c>
      <c r="AC3397" s="8">
        <v>0</v>
      </c>
      <c r="AE3397" s="7">
        <v>45911</v>
      </c>
      <c r="AF3397" s="8">
        <v>0</v>
      </c>
      <c r="AH3397" s="7">
        <v>46068</v>
      </c>
      <c r="AI3397" s="7">
        <v>45909</v>
      </c>
      <c r="AN3397" s="8">
        <v>0</v>
      </c>
      <c r="AO3397" s="8">
        <v>36</v>
      </c>
    </row>
    <row r="3398" spans="1:41" x14ac:dyDescent="0.25">
      <c r="A3398" s="6" t="str">
        <f>"525-2025000365"</f>
        <v>525-2025000365</v>
      </c>
      <c r="B3398" s="6" t="str">
        <f>"Lasa Int"</f>
        <v>Lasa Int</v>
      </c>
      <c r="C3398" s="7">
        <v>45845</v>
      </c>
      <c r="D3398" s="7">
        <v>46068</v>
      </c>
      <c r="E3398" s="8">
        <v>5</v>
      </c>
      <c r="F3398" s="6" t="str">
        <f>"PURE R"</f>
        <v>PURE R</v>
      </c>
      <c r="G3398" s="6" t="str">
        <f>"R013000138500000"</f>
        <v>R013000138500000</v>
      </c>
      <c r="H3398" s="6" t="str">
        <f>"Star PURE - Ketten 3"</f>
        <v>Star PURE - Ketten 3</v>
      </c>
      <c r="I3398" s="6" t="str">
        <f>"2334"</f>
        <v>2334</v>
      </c>
      <c r="J3398" s="6" t="str">
        <f>"TURQUESA 2334"</f>
        <v>TURQUESA 2334</v>
      </c>
      <c r="K3398" s="6" t="str">
        <f>"5214"</f>
        <v>5214</v>
      </c>
      <c r="L3398" s="6" t="str">
        <f>"Roupões Criança"</f>
        <v>Roupões Criança</v>
      </c>
      <c r="M3398" s="6" t="str">
        <f>"14 Anos"</f>
        <v>14 Anos</v>
      </c>
      <c r="N3398" s="6" t="str">
        <f>"5602972854022"</f>
        <v>5602972854022</v>
      </c>
      <c r="O3398" s="8">
        <v>12</v>
      </c>
      <c r="P3398" s="7">
        <v>45845</v>
      </c>
      <c r="R3398" s="8">
        <v>0</v>
      </c>
      <c r="S3398" s="7">
        <v>45848</v>
      </c>
      <c r="U3398" s="8">
        <v>0</v>
      </c>
      <c r="V3398" s="7">
        <v>45859</v>
      </c>
      <c r="X3398" s="8">
        <v>0</v>
      </c>
      <c r="Z3398" s="8">
        <v>0</v>
      </c>
      <c r="AA3398" s="7">
        <v>45869</v>
      </c>
      <c r="AC3398" s="8">
        <v>0</v>
      </c>
      <c r="AE3398" s="7">
        <v>45911</v>
      </c>
      <c r="AF3398" s="8">
        <v>0</v>
      </c>
      <c r="AH3398" s="7">
        <v>46068</v>
      </c>
      <c r="AI3398" s="7">
        <v>45909</v>
      </c>
      <c r="AN3398" s="8">
        <v>0</v>
      </c>
      <c r="AO3398" s="8">
        <v>12</v>
      </c>
    </row>
    <row r="3399" spans="1:41" x14ac:dyDescent="0.25">
      <c r="A3399" s="6" t="str">
        <f>"525-2025000369"</f>
        <v>525-2025000369</v>
      </c>
      <c r="B3399" s="6" t="str">
        <f>"KLEINMAN"</f>
        <v>KLEINMAN</v>
      </c>
      <c r="C3399" s="7">
        <v>45846</v>
      </c>
      <c r="D3399" s="7">
        <v>46037</v>
      </c>
      <c r="E3399" s="8">
        <v>1</v>
      </c>
      <c r="F3399" s="6" t="str">
        <f>"Flair"</f>
        <v>Flair</v>
      </c>
      <c r="G3399" s="6" t="str">
        <f>"F161004115000000"</f>
        <v>F161004115000000</v>
      </c>
      <c r="H3399" s="6" t="str">
        <f>"TA 41 - FLAIR - 1500"</f>
        <v>TA 41 - FLAIR - 1500</v>
      </c>
      <c r="I3399" s="6" t="str">
        <f>"1"</f>
        <v>1</v>
      </c>
      <c r="J3399" s="6" t="str">
        <f>"BRANCO"</f>
        <v>BRANCO</v>
      </c>
      <c r="K3399" s="6" t="str">
        <f>"3015"</f>
        <v>3015</v>
      </c>
      <c r="L3399" s="6" t="str">
        <f>"Tapetes"</f>
        <v>Tapetes</v>
      </c>
      <c r="M3399" s="6" t="str">
        <f>"60x100"</f>
        <v>60x100</v>
      </c>
      <c r="N3399" s="6" t="str">
        <f>"5605247502338"</f>
        <v>5605247502338</v>
      </c>
      <c r="O3399" s="8">
        <v>160</v>
      </c>
      <c r="P3399" s="7">
        <v>45863</v>
      </c>
      <c r="R3399" s="8">
        <v>0</v>
      </c>
      <c r="S3399" s="7">
        <v>45868</v>
      </c>
      <c r="U3399" s="8">
        <v>180</v>
      </c>
      <c r="V3399" s="7">
        <v>45898</v>
      </c>
      <c r="X3399" s="8">
        <v>0</v>
      </c>
      <c r="Z3399" s="8">
        <v>180</v>
      </c>
      <c r="AA3399" s="7">
        <v>45912</v>
      </c>
      <c r="AC3399" s="8">
        <v>0</v>
      </c>
      <c r="AE3399" s="7">
        <v>45917</v>
      </c>
      <c r="AF3399" s="8">
        <v>0</v>
      </c>
      <c r="AH3399" s="7">
        <v>46037</v>
      </c>
      <c r="AN3399" s="8">
        <v>0</v>
      </c>
      <c r="AO3399" s="8">
        <v>160</v>
      </c>
    </row>
    <row r="3400" spans="1:41" x14ac:dyDescent="0.25">
      <c r="A3400" s="6" t="str">
        <f>"525-2025000369"</f>
        <v>525-2025000369</v>
      </c>
      <c r="B3400" s="6" t="str">
        <f>"KLEINMAN"</f>
        <v>KLEINMAN</v>
      </c>
      <c r="C3400" s="7">
        <v>45846</v>
      </c>
      <c r="D3400" s="7">
        <v>46037</v>
      </c>
      <c r="E3400" s="8">
        <v>2</v>
      </c>
      <c r="F3400" s="6" t="str">
        <f>"Flair"</f>
        <v>Flair</v>
      </c>
      <c r="G3400" s="6" t="str">
        <f>"F161004115000000"</f>
        <v>F161004115000000</v>
      </c>
      <c r="H3400" s="6" t="str">
        <f>"TA 41 - FLAIR - 1500"</f>
        <v>TA 41 - FLAIR - 1500</v>
      </c>
      <c r="I3400" s="6" t="str">
        <f>"2132"</f>
        <v>2132</v>
      </c>
      <c r="J3400" s="6" t="str">
        <f>"BEGE 2132"</f>
        <v>BEGE 2132</v>
      </c>
      <c r="K3400" s="6" t="str">
        <f>"3015"</f>
        <v>3015</v>
      </c>
      <c r="L3400" s="6" t="str">
        <f>"Tapetes"</f>
        <v>Tapetes</v>
      </c>
      <c r="M3400" s="6" t="str">
        <f>"60x100"</f>
        <v>60x100</v>
      </c>
      <c r="N3400" s="6" t="str">
        <f>"5605247502604"</f>
        <v>5605247502604</v>
      </c>
      <c r="O3400" s="8">
        <v>80</v>
      </c>
      <c r="P3400" s="7">
        <v>45863</v>
      </c>
      <c r="R3400" s="8">
        <v>504</v>
      </c>
      <c r="S3400" s="7">
        <v>45868</v>
      </c>
      <c r="U3400" s="8">
        <v>108</v>
      </c>
      <c r="V3400" s="7">
        <v>45898</v>
      </c>
      <c r="X3400" s="8">
        <v>0</v>
      </c>
      <c r="Z3400" s="8">
        <v>108</v>
      </c>
      <c r="AA3400" s="7">
        <v>45912</v>
      </c>
      <c r="AC3400" s="8">
        <v>0</v>
      </c>
      <c r="AE3400" s="7">
        <v>45917</v>
      </c>
      <c r="AF3400" s="8">
        <v>0</v>
      </c>
      <c r="AH3400" s="7">
        <v>46037</v>
      </c>
      <c r="AN3400" s="8">
        <v>0</v>
      </c>
      <c r="AO3400" s="8">
        <v>80</v>
      </c>
    </row>
    <row r="3401" spans="1:41" x14ac:dyDescent="0.25">
      <c r="A3401" s="6" t="str">
        <f>"525-2025000369"</f>
        <v>525-2025000369</v>
      </c>
      <c r="B3401" s="6" t="str">
        <f>"KLEINMAN"</f>
        <v>KLEINMAN</v>
      </c>
      <c r="C3401" s="7">
        <v>45846</v>
      </c>
      <c r="D3401" s="7">
        <v>46037</v>
      </c>
      <c r="E3401" s="8">
        <v>3</v>
      </c>
      <c r="F3401" s="6" t="str">
        <f>"Flair"</f>
        <v>Flair</v>
      </c>
      <c r="G3401" s="6" t="str">
        <f>"F161004115000000"</f>
        <v>F161004115000000</v>
      </c>
      <c r="H3401" s="6" t="str">
        <f>"TA 41 - FLAIR - 1500"</f>
        <v>TA 41 - FLAIR - 1500</v>
      </c>
      <c r="I3401" s="6" t="str">
        <f>"2620"</f>
        <v>2620</v>
      </c>
      <c r="J3401" s="6" t="str">
        <f>"CINZA 2620"</f>
        <v>CINZA 2620</v>
      </c>
      <c r="K3401" s="6" t="str">
        <f>"3015"</f>
        <v>3015</v>
      </c>
      <c r="L3401" s="6" t="str">
        <f>"Tapetes"</f>
        <v>Tapetes</v>
      </c>
      <c r="M3401" s="6" t="str">
        <f>"60x100"</f>
        <v>60x100</v>
      </c>
      <c r="N3401" s="6" t="str">
        <f>"5605247544703"</f>
        <v>5605247544703</v>
      </c>
      <c r="O3401" s="8">
        <v>120</v>
      </c>
      <c r="P3401" s="7">
        <v>45863</v>
      </c>
      <c r="R3401" s="8">
        <v>0</v>
      </c>
      <c r="S3401" s="7">
        <v>45868</v>
      </c>
      <c r="U3401" s="8">
        <v>144</v>
      </c>
      <c r="V3401" s="7">
        <v>45898</v>
      </c>
      <c r="X3401" s="8">
        <v>0</v>
      </c>
      <c r="Z3401" s="8">
        <v>144</v>
      </c>
      <c r="AA3401" s="7">
        <v>45912</v>
      </c>
      <c r="AC3401" s="8">
        <v>0</v>
      </c>
      <c r="AE3401" s="7">
        <v>45917</v>
      </c>
      <c r="AF3401" s="8">
        <v>0</v>
      </c>
      <c r="AH3401" s="7">
        <v>46037</v>
      </c>
      <c r="AN3401" s="8">
        <v>0</v>
      </c>
      <c r="AO3401" s="8">
        <v>120</v>
      </c>
    </row>
    <row r="3402" spans="1:41" x14ac:dyDescent="0.25">
      <c r="A3402" s="6" t="str">
        <f>"525-2025000369"</f>
        <v>525-2025000369</v>
      </c>
      <c r="B3402" s="6" t="str">
        <f>"KLEINMAN"</f>
        <v>KLEINMAN</v>
      </c>
      <c r="C3402" s="7">
        <v>45846</v>
      </c>
      <c r="D3402" s="7">
        <v>46037</v>
      </c>
      <c r="E3402" s="8">
        <v>4</v>
      </c>
      <c r="F3402" s="6" t="str">
        <f>"Flair"</f>
        <v>Flair</v>
      </c>
      <c r="G3402" s="6" t="str">
        <f>"F161004115000000"</f>
        <v>F161004115000000</v>
      </c>
      <c r="H3402" s="6" t="str">
        <f>"TA 41 - FLAIR - 1500"</f>
        <v>TA 41 - FLAIR - 1500</v>
      </c>
      <c r="I3402" s="6" t="str">
        <f>"3"</f>
        <v>3</v>
      </c>
      <c r="J3402" s="6" t="str">
        <f>"PRETO Sulf"</f>
        <v>PRETO Sulf</v>
      </c>
      <c r="K3402" s="6" t="str">
        <f>"3011"</f>
        <v>3011</v>
      </c>
      <c r="L3402" s="6" t="str">
        <f>"Tapetes"</f>
        <v>Tapetes</v>
      </c>
      <c r="M3402" s="6" t="str">
        <f>"60x60"</f>
        <v>60x60</v>
      </c>
      <c r="N3402" s="6" t="str">
        <f>"5605247615618"</f>
        <v>5605247615618</v>
      </c>
      <c r="O3402" s="8">
        <v>80</v>
      </c>
      <c r="P3402" s="7">
        <v>45863</v>
      </c>
      <c r="R3402" s="8">
        <v>96</v>
      </c>
      <c r="S3402" s="7">
        <v>45868</v>
      </c>
      <c r="U3402" s="8">
        <v>96</v>
      </c>
      <c r="V3402" s="7">
        <v>45898</v>
      </c>
      <c r="X3402" s="8">
        <v>0</v>
      </c>
      <c r="Z3402" s="8">
        <v>96</v>
      </c>
      <c r="AA3402" s="7">
        <v>45912</v>
      </c>
      <c r="AC3402" s="8">
        <v>0</v>
      </c>
      <c r="AE3402" s="7">
        <v>45917</v>
      </c>
      <c r="AF3402" s="8">
        <v>0</v>
      </c>
      <c r="AH3402" s="7">
        <v>46037</v>
      </c>
      <c r="AN3402" s="8">
        <v>0</v>
      </c>
      <c r="AO3402" s="8">
        <v>80</v>
      </c>
    </row>
    <row r="3403" spans="1:41" x14ac:dyDescent="0.25">
      <c r="A3403" s="6" t="str">
        <f>"525-2025000369"</f>
        <v>525-2025000369</v>
      </c>
      <c r="B3403" s="6" t="str">
        <f>"KLEINMAN"</f>
        <v>KLEINMAN</v>
      </c>
      <c r="C3403" s="7">
        <v>45846</v>
      </c>
      <c r="D3403" s="7">
        <v>46037</v>
      </c>
      <c r="E3403" s="8">
        <v>5</v>
      </c>
      <c r="F3403" s="6" t="str">
        <f>"Flair"</f>
        <v>Flair</v>
      </c>
      <c r="G3403" s="6" t="str">
        <f>"F161004115000000"</f>
        <v>F161004115000000</v>
      </c>
      <c r="H3403" s="6" t="str">
        <f>"TA 41 - FLAIR - 1500"</f>
        <v>TA 41 - FLAIR - 1500</v>
      </c>
      <c r="I3403" s="6" t="str">
        <f>"3"</f>
        <v>3</v>
      </c>
      <c r="J3403" s="6" t="str">
        <f>"PRETO Sulf"</f>
        <v>PRETO Sulf</v>
      </c>
      <c r="K3403" s="6" t="str">
        <f>"3015"</f>
        <v>3015</v>
      </c>
      <c r="L3403" s="6" t="str">
        <f>"Tapetes"</f>
        <v>Tapetes</v>
      </c>
      <c r="M3403" s="6" t="str">
        <f>"60x100"</f>
        <v>60x100</v>
      </c>
      <c r="N3403" s="6" t="str">
        <f>"5605247615625"</f>
        <v>5605247615625</v>
      </c>
      <c r="O3403" s="8">
        <v>60</v>
      </c>
      <c r="P3403" s="7">
        <v>45863</v>
      </c>
      <c r="R3403" s="8">
        <v>0</v>
      </c>
      <c r="S3403" s="7">
        <v>45868</v>
      </c>
      <c r="U3403" s="8">
        <v>72</v>
      </c>
      <c r="V3403" s="7">
        <v>45898</v>
      </c>
      <c r="X3403" s="8">
        <v>0</v>
      </c>
      <c r="Z3403" s="8">
        <v>72</v>
      </c>
      <c r="AA3403" s="7">
        <v>45912</v>
      </c>
      <c r="AC3403" s="8">
        <v>0</v>
      </c>
      <c r="AE3403" s="7">
        <v>45917</v>
      </c>
      <c r="AF3403" s="8">
        <v>0</v>
      </c>
      <c r="AH3403" s="7">
        <v>46037</v>
      </c>
      <c r="AN3403" s="8">
        <v>0</v>
      </c>
      <c r="AO3403" s="8">
        <v>60</v>
      </c>
    </row>
    <row r="3404" spans="1:41" x14ac:dyDescent="0.25">
      <c r="A3404" s="6" t="str">
        <f t="shared" ref="A3404:A3410" si="812">"525-2025000370"</f>
        <v>525-2025000370</v>
      </c>
      <c r="B3404" s="6" t="str">
        <f t="shared" ref="B3404:B3435" si="813">"Lasa Int"</f>
        <v>Lasa Int</v>
      </c>
      <c r="C3404" s="7">
        <v>45847</v>
      </c>
      <c r="D3404" s="7">
        <v>46033</v>
      </c>
      <c r="E3404" s="8">
        <v>1</v>
      </c>
      <c r="F3404" s="6" t="str">
        <f t="shared" ref="F3404:F3410" si="814">"Softy"</f>
        <v>Softy</v>
      </c>
      <c r="G3404" s="6" t="str">
        <f t="shared" ref="G3404:G3410" si="815">"F110271050000000"</f>
        <v>F110271050000000</v>
      </c>
      <c r="H3404" s="6" t="str">
        <f t="shared" ref="H3404:H3410" si="816">"FAJ 2710 (SOFTY) - 5"</f>
        <v>FAJ 2710 (SOFTY) - 5</v>
      </c>
      <c r="I3404" s="6" t="str">
        <f>"1"</f>
        <v>1</v>
      </c>
      <c r="J3404" s="6" t="str">
        <f>"BRANCO"</f>
        <v>BRANCO</v>
      </c>
      <c r="K3404" s="6" t="str">
        <f>"1024"</f>
        <v>1024</v>
      </c>
      <c r="L3404" s="6" t="str">
        <f>"Toalhas"</f>
        <v>Toalhas</v>
      </c>
      <c r="M3404" s="6" t="str">
        <f>"50x100"</f>
        <v>50x100</v>
      </c>
      <c r="N3404" s="6" t="str">
        <f>"5602972644036"</f>
        <v>5602972644036</v>
      </c>
      <c r="O3404" s="8">
        <v>480</v>
      </c>
      <c r="P3404" s="7">
        <v>45847</v>
      </c>
      <c r="R3404" s="8">
        <v>0</v>
      </c>
      <c r="S3404" s="7">
        <v>45852</v>
      </c>
      <c r="U3404" s="8">
        <v>512</v>
      </c>
      <c r="V3404" s="7">
        <v>45861</v>
      </c>
      <c r="X3404" s="8">
        <v>0</v>
      </c>
      <c r="Z3404" s="8">
        <v>512</v>
      </c>
      <c r="AA3404" s="7">
        <v>45873</v>
      </c>
      <c r="AC3404" s="8">
        <v>564</v>
      </c>
      <c r="AE3404" s="7">
        <v>45875</v>
      </c>
      <c r="AF3404" s="8">
        <v>564</v>
      </c>
      <c r="AH3404" s="7">
        <v>45875</v>
      </c>
      <c r="AN3404" s="8">
        <v>564</v>
      </c>
      <c r="AO3404" s="8">
        <v>-84</v>
      </c>
    </row>
    <row r="3405" spans="1:41" x14ac:dyDescent="0.25">
      <c r="A3405" s="6" t="str">
        <f t="shared" si="812"/>
        <v>525-2025000370</v>
      </c>
      <c r="B3405" s="6" t="str">
        <f t="shared" si="813"/>
        <v>Lasa Int</v>
      </c>
      <c r="C3405" s="7">
        <v>45847</v>
      </c>
      <c r="D3405" s="7">
        <v>46033</v>
      </c>
      <c r="E3405" s="8">
        <v>2</v>
      </c>
      <c r="F3405" s="6" t="str">
        <f t="shared" si="814"/>
        <v>Softy</v>
      </c>
      <c r="G3405" s="6" t="str">
        <f t="shared" si="815"/>
        <v>F110271050000000</v>
      </c>
      <c r="H3405" s="6" t="str">
        <f t="shared" si="816"/>
        <v>FAJ 2710 (SOFTY) - 5</v>
      </c>
      <c r="I3405" s="6" t="str">
        <f>"1"</f>
        <v>1</v>
      </c>
      <c r="J3405" s="6" t="str">
        <f>"BRANCO"</f>
        <v>BRANCO</v>
      </c>
      <c r="K3405" s="6" t="str">
        <f>"1535"</f>
        <v>1535</v>
      </c>
      <c r="L3405" s="6" t="str">
        <f>"Toalhões"</f>
        <v>Toalhões</v>
      </c>
      <c r="M3405" s="6" t="str">
        <f>"70x140"</f>
        <v>70x140</v>
      </c>
      <c r="N3405" s="6" t="str">
        <f>"5602972644043"</f>
        <v>5602972644043</v>
      </c>
      <c r="O3405" s="8">
        <v>120</v>
      </c>
      <c r="P3405" s="7">
        <v>45847</v>
      </c>
      <c r="R3405" s="8">
        <v>0</v>
      </c>
      <c r="S3405" s="7">
        <v>45852</v>
      </c>
      <c r="U3405" s="8">
        <v>120</v>
      </c>
      <c r="V3405" s="7">
        <v>45861</v>
      </c>
      <c r="X3405" s="8">
        <v>0</v>
      </c>
      <c r="Z3405" s="8">
        <v>120</v>
      </c>
      <c r="AA3405" s="7">
        <v>45873</v>
      </c>
      <c r="AC3405" s="8">
        <v>229</v>
      </c>
      <c r="AE3405" s="7">
        <v>45875</v>
      </c>
      <c r="AF3405" s="8">
        <v>229</v>
      </c>
      <c r="AH3405" s="7">
        <v>45875</v>
      </c>
      <c r="AN3405" s="8">
        <v>229</v>
      </c>
      <c r="AO3405" s="8">
        <v>-109</v>
      </c>
    </row>
    <row r="3406" spans="1:41" x14ac:dyDescent="0.25">
      <c r="A3406" s="6" t="str">
        <f t="shared" si="812"/>
        <v>525-2025000370</v>
      </c>
      <c r="B3406" s="6" t="str">
        <f t="shared" si="813"/>
        <v>Lasa Int</v>
      </c>
      <c r="C3406" s="7">
        <v>45847</v>
      </c>
      <c r="D3406" s="7">
        <v>46033</v>
      </c>
      <c r="E3406" s="8">
        <v>3</v>
      </c>
      <c r="F3406" s="6" t="str">
        <f t="shared" si="814"/>
        <v>Softy</v>
      </c>
      <c r="G3406" s="6" t="str">
        <f t="shared" si="815"/>
        <v>F110271050000000</v>
      </c>
      <c r="H3406" s="6" t="str">
        <f t="shared" si="816"/>
        <v>FAJ 2710 (SOFTY) - 5</v>
      </c>
      <c r="I3406" s="6" t="str">
        <f>"1"</f>
        <v>1</v>
      </c>
      <c r="J3406" s="6" t="str">
        <f>"BRANCO"</f>
        <v>BRANCO</v>
      </c>
      <c r="K3406" s="6" t="str">
        <f>"2020"</f>
        <v>2020</v>
      </c>
      <c r="L3406" s="6" t="str">
        <f>"Lençóis"</f>
        <v>Lençóis</v>
      </c>
      <c r="M3406" s="6" t="str">
        <f>"100x150"</f>
        <v>100x150</v>
      </c>
      <c r="N3406" s="6" t="str">
        <f>"5602972644050"</f>
        <v>5602972644050</v>
      </c>
      <c r="O3406" s="8">
        <v>80</v>
      </c>
      <c r="P3406" s="7">
        <v>45847</v>
      </c>
      <c r="R3406" s="8">
        <v>0</v>
      </c>
      <c r="S3406" s="7">
        <v>45852</v>
      </c>
      <c r="U3406" s="8">
        <v>80</v>
      </c>
      <c r="V3406" s="7">
        <v>45861</v>
      </c>
      <c r="X3406" s="8">
        <v>0</v>
      </c>
      <c r="Z3406" s="8">
        <v>80</v>
      </c>
      <c r="AA3406" s="7">
        <v>45873</v>
      </c>
      <c r="AC3406" s="8">
        <v>0</v>
      </c>
      <c r="AE3406" s="7">
        <v>45875</v>
      </c>
      <c r="AF3406" s="8">
        <v>0</v>
      </c>
      <c r="AH3406" s="7">
        <v>45875</v>
      </c>
      <c r="AN3406" s="8">
        <v>0</v>
      </c>
      <c r="AO3406" s="8">
        <v>80</v>
      </c>
    </row>
    <row r="3407" spans="1:41" x14ac:dyDescent="0.25">
      <c r="A3407" s="6" t="str">
        <f t="shared" si="812"/>
        <v>525-2025000370</v>
      </c>
      <c r="B3407" s="6" t="str">
        <f t="shared" si="813"/>
        <v>Lasa Int</v>
      </c>
      <c r="C3407" s="7">
        <v>45847</v>
      </c>
      <c r="D3407" s="7">
        <v>46033</v>
      </c>
      <c r="E3407" s="8">
        <v>4</v>
      </c>
      <c r="F3407" s="6" t="str">
        <f t="shared" si="814"/>
        <v>Softy</v>
      </c>
      <c r="G3407" s="6" t="str">
        <f t="shared" si="815"/>
        <v>F110271050000000</v>
      </c>
      <c r="H3407" s="6" t="str">
        <f t="shared" si="816"/>
        <v>FAJ 2710 (SOFTY) - 5</v>
      </c>
      <c r="I3407" s="6" t="str">
        <f>"1"</f>
        <v>1</v>
      </c>
      <c r="J3407" s="6" t="str">
        <f>"BRANCO"</f>
        <v>BRANCO</v>
      </c>
      <c r="K3407" s="6" t="str">
        <f>"2048"</f>
        <v>2048</v>
      </c>
      <c r="L3407" s="6" t="str">
        <f>"Lençóis"</f>
        <v>Lençóis</v>
      </c>
      <c r="M3407" s="6" t="str">
        <f>"85x200"</f>
        <v>85x200</v>
      </c>
      <c r="N3407" s="6" t="str">
        <f>"5602972644067"</f>
        <v>5602972644067</v>
      </c>
      <c r="O3407" s="8">
        <v>80</v>
      </c>
      <c r="P3407" s="7">
        <v>45847</v>
      </c>
      <c r="R3407" s="8">
        <v>0</v>
      </c>
      <c r="S3407" s="7">
        <v>45852</v>
      </c>
      <c r="U3407" s="8">
        <v>0</v>
      </c>
      <c r="V3407" s="7">
        <v>45861</v>
      </c>
      <c r="X3407" s="8">
        <v>0</v>
      </c>
      <c r="Z3407" s="8">
        <v>0</v>
      </c>
      <c r="AA3407" s="7">
        <v>45873</v>
      </c>
      <c r="AC3407" s="8">
        <v>55</v>
      </c>
      <c r="AE3407" s="7">
        <v>45875</v>
      </c>
      <c r="AF3407" s="8">
        <v>55</v>
      </c>
      <c r="AH3407" s="7">
        <v>45875</v>
      </c>
      <c r="AN3407" s="8">
        <v>55</v>
      </c>
      <c r="AO3407" s="8">
        <v>25</v>
      </c>
    </row>
    <row r="3408" spans="1:41" x14ac:dyDescent="0.25">
      <c r="A3408" s="6" t="str">
        <f t="shared" si="812"/>
        <v>525-2025000370</v>
      </c>
      <c r="B3408" s="6" t="str">
        <f t="shared" si="813"/>
        <v>Lasa Int</v>
      </c>
      <c r="C3408" s="7">
        <v>45847</v>
      </c>
      <c r="D3408" s="7">
        <v>46033</v>
      </c>
      <c r="E3408" s="8">
        <v>5</v>
      </c>
      <c r="F3408" s="6" t="str">
        <f t="shared" si="814"/>
        <v>Softy</v>
      </c>
      <c r="G3408" s="6" t="str">
        <f t="shared" si="815"/>
        <v>F110271050000000</v>
      </c>
      <c r="H3408" s="6" t="str">
        <f t="shared" si="816"/>
        <v>FAJ 2710 (SOFTY) - 5</v>
      </c>
      <c r="I3408" s="6" t="str">
        <f>"2992"</f>
        <v>2992</v>
      </c>
      <c r="J3408" s="6" t="str">
        <f>"CINZA 2992"</f>
        <v>CINZA 2992</v>
      </c>
      <c r="K3408" s="6" t="str">
        <f>"1024"</f>
        <v>1024</v>
      </c>
      <c r="L3408" s="6" t="str">
        <f>"Toalhas"</f>
        <v>Toalhas</v>
      </c>
      <c r="M3408" s="6" t="str">
        <f>"50x100"</f>
        <v>50x100</v>
      </c>
      <c r="N3408" s="6" t="str">
        <f>"5602972644395"</f>
        <v>5602972644395</v>
      </c>
      <c r="O3408" s="8">
        <v>240</v>
      </c>
      <c r="P3408" s="7">
        <v>45847</v>
      </c>
      <c r="R3408" s="8">
        <v>0</v>
      </c>
      <c r="S3408" s="7">
        <v>45852</v>
      </c>
      <c r="U3408" s="8">
        <v>240</v>
      </c>
      <c r="V3408" s="7">
        <v>45861</v>
      </c>
      <c r="X3408" s="8">
        <v>0</v>
      </c>
      <c r="Z3408" s="8">
        <v>240</v>
      </c>
      <c r="AA3408" s="7">
        <v>45873</v>
      </c>
      <c r="AC3408" s="8">
        <v>0</v>
      </c>
      <c r="AE3408" s="7">
        <v>45875</v>
      </c>
      <c r="AF3408" s="8">
        <v>0</v>
      </c>
      <c r="AH3408" s="7">
        <v>45875</v>
      </c>
      <c r="AN3408" s="8">
        <v>0</v>
      </c>
      <c r="AO3408" s="8">
        <v>240</v>
      </c>
    </row>
    <row r="3409" spans="1:41" x14ac:dyDescent="0.25">
      <c r="A3409" s="6" t="str">
        <f t="shared" si="812"/>
        <v>525-2025000370</v>
      </c>
      <c r="B3409" s="6" t="str">
        <f t="shared" si="813"/>
        <v>Lasa Int</v>
      </c>
      <c r="C3409" s="7">
        <v>45847</v>
      </c>
      <c r="D3409" s="7">
        <v>46033</v>
      </c>
      <c r="E3409" s="8">
        <v>6</v>
      </c>
      <c r="F3409" s="6" t="str">
        <f t="shared" si="814"/>
        <v>Softy</v>
      </c>
      <c r="G3409" s="6" t="str">
        <f t="shared" si="815"/>
        <v>F110271050000000</v>
      </c>
      <c r="H3409" s="6" t="str">
        <f t="shared" si="816"/>
        <v>FAJ 2710 (SOFTY) - 5</v>
      </c>
      <c r="I3409" s="6" t="str">
        <f>"2992"</f>
        <v>2992</v>
      </c>
      <c r="J3409" s="6" t="str">
        <f>"CINZA 2992"</f>
        <v>CINZA 2992</v>
      </c>
      <c r="K3409" s="6" t="str">
        <f>"1535"</f>
        <v>1535</v>
      </c>
      <c r="L3409" s="6" t="str">
        <f>"Toalhões"</f>
        <v>Toalhões</v>
      </c>
      <c r="M3409" s="6" t="str">
        <f>"70x140"</f>
        <v>70x140</v>
      </c>
      <c r="N3409" s="6" t="str">
        <f>"5602972644401"</f>
        <v>5602972644401</v>
      </c>
      <c r="O3409" s="8">
        <v>240</v>
      </c>
      <c r="P3409" s="7">
        <v>45847</v>
      </c>
      <c r="R3409" s="8">
        <v>0</v>
      </c>
      <c r="S3409" s="7">
        <v>45852</v>
      </c>
      <c r="U3409" s="8">
        <v>264</v>
      </c>
      <c r="V3409" s="7">
        <v>45861</v>
      </c>
      <c r="X3409" s="8">
        <v>0</v>
      </c>
      <c r="Z3409" s="8">
        <v>264</v>
      </c>
      <c r="AA3409" s="7">
        <v>45873</v>
      </c>
      <c r="AC3409" s="8">
        <v>238</v>
      </c>
      <c r="AE3409" s="7">
        <v>45875</v>
      </c>
      <c r="AF3409" s="8">
        <v>238</v>
      </c>
      <c r="AH3409" s="7">
        <v>45875</v>
      </c>
      <c r="AN3409" s="8">
        <v>220</v>
      </c>
      <c r="AO3409" s="8">
        <v>20</v>
      </c>
    </row>
    <row r="3410" spans="1:41" x14ac:dyDescent="0.25">
      <c r="A3410" s="6" t="str">
        <f t="shared" si="812"/>
        <v>525-2025000370</v>
      </c>
      <c r="B3410" s="6" t="str">
        <f t="shared" si="813"/>
        <v>Lasa Int</v>
      </c>
      <c r="C3410" s="7">
        <v>45847</v>
      </c>
      <c r="D3410" s="7">
        <v>46033</v>
      </c>
      <c r="E3410" s="8">
        <v>7</v>
      </c>
      <c r="F3410" s="6" t="str">
        <f t="shared" si="814"/>
        <v>Softy</v>
      </c>
      <c r="G3410" s="6" t="str">
        <f t="shared" si="815"/>
        <v>F110271050000000</v>
      </c>
      <c r="H3410" s="6" t="str">
        <f t="shared" si="816"/>
        <v>FAJ 2710 (SOFTY) - 5</v>
      </c>
      <c r="I3410" s="6" t="str">
        <f>"2992"</f>
        <v>2992</v>
      </c>
      <c r="J3410" s="6" t="str">
        <f>"CINZA 2992"</f>
        <v>CINZA 2992</v>
      </c>
      <c r="K3410" s="6" t="str">
        <f>"2020"</f>
        <v>2020</v>
      </c>
      <c r="L3410" s="6" t="str">
        <f>"Lençóis"</f>
        <v>Lençóis</v>
      </c>
      <c r="M3410" s="6" t="str">
        <f>"100x150"</f>
        <v>100x150</v>
      </c>
      <c r="N3410" s="6" t="str">
        <f>"5602972644418"</f>
        <v>5602972644418</v>
      </c>
      <c r="O3410" s="8">
        <v>120</v>
      </c>
      <c r="P3410" s="7">
        <v>45847</v>
      </c>
      <c r="R3410" s="8">
        <v>0</v>
      </c>
      <c r="S3410" s="7">
        <v>45852</v>
      </c>
      <c r="U3410" s="8">
        <v>160</v>
      </c>
      <c r="V3410" s="7">
        <v>45861</v>
      </c>
      <c r="X3410" s="8">
        <v>0</v>
      </c>
      <c r="Z3410" s="8">
        <v>160</v>
      </c>
      <c r="AA3410" s="7">
        <v>45873</v>
      </c>
      <c r="AC3410" s="8">
        <v>130</v>
      </c>
      <c r="AE3410" s="7">
        <v>45875</v>
      </c>
      <c r="AF3410" s="8">
        <v>130</v>
      </c>
      <c r="AH3410" s="7">
        <v>45875</v>
      </c>
      <c r="AN3410" s="8">
        <v>130</v>
      </c>
      <c r="AO3410" s="8">
        <v>-10</v>
      </c>
    </row>
    <row r="3411" spans="1:41" x14ac:dyDescent="0.25">
      <c r="A3411" s="6" t="str">
        <f t="shared" ref="A3411:A3418" si="817">"525-2025000377"</f>
        <v>525-2025000377</v>
      </c>
      <c r="B3411" s="6" t="str">
        <f t="shared" si="813"/>
        <v>Lasa Int</v>
      </c>
      <c r="C3411" s="7">
        <v>45853</v>
      </c>
      <c r="D3411" s="7">
        <v>46066</v>
      </c>
      <c r="E3411" s="8">
        <v>5</v>
      </c>
      <c r="F3411" s="6" t="str">
        <f t="shared" ref="F3411:F3418" si="818">"LH - BATHROBES"</f>
        <v>LH - BATHROBES</v>
      </c>
      <c r="G3411" s="6" t="str">
        <f>"R119341832000000"</f>
        <v>R119341832000000</v>
      </c>
      <c r="H3411" s="6" t="str">
        <f>"R 3418 (ALPHA) - Ket"</f>
        <v>R 3418 (ALPHA) - Ket</v>
      </c>
      <c r="I3411" s="6" t="str">
        <f t="shared" ref="I3411:I3418" si="819">"1"</f>
        <v>1</v>
      </c>
      <c r="J3411" s="6" t="str">
        <f t="shared" ref="J3411:J3418" si="820">"BRANCO"</f>
        <v>BRANCO</v>
      </c>
      <c r="K3411" s="6" t="str">
        <f>"5006"</f>
        <v>5006</v>
      </c>
      <c r="L3411" s="6" t="str">
        <f t="shared" ref="L3411:L3418" si="821">"Roupões Adulto"</f>
        <v>Roupões Adulto</v>
      </c>
      <c r="M3411" s="6" t="str">
        <f>"L"</f>
        <v>L</v>
      </c>
      <c r="N3411" s="6" t="str">
        <f>"5602972265781"</f>
        <v>5602972265781</v>
      </c>
      <c r="O3411" s="8">
        <v>80</v>
      </c>
      <c r="P3411" s="7">
        <v>45919</v>
      </c>
      <c r="R3411" s="8">
        <v>0</v>
      </c>
      <c r="S3411" s="7">
        <v>45924</v>
      </c>
      <c r="U3411" s="8">
        <v>380</v>
      </c>
      <c r="V3411" s="7">
        <v>45933</v>
      </c>
      <c r="X3411" s="8">
        <v>380</v>
      </c>
      <c r="Z3411" s="8">
        <v>0</v>
      </c>
      <c r="AA3411" s="7">
        <v>45945</v>
      </c>
      <c r="AC3411" s="8">
        <v>89</v>
      </c>
      <c r="AE3411" s="7">
        <v>45947</v>
      </c>
      <c r="AF3411" s="8">
        <v>89</v>
      </c>
      <c r="AH3411" s="7">
        <v>46066</v>
      </c>
      <c r="AN3411" s="8">
        <v>89</v>
      </c>
      <c r="AO3411" s="8">
        <v>-9</v>
      </c>
    </row>
    <row r="3412" spans="1:41" x14ac:dyDescent="0.25">
      <c r="A3412" s="6" t="str">
        <f t="shared" si="817"/>
        <v>525-2025000377</v>
      </c>
      <c r="B3412" s="6" t="str">
        <f t="shared" si="813"/>
        <v>Lasa Int</v>
      </c>
      <c r="C3412" s="7">
        <v>45853</v>
      </c>
      <c r="D3412" s="7">
        <v>46066</v>
      </c>
      <c r="E3412" s="8">
        <v>6</v>
      </c>
      <c r="F3412" s="6" t="str">
        <f t="shared" si="818"/>
        <v>LH - BATHROBES</v>
      </c>
      <c r="G3412" s="6" t="str">
        <f>"R119341832000000"</f>
        <v>R119341832000000</v>
      </c>
      <c r="H3412" s="6" t="str">
        <f>"R 3418 (ALPHA) - Ket"</f>
        <v>R 3418 (ALPHA) - Ket</v>
      </c>
      <c r="I3412" s="6" t="str">
        <f t="shared" si="819"/>
        <v>1</v>
      </c>
      <c r="J3412" s="6" t="str">
        <f t="shared" si="820"/>
        <v>BRANCO</v>
      </c>
      <c r="K3412" s="6" t="str">
        <f>"5008"</f>
        <v>5008</v>
      </c>
      <c r="L3412" s="6" t="str">
        <f t="shared" si="821"/>
        <v>Roupões Adulto</v>
      </c>
      <c r="M3412" s="6" t="str">
        <f>"XL"</f>
        <v>XL</v>
      </c>
      <c r="N3412" s="6" t="str">
        <f>"5602972265798"</f>
        <v>5602972265798</v>
      </c>
      <c r="O3412" s="8">
        <v>80</v>
      </c>
      <c r="P3412" s="7">
        <v>45919</v>
      </c>
      <c r="R3412" s="8">
        <v>500</v>
      </c>
      <c r="S3412" s="7">
        <v>45924</v>
      </c>
      <c r="U3412" s="8">
        <v>0</v>
      </c>
      <c r="V3412" s="7">
        <v>45933</v>
      </c>
      <c r="X3412" s="8">
        <v>0</v>
      </c>
      <c r="Z3412" s="8">
        <v>0</v>
      </c>
      <c r="AA3412" s="7">
        <v>45945</v>
      </c>
      <c r="AC3412" s="8">
        <v>90</v>
      </c>
      <c r="AE3412" s="7">
        <v>45947</v>
      </c>
      <c r="AF3412" s="8">
        <v>90</v>
      </c>
      <c r="AH3412" s="7">
        <v>46066</v>
      </c>
      <c r="AN3412" s="8">
        <v>90</v>
      </c>
      <c r="AO3412" s="8">
        <v>-10</v>
      </c>
    </row>
    <row r="3413" spans="1:41" x14ac:dyDescent="0.25">
      <c r="A3413" s="6" t="str">
        <f t="shared" si="817"/>
        <v>525-2025000377</v>
      </c>
      <c r="B3413" s="6" t="str">
        <f t="shared" si="813"/>
        <v>Lasa Int</v>
      </c>
      <c r="C3413" s="7">
        <v>45853</v>
      </c>
      <c r="D3413" s="7">
        <v>46066</v>
      </c>
      <c r="E3413" s="8">
        <v>7</v>
      </c>
      <c r="F3413" s="6" t="str">
        <f t="shared" si="818"/>
        <v>LH - BATHROBES</v>
      </c>
      <c r="G3413" s="6" t="str">
        <f>"R130342042000000"</f>
        <v>R130342042000000</v>
      </c>
      <c r="H3413" s="6" t="str">
        <f>"R 3420 (ROYAL CRESEN"</f>
        <v>R 3420 (ROYAL CRESEN</v>
      </c>
      <c r="I3413" s="6" t="str">
        <f t="shared" si="819"/>
        <v>1</v>
      </c>
      <c r="J3413" s="6" t="str">
        <f t="shared" si="820"/>
        <v>BRANCO</v>
      </c>
      <c r="K3413" s="6" t="str">
        <f>"5004"</f>
        <v>5004</v>
      </c>
      <c r="L3413" s="6" t="str">
        <f t="shared" si="821"/>
        <v>Roupões Adulto</v>
      </c>
      <c r="M3413" s="6" t="str">
        <f>"M"</f>
        <v>M</v>
      </c>
      <c r="N3413" s="6" t="str">
        <f>"5602972265866"</f>
        <v>5602972265866</v>
      </c>
      <c r="O3413" s="8">
        <v>80</v>
      </c>
      <c r="P3413" s="7">
        <v>45919</v>
      </c>
      <c r="R3413" s="8">
        <v>0</v>
      </c>
      <c r="S3413" s="7">
        <v>45924</v>
      </c>
      <c r="U3413" s="8">
        <v>314</v>
      </c>
      <c r="V3413" s="7">
        <v>45933</v>
      </c>
      <c r="X3413" s="8">
        <v>314</v>
      </c>
      <c r="Z3413" s="8">
        <v>0</v>
      </c>
      <c r="AA3413" s="7">
        <v>45945</v>
      </c>
      <c r="AC3413" s="8">
        <v>71</v>
      </c>
      <c r="AE3413" s="7">
        <v>45947</v>
      </c>
      <c r="AF3413" s="8">
        <v>71</v>
      </c>
      <c r="AH3413" s="7">
        <v>46066</v>
      </c>
      <c r="AN3413" s="8">
        <v>71</v>
      </c>
      <c r="AO3413" s="8">
        <v>9</v>
      </c>
    </row>
    <row r="3414" spans="1:41" x14ac:dyDescent="0.25">
      <c r="A3414" s="6" t="str">
        <f t="shared" si="817"/>
        <v>525-2025000377</v>
      </c>
      <c r="B3414" s="6" t="str">
        <f t="shared" si="813"/>
        <v>Lasa Int</v>
      </c>
      <c r="C3414" s="7">
        <v>45853</v>
      </c>
      <c r="D3414" s="7">
        <v>46066</v>
      </c>
      <c r="E3414" s="8">
        <v>8</v>
      </c>
      <c r="F3414" s="6" t="str">
        <f t="shared" si="818"/>
        <v>LH - BATHROBES</v>
      </c>
      <c r="G3414" s="6" t="str">
        <f>"R130342042000000"</f>
        <v>R130342042000000</v>
      </c>
      <c r="H3414" s="6" t="str">
        <f>"R 3420 (ROYAL CRESEN"</f>
        <v>R 3420 (ROYAL CRESEN</v>
      </c>
      <c r="I3414" s="6" t="str">
        <f t="shared" si="819"/>
        <v>1</v>
      </c>
      <c r="J3414" s="6" t="str">
        <f t="shared" si="820"/>
        <v>BRANCO</v>
      </c>
      <c r="K3414" s="6" t="str">
        <f>"5008"</f>
        <v>5008</v>
      </c>
      <c r="L3414" s="6" t="str">
        <f t="shared" si="821"/>
        <v>Roupões Adulto</v>
      </c>
      <c r="M3414" s="6" t="str">
        <f>"XL"</f>
        <v>XL</v>
      </c>
      <c r="N3414" s="6" t="str">
        <f>"5602972265880"</f>
        <v>5602972265880</v>
      </c>
      <c r="O3414" s="8">
        <v>30</v>
      </c>
      <c r="P3414" s="7">
        <v>45919</v>
      </c>
      <c r="R3414" s="8">
        <v>314</v>
      </c>
      <c r="S3414" s="7">
        <v>45924</v>
      </c>
      <c r="U3414" s="8">
        <v>0</v>
      </c>
      <c r="V3414" s="7">
        <v>45933</v>
      </c>
      <c r="X3414" s="8">
        <v>0</v>
      </c>
      <c r="Z3414" s="8">
        <v>0</v>
      </c>
      <c r="AA3414" s="7">
        <v>45945</v>
      </c>
      <c r="AC3414" s="8">
        <v>31</v>
      </c>
      <c r="AE3414" s="7">
        <v>45947</v>
      </c>
      <c r="AF3414" s="8">
        <v>31</v>
      </c>
      <c r="AH3414" s="7">
        <v>46066</v>
      </c>
      <c r="AN3414" s="8">
        <v>31</v>
      </c>
      <c r="AO3414" s="8">
        <v>-1</v>
      </c>
    </row>
    <row r="3415" spans="1:41" x14ac:dyDescent="0.25">
      <c r="A3415" s="6" t="str">
        <f t="shared" si="817"/>
        <v>525-2025000377</v>
      </c>
      <c r="B3415" s="6" t="str">
        <f t="shared" si="813"/>
        <v>Lasa Int</v>
      </c>
      <c r="C3415" s="7">
        <v>45853</v>
      </c>
      <c r="D3415" s="7">
        <v>46066</v>
      </c>
      <c r="E3415" s="8">
        <v>9</v>
      </c>
      <c r="F3415" s="6" t="str">
        <f t="shared" si="818"/>
        <v>LH - BATHROBES</v>
      </c>
      <c r="G3415" s="6" t="str">
        <f>"R130342042000000"</f>
        <v>R130342042000000</v>
      </c>
      <c r="H3415" s="6" t="str">
        <f>"R 3420 (ROYAL CRESEN"</f>
        <v>R 3420 (ROYAL CRESEN</v>
      </c>
      <c r="I3415" s="6" t="str">
        <f t="shared" si="819"/>
        <v>1</v>
      </c>
      <c r="J3415" s="6" t="str">
        <f t="shared" si="820"/>
        <v>BRANCO</v>
      </c>
      <c r="K3415" s="6" t="str">
        <f>"5006"</f>
        <v>5006</v>
      </c>
      <c r="L3415" s="6" t="str">
        <f t="shared" si="821"/>
        <v>Roupões Adulto</v>
      </c>
      <c r="M3415" s="6" t="str">
        <f>"L"</f>
        <v>L</v>
      </c>
      <c r="N3415" s="6" t="str">
        <f>"5602972265873"</f>
        <v>5602972265873</v>
      </c>
      <c r="O3415" s="8">
        <v>50</v>
      </c>
      <c r="P3415" s="7">
        <v>45919</v>
      </c>
      <c r="R3415" s="8">
        <v>0</v>
      </c>
      <c r="S3415" s="7">
        <v>45924</v>
      </c>
      <c r="U3415" s="8">
        <v>0</v>
      </c>
      <c r="V3415" s="7">
        <v>45933</v>
      </c>
      <c r="X3415" s="8">
        <v>0</v>
      </c>
      <c r="Z3415" s="8">
        <v>0</v>
      </c>
      <c r="AA3415" s="7">
        <v>45945</v>
      </c>
      <c r="AC3415" s="8">
        <v>53</v>
      </c>
      <c r="AE3415" s="7">
        <v>45947</v>
      </c>
      <c r="AF3415" s="8">
        <v>53</v>
      </c>
      <c r="AH3415" s="7">
        <v>46066</v>
      </c>
      <c r="AN3415" s="8">
        <v>53</v>
      </c>
      <c r="AO3415" s="8">
        <v>-3</v>
      </c>
    </row>
    <row r="3416" spans="1:41" x14ac:dyDescent="0.25">
      <c r="A3416" s="6" t="str">
        <f t="shared" si="817"/>
        <v>525-2025000377</v>
      </c>
      <c r="B3416" s="6" t="str">
        <f t="shared" si="813"/>
        <v>Lasa Int</v>
      </c>
      <c r="C3416" s="7">
        <v>45853</v>
      </c>
      <c r="D3416" s="7">
        <v>46066</v>
      </c>
      <c r="E3416" s="8">
        <v>10</v>
      </c>
      <c r="F3416" s="6" t="str">
        <f t="shared" si="818"/>
        <v>LH - BATHROBES</v>
      </c>
      <c r="G3416" s="6" t="str">
        <f>"R119341340000000"</f>
        <v>R119341340000000</v>
      </c>
      <c r="H3416" s="6" t="str">
        <f>"R 3413 (HOLANDA) - K"</f>
        <v>R 3413 (HOLANDA) - K</v>
      </c>
      <c r="I3416" s="6" t="str">
        <f t="shared" si="819"/>
        <v>1</v>
      </c>
      <c r="J3416" s="6" t="str">
        <f t="shared" si="820"/>
        <v>BRANCO</v>
      </c>
      <c r="K3416" s="6" t="str">
        <f>"5006"</f>
        <v>5006</v>
      </c>
      <c r="L3416" s="6" t="str">
        <f t="shared" si="821"/>
        <v>Roupões Adulto</v>
      </c>
      <c r="M3416" s="6" t="str">
        <f>"L"</f>
        <v>L</v>
      </c>
      <c r="N3416" s="6" t="str">
        <f>"5602972273472"</f>
        <v>5602972273472</v>
      </c>
      <c r="O3416" s="8">
        <v>80</v>
      </c>
      <c r="P3416" s="7">
        <v>45919</v>
      </c>
      <c r="R3416" s="8">
        <v>877</v>
      </c>
      <c r="S3416" s="7">
        <v>45924</v>
      </c>
      <c r="U3416" s="8">
        <v>0</v>
      </c>
      <c r="V3416" s="7">
        <v>45933</v>
      </c>
      <c r="X3416" s="8">
        <v>0</v>
      </c>
      <c r="Z3416" s="8">
        <v>0</v>
      </c>
      <c r="AA3416" s="7">
        <v>45945</v>
      </c>
      <c r="AC3416" s="8">
        <v>0</v>
      </c>
      <c r="AE3416" s="7">
        <v>45947</v>
      </c>
      <c r="AF3416" s="8">
        <v>0</v>
      </c>
      <c r="AH3416" s="7">
        <v>46066</v>
      </c>
      <c r="AN3416" s="8">
        <v>0</v>
      </c>
      <c r="AO3416" s="8">
        <v>80</v>
      </c>
    </row>
    <row r="3417" spans="1:41" x14ac:dyDescent="0.25">
      <c r="A3417" s="6" t="str">
        <f t="shared" si="817"/>
        <v>525-2025000377</v>
      </c>
      <c r="B3417" s="6" t="str">
        <f t="shared" si="813"/>
        <v>Lasa Int</v>
      </c>
      <c r="C3417" s="7">
        <v>45853</v>
      </c>
      <c r="D3417" s="7">
        <v>46066</v>
      </c>
      <c r="E3417" s="8">
        <v>11</v>
      </c>
      <c r="F3417" s="6" t="str">
        <f t="shared" si="818"/>
        <v>LH - BATHROBES</v>
      </c>
      <c r="G3417" s="6" t="str">
        <f>"R119341440000000"</f>
        <v>R119341440000000</v>
      </c>
      <c r="H3417" s="6" t="str">
        <f>"R 3414 (HOLANDA) - K"</f>
        <v>R 3414 (HOLANDA) - K</v>
      </c>
      <c r="I3417" s="6" t="str">
        <f t="shared" si="819"/>
        <v>1</v>
      </c>
      <c r="J3417" s="6" t="str">
        <f t="shared" si="820"/>
        <v>BRANCO</v>
      </c>
      <c r="K3417" s="6" t="str">
        <f>"5008"</f>
        <v>5008</v>
      </c>
      <c r="L3417" s="6" t="str">
        <f t="shared" si="821"/>
        <v>Roupões Adulto</v>
      </c>
      <c r="M3417" s="6" t="str">
        <f>"XL"</f>
        <v>XL</v>
      </c>
      <c r="N3417" s="6" t="str">
        <f>"5602972265552"</f>
        <v>5602972265552</v>
      </c>
      <c r="O3417" s="8">
        <v>60</v>
      </c>
      <c r="P3417" s="7">
        <v>45919</v>
      </c>
      <c r="R3417" s="8">
        <v>0</v>
      </c>
      <c r="S3417" s="7">
        <v>45924</v>
      </c>
      <c r="U3417" s="8">
        <v>0</v>
      </c>
      <c r="V3417" s="7">
        <v>45933</v>
      </c>
      <c r="X3417" s="8">
        <v>0</v>
      </c>
      <c r="Z3417" s="8">
        <v>0</v>
      </c>
      <c r="AA3417" s="7">
        <v>45945</v>
      </c>
      <c r="AC3417" s="8">
        <v>0</v>
      </c>
      <c r="AE3417" s="7">
        <v>45947</v>
      </c>
      <c r="AF3417" s="8">
        <v>0</v>
      </c>
      <c r="AH3417" s="7">
        <v>46066</v>
      </c>
      <c r="AN3417" s="8">
        <v>0</v>
      </c>
      <c r="AO3417" s="8">
        <v>60</v>
      </c>
    </row>
    <row r="3418" spans="1:41" x14ac:dyDescent="0.25">
      <c r="A3418" s="6" t="str">
        <f t="shared" si="817"/>
        <v>525-2025000377</v>
      </c>
      <c r="B3418" s="6" t="str">
        <f t="shared" si="813"/>
        <v>Lasa Int</v>
      </c>
      <c r="C3418" s="7">
        <v>45853</v>
      </c>
      <c r="D3418" s="7">
        <v>46066</v>
      </c>
      <c r="E3418" s="8">
        <v>12</v>
      </c>
      <c r="F3418" s="6" t="str">
        <f t="shared" si="818"/>
        <v>LH - BATHROBES</v>
      </c>
      <c r="G3418" s="6" t="str">
        <f>"R119341440000000"</f>
        <v>R119341440000000</v>
      </c>
      <c r="H3418" s="6" t="str">
        <f>"R 3414 (HOLANDA) - K"</f>
        <v>R 3414 (HOLANDA) - K</v>
      </c>
      <c r="I3418" s="6" t="str">
        <f t="shared" si="819"/>
        <v>1</v>
      </c>
      <c r="J3418" s="6" t="str">
        <f t="shared" si="820"/>
        <v>BRANCO</v>
      </c>
      <c r="K3418" s="6" t="str">
        <f>"5004"</f>
        <v>5004</v>
      </c>
      <c r="L3418" s="6" t="str">
        <f t="shared" si="821"/>
        <v>Roupões Adulto</v>
      </c>
      <c r="M3418" s="6" t="str">
        <f>"M"</f>
        <v>M</v>
      </c>
      <c r="N3418" s="6" t="str">
        <f>"5602972265538"</f>
        <v>5602972265538</v>
      </c>
      <c r="O3418" s="8">
        <v>30</v>
      </c>
      <c r="P3418" s="7">
        <v>45919</v>
      </c>
      <c r="R3418" s="8">
        <v>0</v>
      </c>
      <c r="S3418" s="7">
        <v>45924</v>
      </c>
      <c r="U3418" s="8">
        <v>538</v>
      </c>
      <c r="V3418" s="7">
        <v>45933</v>
      </c>
      <c r="X3418" s="8">
        <v>538</v>
      </c>
      <c r="Z3418" s="8">
        <v>0</v>
      </c>
      <c r="AA3418" s="7">
        <v>45945</v>
      </c>
      <c r="AC3418" s="8">
        <v>0</v>
      </c>
      <c r="AE3418" s="7">
        <v>45947</v>
      </c>
      <c r="AF3418" s="8">
        <v>0</v>
      </c>
      <c r="AH3418" s="7">
        <v>46066</v>
      </c>
      <c r="AN3418" s="8">
        <v>0</v>
      </c>
      <c r="AO3418" s="8">
        <v>30</v>
      </c>
    </row>
    <row r="3419" spans="1:41" x14ac:dyDescent="0.25">
      <c r="A3419" s="6" t="str">
        <f t="shared" ref="A3419:A3426" si="822">"525-2025000379"</f>
        <v>525-2025000379</v>
      </c>
      <c r="B3419" s="6" t="str">
        <f t="shared" si="813"/>
        <v>Lasa Int</v>
      </c>
      <c r="C3419" s="7">
        <v>45854</v>
      </c>
      <c r="D3419" s="7">
        <v>46051</v>
      </c>
      <c r="E3419" s="8">
        <v>1</v>
      </c>
      <c r="F3419" s="6" t="str">
        <f t="shared" ref="F3419:F3426" si="823">"PURE it"</f>
        <v>PURE it</v>
      </c>
      <c r="G3419" s="6" t="str">
        <f t="shared" ref="G3419:G3426" si="824">"F100021455000009"</f>
        <v>F100021455000009</v>
      </c>
      <c r="H3419" s="6" t="str">
        <f t="shared" ref="H3419:H3426" si="825">"FA 214 - PURE it - 5"</f>
        <v>FA 214 - PURE it - 5</v>
      </c>
      <c r="I3419" s="6" t="str">
        <f>"2094"</f>
        <v>2094</v>
      </c>
      <c r="J3419" s="6" t="str">
        <f>"AZUL 2094"</f>
        <v>AZUL 2094</v>
      </c>
      <c r="K3419" s="6" t="str">
        <f>"0518"</f>
        <v>0518</v>
      </c>
      <c r="L3419" s="6" t="str">
        <f>"Toalhetes"</f>
        <v>Toalhetes</v>
      </c>
      <c r="M3419" s="6" t="str">
        <f>"40x60"</f>
        <v>40x60</v>
      </c>
      <c r="N3419" s="6" t="str">
        <f>"5602972627145"</f>
        <v>5602972627145</v>
      </c>
      <c r="O3419" s="8">
        <v>240</v>
      </c>
      <c r="P3419" s="7">
        <v>45854</v>
      </c>
      <c r="R3419" s="8">
        <v>1876</v>
      </c>
      <c r="S3419" s="7">
        <v>45859</v>
      </c>
      <c r="U3419" s="8">
        <v>324</v>
      </c>
      <c r="V3419" s="7">
        <v>45870</v>
      </c>
      <c r="X3419" s="8">
        <v>0</v>
      </c>
      <c r="Z3419" s="8">
        <v>324</v>
      </c>
      <c r="AA3419" s="7">
        <v>45903</v>
      </c>
      <c r="AC3419" s="8">
        <v>313</v>
      </c>
      <c r="AE3419" s="7">
        <v>45908</v>
      </c>
      <c r="AF3419" s="8">
        <v>313</v>
      </c>
      <c r="AH3419" s="7">
        <v>46037</v>
      </c>
      <c r="AN3419" s="8">
        <v>313</v>
      </c>
      <c r="AO3419" s="8">
        <v>-73</v>
      </c>
    </row>
    <row r="3420" spans="1:41" x14ac:dyDescent="0.25">
      <c r="A3420" s="6" t="str">
        <f t="shared" si="822"/>
        <v>525-2025000379</v>
      </c>
      <c r="B3420" s="6" t="str">
        <f t="shared" si="813"/>
        <v>Lasa Int</v>
      </c>
      <c r="C3420" s="7">
        <v>45854</v>
      </c>
      <c r="D3420" s="7">
        <v>46051</v>
      </c>
      <c r="E3420" s="8">
        <v>2</v>
      </c>
      <c r="F3420" s="6" t="str">
        <f t="shared" si="823"/>
        <v>PURE it</v>
      </c>
      <c r="G3420" s="6" t="str">
        <f t="shared" si="824"/>
        <v>F100021455000009</v>
      </c>
      <c r="H3420" s="6" t="str">
        <f t="shared" si="825"/>
        <v>FA 214 - PURE it - 5</v>
      </c>
      <c r="I3420" s="6" t="str">
        <f>"2094"</f>
        <v>2094</v>
      </c>
      <c r="J3420" s="6" t="str">
        <f>"AZUL 2094"</f>
        <v>AZUL 2094</v>
      </c>
      <c r="K3420" s="6" t="str">
        <f>"1071"</f>
        <v>1071</v>
      </c>
      <c r="L3420" s="6" t="str">
        <f>"Toalhas"</f>
        <v>Toalhas</v>
      </c>
      <c r="M3420" s="6" t="str">
        <f>"60x110"</f>
        <v>60x110</v>
      </c>
      <c r="N3420" s="6" t="str">
        <f>"5602972627152"</f>
        <v>5602972627152</v>
      </c>
      <c r="O3420" s="8">
        <v>240</v>
      </c>
      <c r="P3420" s="7">
        <v>45854</v>
      </c>
      <c r="R3420" s="8">
        <v>1728</v>
      </c>
      <c r="S3420" s="7">
        <v>45859</v>
      </c>
      <c r="U3420" s="8">
        <v>330</v>
      </c>
      <c r="V3420" s="7">
        <v>45870</v>
      </c>
      <c r="X3420" s="8">
        <v>0</v>
      </c>
      <c r="Z3420" s="8">
        <v>330</v>
      </c>
      <c r="AA3420" s="7">
        <v>45903</v>
      </c>
      <c r="AC3420" s="8">
        <v>313</v>
      </c>
      <c r="AE3420" s="7">
        <v>45908</v>
      </c>
      <c r="AF3420" s="8">
        <v>313</v>
      </c>
      <c r="AH3420" s="7">
        <v>46037</v>
      </c>
      <c r="AN3420" s="8">
        <v>313</v>
      </c>
      <c r="AO3420" s="8">
        <v>-73</v>
      </c>
    </row>
    <row r="3421" spans="1:41" x14ac:dyDescent="0.25">
      <c r="A3421" s="6" t="str">
        <f t="shared" si="822"/>
        <v>525-2025000379</v>
      </c>
      <c r="B3421" s="6" t="str">
        <f t="shared" si="813"/>
        <v>Lasa Int</v>
      </c>
      <c r="C3421" s="7">
        <v>45854</v>
      </c>
      <c r="D3421" s="7">
        <v>46051</v>
      </c>
      <c r="E3421" s="8">
        <v>3</v>
      </c>
      <c r="F3421" s="6" t="str">
        <f t="shared" si="823"/>
        <v>PURE it</v>
      </c>
      <c r="G3421" s="6" t="str">
        <f t="shared" si="824"/>
        <v>F100021455000009</v>
      </c>
      <c r="H3421" s="6" t="str">
        <f t="shared" si="825"/>
        <v>FA 214 - PURE it - 5</v>
      </c>
      <c r="I3421" s="6" t="str">
        <f>"3"</f>
        <v>3</v>
      </c>
      <c r="J3421" s="6" t="str">
        <f>"PRETO Sulf"</f>
        <v>PRETO Sulf</v>
      </c>
      <c r="K3421" s="6" t="str">
        <f>"0518"</f>
        <v>0518</v>
      </c>
      <c r="L3421" s="6" t="str">
        <f>"Toalhetes"</f>
        <v>Toalhetes</v>
      </c>
      <c r="M3421" s="6" t="str">
        <f>"40x60"</f>
        <v>40x60</v>
      </c>
      <c r="N3421" s="6" t="str">
        <f>"5602972627329"</f>
        <v>5602972627329</v>
      </c>
      <c r="O3421" s="8">
        <v>240</v>
      </c>
      <c r="P3421" s="7">
        <v>45854</v>
      </c>
      <c r="R3421" s="8">
        <v>0</v>
      </c>
      <c r="S3421" s="7">
        <v>45859</v>
      </c>
      <c r="U3421" s="8">
        <v>324</v>
      </c>
      <c r="V3421" s="7">
        <v>45870</v>
      </c>
      <c r="X3421" s="8">
        <v>0</v>
      </c>
      <c r="Z3421" s="8">
        <v>324</v>
      </c>
      <c r="AA3421" s="7">
        <v>45903</v>
      </c>
      <c r="AC3421" s="8">
        <v>329</v>
      </c>
      <c r="AE3421" s="7">
        <v>45908</v>
      </c>
      <c r="AF3421" s="8">
        <v>329</v>
      </c>
      <c r="AH3421" s="7">
        <v>46037</v>
      </c>
      <c r="AN3421" s="8">
        <v>329</v>
      </c>
      <c r="AO3421" s="8">
        <v>-89</v>
      </c>
    </row>
    <row r="3422" spans="1:41" x14ac:dyDescent="0.25">
      <c r="A3422" s="6" t="str">
        <f t="shared" si="822"/>
        <v>525-2025000379</v>
      </c>
      <c r="B3422" s="6" t="str">
        <f t="shared" si="813"/>
        <v>Lasa Int</v>
      </c>
      <c r="C3422" s="7">
        <v>45854</v>
      </c>
      <c r="D3422" s="7">
        <v>46051</v>
      </c>
      <c r="E3422" s="8">
        <v>4</v>
      </c>
      <c r="F3422" s="6" t="str">
        <f t="shared" si="823"/>
        <v>PURE it</v>
      </c>
      <c r="G3422" s="6" t="str">
        <f t="shared" si="824"/>
        <v>F100021455000009</v>
      </c>
      <c r="H3422" s="6" t="str">
        <f t="shared" si="825"/>
        <v>FA 214 - PURE it - 5</v>
      </c>
      <c r="I3422" s="6" t="str">
        <f>"3"</f>
        <v>3</v>
      </c>
      <c r="J3422" s="6" t="str">
        <f>"PRETO Sulf"</f>
        <v>PRETO Sulf</v>
      </c>
      <c r="K3422" s="6" t="str">
        <f>"1071"</f>
        <v>1071</v>
      </c>
      <c r="L3422" s="6" t="str">
        <f>"Toalhas"</f>
        <v>Toalhas</v>
      </c>
      <c r="M3422" s="6" t="str">
        <f>"60x110"</f>
        <v>60x110</v>
      </c>
      <c r="N3422" s="6" t="str">
        <f>"5602972627336"</f>
        <v>5602972627336</v>
      </c>
      <c r="O3422" s="8">
        <v>240</v>
      </c>
      <c r="P3422" s="7">
        <v>45854</v>
      </c>
      <c r="R3422" s="8">
        <v>0</v>
      </c>
      <c r="S3422" s="7">
        <v>45859</v>
      </c>
      <c r="U3422" s="8">
        <v>330</v>
      </c>
      <c r="V3422" s="7">
        <v>45870</v>
      </c>
      <c r="X3422" s="8">
        <v>0</v>
      </c>
      <c r="Z3422" s="8">
        <v>330</v>
      </c>
      <c r="AA3422" s="7">
        <v>45903</v>
      </c>
      <c r="AC3422" s="8">
        <v>329</v>
      </c>
      <c r="AE3422" s="7">
        <v>45908</v>
      </c>
      <c r="AF3422" s="8">
        <v>329</v>
      </c>
      <c r="AH3422" s="7">
        <v>46037</v>
      </c>
      <c r="AN3422" s="8">
        <v>329</v>
      </c>
      <c r="AO3422" s="8">
        <v>-89</v>
      </c>
    </row>
    <row r="3423" spans="1:41" x14ac:dyDescent="0.25">
      <c r="A3423" s="6" t="str">
        <f t="shared" si="822"/>
        <v>525-2025000379</v>
      </c>
      <c r="B3423" s="6" t="str">
        <f t="shared" si="813"/>
        <v>Lasa Int</v>
      </c>
      <c r="C3423" s="7">
        <v>45854</v>
      </c>
      <c r="D3423" s="7">
        <v>46051</v>
      </c>
      <c r="E3423" s="8">
        <v>5</v>
      </c>
      <c r="F3423" s="6" t="str">
        <f t="shared" si="823"/>
        <v>PURE it</v>
      </c>
      <c r="G3423" s="6" t="str">
        <f t="shared" si="824"/>
        <v>F100021455000009</v>
      </c>
      <c r="H3423" s="6" t="str">
        <f t="shared" si="825"/>
        <v>FA 214 - PURE it - 5</v>
      </c>
      <c r="I3423" s="6" t="str">
        <f>"3234"</f>
        <v>3234</v>
      </c>
      <c r="J3423" s="6" t="str">
        <f>"CASTANHO 3234"</f>
        <v>CASTANHO 3234</v>
      </c>
      <c r="K3423" s="6" t="str">
        <f>"0518"</f>
        <v>0518</v>
      </c>
      <c r="L3423" s="6" t="str">
        <f>"Toalhetes"</f>
        <v>Toalhetes</v>
      </c>
      <c r="M3423" s="6" t="str">
        <f>"40x60"</f>
        <v>40x60</v>
      </c>
      <c r="N3423" s="6" t="str">
        <f>"5602972627121"</f>
        <v>5602972627121</v>
      </c>
      <c r="O3423" s="8">
        <v>240</v>
      </c>
      <c r="P3423" s="7">
        <v>45854</v>
      </c>
      <c r="R3423" s="8">
        <v>0</v>
      </c>
      <c r="S3423" s="7">
        <v>45859</v>
      </c>
      <c r="U3423" s="8">
        <v>324</v>
      </c>
      <c r="V3423" s="7">
        <v>45870</v>
      </c>
      <c r="X3423" s="8">
        <v>0</v>
      </c>
      <c r="Z3423" s="8">
        <v>324</v>
      </c>
      <c r="AA3423" s="7">
        <v>45903</v>
      </c>
      <c r="AC3423" s="8">
        <v>297</v>
      </c>
      <c r="AE3423" s="7">
        <v>45908</v>
      </c>
      <c r="AF3423" s="8">
        <v>297</v>
      </c>
      <c r="AH3423" s="7">
        <v>46037</v>
      </c>
      <c r="AN3423" s="8">
        <v>297</v>
      </c>
      <c r="AO3423" s="8">
        <v>-57</v>
      </c>
    </row>
    <row r="3424" spans="1:41" x14ac:dyDescent="0.25">
      <c r="A3424" s="6" t="str">
        <f t="shared" si="822"/>
        <v>525-2025000379</v>
      </c>
      <c r="B3424" s="6" t="str">
        <f t="shared" si="813"/>
        <v>Lasa Int</v>
      </c>
      <c r="C3424" s="7">
        <v>45854</v>
      </c>
      <c r="D3424" s="7">
        <v>46051</v>
      </c>
      <c r="E3424" s="8">
        <v>6</v>
      </c>
      <c r="F3424" s="6" t="str">
        <f t="shared" si="823"/>
        <v>PURE it</v>
      </c>
      <c r="G3424" s="6" t="str">
        <f t="shared" si="824"/>
        <v>F100021455000009</v>
      </c>
      <c r="H3424" s="6" t="str">
        <f t="shared" si="825"/>
        <v>FA 214 - PURE it - 5</v>
      </c>
      <c r="I3424" s="6" t="str">
        <f>"3234"</f>
        <v>3234</v>
      </c>
      <c r="J3424" s="6" t="str">
        <f>"CASTANHO 3234"</f>
        <v>CASTANHO 3234</v>
      </c>
      <c r="K3424" s="6" t="str">
        <f>"1071"</f>
        <v>1071</v>
      </c>
      <c r="L3424" s="6" t="str">
        <f>"Toalhas"</f>
        <v>Toalhas</v>
      </c>
      <c r="M3424" s="6" t="str">
        <f>"60x110"</f>
        <v>60x110</v>
      </c>
      <c r="N3424" s="6" t="str">
        <f>"5602972627138"</f>
        <v>5602972627138</v>
      </c>
      <c r="O3424" s="8">
        <v>240</v>
      </c>
      <c r="P3424" s="7">
        <v>45854</v>
      </c>
      <c r="R3424" s="8">
        <v>0</v>
      </c>
      <c r="S3424" s="7">
        <v>45859</v>
      </c>
      <c r="U3424" s="8">
        <v>330</v>
      </c>
      <c r="V3424" s="7">
        <v>45870</v>
      </c>
      <c r="X3424" s="8">
        <v>0</v>
      </c>
      <c r="Z3424" s="8">
        <v>330</v>
      </c>
      <c r="AA3424" s="7">
        <v>45903</v>
      </c>
      <c r="AC3424" s="8">
        <v>297</v>
      </c>
      <c r="AE3424" s="7">
        <v>45908</v>
      </c>
      <c r="AF3424" s="8">
        <v>297</v>
      </c>
      <c r="AH3424" s="7">
        <v>46037</v>
      </c>
      <c r="AN3424" s="8">
        <v>297</v>
      </c>
      <c r="AO3424" s="8">
        <v>-57</v>
      </c>
    </row>
    <row r="3425" spans="1:41" x14ac:dyDescent="0.25">
      <c r="A3425" s="6" t="str">
        <f t="shared" si="822"/>
        <v>525-2025000379</v>
      </c>
      <c r="B3425" s="6" t="str">
        <f t="shared" si="813"/>
        <v>Lasa Int</v>
      </c>
      <c r="C3425" s="7">
        <v>45854</v>
      </c>
      <c r="D3425" s="7">
        <v>46051</v>
      </c>
      <c r="E3425" s="8">
        <v>7</v>
      </c>
      <c r="F3425" s="6" t="str">
        <f t="shared" si="823"/>
        <v>PURE it</v>
      </c>
      <c r="G3425" s="6" t="str">
        <f t="shared" si="824"/>
        <v>F100021455000009</v>
      </c>
      <c r="H3425" s="6" t="str">
        <f t="shared" si="825"/>
        <v>FA 214 - PURE it - 5</v>
      </c>
      <c r="I3425" s="6" t="str">
        <f>"4383"</f>
        <v>4383</v>
      </c>
      <c r="J3425" s="6" t="str">
        <f>"AZUL 4383"</f>
        <v>AZUL 4383</v>
      </c>
      <c r="K3425" s="6" t="str">
        <f>"0518"</f>
        <v>0518</v>
      </c>
      <c r="L3425" s="6" t="str">
        <f>"Toalhetes"</f>
        <v>Toalhetes</v>
      </c>
      <c r="M3425" s="6" t="str">
        <f>"40x60"</f>
        <v>40x60</v>
      </c>
      <c r="N3425" s="6" t="str">
        <f>"5602972627367"</f>
        <v>5602972627367</v>
      </c>
      <c r="O3425" s="8">
        <v>480</v>
      </c>
      <c r="P3425" s="7">
        <v>45854</v>
      </c>
      <c r="R3425" s="8">
        <v>0</v>
      </c>
      <c r="S3425" s="7">
        <v>45859</v>
      </c>
      <c r="U3425" s="8">
        <v>520</v>
      </c>
      <c r="V3425" s="7">
        <v>45870</v>
      </c>
      <c r="X3425" s="8">
        <v>0</v>
      </c>
      <c r="Z3425" s="8">
        <v>520</v>
      </c>
      <c r="AA3425" s="7">
        <v>45903</v>
      </c>
      <c r="AC3425" s="8">
        <v>506</v>
      </c>
      <c r="AE3425" s="7">
        <v>45908</v>
      </c>
      <c r="AF3425" s="8">
        <v>506</v>
      </c>
      <c r="AH3425" s="7">
        <v>46037</v>
      </c>
      <c r="AN3425" s="8">
        <v>506</v>
      </c>
      <c r="AO3425" s="8">
        <v>-26</v>
      </c>
    </row>
    <row r="3426" spans="1:41" x14ac:dyDescent="0.25">
      <c r="A3426" s="6" t="str">
        <f t="shared" si="822"/>
        <v>525-2025000379</v>
      </c>
      <c r="B3426" s="6" t="str">
        <f t="shared" si="813"/>
        <v>Lasa Int</v>
      </c>
      <c r="C3426" s="7">
        <v>45854</v>
      </c>
      <c r="D3426" s="7">
        <v>46051</v>
      </c>
      <c r="E3426" s="8">
        <v>8</v>
      </c>
      <c r="F3426" s="6" t="str">
        <f t="shared" si="823"/>
        <v>PURE it</v>
      </c>
      <c r="G3426" s="6" t="str">
        <f t="shared" si="824"/>
        <v>F100021455000009</v>
      </c>
      <c r="H3426" s="6" t="str">
        <f t="shared" si="825"/>
        <v>FA 214 - PURE it - 5</v>
      </c>
      <c r="I3426" s="6" t="str">
        <f>"4383"</f>
        <v>4383</v>
      </c>
      <c r="J3426" s="6" t="str">
        <f>"AZUL 4383"</f>
        <v>AZUL 4383</v>
      </c>
      <c r="K3426" s="6" t="str">
        <f>"1071"</f>
        <v>1071</v>
      </c>
      <c r="L3426" s="6" t="str">
        <f>"Toalhas"</f>
        <v>Toalhas</v>
      </c>
      <c r="M3426" s="6" t="str">
        <f>"60x110"</f>
        <v>60x110</v>
      </c>
      <c r="N3426" s="6" t="str">
        <f>"5602972627374"</f>
        <v>5602972627374</v>
      </c>
      <c r="O3426" s="8">
        <v>240</v>
      </c>
      <c r="P3426" s="7">
        <v>45854</v>
      </c>
      <c r="R3426" s="8">
        <v>0</v>
      </c>
      <c r="S3426" s="7">
        <v>45859</v>
      </c>
      <c r="U3426" s="8">
        <v>330</v>
      </c>
      <c r="V3426" s="7">
        <v>45870</v>
      </c>
      <c r="X3426" s="8">
        <v>0</v>
      </c>
      <c r="Z3426" s="8">
        <v>330</v>
      </c>
      <c r="AA3426" s="7">
        <v>45903</v>
      </c>
      <c r="AC3426" s="8">
        <v>322</v>
      </c>
      <c r="AE3426" s="7">
        <v>45908</v>
      </c>
      <c r="AF3426" s="8">
        <v>322</v>
      </c>
      <c r="AH3426" s="7">
        <v>46037</v>
      </c>
      <c r="AN3426" s="8">
        <v>322</v>
      </c>
      <c r="AO3426" s="8">
        <v>-82</v>
      </c>
    </row>
    <row r="3427" spans="1:41" x14ac:dyDescent="0.25">
      <c r="A3427" s="6" t="str">
        <f>"525-2025000400"</f>
        <v>525-2025000400</v>
      </c>
      <c r="B3427" s="6" t="str">
        <f t="shared" si="813"/>
        <v>Lasa Int</v>
      </c>
      <c r="C3427" s="7">
        <v>45863</v>
      </c>
      <c r="D3427" s="7">
        <v>46051</v>
      </c>
      <c r="E3427" s="8">
        <v>1</v>
      </c>
      <c r="F3427" s="6" t="str">
        <f>"Efficience"</f>
        <v>Efficience</v>
      </c>
      <c r="G3427" s="6" t="str">
        <f>"F100312352000000"</f>
        <v>F100312352000000</v>
      </c>
      <c r="H3427" s="6" t="str">
        <f>"FA RC 3123 GRS - 520"</f>
        <v>FA RC 3123 GRS - 520</v>
      </c>
      <c r="I3427" s="6" t="str">
        <f>"5573"</f>
        <v>5573</v>
      </c>
      <c r="J3427" s="6" t="str">
        <f>"CASTANHO 5573"</f>
        <v>CASTANHO 5573</v>
      </c>
      <c r="K3427" s="6" t="str">
        <f>"0112"</f>
        <v>0112</v>
      </c>
      <c r="L3427" s="6" t="str">
        <f>"Luvas"</f>
        <v>Luvas</v>
      </c>
      <c r="M3427" s="6" t="str">
        <f>"16x21"</f>
        <v>16x21</v>
      </c>
      <c r="N3427" s="6" t="str">
        <f>"5602972684612"</f>
        <v>5602972684612</v>
      </c>
      <c r="O3427" s="8">
        <v>204</v>
      </c>
      <c r="P3427" s="7">
        <v>45863</v>
      </c>
      <c r="R3427" s="8">
        <v>0</v>
      </c>
      <c r="S3427" s="7">
        <v>45868</v>
      </c>
      <c r="U3427" s="8">
        <v>240</v>
      </c>
      <c r="V3427" s="7">
        <v>45877</v>
      </c>
      <c r="X3427" s="8">
        <v>0</v>
      </c>
      <c r="Z3427" s="8">
        <v>240</v>
      </c>
      <c r="AA3427" s="7">
        <v>45910</v>
      </c>
      <c r="AC3427" s="8">
        <v>0</v>
      </c>
      <c r="AE3427" s="7">
        <v>45912</v>
      </c>
      <c r="AF3427" s="8">
        <v>0</v>
      </c>
      <c r="AH3427" s="7">
        <v>45912</v>
      </c>
      <c r="AN3427" s="8">
        <v>198</v>
      </c>
      <c r="AO3427" s="8">
        <v>6</v>
      </c>
    </row>
    <row r="3428" spans="1:41" x14ac:dyDescent="0.25">
      <c r="A3428" s="6" t="str">
        <f>"525-2025000400"</f>
        <v>525-2025000400</v>
      </c>
      <c r="B3428" s="6" t="str">
        <f t="shared" si="813"/>
        <v>Lasa Int</v>
      </c>
      <c r="C3428" s="7">
        <v>45863</v>
      </c>
      <c r="D3428" s="7">
        <v>46051</v>
      </c>
      <c r="E3428" s="8">
        <v>2</v>
      </c>
      <c r="F3428" s="6" t="str">
        <f>"Efficience"</f>
        <v>Efficience</v>
      </c>
      <c r="G3428" s="6" t="str">
        <f>"F100312352000000"</f>
        <v>F100312352000000</v>
      </c>
      <c r="H3428" s="6" t="str">
        <f>"FA RC 3123 GRS - 520"</f>
        <v>FA RC 3123 GRS - 520</v>
      </c>
      <c r="I3428" s="6" t="str">
        <f>"5573"</f>
        <v>5573</v>
      </c>
      <c r="J3428" s="6" t="str">
        <f>"CASTANHO 5573"</f>
        <v>CASTANHO 5573</v>
      </c>
      <c r="K3428" s="6" t="str">
        <f>"1024"</f>
        <v>1024</v>
      </c>
      <c r="L3428" s="6" t="str">
        <f>"Toalhas"</f>
        <v>Toalhas</v>
      </c>
      <c r="M3428" s="6" t="str">
        <f>"50x100"</f>
        <v>50x100</v>
      </c>
      <c r="N3428" s="6" t="str">
        <f>"5602972684636"</f>
        <v>5602972684636</v>
      </c>
      <c r="O3428" s="8">
        <v>240</v>
      </c>
      <c r="P3428" s="7">
        <v>45863</v>
      </c>
      <c r="R3428" s="8">
        <v>0</v>
      </c>
      <c r="S3428" s="7">
        <v>45868</v>
      </c>
      <c r="U3428" s="8">
        <v>240</v>
      </c>
      <c r="V3428" s="7">
        <v>45877</v>
      </c>
      <c r="X3428" s="8">
        <v>0</v>
      </c>
      <c r="Z3428" s="8">
        <v>240</v>
      </c>
      <c r="AA3428" s="7">
        <v>45910</v>
      </c>
      <c r="AC3428" s="8">
        <v>0</v>
      </c>
      <c r="AE3428" s="7">
        <v>45912</v>
      </c>
      <c r="AF3428" s="8">
        <v>0</v>
      </c>
      <c r="AH3428" s="7">
        <v>45912</v>
      </c>
      <c r="AN3428" s="8">
        <v>0</v>
      </c>
      <c r="AO3428" s="8">
        <v>240</v>
      </c>
    </row>
    <row r="3429" spans="1:41" x14ac:dyDescent="0.25">
      <c r="A3429" s="6" t="str">
        <f>"525-2025000400"</f>
        <v>525-2025000400</v>
      </c>
      <c r="B3429" s="6" t="str">
        <f t="shared" si="813"/>
        <v>Lasa Int</v>
      </c>
      <c r="C3429" s="7">
        <v>45863</v>
      </c>
      <c r="D3429" s="7">
        <v>46051</v>
      </c>
      <c r="E3429" s="8">
        <v>3</v>
      </c>
      <c r="F3429" s="6" t="str">
        <f>"Efficience"</f>
        <v>Efficience</v>
      </c>
      <c r="G3429" s="6" t="str">
        <f>"F100312352000000"</f>
        <v>F100312352000000</v>
      </c>
      <c r="H3429" s="6" t="str">
        <f>"FA RC 3123 GRS - 520"</f>
        <v>FA RC 3123 GRS - 520</v>
      </c>
      <c r="I3429" s="6" t="str">
        <f>"5573"</f>
        <v>5573</v>
      </c>
      <c r="J3429" s="6" t="str">
        <f>"CASTANHO 5573"</f>
        <v>CASTANHO 5573</v>
      </c>
      <c r="K3429" s="6" t="str">
        <f>"1535"</f>
        <v>1535</v>
      </c>
      <c r="L3429" s="6" t="str">
        <f>"Toalhões"</f>
        <v>Toalhões</v>
      </c>
      <c r="M3429" s="6" t="str">
        <f>"70x140"</f>
        <v>70x140</v>
      </c>
      <c r="N3429" s="6" t="str">
        <f>"5602972684643"</f>
        <v>5602972684643</v>
      </c>
      <c r="O3429" s="8">
        <v>120</v>
      </c>
      <c r="P3429" s="7">
        <v>45863</v>
      </c>
      <c r="R3429" s="8">
        <v>0</v>
      </c>
      <c r="S3429" s="7">
        <v>45868</v>
      </c>
      <c r="U3429" s="8">
        <v>120</v>
      </c>
      <c r="V3429" s="7">
        <v>45877</v>
      </c>
      <c r="X3429" s="8">
        <v>0</v>
      </c>
      <c r="Z3429" s="8">
        <v>120</v>
      </c>
      <c r="AA3429" s="7">
        <v>45910</v>
      </c>
      <c r="AC3429" s="8">
        <v>0</v>
      </c>
      <c r="AE3429" s="7">
        <v>45912</v>
      </c>
      <c r="AF3429" s="8">
        <v>0</v>
      </c>
      <c r="AH3429" s="7">
        <v>45912</v>
      </c>
      <c r="AN3429" s="8">
        <v>0</v>
      </c>
      <c r="AO3429" s="8">
        <v>120</v>
      </c>
    </row>
    <row r="3430" spans="1:41" x14ac:dyDescent="0.25">
      <c r="A3430" s="6" t="str">
        <f>"525-2025000400"</f>
        <v>525-2025000400</v>
      </c>
      <c r="B3430" s="6" t="str">
        <f t="shared" si="813"/>
        <v>Lasa Int</v>
      </c>
      <c r="C3430" s="7">
        <v>45863</v>
      </c>
      <c r="D3430" s="7">
        <v>46051</v>
      </c>
      <c r="E3430" s="8">
        <v>4</v>
      </c>
      <c r="F3430" s="6" t="str">
        <f>"Efficience"</f>
        <v>Efficience</v>
      </c>
      <c r="G3430" s="6" t="str">
        <f>"F100312352000000"</f>
        <v>F100312352000000</v>
      </c>
      <c r="H3430" s="6" t="str">
        <f>"FA RC 3123 GRS - 520"</f>
        <v>FA RC 3123 GRS - 520</v>
      </c>
      <c r="I3430" s="6" t="str">
        <f>"5573"</f>
        <v>5573</v>
      </c>
      <c r="J3430" s="6" t="str">
        <f>"CASTANHO 5573"</f>
        <v>CASTANHO 5573</v>
      </c>
      <c r="K3430" s="6" t="str">
        <f>"2020"</f>
        <v>2020</v>
      </c>
      <c r="L3430" s="6" t="str">
        <f>"Lençóis"</f>
        <v>Lençóis</v>
      </c>
      <c r="M3430" s="6" t="str">
        <f>"100x150"</f>
        <v>100x150</v>
      </c>
      <c r="N3430" s="6" t="str">
        <f>"5602972684650"</f>
        <v>5602972684650</v>
      </c>
      <c r="O3430" s="8">
        <v>160</v>
      </c>
      <c r="P3430" s="7">
        <v>45863</v>
      </c>
      <c r="R3430" s="8">
        <v>0</v>
      </c>
      <c r="S3430" s="7">
        <v>45868</v>
      </c>
      <c r="U3430" s="8">
        <v>160</v>
      </c>
      <c r="V3430" s="7">
        <v>45877</v>
      </c>
      <c r="X3430" s="8">
        <v>0</v>
      </c>
      <c r="Z3430" s="8">
        <v>160</v>
      </c>
      <c r="AA3430" s="7">
        <v>45910</v>
      </c>
      <c r="AC3430" s="8">
        <v>128</v>
      </c>
      <c r="AE3430" s="7">
        <v>45912</v>
      </c>
      <c r="AF3430" s="8">
        <v>128</v>
      </c>
      <c r="AH3430" s="7">
        <v>45912</v>
      </c>
      <c r="AN3430" s="8">
        <v>128</v>
      </c>
      <c r="AO3430" s="8">
        <v>32</v>
      </c>
    </row>
    <row r="3431" spans="1:41" x14ac:dyDescent="0.25">
      <c r="A3431" s="6" t="str">
        <f>"525-2025000400"</f>
        <v>525-2025000400</v>
      </c>
      <c r="B3431" s="6" t="str">
        <f t="shared" si="813"/>
        <v>Lasa Int</v>
      </c>
      <c r="C3431" s="7">
        <v>45863</v>
      </c>
      <c r="D3431" s="7">
        <v>46051</v>
      </c>
      <c r="E3431" s="8">
        <v>5</v>
      </c>
      <c r="F3431" s="6" t="str">
        <f>"Efficience"</f>
        <v>Efficience</v>
      </c>
      <c r="G3431" s="6" t="str">
        <f>"F161029465000000"</f>
        <v>F161029465000000</v>
      </c>
      <c r="H3431" s="6" t="str">
        <f>"TA RC 294 GRS - 650"</f>
        <v>TA RC 294 GRS - 650</v>
      </c>
      <c r="I3431" s="6" t="str">
        <f>"5573"</f>
        <v>5573</v>
      </c>
      <c r="J3431" s="6" t="str">
        <f>"CASTANHO 5573"</f>
        <v>CASTANHO 5573</v>
      </c>
      <c r="K3431" s="6" t="str">
        <f>"3012"</f>
        <v>3012</v>
      </c>
      <c r="L3431" s="6" t="str">
        <f>"Tapetes"</f>
        <v>Tapetes</v>
      </c>
      <c r="M3431" s="6" t="str">
        <f>"50x70"</f>
        <v>50x70</v>
      </c>
      <c r="N3431" s="6" t="str">
        <f>"5602972685244"</f>
        <v>5602972685244</v>
      </c>
      <c r="O3431" s="8">
        <v>100</v>
      </c>
      <c r="P3431" s="7">
        <v>45863</v>
      </c>
      <c r="R3431" s="8">
        <v>0</v>
      </c>
      <c r="S3431" s="7">
        <v>45868</v>
      </c>
      <c r="U3431" s="8">
        <v>100</v>
      </c>
      <c r="V3431" s="7">
        <v>45877</v>
      </c>
      <c r="X3431" s="8">
        <v>0</v>
      </c>
      <c r="Z3431" s="8">
        <v>100</v>
      </c>
      <c r="AA3431" s="7">
        <v>45910</v>
      </c>
      <c r="AC3431" s="8">
        <v>0</v>
      </c>
      <c r="AE3431" s="7">
        <v>45912</v>
      </c>
      <c r="AF3431" s="8">
        <v>0</v>
      </c>
      <c r="AH3431" s="7">
        <v>45912</v>
      </c>
      <c r="AN3431" s="8">
        <v>0</v>
      </c>
      <c r="AO3431" s="8">
        <v>100</v>
      </c>
    </row>
    <row r="3432" spans="1:41" x14ac:dyDescent="0.25">
      <c r="A3432" s="6" t="str">
        <f>"525-2025000402"</f>
        <v>525-2025000402</v>
      </c>
      <c r="B3432" s="6" t="str">
        <f t="shared" si="813"/>
        <v>Lasa Int</v>
      </c>
      <c r="C3432" s="7">
        <v>45869</v>
      </c>
      <c r="D3432" s="7">
        <v>46112</v>
      </c>
      <c r="E3432" s="8">
        <v>1</v>
      </c>
      <c r="F3432" s="6" t="str">
        <f>"Restos"</f>
        <v>Restos</v>
      </c>
      <c r="G3432" s="6" t="str">
        <f>"R120273299900001"</f>
        <v>R120273299900001</v>
      </c>
      <c r="H3432" s="6" t="str">
        <f>"R 2732 (b)"</f>
        <v>R 2732 (b)</v>
      </c>
      <c r="I3432" s="6" t="str">
        <f>"300001"</f>
        <v>300001</v>
      </c>
      <c r="J3432" s="6" t="str">
        <f>"SORTIDAS 1"</f>
        <v>SORTIDAS 1</v>
      </c>
      <c r="K3432" s="6" t="str">
        <f>"5002"</f>
        <v>5002</v>
      </c>
      <c r="L3432" s="6" t="str">
        <f>"Roupões Adulto"</f>
        <v>Roupões Adulto</v>
      </c>
      <c r="M3432" s="6" t="str">
        <f>"S"</f>
        <v>S</v>
      </c>
      <c r="N3432" s="6" t="str">
        <f>" "</f>
        <v xml:space="preserve"> </v>
      </c>
      <c r="O3432" s="8">
        <v>400</v>
      </c>
      <c r="P3432" s="7">
        <v>45869</v>
      </c>
      <c r="R3432" s="8">
        <v>0</v>
      </c>
      <c r="U3432" s="8">
        <v>0</v>
      </c>
      <c r="X3432" s="8">
        <v>0</v>
      </c>
      <c r="Z3432" s="8">
        <v>0</v>
      </c>
      <c r="AC3432" s="8">
        <v>0</v>
      </c>
      <c r="AE3432" s="7">
        <v>45876</v>
      </c>
      <c r="AF3432" s="8">
        <v>0</v>
      </c>
      <c r="AH3432" s="7">
        <v>45915</v>
      </c>
      <c r="AN3432" s="8">
        <v>0</v>
      </c>
      <c r="AO3432" s="8">
        <v>400</v>
      </c>
    </row>
    <row r="3433" spans="1:41" x14ac:dyDescent="0.25">
      <c r="A3433" s="6" t="str">
        <f>"525-2025000402"</f>
        <v>525-2025000402</v>
      </c>
      <c r="B3433" s="6" t="str">
        <f t="shared" si="813"/>
        <v>Lasa Int</v>
      </c>
      <c r="C3433" s="7">
        <v>45869</v>
      </c>
      <c r="D3433" s="7">
        <v>46112</v>
      </c>
      <c r="E3433" s="8">
        <v>2</v>
      </c>
      <c r="F3433" s="6" t="str">
        <f>"Restos"</f>
        <v>Restos</v>
      </c>
      <c r="G3433" s="6" t="str">
        <f>"R120273299900001"</f>
        <v>R120273299900001</v>
      </c>
      <c r="H3433" s="6" t="str">
        <f>"R 2732 (b)"</f>
        <v>R 2732 (b)</v>
      </c>
      <c r="I3433" s="6" t="str">
        <f>"300001"</f>
        <v>300001</v>
      </c>
      <c r="J3433" s="6" t="str">
        <f>"SORTIDAS 1"</f>
        <v>SORTIDAS 1</v>
      </c>
      <c r="K3433" s="6" t="str">
        <f>"5004"</f>
        <v>5004</v>
      </c>
      <c r="L3433" s="6" t="str">
        <f>"Roupões Adulto"</f>
        <v>Roupões Adulto</v>
      </c>
      <c r="M3433" s="6" t="str">
        <f>"M"</f>
        <v>M</v>
      </c>
      <c r="N3433" s="6" t="str">
        <f>" "</f>
        <v xml:space="preserve"> </v>
      </c>
      <c r="O3433" s="8">
        <v>600</v>
      </c>
      <c r="P3433" s="7">
        <v>45869</v>
      </c>
      <c r="R3433" s="8">
        <v>0</v>
      </c>
      <c r="U3433" s="8">
        <v>0</v>
      </c>
      <c r="X3433" s="8">
        <v>0</v>
      </c>
      <c r="Z3433" s="8">
        <v>0</v>
      </c>
      <c r="AC3433" s="8">
        <v>0</v>
      </c>
      <c r="AE3433" s="7">
        <v>45876</v>
      </c>
      <c r="AF3433" s="8">
        <v>0</v>
      </c>
      <c r="AH3433" s="7">
        <v>45915</v>
      </c>
      <c r="AN3433" s="8">
        <v>0</v>
      </c>
      <c r="AO3433" s="8">
        <v>600</v>
      </c>
    </row>
    <row r="3434" spans="1:41" x14ac:dyDescent="0.25">
      <c r="A3434" s="6" t="str">
        <f>"525-2025000402"</f>
        <v>525-2025000402</v>
      </c>
      <c r="B3434" s="6" t="str">
        <f t="shared" si="813"/>
        <v>Lasa Int</v>
      </c>
      <c r="C3434" s="7">
        <v>45869</v>
      </c>
      <c r="D3434" s="7">
        <v>46112</v>
      </c>
      <c r="E3434" s="8">
        <v>3</v>
      </c>
      <c r="F3434" s="6" t="str">
        <f>"Restos"</f>
        <v>Restos</v>
      </c>
      <c r="G3434" s="6" t="str">
        <f>"R120273299900001"</f>
        <v>R120273299900001</v>
      </c>
      <c r="H3434" s="6" t="str">
        <f>"R 2732 (b)"</f>
        <v>R 2732 (b)</v>
      </c>
      <c r="I3434" s="6" t="str">
        <f>"300001"</f>
        <v>300001</v>
      </c>
      <c r="J3434" s="6" t="str">
        <f>"SORTIDAS 1"</f>
        <v>SORTIDAS 1</v>
      </c>
      <c r="K3434" s="6" t="str">
        <f>"5006"</f>
        <v>5006</v>
      </c>
      <c r="L3434" s="6" t="str">
        <f>"Roupões Adulto"</f>
        <v>Roupões Adulto</v>
      </c>
      <c r="M3434" s="6" t="str">
        <f>"L"</f>
        <v>L</v>
      </c>
      <c r="N3434" s="6" t="str">
        <f>" "</f>
        <v xml:space="preserve"> </v>
      </c>
      <c r="O3434" s="8">
        <v>600</v>
      </c>
      <c r="P3434" s="7">
        <v>45869</v>
      </c>
      <c r="R3434" s="8">
        <v>0</v>
      </c>
      <c r="U3434" s="8">
        <v>0</v>
      </c>
      <c r="X3434" s="8">
        <v>0</v>
      </c>
      <c r="Z3434" s="8">
        <v>0</v>
      </c>
      <c r="AC3434" s="8">
        <v>0</v>
      </c>
      <c r="AE3434" s="7">
        <v>45876</v>
      </c>
      <c r="AF3434" s="8">
        <v>0</v>
      </c>
      <c r="AH3434" s="7">
        <v>45915</v>
      </c>
      <c r="AN3434" s="8">
        <v>0</v>
      </c>
      <c r="AO3434" s="8">
        <v>600</v>
      </c>
    </row>
    <row r="3435" spans="1:41" x14ac:dyDescent="0.25">
      <c r="A3435" s="6" t="str">
        <f>"525-2025000402"</f>
        <v>525-2025000402</v>
      </c>
      <c r="B3435" s="6" t="str">
        <f t="shared" si="813"/>
        <v>Lasa Int</v>
      </c>
      <c r="C3435" s="7">
        <v>45869</v>
      </c>
      <c r="D3435" s="7">
        <v>46112</v>
      </c>
      <c r="E3435" s="8">
        <v>4</v>
      </c>
      <c r="F3435" s="6" t="str">
        <f>"Restos"</f>
        <v>Restos</v>
      </c>
      <c r="G3435" s="6" t="str">
        <f>"R120273299900001"</f>
        <v>R120273299900001</v>
      </c>
      <c r="H3435" s="6" t="str">
        <f>"R 2732 (b)"</f>
        <v>R 2732 (b)</v>
      </c>
      <c r="I3435" s="6" t="str">
        <f>"300001"</f>
        <v>300001</v>
      </c>
      <c r="J3435" s="6" t="str">
        <f>"SORTIDAS 1"</f>
        <v>SORTIDAS 1</v>
      </c>
      <c r="K3435" s="6" t="str">
        <f>"5008"</f>
        <v>5008</v>
      </c>
      <c r="L3435" s="6" t="str">
        <f>"Roupões Adulto"</f>
        <v>Roupões Adulto</v>
      </c>
      <c r="M3435" s="6" t="str">
        <f>"XL"</f>
        <v>XL</v>
      </c>
      <c r="N3435" s="6" t="str">
        <f>" "</f>
        <v xml:space="preserve"> </v>
      </c>
      <c r="O3435" s="8">
        <v>400</v>
      </c>
      <c r="P3435" s="7">
        <v>45869</v>
      </c>
      <c r="R3435" s="8">
        <v>0</v>
      </c>
      <c r="U3435" s="8">
        <v>0</v>
      </c>
      <c r="X3435" s="8">
        <v>0</v>
      </c>
      <c r="Z3435" s="8">
        <v>0</v>
      </c>
      <c r="AC3435" s="8">
        <v>0</v>
      </c>
      <c r="AE3435" s="7">
        <v>45876</v>
      </c>
      <c r="AF3435" s="8">
        <v>0</v>
      </c>
      <c r="AH3435" s="7">
        <v>45915</v>
      </c>
      <c r="AN3435" s="8">
        <v>0</v>
      </c>
      <c r="AO3435" s="8">
        <v>400</v>
      </c>
    </row>
    <row r="3436" spans="1:41" x14ac:dyDescent="0.25">
      <c r="A3436" s="6" t="str">
        <f t="shared" ref="A3436:A3450" si="826">"525-2025000411"</f>
        <v>525-2025000411</v>
      </c>
      <c r="B3436" s="6" t="str">
        <f t="shared" ref="B3436:B3467" si="827">"Lasa Int"</f>
        <v>Lasa Int</v>
      </c>
      <c r="C3436" s="7">
        <v>45875</v>
      </c>
      <c r="D3436" s="7">
        <v>46053</v>
      </c>
      <c r="E3436" s="8">
        <v>1</v>
      </c>
      <c r="F3436" s="6" t="str">
        <f t="shared" ref="F3436:F3450" si="828">"Dream"</f>
        <v>Dream</v>
      </c>
      <c r="G3436" s="6" t="str">
        <f t="shared" ref="G3436:G3450" si="829">"F161900120000005"</f>
        <v>F161900120000005</v>
      </c>
      <c r="H3436" s="6" t="str">
        <f t="shared" ref="H3436:H3450" si="830">"TA DREAM 2018 - 2100"</f>
        <v>TA DREAM 2018 - 2100</v>
      </c>
      <c r="I3436" s="6" t="str">
        <f>"1"</f>
        <v>1</v>
      </c>
      <c r="J3436" s="6" t="str">
        <f>"BRANCO"</f>
        <v>BRANCO</v>
      </c>
      <c r="K3436" s="6" t="str">
        <f>"3011"</f>
        <v>3011</v>
      </c>
      <c r="L3436" s="6" t="str">
        <f t="shared" ref="L3436:L3450" si="831">"Tapetes"</f>
        <v>Tapetes</v>
      </c>
      <c r="M3436" s="6" t="str">
        <f>"60x60"</f>
        <v>60x60</v>
      </c>
      <c r="N3436" s="6" t="str">
        <f>"5605247643277"</f>
        <v>5605247643277</v>
      </c>
      <c r="O3436" s="8">
        <v>80</v>
      </c>
      <c r="R3436" s="8">
        <v>0</v>
      </c>
      <c r="U3436" s="8">
        <v>0</v>
      </c>
      <c r="X3436" s="8">
        <v>0</v>
      </c>
      <c r="Z3436" s="8">
        <v>0</v>
      </c>
      <c r="AC3436" s="8">
        <v>0</v>
      </c>
      <c r="AF3436" s="8">
        <v>0</v>
      </c>
      <c r="AN3436" s="8">
        <v>0</v>
      </c>
      <c r="AO3436" s="8">
        <v>80</v>
      </c>
    </row>
    <row r="3437" spans="1:41" x14ac:dyDescent="0.25">
      <c r="A3437" s="6" t="str">
        <f t="shared" si="826"/>
        <v>525-2025000411</v>
      </c>
      <c r="B3437" s="6" t="str">
        <f t="shared" si="827"/>
        <v>Lasa Int</v>
      </c>
      <c r="C3437" s="7">
        <v>45875</v>
      </c>
      <c r="D3437" s="7">
        <v>46053</v>
      </c>
      <c r="E3437" s="8">
        <v>2</v>
      </c>
      <c r="F3437" s="6" t="str">
        <f t="shared" si="828"/>
        <v>Dream</v>
      </c>
      <c r="G3437" s="6" t="str">
        <f t="shared" si="829"/>
        <v>F161900120000005</v>
      </c>
      <c r="H3437" s="6" t="str">
        <f t="shared" si="830"/>
        <v>TA DREAM 2018 - 2100</v>
      </c>
      <c r="I3437" s="6" t="str">
        <f>"1"</f>
        <v>1</v>
      </c>
      <c r="J3437" s="6" t="str">
        <f>"BRANCO"</f>
        <v>BRANCO</v>
      </c>
      <c r="K3437" s="6" t="str">
        <f>"3013"</f>
        <v>3013</v>
      </c>
      <c r="L3437" s="6" t="str">
        <f t="shared" si="831"/>
        <v>Tapetes</v>
      </c>
      <c r="M3437" s="6" t="str">
        <f>"60x90"</f>
        <v>60x90</v>
      </c>
      <c r="N3437" s="6" t="str">
        <f>"5605247643284"</f>
        <v>5605247643284</v>
      </c>
      <c r="O3437" s="8">
        <v>330</v>
      </c>
      <c r="R3437" s="8">
        <v>0</v>
      </c>
      <c r="U3437" s="8">
        <v>0</v>
      </c>
      <c r="X3437" s="8">
        <v>0</v>
      </c>
      <c r="Z3437" s="8">
        <v>0</v>
      </c>
      <c r="AC3437" s="8">
        <v>0</v>
      </c>
      <c r="AF3437" s="8">
        <v>0</v>
      </c>
      <c r="AN3437" s="8">
        <v>0</v>
      </c>
      <c r="AO3437" s="8">
        <v>330</v>
      </c>
    </row>
    <row r="3438" spans="1:41" x14ac:dyDescent="0.25">
      <c r="A3438" s="6" t="str">
        <f t="shared" si="826"/>
        <v>525-2025000411</v>
      </c>
      <c r="B3438" s="6" t="str">
        <f t="shared" si="827"/>
        <v>Lasa Int</v>
      </c>
      <c r="C3438" s="7">
        <v>45875</v>
      </c>
      <c r="D3438" s="7">
        <v>46053</v>
      </c>
      <c r="E3438" s="8">
        <v>3</v>
      </c>
      <c r="F3438" s="6" t="str">
        <f t="shared" si="828"/>
        <v>Dream</v>
      </c>
      <c r="G3438" s="6" t="str">
        <f t="shared" si="829"/>
        <v>F161900120000005</v>
      </c>
      <c r="H3438" s="6" t="str">
        <f t="shared" si="830"/>
        <v>TA DREAM 2018 - 2100</v>
      </c>
      <c r="I3438" s="6" t="str">
        <f>"1"</f>
        <v>1</v>
      </c>
      <c r="J3438" s="6" t="str">
        <f>"BRANCO"</f>
        <v>BRANCO</v>
      </c>
      <c r="K3438" s="6" t="str">
        <f>"3042"</f>
        <v>3042</v>
      </c>
      <c r="L3438" s="6" t="str">
        <f t="shared" si="831"/>
        <v>Tapetes</v>
      </c>
      <c r="M3438" s="6" t="str">
        <f>"70x120"</f>
        <v>70x120</v>
      </c>
      <c r="N3438" s="6" t="str">
        <f>"5605247643291"</f>
        <v>5605247643291</v>
      </c>
      <c r="O3438" s="8">
        <v>70</v>
      </c>
      <c r="R3438" s="8">
        <v>0</v>
      </c>
      <c r="U3438" s="8">
        <v>0</v>
      </c>
      <c r="X3438" s="8">
        <v>0</v>
      </c>
      <c r="Z3438" s="8">
        <v>0</v>
      </c>
      <c r="AC3438" s="8">
        <v>0</v>
      </c>
      <c r="AF3438" s="8">
        <v>0</v>
      </c>
      <c r="AN3438" s="8">
        <v>0</v>
      </c>
      <c r="AO3438" s="8">
        <v>70</v>
      </c>
    </row>
    <row r="3439" spans="1:41" x14ac:dyDescent="0.25">
      <c r="A3439" s="6" t="str">
        <f t="shared" si="826"/>
        <v>525-2025000411</v>
      </c>
      <c r="B3439" s="6" t="str">
        <f t="shared" si="827"/>
        <v>Lasa Int</v>
      </c>
      <c r="C3439" s="7">
        <v>45875</v>
      </c>
      <c r="D3439" s="7">
        <v>46053</v>
      </c>
      <c r="E3439" s="8">
        <v>4</v>
      </c>
      <c r="F3439" s="6" t="str">
        <f t="shared" si="828"/>
        <v>Dream</v>
      </c>
      <c r="G3439" s="6" t="str">
        <f t="shared" si="829"/>
        <v>F161900120000005</v>
      </c>
      <c r="H3439" s="6" t="str">
        <f t="shared" si="830"/>
        <v>TA DREAM 2018 - 2100</v>
      </c>
      <c r="I3439" s="6" t="str">
        <f>"2129"</f>
        <v>2129</v>
      </c>
      <c r="J3439" s="6" t="str">
        <f>"BEGE 2129"</f>
        <v>BEGE 2129</v>
      </c>
      <c r="K3439" s="6" t="str">
        <f>"3011"</f>
        <v>3011</v>
      </c>
      <c r="L3439" s="6" t="str">
        <f t="shared" si="831"/>
        <v>Tapetes</v>
      </c>
      <c r="M3439" s="6" t="str">
        <f>"60x60"</f>
        <v>60x60</v>
      </c>
      <c r="N3439" s="6" t="str">
        <f>"5605247643338"</f>
        <v>5605247643338</v>
      </c>
      <c r="O3439" s="8">
        <v>20</v>
      </c>
      <c r="R3439" s="8">
        <v>0</v>
      </c>
      <c r="U3439" s="8">
        <v>0</v>
      </c>
      <c r="X3439" s="8">
        <v>0</v>
      </c>
      <c r="Z3439" s="8">
        <v>0</v>
      </c>
      <c r="AC3439" s="8">
        <v>0</v>
      </c>
      <c r="AF3439" s="8">
        <v>0</v>
      </c>
      <c r="AN3439" s="8">
        <v>0</v>
      </c>
      <c r="AO3439" s="8">
        <v>20</v>
      </c>
    </row>
    <row r="3440" spans="1:41" x14ac:dyDescent="0.25">
      <c r="A3440" s="6" t="str">
        <f t="shared" si="826"/>
        <v>525-2025000411</v>
      </c>
      <c r="B3440" s="6" t="str">
        <f t="shared" si="827"/>
        <v>Lasa Int</v>
      </c>
      <c r="C3440" s="7">
        <v>45875</v>
      </c>
      <c r="D3440" s="7">
        <v>46053</v>
      </c>
      <c r="E3440" s="8">
        <v>5</v>
      </c>
      <c r="F3440" s="6" t="str">
        <f t="shared" si="828"/>
        <v>Dream</v>
      </c>
      <c r="G3440" s="6" t="str">
        <f t="shared" si="829"/>
        <v>F161900120000005</v>
      </c>
      <c r="H3440" s="6" t="str">
        <f t="shared" si="830"/>
        <v>TA DREAM 2018 - 2100</v>
      </c>
      <c r="I3440" s="6" t="str">
        <f>"2129"</f>
        <v>2129</v>
      </c>
      <c r="J3440" s="6" t="str">
        <f>"BEGE 2129"</f>
        <v>BEGE 2129</v>
      </c>
      <c r="K3440" s="6" t="str">
        <f>"3013"</f>
        <v>3013</v>
      </c>
      <c r="L3440" s="6" t="str">
        <f t="shared" si="831"/>
        <v>Tapetes</v>
      </c>
      <c r="M3440" s="6" t="str">
        <f>"60x90"</f>
        <v>60x90</v>
      </c>
      <c r="N3440" s="6" t="str">
        <f>"5605247643345"</f>
        <v>5605247643345</v>
      </c>
      <c r="O3440" s="8">
        <v>180</v>
      </c>
      <c r="R3440" s="8">
        <v>0</v>
      </c>
      <c r="U3440" s="8">
        <v>0</v>
      </c>
      <c r="X3440" s="8">
        <v>0</v>
      </c>
      <c r="Z3440" s="8">
        <v>0</v>
      </c>
      <c r="AC3440" s="8">
        <v>0</v>
      </c>
      <c r="AF3440" s="8">
        <v>0</v>
      </c>
      <c r="AN3440" s="8">
        <v>0</v>
      </c>
      <c r="AO3440" s="8">
        <v>180</v>
      </c>
    </row>
    <row r="3441" spans="1:41" x14ac:dyDescent="0.25">
      <c r="A3441" s="6" t="str">
        <f t="shared" si="826"/>
        <v>525-2025000411</v>
      </c>
      <c r="B3441" s="6" t="str">
        <f t="shared" si="827"/>
        <v>Lasa Int</v>
      </c>
      <c r="C3441" s="7">
        <v>45875</v>
      </c>
      <c r="D3441" s="7">
        <v>46053</v>
      </c>
      <c r="E3441" s="8">
        <v>6</v>
      </c>
      <c r="F3441" s="6" t="str">
        <f t="shared" si="828"/>
        <v>Dream</v>
      </c>
      <c r="G3441" s="6" t="str">
        <f t="shared" si="829"/>
        <v>F161900120000005</v>
      </c>
      <c r="H3441" s="6" t="str">
        <f t="shared" si="830"/>
        <v>TA DREAM 2018 - 2100</v>
      </c>
      <c r="I3441" s="6" t="str">
        <f>"2129"</f>
        <v>2129</v>
      </c>
      <c r="J3441" s="6" t="str">
        <f>"BEGE 2129"</f>
        <v>BEGE 2129</v>
      </c>
      <c r="K3441" s="6" t="str">
        <f>"3042"</f>
        <v>3042</v>
      </c>
      <c r="L3441" s="6" t="str">
        <f t="shared" si="831"/>
        <v>Tapetes</v>
      </c>
      <c r="M3441" s="6" t="str">
        <f>"70x120"</f>
        <v>70x120</v>
      </c>
      <c r="N3441" s="6" t="str">
        <f>"5605247643352"</f>
        <v>5605247643352</v>
      </c>
      <c r="O3441" s="8">
        <v>60</v>
      </c>
      <c r="R3441" s="8">
        <v>0</v>
      </c>
      <c r="U3441" s="8">
        <v>0</v>
      </c>
      <c r="X3441" s="8">
        <v>0</v>
      </c>
      <c r="Z3441" s="8">
        <v>0</v>
      </c>
      <c r="AC3441" s="8">
        <v>0</v>
      </c>
      <c r="AF3441" s="8">
        <v>0</v>
      </c>
      <c r="AN3441" s="8">
        <v>0</v>
      </c>
      <c r="AO3441" s="8">
        <v>60</v>
      </c>
    </row>
    <row r="3442" spans="1:41" x14ac:dyDescent="0.25">
      <c r="A3442" s="6" t="str">
        <f t="shared" si="826"/>
        <v>525-2025000411</v>
      </c>
      <c r="B3442" s="6" t="str">
        <f t="shared" si="827"/>
        <v>Lasa Int</v>
      </c>
      <c r="C3442" s="7">
        <v>45875</v>
      </c>
      <c r="D3442" s="7">
        <v>46053</v>
      </c>
      <c r="E3442" s="8">
        <v>7</v>
      </c>
      <c r="F3442" s="6" t="str">
        <f t="shared" si="828"/>
        <v>Dream</v>
      </c>
      <c r="G3442" s="6" t="str">
        <f t="shared" si="829"/>
        <v>F161900120000005</v>
      </c>
      <c r="H3442" s="6" t="str">
        <f t="shared" si="830"/>
        <v>TA DREAM 2018 - 2100</v>
      </c>
      <c r="I3442" s="6" t="str">
        <f>"2618"</f>
        <v>2618</v>
      </c>
      <c r="J3442" s="6" t="str">
        <f>"BEGE 2618"</f>
        <v>BEGE 2618</v>
      </c>
      <c r="K3442" s="6" t="str">
        <f>"3011"</f>
        <v>3011</v>
      </c>
      <c r="L3442" s="6" t="str">
        <f t="shared" si="831"/>
        <v>Tapetes</v>
      </c>
      <c r="M3442" s="6" t="str">
        <f>"60x60"</f>
        <v>60x60</v>
      </c>
      <c r="N3442" s="6" t="str">
        <f>"5605247643390"</f>
        <v>5605247643390</v>
      </c>
      <c r="O3442" s="8">
        <v>60</v>
      </c>
      <c r="R3442" s="8">
        <v>0</v>
      </c>
      <c r="U3442" s="8">
        <v>0</v>
      </c>
      <c r="X3442" s="8">
        <v>0</v>
      </c>
      <c r="Z3442" s="8">
        <v>0</v>
      </c>
      <c r="AC3442" s="8">
        <v>0</v>
      </c>
      <c r="AF3442" s="8">
        <v>0</v>
      </c>
      <c r="AN3442" s="8">
        <v>0</v>
      </c>
      <c r="AO3442" s="8">
        <v>60</v>
      </c>
    </row>
    <row r="3443" spans="1:41" x14ac:dyDescent="0.25">
      <c r="A3443" s="6" t="str">
        <f t="shared" si="826"/>
        <v>525-2025000411</v>
      </c>
      <c r="B3443" s="6" t="str">
        <f t="shared" si="827"/>
        <v>Lasa Int</v>
      </c>
      <c r="C3443" s="7">
        <v>45875</v>
      </c>
      <c r="D3443" s="7">
        <v>46053</v>
      </c>
      <c r="E3443" s="8">
        <v>8</v>
      </c>
      <c r="F3443" s="6" t="str">
        <f t="shared" si="828"/>
        <v>Dream</v>
      </c>
      <c r="G3443" s="6" t="str">
        <f t="shared" si="829"/>
        <v>F161900120000005</v>
      </c>
      <c r="H3443" s="6" t="str">
        <f t="shared" si="830"/>
        <v>TA DREAM 2018 - 2100</v>
      </c>
      <c r="I3443" s="6" t="str">
        <f>"2618"</f>
        <v>2618</v>
      </c>
      <c r="J3443" s="6" t="str">
        <f>"BEGE 2618"</f>
        <v>BEGE 2618</v>
      </c>
      <c r="K3443" s="6" t="str">
        <f>"3013"</f>
        <v>3013</v>
      </c>
      <c r="L3443" s="6" t="str">
        <f t="shared" si="831"/>
        <v>Tapetes</v>
      </c>
      <c r="M3443" s="6" t="str">
        <f>"60x90"</f>
        <v>60x90</v>
      </c>
      <c r="N3443" s="6" t="str">
        <f>"5605247643406"</f>
        <v>5605247643406</v>
      </c>
      <c r="O3443" s="8">
        <v>180</v>
      </c>
      <c r="R3443" s="8">
        <v>0</v>
      </c>
      <c r="U3443" s="8">
        <v>0</v>
      </c>
      <c r="X3443" s="8">
        <v>0</v>
      </c>
      <c r="Z3443" s="8">
        <v>0</v>
      </c>
      <c r="AC3443" s="8">
        <v>0</v>
      </c>
      <c r="AF3443" s="8">
        <v>0</v>
      </c>
      <c r="AN3443" s="8">
        <v>0</v>
      </c>
      <c r="AO3443" s="8">
        <v>180</v>
      </c>
    </row>
    <row r="3444" spans="1:41" x14ac:dyDescent="0.25">
      <c r="A3444" s="6" t="str">
        <f t="shared" si="826"/>
        <v>525-2025000411</v>
      </c>
      <c r="B3444" s="6" t="str">
        <f t="shared" si="827"/>
        <v>Lasa Int</v>
      </c>
      <c r="C3444" s="7">
        <v>45875</v>
      </c>
      <c r="D3444" s="7">
        <v>46053</v>
      </c>
      <c r="E3444" s="8">
        <v>9</v>
      </c>
      <c r="F3444" s="6" t="str">
        <f t="shared" si="828"/>
        <v>Dream</v>
      </c>
      <c r="G3444" s="6" t="str">
        <f t="shared" si="829"/>
        <v>F161900120000005</v>
      </c>
      <c r="H3444" s="6" t="str">
        <f t="shared" si="830"/>
        <v>TA DREAM 2018 - 2100</v>
      </c>
      <c r="I3444" s="6" t="str">
        <f>"2618"</f>
        <v>2618</v>
      </c>
      <c r="J3444" s="6" t="str">
        <f>"BEGE 2618"</f>
        <v>BEGE 2618</v>
      </c>
      <c r="K3444" s="6" t="str">
        <f>"3042"</f>
        <v>3042</v>
      </c>
      <c r="L3444" s="6" t="str">
        <f t="shared" si="831"/>
        <v>Tapetes</v>
      </c>
      <c r="M3444" s="6" t="str">
        <f>"70x120"</f>
        <v>70x120</v>
      </c>
      <c r="N3444" s="6" t="str">
        <f>"5605247643413"</f>
        <v>5605247643413</v>
      </c>
      <c r="O3444" s="8">
        <v>50</v>
      </c>
      <c r="R3444" s="8">
        <v>0</v>
      </c>
      <c r="U3444" s="8">
        <v>0</v>
      </c>
      <c r="X3444" s="8">
        <v>0</v>
      </c>
      <c r="Z3444" s="8">
        <v>0</v>
      </c>
      <c r="AC3444" s="8">
        <v>0</v>
      </c>
      <c r="AF3444" s="8">
        <v>0</v>
      </c>
      <c r="AN3444" s="8">
        <v>0</v>
      </c>
      <c r="AO3444" s="8">
        <v>50</v>
      </c>
    </row>
    <row r="3445" spans="1:41" x14ac:dyDescent="0.25">
      <c r="A3445" s="6" t="str">
        <f t="shared" si="826"/>
        <v>525-2025000411</v>
      </c>
      <c r="B3445" s="6" t="str">
        <f t="shared" si="827"/>
        <v>Lasa Int</v>
      </c>
      <c r="C3445" s="7">
        <v>45875</v>
      </c>
      <c r="D3445" s="7">
        <v>46053</v>
      </c>
      <c r="E3445" s="8">
        <v>10</v>
      </c>
      <c r="F3445" s="6" t="str">
        <f t="shared" si="828"/>
        <v>Dream</v>
      </c>
      <c r="G3445" s="6" t="str">
        <f t="shared" si="829"/>
        <v>F161900120000005</v>
      </c>
      <c r="H3445" s="6" t="str">
        <f t="shared" si="830"/>
        <v>TA DREAM 2018 - 2100</v>
      </c>
      <c r="I3445" s="6" t="str">
        <f>"2620"</f>
        <v>2620</v>
      </c>
      <c r="J3445" s="6" t="str">
        <f>"CINZA 2620"</f>
        <v>CINZA 2620</v>
      </c>
      <c r="K3445" s="6" t="str">
        <f>"3011"</f>
        <v>3011</v>
      </c>
      <c r="L3445" s="6" t="str">
        <f t="shared" si="831"/>
        <v>Tapetes</v>
      </c>
      <c r="M3445" s="6" t="str">
        <f>"60x60"</f>
        <v>60x60</v>
      </c>
      <c r="N3445" s="6" t="str">
        <f>"5605247643420"</f>
        <v>5605247643420</v>
      </c>
      <c r="O3445" s="8">
        <v>60</v>
      </c>
      <c r="R3445" s="8">
        <v>0</v>
      </c>
      <c r="U3445" s="8">
        <v>0</v>
      </c>
      <c r="X3445" s="8">
        <v>0</v>
      </c>
      <c r="Z3445" s="8">
        <v>0</v>
      </c>
      <c r="AC3445" s="8">
        <v>0</v>
      </c>
      <c r="AF3445" s="8">
        <v>0</v>
      </c>
      <c r="AN3445" s="8">
        <v>0</v>
      </c>
      <c r="AO3445" s="8">
        <v>60</v>
      </c>
    </row>
    <row r="3446" spans="1:41" x14ac:dyDescent="0.25">
      <c r="A3446" s="6" t="str">
        <f t="shared" si="826"/>
        <v>525-2025000411</v>
      </c>
      <c r="B3446" s="6" t="str">
        <f t="shared" si="827"/>
        <v>Lasa Int</v>
      </c>
      <c r="C3446" s="7">
        <v>45875</v>
      </c>
      <c r="D3446" s="7">
        <v>46053</v>
      </c>
      <c r="E3446" s="8">
        <v>11</v>
      </c>
      <c r="F3446" s="6" t="str">
        <f t="shared" si="828"/>
        <v>Dream</v>
      </c>
      <c r="G3446" s="6" t="str">
        <f t="shared" si="829"/>
        <v>F161900120000005</v>
      </c>
      <c r="H3446" s="6" t="str">
        <f t="shared" si="830"/>
        <v>TA DREAM 2018 - 2100</v>
      </c>
      <c r="I3446" s="6" t="str">
        <f>"2620"</f>
        <v>2620</v>
      </c>
      <c r="J3446" s="6" t="str">
        <f>"CINZA 2620"</f>
        <v>CINZA 2620</v>
      </c>
      <c r="K3446" s="6" t="str">
        <f>"3013"</f>
        <v>3013</v>
      </c>
      <c r="L3446" s="6" t="str">
        <f t="shared" si="831"/>
        <v>Tapetes</v>
      </c>
      <c r="M3446" s="6" t="str">
        <f>"60x90"</f>
        <v>60x90</v>
      </c>
      <c r="N3446" s="6" t="str">
        <f>"5605247643437"</f>
        <v>5605247643437</v>
      </c>
      <c r="O3446" s="8">
        <v>120</v>
      </c>
      <c r="R3446" s="8">
        <v>0</v>
      </c>
      <c r="U3446" s="8">
        <v>0</v>
      </c>
      <c r="X3446" s="8">
        <v>0</v>
      </c>
      <c r="Z3446" s="8">
        <v>0</v>
      </c>
      <c r="AC3446" s="8">
        <v>0</v>
      </c>
      <c r="AF3446" s="8">
        <v>0</v>
      </c>
      <c r="AN3446" s="8">
        <v>0</v>
      </c>
      <c r="AO3446" s="8">
        <v>120</v>
      </c>
    </row>
    <row r="3447" spans="1:41" x14ac:dyDescent="0.25">
      <c r="A3447" s="6" t="str">
        <f t="shared" si="826"/>
        <v>525-2025000411</v>
      </c>
      <c r="B3447" s="6" t="str">
        <f t="shared" si="827"/>
        <v>Lasa Int</v>
      </c>
      <c r="C3447" s="7">
        <v>45875</v>
      </c>
      <c r="D3447" s="7">
        <v>46053</v>
      </c>
      <c r="E3447" s="8">
        <v>12</v>
      </c>
      <c r="F3447" s="6" t="str">
        <f t="shared" si="828"/>
        <v>Dream</v>
      </c>
      <c r="G3447" s="6" t="str">
        <f t="shared" si="829"/>
        <v>F161900120000005</v>
      </c>
      <c r="H3447" s="6" t="str">
        <f t="shared" si="830"/>
        <v>TA DREAM 2018 - 2100</v>
      </c>
      <c r="I3447" s="6" t="str">
        <f>"2620"</f>
        <v>2620</v>
      </c>
      <c r="J3447" s="6" t="str">
        <f>"CINZA 2620"</f>
        <v>CINZA 2620</v>
      </c>
      <c r="K3447" s="6" t="str">
        <f>"3042"</f>
        <v>3042</v>
      </c>
      <c r="L3447" s="6" t="str">
        <f t="shared" si="831"/>
        <v>Tapetes</v>
      </c>
      <c r="M3447" s="6" t="str">
        <f>"70x120"</f>
        <v>70x120</v>
      </c>
      <c r="N3447" s="6" t="str">
        <f>"5605247643444"</f>
        <v>5605247643444</v>
      </c>
      <c r="O3447" s="8">
        <v>70</v>
      </c>
      <c r="R3447" s="8">
        <v>0</v>
      </c>
      <c r="U3447" s="8">
        <v>0</v>
      </c>
      <c r="X3447" s="8">
        <v>0</v>
      </c>
      <c r="Z3447" s="8">
        <v>0</v>
      </c>
      <c r="AC3447" s="8">
        <v>0</v>
      </c>
      <c r="AF3447" s="8">
        <v>0</v>
      </c>
      <c r="AN3447" s="8">
        <v>0</v>
      </c>
      <c r="AO3447" s="8">
        <v>70</v>
      </c>
    </row>
    <row r="3448" spans="1:41" x14ac:dyDescent="0.25">
      <c r="A3448" s="6" t="str">
        <f t="shared" si="826"/>
        <v>525-2025000411</v>
      </c>
      <c r="B3448" s="6" t="str">
        <f t="shared" si="827"/>
        <v>Lasa Int</v>
      </c>
      <c r="C3448" s="7">
        <v>45875</v>
      </c>
      <c r="D3448" s="7">
        <v>46053</v>
      </c>
      <c r="E3448" s="8">
        <v>13</v>
      </c>
      <c r="F3448" s="6" t="str">
        <f t="shared" si="828"/>
        <v>Dream</v>
      </c>
      <c r="G3448" s="6" t="str">
        <f t="shared" si="829"/>
        <v>F161900120000005</v>
      </c>
      <c r="H3448" s="6" t="str">
        <f t="shared" si="830"/>
        <v>TA DREAM 2018 - 2100</v>
      </c>
      <c r="I3448" s="6" t="str">
        <f>"3235"</f>
        <v>3235</v>
      </c>
      <c r="J3448" s="6" t="str">
        <f>"CINZA 3235"</f>
        <v>CINZA 3235</v>
      </c>
      <c r="K3448" s="6" t="str">
        <f>"3011"</f>
        <v>3011</v>
      </c>
      <c r="L3448" s="6" t="str">
        <f t="shared" si="831"/>
        <v>Tapetes</v>
      </c>
      <c r="M3448" s="6" t="str">
        <f>"60x60"</f>
        <v>60x60</v>
      </c>
      <c r="N3448" s="6" t="str">
        <f>"5605247643451"</f>
        <v>5605247643451</v>
      </c>
      <c r="O3448" s="8">
        <v>20</v>
      </c>
      <c r="R3448" s="8">
        <v>0</v>
      </c>
      <c r="U3448" s="8">
        <v>0</v>
      </c>
      <c r="X3448" s="8">
        <v>0</v>
      </c>
      <c r="Z3448" s="8">
        <v>0</v>
      </c>
      <c r="AC3448" s="8">
        <v>0</v>
      </c>
      <c r="AF3448" s="8">
        <v>0</v>
      </c>
      <c r="AN3448" s="8">
        <v>0</v>
      </c>
      <c r="AO3448" s="8">
        <v>20</v>
      </c>
    </row>
    <row r="3449" spans="1:41" x14ac:dyDescent="0.25">
      <c r="A3449" s="6" t="str">
        <f t="shared" si="826"/>
        <v>525-2025000411</v>
      </c>
      <c r="B3449" s="6" t="str">
        <f t="shared" si="827"/>
        <v>Lasa Int</v>
      </c>
      <c r="C3449" s="7">
        <v>45875</v>
      </c>
      <c r="D3449" s="7">
        <v>46053</v>
      </c>
      <c r="E3449" s="8">
        <v>14</v>
      </c>
      <c r="F3449" s="6" t="str">
        <f t="shared" si="828"/>
        <v>Dream</v>
      </c>
      <c r="G3449" s="6" t="str">
        <f t="shared" si="829"/>
        <v>F161900120000005</v>
      </c>
      <c r="H3449" s="6" t="str">
        <f t="shared" si="830"/>
        <v>TA DREAM 2018 - 2100</v>
      </c>
      <c r="I3449" s="6" t="str">
        <f>"3235"</f>
        <v>3235</v>
      </c>
      <c r="J3449" s="6" t="str">
        <f>"CINZA 3235"</f>
        <v>CINZA 3235</v>
      </c>
      <c r="K3449" s="6" t="str">
        <f>"3013"</f>
        <v>3013</v>
      </c>
      <c r="L3449" s="6" t="str">
        <f t="shared" si="831"/>
        <v>Tapetes</v>
      </c>
      <c r="M3449" s="6" t="str">
        <f>"60x90"</f>
        <v>60x90</v>
      </c>
      <c r="N3449" s="6" t="str">
        <f>"5605247643468"</f>
        <v>5605247643468</v>
      </c>
      <c r="O3449" s="8">
        <v>180</v>
      </c>
      <c r="R3449" s="8">
        <v>0</v>
      </c>
      <c r="U3449" s="8">
        <v>0</v>
      </c>
      <c r="X3449" s="8">
        <v>0</v>
      </c>
      <c r="Z3449" s="8">
        <v>0</v>
      </c>
      <c r="AC3449" s="8">
        <v>0</v>
      </c>
      <c r="AF3449" s="8">
        <v>0</v>
      </c>
      <c r="AN3449" s="8">
        <v>0</v>
      </c>
      <c r="AO3449" s="8">
        <v>180</v>
      </c>
    </row>
    <row r="3450" spans="1:41" x14ac:dyDescent="0.25">
      <c r="A3450" s="6" t="str">
        <f t="shared" si="826"/>
        <v>525-2025000411</v>
      </c>
      <c r="B3450" s="6" t="str">
        <f t="shared" si="827"/>
        <v>Lasa Int</v>
      </c>
      <c r="C3450" s="7">
        <v>45875</v>
      </c>
      <c r="D3450" s="7">
        <v>46053</v>
      </c>
      <c r="E3450" s="8">
        <v>15</v>
      </c>
      <c r="F3450" s="6" t="str">
        <f t="shared" si="828"/>
        <v>Dream</v>
      </c>
      <c r="G3450" s="6" t="str">
        <f t="shared" si="829"/>
        <v>F161900120000005</v>
      </c>
      <c r="H3450" s="6" t="str">
        <f t="shared" si="830"/>
        <v>TA DREAM 2018 - 2100</v>
      </c>
      <c r="I3450" s="6" t="str">
        <f>"3235"</f>
        <v>3235</v>
      </c>
      <c r="J3450" s="6" t="str">
        <f>"CINZA 3235"</f>
        <v>CINZA 3235</v>
      </c>
      <c r="K3450" s="6" t="str">
        <f>"3042"</f>
        <v>3042</v>
      </c>
      <c r="L3450" s="6" t="str">
        <f t="shared" si="831"/>
        <v>Tapetes</v>
      </c>
      <c r="M3450" s="6" t="str">
        <f>"70x120"</f>
        <v>70x120</v>
      </c>
      <c r="N3450" s="6" t="str">
        <f>"5605247643475"</f>
        <v>5605247643475</v>
      </c>
      <c r="O3450" s="8">
        <v>120</v>
      </c>
      <c r="R3450" s="8">
        <v>0</v>
      </c>
      <c r="U3450" s="8">
        <v>0</v>
      </c>
      <c r="X3450" s="8">
        <v>0</v>
      </c>
      <c r="Z3450" s="8">
        <v>0</v>
      </c>
      <c r="AC3450" s="8">
        <v>0</v>
      </c>
      <c r="AF3450" s="8">
        <v>0</v>
      </c>
      <c r="AN3450" s="8">
        <v>0</v>
      </c>
      <c r="AO3450" s="8">
        <v>120</v>
      </c>
    </row>
    <row r="3451" spans="1:41" x14ac:dyDescent="0.25">
      <c r="A3451" s="6" t="str">
        <f>"525-2025000412"</f>
        <v>525-2025000412</v>
      </c>
      <c r="B3451" s="6" t="str">
        <f t="shared" si="827"/>
        <v>Lasa Int</v>
      </c>
      <c r="C3451" s="7">
        <v>45875</v>
      </c>
      <c r="D3451" s="7">
        <v>46052</v>
      </c>
      <c r="E3451" s="8">
        <v>1</v>
      </c>
      <c r="F3451" s="6" t="str">
        <f>"Panos CZJ"</f>
        <v>Panos CZJ</v>
      </c>
      <c r="G3451" s="6" t="str">
        <f>"C001101823000000"</f>
        <v>C001101823000000</v>
      </c>
      <c r="H3451" s="6" t="str">
        <f>"CZJ 1018 - 230 gr/m²"</f>
        <v>CZJ 1018 - 230 gr/m²</v>
      </c>
      <c r="I3451" s="6" t="str">
        <f>"2096"</f>
        <v>2096</v>
      </c>
      <c r="J3451" s="6" t="str">
        <f>"AZUL 2096"</f>
        <v>AZUL 2096</v>
      </c>
      <c r="K3451" s="6" t="str">
        <f>"0830"</f>
        <v>0830</v>
      </c>
      <c r="L3451" s="6" t="str">
        <f>"Cozinha"</f>
        <v>Cozinha</v>
      </c>
      <c r="M3451" s="6" t="str">
        <f>"50x70"</f>
        <v>50x70</v>
      </c>
      <c r="N3451" s="6" t="str">
        <f>"5602972758771"</f>
        <v>5602972758771</v>
      </c>
      <c r="O3451" s="8">
        <v>600</v>
      </c>
      <c r="P3451" s="7">
        <v>45919</v>
      </c>
      <c r="R3451" s="8">
        <v>1276</v>
      </c>
      <c r="S3451" s="7">
        <v>45924</v>
      </c>
      <c r="U3451" s="8">
        <v>628</v>
      </c>
      <c r="V3451" s="7">
        <v>45933</v>
      </c>
      <c r="X3451" s="8">
        <v>0</v>
      </c>
      <c r="Z3451" s="8">
        <v>628</v>
      </c>
      <c r="AA3451" s="7">
        <v>45945</v>
      </c>
      <c r="AC3451" s="8">
        <v>544</v>
      </c>
      <c r="AE3451" s="7">
        <v>45947</v>
      </c>
      <c r="AF3451" s="8">
        <v>544</v>
      </c>
      <c r="AH3451" s="7">
        <v>45947</v>
      </c>
      <c r="AN3451" s="8">
        <v>544</v>
      </c>
      <c r="AO3451" s="8">
        <v>56</v>
      </c>
    </row>
    <row r="3452" spans="1:41" x14ac:dyDescent="0.25">
      <c r="A3452" s="6" t="str">
        <f>"525-2025000412"</f>
        <v>525-2025000412</v>
      </c>
      <c r="B3452" s="6" t="str">
        <f t="shared" si="827"/>
        <v>Lasa Int</v>
      </c>
      <c r="C3452" s="7">
        <v>45875</v>
      </c>
      <c r="D3452" s="7">
        <v>46052</v>
      </c>
      <c r="E3452" s="8">
        <v>2</v>
      </c>
      <c r="F3452" s="6" t="str">
        <f>"Panos CZJ"</f>
        <v>Panos CZJ</v>
      </c>
      <c r="G3452" s="6" t="str">
        <f>"C001101823000000"</f>
        <v>C001101823000000</v>
      </c>
      <c r="H3452" s="6" t="str">
        <f>"CZJ 1018 - 230 gr/m²"</f>
        <v>CZJ 1018 - 230 gr/m²</v>
      </c>
      <c r="I3452" s="6" t="str">
        <f>"3233"</f>
        <v>3233</v>
      </c>
      <c r="J3452" s="6" t="str">
        <f>"LILAS 3233"</f>
        <v>LILAS 3233</v>
      </c>
      <c r="K3452" s="6" t="str">
        <f>"0830"</f>
        <v>0830</v>
      </c>
      <c r="L3452" s="6" t="str">
        <f>"Cozinha"</f>
        <v>Cozinha</v>
      </c>
      <c r="M3452" s="6" t="str">
        <f>"50x70"</f>
        <v>50x70</v>
      </c>
      <c r="N3452" s="6" t="str">
        <f>"5602972758764"</f>
        <v>5602972758764</v>
      </c>
      <c r="O3452" s="8">
        <v>600</v>
      </c>
      <c r="P3452" s="7">
        <v>45919</v>
      </c>
      <c r="R3452" s="8">
        <v>0</v>
      </c>
      <c r="S3452" s="7">
        <v>45924</v>
      </c>
      <c r="U3452" s="8">
        <v>648</v>
      </c>
      <c r="V3452" s="7">
        <v>45933</v>
      </c>
      <c r="X3452" s="8">
        <v>0</v>
      </c>
      <c r="Z3452" s="8">
        <v>648</v>
      </c>
      <c r="AA3452" s="7">
        <v>45945</v>
      </c>
      <c r="AC3452" s="8">
        <v>408</v>
      </c>
      <c r="AE3452" s="7">
        <v>45947</v>
      </c>
      <c r="AF3452" s="8">
        <v>408</v>
      </c>
      <c r="AH3452" s="7">
        <v>45947</v>
      </c>
      <c r="AN3452" s="8">
        <v>408</v>
      </c>
      <c r="AO3452" s="8">
        <v>192</v>
      </c>
    </row>
    <row r="3453" spans="1:41" x14ac:dyDescent="0.25">
      <c r="A3453" s="6" t="str">
        <f t="shared" ref="A3453:A3475" si="832">"525-2025000413"</f>
        <v>525-2025000413</v>
      </c>
      <c r="B3453" s="6" t="str">
        <f t="shared" si="827"/>
        <v>Lasa Int</v>
      </c>
      <c r="C3453" s="7">
        <v>45875</v>
      </c>
      <c r="D3453" s="7">
        <v>46094</v>
      </c>
      <c r="E3453" s="8">
        <v>1</v>
      </c>
      <c r="F3453" s="6" t="str">
        <f t="shared" ref="F3453:F3475" si="833">"Cool"</f>
        <v>Cool</v>
      </c>
      <c r="G3453" s="6" t="str">
        <f t="shared" ref="G3453:G3464" si="834">"R702284130000000"</f>
        <v>R702284130000000</v>
      </c>
      <c r="H3453" s="6" t="str">
        <f t="shared" ref="H3453:H3464" si="835">"R 2841 - Ketten - 30"</f>
        <v>R 2841 - Ketten - 30</v>
      </c>
      <c r="I3453" s="6" t="str">
        <f>"2094"</f>
        <v>2094</v>
      </c>
      <c r="J3453" s="6" t="str">
        <f>"AZUL 2094"</f>
        <v>AZUL 2094</v>
      </c>
      <c r="K3453" s="6" t="str">
        <f>"5002"</f>
        <v>5002</v>
      </c>
      <c r="L3453" s="6" t="str">
        <f t="shared" ref="L3453:L3464" si="836">"Roupões Adulto"</f>
        <v>Roupões Adulto</v>
      </c>
      <c r="M3453" s="6" t="str">
        <f>"S"</f>
        <v>S</v>
      </c>
      <c r="N3453" s="6" t="str">
        <f>"5602972776133"</f>
        <v>5602972776133</v>
      </c>
      <c r="O3453" s="8">
        <v>24</v>
      </c>
      <c r="P3453" s="7">
        <v>45916</v>
      </c>
      <c r="R3453" s="8">
        <v>0</v>
      </c>
      <c r="S3453" s="7">
        <v>45919</v>
      </c>
      <c r="U3453" s="8">
        <v>0</v>
      </c>
      <c r="V3453" s="7">
        <v>45930</v>
      </c>
      <c r="X3453" s="8">
        <v>0</v>
      </c>
      <c r="Z3453" s="8">
        <v>0</v>
      </c>
      <c r="AA3453" s="7">
        <v>45944</v>
      </c>
      <c r="AC3453" s="8">
        <v>0</v>
      </c>
      <c r="AE3453" s="7">
        <v>45954</v>
      </c>
      <c r="AF3453" s="8">
        <v>0</v>
      </c>
      <c r="AH3453" s="7">
        <v>46036</v>
      </c>
      <c r="AI3453" s="7">
        <v>45951</v>
      </c>
      <c r="AN3453" s="8">
        <v>0</v>
      </c>
      <c r="AO3453" s="8">
        <v>24</v>
      </c>
    </row>
    <row r="3454" spans="1:41" x14ac:dyDescent="0.25">
      <c r="A3454" s="6" t="str">
        <f t="shared" si="832"/>
        <v>525-2025000413</v>
      </c>
      <c r="B3454" s="6" t="str">
        <f t="shared" si="827"/>
        <v>Lasa Int</v>
      </c>
      <c r="C3454" s="7">
        <v>45875</v>
      </c>
      <c r="D3454" s="7">
        <v>46094</v>
      </c>
      <c r="E3454" s="8">
        <v>2</v>
      </c>
      <c r="F3454" s="6" t="str">
        <f t="shared" si="833"/>
        <v>Cool</v>
      </c>
      <c r="G3454" s="6" t="str">
        <f t="shared" si="834"/>
        <v>R702284130000000</v>
      </c>
      <c r="H3454" s="6" t="str">
        <f t="shared" si="835"/>
        <v>R 2841 - Ketten - 30</v>
      </c>
      <c r="I3454" s="6" t="str">
        <f>"2094"</f>
        <v>2094</v>
      </c>
      <c r="J3454" s="6" t="str">
        <f>"AZUL 2094"</f>
        <v>AZUL 2094</v>
      </c>
      <c r="K3454" s="6" t="str">
        <f>"5004"</f>
        <v>5004</v>
      </c>
      <c r="L3454" s="6" t="str">
        <f t="shared" si="836"/>
        <v>Roupões Adulto</v>
      </c>
      <c r="M3454" s="6" t="str">
        <f>"M"</f>
        <v>M</v>
      </c>
      <c r="N3454" s="6" t="str">
        <f>"5602972776140"</f>
        <v>5602972776140</v>
      </c>
      <c r="O3454" s="8">
        <v>72</v>
      </c>
      <c r="P3454" s="7">
        <v>45916</v>
      </c>
      <c r="R3454" s="8">
        <v>0</v>
      </c>
      <c r="S3454" s="7">
        <v>45919</v>
      </c>
      <c r="U3454" s="8">
        <v>0</v>
      </c>
      <c r="V3454" s="7">
        <v>45930</v>
      </c>
      <c r="X3454" s="8">
        <v>0</v>
      </c>
      <c r="Z3454" s="8">
        <v>0</v>
      </c>
      <c r="AA3454" s="7">
        <v>45944</v>
      </c>
      <c r="AC3454" s="8">
        <v>0</v>
      </c>
      <c r="AE3454" s="7">
        <v>45954</v>
      </c>
      <c r="AF3454" s="8">
        <v>0</v>
      </c>
      <c r="AH3454" s="7">
        <v>46036</v>
      </c>
      <c r="AI3454" s="7">
        <v>45951</v>
      </c>
      <c r="AN3454" s="8">
        <v>0</v>
      </c>
      <c r="AO3454" s="8">
        <v>72</v>
      </c>
    </row>
    <row r="3455" spans="1:41" x14ac:dyDescent="0.25">
      <c r="A3455" s="6" t="str">
        <f t="shared" si="832"/>
        <v>525-2025000413</v>
      </c>
      <c r="B3455" s="6" t="str">
        <f t="shared" si="827"/>
        <v>Lasa Int</v>
      </c>
      <c r="C3455" s="7">
        <v>45875</v>
      </c>
      <c r="D3455" s="7">
        <v>46094</v>
      </c>
      <c r="E3455" s="8">
        <v>3</v>
      </c>
      <c r="F3455" s="6" t="str">
        <f t="shared" si="833"/>
        <v>Cool</v>
      </c>
      <c r="G3455" s="6" t="str">
        <f t="shared" si="834"/>
        <v>R702284130000000</v>
      </c>
      <c r="H3455" s="6" t="str">
        <f t="shared" si="835"/>
        <v>R 2841 - Ketten - 30</v>
      </c>
      <c r="I3455" s="6" t="str">
        <f>"2094"</f>
        <v>2094</v>
      </c>
      <c r="J3455" s="6" t="str">
        <f>"AZUL 2094"</f>
        <v>AZUL 2094</v>
      </c>
      <c r="K3455" s="6" t="str">
        <f>"5006"</f>
        <v>5006</v>
      </c>
      <c r="L3455" s="6" t="str">
        <f t="shared" si="836"/>
        <v>Roupões Adulto</v>
      </c>
      <c r="M3455" s="6" t="str">
        <f>"L"</f>
        <v>L</v>
      </c>
      <c r="N3455" s="6" t="str">
        <f>"5602972776157"</f>
        <v>5602972776157</v>
      </c>
      <c r="O3455" s="8">
        <v>84</v>
      </c>
      <c r="P3455" s="7">
        <v>45916</v>
      </c>
      <c r="R3455" s="8">
        <v>0</v>
      </c>
      <c r="S3455" s="7">
        <v>45919</v>
      </c>
      <c r="U3455" s="8">
        <v>0</v>
      </c>
      <c r="V3455" s="7">
        <v>45930</v>
      </c>
      <c r="X3455" s="8">
        <v>0</v>
      </c>
      <c r="Z3455" s="8">
        <v>0</v>
      </c>
      <c r="AA3455" s="7">
        <v>45944</v>
      </c>
      <c r="AC3455" s="8">
        <v>0</v>
      </c>
      <c r="AE3455" s="7">
        <v>45954</v>
      </c>
      <c r="AF3455" s="8">
        <v>0</v>
      </c>
      <c r="AH3455" s="7">
        <v>46036</v>
      </c>
      <c r="AI3455" s="7">
        <v>45951</v>
      </c>
      <c r="AN3455" s="8">
        <v>0</v>
      </c>
      <c r="AO3455" s="8">
        <v>84</v>
      </c>
    </row>
    <row r="3456" spans="1:41" x14ac:dyDescent="0.25">
      <c r="A3456" s="6" t="str">
        <f t="shared" si="832"/>
        <v>525-2025000413</v>
      </c>
      <c r="B3456" s="6" t="str">
        <f t="shared" si="827"/>
        <v>Lasa Int</v>
      </c>
      <c r="C3456" s="7">
        <v>45875</v>
      </c>
      <c r="D3456" s="7">
        <v>46094</v>
      </c>
      <c r="E3456" s="8">
        <v>4</v>
      </c>
      <c r="F3456" s="6" t="str">
        <f t="shared" si="833"/>
        <v>Cool</v>
      </c>
      <c r="G3456" s="6" t="str">
        <f t="shared" si="834"/>
        <v>R702284130000000</v>
      </c>
      <c r="H3456" s="6" t="str">
        <f t="shared" si="835"/>
        <v>R 2841 - Ketten - 30</v>
      </c>
      <c r="I3456" s="6" t="str">
        <f>"2094"</f>
        <v>2094</v>
      </c>
      <c r="J3456" s="6" t="str">
        <f>"AZUL 2094"</f>
        <v>AZUL 2094</v>
      </c>
      <c r="K3456" s="6" t="str">
        <f>"5008"</f>
        <v>5008</v>
      </c>
      <c r="L3456" s="6" t="str">
        <f t="shared" si="836"/>
        <v>Roupões Adulto</v>
      </c>
      <c r="M3456" s="6" t="str">
        <f>"XL"</f>
        <v>XL</v>
      </c>
      <c r="N3456" s="6" t="str">
        <f>"5602972776164"</f>
        <v>5602972776164</v>
      </c>
      <c r="O3456" s="8">
        <v>60</v>
      </c>
      <c r="P3456" s="7">
        <v>45916</v>
      </c>
      <c r="R3456" s="8">
        <v>0</v>
      </c>
      <c r="S3456" s="7">
        <v>45919</v>
      </c>
      <c r="U3456" s="8">
        <v>0</v>
      </c>
      <c r="V3456" s="7">
        <v>45930</v>
      </c>
      <c r="X3456" s="8">
        <v>0</v>
      </c>
      <c r="Z3456" s="8">
        <v>0</v>
      </c>
      <c r="AA3456" s="7">
        <v>45944</v>
      </c>
      <c r="AC3456" s="8">
        <v>0</v>
      </c>
      <c r="AE3456" s="7">
        <v>45954</v>
      </c>
      <c r="AF3456" s="8">
        <v>0</v>
      </c>
      <c r="AH3456" s="7">
        <v>46036</v>
      </c>
      <c r="AI3456" s="7">
        <v>45951</v>
      </c>
      <c r="AN3456" s="8">
        <v>0</v>
      </c>
      <c r="AO3456" s="8">
        <v>60</v>
      </c>
    </row>
    <row r="3457" spans="1:41" x14ac:dyDescent="0.25">
      <c r="A3457" s="6" t="str">
        <f t="shared" si="832"/>
        <v>525-2025000413</v>
      </c>
      <c r="B3457" s="6" t="str">
        <f t="shared" si="827"/>
        <v>Lasa Int</v>
      </c>
      <c r="C3457" s="7">
        <v>45875</v>
      </c>
      <c r="D3457" s="7">
        <v>46094</v>
      </c>
      <c r="E3457" s="8">
        <v>5</v>
      </c>
      <c r="F3457" s="6" t="str">
        <f t="shared" si="833"/>
        <v>Cool</v>
      </c>
      <c r="G3457" s="6" t="str">
        <f t="shared" si="834"/>
        <v>R702284130000000</v>
      </c>
      <c r="H3457" s="6" t="str">
        <f t="shared" si="835"/>
        <v>R 2841 - Ketten - 30</v>
      </c>
      <c r="I3457" s="6" t="str">
        <f>"2094"</f>
        <v>2094</v>
      </c>
      <c r="J3457" s="6" t="str">
        <f>"AZUL 2094"</f>
        <v>AZUL 2094</v>
      </c>
      <c r="K3457" s="6" t="str">
        <f>"5010"</f>
        <v>5010</v>
      </c>
      <c r="L3457" s="6" t="str">
        <f t="shared" si="836"/>
        <v>Roupões Adulto</v>
      </c>
      <c r="M3457" s="6" t="str">
        <f>"XXL"</f>
        <v>XXL</v>
      </c>
      <c r="N3457" s="6" t="str">
        <f>"5602972792331"</f>
        <v>5602972792331</v>
      </c>
      <c r="O3457" s="8">
        <v>60</v>
      </c>
      <c r="P3457" s="7">
        <v>45916</v>
      </c>
      <c r="R3457" s="8">
        <v>0</v>
      </c>
      <c r="S3457" s="7">
        <v>45919</v>
      </c>
      <c r="U3457" s="8">
        <v>0</v>
      </c>
      <c r="V3457" s="7">
        <v>45930</v>
      </c>
      <c r="X3457" s="8">
        <v>0</v>
      </c>
      <c r="Z3457" s="8">
        <v>0</v>
      </c>
      <c r="AA3457" s="7">
        <v>45944</v>
      </c>
      <c r="AC3457" s="8">
        <v>0</v>
      </c>
      <c r="AE3457" s="7">
        <v>45954</v>
      </c>
      <c r="AF3457" s="8">
        <v>0</v>
      </c>
      <c r="AH3457" s="7">
        <v>46036</v>
      </c>
      <c r="AI3457" s="7">
        <v>45951</v>
      </c>
      <c r="AN3457" s="8">
        <v>0</v>
      </c>
      <c r="AO3457" s="8">
        <v>60</v>
      </c>
    </row>
    <row r="3458" spans="1:41" x14ac:dyDescent="0.25">
      <c r="A3458" s="6" t="str">
        <f t="shared" si="832"/>
        <v>525-2025000413</v>
      </c>
      <c r="B3458" s="6" t="str">
        <f t="shared" si="827"/>
        <v>Lasa Int</v>
      </c>
      <c r="C3458" s="7">
        <v>45875</v>
      </c>
      <c r="D3458" s="7">
        <v>46094</v>
      </c>
      <c r="E3458" s="8">
        <v>6</v>
      </c>
      <c r="F3458" s="6" t="str">
        <f t="shared" si="833"/>
        <v>Cool</v>
      </c>
      <c r="G3458" s="6" t="str">
        <f t="shared" si="834"/>
        <v>R702284130000000</v>
      </c>
      <c r="H3458" s="6" t="str">
        <f t="shared" si="835"/>
        <v>R 2841 - Ketten - 30</v>
      </c>
      <c r="I3458" s="6" t="str">
        <f>"2334"</f>
        <v>2334</v>
      </c>
      <c r="J3458" s="6" t="str">
        <f>"TURQUESA 2334"</f>
        <v>TURQUESA 2334</v>
      </c>
      <c r="K3458" s="6" t="str">
        <f>"5001"</f>
        <v>5001</v>
      </c>
      <c r="L3458" s="6" t="str">
        <f t="shared" si="836"/>
        <v>Roupões Adulto</v>
      </c>
      <c r="M3458" s="6" t="str">
        <f>"XS"</f>
        <v>XS</v>
      </c>
      <c r="N3458" s="6" t="str">
        <f>"5602972616910"</f>
        <v>5602972616910</v>
      </c>
      <c r="O3458" s="8">
        <v>12</v>
      </c>
      <c r="P3458" s="7">
        <v>45916</v>
      </c>
      <c r="R3458" s="8">
        <v>0</v>
      </c>
      <c r="S3458" s="7">
        <v>45919</v>
      </c>
      <c r="U3458" s="8">
        <v>0</v>
      </c>
      <c r="V3458" s="7">
        <v>45930</v>
      </c>
      <c r="X3458" s="8">
        <v>0</v>
      </c>
      <c r="Z3458" s="8">
        <v>0</v>
      </c>
      <c r="AA3458" s="7">
        <v>45944</v>
      </c>
      <c r="AC3458" s="8">
        <v>0</v>
      </c>
      <c r="AE3458" s="7">
        <v>45954</v>
      </c>
      <c r="AF3458" s="8">
        <v>0</v>
      </c>
      <c r="AH3458" s="7">
        <v>46036</v>
      </c>
      <c r="AI3458" s="7">
        <v>45951</v>
      </c>
      <c r="AN3458" s="8">
        <v>0</v>
      </c>
      <c r="AO3458" s="8">
        <v>12</v>
      </c>
    </row>
    <row r="3459" spans="1:41" x14ac:dyDescent="0.25">
      <c r="A3459" s="6" t="str">
        <f t="shared" si="832"/>
        <v>525-2025000413</v>
      </c>
      <c r="B3459" s="6" t="str">
        <f t="shared" si="827"/>
        <v>Lasa Int</v>
      </c>
      <c r="C3459" s="7">
        <v>45875</v>
      </c>
      <c r="D3459" s="7">
        <v>46094</v>
      </c>
      <c r="E3459" s="8">
        <v>7</v>
      </c>
      <c r="F3459" s="6" t="str">
        <f t="shared" si="833"/>
        <v>Cool</v>
      </c>
      <c r="G3459" s="6" t="str">
        <f t="shared" si="834"/>
        <v>R702284130000000</v>
      </c>
      <c r="H3459" s="6" t="str">
        <f t="shared" si="835"/>
        <v>R 2841 - Ketten - 30</v>
      </c>
      <c r="I3459" s="6" t="str">
        <f>"2334"</f>
        <v>2334</v>
      </c>
      <c r="J3459" s="6" t="str">
        <f>"TURQUESA 2334"</f>
        <v>TURQUESA 2334</v>
      </c>
      <c r="K3459" s="6" t="str">
        <f>"5002"</f>
        <v>5002</v>
      </c>
      <c r="L3459" s="6" t="str">
        <f t="shared" si="836"/>
        <v>Roupões Adulto</v>
      </c>
      <c r="M3459" s="6" t="str">
        <f>"S"</f>
        <v>S</v>
      </c>
      <c r="N3459" s="6" t="str">
        <f>"5602972776218"</f>
        <v>5602972776218</v>
      </c>
      <c r="O3459" s="8">
        <v>60</v>
      </c>
      <c r="P3459" s="7">
        <v>45916</v>
      </c>
      <c r="R3459" s="8">
        <v>0</v>
      </c>
      <c r="S3459" s="7">
        <v>45919</v>
      </c>
      <c r="U3459" s="8">
        <v>0</v>
      </c>
      <c r="V3459" s="7">
        <v>45930</v>
      </c>
      <c r="X3459" s="8">
        <v>0</v>
      </c>
      <c r="Z3459" s="8">
        <v>0</v>
      </c>
      <c r="AA3459" s="7">
        <v>45944</v>
      </c>
      <c r="AC3459" s="8">
        <v>0</v>
      </c>
      <c r="AE3459" s="7">
        <v>45954</v>
      </c>
      <c r="AF3459" s="8">
        <v>0</v>
      </c>
      <c r="AH3459" s="7">
        <v>46036</v>
      </c>
      <c r="AI3459" s="7">
        <v>45951</v>
      </c>
      <c r="AN3459" s="8">
        <v>0</v>
      </c>
      <c r="AO3459" s="8">
        <v>60</v>
      </c>
    </row>
    <row r="3460" spans="1:41" x14ac:dyDescent="0.25">
      <c r="A3460" s="6" t="str">
        <f t="shared" si="832"/>
        <v>525-2025000413</v>
      </c>
      <c r="B3460" s="6" t="str">
        <f t="shared" si="827"/>
        <v>Lasa Int</v>
      </c>
      <c r="C3460" s="7">
        <v>45875</v>
      </c>
      <c r="D3460" s="7">
        <v>46094</v>
      </c>
      <c r="E3460" s="8">
        <v>8</v>
      </c>
      <c r="F3460" s="6" t="str">
        <f t="shared" si="833"/>
        <v>Cool</v>
      </c>
      <c r="G3460" s="6" t="str">
        <f t="shared" si="834"/>
        <v>R702284130000000</v>
      </c>
      <c r="H3460" s="6" t="str">
        <f t="shared" si="835"/>
        <v>R 2841 - Ketten - 30</v>
      </c>
      <c r="I3460" s="6" t="str">
        <f>"2334"</f>
        <v>2334</v>
      </c>
      <c r="J3460" s="6" t="str">
        <f>"TURQUESA 2334"</f>
        <v>TURQUESA 2334</v>
      </c>
      <c r="K3460" s="6" t="str">
        <f>"5004"</f>
        <v>5004</v>
      </c>
      <c r="L3460" s="6" t="str">
        <f t="shared" si="836"/>
        <v>Roupões Adulto</v>
      </c>
      <c r="M3460" s="6" t="str">
        <f>"M"</f>
        <v>M</v>
      </c>
      <c r="N3460" s="6" t="str">
        <f>"5602972776225"</f>
        <v>5602972776225</v>
      </c>
      <c r="O3460" s="8">
        <v>72</v>
      </c>
      <c r="P3460" s="7">
        <v>45916</v>
      </c>
      <c r="R3460" s="8">
        <v>0</v>
      </c>
      <c r="S3460" s="7">
        <v>45919</v>
      </c>
      <c r="U3460" s="8">
        <v>0</v>
      </c>
      <c r="V3460" s="7">
        <v>45930</v>
      </c>
      <c r="X3460" s="8">
        <v>0</v>
      </c>
      <c r="Z3460" s="8">
        <v>0</v>
      </c>
      <c r="AA3460" s="7">
        <v>45944</v>
      </c>
      <c r="AC3460" s="8">
        <v>0</v>
      </c>
      <c r="AE3460" s="7">
        <v>45954</v>
      </c>
      <c r="AF3460" s="8">
        <v>0</v>
      </c>
      <c r="AH3460" s="7">
        <v>46036</v>
      </c>
      <c r="AI3460" s="7">
        <v>45951</v>
      </c>
      <c r="AN3460" s="8">
        <v>0</v>
      </c>
      <c r="AO3460" s="8">
        <v>72</v>
      </c>
    </row>
    <row r="3461" spans="1:41" x14ac:dyDescent="0.25">
      <c r="A3461" s="6" t="str">
        <f t="shared" si="832"/>
        <v>525-2025000413</v>
      </c>
      <c r="B3461" s="6" t="str">
        <f t="shared" si="827"/>
        <v>Lasa Int</v>
      </c>
      <c r="C3461" s="7">
        <v>45875</v>
      </c>
      <c r="D3461" s="7">
        <v>46094</v>
      </c>
      <c r="E3461" s="8">
        <v>9</v>
      </c>
      <c r="F3461" s="6" t="str">
        <f t="shared" si="833"/>
        <v>Cool</v>
      </c>
      <c r="G3461" s="6" t="str">
        <f t="shared" si="834"/>
        <v>R702284130000000</v>
      </c>
      <c r="H3461" s="6" t="str">
        <f t="shared" si="835"/>
        <v>R 2841 - Ketten - 30</v>
      </c>
      <c r="I3461" s="6" t="str">
        <f>"2334"</f>
        <v>2334</v>
      </c>
      <c r="J3461" s="6" t="str">
        <f>"TURQUESA 2334"</f>
        <v>TURQUESA 2334</v>
      </c>
      <c r="K3461" s="6" t="str">
        <f>"5006"</f>
        <v>5006</v>
      </c>
      <c r="L3461" s="6" t="str">
        <f t="shared" si="836"/>
        <v>Roupões Adulto</v>
      </c>
      <c r="M3461" s="6" t="str">
        <f>"L"</f>
        <v>L</v>
      </c>
      <c r="N3461" s="6" t="str">
        <f>"5602972776232"</f>
        <v>5602972776232</v>
      </c>
      <c r="O3461" s="8">
        <v>60</v>
      </c>
      <c r="P3461" s="7">
        <v>45916</v>
      </c>
      <c r="R3461" s="8">
        <v>0</v>
      </c>
      <c r="S3461" s="7">
        <v>45919</v>
      </c>
      <c r="U3461" s="8">
        <v>0</v>
      </c>
      <c r="V3461" s="7">
        <v>45930</v>
      </c>
      <c r="X3461" s="8">
        <v>0</v>
      </c>
      <c r="Z3461" s="8">
        <v>0</v>
      </c>
      <c r="AA3461" s="7">
        <v>45944</v>
      </c>
      <c r="AC3461" s="8">
        <v>0</v>
      </c>
      <c r="AE3461" s="7">
        <v>45954</v>
      </c>
      <c r="AF3461" s="8">
        <v>0</v>
      </c>
      <c r="AH3461" s="7">
        <v>46036</v>
      </c>
      <c r="AI3461" s="7">
        <v>45951</v>
      </c>
      <c r="AN3461" s="8">
        <v>0</v>
      </c>
      <c r="AO3461" s="8">
        <v>60</v>
      </c>
    </row>
    <row r="3462" spans="1:41" x14ac:dyDescent="0.25">
      <c r="A3462" s="6" t="str">
        <f t="shared" si="832"/>
        <v>525-2025000413</v>
      </c>
      <c r="B3462" s="6" t="str">
        <f t="shared" si="827"/>
        <v>Lasa Int</v>
      </c>
      <c r="C3462" s="7">
        <v>45875</v>
      </c>
      <c r="D3462" s="7">
        <v>46094</v>
      </c>
      <c r="E3462" s="8">
        <v>10</v>
      </c>
      <c r="F3462" s="6" t="str">
        <f t="shared" si="833"/>
        <v>Cool</v>
      </c>
      <c r="G3462" s="6" t="str">
        <f t="shared" si="834"/>
        <v>R702284130000000</v>
      </c>
      <c r="H3462" s="6" t="str">
        <f t="shared" si="835"/>
        <v>R 2841 - Ketten - 30</v>
      </c>
      <c r="I3462" s="6" t="str">
        <f>"2334"</f>
        <v>2334</v>
      </c>
      <c r="J3462" s="6" t="str">
        <f>"TURQUESA 2334"</f>
        <v>TURQUESA 2334</v>
      </c>
      <c r="K3462" s="6" t="str">
        <f>"5008"</f>
        <v>5008</v>
      </c>
      <c r="L3462" s="6" t="str">
        <f t="shared" si="836"/>
        <v>Roupões Adulto</v>
      </c>
      <c r="M3462" s="6" t="str">
        <f>"XL"</f>
        <v>XL</v>
      </c>
      <c r="N3462" s="6" t="str">
        <f>"5602972776249"</f>
        <v>5602972776249</v>
      </c>
      <c r="O3462" s="8">
        <v>24</v>
      </c>
      <c r="P3462" s="7">
        <v>45916</v>
      </c>
      <c r="R3462" s="8">
        <v>0</v>
      </c>
      <c r="S3462" s="7">
        <v>45919</v>
      </c>
      <c r="U3462" s="8">
        <v>0</v>
      </c>
      <c r="V3462" s="7">
        <v>45930</v>
      </c>
      <c r="X3462" s="8">
        <v>0</v>
      </c>
      <c r="Z3462" s="8">
        <v>0</v>
      </c>
      <c r="AA3462" s="7">
        <v>45944</v>
      </c>
      <c r="AC3462" s="8">
        <v>0</v>
      </c>
      <c r="AE3462" s="7">
        <v>45954</v>
      </c>
      <c r="AF3462" s="8">
        <v>0</v>
      </c>
      <c r="AH3462" s="7">
        <v>46036</v>
      </c>
      <c r="AI3462" s="7">
        <v>45951</v>
      </c>
      <c r="AN3462" s="8">
        <v>0</v>
      </c>
      <c r="AO3462" s="8">
        <v>24</v>
      </c>
    </row>
    <row r="3463" spans="1:41" x14ac:dyDescent="0.25">
      <c r="A3463" s="6" t="str">
        <f t="shared" si="832"/>
        <v>525-2025000413</v>
      </c>
      <c r="B3463" s="6" t="str">
        <f t="shared" si="827"/>
        <v>Lasa Int</v>
      </c>
      <c r="C3463" s="7">
        <v>45875</v>
      </c>
      <c r="D3463" s="7">
        <v>46094</v>
      </c>
      <c r="E3463" s="8">
        <v>11</v>
      </c>
      <c r="F3463" s="6" t="str">
        <f t="shared" si="833"/>
        <v>Cool</v>
      </c>
      <c r="G3463" s="6" t="str">
        <f t="shared" si="834"/>
        <v>R702284130000000</v>
      </c>
      <c r="H3463" s="6" t="str">
        <f t="shared" si="835"/>
        <v>R 2841 - Ketten - 30</v>
      </c>
      <c r="I3463" s="6" t="str">
        <f>"3074"</f>
        <v>3074</v>
      </c>
      <c r="J3463" s="6" t="str">
        <f>"LARANJA 3074"</f>
        <v>LARANJA 3074</v>
      </c>
      <c r="K3463" s="6" t="str">
        <f>"5004"</f>
        <v>5004</v>
      </c>
      <c r="L3463" s="6" t="str">
        <f t="shared" si="836"/>
        <v>Roupões Adulto</v>
      </c>
      <c r="M3463" s="6" t="str">
        <f>"M"</f>
        <v>M</v>
      </c>
      <c r="N3463" s="6" t="str">
        <f>"5602972776300"</f>
        <v>5602972776300</v>
      </c>
      <c r="O3463" s="8">
        <v>12</v>
      </c>
      <c r="P3463" s="7">
        <v>45916</v>
      </c>
      <c r="R3463" s="8">
        <v>0</v>
      </c>
      <c r="S3463" s="7">
        <v>45919</v>
      </c>
      <c r="U3463" s="8">
        <v>0</v>
      </c>
      <c r="V3463" s="7">
        <v>45930</v>
      </c>
      <c r="X3463" s="8">
        <v>0</v>
      </c>
      <c r="Z3463" s="8">
        <v>0</v>
      </c>
      <c r="AA3463" s="7">
        <v>45944</v>
      </c>
      <c r="AC3463" s="8">
        <v>0</v>
      </c>
      <c r="AE3463" s="7">
        <v>45954</v>
      </c>
      <c r="AF3463" s="8">
        <v>0</v>
      </c>
      <c r="AH3463" s="7">
        <v>46036</v>
      </c>
      <c r="AI3463" s="7">
        <v>45951</v>
      </c>
      <c r="AN3463" s="8">
        <v>0</v>
      </c>
      <c r="AO3463" s="8">
        <v>12</v>
      </c>
    </row>
    <row r="3464" spans="1:41" x14ac:dyDescent="0.25">
      <c r="A3464" s="6" t="str">
        <f t="shared" si="832"/>
        <v>525-2025000413</v>
      </c>
      <c r="B3464" s="6" t="str">
        <f t="shared" si="827"/>
        <v>Lasa Int</v>
      </c>
      <c r="C3464" s="7">
        <v>45875</v>
      </c>
      <c r="D3464" s="7">
        <v>46094</v>
      </c>
      <c r="E3464" s="8">
        <v>12</v>
      </c>
      <c r="F3464" s="6" t="str">
        <f t="shared" si="833"/>
        <v>Cool</v>
      </c>
      <c r="G3464" s="6" t="str">
        <f t="shared" si="834"/>
        <v>R702284130000000</v>
      </c>
      <c r="H3464" s="6" t="str">
        <f t="shared" si="835"/>
        <v>R 2841 - Ketten - 30</v>
      </c>
      <c r="I3464" s="6" t="str">
        <f>"3074"</f>
        <v>3074</v>
      </c>
      <c r="J3464" s="6" t="str">
        <f>"LARANJA 3074"</f>
        <v>LARANJA 3074</v>
      </c>
      <c r="K3464" s="6" t="str">
        <f>"5006"</f>
        <v>5006</v>
      </c>
      <c r="L3464" s="6" t="str">
        <f t="shared" si="836"/>
        <v>Roupões Adulto</v>
      </c>
      <c r="M3464" s="6" t="str">
        <f>"L"</f>
        <v>L</v>
      </c>
      <c r="N3464" s="6" t="str">
        <f>"5602972776317"</f>
        <v>5602972776317</v>
      </c>
      <c r="O3464" s="8">
        <v>36</v>
      </c>
      <c r="P3464" s="7">
        <v>45916</v>
      </c>
      <c r="R3464" s="8">
        <v>0</v>
      </c>
      <c r="S3464" s="7">
        <v>45919</v>
      </c>
      <c r="U3464" s="8">
        <v>0</v>
      </c>
      <c r="V3464" s="7">
        <v>45930</v>
      </c>
      <c r="X3464" s="8">
        <v>0</v>
      </c>
      <c r="Z3464" s="8">
        <v>0</v>
      </c>
      <c r="AA3464" s="7">
        <v>45944</v>
      </c>
      <c r="AC3464" s="8">
        <v>0</v>
      </c>
      <c r="AE3464" s="7">
        <v>45954</v>
      </c>
      <c r="AF3464" s="8">
        <v>0</v>
      </c>
      <c r="AH3464" s="7">
        <v>46036</v>
      </c>
      <c r="AI3464" s="7">
        <v>45951</v>
      </c>
      <c r="AN3464" s="8">
        <v>0</v>
      </c>
      <c r="AO3464" s="8">
        <v>36</v>
      </c>
    </row>
    <row r="3465" spans="1:41" x14ac:dyDescent="0.25">
      <c r="A3465" s="6" t="str">
        <f t="shared" si="832"/>
        <v>525-2025000413</v>
      </c>
      <c r="B3465" s="6" t="str">
        <f t="shared" si="827"/>
        <v>Lasa Int</v>
      </c>
      <c r="C3465" s="7">
        <v>45875</v>
      </c>
      <c r="D3465" s="7">
        <v>46094</v>
      </c>
      <c r="E3465" s="8">
        <v>13</v>
      </c>
      <c r="F3465" s="6" t="str">
        <f t="shared" si="833"/>
        <v>Cool</v>
      </c>
      <c r="G3465" s="6" t="str">
        <f t="shared" ref="G3465:G3475" si="837">"R702284530000000"</f>
        <v>R702284530000000</v>
      </c>
      <c r="H3465" s="6" t="str">
        <f t="shared" ref="H3465:H3475" si="838">"R 2845 - Star C - Ke"</f>
        <v>R 2845 - Star C - Ke</v>
      </c>
      <c r="I3465" s="6" t="str">
        <f t="shared" ref="I3465:I3470" si="839">"2334"</f>
        <v>2334</v>
      </c>
      <c r="J3465" s="6" t="str">
        <f t="shared" ref="J3465:J3470" si="840">"TURQUESA 2334"</f>
        <v>TURQUESA 2334</v>
      </c>
      <c r="K3465" s="6" t="str">
        <f>"5204"</f>
        <v>5204</v>
      </c>
      <c r="L3465" s="6" t="str">
        <f t="shared" ref="L3465:L3480" si="841">"Roupões Criança"</f>
        <v>Roupões Criança</v>
      </c>
      <c r="M3465" s="6" t="str">
        <f>"4 Anos"</f>
        <v>4 Anos</v>
      </c>
      <c r="N3465" s="6" t="str">
        <f>"5602972636796"</f>
        <v>5602972636796</v>
      </c>
      <c r="O3465" s="8">
        <v>24</v>
      </c>
      <c r="P3465" s="7">
        <v>45916</v>
      </c>
      <c r="R3465" s="8">
        <v>0</v>
      </c>
      <c r="S3465" s="7">
        <v>45919</v>
      </c>
      <c r="U3465" s="8">
        <v>0</v>
      </c>
      <c r="V3465" s="7">
        <v>45930</v>
      </c>
      <c r="X3465" s="8">
        <v>0</v>
      </c>
      <c r="Z3465" s="8">
        <v>0</v>
      </c>
      <c r="AA3465" s="7">
        <v>45944</v>
      </c>
      <c r="AC3465" s="8">
        <v>0</v>
      </c>
      <c r="AE3465" s="7">
        <v>45954</v>
      </c>
      <c r="AF3465" s="8">
        <v>0</v>
      </c>
      <c r="AH3465" s="7">
        <v>46036</v>
      </c>
      <c r="AI3465" s="7">
        <v>45951</v>
      </c>
      <c r="AN3465" s="8">
        <v>0</v>
      </c>
      <c r="AO3465" s="8">
        <v>24</v>
      </c>
    </row>
    <row r="3466" spans="1:41" x14ac:dyDescent="0.25">
      <c r="A3466" s="6" t="str">
        <f t="shared" si="832"/>
        <v>525-2025000413</v>
      </c>
      <c r="B3466" s="6" t="str">
        <f t="shared" si="827"/>
        <v>Lasa Int</v>
      </c>
      <c r="C3466" s="7">
        <v>45875</v>
      </c>
      <c r="D3466" s="7">
        <v>46094</v>
      </c>
      <c r="E3466" s="8">
        <v>14</v>
      </c>
      <c r="F3466" s="6" t="str">
        <f t="shared" si="833"/>
        <v>Cool</v>
      </c>
      <c r="G3466" s="6" t="str">
        <f t="shared" si="837"/>
        <v>R702284530000000</v>
      </c>
      <c r="H3466" s="6" t="str">
        <f t="shared" si="838"/>
        <v>R 2845 - Star C - Ke</v>
      </c>
      <c r="I3466" s="6" t="str">
        <f t="shared" si="839"/>
        <v>2334</v>
      </c>
      <c r="J3466" s="6" t="str">
        <f t="shared" si="840"/>
        <v>TURQUESA 2334</v>
      </c>
      <c r="K3466" s="6" t="str">
        <f>"5206"</f>
        <v>5206</v>
      </c>
      <c r="L3466" s="6" t="str">
        <f t="shared" si="841"/>
        <v>Roupões Criança</v>
      </c>
      <c r="M3466" s="6" t="str">
        <f>"6 Anos"</f>
        <v>6 Anos</v>
      </c>
      <c r="N3466" s="6" t="str">
        <f>"5602972636802"</f>
        <v>5602972636802</v>
      </c>
      <c r="O3466" s="8">
        <v>24</v>
      </c>
      <c r="P3466" s="7">
        <v>45916</v>
      </c>
      <c r="R3466" s="8">
        <v>0</v>
      </c>
      <c r="S3466" s="7">
        <v>45919</v>
      </c>
      <c r="U3466" s="8">
        <v>0</v>
      </c>
      <c r="V3466" s="7">
        <v>45930</v>
      </c>
      <c r="X3466" s="8">
        <v>0</v>
      </c>
      <c r="Z3466" s="8">
        <v>0</v>
      </c>
      <c r="AA3466" s="7">
        <v>45944</v>
      </c>
      <c r="AC3466" s="8">
        <v>0</v>
      </c>
      <c r="AE3466" s="7">
        <v>45954</v>
      </c>
      <c r="AF3466" s="8">
        <v>0</v>
      </c>
      <c r="AH3466" s="7">
        <v>46036</v>
      </c>
      <c r="AI3466" s="7">
        <v>45951</v>
      </c>
      <c r="AN3466" s="8">
        <v>0</v>
      </c>
      <c r="AO3466" s="8">
        <v>24</v>
      </c>
    </row>
    <row r="3467" spans="1:41" x14ac:dyDescent="0.25">
      <c r="A3467" s="6" t="str">
        <f t="shared" si="832"/>
        <v>525-2025000413</v>
      </c>
      <c r="B3467" s="6" t="str">
        <f t="shared" si="827"/>
        <v>Lasa Int</v>
      </c>
      <c r="C3467" s="7">
        <v>45875</v>
      </c>
      <c r="D3467" s="7">
        <v>46094</v>
      </c>
      <c r="E3467" s="8">
        <v>15</v>
      </c>
      <c r="F3467" s="6" t="str">
        <f t="shared" si="833"/>
        <v>Cool</v>
      </c>
      <c r="G3467" s="6" t="str">
        <f t="shared" si="837"/>
        <v>R702284530000000</v>
      </c>
      <c r="H3467" s="6" t="str">
        <f t="shared" si="838"/>
        <v>R 2845 - Star C - Ke</v>
      </c>
      <c r="I3467" s="6" t="str">
        <f t="shared" si="839"/>
        <v>2334</v>
      </c>
      <c r="J3467" s="6" t="str">
        <f t="shared" si="840"/>
        <v>TURQUESA 2334</v>
      </c>
      <c r="K3467" s="6" t="str">
        <f>"5208"</f>
        <v>5208</v>
      </c>
      <c r="L3467" s="6" t="str">
        <f t="shared" si="841"/>
        <v>Roupões Criança</v>
      </c>
      <c r="M3467" s="6" t="str">
        <f>"8 Anos"</f>
        <v>8 Anos</v>
      </c>
      <c r="N3467" s="6" t="str">
        <f>"5602972636819"</f>
        <v>5602972636819</v>
      </c>
      <c r="O3467" s="8">
        <v>36</v>
      </c>
      <c r="P3467" s="7">
        <v>45916</v>
      </c>
      <c r="R3467" s="8">
        <v>0</v>
      </c>
      <c r="S3467" s="7">
        <v>45919</v>
      </c>
      <c r="U3467" s="8">
        <v>0</v>
      </c>
      <c r="V3467" s="7">
        <v>45930</v>
      </c>
      <c r="X3467" s="8">
        <v>0</v>
      </c>
      <c r="Z3467" s="8">
        <v>0</v>
      </c>
      <c r="AA3467" s="7">
        <v>45944</v>
      </c>
      <c r="AC3467" s="8">
        <v>0</v>
      </c>
      <c r="AE3467" s="7">
        <v>45954</v>
      </c>
      <c r="AF3467" s="8">
        <v>0</v>
      </c>
      <c r="AH3467" s="7">
        <v>46036</v>
      </c>
      <c r="AI3467" s="7">
        <v>45951</v>
      </c>
      <c r="AN3467" s="8">
        <v>0</v>
      </c>
      <c r="AO3467" s="8">
        <v>36</v>
      </c>
    </row>
    <row r="3468" spans="1:41" x14ac:dyDescent="0.25">
      <c r="A3468" s="6" t="str">
        <f t="shared" si="832"/>
        <v>525-2025000413</v>
      </c>
      <c r="B3468" s="6" t="str">
        <f t="shared" ref="B3468:B3499" si="842">"Lasa Int"</f>
        <v>Lasa Int</v>
      </c>
      <c r="C3468" s="7">
        <v>45875</v>
      </c>
      <c r="D3468" s="7">
        <v>46094</v>
      </c>
      <c r="E3468" s="8">
        <v>16</v>
      </c>
      <c r="F3468" s="6" t="str">
        <f t="shared" si="833"/>
        <v>Cool</v>
      </c>
      <c r="G3468" s="6" t="str">
        <f t="shared" si="837"/>
        <v>R702284530000000</v>
      </c>
      <c r="H3468" s="6" t="str">
        <f t="shared" si="838"/>
        <v>R 2845 - Star C - Ke</v>
      </c>
      <c r="I3468" s="6" t="str">
        <f t="shared" si="839"/>
        <v>2334</v>
      </c>
      <c r="J3468" s="6" t="str">
        <f t="shared" si="840"/>
        <v>TURQUESA 2334</v>
      </c>
      <c r="K3468" s="6" t="str">
        <f>"5210"</f>
        <v>5210</v>
      </c>
      <c r="L3468" s="6" t="str">
        <f t="shared" si="841"/>
        <v>Roupões Criança</v>
      </c>
      <c r="M3468" s="6" t="str">
        <f>"10 Anos"</f>
        <v>10 Anos</v>
      </c>
      <c r="N3468" s="6" t="str">
        <f>"5602972777673"</f>
        <v>5602972777673</v>
      </c>
      <c r="O3468" s="8">
        <v>72</v>
      </c>
      <c r="P3468" s="7">
        <v>45916</v>
      </c>
      <c r="R3468" s="8">
        <v>0</v>
      </c>
      <c r="S3468" s="7">
        <v>45919</v>
      </c>
      <c r="U3468" s="8">
        <v>0</v>
      </c>
      <c r="V3468" s="7">
        <v>45930</v>
      </c>
      <c r="X3468" s="8">
        <v>0</v>
      </c>
      <c r="Z3468" s="8">
        <v>0</v>
      </c>
      <c r="AA3468" s="7">
        <v>45944</v>
      </c>
      <c r="AC3468" s="8">
        <v>0</v>
      </c>
      <c r="AE3468" s="7">
        <v>45954</v>
      </c>
      <c r="AF3468" s="8">
        <v>0</v>
      </c>
      <c r="AH3468" s="7">
        <v>46036</v>
      </c>
      <c r="AI3468" s="7">
        <v>45951</v>
      </c>
      <c r="AN3468" s="8">
        <v>0</v>
      </c>
      <c r="AO3468" s="8">
        <v>72</v>
      </c>
    </row>
    <row r="3469" spans="1:41" x14ac:dyDescent="0.25">
      <c r="A3469" s="6" t="str">
        <f t="shared" si="832"/>
        <v>525-2025000413</v>
      </c>
      <c r="B3469" s="6" t="str">
        <f t="shared" si="842"/>
        <v>Lasa Int</v>
      </c>
      <c r="C3469" s="7">
        <v>45875</v>
      </c>
      <c r="D3469" s="7">
        <v>46094</v>
      </c>
      <c r="E3469" s="8">
        <v>17</v>
      </c>
      <c r="F3469" s="6" t="str">
        <f t="shared" si="833"/>
        <v>Cool</v>
      </c>
      <c r="G3469" s="6" t="str">
        <f t="shared" si="837"/>
        <v>R702284530000000</v>
      </c>
      <c r="H3469" s="6" t="str">
        <f t="shared" si="838"/>
        <v>R 2845 - Star C - Ke</v>
      </c>
      <c r="I3469" s="6" t="str">
        <f t="shared" si="839"/>
        <v>2334</v>
      </c>
      <c r="J3469" s="6" t="str">
        <f t="shared" si="840"/>
        <v>TURQUESA 2334</v>
      </c>
      <c r="K3469" s="6" t="str">
        <f>"5212"</f>
        <v>5212</v>
      </c>
      <c r="L3469" s="6" t="str">
        <f t="shared" si="841"/>
        <v>Roupões Criança</v>
      </c>
      <c r="M3469" s="6" t="str">
        <f>"12 Anos"</f>
        <v>12 Anos</v>
      </c>
      <c r="N3469" s="6" t="str">
        <f>"5602972777680"</f>
        <v>5602972777680</v>
      </c>
      <c r="O3469" s="8">
        <v>60</v>
      </c>
      <c r="P3469" s="7">
        <v>45916</v>
      </c>
      <c r="R3469" s="8">
        <v>0</v>
      </c>
      <c r="S3469" s="7">
        <v>45919</v>
      </c>
      <c r="U3469" s="8">
        <v>0</v>
      </c>
      <c r="V3469" s="7">
        <v>45930</v>
      </c>
      <c r="X3469" s="8">
        <v>0</v>
      </c>
      <c r="Z3469" s="8">
        <v>0</v>
      </c>
      <c r="AA3469" s="7">
        <v>45944</v>
      </c>
      <c r="AC3469" s="8">
        <v>0</v>
      </c>
      <c r="AE3469" s="7">
        <v>45954</v>
      </c>
      <c r="AF3469" s="8">
        <v>0</v>
      </c>
      <c r="AH3469" s="7">
        <v>46036</v>
      </c>
      <c r="AI3469" s="7">
        <v>45951</v>
      </c>
      <c r="AN3469" s="8">
        <v>0</v>
      </c>
      <c r="AO3469" s="8">
        <v>60</v>
      </c>
    </row>
    <row r="3470" spans="1:41" x14ac:dyDescent="0.25">
      <c r="A3470" s="6" t="str">
        <f t="shared" si="832"/>
        <v>525-2025000413</v>
      </c>
      <c r="B3470" s="6" t="str">
        <f t="shared" si="842"/>
        <v>Lasa Int</v>
      </c>
      <c r="C3470" s="7">
        <v>45875</v>
      </c>
      <c r="D3470" s="7">
        <v>46094</v>
      </c>
      <c r="E3470" s="8">
        <v>18</v>
      </c>
      <c r="F3470" s="6" t="str">
        <f t="shared" si="833"/>
        <v>Cool</v>
      </c>
      <c r="G3470" s="6" t="str">
        <f t="shared" si="837"/>
        <v>R702284530000000</v>
      </c>
      <c r="H3470" s="6" t="str">
        <f t="shared" si="838"/>
        <v>R 2845 - Star C - Ke</v>
      </c>
      <c r="I3470" s="6" t="str">
        <f t="shared" si="839"/>
        <v>2334</v>
      </c>
      <c r="J3470" s="6" t="str">
        <f t="shared" si="840"/>
        <v>TURQUESA 2334</v>
      </c>
      <c r="K3470" s="6" t="str">
        <f>"5214"</f>
        <v>5214</v>
      </c>
      <c r="L3470" s="6" t="str">
        <f t="shared" si="841"/>
        <v>Roupões Criança</v>
      </c>
      <c r="M3470" s="6" t="str">
        <f>"14 Anos"</f>
        <v>14 Anos</v>
      </c>
      <c r="N3470" s="6" t="str">
        <f>"5602972777697"</f>
        <v>5602972777697</v>
      </c>
      <c r="O3470" s="8">
        <v>72</v>
      </c>
      <c r="P3470" s="7">
        <v>45916</v>
      </c>
      <c r="R3470" s="8">
        <v>0</v>
      </c>
      <c r="S3470" s="7">
        <v>45919</v>
      </c>
      <c r="U3470" s="8">
        <v>0</v>
      </c>
      <c r="V3470" s="7">
        <v>45930</v>
      </c>
      <c r="X3470" s="8">
        <v>0</v>
      </c>
      <c r="Z3470" s="8">
        <v>0</v>
      </c>
      <c r="AA3470" s="7">
        <v>45944</v>
      </c>
      <c r="AC3470" s="8">
        <v>0</v>
      </c>
      <c r="AE3470" s="7">
        <v>45954</v>
      </c>
      <c r="AF3470" s="8">
        <v>0</v>
      </c>
      <c r="AH3470" s="7">
        <v>46036</v>
      </c>
      <c r="AI3470" s="7">
        <v>45951</v>
      </c>
      <c r="AN3470" s="8">
        <v>0</v>
      </c>
      <c r="AO3470" s="8">
        <v>72</v>
      </c>
    </row>
    <row r="3471" spans="1:41" x14ac:dyDescent="0.25">
      <c r="A3471" s="6" t="str">
        <f t="shared" si="832"/>
        <v>525-2025000413</v>
      </c>
      <c r="B3471" s="6" t="str">
        <f t="shared" si="842"/>
        <v>Lasa Int</v>
      </c>
      <c r="C3471" s="7">
        <v>45875</v>
      </c>
      <c r="D3471" s="7">
        <v>46094</v>
      </c>
      <c r="E3471" s="8">
        <v>19</v>
      </c>
      <c r="F3471" s="6" t="str">
        <f t="shared" si="833"/>
        <v>Cool</v>
      </c>
      <c r="G3471" s="6" t="str">
        <f t="shared" si="837"/>
        <v>R702284530000000</v>
      </c>
      <c r="H3471" s="6" t="str">
        <f t="shared" si="838"/>
        <v>R 2845 - Star C - Ke</v>
      </c>
      <c r="I3471" s="6" t="str">
        <f t="shared" ref="I3471:I3480" si="843">"3074"</f>
        <v>3074</v>
      </c>
      <c r="J3471" s="6" t="str">
        <f t="shared" ref="J3471:J3480" si="844">"LARANJA 3074"</f>
        <v>LARANJA 3074</v>
      </c>
      <c r="K3471" s="6" t="str">
        <f>"5204"</f>
        <v>5204</v>
      </c>
      <c r="L3471" s="6" t="str">
        <f t="shared" si="841"/>
        <v>Roupões Criança</v>
      </c>
      <c r="M3471" s="6" t="str">
        <f>"4 Anos"</f>
        <v>4 Anos</v>
      </c>
      <c r="N3471" s="6" t="str">
        <f>"5602972636857"</f>
        <v>5602972636857</v>
      </c>
      <c r="O3471" s="8">
        <v>12</v>
      </c>
      <c r="P3471" s="7">
        <v>45916</v>
      </c>
      <c r="R3471" s="8">
        <v>0</v>
      </c>
      <c r="S3471" s="7">
        <v>45919</v>
      </c>
      <c r="U3471" s="8">
        <v>0</v>
      </c>
      <c r="V3471" s="7">
        <v>45930</v>
      </c>
      <c r="X3471" s="8">
        <v>0</v>
      </c>
      <c r="Z3471" s="8">
        <v>0</v>
      </c>
      <c r="AA3471" s="7">
        <v>45944</v>
      </c>
      <c r="AC3471" s="8">
        <v>0</v>
      </c>
      <c r="AE3471" s="7">
        <v>45954</v>
      </c>
      <c r="AF3471" s="8">
        <v>0</v>
      </c>
      <c r="AH3471" s="7">
        <v>46036</v>
      </c>
      <c r="AI3471" s="7">
        <v>45951</v>
      </c>
      <c r="AN3471" s="8">
        <v>0</v>
      </c>
      <c r="AO3471" s="8">
        <v>12</v>
      </c>
    </row>
    <row r="3472" spans="1:41" x14ac:dyDescent="0.25">
      <c r="A3472" s="6" t="str">
        <f t="shared" si="832"/>
        <v>525-2025000413</v>
      </c>
      <c r="B3472" s="6" t="str">
        <f t="shared" si="842"/>
        <v>Lasa Int</v>
      </c>
      <c r="C3472" s="7">
        <v>45875</v>
      </c>
      <c r="D3472" s="7">
        <v>46094</v>
      </c>
      <c r="E3472" s="8">
        <v>20</v>
      </c>
      <c r="F3472" s="6" t="str">
        <f t="shared" si="833"/>
        <v>Cool</v>
      </c>
      <c r="G3472" s="6" t="str">
        <f t="shared" si="837"/>
        <v>R702284530000000</v>
      </c>
      <c r="H3472" s="6" t="str">
        <f t="shared" si="838"/>
        <v>R 2845 - Star C - Ke</v>
      </c>
      <c r="I3472" s="6" t="str">
        <f t="shared" si="843"/>
        <v>3074</v>
      </c>
      <c r="J3472" s="6" t="str">
        <f t="shared" si="844"/>
        <v>LARANJA 3074</v>
      </c>
      <c r="K3472" s="6" t="str">
        <f>"5206"</f>
        <v>5206</v>
      </c>
      <c r="L3472" s="6" t="str">
        <f t="shared" si="841"/>
        <v>Roupões Criança</v>
      </c>
      <c r="M3472" s="6" t="str">
        <f>"6 Anos"</f>
        <v>6 Anos</v>
      </c>
      <c r="N3472" s="6" t="str">
        <f>"5602972636864"</f>
        <v>5602972636864</v>
      </c>
      <c r="O3472" s="8">
        <v>12</v>
      </c>
      <c r="P3472" s="7">
        <v>45916</v>
      </c>
      <c r="R3472" s="8">
        <v>0</v>
      </c>
      <c r="S3472" s="7">
        <v>45919</v>
      </c>
      <c r="U3472" s="8">
        <v>0</v>
      </c>
      <c r="V3472" s="7">
        <v>45930</v>
      </c>
      <c r="X3472" s="8">
        <v>0</v>
      </c>
      <c r="Z3472" s="8">
        <v>0</v>
      </c>
      <c r="AA3472" s="7">
        <v>45944</v>
      </c>
      <c r="AC3472" s="8">
        <v>0</v>
      </c>
      <c r="AE3472" s="7">
        <v>45954</v>
      </c>
      <c r="AF3472" s="8">
        <v>0</v>
      </c>
      <c r="AH3472" s="7">
        <v>46036</v>
      </c>
      <c r="AI3472" s="7">
        <v>45951</v>
      </c>
      <c r="AN3472" s="8">
        <v>0</v>
      </c>
      <c r="AO3472" s="8">
        <v>12</v>
      </c>
    </row>
    <row r="3473" spans="1:41" x14ac:dyDescent="0.25">
      <c r="A3473" s="6" t="str">
        <f t="shared" si="832"/>
        <v>525-2025000413</v>
      </c>
      <c r="B3473" s="6" t="str">
        <f t="shared" si="842"/>
        <v>Lasa Int</v>
      </c>
      <c r="C3473" s="7">
        <v>45875</v>
      </c>
      <c r="D3473" s="7">
        <v>46094</v>
      </c>
      <c r="E3473" s="8">
        <v>21</v>
      </c>
      <c r="F3473" s="6" t="str">
        <f t="shared" si="833"/>
        <v>Cool</v>
      </c>
      <c r="G3473" s="6" t="str">
        <f t="shared" si="837"/>
        <v>R702284530000000</v>
      </c>
      <c r="H3473" s="6" t="str">
        <f t="shared" si="838"/>
        <v>R 2845 - Star C - Ke</v>
      </c>
      <c r="I3473" s="6" t="str">
        <f t="shared" si="843"/>
        <v>3074</v>
      </c>
      <c r="J3473" s="6" t="str">
        <f t="shared" si="844"/>
        <v>LARANJA 3074</v>
      </c>
      <c r="K3473" s="6" t="str">
        <f>"5208"</f>
        <v>5208</v>
      </c>
      <c r="L3473" s="6" t="str">
        <f t="shared" si="841"/>
        <v>Roupões Criança</v>
      </c>
      <c r="M3473" s="6" t="str">
        <f>"8 Anos"</f>
        <v>8 Anos</v>
      </c>
      <c r="N3473" s="6" t="str">
        <f>"5602972636871"</f>
        <v>5602972636871</v>
      </c>
      <c r="O3473" s="8">
        <v>48</v>
      </c>
      <c r="P3473" s="7">
        <v>45916</v>
      </c>
      <c r="R3473" s="8">
        <v>0</v>
      </c>
      <c r="S3473" s="7">
        <v>45919</v>
      </c>
      <c r="U3473" s="8">
        <v>0</v>
      </c>
      <c r="V3473" s="7">
        <v>45930</v>
      </c>
      <c r="X3473" s="8">
        <v>0</v>
      </c>
      <c r="Z3473" s="8">
        <v>0</v>
      </c>
      <c r="AA3473" s="7">
        <v>45944</v>
      </c>
      <c r="AC3473" s="8">
        <v>0</v>
      </c>
      <c r="AE3473" s="7">
        <v>45954</v>
      </c>
      <c r="AF3473" s="8">
        <v>0</v>
      </c>
      <c r="AH3473" s="7">
        <v>46036</v>
      </c>
      <c r="AI3473" s="7">
        <v>45951</v>
      </c>
      <c r="AN3473" s="8">
        <v>0</v>
      </c>
      <c r="AO3473" s="8">
        <v>48</v>
      </c>
    </row>
    <row r="3474" spans="1:41" x14ac:dyDescent="0.25">
      <c r="A3474" s="6" t="str">
        <f t="shared" si="832"/>
        <v>525-2025000413</v>
      </c>
      <c r="B3474" s="6" t="str">
        <f t="shared" si="842"/>
        <v>Lasa Int</v>
      </c>
      <c r="C3474" s="7">
        <v>45875</v>
      </c>
      <c r="D3474" s="7">
        <v>46094</v>
      </c>
      <c r="E3474" s="8">
        <v>22</v>
      </c>
      <c r="F3474" s="6" t="str">
        <f t="shared" si="833"/>
        <v>Cool</v>
      </c>
      <c r="G3474" s="6" t="str">
        <f t="shared" si="837"/>
        <v>R702284530000000</v>
      </c>
      <c r="H3474" s="6" t="str">
        <f t="shared" si="838"/>
        <v>R 2845 - Star C - Ke</v>
      </c>
      <c r="I3474" s="6" t="str">
        <f t="shared" si="843"/>
        <v>3074</v>
      </c>
      <c r="J3474" s="6" t="str">
        <f t="shared" si="844"/>
        <v>LARANJA 3074</v>
      </c>
      <c r="K3474" s="6" t="str">
        <f>"5212"</f>
        <v>5212</v>
      </c>
      <c r="L3474" s="6" t="str">
        <f t="shared" si="841"/>
        <v>Roupões Criança</v>
      </c>
      <c r="M3474" s="6" t="str">
        <f>"12 Anos"</f>
        <v>12 Anos</v>
      </c>
      <c r="N3474" s="6" t="str">
        <f>"5602972777741"</f>
        <v>5602972777741</v>
      </c>
      <c r="O3474" s="8">
        <v>12</v>
      </c>
      <c r="P3474" s="7">
        <v>45916</v>
      </c>
      <c r="R3474" s="8">
        <v>0</v>
      </c>
      <c r="S3474" s="7">
        <v>45919</v>
      </c>
      <c r="U3474" s="8">
        <v>0</v>
      </c>
      <c r="V3474" s="7">
        <v>45930</v>
      </c>
      <c r="X3474" s="8">
        <v>0</v>
      </c>
      <c r="Z3474" s="8">
        <v>0</v>
      </c>
      <c r="AA3474" s="7">
        <v>45944</v>
      </c>
      <c r="AC3474" s="8">
        <v>0</v>
      </c>
      <c r="AE3474" s="7">
        <v>45954</v>
      </c>
      <c r="AF3474" s="8">
        <v>0</v>
      </c>
      <c r="AH3474" s="7">
        <v>46036</v>
      </c>
      <c r="AI3474" s="7">
        <v>45951</v>
      </c>
      <c r="AN3474" s="8">
        <v>0</v>
      </c>
      <c r="AO3474" s="8">
        <v>12</v>
      </c>
    </row>
    <row r="3475" spans="1:41" x14ac:dyDescent="0.25">
      <c r="A3475" s="6" t="str">
        <f t="shared" si="832"/>
        <v>525-2025000413</v>
      </c>
      <c r="B3475" s="6" t="str">
        <f t="shared" si="842"/>
        <v>Lasa Int</v>
      </c>
      <c r="C3475" s="7">
        <v>45875</v>
      </c>
      <c r="D3475" s="7">
        <v>46094</v>
      </c>
      <c r="E3475" s="8">
        <v>23</v>
      </c>
      <c r="F3475" s="6" t="str">
        <f t="shared" si="833"/>
        <v>Cool</v>
      </c>
      <c r="G3475" s="6" t="str">
        <f t="shared" si="837"/>
        <v>R702284530000000</v>
      </c>
      <c r="H3475" s="6" t="str">
        <f t="shared" si="838"/>
        <v>R 2845 - Star C - Ke</v>
      </c>
      <c r="I3475" s="6" t="str">
        <f t="shared" si="843"/>
        <v>3074</v>
      </c>
      <c r="J3475" s="6" t="str">
        <f t="shared" si="844"/>
        <v>LARANJA 3074</v>
      </c>
      <c r="K3475" s="6" t="str">
        <f>"5214"</f>
        <v>5214</v>
      </c>
      <c r="L3475" s="6" t="str">
        <f t="shared" si="841"/>
        <v>Roupões Criança</v>
      </c>
      <c r="M3475" s="6" t="str">
        <f>"14 Anos"</f>
        <v>14 Anos</v>
      </c>
      <c r="N3475" s="6" t="str">
        <f>"5602972777758"</f>
        <v>5602972777758</v>
      </c>
      <c r="O3475" s="8">
        <v>24</v>
      </c>
      <c r="P3475" s="7">
        <v>45916</v>
      </c>
      <c r="R3475" s="8">
        <v>0</v>
      </c>
      <c r="S3475" s="7">
        <v>45919</v>
      </c>
      <c r="U3475" s="8">
        <v>0</v>
      </c>
      <c r="V3475" s="7">
        <v>45930</v>
      </c>
      <c r="X3475" s="8">
        <v>0</v>
      </c>
      <c r="Z3475" s="8">
        <v>0</v>
      </c>
      <c r="AA3475" s="7">
        <v>45944</v>
      </c>
      <c r="AC3475" s="8">
        <v>0</v>
      </c>
      <c r="AE3475" s="7">
        <v>45954</v>
      </c>
      <c r="AF3475" s="8">
        <v>0</v>
      </c>
      <c r="AH3475" s="7">
        <v>46036</v>
      </c>
      <c r="AI3475" s="7">
        <v>45951</v>
      </c>
      <c r="AN3475" s="8">
        <v>0</v>
      </c>
      <c r="AO3475" s="8">
        <v>24</v>
      </c>
    </row>
    <row r="3476" spans="1:41" x14ac:dyDescent="0.25">
      <c r="A3476" s="6" t="str">
        <f>"525-2025000416"</f>
        <v>525-2025000416</v>
      </c>
      <c r="B3476" s="6" t="str">
        <f t="shared" si="842"/>
        <v>Lasa Int</v>
      </c>
      <c r="C3476" s="7">
        <v>45875</v>
      </c>
      <c r="D3476" s="7">
        <v>46065</v>
      </c>
      <c r="E3476" s="8">
        <v>1</v>
      </c>
      <c r="F3476" s="6" t="str">
        <f>"PURE R Criança"</f>
        <v>PURE R Criança</v>
      </c>
      <c r="G3476" s="6" t="str">
        <f>"R013000138500000"</f>
        <v>R013000138500000</v>
      </c>
      <c r="H3476" s="6" t="str">
        <f>"Star PURE - Ketten 3"</f>
        <v>Star PURE - Ketten 3</v>
      </c>
      <c r="I3476" s="6" t="str">
        <f t="shared" si="843"/>
        <v>3074</v>
      </c>
      <c r="J3476" s="6" t="str">
        <f t="shared" si="844"/>
        <v>LARANJA 3074</v>
      </c>
      <c r="K3476" s="6" t="str">
        <f>"5206"</f>
        <v>5206</v>
      </c>
      <c r="L3476" s="6" t="str">
        <f t="shared" si="841"/>
        <v>Roupões Criança</v>
      </c>
      <c r="M3476" s="6" t="str">
        <f>"6 Anos"</f>
        <v>6 Anos</v>
      </c>
      <c r="N3476" s="6" t="str">
        <f>"5602972878127"</f>
        <v>5602972878127</v>
      </c>
      <c r="O3476" s="8">
        <v>36</v>
      </c>
      <c r="P3476" s="7">
        <v>45875</v>
      </c>
      <c r="R3476" s="8">
        <v>0</v>
      </c>
      <c r="S3476" s="7">
        <v>45901</v>
      </c>
      <c r="U3476" s="8">
        <v>405</v>
      </c>
      <c r="V3476" s="7">
        <v>45910</v>
      </c>
      <c r="X3476" s="8">
        <v>405</v>
      </c>
      <c r="Z3476" s="8">
        <v>0</v>
      </c>
      <c r="AA3476" s="7">
        <v>45922</v>
      </c>
      <c r="AC3476" s="8">
        <v>0</v>
      </c>
      <c r="AE3476" s="7">
        <v>45938</v>
      </c>
      <c r="AF3476" s="8">
        <v>0</v>
      </c>
      <c r="AH3476" s="7">
        <v>45938</v>
      </c>
      <c r="AI3476" s="7">
        <v>45936</v>
      </c>
      <c r="AN3476" s="8">
        <v>0</v>
      </c>
      <c r="AO3476" s="8">
        <v>36</v>
      </c>
    </row>
    <row r="3477" spans="1:41" x14ac:dyDescent="0.25">
      <c r="A3477" s="6" t="str">
        <f>"525-2025000416"</f>
        <v>525-2025000416</v>
      </c>
      <c r="B3477" s="6" t="str">
        <f t="shared" si="842"/>
        <v>Lasa Int</v>
      </c>
      <c r="C3477" s="7">
        <v>45875</v>
      </c>
      <c r="D3477" s="7">
        <v>46065</v>
      </c>
      <c r="E3477" s="8">
        <v>2</v>
      </c>
      <c r="F3477" s="6" t="str">
        <f>"PURE R Criança"</f>
        <v>PURE R Criança</v>
      </c>
      <c r="G3477" s="6" t="str">
        <f>"R013000138500000"</f>
        <v>R013000138500000</v>
      </c>
      <c r="H3477" s="6" t="str">
        <f>"Star PURE - Ketten 3"</f>
        <v>Star PURE - Ketten 3</v>
      </c>
      <c r="I3477" s="6" t="str">
        <f t="shared" si="843"/>
        <v>3074</v>
      </c>
      <c r="J3477" s="6" t="str">
        <f t="shared" si="844"/>
        <v>LARANJA 3074</v>
      </c>
      <c r="K3477" s="6" t="str">
        <f>"5208"</f>
        <v>5208</v>
      </c>
      <c r="L3477" s="6" t="str">
        <f t="shared" si="841"/>
        <v>Roupões Criança</v>
      </c>
      <c r="M3477" s="6" t="str">
        <f>"8 Anos"</f>
        <v>8 Anos</v>
      </c>
      <c r="N3477" s="6" t="str">
        <f>"5602972878134"</f>
        <v>5602972878134</v>
      </c>
      <c r="O3477" s="8">
        <v>36</v>
      </c>
      <c r="P3477" s="7">
        <v>45875</v>
      </c>
      <c r="R3477" s="8">
        <v>0</v>
      </c>
      <c r="S3477" s="7">
        <v>45901</v>
      </c>
      <c r="U3477" s="8">
        <v>0</v>
      </c>
      <c r="V3477" s="7">
        <v>45910</v>
      </c>
      <c r="X3477" s="8">
        <v>0</v>
      </c>
      <c r="Z3477" s="8">
        <v>0</v>
      </c>
      <c r="AA3477" s="7">
        <v>45922</v>
      </c>
      <c r="AC3477" s="8">
        <v>0</v>
      </c>
      <c r="AE3477" s="7">
        <v>45938</v>
      </c>
      <c r="AF3477" s="8">
        <v>0</v>
      </c>
      <c r="AH3477" s="7">
        <v>45938</v>
      </c>
      <c r="AI3477" s="7">
        <v>45936</v>
      </c>
      <c r="AN3477" s="8">
        <v>0</v>
      </c>
      <c r="AO3477" s="8">
        <v>36</v>
      </c>
    </row>
    <row r="3478" spans="1:41" x14ac:dyDescent="0.25">
      <c r="A3478" s="6" t="str">
        <f>"525-2025000416"</f>
        <v>525-2025000416</v>
      </c>
      <c r="B3478" s="6" t="str">
        <f t="shared" si="842"/>
        <v>Lasa Int</v>
      </c>
      <c r="C3478" s="7">
        <v>45875</v>
      </c>
      <c r="D3478" s="7">
        <v>46065</v>
      </c>
      <c r="E3478" s="8">
        <v>3</v>
      </c>
      <c r="F3478" s="6" t="str">
        <f>"PURE R Criança"</f>
        <v>PURE R Criança</v>
      </c>
      <c r="G3478" s="6" t="str">
        <f>"R013000138500000"</f>
        <v>R013000138500000</v>
      </c>
      <c r="H3478" s="6" t="str">
        <f>"Star PURE - Ketten 3"</f>
        <v>Star PURE - Ketten 3</v>
      </c>
      <c r="I3478" s="6" t="str">
        <f t="shared" si="843"/>
        <v>3074</v>
      </c>
      <c r="J3478" s="6" t="str">
        <f t="shared" si="844"/>
        <v>LARANJA 3074</v>
      </c>
      <c r="K3478" s="6" t="str">
        <f>"5210"</f>
        <v>5210</v>
      </c>
      <c r="L3478" s="6" t="str">
        <f t="shared" si="841"/>
        <v>Roupões Criança</v>
      </c>
      <c r="M3478" s="6" t="str">
        <f>"10 Anos"</f>
        <v>10 Anos</v>
      </c>
      <c r="N3478" s="6" t="str">
        <f>"5602972878141"</f>
        <v>5602972878141</v>
      </c>
      <c r="O3478" s="8">
        <v>36</v>
      </c>
      <c r="P3478" s="7">
        <v>45875</v>
      </c>
      <c r="R3478" s="8">
        <v>0</v>
      </c>
      <c r="S3478" s="7">
        <v>45901</v>
      </c>
      <c r="U3478" s="8">
        <v>0</v>
      </c>
      <c r="V3478" s="7">
        <v>45910</v>
      </c>
      <c r="X3478" s="8">
        <v>0</v>
      </c>
      <c r="Z3478" s="8">
        <v>0</v>
      </c>
      <c r="AA3478" s="7">
        <v>45922</v>
      </c>
      <c r="AC3478" s="8">
        <v>0</v>
      </c>
      <c r="AE3478" s="7">
        <v>45938</v>
      </c>
      <c r="AF3478" s="8">
        <v>0</v>
      </c>
      <c r="AH3478" s="7">
        <v>45938</v>
      </c>
      <c r="AI3478" s="7">
        <v>45936</v>
      </c>
      <c r="AN3478" s="8">
        <v>0</v>
      </c>
      <c r="AO3478" s="8">
        <v>36</v>
      </c>
    </row>
    <row r="3479" spans="1:41" x14ac:dyDescent="0.25">
      <c r="A3479" s="6" t="str">
        <f>"525-2025000416"</f>
        <v>525-2025000416</v>
      </c>
      <c r="B3479" s="6" t="str">
        <f t="shared" si="842"/>
        <v>Lasa Int</v>
      </c>
      <c r="C3479" s="7">
        <v>45875</v>
      </c>
      <c r="D3479" s="7">
        <v>46065</v>
      </c>
      <c r="E3479" s="8">
        <v>4</v>
      </c>
      <c r="F3479" s="6" t="str">
        <f>"PURE R Criança"</f>
        <v>PURE R Criança</v>
      </c>
      <c r="G3479" s="6" t="str">
        <f>"R013000138500000"</f>
        <v>R013000138500000</v>
      </c>
      <c r="H3479" s="6" t="str">
        <f>"Star PURE - Ketten 3"</f>
        <v>Star PURE - Ketten 3</v>
      </c>
      <c r="I3479" s="6" t="str">
        <f t="shared" si="843"/>
        <v>3074</v>
      </c>
      <c r="J3479" s="6" t="str">
        <f t="shared" si="844"/>
        <v>LARANJA 3074</v>
      </c>
      <c r="K3479" s="6" t="str">
        <f>"5212"</f>
        <v>5212</v>
      </c>
      <c r="L3479" s="6" t="str">
        <f t="shared" si="841"/>
        <v>Roupões Criança</v>
      </c>
      <c r="M3479" s="6" t="str">
        <f>"12 Anos"</f>
        <v>12 Anos</v>
      </c>
      <c r="N3479" s="6" t="str">
        <f>"5602972878158"</f>
        <v>5602972878158</v>
      </c>
      <c r="O3479" s="8">
        <v>36</v>
      </c>
      <c r="P3479" s="7">
        <v>45875</v>
      </c>
      <c r="R3479" s="8">
        <v>0</v>
      </c>
      <c r="S3479" s="7">
        <v>45901</v>
      </c>
      <c r="U3479" s="8">
        <v>0</v>
      </c>
      <c r="V3479" s="7">
        <v>45910</v>
      </c>
      <c r="X3479" s="8">
        <v>0</v>
      </c>
      <c r="Z3479" s="8">
        <v>0</v>
      </c>
      <c r="AA3479" s="7">
        <v>45922</v>
      </c>
      <c r="AC3479" s="8">
        <v>0</v>
      </c>
      <c r="AE3479" s="7">
        <v>45938</v>
      </c>
      <c r="AF3479" s="8">
        <v>0</v>
      </c>
      <c r="AH3479" s="7">
        <v>45938</v>
      </c>
      <c r="AI3479" s="7">
        <v>45936</v>
      </c>
      <c r="AN3479" s="8">
        <v>0</v>
      </c>
      <c r="AO3479" s="8">
        <v>36</v>
      </c>
    </row>
    <row r="3480" spans="1:41" x14ac:dyDescent="0.25">
      <c r="A3480" s="6" t="str">
        <f>"525-2025000416"</f>
        <v>525-2025000416</v>
      </c>
      <c r="B3480" s="6" t="str">
        <f t="shared" si="842"/>
        <v>Lasa Int</v>
      </c>
      <c r="C3480" s="7">
        <v>45875</v>
      </c>
      <c r="D3480" s="7">
        <v>46065</v>
      </c>
      <c r="E3480" s="8">
        <v>5</v>
      </c>
      <c r="F3480" s="6" t="str">
        <f>"PURE R Criança"</f>
        <v>PURE R Criança</v>
      </c>
      <c r="G3480" s="6" t="str">
        <f>"R013000138500000"</f>
        <v>R013000138500000</v>
      </c>
      <c r="H3480" s="6" t="str">
        <f>"Star PURE - Ketten 3"</f>
        <v>Star PURE - Ketten 3</v>
      </c>
      <c r="I3480" s="6" t="str">
        <f t="shared" si="843"/>
        <v>3074</v>
      </c>
      <c r="J3480" s="6" t="str">
        <f t="shared" si="844"/>
        <v>LARANJA 3074</v>
      </c>
      <c r="K3480" s="6" t="str">
        <f>"5214"</f>
        <v>5214</v>
      </c>
      <c r="L3480" s="6" t="str">
        <f t="shared" si="841"/>
        <v>Roupões Criança</v>
      </c>
      <c r="M3480" s="6" t="str">
        <f>"14 Anos"</f>
        <v>14 Anos</v>
      </c>
      <c r="N3480" s="6" t="str">
        <f>"5602972878165"</f>
        <v>5602972878165</v>
      </c>
      <c r="O3480" s="8">
        <v>24</v>
      </c>
      <c r="P3480" s="7">
        <v>45875</v>
      </c>
      <c r="R3480" s="8">
        <v>0</v>
      </c>
      <c r="S3480" s="7">
        <v>45901</v>
      </c>
      <c r="U3480" s="8">
        <v>0</v>
      </c>
      <c r="V3480" s="7">
        <v>45910</v>
      </c>
      <c r="X3480" s="8">
        <v>0</v>
      </c>
      <c r="Z3480" s="8">
        <v>0</v>
      </c>
      <c r="AA3480" s="7">
        <v>45922</v>
      </c>
      <c r="AC3480" s="8">
        <v>0</v>
      </c>
      <c r="AE3480" s="7">
        <v>45938</v>
      </c>
      <c r="AF3480" s="8">
        <v>0</v>
      </c>
      <c r="AH3480" s="7">
        <v>45938</v>
      </c>
      <c r="AI3480" s="7">
        <v>45936</v>
      </c>
      <c r="AN3480" s="8">
        <v>0</v>
      </c>
      <c r="AO3480" s="8">
        <v>24</v>
      </c>
    </row>
    <row r="3481" spans="1:41" x14ac:dyDescent="0.25">
      <c r="A3481" s="6" t="str">
        <f>"525-2025000417"</f>
        <v>525-2025000417</v>
      </c>
      <c r="B3481" s="6" t="str">
        <f t="shared" si="842"/>
        <v>Lasa Int</v>
      </c>
      <c r="C3481" s="7">
        <v>45876</v>
      </c>
      <c r="D3481" s="7">
        <v>46065</v>
      </c>
      <c r="E3481" s="8">
        <v>1</v>
      </c>
      <c r="F3481" s="6" t="str">
        <f>"Risalto"</f>
        <v>Risalto</v>
      </c>
      <c r="G3481" s="6" t="str">
        <f>"R330377338000000"</f>
        <v>R330377338000000</v>
      </c>
      <c r="H3481" s="6" t="str">
        <f>"R 3773 - PLA 3029 (m"</f>
        <v>R 3773 - PLA 3029 (m</v>
      </c>
      <c r="I3481" s="6" t="str">
        <f t="shared" ref="I3481:I3490" si="845">"201035"</f>
        <v>201035</v>
      </c>
      <c r="J3481" s="6" t="str">
        <f t="shared" ref="J3481:J3490" si="846">"AZUL 1035"</f>
        <v>AZUL 1035</v>
      </c>
      <c r="K3481" s="6" t="str">
        <f>"5002"</f>
        <v>5002</v>
      </c>
      <c r="L3481" s="6" t="str">
        <f>"Roupões Adulto"</f>
        <v>Roupões Adulto</v>
      </c>
      <c r="M3481" s="6" t="str">
        <f>"S"</f>
        <v>S</v>
      </c>
      <c r="N3481" s="6" t="str">
        <f>"5602972515527"</f>
        <v>5602972515527</v>
      </c>
      <c r="O3481" s="8">
        <v>72</v>
      </c>
      <c r="P3481" s="7">
        <v>45939</v>
      </c>
      <c r="R3481" s="8">
        <v>369</v>
      </c>
      <c r="S3481" s="7">
        <v>45944</v>
      </c>
      <c r="U3481" s="8">
        <v>369</v>
      </c>
      <c r="V3481" s="7">
        <v>45947</v>
      </c>
      <c r="X3481" s="8">
        <v>369</v>
      </c>
      <c r="Z3481" s="8">
        <v>0</v>
      </c>
      <c r="AA3481" s="7">
        <v>45959</v>
      </c>
      <c r="AC3481" s="8">
        <v>0</v>
      </c>
      <c r="AE3481" s="7">
        <v>45961</v>
      </c>
      <c r="AF3481" s="8">
        <v>0</v>
      </c>
      <c r="AH3481" s="7">
        <v>46009</v>
      </c>
      <c r="AN3481" s="8">
        <v>0</v>
      </c>
      <c r="AO3481" s="8">
        <v>72</v>
      </c>
    </row>
    <row r="3482" spans="1:41" x14ac:dyDescent="0.25">
      <c r="A3482" s="6" t="str">
        <f>"525-2025000417"</f>
        <v>525-2025000417</v>
      </c>
      <c r="B3482" s="6" t="str">
        <f t="shared" si="842"/>
        <v>Lasa Int</v>
      </c>
      <c r="C3482" s="7">
        <v>45876</v>
      </c>
      <c r="D3482" s="7">
        <v>46065</v>
      </c>
      <c r="E3482" s="8">
        <v>2</v>
      </c>
      <c r="F3482" s="6" t="str">
        <f>"Risalto"</f>
        <v>Risalto</v>
      </c>
      <c r="G3482" s="6" t="str">
        <f>"R330377338000000"</f>
        <v>R330377338000000</v>
      </c>
      <c r="H3482" s="6" t="str">
        <f>"R 3773 - PLA 3029 (m"</f>
        <v>R 3773 - PLA 3029 (m</v>
      </c>
      <c r="I3482" s="6" t="str">
        <f t="shared" si="845"/>
        <v>201035</v>
      </c>
      <c r="J3482" s="6" t="str">
        <f t="shared" si="846"/>
        <v>AZUL 1035</v>
      </c>
      <c r="K3482" s="6" t="str">
        <f>"5004"</f>
        <v>5004</v>
      </c>
      <c r="L3482" s="6" t="str">
        <f>"Roupões Adulto"</f>
        <v>Roupões Adulto</v>
      </c>
      <c r="M3482" s="6" t="str">
        <f>"M"</f>
        <v>M</v>
      </c>
      <c r="N3482" s="6" t="str">
        <f>"5602972515534"</f>
        <v>5602972515534</v>
      </c>
      <c r="O3482" s="8">
        <v>48</v>
      </c>
      <c r="P3482" s="7">
        <v>45939</v>
      </c>
      <c r="R3482" s="8">
        <v>0</v>
      </c>
      <c r="S3482" s="7">
        <v>45944</v>
      </c>
      <c r="U3482" s="8">
        <v>0</v>
      </c>
      <c r="V3482" s="7">
        <v>45947</v>
      </c>
      <c r="X3482" s="8">
        <v>0</v>
      </c>
      <c r="Z3482" s="8">
        <v>0</v>
      </c>
      <c r="AA3482" s="7">
        <v>45959</v>
      </c>
      <c r="AC3482" s="8">
        <v>0</v>
      </c>
      <c r="AE3482" s="7">
        <v>45961</v>
      </c>
      <c r="AF3482" s="8">
        <v>0</v>
      </c>
      <c r="AH3482" s="7">
        <v>46009</v>
      </c>
      <c r="AN3482" s="8">
        <v>0</v>
      </c>
      <c r="AO3482" s="8">
        <v>48</v>
      </c>
    </row>
    <row r="3483" spans="1:41" x14ac:dyDescent="0.25">
      <c r="A3483" s="6" t="str">
        <f>"525-2025000417"</f>
        <v>525-2025000417</v>
      </c>
      <c r="B3483" s="6" t="str">
        <f t="shared" si="842"/>
        <v>Lasa Int</v>
      </c>
      <c r="C3483" s="7">
        <v>45876</v>
      </c>
      <c r="D3483" s="7">
        <v>46065</v>
      </c>
      <c r="E3483" s="8">
        <v>3</v>
      </c>
      <c r="F3483" s="6" t="str">
        <f>"Risalto"</f>
        <v>Risalto</v>
      </c>
      <c r="G3483" s="6" t="str">
        <f>"R330377338000000"</f>
        <v>R330377338000000</v>
      </c>
      <c r="H3483" s="6" t="str">
        <f>"R 3773 - PLA 3029 (m"</f>
        <v>R 3773 - PLA 3029 (m</v>
      </c>
      <c r="I3483" s="6" t="str">
        <f t="shared" si="845"/>
        <v>201035</v>
      </c>
      <c r="J3483" s="6" t="str">
        <f t="shared" si="846"/>
        <v>AZUL 1035</v>
      </c>
      <c r="K3483" s="6" t="str">
        <f>"5006"</f>
        <v>5006</v>
      </c>
      <c r="L3483" s="6" t="str">
        <f>"Roupões Adulto"</f>
        <v>Roupões Adulto</v>
      </c>
      <c r="M3483" s="6" t="str">
        <f>"L"</f>
        <v>L</v>
      </c>
      <c r="N3483" s="6" t="str">
        <f>"5602972515541"</f>
        <v>5602972515541</v>
      </c>
      <c r="O3483" s="8">
        <v>36</v>
      </c>
      <c r="P3483" s="7">
        <v>45939</v>
      </c>
      <c r="R3483" s="8">
        <v>0</v>
      </c>
      <c r="S3483" s="7">
        <v>45944</v>
      </c>
      <c r="U3483" s="8">
        <v>0</v>
      </c>
      <c r="V3483" s="7">
        <v>45947</v>
      </c>
      <c r="X3483" s="8">
        <v>0</v>
      </c>
      <c r="Z3483" s="8">
        <v>0</v>
      </c>
      <c r="AA3483" s="7">
        <v>45959</v>
      </c>
      <c r="AC3483" s="8">
        <v>0</v>
      </c>
      <c r="AE3483" s="7">
        <v>45961</v>
      </c>
      <c r="AF3483" s="8">
        <v>0</v>
      </c>
      <c r="AH3483" s="7">
        <v>46009</v>
      </c>
      <c r="AN3483" s="8">
        <v>0</v>
      </c>
      <c r="AO3483" s="8">
        <v>36</v>
      </c>
    </row>
    <row r="3484" spans="1:41" x14ac:dyDescent="0.25">
      <c r="A3484" s="6" t="str">
        <f>"525-2025000417"</f>
        <v>525-2025000417</v>
      </c>
      <c r="B3484" s="6" t="str">
        <f t="shared" si="842"/>
        <v>Lasa Int</v>
      </c>
      <c r="C3484" s="7">
        <v>45876</v>
      </c>
      <c r="D3484" s="7">
        <v>46065</v>
      </c>
      <c r="E3484" s="8">
        <v>4</v>
      </c>
      <c r="F3484" s="6" t="str">
        <f>"Risalto"</f>
        <v>Risalto</v>
      </c>
      <c r="G3484" s="6" t="str">
        <f>"R330377338000000"</f>
        <v>R330377338000000</v>
      </c>
      <c r="H3484" s="6" t="str">
        <f>"R 3773 - PLA 3029 (m"</f>
        <v>R 3773 - PLA 3029 (m</v>
      </c>
      <c r="I3484" s="6" t="str">
        <f t="shared" si="845"/>
        <v>201035</v>
      </c>
      <c r="J3484" s="6" t="str">
        <f t="shared" si="846"/>
        <v>AZUL 1035</v>
      </c>
      <c r="K3484" s="6" t="str">
        <f>"5008"</f>
        <v>5008</v>
      </c>
      <c r="L3484" s="6" t="str">
        <f>"Roupões Adulto"</f>
        <v>Roupões Adulto</v>
      </c>
      <c r="M3484" s="6" t="str">
        <f>"XL"</f>
        <v>XL</v>
      </c>
      <c r="N3484" s="6" t="str">
        <f>"5602972515558"</f>
        <v>5602972515558</v>
      </c>
      <c r="O3484" s="8">
        <v>24</v>
      </c>
      <c r="P3484" s="7">
        <v>45939</v>
      </c>
      <c r="R3484" s="8">
        <v>0</v>
      </c>
      <c r="S3484" s="7">
        <v>45944</v>
      </c>
      <c r="U3484" s="8">
        <v>0</v>
      </c>
      <c r="V3484" s="7">
        <v>45947</v>
      </c>
      <c r="X3484" s="8">
        <v>0</v>
      </c>
      <c r="Z3484" s="8">
        <v>0</v>
      </c>
      <c r="AA3484" s="7">
        <v>45959</v>
      </c>
      <c r="AC3484" s="8">
        <v>0</v>
      </c>
      <c r="AE3484" s="7">
        <v>45961</v>
      </c>
      <c r="AF3484" s="8">
        <v>0</v>
      </c>
      <c r="AH3484" s="7">
        <v>46009</v>
      </c>
      <c r="AN3484" s="8">
        <v>0</v>
      </c>
      <c r="AO3484" s="8">
        <v>24</v>
      </c>
    </row>
    <row r="3485" spans="1:41" x14ac:dyDescent="0.25">
      <c r="A3485" s="6" t="str">
        <f t="shared" ref="A3485:A3490" si="847">"525-2025000418"</f>
        <v>525-2025000418</v>
      </c>
      <c r="B3485" s="6" t="str">
        <f t="shared" si="842"/>
        <v>Lasa Int</v>
      </c>
      <c r="C3485" s="7">
        <v>45876</v>
      </c>
      <c r="D3485" s="7">
        <v>46037</v>
      </c>
      <c r="E3485" s="8">
        <v>1</v>
      </c>
      <c r="F3485" s="6" t="str">
        <f t="shared" ref="F3485:F3490" si="848">"Risalto+Vivido"</f>
        <v>Risalto+Vivido</v>
      </c>
      <c r="G3485" s="6" t="str">
        <f>"F330302850000000"</f>
        <v>F330302850000000</v>
      </c>
      <c r="H3485" s="6" t="str">
        <f>"PLA 3028 - 500 g/m²"</f>
        <v>PLA 3028 - 500 g/m²</v>
      </c>
      <c r="I3485" s="6" t="str">
        <f t="shared" si="845"/>
        <v>201035</v>
      </c>
      <c r="J3485" s="6" t="str">
        <f t="shared" si="846"/>
        <v>AZUL 1035</v>
      </c>
      <c r="K3485" s="6" t="str">
        <f>"1024"</f>
        <v>1024</v>
      </c>
      <c r="L3485" s="6" t="str">
        <f>"Toalhas"</f>
        <v>Toalhas</v>
      </c>
      <c r="M3485" s="6" t="str">
        <f>"50x100"</f>
        <v>50x100</v>
      </c>
      <c r="N3485" s="6" t="str">
        <f>"5602972514773"</f>
        <v>5602972514773</v>
      </c>
      <c r="O3485" s="8">
        <v>360</v>
      </c>
      <c r="P3485" s="7">
        <v>45939</v>
      </c>
      <c r="R3485" s="8">
        <v>388</v>
      </c>
      <c r="S3485" s="7">
        <v>45944</v>
      </c>
      <c r="U3485" s="8">
        <v>388</v>
      </c>
      <c r="V3485" s="7">
        <v>45947</v>
      </c>
      <c r="X3485" s="8">
        <v>0</v>
      </c>
      <c r="Z3485" s="8">
        <v>388</v>
      </c>
      <c r="AA3485" s="7">
        <v>45959</v>
      </c>
      <c r="AC3485" s="8">
        <v>370</v>
      </c>
      <c r="AE3485" s="7">
        <v>45961</v>
      </c>
      <c r="AF3485" s="8">
        <v>370</v>
      </c>
      <c r="AH3485" s="7">
        <v>45961</v>
      </c>
      <c r="AN3485" s="8">
        <v>370</v>
      </c>
      <c r="AO3485" s="8">
        <v>-10</v>
      </c>
    </row>
    <row r="3486" spans="1:41" x14ac:dyDescent="0.25">
      <c r="A3486" s="6" t="str">
        <f t="shared" si="847"/>
        <v>525-2025000418</v>
      </c>
      <c r="B3486" s="6" t="str">
        <f t="shared" si="842"/>
        <v>Lasa Int</v>
      </c>
      <c r="C3486" s="7">
        <v>45876</v>
      </c>
      <c r="D3486" s="7">
        <v>46037</v>
      </c>
      <c r="E3486" s="8">
        <v>2</v>
      </c>
      <c r="F3486" s="6" t="str">
        <f t="shared" si="848"/>
        <v>Risalto+Vivido</v>
      </c>
      <c r="G3486" s="6" t="str">
        <f>"F330302850000000"</f>
        <v>F330302850000000</v>
      </c>
      <c r="H3486" s="6" t="str">
        <f>"PLA 3028 - 500 g/m²"</f>
        <v>PLA 3028 - 500 g/m²</v>
      </c>
      <c r="I3486" s="6" t="str">
        <f t="shared" si="845"/>
        <v>201035</v>
      </c>
      <c r="J3486" s="6" t="str">
        <f t="shared" si="846"/>
        <v>AZUL 1035</v>
      </c>
      <c r="K3486" s="6" t="str">
        <f>"1535"</f>
        <v>1535</v>
      </c>
      <c r="L3486" s="6" t="str">
        <f>"Toalhões"</f>
        <v>Toalhões</v>
      </c>
      <c r="M3486" s="6" t="str">
        <f>"70x140"</f>
        <v>70x140</v>
      </c>
      <c r="N3486" s="6" t="str">
        <f>"5602972514780"</f>
        <v>5602972514780</v>
      </c>
      <c r="O3486" s="8">
        <v>120</v>
      </c>
      <c r="P3486" s="7">
        <v>45939</v>
      </c>
      <c r="R3486" s="8">
        <v>141</v>
      </c>
      <c r="S3486" s="7">
        <v>45944</v>
      </c>
      <c r="U3486" s="8">
        <v>141</v>
      </c>
      <c r="V3486" s="7">
        <v>45947</v>
      </c>
      <c r="X3486" s="8">
        <v>0</v>
      </c>
      <c r="Z3486" s="8">
        <v>141</v>
      </c>
      <c r="AA3486" s="7">
        <v>45959</v>
      </c>
      <c r="AC3486" s="8">
        <v>127</v>
      </c>
      <c r="AE3486" s="7">
        <v>45961</v>
      </c>
      <c r="AF3486" s="8">
        <v>127</v>
      </c>
      <c r="AH3486" s="7">
        <v>45961</v>
      </c>
      <c r="AN3486" s="8">
        <v>127</v>
      </c>
      <c r="AO3486" s="8">
        <v>-7</v>
      </c>
    </row>
    <row r="3487" spans="1:41" x14ac:dyDescent="0.25">
      <c r="A3487" s="6" t="str">
        <f t="shared" si="847"/>
        <v>525-2025000418</v>
      </c>
      <c r="B3487" s="6" t="str">
        <f t="shared" si="842"/>
        <v>Lasa Int</v>
      </c>
      <c r="C3487" s="7">
        <v>45876</v>
      </c>
      <c r="D3487" s="7">
        <v>46037</v>
      </c>
      <c r="E3487" s="8">
        <v>3</v>
      </c>
      <c r="F3487" s="6" t="str">
        <f t="shared" si="848"/>
        <v>Risalto+Vivido</v>
      </c>
      <c r="G3487" s="6" t="str">
        <f>"F330302950000000"</f>
        <v>F330302950000000</v>
      </c>
      <c r="H3487" s="6" t="str">
        <f>"PLA 3029 - 500 g/m²"</f>
        <v>PLA 3029 - 500 g/m²</v>
      </c>
      <c r="I3487" s="6" t="str">
        <f t="shared" si="845"/>
        <v>201035</v>
      </c>
      <c r="J3487" s="6" t="str">
        <f t="shared" si="846"/>
        <v>AZUL 1035</v>
      </c>
      <c r="K3487" s="6" t="str">
        <f>"0112"</f>
        <v>0112</v>
      </c>
      <c r="L3487" s="6" t="str">
        <f>"Luvas"</f>
        <v>Luvas</v>
      </c>
      <c r="M3487" s="6" t="str">
        <f>"16x21"</f>
        <v>16x21</v>
      </c>
      <c r="N3487" s="6" t="str">
        <f>"5602972514803"</f>
        <v>5602972514803</v>
      </c>
      <c r="O3487" s="8">
        <v>240</v>
      </c>
      <c r="P3487" s="7">
        <v>45939</v>
      </c>
      <c r="R3487" s="8">
        <v>270</v>
      </c>
      <c r="S3487" s="7">
        <v>45944</v>
      </c>
      <c r="U3487" s="8">
        <v>270</v>
      </c>
      <c r="V3487" s="7">
        <v>45947</v>
      </c>
      <c r="X3487" s="8">
        <v>0</v>
      </c>
      <c r="Z3487" s="8">
        <v>270</v>
      </c>
      <c r="AA3487" s="7">
        <v>45959</v>
      </c>
      <c r="AC3487" s="8">
        <v>0</v>
      </c>
      <c r="AE3487" s="7">
        <v>45961</v>
      </c>
      <c r="AF3487" s="8">
        <v>0</v>
      </c>
      <c r="AH3487" s="7">
        <v>45961</v>
      </c>
      <c r="AN3487" s="8">
        <v>246</v>
      </c>
      <c r="AO3487" s="8">
        <v>-6</v>
      </c>
    </row>
    <row r="3488" spans="1:41" x14ac:dyDescent="0.25">
      <c r="A3488" s="6" t="str">
        <f t="shared" si="847"/>
        <v>525-2025000418</v>
      </c>
      <c r="B3488" s="6" t="str">
        <f t="shared" si="842"/>
        <v>Lasa Int</v>
      </c>
      <c r="C3488" s="7">
        <v>45876</v>
      </c>
      <c r="D3488" s="7">
        <v>46037</v>
      </c>
      <c r="E3488" s="8">
        <v>4</v>
      </c>
      <c r="F3488" s="6" t="str">
        <f t="shared" si="848"/>
        <v>Risalto+Vivido</v>
      </c>
      <c r="G3488" s="6" t="str">
        <f>"F330302950000000"</f>
        <v>F330302950000000</v>
      </c>
      <c r="H3488" s="6" t="str">
        <f>"PLA 3029 - 500 g/m²"</f>
        <v>PLA 3029 - 500 g/m²</v>
      </c>
      <c r="I3488" s="6" t="str">
        <f t="shared" si="845"/>
        <v>201035</v>
      </c>
      <c r="J3488" s="6" t="str">
        <f t="shared" si="846"/>
        <v>AZUL 1035</v>
      </c>
      <c r="K3488" s="6" t="str">
        <f>"1024"</f>
        <v>1024</v>
      </c>
      <c r="L3488" s="6" t="str">
        <f>"Toalhas"</f>
        <v>Toalhas</v>
      </c>
      <c r="M3488" s="6" t="str">
        <f>"50x100"</f>
        <v>50x100</v>
      </c>
      <c r="N3488" s="6" t="str">
        <f>"5602972514827"</f>
        <v>5602972514827</v>
      </c>
      <c r="O3488" s="8">
        <v>540</v>
      </c>
      <c r="P3488" s="7">
        <v>45939</v>
      </c>
      <c r="R3488" s="8">
        <v>564</v>
      </c>
      <c r="S3488" s="7">
        <v>45944</v>
      </c>
      <c r="U3488" s="8">
        <v>564</v>
      </c>
      <c r="V3488" s="7">
        <v>45947</v>
      </c>
      <c r="X3488" s="8">
        <v>0</v>
      </c>
      <c r="Z3488" s="8">
        <v>564</v>
      </c>
      <c r="AA3488" s="7">
        <v>45959</v>
      </c>
      <c r="AC3488" s="8">
        <v>552</v>
      </c>
      <c r="AE3488" s="7">
        <v>45961</v>
      </c>
      <c r="AF3488" s="8">
        <v>552</v>
      </c>
      <c r="AH3488" s="7">
        <v>45961</v>
      </c>
      <c r="AN3488" s="8">
        <v>552</v>
      </c>
      <c r="AO3488" s="8">
        <v>-12</v>
      </c>
    </row>
    <row r="3489" spans="1:41" x14ac:dyDescent="0.25">
      <c r="A3489" s="6" t="str">
        <f t="shared" si="847"/>
        <v>525-2025000418</v>
      </c>
      <c r="B3489" s="6" t="str">
        <f t="shared" si="842"/>
        <v>Lasa Int</v>
      </c>
      <c r="C3489" s="7">
        <v>45876</v>
      </c>
      <c r="D3489" s="7">
        <v>46037</v>
      </c>
      <c r="E3489" s="8">
        <v>5</v>
      </c>
      <c r="F3489" s="6" t="str">
        <f t="shared" si="848"/>
        <v>Risalto+Vivido</v>
      </c>
      <c r="G3489" s="6" t="str">
        <f>"F330302950000000"</f>
        <v>F330302950000000</v>
      </c>
      <c r="H3489" s="6" t="str">
        <f>"PLA 3029 - 500 g/m²"</f>
        <v>PLA 3029 - 500 g/m²</v>
      </c>
      <c r="I3489" s="6" t="str">
        <f t="shared" si="845"/>
        <v>201035</v>
      </c>
      <c r="J3489" s="6" t="str">
        <f t="shared" si="846"/>
        <v>AZUL 1035</v>
      </c>
      <c r="K3489" s="6" t="str">
        <f>"1535"</f>
        <v>1535</v>
      </c>
      <c r="L3489" s="6" t="str">
        <f>"Toalhões"</f>
        <v>Toalhões</v>
      </c>
      <c r="M3489" s="6" t="str">
        <f>"70x140"</f>
        <v>70x140</v>
      </c>
      <c r="N3489" s="6" t="str">
        <f>"5602972514834"</f>
        <v>5602972514834</v>
      </c>
      <c r="O3489" s="8">
        <v>320</v>
      </c>
      <c r="P3489" s="7">
        <v>45939</v>
      </c>
      <c r="R3489" s="8">
        <v>360</v>
      </c>
      <c r="S3489" s="7">
        <v>45944</v>
      </c>
      <c r="U3489" s="8">
        <v>360</v>
      </c>
      <c r="V3489" s="7">
        <v>45947</v>
      </c>
      <c r="X3489" s="8">
        <v>0</v>
      </c>
      <c r="Z3489" s="8">
        <v>360</v>
      </c>
      <c r="AA3489" s="7">
        <v>45959</v>
      </c>
      <c r="AC3489" s="8">
        <v>301</v>
      </c>
      <c r="AE3489" s="7">
        <v>45961</v>
      </c>
      <c r="AF3489" s="8">
        <v>301</v>
      </c>
      <c r="AH3489" s="7">
        <v>45961</v>
      </c>
      <c r="AN3489" s="8">
        <v>301</v>
      </c>
      <c r="AO3489" s="8">
        <v>19</v>
      </c>
    </row>
    <row r="3490" spans="1:41" x14ac:dyDescent="0.25">
      <c r="A3490" s="6" t="str">
        <f t="shared" si="847"/>
        <v>525-2025000418</v>
      </c>
      <c r="B3490" s="6" t="str">
        <f t="shared" si="842"/>
        <v>Lasa Int</v>
      </c>
      <c r="C3490" s="7">
        <v>45876</v>
      </c>
      <c r="D3490" s="7">
        <v>46037</v>
      </c>
      <c r="E3490" s="8">
        <v>6</v>
      </c>
      <c r="F3490" s="6" t="str">
        <f t="shared" si="848"/>
        <v>Risalto+Vivido</v>
      </c>
      <c r="G3490" s="6" t="str">
        <f>"F330302950000000"</f>
        <v>F330302950000000</v>
      </c>
      <c r="H3490" s="6" t="str">
        <f>"PLA 3029 - 500 g/m²"</f>
        <v>PLA 3029 - 500 g/m²</v>
      </c>
      <c r="I3490" s="6" t="str">
        <f t="shared" si="845"/>
        <v>201035</v>
      </c>
      <c r="J3490" s="6" t="str">
        <f t="shared" si="846"/>
        <v>AZUL 1035</v>
      </c>
      <c r="K3490" s="6" t="str">
        <f>"2020"</f>
        <v>2020</v>
      </c>
      <c r="L3490" s="6" t="str">
        <f>"Lençóis"</f>
        <v>Lençóis</v>
      </c>
      <c r="M3490" s="6" t="str">
        <f>"100x150"</f>
        <v>100x150</v>
      </c>
      <c r="N3490" s="6" t="str">
        <f>"5602972514841"</f>
        <v>5602972514841</v>
      </c>
      <c r="O3490" s="8">
        <v>100</v>
      </c>
      <c r="P3490" s="7">
        <v>45939</v>
      </c>
      <c r="R3490" s="8">
        <v>114</v>
      </c>
      <c r="S3490" s="7">
        <v>45944</v>
      </c>
      <c r="U3490" s="8">
        <v>114</v>
      </c>
      <c r="V3490" s="7">
        <v>45947</v>
      </c>
      <c r="X3490" s="8">
        <v>0</v>
      </c>
      <c r="Z3490" s="8">
        <v>114</v>
      </c>
      <c r="AA3490" s="7">
        <v>45959</v>
      </c>
      <c r="AC3490" s="8">
        <v>55</v>
      </c>
      <c r="AE3490" s="7">
        <v>45961</v>
      </c>
      <c r="AF3490" s="8">
        <v>55</v>
      </c>
      <c r="AH3490" s="7">
        <v>45961</v>
      </c>
      <c r="AN3490" s="8">
        <v>55</v>
      </c>
      <c r="AO3490" s="8">
        <v>45</v>
      </c>
    </row>
    <row r="3491" spans="1:41" x14ac:dyDescent="0.25">
      <c r="A3491" s="6" t="str">
        <f>"525-2025000419"</f>
        <v>525-2025000419</v>
      </c>
      <c r="B3491" s="6" t="str">
        <f t="shared" si="842"/>
        <v>Lasa Int</v>
      </c>
      <c r="C3491" s="7">
        <v>45876</v>
      </c>
      <c r="D3491" s="7">
        <v>46052</v>
      </c>
      <c r="E3491" s="8">
        <v>1</v>
      </c>
      <c r="F3491" s="6" t="str">
        <f>"Panos Pure"</f>
        <v>Panos Pure</v>
      </c>
      <c r="G3491" s="6" t="str">
        <f>"C001168926000000"</f>
        <v>C001168926000000</v>
      </c>
      <c r="H3491" s="6" t="str">
        <f>"CZJ 1689 - 260 g/m²"</f>
        <v>CZJ 1689 - 260 g/m²</v>
      </c>
      <c r="I3491" s="6" t="str">
        <f>"200138"</f>
        <v>200138</v>
      </c>
      <c r="J3491" s="6" t="str">
        <f>"AZUL 138"</f>
        <v>AZUL 138</v>
      </c>
      <c r="K3491" s="6" t="str">
        <f>"0830"</f>
        <v>0830</v>
      </c>
      <c r="L3491" s="6" t="str">
        <f>"Cozinha"</f>
        <v>Cozinha</v>
      </c>
      <c r="M3491" s="6" t="str">
        <f>"50x70"</f>
        <v>50x70</v>
      </c>
      <c r="N3491" s="6" t="str">
        <f>"5602972624373"</f>
        <v>5602972624373</v>
      </c>
      <c r="O3491" s="8">
        <v>1200</v>
      </c>
      <c r="P3491" s="7">
        <v>45939</v>
      </c>
      <c r="R3491" s="8">
        <v>1252</v>
      </c>
      <c r="S3491" s="7">
        <v>45944</v>
      </c>
      <c r="U3491" s="8">
        <v>1252</v>
      </c>
      <c r="V3491" s="7">
        <v>45947</v>
      </c>
      <c r="X3491" s="8">
        <v>0</v>
      </c>
      <c r="Z3491" s="8">
        <v>1252</v>
      </c>
      <c r="AA3491" s="7">
        <v>45959</v>
      </c>
      <c r="AC3491" s="8">
        <v>1192</v>
      </c>
      <c r="AE3491" s="7">
        <v>45961</v>
      </c>
      <c r="AF3491" s="8">
        <v>1192</v>
      </c>
      <c r="AH3491" s="7">
        <v>45961</v>
      </c>
      <c r="AN3491" s="8">
        <v>1192</v>
      </c>
      <c r="AO3491" s="8">
        <v>8</v>
      </c>
    </row>
    <row r="3492" spans="1:41" x14ac:dyDescent="0.25">
      <c r="A3492" s="6" t="str">
        <f t="shared" ref="A3492:A3513" si="849">"525-2025000420"</f>
        <v>525-2025000420</v>
      </c>
      <c r="B3492" s="6" t="str">
        <f t="shared" si="842"/>
        <v>Lasa Int</v>
      </c>
      <c r="C3492" s="7">
        <v>45877</v>
      </c>
      <c r="D3492" s="7">
        <v>46051</v>
      </c>
      <c r="E3492" s="8">
        <v>1</v>
      </c>
      <c r="F3492" s="6" t="str">
        <f t="shared" ref="F3492:F3513" si="850">"Efficience"</f>
        <v>Efficience</v>
      </c>
      <c r="G3492" s="6" t="str">
        <f>"F300361650000000"</f>
        <v>F300361650000000</v>
      </c>
      <c r="H3492" s="6" t="str">
        <f>"PLR RC 3616 GRS - 52"</f>
        <v>PLR RC 3616 GRS - 52</v>
      </c>
      <c r="I3492" s="6" t="str">
        <f>"204304"</f>
        <v>204304</v>
      </c>
      <c r="J3492" s="6" t="str">
        <f>"ROSA 4304"</f>
        <v>ROSA 4304</v>
      </c>
      <c r="K3492" s="6" t="str">
        <f>"0112"</f>
        <v>0112</v>
      </c>
      <c r="L3492" s="6" t="str">
        <f>"Luvas"</f>
        <v>Luvas</v>
      </c>
      <c r="M3492" s="6" t="str">
        <f>"16x21"</f>
        <v>16x21</v>
      </c>
      <c r="N3492" s="6" t="str">
        <f>"5602972692877"</f>
        <v>5602972692877</v>
      </c>
      <c r="O3492" s="8">
        <v>180</v>
      </c>
      <c r="P3492" s="7">
        <v>45939</v>
      </c>
      <c r="R3492" s="8">
        <v>204</v>
      </c>
      <c r="S3492" s="7">
        <v>45944</v>
      </c>
      <c r="U3492" s="8">
        <v>204</v>
      </c>
      <c r="V3492" s="7">
        <v>45951</v>
      </c>
      <c r="X3492" s="8">
        <v>0</v>
      </c>
      <c r="Z3492" s="8">
        <v>204</v>
      </c>
      <c r="AA3492" s="7">
        <v>45965</v>
      </c>
      <c r="AC3492" s="8">
        <v>0</v>
      </c>
      <c r="AE3492" s="7">
        <v>45968</v>
      </c>
      <c r="AF3492" s="8">
        <v>0</v>
      </c>
      <c r="AH3492" s="7">
        <v>46044</v>
      </c>
      <c r="AN3492" s="8">
        <v>198</v>
      </c>
      <c r="AO3492" s="8">
        <v>-18</v>
      </c>
    </row>
    <row r="3493" spans="1:41" x14ac:dyDescent="0.25">
      <c r="A3493" s="6" t="str">
        <f t="shared" si="849"/>
        <v>525-2025000420</v>
      </c>
      <c r="B3493" s="6" t="str">
        <f t="shared" si="842"/>
        <v>Lasa Int</v>
      </c>
      <c r="C3493" s="7">
        <v>45877</v>
      </c>
      <c r="D3493" s="7">
        <v>46051</v>
      </c>
      <c r="E3493" s="8">
        <v>2</v>
      </c>
      <c r="F3493" s="6" t="str">
        <f t="shared" si="850"/>
        <v>Efficience</v>
      </c>
      <c r="G3493" s="6" t="str">
        <f>"F300361650000000"</f>
        <v>F300361650000000</v>
      </c>
      <c r="H3493" s="6" t="str">
        <f>"PLR RC 3616 GRS - 52"</f>
        <v>PLR RC 3616 GRS - 52</v>
      </c>
      <c r="I3493" s="6" t="str">
        <f>"204305"</f>
        <v>204305</v>
      </c>
      <c r="J3493" s="6" t="str">
        <f>"VERDE 4305"</f>
        <v>VERDE 4305</v>
      </c>
      <c r="K3493" s="6" t="str">
        <f>"2020"</f>
        <v>2020</v>
      </c>
      <c r="L3493" s="6" t="str">
        <f>"Lençóis"</f>
        <v>Lençóis</v>
      </c>
      <c r="M3493" s="6" t="str">
        <f>"100x150"</f>
        <v>100x150</v>
      </c>
      <c r="N3493" s="6" t="str">
        <f>"5602972692969"</f>
        <v>5602972692969</v>
      </c>
      <c r="O3493" s="8">
        <v>80</v>
      </c>
      <c r="P3493" s="7">
        <v>45939</v>
      </c>
      <c r="R3493" s="8">
        <v>94</v>
      </c>
      <c r="S3493" s="7">
        <v>45944</v>
      </c>
      <c r="U3493" s="8">
        <v>94</v>
      </c>
      <c r="V3493" s="7">
        <v>45951</v>
      </c>
      <c r="X3493" s="8">
        <v>0</v>
      </c>
      <c r="Z3493" s="8">
        <v>94</v>
      </c>
      <c r="AA3493" s="7">
        <v>45965</v>
      </c>
      <c r="AC3493" s="8">
        <v>0</v>
      </c>
      <c r="AE3493" s="7">
        <v>45968</v>
      </c>
      <c r="AF3493" s="8">
        <v>0</v>
      </c>
      <c r="AH3493" s="7">
        <v>46044</v>
      </c>
      <c r="AN3493" s="8">
        <v>0</v>
      </c>
      <c r="AO3493" s="8">
        <v>80</v>
      </c>
    </row>
    <row r="3494" spans="1:41" x14ac:dyDescent="0.25">
      <c r="A3494" s="6" t="str">
        <f t="shared" si="849"/>
        <v>525-2025000420</v>
      </c>
      <c r="B3494" s="6" t="str">
        <f t="shared" si="842"/>
        <v>Lasa Int</v>
      </c>
      <c r="C3494" s="7">
        <v>45877</v>
      </c>
      <c r="D3494" s="7">
        <v>46051</v>
      </c>
      <c r="E3494" s="8">
        <v>3</v>
      </c>
      <c r="F3494" s="6" t="str">
        <f t="shared" si="850"/>
        <v>Efficience</v>
      </c>
      <c r="G3494" s="6" t="str">
        <f>"F300361650000000"</f>
        <v>F300361650000000</v>
      </c>
      <c r="H3494" s="6" t="str">
        <f>"PLR RC 3616 GRS - 52"</f>
        <v>PLR RC 3616 GRS - 52</v>
      </c>
      <c r="I3494" s="6" t="str">
        <f>"204307"</f>
        <v>204307</v>
      </c>
      <c r="J3494" s="6" t="str">
        <f>"CINZA 4307"</f>
        <v>CINZA 4307</v>
      </c>
      <c r="K3494" s="6" t="str">
        <f>"0112"</f>
        <v>0112</v>
      </c>
      <c r="L3494" s="6" t="str">
        <f>"Luvas"</f>
        <v>Luvas</v>
      </c>
      <c r="M3494" s="6" t="str">
        <f>"16x21"</f>
        <v>16x21</v>
      </c>
      <c r="N3494" s="6" t="str">
        <f>"5602972693027"</f>
        <v>5602972693027</v>
      </c>
      <c r="O3494" s="8">
        <v>180</v>
      </c>
      <c r="P3494" s="7">
        <v>45939</v>
      </c>
      <c r="R3494" s="8">
        <v>216</v>
      </c>
      <c r="S3494" s="7">
        <v>45944</v>
      </c>
      <c r="U3494" s="8">
        <v>216</v>
      </c>
      <c r="V3494" s="7">
        <v>45951</v>
      </c>
      <c r="X3494" s="8">
        <v>0</v>
      </c>
      <c r="Z3494" s="8">
        <v>216</v>
      </c>
      <c r="AA3494" s="7">
        <v>45965</v>
      </c>
      <c r="AC3494" s="8">
        <v>0</v>
      </c>
      <c r="AE3494" s="7">
        <v>45968</v>
      </c>
      <c r="AF3494" s="8">
        <v>0</v>
      </c>
      <c r="AH3494" s="7">
        <v>46044</v>
      </c>
      <c r="AN3494" s="8">
        <v>204</v>
      </c>
      <c r="AO3494" s="8">
        <v>-24</v>
      </c>
    </row>
    <row r="3495" spans="1:41" x14ac:dyDescent="0.25">
      <c r="A3495" s="6" t="str">
        <f t="shared" si="849"/>
        <v>525-2025000420</v>
      </c>
      <c r="B3495" s="6" t="str">
        <f t="shared" si="842"/>
        <v>Lasa Int</v>
      </c>
      <c r="C3495" s="7">
        <v>45877</v>
      </c>
      <c r="D3495" s="7">
        <v>46051</v>
      </c>
      <c r="E3495" s="8">
        <v>4</v>
      </c>
      <c r="F3495" s="6" t="str">
        <f t="shared" si="850"/>
        <v>Efficience</v>
      </c>
      <c r="G3495" s="6" t="str">
        <f>"F300361650000000"</f>
        <v>F300361650000000</v>
      </c>
      <c r="H3495" s="6" t="str">
        <f>"PLR RC 3616 GRS - 52"</f>
        <v>PLR RC 3616 GRS - 52</v>
      </c>
      <c r="I3495" s="6" t="str">
        <f>"204308"</f>
        <v>204308</v>
      </c>
      <c r="J3495" s="6" t="str">
        <f>"CASTANHO 4308"</f>
        <v>CASTANHO 4308</v>
      </c>
      <c r="K3495" s="6" t="str">
        <f>"2020"</f>
        <v>2020</v>
      </c>
      <c r="L3495" s="6" t="str">
        <f>"Lençóis"</f>
        <v>Lençóis</v>
      </c>
      <c r="M3495" s="6" t="str">
        <f>"100x150"</f>
        <v>100x150</v>
      </c>
      <c r="N3495" s="6" t="str">
        <f>"5602972693119"</f>
        <v>5602972693119</v>
      </c>
      <c r="O3495" s="8">
        <v>80</v>
      </c>
      <c r="P3495" s="7">
        <v>45939</v>
      </c>
      <c r="R3495" s="8">
        <v>100</v>
      </c>
      <c r="S3495" s="7">
        <v>45944</v>
      </c>
      <c r="U3495" s="8">
        <v>100</v>
      </c>
      <c r="V3495" s="7">
        <v>45951</v>
      </c>
      <c r="X3495" s="8">
        <v>0</v>
      </c>
      <c r="Z3495" s="8">
        <v>100</v>
      </c>
      <c r="AA3495" s="7">
        <v>45965</v>
      </c>
      <c r="AC3495" s="8">
        <v>63</v>
      </c>
      <c r="AE3495" s="7">
        <v>45968</v>
      </c>
      <c r="AF3495" s="8">
        <v>63</v>
      </c>
      <c r="AH3495" s="7">
        <v>46044</v>
      </c>
      <c r="AN3495" s="8">
        <v>63</v>
      </c>
      <c r="AO3495" s="8">
        <v>17</v>
      </c>
    </row>
    <row r="3496" spans="1:41" x14ac:dyDescent="0.25">
      <c r="A3496" s="6" t="str">
        <f t="shared" si="849"/>
        <v>525-2025000420</v>
      </c>
      <c r="B3496" s="6" t="str">
        <f t="shared" si="842"/>
        <v>Lasa Int</v>
      </c>
      <c r="C3496" s="7">
        <v>45877</v>
      </c>
      <c r="D3496" s="7">
        <v>46051</v>
      </c>
      <c r="E3496" s="8">
        <v>5</v>
      </c>
      <c r="F3496" s="6" t="str">
        <f t="shared" si="850"/>
        <v>Efficience</v>
      </c>
      <c r="G3496" s="6" t="str">
        <f>"F300363652000000"</f>
        <v>F300363652000000</v>
      </c>
      <c r="H3496" s="6" t="str">
        <f>"PLR RC 3636 GRS - 52"</f>
        <v>PLR RC 3636 GRS - 52</v>
      </c>
      <c r="I3496" s="6" t="str">
        <f>"204308"</f>
        <v>204308</v>
      </c>
      <c r="J3496" s="6" t="str">
        <f>"CASTANHO 4308"</f>
        <v>CASTANHO 4308</v>
      </c>
      <c r="K3496" s="6" t="str">
        <f>"2048"</f>
        <v>2048</v>
      </c>
      <c r="L3496" s="6" t="str">
        <f>"Lençóis"</f>
        <v>Lençóis</v>
      </c>
      <c r="M3496" s="6" t="str">
        <f>"85x200"</f>
        <v>85x200</v>
      </c>
      <c r="N3496" s="6" t="str">
        <f>"5602972699937"</f>
        <v>5602972699937</v>
      </c>
      <c r="O3496" s="8">
        <v>60</v>
      </c>
      <c r="P3496" s="7">
        <v>45939</v>
      </c>
      <c r="R3496" s="8">
        <v>74</v>
      </c>
      <c r="S3496" s="7">
        <v>45944</v>
      </c>
      <c r="U3496" s="8">
        <v>74</v>
      </c>
      <c r="V3496" s="7">
        <v>45951</v>
      </c>
      <c r="X3496" s="8">
        <v>0</v>
      </c>
      <c r="Z3496" s="8">
        <v>74</v>
      </c>
      <c r="AA3496" s="7">
        <v>45965</v>
      </c>
      <c r="AC3496" s="8">
        <v>0</v>
      </c>
      <c r="AE3496" s="7">
        <v>45968</v>
      </c>
      <c r="AF3496" s="8">
        <v>0</v>
      </c>
      <c r="AH3496" s="7">
        <v>46044</v>
      </c>
      <c r="AN3496" s="8">
        <v>0</v>
      </c>
      <c r="AO3496" s="8">
        <v>60</v>
      </c>
    </row>
    <row r="3497" spans="1:41" x14ac:dyDescent="0.25">
      <c r="A3497" s="6" t="str">
        <f t="shared" si="849"/>
        <v>525-2025000420</v>
      </c>
      <c r="B3497" s="6" t="str">
        <f t="shared" si="842"/>
        <v>Lasa Int</v>
      </c>
      <c r="C3497" s="7">
        <v>45877</v>
      </c>
      <c r="D3497" s="7">
        <v>46051</v>
      </c>
      <c r="E3497" s="8">
        <v>6</v>
      </c>
      <c r="F3497" s="6" t="str">
        <f t="shared" si="850"/>
        <v>Efficience</v>
      </c>
      <c r="G3497" s="6" t="str">
        <f>"F300363652000000"</f>
        <v>F300363652000000</v>
      </c>
      <c r="H3497" s="6" t="str">
        <f>"PLR RC 3636 GRS - 52"</f>
        <v>PLR RC 3636 GRS - 52</v>
      </c>
      <c r="I3497" s="6" t="str">
        <f>"204346"</f>
        <v>204346</v>
      </c>
      <c r="J3497" s="6" t="str">
        <f>"CINZA 4346"</f>
        <v>CINZA 4346</v>
      </c>
      <c r="K3497" s="6" t="str">
        <f>"2048"</f>
        <v>2048</v>
      </c>
      <c r="L3497" s="6" t="str">
        <f>"Lençóis"</f>
        <v>Lençóis</v>
      </c>
      <c r="M3497" s="6" t="str">
        <f>"85x200"</f>
        <v>85x200</v>
      </c>
      <c r="N3497" s="6" t="str">
        <f>"5602972699944"</f>
        <v>5602972699944</v>
      </c>
      <c r="O3497" s="8">
        <v>60</v>
      </c>
      <c r="P3497" s="7">
        <v>45939</v>
      </c>
      <c r="R3497" s="8">
        <v>76</v>
      </c>
      <c r="S3497" s="7">
        <v>45944</v>
      </c>
      <c r="U3497" s="8">
        <v>76</v>
      </c>
      <c r="V3497" s="7">
        <v>45951</v>
      </c>
      <c r="X3497" s="8">
        <v>0</v>
      </c>
      <c r="Z3497" s="8">
        <v>76</v>
      </c>
      <c r="AA3497" s="7">
        <v>45965</v>
      </c>
      <c r="AC3497" s="8">
        <v>0</v>
      </c>
      <c r="AE3497" s="7">
        <v>45968</v>
      </c>
      <c r="AF3497" s="8">
        <v>0</v>
      </c>
      <c r="AH3497" s="7">
        <v>46044</v>
      </c>
      <c r="AN3497" s="8">
        <v>0</v>
      </c>
      <c r="AO3497" s="8">
        <v>60</v>
      </c>
    </row>
    <row r="3498" spans="1:41" x14ac:dyDescent="0.25">
      <c r="A3498" s="6" t="str">
        <f t="shared" si="849"/>
        <v>525-2025000420</v>
      </c>
      <c r="B3498" s="6" t="str">
        <f t="shared" si="842"/>
        <v>Lasa Int</v>
      </c>
      <c r="C3498" s="7">
        <v>45877</v>
      </c>
      <c r="D3498" s="7">
        <v>46051</v>
      </c>
      <c r="E3498" s="8">
        <v>7</v>
      </c>
      <c r="F3498" s="6" t="str">
        <f t="shared" si="850"/>
        <v>Efficience</v>
      </c>
      <c r="G3498" s="6" t="str">
        <f>"F300363652000000"</f>
        <v>F300363652000000</v>
      </c>
      <c r="H3498" s="6" t="str">
        <f>"PLR RC 3636 GRS - 52"</f>
        <v>PLR RC 3636 GRS - 52</v>
      </c>
      <c r="I3498" s="6" t="str">
        <f>"204348"</f>
        <v>204348</v>
      </c>
      <c r="J3498" s="6" t="str">
        <f>"AZUL 4348"</f>
        <v>AZUL 4348</v>
      </c>
      <c r="K3498" s="6" t="str">
        <f>"2048"</f>
        <v>2048</v>
      </c>
      <c r="L3498" s="6" t="str">
        <f>"Lençóis"</f>
        <v>Lençóis</v>
      </c>
      <c r="M3498" s="6" t="str">
        <f>"85x200"</f>
        <v>85x200</v>
      </c>
      <c r="N3498" s="6" t="str">
        <f>"5602972699951"</f>
        <v>5602972699951</v>
      </c>
      <c r="O3498" s="8">
        <v>60</v>
      </c>
      <c r="P3498" s="7">
        <v>45939</v>
      </c>
      <c r="R3498" s="8">
        <v>74</v>
      </c>
      <c r="S3498" s="7">
        <v>45944</v>
      </c>
      <c r="U3498" s="8">
        <v>74</v>
      </c>
      <c r="V3498" s="7">
        <v>45951</v>
      </c>
      <c r="X3498" s="8">
        <v>0</v>
      </c>
      <c r="Z3498" s="8">
        <v>74</v>
      </c>
      <c r="AA3498" s="7">
        <v>45965</v>
      </c>
      <c r="AC3498" s="8">
        <v>0</v>
      </c>
      <c r="AE3498" s="7">
        <v>45968</v>
      </c>
      <c r="AF3498" s="8">
        <v>0</v>
      </c>
      <c r="AH3498" s="7">
        <v>46044</v>
      </c>
      <c r="AN3498" s="8">
        <v>0</v>
      </c>
      <c r="AO3498" s="8">
        <v>60</v>
      </c>
    </row>
    <row r="3499" spans="1:41" x14ac:dyDescent="0.25">
      <c r="A3499" s="6" t="str">
        <f t="shared" si="849"/>
        <v>525-2025000420</v>
      </c>
      <c r="B3499" s="6" t="str">
        <f t="shared" si="842"/>
        <v>Lasa Int</v>
      </c>
      <c r="C3499" s="7">
        <v>45877</v>
      </c>
      <c r="D3499" s="7">
        <v>46051</v>
      </c>
      <c r="E3499" s="8">
        <v>8</v>
      </c>
      <c r="F3499" s="6" t="str">
        <f t="shared" si="850"/>
        <v>Efficience</v>
      </c>
      <c r="G3499" s="6" t="str">
        <f t="shared" ref="G3499:G3513" si="851">"F300363552000000"</f>
        <v>F300363552000000</v>
      </c>
      <c r="H3499" s="6" t="str">
        <f t="shared" ref="H3499:H3513" si="852">"PLR RC 3635 GRS - 52"</f>
        <v>PLR RC 3635 GRS - 52</v>
      </c>
      <c r="I3499" s="6" t="str">
        <f>"204304"</f>
        <v>204304</v>
      </c>
      <c r="J3499" s="6" t="str">
        <f>"ROSA 4304"</f>
        <v>ROSA 4304</v>
      </c>
      <c r="K3499" s="6" t="str">
        <f>"0530"</f>
        <v>0530</v>
      </c>
      <c r="L3499" s="6" t="str">
        <f>"Toalhetes"</f>
        <v>Toalhetes</v>
      </c>
      <c r="M3499" s="6" t="str">
        <f>"33x50"</f>
        <v>33x50</v>
      </c>
      <c r="N3499" s="6" t="str">
        <f>"5602972501155"</f>
        <v>5602972501155</v>
      </c>
      <c r="O3499" s="8">
        <v>180</v>
      </c>
      <c r="P3499" s="7">
        <v>45939</v>
      </c>
      <c r="R3499" s="8">
        <v>204</v>
      </c>
      <c r="S3499" s="7">
        <v>45944</v>
      </c>
      <c r="U3499" s="8">
        <v>204</v>
      </c>
      <c r="V3499" s="7">
        <v>45951</v>
      </c>
      <c r="X3499" s="8">
        <v>0</v>
      </c>
      <c r="Z3499" s="8">
        <v>204</v>
      </c>
      <c r="AA3499" s="7">
        <v>45965</v>
      </c>
      <c r="AC3499" s="8">
        <v>0</v>
      </c>
      <c r="AE3499" s="7">
        <v>45968</v>
      </c>
      <c r="AF3499" s="8">
        <v>0</v>
      </c>
      <c r="AH3499" s="7">
        <v>46044</v>
      </c>
      <c r="AN3499" s="8">
        <v>0</v>
      </c>
      <c r="AO3499" s="8">
        <v>180</v>
      </c>
    </row>
    <row r="3500" spans="1:41" x14ac:dyDescent="0.25">
      <c r="A3500" s="6" t="str">
        <f t="shared" si="849"/>
        <v>525-2025000420</v>
      </c>
      <c r="B3500" s="6" t="str">
        <f t="shared" ref="B3500:B3513" si="853">"Lasa Int"</f>
        <v>Lasa Int</v>
      </c>
      <c r="C3500" s="7">
        <v>45877</v>
      </c>
      <c r="D3500" s="7">
        <v>46051</v>
      </c>
      <c r="E3500" s="8">
        <v>9</v>
      </c>
      <c r="F3500" s="6" t="str">
        <f t="shared" si="850"/>
        <v>Efficience</v>
      </c>
      <c r="G3500" s="6" t="str">
        <f t="shared" si="851"/>
        <v>F300363552000000</v>
      </c>
      <c r="H3500" s="6" t="str">
        <f t="shared" si="852"/>
        <v>PLR RC 3635 GRS - 52</v>
      </c>
      <c r="I3500" s="6" t="str">
        <f>"204304"</f>
        <v>204304</v>
      </c>
      <c r="J3500" s="6" t="str">
        <f>"ROSA 4304"</f>
        <v>ROSA 4304</v>
      </c>
      <c r="K3500" s="6" t="str">
        <f>"1024"</f>
        <v>1024</v>
      </c>
      <c r="L3500" s="6" t="str">
        <f>"Toalhas"</f>
        <v>Toalhas</v>
      </c>
      <c r="M3500" s="6" t="str">
        <f>"50x100"</f>
        <v>50x100</v>
      </c>
      <c r="N3500" s="6" t="str">
        <f>"5602972501162"</f>
        <v>5602972501162</v>
      </c>
      <c r="O3500" s="8">
        <v>240</v>
      </c>
      <c r="P3500" s="7">
        <v>45939</v>
      </c>
      <c r="R3500" s="8">
        <v>276</v>
      </c>
      <c r="S3500" s="7">
        <v>45944</v>
      </c>
      <c r="U3500" s="8">
        <v>276</v>
      </c>
      <c r="V3500" s="7">
        <v>45951</v>
      </c>
      <c r="X3500" s="8">
        <v>0</v>
      </c>
      <c r="Z3500" s="8">
        <v>276</v>
      </c>
      <c r="AA3500" s="7">
        <v>45965</v>
      </c>
      <c r="AC3500" s="8">
        <v>0</v>
      </c>
      <c r="AE3500" s="7">
        <v>45968</v>
      </c>
      <c r="AF3500" s="8">
        <v>0</v>
      </c>
      <c r="AH3500" s="7">
        <v>46044</v>
      </c>
      <c r="AN3500" s="8">
        <v>0</v>
      </c>
      <c r="AO3500" s="8">
        <v>240</v>
      </c>
    </row>
    <row r="3501" spans="1:41" x14ac:dyDescent="0.25">
      <c r="A3501" s="6" t="str">
        <f t="shared" si="849"/>
        <v>525-2025000420</v>
      </c>
      <c r="B3501" s="6" t="str">
        <f t="shared" si="853"/>
        <v>Lasa Int</v>
      </c>
      <c r="C3501" s="7">
        <v>45877</v>
      </c>
      <c r="D3501" s="7">
        <v>46051</v>
      </c>
      <c r="E3501" s="8">
        <v>10</v>
      </c>
      <c r="F3501" s="6" t="str">
        <f t="shared" si="850"/>
        <v>Efficience</v>
      </c>
      <c r="G3501" s="6" t="str">
        <f t="shared" si="851"/>
        <v>F300363552000000</v>
      </c>
      <c r="H3501" s="6" t="str">
        <f t="shared" si="852"/>
        <v>PLR RC 3635 GRS - 52</v>
      </c>
      <c r="I3501" s="6" t="str">
        <f>"204304"</f>
        <v>204304</v>
      </c>
      <c r="J3501" s="6" t="str">
        <f>"ROSA 4304"</f>
        <v>ROSA 4304</v>
      </c>
      <c r="K3501" s="6" t="str">
        <f>"1535"</f>
        <v>1535</v>
      </c>
      <c r="L3501" s="6" t="str">
        <f>"Toalhões"</f>
        <v>Toalhões</v>
      </c>
      <c r="M3501" s="6" t="str">
        <f>"70x140"</f>
        <v>70x140</v>
      </c>
      <c r="N3501" s="6" t="str">
        <f>"5602972501179"</f>
        <v>5602972501179</v>
      </c>
      <c r="O3501" s="8">
        <v>240</v>
      </c>
      <c r="P3501" s="7">
        <v>45939</v>
      </c>
      <c r="R3501" s="8">
        <v>291</v>
      </c>
      <c r="S3501" s="7">
        <v>45944</v>
      </c>
      <c r="U3501" s="8">
        <v>291</v>
      </c>
      <c r="V3501" s="7">
        <v>45951</v>
      </c>
      <c r="X3501" s="8">
        <v>0</v>
      </c>
      <c r="Z3501" s="8">
        <v>291</v>
      </c>
      <c r="AA3501" s="7">
        <v>45965</v>
      </c>
      <c r="AC3501" s="8">
        <v>0</v>
      </c>
      <c r="AE3501" s="7">
        <v>45968</v>
      </c>
      <c r="AF3501" s="8">
        <v>0</v>
      </c>
      <c r="AH3501" s="7">
        <v>46044</v>
      </c>
      <c r="AN3501" s="8">
        <v>0</v>
      </c>
      <c r="AO3501" s="8">
        <v>240</v>
      </c>
    </row>
    <row r="3502" spans="1:41" x14ac:dyDescent="0.25">
      <c r="A3502" s="6" t="str">
        <f t="shared" si="849"/>
        <v>525-2025000420</v>
      </c>
      <c r="B3502" s="6" t="str">
        <f t="shared" si="853"/>
        <v>Lasa Int</v>
      </c>
      <c r="C3502" s="7">
        <v>45877</v>
      </c>
      <c r="D3502" s="7">
        <v>46051</v>
      </c>
      <c r="E3502" s="8">
        <v>11</v>
      </c>
      <c r="F3502" s="6" t="str">
        <f t="shared" si="850"/>
        <v>Efficience</v>
      </c>
      <c r="G3502" s="6" t="str">
        <f t="shared" si="851"/>
        <v>F300363552000000</v>
      </c>
      <c r="H3502" s="6" t="str">
        <f t="shared" si="852"/>
        <v>PLR RC 3635 GRS - 52</v>
      </c>
      <c r="I3502" s="6" t="str">
        <f>"204305"</f>
        <v>204305</v>
      </c>
      <c r="J3502" s="6" t="str">
        <f>"VERDE 4305"</f>
        <v>VERDE 4305</v>
      </c>
      <c r="K3502" s="6" t="str">
        <f>"1024"</f>
        <v>1024</v>
      </c>
      <c r="L3502" s="6" t="str">
        <f>"Toalhas"</f>
        <v>Toalhas</v>
      </c>
      <c r="M3502" s="6" t="str">
        <f>"50x100"</f>
        <v>50x100</v>
      </c>
      <c r="N3502" s="6" t="str">
        <f>"5602972501216"</f>
        <v>5602972501216</v>
      </c>
      <c r="O3502" s="8">
        <v>240</v>
      </c>
      <c r="P3502" s="7">
        <v>45939</v>
      </c>
      <c r="R3502" s="8">
        <v>288</v>
      </c>
      <c r="S3502" s="7">
        <v>45944</v>
      </c>
      <c r="U3502" s="8">
        <v>288</v>
      </c>
      <c r="V3502" s="7">
        <v>45951</v>
      </c>
      <c r="X3502" s="8">
        <v>0</v>
      </c>
      <c r="Z3502" s="8">
        <v>288</v>
      </c>
      <c r="AA3502" s="7">
        <v>45965</v>
      </c>
      <c r="AC3502" s="8">
        <v>0</v>
      </c>
      <c r="AE3502" s="7">
        <v>45968</v>
      </c>
      <c r="AF3502" s="8">
        <v>0</v>
      </c>
      <c r="AH3502" s="7">
        <v>46044</v>
      </c>
      <c r="AN3502" s="8">
        <v>0</v>
      </c>
      <c r="AO3502" s="8">
        <v>240</v>
      </c>
    </row>
    <row r="3503" spans="1:41" x14ac:dyDescent="0.25">
      <c r="A3503" s="6" t="str">
        <f t="shared" si="849"/>
        <v>525-2025000420</v>
      </c>
      <c r="B3503" s="6" t="str">
        <f t="shared" si="853"/>
        <v>Lasa Int</v>
      </c>
      <c r="C3503" s="7">
        <v>45877</v>
      </c>
      <c r="D3503" s="7">
        <v>46051</v>
      </c>
      <c r="E3503" s="8">
        <v>12</v>
      </c>
      <c r="F3503" s="6" t="str">
        <f t="shared" si="850"/>
        <v>Efficience</v>
      </c>
      <c r="G3503" s="6" t="str">
        <f t="shared" si="851"/>
        <v>F300363552000000</v>
      </c>
      <c r="H3503" s="6" t="str">
        <f t="shared" si="852"/>
        <v>PLR RC 3635 GRS - 52</v>
      </c>
      <c r="I3503" s="6" t="str">
        <f>"204305"</f>
        <v>204305</v>
      </c>
      <c r="J3503" s="6" t="str">
        <f>"VERDE 4305"</f>
        <v>VERDE 4305</v>
      </c>
      <c r="K3503" s="6" t="str">
        <f>"1535"</f>
        <v>1535</v>
      </c>
      <c r="L3503" s="6" t="str">
        <f>"Toalhões"</f>
        <v>Toalhões</v>
      </c>
      <c r="M3503" s="6" t="str">
        <f>"70x140"</f>
        <v>70x140</v>
      </c>
      <c r="N3503" s="6" t="str">
        <f>"5602972501223"</f>
        <v>5602972501223</v>
      </c>
      <c r="O3503" s="8">
        <v>240</v>
      </c>
      <c r="P3503" s="7">
        <v>45939</v>
      </c>
      <c r="R3503" s="8">
        <v>291</v>
      </c>
      <c r="S3503" s="7">
        <v>45944</v>
      </c>
      <c r="U3503" s="8">
        <v>291</v>
      </c>
      <c r="V3503" s="7">
        <v>45951</v>
      </c>
      <c r="X3503" s="8">
        <v>0</v>
      </c>
      <c r="Z3503" s="8">
        <v>291</v>
      </c>
      <c r="AA3503" s="7">
        <v>45965</v>
      </c>
      <c r="AC3503" s="8">
        <v>103</v>
      </c>
      <c r="AE3503" s="7">
        <v>45968</v>
      </c>
      <c r="AF3503" s="8">
        <v>103</v>
      </c>
      <c r="AH3503" s="7">
        <v>46044</v>
      </c>
      <c r="AN3503" s="8">
        <v>103</v>
      </c>
      <c r="AO3503" s="8">
        <v>137</v>
      </c>
    </row>
    <row r="3504" spans="1:41" x14ac:dyDescent="0.25">
      <c r="A3504" s="6" t="str">
        <f t="shared" si="849"/>
        <v>525-2025000420</v>
      </c>
      <c r="B3504" s="6" t="str">
        <f t="shared" si="853"/>
        <v>Lasa Int</v>
      </c>
      <c r="C3504" s="7">
        <v>45877</v>
      </c>
      <c r="D3504" s="7">
        <v>46051</v>
      </c>
      <c r="E3504" s="8">
        <v>13</v>
      </c>
      <c r="F3504" s="6" t="str">
        <f t="shared" si="850"/>
        <v>Efficience</v>
      </c>
      <c r="G3504" s="6" t="str">
        <f t="shared" si="851"/>
        <v>F300363552000000</v>
      </c>
      <c r="H3504" s="6" t="str">
        <f t="shared" si="852"/>
        <v>PLR RC 3635 GRS - 52</v>
      </c>
      <c r="I3504" s="6" t="str">
        <f>"204305"</f>
        <v>204305</v>
      </c>
      <c r="J3504" s="6" t="str">
        <f>"VERDE 4305"</f>
        <v>VERDE 4305</v>
      </c>
      <c r="K3504" s="6" t="str">
        <f>"2020"</f>
        <v>2020</v>
      </c>
      <c r="L3504" s="6" t="str">
        <f>"Lençóis"</f>
        <v>Lençóis</v>
      </c>
      <c r="M3504" s="6" t="str">
        <f>"100x150"</f>
        <v>100x150</v>
      </c>
      <c r="N3504" s="6" t="str">
        <f>"5602972501230"</f>
        <v>5602972501230</v>
      </c>
      <c r="O3504" s="8">
        <v>80</v>
      </c>
      <c r="P3504" s="7">
        <v>45939</v>
      </c>
      <c r="R3504" s="8">
        <v>100</v>
      </c>
      <c r="S3504" s="7">
        <v>45944</v>
      </c>
      <c r="U3504" s="8">
        <v>100</v>
      </c>
      <c r="V3504" s="7">
        <v>45951</v>
      </c>
      <c r="X3504" s="8">
        <v>0</v>
      </c>
      <c r="Z3504" s="8">
        <v>100</v>
      </c>
      <c r="AA3504" s="7">
        <v>45965</v>
      </c>
      <c r="AC3504" s="8">
        <v>0</v>
      </c>
      <c r="AE3504" s="7">
        <v>45968</v>
      </c>
      <c r="AF3504" s="8">
        <v>0</v>
      </c>
      <c r="AH3504" s="7">
        <v>46044</v>
      </c>
      <c r="AN3504" s="8">
        <v>0</v>
      </c>
      <c r="AO3504" s="8">
        <v>80</v>
      </c>
    </row>
    <row r="3505" spans="1:41" x14ac:dyDescent="0.25">
      <c r="A3505" s="6" t="str">
        <f t="shared" si="849"/>
        <v>525-2025000420</v>
      </c>
      <c r="B3505" s="6" t="str">
        <f t="shared" si="853"/>
        <v>Lasa Int</v>
      </c>
      <c r="C3505" s="7">
        <v>45877</v>
      </c>
      <c r="D3505" s="7">
        <v>46051</v>
      </c>
      <c r="E3505" s="8">
        <v>14</v>
      </c>
      <c r="F3505" s="6" t="str">
        <f t="shared" si="850"/>
        <v>Efficience</v>
      </c>
      <c r="G3505" s="6" t="str">
        <f t="shared" si="851"/>
        <v>F300363552000000</v>
      </c>
      <c r="H3505" s="6" t="str">
        <f t="shared" si="852"/>
        <v>PLR RC 3635 GRS - 52</v>
      </c>
      <c r="I3505" s="6" t="str">
        <f>"204306"</f>
        <v>204306</v>
      </c>
      <c r="J3505" s="6" t="str">
        <f>"AZUL 4306"</f>
        <v>AZUL 4306</v>
      </c>
      <c r="K3505" s="6" t="str">
        <f>"0530"</f>
        <v>0530</v>
      </c>
      <c r="L3505" s="6" t="str">
        <f>"Toalhetes"</f>
        <v>Toalhetes</v>
      </c>
      <c r="M3505" s="6" t="str">
        <f>"33x50"</f>
        <v>33x50</v>
      </c>
      <c r="N3505" s="6" t="str">
        <f>"5602972501254"</f>
        <v>5602972501254</v>
      </c>
      <c r="O3505" s="8">
        <v>240</v>
      </c>
      <c r="P3505" s="7">
        <v>45939</v>
      </c>
      <c r="R3505" s="8">
        <v>288</v>
      </c>
      <c r="S3505" s="7">
        <v>45944</v>
      </c>
      <c r="U3505" s="8">
        <v>288</v>
      </c>
      <c r="V3505" s="7">
        <v>45951</v>
      </c>
      <c r="X3505" s="8">
        <v>0</v>
      </c>
      <c r="Z3505" s="8">
        <v>288</v>
      </c>
      <c r="AA3505" s="7">
        <v>45965</v>
      </c>
      <c r="AC3505" s="8">
        <v>214</v>
      </c>
      <c r="AE3505" s="7">
        <v>45968</v>
      </c>
      <c r="AF3505" s="8">
        <v>214</v>
      </c>
      <c r="AH3505" s="7">
        <v>46044</v>
      </c>
      <c r="AN3505" s="8">
        <v>214</v>
      </c>
      <c r="AO3505" s="8">
        <v>26</v>
      </c>
    </row>
    <row r="3506" spans="1:41" x14ac:dyDescent="0.25">
      <c r="A3506" s="6" t="str">
        <f t="shared" si="849"/>
        <v>525-2025000420</v>
      </c>
      <c r="B3506" s="6" t="str">
        <f t="shared" si="853"/>
        <v>Lasa Int</v>
      </c>
      <c r="C3506" s="7">
        <v>45877</v>
      </c>
      <c r="D3506" s="7">
        <v>46051</v>
      </c>
      <c r="E3506" s="8">
        <v>15</v>
      </c>
      <c r="F3506" s="6" t="str">
        <f t="shared" si="850"/>
        <v>Efficience</v>
      </c>
      <c r="G3506" s="6" t="str">
        <f t="shared" si="851"/>
        <v>F300363552000000</v>
      </c>
      <c r="H3506" s="6" t="str">
        <f t="shared" si="852"/>
        <v>PLR RC 3635 GRS - 52</v>
      </c>
      <c r="I3506" s="6" t="str">
        <f>"204306"</f>
        <v>204306</v>
      </c>
      <c r="J3506" s="6" t="str">
        <f>"AZUL 4306"</f>
        <v>AZUL 4306</v>
      </c>
      <c r="K3506" s="6" t="str">
        <f>"1024"</f>
        <v>1024</v>
      </c>
      <c r="L3506" s="6" t="str">
        <f>"Toalhas"</f>
        <v>Toalhas</v>
      </c>
      <c r="M3506" s="6" t="str">
        <f>"50x100"</f>
        <v>50x100</v>
      </c>
      <c r="N3506" s="6" t="str">
        <f>"5602972501261"</f>
        <v>5602972501261</v>
      </c>
      <c r="O3506" s="8">
        <v>480</v>
      </c>
      <c r="P3506" s="7">
        <v>45939</v>
      </c>
      <c r="R3506" s="8">
        <v>580</v>
      </c>
      <c r="S3506" s="7">
        <v>45944</v>
      </c>
      <c r="U3506" s="8">
        <v>580</v>
      </c>
      <c r="V3506" s="7">
        <v>45951</v>
      </c>
      <c r="X3506" s="8">
        <v>0</v>
      </c>
      <c r="Z3506" s="8">
        <v>580</v>
      </c>
      <c r="AA3506" s="7">
        <v>45965</v>
      </c>
      <c r="AC3506" s="8">
        <v>230</v>
      </c>
      <c r="AE3506" s="7">
        <v>45968</v>
      </c>
      <c r="AF3506" s="8">
        <v>230</v>
      </c>
      <c r="AH3506" s="7">
        <v>46044</v>
      </c>
      <c r="AN3506" s="8">
        <v>230</v>
      </c>
      <c r="AO3506" s="8">
        <v>250</v>
      </c>
    </row>
    <row r="3507" spans="1:41" x14ac:dyDescent="0.25">
      <c r="A3507" s="6" t="str">
        <f t="shared" si="849"/>
        <v>525-2025000420</v>
      </c>
      <c r="B3507" s="6" t="str">
        <f t="shared" si="853"/>
        <v>Lasa Int</v>
      </c>
      <c r="C3507" s="7">
        <v>45877</v>
      </c>
      <c r="D3507" s="7">
        <v>46051</v>
      </c>
      <c r="E3507" s="8">
        <v>16</v>
      </c>
      <c r="F3507" s="6" t="str">
        <f t="shared" si="850"/>
        <v>Efficience</v>
      </c>
      <c r="G3507" s="6" t="str">
        <f t="shared" si="851"/>
        <v>F300363552000000</v>
      </c>
      <c r="H3507" s="6" t="str">
        <f t="shared" si="852"/>
        <v>PLR RC 3635 GRS - 52</v>
      </c>
      <c r="I3507" s="6" t="str">
        <f>"204306"</f>
        <v>204306</v>
      </c>
      <c r="J3507" s="6" t="str">
        <f>"AZUL 4306"</f>
        <v>AZUL 4306</v>
      </c>
      <c r="K3507" s="6" t="str">
        <f>"1535"</f>
        <v>1535</v>
      </c>
      <c r="L3507" s="6" t="str">
        <f>"Toalhões"</f>
        <v>Toalhões</v>
      </c>
      <c r="M3507" s="6" t="str">
        <f>"70x140"</f>
        <v>70x140</v>
      </c>
      <c r="N3507" s="6" t="str">
        <f>"5602972501278"</f>
        <v>5602972501278</v>
      </c>
      <c r="O3507" s="8">
        <v>120</v>
      </c>
      <c r="P3507" s="7">
        <v>45939</v>
      </c>
      <c r="R3507" s="8">
        <v>135</v>
      </c>
      <c r="S3507" s="7">
        <v>45944</v>
      </c>
      <c r="U3507" s="8">
        <v>135</v>
      </c>
      <c r="V3507" s="7">
        <v>45951</v>
      </c>
      <c r="X3507" s="8">
        <v>0</v>
      </c>
      <c r="Z3507" s="8">
        <v>135</v>
      </c>
      <c r="AA3507" s="7">
        <v>45965</v>
      </c>
      <c r="AC3507" s="8">
        <v>0</v>
      </c>
      <c r="AE3507" s="7">
        <v>45968</v>
      </c>
      <c r="AF3507" s="8">
        <v>0</v>
      </c>
      <c r="AH3507" s="7">
        <v>46044</v>
      </c>
      <c r="AN3507" s="8">
        <v>0</v>
      </c>
      <c r="AO3507" s="8">
        <v>120</v>
      </c>
    </row>
    <row r="3508" spans="1:41" x14ac:dyDescent="0.25">
      <c r="A3508" s="6" t="str">
        <f t="shared" si="849"/>
        <v>525-2025000420</v>
      </c>
      <c r="B3508" s="6" t="str">
        <f t="shared" si="853"/>
        <v>Lasa Int</v>
      </c>
      <c r="C3508" s="7">
        <v>45877</v>
      </c>
      <c r="D3508" s="7">
        <v>46051</v>
      </c>
      <c r="E3508" s="8">
        <v>17</v>
      </c>
      <c r="F3508" s="6" t="str">
        <f t="shared" si="850"/>
        <v>Efficience</v>
      </c>
      <c r="G3508" s="6" t="str">
        <f t="shared" si="851"/>
        <v>F300363552000000</v>
      </c>
      <c r="H3508" s="6" t="str">
        <f t="shared" si="852"/>
        <v>PLR RC 3635 GRS - 52</v>
      </c>
      <c r="I3508" s="6" t="str">
        <f>"204307"</f>
        <v>204307</v>
      </c>
      <c r="J3508" s="6" t="str">
        <f>"CINZA 4307"</f>
        <v>CINZA 4307</v>
      </c>
      <c r="K3508" s="6" t="str">
        <f>"0530"</f>
        <v>0530</v>
      </c>
      <c r="L3508" s="6" t="str">
        <f>"Toalhetes"</f>
        <v>Toalhetes</v>
      </c>
      <c r="M3508" s="6" t="str">
        <f>"33x50"</f>
        <v>33x50</v>
      </c>
      <c r="N3508" s="6" t="str">
        <f>"5602972501308"</f>
        <v>5602972501308</v>
      </c>
      <c r="O3508" s="8">
        <v>240</v>
      </c>
      <c r="P3508" s="7">
        <v>45939</v>
      </c>
      <c r="R3508" s="8">
        <v>276</v>
      </c>
      <c r="S3508" s="7">
        <v>45944</v>
      </c>
      <c r="U3508" s="8">
        <v>276</v>
      </c>
      <c r="V3508" s="7">
        <v>45951</v>
      </c>
      <c r="X3508" s="8">
        <v>0</v>
      </c>
      <c r="Z3508" s="8">
        <v>276</v>
      </c>
      <c r="AA3508" s="7">
        <v>45965</v>
      </c>
      <c r="AC3508" s="8">
        <v>208</v>
      </c>
      <c r="AE3508" s="7">
        <v>45968</v>
      </c>
      <c r="AF3508" s="8">
        <v>208</v>
      </c>
      <c r="AH3508" s="7">
        <v>46044</v>
      </c>
      <c r="AN3508" s="8">
        <v>208</v>
      </c>
      <c r="AO3508" s="8">
        <v>32</v>
      </c>
    </row>
    <row r="3509" spans="1:41" x14ac:dyDescent="0.25">
      <c r="A3509" s="6" t="str">
        <f t="shared" si="849"/>
        <v>525-2025000420</v>
      </c>
      <c r="B3509" s="6" t="str">
        <f t="shared" si="853"/>
        <v>Lasa Int</v>
      </c>
      <c r="C3509" s="7">
        <v>45877</v>
      </c>
      <c r="D3509" s="7">
        <v>46051</v>
      </c>
      <c r="E3509" s="8">
        <v>18</v>
      </c>
      <c r="F3509" s="6" t="str">
        <f t="shared" si="850"/>
        <v>Efficience</v>
      </c>
      <c r="G3509" s="6" t="str">
        <f t="shared" si="851"/>
        <v>F300363552000000</v>
      </c>
      <c r="H3509" s="6" t="str">
        <f t="shared" si="852"/>
        <v>PLR RC 3635 GRS - 52</v>
      </c>
      <c r="I3509" s="6" t="str">
        <f>"204307"</f>
        <v>204307</v>
      </c>
      <c r="J3509" s="6" t="str">
        <f>"CINZA 4307"</f>
        <v>CINZA 4307</v>
      </c>
      <c r="K3509" s="6" t="str">
        <f>"1024"</f>
        <v>1024</v>
      </c>
      <c r="L3509" s="6" t="str">
        <f>"Toalhas"</f>
        <v>Toalhas</v>
      </c>
      <c r="M3509" s="6" t="str">
        <f>"50x100"</f>
        <v>50x100</v>
      </c>
      <c r="N3509" s="6" t="str">
        <f>"5602972501315"</f>
        <v>5602972501315</v>
      </c>
      <c r="O3509" s="8">
        <v>360</v>
      </c>
      <c r="P3509" s="7">
        <v>45939</v>
      </c>
      <c r="R3509" s="8">
        <v>424</v>
      </c>
      <c r="S3509" s="7">
        <v>45944</v>
      </c>
      <c r="U3509" s="8">
        <v>424</v>
      </c>
      <c r="V3509" s="7">
        <v>45951</v>
      </c>
      <c r="X3509" s="8">
        <v>0</v>
      </c>
      <c r="Z3509" s="8">
        <v>424</v>
      </c>
      <c r="AA3509" s="7">
        <v>45965</v>
      </c>
      <c r="AC3509" s="8">
        <v>0</v>
      </c>
      <c r="AE3509" s="7">
        <v>45968</v>
      </c>
      <c r="AF3509" s="8">
        <v>0</v>
      </c>
      <c r="AH3509" s="7">
        <v>46044</v>
      </c>
      <c r="AN3509" s="8">
        <v>0</v>
      </c>
      <c r="AO3509" s="8">
        <v>360</v>
      </c>
    </row>
    <row r="3510" spans="1:41" x14ac:dyDescent="0.25">
      <c r="A3510" s="6" t="str">
        <f t="shared" si="849"/>
        <v>525-2025000420</v>
      </c>
      <c r="B3510" s="6" t="str">
        <f t="shared" si="853"/>
        <v>Lasa Int</v>
      </c>
      <c r="C3510" s="7">
        <v>45877</v>
      </c>
      <c r="D3510" s="7">
        <v>46051</v>
      </c>
      <c r="E3510" s="8">
        <v>19</v>
      </c>
      <c r="F3510" s="6" t="str">
        <f t="shared" si="850"/>
        <v>Efficience</v>
      </c>
      <c r="G3510" s="6" t="str">
        <f t="shared" si="851"/>
        <v>F300363552000000</v>
      </c>
      <c r="H3510" s="6" t="str">
        <f t="shared" si="852"/>
        <v>PLR RC 3635 GRS - 52</v>
      </c>
      <c r="I3510" s="6" t="str">
        <f>"204307"</f>
        <v>204307</v>
      </c>
      <c r="J3510" s="6" t="str">
        <f>"CINZA 4307"</f>
        <v>CINZA 4307</v>
      </c>
      <c r="K3510" s="6" t="str">
        <f>"1535"</f>
        <v>1535</v>
      </c>
      <c r="L3510" s="6" t="str">
        <f>"Toalhões"</f>
        <v>Toalhões</v>
      </c>
      <c r="M3510" s="6" t="str">
        <f>"70x140"</f>
        <v>70x140</v>
      </c>
      <c r="N3510" s="6" t="str">
        <f>"5602972501322"</f>
        <v>5602972501322</v>
      </c>
      <c r="O3510" s="8">
        <v>240</v>
      </c>
      <c r="P3510" s="7">
        <v>45939</v>
      </c>
      <c r="R3510" s="8">
        <v>291</v>
      </c>
      <c r="S3510" s="7">
        <v>45944</v>
      </c>
      <c r="U3510" s="8">
        <v>291</v>
      </c>
      <c r="V3510" s="7">
        <v>45951</v>
      </c>
      <c r="X3510" s="8">
        <v>0</v>
      </c>
      <c r="Z3510" s="8">
        <v>291</v>
      </c>
      <c r="AA3510" s="7">
        <v>45965</v>
      </c>
      <c r="AC3510" s="8">
        <v>106</v>
      </c>
      <c r="AE3510" s="7">
        <v>45968</v>
      </c>
      <c r="AF3510" s="8">
        <v>106</v>
      </c>
      <c r="AH3510" s="7">
        <v>46044</v>
      </c>
      <c r="AN3510" s="8">
        <v>106</v>
      </c>
      <c r="AO3510" s="8">
        <v>134</v>
      </c>
    </row>
    <row r="3511" spans="1:41" x14ac:dyDescent="0.25">
      <c r="A3511" s="6" t="str">
        <f t="shared" si="849"/>
        <v>525-2025000420</v>
      </c>
      <c r="B3511" s="6" t="str">
        <f t="shared" si="853"/>
        <v>Lasa Int</v>
      </c>
      <c r="C3511" s="7">
        <v>45877</v>
      </c>
      <c r="D3511" s="7">
        <v>46051</v>
      </c>
      <c r="E3511" s="8">
        <v>20</v>
      </c>
      <c r="F3511" s="6" t="str">
        <f t="shared" si="850"/>
        <v>Efficience</v>
      </c>
      <c r="G3511" s="6" t="str">
        <f t="shared" si="851"/>
        <v>F300363552000000</v>
      </c>
      <c r="H3511" s="6" t="str">
        <f t="shared" si="852"/>
        <v>PLR RC 3635 GRS - 52</v>
      </c>
      <c r="I3511" s="6" t="str">
        <f>"204308"</f>
        <v>204308</v>
      </c>
      <c r="J3511" s="6" t="str">
        <f>"CASTANHO 4308"</f>
        <v>CASTANHO 4308</v>
      </c>
      <c r="K3511" s="6" t="str">
        <f>"0530"</f>
        <v>0530</v>
      </c>
      <c r="L3511" s="6" t="str">
        <f>"Toalhetes"</f>
        <v>Toalhetes</v>
      </c>
      <c r="M3511" s="6" t="str">
        <f>"33x50"</f>
        <v>33x50</v>
      </c>
      <c r="N3511" s="6" t="str">
        <f>"5602972501353"</f>
        <v>5602972501353</v>
      </c>
      <c r="O3511" s="8">
        <v>240</v>
      </c>
      <c r="P3511" s="7">
        <v>45939</v>
      </c>
      <c r="R3511" s="8">
        <v>276</v>
      </c>
      <c r="S3511" s="7">
        <v>45944</v>
      </c>
      <c r="U3511" s="8">
        <v>276</v>
      </c>
      <c r="V3511" s="7">
        <v>45951</v>
      </c>
      <c r="X3511" s="8">
        <v>0</v>
      </c>
      <c r="Z3511" s="8">
        <v>276</v>
      </c>
      <c r="AA3511" s="7">
        <v>45965</v>
      </c>
      <c r="AC3511" s="8">
        <v>178</v>
      </c>
      <c r="AE3511" s="7">
        <v>45968</v>
      </c>
      <c r="AF3511" s="8">
        <v>178</v>
      </c>
      <c r="AH3511" s="7">
        <v>46044</v>
      </c>
      <c r="AN3511" s="8">
        <v>178</v>
      </c>
      <c r="AO3511" s="8">
        <v>62</v>
      </c>
    </row>
    <row r="3512" spans="1:41" x14ac:dyDescent="0.25">
      <c r="A3512" s="6" t="str">
        <f t="shared" si="849"/>
        <v>525-2025000420</v>
      </c>
      <c r="B3512" s="6" t="str">
        <f t="shared" si="853"/>
        <v>Lasa Int</v>
      </c>
      <c r="C3512" s="7">
        <v>45877</v>
      </c>
      <c r="D3512" s="7">
        <v>46051</v>
      </c>
      <c r="E3512" s="8">
        <v>21</v>
      </c>
      <c r="F3512" s="6" t="str">
        <f t="shared" si="850"/>
        <v>Efficience</v>
      </c>
      <c r="G3512" s="6" t="str">
        <f t="shared" si="851"/>
        <v>F300363552000000</v>
      </c>
      <c r="H3512" s="6" t="str">
        <f t="shared" si="852"/>
        <v>PLR RC 3635 GRS - 52</v>
      </c>
      <c r="I3512" s="6" t="str">
        <f>"204308"</f>
        <v>204308</v>
      </c>
      <c r="J3512" s="6" t="str">
        <f>"CASTANHO 4308"</f>
        <v>CASTANHO 4308</v>
      </c>
      <c r="K3512" s="6" t="str">
        <f>"1535"</f>
        <v>1535</v>
      </c>
      <c r="L3512" s="6" t="str">
        <f>"Toalhões"</f>
        <v>Toalhões</v>
      </c>
      <c r="M3512" s="6" t="str">
        <f>"70x140"</f>
        <v>70x140</v>
      </c>
      <c r="N3512" s="6" t="str">
        <f>"5602972501377"</f>
        <v>5602972501377</v>
      </c>
      <c r="O3512" s="8">
        <v>120</v>
      </c>
      <c r="P3512" s="7">
        <v>45939</v>
      </c>
      <c r="R3512" s="8">
        <v>135</v>
      </c>
      <c r="S3512" s="7">
        <v>45944</v>
      </c>
      <c r="U3512" s="8">
        <v>135</v>
      </c>
      <c r="V3512" s="7">
        <v>45951</v>
      </c>
      <c r="X3512" s="8">
        <v>0</v>
      </c>
      <c r="Z3512" s="8">
        <v>135</v>
      </c>
      <c r="AA3512" s="7">
        <v>45965</v>
      </c>
      <c r="AC3512" s="8">
        <v>0</v>
      </c>
      <c r="AE3512" s="7">
        <v>45968</v>
      </c>
      <c r="AF3512" s="8">
        <v>0</v>
      </c>
      <c r="AH3512" s="7">
        <v>46044</v>
      </c>
      <c r="AN3512" s="8">
        <v>0</v>
      </c>
      <c r="AO3512" s="8">
        <v>120</v>
      </c>
    </row>
    <row r="3513" spans="1:41" x14ac:dyDescent="0.25">
      <c r="A3513" s="6" t="str">
        <f t="shared" si="849"/>
        <v>525-2025000420</v>
      </c>
      <c r="B3513" s="6" t="str">
        <f t="shared" si="853"/>
        <v>Lasa Int</v>
      </c>
      <c r="C3513" s="7">
        <v>45877</v>
      </c>
      <c r="D3513" s="7">
        <v>46051</v>
      </c>
      <c r="E3513" s="8">
        <v>22</v>
      </c>
      <c r="F3513" s="6" t="str">
        <f t="shared" si="850"/>
        <v>Efficience</v>
      </c>
      <c r="G3513" s="6" t="str">
        <f t="shared" si="851"/>
        <v>F300363552000000</v>
      </c>
      <c r="H3513" s="6" t="str">
        <f t="shared" si="852"/>
        <v>PLR RC 3635 GRS - 52</v>
      </c>
      <c r="I3513" s="6" t="str">
        <f>"204308"</f>
        <v>204308</v>
      </c>
      <c r="J3513" s="6" t="str">
        <f>"CASTANHO 4308"</f>
        <v>CASTANHO 4308</v>
      </c>
      <c r="K3513" s="6" t="str">
        <f>"1024"</f>
        <v>1024</v>
      </c>
      <c r="L3513" s="6" t="str">
        <f>"Toalhas"</f>
        <v>Toalhas</v>
      </c>
      <c r="M3513" s="6" t="str">
        <f>"50x100"</f>
        <v>50x100</v>
      </c>
      <c r="N3513" s="6" t="str">
        <f>"5602972501360"</f>
        <v>5602972501360</v>
      </c>
      <c r="O3513" s="8">
        <v>240</v>
      </c>
      <c r="P3513" s="7">
        <v>45939</v>
      </c>
      <c r="R3513" s="8">
        <v>280</v>
      </c>
      <c r="S3513" s="7">
        <v>45944</v>
      </c>
      <c r="U3513" s="8">
        <v>280</v>
      </c>
      <c r="V3513" s="7">
        <v>45951</v>
      </c>
      <c r="X3513" s="8">
        <v>0</v>
      </c>
      <c r="Z3513" s="8">
        <v>280</v>
      </c>
      <c r="AA3513" s="7">
        <v>45965</v>
      </c>
      <c r="AC3513" s="8">
        <v>0</v>
      </c>
      <c r="AE3513" s="7">
        <v>45968</v>
      </c>
      <c r="AF3513" s="8">
        <v>0</v>
      </c>
      <c r="AH3513" s="7">
        <v>46044</v>
      </c>
      <c r="AN3513" s="8">
        <v>0</v>
      </c>
      <c r="AO3513" s="8">
        <v>240</v>
      </c>
    </row>
    <row r="3514" spans="1:41" x14ac:dyDescent="0.25">
      <c r="A3514" s="6" t="str">
        <f t="shared" ref="A3514:A3521" si="854">"525-2025000423"</f>
        <v>525-2025000423</v>
      </c>
      <c r="B3514" s="6" t="str">
        <f t="shared" ref="B3514:B3521" si="855">"ARMANDO"</f>
        <v>ARMANDO</v>
      </c>
      <c r="C3514" s="7">
        <v>45877</v>
      </c>
      <c r="D3514" s="7">
        <v>46030</v>
      </c>
      <c r="E3514" s="8">
        <v>1</v>
      </c>
      <c r="F3514" s="6" t="str">
        <f t="shared" ref="F3514:F3521" si="856">"Hotelaria"</f>
        <v>Hotelaria</v>
      </c>
      <c r="G3514" s="6" t="str">
        <f>"F160036440010000"</f>
        <v>F160036440010000</v>
      </c>
      <c r="H3514" s="6" t="str">
        <f>"L 364 - 400 g/m² (HO"</f>
        <v>L 364 - 400 g/m² (HO</v>
      </c>
      <c r="I3514" s="6" t="str">
        <f t="shared" ref="I3514:I3521" si="857">"1"</f>
        <v>1</v>
      </c>
      <c r="J3514" s="6" t="str">
        <f t="shared" ref="J3514:J3521" si="858">"BRANCO"</f>
        <v>BRANCO</v>
      </c>
      <c r="K3514" s="6" t="str">
        <f>"1024"</f>
        <v>1024</v>
      </c>
      <c r="L3514" s="6" t="str">
        <f>"Toalhas"</f>
        <v>Toalhas</v>
      </c>
      <c r="M3514" s="6" t="str">
        <f>"50x100"</f>
        <v>50x100</v>
      </c>
      <c r="N3514" s="6" t="str">
        <f>"5602972265361"</f>
        <v>5602972265361</v>
      </c>
      <c r="O3514" s="8">
        <v>480</v>
      </c>
      <c r="P3514" s="7">
        <v>45877</v>
      </c>
      <c r="R3514" s="8">
        <v>528</v>
      </c>
      <c r="S3514" s="7">
        <v>45903</v>
      </c>
      <c r="U3514" s="8">
        <v>648</v>
      </c>
      <c r="V3514" s="7">
        <v>45912</v>
      </c>
      <c r="X3514" s="8">
        <v>0</v>
      </c>
      <c r="Z3514" s="8">
        <v>648</v>
      </c>
      <c r="AA3514" s="7">
        <v>45924</v>
      </c>
      <c r="AC3514" s="8">
        <v>582</v>
      </c>
      <c r="AE3514" s="7">
        <v>45926</v>
      </c>
      <c r="AF3514" s="8">
        <v>582</v>
      </c>
      <c r="AH3514" s="7">
        <v>45926</v>
      </c>
      <c r="AN3514" s="8">
        <v>582</v>
      </c>
      <c r="AO3514" s="8">
        <v>-102</v>
      </c>
    </row>
    <row r="3515" spans="1:41" x14ac:dyDescent="0.25">
      <c r="A3515" s="6" t="str">
        <f t="shared" si="854"/>
        <v>525-2025000423</v>
      </c>
      <c r="B3515" s="6" t="str">
        <f t="shared" si="855"/>
        <v>ARMANDO</v>
      </c>
      <c r="C3515" s="7">
        <v>45877</v>
      </c>
      <c r="D3515" s="7">
        <v>46030</v>
      </c>
      <c r="E3515" s="8">
        <v>2</v>
      </c>
      <c r="F3515" s="6" t="str">
        <f t="shared" si="856"/>
        <v>Hotelaria</v>
      </c>
      <c r="G3515" s="6" t="str">
        <f>"F160036440010000"</f>
        <v>F160036440010000</v>
      </c>
      <c r="H3515" s="6" t="str">
        <f>"L 364 - 400 g/m² (HO"</f>
        <v>L 364 - 400 g/m² (HO</v>
      </c>
      <c r="I3515" s="6" t="str">
        <f t="shared" si="857"/>
        <v>1</v>
      </c>
      <c r="J3515" s="6" t="str">
        <f t="shared" si="858"/>
        <v>BRANCO</v>
      </c>
      <c r="K3515" s="6" t="str">
        <f>"2020"</f>
        <v>2020</v>
      </c>
      <c r="L3515" s="6" t="str">
        <f>"Lençóis"</f>
        <v>Lençóis</v>
      </c>
      <c r="M3515" s="6" t="str">
        <f>"100x150"</f>
        <v>100x150</v>
      </c>
      <c r="N3515" s="6" t="str">
        <f>"5602972265385"</f>
        <v>5602972265385</v>
      </c>
      <c r="O3515" s="8">
        <v>120</v>
      </c>
      <c r="P3515" s="7">
        <v>45877</v>
      </c>
      <c r="R3515" s="8">
        <v>136</v>
      </c>
      <c r="S3515" s="7">
        <v>45903</v>
      </c>
      <c r="U3515" s="8">
        <v>188</v>
      </c>
      <c r="V3515" s="7">
        <v>45912</v>
      </c>
      <c r="X3515" s="8">
        <v>0</v>
      </c>
      <c r="Z3515" s="8">
        <v>188</v>
      </c>
      <c r="AA3515" s="7">
        <v>45924</v>
      </c>
      <c r="AC3515" s="8">
        <v>144</v>
      </c>
      <c r="AE3515" s="7">
        <v>45926</v>
      </c>
      <c r="AF3515" s="8">
        <v>144</v>
      </c>
      <c r="AH3515" s="7">
        <v>45926</v>
      </c>
      <c r="AN3515" s="8">
        <v>144</v>
      </c>
      <c r="AO3515" s="8">
        <v>-24</v>
      </c>
    </row>
    <row r="3516" spans="1:41" x14ac:dyDescent="0.25">
      <c r="A3516" s="6" t="str">
        <f t="shared" si="854"/>
        <v>525-2025000423</v>
      </c>
      <c r="B3516" s="6" t="str">
        <f t="shared" si="855"/>
        <v>ARMANDO</v>
      </c>
      <c r="C3516" s="7">
        <v>45877</v>
      </c>
      <c r="D3516" s="7">
        <v>46030</v>
      </c>
      <c r="E3516" s="8">
        <v>3</v>
      </c>
      <c r="F3516" s="6" t="str">
        <f t="shared" si="856"/>
        <v>Hotelaria</v>
      </c>
      <c r="G3516" s="6" t="str">
        <f>"F160036950010000"</f>
        <v>F160036950010000</v>
      </c>
      <c r="H3516" s="6" t="str">
        <f>"L 369 - 500 g/m² (AT"</f>
        <v>L 369 - 500 g/m² (AT</v>
      </c>
      <c r="I3516" s="6" t="str">
        <f t="shared" si="857"/>
        <v>1</v>
      </c>
      <c r="J3516" s="6" t="str">
        <f t="shared" si="858"/>
        <v>BRANCO</v>
      </c>
      <c r="K3516" s="6" t="str">
        <f>"1024"</f>
        <v>1024</v>
      </c>
      <c r="L3516" s="6" t="str">
        <f>"Toalhas"</f>
        <v>Toalhas</v>
      </c>
      <c r="M3516" s="6" t="str">
        <f>"50x100"</f>
        <v>50x100</v>
      </c>
      <c r="N3516" s="6" t="str">
        <f>"5602972265248"</f>
        <v>5602972265248</v>
      </c>
      <c r="O3516" s="8">
        <v>480</v>
      </c>
      <c r="P3516" s="7">
        <v>45877</v>
      </c>
      <c r="R3516" s="8">
        <v>528</v>
      </c>
      <c r="S3516" s="7">
        <v>45903</v>
      </c>
      <c r="U3516" s="8">
        <v>528</v>
      </c>
      <c r="V3516" s="7">
        <v>45912</v>
      </c>
      <c r="X3516" s="8">
        <v>0</v>
      </c>
      <c r="Z3516" s="8">
        <v>528</v>
      </c>
      <c r="AA3516" s="7">
        <v>45924</v>
      </c>
      <c r="AC3516" s="8">
        <v>468</v>
      </c>
      <c r="AE3516" s="7">
        <v>45926</v>
      </c>
      <c r="AF3516" s="8">
        <v>468</v>
      </c>
      <c r="AH3516" s="7">
        <v>45926</v>
      </c>
      <c r="AN3516" s="8">
        <v>468</v>
      </c>
      <c r="AO3516" s="8">
        <v>12</v>
      </c>
    </row>
    <row r="3517" spans="1:41" x14ac:dyDescent="0.25">
      <c r="A3517" s="6" t="str">
        <f t="shared" si="854"/>
        <v>525-2025000423</v>
      </c>
      <c r="B3517" s="6" t="str">
        <f t="shared" si="855"/>
        <v>ARMANDO</v>
      </c>
      <c r="C3517" s="7">
        <v>45877</v>
      </c>
      <c r="D3517" s="7">
        <v>46030</v>
      </c>
      <c r="E3517" s="8">
        <v>4</v>
      </c>
      <c r="F3517" s="6" t="str">
        <f t="shared" si="856"/>
        <v>Hotelaria</v>
      </c>
      <c r="G3517" s="6" t="str">
        <f>"F160036950010000"</f>
        <v>F160036950010000</v>
      </c>
      <c r="H3517" s="6" t="str">
        <f>"L 369 - 500 g/m² (AT"</f>
        <v>L 369 - 500 g/m² (AT</v>
      </c>
      <c r="I3517" s="6" t="str">
        <f t="shared" si="857"/>
        <v>1</v>
      </c>
      <c r="J3517" s="6" t="str">
        <f t="shared" si="858"/>
        <v>BRANCO</v>
      </c>
      <c r="K3517" s="6" t="str">
        <f>"1535"</f>
        <v>1535</v>
      </c>
      <c r="L3517" s="6" t="str">
        <f>"Toalhões"</f>
        <v>Toalhões</v>
      </c>
      <c r="M3517" s="6" t="str">
        <f>"70x140"</f>
        <v>70x140</v>
      </c>
      <c r="N3517" s="6" t="str">
        <f>"5602972265255"</f>
        <v>5602972265255</v>
      </c>
      <c r="O3517" s="8">
        <v>240</v>
      </c>
      <c r="P3517" s="7">
        <v>45877</v>
      </c>
      <c r="R3517" s="8">
        <v>270</v>
      </c>
      <c r="S3517" s="7">
        <v>45903</v>
      </c>
      <c r="U3517" s="8">
        <v>300</v>
      </c>
      <c r="V3517" s="7">
        <v>45912</v>
      </c>
      <c r="X3517" s="8">
        <v>0</v>
      </c>
      <c r="Z3517" s="8">
        <v>300</v>
      </c>
      <c r="AA3517" s="7">
        <v>45924</v>
      </c>
      <c r="AC3517" s="8">
        <v>270</v>
      </c>
      <c r="AE3517" s="7">
        <v>45926</v>
      </c>
      <c r="AF3517" s="8">
        <v>270</v>
      </c>
      <c r="AH3517" s="7">
        <v>45926</v>
      </c>
      <c r="AN3517" s="8">
        <v>270</v>
      </c>
      <c r="AO3517" s="8">
        <v>-30</v>
      </c>
    </row>
    <row r="3518" spans="1:41" x14ac:dyDescent="0.25">
      <c r="A3518" s="6" t="str">
        <f t="shared" si="854"/>
        <v>525-2025000423</v>
      </c>
      <c r="B3518" s="6" t="str">
        <f t="shared" si="855"/>
        <v>ARMANDO</v>
      </c>
      <c r="C3518" s="7">
        <v>45877</v>
      </c>
      <c r="D3518" s="7">
        <v>46030</v>
      </c>
      <c r="E3518" s="8">
        <v>5</v>
      </c>
      <c r="F3518" s="6" t="str">
        <f t="shared" si="856"/>
        <v>Hotelaria</v>
      </c>
      <c r="G3518" s="6" t="str">
        <f>"F160036950010000"</f>
        <v>F160036950010000</v>
      </c>
      <c r="H3518" s="6" t="str">
        <f>"L 369 - 500 g/m² (AT"</f>
        <v>L 369 - 500 g/m² (AT</v>
      </c>
      <c r="I3518" s="6" t="str">
        <f t="shared" si="857"/>
        <v>1</v>
      </c>
      <c r="J3518" s="6" t="str">
        <f t="shared" si="858"/>
        <v>BRANCO</v>
      </c>
      <c r="K3518" s="6" t="str">
        <f>"2020"</f>
        <v>2020</v>
      </c>
      <c r="L3518" s="6" t="str">
        <f>"Lençóis"</f>
        <v>Lençóis</v>
      </c>
      <c r="M3518" s="6" t="str">
        <f>"100x150"</f>
        <v>100x150</v>
      </c>
      <c r="N3518" s="6" t="str">
        <f>"5602972265262"</f>
        <v>5602972265262</v>
      </c>
      <c r="O3518" s="8">
        <v>240</v>
      </c>
      <c r="P3518" s="7">
        <v>45877</v>
      </c>
      <c r="R3518" s="8">
        <v>0</v>
      </c>
      <c r="S3518" s="7">
        <v>45903</v>
      </c>
      <c r="U3518" s="8">
        <v>274</v>
      </c>
      <c r="V3518" s="7">
        <v>45912</v>
      </c>
      <c r="X3518" s="8">
        <v>0</v>
      </c>
      <c r="Z3518" s="8">
        <v>274</v>
      </c>
      <c r="AA3518" s="7">
        <v>45924</v>
      </c>
      <c r="AC3518" s="8">
        <v>264</v>
      </c>
      <c r="AE3518" s="7">
        <v>45926</v>
      </c>
      <c r="AF3518" s="8">
        <v>264</v>
      </c>
      <c r="AH3518" s="7">
        <v>45926</v>
      </c>
      <c r="AN3518" s="8">
        <v>264</v>
      </c>
      <c r="AO3518" s="8">
        <v>-24</v>
      </c>
    </row>
    <row r="3519" spans="1:41" x14ac:dyDescent="0.25">
      <c r="A3519" s="6" t="str">
        <f t="shared" si="854"/>
        <v>525-2025000423</v>
      </c>
      <c r="B3519" s="6" t="str">
        <f t="shared" si="855"/>
        <v>ARMANDO</v>
      </c>
      <c r="C3519" s="7">
        <v>45877</v>
      </c>
      <c r="D3519" s="7">
        <v>46030</v>
      </c>
      <c r="E3519" s="8">
        <v>6</v>
      </c>
      <c r="F3519" s="6" t="str">
        <f t="shared" si="856"/>
        <v>Hotelaria</v>
      </c>
      <c r="G3519" s="6" t="str">
        <f>"F161005665010000"</f>
        <v>F161005665010000</v>
      </c>
      <c r="H3519" s="6" t="str">
        <f>"TA 56 - 650 g/m² (CY"</f>
        <v>TA 56 - 650 g/m² (CY</v>
      </c>
      <c r="I3519" s="6" t="str">
        <f t="shared" si="857"/>
        <v>1</v>
      </c>
      <c r="J3519" s="6" t="str">
        <f t="shared" si="858"/>
        <v>BRANCO</v>
      </c>
      <c r="K3519" s="6" t="str">
        <f>"3012"</f>
        <v>3012</v>
      </c>
      <c r="L3519" s="6" t="str">
        <f>"Tapetes"</f>
        <v>Tapetes</v>
      </c>
      <c r="M3519" s="6" t="str">
        <f>"50x70"</f>
        <v>50x70</v>
      </c>
      <c r="N3519" s="6" t="str">
        <f>"5602972265330"</f>
        <v>5602972265330</v>
      </c>
      <c r="O3519" s="8">
        <v>102</v>
      </c>
      <c r="P3519" s="7">
        <v>45877</v>
      </c>
      <c r="R3519" s="8">
        <v>0</v>
      </c>
      <c r="S3519" s="7">
        <v>45903</v>
      </c>
      <c r="U3519" s="8">
        <v>220</v>
      </c>
      <c r="V3519" s="7">
        <v>45912</v>
      </c>
      <c r="X3519" s="8">
        <v>0</v>
      </c>
      <c r="Z3519" s="8">
        <v>220</v>
      </c>
      <c r="AA3519" s="7">
        <v>45924</v>
      </c>
      <c r="AC3519" s="8">
        <v>204</v>
      </c>
      <c r="AE3519" s="7">
        <v>45926</v>
      </c>
      <c r="AF3519" s="8">
        <v>204</v>
      </c>
      <c r="AH3519" s="7">
        <v>45926</v>
      </c>
      <c r="AN3519" s="8">
        <v>204</v>
      </c>
      <c r="AO3519" s="8">
        <v>-102</v>
      </c>
    </row>
    <row r="3520" spans="1:41" x14ac:dyDescent="0.25">
      <c r="A3520" s="6" t="str">
        <f t="shared" si="854"/>
        <v>525-2025000423</v>
      </c>
      <c r="B3520" s="6" t="str">
        <f t="shared" si="855"/>
        <v>ARMANDO</v>
      </c>
      <c r="C3520" s="7">
        <v>45877</v>
      </c>
      <c r="D3520" s="7">
        <v>46030</v>
      </c>
      <c r="E3520" s="8">
        <v>7</v>
      </c>
      <c r="F3520" s="6" t="str">
        <f t="shared" si="856"/>
        <v>Hotelaria</v>
      </c>
      <c r="G3520" s="6" t="str">
        <f>"F161006165010000"</f>
        <v>F161006165010000</v>
      </c>
      <c r="H3520" s="6" t="str">
        <f>"TA 61 - 650 g/m² (AT"</f>
        <v>TA 61 - 650 g/m² (AT</v>
      </c>
      <c r="I3520" s="6" t="str">
        <f t="shared" si="857"/>
        <v>1</v>
      </c>
      <c r="J3520" s="6" t="str">
        <f t="shared" si="858"/>
        <v>BRANCO</v>
      </c>
      <c r="K3520" s="6" t="str">
        <f>"3012"</f>
        <v>3012</v>
      </c>
      <c r="L3520" s="6" t="str">
        <f>"Tapetes"</f>
        <v>Tapetes</v>
      </c>
      <c r="M3520" s="6" t="str">
        <f>"50x70"</f>
        <v>50x70</v>
      </c>
      <c r="N3520" s="6" t="str">
        <f>"5602972265279"</f>
        <v>5602972265279</v>
      </c>
      <c r="O3520" s="8">
        <v>102</v>
      </c>
      <c r="P3520" s="7">
        <v>45877</v>
      </c>
      <c r="R3520" s="8">
        <v>0</v>
      </c>
      <c r="S3520" s="7">
        <v>45903</v>
      </c>
      <c r="U3520" s="8">
        <v>224</v>
      </c>
      <c r="V3520" s="7">
        <v>45912</v>
      </c>
      <c r="X3520" s="8">
        <v>0</v>
      </c>
      <c r="Z3520" s="8">
        <v>224</v>
      </c>
      <c r="AA3520" s="7">
        <v>45924</v>
      </c>
      <c r="AC3520" s="8">
        <v>204</v>
      </c>
      <c r="AE3520" s="7">
        <v>45926</v>
      </c>
      <c r="AF3520" s="8">
        <v>204</v>
      </c>
      <c r="AH3520" s="7">
        <v>45926</v>
      </c>
      <c r="AN3520" s="8">
        <v>204</v>
      </c>
      <c r="AO3520" s="8">
        <v>-102</v>
      </c>
    </row>
    <row r="3521" spans="1:41" x14ac:dyDescent="0.25">
      <c r="A3521" s="6" t="str">
        <f t="shared" si="854"/>
        <v>525-2025000423</v>
      </c>
      <c r="B3521" s="6" t="str">
        <f t="shared" si="855"/>
        <v>ARMANDO</v>
      </c>
      <c r="C3521" s="7">
        <v>45877</v>
      </c>
      <c r="D3521" s="7">
        <v>46030</v>
      </c>
      <c r="E3521" s="8">
        <v>8</v>
      </c>
      <c r="F3521" s="6" t="str">
        <f t="shared" si="856"/>
        <v>Hotelaria</v>
      </c>
      <c r="G3521" s="6" t="str">
        <f>"F161027070000000"</f>
        <v>F161027070000000</v>
      </c>
      <c r="H3521" s="6" t="str">
        <f>"TA 270 - 700 g/m² (C"</f>
        <v>TA 270 - 700 g/m² (C</v>
      </c>
      <c r="I3521" s="6" t="str">
        <f t="shared" si="857"/>
        <v>1</v>
      </c>
      <c r="J3521" s="6" t="str">
        <f t="shared" si="858"/>
        <v>BRANCO</v>
      </c>
      <c r="K3521" s="6" t="str">
        <f>"3012"</f>
        <v>3012</v>
      </c>
      <c r="L3521" s="6" t="str">
        <f>"Tapetes"</f>
        <v>Tapetes</v>
      </c>
      <c r="M3521" s="6" t="str">
        <f>"50x70"</f>
        <v>50x70</v>
      </c>
      <c r="N3521" s="6" t="str">
        <f>"5602972265217"</f>
        <v>5602972265217</v>
      </c>
      <c r="O3521" s="8">
        <v>300</v>
      </c>
      <c r="P3521" s="7">
        <v>45877</v>
      </c>
      <c r="R3521" s="8">
        <v>0</v>
      </c>
      <c r="S3521" s="7">
        <v>45903</v>
      </c>
      <c r="U3521" s="8">
        <v>388</v>
      </c>
      <c r="V3521" s="7">
        <v>45912</v>
      </c>
      <c r="X3521" s="8">
        <v>0</v>
      </c>
      <c r="Z3521" s="8">
        <v>388</v>
      </c>
      <c r="AA3521" s="7">
        <v>45924</v>
      </c>
      <c r="AC3521" s="8">
        <v>342</v>
      </c>
      <c r="AE3521" s="7">
        <v>45926</v>
      </c>
      <c r="AF3521" s="8">
        <v>342</v>
      </c>
      <c r="AH3521" s="7">
        <v>45926</v>
      </c>
      <c r="AN3521" s="8">
        <v>342</v>
      </c>
      <c r="AO3521" s="8">
        <v>-42</v>
      </c>
    </row>
    <row r="3522" spans="1:41" x14ac:dyDescent="0.25">
      <c r="A3522" s="6" t="str">
        <f t="shared" ref="A3522:A3553" si="859">"525-2025000425"</f>
        <v>525-2025000425</v>
      </c>
      <c r="B3522" s="6" t="str">
        <f t="shared" ref="B3522:B3585" si="860">"Lasa Int"</f>
        <v>Lasa Int</v>
      </c>
      <c r="C3522" s="7">
        <v>45883</v>
      </c>
      <c r="D3522" s="7">
        <v>46081</v>
      </c>
      <c r="E3522" s="8">
        <v>1</v>
      </c>
      <c r="F3522" s="6" t="str">
        <f t="shared" ref="F3522:F3553" si="861">"Royal II import"</f>
        <v>Royal II import</v>
      </c>
      <c r="G3522" s="6" t="str">
        <f>"C010202000100009"</f>
        <v>C010202000100009</v>
      </c>
      <c r="H3522" s="6" t="str">
        <f>"Cama - ROYAL II - Jo"</f>
        <v>Cama - ROYAL II - Jo</v>
      </c>
      <c r="I3522" s="6" t="str">
        <f t="shared" ref="I3522:I3533" si="862">"501012"</f>
        <v>501012</v>
      </c>
      <c r="J3522" s="6" t="str">
        <f t="shared" ref="J3522:J3533" si="863">"Mar"</f>
        <v>Mar</v>
      </c>
      <c r="K3522" s="6" t="str">
        <f>"7141"</f>
        <v>7141</v>
      </c>
      <c r="L3522" s="6" t="str">
        <f t="shared" ref="L3522:L3553" si="864">"Cama"</f>
        <v>Cama</v>
      </c>
      <c r="M3522" s="6" t="str">
        <f>"Cama 90"</f>
        <v>Cama 90</v>
      </c>
      <c r="N3522" s="6" t="str">
        <f>"5602972669329"</f>
        <v>5602972669329</v>
      </c>
      <c r="O3522" s="8">
        <v>10</v>
      </c>
      <c r="R3522" s="8">
        <v>0</v>
      </c>
      <c r="U3522" s="8">
        <v>0</v>
      </c>
      <c r="X3522" s="8">
        <v>0</v>
      </c>
      <c r="Z3522" s="8">
        <v>0</v>
      </c>
      <c r="AC3522" s="8">
        <v>0</v>
      </c>
      <c r="AF3522" s="8">
        <v>0</v>
      </c>
      <c r="AN3522" s="8">
        <v>0</v>
      </c>
      <c r="AO3522" s="8">
        <v>10</v>
      </c>
    </row>
    <row r="3523" spans="1:41" x14ac:dyDescent="0.25">
      <c r="A3523" s="6" t="str">
        <f t="shared" si="859"/>
        <v>525-2025000425</v>
      </c>
      <c r="B3523" s="6" t="str">
        <f t="shared" si="860"/>
        <v>Lasa Int</v>
      </c>
      <c r="C3523" s="7">
        <v>45883</v>
      </c>
      <c r="D3523" s="7">
        <v>46081</v>
      </c>
      <c r="E3523" s="8">
        <v>2</v>
      </c>
      <c r="F3523" s="6" t="str">
        <f t="shared" si="861"/>
        <v>Royal II import</v>
      </c>
      <c r="G3523" s="6" t="str">
        <f>"C010202000100009"</f>
        <v>C010202000100009</v>
      </c>
      <c r="H3523" s="6" t="str">
        <f>"Cama - ROYAL II - Jo"</f>
        <v>Cama - ROYAL II - Jo</v>
      </c>
      <c r="I3523" s="6" t="str">
        <f t="shared" si="862"/>
        <v>501012</v>
      </c>
      <c r="J3523" s="6" t="str">
        <f t="shared" si="863"/>
        <v>Mar</v>
      </c>
      <c r="K3523" s="6" t="str">
        <f>"7143"</f>
        <v>7143</v>
      </c>
      <c r="L3523" s="6" t="str">
        <f t="shared" si="864"/>
        <v>Cama</v>
      </c>
      <c r="M3523" s="6" t="str">
        <f>"Cama 135"</f>
        <v>Cama 135</v>
      </c>
      <c r="N3523" s="6" t="str">
        <f>"5602972669343"</f>
        <v>5602972669343</v>
      </c>
      <c r="O3523" s="8">
        <v>10</v>
      </c>
      <c r="R3523" s="8">
        <v>0</v>
      </c>
      <c r="U3523" s="8">
        <v>0</v>
      </c>
      <c r="X3523" s="8">
        <v>0</v>
      </c>
      <c r="Z3523" s="8">
        <v>0</v>
      </c>
      <c r="AC3523" s="8">
        <v>0</v>
      </c>
      <c r="AF3523" s="8">
        <v>0</v>
      </c>
      <c r="AN3523" s="8">
        <v>0</v>
      </c>
      <c r="AO3523" s="8">
        <v>10</v>
      </c>
    </row>
    <row r="3524" spans="1:41" x14ac:dyDescent="0.25">
      <c r="A3524" s="6" t="str">
        <f t="shared" si="859"/>
        <v>525-2025000425</v>
      </c>
      <c r="B3524" s="6" t="str">
        <f t="shared" si="860"/>
        <v>Lasa Int</v>
      </c>
      <c r="C3524" s="7">
        <v>45883</v>
      </c>
      <c r="D3524" s="7">
        <v>46081</v>
      </c>
      <c r="E3524" s="8">
        <v>3</v>
      </c>
      <c r="F3524" s="6" t="str">
        <f t="shared" si="861"/>
        <v>Royal II import</v>
      </c>
      <c r="G3524" s="6" t="str">
        <f>"C010202000100009"</f>
        <v>C010202000100009</v>
      </c>
      <c r="H3524" s="6" t="str">
        <f>"Cama - ROYAL II - Jo"</f>
        <v>Cama - ROYAL II - Jo</v>
      </c>
      <c r="I3524" s="6" t="str">
        <f t="shared" si="862"/>
        <v>501012</v>
      </c>
      <c r="J3524" s="6" t="str">
        <f t="shared" si="863"/>
        <v>Mar</v>
      </c>
      <c r="K3524" s="6" t="str">
        <f>"7144"</f>
        <v>7144</v>
      </c>
      <c r="L3524" s="6" t="str">
        <f t="shared" si="864"/>
        <v>Cama</v>
      </c>
      <c r="M3524" s="6" t="str">
        <f>"Cama 150/1"</f>
        <v>Cama 150/1</v>
      </c>
      <c r="N3524" s="6" t="str">
        <f>"5602972669350"</f>
        <v>5602972669350</v>
      </c>
      <c r="O3524" s="8">
        <v>10</v>
      </c>
      <c r="R3524" s="8">
        <v>0</v>
      </c>
      <c r="U3524" s="8">
        <v>0</v>
      </c>
      <c r="X3524" s="8">
        <v>0</v>
      </c>
      <c r="Z3524" s="8">
        <v>0</v>
      </c>
      <c r="AC3524" s="8">
        <v>0</v>
      </c>
      <c r="AF3524" s="8">
        <v>0</v>
      </c>
      <c r="AN3524" s="8">
        <v>0</v>
      </c>
      <c r="AO3524" s="8">
        <v>10</v>
      </c>
    </row>
    <row r="3525" spans="1:41" x14ac:dyDescent="0.25">
      <c r="A3525" s="6" t="str">
        <f t="shared" si="859"/>
        <v>525-2025000425</v>
      </c>
      <c r="B3525" s="6" t="str">
        <f t="shared" si="860"/>
        <v>Lasa Int</v>
      </c>
      <c r="C3525" s="7">
        <v>45883</v>
      </c>
      <c r="D3525" s="7">
        <v>46081</v>
      </c>
      <c r="E3525" s="8">
        <v>4</v>
      </c>
      <c r="F3525" s="6" t="str">
        <f t="shared" si="861"/>
        <v>Royal II import</v>
      </c>
      <c r="G3525" s="6" t="str">
        <f>"C010202000100009"</f>
        <v>C010202000100009</v>
      </c>
      <c r="H3525" s="6" t="str">
        <f>"Cama - ROYAL II - Jo"</f>
        <v>Cama - ROYAL II - Jo</v>
      </c>
      <c r="I3525" s="6" t="str">
        <f t="shared" si="862"/>
        <v>501012</v>
      </c>
      <c r="J3525" s="6" t="str">
        <f t="shared" si="863"/>
        <v>Mar</v>
      </c>
      <c r="K3525" s="6" t="str">
        <f>"7145"</f>
        <v>7145</v>
      </c>
      <c r="L3525" s="6" t="str">
        <f t="shared" si="864"/>
        <v>Cama</v>
      </c>
      <c r="M3525" s="6" t="str">
        <f>"Cama 180"</f>
        <v>Cama 180</v>
      </c>
      <c r="N3525" s="6" t="str">
        <f>"5602972669367"</f>
        <v>5602972669367</v>
      </c>
      <c r="O3525" s="8">
        <v>10</v>
      </c>
      <c r="R3525" s="8">
        <v>0</v>
      </c>
      <c r="U3525" s="8">
        <v>0</v>
      </c>
      <c r="X3525" s="8">
        <v>0</v>
      </c>
      <c r="Z3525" s="8">
        <v>0</v>
      </c>
      <c r="AC3525" s="8">
        <v>0</v>
      </c>
      <c r="AF3525" s="8">
        <v>0</v>
      </c>
      <c r="AN3525" s="8">
        <v>0</v>
      </c>
      <c r="AO3525" s="8">
        <v>10</v>
      </c>
    </row>
    <row r="3526" spans="1:41" x14ac:dyDescent="0.25">
      <c r="A3526" s="6" t="str">
        <f t="shared" si="859"/>
        <v>525-2025000425</v>
      </c>
      <c r="B3526" s="6" t="str">
        <f t="shared" si="860"/>
        <v>Lasa Int</v>
      </c>
      <c r="C3526" s="7">
        <v>45883</v>
      </c>
      <c r="D3526" s="7">
        <v>46081</v>
      </c>
      <c r="E3526" s="8">
        <v>5</v>
      </c>
      <c r="F3526" s="6" t="str">
        <f t="shared" si="861"/>
        <v>Royal II import</v>
      </c>
      <c r="G3526" s="6" t="str">
        <f>"C010202000500009"</f>
        <v>C010202000500009</v>
      </c>
      <c r="H3526" s="6" t="str">
        <f>"Cama - ROYAL II - Le"</f>
        <v>Cama - ROYAL II - Le</v>
      </c>
      <c r="I3526" s="6" t="str">
        <f t="shared" si="862"/>
        <v>501012</v>
      </c>
      <c r="J3526" s="6" t="str">
        <f t="shared" si="863"/>
        <v>Mar</v>
      </c>
      <c r="K3526" s="6" t="str">
        <f>"6920"</f>
        <v>6920</v>
      </c>
      <c r="L3526" s="6" t="str">
        <f t="shared" si="864"/>
        <v>Cama</v>
      </c>
      <c r="M3526" s="6" t="str">
        <f>"90x200+33"</f>
        <v>90x200+33</v>
      </c>
      <c r="N3526" s="6" t="str">
        <f>"5602972669527"</f>
        <v>5602972669527</v>
      </c>
      <c r="O3526" s="8">
        <v>30</v>
      </c>
      <c r="R3526" s="8">
        <v>0</v>
      </c>
      <c r="U3526" s="8">
        <v>0</v>
      </c>
      <c r="X3526" s="8">
        <v>0</v>
      </c>
      <c r="Z3526" s="8">
        <v>0</v>
      </c>
      <c r="AC3526" s="8">
        <v>0</v>
      </c>
      <c r="AF3526" s="8">
        <v>0</v>
      </c>
      <c r="AN3526" s="8">
        <v>0</v>
      </c>
      <c r="AO3526" s="8">
        <v>30</v>
      </c>
    </row>
    <row r="3527" spans="1:41" x14ac:dyDescent="0.25">
      <c r="A3527" s="6" t="str">
        <f t="shared" si="859"/>
        <v>525-2025000425</v>
      </c>
      <c r="B3527" s="6" t="str">
        <f t="shared" si="860"/>
        <v>Lasa Int</v>
      </c>
      <c r="C3527" s="7">
        <v>45883</v>
      </c>
      <c r="D3527" s="7">
        <v>46081</v>
      </c>
      <c r="E3527" s="8">
        <v>6</v>
      </c>
      <c r="F3527" s="6" t="str">
        <f t="shared" si="861"/>
        <v>Royal II import</v>
      </c>
      <c r="G3527" s="6" t="str">
        <f>"C010202000500009"</f>
        <v>C010202000500009</v>
      </c>
      <c r="H3527" s="6" t="str">
        <f>"Cama - ROYAL II - Le"</f>
        <v>Cama - ROYAL II - Le</v>
      </c>
      <c r="I3527" s="6" t="str">
        <f t="shared" si="862"/>
        <v>501012</v>
      </c>
      <c r="J3527" s="6" t="str">
        <f t="shared" si="863"/>
        <v>Mar</v>
      </c>
      <c r="K3527" s="6" t="str">
        <f>"6921"</f>
        <v>6921</v>
      </c>
      <c r="L3527" s="6" t="str">
        <f t="shared" si="864"/>
        <v>Cama</v>
      </c>
      <c r="M3527" s="6" t="str">
        <f>"108x200+33"</f>
        <v>108x200+33</v>
      </c>
      <c r="N3527" s="6" t="str">
        <f>"5602972669534"</f>
        <v>5602972669534</v>
      </c>
      <c r="O3527" s="8">
        <v>40</v>
      </c>
      <c r="R3527" s="8">
        <v>0</v>
      </c>
      <c r="U3527" s="8">
        <v>0</v>
      </c>
      <c r="X3527" s="8">
        <v>0</v>
      </c>
      <c r="Z3527" s="8">
        <v>0</v>
      </c>
      <c r="AC3527" s="8">
        <v>0</v>
      </c>
      <c r="AF3527" s="8">
        <v>0</v>
      </c>
      <c r="AN3527" s="8">
        <v>0</v>
      </c>
      <c r="AO3527" s="8">
        <v>40</v>
      </c>
    </row>
    <row r="3528" spans="1:41" x14ac:dyDescent="0.25">
      <c r="A3528" s="6" t="str">
        <f t="shared" si="859"/>
        <v>525-2025000425</v>
      </c>
      <c r="B3528" s="6" t="str">
        <f t="shared" si="860"/>
        <v>Lasa Int</v>
      </c>
      <c r="C3528" s="7">
        <v>45883</v>
      </c>
      <c r="D3528" s="7">
        <v>46081</v>
      </c>
      <c r="E3528" s="8">
        <v>7</v>
      </c>
      <c r="F3528" s="6" t="str">
        <f t="shared" si="861"/>
        <v>Royal II import</v>
      </c>
      <c r="G3528" s="6" t="str">
        <f>"C010202000500009"</f>
        <v>C010202000500009</v>
      </c>
      <c r="H3528" s="6" t="str">
        <f>"Cama - ROYAL II - Le"</f>
        <v>Cama - ROYAL II - Le</v>
      </c>
      <c r="I3528" s="6" t="str">
        <f t="shared" si="862"/>
        <v>501012</v>
      </c>
      <c r="J3528" s="6" t="str">
        <f t="shared" si="863"/>
        <v>Mar</v>
      </c>
      <c r="K3528" s="6" t="str">
        <f>"6922"</f>
        <v>6922</v>
      </c>
      <c r="L3528" s="6" t="str">
        <f t="shared" si="864"/>
        <v>Cama</v>
      </c>
      <c r="M3528" s="6" t="str">
        <f>"135x200+33"</f>
        <v>135x200+33</v>
      </c>
      <c r="N3528" s="6" t="str">
        <f>"5602972669541"</f>
        <v>5602972669541</v>
      </c>
      <c r="O3528" s="8">
        <v>40</v>
      </c>
      <c r="R3528" s="8">
        <v>0</v>
      </c>
      <c r="U3528" s="8">
        <v>0</v>
      </c>
      <c r="X3528" s="8">
        <v>0</v>
      </c>
      <c r="Z3528" s="8">
        <v>0</v>
      </c>
      <c r="AC3528" s="8">
        <v>0</v>
      </c>
      <c r="AF3528" s="8">
        <v>0</v>
      </c>
      <c r="AN3528" s="8">
        <v>0</v>
      </c>
      <c r="AO3528" s="8">
        <v>40</v>
      </c>
    </row>
    <row r="3529" spans="1:41" x14ac:dyDescent="0.25">
      <c r="A3529" s="6" t="str">
        <f t="shared" si="859"/>
        <v>525-2025000425</v>
      </c>
      <c r="B3529" s="6" t="str">
        <f t="shared" si="860"/>
        <v>Lasa Int</v>
      </c>
      <c r="C3529" s="7">
        <v>45883</v>
      </c>
      <c r="D3529" s="7">
        <v>46081</v>
      </c>
      <c r="E3529" s="8">
        <v>8</v>
      </c>
      <c r="F3529" s="6" t="str">
        <f t="shared" si="861"/>
        <v>Royal II import</v>
      </c>
      <c r="G3529" s="6" t="str">
        <f>"C010202000500009"</f>
        <v>C010202000500009</v>
      </c>
      <c r="H3529" s="6" t="str">
        <f>"Cama - ROYAL II - Le"</f>
        <v>Cama - ROYAL II - Le</v>
      </c>
      <c r="I3529" s="6" t="str">
        <f t="shared" si="862"/>
        <v>501012</v>
      </c>
      <c r="J3529" s="6" t="str">
        <f t="shared" si="863"/>
        <v>Mar</v>
      </c>
      <c r="K3529" s="6" t="str">
        <f>"6923"</f>
        <v>6923</v>
      </c>
      <c r="L3529" s="6" t="str">
        <f t="shared" si="864"/>
        <v>Cama</v>
      </c>
      <c r="M3529" s="6" t="str">
        <f>"158x200+33"</f>
        <v>158x200+33</v>
      </c>
      <c r="N3529" s="6" t="str">
        <f>"5602972669558"</f>
        <v>5602972669558</v>
      </c>
      <c r="O3529" s="8">
        <v>60</v>
      </c>
      <c r="R3529" s="8">
        <v>0</v>
      </c>
      <c r="U3529" s="8">
        <v>0</v>
      </c>
      <c r="X3529" s="8">
        <v>0</v>
      </c>
      <c r="Z3529" s="8">
        <v>0</v>
      </c>
      <c r="AC3529" s="8">
        <v>0</v>
      </c>
      <c r="AF3529" s="8">
        <v>0</v>
      </c>
      <c r="AN3529" s="8">
        <v>0</v>
      </c>
      <c r="AO3529" s="8">
        <v>60</v>
      </c>
    </row>
    <row r="3530" spans="1:41" x14ac:dyDescent="0.25">
      <c r="A3530" s="6" t="str">
        <f t="shared" si="859"/>
        <v>525-2025000425</v>
      </c>
      <c r="B3530" s="6" t="str">
        <f t="shared" si="860"/>
        <v>Lasa Int</v>
      </c>
      <c r="C3530" s="7">
        <v>45883</v>
      </c>
      <c r="D3530" s="7">
        <v>46081</v>
      </c>
      <c r="E3530" s="8">
        <v>9</v>
      </c>
      <c r="F3530" s="6" t="str">
        <f t="shared" si="861"/>
        <v>Royal II import</v>
      </c>
      <c r="G3530" s="6" t="str">
        <f>"C010202000600009"</f>
        <v>C010202000600009</v>
      </c>
      <c r="H3530" s="6" t="str">
        <f>"Cama - ROYAL II - Al"</f>
        <v>Cama - ROYAL II - Al</v>
      </c>
      <c r="I3530" s="6" t="str">
        <f t="shared" si="862"/>
        <v>501012</v>
      </c>
      <c r="J3530" s="6" t="str">
        <f t="shared" si="863"/>
        <v>Mar</v>
      </c>
      <c r="K3530" s="6" t="str">
        <f>"7130"</f>
        <v>7130</v>
      </c>
      <c r="L3530" s="6" t="str">
        <f t="shared" si="864"/>
        <v>Cama</v>
      </c>
      <c r="M3530" s="6" t="str">
        <f>"45x110"</f>
        <v>45x110</v>
      </c>
      <c r="N3530" s="6" t="str">
        <f>"5602972669589"</f>
        <v>5602972669589</v>
      </c>
      <c r="O3530" s="8">
        <v>80</v>
      </c>
      <c r="R3530" s="8">
        <v>0</v>
      </c>
      <c r="U3530" s="8">
        <v>0</v>
      </c>
      <c r="X3530" s="8">
        <v>0</v>
      </c>
      <c r="Z3530" s="8">
        <v>0</v>
      </c>
      <c r="AC3530" s="8">
        <v>0</v>
      </c>
      <c r="AF3530" s="8">
        <v>0</v>
      </c>
      <c r="AN3530" s="8">
        <v>0</v>
      </c>
      <c r="AO3530" s="8">
        <v>80</v>
      </c>
    </row>
    <row r="3531" spans="1:41" x14ac:dyDescent="0.25">
      <c r="A3531" s="6" t="str">
        <f t="shared" si="859"/>
        <v>525-2025000425</v>
      </c>
      <c r="B3531" s="6" t="str">
        <f t="shared" si="860"/>
        <v>Lasa Int</v>
      </c>
      <c r="C3531" s="7">
        <v>45883</v>
      </c>
      <c r="D3531" s="7">
        <v>46081</v>
      </c>
      <c r="E3531" s="8">
        <v>10</v>
      </c>
      <c r="F3531" s="6" t="str">
        <f t="shared" si="861"/>
        <v>Royal II import</v>
      </c>
      <c r="G3531" s="6" t="str">
        <f>"C010202000600009"</f>
        <v>C010202000600009</v>
      </c>
      <c r="H3531" s="6" t="str">
        <f>"Cama - ROYAL II - Al"</f>
        <v>Cama - ROYAL II - Al</v>
      </c>
      <c r="I3531" s="6" t="str">
        <f t="shared" si="862"/>
        <v>501012</v>
      </c>
      <c r="J3531" s="6" t="str">
        <f t="shared" si="863"/>
        <v>Mar</v>
      </c>
      <c r="K3531" s="6" t="str">
        <f>"7131"</f>
        <v>7131</v>
      </c>
      <c r="L3531" s="6" t="str">
        <f t="shared" si="864"/>
        <v>Cama</v>
      </c>
      <c r="M3531" s="6" t="str">
        <f>"45x130"</f>
        <v>45x130</v>
      </c>
      <c r="N3531" s="6" t="str">
        <f>"5602972669596"</f>
        <v>5602972669596</v>
      </c>
      <c r="O3531" s="8">
        <v>10</v>
      </c>
      <c r="R3531" s="8">
        <v>0</v>
      </c>
      <c r="U3531" s="8">
        <v>0</v>
      </c>
      <c r="X3531" s="8">
        <v>0</v>
      </c>
      <c r="Z3531" s="8">
        <v>0</v>
      </c>
      <c r="AC3531" s="8">
        <v>0</v>
      </c>
      <c r="AF3531" s="8">
        <v>0</v>
      </c>
      <c r="AN3531" s="8">
        <v>0</v>
      </c>
      <c r="AO3531" s="8">
        <v>10</v>
      </c>
    </row>
    <row r="3532" spans="1:41" x14ac:dyDescent="0.25">
      <c r="A3532" s="6" t="str">
        <f t="shared" si="859"/>
        <v>525-2025000425</v>
      </c>
      <c r="B3532" s="6" t="str">
        <f t="shared" si="860"/>
        <v>Lasa Int</v>
      </c>
      <c r="C3532" s="7">
        <v>45883</v>
      </c>
      <c r="D3532" s="7">
        <v>46081</v>
      </c>
      <c r="E3532" s="8">
        <v>11</v>
      </c>
      <c r="F3532" s="6" t="str">
        <f t="shared" si="861"/>
        <v>Royal II import</v>
      </c>
      <c r="G3532" s="6" t="str">
        <f>"C010202000600009"</f>
        <v>C010202000600009</v>
      </c>
      <c r="H3532" s="6" t="str">
        <f>"Cama - ROYAL II - Al"</f>
        <v>Cama - ROYAL II - Al</v>
      </c>
      <c r="I3532" s="6" t="str">
        <f t="shared" si="862"/>
        <v>501012</v>
      </c>
      <c r="J3532" s="6" t="str">
        <f t="shared" si="863"/>
        <v>Mar</v>
      </c>
      <c r="K3532" s="6" t="str">
        <f>"7132"</f>
        <v>7132</v>
      </c>
      <c r="L3532" s="6" t="str">
        <f t="shared" si="864"/>
        <v>Cama</v>
      </c>
      <c r="M3532" s="6" t="str">
        <f>"45x155"</f>
        <v>45x155</v>
      </c>
      <c r="N3532" s="6" t="str">
        <f>"5602972669602"</f>
        <v>5602972669602</v>
      </c>
      <c r="O3532" s="8">
        <v>20</v>
      </c>
      <c r="R3532" s="8">
        <v>0</v>
      </c>
      <c r="U3532" s="8">
        <v>0</v>
      </c>
      <c r="X3532" s="8">
        <v>0</v>
      </c>
      <c r="Z3532" s="8">
        <v>0</v>
      </c>
      <c r="AC3532" s="8">
        <v>0</v>
      </c>
      <c r="AF3532" s="8">
        <v>0</v>
      </c>
      <c r="AN3532" s="8">
        <v>0</v>
      </c>
      <c r="AO3532" s="8">
        <v>20</v>
      </c>
    </row>
    <row r="3533" spans="1:41" x14ac:dyDescent="0.25">
      <c r="A3533" s="6" t="str">
        <f t="shared" si="859"/>
        <v>525-2025000425</v>
      </c>
      <c r="B3533" s="6" t="str">
        <f t="shared" si="860"/>
        <v>Lasa Int</v>
      </c>
      <c r="C3533" s="7">
        <v>45883</v>
      </c>
      <c r="D3533" s="7">
        <v>46081</v>
      </c>
      <c r="E3533" s="8">
        <v>12</v>
      </c>
      <c r="F3533" s="6" t="str">
        <f t="shared" si="861"/>
        <v>Royal II import</v>
      </c>
      <c r="G3533" s="6" t="str">
        <f>"C010202000600009"</f>
        <v>C010202000600009</v>
      </c>
      <c r="H3533" s="6" t="str">
        <f>"Cama - ROYAL II - Al"</f>
        <v>Cama - ROYAL II - Al</v>
      </c>
      <c r="I3533" s="6" t="str">
        <f t="shared" si="862"/>
        <v>501012</v>
      </c>
      <c r="J3533" s="6" t="str">
        <f t="shared" si="863"/>
        <v>Mar</v>
      </c>
      <c r="K3533" s="6" t="str">
        <f>"7133"</f>
        <v>7133</v>
      </c>
      <c r="L3533" s="6" t="str">
        <f t="shared" si="864"/>
        <v>Cama</v>
      </c>
      <c r="M3533" s="6" t="str">
        <f>"45x85"</f>
        <v>45x85</v>
      </c>
      <c r="N3533" s="6" t="str">
        <f>"5602972669626"</f>
        <v>5602972669626</v>
      </c>
      <c r="O3533" s="8">
        <v>170</v>
      </c>
      <c r="R3533" s="8">
        <v>0</v>
      </c>
      <c r="U3533" s="8">
        <v>0</v>
      </c>
      <c r="X3533" s="8">
        <v>0</v>
      </c>
      <c r="Z3533" s="8">
        <v>0</v>
      </c>
      <c r="AC3533" s="8">
        <v>0</v>
      </c>
      <c r="AF3533" s="8">
        <v>0</v>
      </c>
      <c r="AN3533" s="8">
        <v>0</v>
      </c>
      <c r="AO3533" s="8">
        <v>170</v>
      </c>
    </row>
    <row r="3534" spans="1:41" x14ac:dyDescent="0.25">
      <c r="A3534" s="6" t="str">
        <f t="shared" si="859"/>
        <v>525-2025000425</v>
      </c>
      <c r="B3534" s="6" t="str">
        <f t="shared" si="860"/>
        <v>Lasa Int</v>
      </c>
      <c r="C3534" s="7">
        <v>45883</v>
      </c>
      <c r="D3534" s="7">
        <v>46081</v>
      </c>
      <c r="E3534" s="8">
        <v>13</v>
      </c>
      <c r="F3534" s="6" t="str">
        <f t="shared" si="861"/>
        <v>Royal II import</v>
      </c>
      <c r="G3534" s="6" t="str">
        <f>"C010202000100009"</f>
        <v>C010202000100009</v>
      </c>
      <c r="H3534" s="6" t="str">
        <f>"Cama - ROYAL II - Jo"</f>
        <v>Cama - ROYAL II - Jo</v>
      </c>
      <c r="I3534" s="6" t="str">
        <f t="shared" ref="I3534:I3539" si="865">"501006"</f>
        <v>501006</v>
      </c>
      <c r="J3534" s="6" t="str">
        <f t="shared" ref="J3534:J3539" si="866">"Grafito"</f>
        <v>Grafito</v>
      </c>
      <c r="K3534" s="6" t="str">
        <f>"7144"</f>
        <v>7144</v>
      </c>
      <c r="L3534" s="6" t="str">
        <f t="shared" si="864"/>
        <v>Cama</v>
      </c>
      <c r="M3534" s="6" t="str">
        <f>"Cama 150/1"</f>
        <v>Cama 150/1</v>
      </c>
      <c r="N3534" s="6" t="str">
        <f>"5602972669022"</f>
        <v>5602972669022</v>
      </c>
      <c r="O3534" s="8">
        <v>10</v>
      </c>
      <c r="R3534" s="8">
        <v>0</v>
      </c>
      <c r="U3534" s="8">
        <v>0</v>
      </c>
      <c r="X3534" s="8">
        <v>0</v>
      </c>
      <c r="Z3534" s="8">
        <v>0</v>
      </c>
      <c r="AC3534" s="8">
        <v>0</v>
      </c>
      <c r="AF3534" s="8">
        <v>0</v>
      </c>
      <c r="AN3534" s="8">
        <v>0</v>
      </c>
      <c r="AO3534" s="8">
        <v>10</v>
      </c>
    </row>
    <row r="3535" spans="1:41" x14ac:dyDescent="0.25">
      <c r="A3535" s="6" t="str">
        <f t="shared" si="859"/>
        <v>525-2025000425</v>
      </c>
      <c r="B3535" s="6" t="str">
        <f t="shared" si="860"/>
        <v>Lasa Int</v>
      </c>
      <c r="C3535" s="7">
        <v>45883</v>
      </c>
      <c r="D3535" s="7">
        <v>46081</v>
      </c>
      <c r="E3535" s="8">
        <v>14</v>
      </c>
      <c r="F3535" s="6" t="str">
        <f t="shared" si="861"/>
        <v>Royal II import</v>
      </c>
      <c r="G3535" s="6" t="str">
        <f>"C010202000200009"</f>
        <v>C010202000200009</v>
      </c>
      <c r="H3535" s="6" t="str">
        <f>"Cama - ROYAL II - Jo"</f>
        <v>Cama - ROYAL II - Jo</v>
      </c>
      <c r="I3535" s="6" t="str">
        <f t="shared" si="865"/>
        <v>501006</v>
      </c>
      <c r="J3535" s="6" t="str">
        <f t="shared" si="866"/>
        <v>Grafito</v>
      </c>
      <c r="K3535" s="6" t="str">
        <f>"7143"</f>
        <v>7143</v>
      </c>
      <c r="L3535" s="6" t="str">
        <f t="shared" si="864"/>
        <v>Cama</v>
      </c>
      <c r="M3535" s="6" t="str">
        <f>"Cama 135"</f>
        <v>Cama 135</v>
      </c>
      <c r="N3535" s="6" t="str">
        <f>"5602972669060"</f>
        <v>5602972669060</v>
      </c>
      <c r="O3535" s="8">
        <v>10</v>
      </c>
      <c r="R3535" s="8">
        <v>0</v>
      </c>
      <c r="U3535" s="8">
        <v>0</v>
      </c>
      <c r="X3535" s="8">
        <v>0</v>
      </c>
      <c r="Z3535" s="8">
        <v>0</v>
      </c>
      <c r="AC3535" s="8">
        <v>0</v>
      </c>
      <c r="AF3535" s="8">
        <v>0</v>
      </c>
      <c r="AN3535" s="8">
        <v>0</v>
      </c>
      <c r="AO3535" s="8">
        <v>10</v>
      </c>
    </row>
    <row r="3536" spans="1:41" x14ac:dyDescent="0.25">
      <c r="A3536" s="6" t="str">
        <f t="shared" si="859"/>
        <v>525-2025000425</v>
      </c>
      <c r="B3536" s="6" t="str">
        <f t="shared" si="860"/>
        <v>Lasa Int</v>
      </c>
      <c r="C3536" s="7">
        <v>45883</v>
      </c>
      <c r="D3536" s="7">
        <v>46081</v>
      </c>
      <c r="E3536" s="8">
        <v>15</v>
      </c>
      <c r="F3536" s="6" t="str">
        <f t="shared" si="861"/>
        <v>Royal II import</v>
      </c>
      <c r="G3536" s="6" t="str">
        <f>"C010202000500009"</f>
        <v>C010202000500009</v>
      </c>
      <c r="H3536" s="6" t="str">
        <f>"Cama - ROYAL II - Le"</f>
        <v>Cama - ROYAL II - Le</v>
      </c>
      <c r="I3536" s="6" t="str">
        <f t="shared" si="865"/>
        <v>501006</v>
      </c>
      <c r="J3536" s="6" t="str">
        <f t="shared" si="866"/>
        <v>Grafito</v>
      </c>
      <c r="K3536" s="6" t="str">
        <f>"6921"</f>
        <v>6921</v>
      </c>
      <c r="L3536" s="6" t="str">
        <f t="shared" si="864"/>
        <v>Cama</v>
      </c>
      <c r="M3536" s="6" t="str">
        <f>"108x200+33"</f>
        <v>108x200+33</v>
      </c>
      <c r="N3536" s="6" t="str">
        <f>"5602972669206"</f>
        <v>5602972669206</v>
      </c>
      <c r="O3536" s="8">
        <v>20</v>
      </c>
      <c r="R3536" s="8">
        <v>0</v>
      </c>
      <c r="U3536" s="8">
        <v>0</v>
      </c>
      <c r="X3536" s="8">
        <v>0</v>
      </c>
      <c r="Z3536" s="8">
        <v>0</v>
      </c>
      <c r="AC3536" s="8">
        <v>0</v>
      </c>
      <c r="AF3536" s="8">
        <v>0</v>
      </c>
      <c r="AN3536" s="8">
        <v>0</v>
      </c>
      <c r="AO3536" s="8">
        <v>20</v>
      </c>
    </row>
    <row r="3537" spans="1:41" x14ac:dyDescent="0.25">
      <c r="A3537" s="6" t="str">
        <f t="shared" si="859"/>
        <v>525-2025000425</v>
      </c>
      <c r="B3537" s="6" t="str">
        <f t="shared" si="860"/>
        <v>Lasa Int</v>
      </c>
      <c r="C3537" s="7">
        <v>45883</v>
      </c>
      <c r="D3537" s="7">
        <v>46081</v>
      </c>
      <c r="E3537" s="8">
        <v>16</v>
      </c>
      <c r="F3537" s="6" t="str">
        <f t="shared" si="861"/>
        <v>Royal II import</v>
      </c>
      <c r="G3537" s="6" t="str">
        <f>"C010202000500009"</f>
        <v>C010202000500009</v>
      </c>
      <c r="H3537" s="6" t="str">
        <f>"Cama - ROYAL II - Le"</f>
        <v>Cama - ROYAL II - Le</v>
      </c>
      <c r="I3537" s="6" t="str">
        <f t="shared" si="865"/>
        <v>501006</v>
      </c>
      <c r="J3537" s="6" t="str">
        <f t="shared" si="866"/>
        <v>Grafito</v>
      </c>
      <c r="K3537" s="6" t="str">
        <f>"6923"</f>
        <v>6923</v>
      </c>
      <c r="L3537" s="6" t="str">
        <f t="shared" si="864"/>
        <v>Cama</v>
      </c>
      <c r="M3537" s="6" t="str">
        <f>"158x200+33"</f>
        <v>158x200+33</v>
      </c>
      <c r="N3537" s="6" t="str">
        <f>"5602972669220"</f>
        <v>5602972669220</v>
      </c>
      <c r="O3537" s="8">
        <v>60</v>
      </c>
      <c r="R3537" s="8">
        <v>0</v>
      </c>
      <c r="U3537" s="8">
        <v>0</v>
      </c>
      <c r="X3537" s="8">
        <v>0</v>
      </c>
      <c r="Z3537" s="8">
        <v>0</v>
      </c>
      <c r="AC3537" s="8">
        <v>0</v>
      </c>
      <c r="AF3537" s="8">
        <v>0</v>
      </c>
      <c r="AN3537" s="8">
        <v>0</v>
      </c>
      <c r="AO3537" s="8">
        <v>60</v>
      </c>
    </row>
    <row r="3538" spans="1:41" x14ac:dyDescent="0.25">
      <c r="A3538" s="6" t="str">
        <f t="shared" si="859"/>
        <v>525-2025000425</v>
      </c>
      <c r="B3538" s="6" t="str">
        <f t="shared" si="860"/>
        <v>Lasa Int</v>
      </c>
      <c r="C3538" s="7">
        <v>45883</v>
      </c>
      <c r="D3538" s="7">
        <v>46081</v>
      </c>
      <c r="E3538" s="8">
        <v>17</v>
      </c>
      <c r="F3538" s="6" t="str">
        <f t="shared" si="861"/>
        <v>Royal II import</v>
      </c>
      <c r="G3538" s="6" t="str">
        <f>"C010202000500009"</f>
        <v>C010202000500009</v>
      </c>
      <c r="H3538" s="6" t="str">
        <f>"Cama - ROYAL II - Le"</f>
        <v>Cama - ROYAL II - Le</v>
      </c>
      <c r="I3538" s="6" t="str">
        <f t="shared" si="865"/>
        <v>501006</v>
      </c>
      <c r="J3538" s="6" t="str">
        <f t="shared" si="866"/>
        <v>Grafito</v>
      </c>
      <c r="K3538" s="6" t="str">
        <f>"6924"</f>
        <v>6924</v>
      </c>
      <c r="L3538" s="6" t="str">
        <f t="shared" si="864"/>
        <v>Cama</v>
      </c>
      <c r="M3538" s="6" t="str">
        <f>"180x200+33"</f>
        <v>180x200+33</v>
      </c>
      <c r="N3538" s="6" t="str">
        <f>"5602972669237"</f>
        <v>5602972669237</v>
      </c>
      <c r="O3538" s="8">
        <v>10</v>
      </c>
      <c r="R3538" s="8">
        <v>0</v>
      </c>
      <c r="U3538" s="8">
        <v>0</v>
      </c>
      <c r="X3538" s="8">
        <v>0</v>
      </c>
      <c r="Z3538" s="8">
        <v>0</v>
      </c>
      <c r="AC3538" s="8">
        <v>0</v>
      </c>
      <c r="AF3538" s="8">
        <v>0</v>
      </c>
      <c r="AN3538" s="8">
        <v>0</v>
      </c>
      <c r="AO3538" s="8">
        <v>10</v>
      </c>
    </row>
    <row r="3539" spans="1:41" x14ac:dyDescent="0.25">
      <c r="A3539" s="6" t="str">
        <f t="shared" si="859"/>
        <v>525-2025000425</v>
      </c>
      <c r="B3539" s="6" t="str">
        <f t="shared" si="860"/>
        <v>Lasa Int</v>
      </c>
      <c r="C3539" s="7">
        <v>45883</v>
      </c>
      <c r="D3539" s="7">
        <v>46081</v>
      </c>
      <c r="E3539" s="8">
        <v>18</v>
      </c>
      <c r="F3539" s="6" t="str">
        <f t="shared" si="861"/>
        <v>Royal II import</v>
      </c>
      <c r="G3539" s="6" t="str">
        <f>"C010202000600009"</f>
        <v>C010202000600009</v>
      </c>
      <c r="H3539" s="6" t="str">
        <f>"Cama - ROYAL II - Al"</f>
        <v>Cama - ROYAL II - Al</v>
      </c>
      <c r="I3539" s="6" t="str">
        <f t="shared" si="865"/>
        <v>501006</v>
      </c>
      <c r="J3539" s="6" t="str">
        <f t="shared" si="866"/>
        <v>Grafito</v>
      </c>
      <c r="K3539" s="6" t="str">
        <f>"7133"</f>
        <v>7133</v>
      </c>
      <c r="L3539" s="6" t="str">
        <f t="shared" si="864"/>
        <v>Cama</v>
      </c>
      <c r="M3539" s="6" t="str">
        <f>"45x85"</f>
        <v>45x85</v>
      </c>
      <c r="N3539" s="6" t="str">
        <f>"5602972669299"</f>
        <v>5602972669299</v>
      </c>
      <c r="O3539" s="8">
        <v>20</v>
      </c>
      <c r="R3539" s="8">
        <v>0</v>
      </c>
      <c r="U3539" s="8">
        <v>0</v>
      </c>
      <c r="X3539" s="8">
        <v>0</v>
      </c>
      <c r="Z3539" s="8">
        <v>0</v>
      </c>
      <c r="AC3539" s="8">
        <v>0</v>
      </c>
      <c r="AF3539" s="8">
        <v>0</v>
      </c>
      <c r="AN3539" s="8">
        <v>0</v>
      </c>
      <c r="AO3539" s="8">
        <v>20</v>
      </c>
    </row>
    <row r="3540" spans="1:41" x14ac:dyDescent="0.25">
      <c r="A3540" s="6" t="str">
        <f t="shared" si="859"/>
        <v>525-2025000425</v>
      </c>
      <c r="B3540" s="6" t="str">
        <f t="shared" si="860"/>
        <v>Lasa Int</v>
      </c>
      <c r="C3540" s="7">
        <v>45883</v>
      </c>
      <c r="D3540" s="7">
        <v>46081</v>
      </c>
      <c r="E3540" s="8">
        <v>19</v>
      </c>
      <c r="F3540" s="6" t="str">
        <f t="shared" si="861"/>
        <v>Royal II import</v>
      </c>
      <c r="G3540" s="6" t="str">
        <f>"C010202000100009"</f>
        <v>C010202000100009</v>
      </c>
      <c r="H3540" s="6" t="str">
        <f t="shared" ref="H3540:H3545" si="867">"Cama - ROYAL II - Jo"</f>
        <v>Cama - ROYAL II - Jo</v>
      </c>
      <c r="I3540" s="6" t="str">
        <f t="shared" ref="I3540:I3549" si="868">"501010"</f>
        <v>501010</v>
      </c>
      <c r="J3540" s="6" t="str">
        <f t="shared" ref="J3540:J3549" si="869">"Indigo"</f>
        <v>Indigo</v>
      </c>
      <c r="K3540" s="6" t="str">
        <f>"7141"</f>
        <v>7141</v>
      </c>
      <c r="L3540" s="6" t="str">
        <f t="shared" si="864"/>
        <v>Cama</v>
      </c>
      <c r="M3540" s="6" t="str">
        <f>"Cama 90"</f>
        <v>Cama 90</v>
      </c>
      <c r="N3540" s="6" t="str">
        <f>"5602972671308"</f>
        <v>5602972671308</v>
      </c>
      <c r="O3540" s="8">
        <v>10</v>
      </c>
      <c r="R3540" s="8">
        <v>0</v>
      </c>
      <c r="U3540" s="8">
        <v>0</v>
      </c>
      <c r="X3540" s="8">
        <v>0</v>
      </c>
      <c r="Z3540" s="8">
        <v>0</v>
      </c>
      <c r="AC3540" s="8">
        <v>0</v>
      </c>
      <c r="AF3540" s="8">
        <v>0</v>
      </c>
      <c r="AN3540" s="8">
        <v>0</v>
      </c>
      <c r="AO3540" s="8">
        <v>10</v>
      </c>
    </row>
    <row r="3541" spans="1:41" x14ac:dyDescent="0.25">
      <c r="A3541" s="6" t="str">
        <f t="shared" si="859"/>
        <v>525-2025000425</v>
      </c>
      <c r="B3541" s="6" t="str">
        <f t="shared" si="860"/>
        <v>Lasa Int</v>
      </c>
      <c r="C3541" s="7">
        <v>45883</v>
      </c>
      <c r="D3541" s="7">
        <v>46081</v>
      </c>
      <c r="E3541" s="8">
        <v>20</v>
      </c>
      <c r="F3541" s="6" t="str">
        <f t="shared" si="861"/>
        <v>Royal II import</v>
      </c>
      <c r="G3541" s="6" t="str">
        <f>"C010202000100009"</f>
        <v>C010202000100009</v>
      </c>
      <c r="H3541" s="6" t="str">
        <f t="shared" si="867"/>
        <v>Cama - ROYAL II - Jo</v>
      </c>
      <c r="I3541" s="6" t="str">
        <f t="shared" si="868"/>
        <v>501010</v>
      </c>
      <c r="J3541" s="6" t="str">
        <f t="shared" si="869"/>
        <v>Indigo</v>
      </c>
      <c r="K3541" s="6" t="str">
        <f>"7142"</f>
        <v>7142</v>
      </c>
      <c r="L3541" s="6" t="str">
        <f t="shared" si="864"/>
        <v>Cama</v>
      </c>
      <c r="M3541" s="6" t="str">
        <f>"Cama 108"</f>
        <v>Cama 108</v>
      </c>
      <c r="N3541" s="6" t="str">
        <f>"5602972671315"</f>
        <v>5602972671315</v>
      </c>
      <c r="O3541" s="8">
        <v>10</v>
      </c>
      <c r="R3541" s="8">
        <v>0</v>
      </c>
      <c r="U3541" s="8">
        <v>0</v>
      </c>
      <c r="X3541" s="8">
        <v>0</v>
      </c>
      <c r="Z3541" s="8">
        <v>0</v>
      </c>
      <c r="AC3541" s="8">
        <v>0</v>
      </c>
      <c r="AF3541" s="8">
        <v>0</v>
      </c>
      <c r="AN3541" s="8">
        <v>0</v>
      </c>
      <c r="AO3541" s="8">
        <v>10</v>
      </c>
    </row>
    <row r="3542" spans="1:41" x14ac:dyDescent="0.25">
      <c r="A3542" s="6" t="str">
        <f t="shared" si="859"/>
        <v>525-2025000425</v>
      </c>
      <c r="B3542" s="6" t="str">
        <f t="shared" si="860"/>
        <v>Lasa Int</v>
      </c>
      <c r="C3542" s="7">
        <v>45883</v>
      </c>
      <c r="D3542" s="7">
        <v>46081</v>
      </c>
      <c r="E3542" s="8">
        <v>21</v>
      </c>
      <c r="F3542" s="6" t="str">
        <f t="shared" si="861"/>
        <v>Royal II import</v>
      </c>
      <c r="G3542" s="6" t="str">
        <f>"C010202000100009"</f>
        <v>C010202000100009</v>
      </c>
      <c r="H3542" s="6" t="str">
        <f t="shared" si="867"/>
        <v>Cama - ROYAL II - Jo</v>
      </c>
      <c r="I3542" s="6" t="str">
        <f t="shared" si="868"/>
        <v>501010</v>
      </c>
      <c r="J3542" s="6" t="str">
        <f t="shared" si="869"/>
        <v>Indigo</v>
      </c>
      <c r="K3542" s="6" t="str">
        <f>"7143"</f>
        <v>7143</v>
      </c>
      <c r="L3542" s="6" t="str">
        <f t="shared" si="864"/>
        <v>Cama</v>
      </c>
      <c r="M3542" s="6" t="str">
        <f>"Cama 135"</f>
        <v>Cama 135</v>
      </c>
      <c r="N3542" s="6" t="str">
        <f>"5602972671322"</f>
        <v>5602972671322</v>
      </c>
      <c r="O3542" s="8">
        <v>10</v>
      </c>
      <c r="R3542" s="8">
        <v>0</v>
      </c>
      <c r="U3542" s="8">
        <v>0</v>
      </c>
      <c r="X3542" s="8">
        <v>0</v>
      </c>
      <c r="Z3542" s="8">
        <v>0</v>
      </c>
      <c r="AC3542" s="8">
        <v>0</v>
      </c>
      <c r="AF3542" s="8">
        <v>0</v>
      </c>
      <c r="AN3542" s="8">
        <v>0</v>
      </c>
      <c r="AO3542" s="8">
        <v>10</v>
      </c>
    </row>
    <row r="3543" spans="1:41" x14ac:dyDescent="0.25">
      <c r="A3543" s="6" t="str">
        <f t="shared" si="859"/>
        <v>525-2025000425</v>
      </c>
      <c r="B3543" s="6" t="str">
        <f t="shared" si="860"/>
        <v>Lasa Int</v>
      </c>
      <c r="C3543" s="7">
        <v>45883</v>
      </c>
      <c r="D3543" s="7">
        <v>46081</v>
      </c>
      <c r="E3543" s="8">
        <v>22</v>
      </c>
      <c r="F3543" s="6" t="str">
        <f t="shared" si="861"/>
        <v>Royal II import</v>
      </c>
      <c r="G3543" s="6" t="str">
        <f>"C010202000100009"</f>
        <v>C010202000100009</v>
      </c>
      <c r="H3543" s="6" t="str">
        <f t="shared" si="867"/>
        <v>Cama - ROYAL II - Jo</v>
      </c>
      <c r="I3543" s="6" t="str">
        <f t="shared" si="868"/>
        <v>501010</v>
      </c>
      <c r="J3543" s="6" t="str">
        <f t="shared" si="869"/>
        <v>Indigo</v>
      </c>
      <c r="K3543" s="6" t="str">
        <f>"7144"</f>
        <v>7144</v>
      </c>
      <c r="L3543" s="6" t="str">
        <f t="shared" si="864"/>
        <v>Cama</v>
      </c>
      <c r="M3543" s="6" t="str">
        <f>"Cama 150/1"</f>
        <v>Cama 150/1</v>
      </c>
      <c r="N3543" s="6" t="str">
        <f>"5602972671339"</f>
        <v>5602972671339</v>
      </c>
      <c r="O3543" s="8">
        <v>10</v>
      </c>
      <c r="R3543" s="8">
        <v>0</v>
      </c>
      <c r="U3543" s="8">
        <v>0</v>
      </c>
      <c r="X3543" s="8">
        <v>0</v>
      </c>
      <c r="Z3543" s="8">
        <v>0</v>
      </c>
      <c r="AC3543" s="8">
        <v>0</v>
      </c>
      <c r="AF3543" s="8">
        <v>0</v>
      </c>
      <c r="AN3543" s="8">
        <v>0</v>
      </c>
      <c r="AO3543" s="8">
        <v>10</v>
      </c>
    </row>
    <row r="3544" spans="1:41" x14ac:dyDescent="0.25">
      <c r="A3544" s="6" t="str">
        <f t="shared" si="859"/>
        <v>525-2025000425</v>
      </c>
      <c r="B3544" s="6" t="str">
        <f t="shared" si="860"/>
        <v>Lasa Int</v>
      </c>
      <c r="C3544" s="7">
        <v>45883</v>
      </c>
      <c r="D3544" s="7">
        <v>46081</v>
      </c>
      <c r="E3544" s="8">
        <v>23</v>
      </c>
      <c r="F3544" s="6" t="str">
        <f t="shared" si="861"/>
        <v>Royal II import</v>
      </c>
      <c r="G3544" s="6" t="str">
        <f>"C010202000100009"</f>
        <v>C010202000100009</v>
      </c>
      <c r="H3544" s="6" t="str">
        <f t="shared" si="867"/>
        <v>Cama - ROYAL II - Jo</v>
      </c>
      <c r="I3544" s="6" t="str">
        <f t="shared" si="868"/>
        <v>501010</v>
      </c>
      <c r="J3544" s="6" t="str">
        <f t="shared" si="869"/>
        <v>Indigo</v>
      </c>
      <c r="K3544" s="6" t="str">
        <f>"7145"</f>
        <v>7145</v>
      </c>
      <c r="L3544" s="6" t="str">
        <f t="shared" si="864"/>
        <v>Cama</v>
      </c>
      <c r="M3544" s="6" t="str">
        <f>"Cama 180"</f>
        <v>Cama 180</v>
      </c>
      <c r="N3544" s="6" t="str">
        <f>"5602972671346"</f>
        <v>5602972671346</v>
      </c>
      <c r="O3544" s="8">
        <v>10</v>
      </c>
      <c r="R3544" s="8">
        <v>0</v>
      </c>
      <c r="U3544" s="8">
        <v>0</v>
      </c>
      <c r="X3544" s="8">
        <v>0</v>
      </c>
      <c r="Z3544" s="8">
        <v>0</v>
      </c>
      <c r="AC3544" s="8">
        <v>0</v>
      </c>
      <c r="AF3544" s="8">
        <v>0</v>
      </c>
      <c r="AN3544" s="8">
        <v>0</v>
      </c>
      <c r="AO3544" s="8">
        <v>10</v>
      </c>
    </row>
    <row r="3545" spans="1:41" x14ac:dyDescent="0.25">
      <c r="A3545" s="6" t="str">
        <f t="shared" si="859"/>
        <v>525-2025000425</v>
      </c>
      <c r="B3545" s="6" t="str">
        <f t="shared" si="860"/>
        <v>Lasa Int</v>
      </c>
      <c r="C3545" s="7">
        <v>45883</v>
      </c>
      <c r="D3545" s="7">
        <v>46081</v>
      </c>
      <c r="E3545" s="8">
        <v>24</v>
      </c>
      <c r="F3545" s="6" t="str">
        <f t="shared" si="861"/>
        <v>Royal II import</v>
      </c>
      <c r="G3545" s="6" t="str">
        <f>"C010202000200009"</f>
        <v>C010202000200009</v>
      </c>
      <c r="H3545" s="6" t="str">
        <f t="shared" si="867"/>
        <v>Cama - ROYAL II - Jo</v>
      </c>
      <c r="I3545" s="6" t="str">
        <f t="shared" si="868"/>
        <v>501010</v>
      </c>
      <c r="J3545" s="6" t="str">
        <f t="shared" si="869"/>
        <v>Indigo</v>
      </c>
      <c r="K3545" s="6" t="str">
        <f>"7143"</f>
        <v>7143</v>
      </c>
      <c r="L3545" s="6" t="str">
        <f t="shared" si="864"/>
        <v>Cama</v>
      </c>
      <c r="M3545" s="6" t="str">
        <f>"Cama 135"</f>
        <v>Cama 135</v>
      </c>
      <c r="N3545" s="6" t="str">
        <f>"5602972671377"</f>
        <v>5602972671377</v>
      </c>
      <c r="O3545" s="8">
        <v>10</v>
      </c>
      <c r="R3545" s="8">
        <v>0</v>
      </c>
      <c r="U3545" s="8">
        <v>0</v>
      </c>
      <c r="X3545" s="8">
        <v>0</v>
      </c>
      <c r="Z3545" s="8">
        <v>0</v>
      </c>
      <c r="AC3545" s="8">
        <v>0</v>
      </c>
      <c r="AF3545" s="8">
        <v>0</v>
      </c>
      <c r="AN3545" s="8">
        <v>0</v>
      </c>
      <c r="AO3545" s="8">
        <v>10</v>
      </c>
    </row>
    <row r="3546" spans="1:41" x14ac:dyDescent="0.25">
      <c r="A3546" s="6" t="str">
        <f t="shared" si="859"/>
        <v>525-2025000425</v>
      </c>
      <c r="B3546" s="6" t="str">
        <f t="shared" si="860"/>
        <v>Lasa Int</v>
      </c>
      <c r="C3546" s="7">
        <v>45883</v>
      </c>
      <c r="D3546" s="7">
        <v>46081</v>
      </c>
      <c r="E3546" s="8">
        <v>25</v>
      </c>
      <c r="F3546" s="6" t="str">
        <f t="shared" si="861"/>
        <v>Royal II import</v>
      </c>
      <c r="G3546" s="6" t="str">
        <f>"C010202000500009"</f>
        <v>C010202000500009</v>
      </c>
      <c r="H3546" s="6" t="str">
        <f>"Cama - ROYAL II - Le"</f>
        <v>Cama - ROYAL II - Le</v>
      </c>
      <c r="I3546" s="6" t="str">
        <f t="shared" si="868"/>
        <v>501010</v>
      </c>
      <c r="J3546" s="6" t="str">
        <f t="shared" si="869"/>
        <v>Indigo</v>
      </c>
      <c r="K3546" s="6" t="str">
        <f>"6920"</f>
        <v>6920</v>
      </c>
      <c r="L3546" s="6" t="str">
        <f t="shared" si="864"/>
        <v>Cama</v>
      </c>
      <c r="M3546" s="6" t="str">
        <f>"90x200+33"</f>
        <v>90x200+33</v>
      </c>
      <c r="N3546" s="6" t="str">
        <f>"5602972671506"</f>
        <v>5602972671506</v>
      </c>
      <c r="O3546" s="8">
        <v>10</v>
      </c>
      <c r="R3546" s="8">
        <v>0</v>
      </c>
      <c r="U3546" s="8">
        <v>0</v>
      </c>
      <c r="X3546" s="8">
        <v>0</v>
      </c>
      <c r="Z3546" s="8">
        <v>0</v>
      </c>
      <c r="AC3546" s="8">
        <v>0</v>
      </c>
      <c r="AF3546" s="8">
        <v>0</v>
      </c>
      <c r="AN3546" s="8">
        <v>0</v>
      </c>
      <c r="AO3546" s="8">
        <v>10</v>
      </c>
    </row>
    <row r="3547" spans="1:41" x14ac:dyDescent="0.25">
      <c r="A3547" s="6" t="str">
        <f t="shared" si="859"/>
        <v>525-2025000425</v>
      </c>
      <c r="B3547" s="6" t="str">
        <f t="shared" si="860"/>
        <v>Lasa Int</v>
      </c>
      <c r="C3547" s="7">
        <v>45883</v>
      </c>
      <c r="D3547" s="7">
        <v>46081</v>
      </c>
      <c r="E3547" s="8">
        <v>26</v>
      </c>
      <c r="F3547" s="6" t="str">
        <f t="shared" si="861"/>
        <v>Royal II import</v>
      </c>
      <c r="G3547" s="6" t="str">
        <f>"C010202000500009"</f>
        <v>C010202000500009</v>
      </c>
      <c r="H3547" s="6" t="str">
        <f>"Cama - ROYAL II - Le"</f>
        <v>Cama - ROYAL II - Le</v>
      </c>
      <c r="I3547" s="6" t="str">
        <f t="shared" si="868"/>
        <v>501010</v>
      </c>
      <c r="J3547" s="6" t="str">
        <f t="shared" si="869"/>
        <v>Indigo</v>
      </c>
      <c r="K3547" s="6" t="str">
        <f>"6921"</f>
        <v>6921</v>
      </c>
      <c r="L3547" s="6" t="str">
        <f t="shared" si="864"/>
        <v>Cama</v>
      </c>
      <c r="M3547" s="6" t="str">
        <f>"108x200+33"</f>
        <v>108x200+33</v>
      </c>
      <c r="N3547" s="6" t="str">
        <f>"5602972671513"</f>
        <v>5602972671513</v>
      </c>
      <c r="O3547" s="8">
        <v>10</v>
      </c>
      <c r="R3547" s="8">
        <v>0</v>
      </c>
      <c r="U3547" s="8">
        <v>0</v>
      </c>
      <c r="X3547" s="8">
        <v>0</v>
      </c>
      <c r="Z3547" s="8">
        <v>0</v>
      </c>
      <c r="AC3547" s="8">
        <v>0</v>
      </c>
      <c r="AF3547" s="8">
        <v>0</v>
      </c>
      <c r="AN3547" s="8">
        <v>0</v>
      </c>
      <c r="AO3547" s="8">
        <v>10</v>
      </c>
    </row>
    <row r="3548" spans="1:41" x14ac:dyDescent="0.25">
      <c r="A3548" s="6" t="str">
        <f t="shared" si="859"/>
        <v>525-2025000425</v>
      </c>
      <c r="B3548" s="6" t="str">
        <f t="shared" si="860"/>
        <v>Lasa Int</v>
      </c>
      <c r="C3548" s="7">
        <v>45883</v>
      </c>
      <c r="D3548" s="7">
        <v>46081</v>
      </c>
      <c r="E3548" s="8">
        <v>27</v>
      </c>
      <c r="F3548" s="6" t="str">
        <f t="shared" si="861"/>
        <v>Royal II import</v>
      </c>
      <c r="G3548" s="6" t="str">
        <f>"C010202000500009"</f>
        <v>C010202000500009</v>
      </c>
      <c r="H3548" s="6" t="str">
        <f>"Cama - ROYAL II - Le"</f>
        <v>Cama - ROYAL II - Le</v>
      </c>
      <c r="I3548" s="6" t="str">
        <f t="shared" si="868"/>
        <v>501010</v>
      </c>
      <c r="J3548" s="6" t="str">
        <f t="shared" si="869"/>
        <v>Indigo</v>
      </c>
      <c r="K3548" s="6" t="str">
        <f>"6922"</f>
        <v>6922</v>
      </c>
      <c r="L3548" s="6" t="str">
        <f t="shared" si="864"/>
        <v>Cama</v>
      </c>
      <c r="M3548" s="6" t="str">
        <f>"135x200+33"</f>
        <v>135x200+33</v>
      </c>
      <c r="N3548" s="6" t="str">
        <f>"5602972671520"</f>
        <v>5602972671520</v>
      </c>
      <c r="O3548" s="8">
        <v>10</v>
      </c>
      <c r="R3548" s="8">
        <v>0</v>
      </c>
      <c r="U3548" s="8">
        <v>0</v>
      </c>
      <c r="X3548" s="8">
        <v>0</v>
      </c>
      <c r="Z3548" s="8">
        <v>0</v>
      </c>
      <c r="AC3548" s="8">
        <v>0</v>
      </c>
      <c r="AF3548" s="8">
        <v>0</v>
      </c>
      <c r="AN3548" s="8">
        <v>0</v>
      </c>
      <c r="AO3548" s="8">
        <v>10</v>
      </c>
    </row>
    <row r="3549" spans="1:41" x14ac:dyDescent="0.25">
      <c r="A3549" s="6" t="str">
        <f t="shared" si="859"/>
        <v>525-2025000425</v>
      </c>
      <c r="B3549" s="6" t="str">
        <f t="shared" si="860"/>
        <v>Lasa Int</v>
      </c>
      <c r="C3549" s="7">
        <v>45883</v>
      </c>
      <c r="D3549" s="7">
        <v>46081</v>
      </c>
      <c r="E3549" s="8">
        <v>28</v>
      </c>
      <c r="F3549" s="6" t="str">
        <f t="shared" si="861"/>
        <v>Royal II import</v>
      </c>
      <c r="G3549" s="6" t="str">
        <f>"C010202000500009"</f>
        <v>C010202000500009</v>
      </c>
      <c r="H3549" s="6" t="str">
        <f>"Cama - ROYAL II - Le"</f>
        <v>Cama - ROYAL II - Le</v>
      </c>
      <c r="I3549" s="6" t="str">
        <f t="shared" si="868"/>
        <v>501010</v>
      </c>
      <c r="J3549" s="6" t="str">
        <f t="shared" si="869"/>
        <v>Indigo</v>
      </c>
      <c r="K3549" s="6" t="str">
        <f>"6923"</f>
        <v>6923</v>
      </c>
      <c r="L3549" s="6" t="str">
        <f t="shared" si="864"/>
        <v>Cama</v>
      </c>
      <c r="M3549" s="6" t="str">
        <f>"158x200+33"</f>
        <v>158x200+33</v>
      </c>
      <c r="N3549" s="6" t="str">
        <f>"5602972671537"</f>
        <v>5602972671537</v>
      </c>
      <c r="O3549" s="8">
        <v>20</v>
      </c>
      <c r="R3549" s="8">
        <v>0</v>
      </c>
      <c r="U3549" s="8">
        <v>0</v>
      </c>
      <c r="X3549" s="8">
        <v>0</v>
      </c>
      <c r="Z3549" s="8">
        <v>0</v>
      </c>
      <c r="AC3549" s="8">
        <v>0</v>
      </c>
      <c r="AF3549" s="8">
        <v>0</v>
      </c>
      <c r="AN3549" s="8">
        <v>0</v>
      </c>
      <c r="AO3549" s="8">
        <v>20</v>
      </c>
    </row>
    <row r="3550" spans="1:41" x14ac:dyDescent="0.25">
      <c r="A3550" s="6" t="str">
        <f t="shared" si="859"/>
        <v>525-2025000425</v>
      </c>
      <c r="B3550" s="6" t="str">
        <f t="shared" si="860"/>
        <v>Lasa Int</v>
      </c>
      <c r="C3550" s="7">
        <v>45883</v>
      </c>
      <c r="D3550" s="7">
        <v>46081</v>
      </c>
      <c r="E3550" s="8">
        <v>29</v>
      </c>
      <c r="F3550" s="6" t="str">
        <f t="shared" si="861"/>
        <v>Royal II import</v>
      </c>
      <c r="G3550" s="6" t="str">
        <f>"C010202000200009"</f>
        <v>C010202000200009</v>
      </c>
      <c r="H3550" s="6" t="str">
        <f>"Cama - ROYAL II - Jo"</f>
        <v>Cama - ROYAL II - Jo</v>
      </c>
      <c r="I3550" s="6" t="str">
        <f t="shared" ref="I3550:I3561" si="870">"501628"</f>
        <v>501628</v>
      </c>
      <c r="J3550" s="6" t="str">
        <f t="shared" ref="J3550:J3561" si="871">"Maquillage"</f>
        <v>Maquillage</v>
      </c>
      <c r="K3550" s="6" t="str">
        <f>"7142"</f>
        <v>7142</v>
      </c>
      <c r="L3550" s="6" t="str">
        <f t="shared" si="864"/>
        <v>Cama</v>
      </c>
      <c r="M3550" s="6" t="str">
        <f>"Cama 108"</f>
        <v>Cama 108</v>
      </c>
      <c r="N3550" s="6" t="str">
        <f>"5602972670370"</f>
        <v>5602972670370</v>
      </c>
      <c r="O3550" s="8">
        <v>10</v>
      </c>
      <c r="R3550" s="8">
        <v>0</v>
      </c>
      <c r="U3550" s="8">
        <v>0</v>
      </c>
      <c r="X3550" s="8">
        <v>0</v>
      </c>
      <c r="Z3550" s="8">
        <v>0</v>
      </c>
      <c r="AC3550" s="8">
        <v>0</v>
      </c>
      <c r="AF3550" s="8">
        <v>0</v>
      </c>
      <c r="AN3550" s="8">
        <v>0</v>
      </c>
      <c r="AO3550" s="8">
        <v>10</v>
      </c>
    </row>
    <row r="3551" spans="1:41" x14ac:dyDescent="0.25">
      <c r="A3551" s="6" t="str">
        <f t="shared" si="859"/>
        <v>525-2025000425</v>
      </c>
      <c r="B3551" s="6" t="str">
        <f t="shared" si="860"/>
        <v>Lasa Int</v>
      </c>
      <c r="C3551" s="7">
        <v>45883</v>
      </c>
      <c r="D3551" s="7">
        <v>46081</v>
      </c>
      <c r="E3551" s="8">
        <v>30</v>
      </c>
      <c r="F3551" s="6" t="str">
        <f t="shared" si="861"/>
        <v>Royal II import</v>
      </c>
      <c r="G3551" s="6" t="str">
        <f>"C010202000200009"</f>
        <v>C010202000200009</v>
      </c>
      <c r="H3551" s="6" t="str">
        <f>"Cama - ROYAL II - Jo"</f>
        <v>Cama - ROYAL II - Jo</v>
      </c>
      <c r="I3551" s="6" t="str">
        <f t="shared" si="870"/>
        <v>501628</v>
      </c>
      <c r="J3551" s="6" t="str">
        <f t="shared" si="871"/>
        <v>Maquillage</v>
      </c>
      <c r="K3551" s="6" t="str">
        <f>"7143"</f>
        <v>7143</v>
      </c>
      <c r="L3551" s="6" t="str">
        <f t="shared" si="864"/>
        <v>Cama</v>
      </c>
      <c r="M3551" s="6" t="str">
        <f>"Cama 135"</f>
        <v>Cama 135</v>
      </c>
      <c r="N3551" s="6" t="str">
        <f>"5602972670387"</f>
        <v>5602972670387</v>
      </c>
      <c r="O3551" s="8">
        <v>10</v>
      </c>
      <c r="R3551" s="8">
        <v>0</v>
      </c>
      <c r="U3551" s="8">
        <v>0</v>
      </c>
      <c r="X3551" s="8">
        <v>0</v>
      </c>
      <c r="Z3551" s="8">
        <v>0</v>
      </c>
      <c r="AC3551" s="8">
        <v>0</v>
      </c>
      <c r="AF3551" s="8">
        <v>0</v>
      </c>
      <c r="AN3551" s="8">
        <v>0</v>
      </c>
      <c r="AO3551" s="8">
        <v>10</v>
      </c>
    </row>
    <row r="3552" spans="1:41" x14ac:dyDescent="0.25">
      <c r="A3552" s="6" t="str">
        <f t="shared" si="859"/>
        <v>525-2025000425</v>
      </c>
      <c r="B3552" s="6" t="str">
        <f t="shared" si="860"/>
        <v>Lasa Int</v>
      </c>
      <c r="C3552" s="7">
        <v>45883</v>
      </c>
      <c r="D3552" s="7">
        <v>46081</v>
      </c>
      <c r="E3552" s="8">
        <v>31</v>
      </c>
      <c r="F3552" s="6" t="str">
        <f t="shared" si="861"/>
        <v>Royal II import</v>
      </c>
      <c r="G3552" s="6" t="str">
        <f>"C010202000200009"</f>
        <v>C010202000200009</v>
      </c>
      <c r="H3552" s="6" t="str">
        <f>"Cama - ROYAL II - Jo"</f>
        <v>Cama - ROYAL II - Jo</v>
      </c>
      <c r="I3552" s="6" t="str">
        <f t="shared" si="870"/>
        <v>501628</v>
      </c>
      <c r="J3552" s="6" t="str">
        <f t="shared" si="871"/>
        <v>Maquillage</v>
      </c>
      <c r="K3552" s="6" t="str">
        <f>"7144"</f>
        <v>7144</v>
      </c>
      <c r="L3552" s="6" t="str">
        <f t="shared" si="864"/>
        <v>Cama</v>
      </c>
      <c r="M3552" s="6" t="str">
        <f>"Cama 150/1"</f>
        <v>Cama 150/1</v>
      </c>
      <c r="N3552" s="6" t="str">
        <f>"5602972670394"</f>
        <v>5602972670394</v>
      </c>
      <c r="O3552" s="8">
        <v>10</v>
      </c>
      <c r="R3552" s="8">
        <v>0</v>
      </c>
      <c r="U3552" s="8">
        <v>0</v>
      </c>
      <c r="X3552" s="8">
        <v>0</v>
      </c>
      <c r="Z3552" s="8">
        <v>0</v>
      </c>
      <c r="AC3552" s="8">
        <v>0</v>
      </c>
      <c r="AF3552" s="8">
        <v>0</v>
      </c>
      <c r="AN3552" s="8">
        <v>0</v>
      </c>
      <c r="AO3552" s="8">
        <v>10</v>
      </c>
    </row>
    <row r="3553" spans="1:41" x14ac:dyDescent="0.25">
      <c r="A3553" s="6" t="str">
        <f t="shared" si="859"/>
        <v>525-2025000425</v>
      </c>
      <c r="B3553" s="6" t="str">
        <f t="shared" si="860"/>
        <v>Lasa Int</v>
      </c>
      <c r="C3553" s="7">
        <v>45883</v>
      </c>
      <c r="D3553" s="7">
        <v>46081</v>
      </c>
      <c r="E3553" s="8">
        <v>32</v>
      </c>
      <c r="F3553" s="6" t="str">
        <f t="shared" si="861"/>
        <v>Royal II import</v>
      </c>
      <c r="G3553" s="6" t="str">
        <f>"C010202000300009"</f>
        <v>C010202000300009</v>
      </c>
      <c r="H3553" s="6" t="str">
        <f>"Cama - ROYAL II - Le"</f>
        <v>Cama - ROYAL II - Le</v>
      </c>
      <c r="I3553" s="6" t="str">
        <f t="shared" si="870"/>
        <v>501628</v>
      </c>
      <c r="J3553" s="6" t="str">
        <f t="shared" si="871"/>
        <v>Maquillage</v>
      </c>
      <c r="K3553" s="6" t="str">
        <f>"7104"</f>
        <v>7104</v>
      </c>
      <c r="L3553" s="6" t="str">
        <f t="shared" si="864"/>
        <v>Cama</v>
      </c>
      <c r="M3553" s="6" t="str">
        <f>"250x285"</f>
        <v>250x285</v>
      </c>
      <c r="N3553" s="6" t="str">
        <f>"5602972670448"</f>
        <v>5602972670448</v>
      </c>
      <c r="O3553" s="8">
        <v>10</v>
      </c>
      <c r="R3553" s="8">
        <v>0</v>
      </c>
      <c r="U3553" s="8">
        <v>0</v>
      </c>
      <c r="X3553" s="8">
        <v>0</v>
      </c>
      <c r="Z3553" s="8">
        <v>0</v>
      </c>
      <c r="AC3553" s="8">
        <v>0</v>
      </c>
      <c r="AF3553" s="8">
        <v>0</v>
      </c>
      <c r="AN3553" s="8">
        <v>0</v>
      </c>
      <c r="AO3553" s="8">
        <v>10</v>
      </c>
    </row>
    <row r="3554" spans="1:41" x14ac:dyDescent="0.25">
      <c r="A3554" s="6" t="str">
        <f t="shared" ref="A3554:A3585" si="872">"525-2025000425"</f>
        <v>525-2025000425</v>
      </c>
      <c r="B3554" s="6" t="str">
        <f t="shared" si="860"/>
        <v>Lasa Int</v>
      </c>
      <c r="C3554" s="7">
        <v>45883</v>
      </c>
      <c r="D3554" s="7">
        <v>46081</v>
      </c>
      <c r="E3554" s="8">
        <v>33</v>
      </c>
      <c r="F3554" s="6" t="str">
        <f t="shared" ref="F3554:F3585" si="873">"Royal II import"</f>
        <v>Royal II import</v>
      </c>
      <c r="G3554" s="6" t="str">
        <f>"C010202000500009"</f>
        <v>C010202000500009</v>
      </c>
      <c r="H3554" s="6" t="str">
        <f>"Cama - ROYAL II - Le"</f>
        <v>Cama - ROYAL II - Le</v>
      </c>
      <c r="I3554" s="6" t="str">
        <f t="shared" si="870"/>
        <v>501628</v>
      </c>
      <c r="J3554" s="6" t="str">
        <f t="shared" si="871"/>
        <v>Maquillage</v>
      </c>
      <c r="K3554" s="6" t="str">
        <f>"6920"</f>
        <v>6920</v>
      </c>
      <c r="L3554" s="6" t="str">
        <f t="shared" ref="L3554:L3585" si="874">"Cama"</f>
        <v>Cama</v>
      </c>
      <c r="M3554" s="6" t="str">
        <f>"90x200+33"</f>
        <v>90x200+33</v>
      </c>
      <c r="N3554" s="6" t="str">
        <f>"5602972670516"</f>
        <v>5602972670516</v>
      </c>
      <c r="O3554" s="8">
        <v>30</v>
      </c>
      <c r="R3554" s="8">
        <v>0</v>
      </c>
      <c r="U3554" s="8">
        <v>0</v>
      </c>
      <c r="X3554" s="8">
        <v>0</v>
      </c>
      <c r="Z3554" s="8">
        <v>0</v>
      </c>
      <c r="AC3554" s="8">
        <v>0</v>
      </c>
      <c r="AF3554" s="8">
        <v>0</v>
      </c>
      <c r="AN3554" s="8">
        <v>0</v>
      </c>
      <c r="AO3554" s="8">
        <v>30</v>
      </c>
    </row>
    <row r="3555" spans="1:41" x14ac:dyDescent="0.25">
      <c r="A3555" s="6" t="str">
        <f t="shared" si="872"/>
        <v>525-2025000425</v>
      </c>
      <c r="B3555" s="6" t="str">
        <f t="shared" si="860"/>
        <v>Lasa Int</v>
      </c>
      <c r="C3555" s="7">
        <v>45883</v>
      </c>
      <c r="D3555" s="7">
        <v>46081</v>
      </c>
      <c r="E3555" s="8">
        <v>34</v>
      </c>
      <c r="F3555" s="6" t="str">
        <f t="shared" si="873"/>
        <v>Royal II import</v>
      </c>
      <c r="G3555" s="6" t="str">
        <f>"C010202000500009"</f>
        <v>C010202000500009</v>
      </c>
      <c r="H3555" s="6" t="str">
        <f>"Cama - ROYAL II - Le"</f>
        <v>Cama - ROYAL II - Le</v>
      </c>
      <c r="I3555" s="6" t="str">
        <f t="shared" si="870"/>
        <v>501628</v>
      </c>
      <c r="J3555" s="6" t="str">
        <f t="shared" si="871"/>
        <v>Maquillage</v>
      </c>
      <c r="K3555" s="6" t="str">
        <f>"6922"</f>
        <v>6922</v>
      </c>
      <c r="L3555" s="6" t="str">
        <f t="shared" si="874"/>
        <v>Cama</v>
      </c>
      <c r="M3555" s="6" t="str">
        <f>"135x200+33"</f>
        <v>135x200+33</v>
      </c>
      <c r="N3555" s="6" t="str">
        <f>"5602972670530"</f>
        <v>5602972670530</v>
      </c>
      <c r="O3555" s="8">
        <v>20</v>
      </c>
      <c r="R3555" s="8">
        <v>0</v>
      </c>
      <c r="U3555" s="8">
        <v>0</v>
      </c>
      <c r="X3555" s="8">
        <v>0</v>
      </c>
      <c r="Z3555" s="8">
        <v>0</v>
      </c>
      <c r="AC3555" s="8">
        <v>0</v>
      </c>
      <c r="AF3555" s="8">
        <v>0</v>
      </c>
      <c r="AN3555" s="8">
        <v>0</v>
      </c>
      <c r="AO3555" s="8">
        <v>20</v>
      </c>
    </row>
    <row r="3556" spans="1:41" x14ac:dyDescent="0.25">
      <c r="A3556" s="6" t="str">
        <f t="shared" si="872"/>
        <v>525-2025000425</v>
      </c>
      <c r="B3556" s="6" t="str">
        <f t="shared" si="860"/>
        <v>Lasa Int</v>
      </c>
      <c r="C3556" s="7">
        <v>45883</v>
      </c>
      <c r="D3556" s="7">
        <v>46081</v>
      </c>
      <c r="E3556" s="8">
        <v>35</v>
      </c>
      <c r="F3556" s="6" t="str">
        <f t="shared" si="873"/>
        <v>Royal II import</v>
      </c>
      <c r="G3556" s="6" t="str">
        <f>"C010202000500009"</f>
        <v>C010202000500009</v>
      </c>
      <c r="H3556" s="6" t="str">
        <f>"Cama - ROYAL II - Le"</f>
        <v>Cama - ROYAL II - Le</v>
      </c>
      <c r="I3556" s="6" t="str">
        <f t="shared" si="870"/>
        <v>501628</v>
      </c>
      <c r="J3556" s="6" t="str">
        <f t="shared" si="871"/>
        <v>Maquillage</v>
      </c>
      <c r="K3556" s="6" t="str">
        <f>"6923"</f>
        <v>6923</v>
      </c>
      <c r="L3556" s="6" t="str">
        <f t="shared" si="874"/>
        <v>Cama</v>
      </c>
      <c r="M3556" s="6" t="str">
        <f>"158x200+33"</f>
        <v>158x200+33</v>
      </c>
      <c r="N3556" s="6" t="str">
        <f>"5602972670547"</f>
        <v>5602972670547</v>
      </c>
      <c r="O3556" s="8">
        <v>10</v>
      </c>
      <c r="R3556" s="8">
        <v>0</v>
      </c>
      <c r="U3556" s="8">
        <v>0</v>
      </c>
      <c r="X3556" s="8">
        <v>0</v>
      </c>
      <c r="Z3556" s="8">
        <v>0</v>
      </c>
      <c r="AC3556" s="8">
        <v>0</v>
      </c>
      <c r="AF3556" s="8">
        <v>0</v>
      </c>
      <c r="AN3556" s="8">
        <v>0</v>
      </c>
      <c r="AO3556" s="8">
        <v>10</v>
      </c>
    </row>
    <row r="3557" spans="1:41" x14ac:dyDescent="0.25">
      <c r="A3557" s="6" t="str">
        <f t="shared" si="872"/>
        <v>525-2025000425</v>
      </c>
      <c r="B3557" s="6" t="str">
        <f t="shared" si="860"/>
        <v>Lasa Int</v>
      </c>
      <c r="C3557" s="7">
        <v>45883</v>
      </c>
      <c r="D3557" s="7">
        <v>46081</v>
      </c>
      <c r="E3557" s="8">
        <v>36</v>
      </c>
      <c r="F3557" s="6" t="str">
        <f t="shared" si="873"/>
        <v>Royal II import</v>
      </c>
      <c r="G3557" s="6" t="str">
        <f>"C010202000500009"</f>
        <v>C010202000500009</v>
      </c>
      <c r="H3557" s="6" t="str">
        <f>"Cama - ROYAL II - Le"</f>
        <v>Cama - ROYAL II - Le</v>
      </c>
      <c r="I3557" s="6" t="str">
        <f t="shared" si="870"/>
        <v>501628</v>
      </c>
      <c r="J3557" s="6" t="str">
        <f t="shared" si="871"/>
        <v>Maquillage</v>
      </c>
      <c r="K3557" s="6" t="str">
        <f>"6924"</f>
        <v>6924</v>
      </c>
      <c r="L3557" s="6" t="str">
        <f t="shared" si="874"/>
        <v>Cama</v>
      </c>
      <c r="M3557" s="6" t="str">
        <f>"180x200+33"</f>
        <v>180x200+33</v>
      </c>
      <c r="N3557" s="6" t="str">
        <f>"5602972670554"</f>
        <v>5602972670554</v>
      </c>
      <c r="O3557" s="8">
        <v>10</v>
      </c>
      <c r="R3557" s="8">
        <v>0</v>
      </c>
      <c r="U3557" s="8">
        <v>0</v>
      </c>
      <c r="X3557" s="8">
        <v>0</v>
      </c>
      <c r="Z3557" s="8">
        <v>0</v>
      </c>
      <c r="AC3557" s="8">
        <v>0</v>
      </c>
      <c r="AF3557" s="8">
        <v>0</v>
      </c>
      <c r="AN3557" s="8">
        <v>0</v>
      </c>
      <c r="AO3557" s="8">
        <v>10</v>
      </c>
    </row>
    <row r="3558" spans="1:41" x14ac:dyDescent="0.25">
      <c r="A3558" s="6" t="str">
        <f t="shared" si="872"/>
        <v>525-2025000425</v>
      </c>
      <c r="B3558" s="6" t="str">
        <f t="shared" si="860"/>
        <v>Lasa Int</v>
      </c>
      <c r="C3558" s="7">
        <v>45883</v>
      </c>
      <c r="D3558" s="7">
        <v>46081</v>
      </c>
      <c r="E3558" s="8">
        <v>37</v>
      </c>
      <c r="F3558" s="6" t="str">
        <f t="shared" si="873"/>
        <v>Royal II import</v>
      </c>
      <c r="G3558" s="6" t="str">
        <f>"C010202000600009"</f>
        <v>C010202000600009</v>
      </c>
      <c r="H3558" s="6" t="str">
        <f>"Cama - ROYAL II - Al"</f>
        <v>Cama - ROYAL II - Al</v>
      </c>
      <c r="I3558" s="6" t="str">
        <f t="shared" si="870"/>
        <v>501628</v>
      </c>
      <c r="J3558" s="6" t="str">
        <f t="shared" si="871"/>
        <v>Maquillage</v>
      </c>
      <c r="K3558" s="6" t="str">
        <f>"7130"</f>
        <v>7130</v>
      </c>
      <c r="L3558" s="6" t="str">
        <f t="shared" si="874"/>
        <v>Cama</v>
      </c>
      <c r="M3558" s="6" t="str">
        <f>"45x110"</f>
        <v>45x110</v>
      </c>
      <c r="N3558" s="6" t="str">
        <f>"5602972670578"</f>
        <v>5602972670578</v>
      </c>
      <c r="O3558" s="8">
        <v>20</v>
      </c>
      <c r="R3558" s="8">
        <v>0</v>
      </c>
      <c r="U3558" s="8">
        <v>0</v>
      </c>
      <c r="X3558" s="8">
        <v>0</v>
      </c>
      <c r="Z3558" s="8">
        <v>0</v>
      </c>
      <c r="AC3558" s="8">
        <v>0</v>
      </c>
      <c r="AF3558" s="8">
        <v>0</v>
      </c>
      <c r="AN3558" s="8">
        <v>0</v>
      </c>
      <c r="AO3558" s="8">
        <v>20</v>
      </c>
    </row>
    <row r="3559" spans="1:41" x14ac:dyDescent="0.25">
      <c r="A3559" s="6" t="str">
        <f t="shared" si="872"/>
        <v>525-2025000425</v>
      </c>
      <c r="B3559" s="6" t="str">
        <f t="shared" si="860"/>
        <v>Lasa Int</v>
      </c>
      <c r="C3559" s="7">
        <v>45883</v>
      </c>
      <c r="D3559" s="7">
        <v>46081</v>
      </c>
      <c r="E3559" s="8">
        <v>38</v>
      </c>
      <c r="F3559" s="6" t="str">
        <f t="shared" si="873"/>
        <v>Royal II import</v>
      </c>
      <c r="G3559" s="6" t="str">
        <f>"C010202000600009"</f>
        <v>C010202000600009</v>
      </c>
      <c r="H3559" s="6" t="str">
        <f>"Cama - ROYAL II - Al"</f>
        <v>Cama - ROYAL II - Al</v>
      </c>
      <c r="I3559" s="6" t="str">
        <f t="shared" si="870"/>
        <v>501628</v>
      </c>
      <c r="J3559" s="6" t="str">
        <f t="shared" si="871"/>
        <v>Maquillage</v>
      </c>
      <c r="K3559" s="6" t="str">
        <f>"7132"</f>
        <v>7132</v>
      </c>
      <c r="L3559" s="6" t="str">
        <f t="shared" si="874"/>
        <v>Cama</v>
      </c>
      <c r="M3559" s="6" t="str">
        <f>"45x155"</f>
        <v>45x155</v>
      </c>
      <c r="N3559" s="6" t="str">
        <f>"5602972670592"</f>
        <v>5602972670592</v>
      </c>
      <c r="O3559" s="8">
        <v>10</v>
      </c>
      <c r="R3559" s="8">
        <v>0</v>
      </c>
      <c r="U3559" s="8">
        <v>0</v>
      </c>
      <c r="X3559" s="8">
        <v>0</v>
      </c>
      <c r="Z3559" s="8">
        <v>0</v>
      </c>
      <c r="AC3559" s="8">
        <v>0</v>
      </c>
      <c r="AF3559" s="8">
        <v>0</v>
      </c>
      <c r="AN3559" s="8">
        <v>0</v>
      </c>
      <c r="AO3559" s="8">
        <v>10</v>
      </c>
    </row>
    <row r="3560" spans="1:41" x14ac:dyDescent="0.25">
      <c r="A3560" s="6" t="str">
        <f t="shared" si="872"/>
        <v>525-2025000425</v>
      </c>
      <c r="B3560" s="6" t="str">
        <f t="shared" si="860"/>
        <v>Lasa Int</v>
      </c>
      <c r="C3560" s="7">
        <v>45883</v>
      </c>
      <c r="D3560" s="7">
        <v>46081</v>
      </c>
      <c r="E3560" s="8">
        <v>39</v>
      </c>
      <c r="F3560" s="6" t="str">
        <f t="shared" si="873"/>
        <v>Royal II import</v>
      </c>
      <c r="G3560" s="6" t="str">
        <f>"C010202000600009"</f>
        <v>C010202000600009</v>
      </c>
      <c r="H3560" s="6" t="str">
        <f>"Cama - ROYAL II - Al"</f>
        <v>Cama - ROYAL II - Al</v>
      </c>
      <c r="I3560" s="6" t="str">
        <f t="shared" si="870"/>
        <v>501628</v>
      </c>
      <c r="J3560" s="6" t="str">
        <f t="shared" si="871"/>
        <v>Maquillage</v>
      </c>
      <c r="K3560" s="6" t="str">
        <f>"7133"</f>
        <v>7133</v>
      </c>
      <c r="L3560" s="6" t="str">
        <f t="shared" si="874"/>
        <v>Cama</v>
      </c>
      <c r="M3560" s="6" t="str">
        <f>"45x85"</f>
        <v>45x85</v>
      </c>
      <c r="N3560" s="6" t="str">
        <f>"5602972670615"</f>
        <v>5602972670615</v>
      </c>
      <c r="O3560" s="8">
        <v>100</v>
      </c>
      <c r="R3560" s="8">
        <v>0</v>
      </c>
      <c r="U3560" s="8">
        <v>0</v>
      </c>
      <c r="X3560" s="8">
        <v>0</v>
      </c>
      <c r="Z3560" s="8">
        <v>0</v>
      </c>
      <c r="AC3560" s="8">
        <v>0</v>
      </c>
      <c r="AF3560" s="8">
        <v>0</v>
      </c>
      <c r="AN3560" s="8">
        <v>0</v>
      </c>
      <c r="AO3560" s="8">
        <v>100</v>
      </c>
    </row>
    <row r="3561" spans="1:41" x14ac:dyDescent="0.25">
      <c r="A3561" s="6" t="str">
        <f t="shared" si="872"/>
        <v>525-2025000425</v>
      </c>
      <c r="B3561" s="6" t="str">
        <f t="shared" si="860"/>
        <v>Lasa Int</v>
      </c>
      <c r="C3561" s="7">
        <v>45883</v>
      </c>
      <c r="D3561" s="7">
        <v>46081</v>
      </c>
      <c r="E3561" s="8">
        <v>40</v>
      </c>
      <c r="F3561" s="6" t="str">
        <f t="shared" si="873"/>
        <v>Royal II import</v>
      </c>
      <c r="G3561" s="6" t="str">
        <f>"C010202000700009"</f>
        <v>C010202000700009</v>
      </c>
      <c r="H3561" s="6" t="str">
        <f>"Cama - ROYAL II - Cu"</f>
        <v>Cama - ROYAL II - Cu</v>
      </c>
      <c r="I3561" s="6" t="str">
        <f t="shared" si="870"/>
        <v>501628</v>
      </c>
      <c r="J3561" s="6" t="str">
        <f t="shared" si="871"/>
        <v>Maquillage</v>
      </c>
      <c r="K3561" s="6" t="str">
        <f>"7020"</f>
        <v>7020</v>
      </c>
      <c r="L3561" s="6" t="str">
        <f t="shared" si="874"/>
        <v>Cama</v>
      </c>
      <c r="M3561" s="6" t="str">
        <f>"55x55+5"</f>
        <v>55x55+5</v>
      </c>
      <c r="N3561" s="6" t="str">
        <f>"5602972670639"</f>
        <v>5602972670639</v>
      </c>
      <c r="O3561" s="8">
        <v>10</v>
      </c>
      <c r="R3561" s="8">
        <v>0</v>
      </c>
      <c r="U3561" s="8">
        <v>0</v>
      </c>
      <c r="X3561" s="8">
        <v>0</v>
      </c>
      <c r="Z3561" s="8">
        <v>0</v>
      </c>
      <c r="AC3561" s="8">
        <v>0</v>
      </c>
      <c r="AF3561" s="8">
        <v>0</v>
      </c>
      <c r="AN3561" s="8">
        <v>0</v>
      </c>
      <c r="AO3561" s="8">
        <v>10</v>
      </c>
    </row>
    <row r="3562" spans="1:41" x14ac:dyDescent="0.25">
      <c r="A3562" s="6" t="str">
        <f t="shared" si="872"/>
        <v>525-2025000425</v>
      </c>
      <c r="B3562" s="6" t="str">
        <f t="shared" si="860"/>
        <v>Lasa Int</v>
      </c>
      <c r="C3562" s="7">
        <v>45883</v>
      </c>
      <c r="D3562" s="7">
        <v>46081</v>
      </c>
      <c r="E3562" s="8">
        <v>41</v>
      </c>
      <c r="F3562" s="6" t="str">
        <f t="shared" si="873"/>
        <v>Royal II import</v>
      </c>
      <c r="G3562" s="6" t="str">
        <f>"C010202000100009"</f>
        <v>C010202000100009</v>
      </c>
      <c r="H3562" s="6" t="str">
        <f>"Cama - ROYAL II - Jo"</f>
        <v>Cama - ROYAL II - Jo</v>
      </c>
      <c r="I3562" s="6" t="str">
        <f>"502130"</f>
        <v>502130</v>
      </c>
      <c r="J3562" s="6" t="str">
        <f>"Azafrán"</f>
        <v>Azafrán</v>
      </c>
      <c r="K3562" s="6" t="str">
        <f>"7144"</f>
        <v>7144</v>
      </c>
      <c r="L3562" s="6" t="str">
        <f t="shared" si="874"/>
        <v>Cama</v>
      </c>
      <c r="M3562" s="6" t="str">
        <f>"Cama 150/1"</f>
        <v>Cama 150/1</v>
      </c>
      <c r="N3562" s="6" t="str">
        <f>"5602972694543"</f>
        <v>5602972694543</v>
      </c>
      <c r="O3562" s="8">
        <v>10</v>
      </c>
      <c r="R3562" s="8">
        <v>0</v>
      </c>
      <c r="U3562" s="8">
        <v>0</v>
      </c>
      <c r="X3562" s="8">
        <v>0</v>
      </c>
      <c r="Z3562" s="8">
        <v>0</v>
      </c>
      <c r="AC3562" s="8">
        <v>0</v>
      </c>
      <c r="AF3562" s="8">
        <v>0</v>
      </c>
      <c r="AN3562" s="8">
        <v>0</v>
      </c>
      <c r="AO3562" s="8">
        <v>10</v>
      </c>
    </row>
    <row r="3563" spans="1:41" x14ac:dyDescent="0.25">
      <c r="A3563" s="6" t="str">
        <f t="shared" si="872"/>
        <v>525-2025000425</v>
      </c>
      <c r="B3563" s="6" t="str">
        <f t="shared" si="860"/>
        <v>Lasa Int</v>
      </c>
      <c r="C3563" s="7">
        <v>45883</v>
      </c>
      <c r="D3563" s="7">
        <v>46081</v>
      </c>
      <c r="E3563" s="8">
        <v>42</v>
      </c>
      <c r="F3563" s="6" t="str">
        <f t="shared" si="873"/>
        <v>Royal II import</v>
      </c>
      <c r="G3563" s="6" t="str">
        <f>"C010202000100009"</f>
        <v>C010202000100009</v>
      </c>
      <c r="H3563" s="6" t="str">
        <f>"Cama - ROYAL II - Jo"</f>
        <v>Cama - ROYAL II - Jo</v>
      </c>
      <c r="I3563" s="6" t="str">
        <f>"502130"</f>
        <v>502130</v>
      </c>
      <c r="J3563" s="6" t="str">
        <f>"Azafrán"</f>
        <v>Azafrán</v>
      </c>
      <c r="K3563" s="6" t="str">
        <f>"7145"</f>
        <v>7145</v>
      </c>
      <c r="L3563" s="6" t="str">
        <f t="shared" si="874"/>
        <v>Cama</v>
      </c>
      <c r="M3563" s="6" t="str">
        <f>"Cama 180"</f>
        <v>Cama 180</v>
      </c>
      <c r="N3563" s="6" t="str">
        <f>"5602972694550"</f>
        <v>5602972694550</v>
      </c>
      <c r="O3563" s="8">
        <v>10</v>
      </c>
      <c r="R3563" s="8">
        <v>0</v>
      </c>
      <c r="U3563" s="8">
        <v>0</v>
      </c>
      <c r="X3563" s="8">
        <v>0</v>
      </c>
      <c r="Z3563" s="8">
        <v>0</v>
      </c>
      <c r="AC3563" s="8">
        <v>0</v>
      </c>
      <c r="AF3563" s="8">
        <v>0</v>
      </c>
      <c r="AN3563" s="8">
        <v>0</v>
      </c>
      <c r="AO3563" s="8">
        <v>10</v>
      </c>
    </row>
    <row r="3564" spans="1:41" x14ac:dyDescent="0.25">
      <c r="A3564" s="6" t="str">
        <f t="shared" si="872"/>
        <v>525-2025000425</v>
      </c>
      <c r="B3564" s="6" t="str">
        <f t="shared" si="860"/>
        <v>Lasa Int</v>
      </c>
      <c r="C3564" s="7">
        <v>45883</v>
      </c>
      <c r="D3564" s="7">
        <v>46081</v>
      </c>
      <c r="E3564" s="8">
        <v>43</v>
      </c>
      <c r="F3564" s="6" t="str">
        <f t="shared" si="873"/>
        <v>Royal II import</v>
      </c>
      <c r="G3564" s="6" t="str">
        <f>"C010202000500009"</f>
        <v>C010202000500009</v>
      </c>
      <c r="H3564" s="6" t="str">
        <f>"Cama - ROYAL II - Le"</f>
        <v>Cama - ROYAL II - Le</v>
      </c>
      <c r="I3564" s="6" t="str">
        <f>"502130"</f>
        <v>502130</v>
      </c>
      <c r="J3564" s="6" t="str">
        <f>"Azafrán"</f>
        <v>Azafrán</v>
      </c>
      <c r="K3564" s="6" t="str">
        <f>"6925"</f>
        <v>6925</v>
      </c>
      <c r="L3564" s="6" t="str">
        <f t="shared" si="874"/>
        <v>Cama</v>
      </c>
      <c r="M3564" s="6" t="str">
        <f>"280x280"</f>
        <v>280x280</v>
      </c>
      <c r="N3564" s="6" t="str">
        <f>"5602972694765"</f>
        <v>5602972694765</v>
      </c>
      <c r="O3564" s="8">
        <v>10</v>
      </c>
      <c r="R3564" s="8">
        <v>0</v>
      </c>
      <c r="U3564" s="8">
        <v>0</v>
      </c>
      <c r="X3564" s="8">
        <v>0</v>
      </c>
      <c r="Z3564" s="8">
        <v>0</v>
      </c>
      <c r="AC3564" s="8">
        <v>0</v>
      </c>
      <c r="AF3564" s="8">
        <v>0</v>
      </c>
      <c r="AN3564" s="8">
        <v>0</v>
      </c>
      <c r="AO3564" s="8">
        <v>10</v>
      </c>
    </row>
    <row r="3565" spans="1:41" x14ac:dyDescent="0.25">
      <c r="A3565" s="6" t="str">
        <f t="shared" si="872"/>
        <v>525-2025000425</v>
      </c>
      <c r="B3565" s="6" t="str">
        <f t="shared" si="860"/>
        <v>Lasa Int</v>
      </c>
      <c r="C3565" s="7">
        <v>45883</v>
      </c>
      <c r="D3565" s="7">
        <v>46081</v>
      </c>
      <c r="E3565" s="8">
        <v>44</v>
      </c>
      <c r="F3565" s="6" t="str">
        <f t="shared" si="873"/>
        <v>Royal II import</v>
      </c>
      <c r="G3565" s="6" t="str">
        <f>"C010202000100009"</f>
        <v>C010202000100009</v>
      </c>
      <c r="H3565" s="6" t="str">
        <f>"Cama - ROYAL II - Jo"</f>
        <v>Cama - ROYAL II - Jo</v>
      </c>
      <c r="I3565" s="6" t="str">
        <f>"502131"</f>
        <v>502131</v>
      </c>
      <c r="J3565" s="6" t="str">
        <f>"Bruma"</f>
        <v>Bruma</v>
      </c>
      <c r="K3565" s="6" t="str">
        <f>"7141"</f>
        <v>7141</v>
      </c>
      <c r="L3565" s="6" t="str">
        <f t="shared" si="874"/>
        <v>Cama</v>
      </c>
      <c r="M3565" s="6" t="str">
        <f>"Cama 90"</f>
        <v>Cama 90</v>
      </c>
      <c r="N3565" s="6" t="str">
        <f>"5602972694840"</f>
        <v>5602972694840</v>
      </c>
      <c r="O3565" s="8">
        <v>10</v>
      </c>
      <c r="R3565" s="8">
        <v>0</v>
      </c>
      <c r="U3565" s="8">
        <v>0</v>
      </c>
      <c r="X3565" s="8">
        <v>0</v>
      </c>
      <c r="Z3565" s="8">
        <v>0</v>
      </c>
      <c r="AC3565" s="8">
        <v>0</v>
      </c>
      <c r="AF3565" s="8">
        <v>0</v>
      </c>
      <c r="AN3565" s="8">
        <v>0</v>
      </c>
      <c r="AO3565" s="8">
        <v>10</v>
      </c>
    </row>
    <row r="3566" spans="1:41" x14ac:dyDescent="0.25">
      <c r="A3566" s="6" t="str">
        <f t="shared" si="872"/>
        <v>525-2025000425</v>
      </c>
      <c r="B3566" s="6" t="str">
        <f t="shared" si="860"/>
        <v>Lasa Int</v>
      </c>
      <c r="C3566" s="7">
        <v>45883</v>
      </c>
      <c r="D3566" s="7">
        <v>46081</v>
      </c>
      <c r="E3566" s="8">
        <v>45</v>
      </c>
      <c r="F3566" s="6" t="str">
        <f t="shared" si="873"/>
        <v>Royal II import</v>
      </c>
      <c r="G3566" s="6" t="str">
        <f>"C010202000100009"</f>
        <v>C010202000100009</v>
      </c>
      <c r="H3566" s="6" t="str">
        <f>"Cama - ROYAL II - Jo"</f>
        <v>Cama - ROYAL II - Jo</v>
      </c>
      <c r="I3566" s="6" t="str">
        <f>"502131"</f>
        <v>502131</v>
      </c>
      <c r="J3566" s="6" t="str">
        <f>"Bruma"</f>
        <v>Bruma</v>
      </c>
      <c r="K3566" s="6" t="str">
        <f>"7143"</f>
        <v>7143</v>
      </c>
      <c r="L3566" s="6" t="str">
        <f t="shared" si="874"/>
        <v>Cama</v>
      </c>
      <c r="M3566" s="6" t="str">
        <f>"Cama 135"</f>
        <v>Cama 135</v>
      </c>
      <c r="N3566" s="6" t="str">
        <f>"5602972694864"</f>
        <v>5602972694864</v>
      </c>
      <c r="O3566" s="8">
        <v>10</v>
      </c>
      <c r="R3566" s="8">
        <v>0</v>
      </c>
      <c r="U3566" s="8">
        <v>0</v>
      </c>
      <c r="X3566" s="8">
        <v>0</v>
      </c>
      <c r="Z3566" s="8">
        <v>0</v>
      </c>
      <c r="AC3566" s="8">
        <v>0</v>
      </c>
      <c r="AF3566" s="8">
        <v>0</v>
      </c>
      <c r="AN3566" s="8">
        <v>0</v>
      </c>
      <c r="AO3566" s="8">
        <v>10</v>
      </c>
    </row>
    <row r="3567" spans="1:41" x14ac:dyDescent="0.25">
      <c r="A3567" s="6" t="str">
        <f t="shared" si="872"/>
        <v>525-2025000425</v>
      </c>
      <c r="B3567" s="6" t="str">
        <f t="shared" si="860"/>
        <v>Lasa Int</v>
      </c>
      <c r="C3567" s="7">
        <v>45883</v>
      </c>
      <c r="D3567" s="7">
        <v>46081</v>
      </c>
      <c r="E3567" s="8">
        <v>46</v>
      </c>
      <c r="F3567" s="6" t="str">
        <f t="shared" si="873"/>
        <v>Royal II import</v>
      </c>
      <c r="G3567" s="6" t="str">
        <f>"C010202000100009"</f>
        <v>C010202000100009</v>
      </c>
      <c r="H3567" s="6" t="str">
        <f>"Cama - ROYAL II - Jo"</f>
        <v>Cama - ROYAL II - Jo</v>
      </c>
      <c r="I3567" s="6" t="str">
        <f>"502131"</f>
        <v>502131</v>
      </c>
      <c r="J3567" s="6" t="str">
        <f>"Bruma"</f>
        <v>Bruma</v>
      </c>
      <c r="K3567" s="6" t="str">
        <f>"7144"</f>
        <v>7144</v>
      </c>
      <c r="L3567" s="6" t="str">
        <f t="shared" si="874"/>
        <v>Cama</v>
      </c>
      <c r="M3567" s="6" t="str">
        <f>"Cama 150/1"</f>
        <v>Cama 150/1</v>
      </c>
      <c r="N3567" s="6" t="str">
        <f>"5602972694871"</f>
        <v>5602972694871</v>
      </c>
      <c r="O3567" s="8">
        <v>20</v>
      </c>
      <c r="R3567" s="8">
        <v>0</v>
      </c>
      <c r="U3567" s="8">
        <v>0</v>
      </c>
      <c r="X3567" s="8">
        <v>0</v>
      </c>
      <c r="Z3567" s="8">
        <v>0</v>
      </c>
      <c r="AC3567" s="8">
        <v>0</v>
      </c>
      <c r="AF3567" s="8">
        <v>0</v>
      </c>
      <c r="AN3567" s="8">
        <v>0</v>
      </c>
      <c r="AO3567" s="8">
        <v>20</v>
      </c>
    </row>
    <row r="3568" spans="1:41" x14ac:dyDescent="0.25">
      <c r="A3568" s="6" t="str">
        <f t="shared" si="872"/>
        <v>525-2025000425</v>
      </c>
      <c r="B3568" s="6" t="str">
        <f t="shared" si="860"/>
        <v>Lasa Int</v>
      </c>
      <c r="C3568" s="7">
        <v>45883</v>
      </c>
      <c r="D3568" s="7">
        <v>46081</v>
      </c>
      <c r="E3568" s="8">
        <v>47</v>
      </c>
      <c r="F3568" s="6" t="str">
        <f t="shared" si="873"/>
        <v>Royal II import</v>
      </c>
      <c r="G3568" s="6" t="str">
        <f>"C010202000100009"</f>
        <v>C010202000100009</v>
      </c>
      <c r="H3568" s="6" t="str">
        <f>"Cama - ROYAL II - Jo"</f>
        <v>Cama - ROYAL II - Jo</v>
      </c>
      <c r="I3568" s="6" t="str">
        <f>"502131"</f>
        <v>502131</v>
      </c>
      <c r="J3568" s="6" t="str">
        <f>"Bruma"</f>
        <v>Bruma</v>
      </c>
      <c r="K3568" s="6" t="str">
        <f>"7145"</f>
        <v>7145</v>
      </c>
      <c r="L3568" s="6" t="str">
        <f t="shared" si="874"/>
        <v>Cama</v>
      </c>
      <c r="M3568" s="6" t="str">
        <f>"Cama 180"</f>
        <v>Cama 180</v>
      </c>
      <c r="N3568" s="6" t="str">
        <f>"5602972694888"</f>
        <v>5602972694888</v>
      </c>
      <c r="O3568" s="8">
        <v>10</v>
      </c>
      <c r="R3568" s="8">
        <v>0</v>
      </c>
      <c r="U3568" s="8">
        <v>0</v>
      </c>
      <c r="X3568" s="8">
        <v>0</v>
      </c>
      <c r="Z3568" s="8">
        <v>0</v>
      </c>
      <c r="AC3568" s="8">
        <v>0</v>
      </c>
      <c r="AF3568" s="8">
        <v>0</v>
      </c>
      <c r="AN3568" s="8">
        <v>0</v>
      </c>
      <c r="AO3568" s="8">
        <v>10</v>
      </c>
    </row>
    <row r="3569" spans="1:41" x14ac:dyDescent="0.25">
      <c r="A3569" s="6" t="str">
        <f t="shared" si="872"/>
        <v>525-2025000425</v>
      </c>
      <c r="B3569" s="6" t="str">
        <f t="shared" si="860"/>
        <v>Lasa Int</v>
      </c>
      <c r="C3569" s="7">
        <v>45883</v>
      </c>
      <c r="D3569" s="7">
        <v>46081</v>
      </c>
      <c r="E3569" s="8">
        <v>48</v>
      </c>
      <c r="F3569" s="6" t="str">
        <f t="shared" si="873"/>
        <v>Royal II import</v>
      </c>
      <c r="G3569" s="6" t="str">
        <f>"C010202000300009"</f>
        <v>C010202000300009</v>
      </c>
      <c r="H3569" s="6" t="str">
        <f>"Cama - ROYAL II - Le"</f>
        <v>Cama - ROYAL II - Le</v>
      </c>
      <c r="I3569" s="6" t="str">
        <f>"502131"</f>
        <v>502131</v>
      </c>
      <c r="J3569" s="6" t="str">
        <f>"Bruma"</f>
        <v>Bruma</v>
      </c>
      <c r="K3569" s="6" t="str">
        <f>"7105"</f>
        <v>7105</v>
      </c>
      <c r="L3569" s="6" t="str">
        <f t="shared" si="874"/>
        <v>Cama</v>
      </c>
      <c r="M3569" s="6" t="str">
        <f>"280x285"</f>
        <v>280x285</v>
      </c>
      <c r="N3569" s="6" t="str">
        <f>"5602972694987"</f>
        <v>5602972694987</v>
      </c>
      <c r="O3569" s="8">
        <v>10</v>
      </c>
      <c r="R3569" s="8">
        <v>0</v>
      </c>
      <c r="U3569" s="8">
        <v>0</v>
      </c>
      <c r="X3569" s="8">
        <v>0</v>
      </c>
      <c r="Z3569" s="8">
        <v>0</v>
      </c>
      <c r="AC3569" s="8">
        <v>0</v>
      </c>
      <c r="AF3569" s="8">
        <v>0</v>
      </c>
      <c r="AN3569" s="8">
        <v>0</v>
      </c>
      <c r="AO3569" s="8">
        <v>10</v>
      </c>
    </row>
    <row r="3570" spans="1:41" x14ac:dyDescent="0.25">
      <c r="A3570" s="6" t="str">
        <f t="shared" si="872"/>
        <v>525-2025000425</v>
      </c>
      <c r="B3570" s="6" t="str">
        <f t="shared" si="860"/>
        <v>Lasa Int</v>
      </c>
      <c r="C3570" s="7">
        <v>45883</v>
      </c>
      <c r="D3570" s="7">
        <v>46081</v>
      </c>
      <c r="E3570" s="8">
        <v>49</v>
      </c>
      <c r="F3570" s="6" t="str">
        <f t="shared" si="873"/>
        <v>Royal II import</v>
      </c>
      <c r="G3570" s="6" t="str">
        <f t="shared" ref="G3570:G3576" si="875">"C010202000100009"</f>
        <v>C010202000100009</v>
      </c>
      <c r="H3570" s="6" t="str">
        <f t="shared" ref="H3570:H3576" si="876">"Cama - ROYAL II - Jo"</f>
        <v>Cama - ROYAL II - Jo</v>
      </c>
      <c r="I3570" s="6" t="str">
        <f>"502132"</f>
        <v>502132</v>
      </c>
      <c r="J3570" s="6" t="str">
        <f>"Caqui"</f>
        <v>Caqui</v>
      </c>
      <c r="K3570" s="6" t="str">
        <f>"7141"</f>
        <v>7141</v>
      </c>
      <c r="L3570" s="6" t="str">
        <f t="shared" si="874"/>
        <v>Cama</v>
      </c>
      <c r="M3570" s="6" t="str">
        <f>"Cama 90"</f>
        <v>Cama 90</v>
      </c>
      <c r="N3570" s="6" t="str">
        <f>"5602972695175"</f>
        <v>5602972695175</v>
      </c>
      <c r="O3570" s="8">
        <v>10</v>
      </c>
      <c r="R3570" s="8">
        <v>0</v>
      </c>
      <c r="U3570" s="8">
        <v>0</v>
      </c>
      <c r="X3570" s="8">
        <v>0</v>
      </c>
      <c r="Z3570" s="8">
        <v>0</v>
      </c>
      <c r="AC3570" s="8">
        <v>0</v>
      </c>
      <c r="AF3570" s="8">
        <v>0</v>
      </c>
      <c r="AN3570" s="8">
        <v>0</v>
      </c>
      <c r="AO3570" s="8">
        <v>10</v>
      </c>
    </row>
    <row r="3571" spans="1:41" x14ac:dyDescent="0.25">
      <c r="A3571" s="6" t="str">
        <f t="shared" si="872"/>
        <v>525-2025000425</v>
      </c>
      <c r="B3571" s="6" t="str">
        <f t="shared" si="860"/>
        <v>Lasa Int</v>
      </c>
      <c r="C3571" s="7">
        <v>45883</v>
      </c>
      <c r="D3571" s="7">
        <v>46081</v>
      </c>
      <c r="E3571" s="8">
        <v>50</v>
      </c>
      <c r="F3571" s="6" t="str">
        <f t="shared" si="873"/>
        <v>Royal II import</v>
      </c>
      <c r="G3571" s="6" t="str">
        <f t="shared" si="875"/>
        <v>C010202000100009</v>
      </c>
      <c r="H3571" s="6" t="str">
        <f t="shared" si="876"/>
        <v>Cama - ROYAL II - Jo</v>
      </c>
      <c r="I3571" s="6" t="str">
        <f>"502132"</f>
        <v>502132</v>
      </c>
      <c r="J3571" s="6" t="str">
        <f>"Caqui"</f>
        <v>Caqui</v>
      </c>
      <c r="K3571" s="6" t="str">
        <f>"7144"</f>
        <v>7144</v>
      </c>
      <c r="L3571" s="6" t="str">
        <f t="shared" si="874"/>
        <v>Cama</v>
      </c>
      <c r="M3571" s="6" t="str">
        <f>"Cama 150/1"</f>
        <v>Cama 150/1</v>
      </c>
      <c r="N3571" s="6" t="str">
        <f>"5602972695205"</f>
        <v>5602972695205</v>
      </c>
      <c r="O3571" s="8">
        <v>10</v>
      </c>
      <c r="R3571" s="8">
        <v>0</v>
      </c>
      <c r="U3571" s="8">
        <v>0</v>
      </c>
      <c r="X3571" s="8">
        <v>0</v>
      </c>
      <c r="Z3571" s="8">
        <v>0</v>
      </c>
      <c r="AC3571" s="8">
        <v>0</v>
      </c>
      <c r="AF3571" s="8">
        <v>0</v>
      </c>
      <c r="AN3571" s="8">
        <v>0</v>
      </c>
      <c r="AO3571" s="8">
        <v>10</v>
      </c>
    </row>
    <row r="3572" spans="1:41" x14ac:dyDescent="0.25">
      <c r="A3572" s="6" t="str">
        <f t="shared" si="872"/>
        <v>525-2025000425</v>
      </c>
      <c r="B3572" s="6" t="str">
        <f t="shared" si="860"/>
        <v>Lasa Int</v>
      </c>
      <c r="C3572" s="7">
        <v>45883</v>
      </c>
      <c r="D3572" s="7">
        <v>46081</v>
      </c>
      <c r="E3572" s="8">
        <v>51</v>
      </c>
      <c r="F3572" s="6" t="str">
        <f t="shared" si="873"/>
        <v>Royal II import</v>
      </c>
      <c r="G3572" s="6" t="str">
        <f t="shared" si="875"/>
        <v>C010202000100009</v>
      </c>
      <c r="H3572" s="6" t="str">
        <f t="shared" si="876"/>
        <v>Cama - ROYAL II - Jo</v>
      </c>
      <c r="I3572" s="6" t="str">
        <f>"502132"</f>
        <v>502132</v>
      </c>
      <c r="J3572" s="6" t="str">
        <f>"Caqui"</f>
        <v>Caqui</v>
      </c>
      <c r="K3572" s="6" t="str">
        <f>"7145"</f>
        <v>7145</v>
      </c>
      <c r="L3572" s="6" t="str">
        <f t="shared" si="874"/>
        <v>Cama</v>
      </c>
      <c r="M3572" s="6" t="str">
        <f>"Cama 180"</f>
        <v>Cama 180</v>
      </c>
      <c r="N3572" s="6" t="str">
        <f>"5602972695212"</f>
        <v>5602972695212</v>
      </c>
      <c r="O3572" s="8">
        <v>10</v>
      </c>
      <c r="R3572" s="8">
        <v>0</v>
      </c>
      <c r="U3572" s="8">
        <v>0</v>
      </c>
      <c r="X3572" s="8">
        <v>0</v>
      </c>
      <c r="Z3572" s="8">
        <v>0</v>
      </c>
      <c r="AC3572" s="8">
        <v>0</v>
      </c>
      <c r="AF3572" s="8">
        <v>0</v>
      </c>
      <c r="AN3572" s="8">
        <v>0</v>
      </c>
      <c r="AO3572" s="8">
        <v>10</v>
      </c>
    </row>
    <row r="3573" spans="1:41" x14ac:dyDescent="0.25">
      <c r="A3573" s="6" t="str">
        <f t="shared" si="872"/>
        <v>525-2025000425</v>
      </c>
      <c r="B3573" s="6" t="str">
        <f t="shared" si="860"/>
        <v>Lasa Int</v>
      </c>
      <c r="C3573" s="7">
        <v>45883</v>
      </c>
      <c r="D3573" s="7">
        <v>46081</v>
      </c>
      <c r="E3573" s="8">
        <v>52</v>
      </c>
      <c r="F3573" s="6" t="str">
        <f t="shared" si="873"/>
        <v>Royal II import</v>
      </c>
      <c r="G3573" s="6" t="str">
        <f t="shared" si="875"/>
        <v>C010202000100009</v>
      </c>
      <c r="H3573" s="6" t="str">
        <f t="shared" si="876"/>
        <v>Cama - ROYAL II - Jo</v>
      </c>
      <c r="I3573" s="6" t="str">
        <f t="shared" ref="I3573:I3592" si="877">"501001"</f>
        <v>501001</v>
      </c>
      <c r="J3573" s="6" t="str">
        <f t="shared" ref="J3573:J3592" si="878">"Blanco"</f>
        <v>Blanco</v>
      </c>
      <c r="K3573" s="6" t="str">
        <f>"7141"</f>
        <v>7141</v>
      </c>
      <c r="L3573" s="6" t="str">
        <f t="shared" si="874"/>
        <v>Cama</v>
      </c>
      <c r="M3573" s="6" t="str">
        <f>"Cama 90"</f>
        <v>Cama 90</v>
      </c>
      <c r="N3573" s="6" t="str">
        <f>"5602972667677"</f>
        <v>5602972667677</v>
      </c>
      <c r="O3573" s="8">
        <v>30</v>
      </c>
      <c r="R3573" s="8">
        <v>0</v>
      </c>
      <c r="U3573" s="8">
        <v>0</v>
      </c>
      <c r="X3573" s="8">
        <v>0</v>
      </c>
      <c r="Z3573" s="8">
        <v>0</v>
      </c>
      <c r="AC3573" s="8">
        <v>0</v>
      </c>
      <c r="AF3573" s="8">
        <v>0</v>
      </c>
      <c r="AN3573" s="8">
        <v>0</v>
      </c>
      <c r="AO3573" s="8">
        <v>30</v>
      </c>
    </row>
    <row r="3574" spans="1:41" x14ac:dyDescent="0.25">
      <c r="A3574" s="6" t="str">
        <f t="shared" si="872"/>
        <v>525-2025000425</v>
      </c>
      <c r="B3574" s="6" t="str">
        <f t="shared" si="860"/>
        <v>Lasa Int</v>
      </c>
      <c r="C3574" s="7">
        <v>45883</v>
      </c>
      <c r="D3574" s="7">
        <v>46081</v>
      </c>
      <c r="E3574" s="8">
        <v>53</v>
      </c>
      <c r="F3574" s="6" t="str">
        <f t="shared" si="873"/>
        <v>Royal II import</v>
      </c>
      <c r="G3574" s="6" t="str">
        <f t="shared" si="875"/>
        <v>C010202000100009</v>
      </c>
      <c r="H3574" s="6" t="str">
        <f t="shared" si="876"/>
        <v>Cama - ROYAL II - Jo</v>
      </c>
      <c r="I3574" s="6" t="str">
        <f t="shared" si="877"/>
        <v>501001</v>
      </c>
      <c r="J3574" s="6" t="str">
        <f t="shared" si="878"/>
        <v>Blanco</v>
      </c>
      <c r="K3574" s="6" t="str">
        <f>"7142"</f>
        <v>7142</v>
      </c>
      <c r="L3574" s="6" t="str">
        <f t="shared" si="874"/>
        <v>Cama</v>
      </c>
      <c r="M3574" s="6" t="str">
        <f>"Cama 108"</f>
        <v>Cama 108</v>
      </c>
      <c r="N3574" s="6" t="str">
        <f>"5602972667684"</f>
        <v>5602972667684</v>
      </c>
      <c r="O3574" s="8">
        <v>10</v>
      </c>
      <c r="R3574" s="8">
        <v>0</v>
      </c>
      <c r="U3574" s="8">
        <v>0</v>
      </c>
      <c r="X3574" s="8">
        <v>0</v>
      </c>
      <c r="Z3574" s="8">
        <v>0</v>
      </c>
      <c r="AC3574" s="8">
        <v>0</v>
      </c>
      <c r="AF3574" s="8">
        <v>0</v>
      </c>
      <c r="AN3574" s="8">
        <v>0</v>
      </c>
      <c r="AO3574" s="8">
        <v>10</v>
      </c>
    </row>
    <row r="3575" spans="1:41" x14ac:dyDescent="0.25">
      <c r="A3575" s="6" t="str">
        <f t="shared" si="872"/>
        <v>525-2025000425</v>
      </c>
      <c r="B3575" s="6" t="str">
        <f t="shared" si="860"/>
        <v>Lasa Int</v>
      </c>
      <c r="C3575" s="7">
        <v>45883</v>
      </c>
      <c r="D3575" s="7">
        <v>46081</v>
      </c>
      <c r="E3575" s="8">
        <v>54</v>
      </c>
      <c r="F3575" s="6" t="str">
        <f t="shared" si="873"/>
        <v>Royal II import</v>
      </c>
      <c r="G3575" s="6" t="str">
        <f t="shared" si="875"/>
        <v>C010202000100009</v>
      </c>
      <c r="H3575" s="6" t="str">
        <f t="shared" si="876"/>
        <v>Cama - ROYAL II - Jo</v>
      </c>
      <c r="I3575" s="6" t="str">
        <f t="shared" si="877"/>
        <v>501001</v>
      </c>
      <c r="J3575" s="6" t="str">
        <f t="shared" si="878"/>
        <v>Blanco</v>
      </c>
      <c r="K3575" s="6" t="str">
        <f>"7143"</f>
        <v>7143</v>
      </c>
      <c r="L3575" s="6" t="str">
        <f t="shared" si="874"/>
        <v>Cama</v>
      </c>
      <c r="M3575" s="6" t="str">
        <f>"Cama 135"</f>
        <v>Cama 135</v>
      </c>
      <c r="N3575" s="6" t="str">
        <f>"5602972667691"</f>
        <v>5602972667691</v>
      </c>
      <c r="O3575" s="8">
        <v>10</v>
      </c>
      <c r="R3575" s="8">
        <v>0</v>
      </c>
      <c r="U3575" s="8">
        <v>0</v>
      </c>
      <c r="X3575" s="8">
        <v>0</v>
      </c>
      <c r="Z3575" s="8">
        <v>0</v>
      </c>
      <c r="AC3575" s="8">
        <v>0</v>
      </c>
      <c r="AF3575" s="8">
        <v>0</v>
      </c>
      <c r="AN3575" s="8">
        <v>0</v>
      </c>
      <c r="AO3575" s="8">
        <v>10</v>
      </c>
    </row>
    <row r="3576" spans="1:41" x14ac:dyDescent="0.25">
      <c r="A3576" s="6" t="str">
        <f t="shared" si="872"/>
        <v>525-2025000425</v>
      </c>
      <c r="B3576" s="6" t="str">
        <f t="shared" si="860"/>
        <v>Lasa Int</v>
      </c>
      <c r="C3576" s="7">
        <v>45883</v>
      </c>
      <c r="D3576" s="7">
        <v>46081</v>
      </c>
      <c r="E3576" s="8">
        <v>55</v>
      </c>
      <c r="F3576" s="6" t="str">
        <f t="shared" si="873"/>
        <v>Royal II import</v>
      </c>
      <c r="G3576" s="6" t="str">
        <f t="shared" si="875"/>
        <v>C010202000100009</v>
      </c>
      <c r="H3576" s="6" t="str">
        <f t="shared" si="876"/>
        <v>Cama - ROYAL II - Jo</v>
      </c>
      <c r="I3576" s="6" t="str">
        <f t="shared" si="877"/>
        <v>501001</v>
      </c>
      <c r="J3576" s="6" t="str">
        <f t="shared" si="878"/>
        <v>Blanco</v>
      </c>
      <c r="K3576" s="6" t="str">
        <f>"7144"</f>
        <v>7144</v>
      </c>
      <c r="L3576" s="6" t="str">
        <f t="shared" si="874"/>
        <v>Cama</v>
      </c>
      <c r="M3576" s="6" t="str">
        <f>"Cama 150/1"</f>
        <v>Cama 150/1</v>
      </c>
      <c r="N3576" s="6" t="str">
        <f>"5602972667707"</f>
        <v>5602972667707</v>
      </c>
      <c r="O3576" s="8">
        <v>20</v>
      </c>
      <c r="R3576" s="8">
        <v>0</v>
      </c>
      <c r="U3576" s="8">
        <v>0</v>
      </c>
      <c r="X3576" s="8">
        <v>0</v>
      </c>
      <c r="Z3576" s="8">
        <v>0</v>
      </c>
      <c r="AC3576" s="8">
        <v>0</v>
      </c>
      <c r="AF3576" s="8">
        <v>0</v>
      </c>
      <c r="AN3576" s="8">
        <v>0</v>
      </c>
      <c r="AO3576" s="8">
        <v>20</v>
      </c>
    </row>
    <row r="3577" spans="1:41" x14ac:dyDescent="0.25">
      <c r="A3577" s="6" t="str">
        <f t="shared" si="872"/>
        <v>525-2025000425</v>
      </c>
      <c r="B3577" s="6" t="str">
        <f t="shared" si="860"/>
        <v>Lasa Int</v>
      </c>
      <c r="C3577" s="7">
        <v>45883</v>
      </c>
      <c r="D3577" s="7">
        <v>46081</v>
      </c>
      <c r="E3577" s="8">
        <v>56</v>
      </c>
      <c r="F3577" s="6" t="str">
        <f t="shared" si="873"/>
        <v>Royal II import</v>
      </c>
      <c r="G3577" s="6" t="str">
        <f>"C010202000300009"</f>
        <v>C010202000300009</v>
      </c>
      <c r="H3577" s="6" t="str">
        <f>"Cama - ROYAL II - Le"</f>
        <v>Cama - ROYAL II - Le</v>
      </c>
      <c r="I3577" s="6" t="str">
        <f t="shared" si="877"/>
        <v>501001</v>
      </c>
      <c r="J3577" s="6" t="str">
        <f t="shared" si="878"/>
        <v>Blanco</v>
      </c>
      <c r="K3577" s="6" t="str">
        <f>"7102"</f>
        <v>7102</v>
      </c>
      <c r="L3577" s="6" t="str">
        <f t="shared" si="874"/>
        <v>Cama</v>
      </c>
      <c r="M3577" s="6" t="str">
        <f>"180x285"</f>
        <v>180x285</v>
      </c>
      <c r="N3577" s="6" t="str">
        <f>"5602972667783"</f>
        <v>5602972667783</v>
      </c>
      <c r="O3577" s="8">
        <v>10</v>
      </c>
      <c r="R3577" s="8">
        <v>0</v>
      </c>
      <c r="U3577" s="8">
        <v>0</v>
      </c>
      <c r="X3577" s="8">
        <v>0</v>
      </c>
      <c r="Z3577" s="8">
        <v>0</v>
      </c>
      <c r="AC3577" s="8">
        <v>0</v>
      </c>
      <c r="AF3577" s="8">
        <v>0</v>
      </c>
      <c r="AN3577" s="8">
        <v>0</v>
      </c>
      <c r="AO3577" s="8">
        <v>10</v>
      </c>
    </row>
    <row r="3578" spans="1:41" x14ac:dyDescent="0.25">
      <c r="A3578" s="6" t="str">
        <f t="shared" si="872"/>
        <v>525-2025000425</v>
      </c>
      <c r="B3578" s="6" t="str">
        <f t="shared" si="860"/>
        <v>Lasa Int</v>
      </c>
      <c r="C3578" s="7">
        <v>45883</v>
      </c>
      <c r="D3578" s="7">
        <v>46081</v>
      </c>
      <c r="E3578" s="8">
        <v>57</v>
      </c>
      <c r="F3578" s="6" t="str">
        <f t="shared" si="873"/>
        <v>Royal II import</v>
      </c>
      <c r="G3578" s="6" t="str">
        <f>"C010202000300009"</f>
        <v>C010202000300009</v>
      </c>
      <c r="H3578" s="6" t="str">
        <f>"Cama - ROYAL II - Le"</f>
        <v>Cama - ROYAL II - Le</v>
      </c>
      <c r="I3578" s="6" t="str">
        <f t="shared" si="877"/>
        <v>501001</v>
      </c>
      <c r="J3578" s="6" t="str">
        <f t="shared" si="878"/>
        <v>Blanco</v>
      </c>
      <c r="K3578" s="6" t="str">
        <f>"7103"</f>
        <v>7103</v>
      </c>
      <c r="L3578" s="6" t="str">
        <f t="shared" si="874"/>
        <v>Cama</v>
      </c>
      <c r="M3578" s="6" t="str">
        <f>"220x285"</f>
        <v>220x285</v>
      </c>
      <c r="N3578" s="6" t="str">
        <f>"5602972667790"</f>
        <v>5602972667790</v>
      </c>
      <c r="O3578" s="8">
        <v>60</v>
      </c>
      <c r="R3578" s="8">
        <v>0</v>
      </c>
      <c r="U3578" s="8">
        <v>0</v>
      </c>
      <c r="X3578" s="8">
        <v>0</v>
      </c>
      <c r="Z3578" s="8">
        <v>0</v>
      </c>
      <c r="AC3578" s="8">
        <v>0</v>
      </c>
      <c r="AF3578" s="8">
        <v>0</v>
      </c>
      <c r="AN3578" s="8">
        <v>0</v>
      </c>
      <c r="AO3578" s="8">
        <v>60</v>
      </c>
    </row>
    <row r="3579" spans="1:41" x14ac:dyDescent="0.25">
      <c r="A3579" s="6" t="str">
        <f t="shared" si="872"/>
        <v>525-2025000425</v>
      </c>
      <c r="B3579" s="6" t="str">
        <f t="shared" si="860"/>
        <v>Lasa Int</v>
      </c>
      <c r="C3579" s="7">
        <v>45883</v>
      </c>
      <c r="D3579" s="7">
        <v>46081</v>
      </c>
      <c r="E3579" s="8">
        <v>58</v>
      </c>
      <c r="F3579" s="6" t="str">
        <f t="shared" si="873"/>
        <v>Royal II import</v>
      </c>
      <c r="G3579" s="6" t="str">
        <f>"C010202000400009"</f>
        <v>C010202000400009</v>
      </c>
      <c r="H3579" s="6" t="str">
        <f>"Cama - ROYAL II - Sa"</f>
        <v>Cama - ROYAL II - Sa</v>
      </c>
      <c r="I3579" s="6" t="str">
        <f t="shared" si="877"/>
        <v>501001</v>
      </c>
      <c r="J3579" s="6" t="str">
        <f t="shared" si="878"/>
        <v>Blanco</v>
      </c>
      <c r="K3579" s="6" t="str">
        <f>"7113"</f>
        <v>7113</v>
      </c>
      <c r="L3579" s="6" t="str">
        <f t="shared" si="874"/>
        <v>Cama</v>
      </c>
      <c r="M3579" s="6" t="str">
        <f>"240x220+40"</f>
        <v>240x220+40</v>
      </c>
      <c r="N3579" s="6" t="str">
        <f>"5602972667851"</f>
        <v>5602972667851</v>
      </c>
      <c r="O3579" s="8">
        <v>20</v>
      </c>
      <c r="R3579" s="8">
        <v>0</v>
      </c>
      <c r="U3579" s="8">
        <v>0</v>
      </c>
      <c r="X3579" s="8">
        <v>0</v>
      </c>
      <c r="Z3579" s="8">
        <v>0</v>
      </c>
      <c r="AC3579" s="8">
        <v>0</v>
      </c>
      <c r="AF3579" s="8">
        <v>0</v>
      </c>
      <c r="AN3579" s="8">
        <v>0</v>
      </c>
      <c r="AO3579" s="8">
        <v>20</v>
      </c>
    </row>
    <row r="3580" spans="1:41" x14ac:dyDescent="0.25">
      <c r="A3580" s="6" t="str">
        <f t="shared" si="872"/>
        <v>525-2025000425</v>
      </c>
      <c r="B3580" s="6" t="str">
        <f t="shared" si="860"/>
        <v>Lasa Int</v>
      </c>
      <c r="C3580" s="7">
        <v>45883</v>
      </c>
      <c r="D3580" s="7">
        <v>46081</v>
      </c>
      <c r="E3580" s="8">
        <v>59</v>
      </c>
      <c r="F3580" s="6" t="str">
        <f t="shared" si="873"/>
        <v>Royal II import</v>
      </c>
      <c r="G3580" s="6" t="str">
        <f>"C010202000400009"</f>
        <v>C010202000400009</v>
      </c>
      <c r="H3580" s="6" t="str">
        <f>"Cama - ROYAL II - Sa"</f>
        <v>Cama - ROYAL II - Sa</v>
      </c>
      <c r="I3580" s="6" t="str">
        <f t="shared" si="877"/>
        <v>501001</v>
      </c>
      <c r="J3580" s="6" t="str">
        <f t="shared" si="878"/>
        <v>Blanco</v>
      </c>
      <c r="K3580" s="6" t="str">
        <f>"7114"</f>
        <v>7114</v>
      </c>
      <c r="L3580" s="6" t="str">
        <f t="shared" si="874"/>
        <v>Cama</v>
      </c>
      <c r="M3580" s="6" t="str">
        <f>"270x220+40"</f>
        <v>270x220+40</v>
      </c>
      <c r="N3580" s="6" t="str">
        <f>"5602972667868"</f>
        <v>5602972667868</v>
      </c>
      <c r="O3580" s="8">
        <v>10</v>
      </c>
      <c r="R3580" s="8">
        <v>0</v>
      </c>
      <c r="U3580" s="8">
        <v>0</v>
      </c>
      <c r="X3580" s="8">
        <v>0</v>
      </c>
      <c r="Z3580" s="8">
        <v>0</v>
      </c>
      <c r="AC3580" s="8">
        <v>0</v>
      </c>
      <c r="AF3580" s="8">
        <v>0</v>
      </c>
      <c r="AN3580" s="8">
        <v>0</v>
      </c>
      <c r="AO3580" s="8">
        <v>10</v>
      </c>
    </row>
    <row r="3581" spans="1:41" x14ac:dyDescent="0.25">
      <c r="A3581" s="6" t="str">
        <f t="shared" si="872"/>
        <v>525-2025000425</v>
      </c>
      <c r="B3581" s="6" t="str">
        <f t="shared" si="860"/>
        <v>Lasa Int</v>
      </c>
      <c r="C3581" s="7">
        <v>45883</v>
      </c>
      <c r="D3581" s="7">
        <v>46081</v>
      </c>
      <c r="E3581" s="8">
        <v>60</v>
      </c>
      <c r="F3581" s="6" t="str">
        <f t="shared" si="873"/>
        <v>Royal II import</v>
      </c>
      <c r="G3581" s="6" t="str">
        <f>"C010202000500009"</f>
        <v>C010202000500009</v>
      </c>
      <c r="H3581" s="6" t="str">
        <f>"Cama - ROYAL II - Le"</f>
        <v>Cama - ROYAL II - Le</v>
      </c>
      <c r="I3581" s="6" t="str">
        <f t="shared" si="877"/>
        <v>501001</v>
      </c>
      <c r="J3581" s="6" t="str">
        <f t="shared" si="878"/>
        <v>Blanco</v>
      </c>
      <c r="K3581" s="6" t="str">
        <f>"6920"</f>
        <v>6920</v>
      </c>
      <c r="L3581" s="6" t="str">
        <f t="shared" si="874"/>
        <v>Cama</v>
      </c>
      <c r="M3581" s="6" t="str">
        <f>"90x200+33"</f>
        <v>90x200+33</v>
      </c>
      <c r="N3581" s="6" t="str">
        <f>"5602972667875"</f>
        <v>5602972667875</v>
      </c>
      <c r="O3581" s="8">
        <v>150</v>
      </c>
      <c r="R3581" s="8">
        <v>0</v>
      </c>
      <c r="U3581" s="8">
        <v>0</v>
      </c>
      <c r="X3581" s="8">
        <v>0</v>
      </c>
      <c r="Z3581" s="8">
        <v>0</v>
      </c>
      <c r="AC3581" s="8">
        <v>0</v>
      </c>
      <c r="AF3581" s="8">
        <v>0</v>
      </c>
      <c r="AN3581" s="8">
        <v>0</v>
      </c>
      <c r="AO3581" s="8">
        <v>150</v>
      </c>
    </row>
    <row r="3582" spans="1:41" x14ac:dyDescent="0.25">
      <c r="A3582" s="6" t="str">
        <f t="shared" si="872"/>
        <v>525-2025000425</v>
      </c>
      <c r="B3582" s="6" t="str">
        <f t="shared" si="860"/>
        <v>Lasa Int</v>
      </c>
      <c r="C3582" s="7">
        <v>45883</v>
      </c>
      <c r="D3582" s="7">
        <v>46081</v>
      </c>
      <c r="E3582" s="8">
        <v>61</v>
      </c>
      <c r="F3582" s="6" t="str">
        <f t="shared" si="873"/>
        <v>Royal II import</v>
      </c>
      <c r="G3582" s="6" t="str">
        <f>"C010202000500009"</f>
        <v>C010202000500009</v>
      </c>
      <c r="H3582" s="6" t="str">
        <f>"Cama - ROYAL II - Le"</f>
        <v>Cama - ROYAL II - Le</v>
      </c>
      <c r="I3582" s="6" t="str">
        <f t="shared" si="877"/>
        <v>501001</v>
      </c>
      <c r="J3582" s="6" t="str">
        <f t="shared" si="878"/>
        <v>Blanco</v>
      </c>
      <c r="K3582" s="6" t="str">
        <f>"6921"</f>
        <v>6921</v>
      </c>
      <c r="L3582" s="6" t="str">
        <f t="shared" si="874"/>
        <v>Cama</v>
      </c>
      <c r="M3582" s="6" t="str">
        <f>"108x200+33"</f>
        <v>108x200+33</v>
      </c>
      <c r="N3582" s="6" t="str">
        <f>"5602972667882"</f>
        <v>5602972667882</v>
      </c>
      <c r="O3582" s="8">
        <v>40</v>
      </c>
      <c r="R3582" s="8">
        <v>0</v>
      </c>
      <c r="U3582" s="8">
        <v>0</v>
      </c>
      <c r="X3582" s="8">
        <v>0</v>
      </c>
      <c r="Z3582" s="8">
        <v>0</v>
      </c>
      <c r="AC3582" s="8">
        <v>0</v>
      </c>
      <c r="AF3582" s="8">
        <v>0</v>
      </c>
      <c r="AN3582" s="8">
        <v>0</v>
      </c>
      <c r="AO3582" s="8">
        <v>40</v>
      </c>
    </row>
    <row r="3583" spans="1:41" x14ac:dyDescent="0.25">
      <c r="A3583" s="6" t="str">
        <f t="shared" si="872"/>
        <v>525-2025000425</v>
      </c>
      <c r="B3583" s="6" t="str">
        <f t="shared" si="860"/>
        <v>Lasa Int</v>
      </c>
      <c r="C3583" s="7">
        <v>45883</v>
      </c>
      <c r="D3583" s="7">
        <v>46081</v>
      </c>
      <c r="E3583" s="8">
        <v>62</v>
      </c>
      <c r="F3583" s="6" t="str">
        <f t="shared" si="873"/>
        <v>Royal II import</v>
      </c>
      <c r="G3583" s="6" t="str">
        <f>"C010202000500009"</f>
        <v>C010202000500009</v>
      </c>
      <c r="H3583" s="6" t="str">
        <f>"Cama - ROYAL II - Le"</f>
        <v>Cama - ROYAL II - Le</v>
      </c>
      <c r="I3583" s="6" t="str">
        <f t="shared" si="877"/>
        <v>501001</v>
      </c>
      <c r="J3583" s="6" t="str">
        <f t="shared" si="878"/>
        <v>Blanco</v>
      </c>
      <c r="K3583" s="6" t="str">
        <f>"6922"</f>
        <v>6922</v>
      </c>
      <c r="L3583" s="6" t="str">
        <f t="shared" si="874"/>
        <v>Cama</v>
      </c>
      <c r="M3583" s="6" t="str">
        <f>"135x200+33"</f>
        <v>135x200+33</v>
      </c>
      <c r="N3583" s="6" t="str">
        <f>"5602972667899"</f>
        <v>5602972667899</v>
      </c>
      <c r="O3583" s="8">
        <v>60</v>
      </c>
      <c r="R3583" s="8">
        <v>0</v>
      </c>
      <c r="U3583" s="8">
        <v>0</v>
      </c>
      <c r="X3583" s="8">
        <v>0</v>
      </c>
      <c r="Z3583" s="8">
        <v>0</v>
      </c>
      <c r="AC3583" s="8">
        <v>0</v>
      </c>
      <c r="AF3583" s="8">
        <v>0</v>
      </c>
      <c r="AN3583" s="8">
        <v>0</v>
      </c>
      <c r="AO3583" s="8">
        <v>60</v>
      </c>
    </row>
    <row r="3584" spans="1:41" x14ac:dyDescent="0.25">
      <c r="A3584" s="6" t="str">
        <f t="shared" si="872"/>
        <v>525-2025000425</v>
      </c>
      <c r="B3584" s="6" t="str">
        <f t="shared" si="860"/>
        <v>Lasa Int</v>
      </c>
      <c r="C3584" s="7">
        <v>45883</v>
      </c>
      <c r="D3584" s="7">
        <v>46081</v>
      </c>
      <c r="E3584" s="8">
        <v>63</v>
      </c>
      <c r="F3584" s="6" t="str">
        <f t="shared" si="873"/>
        <v>Royal II import</v>
      </c>
      <c r="G3584" s="6" t="str">
        <f>"C010202000500009"</f>
        <v>C010202000500009</v>
      </c>
      <c r="H3584" s="6" t="str">
        <f>"Cama - ROYAL II - Le"</f>
        <v>Cama - ROYAL II - Le</v>
      </c>
      <c r="I3584" s="6" t="str">
        <f t="shared" si="877"/>
        <v>501001</v>
      </c>
      <c r="J3584" s="6" t="str">
        <f t="shared" si="878"/>
        <v>Blanco</v>
      </c>
      <c r="K3584" s="6" t="str">
        <f>"6923"</f>
        <v>6923</v>
      </c>
      <c r="L3584" s="6" t="str">
        <f t="shared" si="874"/>
        <v>Cama</v>
      </c>
      <c r="M3584" s="6" t="str">
        <f>"158x200+33"</f>
        <v>158x200+33</v>
      </c>
      <c r="N3584" s="6" t="str">
        <f>"5602972667905"</f>
        <v>5602972667905</v>
      </c>
      <c r="O3584" s="8">
        <v>180</v>
      </c>
      <c r="R3584" s="8">
        <v>0</v>
      </c>
      <c r="U3584" s="8">
        <v>0</v>
      </c>
      <c r="X3584" s="8">
        <v>0</v>
      </c>
      <c r="Z3584" s="8">
        <v>0</v>
      </c>
      <c r="AC3584" s="8">
        <v>0</v>
      </c>
      <c r="AF3584" s="8">
        <v>0</v>
      </c>
      <c r="AN3584" s="8">
        <v>0</v>
      </c>
      <c r="AO3584" s="8">
        <v>180</v>
      </c>
    </row>
    <row r="3585" spans="1:41" x14ac:dyDescent="0.25">
      <c r="A3585" s="6" t="str">
        <f t="shared" si="872"/>
        <v>525-2025000425</v>
      </c>
      <c r="B3585" s="6" t="str">
        <f t="shared" si="860"/>
        <v>Lasa Int</v>
      </c>
      <c r="C3585" s="7">
        <v>45883</v>
      </c>
      <c r="D3585" s="7">
        <v>46081</v>
      </c>
      <c r="E3585" s="8">
        <v>64</v>
      </c>
      <c r="F3585" s="6" t="str">
        <f t="shared" si="873"/>
        <v>Royal II import</v>
      </c>
      <c r="G3585" s="6" t="str">
        <f>"C010202000500009"</f>
        <v>C010202000500009</v>
      </c>
      <c r="H3585" s="6" t="str">
        <f>"Cama - ROYAL II - Le"</f>
        <v>Cama - ROYAL II - Le</v>
      </c>
      <c r="I3585" s="6" t="str">
        <f t="shared" si="877"/>
        <v>501001</v>
      </c>
      <c r="J3585" s="6" t="str">
        <f t="shared" si="878"/>
        <v>Blanco</v>
      </c>
      <c r="K3585" s="6" t="str">
        <f>"6924"</f>
        <v>6924</v>
      </c>
      <c r="L3585" s="6" t="str">
        <f t="shared" si="874"/>
        <v>Cama</v>
      </c>
      <c r="M3585" s="6" t="str">
        <f>"180x200+33"</f>
        <v>180x200+33</v>
      </c>
      <c r="N3585" s="6" t="str">
        <f>"5602972667912"</f>
        <v>5602972667912</v>
      </c>
      <c r="O3585" s="8">
        <v>90</v>
      </c>
      <c r="R3585" s="8">
        <v>0</v>
      </c>
      <c r="U3585" s="8">
        <v>0</v>
      </c>
      <c r="X3585" s="8">
        <v>0</v>
      </c>
      <c r="Z3585" s="8">
        <v>0</v>
      </c>
      <c r="AC3585" s="8">
        <v>0</v>
      </c>
      <c r="AF3585" s="8">
        <v>0</v>
      </c>
      <c r="AN3585" s="8">
        <v>0</v>
      </c>
      <c r="AO3585" s="8">
        <v>90</v>
      </c>
    </row>
    <row r="3586" spans="1:41" x14ac:dyDescent="0.25">
      <c r="A3586" s="6" t="str">
        <f t="shared" ref="A3586:A3592" si="879">"525-2025000425"</f>
        <v>525-2025000425</v>
      </c>
      <c r="B3586" s="6" t="str">
        <f t="shared" ref="B3586:B3649" si="880">"Lasa Int"</f>
        <v>Lasa Int</v>
      </c>
      <c r="C3586" s="7">
        <v>45883</v>
      </c>
      <c r="D3586" s="7">
        <v>46081</v>
      </c>
      <c r="E3586" s="8">
        <v>65</v>
      </c>
      <c r="F3586" s="6" t="str">
        <f t="shared" ref="F3586:F3592" si="881">"Royal II import"</f>
        <v>Royal II import</v>
      </c>
      <c r="G3586" s="6" t="str">
        <f t="shared" ref="G3586:G3591" si="882">"C010202000600009"</f>
        <v>C010202000600009</v>
      </c>
      <c r="H3586" s="6" t="str">
        <f t="shared" ref="H3586:H3591" si="883">"Cama - ROYAL II - Al"</f>
        <v>Cama - ROYAL II - Al</v>
      </c>
      <c r="I3586" s="6" t="str">
        <f t="shared" si="877"/>
        <v>501001</v>
      </c>
      <c r="J3586" s="6" t="str">
        <f t="shared" si="878"/>
        <v>Blanco</v>
      </c>
      <c r="K3586" s="6" t="str">
        <f>"7130"</f>
        <v>7130</v>
      </c>
      <c r="L3586" s="6" t="str">
        <f t="shared" ref="L3586:L3617" si="884">"Cama"</f>
        <v>Cama</v>
      </c>
      <c r="M3586" s="6" t="str">
        <f>"45x110"</f>
        <v>45x110</v>
      </c>
      <c r="N3586" s="6" t="str">
        <f>"5602972667936"</f>
        <v>5602972667936</v>
      </c>
      <c r="O3586" s="8">
        <v>110</v>
      </c>
      <c r="R3586" s="8">
        <v>0</v>
      </c>
      <c r="U3586" s="8">
        <v>0</v>
      </c>
      <c r="X3586" s="8">
        <v>0</v>
      </c>
      <c r="Z3586" s="8">
        <v>0</v>
      </c>
      <c r="AC3586" s="8">
        <v>0</v>
      </c>
      <c r="AF3586" s="8">
        <v>0</v>
      </c>
      <c r="AN3586" s="8">
        <v>0</v>
      </c>
      <c r="AO3586" s="8">
        <v>110</v>
      </c>
    </row>
    <row r="3587" spans="1:41" x14ac:dyDescent="0.25">
      <c r="A3587" s="6" t="str">
        <f t="shared" si="879"/>
        <v>525-2025000425</v>
      </c>
      <c r="B3587" s="6" t="str">
        <f t="shared" si="880"/>
        <v>Lasa Int</v>
      </c>
      <c r="C3587" s="7">
        <v>45883</v>
      </c>
      <c r="D3587" s="7">
        <v>46081</v>
      </c>
      <c r="E3587" s="8">
        <v>66</v>
      </c>
      <c r="F3587" s="6" t="str">
        <f t="shared" si="881"/>
        <v>Royal II import</v>
      </c>
      <c r="G3587" s="6" t="str">
        <f t="shared" si="882"/>
        <v>C010202000600009</v>
      </c>
      <c r="H3587" s="6" t="str">
        <f t="shared" si="883"/>
        <v>Cama - ROYAL II - Al</v>
      </c>
      <c r="I3587" s="6" t="str">
        <f t="shared" si="877"/>
        <v>501001</v>
      </c>
      <c r="J3587" s="6" t="str">
        <f t="shared" si="878"/>
        <v>Blanco</v>
      </c>
      <c r="K3587" s="6" t="str">
        <f>"7131"</f>
        <v>7131</v>
      </c>
      <c r="L3587" s="6" t="str">
        <f t="shared" si="884"/>
        <v>Cama</v>
      </c>
      <c r="M3587" s="6" t="str">
        <f>"45x130"</f>
        <v>45x130</v>
      </c>
      <c r="N3587" s="6" t="str">
        <f>"5602972667943"</f>
        <v>5602972667943</v>
      </c>
      <c r="O3587" s="8">
        <v>10</v>
      </c>
      <c r="R3587" s="8">
        <v>0</v>
      </c>
      <c r="U3587" s="8">
        <v>0</v>
      </c>
      <c r="X3587" s="8">
        <v>0</v>
      </c>
      <c r="Z3587" s="8">
        <v>0</v>
      </c>
      <c r="AC3587" s="8">
        <v>0</v>
      </c>
      <c r="AF3587" s="8">
        <v>0</v>
      </c>
      <c r="AN3587" s="8">
        <v>0</v>
      </c>
      <c r="AO3587" s="8">
        <v>10</v>
      </c>
    </row>
    <row r="3588" spans="1:41" x14ac:dyDescent="0.25">
      <c r="A3588" s="6" t="str">
        <f t="shared" si="879"/>
        <v>525-2025000425</v>
      </c>
      <c r="B3588" s="6" t="str">
        <f t="shared" si="880"/>
        <v>Lasa Int</v>
      </c>
      <c r="C3588" s="7">
        <v>45883</v>
      </c>
      <c r="D3588" s="7">
        <v>46081</v>
      </c>
      <c r="E3588" s="8">
        <v>67</v>
      </c>
      <c r="F3588" s="6" t="str">
        <f t="shared" si="881"/>
        <v>Royal II import</v>
      </c>
      <c r="G3588" s="6" t="str">
        <f t="shared" si="882"/>
        <v>C010202000600009</v>
      </c>
      <c r="H3588" s="6" t="str">
        <f t="shared" si="883"/>
        <v>Cama - ROYAL II - Al</v>
      </c>
      <c r="I3588" s="6" t="str">
        <f t="shared" si="877"/>
        <v>501001</v>
      </c>
      <c r="J3588" s="6" t="str">
        <f t="shared" si="878"/>
        <v>Blanco</v>
      </c>
      <c r="K3588" s="6" t="str">
        <f>"7132"</f>
        <v>7132</v>
      </c>
      <c r="L3588" s="6" t="str">
        <f t="shared" si="884"/>
        <v>Cama</v>
      </c>
      <c r="M3588" s="6" t="str">
        <f>"45x155"</f>
        <v>45x155</v>
      </c>
      <c r="N3588" s="6" t="str">
        <f>"5602972667950"</f>
        <v>5602972667950</v>
      </c>
      <c r="O3588" s="8">
        <v>50</v>
      </c>
      <c r="R3588" s="8">
        <v>0</v>
      </c>
      <c r="U3588" s="8">
        <v>0</v>
      </c>
      <c r="X3588" s="8">
        <v>0</v>
      </c>
      <c r="Z3588" s="8">
        <v>0</v>
      </c>
      <c r="AC3588" s="8">
        <v>0</v>
      </c>
      <c r="AF3588" s="8">
        <v>0</v>
      </c>
      <c r="AN3588" s="8">
        <v>0</v>
      </c>
      <c r="AO3588" s="8">
        <v>50</v>
      </c>
    </row>
    <row r="3589" spans="1:41" x14ac:dyDescent="0.25">
      <c r="A3589" s="6" t="str">
        <f t="shared" si="879"/>
        <v>525-2025000425</v>
      </c>
      <c r="B3589" s="6" t="str">
        <f t="shared" si="880"/>
        <v>Lasa Int</v>
      </c>
      <c r="C3589" s="7">
        <v>45883</v>
      </c>
      <c r="D3589" s="7">
        <v>46081</v>
      </c>
      <c r="E3589" s="8">
        <v>68</v>
      </c>
      <c r="F3589" s="6" t="str">
        <f t="shared" si="881"/>
        <v>Royal II import</v>
      </c>
      <c r="G3589" s="6" t="str">
        <f t="shared" si="882"/>
        <v>C010202000600009</v>
      </c>
      <c r="H3589" s="6" t="str">
        <f t="shared" si="883"/>
        <v>Cama - ROYAL II - Al</v>
      </c>
      <c r="I3589" s="6" t="str">
        <f t="shared" si="877"/>
        <v>501001</v>
      </c>
      <c r="J3589" s="6" t="str">
        <f t="shared" si="878"/>
        <v>Blanco</v>
      </c>
      <c r="K3589" s="6" t="str">
        <f>"7137"</f>
        <v>7137</v>
      </c>
      <c r="L3589" s="6" t="str">
        <f t="shared" si="884"/>
        <v>Cama</v>
      </c>
      <c r="M3589" s="6" t="str">
        <f>"45x180"</f>
        <v>45x180</v>
      </c>
      <c r="N3589" s="6" t="str">
        <f>"5602972667967"</f>
        <v>5602972667967</v>
      </c>
      <c r="O3589" s="8">
        <v>30</v>
      </c>
      <c r="R3589" s="8">
        <v>0</v>
      </c>
      <c r="U3589" s="8">
        <v>0</v>
      </c>
      <c r="X3589" s="8">
        <v>0</v>
      </c>
      <c r="Z3589" s="8">
        <v>0</v>
      </c>
      <c r="AC3589" s="8">
        <v>0</v>
      </c>
      <c r="AF3589" s="8">
        <v>0</v>
      </c>
      <c r="AN3589" s="8">
        <v>0</v>
      </c>
      <c r="AO3589" s="8">
        <v>30</v>
      </c>
    </row>
    <row r="3590" spans="1:41" x14ac:dyDescent="0.25">
      <c r="A3590" s="6" t="str">
        <f t="shared" si="879"/>
        <v>525-2025000425</v>
      </c>
      <c r="B3590" s="6" t="str">
        <f t="shared" si="880"/>
        <v>Lasa Int</v>
      </c>
      <c r="C3590" s="7">
        <v>45883</v>
      </c>
      <c r="D3590" s="7">
        <v>46081</v>
      </c>
      <c r="E3590" s="8">
        <v>69</v>
      </c>
      <c r="F3590" s="6" t="str">
        <f t="shared" si="881"/>
        <v>Royal II import</v>
      </c>
      <c r="G3590" s="6" t="str">
        <f t="shared" si="882"/>
        <v>C010202000600009</v>
      </c>
      <c r="H3590" s="6" t="str">
        <f t="shared" si="883"/>
        <v>Cama - ROYAL II - Al</v>
      </c>
      <c r="I3590" s="6" t="str">
        <f t="shared" si="877"/>
        <v>501001</v>
      </c>
      <c r="J3590" s="6" t="str">
        <f t="shared" si="878"/>
        <v>Blanco</v>
      </c>
      <c r="K3590" s="6" t="str">
        <f>"7133"</f>
        <v>7133</v>
      </c>
      <c r="L3590" s="6" t="str">
        <f t="shared" si="884"/>
        <v>Cama</v>
      </c>
      <c r="M3590" s="6" t="str">
        <f>"45x85"</f>
        <v>45x85</v>
      </c>
      <c r="N3590" s="6" t="str">
        <f>"5602972667974"</f>
        <v>5602972667974</v>
      </c>
      <c r="O3590" s="8">
        <v>270</v>
      </c>
      <c r="R3590" s="8">
        <v>0</v>
      </c>
      <c r="U3590" s="8">
        <v>0</v>
      </c>
      <c r="X3590" s="8">
        <v>0</v>
      </c>
      <c r="Z3590" s="8">
        <v>0</v>
      </c>
      <c r="AC3590" s="8">
        <v>0</v>
      </c>
      <c r="AF3590" s="8">
        <v>0</v>
      </c>
      <c r="AN3590" s="8">
        <v>0</v>
      </c>
      <c r="AO3590" s="8">
        <v>270</v>
      </c>
    </row>
    <row r="3591" spans="1:41" x14ac:dyDescent="0.25">
      <c r="A3591" s="6" t="str">
        <f t="shared" si="879"/>
        <v>525-2025000425</v>
      </c>
      <c r="B3591" s="6" t="str">
        <f t="shared" si="880"/>
        <v>Lasa Int</v>
      </c>
      <c r="C3591" s="7">
        <v>45883</v>
      </c>
      <c r="D3591" s="7">
        <v>46081</v>
      </c>
      <c r="E3591" s="8">
        <v>70</v>
      </c>
      <c r="F3591" s="6" t="str">
        <f t="shared" si="881"/>
        <v>Royal II import</v>
      </c>
      <c r="G3591" s="6" t="str">
        <f t="shared" si="882"/>
        <v>C010202000600009</v>
      </c>
      <c r="H3591" s="6" t="str">
        <f t="shared" si="883"/>
        <v>Cama - ROYAL II - Al</v>
      </c>
      <c r="I3591" s="6" t="str">
        <f t="shared" si="877"/>
        <v>501001</v>
      </c>
      <c r="J3591" s="6" t="str">
        <f t="shared" si="878"/>
        <v>Blanco</v>
      </c>
      <c r="K3591" s="6" t="str">
        <f>"7135"</f>
        <v>7135</v>
      </c>
      <c r="L3591" s="6" t="str">
        <f t="shared" si="884"/>
        <v>Cama</v>
      </c>
      <c r="M3591" s="6" t="str">
        <f>"50x85"</f>
        <v>50x85</v>
      </c>
      <c r="N3591" s="6" t="str">
        <f>"5602972667981"</f>
        <v>5602972667981</v>
      </c>
      <c r="O3591" s="8">
        <v>70</v>
      </c>
      <c r="R3591" s="8">
        <v>0</v>
      </c>
      <c r="U3591" s="8">
        <v>0</v>
      </c>
      <c r="X3591" s="8">
        <v>0</v>
      </c>
      <c r="Z3591" s="8">
        <v>0</v>
      </c>
      <c r="AC3591" s="8">
        <v>0</v>
      </c>
      <c r="AF3591" s="8">
        <v>0</v>
      </c>
      <c r="AN3591" s="8">
        <v>0</v>
      </c>
      <c r="AO3591" s="8">
        <v>70</v>
      </c>
    </row>
    <row r="3592" spans="1:41" x14ac:dyDescent="0.25">
      <c r="A3592" s="6" t="str">
        <f t="shared" si="879"/>
        <v>525-2025000425</v>
      </c>
      <c r="B3592" s="6" t="str">
        <f t="shared" si="880"/>
        <v>Lasa Int</v>
      </c>
      <c r="C3592" s="7">
        <v>45883</v>
      </c>
      <c r="D3592" s="7">
        <v>46081</v>
      </c>
      <c r="E3592" s="8">
        <v>71</v>
      </c>
      <c r="F3592" s="6" t="str">
        <f t="shared" si="881"/>
        <v>Royal II import</v>
      </c>
      <c r="G3592" s="6" t="str">
        <f>"C010202000700009"</f>
        <v>C010202000700009</v>
      </c>
      <c r="H3592" s="6" t="str">
        <f>"Cama - ROYAL II - Cu"</f>
        <v>Cama - ROYAL II - Cu</v>
      </c>
      <c r="I3592" s="6" t="str">
        <f t="shared" si="877"/>
        <v>501001</v>
      </c>
      <c r="J3592" s="6" t="str">
        <f t="shared" si="878"/>
        <v>Blanco</v>
      </c>
      <c r="K3592" s="6" t="str">
        <f>"7020"</f>
        <v>7020</v>
      </c>
      <c r="L3592" s="6" t="str">
        <f t="shared" si="884"/>
        <v>Cama</v>
      </c>
      <c r="M3592" s="6" t="str">
        <f>"55x55+5"</f>
        <v>55x55+5</v>
      </c>
      <c r="N3592" s="6" t="str">
        <f>"5602972667998"</f>
        <v>5602972667998</v>
      </c>
      <c r="O3592" s="8">
        <v>20</v>
      </c>
      <c r="R3592" s="8">
        <v>0</v>
      </c>
      <c r="U3592" s="8">
        <v>0</v>
      </c>
      <c r="X3592" s="8">
        <v>0</v>
      </c>
      <c r="Z3592" s="8">
        <v>0</v>
      </c>
      <c r="AC3592" s="8">
        <v>0</v>
      </c>
      <c r="AF3592" s="8">
        <v>0</v>
      </c>
      <c r="AN3592" s="8">
        <v>0</v>
      </c>
      <c r="AO3592" s="8">
        <v>20</v>
      </c>
    </row>
    <row r="3593" spans="1:41" x14ac:dyDescent="0.25">
      <c r="A3593" s="6" t="str">
        <f t="shared" ref="A3593:A3624" si="885">"525-2025000426"</f>
        <v>525-2025000426</v>
      </c>
      <c r="B3593" s="6" t="str">
        <f t="shared" si="880"/>
        <v>Lasa Int</v>
      </c>
      <c r="C3593" s="7">
        <v>45883</v>
      </c>
      <c r="D3593" s="7">
        <v>46068</v>
      </c>
      <c r="E3593" s="8">
        <v>1</v>
      </c>
      <c r="F3593" s="6" t="str">
        <f t="shared" ref="F3593:F3624" si="886">"Royal FR"</f>
        <v>Royal FR</v>
      </c>
      <c r="G3593" s="6" t="str">
        <f>"C010302000100000"</f>
        <v>C010302000100000</v>
      </c>
      <c r="H3593" s="6" t="str">
        <f>"Cama - ROYAL - Drap"</f>
        <v>Cama - ROYAL - Drap</v>
      </c>
      <c r="I3593" s="6" t="str">
        <f t="shared" ref="I3593:I3607" si="887">"501628"</f>
        <v>501628</v>
      </c>
      <c r="J3593" s="6" t="str">
        <f t="shared" ref="J3593:J3607" si="888">"Maquillage"</f>
        <v>Maquillage</v>
      </c>
      <c r="K3593" s="6" t="str">
        <f>"7147"</f>
        <v>7147</v>
      </c>
      <c r="L3593" s="6" t="str">
        <f t="shared" si="884"/>
        <v>Cama</v>
      </c>
      <c r="M3593" s="6" t="str">
        <f>"180x290"</f>
        <v>180x290</v>
      </c>
      <c r="N3593" s="6" t="str">
        <f>"5602972642551"</f>
        <v>5602972642551</v>
      </c>
      <c r="O3593" s="8">
        <v>20</v>
      </c>
      <c r="R3593" s="8">
        <v>0</v>
      </c>
      <c r="U3593" s="8">
        <v>0</v>
      </c>
      <c r="X3593" s="8">
        <v>0</v>
      </c>
      <c r="Z3593" s="8">
        <v>0</v>
      </c>
      <c r="AC3593" s="8">
        <v>0</v>
      </c>
      <c r="AF3593" s="8">
        <v>0</v>
      </c>
      <c r="AN3593" s="8">
        <v>0</v>
      </c>
      <c r="AO3593" s="8">
        <v>20</v>
      </c>
    </row>
    <row r="3594" spans="1:41" x14ac:dyDescent="0.25">
      <c r="A3594" s="6" t="str">
        <f t="shared" si="885"/>
        <v>525-2025000426</v>
      </c>
      <c r="B3594" s="6" t="str">
        <f t="shared" si="880"/>
        <v>Lasa Int</v>
      </c>
      <c r="C3594" s="7">
        <v>45883</v>
      </c>
      <c r="D3594" s="7">
        <v>46068</v>
      </c>
      <c r="E3594" s="8">
        <v>2</v>
      </c>
      <c r="F3594" s="6" t="str">
        <f t="shared" si="886"/>
        <v>Royal FR</v>
      </c>
      <c r="G3594" s="6" t="str">
        <f>"C010302000100000"</f>
        <v>C010302000100000</v>
      </c>
      <c r="H3594" s="6" t="str">
        <f>"Cama - ROYAL - Drap"</f>
        <v>Cama - ROYAL - Drap</v>
      </c>
      <c r="I3594" s="6" t="str">
        <f t="shared" si="887"/>
        <v>501628</v>
      </c>
      <c r="J3594" s="6" t="str">
        <f t="shared" si="888"/>
        <v>Maquillage</v>
      </c>
      <c r="K3594" s="6" t="str">
        <f>"7148"</f>
        <v>7148</v>
      </c>
      <c r="L3594" s="6" t="str">
        <f t="shared" si="884"/>
        <v>Cama</v>
      </c>
      <c r="M3594" s="6" t="str">
        <f>"240x300"</f>
        <v>240x300</v>
      </c>
      <c r="N3594" s="6" t="str">
        <f>"5602972642568"</f>
        <v>5602972642568</v>
      </c>
      <c r="O3594" s="8">
        <v>50</v>
      </c>
      <c r="R3594" s="8">
        <v>0</v>
      </c>
      <c r="U3594" s="8">
        <v>0</v>
      </c>
      <c r="X3594" s="8">
        <v>0</v>
      </c>
      <c r="Z3594" s="8">
        <v>0</v>
      </c>
      <c r="AC3594" s="8">
        <v>0</v>
      </c>
      <c r="AF3594" s="8">
        <v>0</v>
      </c>
      <c r="AN3594" s="8">
        <v>0</v>
      </c>
      <c r="AO3594" s="8">
        <v>50</v>
      </c>
    </row>
    <row r="3595" spans="1:41" x14ac:dyDescent="0.25">
      <c r="A3595" s="6" t="str">
        <f t="shared" si="885"/>
        <v>525-2025000426</v>
      </c>
      <c r="B3595" s="6" t="str">
        <f t="shared" si="880"/>
        <v>Lasa Int</v>
      </c>
      <c r="C3595" s="7">
        <v>45883</v>
      </c>
      <c r="D3595" s="7">
        <v>46068</v>
      </c>
      <c r="E3595" s="8">
        <v>3</v>
      </c>
      <c r="F3595" s="6" t="str">
        <f t="shared" si="886"/>
        <v>Royal FR</v>
      </c>
      <c r="G3595" s="6" t="str">
        <f>"C010302000100000"</f>
        <v>C010302000100000</v>
      </c>
      <c r="H3595" s="6" t="str">
        <f>"Cama - ROYAL - Drap"</f>
        <v>Cama - ROYAL - Drap</v>
      </c>
      <c r="I3595" s="6" t="str">
        <f t="shared" si="887"/>
        <v>501628</v>
      </c>
      <c r="J3595" s="6" t="str">
        <f t="shared" si="888"/>
        <v>Maquillage</v>
      </c>
      <c r="K3595" s="6" t="str">
        <f>"7149"</f>
        <v>7149</v>
      </c>
      <c r="L3595" s="6" t="str">
        <f t="shared" si="884"/>
        <v>Cama</v>
      </c>
      <c r="M3595" s="6" t="str">
        <f>"270x310"</f>
        <v>270x310</v>
      </c>
      <c r="N3595" s="6" t="str">
        <f>"5602972642575"</f>
        <v>5602972642575</v>
      </c>
      <c r="O3595" s="8">
        <v>20</v>
      </c>
      <c r="R3595" s="8">
        <v>0</v>
      </c>
      <c r="U3595" s="8">
        <v>0</v>
      </c>
      <c r="X3595" s="8">
        <v>0</v>
      </c>
      <c r="Z3595" s="8">
        <v>0</v>
      </c>
      <c r="AC3595" s="8">
        <v>0</v>
      </c>
      <c r="AF3595" s="8">
        <v>0</v>
      </c>
      <c r="AN3595" s="8">
        <v>0</v>
      </c>
      <c r="AO3595" s="8">
        <v>20</v>
      </c>
    </row>
    <row r="3596" spans="1:41" x14ac:dyDescent="0.25">
      <c r="A3596" s="6" t="str">
        <f t="shared" si="885"/>
        <v>525-2025000426</v>
      </c>
      <c r="B3596" s="6" t="str">
        <f t="shared" si="880"/>
        <v>Lasa Int</v>
      </c>
      <c r="C3596" s="7">
        <v>45883</v>
      </c>
      <c r="D3596" s="7">
        <v>46068</v>
      </c>
      <c r="E3596" s="8">
        <v>4</v>
      </c>
      <c r="F3596" s="6" t="str">
        <f t="shared" si="886"/>
        <v>Royal FR</v>
      </c>
      <c r="G3596" s="6" t="str">
        <f>"C010302000200000"</f>
        <v>C010302000200000</v>
      </c>
      <c r="H3596" s="6" t="str">
        <f>"Cama - ROYAL - Houss"</f>
        <v>Cama - ROYAL - Houss</v>
      </c>
      <c r="I3596" s="6" t="str">
        <f t="shared" si="887"/>
        <v>501628</v>
      </c>
      <c r="J3596" s="6" t="str">
        <f t="shared" si="888"/>
        <v>Maquillage</v>
      </c>
      <c r="K3596" s="6" t="str">
        <f>"7150"</f>
        <v>7150</v>
      </c>
      <c r="L3596" s="6" t="str">
        <f t="shared" si="884"/>
        <v>Cama</v>
      </c>
      <c r="M3596" s="6" t="str">
        <f>"140x200+40"</f>
        <v>140x200+40</v>
      </c>
      <c r="N3596" s="6" t="str">
        <f>"5602972642582"</f>
        <v>5602972642582</v>
      </c>
      <c r="O3596" s="8">
        <v>20</v>
      </c>
      <c r="R3596" s="8">
        <v>0</v>
      </c>
      <c r="U3596" s="8">
        <v>0</v>
      </c>
      <c r="X3596" s="8">
        <v>0</v>
      </c>
      <c r="Z3596" s="8">
        <v>0</v>
      </c>
      <c r="AC3596" s="8">
        <v>0</v>
      </c>
      <c r="AF3596" s="8">
        <v>0</v>
      </c>
      <c r="AN3596" s="8">
        <v>0</v>
      </c>
      <c r="AO3596" s="8">
        <v>20</v>
      </c>
    </row>
    <row r="3597" spans="1:41" x14ac:dyDescent="0.25">
      <c r="A3597" s="6" t="str">
        <f t="shared" si="885"/>
        <v>525-2025000426</v>
      </c>
      <c r="B3597" s="6" t="str">
        <f t="shared" si="880"/>
        <v>Lasa Int</v>
      </c>
      <c r="C3597" s="7">
        <v>45883</v>
      </c>
      <c r="D3597" s="7">
        <v>46068</v>
      </c>
      <c r="E3597" s="8">
        <v>5</v>
      </c>
      <c r="F3597" s="6" t="str">
        <f t="shared" si="886"/>
        <v>Royal FR</v>
      </c>
      <c r="G3597" s="6" t="str">
        <f>"C010302000200000"</f>
        <v>C010302000200000</v>
      </c>
      <c r="H3597" s="6" t="str">
        <f>"Cama - ROYAL - Houss"</f>
        <v>Cama - ROYAL - Houss</v>
      </c>
      <c r="I3597" s="6" t="str">
        <f t="shared" si="887"/>
        <v>501628</v>
      </c>
      <c r="J3597" s="6" t="str">
        <f t="shared" si="888"/>
        <v>Maquillage</v>
      </c>
      <c r="K3597" s="6" t="str">
        <f>"7152"</f>
        <v>7152</v>
      </c>
      <c r="L3597" s="6" t="str">
        <f t="shared" si="884"/>
        <v>Cama</v>
      </c>
      <c r="M3597" s="6" t="str">
        <f>"240x220+40"</f>
        <v>240x220+40</v>
      </c>
      <c r="N3597" s="6" t="str">
        <f>"5602972642605"</f>
        <v>5602972642605</v>
      </c>
      <c r="O3597" s="8">
        <v>20</v>
      </c>
      <c r="R3597" s="8">
        <v>0</v>
      </c>
      <c r="U3597" s="8">
        <v>0</v>
      </c>
      <c r="X3597" s="8">
        <v>0</v>
      </c>
      <c r="Z3597" s="8">
        <v>0</v>
      </c>
      <c r="AC3597" s="8">
        <v>0</v>
      </c>
      <c r="AF3597" s="8">
        <v>0</v>
      </c>
      <c r="AN3597" s="8">
        <v>0</v>
      </c>
      <c r="AO3597" s="8">
        <v>20</v>
      </c>
    </row>
    <row r="3598" spans="1:41" x14ac:dyDescent="0.25">
      <c r="A3598" s="6" t="str">
        <f t="shared" si="885"/>
        <v>525-2025000426</v>
      </c>
      <c r="B3598" s="6" t="str">
        <f t="shared" si="880"/>
        <v>Lasa Int</v>
      </c>
      <c r="C3598" s="7">
        <v>45883</v>
      </c>
      <c r="D3598" s="7">
        <v>46068</v>
      </c>
      <c r="E3598" s="8">
        <v>6</v>
      </c>
      <c r="F3598" s="6" t="str">
        <f t="shared" si="886"/>
        <v>Royal FR</v>
      </c>
      <c r="G3598" s="6" t="str">
        <f>"C010302000200000"</f>
        <v>C010302000200000</v>
      </c>
      <c r="H3598" s="6" t="str">
        <f>"Cama - ROYAL - Houss"</f>
        <v>Cama - ROYAL - Houss</v>
      </c>
      <c r="I3598" s="6" t="str">
        <f t="shared" si="887"/>
        <v>501628</v>
      </c>
      <c r="J3598" s="6" t="str">
        <f t="shared" si="888"/>
        <v>Maquillage</v>
      </c>
      <c r="K3598" s="6" t="str">
        <f>"7153"</f>
        <v>7153</v>
      </c>
      <c r="L3598" s="6" t="str">
        <f t="shared" si="884"/>
        <v>Cama</v>
      </c>
      <c r="M3598" s="6" t="str">
        <f>"260x240+40"</f>
        <v>260x240+40</v>
      </c>
      <c r="N3598" s="6" t="str">
        <f>"5602972642612"</f>
        <v>5602972642612</v>
      </c>
      <c r="O3598" s="8">
        <v>20</v>
      </c>
      <c r="R3598" s="8">
        <v>0</v>
      </c>
      <c r="U3598" s="8">
        <v>0</v>
      </c>
      <c r="X3598" s="8">
        <v>0</v>
      </c>
      <c r="Z3598" s="8">
        <v>0</v>
      </c>
      <c r="AC3598" s="8">
        <v>0</v>
      </c>
      <c r="AF3598" s="8">
        <v>0</v>
      </c>
      <c r="AN3598" s="8">
        <v>0</v>
      </c>
      <c r="AO3598" s="8">
        <v>20</v>
      </c>
    </row>
    <row r="3599" spans="1:41" x14ac:dyDescent="0.25">
      <c r="A3599" s="6" t="str">
        <f t="shared" si="885"/>
        <v>525-2025000426</v>
      </c>
      <c r="B3599" s="6" t="str">
        <f t="shared" si="880"/>
        <v>Lasa Int</v>
      </c>
      <c r="C3599" s="7">
        <v>45883</v>
      </c>
      <c r="D3599" s="7">
        <v>46068</v>
      </c>
      <c r="E3599" s="8">
        <v>7</v>
      </c>
      <c r="F3599" s="6" t="str">
        <f t="shared" si="886"/>
        <v>Royal FR</v>
      </c>
      <c r="G3599" s="6" t="str">
        <f>"C010302000300000"</f>
        <v>C010302000300000</v>
      </c>
      <c r="H3599" s="6" t="str">
        <f t="shared" ref="H3599:H3604" si="889">"Cama - ROYAL - Drap"</f>
        <v>Cama - ROYAL - Drap</v>
      </c>
      <c r="I3599" s="6" t="str">
        <f t="shared" si="887"/>
        <v>501628</v>
      </c>
      <c r="J3599" s="6" t="str">
        <f t="shared" si="888"/>
        <v>Maquillage</v>
      </c>
      <c r="K3599" s="6" t="str">
        <f>"7154"</f>
        <v>7154</v>
      </c>
      <c r="L3599" s="6" t="str">
        <f t="shared" si="884"/>
        <v>Cama</v>
      </c>
      <c r="M3599" s="6" t="str">
        <f>"90x190"</f>
        <v>90x190</v>
      </c>
      <c r="N3599" s="6" t="str">
        <f>"5602972642629"</f>
        <v>5602972642629</v>
      </c>
      <c r="O3599" s="8">
        <v>30</v>
      </c>
      <c r="R3599" s="8">
        <v>0</v>
      </c>
      <c r="U3599" s="8">
        <v>0</v>
      </c>
      <c r="X3599" s="8">
        <v>0</v>
      </c>
      <c r="Z3599" s="8">
        <v>0</v>
      </c>
      <c r="AC3599" s="8">
        <v>0</v>
      </c>
      <c r="AF3599" s="8">
        <v>0</v>
      </c>
      <c r="AN3599" s="8">
        <v>0</v>
      </c>
      <c r="AO3599" s="8">
        <v>30</v>
      </c>
    </row>
    <row r="3600" spans="1:41" x14ac:dyDescent="0.25">
      <c r="A3600" s="6" t="str">
        <f t="shared" si="885"/>
        <v>525-2025000426</v>
      </c>
      <c r="B3600" s="6" t="str">
        <f t="shared" si="880"/>
        <v>Lasa Int</v>
      </c>
      <c r="C3600" s="7">
        <v>45883</v>
      </c>
      <c r="D3600" s="7">
        <v>46068</v>
      </c>
      <c r="E3600" s="8">
        <v>8</v>
      </c>
      <c r="F3600" s="6" t="str">
        <f t="shared" si="886"/>
        <v>Royal FR</v>
      </c>
      <c r="G3600" s="6" t="str">
        <f>"C010302000300000"</f>
        <v>C010302000300000</v>
      </c>
      <c r="H3600" s="6" t="str">
        <f t="shared" si="889"/>
        <v>Cama - ROYAL - Drap</v>
      </c>
      <c r="I3600" s="6" t="str">
        <f t="shared" si="887"/>
        <v>501628</v>
      </c>
      <c r="J3600" s="6" t="str">
        <f t="shared" si="888"/>
        <v>Maquillage</v>
      </c>
      <c r="K3600" s="6" t="str">
        <f>"7155"</f>
        <v>7155</v>
      </c>
      <c r="L3600" s="6" t="str">
        <f t="shared" si="884"/>
        <v>Cama</v>
      </c>
      <c r="M3600" s="6" t="str">
        <f>"140x190"</f>
        <v>140x190</v>
      </c>
      <c r="N3600" s="6" t="str">
        <f>"5602972642636"</f>
        <v>5602972642636</v>
      </c>
      <c r="O3600" s="8">
        <v>90</v>
      </c>
      <c r="R3600" s="8">
        <v>0</v>
      </c>
      <c r="U3600" s="8">
        <v>0</v>
      </c>
      <c r="X3600" s="8">
        <v>0</v>
      </c>
      <c r="Z3600" s="8">
        <v>0</v>
      </c>
      <c r="AC3600" s="8">
        <v>0</v>
      </c>
      <c r="AF3600" s="8">
        <v>0</v>
      </c>
      <c r="AN3600" s="8">
        <v>0</v>
      </c>
      <c r="AO3600" s="8">
        <v>90</v>
      </c>
    </row>
    <row r="3601" spans="1:41" x14ac:dyDescent="0.25">
      <c r="A3601" s="6" t="str">
        <f t="shared" si="885"/>
        <v>525-2025000426</v>
      </c>
      <c r="B3601" s="6" t="str">
        <f t="shared" si="880"/>
        <v>Lasa Int</v>
      </c>
      <c r="C3601" s="7">
        <v>45883</v>
      </c>
      <c r="D3601" s="7">
        <v>46068</v>
      </c>
      <c r="E3601" s="8">
        <v>9</v>
      </c>
      <c r="F3601" s="6" t="str">
        <f t="shared" si="886"/>
        <v>Royal FR</v>
      </c>
      <c r="G3601" s="6" t="str">
        <f>"C010302000300000"</f>
        <v>C010302000300000</v>
      </c>
      <c r="H3601" s="6" t="str">
        <f t="shared" si="889"/>
        <v>Cama - ROYAL - Drap</v>
      </c>
      <c r="I3601" s="6" t="str">
        <f t="shared" si="887"/>
        <v>501628</v>
      </c>
      <c r="J3601" s="6" t="str">
        <f t="shared" si="888"/>
        <v>Maquillage</v>
      </c>
      <c r="K3601" s="6" t="str">
        <f>"7156"</f>
        <v>7156</v>
      </c>
      <c r="L3601" s="6" t="str">
        <f t="shared" si="884"/>
        <v>Cama</v>
      </c>
      <c r="M3601" s="6" t="str">
        <f>"160x200"</f>
        <v>160x200</v>
      </c>
      <c r="N3601" s="6" t="str">
        <f>"5602972642643"</f>
        <v>5602972642643</v>
      </c>
      <c r="O3601" s="8">
        <v>60</v>
      </c>
      <c r="R3601" s="8">
        <v>0</v>
      </c>
      <c r="U3601" s="8">
        <v>0</v>
      </c>
      <c r="X3601" s="8">
        <v>0</v>
      </c>
      <c r="Z3601" s="8">
        <v>0</v>
      </c>
      <c r="AC3601" s="8">
        <v>0</v>
      </c>
      <c r="AF3601" s="8">
        <v>0</v>
      </c>
      <c r="AN3601" s="8">
        <v>0</v>
      </c>
      <c r="AO3601" s="8">
        <v>60</v>
      </c>
    </row>
    <row r="3602" spans="1:41" x14ac:dyDescent="0.25">
      <c r="A3602" s="6" t="str">
        <f t="shared" si="885"/>
        <v>525-2025000426</v>
      </c>
      <c r="B3602" s="6" t="str">
        <f t="shared" si="880"/>
        <v>Lasa Int</v>
      </c>
      <c r="C3602" s="7">
        <v>45883</v>
      </c>
      <c r="D3602" s="7">
        <v>46068</v>
      </c>
      <c r="E3602" s="8">
        <v>10</v>
      </c>
      <c r="F3602" s="6" t="str">
        <f t="shared" si="886"/>
        <v>Royal FR</v>
      </c>
      <c r="G3602" s="6" t="str">
        <f>"C010302000300000"</f>
        <v>C010302000300000</v>
      </c>
      <c r="H3602" s="6" t="str">
        <f t="shared" si="889"/>
        <v>Cama - ROYAL - Drap</v>
      </c>
      <c r="I3602" s="6" t="str">
        <f t="shared" si="887"/>
        <v>501628</v>
      </c>
      <c r="J3602" s="6" t="str">
        <f t="shared" si="888"/>
        <v>Maquillage</v>
      </c>
      <c r="K3602" s="6" t="str">
        <f>"7157"</f>
        <v>7157</v>
      </c>
      <c r="L3602" s="6" t="str">
        <f t="shared" si="884"/>
        <v>Cama</v>
      </c>
      <c r="M3602" s="6" t="str">
        <f>"180x200"</f>
        <v>180x200</v>
      </c>
      <c r="N3602" s="6" t="str">
        <f>"5602972642650"</f>
        <v>5602972642650</v>
      </c>
      <c r="O3602" s="8">
        <v>30</v>
      </c>
      <c r="R3602" s="8">
        <v>0</v>
      </c>
      <c r="U3602" s="8">
        <v>0</v>
      </c>
      <c r="X3602" s="8">
        <v>0</v>
      </c>
      <c r="Z3602" s="8">
        <v>0</v>
      </c>
      <c r="AC3602" s="8">
        <v>0</v>
      </c>
      <c r="AF3602" s="8">
        <v>0</v>
      </c>
      <c r="AN3602" s="8">
        <v>0</v>
      </c>
      <c r="AO3602" s="8">
        <v>30</v>
      </c>
    </row>
    <row r="3603" spans="1:41" x14ac:dyDescent="0.25">
      <c r="A3603" s="6" t="str">
        <f t="shared" si="885"/>
        <v>525-2025000426</v>
      </c>
      <c r="B3603" s="6" t="str">
        <f t="shared" si="880"/>
        <v>Lasa Int</v>
      </c>
      <c r="C3603" s="7">
        <v>45883</v>
      </c>
      <c r="D3603" s="7">
        <v>46068</v>
      </c>
      <c r="E3603" s="8">
        <v>11</v>
      </c>
      <c r="F3603" s="6" t="str">
        <f t="shared" si="886"/>
        <v>Royal FR</v>
      </c>
      <c r="G3603" s="6" t="str">
        <f>"C010302000300000"</f>
        <v>C010302000300000</v>
      </c>
      <c r="H3603" s="6" t="str">
        <f t="shared" si="889"/>
        <v>Cama - ROYAL - Drap</v>
      </c>
      <c r="I3603" s="6" t="str">
        <f t="shared" si="887"/>
        <v>501628</v>
      </c>
      <c r="J3603" s="6" t="str">
        <f t="shared" si="888"/>
        <v>Maquillage</v>
      </c>
      <c r="K3603" s="6" t="str">
        <f>"7158"</f>
        <v>7158</v>
      </c>
      <c r="L3603" s="6" t="str">
        <f t="shared" si="884"/>
        <v>Cama</v>
      </c>
      <c r="M3603" s="6" t="str">
        <f>"200x200"</f>
        <v>200x200</v>
      </c>
      <c r="N3603" s="6" t="str">
        <f>"5602972642667"</f>
        <v>5602972642667</v>
      </c>
      <c r="O3603" s="8">
        <v>10</v>
      </c>
      <c r="R3603" s="8">
        <v>0</v>
      </c>
      <c r="U3603" s="8">
        <v>0</v>
      </c>
      <c r="X3603" s="8">
        <v>0</v>
      </c>
      <c r="Z3603" s="8">
        <v>0</v>
      </c>
      <c r="AC3603" s="8">
        <v>0</v>
      </c>
      <c r="AF3603" s="8">
        <v>0</v>
      </c>
      <c r="AN3603" s="8">
        <v>0</v>
      </c>
      <c r="AO3603" s="8">
        <v>10</v>
      </c>
    </row>
    <row r="3604" spans="1:41" x14ac:dyDescent="0.25">
      <c r="A3604" s="6" t="str">
        <f t="shared" si="885"/>
        <v>525-2025000426</v>
      </c>
      <c r="B3604" s="6" t="str">
        <f t="shared" si="880"/>
        <v>Lasa Int</v>
      </c>
      <c r="C3604" s="7">
        <v>45883</v>
      </c>
      <c r="D3604" s="7">
        <v>46068</v>
      </c>
      <c r="E3604" s="8">
        <v>12</v>
      </c>
      <c r="F3604" s="6" t="str">
        <f t="shared" si="886"/>
        <v>Royal FR</v>
      </c>
      <c r="G3604" s="6" t="str">
        <f>"C010302000400000"</f>
        <v>C010302000400000</v>
      </c>
      <c r="H3604" s="6" t="str">
        <f t="shared" si="889"/>
        <v>Cama - ROYAL - Drap</v>
      </c>
      <c r="I3604" s="6" t="str">
        <f t="shared" si="887"/>
        <v>501628</v>
      </c>
      <c r="J3604" s="6" t="str">
        <f t="shared" si="888"/>
        <v>Maquillage</v>
      </c>
      <c r="K3604" s="6" t="str">
        <f>"7159"</f>
        <v>7159</v>
      </c>
      <c r="L3604" s="6" t="str">
        <f t="shared" si="884"/>
        <v>Cama</v>
      </c>
      <c r="M3604" s="6" t="str">
        <f>"80x200"</f>
        <v>80x200</v>
      </c>
      <c r="N3604" s="6" t="str">
        <f>"5602972642674"</f>
        <v>5602972642674</v>
      </c>
      <c r="O3604" s="8">
        <v>20</v>
      </c>
      <c r="R3604" s="8">
        <v>0</v>
      </c>
      <c r="U3604" s="8">
        <v>0</v>
      </c>
      <c r="X3604" s="8">
        <v>0</v>
      </c>
      <c r="Z3604" s="8">
        <v>0</v>
      </c>
      <c r="AC3604" s="8">
        <v>0</v>
      </c>
      <c r="AF3604" s="8">
        <v>0</v>
      </c>
      <c r="AN3604" s="8">
        <v>0</v>
      </c>
      <c r="AO3604" s="8">
        <v>20</v>
      </c>
    </row>
    <row r="3605" spans="1:41" x14ac:dyDescent="0.25">
      <c r="A3605" s="6" t="str">
        <f t="shared" si="885"/>
        <v>525-2025000426</v>
      </c>
      <c r="B3605" s="6" t="str">
        <f t="shared" si="880"/>
        <v>Lasa Int</v>
      </c>
      <c r="C3605" s="7">
        <v>45883</v>
      </c>
      <c r="D3605" s="7">
        <v>46068</v>
      </c>
      <c r="E3605" s="8">
        <v>13</v>
      </c>
      <c r="F3605" s="6" t="str">
        <f t="shared" si="886"/>
        <v>Royal FR</v>
      </c>
      <c r="G3605" s="6" t="str">
        <f>"C010302000800000"</f>
        <v>C010302000800000</v>
      </c>
      <c r="H3605" s="6" t="str">
        <f>"Cama - ROYAL - Taill"</f>
        <v>Cama - ROYAL - Taill</v>
      </c>
      <c r="I3605" s="6" t="str">
        <f t="shared" si="887"/>
        <v>501628</v>
      </c>
      <c r="J3605" s="6" t="str">
        <f t="shared" si="888"/>
        <v>Maquillage</v>
      </c>
      <c r="K3605" s="6" t="str">
        <f>"7034"</f>
        <v>7034</v>
      </c>
      <c r="L3605" s="6" t="str">
        <f t="shared" si="884"/>
        <v>Cama</v>
      </c>
      <c r="M3605" s="6" t="str">
        <f>"65x65+5"</f>
        <v>65x65+5</v>
      </c>
      <c r="N3605" s="6" t="str">
        <f>"5602972642520"</f>
        <v>5602972642520</v>
      </c>
      <c r="O3605" s="8">
        <v>140</v>
      </c>
      <c r="R3605" s="8">
        <v>0</v>
      </c>
      <c r="U3605" s="8">
        <v>0</v>
      </c>
      <c r="X3605" s="8">
        <v>0</v>
      </c>
      <c r="Z3605" s="8">
        <v>0</v>
      </c>
      <c r="AC3605" s="8">
        <v>0</v>
      </c>
      <c r="AF3605" s="8">
        <v>0</v>
      </c>
      <c r="AN3605" s="8">
        <v>0</v>
      </c>
      <c r="AO3605" s="8">
        <v>140</v>
      </c>
    </row>
    <row r="3606" spans="1:41" x14ac:dyDescent="0.25">
      <c r="A3606" s="6" t="str">
        <f t="shared" si="885"/>
        <v>525-2025000426</v>
      </c>
      <c r="B3606" s="6" t="str">
        <f t="shared" si="880"/>
        <v>Lasa Int</v>
      </c>
      <c r="C3606" s="7">
        <v>45883</v>
      </c>
      <c r="D3606" s="7">
        <v>46068</v>
      </c>
      <c r="E3606" s="8">
        <v>14</v>
      </c>
      <c r="F3606" s="6" t="str">
        <f t="shared" si="886"/>
        <v>Royal FR</v>
      </c>
      <c r="G3606" s="6" t="str">
        <f>"C010302000800000"</f>
        <v>C010302000800000</v>
      </c>
      <c r="H3606" s="6" t="str">
        <f>"Cama - ROYAL - Taill"</f>
        <v>Cama - ROYAL - Taill</v>
      </c>
      <c r="I3606" s="6" t="str">
        <f t="shared" si="887"/>
        <v>501628</v>
      </c>
      <c r="J3606" s="6" t="str">
        <f t="shared" si="888"/>
        <v>Maquillage</v>
      </c>
      <c r="K3606" s="6" t="str">
        <f>"7035"</f>
        <v>7035</v>
      </c>
      <c r="L3606" s="6" t="str">
        <f t="shared" si="884"/>
        <v>Cama</v>
      </c>
      <c r="M3606" s="6" t="str">
        <f>"50x70+"</f>
        <v>50x70+</v>
      </c>
      <c r="N3606" s="6" t="str">
        <f>"5602972642537"</f>
        <v>5602972642537</v>
      </c>
      <c r="O3606" s="8">
        <v>150</v>
      </c>
      <c r="R3606" s="8">
        <v>0</v>
      </c>
      <c r="U3606" s="8">
        <v>0</v>
      </c>
      <c r="X3606" s="8">
        <v>0</v>
      </c>
      <c r="Z3606" s="8">
        <v>0</v>
      </c>
      <c r="AC3606" s="8">
        <v>0</v>
      </c>
      <c r="AF3606" s="8">
        <v>0</v>
      </c>
      <c r="AN3606" s="8">
        <v>0</v>
      </c>
      <c r="AO3606" s="8">
        <v>150</v>
      </c>
    </row>
    <row r="3607" spans="1:41" x14ac:dyDescent="0.25">
      <c r="A3607" s="6" t="str">
        <f t="shared" si="885"/>
        <v>525-2025000426</v>
      </c>
      <c r="B3607" s="6" t="str">
        <f t="shared" si="880"/>
        <v>Lasa Int</v>
      </c>
      <c r="C3607" s="7">
        <v>45883</v>
      </c>
      <c r="D3607" s="7">
        <v>46068</v>
      </c>
      <c r="E3607" s="8">
        <v>15</v>
      </c>
      <c r="F3607" s="6" t="str">
        <f t="shared" si="886"/>
        <v>Royal FR</v>
      </c>
      <c r="G3607" s="6" t="str">
        <f>"C010302000900000"</f>
        <v>C010302000900000</v>
      </c>
      <c r="H3607" s="6" t="str">
        <f>"Cama - ROYAL - Trave"</f>
        <v>Cama - ROYAL - Trave</v>
      </c>
      <c r="I3607" s="6" t="str">
        <f t="shared" si="887"/>
        <v>501628</v>
      </c>
      <c r="J3607" s="6" t="str">
        <f t="shared" si="888"/>
        <v>Maquillage</v>
      </c>
      <c r="K3607" s="6" t="str">
        <f>"7170"</f>
        <v>7170</v>
      </c>
      <c r="L3607" s="6" t="str">
        <f t="shared" si="884"/>
        <v>Cama</v>
      </c>
      <c r="M3607" s="6" t="str">
        <f>"45x185"</f>
        <v>45x185</v>
      </c>
      <c r="N3607" s="6" t="str">
        <f>"5602972642544"</f>
        <v>5602972642544</v>
      </c>
      <c r="O3607" s="8">
        <v>20</v>
      </c>
      <c r="R3607" s="8">
        <v>0</v>
      </c>
      <c r="U3607" s="8">
        <v>0</v>
      </c>
      <c r="X3607" s="8">
        <v>0</v>
      </c>
      <c r="Z3607" s="8">
        <v>0</v>
      </c>
      <c r="AC3607" s="8">
        <v>0</v>
      </c>
      <c r="AF3607" s="8">
        <v>0</v>
      </c>
      <c r="AN3607" s="8">
        <v>0</v>
      </c>
      <c r="AO3607" s="8">
        <v>20</v>
      </c>
    </row>
    <row r="3608" spans="1:41" x14ac:dyDescent="0.25">
      <c r="A3608" s="6" t="str">
        <f t="shared" si="885"/>
        <v>525-2025000426</v>
      </c>
      <c r="B3608" s="6" t="str">
        <f t="shared" si="880"/>
        <v>Lasa Int</v>
      </c>
      <c r="C3608" s="7">
        <v>45883</v>
      </c>
      <c r="D3608" s="7">
        <v>46068</v>
      </c>
      <c r="E3608" s="8">
        <v>16</v>
      </c>
      <c r="F3608" s="6" t="str">
        <f t="shared" si="886"/>
        <v>Royal FR</v>
      </c>
      <c r="G3608" s="6" t="str">
        <f>"C010302000100000"</f>
        <v>C010302000100000</v>
      </c>
      <c r="H3608" s="6" t="str">
        <f>"Cama - ROYAL - Drap"</f>
        <v>Cama - ROYAL - Drap</v>
      </c>
      <c r="I3608" s="6" t="str">
        <f t="shared" ref="I3608:I3619" si="890">"502130"</f>
        <v>502130</v>
      </c>
      <c r="J3608" s="6" t="str">
        <f t="shared" ref="J3608:J3619" si="891">"Azafrán"</f>
        <v>Azafrán</v>
      </c>
      <c r="K3608" s="6" t="str">
        <f>"7148"</f>
        <v>7148</v>
      </c>
      <c r="L3608" s="6" t="str">
        <f t="shared" si="884"/>
        <v>Cama</v>
      </c>
      <c r="M3608" s="6" t="str">
        <f>"240x300"</f>
        <v>240x300</v>
      </c>
      <c r="N3608" s="6" t="str">
        <f>"5602972695878"</f>
        <v>5602972695878</v>
      </c>
      <c r="O3608" s="8">
        <v>40</v>
      </c>
      <c r="R3608" s="8">
        <v>0</v>
      </c>
      <c r="U3608" s="8">
        <v>0</v>
      </c>
      <c r="X3608" s="8">
        <v>0</v>
      </c>
      <c r="Z3608" s="8">
        <v>0</v>
      </c>
      <c r="AC3608" s="8">
        <v>0</v>
      </c>
      <c r="AF3608" s="8">
        <v>0</v>
      </c>
      <c r="AN3608" s="8">
        <v>0</v>
      </c>
      <c r="AO3608" s="8">
        <v>40</v>
      </c>
    </row>
    <row r="3609" spans="1:41" x14ac:dyDescent="0.25">
      <c r="A3609" s="6" t="str">
        <f t="shared" si="885"/>
        <v>525-2025000426</v>
      </c>
      <c r="B3609" s="6" t="str">
        <f t="shared" si="880"/>
        <v>Lasa Int</v>
      </c>
      <c r="C3609" s="7">
        <v>45883</v>
      </c>
      <c r="D3609" s="7">
        <v>46068</v>
      </c>
      <c r="E3609" s="8">
        <v>17</v>
      </c>
      <c r="F3609" s="6" t="str">
        <f t="shared" si="886"/>
        <v>Royal FR</v>
      </c>
      <c r="G3609" s="6" t="str">
        <f>"C010302000100000"</f>
        <v>C010302000100000</v>
      </c>
      <c r="H3609" s="6" t="str">
        <f>"Cama - ROYAL - Drap"</f>
        <v>Cama - ROYAL - Drap</v>
      </c>
      <c r="I3609" s="6" t="str">
        <f t="shared" si="890"/>
        <v>502130</v>
      </c>
      <c r="J3609" s="6" t="str">
        <f t="shared" si="891"/>
        <v>Azafrán</v>
      </c>
      <c r="K3609" s="6" t="str">
        <f>"7149"</f>
        <v>7149</v>
      </c>
      <c r="L3609" s="6" t="str">
        <f t="shared" si="884"/>
        <v>Cama</v>
      </c>
      <c r="M3609" s="6" t="str">
        <f>"270x310"</f>
        <v>270x310</v>
      </c>
      <c r="N3609" s="6" t="str">
        <f>"5602972695885"</f>
        <v>5602972695885</v>
      </c>
      <c r="O3609" s="8">
        <v>30</v>
      </c>
      <c r="R3609" s="8">
        <v>0</v>
      </c>
      <c r="U3609" s="8">
        <v>0</v>
      </c>
      <c r="X3609" s="8">
        <v>0</v>
      </c>
      <c r="Z3609" s="8">
        <v>0</v>
      </c>
      <c r="AC3609" s="8">
        <v>0</v>
      </c>
      <c r="AF3609" s="8">
        <v>0</v>
      </c>
      <c r="AN3609" s="8">
        <v>0</v>
      </c>
      <c r="AO3609" s="8">
        <v>30</v>
      </c>
    </row>
    <row r="3610" spans="1:41" x14ac:dyDescent="0.25">
      <c r="A3610" s="6" t="str">
        <f t="shared" si="885"/>
        <v>525-2025000426</v>
      </c>
      <c r="B3610" s="6" t="str">
        <f t="shared" si="880"/>
        <v>Lasa Int</v>
      </c>
      <c r="C3610" s="7">
        <v>45883</v>
      </c>
      <c r="D3610" s="7">
        <v>46068</v>
      </c>
      <c r="E3610" s="8">
        <v>18</v>
      </c>
      <c r="F3610" s="6" t="str">
        <f t="shared" si="886"/>
        <v>Royal FR</v>
      </c>
      <c r="G3610" s="6" t="str">
        <f>"C010302000200000"</f>
        <v>C010302000200000</v>
      </c>
      <c r="H3610" s="6" t="str">
        <f>"Cama - ROYAL - Houss"</f>
        <v>Cama - ROYAL - Houss</v>
      </c>
      <c r="I3610" s="6" t="str">
        <f t="shared" si="890"/>
        <v>502130</v>
      </c>
      <c r="J3610" s="6" t="str">
        <f t="shared" si="891"/>
        <v>Azafrán</v>
      </c>
      <c r="K3610" s="6" t="str">
        <f>"7150"</f>
        <v>7150</v>
      </c>
      <c r="L3610" s="6" t="str">
        <f t="shared" si="884"/>
        <v>Cama</v>
      </c>
      <c r="M3610" s="6" t="str">
        <f>"140x200+40"</f>
        <v>140x200+40</v>
      </c>
      <c r="N3610" s="6" t="str">
        <f>"5602972695892"</f>
        <v>5602972695892</v>
      </c>
      <c r="O3610" s="8">
        <v>10</v>
      </c>
      <c r="R3610" s="8">
        <v>0</v>
      </c>
      <c r="U3610" s="8">
        <v>0</v>
      </c>
      <c r="X3610" s="8">
        <v>0</v>
      </c>
      <c r="Z3610" s="8">
        <v>0</v>
      </c>
      <c r="AC3610" s="8">
        <v>0</v>
      </c>
      <c r="AF3610" s="8">
        <v>0</v>
      </c>
      <c r="AN3610" s="8">
        <v>0</v>
      </c>
      <c r="AO3610" s="8">
        <v>10</v>
      </c>
    </row>
    <row r="3611" spans="1:41" x14ac:dyDescent="0.25">
      <c r="A3611" s="6" t="str">
        <f t="shared" si="885"/>
        <v>525-2025000426</v>
      </c>
      <c r="B3611" s="6" t="str">
        <f t="shared" si="880"/>
        <v>Lasa Int</v>
      </c>
      <c r="C3611" s="7">
        <v>45883</v>
      </c>
      <c r="D3611" s="7">
        <v>46068</v>
      </c>
      <c r="E3611" s="8">
        <v>19</v>
      </c>
      <c r="F3611" s="6" t="str">
        <f t="shared" si="886"/>
        <v>Royal FR</v>
      </c>
      <c r="G3611" s="6" t="str">
        <f>"C010302000200000"</f>
        <v>C010302000200000</v>
      </c>
      <c r="H3611" s="6" t="str">
        <f>"Cama - ROYAL - Houss"</f>
        <v>Cama - ROYAL - Houss</v>
      </c>
      <c r="I3611" s="6" t="str">
        <f t="shared" si="890"/>
        <v>502130</v>
      </c>
      <c r="J3611" s="6" t="str">
        <f t="shared" si="891"/>
        <v>Azafrán</v>
      </c>
      <c r="K3611" s="6" t="str">
        <f>"7152"</f>
        <v>7152</v>
      </c>
      <c r="L3611" s="6" t="str">
        <f t="shared" si="884"/>
        <v>Cama</v>
      </c>
      <c r="M3611" s="6" t="str">
        <f>"240x220+40"</f>
        <v>240x220+40</v>
      </c>
      <c r="N3611" s="6" t="str">
        <f>"5602972695915"</f>
        <v>5602972695915</v>
      </c>
      <c r="O3611" s="8">
        <v>30</v>
      </c>
      <c r="R3611" s="8">
        <v>0</v>
      </c>
      <c r="U3611" s="8">
        <v>0</v>
      </c>
      <c r="X3611" s="8">
        <v>0</v>
      </c>
      <c r="Z3611" s="8">
        <v>0</v>
      </c>
      <c r="AC3611" s="8">
        <v>0</v>
      </c>
      <c r="AF3611" s="8">
        <v>0</v>
      </c>
      <c r="AN3611" s="8">
        <v>0</v>
      </c>
      <c r="AO3611" s="8">
        <v>30</v>
      </c>
    </row>
    <row r="3612" spans="1:41" x14ac:dyDescent="0.25">
      <c r="A3612" s="6" t="str">
        <f t="shared" si="885"/>
        <v>525-2025000426</v>
      </c>
      <c r="B3612" s="6" t="str">
        <f t="shared" si="880"/>
        <v>Lasa Int</v>
      </c>
      <c r="C3612" s="7">
        <v>45883</v>
      </c>
      <c r="D3612" s="7">
        <v>46068</v>
      </c>
      <c r="E3612" s="8">
        <v>20</v>
      </c>
      <c r="F3612" s="6" t="str">
        <f t="shared" si="886"/>
        <v>Royal FR</v>
      </c>
      <c r="G3612" s="6" t="str">
        <f>"C010302000200000"</f>
        <v>C010302000200000</v>
      </c>
      <c r="H3612" s="6" t="str">
        <f>"Cama - ROYAL - Houss"</f>
        <v>Cama - ROYAL - Houss</v>
      </c>
      <c r="I3612" s="6" t="str">
        <f t="shared" si="890"/>
        <v>502130</v>
      </c>
      <c r="J3612" s="6" t="str">
        <f t="shared" si="891"/>
        <v>Azafrán</v>
      </c>
      <c r="K3612" s="6" t="str">
        <f>"7153"</f>
        <v>7153</v>
      </c>
      <c r="L3612" s="6" t="str">
        <f t="shared" si="884"/>
        <v>Cama</v>
      </c>
      <c r="M3612" s="6" t="str">
        <f>"260x240+40"</f>
        <v>260x240+40</v>
      </c>
      <c r="N3612" s="6" t="str">
        <f>"5602972695922"</f>
        <v>5602972695922</v>
      </c>
      <c r="O3612" s="8">
        <v>20</v>
      </c>
      <c r="R3612" s="8">
        <v>0</v>
      </c>
      <c r="U3612" s="8">
        <v>0</v>
      </c>
      <c r="X3612" s="8">
        <v>0</v>
      </c>
      <c r="Z3612" s="8">
        <v>0</v>
      </c>
      <c r="AC3612" s="8">
        <v>0</v>
      </c>
      <c r="AF3612" s="8">
        <v>0</v>
      </c>
      <c r="AN3612" s="8">
        <v>0</v>
      </c>
      <c r="AO3612" s="8">
        <v>20</v>
      </c>
    </row>
    <row r="3613" spans="1:41" x14ac:dyDescent="0.25">
      <c r="A3613" s="6" t="str">
        <f t="shared" si="885"/>
        <v>525-2025000426</v>
      </c>
      <c r="B3613" s="6" t="str">
        <f t="shared" si="880"/>
        <v>Lasa Int</v>
      </c>
      <c r="C3613" s="7">
        <v>45883</v>
      </c>
      <c r="D3613" s="7">
        <v>46068</v>
      </c>
      <c r="E3613" s="8">
        <v>21</v>
      </c>
      <c r="F3613" s="6" t="str">
        <f t="shared" si="886"/>
        <v>Royal FR</v>
      </c>
      <c r="G3613" s="6" t="str">
        <f>"C010302000300000"</f>
        <v>C010302000300000</v>
      </c>
      <c r="H3613" s="6" t="str">
        <f>"Cama - ROYAL - Drap"</f>
        <v>Cama - ROYAL - Drap</v>
      </c>
      <c r="I3613" s="6" t="str">
        <f t="shared" si="890"/>
        <v>502130</v>
      </c>
      <c r="J3613" s="6" t="str">
        <f t="shared" si="891"/>
        <v>Azafrán</v>
      </c>
      <c r="K3613" s="6" t="str">
        <f>"7154"</f>
        <v>7154</v>
      </c>
      <c r="L3613" s="6" t="str">
        <f t="shared" si="884"/>
        <v>Cama</v>
      </c>
      <c r="M3613" s="6" t="str">
        <f>"90x190"</f>
        <v>90x190</v>
      </c>
      <c r="N3613" s="6" t="str">
        <f>"5602972695939"</f>
        <v>5602972695939</v>
      </c>
      <c r="O3613" s="8">
        <v>30</v>
      </c>
      <c r="R3613" s="8">
        <v>0</v>
      </c>
      <c r="U3613" s="8">
        <v>0</v>
      </c>
      <c r="X3613" s="8">
        <v>0</v>
      </c>
      <c r="Z3613" s="8">
        <v>0</v>
      </c>
      <c r="AC3613" s="8">
        <v>0</v>
      </c>
      <c r="AF3613" s="8">
        <v>0</v>
      </c>
      <c r="AN3613" s="8">
        <v>0</v>
      </c>
      <c r="AO3613" s="8">
        <v>30</v>
      </c>
    </row>
    <row r="3614" spans="1:41" x14ac:dyDescent="0.25">
      <c r="A3614" s="6" t="str">
        <f t="shared" si="885"/>
        <v>525-2025000426</v>
      </c>
      <c r="B3614" s="6" t="str">
        <f t="shared" si="880"/>
        <v>Lasa Int</v>
      </c>
      <c r="C3614" s="7">
        <v>45883</v>
      </c>
      <c r="D3614" s="7">
        <v>46068</v>
      </c>
      <c r="E3614" s="8">
        <v>22</v>
      </c>
      <c r="F3614" s="6" t="str">
        <f t="shared" si="886"/>
        <v>Royal FR</v>
      </c>
      <c r="G3614" s="6" t="str">
        <f>"C010302000300000"</f>
        <v>C010302000300000</v>
      </c>
      <c r="H3614" s="6" t="str">
        <f>"Cama - ROYAL - Drap"</f>
        <v>Cama - ROYAL - Drap</v>
      </c>
      <c r="I3614" s="6" t="str">
        <f t="shared" si="890"/>
        <v>502130</v>
      </c>
      <c r="J3614" s="6" t="str">
        <f t="shared" si="891"/>
        <v>Azafrán</v>
      </c>
      <c r="K3614" s="6" t="str">
        <f>"7155"</f>
        <v>7155</v>
      </c>
      <c r="L3614" s="6" t="str">
        <f t="shared" si="884"/>
        <v>Cama</v>
      </c>
      <c r="M3614" s="6" t="str">
        <f>"140x190"</f>
        <v>140x190</v>
      </c>
      <c r="N3614" s="6" t="str">
        <f>"5602972695946"</f>
        <v>5602972695946</v>
      </c>
      <c r="O3614" s="8">
        <v>100</v>
      </c>
      <c r="R3614" s="8">
        <v>0</v>
      </c>
      <c r="U3614" s="8">
        <v>0</v>
      </c>
      <c r="X3614" s="8">
        <v>0</v>
      </c>
      <c r="Z3614" s="8">
        <v>0</v>
      </c>
      <c r="AC3614" s="8">
        <v>0</v>
      </c>
      <c r="AF3614" s="8">
        <v>0</v>
      </c>
      <c r="AN3614" s="8">
        <v>0</v>
      </c>
      <c r="AO3614" s="8">
        <v>100</v>
      </c>
    </row>
    <row r="3615" spans="1:41" x14ac:dyDescent="0.25">
      <c r="A3615" s="6" t="str">
        <f t="shared" si="885"/>
        <v>525-2025000426</v>
      </c>
      <c r="B3615" s="6" t="str">
        <f t="shared" si="880"/>
        <v>Lasa Int</v>
      </c>
      <c r="C3615" s="7">
        <v>45883</v>
      </c>
      <c r="D3615" s="7">
        <v>46068</v>
      </c>
      <c r="E3615" s="8">
        <v>23</v>
      </c>
      <c r="F3615" s="6" t="str">
        <f t="shared" si="886"/>
        <v>Royal FR</v>
      </c>
      <c r="G3615" s="6" t="str">
        <f>"C010302000300000"</f>
        <v>C010302000300000</v>
      </c>
      <c r="H3615" s="6" t="str">
        <f>"Cama - ROYAL - Drap"</f>
        <v>Cama - ROYAL - Drap</v>
      </c>
      <c r="I3615" s="6" t="str">
        <f t="shared" si="890"/>
        <v>502130</v>
      </c>
      <c r="J3615" s="6" t="str">
        <f t="shared" si="891"/>
        <v>Azafrán</v>
      </c>
      <c r="K3615" s="6" t="str">
        <f>"7156"</f>
        <v>7156</v>
      </c>
      <c r="L3615" s="6" t="str">
        <f t="shared" si="884"/>
        <v>Cama</v>
      </c>
      <c r="M3615" s="6" t="str">
        <f>"160x200"</f>
        <v>160x200</v>
      </c>
      <c r="N3615" s="6" t="str">
        <f>"5602972695953"</f>
        <v>5602972695953</v>
      </c>
      <c r="O3615" s="8">
        <v>90</v>
      </c>
      <c r="R3615" s="8">
        <v>0</v>
      </c>
      <c r="U3615" s="8">
        <v>0</v>
      </c>
      <c r="X3615" s="8">
        <v>0</v>
      </c>
      <c r="Z3615" s="8">
        <v>0</v>
      </c>
      <c r="AC3615" s="8">
        <v>0</v>
      </c>
      <c r="AF3615" s="8">
        <v>0</v>
      </c>
      <c r="AN3615" s="8">
        <v>0</v>
      </c>
      <c r="AO3615" s="8">
        <v>90</v>
      </c>
    </row>
    <row r="3616" spans="1:41" x14ac:dyDescent="0.25">
      <c r="A3616" s="6" t="str">
        <f t="shared" si="885"/>
        <v>525-2025000426</v>
      </c>
      <c r="B3616" s="6" t="str">
        <f t="shared" si="880"/>
        <v>Lasa Int</v>
      </c>
      <c r="C3616" s="7">
        <v>45883</v>
      </c>
      <c r="D3616" s="7">
        <v>46068</v>
      </c>
      <c r="E3616" s="8">
        <v>24</v>
      </c>
      <c r="F3616" s="6" t="str">
        <f t="shared" si="886"/>
        <v>Royal FR</v>
      </c>
      <c r="G3616" s="6" t="str">
        <f>"C010302000400000"</f>
        <v>C010302000400000</v>
      </c>
      <c r="H3616" s="6" t="str">
        <f>"Cama - ROYAL - Drap"</f>
        <v>Cama - ROYAL - Drap</v>
      </c>
      <c r="I3616" s="6" t="str">
        <f t="shared" si="890"/>
        <v>502130</v>
      </c>
      <c r="J3616" s="6" t="str">
        <f t="shared" si="891"/>
        <v>Azafrán</v>
      </c>
      <c r="K3616" s="6" t="str">
        <f>"7159"</f>
        <v>7159</v>
      </c>
      <c r="L3616" s="6" t="str">
        <f t="shared" si="884"/>
        <v>Cama</v>
      </c>
      <c r="M3616" s="6" t="str">
        <f>"80x200"</f>
        <v>80x200</v>
      </c>
      <c r="N3616" s="6" t="str">
        <f>"5602972695984"</f>
        <v>5602972695984</v>
      </c>
      <c r="O3616" s="8">
        <v>10</v>
      </c>
      <c r="R3616" s="8">
        <v>0</v>
      </c>
      <c r="U3616" s="8">
        <v>0</v>
      </c>
      <c r="X3616" s="8">
        <v>0</v>
      </c>
      <c r="Z3616" s="8">
        <v>0</v>
      </c>
      <c r="AC3616" s="8">
        <v>0</v>
      </c>
      <c r="AF3616" s="8">
        <v>0</v>
      </c>
      <c r="AN3616" s="8">
        <v>0</v>
      </c>
      <c r="AO3616" s="8">
        <v>10</v>
      </c>
    </row>
    <row r="3617" spans="1:41" x14ac:dyDescent="0.25">
      <c r="A3617" s="6" t="str">
        <f t="shared" si="885"/>
        <v>525-2025000426</v>
      </c>
      <c r="B3617" s="6" t="str">
        <f t="shared" si="880"/>
        <v>Lasa Int</v>
      </c>
      <c r="C3617" s="7">
        <v>45883</v>
      </c>
      <c r="D3617" s="7">
        <v>46068</v>
      </c>
      <c r="E3617" s="8">
        <v>25</v>
      </c>
      <c r="F3617" s="6" t="str">
        <f t="shared" si="886"/>
        <v>Royal FR</v>
      </c>
      <c r="G3617" s="6" t="str">
        <f>"C010302000800000"</f>
        <v>C010302000800000</v>
      </c>
      <c r="H3617" s="6" t="str">
        <f>"Cama - ROYAL - Taill"</f>
        <v>Cama - ROYAL - Taill</v>
      </c>
      <c r="I3617" s="6" t="str">
        <f t="shared" si="890"/>
        <v>502130</v>
      </c>
      <c r="J3617" s="6" t="str">
        <f t="shared" si="891"/>
        <v>Azafrán</v>
      </c>
      <c r="K3617" s="6" t="str">
        <f>"7034"</f>
        <v>7034</v>
      </c>
      <c r="L3617" s="6" t="str">
        <f t="shared" si="884"/>
        <v>Cama</v>
      </c>
      <c r="M3617" s="6" t="str">
        <f>"65x65+5"</f>
        <v>65x65+5</v>
      </c>
      <c r="N3617" s="6" t="str">
        <f>"5602972695830"</f>
        <v>5602972695830</v>
      </c>
      <c r="O3617" s="8">
        <v>190</v>
      </c>
      <c r="R3617" s="8">
        <v>0</v>
      </c>
      <c r="U3617" s="8">
        <v>0</v>
      </c>
      <c r="X3617" s="8">
        <v>0</v>
      </c>
      <c r="Z3617" s="8">
        <v>0</v>
      </c>
      <c r="AC3617" s="8">
        <v>0</v>
      </c>
      <c r="AF3617" s="8">
        <v>0</v>
      </c>
      <c r="AN3617" s="8">
        <v>0</v>
      </c>
      <c r="AO3617" s="8">
        <v>190</v>
      </c>
    </row>
    <row r="3618" spans="1:41" x14ac:dyDescent="0.25">
      <c r="A3618" s="6" t="str">
        <f t="shared" si="885"/>
        <v>525-2025000426</v>
      </c>
      <c r="B3618" s="6" t="str">
        <f t="shared" si="880"/>
        <v>Lasa Int</v>
      </c>
      <c r="C3618" s="7">
        <v>45883</v>
      </c>
      <c r="D3618" s="7">
        <v>46068</v>
      </c>
      <c r="E3618" s="8">
        <v>26</v>
      </c>
      <c r="F3618" s="6" t="str">
        <f t="shared" si="886"/>
        <v>Royal FR</v>
      </c>
      <c r="G3618" s="6" t="str">
        <f>"C010302000800000"</f>
        <v>C010302000800000</v>
      </c>
      <c r="H3618" s="6" t="str">
        <f>"Cama - ROYAL - Taill"</f>
        <v>Cama - ROYAL - Taill</v>
      </c>
      <c r="I3618" s="6" t="str">
        <f t="shared" si="890"/>
        <v>502130</v>
      </c>
      <c r="J3618" s="6" t="str">
        <f t="shared" si="891"/>
        <v>Azafrán</v>
      </c>
      <c r="K3618" s="6" t="str">
        <f>"7035"</f>
        <v>7035</v>
      </c>
      <c r="L3618" s="6" t="str">
        <f t="shared" ref="L3618:L3649" si="892">"Cama"</f>
        <v>Cama</v>
      </c>
      <c r="M3618" s="6" t="str">
        <f>"50x70+"</f>
        <v>50x70+</v>
      </c>
      <c r="N3618" s="6" t="str">
        <f>"5602972695847"</f>
        <v>5602972695847</v>
      </c>
      <c r="O3618" s="8">
        <v>150</v>
      </c>
      <c r="R3618" s="8">
        <v>0</v>
      </c>
      <c r="U3618" s="8">
        <v>0</v>
      </c>
      <c r="X3618" s="8">
        <v>0</v>
      </c>
      <c r="Z3618" s="8">
        <v>0</v>
      </c>
      <c r="AC3618" s="8">
        <v>0</v>
      </c>
      <c r="AF3618" s="8">
        <v>0</v>
      </c>
      <c r="AN3618" s="8">
        <v>0</v>
      </c>
      <c r="AO3618" s="8">
        <v>150</v>
      </c>
    </row>
    <row r="3619" spans="1:41" x14ac:dyDescent="0.25">
      <c r="A3619" s="6" t="str">
        <f t="shared" si="885"/>
        <v>525-2025000426</v>
      </c>
      <c r="B3619" s="6" t="str">
        <f t="shared" si="880"/>
        <v>Lasa Int</v>
      </c>
      <c r="C3619" s="7">
        <v>45883</v>
      </c>
      <c r="D3619" s="7">
        <v>46068</v>
      </c>
      <c r="E3619" s="8">
        <v>27</v>
      </c>
      <c r="F3619" s="6" t="str">
        <f t="shared" si="886"/>
        <v>Royal FR</v>
      </c>
      <c r="G3619" s="6" t="str">
        <f>"C010302000900000"</f>
        <v>C010302000900000</v>
      </c>
      <c r="H3619" s="6" t="str">
        <f>"Cama - ROYAL - Trave"</f>
        <v>Cama - ROYAL - Trave</v>
      </c>
      <c r="I3619" s="6" t="str">
        <f t="shared" si="890"/>
        <v>502130</v>
      </c>
      <c r="J3619" s="6" t="str">
        <f t="shared" si="891"/>
        <v>Azafrán</v>
      </c>
      <c r="K3619" s="6" t="str">
        <f>"7170"</f>
        <v>7170</v>
      </c>
      <c r="L3619" s="6" t="str">
        <f t="shared" si="892"/>
        <v>Cama</v>
      </c>
      <c r="M3619" s="6" t="str">
        <f>"45x185"</f>
        <v>45x185</v>
      </c>
      <c r="N3619" s="6" t="str">
        <f>"5602972695854"</f>
        <v>5602972695854</v>
      </c>
      <c r="O3619" s="8">
        <v>20</v>
      </c>
      <c r="R3619" s="8">
        <v>0</v>
      </c>
      <c r="U3619" s="8">
        <v>0</v>
      </c>
      <c r="X3619" s="8">
        <v>0</v>
      </c>
      <c r="Z3619" s="8">
        <v>0</v>
      </c>
      <c r="AC3619" s="8">
        <v>0</v>
      </c>
      <c r="AF3619" s="8">
        <v>0</v>
      </c>
      <c r="AN3619" s="8">
        <v>0</v>
      </c>
      <c r="AO3619" s="8">
        <v>20</v>
      </c>
    </row>
    <row r="3620" spans="1:41" x14ac:dyDescent="0.25">
      <c r="A3620" s="6" t="str">
        <f t="shared" si="885"/>
        <v>525-2025000426</v>
      </c>
      <c r="B3620" s="6" t="str">
        <f t="shared" si="880"/>
        <v>Lasa Int</v>
      </c>
      <c r="C3620" s="7">
        <v>45883</v>
      </c>
      <c r="D3620" s="7">
        <v>46068</v>
      </c>
      <c r="E3620" s="8">
        <v>28</v>
      </c>
      <c r="F3620" s="6" t="str">
        <f t="shared" si="886"/>
        <v>Royal FR</v>
      </c>
      <c r="G3620" s="6" t="str">
        <f>"C010302000100000"</f>
        <v>C010302000100000</v>
      </c>
      <c r="H3620" s="6" t="str">
        <f>"Cama - ROYAL - Drap"</f>
        <v>Cama - ROYAL - Drap</v>
      </c>
      <c r="I3620" s="6" t="str">
        <f t="shared" ref="I3620:I3634" si="893">"502131"</f>
        <v>502131</v>
      </c>
      <c r="J3620" s="6" t="str">
        <f t="shared" ref="J3620:J3634" si="894">"Bruma"</f>
        <v>Bruma</v>
      </c>
      <c r="K3620" s="6" t="str">
        <f>"7148"</f>
        <v>7148</v>
      </c>
      <c r="L3620" s="6" t="str">
        <f t="shared" si="892"/>
        <v>Cama</v>
      </c>
      <c r="M3620" s="6" t="str">
        <f>"240x300"</f>
        <v>240x300</v>
      </c>
      <c r="N3620" s="6" t="str">
        <f>"5602972696066"</f>
        <v>5602972696066</v>
      </c>
      <c r="O3620" s="8">
        <v>30</v>
      </c>
      <c r="R3620" s="8">
        <v>0</v>
      </c>
      <c r="U3620" s="8">
        <v>0</v>
      </c>
      <c r="X3620" s="8">
        <v>0</v>
      </c>
      <c r="Z3620" s="8">
        <v>0</v>
      </c>
      <c r="AC3620" s="8">
        <v>0</v>
      </c>
      <c r="AF3620" s="8">
        <v>0</v>
      </c>
      <c r="AN3620" s="8">
        <v>0</v>
      </c>
      <c r="AO3620" s="8">
        <v>30</v>
      </c>
    </row>
    <row r="3621" spans="1:41" x14ac:dyDescent="0.25">
      <c r="A3621" s="6" t="str">
        <f t="shared" si="885"/>
        <v>525-2025000426</v>
      </c>
      <c r="B3621" s="6" t="str">
        <f t="shared" si="880"/>
        <v>Lasa Int</v>
      </c>
      <c r="C3621" s="7">
        <v>45883</v>
      </c>
      <c r="D3621" s="7">
        <v>46068</v>
      </c>
      <c r="E3621" s="8">
        <v>29</v>
      </c>
      <c r="F3621" s="6" t="str">
        <f t="shared" si="886"/>
        <v>Royal FR</v>
      </c>
      <c r="G3621" s="6" t="str">
        <f>"C010302000100000"</f>
        <v>C010302000100000</v>
      </c>
      <c r="H3621" s="6" t="str">
        <f>"Cama - ROYAL - Drap"</f>
        <v>Cama - ROYAL - Drap</v>
      </c>
      <c r="I3621" s="6" t="str">
        <f t="shared" si="893"/>
        <v>502131</v>
      </c>
      <c r="J3621" s="6" t="str">
        <f t="shared" si="894"/>
        <v>Bruma</v>
      </c>
      <c r="K3621" s="6" t="str">
        <f>"7149"</f>
        <v>7149</v>
      </c>
      <c r="L3621" s="6" t="str">
        <f t="shared" si="892"/>
        <v>Cama</v>
      </c>
      <c r="M3621" s="6" t="str">
        <f>"270x310"</f>
        <v>270x310</v>
      </c>
      <c r="N3621" s="6" t="str">
        <f>"5602972696073"</f>
        <v>5602972696073</v>
      </c>
      <c r="O3621" s="8">
        <v>30</v>
      </c>
      <c r="R3621" s="8">
        <v>0</v>
      </c>
      <c r="U3621" s="8">
        <v>0</v>
      </c>
      <c r="X3621" s="8">
        <v>0</v>
      </c>
      <c r="Z3621" s="8">
        <v>0</v>
      </c>
      <c r="AC3621" s="8">
        <v>0</v>
      </c>
      <c r="AF3621" s="8">
        <v>0</v>
      </c>
      <c r="AN3621" s="8">
        <v>0</v>
      </c>
      <c r="AO3621" s="8">
        <v>30</v>
      </c>
    </row>
    <row r="3622" spans="1:41" x14ac:dyDescent="0.25">
      <c r="A3622" s="6" t="str">
        <f t="shared" si="885"/>
        <v>525-2025000426</v>
      </c>
      <c r="B3622" s="6" t="str">
        <f t="shared" si="880"/>
        <v>Lasa Int</v>
      </c>
      <c r="C3622" s="7">
        <v>45883</v>
      </c>
      <c r="D3622" s="7">
        <v>46068</v>
      </c>
      <c r="E3622" s="8">
        <v>30</v>
      </c>
      <c r="F3622" s="6" t="str">
        <f t="shared" si="886"/>
        <v>Royal FR</v>
      </c>
      <c r="G3622" s="6" t="str">
        <f>"C010302000200000"</f>
        <v>C010302000200000</v>
      </c>
      <c r="H3622" s="6" t="str">
        <f>"Cama - ROYAL - Houss"</f>
        <v>Cama - ROYAL - Houss</v>
      </c>
      <c r="I3622" s="6" t="str">
        <f t="shared" si="893"/>
        <v>502131</v>
      </c>
      <c r="J3622" s="6" t="str">
        <f t="shared" si="894"/>
        <v>Bruma</v>
      </c>
      <c r="K3622" s="6" t="str">
        <f>"7150"</f>
        <v>7150</v>
      </c>
      <c r="L3622" s="6" t="str">
        <f t="shared" si="892"/>
        <v>Cama</v>
      </c>
      <c r="M3622" s="6" t="str">
        <f>"140x200+40"</f>
        <v>140x200+40</v>
      </c>
      <c r="N3622" s="6" t="str">
        <f>"5602972696080"</f>
        <v>5602972696080</v>
      </c>
      <c r="O3622" s="8">
        <v>10</v>
      </c>
      <c r="R3622" s="8">
        <v>0</v>
      </c>
      <c r="U3622" s="8">
        <v>0</v>
      </c>
      <c r="X3622" s="8">
        <v>0</v>
      </c>
      <c r="Z3622" s="8">
        <v>0</v>
      </c>
      <c r="AC3622" s="8">
        <v>0</v>
      </c>
      <c r="AF3622" s="8">
        <v>0</v>
      </c>
      <c r="AN3622" s="8">
        <v>0</v>
      </c>
      <c r="AO3622" s="8">
        <v>10</v>
      </c>
    </row>
    <row r="3623" spans="1:41" x14ac:dyDescent="0.25">
      <c r="A3623" s="6" t="str">
        <f t="shared" si="885"/>
        <v>525-2025000426</v>
      </c>
      <c r="B3623" s="6" t="str">
        <f t="shared" si="880"/>
        <v>Lasa Int</v>
      </c>
      <c r="C3623" s="7">
        <v>45883</v>
      </c>
      <c r="D3623" s="7">
        <v>46068</v>
      </c>
      <c r="E3623" s="8">
        <v>31</v>
      </c>
      <c r="F3623" s="6" t="str">
        <f t="shared" si="886"/>
        <v>Royal FR</v>
      </c>
      <c r="G3623" s="6" t="str">
        <f>"C010302000200000"</f>
        <v>C010302000200000</v>
      </c>
      <c r="H3623" s="6" t="str">
        <f>"Cama - ROYAL - Houss"</f>
        <v>Cama - ROYAL - Houss</v>
      </c>
      <c r="I3623" s="6" t="str">
        <f t="shared" si="893"/>
        <v>502131</v>
      </c>
      <c r="J3623" s="6" t="str">
        <f t="shared" si="894"/>
        <v>Bruma</v>
      </c>
      <c r="K3623" s="6" t="str">
        <f>"7151"</f>
        <v>7151</v>
      </c>
      <c r="L3623" s="6" t="str">
        <f t="shared" si="892"/>
        <v>Cama</v>
      </c>
      <c r="M3623" s="6" t="str">
        <f>"200x200+40"</f>
        <v>200x200+40</v>
      </c>
      <c r="N3623" s="6" t="str">
        <f>"5602972696097"</f>
        <v>5602972696097</v>
      </c>
      <c r="O3623" s="8">
        <v>10</v>
      </c>
      <c r="R3623" s="8">
        <v>0</v>
      </c>
      <c r="U3623" s="8">
        <v>0</v>
      </c>
      <c r="X3623" s="8">
        <v>0</v>
      </c>
      <c r="Z3623" s="8">
        <v>0</v>
      </c>
      <c r="AC3623" s="8">
        <v>0</v>
      </c>
      <c r="AF3623" s="8">
        <v>0</v>
      </c>
      <c r="AN3623" s="8">
        <v>0</v>
      </c>
      <c r="AO3623" s="8">
        <v>10</v>
      </c>
    </row>
    <row r="3624" spans="1:41" x14ac:dyDescent="0.25">
      <c r="A3624" s="6" t="str">
        <f t="shared" si="885"/>
        <v>525-2025000426</v>
      </c>
      <c r="B3624" s="6" t="str">
        <f t="shared" si="880"/>
        <v>Lasa Int</v>
      </c>
      <c r="C3624" s="7">
        <v>45883</v>
      </c>
      <c r="D3624" s="7">
        <v>46068</v>
      </c>
      <c r="E3624" s="8">
        <v>32</v>
      </c>
      <c r="F3624" s="6" t="str">
        <f t="shared" si="886"/>
        <v>Royal FR</v>
      </c>
      <c r="G3624" s="6" t="str">
        <f>"C010302000200000"</f>
        <v>C010302000200000</v>
      </c>
      <c r="H3624" s="6" t="str">
        <f>"Cama - ROYAL - Houss"</f>
        <v>Cama - ROYAL - Houss</v>
      </c>
      <c r="I3624" s="6" t="str">
        <f t="shared" si="893"/>
        <v>502131</v>
      </c>
      <c r="J3624" s="6" t="str">
        <f t="shared" si="894"/>
        <v>Bruma</v>
      </c>
      <c r="K3624" s="6" t="str">
        <f>"7152"</f>
        <v>7152</v>
      </c>
      <c r="L3624" s="6" t="str">
        <f t="shared" si="892"/>
        <v>Cama</v>
      </c>
      <c r="M3624" s="6" t="str">
        <f>"240x220+40"</f>
        <v>240x220+40</v>
      </c>
      <c r="N3624" s="6" t="str">
        <f>"5602972696103"</f>
        <v>5602972696103</v>
      </c>
      <c r="O3624" s="8">
        <v>30</v>
      </c>
      <c r="R3624" s="8">
        <v>0</v>
      </c>
      <c r="U3624" s="8">
        <v>0</v>
      </c>
      <c r="X3624" s="8">
        <v>0</v>
      </c>
      <c r="Z3624" s="8">
        <v>0</v>
      </c>
      <c r="AC3624" s="8">
        <v>0</v>
      </c>
      <c r="AF3624" s="8">
        <v>0</v>
      </c>
      <c r="AN3624" s="8">
        <v>0</v>
      </c>
      <c r="AO3624" s="8">
        <v>30</v>
      </c>
    </row>
    <row r="3625" spans="1:41" x14ac:dyDescent="0.25">
      <c r="A3625" s="6" t="str">
        <f t="shared" ref="A3625:A3656" si="895">"525-2025000426"</f>
        <v>525-2025000426</v>
      </c>
      <c r="B3625" s="6" t="str">
        <f t="shared" si="880"/>
        <v>Lasa Int</v>
      </c>
      <c r="C3625" s="7">
        <v>45883</v>
      </c>
      <c r="D3625" s="7">
        <v>46068</v>
      </c>
      <c r="E3625" s="8">
        <v>33</v>
      </c>
      <c r="F3625" s="6" t="str">
        <f t="shared" ref="F3625:F3656" si="896">"Royal FR"</f>
        <v>Royal FR</v>
      </c>
      <c r="G3625" s="6" t="str">
        <f>"C010302000200000"</f>
        <v>C010302000200000</v>
      </c>
      <c r="H3625" s="6" t="str">
        <f>"Cama - ROYAL - Houss"</f>
        <v>Cama - ROYAL - Houss</v>
      </c>
      <c r="I3625" s="6" t="str">
        <f t="shared" si="893"/>
        <v>502131</v>
      </c>
      <c r="J3625" s="6" t="str">
        <f t="shared" si="894"/>
        <v>Bruma</v>
      </c>
      <c r="K3625" s="6" t="str">
        <f>"7153"</f>
        <v>7153</v>
      </c>
      <c r="L3625" s="6" t="str">
        <f t="shared" si="892"/>
        <v>Cama</v>
      </c>
      <c r="M3625" s="6" t="str">
        <f>"260x240+40"</f>
        <v>260x240+40</v>
      </c>
      <c r="N3625" s="6" t="str">
        <f>"5602972696110"</f>
        <v>5602972696110</v>
      </c>
      <c r="O3625" s="8">
        <v>20</v>
      </c>
      <c r="R3625" s="8">
        <v>0</v>
      </c>
      <c r="U3625" s="8">
        <v>0</v>
      </c>
      <c r="X3625" s="8">
        <v>0</v>
      </c>
      <c r="Z3625" s="8">
        <v>0</v>
      </c>
      <c r="AC3625" s="8">
        <v>0</v>
      </c>
      <c r="AF3625" s="8">
        <v>0</v>
      </c>
      <c r="AN3625" s="8">
        <v>0</v>
      </c>
      <c r="AO3625" s="8">
        <v>20</v>
      </c>
    </row>
    <row r="3626" spans="1:41" x14ac:dyDescent="0.25">
      <c r="A3626" s="6" t="str">
        <f t="shared" si="895"/>
        <v>525-2025000426</v>
      </c>
      <c r="B3626" s="6" t="str">
        <f t="shared" si="880"/>
        <v>Lasa Int</v>
      </c>
      <c r="C3626" s="7">
        <v>45883</v>
      </c>
      <c r="D3626" s="7">
        <v>46068</v>
      </c>
      <c r="E3626" s="8">
        <v>34</v>
      </c>
      <c r="F3626" s="6" t="str">
        <f t="shared" si="896"/>
        <v>Royal FR</v>
      </c>
      <c r="G3626" s="6" t="str">
        <f>"C010302000300000"</f>
        <v>C010302000300000</v>
      </c>
      <c r="H3626" s="6" t="str">
        <f t="shared" ref="H3626:H3632" si="897">"Cama - ROYAL - Drap"</f>
        <v>Cama - ROYAL - Drap</v>
      </c>
      <c r="I3626" s="6" t="str">
        <f t="shared" si="893"/>
        <v>502131</v>
      </c>
      <c r="J3626" s="6" t="str">
        <f t="shared" si="894"/>
        <v>Bruma</v>
      </c>
      <c r="K3626" s="6" t="str">
        <f>"7154"</f>
        <v>7154</v>
      </c>
      <c r="L3626" s="6" t="str">
        <f t="shared" si="892"/>
        <v>Cama</v>
      </c>
      <c r="M3626" s="6" t="str">
        <f>"90x190"</f>
        <v>90x190</v>
      </c>
      <c r="N3626" s="6" t="str">
        <f>"5602972696127"</f>
        <v>5602972696127</v>
      </c>
      <c r="O3626" s="8">
        <v>30</v>
      </c>
      <c r="R3626" s="8">
        <v>0</v>
      </c>
      <c r="U3626" s="8">
        <v>0</v>
      </c>
      <c r="X3626" s="8">
        <v>0</v>
      </c>
      <c r="Z3626" s="8">
        <v>0</v>
      </c>
      <c r="AC3626" s="8">
        <v>0</v>
      </c>
      <c r="AF3626" s="8">
        <v>0</v>
      </c>
      <c r="AN3626" s="8">
        <v>0</v>
      </c>
      <c r="AO3626" s="8">
        <v>30</v>
      </c>
    </row>
    <row r="3627" spans="1:41" x14ac:dyDescent="0.25">
      <c r="A3627" s="6" t="str">
        <f t="shared" si="895"/>
        <v>525-2025000426</v>
      </c>
      <c r="B3627" s="6" t="str">
        <f t="shared" si="880"/>
        <v>Lasa Int</v>
      </c>
      <c r="C3627" s="7">
        <v>45883</v>
      </c>
      <c r="D3627" s="7">
        <v>46068</v>
      </c>
      <c r="E3627" s="8">
        <v>35</v>
      </c>
      <c r="F3627" s="6" t="str">
        <f t="shared" si="896"/>
        <v>Royal FR</v>
      </c>
      <c r="G3627" s="6" t="str">
        <f>"C010302000300000"</f>
        <v>C010302000300000</v>
      </c>
      <c r="H3627" s="6" t="str">
        <f t="shared" si="897"/>
        <v>Cama - ROYAL - Drap</v>
      </c>
      <c r="I3627" s="6" t="str">
        <f t="shared" si="893"/>
        <v>502131</v>
      </c>
      <c r="J3627" s="6" t="str">
        <f t="shared" si="894"/>
        <v>Bruma</v>
      </c>
      <c r="K3627" s="6" t="str">
        <f>"7155"</f>
        <v>7155</v>
      </c>
      <c r="L3627" s="6" t="str">
        <f t="shared" si="892"/>
        <v>Cama</v>
      </c>
      <c r="M3627" s="6" t="str">
        <f>"140x190"</f>
        <v>140x190</v>
      </c>
      <c r="N3627" s="6" t="str">
        <f>"5602972696134"</f>
        <v>5602972696134</v>
      </c>
      <c r="O3627" s="8">
        <v>60</v>
      </c>
      <c r="R3627" s="8">
        <v>0</v>
      </c>
      <c r="U3627" s="8">
        <v>0</v>
      </c>
      <c r="X3627" s="8">
        <v>0</v>
      </c>
      <c r="Z3627" s="8">
        <v>0</v>
      </c>
      <c r="AC3627" s="8">
        <v>0</v>
      </c>
      <c r="AF3627" s="8">
        <v>0</v>
      </c>
      <c r="AN3627" s="8">
        <v>0</v>
      </c>
      <c r="AO3627" s="8">
        <v>60</v>
      </c>
    </row>
    <row r="3628" spans="1:41" x14ac:dyDescent="0.25">
      <c r="A3628" s="6" t="str">
        <f t="shared" si="895"/>
        <v>525-2025000426</v>
      </c>
      <c r="B3628" s="6" t="str">
        <f t="shared" si="880"/>
        <v>Lasa Int</v>
      </c>
      <c r="C3628" s="7">
        <v>45883</v>
      </c>
      <c r="D3628" s="7">
        <v>46068</v>
      </c>
      <c r="E3628" s="8">
        <v>36</v>
      </c>
      <c r="F3628" s="6" t="str">
        <f t="shared" si="896"/>
        <v>Royal FR</v>
      </c>
      <c r="G3628" s="6" t="str">
        <f>"C010302000300000"</f>
        <v>C010302000300000</v>
      </c>
      <c r="H3628" s="6" t="str">
        <f t="shared" si="897"/>
        <v>Cama - ROYAL - Drap</v>
      </c>
      <c r="I3628" s="6" t="str">
        <f t="shared" si="893"/>
        <v>502131</v>
      </c>
      <c r="J3628" s="6" t="str">
        <f t="shared" si="894"/>
        <v>Bruma</v>
      </c>
      <c r="K3628" s="6" t="str">
        <f>"7156"</f>
        <v>7156</v>
      </c>
      <c r="L3628" s="6" t="str">
        <f t="shared" si="892"/>
        <v>Cama</v>
      </c>
      <c r="M3628" s="6" t="str">
        <f>"160x200"</f>
        <v>160x200</v>
      </c>
      <c r="N3628" s="6" t="str">
        <f>"5602972696141"</f>
        <v>5602972696141</v>
      </c>
      <c r="O3628" s="8">
        <v>60</v>
      </c>
      <c r="R3628" s="8">
        <v>0</v>
      </c>
      <c r="U3628" s="8">
        <v>0</v>
      </c>
      <c r="X3628" s="8">
        <v>0</v>
      </c>
      <c r="Z3628" s="8">
        <v>0</v>
      </c>
      <c r="AC3628" s="8">
        <v>0</v>
      </c>
      <c r="AF3628" s="8">
        <v>0</v>
      </c>
      <c r="AN3628" s="8">
        <v>0</v>
      </c>
      <c r="AO3628" s="8">
        <v>60</v>
      </c>
    </row>
    <row r="3629" spans="1:41" x14ac:dyDescent="0.25">
      <c r="A3629" s="6" t="str">
        <f t="shared" si="895"/>
        <v>525-2025000426</v>
      </c>
      <c r="B3629" s="6" t="str">
        <f t="shared" si="880"/>
        <v>Lasa Int</v>
      </c>
      <c r="C3629" s="7">
        <v>45883</v>
      </c>
      <c r="D3629" s="7">
        <v>46068</v>
      </c>
      <c r="E3629" s="8">
        <v>37</v>
      </c>
      <c r="F3629" s="6" t="str">
        <f t="shared" si="896"/>
        <v>Royal FR</v>
      </c>
      <c r="G3629" s="6" t="str">
        <f>"C010302000300000"</f>
        <v>C010302000300000</v>
      </c>
      <c r="H3629" s="6" t="str">
        <f t="shared" si="897"/>
        <v>Cama - ROYAL - Drap</v>
      </c>
      <c r="I3629" s="6" t="str">
        <f t="shared" si="893"/>
        <v>502131</v>
      </c>
      <c r="J3629" s="6" t="str">
        <f t="shared" si="894"/>
        <v>Bruma</v>
      </c>
      <c r="K3629" s="6" t="str">
        <f>"7157"</f>
        <v>7157</v>
      </c>
      <c r="L3629" s="6" t="str">
        <f t="shared" si="892"/>
        <v>Cama</v>
      </c>
      <c r="M3629" s="6" t="str">
        <f>"180x200"</f>
        <v>180x200</v>
      </c>
      <c r="N3629" s="6" t="str">
        <f>"5602972696158"</f>
        <v>5602972696158</v>
      </c>
      <c r="O3629" s="8">
        <v>30</v>
      </c>
      <c r="R3629" s="8">
        <v>0</v>
      </c>
      <c r="U3629" s="8">
        <v>0</v>
      </c>
      <c r="X3629" s="8">
        <v>0</v>
      </c>
      <c r="Z3629" s="8">
        <v>0</v>
      </c>
      <c r="AC3629" s="8">
        <v>0</v>
      </c>
      <c r="AF3629" s="8">
        <v>0</v>
      </c>
      <c r="AN3629" s="8">
        <v>0</v>
      </c>
      <c r="AO3629" s="8">
        <v>30</v>
      </c>
    </row>
    <row r="3630" spans="1:41" x14ac:dyDescent="0.25">
      <c r="A3630" s="6" t="str">
        <f t="shared" si="895"/>
        <v>525-2025000426</v>
      </c>
      <c r="B3630" s="6" t="str">
        <f t="shared" si="880"/>
        <v>Lasa Int</v>
      </c>
      <c r="C3630" s="7">
        <v>45883</v>
      </c>
      <c r="D3630" s="7">
        <v>46068</v>
      </c>
      <c r="E3630" s="8">
        <v>38</v>
      </c>
      <c r="F3630" s="6" t="str">
        <f t="shared" si="896"/>
        <v>Royal FR</v>
      </c>
      <c r="G3630" s="6" t="str">
        <f>"C010302000300000"</f>
        <v>C010302000300000</v>
      </c>
      <c r="H3630" s="6" t="str">
        <f t="shared" si="897"/>
        <v>Cama - ROYAL - Drap</v>
      </c>
      <c r="I3630" s="6" t="str">
        <f t="shared" si="893"/>
        <v>502131</v>
      </c>
      <c r="J3630" s="6" t="str">
        <f t="shared" si="894"/>
        <v>Bruma</v>
      </c>
      <c r="K3630" s="6" t="str">
        <f>"7158"</f>
        <v>7158</v>
      </c>
      <c r="L3630" s="6" t="str">
        <f t="shared" si="892"/>
        <v>Cama</v>
      </c>
      <c r="M3630" s="6" t="str">
        <f>"200x200"</f>
        <v>200x200</v>
      </c>
      <c r="N3630" s="6" t="str">
        <f>"5602972696165"</f>
        <v>5602972696165</v>
      </c>
      <c r="O3630" s="8">
        <v>10</v>
      </c>
      <c r="R3630" s="8">
        <v>0</v>
      </c>
      <c r="U3630" s="8">
        <v>0</v>
      </c>
      <c r="X3630" s="8">
        <v>0</v>
      </c>
      <c r="Z3630" s="8">
        <v>0</v>
      </c>
      <c r="AC3630" s="8">
        <v>0</v>
      </c>
      <c r="AF3630" s="8">
        <v>0</v>
      </c>
      <c r="AN3630" s="8">
        <v>0</v>
      </c>
      <c r="AO3630" s="8">
        <v>10</v>
      </c>
    </row>
    <row r="3631" spans="1:41" x14ac:dyDescent="0.25">
      <c r="A3631" s="6" t="str">
        <f t="shared" si="895"/>
        <v>525-2025000426</v>
      </c>
      <c r="B3631" s="6" t="str">
        <f t="shared" si="880"/>
        <v>Lasa Int</v>
      </c>
      <c r="C3631" s="7">
        <v>45883</v>
      </c>
      <c r="D3631" s="7">
        <v>46068</v>
      </c>
      <c r="E3631" s="8">
        <v>39</v>
      </c>
      <c r="F3631" s="6" t="str">
        <f t="shared" si="896"/>
        <v>Royal FR</v>
      </c>
      <c r="G3631" s="6" t="str">
        <f>"C010302000400000"</f>
        <v>C010302000400000</v>
      </c>
      <c r="H3631" s="6" t="str">
        <f t="shared" si="897"/>
        <v>Cama - ROYAL - Drap</v>
      </c>
      <c r="I3631" s="6" t="str">
        <f t="shared" si="893"/>
        <v>502131</v>
      </c>
      <c r="J3631" s="6" t="str">
        <f t="shared" si="894"/>
        <v>Bruma</v>
      </c>
      <c r="K3631" s="6" t="str">
        <f>"7159"</f>
        <v>7159</v>
      </c>
      <c r="L3631" s="6" t="str">
        <f t="shared" si="892"/>
        <v>Cama</v>
      </c>
      <c r="M3631" s="6" t="str">
        <f>"80x200"</f>
        <v>80x200</v>
      </c>
      <c r="N3631" s="6" t="str">
        <f>"5602972696172"</f>
        <v>5602972696172</v>
      </c>
      <c r="O3631" s="8">
        <v>10</v>
      </c>
      <c r="R3631" s="8">
        <v>0</v>
      </c>
      <c r="U3631" s="8">
        <v>0</v>
      </c>
      <c r="X3631" s="8">
        <v>0</v>
      </c>
      <c r="Z3631" s="8">
        <v>0</v>
      </c>
      <c r="AC3631" s="8">
        <v>0</v>
      </c>
      <c r="AF3631" s="8">
        <v>0</v>
      </c>
      <c r="AN3631" s="8">
        <v>0</v>
      </c>
      <c r="AO3631" s="8">
        <v>10</v>
      </c>
    </row>
    <row r="3632" spans="1:41" x14ac:dyDescent="0.25">
      <c r="A3632" s="6" t="str">
        <f t="shared" si="895"/>
        <v>525-2025000426</v>
      </c>
      <c r="B3632" s="6" t="str">
        <f t="shared" si="880"/>
        <v>Lasa Int</v>
      </c>
      <c r="C3632" s="7">
        <v>45883</v>
      </c>
      <c r="D3632" s="7">
        <v>46068</v>
      </c>
      <c r="E3632" s="8">
        <v>40</v>
      </c>
      <c r="F3632" s="6" t="str">
        <f t="shared" si="896"/>
        <v>Royal FR</v>
      </c>
      <c r="G3632" s="6" t="str">
        <f>"C010302000400000"</f>
        <v>C010302000400000</v>
      </c>
      <c r="H3632" s="6" t="str">
        <f t="shared" si="897"/>
        <v>Cama - ROYAL - Drap</v>
      </c>
      <c r="I3632" s="6" t="str">
        <f t="shared" si="893"/>
        <v>502131</v>
      </c>
      <c r="J3632" s="6" t="str">
        <f t="shared" si="894"/>
        <v>Bruma</v>
      </c>
      <c r="K3632" s="6" t="str">
        <f>"7160"</f>
        <v>7160</v>
      </c>
      <c r="L3632" s="6" t="str">
        <f t="shared" si="892"/>
        <v>Cama</v>
      </c>
      <c r="M3632" s="6" t="str">
        <f>"90x200"</f>
        <v>90x200</v>
      </c>
      <c r="N3632" s="6" t="str">
        <f>"5602972696189"</f>
        <v>5602972696189</v>
      </c>
      <c r="O3632" s="8">
        <v>20</v>
      </c>
      <c r="R3632" s="8">
        <v>0</v>
      </c>
      <c r="U3632" s="8">
        <v>0</v>
      </c>
      <c r="X3632" s="8">
        <v>0</v>
      </c>
      <c r="Z3632" s="8">
        <v>0</v>
      </c>
      <c r="AC3632" s="8">
        <v>0</v>
      </c>
      <c r="AF3632" s="8">
        <v>0</v>
      </c>
      <c r="AN3632" s="8">
        <v>0</v>
      </c>
      <c r="AO3632" s="8">
        <v>20</v>
      </c>
    </row>
    <row r="3633" spans="1:41" x14ac:dyDescent="0.25">
      <c r="A3633" s="6" t="str">
        <f t="shared" si="895"/>
        <v>525-2025000426</v>
      </c>
      <c r="B3633" s="6" t="str">
        <f t="shared" si="880"/>
        <v>Lasa Int</v>
      </c>
      <c r="C3633" s="7">
        <v>45883</v>
      </c>
      <c r="D3633" s="7">
        <v>46068</v>
      </c>
      <c r="E3633" s="8">
        <v>41</v>
      </c>
      <c r="F3633" s="6" t="str">
        <f t="shared" si="896"/>
        <v>Royal FR</v>
      </c>
      <c r="G3633" s="6" t="str">
        <f>"C010302000800000"</f>
        <v>C010302000800000</v>
      </c>
      <c r="H3633" s="6" t="str">
        <f>"Cama - ROYAL - Taill"</f>
        <v>Cama - ROYAL - Taill</v>
      </c>
      <c r="I3633" s="6" t="str">
        <f t="shared" si="893"/>
        <v>502131</v>
      </c>
      <c r="J3633" s="6" t="str">
        <f t="shared" si="894"/>
        <v>Bruma</v>
      </c>
      <c r="K3633" s="6" t="str">
        <f>"7034"</f>
        <v>7034</v>
      </c>
      <c r="L3633" s="6" t="str">
        <f t="shared" si="892"/>
        <v>Cama</v>
      </c>
      <c r="M3633" s="6" t="str">
        <f>"65x65+5"</f>
        <v>65x65+5</v>
      </c>
      <c r="N3633" s="6" t="str">
        <f>"5602972696028"</f>
        <v>5602972696028</v>
      </c>
      <c r="O3633" s="8">
        <v>110</v>
      </c>
      <c r="R3633" s="8">
        <v>0</v>
      </c>
      <c r="U3633" s="8">
        <v>0</v>
      </c>
      <c r="X3633" s="8">
        <v>0</v>
      </c>
      <c r="Z3633" s="8">
        <v>0</v>
      </c>
      <c r="AC3633" s="8">
        <v>0</v>
      </c>
      <c r="AF3633" s="8">
        <v>0</v>
      </c>
      <c r="AN3633" s="8">
        <v>0</v>
      </c>
      <c r="AO3633" s="8">
        <v>110</v>
      </c>
    </row>
    <row r="3634" spans="1:41" x14ac:dyDescent="0.25">
      <c r="A3634" s="6" t="str">
        <f t="shared" si="895"/>
        <v>525-2025000426</v>
      </c>
      <c r="B3634" s="6" t="str">
        <f t="shared" si="880"/>
        <v>Lasa Int</v>
      </c>
      <c r="C3634" s="7">
        <v>45883</v>
      </c>
      <c r="D3634" s="7">
        <v>46068</v>
      </c>
      <c r="E3634" s="8">
        <v>42</v>
      </c>
      <c r="F3634" s="6" t="str">
        <f t="shared" si="896"/>
        <v>Royal FR</v>
      </c>
      <c r="G3634" s="6" t="str">
        <f>"C010302000800000"</f>
        <v>C010302000800000</v>
      </c>
      <c r="H3634" s="6" t="str">
        <f>"Cama - ROYAL - Taill"</f>
        <v>Cama - ROYAL - Taill</v>
      </c>
      <c r="I3634" s="6" t="str">
        <f t="shared" si="893"/>
        <v>502131</v>
      </c>
      <c r="J3634" s="6" t="str">
        <f t="shared" si="894"/>
        <v>Bruma</v>
      </c>
      <c r="K3634" s="6" t="str">
        <f>"7035"</f>
        <v>7035</v>
      </c>
      <c r="L3634" s="6" t="str">
        <f t="shared" si="892"/>
        <v>Cama</v>
      </c>
      <c r="M3634" s="6" t="str">
        <f>"50x70+"</f>
        <v>50x70+</v>
      </c>
      <c r="N3634" s="6" t="str">
        <f>"5602972696035"</f>
        <v>5602972696035</v>
      </c>
      <c r="O3634" s="8">
        <v>140</v>
      </c>
      <c r="R3634" s="8">
        <v>0</v>
      </c>
      <c r="U3634" s="8">
        <v>0</v>
      </c>
      <c r="X3634" s="8">
        <v>0</v>
      </c>
      <c r="Z3634" s="8">
        <v>0</v>
      </c>
      <c r="AC3634" s="8">
        <v>0</v>
      </c>
      <c r="AF3634" s="8">
        <v>0</v>
      </c>
      <c r="AN3634" s="8">
        <v>0</v>
      </c>
      <c r="AO3634" s="8">
        <v>140</v>
      </c>
    </row>
    <row r="3635" spans="1:41" x14ac:dyDescent="0.25">
      <c r="A3635" s="6" t="str">
        <f t="shared" si="895"/>
        <v>525-2025000426</v>
      </c>
      <c r="B3635" s="6" t="str">
        <f t="shared" si="880"/>
        <v>Lasa Int</v>
      </c>
      <c r="C3635" s="7">
        <v>45883</v>
      </c>
      <c r="D3635" s="7">
        <v>46068</v>
      </c>
      <c r="E3635" s="8">
        <v>43</v>
      </c>
      <c r="F3635" s="6" t="str">
        <f t="shared" si="896"/>
        <v>Royal FR</v>
      </c>
      <c r="G3635" s="6" t="str">
        <f>"C010302000100000"</f>
        <v>C010302000100000</v>
      </c>
      <c r="H3635" s="6" t="str">
        <f>"Cama - ROYAL - Drap"</f>
        <v>Cama - ROYAL - Drap</v>
      </c>
      <c r="I3635" s="6" t="str">
        <f t="shared" ref="I3635:I3646" si="898">"502132"</f>
        <v>502132</v>
      </c>
      <c r="J3635" s="6" t="str">
        <f t="shared" ref="J3635:J3646" si="899">"Caqui"</f>
        <v>Caqui</v>
      </c>
      <c r="K3635" s="6" t="str">
        <f>"7148"</f>
        <v>7148</v>
      </c>
      <c r="L3635" s="6" t="str">
        <f t="shared" si="892"/>
        <v>Cama</v>
      </c>
      <c r="M3635" s="6" t="str">
        <f>"240x300"</f>
        <v>240x300</v>
      </c>
      <c r="N3635" s="6" t="str">
        <f>"5602972696257"</f>
        <v>5602972696257</v>
      </c>
      <c r="O3635" s="8">
        <v>30</v>
      </c>
      <c r="R3635" s="8">
        <v>0</v>
      </c>
      <c r="U3635" s="8">
        <v>0</v>
      </c>
      <c r="X3635" s="8">
        <v>0</v>
      </c>
      <c r="Z3635" s="8">
        <v>0</v>
      </c>
      <c r="AC3635" s="8">
        <v>0</v>
      </c>
      <c r="AF3635" s="8">
        <v>0</v>
      </c>
      <c r="AN3635" s="8">
        <v>0</v>
      </c>
      <c r="AO3635" s="8">
        <v>30</v>
      </c>
    </row>
    <row r="3636" spans="1:41" x14ac:dyDescent="0.25">
      <c r="A3636" s="6" t="str">
        <f t="shared" si="895"/>
        <v>525-2025000426</v>
      </c>
      <c r="B3636" s="6" t="str">
        <f t="shared" si="880"/>
        <v>Lasa Int</v>
      </c>
      <c r="C3636" s="7">
        <v>45883</v>
      </c>
      <c r="D3636" s="7">
        <v>46068</v>
      </c>
      <c r="E3636" s="8">
        <v>44</v>
      </c>
      <c r="F3636" s="6" t="str">
        <f t="shared" si="896"/>
        <v>Royal FR</v>
      </c>
      <c r="G3636" s="6" t="str">
        <f>"C010302000100000"</f>
        <v>C010302000100000</v>
      </c>
      <c r="H3636" s="6" t="str">
        <f>"Cama - ROYAL - Drap"</f>
        <v>Cama - ROYAL - Drap</v>
      </c>
      <c r="I3636" s="6" t="str">
        <f t="shared" si="898"/>
        <v>502132</v>
      </c>
      <c r="J3636" s="6" t="str">
        <f t="shared" si="899"/>
        <v>Caqui</v>
      </c>
      <c r="K3636" s="6" t="str">
        <f>"7149"</f>
        <v>7149</v>
      </c>
      <c r="L3636" s="6" t="str">
        <f t="shared" si="892"/>
        <v>Cama</v>
      </c>
      <c r="M3636" s="6" t="str">
        <f>"270x310"</f>
        <v>270x310</v>
      </c>
      <c r="N3636" s="6" t="str">
        <f>"5602972696264"</f>
        <v>5602972696264</v>
      </c>
      <c r="O3636" s="8">
        <v>30</v>
      </c>
      <c r="R3636" s="8">
        <v>0</v>
      </c>
      <c r="U3636" s="8">
        <v>0</v>
      </c>
      <c r="X3636" s="8">
        <v>0</v>
      </c>
      <c r="Z3636" s="8">
        <v>0</v>
      </c>
      <c r="AC3636" s="8">
        <v>0</v>
      </c>
      <c r="AF3636" s="8">
        <v>0</v>
      </c>
      <c r="AN3636" s="8">
        <v>0</v>
      </c>
      <c r="AO3636" s="8">
        <v>30</v>
      </c>
    </row>
    <row r="3637" spans="1:41" x14ac:dyDescent="0.25">
      <c r="A3637" s="6" t="str">
        <f t="shared" si="895"/>
        <v>525-2025000426</v>
      </c>
      <c r="B3637" s="6" t="str">
        <f t="shared" si="880"/>
        <v>Lasa Int</v>
      </c>
      <c r="C3637" s="7">
        <v>45883</v>
      </c>
      <c r="D3637" s="7">
        <v>46068</v>
      </c>
      <c r="E3637" s="8">
        <v>45</v>
      </c>
      <c r="F3637" s="6" t="str">
        <f t="shared" si="896"/>
        <v>Royal FR</v>
      </c>
      <c r="G3637" s="6" t="str">
        <f>"C010302000200000"</f>
        <v>C010302000200000</v>
      </c>
      <c r="H3637" s="6" t="str">
        <f>"Cama - ROYAL - Houss"</f>
        <v>Cama - ROYAL - Houss</v>
      </c>
      <c r="I3637" s="6" t="str">
        <f t="shared" si="898"/>
        <v>502132</v>
      </c>
      <c r="J3637" s="6" t="str">
        <f t="shared" si="899"/>
        <v>Caqui</v>
      </c>
      <c r="K3637" s="6" t="str">
        <f>"7150"</f>
        <v>7150</v>
      </c>
      <c r="L3637" s="6" t="str">
        <f t="shared" si="892"/>
        <v>Cama</v>
      </c>
      <c r="M3637" s="6" t="str">
        <f>"140x200+40"</f>
        <v>140x200+40</v>
      </c>
      <c r="N3637" s="6" t="str">
        <f>"5602972696271"</f>
        <v>5602972696271</v>
      </c>
      <c r="O3637" s="8">
        <v>30</v>
      </c>
      <c r="R3637" s="8">
        <v>0</v>
      </c>
      <c r="U3637" s="8">
        <v>0</v>
      </c>
      <c r="X3637" s="8">
        <v>0</v>
      </c>
      <c r="Z3637" s="8">
        <v>0</v>
      </c>
      <c r="AC3637" s="8">
        <v>0</v>
      </c>
      <c r="AF3637" s="8">
        <v>0</v>
      </c>
      <c r="AN3637" s="8">
        <v>0</v>
      </c>
      <c r="AO3637" s="8">
        <v>30</v>
      </c>
    </row>
    <row r="3638" spans="1:41" x14ac:dyDescent="0.25">
      <c r="A3638" s="6" t="str">
        <f t="shared" si="895"/>
        <v>525-2025000426</v>
      </c>
      <c r="B3638" s="6" t="str">
        <f t="shared" si="880"/>
        <v>Lasa Int</v>
      </c>
      <c r="C3638" s="7">
        <v>45883</v>
      </c>
      <c r="D3638" s="7">
        <v>46068</v>
      </c>
      <c r="E3638" s="8">
        <v>46</v>
      </c>
      <c r="F3638" s="6" t="str">
        <f t="shared" si="896"/>
        <v>Royal FR</v>
      </c>
      <c r="G3638" s="6" t="str">
        <f>"C010302000200000"</f>
        <v>C010302000200000</v>
      </c>
      <c r="H3638" s="6" t="str">
        <f>"Cama - ROYAL - Houss"</f>
        <v>Cama - ROYAL - Houss</v>
      </c>
      <c r="I3638" s="6" t="str">
        <f t="shared" si="898"/>
        <v>502132</v>
      </c>
      <c r="J3638" s="6" t="str">
        <f t="shared" si="899"/>
        <v>Caqui</v>
      </c>
      <c r="K3638" s="6" t="str">
        <f>"7152"</f>
        <v>7152</v>
      </c>
      <c r="L3638" s="6" t="str">
        <f t="shared" si="892"/>
        <v>Cama</v>
      </c>
      <c r="M3638" s="6" t="str">
        <f>"240x220+40"</f>
        <v>240x220+40</v>
      </c>
      <c r="N3638" s="6" t="str">
        <f>"5602972696295"</f>
        <v>5602972696295</v>
      </c>
      <c r="O3638" s="8">
        <v>30</v>
      </c>
      <c r="R3638" s="8">
        <v>0</v>
      </c>
      <c r="U3638" s="8">
        <v>0</v>
      </c>
      <c r="X3638" s="8">
        <v>0</v>
      </c>
      <c r="Z3638" s="8">
        <v>0</v>
      </c>
      <c r="AC3638" s="8">
        <v>0</v>
      </c>
      <c r="AF3638" s="8">
        <v>0</v>
      </c>
      <c r="AN3638" s="8">
        <v>0</v>
      </c>
      <c r="AO3638" s="8">
        <v>30</v>
      </c>
    </row>
    <row r="3639" spans="1:41" x14ac:dyDescent="0.25">
      <c r="A3639" s="6" t="str">
        <f t="shared" si="895"/>
        <v>525-2025000426</v>
      </c>
      <c r="B3639" s="6" t="str">
        <f t="shared" si="880"/>
        <v>Lasa Int</v>
      </c>
      <c r="C3639" s="7">
        <v>45883</v>
      </c>
      <c r="D3639" s="7">
        <v>46068</v>
      </c>
      <c r="E3639" s="8">
        <v>47</v>
      </c>
      <c r="F3639" s="6" t="str">
        <f t="shared" si="896"/>
        <v>Royal FR</v>
      </c>
      <c r="G3639" s="6" t="str">
        <f>"C010302000300000"</f>
        <v>C010302000300000</v>
      </c>
      <c r="H3639" s="6" t="str">
        <f t="shared" ref="H3639:H3644" si="900">"Cama - ROYAL - Drap"</f>
        <v>Cama - ROYAL - Drap</v>
      </c>
      <c r="I3639" s="6" t="str">
        <f t="shared" si="898"/>
        <v>502132</v>
      </c>
      <c r="J3639" s="6" t="str">
        <f t="shared" si="899"/>
        <v>Caqui</v>
      </c>
      <c r="K3639" s="6" t="str">
        <f>"7154"</f>
        <v>7154</v>
      </c>
      <c r="L3639" s="6" t="str">
        <f t="shared" si="892"/>
        <v>Cama</v>
      </c>
      <c r="M3639" s="6" t="str">
        <f>"90x190"</f>
        <v>90x190</v>
      </c>
      <c r="N3639" s="6" t="str">
        <f>"5602972696318"</f>
        <v>5602972696318</v>
      </c>
      <c r="O3639" s="8">
        <v>30</v>
      </c>
      <c r="R3639" s="8">
        <v>0</v>
      </c>
      <c r="U3639" s="8">
        <v>0</v>
      </c>
      <c r="X3639" s="8">
        <v>0</v>
      </c>
      <c r="Z3639" s="8">
        <v>0</v>
      </c>
      <c r="AC3639" s="8">
        <v>0</v>
      </c>
      <c r="AF3639" s="8">
        <v>0</v>
      </c>
      <c r="AN3639" s="8">
        <v>0</v>
      </c>
      <c r="AO3639" s="8">
        <v>30</v>
      </c>
    </row>
    <row r="3640" spans="1:41" x14ac:dyDescent="0.25">
      <c r="A3640" s="6" t="str">
        <f t="shared" si="895"/>
        <v>525-2025000426</v>
      </c>
      <c r="B3640" s="6" t="str">
        <f t="shared" si="880"/>
        <v>Lasa Int</v>
      </c>
      <c r="C3640" s="7">
        <v>45883</v>
      </c>
      <c r="D3640" s="7">
        <v>46068</v>
      </c>
      <c r="E3640" s="8">
        <v>48</v>
      </c>
      <c r="F3640" s="6" t="str">
        <f t="shared" si="896"/>
        <v>Royal FR</v>
      </c>
      <c r="G3640" s="6" t="str">
        <f>"C010302000300000"</f>
        <v>C010302000300000</v>
      </c>
      <c r="H3640" s="6" t="str">
        <f t="shared" si="900"/>
        <v>Cama - ROYAL - Drap</v>
      </c>
      <c r="I3640" s="6" t="str">
        <f t="shared" si="898"/>
        <v>502132</v>
      </c>
      <c r="J3640" s="6" t="str">
        <f t="shared" si="899"/>
        <v>Caqui</v>
      </c>
      <c r="K3640" s="6" t="str">
        <f>"7155"</f>
        <v>7155</v>
      </c>
      <c r="L3640" s="6" t="str">
        <f t="shared" si="892"/>
        <v>Cama</v>
      </c>
      <c r="M3640" s="6" t="str">
        <f>"140x190"</f>
        <v>140x190</v>
      </c>
      <c r="N3640" s="6" t="str">
        <f>"5602972696325"</f>
        <v>5602972696325</v>
      </c>
      <c r="O3640" s="8">
        <v>70</v>
      </c>
      <c r="R3640" s="8">
        <v>0</v>
      </c>
      <c r="U3640" s="8">
        <v>0</v>
      </c>
      <c r="X3640" s="8">
        <v>0</v>
      </c>
      <c r="Z3640" s="8">
        <v>0</v>
      </c>
      <c r="AC3640" s="8">
        <v>0</v>
      </c>
      <c r="AF3640" s="8">
        <v>0</v>
      </c>
      <c r="AN3640" s="8">
        <v>0</v>
      </c>
      <c r="AO3640" s="8">
        <v>70</v>
      </c>
    </row>
    <row r="3641" spans="1:41" x14ac:dyDescent="0.25">
      <c r="A3641" s="6" t="str">
        <f t="shared" si="895"/>
        <v>525-2025000426</v>
      </c>
      <c r="B3641" s="6" t="str">
        <f t="shared" si="880"/>
        <v>Lasa Int</v>
      </c>
      <c r="C3641" s="7">
        <v>45883</v>
      </c>
      <c r="D3641" s="7">
        <v>46068</v>
      </c>
      <c r="E3641" s="8">
        <v>49</v>
      </c>
      <c r="F3641" s="6" t="str">
        <f t="shared" si="896"/>
        <v>Royal FR</v>
      </c>
      <c r="G3641" s="6" t="str">
        <f>"C010302000300000"</f>
        <v>C010302000300000</v>
      </c>
      <c r="H3641" s="6" t="str">
        <f t="shared" si="900"/>
        <v>Cama - ROYAL - Drap</v>
      </c>
      <c r="I3641" s="6" t="str">
        <f t="shared" si="898"/>
        <v>502132</v>
      </c>
      <c r="J3641" s="6" t="str">
        <f t="shared" si="899"/>
        <v>Caqui</v>
      </c>
      <c r="K3641" s="6" t="str">
        <f>"7156"</f>
        <v>7156</v>
      </c>
      <c r="L3641" s="6" t="str">
        <f t="shared" si="892"/>
        <v>Cama</v>
      </c>
      <c r="M3641" s="6" t="str">
        <f>"160x200"</f>
        <v>160x200</v>
      </c>
      <c r="N3641" s="6" t="str">
        <f>"5602972696332"</f>
        <v>5602972696332</v>
      </c>
      <c r="O3641" s="8">
        <v>80</v>
      </c>
      <c r="R3641" s="8">
        <v>0</v>
      </c>
      <c r="U3641" s="8">
        <v>0</v>
      </c>
      <c r="X3641" s="8">
        <v>0</v>
      </c>
      <c r="Z3641" s="8">
        <v>0</v>
      </c>
      <c r="AC3641" s="8">
        <v>0</v>
      </c>
      <c r="AF3641" s="8">
        <v>0</v>
      </c>
      <c r="AN3641" s="8">
        <v>0</v>
      </c>
      <c r="AO3641" s="8">
        <v>80</v>
      </c>
    </row>
    <row r="3642" spans="1:41" x14ac:dyDescent="0.25">
      <c r="A3642" s="6" t="str">
        <f t="shared" si="895"/>
        <v>525-2025000426</v>
      </c>
      <c r="B3642" s="6" t="str">
        <f t="shared" si="880"/>
        <v>Lasa Int</v>
      </c>
      <c r="C3642" s="7">
        <v>45883</v>
      </c>
      <c r="D3642" s="7">
        <v>46068</v>
      </c>
      <c r="E3642" s="8">
        <v>50</v>
      </c>
      <c r="F3642" s="6" t="str">
        <f t="shared" si="896"/>
        <v>Royal FR</v>
      </c>
      <c r="G3642" s="6" t="str">
        <f>"C010302000300000"</f>
        <v>C010302000300000</v>
      </c>
      <c r="H3642" s="6" t="str">
        <f t="shared" si="900"/>
        <v>Cama - ROYAL - Drap</v>
      </c>
      <c r="I3642" s="6" t="str">
        <f t="shared" si="898"/>
        <v>502132</v>
      </c>
      <c r="J3642" s="6" t="str">
        <f t="shared" si="899"/>
        <v>Caqui</v>
      </c>
      <c r="K3642" s="6" t="str">
        <f>"7157"</f>
        <v>7157</v>
      </c>
      <c r="L3642" s="6" t="str">
        <f t="shared" si="892"/>
        <v>Cama</v>
      </c>
      <c r="M3642" s="6" t="str">
        <f>"180x200"</f>
        <v>180x200</v>
      </c>
      <c r="N3642" s="6" t="str">
        <f>"5602972696349"</f>
        <v>5602972696349</v>
      </c>
      <c r="O3642" s="8">
        <v>30</v>
      </c>
      <c r="R3642" s="8">
        <v>0</v>
      </c>
      <c r="U3642" s="8">
        <v>0</v>
      </c>
      <c r="X3642" s="8">
        <v>0</v>
      </c>
      <c r="Z3642" s="8">
        <v>0</v>
      </c>
      <c r="AC3642" s="8">
        <v>0</v>
      </c>
      <c r="AF3642" s="8">
        <v>0</v>
      </c>
      <c r="AN3642" s="8">
        <v>0</v>
      </c>
      <c r="AO3642" s="8">
        <v>30</v>
      </c>
    </row>
    <row r="3643" spans="1:41" x14ac:dyDescent="0.25">
      <c r="A3643" s="6" t="str">
        <f t="shared" si="895"/>
        <v>525-2025000426</v>
      </c>
      <c r="B3643" s="6" t="str">
        <f t="shared" si="880"/>
        <v>Lasa Int</v>
      </c>
      <c r="C3643" s="7">
        <v>45883</v>
      </c>
      <c r="D3643" s="7">
        <v>46068</v>
      </c>
      <c r="E3643" s="8">
        <v>51</v>
      </c>
      <c r="F3643" s="6" t="str">
        <f t="shared" si="896"/>
        <v>Royal FR</v>
      </c>
      <c r="G3643" s="6" t="str">
        <f>"C010302000300000"</f>
        <v>C010302000300000</v>
      </c>
      <c r="H3643" s="6" t="str">
        <f t="shared" si="900"/>
        <v>Cama - ROYAL - Drap</v>
      </c>
      <c r="I3643" s="6" t="str">
        <f t="shared" si="898"/>
        <v>502132</v>
      </c>
      <c r="J3643" s="6" t="str">
        <f t="shared" si="899"/>
        <v>Caqui</v>
      </c>
      <c r="K3643" s="6" t="str">
        <f>"7158"</f>
        <v>7158</v>
      </c>
      <c r="L3643" s="6" t="str">
        <f t="shared" si="892"/>
        <v>Cama</v>
      </c>
      <c r="M3643" s="6" t="str">
        <f>"200x200"</f>
        <v>200x200</v>
      </c>
      <c r="N3643" s="6" t="str">
        <f>"5602972696356"</f>
        <v>5602972696356</v>
      </c>
      <c r="O3643" s="8">
        <v>10</v>
      </c>
      <c r="R3643" s="8">
        <v>0</v>
      </c>
      <c r="U3643" s="8">
        <v>0</v>
      </c>
      <c r="X3643" s="8">
        <v>0</v>
      </c>
      <c r="Z3643" s="8">
        <v>0</v>
      </c>
      <c r="AC3643" s="8">
        <v>0</v>
      </c>
      <c r="AF3643" s="8">
        <v>0</v>
      </c>
      <c r="AN3643" s="8">
        <v>0</v>
      </c>
      <c r="AO3643" s="8">
        <v>10</v>
      </c>
    </row>
    <row r="3644" spans="1:41" x14ac:dyDescent="0.25">
      <c r="A3644" s="6" t="str">
        <f t="shared" si="895"/>
        <v>525-2025000426</v>
      </c>
      <c r="B3644" s="6" t="str">
        <f t="shared" si="880"/>
        <v>Lasa Int</v>
      </c>
      <c r="C3644" s="7">
        <v>45883</v>
      </c>
      <c r="D3644" s="7">
        <v>46068</v>
      </c>
      <c r="E3644" s="8">
        <v>52</v>
      </c>
      <c r="F3644" s="6" t="str">
        <f t="shared" si="896"/>
        <v>Royal FR</v>
      </c>
      <c r="G3644" s="6" t="str">
        <f>"C010302000400000"</f>
        <v>C010302000400000</v>
      </c>
      <c r="H3644" s="6" t="str">
        <f t="shared" si="900"/>
        <v>Cama - ROYAL - Drap</v>
      </c>
      <c r="I3644" s="6" t="str">
        <f t="shared" si="898"/>
        <v>502132</v>
      </c>
      <c r="J3644" s="6" t="str">
        <f t="shared" si="899"/>
        <v>Caqui</v>
      </c>
      <c r="K3644" s="6" t="str">
        <f>"7160"</f>
        <v>7160</v>
      </c>
      <c r="L3644" s="6" t="str">
        <f t="shared" si="892"/>
        <v>Cama</v>
      </c>
      <c r="M3644" s="6" t="str">
        <f>"90x200"</f>
        <v>90x200</v>
      </c>
      <c r="N3644" s="6" t="str">
        <f>"5602972696370"</f>
        <v>5602972696370</v>
      </c>
      <c r="O3644" s="8">
        <v>10</v>
      </c>
      <c r="R3644" s="8">
        <v>0</v>
      </c>
      <c r="U3644" s="8">
        <v>0</v>
      </c>
      <c r="X3644" s="8">
        <v>0</v>
      </c>
      <c r="Z3644" s="8">
        <v>0</v>
      </c>
      <c r="AC3644" s="8">
        <v>0</v>
      </c>
      <c r="AF3644" s="8">
        <v>0</v>
      </c>
      <c r="AN3644" s="8">
        <v>0</v>
      </c>
      <c r="AO3644" s="8">
        <v>10</v>
      </c>
    </row>
    <row r="3645" spans="1:41" x14ac:dyDescent="0.25">
      <c r="A3645" s="6" t="str">
        <f t="shared" si="895"/>
        <v>525-2025000426</v>
      </c>
      <c r="B3645" s="6" t="str">
        <f t="shared" si="880"/>
        <v>Lasa Int</v>
      </c>
      <c r="C3645" s="7">
        <v>45883</v>
      </c>
      <c r="D3645" s="7">
        <v>46068</v>
      </c>
      <c r="E3645" s="8">
        <v>53</v>
      </c>
      <c r="F3645" s="6" t="str">
        <f t="shared" si="896"/>
        <v>Royal FR</v>
      </c>
      <c r="G3645" s="6" t="str">
        <f>"C010302000800000"</f>
        <v>C010302000800000</v>
      </c>
      <c r="H3645" s="6" t="str">
        <f>"Cama - ROYAL - Taill"</f>
        <v>Cama - ROYAL - Taill</v>
      </c>
      <c r="I3645" s="6" t="str">
        <f t="shared" si="898"/>
        <v>502132</v>
      </c>
      <c r="J3645" s="6" t="str">
        <f t="shared" si="899"/>
        <v>Caqui</v>
      </c>
      <c r="K3645" s="6" t="str">
        <f>"7034"</f>
        <v>7034</v>
      </c>
      <c r="L3645" s="6" t="str">
        <f t="shared" si="892"/>
        <v>Cama</v>
      </c>
      <c r="M3645" s="6" t="str">
        <f>"65x65+5"</f>
        <v>65x65+5</v>
      </c>
      <c r="N3645" s="6" t="str">
        <f>"5602972696219"</f>
        <v>5602972696219</v>
      </c>
      <c r="O3645" s="8">
        <v>180</v>
      </c>
      <c r="R3645" s="8">
        <v>0</v>
      </c>
      <c r="U3645" s="8">
        <v>0</v>
      </c>
      <c r="X3645" s="8">
        <v>0</v>
      </c>
      <c r="Z3645" s="8">
        <v>0</v>
      </c>
      <c r="AC3645" s="8">
        <v>0</v>
      </c>
      <c r="AF3645" s="8">
        <v>0</v>
      </c>
      <c r="AN3645" s="8">
        <v>0</v>
      </c>
      <c r="AO3645" s="8">
        <v>180</v>
      </c>
    </row>
    <row r="3646" spans="1:41" x14ac:dyDescent="0.25">
      <c r="A3646" s="6" t="str">
        <f t="shared" si="895"/>
        <v>525-2025000426</v>
      </c>
      <c r="B3646" s="6" t="str">
        <f t="shared" si="880"/>
        <v>Lasa Int</v>
      </c>
      <c r="C3646" s="7">
        <v>45883</v>
      </c>
      <c r="D3646" s="7">
        <v>46068</v>
      </c>
      <c r="E3646" s="8">
        <v>54</v>
      </c>
      <c r="F3646" s="6" t="str">
        <f t="shared" si="896"/>
        <v>Royal FR</v>
      </c>
      <c r="G3646" s="6" t="str">
        <f>"C010302000800000"</f>
        <v>C010302000800000</v>
      </c>
      <c r="H3646" s="6" t="str">
        <f>"Cama - ROYAL - Taill"</f>
        <v>Cama - ROYAL - Taill</v>
      </c>
      <c r="I3646" s="6" t="str">
        <f t="shared" si="898"/>
        <v>502132</v>
      </c>
      <c r="J3646" s="6" t="str">
        <f t="shared" si="899"/>
        <v>Caqui</v>
      </c>
      <c r="K3646" s="6" t="str">
        <f>"7035"</f>
        <v>7035</v>
      </c>
      <c r="L3646" s="6" t="str">
        <f t="shared" si="892"/>
        <v>Cama</v>
      </c>
      <c r="M3646" s="6" t="str">
        <f>"50x70+"</f>
        <v>50x70+</v>
      </c>
      <c r="N3646" s="6" t="str">
        <f>"5602972696226"</f>
        <v>5602972696226</v>
      </c>
      <c r="O3646" s="8">
        <v>150</v>
      </c>
      <c r="R3646" s="8">
        <v>0</v>
      </c>
      <c r="U3646" s="8">
        <v>0</v>
      </c>
      <c r="X3646" s="8">
        <v>0</v>
      </c>
      <c r="Z3646" s="8">
        <v>0</v>
      </c>
      <c r="AC3646" s="8">
        <v>0</v>
      </c>
      <c r="AF3646" s="8">
        <v>0</v>
      </c>
      <c r="AN3646" s="8">
        <v>0</v>
      </c>
      <c r="AO3646" s="8">
        <v>150</v>
      </c>
    </row>
    <row r="3647" spans="1:41" x14ac:dyDescent="0.25">
      <c r="A3647" s="6" t="str">
        <f t="shared" si="895"/>
        <v>525-2025000426</v>
      </c>
      <c r="B3647" s="6" t="str">
        <f t="shared" si="880"/>
        <v>Lasa Int</v>
      </c>
      <c r="C3647" s="7">
        <v>45883</v>
      </c>
      <c r="D3647" s="7">
        <v>46068</v>
      </c>
      <c r="E3647" s="8">
        <v>55</v>
      </c>
      <c r="F3647" s="6" t="str">
        <f t="shared" si="896"/>
        <v>Royal FR</v>
      </c>
      <c r="G3647" s="6" t="str">
        <f>"C010302000100000"</f>
        <v>C010302000100000</v>
      </c>
      <c r="H3647" s="6" t="str">
        <f>"Cama - ROYAL - Drap"</f>
        <v>Cama - ROYAL - Drap</v>
      </c>
      <c r="I3647" s="6" t="str">
        <f t="shared" ref="I3647:I3661" si="901">"501010"</f>
        <v>501010</v>
      </c>
      <c r="J3647" s="6" t="str">
        <f t="shared" ref="J3647:J3661" si="902">"Indigo"</f>
        <v>Indigo</v>
      </c>
      <c r="K3647" s="6" t="str">
        <f>"7148"</f>
        <v>7148</v>
      </c>
      <c r="L3647" s="6" t="str">
        <f t="shared" si="892"/>
        <v>Cama</v>
      </c>
      <c r="M3647" s="6" t="str">
        <f>"240x300"</f>
        <v>240x300</v>
      </c>
      <c r="N3647" s="6" t="str">
        <f>"5602972745641"</f>
        <v>5602972745641</v>
      </c>
      <c r="O3647" s="8">
        <v>30</v>
      </c>
      <c r="R3647" s="8">
        <v>0</v>
      </c>
      <c r="U3647" s="8">
        <v>0</v>
      </c>
      <c r="X3647" s="8">
        <v>0</v>
      </c>
      <c r="Z3647" s="8">
        <v>0</v>
      </c>
      <c r="AC3647" s="8">
        <v>0</v>
      </c>
      <c r="AF3647" s="8">
        <v>0</v>
      </c>
      <c r="AN3647" s="8">
        <v>0</v>
      </c>
      <c r="AO3647" s="8">
        <v>30</v>
      </c>
    </row>
    <row r="3648" spans="1:41" x14ac:dyDescent="0.25">
      <c r="A3648" s="6" t="str">
        <f t="shared" si="895"/>
        <v>525-2025000426</v>
      </c>
      <c r="B3648" s="6" t="str">
        <f t="shared" si="880"/>
        <v>Lasa Int</v>
      </c>
      <c r="C3648" s="7">
        <v>45883</v>
      </c>
      <c r="D3648" s="7">
        <v>46068</v>
      </c>
      <c r="E3648" s="8">
        <v>57</v>
      </c>
      <c r="F3648" s="6" t="str">
        <f t="shared" si="896"/>
        <v>Royal FR</v>
      </c>
      <c r="G3648" s="6" t="str">
        <f>"C010302000200000"</f>
        <v>C010302000200000</v>
      </c>
      <c r="H3648" s="6" t="str">
        <f>"Cama - ROYAL - Houss"</f>
        <v>Cama - ROYAL - Houss</v>
      </c>
      <c r="I3648" s="6" t="str">
        <f t="shared" si="901"/>
        <v>501010</v>
      </c>
      <c r="J3648" s="6" t="str">
        <f t="shared" si="902"/>
        <v>Indigo</v>
      </c>
      <c r="K3648" s="6" t="str">
        <f>"7150"</f>
        <v>7150</v>
      </c>
      <c r="L3648" s="6" t="str">
        <f t="shared" si="892"/>
        <v>Cama</v>
      </c>
      <c r="M3648" s="6" t="str">
        <f>"140x200+40"</f>
        <v>140x200+40</v>
      </c>
      <c r="N3648" s="6" t="str">
        <f>"5602972745665"</f>
        <v>5602972745665</v>
      </c>
      <c r="O3648" s="8">
        <v>10</v>
      </c>
      <c r="R3648" s="8">
        <v>0</v>
      </c>
      <c r="U3648" s="8">
        <v>0</v>
      </c>
      <c r="X3648" s="8">
        <v>0</v>
      </c>
      <c r="Z3648" s="8">
        <v>0</v>
      </c>
      <c r="AC3648" s="8">
        <v>0</v>
      </c>
      <c r="AF3648" s="8">
        <v>0</v>
      </c>
      <c r="AN3648" s="8">
        <v>0</v>
      </c>
      <c r="AO3648" s="8">
        <v>10</v>
      </c>
    </row>
    <row r="3649" spans="1:41" x14ac:dyDescent="0.25">
      <c r="A3649" s="6" t="str">
        <f t="shared" si="895"/>
        <v>525-2025000426</v>
      </c>
      <c r="B3649" s="6" t="str">
        <f t="shared" si="880"/>
        <v>Lasa Int</v>
      </c>
      <c r="C3649" s="7">
        <v>45883</v>
      </c>
      <c r="D3649" s="7">
        <v>46068</v>
      </c>
      <c r="E3649" s="8">
        <v>58</v>
      </c>
      <c r="F3649" s="6" t="str">
        <f t="shared" si="896"/>
        <v>Royal FR</v>
      </c>
      <c r="G3649" s="6" t="str">
        <f>"C010302000200000"</f>
        <v>C010302000200000</v>
      </c>
      <c r="H3649" s="6" t="str">
        <f>"Cama - ROYAL - Houss"</f>
        <v>Cama - ROYAL - Houss</v>
      </c>
      <c r="I3649" s="6" t="str">
        <f t="shared" si="901"/>
        <v>501010</v>
      </c>
      <c r="J3649" s="6" t="str">
        <f t="shared" si="902"/>
        <v>Indigo</v>
      </c>
      <c r="K3649" s="6" t="str">
        <f>"7152"</f>
        <v>7152</v>
      </c>
      <c r="L3649" s="6" t="str">
        <f t="shared" si="892"/>
        <v>Cama</v>
      </c>
      <c r="M3649" s="6" t="str">
        <f>"240x220+40"</f>
        <v>240x220+40</v>
      </c>
      <c r="N3649" s="6" t="str">
        <f>"5602972745689"</f>
        <v>5602972745689</v>
      </c>
      <c r="O3649" s="8">
        <v>30</v>
      </c>
      <c r="R3649" s="8">
        <v>0</v>
      </c>
      <c r="U3649" s="8">
        <v>0</v>
      </c>
      <c r="X3649" s="8">
        <v>0</v>
      </c>
      <c r="Z3649" s="8">
        <v>0</v>
      </c>
      <c r="AC3649" s="8">
        <v>0</v>
      </c>
      <c r="AF3649" s="8">
        <v>0</v>
      </c>
      <c r="AN3649" s="8">
        <v>0</v>
      </c>
      <c r="AO3649" s="8">
        <v>30</v>
      </c>
    </row>
    <row r="3650" spans="1:41" x14ac:dyDescent="0.25">
      <c r="A3650" s="6" t="str">
        <f t="shared" si="895"/>
        <v>525-2025000426</v>
      </c>
      <c r="B3650" s="6" t="str">
        <f t="shared" ref="B3650:B3713" si="903">"Lasa Int"</f>
        <v>Lasa Int</v>
      </c>
      <c r="C3650" s="7">
        <v>45883</v>
      </c>
      <c r="D3650" s="7">
        <v>46068</v>
      </c>
      <c r="E3650" s="8">
        <v>59</v>
      </c>
      <c r="F3650" s="6" t="str">
        <f t="shared" si="896"/>
        <v>Royal FR</v>
      </c>
      <c r="G3650" s="6" t="str">
        <f>"C010302000300000"</f>
        <v>C010302000300000</v>
      </c>
      <c r="H3650" s="6" t="str">
        <f t="shared" ref="H3650:H3656" si="904">"Cama - ROYAL - Drap"</f>
        <v>Cama - ROYAL - Drap</v>
      </c>
      <c r="I3650" s="6" t="str">
        <f t="shared" si="901"/>
        <v>501010</v>
      </c>
      <c r="J3650" s="6" t="str">
        <f t="shared" si="902"/>
        <v>Indigo</v>
      </c>
      <c r="K3650" s="6" t="str">
        <f>"7154"</f>
        <v>7154</v>
      </c>
      <c r="L3650" s="6" t="str">
        <f t="shared" ref="L3650:L3681" si="905">"Cama"</f>
        <v>Cama</v>
      </c>
      <c r="M3650" s="6" t="str">
        <f>"90x190"</f>
        <v>90x190</v>
      </c>
      <c r="N3650" s="6" t="str">
        <f>"5602972745702"</f>
        <v>5602972745702</v>
      </c>
      <c r="O3650" s="8">
        <v>20</v>
      </c>
      <c r="R3650" s="8">
        <v>0</v>
      </c>
      <c r="U3650" s="8">
        <v>0</v>
      </c>
      <c r="X3650" s="8">
        <v>0</v>
      </c>
      <c r="Z3650" s="8">
        <v>0</v>
      </c>
      <c r="AC3650" s="8">
        <v>0</v>
      </c>
      <c r="AF3650" s="8">
        <v>0</v>
      </c>
      <c r="AN3650" s="8">
        <v>0</v>
      </c>
      <c r="AO3650" s="8">
        <v>20</v>
      </c>
    </row>
    <row r="3651" spans="1:41" x14ac:dyDescent="0.25">
      <c r="A3651" s="6" t="str">
        <f t="shared" si="895"/>
        <v>525-2025000426</v>
      </c>
      <c r="B3651" s="6" t="str">
        <f t="shared" si="903"/>
        <v>Lasa Int</v>
      </c>
      <c r="C3651" s="7">
        <v>45883</v>
      </c>
      <c r="D3651" s="7">
        <v>46068</v>
      </c>
      <c r="E3651" s="8">
        <v>60</v>
      </c>
      <c r="F3651" s="6" t="str">
        <f t="shared" si="896"/>
        <v>Royal FR</v>
      </c>
      <c r="G3651" s="6" t="str">
        <f>"C010302000300000"</f>
        <v>C010302000300000</v>
      </c>
      <c r="H3651" s="6" t="str">
        <f t="shared" si="904"/>
        <v>Cama - ROYAL - Drap</v>
      </c>
      <c r="I3651" s="6" t="str">
        <f t="shared" si="901"/>
        <v>501010</v>
      </c>
      <c r="J3651" s="6" t="str">
        <f t="shared" si="902"/>
        <v>Indigo</v>
      </c>
      <c r="K3651" s="6" t="str">
        <f>"7156"</f>
        <v>7156</v>
      </c>
      <c r="L3651" s="6" t="str">
        <f t="shared" si="905"/>
        <v>Cama</v>
      </c>
      <c r="M3651" s="6" t="str">
        <f>"160x200"</f>
        <v>160x200</v>
      </c>
      <c r="N3651" s="6" t="str">
        <f>"5602972745726"</f>
        <v>5602972745726</v>
      </c>
      <c r="O3651" s="8">
        <v>80</v>
      </c>
      <c r="R3651" s="8">
        <v>0</v>
      </c>
      <c r="U3651" s="8">
        <v>0</v>
      </c>
      <c r="X3651" s="8">
        <v>0</v>
      </c>
      <c r="Z3651" s="8">
        <v>0</v>
      </c>
      <c r="AC3651" s="8">
        <v>0</v>
      </c>
      <c r="AF3651" s="8">
        <v>0</v>
      </c>
      <c r="AN3651" s="8">
        <v>0</v>
      </c>
      <c r="AO3651" s="8">
        <v>80</v>
      </c>
    </row>
    <row r="3652" spans="1:41" x14ac:dyDescent="0.25">
      <c r="A3652" s="6" t="str">
        <f t="shared" si="895"/>
        <v>525-2025000426</v>
      </c>
      <c r="B3652" s="6" t="str">
        <f t="shared" si="903"/>
        <v>Lasa Int</v>
      </c>
      <c r="C3652" s="7">
        <v>45883</v>
      </c>
      <c r="D3652" s="7">
        <v>46068</v>
      </c>
      <c r="E3652" s="8">
        <v>61</v>
      </c>
      <c r="F3652" s="6" t="str">
        <f t="shared" si="896"/>
        <v>Royal FR</v>
      </c>
      <c r="G3652" s="6" t="str">
        <f>"C010302000300000"</f>
        <v>C010302000300000</v>
      </c>
      <c r="H3652" s="6" t="str">
        <f t="shared" si="904"/>
        <v>Cama - ROYAL - Drap</v>
      </c>
      <c r="I3652" s="6" t="str">
        <f t="shared" si="901"/>
        <v>501010</v>
      </c>
      <c r="J3652" s="6" t="str">
        <f t="shared" si="902"/>
        <v>Indigo</v>
      </c>
      <c r="K3652" s="6" t="str">
        <f>"7157"</f>
        <v>7157</v>
      </c>
      <c r="L3652" s="6" t="str">
        <f t="shared" si="905"/>
        <v>Cama</v>
      </c>
      <c r="M3652" s="6" t="str">
        <f>"180x200"</f>
        <v>180x200</v>
      </c>
      <c r="N3652" s="6" t="str">
        <f>"5602972745733"</f>
        <v>5602972745733</v>
      </c>
      <c r="O3652" s="8">
        <v>30</v>
      </c>
      <c r="R3652" s="8">
        <v>0</v>
      </c>
      <c r="U3652" s="8">
        <v>0</v>
      </c>
      <c r="X3652" s="8">
        <v>0</v>
      </c>
      <c r="Z3652" s="8">
        <v>0</v>
      </c>
      <c r="AC3652" s="8">
        <v>0</v>
      </c>
      <c r="AF3652" s="8">
        <v>0</v>
      </c>
      <c r="AN3652" s="8">
        <v>0</v>
      </c>
      <c r="AO3652" s="8">
        <v>30</v>
      </c>
    </row>
    <row r="3653" spans="1:41" x14ac:dyDescent="0.25">
      <c r="A3653" s="6" t="str">
        <f t="shared" si="895"/>
        <v>525-2025000426</v>
      </c>
      <c r="B3653" s="6" t="str">
        <f t="shared" si="903"/>
        <v>Lasa Int</v>
      </c>
      <c r="C3653" s="7">
        <v>45883</v>
      </c>
      <c r="D3653" s="7">
        <v>46068</v>
      </c>
      <c r="E3653" s="8">
        <v>62</v>
      </c>
      <c r="F3653" s="6" t="str">
        <f t="shared" si="896"/>
        <v>Royal FR</v>
      </c>
      <c r="G3653" s="6" t="str">
        <f>"C010302000400000"</f>
        <v>C010302000400000</v>
      </c>
      <c r="H3653" s="6" t="str">
        <f t="shared" si="904"/>
        <v>Cama - ROYAL - Drap</v>
      </c>
      <c r="I3653" s="6" t="str">
        <f t="shared" si="901"/>
        <v>501010</v>
      </c>
      <c r="J3653" s="6" t="str">
        <f t="shared" si="902"/>
        <v>Indigo</v>
      </c>
      <c r="K3653" s="6" t="str">
        <f>"7159"</f>
        <v>7159</v>
      </c>
      <c r="L3653" s="6" t="str">
        <f t="shared" si="905"/>
        <v>Cama</v>
      </c>
      <c r="M3653" s="6" t="str">
        <f>"80x200"</f>
        <v>80x200</v>
      </c>
      <c r="N3653" s="6" t="str">
        <f>"5602972745757"</f>
        <v>5602972745757</v>
      </c>
      <c r="O3653" s="8">
        <v>20</v>
      </c>
      <c r="R3653" s="8">
        <v>0</v>
      </c>
      <c r="U3653" s="8">
        <v>0</v>
      </c>
      <c r="X3653" s="8">
        <v>0</v>
      </c>
      <c r="Z3653" s="8">
        <v>0</v>
      </c>
      <c r="AC3653" s="8">
        <v>0</v>
      </c>
      <c r="AF3653" s="8">
        <v>0</v>
      </c>
      <c r="AN3653" s="8">
        <v>0</v>
      </c>
      <c r="AO3653" s="8">
        <v>20</v>
      </c>
    </row>
    <row r="3654" spans="1:41" x14ac:dyDescent="0.25">
      <c r="A3654" s="6" t="str">
        <f t="shared" si="895"/>
        <v>525-2025000426</v>
      </c>
      <c r="B3654" s="6" t="str">
        <f t="shared" si="903"/>
        <v>Lasa Int</v>
      </c>
      <c r="C3654" s="7">
        <v>45883</v>
      </c>
      <c r="D3654" s="7">
        <v>46068</v>
      </c>
      <c r="E3654" s="8">
        <v>63</v>
      </c>
      <c r="F3654" s="6" t="str">
        <f t="shared" si="896"/>
        <v>Royal FR</v>
      </c>
      <c r="G3654" s="6" t="str">
        <f>"C010302000400000"</f>
        <v>C010302000400000</v>
      </c>
      <c r="H3654" s="6" t="str">
        <f t="shared" si="904"/>
        <v>Cama - ROYAL - Drap</v>
      </c>
      <c r="I3654" s="6" t="str">
        <f t="shared" si="901"/>
        <v>501010</v>
      </c>
      <c r="J3654" s="6" t="str">
        <f t="shared" si="902"/>
        <v>Indigo</v>
      </c>
      <c r="K3654" s="6" t="str">
        <f>"7160"</f>
        <v>7160</v>
      </c>
      <c r="L3654" s="6" t="str">
        <f t="shared" si="905"/>
        <v>Cama</v>
      </c>
      <c r="M3654" s="6" t="str">
        <f>"90x200"</f>
        <v>90x200</v>
      </c>
      <c r="N3654" s="6" t="str">
        <f>"5602972745764"</f>
        <v>5602972745764</v>
      </c>
      <c r="O3654" s="8">
        <v>20</v>
      </c>
      <c r="R3654" s="8">
        <v>0</v>
      </c>
      <c r="U3654" s="8">
        <v>0</v>
      </c>
      <c r="X3654" s="8">
        <v>0</v>
      </c>
      <c r="Z3654" s="8">
        <v>0</v>
      </c>
      <c r="AC3654" s="8">
        <v>0</v>
      </c>
      <c r="AF3654" s="8">
        <v>0</v>
      </c>
      <c r="AN3654" s="8">
        <v>0</v>
      </c>
      <c r="AO3654" s="8">
        <v>20</v>
      </c>
    </row>
    <row r="3655" spans="1:41" x14ac:dyDescent="0.25">
      <c r="A3655" s="6" t="str">
        <f t="shared" si="895"/>
        <v>525-2025000426</v>
      </c>
      <c r="B3655" s="6" t="str">
        <f t="shared" si="903"/>
        <v>Lasa Int</v>
      </c>
      <c r="C3655" s="7">
        <v>45883</v>
      </c>
      <c r="D3655" s="7">
        <v>46068</v>
      </c>
      <c r="E3655" s="8">
        <v>64</v>
      </c>
      <c r="F3655" s="6" t="str">
        <f t="shared" si="896"/>
        <v>Royal FR</v>
      </c>
      <c r="G3655" s="6" t="str">
        <f>"C010302000400000"</f>
        <v>C010302000400000</v>
      </c>
      <c r="H3655" s="6" t="str">
        <f t="shared" si="904"/>
        <v>Cama - ROYAL - Drap</v>
      </c>
      <c r="I3655" s="6" t="str">
        <f t="shared" si="901"/>
        <v>501010</v>
      </c>
      <c r="J3655" s="6" t="str">
        <f t="shared" si="902"/>
        <v>Indigo</v>
      </c>
      <c r="K3655" s="6" t="str">
        <f>"7161"</f>
        <v>7161</v>
      </c>
      <c r="L3655" s="6" t="str">
        <f t="shared" si="905"/>
        <v>Cama</v>
      </c>
      <c r="M3655" s="6" t="str">
        <f>"120x190"</f>
        <v>120x190</v>
      </c>
      <c r="N3655" s="6" t="str">
        <f>"5602972745771"</f>
        <v>5602972745771</v>
      </c>
      <c r="O3655" s="8">
        <v>10</v>
      </c>
      <c r="R3655" s="8">
        <v>0</v>
      </c>
      <c r="U3655" s="8">
        <v>0</v>
      </c>
      <c r="X3655" s="8">
        <v>0</v>
      </c>
      <c r="Z3655" s="8">
        <v>0</v>
      </c>
      <c r="AC3655" s="8">
        <v>0</v>
      </c>
      <c r="AF3655" s="8">
        <v>0</v>
      </c>
      <c r="AN3655" s="8">
        <v>0</v>
      </c>
      <c r="AO3655" s="8">
        <v>10</v>
      </c>
    </row>
    <row r="3656" spans="1:41" x14ac:dyDescent="0.25">
      <c r="A3656" s="6" t="str">
        <f t="shared" si="895"/>
        <v>525-2025000426</v>
      </c>
      <c r="B3656" s="6" t="str">
        <f t="shared" si="903"/>
        <v>Lasa Int</v>
      </c>
      <c r="C3656" s="7">
        <v>45883</v>
      </c>
      <c r="D3656" s="7">
        <v>46068</v>
      </c>
      <c r="E3656" s="8">
        <v>65</v>
      </c>
      <c r="F3656" s="6" t="str">
        <f t="shared" si="896"/>
        <v>Royal FR</v>
      </c>
      <c r="G3656" s="6" t="str">
        <f>"C010302000400000"</f>
        <v>C010302000400000</v>
      </c>
      <c r="H3656" s="6" t="str">
        <f t="shared" si="904"/>
        <v>Cama - ROYAL - Drap</v>
      </c>
      <c r="I3656" s="6" t="str">
        <f t="shared" si="901"/>
        <v>501010</v>
      </c>
      <c r="J3656" s="6" t="str">
        <f t="shared" si="902"/>
        <v>Indigo</v>
      </c>
      <c r="K3656" s="6" t="str">
        <f>"7162"</f>
        <v>7162</v>
      </c>
      <c r="L3656" s="6" t="str">
        <f t="shared" si="905"/>
        <v>Cama</v>
      </c>
      <c r="M3656" s="6" t="str">
        <f>"140x200"</f>
        <v>140x200</v>
      </c>
      <c r="N3656" s="6" t="str">
        <f>"5602972745788"</f>
        <v>5602972745788</v>
      </c>
      <c r="O3656" s="8">
        <v>10</v>
      </c>
      <c r="R3656" s="8">
        <v>0</v>
      </c>
      <c r="U3656" s="8">
        <v>0</v>
      </c>
      <c r="X3656" s="8">
        <v>0</v>
      </c>
      <c r="Z3656" s="8">
        <v>0</v>
      </c>
      <c r="AC3656" s="8">
        <v>0</v>
      </c>
      <c r="AF3656" s="8">
        <v>0</v>
      </c>
      <c r="AN3656" s="8">
        <v>0</v>
      </c>
      <c r="AO3656" s="8">
        <v>10</v>
      </c>
    </row>
    <row r="3657" spans="1:41" x14ac:dyDescent="0.25">
      <c r="A3657" s="6" t="str">
        <f t="shared" ref="A3657:A3690" si="906">"525-2025000426"</f>
        <v>525-2025000426</v>
      </c>
      <c r="B3657" s="6" t="str">
        <f t="shared" si="903"/>
        <v>Lasa Int</v>
      </c>
      <c r="C3657" s="7">
        <v>45883</v>
      </c>
      <c r="D3657" s="7">
        <v>46068</v>
      </c>
      <c r="E3657" s="8">
        <v>66</v>
      </c>
      <c r="F3657" s="6" t="str">
        <f t="shared" ref="F3657:F3690" si="907">"Royal FR"</f>
        <v>Royal FR</v>
      </c>
      <c r="G3657" s="6" t="str">
        <f>"C010302000800000"</f>
        <v>C010302000800000</v>
      </c>
      <c r="H3657" s="6" t="str">
        <f>"Cama - ROYAL - Taill"</f>
        <v>Cama - ROYAL - Taill</v>
      </c>
      <c r="I3657" s="6" t="str">
        <f t="shared" si="901"/>
        <v>501010</v>
      </c>
      <c r="J3657" s="6" t="str">
        <f t="shared" si="902"/>
        <v>Indigo</v>
      </c>
      <c r="K3657" s="6" t="str">
        <f>"7034"</f>
        <v>7034</v>
      </c>
      <c r="L3657" s="6" t="str">
        <f t="shared" si="905"/>
        <v>Cama</v>
      </c>
      <c r="M3657" s="6" t="str">
        <f>"65x65+5"</f>
        <v>65x65+5</v>
      </c>
      <c r="N3657" s="6" t="str">
        <f>"5602972745603"</f>
        <v>5602972745603</v>
      </c>
      <c r="O3657" s="8">
        <v>150</v>
      </c>
      <c r="R3657" s="8">
        <v>0</v>
      </c>
      <c r="U3657" s="8">
        <v>0</v>
      </c>
      <c r="X3657" s="8">
        <v>0</v>
      </c>
      <c r="Z3657" s="8">
        <v>0</v>
      </c>
      <c r="AC3657" s="8">
        <v>0</v>
      </c>
      <c r="AF3657" s="8">
        <v>0</v>
      </c>
      <c r="AN3657" s="8">
        <v>0</v>
      </c>
      <c r="AO3657" s="8">
        <v>150</v>
      </c>
    </row>
    <row r="3658" spans="1:41" x14ac:dyDescent="0.25">
      <c r="A3658" s="6" t="str">
        <f t="shared" si="906"/>
        <v>525-2025000426</v>
      </c>
      <c r="B3658" s="6" t="str">
        <f t="shared" si="903"/>
        <v>Lasa Int</v>
      </c>
      <c r="C3658" s="7">
        <v>45883</v>
      </c>
      <c r="D3658" s="7">
        <v>46068</v>
      </c>
      <c r="E3658" s="8">
        <v>67</v>
      </c>
      <c r="F3658" s="6" t="str">
        <f t="shared" si="907"/>
        <v>Royal FR</v>
      </c>
      <c r="G3658" s="6" t="str">
        <f>"C010302000800000"</f>
        <v>C010302000800000</v>
      </c>
      <c r="H3658" s="6" t="str">
        <f>"Cama - ROYAL - Taill"</f>
        <v>Cama - ROYAL - Taill</v>
      </c>
      <c r="I3658" s="6" t="str">
        <f t="shared" si="901"/>
        <v>501010</v>
      </c>
      <c r="J3658" s="6" t="str">
        <f t="shared" si="902"/>
        <v>Indigo</v>
      </c>
      <c r="K3658" s="6" t="str">
        <f>"7035"</f>
        <v>7035</v>
      </c>
      <c r="L3658" s="6" t="str">
        <f t="shared" si="905"/>
        <v>Cama</v>
      </c>
      <c r="M3658" s="6" t="str">
        <f>"50x70+"</f>
        <v>50x70+</v>
      </c>
      <c r="N3658" s="6" t="str">
        <f>"5602972745610"</f>
        <v>5602972745610</v>
      </c>
      <c r="O3658" s="8">
        <v>150</v>
      </c>
      <c r="R3658" s="8">
        <v>0</v>
      </c>
      <c r="U3658" s="8">
        <v>0</v>
      </c>
      <c r="X3658" s="8">
        <v>0</v>
      </c>
      <c r="Z3658" s="8">
        <v>0</v>
      </c>
      <c r="AC3658" s="8">
        <v>0</v>
      </c>
      <c r="AF3658" s="8">
        <v>0</v>
      </c>
      <c r="AN3658" s="8">
        <v>0</v>
      </c>
      <c r="AO3658" s="8">
        <v>150</v>
      </c>
    </row>
    <row r="3659" spans="1:41" x14ac:dyDescent="0.25">
      <c r="A3659" s="6" t="str">
        <f t="shared" si="906"/>
        <v>525-2025000426</v>
      </c>
      <c r="B3659" s="6" t="str">
        <f t="shared" si="903"/>
        <v>Lasa Int</v>
      </c>
      <c r="C3659" s="7">
        <v>45883</v>
      </c>
      <c r="D3659" s="7">
        <v>46068</v>
      </c>
      <c r="E3659" s="8">
        <v>68</v>
      </c>
      <c r="F3659" s="6" t="str">
        <f t="shared" si="907"/>
        <v>Royal FR</v>
      </c>
      <c r="G3659" s="6" t="str">
        <f>"C010302000900000"</f>
        <v>C010302000900000</v>
      </c>
      <c r="H3659" s="6" t="str">
        <f>"Cama - ROYAL - Trave"</f>
        <v>Cama - ROYAL - Trave</v>
      </c>
      <c r="I3659" s="6" t="str">
        <f t="shared" si="901"/>
        <v>501010</v>
      </c>
      <c r="J3659" s="6" t="str">
        <f t="shared" si="902"/>
        <v>Indigo</v>
      </c>
      <c r="K3659" s="6" t="str">
        <f>"7170"</f>
        <v>7170</v>
      </c>
      <c r="L3659" s="6" t="str">
        <f t="shared" si="905"/>
        <v>Cama</v>
      </c>
      <c r="M3659" s="6" t="str">
        <f>"45x185"</f>
        <v>45x185</v>
      </c>
      <c r="N3659" s="6" t="str">
        <f>"5602972745627"</f>
        <v>5602972745627</v>
      </c>
      <c r="O3659" s="8">
        <v>30</v>
      </c>
      <c r="R3659" s="8">
        <v>0</v>
      </c>
      <c r="U3659" s="8">
        <v>0</v>
      </c>
      <c r="X3659" s="8">
        <v>0</v>
      </c>
      <c r="Z3659" s="8">
        <v>0</v>
      </c>
      <c r="AC3659" s="8">
        <v>0</v>
      </c>
      <c r="AF3659" s="8">
        <v>0</v>
      </c>
      <c r="AN3659" s="8">
        <v>0</v>
      </c>
      <c r="AO3659" s="8">
        <v>30</v>
      </c>
    </row>
    <row r="3660" spans="1:41" x14ac:dyDescent="0.25">
      <c r="A3660" s="6" t="str">
        <f t="shared" si="906"/>
        <v>525-2025000426</v>
      </c>
      <c r="B3660" s="6" t="str">
        <f t="shared" si="903"/>
        <v>Lasa Int</v>
      </c>
      <c r="C3660" s="7">
        <v>45883</v>
      </c>
      <c r="D3660" s="7">
        <v>46068</v>
      </c>
      <c r="E3660" s="8">
        <v>69</v>
      </c>
      <c r="F3660" s="6" t="str">
        <f t="shared" si="907"/>
        <v>Royal FR</v>
      </c>
      <c r="G3660" s="6" t="str">
        <f>"C010302000300000"</f>
        <v>C010302000300000</v>
      </c>
      <c r="H3660" s="6" t="str">
        <f>"Cama - ROYAL - Drap"</f>
        <v>Cama - ROYAL - Drap</v>
      </c>
      <c r="I3660" s="6" t="str">
        <f t="shared" si="901"/>
        <v>501010</v>
      </c>
      <c r="J3660" s="6" t="str">
        <f t="shared" si="902"/>
        <v>Indigo</v>
      </c>
      <c r="K3660" s="6" t="str">
        <f>"7155"</f>
        <v>7155</v>
      </c>
      <c r="L3660" s="6" t="str">
        <f t="shared" si="905"/>
        <v>Cama</v>
      </c>
      <c r="M3660" s="6" t="str">
        <f>"140x190"</f>
        <v>140x190</v>
      </c>
      <c r="N3660" s="6" t="str">
        <f>"5602972745719"</f>
        <v>5602972745719</v>
      </c>
      <c r="O3660" s="8">
        <v>80</v>
      </c>
      <c r="R3660" s="8">
        <v>0</v>
      </c>
      <c r="U3660" s="8">
        <v>0</v>
      </c>
      <c r="X3660" s="8">
        <v>0</v>
      </c>
      <c r="Z3660" s="8">
        <v>0</v>
      </c>
      <c r="AC3660" s="8">
        <v>0</v>
      </c>
      <c r="AF3660" s="8">
        <v>0</v>
      </c>
      <c r="AN3660" s="8">
        <v>0</v>
      </c>
      <c r="AO3660" s="8">
        <v>80</v>
      </c>
    </row>
    <row r="3661" spans="1:41" x14ac:dyDescent="0.25">
      <c r="A3661" s="6" t="str">
        <f t="shared" si="906"/>
        <v>525-2025000426</v>
      </c>
      <c r="B3661" s="6" t="str">
        <f t="shared" si="903"/>
        <v>Lasa Int</v>
      </c>
      <c r="C3661" s="7">
        <v>45883</v>
      </c>
      <c r="D3661" s="7">
        <v>46068</v>
      </c>
      <c r="E3661" s="8">
        <v>70</v>
      </c>
      <c r="F3661" s="6" t="str">
        <f t="shared" si="907"/>
        <v>Royal FR</v>
      </c>
      <c r="G3661" s="6" t="str">
        <f>"C010302000200000"</f>
        <v>C010302000200000</v>
      </c>
      <c r="H3661" s="6" t="str">
        <f>"Cama - ROYAL - Houss"</f>
        <v>Cama - ROYAL - Houss</v>
      </c>
      <c r="I3661" s="6" t="str">
        <f t="shared" si="901"/>
        <v>501010</v>
      </c>
      <c r="J3661" s="6" t="str">
        <f t="shared" si="902"/>
        <v>Indigo</v>
      </c>
      <c r="K3661" s="6" t="str">
        <f>"7153"</f>
        <v>7153</v>
      </c>
      <c r="L3661" s="6" t="str">
        <f t="shared" si="905"/>
        <v>Cama</v>
      </c>
      <c r="M3661" s="6" t="str">
        <f>"260x240+40"</f>
        <v>260x240+40</v>
      </c>
      <c r="N3661" s="6" t="str">
        <f>"5602972745696"</f>
        <v>5602972745696</v>
      </c>
      <c r="O3661" s="8">
        <v>20</v>
      </c>
      <c r="R3661" s="8">
        <v>0</v>
      </c>
      <c r="U3661" s="8">
        <v>0</v>
      </c>
      <c r="X3661" s="8">
        <v>0</v>
      </c>
      <c r="Z3661" s="8">
        <v>0</v>
      </c>
      <c r="AC3661" s="8">
        <v>0</v>
      </c>
      <c r="AF3661" s="8">
        <v>0</v>
      </c>
      <c r="AN3661" s="8">
        <v>0</v>
      </c>
      <c r="AO3661" s="8">
        <v>20</v>
      </c>
    </row>
    <row r="3662" spans="1:41" x14ac:dyDescent="0.25">
      <c r="A3662" s="6" t="str">
        <f t="shared" si="906"/>
        <v>525-2025000426</v>
      </c>
      <c r="B3662" s="6" t="str">
        <f t="shared" si="903"/>
        <v>Lasa Int</v>
      </c>
      <c r="C3662" s="7">
        <v>45883</v>
      </c>
      <c r="D3662" s="7">
        <v>46068</v>
      </c>
      <c r="E3662" s="8">
        <v>71</v>
      </c>
      <c r="F3662" s="6" t="str">
        <f t="shared" si="907"/>
        <v>Royal FR</v>
      </c>
      <c r="G3662" s="6" t="str">
        <f>"C010302000800000"</f>
        <v>C010302000800000</v>
      </c>
      <c r="H3662" s="6" t="str">
        <f>"Cama - ROYAL - Taill"</f>
        <v>Cama - ROYAL - Taill</v>
      </c>
      <c r="I3662" s="6" t="str">
        <f t="shared" ref="I3662:I3674" si="908">"501012"</f>
        <v>501012</v>
      </c>
      <c r="J3662" s="6" t="str">
        <f t="shared" ref="J3662:J3674" si="909">"Mar"</f>
        <v>Mar</v>
      </c>
      <c r="K3662" s="6" t="str">
        <f>"7034"</f>
        <v>7034</v>
      </c>
      <c r="L3662" s="6" t="str">
        <f t="shared" si="905"/>
        <v>Cama</v>
      </c>
      <c r="M3662" s="6" t="str">
        <f>"65x65+5"</f>
        <v>65x65+5</v>
      </c>
      <c r="N3662" s="6" t="str">
        <f>"5602972742046"</f>
        <v>5602972742046</v>
      </c>
      <c r="O3662" s="8">
        <v>320</v>
      </c>
      <c r="R3662" s="8">
        <v>0</v>
      </c>
      <c r="U3662" s="8">
        <v>0</v>
      </c>
      <c r="X3662" s="8">
        <v>0</v>
      </c>
      <c r="Z3662" s="8">
        <v>0</v>
      </c>
      <c r="AC3662" s="8">
        <v>0</v>
      </c>
      <c r="AF3662" s="8">
        <v>0</v>
      </c>
      <c r="AN3662" s="8">
        <v>0</v>
      </c>
      <c r="AO3662" s="8">
        <v>320</v>
      </c>
    </row>
    <row r="3663" spans="1:41" x14ac:dyDescent="0.25">
      <c r="A3663" s="6" t="str">
        <f t="shared" si="906"/>
        <v>525-2025000426</v>
      </c>
      <c r="B3663" s="6" t="str">
        <f t="shared" si="903"/>
        <v>Lasa Int</v>
      </c>
      <c r="C3663" s="7">
        <v>45883</v>
      </c>
      <c r="D3663" s="7">
        <v>46068</v>
      </c>
      <c r="E3663" s="8">
        <v>72</v>
      </c>
      <c r="F3663" s="6" t="str">
        <f t="shared" si="907"/>
        <v>Royal FR</v>
      </c>
      <c r="G3663" s="6" t="str">
        <f>"C010302000800000"</f>
        <v>C010302000800000</v>
      </c>
      <c r="H3663" s="6" t="str">
        <f>"Cama - ROYAL - Taill"</f>
        <v>Cama - ROYAL - Taill</v>
      </c>
      <c r="I3663" s="6" t="str">
        <f t="shared" si="908"/>
        <v>501012</v>
      </c>
      <c r="J3663" s="6" t="str">
        <f t="shared" si="909"/>
        <v>Mar</v>
      </c>
      <c r="K3663" s="6" t="str">
        <f>"7035"</f>
        <v>7035</v>
      </c>
      <c r="L3663" s="6" t="str">
        <f t="shared" si="905"/>
        <v>Cama</v>
      </c>
      <c r="M3663" s="6" t="str">
        <f>"50x70+"</f>
        <v>50x70+</v>
      </c>
      <c r="N3663" s="6" t="str">
        <f>"5602972742053"</f>
        <v>5602972742053</v>
      </c>
      <c r="O3663" s="8">
        <v>570</v>
      </c>
      <c r="R3663" s="8">
        <v>0</v>
      </c>
      <c r="U3663" s="8">
        <v>0</v>
      </c>
      <c r="X3663" s="8">
        <v>0</v>
      </c>
      <c r="Z3663" s="8">
        <v>0</v>
      </c>
      <c r="AC3663" s="8">
        <v>0</v>
      </c>
      <c r="AF3663" s="8">
        <v>0</v>
      </c>
      <c r="AN3663" s="8">
        <v>0</v>
      </c>
      <c r="AO3663" s="8">
        <v>570</v>
      </c>
    </row>
    <row r="3664" spans="1:41" x14ac:dyDescent="0.25">
      <c r="A3664" s="6" t="str">
        <f t="shared" si="906"/>
        <v>525-2025000426</v>
      </c>
      <c r="B3664" s="6" t="str">
        <f t="shared" si="903"/>
        <v>Lasa Int</v>
      </c>
      <c r="C3664" s="7">
        <v>45883</v>
      </c>
      <c r="D3664" s="7">
        <v>46068</v>
      </c>
      <c r="E3664" s="8">
        <v>73</v>
      </c>
      <c r="F3664" s="6" t="str">
        <f t="shared" si="907"/>
        <v>Royal FR</v>
      </c>
      <c r="G3664" s="6" t="str">
        <f>"C010302000100000"</f>
        <v>C010302000100000</v>
      </c>
      <c r="H3664" s="6" t="str">
        <f>"Cama - ROYAL - Drap"</f>
        <v>Cama - ROYAL - Drap</v>
      </c>
      <c r="I3664" s="6" t="str">
        <f t="shared" si="908"/>
        <v>501012</v>
      </c>
      <c r="J3664" s="6" t="str">
        <f t="shared" si="909"/>
        <v>Mar</v>
      </c>
      <c r="K3664" s="6" t="str">
        <f>"7147"</f>
        <v>7147</v>
      </c>
      <c r="L3664" s="6" t="str">
        <f t="shared" si="905"/>
        <v>Cama</v>
      </c>
      <c r="M3664" s="6" t="str">
        <f>"180x290"</f>
        <v>180x290</v>
      </c>
      <c r="N3664" s="6" t="str">
        <f>"5602972742077"</f>
        <v>5602972742077</v>
      </c>
      <c r="O3664" s="8">
        <v>20</v>
      </c>
      <c r="R3664" s="8">
        <v>0</v>
      </c>
      <c r="U3664" s="8">
        <v>0</v>
      </c>
      <c r="X3664" s="8">
        <v>0</v>
      </c>
      <c r="Z3664" s="8">
        <v>0</v>
      </c>
      <c r="AC3664" s="8">
        <v>0</v>
      </c>
      <c r="AF3664" s="8">
        <v>0</v>
      </c>
      <c r="AN3664" s="8">
        <v>0</v>
      </c>
      <c r="AO3664" s="8">
        <v>20</v>
      </c>
    </row>
    <row r="3665" spans="1:41" x14ac:dyDescent="0.25">
      <c r="A3665" s="6" t="str">
        <f t="shared" si="906"/>
        <v>525-2025000426</v>
      </c>
      <c r="B3665" s="6" t="str">
        <f t="shared" si="903"/>
        <v>Lasa Int</v>
      </c>
      <c r="C3665" s="7">
        <v>45883</v>
      </c>
      <c r="D3665" s="7">
        <v>46068</v>
      </c>
      <c r="E3665" s="8">
        <v>74</v>
      </c>
      <c r="F3665" s="6" t="str">
        <f t="shared" si="907"/>
        <v>Royal FR</v>
      </c>
      <c r="G3665" s="6" t="str">
        <f>"C010302000100000"</f>
        <v>C010302000100000</v>
      </c>
      <c r="H3665" s="6" t="str">
        <f>"Cama - ROYAL - Drap"</f>
        <v>Cama - ROYAL - Drap</v>
      </c>
      <c r="I3665" s="6" t="str">
        <f t="shared" si="908"/>
        <v>501012</v>
      </c>
      <c r="J3665" s="6" t="str">
        <f t="shared" si="909"/>
        <v>Mar</v>
      </c>
      <c r="K3665" s="6" t="str">
        <f>"7148"</f>
        <v>7148</v>
      </c>
      <c r="L3665" s="6" t="str">
        <f t="shared" si="905"/>
        <v>Cama</v>
      </c>
      <c r="M3665" s="6" t="str">
        <f>"240x300"</f>
        <v>240x300</v>
      </c>
      <c r="N3665" s="6" t="str">
        <f>"5602972742084"</f>
        <v>5602972742084</v>
      </c>
      <c r="O3665" s="8">
        <v>40</v>
      </c>
      <c r="R3665" s="8">
        <v>0</v>
      </c>
      <c r="U3665" s="8">
        <v>0</v>
      </c>
      <c r="X3665" s="8">
        <v>0</v>
      </c>
      <c r="Z3665" s="8">
        <v>0</v>
      </c>
      <c r="AC3665" s="8">
        <v>0</v>
      </c>
      <c r="AF3665" s="8">
        <v>0</v>
      </c>
      <c r="AN3665" s="8">
        <v>0</v>
      </c>
      <c r="AO3665" s="8">
        <v>40</v>
      </c>
    </row>
    <row r="3666" spans="1:41" x14ac:dyDescent="0.25">
      <c r="A3666" s="6" t="str">
        <f t="shared" si="906"/>
        <v>525-2025000426</v>
      </c>
      <c r="B3666" s="6" t="str">
        <f t="shared" si="903"/>
        <v>Lasa Int</v>
      </c>
      <c r="C3666" s="7">
        <v>45883</v>
      </c>
      <c r="D3666" s="7">
        <v>46068</v>
      </c>
      <c r="E3666" s="8">
        <v>75</v>
      </c>
      <c r="F3666" s="6" t="str">
        <f t="shared" si="907"/>
        <v>Royal FR</v>
      </c>
      <c r="G3666" s="6" t="str">
        <f>"C010302000100000"</f>
        <v>C010302000100000</v>
      </c>
      <c r="H3666" s="6" t="str">
        <f>"Cama - ROYAL - Drap"</f>
        <v>Cama - ROYAL - Drap</v>
      </c>
      <c r="I3666" s="6" t="str">
        <f t="shared" si="908"/>
        <v>501012</v>
      </c>
      <c r="J3666" s="6" t="str">
        <f t="shared" si="909"/>
        <v>Mar</v>
      </c>
      <c r="K3666" s="6" t="str">
        <f>"7149"</f>
        <v>7149</v>
      </c>
      <c r="L3666" s="6" t="str">
        <f t="shared" si="905"/>
        <v>Cama</v>
      </c>
      <c r="M3666" s="6" t="str">
        <f>"270x310"</f>
        <v>270x310</v>
      </c>
      <c r="N3666" s="6" t="str">
        <f>"5602972742091"</f>
        <v>5602972742091</v>
      </c>
      <c r="O3666" s="8">
        <v>30</v>
      </c>
      <c r="R3666" s="8">
        <v>0</v>
      </c>
      <c r="U3666" s="8">
        <v>0</v>
      </c>
      <c r="X3666" s="8">
        <v>0</v>
      </c>
      <c r="Z3666" s="8">
        <v>0</v>
      </c>
      <c r="AC3666" s="8">
        <v>0</v>
      </c>
      <c r="AF3666" s="8">
        <v>0</v>
      </c>
      <c r="AN3666" s="8">
        <v>0</v>
      </c>
      <c r="AO3666" s="8">
        <v>30</v>
      </c>
    </row>
    <row r="3667" spans="1:41" x14ac:dyDescent="0.25">
      <c r="A3667" s="6" t="str">
        <f t="shared" si="906"/>
        <v>525-2025000426</v>
      </c>
      <c r="B3667" s="6" t="str">
        <f t="shared" si="903"/>
        <v>Lasa Int</v>
      </c>
      <c r="C3667" s="7">
        <v>45883</v>
      </c>
      <c r="D3667" s="7">
        <v>46068</v>
      </c>
      <c r="E3667" s="8">
        <v>76</v>
      </c>
      <c r="F3667" s="6" t="str">
        <f t="shared" si="907"/>
        <v>Royal FR</v>
      </c>
      <c r="G3667" s="6" t="str">
        <f>"C010302000200000"</f>
        <v>C010302000200000</v>
      </c>
      <c r="H3667" s="6" t="str">
        <f>"Cama - ROYAL - Houss"</f>
        <v>Cama - ROYAL - Houss</v>
      </c>
      <c r="I3667" s="6" t="str">
        <f t="shared" si="908"/>
        <v>501012</v>
      </c>
      <c r="J3667" s="6" t="str">
        <f t="shared" si="909"/>
        <v>Mar</v>
      </c>
      <c r="K3667" s="6" t="str">
        <f>"7151"</f>
        <v>7151</v>
      </c>
      <c r="L3667" s="6" t="str">
        <f t="shared" si="905"/>
        <v>Cama</v>
      </c>
      <c r="M3667" s="6" t="str">
        <f>"200x200+40"</f>
        <v>200x200+40</v>
      </c>
      <c r="N3667" s="6" t="str">
        <f>"5602972742114"</f>
        <v>5602972742114</v>
      </c>
      <c r="O3667" s="8">
        <v>10</v>
      </c>
      <c r="R3667" s="8">
        <v>0</v>
      </c>
      <c r="U3667" s="8">
        <v>0</v>
      </c>
      <c r="X3667" s="8">
        <v>0</v>
      </c>
      <c r="Z3667" s="8">
        <v>0</v>
      </c>
      <c r="AC3667" s="8">
        <v>0</v>
      </c>
      <c r="AF3667" s="8">
        <v>0</v>
      </c>
      <c r="AN3667" s="8">
        <v>0</v>
      </c>
      <c r="AO3667" s="8">
        <v>10</v>
      </c>
    </row>
    <row r="3668" spans="1:41" x14ac:dyDescent="0.25">
      <c r="A3668" s="6" t="str">
        <f t="shared" si="906"/>
        <v>525-2025000426</v>
      </c>
      <c r="B3668" s="6" t="str">
        <f t="shared" si="903"/>
        <v>Lasa Int</v>
      </c>
      <c r="C3668" s="7">
        <v>45883</v>
      </c>
      <c r="D3668" s="7">
        <v>46068</v>
      </c>
      <c r="E3668" s="8">
        <v>77</v>
      </c>
      <c r="F3668" s="6" t="str">
        <f t="shared" si="907"/>
        <v>Royal FR</v>
      </c>
      <c r="G3668" s="6" t="str">
        <f>"C010302000300000"</f>
        <v>C010302000300000</v>
      </c>
      <c r="H3668" s="6" t="str">
        <f t="shared" ref="H3668:H3677" si="910">"Cama - ROYAL - Drap"</f>
        <v>Cama - ROYAL - Drap</v>
      </c>
      <c r="I3668" s="6" t="str">
        <f t="shared" si="908"/>
        <v>501012</v>
      </c>
      <c r="J3668" s="6" t="str">
        <f t="shared" si="909"/>
        <v>Mar</v>
      </c>
      <c r="K3668" s="6" t="str">
        <f>"7154"</f>
        <v>7154</v>
      </c>
      <c r="L3668" s="6" t="str">
        <f t="shared" si="905"/>
        <v>Cama</v>
      </c>
      <c r="M3668" s="6" t="str">
        <f>"90x190"</f>
        <v>90x190</v>
      </c>
      <c r="N3668" s="6" t="str">
        <f>"5602972742145"</f>
        <v>5602972742145</v>
      </c>
      <c r="O3668" s="8">
        <v>20</v>
      </c>
      <c r="R3668" s="8">
        <v>0</v>
      </c>
      <c r="U3668" s="8">
        <v>0</v>
      </c>
      <c r="X3668" s="8">
        <v>0</v>
      </c>
      <c r="Z3668" s="8">
        <v>0</v>
      </c>
      <c r="AC3668" s="8">
        <v>0</v>
      </c>
      <c r="AF3668" s="8">
        <v>0</v>
      </c>
      <c r="AN3668" s="8">
        <v>0</v>
      </c>
      <c r="AO3668" s="8">
        <v>20</v>
      </c>
    </row>
    <row r="3669" spans="1:41" x14ac:dyDescent="0.25">
      <c r="A3669" s="6" t="str">
        <f t="shared" si="906"/>
        <v>525-2025000426</v>
      </c>
      <c r="B3669" s="6" t="str">
        <f t="shared" si="903"/>
        <v>Lasa Int</v>
      </c>
      <c r="C3669" s="7">
        <v>45883</v>
      </c>
      <c r="D3669" s="7">
        <v>46068</v>
      </c>
      <c r="E3669" s="8">
        <v>78</v>
      </c>
      <c r="F3669" s="6" t="str">
        <f t="shared" si="907"/>
        <v>Royal FR</v>
      </c>
      <c r="G3669" s="6" t="str">
        <f>"C010302000300000"</f>
        <v>C010302000300000</v>
      </c>
      <c r="H3669" s="6" t="str">
        <f t="shared" si="910"/>
        <v>Cama - ROYAL - Drap</v>
      </c>
      <c r="I3669" s="6" t="str">
        <f t="shared" si="908"/>
        <v>501012</v>
      </c>
      <c r="J3669" s="6" t="str">
        <f t="shared" si="909"/>
        <v>Mar</v>
      </c>
      <c r="K3669" s="6" t="str">
        <f>"7155"</f>
        <v>7155</v>
      </c>
      <c r="L3669" s="6" t="str">
        <f t="shared" si="905"/>
        <v>Cama</v>
      </c>
      <c r="M3669" s="6" t="str">
        <f>"140x190"</f>
        <v>140x190</v>
      </c>
      <c r="N3669" s="6" t="str">
        <f>"5602972742152"</f>
        <v>5602972742152</v>
      </c>
      <c r="O3669" s="8">
        <v>90</v>
      </c>
      <c r="R3669" s="8">
        <v>0</v>
      </c>
      <c r="U3669" s="8">
        <v>0</v>
      </c>
      <c r="X3669" s="8">
        <v>0</v>
      </c>
      <c r="Z3669" s="8">
        <v>0</v>
      </c>
      <c r="AC3669" s="8">
        <v>0</v>
      </c>
      <c r="AF3669" s="8">
        <v>0</v>
      </c>
      <c r="AN3669" s="8">
        <v>0</v>
      </c>
      <c r="AO3669" s="8">
        <v>90</v>
      </c>
    </row>
    <row r="3670" spans="1:41" x14ac:dyDescent="0.25">
      <c r="A3670" s="6" t="str">
        <f t="shared" si="906"/>
        <v>525-2025000426</v>
      </c>
      <c r="B3670" s="6" t="str">
        <f t="shared" si="903"/>
        <v>Lasa Int</v>
      </c>
      <c r="C3670" s="7">
        <v>45883</v>
      </c>
      <c r="D3670" s="7">
        <v>46068</v>
      </c>
      <c r="E3670" s="8">
        <v>79</v>
      </c>
      <c r="F3670" s="6" t="str">
        <f t="shared" si="907"/>
        <v>Royal FR</v>
      </c>
      <c r="G3670" s="6" t="str">
        <f>"C010302000300000"</f>
        <v>C010302000300000</v>
      </c>
      <c r="H3670" s="6" t="str">
        <f t="shared" si="910"/>
        <v>Cama - ROYAL - Drap</v>
      </c>
      <c r="I3670" s="6" t="str">
        <f t="shared" si="908"/>
        <v>501012</v>
      </c>
      <c r="J3670" s="6" t="str">
        <f t="shared" si="909"/>
        <v>Mar</v>
      </c>
      <c r="K3670" s="6" t="str">
        <f>"7156"</f>
        <v>7156</v>
      </c>
      <c r="L3670" s="6" t="str">
        <f t="shared" si="905"/>
        <v>Cama</v>
      </c>
      <c r="M3670" s="6" t="str">
        <f>"160x200"</f>
        <v>160x200</v>
      </c>
      <c r="N3670" s="6" t="str">
        <f>"5602972742169"</f>
        <v>5602972742169</v>
      </c>
      <c r="O3670" s="8">
        <v>90</v>
      </c>
      <c r="R3670" s="8">
        <v>0</v>
      </c>
      <c r="U3670" s="8">
        <v>0</v>
      </c>
      <c r="X3670" s="8">
        <v>0</v>
      </c>
      <c r="Z3670" s="8">
        <v>0</v>
      </c>
      <c r="AC3670" s="8">
        <v>0</v>
      </c>
      <c r="AF3670" s="8">
        <v>0</v>
      </c>
      <c r="AN3670" s="8">
        <v>0</v>
      </c>
      <c r="AO3670" s="8">
        <v>90</v>
      </c>
    </row>
    <row r="3671" spans="1:41" x14ac:dyDescent="0.25">
      <c r="A3671" s="6" t="str">
        <f t="shared" si="906"/>
        <v>525-2025000426</v>
      </c>
      <c r="B3671" s="6" t="str">
        <f t="shared" si="903"/>
        <v>Lasa Int</v>
      </c>
      <c r="C3671" s="7">
        <v>45883</v>
      </c>
      <c r="D3671" s="7">
        <v>46068</v>
      </c>
      <c r="E3671" s="8">
        <v>80</v>
      </c>
      <c r="F3671" s="6" t="str">
        <f t="shared" si="907"/>
        <v>Royal FR</v>
      </c>
      <c r="G3671" s="6" t="str">
        <f>"C010302000300000"</f>
        <v>C010302000300000</v>
      </c>
      <c r="H3671" s="6" t="str">
        <f t="shared" si="910"/>
        <v>Cama - ROYAL - Drap</v>
      </c>
      <c r="I3671" s="6" t="str">
        <f t="shared" si="908"/>
        <v>501012</v>
      </c>
      <c r="J3671" s="6" t="str">
        <f t="shared" si="909"/>
        <v>Mar</v>
      </c>
      <c r="K3671" s="6" t="str">
        <f>"7157"</f>
        <v>7157</v>
      </c>
      <c r="L3671" s="6" t="str">
        <f t="shared" si="905"/>
        <v>Cama</v>
      </c>
      <c r="M3671" s="6" t="str">
        <f>"180x200"</f>
        <v>180x200</v>
      </c>
      <c r="N3671" s="6" t="str">
        <f>"5602972742176"</f>
        <v>5602972742176</v>
      </c>
      <c r="O3671" s="8">
        <v>20</v>
      </c>
      <c r="R3671" s="8">
        <v>0</v>
      </c>
      <c r="U3671" s="8">
        <v>0</v>
      </c>
      <c r="X3671" s="8">
        <v>0</v>
      </c>
      <c r="Z3671" s="8">
        <v>0</v>
      </c>
      <c r="AC3671" s="8">
        <v>0</v>
      </c>
      <c r="AF3671" s="8">
        <v>0</v>
      </c>
      <c r="AN3671" s="8">
        <v>0</v>
      </c>
      <c r="AO3671" s="8">
        <v>20</v>
      </c>
    </row>
    <row r="3672" spans="1:41" x14ac:dyDescent="0.25">
      <c r="A3672" s="6" t="str">
        <f t="shared" si="906"/>
        <v>525-2025000426</v>
      </c>
      <c r="B3672" s="6" t="str">
        <f t="shared" si="903"/>
        <v>Lasa Int</v>
      </c>
      <c r="C3672" s="7">
        <v>45883</v>
      </c>
      <c r="D3672" s="7">
        <v>46068</v>
      </c>
      <c r="E3672" s="8">
        <v>81</v>
      </c>
      <c r="F3672" s="6" t="str">
        <f t="shared" si="907"/>
        <v>Royal FR</v>
      </c>
      <c r="G3672" s="6" t="str">
        <f>"C010302000300000"</f>
        <v>C010302000300000</v>
      </c>
      <c r="H3672" s="6" t="str">
        <f t="shared" si="910"/>
        <v>Cama - ROYAL - Drap</v>
      </c>
      <c r="I3672" s="6" t="str">
        <f t="shared" si="908"/>
        <v>501012</v>
      </c>
      <c r="J3672" s="6" t="str">
        <f t="shared" si="909"/>
        <v>Mar</v>
      </c>
      <c r="K3672" s="6" t="str">
        <f>"7158"</f>
        <v>7158</v>
      </c>
      <c r="L3672" s="6" t="str">
        <f t="shared" si="905"/>
        <v>Cama</v>
      </c>
      <c r="M3672" s="6" t="str">
        <f>"200x200"</f>
        <v>200x200</v>
      </c>
      <c r="N3672" s="6" t="str">
        <f>"5602972742183"</f>
        <v>5602972742183</v>
      </c>
      <c r="O3672" s="8">
        <v>10</v>
      </c>
      <c r="R3672" s="8">
        <v>0</v>
      </c>
      <c r="U3672" s="8">
        <v>0</v>
      </c>
      <c r="X3672" s="8">
        <v>0</v>
      </c>
      <c r="Z3672" s="8">
        <v>0</v>
      </c>
      <c r="AC3672" s="8">
        <v>0</v>
      </c>
      <c r="AF3672" s="8">
        <v>0</v>
      </c>
      <c r="AN3672" s="8">
        <v>0</v>
      </c>
      <c r="AO3672" s="8">
        <v>10</v>
      </c>
    </row>
    <row r="3673" spans="1:41" x14ac:dyDescent="0.25">
      <c r="A3673" s="6" t="str">
        <f t="shared" si="906"/>
        <v>525-2025000426</v>
      </c>
      <c r="B3673" s="6" t="str">
        <f t="shared" si="903"/>
        <v>Lasa Int</v>
      </c>
      <c r="C3673" s="7">
        <v>45883</v>
      </c>
      <c r="D3673" s="7">
        <v>46068</v>
      </c>
      <c r="E3673" s="8">
        <v>82</v>
      </c>
      <c r="F3673" s="6" t="str">
        <f t="shared" si="907"/>
        <v>Royal FR</v>
      </c>
      <c r="G3673" s="6" t="str">
        <f>"C010302000400000"</f>
        <v>C010302000400000</v>
      </c>
      <c r="H3673" s="6" t="str">
        <f t="shared" si="910"/>
        <v>Cama - ROYAL - Drap</v>
      </c>
      <c r="I3673" s="6" t="str">
        <f t="shared" si="908"/>
        <v>501012</v>
      </c>
      <c r="J3673" s="6" t="str">
        <f t="shared" si="909"/>
        <v>Mar</v>
      </c>
      <c r="K3673" s="6" t="str">
        <f>"7161"</f>
        <v>7161</v>
      </c>
      <c r="L3673" s="6" t="str">
        <f t="shared" si="905"/>
        <v>Cama</v>
      </c>
      <c r="M3673" s="6" t="str">
        <f>"120x190"</f>
        <v>120x190</v>
      </c>
      <c r="N3673" s="6" t="str">
        <f>"5602972742213"</f>
        <v>5602972742213</v>
      </c>
      <c r="O3673" s="8">
        <v>10</v>
      </c>
      <c r="R3673" s="8">
        <v>0</v>
      </c>
      <c r="U3673" s="8">
        <v>0</v>
      </c>
      <c r="X3673" s="8">
        <v>0</v>
      </c>
      <c r="Z3673" s="8">
        <v>0</v>
      </c>
      <c r="AC3673" s="8">
        <v>0</v>
      </c>
      <c r="AF3673" s="8">
        <v>0</v>
      </c>
      <c r="AN3673" s="8">
        <v>0</v>
      </c>
      <c r="AO3673" s="8">
        <v>10</v>
      </c>
    </row>
    <row r="3674" spans="1:41" x14ac:dyDescent="0.25">
      <c r="A3674" s="6" t="str">
        <f t="shared" si="906"/>
        <v>525-2025000426</v>
      </c>
      <c r="B3674" s="6" t="str">
        <f t="shared" si="903"/>
        <v>Lasa Int</v>
      </c>
      <c r="C3674" s="7">
        <v>45883</v>
      </c>
      <c r="D3674" s="7">
        <v>46068</v>
      </c>
      <c r="E3674" s="8">
        <v>83</v>
      </c>
      <c r="F3674" s="6" t="str">
        <f t="shared" si="907"/>
        <v>Royal FR</v>
      </c>
      <c r="G3674" s="6" t="str">
        <f>"C010302000400000"</f>
        <v>C010302000400000</v>
      </c>
      <c r="H3674" s="6" t="str">
        <f t="shared" si="910"/>
        <v>Cama - ROYAL - Drap</v>
      </c>
      <c r="I3674" s="6" t="str">
        <f t="shared" si="908"/>
        <v>501012</v>
      </c>
      <c r="J3674" s="6" t="str">
        <f t="shared" si="909"/>
        <v>Mar</v>
      </c>
      <c r="K3674" s="6" t="str">
        <f>"7162"</f>
        <v>7162</v>
      </c>
      <c r="L3674" s="6" t="str">
        <f t="shared" si="905"/>
        <v>Cama</v>
      </c>
      <c r="M3674" s="6" t="str">
        <f>"140x200"</f>
        <v>140x200</v>
      </c>
      <c r="N3674" s="6" t="str">
        <f>"5602972742220"</f>
        <v>5602972742220</v>
      </c>
      <c r="O3674" s="8">
        <v>10</v>
      </c>
      <c r="R3674" s="8">
        <v>0</v>
      </c>
      <c r="U3674" s="8">
        <v>0</v>
      </c>
      <c r="X3674" s="8">
        <v>0</v>
      </c>
      <c r="Z3674" s="8">
        <v>0</v>
      </c>
      <c r="AC3674" s="8">
        <v>0</v>
      </c>
      <c r="AF3674" s="8">
        <v>0</v>
      </c>
      <c r="AN3674" s="8">
        <v>0</v>
      </c>
      <c r="AO3674" s="8">
        <v>10</v>
      </c>
    </row>
    <row r="3675" spans="1:41" x14ac:dyDescent="0.25">
      <c r="A3675" s="6" t="str">
        <f t="shared" si="906"/>
        <v>525-2025000426</v>
      </c>
      <c r="B3675" s="6" t="str">
        <f t="shared" si="903"/>
        <v>Lasa Int</v>
      </c>
      <c r="C3675" s="7">
        <v>45883</v>
      </c>
      <c r="D3675" s="7">
        <v>46068</v>
      </c>
      <c r="E3675" s="8">
        <v>84</v>
      </c>
      <c r="F3675" s="6" t="str">
        <f t="shared" si="907"/>
        <v>Royal FR</v>
      </c>
      <c r="G3675" s="6" t="str">
        <f>"C010302000100000"</f>
        <v>C010302000100000</v>
      </c>
      <c r="H3675" s="6" t="str">
        <f t="shared" si="910"/>
        <v>Cama - ROYAL - Drap</v>
      </c>
      <c r="I3675" s="6" t="str">
        <f t="shared" ref="I3675:I3690" si="911">"501006"</f>
        <v>501006</v>
      </c>
      <c r="J3675" s="6" t="str">
        <f t="shared" ref="J3675:J3690" si="912">"Grafito"</f>
        <v>Grafito</v>
      </c>
      <c r="K3675" s="6" t="str">
        <f>"7147"</f>
        <v>7147</v>
      </c>
      <c r="L3675" s="6" t="str">
        <f t="shared" si="905"/>
        <v>Cama</v>
      </c>
      <c r="M3675" s="6" t="str">
        <f>"180x290"</f>
        <v>180x290</v>
      </c>
      <c r="N3675" s="6" t="str">
        <f>"5602972741476"</f>
        <v>5602972741476</v>
      </c>
      <c r="O3675" s="8">
        <v>10</v>
      </c>
      <c r="R3675" s="8">
        <v>0</v>
      </c>
      <c r="U3675" s="8">
        <v>0</v>
      </c>
      <c r="X3675" s="8">
        <v>0</v>
      </c>
      <c r="Z3675" s="8">
        <v>0</v>
      </c>
      <c r="AC3675" s="8">
        <v>0</v>
      </c>
      <c r="AF3675" s="8">
        <v>0</v>
      </c>
      <c r="AN3675" s="8">
        <v>0</v>
      </c>
      <c r="AO3675" s="8">
        <v>10</v>
      </c>
    </row>
    <row r="3676" spans="1:41" x14ac:dyDescent="0.25">
      <c r="A3676" s="6" t="str">
        <f t="shared" si="906"/>
        <v>525-2025000426</v>
      </c>
      <c r="B3676" s="6" t="str">
        <f t="shared" si="903"/>
        <v>Lasa Int</v>
      </c>
      <c r="C3676" s="7">
        <v>45883</v>
      </c>
      <c r="D3676" s="7">
        <v>46068</v>
      </c>
      <c r="E3676" s="8">
        <v>85</v>
      </c>
      <c r="F3676" s="6" t="str">
        <f t="shared" si="907"/>
        <v>Royal FR</v>
      </c>
      <c r="G3676" s="6" t="str">
        <f>"C010302000100000"</f>
        <v>C010302000100000</v>
      </c>
      <c r="H3676" s="6" t="str">
        <f t="shared" si="910"/>
        <v>Cama - ROYAL - Drap</v>
      </c>
      <c r="I3676" s="6" t="str">
        <f t="shared" si="911"/>
        <v>501006</v>
      </c>
      <c r="J3676" s="6" t="str">
        <f t="shared" si="912"/>
        <v>Grafito</v>
      </c>
      <c r="K3676" s="6" t="str">
        <f>"7148"</f>
        <v>7148</v>
      </c>
      <c r="L3676" s="6" t="str">
        <f t="shared" si="905"/>
        <v>Cama</v>
      </c>
      <c r="M3676" s="6" t="str">
        <f>"240x300"</f>
        <v>240x300</v>
      </c>
      <c r="N3676" s="6" t="str">
        <f>"5602972741483"</f>
        <v>5602972741483</v>
      </c>
      <c r="O3676" s="8">
        <v>110</v>
      </c>
      <c r="R3676" s="8">
        <v>0</v>
      </c>
      <c r="U3676" s="8">
        <v>0</v>
      </c>
      <c r="X3676" s="8">
        <v>0</v>
      </c>
      <c r="Z3676" s="8">
        <v>0</v>
      </c>
      <c r="AC3676" s="8">
        <v>0</v>
      </c>
      <c r="AF3676" s="8">
        <v>0</v>
      </c>
      <c r="AN3676" s="8">
        <v>0</v>
      </c>
      <c r="AO3676" s="8">
        <v>110</v>
      </c>
    </row>
    <row r="3677" spans="1:41" x14ac:dyDescent="0.25">
      <c r="A3677" s="6" t="str">
        <f t="shared" si="906"/>
        <v>525-2025000426</v>
      </c>
      <c r="B3677" s="6" t="str">
        <f t="shared" si="903"/>
        <v>Lasa Int</v>
      </c>
      <c r="C3677" s="7">
        <v>45883</v>
      </c>
      <c r="D3677" s="7">
        <v>46068</v>
      </c>
      <c r="E3677" s="8">
        <v>86</v>
      </c>
      <c r="F3677" s="6" t="str">
        <f t="shared" si="907"/>
        <v>Royal FR</v>
      </c>
      <c r="G3677" s="6" t="str">
        <f>"C010302000100000"</f>
        <v>C010302000100000</v>
      </c>
      <c r="H3677" s="6" t="str">
        <f t="shared" si="910"/>
        <v>Cama - ROYAL - Drap</v>
      </c>
      <c r="I3677" s="6" t="str">
        <f t="shared" si="911"/>
        <v>501006</v>
      </c>
      <c r="J3677" s="6" t="str">
        <f t="shared" si="912"/>
        <v>Grafito</v>
      </c>
      <c r="K3677" s="6" t="str">
        <f>"7149"</f>
        <v>7149</v>
      </c>
      <c r="L3677" s="6" t="str">
        <f t="shared" si="905"/>
        <v>Cama</v>
      </c>
      <c r="M3677" s="6" t="str">
        <f>"270x310"</f>
        <v>270x310</v>
      </c>
      <c r="N3677" s="6" t="str">
        <f>"5602972741490"</f>
        <v>5602972741490</v>
      </c>
      <c r="O3677" s="8">
        <v>60</v>
      </c>
      <c r="R3677" s="8">
        <v>0</v>
      </c>
      <c r="U3677" s="8">
        <v>0</v>
      </c>
      <c r="X3677" s="8">
        <v>0</v>
      </c>
      <c r="Z3677" s="8">
        <v>0</v>
      </c>
      <c r="AC3677" s="8">
        <v>0</v>
      </c>
      <c r="AF3677" s="8">
        <v>0</v>
      </c>
      <c r="AN3677" s="8">
        <v>0</v>
      </c>
      <c r="AO3677" s="8">
        <v>60</v>
      </c>
    </row>
    <row r="3678" spans="1:41" x14ac:dyDescent="0.25">
      <c r="A3678" s="6" t="str">
        <f t="shared" si="906"/>
        <v>525-2025000426</v>
      </c>
      <c r="B3678" s="6" t="str">
        <f t="shared" si="903"/>
        <v>Lasa Int</v>
      </c>
      <c r="C3678" s="7">
        <v>45883</v>
      </c>
      <c r="D3678" s="7">
        <v>46068</v>
      </c>
      <c r="E3678" s="8">
        <v>87</v>
      </c>
      <c r="F3678" s="6" t="str">
        <f t="shared" si="907"/>
        <v>Royal FR</v>
      </c>
      <c r="G3678" s="6" t="str">
        <f>"C010302000800000"</f>
        <v>C010302000800000</v>
      </c>
      <c r="H3678" s="6" t="str">
        <f>"Cama - ROYAL - Taill"</f>
        <v>Cama - ROYAL - Taill</v>
      </c>
      <c r="I3678" s="6" t="str">
        <f t="shared" si="911"/>
        <v>501006</v>
      </c>
      <c r="J3678" s="6" t="str">
        <f t="shared" si="912"/>
        <v>Grafito</v>
      </c>
      <c r="K3678" s="6" t="str">
        <f>"7034"</f>
        <v>7034</v>
      </c>
      <c r="L3678" s="6" t="str">
        <f t="shared" si="905"/>
        <v>Cama</v>
      </c>
      <c r="M3678" s="6" t="str">
        <f>"65x65+5"</f>
        <v>65x65+5</v>
      </c>
      <c r="N3678" s="6" t="str">
        <f>"5602972741445"</f>
        <v>5602972741445</v>
      </c>
      <c r="O3678" s="8">
        <v>290</v>
      </c>
      <c r="R3678" s="8">
        <v>0</v>
      </c>
      <c r="U3678" s="8">
        <v>0</v>
      </c>
      <c r="X3678" s="8">
        <v>0</v>
      </c>
      <c r="Z3678" s="8">
        <v>0</v>
      </c>
      <c r="AC3678" s="8">
        <v>0</v>
      </c>
      <c r="AF3678" s="8">
        <v>0</v>
      </c>
      <c r="AN3678" s="8">
        <v>0</v>
      </c>
      <c r="AO3678" s="8">
        <v>290</v>
      </c>
    </row>
    <row r="3679" spans="1:41" x14ac:dyDescent="0.25">
      <c r="A3679" s="6" t="str">
        <f t="shared" si="906"/>
        <v>525-2025000426</v>
      </c>
      <c r="B3679" s="6" t="str">
        <f t="shared" si="903"/>
        <v>Lasa Int</v>
      </c>
      <c r="C3679" s="7">
        <v>45883</v>
      </c>
      <c r="D3679" s="7">
        <v>46068</v>
      </c>
      <c r="E3679" s="8">
        <v>88</v>
      </c>
      <c r="F3679" s="6" t="str">
        <f t="shared" si="907"/>
        <v>Royal FR</v>
      </c>
      <c r="G3679" s="6" t="str">
        <f>"C010302000800000"</f>
        <v>C010302000800000</v>
      </c>
      <c r="H3679" s="6" t="str">
        <f>"Cama - ROYAL - Taill"</f>
        <v>Cama - ROYAL - Taill</v>
      </c>
      <c r="I3679" s="6" t="str">
        <f t="shared" si="911"/>
        <v>501006</v>
      </c>
      <c r="J3679" s="6" t="str">
        <f t="shared" si="912"/>
        <v>Grafito</v>
      </c>
      <c r="K3679" s="6" t="str">
        <f>"7035"</f>
        <v>7035</v>
      </c>
      <c r="L3679" s="6" t="str">
        <f t="shared" si="905"/>
        <v>Cama</v>
      </c>
      <c r="M3679" s="6" t="str">
        <f>"50x70+"</f>
        <v>50x70+</v>
      </c>
      <c r="N3679" s="6" t="str">
        <f>"5602972741452"</f>
        <v>5602972741452</v>
      </c>
      <c r="O3679" s="8">
        <v>70</v>
      </c>
      <c r="R3679" s="8">
        <v>0</v>
      </c>
      <c r="U3679" s="8">
        <v>0</v>
      </c>
      <c r="X3679" s="8">
        <v>0</v>
      </c>
      <c r="Z3679" s="8">
        <v>0</v>
      </c>
      <c r="AC3679" s="8">
        <v>0</v>
      </c>
      <c r="AF3679" s="8">
        <v>0</v>
      </c>
      <c r="AN3679" s="8">
        <v>0</v>
      </c>
      <c r="AO3679" s="8">
        <v>70</v>
      </c>
    </row>
    <row r="3680" spans="1:41" x14ac:dyDescent="0.25">
      <c r="A3680" s="6" t="str">
        <f t="shared" si="906"/>
        <v>525-2025000426</v>
      </c>
      <c r="B3680" s="6" t="str">
        <f t="shared" si="903"/>
        <v>Lasa Int</v>
      </c>
      <c r="C3680" s="7">
        <v>45883</v>
      </c>
      <c r="D3680" s="7">
        <v>46068</v>
      </c>
      <c r="E3680" s="8">
        <v>89</v>
      </c>
      <c r="F3680" s="6" t="str">
        <f t="shared" si="907"/>
        <v>Royal FR</v>
      </c>
      <c r="G3680" s="6" t="str">
        <f>"C010302000200000"</f>
        <v>C010302000200000</v>
      </c>
      <c r="H3680" s="6" t="str">
        <f>"Cama - ROYAL - Houss"</f>
        <v>Cama - ROYAL - Houss</v>
      </c>
      <c r="I3680" s="6" t="str">
        <f t="shared" si="911"/>
        <v>501006</v>
      </c>
      <c r="J3680" s="6" t="str">
        <f t="shared" si="912"/>
        <v>Grafito</v>
      </c>
      <c r="K3680" s="6" t="str">
        <f>"7150"</f>
        <v>7150</v>
      </c>
      <c r="L3680" s="6" t="str">
        <f t="shared" si="905"/>
        <v>Cama</v>
      </c>
      <c r="M3680" s="6" t="str">
        <f>"140x200+40"</f>
        <v>140x200+40</v>
      </c>
      <c r="N3680" s="6" t="str">
        <f>"5602972741506"</f>
        <v>5602972741506</v>
      </c>
      <c r="O3680" s="8">
        <v>10</v>
      </c>
      <c r="R3680" s="8">
        <v>0</v>
      </c>
      <c r="U3680" s="8">
        <v>0</v>
      </c>
      <c r="X3680" s="8">
        <v>0</v>
      </c>
      <c r="Z3680" s="8">
        <v>0</v>
      </c>
      <c r="AC3680" s="8">
        <v>0</v>
      </c>
      <c r="AF3680" s="8">
        <v>0</v>
      </c>
      <c r="AN3680" s="8">
        <v>0</v>
      </c>
      <c r="AO3680" s="8">
        <v>10</v>
      </c>
    </row>
    <row r="3681" spans="1:41" x14ac:dyDescent="0.25">
      <c r="A3681" s="6" t="str">
        <f t="shared" si="906"/>
        <v>525-2025000426</v>
      </c>
      <c r="B3681" s="6" t="str">
        <f t="shared" si="903"/>
        <v>Lasa Int</v>
      </c>
      <c r="C3681" s="7">
        <v>45883</v>
      </c>
      <c r="D3681" s="7">
        <v>46068</v>
      </c>
      <c r="E3681" s="8">
        <v>90</v>
      </c>
      <c r="F3681" s="6" t="str">
        <f t="shared" si="907"/>
        <v>Royal FR</v>
      </c>
      <c r="G3681" s="6" t="str">
        <f>"C010302000200000"</f>
        <v>C010302000200000</v>
      </c>
      <c r="H3681" s="6" t="str">
        <f>"Cama - ROYAL - Houss"</f>
        <v>Cama - ROYAL - Houss</v>
      </c>
      <c r="I3681" s="6" t="str">
        <f t="shared" si="911"/>
        <v>501006</v>
      </c>
      <c r="J3681" s="6" t="str">
        <f t="shared" si="912"/>
        <v>Grafito</v>
      </c>
      <c r="K3681" s="6" t="str">
        <f>"7152"</f>
        <v>7152</v>
      </c>
      <c r="L3681" s="6" t="str">
        <f t="shared" si="905"/>
        <v>Cama</v>
      </c>
      <c r="M3681" s="6" t="str">
        <f>"240x220+40"</f>
        <v>240x220+40</v>
      </c>
      <c r="N3681" s="6" t="str">
        <f>"5602972741520"</f>
        <v>5602972741520</v>
      </c>
      <c r="O3681" s="8">
        <v>30</v>
      </c>
      <c r="R3681" s="8">
        <v>0</v>
      </c>
      <c r="U3681" s="8">
        <v>0</v>
      </c>
      <c r="X3681" s="8">
        <v>0</v>
      </c>
      <c r="Z3681" s="8">
        <v>0</v>
      </c>
      <c r="AC3681" s="8">
        <v>0</v>
      </c>
      <c r="AF3681" s="8">
        <v>0</v>
      </c>
      <c r="AN3681" s="8">
        <v>0</v>
      </c>
      <c r="AO3681" s="8">
        <v>30</v>
      </c>
    </row>
    <row r="3682" spans="1:41" x14ac:dyDescent="0.25">
      <c r="A3682" s="6" t="str">
        <f t="shared" si="906"/>
        <v>525-2025000426</v>
      </c>
      <c r="B3682" s="6" t="str">
        <f t="shared" si="903"/>
        <v>Lasa Int</v>
      </c>
      <c r="C3682" s="7">
        <v>45883</v>
      </c>
      <c r="D3682" s="7">
        <v>46068</v>
      </c>
      <c r="E3682" s="8">
        <v>91</v>
      </c>
      <c r="F3682" s="6" t="str">
        <f t="shared" si="907"/>
        <v>Royal FR</v>
      </c>
      <c r="G3682" s="6" t="str">
        <f>"C010302000300000"</f>
        <v>C010302000300000</v>
      </c>
      <c r="H3682" s="6" t="str">
        <f t="shared" ref="H3682:H3690" si="913">"Cama - ROYAL - Drap"</f>
        <v>Cama - ROYAL - Drap</v>
      </c>
      <c r="I3682" s="6" t="str">
        <f t="shared" si="911"/>
        <v>501006</v>
      </c>
      <c r="J3682" s="6" t="str">
        <f t="shared" si="912"/>
        <v>Grafito</v>
      </c>
      <c r="K3682" s="6" t="str">
        <f>"7154"</f>
        <v>7154</v>
      </c>
      <c r="L3682" s="6" t="str">
        <f t="shared" ref="L3682:L3690" si="914">"Cama"</f>
        <v>Cama</v>
      </c>
      <c r="M3682" s="6" t="str">
        <f>"90x190"</f>
        <v>90x190</v>
      </c>
      <c r="N3682" s="6" t="str">
        <f>"5602972741544"</f>
        <v>5602972741544</v>
      </c>
      <c r="O3682" s="8">
        <v>10</v>
      </c>
      <c r="R3682" s="8">
        <v>0</v>
      </c>
      <c r="U3682" s="8">
        <v>0</v>
      </c>
      <c r="X3682" s="8">
        <v>0</v>
      </c>
      <c r="Z3682" s="8">
        <v>0</v>
      </c>
      <c r="AC3682" s="8">
        <v>0</v>
      </c>
      <c r="AF3682" s="8">
        <v>0</v>
      </c>
      <c r="AN3682" s="8">
        <v>0</v>
      </c>
      <c r="AO3682" s="8">
        <v>10</v>
      </c>
    </row>
    <row r="3683" spans="1:41" x14ac:dyDescent="0.25">
      <c r="A3683" s="6" t="str">
        <f t="shared" si="906"/>
        <v>525-2025000426</v>
      </c>
      <c r="B3683" s="6" t="str">
        <f t="shared" si="903"/>
        <v>Lasa Int</v>
      </c>
      <c r="C3683" s="7">
        <v>45883</v>
      </c>
      <c r="D3683" s="7">
        <v>46068</v>
      </c>
      <c r="E3683" s="8">
        <v>92</v>
      </c>
      <c r="F3683" s="6" t="str">
        <f t="shared" si="907"/>
        <v>Royal FR</v>
      </c>
      <c r="G3683" s="6" t="str">
        <f>"C010302000300000"</f>
        <v>C010302000300000</v>
      </c>
      <c r="H3683" s="6" t="str">
        <f t="shared" si="913"/>
        <v>Cama - ROYAL - Drap</v>
      </c>
      <c r="I3683" s="6" t="str">
        <f t="shared" si="911"/>
        <v>501006</v>
      </c>
      <c r="J3683" s="6" t="str">
        <f t="shared" si="912"/>
        <v>Grafito</v>
      </c>
      <c r="K3683" s="6" t="str">
        <f>"7155"</f>
        <v>7155</v>
      </c>
      <c r="L3683" s="6" t="str">
        <f t="shared" si="914"/>
        <v>Cama</v>
      </c>
      <c r="M3683" s="6" t="str">
        <f>"140x190"</f>
        <v>140x190</v>
      </c>
      <c r="N3683" s="6" t="str">
        <f>"5602972741551"</f>
        <v>5602972741551</v>
      </c>
      <c r="O3683" s="8">
        <v>50</v>
      </c>
      <c r="R3683" s="8">
        <v>0</v>
      </c>
      <c r="U3683" s="8">
        <v>0</v>
      </c>
      <c r="X3683" s="8">
        <v>0</v>
      </c>
      <c r="Z3683" s="8">
        <v>0</v>
      </c>
      <c r="AC3683" s="8">
        <v>0</v>
      </c>
      <c r="AF3683" s="8">
        <v>0</v>
      </c>
      <c r="AN3683" s="8">
        <v>0</v>
      </c>
      <c r="AO3683" s="8">
        <v>50</v>
      </c>
    </row>
    <row r="3684" spans="1:41" x14ac:dyDescent="0.25">
      <c r="A3684" s="6" t="str">
        <f t="shared" si="906"/>
        <v>525-2025000426</v>
      </c>
      <c r="B3684" s="6" t="str">
        <f t="shared" si="903"/>
        <v>Lasa Int</v>
      </c>
      <c r="C3684" s="7">
        <v>45883</v>
      </c>
      <c r="D3684" s="7">
        <v>46068</v>
      </c>
      <c r="E3684" s="8">
        <v>93</v>
      </c>
      <c r="F3684" s="6" t="str">
        <f t="shared" si="907"/>
        <v>Royal FR</v>
      </c>
      <c r="G3684" s="6" t="str">
        <f>"C010302000300000"</f>
        <v>C010302000300000</v>
      </c>
      <c r="H3684" s="6" t="str">
        <f t="shared" si="913"/>
        <v>Cama - ROYAL - Drap</v>
      </c>
      <c r="I3684" s="6" t="str">
        <f t="shared" si="911"/>
        <v>501006</v>
      </c>
      <c r="J3684" s="6" t="str">
        <f t="shared" si="912"/>
        <v>Grafito</v>
      </c>
      <c r="K3684" s="6" t="str">
        <f>"7156"</f>
        <v>7156</v>
      </c>
      <c r="L3684" s="6" t="str">
        <f t="shared" si="914"/>
        <v>Cama</v>
      </c>
      <c r="M3684" s="6" t="str">
        <f>"160x200"</f>
        <v>160x200</v>
      </c>
      <c r="N3684" s="6" t="str">
        <f>"5602972741568"</f>
        <v>5602972741568</v>
      </c>
      <c r="O3684" s="8">
        <v>130</v>
      </c>
      <c r="R3684" s="8">
        <v>0</v>
      </c>
      <c r="U3684" s="8">
        <v>0</v>
      </c>
      <c r="X3684" s="8">
        <v>0</v>
      </c>
      <c r="Z3684" s="8">
        <v>0</v>
      </c>
      <c r="AC3684" s="8">
        <v>0</v>
      </c>
      <c r="AF3684" s="8">
        <v>0</v>
      </c>
      <c r="AN3684" s="8">
        <v>0</v>
      </c>
      <c r="AO3684" s="8">
        <v>130</v>
      </c>
    </row>
    <row r="3685" spans="1:41" x14ac:dyDescent="0.25">
      <c r="A3685" s="6" t="str">
        <f t="shared" si="906"/>
        <v>525-2025000426</v>
      </c>
      <c r="B3685" s="6" t="str">
        <f t="shared" si="903"/>
        <v>Lasa Int</v>
      </c>
      <c r="C3685" s="7">
        <v>45883</v>
      </c>
      <c r="D3685" s="7">
        <v>46068</v>
      </c>
      <c r="E3685" s="8">
        <v>94</v>
      </c>
      <c r="F3685" s="6" t="str">
        <f t="shared" si="907"/>
        <v>Royal FR</v>
      </c>
      <c r="G3685" s="6" t="str">
        <f>"C010302000300000"</f>
        <v>C010302000300000</v>
      </c>
      <c r="H3685" s="6" t="str">
        <f t="shared" si="913"/>
        <v>Cama - ROYAL - Drap</v>
      </c>
      <c r="I3685" s="6" t="str">
        <f t="shared" si="911"/>
        <v>501006</v>
      </c>
      <c r="J3685" s="6" t="str">
        <f t="shared" si="912"/>
        <v>Grafito</v>
      </c>
      <c r="K3685" s="6" t="str">
        <f>"7157"</f>
        <v>7157</v>
      </c>
      <c r="L3685" s="6" t="str">
        <f t="shared" si="914"/>
        <v>Cama</v>
      </c>
      <c r="M3685" s="6" t="str">
        <f>"180x200"</f>
        <v>180x200</v>
      </c>
      <c r="N3685" s="6" t="str">
        <f>"5602972741575"</f>
        <v>5602972741575</v>
      </c>
      <c r="O3685" s="8">
        <v>40</v>
      </c>
      <c r="R3685" s="8">
        <v>0</v>
      </c>
      <c r="U3685" s="8">
        <v>0</v>
      </c>
      <c r="X3685" s="8">
        <v>0</v>
      </c>
      <c r="Z3685" s="8">
        <v>0</v>
      </c>
      <c r="AC3685" s="8">
        <v>0</v>
      </c>
      <c r="AF3685" s="8">
        <v>0</v>
      </c>
      <c r="AN3685" s="8">
        <v>0</v>
      </c>
      <c r="AO3685" s="8">
        <v>40</v>
      </c>
    </row>
    <row r="3686" spans="1:41" x14ac:dyDescent="0.25">
      <c r="A3686" s="6" t="str">
        <f t="shared" si="906"/>
        <v>525-2025000426</v>
      </c>
      <c r="B3686" s="6" t="str">
        <f t="shared" si="903"/>
        <v>Lasa Int</v>
      </c>
      <c r="C3686" s="7">
        <v>45883</v>
      </c>
      <c r="D3686" s="7">
        <v>46068</v>
      </c>
      <c r="E3686" s="8">
        <v>95</v>
      </c>
      <c r="F3686" s="6" t="str">
        <f t="shared" si="907"/>
        <v>Royal FR</v>
      </c>
      <c r="G3686" s="6" t="str">
        <f>"C010302000300000"</f>
        <v>C010302000300000</v>
      </c>
      <c r="H3686" s="6" t="str">
        <f t="shared" si="913"/>
        <v>Cama - ROYAL - Drap</v>
      </c>
      <c r="I3686" s="6" t="str">
        <f t="shared" si="911"/>
        <v>501006</v>
      </c>
      <c r="J3686" s="6" t="str">
        <f t="shared" si="912"/>
        <v>Grafito</v>
      </c>
      <c r="K3686" s="6" t="str">
        <f>"7158"</f>
        <v>7158</v>
      </c>
      <c r="L3686" s="6" t="str">
        <f t="shared" si="914"/>
        <v>Cama</v>
      </c>
      <c r="M3686" s="6" t="str">
        <f>"200x200"</f>
        <v>200x200</v>
      </c>
      <c r="N3686" s="6" t="str">
        <f>"5602972741582"</f>
        <v>5602972741582</v>
      </c>
      <c r="O3686" s="8">
        <v>20</v>
      </c>
      <c r="R3686" s="8">
        <v>0</v>
      </c>
      <c r="U3686" s="8">
        <v>0</v>
      </c>
      <c r="X3686" s="8">
        <v>0</v>
      </c>
      <c r="Z3686" s="8">
        <v>0</v>
      </c>
      <c r="AC3686" s="8">
        <v>0</v>
      </c>
      <c r="AF3686" s="8">
        <v>0</v>
      </c>
      <c r="AN3686" s="8">
        <v>0</v>
      </c>
      <c r="AO3686" s="8">
        <v>20</v>
      </c>
    </row>
    <row r="3687" spans="1:41" x14ac:dyDescent="0.25">
      <c r="A3687" s="6" t="str">
        <f t="shared" si="906"/>
        <v>525-2025000426</v>
      </c>
      <c r="B3687" s="6" t="str">
        <f t="shared" si="903"/>
        <v>Lasa Int</v>
      </c>
      <c r="C3687" s="7">
        <v>45883</v>
      </c>
      <c r="D3687" s="7">
        <v>46068</v>
      </c>
      <c r="E3687" s="8">
        <v>96</v>
      </c>
      <c r="F3687" s="6" t="str">
        <f t="shared" si="907"/>
        <v>Royal FR</v>
      </c>
      <c r="G3687" s="6" t="str">
        <f>"C010302000400000"</f>
        <v>C010302000400000</v>
      </c>
      <c r="H3687" s="6" t="str">
        <f t="shared" si="913"/>
        <v>Cama - ROYAL - Drap</v>
      </c>
      <c r="I3687" s="6" t="str">
        <f t="shared" si="911"/>
        <v>501006</v>
      </c>
      <c r="J3687" s="6" t="str">
        <f t="shared" si="912"/>
        <v>Grafito</v>
      </c>
      <c r="K3687" s="6" t="str">
        <f>"7159"</f>
        <v>7159</v>
      </c>
      <c r="L3687" s="6" t="str">
        <f t="shared" si="914"/>
        <v>Cama</v>
      </c>
      <c r="M3687" s="6" t="str">
        <f>"80x200"</f>
        <v>80x200</v>
      </c>
      <c r="N3687" s="6" t="str">
        <f>"5602972741599"</f>
        <v>5602972741599</v>
      </c>
      <c r="O3687" s="8">
        <v>10</v>
      </c>
      <c r="R3687" s="8">
        <v>0</v>
      </c>
      <c r="U3687" s="8">
        <v>0</v>
      </c>
      <c r="X3687" s="8">
        <v>0</v>
      </c>
      <c r="Z3687" s="8">
        <v>0</v>
      </c>
      <c r="AC3687" s="8">
        <v>0</v>
      </c>
      <c r="AF3687" s="8">
        <v>0</v>
      </c>
      <c r="AN3687" s="8">
        <v>0</v>
      </c>
      <c r="AO3687" s="8">
        <v>10</v>
      </c>
    </row>
    <row r="3688" spans="1:41" x14ac:dyDescent="0.25">
      <c r="A3688" s="6" t="str">
        <f t="shared" si="906"/>
        <v>525-2025000426</v>
      </c>
      <c r="B3688" s="6" t="str">
        <f t="shared" si="903"/>
        <v>Lasa Int</v>
      </c>
      <c r="C3688" s="7">
        <v>45883</v>
      </c>
      <c r="D3688" s="7">
        <v>46068</v>
      </c>
      <c r="E3688" s="8">
        <v>97</v>
      </c>
      <c r="F3688" s="6" t="str">
        <f t="shared" si="907"/>
        <v>Royal FR</v>
      </c>
      <c r="G3688" s="6" t="str">
        <f>"C010302000400000"</f>
        <v>C010302000400000</v>
      </c>
      <c r="H3688" s="6" t="str">
        <f t="shared" si="913"/>
        <v>Cama - ROYAL - Drap</v>
      </c>
      <c r="I3688" s="6" t="str">
        <f t="shared" si="911"/>
        <v>501006</v>
      </c>
      <c r="J3688" s="6" t="str">
        <f t="shared" si="912"/>
        <v>Grafito</v>
      </c>
      <c r="K3688" s="6" t="str">
        <f>"7160"</f>
        <v>7160</v>
      </c>
      <c r="L3688" s="6" t="str">
        <f t="shared" si="914"/>
        <v>Cama</v>
      </c>
      <c r="M3688" s="6" t="str">
        <f>"90x200"</f>
        <v>90x200</v>
      </c>
      <c r="N3688" s="6" t="str">
        <f>"5602972741605"</f>
        <v>5602972741605</v>
      </c>
      <c r="O3688" s="8">
        <v>50</v>
      </c>
      <c r="R3688" s="8">
        <v>0</v>
      </c>
      <c r="U3688" s="8">
        <v>0</v>
      </c>
      <c r="X3688" s="8">
        <v>0</v>
      </c>
      <c r="Z3688" s="8">
        <v>0</v>
      </c>
      <c r="AC3688" s="8">
        <v>0</v>
      </c>
      <c r="AF3688" s="8">
        <v>0</v>
      </c>
      <c r="AN3688" s="8">
        <v>0</v>
      </c>
      <c r="AO3688" s="8">
        <v>50</v>
      </c>
    </row>
    <row r="3689" spans="1:41" x14ac:dyDescent="0.25">
      <c r="A3689" s="6" t="str">
        <f t="shared" si="906"/>
        <v>525-2025000426</v>
      </c>
      <c r="B3689" s="6" t="str">
        <f t="shared" si="903"/>
        <v>Lasa Int</v>
      </c>
      <c r="C3689" s="7">
        <v>45883</v>
      </c>
      <c r="D3689" s="7">
        <v>46068</v>
      </c>
      <c r="E3689" s="8">
        <v>98</v>
      </c>
      <c r="F3689" s="6" t="str">
        <f t="shared" si="907"/>
        <v>Royal FR</v>
      </c>
      <c r="G3689" s="6" t="str">
        <f>"C010302000400000"</f>
        <v>C010302000400000</v>
      </c>
      <c r="H3689" s="6" t="str">
        <f t="shared" si="913"/>
        <v>Cama - ROYAL - Drap</v>
      </c>
      <c r="I3689" s="6" t="str">
        <f t="shared" si="911"/>
        <v>501006</v>
      </c>
      <c r="J3689" s="6" t="str">
        <f t="shared" si="912"/>
        <v>Grafito</v>
      </c>
      <c r="K3689" s="6" t="str">
        <f>"7161"</f>
        <v>7161</v>
      </c>
      <c r="L3689" s="6" t="str">
        <f t="shared" si="914"/>
        <v>Cama</v>
      </c>
      <c r="M3689" s="6" t="str">
        <f>"120x190"</f>
        <v>120x190</v>
      </c>
      <c r="N3689" s="6" t="str">
        <f>"5602972741612"</f>
        <v>5602972741612</v>
      </c>
      <c r="O3689" s="8">
        <v>10</v>
      </c>
      <c r="R3689" s="8">
        <v>0</v>
      </c>
      <c r="U3689" s="8">
        <v>0</v>
      </c>
      <c r="X3689" s="8">
        <v>0</v>
      </c>
      <c r="Z3689" s="8">
        <v>0</v>
      </c>
      <c r="AC3689" s="8">
        <v>0</v>
      </c>
      <c r="AF3689" s="8">
        <v>0</v>
      </c>
      <c r="AN3689" s="8">
        <v>0</v>
      </c>
      <c r="AO3689" s="8">
        <v>10</v>
      </c>
    </row>
    <row r="3690" spans="1:41" x14ac:dyDescent="0.25">
      <c r="A3690" s="6" t="str">
        <f t="shared" si="906"/>
        <v>525-2025000426</v>
      </c>
      <c r="B3690" s="6" t="str">
        <f t="shared" si="903"/>
        <v>Lasa Int</v>
      </c>
      <c r="C3690" s="7">
        <v>45883</v>
      </c>
      <c r="D3690" s="7">
        <v>46068</v>
      </c>
      <c r="E3690" s="8">
        <v>99</v>
      </c>
      <c r="F3690" s="6" t="str">
        <f t="shared" si="907"/>
        <v>Royal FR</v>
      </c>
      <c r="G3690" s="6" t="str">
        <f>"C010302000400000"</f>
        <v>C010302000400000</v>
      </c>
      <c r="H3690" s="6" t="str">
        <f t="shared" si="913"/>
        <v>Cama - ROYAL - Drap</v>
      </c>
      <c r="I3690" s="6" t="str">
        <f t="shared" si="911"/>
        <v>501006</v>
      </c>
      <c r="J3690" s="6" t="str">
        <f t="shared" si="912"/>
        <v>Grafito</v>
      </c>
      <c r="K3690" s="6" t="str">
        <f>"7162"</f>
        <v>7162</v>
      </c>
      <c r="L3690" s="6" t="str">
        <f t="shared" si="914"/>
        <v>Cama</v>
      </c>
      <c r="M3690" s="6" t="str">
        <f>"140x200"</f>
        <v>140x200</v>
      </c>
      <c r="N3690" s="6" t="str">
        <f>"5602972741629"</f>
        <v>5602972741629</v>
      </c>
      <c r="O3690" s="8">
        <v>50</v>
      </c>
      <c r="R3690" s="8">
        <v>0</v>
      </c>
      <c r="U3690" s="8">
        <v>0</v>
      </c>
      <c r="X3690" s="8">
        <v>0</v>
      </c>
      <c r="Z3690" s="8">
        <v>0</v>
      </c>
      <c r="AC3690" s="8">
        <v>0</v>
      </c>
      <c r="AF3690" s="8">
        <v>0</v>
      </c>
      <c r="AN3690" s="8">
        <v>0</v>
      </c>
      <c r="AO3690" s="8">
        <v>50</v>
      </c>
    </row>
    <row r="3691" spans="1:41" x14ac:dyDescent="0.25">
      <c r="A3691" s="6" t="str">
        <f t="shared" ref="A3691:A3702" si="915">"525-2025000427"</f>
        <v>525-2025000427</v>
      </c>
      <c r="B3691" s="6" t="str">
        <f t="shared" si="903"/>
        <v>Lasa Int</v>
      </c>
      <c r="C3691" s="7">
        <v>45901</v>
      </c>
      <c r="D3691" s="7">
        <v>46065</v>
      </c>
      <c r="E3691" s="8">
        <v>1</v>
      </c>
      <c r="F3691" s="6" t="str">
        <f t="shared" ref="F3691:F3720" si="916">"PURE R"</f>
        <v>PURE R</v>
      </c>
      <c r="G3691" s="6" t="str">
        <f>"R010000635000000"</f>
        <v>R010000635000000</v>
      </c>
      <c r="H3691" s="6" t="str">
        <f>"Alexis Cotoral Pure"</f>
        <v>Alexis Cotoral Pure</v>
      </c>
      <c r="I3691" s="6" t="str">
        <f t="shared" ref="I3691:I3702" si="917">"4383"</f>
        <v>4383</v>
      </c>
      <c r="J3691" s="6" t="str">
        <f t="shared" ref="J3691:J3702" si="918">"AZUL 4383"</f>
        <v>AZUL 4383</v>
      </c>
      <c r="K3691" s="6" t="str">
        <f>"5002"</f>
        <v>5002</v>
      </c>
      <c r="L3691" s="6" t="str">
        <f>"Roupões Adulto"</f>
        <v>Roupões Adulto</v>
      </c>
      <c r="M3691" s="6" t="str">
        <f>"S"</f>
        <v>S</v>
      </c>
      <c r="N3691" s="6" t="str">
        <f>"5602972796100"</f>
        <v>5602972796100</v>
      </c>
      <c r="O3691" s="8">
        <v>24</v>
      </c>
      <c r="P3691" s="7">
        <v>45901</v>
      </c>
      <c r="R3691" s="8">
        <v>0</v>
      </c>
      <c r="S3691" s="7">
        <v>45904</v>
      </c>
      <c r="U3691" s="8">
        <v>1755</v>
      </c>
      <c r="V3691" s="7">
        <v>45915</v>
      </c>
      <c r="X3691" s="8">
        <v>1755</v>
      </c>
      <c r="Z3691" s="8">
        <v>0</v>
      </c>
      <c r="AA3691" s="7">
        <v>45925</v>
      </c>
      <c r="AC3691" s="8">
        <v>39</v>
      </c>
      <c r="AE3691" s="7">
        <v>45943</v>
      </c>
      <c r="AF3691" s="8">
        <v>39</v>
      </c>
      <c r="AH3691" s="7">
        <v>45943</v>
      </c>
      <c r="AI3691" s="7">
        <v>45939</v>
      </c>
      <c r="AN3691" s="8">
        <v>39</v>
      </c>
      <c r="AO3691" s="8">
        <v>-15</v>
      </c>
    </row>
    <row r="3692" spans="1:41" x14ac:dyDescent="0.25">
      <c r="A3692" s="6" t="str">
        <f t="shared" si="915"/>
        <v>525-2025000427</v>
      </c>
      <c r="B3692" s="6" t="str">
        <f t="shared" si="903"/>
        <v>Lasa Int</v>
      </c>
      <c r="C3692" s="7">
        <v>45901</v>
      </c>
      <c r="D3692" s="7">
        <v>46065</v>
      </c>
      <c r="E3692" s="8">
        <v>2</v>
      </c>
      <c r="F3692" s="6" t="str">
        <f t="shared" si="916"/>
        <v>PURE R</v>
      </c>
      <c r="G3692" s="6" t="str">
        <f>"R010000635000000"</f>
        <v>R010000635000000</v>
      </c>
      <c r="H3692" s="6" t="str">
        <f>"Alexis Cotoral Pure"</f>
        <v>Alexis Cotoral Pure</v>
      </c>
      <c r="I3692" s="6" t="str">
        <f t="shared" si="917"/>
        <v>4383</v>
      </c>
      <c r="J3692" s="6" t="str">
        <f t="shared" si="918"/>
        <v>AZUL 4383</v>
      </c>
      <c r="K3692" s="6" t="str">
        <f>"5004"</f>
        <v>5004</v>
      </c>
      <c r="L3692" s="6" t="str">
        <f>"Roupões Adulto"</f>
        <v>Roupões Adulto</v>
      </c>
      <c r="M3692" s="6" t="str">
        <f>"M"</f>
        <v>M</v>
      </c>
      <c r="N3692" s="6" t="str">
        <f>"5602972796117"</f>
        <v>5602972796117</v>
      </c>
      <c r="O3692" s="8">
        <v>96</v>
      </c>
      <c r="P3692" s="7">
        <v>45901</v>
      </c>
      <c r="R3692" s="8">
        <v>0</v>
      </c>
      <c r="S3692" s="7">
        <v>45904</v>
      </c>
      <c r="U3692" s="8">
        <v>0</v>
      </c>
      <c r="V3692" s="7">
        <v>45915</v>
      </c>
      <c r="X3692" s="8">
        <v>0</v>
      </c>
      <c r="Z3692" s="8">
        <v>0</v>
      </c>
      <c r="AA3692" s="7">
        <v>45925</v>
      </c>
      <c r="AC3692" s="8">
        <v>80</v>
      </c>
      <c r="AE3692" s="7">
        <v>45943</v>
      </c>
      <c r="AF3692" s="8">
        <v>80</v>
      </c>
      <c r="AH3692" s="7">
        <v>45943</v>
      </c>
      <c r="AI3692" s="7">
        <v>45939</v>
      </c>
      <c r="AN3692" s="8">
        <v>80</v>
      </c>
      <c r="AO3692" s="8">
        <v>16</v>
      </c>
    </row>
    <row r="3693" spans="1:41" x14ac:dyDescent="0.25">
      <c r="A3693" s="6" t="str">
        <f t="shared" si="915"/>
        <v>525-2025000427</v>
      </c>
      <c r="B3693" s="6" t="str">
        <f t="shared" si="903"/>
        <v>Lasa Int</v>
      </c>
      <c r="C3693" s="7">
        <v>45901</v>
      </c>
      <c r="D3693" s="7">
        <v>46065</v>
      </c>
      <c r="E3693" s="8">
        <v>3</v>
      </c>
      <c r="F3693" s="6" t="str">
        <f t="shared" si="916"/>
        <v>PURE R</v>
      </c>
      <c r="G3693" s="6" t="str">
        <f>"R010000635000000"</f>
        <v>R010000635000000</v>
      </c>
      <c r="H3693" s="6" t="str">
        <f>"Alexis Cotoral Pure"</f>
        <v>Alexis Cotoral Pure</v>
      </c>
      <c r="I3693" s="6" t="str">
        <f t="shared" si="917"/>
        <v>4383</v>
      </c>
      <c r="J3693" s="6" t="str">
        <f t="shared" si="918"/>
        <v>AZUL 4383</v>
      </c>
      <c r="K3693" s="6" t="str">
        <f>"5006"</f>
        <v>5006</v>
      </c>
      <c r="L3693" s="6" t="str">
        <f>"Roupões Adulto"</f>
        <v>Roupões Adulto</v>
      </c>
      <c r="M3693" s="6" t="str">
        <f>"L"</f>
        <v>L</v>
      </c>
      <c r="N3693" s="6" t="str">
        <f>"5602972796124"</f>
        <v>5602972796124</v>
      </c>
      <c r="O3693" s="8">
        <v>72</v>
      </c>
      <c r="P3693" s="7">
        <v>45901</v>
      </c>
      <c r="R3693" s="8">
        <v>0</v>
      </c>
      <c r="S3693" s="7">
        <v>45904</v>
      </c>
      <c r="U3693" s="8">
        <v>0</v>
      </c>
      <c r="V3693" s="7">
        <v>45915</v>
      </c>
      <c r="X3693" s="8">
        <v>0</v>
      </c>
      <c r="Z3693" s="8">
        <v>0</v>
      </c>
      <c r="AA3693" s="7">
        <v>45925</v>
      </c>
      <c r="AC3693" s="8">
        <v>64</v>
      </c>
      <c r="AE3693" s="7">
        <v>45943</v>
      </c>
      <c r="AF3693" s="8">
        <v>64</v>
      </c>
      <c r="AH3693" s="7">
        <v>45943</v>
      </c>
      <c r="AI3693" s="7">
        <v>45939</v>
      </c>
      <c r="AN3693" s="8">
        <v>64</v>
      </c>
      <c r="AO3693" s="8">
        <v>8</v>
      </c>
    </row>
    <row r="3694" spans="1:41" x14ac:dyDescent="0.25">
      <c r="A3694" s="6" t="str">
        <f t="shared" si="915"/>
        <v>525-2025000427</v>
      </c>
      <c r="B3694" s="6" t="str">
        <f t="shared" si="903"/>
        <v>Lasa Int</v>
      </c>
      <c r="C3694" s="7">
        <v>45901</v>
      </c>
      <c r="D3694" s="7">
        <v>46065</v>
      </c>
      <c r="E3694" s="8">
        <v>4</v>
      </c>
      <c r="F3694" s="6" t="str">
        <f t="shared" si="916"/>
        <v>PURE R</v>
      </c>
      <c r="G3694" s="6" t="str">
        <f>"R013000138500000"</f>
        <v>R013000138500000</v>
      </c>
      <c r="H3694" s="6" t="str">
        <f>"Star PURE - Ketten 3"</f>
        <v>Star PURE - Ketten 3</v>
      </c>
      <c r="I3694" s="6" t="str">
        <f t="shared" si="917"/>
        <v>4383</v>
      </c>
      <c r="J3694" s="6" t="str">
        <f t="shared" si="918"/>
        <v>AZUL 4383</v>
      </c>
      <c r="K3694" s="6" t="str">
        <f>"5210"</f>
        <v>5210</v>
      </c>
      <c r="L3694" s="6" t="str">
        <f>"Roupões Criança"</f>
        <v>Roupões Criança</v>
      </c>
      <c r="M3694" s="6" t="str">
        <f>"10 Anos"</f>
        <v>10 Anos</v>
      </c>
      <c r="N3694" s="6" t="str">
        <f>"5602972657531"</f>
        <v>5602972657531</v>
      </c>
      <c r="O3694" s="8">
        <v>12</v>
      </c>
      <c r="P3694" s="7">
        <v>45901</v>
      </c>
      <c r="R3694" s="8">
        <v>0</v>
      </c>
      <c r="S3694" s="7">
        <v>45904</v>
      </c>
      <c r="U3694" s="8">
        <v>0</v>
      </c>
      <c r="V3694" s="7">
        <v>45915</v>
      </c>
      <c r="X3694" s="8">
        <v>0</v>
      </c>
      <c r="Z3694" s="8">
        <v>0</v>
      </c>
      <c r="AA3694" s="7">
        <v>45925</v>
      </c>
      <c r="AC3694" s="8">
        <v>0</v>
      </c>
      <c r="AE3694" s="7">
        <v>45943</v>
      </c>
      <c r="AF3694" s="8">
        <v>0</v>
      </c>
      <c r="AH3694" s="7">
        <v>45943</v>
      </c>
      <c r="AI3694" s="7">
        <v>45939</v>
      </c>
      <c r="AN3694" s="8">
        <v>0</v>
      </c>
      <c r="AO3694" s="8">
        <v>12</v>
      </c>
    </row>
    <row r="3695" spans="1:41" x14ac:dyDescent="0.25">
      <c r="A3695" s="6" t="str">
        <f t="shared" si="915"/>
        <v>525-2025000427</v>
      </c>
      <c r="B3695" s="6" t="str">
        <f t="shared" si="903"/>
        <v>Lasa Int</v>
      </c>
      <c r="C3695" s="7">
        <v>45901</v>
      </c>
      <c r="D3695" s="7">
        <v>46065</v>
      </c>
      <c r="E3695" s="8">
        <v>5</v>
      </c>
      <c r="F3695" s="6" t="str">
        <f t="shared" si="916"/>
        <v>PURE R</v>
      </c>
      <c r="G3695" s="6" t="str">
        <f>"R013000138500000"</f>
        <v>R013000138500000</v>
      </c>
      <c r="H3695" s="6" t="str">
        <f>"Star PURE - Ketten 3"</f>
        <v>Star PURE - Ketten 3</v>
      </c>
      <c r="I3695" s="6" t="str">
        <f t="shared" si="917"/>
        <v>4383</v>
      </c>
      <c r="J3695" s="6" t="str">
        <f t="shared" si="918"/>
        <v>AZUL 4383</v>
      </c>
      <c r="K3695" s="6" t="str">
        <f>"5212"</f>
        <v>5212</v>
      </c>
      <c r="L3695" s="6" t="str">
        <f>"Roupões Criança"</f>
        <v>Roupões Criança</v>
      </c>
      <c r="M3695" s="6" t="str">
        <f>"12 Anos"</f>
        <v>12 Anos</v>
      </c>
      <c r="N3695" s="6" t="str">
        <f>"5602972657548"</f>
        <v>5602972657548</v>
      </c>
      <c r="O3695" s="8">
        <v>12</v>
      </c>
      <c r="P3695" s="7">
        <v>45901</v>
      </c>
      <c r="R3695" s="8">
        <v>0</v>
      </c>
      <c r="S3695" s="7">
        <v>45904</v>
      </c>
      <c r="U3695" s="8">
        <v>0</v>
      </c>
      <c r="V3695" s="7">
        <v>45915</v>
      </c>
      <c r="X3695" s="8">
        <v>0</v>
      </c>
      <c r="Z3695" s="8">
        <v>0</v>
      </c>
      <c r="AA3695" s="7">
        <v>45925</v>
      </c>
      <c r="AC3695" s="8">
        <v>0</v>
      </c>
      <c r="AE3695" s="7">
        <v>45943</v>
      </c>
      <c r="AF3695" s="8">
        <v>0</v>
      </c>
      <c r="AH3695" s="7">
        <v>45943</v>
      </c>
      <c r="AI3695" s="7">
        <v>45939</v>
      </c>
      <c r="AN3695" s="8">
        <v>0</v>
      </c>
      <c r="AO3695" s="8">
        <v>12</v>
      </c>
    </row>
    <row r="3696" spans="1:41" x14ac:dyDescent="0.25">
      <c r="A3696" s="6" t="str">
        <f t="shared" si="915"/>
        <v>525-2025000427</v>
      </c>
      <c r="B3696" s="6" t="str">
        <f t="shared" si="903"/>
        <v>Lasa Int</v>
      </c>
      <c r="C3696" s="7">
        <v>45901</v>
      </c>
      <c r="D3696" s="7">
        <v>46065</v>
      </c>
      <c r="E3696" s="8">
        <v>6</v>
      </c>
      <c r="F3696" s="6" t="str">
        <f t="shared" si="916"/>
        <v>PURE R</v>
      </c>
      <c r="G3696" s="6" t="str">
        <f>"R013000138500000"</f>
        <v>R013000138500000</v>
      </c>
      <c r="H3696" s="6" t="str">
        <f>"Star PURE - Ketten 3"</f>
        <v>Star PURE - Ketten 3</v>
      </c>
      <c r="I3696" s="6" t="str">
        <f t="shared" si="917"/>
        <v>4383</v>
      </c>
      <c r="J3696" s="6" t="str">
        <f t="shared" si="918"/>
        <v>AZUL 4383</v>
      </c>
      <c r="K3696" s="6" t="str">
        <f>"5214"</f>
        <v>5214</v>
      </c>
      <c r="L3696" s="6" t="str">
        <f>"Roupões Criança"</f>
        <v>Roupões Criança</v>
      </c>
      <c r="M3696" s="6" t="str">
        <f>"14 Anos"</f>
        <v>14 Anos</v>
      </c>
      <c r="N3696" s="6" t="str">
        <f>"5602972657555"</f>
        <v>5602972657555</v>
      </c>
      <c r="O3696" s="8">
        <v>36</v>
      </c>
      <c r="P3696" s="7">
        <v>45901</v>
      </c>
      <c r="R3696" s="8">
        <v>0</v>
      </c>
      <c r="S3696" s="7">
        <v>45904</v>
      </c>
      <c r="U3696" s="8">
        <v>0</v>
      </c>
      <c r="V3696" s="7">
        <v>45915</v>
      </c>
      <c r="X3696" s="8">
        <v>0</v>
      </c>
      <c r="Z3696" s="8">
        <v>0</v>
      </c>
      <c r="AA3696" s="7">
        <v>45925</v>
      </c>
      <c r="AC3696" s="8">
        <v>0</v>
      </c>
      <c r="AE3696" s="7">
        <v>45943</v>
      </c>
      <c r="AF3696" s="8">
        <v>0</v>
      </c>
      <c r="AH3696" s="7">
        <v>45943</v>
      </c>
      <c r="AI3696" s="7">
        <v>45939</v>
      </c>
      <c r="AN3696" s="8">
        <v>0</v>
      </c>
      <c r="AO3696" s="8">
        <v>36</v>
      </c>
    </row>
    <row r="3697" spans="1:41" x14ac:dyDescent="0.25">
      <c r="A3697" s="6" t="str">
        <f t="shared" si="915"/>
        <v>525-2025000427</v>
      </c>
      <c r="B3697" s="6" t="str">
        <f t="shared" si="903"/>
        <v>Lasa Int</v>
      </c>
      <c r="C3697" s="7">
        <v>45901</v>
      </c>
      <c r="D3697" s="7">
        <v>46065</v>
      </c>
      <c r="E3697" s="8">
        <v>7</v>
      </c>
      <c r="F3697" s="6" t="str">
        <f t="shared" si="916"/>
        <v>PURE R</v>
      </c>
      <c r="G3697" s="6" t="str">
        <f t="shared" ref="G3697:G3702" si="919">"R120203038500000"</f>
        <v>R120203038500000</v>
      </c>
      <c r="H3697" s="6" t="str">
        <f t="shared" ref="H3697:H3702" si="920">"R 2030 - Ketten PURE"</f>
        <v>R 2030 - Ketten PURE</v>
      </c>
      <c r="I3697" s="6" t="str">
        <f t="shared" si="917"/>
        <v>4383</v>
      </c>
      <c r="J3697" s="6" t="str">
        <f t="shared" si="918"/>
        <v>AZUL 4383</v>
      </c>
      <c r="K3697" s="6" t="str">
        <f>"5001"</f>
        <v>5001</v>
      </c>
      <c r="L3697" s="6" t="str">
        <f t="shared" ref="L3697:L3720" si="921">"Roupões Adulto"</f>
        <v>Roupões Adulto</v>
      </c>
      <c r="M3697" s="6" t="str">
        <f>"XS"</f>
        <v>XS</v>
      </c>
      <c r="N3697" s="6" t="str">
        <f>"5605247645257"</f>
        <v>5605247645257</v>
      </c>
      <c r="O3697" s="8">
        <v>12</v>
      </c>
      <c r="P3697" s="7">
        <v>45901</v>
      </c>
      <c r="R3697" s="8">
        <v>0</v>
      </c>
      <c r="S3697" s="7">
        <v>45904</v>
      </c>
      <c r="U3697" s="8">
        <v>0</v>
      </c>
      <c r="V3697" s="7">
        <v>45915</v>
      </c>
      <c r="X3697" s="8">
        <v>0</v>
      </c>
      <c r="Z3697" s="8">
        <v>0</v>
      </c>
      <c r="AA3697" s="7">
        <v>45925</v>
      </c>
      <c r="AC3697" s="8">
        <v>0</v>
      </c>
      <c r="AE3697" s="7">
        <v>45943</v>
      </c>
      <c r="AF3697" s="8">
        <v>0</v>
      </c>
      <c r="AH3697" s="7">
        <v>45943</v>
      </c>
      <c r="AI3697" s="7">
        <v>45939</v>
      </c>
      <c r="AN3697" s="8">
        <v>0</v>
      </c>
      <c r="AO3697" s="8">
        <v>12</v>
      </c>
    </row>
    <row r="3698" spans="1:41" x14ac:dyDescent="0.25">
      <c r="A3698" s="6" t="str">
        <f t="shared" si="915"/>
        <v>525-2025000427</v>
      </c>
      <c r="B3698" s="6" t="str">
        <f t="shared" si="903"/>
        <v>Lasa Int</v>
      </c>
      <c r="C3698" s="7">
        <v>45901</v>
      </c>
      <c r="D3698" s="7">
        <v>46065</v>
      </c>
      <c r="E3698" s="8">
        <v>8</v>
      </c>
      <c r="F3698" s="6" t="str">
        <f t="shared" si="916"/>
        <v>PURE R</v>
      </c>
      <c r="G3698" s="6" t="str">
        <f t="shared" si="919"/>
        <v>R120203038500000</v>
      </c>
      <c r="H3698" s="6" t="str">
        <f t="shared" si="920"/>
        <v>R 2030 - Ketten PURE</v>
      </c>
      <c r="I3698" s="6" t="str">
        <f t="shared" si="917"/>
        <v>4383</v>
      </c>
      <c r="J3698" s="6" t="str">
        <f t="shared" si="918"/>
        <v>AZUL 4383</v>
      </c>
      <c r="K3698" s="6" t="str">
        <f>"5002"</f>
        <v>5002</v>
      </c>
      <c r="L3698" s="6" t="str">
        <f t="shared" si="921"/>
        <v>Roupões Adulto</v>
      </c>
      <c r="M3698" s="6" t="str">
        <f>"S"</f>
        <v>S</v>
      </c>
      <c r="N3698" s="6" t="str">
        <f>"5605247645264"</f>
        <v>5605247645264</v>
      </c>
      <c r="O3698" s="8">
        <v>36</v>
      </c>
      <c r="P3698" s="7">
        <v>45901</v>
      </c>
      <c r="R3698" s="8">
        <v>0</v>
      </c>
      <c r="S3698" s="7">
        <v>45904</v>
      </c>
      <c r="U3698" s="8">
        <v>0</v>
      </c>
      <c r="V3698" s="7">
        <v>45915</v>
      </c>
      <c r="X3698" s="8">
        <v>0</v>
      </c>
      <c r="Z3698" s="8">
        <v>0</v>
      </c>
      <c r="AA3698" s="7">
        <v>45925</v>
      </c>
      <c r="AC3698" s="8">
        <v>0</v>
      </c>
      <c r="AE3698" s="7">
        <v>45943</v>
      </c>
      <c r="AF3698" s="8">
        <v>0</v>
      </c>
      <c r="AH3698" s="7">
        <v>45943</v>
      </c>
      <c r="AI3698" s="7">
        <v>45939</v>
      </c>
      <c r="AN3698" s="8">
        <v>0</v>
      </c>
      <c r="AO3698" s="8">
        <v>36</v>
      </c>
    </row>
    <row r="3699" spans="1:41" x14ac:dyDescent="0.25">
      <c r="A3699" s="6" t="str">
        <f t="shared" si="915"/>
        <v>525-2025000427</v>
      </c>
      <c r="B3699" s="6" t="str">
        <f t="shared" si="903"/>
        <v>Lasa Int</v>
      </c>
      <c r="C3699" s="7">
        <v>45901</v>
      </c>
      <c r="D3699" s="7">
        <v>46065</v>
      </c>
      <c r="E3699" s="8">
        <v>9</v>
      </c>
      <c r="F3699" s="6" t="str">
        <f t="shared" si="916"/>
        <v>PURE R</v>
      </c>
      <c r="G3699" s="6" t="str">
        <f t="shared" si="919"/>
        <v>R120203038500000</v>
      </c>
      <c r="H3699" s="6" t="str">
        <f t="shared" si="920"/>
        <v>R 2030 - Ketten PURE</v>
      </c>
      <c r="I3699" s="6" t="str">
        <f t="shared" si="917"/>
        <v>4383</v>
      </c>
      <c r="J3699" s="6" t="str">
        <f t="shared" si="918"/>
        <v>AZUL 4383</v>
      </c>
      <c r="K3699" s="6" t="str">
        <f>"5004"</f>
        <v>5004</v>
      </c>
      <c r="L3699" s="6" t="str">
        <f t="shared" si="921"/>
        <v>Roupões Adulto</v>
      </c>
      <c r="M3699" s="6" t="str">
        <f>"M"</f>
        <v>M</v>
      </c>
      <c r="N3699" s="6" t="str">
        <f>"5605247645271"</f>
        <v>5605247645271</v>
      </c>
      <c r="O3699" s="8">
        <v>24</v>
      </c>
      <c r="P3699" s="7">
        <v>45901</v>
      </c>
      <c r="R3699" s="8">
        <v>0</v>
      </c>
      <c r="S3699" s="7">
        <v>45904</v>
      </c>
      <c r="U3699" s="8">
        <v>0</v>
      </c>
      <c r="V3699" s="7">
        <v>45915</v>
      </c>
      <c r="X3699" s="8">
        <v>0</v>
      </c>
      <c r="Z3699" s="8">
        <v>0</v>
      </c>
      <c r="AA3699" s="7">
        <v>45925</v>
      </c>
      <c r="AC3699" s="8">
        <v>0</v>
      </c>
      <c r="AE3699" s="7">
        <v>45943</v>
      </c>
      <c r="AF3699" s="8">
        <v>0</v>
      </c>
      <c r="AH3699" s="7">
        <v>45943</v>
      </c>
      <c r="AI3699" s="7">
        <v>45939</v>
      </c>
      <c r="AN3699" s="8">
        <v>0</v>
      </c>
      <c r="AO3699" s="8">
        <v>24</v>
      </c>
    </row>
    <row r="3700" spans="1:41" x14ac:dyDescent="0.25">
      <c r="A3700" s="6" t="str">
        <f t="shared" si="915"/>
        <v>525-2025000427</v>
      </c>
      <c r="B3700" s="6" t="str">
        <f t="shared" si="903"/>
        <v>Lasa Int</v>
      </c>
      <c r="C3700" s="7">
        <v>45901</v>
      </c>
      <c r="D3700" s="7">
        <v>46065</v>
      </c>
      <c r="E3700" s="8">
        <v>10</v>
      </c>
      <c r="F3700" s="6" t="str">
        <f t="shared" si="916"/>
        <v>PURE R</v>
      </c>
      <c r="G3700" s="6" t="str">
        <f t="shared" si="919"/>
        <v>R120203038500000</v>
      </c>
      <c r="H3700" s="6" t="str">
        <f t="shared" si="920"/>
        <v>R 2030 - Ketten PURE</v>
      </c>
      <c r="I3700" s="6" t="str">
        <f t="shared" si="917"/>
        <v>4383</v>
      </c>
      <c r="J3700" s="6" t="str">
        <f t="shared" si="918"/>
        <v>AZUL 4383</v>
      </c>
      <c r="K3700" s="6" t="str">
        <f>"5006"</f>
        <v>5006</v>
      </c>
      <c r="L3700" s="6" t="str">
        <f t="shared" si="921"/>
        <v>Roupões Adulto</v>
      </c>
      <c r="M3700" s="6" t="str">
        <f>"L"</f>
        <v>L</v>
      </c>
      <c r="N3700" s="6" t="str">
        <f>"5605247645288"</f>
        <v>5605247645288</v>
      </c>
      <c r="O3700" s="8">
        <v>36</v>
      </c>
      <c r="P3700" s="7">
        <v>45901</v>
      </c>
      <c r="R3700" s="8">
        <v>0</v>
      </c>
      <c r="S3700" s="7">
        <v>45904</v>
      </c>
      <c r="U3700" s="8">
        <v>0</v>
      </c>
      <c r="V3700" s="7">
        <v>45915</v>
      </c>
      <c r="X3700" s="8">
        <v>0</v>
      </c>
      <c r="Z3700" s="8">
        <v>0</v>
      </c>
      <c r="AA3700" s="7">
        <v>45925</v>
      </c>
      <c r="AC3700" s="8">
        <v>0</v>
      </c>
      <c r="AE3700" s="7">
        <v>45943</v>
      </c>
      <c r="AF3700" s="8">
        <v>0</v>
      </c>
      <c r="AH3700" s="7">
        <v>45943</v>
      </c>
      <c r="AI3700" s="7">
        <v>45939</v>
      </c>
      <c r="AN3700" s="8">
        <v>0</v>
      </c>
      <c r="AO3700" s="8">
        <v>36</v>
      </c>
    </row>
    <row r="3701" spans="1:41" x14ac:dyDescent="0.25">
      <c r="A3701" s="6" t="str">
        <f t="shared" si="915"/>
        <v>525-2025000427</v>
      </c>
      <c r="B3701" s="6" t="str">
        <f t="shared" si="903"/>
        <v>Lasa Int</v>
      </c>
      <c r="C3701" s="7">
        <v>45901</v>
      </c>
      <c r="D3701" s="7">
        <v>46065</v>
      </c>
      <c r="E3701" s="8">
        <v>11</v>
      </c>
      <c r="F3701" s="6" t="str">
        <f t="shared" si="916"/>
        <v>PURE R</v>
      </c>
      <c r="G3701" s="6" t="str">
        <f t="shared" si="919"/>
        <v>R120203038500000</v>
      </c>
      <c r="H3701" s="6" t="str">
        <f t="shared" si="920"/>
        <v>R 2030 - Ketten PURE</v>
      </c>
      <c r="I3701" s="6" t="str">
        <f t="shared" si="917"/>
        <v>4383</v>
      </c>
      <c r="J3701" s="6" t="str">
        <f t="shared" si="918"/>
        <v>AZUL 4383</v>
      </c>
      <c r="K3701" s="6" t="str">
        <f>"5008"</f>
        <v>5008</v>
      </c>
      <c r="L3701" s="6" t="str">
        <f t="shared" si="921"/>
        <v>Roupões Adulto</v>
      </c>
      <c r="M3701" s="6" t="str">
        <f>"XL"</f>
        <v>XL</v>
      </c>
      <c r="N3701" s="6" t="str">
        <f>"5605247645295"</f>
        <v>5605247645295</v>
      </c>
      <c r="O3701" s="8">
        <v>60</v>
      </c>
      <c r="P3701" s="7">
        <v>45901</v>
      </c>
      <c r="R3701" s="8">
        <v>0</v>
      </c>
      <c r="S3701" s="7">
        <v>45904</v>
      </c>
      <c r="U3701" s="8">
        <v>0</v>
      </c>
      <c r="V3701" s="7">
        <v>45915</v>
      </c>
      <c r="X3701" s="8">
        <v>0</v>
      </c>
      <c r="Z3701" s="8">
        <v>0</v>
      </c>
      <c r="AA3701" s="7">
        <v>45925</v>
      </c>
      <c r="AC3701" s="8">
        <v>0</v>
      </c>
      <c r="AE3701" s="7">
        <v>45943</v>
      </c>
      <c r="AF3701" s="8">
        <v>0</v>
      </c>
      <c r="AH3701" s="7">
        <v>45943</v>
      </c>
      <c r="AI3701" s="7">
        <v>45939</v>
      </c>
      <c r="AN3701" s="8">
        <v>0</v>
      </c>
      <c r="AO3701" s="8">
        <v>60</v>
      </c>
    </row>
    <row r="3702" spans="1:41" x14ac:dyDescent="0.25">
      <c r="A3702" s="6" t="str">
        <f t="shared" si="915"/>
        <v>525-2025000427</v>
      </c>
      <c r="B3702" s="6" t="str">
        <f t="shared" si="903"/>
        <v>Lasa Int</v>
      </c>
      <c r="C3702" s="7">
        <v>45901</v>
      </c>
      <c r="D3702" s="7">
        <v>46065</v>
      </c>
      <c r="E3702" s="8">
        <v>12</v>
      </c>
      <c r="F3702" s="6" t="str">
        <f t="shared" si="916"/>
        <v>PURE R</v>
      </c>
      <c r="G3702" s="6" t="str">
        <f t="shared" si="919"/>
        <v>R120203038500000</v>
      </c>
      <c r="H3702" s="6" t="str">
        <f t="shared" si="920"/>
        <v>R 2030 - Ketten PURE</v>
      </c>
      <c r="I3702" s="6" t="str">
        <f t="shared" si="917"/>
        <v>4383</v>
      </c>
      <c r="J3702" s="6" t="str">
        <f t="shared" si="918"/>
        <v>AZUL 4383</v>
      </c>
      <c r="K3702" s="6" t="str">
        <f>"5010"</f>
        <v>5010</v>
      </c>
      <c r="L3702" s="6" t="str">
        <f t="shared" si="921"/>
        <v>Roupões Adulto</v>
      </c>
      <c r="M3702" s="6" t="str">
        <f>"XXL"</f>
        <v>XXL</v>
      </c>
      <c r="N3702" s="6" t="str">
        <f>"5605247645301"</f>
        <v>5605247645301</v>
      </c>
      <c r="O3702" s="8">
        <v>12</v>
      </c>
      <c r="P3702" s="7">
        <v>45901</v>
      </c>
      <c r="R3702" s="8">
        <v>0</v>
      </c>
      <c r="S3702" s="7">
        <v>45904</v>
      </c>
      <c r="U3702" s="8">
        <v>0</v>
      </c>
      <c r="V3702" s="7">
        <v>45915</v>
      </c>
      <c r="X3702" s="8">
        <v>0</v>
      </c>
      <c r="Z3702" s="8">
        <v>0</v>
      </c>
      <c r="AA3702" s="7">
        <v>45925</v>
      </c>
      <c r="AC3702" s="8">
        <v>0</v>
      </c>
      <c r="AE3702" s="7">
        <v>45943</v>
      </c>
      <c r="AF3702" s="8">
        <v>0</v>
      </c>
      <c r="AH3702" s="7">
        <v>45943</v>
      </c>
      <c r="AI3702" s="7">
        <v>45939</v>
      </c>
      <c r="AN3702" s="8">
        <v>0</v>
      </c>
      <c r="AO3702" s="8">
        <v>12</v>
      </c>
    </row>
    <row r="3703" spans="1:41" x14ac:dyDescent="0.25">
      <c r="A3703" s="6" t="str">
        <f t="shared" ref="A3703:A3711" si="922">"525-2025000434"</f>
        <v>525-2025000434</v>
      </c>
      <c r="B3703" s="6" t="str">
        <f t="shared" si="903"/>
        <v>Lasa Int</v>
      </c>
      <c r="C3703" s="7">
        <v>45903</v>
      </c>
      <c r="D3703" s="7">
        <v>46065</v>
      </c>
      <c r="E3703" s="8">
        <v>1</v>
      </c>
      <c r="F3703" s="6" t="str">
        <f t="shared" si="916"/>
        <v>PURE R</v>
      </c>
      <c r="G3703" s="6" t="str">
        <f>"R010000635000000"</f>
        <v>R010000635000000</v>
      </c>
      <c r="H3703" s="6" t="str">
        <f>"Alexis Cotoral Pure"</f>
        <v>Alexis Cotoral Pure</v>
      </c>
      <c r="I3703" s="6" t="str">
        <f t="shared" ref="I3703:I3711" si="923">"3"</f>
        <v>3</v>
      </c>
      <c r="J3703" s="6" t="str">
        <f t="shared" ref="J3703:J3711" si="924">"PRETO Sulf"</f>
        <v>PRETO Sulf</v>
      </c>
      <c r="K3703" s="6" t="str">
        <f>"5002"</f>
        <v>5002</v>
      </c>
      <c r="L3703" s="6" t="str">
        <f t="shared" si="921"/>
        <v>Roupões Adulto</v>
      </c>
      <c r="M3703" s="6" t="str">
        <f>"S"</f>
        <v>S</v>
      </c>
      <c r="N3703" s="6" t="str">
        <f>"5602972838459"</f>
        <v>5602972838459</v>
      </c>
      <c r="O3703" s="8">
        <v>12</v>
      </c>
      <c r="P3703" s="7">
        <v>45903</v>
      </c>
      <c r="R3703" s="8">
        <v>0</v>
      </c>
      <c r="S3703" s="7">
        <v>45908</v>
      </c>
      <c r="U3703" s="8">
        <v>1620</v>
      </c>
      <c r="V3703" s="7">
        <v>45917</v>
      </c>
      <c r="X3703" s="8">
        <v>1620</v>
      </c>
      <c r="Z3703" s="8">
        <v>0</v>
      </c>
      <c r="AA3703" s="7">
        <v>45929</v>
      </c>
      <c r="AC3703" s="8">
        <v>6</v>
      </c>
      <c r="AE3703" s="7">
        <v>45945</v>
      </c>
      <c r="AF3703" s="8">
        <v>6</v>
      </c>
      <c r="AH3703" s="7">
        <v>45945</v>
      </c>
      <c r="AI3703" s="7">
        <v>45943</v>
      </c>
      <c r="AN3703" s="8">
        <v>6</v>
      </c>
      <c r="AO3703" s="8">
        <v>6</v>
      </c>
    </row>
    <row r="3704" spans="1:41" x14ac:dyDescent="0.25">
      <c r="A3704" s="6" t="str">
        <f t="shared" si="922"/>
        <v>525-2025000434</v>
      </c>
      <c r="B3704" s="6" t="str">
        <f t="shared" si="903"/>
        <v>Lasa Int</v>
      </c>
      <c r="C3704" s="7">
        <v>45903</v>
      </c>
      <c r="D3704" s="7">
        <v>46065</v>
      </c>
      <c r="E3704" s="8">
        <v>2</v>
      </c>
      <c r="F3704" s="6" t="str">
        <f t="shared" si="916"/>
        <v>PURE R</v>
      </c>
      <c r="G3704" s="6" t="str">
        <f>"R010000635000000"</f>
        <v>R010000635000000</v>
      </c>
      <c r="H3704" s="6" t="str">
        <f>"Alexis Cotoral Pure"</f>
        <v>Alexis Cotoral Pure</v>
      </c>
      <c r="I3704" s="6" t="str">
        <f t="shared" si="923"/>
        <v>3</v>
      </c>
      <c r="J3704" s="6" t="str">
        <f t="shared" si="924"/>
        <v>PRETO Sulf</v>
      </c>
      <c r="K3704" s="6" t="str">
        <f>"5004"</f>
        <v>5004</v>
      </c>
      <c r="L3704" s="6" t="str">
        <f t="shared" si="921"/>
        <v>Roupões Adulto</v>
      </c>
      <c r="M3704" s="6" t="str">
        <f>"M"</f>
        <v>M</v>
      </c>
      <c r="N3704" s="6" t="str">
        <f>"5602972838466"</f>
        <v>5602972838466</v>
      </c>
      <c r="O3704" s="8">
        <v>60</v>
      </c>
      <c r="P3704" s="7">
        <v>45903</v>
      </c>
      <c r="R3704" s="8">
        <v>0</v>
      </c>
      <c r="S3704" s="7">
        <v>45908</v>
      </c>
      <c r="U3704" s="8">
        <v>0</v>
      </c>
      <c r="V3704" s="7">
        <v>45917</v>
      </c>
      <c r="X3704" s="8">
        <v>0</v>
      </c>
      <c r="Z3704" s="8">
        <v>0</v>
      </c>
      <c r="AA3704" s="7">
        <v>45929</v>
      </c>
      <c r="AC3704" s="8">
        <v>47</v>
      </c>
      <c r="AE3704" s="7">
        <v>45945</v>
      </c>
      <c r="AF3704" s="8">
        <v>47</v>
      </c>
      <c r="AH3704" s="7">
        <v>45945</v>
      </c>
      <c r="AI3704" s="7">
        <v>45943</v>
      </c>
      <c r="AN3704" s="8">
        <v>47</v>
      </c>
      <c r="AO3704" s="8">
        <v>13</v>
      </c>
    </row>
    <row r="3705" spans="1:41" x14ac:dyDescent="0.25">
      <c r="A3705" s="6" t="str">
        <f t="shared" si="922"/>
        <v>525-2025000434</v>
      </c>
      <c r="B3705" s="6" t="str">
        <f t="shared" si="903"/>
        <v>Lasa Int</v>
      </c>
      <c r="C3705" s="7">
        <v>45903</v>
      </c>
      <c r="D3705" s="7">
        <v>46065</v>
      </c>
      <c r="E3705" s="8">
        <v>3</v>
      </c>
      <c r="F3705" s="6" t="str">
        <f t="shared" si="916"/>
        <v>PURE R</v>
      </c>
      <c r="G3705" s="6" t="str">
        <f>"R010000635000000"</f>
        <v>R010000635000000</v>
      </c>
      <c r="H3705" s="6" t="str">
        <f>"Alexis Cotoral Pure"</f>
        <v>Alexis Cotoral Pure</v>
      </c>
      <c r="I3705" s="6" t="str">
        <f t="shared" si="923"/>
        <v>3</v>
      </c>
      <c r="J3705" s="6" t="str">
        <f t="shared" si="924"/>
        <v>PRETO Sulf</v>
      </c>
      <c r="K3705" s="6" t="str">
        <f>"5006"</f>
        <v>5006</v>
      </c>
      <c r="L3705" s="6" t="str">
        <f t="shared" si="921"/>
        <v>Roupões Adulto</v>
      </c>
      <c r="M3705" s="6" t="str">
        <f>"L"</f>
        <v>L</v>
      </c>
      <c r="N3705" s="6" t="str">
        <f>"5602972838473"</f>
        <v>5602972838473</v>
      </c>
      <c r="O3705" s="8">
        <v>36</v>
      </c>
      <c r="P3705" s="7">
        <v>45903</v>
      </c>
      <c r="R3705" s="8">
        <v>0</v>
      </c>
      <c r="S3705" s="7">
        <v>45908</v>
      </c>
      <c r="U3705" s="8">
        <v>0</v>
      </c>
      <c r="V3705" s="7">
        <v>45917</v>
      </c>
      <c r="X3705" s="8">
        <v>0</v>
      </c>
      <c r="Z3705" s="8">
        <v>0</v>
      </c>
      <c r="AA3705" s="7">
        <v>45929</v>
      </c>
      <c r="AC3705" s="8">
        <v>48</v>
      </c>
      <c r="AE3705" s="7">
        <v>45945</v>
      </c>
      <c r="AF3705" s="8">
        <v>48</v>
      </c>
      <c r="AH3705" s="7">
        <v>45945</v>
      </c>
      <c r="AI3705" s="7">
        <v>45943</v>
      </c>
      <c r="AN3705" s="8">
        <v>48</v>
      </c>
      <c r="AO3705" s="8">
        <v>-12</v>
      </c>
    </row>
    <row r="3706" spans="1:41" x14ac:dyDescent="0.25">
      <c r="A3706" s="6" t="str">
        <f t="shared" si="922"/>
        <v>525-2025000434</v>
      </c>
      <c r="B3706" s="6" t="str">
        <f t="shared" si="903"/>
        <v>Lasa Int</v>
      </c>
      <c r="C3706" s="7">
        <v>45903</v>
      </c>
      <c r="D3706" s="7">
        <v>46065</v>
      </c>
      <c r="E3706" s="8">
        <v>4</v>
      </c>
      <c r="F3706" s="6" t="str">
        <f t="shared" si="916"/>
        <v>PURE R</v>
      </c>
      <c r="G3706" s="6" t="str">
        <f>"R010000635000000"</f>
        <v>R010000635000000</v>
      </c>
      <c r="H3706" s="6" t="str">
        <f>"Alexis Cotoral Pure"</f>
        <v>Alexis Cotoral Pure</v>
      </c>
      <c r="I3706" s="6" t="str">
        <f t="shared" si="923"/>
        <v>3</v>
      </c>
      <c r="J3706" s="6" t="str">
        <f t="shared" si="924"/>
        <v>PRETO Sulf</v>
      </c>
      <c r="K3706" s="6" t="str">
        <f>"5008"</f>
        <v>5008</v>
      </c>
      <c r="L3706" s="6" t="str">
        <f t="shared" si="921"/>
        <v>Roupões Adulto</v>
      </c>
      <c r="M3706" s="6" t="str">
        <f>"XL"</f>
        <v>XL</v>
      </c>
      <c r="N3706" s="6" t="str">
        <f>"5602972838480"</f>
        <v>5602972838480</v>
      </c>
      <c r="O3706" s="8">
        <v>90</v>
      </c>
      <c r="P3706" s="7">
        <v>45903</v>
      </c>
      <c r="R3706" s="8">
        <v>0</v>
      </c>
      <c r="S3706" s="7">
        <v>45908</v>
      </c>
      <c r="U3706" s="8">
        <v>0</v>
      </c>
      <c r="V3706" s="7">
        <v>45917</v>
      </c>
      <c r="X3706" s="8">
        <v>0</v>
      </c>
      <c r="Z3706" s="8">
        <v>0</v>
      </c>
      <c r="AA3706" s="7">
        <v>45929</v>
      </c>
      <c r="AC3706" s="8">
        <v>79</v>
      </c>
      <c r="AE3706" s="7">
        <v>45945</v>
      </c>
      <c r="AF3706" s="8">
        <v>79</v>
      </c>
      <c r="AH3706" s="7">
        <v>45945</v>
      </c>
      <c r="AI3706" s="7">
        <v>45943</v>
      </c>
      <c r="AN3706" s="8">
        <v>79</v>
      </c>
      <c r="AO3706" s="8">
        <v>11</v>
      </c>
    </row>
    <row r="3707" spans="1:41" x14ac:dyDescent="0.25">
      <c r="A3707" s="6" t="str">
        <f t="shared" si="922"/>
        <v>525-2025000434</v>
      </c>
      <c r="B3707" s="6" t="str">
        <f t="shared" si="903"/>
        <v>Lasa Int</v>
      </c>
      <c r="C3707" s="7">
        <v>45903</v>
      </c>
      <c r="D3707" s="7">
        <v>46065</v>
      </c>
      <c r="E3707" s="8">
        <v>5</v>
      </c>
      <c r="F3707" s="6" t="str">
        <f t="shared" si="916"/>
        <v>PURE R</v>
      </c>
      <c r="G3707" s="6" t="str">
        <f>"R010000635000000"</f>
        <v>R010000635000000</v>
      </c>
      <c r="H3707" s="6" t="str">
        <f>"Alexis Cotoral Pure"</f>
        <v>Alexis Cotoral Pure</v>
      </c>
      <c r="I3707" s="6" t="str">
        <f t="shared" si="923"/>
        <v>3</v>
      </c>
      <c r="J3707" s="6" t="str">
        <f t="shared" si="924"/>
        <v>PRETO Sulf</v>
      </c>
      <c r="K3707" s="6" t="str">
        <f>"5010"</f>
        <v>5010</v>
      </c>
      <c r="L3707" s="6" t="str">
        <f t="shared" si="921"/>
        <v>Roupões Adulto</v>
      </c>
      <c r="M3707" s="6" t="str">
        <f>"XXL"</f>
        <v>XXL</v>
      </c>
      <c r="N3707" s="6" t="str">
        <f>"5602972855678"</f>
        <v>5602972855678</v>
      </c>
      <c r="O3707" s="8">
        <v>48</v>
      </c>
      <c r="P3707" s="7">
        <v>45903</v>
      </c>
      <c r="R3707" s="8">
        <v>0</v>
      </c>
      <c r="S3707" s="7">
        <v>45908</v>
      </c>
      <c r="U3707" s="8">
        <v>0</v>
      </c>
      <c r="V3707" s="7">
        <v>45917</v>
      </c>
      <c r="X3707" s="8">
        <v>0</v>
      </c>
      <c r="Z3707" s="8">
        <v>0</v>
      </c>
      <c r="AA3707" s="7">
        <v>45929</v>
      </c>
      <c r="AC3707" s="8">
        <v>59</v>
      </c>
      <c r="AE3707" s="7">
        <v>45945</v>
      </c>
      <c r="AF3707" s="8">
        <v>59</v>
      </c>
      <c r="AH3707" s="7">
        <v>45945</v>
      </c>
      <c r="AI3707" s="7">
        <v>45943</v>
      </c>
      <c r="AN3707" s="8">
        <v>59</v>
      </c>
      <c r="AO3707" s="8">
        <v>-11</v>
      </c>
    </row>
    <row r="3708" spans="1:41" x14ac:dyDescent="0.25">
      <c r="A3708" s="6" t="str">
        <f t="shared" si="922"/>
        <v>525-2025000434</v>
      </c>
      <c r="B3708" s="6" t="str">
        <f t="shared" si="903"/>
        <v>Lasa Int</v>
      </c>
      <c r="C3708" s="7">
        <v>45903</v>
      </c>
      <c r="D3708" s="7">
        <v>46065</v>
      </c>
      <c r="E3708" s="8">
        <v>6</v>
      </c>
      <c r="F3708" s="6" t="str">
        <f t="shared" si="916"/>
        <v>PURE R</v>
      </c>
      <c r="G3708" s="6" t="str">
        <f>"R120203038500000"</f>
        <v>R120203038500000</v>
      </c>
      <c r="H3708" s="6" t="str">
        <f>"R 2030 - Ketten PURE"</f>
        <v>R 2030 - Ketten PURE</v>
      </c>
      <c r="I3708" s="6" t="str">
        <f t="shared" si="923"/>
        <v>3</v>
      </c>
      <c r="J3708" s="6" t="str">
        <f t="shared" si="924"/>
        <v>PRETO Sulf</v>
      </c>
      <c r="K3708" s="6" t="str">
        <f>"5002"</f>
        <v>5002</v>
      </c>
      <c r="L3708" s="6" t="str">
        <f t="shared" si="921"/>
        <v>Roupões Adulto</v>
      </c>
      <c r="M3708" s="6" t="str">
        <f>"S"</f>
        <v>S</v>
      </c>
      <c r="N3708" s="6" t="str">
        <f>"5605247609167"</f>
        <v>5605247609167</v>
      </c>
      <c r="O3708" s="8">
        <v>24</v>
      </c>
      <c r="P3708" s="7">
        <v>45903</v>
      </c>
      <c r="R3708" s="8">
        <v>0</v>
      </c>
      <c r="S3708" s="7">
        <v>45908</v>
      </c>
      <c r="U3708" s="8">
        <v>0</v>
      </c>
      <c r="V3708" s="7">
        <v>45917</v>
      </c>
      <c r="X3708" s="8">
        <v>0</v>
      </c>
      <c r="Z3708" s="8">
        <v>0</v>
      </c>
      <c r="AA3708" s="7">
        <v>45929</v>
      </c>
      <c r="AC3708" s="8">
        <v>0</v>
      </c>
      <c r="AE3708" s="7">
        <v>45945</v>
      </c>
      <c r="AF3708" s="8">
        <v>0</v>
      </c>
      <c r="AH3708" s="7">
        <v>45945</v>
      </c>
      <c r="AI3708" s="7">
        <v>45943</v>
      </c>
      <c r="AN3708" s="8">
        <v>0</v>
      </c>
      <c r="AO3708" s="8">
        <v>24</v>
      </c>
    </row>
    <row r="3709" spans="1:41" x14ac:dyDescent="0.25">
      <c r="A3709" s="6" t="str">
        <f t="shared" si="922"/>
        <v>525-2025000434</v>
      </c>
      <c r="B3709" s="6" t="str">
        <f t="shared" si="903"/>
        <v>Lasa Int</v>
      </c>
      <c r="C3709" s="7">
        <v>45903</v>
      </c>
      <c r="D3709" s="7">
        <v>46065</v>
      </c>
      <c r="E3709" s="8">
        <v>7</v>
      </c>
      <c r="F3709" s="6" t="str">
        <f t="shared" si="916"/>
        <v>PURE R</v>
      </c>
      <c r="G3709" s="6" t="str">
        <f>"R120203038500000"</f>
        <v>R120203038500000</v>
      </c>
      <c r="H3709" s="6" t="str">
        <f>"R 2030 - Ketten PURE"</f>
        <v>R 2030 - Ketten PURE</v>
      </c>
      <c r="I3709" s="6" t="str">
        <f t="shared" si="923"/>
        <v>3</v>
      </c>
      <c r="J3709" s="6" t="str">
        <f t="shared" si="924"/>
        <v>PRETO Sulf</v>
      </c>
      <c r="K3709" s="6" t="str">
        <f>"5004"</f>
        <v>5004</v>
      </c>
      <c r="L3709" s="6" t="str">
        <f t="shared" si="921"/>
        <v>Roupões Adulto</v>
      </c>
      <c r="M3709" s="6" t="str">
        <f>"M"</f>
        <v>M</v>
      </c>
      <c r="N3709" s="6" t="str">
        <f>"5605247609174"</f>
        <v>5605247609174</v>
      </c>
      <c r="O3709" s="8">
        <v>48</v>
      </c>
      <c r="P3709" s="7">
        <v>45903</v>
      </c>
      <c r="R3709" s="8">
        <v>0</v>
      </c>
      <c r="S3709" s="7">
        <v>45908</v>
      </c>
      <c r="U3709" s="8">
        <v>0</v>
      </c>
      <c r="V3709" s="7">
        <v>45917</v>
      </c>
      <c r="X3709" s="8">
        <v>0</v>
      </c>
      <c r="Z3709" s="8">
        <v>0</v>
      </c>
      <c r="AA3709" s="7">
        <v>45929</v>
      </c>
      <c r="AC3709" s="8">
        <v>0</v>
      </c>
      <c r="AE3709" s="7">
        <v>45945</v>
      </c>
      <c r="AF3709" s="8">
        <v>0</v>
      </c>
      <c r="AH3709" s="7">
        <v>45945</v>
      </c>
      <c r="AI3709" s="7">
        <v>45943</v>
      </c>
      <c r="AN3709" s="8">
        <v>0</v>
      </c>
      <c r="AO3709" s="8">
        <v>48</v>
      </c>
    </row>
    <row r="3710" spans="1:41" x14ac:dyDescent="0.25">
      <c r="A3710" s="6" t="str">
        <f t="shared" si="922"/>
        <v>525-2025000434</v>
      </c>
      <c r="B3710" s="6" t="str">
        <f t="shared" si="903"/>
        <v>Lasa Int</v>
      </c>
      <c r="C3710" s="7">
        <v>45903</v>
      </c>
      <c r="D3710" s="7">
        <v>46065</v>
      </c>
      <c r="E3710" s="8">
        <v>8</v>
      </c>
      <c r="F3710" s="6" t="str">
        <f t="shared" si="916"/>
        <v>PURE R</v>
      </c>
      <c r="G3710" s="6" t="str">
        <f>"R120203038500000"</f>
        <v>R120203038500000</v>
      </c>
      <c r="H3710" s="6" t="str">
        <f>"R 2030 - Ketten PURE"</f>
        <v>R 2030 - Ketten PURE</v>
      </c>
      <c r="I3710" s="6" t="str">
        <f t="shared" si="923"/>
        <v>3</v>
      </c>
      <c r="J3710" s="6" t="str">
        <f t="shared" si="924"/>
        <v>PRETO Sulf</v>
      </c>
      <c r="K3710" s="6" t="str">
        <f>"5006"</f>
        <v>5006</v>
      </c>
      <c r="L3710" s="6" t="str">
        <f t="shared" si="921"/>
        <v>Roupões Adulto</v>
      </c>
      <c r="M3710" s="6" t="str">
        <f>"L"</f>
        <v>L</v>
      </c>
      <c r="N3710" s="6" t="str">
        <f>"5605247609181"</f>
        <v>5605247609181</v>
      </c>
      <c r="O3710" s="8">
        <v>120</v>
      </c>
      <c r="P3710" s="7">
        <v>45903</v>
      </c>
      <c r="R3710" s="8">
        <v>0</v>
      </c>
      <c r="S3710" s="7">
        <v>45908</v>
      </c>
      <c r="U3710" s="8">
        <v>0</v>
      </c>
      <c r="V3710" s="7">
        <v>45917</v>
      </c>
      <c r="X3710" s="8">
        <v>0</v>
      </c>
      <c r="Z3710" s="8">
        <v>0</v>
      </c>
      <c r="AA3710" s="7">
        <v>45929</v>
      </c>
      <c r="AC3710" s="8">
        <v>0</v>
      </c>
      <c r="AE3710" s="7">
        <v>45945</v>
      </c>
      <c r="AF3710" s="8">
        <v>0</v>
      </c>
      <c r="AH3710" s="7">
        <v>45945</v>
      </c>
      <c r="AI3710" s="7">
        <v>45943</v>
      </c>
      <c r="AN3710" s="8">
        <v>0</v>
      </c>
      <c r="AO3710" s="8">
        <v>120</v>
      </c>
    </row>
    <row r="3711" spans="1:41" x14ac:dyDescent="0.25">
      <c r="A3711" s="6" t="str">
        <f t="shared" si="922"/>
        <v>525-2025000434</v>
      </c>
      <c r="B3711" s="6" t="str">
        <f t="shared" si="903"/>
        <v>Lasa Int</v>
      </c>
      <c r="C3711" s="7">
        <v>45903</v>
      </c>
      <c r="D3711" s="7">
        <v>46065</v>
      </c>
      <c r="E3711" s="8">
        <v>9</v>
      </c>
      <c r="F3711" s="6" t="str">
        <f t="shared" si="916"/>
        <v>PURE R</v>
      </c>
      <c r="G3711" s="6" t="str">
        <f>"R120203038500000"</f>
        <v>R120203038500000</v>
      </c>
      <c r="H3711" s="6" t="str">
        <f>"R 2030 - Ketten PURE"</f>
        <v>R 2030 - Ketten PURE</v>
      </c>
      <c r="I3711" s="6" t="str">
        <f t="shared" si="923"/>
        <v>3</v>
      </c>
      <c r="J3711" s="6" t="str">
        <f t="shared" si="924"/>
        <v>PRETO Sulf</v>
      </c>
      <c r="K3711" s="6" t="str">
        <f>"5008"</f>
        <v>5008</v>
      </c>
      <c r="L3711" s="6" t="str">
        <f t="shared" si="921"/>
        <v>Roupões Adulto</v>
      </c>
      <c r="M3711" s="6" t="str">
        <f>"XL"</f>
        <v>XL</v>
      </c>
      <c r="N3711" s="6" t="str">
        <f>"5605247609198"</f>
        <v>5605247609198</v>
      </c>
      <c r="O3711" s="8">
        <v>48</v>
      </c>
      <c r="P3711" s="7">
        <v>45903</v>
      </c>
      <c r="R3711" s="8">
        <v>0</v>
      </c>
      <c r="S3711" s="7">
        <v>45908</v>
      </c>
      <c r="U3711" s="8">
        <v>0</v>
      </c>
      <c r="V3711" s="7">
        <v>45917</v>
      </c>
      <c r="X3711" s="8">
        <v>0</v>
      </c>
      <c r="Z3711" s="8">
        <v>0</v>
      </c>
      <c r="AA3711" s="7">
        <v>45929</v>
      </c>
      <c r="AC3711" s="8">
        <v>0</v>
      </c>
      <c r="AE3711" s="7">
        <v>45945</v>
      </c>
      <c r="AF3711" s="8">
        <v>0</v>
      </c>
      <c r="AH3711" s="7">
        <v>45945</v>
      </c>
      <c r="AI3711" s="7">
        <v>45943</v>
      </c>
      <c r="AN3711" s="8">
        <v>0</v>
      </c>
      <c r="AO3711" s="8">
        <v>48</v>
      </c>
    </row>
    <row r="3712" spans="1:41" x14ac:dyDescent="0.25">
      <c r="A3712" s="6" t="str">
        <f t="shared" ref="A3712:A3720" si="925">"525-2025000435"</f>
        <v>525-2025000435</v>
      </c>
      <c r="B3712" s="6" t="str">
        <f t="shared" si="903"/>
        <v>Lasa Int</v>
      </c>
      <c r="C3712" s="7">
        <v>45903</v>
      </c>
      <c r="D3712" s="7">
        <v>46065</v>
      </c>
      <c r="E3712" s="8">
        <v>1</v>
      </c>
      <c r="F3712" s="6" t="str">
        <f t="shared" si="916"/>
        <v>PURE R</v>
      </c>
      <c r="G3712" s="6" t="str">
        <f>"R010000635000000"</f>
        <v>R010000635000000</v>
      </c>
      <c r="H3712" s="6" t="str">
        <f>"Alexis Cotoral Pure"</f>
        <v>Alexis Cotoral Pure</v>
      </c>
      <c r="I3712" s="6" t="str">
        <f t="shared" ref="I3712:I3720" si="926">"3235"</f>
        <v>3235</v>
      </c>
      <c r="J3712" s="6" t="str">
        <f t="shared" ref="J3712:J3720" si="927">"CINZA 3235"</f>
        <v>CINZA 3235</v>
      </c>
      <c r="K3712" s="6" t="str">
        <f>"5002"</f>
        <v>5002</v>
      </c>
      <c r="L3712" s="6" t="str">
        <f t="shared" si="921"/>
        <v>Roupões Adulto</v>
      </c>
      <c r="M3712" s="6" t="str">
        <f>"S"</f>
        <v>S</v>
      </c>
      <c r="N3712" s="6" t="str">
        <f>"5602972722406"</f>
        <v>5602972722406</v>
      </c>
      <c r="O3712" s="8">
        <v>36</v>
      </c>
      <c r="P3712" s="7">
        <v>45903</v>
      </c>
      <c r="R3712" s="8">
        <v>6750</v>
      </c>
      <c r="S3712" s="7">
        <v>45908</v>
      </c>
      <c r="U3712" s="8">
        <v>810</v>
      </c>
      <c r="V3712" s="7">
        <v>45917</v>
      </c>
      <c r="X3712" s="8">
        <v>810</v>
      </c>
      <c r="Z3712" s="8">
        <v>0</v>
      </c>
      <c r="AA3712" s="7">
        <v>45929</v>
      </c>
      <c r="AC3712" s="8">
        <v>0</v>
      </c>
      <c r="AE3712" s="7">
        <v>45945</v>
      </c>
      <c r="AF3712" s="8">
        <v>0</v>
      </c>
      <c r="AH3712" s="7">
        <v>45945</v>
      </c>
      <c r="AI3712" s="7">
        <v>45943</v>
      </c>
      <c r="AN3712" s="8">
        <v>0</v>
      </c>
      <c r="AO3712" s="8">
        <v>36</v>
      </c>
    </row>
    <row r="3713" spans="1:41" x14ac:dyDescent="0.25">
      <c r="A3713" s="6" t="str">
        <f t="shared" si="925"/>
        <v>525-2025000435</v>
      </c>
      <c r="B3713" s="6" t="str">
        <f t="shared" si="903"/>
        <v>Lasa Int</v>
      </c>
      <c r="C3713" s="7">
        <v>45903</v>
      </c>
      <c r="D3713" s="7">
        <v>46065</v>
      </c>
      <c r="E3713" s="8">
        <v>2</v>
      </c>
      <c r="F3713" s="6" t="str">
        <f t="shared" si="916"/>
        <v>PURE R</v>
      </c>
      <c r="G3713" s="6" t="str">
        <f>"R010000635000000"</f>
        <v>R010000635000000</v>
      </c>
      <c r="H3713" s="6" t="str">
        <f>"Alexis Cotoral Pure"</f>
        <v>Alexis Cotoral Pure</v>
      </c>
      <c r="I3713" s="6" t="str">
        <f t="shared" si="926"/>
        <v>3235</v>
      </c>
      <c r="J3713" s="6" t="str">
        <f t="shared" si="927"/>
        <v>CINZA 3235</v>
      </c>
      <c r="K3713" s="6" t="str">
        <f>"5004"</f>
        <v>5004</v>
      </c>
      <c r="L3713" s="6" t="str">
        <f t="shared" si="921"/>
        <v>Roupões Adulto</v>
      </c>
      <c r="M3713" s="6" t="str">
        <f>"M"</f>
        <v>M</v>
      </c>
      <c r="N3713" s="6" t="str">
        <f>"5602972722413"</f>
        <v>5602972722413</v>
      </c>
      <c r="O3713" s="8">
        <v>36</v>
      </c>
      <c r="P3713" s="7">
        <v>45903</v>
      </c>
      <c r="R3713" s="8">
        <v>0</v>
      </c>
      <c r="S3713" s="7">
        <v>45908</v>
      </c>
      <c r="U3713" s="8">
        <v>0</v>
      </c>
      <c r="V3713" s="7">
        <v>45917</v>
      </c>
      <c r="X3713" s="8">
        <v>0</v>
      </c>
      <c r="Z3713" s="8">
        <v>0</v>
      </c>
      <c r="AA3713" s="7">
        <v>45929</v>
      </c>
      <c r="AC3713" s="8">
        <v>0</v>
      </c>
      <c r="AE3713" s="7">
        <v>45945</v>
      </c>
      <c r="AF3713" s="8">
        <v>0</v>
      </c>
      <c r="AH3713" s="7">
        <v>45945</v>
      </c>
      <c r="AI3713" s="7">
        <v>45943</v>
      </c>
      <c r="AN3713" s="8">
        <v>0</v>
      </c>
      <c r="AO3713" s="8">
        <v>36</v>
      </c>
    </row>
    <row r="3714" spans="1:41" x14ac:dyDescent="0.25">
      <c r="A3714" s="6" t="str">
        <f t="shared" si="925"/>
        <v>525-2025000435</v>
      </c>
      <c r="B3714" s="6" t="str">
        <f t="shared" ref="B3714:B3777" si="928">"Lasa Int"</f>
        <v>Lasa Int</v>
      </c>
      <c r="C3714" s="7">
        <v>45903</v>
      </c>
      <c r="D3714" s="7">
        <v>46065</v>
      </c>
      <c r="E3714" s="8">
        <v>3</v>
      </c>
      <c r="F3714" s="6" t="str">
        <f t="shared" si="916"/>
        <v>PURE R</v>
      </c>
      <c r="G3714" s="6" t="str">
        <f>"R010000635000000"</f>
        <v>R010000635000000</v>
      </c>
      <c r="H3714" s="6" t="str">
        <f>"Alexis Cotoral Pure"</f>
        <v>Alexis Cotoral Pure</v>
      </c>
      <c r="I3714" s="6" t="str">
        <f t="shared" si="926"/>
        <v>3235</v>
      </c>
      <c r="J3714" s="6" t="str">
        <f t="shared" si="927"/>
        <v>CINZA 3235</v>
      </c>
      <c r="K3714" s="6" t="str">
        <f>"5006"</f>
        <v>5006</v>
      </c>
      <c r="L3714" s="6" t="str">
        <f t="shared" si="921"/>
        <v>Roupões Adulto</v>
      </c>
      <c r="M3714" s="6" t="str">
        <f>"L"</f>
        <v>L</v>
      </c>
      <c r="N3714" s="6" t="str">
        <f>"5602972722420"</f>
        <v>5602972722420</v>
      </c>
      <c r="O3714" s="8">
        <v>60</v>
      </c>
      <c r="P3714" s="7">
        <v>45903</v>
      </c>
      <c r="R3714" s="8">
        <v>0</v>
      </c>
      <c r="S3714" s="7">
        <v>45908</v>
      </c>
      <c r="U3714" s="8">
        <v>0</v>
      </c>
      <c r="V3714" s="7">
        <v>45917</v>
      </c>
      <c r="X3714" s="8">
        <v>0</v>
      </c>
      <c r="Z3714" s="8">
        <v>0</v>
      </c>
      <c r="AA3714" s="7">
        <v>45929</v>
      </c>
      <c r="AC3714" s="8">
        <v>0</v>
      </c>
      <c r="AE3714" s="7">
        <v>45945</v>
      </c>
      <c r="AF3714" s="8">
        <v>0</v>
      </c>
      <c r="AH3714" s="7">
        <v>45945</v>
      </c>
      <c r="AI3714" s="7">
        <v>45943</v>
      </c>
      <c r="AN3714" s="8">
        <v>0</v>
      </c>
      <c r="AO3714" s="8">
        <v>60</v>
      </c>
    </row>
    <row r="3715" spans="1:41" x14ac:dyDescent="0.25">
      <c r="A3715" s="6" t="str">
        <f t="shared" si="925"/>
        <v>525-2025000435</v>
      </c>
      <c r="B3715" s="6" t="str">
        <f t="shared" si="928"/>
        <v>Lasa Int</v>
      </c>
      <c r="C3715" s="7">
        <v>45903</v>
      </c>
      <c r="D3715" s="7">
        <v>46065</v>
      </c>
      <c r="E3715" s="8">
        <v>4</v>
      </c>
      <c r="F3715" s="6" t="str">
        <f t="shared" si="916"/>
        <v>PURE R</v>
      </c>
      <c r="G3715" s="6" t="str">
        <f>"R010000635000000"</f>
        <v>R010000635000000</v>
      </c>
      <c r="H3715" s="6" t="str">
        <f>"Alexis Cotoral Pure"</f>
        <v>Alexis Cotoral Pure</v>
      </c>
      <c r="I3715" s="6" t="str">
        <f t="shared" si="926"/>
        <v>3235</v>
      </c>
      <c r="J3715" s="6" t="str">
        <f t="shared" si="927"/>
        <v>CINZA 3235</v>
      </c>
      <c r="K3715" s="6" t="str">
        <f>"5008"</f>
        <v>5008</v>
      </c>
      <c r="L3715" s="6" t="str">
        <f t="shared" si="921"/>
        <v>Roupões Adulto</v>
      </c>
      <c r="M3715" s="6" t="str">
        <f>"XL"</f>
        <v>XL</v>
      </c>
      <c r="N3715" s="6" t="str">
        <f>"5602972722437"</f>
        <v>5602972722437</v>
      </c>
      <c r="O3715" s="8">
        <v>48</v>
      </c>
      <c r="P3715" s="7">
        <v>45903</v>
      </c>
      <c r="R3715" s="8">
        <v>0</v>
      </c>
      <c r="S3715" s="7">
        <v>45908</v>
      </c>
      <c r="U3715" s="8">
        <v>0</v>
      </c>
      <c r="V3715" s="7">
        <v>45917</v>
      </c>
      <c r="X3715" s="8">
        <v>0</v>
      </c>
      <c r="Z3715" s="8">
        <v>0</v>
      </c>
      <c r="AA3715" s="7">
        <v>45929</v>
      </c>
      <c r="AC3715" s="8">
        <v>0</v>
      </c>
      <c r="AE3715" s="7">
        <v>45945</v>
      </c>
      <c r="AF3715" s="8">
        <v>0</v>
      </c>
      <c r="AH3715" s="7">
        <v>45945</v>
      </c>
      <c r="AI3715" s="7">
        <v>45943</v>
      </c>
      <c r="AN3715" s="8">
        <v>0</v>
      </c>
      <c r="AO3715" s="8">
        <v>48</v>
      </c>
    </row>
    <row r="3716" spans="1:41" x14ac:dyDescent="0.25">
      <c r="A3716" s="6" t="str">
        <f t="shared" si="925"/>
        <v>525-2025000435</v>
      </c>
      <c r="B3716" s="6" t="str">
        <f t="shared" si="928"/>
        <v>Lasa Int</v>
      </c>
      <c r="C3716" s="7">
        <v>45903</v>
      </c>
      <c r="D3716" s="7">
        <v>46065</v>
      </c>
      <c r="E3716" s="8">
        <v>5</v>
      </c>
      <c r="F3716" s="6" t="str">
        <f t="shared" si="916"/>
        <v>PURE R</v>
      </c>
      <c r="G3716" s="6" t="str">
        <f>"R120327038500000"</f>
        <v>R120327038500000</v>
      </c>
      <c r="H3716" s="6" t="str">
        <f>"R 3270 - PURE Capuz"</f>
        <v>R 3270 - PURE Capuz</v>
      </c>
      <c r="I3716" s="6" t="str">
        <f t="shared" si="926"/>
        <v>3235</v>
      </c>
      <c r="J3716" s="6" t="str">
        <f t="shared" si="927"/>
        <v>CINZA 3235</v>
      </c>
      <c r="K3716" s="6" t="str">
        <f>"5002"</f>
        <v>5002</v>
      </c>
      <c r="L3716" s="6" t="str">
        <f t="shared" si="921"/>
        <v>Roupões Adulto</v>
      </c>
      <c r="M3716" s="6" t="str">
        <f>"S"</f>
        <v>S</v>
      </c>
      <c r="N3716" s="6" t="str">
        <f>"5602972645507"</f>
        <v>5602972645507</v>
      </c>
      <c r="O3716" s="8">
        <v>12</v>
      </c>
      <c r="P3716" s="7">
        <v>45903</v>
      </c>
      <c r="R3716" s="8">
        <v>0</v>
      </c>
      <c r="S3716" s="7">
        <v>45908</v>
      </c>
      <c r="U3716" s="8">
        <v>0</v>
      </c>
      <c r="V3716" s="7">
        <v>45917</v>
      </c>
      <c r="X3716" s="8">
        <v>0</v>
      </c>
      <c r="Z3716" s="8">
        <v>0</v>
      </c>
      <c r="AA3716" s="7">
        <v>45929</v>
      </c>
      <c r="AC3716" s="8">
        <v>0</v>
      </c>
      <c r="AE3716" s="7">
        <v>45945</v>
      </c>
      <c r="AF3716" s="8">
        <v>0</v>
      </c>
      <c r="AH3716" s="7">
        <v>45945</v>
      </c>
      <c r="AI3716" s="7">
        <v>45943</v>
      </c>
      <c r="AN3716" s="8">
        <v>0</v>
      </c>
      <c r="AO3716" s="8">
        <v>12</v>
      </c>
    </row>
    <row r="3717" spans="1:41" x14ac:dyDescent="0.25">
      <c r="A3717" s="6" t="str">
        <f t="shared" si="925"/>
        <v>525-2025000435</v>
      </c>
      <c r="B3717" s="6" t="str">
        <f t="shared" si="928"/>
        <v>Lasa Int</v>
      </c>
      <c r="C3717" s="7">
        <v>45903</v>
      </c>
      <c r="D3717" s="7">
        <v>46065</v>
      </c>
      <c r="E3717" s="8">
        <v>6</v>
      </c>
      <c r="F3717" s="6" t="str">
        <f t="shared" si="916"/>
        <v>PURE R</v>
      </c>
      <c r="G3717" s="6" t="str">
        <f>"R120327038500000"</f>
        <v>R120327038500000</v>
      </c>
      <c r="H3717" s="6" t="str">
        <f>"R 3270 - PURE Capuz"</f>
        <v>R 3270 - PURE Capuz</v>
      </c>
      <c r="I3717" s="6" t="str">
        <f t="shared" si="926"/>
        <v>3235</v>
      </c>
      <c r="J3717" s="6" t="str">
        <f t="shared" si="927"/>
        <v>CINZA 3235</v>
      </c>
      <c r="K3717" s="6" t="str">
        <f>"5004"</f>
        <v>5004</v>
      </c>
      <c r="L3717" s="6" t="str">
        <f t="shared" si="921"/>
        <v>Roupões Adulto</v>
      </c>
      <c r="M3717" s="6" t="str">
        <f>"M"</f>
        <v>M</v>
      </c>
      <c r="N3717" s="6" t="str">
        <f>"5602972645514"</f>
        <v>5602972645514</v>
      </c>
      <c r="O3717" s="8">
        <v>36</v>
      </c>
      <c r="P3717" s="7">
        <v>45903</v>
      </c>
      <c r="R3717" s="8">
        <v>0</v>
      </c>
      <c r="S3717" s="7">
        <v>45908</v>
      </c>
      <c r="U3717" s="8">
        <v>0</v>
      </c>
      <c r="V3717" s="7">
        <v>45917</v>
      </c>
      <c r="X3717" s="8">
        <v>0</v>
      </c>
      <c r="Z3717" s="8">
        <v>0</v>
      </c>
      <c r="AA3717" s="7">
        <v>45929</v>
      </c>
      <c r="AC3717" s="8">
        <v>0</v>
      </c>
      <c r="AE3717" s="7">
        <v>45945</v>
      </c>
      <c r="AF3717" s="8">
        <v>0</v>
      </c>
      <c r="AH3717" s="7">
        <v>45945</v>
      </c>
      <c r="AI3717" s="7">
        <v>45943</v>
      </c>
      <c r="AN3717" s="8">
        <v>0</v>
      </c>
      <c r="AO3717" s="8">
        <v>36</v>
      </c>
    </row>
    <row r="3718" spans="1:41" x14ac:dyDescent="0.25">
      <c r="A3718" s="6" t="str">
        <f t="shared" si="925"/>
        <v>525-2025000435</v>
      </c>
      <c r="B3718" s="6" t="str">
        <f t="shared" si="928"/>
        <v>Lasa Int</v>
      </c>
      <c r="C3718" s="7">
        <v>45903</v>
      </c>
      <c r="D3718" s="7">
        <v>46065</v>
      </c>
      <c r="E3718" s="8">
        <v>7</v>
      </c>
      <c r="F3718" s="6" t="str">
        <f t="shared" si="916"/>
        <v>PURE R</v>
      </c>
      <c r="G3718" s="6" t="str">
        <f>"R120327038500000"</f>
        <v>R120327038500000</v>
      </c>
      <c r="H3718" s="6" t="str">
        <f>"R 3270 - PURE Capuz"</f>
        <v>R 3270 - PURE Capuz</v>
      </c>
      <c r="I3718" s="6" t="str">
        <f t="shared" si="926"/>
        <v>3235</v>
      </c>
      <c r="J3718" s="6" t="str">
        <f t="shared" si="927"/>
        <v>CINZA 3235</v>
      </c>
      <c r="K3718" s="6" t="str">
        <f>"5006"</f>
        <v>5006</v>
      </c>
      <c r="L3718" s="6" t="str">
        <f t="shared" si="921"/>
        <v>Roupões Adulto</v>
      </c>
      <c r="M3718" s="6" t="str">
        <f>"L"</f>
        <v>L</v>
      </c>
      <c r="N3718" s="6" t="str">
        <f>"5602972645521"</f>
        <v>5602972645521</v>
      </c>
      <c r="O3718" s="8">
        <v>24</v>
      </c>
      <c r="P3718" s="7">
        <v>45903</v>
      </c>
      <c r="R3718" s="8">
        <v>0</v>
      </c>
      <c r="S3718" s="7">
        <v>45908</v>
      </c>
      <c r="U3718" s="8">
        <v>0</v>
      </c>
      <c r="V3718" s="7">
        <v>45917</v>
      </c>
      <c r="X3718" s="8">
        <v>0</v>
      </c>
      <c r="Z3718" s="8">
        <v>0</v>
      </c>
      <c r="AA3718" s="7">
        <v>45929</v>
      </c>
      <c r="AC3718" s="8">
        <v>0</v>
      </c>
      <c r="AE3718" s="7">
        <v>45945</v>
      </c>
      <c r="AF3718" s="8">
        <v>0</v>
      </c>
      <c r="AH3718" s="7">
        <v>45945</v>
      </c>
      <c r="AI3718" s="7">
        <v>45943</v>
      </c>
      <c r="AN3718" s="8">
        <v>0</v>
      </c>
      <c r="AO3718" s="8">
        <v>24</v>
      </c>
    </row>
    <row r="3719" spans="1:41" x14ac:dyDescent="0.25">
      <c r="A3719" s="6" t="str">
        <f t="shared" si="925"/>
        <v>525-2025000435</v>
      </c>
      <c r="B3719" s="6" t="str">
        <f t="shared" si="928"/>
        <v>Lasa Int</v>
      </c>
      <c r="C3719" s="7">
        <v>45903</v>
      </c>
      <c r="D3719" s="7">
        <v>46065</v>
      </c>
      <c r="E3719" s="8">
        <v>8</v>
      </c>
      <c r="F3719" s="6" t="str">
        <f t="shared" si="916"/>
        <v>PURE R</v>
      </c>
      <c r="G3719" s="6" t="str">
        <f>"R120327038500000"</f>
        <v>R120327038500000</v>
      </c>
      <c r="H3719" s="6" t="str">
        <f>"R 3270 - PURE Capuz"</f>
        <v>R 3270 - PURE Capuz</v>
      </c>
      <c r="I3719" s="6" t="str">
        <f t="shared" si="926"/>
        <v>3235</v>
      </c>
      <c r="J3719" s="6" t="str">
        <f t="shared" si="927"/>
        <v>CINZA 3235</v>
      </c>
      <c r="K3719" s="6" t="str">
        <f>"5008"</f>
        <v>5008</v>
      </c>
      <c r="L3719" s="6" t="str">
        <f t="shared" si="921"/>
        <v>Roupões Adulto</v>
      </c>
      <c r="M3719" s="6" t="str">
        <f>"XL"</f>
        <v>XL</v>
      </c>
      <c r="N3719" s="6" t="str">
        <f>"5602972645538"</f>
        <v>5602972645538</v>
      </c>
      <c r="O3719" s="8">
        <v>24</v>
      </c>
      <c r="P3719" s="7">
        <v>45903</v>
      </c>
      <c r="R3719" s="8">
        <v>0</v>
      </c>
      <c r="S3719" s="7">
        <v>45908</v>
      </c>
      <c r="U3719" s="8">
        <v>0</v>
      </c>
      <c r="V3719" s="7">
        <v>45917</v>
      </c>
      <c r="X3719" s="8">
        <v>0</v>
      </c>
      <c r="Z3719" s="8">
        <v>0</v>
      </c>
      <c r="AA3719" s="7">
        <v>45929</v>
      </c>
      <c r="AC3719" s="8">
        <v>0</v>
      </c>
      <c r="AE3719" s="7">
        <v>45945</v>
      </c>
      <c r="AF3719" s="8">
        <v>0</v>
      </c>
      <c r="AH3719" s="7">
        <v>45945</v>
      </c>
      <c r="AI3719" s="7">
        <v>45943</v>
      </c>
      <c r="AN3719" s="8">
        <v>0</v>
      </c>
      <c r="AO3719" s="8">
        <v>24</v>
      </c>
    </row>
    <row r="3720" spans="1:41" x14ac:dyDescent="0.25">
      <c r="A3720" s="6" t="str">
        <f t="shared" si="925"/>
        <v>525-2025000435</v>
      </c>
      <c r="B3720" s="6" t="str">
        <f t="shared" si="928"/>
        <v>Lasa Int</v>
      </c>
      <c r="C3720" s="7">
        <v>45903</v>
      </c>
      <c r="D3720" s="7">
        <v>46065</v>
      </c>
      <c r="E3720" s="8">
        <v>9</v>
      </c>
      <c r="F3720" s="6" t="str">
        <f t="shared" si="916"/>
        <v>PURE R</v>
      </c>
      <c r="G3720" s="6" t="str">
        <f>"R120327038500000"</f>
        <v>R120327038500000</v>
      </c>
      <c r="H3720" s="6" t="str">
        <f>"R 3270 - PURE Capuz"</f>
        <v>R 3270 - PURE Capuz</v>
      </c>
      <c r="I3720" s="6" t="str">
        <f t="shared" si="926"/>
        <v>3235</v>
      </c>
      <c r="J3720" s="6" t="str">
        <f t="shared" si="927"/>
        <v>CINZA 3235</v>
      </c>
      <c r="K3720" s="6" t="str">
        <f>"5010"</f>
        <v>5010</v>
      </c>
      <c r="L3720" s="6" t="str">
        <f t="shared" si="921"/>
        <v>Roupões Adulto</v>
      </c>
      <c r="M3720" s="6" t="str">
        <f>"XXL"</f>
        <v>XXL</v>
      </c>
      <c r="N3720" s="6" t="str">
        <f>"5602972645545"</f>
        <v>5602972645545</v>
      </c>
      <c r="O3720" s="8">
        <v>12</v>
      </c>
      <c r="P3720" s="7">
        <v>45903</v>
      </c>
      <c r="R3720" s="8">
        <v>0</v>
      </c>
      <c r="S3720" s="7">
        <v>45908</v>
      </c>
      <c r="U3720" s="8">
        <v>0</v>
      </c>
      <c r="V3720" s="7">
        <v>45917</v>
      </c>
      <c r="X3720" s="8">
        <v>0</v>
      </c>
      <c r="Z3720" s="8">
        <v>0</v>
      </c>
      <c r="AA3720" s="7">
        <v>45929</v>
      </c>
      <c r="AC3720" s="8">
        <v>0</v>
      </c>
      <c r="AE3720" s="7">
        <v>45945</v>
      </c>
      <c r="AF3720" s="8">
        <v>0</v>
      </c>
      <c r="AH3720" s="7">
        <v>45945</v>
      </c>
      <c r="AI3720" s="7">
        <v>45943</v>
      </c>
      <c r="AN3720" s="8">
        <v>0</v>
      </c>
      <c r="AO3720" s="8">
        <v>12</v>
      </c>
    </row>
    <row r="3721" spans="1:41" x14ac:dyDescent="0.25">
      <c r="A3721" s="6" t="str">
        <f t="shared" ref="A3721:A3732" si="929">"525-2025000439"</f>
        <v>525-2025000439</v>
      </c>
      <c r="B3721" s="6" t="str">
        <f t="shared" si="928"/>
        <v>Lasa Int</v>
      </c>
      <c r="C3721" s="7">
        <v>45905</v>
      </c>
      <c r="D3721" s="7">
        <v>46037</v>
      </c>
      <c r="E3721" s="8">
        <v>1</v>
      </c>
      <c r="F3721" s="6" t="str">
        <f t="shared" ref="F3721:F3732" si="930">"Pure Light"</f>
        <v>Pure Light</v>
      </c>
      <c r="G3721" s="6" t="str">
        <f t="shared" ref="G3721:G3732" si="931">"F300369750000000"</f>
        <v>F300369750000000</v>
      </c>
      <c r="H3721" s="6" t="str">
        <f t="shared" ref="H3721:H3732" si="932">"PLR 3697 - 500 g/m²"</f>
        <v>PLR 3697 - 500 g/m²</v>
      </c>
      <c r="I3721" s="6" t="str">
        <f>"203842"</f>
        <v>203842</v>
      </c>
      <c r="J3721" s="6" t="str">
        <f>"CINZA 3842"</f>
        <v>CINZA 3842</v>
      </c>
      <c r="K3721" s="6" t="str">
        <f>"1024"</f>
        <v>1024</v>
      </c>
      <c r="L3721" s="6" t="str">
        <f>"Toalhas"</f>
        <v>Toalhas</v>
      </c>
      <c r="M3721" s="6" t="str">
        <f>"50x100"</f>
        <v>50x100</v>
      </c>
      <c r="N3721" s="6" t="str">
        <f>"5602972511802"</f>
        <v>5602972511802</v>
      </c>
      <c r="O3721" s="8">
        <v>600</v>
      </c>
      <c r="P3721" s="7">
        <v>45961</v>
      </c>
      <c r="R3721" s="8">
        <v>644</v>
      </c>
      <c r="S3721" s="7">
        <v>45966</v>
      </c>
      <c r="U3721" s="8">
        <v>644</v>
      </c>
      <c r="V3721" s="7">
        <v>45979</v>
      </c>
      <c r="X3721" s="8">
        <v>0</v>
      </c>
      <c r="Z3721" s="8">
        <v>644</v>
      </c>
      <c r="AA3721" s="7">
        <v>45994</v>
      </c>
      <c r="AC3721" s="8">
        <v>340</v>
      </c>
      <c r="AE3721" s="7">
        <v>46000</v>
      </c>
      <c r="AF3721" s="8">
        <v>340</v>
      </c>
      <c r="AH3721" s="7">
        <v>45989</v>
      </c>
      <c r="AN3721" s="8">
        <v>340</v>
      </c>
      <c r="AO3721" s="8">
        <v>260</v>
      </c>
    </row>
    <row r="3722" spans="1:41" x14ac:dyDescent="0.25">
      <c r="A3722" s="6" t="str">
        <f t="shared" si="929"/>
        <v>525-2025000439</v>
      </c>
      <c r="B3722" s="6" t="str">
        <f t="shared" si="928"/>
        <v>Lasa Int</v>
      </c>
      <c r="C3722" s="7">
        <v>45905</v>
      </c>
      <c r="D3722" s="7">
        <v>46037</v>
      </c>
      <c r="E3722" s="8">
        <v>2</v>
      </c>
      <c r="F3722" s="6" t="str">
        <f t="shared" si="930"/>
        <v>Pure Light</v>
      </c>
      <c r="G3722" s="6" t="str">
        <f t="shared" si="931"/>
        <v>F300369750000000</v>
      </c>
      <c r="H3722" s="6" t="str">
        <f t="shared" si="932"/>
        <v>PLR 3697 - 500 g/m²</v>
      </c>
      <c r="I3722" s="6" t="str">
        <f>"203842"</f>
        <v>203842</v>
      </c>
      <c r="J3722" s="6" t="str">
        <f>"CINZA 3842"</f>
        <v>CINZA 3842</v>
      </c>
      <c r="K3722" s="6" t="str">
        <f>"1535"</f>
        <v>1535</v>
      </c>
      <c r="L3722" s="6" t="str">
        <f>"Toalhões"</f>
        <v>Toalhões</v>
      </c>
      <c r="M3722" s="6" t="str">
        <f>"70x140"</f>
        <v>70x140</v>
      </c>
      <c r="N3722" s="6" t="str">
        <f>"5602972511819"</f>
        <v>5602972511819</v>
      </c>
      <c r="O3722" s="8">
        <v>320</v>
      </c>
      <c r="P3722" s="7">
        <v>45961</v>
      </c>
      <c r="R3722" s="8">
        <v>357</v>
      </c>
      <c r="S3722" s="7">
        <v>45966</v>
      </c>
      <c r="U3722" s="8">
        <v>357</v>
      </c>
      <c r="V3722" s="7">
        <v>45979</v>
      </c>
      <c r="X3722" s="8">
        <v>0</v>
      </c>
      <c r="Z3722" s="8">
        <v>357</v>
      </c>
      <c r="AA3722" s="7">
        <v>45994</v>
      </c>
      <c r="AC3722" s="8">
        <v>216</v>
      </c>
      <c r="AE3722" s="7">
        <v>46000</v>
      </c>
      <c r="AF3722" s="8">
        <v>216</v>
      </c>
      <c r="AH3722" s="7">
        <v>45989</v>
      </c>
      <c r="AN3722" s="8">
        <v>216</v>
      </c>
      <c r="AO3722" s="8">
        <v>104</v>
      </c>
    </row>
    <row r="3723" spans="1:41" x14ac:dyDescent="0.25">
      <c r="A3723" s="6" t="str">
        <f t="shared" si="929"/>
        <v>525-2025000439</v>
      </c>
      <c r="B3723" s="6" t="str">
        <f t="shared" si="928"/>
        <v>Lasa Int</v>
      </c>
      <c r="C3723" s="7">
        <v>45905</v>
      </c>
      <c r="D3723" s="7">
        <v>46037</v>
      </c>
      <c r="E3723" s="8">
        <v>3</v>
      </c>
      <c r="F3723" s="6" t="str">
        <f t="shared" si="930"/>
        <v>Pure Light</v>
      </c>
      <c r="G3723" s="6" t="str">
        <f t="shared" si="931"/>
        <v>F300369750000000</v>
      </c>
      <c r="H3723" s="6" t="str">
        <f t="shared" si="932"/>
        <v>PLR 3697 - 500 g/m²</v>
      </c>
      <c r="I3723" s="6" t="str">
        <f>"203845"</f>
        <v>203845</v>
      </c>
      <c r="J3723" s="6" t="str">
        <f>"CASTANHO 3845"</f>
        <v>CASTANHO 3845</v>
      </c>
      <c r="K3723" s="6" t="str">
        <f>"1024"</f>
        <v>1024</v>
      </c>
      <c r="L3723" s="6" t="str">
        <f>"Toalhas"</f>
        <v>Toalhas</v>
      </c>
      <c r="M3723" s="6" t="str">
        <f>"50x100"</f>
        <v>50x100</v>
      </c>
      <c r="N3723" s="6" t="str">
        <f>"5602972511857"</f>
        <v>5602972511857</v>
      </c>
      <c r="O3723" s="8">
        <v>480</v>
      </c>
      <c r="P3723" s="7">
        <v>45961</v>
      </c>
      <c r="R3723" s="8">
        <v>520</v>
      </c>
      <c r="S3723" s="7">
        <v>45966</v>
      </c>
      <c r="U3723" s="8">
        <v>520</v>
      </c>
      <c r="V3723" s="7">
        <v>45979</v>
      </c>
      <c r="X3723" s="8">
        <v>0</v>
      </c>
      <c r="Z3723" s="8">
        <v>520</v>
      </c>
      <c r="AA3723" s="7">
        <v>45994</v>
      </c>
      <c r="AC3723" s="8">
        <v>6</v>
      </c>
      <c r="AE3723" s="7">
        <v>46000</v>
      </c>
      <c r="AF3723" s="8">
        <v>6</v>
      </c>
      <c r="AH3723" s="7">
        <v>45989</v>
      </c>
      <c r="AN3723" s="8">
        <v>6</v>
      </c>
      <c r="AO3723" s="8">
        <v>474</v>
      </c>
    </row>
    <row r="3724" spans="1:41" x14ac:dyDescent="0.25">
      <c r="A3724" s="6" t="str">
        <f t="shared" si="929"/>
        <v>525-2025000439</v>
      </c>
      <c r="B3724" s="6" t="str">
        <f t="shared" si="928"/>
        <v>Lasa Int</v>
      </c>
      <c r="C3724" s="7">
        <v>45905</v>
      </c>
      <c r="D3724" s="7">
        <v>46037</v>
      </c>
      <c r="E3724" s="8">
        <v>4</v>
      </c>
      <c r="F3724" s="6" t="str">
        <f t="shared" si="930"/>
        <v>Pure Light</v>
      </c>
      <c r="G3724" s="6" t="str">
        <f t="shared" si="931"/>
        <v>F300369750000000</v>
      </c>
      <c r="H3724" s="6" t="str">
        <f t="shared" si="932"/>
        <v>PLR 3697 - 500 g/m²</v>
      </c>
      <c r="I3724" s="6" t="str">
        <f>"203845"</f>
        <v>203845</v>
      </c>
      <c r="J3724" s="6" t="str">
        <f>"CASTANHO 3845"</f>
        <v>CASTANHO 3845</v>
      </c>
      <c r="K3724" s="6" t="str">
        <f>"1535"</f>
        <v>1535</v>
      </c>
      <c r="L3724" s="6" t="str">
        <f>"Toalhões"</f>
        <v>Toalhões</v>
      </c>
      <c r="M3724" s="6" t="str">
        <f>"70x140"</f>
        <v>70x140</v>
      </c>
      <c r="N3724" s="6" t="str">
        <f>"5602972511864"</f>
        <v>5602972511864</v>
      </c>
      <c r="O3724" s="8">
        <v>320</v>
      </c>
      <c r="P3724" s="7">
        <v>45961</v>
      </c>
      <c r="R3724" s="8">
        <v>285</v>
      </c>
      <c r="S3724" s="7">
        <v>45966</v>
      </c>
      <c r="U3724" s="8">
        <v>375</v>
      </c>
      <c r="V3724" s="7">
        <v>45979</v>
      </c>
      <c r="X3724" s="8">
        <v>0</v>
      </c>
      <c r="Z3724" s="8">
        <v>375</v>
      </c>
      <c r="AA3724" s="7">
        <v>45994</v>
      </c>
      <c r="AC3724" s="8">
        <v>327</v>
      </c>
      <c r="AE3724" s="7">
        <v>46000</v>
      </c>
      <c r="AF3724" s="8">
        <v>327</v>
      </c>
      <c r="AH3724" s="7">
        <v>45989</v>
      </c>
      <c r="AN3724" s="8">
        <v>327</v>
      </c>
      <c r="AO3724" s="8">
        <v>-7</v>
      </c>
    </row>
    <row r="3725" spans="1:41" x14ac:dyDescent="0.25">
      <c r="A3725" s="6" t="str">
        <f t="shared" si="929"/>
        <v>525-2025000439</v>
      </c>
      <c r="B3725" s="6" t="str">
        <f t="shared" si="928"/>
        <v>Lasa Int</v>
      </c>
      <c r="C3725" s="7">
        <v>45905</v>
      </c>
      <c r="D3725" s="7">
        <v>46037</v>
      </c>
      <c r="E3725" s="8">
        <v>5</v>
      </c>
      <c r="F3725" s="6" t="str">
        <f t="shared" si="930"/>
        <v>Pure Light</v>
      </c>
      <c r="G3725" s="6" t="str">
        <f t="shared" si="931"/>
        <v>F300369750000000</v>
      </c>
      <c r="H3725" s="6" t="str">
        <f t="shared" si="932"/>
        <v>PLR 3697 - 500 g/m²</v>
      </c>
      <c r="I3725" s="6" t="str">
        <f>"203874"</f>
        <v>203874</v>
      </c>
      <c r="J3725" s="6" t="str">
        <f>"VERDE 3874"</f>
        <v>VERDE 3874</v>
      </c>
      <c r="K3725" s="6" t="str">
        <f>"0530"</f>
        <v>0530</v>
      </c>
      <c r="L3725" s="6" t="str">
        <f>"Toalhetes"</f>
        <v>Toalhetes</v>
      </c>
      <c r="M3725" s="6" t="str">
        <f>"33x50"</f>
        <v>33x50</v>
      </c>
      <c r="N3725" s="6" t="str">
        <f>"5602972511895"</f>
        <v>5602972511895</v>
      </c>
      <c r="O3725" s="8">
        <v>240</v>
      </c>
      <c r="P3725" s="7">
        <v>45961</v>
      </c>
      <c r="R3725" s="8">
        <v>264</v>
      </c>
      <c r="S3725" s="7">
        <v>45966</v>
      </c>
      <c r="U3725" s="8">
        <v>264</v>
      </c>
      <c r="V3725" s="7">
        <v>45979</v>
      </c>
      <c r="X3725" s="8">
        <v>0</v>
      </c>
      <c r="Z3725" s="8">
        <v>264</v>
      </c>
      <c r="AA3725" s="7">
        <v>45994</v>
      </c>
      <c r="AC3725" s="8">
        <v>240</v>
      </c>
      <c r="AE3725" s="7">
        <v>46000</v>
      </c>
      <c r="AF3725" s="8">
        <v>240</v>
      </c>
      <c r="AH3725" s="7">
        <v>45989</v>
      </c>
      <c r="AN3725" s="8">
        <v>240</v>
      </c>
      <c r="AO3725" s="8">
        <v>0</v>
      </c>
    </row>
    <row r="3726" spans="1:41" x14ac:dyDescent="0.25">
      <c r="A3726" s="6" t="str">
        <f t="shared" si="929"/>
        <v>525-2025000439</v>
      </c>
      <c r="B3726" s="6" t="str">
        <f t="shared" si="928"/>
        <v>Lasa Int</v>
      </c>
      <c r="C3726" s="7">
        <v>45905</v>
      </c>
      <c r="D3726" s="7">
        <v>46037</v>
      </c>
      <c r="E3726" s="8">
        <v>6</v>
      </c>
      <c r="F3726" s="6" t="str">
        <f t="shared" si="930"/>
        <v>Pure Light</v>
      </c>
      <c r="G3726" s="6" t="str">
        <f t="shared" si="931"/>
        <v>F300369750000000</v>
      </c>
      <c r="H3726" s="6" t="str">
        <f t="shared" si="932"/>
        <v>PLR 3697 - 500 g/m²</v>
      </c>
      <c r="I3726" s="6" t="str">
        <f>"203874"</f>
        <v>203874</v>
      </c>
      <c r="J3726" s="6" t="str">
        <f>"VERDE 3874"</f>
        <v>VERDE 3874</v>
      </c>
      <c r="K3726" s="6" t="str">
        <f>"1024"</f>
        <v>1024</v>
      </c>
      <c r="L3726" s="6" t="str">
        <f>"Toalhas"</f>
        <v>Toalhas</v>
      </c>
      <c r="M3726" s="6" t="str">
        <f>"50x100"</f>
        <v>50x100</v>
      </c>
      <c r="N3726" s="6" t="str">
        <f>"5602972511901"</f>
        <v>5602972511901</v>
      </c>
      <c r="O3726" s="8">
        <v>420</v>
      </c>
      <c r="P3726" s="7">
        <v>45961</v>
      </c>
      <c r="R3726" s="8">
        <v>456</v>
      </c>
      <c r="S3726" s="7">
        <v>45966</v>
      </c>
      <c r="U3726" s="8">
        <v>456</v>
      </c>
      <c r="V3726" s="7">
        <v>45979</v>
      </c>
      <c r="X3726" s="8">
        <v>0</v>
      </c>
      <c r="Z3726" s="8">
        <v>456</v>
      </c>
      <c r="AA3726" s="7">
        <v>45994</v>
      </c>
      <c r="AC3726" s="8">
        <v>4</v>
      </c>
      <c r="AE3726" s="7">
        <v>46000</v>
      </c>
      <c r="AF3726" s="8">
        <v>4</v>
      </c>
      <c r="AH3726" s="7">
        <v>45989</v>
      </c>
      <c r="AN3726" s="8">
        <v>4</v>
      </c>
      <c r="AO3726" s="8">
        <v>416</v>
      </c>
    </row>
    <row r="3727" spans="1:41" x14ac:dyDescent="0.25">
      <c r="A3727" s="6" t="str">
        <f t="shared" si="929"/>
        <v>525-2025000439</v>
      </c>
      <c r="B3727" s="6" t="str">
        <f t="shared" si="928"/>
        <v>Lasa Int</v>
      </c>
      <c r="C3727" s="7">
        <v>45905</v>
      </c>
      <c r="D3727" s="7">
        <v>46037</v>
      </c>
      <c r="E3727" s="8">
        <v>7</v>
      </c>
      <c r="F3727" s="6" t="str">
        <f t="shared" si="930"/>
        <v>Pure Light</v>
      </c>
      <c r="G3727" s="6" t="str">
        <f t="shared" si="931"/>
        <v>F300369750000000</v>
      </c>
      <c r="H3727" s="6" t="str">
        <f t="shared" si="932"/>
        <v>PLR 3697 - 500 g/m²</v>
      </c>
      <c r="I3727" s="6" t="str">
        <f>"203874"</f>
        <v>203874</v>
      </c>
      <c r="J3727" s="6" t="str">
        <f>"VERDE 3874"</f>
        <v>VERDE 3874</v>
      </c>
      <c r="K3727" s="6" t="str">
        <f>"1535"</f>
        <v>1535</v>
      </c>
      <c r="L3727" s="6" t="str">
        <f>"Toalhões"</f>
        <v>Toalhões</v>
      </c>
      <c r="M3727" s="6" t="str">
        <f>"70x140"</f>
        <v>70x140</v>
      </c>
      <c r="N3727" s="6" t="str">
        <f>"5602972511918"</f>
        <v>5602972511918</v>
      </c>
      <c r="O3727" s="8">
        <v>180</v>
      </c>
      <c r="P3727" s="7">
        <v>45961</v>
      </c>
      <c r="R3727" s="8">
        <v>204</v>
      </c>
      <c r="S3727" s="7">
        <v>45966</v>
      </c>
      <c r="U3727" s="8">
        <v>204</v>
      </c>
      <c r="V3727" s="7">
        <v>45979</v>
      </c>
      <c r="X3727" s="8">
        <v>0</v>
      </c>
      <c r="Z3727" s="8">
        <v>204</v>
      </c>
      <c r="AA3727" s="7">
        <v>45994</v>
      </c>
      <c r="AC3727" s="8">
        <v>0</v>
      </c>
      <c r="AE3727" s="7">
        <v>46000</v>
      </c>
      <c r="AF3727" s="8">
        <v>0</v>
      </c>
      <c r="AH3727" s="7">
        <v>45989</v>
      </c>
      <c r="AN3727" s="8">
        <v>0</v>
      </c>
      <c r="AO3727" s="8">
        <v>180</v>
      </c>
    </row>
    <row r="3728" spans="1:41" x14ac:dyDescent="0.25">
      <c r="A3728" s="6" t="str">
        <f t="shared" si="929"/>
        <v>525-2025000439</v>
      </c>
      <c r="B3728" s="6" t="str">
        <f t="shared" si="928"/>
        <v>Lasa Int</v>
      </c>
      <c r="C3728" s="7">
        <v>45905</v>
      </c>
      <c r="D3728" s="7">
        <v>46037</v>
      </c>
      <c r="E3728" s="8">
        <v>8</v>
      </c>
      <c r="F3728" s="6" t="str">
        <f t="shared" si="930"/>
        <v>Pure Light</v>
      </c>
      <c r="G3728" s="6" t="str">
        <f t="shared" si="931"/>
        <v>F300369750000000</v>
      </c>
      <c r="H3728" s="6" t="str">
        <f t="shared" si="932"/>
        <v>PLR 3697 - 500 g/m²</v>
      </c>
      <c r="I3728" s="6" t="str">
        <f>"203874"</f>
        <v>203874</v>
      </c>
      <c r="J3728" s="6" t="str">
        <f>"VERDE 3874"</f>
        <v>VERDE 3874</v>
      </c>
      <c r="K3728" s="6" t="str">
        <f>"2020"</f>
        <v>2020</v>
      </c>
      <c r="L3728" s="6" t="str">
        <f>"Lençóis"</f>
        <v>Lençóis</v>
      </c>
      <c r="M3728" s="6" t="str">
        <f>"100x150"</f>
        <v>100x150</v>
      </c>
      <c r="N3728" s="6" t="str">
        <f>"5602972511925"</f>
        <v>5602972511925</v>
      </c>
      <c r="O3728" s="8">
        <v>120</v>
      </c>
      <c r="P3728" s="7">
        <v>45961</v>
      </c>
      <c r="R3728" s="8">
        <v>130</v>
      </c>
      <c r="S3728" s="7">
        <v>45966</v>
      </c>
      <c r="U3728" s="8">
        <v>130</v>
      </c>
      <c r="V3728" s="7">
        <v>45979</v>
      </c>
      <c r="X3728" s="8">
        <v>0</v>
      </c>
      <c r="Z3728" s="8">
        <v>130</v>
      </c>
      <c r="AA3728" s="7">
        <v>45994</v>
      </c>
      <c r="AC3728" s="8">
        <v>109</v>
      </c>
      <c r="AE3728" s="7">
        <v>46000</v>
      </c>
      <c r="AF3728" s="8">
        <v>109</v>
      </c>
      <c r="AH3728" s="7">
        <v>45989</v>
      </c>
      <c r="AN3728" s="8">
        <v>109</v>
      </c>
      <c r="AO3728" s="8">
        <v>11</v>
      </c>
    </row>
    <row r="3729" spans="1:41" x14ac:dyDescent="0.25">
      <c r="A3729" s="6" t="str">
        <f t="shared" si="929"/>
        <v>525-2025000439</v>
      </c>
      <c r="B3729" s="6" t="str">
        <f t="shared" si="928"/>
        <v>Lasa Int</v>
      </c>
      <c r="C3729" s="7">
        <v>45905</v>
      </c>
      <c r="D3729" s="7">
        <v>46037</v>
      </c>
      <c r="E3729" s="8">
        <v>9</v>
      </c>
      <c r="F3729" s="6" t="str">
        <f t="shared" si="930"/>
        <v>Pure Light</v>
      </c>
      <c r="G3729" s="6" t="str">
        <f t="shared" si="931"/>
        <v>F300369750000000</v>
      </c>
      <c r="H3729" s="6" t="str">
        <f t="shared" si="932"/>
        <v>PLR 3697 - 500 g/m²</v>
      </c>
      <c r="I3729" s="6" t="str">
        <f>"204032"</f>
        <v>204032</v>
      </c>
      <c r="J3729" s="6" t="str">
        <f>"AZUL 4032"</f>
        <v>AZUL 4032</v>
      </c>
      <c r="K3729" s="6" t="str">
        <f>"0530"</f>
        <v>0530</v>
      </c>
      <c r="L3729" s="6" t="str">
        <f>"Toalhetes"</f>
        <v>Toalhetes</v>
      </c>
      <c r="M3729" s="6" t="str">
        <f>"33x50"</f>
        <v>33x50</v>
      </c>
      <c r="N3729" s="6" t="str">
        <f>"5602972511949"</f>
        <v>5602972511949</v>
      </c>
      <c r="O3729" s="8">
        <v>240</v>
      </c>
      <c r="P3729" s="7">
        <v>45961</v>
      </c>
      <c r="R3729" s="8">
        <v>282</v>
      </c>
      <c r="S3729" s="7">
        <v>45966</v>
      </c>
      <c r="U3729" s="8">
        <v>282</v>
      </c>
      <c r="V3729" s="7">
        <v>45979</v>
      </c>
      <c r="X3729" s="8">
        <v>0</v>
      </c>
      <c r="Z3729" s="8">
        <v>282</v>
      </c>
      <c r="AA3729" s="7">
        <v>45994</v>
      </c>
      <c r="AC3729" s="8">
        <v>244</v>
      </c>
      <c r="AE3729" s="7">
        <v>46000</v>
      </c>
      <c r="AF3729" s="8">
        <v>244</v>
      </c>
      <c r="AH3729" s="7">
        <v>45989</v>
      </c>
      <c r="AN3729" s="8">
        <v>244</v>
      </c>
      <c r="AO3729" s="8">
        <v>-4</v>
      </c>
    </row>
    <row r="3730" spans="1:41" x14ac:dyDescent="0.25">
      <c r="A3730" s="6" t="str">
        <f t="shared" si="929"/>
        <v>525-2025000439</v>
      </c>
      <c r="B3730" s="6" t="str">
        <f t="shared" si="928"/>
        <v>Lasa Int</v>
      </c>
      <c r="C3730" s="7">
        <v>45905</v>
      </c>
      <c r="D3730" s="7">
        <v>46037</v>
      </c>
      <c r="E3730" s="8">
        <v>10</v>
      </c>
      <c r="F3730" s="6" t="str">
        <f t="shared" si="930"/>
        <v>Pure Light</v>
      </c>
      <c r="G3730" s="6" t="str">
        <f t="shared" si="931"/>
        <v>F300369750000000</v>
      </c>
      <c r="H3730" s="6" t="str">
        <f t="shared" si="932"/>
        <v>PLR 3697 - 500 g/m²</v>
      </c>
      <c r="I3730" s="6" t="str">
        <f>"204032"</f>
        <v>204032</v>
      </c>
      <c r="J3730" s="6" t="str">
        <f>"AZUL 4032"</f>
        <v>AZUL 4032</v>
      </c>
      <c r="K3730" s="6" t="str">
        <f>"1024"</f>
        <v>1024</v>
      </c>
      <c r="L3730" s="6" t="str">
        <f>"Toalhas"</f>
        <v>Toalhas</v>
      </c>
      <c r="M3730" s="6" t="str">
        <f>"50x100"</f>
        <v>50x100</v>
      </c>
      <c r="N3730" s="6" t="str">
        <f>"5602972511956"</f>
        <v>5602972511956</v>
      </c>
      <c r="O3730" s="8">
        <v>480</v>
      </c>
      <c r="P3730" s="7">
        <v>45961</v>
      </c>
      <c r="R3730" s="8">
        <v>508</v>
      </c>
      <c r="S3730" s="7">
        <v>45966</v>
      </c>
      <c r="U3730" s="8">
        <v>508</v>
      </c>
      <c r="V3730" s="7">
        <v>45979</v>
      </c>
      <c r="X3730" s="8">
        <v>0</v>
      </c>
      <c r="Z3730" s="8">
        <v>508</v>
      </c>
      <c r="AA3730" s="7">
        <v>45994</v>
      </c>
      <c r="AC3730" s="8">
        <v>482</v>
      </c>
      <c r="AE3730" s="7">
        <v>46000</v>
      </c>
      <c r="AF3730" s="8">
        <v>482</v>
      </c>
      <c r="AH3730" s="7">
        <v>45989</v>
      </c>
      <c r="AN3730" s="8">
        <v>482</v>
      </c>
      <c r="AO3730" s="8">
        <v>-2</v>
      </c>
    </row>
    <row r="3731" spans="1:41" x14ac:dyDescent="0.25">
      <c r="A3731" s="6" t="str">
        <f t="shared" si="929"/>
        <v>525-2025000439</v>
      </c>
      <c r="B3731" s="6" t="str">
        <f t="shared" si="928"/>
        <v>Lasa Int</v>
      </c>
      <c r="C3731" s="7">
        <v>45905</v>
      </c>
      <c r="D3731" s="7">
        <v>46037</v>
      </c>
      <c r="E3731" s="8">
        <v>11</v>
      </c>
      <c r="F3731" s="6" t="str">
        <f t="shared" si="930"/>
        <v>Pure Light</v>
      </c>
      <c r="G3731" s="6" t="str">
        <f t="shared" si="931"/>
        <v>F300369750000000</v>
      </c>
      <c r="H3731" s="6" t="str">
        <f t="shared" si="932"/>
        <v>PLR 3697 - 500 g/m²</v>
      </c>
      <c r="I3731" s="6" t="str">
        <f>"204032"</f>
        <v>204032</v>
      </c>
      <c r="J3731" s="6" t="str">
        <f>"AZUL 4032"</f>
        <v>AZUL 4032</v>
      </c>
      <c r="K3731" s="6" t="str">
        <f>"1535"</f>
        <v>1535</v>
      </c>
      <c r="L3731" s="6" t="str">
        <f>"Toalhões"</f>
        <v>Toalhões</v>
      </c>
      <c r="M3731" s="6" t="str">
        <f>"70x140"</f>
        <v>70x140</v>
      </c>
      <c r="N3731" s="6" t="str">
        <f>"5602972511963"</f>
        <v>5602972511963</v>
      </c>
      <c r="O3731" s="8">
        <v>160</v>
      </c>
      <c r="P3731" s="7">
        <v>45961</v>
      </c>
      <c r="R3731" s="8">
        <v>177</v>
      </c>
      <c r="S3731" s="7">
        <v>45966</v>
      </c>
      <c r="U3731" s="8">
        <v>177</v>
      </c>
      <c r="V3731" s="7">
        <v>45979</v>
      </c>
      <c r="X3731" s="8">
        <v>0</v>
      </c>
      <c r="Z3731" s="8">
        <v>177</v>
      </c>
      <c r="AA3731" s="7">
        <v>45994</v>
      </c>
      <c r="AC3731" s="8">
        <v>0</v>
      </c>
      <c r="AE3731" s="7">
        <v>46000</v>
      </c>
      <c r="AF3731" s="8">
        <v>0</v>
      </c>
      <c r="AH3731" s="7">
        <v>45989</v>
      </c>
      <c r="AN3731" s="8">
        <v>0</v>
      </c>
      <c r="AO3731" s="8">
        <v>160</v>
      </c>
    </row>
    <row r="3732" spans="1:41" x14ac:dyDescent="0.25">
      <c r="A3732" s="6" t="str">
        <f t="shared" si="929"/>
        <v>525-2025000439</v>
      </c>
      <c r="B3732" s="6" t="str">
        <f t="shared" si="928"/>
        <v>Lasa Int</v>
      </c>
      <c r="C3732" s="7">
        <v>45905</v>
      </c>
      <c r="D3732" s="7">
        <v>46037</v>
      </c>
      <c r="E3732" s="8">
        <v>12</v>
      </c>
      <c r="F3732" s="6" t="str">
        <f t="shared" si="930"/>
        <v>Pure Light</v>
      </c>
      <c r="G3732" s="6" t="str">
        <f t="shared" si="931"/>
        <v>F300369750000000</v>
      </c>
      <c r="H3732" s="6" t="str">
        <f t="shared" si="932"/>
        <v>PLR 3697 - 500 g/m²</v>
      </c>
      <c r="I3732" s="6" t="str">
        <f>"204032"</f>
        <v>204032</v>
      </c>
      <c r="J3732" s="6" t="str">
        <f>"AZUL 4032"</f>
        <v>AZUL 4032</v>
      </c>
      <c r="K3732" s="6" t="str">
        <f>"2020"</f>
        <v>2020</v>
      </c>
      <c r="L3732" s="6" t="str">
        <f>"Lençóis"</f>
        <v>Lençóis</v>
      </c>
      <c r="M3732" s="6" t="str">
        <f>"100x150"</f>
        <v>100x150</v>
      </c>
      <c r="N3732" s="6" t="str">
        <f>"5602972511970"</f>
        <v>5602972511970</v>
      </c>
      <c r="O3732" s="8">
        <v>60</v>
      </c>
      <c r="P3732" s="7">
        <v>45961</v>
      </c>
      <c r="R3732" s="8">
        <v>64</v>
      </c>
      <c r="S3732" s="7">
        <v>45966</v>
      </c>
      <c r="U3732" s="8">
        <v>64</v>
      </c>
      <c r="V3732" s="7">
        <v>45979</v>
      </c>
      <c r="X3732" s="8">
        <v>0</v>
      </c>
      <c r="Z3732" s="8">
        <v>64</v>
      </c>
      <c r="AA3732" s="7">
        <v>45994</v>
      </c>
      <c r="AC3732" s="8">
        <v>32</v>
      </c>
      <c r="AE3732" s="7">
        <v>46000</v>
      </c>
      <c r="AF3732" s="8">
        <v>32</v>
      </c>
      <c r="AH3732" s="7">
        <v>45989</v>
      </c>
      <c r="AN3732" s="8">
        <v>32</v>
      </c>
      <c r="AO3732" s="8">
        <v>28</v>
      </c>
    </row>
    <row r="3733" spans="1:41" x14ac:dyDescent="0.25">
      <c r="A3733" s="6" t="str">
        <f>"525-2025000441"</f>
        <v>525-2025000441</v>
      </c>
      <c r="B3733" s="6" t="str">
        <f t="shared" si="928"/>
        <v>Lasa Int</v>
      </c>
      <c r="C3733" s="7">
        <v>45909</v>
      </c>
      <c r="D3733" s="7">
        <v>46037</v>
      </c>
      <c r="E3733" s="8">
        <v>1</v>
      </c>
      <c r="F3733" s="6" t="str">
        <f t="shared" ref="F3733:F3780" si="933">"PURE"</f>
        <v>PURE</v>
      </c>
      <c r="G3733" s="6" t="str">
        <f>"F100021455000000"</f>
        <v>F100021455000000</v>
      </c>
      <c r="H3733" s="6" t="str">
        <f>"FA 214 - PURE - 550"</f>
        <v>FA 214 - PURE - 550</v>
      </c>
      <c r="I3733" s="6" t="str">
        <f>"2392"</f>
        <v>2392</v>
      </c>
      <c r="J3733" s="6" t="str">
        <f>"LARANJA 2392"</f>
        <v>LARANJA 2392</v>
      </c>
      <c r="K3733" s="6" t="str">
        <f>"0112"</f>
        <v>0112</v>
      </c>
      <c r="L3733" s="6" t="str">
        <f>"Luvas"</f>
        <v>Luvas</v>
      </c>
      <c r="M3733" s="6" t="str">
        <f>"16x21"</f>
        <v>16x21</v>
      </c>
      <c r="N3733" s="6" t="str">
        <f>"5602972836530"</f>
        <v>5602972836530</v>
      </c>
      <c r="O3733" s="8">
        <v>240</v>
      </c>
      <c r="P3733" s="7">
        <v>45909</v>
      </c>
      <c r="R3733" s="8">
        <v>0</v>
      </c>
      <c r="S3733" s="7">
        <v>45912</v>
      </c>
      <c r="U3733" s="8">
        <v>300</v>
      </c>
      <c r="V3733" s="7">
        <v>45923</v>
      </c>
      <c r="X3733" s="8">
        <v>0</v>
      </c>
      <c r="Z3733" s="8">
        <v>300</v>
      </c>
      <c r="AA3733" s="7">
        <v>45933</v>
      </c>
      <c r="AC3733" s="8">
        <v>0</v>
      </c>
      <c r="AE3733" s="7">
        <v>45937</v>
      </c>
      <c r="AF3733" s="8">
        <v>0</v>
      </c>
      <c r="AH3733" s="7">
        <v>45937</v>
      </c>
      <c r="AN3733" s="8">
        <v>276</v>
      </c>
      <c r="AO3733" s="8">
        <v>-36</v>
      </c>
    </row>
    <row r="3734" spans="1:41" x14ac:dyDescent="0.25">
      <c r="A3734" s="6" t="str">
        <f>"525-2025000441"</f>
        <v>525-2025000441</v>
      </c>
      <c r="B3734" s="6" t="str">
        <f t="shared" si="928"/>
        <v>Lasa Int</v>
      </c>
      <c r="C3734" s="7">
        <v>45909</v>
      </c>
      <c r="D3734" s="7">
        <v>46037</v>
      </c>
      <c r="E3734" s="8">
        <v>2</v>
      </c>
      <c r="F3734" s="6" t="str">
        <f t="shared" si="933"/>
        <v>PURE</v>
      </c>
      <c r="G3734" s="6" t="str">
        <f>"F100021455000000"</f>
        <v>F100021455000000</v>
      </c>
      <c r="H3734" s="6" t="str">
        <f>"FA 214 - PURE - 550"</f>
        <v>FA 214 - PURE - 550</v>
      </c>
      <c r="I3734" s="6" t="str">
        <f>"2392"</f>
        <v>2392</v>
      </c>
      <c r="J3734" s="6" t="str">
        <f>"LARANJA 2392"</f>
        <v>LARANJA 2392</v>
      </c>
      <c r="K3734" s="6" t="str">
        <f>"1024"</f>
        <v>1024</v>
      </c>
      <c r="L3734" s="6" t="str">
        <f>"Toalhas"</f>
        <v>Toalhas</v>
      </c>
      <c r="M3734" s="6" t="str">
        <f>"50x100"</f>
        <v>50x100</v>
      </c>
      <c r="N3734" s="6" t="str">
        <f>"5602972836554"</f>
        <v>5602972836554</v>
      </c>
      <c r="O3734" s="8">
        <v>240</v>
      </c>
      <c r="P3734" s="7">
        <v>45909</v>
      </c>
      <c r="R3734" s="8">
        <v>0</v>
      </c>
      <c r="S3734" s="7">
        <v>45912</v>
      </c>
      <c r="U3734" s="8">
        <v>240</v>
      </c>
      <c r="V3734" s="7">
        <v>45923</v>
      </c>
      <c r="X3734" s="8">
        <v>0</v>
      </c>
      <c r="Z3734" s="8">
        <v>240</v>
      </c>
      <c r="AA3734" s="7">
        <v>45933</v>
      </c>
      <c r="AC3734" s="8">
        <v>32</v>
      </c>
      <c r="AE3734" s="7">
        <v>45937</v>
      </c>
      <c r="AF3734" s="8">
        <v>32</v>
      </c>
      <c r="AH3734" s="7">
        <v>45937</v>
      </c>
      <c r="AN3734" s="8">
        <v>32</v>
      </c>
      <c r="AO3734" s="8">
        <v>208</v>
      </c>
    </row>
    <row r="3735" spans="1:41" x14ac:dyDescent="0.25">
      <c r="A3735" s="6" t="str">
        <f>"525-2025000441"</f>
        <v>525-2025000441</v>
      </c>
      <c r="B3735" s="6" t="str">
        <f t="shared" si="928"/>
        <v>Lasa Int</v>
      </c>
      <c r="C3735" s="7">
        <v>45909</v>
      </c>
      <c r="D3735" s="7">
        <v>46037</v>
      </c>
      <c r="E3735" s="8">
        <v>3</v>
      </c>
      <c r="F3735" s="6" t="str">
        <f t="shared" si="933"/>
        <v>PURE</v>
      </c>
      <c r="G3735" s="6" t="str">
        <f>"F100021455000000"</f>
        <v>F100021455000000</v>
      </c>
      <c r="H3735" s="6" t="str">
        <f>"FA 214 - PURE - 550"</f>
        <v>FA 214 - PURE - 550</v>
      </c>
      <c r="I3735" s="6" t="str">
        <f>"2392"</f>
        <v>2392</v>
      </c>
      <c r="J3735" s="6" t="str">
        <f>"LARANJA 2392"</f>
        <v>LARANJA 2392</v>
      </c>
      <c r="K3735" s="6" t="str">
        <f>"1535"</f>
        <v>1535</v>
      </c>
      <c r="L3735" s="6" t="str">
        <f>"Toalhões"</f>
        <v>Toalhões</v>
      </c>
      <c r="M3735" s="6" t="str">
        <f>"70x140"</f>
        <v>70x140</v>
      </c>
      <c r="N3735" s="6" t="str">
        <f>"5602972836561"</f>
        <v>5602972836561</v>
      </c>
      <c r="O3735" s="8">
        <v>120</v>
      </c>
      <c r="P3735" s="7">
        <v>45909</v>
      </c>
      <c r="R3735" s="8">
        <v>0</v>
      </c>
      <c r="S3735" s="7">
        <v>45912</v>
      </c>
      <c r="U3735" s="8">
        <v>120</v>
      </c>
      <c r="V3735" s="7">
        <v>45923</v>
      </c>
      <c r="X3735" s="8">
        <v>0</v>
      </c>
      <c r="Z3735" s="8">
        <v>120</v>
      </c>
      <c r="AA3735" s="7">
        <v>45933</v>
      </c>
      <c r="AC3735" s="8">
        <v>129</v>
      </c>
      <c r="AE3735" s="7">
        <v>45937</v>
      </c>
      <c r="AF3735" s="8">
        <v>129</v>
      </c>
      <c r="AH3735" s="7">
        <v>45937</v>
      </c>
      <c r="AN3735" s="8">
        <v>129</v>
      </c>
      <c r="AO3735" s="8">
        <v>-9</v>
      </c>
    </row>
    <row r="3736" spans="1:41" x14ac:dyDescent="0.25">
      <c r="A3736" s="6" t="str">
        <f>"525-2025000441"</f>
        <v>525-2025000441</v>
      </c>
      <c r="B3736" s="6" t="str">
        <f t="shared" si="928"/>
        <v>Lasa Int</v>
      </c>
      <c r="C3736" s="7">
        <v>45909</v>
      </c>
      <c r="D3736" s="7">
        <v>46037</v>
      </c>
      <c r="E3736" s="8">
        <v>4</v>
      </c>
      <c r="F3736" s="6" t="str">
        <f t="shared" si="933"/>
        <v>PURE</v>
      </c>
      <c r="G3736" s="6" t="str">
        <f>"F100021455000000"</f>
        <v>F100021455000000</v>
      </c>
      <c r="H3736" s="6" t="str">
        <f>"FA 214 - PURE - 550"</f>
        <v>FA 214 - PURE - 550</v>
      </c>
      <c r="I3736" s="6" t="str">
        <f>"2392"</f>
        <v>2392</v>
      </c>
      <c r="J3736" s="6" t="str">
        <f>"LARANJA 2392"</f>
        <v>LARANJA 2392</v>
      </c>
      <c r="K3736" s="6" t="str">
        <f>"2020"</f>
        <v>2020</v>
      </c>
      <c r="L3736" s="6" t="str">
        <f>"Lençóis"</f>
        <v>Lençóis</v>
      </c>
      <c r="M3736" s="6" t="str">
        <f>"100x150"</f>
        <v>100x150</v>
      </c>
      <c r="N3736" s="6" t="str">
        <f>"5602972836578"</f>
        <v>5602972836578</v>
      </c>
      <c r="O3736" s="8">
        <v>80</v>
      </c>
      <c r="P3736" s="7">
        <v>45909</v>
      </c>
      <c r="R3736" s="8">
        <v>0</v>
      </c>
      <c r="S3736" s="7">
        <v>45912</v>
      </c>
      <c r="U3736" s="8">
        <v>80</v>
      </c>
      <c r="V3736" s="7">
        <v>45923</v>
      </c>
      <c r="X3736" s="8">
        <v>0</v>
      </c>
      <c r="Z3736" s="8">
        <v>80</v>
      </c>
      <c r="AA3736" s="7">
        <v>45933</v>
      </c>
      <c r="AC3736" s="8">
        <v>88</v>
      </c>
      <c r="AE3736" s="7">
        <v>45937</v>
      </c>
      <c r="AF3736" s="8">
        <v>88</v>
      </c>
      <c r="AH3736" s="7">
        <v>45937</v>
      </c>
      <c r="AN3736" s="8">
        <v>88</v>
      </c>
      <c r="AO3736" s="8">
        <v>-8</v>
      </c>
    </row>
    <row r="3737" spans="1:41" x14ac:dyDescent="0.25">
      <c r="A3737" s="6" t="str">
        <f>"525-2025000441"</f>
        <v>525-2025000441</v>
      </c>
      <c r="B3737" s="6" t="str">
        <f t="shared" si="928"/>
        <v>Lasa Int</v>
      </c>
      <c r="C3737" s="7">
        <v>45909</v>
      </c>
      <c r="D3737" s="7">
        <v>46037</v>
      </c>
      <c r="E3737" s="8">
        <v>5</v>
      </c>
      <c r="F3737" s="6" t="str">
        <f t="shared" si="933"/>
        <v>PURE</v>
      </c>
      <c r="G3737" s="6" t="str">
        <f>"F161003770000000"</f>
        <v>F161003770000000</v>
      </c>
      <c r="H3737" s="6" t="str">
        <f>"TA 37 - 700 g/m²"</f>
        <v>TA 37 - 700 g/m²</v>
      </c>
      <c r="I3737" s="6" t="str">
        <f>"2392"</f>
        <v>2392</v>
      </c>
      <c r="J3737" s="6" t="str">
        <f>"LARANJA 2392"</f>
        <v>LARANJA 2392</v>
      </c>
      <c r="K3737" s="6" t="str">
        <f>"3012"</f>
        <v>3012</v>
      </c>
      <c r="L3737" s="6" t="str">
        <f>"Tapetes"</f>
        <v>Tapetes</v>
      </c>
      <c r="M3737" s="6" t="str">
        <f>"50x70"</f>
        <v>50x70</v>
      </c>
      <c r="N3737" s="6" t="str">
        <f>"5602972837278"</f>
        <v>5602972837278</v>
      </c>
      <c r="O3737" s="8">
        <v>100</v>
      </c>
      <c r="P3737" s="7">
        <v>45909</v>
      </c>
      <c r="R3737" s="8">
        <v>0</v>
      </c>
      <c r="S3737" s="7">
        <v>45912</v>
      </c>
      <c r="U3737" s="8">
        <v>100</v>
      </c>
      <c r="V3737" s="7">
        <v>45923</v>
      </c>
      <c r="X3737" s="8">
        <v>0</v>
      </c>
      <c r="Z3737" s="8">
        <v>100</v>
      </c>
      <c r="AA3737" s="7">
        <v>45933</v>
      </c>
      <c r="AC3737" s="8">
        <v>67</v>
      </c>
      <c r="AE3737" s="7">
        <v>45937</v>
      </c>
      <c r="AF3737" s="8">
        <v>67</v>
      </c>
      <c r="AH3737" s="7">
        <v>45937</v>
      </c>
      <c r="AN3737" s="8">
        <v>67</v>
      </c>
      <c r="AO3737" s="8">
        <v>33</v>
      </c>
    </row>
    <row r="3738" spans="1:41" x14ac:dyDescent="0.25">
      <c r="A3738" s="6" t="str">
        <f t="shared" ref="A3738:A3780" si="934">"525-2025000442"</f>
        <v>525-2025000442</v>
      </c>
      <c r="B3738" s="6" t="str">
        <f t="shared" si="928"/>
        <v>Lasa Int</v>
      </c>
      <c r="C3738" s="7">
        <v>45910</v>
      </c>
      <c r="D3738" s="7">
        <v>46037</v>
      </c>
      <c r="E3738" s="8">
        <v>1</v>
      </c>
      <c r="F3738" s="6" t="str">
        <f t="shared" si="933"/>
        <v>PURE</v>
      </c>
      <c r="G3738" s="6" t="str">
        <f t="shared" ref="G3738:G3775" si="935">"F100021455000000"</f>
        <v>F100021455000000</v>
      </c>
      <c r="H3738" s="6" t="str">
        <f t="shared" ref="H3738:H3775" si="936">"FA 214 - PURE - 550"</f>
        <v>FA 214 - PURE - 550</v>
      </c>
      <c r="I3738" s="6" t="str">
        <f>"1"</f>
        <v>1</v>
      </c>
      <c r="J3738" s="6" t="str">
        <f>"BRANCO"</f>
        <v>BRANCO</v>
      </c>
      <c r="K3738" s="6" t="str">
        <f>"0530"</f>
        <v>0530</v>
      </c>
      <c r="L3738" s="6" t="str">
        <f>"Toalhetes"</f>
        <v>Toalhetes</v>
      </c>
      <c r="M3738" s="6" t="str">
        <f>"33x50"</f>
        <v>33x50</v>
      </c>
      <c r="N3738" s="6" t="str">
        <f>"5602972836240"</f>
        <v>5602972836240</v>
      </c>
      <c r="O3738" s="8">
        <v>900</v>
      </c>
      <c r="P3738" s="7">
        <v>45910</v>
      </c>
      <c r="R3738" s="8">
        <v>3852</v>
      </c>
      <c r="S3738" s="7">
        <v>45915</v>
      </c>
      <c r="U3738" s="8">
        <v>900</v>
      </c>
      <c r="V3738" s="7">
        <v>45926</v>
      </c>
      <c r="X3738" s="8">
        <v>0</v>
      </c>
      <c r="Z3738" s="8">
        <v>900</v>
      </c>
      <c r="AA3738" s="7">
        <v>45940</v>
      </c>
      <c r="AC3738" s="8">
        <v>940</v>
      </c>
      <c r="AE3738" s="7">
        <v>45945</v>
      </c>
      <c r="AF3738" s="8">
        <v>940</v>
      </c>
      <c r="AH3738" s="7">
        <v>45960</v>
      </c>
      <c r="AN3738" s="8">
        <v>940</v>
      </c>
      <c r="AO3738" s="8">
        <v>-40</v>
      </c>
    </row>
    <row r="3739" spans="1:41" x14ac:dyDescent="0.25">
      <c r="A3739" s="6" t="str">
        <f t="shared" si="934"/>
        <v>525-2025000442</v>
      </c>
      <c r="B3739" s="6" t="str">
        <f t="shared" si="928"/>
        <v>Lasa Int</v>
      </c>
      <c r="C3739" s="7">
        <v>45910</v>
      </c>
      <c r="D3739" s="7">
        <v>46037</v>
      </c>
      <c r="E3739" s="8">
        <v>2</v>
      </c>
      <c r="F3739" s="6" t="str">
        <f t="shared" si="933"/>
        <v>PURE</v>
      </c>
      <c r="G3739" s="6" t="str">
        <f t="shared" si="935"/>
        <v>F100021455000000</v>
      </c>
      <c r="H3739" s="6" t="str">
        <f t="shared" si="936"/>
        <v>FA 214 - PURE - 550</v>
      </c>
      <c r="I3739" s="6" t="str">
        <f>"1"</f>
        <v>1</v>
      </c>
      <c r="J3739" s="6" t="str">
        <f>"BRANCO"</f>
        <v>BRANCO</v>
      </c>
      <c r="K3739" s="6" t="str">
        <f>"1024"</f>
        <v>1024</v>
      </c>
      <c r="L3739" s="6" t="str">
        <f>"Toalhas"</f>
        <v>Toalhas</v>
      </c>
      <c r="M3739" s="6" t="str">
        <f>"50x100"</f>
        <v>50x100</v>
      </c>
      <c r="N3739" s="6" t="str">
        <f>"5602972836257"</f>
        <v>5602972836257</v>
      </c>
      <c r="O3739" s="8">
        <v>960</v>
      </c>
      <c r="P3739" s="7">
        <v>45910</v>
      </c>
      <c r="R3739" s="8">
        <v>5300</v>
      </c>
      <c r="S3739" s="7">
        <v>45915</v>
      </c>
      <c r="U3739" s="8">
        <v>964</v>
      </c>
      <c r="V3739" s="7">
        <v>45926</v>
      </c>
      <c r="X3739" s="8">
        <v>0</v>
      </c>
      <c r="Z3739" s="8">
        <v>964</v>
      </c>
      <c r="AA3739" s="7">
        <v>45940</v>
      </c>
      <c r="AC3739" s="8">
        <v>964</v>
      </c>
      <c r="AE3739" s="7">
        <v>45945</v>
      </c>
      <c r="AF3739" s="8">
        <v>964</v>
      </c>
      <c r="AH3739" s="7">
        <v>45960</v>
      </c>
      <c r="AN3739" s="8">
        <v>964</v>
      </c>
      <c r="AO3739" s="8">
        <v>-4</v>
      </c>
    </row>
    <row r="3740" spans="1:41" x14ac:dyDescent="0.25">
      <c r="A3740" s="6" t="str">
        <f t="shared" si="934"/>
        <v>525-2025000442</v>
      </c>
      <c r="B3740" s="6" t="str">
        <f t="shared" si="928"/>
        <v>Lasa Int</v>
      </c>
      <c r="C3740" s="7">
        <v>45910</v>
      </c>
      <c r="D3740" s="7">
        <v>46037</v>
      </c>
      <c r="E3740" s="8">
        <v>3</v>
      </c>
      <c r="F3740" s="6" t="str">
        <f t="shared" si="933"/>
        <v>PURE</v>
      </c>
      <c r="G3740" s="6" t="str">
        <f t="shared" si="935"/>
        <v>F100021455000000</v>
      </c>
      <c r="H3740" s="6" t="str">
        <f t="shared" si="936"/>
        <v>FA 214 - PURE - 550</v>
      </c>
      <c r="I3740" s="6" t="str">
        <f>"1"</f>
        <v>1</v>
      </c>
      <c r="J3740" s="6" t="str">
        <f>"BRANCO"</f>
        <v>BRANCO</v>
      </c>
      <c r="K3740" s="6" t="str">
        <f>"1535"</f>
        <v>1535</v>
      </c>
      <c r="L3740" s="6" t="str">
        <f>"Toalhões"</f>
        <v>Toalhões</v>
      </c>
      <c r="M3740" s="6" t="str">
        <f>"70x140"</f>
        <v>70x140</v>
      </c>
      <c r="N3740" s="6" t="str">
        <f>"5602972836264"</f>
        <v>5602972836264</v>
      </c>
      <c r="O3740" s="8">
        <v>840</v>
      </c>
      <c r="P3740" s="7">
        <v>45910</v>
      </c>
      <c r="R3740" s="8">
        <v>1659</v>
      </c>
      <c r="S3740" s="7">
        <v>45915</v>
      </c>
      <c r="U3740" s="8">
        <v>846</v>
      </c>
      <c r="V3740" s="7">
        <v>45926</v>
      </c>
      <c r="X3740" s="8">
        <v>0</v>
      </c>
      <c r="Z3740" s="8">
        <v>846</v>
      </c>
      <c r="AA3740" s="7">
        <v>45940</v>
      </c>
      <c r="AC3740" s="8">
        <v>873</v>
      </c>
      <c r="AE3740" s="7">
        <v>45945</v>
      </c>
      <c r="AF3740" s="8">
        <v>873</v>
      </c>
      <c r="AH3740" s="7">
        <v>45960</v>
      </c>
      <c r="AN3740" s="8">
        <v>873</v>
      </c>
      <c r="AO3740" s="8">
        <v>-33</v>
      </c>
    </row>
    <row r="3741" spans="1:41" x14ac:dyDescent="0.25">
      <c r="A3741" s="6" t="str">
        <f t="shared" si="934"/>
        <v>525-2025000442</v>
      </c>
      <c r="B3741" s="6" t="str">
        <f t="shared" si="928"/>
        <v>Lasa Int</v>
      </c>
      <c r="C3741" s="7">
        <v>45910</v>
      </c>
      <c r="D3741" s="7">
        <v>46037</v>
      </c>
      <c r="E3741" s="8">
        <v>4</v>
      </c>
      <c r="F3741" s="6" t="str">
        <f t="shared" si="933"/>
        <v>PURE</v>
      </c>
      <c r="G3741" s="6" t="str">
        <f t="shared" si="935"/>
        <v>F100021455000000</v>
      </c>
      <c r="H3741" s="6" t="str">
        <f t="shared" si="936"/>
        <v>FA 214 - PURE - 550</v>
      </c>
      <c r="I3741" s="6" t="str">
        <f>"1"</f>
        <v>1</v>
      </c>
      <c r="J3741" s="6" t="str">
        <f>"BRANCO"</f>
        <v>BRANCO</v>
      </c>
      <c r="K3741" s="6" t="str">
        <f>"2020"</f>
        <v>2020</v>
      </c>
      <c r="L3741" s="6" t="str">
        <f>"Lençóis"</f>
        <v>Lençóis</v>
      </c>
      <c r="M3741" s="6" t="str">
        <f>"100x150"</f>
        <v>100x150</v>
      </c>
      <c r="N3741" s="6" t="str">
        <f>"5602972836271"</f>
        <v>5602972836271</v>
      </c>
      <c r="O3741" s="8">
        <v>320</v>
      </c>
      <c r="P3741" s="7">
        <v>45910</v>
      </c>
      <c r="R3741" s="8">
        <v>1600</v>
      </c>
      <c r="S3741" s="7">
        <v>45915</v>
      </c>
      <c r="U3741" s="8">
        <v>320</v>
      </c>
      <c r="V3741" s="7">
        <v>45926</v>
      </c>
      <c r="X3741" s="8">
        <v>0</v>
      </c>
      <c r="Z3741" s="8">
        <v>320</v>
      </c>
      <c r="AA3741" s="7">
        <v>45940</v>
      </c>
      <c r="AC3741" s="8">
        <v>326</v>
      </c>
      <c r="AE3741" s="7">
        <v>45945</v>
      </c>
      <c r="AF3741" s="8">
        <v>326</v>
      </c>
      <c r="AH3741" s="7">
        <v>45960</v>
      </c>
      <c r="AN3741" s="8">
        <v>326</v>
      </c>
      <c r="AO3741" s="8">
        <v>-6</v>
      </c>
    </row>
    <row r="3742" spans="1:41" x14ac:dyDescent="0.25">
      <c r="A3742" s="6" t="str">
        <f t="shared" si="934"/>
        <v>525-2025000442</v>
      </c>
      <c r="B3742" s="6" t="str">
        <f t="shared" si="928"/>
        <v>Lasa Int</v>
      </c>
      <c r="C3742" s="7">
        <v>45910</v>
      </c>
      <c r="D3742" s="7">
        <v>46037</v>
      </c>
      <c r="E3742" s="8">
        <v>5</v>
      </c>
      <c r="F3742" s="6" t="str">
        <f t="shared" si="933"/>
        <v>PURE</v>
      </c>
      <c r="G3742" s="6" t="str">
        <f t="shared" si="935"/>
        <v>F100021455000000</v>
      </c>
      <c r="H3742" s="6" t="str">
        <f t="shared" si="936"/>
        <v>FA 214 - PURE - 550</v>
      </c>
      <c r="I3742" s="6" t="str">
        <f>"1359"</f>
        <v>1359</v>
      </c>
      <c r="J3742" s="6" t="str">
        <f>"CASTANHO 1359"</f>
        <v>CASTANHO 1359</v>
      </c>
      <c r="K3742" s="6" t="str">
        <f>"0530"</f>
        <v>0530</v>
      </c>
      <c r="L3742" s="6" t="str">
        <f>"Toalhetes"</f>
        <v>Toalhetes</v>
      </c>
      <c r="M3742" s="6" t="str">
        <f>"33x50"</f>
        <v>33x50</v>
      </c>
      <c r="N3742" s="6" t="str">
        <f>"5602972836394"</f>
        <v>5602972836394</v>
      </c>
      <c r="O3742" s="8">
        <v>450</v>
      </c>
      <c r="P3742" s="7">
        <v>45910</v>
      </c>
      <c r="R3742" s="8">
        <v>3600</v>
      </c>
      <c r="S3742" s="7">
        <v>45915</v>
      </c>
      <c r="U3742" s="8">
        <v>450</v>
      </c>
      <c r="V3742" s="7">
        <v>45926</v>
      </c>
      <c r="X3742" s="8">
        <v>0</v>
      </c>
      <c r="Z3742" s="8">
        <v>450</v>
      </c>
      <c r="AA3742" s="7">
        <v>45940</v>
      </c>
      <c r="AC3742" s="8">
        <v>210</v>
      </c>
      <c r="AE3742" s="7">
        <v>45945</v>
      </c>
      <c r="AF3742" s="8">
        <v>210</v>
      </c>
      <c r="AH3742" s="7">
        <v>45960</v>
      </c>
      <c r="AN3742" s="8">
        <v>210</v>
      </c>
      <c r="AO3742" s="8">
        <v>240</v>
      </c>
    </row>
    <row r="3743" spans="1:41" x14ac:dyDescent="0.25">
      <c r="A3743" s="6" t="str">
        <f t="shared" si="934"/>
        <v>525-2025000442</v>
      </c>
      <c r="B3743" s="6" t="str">
        <f t="shared" si="928"/>
        <v>Lasa Int</v>
      </c>
      <c r="C3743" s="7">
        <v>45910</v>
      </c>
      <c r="D3743" s="7">
        <v>46037</v>
      </c>
      <c r="E3743" s="8">
        <v>6</v>
      </c>
      <c r="F3743" s="6" t="str">
        <f t="shared" si="933"/>
        <v>PURE</v>
      </c>
      <c r="G3743" s="6" t="str">
        <f t="shared" si="935"/>
        <v>F100021455000000</v>
      </c>
      <c r="H3743" s="6" t="str">
        <f t="shared" si="936"/>
        <v>FA 214 - PURE - 550</v>
      </c>
      <c r="I3743" s="6" t="str">
        <f>"1359"</f>
        <v>1359</v>
      </c>
      <c r="J3743" s="6" t="str">
        <f>"CASTANHO 1359"</f>
        <v>CASTANHO 1359</v>
      </c>
      <c r="K3743" s="6" t="str">
        <f>"1024"</f>
        <v>1024</v>
      </c>
      <c r="L3743" s="6" t="str">
        <f>"Toalhas"</f>
        <v>Toalhas</v>
      </c>
      <c r="M3743" s="6" t="str">
        <f>"50x100"</f>
        <v>50x100</v>
      </c>
      <c r="N3743" s="6" t="str">
        <f>"5602972836400"</f>
        <v>5602972836400</v>
      </c>
      <c r="O3743" s="8">
        <v>480</v>
      </c>
      <c r="P3743" s="7">
        <v>45910</v>
      </c>
      <c r="R3743" s="8">
        <v>0</v>
      </c>
      <c r="S3743" s="7">
        <v>45915</v>
      </c>
      <c r="U3743" s="8">
        <v>480</v>
      </c>
      <c r="V3743" s="7">
        <v>45926</v>
      </c>
      <c r="X3743" s="8">
        <v>0</v>
      </c>
      <c r="Z3743" s="8">
        <v>480</v>
      </c>
      <c r="AA3743" s="7">
        <v>45940</v>
      </c>
      <c r="AC3743" s="8">
        <v>502</v>
      </c>
      <c r="AE3743" s="7">
        <v>45945</v>
      </c>
      <c r="AF3743" s="8">
        <v>502</v>
      </c>
      <c r="AH3743" s="7">
        <v>45960</v>
      </c>
      <c r="AN3743" s="8">
        <v>502</v>
      </c>
      <c r="AO3743" s="8">
        <v>-22</v>
      </c>
    </row>
    <row r="3744" spans="1:41" x14ac:dyDescent="0.25">
      <c r="A3744" s="6" t="str">
        <f t="shared" si="934"/>
        <v>525-2025000442</v>
      </c>
      <c r="B3744" s="6" t="str">
        <f t="shared" si="928"/>
        <v>Lasa Int</v>
      </c>
      <c r="C3744" s="7">
        <v>45910</v>
      </c>
      <c r="D3744" s="7">
        <v>46037</v>
      </c>
      <c r="E3744" s="8">
        <v>7</v>
      </c>
      <c r="F3744" s="6" t="str">
        <f t="shared" si="933"/>
        <v>PURE</v>
      </c>
      <c r="G3744" s="6" t="str">
        <f t="shared" si="935"/>
        <v>F100021455000000</v>
      </c>
      <c r="H3744" s="6" t="str">
        <f t="shared" si="936"/>
        <v>FA 214 - PURE - 550</v>
      </c>
      <c r="I3744" s="6" t="str">
        <f>"1359"</f>
        <v>1359</v>
      </c>
      <c r="J3744" s="6" t="str">
        <f>"CASTANHO 1359"</f>
        <v>CASTANHO 1359</v>
      </c>
      <c r="K3744" s="6" t="str">
        <f>"1535"</f>
        <v>1535</v>
      </c>
      <c r="L3744" s="6" t="str">
        <f>"Toalhões"</f>
        <v>Toalhões</v>
      </c>
      <c r="M3744" s="6" t="str">
        <f>"70x140"</f>
        <v>70x140</v>
      </c>
      <c r="N3744" s="6" t="str">
        <f>"5602972836417"</f>
        <v>5602972836417</v>
      </c>
      <c r="O3744" s="8">
        <v>240</v>
      </c>
      <c r="P3744" s="7">
        <v>45910</v>
      </c>
      <c r="R3744" s="8">
        <v>0</v>
      </c>
      <c r="S3744" s="7">
        <v>45915</v>
      </c>
      <c r="U3744" s="8">
        <v>240</v>
      </c>
      <c r="V3744" s="7">
        <v>45926</v>
      </c>
      <c r="X3744" s="8">
        <v>0</v>
      </c>
      <c r="Z3744" s="8">
        <v>240</v>
      </c>
      <c r="AA3744" s="7">
        <v>45940</v>
      </c>
      <c r="AC3744" s="8">
        <v>247</v>
      </c>
      <c r="AE3744" s="7">
        <v>45945</v>
      </c>
      <c r="AF3744" s="8">
        <v>247</v>
      </c>
      <c r="AH3744" s="7">
        <v>45960</v>
      </c>
      <c r="AN3744" s="8">
        <v>247</v>
      </c>
      <c r="AO3744" s="8">
        <v>-7</v>
      </c>
    </row>
    <row r="3745" spans="1:41" x14ac:dyDescent="0.25">
      <c r="A3745" s="6" t="str">
        <f t="shared" si="934"/>
        <v>525-2025000442</v>
      </c>
      <c r="B3745" s="6" t="str">
        <f t="shared" si="928"/>
        <v>Lasa Int</v>
      </c>
      <c r="C3745" s="7">
        <v>45910</v>
      </c>
      <c r="D3745" s="7">
        <v>46037</v>
      </c>
      <c r="E3745" s="8">
        <v>8</v>
      </c>
      <c r="F3745" s="6" t="str">
        <f t="shared" si="933"/>
        <v>PURE</v>
      </c>
      <c r="G3745" s="6" t="str">
        <f t="shared" si="935"/>
        <v>F100021455000000</v>
      </c>
      <c r="H3745" s="6" t="str">
        <f t="shared" si="936"/>
        <v>FA 214 - PURE - 550</v>
      </c>
      <c r="I3745" s="6" t="str">
        <f>"1359"</f>
        <v>1359</v>
      </c>
      <c r="J3745" s="6" t="str">
        <f>"CASTANHO 1359"</f>
        <v>CASTANHO 1359</v>
      </c>
      <c r="K3745" s="6" t="str">
        <f>"2020"</f>
        <v>2020</v>
      </c>
      <c r="L3745" s="6" t="str">
        <f>"Lençóis"</f>
        <v>Lençóis</v>
      </c>
      <c r="M3745" s="6" t="str">
        <f>"100x150"</f>
        <v>100x150</v>
      </c>
      <c r="N3745" s="6" t="str">
        <f>"5602972836424"</f>
        <v>5602972836424</v>
      </c>
      <c r="O3745" s="8">
        <v>80</v>
      </c>
      <c r="P3745" s="7">
        <v>45910</v>
      </c>
      <c r="R3745" s="8">
        <v>0</v>
      </c>
      <c r="S3745" s="7">
        <v>45915</v>
      </c>
      <c r="U3745" s="8">
        <v>80</v>
      </c>
      <c r="V3745" s="7">
        <v>45926</v>
      </c>
      <c r="X3745" s="8">
        <v>0</v>
      </c>
      <c r="Z3745" s="8">
        <v>80</v>
      </c>
      <c r="AA3745" s="7">
        <v>45940</v>
      </c>
      <c r="AC3745" s="8">
        <v>85</v>
      </c>
      <c r="AE3745" s="7">
        <v>45945</v>
      </c>
      <c r="AF3745" s="8">
        <v>85</v>
      </c>
      <c r="AH3745" s="7">
        <v>45960</v>
      </c>
      <c r="AN3745" s="8">
        <v>85</v>
      </c>
      <c r="AO3745" s="8">
        <v>-5</v>
      </c>
    </row>
    <row r="3746" spans="1:41" x14ac:dyDescent="0.25">
      <c r="A3746" s="6" t="str">
        <f t="shared" si="934"/>
        <v>525-2025000442</v>
      </c>
      <c r="B3746" s="6" t="str">
        <f t="shared" si="928"/>
        <v>Lasa Int</v>
      </c>
      <c r="C3746" s="7">
        <v>45910</v>
      </c>
      <c r="D3746" s="7">
        <v>46037</v>
      </c>
      <c r="E3746" s="8">
        <v>9</v>
      </c>
      <c r="F3746" s="6" t="str">
        <f t="shared" si="933"/>
        <v>PURE</v>
      </c>
      <c r="G3746" s="6" t="str">
        <f t="shared" si="935"/>
        <v>F100021455000000</v>
      </c>
      <c r="H3746" s="6" t="str">
        <f t="shared" si="936"/>
        <v>FA 214 - PURE - 550</v>
      </c>
      <c r="I3746" s="6" t="str">
        <f>"2096"</f>
        <v>2096</v>
      </c>
      <c r="J3746" s="6" t="str">
        <f>"AZUL 2096"</f>
        <v>AZUL 2096</v>
      </c>
      <c r="K3746" s="6" t="str">
        <f>"0112"</f>
        <v>0112</v>
      </c>
      <c r="L3746" s="6" t="str">
        <f>"Luvas"</f>
        <v>Luvas</v>
      </c>
      <c r="M3746" s="6" t="str">
        <f>"16x21"</f>
        <v>16x21</v>
      </c>
      <c r="N3746" s="6" t="str">
        <f>"5602972836882"</f>
        <v>5602972836882</v>
      </c>
      <c r="O3746" s="8">
        <v>300</v>
      </c>
      <c r="P3746" s="7">
        <v>45910</v>
      </c>
      <c r="R3746" s="8">
        <v>3600</v>
      </c>
      <c r="S3746" s="7">
        <v>45915</v>
      </c>
      <c r="U3746" s="8">
        <v>300</v>
      </c>
      <c r="V3746" s="7">
        <v>45926</v>
      </c>
      <c r="X3746" s="8">
        <v>0</v>
      </c>
      <c r="Z3746" s="8">
        <v>300</v>
      </c>
      <c r="AA3746" s="7">
        <v>45940</v>
      </c>
      <c r="AC3746" s="8">
        <v>0</v>
      </c>
      <c r="AE3746" s="7">
        <v>45945</v>
      </c>
      <c r="AF3746" s="8">
        <v>0</v>
      </c>
      <c r="AH3746" s="7">
        <v>45960</v>
      </c>
      <c r="AN3746" s="8">
        <v>282</v>
      </c>
      <c r="AO3746" s="8">
        <v>18</v>
      </c>
    </row>
    <row r="3747" spans="1:41" x14ac:dyDescent="0.25">
      <c r="A3747" s="6" t="str">
        <f t="shared" si="934"/>
        <v>525-2025000442</v>
      </c>
      <c r="B3747" s="6" t="str">
        <f t="shared" si="928"/>
        <v>Lasa Int</v>
      </c>
      <c r="C3747" s="7">
        <v>45910</v>
      </c>
      <c r="D3747" s="7">
        <v>46037</v>
      </c>
      <c r="E3747" s="8">
        <v>10</v>
      </c>
      <c r="F3747" s="6" t="str">
        <f t="shared" si="933"/>
        <v>PURE</v>
      </c>
      <c r="G3747" s="6" t="str">
        <f t="shared" si="935"/>
        <v>F100021455000000</v>
      </c>
      <c r="H3747" s="6" t="str">
        <f t="shared" si="936"/>
        <v>FA 214 - PURE - 550</v>
      </c>
      <c r="I3747" s="6" t="str">
        <f>"2096"</f>
        <v>2096</v>
      </c>
      <c r="J3747" s="6" t="str">
        <f>"AZUL 2096"</f>
        <v>AZUL 2096</v>
      </c>
      <c r="K3747" s="6" t="str">
        <f>"1024"</f>
        <v>1024</v>
      </c>
      <c r="L3747" s="6" t="str">
        <f>"Toalhas"</f>
        <v>Toalhas</v>
      </c>
      <c r="M3747" s="6" t="str">
        <f>"50x100"</f>
        <v>50x100</v>
      </c>
      <c r="N3747" s="6" t="str">
        <f>"5602972836905"</f>
        <v>5602972836905</v>
      </c>
      <c r="O3747" s="8">
        <v>240</v>
      </c>
      <c r="P3747" s="7">
        <v>45910</v>
      </c>
      <c r="R3747" s="8">
        <v>0</v>
      </c>
      <c r="S3747" s="7">
        <v>45915</v>
      </c>
      <c r="U3747" s="8">
        <v>240</v>
      </c>
      <c r="V3747" s="7">
        <v>45926</v>
      </c>
      <c r="X3747" s="8">
        <v>0</v>
      </c>
      <c r="Z3747" s="8">
        <v>240</v>
      </c>
      <c r="AA3747" s="7">
        <v>45940</v>
      </c>
      <c r="AC3747" s="8">
        <v>240</v>
      </c>
      <c r="AE3747" s="7">
        <v>45945</v>
      </c>
      <c r="AF3747" s="8">
        <v>240</v>
      </c>
      <c r="AH3747" s="7">
        <v>45960</v>
      </c>
      <c r="AN3747" s="8">
        <v>240</v>
      </c>
      <c r="AO3747" s="8">
        <v>0</v>
      </c>
    </row>
    <row r="3748" spans="1:41" x14ac:dyDescent="0.25">
      <c r="A3748" s="6" t="str">
        <f t="shared" si="934"/>
        <v>525-2025000442</v>
      </c>
      <c r="B3748" s="6" t="str">
        <f t="shared" si="928"/>
        <v>Lasa Int</v>
      </c>
      <c r="C3748" s="7">
        <v>45910</v>
      </c>
      <c r="D3748" s="7">
        <v>46037</v>
      </c>
      <c r="E3748" s="8">
        <v>11</v>
      </c>
      <c r="F3748" s="6" t="str">
        <f t="shared" si="933"/>
        <v>PURE</v>
      </c>
      <c r="G3748" s="6" t="str">
        <f t="shared" si="935"/>
        <v>F100021455000000</v>
      </c>
      <c r="H3748" s="6" t="str">
        <f t="shared" si="936"/>
        <v>FA 214 - PURE - 550</v>
      </c>
      <c r="I3748" s="6" t="str">
        <f>"2096"</f>
        <v>2096</v>
      </c>
      <c r="J3748" s="6" t="str">
        <f>"AZUL 2096"</f>
        <v>AZUL 2096</v>
      </c>
      <c r="K3748" s="6" t="str">
        <f>"1535"</f>
        <v>1535</v>
      </c>
      <c r="L3748" s="6" t="str">
        <f>"Toalhões"</f>
        <v>Toalhões</v>
      </c>
      <c r="M3748" s="6" t="str">
        <f>"70x140"</f>
        <v>70x140</v>
      </c>
      <c r="N3748" s="6" t="str">
        <f>"5602972836912"</f>
        <v>5602972836912</v>
      </c>
      <c r="O3748" s="8">
        <v>480</v>
      </c>
      <c r="P3748" s="7">
        <v>45910</v>
      </c>
      <c r="R3748" s="8">
        <v>0</v>
      </c>
      <c r="S3748" s="7">
        <v>45915</v>
      </c>
      <c r="U3748" s="8">
        <v>480</v>
      </c>
      <c r="V3748" s="7">
        <v>45926</v>
      </c>
      <c r="X3748" s="8">
        <v>0</v>
      </c>
      <c r="Z3748" s="8">
        <v>480</v>
      </c>
      <c r="AA3748" s="7">
        <v>45940</v>
      </c>
      <c r="AC3748" s="8">
        <v>345</v>
      </c>
      <c r="AE3748" s="7">
        <v>45945</v>
      </c>
      <c r="AF3748" s="8">
        <v>345</v>
      </c>
      <c r="AH3748" s="7">
        <v>45960</v>
      </c>
      <c r="AN3748" s="8">
        <v>345</v>
      </c>
      <c r="AO3748" s="8">
        <v>135</v>
      </c>
    </row>
    <row r="3749" spans="1:41" x14ac:dyDescent="0.25">
      <c r="A3749" s="6" t="str">
        <f t="shared" si="934"/>
        <v>525-2025000442</v>
      </c>
      <c r="B3749" s="6" t="str">
        <f t="shared" si="928"/>
        <v>Lasa Int</v>
      </c>
      <c r="C3749" s="7">
        <v>45910</v>
      </c>
      <c r="D3749" s="7">
        <v>46037</v>
      </c>
      <c r="E3749" s="8">
        <v>12</v>
      </c>
      <c r="F3749" s="6" t="str">
        <f t="shared" si="933"/>
        <v>PURE</v>
      </c>
      <c r="G3749" s="6" t="str">
        <f t="shared" si="935"/>
        <v>F100021455000000</v>
      </c>
      <c r="H3749" s="6" t="str">
        <f t="shared" si="936"/>
        <v>FA 214 - PURE - 550</v>
      </c>
      <c r="I3749" s="6" t="str">
        <f>"2096"</f>
        <v>2096</v>
      </c>
      <c r="J3749" s="6" t="str">
        <f>"AZUL 2096"</f>
        <v>AZUL 2096</v>
      </c>
      <c r="K3749" s="6" t="str">
        <f>"2020"</f>
        <v>2020</v>
      </c>
      <c r="L3749" s="6" t="str">
        <f>"Lençóis"</f>
        <v>Lençóis</v>
      </c>
      <c r="M3749" s="6" t="str">
        <f>"100x150"</f>
        <v>100x150</v>
      </c>
      <c r="N3749" s="6" t="str">
        <f>"5602972836929"</f>
        <v>5602972836929</v>
      </c>
      <c r="O3749" s="8">
        <v>160</v>
      </c>
      <c r="P3749" s="7">
        <v>45910</v>
      </c>
      <c r="R3749" s="8">
        <v>0</v>
      </c>
      <c r="S3749" s="7">
        <v>45915</v>
      </c>
      <c r="U3749" s="8">
        <v>160</v>
      </c>
      <c r="V3749" s="7">
        <v>45926</v>
      </c>
      <c r="X3749" s="8">
        <v>0</v>
      </c>
      <c r="Z3749" s="8">
        <v>160</v>
      </c>
      <c r="AA3749" s="7">
        <v>45940</v>
      </c>
      <c r="AC3749" s="8">
        <v>164</v>
      </c>
      <c r="AE3749" s="7">
        <v>45945</v>
      </c>
      <c r="AF3749" s="8">
        <v>164</v>
      </c>
      <c r="AH3749" s="7">
        <v>45960</v>
      </c>
      <c r="AN3749" s="8">
        <v>164</v>
      </c>
      <c r="AO3749" s="8">
        <v>-4</v>
      </c>
    </row>
    <row r="3750" spans="1:41" x14ac:dyDescent="0.25">
      <c r="A3750" s="6" t="str">
        <f t="shared" si="934"/>
        <v>525-2025000442</v>
      </c>
      <c r="B3750" s="6" t="str">
        <f t="shared" si="928"/>
        <v>Lasa Int</v>
      </c>
      <c r="C3750" s="7">
        <v>45910</v>
      </c>
      <c r="D3750" s="7">
        <v>46037</v>
      </c>
      <c r="E3750" s="8">
        <v>13</v>
      </c>
      <c r="F3750" s="6" t="str">
        <f t="shared" si="933"/>
        <v>PURE</v>
      </c>
      <c r="G3750" s="6" t="str">
        <f t="shared" si="935"/>
        <v>F100021455000000</v>
      </c>
      <c r="H3750" s="6" t="str">
        <f t="shared" si="936"/>
        <v>FA 214 - PURE - 550</v>
      </c>
      <c r="I3750" s="6" t="str">
        <f>"3"</f>
        <v>3</v>
      </c>
      <c r="J3750" s="6" t="str">
        <f>"PRETO Sulf"</f>
        <v>PRETO Sulf</v>
      </c>
      <c r="K3750" s="6" t="str">
        <f>"1024"</f>
        <v>1024</v>
      </c>
      <c r="L3750" s="6" t="str">
        <f>"Toalhas"</f>
        <v>Toalhas</v>
      </c>
      <c r="M3750" s="6" t="str">
        <f>"50x100"</f>
        <v>50x100</v>
      </c>
      <c r="N3750" s="6" t="str">
        <f>"5602972837209"</f>
        <v>5602972837209</v>
      </c>
      <c r="O3750" s="8">
        <v>480</v>
      </c>
      <c r="P3750" s="7">
        <v>45910</v>
      </c>
      <c r="R3750" s="8">
        <v>0</v>
      </c>
      <c r="S3750" s="7">
        <v>45915</v>
      </c>
      <c r="U3750" s="8">
        <v>480</v>
      </c>
      <c r="V3750" s="7">
        <v>45926</v>
      </c>
      <c r="X3750" s="8">
        <v>0</v>
      </c>
      <c r="Z3750" s="8">
        <v>480</v>
      </c>
      <c r="AA3750" s="7">
        <v>45940</v>
      </c>
      <c r="AC3750" s="8">
        <v>136</v>
      </c>
      <c r="AE3750" s="7">
        <v>45945</v>
      </c>
      <c r="AF3750" s="8">
        <v>136</v>
      </c>
      <c r="AH3750" s="7">
        <v>45960</v>
      </c>
      <c r="AN3750" s="8">
        <v>136</v>
      </c>
      <c r="AO3750" s="8">
        <v>344</v>
      </c>
    </row>
    <row r="3751" spans="1:41" x14ac:dyDescent="0.25">
      <c r="A3751" s="6" t="str">
        <f t="shared" si="934"/>
        <v>525-2025000442</v>
      </c>
      <c r="B3751" s="6" t="str">
        <f t="shared" si="928"/>
        <v>Lasa Int</v>
      </c>
      <c r="C3751" s="7">
        <v>45910</v>
      </c>
      <c r="D3751" s="7">
        <v>46037</v>
      </c>
      <c r="E3751" s="8">
        <v>14</v>
      </c>
      <c r="F3751" s="6" t="str">
        <f t="shared" si="933"/>
        <v>PURE</v>
      </c>
      <c r="G3751" s="6" t="str">
        <f t="shared" si="935"/>
        <v>F100021455000000</v>
      </c>
      <c r="H3751" s="6" t="str">
        <f t="shared" si="936"/>
        <v>FA 214 - PURE - 550</v>
      </c>
      <c r="I3751" s="6" t="str">
        <f>"3"</f>
        <v>3</v>
      </c>
      <c r="J3751" s="6" t="str">
        <f>"PRETO Sulf"</f>
        <v>PRETO Sulf</v>
      </c>
      <c r="K3751" s="6" t="str">
        <f>"1535"</f>
        <v>1535</v>
      </c>
      <c r="L3751" s="6" t="str">
        <f>"Toalhões"</f>
        <v>Toalhões</v>
      </c>
      <c r="M3751" s="6" t="str">
        <f>"70x140"</f>
        <v>70x140</v>
      </c>
      <c r="N3751" s="6" t="str">
        <f>"5602972837216"</f>
        <v>5602972837216</v>
      </c>
      <c r="O3751" s="8">
        <v>360</v>
      </c>
      <c r="P3751" s="7">
        <v>45910</v>
      </c>
      <c r="R3751" s="8">
        <v>0</v>
      </c>
      <c r="S3751" s="7">
        <v>45915</v>
      </c>
      <c r="U3751" s="8">
        <v>360</v>
      </c>
      <c r="V3751" s="7">
        <v>45926</v>
      </c>
      <c r="X3751" s="8">
        <v>0</v>
      </c>
      <c r="Z3751" s="8">
        <v>360</v>
      </c>
      <c r="AA3751" s="7">
        <v>45940</v>
      </c>
      <c r="AC3751" s="8">
        <v>368</v>
      </c>
      <c r="AE3751" s="7">
        <v>45945</v>
      </c>
      <c r="AF3751" s="8">
        <v>368</v>
      </c>
      <c r="AH3751" s="7">
        <v>45960</v>
      </c>
      <c r="AN3751" s="8">
        <v>368</v>
      </c>
      <c r="AO3751" s="8">
        <v>-8</v>
      </c>
    </row>
    <row r="3752" spans="1:41" x14ac:dyDescent="0.25">
      <c r="A3752" s="6" t="str">
        <f t="shared" si="934"/>
        <v>525-2025000442</v>
      </c>
      <c r="B3752" s="6" t="str">
        <f t="shared" si="928"/>
        <v>Lasa Int</v>
      </c>
      <c r="C3752" s="7">
        <v>45910</v>
      </c>
      <c r="D3752" s="7">
        <v>46037</v>
      </c>
      <c r="E3752" s="8">
        <v>15</v>
      </c>
      <c r="F3752" s="6" t="str">
        <f t="shared" si="933"/>
        <v>PURE</v>
      </c>
      <c r="G3752" s="6" t="str">
        <f t="shared" si="935"/>
        <v>F100021455000000</v>
      </c>
      <c r="H3752" s="6" t="str">
        <f t="shared" si="936"/>
        <v>FA 214 - PURE - 550</v>
      </c>
      <c r="I3752" s="6" t="str">
        <f>"3"</f>
        <v>3</v>
      </c>
      <c r="J3752" s="6" t="str">
        <f>"PRETO Sulf"</f>
        <v>PRETO Sulf</v>
      </c>
      <c r="K3752" s="6" t="str">
        <f>"2020"</f>
        <v>2020</v>
      </c>
      <c r="L3752" s="6" t="str">
        <f>"Lençóis"</f>
        <v>Lençóis</v>
      </c>
      <c r="M3752" s="6" t="str">
        <f>"100x150"</f>
        <v>100x150</v>
      </c>
      <c r="N3752" s="6" t="str">
        <f>"5602972837223"</f>
        <v>5602972837223</v>
      </c>
      <c r="O3752" s="8">
        <v>160</v>
      </c>
      <c r="P3752" s="7">
        <v>45910</v>
      </c>
      <c r="R3752" s="8">
        <v>0</v>
      </c>
      <c r="S3752" s="7">
        <v>45915</v>
      </c>
      <c r="U3752" s="8">
        <v>160</v>
      </c>
      <c r="V3752" s="7">
        <v>45926</v>
      </c>
      <c r="X3752" s="8">
        <v>0</v>
      </c>
      <c r="Z3752" s="8">
        <v>160</v>
      </c>
      <c r="AA3752" s="7">
        <v>45940</v>
      </c>
      <c r="AC3752" s="8">
        <v>48</v>
      </c>
      <c r="AE3752" s="7">
        <v>45945</v>
      </c>
      <c r="AF3752" s="8">
        <v>48</v>
      </c>
      <c r="AH3752" s="7">
        <v>45960</v>
      </c>
      <c r="AN3752" s="8">
        <v>48</v>
      </c>
      <c r="AO3752" s="8">
        <v>112</v>
      </c>
    </row>
    <row r="3753" spans="1:41" x14ac:dyDescent="0.25">
      <c r="A3753" s="6" t="str">
        <f t="shared" si="934"/>
        <v>525-2025000442</v>
      </c>
      <c r="B3753" s="6" t="str">
        <f t="shared" si="928"/>
        <v>Lasa Int</v>
      </c>
      <c r="C3753" s="7">
        <v>45910</v>
      </c>
      <c r="D3753" s="7">
        <v>46037</v>
      </c>
      <c r="E3753" s="8">
        <v>16</v>
      </c>
      <c r="F3753" s="6" t="str">
        <f t="shared" si="933"/>
        <v>PURE</v>
      </c>
      <c r="G3753" s="6" t="str">
        <f t="shared" si="935"/>
        <v>F100021455000000</v>
      </c>
      <c r="H3753" s="6" t="str">
        <f t="shared" si="936"/>
        <v>FA 214 - PURE - 550</v>
      </c>
      <c r="I3753" s="6" t="str">
        <f>"3073"</f>
        <v>3073</v>
      </c>
      <c r="J3753" s="6" t="str">
        <f>"CINZA 3073"</f>
        <v>CINZA 3073</v>
      </c>
      <c r="K3753" s="6" t="str">
        <f>"0112"</f>
        <v>0112</v>
      </c>
      <c r="L3753" s="6" t="str">
        <f>"Luvas"</f>
        <v>Luvas</v>
      </c>
      <c r="M3753" s="6" t="str">
        <f>"16x21"</f>
        <v>16x21</v>
      </c>
      <c r="N3753" s="6" t="str">
        <f>"5602972877878"</f>
        <v>5602972877878</v>
      </c>
      <c r="O3753" s="8">
        <v>300</v>
      </c>
      <c r="P3753" s="7">
        <v>45910</v>
      </c>
      <c r="R3753" s="8">
        <v>0</v>
      </c>
      <c r="S3753" s="7">
        <v>45915</v>
      </c>
      <c r="U3753" s="8">
        <v>300</v>
      </c>
      <c r="V3753" s="7">
        <v>45926</v>
      </c>
      <c r="X3753" s="8">
        <v>0</v>
      </c>
      <c r="Z3753" s="8">
        <v>300</v>
      </c>
      <c r="AA3753" s="7">
        <v>45940</v>
      </c>
      <c r="AC3753" s="8">
        <v>0</v>
      </c>
      <c r="AE3753" s="7">
        <v>45945</v>
      </c>
      <c r="AF3753" s="8">
        <v>0</v>
      </c>
      <c r="AH3753" s="7">
        <v>45960</v>
      </c>
      <c r="AN3753" s="8">
        <v>636</v>
      </c>
      <c r="AO3753" s="8">
        <v>-336</v>
      </c>
    </row>
    <row r="3754" spans="1:41" x14ac:dyDescent="0.25">
      <c r="A3754" s="6" t="str">
        <f t="shared" si="934"/>
        <v>525-2025000442</v>
      </c>
      <c r="B3754" s="6" t="str">
        <f t="shared" si="928"/>
        <v>Lasa Int</v>
      </c>
      <c r="C3754" s="7">
        <v>45910</v>
      </c>
      <c r="D3754" s="7">
        <v>46037</v>
      </c>
      <c r="E3754" s="8">
        <v>17</v>
      </c>
      <c r="F3754" s="6" t="str">
        <f t="shared" si="933"/>
        <v>PURE</v>
      </c>
      <c r="G3754" s="6" t="str">
        <f t="shared" si="935"/>
        <v>F100021455000000</v>
      </c>
      <c r="H3754" s="6" t="str">
        <f t="shared" si="936"/>
        <v>FA 214 - PURE - 550</v>
      </c>
      <c r="I3754" s="6" t="str">
        <f>"3073"</f>
        <v>3073</v>
      </c>
      <c r="J3754" s="6" t="str">
        <f>"CINZA 3073"</f>
        <v>CINZA 3073</v>
      </c>
      <c r="K3754" s="6" t="str">
        <f>"0530"</f>
        <v>0530</v>
      </c>
      <c r="L3754" s="6" t="str">
        <f>"Toalhetes"</f>
        <v>Toalhetes</v>
      </c>
      <c r="M3754" s="6" t="str">
        <f>"33x50"</f>
        <v>33x50</v>
      </c>
      <c r="N3754" s="6" t="str">
        <f>"5602972877885"</f>
        <v>5602972877885</v>
      </c>
      <c r="O3754" s="8">
        <v>450</v>
      </c>
      <c r="P3754" s="7">
        <v>45910</v>
      </c>
      <c r="R3754" s="8">
        <v>0</v>
      </c>
      <c r="S3754" s="7">
        <v>45915</v>
      </c>
      <c r="U3754" s="8">
        <v>450</v>
      </c>
      <c r="V3754" s="7">
        <v>45926</v>
      </c>
      <c r="X3754" s="8">
        <v>0</v>
      </c>
      <c r="Z3754" s="8">
        <v>450</v>
      </c>
      <c r="AA3754" s="7">
        <v>45940</v>
      </c>
      <c r="AC3754" s="8">
        <v>500</v>
      </c>
      <c r="AE3754" s="7">
        <v>45945</v>
      </c>
      <c r="AF3754" s="8">
        <v>500</v>
      </c>
      <c r="AH3754" s="7">
        <v>45960</v>
      </c>
      <c r="AN3754" s="8">
        <v>500</v>
      </c>
      <c r="AO3754" s="8">
        <v>-50</v>
      </c>
    </row>
    <row r="3755" spans="1:41" x14ac:dyDescent="0.25">
      <c r="A3755" s="6" t="str">
        <f t="shared" si="934"/>
        <v>525-2025000442</v>
      </c>
      <c r="B3755" s="6" t="str">
        <f t="shared" si="928"/>
        <v>Lasa Int</v>
      </c>
      <c r="C3755" s="7">
        <v>45910</v>
      </c>
      <c r="D3755" s="7">
        <v>46037</v>
      </c>
      <c r="E3755" s="8">
        <v>18</v>
      </c>
      <c r="F3755" s="6" t="str">
        <f t="shared" si="933"/>
        <v>PURE</v>
      </c>
      <c r="G3755" s="6" t="str">
        <f t="shared" si="935"/>
        <v>F100021455000000</v>
      </c>
      <c r="H3755" s="6" t="str">
        <f t="shared" si="936"/>
        <v>FA 214 - PURE - 550</v>
      </c>
      <c r="I3755" s="6" t="str">
        <f>"3073"</f>
        <v>3073</v>
      </c>
      <c r="J3755" s="6" t="str">
        <f>"CINZA 3073"</f>
        <v>CINZA 3073</v>
      </c>
      <c r="K3755" s="6" t="str">
        <f>"1024"</f>
        <v>1024</v>
      </c>
      <c r="L3755" s="6" t="str">
        <f>"Toalhas"</f>
        <v>Toalhas</v>
      </c>
      <c r="M3755" s="6" t="str">
        <f>"50x100"</f>
        <v>50x100</v>
      </c>
      <c r="N3755" s="6" t="str">
        <f>"5602972877892"</f>
        <v>5602972877892</v>
      </c>
      <c r="O3755" s="8">
        <v>1200</v>
      </c>
      <c r="P3755" s="7">
        <v>45910</v>
      </c>
      <c r="R3755" s="8">
        <v>0</v>
      </c>
      <c r="S3755" s="7">
        <v>45915</v>
      </c>
      <c r="U3755" s="8">
        <v>1200</v>
      </c>
      <c r="V3755" s="7">
        <v>45926</v>
      </c>
      <c r="X3755" s="8">
        <v>0</v>
      </c>
      <c r="Z3755" s="8">
        <v>1200</v>
      </c>
      <c r="AA3755" s="7">
        <v>45940</v>
      </c>
      <c r="AC3755" s="8">
        <v>1228</v>
      </c>
      <c r="AE3755" s="7">
        <v>45945</v>
      </c>
      <c r="AF3755" s="8">
        <v>1228</v>
      </c>
      <c r="AH3755" s="7">
        <v>45960</v>
      </c>
      <c r="AN3755" s="8">
        <v>1198</v>
      </c>
      <c r="AO3755" s="8">
        <v>2</v>
      </c>
    </row>
    <row r="3756" spans="1:41" x14ac:dyDescent="0.25">
      <c r="A3756" s="6" t="str">
        <f t="shared" si="934"/>
        <v>525-2025000442</v>
      </c>
      <c r="B3756" s="6" t="str">
        <f t="shared" si="928"/>
        <v>Lasa Int</v>
      </c>
      <c r="C3756" s="7">
        <v>45910</v>
      </c>
      <c r="D3756" s="7">
        <v>46037</v>
      </c>
      <c r="E3756" s="8">
        <v>19</v>
      </c>
      <c r="F3756" s="6" t="str">
        <f t="shared" si="933"/>
        <v>PURE</v>
      </c>
      <c r="G3756" s="6" t="str">
        <f t="shared" si="935"/>
        <v>F100021455000000</v>
      </c>
      <c r="H3756" s="6" t="str">
        <f t="shared" si="936"/>
        <v>FA 214 - PURE - 550</v>
      </c>
      <c r="I3756" s="6" t="str">
        <f>"3073"</f>
        <v>3073</v>
      </c>
      <c r="J3756" s="6" t="str">
        <f>"CINZA 3073"</f>
        <v>CINZA 3073</v>
      </c>
      <c r="K3756" s="6" t="str">
        <f>"1535"</f>
        <v>1535</v>
      </c>
      <c r="L3756" s="6" t="str">
        <f>"Toalhões"</f>
        <v>Toalhões</v>
      </c>
      <c r="M3756" s="6" t="str">
        <f>"70x140"</f>
        <v>70x140</v>
      </c>
      <c r="N3756" s="6" t="str">
        <f>"5602972877908"</f>
        <v>5602972877908</v>
      </c>
      <c r="O3756" s="8">
        <v>840</v>
      </c>
      <c r="P3756" s="7">
        <v>45910</v>
      </c>
      <c r="R3756" s="8">
        <v>0</v>
      </c>
      <c r="S3756" s="7">
        <v>45915</v>
      </c>
      <c r="U3756" s="8">
        <v>840</v>
      </c>
      <c r="V3756" s="7">
        <v>45926</v>
      </c>
      <c r="X3756" s="8">
        <v>0</v>
      </c>
      <c r="Z3756" s="8">
        <v>840</v>
      </c>
      <c r="AA3756" s="7">
        <v>45940</v>
      </c>
      <c r="AC3756" s="8">
        <v>851</v>
      </c>
      <c r="AE3756" s="7">
        <v>45945</v>
      </c>
      <c r="AF3756" s="8">
        <v>851</v>
      </c>
      <c r="AH3756" s="7">
        <v>45960</v>
      </c>
      <c r="AN3756" s="8">
        <v>851</v>
      </c>
      <c r="AO3756" s="8">
        <v>-11</v>
      </c>
    </row>
    <row r="3757" spans="1:41" x14ac:dyDescent="0.25">
      <c r="A3757" s="6" t="str">
        <f t="shared" si="934"/>
        <v>525-2025000442</v>
      </c>
      <c r="B3757" s="6" t="str">
        <f t="shared" si="928"/>
        <v>Lasa Int</v>
      </c>
      <c r="C3757" s="7">
        <v>45910</v>
      </c>
      <c r="D3757" s="7">
        <v>46037</v>
      </c>
      <c r="E3757" s="8">
        <v>20</v>
      </c>
      <c r="F3757" s="6" t="str">
        <f t="shared" si="933"/>
        <v>PURE</v>
      </c>
      <c r="G3757" s="6" t="str">
        <f t="shared" si="935"/>
        <v>F100021455000000</v>
      </c>
      <c r="H3757" s="6" t="str">
        <f t="shared" si="936"/>
        <v>FA 214 - PURE - 550</v>
      </c>
      <c r="I3757" s="6" t="str">
        <f>"3073"</f>
        <v>3073</v>
      </c>
      <c r="J3757" s="6" t="str">
        <f>"CINZA 3073"</f>
        <v>CINZA 3073</v>
      </c>
      <c r="K3757" s="6" t="str">
        <f>"2020"</f>
        <v>2020</v>
      </c>
      <c r="L3757" s="6" t="str">
        <f>"Lençóis"</f>
        <v>Lençóis</v>
      </c>
      <c r="M3757" s="6" t="str">
        <f>"100x150"</f>
        <v>100x150</v>
      </c>
      <c r="N3757" s="6" t="str">
        <f>"5602972877915"</f>
        <v>5602972877915</v>
      </c>
      <c r="O3757" s="8">
        <v>160</v>
      </c>
      <c r="P3757" s="7">
        <v>45910</v>
      </c>
      <c r="R3757" s="8">
        <v>0</v>
      </c>
      <c r="S3757" s="7">
        <v>45915</v>
      </c>
      <c r="U3757" s="8">
        <v>160</v>
      </c>
      <c r="V3757" s="7">
        <v>45926</v>
      </c>
      <c r="X3757" s="8">
        <v>0</v>
      </c>
      <c r="Z3757" s="8">
        <v>160</v>
      </c>
      <c r="AA3757" s="7">
        <v>45940</v>
      </c>
      <c r="AC3757" s="8">
        <v>166</v>
      </c>
      <c r="AE3757" s="7">
        <v>45945</v>
      </c>
      <c r="AF3757" s="8">
        <v>166</v>
      </c>
      <c r="AH3757" s="7">
        <v>45960</v>
      </c>
      <c r="AN3757" s="8">
        <v>166</v>
      </c>
      <c r="AO3757" s="8">
        <v>-6</v>
      </c>
    </row>
    <row r="3758" spans="1:41" x14ac:dyDescent="0.25">
      <c r="A3758" s="6" t="str">
        <f t="shared" si="934"/>
        <v>525-2025000442</v>
      </c>
      <c r="B3758" s="6" t="str">
        <f t="shared" si="928"/>
        <v>Lasa Int</v>
      </c>
      <c r="C3758" s="7">
        <v>45910</v>
      </c>
      <c r="D3758" s="7">
        <v>46037</v>
      </c>
      <c r="E3758" s="8">
        <v>21</v>
      </c>
      <c r="F3758" s="6" t="str">
        <f t="shared" si="933"/>
        <v>PURE</v>
      </c>
      <c r="G3758" s="6" t="str">
        <f t="shared" si="935"/>
        <v>F100021455000000</v>
      </c>
      <c r="H3758" s="6" t="str">
        <f t="shared" si="936"/>
        <v>FA 214 - PURE - 550</v>
      </c>
      <c r="I3758" s="6" t="str">
        <f>"3234"</f>
        <v>3234</v>
      </c>
      <c r="J3758" s="6" t="str">
        <f>"CASTANHO 3234"</f>
        <v>CASTANHO 3234</v>
      </c>
      <c r="K3758" s="6" t="str">
        <f>"1024"</f>
        <v>1024</v>
      </c>
      <c r="L3758" s="6" t="str">
        <f>"Toalhas"</f>
        <v>Toalhas</v>
      </c>
      <c r="M3758" s="6" t="str">
        <f>"50x100"</f>
        <v>50x100</v>
      </c>
      <c r="N3758" s="6" t="str">
        <f>"5602972895247"</f>
        <v>5602972895247</v>
      </c>
      <c r="O3758" s="8">
        <v>960</v>
      </c>
      <c r="P3758" s="7">
        <v>45910</v>
      </c>
      <c r="R3758" s="8">
        <v>0</v>
      </c>
      <c r="S3758" s="7">
        <v>45915</v>
      </c>
      <c r="U3758" s="8">
        <v>960</v>
      </c>
      <c r="V3758" s="7">
        <v>45926</v>
      </c>
      <c r="X3758" s="8">
        <v>0</v>
      </c>
      <c r="Z3758" s="8">
        <v>960</v>
      </c>
      <c r="AA3758" s="7">
        <v>45940</v>
      </c>
      <c r="AC3758" s="8">
        <v>976</v>
      </c>
      <c r="AE3758" s="7">
        <v>45945</v>
      </c>
      <c r="AF3758" s="8">
        <v>976</v>
      </c>
      <c r="AH3758" s="7">
        <v>45960</v>
      </c>
      <c r="AN3758" s="8">
        <v>976</v>
      </c>
      <c r="AO3758" s="8">
        <v>-16</v>
      </c>
    </row>
    <row r="3759" spans="1:41" x14ac:dyDescent="0.25">
      <c r="A3759" s="6" t="str">
        <f t="shared" si="934"/>
        <v>525-2025000442</v>
      </c>
      <c r="B3759" s="6" t="str">
        <f t="shared" si="928"/>
        <v>Lasa Int</v>
      </c>
      <c r="C3759" s="7">
        <v>45910</v>
      </c>
      <c r="D3759" s="7">
        <v>46037</v>
      </c>
      <c r="E3759" s="8">
        <v>22</v>
      </c>
      <c r="F3759" s="6" t="str">
        <f t="shared" si="933"/>
        <v>PURE</v>
      </c>
      <c r="G3759" s="6" t="str">
        <f t="shared" si="935"/>
        <v>F100021455000000</v>
      </c>
      <c r="H3759" s="6" t="str">
        <f t="shared" si="936"/>
        <v>FA 214 - PURE - 550</v>
      </c>
      <c r="I3759" s="6" t="str">
        <f>"3234"</f>
        <v>3234</v>
      </c>
      <c r="J3759" s="6" t="str">
        <f>"CASTANHO 3234"</f>
        <v>CASTANHO 3234</v>
      </c>
      <c r="K3759" s="6" t="str">
        <f>"1535"</f>
        <v>1535</v>
      </c>
      <c r="L3759" s="6" t="str">
        <f>"Toalhões"</f>
        <v>Toalhões</v>
      </c>
      <c r="M3759" s="6" t="str">
        <f>"70x140"</f>
        <v>70x140</v>
      </c>
      <c r="N3759" s="6" t="str">
        <f>"5602972895254"</f>
        <v>5602972895254</v>
      </c>
      <c r="O3759" s="8">
        <v>960</v>
      </c>
      <c r="P3759" s="7">
        <v>45910</v>
      </c>
      <c r="R3759" s="8">
        <v>0</v>
      </c>
      <c r="S3759" s="7">
        <v>45915</v>
      </c>
      <c r="U3759" s="8">
        <v>960</v>
      </c>
      <c r="V3759" s="7">
        <v>45926</v>
      </c>
      <c r="X3759" s="8">
        <v>0</v>
      </c>
      <c r="Z3759" s="8">
        <v>960</v>
      </c>
      <c r="AA3759" s="7">
        <v>45940</v>
      </c>
      <c r="AC3759" s="8">
        <v>963</v>
      </c>
      <c r="AE3759" s="7">
        <v>45945</v>
      </c>
      <c r="AF3759" s="8">
        <v>963</v>
      </c>
      <c r="AH3759" s="7">
        <v>45960</v>
      </c>
      <c r="AN3759" s="8">
        <v>963</v>
      </c>
      <c r="AO3759" s="8">
        <v>-3</v>
      </c>
    </row>
    <row r="3760" spans="1:41" x14ac:dyDescent="0.25">
      <c r="A3760" s="6" t="str">
        <f t="shared" si="934"/>
        <v>525-2025000442</v>
      </c>
      <c r="B3760" s="6" t="str">
        <f t="shared" si="928"/>
        <v>Lasa Int</v>
      </c>
      <c r="C3760" s="7">
        <v>45910</v>
      </c>
      <c r="D3760" s="7">
        <v>46037</v>
      </c>
      <c r="E3760" s="8">
        <v>23</v>
      </c>
      <c r="F3760" s="6" t="str">
        <f t="shared" si="933"/>
        <v>PURE</v>
      </c>
      <c r="G3760" s="6" t="str">
        <f t="shared" si="935"/>
        <v>F100021455000000</v>
      </c>
      <c r="H3760" s="6" t="str">
        <f t="shared" si="936"/>
        <v>FA 214 - PURE - 550</v>
      </c>
      <c r="I3760" s="6" t="str">
        <f>"3234"</f>
        <v>3234</v>
      </c>
      <c r="J3760" s="6" t="str">
        <f>"CASTANHO 3234"</f>
        <v>CASTANHO 3234</v>
      </c>
      <c r="K3760" s="6" t="str">
        <f>"2020"</f>
        <v>2020</v>
      </c>
      <c r="L3760" s="6" t="str">
        <f>"Lençóis"</f>
        <v>Lençóis</v>
      </c>
      <c r="M3760" s="6" t="str">
        <f>"100x150"</f>
        <v>100x150</v>
      </c>
      <c r="N3760" s="6" t="str">
        <f>"5602972895261"</f>
        <v>5602972895261</v>
      </c>
      <c r="O3760" s="8">
        <v>160</v>
      </c>
      <c r="P3760" s="7">
        <v>45910</v>
      </c>
      <c r="R3760" s="8">
        <v>0</v>
      </c>
      <c r="S3760" s="7">
        <v>45915</v>
      </c>
      <c r="U3760" s="8">
        <v>160</v>
      </c>
      <c r="V3760" s="7">
        <v>45926</v>
      </c>
      <c r="X3760" s="8">
        <v>0</v>
      </c>
      <c r="Z3760" s="8">
        <v>160</v>
      </c>
      <c r="AA3760" s="7">
        <v>45940</v>
      </c>
      <c r="AC3760" s="8">
        <v>165</v>
      </c>
      <c r="AE3760" s="7">
        <v>45945</v>
      </c>
      <c r="AF3760" s="8">
        <v>165</v>
      </c>
      <c r="AH3760" s="7">
        <v>45960</v>
      </c>
      <c r="AN3760" s="8">
        <v>165</v>
      </c>
      <c r="AO3760" s="8">
        <v>-5</v>
      </c>
    </row>
    <row r="3761" spans="1:41" x14ac:dyDescent="0.25">
      <c r="A3761" s="6" t="str">
        <f t="shared" si="934"/>
        <v>525-2025000442</v>
      </c>
      <c r="B3761" s="6" t="str">
        <f t="shared" si="928"/>
        <v>Lasa Int</v>
      </c>
      <c r="C3761" s="7">
        <v>45910</v>
      </c>
      <c r="D3761" s="7">
        <v>46037</v>
      </c>
      <c r="E3761" s="8">
        <v>24</v>
      </c>
      <c r="F3761" s="6" t="str">
        <f t="shared" si="933"/>
        <v>PURE</v>
      </c>
      <c r="G3761" s="6" t="str">
        <f t="shared" si="935"/>
        <v>F100021455000000</v>
      </c>
      <c r="H3761" s="6" t="str">
        <f t="shared" si="936"/>
        <v>FA 214 - PURE - 550</v>
      </c>
      <c r="I3761" s="6" t="str">
        <f>"3234"</f>
        <v>3234</v>
      </c>
      <c r="J3761" s="6" t="str">
        <f>"CASTANHO 3234"</f>
        <v>CASTANHO 3234</v>
      </c>
      <c r="K3761" s="6" t="str">
        <f>"2030"</f>
        <v>2030</v>
      </c>
      <c r="L3761" s="6" t="str">
        <f>"Lençóis"</f>
        <v>Lençóis</v>
      </c>
      <c r="M3761" s="6" t="str">
        <f>"100x180"</f>
        <v>100x180</v>
      </c>
      <c r="N3761" s="6" t="str">
        <f>"5602972674194"</f>
        <v>5602972674194</v>
      </c>
      <c r="O3761" s="8">
        <v>60</v>
      </c>
      <c r="P3761" s="7">
        <v>45910</v>
      </c>
      <c r="R3761" s="8">
        <v>0</v>
      </c>
      <c r="S3761" s="7">
        <v>45915</v>
      </c>
      <c r="U3761" s="8">
        <v>60</v>
      </c>
      <c r="V3761" s="7">
        <v>45926</v>
      </c>
      <c r="X3761" s="8">
        <v>0</v>
      </c>
      <c r="Z3761" s="8">
        <v>60</v>
      </c>
      <c r="AA3761" s="7">
        <v>45940</v>
      </c>
      <c r="AC3761" s="8">
        <v>17</v>
      </c>
      <c r="AE3761" s="7">
        <v>45945</v>
      </c>
      <c r="AF3761" s="8">
        <v>17</v>
      </c>
      <c r="AH3761" s="7">
        <v>45960</v>
      </c>
      <c r="AN3761" s="8">
        <v>17</v>
      </c>
      <c r="AO3761" s="8">
        <v>43</v>
      </c>
    </row>
    <row r="3762" spans="1:41" x14ac:dyDescent="0.25">
      <c r="A3762" s="6" t="str">
        <f t="shared" si="934"/>
        <v>525-2025000442</v>
      </c>
      <c r="B3762" s="6" t="str">
        <f t="shared" si="928"/>
        <v>Lasa Int</v>
      </c>
      <c r="C3762" s="7">
        <v>45910</v>
      </c>
      <c r="D3762" s="7">
        <v>46037</v>
      </c>
      <c r="E3762" s="8">
        <v>25</v>
      </c>
      <c r="F3762" s="6" t="str">
        <f t="shared" si="933"/>
        <v>PURE</v>
      </c>
      <c r="G3762" s="6" t="str">
        <f t="shared" si="935"/>
        <v>F100021455000000</v>
      </c>
      <c r="H3762" s="6" t="str">
        <f t="shared" si="936"/>
        <v>FA 214 - PURE - 550</v>
      </c>
      <c r="I3762" s="6" t="str">
        <f>"3968"</f>
        <v>3968</v>
      </c>
      <c r="J3762" s="6" t="str">
        <f>"BORDEAUX 3968"</f>
        <v>BORDEAUX 3968</v>
      </c>
      <c r="K3762" s="6" t="str">
        <f>"1024"</f>
        <v>1024</v>
      </c>
      <c r="L3762" s="6" t="str">
        <f>"Toalhas"</f>
        <v>Toalhas</v>
      </c>
      <c r="M3762" s="6" t="str">
        <f>"50x100"</f>
        <v>50x100</v>
      </c>
      <c r="N3762" s="6" t="str">
        <f>"5602972761429"</f>
        <v>5602972761429</v>
      </c>
      <c r="O3762" s="8">
        <v>720</v>
      </c>
      <c r="P3762" s="7">
        <v>45910</v>
      </c>
      <c r="R3762" s="8">
        <v>0</v>
      </c>
      <c r="S3762" s="7">
        <v>45915</v>
      </c>
      <c r="U3762" s="8">
        <v>720</v>
      </c>
      <c r="V3762" s="7">
        <v>45926</v>
      </c>
      <c r="X3762" s="8">
        <v>0</v>
      </c>
      <c r="Z3762" s="8">
        <v>720</v>
      </c>
      <c r="AA3762" s="7">
        <v>45940</v>
      </c>
      <c r="AC3762" s="8">
        <v>852</v>
      </c>
      <c r="AE3762" s="7">
        <v>45945</v>
      </c>
      <c r="AF3762" s="8">
        <v>852</v>
      </c>
      <c r="AH3762" s="7">
        <v>45960</v>
      </c>
      <c r="AN3762" s="8">
        <v>852</v>
      </c>
      <c r="AO3762" s="8">
        <v>-132</v>
      </c>
    </row>
    <row r="3763" spans="1:41" x14ac:dyDescent="0.25">
      <c r="A3763" s="6" t="str">
        <f t="shared" si="934"/>
        <v>525-2025000442</v>
      </c>
      <c r="B3763" s="6" t="str">
        <f t="shared" si="928"/>
        <v>Lasa Int</v>
      </c>
      <c r="C3763" s="7">
        <v>45910</v>
      </c>
      <c r="D3763" s="7">
        <v>46037</v>
      </c>
      <c r="E3763" s="8">
        <v>26</v>
      </c>
      <c r="F3763" s="6" t="str">
        <f t="shared" si="933"/>
        <v>PURE</v>
      </c>
      <c r="G3763" s="6" t="str">
        <f t="shared" si="935"/>
        <v>F100021455000000</v>
      </c>
      <c r="H3763" s="6" t="str">
        <f t="shared" si="936"/>
        <v>FA 214 - PURE - 550</v>
      </c>
      <c r="I3763" s="6" t="str">
        <f>"3968"</f>
        <v>3968</v>
      </c>
      <c r="J3763" s="6" t="str">
        <f>"BORDEAUX 3968"</f>
        <v>BORDEAUX 3968</v>
      </c>
      <c r="K3763" s="6" t="str">
        <f>"1535"</f>
        <v>1535</v>
      </c>
      <c r="L3763" s="6" t="str">
        <f>"Toalhões"</f>
        <v>Toalhões</v>
      </c>
      <c r="M3763" s="6" t="str">
        <f>"70x140"</f>
        <v>70x140</v>
      </c>
      <c r="N3763" s="6" t="str">
        <f>"5602972761436"</f>
        <v>5602972761436</v>
      </c>
      <c r="O3763" s="8">
        <v>240</v>
      </c>
      <c r="P3763" s="7">
        <v>45910</v>
      </c>
      <c r="R3763" s="8">
        <v>0</v>
      </c>
      <c r="S3763" s="7">
        <v>45915</v>
      </c>
      <c r="U3763" s="8">
        <v>240</v>
      </c>
      <c r="V3763" s="7">
        <v>45926</v>
      </c>
      <c r="X3763" s="8">
        <v>0</v>
      </c>
      <c r="Z3763" s="8">
        <v>240</v>
      </c>
      <c r="AA3763" s="7">
        <v>45940</v>
      </c>
      <c r="AC3763" s="8">
        <v>189</v>
      </c>
      <c r="AE3763" s="7">
        <v>45945</v>
      </c>
      <c r="AF3763" s="8">
        <v>189</v>
      </c>
      <c r="AH3763" s="7">
        <v>45960</v>
      </c>
      <c r="AN3763" s="8">
        <v>189</v>
      </c>
      <c r="AO3763" s="8">
        <v>51</v>
      </c>
    </row>
    <row r="3764" spans="1:41" x14ac:dyDescent="0.25">
      <c r="A3764" s="6" t="str">
        <f t="shared" si="934"/>
        <v>525-2025000442</v>
      </c>
      <c r="B3764" s="6" t="str">
        <f t="shared" si="928"/>
        <v>Lasa Int</v>
      </c>
      <c r="C3764" s="7">
        <v>45910</v>
      </c>
      <c r="D3764" s="7">
        <v>46037</v>
      </c>
      <c r="E3764" s="8">
        <v>27</v>
      </c>
      <c r="F3764" s="6" t="str">
        <f t="shared" si="933"/>
        <v>PURE</v>
      </c>
      <c r="G3764" s="6" t="str">
        <f t="shared" si="935"/>
        <v>F100021455000000</v>
      </c>
      <c r="H3764" s="6" t="str">
        <f t="shared" si="936"/>
        <v>FA 214 - PURE - 550</v>
      </c>
      <c r="I3764" s="6" t="str">
        <f>"4382"</f>
        <v>4382</v>
      </c>
      <c r="J3764" s="6" t="str">
        <f>"AMARELO 4382"</f>
        <v>AMARELO 4382</v>
      </c>
      <c r="K3764" s="6" t="str">
        <f>"0112"</f>
        <v>0112</v>
      </c>
      <c r="L3764" s="6" t="str">
        <f>"Luvas"</f>
        <v>Luvas</v>
      </c>
      <c r="M3764" s="6" t="str">
        <f>"16x21"</f>
        <v>16x21</v>
      </c>
      <c r="N3764" s="6" t="str">
        <f>"5602972795288"</f>
        <v>5602972795288</v>
      </c>
      <c r="O3764" s="8">
        <v>300</v>
      </c>
      <c r="P3764" s="7">
        <v>45910</v>
      </c>
      <c r="R3764" s="8">
        <v>0</v>
      </c>
      <c r="S3764" s="7">
        <v>45915</v>
      </c>
      <c r="U3764" s="8">
        <v>300</v>
      </c>
      <c r="V3764" s="7">
        <v>45926</v>
      </c>
      <c r="X3764" s="8">
        <v>0</v>
      </c>
      <c r="Z3764" s="8">
        <v>300</v>
      </c>
      <c r="AA3764" s="7">
        <v>45940</v>
      </c>
      <c r="AC3764" s="8">
        <v>0</v>
      </c>
      <c r="AE3764" s="7">
        <v>45945</v>
      </c>
      <c r="AF3764" s="8">
        <v>0</v>
      </c>
      <c r="AH3764" s="7">
        <v>45960</v>
      </c>
      <c r="AN3764" s="8">
        <v>252</v>
      </c>
      <c r="AO3764" s="8">
        <v>48</v>
      </c>
    </row>
    <row r="3765" spans="1:41" x14ac:dyDescent="0.25">
      <c r="A3765" s="6" t="str">
        <f t="shared" si="934"/>
        <v>525-2025000442</v>
      </c>
      <c r="B3765" s="6" t="str">
        <f t="shared" si="928"/>
        <v>Lasa Int</v>
      </c>
      <c r="C3765" s="7">
        <v>45910</v>
      </c>
      <c r="D3765" s="7">
        <v>46037</v>
      </c>
      <c r="E3765" s="8">
        <v>28</v>
      </c>
      <c r="F3765" s="6" t="str">
        <f t="shared" si="933"/>
        <v>PURE</v>
      </c>
      <c r="G3765" s="6" t="str">
        <f t="shared" si="935"/>
        <v>F100021455000000</v>
      </c>
      <c r="H3765" s="6" t="str">
        <f t="shared" si="936"/>
        <v>FA 214 - PURE - 550</v>
      </c>
      <c r="I3765" s="6" t="str">
        <f>"4382"</f>
        <v>4382</v>
      </c>
      <c r="J3765" s="6" t="str">
        <f>"AMARELO 4382"</f>
        <v>AMARELO 4382</v>
      </c>
      <c r="K3765" s="6" t="str">
        <f>"1024"</f>
        <v>1024</v>
      </c>
      <c r="L3765" s="6" t="str">
        <f>"Toalhas"</f>
        <v>Toalhas</v>
      </c>
      <c r="M3765" s="6" t="str">
        <f>"50x100"</f>
        <v>50x100</v>
      </c>
      <c r="N3765" s="6" t="str">
        <f>"5602972795301"</f>
        <v>5602972795301</v>
      </c>
      <c r="O3765" s="8">
        <v>240</v>
      </c>
      <c r="P3765" s="7">
        <v>45910</v>
      </c>
      <c r="R3765" s="8">
        <v>0</v>
      </c>
      <c r="S3765" s="7">
        <v>45915</v>
      </c>
      <c r="U3765" s="8">
        <v>240</v>
      </c>
      <c r="V3765" s="7">
        <v>45926</v>
      </c>
      <c r="X3765" s="8">
        <v>0</v>
      </c>
      <c r="Z3765" s="8">
        <v>240</v>
      </c>
      <c r="AA3765" s="7">
        <v>45940</v>
      </c>
      <c r="AC3765" s="8">
        <v>256</v>
      </c>
      <c r="AE3765" s="7">
        <v>45945</v>
      </c>
      <c r="AF3765" s="8">
        <v>256</v>
      </c>
      <c r="AH3765" s="7">
        <v>45960</v>
      </c>
      <c r="AN3765" s="8">
        <v>256</v>
      </c>
      <c r="AO3765" s="8">
        <v>-16</v>
      </c>
    </row>
    <row r="3766" spans="1:41" x14ac:dyDescent="0.25">
      <c r="A3766" s="6" t="str">
        <f t="shared" si="934"/>
        <v>525-2025000442</v>
      </c>
      <c r="B3766" s="6" t="str">
        <f t="shared" si="928"/>
        <v>Lasa Int</v>
      </c>
      <c r="C3766" s="7">
        <v>45910</v>
      </c>
      <c r="D3766" s="7">
        <v>46037</v>
      </c>
      <c r="E3766" s="8">
        <v>29</v>
      </c>
      <c r="F3766" s="6" t="str">
        <f t="shared" si="933"/>
        <v>PURE</v>
      </c>
      <c r="G3766" s="6" t="str">
        <f t="shared" si="935"/>
        <v>F100021455000000</v>
      </c>
      <c r="H3766" s="6" t="str">
        <f t="shared" si="936"/>
        <v>FA 214 - PURE - 550</v>
      </c>
      <c r="I3766" s="6" t="str">
        <f>"4382"</f>
        <v>4382</v>
      </c>
      <c r="J3766" s="6" t="str">
        <f>"AMARELO 4382"</f>
        <v>AMARELO 4382</v>
      </c>
      <c r="K3766" s="6" t="str">
        <f>"1535"</f>
        <v>1535</v>
      </c>
      <c r="L3766" s="6" t="str">
        <f>"Toalhões"</f>
        <v>Toalhões</v>
      </c>
      <c r="M3766" s="6" t="str">
        <f>"70x140"</f>
        <v>70x140</v>
      </c>
      <c r="N3766" s="6" t="str">
        <f>"5602972795318"</f>
        <v>5602972795318</v>
      </c>
      <c r="O3766" s="8">
        <v>360</v>
      </c>
      <c r="P3766" s="7">
        <v>45910</v>
      </c>
      <c r="R3766" s="8">
        <v>0</v>
      </c>
      <c r="S3766" s="7">
        <v>45915</v>
      </c>
      <c r="U3766" s="8">
        <v>360</v>
      </c>
      <c r="V3766" s="7">
        <v>45926</v>
      </c>
      <c r="X3766" s="8">
        <v>0</v>
      </c>
      <c r="Z3766" s="8">
        <v>360</v>
      </c>
      <c r="AA3766" s="7">
        <v>45940</v>
      </c>
      <c r="AC3766" s="8">
        <v>319</v>
      </c>
      <c r="AE3766" s="7">
        <v>45945</v>
      </c>
      <c r="AF3766" s="8">
        <v>319</v>
      </c>
      <c r="AH3766" s="7">
        <v>45960</v>
      </c>
      <c r="AN3766" s="8">
        <v>319</v>
      </c>
      <c r="AO3766" s="8">
        <v>41</v>
      </c>
    </row>
    <row r="3767" spans="1:41" x14ac:dyDescent="0.25">
      <c r="A3767" s="6" t="str">
        <f t="shared" si="934"/>
        <v>525-2025000442</v>
      </c>
      <c r="B3767" s="6" t="str">
        <f t="shared" si="928"/>
        <v>Lasa Int</v>
      </c>
      <c r="C3767" s="7">
        <v>45910</v>
      </c>
      <c r="D3767" s="7">
        <v>46037</v>
      </c>
      <c r="E3767" s="8">
        <v>30</v>
      </c>
      <c r="F3767" s="6" t="str">
        <f t="shared" si="933"/>
        <v>PURE</v>
      </c>
      <c r="G3767" s="6" t="str">
        <f t="shared" si="935"/>
        <v>F100021455000000</v>
      </c>
      <c r="H3767" s="6" t="str">
        <f t="shared" si="936"/>
        <v>FA 214 - PURE - 550</v>
      </c>
      <c r="I3767" s="6" t="str">
        <f>"4382"</f>
        <v>4382</v>
      </c>
      <c r="J3767" s="6" t="str">
        <f>"AMARELO 4382"</f>
        <v>AMARELO 4382</v>
      </c>
      <c r="K3767" s="6" t="str">
        <f>"2020"</f>
        <v>2020</v>
      </c>
      <c r="L3767" s="6" t="str">
        <f>"Lençóis"</f>
        <v>Lençóis</v>
      </c>
      <c r="M3767" s="6" t="str">
        <f>"100x150"</f>
        <v>100x150</v>
      </c>
      <c r="N3767" s="6" t="str">
        <f>"5602972795325"</f>
        <v>5602972795325</v>
      </c>
      <c r="O3767" s="8">
        <v>160</v>
      </c>
      <c r="P3767" s="7">
        <v>45910</v>
      </c>
      <c r="R3767" s="8">
        <v>0</v>
      </c>
      <c r="S3767" s="7">
        <v>45915</v>
      </c>
      <c r="U3767" s="8">
        <v>160</v>
      </c>
      <c r="V3767" s="7">
        <v>45926</v>
      </c>
      <c r="X3767" s="8">
        <v>0</v>
      </c>
      <c r="Z3767" s="8">
        <v>160</v>
      </c>
      <c r="AA3767" s="7">
        <v>45940</v>
      </c>
      <c r="AC3767" s="8">
        <v>165</v>
      </c>
      <c r="AE3767" s="7">
        <v>45945</v>
      </c>
      <c r="AF3767" s="8">
        <v>165</v>
      </c>
      <c r="AH3767" s="7">
        <v>45960</v>
      </c>
      <c r="AN3767" s="8">
        <v>165</v>
      </c>
      <c r="AO3767" s="8">
        <v>-5</v>
      </c>
    </row>
    <row r="3768" spans="1:41" x14ac:dyDescent="0.25">
      <c r="A3768" s="6" t="str">
        <f t="shared" si="934"/>
        <v>525-2025000442</v>
      </c>
      <c r="B3768" s="6" t="str">
        <f t="shared" si="928"/>
        <v>Lasa Int</v>
      </c>
      <c r="C3768" s="7">
        <v>45910</v>
      </c>
      <c r="D3768" s="7">
        <v>46037</v>
      </c>
      <c r="E3768" s="8">
        <v>31</v>
      </c>
      <c r="F3768" s="6" t="str">
        <f t="shared" si="933"/>
        <v>PURE</v>
      </c>
      <c r="G3768" s="6" t="str">
        <f t="shared" si="935"/>
        <v>F100021455000000</v>
      </c>
      <c r="H3768" s="6" t="str">
        <f t="shared" si="936"/>
        <v>FA 214 - PURE - 550</v>
      </c>
      <c r="I3768" s="6" t="str">
        <f>"4387"</f>
        <v>4387</v>
      </c>
      <c r="J3768" s="6" t="str">
        <f>"VERDE 4387"</f>
        <v>VERDE 4387</v>
      </c>
      <c r="K3768" s="6" t="str">
        <f>"1024"</f>
        <v>1024</v>
      </c>
      <c r="L3768" s="6" t="str">
        <f>"Toalhas"</f>
        <v>Toalhas</v>
      </c>
      <c r="M3768" s="6" t="str">
        <f>"50x100"</f>
        <v>50x100</v>
      </c>
      <c r="N3768" s="6" t="str">
        <f>"5602972795608"</f>
        <v>5602972795608</v>
      </c>
      <c r="O3768" s="8">
        <v>480</v>
      </c>
      <c r="P3768" s="7">
        <v>45910</v>
      </c>
      <c r="R3768" s="8">
        <v>0</v>
      </c>
      <c r="S3768" s="7">
        <v>45915</v>
      </c>
      <c r="U3768" s="8">
        <v>480</v>
      </c>
      <c r="V3768" s="7">
        <v>45926</v>
      </c>
      <c r="X3768" s="8">
        <v>0</v>
      </c>
      <c r="Z3768" s="8">
        <v>480</v>
      </c>
      <c r="AA3768" s="7">
        <v>45940</v>
      </c>
      <c r="AC3768" s="8">
        <v>490</v>
      </c>
      <c r="AE3768" s="7">
        <v>45945</v>
      </c>
      <c r="AF3768" s="8">
        <v>490</v>
      </c>
      <c r="AH3768" s="7">
        <v>45960</v>
      </c>
      <c r="AN3768" s="8">
        <v>490</v>
      </c>
      <c r="AO3768" s="8">
        <v>-10</v>
      </c>
    </row>
    <row r="3769" spans="1:41" x14ac:dyDescent="0.25">
      <c r="A3769" s="6" t="str">
        <f t="shared" si="934"/>
        <v>525-2025000442</v>
      </c>
      <c r="B3769" s="6" t="str">
        <f t="shared" si="928"/>
        <v>Lasa Int</v>
      </c>
      <c r="C3769" s="7">
        <v>45910</v>
      </c>
      <c r="D3769" s="7">
        <v>46037</v>
      </c>
      <c r="E3769" s="8">
        <v>32</v>
      </c>
      <c r="F3769" s="6" t="str">
        <f t="shared" si="933"/>
        <v>PURE</v>
      </c>
      <c r="G3769" s="6" t="str">
        <f t="shared" si="935"/>
        <v>F100021455000000</v>
      </c>
      <c r="H3769" s="6" t="str">
        <f t="shared" si="936"/>
        <v>FA 214 - PURE - 550</v>
      </c>
      <c r="I3769" s="6" t="str">
        <f>"4387"</f>
        <v>4387</v>
      </c>
      <c r="J3769" s="6" t="str">
        <f>"VERDE 4387"</f>
        <v>VERDE 4387</v>
      </c>
      <c r="K3769" s="6" t="str">
        <f>"1535"</f>
        <v>1535</v>
      </c>
      <c r="L3769" s="6" t="str">
        <f>"Toalhões"</f>
        <v>Toalhões</v>
      </c>
      <c r="M3769" s="6" t="str">
        <f>"70x140"</f>
        <v>70x140</v>
      </c>
      <c r="N3769" s="6" t="str">
        <f>"5602972795615"</f>
        <v>5602972795615</v>
      </c>
      <c r="O3769" s="8">
        <v>240</v>
      </c>
      <c r="P3769" s="7">
        <v>45910</v>
      </c>
      <c r="R3769" s="8">
        <v>0</v>
      </c>
      <c r="S3769" s="7">
        <v>45915</v>
      </c>
      <c r="U3769" s="8">
        <v>240</v>
      </c>
      <c r="V3769" s="7">
        <v>45926</v>
      </c>
      <c r="X3769" s="8">
        <v>0</v>
      </c>
      <c r="Z3769" s="8">
        <v>240</v>
      </c>
      <c r="AA3769" s="7">
        <v>45940</v>
      </c>
      <c r="AC3769" s="8">
        <v>227</v>
      </c>
      <c r="AE3769" s="7">
        <v>45945</v>
      </c>
      <c r="AF3769" s="8">
        <v>227</v>
      </c>
      <c r="AH3769" s="7">
        <v>45960</v>
      </c>
      <c r="AN3769" s="8">
        <v>227</v>
      </c>
      <c r="AO3769" s="8">
        <v>13</v>
      </c>
    </row>
    <row r="3770" spans="1:41" x14ac:dyDescent="0.25">
      <c r="A3770" s="6" t="str">
        <f t="shared" si="934"/>
        <v>525-2025000442</v>
      </c>
      <c r="B3770" s="6" t="str">
        <f t="shared" si="928"/>
        <v>Lasa Int</v>
      </c>
      <c r="C3770" s="7">
        <v>45910</v>
      </c>
      <c r="D3770" s="7">
        <v>46037</v>
      </c>
      <c r="E3770" s="8">
        <v>33</v>
      </c>
      <c r="F3770" s="6" t="str">
        <f t="shared" si="933"/>
        <v>PURE</v>
      </c>
      <c r="G3770" s="6" t="str">
        <f t="shared" si="935"/>
        <v>F100021455000000</v>
      </c>
      <c r="H3770" s="6" t="str">
        <f t="shared" si="936"/>
        <v>FA 214 - PURE - 550</v>
      </c>
      <c r="I3770" s="6" t="str">
        <f>"4387"</f>
        <v>4387</v>
      </c>
      <c r="J3770" s="6" t="str">
        <f>"VERDE 4387"</f>
        <v>VERDE 4387</v>
      </c>
      <c r="K3770" s="6" t="str">
        <f>"2020"</f>
        <v>2020</v>
      </c>
      <c r="L3770" s="6" t="str">
        <f>"Lençóis"</f>
        <v>Lençóis</v>
      </c>
      <c r="M3770" s="6" t="str">
        <f>"100x150"</f>
        <v>100x150</v>
      </c>
      <c r="N3770" s="6" t="str">
        <f>"5602972795622"</f>
        <v>5602972795622</v>
      </c>
      <c r="O3770" s="8">
        <v>240</v>
      </c>
      <c r="P3770" s="7">
        <v>45910</v>
      </c>
      <c r="R3770" s="8">
        <v>0</v>
      </c>
      <c r="S3770" s="7">
        <v>45915</v>
      </c>
      <c r="U3770" s="8">
        <v>240</v>
      </c>
      <c r="V3770" s="7">
        <v>45926</v>
      </c>
      <c r="X3770" s="8">
        <v>0</v>
      </c>
      <c r="Z3770" s="8">
        <v>240</v>
      </c>
      <c r="AA3770" s="7">
        <v>45940</v>
      </c>
      <c r="AC3770" s="8">
        <v>191</v>
      </c>
      <c r="AE3770" s="7">
        <v>45945</v>
      </c>
      <c r="AF3770" s="8">
        <v>191</v>
      </c>
      <c r="AH3770" s="7">
        <v>45960</v>
      </c>
      <c r="AN3770" s="8">
        <v>191</v>
      </c>
      <c r="AO3770" s="8">
        <v>49</v>
      </c>
    </row>
    <row r="3771" spans="1:41" x14ac:dyDescent="0.25">
      <c r="A3771" s="6" t="str">
        <f t="shared" si="934"/>
        <v>525-2025000442</v>
      </c>
      <c r="B3771" s="6" t="str">
        <f t="shared" si="928"/>
        <v>Lasa Int</v>
      </c>
      <c r="C3771" s="7">
        <v>45910</v>
      </c>
      <c r="D3771" s="7">
        <v>46037</v>
      </c>
      <c r="E3771" s="8">
        <v>34</v>
      </c>
      <c r="F3771" s="6" t="str">
        <f t="shared" si="933"/>
        <v>PURE</v>
      </c>
      <c r="G3771" s="6" t="str">
        <f t="shared" si="935"/>
        <v>F100021455000000</v>
      </c>
      <c r="H3771" s="6" t="str">
        <f t="shared" si="936"/>
        <v>FA 214 - PURE - 550</v>
      </c>
      <c r="I3771" s="6" t="str">
        <f>"784"</f>
        <v>784</v>
      </c>
      <c r="J3771" s="6" t="str">
        <f>"ROSA 784"</f>
        <v>ROSA 784</v>
      </c>
      <c r="K3771" s="6" t="str">
        <f>"0112"</f>
        <v>0112</v>
      </c>
      <c r="L3771" s="6" t="str">
        <f>"Luvas"</f>
        <v>Luvas</v>
      </c>
      <c r="M3771" s="6" t="str">
        <f>"16x21"</f>
        <v>16x21</v>
      </c>
      <c r="N3771" s="6" t="str">
        <f>"5602972836738"</f>
        <v>5602972836738</v>
      </c>
      <c r="O3771" s="8">
        <v>300</v>
      </c>
      <c r="P3771" s="7">
        <v>45910</v>
      </c>
      <c r="R3771" s="8">
        <v>0</v>
      </c>
      <c r="S3771" s="7">
        <v>45915</v>
      </c>
      <c r="U3771" s="8">
        <v>300</v>
      </c>
      <c r="V3771" s="7">
        <v>45926</v>
      </c>
      <c r="X3771" s="8">
        <v>0</v>
      </c>
      <c r="Z3771" s="8">
        <v>300</v>
      </c>
      <c r="AA3771" s="7">
        <v>45940</v>
      </c>
      <c r="AC3771" s="8">
        <v>0</v>
      </c>
      <c r="AE3771" s="7">
        <v>45945</v>
      </c>
      <c r="AF3771" s="8">
        <v>0</v>
      </c>
      <c r="AH3771" s="7">
        <v>45960</v>
      </c>
      <c r="AN3771" s="8">
        <v>294</v>
      </c>
      <c r="AO3771" s="8">
        <v>6</v>
      </c>
    </row>
    <row r="3772" spans="1:41" x14ac:dyDescent="0.25">
      <c r="A3772" s="6" t="str">
        <f t="shared" si="934"/>
        <v>525-2025000442</v>
      </c>
      <c r="B3772" s="6" t="str">
        <f t="shared" si="928"/>
        <v>Lasa Int</v>
      </c>
      <c r="C3772" s="7">
        <v>45910</v>
      </c>
      <c r="D3772" s="7">
        <v>46037</v>
      </c>
      <c r="E3772" s="8">
        <v>35</v>
      </c>
      <c r="F3772" s="6" t="str">
        <f t="shared" si="933"/>
        <v>PURE</v>
      </c>
      <c r="G3772" s="6" t="str">
        <f t="shared" si="935"/>
        <v>F100021455000000</v>
      </c>
      <c r="H3772" s="6" t="str">
        <f t="shared" si="936"/>
        <v>FA 214 - PURE - 550</v>
      </c>
      <c r="I3772" s="6" t="str">
        <f>"784"</f>
        <v>784</v>
      </c>
      <c r="J3772" s="6" t="str">
        <f>"ROSA 784"</f>
        <v>ROSA 784</v>
      </c>
      <c r="K3772" s="6" t="str">
        <f>"0530"</f>
        <v>0530</v>
      </c>
      <c r="L3772" s="6" t="str">
        <f>"Toalhetes"</f>
        <v>Toalhetes</v>
      </c>
      <c r="M3772" s="6" t="str">
        <f>"33x50"</f>
        <v>33x50</v>
      </c>
      <c r="N3772" s="6" t="str">
        <f>"5602972836745"</f>
        <v>5602972836745</v>
      </c>
      <c r="O3772" s="8">
        <v>450</v>
      </c>
      <c r="P3772" s="7">
        <v>45910</v>
      </c>
      <c r="R3772" s="8">
        <v>0</v>
      </c>
      <c r="S3772" s="7">
        <v>45915</v>
      </c>
      <c r="U3772" s="8">
        <v>450</v>
      </c>
      <c r="V3772" s="7">
        <v>45926</v>
      </c>
      <c r="X3772" s="8">
        <v>0</v>
      </c>
      <c r="Z3772" s="8">
        <v>450</v>
      </c>
      <c r="AA3772" s="7">
        <v>45940</v>
      </c>
      <c r="AC3772" s="8">
        <v>372</v>
      </c>
      <c r="AE3772" s="7">
        <v>45945</v>
      </c>
      <c r="AF3772" s="8">
        <v>372</v>
      </c>
      <c r="AH3772" s="7">
        <v>45960</v>
      </c>
      <c r="AN3772" s="8">
        <v>372</v>
      </c>
      <c r="AO3772" s="8">
        <v>78</v>
      </c>
    </row>
    <row r="3773" spans="1:41" x14ac:dyDescent="0.25">
      <c r="A3773" s="6" t="str">
        <f t="shared" si="934"/>
        <v>525-2025000442</v>
      </c>
      <c r="B3773" s="6" t="str">
        <f t="shared" si="928"/>
        <v>Lasa Int</v>
      </c>
      <c r="C3773" s="7">
        <v>45910</v>
      </c>
      <c r="D3773" s="7">
        <v>46037</v>
      </c>
      <c r="E3773" s="8">
        <v>36</v>
      </c>
      <c r="F3773" s="6" t="str">
        <f t="shared" si="933"/>
        <v>PURE</v>
      </c>
      <c r="G3773" s="6" t="str">
        <f t="shared" si="935"/>
        <v>F100021455000000</v>
      </c>
      <c r="H3773" s="6" t="str">
        <f t="shared" si="936"/>
        <v>FA 214 - PURE - 550</v>
      </c>
      <c r="I3773" s="6" t="str">
        <f>"784"</f>
        <v>784</v>
      </c>
      <c r="J3773" s="6" t="str">
        <f>"ROSA 784"</f>
        <v>ROSA 784</v>
      </c>
      <c r="K3773" s="6" t="str">
        <f>"1024"</f>
        <v>1024</v>
      </c>
      <c r="L3773" s="6" t="str">
        <f>"Toalhas"</f>
        <v>Toalhas</v>
      </c>
      <c r="M3773" s="6" t="str">
        <f>"50x100"</f>
        <v>50x100</v>
      </c>
      <c r="N3773" s="6" t="str">
        <f>"5602972836752"</f>
        <v>5602972836752</v>
      </c>
      <c r="O3773" s="8">
        <v>720</v>
      </c>
      <c r="P3773" s="7">
        <v>45910</v>
      </c>
      <c r="R3773" s="8">
        <v>0</v>
      </c>
      <c r="S3773" s="7">
        <v>45915</v>
      </c>
      <c r="U3773" s="8">
        <v>720</v>
      </c>
      <c r="V3773" s="7">
        <v>45926</v>
      </c>
      <c r="X3773" s="8">
        <v>0</v>
      </c>
      <c r="Z3773" s="8">
        <v>720</v>
      </c>
      <c r="AA3773" s="7">
        <v>45940</v>
      </c>
      <c r="AC3773" s="8">
        <v>774</v>
      </c>
      <c r="AE3773" s="7">
        <v>45945</v>
      </c>
      <c r="AF3773" s="8">
        <v>774</v>
      </c>
      <c r="AH3773" s="7">
        <v>45960</v>
      </c>
      <c r="AN3773" s="8">
        <v>774</v>
      </c>
      <c r="AO3773" s="8">
        <v>-54</v>
      </c>
    </row>
    <row r="3774" spans="1:41" x14ac:dyDescent="0.25">
      <c r="A3774" s="6" t="str">
        <f t="shared" si="934"/>
        <v>525-2025000442</v>
      </c>
      <c r="B3774" s="6" t="str">
        <f t="shared" si="928"/>
        <v>Lasa Int</v>
      </c>
      <c r="C3774" s="7">
        <v>45910</v>
      </c>
      <c r="D3774" s="7">
        <v>46037</v>
      </c>
      <c r="E3774" s="8">
        <v>37</v>
      </c>
      <c r="F3774" s="6" t="str">
        <f t="shared" si="933"/>
        <v>PURE</v>
      </c>
      <c r="G3774" s="6" t="str">
        <f t="shared" si="935"/>
        <v>F100021455000000</v>
      </c>
      <c r="H3774" s="6" t="str">
        <f t="shared" si="936"/>
        <v>FA 214 - PURE - 550</v>
      </c>
      <c r="I3774" s="6" t="str">
        <f>"784"</f>
        <v>784</v>
      </c>
      <c r="J3774" s="6" t="str">
        <f>"ROSA 784"</f>
        <v>ROSA 784</v>
      </c>
      <c r="K3774" s="6" t="str">
        <f>"1535"</f>
        <v>1535</v>
      </c>
      <c r="L3774" s="6" t="str">
        <f>"Toalhões"</f>
        <v>Toalhões</v>
      </c>
      <c r="M3774" s="6" t="str">
        <f>"70x140"</f>
        <v>70x140</v>
      </c>
      <c r="N3774" s="6" t="str">
        <f>"5602972836769"</f>
        <v>5602972836769</v>
      </c>
      <c r="O3774" s="8">
        <v>240</v>
      </c>
      <c r="P3774" s="7">
        <v>45910</v>
      </c>
      <c r="R3774" s="8">
        <v>0</v>
      </c>
      <c r="S3774" s="7">
        <v>45915</v>
      </c>
      <c r="U3774" s="8">
        <v>240</v>
      </c>
      <c r="V3774" s="7">
        <v>45926</v>
      </c>
      <c r="X3774" s="8">
        <v>0</v>
      </c>
      <c r="Z3774" s="8">
        <v>240</v>
      </c>
      <c r="AA3774" s="7">
        <v>45940</v>
      </c>
      <c r="AC3774" s="8">
        <v>230</v>
      </c>
      <c r="AE3774" s="7">
        <v>45945</v>
      </c>
      <c r="AF3774" s="8">
        <v>230</v>
      </c>
      <c r="AH3774" s="7">
        <v>45960</v>
      </c>
      <c r="AN3774" s="8">
        <v>230</v>
      </c>
      <c r="AO3774" s="8">
        <v>10</v>
      </c>
    </row>
    <row r="3775" spans="1:41" x14ac:dyDescent="0.25">
      <c r="A3775" s="6" t="str">
        <f t="shared" si="934"/>
        <v>525-2025000442</v>
      </c>
      <c r="B3775" s="6" t="str">
        <f t="shared" si="928"/>
        <v>Lasa Int</v>
      </c>
      <c r="C3775" s="7">
        <v>45910</v>
      </c>
      <c r="D3775" s="7">
        <v>46037</v>
      </c>
      <c r="E3775" s="8">
        <v>38</v>
      </c>
      <c r="F3775" s="6" t="str">
        <f t="shared" si="933"/>
        <v>PURE</v>
      </c>
      <c r="G3775" s="6" t="str">
        <f t="shared" si="935"/>
        <v>F100021455000000</v>
      </c>
      <c r="H3775" s="6" t="str">
        <f t="shared" si="936"/>
        <v>FA 214 - PURE - 550</v>
      </c>
      <c r="I3775" s="6" t="str">
        <f>"784"</f>
        <v>784</v>
      </c>
      <c r="J3775" s="6" t="str">
        <f>"ROSA 784"</f>
        <v>ROSA 784</v>
      </c>
      <c r="K3775" s="6" t="str">
        <f>"2020"</f>
        <v>2020</v>
      </c>
      <c r="L3775" s="6" t="str">
        <f>"Lençóis"</f>
        <v>Lençóis</v>
      </c>
      <c r="M3775" s="6" t="str">
        <f>"100x150"</f>
        <v>100x150</v>
      </c>
      <c r="N3775" s="6" t="str">
        <f>"5602972836776"</f>
        <v>5602972836776</v>
      </c>
      <c r="O3775" s="8">
        <v>80</v>
      </c>
      <c r="P3775" s="7">
        <v>45910</v>
      </c>
      <c r="R3775" s="8">
        <v>0</v>
      </c>
      <c r="S3775" s="7">
        <v>45915</v>
      </c>
      <c r="U3775" s="8">
        <v>80</v>
      </c>
      <c r="V3775" s="7">
        <v>45926</v>
      </c>
      <c r="X3775" s="8">
        <v>0</v>
      </c>
      <c r="Z3775" s="8">
        <v>80</v>
      </c>
      <c r="AA3775" s="7">
        <v>45940</v>
      </c>
      <c r="AC3775" s="8">
        <v>65</v>
      </c>
      <c r="AE3775" s="7">
        <v>45945</v>
      </c>
      <c r="AF3775" s="8">
        <v>65</v>
      </c>
      <c r="AH3775" s="7">
        <v>45960</v>
      </c>
      <c r="AN3775" s="8">
        <v>65</v>
      </c>
      <c r="AO3775" s="8">
        <v>15</v>
      </c>
    </row>
    <row r="3776" spans="1:41" x14ac:dyDescent="0.25">
      <c r="A3776" s="6" t="str">
        <f t="shared" si="934"/>
        <v>525-2025000442</v>
      </c>
      <c r="B3776" s="6" t="str">
        <f t="shared" si="928"/>
        <v>Lasa Int</v>
      </c>
      <c r="C3776" s="7">
        <v>45910</v>
      </c>
      <c r="D3776" s="7">
        <v>46037</v>
      </c>
      <c r="E3776" s="8">
        <v>39</v>
      </c>
      <c r="F3776" s="6" t="str">
        <f t="shared" si="933"/>
        <v>PURE</v>
      </c>
      <c r="G3776" s="6" t="str">
        <f>"F161003770000000"</f>
        <v>F161003770000000</v>
      </c>
      <c r="H3776" s="6" t="str">
        <f>"TA 37 - 700 g/m²"</f>
        <v>TA 37 - 700 g/m²</v>
      </c>
      <c r="I3776" s="6" t="str">
        <f>"1"</f>
        <v>1</v>
      </c>
      <c r="J3776" s="6" t="str">
        <f>"BRANCO"</f>
        <v>BRANCO</v>
      </c>
      <c r="K3776" s="6" t="str">
        <f>"3012"</f>
        <v>3012</v>
      </c>
      <c r="L3776" s="6" t="str">
        <f>"Tapetes"</f>
        <v>Tapetes</v>
      </c>
      <c r="M3776" s="6" t="str">
        <f>"50x70"</f>
        <v>50x70</v>
      </c>
      <c r="N3776" s="6" t="str">
        <f>"5602972906042"</f>
        <v>5602972906042</v>
      </c>
      <c r="O3776" s="8">
        <v>200</v>
      </c>
      <c r="P3776" s="7">
        <v>45910</v>
      </c>
      <c r="R3776" s="8">
        <v>0</v>
      </c>
      <c r="S3776" s="7">
        <v>45915</v>
      </c>
      <c r="U3776" s="8">
        <v>200</v>
      </c>
      <c r="V3776" s="7">
        <v>45926</v>
      </c>
      <c r="X3776" s="8">
        <v>0</v>
      </c>
      <c r="Z3776" s="8">
        <v>200</v>
      </c>
      <c r="AA3776" s="7">
        <v>45940</v>
      </c>
      <c r="AC3776" s="8">
        <v>232</v>
      </c>
      <c r="AE3776" s="7">
        <v>45945</v>
      </c>
      <c r="AF3776" s="8">
        <v>232</v>
      </c>
      <c r="AH3776" s="7">
        <v>45960</v>
      </c>
      <c r="AN3776" s="8">
        <v>232</v>
      </c>
      <c r="AO3776" s="8">
        <v>-32</v>
      </c>
    </row>
    <row r="3777" spans="1:41" x14ac:dyDescent="0.25">
      <c r="A3777" s="6" t="str">
        <f t="shared" si="934"/>
        <v>525-2025000442</v>
      </c>
      <c r="B3777" s="6" t="str">
        <f t="shared" si="928"/>
        <v>Lasa Int</v>
      </c>
      <c r="C3777" s="7">
        <v>45910</v>
      </c>
      <c r="D3777" s="7">
        <v>46037</v>
      </c>
      <c r="E3777" s="8">
        <v>40</v>
      </c>
      <c r="F3777" s="6" t="str">
        <f t="shared" si="933"/>
        <v>PURE</v>
      </c>
      <c r="G3777" s="6" t="str">
        <f>"F161003770000000"</f>
        <v>F161003770000000</v>
      </c>
      <c r="H3777" s="6" t="str">
        <f>"TA 37 - 700 g/m²"</f>
        <v>TA 37 - 700 g/m²</v>
      </c>
      <c r="I3777" s="6" t="str">
        <f>"1359"</f>
        <v>1359</v>
      </c>
      <c r="J3777" s="6" t="str">
        <f>"CASTANHO 1359"</f>
        <v>CASTANHO 1359</v>
      </c>
      <c r="K3777" s="6" t="str">
        <f>"3012"</f>
        <v>3012</v>
      </c>
      <c r="L3777" s="6" t="str">
        <f>"Tapetes"</f>
        <v>Tapetes</v>
      </c>
      <c r="M3777" s="6" t="str">
        <f>"50x70"</f>
        <v>50x70</v>
      </c>
      <c r="N3777" s="6" t="str">
        <f>"5602972805482"</f>
        <v>5602972805482</v>
      </c>
      <c r="O3777" s="8">
        <v>100</v>
      </c>
      <c r="P3777" s="7">
        <v>45910</v>
      </c>
      <c r="R3777" s="8">
        <v>0</v>
      </c>
      <c r="S3777" s="7">
        <v>45915</v>
      </c>
      <c r="U3777" s="8">
        <v>100</v>
      </c>
      <c r="V3777" s="7">
        <v>45926</v>
      </c>
      <c r="X3777" s="8">
        <v>0</v>
      </c>
      <c r="Z3777" s="8">
        <v>100</v>
      </c>
      <c r="AA3777" s="7">
        <v>45940</v>
      </c>
      <c r="AC3777" s="8">
        <v>84</v>
      </c>
      <c r="AE3777" s="7">
        <v>45945</v>
      </c>
      <c r="AF3777" s="8">
        <v>84</v>
      </c>
      <c r="AH3777" s="7">
        <v>45960</v>
      </c>
      <c r="AN3777" s="8">
        <v>84</v>
      </c>
      <c r="AO3777" s="8">
        <v>16</v>
      </c>
    </row>
    <row r="3778" spans="1:41" x14ac:dyDescent="0.25">
      <c r="A3778" s="6" t="str">
        <f t="shared" si="934"/>
        <v>525-2025000442</v>
      </c>
      <c r="B3778" s="6" t="str">
        <f t="shared" ref="B3778:B3841" si="937">"Lasa Int"</f>
        <v>Lasa Int</v>
      </c>
      <c r="C3778" s="7">
        <v>45910</v>
      </c>
      <c r="D3778" s="7">
        <v>46037</v>
      </c>
      <c r="E3778" s="8">
        <v>41</v>
      </c>
      <c r="F3778" s="6" t="str">
        <f t="shared" si="933"/>
        <v>PURE</v>
      </c>
      <c r="G3778" s="6" t="str">
        <f>"F161003770000000"</f>
        <v>F161003770000000</v>
      </c>
      <c r="H3778" s="6" t="str">
        <f>"TA 37 - 700 g/m²"</f>
        <v>TA 37 - 700 g/m²</v>
      </c>
      <c r="I3778" s="6" t="str">
        <f>"2096"</f>
        <v>2096</v>
      </c>
      <c r="J3778" s="6" t="str">
        <f>"AZUL 2096"</f>
        <v>AZUL 2096</v>
      </c>
      <c r="K3778" s="6" t="str">
        <f>"3012"</f>
        <v>3012</v>
      </c>
      <c r="L3778" s="6" t="str">
        <f>"Tapetes"</f>
        <v>Tapetes</v>
      </c>
      <c r="M3778" s="6" t="str">
        <f>"50x70"</f>
        <v>50x70</v>
      </c>
      <c r="N3778" s="6" t="str">
        <f>"5602972805468"</f>
        <v>5602972805468</v>
      </c>
      <c r="O3778" s="8">
        <v>100</v>
      </c>
      <c r="P3778" s="7">
        <v>45910</v>
      </c>
      <c r="R3778" s="8">
        <v>0</v>
      </c>
      <c r="S3778" s="7">
        <v>45915</v>
      </c>
      <c r="U3778" s="8">
        <v>100</v>
      </c>
      <c r="V3778" s="7">
        <v>45926</v>
      </c>
      <c r="X3778" s="8">
        <v>0</v>
      </c>
      <c r="Z3778" s="8">
        <v>100</v>
      </c>
      <c r="AA3778" s="7">
        <v>45940</v>
      </c>
      <c r="AC3778" s="8">
        <v>122</v>
      </c>
      <c r="AE3778" s="7">
        <v>45945</v>
      </c>
      <c r="AF3778" s="8">
        <v>122</v>
      </c>
      <c r="AH3778" s="7">
        <v>45960</v>
      </c>
      <c r="AN3778" s="8">
        <v>122</v>
      </c>
      <c r="AO3778" s="8">
        <v>-22</v>
      </c>
    </row>
    <row r="3779" spans="1:41" x14ac:dyDescent="0.25">
      <c r="A3779" s="6" t="str">
        <f t="shared" si="934"/>
        <v>525-2025000442</v>
      </c>
      <c r="B3779" s="6" t="str">
        <f t="shared" si="937"/>
        <v>Lasa Int</v>
      </c>
      <c r="C3779" s="7">
        <v>45910</v>
      </c>
      <c r="D3779" s="7">
        <v>46037</v>
      </c>
      <c r="E3779" s="8">
        <v>42</v>
      </c>
      <c r="F3779" s="6" t="str">
        <f t="shared" si="933"/>
        <v>PURE</v>
      </c>
      <c r="G3779" s="6" t="str">
        <f>"F161003770000000"</f>
        <v>F161003770000000</v>
      </c>
      <c r="H3779" s="6" t="str">
        <f>"TA 37 - 700 g/m²"</f>
        <v>TA 37 - 700 g/m²</v>
      </c>
      <c r="I3779" s="6" t="str">
        <f>"3073"</f>
        <v>3073</v>
      </c>
      <c r="J3779" s="6" t="str">
        <f>"CINZA 3073"</f>
        <v>CINZA 3073</v>
      </c>
      <c r="K3779" s="6" t="str">
        <f>"3012"</f>
        <v>3012</v>
      </c>
      <c r="L3779" s="6" t="str">
        <f>"Tapetes"</f>
        <v>Tapetes</v>
      </c>
      <c r="M3779" s="6" t="str">
        <f>"50x70"</f>
        <v>50x70</v>
      </c>
      <c r="N3779" s="6" t="str">
        <f>"5602972878028"</f>
        <v>5602972878028</v>
      </c>
      <c r="O3779" s="8">
        <v>200</v>
      </c>
      <c r="P3779" s="7">
        <v>45910</v>
      </c>
      <c r="R3779" s="8">
        <v>0</v>
      </c>
      <c r="S3779" s="7">
        <v>45915</v>
      </c>
      <c r="U3779" s="8">
        <v>200</v>
      </c>
      <c r="V3779" s="7">
        <v>45926</v>
      </c>
      <c r="X3779" s="8">
        <v>0</v>
      </c>
      <c r="Z3779" s="8">
        <v>200</v>
      </c>
      <c r="AA3779" s="7">
        <v>45940</v>
      </c>
      <c r="AC3779" s="8">
        <v>200</v>
      </c>
      <c r="AE3779" s="7">
        <v>45945</v>
      </c>
      <c r="AF3779" s="8">
        <v>200</v>
      </c>
      <c r="AH3779" s="7">
        <v>45960</v>
      </c>
      <c r="AN3779" s="8">
        <v>200</v>
      </c>
      <c r="AO3779" s="8">
        <v>0</v>
      </c>
    </row>
    <row r="3780" spans="1:41" x14ac:dyDescent="0.25">
      <c r="A3780" s="6" t="str">
        <f t="shared" si="934"/>
        <v>525-2025000442</v>
      </c>
      <c r="B3780" s="6" t="str">
        <f t="shared" si="937"/>
        <v>Lasa Int</v>
      </c>
      <c r="C3780" s="7">
        <v>45910</v>
      </c>
      <c r="D3780" s="7">
        <v>46037</v>
      </c>
      <c r="E3780" s="8">
        <v>43</v>
      </c>
      <c r="F3780" s="6" t="str">
        <f t="shared" si="933"/>
        <v>PURE</v>
      </c>
      <c r="G3780" s="6" t="str">
        <f>"F161003770000000"</f>
        <v>F161003770000000</v>
      </c>
      <c r="H3780" s="6" t="str">
        <f>"TA 37 - 700 g/m²"</f>
        <v>TA 37 - 700 g/m²</v>
      </c>
      <c r="I3780" s="6" t="str">
        <f>"3968"</f>
        <v>3968</v>
      </c>
      <c r="J3780" s="6" t="str">
        <f>"BORDEAUX 3968"</f>
        <v>BORDEAUX 3968</v>
      </c>
      <c r="K3780" s="6" t="str">
        <f>"3012"</f>
        <v>3012</v>
      </c>
      <c r="L3780" s="6" t="str">
        <f>"Tapetes"</f>
        <v>Tapetes</v>
      </c>
      <c r="M3780" s="6" t="str">
        <f>"50x70"</f>
        <v>50x70</v>
      </c>
      <c r="N3780" s="6" t="str">
        <f>"5602972761504"</f>
        <v>5602972761504</v>
      </c>
      <c r="O3780" s="8">
        <v>100</v>
      </c>
      <c r="P3780" s="7">
        <v>45910</v>
      </c>
      <c r="R3780" s="8">
        <v>796</v>
      </c>
      <c r="S3780" s="7">
        <v>45915</v>
      </c>
      <c r="U3780" s="8">
        <v>100</v>
      </c>
      <c r="V3780" s="7">
        <v>45926</v>
      </c>
      <c r="X3780" s="8">
        <v>0</v>
      </c>
      <c r="Z3780" s="8">
        <v>100</v>
      </c>
      <c r="AA3780" s="7">
        <v>45940</v>
      </c>
      <c r="AC3780" s="8">
        <v>0</v>
      </c>
      <c r="AE3780" s="7">
        <v>45945</v>
      </c>
      <c r="AF3780" s="8">
        <v>0</v>
      </c>
      <c r="AH3780" s="7">
        <v>45960</v>
      </c>
      <c r="AN3780" s="8">
        <v>0</v>
      </c>
      <c r="AO3780" s="8">
        <v>100</v>
      </c>
    </row>
    <row r="3781" spans="1:41" x14ac:dyDescent="0.25">
      <c r="A3781" s="6" t="str">
        <f>"525-2025000445"</f>
        <v>525-2025000445</v>
      </c>
      <c r="B3781" s="6" t="str">
        <f t="shared" si="937"/>
        <v>Lasa Int</v>
      </c>
      <c r="C3781" s="7">
        <v>45912</v>
      </c>
      <c r="D3781" s="7">
        <v>46080</v>
      </c>
      <c r="E3781" s="8">
        <v>1</v>
      </c>
      <c r="F3781" s="6" t="str">
        <f>"Natural"</f>
        <v>Natural</v>
      </c>
      <c r="G3781" s="6" t="str">
        <f>"R120319540000000"</f>
        <v>R120319540000000</v>
      </c>
      <c r="H3781" s="6" t="str">
        <f>"R 3195 - FAJA 2617 B"</f>
        <v>R 3195 - FAJA 2617 B</v>
      </c>
      <c r="I3781" s="6" t="str">
        <f>"4866"</f>
        <v>4866</v>
      </c>
      <c r="J3781" s="6" t="str">
        <f>"BEGE 4866"</f>
        <v>BEGE 4866</v>
      </c>
      <c r="K3781" s="6" t="str">
        <f>"5002"</f>
        <v>5002</v>
      </c>
      <c r="L3781" s="6" t="str">
        <f>"Roupões Adulto"</f>
        <v>Roupões Adulto</v>
      </c>
      <c r="M3781" s="6" t="str">
        <f>"S"</f>
        <v>S</v>
      </c>
      <c r="N3781" s="6" t="str">
        <f>"5602972637496"</f>
        <v>5602972637496</v>
      </c>
      <c r="O3781" s="8">
        <v>36</v>
      </c>
      <c r="P3781" s="7">
        <v>45947</v>
      </c>
      <c r="R3781" s="8">
        <v>456</v>
      </c>
      <c r="S3781" s="7">
        <v>45952</v>
      </c>
      <c r="U3781" s="8">
        <v>168</v>
      </c>
      <c r="V3781" s="7">
        <v>45961</v>
      </c>
      <c r="X3781" s="8">
        <v>0</v>
      </c>
      <c r="Z3781" s="8">
        <v>0</v>
      </c>
      <c r="AA3781" s="7">
        <v>45973</v>
      </c>
      <c r="AC3781" s="8">
        <v>0</v>
      </c>
      <c r="AE3781" s="7">
        <v>45989</v>
      </c>
      <c r="AF3781" s="8">
        <v>0</v>
      </c>
      <c r="AH3781" s="7">
        <v>45982</v>
      </c>
      <c r="AI3781" s="7">
        <v>45987</v>
      </c>
      <c r="AN3781" s="8">
        <v>0</v>
      </c>
      <c r="AO3781" s="8">
        <v>36</v>
      </c>
    </row>
    <row r="3782" spans="1:41" x14ac:dyDescent="0.25">
      <c r="A3782" s="6" t="str">
        <f>"525-2025000445"</f>
        <v>525-2025000445</v>
      </c>
      <c r="B3782" s="6" t="str">
        <f t="shared" si="937"/>
        <v>Lasa Int</v>
      </c>
      <c r="C3782" s="7">
        <v>45912</v>
      </c>
      <c r="D3782" s="7">
        <v>46080</v>
      </c>
      <c r="E3782" s="8">
        <v>2</v>
      </c>
      <c r="F3782" s="6" t="str">
        <f>"Natural"</f>
        <v>Natural</v>
      </c>
      <c r="G3782" s="6" t="str">
        <f>"R120319540000000"</f>
        <v>R120319540000000</v>
      </c>
      <c r="H3782" s="6" t="str">
        <f>"R 3195 - FAJA 2617 B"</f>
        <v>R 3195 - FAJA 2617 B</v>
      </c>
      <c r="I3782" s="6" t="str">
        <f>"4866"</f>
        <v>4866</v>
      </c>
      <c r="J3782" s="6" t="str">
        <f>"BEGE 4866"</f>
        <v>BEGE 4866</v>
      </c>
      <c r="K3782" s="6" t="str">
        <f>"5004"</f>
        <v>5004</v>
      </c>
      <c r="L3782" s="6" t="str">
        <f>"Roupões Adulto"</f>
        <v>Roupões Adulto</v>
      </c>
      <c r="M3782" s="6" t="str">
        <f>"M"</f>
        <v>M</v>
      </c>
      <c r="N3782" s="6" t="str">
        <f>"5602972637502"</f>
        <v>5602972637502</v>
      </c>
      <c r="O3782" s="8">
        <v>12</v>
      </c>
      <c r="P3782" s="7">
        <v>45947</v>
      </c>
      <c r="R3782" s="8">
        <v>0</v>
      </c>
      <c r="S3782" s="7">
        <v>45952</v>
      </c>
      <c r="U3782" s="8">
        <v>0</v>
      </c>
      <c r="V3782" s="7">
        <v>45961</v>
      </c>
      <c r="X3782" s="8">
        <v>0</v>
      </c>
      <c r="Z3782" s="8">
        <v>0</v>
      </c>
      <c r="AA3782" s="7">
        <v>45973</v>
      </c>
      <c r="AC3782" s="8">
        <v>0</v>
      </c>
      <c r="AE3782" s="7">
        <v>45989</v>
      </c>
      <c r="AF3782" s="8">
        <v>0</v>
      </c>
      <c r="AH3782" s="7">
        <v>45982</v>
      </c>
      <c r="AI3782" s="7">
        <v>45987</v>
      </c>
      <c r="AN3782" s="8">
        <v>0</v>
      </c>
      <c r="AO3782" s="8">
        <v>12</v>
      </c>
    </row>
    <row r="3783" spans="1:41" x14ac:dyDescent="0.25">
      <c r="A3783" s="6" t="str">
        <f>"525-2025000445"</f>
        <v>525-2025000445</v>
      </c>
      <c r="B3783" s="6" t="str">
        <f t="shared" si="937"/>
        <v>Lasa Int</v>
      </c>
      <c r="C3783" s="7">
        <v>45912</v>
      </c>
      <c r="D3783" s="7">
        <v>46080</v>
      </c>
      <c r="E3783" s="8">
        <v>3</v>
      </c>
      <c r="F3783" s="6" t="str">
        <f>"Natural"</f>
        <v>Natural</v>
      </c>
      <c r="G3783" s="6" t="str">
        <f>"R120319540000000"</f>
        <v>R120319540000000</v>
      </c>
      <c r="H3783" s="6" t="str">
        <f>"R 3195 - FAJA 2617 B"</f>
        <v>R 3195 - FAJA 2617 B</v>
      </c>
      <c r="I3783" s="6" t="str">
        <f>"4866"</f>
        <v>4866</v>
      </c>
      <c r="J3783" s="6" t="str">
        <f>"BEGE 4866"</f>
        <v>BEGE 4866</v>
      </c>
      <c r="K3783" s="6" t="str">
        <f>"5006"</f>
        <v>5006</v>
      </c>
      <c r="L3783" s="6" t="str">
        <f>"Roupões Adulto"</f>
        <v>Roupões Adulto</v>
      </c>
      <c r="M3783" s="6" t="str">
        <f>"L"</f>
        <v>L</v>
      </c>
      <c r="N3783" s="6" t="str">
        <f>"5602972637519"</f>
        <v>5602972637519</v>
      </c>
      <c r="O3783" s="8">
        <v>24</v>
      </c>
      <c r="P3783" s="7">
        <v>45947</v>
      </c>
      <c r="R3783" s="8">
        <v>0</v>
      </c>
      <c r="S3783" s="7">
        <v>45952</v>
      </c>
      <c r="U3783" s="8">
        <v>0</v>
      </c>
      <c r="V3783" s="7">
        <v>45961</v>
      </c>
      <c r="X3783" s="8">
        <v>0</v>
      </c>
      <c r="Z3783" s="8">
        <v>0</v>
      </c>
      <c r="AA3783" s="7">
        <v>45973</v>
      </c>
      <c r="AC3783" s="8">
        <v>0</v>
      </c>
      <c r="AE3783" s="7">
        <v>45989</v>
      </c>
      <c r="AF3783" s="8">
        <v>0</v>
      </c>
      <c r="AH3783" s="7">
        <v>45982</v>
      </c>
      <c r="AI3783" s="7">
        <v>45987</v>
      </c>
      <c r="AN3783" s="8">
        <v>0</v>
      </c>
      <c r="AO3783" s="8">
        <v>24</v>
      </c>
    </row>
    <row r="3784" spans="1:41" x14ac:dyDescent="0.25">
      <c r="A3784" s="6" t="str">
        <f>"525-2025000445"</f>
        <v>525-2025000445</v>
      </c>
      <c r="B3784" s="6" t="str">
        <f t="shared" si="937"/>
        <v>Lasa Int</v>
      </c>
      <c r="C3784" s="7">
        <v>45912</v>
      </c>
      <c r="D3784" s="7">
        <v>46080</v>
      </c>
      <c r="E3784" s="8">
        <v>4</v>
      </c>
      <c r="F3784" s="6" t="str">
        <f>"Natural"</f>
        <v>Natural</v>
      </c>
      <c r="G3784" s="6" t="str">
        <f>"R120319540000000"</f>
        <v>R120319540000000</v>
      </c>
      <c r="H3784" s="6" t="str">
        <f>"R 3195 - FAJA 2617 B"</f>
        <v>R 3195 - FAJA 2617 B</v>
      </c>
      <c r="I3784" s="6" t="str">
        <f>"4866"</f>
        <v>4866</v>
      </c>
      <c r="J3784" s="6" t="str">
        <f>"BEGE 4866"</f>
        <v>BEGE 4866</v>
      </c>
      <c r="K3784" s="6" t="str">
        <f>"5010"</f>
        <v>5010</v>
      </c>
      <c r="L3784" s="6" t="str">
        <f>"Roupões Adulto"</f>
        <v>Roupões Adulto</v>
      </c>
      <c r="M3784" s="6" t="str">
        <f>"XXL"</f>
        <v>XXL</v>
      </c>
      <c r="N3784" s="6" t="str">
        <f>"5602972641752"</f>
        <v>5602972641752</v>
      </c>
      <c r="O3784" s="8">
        <v>6</v>
      </c>
      <c r="P3784" s="7">
        <v>45947</v>
      </c>
      <c r="R3784" s="8">
        <v>0</v>
      </c>
      <c r="S3784" s="7">
        <v>45952</v>
      </c>
      <c r="U3784" s="8">
        <v>0</v>
      </c>
      <c r="V3784" s="7">
        <v>45961</v>
      </c>
      <c r="X3784" s="8">
        <v>0</v>
      </c>
      <c r="Z3784" s="8">
        <v>0</v>
      </c>
      <c r="AA3784" s="7">
        <v>45973</v>
      </c>
      <c r="AC3784" s="8">
        <v>0</v>
      </c>
      <c r="AE3784" s="7">
        <v>45989</v>
      </c>
      <c r="AF3784" s="8">
        <v>0</v>
      </c>
      <c r="AH3784" s="7">
        <v>45982</v>
      </c>
      <c r="AI3784" s="7">
        <v>45987</v>
      </c>
      <c r="AN3784" s="8">
        <v>0</v>
      </c>
      <c r="AO3784" s="8">
        <v>6</v>
      </c>
    </row>
    <row r="3785" spans="1:41" x14ac:dyDescent="0.25">
      <c r="A3785" s="6" t="str">
        <f t="shared" ref="A3785:A3791" si="938">"525-2025000446"</f>
        <v>525-2025000446</v>
      </c>
      <c r="B3785" s="6" t="str">
        <f t="shared" si="937"/>
        <v>Lasa Int</v>
      </c>
      <c r="C3785" s="7">
        <v>45912</v>
      </c>
      <c r="D3785" s="7">
        <v>46037</v>
      </c>
      <c r="E3785" s="8">
        <v>1</v>
      </c>
      <c r="F3785" s="6" t="str">
        <f t="shared" ref="F3785:F3791" si="939">"Pano Pure"</f>
        <v>Pano Pure</v>
      </c>
      <c r="G3785" s="6" t="str">
        <f>"F110110840000000"</f>
        <v>F110110840000000</v>
      </c>
      <c r="H3785" s="6" t="str">
        <f>"FAJ 1108 - PURE KITC"</f>
        <v>FAJ 1108 - PURE KITC</v>
      </c>
      <c r="I3785" s="6" t="str">
        <f>"2096"</f>
        <v>2096</v>
      </c>
      <c r="J3785" s="6" t="str">
        <f>"AZUL 2096"</f>
        <v>AZUL 2096</v>
      </c>
      <c r="K3785" s="6" t="str">
        <f t="shared" ref="K3785:K3791" si="940">"0820"</f>
        <v>0820</v>
      </c>
      <c r="L3785" s="6" t="str">
        <f t="shared" ref="L3785:L3791" si="941">"Cozinha"</f>
        <v>Cozinha</v>
      </c>
      <c r="M3785" s="6" t="str">
        <f t="shared" ref="M3785:M3791" si="942">"50x50"</f>
        <v>50x50</v>
      </c>
      <c r="N3785" s="6" t="str">
        <f>"5602972885071"</f>
        <v>5602972885071</v>
      </c>
      <c r="O3785" s="8">
        <v>900</v>
      </c>
      <c r="P3785" s="7">
        <v>45912</v>
      </c>
      <c r="R3785" s="8">
        <v>4416</v>
      </c>
      <c r="S3785" s="7">
        <v>45917</v>
      </c>
      <c r="U3785" s="8">
        <v>968</v>
      </c>
      <c r="V3785" s="7">
        <v>45930</v>
      </c>
      <c r="X3785" s="8">
        <v>0</v>
      </c>
      <c r="Z3785" s="8">
        <v>968</v>
      </c>
      <c r="AA3785" s="7">
        <v>45944</v>
      </c>
      <c r="AC3785" s="8">
        <v>940</v>
      </c>
      <c r="AE3785" s="7">
        <v>45947</v>
      </c>
      <c r="AF3785" s="8">
        <v>940</v>
      </c>
      <c r="AH3785" s="7">
        <v>45940</v>
      </c>
      <c r="AN3785" s="8">
        <v>940</v>
      </c>
      <c r="AO3785" s="8">
        <v>-40</v>
      </c>
    </row>
    <row r="3786" spans="1:41" x14ac:dyDescent="0.25">
      <c r="A3786" s="6" t="str">
        <f t="shared" si="938"/>
        <v>525-2025000446</v>
      </c>
      <c r="B3786" s="6" t="str">
        <f t="shared" si="937"/>
        <v>Lasa Int</v>
      </c>
      <c r="C3786" s="7">
        <v>45912</v>
      </c>
      <c r="D3786" s="7">
        <v>46037</v>
      </c>
      <c r="E3786" s="8">
        <v>2</v>
      </c>
      <c r="F3786" s="6" t="str">
        <f t="shared" si="939"/>
        <v>Pano Pure</v>
      </c>
      <c r="G3786" s="6" t="str">
        <f>"F110110840000000"</f>
        <v>F110110840000000</v>
      </c>
      <c r="H3786" s="6" t="str">
        <f>"FAJ 1108 - PURE KITC"</f>
        <v>FAJ 1108 - PURE KITC</v>
      </c>
      <c r="I3786" s="6" t="str">
        <f>"2240"</f>
        <v>2240</v>
      </c>
      <c r="J3786" s="6" t="str">
        <f>"AMARELO 2240"</f>
        <v>AMARELO 2240</v>
      </c>
      <c r="K3786" s="6" t="str">
        <f t="shared" si="940"/>
        <v>0820</v>
      </c>
      <c r="L3786" s="6" t="str">
        <f t="shared" si="941"/>
        <v>Cozinha</v>
      </c>
      <c r="M3786" s="6" t="str">
        <f t="shared" si="942"/>
        <v>50x50</v>
      </c>
      <c r="N3786" s="6" t="str">
        <f>"5602972885088"</f>
        <v>5602972885088</v>
      </c>
      <c r="O3786" s="8">
        <v>460</v>
      </c>
      <c r="P3786" s="7">
        <v>45912</v>
      </c>
      <c r="R3786" s="8">
        <v>0</v>
      </c>
      <c r="S3786" s="7">
        <v>45917</v>
      </c>
      <c r="U3786" s="8">
        <v>540</v>
      </c>
      <c r="V3786" s="7">
        <v>45930</v>
      </c>
      <c r="X3786" s="8">
        <v>0</v>
      </c>
      <c r="Z3786" s="8">
        <v>540</v>
      </c>
      <c r="AA3786" s="7">
        <v>45944</v>
      </c>
      <c r="AC3786" s="8">
        <v>344</v>
      </c>
      <c r="AE3786" s="7">
        <v>45947</v>
      </c>
      <c r="AF3786" s="8">
        <v>344</v>
      </c>
      <c r="AH3786" s="7">
        <v>45940</v>
      </c>
      <c r="AN3786" s="8">
        <v>344</v>
      </c>
      <c r="AO3786" s="8">
        <v>116</v>
      </c>
    </row>
    <row r="3787" spans="1:41" x14ac:dyDescent="0.25">
      <c r="A3787" s="6" t="str">
        <f t="shared" si="938"/>
        <v>525-2025000446</v>
      </c>
      <c r="B3787" s="6" t="str">
        <f t="shared" si="937"/>
        <v>Lasa Int</v>
      </c>
      <c r="C3787" s="7">
        <v>45912</v>
      </c>
      <c r="D3787" s="7">
        <v>46037</v>
      </c>
      <c r="E3787" s="8">
        <v>3</v>
      </c>
      <c r="F3787" s="6" t="str">
        <f t="shared" si="939"/>
        <v>Pano Pure</v>
      </c>
      <c r="G3787" s="6" t="str">
        <f>"F110110840000000"</f>
        <v>F110110840000000</v>
      </c>
      <c r="H3787" s="6" t="str">
        <f>"FAJ 1108 - PURE KITC"</f>
        <v>FAJ 1108 - PURE KITC</v>
      </c>
      <c r="I3787" s="6" t="str">
        <f>"2596"</f>
        <v>2596</v>
      </c>
      <c r="J3787" s="6" t="str">
        <f>"VERDE 2596"</f>
        <v>VERDE 2596</v>
      </c>
      <c r="K3787" s="6" t="str">
        <f t="shared" si="940"/>
        <v>0820</v>
      </c>
      <c r="L3787" s="6" t="str">
        <f t="shared" si="941"/>
        <v>Cozinha</v>
      </c>
      <c r="M3787" s="6" t="str">
        <f t="shared" si="942"/>
        <v>50x50</v>
      </c>
      <c r="N3787" s="6" t="str">
        <f>"5602972795707"</f>
        <v>5602972795707</v>
      </c>
      <c r="O3787" s="8">
        <v>900</v>
      </c>
      <c r="P3787" s="7">
        <v>45912</v>
      </c>
      <c r="R3787" s="8">
        <v>0</v>
      </c>
      <c r="S3787" s="7">
        <v>45917</v>
      </c>
      <c r="U3787" s="8">
        <v>1116</v>
      </c>
      <c r="V3787" s="7">
        <v>45930</v>
      </c>
      <c r="X3787" s="8">
        <v>0</v>
      </c>
      <c r="Z3787" s="8">
        <v>1116</v>
      </c>
      <c r="AA3787" s="7">
        <v>45944</v>
      </c>
      <c r="AC3787" s="8">
        <v>664</v>
      </c>
      <c r="AE3787" s="7">
        <v>45947</v>
      </c>
      <c r="AF3787" s="8">
        <v>664</v>
      </c>
      <c r="AH3787" s="7">
        <v>45940</v>
      </c>
      <c r="AN3787" s="8">
        <v>664</v>
      </c>
      <c r="AO3787" s="8">
        <v>236</v>
      </c>
    </row>
    <row r="3788" spans="1:41" x14ac:dyDescent="0.25">
      <c r="A3788" s="6" t="str">
        <f t="shared" si="938"/>
        <v>525-2025000446</v>
      </c>
      <c r="B3788" s="6" t="str">
        <f t="shared" si="937"/>
        <v>Lasa Int</v>
      </c>
      <c r="C3788" s="7">
        <v>45912</v>
      </c>
      <c r="D3788" s="7">
        <v>46037</v>
      </c>
      <c r="E3788" s="8">
        <v>4</v>
      </c>
      <c r="F3788" s="6" t="str">
        <f t="shared" si="939"/>
        <v>Pano Pure</v>
      </c>
      <c r="G3788" s="6" t="str">
        <f>"F110110840000000"</f>
        <v>F110110840000000</v>
      </c>
      <c r="H3788" s="6" t="str">
        <f>"FAJ 1108 - PURE KITC"</f>
        <v>FAJ 1108 - PURE KITC</v>
      </c>
      <c r="I3788" s="6" t="str">
        <f>"3234"</f>
        <v>3234</v>
      </c>
      <c r="J3788" s="6" t="str">
        <f>"CASTANHO 3234"</f>
        <v>CASTANHO 3234</v>
      </c>
      <c r="K3788" s="6" t="str">
        <f t="shared" si="940"/>
        <v>0820</v>
      </c>
      <c r="L3788" s="6" t="str">
        <f t="shared" si="941"/>
        <v>Cozinha</v>
      </c>
      <c r="M3788" s="6" t="str">
        <f t="shared" si="942"/>
        <v>50x50</v>
      </c>
      <c r="N3788" s="6" t="str">
        <f>"5602972795714"</f>
        <v>5602972795714</v>
      </c>
      <c r="O3788" s="8">
        <v>900</v>
      </c>
      <c r="P3788" s="7">
        <v>45912</v>
      </c>
      <c r="R3788" s="8">
        <v>0</v>
      </c>
      <c r="S3788" s="7">
        <v>45917</v>
      </c>
      <c r="U3788" s="8">
        <v>976</v>
      </c>
      <c r="V3788" s="7">
        <v>45930</v>
      </c>
      <c r="X3788" s="8">
        <v>0</v>
      </c>
      <c r="Z3788" s="8">
        <v>976</v>
      </c>
      <c r="AA3788" s="7">
        <v>45944</v>
      </c>
      <c r="AC3788" s="8">
        <v>680</v>
      </c>
      <c r="AE3788" s="7">
        <v>45947</v>
      </c>
      <c r="AF3788" s="8">
        <v>680</v>
      </c>
      <c r="AH3788" s="7">
        <v>45940</v>
      </c>
      <c r="AN3788" s="8">
        <v>680</v>
      </c>
      <c r="AO3788" s="8">
        <v>220</v>
      </c>
    </row>
    <row r="3789" spans="1:41" x14ac:dyDescent="0.25">
      <c r="A3789" s="6" t="str">
        <f t="shared" si="938"/>
        <v>525-2025000446</v>
      </c>
      <c r="B3789" s="6" t="str">
        <f t="shared" si="937"/>
        <v>Lasa Int</v>
      </c>
      <c r="C3789" s="7">
        <v>45912</v>
      </c>
      <c r="D3789" s="7">
        <v>46037</v>
      </c>
      <c r="E3789" s="8">
        <v>5</v>
      </c>
      <c r="F3789" s="6" t="str">
        <f t="shared" si="939"/>
        <v>Pano Pure</v>
      </c>
      <c r="G3789" s="6" t="str">
        <f>"F110110840000000"</f>
        <v>F110110840000000</v>
      </c>
      <c r="H3789" s="6" t="str">
        <f>"FAJ 1108 - PURE KITC"</f>
        <v>FAJ 1108 - PURE KITC</v>
      </c>
      <c r="I3789" s="6" t="str">
        <f>"5149"</f>
        <v>5149</v>
      </c>
      <c r="J3789" s="6" t="str">
        <f>"VERDE 5149"</f>
        <v>VERDE 5149</v>
      </c>
      <c r="K3789" s="6" t="str">
        <f t="shared" si="940"/>
        <v>0820</v>
      </c>
      <c r="L3789" s="6" t="str">
        <f t="shared" si="941"/>
        <v>Cozinha</v>
      </c>
      <c r="M3789" s="6" t="str">
        <f t="shared" si="942"/>
        <v>50x50</v>
      </c>
      <c r="N3789" s="6" t="str">
        <f>"5602972677508"</f>
        <v>5602972677508</v>
      </c>
      <c r="O3789" s="8">
        <v>900</v>
      </c>
      <c r="P3789" s="7">
        <v>45912</v>
      </c>
      <c r="R3789" s="8">
        <v>0</v>
      </c>
      <c r="S3789" s="7">
        <v>45917</v>
      </c>
      <c r="U3789" s="8">
        <v>1080</v>
      </c>
      <c r="V3789" s="7">
        <v>45930</v>
      </c>
      <c r="X3789" s="8">
        <v>0</v>
      </c>
      <c r="Z3789" s="8">
        <v>1080</v>
      </c>
      <c r="AA3789" s="7">
        <v>45944</v>
      </c>
      <c r="AC3789" s="8">
        <v>1100</v>
      </c>
      <c r="AE3789" s="7">
        <v>45947</v>
      </c>
      <c r="AF3789" s="8">
        <v>1100</v>
      </c>
      <c r="AH3789" s="7">
        <v>45940</v>
      </c>
      <c r="AN3789" s="8">
        <v>1100</v>
      </c>
      <c r="AO3789" s="8">
        <v>-200</v>
      </c>
    </row>
    <row r="3790" spans="1:41" x14ac:dyDescent="0.25">
      <c r="A3790" s="6" t="str">
        <f t="shared" si="938"/>
        <v>525-2025000446</v>
      </c>
      <c r="B3790" s="6" t="str">
        <f t="shared" si="937"/>
        <v>Lasa Int</v>
      </c>
      <c r="C3790" s="7">
        <v>45912</v>
      </c>
      <c r="D3790" s="7">
        <v>46037</v>
      </c>
      <c r="E3790" s="8">
        <v>6</v>
      </c>
      <c r="F3790" s="6" t="str">
        <f t="shared" si="939"/>
        <v>Pano Pure</v>
      </c>
      <c r="G3790" s="6" t="str">
        <f>"F110117940000000"</f>
        <v>F110117940000000</v>
      </c>
      <c r="H3790" s="6" t="str">
        <f>"FAJ 1179 - PURE KITC"</f>
        <v>FAJ 1179 - PURE KITC</v>
      </c>
      <c r="I3790" s="6" t="str">
        <f>"2096"</f>
        <v>2096</v>
      </c>
      <c r="J3790" s="6" t="str">
        <f>"AZUL 2096"</f>
        <v>AZUL 2096</v>
      </c>
      <c r="K3790" s="6" t="str">
        <f t="shared" si="940"/>
        <v>0820</v>
      </c>
      <c r="L3790" s="6" t="str">
        <f t="shared" si="941"/>
        <v>Cozinha</v>
      </c>
      <c r="M3790" s="6" t="str">
        <f t="shared" si="942"/>
        <v>50x50</v>
      </c>
      <c r="N3790" s="6" t="str">
        <f>"5602972885170"</f>
        <v>5602972885170</v>
      </c>
      <c r="O3790" s="8">
        <v>460</v>
      </c>
      <c r="P3790" s="7">
        <v>45912</v>
      </c>
      <c r="R3790" s="8">
        <v>0</v>
      </c>
      <c r="S3790" s="7">
        <v>45917</v>
      </c>
      <c r="U3790" s="8">
        <v>500</v>
      </c>
      <c r="V3790" s="7">
        <v>45930</v>
      </c>
      <c r="X3790" s="8">
        <v>0</v>
      </c>
      <c r="Z3790" s="8">
        <v>500</v>
      </c>
      <c r="AA3790" s="7">
        <v>45944</v>
      </c>
      <c r="AC3790" s="8">
        <v>492</v>
      </c>
      <c r="AE3790" s="7">
        <v>45947</v>
      </c>
      <c r="AF3790" s="8">
        <v>492</v>
      </c>
      <c r="AH3790" s="7">
        <v>45940</v>
      </c>
      <c r="AN3790" s="8">
        <v>492</v>
      </c>
      <c r="AO3790" s="8">
        <v>-32</v>
      </c>
    </row>
    <row r="3791" spans="1:41" x14ac:dyDescent="0.25">
      <c r="A3791" s="6" t="str">
        <f t="shared" si="938"/>
        <v>525-2025000446</v>
      </c>
      <c r="B3791" s="6" t="str">
        <f t="shared" si="937"/>
        <v>Lasa Int</v>
      </c>
      <c r="C3791" s="7">
        <v>45912</v>
      </c>
      <c r="D3791" s="7">
        <v>46037</v>
      </c>
      <c r="E3791" s="8">
        <v>7</v>
      </c>
      <c r="F3791" s="6" t="str">
        <f t="shared" si="939"/>
        <v>Pano Pure</v>
      </c>
      <c r="G3791" s="6" t="str">
        <f>"F110117940000000"</f>
        <v>F110117940000000</v>
      </c>
      <c r="H3791" s="6" t="str">
        <f>"FAJ 1179 - PURE KITC"</f>
        <v>FAJ 1179 - PURE KITC</v>
      </c>
      <c r="I3791" s="6" t="str">
        <f>"3235"</f>
        <v>3235</v>
      </c>
      <c r="J3791" s="6" t="str">
        <f>"CINZA 3235"</f>
        <v>CINZA 3235</v>
      </c>
      <c r="K3791" s="6" t="str">
        <f t="shared" si="940"/>
        <v>0820</v>
      </c>
      <c r="L3791" s="6" t="str">
        <f t="shared" si="941"/>
        <v>Cozinha</v>
      </c>
      <c r="M3791" s="6" t="str">
        <f t="shared" si="942"/>
        <v>50x50</v>
      </c>
      <c r="N3791" s="6" t="str">
        <f>"5602972736359"</f>
        <v>5602972736359</v>
      </c>
      <c r="O3791" s="8">
        <v>900</v>
      </c>
      <c r="P3791" s="7">
        <v>45912</v>
      </c>
      <c r="R3791" s="8">
        <v>1512</v>
      </c>
      <c r="S3791" s="7">
        <v>45917</v>
      </c>
      <c r="U3791" s="8">
        <v>1048</v>
      </c>
      <c r="V3791" s="7">
        <v>45930</v>
      </c>
      <c r="X3791" s="8">
        <v>0</v>
      </c>
      <c r="Z3791" s="8">
        <v>1048</v>
      </c>
      <c r="AA3791" s="7">
        <v>45944</v>
      </c>
      <c r="AC3791" s="8">
        <v>208</v>
      </c>
      <c r="AE3791" s="7">
        <v>45947</v>
      </c>
      <c r="AF3791" s="8">
        <v>208</v>
      </c>
      <c r="AH3791" s="7">
        <v>45940</v>
      </c>
      <c r="AN3791" s="8">
        <v>208</v>
      </c>
      <c r="AO3791" s="8">
        <v>692</v>
      </c>
    </row>
    <row r="3792" spans="1:41" x14ac:dyDescent="0.25">
      <c r="A3792" s="6" t="str">
        <f t="shared" ref="A3792:A3801" si="943">"525-2025000453"</f>
        <v>525-2025000453</v>
      </c>
      <c r="B3792" s="6" t="str">
        <f t="shared" si="937"/>
        <v>Lasa Int</v>
      </c>
      <c r="C3792" s="7">
        <v>45916</v>
      </c>
      <c r="D3792" s="7">
        <v>46072</v>
      </c>
      <c r="E3792" s="8">
        <v>1</v>
      </c>
      <c r="F3792" s="6" t="str">
        <f t="shared" ref="F3792:F3829" si="944">"PURE R"</f>
        <v>PURE R</v>
      </c>
      <c r="G3792" s="6" t="str">
        <f>"R010000635000000"</f>
        <v>R010000635000000</v>
      </c>
      <c r="H3792" s="6" t="str">
        <f>"Alexis Cotoral Pure"</f>
        <v>Alexis Cotoral Pure</v>
      </c>
      <c r="I3792" s="6" t="str">
        <f t="shared" ref="I3792:I3801" si="945">"121"</f>
        <v>121</v>
      </c>
      <c r="J3792" s="6" t="str">
        <f t="shared" ref="J3792:J3801" si="946">"ROSA 121"</f>
        <v>ROSA 121</v>
      </c>
      <c r="K3792" s="6" t="str">
        <f>"5006"</f>
        <v>5006</v>
      </c>
      <c r="L3792" s="6" t="str">
        <f>"Roupões Adulto"</f>
        <v>Roupões Adulto</v>
      </c>
      <c r="M3792" s="6" t="str">
        <f>"L"</f>
        <v>L</v>
      </c>
      <c r="N3792" s="6" t="str">
        <f>"5602972637847"</f>
        <v>5602972637847</v>
      </c>
      <c r="O3792" s="8">
        <v>24</v>
      </c>
      <c r="P3792" s="7">
        <v>45916</v>
      </c>
      <c r="R3792" s="8">
        <v>0</v>
      </c>
      <c r="S3792" s="7">
        <v>45919</v>
      </c>
      <c r="U3792" s="8">
        <v>0</v>
      </c>
      <c r="V3792" s="7">
        <v>45930</v>
      </c>
      <c r="X3792" s="8">
        <v>0</v>
      </c>
      <c r="Z3792" s="8">
        <v>0</v>
      </c>
      <c r="AA3792" s="7">
        <v>45940</v>
      </c>
      <c r="AC3792" s="8">
        <v>0</v>
      </c>
      <c r="AE3792" s="7">
        <v>45958</v>
      </c>
      <c r="AF3792" s="8">
        <v>0</v>
      </c>
      <c r="AH3792" s="7">
        <v>45958</v>
      </c>
      <c r="AI3792" s="7">
        <v>45954</v>
      </c>
      <c r="AN3792" s="8">
        <v>0</v>
      </c>
      <c r="AO3792" s="8">
        <v>24</v>
      </c>
    </row>
    <row r="3793" spans="1:41" x14ac:dyDescent="0.25">
      <c r="A3793" s="6" t="str">
        <f t="shared" si="943"/>
        <v>525-2025000453</v>
      </c>
      <c r="B3793" s="6" t="str">
        <f t="shared" si="937"/>
        <v>Lasa Int</v>
      </c>
      <c r="C3793" s="7">
        <v>45916</v>
      </c>
      <c r="D3793" s="7">
        <v>46072</v>
      </c>
      <c r="E3793" s="8">
        <v>2</v>
      </c>
      <c r="F3793" s="6" t="str">
        <f t="shared" si="944"/>
        <v>PURE R</v>
      </c>
      <c r="G3793" s="6" t="str">
        <f>"R010000635000000"</f>
        <v>R010000635000000</v>
      </c>
      <c r="H3793" s="6" t="str">
        <f>"Alexis Cotoral Pure"</f>
        <v>Alexis Cotoral Pure</v>
      </c>
      <c r="I3793" s="6" t="str">
        <f t="shared" si="945"/>
        <v>121</v>
      </c>
      <c r="J3793" s="6" t="str">
        <f t="shared" si="946"/>
        <v>ROSA 121</v>
      </c>
      <c r="K3793" s="6" t="str">
        <f>"5008"</f>
        <v>5008</v>
      </c>
      <c r="L3793" s="6" t="str">
        <f>"Roupões Adulto"</f>
        <v>Roupões Adulto</v>
      </c>
      <c r="M3793" s="6" t="str">
        <f>"XL"</f>
        <v>XL</v>
      </c>
      <c r="N3793" s="6" t="str">
        <f>"5602972637854"</f>
        <v>5602972637854</v>
      </c>
      <c r="O3793" s="8">
        <v>12</v>
      </c>
      <c r="P3793" s="7">
        <v>45916</v>
      </c>
      <c r="R3793" s="8">
        <v>0</v>
      </c>
      <c r="S3793" s="7">
        <v>45919</v>
      </c>
      <c r="U3793" s="8">
        <v>0</v>
      </c>
      <c r="V3793" s="7">
        <v>45930</v>
      </c>
      <c r="X3793" s="8">
        <v>0</v>
      </c>
      <c r="Z3793" s="8">
        <v>0</v>
      </c>
      <c r="AA3793" s="7">
        <v>45940</v>
      </c>
      <c r="AC3793" s="8">
        <v>0</v>
      </c>
      <c r="AE3793" s="7">
        <v>45958</v>
      </c>
      <c r="AF3793" s="8">
        <v>0</v>
      </c>
      <c r="AH3793" s="7">
        <v>45958</v>
      </c>
      <c r="AI3793" s="7">
        <v>45954</v>
      </c>
      <c r="AN3793" s="8">
        <v>0</v>
      </c>
      <c r="AO3793" s="8">
        <v>12</v>
      </c>
    </row>
    <row r="3794" spans="1:41" x14ac:dyDescent="0.25">
      <c r="A3794" s="6" t="str">
        <f t="shared" si="943"/>
        <v>525-2025000453</v>
      </c>
      <c r="B3794" s="6" t="str">
        <f t="shared" si="937"/>
        <v>Lasa Int</v>
      </c>
      <c r="C3794" s="7">
        <v>45916</v>
      </c>
      <c r="D3794" s="7">
        <v>46072</v>
      </c>
      <c r="E3794" s="8">
        <v>3</v>
      </c>
      <c r="F3794" s="6" t="str">
        <f t="shared" si="944"/>
        <v>PURE R</v>
      </c>
      <c r="G3794" s="6" t="str">
        <f t="shared" ref="G3794:G3800" si="947">"R013000138500000"</f>
        <v>R013000138500000</v>
      </c>
      <c r="H3794" s="6" t="str">
        <f t="shared" ref="H3794:H3800" si="948">"Star PURE - Ketten 3"</f>
        <v>Star PURE - Ketten 3</v>
      </c>
      <c r="I3794" s="6" t="str">
        <f t="shared" si="945"/>
        <v>121</v>
      </c>
      <c r="J3794" s="6" t="str">
        <f t="shared" si="946"/>
        <v>ROSA 121</v>
      </c>
      <c r="K3794" s="6" t="str">
        <f>"5202"</f>
        <v>5202</v>
      </c>
      <c r="L3794" s="6" t="str">
        <f t="shared" ref="L3794:L3800" si="949">"Roupões Criança"</f>
        <v>Roupões Criança</v>
      </c>
      <c r="M3794" s="6" t="str">
        <f>"2 Anos"</f>
        <v>2 Anos</v>
      </c>
      <c r="N3794" s="6" t="str">
        <f>"5602972878172"</f>
        <v>5602972878172</v>
      </c>
      <c r="O3794" s="8">
        <v>60</v>
      </c>
      <c r="P3794" s="7">
        <v>45916</v>
      </c>
      <c r="R3794" s="8">
        <v>0</v>
      </c>
      <c r="S3794" s="7">
        <v>45919</v>
      </c>
      <c r="U3794" s="8">
        <v>0</v>
      </c>
      <c r="V3794" s="7">
        <v>45930</v>
      </c>
      <c r="X3794" s="8">
        <v>0</v>
      </c>
      <c r="Z3794" s="8">
        <v>0</v>
      </c>
      <c r="AA3794" s="7">
        <v>45940</v>
      </c>
      <c r="AC3794" s="8">
        <v>0</v>
      </c>
      <c r="AE3794" s="7">
        <v>45958</v>
      </c>
      <c r="AF3794" s="8">
        <v>0</v>
      </c>
      <c r="AH3794" s="7">
        <v>45958</v>
      </c>
      <c r="AI3794" s="7">
        <v>45954</v>
      </c>
      <c r="AN3794" s="8">
        <v>0</v>
      </c>
      <c r="AO3794" s="8">
        <v>60</v>
      </c>
    </row>
    <row r="3795" spans="1:41" x14ac:dyDescent="0.25">
      <c r="A3795" s="6" t="str">
        <f t="shared" si="943"/>
        <v>525-2025000453</v>
      </c>
      <c r="B3795" s="6" t="str">
        <f t="shared" si="937"/>
        <v>Lasa Int</v>
      </c>
      <c r="C3795" s="7">
        <v>45916</v>
      </c>
      <c r="D3795" s="7">
        <v>46072</v>
      </c>
      <c r="E3795" s="8">
        <v>4</v>
      </c>
      <c r="F3795" s="6" t="str">
        <f t="shared" si="944"/>
        <v>PURE R</v>
      </c>
      <c r="G3795" s="6" t="str">
        <f t="shared" si="947"/>
        <v>R013000138500000</v>
      </c>
      <c r="H3795" s="6" t="str">
        <f t="shared" si="948"/>
        <v>Star PURE - Ketten 3</v>
      </c>
      <c r="I3795" s="6" t="str">
        <f t="shared" si="945"/>
        <v>121</v>
      </c>
      <c r="J3795" s="6" t="str">
        <f t="shared" si="946"/>
        <v>ROSA 121</v>
      </c>
      <c r="K3795" s="6" t="str">
        <f>"5204"</f>
        <v>5204</v>
      </c>
      <c r="L3795" s="6" t="str">
        <f t="shared" si="949"/>
        <v>Roupões Criança</v>
      </c>
      <c r="M3795" s="6" t="str">
        <f>"4 Anos"</f>
        <v>4 Anos</v>
      </c>
      <c r="N3795" s="6" t="str">
        <f>"5602972878189"</f>
        <v>5602972878189</v>
      </c>
      <c r="O3795" s="8">
        <v>60</v>
      </c>
      <c r="P3795" s="7">
        <v>45916</v>
      </c>
      <c r="R3795" s="8">
        <v>0</v>
      </c>
      <c r="S3795" s="7">
        <v>45919</v>
      </c>
      <c r="U3795" s="8">
        <v>0</v>
      </c>
      <c r="V3795" s="7">
        <v>45930</v>
      </c>
      <c r="X3795" s="8">
        <v>0</v>
      </c>
      <c r="Z3795" s="8">
        <v>0</v>
      </c>
      <c r="AA3795" s="7">
        <v>45940</v>
      </c>
      <c r="AC3795" s="8">
        <v>0</v>
      </c>
      <c r="AE3795" s="7">
        <v>45958</v>
      </c>
      <c r="AF3795" s="8">
        <v>0</v>
      </c>
      <c r="AH3795" s="7">
        <v>45958</v>
      </c>
      <c r="AI3795" s="7">
        <v>45954</v>
      </c>
      <c r="AN3795" s="8">
        <v>0</v>
      </c>
      <c r="AO3795" s="8">
        <v>60</v>
      </c>
    </row>
    <row r="3796" spans="1:41" x14ac:dyDescent="0.25">
      <c r="A3796" s="6" t="str">
        <f t="shared" si="943"/>
        <v>525-2025000453</v>
      </c>
      <c r="B3796" s="6" t="str">
        <f t="shared" si="937"/>
        <v>Lasa Int</v>
      </c>
      <c r="C3796" s="7">
        <v>45916</v>
      </c>
      <c r="D3796" s="7">
        <v>46072</v>
      </c>
      <c r="E3796" s="8">
        <v>5</v>
      </c>
      <c r="F3796" s="6" t="str">
        <f t="shared" si="944"/>
        <v>PURE R</v>
      </c>
      <c r="G3796" s="6" t="str">
        <f t="shared" si="947"/>
        <v>R013000138500000</v>
      </c>
      <c r="H3796" s="6" t="str">
        <f t="shared" si="948"/>
        <v>Star PURE - Ketten 3</v>
      </c>
      <c r="I3796" s="6" t="str">
        <f t="shared" si="945"/>
        <v>121</v>
      </c>
      <c r="J3796" s="6" t="str">
        <f t="shared" si="946"/>
        <v>ROSA 121</v>
      </c>
      <c r="K3796" s="6" t="str">
        <f>"5206"</f>
        <v>5206</v>
      </c>
      <c r="L3796" s="6" t="str">
        <f t="shared" si="949"/>
        <v>Roupões Criança</v>
      </c>
      <c r="M3796" s="6" t="str">
        <f>"6 Anos"</f>
        <v>6 Anos</v>
      </c>
      <c r="N3796" s="6" t="str">
        <f>"5602972878196"</f>
        <v>5602972878196</v>
      </c>
      <c r="O3796" s="8">
        <v>48</v>
      </c>
      <c r="P3796" s="7">
        <v>45916</v>
      </c>
      <c r="R3796" s="8">
        <v>0</v>
      </c>
      <c r="S3796" s="7">
        <v>45919</v>
      </c>
      <c r="U3796" s="8">
        <v>0</v>
      </c>
      <c r="V3796" s="7">
        <v>45930</v>
      </c>
      <c r="X3796" s="8">
        <v>0</v>
      </c>
      <c r="Z3796" s="8">
        <v>0</v>
      </c>
      <c r="AA3796" s="7">
        <v>45940</v>
      </c>
      <c r="AC3796" s="8">
        <v>0</v>
      </c>
      <c r="AE3796" s="7">
        <v>45958</v>
      </c>
      <c r="AF3796" s="8">
        <v>0</v>
      </c>
      <c r="AH3796" s="7">
        <v>45958</v>
      </c>
      <c r="AI3796" s="7">
        <v>45954</v>
      </c>
      <c r="AN3796" s="8">
        <v>0</v>
      </c>
      <c r="AO3796" s="8">
        <v>48</v>
      </c>
    </row>
    <row r="3797" spans="1:41" x14ac:dyDescent="0.25">
      <c r="A3797" s="6" t="str">
        <f t="shared" si="943"/>
        <v>525-2025000453</v>
      </c>
      <c r="B3797" s="6" t="str">
        <f t="shared" si="937"/>
        <v>Lasa Int</v>
      </c>
      <c r="C3797" s="7">
        <v>45916</v>
      </c>
      <c r="D3797" s="7">
        <v>46072</v>
      </c>
      <c r="E3797" s="8">
        <v>6</v>
      </c>
      <c r="F3797" s="6" t="str">
        <f t="shared" si="944"/>
        <v>PURE R</v>
      </c>
      <c r="G3797" s="6" t="str">
        <f t="shared" si="947"/>
        <v>R013000138500000</v>
      </c>
      <c r="H3797" s="6" t="str">
        <f t="shared" si="948"/>
        <v>Star PURE - Ketten 3</v>
      </c>
      <c r="I3797" s="6" t="str">
        <f t="shared" si="945"/>
        <v>121</v>
      </c>
      <c r="J3797" s="6" t="str">
        <f t="shared" si="946"/>
        <v>ROSA 121</v>
      </c>
      <c r="K3797" s="6" t="str">
        <f>"5208"</f>
        <v>5208</v>
      </c>
      <c r="L3797" s="6" t="str">
        <f t="shared" si="949"/>
        <v>Roupões Criança</v>
      </c>
      <c r="M3797" s="6" t="str">
        <f>"8 Anos"</f>
        <v>8 Anos</v>
      </c>
      <c r="N3797" s="6" t="str">
        <f>"5602972878202"</f>
        <v>5602972878202</v>
      </c>
      <c r="O3797" s="8">
        <v>48</v>
      </c>
      <c r="P3797" s="7">
        <v>45916</v>
      </c>
      <c r="R3797" s="8">
        <v>0</v>
      </c>
      <c r="S3797" s="7">
        <v>45919</v>
      </c>
      <c r="U3797" s="8">
        <v>0</v>
      </c>
      <c r="V3797" s="7">
        <v>45930</v>
      </c>
      <c r="X3797" s="8">
        <v>0</v>
      </c>
      <c r="Z3797" s="8">
        <v>0</v>
      </c>
      <c r="AA3797" s="7">
        <v>45940</v>
      </c>
      <c r="AC3797" s="8">
        <v>0</v>
      </c>
      <c r="AE3797" s="7">
        <v>45958</v>
      </c>
      <c r="AF3797" s="8">
        <v>0</v>
      </c>
      <c r="AH3797" s="7">
        <v>45958</v>
      </c>
      <c r="AI3797" s="7">
        <v>45954</v>
      </c>
      <c r="AN3797" s="8">
        <v>0</v>
      </c>
      <c r="AO3797" s="8">
        <v>48</v>
      </c>
    </row>
    <row r="3798" spans="1:41" x14ac:dyDescent="0.25">
      <c r="A3798" s="6" t="str">
        <f t="shared" si="943"/>
        <v>525-2025000453</v>
      </c>
      <c r="B3798" s="6" t="str">
        <f t="shared" si="937"/>
        <v>Lasa Int</v>
      </c>
      <c r="C3798" s="7">
        <v>45916</v>
      </c>
      <c r="D3798" s="7">
        <v>46072</v>
      </c>
      <c r="E3798" s="8">
        <v>7</v>
      </c>
      <c r="F3798" s="6" t="str">
        <f t="shared" si="944"/>
        <v>PURE R</v>
      </c>
      <c r="G3798" s="6" t="str">
        <f t="shared" si="947"/>
        <v>R013000138500000</v>
      </c>
      <c r="H3798" s="6" t="str">
        <f t="shared" si="948"/>
        <v>Star PURE - Ketten 3</v>
      </c>
      <c r="I3798" s="6" t="str">
        <f t="shared" si="945"/>
        <v>121</v>
      </c>
      <c r="J3798" s="6" t="str">
        <f t="shared" si="946"/>
        <v>ROSA 121</v>
      </c>
      <c r="K3798" s="6" t="str">
        <f>"5210"</f>
        <v>5210</v>
      </c>
      <c r="L3798" s="6" t="str">
        <f t="shared" si="949"/>
        <v>Roupões Criança</v>
      </c>
      <c r="M3798" s="6" t="str">
        <f>"10 Anos"</f>
        <v>10 Anos</v>
      </c>
      <c r="N3798" s="6" t="str">
        <f>"5602972878219"</f>
        <v>5602972878219</v>
      </c>
      <c r="O3798" s="8">
        <v>36</v>
      </c>
      <c r="P3798" s="7">
        <v>45916</v>
      </c>
      <c r="R3798" s="8">
        <v>0</v>
      </c>
      <c r="S3798" s="7">
        <v>45919</v>
      </c>
      <c r="U3798" s="8">
        <v>0</v>
      </c>
      <c r="V3798" s="7">
        <v>45930</v>
      </c>
      <c r="X3798" s="8">
        <v>0</v>
      </c>
      <c r="Z3798" s="8">
        <v>0</v>
      </c>
      <c r="AA3798" s="7">
        <v>45940</v>
      </c>
      <c r="AC3798" s="8">
        <v>0</v>
      </c>
      <c r="AE3798" s="7">
        <v>45958</v>
      </c>
      <c r="AF3798" s="8">
        <v>0</v>
      </c>
      <c r="AH3798" s="7">
        <v>45958</v>
      </c>
      <c r="AI3798" s="7">
        <v>45954</v>
      </c>
      <c r="AN3798" s="8">
        <v>0</v>
      </c>
      <c r="AO3798" s="8">
        <v>36</v>
      </c>
    </row>
    <row r="3799" spans="1:41" x14ac:dyDescent="0.25">
      <c r="A3799" s="6" t="str">
        <f t="shared" si="943"/>
        <v>525-2025000453</v>
      </c>
      <c r="B3799" s="6" t="str">
        <f t="shared" si="937"/>
        <v>Lasa Int</v>
      </c>
      <c r="C3799" s="7">
        <v>45916</v>
      </c>
      <c r="D3799" s="7">
        <v>46072</v>
      </c>
      <c r="E3799" s="8">
        <v>8</v>
      </c>
      <c r="F3799" s="6" t="str">
        <f t="shared" si="944"/>
        <v>PURE R</v>
      </c>
      <c r="G3799" s="6" t="str">
        <f t="shared" si="947"/>
        <v>R013000138500000</v>
      </c>
      <c r="H3799" s="6" t="str">
        <f t="shared" si="948"/>
        <v>Star PURE - Ketten 3</v>
      </c>
      <c r="I3799" s="6" t="str">
        <f t="shared" si="945"/>
        <v>121</v>
      </c>
      <c r="J3799" s="6" t="str">
        <f t="shared" si="946"/>
        <v>ROSA 121</v>
      </c>
      <c r="K3799" s="6" t="str">
        <f>"5212"</f>
        <v>5212</v>
      </c>
      <c r="L3799" s="6" t="str">
        <f t="shared" si="949"/>
        <v>Roupões Criança</v>
      </c>
      <c r="M3799" s="6" t="str">
        <f>"12 Anos"</f>
        <v>12 Anos</v>
      </c>
      <c r="N3799" s="6" t="str">
        <f>"5602972878226"</f>
        <v>5602972878226</v>
      </c>
      <c r="O3799" s="8">
        <v>48</v>
      </c>
      <c r="P3799" s="7">
        <v>45916</v>
      </c>
      <c r="R3799" s="8">
        <v>0</v>
      </c>
      <c r="S3799" s="7">
        <v>45919</v>
      </c>
      <c r="U3799" s="8">
        <v>0</v>
      </c>
      <c r="V3799" s="7">
        <v>45930</v>
      </c>
      <c r="X3799" s="8">
        <v>0</v>
      </c>
      <c r="Z3799" s="8">
        <v>0</v>
      </c>
      <c r="AA3799" s="7">
        <v>45940</v>
      </c>
      <c r="AC3799" s="8">
        <v>0</v>
      </c>
      <c r="AE3799" s="7">
        <v>45958</v>
      </c>
      <c r="AF3799" s="8">
        <v>0</v>
      </c>
      <c r="AH3799" s="7">
        <v>45958</v>
      </c>
      <c r="AI3799" s="7">
        <v>45954</v>
      </c>
      <c r="AN3799" s="8">
        <v>0</v>
      </c>
      <c r="AO3799" s="8">
        <v>48</v>
      </c>
    </row>
    <row r="3800" spans="1:41" x14ac:dyDescent="0.25">
      <c r="A3800" s="6" t="str">
        <f t="shared" si="943"/>
        <v>525-2025000453</v>
      </c>
      <c r="B3800" s="6" t="str">
        <f t="shared" si="937"/>
        <v>Lasa Int</v>
      </c>
      <c r="C3800" s="7">
        <v>45916</v>
      </c>
      <c r="D3800" s="7">
        <v>46072</v>
      </c>
      <c r="E3800" s="8">
        <v>9</v>
      </c>
      <c r="F3800" s="6" t="str">
        <f t="shared" si="944"/>
        <v>PURE R</v>
      </c>
      <c r="G3800" s="6" t="str">
        <f t="shared" si="947"/>
        <v>R013000138500000</v>
      </c>
      <c r="H3800" s="6" t="str">
        <f t="shared" si="948"/>
        <v>Star PURE - Ketten 3</v>
      </c>
      <c r="I3800" s="6" t="str">
        <f t="shared" si="945"/>
        <v>121</v>
      </c>
      <c r="J3800" s="6" t="str">
        <f t="shared" si="946"/>
        <v>ROSA 121</v>
      </c>
      <c r="K3800" s="6" t="str">
        <f>"5214"</f>
        <v>5214</v>
      </c>
      <c r="L3800" s="6" t="str">
        <f t="shared" si="949"/>
        <v>Roupões Criança</v>
      </c>
      <c r="M3800" s="6" t="str">
        <f>"14 Anos"</f>
        <v>14 Anos</v>
      </c>
      <c r="N3800" s="6" t="str">
        <f>"5602972878233"</f>
        <v>5602972878233</v>
      </c>
      <c r="O3800" s="8">
        <v>24</v>
      </c>
      <c r="P3800" s="7">
        <v>45916</v>
      </c>
      <c r="R3800" s="8">
        <v>0</v>
      </c>
      <c r="S3800" s="7">
        <v>45919</v>
      </c>
      <c r="U3800" s="8">
        <v>0</v>
      </c>
      <c r="V3800" s="7">
        <v>45930</v>
      </c>
      <c r="X3800" s="8">
        <v>0</v>
      </c>
      <c r="Z3800" s="8">
        <v>0</v>
      </c>
      <c r="AA3800" s="7">
        <v>45940</v>
      </c>
      <c r="AC3800" s="8">
        <v>0</v>
      </c>
      <c r="AE3800" s="7">
        <v>45958</v>
      </c>
      <c r="AF3800" s="8">
        <v>0</v>
      </c>
      <c r="AH3800" s="7">
        <v>45958</v>
      </c>
      <c r="AI3800" s="7">
        <v>45954</v>
      </c>
      <c r="AN3800" s="8">
        <v>0</v>
      </c>
      <c r="AO3800" s="8">
        <v>24</v>
      </c>
    </row>
    <row r="3801" spans="1:41" x14ac:dyDescent="0.25">
      <c r="A3801" s="6" t="str">
        <f t="shared" si="943"/>
        <v>525-2025000453</v>
      </c>
      <c r="B3801" s="6" t="str">
        <f t="shared" si="937"/>
        <v>Lasa Int</v>
      </c>
      <c r="C3801" s="7">
        <v>45916</v>
      </c>
      <c r="D3801" s="7">
        <v>46072</v>
      </c>
      <c r="E3801" s="8">
        <v>10</v>
      </c>
      <c r="F3801" s="6" t="str">
        <f t="shared" si="944"/>
        <v>PURE R</v>
      </c>
      <c r="G3801" s="6" t="str">
        <f>"R120327038500000"</f>
        <v>R120327038500000</v>
      </c>
      <c r="H3801" s="6" t="str">
        <f>"R 3270 - PURE Capuz"</f>
        <v>R 3270 - PURE Capuz</v>
      </c>
      <c r="I3801" s="6" t="str">
        <f t="shared" si="945"/>
        <v>121</v>
      </c>
      <c r="J3801" s="6" t="str">
        <f t="shared" si="946"/>
        <v>ROSA 121</v>
      </c>
      <c r="K3801" s="6" t="str">
        <f>"5004"</f>
        <v>5004</v>
      </c>
      <c r="L3801" s="6" t="str">
        <f t="shared" ref="L3801:L3807" si="950">"Roupões Adulto"</f>
        <v>Roupões Adulto</v>
      </c>
      <c r="M3801" s="6" t="str">
        <f>"M"</f>
        <v>M</v>
      </c>
      <c r="N3801" s="6" t="str">
        <f>"5602972645613"</f>
        <v>5602972645613</v>
      </c>
      <c r="O3801" s="8">
        <v>12</v>
      </c>
      <c r="P3801" s="7">
        <v>45916</v>
      </c>
      <c r="R3801" s="8">
        <v>0</v>
      </c>
      <c r="S3801" s="7">
        <v>45919</v>
      </c>
      <c r="U3801" s="8">
        <v>750</v>
      </c>
      <c r="V3801" s="7">
        <v>45930</v>
      </c>
      <c r="X3801" s="8">
        <v>750</v>
      </c>
      <c r="Z3801" s="8">
        <v>0</v>
      </c>
      <c r="AA3801" s="7">
        <v>45940</v>
      </c>
      <c r="AC3801" s="8">
        <v>0</v>
      </c>
      <c r="AE3801" s="7">
        <v>45958</v>
      </c>
      <c r="AF3801" s="8">
        <v>0</v>
      </c>
      <c r="AH3801" s="7">
        <v>45958</v>
      </c>
      <c r="AI3801" s="7">
        <v>45954</v>
      </c>
      <c r="AN3801" s="8">
        <v>0</v>
      </c>
      <c r="AO3801" s="8">
        <v>12</v>
      </c>
    </row>
    <row r="3802" spans="1:41" x14ac:dyDescent="0.25">
      <c r="A3802" s="6" t="str">
        <f t="shared" ref="A3802:A3814" si="951">"525-2025000454"</f>
        <v>525-2025000454</v>
      </c>
      <c r="B3802" s="6" t="str">
        <f t="shared" si="937"/>
        <v>Lasa Int</v>
      </c>
      <c r="C3802" s="7">
        <v>45916</v>
      </c>
      <c r="D3802" s="7">
        <v>46065</v>
      </c>
      <c r="E3802" s="8">
        <v>1</v>
      </c>
      <c r="F3802" s="6" t="str">
        <f t="shared" si="944"/>
        <v>PURE R</v>
      </c>
      <c r="G3802" s="6" t="str">
        <f t="shared" ref="G3802:G3807" si="952">"R010000635000000"</f>
        <v>R010000635000000</v>
      </c>
      <c r="H3802" s="6" t="str">
        <f t="shared" ref="H3802:H3807" si="953">"Alexis Cotoral Pure"</f>
        <v>Alexis Cotoral Pure</v>
      </c>
      <c r="I3802" s="6" t="str">
        <f t="shared" ref="I3802:I3814" si="954">"5149"</f>
        <v>5149</v>
      </c>
      <c r="J3802" s="6" t="str">
        <f t="shared" ref="J3802:J3814" si="955">"VERDE 5149"</f>
        <v>VERDE 5149</v>
      </c>
      <c r="K3802" s="6" t="str">
        <f>"5002"</f>
        <v>5002</v>
      </c>
      <c r="L3802" s="6" t="str">
        <f t="shared" si="950"/>
        <v>Roupões Adulto</v>
      </c>
      <c r="M3802" s="6" t="str">
        <f>"S"</f>
        <v>S</v>
      </c>
      <c r="N3802" s="6" t="str">
        <f>"5602972676655"</f>
        <v>5602972676655</v>
      </c>
      <c r="O3802" s="8">
        <v>84</v>
      </c>
      <c r="P3802" s="7">
        <v>45916</v>
      </c>
      <c r="R3802" s="8">
        <v>0</v>
      </c>
      <c r="S3802" s="7">
        <v>45919</v>
      </c>
      <c r="U3802" s="8">
        <v>1965</v>
      </c>
      <c r="V3802" s="7">
        <v>45930</v>
      </c>
      <c r="X3802" s="8">
        <v>1965</v>
      </c>
      <c r="Z3802" s="8">
        <v>0</v>
      </c>
      <c r="AA3802" s="7">
        <v>45940</v>
      </c>
      <c r="AC3802" s="8">
        <v>85</v>
      </c>
      <c r="AE3802" s="7">
        <v>45958</v>
      </c>
      <c r="AF3802" s="8">
        <v>85</v>
      </c>
      <c r="AH3802" s="7">
        <v>46030</v>
      </c>
      <c r="AI3802" s="7">
        <v>45954</v>
      </c>
      <c r="AN3802" s="8">
        <v>85</v>
      </c>
      <c r="AO3802" s="8">
        <v>-1</v>
      </c>
    </row>
    <row r="3803" spans="1:41" x14ac:dyDescent="0.25">
      <c r="A3803" s="6" t="str">
        <f t="shared" si="951"/>
        <v>525-2025000454</v>
      </c>
      <c r="B3803" s="6" t="str">
        <f t="shared" si="937"/>
        <v>Lasa Int</v>
      </c>
      <c r="C3803" s="7">
        <v>45916</v>
      </c>
      <c r="D3803" s="7">
        <v>46065</v>
      </c>
      <c r="E3803" s="8">
        <v>2</v>
      </c>
      <c r="F3803" s="6" t="str">
        <f t="shared" si="944"/>
        <v>PURE R</v>
      </c>
      <c r="G3803" s="6" t="str">
        <f t="shared" si="952"/>
        <v>R010000635000000</v>
      </c>
      <c r="H3803" s="6" t="str">
        <f t="shared" si="953"/>
        <v>Alexis Cotoral Pure</v>
      </c>
      <c r="I3803" s="6" t="str">
        <f t="shared" si="954"/>
        <v>5149</v>
      </c>
      <c r="J3803" s="6" t="str">
        <f t="shared" si="955"/>
        <v>VERDE 5149</v>
      </c>
      <c r="K3803" s="6" t="str">
        <f>"5004"</f>
        <v>5004</v>
      </c>
      <c r="L3803" s="6" t="str">
        <f t="shared" si="950"/>
        <v>Roupões Adulto</v>
      </c>
      <c r="M3803" s="6" t="str">
        <f>"M"</f>
        <v>M</v>
      </c>
      <c r="N3803" s="6" t="str">
        <f>"5602972676662"</f>
        <v>5602972676662</v>
      </c>
      <c r="O3803" s="8">
        <v>120</v>
      </c>
      <c r="P3803" s="7">
        <v>45916</v>
      </c>
      <c r="R3803" s="8">
        <v>0</v>
      </c>
      <c r="S3803" s="7">
        <v>45919</v>
      </c>
      <c r="U3803" s="8">
        <v>0</v>
      </c>
      <c r="V3803" s="7">
        <v>45930</v>
      </c>
      <c r="X3803" s="8">
        <v>0</v>
      </c>
      <c r="Z3803" s="8">
        <v>0</v>
      </c>
      <c r="AA3803" s="7">
        <v>45940</v>
      </c>
      <c r="AC3803" s="8">
        <v>126</v>
      </c>
      <c r="AE3803" s="7">
        <v>45958</v>
      </c>
      <c r="AF3803" s="8">
        <v>126</v>
      </c>
      <c r="AH3803" s="7">
        <v>46030</v>
      </c>
      <c r="AI3803" s="7">
        <v>45954</v>
      </c>
      <c r="AN3803" s="8">
        <v>126</v>
      </c>
      <c r="AO3803" s="8">
        <v>-6</v>
      </c>
    </row>
    <row r="3804" spans="1:41" x14ac:dyDescent="0.25">
      <c r="A3804" s="6" t="str">
        <f t="shared" si="951"/>
        <v>525-2025000454</v>
      </c>
      <c r="B3804" s="6" t="str">
        <f t="shared" si="937"/>
        <v>Lasa Int</v>
      </c>
      <c r="C3804" s="7">
        <v>45916</v>
      </c>
      <c r="D3804" s="7">
        <v>46065</v>
      </c>
      <c r="E3804" s="8">
        <v>3</v>
      </c>
      <c r="F3804" s="6" t="str">
        <f t="shared" si="944"/>
        <v>PURE R</v>
      </c>
      <c r="G3804" s="6" t="str">
        <f t="shared" si="952"/>
        <v>R010000635000000</v>
      </c>
      <c r="H3804" s="6" t="str">
        <f t="shared" si="953"/>
        <v>Alexis Cotoral Pure</v>
      </c>
      <c r="I3804" s="6" t="str">
        <f t="shared" si="954"/>
        <v>5149</v>
      </c>
      <c r="J3804" s="6" t="str">
        <f t="shared" si="955"/>
        <v>VERDE 5149</v>
      </c>
      <c r="K3804" s="6" t="str">
        <f>"5006"</f>
        <v>5006</v>
      </c>
      <c r="L3804" s="6" t="str">
        <f t="shared" si="950"/>
        <v>Roupões Adulto</v>
      </c>
      <c r="M3804" s="6" t="str">
        <f>"L"</f>
        <v>L</v>
      </c>
      <c r="N3804" s="6" t="str">
        <f>"5602972676679"</f>
        <v>5602972676679</v>
      </c>
      <c r="O3804" s="8">
        <v>120</v>
      </c>
      <c r="P3804" s="7">
        <v>45916</v>
      </c>
      <c r="R3804" s="8">
        <v>0</v>
      </c>
      <c r="S3804" s="7">
        <v>45919</v>
      </c>
      <c r="U3804" s="8">
        <v>0</v>
      </c>
      <c r="V3804" s="7">
        <v>45930</v>
      </c>
      <c r="X3804" s="8">
        <v>0</v>
      </c>
      <c r="Z3804" s="8">
        <v>0</v>
      </c>
      <c r="AA3804" s="7">
        <v>45940</v>
      </c>
      <c r="AC3804" s="8">
        <v>130</v>
      </c>
      <c r="AE3804" s="7">
        <v>45958</v>
      </c>
      <c r="AF3804" s="8">
        <v>130</v>
      </c>
      <c r="AH3804" s="7">
        <v>46030</v>
      </c>
      <c r="AI3804" s="7">
        <v>45954</v>
      </c>
      <c r="AN3804" s="8">
        <v>130</v>
      </c>
      <c r="AO3804" s="8">
        <v>-10</v>
      </c>
    </row>
    <row r="3805" spans="1:41" x14ac:dyDescent="0.25">
      <c r="A3805" s="6" t="str">
        <f t="shared" si="951"/>
        <v>525-2025000454</v>
      </c>
      <c r="B3805" s="6" t="str">
        <f t="shared" si="937"/>
        <v>Lasa Int</v>
      </c>
      <c r="C3805" s="7">
        <v>45916</v>
      </c>
      <c r="D3805" s="7">
        <v>46065</v>
      </c>
      <c r="E3805" s="8">
        <v>4</v>
      </c>
      <c r="F3805" s="6" t="str">
        <f t="shared" si="944"/>
        <v>PURE R</v>
      </c>
      <c r="G3805" s="6" t="str">
        <f t="shared" si="952"/>
        <v>R010000635000000</v>
      </c>
      <c r="H3805" s="6" t="str">
        <f t="shared" si="953"/>
        <v>Alexis Cotoral Pure</v>
      </c>
      <c r="I3805" s="6" t="str">
        <f t="shared" si="954"/>
        <v>5149</v>
      </c>
      <c r="J3805" s="6" t="str">
        <f t="shared" si="955"/>
        <v>VERDE 5149</v>
      </c>
      <c r="K3805" s="6" t="str">
        <f>"5008"</f>
        <v>5008</v>
      </c>
      <c r="L3805" s="6" t="str">
        <f t="shared" si="950"/>
        <v>Roupões Adulto</v>
      </c>
      <c r="M3805" s="6" t="str">
        <f>"XL"</f>
        <v>XL</v>
      </c>
      <c r="N3805" s="6" t="str">
        <f>"5602972676686"</f>
        <v>5602972676686</v>
      </c>
      <c r="O3805" s="8">
        <v>96</v>
      </c>
      <c r="P3805" s="7">
        <v>45916</v>
      </c>
      <c r="R3805" s="8">
        <v>0</v>
      </c>
      <c r="S3805" s="7">
        <v>45919</v>
      </c>
      <c r="U3805" s="8">
        <v>0</v>
      </c>
      <c r="V3805" s="7">
        <v>45930</v>
      </c>
      <c r="X3805" s="8">
        <v>0</v>
      </c>
      <c r="Z3805" s="8">
        <v>0</v>
      </c>
      <c r="AA3805" s="7">
        <v>45940</v>
      </c>
      <c r="AC3805" s="8">
        <v>102</v>
      </c>
      <c r="AE3805" s="7">
        <v>45958</v>
      </c>
      <c r="AF3805" s="8">
        <v>102</v>
      </c>
      <c r="AH3805" s="7">
        <v>46030</v>
      </c>
      <c r="AI3805" s="7">
        <v>45954</v>
      </c>
      <c r="AN3805" s="8">
        <v>102</v>
      </c>
      <c r="AO3805" s="8">
        <v>-6</v>
      </c>
    </row>
    <row r="3806" spans="1:41" x14ac:dyDescent="0.25">
      <c r="A3806" s="6" t="str">
        <f t="shared" si="951"/>
        <v>525-2025000454</v>
      </c>
      <c r="B3806" s="6" t="str">
        <f t="shared" si="937"/>
        <v>Lasa Int</v>
      </c>
      <c r="C3806" s="7">
        <v>45916</v>
      </c>
      <c r="D3806" s="7">
        <v>46065</v>
      </c>
      <c r="E3806" s="8">
        <v>5</v>
      </c>
      <c r="F3806" s="6" t="str">
        <f t="shared" si="944"/>
        <v>PURE R</v>
      </c>
      <c r="G3806" s="6" t="str">
        <f t="shared" si="952"/>
        <v>R010000635000000</v>
      </c>
      <c r="H3806" s="6" t="str">
        <f t="shared" si="953"/>
        <v>Alexis Cotoral Pure</v>
      </c>
      <c r="I3806" s="6" t="str">
        <f t="shared" si="954"/>
        <v>5149</v>
      </c>
      <c r="J3806" s="6" t="str">
        <f t="shared" si="955"/>
        <v>VERDE 5149</v>
      </c>
      <c r="K3806" s="6" t="str">
        <f>"5010"</f>
        <v>5010</v>
      </c>
      <c r="L3806" s="6" t="str">
        <f t="shared" si="950"/>
        <v>Roupões Adulto</v>
      </c>
      <c r="M3806" s="6" t="str">
        <f>"XXL"</f>
        <v>XXL</v>
      </c>
      <c r="N3806" s="6" t="str">
        <f>"5602972676693"</f>
        <v>5602972676693</v>
      </c>
      <c r="O3806" s="8">
        <v>36</v>
      </c>
      <c r="P3806" s="7">
        <v>45916</v>
      </c>
      <c r="R3806" s="8">
        <v>0</v>
      </c>
      <c r="S3806" s="7">
        <v>45919</v>
      </c>
      <c r="U3806" s="8">
        <v>0</v>
      </c>
      <c r="V3806" s="7">
        <v>45930</v>
      </c>
      <c r="X3806" s="8">
        <v>0</v>
      </c>
      <c r="Z3806" s="8">
        <v>0</v>
      </c>
      <c r="AA3806" s="7">
        <v>45940</v>
      </c>
      <c r="AC3806" s="8">
        <v>40</v>
      </c>
      <c r="AE3806" s="7">
        <v>45958</v>
      </c>
      <c r="AF3806" s="8">
        <v>40</v>
      </c>
      <c r="AH3806" s="7">
        <v>46030</v>
      </c>
      <c r="AI3806" s="7">
        <v>45954</v>
      </c>
      <c r="AN3806" s="8">
        <v>40</v>
      </c>
      <c r="AO3806" s="8">
        <v>-4</v>
      </c>
    </row>
    <row r="3807" spans="1:41" x14ac:dyDescent="0.25">
      <c r="A3807" s="6" t="str">
        <f t="shared" si="951"/>
        <v>525-2025000454</v>
      </c>
      <c r="B3807" s="6" t="str">
        <f t="shared" si="937"/>
        <v>Lasa Int</v>
      </c>
      <c r="C3807" s="7">
        <v>45916</v>
      </c>
      <c r="D3807" s="7">
        <v>46065</v>
      </c>
      <c r="E3807" s="8">
        <v>6</v>
      </c>
      <c r="F3807" s="6" t="str">
        <f t="shared" si="944"/>
        <v>PURE R</v>
      </c>
      <c r="G3807" s="6" t="str">
        <f t="shared" si="952"/>
        <v>R010000635000000</v>
      </c>
      <c r="H3807" s="6" t="str">
        <f t="shared" si="953"/>
        <v>Alexis Cotoral Pure</v>
      </c>
      <c r="I3807" s="6" t="str">
        <f t="shared" si="954"/>
        <v>5149</v>
      </c>
      <c r="J3807" s="6" t="str">
        <f t="shared" si="955"/>
        <v>VERDE 5149</v>
      </c>
      <c r="K3807" s="6" t="str">
        <f>"5014"</f>
        <v>5014</v>
      </c>
      <c r="L3807" s="6" t="str">
        <f t="shared" si="950"/>
        <v>Roupões Adulto</v>
      </c>
      <c r="M3807" s="6" t="str">
        <f>"3XL"</f>
        <v>3XL</v>
      </c>
      <c r="N3807" s="6" t="str">
        <f>"5602972676709"</f>
        <v>5602972676709</v>
      </c>
      <c r="O3807" s="8">
        <v>24</v>
      </c>
      <c r="P3807" s="7">
        <v>45916</v>
      </c>
      <c r="R3807" s="8">
        <v>0</v>
      </c>
      <c r="S3807" s="7">
        <v>45919</v>
      </c>
      <c r="U3807" s="8">
        <v>0</v>
      </c>
      <c r="V3807" s="7">
        <v>45930</v>
      </c>
      <c r="X3807" s="8">
        <v>0</v>
      </c>
      <c r="Z3807" s="8">
        <v>0</v>
      </c>
      <c r="AA3807" s="7">
        <v>45940</v>
      </c>
      <c r="AC3807" s="8">
        <v>29</v>
      </c>
      <c r="AE3807" s="7">
        <v>45958</v>
      </c>
      <c r="AF3807" s="8">
        <v>29</v>
      </c>
      <c r="AH3807" s="7">
        <v>46030</v>
      </c>
      <c r="AI3807" s="7">
        <v>45954</v>
      </c>
      <c r="AN3807" s="8">
        <v>29</v>
      </c>
      <c r="AO3807" s="8">
        <v>-5</v>
      </c>
    </row>
    <row r="3808" spans="1:41" x14ac:dyDescent="0.25">
      <c r="A3808" s="6" t="str">
        <f t="shared" si="951"/>
        <v>525-2025000454</v>
      </c>
      <c r="B3808" s="6" t="str">
        <f t="shared" si="937"/>
        <v>Lasa Int</v>
      </c>
      <c r="C3808" s="7">
        <v>45916</v>
      </c>
      <c r="D3808" s="7">
        <v>46065</v>
      </c>
      <c r="E3808" s="8">
        <v>7</v>
      </c>
      <c r="F3808" s="6" t="str">
        <f t="shared" si="944"/>
        <v>PURE R</v>
      </c>
      <c r="G3808" s="6" t="str">
        <f t="shared" ref="G3808:G3814" si="956">"R013000138500000"</f>
        <v>R013000138500000</v>
      </c>
      <c r="H3808" s="6" t="str">
        <f t="shared" ref="H3808:H3814" si="957">"Star PURE - Ketten 3"</f>
        <v>Star PURE - Ketten 3</v>
      </c>
      <c r="I3808" s="6" t="str">
        <f t="shared" si="954"/>
        <v>5149</v>
      </c>
      <c r="J3808" s="6" t="str">
        <f t="shared" si="955"/>
        <v>VERDE 5149</v>
      </c>
      <c r="K3808" s="6" t="str">
        <f>"5202"</f>
        <v>5202</v>
      </c>
      <c r="L3808" s="6" t="str">
        <f t="shared" ref="L3808:L3814" si="958">"Roupões Criança"</f>
        <v>Roupões Criança</v>
      </c>
      <c r="M3808" s="6" t="str">
        <f>"2 Anos"</f>
        <v>2 Anos</v>
      </c>
      <c r="N3808" s="6" t="str">
        <f>"5602972677232"</f>
        <v>5602972677232</v>
      </c>
      <c r="O3808" s="8">
        <v>36</v>
      </c>
      <c r="P3808" s="7">
        <v>45916</v>
      </c>
      <c r="R3808" s="8">
        <v>0</v>
      </c>
      <c r="S3808" s="7">
        <v>45919</v>
      </c>
      <c r="U3808" s="8">
        <v>0</v>
      </c>
      <c r="V3808" s="7">
        <v>45930</v>
      </c>
      <c r="X3808" s="8">
        <v>0</v>
      </c>
      <c r="Z3808" s="8">
        <v>0</v>
      </c>
      <c r="AA3808" s="7">
        <v>45940</v>
      </c>
      <c r="AC3808" s="8">
        <v>0</v>
      </c>
      <c r="AE3808" s="7">
        <v>45958</v>
      </c>
      <c r="AF3808" s="8">
        <v>0</v>
      </c>
      <c r="AH3808" s="7">
        <v>46030</v>
      </c>
      <c r="AI3808" s="7">
        <v>45954</v>
      </c>
      <c r="AN3808" s="8">
        <v>0</v>
      </c>
      <c r="AO3808" s="8">
        <v>36</v>
      </c>
    </row>
    <row r="3809" spans="1:41" x14ac:dyDescent="0.25">
      <c r="A3809" s="6" t="str">
        <f t="shared" si="951"/>
        <v>525-2025000454</v>
      </c>
      <c r="B3809" s="6" t="str">
        <f t="shared" si="937"/>
        <v>Lasa Int</v>
      </c>
      <c r="C3809" s="7">
        <v>45916</v>
      </c>
      <c r="D3809" s="7">
        <v>46065</v>
      </c>
      <c r="E3809" s="8">
        <v>8</v>
      </c>
      <c r="F3809" s="6" t="str">
        <f t="shared" si="944"/>
        <v>PURE R</v>
      </c>
      <c r="G3809" s="6" t="str">
        <f t="shared" si="956"/>
        <v>R013000138500000</v>
      </c>
      <c r="H3809" s="6" t="str">
        <f t="shared" si="957"/>
        <v>Star PURE - Ketten 3</v>
      </c>
      <c r="I3809" s="6" t="str">
        <f t="shared" si="954"/>
        <v>5149</v>
      </c>
      <c r="J3809" s="6" t="str">
        <f t="shared" si="955"/>
        <v>VERDE 5149</v>
      </c>
      <c r="K3809" s="6" t="str">
        <f>"5204"</f>
        <v>5204</v>
      </c>
      <c r="L3809" s="6" t="str">
        <f t="shared" si="958"/>
        <v>Roupões Criança</v>
      </c>
      <c r="M3809" s="6" t="str">
        <f>"4 Anos"</f>
        <v>4 Anos</v>
      </c>
      <c r="N3809" s="6" t="str">
        <f>"5602972677249"</f>
        <v>5602972677249</v>
      </c>
      <c r="O3809" s="8">
        <v>36</v>
      </c>
      <c r="P3809" s="7">
        <v>45916</v>
      </c>
      <c r="R3809" s="8">
        <v>0</v>
      </c>
      <c r="S3809" s="7">
        <v>45919</v>
      </c>
      <c r="U3809" s="8">
        <v>0</v>
      </c>
      <c r="V3809" s="7">
        <v>45930</v>
      </c>
      <c r="X3809" s="8">
        <v>0</v>
      </c>
      <c r="Z3809" s="8">
        <v>0</v>
      </c>
      <c r="AA3809" s="7">
        <v>45940</v>
      </c>
      <c r="AC3809" s="8">
        <v>0</v>
      </c>
      <c r="AE3809" s="7">
        <v>45958</v>
      </c>
      <c r="AF3809" s="8">
        <v>0</v>
      </c>
      <c r="AH3809" s="7">
        <v>46030</v>
      </c>
      <c r="AI3809" s="7">
        <v>45954</v>
      </c>
      <c r="AN3809" s="8">
        <v>0</v>
      </c>
      <c r="AO3809" s="8">
        <v>36</v>
      </c>
    </row>
    <row r="3810" spans="1:41" x14ac:dyDescent="0.25">
      <c r="A3810" s="6" t="str">
        <f t="shared" si="951"/>
        <v>525-2025000454</v>
      </c>
      <c r="B3810" s="6" t="str">
        <f t="shared" si="937"/>
        <v>Lasa Int</v>
      </c>
      <c r="C3810" s="7">
        <v>45916</v>
      </c>
      <c r="D3810" s="7">
        <v>46065</v>
      </c>
      <c r="E3810" s="8">
        <v>9</v>
      </c>
      <c r="F3810" s="6" t="str">
        <f t="shared" si="944"/>
        <v>PURE R</v>
      </c>
      <c r="G3810" s="6" t="str">
        <f t="shared" si="956"/>
        <v>R013000138500000</v>
      </c>
      <c r="H3810" s="6" t="str">
        <f t="shared" si="957"/>
        <v>Star PURE - Ketten 3</v>
      </c>
      <c r="I3810" s="6" t="str">
        <f t="shared" si="954"/>
        <v>5149</v>
      </c>
      <c r="J3810" s="6" t="str">
        <f t="shared" si="955"/>
        <v>VERDE 5149</v>
      </c>
      <c r="K3810" s="6" t="str">
        <f>"5206"</f>
        <v>5206</v>
      </c>
      <c r="L3810" s="6" t="str">
        <f t="shared" si="958"/>
        <v>Roupões Criança</v>
      </c>
      <c r="M3810" s="6" t="str">
        <f>"6 Anos"</f>
        <v>6 Anos</v>
      </c>
      <c r="N3810" s="6" t="str">
        <f>"5602972677256"</f>
        <v>5602972677256</v>
      </c>
      <c r="O3810" s="8">
        <v>36</v>
      </c>
      <c r="P3810" s="7">
        <v>45916</v>
      </c>
      <c r="R3810" s="8">
        <v>0</v>
      </c>
      <c r="S3810" s="7">
        <v>45919</v>
      </c>
      <c r="U3810" s="8">
        <v>0</v>
      </c>
      <c r="V3810" s="7">
        <v>45930</v>
      </c>
      <c r="X3810" s="8">
        <v>0</v>
      </c>
      <c r="Z3810" s="8">
        <v>0</v>
      </c>
      <c r="AA3810" s="7">
        <v>45940</v>
      </c>
      <c r="AC3810" s="8">
        <v>0</v>
      </c>
      <c r="AE3810" s="7">
        <v>45958</v>
      </c>
      <c r="AF3810" s="8">
        <v>0</v>
      </c>
      <c r="AH3810" s="7">
        <v>46030</v>
      </c>
      <c r="AI3810" s="7">
        <v>45954</v>
      </c>
      <c r="AN3810" s="8">
        <v>0</v>
      </c>
      <c r="AO3810" s="8">
        <v>36</v>
      </c>
    </row>
    <row r="3811" spans="1:41" x14ac:dyDescent="0.25">
      <c r="A3811" s="6" t="str">
        <f t="shared" si="951"/>
        <v>525-2025000454</v>
      </c>
      <c r="B3811" s="6" t="str">
        <f t="shared" si="937"/>
        <v>Lasa Int</v>
      </c>
      <c r="C3811" s="7">
        <v>45916</v>
      </c>
      <c r="D3811" s="7">
        <v>46065</v>
      </c>
      <c r="E3811" s="8">
        <v>10</v>
      </c>
      <c r="F3811" s="6" t="str">
        <f t="shared" si="944"/>
        <v>PURE R</v>
      </c>
      <c r="G3811" s="6" t="str">
        <f t="shared" si="956"/>
        <v>R013000138500000</v>
      </c>
      <c r="H3811" s="6" t="str">
        <f t="shared" si="957"/>
        <v>Star PURE - Ketten 3</v>
      </c>
      <c r="I3811" s="6" t="str">
        <f t="shared" si="954"/>
        <v>5149</v>
      </c>
      <c r="J3811" s="6" t="str">
        <f t="shared" si="955"/>
        <v>VERDE 5149</v>
      </c>
      <c r="K3811" s="6" t="str">
        <f>"5208"</f>
        <v>5208</v>
      </c>
      <c r="L3811" s="6" t="str">
        <f t="shared" si="958"/>
        <v>Roupões Criança</v>
      </c>
      <c r="M3811" s="6" t="str">
        <f>"8 Anos"</f>
        <v>8 Anos</v>
      </c>
      <c r="N3811" s="6" t="str">
        <f>"5602972677263"</f>
        <v>5602972677263</v>
      </c>
      <c r="O3811" s="8">
        <v>48</v>
      </c>
      <c r="P3811" s="7">
        <v>45916</v>
      </c>
      <c r="R3811" s="8">
        <v>0</v>
      </c>
      <c r="S3811" s="7">
        <v>45919</v>
      </c>
      <c r="U3811" s="8">
        <v>0</v>
      </c>
      <c r="V3811" s="7">
        <v>45930</v>
      </c>
      <c r="X3811" s="8">
        <v>0</v>
      </c>
      <c r="Z3811" s="8">
        <v>0</v>
      </c>
      <c r="AA3811" s="7">
        <v>45940</v>
      </c>
      <c r="AC3811" s="8">
        <v>0</v>
      </c>
      <c r="AE3811" s="7">
        <v>45958</v>
      </c>
      <c r="AF3811" s="8">
        <v>0</v>
      </c>
      <c r="AH3811" s="7">
        <v>46030</v>
      </c>
      <c r="AI3811" s="7">
        <v>45954</v>
      </c>
      <c r="AN3811" s="8">
        <v>0</v>
      </c>
      <c r="AO3811" s="8">
        <v>48</v>
      </c>
    </row>
    <row r="3812" spans="1:41" x14ac:dyDescent="0.25">
      <c r="A3812" s="6" t="str">
        <f t="shared" si="951"/>
        <v>525-2025000454</v>
      </c>
      <c r="B3812" s="6" t="str">
        <f t="shared" si="937"/>
        <v>Lasa Int</v>
      </c>
      <c r="C3812" s="7">
        <v>45916</v>
      </c>
      <c r="D3812" s="7">
        <v>46065</v>
      </c>
      <c r="E3812" s="8">
        <v>11</v>
      </c>
      <c r="F3812" s="6" t="str">
        <f t="shared" si="944"/>
        <v>PURE R</v>
      </c>
      <c r="G3812" s="6" t="str">
        <f t="shared" si="956"/>
        <v>R013000138500000</v>
      </c>
      <c r="H3812" s="6" t="str">
        <f t="shared" si="957"/>
        <v>Star PURE - Ketten 3</v>
      </c>
      <c r="I3812" s="6" t="str">
        <f t="shared" si="954"/>
        <v>5149</v>
      </c>
      <c r="J3812" s="6" t="str">
        <f t="shared" si="955"/>
        <v>VERDE 5149</v>
      </c>
      <c r="K3812" s="6" t="str">
        <f>"5210"</f>
        <v>5210</v>
      </c>
      <c r="L3812" s="6" t="str">
        <f t="shared" si="958"/>
        <v>Roupões Criança</v>
      </c>
      <c r="M3812" s="6" t="str">
        <f>"10 Anos"</f>
        <v>10 Anos</v>
      </c>
      <c r="N3812" s="6" t="str">
        <f>"5602972677270"</f>
        <v>5602972677270</v>
      </c>
      <c r="O3812" s="8">
        <v>48</v>
      </c>
      <c r="P3812" s="7">
        <v>45916</v>
      </c>
      <c r="R3812" s="8">
        <v>0</v>
      </c>
      <c r="S3812" s="7">
        <v>45919</v>
      </c>
      <c r="U3812" s="8">
        <v>0</v>
      </c>
      <c r="V3812" s="7">
        <v>45930</v>
      </c>
      <c r="X3812" s="8">
        <v>0</v>
      </c>
      <c r="Z3812" s="8">
        <v>0</v>
      </c>
      <c r="AA3812" s="7">
        <v>45940</v>
      </c>
      <c r="AC3812" s="8">
        <v>0</v>
      </c>
      <c r="AE3812" s="7">
        <v>45958</v>
      </c>
      <c r="AF3812" s="8">
        <v>0</v>
      </c>
      <c r="AH3812" s="7">
        <v>46030</v>
      </c>
      <c r="AI3812" s="7">
        <v>45954</v>
      </c>
      <c r="AN3812" s="8">
        <v>0</v>
      </c>
      <c r="AO3812" s="8">
        <v>48</v>
      </c>
    </row>
    <row r="3813" spans="1:41" x14ac:dyDescent="0.25">
      <c r="A3813" s="6" t="str">
        <f t="shared" si="951"/>
        <v>525-2025000454</v>
      </c>
      <c r="B3813" s="6" t="str">
        <f t="shared" si="937"/>
        <v>Lasa Int</v>
      </c>
      <c r="C3813" s="7">
        <v>45916</v>
      </c>
      <c r="D3813" s="7">
        <v>46065</v>
      </c>
      <c r="E3813" s="8">
        <v>12</v>
      </c>
      <c r="F3813" s="6" t="str">
        <f t="shared" si="944"/>
        <v>PURE R</v>
      </c>
      <c r="G3813" s="6" t="str">
        <f t="shared" si="956"/>
        <v>R013000138500000</v>
      </c>
      <c r="H3813" s="6" t="str">
        <f t="shared" si="957"/>
        <v>Star PURE - Ketten 3</v>
      </c>
      <c r="I3813" s="6" t="str">
        <f t="shared" si="954"/>
        <v>5149</v>
      </c>
      <c r="J3813" s="6" t="str">
        <f t="shared" si="955"/>
        <v>VERDE 5149</v>
      </c>
      <c r="K3813" s="6" t="str">
        <f>"5212"</f>
        <v>5212</v>
      </c>
      <c r="L3813" s="6" t="str">
        <f t="shared" si="958"/>
        <v>Roupões Criança</v>
      </c>
      <c r="M3813" s="6" t="str">
        <f>"12 Anos"</f>
        <v>12 Anos</v>
      </c>
      <c r="N3813" s="6" t="str">
        <f>"5602972677287"</f>
        <v>5602972677287</v>
      </c>
      <c r="O3813" s="8">
        <v>48</v>
      </c>
      <c r="P3813" s="7">
        <v>45916</v>
      </c>
      <c r="R3813" s="8">
        <v>0</v>
      </c>
      <c r="S3813" s="7">
        <v>45919</v>
      </c>
      <c r="U3813" s="8">
        <v>0</v>
      </c>
      <c r="V3813" s="7">
        <v>45930</v>
      </c>
      <c r="X3813" s="8">
        <v>0</v>
      </c>
      <c r="Z3813" s="8">
        <v>0</v>
      </c>
      <c r="AA3813" s="7">
        <v>45940</v>
      </c>
      <c r="AC3813" s="8">
        <v>0</v>
      </c>
      <c r="AE3813" s="7">
        <v>45958</v>
      </c>
      <c r="AF3813" s="8">
        <v>0</v>
      </c>
      <c r="AH3813" s="7">
        <v>46030</v>
      </c>
      <c r="AI3813" s="7">
        <v>45954</v>
      </c>
      <c r="AN3813" s="8">
        <v>0</v>
      </c>
      <c r="AO3813" s="8">
        <v>48</v>
      </c>
    </row>
    <row r="3814" spans="1:41" x14ac:dyDescent="0.25">
      <c r="A3814" s="6" t="str">
        <f t="shared" si="951"/>
        <v>525-2025000454</v>
      </c>
      <c r="B3814" s="6" t="str">
        <f t="shared" si="937"/>
        <v>Lasa Int</v>
      </c>
      <c r="C3814" s="7">
        <v>45916</v>
      </c>
      <c r="D3814" s="7">
        <v>46065</v>
      </c>
      <c r="E3814" s="8">
        <v>13</v>
      </c>
      <c r="F3814" s="6" t="str">
        <f t="shared" si="944"/>
        <v>PURE R</v>
      </c>
      <c r="G3814" s="6" t="str">
        <f t="shared" si="956"/>
        <v>R013000138500000</v>
      </c>
      <c r="H3814" s="6" t="str">
        <f t="shared" si="957"/>
        <v>Star PURE - Ketten 3</v>
      </c>
      <c r="I3814" s="6" t="str">
        <f t="shared" si="954"/>
        <v>5149</v>
      </c>
      <c r="J3814" s="6" t="str">
        <f t="shared" si="955"/>
        <v>VERDE 5149</v>
      </c>
      <c r="K3814" s="6" t="str">
        <f>"5214"</f>
        <v>5214</v>
      </c>
      <c r="L3814" s="6" t="str">
        <f t="shared" si="958"/>
        <v>Roupões Criança</v>
      </c>
      <c r="M3814" s="6" t="str">
        <f>"14 Anos"</f>
        <v>14 Anos</v>
      </c>
      <c r="N3814" s="6" t="str">
        <f>"5602972677294"</f>
        <v>5602972677294</v>
      </c>
      <c r="O3814" s="8">
        <v>48</v>
      </c>
      <c r="P3814" s="7">
        <v>45916</v>
      </c>
      <c r="R3814" s="8">
        <v>0</v>
      </c>
      <c r="S3814" s="7">
        <v>45919</v>
      </c>
      <c r="U3814" s="8">
        <v>0</v>
      </c>
      <c r="V3814" s="7">
        <v>45930</v>
      </c>
      <c r="X3814" s="8">
        <v>0</v>
      </c>
      <c r="Z3814" s="8">
        <v>0</v>
      </c>
      <c r="AA3814" s="7">
        <v>45940</v>
      </c>
      <c r="AC3814" s="8">
        <v>0</v>
      </c>
      <c r="AE3814" s="7">
        <v>45958</v>
      </c>
      <c r="AF3814" s="8">
        <v>0</v>
      </c>
      <c r="AH3814" s="7">
        <v>46030</v>
      </c>
      <c r="AI3814" s="7">
        <v>45954</v>
      </c>
      <c r="AN3814" s="8">
        <v>0</v>
      </c>
      <c r="AO3814" s="8">
        <v>48</v>
      </c>
    </row>
    <row r="3815" spans="1:41" x14ac:dyDescent="0.25">
      <c r="A3815" s="6" t="str">
        <f t="shared" ref="A3815:A3823" si="959">"525-2025000457"</f>
        <v>525-2025000457</v>
      </c>
      <c r="B3815" s="6" t="str">
        <f t="shared" si="937"/>
        <v>Lasa Int</v>
      </c>
      <c r="C3815" s="7">
        <v>45917</v>
      </c>
      <c r="D3815" s="7">
        <v>46062</v>
      </c>
      <c r="E3815" s="8">
        <v>1</v>
      </c>
      <c r="F3815" s="6" t="str">
        <f t="shared" si="944"/>
        <v>PURE R</v>
      </c>
      <c r="G3815" s="6" t="str">
        <f t="shared" ref="G3815:G3820" si="960">"R010000635000000"</f>
        <v>R010000635000000</v>
      </c>
      <c r="H3815" s="6" t="str">
        <f t="shared" ref="H3815:H3820" si="961">"Alexis Cotoral Pure"</f>
        <v>Alexis Cotoral Pure</v>
      </c>
      <c r="I3815" s="6" t="str">
        <f t="shared" ref="I3815:I3823" si="962">"1"</f>
        <v>1</v>
      </c>
      <c r="J3815" s="6" t="str">
        <f t="shared" ref="J3815:J3823" si="963">"BRANCO"</f>
        <v>BRANCO</v>
      </c>
      <c r="K3815" s="6" t="str">
        <f>"5002"</f>
        <v>5002</v>
      </c>
      <c r="L3815" s="6" t="str">
        <f t="shared" ref="L3815:L3820" si="964">"Roupões Adulto"</f>
        <v>Roupões Adulto</v>
      </c>
      <c r="M3815" s="6" t="str">
        <f>"S"</f>
        <v>S</v>
      </c>
      <c r="N3815" s="6" t="str">
        <f>"5602972837957"</f>
        <v>5602972837957</v>
      </c>
      <c r="O3815" s="8">
        <v>120</v>
      </c>
      <c r="P3815" s="7">
        <v>45917</v>
      </c>
      <c r="R3815" s="8">
        <v>0</v>
      </c>
      <c r="S3815" s="7">
        <v>45922</v>
      </c>
      <c r="U3815" s="8">
        <v>2160</v>
      </c>
      <c r="V3815" s="7">
        <v>45931</v>
      </c>
      <c r="X3815" s="8">
        <v>2160</v>
      </c>
      <c r="Z3815" s="8">
        <v>0</v>
      </c>
      <c r="AA3815" s="7">
        <v>45943</v>
      </c>
      <c r="AC3815" s="8">
        <v>0</v>
      </c>
      <c r="AE3815" s="7">
        <v>45966</v>
      </c>
      <c r="AF3815" s="8">
        <v>0</v>
      </c>
      <c r="AH3815" s="7">
        <v>45957</v>
      </c>
      <c r="AI3815" s="7">
        <v>45964</v>
      </c>
      <c r="AN3815" s="8">
        <v>0</v>
      </c>
      <c r="AO3815" s="8">
        <v>120</v>
      </c>
    </row>
    <row r="3816" spans="1:41" x14ac:dyDescent="0.25">
      <c r="A3816" s="6" t="str">
        <f t="shared" si="959"/>
        <v>525-2025000457</v>
      </c>
      <c r="B3816" s="6" t="str">
        <f t="shared" si="937"/>
        <v>Lasa Int</v>
      </c>
      <c r="C3816" s="7">
        <v>45917</v>
      </c>
      <c r="D3816" s="7">
        <v>46062</v>
      </c>
      <c r="E3816" s="8">
        <v>2</v>
      </c>
      <c r="F3816" s="6" t="str">
        <f t="shared" si="944"/>
        <v>PURE R</v>
      </c>
      <c r="G3816" s="6" t="str">
        <f t="shared" si="960"/>
        <v>R010000635000000</v>
      </c>
      <c r="H3816" s="6" t="str">
        <f t="shared" si="961"/>
        <v>Alexis Cotoral Pure</v>
      </c>
      <c r="I3816" s="6" t="str">
        <f t="shared" si="962"/>
        <v>1</v>
      </c>
      <c r="J3816" s="6" t="str">
        <f t="shared" si="963"/>
        <v>BRANCO</v>
      </c>
      <c r="K3816" s="6" t="str">
        <f>"5004"</f>
        <v>5004</v>
      </c>
      <c r="L3816" s="6" t="str">
        <f t="shared" si="964"/>
        <v>Roupões Adulto</v>
      </c>
      <c r="M3816" s="6" t="str">
        <f>"M"</f>
        <v>M</v>
      </c>
      <c r="N3816" s="6" t="str">
        <f>"5602972837964"</f>
        <v>5602972837964</v>
      </c>
      <c r="O3816" s="8">
        <v>120</v>
      </c>
      <c r="P3816" s="7">
        <v>45917</v>
      </c>
      <c r="R3816" s="8">
        <v>0</v>
      </c>
      <c r="S3816" s="7">
        <v>45922</v>
      </c>
      <c r="U3816" s="8">
        <v>0</v>
      </c>
      <c r="V3816" s="7">
        <v>45931</v>
      </c>
      <c r="X3816" s="8">
        <v>0</v>
      </c>
      <c r="Z3816" s="8">
        <v>0</v>
      </c>
      <c r="AA3816" s="7">
        <v>45943</v>
      </c>
      <c r="AC3816" s="8">
        <v>0</v>
      </c>
      <c r="AE3816" s="7">
        <v>45966</v>
      </c>
      <c r="AF3816" s="8">
        <v>0</v>
      </c>
      <c r="AH3816" s="7">
        <v>45957</v>
      </c>
      <c r="AI3816" s="7">
        <v>45964</v>
      </c>
      <c r="AN3816" s="8">
        <v>0</v>
      </c>
      <c r="AO3816" s="8">
        <v>120</v>
      </c>
    </row>
    <row r="3817" spans="1:41" x14ac:dyDescent="0.25">
      <c r="A3817" s="6" t="str">
        <f t="shared" si="959"/>
        <v>525-2025000457</v>
      </c>
      <c r="B3817" s="6" t="str">
        <f t="shared" si="937"/>
        <v>Lasa Int</v>
      </c>
      <c r="C3817" s="7">
        <v>45917</v>
      </c>
      <c r="D3817" s="7">
        <v>46062</v>
      </c>
      <c r="E3817" s="8">
        <v>3</v>
      </c>
      <c r="F3817" s="6" t="str">
        <f t="shared" si="944"/>
        <v>PURE R</v>
      </c>
      <c r="G3817" s="6" t="str">
        <f t="shared" si="960"/>
        <v>R010000635000000</v>
      </c>
      <c r="H3817" s="6" t="str">
        <f t="shared" si="961"/>
        <v>Alexis Cotoral Pure</v>
      </c>
      <c r="I3817" s="6" t="str">
        <f t="shared" si="962"/>
        <v>1</v>
      </c>
      <c r="J3817" s="6" t="str">
        <f t="shared" si="963"/>
        <v>BRANCO</v>
      </c>
      <c r="K3817" s="6" t="str">
        <f>"5006"</f>
        <v>5006</v>
      </c>
      <c r="L3817" s="6" t="str">
        <f t="shared" si="964"/>
        <v>Roupões Adulto</v>
      </c>
      <c r="M3817" s="6" t="str">
        <f>"L"</f>
        <v>L</v>
      </c>
      <c r="N3817" s="6" t="str">
        <f>"5602972837971"</f>
        <v>5602972837971</v>
      </c>
      <c r="O3817" s="8">
        <v>180</v>
      </c>
      <c r="P3817" s="7">
        <v>45917</v>
      </c>
      <c r="R3817" s="8">
        <v>0</v>
      </c>
      <c r="S3817" s="7">
        <v>45922</v>
      </c>
      <c r="U3817" s="8">
        <v>0</v>
      </c>
      <c r="V3817" s="7">
        <v>45931</v>
      </c>
      <c r="X3817" s="8">
        <v>0</v>
      </c>
      <c r="Z3817" s="8">
        <v>0</v>
      </c>
      <c r="AA3817" s="7">
        <v>45943</v>
      </c>
      <c r="AC3817" s="8">
        <v>0</v>
      </c>
      <c r="AE3817" s="7">
        <v>45966</v>
      </c>
      <c r="AF3817" s="8">
        <v>0</v>
      </c>
      <c r="AH3817" s="7">
        <v>45957</v>
      </c>
      <c r="AI3817" s="7">
        <v>45964</v>
      </c>
      <c r="AN3817" s="8">
        <v>0</v>
      </c>
      <c r="AO3817" s="8">
        <v>180</v>
      </c>
    </row>
    <row r="3818" spans="1:41" x14ac:dyDescent="0.25">
      <c r="A3818" s="6" t="str">
        <f t="shared" si="959"/>
        <v>525-2025000457</v>
      </c>
      <c r="B3818" s="6" t="str">
        <f t="shared" si="937"/>
        <v>Lasa Int</v>
      </c>
      <c r="C3818" s="7">
        <v>45917</v>
      </c>
      <c r="D3818" s="7">
        <v>46062</v>
      </c>
      <c r="E3818" s="8">
        <v>4</v>
      </c>
      <c r="F3818" s="6" t="str">
        <f t="shared" si="944"/>
        <v>PURE R</v>
      </c>
      <c r="G3818" s="6" t="str">
        <f t="shared" si="960"/>
        <v>R010000635000000</v>
      </c>
      <c r="H3818" s="6" t="str">
        <f t="shared" si="961"/>
        <v>Alexis Cotoral Pure</v>
      </c>
      <c r="I3818" s="6" t="str">
        <f t="shared" si="962"/>
        <v>1</v>
      </c>
      <c r="J3818" s="6" t="str">
        <f t="shared" si="963"/>
        <v>BRANCO</v>
      </c>
      <c r="K3818" s="6" t="str">
        <f>"5008"</f>
        <v>5008</v>
      </c>
      <c r="L3818" s="6" t="str">
        <f t="shared" si="964"/>
        <v>Roupões Adulto</v>
      </c>
      <c r="M3818" s="6" t="str">
        <f>"XL"</f>
        <v>XL</v>
      </c>
      <c r="N3818" s="6" t="str">
        <f>"5602972837988"</f>
        <v>5602972837988</v>
      </c>
      <c r="O3818" s="8">
        <v>96</v>
      </c>
      <c r="P3818" s="7">
        <v>45917</v>
      </c>
      <c r="R3818" s="8">
        <v>0</v>
      </c>
      <c r="S3818" s="7">
        <v>45922</v>
      </c>
      <c r="U3818" s="8">
        <v>0</v>
      </c>
      <c r="V3818" s="7">
        <v>45931</v>
      </c>
      <c r="X3818" s="8">
        <v>0</v>
      </c>
      <c r="Z3818" s="8">
        <v>0</v>
      </c>
      <c r="AA3818" s="7">
        <v>45943</v>
      </c>
      <c r="AC3818" s="8">
        <v>0</v>
      </c>
      <c r="AE3818" s="7">
        <v>45966</v>
      </c>
      <c r="AF3818" s="8">
        <v>0</v>
      </c>
      <c r="AH3818" s="7">
        <v>45957</v>
      </c>
      <c r="AI3818" s="7">
        <v>45964</v>
      </c>
      <c r="AN3818" s="8">
        <v>0</v>
      </c>
      <c r="AO3818" s="8">
        <v>96</v>
      </c>
    </row>
    <row r="3819" spans="1:41" x14ac:dyDescent="0.25">
      <c r="A3819" s="6" t="str">
        <f t="shared" si="959"/>
        <v>525-2025000457</v>
      </c>
      <c r="B3819" s="6" t="str">
        <f t="shared" si="937"/>
        <v>Lasa Int</v>
      </c>
      <c r="C3819" s="7">
        <v>45917</v>
      </c>
      <c r="D3819" s="7">
        <v>46062</v>
      </c>
      <c r="E3819" s="8">
        <v>5</v>
      </c>
      <c r="F3819" s="6" t="str">
        <f t="shared" si="944"/>
        <v>PURE R</v>
      </c>
      <c r="G3819" s="6" t="str">
        <f t="shared" si="960"/>
        <v>R010000635000000</v>
      </c>
      <c r="H3819" s="6" t="str">
        <f t="shared" si="961"/>
        <v>Alexis Cotoral Pure</v>
      </c>
      <c r="I3819" s="6" t="str">
        <f t="shared" si="962"/>
        <v>1</v>
      </c>
      <c r="J3819" s="6" t="str">
        <f t="shared" si="963"/>
        <v>BRANCO</v>
      </c>
      <c r="K3819" s="6" t="str">
        <f>"5010"</f>
        <v>5010</v>
      </c>
      <c r="L3819" s="6" t="str">
        <f t="shared" si="964"/>
        <v>Roupões Adulto</v>
      </c>
      <c r="M3819" s="6" t="str">
        <f>"XXL"</f>
        <v>XXL</v>
      </c>
      <c r="N3819" s="6" t="str">
        <f>"5602972855685"</f>
        <v>5602972855685</v>
      </c>
      <c r="O3819" s="8">
        <v>48</v>
      </c>
      <c r="P3819" s="7">
        <v>45917</v>
      </c>
      <c r="R3819" s="8">
        <v>0</v>
      </c>
      <c r="S3819" s="7">
        <v>45922</v>
      </c>
      <c r="U3819" s="8">
        <v>0</v>
      </c>
      <c r="V3819" s="7">
        <v>45931</v>
      </c>
      <c r="X3819" s="8">
        <v>0</v>
      </c>
      <c r="Z3819" s="8">
        <v>0</v>
      </c>
      <c r="AA3819" s="7">
        <v>45943</v>
      </c>
      <c r="AC3819" s="8">
        <v>0</v>
      </c>
      <c r="AE3819" s="7">
        <v>45966</v>
      </c>
      <c r="AF3819" s="8">
        <v>0</v>
      </c>
      <c r="AH3819" s="7">
        <v>45957</v>
      </c>
      <c r="AI3819" s="7">
        <v>45964</v>
      </c>
      <c r="AN3819" s="8">
        <v>0</v>
      </c>
      <c r="AO3819" s="8">
        <v>48</v>
      </c>
    </row>
    <row r="3820" spans="1:41" x14ac:dyDescent="0.25">
      <c r="A3820" s="6" t="str">
        <f t="shared" si="959"/>
        <v>525-2025000457</v>
      </c>
      <c r="B3820" s="6" t="str">
        <f t="shared" si="937"/>
        <v>Lasa Int</v>
      </c>
      <c r="C3820" s="7">
        <v>45917</v>
      </c>
      <c r="D3820" s="7">
        <v>46062</v>
      </c>
      <c r="E3820" s="8">
        <v>6</v>
      </c>
      <c r="F3820" s="6" t="str">
        <f t="shared" si="944"/>
        <v>PURE R</v>
      </c>
      <c r="G3820" s="6" t="str">
        <f t="shared" si="960"/>
        <v>R010000635000000</v>
      </c>
      <c r="H3820" s="6" t="str">
        <f t="shared" si="961"/>
        <v>Alexis Cotoral Pure</v>
      </c>
      <c r="I3820" s="6" t="str">
        <f t="shared" si="962"/>
        <v>1</v>
      </c>
      <c r="J3820" s="6" t="str">
        <f t="shared" si="963"/>
        <v>BRANCO</v>
      </c>
      <c r="K3820" s="6" t="str">
        <f>"5012"</f>
        <v>5012</v>
      </c>
      <c r="L3820" s="6" t="str">
        <f t="shared" si="964"/>
        <v>Roupões Adulto</v>
      </c>
      <c r="M3820" s="6" t="str">
        <f>"XXXL"</f>
        <v>XXXL</v>
      </c>
      <c r="N3820" s="6" t="str">
        <f>"5602972674248"</f>
        <v>5602972674248</v>
      </c>
      <c r="O3820" s="8">
        <v>24</v>
      </c>
      <c r="P3820" s="7">
        <v>45917</v>
      </c>
      <c r="R3820" s="8">
        <v>0</v>
      </c>
      <c r="S3820" s="7">
        <v>45922</v>
      </c>
      <c r="U3820" s="8">
        <v>0</v>
      </c>
      <c r="V3820" s="7">
        <v>45931</v>
      </c>
      <c r="X3820" s="8">
        <v>0</v>
      </c>
      <c r="Z3820" s="8">
        <v>0</v>
      </c>
      <c r="AA3820" s="7">
        <v>45943</v>
      </c>
      <c r="AC3820" s="8">
        <v>0</v>
      </c>
      <c r="AE3820" s="7">
        <v>45966</v>
      </c>
      <c r="AF3820" s="8">
        <v>0</v>
      </c>
      <c r="AH3820" s="7">
        <v>45957</v>
      </c>
      <c r="AI3820" s="7">
        <v>45964</v>
      </c>
      <c r="AN3820" s="8">
        <v>0</v>
      </c>
      <c r="AO3820" s="8">
        <v>24</v>
      </c>
    </row>
    <row r="3821" spans="1:41" x14ac:dyDescent="0.25">
      <c r="A3821" s="6" t="str">
        <f t="shared" si="959"/>
        <v>525-2025000457</v>
      </c>
      <c r="B3821" s="6" t="str">
        <f t="shared" si="937"/>
        <v>Lasa Int</v>
      </c>
      <c r="C3821" s="7">
        <v>45917</v>
      </c>
      <c r="D3821" s="7">
        <v>46062</v>
      </c>
      <c r="E3821" s="8">
        <v>7</v>
      </c>
      <c r="F3821" s="6" t="str">
        <f t="shared" si="944"/>
        <v>PURE R</v>
      </c>
      <c r="G3821" s="6" t="str">
        <f>"R013000138500000"</f>
        <v>R013000138500000</v>
      </c>
      <c r="H3821" s="6" t="str">
        <f>"Star PURE - Ketten 3"</f>
        <v>Star PURE - Ketten 3</v>
      </c>
      <c r="I3821" s="6" t="str">
        <f t="shared" si="962"/>
        <v>1</v>
      </c>
      <c r="J3821" s="6" t="str">
        <f t="shared" si="963"/>
        <v>BRANCO</v>
      </c>
      <c r="K3821" s="6" t="str">
        <f>"5204"</f>
        <v>5204</v>
      </c>
      <c r="L3821" s="6" t="str">
        <f>"Roupões Criança"</f>
        <v>Roupões Criança</v>
      </c>
      <c r="M3821" s="6" t="str">
        <f>"4 Anos"</f>
        <v>4 Anos</v>
      </c>
      <c r="N3821" s="6" t="str">
        <f>"5602972853629"</f>
        <v>5602972853629</v>
      </c>
      <c r="O3821" s="8">
        <v>120</v>
      </c>
      <c r="P3821" s="7">
        <v>45917</v>
      </c>
      <c r="R3821" s="8">
        <v>0</v>
      </c>
      <c r="S3821" s="7">
        <v>45922</v>
      </c>
      <c r="U3821" s="8">
        <v>0</v>
      </c>
      <c r="V3821" s="7">
        <v>45931</v>
      </c>
      <c r="X3821" s="8">
        <v>0</v>
      </c>
      <c r="Z3821" s="8">
        <v>0</v>
      </c>
      <c r="AA3821" s="7">
        <v>45943</v>
      </c>
      <c r="AC3821" s="8">
        <v>0</v>
      </c>
      <c r="AE3821" s="7">
        <v>45966</v>
      </c>
      <c r="AF3821" s="8">
        <v>0</v>
      </c>
      <c r="AH3821" s="7">
        <v>45957</v>
      </c>
      <c r="AI3821" s="7">
        <v>45964</v>
      </c>
      <c r="AN3821" s="8">
        <v>0</v>
      </c>
      <c r="AO3821" s="8">
        <v>120</v>
      </c>
    </row>
    <row r="3822" spans="1:41" x14ac:dyDescent="0.25">
      <c r="A3822" s="6" t="str">
        <f t="shared" si="959"/>
        <v>525-2025000457</v>
      </c>
      <c r="B3822" s="6" t="str">
        <f t="shared" si="937"/>
        <v>Lasa Int</v>
      </c>
      <c r="C3822" s="7">
        <v>45917</v>
      </c>
      <c r="D3822" s="7">
        <v>46062</v>
      </c>
      <c r="E3822" s="8">
        <v>8</v>
      </c>
      <c r="F3822" s="6" t="str">
        <f t="shared" si="944"/>
        <v>PURE R</v>
      </c>
      <c r="G3822" s="6" t="str">
        <f>"R013000138500000"</f>
        <v>R013000138500000</v>
      </c>
      <c r="H3822" s="6" t="str">
        <f>"Star PURE - Ketten 3"</f>
        <v>Star PURE - Ketten 3</v>
      </c>
      <c r="I3822" s="6" t="str">
        <f t="shared" si="962"/>
        <v>1</v>
      </c>
      <c r="J3822" s="6" t="str">
        <f t="shared" si="963"/>
        <v>BRANCO</v>
      </c>
      <c r="K3822" s="6" t="str">
        <f>"5206"</f>
        <v>5206</v>
      </c>
      <c r="L3822" s="6" t="str">
        <f>"Roupões Criança"</f>
        <v>Roupões Criança</v>
      </c>
      <c r="M3822" s="6" t="str">
        <f>"6 Anos"</f>
        <v>6 Anos</v>
      </c>
      <c r="N3822" s="6" t="str">
        <f>"5602972853636"</f>
        <v>5602972853636</v>
      </c>
      <c r="O3822" s="8">
        <v>48</v>
      </c>
      <c r="P3822" s="7">
        <v>45917</v>
      </c>
      <c r="R3822" s="8">
        <v>0</v>
      </c>
      <c r="S3822" s="7">
        <v>45922</v>
      </c>
      <c r="U3822" s="8">
        <v>0</v>
      </c>
      <c r="V3822" s="7">
        <v>45931</v>
      </c>
      <c r="X3822" s="8">
        <v>0</v>
      </c>
      <c r="Z3822" s="8">
        <v>0</v>
      </c>
      <c r="AA3822" s="7">
        <v>45943</v>
      </c>
      <c r="AC3822" s="8">
        <v>0</v>
      </c>
      <c r="AE3822" s="7">
        <v>45966</v>
      </c>
      <c r="AF3822" s="8">
        <v>0</v>
      </c>
      <c r="AH3822" s="7">
        <v>45957</v>
      </c>
      <c r="AI3822" s="7">
        <v>45964</v>
      </c>
      <c r="AN3822" s="8">
        <v>0</v>
      </c>
      <c r="AO3822" s="8">
        <v>48</v>
      </c>
    </row>
    <row r="3823" spans="1:41" x14ac:dyDescent="0.25">
      <c r="A3823" s="6" t="str">
        <f t="shared" si="959"/>
        <v>525-2025000457</v>
      </c>
      <c r="B3823" s="6" t="str">
        <f t="shared" si="937"/>
        <v>Lasa Int</v>
      </c>
      <c r="C3823" s="7">
        <v>45917</v>
      </c>
      <c r="D3823" s="7">
        <v>46062</v>
      </c>
      <c r="E3823" s="8">
        <v>9</v>
      </c>
      <c r="F3823" s="6" t="str">
        <f t="shared" si="944"/>
        <v>PURE R</v>
      </c>
      <c r="G3823" s="6" t="str">
        <f>"R013000138500000"</f>
        <v>R013000138500000</v>
      </c>
      <c r="H3823" s="6" t="str">
        <f>"Star PURE - Ketten 3"</f>
        <v>Star PURE - Ketten 3</v>
      </c>
      <c r="I3823" s="6" t="str">
        <f t="shared" si="962"/>
        <v>1</v>
      </c>
      <c r="J3823" s="6" t="str">
        <f t="shared" si="963"/>
        <v>BRANCO</v>
      </c>
      <c r="K3823" s="6" t="str">
        <f>"5214"</f>
        <v>5214</v>
      </c>
      <c r="L3823" s="6" t="str">
        <f>"Roupões Criança"</f>
        <v>Roupões Criança</v>
      </c>
      <c r="M3823" s="6" t="str">
        <f>"14 Anos"</f>
        <v>14 Anos</v>
      </c>
      <c r="N3823" s="6" t="str">
        <f>"5602972853674"</f>
        <v>5602972853674</v>
      </c>
      <c r="O3823" s="8">
        <v>72</v>
      </c>
      <c r="P3823" s="7">
        <v>45917</v>
      </c>
      <c r="R3823" s="8">
        <v>0</v>
      </c>
      <c r="S3823" s="7">
        <v>45922</v>
      </c>
      <c r="U3823" s="8">
        <v>0</v>
      </c>
      <c r="V3823" s="7">
        <v>45931</v>
      </c>
      <c r="X3823" s="8">
        <v>0</v>
      </c>
      <c r="Z3823" s="8">
        <v>0</v>
      </c>
      <c r="AA3823" s="7">
        <v>45943</v>
      </c>
      <c r="AC3823" s="8">
        <v>0</v>
      </c>
      <c r="AE3823" s="7">
        <v>45966</v>
      </c>
      <c r="AF3823" s="8">
        <v>0</v>
      </c>
      <c r="AH3823" s="7">
        <v>45957</v>
      </c>
      <c r="AI3823" s="7">
        <v>45964</v>
      </c>
      <c r="AN3823" s="8">
        <v>0</v>
      </c>
      <c r="AO3823" s="8">
        <v>72</v>
      </c>
    </row>
    <row r="3824" spans="1:41" x14ac:dyDescent="0.25">
      <c r="A3824" s="6" t="str">
        <f t="shared" ref="A3824:A3829" si="965">"525-2025000458"</f>
        <v>525-2025000458</v>
      </c>
      <c r="B3824" s="6" t="str">
        <f t="shared" si="937"/>
        <v>Lasa Int</v>
      </c>
      <c r="C3824" s="7">
        <v>45918</v>
      </c>
      <c r="D3824" s="7">
        <v>46065</v>
      </c>
      <c r="E3824" s="8">
        <v>1</v>
      </c>
      <c r="F3824" s="6" t="str">
        <f t="shared" si="944"/>
        <v>PURE R</v>
      </c>
      <c r="G3824" s="6" t="str">
        <f>"R010000635000000"</f>
        <v>R010000635000000</v>
      </c>
      <c r="H3824" s="6" t="str">
        <f>"Alexis Cotoral Pure"</f>
        <v>Alexis Cotoral Pure</v>
      </c>
      <c r="I3824" s="6" t="str">
        <f t="shared" ref="I3824:I3829" si="966">"2094"</f>
        <v>2094</v>
      </c>
      <c r="J3824" s="6" t="str">
        <f t="shared" ref="J3824:J3829" si="967">"AZUL 2094"</f>
        <v>AZUL 2094</v>
      </c>
      <c r="K3824" s="6" t="str">
        <f>"5002"</f>
        <v>5002</v>
      </c>
      <c r="L3824" s="6" t="str">
        <f>"Roupões Adulto"</f>
        <v>Roupões Adulto</v>
      </c>
      <c r="M3824" s="6" t="str">
        <f>"S"</f>
        <v>S</v>
      </c>
      <c r="N3824" s="6" t="str">
        <f>"5602972713107"</f>
        <v>5602972713107</v>
      </c>
      <c r="O3824" s="8">
        <v>36</v>
      </c>
      <c r="P3824" s="7">
        <v>45918</v>
      </c>
      <c r="R3824" s="8">
        <v>7290</v>
      </c>
      <c r="S3824" s="7">
        <v>45923</v>
      </c>
      <c r="U3824" s="8">
        <v>675</v>
      </c>
      <c r="V3824" s="7">
        <v>45932</v>
      </c>
      <c r="X3824" s="8">
        <v>675</v>
      </c>
      <c r="Z3824" s="8">
        <v>0</v>
      </c>
      <c r="AA3824" s="7">
        <v>45944</v>
      </c>
      <c r="AC3824" s="8">
        <v>0</v>
      </c>
      <c r="AE3824" s="7">
        <v>45967</v>
      </c>
      <c r="AF3824" s="8">
        <v>0</v>
      </c>
      <c r="AH3824" s="7">
        <v>45967</v>
      </c>
      <c r="AI3824" s="7">
        <v>45965</v>
      </c>
      <c r="AN3824" s="8">
        <v>0</v>
      </c>
      <c r="AO3824" s="8">
        <v>36</v>
      </c>
    </row>
    <row r="3825" spans="1:41" x14ac:dyDescent="0.25">
      <c r="A3825" s="6" t="str">
        <f t="shared" si="965"/>
        <v>525-2025000458</v>
      </c>
      <c r="B3825" s="6" t="str">
        <f t="shared" si="937"/>
        <v>Lasa Int</v>
      </c>
      <c r="C3825" s="7">
        <v>45918</v>
      </c>
      <c r="D3825" s="7">
        <v>46065</v>
      </c>
      <c r="E3825" s="8">
        <v>2</v>
      </c>
      <c r="F3825" s="6" t="str">
        <f t="shared" si="944"/>
        <v>PURE R</v>
      </c>
      <c r="G3825" s="6" t="str">
        <f>"R010000635000000"</f>
        <v>R010000635000000</v>
      </c>
      <c r="H3825" s="6" t="str">
        <f>"Alexis Cotoral Pure"</f>
        <v>Alexis Cotoral Pure</v>
      </c>
      <c r="I3825" s="6" t="str">
        <f t="shared" si="966"/>
        <v>2094</v>
      </c>
      <c r="J3825" s="6" t="str">
        <f t="shared" si="967"/>
        <v>AZUL 2094</v>
      </c>
      <c r="K3825" s="6" t="str">
        <f>"5004"</f>
        <v>5004</v>
      </c>
      <c r="L3825" s="6" t="str">
        <f>"Roupões Adulto"</f>
        <v>Roupões Adulto</v>
      </c>
      <c r="M3825" s="6" t="str">
        <f>"M"</f>
        <v>M</v>
      </c>
      <c r="N3825" s="6" t="str">
        <f>"5602972707250"</f>
        <v>5602972707250</v>
      </c>
      <c r="O3825" s="8">
        <v>84</v>
      </c>
      <c r="P3825" s="7">
        <v>45918</v>
      </c>
      <c r="R3825" s="8">
        <v>0</v>
      </c>
      <c r="S3825" s="7">
        <v>45923</v>
      </c>
      <c r="U3825" s="8">
        <v>0</v>
      </c>
      <c r="V3825" s="7">
        <v>45932</v>
      </c>
      <c r="X3825" s="8">
        <v>0</v>
      </c>
      <c r="Z3825" s="8">
        <v>0</v>
      </c>
      <c r="AA3825" s="7">
        <v>45944</v>
      </c>
      <c r="AC3825" s="8">
        <v>0</v>
      </c>
      <c r="AE3825" s="7">
        <v>45967</v>
      </c>
      <c r="AF3825" s="8">
        <v>0</v>
      </c>
      <c r="AH3825" s="7">
        <v>45967</v>
      </c>
      <c r="AI3825" s="7">
        <v>45965</v>
      </c>
      <c r="AN3825" s="8">
        <v>0</v>
      </c>
      <c r="AO3825" s="8">
        <v>84</v>
      </c>
    </row>
    <row r="3826" spans="1:41" x14ac:dyDescent="0.25">
      <c r="A3826" s="6" t="str">
        <f t="shared" si="965"/>
        <v>525-2025000458</v>
      </c>
      <c r="B3826" s="6" t="str">
        <f t="shared" si="937"/>
        <v>Lasa Int</v>
      </c>
      <c r="C3826" s="7">
        <v>45918</v>
      </c>
      <c r="D3826" s="7">
        <v>46065</v>
      </c>
      <c r="E3826" s="8">
        <v>3</v>
      </c>
      <c r="F3826" s="6" t="str">
        <f t="shared" si="944"/>
        <v>PURE R</v>
      </c>
      <c r="G3826" s="6" t="str">
        <f>"R010000635000000"</f>
        <v>R010000635000000</v>
      </c>
      <c r="H3826" s="6" t="str">
        <f>"Alexis Cotoral Pure"</f>
        <v>Alexis Cotoral Pure</v>
      </c>
      <c r="I3826" s="6" t="str">
        <f t="shared" si="966"/>
        <v>2094</v>
      </c>
      <c r="J3826" s="6" t="str">
        <f t="shared" si="967"/>
        <v>AZUL 2094</v>
      </c>
      <c r="K3826" s="6" t="str">
        <f>"5006"</f>
        <v>5006</v>
      </c>
      <c r="L3826" s="6" t="str">
        <f>"Roupões Adulto"</f>
        <v>Roupões Adulto</v>
      </c>
      <c r="M3826" s="6" t="str">
        <f>"L"</f>
        <v>L</v>
      </c>
      <c r="N3826" s="6" t="str">
        <f>"5602972838343"</f>
        <v>5602972838343</v>
      </c>
      <c r="O3826" s="8">
        <v>96</v>
      </c>
      <c r="P3826" s="7">
        <v>45918</v>
      </c>
      <c r="R3826" s="8">
        <v>0</v>
      </c>
      <c r="S3826" s="7">
        <v>45923</v>
      </c>
      <c r="U3826" s="8">
        <v>0</v>
      </c>
      <c r="V3826" s="7">
        <v>45932</v>
      </c>
      <c r="X3826" s="8">
        <v>0</v>
      </c>
      <c r="Z3826" s="8">
        <v>0</v>
      </c>
      <c r="AA3826" s="7">
        <v>45944</v>
      </c>
      <c r="AC3826" s="8">
        <v>0</v>
      </c>
      <c r="AE3826" s="7">
        <v>45967</v>
      </c>
      <c r="AF3826" s="8">
        <v>0</v>
      </c>
      <c r="AH3826" s="7">
        <v>45967</v>
      </c>
      <c r="AI3826" s="7">
        <v>45965</v>
      </c>
      <c r="AN3826" s="8">
        <v>0</v>
      </c>
      <c r="AO3826" s="8">
        <v>96</v>
      </c>
    </row>
    <row r="3827" spans="1:41" x14ac:dyDescent="0.25">
      <c r="A3827" s="6" t="str">
        <f t="shared" si="965"/>
        <v>525-2025000458</v>
      </c>
      <c r="B3827" s="6" t="str">
        <f t="shared" si="937"/>
        <v>Lasa Int</v>
      </c>
      <c r="C3827" s="7">
        <v>45918</v>
      </c>
      <c r="D3827" s="7">
        <v>46065</v>
      </c>
      <c r="E3827" s="8">
        <v>4</v>
      </c>
      <c r="F3827" s="6" t="str">
        <f t="shared" si="944"/>
        <v>PURE R</v>
      </c>
      <c r="G3827" s="6" t="str">
        <f>"R010000635000000"</f>
        <v>R010000635000000</v>
      </c>
      <c r="H3827" s="6" t="str">
        <f>"Alexis Cotoral Pure"</f>
        <v>Alexis Cotoral Pure</v>
      </c>
      <c r="I3827" s="6" t="str">
        <f t="shared" si="966"/>
        <v>2094</v>
      </c>
      <c r="J3827" s="6" t="str">
        <f t="shared" si="967"/>
        <v>AZUL 2094</v>
      </c>
      <c r="K3827" s="6" t="str">
        <f>"5008"</f>
        <v>5008</v>
      </c>
      <c r="L3827" s="6" t="str">
        <f>"Roupões Adulto"</f>
        <v>Roupões Adulto</v>
      </c>
      <c r="M3827" s="6" t="str">
        <f>"XL"</f>
        <v>XL</v>
      </c>
      <c r="N3827" s="6" t="str">
        <f>"5602972838350"</f>
        <v>5602972838350</v>
      </c>
      <c r="O3827" s="8">
        <v>84</v>
      </c>
      <c r="P3827" s="7">
        <v>45918</v>
      </c>
      <c r="R3827" s="8">
        <v>0</v>
      </c>
      <c r="S3827" s="7">
        <v>45923</v>
      </c>
      <c r="U3827" s="8">
        <v>0</v>
      </c>
      <c r="V3827" s="7">
        <v>45932</v>
      </c>
      <c r="X3827" s="8">
        <v>0</v>
      </c>
      <c r="Z3827" s="8">
        <v>0</v>
      </c>
      <c r="AA3827" s="7">
        <v>45944</v>
      </c>
      <c r="AC3827" s="8">
        <v>0</v>
      </c>
      <c r="AE3827" s="7">
        <v>45967</v>
      </c>
      <c r="AF3827" s="8">
        <v>0</v>
      </c>
      <c r="AH3827" s="7">
        <v>45967</v>
      </c>
      <c r="AI3827" s="7">
        <v>45965</v>
      </c>
      <c r="AN3827" s="8">
        <v>0</v>
      </c>
      <c r="AO3827" s="8">
        <v>84</v>
      </c>
    </row>
    <row r="3828" spans="1:41" x14ac:dyDescent="0.25">
      <c r="A3828" s="6" t="str">
        <f t="shared" si="965"/>
        <v>525-2025000458</v>
      </c>
      <c r="B3828" s="6" t="str">
        <f t="shared" si="937"/>
        <v>Lasa Int</v>
      </c>
      <c r="C3828" s="7">
        <v>45918</v>
      </c>
      <c r="D3828" s="7">
        <v>46065</v>
      </c>
      <c r="E3828" s="8">
        <v>5</v>
      </c>
      <c r="F3828" s="6" t="str">
        <f t="shared" si="944"/>
        <v>PURE R</v>
      </c>
      <c r="G3828" s="6" t="str">
        <f>"R013000138500000"</f>
        <v>R013000138500000</v>
      </c>
      <c r="H3828" s="6" t="str">
        <f>"Star PURE - Ketten 3"</f>
        <v>Star PURE - Ketten 3</v>
      </c>
      <c r="I3828" s="6" t="str">
        <f t="shared" si="966"/>
        <v>2094</v>
      </c>
      <c r="J3828" s="6" t="str">
        <f t="shared" si="967"/>
        <v>AZUL 2094</v>
      </c>
      <c r="K3828" s="6" t="str">
        <f>"5210"</f>
        <v>5210</v>
      </c>
      <c r="L3828" s="6" t="str">
        <f>"Roupões Criança"</f>
        <v>Roupões Criança</v>
      </c>
      <c r="M3828" s="6" t="str">
        <f>"10 Anos"</f>
        <v>10 Anos</v>
      </c>
      <c r="N3828" s="6" t="str">
        <f>"5602972607451"</f>
        <v>5602972607451</v>
      </c>
      <c r="O3828" s="8">
        <v>36</v>
      </c>
      <c r="P3828" s="7">
        <v>45918</v>
      </c>
      <c r="R3828" s="8">
        <v>0</v>
      </c>
      <c r="S3828" s="7">
        <v>45923</v>
      </c>
      <c r="U3828" s="8">
        <v>0</v>
      </c>
      <c r="V3828" s="7">
        <v>45932</v>
      </c>
      <c r="X3828" s="8">
        <v>0</v>
      </c>
      <c r="Z3828" s="8">
        <v>0</v>
      </c>
      <c r="AA3828" s="7">
        <v>45944</v>
      </c>
      <c r="AC3828" s="8">
        <v>0</v>
      </c>
      <c r="AE3828" s="7">
        <v>45967</v>
      </c>
      <c r="AF3828" s="8">
        <v>0</v>
      </c>
      <c r="AH3828" s="7">
        <v>45967</v>
      </c>
      <c r="AI3828" s="7">
        <v>45965</v>
      </c>
      <c r="AN3828" s="8">
        <v>0</v>
      </c>
      <c r="AO3828" s="8">
        <v>36</v>
      </c>
    </row>
    <row r="3829" spans="1:41" x14ac:dyDescent="0.25">
      <c r="A3829" s="6" t="str">
        <f t="shared" si="965"/>
        <v>525-2025000458</v>
      </c>
      <c r="B3829" s="6" t="str">
        <f t="shared" si="937"/>
        <v>Lasa Int</v>
      </c>
      <c r="C3829" s="7">
        <v>45918</v>
      </c>
      <c r="D3829" s="7">
        <v>46065</v>
      </c>
      <c r="E3829" s="8">
        <v>6</v>
      </c>
      <c r="F3829" s="6" t="str">
        <f t="shared" si="944"/>
        <v>PURE R</v>
      </c>
      <c r="G3829" s="6" t="str">
        <f>"R013000138500000"</f>
        <v>R013000138500000</v>
      </c>
      <c r="H3829" s="6" t="str">
        <f>"Star PURE - Ketten 3"</f>
        <v>Star PURE - Ketten 3</v>
      </c>
      <c r="I3829" s="6" t="str">
        <f t="shared" si="966"/>
        <v>2094</v>
      </c>
      <c r="J3829" s="6" t="str">
        <f t="shared" si="967"/>
        <v>AZUL 2094</v>
      </c>
      <c r="K3829" s="6" t="str">
        <f>"5214"</f>
        <v>5214</v>
      </c>
      <c r="L3829" s="6" t="str">
        <f>"Roupões Criança"</f>
        <v>Roupões Criança</v>
      </c>
      <c r="M3829" s="6" t="str">
        <f>"14 Anos"</f>
        <v>14 Anos</v>
      </c>
      <c r="N3829" s="6" t="str">
        <f>"5602972607475"</f>
        <v>5602972607475</v>
      </c>
      <c r="O3829" s="8">
        <v>84</v>
      </c>
      <c r="P3829" s="7">
        <v>45918</v>
      </c>
      <c r="R3829" s="8">
        <v>0</v>
      </c>
      <c r="S3829" s="7">
        <v>45923</v>
      </c>
      <c r="U3829" s="8">
        <v>0</v>
      </c>
      <c r="V3829" s="7">
        <v>45932</v>
      </c>
      <c r="X3829" s="8">
        <v>0</v>
      </c>
      <c r="Z3829" s="8">
        <v>0</v>
      </c>
      <c r="AA3829" s="7">
        <v>45944</v>
      </c>
      <c r="AC3829" s="8">
        <v>0</v>
      </c>
      <c r="AE3829" s="7">
        <v>45967</v>
      </c>
      <c r="AF3829" s="8">
        <v>0</v>
      </c>
      <c r="AH3829" s="7">
        <v>45967</v>
      </c>
      <c r="AI3829" s="7">
        <v>45965</v>
      </c>
      <c r="AN3829" s="8">
        <v>0</v>
      </c>
      <c r="AO3829" s="8">
        <v>84</v>
      </c>
    </row>
    <row r="3830" spans="1:41" x14ac:dyDescent="0.25">
      <c r="A3830" s="6" t="str">
        <f t="shared" ref="A3830:A3837" si="968">"525-2025000460"</f>
        <v>525-2025000460</v>
      </c>
      <c r="B3830" s="6" t="str">
        <f t="shared" si="937"/>
        <v>Lasa Int</v>
      </c>
      <c r="C3830" s="7">
        <v>45919</v>
      </c>
      <c r="D3830" s="7">
        <v>46068</v>
      </c>
      <c r="E3830" s="8">
        <v>1</v>
      </c>
      <c r="F3830" s="6" t="str">
        <f t="shared" ref="F3830:F3837" si="969">"Soul"</f>
        <v>Soul</v>
      </c>
      <c r="G3830" s="6" t="str">
        <f>"F310635044000000"</f>
        <v>F310635044000000</v>
      </c>
      <c r="H3830" s="6" t="str">
        <f>"PLAR 6350 - 440 g/m²"</f>
        <v>PLAR 6350 - 440 g/m²</v>
      </c>
      <c r="I3830" s="6" t="str">
        <f>"200734"</f>
        <v>200734</v>
      </c>
      <c r="J3830" s="6" t="str">
        <f>"ROSA 734"</f>
        <v>ROSA 734</v>
      </c>
      <c r="K3830" s="6" t="str">
        <f>"0820"</f>
        <v>0820</v>
      </c>
      <c r="L3830" s="6" t="str">
        <f t="shared" ref="L3830:L3861" si="970">"Cozinha"</f>
        <v>Cozinha</v>
      </c>
      <c r="M3830" s="6" t="str">
        <f>"50x50"</f>
        <v>50x50</v>
      </c>
      <c r="N3830" s="6" t="str">
        <f>"5602972521214"</f>
        <v>5602972521214</v>
      </c>
      <c r="O3830" s="8">
        <v>1800</v>
      </c>
      <c r="P3830" s="7">
        <v>46010</v>
      </c>
      <c r="R3830" s="8">
        <v>2024</v>
      </c>
      <c r="S3830" s="7">
        <v>46015</v>
      </c>
      <c r="U3830" s="8">
        <v>2024</v>
      </c>
      <c r="V3830" s="7">
        <v>46028</v>
      </c>
      <c r="X3830" s="8">
        <v>0</v>
      </c>
      <c r="Z3830" s="8">
        <v>2024</v>
      </c>
      <c r="AA3830" s="7">
        <v>46042</v>
      </c>
      <c r="AC3830" s="8">
        <v>0</v>
      </c>
      <c r="AE3830" s="7">
        <v>46045</v>
      </c>
      <c r="AF3830" s="8">
        <v>0</v>
      </c>
      <c r="AH3830" s="7">
        <v>46045</v>
      </c>
      <c r="AN3830" s="8">
        <v>0</v>
      </c>
      <c r="AO3830" s="8">
        <v>1800</v>
      </c>
    </row>
    <row r="3831" spans="1:41" x14ac:dyDescent="0.25">
      <c r="A3831" s="6" t="str">
        <f t="shared" si="968"/>
        <v>525-2025000460</v>
      </c>
      <c r="B3831" s="6" t="str">
        <f t="shared" si="937"/>
        <v>Lasa Int</v>
      </c>
      <c r="C3831" s="7">
        <v>45919</v>
      </c>
      <c r="D3831" s="7">
        <v>46068</v>
      </c>
      <c r="E3831" s="8">
        <v>2</v>
      </c>
      <c r="F3831" s="6" t="str">
        <f t="shared" si="969"/>
        <v>Soul</v>
      </c>
      <c r="G3831" s="6" t="str">
        <f>"F310635044000000"</f>
        <v>F310635044000000</v>
      </c>
      <c r="H3831" s="6" t="str">
        <f>"PLAR 6350 - 440 g/m²"</f>
        <v>PLAR 6350 - 440 g/m²</v>
      </c>
      <c r="I3831" s="6" t="str">
        <f>"201307"</f>
        <v>201307</v>
      </c>
      <c r="J3831" s="6" t="str">
        <f>"LARANJA 1307"</f>
        <v>LARANJA 1307</v>
      </c>
      <c r="K3831" s="6" t="str">
        <f>"0820"</f>
        <v>0820</v>
      </c>
      <c r="L3831" s="6" t="str">
        <f t="shared" si="970"/>
        <v>Cozinha</v>
      </c>
      <c r="M3831" s="6" t="str">
        <f>"50x50"</f>
        <v>50x50</v>
      </c>
      <c r="N3831" s="6" t="str">
        <f>"5602972521221"</f>
        <v>5602972521221</v>
      </c>
      <c r="O3831" s="8">
        <v>1800</v>
      </c>
      <c r="P3831" s="7">
        <v>46010</v>
      </c>
      <c r="R3831" s="8">
        <v>1944</v>
      </c>
      <c r="S3831" s="7">
        <v>46015</v>
      </c>
      <c r="U3831" s="8">
        <v>1944</v>
      </c>
      <c r="V3831" s="7">
        <v>46028</v>
      </c>
      <c r="X3831" s="8">
        <v>0</v>
      </c>
      <c r="Z3831" s="8">
        <v>1944</v>
      </c>
      <c r="AA3831" s="7">
        <v>46042</v>
      </c>
      <c r="AC3831" s="8">
        <v>0</v>
      </c>
      <c r="AE3831" s="7">
        <v>46045</v>
      </c>
      <c r="AF3831" s="8">
        <v>0</v>
      </c>
      <c r="AH3831" s="7">
        <v>46045</v>
      </c>
      <c r="AN3831" s="8">
        <v>0</v>
      </c>
      <c r="AO3831" s="8">
        <v>1800</v>
      </c>
    </row>
    <row r="3832" spans="1:41" x14ac:dyDescent="0.25">
      <c r="A3832" s="6" t="str">
        <f t="shared" si="968"/>
        <v>525-2025000460</v>
      </c>
      <c r="B3832" s="6" t="str">
        <f t="shared" si="937"/>
        <v>Lasa Int</v>
      </c>
      <c r="C3832" s="7">
        <v>45919</v>
      </c>
      <c r="D3832" s="7">
        <v>46068</v>
      </c>
      <c r="E3832" s="8">
        <v>3</v>
      </c>
      <c r="F3832" s="6" t="str">
        <f t="shared" si="969"/>
        <v>Soul</v>
      </c>
      <c r="G3832" s="6" t="str">
        <f>"F310635044000000"</f>
        <v>F310635044000000</v>
      </c>
      <c r="H3832" s="6" t="str">
        <f>"PLAR 6350 - 440 g/m²"</f>
        <v>PLAR 6350 - 440 g/m²</v>
      </c>
      <c r="I3832" s="6" t="str">
        <f>"201736"</f>
        <v>201736</v>
      </c>
      <c r="J3832" s="6" t="str">
        <f>"TURQUESA 1736"</f>
        <v>TURQUESA 1736</v>
      </c>
      <c r="K3832" s="6" t="str">
        <f>"0820"</f>
        <v>0820</v>
      </c>
      <c r="L3832" s="6" t="str">
        <f t="shared" si="970"/>
        <v>Cozinha</v>
      </c>
      <c r="M3832" s="6" t="str">
        <f>"50x50"</f>
        <v>50x50</v>
      </c>
      <c r="N3832" s="6" t="str">
        <f>"5602972521238"</f>
        <v>5602972521238</v>
      </c>
      <c r="O3832" s="8">
        <v>1800</v>
      </c>
      <c r="P3832" s="7">
        <v>46010</v>
      </c>
      <c r="R3832" s="8">
        <v>1944</v>
      </c>
      <c r="S3832" s="7">
        <v>46015</v>
      </c>
      <c r="U3832" s="8">
        <v>1944</v>
      </c>
      <c r="V3832" s="7">
        <v>46028</v>
      </c>
      <c r="X3832" s="8">
        <v>0</v>
      </c>
      <c r="Z3832" s="8">
        <v>1944</v>
      </c>
      <c r="AA3832" s="7">
        <v>46042</v>
      </c>
      <c r="AC3832" s="8">
        <v>0</v>
      </c>
      <c r="AE3832" s="7">
        <v>46045</v>
      </c>
      <c r="AF3832" s="8">
        <v>0</v>
      </c>
      <c r="AH3832" s="7">
        <v>46045</v>
      </c>
      <c r="AN3832" s="8">
        <v>0</v>
      </c>
      <c r="AO3832" s="8">
        <v>1800</v>
      </c>
    </row>
    <row r="3833" spans="1:41" x14ac:dyDescent="0.25">
      <c r="A3833" s="6" t="str">
        <f t="shared" si="968"/>
        <v>525-2025000460</v>
      </c>
      <c r="B3833" s="6" t="str">
        <f t="shared" si="937"/>
        <v>Lasa Int</v>
      </c>
      <c r="C3833" s="7">
        <v>45919</v>
      </c>
      <c r="D3833" s="7">
        <v>46068</v>
      </c>
      <c r="E3833" s="8">
        <v>4</v>
      </c>
      <c r="F3833" s="6" t="str">
        <f t="shared" si="969"/>
        <v>Soul</v>
      </c>
      <c r="G3833" s="6" t="str">
        <f>"F310635044000000"</f>
        <v>F310635044000000</v>
      </c>
      <c r="H3833" s="6" t="str">
        <f>"PLAR 6350 - 440 g/m²"</f>
        <v>PLAR 6350 - 440 g/m²</v>
      </c>
      <c r="I3833" s="6" t="str">
        <f>"203601"</f>
        <v>203601</v>
      </c>
      <c r="J3833" s="6" t="str">
        <f>"CASTANHO 3601"</f>
        <v>CASTANHO 3601</v>
      </c>
      <c r="K3833" s="6" t="str">
        <f>"0820"</f>
        <v>0820</v>
      </c>
      <c r="L3833" s="6" t="str">
        <f t="shared" si="970"/>
        <v>Cozinha</v>
      </c>
      <c r="M3833" s="6" t="str">
        <f>"50x50"</f>
        <v>50x50</v>
      </c>
      <c r="N3833" s="6" t="str">
        <f>"5602972521245"</f>
        <v>5602972521245</v>
      </c>
      <c r="O3833" s="8">
        <v>1800</v>
      </c>
      <c r="P3833" s="7">
        <v>46010</v>
      </c>
      <c r="R3833" s="8">
        <v>1940</v>
      </c>
      <c r="S3833" s="7">
        <v>46015</v>
      </c>
      <c r="U3833" s="8">
        <v>1940</v>
      </c>
      <c r="V3833" s="7">
        <v>46028</v>
      </c>
      <c r="X3833" s="8">
        <v>0</v>
      </c>
      <c r="Z3833" s="8">
        <v>1940</v>
      </c>
      <c r="AA3833" s="7">
        <v>46042</v>
      </c>
      <c r="AC3833" s="8">
        <v>0</v>
      </c>
      <c r="AE3833" s="7">
        <v>46045</v>
      </c>
      <c r="AF3833" s="8">
        <v>0</v>
      </c>
      <c r="AH3833" s="7">
        <v>46045</v>
      </c>
      <c r="AN3833" s="8">
        <v>0</v>
      </c>
      <c r="AO3833" s="8">
        <v>1800</v>
      </c>
    </row>
    <row r="3834" spans="1:41" x14ac:dyDescent="0.25">
      <c r="A3834" s="6" t="str">
        <f t="shared" si="968"/>
        <v>525-2025000460</v>
      </c>
      <c r="B3834" s="6" t="str">
        <f t="shared" si="937"/>
        <v>Lasa Int</v>
      </c>
      <c r="C3834" s="7">
        <v>45919</v>
      </c>
      <c r="D3834" s="7">
        <v>46068</v>
      </c>
      <c r="E3834" s="8">
        <v>5</v>
      </c>
      <c r="F3834" s="6" t="str">
        <f t="shared" si="969"/>
        <v>Soul</v>
      </c>
      <c r="G3834" s="6" t="str">
        <f>"C001243826000000"</f>
        <v>C001243826000000</v>
      </c>
      <c r="H3834" s="6" t="str">
        <f>"CZJ 2438 - 260 g/m²"</f>
        <v>CZJ 2438 - 260 g/m²</v>
      </c>
      <c r="I3834" s="6" t="str">
        <f>"200734"</f>
        <v>200734</v>
      </c>
      <c r="J3834" s="6" t="str">
        <f>"ROSA 734"</f>
        <v>ROSA 734</v>
      </c>
      <c r="K3834" s="6" t="str">
        <f>"0830"</f>
        <v>0830</v>
      </c>
      <c r="L3834" s="6" t="str">
        <f t="shared" si="970"/>
        <v>Cozinha</v>
      </c>
      <c r="M3834" s="6" t="str">
        <f>"50x70"</f>
        <v>50x70</v>
      </c>
      <c r="N3834" s="6" t="str">
        <f>"5602972521252"</f>
        <v>5602972521252</v>
      </c>
      <c r="O3834" s="8">
        <v>900</v>
      </c>
      <c r="P3834" s="7">
        <v>46010</v>
      </c>
      <c r="R3834" s="8">
        <v>952</v>
      </c>
      <c r="S3834" s="7">
        <v>46015</v>
      </c>
      <c r="U3834" s="8">
        <v>952</v>
      </c>
      <c r="V3834" s="7">
        <v>46028</v>
      </c>
      <c r="X3834" s="8">
        <v>0</v>
      </c>
      <c r="Z3834" s="8">
        <v>952</v>
      </c>
      <c r="AA3834" s="7">
        <v>46042</v>
      </c>
      <c r="AC3834" s="8">
        <v>0</v>
      </c>
      <c r="AE3834" s="7">
        <v>46045</v>
      </c>
      <c r="AF3834" s="8">
        <v>0</v>
      </c>
      <c r="AH3834" s="7">
        <v>46045</v>
      </c>
      <c r="AN3834" s="8">
        <v>0</v>
      </c>
      <c r="AO3834" s="8">
        <v>900</v>
      </c>
    </row>
    <row r="3835" spans="1:41" x14ac:dyDescent="0.25">
      <c r="A3835" s="6" t="str">
        <f t="shared" si="968"/>
        <v>525-2025000460</v>
      </c>
      <c r="B3835" s="6" t="str">
        <f t="shared" si="937"/>
        <v>Lasa Int</v>
      </c>
      <c r="C3835" s="7">
        <v>45919</v>
      </c>
      <c r="D3835" s="7">
        <v>46068</v>
      </c>
      <c r="E3835" s="8">
        <v>6</v>
      </c>
      <c r="F3835" s="6" t="str">
        <f t="shared" si="969"/>
        <v>Soul</v>
      </c>
      <c r="G3835" s="6" t="str">
        <f>"C001243826000000"</f>
        <v>C001243826000000</v>
      </c>
      <c r="H3835" s="6" t="str">
        <f>"CZJ 2438 - 260 g/m²"</f>
        <v>CZJ 2438 - 260 g/m²</v>
      </c>
      <c r="I3835" s="6" t="str">
        <f>"201307"</f>
        <v>201307</v>
      </c>
      <c r="J3835" s="6" t="str">
        <f>"LARANJA 1307"</f>
        <v>LARANJA 1307</v>
      </c>
      <c r="K3835" s="6" t="str">
        <f>"0830"</f>
        <v>0830</v>
      </c>
      <c r="L3835" s="6" t="str">
        <f t="shared" si="970"/>
        <v>Cozinha</v>
      </c>
      <c r="M3835" s="6" t="str">
        <f>"50x70"</f>
        <v>50x70</v>
      </c>
      <c r="N3835" s="6" t="str">
        <f>"5602972521269"</f>
        <v>5602972521269</v>
      </c>
      <c r="O3835" s="8">
        <v>900</v>
      </c>
      <c r="P3835" s="7">
        <v>46010</v>
      </c>
      <c r="R3835" s="8">
        <v>952</v>
      </c>
      <c r="S3835" s="7">
        <v>46015</v>
      </c>
      <c r="U3835" s="8">
        <v>952</v>
      </c>
      <c r="V3835" s="7">
        <v>46028</v>
      </c>
      <c r="X3835" s="8">
        <v>0</v>
      </c>
      <c r="Z3835" s="8">
        <v>952</v>
      </c>
      <c r="AA3835" s="7">
        <v>46042</v>
      </c>
      <c r="AC3835" s="8">
        <v>0</v>
      </c>
      <c r="AE3835" s="7">
        <v>46045</v>
      </c>
      <c r="AF3835" s="8">
        <v>0</v>
      </c>
      <c r="AH3835" s="7">
        <v>46045</v>
      </c>
      <c r="AN3835" s="8">
        <v>0</v>
      </c>
      <c r="AO3835" s="8">
        <v>900</v>
      </c>
    </row>
    <row r="3836" spans="1:41" x14ac:dyDescent="0.25">
      <c r="A3836" s="6" t="str">
        <f t="shared" si="968"/>
        <v>525-2025000460</v>
      </c>
      <c r="B3836" s="6" t="str">
        <f t="shared" si="937"/>
        <v>Lasa Int</v>
      </c>
      <c r="C3836" s="7">
        <v>45919</v>
      </c>
      <c r="D3836" s="7">
        <v>46068</v>
      </c>
      <c r="E3836" s="8">
        <v>7</v>
      </c>
      <c r="F3836" s="6" t="str">
        <f t="shared" si="969"/>
        <v>Soul</v>
      </c>
      <c r="G3836" s="6" t="str">
        <f>"C001243826000000"</f>
        <v>C001243826000000</v>
      </c>
      <c r="H3836" s="6" t="str">
        <f>"CZJ 2438 - 260 g/m²"</f>
        <v>CZJ 2438 - 260 g/m²</v>
      </c>
      <c r="I3836" s="6" t="str">
        <f>"201736"</f>
        <v>201736</v>
      </c>
      <c r="J3836" s="6" t="str">
        <f>"TURQUESA 1736"</f>
        <v>TURQUESA 1736</v>
      </c>
      <c r="K3836" s="6" t="str">
        <f>"0830"</f>
        <v>0830</v>
      </c>
      <c r="L3836" s="6" t="str">
        <f t="shared" si="970"/>
        <v>Cozinha</v>
      </c>
      <c r="M3836" s="6" t="str">
        <f>"50x70"</f>
        <v>50x70</v>
      </c>
      <c r="N3836" s="6" t="str">
        <f>"5602972521276"</f>
        <v>5602972521276</v>
      </c>
      <c r="O3836" s="8">
        <v>900</v>
      </c>
      <c r="P3836" s="7">
        <v>46010</v>
      </c>
      <c r="R3836" s="8">
        <v>952</v>
      </c>
      <c r="S3836" s="7">
        <v>46015</v>
      </c>
      <c r="U3836" s="8">
        <v>952</v>
      </c>
      <c r="V3836" s="7">
        <v>46028</v>
      </c>
      <c r="X3836" s="8">
        <v>0</v>
      </c>
      <c r="Z3836" s="8">
        <v>952</v>
      </c>
      <c r="AA3836" s="7">
        <v>46042</v>
      </c>
      <c r="AC3836" s="8">
        <v>0</v>
      </c>
      <c r="AE3836" s="7">
        <v>46045</v>
      </c>
      <c r="AF3836" s="8">
        <v>0</v>
      </c>
      <c r="AH3836" s="7">
        <v>46045</v>
      </c>
      <c r="AN3836" s="8">
        <v>0</v>
      </c>
      <c r="AO3836" s="8">
        <v>900</v>
      </c>
    </row>
    <row r="3837" spans="1:41" x14ac:dyDescent="0.25">
      <c r="A3837" s="6" t="str">
        <f t="shared" si="968"/>
        <v>525-2025000460</v>
      </c>
      <c r="B3837" s="6" t="str">
        <f t="shared" si="937"/>
        <v>Lasa Int</v>
      </c>
      <c r="C3837" s="7">
        <v>45919</v>
      </c>
      <c r="D3837" s="7">
        <v>46068</v>
      </c>
      <c r="E3837" s="8">
        <v>8</v>
      </c>
      <c r="F3837" s="6" t="str">
        <f t="shared" si="969"/>
        <v>Soul</v>
      </c>
      <c r="G3837" s="6" t="str">
        <f>"C001243826000000"</f>
        <v>C001243826000000</v>
      </c>
      <c r="H3837" s="6" t="str">
        <f>"CZJ 2438 - 260 g/m²"</f>
        <v>CZJ 2438 - 260 g/m²</v>
      </c>
      <c r="I3837" s="6" t="str">
        <f>"203601"</f>
        <v>203601</v>
      </c>
      <c r="J3837" s="6" t="str">
        <f>"CASTANHO 3601"</f>
        <v>CASTANHO 3601</v>
      </c>
      <c r="K3837" s="6" t="str">
        <f>"0830"</f>
        <v>0830</v>
      </c>
      <c r="L3837" s="6" t="str">
        <f t="shared" si="970"/>
        <v>Cozinha</v>
      </c>
      <c r="M3837" s="6" t="str">
        <f>"50x70"</f>
        <v>50x70</v>
      </c>
      <c r="N3837" s="6" t="str">
        <f>"5602972521283"</f>
        <v>5602972521283</v>
      </c>
      <c r="O3837" s="8">
        <v>900</v>
      </c>
      <c r="P3837" s="7">
        <v>46010</v>
      </c>
      <c r="R3837" s="8">
        <v>1040</v>
      </c>
      <c r="S3837" s="7">
        <v>46015</v>
      </c>
      <c r="U3837" s="8">
        <v>1040</v>
      </c>
      <c r="V3837" s="7">
        <v>46028</v>
      </c>
      <c r="X3837" s="8">
        <v>0</v>
      </c>
      <c r="Z3837" s="8">
        <v>1040</v>
      </c>
      <c r="AA3837" s="7">
        <v>46042</v>
      </c>
      <c r="AC3837" s="8">
        <v>0</v>
      </c>
      <c r="AE3837" s="7">
        <v>46045</v>
      </c>
      <c r="AF3837" s="8">
        <v>0</v>
      </c>
      <c r="AH3837" s="7">
        <v>46045</v>
      </c>
      <c r="AN3837" s="8">
        <v>0</v>
      </c>
      <c r="AO3837" s="8">
        <v>900</v>
      </c>
    </row>
    <row r="3838" spans="1:41" x14ac:dyDescent="0.25">
      <c r="A3838" s="6" t="str">
        <f t="shared" ref="A3838:A3845" si="971">"525-2025000463"</f>
        <v>525-2025000463</v>
      </c>
      <c r="B3838" s="6" t="str">
        <f t="shared" si="937"/>
        <v>Lasa Int</v>
      </c>
      <c r="C3838" s="7">
        <v>45919</v>
      </c>
      <c r="D3838" s="7">
        <v>46068</v>
      </c>
      <c r="E3838" s="8">
        <v>1</v>
      </c>
      <c r="F3838" s="6" t="str">
        <f t="shared" ref="F3838:F3845" si="972">"Onda"</f>
        <v>Onda</v>
      </c>
      <c r="G3838" s="6" t="str">
        <f>"F310635144000000"</f>
        <v>F310635144000000</v>
      </c>
      <c r="H3838" s="6" t="str">
        <f>"PLAR 6351 - 440 g/m²"</f>
        <v>PLAR 6351 - 440 g/m²</v>
      </c>
      <c r="I3838" s="6" t="str">
        <f>"200030"</f>
        <v>200030</v>
      </c>
      <c r="J3838" s="6" t="str">
        <f>"VERDE 30"</f>
        <v>VERDE 30</v>
      </c>
      <c r="K3838" s="6" t="str">
        <f>"0820"</f>
        <v>0820</v>
      </c>
      <c r="L3838" s="6" t="str">
        <f t="shared" si="970"/>
        <v>Cozinha</v>
      </c>
      <c r="M3838" s="6" t="str">
        <f>"50x50"</f>
        <v>50x50</v>
      </c>
      <c r="N3838" s="6" t="str">
        <f>"5602972521290"</f>
        <v>5602972521290</v>
      </c>
      <c r="O3838" s="8">
        <v>1800</v>
      </c>
      <c r="P3838" s="7">
        <v>46010</v>
      </c>
      <c r="R3838" s="8">
        <v>1904</v>
      </c>
      <c r="S3838" s="7">
        <v>46015</v>
      </c>
      <c r="U3838" s="8">
        <v>1904</v>
      </c>
      <c r="V3838" s="7">
        <v>46028</v>
      </c>
      <c r="X3838" s="8">
        <v>0</v>
      </c>
      <c r="Z3838" s="8">
        <v>1904</v>
      </c>
      <c r="AA3838" s="7">
        <v>46042</v>
      </c>
      <c r="AC3838" s="8">
        <v>0</v>
      </c>
      <c r="AE3838" s="7">
        <v>46045</v>
      </c>
      <c r="AF3838" s="8">
        <v>0</v>
      </c>
      <c r="AH3838" s="7">
        <v>46045</v>
      </c>
      <c r="AN3838" s="8">
        <v>0</v>
      </c>
      <c r="AO3838" s="8">
        <v>1800</v>
      </c>
    </row>
    <row r="3839" spans="1:41" x14ac:dyDescent="0.25">
      <c r="A3839" s="6" t="str">
        <f t="shared" si="971"/>
        <v>525-2025000463</v>
      </c>
      <c r="B3839" s="6" t="str">
        <f t="shared" si="937"/>
        <v>Lasa Int</v>
      </c>
      <c r="C3839" s="7">
        <v>45919</v>
      </c>
      <c r="D3839" s="7">
        <v>46068</v>
      </c>
      <c r="E3839" s="8">
        <v>2</v>
      </c>
      <c r="F3839" s="6" t="str">
        <f t="shared" si="972"/>
        <v>Onda</v>
      </c>
      <c r="G3839" s="6" t="str">
        <f>"F310635144000000"</f>
        <v>F310635144000000</v>
      </c>
      <c r="H3839" s="6" t="str">
        <f>"PLAR 6351 - 440 g/m²"</f>
        <v>PLAR 6351 - 440 g/m²</v>
      </c>
      <c r="I3839" s="6" t="str">
        <f>"201161"</f>
        <v>201161</v>
      </c>
      <c r="J3839" s="6" t="str">
        <f>"BORDEAUX 1161"</f>
        <v>BORDEAUX 1161</v>
      </c>
      <c r="K3839" s="6" t="str">
        <f>"0820"</f>
        <v>0820</v>
      </c>
      <c r="L3839" s="6" t="str">
        <f t="shared" si="970"/>
        <v>Cozinha</v>
      </c>
      <c r="M3839" s="6" t="str">
        <f>"50x50"</f>
        <v>50x50</v>
      </c>
      <c r="N3839" s="6" t="str">
        <f>"5602972521306"</f>
        <v>5602972521306</v>
      </c>
      <c r="O3839" s="8">
        <v>1800</v>
      </c>
      <c r="P3839" s="7">
        <v>46010</v>
      </c>
      <c r="R3839" s="8">
        <v>1976</v>
      </c>
      <c r="S3839" s="7">
        <v>46015</v>
      </c>
      <c r="U3839" s="8">
        <v>1976</v>
      </c>
      <c r="V3839" s="7">
        <v>46028</v>
      </c>
      <c r="X3839" s="8">
        <v>0</v>
      </c>
      <c r="Z3839" s="8">
        <v>1976</v>
      </c>
      <c r="AA3839" s="7">
        <v>46042</v>
      </c>
      <c r="AC3839" s="8">
        <v>0</v>
      </c>
      <c r="AE3839" s="7">
        <v>46045</v>
      </c>
      <c r="AF3839" s="8">
        <v>0</v>
      </c>
      <c r="AH3839" s="7">
        <v>46045</v>
      </c>
      <c r="AN3839" s="8">
        <v>0</v>
      </c>
      <c r="AO3839" s="8">
        <v>1800</v>
      </c>
    </row>
    <row r="3840" spans="1:41" x14ac:dyDescent="0.25">
      <c r="A3840" s="6" t="str">
        <f t="shared" si="971"/>
        <v>525-2025000463</v>
      </c>
      <c r="B3840" s="6" t="str">
        <f t="shared" si="937"/>
        <v>Lasa Int</v>
      </c>
      <c r="C3840" s="7">
        <v>45919</v>
      </c>
      <c r="D3840" s="7">
        <v>46068</v>
      </c>
      <c r="E3840" s="8">
        <v>3</v>
      </c>
      <c r="F3840" s="6" t="str">
        <f t="shared" si="972"/>
        <v>Onda</v>
      </c>
      <c r="G3840" s="6" t="str">
        <f>"F310635144000000"</f>
        <v>F310635144000000</v>
      </c>
      <c r="H3840" s="6" t="str">
        <f>"PLAR 6351 - 440 g/m²"</f>
        <v>PLAR 6351 - 440 g/m²</v>
      </c>
      <c r="I3840" s="6" t="str">
        <f>"202362"</f>
        <v>202362</v>
      </c>
      <c r="J3840" s="6" t="str">
        <f>"AZUL 2362"</f>
        <v>AZUL 2362</v>
      </c>
      <c r="K3840" s="6" t="str">
        <f>"0820"</f>
        <v>0820</v>
      </c>
      <c r="L3840" s="6" t="str">
        <f t="shared" si="970"/>
        <v>Cozinha</v>
      </c>
      <c r="M3840" s="6" t="str">
        <f>"50x50"</f>
        <v>50x50</v>
      </c>
      <c r="N3840" s="6" t="str">
        <f>"5602972521313"</f>
        <v>5602972521313</v>
      </c>
      <c r="O3840" s="8">
        <v>1800</v>
      </c>
      <c r="P3840" s="7">
        <v>46010</v>
      </c>
      <c r="R3840" s="8">
        <v>1908</v>
      </c>
      <c r="S3840" s="7">
        <v>46015</v>
      </c>
      <c r="U3840" s="8">
        <v>1908</v>
      </c>
      <c r="V3840" s="7">
        <v>46028</v>
      </c>
      <c r="X3840" s="8">
        <v>0</v>
      </c>
      <c r="Z3840" s="8">
        <v>1908</v>
      </c>
      <c r="AA3840" s="7">
        <v>46042</v>
      </c>
      <c r="AC3840" s="8">
        <v>0</v>
      </c>
      <c r="AE3840" s="7">
        <v>46045</v>
      </c>
      <c r="AF3840" s="8">
        <v>0</v>
      </c>
      <c r="AH3840" s="7">
        <v>46045</v>
      </c>
      <c r="AN3840" s="8">
        <v>0</v>
      </c>
      <c r="AO3840" s="8">
        <v>1800</v>
      </c>
    </row>
    <row r="3841" spans="1:41" x14ac:dyDescent="0.25">
      <c r="A3841" s="6" t="str">
        <f t="shared" si="971"/>
        <v>525-2025000463</v>
      </c>
      <c r="B3841" s="6" t="str">
        <f t="shared" si="937"/>
        <v>Lasa Int</v>
      </c>
      <c r="C3841" s="7">
        <v>45919</v>
      </c>
      <c r="D3841" s="7">
        <v>46068</v>
      </c>
      <c r="E3841" s="8">
        <v>4</v>
      </c>
      <c r="F3841" s="6" t="str">
        <f t="shared" si="972"/>
        <v>Onda</v>
      </c>
      <c r="G3841" s="6" t="str">
        <f>"F310635144000000"</f>
        <v>F310635144000000</v>
      </c>
      <c r="H3841" s="6" t="str">
        <f>"PLAR 6351 - 440 g/m²"</f>
        <v>PLAR 6351 - 440 g/m²</v>
      </c>
      <c r="I3841" s="6" t="str">
        <f>"203776"</f>
        <v>203776</v>
      </c>
      <c r="J3841" s="6" t="str">
        <f>"CASTANHO 3776"</f>
        <v>CASTANHO 3776</v>
      </c>
      <c r="K3841" s="6" t="str">
        <f>"0820"</f>
        <v>0820</v>
      </c>
      <c r="L3841" s="6" t="str">
        <f t="shared" si="970"/>
        <v>Cozinha</v>
      </c>
      <c r="M3841" s="6" t="str">
        <f>"50x50"</f>
        <v>50x50</v>
      </c>
      <c r="N3841" s="6" t="str">
        <f>"5602972521320"</f>
        <v>5602972521320</v>
      </c>
      <c r="O3841" s="8">
        <v>1800</v>
      </c>
      <c r="P3841" s="7">
        <v>46010</v>
      </c>
      <c r="R3841" s="8">
        <v>1920</v>
      </c>
      <c r="S3841" s="7">
        <v>46015</v>
      </c>
      <c r="U3841" s="8">
        <v>1920</v>
      </c>
      <c r="V3841" s="7">
        <v>46028</v>
      </c>
      <c r="X3841" s="8">
        <v>0</v>
      </c>
      <c r="Z3841" s="8">
        <v>1920</v>
      </c>
      <c r="AA3841" s="7">
        <v>46042</v>
      </c>
      <c r="AC3841" s="8">
        <v>0</v>
      </c>
      <c r="AE3841" s="7">
        <v>46045</v>
      </c>
      <c r="AF3841" s="8">
        <v>0</v>
      </c>
      <c r="AH3841" s="7">
        <v>46045</v>
      </c>
      <c r="AN3841" s="8">
        <v>0</v>
      </c>
      <c r="AO3841" s="8">
        <v>1800</v>
      </c>
    </row>
    <row r="3842" spans="1:41" x14ac:dyDescent="0.25">
      <c r="A3842" s="6" t="str">
        <f t="shared" si="971"/>
        <v>525-2025000463</v>
      </c>
      <c r="B3842" s="6" t="str">
        <f t="shared" ref="B3842:B3905" si="973">"Lasa Int"</f>
        <v>Lasa Int</v>
      </c>
      <c r="C3842" s="7">
        <v>45919</v>
      </c>
      <c r="D3842" s="7">
        <v>46068</v>
      </c>
      <c r="E3842" s="8">
        <v>5</v>
      </c>
      <c r="F3842" s="6" t="str">
        <f t="shared" si="972"/>
        <v>Onda</v>
      </c>
      <c r="G3842" s="6" t="str">
        <f>"C001243926000000"</f>
        <v>C001243926000000</v>
      </c>
      <c r="H3842" s="6" t="str">
        <f>"CZJ 2439 - 260 g/m²"</f>
        <v>CZJ 2439 - 260 g/m²</v>
      </c>
      <c r="I3842" s="6" t="str">
        <f>"200030"</f>
        <v>200030</v>
      </c>
      <c r="J3842" s="6" t="str">
        <f>"VERDE 30"</f>
        <v>VERDE 30</v>
      </c>
      <c r="K3842" s="6" t="str">
        <f>"0830"</f>
        <v>0830</v>
      </c>
      <c r="L3842" s="6" t="str">
        <f t="shared" si="970"/>
        <v>Cozinha</v>
      </c>
      <c r="M3842" s="6" t="str">
        <f>"50x70"</f>
        <v>50x70</v>
      </c>
      <c r="N3842" s="6" t="str">
        <f>"5602972521337"</f>
        <v>5602972521337</v>
      </c>
      <c r="O3842" s="8">
        <v>900</v>
      </c>
      <c r="P3842" s="7">
        <v>46010</v>
      </c>
      <c r="R3842" s="8">
        <v>988</v>
      </c>
      <c r="S3842" s="7">
        <v>46015</v>
      </c>
      <c r="U3842" s="8">
        <v>988</v>
      </c>
      <c r="V3842" s="7">
        <v>46028</v>
      </c>
      <c r="X3842" s="8">
        <v>0</v>
      </c>
      <c r="Z3842" s="8">
        <v>988</v>
      </c>
      <c r="AA3842" s="7">
        <v>46042</v>
      </c>
      <c r="AC3842" s="8">
        <v>0</v>
      </c>
      <c r="AE3842" s="7">
        <v>46045</v>
      </c>
      <c r="AF3842" s="8">
        <v>0</v>
      </c>
      <c r="AH3842" s="7">
        <v>46045</v>
      </c>
      <c r="AN3842" s="8">
        <v>0</v>
      </c>
      <c r="AO3842" s="8">
        <v>900</v>
      </c>
    </row>
    <row r="3843" spans="1:41" x14ac:dyDescent="0.25">
      <c r="A3843" s="6" t="str">
        <f t="shared" si="971"/>
        <v>525-2025000463</v>
      </c>
      <c r="B3843" s="6" t="str">
        <f t="shared" si="973"/>
        <v>Lasa Int</v>
      </c>
      <c r="C3843" s="7">
        <v>45919</v>
      </c>
      <c r="D3843" s="7">
        <v>46068</v>
      </c>
      <c r="E3843" s="8">
        <v>6</v>
      </c>
      <c r="F3843" s="6" t="str">
        <f t="shared" si="972"/>
        <v>Onda</v>
      </c>
      <c r="G3843" s="6" t="str">
        <f>"C001243926000000"</f>
        <v>C001243926000000</v>
      </c>
      <c r="H3843" s="6" t="str">
        <f>"CZJ 2439 - 260 g/m²"</f>
        <v>CZJ 2439 - 260 g/m²</v>
      </c>
      <c r="I3843" s="6" t="str">
        <f>"201161"</f>
        <v>201161</v>
      </c>
      <c r="J3843" s="6" t="str">
        <f>"BORDEAUX 1161"</f>
        <v>BORDEAUX 1161</v>
      </c>
      <c r="K3843" s="6" t="str">
        <f>"0830"</f>
        <v>0830</v>
      </c>
      <c r="L3843" s="6" t="str">
        <f t="shared" si="970"/>
        <v>Cozinha</v>
      </c>
      <c r="M3843" s="6" t="str">
        <f>"50x70"</f>
        <v>50x70</v>
      </c>
      <c r="N3843" s="6" t="str">
        <f>"5602972521344"</f>
        <v>5602972521344</v>
      </c>
      <c r="O3843" s="8">
        <v>900</v>
      </c>
      <c r="P3843" s="7">
        <v>46010</v>
      </c>
      <c r="R3843" s="8">
        <v>1008</v>
      </c>
      <c r="S3843" s="7">
        <v>46015</v>
      </c>
      <c r="U3843" s="8">
        <v>1008</v>
      </c>
      <c r="V3843" s="7">
        <v>46028</v>
      </c>
      <c r="X3843" s="8">
        <v>0</v>
      </c>
      <c r="Z3843" s="8">
        <v>1008</v>
      </c>
      <c r="AA3843" s="7">
        <v>46042</v>
      </c>
      <c r="AC3843" s="8">
        <v>0</v>
      </c>
      <c r="AE3843" s="7">
        <v>46045</v>
      </c>
      <c r="AF3843" s="8">
        <v>0</v>
      </c>
      <c r="AH3843" s="7">
        <v>46045</v>
      </c>
      <c r="AN3843" s="8">
        <v>0</v>
      </c>
      <c r="AO3843" s="8">
        <v>900</v>
      </c>
    </row>
    <row r="3844" spans="1:41" x14ac:dyDescent="0.25">
      <c r="A3844" s="6" t="str">
        <f t="shared" si="971"/>
        <v>525-2025000463</v>
      </c>
      <c r="B3844" s="6" t="str">
        <f t="shared" si="973"/>
        <v>Lasa Int</v>
      </c>
      <c r="C3844" s="7">
        <v>45919</v>
      </c>
      <c r="D3844" s="7">
        <v>46068</v>
      </c>
      <c r="E3844" s="8">
        <v>7</v>
      </c>
      <c r="F3844" s="6" t="str">
        <f t="shared" si="972"/>
        <v>Onda</v>
      </c>
      <c r="G3844" s="6" t="str">
        <f>"C001243926000000"</f>
        <v>C001243926000000</v>
      </c>
      <c r="H3844" s="6" t="str">
        <f>"CZJ 2439 - 260 g/m²"</f>
        <v>CZJ 2439 - 260 g/m²</v>
      </c>
      <c r="I3844" s="6" t="str">
        <f>"202362"</f>
        <v>202362</v>
      </c>
      <c r="J3844" s="6" t="str">
        <f>"AZUL 2362"</f>
        <v>AZUL 2362</v>
      </c>
      <c r="K3844" s="6" t="str">
        <f>"0830"</f>
        <v>0830</v>
      </c>
      <c r="L3844" s="6" t="str">
        <f t="shared" si="970"/>
        <v>Cozinha</v>
      </c>
      <c r="M3844" s="6" t="str">
        <f>"50x70"</f>
        <v>50x70</v>
      </c>
      <c r="N3844" s="6" t="str">
        <f>"5602972521351"</f>
        <v>5602972521351</v>
      </c>
      <c r="O3844" s="8">
        <v>900</v>
      </c>
      <c r="P3844" s="7">
        <v>46010</v>
      </c>
      <c r="R3844" s="8">
        <v>980</v>
      </c>
      <c r="S3844" s="7">
        <v>46015</v>
      </c>
      <c r="U3844" s="8">
        <v>980</v>
      </c>
      <c r="V3844" s="7">
        <v>46028</v>
      </c>
      <c r="X3844" s="8">
        <v>0</v>
      </c>
      <c r="Z3844" s="8">
        <v>980</v>
      </c>
      <c r="AA3844" s="7">
        <v>46042</v>
      </c>
      <c r="AC3844" s="8">
        <v>0</v>
      </c>
      <c r="AE3844" s="7">
        <v>46045</v>
      </c>
      <c r="AF3844" s="8">
        <v>0</v>
      </c>
      <c r="AH3844" s="7">
        <v>46045</v>
      </c>
      <c r="AN3844" s="8">
        <v>0</v>
      </c>
      <c r="AO3844" s="8">
        <v>900</v>
      </c>
    </row>
    <row r="3845" spans="1:41" x14ac:dyDescent="0.25">
      <c r="A3845" s="6" t="str">
        <f t="shared" si="971"/>
        <v>525-2025000463</v>
      </c>
      <c r="B3845" s="6" t="str">
        <f t="shared" si="973"/>
        <v>Lasa Int</v>
      </c>
      <c r="C3845" s="7">
        <v>45919</v>
      </c>
      <c r="D3845" s="7">
        <v>46068</v>
      </c>
      <c r="E3845" s="8">
        <v>8</v>
      </c>
      <c r="F3845" s="6" t="str">
        <f t="shared" si="972"/>
        <v>Onda</v>
      </c>
      <c r="G3845" s="6" t="str">
        <f>"C001243926000000"</f>
        <v>C001243926000000</v>
      </c>
      <c r="H3845" s="6" t="str">
        <f>"CZJ 2439 - 260 g/m²"</f>
        <v>CZJ 2439 - 260 g/m²</v>
      </c>
      <c r="I3845" s="6" t="str">
        <f>"203776"</f>
        <v>203776</v>
      </c>
      <c r="J3845" s="6" t="str">
        <f>"CASTANHO 3776"</f>
        <v>CASTANHO 3776</v>
      </c>
      <c r="K3845" s="6" t="str">
        <f>"0830"</f>
        <v>0830</v>
      </c>
      <c r="L3845" s="6" t="str">
        <f t="shared" si="970"/>
        <v>Cozinha</v>
      </c>
      <c r="M3845" s="6" t="str">
        <f>"50x70"</f>
        <v>50x70</v>
      </c>
      <c r="N3845" s="6" t="str">
        <f>"5602972521368"</f>
        <v>5602972521368</v>
      </c>
      <c r="O3845" s="8">
        <v>900</v>
      </c>
      <c r="P3845" s="7">
        <v>46010</v>
      </c>
      <c r="R3845" s="8">
        <v>996</v>
      </c>
      <c r="S3845" s="7">
        <v>46015</v>
      </c>
      <c r="U3845" s="8">
        <v>996</v>
      </c>
      <c r="V3845" s="7">
        <v>46028</v>
      </c>
      <c r="X3845" s="8">
        <v>0</v>
      </c>
      <c r="Z3845" s="8">
        <v>996</v>
      </c>
      <c r="AA3845" s="7">
        <v>46042</v>
      </c>
      <c r="AC3845" s="8">
        <v>0</v>
      </c>
      <c r="AE3845" s="7">
        <v>46045</v>
      </c>
      <c r="AF3845" s="8">
        <v>0</v>
      </c>
      <c r="AH3845" s="7">
        <v>46045</v>
      </c>
      <c r="AN3845" s="8">
        <v>0</v>
      </c>
      <c r="AO3845" s="8">
        <v>900</v>
      </c>
    </row>
    <row r="3846" spans="1:41" x14ac:dyDescent="0.25">
      <c r="A3846" s="6" t="str">
        <f t="shared" ref="A3846:A3853" si="974">"525-2025000465"</f>
        <v>525-2025000465</v>
      </c>
      <c r="B3846" s="6" t="str">
        <f t="shared" si="973"/>
        <v>Lasa Int</v>
      </c>
      <c r="C3846" s="7">
        <v>45922</v>
      </c>
      <c r="D3846" s="7">
        <v>46068</v>
      </c>
      <c r="E3846" s="8">
        <v>1</v>
      </c>
      <c r="F3846" s="6" t="str">
        <f t="shared" ref="F3846:F3853" si="975">"Peixes"</f>
        <v>Peixes</v>
      </c>
      <c r="G3846" s="6" t="str">
        <f>"F330313644000000"</f>
        <v>F330313644000000</v>
      </c>
      <c r="H3846" s="6" t="str">
        <f>"PLA 3136 - 440 g/m²"</f>
        <v>PLA 3136 - 440 g/m²</v>
      </c>
      <c r="I3846" s="6" t="str">
        <f>"200993"</f>
        <v>200993</v>
      </c>
      <c r="J3846" s="6" t="str">
        <f>"BEGE 993"</f>
        <v>BEGE 993</v>
      </c>
      <c r="K3846" s="6" t="str">
        <f>"0820"</f>
        <v>0820</v>
      </c>
      <c r="L3846" s="6" t="str">
        <f t="shared" si="970"/>
        <v>Cozinha</v>
      </c>
      <c r="M3846" s="6" t="str">
        <f>"50x50"</f>
        <v>50x50</v>
      </c>
      <c r="N3846" s="6" t="str">
        <f>"5602972521375"</f>
        <v>5602972521375</v>
      </c>
      <c r="O3846" s="8">
        <v>2100</v>
      </c>
      <c r="P3846" s="7">
        <v>46010</v>
      </c>
      <c r="R3846" s="8">
        <v>2208</v>
      </c>
      <c r="S3846" s="7">
        <v>46015</v>
      </c>
      <c r="U3846" s="8">
        <v>2208</v>
      </c>
      <c r="V3846" s="7">
        <v>46028</v>
      </c>
      <c r="X3846" s="8">
        <v>0</v>
      </c>
      <c r="Z3846" s="8">
        <v>2208</v>
      </c>
      <c r="AA3846" s="7">
        <v>46042</v>
      </c>
      <c r="AC3846" s="8">
        <v>0</v>
      </c>
      <c r="AE3846" s="7">
        <v>46045</v>
      </c>
      <c r="AF3846" s="8">
        <v>0</v>
      </c>
      <c r="AH3846" s="7">
        <v>46045</v>
      </c>
      <c r="AN3846" s="8">
        <v>0</v>
      </c>
      <c r="AO3846" s="8">
        <v>2100</v>
      </c>
    </row>
    <row r="3847" spans="1:41" x14ac:dyDescent="0.25">
      <c r="A3847" s="6" t="str">
        <f t="shared" si="974"/>
        <v>525-2025000465</v>
      </c>
      <c r="B3847" s="6" t="str">
        <f t="shared" si="973"/>
        <v>Lasa Int</v>
      </c>
      <c r="C3847" s="7">
        <v>45922</v>
      </c>
      <c r="D3847" s="7">
        <v>46068</v>
      </c>
      <c r="E3847" s="8">
        <v>2</v>
      </c>
      <c r="F3847" s="6" t="str">
        <f t="shared" si="975"/>
        <v>Peixes</v>
      </c>
      <c r="G3847" s="6" t="str">
        <f>"F330313644000000"</f>
        <v>F330313644000000</v>
      </c>
      <c r="H3847" s="6" t="str">
        <f>"PLA 3136 - 440 g/m²"</f>
        <v>PLA 3136 - 440 g/m²</v>
      </c>
      <c r="I3847" s="6" t="str">
        <f>"201736"</f>
        <v>201736</v>
      </c>
      <c r="J3847" s="6" t="str">
        <f>"TURQUESA 1736"</f>
        <v>TURQUESA 1736</v>
      </c>
      <c r="K3847" s="6" t="str">
        <f>"0820"</f>
        <v>0820</v>
      </c>
      <c r="L3847" s="6" t="str">
        <f t="shared" si="970"/>
        <v>Cozinha</v>
      </c>
      <c r="M3847" s="6" t="str">
        <f>"50x50"</f>
        <v>50x50</v>
      </c>
      <c r="N3847" s="6" t="str">
        <f>"5602972521382"</f>
        <v>5602972521382</v>
      </c>
      <c r="O3847" s="8">
        <v>2300</v>
      </c>
      <c r="P3847" s="7">
        <v>46010</v>
      </c>
      <c r="R3847" s="8">
        <v>2448</v>
      </c>
      <c r="S3847" s="7">
        <v>46015</v>
      </c>
      <c r="U3847" s="8">
        <v>2448</v>
      </c>
      <c r="V3847" s="7">
        <v>46028</v>
      </c>
      <c r="X3847" s="8">
        <v>0</v>
      </c>
      <c r="Z3847" s="8">
        <v>2448</v>
      </c>
      <c r="AA3847" s="7">
        <v>46042</v>
      </c>
      <c r="AC3847" s="8">
        <v>0</v>
      </c>
      <c r="AE3847" s="7">
        <v>46045</v>
      </c>
      <c r="AF3847" s="8">
        <v>0</v>
      </c>
      <c r="AH3847" s="7">
        <v>46045</v>
      </c>
      <c r="AN3847" s="8">
        <v>0</v>
      </c>
      <c r="AO3847" s="8">
        <v>2300</v>
      </c>
    </row>
    <row r="3848" spans="1:41" x14ac:dyDescent="0.25">
      <c r="A3848" s="6" t="str">
        <f t="shared" si="974"/>
        <v>525-2025000465</v>
      </c>
      <c r="B3848" s="6" t="str">
        <f t="shared" si="973"/>
        <v>Lasa Int</v>
      </c>
      <c r="C3848" s="7">
        <v>45922</v>
      </c>
      <c r="D3848" s="7">
        <v>46068</v>
      </c>
      <c r="E3848" s="8">
        <v>3</v>
      </c>
      <c r="F3848" s="6" t="str">
        <f t="shared" si="975"/>
        <v>Peixes</v>
      </c>
      <c r="G3848" s="6" t="str">
        <f>"F330313644000000"</f>
        <v>F330313644000000</v>
      </c>
      <c r="H3848" s="6" t="str">
        <f>"PLA 3136 - 440 g/m²"</f>
        <v>PLA 3136 - 440 g/m²</v>
      </c>
      <c r="I3848" s="6" t="str">
        <f>"201846"</f>
        <v>201846</v>
      </c>
      <c r="J3848" s="6" t="str">
        <f>"VERDE 1846"</f>
        <v>VERDE 1846</v>
      </c>
      <c r="K3848" s="6" t="str">
        <f>"0820"</f>
        <v>0820</v>
      </c>
      <c r="L3848" s="6" t="str">
        <f t="shared" si="970"/>
        <v>Cozinha</v>
      </c>
      <c r="M3848" s="6" t="str">
        <f>"50x50"</f>
        <v>50x50</v>
      </c>
      <c r="N3848" s="6" t="str">
        <f>"5602972521399"</f>
        <v>5602972521399</v>
      </c>
      <c r="O3848" s="8">
        <v>2100</v>
      </c>
      <c r="P3848" s="7">
        <v>46010</v>
      </c>
      <c r="R3848" s="8">
        <v>2180</v>
      </c>
      <c r="S3848" s="7">
        <v>46015</v>
      </c>
      <c r="U3848" s="8">
        <v>2180</v>
      </c>
      <c r="V3848" s="7">
        <v>46028</v>
      </c>
      <c r="X3848" s="8">
        <v>0</v>
      </c>
      <c r="Z3848" s="8">
        <v>2180</v>
      </c>
      <c r="AA3848" s="7">
        <v>46042</v>
      </c>
      <c r="AC3848" s="8">
        <v>0</v>
      </c>
      <c r="AE3848" s="7">
        <v>46045</v>
      </c>
      <c r="AF3848" s="8">
        <v>0</v>
      </c>
      <c r="AH3848" s="7">
        <v>46045</v>
      </c>
      <c r="AN3848" s="8">
        <v>0</v>
      </c>
      <c r="AO3848" s="8">
        <v>2100</v>
      </c>
    </row>
    <row r="3849" spans="1:41" x14ac:dyDescent="0.25">
      <c r="A3849" s="6" t="str">
        <f t="shared" si="974"/>
        <v>525-2025000465</v>
      </c>
      <c r="B3849" s="6" t="str">
        <f t="shared" si="973"/>
        <v>Lasa Int</v>
      </c>
      <c r="C3849" s="7">
        <v>45922</v>
      </c>
      <c r="D3849" s="7">
        <v>46068</v>
      </c>
      <c r="E3849" s="8">
        <v>4</v>
      </c>
      <c r="F3849" s="6" t="str">
        <f t="shared" si="975"/>
        <v>Peixes</v>
      </c>
      <c r="G3849" s="6" t="str">
        <f>"F330313644000000"</f>
        <v>F330313644000000</v>
      </c>
      <c r="H3849" s="6" t="str">
        <f>"PLA 3136 - 440 g/m²"</f>
        <v>PLA 3136 - 440 g/m²</v>
      </c>
      <c r="I3849" s="6" t="str">
        <f>"203323"</f>
        <v>203323</v>
      </c>
      <c r="J3849" s="6" t="str">
        <f>"LARANJA 3323"</f>
        <v>LARANJA 3323</v>
      </c>
      <c r="K3849" s="6" t="str">
        <f>"0820"</f>
        <v>0820</v>
      </c>
      <c r="L3849" s="6" t="str">
        <f t="shared" si="970"/>
        <v>Cozinha</v>
      </c>
      <c r="M3849" s="6" t="str">
        <f>"50x50"</f>
        <v>50x50</v>
      </c>
      <c r="N3849" s="6" t="str">
        <f>"5602972521405"</f>
        <v>5602972521405</v>
      </c>
      <c r="O3849" s="8">
        <v>2100</v>
      </c>
      <c r="P3849" s="7">
        <v>46010</v>
      </c>
      <c r="R3849" s="8">
        <v>2236</v>
      </c>
      <c r="S3849" s="7">
        <v>46015</v>
      </c>
      <c r="U3849" s="8">
        <v>2236</v>
      </c>
      <c r="V3849" s="7">
        <v>46028</v>
      </c>
      <c r="X3849" s="8">
        <v>0</v>
      </c>
      <c r="Z3849" s="8">
        <v>2236</v>
      </c>
      <c r="AA3849" s="7">
        <v>46042</v>
      </c>
      <c r="AC3849" s="8">
        <v>0</v>
      </c>
      <c r="AE3849" s="7">
        <v>46045</v>
      </c>
      <c r="AF3849" s="8">
        <v>0</v>
      </c>
      <c r="AH3849" s="7">
        <v>46045</v>
      </c>
      <c r="AN3849" s="8">
        <v>0</v>
      </c>
      <c r="AO3849" s="8">
        <v>2100</v>
      </c>
    </row>
    <row r="3850" spans="1:41" x14ac:dyDescent="0.25">
      <c r="A3850" s="6" t="str">
        <f t="shared" si="974"/>
        <v>525-2025000465</v>
      </c>
      <c r="B3850" s="6" t="str">
        <f t="shared" si="973"/>
        <v>Lasa Int</v>
      </c>
      <c r="C3850" s="7">
        <v>45922</v>
      </c>
      <c r="D3850" s="7">
        <v>46068</v>
      </c>
      <c r="E3850" s="8">
        <v>5</v>
      </c>
      <c r="F3850" s="6" t="str">
        <f t="shared" si="975"/>
        <v>Peixes</v>
      </c>
      <c r="G3850" s="6" t="str">
        <f>"C001244426000000"</f>
        <v>C001244426000000</v>
      </c>
      <c r="H3850" s="6" t="str">
        <f>"CZJ 2444 - 260 g/m²"</f>
        <v>CZJ 2444 - 260 g/m²</v>
      </c>
      <c r="I3850" s="6" t="str">
        <f>"200993"</f>
        <v>200993</v>
      </c>
      <c r="J3850" s="6" t="str">
        <f>"BEGE 993"</f>
        <v>BEGE 993</v>
      </c>
      <c r="K3850" s="6" t="str">
        <f>"0860"</f>
        <v>0860</v>
      </c>
      <c r="L3850" s="6" t="str">
        <f t="shared" si="970"/>
        <v>Cozinha</v>
      </c>
      <c r="M3850" s="6" t="str">
        <f>"70x50"</f>
        <v>70x50</v>
      </c>
      <c r="N3850" s="6" t="str">
        <f>"5602972521412"</f>
        <v>5602972521412</v>
      </c>
      <c r="O3850" s="8">
        <v>1000</v>
      </c>
      <c r="P3850" s="7">
        <v>46010</v>
      </c>
      <c r="R3850" s="8">
        <v>1107</v>
      </c>
      <c r="S3850" s="7">
        <v>46015</v>
      </c>
      <c r="U3850" s="8">
        <v>1107</v>
      </c>
      <c r="V3850" s="7">
        <v>46028</v>
      </c>
      <c r="X3850" s="8">
        <v>0</v>
      </c>
      <c r="Z3850" s="8">
        <v>1107</v>
      </c>
      <c r="AA3850" s="7">
        <v>46042</v>
      </c>
      <c r="AC3850" s="8">
        <v>0</v>
      </c>
      <c r="AE3850" s="7">
        <v>46045</v>
      </c>
      <c r="AF3850" s="8">
        <v>0</v>
      </c>
      <c r="AH3850" s="7">
        <v>46045</v>
      </c>
      <c r="AN3850" s="8">
        <v>0</v>
      </c>
      <c r="AO3850" s="8">
        <v>1000</v>
      </c>
    </row>
    <row r="3851" spans="1:41" x14ac:dyDescent="0.25">
      <c r="A3851" s="6" t="str">
        <f t="shared" si="974"/>
        <v>525-2025000465</v>
      </c>
      <c r="B3851" s="6" t="str">
        <f t="shared" si="973"/>
        <v>Lasa Int</v>
      </c>
      <c r="C3851" s="7">
        <v>45922</v>
      </c>
      <c r="D3851" s="7">
        <v>46068</v>
      </c>
      <c r="E3851" s="8">
        <v>6</v>
      </c>
      <c r="F3851" s="6" t="str">
        <f t="shared" si="975"/>
        <v>Peixes</v>
      </c>
      <c r="G3851" s="6" t="str">
        <f>"C001244426000000"</f>
        <v>C001244426000000</v>
      </c>
      <c r="H3851" s="6" t="str">
        <f>"CZJ 2444 - 260 g/m²"</f>
        <v>CZJ 2444 - 260 g/m²</v>
      </c>
      <c r="I3851" s="6" t="str">
        <f>"201736"</f>
        <v>201736</v>
      </c>
      <c r="J3851" s="6" t="str">
        <f>"TURQUESA 1736"</f>
        <v>TURQUESA 1736</v>
      </c>
      <c r="K3851" s="6" t="str">
        <f>"0860"</f>
        <v>0860</v>
      </c>
      <c r="L3851" s="6" t="str">
        <f t="shared" si="970"/>
        <v>Cozinha</v>
      </c>
      <c r="M3851" s="6" t="str">
        <f>"70x50"</f>
        <v>70x50</v>
      </c>
      <c r="N3851" s="6" t="str">
        <f>"5602972521429"</f>
        <v>5602972521429</v>
      </c>
      <c r="O3851" s="8">
        <v>1100</v>
      </c>
      <c r="P3851" s="7">
        <v>46010</v>
      </c>
      <c r="R3851" s="8">
        <v>1158</v>
      </c>
      <c r="S3851" s="7">
        <v>46015</v>
      </c>
      <c r="U3851" s="8">
        <v>1158</v>
      </c>
      <c r="V3851" s="7">
        <v>46028</v>
      </c>
      <c r="X3851" s="8">
        <v>0</v>
      </c>
      <c r="Z3851" s="8">
        <v>1158</v>
      </c>
      <c r="AA3851" s="7">
        <v>46042</v>
      </c>
      <c r="AC3851" s="8">
        <v>0</v>
      </c>
      <c r="AE3851" s="7">
        <v>46045</v>
      </c>
      <c r="AF3851" s="8">
        <v>0</v>
      </c>
      <c r="AH3851" s="7">
        <v>46045</v>
      </c>
      <c r="AN3851" s="8">
        <v>0</v>
      </c>
      <c r="AO3851" s="8">
        <v>1100</v>
      </c>
    </row>
    <row r="3852" spans="1:41" x14ac:dyDescent="0.25">
      <c r="A3852" s="6" t="str">
        <f t="shared" si="974"/>
        <v>525-2025000465</v>
      </c>
      <c r="B3852" s="6" t="str">
        <f t="shared" si="973"/>
        <v>Lasa Int</v>
      </c>
      <c r="C3852" s="7">
        <v>45922</v>
      </c>
      <c r="D3852" s="7">
        <v>46068</v>
      </c>
      <c r="E3852" s="8">
        <v>7</v>
      </c>
      <c r="F3852" s="6" t="str">
        <f t="shared" si="975"/>
        <v>Peixes</v>
      </c>
      <c r="G3852" s="6" t="str">
        <f>"C001244426000000"</f>
        <v>C001244426000000</v>
      </c>
      <c r="H3852" s="6" t="str">
        <f>"CZJ 2444 - 260 g/m²"</f>
        <v>CZJ 2444 - 260 g/m²</v>
      </c>
      <c r="I3852" s="6" t="str">
        <f>"201846"</f>
        <v>201846</v>
      </c>
      <c r="J3852" s="6" t="str">
        <f>"VERDE 1846"</f>
        <v>VERDE 1846</v>
      </c>
      <c r="K3852" s="6" t="str">
        <f>"0860"</f>
        <v>0860</v>
      </c>
      <c r="L3852" s="6" t="str">
        <f t="shared" si="970"/>
        <v>Cozinha</v>
      </c>
      <c r="M3852" s="6" t="str">
        <f>"70x50"</f>
        <v>70x50</v>
      </c>
      <c r="N3852" s="6" t="str">
        <f>"5602972521436"</f>
        <v>5602972521436</v>
      </c>
      <c r="O3852" s="8">
        <v>1000</v>
      </c>
      <c r="P3852" s="7">
        <v>46010</v>
      </c>
      <c r="R3852" s="8">
        <v>1050</v>
      </c>
      <c r="S3852" s="7">
        <v>46015</v>
      </c>
      <c r="U3852" s="8">
        <v>1050</v>
      </c>
      <c r="V3852" s="7">
        <v>46028</v>
      </c>
      <c r="X3852" s="8">
        <v>0</v>
      </c>
      <c r="Z3852" s="8">
        <v>1050</v>
      </c>
      <c r="AA3852" s="7">
        <v>46042</v>
      </c>
      <c r="AC3852" s="8">
        <v>0</v>
      </c>
      <c r="AE3852" s="7">
        <v>46045</v>
      </c>
      <c r="AF3852" s="8">
        <v>0</v>
      </c>
      <c r="AH3852" s="7">
        <v>46045</v>
      </c>
      <c r="AN3852" s="8">
        <v>0</v>
      </c>
      <c r="AO3852" s="8">
        <v>1000</v>
      </c>
    </row>
    <row r="3853" spans="1:41" x14ac:dyDescent="0.25">
      <c r="A3853" s="6" t="str">
        <f t="shared" si="974"/>
        <v>525-2025000465</v>
      </c>
      <c r="B3853" s="6" t="str">
        <f t="shared" si="973"/>
        <v>Lasa Int</v>
      </c>
      <c r="C3853" s="7">
        <v>45922</v>
      </c>
      <c r="D3853" s="7">
        <v>46068</v>
      </c>
      <c r="E3853" s="8">
        <v>8</v>
      </c>
      <c r="F3853" s="6" t="str">
        <f t="shared" si="975"/>
        <v>Peixes</v>
      </c>
      <c r="G3853" s="6" t="str">
        <f>"C001244426000000"</f>
        <v>C001244426000000</v>
      </c>
      <c r="H3853" s="6" t="str">
        <f>"CZJ 2444 - 260 g/m²"</f>
        <v>CZJ 2444 - 260 g/m²</v>
      </c>
      <c r="I3853" s="6" t="str">
        <f>"203323"</f>
        <v>203323</v>
      </c>
      <c r="J3853" s="6" t="str">
        <f>"LARANJA 3323"</f>
        <v>LARANJA 3323</v>
      </c>
      <c r="K3853" s="6" t="str">
        <f>"0860"</f>
        <v>0860</v>
      </c>
      <c r="L3853" s="6" t="str">
        <f t="shared" si="970"/>
        <v>Cozinha</v>
      </c>
      <c r="M3853" s="6" t="str">
        <f>"70x50"</f>
        <v>70x50</v>
      </c>
      <c r="N3853" s="6" t="str">
        <f>"5602972521443"</f>
        <v>5602972521443</v>
      </c>
      <c r="O3853" s="8">
        <v>1000</v>
      </c>
      <c r="P3853" s="7">
        <v>46010</v>
      </c>
      <c r="R3853" s="8">
        <v>1050</v>
      </c>
      <c r="S3853" s="7">
        <v>46015</v>
      </c>
      <c r="U3853" s="8">
        <v>1050</v>
      </c>
      <c r="V3853" s="7">
        <v>46028</v>
      </c>
      <c r="X3853" s="8">
        <v>0</v>
      </c>
      <c r="Z3853" s="8">
        <v>1050</v>
      </c>
      <c r="AA3853" s="7">
        <v>46042</v>
      </c>
      <c r="AC3853" s="8">
        <v>0</v>
      </c>
      <c r="AE3853" s="7">
        <v>46045</v>
      </c>
      <c r="AF3853" s="8">
        <v>0</v>
      </c>
      <c r="AH3853" s="7">
        <v>46045</v>
      </c>
      <c r="AN3853" s="8">
        <v>0</v>
      </c>
      <c r="AO3853" s="8">
        <v>1000</v>
      </c>
    </row>
    <row r="3854" spans="1:41" x14ac:dyDescent="0.25">
      <c r="A3854" s="6" t="str">
        <f t="shared" ref="A3854:A3861" si="976">"525-2025000466"</f>
        <v>525-2025000466</v>
      </c>
      <c r="B3854" s="6" t="str">
        <f t="shared" si="973"/>
        <v>Lasa Int</v>
      </c>
      <c r="C3854" s="7">
        <v>45922</v>
      </c>
      <c r="D3854" s="7">
        <v>46068</v>
      </c>
      <c r="E3854" s="8">
        <v>1</v>
      </c>
      <c r="F3854" s="6" t="str">
        <f t="shared" ref="F3854:F3861" si="977">"Mar"</f>
        <v>Mar</v>
      </c>
      <c r="G3854" s="6" t="str">
        <f>"J310635244000000"</f>
        <v>J310635244000000</v>
      </c>
      <c r="H3854" s="6" t="str">
        <f>"PLAR 6352-6353-6354-"</f>
        <v>PLAR 6352-6353-6354-</v>
      </c>
      <c r="I3854" s="6" t="str">
        <f>"201736"</f>
        <v>201736</v>
      </c>
      <c r="J3854" s="6" t="str">
        <f>"TURQUESA 1736"</f>
        <v>TURQUESA 1736</v>
      </c>
      <c r="K3854" s="6" t="str">
        <f>"0820"</f>
        <v>0820</v>
      </c>
      <c r="L3854" s="6" t="str">
        <f t="shared" si="970"/>
        <v>Cozinha</v>
      </c>
      <c r="M3854" s="6" t="str">
        <f>"50x50"</f>
        <v>50x50</v>
      </c>
      <c r="N3854" s="6" t="str">
        <f>"5602972521450"</f>
        <v>5602972521450</v>
      </c>
      <c r="O3854" s="8">
        <v>2000</v>
      </c>
      <c r="P3854" s="7">
        <v>46010</v>
      </c>
      <c r="R3854" s="8">
        <v>2084</v>
      </c>
      <c r="S3854" s="7">
        <v>46015</v>
      </c>
      <c r="U3854" s="8">
        <v>2084</v>
      </c>
      <c r="V3854" s="7">
        <v>46028</v>
      </c>
      <c r="X3854" s="8">
        <v>0</v>
      </c>
      <c r="Z3854" s="8">
        <v>2084</v>
      </c>
      <c r="AA3854" s="7">
        <v>46042</v>
      </c>
      <c r="AC3854" s="8">
        <v>0</v>
      </c>
      <c r="AE3854" s="7">
        <v>46045</v>
      </c>
      <c r="AF3854" s="8">
        <v>0</v>
      </c>
      <c r="AH3854" s="7">
        <v>46045</v>
      </c>
      <c r="AN3854" s="8">
        <v>0</v>
      </c>
      <c r="AO3854" s="8">
        <v>2000</v>
      </c>
    </row>
    <row r="3855" spans="1:41" x14ac:dyDescent="0.25">
      <c r="A3855" s="6" t="str">
        <f t="shared" si="976"/>
        <v>525-2025000466</v>
      </c>
      <c r="B3855" s="6" t="str">
        <f t="shared" si="973"/>
        <v>Lasa Int</v>
      </c>
      <c r="C3855" s="7">
        <v>45922</v>
      </c>
      <c r="D3855" s="7">
        <v>46068</v>
      </c>
      <c r="E3855" s="8">
        <v>2</v>
      </c>
      <c r="F3855" s="6" t="str">
        <f t="shared" si="977"/>
        <v>Mar</v>
      </c>
      <c r="G3855" s="6" t="str">
        <f>"J310635244000000"</f>
        <v>J310635244000000</v>
      </c>
      <c r="H3855" s="6" t="str">
        <f>"PLAR 6352-6353-6354-"</f>
        <v>PLAR 6352-6353-6354-</v>
      </c>
      <c r="I3855" s="6" t="str">
        <f>"201915"</f>
        <v>201915</v>
      </c>
      <c r="J3855" s="6" t="str">
        <f>"CINZA 1915"</f>
        <v>CINZA 1915</v>
      </c>
      <c r="K3855" s="6" t="str">
        <f>"0820"</f>
        <v>0820</v>
      </c>
      <c r="L3855" s="6" t="str">
        <f t="shared" si="970"/>
        <v>Cozinha</v>
      </c>
      <c r="M3855" s="6" t="str">
        <f>"50x50"</f>
        <v>50x50</v>
      </c>
      <c r="N3855" s="6" t="str">
        <f>"5602972521467"</f>
        <v>5602972521467</v>
      </c>
      <c r="O3855" s="8">
        <v>2000</v>
      </c>
      <c r="P3855" s="7">
        <v>46010</v>
      </c>
      <c r="R3855" s="8">
        <v>2152</v>
      </c>
      <c r="S3855" s="7">
        <v>46015</v>
      </c>
      <c r="U3855" s="8">
        <v>2152</v>
      </c>
      <c r="V3855" s="7">
        <v>46028</v>
      </c>
      <c r="X3855" s="8">
        <v>0</v>
      </c>
      <c r="Z3855" s="8">
        <v>2152</v>
      </c>
      <c r="AA3855" s="7">
        <v>46042</v>
      </c>
      <c r="AC3855" s="8">
        <v>0</v>
      </c>
      <c r="AE3855" s="7">
        <v>46045</v>
      </c>
      <c r="AF3855" s="8">
        <v>0</v>
      </c>
      <c r="AH3855" s="7">
        <v>46045</v>
      </c>
      <c r="AN3855" s="8">
        <v>0</v>
      </c>
      <c r="AO3855" s="8">
        <v>2000</v>
      </c>
    </row>
    <row r="3856" spans="1:41" x14ac:dyDescent="0.25">
      <c r="A3856" s="6" t="str">
        <f t="shared" si="976"/>
        <v>525-2025000466</v>
      </c>
      <c r="B3856" s="6" t="str">
        <f t="shared" si="973"/>
        <v>Lasa Int</v>
      </c>
      <c r="C3856" s="7">
        <v>45922</v>
      </c>
      <c r="D3856" s="7">
        <v>46068</v>
      </c>
      <c r="E3856" s="8">
        <v>3</v>
      </c>
      <c r="F3856" s="6" t="str">
        <f t="shared" si="977"/>
        <v>Mar</v>
      </c>
      <c r="G3856" s="6" t="str">
        <f>"J310635244000000"</f>
        <v>J310635244000000</v>
      </c>
      <c r="H3856" s="6" t="str">
        <f>"PLAR 6352-6353-6354-"</f>
        <v>PLAR 6352-6353-6354-</v>
      </c>
      <c r="I3856" s="6" t="str">
        <f>"203323"</f>
        <v>203323</v>
      </c>
      <c r="J3856" s="6" t="str">
        <f>"LARANJA 3323"</f>
        <v>LARANJA 3323</v>
      </c>
      <c r="K3856" s="6" t="str">
        <f>"0820"</f>
        <v>0820</v>
      </c>
      <c r="L3856" s="6" t="str">
        <f t="shared" si="970"/>
        <v>Cozinha</v>
      </c>
      <c r="M3856" s="6" t="str">
        <f>"50x50"</f>
        <v>50x50</v>
      </c>
      <c r="N3856" s="6" t="str">
        <f>"5602972521474"</f>
        <v>5602972521474</v>
      </c>
      <c r="O3856" s="8">
        <v>2000</v>
      </c>
      <c r="P3856" s="7">
        <v>46010</v>
      </c>
      <c r="R3856" s="8">
        <v>2112</v>
      </c>
      <c r="S3856" s="7">
        <v>46015</v>
      </c>
      <c r="U3856" s="8">
        <v>2112</v>
      </c>
      <c r="V3856" s="7">
        <v>46028</v>
      </c>
      <c r="X3856" s="8">
        <v>0</v>
      </c>
      <c r="Z3856" s="8">
        <v>2112</v>
      </c>
      <c r="AA3856" s="7">
        <v>46042</v>
      </c>
      <c r="AC3856" s="8">
        <v>0</v>
      </c>
      <c r="AE3856" s="7">
        <v>46045</v>
      </c>
      <c r="AF3856" s="8">
        <v>0</v>
      </c>
      <c r="AH3856" s="7">
        <v>46045</v>
      </c>
      <c r="AN3856" s="8">
        <v>0</v>
      </c>
      <c r="AO3856" s="8">
        <v>2000</v>
      </c>
    </row>
    <row r="3857" spans="1:41" x14ac:dyDescent="0.25">
      <c r="A3857" s="6" t="str">
        <f t="shared" si="976"/>
        <v>525-2025000466</v>
      </c>
      <c r="B3857" s="6" t="str">
        <f t="shared" si="973"/>
        <v>Lasa Int</v>
      </c>
      <c r="C3857" s="7">
        <v>45922</v>
      </c>
      <c r="D3857" s="7">
        <v>46068</v>
      </c>
      <c r="E3857" s="8">
        <v>4</v>
      </c>
      <c r="F3857" s="6" t="str">
        <f t="shared" si="977"/>
        <v>Mar</v>
      </c>
      <c r="G3857" s="6" t="str">
        <f>"J310635244000000"</f>
        <v>J310635244000000</v>
      </c>
      <c r="H3857" s="6" t="str">
        <f>"PLAR 6352-6353-6354-"</f>
        <v>PLAR 6352-6353-6354-</v>
      </c>
      <c r="I3857" s="6" t="str">
        <f>"204425"</f>
        <v>204425</v>
      </c>
      <c r="J3857" s="6" t="str">
        <f>"VERDE 4425"</f>
        <v>VERDE 4425</v>
      </c>
      <c r="K3857" s="6" t="str">
        <f>"0820"</f>
        <v>0820</v>
      </c>
      <c r="L3857" s="6" t="str">
        <f t="shared" si="970"/>
        <v>Cozinha</v>
      </c>
      <c r="M3857" s="6" t="str">
        <f>"50x50"</f>
        <v>50x50</v>
      </c>
      <c r="N3857" s="6" t="str">
        <f>"5602972521481"</f>
        <v>5602972521481</v>
      </c>
      <c r="O3857" s="8">
        <v>2000</v>
      </c>
      <c r="P3857" s="7">
        <v>46010</v>
      </c>
      <c r="R3857" s="8">
        <v>2092</v>
      </c>
      <c r="S3857" s="7">
        <v>46015</v>
      </c>
      <c r="U3857" s="8">
        <v>2092</v>
      </c>
      <c r="V3857" s="7">
        <v>46028</v>
      </c>
      <c r="X3857" s="8">
        <v>0</v>
      </c>
      <c r="Z3857" s="8">
        <v>2092</v>
      </c>
      <c r="AA3857" s="7">
        <v>46042</v>
      </c>
      <c r="AC3857" s="8">
        <v>0</v>
      </c>
      <c r="AE3857" s="7">
        <v>46045</v>
      </c>
      <c r="AF3857" s="8">
        <v>0</v>
      </c>
      <c r="AH3857" s="7">
        <v>46045</v>
      </c>
      <c r="AN3857" s="8">
        <v>0</v>
      </c>
      <c r="AO3857" s="8">
        <v>2000</v>
      </c>
    </row>
    <row r="3858" spans="1:41" x14ac:dyDescent="0.25">
      <c r="A3858" s="6" t="str">
        <f t="shared" si="976"/>
        <v>525-2025000466</v>
      </c>
      <c r="B3858" s="6" t="str">
        <f t="shared" si="973"/>
        <v>Lasa Int</v>
      </c>
      <c r="C3858" s="7">
        <v>45922</v>
      </c>
      <c r="D3858" s="7">
        <v>46068</v>
      </c>
      <c r="E3858" s="8">
        <v>5</v>
      </c>
      <c r="F3858" s="6" t="str">
        <f t="shared" si="977"/>
        <v>Mar</v>
      </c>
      <c r="G3858" s="6" t="str">
        <f>"J001244026000000"</f>
        <v>J001244026000000</v>
      </c>
      <c r="H3858" s="6" t="str">
        <f>"CZJ 2440-2441-2442-2"</f>
        <v>CZJ 2440-2441-2442-2</v>
      </c>
      <c r="I3858" s="6" t="str">
        <f>"201736"</f>
        <v>201736</v>
      </c>
      <c r="J3858" s="6" t="str">
        <f>"TURQUESA 1736"</f>
        <v>TURQUESA 1736</v>
      </c>
      <c r="K3858" s="6" t="str">
        <f>"0830"</f>
        <v>0830</v>
      </c>
      <c r="L3858" s="6" t="str">
        <f t="shared" si="970"/>
        <v>Cozinha</v>
      </c>
      <c r="M3858" s="6" t="str">
        <f>"50x70"</f>
        <v>50x70</v>
      </c>
      <c r="N3858" s="6" t="str">
        <f>"5602972521498"</f>
        <v>5602972521498</v>
      </c>
      <c r="O3858" s="8">
        <v>1000</v>
      </c>
      <c r="P3858" s="7">
        <v>46010</v>
      </c>
      <c r="R3858" s="8">
        <v>1056</v>
      </c>
      <c r="S3858" s="7">
        <v>46015</v>
      </c>
      <c r="U3858" s="8">
        <v>1056</v>
      </c>
      <c r="V3858" s="7">
        <v>46028</v>
      </c>
      <c r="X3858" s="8">
        <v>0</v>
      </c>
      <c r="Z3858" s="8">
        <v>1056</v>
      </c>
      <c r="AA3858" s="7">
        <v>46042</v>
      </c>
      <c r="AC3858" s="8">
        <v>0</v>
      </c>
      <c r="AE3858" s="7">
        <v>46045</v>
      </c>
      <c r="AF3858" s="8">
        <v>0</v>
      </c>
      <c r="AH3858" s="7">
        <v>46045</v>
      </c>
      <c r="AN3858" s="8">
        <v>0</v>
      </c>
      <c r="AO3858" s="8">
        <v>1000</v>
      </c>
    </row>
    <row r="3859" spans="1:41" x14ac:dyDescent="0.25">
      <c r="A3859" s="6" t="str">
        <f t="shared" si="976"/>
        <v>525-2025000466</v>
      </c>
      <c r="B3859" s="6" t="str">
        <f t="shared" si="973"/>
        <v>Lasa Int</v>
      </c>
      <c r="C3859" s="7">
        <v>45922</v>
      </c>
      <c r="D3859" s="7">
        <v>46068</v>
      </c>
      <c r="E3859" s="8">
        <v>6</v>
      </c>
      <c r="F3859" s="6" t="str">
        <f t="shared" si="977"/>
        <v>Mar</v>
      </c>
      <c r="G3859" s="6" t="str">
        <f>"J001244026000000"</f>
        <v>J001244026000000</v>
      </c>
      <c r="H3859" s="6" t="str">
        <f>"CZJ 2440-2441-2442-2"</f>
        <v>CZJ 2440-2441-2442-2</v>
      </c>
      <c r="I3859" s="6" t="str">
        <f>"201915"</f>
        <v>201915</v>
      </c>
      <c r="J3859" s="6" t="str">
        <f>"CINZA 1915"</f>
        <v>CINZA 1915</v>
      </c>
      <c r="K3859" s="6" t="str">
        <f>"0830"</f>
        <v>0830</v>
      </c>
      <c r="L3859" s="6" t="str">
        <f t="shared" si="970"/>
        <v>Cozinha</v>
      </c>
      <c r="M3859" s="6" t="str">
        <f>"50x70"</f>
        <v>50x70</v>
      </c>
      <c r="N3859" s="6" t="str">
        <f>"5602972521504"</f>
        <v>5602972521504</v>
      </c>
      <c r="O3859" s="8">
        <v>1000</v>
      </c>
      <c r="P3859" s="7">
        <v>46010</v>
      </c>
      <c r="R3859" s="8">
        <v>1056</v>
      </c>
      <c r="S3859" s="7">
        <v>46015</v>
      </c>
      <c r="U3859" s="8">
        <v>1056</v>
      </c>
      <c r="V3859" s="7">
        <v>46028</v>
      </c>
      <c r="X3859" s="8">
        <v>0</v>
      </c>
      <c r="Z3859" s="8">
        <v>1056</v>
      </c>
      <c r="AA3859" s="7">
        <v>46042</v>
      </c>
      <c r="AC3859" s="8">
        <v>0</v>
      </c>
      <c r="AE3859" s="7">
        <v>46045</v>
      </c>
      <c r="AF3859" s="8">
        <v>0</v>
      </c>
      <c r="AH3859" s="7">
        <v>46045</v>
      </c>
      <c r="AN3859" s="8">
        <v>0</v>
      </c>
      <c r="AO3859" s="8">
        <v>1000</v>
      </c>
    </row>
    <row r="3860" spans="1:41" x14ac:dyDescent="0.25">
      <c r="A3860" s="6" t="str">
        <f t="shared" si="976"/>
        <v>525-2025000466</v>
      </c>
      <c r="B3860" s="6" t="str">
        <f t="shared" si="973"/>
        <v>Lasa Int</v>
      </c>
      <c r="C3860" s="7">
        <v>45922</v>
      </c>
      <c r="D3860" s="7">
        <v>46068</v>
      </c>
      <c r="E3860" s="8">
        <v>7</v>
      </c>
      <c r="F3860" s="6" t="str">
        <f t="shared" si="977"/>
        <v>Mar</v>
      </c>
      <c r="G3860" s="6" t="str">
        <f>"J001244026000000"</f>
        <v>J001244026000000</v>
      </c>
      <c r="H3860" s="6" t="str">
        <f>"CZJ 2440-2441-2442-2"</f>
        <v>CZJ 2440-2441-2442-2</v>
      </c>
      <c r="I3860" s="6" t="str">
        <f>"203323"</f>
        <v>203323</v>
      </c>
      <c r="J3860" s="6" t="str">
        <f>"LARANJA 3323"</f>
        <v>LARANJA 3323</v>
      </c>
      <c r="K3860" s="6" t="str">
        <f>"0830"</f>
        <v>0830</v>
      </c>
      <c r="L3860" s="6" t="str">
        <f t="shared" si="970"/>
        <v>Cozinha</v>
      </c>
      <c r="M3860" s="6" t="str">
        <f>"50x70"</f>
        <v>50x70</v>
      </c>
      <c r="N3860" s="6" t="str">
        <f>"5602972521511"</f>
        <v>5602972521511</v>
      </c>
      <c r="O3860" s="8">
        <v>1000</v>
      </c>
      <c r="P3860" s="7">
        <v>46010</v>
      </c>
      <c r="R3860" s="8">
        <v>1056</v>
      </c>
      <c r="S3860" s="7">
        <v>46015</v>
      </c>
      <c r="U3860" s="8">
        <v>1056</v>
      </c>
      <c r="V3860" s="7">
        <v>46028</v>
      </c>
      <c r="X3860" s="8">
        <v>0</v>
      </c>
      <c r="Z3860" s="8">
        <v>1056</v>
      </c>
      <c r="AA3860" s="7">
        <v>46042</v>
      </c>
      <c r="AC3860" s="8">
        <v>0</v>
      </c>
      <c r="AE3860" s="7">
        <v>46045</v>
      </c>
      <c r="AF3860" s="8">
        <v>0</v>
      </c>
      <c r="AH3860" s="7">
        <v>46045</v>
      </c>
      <c r="AN3860" s="8">
        <v>0</v>
      </c>
      <c r="AO3860" s="8">
        <v>1000</v>
      </c>
    </row>
    <row r="3861" spans="1:41" x14ac:dyDescent="0.25">
      <c r="A3861" s="6" t="str">
        <f t="shared" si="976"/>
        <v>525-2025000466</v>
      </c>
      <c r="B3861" s="6" t="str">
        <f t="shared" si="973"/>
        <v>Lasa Int</v>
      </c>
      <c r="C3861" s="7">
        <v>45922</v>
      </c>
      <c r="D3861" s="7">
        <v>46068</v>
      </c>
      <c r="E3861" s="8">
        <v>8</v>
      </c>
      <c r="F3861" s="6" t="str">
        <f t="shared" si="977"/>
        <v>Mar</v>
      </c>
      <c r="G3861" s="6" t="str">
        <f>"J001244026000000"</f>
        <v>J001244026000000</v>
      </c>
      <c r="H3861" s="6" t="str">
        <f>"CZJ 2440-2441-2442-2"</f>
        <v>CZJ 2440-2441-2442-2</v>
      </c>
      <c r="I3861" s="6" t="str">
        <f>"204425"</f>
        <v>204425</v>
      </c>
      <c r="J3861" s="6" t="str">
        <f>"VERDE 4425"</f>
        <v>VERDE 4425</v>
      </c>
      <c r="K3861" s="6" t="str">
        <f>"0830"</f>
        <v>0830</v>
      </c>
      <c r="L3861" s="6" t="str">
        <f t="shared" si="970"/>
        <v>Cozinha</v>
      </c>
      <c r="M3861" s="6" t="str">
        <f>"50x70"</f>
        <v>50x70</v>
      </c>
      <c r="N3861" s="6" t="str">
        <f>"5602972521528"</f>
        <v>5602972521528</v>
      </c>
      <c r="O3861" s="8">
        <v>1000</v>
      </c>
      <c r="P3861" s="7">
        <v>46010</v>
      </c>
      <c r="R3861" s="8">
        <v>1024</v>
      </c>
      <c r="S3861" s="7">
        <v>46015</v>
      </c>
      <c r="U3861" s="8">
        <v>1024</v>
      </c>
      <c r="V3861" s="7">
        <v>46028</v>
      </c>
      <c r="X3861" s="8">
        <v>0</v>
      </c>
      <c r="Z3861" s="8">
        <v>1024</v>
      </c>
      <c r="AA3861" s="7">
        <v>46042</v>
      </c>
      <c r="AC3861" s="8">
        <v>0</v>
      </c>
      <c r="AE3861" s="7">
        <v>46045</v>
      </c>
      <c r="AF3861" s="8">
        <v>0</v>
      </c>
      <c r="AH3861" s="7">
        <v>46045</v>
      </c>
      <c r="AN3861" s="8">
        <v>0</v>
      </c>
      <c r="AO3861" s="8">
        <v>1000</v>
      </c>
    </row>
    <row r="3862" spans="1:41" x14ac:dyDescent="0.25">
      <c r="A3862" s="6" t="str">
        <f t="shared" ref="A3862:A3869" si="978">"525-2025000468"</f>
        <v>525-2025000468</v>
      </c>
      <c r="B3862" s="6" t="str">
        <f t="shared" si="973"/>
        <v>Lasa Int</v>
      </c>
      <c r="C3862" s="7">
        <v>45923</v>
      </c>
      <c r="D3862" s="7">
        <v>46068</v>
      </c>
      <c r="E3862" s="8">
        <v>1</v>
      </c>
      <c r="F3862" s="6" t="str">
        <f t="shared" ref="F3862:F3869" si="979">"Animais"</f>
        <v>Animais</v>
      </c>
      <c r="G3862" s="6" t="str">
        <f>"J310635644000000"</f>
        <v>J310635644000000</v>
      </c>
      <c r="H3862" s="6" t="str">
        <f>"PLAR 6356-6357-6358-"</f>
        <v>PLAR 6356-6357-6358-</v>
      </c>
      <c r="I3862" s="6" t="str">
        <f>"202362"</f>
        <v>202362</v>
      </c>
      <c r="J3862" s="6" t="str">
        <f>"AZUL 2362"</f>
        <v>AZUL 2362</v>
      </c>
      <c r="K3862" s="6" t="str">
        <f>"0820"</f>
        <v>0820</v>
      </c>
      <c r="L3862" s="6" t="str">
        <f t="shared" ref="L3862:L3883" si="980">"Cozinha"</f>
        <v>Cozinha</v>
      </c>
      <c r="M3862" s="6" t="str">
        <f>"50x50"</f>
        <v>50x50</v>
      </c>
      <c r="N3862" s="6" t="str">
        <f>"5602972521535"</f>
        <v>5602972521535</v>
      </c>
      <c r="O3862" s="8">
        <v>2000</v>
      </c>
      <c r="P3862" s="7">
        <v>46010</v>
      </c>
      <c r="R3862" s="8">
        <v>2136</v>
      </c>
      <c r="S3862" s="7">
        <v>46015</v>
      </c>
      <c r="U3862" s="8">
        <v>2136</v>
      </c>
      <c r="V3862" s="7">
        <v>46028</v>
      </c>
      <c r="X3862" s="8">
        <v>0</v>
      </c>
      <c r="Z3862" s="8">
        <v>2136</v>
      </c>
      <c r="AA3862" s="7">
        <v>46042</v>
      </c>
      <c r="AC3862" s="8">
        <v>0</v>
      </c>
      <c r="AE3862" s="7">
        <v>46045</v>
      </c>
      <c r="AF3862" s="8">
        <v>0</v>
      </c>
      <c r="AH3862" s="7">
        <v>46045</v>
      </c>
      <c r="AN3862" s="8">
        <v>0</v>
      </c>
      <c r="AO3862" s="8">
        <v>2000</v>
      </c>
    </row>
    <row r="3863" spans="1:41" x14ac:dyDescent="0.25">
      <c r="A3863" s="6" t="str">
        <f t="shared" si="978"/>
        <v>525-2025000468</v>
      </c>
      <c r="B3863" s="6" t="str">
        <f t="shared" si="973"/>
        <v>Lasa Int</v>
      </c>
      <c r="C3863" s="7">
        <v>45923</v>
      </c>
      <c r="D3863" s="7">
        <v>46068</v>
      </c>
      <c r="E3863" s="8">
        <v>2</v>
      </c>
      <c r="F3863" s="6" t="str">
        <f t="shared" si="979"/>
        <v>Animais</v>
      </c>
      <c r="G3863" s="6" t="str">
        <f>"J310635644000000"</f>
        <v>J310635644000000</v>
      </c>
      <c r="H3863" s="6" t="str">
        <f>"PLAR 6356-6357-6358-"</f>
        <v>PLAR 6356-6357-6358-</v>
      </c>
      <c r="I3863" s="6" t="str">
        <f>"202430"</f>
        <v>202430</v>
      </c>
      <c r="J3863" s="6" t="str">
        <f>"CINZA 2430"</f>
        <v>CINZA 2430</v>
      </c>
      <c r="K3863" s="6" t="str">
        <f>"0820"</f>
        <v>0820</v>
      </c>
      <c r="L3863" s="6" t="str">
        <f t="shared" si="980"/>
        <v>Cozinha</v>
      </c>
      <c r="M3863" s="6" t="str">
        <f>"50x50"</f>
        <v>50x50</v>
      </c>
      <c r="N3863" s="6" t="str">
        <f>"5602972521542"</f>
        <v>5602972521542</v>
      </c>
      <c r="O3863" s="8">
        <v>2000</v>
      </c>
      <c r="P3863" s="7">
        <v>46010</v>
      </c>
      <c r="R3863" s="8">
        <v>2180</v>
      </c>
      <c r="S3863" s="7">
        <v>46015</v>
      </c>
      <c r="U3863" s="8">
        <v>2180</v>
      </c>
      <c r="V3863" s="7">
        <v>46028</v>
      </c>
      <c r="X3863" s="8">
        <v>0</v>
      </c>
      <c r="Z3863" s="8">
        <v>2180</v>
      </c>
      <c r="AA3863" s="7">
        <v>46042</v>
      </c>
      <c r="AC3863" s="8">
        <v>0</v>
      </c>
      <c r="AE3863" s="7">
        <v>46045</v>
      </c>
      <c r="AF3863" s="8">
        <v>0</v>
      </c>
      <c r="AH3863" s="7">
        <v>46045</v>
      </c>
      <c r="AN3863" s="8">
        <v>0</v>
      </c>
      <c r="AO3863" s="8">
        <v>2000</v>
      </c>
    </row>
    <row r="3864" spans="1:41" x14ac:dyDescent="0.25">
      <c r="A3864" s="6" t="str">
        <f t="shared" si="978"/>
        <v>525-2025000468</v>
      </c>
      <c r="B3864" s="6" t="str">
        <f t="shared" si="973"/>
        <v>Lasa Int</v>
      </c>
      <c r="C3864" s="7">
        <v>45923</v>
      </c>
      <c r="D3864" s="7">
        <v>46068</v>
      </c>
      <c r="E3864" s="8">
        <v>3</v>
      </c>
      <c r="F3864" s="6" t="str">
        <f t="shared" si="979"/>
        <v>Animais</v>
      </c>
      <c r="G3864" s="6" t="str">
        <f>"J310635644000000"</f>
        <v>J310635644000000</v>
      </c>
      <c r="H3864" s="6" t="str">
        <f>"PLAR 6356-6357-6358-"</f>
        <v>PLAR 6356-6357-6358-</v>
      </c>
      <c r="I3864" s="6" t="str">
        <f>"202659"</f>
        <v>202659</v>
      </c>
      <c r="J3864" s="6" t="str">
        <f>"VERMELHO 2659"</f>
        <v>VERMELHO 2659</v>
      </c>
      <c r="K3864" s="6" t="str">
        <f>"0820"</f>
        <v>0820</v>
      </c>
      <c r="L3864" s="6" t="str">
        <f t="shared" si="980"/>
        <v>Cozinha</v>
      </c>
      <c r="M3864" s="6" t="str">
        <f>"50x50"</f>
        <v>50x50</v>
      </c>
      <c r="N3864" s="6" t="str">
        <f>"5602972521559"</f>
        <v>5602972521559</v>
      </c>
      <c r="O3864" s="8">
        <v>2000</v>
      </c>
      <c r="P3864" s="7">
        <v>46010</v>
      </c>
      <c r="R3864" s="8">
        <v>2144</v>
      </c>
      <c r="S3864" s="7">
        <v>46015</v>
      </c>
      <c r="U3864" s="8">
        <v>2144</v>
      </c>
      <c r="V3864" s="7">
        <v>46028</v>
      </c>
      <c r="X3864" s="8">
        <v>0</v>
      </c>
      <c r="Z3864" s="8">
        <v>2144</v>
      </c>
      <c r="AA3864" s="7">
        <v>46042</v>
      </c>
      <c r="AC3864" s="8">
        <v>0</v>
      </c>
      <c r="AE3864" s="7">
        <v>46045</v>
      </c>
      <c r="AF3864" s="8">
        <v>0</v>
      </c>
      <c r="AH3864" s="7">
        <v>46045</v>
      </c>
      <c r="AN3864" s="8">
        <v>0</v>
      </c>
      <c r="AO3864" s="8">
        <v>2000</v>
      </c>
    </row>
    <row r="3865" spans="1:41" x14ac:dyDescent="0.25">
      <c r="A3865" s="6" t="str">
        <f t="shared" si="978"/>
        <v>525-2025000468</v>
      </c>
      <c r="B3865" s="6" t="str">
        <f t="shared" si="973"/>
        <v>Lasa Int</v>
      </c>
      <c r="C3865" s="7">
        <v>45923</v>
      </c>
      <c r="D3865" s="7">
        <v>46068</v>
      </c>
      <c r="E3865" s="8">
        <v>4</v>
      </c>
      <c r="F3865" s="6" t="str">
        <f t="shared" si="979"/>
        <v>Animais</v>
      </c>
      <c r="G3865" s="6" t="str">
        <f>"J310635644000000"</f>
        <v>J310635644000000</v>
      </c>
      <c r="H3865" s="6" t="str">
        <f>"PLAR 6356-6357-6358-"</f>
        <v>PLAR 6356-6357-6358-</v>
      </c>
      <c r="I3865" s="6" t="str">
        <f>"203535"</f>
        <v>203535</v>
      </c>
      <c r="J3865" s="6" t="str">
        <f>"VERDE 3535"</f>
        <v>VERDE 3535</v>
      </c>
      <c r="K3865" s="6" t="str">
        <f>"0820"</f>
        <v>0820</v>
      </c>
      <c r="L3865" s="6" t="str">
        <f t="shared" si="980"/>
        <v>Cozinha</v>
      </c>
      <c r="M3865" s="6" t="str">
        <f>"50x50"</f>
        <v>50x50</v>
      </c>
      <c r="N3865" s="6" t="str">
        <f>"5602972521566"</f>
        <v>5602972521566</v>
      </c>
      <c r="O3865" s="8">
        <v>2000</v>
      </c>
      <c r="P3865" s="7">
        <v>46010</v>
      </c>
      <c r="R3865" s="8">
        <v>2156</v>
      </c>
      <c r="S3865" s="7">
        <v>46015</v>
      </c>
      <c r="U3865" s="8">
        <v>2156</v>
      </c>
      <c r="V3865" s="7">
        <v>46028</v>
      </c>
      <c r="X3865" s="8">
        <v>0</v>
      </c>
      <c r="Z3865" s="8">
        <v>2156</v>
      </c>
      <c r="AA3865" s="7">
        <v>46042</v>
      </c>
      <c r="AC3865" s="8">
        <v>0</v>
      </c>
      <c r="AE3865" s="7">
        <v>46045</v>
      </c>
      <c r="AF3865" s="8">
        <v>0</v>
      </c>
      <c r="AH3865" s="7">
        <v>46045</v>
      </c>
      <c r="AN3865" s="8">
        <v>0</v>
      </c>
      <c r="AO3865" s="8">
        <v>2000</v>
      </c>
    </row>
    <row r="3866" spans="1:41" x14ac:dyDescent="0.25">
      <c r="A3866" s="6" t="str">
        <f t="shared" si="978"/>
        <v>525-2025000468</v>
      </c>
      <c r="B3866" s="6" t="str">
        <f t="shared" si="973"/>
        <v>Lasa Int</v>
      </c>
      <c r="C3866" s="7">
        <v>45923</v>
      </c>
      <c r="D3866" s="7">
        <v>46068</v>
      </c>
      <c r="E3866" s="8">
        <v>5</v>
      </c>
      <c r="F3866" s="6" t="str">
        <f t="shared" si="979"/>
        <v>Animais</v>
      </c>
      <c r="G3866" s="6" t="str">
        <f>"J001244526000000"</f>
        <v>J001244526000000</v>
      </c>
      <c r="H3866" s="6" t="str">
        <f>"CZJ 2445-2446-2447-2"</f>
        <v>CZJ 2445-2446-2447-2</v>
      </c>
      <c r="I3866" s="6" t="str">
        <f>"202362"</f>
        <v>202362</v>
      </c>
      <c r="J3866" s="6" t="str">
        <f>"AZUL 2362"</f>
        <v>AZUL 2362</v>
      </c>
      <c r="K3866" s="6" t="str">
        <f>"0830"</f>
        <v>0830</v>
      </c>
      <c r="L3866" s="6" t="str">
        <f t="shared" si="980"/>
        <v>Cozinha</v>
      </c>
      <c r="M3866" s="6" t="str">
        <f>"50x70"</f>
        <v>50x70</v>
      </c>
      <c r="N3866" s="6" t="str">
        <f>"5602972521573"</f>
        <v>5602972521573</v>
      </c>
      <c r="O3866" s="8">
        <v>1000</v>
      </c>
      <c r="P3866" s="7">
        <v>46010</v>
      </c>
      <c r="R3866" s="8">
        <v>1104</v>
      </c>
      <c r="S3866" s="7">
        <v>46015</v>
      </c>
      <c r="U3866" s="8">
        <v>1104</v>
      </c>
      <c r="V3866" s="7">
        <v>46028</v>
      </c>
      <c r="X3866" s="8">
        <v>0</v>
      </c>
      <c r="Z3866" s="8">
        <v>1104</v>
      </c>
      <c r="AA3866" s="7">
        <v>46042</v>
      </c>
      <c r="AC3866" s="8">
        <v>0</v>
      </c>
      <c r="AE3866" s="7">
        <v>46045</v>
      </c>
      <c r="AF3866" s="8">
        <v>0</v>
      </c>
      <c r="AH3866" s="7">
        <v>46045</v>
      </c>
      <c r="AN3866" s="8">
        <v>0</v>
      </c>
      <c r="AO3866" s="8">
        <v>1000</v>
      </c>
    </row>
    <row r="3867" spans="1:41" x14ac:dyDescent="0.25">
      <c r="A3867" s="6" t="str">
        <f t="shared" si="978"/>
        <v>525-2025000468</v>
      </c>
      <c r="B3867" s="6" t="str">
        <f t="shared" si="973"/>
        <v>Lasa Int</v>
      </c>
      <c r="C3867" s="7">
        <v>45923</v>
      </c>
      <c r="D3867" s="7">
        <v>46068</v>
      </c>
      <c r="E3867" s="8">
        <v>6</v>
      </c>
      <c r="F3867" s="6" t="str">
        <f t="shared" si="979"/>
        <v>Animais</v>
      </c>
      <c r="G3867" s="6" t="str">
        <f>"J001244526000000"</f>
        <v>J001244526000000</v>
      </c>
      <c r="H3867" s="6" t="str">
        <f>"CZJ 2445-2446-2447-2"</f>
        <v>CZJ 2445-2446-2447-2</v>
      </c>
      <c r="I3867" s="6" t="str">
        <f>"202430"</f>
        <v>202430</v>
      </c>
      <c r="J3867" s="6" t="str">
        <f>"CINZA 2430"</f>
        <v>CINZA 2430</v>
      </c>
      <c r="K3867" s="6" t="str">
        <f>"0830"</f>
        <v>0830</v>
      </c>
      <c r="L3867" s="6" t="str">
        <f t="shared" si="980"/>
        <v>Cozinha</v>
      </c>
      <c r="M3867" s="6" t="str">
        <f>"50x70"</f>
        <v>50x70</v>
      </c>
      <c r="N3867" s="6" t="str">
        <f>"5602972521580"</f>
        <v>5602972521580</v>
      </c>
      <c r="O3867" s="8">
        <v>1000</v>
      </c>
      <c r="P3867" s="7">
        <v>46010</v>
      </c>
      <c r="R3867" s="8">
        <v>1108</v>
      </c>
      <c r="S3867" s="7">
        <v>46015</v>
      </c>
      <c r="U3867" s="8">
        <v>1108</v>
      </c>
      <c r="V3867" s="7">
        <v>46028</v>
      </c>
      <c r="X3867" s="8">
        <v>0</v>
      </c>
      <c r="Z3867" s="8">
        <v>1108</v>
      </c>
      <c r="AA3867" s="7">
        <v>46042</v>
      </c>
      <c r="AC3867" s="8">
        <v>0</v>
      </c>
      <c r="AE3867" s="7">
        <v>46045</v>
      </c>
      <c r="AF3867" s="8">
        <v>0</v>
      </c>
      <c r="AH3867" s="7">
        <v>46045</v>
      </c>
      <c r="AN3867" s="8">
        <v>0</v>
      </c>
      <c r="AO3867" s="8">
        <v>1000</v>
      </c>
    </row>
    <row r="3868" spans="1:41" x14ac:dyDescent="0.25">
      <c r="A3868" s="6" t="str">
        <f t="shared" si="978"/>
        <v>525-2025000468</v>
      </c>
      <c r="B3868" s="6" t="str">
        <f t="shared" si="973"/>
        <v>Lasa Int</v>
      </c>
      <c r="C3868" s="7">
        <v>45923</v>
      </c>
      <c r="D3868" s="7">
        <v>46068</v>
      </c>
      <c r="E3868" s="8">
        <v>7</v>
      </c>
      <c r="F3868" s="6" t="str">
        <f t="shared" si="979"/>
        <v>Animais</v>
      </c>
      <c r="G3868" s="6" t="str">
        <f>"J001244526000000"</f>
        <v>J001244526000000</v>
      </c>
      <c r="H3868" s="6" t="str">
        <f>"CZJ 2445-2446-2447-2"</f>
        <v>CZJ 2445-2446-2447-2</v>
      </c>
      <c r="I3868" s="6" t="str">
        <f>"202659"</f>
        <v>202659</v>
      </c>
      <c r="J3868" s="6" t="str">
        <f>"VERMELHO 2659"</f>
        <v>VERMELHO 2659</v>
      </c>
      <c r="K3868" s="6" t="str">
        <f>"0830"</f>
        <v>0830</v>
      </c>
      <c r="L3868" s="6" t="str">
        <f t="shared" si="980"/>
        <v>Cozinha</v>
      </c>
      <c r="M3868" s="6" t="str">
        <f>"50x70"</f>
        <v>50x70</v>
      </c>
      <c r="N3868" s="6" t="str">
        <f>"5602972521597"</f>
        <v>5602972521597</v>
      </c>
      <c r="O3868" s="8">
        <v>1000</v>
      </c>
      <c r="P3868" s="7">
        <v>46010</v>
      </c>
      <c r="R3868" s="8">
        <v>1092</v>
      </c>
      <c r="S3868" s="7">
        <v>46015</v>
      </c>
      <c r="U3868" s="8">
        <v>1092</v>
      </c>
      <c r="V3868" s="7">
        <v>46028</v>
      </c>
      <c r="X3868" s="8">
        <v>0</v>
      </c>
      <c r="Z3868" s="8">
        <v>1092</v>
      </c>
      <c r="AA3868" s="7">
        <v>46042</v>
      </c>
      <c r="AC3868" s="8">
        <v>0</v>
      </c>
      <c r="AE3868" s="7">
        <v>46045</v>
      </c>
      <c r="AF3868" s="8">
        <v>0</v>
      </c>
      <c r="AH3868" s="7">
        <v>46045</v>
      </c>
      <c r="AN3868" s="8">
        <v>0</v>
      </c>
      <c r="AO3868" s="8">
        <v>1000</v>
      </c>
    </row>
    <row r="3869" spans="1:41" x14ac:dyDescent="0.25">
      <c r="A3869" s="6" t="str">
        <f t="shared" si="978"/>
        <v>525-2025000468</v>
      </c>
      <c r="B3869" s="6" t="str">
        <f t="shared" si="973"/>
        <v>Lasa Int</v>
      </c>
      <c r="C3869" s="7">
        <v>45923</v>
      </c>
      <c r="D3869" s="7">
        <v>46068</v>
      </c>
      <c r="E3869" s="8">
        <v>8</v>
      </c>
      <c r="F3869" s="6" t="str">
        <f t="shared" si="979"/>
        <v>Animais</v>
      </c>
      <c r="G3869" s="6" t="str">
        <f>"J001244526000000"</f>
        <v>J001244526000000</v>
      </c>
      <c r="H3869" s="6" t="str">
        <f>"CZJ 2445-2446-2447-2"</f>
        <v>CZJ 2445-2446-2447-2</v>
      </c>
      <c r="I3869" s="6" t="str">
        <f>"203535"</f>
        <v>203535</v>
      </c>
      <c r="J3869" s="6" t="str">
        <f>"VERDE 3535"</f>
        <v>VERDE 3535</v>
      </c>
      <c r="K3869" s="6" t="str">
        <f>"0830"</f>
        <v>0830</v>
      </c>
      <c r="L3869" s="6" t="str">
        <f t="shared" si="980"/>
        <v>Cozinha</v>
      </c>
      <c r="M3869" s="6" t="str">
        <f>"50x70"</f>
        <v>50x70</v>
      </c>
      <c r="N3869" s="6" t="str">
        <f>"5602972521603"</f>
        <v>5602972521603</v>
      </c>
      <c r="O3869" s="8">
        <v>1000</v>
      </c>
      <c r="P3869" s="7">
        <v>46010</v>
      </c>
      <c r="R3869" s="8">
        <v>1104</v>
      </c>
      <c r="S3869" s="7">
        <v>46015</v>
      </c>
      <c r="U3869" s="8">
        <v>1104</v>
      </c>
      <c r="V3869" s="7">
        <v>46028</v>
      </c>
      <c r="X3869" s="8">
        <v>0</v>
      </c>
      <c r="Z3869" s="8">
        <v>1104</v>
      </c>
      <c r="AA3869" s="7">
        <v>46042</v>
      </c>
      <c r="AC3869" s="8">
        <v>0</v>
      </c>
      <c r="AE3869" s="7">
        <v>46045</v>
      </c>
      <c r="AF3869" s="8">
        <v>0</v>
      </c>
      <c r="AH3869" s="7">
        <v>46045</v>
      </c>
      <c r="AN3869" s="8">
        <v>0</v>
      </c>
      <c r="AO3869" s="8">
        <v>1000</v>
      </c>
    </row>
    <row r="3870" spans="1:41" x14ac:dyDescent="0.25">
      <c r="A3870" s="6" t="str">
        <f t="shared" ref="A3870:A3877" si="981">"525-2025000469"</f>
        <v>525-2025000469</v>
      </c>
      <c r="B3870" s="6" t="str">
        <f t="shared" si="973"/>
        <v>Lasa Int</v>
      </c>
      <c r="C3870" s="7">
        <v>45923</v>
      </c>
      <c r="D3870" s="7">
        <v>46068</v>
      </c>
      <c r="E3870" s="8">
        <v>1</v>
      </c>
      <c r="F3870" s="6" t="str">
        <f t="shared" ref="F3870:F3877" si="982">"Love"</f>
        <v>Love</v>
      </c>
      <c r="G3870" s="6" t="str">
        <f>"F320120144000000"</f>
        <v>F320120144000000</v>
      </c>
      <c r="H3870" s="6" t="str">
        <f>"PL 1201 - 440 g/m²"</f>
        <v>PL 1201 - 440 g/m²</v>
      </c>
      <c r="I3870" s="6" t="str">
        <f>"200782"</f>
        <v>200782</v>
      </c>
      <c r="J3870" s="6" t="str">
        <f>"ROSA 782"</f>
        <v>ROSA 782</v>
      </c>
      <c r="K3870" s="6" t="str">
        <f>"0820"</f>
        <v>0820</v>
      </c>
      <c r="L3870" s="6" t="str">
        <f t="shared" si="980"/>
        <v>Cozinha</v>
      </c>
      <c r="M3870" s="6" t="str">
        <f>"50x50"</f>
        <v>50x50</v>
      </c>
      <c r="N3870" s="6" t="str">
        <f>"5602972521610"</f>
        <v>5602972521610</v>
      </c>
      <c r="O3870" s="8">
        <v>1800</v>
      </c>
      <c r="P3870" s="7">
        <v>46010</v>
      </c>
      <c r="R3870" s="8">
        <v>1908</v>
      </c>
      <c r="S3870" s="7">
        <v>46015</v>
      </c>
      <c r="U3870" s="8">
        <v>1908</v>
      </c>
      <c r="V3870" s="7">
        <v>46028</v>
      </c>
      <c r="X3870" s="8">
        <v>0</v>
      </c>
      <c r="Z3870" s="8">
        <v>1908</v>
      </c>
      <c r="AA3870" s="7">
        <v>46042</v>
      </c>
      <c r="AC3870" s="8">
        <v>0</v>
      </c>
      <c r="AE3870" s="7">
        <v>46045</v>
      </c>
      <c r="AF3870" s="8">
        <v>0</v>
      </c>
      <c r="AH3870" s="7">
        <v>46045</v>
      </c>
      <c r="AN3870" s="8">
        <v>0</v>
      </c>
      <c r="AO3870" s="8">
        <v>1800</v>
      </c>
    </row>
    <row r="3871" spans="1:41" x14ac:dyDescent="0.25">
      <c r="A3871" s="6" t="str">
        <f t="shared" si="981"/>
        <v>525-2025000469</v>
      </c>
      <c r="B3871" s="6" t="str">
        <f t="shared" si="973"/>
        <v>Lasa Int</v>
      </c>
      <c r="C3871" s="7">
        <v>45923</v>
      </c>
      <c r="D3871" s="7">
        <v>46068</v>
      </c>
      <c r="E3871" s="8">
        <v>2</v>
      </c>
      <c r="F3871" s="6" t="str">
        <f t="shared" si="982"/>
        <v>Love</v>
      </c>
      <c r="G3871" s="6" t="str">
        <f>"F320120144000000"</f>
        <v>F320120144000000</v>
      </c>
      <c r="H3871" s="6" t="str">
        <f>"PL 1201 - 440 g/m²"</f>
        <v>PL 1201 - 440 g/m²</v>
      </c>
      <c r="I3871" s="6" t="str">
        <f>"201699"</f>
        <v>201699</v>
      </c>
      <c r="J3871" s="6" t="str">
        <f>"BEGE 1699"</f>
        <v>BEGE 1699</v>
      </c>
      <c r="K3871" s="6" t="str">
        <f>"0820"</f>
        <v>0820</v>
      </c>
      <c r="L3871" s="6" t="str">
        <f t="shared" si="980"/>
        <v>Cozinha</v>
      </c>
      <c r="M3871" s="6" t="str">
        <f>"50x50"</f>
        <v>50x50</v>
      </c>
      <c r="N3871" s="6" t="str">
        <f>"5602972521627"</f>
        <v>5602972521627</v>
      </c>
      <c r="O3871" s="8">
        <v>1800</v>
      </c>
      <c r="P3871" s="7">
        <v>46010</v>
      </c>
      <c r="R3871" s="8">
        <v>1896</v>
      </c>
      <c r="S3871" s="7">
        <v>46015</v>
      </c>
      <c r="U3871" s="8">
        <v>1896</v>
      </c>
      <c r="V3871" s="7">
        <v>46028</v>
      </c>
      <c r="X3871" s="8">
        <v>0</v>
      </c>
      <c r="Z3871" s="8">
        <v>1896</v>
      </c>
      <c r="AA3871" s="7">
        <v>46042</v>
      </c>
      <c r="AC3871" s="8">
        <v>0</v>
      </c>
      <c r="AE3871" s="7">
        <v>46045</v>
      </c>
      <c r="AF3871" s="8">
        <v>0</v>
      </c>
      <c r="AH3871" s="7">
        <v>46045</v>
      </c>
      <c r="AN3871" s="8">
        <v>0</v>
      </c>
      <c r="AO3871" s="8">
        <v>1800</v>
      </c>
    </row>
    <row r="3872" spans="1:41" x14ac:dyDescent="0.25">
      <c r="A3872" s="6" t="str">
        <f t="shared" si="981"/>
        <v>525-2025000469</v>
      </c>
      <c r="B3872" s="6" t="str">
        <f t="shared" si="973"/>
        <v>Lasa Int</v>
      </c>
      <c r="C3872" s="7">
        <v>45923</v>
      </c>
      <c r="D3872" s="7">
        <v>46068</v>
      </c>
      <c r="E3872" s="8">
        <v>3</v>
      </c>
      <c r="F3872" s="6" t="str">
        <f t="shared" si="982"/>
        <v>Love</v>
      </c>
      <c r="G3872" s="6" t="str">
        <f>"F320120144000000"</f>
        <v>F320120144000000</v>
      </c>
      <c r="H3872" s="6" t="str">
        <f>"PL 1201 - 440 g/m²"</f>
        <v>PL 1201 - 440 g/m²</v>
      </c>
      <c r="I3872" s="6" t="str">
        <f>"203041"</f>
        <v>203041</v>
      </c>
      <c r="J3872" s="6" t="str">
        <f>"AZUL 3041"</f>
        <v>AZUL 3041</v>
      </c>
      <c r="K3872" s="6" t="str">
        <f>"0820"</f>
        <v>0820</v>
      </c>
      <c r="L3872" s="6" t="str">
        <f t="shared" si="980"/>
        <v>Cozinha</v>
      </c>
      <c r="M3872" s="6" t="str">
        <f>"50x50"</f>
        <v>50x50</v>
      </c>
      <c r="N3872" s="6" t="str">
        <f>"5602972521634"</f>
        <v>5602972521634</v>
      </c>
      <c r="O3872" s="8">
        <v>1800</v>
      </c>
      <c r="P3872" s="7">
        <v>46010</v>
      </c>
      <c r="R3872" s="8">
        <v>1972</v>
      </c>
      <c r="S3872" s="7">
        <v>46015</v>
      </c>
      <c r="U3872" s="8">
        <v>1972</v>
      </c>
      <c r="V3872" s="7">
        <v>46028</v>
      </c>
      <c r="X3872" s="8">
        <v>0</v>
      </c>
      <c r="Z3872" s="8">
        <v>1972</v>
      </c>
      <c r="AA3872" s="7">
        <v>46042</v>
      </c>
      <c r="AC3872" s="8">
        <v>0</v>
      </c>
      <c r="AE3872" s="7">
        <v>46045</v>
      </c>
      <c r="AF3872" s="8">
        <v>0</v>
      </c>
      <c r="AH3872" s="7">
        <v>46045</v>
      </c>
      <c r="AN3872" s="8">
        <v>0</v>
      </c>
      <c r="AO3872" s="8">
        <v>1800</v>
      </c>
    </row>
    <row r="3873" spans="1:41" x14ac:dyDescent="0.25">
      <c r="A3873" s="6" t="str">
        <f t="shared" si="981"/>
        <v>525-2025000469</v>
      </c>
      <c r="B3873" s="6" t="str">
        <f t="shared" si="973"/>
        <v>Lasa Int</v>
      </c>
      <c r="C3873" s="7">
        <v>45923</v>
      </c>
      <c r="D3873" s="7">
        <v>46068</v>
      </c>
      <c r="E3873" s="8">
        <v>4</v>
      </c>
      <c r="F3873" s="6" t="str">
        <f t="shared" si="982"/>
        <v>Love</v>
      </c>
      <c r="G3873" s="6" t="str">
        <f>"F320120144000000"</f>
        <v>F320120144000000</v>
      </c>
      <c r="H3873" s="6" t="str">
        <f>"PL 1201 - 440 g/m²"</f>
        <v>PL 1201 - 440 g/m²</v>
      </c>
      <c r="I3873" s="6" t="str">
        <f>"204418"</f>
        <v>204418</v>
      </c>
      <c r="J3873" s="6" t="str">
        <f>"CINZA 4418"</f>
        <v>CINZA 4418</v>
      </c>
      <c r="K3873" s="6" t="str">
        <f>"0820"</f>
        <v>0820</v>
      </c>
      <c r="L3873" s="6" t="str">
        <f t="shared" si="980"/>
        <v>Cozinha</v>
      </c>
      <c r="M3873" s="6" t="str">
        <f>"50x50"</f>
        <v>50x50</v>
      </c>
      <c r="N3873" s="6" t="str">
        <f>"5602972521641"</f>
        <v>5602972521641</v>
      </c>
      <c r="O3873" s="8">
        <v>1800</v>
      </c>
      <c r="P3873" s="7">
        <v>46010</v>
      </c>
      <c r="R3873" s="8">
        <v>1912</v>
      </c>
      <c r="S3873" s="7">
        <v>46015</v>
      </c>
      <c r="U3873" s="8">
        <v>1912</v>
      </c>
      <c r="V3873" s="7">
        <v>46028</v>
      </c>
      <c r="X3873" s="8">
        <v>0</v>
      </c>
      <c r="Z3873" s="8">
        <v>1912</v>
      </c>
      <c r="AA3873" s="7">
        <v>46042</v>
      </c>
      <c r="AC3873" s="8">
        <v>0</v>
      </c>
      <c r="AE3873" s="7">
        <v>46045</v>
      </c>
      <c r="AF3873" s="8">
        <v>0</v>
      </c>
      <c r="AH3873" s="7">
        <v>46045</v>
      </c>
      <c r="AN3873" s="8">
        <v>0</v>
      </c>
      <c r="AO3873" s="8">
        <v>1800</v>
      </c>
    </row>
    <row r="3874" spans="1:41" x14ac:dyDescent="0.25">
      <c r="A3874" s="6" t="str">
        <f t="shared" si="981"/>
        <v>525-2025000469</v>
      </c>
      <c r="B3874" s="6" t="str">
        <f t="shared" si="973"/>
        <v>Lasa Int</v>
      </c>
      <c r="C3874" s="7">
        <v>45923</v>
      </c>
      <c r="D3874" s="7">
        <v>46068</v>
      </c>
      <c r="E3874" s="8">
        <v>5</v>
      </c>
      <c r="F3874" s="6" t="str">
        <f t="shared" si="982"/>
        <v>Love</v>
      </c>
      <c r="G3874" s="6" t="str">
        <f>"C001244926000000"</f>
        <v>C001244926000000</v>
      </c>
      <c r="H3874" s="6" t="str">
        <f>"CZJ 2449 - 260 g/m²"</f>
        <v>CZJ 2449 - 260 g/m²</v>
      </c>
      <c r="I3874" s="6" t="str">
        <f>"200782"</f>
        <v>200782</v>
      </c>
      <c r="J3874" s="6" t="str">
        <f>"ROSA 782"</f>
        <v>ROSA 782</v>
      </c>
      <c r="K3874" s="6" t="str">
        <f>"0830"</f>
        <v>0830</v>
      </c>
      <c r="L3874" s="6" t="str">
        <f t="shared" si="980"/>
        <v>Cozinha</v>
      </c>
      <c r="M3874" s="6" t="str">
        <f>"50x70"</f>
        <v>50x70</v>
      </c>
      <c r="N3874" s="6" t="str">
        <f>"5602972521658"</f>
        <v>5602972521658</v>
      </c>
      <c r="O3874" s="8">
        <v>900</v>
      </c>
      <c r="P3874" s="7">
        <v>46010</v>
      </c>
      <c r="R3874" s="8">
        <v>952</v>
      </c>
      <c r="S3874" s="7">
        <v>46015</v>
      </c>
      <c r="U3874" s="8">
        <v>952</v>
      </c>
      <c r="V3874" s="7">
        <v>46028</v>
      </c>
      <c r="X3874" s="8">
        <v>0</v>
      </c>
      <c r="Z3874" s="8">
        <v>952</v>
      </c>
      <c r="AA3874" s="7">
        <v>46042</v>
      </c>
      <c r="AC3874" s="8">
        <v>0</v>
      </c>
      <c r="AE3874" s="7">
        <v>46045</v>
      </c>
      <c r="AF3874" s="8">
        <v>0</v>
      </c>
      <c r="AH3874" s="7">
        <v>46045</v>
      </c>
      <c r="AN3874" s="8">
        <v>0</v>
      </c>
      <c r="AO3874" s="8">
        <v>900</v>
      </c>
    </row>
    <row r="3875" spans="1:41" x14ac:dyDescent="0.25">
      <c r="A3875" s="6" t="str">
        <f t="shared" si="981"/>
        <v>525-2025000469</v>
      </c>
      <c r="B3875" s="6" t="str">
        <f t="shared" si="973"/>
        <v>Lasa Int</v>
      </c>
      <c r="C3875" s="7">
        <v>45923</v>
      </c>
      <c r="D3875" s="7">
        <v>46068</v>
      </c>
      <c r="E3875" s="8">
        <v>6</v>
      </c>
      <c r="F3875" s="6" t="str">
        <f t="shared" si="982"/>
        <v>Love</v>
      </c>
      <c r="G3875" s="6" t="str">
        <f>"C001244926000000"</f>
        <v>C001244926000000</v>
      </c>
      <c r="H3875" s="6" t="str">
        <f>"CZJ 2449 - 260 g/m²"</f>
        <v>CZJ 2449 - 260 g/m²</v>
      </c>
      <c r="I3875" s="6" t="str">
        <f>"201699"</f>
        <v>201699</v>
      </c>
      <c r="J3875" s="6" t="str">
        <f>"BEGE 1699"</f>
        <v>BEGE 1699</v>
      </c>
      <c r="K3875" s="6" t="str">
        <f>"0830"</f>
        <v>0830</v>
      </c>
      <c r="L3875" s="6" t="str">
        <f t="shared" si="980"/>
        <v>Cozinha</v>
      </c>
      <c r="M3875" s="6" t="str">
        <f>"50x70"</f>
        <v>50x70</v>
      </c>
      <c r="N3875" s="6" t="str">
        <f>"5602972521665"</f>
        <v>5602972521665</v>
      </c>
      <c r="O3875" s="8">
        <v>900</v>
      </c>
      <c r="P3875" s="7">
        <v>46010</v>
      </c>
      <c r="R3875" s="8">
        <v>972</v>
      </c>
      <c r="S3875" s="7">
        <v>46015</v>
      </c>
      <c r="U3875" s="8">
        <v>972</v>
      </c>
      <c r="V3875" s="7">
        <v>46028</v>
      </c>
      <c r="X3875" s="8">
        <v>0</v>
      </c>
      <c r="Z3875" s="8">
        <v>972</v>
      </c>
      <c r="AA3875" s="7">
        <v>46042</v>
      </c>
      <c r="AC3875" s="8">
        <v>0</v>
      </c>
      <c r="AE3875" s="7">
        <v>46045</v>
      </c>
      <c r="AF3875" s="8">
        <v>0</v>
      </c>
      <c r="AH3875" s="7">
        <v>46045</v>
      </c>
      <c r="AN3875" s="8">
        <v>0</v>
      </c>
      <c r="AO3875" s="8">
        <v>900</v>
      </c>
    </row>
    <row r="3876" spans="1:41" x14ac:dyDescent="0.25">
      <c r="A3876" s="6" t="str">
        <f t="shared" si="981"/>
        <v>525-2025000469</v>
      </c>
      <c r="B3876" s="6" t="str">
        <f t="shared" si="973"/>
        <v>Lasa Int</v>
      </c>
      <c r="C3876" s="7">
        <v>45923</v>
      </c>
      <c r="D3876" s="7">
        <v>46068</v>
      </c>
      <c r="E3876" s="8">
        <v>7</v>
      </c>
      <c r="F3876" s="6" t="str">
        <f t="shared" si="982"/>
        <v>Love</v>
      </c>
      <c r="G3876" s="6" t="str">
        <f>"C001244926000000"</f>
        <v>C001244926000000</v>
      </c>
      <c r="H3876" s="6" t="str">
        <f>"CZJ 2449 - 260 g/m²"</f>
        <v>CZJ 2449 - 260 g/m²</v>
      </c>
      <c r="I3876" s="6" t="str">
        <f>"203041"</f>
        <v>203041</v>
      </c>
      <c r="J3876" s="6" t="str">
        <f>"AZUL 3041"</f>
        <v>AZUL 3041</v>
      </c>
      <c r="K3876" s="6" t="str">
        <f>"0830"</f>
        <v>0830</v>
      </c>
      <c r="L3876" s="6" t="str">
        <f t="shared" si="980"/>
        <v>Cozinha</v>
      </c>
      <c r="M3876" s="6" t="str">
        <f>"50x70"</f>
        <v>50x70</v>
      </c>
      <c r="N3876" s="6" t="str">
        <f>"5602972521672"</f>
        <v>5602972521672</v>
      </c>
      <c r="O3876" s="8">
        <v>900</v>
      </c>
      <c r="P3876" s="7">
        <v>46010</v>
      </c>
      <c r="R3876" s="8">
        <v>1004</v>
      </c>
      <c r="S3876" s="7">
        <v>46015</v>
      </c>
      <c r="U3876" s="8">
        <v>1004</v>
      </c>
      <c r="V3876" s="7">
        <v>46028</v>
      </c>
      <c r="X3876" s="8">
        <v>0</v>
      </c>
      <c r="Z3876" s="8">
        <v>1004</v>
      </c>
      <c r="AA3876" s="7">
        <v>46042</v>
      </c>
      <c r="AC3876" s="8">
        <v>0</v>
      </c>
      <c r="AE3876" s="7">
        <v>46045</v>
      </c>
      <c r="AF3876" s="8">
        <v>0</v>
      </c>
      <c r="AH3876" s="7">
        <v>46045</v>
      </c>
      <c r="AN3876" s="8">
        <v>0</v>
      </c>
      <c r="AO3876" s="8">
        <v>900</v>
      </c>
    </row>
    <row r="3877" spans="1:41" x14ac:dyDescent="0.25">
      <c r="A3877" s="6" t="str">
        <f t="shared" si="981"/>
        <v>525-2025000469</v>
      </c>
      <c r="B3877" s="6" t="str">
        <f t="shared" si="973"/>
        <v>Lasa Int</v>
      </c>
      <c r="C3877" s="7">
        <v>45923</v>
      </c>
      <c r="D3877" s="7">
        <v>46068</v>
      </c>
      <c r="E3877" s="8">
        <v>8</v>
      </c>
      <c r="F3877" s="6" t="str">
        <f t="shared" si="982"/>
        <v>Love</v>
      </c>
      <c r="G3877" s="6" t="str">
        <f>"C001244926000000"</f>
        <v>C001244926000000</v>
      </c>
      <c r="H3877" s="6" t="str">
        <f>"CZJ 2449 - 260 g/m²"</f>
        <v>CZJ 2449 - 260 g/m²</v>
      </c>
      <c r="I3877" s="6" t="str">
        <f>"204418"</f>
        <v>204418</v>
      </c>
      <c r="J3877" s="6" t="str">
        <f>"CINZA 4418"</f>
        <v>CINZA 4418</v>
      </c>
      <c r="K3877" s="6" t="str">
        <f>"0830"</f>
        <v>0830</v>
      </c>
      <c r="L3877" s="6" t="str">
        <f t="shared" si="980"/>
        <v>Cozinha</v>
      </c>
      <c r="M3877" s="6" t="str">
        <f>"50x70"</f>
        <v>50x70</v>
      </c>
      <c r="N3877" s="6" t="str">
        <f>"5602972521689"</f>
        <v>5602972521689</v>
      </c>
      <c r="O3877" s="8">
        <v>900</v>
      </c>
      <c r="P3877" s="7">
        <v>46010</v>
      </c>
      <c r="R3877" s="8">
        <v>996</v>
      </c>
      <c r="S3877" s="7">
        <v>46015</v>
      </c>
      <c r="U3877" s="8">
        <v>996</v>
      </c>
      <c r="V3877" s="7">
        <v>46028</v>
      </c>
      <c r="X3877" s="8">
        <v>0</v>
      </c>
      <c r="Z3877" s="8">
        <v>996</v>
      </c>
      <c r="AA3877" s="7">
        <v>46042</v>
      </c>
      <c r="AC3877" s="8">
        <v>0</v>
      </c>
      <c r="AE3877" s="7">
        <v>46045</v>
      </c>
      <c r="AF3877" s="8">
        <v>0</v>
      </c>
      <c r="AH3877" s="7">
        <v>46045</v>
      </c>
      <c r="AN3877" s="8">
        <v>0</v>
      </c>
      <c r="AO3877" s="8">
        <v>900</v>
      </c>
    </row>
    <row r="3878" spans="1:41" x14ac:dyDescent="0.25">
      <c r="A3878" s="6" t="str">
        <f t="shared" ref="A3878:A3883" si="983">"525-2025000473"</f>
        <v>525-2025000473</v>
      </c>
      <c r="B3878" s="6" t="str">
        <f t="shared" si="973"/>
        <v>Lasa Int</v>
      </c>
      <c r="C3878" s="7">
        <v>45923</v>
      </c>
      <c r="D3878" s="7">
        <v>46068</v>
      </c>
      <c r="E3878" s="8">
        <v>1</v>
      </c>
      <c r="F3878" s="6" t="str">
        <f t="shared" ref="F3878:F3883" si="984">"riscas"</f>
        <v>riscas</v>
      </c>
      <c r="G3878" s="6" t="str">
        <f>"F310636044000000"</f>
        <v>F310636044000000</v>
      </c>
      <c r="H3878" s="6" t="str">
        <f>"PLAR 6360 - 440 g/m²"</f>
        <v>PLAR 6360 - 440 g/m²</v>
      </c>
      <c r="I3878" s="6" t="str">
        <f>"200734"</f>
        <v>200734</v>
      </c>
      <c r="J3878" s="6" t="str">
        <f>"ROSA 734"</f>
        <v>ROSA 734</v>
      </c>
      <c r="K3878" s="6" t="str">
        <f>"0820"</f>
        <v>0820</v>
      </c>
      <c r="L3878" s="6" t="str">
        <f t="shared" si="980"/>
        <v>Cozinha</v>
      </c>
      <c r="M3878" s="6" t="str">
        <f>"50x50"</f>
        <v>50x50</v>
      </c>
      <c r="N3878" s="6" t="str">
        <f>"5602972521696"</f>
        <v>5602972521696</v>
      </c>
      <c r="O3878" s="8">
        <v>2000</v>
      </c>
      <c r="P3878" s="7">
        <v>46010</v>
      </c>
      <c r="R3878" s="8">
        <v>2364</v>
      </c>
      <c r="S3878" s="7">
        <v>46015</v>
      </c>
      <c r="U3878" s="8">
        <v>2364</v>
      </c>
      <c r="V3878" s="7">
        <v>46024</v>
      </c>
      <c r="X3878" s="8">
        <v>2364</v>
      </c>
      <c r="Z3878" s="8">
        <v>0</v>
      </c>
      <c r="AA3878" s="7">
        <v>46036</v>
      </c>
      <c r="AC3878" s="8">
        <v>0</v>
      </c>
      <c r="AE3878" s="7">
        <v>46038</v>
      </c>
      <c r="AF3878" s="8">
        <v>0</v>
      </c>
      <c r="AH3878" s="7">
        <v>46045</v>
      </c>
      <c r="AN3878" s="8">
        <v>0</v>
      </c>
      <c r="AO3878" s="8">
        <v>2000</v>
      </c>
    </row>
    <row r="3879" spans="1:41" x14ac:dyDescent="0.25">
      <c r="A3879" s="6" t="str">
        <f t="shared" si="983"/>
        <v>525-2025000473</v>
      </c>
      <c r="B3879" s="6" t="str">
        <f t="shared" si="973"/>
        <v>Lasa Int</v>
      </c>
      <c r="C3879" s="7">
        <v>45923</v>
      </c>
      <c r="D3879" s="7">
        <v>46068</v>
      </c>
      <c r="E3879" s="8">
        <v>2</v>
      </c>
      <c r="F3879" s="6" t="str">
        <f t="shared" si="984"/>
        <v>riscas</v>
      </c>
      <c r="G3879" s="6" t="str">
        <f>"F310636044000000"</f>
        <v>F310636044000000</v>
      </c>
      <c r="H3879" s="6" t="str">
        <f>"PLAR 6360 - 440 g/m²"</f>
        <v>PLAR 6360 - 440 g/m²</v>
      </c>
      <c r="I3879" s="6" t="str">
        <f>"202747"</f>
        <v>202747</v>
      </c>
      <c r="J3879" s="6" t="str">
        <f>"AZUL 2747"</f>
        <v>AZUL 2747</v>
      </c>
      <c r="K3879" s="6" t="str">
        <f>"0820"</f>
        <v>0820</v>
      </c>
      <c r="L3879" s="6" t="str">
        <f t="shared" si="980"/>
        <v>Cozinha</v>
      </c>
      <c r="M3879" s="6" t="str">
        <f>"50x50"</f>
        <v>50x50</v>
      </c>
      <c r="N3879" s="6" t="str">
        <f>"5602972521702"</f>
        <v>5602972521702</v>
      </c>
      <c r="O3879" s="8">
        <v>2000</v>
      </c>
      <c r="P3879" s="7">
        <v>46010</v>
      </c>
      <c r="R3879" s="8">
        <v>2236</v>
      </c>
      <c r="S3879" s="7">
        <v>46015</v>
      </c>
      <c r="U3879" s="8">
        <v>2236</v>
      </c>
      <c r="V3879" s="7">
        <v>46024</v>
      </c>
      <c r="X3879" s="8">
        <v>2236</v>
      </c>
      <c r="Z3879" s="8">
        <v>0</v>
      </c>
      <c r="AA3879" s="7">
        <v>46036</v>
      </c>
      <c r="AC3879" s="8">
        <v>0</v>
      </c>
      <c r="AE3879" s="7">
        <v>46038</v>
      </c>
      <c r="AF3879" s="8">
        <v>0</v>
      </c>
      <c r="AH3879" s="7">
        <v>46045</v>
      </c>
      <c r="AN3879" s="8">
        <v>0</v>
      </c>
      <c r="AO3879" s="8">
        <v>2000</v>
      </c>
    </row>
    <row r="3880" spans="1:41" x14ac:dyDescent="0.25">
      <c r="A3880" s="6" t="str">
        <f t="shared" si="983"/>
        <v>525-2025000473</v>
      </c>
      <c r="B3880" s="6" t="str">
        <f t="shared" si="973"/>
        <v>Lasa Int</v>
      </c>
      <c r="C3880" s="7">
        <v>45923</v>
      </c>
      <c r="D3880" s="7">
        <v>46068</v>
      </c>
      <c r="E3880" s="8">
        <v>3</v>
      </c>
      <c r="F3880" s="6" t="str">
        <f t="shared" si="984"/>
        <v>riscas</v>
      </c>
      <c r="G3880" s="6" t="str">
        <f>"C001245026000000"</f>
        <v>C001245026000000</v>
      </c>
      <c r="H3880" s="6" t="str">
        <f>"CZJ 2450 - 260 g/m²"</f>
        <v>CZJ 2450 - 260 g/m²</v>
      </c>
      <c r="I3880" s="6" t="str">
        <f>"200734"</f>
        <v>200734</v>
      </c>
      <c r="J3880" s="6" t="str">
        <f>"ROSA 734"</f>
        <v>ROSA 734</v>
      </c>
      <c r="K3880" s="6" t="str">
        <f>"0830"</f>
        <v>0830</v>
      </c>
      <c r="L3880" s="6" t="str">
        <f t="shared" si="980"/>
        <v>Cozinha</v>
      </c>
      <c r="M3880" s="6" t="str">
        <f>"50x70"</f>
        <v>50x70</v>
      </c>
      <c r="N3880" s="6" t="str">
        <f>"5602972521719"</f>
        <v>5602972521719</v>
      </c>
      <c r="O3880" s="8">
        <v>1200</v>
      </c>
      <c r="P3880" s="7">
        <v>46010</v>
      </c>
      <c r="R3880" s="8">
        <v>1224</v>
      </c>
      <c r="S3880" s="7">
        <v>46015</v>
      </c>
      <c r="U3880" s="8">
        <v>1224</v>
      </c>
      <c r="V3880" s="7">
        <v>46024</v>
      </c>
      <c r="X3880" s="8">
        <v>0</v>
      </c>
      <c r="Z3880" s="8">
        <v>1224</v>
      </c>
      <c r="AA3880" s="7">
        <v>46036</v>
      </c>
      <c r="AC3880" s="8">
        <v>0</v>
      </c>
      <c r="AE3880" s="7">
        <v>46038</v>
      </c>
      <c r="AF3880" s="8">
        <v>0</v>
      </c>
      <c r="AH3880" s="7">
        <v>46045</v>
      </c>
      <c r="AN3880" s="8">
        <v>0</v>
      </c>
      <c r="AO3880" s="8">
        <v>1200</v>
      </c>
    </row>
    <row r="3881" spans="1:41" x14ac:dyDescent="0.25">
      <c r="A3881" s="6" t="str">
        <f t="shared" si="983"/>
        <v>525-2025000473</v>
      </c>
      <c r="B3881" s="6" t="str">
        <f t="shared" si="973"/>
        <v>Lasa Int</v>
      </c>
      <c r="C3881" s="7">
        <v>45923</v>
      </c>
      <c r="D3881" s="7">
        <v>46068</v>
      </c>
      <c r="E3881" s="8">
        <v>4</v>
      </c>
      <c r="F3881" s="6" t="str">
        <f t="shared" si="984"/>
        <v>riscas</v>
      </c>
      <c r="G3881" s="6" t="str">
        <f>"C001245026000000"</f>
        <v>C001245026000000</v>
      </c>
      <c r="H3881" s="6" t="str">
        <f>"CZJ 2450 - 260 g/m²"</f>
        <v>CZJ 2450 - 260 g/m²</v>
      </c>
      <c r="I3881" s="6" t="str">
        <f>"202747"</f>
        <v>202747</v>
      </c>
      <c r="J3881" s="6" t="str">
        <f>"AZUL 2747"</f>
        <v>AZUL 2747</v>
      </c>
      <c r="K3881" s="6" t="str">
        <f>"0830"</f>
        <v>0830</v>
      </c>
      <c r="L3881" s="6" t="str">
        <f t="shared" si="980"/>
        <v>Cozinha</v>
      </c>
      <c r="M3881" s="6" t="str">
        <f>"50x70"</f>
        <v>50x70</v>
      </c>
      <c r="N3881" s="6" t="str">
        <f>"5602972521726"</f>
        <v>5602972521726</v>
      </c>
      <c r="O3881" s="8">
        <v>1200</v>
      </c>
      <c r="P3881" s="7">
        <v>46010</v>
      </c>
      <c r="R3881" s="8">
        <v>1264</v>
      </c>
      <c r="S3881" s="7">
        <v>46015</v>
      </c>
      <c r="U3881" s="8">
        <v>1264</v>
      </c>
      <c r="V3881" s="7">
        <v>46024</v>
      </c>
      <c r="X3881" s="8">
        <v>0</v>
      </c>
      <c r="Z3881" s="8">
        <v>1264</v>
      </c>
      <c r="AA3881" s="7">
        <v>46036</v>
      </c>
      <c r="AC3881" s="8">
        <v>0</v>
      </c>
      <c r="AE3881" s="7">
        <v>46038</v>
      </c>
      <c r="AF3881" s="8">
        <v>0</v>
      </c>
      <c r="AH3881" s="7">
        <v>46045</v>
      </c>
      <c r="AN3881" s="8">
        <v>0</v>
      </c>
      <c r="AO3881" s="8">
        <v>1200</v>
      </c>
    </row>
    <row r="3882" spans="1:41" x14ac:dyDescent="0.25">
      <c r="A3882" s="6" t="str">
        <f t="shared" si="983"/>
        <v>525-2025000473</v>
      </c>
      <c r="B3882" s="6" t="str">
        <f t="shared" si="973"/>
        <v>Lasa Int</v>
      </c>
      <c r="C3882" s="7">
        <v>45923</v>
      </c>
      <c r="D3882" s="7">
        <v>46068</v>
      </c>
      <c r="E3882" s="8">
        <v>5</v>
      </c>
      <c r="F3882" s="6" t="str">
        <f t="shared" si="984"/>
        <v>riscas</v>
      </c>
      <c r="G3882" s="6" t="str">
        <f>"K310244338000000"</f>
        <v>K310244338000000</v>
      </c>
      <c r="H3882" s="6" t="str">
        <f>"KB 2443 - PLAR 6360"</f>
        <v>KB 2443 - PLAR 6360</v>
      </c>
      <c r="I3882" s="6" t="str">
        <f>"200734"</f>
        <v>200734</v>
      </c>
      <c r="J3882" s="6" t="str">
        <f>"ROSA 734"</f>
        <v>ROSA 734</v>
      </c>
      <c r="K3882" s="6" t="str">
        <f>"8803"</f>
        <v>8803</v>
      </c>
      <c r="L3882" s="6" t="str">
        <f t="shared" si="980"/>
        <v>Cozinha</v>
      </c>
      <c r="M3882" s="6" t="str">
        <f>"03 Avental"</f>
        <v>03 Avental</v>
      </c>
      <c r="N3882" s="6" t="str">
        <f>"5602972521733"</f>
        <v>5602972521733</v>
      </c>
      <c r="O3882" s="8">
        <v>240</v>
      </c>
      <c r="P3882" s="7">
        <v>46010</v>
      </c>
      <c r="R3882" s="8">
        <v>270</v>
      </c>
      <c r="S3882" s="7">
        <v>46015</v>
      </c>
      <c r="U3882" s="8">
        <v>270</v>
      </c>
      <c r="V3882" s="7">
        <v>46024</v>
      </c>
      <c r="X3882" s="8">
        <v>0</v>
      </c>
      <c r="Z3882" s="8">
        <v>0</v>
      </c>
      <c r="AA3882" s="7">
        <v>46036</v>
      </c>
      <c r="AC3882" s="8">
        <v>0</v>
      </c>
      <c r="AE3882" s="7">
        <v>46038</v>
      </c>
      <c r="AF3882" s="8">
        <v>0</v>
      </c>
      <c r="AH3882" s="7">
        <v>46045</v>
      </c>
      <c r="AN3882" s="8">
        <v>0</v>
      </c>
      <c r="AO3882" s="8">
        <v>240</v>
      </c>
    </row>
    <row r="3883" spans="1:41" x14ac:dyDescent="0.25">
      <c r="A3883" s="6" t="str">
        <f t="shared" si="983"/>
        <v>525-2025000473</v>
      </c>
      <c r="B3883" s="6" t="str">
        <f t="shared" si="973"/>
        <v>Lasa Int</v>
      </c>
      <c r="C3883" s="7">
        <v>45923</v>
      </c>
      <c r="D3883" s="7">
        <v>46068</v>
      </c>
      <c r="E3883" s="8">
        <v>6</v>
      </c>
      <c r="F3883" s="6" t="str">
        <f t="shared" si="984"/>
        <v>riscas</v>
      </c>
      <c r="G3883" s="6" t="str">
        <f>"K310244338000000"</f>
        <v>K310244338000000</v>
      </c>
      <c r="H3883" s="6" t="str">
        <f>"KB 2443 - PLAR 6360"</f>
        <v>KB 2443 - PLAR 6360</v>
      </c>
      <c r="I3883" s="6" t="str">
        <f>"202747"</f>
        <v>202747</v>
      </c>
      <c r="J3883" s="6" t="str">
        <f>"AZUL 2747"</f>
        <v>AZUL 2747</v>
      </c>
      <c r="K3883" s="6" t="str">
        <f>"8803"</f>
        <v>8803</v>
      </c>
      <c r="L3883" s="6" t="str">
        <f t="shared" si="980"/>
        <v>Cozinha</v>
      </c>
      <c r="M3883" s="6" t="str">
        <f>"03 Avental"</f>
        <v>03 Avental</v>
      </c>
      <c r="N3883" s="6" t="str">
        <f>"5602972521740"</f>
        <v>5602972521740</v>
      </c>
      <c r="O3883" s="8">
        <v>240</v>
      </c>
      <c r="P3883" s="7">
        <v>46010</v>
      </c>
      <c r="R3883" s="8">
        <v>303</v>
      </c>
      <c r="S3883" s="7">
        <v>46015</v>
      </c>
      <c r="U3883" s="8">
        <v>261</v>
      </c>
      <c r="V3883" s="7">
        <v>46024</v>
      </c>
      <c r="X3883" s="8">
        <v>0</v>
      </c>
      <c r="Z3883" s="8">
        <v>0</v>
      </c>
      <c r="AA3883" s="7">
        <v>46036</v>
      </c>
      <c r="AC3883" s="8">
        <v>0</v>
      </c>
      <c r="AE3883" s="7">
        <v>46038</v>
      </c>
      <c r="AF3883" s="8">
        <v>0</v>
      </c>
      <c r="AH3883" s="7">
        <v>46045</v>
      </c>
      <c r="AN3883" s="8">
        <v>0</v>
      </c>
      <c r="AO3883" s="8">
        <v>240</v>
      </c>
    </row>
    <row r="3884" spans="1:41" x14ac:dyDescent="0.25">
      <c r="A3884" s="6" t="str">
        <f>"525-2025000474"</f>
        <v>525-2025000474</v>
      </c>
      <c r="B3884" s="6" t="str">
        <f t="shared" si="973"/>
        <v>Lasa Int</v>
      </c>
      <c r="C3884" s="7">
        <v>45925</v>
      </c>
      <c r="D3884" s="7">
        <v>46037</v>
      </c>
      <c r="E3884" s="8">
        <v>1</v>
      </c>
      <c r="F3884" s="6" t="str">
        <f>"PURE"</f>
        <v>PURE</v>
      </c>
      <c r="G3884" s="6" t="str">
        <f>"F100021455000000"</f>
        <v>F100021455000000</v>
      </c>
      <c r="H3884" s="6" t="str">
        <f>"FA 214 - PURE - 550"</f>
        <v>FA 214 - PURE - 550</v>
      </c>
      <c r="I3884" s="6" t="str">
        <f>"4382"</f>
        <v>4382</v>
      </c>
      <c r="J3884" s="6" t="str">
        <f>"AMARELO 4382"</f>
        <v>AMARELO 4382</v>
      </c>
      <c r="K3884" s="6" t="str">
        <f>"1024"</f>
        <v>1024</v>
      </c>
      <c r="L3884" s="6" t="str">
        <f>"Toalhas"</f>
        <v>Toalhas</v>
      </c>
      <c r="M3884" s="6" t="str">
        <f>"50x100"</f>
        <v>50x100</v>
      </c>
      <c r="N3884" s="6" t="str">
        <f>"5602972795301"</f>
        <v>5602972795301</v>
      </c>
      <c r="O3884" s="8">
        <v>960</v>
      </c>
      <c r="P3884" s="7">
        <v>45925</v>
      </c>
      <c r="R3884" s="8">
        <v>0</v>
      </c>
      <c r="S3884" s="7">
        <v>45930</v>
      </c>
      <c r="U3884" s="8">
        <v>960</v>
      </c>
      <c r="V3884" s="7">
        <v>45939</v>
      </c>
      <c r="X3884" s="8">
        <v>0</v>
      </c>
      <c r="Z3884" s="8">
        <v>960</v>
      </c>
      <c r="AA3884" s="7">
        <v>45951</v>
      </c>
      <c r="AC3884" s="8">
        <v>252</v>
      </c>
      <c r="AE3884" s="7">
        <v>45953</v>
      </c>
      <c r="AF3884" s="8">
        <v>252</v>
      </c>
      <c r="AH3884" s="7">
        <v>45953</v>
      </c>
      <c r="AN3884" s="8">
        <v>252</v>
      </c>
      <c r="AO3884" s="8">
        <v>708</v>
      </c>
    </row>
    <row r="3885" spans="1:41" x14ac:dyDescent="0.25">
      <c r="A3885" s="6" t="str">
        <f>"525-2025000474"</f>
        <v>525-2025000474</v>
      </c>
      <c r="B3885" s="6" t="str">
        <f t="shared" si="973"/>
        <v>Lasa Int</v>
      </c>
      <c r="C3885" s="7">
        <v>45925</v>
      </c>
      <c r="D3885" s="7">
        <v>46037</v>
      </c>
      <c r="E3885" s="8">
        <v>2</v>
      </c>
      <c r="F3885" s="6" t="str">
        <f>"PURE"</f>
        <v>PURE</v>
      </c>
      <c r="G3885" s="6" t="str">
        <f>"F100021455000000"</f>
        <v>F100021455000000</v>
      </c>
      <c r="H3885" s="6" t="str">
        <f>"FA 214 - PURE - 550"</f>
        <v>FA 214 - PURE - 550</v>
      </c>
      <c r="I3885" s="6" t="str">
        <f>"4382"</f>
        <v>4382</v>
      </c>
      <c r="J3885" s="6" t="str">
        <f>"AMARELO 4382"</f>
        <v>AMARELO 4382</v>
      </c>
      <c r="K3885" s="6" t="str">
        <f>"2020"</f>
        <v>2020</v>
      </c>
      <c r="L3885" s="6" t="str">
        <f>"Lençóis"</f>
        <v>Lençóis</v>
      </c>
      <c r="M3885" s="6" t="str">
        <f>"100x150"</f>
        <v>100x150</v>
      </c>
      <c r="N3885" s="6" t="str">
        <f>"5602972795325"</f>
        <v>5602972795325</v>
      </c>
      <c r="O3885" s="8">
        <v>240</v>
      </c>
      <c r="P3885" s="7">
        <v>45925</v>
      </c>
      <c r="R3885" s="8">
        <v>0</v>
      </c>
      <c r="S3885" s="7">
        <v>45930</v>
      </c>
      <c r="U3885" s="8">
        <v>240</v>
      </c>
      <c r="V3885" s="7">
        <v>45939</v>
      </c>
      <c r="X3885" s="8">
        <v>0</v>
      </c>
      <c r="Z3885" s="8">
        <v>240</v>
      </c>
      <c r="AA3885" s="7">
        <v>45951</v>
      </c>
      <c r="AC3885" s="8">
        <v>218</v>
      </c>
      <c r="AE3885" s="7">
        <v>45953</v>
      </c>
      <c r="AF3885" s="8">
        <v>218</v>
      </c>
      <c r="AH3885" s="7">
        <v>45953</v>
      </c>
      <c r="AN3885" s="8">
        <v>218</v>
      </c>
      <c r="AO3885" s="8">
        <v>22</v>
      </c>
    </row>
    <row r="3886" spans="1:41" x14ac:dyDescent="0.25">
      <c r="A3886" s="6" t="str">
        <f t="shared" ref="A3886:A3895" si="985">"525-2025000478"</f>
        <v>525-2025000478</v>
      </c>
      <c r="B3886" s="6" t="str">
        <f t="shared" si="973"/>
        <v>Lasa Int</v>
      </c>
      <c r="C3886" s="7">
        <v>45929</v>
      </c>
      <c r="D3886" s="7">
        <v>46065</v>
      </c>
      <c r="E3886" s="8">
        <v>1</v>
      </c>
      <c r="F3886" s="6" t="str">
        <f t="shared" ref="F3886:F3895" si="986">"PURE R"</f>
        <v>PURE R</v>
      </c>
      <c r="G3886" s="6" t="str">
        <f>"K018000135000000"</f>
        <v>K018000135000000</v>
      </c>
      <c r="H3886" s="6" t="str">
        <f>"Chinelos - LI - 350"</f>
        <v>Chinelos - LI - 350</v>
      </c>
      <c r="I3886" s="6" t="str">
        <f t="shared" ref="I3886:I3895" si="987">"2096"</f>
        <v>2096</v>
      </c>
      <c r="J3886" s="6" t="str">
        <f t="shared" ref="J3886:J3895" si="988">"AZUL 2096"</f>
        <v>AZUL 2096</v>
      </c>
      <c r="K3886" s="6" t="str">
        <f>"4808"</f>
        <v>4808</v>
      </c>
      <c r="L3886" s="6" t="str">
        <f>"Chinelos"</f>
        <v>Chinelos</v>
      </c>
      <c r="M3886" s="6" t="str">
        <f>"38"</f>
        <v>38</v>
      </c>
      <c r="N3886" s="6" t="str">
        <f>"5602972805864"</f>
        <v>5602972805864</v>
      </c>
      <c r="O3886" s="8">
        <v>60</v>
      </c>
      <c r="P3886" s="7">
        <v>45929</v>
      </c>
      <c r="R3886" s="8">
        <v>0</v>
      </c>
      <c r="S3886" s="7">
        <v>45932</v>
      </c>
      <c r="U3886" s="8">
        <v>0</v>
      </c>
      <c r="V3886" s="7">
        <v>45943</v>
      </c>
      <c r="X3886" s="8">
        <v>0</v>
      </c>
      <c r="Z3886" s="8">
        <v>0</v>
      </c>
      <c r="AA3886" s="7">
        <v>45953</v>
      </c>
      <c r="AC3886" s="8">
        <v>0</v>
      </c>
      <c r="AE3886" s="7">
        <v>45971</v>
      </c>
      <c r="AF3886" s="8">
        <v>0</v>
      </c>
      <c r="AH3886" s="7">
        <v>45971</v>
      </c>
      <c r="AI3886" s="7">
        <v>45967</v>
      </c>
      <c r="AN3886" s="8">
        <v>0</v>
      </c>
      <c r="AO3886" s="8">
        <v>60</v>
      </c>
    </row>
    <row r="3887" spans="1:41" x14ac:dyDescent="0.25">
      <c r="A3887" s="6" t="str">
        <f t="shared" si="985"/>
        <v>525-2025000478</v>
      </c>
      <c r="B3887" s="6" t="str">
        <f t="shared" si="973"/>
        <v>Lasa Int</v>
      </c>
      <c r="C3887" s="7">
        <v>45929</v>
      </c>
      <c r="D3887" s="7">
        <v>46065</v>
      </c>
      <c r="E3887" s="8">
        <v>2</v>
      </c>
      <c r="F3887" s="6" t="str">
        <f t="shared" si="986"/>
        <v>PURE R</v>
      </c>
      <c r="G3887" s="6" t="str">
        <f>"K018000135000000"</f>
        <v>K018000135000000</v>
      </c>
      <c r="H3887" s="6" t="str">
        <f>"Chinelos - LI - 350"</f>
        <v>Chinelos - LI - 350</v>
      </c>
      <c r="I3887" s="6" t="str">
        <f t="shared" si="987"/>
        <v>2096</v>
      </c>
      <c r="J3887" s="6" t="str">
        <f t="shared" si="988"/>
        <v>AZUL 2096</v>
      </c>
      <c r="K3887" s="6" t="str">
        <f>"4813"</f>
        <v>4813</v>
      </c>
      <c r="L3887" s="6" t="str">
        <f>"Chinelos"</f>
        <v>Chinelos</v>
      </c>
      <c r="M3887" s="6" t="str">
        <f>"43"</f>
        <v>43</v>
      </c>
      <c r="N3887" s="6" t="str">
        <f>"5602972805871"</f>
        <v>5602972805871</v>
      </c>
      <c r="O3887" s="8">
        <v>60</v>
      </c>
      <c r="P3887" s="7">
        <v>45929</v>
      </c>
      <c r="R3887" s="8">
        <v>0</v>
      </c>
      <c r="S3887" s="7">
        <v>45932</v>
      </c>
      <c r="U3887" s="8">
        <v>0</v>
      </c>
      <c r="V3887" s="7">
        <v>45943</v>
      </c>
      <c r="X3887" s="8">
        <v>0</v>
      </c>
      <c r="Z3887" s="8">
        <v>0</v>
      </c>
      <c r="AA3887" s="7">
        <v>45953</v>
      </c>
      <c r="AC3887" s="8">
        <v>0</v>
      </c>
      <c r="AE3887" s="7">
        <v>45971</v>
      </c>
      <c r="AF3887" s="8">
        <v>0</v>
      </c>
      <c r="AH3887" s="7">
        <v>45971</v>
      </c>
      <c r="AI3887" s="7">
        <v>45967</v>
      </c>
      <c r="AN3887" s="8">
        <v>0</v>
      </c>
      <c r="AO3887" s="8">
        <v>60</v>
      </c>
    </row>
    <row r="3888" spans="1:41" x14ac:dyDescent="0.25">
      <c r="A3888" s="6" t="str">
        <f t="shared" si="985"/>
        <v>525-2025000478</v>
      </c>
      <c r="B3888" s="6" t="str">
        <f t="shared" si="973"/>
        <v>Lasa Int</v>
      </c>
      <c r="C3888" s="7">
        <v>45929</v>
      </c>
      <c r="D3888" s="7">
        <v>46065</v>
      </c>
      <c r="E3888" s="8">
        <v>3</v>
      </c>
      <c r="F3888" s="6" t="str">
        <f t="shared" si="986"/>
        <v>PURE R</v>
      </c>
      <c r="G3888" s="6" t="str">
        <f>"R010000635000000"</f>
        <v>R010000635000000</v>
      </c>
      <c r="H3888" s="6" t="str">
        <f>"Alexis Cotoral Pure"</f>
        <v>Alexis Cotoral Pure</v>
      </c>
      <c r="I3888" s="6" t="str">
        <f t="shared" si="987"/>
        <v>2096</v>
      </c>
      <c r="J3888" s="6" t="str">
        <f t="shared" si="988"/>
        <v>AZUL 2096</v>
      </c>
      <c r="K3888" s="6" t="str">
        <f>"5002"</f>
        <v>5002</v>
      </c>
      <c r="L3888" s="6" t="str">
        <f t="shared" ref="L3888:L3895" si="989">"Roupões Adulto"</f>
        <v>Roupões Adulto</v>
      </c>
      <c r="M3888" s="6" t="str">
        <f>"S"</f>
        <v>S</v>
      </c>
      <c r="N3888" s="6" t="str">
        <f>"5602972838268"</f>
        <v>5602972838268</v>
      </c>
      <c r="O3888" s="8">
        <v>48</v>
      </c>
      <c r="P3888" s="7">
        <v>45929</v>
      </c>
      <c r="R3888" s="8">
        <v>0</v>
      </c>
      <c r="S3888" s="7">
        <v>45932</v>
      </c>
      <c r="U3888" s="8">
        <v>810</v>
      </c>
      <c r="V3888" s="7">
        <v>45943</v>
      </c>
      <c r="X3888" s="8">
        <v>810</v>
      </c>
      <c r="Z3888" s="8">
        <v>0</v>
      </c>
      <c r="AA3888" s="7">
        <v>45953</v>
      </c>
      <c r="AC3888" s="8">
        <v>0</v>
      </c>
      <c r="AE3888" s="7">
        <v>45971</v>
      </c>
      <c r="AF3888" s="8">
        <v>0</v>
      </c>
      <c r="AH3888" s="7">
        <v>45971</v>
      </c>
      <c r="AI3888" s="7">
        <v>45967</v>
      </c>
      <c r="AN3888" s="8">
        <v>0</v>
      </c>
      <c r="AO3888" s="8">
        <v>48</v>
      </c>
    </row>
    <row r="3889" spans="1:41" x14ac:dyDescent="0.25">
      <c r="A3889" s="6" t="str">
        <f t="shared" si="985"/>
        <v>525-2025000478</v>
      </c>
      <c r="B3889" s="6" t="str">
        <f t="shared" si="973"/>
        <v>Lasa Int</v>
      </c>
      <c r="C3889" s="7">
        <v>45929</v>
      </c>
      <c r="D3889" s="7">
        <v>46065</v>
      </c>
      <c r="E3889" s="8">
        <v>4</v>
      </c>
      <c r="F3889" s="6" t="str">
        <f t="shared" si="986"/>
        <v>PURE R</v>
      </c>
      <c r="G3889" s="6" t="str">
        <f>"R010000635000000"</f>
        <v>R010000635000000</v>
      </c>
      <c r="H3889" s="6" t="str">
        <f>"Alexis Cotoral Pure"</f>
        <v>Alexis Cotoral Pure</v>
      </c>
      <c r="I3889" s="6" t="str">
        <f t="shared" si="987"/>
        <v>2096</v>
      </c>
      <c r="J3889" s="6" t="str">
        <f t="shared" si="988"/>
        <v>AZUL 2096</v>
      </c>
      <c r="K3889" s="6" t="str">
        <f>"5004"</f>
        <v>5004</v>
      </c>
      <c r="L3889" s="6" t="str">
        <f t="shared" si="989"/>
        <v>Roupões Adulto</v>
      </c>
      <c r="M3889" s="6" t="str">
        <f>"M"</f>
        <v>M</v>
      </c>
      <c r="N3889" s="6" t="str">
        <f>"5602972838275"</f>
        <v>5602972838275</v>
      </c>
      <c r="O3889" s="8">
        <v>48</v>
      </c>
      <c r="P3889" s="7">
        <v>45929</v>
      </c>
      <c r="R3889" s="8">
        <v>0</v>
      </c>
      <c r="S3889" s="7">
        <v>45932</v>
      </c>
      <c r="U3889" s="8">
        <v>0</v>
      </c>
      <c r="V3889" s="7">
        <v>45943</v>
      </c>
      <c r="X3889" s="8">
        <v>0</v>
      </c>
      <c r="Z3889" s="8">
        <v>0</v>
      </c>
      <c r="AA3889" s="7">
        <v>45953</v>
      </c>
      <c r="AC3889" s="8">
        <v>0</v>
      </c>
      <c r="AE3889" s="7">
        <v>45971</v>
      </c>
      <c r="AF3889" s="8">
        <v>0</v>
      </c>
      <c r="AH3889" s="7">
        <v>45971</v>
      </c>
      <c r="AI3889" s="7">
        <v>45967</v>
      </c>
      <c r="AN3889" s="8">
        <v>0</v>
      </c>
      <c r="AO3889" s="8">
        <v>48</v>
      </c>
    </row>
    <row r="3890" spans="1:41" x14ac:dyDescent="0.25">
      <c r="A3890" s="6" t="str">
        <f t="shared" si="985"/>
        <v>525-2025000478</v>
      </c>
      <c r="B3890" s="6" t="str">
        <f t="shared" si="973"/>
        <v>Lasa Int</v>
      </c>
      <c r="C3890" s="7">
        <v>45929</v>
      </c>
      <c r="D3890" s="7">
        <v>46065</v>
      </c>
      <c r="E3890" s="8">
        <v>5</v>
      </c>
      <c r="F3890" s="6" t="str">
        <f t="shared" si="986"/>
        <v>PURE R</v>
      </c>
      <c r="G3890" s="6" t="str">
        <f>"R010000635000000"</f>
        <v>R010000635000000</v>
      </c>
      <c r="H3890" s="6" t="str">
        <f>"Alexis Cotoral Pure"</f>
        <v>Alexis Cotoral Pure</v>
      </c>
      <c r="I3890" s="6" t="str">
        <f t="shared" si="987"/>
        <v>2096</v>
      </c>
      <c r="J3890" s="6" t="str">
        <f t="shared" si="988"/>
        <v>AZUL 2096</v>
      </c>
      <c r="K3890" s="6" t="str">
        <f>"5006"</f>
        <v>5006</v>
      </c>
      <c r="L3890" s="6" t="str">
        <f t="shared" si="989"/>
        <v>Roupões Adulto</v>
      </c>
      <c r="M3890" s="6" t="str">
        <f>"L"</f>
        <v>L</v>
      </c>
      <c r="N3890" s="6" t="str">
        <f>"5602972838282"</f>
        <v>5602972838282</v>
      </c>
      <c r="O3890" s="8">
        <v>36</v>
      </c>
      <c r="P3890" s="7">
        <v>45929</v>
      </c>
      <c r="R3890" s="8">
        <v>0</v>
      </c>
      <c r="S3890" s="7">
        <v>45932</v>
      </c>
      <c r="U3890" s="8">
        <v>0</v>
      </c>
      <c r="V3890" s="7">
        <v>45943</v>
      </c>
      <c r="X3890" s="8">
        <v>0</v>
      </c>
      <c r="Z3890" s="8">
        <v>0</v>
      </c>
      <c r="AA3890" s="7">
        <v>45953</v>
      </c>
      <c r="AC3890" s="8">
        <v>0</v>
      </c>
      <c r="AE3890" s="7">
        <v>45971</v>
      </c>
      <c r="AF3890" s="8">
        <v>0</v>
      </c>
      <c r="AH3890" s="7">
        <v>45971</v>
      </c>
      <c r="AI3890" s="7">
        <v>45967</v>
      </c>
      <c r="AN3890" s="8">
        <v>0</v>
      </c>
      <c r="AO3890" s="8">
        <v>36</v>
      </c>
    </row>
    <row r="3891" spans="1:41" x14ac:dyDescent="0.25">
      <c r="A3891" s="6" t="str">
        <f t="shared" si="985"/>
        <v>525-2025000478</v>
      </c>
      <c r="B3891" s="6" t="str">
        <f t="shared" si="973"/>
        <v>Lasa Int</v>
      </c>
      <c r="C3891" s="7">
        <v>45929</v>
      </c>
      <c r="D3891" s="7">
        <v>46065</v>
      </c>
      <c r="E3891" s="8">
        <v>6</v>
      </c>
      <c r="F3891" s="6" t="str">
        <f t="shared" si="986"/>
        <v>PURE R</v>
      </c>
      <c r="G3891" s="6" t="str">
        <f>"R010000635000000"</f>
        <v>R010000635000000</v>
      </c>
      <c r="H3891" s="6" t="str">
        <f>"Alexis Cotoral Pure"</f>
        <v>Alexis Cotoral Pure</v>
      </c>
      <c r="I3891" s="6" t="str">
        <f t="shared" si="987"/>
        <v>2096</v>
      </c>
      <c r="J3891" s="6" t="str">
        <f t="shared" si="988"/>
        <v>AZUL 2096</v>
      </c>
      <c r="K3891" s="6" t="str">
        <f>"5008"</f>
        <v>5008</v>
      </c>
      <c r="L3891" s="6" t="str">
        <f t="shared" si="989"/>
        <v>Roupões Adulto</v>
      </c>
      <c r="M3891" s="6" t="str">
        <f>"XL"</f>
        <v>XL</v>
      </c>
      <c r="N3891" s="6" t="str">
        <f>"5602972838299"</f>
        <v>5602972838299</v>
      </c>
      <c r="O3891" s="8">
        <v>18</v>
      </c>
      <c r="P3891" s="7">
        <v>45929</v>
      </c>
      <c r="R3891" s="8">
        <v>0</v>
      </c>
      <c r="S3891" s="7">
        <v>45932</v>
      </c>
      <c r="U3891" s="8">
        <v>0</v>
      </c>
      <c r="V3891" s="7">
        <v>45943</v>
      </c>
      <c r="X3891" s="8">
        <v>0</v>
      </c>
      <c r="Z3891" s="8">
        <v>0</v>
      </c>
      <c r="AA3891" s="7">
        <v>45953</v>
      </c>
      <c r="AC3891" s="8">
        <v>0</v>
      </c>
      <c r="AE3891" s="7">
        <v>45971</v>
      </c>
      <c r="AF3891" s="8">
        <v>0</v>
      </c>
      <c r="AH3891" s="7">
        <v>45971</v>
      </c>
      <c r="AI3891" s="7">
        <v>45967</v>
      </c>
      <c r="AN3891" s="8">
        <v>0</v>
      </c>
      <c r="AO3891" s="8">
        <v>18</v>
      </c>
    </row>
    <row r="3892" spans="1:41" x14ac:dyDescent="0.25">
      <c r="A3892" s="6" t="str">
        <f t="shared" si="985"/>
        <v>525-2025000478</v>
      </c>
      <c r="B3892" s="6" t="str">
        <f t="shared" si="973"/>
        <v>Lasa Int</v>
      </c>
      <c r="C3892" s="7">
        <v>45929</v>
      </c>
      <c r="D3892" s="7">
        <v>46065</v>
      </c>
      <c r="E3892" s="8">
        <v>7</v>
      </c>
      <c r="F3892" s="6" t="str">
        <f t="shared" si="986"/>
        <v>PURE R</v>
      </c>
      <c r="G3892" s="6" t="str">
        <f>"R120203038500000"</f>
        <v>R120203038500000</v>
      </c>
      <c r="H3892" s="6" t="str">
        <f>"R 2030 - Ketten PURE"</f>
        <v>R 2030 - Ketten PURE</v>
      </c>
      <c r="I3892" s="6" t="str">
        <f t="shared" si="987"/>
        <v>2096</v>
      </c>
      <c r="J3892" s="6" t="str">
        <f t="shared" si="988"/>
        <v>AZUL 2096</v>
      </c>
      <c r="K3892" s="6" t="str">
        <f>"5004"</f>
        <v>5004</v>
      </c>
      <c r="L3892" s="6" t="str">
        <f t="shared" si="989"/>
        <v>Roupões Adulto</v>
      </c>
      <c r="M3892" s="6" t="str">
        <f>"M"</f>
        <v>M</v>
      </c>
      <c r="N3892" s="6" t="str">
        <f>"5605247644878"</f>
        <v>5605247644878</v>
      </c>
      <c r="O3892" s="8">
        <v>36</v>
      </c>
      <c r="P3892" s="7">
        <v>45929</v>
      </c>
      <c r="R3892" s="8">
        <v>0</v>
      </c>
      <c r="S3892" s="7">
        <v>45932</v>
      </c>
      <c r="U3892" s="8">
        <v>0</v>
      </c>
      <c r="V3892" s="7">
        <v>45943</v>
      </c>
      <c r="X3892" s="8">
        <v>0</v>
      </c>
      <c r="Z3892" s="8">
        <v>0</v>
      </c>
      <c r="AA3892" s="7">
        <v>45953</v>
      </c>
      <c r="AC3892" s="8">
        <v>0</v>
      </c>
      <c r="AE3892" s="7">
        <v>45971</v>
      </c>
      <c r="AF3892" s="8">
        <v>0</v>
      </c>
      <c r="AH3892" s="7">
        <v>45971</v>
      </c>
      <c r="AI3892" s="7">
        <v>45967</v>
      </c>
      <c r="AN3892" s="8">
        <v>0</v>
      </c>
      <c r="AO3892" s="8">
        <v>36</v>
      </c>
    </row>
    <row r="3893" spans="1:41" x14ac:dyDescent="0.25">
      <c r="A3893" s="6" t="str">
        <f t="shared" si="985"/>
        <v>525-2025000478</v>
      </c>
      <c r="B3893" s="6" t="str">
        <f t="shared" si="973"/>
        <v>Lasa Int</v>
      </c>
      <c r="C3893" s="7">
        <v>45929</v>
      </c>
      <c r="D3893" s="7">
        <v>46065</v>
      </c>
      <c r="E3893" s="8">
        <v>8</v>
      </c>
      <c r="F3893" s="6" t="str">
        <f t="shared" si="986"/>
        <v>PURE R</v>
      </c>
      <c r="G3893" s="6" t="str">
        <f>"R120203038500000"</f>
        <v>R120203038500000</v>
      </c>
      <c r="H3893" s="6" t="str">
        <f>"R 2030 - Ketten PURE"</f>
        <v>R 2030 - Ketten PURE</v>
      </c>
      <c r="I3893" s="6" t="str">
        <f t="shared" si="987"/>
        <v>2096</v>
      </c>
      <c r="J3893" s="6" t="str">
        <f t="shared" si="988"/>
        <v>AZUL 2096</v>
      </c>
      <c r="K3893" s="6" t="str">
        <f>"5006"</f>
        <v>5006</v>
      </c>
      <c r="L3893" s="6" t="str">
        <f t="shared" si="989"/>
        <v>Roupões Adulto</v>
      </c>
      <c r="M3893" s="6" t="str">
        <f>"L"</f>
        <v>L</v>
      </c>
      <c r="N3893" s="6" t="str">
        <f>"5605247644885"</f>
        <v>5605247644885</v>
      </c>
      <c r="O3893" s="8">
        <v>12</v>
      </c>
      <c r="P3893" s="7">
        <v>45929</v>
      </c>
      <c r="R3893" s="8">
        <v>0</v>
      </c>
      <c r="S3893" s="7">
        <v>45932</v>
      </c>
      <c r="U3893" s="8">
        <v>0</v>
      </c>
      <c r="V3893" s="7">
        <v>45943</v>
      </c>
      <c r="X3893" s="8">
        <v>0</v>
      </c>
      <c r="Z3893" s="8">
        <v>0</v>
      </c>
      <c r="AA3893" s="7">
        <v>45953</v>
      </c>
      <c r="AC3893" s="8">
        <v>0</v>
      </c>
      <c r="AE3893" s="7">
        <v>45971</v>
      </c>
      <c r="AF3893" s="8">
        <v>0</v>
      </c>
      <c r="AH3893" s="7">
        <v>45971</v>
      </c>
      <c r="AI3893" s="7">
        <v>45967</v>
      </c>
      <c r="AN3893" s="8">
        <v>0</v>
      </c>
      <c r="AO3893" s="8">
        <v>12</v>
      </c>
    </row>
    <row r="3894" spans="1:41" x14ac:dyDescent="0.25">
      <c r="A3894" s="6" t="str">
        <f t="shared" si="985"/>
        <v>525-2025000478</v>
      </c>
      <c r="B3894" s="6" t="str">
        <f t="shared" si="973"/>
        <v>Lasa Int</v>
      </c>
      <c r="C3894" s="7">
        <v>45929</v>
      </c>
      <c r="D3894" s="7">
        <v>46065</v>
      </c>
      <c r="E3894" s="8">
        <v>9</v>
      </c>
      <c r="F3894" s="6" t="str">
        <f t="shared" si="986"/>
        <v>PURE R</v>
      </c>
      <c r="G3894" s="6" t="str">
        <f>"R120203038500000"</f>
        <v>R120203038500000</v>
      </c>
      <c r="H3894" s="6" t="str">
        <f>"R 2030 - Ketten PURE"</f>
        <v>R 2030 - Ketten PURE</v>
      </c>
      <c r="I3894" s="6" t="str">
        <f t="shared" si="987"/>
        <v>2096</v>
      </c>
      <c r="J3894" s="6" t="str">
        <f t="shared" si="988"/>
        <v>AZUL 2096</v>
      </c>
      <c r="K3894" s="6" t="str">
        <f>"5008"</f>
        <v>5008</v>
      </c>
      <c r="L3894" s="6" t="str">
        <f t="shared" si="989"/>
        <v>Roupões Adulto</v>
      </c>
      <c r="M3894" s="6" t="str">
        <f>"XL"</f>
        <v>XL</v>
      </c>
      <c r="N3894" s="6" t="str">
        <f>"5605247644892"</f>
        <v>5605247644892</v>
      </c>
      <c r="O3894" s="8">
        <v>36</v>
      </c>
      <c r="P3894" s="7">
        <v>45929</v>
      </c>
      <c r="R3894" s="8">
        <v>0</v>
      </c>
      <c r="S3894" s="7">
        <v>45932</v>
      </c>
      <c r="U3894" s="8">
        <v>0</v>
      </c>
      <c r="V3894" s="7">
        <v>45943</v>
      </c>
      <c r="X3894" s="8">
        <v>0</v>
      </c>
      <c r="Z3894" s="8">
        <v>0</v>
      </c>
      <c r="AA3894" s="7">
        <v>45953</v>
      </c>
      <c r="AC3894" s="8">
        <v>0</v>
      </c>
      <c r="AE3894" s="7">
        <v>45971</v>
      </c>
      <c r="AF3894" s="8">
        <v>0</v>
      </c>
      <c r="AH3894" s="7">
        <v>45971</v>
      </c>
      <c r="AI3894" s="7">
        <v>45967</v>
      </c>
      <c r="AN3894" s="8">
        <v>0</v>
      </c>
      <c r="AO3894" s="8">
        <v>36</v>
      </c>
    </row>
    <row r="3895" spans="1:41" x14ac:dyDescent="0.25">
      <c r="A3895" s="6" t="str">
        <f t="shared" si="985"/>
        <v>525-2025000478</v>
      </c>
      <c r="B3895" s="6" t="str">
        <f t="shared" si="973"/>
        <v>Lasa Int</v>
      </c>
      <c r="C3895" s="7">
        <v>45929</v>
      </c>
      <c r="D3895" s="7">
        <v>46065</v>
      </c>
      <c r="E3895" s="8">
        <v>10</v>
      </c>
      <c r="F3895" s="6" t="str">
        <f t="shared" si="986"/>
        <v>PURE R</v>
      </c>
      <c r="G3895" s="6" t="str">
        <f>"R120203038500000"</f>
        <v>R120203038500000</v>
      </c>
      <c r="H3895" s="6" t="str">
        <f>"R 2030 - Ketten PURE"</f>
        <v>R 2030 - Ketten PURE</v>
      </c>
      <c r="I3895" s="6" t="str">
        <f t="shared" si="987"/>
        <v>2096</v>
      </c>
      <c r="J3895" s="6" t="str">
        <f t="shared" si="988"/>
        <v>AZUL 2096</v>
      </c>
      <c r="K3895" s="6" t="str">
        <f>"5010"</f>
        <v>5010</v>
      </c>
      <c r="L3895" s="6" t="str">
        <f t="shared" si="989"/>
        <v>Roupões Adulto</v>
      </c>
      <c r="M3895" s="6" t="str">
        <f>"XXL"</f>
        <v>XXL</v>
      </c>
      <c r="N3895" s="6" t="str">
        <f>"5605247644908"</f>
        <v>5605247644908</v>
      </c>
      <c r="O3895" s="8">
        <v>12</v>
      </c>
      <c r="P3895" s="7">
        <v>45929</v>
      </c>
      <c r="R3895" s="8">
        <v>0</v>
      </c>
      <c r="S3895" s="7">
        <v>45932</v>
      </c>
      <c r="U3895" s="8">
        <v>0</v>
      </c>
      <c r="V3895" s="7">
        <v>45943</v>
      </c>
      <c r="X3895" s="8">
        <v>0</v>
      </c>
      <c r="Z3895" s="8">
        <v>0</v>
      </c>
      <c r="AA3895" s="7">
        <v>45953</v>
      </c>
      <c r="AC3895" s="8">
        <v>0</v>
      </c>
      <c r="AE3895" s="7">
        <v>45971</v>
      </c>
      <c r="AF3895" s="8">
        <v>0</v>
      </c>
      <c r="AH3895" s="7">
        <v>45971</v>
      </c>
      <c r="AI3895" s="7">
        <v>45967</v>
      </c>
      <c r="AN3895" s="8">
        <v>0</v>
      </c>
      <c r="AO3895" s="8">
        <v>12</v>
      </c>
    </row>
    <row r="3896" spans="1:41" x14ac:dyDescent="0.25">
      <c r="A3896" s="6" t="str">
        <f t="shared" ref="A3896:A3913" si="990">"525-2025000480"</f>
        <v>525-2025000480</v>
      </c>
      <c r="B3896" s="6" t="str">
        <f t="shared" si="973"/>
        <v>Lasa Int</v>
      </c>
      <c r="C3896" s="7">
        <v>45930</v>
      </c>
      <c r="D3896" s="7">
        <v>46068</v>
      </c>
      <c r="E3896" s="8">
        <v>1</v>
      </c>
      <c r="F3896" s="6" t="str">
        <f t="shared" ref="F3896:F3913" si="991">"Nico"</f>
        <v>Nico</v>
      </c>
      <c r="G3896" s="6" t="str">
        <f t="shared" ref="G3896:G3913" si="992">"R330305936000000"</f>
        <v>R330305936000000</v>
      </c>
      <c r="H3896" s="6" t="str">
        <f t="shared" ref="H3896:H3913" si="993">"R 3059 - PLA 1993 (m"</f>
        <v>R 3059 - PLA 1993 (m</v>
      </c>
      <c r="I3896" s="6" t="str">
        <f t="shared" ref="I3896:I3902" si="994">"201690"</f>
        <v>201690</v>
      </c>
      <c r="J3896" s="6" t="str">
        <f t="shared" ref="J3896:J3902" si="995">"AZUL 1690"</f>
        <v>AZUL 1690</v>
      </c>
      <c r="K3896" s="6" t="str">
        <f>"5202"</f>
        <v>5202</v>
      </c>
      <c r="L3896" s="6" t="str">
        <f t="shared" ref="L3896:L3913" si="996">"Roupões Criança"</f>
        <v>Roupões Criança</v>
      </c>
      <c r="M3896" s="6" t="str">
        <f>"2 Anos"</f>
        <v>2 Anos</v>
      </c>
      <c r="N3896" s="6" t="str">
        <f>"5602972607604"</f>
        <v>5602972607604</v>
      </c>
      <c r="O3896" s="8">
        <v>24</v>
      </c>
      <c r="P3896" s="7">
        <v>45972</v>
      </c>
      <c r="R3896" s="8">
        <v>382</v>
      </c>
      <c r="S3896" s="7">
        <v>45975</v>
      </c>
      <c r="U3896" s="8">
        <v>382</v>
      </c>
      <c r="V3896" s="7">
        <v>45982</v>
      </c>
      <c r="X3896" s="8">
        <v>382</v>
      </c>
      <c r="Z3896" s="8">
        <v>0</v>
      </c>
      <c r="AA3896" s="7">
        <v>46000</v>
      </c>
      <c r="AC3896" s="8">
        <v>0</v>
      </c>
      <c r="AE3896" s="7">
        <v>46003</v>
      </c>
      <c r="AF3896" s="8">
        <v>0</v>
      </c>
      <c r="AH3896" s="7">
        <v>46003</v>
      </c>
      <c r="AN3896" s="8">
        <v>0</v>
      </c>
      <c r="AO3896" s="8">
        <v>24</v>
      </c>
    </row>
    <row r="3897" spans="1:41" x14ac:dyDescent="0.25">
      <c r="A3897" s="6" t="str">
        <f t="shared" si="990"/>
        <v>525-2025000480</v>
      </c>
      <c r="B3897" s="6" t="str">
        <f t="shared" si="973"/>
        <v>Lasa Int</v>
      </c>
      <c r="C3897" s="7">
        <v>45930</v>
      </c>
      <c r="D3897" s="7">
        <v>46068</v>
      </c>
      <c r="E3897" s="8">
        <v>2</v>
      </c>
      <c r="F3897" s="6" t="str">
        <f t="shared" si="991"/>
        <v>Nico</v>
      </c>
      <c r="G3897" s="6" t="str">
        <f t="shared" si="992"/>
        <v>R330305936000000</v>
      </c>
      <c r="H3897" s="6" t="str">
        <f t="shared" si="993"/>
        <v>R 3059 - PLA 1993 (m</v>
      </c>
      <c r="I3897" s="6" t="str">
        <f t="shared" si="994"/>
        <v>201690</v>
      </c>
      <c r="J3897" s="6" t="str">
        <f t="shared" si="995"/>
        <v>AZUL 1690</v>
      </c>
      <c r="K3897" s="6" t="str">
        <f>"5204"</f>
        <v>5204</v>
      </c>
      <c r="L3897" s="6" t="str">
        <f t="shared" si="996"/>
        <v>Roupões Criança</v>
      </c>
      <c r="M3897" s="6" t="str">
        <f>"4 Anos"</f>
        <v>4 Anos</v>
      </c>
      <c r="N3897" s="6" t="str">
        <f>"5602972607611"</f>
        <v>5602972607611</v>
      </c>
      <c r="O3897" s="8">
        <v>36</v>
      </c>
      <c r="P3897" s="7">
        <v>45972</v>
      </c>
      <c r="R3897" s="8">
        <v>0</v>
      </c>
      <c r="S3897" s="7">
        <v>45975</v>
      </c>
      <c r="U3897" s="8">
        <v>0</v>
      </c>
      <c r="V3897" s="7">
        <v>45982</v>
      </c>
      <c r="X3897" s="8">
        <v>0</v>
      </c>
      <c r="Z3897" s="8">
        <v>0</v>
      </c>
      <c r="AA3897" s="7">
        <v>46000</v>
      </c>
      <c r="AC3897" s="8">
        <v>0</v>
      </c>
      <c r="AE3897" s="7">
        <v>46003</v>
      </c>
      <c r="AF3897" s="8">
        <v>0</v>
      </c>
      <c r="AH3897" s="7">
        <v>46003</v>
      </c>
      <c r="AN3897" s="8">
        <v>0</v>
      </c>
      <c r="AO3897" s="8">
        <v>36</v>
      </c>
    </row>
    <row r="3898" spans="1:41" x14ac:dyDescent="0.25">
      <c r="A3898" s="6" t="str">
        <f t="shared" si="990"/>
        <v>525-2025000480</v>
      </c>
      <c r="B3898" s="6" t="str">
        <f t="shared" si="973"/>
        <v>Lasa Int</v>
      </c>
      <c r="C3898" s="7">
        <v>45930</v>
      </c>
      <c r="D3898" s="7">
        <v>46068</v>
      </c>
      <c r="E3898" s="8">
        <v>3</v>
      </c>
      <c r="F3898" s="6" t="str">
        <f t="shared" si="991"/>
        <v>Nico</v>
      </c>
      <c r="G3898" s="6" t="str">
        <f t="shared" si="992"/>
        <v>R330305936000000</v>
      </c>
      <c r="H3898" s="6" t="str">
        <f t="shared" si="993"/>
        <v>R 3059 - PLA 1993 (m</v>
      </c>
      <c r="I3898" s="6" t="str">
        <f t="shared" si="994"/>
        <v>201690</v>
      </c>
      <c r="J3898" s="6" t="str">
        <f t="shared" si="995"/>
        <v>AZUL 1690</v>
      </c>
      <c r="K3898" s="6" t="str">
        <f>"5206"</f>
        <v>5206</v>
      </c>
      <c r="L3898" s="6" t="str">
        <f t="shared" si="996"/>
        <v>Roupões Criança</v>
      </c>
      <c r="M3898" s="6" t="str">
        <f>"6 Anos"</f>
        <v>6 Anos</v>
      </c>
      <c r="N3898" s="6" t="str">
        <f>"5602972607628"</f>
        <v>5602972607628</v>
      </c>
      <c r="O3898" s="8">
        <v>24</v>
      </c>
      <c r="P3898" s="7">
        <v>45972</v>
      </c>
      <c r="R3898" s="8">
        <v>0</v>
      </c>
      <c r="S3898" s="7">
        <v>45975</v>
      </c>
      <c r="U3898" s="8">
        <v>0</v>
      </c>
      <c r="V3898" s="7">
        <v>45982</v>
      </c>
      <c r="X3898" s="8">
        <v>0</v>
      </c>
      <c r="Z3898" s="8">
        <v>0</v>
      </c>
      <c r="AA3898" s="7">
        <v>46000</v>
      </c>
      <c r="AC3898" s="8">
        <v>0</v>
      </c>
      <c r="AE3898" s="7">
        <v>46003</v>
      </c>
      <c r="AF3898" s="8">
        <v>0</v>
      </c>
      <c r="AH3898" s="7">
        <v>46003</v>
      </c>
      <c r="AN3898" s="8">
        <v>0</v>
      </c>
      <c r="AO3898" s="8">
        <v>24</v>
      </c>
    </row>
    <row r="3899" spans="1:41" x14ac:dyDescent="0.25">
      <c r="A3899" s="6" t="str">
        <f t="shared" si="990"/>
        <v>525-2025000480</v>
      </c>
      <c r="B3899" s="6" t="str">
        <f t="shared" si="973"/>
        <v>Lasa Int</v>
      </c>
      <c r="C3899" s="7">
        <v>45930</v>
      </c>
      <c r="D3899" s="7">
        <v>46068</v>
      </c>
      <c r="E3899" s="8">
        <v>4</v>
      </c>
      <c r="F3899" s="6" t="str">
        <f t="shared" si="991"/>
        <v>Nico</v>
      </c>
      <c r="G3899" s="6" t="str">
        <f t="shared" si="992"/>
        <v>R330305936000000</v>
      </c>
      <c r="H3899" s="6" t="str">
        <f t="shared" si="993"/>
        <v>R 3059 - PLA 1993 (m</v>
      </c>
      <c r="I3899" s="6" t="str">
        <f t="shared" si="994"/>
        <v>201690</v>
      </c>
      <c r="J3899" s="6" t="str">
        <f t="shared" si="995"/>
        <v>AZUL 1690</v>
      </c>
      <c r="K3899" s="6" t="str">
        <f>"5208"</f>
        <v>5208</v>
      </c>
      <c r="L3899" s="6" t="str">
        <f t="shared" si="996"/>
        <v>Roupões Criança</v>
      </c>
      <c r="M3899" s="6" t="str">
        <f>"8 Anos"</f>
        <v>8 Anos</v>
      </c>
      <c r="N3899" s="6" t="str">
        <f>"5602972607635"</f>
        <v>5602972607635</v>
      </c>
      <c r="O3899" s="8">
        <v>36</v>
      </c>
      <c r="P3899" s="7">
        <v>45972</v>
      </c>
      <c r="R3899" s="8">
        <v>0</v>
      </c>
      <c r="S3899" s="7">
        <v>45975</v>
      </c>
      <c r="U3899" s="8">
        <v>0</v>
      </c>
      <c r="V3899" s="7">
        <v>45982</v>
      </c>
      <c r="X3899" s="8">
        <v>0</v>
      </c>
      <c r="Z3899" s="8">
        <v>0</v>
      </c>
      <c r="AA3899" s="7">
        <v>46000</v>
      </c>
      <c r="AC3899" s="8">
        <v>0</v>
      </c>
      <c r="AE3899" s="7">
        <v>46003</v>
      </c>
      <c r="AF3899" s="8">
        <v>0</v>
      </c>
      <c r="AH3899" s="7">
        <v>46003</v>
      </c>
      <c r="AN3899" s="8">
        <v>0</v>
      </c>
      <c r="AO3899" s="8">
        <v>36</v>
      </c>
    </row>
    <row r="3900" spans="1:41" x14ac:dyDescent="0.25">
      <c r="A3900" s="6" t="str">
        <f t="shared" si="990"/>
        <v>525-2025000480</v>
      </c>
      <c r="B3900" s="6" t="str">
        <f t="shared" si="973"/>
        <v>Lasa Int</v>
      </c>
      <c r="C3900" s="7">
        <v>45930</v>
      </c>
      <c r="D3900" s="7">
        <v>46068</v>
      </c>
      <c r="E3900" s="8">
        <v>5</v>
      </c>
      <c r="F3900" s="6" t="str">
        <f t="shared" si="991"/>
        <v>Nico</v>
      </c>
      <c r="G3900" s="6" t="str">
        <f t="shared" si="992"/>
        <v>R330305936000000</v>
      </c>
      <c r="H3900" s="6" t="str">
        <f t="shared" si="993"/>
        <v>R 3059 - PLA 1993 (m</v>
      </c>
      <c r="I3900" s="6" t="str">
        <f t="shared" si="994"/>
        <v>201690</v>
      </c>
      <c r="J3900" s="6" t="str">
        <f t="shared" si="995"/>
        <v>AZUL 1690</v>
      </c>
      <c r="K3900" s="6" t="str">
        <f>"5210"</f>
        <v>5210</v>
      </c>
      <c r="L3900" s="6" t="str">
        <f t="shared" si="996"/>
        <v>Roupões Criança</v>
      </c>
      <c r="M3900" s="6" t="str">
        <f>"10 Anos"</f>
        <v>10 Anos</v>
      </c>
      <c r="N3900" s="6" t="str">
        <f>"5602972607642"</f>
        <v>5602972607642</v>
      </c>
      <c r="O3900" s="8">
        <v>60</v>
      </c>
      <c r="P3900" s="7">
        <v>45972</v>
      </c>
      <c r="R3900" s="8">
        <v>0</v>
      </c>
      <c r="S3900" s="7">
        <v>45975</v>
      </c>
      <c r="U3900" s="8">
        <v>0</v>
      </c>
      <c r="V3900" s="7">
        <v>45982</v>
      </c>
      <c r="X3900" s="8">
        <v>0</v>
      </c>
      <c r="Z3900" s="8">
        <v>0</v>
      </c>
      <c r="AA3900" s="7">
        <v>46000</v>
      </c>
      <c r="AC3900" s="8">
        <v>0</v>
      </c>
      <c r="AE3900" s="7">
        <v>46003</v>
      </c>
      <c r="AF3900" s="8">
        <v>0</v>
      </c>
      <c r="AH3900" s="7">
        <v>46003</v>
      </c>
      <c r="AN3900" s="8">
        <v>0</v>
      </c>
      <c r="AO3900" s="8">
        <v>60</v>
      </c>
    </row>
    <row r="3901" spans="1:41" x14ac:dyDescent="0.25">
      <c r="A3901" s="6" t="str">
        <f t="shared" si="990"/>
        <v>525-2025000480</v>
      </c>
      <c r="B3901" s="6" t="str">
        <f t="shared" si="973"/>
        <v>Lasa Int</v>
      </c>
      <c r="C3901" s="7">
        <v>45930</v>
      </c>
      <c r="D3901" s="7">
        <v>46068</v>
      </c>
      <c r="E3901" s="8">
        <v>6</v>
      </c>
      <c r="F3901" s="6" t="str">
        <f t="shared" si="991"/>
        <v>Nico</v>
      </c>
      <c r="G3901" s="6" t="str">
        <f t="shared" si="992"/>
        <v>R330305936000000</v>
      </c>
      <c r="H3901" s="6" t="str">
        <f t="shared" si="993"/>
        <v>R 3059 - PLA 1993 (m</v>
      </c>
      <c r="I3901" s="6" t="str">
        <f t="shared" si="994"/>
        <v>201690</v>
      </c>
      <c r="J3901" s="6" t="str">
        <f t="shared" si="995"/>
        <v>AZUL 1690</v>
      </c>
      <c r="K3901" s="6" t="str">
        <f>"5212"</f>
        <v>5212</v>
      </c>
      <c r="L3901" s="6" t="str">
        <f t="shared" si="996"/>
        <v>Roupões Criança</v>
      </c>
      <c r="M3901" s="6" t="str">
        <f>"12 Anos"</f>
        <v>12 Anos</v>
      </c>
      <c r="N3901" s="6" t="str">
        <f>"5602972623413"</f>
        <v>5602972623413</v>
      </c>
      <c r="O3901" s="8">
        <v>60</v>
      </c>
      <c r="P3901" s="7">
        <v>45972</v>
      </c>
      <c r="R3901" s="8">
        <v>0</v>
      </c>
      <c r="S3901" s="7">
        <v>45975</v>
      </c>
      <c r="U3901" s="8">
        <v>0</v>
      </c>
      <c r="V3901" s="7">
        <v>45982</v>
      </c>
      <c r="X3901" s="8">
        <v>0</v>
      </c>
      <c r="Z3901" s="8">
        <v>0</v>
      </c>
      <c r="AA3901" s="7">
        <v>46000</v>
      </c>
      <c r="AC3901" s="8">
        <v>0</v>
      </c>
      <c r="AE3901" s="7">
        <v>46003</v>
      </c>
      <c r="AF3901" s="8">
        <v>0</v>
      </c>
      <c r="AH3901" s="7">
        <v>46003</v>
      </c>
      <c r="AN3901" s="8">
        <v>0</v>
      </c>
      <c r="AO3901" s="8">
        <v>60</v>
      </c>
    </row>
    <row r="3902" spans="1:41" x14ac:dyDescent="0.25">
      <c r="A3902" s="6" t="str">
        <f t="shared" si="990"/>
        <v>525-2025000480</v>
      </c>
      <c r="B3902" s="6" t="str">
        <f t="shared" si="973"/>
        <v>Lasa Int</v>
      </c>
      <c r="C3902" s="7">
        <v>45930</v>
      </c>
      <c r="D3902" s="7">
        <v>46068</v>
      </c>
      <c r="E3902" s="8">
        <v>7</v>
      </c>
      <c r="F3902" s="6" t="str">
        <f t="shared" si="991"/>
        <v>Nico</v>
      </c>
      <c r="G3902" s="6" t="str">
        <f t="shared" si="992"/>
        <v>R330305936000000</v>
      </c>
      <c r="H3902" s="6" t="str">
        <f t="shared" si="993"/>
        <v>R 3059 - PLA 1993 (m</v>
      </c>
      <c r="I3902" s="6" t="str">
        <f t="shared" si="994"/>
        <v>201690</v>
      </c>
      <c r="J3902" s="6" t="str">
        <f t="shared" si="995"/>
        <v>AZUL 1690</v>
      </c>
      <c r="K3902" s="6" t="str">
        <f>"5214"</f>
        <v>5214</v>
      </c>
      <c r="L3902" s="6" t="str">
        <f t="shared" si="996"/>
        <v>Roupões Criança</v>
      </c>
      <c r="M3902" s="6" t="str">
        <f>"14 Anos"</f>
        <v>14 Anos</v>
      </c>
      <c r="N3902" s="6" t="str">
        <f>"5602972623420"</f>
        <v>5602972623420</v>
      </c>
      <c r="O3902" s="8">
        <v>48</v>
      </c>
      <c r="P3902" s="7">
        <v>45972</v>
      </c>
      <c r="R3902" s="8">
        <v>0</v>
      </c>
      <c r="S3902" s="7">
        <v>45975</v>
      </c>
      <c r="U3902" s="8">
        <v>0</v>
      </c>
      <c r="V3902" s="7">
        <v>45982</v>
      </c>
      <c r="X3902" s="8">
        <v>0</v>
      </c>
      <c r="Z3902" s="8">
        <v>0</v>
      </c>
      <c r="AA3902" s="7">
        <v>46000</v>
      </c>
      <c r="AC3902" s="8">
        <v>0</v>
      </c>
      <c r="AE3902" s="7">
        <v>46003</v>
      </c>
      <c r="AF3902" s="8">
        <v>0</v>
      </c>
      <c r="AH3902" s="7">
        <v>46003</v>
      </c>
      <c r="AN3902" s="8">
        <v>0</v>
      </c>
      <c r="AO3902" s="8">
        <v>48</v>
      </c>
    </row>
    <row r="3903" spans="1:41" x14ac:dyDescent="0.25">
      <c r="A3903" s="6" t="str">
        <f t="shared" si="990"/>
        <v>525-2025000480</v>
      </c>
      <c r="B3903" s="6" t="str">
        <f t="shared" si="973"/>
        <v>Lasa Int</v>
      </c>
      <c r="C3903" s="7">
        <v>45930</v>
      </c>
      <c r="D3903" s="7">
        <v>46068</v>
      </c>
      <c r="E3903" s="8">
        <v>8</v>
      </c>
      <c r="F3903" s="6" t="str">
        <f t="shared" si="991"/>
        <v>Nico</v>
      </c>
      <c r="G3903" s="6" t="str">
        <f t="shared" si="992"/>
        <v>R330305936000000</v>
      </c>
      <c r="H3903" s="6" t="str">
        <f t="shared" si="993"/>
        <v>R 3059 - PLA 1993 (m</v>
      </c>
      <c r="I3903" s="6" t="str">
        <f t="shared" ref="I3903:I3909" si="997">"202833"</f>
        <v>202833</v>
      </c>
      <c r="J3903" s="6" t="str">
        <f t="shared" ref="J3903:J3909" si="998">"CINZA 2833"</f>
        <v>CINZA 2833</v>
      </c>
      <c r="K3903" s="6" t="str">
        <f>"5202"</f>
        <v>5202</v>
      </c>
      <c r="L3903" s="6" t="str">
        <f t="shared" si="996"/>
        <v>Roupões Criança</v>
      </c>
      <c r="M3903" s="6" t="str">
        <f>"2 Anos"</f>
        <v>2 Anos</v>
      </c>
      <c r="N3903" s="6" t="str">
        <f>"5602972607659"</f>
        <v>5602972607659</v>
      </c>
      <c r="O3903" s="8">
        <v>12</v>
      </c>
      <c r="P3903" s="7">
        <v>45972</v>
      </c>
      <c r="R3903" s="8">
        <v>353</v>
      </c>
      <c r="S3903" s="7">
        <v>45975</v>
      </c>
      <c r="U3903" s="8">
        <v>353</v>
      </c>
      <c r="V3903" s="7">
        <v>45982</v>
      </c>
      <c r="X3903" s="8">
        <v>353</v>
      </c>
      <c r="Z3903" s="8">
        <v>0</v>
      </c>
      <c r="AA3903" s="7">
        <v>46000</v>
      </c>
      <c r="AC3903" s="8">
        <v>0</v>
      </c>
      <c r="AE3903" s="7">
        <v>46003</v>
      </c>
      <c r="AF3903" s="8">
        <v>0</v>
      </c>
      <c r="AH3903" s="7">
        <v>46003</v>
      </c>
      <c r="AN3903" s="8">
        <v>0</v>
      </c>
      <c r="AO3903" s="8">
        <v>12</v>
      </c>
    </row>
    <row r="3904" spans="1:41" x14ac:dyDescent="0.25">
      <c r="A3904" s="6" t="str">
        <f t="shared" si="990"/>
        <v>525-2025000480</v>
      </c>
      <c r="B3904" s="6" t="str">
        <f t="shared" si="973"/>
        <v>Lasa Int</v>
      </c>
      <c r="C3904" s="7">
        <v>45930</v>
      </c>
      <c r="D3904" s="7">
        <v>46068</v>
      </c>
      <c r="E3904" s="8">
        <v>9</v>
      </c>
      <c r="F3904" s="6" t="str">
        <f t="shared" si="991"/>
        <v>Nico</v>
      </c>
      <c r="G3904" s="6" t="str">
        <f t="shared" si="992"/>
        <v>R330305936000000</v>
      </c>
      <c r="H3904" s="6" t="str">
        <f t="shared" si="993"/>
        <v>R 3059 - PLA 1993 (m</v>
      </c>
      <c r="I3904" s="6" t="str">
        <f t="shared" si="997"/>
        <v>202833</v>
      </c>
      <c r="J3904" s="6" t="str">
        <f t="shared" si="998"/>
        <v>CINZA 2833</v>
      </c>
      <c r="K3904" s="6" t="str">
        <f>"5204"</f>
        <v>5204</v>
      </c>
      <c r="L3904" s="6" t="str">
        <f t="shared" si="996"/>
        <v>Roupões Criança</v>
      </c>
      <c r="M3904" s="6" t="str">
        <f>"4 Anos"</f>
        <v>4 Anos</v>
      </c>
      <c r="N3904" s="6" t="str">
        <f>"5602972607666"</f>
        <v>5602972607666</v>
      </c>
      <c r="O3904" s="8">
        <v>36</v>
      </c>
      <c r="P3904" s="7">
        <v>45972</v>
      </c>
      <c r="R3904" s="8">
        <v>0</v>
      </c>
      <c r="S3904" s="7">
        <v>45975</v>
      </c>
      <c r="U3904" s="8">
        <v>0</v>
      </c>
      <c r="V3904" s="7">
        <v>45982</v>
      </c>
      <c r="X3904" s="8">
        <v>0</v>
      </c>
      <c r="Z3904" s="8">
        <v>0</v>
      </c>
      <c r="AA3904" s="7">
        <v>46000</v>
      </c>
      <c r="AC3904" s="8">
        <v>0</v>
      </c>
      <c r="AE3904" s="7">
        <v>46003</v>
      </c>
      <c r="AF3904" s="8">
        <v>0</v>
      </c>
      <c r="AH3904" s="7">
        <v>46003</v>
      </c>
      <c r="AN3904" s="8">
        <v>0</v>
      </c>
      <c r="AO3904" s="8">
        <v>36</v>
      </c>
    </row>
    <row r="3905" spans="1:41" x14ac:dyDescent="0.25">
      <c r="A3905" s="6" t="str">
        <f t="shared" si="990"/>
        <v>525-2025000480</v>
      </c>
      <c r="B3905" s="6" t="str">
        <f t="shared" si="973"/>
        <v>Lasa Int</v>
      </c>
      <c r="C3905" s="7">
        <v>45930</v>
      </c>
      <c r="D3905" s="7">
        <v>46068</v>
      </c>
      <c r="E3905" s="8">
        <v>10</v>
      </c>
      <c r="F3905" s="6" t="str">
        <f t="shared" si="991"/>
        <v>Nico</v>
      </c>
      <c r="G3905" s="6" t="str">
        <f t="shared" si="992"/>
        <v>R330305936000000</v>
      </c>
      <c r="H3905" s="6" t="str">
        <f t="shared" si="993"/>
        <v>R 3059 - PLA 1993 (m</v>
      </c>
      <c r="I3905" s="6" t="str">
        <f t="shared" si="997"/>
        <v>202833</v>
      </c>
      <c r="J3905" s="6" t="str">
        <f t="shared" si="998"/>
        <v>CINZA 2833</v>
      </c>
      <c r="K3905" s="6" t="str">
        <f>"5206"</f>
        <v>5206</v>
      </c>
      <c r="L3905" s="6" t="str">
        <f t="shared" si="996"/>
        <v>Roupões Criança</v>
      </c>
      <c r="M3905" s="6" t="str">
        <f>"6 Anos"</f>
        <v>6 Anos</v>
      </c>
      <c r="N3905" s="6" t="str">
        <f>"5602972607673"</f>
        <v>5602972607673</v>
      </c>
      <c r="O3905" s="8">
        <v>12</v>
      </c>
      <c r="P3905" s="7">
        <v>45972</v>
      </c>
      <c r="R3905" s="8">
        <v>0</v>
      </c>
      <c r="S3905" s="7">
        <v>45975</v>
      </c>
      <c r="U3905" s="8">
        <v>0</v>
      </c>
      <c r="V3905" s="7">
        <v>45982</v>
      </c>
      <c r="X3905" s="8">
        <v>0</v>
      </c>
      <c r="Z3905" s="8">
        <v>0</v>
      </c>
      <c r="AA3905" s="7">
        <v>46000</v>
      </c>
      <c r="AC3905" s="8">
        <v>0</v>
      </c>
      <c r="AE3905" s="7">
        <v>46003</v>
      </c>
      <c r="AF3905" s="8">
        <v>0</v>
      </c>
      <c r="AH3905" s="7">
        <v>46003</v>
      </c>
      <c r="AN3905" s="8">
        <v>0</v>
      </c>
      <c r="AO3905" s="8">
        <v>12</v>
      </c>
    </row>
    <row r="3906" spans="1:41" x14ac:dyDescent="0.25">
      <c r="A3906" s="6" t="str">
        <f t="shared" si="990"/>
        <v>525-2025000480</v>
      </c>
      <c r="B3906" s="6" t="str">
        <f t="shared" ref="B3906:B3969" si="999">"Lasa Int"</f>
        <v>Lasa Int</v>
      </c>
      <c r="C3906" s="7">
        <v>45930</v>
      </c>
      <c r="D3906" s="7">
        <v>46068</v>
      </c>
      <c r="E3906" s="8">
        <v>11</v>
      </c>
      <c r="F3906" s="6" t="str">
        <f t="shared" si="991"/>
        <v>Nico</v>
      </c>
      <c r="G3906" s="6" t="str">
        <f t="shared" si="992"/>
        <v>R330305936000000</v>
      </c>
      <c r="H3906" s="6" t="str">
        <f t="shared" si="993"/>
        <v>R 3059 - PLA 1993 (m</v>
      </c>
      <c r="I3906" s="6" t="str">
        <f t="shared" si="997"/>
        <v>202833</v>
      </c>
      <c r="J3906" s="6" t="str">
        <f t="shared" si="998"/>
        <v>CINZA 2833</v>
      </c>
      <c r="K3906" s="6" t="str">
        <f>"5208"</f>
        <v>5208</v>
      </c>
      <c r="L3906" s="6" t="str">
        <f t="shared" si="996"/>
        <v>Roupões Criança</v>
      </c>
      <c r="M3906" s="6" t="str">
        <f>"8 Anos"</f>
        <v>8 Anos</v>
      </c>
      <c r="N3906" s="6" t="str">
        <f>"5602972607680"</f>
        <v>5602972607680</v>
      </c>
      <c r="O3906" s="8">
        <v>36</v>
      </c>
      <c r="P3906" s="7">
        <v>45972</v>
      </c>
      <c r="R3906" s="8">
        <v>0</v>
      </c>
      <c r="S3906" s="7">
        <v>45975</v>
      </c>
      <c r="U3906" s="8">
        <v>0</v>
      </c>
      <c r="V3906" s="7">
        <v>45982</v>
      </c>
      <c r="X3906" s="8">
        <v>0</v>
      </c>
      <c r="Z3906" s="8">
        <v>0</v>
      </c>
      <c r="AA3906" s="7">
        <v>46000</v>
      </c>
      <c r="AC3906" s="8">
        <v>0</v>
      </c>
      <c r="AE3906" s="7">
        <v>46003</v>
      </c>
      <c r="AF3906" s="8">
        <v>0</v>
      </c>
      <c r="AH3906" s="7">
        <v>46003</v>
      </c>
      <c r="AN3906" s="8">
        <v>0</v>
      </c>
      <c r="AO3906" s="8">
        <v>36</v>
      </c>
    </row>
    <row r="3907" spans="1:41" x14ac:dyDescent="0.25">
      <c r="A3907" s="6" t="str">
        <f t="shared" si="990"/>
        <v>525-2025000480</v>
      </c>
      <c r="B3907" s="6" t="str">
        <f t="shared" si="999"/>
        <v>Lasa Int</v>
      </c>
      <c r="C3907" s="7">
        <v>45930</v>
      </c>
      <c r="D3907" s="7">
        <v>46068</v>
      </c>
      <c r="E3907" s="8">
        <v>12</v>
      </c>
      <c r="F3907" s="6" t="str">
        <f t="shared" si="991"/>
        <v>Nico</v>
      </c>
      <c r="G3907" s="6" t="str">
        <f t="shared" si="992"/>
        <v>R330305936000000</v>
      </c>
      <c r="H3907" s="6" t="str">
        <f t="shared" si="993"/>
        <v>R 3059 - PLA 1993 (m</v>
      </c>
      <c r="I3907" s="6" t="str">
        <f t="shared" si="997"/>
        <v>202833</v>
      </c>
      <c r="J3907" s="6" t="str">
        <f t="shared" si="998"/>
        <v>CINZA 2833</v>
      </c>
      <c r="K3907" s="6" t="str">
        <f>"5210"</f>
        <v>5210</v>
      </c>
      <c r="L3907" s="6" t="str">
        <f t="shared" si="996"/>
        <v>Roupões Criança</v>
      </c>
      <c r="M3907" s="6" t="str">
        <f>"10 Anos"</f>
        <v>10 Anos</v>
      </c>
      <c r="N3907" s="6" t="str">
        <f>"5602972607697"</f>
        <v>5602972607697</v>
      </c>
      <c r="O3907" s="8">
        <v>60</v>
      </c>
      <c r="P3907" s="7">
        <v>45972</v>
      </c>
      <c r="R3907" s="8">
        <v>0</v>
      </c>
      <c r="S3907" s="7">
        <v>45975</v>
      </c>
      <c r="U3907" s="8">
        <v>0</v>
      </c>
      <c r="V3907" s="7">
        <v>45982</v>
      </c>
      <c r="X3907" s="8">
        <v>0</v>
      </c>
      <c r="Z3907" s="8">
        <v>0</v>
      </c>
      <c r="AA3907" s="7">
        <v>46000</v>
      </c>
      <c r="AC3907" s="8">
        <v>0</v>
      </c>
      <c r="AE3907" s="7">
        <v>46003</v>
      </c>
      <c r="AF3907" s="8">
        <v>0</v>
      </c>
      <c r="AH3907" s="7">
        <v>46003</v>
      </c>
      <c r="AN3907" s="8">
        <v>0</v>
      </c>
      <c r="AO3907" s="8">
        <v>60</v>
      </c>
    </row>
    <row r="3908" spans="1:41" x14ac:dyDescent="0.25">
      <c r="A3908" s="6" t="str">
        <f t="shared" si="990"/>
        <v>525-2025000480</v>
      </c>
      <c r="B3908" s="6" t="str">
        <f t="shared" si="999"/>
        <v>Lasa Int</v>
      </c>
      <c r="C3908" s="7">
        <v>45930</v>
      </c>
      <c r="D3908" s="7">
        <v>46068</v>
      </c>
      <c r="E3908" s="8">
        <v>13</v>
      </c>
      <c r="F3908" s="6" t="str">
        <f t="shared" si="991"/>
        <v>Nico</v>
      </c>
      <c r="G3908" s="6" t="str">
        <f t="shared" si="992"/>
        <v>R330305936000000</v>
      </c>
      <c r="H3908" s="6" t="str">
        <f t="shared" si="993"/>
        <v>R 3059 - PLA 1993 (m</v>
      </c>
      <c r="I3908" s="6" t="str">
        <f t="shared" si="997"/>
        <v>202833</v>
      </c>
      <c r="J3908" s="6" t="str">
        <f t="shared" si="998"/>
        <v>CINZA 2833</v>
      </c>
      <c r="K3908" s="6" t="str">
        <f>"5212"</f>
        <v>5212</v>
      </c>
      <c r="L3908" s="6" t="str">
        <f t="shared" si="996"/>
        <v>Roupões Criança</v>
      </c>
      <c r="M3908" s="6" t="str">
        <f>"12 Anos"</f>
        <v>12 Anos</v>
      </c>
      <c r="N3908" s="6" t="str">
        <f>"5602972623437"</f>
        <v>5602972623437</v>
      </c>
      <c r="O3908" s="8">
        <v>48</v>
      </c>
      <c r="P3908" s="7">
        <v>45972</v>
      </c>
      <c r="R3908" s="8">
        <v>0</v>
      </c>
      <c r="S3908" s="7">
        <v>45975</v>
      </c>
      <c r="U3908" s="8">
        <v>0</v>
      </c>
      <c r="V3908" s="7">
        <v>45982</v>
      </c>
      <c r="X3908" s="8">
        <v>0</v>
      </c>
      <c r="Z3908" s="8">
        <v>0</v>
      </c>
      <c r="AA3908" s="7">
        <v>46000</v>
      </c>
      <c r="AC3908" s="8">
        <v>0</v>
      </c>
      <c r="AE3908" s="7">
        <v>46003</v>
      </c>
      <c r="AF3908" s="8">
        <v>0</v>
      </c>
      <c r="AH3908" s="7">
        <v>46003</v>
      </c>
      <c r="AN3908" s="8">
        <v>0</v>
      </c>
      <c r="AO3908" s="8">
        <v>48</v>
      </c>
    </row>
    <row r="3909" spans="1:41" x14ac:dyDescent="0.25">
      <c r="A3909" s="6" t="str">
        <f t="shared" si="990"/>
        <v>525-2025000480</v>
      </c>
      <c r="B3909" s="6" t="str">
        <f t="shared" si="999"/>
        <v>Lasa Int</v>
      </c>
      <c r="C3909" s="7">
        <v>45930</v>
      </c>
      <c r="D3909" s="7">
        <v>46068</v>
      </c>
      <c r="E3909" s="8">
        <v>14</v>
      </c>
      <c r="F3909" s="6" t="str">
        <f t="shared" si="991"/>
        <v>Nico</v>
      </c>
      <c r="G3909" s="6" t="str">
        <f t="shared" si="992"/>
        <v>R330305936000000</v>
      </c>
      <c r="H3909" s="6" t="str">
        <f t="shared" si="993"/>
        <v>R 3059 - PLA 1993 (m</v>
      </c>
      <c r="I3909" s="6" t="str">
        <f t="shared" si="997"/>
        <v>202833</v>
      </c>
      <c r="J3909" s="6" t="str">
        <f t="shared" si="998"/>
        <v>CINZA 2833</v>
      </c>
      <c r="K3909" s="6" t="str">
        <f>"5214"</f>
        <v>5214</v>
      </c>
      <c r="L3909" s="6" t="str">
        <f t="shared" si="996"/>
        <v>Roupões Criança</v>
      </c>
      <c r="M3909" s="6" t="str">
        <f>"14 Anos"</f>
        <v>14 Anos</v>
      </c>
      <c r="N3909" s="6" t="str">
        <f>"5602972623444"</f>
        <v>5602972623444</v>
      </c>
      <c r="O3909" s="8">
        <v>60</v>
      </c>
      <c r="P3909" s="7">
        <v>45972</v>
      </c>
      <c r="R3909" s="8">
        <v>0</v>
      </c>
      <c r="S3909" s="7">
        <v>45975</v>
      </c>
      <c r="U3909" s="8">
        <v>0</v>
      </c>
      <c r="V3909" s="7">
        <v>45982</v>
      </c>
      <c r="X3909" s="8">
        <v>0</v>
      </c>
      <c r="Z3909" s="8">
        <v>0</v>
      </c>
      <c r="AA3909" s="7">
        <v>46000</v>
      </c>
      <c r="AC3909" s="8">
        <v>0</v>
      </c>
      <c r="AE3909" s="7">
        <v>46003</v>
      </c>
      <c r="AF3909" s="8">
        <v>0</v>
      </c>
      <c r="AH3909" s="7">
        <v>46003</v>
      </c>
      <c r="AN3909" s="8">
        <v>0</v>
      </c>
      <c r="AO3909" s="8">
        <v>60</v>
      </c>
    </row>
    <row r="3910" spans="1:41" x14ac:dyDescent="0.25">
      <c r="A3910" s="6" t="str">
        <f t="shared" si="990"/>
        <v>525-2025000480</v>
      </c>
      <c r="B3910" s="6" t="str">
        <f t="shared" si="999"/>
        <v>Lasa Int</v>
      </c>
      <c r="C3910" s="7">
        <v>45930</v>
      </c>
      <c r="D3910" s="7">
        <v>46068</v>
      </c>
      <c r="E3910" s="8">
        <v>15</v>
      </c>
      <c r="F3910" s="6" t="str">
        <f t="shared" si="991"/>
        <v>Nico</v>
      </c>
      <c r="G3910" s="6" t="str">
        <f t="shared" si="992"/>
        <v>R330305936000000</v>
      </c>
      <c r="H3910" s="6" t="str">
        <f t="shared" si="993"/>
        <v>R 3059 - PLA 1993 (m</v>
      </c>
      <c r="I3910" s="6" t="str">
        <f>"203241"</f>
        <v>203241</v>
      </c>
      <c r="J3910" s="6" t="str">
        <f>"SALMAO 3241"</f>
        <v>SALMAO 3241</v>
      </c>
      <c r="K3910" s="6" t="str">
        <f>"5208"</f>
        <v>5208</v>
      </c>
      <c r="L3910" s="6" t="str">
        <f t="shared" si="996"/>
        <v>Roupões Criança</v>
      </c>
      <c r="M3910" s="6" t="str">
        <f>"8 Anos"</f>
        <v>8 Anos</v>
      </c>
      <c r="N3910" s="6" t="str">
        <f>"5602972607734"</f>
        <v>5602972607734</v>
      </c>
      <c r="O3910" s="8">
        <v>12</v>
      </c>
      <c r="P3910" s="7">
        <v>45972</v>
      </c>
      <c r="R3910" s="8">
        <v>121</v>
      </c>
      <c r="S3910" s="7">
        <v>45975</v>
      </c>
      <c r="U3910" s="8">
        <v>121</v>
      </c>
      <c r="V3910" s="7">
        <v>45982</v>
      </c>
      <c r="X3910" s="8">
        <v>121</v>
      </c>
      <c r="Z3910" s="8">
        <v>0</v>
      </c>
      <c r="AA3910" s="7">
        <v>46000</v>
      </c>
      <c r="AC3910" s="8">
        <v>0</v>
      </c>
      <c r="AE3910" s="7">
        <v>46003</v>
      </c>
      <c r="AF3910" s="8">
        <v>0</v>
      </c>
      <c r="AH3910" s="7">
        <v>46003</v>
      </c>
      <c r="AN3910" s="8">
        <v>0</v>
      </c>
      <c r="AO3910" s="8">
        <v>12</v>
      </c>
    </row>
    <row r="3911" spans="1:41" x14ac:dyDescent="0.25">
      <c r="A3911" s="6" t="str">
        <f t="shared" si="990"/>
        <v>525-2025000480</v>
      </c>
      <c r="B3911" s="6" t="str">
        <f t="shared" si="999"/>
        <v>Lasa Int</v>
      </c>
      <c r="C3911" s="7">
        <v>45930</v>
      </c>
      <c r="D3911" s="7">
        <v>46068</v>
      </c>
      <c r="E3911" s="8">
        <v>16</v>
      </c>
      <c r="F3911" s="6" t="str">
        <f t="shared" si="991"/>
        <v>Nico</v>
      </c>
      <c r="G3911" s="6" t="str">
        <f t="shared" si="992"/>
        <v>R330305936000000</v>
      </c>
      <c r="H3911" s="6" t="str">
        <f t="shared" si="993"/>
        <v>R 3059 - PLA 1993 (m</v>
      </c>
      <c r="I3911" s="6" t="str">
        <f>"203241"</f>
        <v>203241</v>
      </c>
      <c r="J3911" s="6" t="str">
        <f>"SALMAO 3241"</f>
        <v>SALMAO 3241</v>
      </c>
      <c r="K3911" s="6" t="str">
        <f>"5210"</f>
        <v>5210</v>
      </c>
      <c r="L3911" s="6" t="str">
        <f t="shared" si="996"/>
        <v>Roupões Criança</v>
      </c>
      <c r="M3911" s="6" t="str">
        <f>"10 Anos"</f>
        <v>10 Anos</v>
      </c>
      <c r="N3911" s="6" t="str">
        <f>"5602972607741"</f>
        <v>5602972607741</v>
      </c>
      <c r="O3911" s="8">
        <v>18</v>
      </c>
      <c r="P3911" s="7">
        <v>45972</v>
      </c>
      <c r="R3911" s="8">
        <v>0</v>
      </c>
      <c r="S3911" s="7">
        <v>45975</v>
      </c>
      <c r="U3911" s="8">
        <v>0</v>
      </c>
      <c r="V3911" s="7">
        <v>45982</v>
      </c>
      <c r="X3911" s="8">
        <v>0</v>
      </c>
      <c r="Z3911" s="8">
        <v>0</v>
      </c>
      <c r="AA3911" s="7">
        <v>46000</v>
      </c>
      <c r="AC3911" s="8">
        <v>0</v>
      </c>
      <c r="AE3911" s="7">
        <v>46003</v>
      </c>
      <c r="AF3911" s="8">
        <v>0</v>
      </c>
      <c r="AH3911" s="7">
        <v>46003</v>
      </c>
      <c r="AN3911" s="8">
        <v>0</v>
      </c>
      <c r="AO3911" s="8">
        <v>18</v>
      </c>
    </row>
    <row r="3912" spans="1:41" x14ac:dyDescent="0.25">
      <c r="A3912" s="6" t="str">
        <f t="shared" si="990"/>
        <v>525-2025000480</v>
      </c>
      <c r="B3912" s="6" t="str">
        <f t="shared" si="999"/>
        <v>Lasa Int</v>
      </c>
      <c r="C3912" s="7">
        <v>45930</v>
      </c>
      <c r="D3912" s="7">
        <v>46068</v>
      </c>
      <c r="E3912" s="8">
        <v>17</v>
      </c>
      <c r="F3912" s="6" t="str">
        <f t="shared" si="991"/>
        <v>Nico</v>
      </c>
      <c r="G3912" s="6" t="str">
        <f t="shared" si="992"/>
        <v>R330305936000000</v>
      </c>
      <c r="H3912" s="6" t="str">
        <f t="shared" si="993"/>
        <v>R 3059 - PLA 1993 (m</v>
      </c>
      <c r="I3912" s="6" t="str">
        <f>"203241"</f>
        <v>203241</v>
      </c>
      <c r="J3912" s="6" t="str">
        <f>"SALMAO 3241"</f>
        <v>SALMAO 3241</v>
      </c>
      <c r="K3912" s="6" t="str">
        <f>"5212"</f>
        <v>5212</v>
      </c>
      <c r="L3912" s="6" t="str">
        <f t="shared" si="996"/>
        <v>Roupões Criança</v>
      </c>
      <c r="M3912" s="6" t="str">
        <f>"12 Anos"</f>
        <v>12 Anos</v>
      </c>
      <c r="N3912" s="6" t="str">
        <f>"5602972623451"</f>
        <v>5602972623451</v>
      </c>
      <c r="O3912" s="8">
        <v>24</v>
      </c>
      <c r="P3912" s="7">
        <v>45972</v>
      </c>
      <c r="R3912" s="8">
        <v>0</v>
      </c>
      <c r="S3912" s="7">
        <v>45975</v>
      </c>
      <c r="U3912" s="8">
        <v>0</v>
      </c>
      <c r="V3912" s="7">
        <v>45982</v>
      </c>
      <c r="X3912" s="8">
        <v>0</v>
      </c>
      <c r="Z3912" s="8">
        <v>0</v>
      </c>
      <c r="AA3912" s="7">
        <v>46000</v>
      </c>
      <c r="AC3912" s="8">
        <v>0</v>
      </c>
      <c r="AE3912" s="7">
        <v>46003</v>
      </c>
      <c r="AF3912" s="8">
        <v>0</v>
      </c>
      <c r="AH3912" s="7">
        <v>46003</v>
      </c>
      <c r="AN3912" s="8">
        <v>0</v>
      </c>
      <c r="AO3912" s="8">
        <v>24</v>
      </c>
    </row>
    <row r="3913" spans="1:41" x14ac:dyDescent="0.25">
      <c r="A3913" s="6" t="str">
        <f t="shared" si="990"/>
        <v>525-2025000480</v>
      </c>
      <c r="B3913" s="6" t="str">
        <f t="shared" si="999"/>
        <v>Lasa Int</v>
      </c>
      <c r="C3913" s="7">
        <v>45930</v>
      </c>
      <c r="D3913" s="7">
        <v>46068</v>
      </c>
      <c r="E3913" s="8">
        <v>18</v>
      </c>
      <c r="F3913" s="6" t="str">
        <f t="shared" si="991"/>
        <v>Nico</v>
      </c>
      <c r="G3913" s="6" t="str">
        <f t="shared" si="992"/>
        <v>R330305936000000</v>
      </c>
      <c r="H3913" s="6" t="str">
        <f t="shared" si="993"/>
        <v>R 3059 - PLA 1993 (m</v>
      </c>
      <c r="I3913" s="6" t="str">
        <f>"203241"</f>
        <v>203241</v>
      </c>
      <c r="J3913" s="6" t="str">
        <f>"SALMAO 3241"</f>
        <v>SALMAO 3241</v>
      </c>
      <c r="K3913" s="6" t="str">
        <f>"5214"</f>
        <v>5214</v>
      </c>
      <c r="L3913" s="6" t="str">
        <f t="shared" si="996"/>
        <v>Roupões Criança</v>
      </c>
      <c r="M3913" s="6" t="str">
        <f>"14 Anos"</f>
        <v>14 Anos</v>
      </c>
      <c r="N3913" s="6" t="str">
        <f>"5602972623468"</f>
        <v>5602972623468</v>
      </c>
      <c r="O3913" s="8">
        <v>24</v>
      </c>
      <c r="P3913" s="7">
        <v>45972</v>
      </c>
      <c r="R3913" s="8">
        <v>0</v>
      </c>
      <c r="S3913" s="7">
        <v>45975</v>
      </c>
      <c r="U3913" s="8">
        <v>0</v>
      </c>
      <c r="V3913" s="7">
        <v>45982</v>
      </c>
      <c r="X3913" s="8">
        <v>0</v>
      </c>
      <c r="Z3913" s="8">
        <v>0</v>
      </c>
      <c r="AA3913" s="7">
        <v>46000</v>
      </c>
      <c r="AC3913" s="8">
        <v>0</v>
      </c>
      <c r="AE3913" s="7">
        <v>46003</v>
      </c>
      <c r="AF3913" s="8">
        <v>0</v>
      </c>
      <c r="AH3913" s="7">
        <v>46003</v>
      </c>
      <c r="AN3913" s="8">
        <v>0</v>
      </c>
      <c r="AO3913" s="8">
        <v>24</v>
      </c>
    </row>
    <row r="3914" spans="1:41" x14ac:dyDescent="0.25">
      <c r="A3914" s="6" t="str">
        <f t="shared" ref="A3914:A3945" si="1000">"525-2025000483"</f>
        <v>525-2025000483</v>
      </c>
      <c r="B3914" s="6" t="str">
        <f t="shared" si="999"/>
        <v>Lasa Int</v>
      </c>
      <c r="C3914" s="7">
        <v>45931</v>
      </c>
      <c r="D3914" s="7">
        <v>46037</v>
      </c>
      <c r="E3914" s="8">
        <v>1</v>
      </c>
      <c r="F3914" s="6" t="str">
        <f t="shared" ref="F3914:F3945" si="1001">"PURE"</f>
        <v>PURE</v>
      </c>
      <c r="G3914" s="6" t="str">
        <f t="shared" ref="G3914:G3945" si="1002">"F100021455000000"</f>
        <v>F100021455000000</v>
      </c>
      <c r="H3914" s="6" t="str">
        <f t="shared" ref="H3914:H3945" si="1003">"FA 214 - PURE - 550"</f>
        <v>FA 214 - PURE - 550</v>
      </c>
      <c r="I3914" s="6" t="str">
        <f>"1"</f>
        <v>1</v>
      </c>
      <c r="J3914" s="6" t="str">
        <f>"BRANCO"</f>
        <v>BRANCO</v>
      </c>
      <c r="K3914" s="6" t="str">
        <f>"0112"</f>
        <v>0112</v>
      </c>
      <c r="L3914" s="6" t="str">
        <f>"Luvas"</f>
        <v>Luvas</v>
      </c>
      <c r="M3914" s="6" t="str">
        <f>"16x21"</f>
        <v>16x21</v>
      </c>
      <c r="N3914" s="6" t="str">
        <f>"5602972836233"</f>
        <v>5602972836233</v>
      </c>
      <c r="O3914" s="8">
        <v>1500</v>
      </c>
      <c r="P3914" s="7">
        <v>45931</v>
      </c>
      <c r="R3914" s="8">
        <v>9000</v>
      </c>
      <c r="S3914" s="7">
        <v>45936</v>
      </c>
      <c r="U3914" s="8">
        <v>1500</v>
      </c>
      <c r="V3914" s="7">
        <v>45952</v>
      </c>
      <c r="X3914" s="8">
        <v>1500</v>
      </c>
      <c r="Z3914" s="8">
        <v>0</v>
      </c>
      <c r="AA3914" s="7">
        <v>45966</v>
      </c>
      <c r="AC3914" s="8">
        <v>0</v>
      </c>
      <c r="AE3914" s="7">
        <v>45971</v>
      </c>
      <c r="AF3914" s="8">
        <v>0</v>
      </c>
      <c r="AH3914" s="7">
        <v>46037</v>
      </c>
      <c r="AN3914" s="8">
        <v>1500</v>
      </c>
      <c r="AO3914" s="8">
        <v>0</v>
      </c>
    </row>
    <row r="3915" spans="1:41" x14ac:dyDescent="0.25">
      <c r="A3915" s="6" t="str">
        <f t="shared" si="1000"/>
        <v>525-2025000483</v>
      </c>
      <c r="B3915" s="6" t="str">
        <f t="shared" si="999"/>
        <v>Lasa Int</v>
      </c>
      <c r="C3915" s="7">
        <v>45931</v>
      </c>
      <c r="D3915" s="7">
        <v>46037</v>
      </c>
      <c r="E3915" s="8">
        <v>2</v>
      </c>
      <c r="F3915" s="6" t="str">
        <f t="shared" si="1001"/>
        <v>PURE</v>
      </c>
      <c r="G3915" s="6" t="str">
        <f t="shared" si="1002"/>
        <v>F100021455000000</v>
      </c>
      <c r="H3915" s="6" t="str">
        <f t="shared" si="1003"/>
        <v>FA 214 - PURE - 550</v>
      </c>
      <c r="I3915" s="6" t="str">
        <f>"1"</f>
        <v>1</v>
      </c>
      <c r="J3915" s="6" t="str">
        <f>"BRANCO"</f>
        <v>BRANCO</v>
      </c>
      <c r="K3915" s="6" t="str">
        <f>"1024"</f>
        <v>1024</v>
      </c>
      <c r="L3915" s="6" t="str">
        <f>"Toalhas"</f>
        <v>Toalhas</v>
      </c>
      <c r="M3915" s="6" t="str">
        <f>"50x100"</f>
        <v>50x100</v>
      </c>
      <c r="N3915" s="6" t="str">
        <f>"5602972836257"</f>
        <v>5602972836257</v>
      </c>
      <c r="O3915" s="8">
        <v>480</v>
      </c>
      <c r="P3915" s="7">
        <v>45931</v>
      </c>
      <c r="R3915" s="8">
        <v>8416</v>
      </c>
      <c r="S3915" s="7">
        <v>45936</v>
      </c>
      <c r="U3915" s="8">
        <v>480</v>
      </c>
      <c r="V3915" s="7">
        <v>45952</v>
      </c>
      <c r="X3915" s="8">
        <v>0</v>
      </c>
      <c r="Z3915" s="8">
        <v>480</v>
      </c>
      <c r="AA3915" s="7">
        <v>45966</v>
      </c>
      <c r="AC3915" s="8">
        <v>482</v>
      </c>
      <c r="AE3915" s="7">
        <v>45971</v>
      </c>
      <c r="AF3915" s="8">
        <v>482</v>
      </c>
      <c r="AH3915" s="7">
        <v>46037</v>
      </c>
      <c r="AN3915" s="8">
        <v>482</v>
      </c>
      <c r="AO3915" s="8">
        <v>-2</v>
      </c>
    </row>
    <row r="3916" spans="1:41" x14ac:dyDescent="0.25">
      <c r="A3916" s="6" t="str">
        <f t="shared" si="1000"/>
        <v>525-2025000483</v>
      </c>
      <c r="B3916" s="6" t="str">
        <f t="shared" si="999"/>
        <v>Lasa Int</v>
      </c>
      <c r="C3916" s="7">
        <v>45931</v>
      </c>
      <c r="D3916" s="7">
        <v>46037</v>
      </c>
      <c r="E3916" s="8">
        <v>3</v>
      </c>
      <c r="F3916" s="6" t="str">
        <f t="shared" si="1001"/>
        <v>PURE</v>
      </c>
      <c r="G3916" s="6" t="str">
        <f t="shared" si="1002"/>
        <v>F100021455000000</v>
      </c>
      <c r="H3916" s="6" t="str">
        <f t="shared" si="1003"/>
        <v>FA 214 - PURE - 550</v>
      </c>
      <c r="I3916" s="6" t="str">
        <f>"1"</f>
        <v>1</v>
      </c>
      <c r="J3916" s="6" t="str">
        <f>"BRANCO"</f>
        <v>BRANCO</v>
      </c>
      <c r="K3916" s="6" t="str">
        <f>"1535"</f>
        <v>1535</v>
      </c>
      <c r="L3916" s="6" t="str">
        <f>"Toalhões"</f>
        <v>Toalhões</v>
      </c>
      <c r="M3916" s="6" t="str">
        <f>"70x140"</f>
        <v>70x140</v>
      </c>
      <c r="N3916" s="6" t="str">
        <f>"5602972836264"</f>
        <v>5602972836264</v>
      </c>
      <c r="O3916" s="8">
        <v>240</v>
      </c>
      <c r="P3916" s="7">
        <v>45931</v>
      </c>
      <c r="R3916" s="8">
        <v>3348</v>
      </c>
      <c r="S3916" s="7">
        <v>45936</v>
      </c>
      <c r="U3916" s="8">
        <v>240</v>
      </c>
      <c r="V3916" s="7">
        <v>45952</v>
      </c>
      <c r="X3916" s="8">
        <v>0</v>
      </c>
      <c r="Z3916" s="8">
        <v>240</v>
      </c>
      <c r="AA3916" s="7">
        <v>45966</v>
      </c>
      <c r="AC3916" s="8">
        <v>250</v>
      </c>
      <c r="AE3916" s="7">
        <v>45971</v>
      </c>
      <c r="AF3916" s="8">
        <v>250</v>
      </c>
      <c r="AH3916" s="7">
        <v>46037</v>
      </c>
      <c r="AN3916" s="8">
        <v>234</v>
      </c>
      <c r="AO3916" s="8">
        <v>6</v>
      </c>
    </row>
    <row r="3917" spans="1:41" x14ac:dyDescent="0.25">
      <c r="A3917" s="6" t="str">
        <f t="shared" si="1000"/>
        <v>525-2025000483</v>
      </c>
      <c r="B3917" s="6" t="str">
        <f t="shared" si="999"/>
        <v>Lasa Int</v>
      </c>
      <c r="C3917" s="7">
        <v>45931</v>
      </c>
      <c r="D3917" s="7">
        <v>46037</v>
      </c>
      <c r="E3917" s="8">
        <v>4</v>
      </c>
      <c r="F3917" s="6" t="str">
        <f t="shared" si="1001"/>
        <v>PURE</v>
      </c>
      <c r="G3917" s="6" t="str">
        <f t="shared" si="1002"/>
        <v>F100021455000000</v>
      </c>
      <c r="H3917" s="6" t="str">
        <f t="shared" si="1003"/>
        <v>FA 214 - PURE - 550</v>
      </c>
      <c r="I3917" s="6" t="str">
        <f>"1"</f>
        <v>1</v>
      </c>
      <c r="J3917" s="6" t="str">
        <f>"BRANCO"</f>
        <v>BRANCO</v>
      </c>
      <c r="K3917" s="6" t="str">
        <f>"2020"</f>
        <v>2020</v>
      </c>
      <c r="L3917" s="6" t="str">
        <f>"Lençóis"</f>
        <v>Lençóis</v>
      </c>
      <c r="M3917" s="6" t="str">
        <f>"100x150"</f>
        <v>100x150</v>
      </c>
      <c r="N3917" s="6" t="str">
        <f>"5602972836271"</f>
        <v>5602972836271</v>
      </c>
      <c r="O3917" s="8">
        <v>240</v>
      </c>
      <c r="P3917" s="7">
        <v>45931</v>
      </c>
      <c r="R3917" s="8">
        <v>2892</v>
      </c>
      <c r="S3917" s="7">
        <v>45936</v>
      </c>
      <c r="U3917" s="8">
        <v>240</v>
      </c>
      <c r="V3917" s="7">
        <v>45952</v>
      </c>
      <c r="X3917" s="8">
        <v>0</v>
      </c>
      <c r="Z3917" s="8">
        <v>240</v>
      </c>
      <c r="AA3917" s="7">
        <v>45966</v>
      </c>
      <c r="AC3917" s="8">
        <v>258</v>
      </c>
      <c r="AE3917" s="7">
        <v>45971</v>
      </c>
      <c r="AF3917" s="8">
        <v>258</v>
      </c>
      <c r="AH3917" s="7">
        <v>46037</v>
      </c>
      <c r="AN3917" s="8">
        <v>258</v>
      </c>
      <c r="AO3917" s="8">
        <v>-18</v>
      </c>
    </row>
    <row r="3918" spans="1:41" x14ac:dyDescent="0.25">
      <c r="A3918" s="6" t="str">
        <f t="shared" si="1000"/>
        <v>525-2025000483</v>
      </c>
      <c r="B3918" s="6" t="str">
        <f t="shared" si="999"/>
        <v>Lasa Int</v>
      </c>
      <c r="C3918" s="7">
        <v>45931</v>
      </c>
      <c r="D3918" s="7">
        <v>46037</v>
      </c>
      <c r="E3918" s="8">
        <v>5</v>
      </c>
      <c r="F3918" s="6" t="str">
        <f t="shared" si="1001"/>
        <v>PURE</v>
      </c>
      <c r="G3918" s="6" t="str">
        <f t="shared" si="1002"/>
        <v>F100021455000000</v>
      </c>
      <c r="H3918" s="6" t="str">
        <f t="shared" si="1003"/>
        <v>FA 214 - PURE - 550</v>
      </c>
      <c r="I3918" s="6" t="str">
        <f>"1670"</f>
        <v>1670</v>
      </c>
      <c r="J3918" s="6" t="str">
        <f>"BEGE 1670"</f>
        <v>BEGE 1670</v>
      </c>
      <c r="K3918" s="6" t="str">
        <f>"0112"</f>
        <v>0112</v>
      </c>
      <c r="L3918" s="6" t="str">
        <f>"Luvas"</f>
        <v>Luvas</v>
      </c>
      <c r="M3918" s="6" t="str">
        <f>"16x21"</f>
        <v>16x21</v>
      </c>
      <c r="N3918" s="6" t="str">
        <f>"5602972836288"</f>
        <v>5602972836288</v>
      </c>
      <c r="O3918" s="8">
        <v>600</v>
      </c>
      <c r="P3918" s="7">
        <v>45931</v>
      </c>
      <c r="R3918" s="8">
        <v>0</v>
      </c>
      <c r="S3918" s="7">
        <v>45936</v>
      </c>
      <c r="U3918" s="8">
        <v>600</v>
      </c>
      <c r="V3918" s="7">
        <v>45952</v>
      </c>
      <c r="X3918" s="8">
        <v>0</v>
      </c>
      <c r="Z3918" s="8">
        <v>600</v>
      </c>
      <c r="AA3918" s="7">
        <v>45966</v>
      </c>
      <c r="AC3918" s="8">
        <v>0</v>
      </c>
      <c r="AE3918" s="7">
        <v>45971</v>
      </c>
      <c r="AF3918" s="8">
        <v>0</v>
      </c>
      <c r="AH3918" s="7">
        <v>46037</v>
      </c>
      <c r="AN3918" s="8">
        <v>582</v>
      </c>
      <c r="AO3918" s="8">
        <v>18</v>
      </c>
    </row>
    <row r="3919" spans="1:41" x14ac:dyDescent="0.25">
      <c r="A3919" s="6" t="str">
        <f t="shared" si="1000"/>
        <v>525-2025000483</v>
      </c>
      <c r="B3919" s="6" t="str">
        <f t="shared" si="999"/>
        <v>Lasa Int</v>
      </c>
      <c r="C3919" s="7">
        <v>45931</v>
      </c>
      <c r="D3919" s="7">
        <v>46037</v>
      </c>
      <c r="E3919" s="8">
        <v>6</v>
      </c>
      <c r="F3919" s="6" t="str">
        <f t="shared" si="1001"/>
        <v>PURE</v>
      </c>
      <c r="G3919" s="6" t="str">
        <f t="shared" si="1002"/>
        <v>F100021455000000</v>
      </c>
      <c r="H3919" s="6" t="str">
        <f t="shared" si="1003"/>
        <v>FA 214 - PURE - 550</v>
      </c>
      <c r="I3919" s="6" t="str">
        <f>"1670"</f>
        <v>1670</v>
      </c>
      <c r="J3919" s="6" t="str">
        <f>"BEGE 1670"</f>
        <v>BEGE 1670</v>
      </c>
      <c r="K3919" s="6" t="str">
        <f>"0530"</f>
        <v>0530</v>
      </c>
      <c r="L3919" s="6" t="str">
        <f>"Toalhetes"</f>
        <v>Toalhetes</v>
      </c>
      <c r="M3919" s="6" t="str">
        <f>"33x50"</f>
        <v>33x50</v>
      </c>
      <c r="N3919" s="6" t="str">
        <f>"5602972836295"</f>
        <v>5602972836295</v>
      </c>
      <c r="O3919" s="8">
        <v>450</v>
      </c>
      <c r="P3919" s="7">
        <v>45931</v>
      </c>
      <c r="R3919" s="8">
        <v>7200</v>
      </c>
      <c r="S3919" s="7">
        <v>45936</v>
      </c>
      <c r="U3919" s="8">
        <v>450</v>
      </c>
      <c r="V3919" s="7">
        <v>45952</v>
      </c>
      <c r="X3919" s="8">
        <v>0</v>
      </c>
      <c r="Z3919" s="8">
        <v>450</v>
      </c>
      <c r="AA3919" s="7">
        <v>45966</v>
      </c>
      <c r="AC3919" s="8">
        <v>500</v>
      </c>
      <c r="AE3919" s="7">
        <v>45971</v>
      </c>
      <c r="AF3919" s="8">
        <v>500</v>
      </c>
      <c r="AH3919" s="7">
        <v>46037</v>
      </c>
      <c r="AN3919" s="8">
        <v>500</v>
      </c>
      <c r="AO3919" s="8">
        <v>-50</v>
      </c>
    </row>
    <row r="3920" spans="1:41" x14ac:dyDescent="0.25">
      <c r="A3920" s="6" t="str">
        <f t="shared" si="1000"/>
        <v>525-2025000483</v>
      </c>
      <c r="B3920" s="6" t="str">
        <f t="shared" si="999"/>
        <v>Lasa Int</v>
      </c>
      <c r="C3920" s="7">
        <v>45931</v>
      </c>
      <c r="D3920" s="7">
        <v>46037</v>
      </c>
      <c r="E3920" s="8">
        <v>7</v>
      </c>
      <c r="F3920" s="6" t="str">
        <f t="shared" si="1001"/>
        <v>PURE</v>
      </c>
      <c r="G3920" s="6" t="str">
        <f t="shared" si="1002"/>
        <v>F100021455000000</v>
      </c>
      <c r="H3920" s="6" t="str">
        <f t="shared" si="1003"/>
        <v>FA 214 - PURE - 550</v>
      </c>
      <c r="I3920" s="6" t="str">
        <f>"1670"</f>
        <v>1670</v>
      </c>
      <c r="J3920" s="6" t="str">
        <f>"BEGE 1670"</f>
        <v>BEGE 1670</v>
      </c>
      <c r="K3920" s="6" t="str">
        <f>"1024"</f>
        <v>1024</v>
      </c>
      <c r="L3920" s="6" t="str">
        <f>"Toalhas"</f>
        <v>Toalhas</v>
      </c>
      <c r="M3920" s="6" t="str">
        <f>"50x100"</f>
        <v>50x100</v>
      </c>
      <c r="N3920" s="6" t="str">
        <f>"5602972836301"</f>
        <v>5602972836301</v>
      </c>
      <c r="O3920" s="8">
        <v>480</v>
      </c>
      <c r="P3920" s="7">
        <v>45931</v>
      </c>
      <c r="R3920" s="8">
        <v>0</v>
      </c>
      <c r="S3920" s="7">
        <v>45936</v>
      </c>
      <c r="U3920" s="8">
        <v>480</v>
      </c>
      <c r="V3920" s="7">
        <v>45952</v>
      </c>
      <c r="X3920" s="8">
        <v>0</v>
      </c>
      <c r="Z3920" s="8">
        <v>480</v>
      </c>
      <c r="AA3920" s="7">
        <v>45966</v>
      </c>
      <c r="AC3920" s="8">
        <v>500</v>
      </c>
      <c r="AE3920" s="7">
        <v>45971</v>
      </c>
      <c r="AF3920" s="8">
        <v>500</v>
      </c>
      <c r="AH3920" s="7">
        <v>46037</v>
      </c>
      <c r="AN3920" s="8">
        <v>668</v>
      </c>
      <c r="AO3920" s="8">
        <v>-188</v>
      </c>
    </row>
    <row r="3921" spans="1:41" x14ac:dyDescent="0.25">
      <c r="A3921" s="6" t="str">
        <f t="shared" si="1000"/>
        <v>525-2025000483</v>
      </c>
      <c r="B3921" s="6" t="str">
        <f t="shared" si="999"/>
        <v>Lasa Int</v>
      </c>
      <c r="C3921" s="7">
        <v>45931</v>
      </c>
      <c r="D3921" s="7">
        <v>46037</v>
      </c>
      <c r="E3921" s="8">
        <v>8</v>
      </c>
      <c r="F3921" s="6" t="str">
        <f t="shared" si="1001"/>
        <v>PURE</v>
      </c>
      <c r="G3921" s="6" t="str">
        <f t="shared" si="1002"/>
        <v>F100021455000000</v>
      </c>
      <c r="H3921" s="6" t="str">
        <f t="shared" si="1003"/>
        <v>FA 214 - PURE - 550</v>
      </c>
      <c r="I3921" s="6" t="str">
        <f>"1670"</f>
        <v>1670</v>
      </c>
      <c r="J3921" s="6" t="str">
        <f>"BEGE 1670"</f>
        <v>BEGE 1670</v>
      </c>
      <c r="K3921" s="6" t="str">
        <f>"1535"</f>
        <v>1535</v>
      </c>
      <c r="L3921" s="6" t="str">
        <f>"Toalhões"</f>
        <v>Toalhões</v>
      </c>
      <c r="M3921" s="6" t="str">
        <f>"70x140"</f>
        <v>70x140</v>
      </c>
      <c r="N3921" s="6" t="str">
        <f>"5602972836318"</f>
        <v>5602972836318</v>
      </c>
      <c r="O3921" s="8">
        <v>240</v>
      </c>
      <c r="P3921" s="7">
        <v>45931</v>
      </c>
      <c r="R3921" s="8">
        <v>0</v>
      </c>
      <c r="S3921" s="7">
        <v>45936</v>
      </c>
      <c r="U3921" s="8">
        <v>240</v>
      </c>
      <c r="V3921" s="7">
        <v>45952</v>
      </c>
      <c r="X3921" s="8">
        <v>0</v>
      </c>
      <c r="Z3921" s="8">
        <v>240</v>
      </c>
      <c r="AA3921" s="7">
        <v>45966</v>
      </c>
      <c r="AC3921" s="8">
        <v>243</v>
      </c>
      <c r="AE3921" s="7">
        <v>45971</v>
      </c>
      <c r="AF3921" s="8">
        <v>243</v>
      </c>
      <c r="AH3921" s="7">
        <v>46037</v>
      </c>
      <c r="AN3921" s="8">
        <v>243</v>
      </c>
      <c r="AO3921" s="8">
        <v>-3</v>
      </c>
    </row>
    <row r="3922" spans="1:41" x14ac:dyDescent="0.25">
      <c r="A3922" s="6" t="str">
        <f t="shared" si="1000"/>
        <v>525-2025000483</v>
      </c>
      <c r="B3922" s="6" t="str">
        <f t="shared" si="999"/>
        <v>Lasa Int</v>
      </c>
      <c r="C3922" s="7">
        <v>45931</v>
      </c>
      <c r="D3922" s="7">
        <v>46037</v>
      </c>
      <c r="E3922" s="8">
        <v>9</v>
      </c>
      <c r="F3922" s="6" t="str">
        <f t="shared" si="1001"/>
        <v>PURE</v>
      </c>
      <c r="G3922" s="6" t="str">
        <f t="shared" si="1002"/>
        <v>F100021455000000</v>
      </c>
      <c r="H3922" s="6" t="str">
        <f t="shared" si="1003"/>
        <v>FA 214 - PURE - 550</v>
      </c>
      <c r="I3922" s="6" t="str">
        <f>"1670"</f>
        <v>1670</v>
      </c>
      <c r="J3922" s="6" t="str">
        <f>"BEGE 1670"</f>
        <v>BEGE 1670</v>
      </c>
      <c r="K3922" s="6" t="str">
        <f>"2020"</f>
        <v>2020</v>
      </c>
      <c r="L3922" s="6" t="str">
        <f>"Lençóis"</f>
        <v>Lençóis</v>
      </c>
      <c r="M3922" s="6" t="str">
        <f>"100x150"</f>
        <v>100x150</v>
      </c>
      <c r="N3922" s="6" t="str">
        <f>"5602972836325"</f>
        <v>5602972836325</v>
      </c>
      <c r="O3922" s="8">
        <v>160</v>
      </c>
      <c r="P3922" s="7">
        <v>45931</v>
      </c>
      <c r="R3922" s="8">
        <v>0</v>
      </c>
      <c r="S3922" s="7">
        <v>45936</v>
      </c>
      <c r="U3922" s="8">
        <v>160</v>
      </c>
      <c r="V3922" s="7">
        <v>45952</v>
      </c>
      <c r="X3922" s="8">
        <v>0</v>
      </c>
      <c r="Z3922" s="8">
        <v>160</v>
      </c>
      <c r="AA3922" s="7">
        <v>45966</v>
      </c>
      <c r="AC3922" s="8">
        <v>138</v>
      </c>
      <c r="AE3922" s="7">
        <v>45971</v>
      </c>
      <c r="AF3922" s="8">
        <v>138</v>
      </c>
      <c r="AH3922" s="7">
        <v>46037</v>
      </c>
      <c r="AN3922" s="8">
        <v>138</v>
      </c>
      <c r="AO3922" s="8">
        <v>22</v>
      </c>
    </row>
    <row r="3923" spans="1:41" x14ac:dyDescent="0.25">
      <c r="A3923" s="6" t="str">
        <f t="shared" si="1000"/>
        <v>525-2025000483</v>
      </c>
      <c r="B3923" s="6" t="str">
        <f t="shared" si="999"/>
        <v>Lasa Int</v>
      </c>
      <c r="C3923" s="7">
        <v>45931</v>
      </c>
      <c r="D3923" s="7">
        <v>46037</v>
      </c>
      <c r="E3923" s="8">
        <v>10</v>
      </c>
      <c r="F3923" s="6" t="str">
        <f t="shared" si="1001"/>
        <v>PURE</v>
      </c>
      <c r="G3923" s="6" t="str">
        <f t="shared" si="1002"/>
        <v>F100021455000000</v>
      </c>
      <c r="H3923" s="6" t="str">
        <f t="shared" si="1003"/>
        <v>FA 214 - PURE - 550</v>
      </c>
      <c r="I3923" s="6" t="str">
        <f>"2596"</f>
        <v>2596</v>
      </c>
      <c r="J3923" s="6" t="str">
        <f>"VERDE 2596"</f>
        <v>VERDE 2596</v>
      </c>
      <c r="K3923" s="6" t="str">
        <f>"0112"</f>
        <v>0112</v>
      </c>
      <c r="L3923" s="6" t="str">
        <f>"Luvas"</f>
        <v>Luvas</v>
      </c>
      <c r="M3923" s="6" t="str">
        <f>"16x21"</f>
        <v>16x21</v>
      </c>
      <c r="N3923" s="6" t="str">
        <f>"5602972724455"</f>
        <v>5602972724455</v>
      </c>
      <c r="O3923" s="8">
        <v>300</v>
      </c>
      <c r="P3923" s="7">
        <v>45931</v>
      </c>
      <c r="R3923" s="8">
        <v>0</v>
      </c>
      <c r="S3923" s="7">
        <v>45936</v>
      </c>
      <c r="U3923" s="8">
        <v>300</v>
      </c>
      <c r="V3923" s="7">
        <v>45952</v>
      </c>
      <c r="X3923" s="8">
        <v>0</v>
      </c>
      <c r="Z3923" s="8">
        <v>300</v>
      </c>
      <c r="AA3923" s="7">
        <v>45966</v>
      </c>
      <c r="AC3923" s="8">
        <v>0</v>
      </c>
      <c r="AE3923" s="7">
        <v>45971</v>
      </c>
      <c r="AF3923" s="8">
        <v>0</v>
      </c>
      <c r="AH3923" s="7">
        <v>46037</v>
      </c>
      <c r="AN3923" s="8">
        <v>0</v>
      </c>
      <c r="AO3923" s="8">
        <v>300</v>
      </c>
    </row>
    <row r="3924" spans="1:41" x14ac:dyDescent="0.25">
      <c r="A3924" s="6" t="str">
        <f t="shared" si="1000"/>
        <v>525-2025000483</v>
      </c>
      <c r="B3924" s="6" t="str">
        <f t="shared" si="999"/>
        <v>Lasa Int</v>
      </c>
      <c r="C3924" s="7">
        <v>45931</v>
      </c>
      <c r="D3924" s="7">
        <v>46037</v>
      </c>
      <c r="E3924" s="8">
        <v>11</v>
      </c>
      <c r="F3924" s="6" t="str">
        <f t="shared" si="1001"/>
        <v>PURE</v>
      </c>
      <c r="G3924" s="6" t="str">
        <f t="shared" si="1002"/>
        <v>F100021455000000</v>
      </c>
      <c r="H3924" s="6" t="str">
        <f t="shared" si="1003"/>
        <v>FA 214 - PURE - 550</v>
      </c>
      <c r="I3924" s="6" t="str">
        <f>"2596"</f>
        <v>2596</v>
      </c>
      <c r="J3924" s="6" t="str">
        <f>"VERDE 2596"</f>
        <v>VERDE 2596</v>
      </c>
      <c r="K3924" s="6" t="str">
        <f>"0530"</f>
        <v>0530</v>
      </c>
      <c r="L3924" s="6" t="str">
        <f>"Toalhetes"</f>
        <v>Toalhetes</v>
      </c>
      <c r="M3924" s="6" t="str">
        <f>"33x50"</f>
        <v>33x50</v>
      </c>
      <c r="N3924" s="6" t="str">
        <f>"5602972724462"</f>
        <v>5602972724462</v>
      </c>
      <c r="O3924" s="8">
        <v>450</v>
      </c>
      <c r="P3924" s="7">
        <v>45931</v>
      </c>
      <c r="R3924" s="8">
        <v>0</v>
      </c>
      <c r="S3924" s="7">
        <v>45936</v>
      </c>
      <c r="U3924" s="8">
        <v>450</v>
      </c>
      <c r="V3924" s="7">
        <v>45952</v>
      </c>
      <c r="X3924" s="8">
        <v>0</v>
      </c>
      <c r="Z3924" s="8">
        <v>450</v>
      </c>
      <c r="AA3924" s="7">
        <v>45966</v>
      </c>
      <c r="AC3924" s="8">
        <v>470</v>
      </c>
      <c r="AE3924" s="7">
        <v>45971</v>
      </c>
      <c r="AF3924" s="8">
        <v>470</v>
      </c>
      <c r="AH3924" s="7">
        <v>46037</v>
      </c>
      <c r="AN3924" s="8">
        <v>470</v>
      </c>
      <c r="AO3924" s="8">
        <v>-20</v>
      </c>
    </row>
    <row r="3925" spans="1:41" x14ac:dyDescent="0.25">
      <c r="A3925" s="6" t="str">
        <f t="shared" si="1000"/>
        <v>525-2025000483</v>
      </c>
      <c r="B3925" s="6" t="str">
        <f t="shared" si="999"/>
        <v>Lasa Int</v>
      </c>
      <c r="C3925" s="7">
        <v>45931</v>
      </c>
      <c r="D3925" s="7">
        <v>46037</v>
      </c>
      <c r="E3925" s="8">
        <v>12</v>
      </c>
      <c r="F3925" s="6" t="str">
        <f t="shared" si="1001"/>
        <v>PURE</v>
      </c>
      <c r="G3925" s="6" t="str">
        <f t="shared" si="1002"/>
        <v>F100021455000000</v>
      </c>
      <c r="H3925" s="6" t="str">
        <f t="shared" si="1003"/>
        <v>FA 214 - PURE - 550</v>
      </c>
      <c r="I3925" s="6" t="str">
        <f>"2596"</f>
        <v>2596</v>
      </c>
      <c r="J3925" s="6" t="str">
        <f>"VERDE 2596"</f>
        <v>VERDE 2596</v>
      </c>
      <c r="K3925" s="6" t="str">
        <f>"1024"</f>
        <v>1024</v>
      </c>
      <c r="L3925" s="6" t="str">
        <f>"Toalhas"</f>
        <v>Toalhas</v>
      </c>
      <c r="M3925" s="6" t="str">
        <f>"50x100"</f>
        <v>50x100</v>
      </c>
      <c r="N3925" s="6" t="str">
        <f>"5602972724479"</f>
        <v>5602972724479</v>
      </c>
      <c r="O3925" s="8">
        <v>320</v>
      </c>
      <c r="P3925" s="7">
        <v>45931</v>
      </c>
      <c r="R3925" s="8">
        <v>0</v>
      </c>
      <c r="S3925" s="7">
        <v>45936</v>
      </c>
      <c r="U3925" s="8">
        <v>720</v>
      </c>
      <c r="V3925" s="7">
        <v>45952</v>
      </c>
      <c r="X3925" s="8">
        <v>0</v>
      </c>
      <c r="Z3925" s="8">
        <v>720</v>
      </c>
      <c r="AA3925" s="7">
        <v>45966</v>
      </c>
      <c r="AC3925" s="8">
        <v>150</v>
      </c>
      <c r="AE3925" s="7">
        <v>45971</v>
      </c>
      <c r="AF3925" s="8">
        <v>150</v>
      </c>
      <c r="AH3925" s="7">
        <v>46037</v>
      </c>
      <c r="AN3925" s="8">
        <v>150</v>
      </c>
      <c r="AO3925" s="8">
        <v>170</v>
      </c>
    </row>
    <row r="3926" spans="1:41" x14ac:dyDescent="0.25">
      <c r="A3926" s="6" t="str">
        <f t="shared" si="1000"/>
        <v>525-2025000483</v>
      </c>
      <c r="B3926" s="6" t="str">
        <f t="shared" si="999"/>
        <v>Lasa Int</v>
      </c>
      <c r="C3926" s="7">
        <v>45931</v>
      </c>
      <c r="D3926" s="7">
        <v>46037</v>
      </c>
      <c r="E3926" s="8">
        <v>13</v>
      </c>
      <c r="F3926" s="6" t="str">
        <f t="shared" si="1001"/>
        <v>PURE</v>
      </c>
      <c r="G3926" s="6" t="str">
        <f t="shared" si="1002"/>
        <v>F100021455000000</v>
      </c>
      <c r="H3926" s="6" t="str">
        <f t="shared" si="1003"/>
        <v>FA 214 - PURE - 550</v>
      </c>
      <c r="I3926" s="6" t="str">
        <f>"2596"</f>
        <v>2596</v>
      </c>
      <c r="J3926" s="6" t="str">
        <f>"VERDE 2596"</f>
        <v>VERDE 2596</v>
      </c>
      <c r="K3926" s="6" t="str">
        <f>"1535"</f>
        <v>1535</v>
      </c>
      <c r="L3926" s="6" t="str">
        <f>"Toalhões"</f>
        <v>Toalhões</v>
      </c>
      <c r="M3926" s="6" t="str">
        <f>"70x140"</f>
        <v>70x140</v>
      </c>
      <c r="N3926" s="6" t="str">
        <f>"5602972724486"</f>
        <v>5602972724486</v>
      </c>
      <c r="O3926" s="8">
        <v>240</v>
      </c>
      <c r="P3926" s="7">
        <v>45931</v>
      </c>
      <c r="R3926" s="8">
        <v>0</v>
      </c>
      <c r="S3926" s="7">
        <v>45936</v>
      </c>
      <c r="U3926" s="8">
        <v>240</v>
      </c>
      <c r="V3926" s="7">
        <v>45952</v>
      </c>
      <c r="X3926" s="8">
        <v>0</v>
      </c>
      <c r="Z3926" s="8">
        <v>240</v>
      </c>
      <c r="AA3926" s="7">
        <v>45966</v>
      </c>
      <c r="AC3926" s="8">
        <v>145</v>
      </c>
      <c r="AE3926" s="7">
        <v>45971</v>
      </c>
      <c r="AF3926" s="8">
        <v>145</v>
      </c>
      <c r="AH3926" s="7">
        <v>46037</v>
      </c>
      <c r="AN3926" s="8">
        <v>145</v>
      </c>
      <c r="AO3926" s="8">
        <v>95</v>
      </c>
    </row>
    <row r="3927" spans="1:41" x14ac:dyDescent="0.25">
      <c r="A3927" s="6" t="str">
        <f t="shared" si="1000"/>
        <v>525-2025000483</v>
      </c>
      <c r="B3927" s="6" t="str">
        <f t="shared" si="999"/>
        <v>Lasa Int</v>
      </c>
      <c r="C3927" s="7">
        <v>45931</v>
      </c>
      <c r="D3927" s="7">
        <v>46037</v>
      </c>
      <c r="E3927" s="8">
        <v>14</v>
      </c>
      <c r="F3927" s="6" t="str">
        <f t="shared" si="1001"/>
        <v>PURE</v>
      </c>
      <c r="G3927" s="6" t="str">
        <f t="shared" si="1002"/>
        <v>F100021455000000</v>
      </c>
      <c r="H3927" s="6" t="str">
        <f t="shared" si="1003"/>
        <v>FA 214 - PURE - 550</v>
      </c>
      <c r="I3927" s="6" t="str">
        <f>"2596"</f>
        <v>2596</v>
      </c>
      <c r="J3927" s="6" t="str">
        <f>"VERDE 2596"</f>
        <v>VERDE 2596</v>
      </c>
      <c r="K3927" s="6" t="str">
        <f>"2020"</f>
        <v>2020</v>
      </c>
      <c r="L3927" s="6" t="str">
        <f>"Lençóis"</f>
        <v>Lençóis</v>
      </c>
      <c r="M3927" s="6" t="str">
        <f>"100x150"</f>
        <v>100x150</v>
      </c>
      <c r="N3927" s="6" t="str">
        <f>"5602972724493"</f>
        <v>5602972724493</v>
      </c>
      <c r="O3927" s="8">
        <v>80</v>
      </c>
      <c r="P3927" s="7">
        <v>45931</v>
      </c>
      <c r="R3927" s="8">
        <v>0</v>
      </c>
      <c r="S3927" s="7">
        <v>45936</v>
      </c>
      <c r="U3927" s="8">
        <v>80</v>
      </c>
      <c r="V3927" s="7">
        <v>45952</v>
      </c>
      <c r="X3927" s="8">
        <v>0</v>
      </c>
      <c r="Z3927" s="8">
        <v>80</v>
      </c>
      <c r="AA3927" s="7">
        <v>45966</v>
      </c>
      <c r="AC3927" s="8">
        <v>36</v>
      </c>
      <c r="AE3927" s="7">
        <v>45971</v>
      </c>
      <c r="AF3927" s="8">
        <v>36</v>
      </c>
      <c r="AH3927" s="7">
        <v>46037</v>
      </c>
      <c r="AN3927" s="8">
        <v>36</v>
      </c>
      <c r="AO3927" s="8">
        <v>44</v>
      </c>
    </row>
    <row r="3928" spans="1:41" x14ac:dyDescent="0.25">
      <c r="A3928" s="6" t="str">
        <f t="shared" si="1000"/>
        <v>525-2025000483</v>
      </c>
      <c r="B3928" s="6" t="str">
        <f t="shared" si="999"/>
        <v>Lasa Int</v>
      </c>
      <c r="C3928" s="7">
        <v>45931</v>
      </c>
      <c r="D3928" s="7">
        <v>46037</v>
      </c>
      <c r="E3928" s="8">
        <v>15</v>
      </c>
      <c r="F3928" s="6" t="str">
        <f t="shared" si="1001"/>
        <v>PURE</v>
      </c>
      <c r="G3928" s="6" t="str">
        <f t="shared" si="1002"/>
        <v>F100021455000000</v>
      </c>
      <c r="H3928" s="6" t="str">
        <f t="shared" si="1003"/>
        <v>FA 214 - PURE - 550</v>
      </c>
      <c r="I3928" s="6" t="str">
        <f>"3"</f>
        <v>3</v>
      </c>
      <c r="J3928" s="6" t="str">
        <f>"PRETO Sulf"</f>
        <v>PRETO Sulf</v>
      </c>
      <c r="K3928" s="6" t="str">
        <f>"0112"</f>
        <v>0112</v>
      </c>
      <c r="L3928" s="6" t="str">
        <f>"Luvas"</f>
        <v>Luvas</v>
      </c>
      <c r="M3928" s="6" t="str">
        <f>"16x21"</f>
        <v>16x21</v>
      </c>
      <c r="N3928" s="6" t="str">
        <f>"5602972837186"</f>
        <v>5602972837186</v>
      </c>
      <c r="O3928" s="8">
        <v>300</v>
      </c>
      <c r="P3928" s="7">
        <v>45931</v>
      </c>
      <c r="R3928" s="8">
        <v>0</v>
      </c>
      <c r="S3928" s="7">
        <v>45936</v>
      </c>
      <c r="U3928" s="8">
        <v>300</v>
      </c>
      <c r="V3928" s="7">
        <v>45952</v>
      </c>
      <c r="X3928" s="8">
        <v>0</v>
      </c>
      <c r="Z3928" s="8">
        <v>300</v>
      </c>
      <c r="AA3928" s="7">
        <v>45966</v>
      </c>
      <c r="AC3928" s="8">
        <v>0</v>
      </c>
      <c r="AE3928" s="7">
        <v>45971</v>
      </c>
      <c r="AF3928" s="8">
        <v>0</v>
      </c>
      <c r="AH3928" s="7">
        <v>46037</v>
      </c>
      <c r="AN3928" s="8">
        <v>294</v>
      </c>
      <c r="AO3928" s="8">
        <v>6</v>
      </c>
    </row>
    <row r="3929" spans="1:41" x14ac:dyDescent="0.25">
      <c r="A3929" s="6" t="str">
        <f t="shared" si="1000"/>
        <v>525-2025000483</v>
      </c>
      <c r="B3929" s="6" t="str">
        <f t="shared" si="999"/>
        <v>Lasa Int</v>
      </c>
      <c r="C3929" s="7">
        <v>45931</v>
      </c>
      <c r="D3929" s="7">
        <v>46037</v>
      </c>
      <c r="E3929" s="8">
        <v>16</v>
      </c>
      <c r="F3929" s="6" t="str">
        <f t="shared" si="1001"/>
        <v>PURE</v>
      </c>
      <c r="G3929" s="6" t="str">
        <f t="shared" si="1002"/>
        <v>F100021455000000</v>
      </c>
      <c r="H3929" s="6" t="str">
        <f t="shared" si="1003"/>
        <v>FA 214 - PURE - 550</v>
      </c>
      <c r="I3929" s="6" t="str">
        <f>"3"</f>
        <v>3</v>
      </c>
      <c r="J3929" s="6" t="str">
        <f>"PRETO Sulf"</f>
        <v>PRETO Sulf</v>
      </c>
      <c r="K3929" s="6" t="str">
        <f>"1024"</f>
        <v>1024</v>
      </c>
      <c r="L3929" s="6" t="str">
        <f>"Toalhas"</f>
        <v>Toalhas</v>
      </c>
      <c r="M3929" s="6" t="str">
        <f>"50x100"</f>
        <v>50x100</v>
      </c>
      <c r="N3929" s="6" t="str">
        <f>"5602972837209"</f>
        <v>5602972837209</v>
      </c>
      <c r="O3929" s="8">
        <v>480</v>
      </c>
      <c r="P3929" s="7">
        <v>45931</v>
      </c>
      <c r="R3929" s="8">
        <v>0</v>
      </c>
      <c r="S3929" s="7">
        <v>45936</v>
      </c>
      <c r="U3929" s="8">
        <v>480</v>
      </c>
      <c r="V3929" s="7">
        <v>45952</v>
      </c>
      <c r="X3929" s="8">
        <v>0</v>
      </c>
      <c r="Z3929" s="8">
        <v>480</v>
      </c>
      <c r="AA3929" s="7">
        <v>45966</v>
      </c>
      <c r="AC3929" s="8">
        <v>0</v>
      </c>
      <c r="AE3929" s="7">
        <v>45971</v>
      </c>
      <c r="AF3929" s="8">
        <v>0</v>
      </c>
      <c r="AH3929" s="7">
        <v>46037</v>
      </c>
      <c r="AN3929" s="8">
        <v>0</v>
      </c>
      <c r="AO3929" s="8">
        <v>480</v>
      </c>
    </row>
    <row r="3930" spans="1:41" x14ac:dyDescent="0.25">
      <c r="A3930" s="6" t="str">
        <f t="shared" si="1000"/>
        <v>525-2025000483</v>
      </c>
      <c r="B3930" s="6" t="str">
        <f t="shared" si="999"/>
        <v>Lasa Int</v>
      </c>
      <c r="C3930" s="7">
        <v>45931</v>
      </c>
      <c r="D3930" s="7">
        <v>46037</v>
      </c>
      <c r="E3930" s="8">
        <v>17</v>
      </c>
      <c r="F3930" s="6" t="str">
        <f t="shared" si="1001"/>
        <v>PURE</v>
      </c>
      <c r="G3930" s="6" t="str">
        <f t="shared" si="1002"/>
        <v>F100021455000000</v>
      </c>
      <c r="H3930" s="6" t="str">
        <f t="shared" si="1003"/>
        <v>FA 214 - PURE - 550</v>
      </c>
      <c r="I3930" s="6" t="str">
        <f>"3"</f>
        <v>3</v>
      </c>
      <c r="J3930" s="6" t="str">
        <f>"PRETO Sulf"</f>
        <v>PRETO Sulf</v>
      </c>
      <c r="K3930" s="6" t="str">
        <f>"1535"</f>
        <v>1535</v>
      </c>
      <c r="L3930" s="6" t="str">
        <f>"Toalhões"</f>
        <v>Toalhões</v>
      </c>
      <c r="M3930" s="6" t="str">
        <f>"70x140"</f>
        <v>70x140</v>
      </c>
      <c r="N3930" s="6" t="str">
        <f>"5602972837216"</f>
        <v>5602972837216</v>
      </c>
      <c r="O3930" s="8">
        <v>240</v>
      </c>
      <c r="P3930" s="7">
        <v>45931</v>
      </c>
      <c r="R3930" s="8">
        <v>0</v>
      </c>
      <c r="S3930" s="7">
        <v>45936</v>
      </c>
      <c r="U3930" s="8">
        <v>240</v>
      </c>
      <c r="V3930" s="7">
        <v>45952</v>
      </c>
      <c r="X3930" s="8">
        <v>0</v>
      </c>
      <c r="Z3930" s="8">
        <v>240</v>
      </c>
      <c r="AA3930" s="7">
        <v>45966</v>
      </c>
      <c r="AC3930" s="8">
        <v>271</v>
      </c>
      <c r="AE3930" s="7">
        <v>45971</v>
      </c>
      <c r="AF3930" s="8">
        <v>271</v>
      </c>
      <c r="AH3930" s="7">
        <v>46037</v>
      </c>
      <c r="AN3930" s="8">
        <v>271</v>
      </c>
      <c r="AO3930" s="8">
        <v>-31</v>
      </c>
    </row>
    <row r="3931" spans="1:41" x14ac:dyDescent="0.25">
      <c r="A3931" s="6" t="str">
        <f t="shared" si="1000"/>
        <v>525-2025000483</v>
      </c>
      <c r="B3931" s="6" t="str">
        <f t="shared" si="999"/>
        <v>Lasa Int</v>
      </c>
      <c r="C3931" s="7">
        <v>45931</v>
      </c>
      <c r="D3931" s="7">
        <v>46037</v>
      </c>
      <c r="E3931" s="8">
        <v>18</v>
      </c>
      <c r="F3931" s="6" t="str">
        <f t="shared" si="1001"/>
        <v>PURE</v>
      </c>
      <c r="G3931" s="6" t="str">
        <f t="shared" si="1002"/>
        <v>F100021455000000</v>
      </c>
      <c r="H3931" s="6" t="str">
        <f t="shared" si="1003"/>
        <v>FA 214 - PURE - 550</v>
      </c>
      <c r="I3931" s="6" t="str">
        <f>"3"</f>
        <v>3</v>
      </c>
      <c r="J3931" s="6" t="str">
        <f>"PRETO Sulf"</f>
        <v>PRETO Sulf</v>
      </c>
      <c r="K3931" s="6" t="str">
        <f>"2020"</f>
        <v>2020</v>
      </c>
      <c r="L3931" s="6" t="str">
        <f>"Lençóis"</f>
        <v>Lençóis</v>
      </c>
      <c r="M3931" s="6" t="str">
        <f>"100x150"</f>
        <v>100x150</v>
      </c>
      <c r="N3931" s="6" t="str">
        <f>"5602972837223"</f>
        <v>5602972837223</v>
      </c>
      <c r="O3931" s="8">
        <v>160</v>
      </c>
      <c r="P3931" s="7">
        <v>45931</v>
      </c>
      <c r="R3931" s="8">
        <v>0</v>
      </c>
      <c r="S3931" s="7">
        <v>45936</v>
      </c>
      <c r="U3931" s="8">
        <v>160</v>
      </c>
      <c r="V3931" s="7">
        <v>45952</v>
      </c>
      <c r="X3931" s="8">
        <v>0</v>
      </c>
      <c r="Z3931" s="8">
        <v>160</v>
      </c>
      <c r="AA3931" s="7">
        <v>45966</v>
      </c>
      <c r="AC3931" s="8">
        <v>201</v>
      </c>
      <c r="AE3931" s="7">
        <v>45971</v>
      </c>
      <c r="AF3931" s="8">
        <v>201</v>
      </c>
      <c r="AH3931" s="7">
        <v>46037</v>
      </c>
      <c r="AN3931" s="8">
        <v>201</v>
      </c>
      <c r="AO3931" s="8">
        <v>-41</v>
      </c>
    </row>
    <row r="3932" spans="1:41" x14ac:dyDescent="0.25">
      <c r="A3932" s="6" t="str">
        <f t="shared" si="1000"/>
        <v>525-2025000483</v>
      </c>
      <c r="B3932" s="6" t="str">
        <f t="shared" si="999"/>
        <v>Lasa Int</v>
      </c>
      <c r="C3932" s="7">
        <v>45931</v>
      </c>
      <c r="D3932" s="7">
        <v>46037</v>
      </c>
      <c r="E3932" s="8">
        <v>19</v>
      </c>
      <c r="F3932" s="6" t="str">
        <f t="shared" si="1001"/>
        <v>PURE</v>
      </c>
      <c r="G3932" s="6" t="str">
        <f t="shared" si="1002"/>
        <v>F100021455000000</v>
      </c>
      <c r="H3932" s="6" t="str">
        <f t="shared" si="1003"/>
        <v>FA 214 - PURE - 550</v>
      </c>
      <c r="I3932" s="6" t="str">
        <f>"3073"</f>
        <v>3073</v>
      </c>
      <c r="J3932" s="6" t="str">
        <f>"CINZA 3073"</f>
        <v>CINZA 3073</v>
      </c>
      <c r="K3932" s="6" t="str">
        <f>"0112"</f>
        <v>0112</v>
      </c>
      <c r="L3932" s="6" t="str">
        <f>"Luvas"</f>
        <v>Luvas</v>
      </c>
      <c r="M3932" s="6" t="str">
        <f>"16x21"</f>
        <v>16x21</v>
      </c>
      <c r="N3932" s="6" t="str">
        <f>"5602972877878"</f>
        <v>5602972877878</v>
      </c>
      <c r="O3932" s="8">
        <v>300</v>
      </c>
      <c r="P3932" s="7">
        <v>45931</v>
      </c>
      <c r="R3932" s="8">
        <v>0</v>
      </c>
      <c r="S3932" s="7">
        <v>45936</v>
      </c>
      <c r="U3932" s="8">
        <v>300</v>
      </c>
      <c r="V3932" s="7">
        <v>45952</v>
      </c>
      <c r="X3932" s="8">
        <v>0</v>
      </c>
      <c r="Z3932" s="8">
        <v>300</v>
      </c>
      <c r="AA3932" s="7">
        <v>45966</v>
      </c>
      <c r="AC3932" s="8">
        <v>0</v>
      </c>
      <c r="AE3932" s="7">
        <v>45971</v>
      </c>
      <c r="AF3932" s="8">
        <v>0</v>
      </c>
      <c r="AH3932" s="7">
        <v>46037</v>
      </c>
      <c r="AN3932" s="8">
        <v>252</v>
      </c>
      <c r="AO3932" s="8">
        <v>48</v>
      </c>
    </row>
    <row r="3933" spans="1:41" x14ac:dyDescent="0.25">
      <c r="A3933" s="6" t="str">
        <f t="shared" si="1000"/>
        <v>525-2025000483</v>
      </c>
      <c r="B3933" s="6" t="str">
        <f t="shared" si="999"/>
        <v>Lasa Int</v>
      </c>
      <c r="C3933" s="7">
        <v>45931</v>
      </c>
      <c r="D3933" s="7">
        <v>46037</v>
      </c>
      <c r="E3933" s="8">
        <v>20</v>
      </c>
      <c r="F3933" s="6" t="str">
        <f t="shared" si="1001"/>
        <v>PURE</v>
      </c>
      <c r="G3933" s="6" t="str">
        <f t="shared" si="1002"/>
        <v>F100021455000000</v>
      </c>
      <c r="H3933" s="6" t="str">
        <f t="shared" si="1003"/>
        <v>FA 214 - PURE - 550</v>
      </c>
      <c r="I3933" s="6" t="str">
        <f>"3073"</f>
        <v>3073</v>
      </c>
      <c r="J3933" s="6" t="str">
        <f>"CINZA 3073"</f>
        <v>CINZA 3073</v>
      </c>
      <c r="K3933" s="6" t="str">
        <f>"0530"</f>
        <v>0530</v>
      </c>
      <c r="L3933" s="6" t="str">
        <f>"Toalhetes"</f>
        <v>Toalhetes</v>
      </c>
      <c r="M3933" s="6" t="str">
        <f>"33x50"</f>
        <v>33x50</v>
      </c>
      <c r="N3933" s="6" t="str">
        <f>"5602972877885"</f>
        <v>5602972877885</v>
      </c>
      <c r="O3933" s="8">
        <v>450</v>
      </c>
      <c r="P3933" s="7">
        <v>45931</v>
      </c>
      <c r="R3933" s="8">
        <v>0</v>
      </c>
      <c r="S3933" s="7">
        <v>45936</v>
      </c>
      <c r="U3933" s="8">
        <v>450</v>
      </c>
      <c r="V3933" s="7">
        <v>45952</v>
      </c>
      <c r="X3933" s="8">
        <v>0</v>
      </c>
      <c r="Z3933" s="8">
        <v>450</v>
      </c>
      <c r="AA3933" s="7">
        <v>45966</v>
      </c>
      <c r="AC3933" s="8">
        <v>500</v>
      </c>
      <c r="AE3933" s="7">
        <v>45971</v>
      </c>
      <c r="AF3933" s="8">
        <v>500</v>
      </c>
      <c r="AH3933" s="7">
        <v>46037</v>
      </c>
      <c r="AN3933" s="8">
        <v>500</v>
      </c>
      <c r="AO3933" s="8">
        <v>-50</v>
      </c>
    </row>
    <row r="3934" spans="1:41" x14ac:dyDescent="0.25">
      <c r="A3934" s="6" t="str">
        <f t="shared" si="1000"/>
        <v>525-2025000483</v>
      </c>
      <c r="B3934" s="6" t="str">
        <f t="shared" si="999"/>
        <v>Lasa Int</v>
      </c>
      <c r="C3934" s="7">
        <v>45931</v>
      </c>
      <c r="D3934" s="7">
        <v>46037</v>
      </c>
      <c r="E3934" s="8">
        <v>21</v>
      </c>
      <c r="F3934" s="6" t="str">
        <f t="shared" si="1001"/>
        <v>PURE</v>
      </c>
      <c r="G3934" s="6" t="str">
        <f t="shared" si="1002"/>
        <v>F100021455000000</v>
      </c>
      <c r="H3934" s="6" t="str">
        <f t="shared" si="1003"/>
        <v>FA 214 - PURE - 550</v>
      </c>
      <c r="I3934" s="6" t="str">
        <f>"3073"</f>
        <v>3073</v>
      </c>
      <c r="J3934" s="6" t="str">
        <f>"CINZA 3073"</f>
        <v>CINZA 3073</v>
      </c>
      <c r="K3934" s="6" t="str">
        <f>"1024"</f>
        <v>1024</v>
      </c>
      <c r="L3934" s="6" t="str">
        <f>"Toalhas"</f>
        <v>Toalhas</v>
      </c>
      <c r="M3934" s="6" t="str">
        <f>"50x100"</f>
        <v>50x100</v>
      </c>
      <c r="N3934" s="6" t="str">
        <f>"5602972877892"</f>
        <v>5602972877892</v>
      </c>
      <c r="O3934" s="8">
        <v>960</v>
      </c>
      <c r="P3934" s="7">
        <v>45931</v>
      </c>
      <c r="R3934" s="8">
        <v>0</v>
      </c>
      <c r="S3934" s="7">
        <v>45936</v>
      </c>
      <c r="U3934" s="8">
        <v>960</v>
      </c>
      <c r="V3934" s="7">
        <v>45952</v>
      </c>
      <c r="X3934" s="8">
        <v>0</v>
      </c>
      <c r="Z3934" s="8">
        <v>960</v>
      </c>
      <c r="AA3934" s="7">
        <v>45966</v>
      </c>
      <c r="AC3934" s="8">
        <v>978</v>
      </c>
      <c r="AE3934" s="7">
        <v>45971</v>
      </c>
      <c r="AF3934" s="8">
        <v>978</v>
      </c>
      <c r="AH3934" s="7">
        <v>46037</v>
      </c>
      <c r="AN3934" s="8">
        <v>978</v>
      </c>
      <c r="AO3934" s="8">
        <v>-18</v>
      </c>
    </row>
    <row r="3935" spans="1:41" x14ac:dyDescent="0.25">
      <c r="A3935" s="6" t="str">
        <f t="shared" si="1000"/>
        <v>525-2025000483</v>
      </c>
      <c r="B3935" s="6" t="str">
        <f t="shared" si="999"/>
        <v>Lasa Int</v>
      </c>
      <c r="C3935" s="7">
        <v>45931</v>
      </c>
      <c r="D3935" s="7">
        <v>46037</v>
      </c>
      <c r="E3935" s="8">
        <v>22</v>
      </c>
      <c r="F3935" s="6" t="str">
        <f t="shared" si="1001"/>
        <v>PURE</v>
      </c>
      <c r="G3935" s="6" t="str">
        <f t="shared" si="1002"/>
        <v>F100021455000000</v>
      </c>
      <c r="H3935" s="6" t="str">
        <f t="shared" si="1003"/>
        <v>FA 214 - PURE - 550</v>
      </c>
      <c r="I3935" s="6" t="str">
        <f>"3073"</f>
        <v>3073</v>
      </c>
      <c r="J3935" s="6" t="str">
        <f>"CINZA 3073"</f>
        <v>CINZA 3073</v>
      </c>
      <c r="K3935" s="6" t="str">
        <f>"1535"</f>
        <v>1535</v>
      </c>
      <c r="L3935" s="6" t="str">
        <f>"Toalhões"</f>
        <v>Toalhões</v>
      </c>
      <c r="M3935" s="6" t="str">
        <f>"70x140"</f>
        <v>70x140</v>
      </c>
      <c r="N3935" s="6" t="str">
        <f>"5602972877908"</f>
        <v>5602972877908</v>
      </c>
      <c r="O3935" s="8">
        <v>360</v>
      </c>
      <c r="P3935" s="7">
        <v>45931</v>
      </c>
      <c r="R3935" s="8">
        <v>0</v>
      </c>
      <c r="S3935" s="7">
        <v>45936</v>
      </c>
      <c r="U3935" s="8">
        <v>360</v>
      </c>
      <c r="V3935" s="7">
        <v>45952</v>
      </c>
      <c r="X3935" s="8">
        <v>0</v>
      </c>
      <c r="Z3935" s="8">
        <v>360</v>
      </c>
      <c r="AA3935" s="7">
        <v>45966</v>
      </c>
      <c r="AC3935" s="8">
        <v>269</v>
      </c>
      <c r="AE3935" s="7">
        <v>45971</v>
      </c>
      <c r="AF3935" s="8">
        <v>269</v>
      </c>
      <c r="AH3935" s="7">
        <v>46037</v>
      </c>
      <c r="AN3935" s="8">
        <v>269</v>
      </c>
      <c r="AO3935" s="8">
        <v>91</v>
      </c>
    </row>
    <row r="3936" spans="1:41" x14ac:dyDescent="0.25">
      <c r="A3936" s="6" t="str">
        <f t="shared" si="1000"/>
        <v>525-2025000483</v>
      </c>
      <c r="B3936" s="6" t="str">
        <f t="shared" si="999"/>
        <v>Lasa Int</v>
      </c>
      <c r="C3936" s="7">
        <v>45931</v>
      </c>
      <c r="D3936" s="7">
        <v>46037</v>
      </c>
      <c r="E3936" s="8">
        <v>23</v>
      </c>
      <c r="F3936" s="6" t="str">
        <f t="shared" si="1001"/>
        <v>PURE</v>
      </c>
      <c r="G3936" s="6" t="str">
        <f t="shared" si="1002"/>
        <v>F100021455000000</v>
      </c>
      <c r="H3936" s="6" t="str">
        <f t="shared" si="1003"/>
        <v>FA 214 - PURE - 550</v>
      </c>
      <c r="I3936" s="6" t="str">
        <f>"3073"</f>
        <v>3073</v>
      </c>
      <c r="J3936" s="6" t="str">
        <f>"CINZA 3073"</f>
        <v>CINZA 3073</v>
      </c>
      <c r="K3936" s="6" t="str">
        <f>"2020"</f>
        <v>2020</v>
      </c>
      <c r="L3936" s="6" t="str">
        <f>"Lençóis"</f>
        <v>Lençóis</v>
      </c>
      <c r="M3936" s="6" t="str">
        <f>"100x150"</f>
        <v>100x150</v>
      </c>
      <c r="N3936" s="6" t="str">
        <f>"5602972877915"</f>
        <v>5602972877915</v>
      </c>
      <c r="O3936" s="8">
        <v>400</v>
      </c>
      <c r="P3936" s="7">
        <v>45931</v>
      </c>
      <c r="R3936" s="8">
        <v>0</v>
      </c>
      <c r="S3936" s="7">
        <v>45936</v>
      </c>
      <c r="U3936" s="8">
        <v>400</v>
      </c>
      <c r="V3936" s="7">
        <v>45952</v>
      </c>
      <c r="X3936" s="8">
        <v>0</v>
      </c>
      <c r="Z3936" s="8">
        <v>400</v>
      </c>
      <c r="AA3936" s="7">
        <v>45966</v>
      </c>
      <c r="AC3936" s="8">
        <v>424</v>
      </c>
      <c r="AE3936" s="7">
        <v>45971</v>
      </c>
      <c r="AF3936" s="8">
        <v>424</v>
      </c>
      <c r="AH3936" s="7">
        <v>46037</v>
      </c>
      <c r="AN3936" s="8">
        <v>424</v>
      </c>
      <c r="AO3936" s="8">
        <v>-24</v>
      </c>
    </row>
    <row r="3937" spans="1:41" x14ac:dyDescent="0.25">
      <c r="A3937" s="6" t="str">
        <f t="shared" si="1000"/>
        <v>525-2025000483</v>
      </c>
      <c r="B3937" s="6" t="str">
        <f t="shared" si="999"/>
        <v>Lasa Int</v>
      </c>
      <c r="C3937" s="7">
        <v>45931</v>
      </c>
      <c r="D3937" s="7">
        <v>46037</v>
      </c>
      <c r="E3937" s="8">
        <v>24</v>
      </c>
      <c r="F3937" s="6" t="str">
        <f t="shared" si="1001"/>
        <v>PURE</v>
      </c>
      <c r="G3937" s="6" t="str">
        <f t="shared" si="1002"/>
        <v>F100021455000000</v>
      </c>
      <c r="H3937" s="6" t="str">
        <f t="shared" si="1003"/>
        <v>FA 214 - PURE - 550</v>
      </c>
      <c r="I3937" s="6" t="str">
        <f>"3233"</f>
        <v>3233</v>
      </c>
      <c r="J3937" s="6" t="str">
        <f>"LILAS 3233"</f>
        <v>LILAS 3233</v>
      </c>
      <c r="K3937" s="6" t="str">
        <f>"0112"</f>
        <v>0112</v>
      </c>
      <c r="L3937" s="6" t="str">
        <f>"Luvas"</f>
        <v>Luvas</v>
      </c>
      <c r="M3937" s="6" t="str">
        <f>"16x21"</f>
        <v>16x21</v>
      </c>
      <c r="N3937" s="6" t="str">
        <f>"5602972895179"</f>
        <v>5602972895179</v>
      </c>
      <c r="O3937" s="8">
        <v>300</v>
      </c>
      <c r="P3937" s="7">
        <v>45931</v>
      </c>
      <c r="R3937" s="8">
        <v>0</v>
      </c>
      <c r="S3937" s="7">
        <v>45936</v>
      </c>
      <c r="U3937" s="8">
        <v>300</v>
      </c>
      <c r="V3937" s="7">
        <v>45952</v>
      </c>
      <c r="X3937" s="8">
        <v>0</v>
      </c>
      <c r="Z3937" s="8">
        <v>300</v>
      </c>
      <c r="AA3937" s="7">
        <v>45966</v>
      </c>
      <c r="AC3937" s="8">
        <v>0</v>
      </c>
      <c r="AE3937" s="7">
        <v>45971</v>
      </c>
      <c r="AF3937" s="8">
        <v>0</v>
      </c>
      <c r="AH3937" s="7">
        <v>46037</v>
      </c>
      <c r="AN3937" s="8">
        <v>294</v>
      </c>
      <c r="AO3937" s="8">
        <v>6</v>
      </c>
    </row>
    <row r="3938" spans="1:41" x14ac:dyDescent="0.25">
      <c r="A3938" s="6" t="str">
        <f t="shared" si="1000"/>
        <v>525-2025000483</v>
      </c>
      <c r="B3938" s="6" t="str">
        <f t="shared" si="999"/>
        <v>Lasa Int</v>
      </c>
      <c r="C3938" s="7">
        <v>45931</v>
      </c>
      <c r="D3938" s="7">
        <v>46037</v>
      </c>
      <c r="E3938" s="8">
        <v>25</v>
      </c>
      <c r="F3938" s="6" t="str">
        <f t="shared" si="1001"/>
        <v>PURE</v>
      </c>
      <c r="G3938" s="6" t="str">
        <f t="shared" si="1002"/>
        <v>F100021455000000</v>
      </c>
      <c r="H3938" s="6" t="str">
        <f t="shared" si="1003"/>
        <v>FA 214 - PURE - 550</v>
      </c>
      <c r="I3938" s="6" t="str">
        <f>"3233"</f>
        <v>3233</v>
      </c>
      <c r="J3938" s="6" t="str">
        <f>"LILAS 3233"</f>
        <v>LILAS 3233</v>
      </c>
      <c r="K3938" s="6" t="str">
        <f>"1024"</f>
        <v>1024</v>
      </c>
      <c r="L3938" s="6" t="str">
        <f>"Toalhas"</f>
        <v>Toalhas</v>
      </c>
      <c r="M3938" s="6" t="str">
        <f>"50x100"</f>
        <v>50x100</v>
      </c>
      <c r="N3938" s="6" t="str">
        <f>"5602972895193"</f>
        <v>5602972895193</v>
      </c>
      <c r="O3938" s="8">
        <v>480</v>
      </c>
      <c r="P3938" s="7">
        <v>45931</v>
      </c>
      <c r="R3938" s="8">
        <v>0</v>
      </c>
      <c r="S3938" s="7">
        <v>45936</v>
      </c>
      <c r="U3938" s="8">
        <v>480</v>
      </c>
      <c r="V3938" s="7">
        <v>45952</v>
      </c>
      <c r="X3938" s="8">
        <v>0</v>
      </c>
      <c r="Z3938" s="8">
        <v>480</v>
      </c>
      <c r="AA3938" s="7">
        <v>45966</v>
      </c>
      <c r="AC3938" s="8">
        <v>416</v>
      </c>
      <c r="AE3938" s="7">
        <v>45971</v>
      </c>
      <c r="AF3938" s="8">
        <v>416</v>
      </c>
      <c r="AH3938" s="7">
        <v>46037</v>
      </c>
      <c r="AN3938" s="8">
        <v>416</v>
      </c>
      <c r="AO3938" s="8">
        <v>64</v>
      </c>
    </row>
    <row r="3939" spans="1:41" x14ac:dyDescent="0.25">
      <c r="A3939" s="6" t="str">
        <f t="shared" si="1000"/>
        <v>525-2025000483</v>
      </c>
      <c r="B3939" s="6" t="str">
        <f t="shared" si="999"/>
        <v>Lasa Int</v>
      </c>
      <c r="C3939" s="7">
        <v>45931</v>
      </c>
      <c r="D3939" s="7">
        <v>46037</v>
      </c>
      <c r="E3939" s="8">
        <v>26</v>
      </c>
      <c r="F3939" s="6" t="str">
        <f t="shared" si="1001"/>
        <v>PURE</v>
      </c>
      <c r="G3939" s="6" t="str">
        <f t="shared" si="1002"/>
        <v>F100021455000000</v>
      </c>
      <c r="H3939" s="6" t="str">
        <f t="shared" si="1003"/>
        <v>FA 214 - PURE - 550</v>
      </c>
      <c r="I3939" s="6" t="str">
        <f>"3233"</f>
        <v>3233</v>
      </c>
      <c r="J3939" s="6" t="str">
        <f>"LILAS 3233"</f>
        <v>LILAS 3233</v>
      </c>
      <c r="K3939" s="6" t="str">
        <f>"1535"</f>
        <v>1535</v>
      </c>
      <c r="L3939" s="6" t="str">
        <f>"Toalhões"</f>
        <v>Toalhões</v>
      </c>
      <c r="M3939" s="6" t="str">
        <f>"70x140"</f>
        <v>70x140</v>
      </c>
      <c r="N3939" s="6" t="str">
        <f>"5602972895209"</f>
        <v>5602972895209</v>
      </c>
      <c r="O3939" s="8">
        <v>240</v>
      </c>
      <c r="P3939" s="7">
        <v>45931</v>
      </c>
      <c r="R3939" s="8">
        <v>0</v>
      </c>
      <c r="S3939" s="7">
        <v>45936</v>
      </c>
      <c r="U3939" s="8">
        <v>240</v>
      </c>
      <c r="V3939" s="7">
        <v>45952</v>
      </c>
      <c r="X3939" s="8">
        <v>0</v>
      </c>
      <c r="Z3939" s="8">
        <v>240</v>
      </c>
      <c r="AA3939" s="7">
        <v>45966</v>
      </c>
      <c r="AC3939" s="8">
        <v>119</v>
      </c>
      <c r="AE3939" s="7">
        <v>45971</v>
      </c>
      <c r="AF3939" s="8">
        <v>119</v>
      </c>
      <c r="AH3939" s="7">
        <v>46037</v>
      </c>
      <c r="AN3939" s="8">
        <v>119</v>
      </c>
      <c r="AO3939" s="8">
        <v>121</v>
      </c>
    </row>
    <row r="3940" spans="1:41" x14ac:dyDescent="0.25">
      <c r="A3940" s="6" t="str">
        <f t="shared" si="1000"/>
        <v>525-2025000483</v>
      </c>
      <c r="B3940" s="6" t="str">
        <f t="shared" si="999"/>
        <v>Lasa Int</v>
      </c>
      <c r="C3940" s="7">
        <v>45931</v>
      </c>
      <c r="D3940" s="7">
        <v>46037</v>
      </c>
      <c r="E3940" s="8">
        <v>27</v>
      </c>
      <c r="F3940" s="6" t="str">
        <f t="shared" si="1001"/>
        <v>PURE</v>
      </c>
      <c r="G3940" s="6" t="str">
        <f t="shared" si="1002"/>
        <v>F100021455000000</v>
      </c>
      <c r="H3940" s="6" t="str">
        <f t="shared" si="1003"/>
        <v>FA 214 - PURE - 550</v>
      </c>
      <c r="I3940" s="6" t="str">
        <f>"3233"</f>
        <v>3233</v>
      </c>
      <c r="J3940" s="6" t="str">
        <f>"LILAS 3233"</f>
        <v>LILAS 3233</v>
      </c>
      <c r="K3940" s="6" t="str">
        <f>"2020"</f>
        <v>2020</v>
      </c>
      <c r="L3940" s="6" t="str">
        <f>"Lençóis"</f>
        <v>Lençóis</v>
      </c>
      <c r="M3940" s="6" t="str">
        <f>"100x150"</f>
        <v>100x150</v>
      </c>
      <c r="N3940" s="6" t="str">
        <f>"5602972895216"</f>
        <v>5602972895216</v>
      </c>
      <c r="O3940" s="8">
        <v>160</v>
      </c>
      <c r="P3940" s="7">
        <v>45931</v>
      </c>
      <c r="R3940" s="8">
        <v>0</v>
      </c>
      <c r="S3940" s="7">
        <v>45936</v>
      </c>
      <c r="U3940" s="8">
        <v>160</v>
      </c>
      <c r="V3940" s="7">
        <v>45952</v>
      </c>
      <c r="X3940" s="8">
        <v>0</v>
      </c>
      <c r="Z3940" s="8">
        <v>160</v>
      </c>
      <c r="AA3940" s="7">
        <v>45966</v>
      </c>
      <c r="AC3940" s="8">
        <v>172</v>
      </c>
      <c r="AE3940" s="7">
        <v>45971</v>
      </c>
      <c r="AF3940" s="8">
        <v>172</v>
      </c>
      <c r="AH3940" s="7">
        <v>46037</v>
      </c>
      <c r="AN3940" s="8">
        <v>172</v>
      </c>
      <c r="AO3940" s="8">
        <v>-12</v>
      </c>
    </row>
    <row r="3941" spans="1:41" x14ac:dyDescent="0.25">
      <c r="A3941" s="6" t="str">
        <f t="shared" si="1000"/>
        <v>525-2025000483</v>
      </c>
      <c r="B3941" s="6" t="str">
        <f t="shared" si="999"/>
        <v>Lasa Int</v>
      </c>
      <c r="C3941" s="7">
        <v>45931</v>
      </c>
      <c r="D3941" s="7">
        <v>46037</v>
      </c>
      <c r="E3941" s="8">
        <v>28</v>
      </c>
      <c r="F3941" s="6" t="str">
        <f t="shared" si="1001"/>
        <v>PURE</v>
      </c>
      <c r="G3941" s="6" t="str">
        <f t="shared" si="1002"/>
        <v>F100021455000000</v>
      </c>
      <c r="H3941" s="6" t="str">
        <f t="shared" si="1003"/>
        <v>FA 214 - PURE - 550</v>
      </c>
      <c r="I3941" s="6" t="str">
        <f>"3235"</f>
        <v>3235</v>
      </c>
      <c r="J3941" s="6" t="str">
        <f>"CINZA 3235"</f>
        <v>CINZA 3235</v>
      </c>
      <c r="K3941" s="6" t="str">
        <f>"0112"</f>
        <v>0112</v>
      </c>
      <c r="L3941" s="6" t="str">
        <f>"Luvas"</f>
        <v>Luvas</v>
      </c>
      <c r="M3941" s="6" t="str">
        <f>"16x21"</f>
        <v>16x21</v>
      </c>
      <c r="N3941" s="6" t="str">
        <f>"5602972895278"</f>
        <v>5602972895278</v>
      </c>
      <c r="O3941" s="8">
        <v>600</v>
      </c>
      <c r="P3941" s="7">
        <v>45931</v>
      </c>
      <c r="R3941" s="8">
        <v>0</v>
      </c>
      <c r="S3941" s="7">
        <v>45936</v>
      </c>
      <c r="U3941" s="8">
        <v>600</v>
      </c>
      <c r="V3941" s="7">
        <v>45952</v>
      </c>
      <c r="X3941" s="8">
        <v>0</v>
      </c>
      <c r="Z3941" s="8">
        <v>600</v>
      </c>
      <c r="AA3941" s="7">
        <v>45966</v>
      </c>
      <c r="AC3941" s="8">
        <v>0</v>
      </c>
      <c r="AE3941" s="7">
        <v>45971</v>
      </c>
      <c r="AF3941" s="8">
        <v>0</v>
      </c>
      <c r="AH3941" s="7">
        <v>46037</v>
      </c>
      <c r="AN3941" s="8">
        <v>876</v>
      </c>
      <c r="AO3941" s="8">
        <v>-276</v>
      </c>
    </row>
    <row r="3942" spans="1:41" x14ac:dyDescent="0.25">
      <c r="A3942" s="6" t="str">
        <f t="shared" si="1000"/>
        <v>525-2025000483</v>
      </c>
      <c r="B3942" s="6" t="str">
        <f t="shared" si="999"/>
        <v>Lasa Int</v>
      </c>
      <c r="C3942" s="7">
        <v>45931</v>
      </c>
      <c r="D3942" s="7">
        <v>46037</v>
      </c>
      <c r="E3942" s="8">
        <v>29</v>
      </c>
      <c r="F3942" s="6" t="str">
        <f t="shared" si="1001"/>
        <v>PURE</v>
      </c>
      <c r="G3942" s="6" t="str">
        <f t="shared" si="1002"/>
        <v>F100021455000000</v>
      </c>
      <c r="H3942" s="6" t="str">
        <f t="shared" si="1003"/>
        <v>FA 214 - PURE - 550</v>
      </c>
      <c r="I3942" s="6" t="str">
        <f>"3235"</f>
        <v>3235</v>
      </c>
      <c r="J3942" s="6" t="str">
        <f>"CINZA 3235"</f>
        <v>CINZA 3235</v>
      </c>
      <c r="K3942" s="6" t="str">
        <f>"0530"</f>
        <v>0530</v>
      </c>
      <c r="L3942" s="6" t="str">
        <f>"Toalhetes"</f>
        <v>Toalhetes</v>
      </c>
      <c r="M3942" s="6" t="str">
        <f>"33x50"</f>
        <v>33x50</v>
      </c>
      <c r="N3942" s="6" t="str">
        <f>"5602972895285"</f>
        <v>5602972895285</v>
      </c>
      <c r="O3942" s="8">
        <v>450</v>
      </c>
      <c r="P3942" s="7">
        <v>45931</v>
      </c>
      <c r="R3942" s="8">
        <v>0</v>
      </c>
      <c r="S3942" s="7">
        <v>45936</v>
      </c>
      <c r="U3942" s="8">
        <v>450</v>
      </c>
      <c r="V3942" s="7">
        <v>45952</v>
      </c>
      <c r="X3942" s="8">
        <v>0</v>
      </c>
      <c r="Z3942" s="8">
        <v>450</v>
      </c>
      <c r="AA3942" s="7">
        <v>45966</v>
      </c>
      <c r="AC3942" s="8">
        <v>184</v>
      </c>
      <c r="AE3942" s="7">
        <v>45971</v>
      </c>
      <c r="AF3942" s="8">
        <v>184</v>
      </c>
      <c r="AH3942" s="7">
        <v>46037</v>
      </c>
      <c r="AN3942" s="8">
        <v>184</v>
      </c>
      <c r="AO3942" s="8">
        <v>266</v>
      </c>
    </row>
    <row r="3943" spans="1:41" x14ac:dyDescent="0.25">
      <c r="A3943" s="6" t="str">
        <f t="shared" si="1000"/>
        <v>525-2025000483</v>
      </c>
      <c r="B3943" s="6" t="str">
        <f t="shared" si="999"/>
        <v>Lasa Int</v>
      </c>
      <c r="C3943" s="7">
        <v>45931</v>
      </c>
      <c r="D3943" s="7">
        <v>46037</v>
      </c>
      <c r="E3943" s="8">
        <v>30</v>
      </c>
      <c r="F3943" s="6" t="str">
        <f t="shared" si="1001"/>
        <v>PURE</v>
      </c>
      <c r="G3943" s="6" t="str">
        <f t="shared" si="1002"/>
        <v>F100021455000000</v>
      </c>
      <c r="H3943" s="6" t="str">
        <f t="shared" si="1003"/>
        <v>FA 214 - PURE - 550</v>
      </c>
      <c r="I3943" s="6" t="str">
        <f>"3235"</f>
        <v>3235</v>
      </c>
      <c r="J3943" s="6" t="str">
        <f>"CINZA 3235"</f>
        <v>CINZA 3235</v>
      </c>
      <c r="K3943" s="6" t="str">
        <f>"1024"</f>
        <v>1024</v>
      </c>
      <c r="L3943" s="6" t="str">
        <f>"Toalhas"</f>
        <v>Toalhas</v>
      </c>
      <c r="M3943" s="6" t="str">
        <f>"50x100"</f>
        <v>50x100</v>
      </c>
      <c r="N3943" s="6" t="str">
        <f>"5602972895292"</f>
        <v>5602972895292</v>
      </c>
      <c r="O3943" s="8">
        <v>960</v>
      </c>
      <c r="P3943" s="7">
        <v>45931</v>
      </c>
      <c r="R3943" s="8">
        <v>0</v>
      </c>
      <c r="S3943" s="7">
        <v>45936</v>
      </c>
      <c r="U3943" s="8">
        <v>960</v>
      </c>
      <c r="V3943" s="7">
        <v>45952</v>
      </c>
      <c r="X3943" s="8">
        <v>0</v>
      </c>
      <c r="Z3943" s="8">
        <v>960</v>
      </c>
      <c r="AA3943" s="7">
        <v>45966</v>
      </c>
      <c r="AC3943" s="8">
        <v>976</v>
      </c>
      <c r="AE3943" s="7">
        <v>45971</v>
      </c>
      <c r="AF3943" s="8">
        <v>976</v>
      </c>
      <c r="AH3943" s="7">
        <v>46037</v>
      </c>
      <c r="AN3943" s="8">
        <v>976</v>
      </c>
      <c r="AO3943" s="8">
        <v>-16</v>
      </c>
    </row>
    <row r="3944" spans="1:41" x14ac:dyDescent="0.25">
      <c r="A3944" s="6" t="str">
        <f t="shared" si="1000"/>
        <v>525-2025000483</v>
      </c>
      <c r="B3944" s="6" t="str">
        <f t="shared" si="999"/>
        <v>Lasa Int</v>
      </c>
      <c r="C3944" s="7">
        <v>45931</v>
      </c>
      <c r="D3944" s="7">
        <v>46037</v>
      </c>
      <c r="E3944" s="8">
        <v>31</v>
      </c>
      <c r="F3944" s="6" t="str">
        <f t="shared" si="1001"/>
        <v>PURE</v>
      </c>
      <c r="G3944" s="6" t="str">
        <f t="shared" si="1002"/>
        <v>F100021455000000</v>
      </c>
      <c r="H3944" s="6" t="str">
        <f t="shared" si="1003"/>
        <v>FA 214 - PURE - 550</v>
      </c>
      <c r="I3944" s="6" t="str">
        <f>"3235"</f>
        <v>3235</v>
      </c>
      <c r="J3944" s="6" t="str">
        <f>"CINZA 3235"</f>
        <v>CINZA 3235</v>
      </c>
      <c r="K3944" s="6" t="str">
        <f>"1535"</f>
        <v>1535</v>
      </c>
      <c r="L3944" s="6" t="str">
        <f>"Toalhões"</f>
        <v>Toalhões</v>
      </c>
      <c r="M3944" s="6" t="str">
        <f>"70x140"</f>
        <v>70x140</v>
      </c>
      <c r="N3944" s="6" t="str">
        <f>"5602972895308"</f>
        <v>5602972895308</v>
      </c>
      <c r="O3944" s="8">
        <v>480</v>
      </c>
      <c r="P3944" s="7">
        <v>45931</v>
      </c>
      <c r="R3944" s="8">
        <v>0</v>
      </c>
      <c r="S3944" s="7">
        <v>45936</v>
      </c>
      <c r="U3944" s="8">
        <v>480</v>
      </c>
      <c r="V3944" s="7">
        <v>45952</v>
      </c>
      <c r="X3944" s="8">
        <v>0</v>
      </c>
      <c r="Z3944" s="8">
        <v>480</v>
      </c>
      <c r="AA3944" s="7">
        <v>45966</v>
      </c>
      <c r="AC3944" s="8">
        <v>481</v>
      </c>
      <c r="AE3944" s="7">
        <v>45971</v>
      </c>
      <c r="AF3944" s="8">
        <v>481</v>
      </c>
      <c r="AH3944" s="7">
        <v>46037</v>
      </c>
      <c r="AN3944" s="8">
        <v>481</v>
      </c>
      <c r="AO3944" s="8">
        <v>-1</v>
      </c>
    </row>
    <row r="3945" spans="1:41" x14ac:dyDescent="0.25">
      <c r="A3945" s="6" t="str">
        <f t="shared" si="1000"/>
        <v>525-2025000483</v>
      </c>
      <c r="B3945" s="6" t="str">
        <f t="shared" si="999"/>
        <v>Lasa Int</v>
      </c>
      <c r="C3945" s="7">
        <v>45931</v>
      </c>
      <c r="D3945" s="7">
        <v>46037</v>
      </c>
      <c r="E3945" s="8">
        <v>32</v>
      </c>
      <c r="F3945" s="6" t="str">
        <f t="shared" si="1001"/>
        <v>PURE</v>
      </c>
      <c r="G3945" s="6" t="str">
        <f t="shared" si="1002"/>
        <v>F100021455000000</v>
      </c>
      <c r="H3945" s="6" t="str">
        <f t="shared" si="1003"/>
        <v>FA 214 - PURE - 550</v>
      </c>
      <c r="I3945" s="6" t="str">
        <f>"3235"</f>
        <v>3235</v>
      </c>
      <c r="J3945" s="6" t="str">
        <f>"CINZA 3235"</f>
        <v>CINZA 3235</v>
      </c>
      <c r="K3945" s="6" t="str">
        <f>"2020"</f>
        <v>2020</v>
      </c>
      <c r="L3945" s="6" t="str">
        <f>"Lençóis"</f>
        <v>Lençóis</v>
      </c>
      <c r="M3945" s="6" t="str">
        <f>"100x150"</f>
        <v>100x150</v>
      </c>
      <c r="N3945" s="6" t="str">
        <f>"5602972895315"</f>
        <v>5602972895315</v>
      </c>
      <c r="O3945" s="8">
        <v>400</v>
      </c>
      <c r="P3945" s="7">
        <v>45931</v>
      </c>
      <c r="R3945" s="8">
        <v>0</v>
      </c>
      <c r="S3945" s="7">
        <v>45936</v>
      </c>
      <c r="U3945" s="8">
        <v>400</v>
      </c>
      <c r="V3945" s="7">
        <v>45952</v>
      </c>
      <c r="X3945" s="8">
        <v>0</v>
      </c>
      <c r="Z3945" s="8">
        <v>400</v>
      </c>
      <c r="AA3945" s="7">
        <v>45966</v>
      </c>
      <c r="AC3945" s="8">
        <v>425</v>
      </c>
      <c r="AE3945" s="7">
        <v>45971</v>
      </c>
      <c r="AF3945" s="8">
        <v>425</v>
      </c>
      <c r="AH3945" s="7">
        <v>46037</v>
      </c>
      <c r="AN3945" s="8">
        <v>425</v>
      </c>
      <c r="AO3945" s="8">
        <v>-25</v>
      </c>
    </row>
    <row r="3946" spans="1:41" x14ac:dyDescent="0.25">
      <c r="A3946" s="6" t="str">
        <f t="shared" ref="A3946:A3972" si="1004">"525-2025000483"</f>
        <v>525-2025000483</v>
      </c>
      <c r="B3946" s="6" t="str">
        <f t="shared" si="999"/>
        <v>Lasa Int</v>
      </c>
      <c r="C3946" s="7">
        <v>45931</v>
      </c>
      <c r="D3946" s="7">
        <v>46037</v>
      </c>
      <c r="E3946" s="8">
        <v>33</v>
      </c>
      <c r="F3946" s="6" t="str">
        <f t="shared" ref="F3946:F3974" si="1005">"PURE"</f>
        <v>PURE</v>
      </c>
      <c r="G3946" s="6" t="str">
        <f t="shared" ref="G3946:G3968" si="1006">"F100021455000000"</f>
        <v>F100021455000000</v>
      </c>
      <c r="H3946" s="6" t="str">
        <f t="shared" ref="H3946:H3968" si="1007">"FA 214 - PURE - 550"</f>
        <v>FA 214 - PURE - 550</v>
      </c>
      <c r="I3946" s="6" t="str">
        <f>"4387"</f>
        <v>4387</v>
      </c>
      <c r="J3946" s="6" t="str">
        <f>"VERDE 4387"</f>
        <v>VERDE 4387</v>
      </c>
      <c r="K3946" s="6" t="str">
        <f>"0112"</f>
        <v>0112</v>
      </c>
      <c r="L3946" s="6" t="str">
        <f>"Luvas"</f>
        <v>Luvas</v>
      </c>
      <c r="M3946" s="6" t="str">
        <f>"16x21"</f>
        <v>16x21</v>
      </c>
      <c r="N3946" s="6" t="str">
        <f>"5602972795585"</f>
        <v>5602972795585</v>
      </c>
      <c r="O3946" s="8">
        <v>300</v>
      </c>
      <c r="P3946" s="7">
        <v>45931</v>
      </c>
      <c r="R3946" s="8">
        <v>0</v>
      </c>
      <c r="S3946" s="7">
        <v>45936</v>
      </c>
      <c r="U3946" s="8">
        <v>300</v>
      </c>
      <c r="V3946" s="7">
        <v>45952</v>
      </c>
      <c r="X3946" s="8">
        <v>0</v>
      </c>
      <c r="Z3946" s="8">
        <v>300</v>
      </c>
      <c r="AA3946" s="7">
        <v>45966</v>
      </c>
      <c r="AC3946" s="8">
        <v>0</v>
      </c>
      <c r="AE3946" s="7">
        <v>45971</v>
      </c>
      <c r="AF3946" s="8">
        <v>0</v>
      </c>
      <c r="AH3946" s="7">
        <v>46037</v>
      </c>
      <c r="AN3946" s="8">
        <v>294</v>
      </c>
      <c r="AO3946" s="8">
        <v>6</v>
      </c>
    </row>
    <row r="3947" spans="1:41" x14ac:dyDescent="0.25">
      <c r="A3947" s="6" t="str">
        <f t="shared" si="1004"/>
        <v>525-2025000483</v>
      </c>
      <c r="B3947" s="6" t="str">
        <f t="shared" si="999"/>
        <v>Lasa Int</v>
      </c>
      <c r="C3947" s="7">
        <v>45931</v>
      </c>
      <c r="D3947" s="7">
        <v>46037</v>
      </c>
      <c r="E3947" s="8">
        <v>34</v>
      </c>
      <c r="F3947" s="6" t="str">
        <f t="shared" si="1005"/>
        <v>PURE</v>
      </c>
      <c r="G3947" s="6" t="str">
        <f t="shared" si="1006"/>
        <v>F100021455000000</v>
      </c>
      <c r="H3947" s="6" t="str">
        <f t="shared" si="1007"/>
        <v>FA 214 - PURE - 550</v>
      </c>
      <c r="I3947" s="6" t="str">
        <f>"4387"</f>
        <v>4387</v>
      </c>
      <c r="J3947" s="6" t="str">
        <f>"VERDE 4387"</f>
        <v>VERDE 4387</v>
      </c>
      <c r="K3947" s="6" t="str">
        <f>"1024"</f>
        <v>1024</v>
      </c>
      <c r="L3947" s="6" t="str">
        <f>"Toalhas"</f>
        <v>Toalhas</v>
      </c>
      <c r="M3947" s="6" t="str">
        <f>"50x100"</f>
        <v>50x100</v>
      </c>
      <c r="N3947" s="6" t="str">
        <f>"5602972795608"</f>
        <v>5602972795608</v>
      </c>
      <c r="O3947" s="8">
        <v>720</v>
      </c>
      <c r="P3947" s="7">
        <v>45931</v>
      </c>
      <c r="R3947" s="8">
        <v>0</v>
      </c>
      <c r="S3947" s="7">
        <v>45936</v>
      </c>
      <c r="U3947" s="8">
        <v>720</v>
      </c>
      <c r="V3947" s="7">
        <v>45952</v>
      </c>
      <c r="X3947" s="8">
        <v>0</v>
      </c>
      <c r="Z3947" s="8">
        <v>720</v>
      </c>
      <c r="AA3947" s="7">
        <v>45966</v>
      </c>
      <c r="AC3947" s="8">
        <v>586</v>
      </c>
      <c r="AE3947" s="7">
        <v>45971</v>
      </c>
      <c r="AF3947" s="8">
        <v>586</v>
      </c>
      <c r="AH3947" s="7">
        <v>46037</v>
      </c>
      <c r="AN3947" s="8">
        <v>586</v>
      </c>
      <c r="AO3947" s="8">
        <v>134</v>
      </c>
    </row>
    <row r="3948" spans="1:41" x14ac:dyDescent="0.25">
      <c r="A3948" s="6" t="str">
        <f t="shared" si="1004"/>
        <v>525-2025000483</v>
      </c>
      <c r="B3948" s="6" t="str">
        <f t="shared" si="999"/>
        <v>Lasa Int</v>
      </c>
      <c r="C3948" s="7">
        <v>45931</v>
      </c>
      <c r="D3948" s="7">
        <v>46037</v>
      </c>
      <c r="E3948" s="8">
        <v>35</v>
      </c>
      <c r="F3948" s="6" t="str">
        <f t="shared" si="1005"/>
        <v>PURE</v>
      </c>
      <c r="G3948" s="6" t="str">
        <f t="shared" si="1006"/>
        <v>F100021455000000</v>
      </c>
      <c r="H3948" s="6" t="str">
        <f t="shared" si="1007"/>
        <v>FA 214 - PURE - 550</v>
      </c>
      <c r="I3948" s="6" t="str">
        <f>"4387"</f>
        <v>4387</v>
      </c>
      <c r="J3948" s="6" t="str">
        <f>"VERDE 4387"</f>
        <v>VERDE 4387</v>
      </c>
      <c r="K3948" s="6" t="str">
        <f>"1535"</f>
        <v>1535</v>
      </c>
      <c r="L3948" s="6" t="str">
        <f>"Toalhões"</f>
        <v>Toalhões</v>
      </c>
      <c r="M3948" s="6" t="str">
        <f>"70x140"</f>
        <v>70x140</v>
      </c>
      <c r="N3948" s="6" t="str">
        <f>"5602972795615"</f>
        <v>5602972795615</v>
      </c>
      <c r="O3948" s="8">
        <v>240</v>
      </c>
      <c r="P3948" s="7">
        <v>45931</v>
      </c>
      <c r="R3948" s="8">
        <v>0</v>
      </c>
      <c r="S3948" s="7">
        <v>45936</v>
      </c>
      <c r="U3948" s="8">
        <v>240</v>
      </c>
      <c r="V3948" s="7">
        <v>45952</v>
      </c>
      <c r="X3948" s="8">
        <v>0</v>
      </c>
      <c r="Z3948" s="8">
        <v>240</v>
      </c>
      <c r="AA3948" s="7">
        <v>45966</v>
      </c>
      <c r="AC3948" s="8">
        <v>221</v>
      </c>
      <c r="AE3948" s="7">
        <v>45971</v>
      </c>
      <c r="AF3948" s="8">
        <v>221</v>
      </c>
      <c r="AH3948" s="7">
        <v>46037</v>
      </c>
      <c r="AN3948" s="8">
        <v>221</v>
      </c>
      <c r="AO3948" s="8">
        <v>19</v>
      </c>
    </row>
    <row r="3949" spans="1:41" x14ac:dyDescent="0.25">
      <c r="A3949" s="6" t="str">
        <f t="shared" si="1004"/>
        <v>525-2025000483</v>
      </c>
      <c r="B3949" s="6" t="str">
        <f t="shared" si="999"/>
        <v>Lasa Int</v>
      </c>
      <c r="C3949" s="7">
        <v>45931</v>
      </c>
      <c r="D3949" s="7">
        <v>46037</v>
      </c>
      <c r="E3949" s="8">
        <v>36</v>
      </c>
      <c r="F3949" s="6" t="str">
        <f t="shared" si="1005"/>
        <v>PURE</v>
      </c>
      <c r="G3949" s="6" t="str">
        <f t="shared" si="1006"/>
        <v>F100021455000000</v>
      </c>
      <c r="H3949" s="6" t="str">
        <f t="shared" si="1007"/>
        <v>FA 214 - PURE - 550</v>
      </c>
      <c r="I3949" s="6" t="str">
        <f>"4387"</f>
        <v>4387</v>
      </c>
      <c r="J3949" s="6" t="str">
        <f>"VERDE 4387"</f>
        <v>VERDE 4387</v>
      </c>
      <c r="K3949" s="6" t="str">
        <f>"2020"</f>
        <v>2020</v>
      </c>
      <c r="L3949" s="6" t="str">
        <f>"Lençóis"</f>
        <v>Lençóis</v>
      </c>
      <c r="M3949" s="6" t="str">
        <f>"100x150"</f>
        <v>100x150</v>
      </c>
      <c r="N3949" s="6" t="str">
        <f>"5602972795622"</f>
        <v>5602972795622</v>
      </c>
      <c r="O3949" s="8">
        <v>160</v>
      </c>
      <c r="P3949" s="7">
        <v>45931</v>
      </c>
      <c r="R3949" s="8">
        <v>0</v>
      </c>
      <c r="S3949" s="7">
        <v>45936</v>
      </c>
      <c r="U3949" s="8">
        <v>160</v>
      </c>
      <c r="V3949" s="7">
        <v>45952</v>
      </c>
      <c r="X3949" s="8">
        <v>0</v>
      </c>
      <c r="Z3949" s="8">
        <v>160</v>
      </c>
      <c r="AA3949" s="7">
        <v>45966</v>
      </c>
      <c r="AC3949" s="8">
        <v>138</v>
      </c>
      <c r="AE3949" s="7">
        <v>45971</v>
      </c>
      <c r="AF3949" s="8">
        <v>138</v>
      </c>
      <c r="AH3949" s="7">
        <v>46037</v>
      </c>
      <c r="AN3949" s="8">
        <v>138</v>
      </c>
      <c r="AO3949" s="8">
        <v>22</v>
      </c>
    </row>
    <row r="3950" spans="1:41" x14ac:dyDescent="0.25">
      <c r="A3950" s="6" t="str">
        <f t="shared" si="1004"/>
        <v>525-2025000483</v>
      </c>
      <c r="B3950" s="6" t="str">
        <f t="shared" si="999"/>
        <v>Lasa Int</v>
      </c>
      <c r="C3950" s="7">
        <v>45931</v>
      </c>
      <c r="D3950" s="7">
        <v>46037</v>
      </c>
      <c r="E3950" s="8">
        <v>37</v>
      </c>
      <c r="F3950" s="6" t="str">
        <f t="shared" si="1005"/>
        <v>PURE</v>
      </c>
      <c r="G3950" s="6" t="str">
        <f t="shared" si="1006"/>
        <v>F100021455000000</v>
      </c>
      <c r="H3950" s="6" t="str">
        <f t="shared" si="1007"/>
        <v>FA 214 - PURE - 550</v>
      </c>
      <c r="I3950" s="6" t="str">
        <f>"5148"</f>
        <v>5148</v>
      </c>
      <c r="J3950" s="6" t="str">
        <f>"BEGE 5148"</f>
        <v>BEGE 5148</v>
      </c>
      <c r="K3950" s="6" t="str">
        <f>"0112"</f>
        <v>0112</v>
      </c>
      <c r="L3950" s="6" t="str">
        <f>"Luvas"</f>
        <v>Luvas</v>
      </c>
      <c r="M3950" s="6" t="str">
        <f>"16x21"</f>
        <v>16x21</v>
      </c>
      <c r="N3950" s="6" t="str">
        <f>"5602972651386"</f>
        <v>5602972651386</v>
      </c>
      <c r="O3950" s="8">
        <v>300</v>
      </c>
      <c r="P3950" s="7">
        <v>45931</v>
      </c>
      <c r="R3950" s="8">
        <v>0</v>
      </c>
      <c r="S3950" s="7">
        <v>45936</v>
      </c>
      <c r="U3950" s="8">
        <v>300</v>
      </c>
      <c r="V3950" s="7">
        <v>45952</v>
      </c>
      <c r="X3950" s="8">
        <v>0</v>
      </c>
      <c r="Z3950" s="8">
        <v>300</v>
      </c>
      <c r="AA3950" s="7">
        <v>45966</v>
      </c>
      <c r="AC3950" s="8">
        <v>0</v>
      </c>
      <c r="AE3950" s="7">
        <v>45971</v>
      </c>
      <c r="AF3950" s="8">
        <v>0</v>
      </c>
      <c r="AH3950" s="7">
        <v>46037</v>
      </c>
      <c r="AN3950" s="8">
        <v>294</v>
      </c>
      <c r="AO3950" s="8">
        <v>6</v>
      </c>
    </row>
    <row r="3951" spans="1:41" x14ac:dyDescent="0.25">
      <c r="A3951" s="6" t="str">
        <f t="shared" si="1004"/>
        <v>525-2025000483</v>
      </c>
      <c r="B3951" s="6" t="str">
        <f t="shared" si="999"/>
        <v>Lasa Int</v>
      </c>
      <c r="C3951" s="7">
        <v>45931</v>
      </c>
      <c r="D3951" s="7">
        <v>46037</v>
      </c>
      <c r="E3951" s="8">
        <v>38</v>
      </c>
      <c r="F3951" s="6" t="str">
        <f t="shared" si="1005"/>
        <v>PURE</v>
      </c>
      <c r="G3951" s="6" t="str">
        <f t="shared" si="1006"/>
        <v>F100021455000000</v>
      </c>
      <c r="H3951" s="6" t="str">
        <f t="shared" si="1007"/>
        <v>FA 214 - PURE - 550</v>
      </c>
      <c r="I3951" s="6" t="str">
        <f>"5148"</f>
        <v>5148</v>
      </c>
      <c r="J3951" s="6" t="str">
        <f>"BEGE 5148"</f>
        <v>BEGE 5148</v>
      </c>
      <c r="K3951" s="6" t="str">
        <f>"0530"</f>
        <v>0530</v>
      </c>
      <c r="L3951" s="6" t="str">
        <f>"Toalhetes"</f>
        <v>Toalhetes</v>
      </c>
      <c r="M3951" s="6" t="str">
        <f>"33x50"</f>
        <v>33x50</v>
      </c>
      <c r="N3951" s="6" t="str">
        <f>"5602972651393"</f>
        <v>5602972651393</v>
      </c>
      <c r="O3951" s="8">
        <v>450</v>
      </c>
      <c r="P3951" s="7">
        <v>45931</v>
      </c>
      <c r="R3951" s="8">
        <v>0</v>
      </c>
      <c r="S3951" s="7">
        <v>45936</v>
      </c>
      <c r="U3951" s="8">
        <v>450</v>
      </c>
      <c r="V3951" s="7">
        <v>45952</v>
      </c>
      <c r="X3951" s="8">
        <v>0</v>
      </c>
      <c r="Z3951" s="8">
        <v>450</v>
      </c>
      <c r="AA3951" s="7">
        <v>45966</v>
      </c>
      <c r="AC3951" s="8">
        <v>500</v>
      </c>
      <c r="AE3951" s="7">
        <v>45971</v>
      </c>
      <c r="AF3951" s="8">
        <v>500</v>
      </c>
      <c r="AH3951" s="7">
        <v>46037</v>
      </c>
      <c r="AN3951" s="8">
        <v>500</v>
      </c>
      <c r="AO3951" s="8">
        <v>-50</v>
      </c>
    </row>
    <row r="3952" spans="1:41" x14ac:dyDescent="0.25">
      <c r="A3952" s="6" t="str">
        <f t="shared" si="1004"/>
        <v>525-2025000483</v>
      </c>
      <c r="B3952" s="6" t="str">
        <f t="shared" si="999"/>
        <v>Lasa Int</v>
      </c>
      <c r="C3952" s="7">
        <v>45931</v>
      </c>
      <c r="D3952" s="7">
        <v>46037</v>
      </c>
      <c r="E3952" s="8">
        <v>39</v>
      </c>
      <c r="F3952" s="6" t="str">
        <f t="shared" si="1005"/>
        <v>PURE</v>
      </c>
      <c r="G3952" s="6" t="str">
        <f t="shared" si="1006"/>
        <v>F100021455000000</v>
      </c>
      <c r="H3952" s="6" t="str">
        <f t="shared" si="1007"/>
        <v>FA 214 - PURE - 550</v>
      </c>
      <c r="I3952" s="6" t="str">
        <f>"5148"</f>
        <v>5148</v>
      </c>
      <c r="J3952" s="6" t="str">
        <f>"BEGE 5148"</f>
        <v>BEGE 5148</v>
      </c>
      <c r="K3952" s="6" t="str">
        <f>"1024"</f>
        <v>1024</v>
      </c>
      <c r="L3952" s="6" t="str">
        <f>"Toalhas"</f>
        <v>Toalhas</v>
      </c>
      <c r="M3952" s="6" t="str">
        <f>"50x100"</f>
        <v>50x100</v>
      </c>
      <c r="N3952" s="6" t="str">
        <f>"5602972651409"</f>
        <v>5602972651409</v>
      </c>
      <c r="O3952" s="8">
        <v>1200</v>
      </c>
      <c r="P3952" s="7">
        <v>45931</v>
      </c>
      <c r="R3952" s="8">
        <v>0</v>
      </c>
      <c r="S3952" s="7">
        <v>45936</v>
      </c>
      <c r="U3952" s="8">
        <v>1200</v>
      </c>
      <c r="V3952" s="7">
        <v>45952</v>
      </c>
      <c r="X3952" s="8">
        <v>0</v>
      </c>
      <c r="Z3952" s="8">
        <v>1200</v>
      </c>
      <c r="AA3952" s="7">
        <v>45966</v>
      </c>
      <c r="AC3952" s="8">
        <v>1030</v>
      </c>
      <c r="AE3952" s="7">
        <v>45971</v>
      </c>
      <c r="AF3952" s="8">
        <v>1030</v>
      </c>
      <c r="AH3952" s="7">
        <v>46037</v>
      </c>
      <c r="AN3952" s="8">
        <v>1030</v>
      </c>
      <c r="AO3952" s="8">
        <v>170</v>
      </c>
    </row>
    <row r="3953" spans="1:41" x14ac:dyDescent="0.25">
      <c r="A3953" s="6" t="str">
        <f t="shared" si="1004"/>
        <v>525-2025000483</v>
      </c>
      <c r="B3953" s="6" t="str">
        <f t="shared" si="999"/>
        <v>Lasa Int</v>
      </c>
      <c r="C3953" s="7">
        <v>45931</v>
      </c>
      <c r="D3953" s="7">
        <v>46037</v>
      </c>
      <c r="E3953" s="8">
        <v>40</v>
      </c>
      <c r="F3953" s="6" t="str">
        <f t="shared" si="1005"/>
        <v>PURE</v>
      </c>
      <c r="G3953" s="6" t="str">
        <f t="shared" si="1006"/>
        <v>F100021455000000</v>
      </c>
      <c r="H3953" s="6" t="str">
        <f t="shared" si="1007"/>
        <v>FA 214 - PURE - 550</v>
      </c>
      <c r="I3953" s="6" t="str">
        <f>"5148"</f>
        <v>5148</v>
      </c>
      <c r="J3953" s="6" t="str">
        <f>"BEGE 5148"</f>
        <v>BEGE 5148</v>
      </c>
      <c r="K3953" s="6" t="str">
        <f>"1535"</f>
        <v>1535</v>
      </c>
      <c r="L3953" s="6" t="str">
        <f>"Toalhões"</f>
        <v>Toalhões</v>
      </c>
      <c r="M3953" s="6" t="str">
        <f>"70x140"</f>
        <v>70x140</v>
      </c>
      <c r="N3953" s="6" t="str">
        <f>"5602972651416"</f>
        <v>5602972651416</v>
      </c>
      <c r="O3953" s="8">
        <v>360</v>
      </c>
      <c r="P3953" s="7">
        <v>45931</v>
      </c>
      <c r="R3953" s="8">
        <v>0</v>
      </c>
      <c r="S3953" s="7">
        <v>45936</v>
      </c>
      <c r="U3953" s="8">
        <v>360</v>
      </c>
      <c r="V3953" s="7">
        <v>45952</v>
      </c>
      <c r="X3953" s="8">
        <v>0</v>
      </c>
      <c r="Z3953" s="8">
        <v>360</v>
      </c>
      <c r="AA3953" s="7">
        <v>45966</v>
      </c>
      <c r="AC3953" s="8">
        <v>363</v>
      </c>
      <c r="AE3953" s="7">
        <v>45971</v>
      </c>
      <c r="AF3953" s="8">
        <v>363</v>
      </c>
      <c r="AH3953" s="7">
        <v>46037</v>
      </c>
      <c r="AN3953" s="8">
        <v>363</v>
      </c>
      <c r="AO3953" s="8">
        <v>-3</v>
      </c>
    </row>
    <row r="3954" spans="1:41" x14ac:dyDescent="0.25">
      <c r="A3954" s="6" t="str">
        <f t="shared" si="1004"/>
        <v>525-2025000483</v>
      </c>
      <c r="B3954" s="6" t="str">
        <f t="shared" si="999"/>
        <v>Lasa Int</v>
      </c>
      <c r="C3954" s="7">
        <v>45931</v>
      </c>
      <c r="D3954" s="7">
        <v>46037</v>
      </c>
      <c r="E3954" s="8">
        <v>41</v>
      </c>
      <c r="F3954" s="6" t="str">
        <f t="shared" si="1005"/>
        <v>PURE</v>
      </c>
      <c r="G3954" s="6" t="str">
        <f t="shared" si="1006"/>
        <v>F100021455000000</v>
      </c>
      <c r="H3954" s="6" t="str">
        <f t="shared" si="1007"/>
        <v>FA 214 - PURE - 550</v>
      </c>
      <c r="I3954" s="6" t="str">
        <f>"5148"</f>
        <v>5148</v>
      </c>
      <c r="J3954" s="6" t="str">
        <f>"BEGE 5148"</f>
        <v>BEGE 5148</v>
      </c>
      <c r="K3954" s="6" t="str">
        <f>"2020"</f>
        <v>2020</v>
      </c>
      <c r="L3954" s="6" t="str">
        <f>"Lençóis"</f>
        <v>Lençóis</v>
      </c>
      <c r="M3954" s="6" t="str">
        <f>"100x150"</f>
        <v>100x150</v>
      </c>
      <c r="N3954" s="6" t="str">
        <f>"5602972651423"</f>
        <v>5602972651423</v>
      </c>
      <c r="O3954" s="8">
        <v>320</v>
      </c>
      <c r="P3954" s="7">
        <v>45931</v>
      </c>
      <c r="R3954" s="8">
        <v>0</v>
      </c>
      <c r="S3954" s="7">
        <v>45936</v>
      </c>
      <c r="U3954" s="8">
        <v>320</v>
      </c>
      <c r="V3954" s="7">
        <v>45952</v>
      </c>
      <c r="X3954" s="8">
        <v>0</v>
      </c>
      <c r="Z3954" s="8">
        <v>320</v>
      </c>
      <c r="AA3954" s="7">
        <v>45966</v>
      </c>
      <c r="AC3954" s="8">
        <v>183</v>
      </c>
      <c r="AE3954" s="7">
        <v>45971</v>
      </c>
      <c r="AF3954" s="8">
        <v>183</v>
      </c>
      <c r="AH3954" s="7">
        <v>46037</v>
      </c>
      <c r="AN3954" s="8">
        <v>183</v>
      </c>
      <c r="AO3954" s="8">
        <v>137</v>
      </c>
    </row>
    <row r="3955" spans="1:41" x14ac:dyDescent="0.25">
      <c r="A3955" s="6" t="str">
        <f t="shared" si="1004"/>
        <v>525-2025000483</v>
      </c>
      <c r="B3955" s="6" t="str">
        <f t="shared" si="999"/>
        <v>Lasa Int</v>
      </c>
      <c r="C3955" s="7">
        <v>45931</v>
      </c>
      <c r="D3955" s="7">
        <v>46037</v>
      </c>
      <c r="E3955" s="8">
        <v>42</v>
      </c>
      <c r="F3955" s="6" t="str">
        <f t="shared" si="1005"/>
        <v>PURE</v>
      </c>
      <c r="G3955" s="6" t="str">
        <f t="shared" si="1006"/>
        <v>F100021455000000</v>
      </c>
      <c r="H3955" s="6" t="str">
        <f t="shared" si="1007"/>
        <v>FA 214 - PURE - 550</v>
      </c>
      <c r="I3955" s="6" t="str">
        <f>"5149"</f>
        <v>5149</v>
      </c>
      <c r="J3955" s="6" t="str">
        <f>"VERDE 5149"</f>
        <v>VERDE 5149</v>
      </c>
      <c r="K3955" s="6" t="str">
        <f>"0112"</f>
        <v>0112</v>
      </c>
      <c r="L3955" s="6" t="str">
        <f>"Luvas"</f>
        <v>Luvas</v>
      </c>
      <c r="M3955" s="6" t="str">
        <f>"16x21"</f>
        <v>16x21</v>
      </c>
      <c r="N3955" s="6" t="str">
        <f>"5602972651430"</f>
        <v>5602972651430</v>
      </c>
      <c r="O3955" s="8">
        <v>300</v>
      </c>
      <c r="P3955" s="7">
        <v>45931</v>
      </c>
      <c r="R3955" s="8">
        <v>0</v>
      </c>
      <c r="S3955" s="7">
        <v>45936</v>
      </c>
      <c r="U3955" s="8">
        <v>300</v>
      </c>
      <c r="V3955" s="7">
        <v>45952</v>
      </c>
      <c r="X3955" s="8">
        <v>0</v>
      </c>
      <c r="Z3955" s="8">
        <v>300</v>
      </c>
      <c r="AA3955" s="7">
        <v>45966</v>
      </c>
      <c r="AC3955" s="8">
        <v>0</v>
      </c>
      <c r="AE3955" s="7">
        <v>45971</v>
      </c>
      <c r="AF3955" s="8">
        <v>0</v>
      </c>
      <c r="AH3955" s="7">
        <v>46037</v>
      </c>
      <c r="AN3955" s="8">
        <v>252</v>
      </c>
      <c r="AO3955" s="8">
        <v>48</v>
      </c>
    </row>
    <row r="3956" spans="1:41" x14ac:dyDescent="0.25">
      <c r="A3956" s="6" t="str">
        <f t="shared" si="1004"/>
        <v>525-2025000483</v>
      </c>
      <c r="B3956" s="6" t="str">
        <f t="shared" si="999"/>
        <v>Lasa Int</v>
      </c>
      <c r="C3956" s="7">
        <v>45931</v>
      </c>
      <c r="D3956" s="7">
        <v>46037</v>
      </c>
      <c r="E3956" s="8">
        <v>43</v>
      </c>
      <c r="F3956" s="6" t="str">
        <f t="shared" si="1005"/>
        <v>PURE</v>
      </c>
      <c r="G3956" s="6" t="str">
        <f t="shared" si="1006"/>
        <v>F100021455000000</v>
      </c>
      <c r="H3956" s="6" t="str">
        <f t="shared" si="1007"/>
        <v>FA 214 - PURE - 550</v>
      </c>
      <c r="I3956" s="6" t="str">
        <f>"5149"</f>
        <v>5149</v>
      </c>
      <c r="J3956" s="6" t="str">
        <f>"VERDE 5149"</f>
        <v>VERDE 5149</v>
      </c>
      <c r="K3956" s="6" t="str">
        <f>"0530"</f>
        <v>0530</v>
      </c>
      <c r="L3956" s="6" t="str">
        <f>"Toalhetes"</f>
        <v>Toalhetes</v>
      </c>
      <c r="M3956" s="6" t="str">
        <f>"33x50"</f>
        <v>33x50</v>
      </c>
      <c r="N3956" s="6" t="str">
        <f>"5602972651447"</f>
        <v>5602972651447</v>
      </c>
      <c r="O3956" s="8">
        <v>450</v>
      </c>
      <c r="P3956" s="7">
        <v>45931</v>
      </c>
      <c r="R3956" s="8">
        <v>0</v>
      </c>
      <c r="S3956" s="7">
        <v>45936</v>
      </c>
      <c r="U3956" s="8">
        <v>450</v>
      </c>
      <c r="V3956" s="7">
        <v>45952</v>
      </c>
      <c r="X3956" s="8">
        <v>0</v>
      </c>
      <c r="Z3956" s="8">
        <v>450</v>
      </c>
      <c r="AA3956" s="7">
        <v>45966</v>
      </c>
      <c r="AC3956" s="8">
        <v>220</v>
      </c>
      <c r="AE3956" s="7">
        <v>45971</v>
      </c>
      <c r="AF3956" s="8">
        <v>220</v>
      </c>
      <c r="AH3956" s="7">
        <v>46037</v>
      </c>
      <c r="AN3956" s="8">
        <v>220</v>
      </c>
      <c r="AO3956" s="8">
        <v>230</v>
      </c>
    </row>
    <row r="3957" spans="1:41" x14ac:dyDescent="0.25">
      <c r="A3957" s="6" t="str">
        <f t="shared" si="1004"/>
        <v>525-2025000483</v>
      </c>
      <c r="B3957" s="6" t="str">
        <f t="shared" si="999"/>
        <v>Lasa Int</v>
      </c>
      <c r="C3957" s="7">
        <v>45931</v>
      </c>
      <c r="D3957" s="7">
        <v>46037</v>
      </c>
      <c r="E3957" s="8">
        <v>44</v>
      </c>
      <c r="F3957" s="6" t="str">
        <f t="shared" si="1005"/>
        <v>PURE</v>
      </c>
      <c r="G3957" s="6" t="str">
        <f t="shared" si="1006"/>
        <v>F100021455000000</v>
      </c>
      <c r="H3957" s="6" t="str">
        <f t="shared" si="1007"/>
        <v>FA 214 - PURE - 550</v>
      </c>
      <c r="I3957" s="6" t="str">
        <f>"5149"</f>
        <v>5149</v>
      </c>
      <c r="J3957" s="6" t="str">
        <f>"VERDE 5149"</f>
        <v>VERDE 5149</v>
      </c>
      <c r="K3957" s="6" t="str">
        <f>"1024"</f>
        <v>1024</v>
      </c>
      <c r="L3957" s="6" t="str">
        <f>"Toalhas"</f>
        <v>Toalhas</v>
      </c>
      <c r="M3957" s="6" t="str">
        <f>"50x100"</f>
        <v>50x100</v>
      </c>
      <c r="N3957" s="6" t="str">
        <f>"5602972651454"</f>
        <v>5602972651454</v>
      </c>
      <c r="O3957" s="8">
        <v>480</v>
      </c>
      <c r="P3957" s="7">
        <v>45931</v>
      </c>
      <c r="R3957" s="8">
        <v>0</v>
      </c>
      <c r="S3957" s="7">
        <v>45936</v>
      </c>
      <c r="U3957" s="8">
        <v>480</v>
      </c>
      <c r="V3957" s="7">
        <v>45952</v>
      </c>
      <c r="X3957" s="8">
        <v>0</v>
      </c>
      <c r="Z3957" s="8">
        <v>480</v>
      </c>
      <c r="AA3957" s="7">
        <v>45966</v>
      </c>
      <c r="AC3957" s="8">
        <v>520</v>
      </c>
      <c r="AE3957" s="7">
        <v>45971</v>
      </c>
      <c r="AF3957" s="8">
        <v>520</v>
      </c>
      <c r="AH3957" s="7">
        <v>46037</v>
      </c>
      <c r="AN3957" s="8">
        <v>520</v>
      </c>
      <c r="AO3957" s="8">
        <v>-40</v>
      </c>
    </row>
    <row r="3958" spans="1:41" x14ac:dyDescent="0.25">
      <c r="A3958" s="6" t="str">
        <f t="shared" si="1004"/>
        <v>525-2025000483</v>
      </c>
      <c r="B3958" s="6" t="str">
        <f t="shared" si="999"/>
        <v>Lasa Int</v>
      </c>
      <c r="C3958" s="7">
        <v>45931</v>
      </c>
      <c r="D3958" s="7">
        <v>46037</v>
      </c>
      <c r="E3958" s="8">
        <v>45</v>
      </c>
      <c r="F3958" s="6" t="str">
        <f t="shared" si="1005"/>
        <v>PURE</v>
      </c>
      <c r="G3958" s="6" t="str">
        <f t="shared" si="1006"/>
        <v>F100021455000000</v>
      </c>
      <c r="H3958" s="6" t="str">
        <f t="shared" si="1007"/>
        <v>FA 214 - PURE - 550</v>
      </c>
      <c r="I3958" s="6" t="str">
        <f>"5149"</f>
        <v>5149</v>
      </c>
      <c r="J3958" s="6" t="str">
        <f>"VERDE 5149"</f>
        <v>VERDE 5149</v>
      </c>
      <c r="K3958" s="6" t="str">
        <f>"1535"</f>
        <v>1535</v>
      </c>
      <c r="L3958" s="6" t="str">
        <f>"Toalhões"</f>
        <v>Toalhões</v>
      </c>
      <c r="M3958" s="6" t="str">
        <f>"70x140"</f>
        <v>70x140</v>
      </c>
      <c r="N3958" s="6" t="str">
        <f>"5602972651461"</f>
        <v>5602972651461</v>
      </c>
      <c r="O3958" s="8">
        <v>240</v>
      </c>
      <c r="P3958" s="7">
        <v>45931</v>
      </c>
      <c r="R3958" s="8">
        <v>0</v>
      </c>
      <c r="S3958" s="7">
        <v>45936</v>
      </c>
      <c r="U3958" s="8">
        <v>240</v>
      </c>
      <c r="V3958" s="7">
        <v>45952</v>
      </c>
      <c r="X3958" s="8">
        <v>0</v>
      </c>
      <c r="Z3958" s="8">
        <v>240</v>
      </c>
      <c r="AA3958" s="7">
        <v>45966</v>
      </c>
      <c r="AC3958" s="8">
        <v>243</v>
      </c>
      <c r="AE3958" s="7">
        <v>45971</v>
      </c>
      <c r="AF3958" s="8">
        <v>243</v>
      </c>
      <c r="AH3958" s="7">
        <v>46037</v>
      </c>
      <c r="AN3958" s="8">
        <v>243</v>
      </c>
      <c r="AO3958" s="8">
        <v>-3</v>
      </c>
    </row>
    <row r="3959" spans="1:41" x14ac:dyDescent="0.25">
      <c r="A3959" s="6" t="str">
        <f t="shared" si="1004"/>
        <v>525-2025000483</v>
      </c>
      <c r="B3959" s="6" t="str">
        <f t="shared" si="999"/>
        <v>Lasa Int</v>
      </c>
      <c r="C3959" s="7">
        <v>45931</v>
      </c>
      <c r="D3959" s="7">
        <v>46037</v>
      </c>
      <c r="E3959" s="8">
        <v>46</v>
      </c>
      <c r="F3959" s="6" t="str">
        <f t="shared" si="1005"/>
        <v>PURE</v>
      </c>
      <c r="G3959" s="6" t="str">
        <f t="shared" si="1006"/>
        <v>F100021455000000</v>
      </c>
      <c r="H3959" s="6" t="str">
        <f t="shared" si="1007"/>
        <v>FA 214 - PURE - 550</v>
      </c>
      <c r="I3959" s="6" t="str">
        <f>"5149"</f>
        <v>5149</v>
      </c>
      <c r="J3959" s="6" t="str">
        <f>"VERDE 5149"</f>
        <v>VERDE 5149</v>
      </c>
      <c r="K3959" s="6" t="str">
        <f>"2020"</f>
        <v>2020</v>
      </c>
      <c r="L3959" s="6" t="str">
        <f>"Lençóis"</f>
        <v>Lençóis</v>
      </c>
      <c r="M3959" s="6" t="str">
        <f>"100x150"</f>
        <v>100x150</v>
      </c>
      <c r="N3959" s="6" t="str">
        <f>"5602972651478"</f>
        <v>5602972651478</v>
      </c>
      <c r="O3959" s="8">
        <v>160</v>
      </c>
      <c r="P3959" s="7">
        <v>45931</v>
      </c>
      <c r="R3959" s="8">
        <v>0</v>
      </c>
      <c r="S3959" s="7">
        <v>45936</v>
      </c>
      <c r="U3959" s="8">
        <v>160</v>
      </c>
      <c r="V3959" s="7">
        <v>45952</v>
      </c>
      <c r="X3959" s="8">
        <v>0</v>
      </c>
      <c r="Z3959" s="8">
        <v>160</v>
      </c>
      <c r="AA3959" s="7">
        <v>45966</v>
      </c>
      <c r="AC3959" s="8">
        <v>127</v>
      </c>
      <c r="AE3959" s="7">
        <v>45971</v>
      </c>
      <c r="AF3959" s="8">
        <v>127</v>
      </c>
      <c r="AH3959" s="7">
        <v>46037</v>
      </c>
      <c r="AN3959" s="8">
        <v>127</v>
      </c>
      <c r="AO3959" s="8">
        <v>33</v>
      </c>
    </row>
    <row r="3960" spans="1:41" x14ac:dyDescent="0.25">
      <c r="A3960" s="6" t="str">
        <f t="shared" si="1004"/>
        <v>525-2025000483</v>
      </c>
      <c r="B3960" s="6" t="str">
        <f t="shared" si="999"/>
        <v>Lasa Int</v>
      </c>
      <c r="C3960" s="7">
        <v>45931</v>
      </c>
      <c r="D3960" s="7">
        <v>46037</v>
      </c>
      <c r="E3960" s="8">
        <v>47</v>
      </c>
      <c r="F3960" s="6" t="str">
        <f t="shared" si="1005"/>
        <v>PURE</v>
      </c>
      <c r="G3960" s="6" t="str">
        <f t="shared" si="1006"/>
        <v>F100021455000000</v>
      </c>
      <c r="H3960" s="6" t="str">
        <f t="shared" si="1007"/>
        <v>FA 214 - PURE - 550</v>
      </c>
      <c r="I3960" s="6" t="str">
        <f>"5417"</f>
        <v>5417</v>
      </c>
      <c r="J3960" s="6" t="str">
        <f>"AZUL 5417"</f>
        <v>AZUL 5417</v>
      </c>
      <c r="K3960" s="6" t="str">
        <f>"0112"</f>
        <v>0112</v>
      </c>
      <c r="L3960" s="6" t="str">
        <f>"Luvas"</f>
        <v>Luvas</v>
      </c>
      <c r="M3960" s="6" t="str">
        <f>"16x21"</f>
        <v>16x21</v>
      </c>
      <c r="N3960" s="6" t="str">
        <f>"5602972667554"</f>
        <v>5602972667554</v>
      </c>
      <c r="O3960" s="8">
        <v>300</v>
      </c>
      <c r="P3960" s="7">
        <v>45931</v>
      </c>
      <c r="R3960" s="8">
        <v>0</v>
      </c>
      <c r="S3960" s="7">
        <v>45936</v>
      </c>
      <c r="U3960" s="8">
        <v>300</v>
      </c>
      <c r="V3960" s="7">
        <v>45952</v>
      </c>
      <c r="X3960" s="8">
        <v>0</v>
      </c>
      <c r="Z3960" s="8">
        <v>300</v>
      </c>
      <c r="AA3960" s="7">
        <v>45966</v>
      </c>
      <c r="AC3960" s="8">
        <v>0</v>
      </c>
      <c r="AE3960" s="7">
        <v>45971</v>
      </c>
      <c r="AF3960" s="8">
        <v>0</v>
      </c>
      <c r="AH3960" s="7">
        <v>46037</v>
      </c>
      <c r="AN3960" s="8">
        <v>252</v>
      </c>
      <c r="AO3960" s="8">
        <v>48</v>
      </c>
    </row>
    <row r="3961" spans="1:41" x14ac:dyDescent="0.25">
      <c r="A3961" s="6" t="str">
        <f t="shared" si="1004"/>
        <v>525-2025000483</v>
      </c>
      <c r="B3961" s="6" t="str">
        <f t="shared" si="999"/>
        <v>Lasa Int</v>
      </c>
      <c r="C3961" s="7">
        <v>45931</v>
      </c>
      <c r="D3961" s="7">
        <v>46037</v>
      </c>
      <c r="E3961" s="8">
        <v>48</v>
      </c>
      <c r="F3961" s="6" t="str">
        <f t="shared" si="1005"/>
        <v>PURE</v>
      </c>
      <c r="G3961" s="6" t="str">
        <f t="shared" si="1006"/>
        <v>F100021455000000</v>
      </c>
      <c r="H3961" s="6" t="str">
        <f t="shared" si="1007"/>
        <v>FA 214 - PURE - 550</v>
      </c>
      <c r="I3961" s="6" t="str">
        <f>"5417"</f>
        <v>5417</v>
      </c>
      <c r="J3961" s="6" t="str">
        <f>"AZUL 5417"</f>
        <v>AZUL 5417</v>
      </c>
      <c r="K3961" s="6" t="str">
        <f>"1024"</f>
        <v>1024</v>
      </c>
      <c r="L3961" s="6" t="str">
        <f>"Toalhas"</f>
        <v>Toalhas</v>
      </c>
      <c r="M3961" s="6" t="str">
        <f>"50x100"</f>
        <v>50x100</v>
      </c>
      <c r="N3961" s="6" t="str">
        <f>"5602972667578"</f>
        <v>5602972667578</v>
      </c>
      <c r="O3961" s="8">
        <v>720</v>
      </c>
      <c r="P3961" s="7">
        <v>45931</v>
      </c>
      <c r="R3961" s="8">
        <v>0</v>
      </c>
      <c r="S3961" s="7">
        <v>45936</v>
      </c>
      <c r="U3961" s="8">
        <v>720</v>
      </c>
      <c r="V3961" s="7">
        <v>45952</v>
      </c>
      <c r="X3961" s="8">
        <v>0</v>
      </c>
      <c r="Z3961" s="8">
        <v>720</v>
      </c>
      <c r="AA3961" s="7">
        <v>45966</v>
      </c>
      <c r="AC3961" s="8">
        <v>742</v>
      </c>
      <c r="AE3961" s="7">
        <v>45971</v>
      </c>
      <c r="AF3961" s="8">
        <v>742</v>
      </c>
      <c r="AH3961" s="7">
        <v>46037</v>
      </c>
      <c r="AN3961" s="8">
        <v>742</v>
      </c>
      <c r="AO3961" s="8">
        <v>-22</v>
      </c>
    </row>
    <row r="3962" spans="1:41" x14ac:dyDescent="0.25">
      <c r="A3962" s="6" t="str">
        <f t="shared" si="1004"/>
        <v>525-2025000483</v>
      </c>
      <c r="B3962" s="6" t="str">
        <f t="shared" si="999"/>
        <v>Lasa Int</v>
      </c>
      <c r="C3962" s="7">
        <v>45931</v>
      </c>
      <c r="D3962" s="7">
        <v>46037</v>
      </c>
      <c r="E3962" s="8">
        <v>49</v>
      </c>
      <c r="F3962" s="6" t="str">
        <f t="shared" si="1005"/>
        <v>PURE</v>
      </c>
      <c r="G3962" s="6" t="str">
        <f t="shared" si="1006"/>
        <v>F100021455000000</v>
      </c>
      <c r="H3962" s="6" t="str">
        <f t="shared" si="1007"/>
        <v>FA 214 - PURE - 550</v>
      </c>
      <c r="I3962" s="6" t="str">
        <f>"5417"</f>
        <v>5417</v>
      </c>
      <c r="J3962" s="6" t="str">
        <f>"AZUL 5417"</f>
        <v>AZUL 5417</v>
      </c>
      <c r="K3962" s="6" t="str">
        <f>"1535"</f>
        <v>1535</v>
      </c>
      <c r="L3962" s="6" t="str">
        <f>"Toalhões"</f>
        <v>Toalhões</v>
      </c>
      <c r="M3962" s="6" t="str">
        <f>"70x140"</f>
        <v>70x140</v>
      </c>
      <c r="N3962" s="6" t="str">
        <f>"5602972667585"</f>
        <v>5602972667585</v>
      </c>
      <c r="O3962" s="8">
        <v>240</v>
      </c>
      <c r="P3962" s="7">
        <v>45931</v>
      </c>
      <c r="R3962" s="8">
        <v>0</v>
      </c>
      <c r="S3962" s="7">
        <v>45936</v>
      </c>
      <c r="U3962" s="8">
        <v>240</v>
      </c>
      <c r="V3962" s="7">
        <v>45952</v>
      </c>
      <c r="X3962" s="8">
        <v>0</v>
      </c>
      <c r="Z3962" s="8">
        <v>240</v>
      </c>
      <c r="AA3962" s="7">
        <v>45966</v>
      </c>
      <c r="AC3962" s="8">
        <v>221</v>
      </c>
      <c r="AE3962" s="7">
        <v>45971</v>
      </c>
      <c r="AF3962" s="8">
        <v>221</v>
      </c>
      <c r="AH3962" s="7">
        <v>46037</v>
      </c>
      <c r="AN3962" s="8">
        <v>221</v>
      </c>
      <c r="AO3962" s="8">
        <v>19</v>
      </c>
    </row>
    <row r="3963" spans="1:41" x14ac:dyDescent="0.25">
      <c r="A3963" s="6" t="str">
        <f t="shared" si="1004"/>
        <v>525-2025000483</v>
      </c>
      <c r="B3963" s="6" t="str">
        <f t="shared" si="999"/>
        <v>Lasa Int</v>
      </c>
      <c r="C3963" s="7">
        <v>45931</v>
      </c>
      <c r="D3963" s="7">
        <v>46037</v>
      </c>
      <c r="E3963" s="8">
        <v>50</v>
      </c>
      <c r="F3963" s="6" t="str">
        <f t="shared" si="1005"/>
        <v>PURE</v>
      </c>
      <c r="G3963" s="6" t="str">
        <f t="shared" si="1006"/>
        <v>F100021455000000</v>
      </c>
      <c r="H3963" s="6" t="str">
        <f t="shared" si="1007"/>
        <v>FA 214 - PURE - 550</v>
      </c>
      <c r="I3963" s="6" t="str">
        <f>"5417"</f>
        <v>5417</v>
      </c>
      <c r="J3963" s="6" t="str">
        <f>"AZUL 5417"</f>
        <v>AZUL 5417</v>
      </c>
      <c r="K3963" s="6" t="str">
        <f>"2020"</f>
        <v>2020</v>
      </c>
      <c r="L3963" s="6" t="str">
        <f>"Lençóis"</f>
        <v>Lençóis</v>
      </c>
      <c r="M3963" s="6" t="str">
        <f>"100x150"</f>
        <v>100x150</v>
      </c>
      <c r="N3963" s="6" t="str">
        <f>"5602972667592"</f>
        <v>5602972667592</v>
      </c>
      <c r="O3963" s="8">
        <v>160</v>
      </c>
      <c r="P3963" s="7">
        <v>45931</v>
      </c>
      <c r="R3963" s="8">
        <v>0</v>
      </c>
      <c r="S3963" s="7">
        <v>45936</v>
      </c>
      <c r="U3963" s="8">
        <v>160</v>
      </c>
      <c r="V3963" s="7">
        <v>45952</v>
      </c>
      <c r="X3963" s="8">
        <v>0</v>
      </c>
      <c r="Z3963" s="8">
        <v>160</v>
      </c>
      <c r="AA3963" s="7">
        <v>45966</v>
      </c>
      <c r="AC3963" s="8">
        <v>166</v>
      </c>
      <c r="AE3963" s="7">
        <v>45971</v>
      </c>
      <c r="AF3963" s="8">
        <v>166</v>
      </c>
      <c r="AH3963" s="7">
        <v>46037</v>
      </c>
      <c r="AN3963" s="8">
        <v>166</v>
      </c>
      <c r="AO3963" s="8">
        <v>-6</v>
      </c>
    </row>
    <row r="3964" spans="1:41" x14ac:dyDescent="0.25">
      <c r="A3964" s="6" t="str">
        <f t="shared" si="1004"/>
        <v>525-2025000483</v>
      </c>
      <c r="B3964" s="6" t="str">
        <f t="shared" si="999"/>
        <v>Lasa Int</v>
      </c>
      <c r="C3964" s="7">
        <v>45931</v>
      </c>
      <c r="D3964" s="7">
        <v>46037</v>
      </c>
      <c r="E3964" s="8">
        <v>51</v>
      </c>
      <c r="F3964" s="6" t="str">
        <f t="shared" si="1005"/>
        <v>PURE</v>
      </c>
      <c r="G3964" s="6" t="str">
        <f t="shared" si="1006"/>
        <v>F100021455000000</v>
      </c>
      <c r="H3964" s="6" t="str">
        <f t="shared" si="1007"/>
        <v>FA 214 - PURE - 550</v>
      </c>
      <c r="I3964" s="6" t="str">
        <f>"5864"</f>
        <v>5864</v>
      </c>
      <c r="J3964" s="6" t="str">
        <f>"AMARELO 5864"</f>
        <v>AMARELO 5864</v>
      </c>
      <c r="K3964" s="6" t="str">
        <f>"0112"</f>
        <v>0112</v>
      </c>
      <c r="L3964" s="6" t="str">
        <f>"Luvas"</f>
        <v>Luvas</v>
      </c>
      <c r="M3964" s="6" t="str">
        <f>"16x21"</f>
        <v>16x21</v>
      </c>
      <c r="N3964" s="6" t="str">
        <f>"5602972509380"</f>
        <v>5602972509380</v>
      </c>
      <c r="O3964" s="8">
        <v>300</v>
      </c>
      <c r="P3964" s="7">
        <v>45931</v>
      </c>
      <c r="R3964" s="8">
        <v>0</v>
      </c>
      <c r="S3964" s="7">
        <v>45936</v>
      </c>
      <c r="U3964" s="8">
        <v>300</v>
      </c>
      <c r="V3964" s="7">
        <v>45952</v>
      </c>
      <c r="X3964" s="8">
        <v>0</v>
      </c>
      <c r="Z3964" s="8">
        <v>300</v>
      </c>
      <c r="AA3964" s="7">
        <v>45966</v>
      </c>
      <c r="AC3964" s="8">
        <v>0</v>
      </c>
      <c r="AE3964" s="7">
        <v>45971</v>
      </c>
      <c r="AF3964" s="8">
        <v>0</v>
      </c>
      <c r="AH3964" s="7">
        <v>46037</v>
      </c>
      <c r="AN3964" s="8">
        <v>294</v>
      </c>
      <c r="AO3964" s="8">
        <v>6</v>
      </c>
    </row>
    <row r="3965" spans="1:41" x14ac:dyDescent="0.25">
      <c r="A3965" s="6" t="str">
        <f t="shared" si="1004"/>
        <v>525-2025000483</v>
      </c>
      <c r="B3965" s="6" t="str">
        <f t="shared" si="999"/>
        <v>Lasa Int</v>
      </c>
      <c r="C3965" s="7">
        <v>45931</v>
      </c>
      <c r="D3965" s="7">
        <v>46037</v>
      </c>
      <c r="E3965" s="8">
        <v>52</v>
      </c>
      <c r="F3965" s="6" t="str">
        <f t="shared" si="1005"/>
        <v>PURE</v>
      </c>
      <c r="G3965" s="6" t="str">
        <f t="shared" si="1006"/>
        <v>F100021455000000</v>
      </c>
      <c r="H3965" s="6" t="str">
        <f t="shared" si="1007"/>
        <v>FA 214 - PURE - 550</v>
      </c>
      <c r="I3965" s="6" t="str">
        <f>"5864"</f>
        <v>5864</v>
      </c>
      <c r="J3965" s="6" t="str">
        <f>"AMARELO 5864"</f>
        <v>AMARELO 5864</v>
      </c>
      <c r="K3965" s="6" t="str">
        <f>"0530"</f>
        <v>0530</v>
      </c>
      <c r="L3965" s="6" t="str">
        <f>"Toalhetes"</f>
        <v>Toalhetes</v>
      </c>
      <c r="M3965" s="6" t="str">
        <f>"33x50"</f>
        <v>33x50</v>
      </c>
      <c r="N3965" s="6" t="str">
        <f>"5602972509397"</f>
        <v>5602972509397</v>
      </c>
      <c r="O3965" s="8">
        <v>450</v>
      </c>
      <c r="P3965" s="7">
        <v>45931</v>
      </c>
      <c r="R3965" s="8">
        <v>0</v>
      </c>
      <c r="S3965" s="7">
        <v>45936</v>
      </c>
      <c r="U3965" s="8">
        <v>450</v>
      </c>
      <c r="V3965" s="7">
        <v>45952</v>
      </c>
      <c r="X3965" s="8">
        <v>0</v>
      </c>
      <c r="Z3965" s="8">
        <v>450</v>
      </c>
      <c r="AA3965" s="7">
        <v>45966</v>
      </c>
      <c r="AC3965" s="8">
        <v>442</v>
      </c>
      <c r="AE3965" s="7">
        <v>45971</v>
      </c>
      <c r="AF3965" s="8">
        <v>442</v>
      </c>
      <c r="AH3965" s="7">
        <v>46037</v>
      </c>
      <c r="AN3965" s="8">
        <v>442</v>
      </c>
      <c r="AO3965" s="8">
        <v>8</v>
      </c>
    </row>
    <row r="3966" spans="1:41" x14ac:dyDescent="0.25">
      <c r="A3966" s="6" t="str">
        <f t="shared" si="1004"/>
        <v>525-2025000483</v>
      </c>
      <c r="B3966" s="6" t="str">
        <f t="shared" si="999"/>
        <v>Lasa Int</v>
      </c>
      <c r="C3966" s="7">
        <v>45931</v>
      </c>
      <c r="D3966" s="7">
        <v>46037</v>
      </c>
      <c r="E3966" s="8">
        <v>53</v>
      </c>
      <c r="F3966" s="6" t="str">
        <f t="shared" si="1005"/>
        <v>PURE</v>
      </c>
      <c r="G3966" s="6" t="str">
        <f t="shared" si="1006"/>
        <v>F100021455000000</v>
      </c>
      <c r="H3966" s="6" t="str">
        <f t="shared" si="1007"/>
        <v>FA 214 - PURE - 550</v>
      </c>
      <c r="I3966" s="6" t="str">
        <f>"5864"</f>
        <v>5864</v>
      </c>
      <c r="J3966" s="6" t="str">
        <f>"AMARELO 5864"</f>
        <v>AMARELO 5864</v>
      </c>
      <c r="K3966" s="6" t="str">
        <f>"1024"</f>
        <v>1024</v>
      </c>
      <c r="L3966" s="6" t="str">
        <f>"Toalhas"</f>
        <v>Toalhas</v>
      </c>
      <c r="M3966" s="6" t="str">
        <f>"50x100"</f>
        <v>50x100</v>
      </c>
      <c r="N3966" s="6" t="str">
        <f>"5602972509403"</f>
        <v>5602972509403</v>
      </c>
      <c r="O3966" s="8">
        <v>480</v>
      </c>
      <c r="P3966" s="7">
        <v>45931</v>
      </c>
      <c r="R3966" s="8">
        <v>0</v>
      </c>
      <c r="S3966" s="7">
        <v>45936</v>
      </c>
      <c r="U3966" s="8">
        <v>480</v>
      </c>
      <c r="V3966" s="7">
        <v>45952</v>
      </c>
      <c r="X3966" s="8">
        <v>0</v>
      </c>
      <c r="Z3966" s="8">
        <v>480</v>
      </c>
      <c r="AA3966" s="7">
        <v>45966</v>
      </c>
      <c r="AC3966" s="8">
        <v>434</v>
      </c>
      <c r="AE3966" s="7">
        <v>45971</v>
      </c>
      <c r="AF3966" s="8">
        <v>434</v>
      </c>
      <c r="AH3966" s="7">
        <v>46037</v>
      </c>
      <c r="AN3966" s="8">
        <v>434</v>
      </c>
      <c r="AO3966" s="8">
        <v>46</v>
      </c>
    </row>
    <row r="3967" spans="1:41" x14ac:dyDescent="0.25">
      <c r="A3967" s="6" t="str">
        <f t="shared" si="1004"/>
        <v>525-2025000483</v>
      </c>
      <c r="B3967" s="6" t="str">
        <f t="shared" si="999"/>
        <v>Lasa Int</v>
      </c>
      <c r="C3967" s="7">
        <v>45931</v>
      </c>
      <c r="D3967" s="7">
        <v>46037</v>
      </c>
      <c r="E3967" s="8">
        <v>54</v>
      </c>
      <c r="F3967" s="6" t="str">
        <f t="shared" si="1005"/>
        <v>PURE</v>
      </c>
      <c r="G3967" s="6" t="str">
        <f t="shared" si="1006"/>
        <v>F100021455000000</v>
      </c>
      <c r="H3967" s="6" t="str">
        <f t="shared" si="1007"/>
        <v>FA 214 - PURE - 550</v>
      </c>
      <c r="I3967" s="6" t="str">
        <f>"5864"</f>
        <v>5864</v>
      </c>
      <c r="J3967" s="6" t="str">
        <f>"AMARELO 5864"</f>
        <v>AMARELO 5864</v>
      </c>
      <c r="K3967" s="6" t="str">
        <f>"1535"</f>
        <v>1535</v>
      </c>
      <c r="L3967" s="6" t="str">
        <f>"Toalhões"</f>
        <v>Toalhões</v>
      </c>
      <c r="M3967" s="6" t="str">
        <f>"70x140"</f>
        <v>70x140</v>
      </c>
      <c r="N3967" s="6" t="str">
        <f>"5602972509410"</f>
        <v>5602972509410</v>
      </c>
      <c r="O3967" s="8">
        <v>240</v>
      </c>
      <c r="P3967" s="7">
        <v>45931</v>
      </c>
      <c r="R3967" s="8">
        <v>0</v>
      </c>
      <c r="S3967" s="7">
        <v>45936</v>
      </c>
      <c r="U3967" s="8">
        <v>240</v>
      </c>
      <c r="V3967" s="7">
        <v>45952</v>
      </c>
      <c r="X3967" s="8">
        <v>0</v>
      </c>
      <c r="Z3967" s="8">
        <v>240</v>
      </c>
      <c r="AA3967" s="7">
        <v>45966</v>
      </c>
      <c r="AC3967" s="8">
        <v>210</v>
      </c>
      <c r="AE3967" s="7">
        <v>45971</v>
      </c>
      <c r="AF3967" s="8">
        <v>210</v>
      </c>
      <c r="AH3967" s="7">
        <v>46037</v>
      </c>
      <c r="AN3967" s="8">
        <v>210</v>
      </c>
      <c r="AO3967" s="8">
        <v>30</v>
      </c>
    </row>
    <row r="3968" spans="1:41" x14ac:dyDescent="0.25">
      <c r="A3968" s="6" t="str">
        <f t="shared" si="1004"/>
        <v>525-2025000483</v>
      </c>
      <c r="B3968" s="6" t="str">
        <f t="shared" si="999"/>
        <v>Lasa Int</v>
      </c>
      <c r="C3968" s="7">
        <v>45931</v>
      </c>
      <c r="D3968" s="7">
        <v>46037</v>
      </c>
      <c r="E3968" s="8">
        <v>55</v>
      </c>
      <c r="F3968" s="6" t="str">
        <f t="shared" si="1005"/>
        <v>PURE</v>
      </c>
      <c r="G3968" s="6" t="str">
        <f t="shared" si="1006"/>
        <v>F100021455000000</v>
      </c>
      <c r="H3968" s="6" t="str">
        <f t="shared" si="1007"/>
        <v>FA 214 - PURE - 550</v>
      </c>
      <c r="I3968" s="6" t="str">
        <f>"5864"</f>
        <v>5864</v>
      </c>
      <c r="J3968" s="6" t="str">
        <f>"AMARELO 5864"</f>
        <v>AMARELO 5864</v>
      </c>
      <c r="K3968" s="6" t="str">
        <f>"2020"</f>
        <v>2020</v>
      </c>
      <c r="L3968" s="6" t="str">
        <f>"Lençóis"</f>
        <v>Lençóis</v>
      </c>
      <c r="M3968" s="6" t="str">
        <f>"100x150"</f>
        <v>100x150</v>
      </c>
      <c r="N3968" s="6" t="str">
        <f>"5602972509427"</f>
        <v>5602972509427</v>
      </c>
      <c r="O3968" s="8">
        <v>160</v>
      </c>
      <c r="P3968" s="7">
        <v>45931</v>
      </c>
      <c r="R3968" s="8">
        <v>0</v>
      </c>
      <c r="S3968" s="7">
        <v>45936</v>
      </c>
      <c r="U3968" s="8">
        <v>160</v>
      </c>
      <c r="V3968" s="7">
        <v>45952</v>
      </c>
      <c r="X3968" s="8">
        <v>0</v>
      </c>
      <c r="Z3968" s="8">
        <v>160</v>
      </c>
      <c r="AA3968" s="7">
        <v>45966</v>
      </c>
      <c r="AC3968" s="8">
        <v>143</v>
      </c>
      <c r="AE3968" s="7">
        <v>45971</v>
      </c>
      <c r="AF3968" s="8">
        <v>143</v>
      </c>
      <c r="AH3968" s="7">
        <v>46037</v>
      </c>
      <c r="AN3968" s="8">
        <v>143</v>
      </c>
      <c r="AO3968" s="8">
        <v>17</v>
      </c>
    </row>
    <row r="3969" spans="1:41" x14ac:dyDescent="0.25">
      <c r="A3969" s="6" t="str">
        <f t="shared" si="1004"/>
        <v>525-2025000483</v>
      </c>
      <c r="B3969" s="6" t="str">
        <f t="shared" si="999"/>
        <v>Lasa Int</v>
      </c>
      <c r="C3969" s="7">
        <v>45931</v>
      </c>
      <c r="D3969" s="7">
        <v>46037</v>
      </c>
      <c r="E3969" s="8">
        <v>56</v>
      </c>
      <c r="F3969" s="6" t="str">
        <f t="shared" si="1005"/>
        <v>PURE</v>
      </c>
      <c r="G3969" s="6" t="str">
        <f>"F161003770000000"</f>
        <v>F161003770000000</v>
      </c>
      <c r="H3969" s="6" t="str">
        <f>"TA 37 - 700 g/m²"</f>
        <v>TA 37 - 700 g/m²</v>
      </c>
      <c r="I3969" s="6" t="str">
        <f>"1"</f>
        <v>1</v>
      </c>
      <c r="J3969" s="6" t="str">
        <f>"BRANCO"</f>
        <v>BRANCO</v>
      </c>
      <c r="K3969" s="6" t="str">
        <f>"3012"</f>
        <v>3012</v>
      </c>
      <c r="L3969" s="6" t="str">
        <f>"Tapetes"</f>
        <v>Tapetes</v>
      </c>
      <c r="M3969" s="6" t="str">
        <f>"50x70"</f>
        <v>50x70</v>
      </c>
      <c r="N3969" s="6" t="str">
        <f>"5602972906042"</f>
        <v>5602972906042</v>
      </c>
      <c r="O3969" s="8">
        <v>200</v>
      </c>
      <c r="P3969" s="7">
        <v>45931</v>
      </c>
      <c r="R3969" s="8">
        <v>0</v>
      </c>
      <c r="S3969" s="7">
        <v>45936</v>
      </c>
      <c r="U3969" s="8">
        <v>200</v>
      </c>
      <c r="V3969" s="7">
        <v>45952</v>
      </c>
      <c r="X3969" s="8">
        <v>0</v>
      </c>
      <c r="Z3969" s="8">
        <v>0</v>
      </c>
      <c r="AA3969" s="7">
        <v>45966</v>
      </c>
      <c r="AC3969" s="8">
        <v>200</v>
      </c>
      <c r="AE3969" s="7">
        <v>45971</v>
      </c>
      <c r="AF3969" s="8">
        <v>200</v>
      </c>
      <c r="AH3969" s="7">
        <v>46037</v>
      </c>
      <c r="AN3969" s="8">
        <v>200</v>
      </c>
      <c r="AO3969" s="8">
        <v>0</v>
      </c>
    </row>
    <row r="3970" spans="1:41" x14ac:dyDescent="0.25">
      <c r="A3970" s="6" t="str">
        <f t="shared" si="1004"/>
        <v>525-2025000483</v>
      </c>
      <c r="B3970" s="6" t="str">
        <f t="shared" ref="B3970:B4033" si="1008">"Lasa Int"</f>
        <v>Lasa Int</v>
      </c>
      <c r="C3970" s="7">
        <v>45931</v>
      </c>
      <c r="D3970" s="7">
        <v>46037</v>
      </c>
      <c r="E3970" s="8">
        <v>57</v>
      </c>
      <c r="F3970" s="6" t="str">
        <f t="shared" si="1005"/>
        <v>PURE</v>
      </c>
      <c r="G3970" s="6" t="str">
        <f>"F161003770000000"</f>
        <v>F161003770000000</v>
      </c>
      <c r="H3970" s="6" t="str">
        <f>"TA 37 - 700 g/m²"</f>
        <v>TA 37 - 700 g/m²</v>
      </c>
      <c r="I3970" s="6" t="str">
        <f>"3"</f>
        <v>3</v>
      </c>
      <c r="J3970" s="6" t="str">
        <f>"PRETO Sulf"</f>
        <v>PRETO Sulf</v>
      </c>
      <c r="K3970" s="6" t="str">
        <f>"3012"</f>
        <v>3012</v>
      </c>
      <c r="L3970" s="6" t="str">
        <f>"Tapetes"</f>
        <v>Tapetes</v>
      </c>
      <c r="M3970" s="6" t="str">
        <f>"50x70"</f>
        <v>50x70</v>
      </c>
      <c r="N3970" s="6" t="str">
        <f>"5602972806090"</f>
        <v>5602972806090</v>
      </c>
      <c r="O3970" s="8">
        <v>100</v>
      </c>
      <c r="P3970" s="7">
        <v>45931</v>
      </c>
      <c r="R3970" s="8">
        <v>0</v>
      </c>
      <c r="S3970" s="7">
        <v>45936</v>
      </c>
      <c r="U3970" s="8">
        <v>100</v>
      </c>
      <c r="V3970" s="7">
        <v>45952</v>
      </c>
      <c r="X3970" s="8">
        <v>0</v>
      </c>
      <c r="Z3970" s="8">
        <v>100</v>
      </c>
      <c r="AA3970" s="7">
        <v>45966</v>
      </c>
      <c r="AC3970" s="8">
        <v>41</v>
      </c>
      <c r="AE3970" s="7">
        <v>45971</v>
      </c>
      <c r="AF3970" s="8">
        <v>41</v>
      </c>
      <c r="AH3970" s="7">
        <v>46037</v>
      </c>
      <c r="AN3970" s="8">
        <v>41</v>
      </c>
      <c r="AO3970" s="8">
        <v>59</v>
      </c>
    </row>
    <row r="3971" spans="1:41" x14ac:dyDescent="0.25">
      <c r="A3971" s="6" t="str">
        <f t="shared" si="1004"/>
        <v>525-2025000483</v>
      </c>
      <c r="B3971" s="6" t="str">
        <f t="shared" si="1008"/>
        <v>Lasa Int</v>
      </c>
      <c r="C3971" s="7">
        <v>45931</v>
      </c>
      <c r="D3971" s="7">
        <v>46037</v>
      </c>
      <c r="E3971" s="8">
        <v>58</v>
      </c>
      <c r="F3971" s="6" t="str">
        <f t="shared" si="1005"/>
        <v>PURE</v>
      </c>
      <c r="G3971" s="6" t="str">
        <f>"F161003770000000"</f>
        <v>F161003770000000</v>
      </c>
      <c r="H3971" s="6" t="str">
        <f>"TA 37 - 700 g/m²"</f>
        <v>TA 37 - 700 g/m²</v>
      </c>
      <c r="I3971" s="6" t="str">
        <f>"3073"</f>
        <v>3073</v>
      </c>
      <c r="J3971" s="6" t="str">
        <f>"CINZA 3073"</f>
        <v>CINZA 3073</v>
      </c>
      <c r="K3971" s="6" t="str">
        <f>"3012"</f>
        <v>3012</v>
      </c>
      <c r="L3971" s="6" t="str">
        <f>"Tapetes"</f>
        <v>Tapetes</v>
      </c>
      <c r="M3971" s="6" t="str">
        <f>"50x70"</f>
        <v>50x70</v>
      </c>
      <c r="N3971" s="6" t="str">
        <f>"5602972878028"</f>
        <v>5602972878028</v>
      </c>
      <c r="O3971" s="8">
        <v>200</v>
      </c>
      <c r="P3971" s="7">
        <v>45931</v>
      </c>
      <c r="R3971" s="8">
        <v>0</v>
      </c>
      <c r="S3971" s="7">
        <v>45936</v>
      </c>
      <c r="U3971" s="8">
        <v>200</v>
      </c>
      <c r="V3971" s="7">
        <v>45952</v>
      </c>
      <c r="X3971" s="8">
        <v>0</v>
      </c>
      <c r="Z3971" s="8">
        <v>200</v>
      </c>
      <c r="AA3971" s="7">
        <v>45966</v>
      </c>
      <c r="AC3971" s="8">
        <v>200</v>
      </c>
      <c r="AE3971" s="7">
        <v>45971</v>
      </c>
      <c r="AF3971" s="8">
        <v>200</v>
      </c>
      <c r="AH3971" s="7">
        <v>46037</v>
      </c>
      <c r="AN3971" s="8">
        <v>200</v>
      </c>
      <c r="AO3971" s="8">
        <v>0</v>
      </c>
    </row>
    <row r="3972" spans="1:41" x14ac:dyDescent="0.25">
      <c r="A3972" s="6" t="str">
        <f t="shared" si="1004"/>
        <v>525-2025000483</v>
      </c>
      <c r="B3972" s="6" t="str">
        <f t="shared" si="1008"/>
        <v>Lasa Int</v>
      </c>
      <c r="C3972" s="7">
        <v>45931</v>
      </c>
      <c r="D3972" s="7">
        <v>46037</v>
      </c>
      <c r="E3972" s="8">
        <v>59</v>
      </c>
      <c r="F3972" s="6" t="str">
        <f t="shared" si="1005"/>
        <v>PURE</v>
      </c>
      <c r="G3972" s="6" t="str">
        <f>"F161003770000000"</f>
        <v>F161003770000000</v>
      </c>
      <c r="H3972" s="6" t="str">
        <f>"TA 37 - 700 g/m²"</f>
        <v>TA 37 - 700 g/m²</v>
      </c>
      <c r="I3972" s="6" t="str">
        <f>"5148"</f>
        <v>5148</v>
      </c>
      <c r="J3972" s="6" t="str">
        <f>"BEGE 5148"</f>
        <v>BEGE 5148</v>
      </c>
      <c r="K3972" s="6" t="str">
        <f>"3012"</f>
        <v>3012</v>
      </c>
      <c r="L3972" s="6" t="str">
        <f>"Tapetes"</f>
        <v>Tapetes</v>
      </c>
      <c r="M3972" s="6" t="str">
        <f>"50x70"</f>
        <v>50x70</v>
      </c>
      <c r="N3972" s="6" t="str">
        <f>"5602972651539"</f>
        <v>5602972651539</v>
      </c>
      <c r="O3972" s="8">
        <v>200</v>
      </c>
      <c r="P3972" s="7">
        <v>45931</v>
      </c>
      <c r="R3972" s="8">
        <v>4540</v>
      </c>
      <c r="S3972" s="7">
        <v>45936</v>
      </c>
      <c r="U3972" s="8">
        <v>200</v>
      </c>
      <c r="V3972" s="7">
        <v>45952</v>
      </c>
      <c r="X3972" s="8">
        <v>0</v>
      </c>
      <c r="Z3972" s="8">
        <v>200</v>
      </c>
      <c r="AA3972" s="7">
        <v>45966</v>
      </c>
      <c r="AC3972" s="8">
        <v>176</v>
      </c>
      <c r="AE3972" s="7">
        <v>45971</v>
      </c>
      <c r="AF3972" s="8">
        <v>176</v>
      </c>
      <c r="AH3972" s="7">
        <v>46037</v>
      </c>
      <c r="AN3972" s="8">
        <v>176</v>
      </c>
      <c r="AO3972" s="8">
        <v>24</v>
      </c>
    </row>
    <row r="3973" spans="1:41" x14ac:dyDescent="0.25">
      <c r="A3973" s="6" t="str">
        <f>"525-2025000485"</f>
        <v>525-2025000485</v>
      </c>
      <c r="B3973" s="6" t="str">
        <f t="shared" si="1008"/>
        <v>Lasa Int</v>
      </c>
      <c r="C3973" s="7">
        <v>45931</v>
      </c>
      <c r="D3973" s="7">
        <v>46028</v>
      </c>
      <c r="E3973" s="8">
        <v>1</v>
      </c>
      <c r="F3973" s="6" t="str">
        <f t="shared" si="1005"/>
        <v>PURE</v>
      </c>
      <c r="G3973" s="6" t="str">
        <f>"F100021455000000"</f>
        <v>F100021455000000</v>
      </c>
      <c r="H3973" s="6" t="str">
        <f>"FA 214 - PURE - 550"</f>
        <v>FA 214 - PURE - 550</v>
      </c>
      <c r="I3973" s="6" t="str">
        <f>"2240"</f>
        <v>2240</v>
      </c>
      <c r="J3973" s="6" t="str">
        <f>"AMARELO 2240"</f>
        <v>AMARELO 2240</v>
      </c>
      <c r="K3973" s="6" t="str">
        <f>"1024"</f>
        <v>1024</v>
      </c>
      <c r="L3973" s="6" t="str">
        <f>"Toalhas"</f>
        <v>Toalhas</v>
      </c>
      <c r="M3973" s="6" t="str">
        <f>"50x100"</f>
        <v>50x100</v>
      </c>
      <c r="N3973" s="6" t="str">
        <f>"5602972836509"</f>
        <v>5602972836509</v>
      </c>
      <c r="O3973" s="8">
        <v>240</v>
      </c>
      <c r="P3973" s="7">
        <v>45931</v>
      </c>
      <c r="R3973" s="8">
        <v>0</v>
      </c>
      <c r="S3973" s="7">
        <v>45936</v>
      </c>
      <c r="U3973" s="8">
        <v>240</v>
      </c>
      <c r="V3973" s="7">
        <v>45945</v>
      </c>
      <c r="X3973" s="8">
        <v>0</v>
      </c>
      <c r="Z3973" s="8">
        <v>240</v>
      </c>
      <c r="AA3973" s="7">
        <v>45957</v>
      </c>
      <c r="AC3973" s="8">
        <v>0</v>
      </c>
      <c r="AE3973" s="7">
        <v>45959</v>
      </c>
      <c r="AF3973" s="8">
        <v>0</v>
      </c>
      <c r="AH3973" s="7">
        <v>46028</v>
      </c>
      <c r="AN3973" s="8">
        <v>0</v>
      </c>
      <c r="AO3973" s="8">
        <v>240</v>
      </c>
    </row>
    <row r="3974" spans="1:41" x14ac:dyDescent="0.25">
      <c r="A3974" s="6" t="str">
        <f>"525-2025000485"</f>
        <v>525-2025000485</v>
      </c>
      <c r="B3974" s="6" t="str">
        <f t="shared" si="1008"/>
        <v>Lasa Int</v>
      </c>
      <c r="C3974" s="7">
        <v>45931</v>
      </c>
      <c r="D3974" s="7">
        <v>46028</v>
      </c>
      <c r="E3974" s="8">
        <v>2</v>
      </c>
      <c r="F3974" s="6" t="str">
        <f t="shared" si="1005"/>
        <v>PURE</v>
      </c>
      <c r="G3974" s="6" t="str">
        <f>"F100021455000000"</f>
        <v>F100021455000000</v>
      </c>
      <c r="H3974" s="6" t="str">
        <f>"FA 214 - PURE - 550"</f>
        <v>FA 214 - PURE - 550</v>
      </c>
      <c r="I3974" s="6" t="str">
        <f>"2240"</f>
        <v>2240</v>
      </c>
      <c r="J3974" s="6" t="str">
        <f>"AMARELO 2240"</f>
        <v>AMARELO 2240</v>
      </c>
      <c r="K3974" s="6" t="str">
        <f>"2020"</f>
        <v>2020</v>
      </c>
      <c r="L3974" s="6" t="str">
        <f>"Lençóis"</f>
        <v>Lençóis</v>
      </c>
      <c r="M3974" s="6" t="str">
        <f>"100x150"</f>
        <v>100x150</v>
      </c>
      <c r="N3974" s="6" t="str">
        <f>"5602972836523"</f>
        <v>5602972836523</v>
      </c>
      <c r="O3974" s="8">
        <v>320</v>
      </c>
      <c r="P3974" s="7">
        <v>45931</v>
      </c>
      <c r="R3974" s="8">
        <v>0</v>
      </c>
      <c r="S3974" s="7">
        <v>45936</v>
      </c>
      <c r="U3974" s="8">
        <v>320</v>
      </c>
      <c r="V3974" s="7">
        <v>45945</v>
      </c>
      <c r="X3974" s="8">
        <v>0</v>
      </c>
      <c r="Z3974" s="8">
        <v>320</v>
      </c>
      <c r="AA3974" s="7">
        <v>45957</v>
      </c>
      <c r="AC3974" s="8">
        <v>304</v>
      </c>
      <c r="AE3974" s="7">
        <v>45959</v>
      </c>
      <c r="AF3974" s="8">
        <v>304</v>
      </c>
      <c r="AH3974" s="7">
        <v>46028</v>
      </c>
      <c r="AN3974" s="8">
        <v>304</v>
      </c>
      <c r="AO3974" s="8">
        <v>16</v>
      </c>
    </row>
    <row r="3975" spans="1:41" x14ac:dyDescent="0.25">
      <c r="A3975" s="6" t="str">
        <f t="shared" ref="A3975:A4009" si="1009">"525-2025000486"</f>
        <v>525-2025000486</v>
      </c>
      <c r="B3975" s="6" t="str">
        <f t="shared" si="1008"/>
        <v>Lasa Int</v>
      </c>
      <c r="C3975" s="7">
        <v>45931</v>
      </c>
      <c r="D3975" s="7">
        <v>46080</v>
      </c>
      <c r="E3975" s="8">
        <v>1</v>
      </c>
      <c r="F3975" s="6" t="str">
        <f t="shared" ref="F3975:F4009" si="1010">"Pure Stars criança"</f>
        <v>Pure Stars criança</v>
      </c>
      <c r="G3975" s="6" t="str">
        <f t="shared" ref="G3975:G4009" si="1011">"R320384436000000"</f>
        <v>R320384436000000</v>
      </c>
      <c r="H3975" s="6" t="str">
        <f t="shared" ref="H3975:H4009" si="1012">"R 3844 - PL 1203 (m)"</f>
        <v>R 3844 - PL 1203 (m)</v>
      </c>
      <c r="I3975" s="6" t="str">
        <f t="shared" ref="I3975:I3981" si="1013">"203613"</f>
        <v>203613</v>
      </c>
      <c r="J3975" s="6" t="str">
        <f t="shared" ref="J3975:J3981" si="1014">"AMARELO 3613"</f>
        <v>AMARELO 3613</v>
      </c>
      <c r="K3975" s="6" t="str">
        <f>"5202"</f>
        <v>5202</v>
      </c>
      <c r="L3975" s="6" t="str">
        <f t="shared" ref="L3975:L4006" si="1015">"Roupões Criança"</f>
        <v>Roupões Criança</v>
      </c>
      <c r="M3975" s="6" t="str">
        <f>"2 Anos"</f>
        <v>2 Anos</v>
      </c>
      <c r="N3975" s="6" t="str">
        <f>"5602972522761"</f>
        <v>5602972522761</v>
      </c>
      <c r="O3975" s="8">
        <v>36</v>
      </c>
      <c r="P3975" s="7">
        <v>46010</v>
      </c>
      <c r="R3975" s="8">
        <v>659</v>
      </c>
      <c r="S3975" s="7">
        <v>46020</v>
      </c>
      <c r="U3975" s="8">
        <v>659</v>
      </c>
      <c r="V3975" s="7">
        <v>46030</v>
      </c>
      <c r="X3975" s="8">
        <v>659</v>
      </c>
      <c r="Z3975" s="8">
        <v>0</v>
      </c>
      <c r="AA3975" s="7">
        <v>46044</v>
      </c>
      <c r="AC3975" s="8">
        <v>0</v>
      </c>
      <c r="AE3975" s="7">
        <v>46049</v>
      </c>
      <c r="AF3975" s="8">
        <v>0</v>
      </c>
      <c r="AH3975" s="7">
        <v>46045</v>
      </c>
      <c r="AN3975" s="8">
        <v>0</v>
      </c>
      <c r="AO3975" s="8">
        <v>36</v>
      </c>
    </row>
    <row r="3976" spans="1:41" x14ac:dyDescent="0.25">
      <c r="A3976" s="6" t="str">
        <f t="shared" si="1009"/>
        <v>525-2025000486</v>
      </c>
      <c r="B3976" s="6" t="str">
        <f t="shared" si="1008"/>
        <v>Lasa Int</v>
      </c>
      <c r="C3976" s="7">
        <v>45931</v>
      </c>
      <c r="D3976" s="7">
        <v>46080</v>
      </c>
      <c r="E3976" s="8">
        <v>2</v>
      </c>
      <c r="F3976" s="6" t="str">
        <f t="shared" si="1010"/>
        <v>Pure Stars criança</v>
      </c>
      <c r="G3976" s="6" t="str">
        <f t="shared" si="1011"/>
        <v>R320384436000000</v>
      </c>
      <c r="H3976" s="6" t="str">
        <f t="shared" si="1012"/>
        <v>R 3844 - PL 1203 (m)</v>
      </c>
      <c r="I3976" s="6" t="str">
        <f t="shared" si="1013"/>
        <v>203613</v>
      </c>
      <c r="J3976" s="6" t="str">
        <f t="shared" si="1014"/>
        <v>AMARELO 3613</v>
      </c>
      <c r="K3976" s="6" t="str">
        <f>"5204"</f>
        <v>5204</v>
      </c>
      <c r="L3976" s="6" t="str">
        <f t="shared" si="1015"/>
        <v>Roupões Criança</v>
      </c>
      <c r="M3976" s="6" t="str">
        <f>"4 Anos"</f>
        <v>4 Anos</v>
      </c>
      <c r="N3976" s="6" t="str">
        <f>"5602972522778"</f>
        <v>5602972522778</v>
      </c>
      <c r="O3976" s="8">
        <v>60</v>
      </c>
      <c r="P3976" s="7">
        <v>46010</v>
      </c>
      <c r="R3976" s="8">
        <v>0</v>
      </c>
      <c r="S3976" s="7">
        <v>46020</v>
      </c>
      <c r="U3976" s="8">
        <v>0</v>
      </c>
      <c r="V3976" s="7">
        <v>46030</v>
      </c>
      <c r="X3976" s="8">
        <v>0</v>
      </c>
      <c r="Z3976" s="8">
        <v>0</v>
      </c>
      <c r="AA3976" s="7">
        <v>46044</v>
      </c>
      <c r="AC3976" s="8">
        <v>0</v>
      </c>
      <c r="AE3976" s="7">
        <v>46049</v>
      </c>
      <c r="AF3976" s="8">
        <v>0</v>
      </c>
      <c r="AH3976" s="7">
        <v>46045</v>
      </c>
      <c r="AN3976" s="8">
        <v>0</v>
      </c>
      <c r="AO3976" s="8">
        <v>60</v>
      </c>
    </row>
    <row r="3977" spans="1:41" x14ac:dyDescent="0.25">
      <c r="A3977" s="6" t="str">
        <f t="shared" si="1009"/>
        <v>525-2025000486</v>
      </c>
      <c r="B3977" s="6" t="str">
        <f t="shared" si="1008"/>
        <v>Lasa Int</v>
      </c>
      <c r="C3977" s="7">
        <v>45931</v>
      </c>
      <c r="D3977" s="7">
        <v>46080</v>
      </c>
      <c r="E3977" s="8">
        <v>3</v>
      </c>
      <c r="F3977" s="6" t="str">
        <f t="shared" si="1010"/>
        <v>Pure Stars criança</v>
      </c>
      <c r="G3977" s="6" t="str">
        <f t="shared" si="1011"/>
        <v>R320384436000000</v>
      </c>
      <c r="H3977" s="6" t="str">
        <f t="shared" si="1012"/>
        <v>R 3844 - PL 1203 (m)</v>
      </c>
      <c r="I3977" s="6" t="str">
        <f t="shared" si="1013"/>
        <v>203613</v>
      </c>
      <c r="J3977" s="6" t="str">
        <f t="shared" si="1014"/>
        <v>AMARELO 3613</v>
      </c>
      <c r="K3977" s="6" t="str">
        <f>"5206"</f>
        <v>5206</v>
      </c>
      <c r="L3977" s="6" t="str">
        <f t="shared" si="1015"/>
        <v>Roupões Criança</v>
      </c>
      <c r="M3977" s="6" t="str">
        <f>"6 Anos"</f>
        <v>6 Anos</v>
      </c>
      <c r="N3977" s="6" t="str">
        <f>"5602972522785"</f>
        <v>5602972522785</v>
      </c>
      <c r="O3977" s="8">
        <v>72</v>
      </c>
      <c r="P3977" s="7">
        <v>46010</v>
      </c>
      <c r="R3977" s="8">
        <v>0</v>
      </c>
      <c r="S3977" s="7">
        <v>46020</v>
      </c>
      <c r="U3977" s="8">
        <v>0</v>
      </c>
      <c r="V3977" s="7">
        <v>46030</v>
      </c>
      <c r="X3977" s="8">
        <v>0</v>
      </c>
      <c r="Z3977" s="8">
        <v>0</v>
      </c>
      <c r="AA3977" s="7">
        <v>46044</v>
      </c>
      <c r="AC3977" s="8">
        <v>0</v>
      </c>
      <c r="AE3977" s="7">
        <v>46049</v>
      </c>
      <c r="AF3977" s="8">
        <v>0</v>
      </c>
      <c r="AH3977" s="7">
        <v>46045</v>
      </c>
      <c r="AN3977" s="8">
        <v>0</v>
      </c>
      <c r="AO3977" s="8">
        <v>72</v>
      </c>
    </row>
    <row r="3978" spans="1:41" x14ac:dyDescent="0.25">
      <c r="A3978" s="6" t="str">
        <f t="shared" si="1009"/>
        <v>525-2025000486</v>
      </c>
      <c r="B3978" s="6" t="str">
        <f t="shared" si="1008"/>
        <v>Lasa Int</v>
      </c>
      <c r="C3978" s="7">
        <v>45931</v>
      </c>
      <c r="D3978" s="7">
        <v>46080</v>
      </c>
      <c r="E3978" s="8">
        <v>4</v>
      </c>
      <c r="F3978" s="6" t="str">
        <f t="shared" si="1010"/>
        <v>Pure Stars criança</v>
      </c>
      <c r="G3978" s="6" t="str">
        <f t="shared" si="1011"/>
        <v>R320384436000000</v>
      </c>
      <c r="H3978" s="6" t="str">
        <f t="shared" si="1012"/>
        <v>R 3844 - PL 1203 (m)</v>
      </c>
      <c r="I3978" s="6" t="str">
        <f t="shared" si="1013"/>
        <v>203613</v>
      </c>
      <c r="J3978" s="6" t="str">
        <f t="shared" si="1014"/>
        <v>AMARELO 3613</v>
      </c>
      <c r="K3978" s="6" t="str">
        <f>"5208"</f>
        <v>5208</v>
      </c>
      <c r="L3978" s="6" t="str">
        <f t="shared" si="1015"/>
        <v>Roupões Criança</v>
      </c>
      <c r="M3978" s="6" t="str">
        <f>"8 Anos"</f>
        <v>8 Anos</v>
      </c>
      <c r="N3978" s="6" t="str">
        <f>"5602972522792"</f>
        <v>5602972522792</v>
      </c>
      <c r="O3978" s="8">
        <v>84</v>
      </c>
      <c r="P3978" s="7">
        <v>46010</v>
      </c>
      <c r="R3978" s="8">
        <v>0</v>
      </c>
      <c r="S3978" s="7">
        <v>46020</v>
      </c>
      <c r="U3978" s="8">
        <v>0</v>
      </c>
      <c r="V3978" s="7">
        <v>46030</v>
      </c>
      <c r="X3978" s="8">
        <v>0</v>
      </c>
      <c r="Z3978" s="8">
        <v>0</v>
      </c>
      <c r="AA3978" s="7">
        <v>46044</v>
      </c>
      <c r="AC3978" s="8">
        <v>0</v>
      </c>
      <c r="AE3978" s="7">
        <v>46049</v>
      </c>
      <c r="AF3978" s="8">
        <v>0</v>
      </c>
      <c r="AH3978" s="7">
        <v>46045</v>
      </c>
      <c r="AN3978" s="8">
        <v>0</v>
      </c>
      <c r="AO3978" s="8">
        <v>84</v>
      </c>
    </row>
    <row r="3979" spans="1:41" x14ac:dyDescent="0.25">
      <c r="A3979" s="6" t="str">
        <f t="shared" si="1009"/>
        <v>525-2025000486</v>
      </c>
      <c r="B3979" s="6" t="str">
        <f t="shared" si="1008"/>
        <v>Lasa Int</v>
      </c>
      <c r="C3979" s="7">
        <v>45931</v>
      </c>
      <c r="D3979" s="7">
        <v>46080</v>
      </c>
      <c r="E3979" s="8">
        <v>5</v>
      </c>
      <c r="F3979" s="6" t="str">
        <f t="shared" si="1010"/>
        <v>Pure Stars criança</v>
      </c>
      <c r="G3979" s="6" t="str">
        <f t="shared" si="1011"/>
        <v>R320384436000000</v>
      </c>
      <c r="H3979" s="6" t="str">
        <f t="shared" si="1012"/>
        <v>R 3844 - PL 1203 (m)</v>
      </c>
      <c r="I3979" s="6" t="str">
        <f t="shared" si="1013"/>
        <v>203613</v>
      </c>
      <c r="J3979" s="6" t="str">
        <f t="shared" si="1014"/>
        <v>AMARELO 3613</v>
      </c>
      <c r="K3979" s="6" t="str">
        <f>"5210"</f>
        <v>5210</v>
      </c>
      <c r="L3979" s="6" t="str">
        <f t="shared" si="1015"/>
        <v>Roupões Criança</v>
      </c>
      <c r="M3979" s="6" t="str">
        <f>"10 Anos"</f>
        <v>10 Anos</v>
      </c>
      <c r="N3979" s="6" t="str">
        <f>"5602972522808"</f>
        <v>5602972522808</v>
      </c>
      <c r="O3979" s="8">
        <v>84</v>
      </c>
      <c r="P3979" s="7">
        <v>46010</v>
      </c>
      <c r="R3979" s="8">
        <v>0</v>
      </c>
      <c r="S3979" s="7">
        <v>46020</v>
      </c>
      <c r="U3979" s="8">
        <v>0</v>
      </c>
      <c r="V3979" s="7">
        <v>46030</v>
      </c>
      <c r="X3979" s="8">
        <v>0</v>
      </c>
      <c r="Z3979" s="8">
        <v>0</v>
      </c>
      <c r="AA3979" s="7">
        <v>46044</v>
      </c>
      <c r="AC3979" s="8">
        <v>0</v>
      </c>
      <c r="AE3979" s="7">
        <v>46049</v>
      </c>
      <c r="AF3979" s="8">
        <v>0</v>
      </c>
      <c r="AH3979" s="7">
        <v>46045</v>
      </c>
      <c r="AN3979" s="8">
        <v>0</v>
      </c>
      <c r="AO3979" s="8">
        <v>84</v>
      </c>
    </row>
    <row r="3980" spans="1:41" x14ac:dyDescent="0.25">
      <c r="A3980" s="6" t="str">
        <f t="shared" si="1009"/>
        <v>525-2025000486</v>
      </c>
      <c r="B3980" s="6" t="str">
        <f t="shared" si="1008"/>
        <v>Lasa Int</v>
      </c>
      <c r="C3980" s="7">
        <v>45931</v>
      </c>
      <c r="D3980" s="7">
        <v>46080</v>
      </c>
      <c r="E3980" s="8">
        <v>6</v>
      </c>
      <c r="F3980" s="6" t="str">
        <f t="shared" si="1010"/>
        <v>Pure Stars criança</v>
      </c>
      <c r="G3980" s="6" t="str">
        <f t="shared" si="1011"/>
        <v>R320384436000000</v>
      </c>
      <c r="H3980" s="6" t="str">
        <f t="shared" si="1012"/>
        <v>R 3844 - PL 1203 (m)</v>
      </c>
      <c r="I3980" s="6" t="str">
        <f t="shared" si="1013"/>
        <v>203613</v>
      </c>
      <c r="J3980" s="6" t="str">
        <f t="shared" si="1014"/>
        <v>AMARELO 3613</v>
      </c>
      <c r="K3980" s="6" t="str">
        <f>"5212"</f>
        <v>5212</v>
      </c>
      <c r="L3980" s="6" t="str">
        <f t="shared" si="1015"/>
        <v>Roupões Criança</v>
      </c>
      <c r="M3980" s="6" t="str">
        <f>"12 Anos"</f>
        <v>12 Anos</v>
      </c>
      <c r="N3980" s="6" t="str">
        <f>"5602972522815"</f>
        <v>5602972522815</v>
      </c>
      <c r="O3980" s="8">
        <v>84</v>
      </c>
      <c r="P3980" s="7">
        <v>46010</v>
      </c>
      <c r="R3980" s="8">
        <v>0</v>
      </c>
      <c r="S3980" s="7">
        <v>46020</v>
      </c>
      <c r="U3980" s="8">
        <v>0</v>
      </c>
      <c r="V3980" s="7">
        <v>46030</v>
      </c>
      <c r="X3980" s="8">
        <v>0</v>
      </c>
      <c r="Z3980" s="8">
        <v>0</v>
      </c>
      <c r="AA3980" s="7">
        <v>46044</v>
      </c>
      <c r="AC3980" s="8">
        <v>0</v>
      </c>
      <c r="AE3980" s="7">
        <v>46049</v>
      </c>
      <c r="AF3980" s="8">
        <v>0</v>
      </c>
      <c r="AH3980" s="7">
        <v>46045</v>
      </c>
      <c r="AN3980" s="8">
        <v>0</v>
      </c>
      <c r="AO3980" s="8">
        <v>84</v>
      </c>
    </row>
    <row r="3981" spans="1:41" x14ac:dyDescent="0.25">
      <c r="A3981" s="6" t="str">
        <f t="shared" si="1009"/>
        <v>525-2025000486</v>
      </c>
      <c r="B3981" s="6" t="str">
        <f t="shared" si="1008"/>
        <v>Lasa Int</v>
      </c>
      <c r="C3981" s="7">
        <v>45931</v>
      </c>
      <c r="D3981" s="7">
        <v>46080</v>
      </c>
      <c r="E3981" s="8">
        <v>7</v>
      </c>
      <c r="F3981" s="6" t="str">
        <f t="shared" si="1010"/>
        <v>Pure Stars criança</v>
      </c>
      <c r="G3981" s="6" t="str">
        <f t="shared" si="1011"/>
        <v>R320384436000000</v>
      </c>
      <c r="H3981" s="6" t="str">
        <f t="shared" si="1012"/>
        <v>R 3844 - PL 1203 (m)</v>
      </c>
      <c r="I3981" s="6" t="str">
        <f t="shared" si="1013"/>
        <v>203613</v>
      </c>
      <c r="J3981" s="6" t="str">
        <f t="shared" si="1014"/>
        <v>AMARELO 3613</v>
      </c>
      <c r="K3981" s="6" t="str">
        <f>"5214"</f>
        <v>5214</v>
      </c>
      <c r="L3981" s="6" t="str">
        <f t="shared" si="1015"/>
        <v>Roupões Criança</v>
      </c>
      <c r="M3981" s="6" t="str">
        <f>"14 Anos"</f>
        <v>14 Anos</v>
      </c>
      <c r="N3981" s="6" t="str">
        <f>"5602972522822"</f>
        <v>5602972522822</v>
      </c>
      <c r="O3981" s="8">
        <v>84</v>
      </c>
      <c r="P3981" s="7">
        <v>46010</v>
      </c>
      <c r="R3981" s="8">
        <v>0</v>
      </c>
      <c r="S3981" s="7">
        <v>46020</v>
      </c>
      <c r="U3981" s="8">
        <v>0</v>
      </c>
      <c r="V3981" s="7">
        <v>46030</v>
      </c>
      <c r="X3981" s="8">
        <v>0</v>
      </c>
      <c r="Z3981" s="8">
        <v>0</v>
      </c>
      <c r="AA3981" s="7">
        <v>46044</v>
      </c>
      <c r="AC3981" s="8">
        <v>0</v>
      </c>
      <c r="AE3981" s="7">
        <v>46049</v>
      </c>
      <c r="AF3981" s="8">
        <v>0</v>
      </c>
      <c r="AH3981" s="7">
        <v>46045</v>
      </c>
      <c r="AN3981" s="8">
        <v>0</v>
      </c>
      <c r="AO3981" s="8">
        <v>84</v>
      </c>
    </row>
    <row r="3982" spans="1:41" x14ac:dyDescent="0.25">
      <c r="A3982" s="6" t="str">
        <f t="shared" si="1009"/>
        <v>525-2025000486</v>
      </c>
      <c r="B3982" s="6" t="str">
        <f t="shared" si="1008"/>
        <v>Lasa Int</v>
      </c>
      <c r="C3982" s="7">
        <v>45931</v>
      </c>
      <c r="D3982" s="7">
        <v>46080</v>
      </c>
      <c r="E3982" s="8">
        <v>8</v>
      </c>
      <c r="F3982" s="6" t="str">
        <f t="shared" si="1010"/>
        <v>Pure Stars criança</v>
      </c>
      <c r="G3982" s="6" t="str">
        <f t="shared" si="1011"/>
        <v>R320384436000000</v>
      </c>
      <c r="H3982" s="6" t="str">
        <f t="shared" si="1012"/>
        <v>R 3844 - PL 1203 (m)</v>
      </c>
      <c r="I3982" s="6" t="str">
        <f t="shared" ref="I3982:I3988" si="1016">"203842"</f>
        <v>203842</v>
      </c>
      <c r="J3982" s="6" t="str">
        <f t="shared" ref="J3982:J3988" si="1017">"CINZA 3842"</f>
        <v>CINZA 3842</v>
      </c>
      <c r="K3982" s="6" t="str">
        <f>"5202"</f>
        <v>5202</v>
      </c>
      <c r="L3982" s="6" t="str">
        <f t="shared" si="1015"/>
        <v>Roupões Criança</v>
      </c>
      <c r="M3982" s="6" t="str">
        <f>"2 Anos"</f>
        <v>2 Anos</v>
      </c>
      <c r="N3982" s="6" t="str">
        <f>"5602972522839"</f>
        <v>5602972522839</v>
      </c>
      <c r="O3982" s="8">
        <v>36</v>
      </c>
      <c r="P3982" s="7">
        <v>46010</v>
      </c>
      <c r="R3982" s="8">
        <v>643</v>
      </c>
      <c r="S3982" s="7">
        <v>46020</v>
      </c>
      <c r="U3982" s="8">
        <v>643</v>
      </c>
      <c r="V3982" s="7">
        <v>46030</v>
      </c>
      <c r="X3982" s="8">
        <v>643</v>
      </c>
      <c r="Z3982" s="8">
        <v>0</v>
      </c>
      <c r="AA3982" s="7">
        <v>46044</v>
      </c>
      <c r="AC3982" s="8">
        <v>0</v>
      </c>
      <c r="AE3982" s="7">
        <v>46049</v>
      </c>
      <c r="AF3982" s="8">
        <v>0</v>
      </c>
      <c r="AH3982" s="7">
        <v>46045</v>
      </c>
      <c r="AN3982" s="8">
        <v>0</v>
      </c>
      <c r="AO3982" s="8">
        <v>36</v>
      </c>
    </row>
    <row r="3983" spans="1:41" x14ac:dyDescent="0.25">
      <c r="A3983" s="6" t="str">
        <f t="shared" si="1009"/>
        <v>525-2025000486</v>
      </c>
      <c r="B3983" s="6" t="str">
        <f t="shared" si="1008"/>
        <v>Lasa Int</v>
      </c>
      <c r="C3983" s="7">
        <v>45931</v>
      </c>
      <c r="D3983" s="7">
        <v>46080</v>
      </c>
      <c r="E3983" s="8">
        <v>9</v>
      </c>
      <c r="F3983" s="6" t="str">
        <f t="shared" si="1010"/>
        <v>Pure Stars criança</v>
      </c>
      <c r="G3983" s="6" t="str">
        <f t="shared" si="1011"/>
        <v>R320384436000000</v>
      </c>
      <c r="H3983" s="6" t="str">
        <f t="shared" si="1012"/>
        <v>R 3844 - PL 1203 (m)</v>
      </c>
      <c r="I3983" s="6" t="str">
        <f t="shared" si="1016"/>
        <v>203842</v>
      </c>
      <c r="J3983" s="6" t="str">
        <f t="shared" si="1017"/>
        <v>CINZA 3842</v>
      </c>
      <c r="K3983" s="6" t="str">
        <f>"5204"</f>
        <v>5204</v>
      </c>
      <c r="L3983" s="6" t="str">
        <f t="shared" si="1015"/>
        <v>Roupões Criança</v>
      </c>
      <c r="M3983" s="6" t="str">
        <f>"4 Anos"</f>
        <v>4 Anos</v>
      </c>
      <c r="N3983" s="6" t="str">
        <f>"5602972522846"</f>
        <v>5602972522846</v>
      </c>
      <c r="O3983" s="8">
        <v>60</v>
      </c>
      <c r="P3983" s="7">
        <v>46010</v>
      </c>
      <c r="R3983" s="8">
        <v>0</v>
      </c>
      <c r="S3983" s="7">
        <v>46020</v>
      </c>
      <c r="U3983" s="8">
        <v>0</v>
      </c>
      <c r="V3983" s="7">
        <v>46030</v>
      </c>
      <c r="X3983" s="8">
        <v>0</v>
      </c>
      <c r="Z3983" s="8">
        <v>0</v>
      </c>
      <c r="AA3983" s="7">
        <v>46044</v>
      </c>
      <c r="AC3983" s="8">
        <v>0</v>
      </c>
      <c r="AE3983" s="7">
        <v>46049</v>
      </c>
      <c r="AF3983" s="8">
        <v>0</v>
      </c>
      <c r="AH3983" s="7">
        <v>46045</v>
      </c>
      <c r="AN3983" s="8">
        <v>0</v>
      </c>
      <c r="AO3983" s="8">
        <v>60</v>
      </c>
    </row>
    <row r="3984" spans="1:41" x14ac:dyDescent="0.25">
      <c r="A3984" s="6" t="str">
        <f t="shared" si="1009"/>
        <v>525-2025000486</v>
      </c>
      <c r="B3984" s="6" t="str">
        <f t="shared" si="1008"/>
        <v>Lasa Int</v>
      </c>
      <c r="C3984" s="7">
        <v>45931</v>
      </c>
      <c r="D3984" s="7">
        <v>46080</v>
      </c>
      <c r="E3984" s="8">
        <v>10</v>
      </c>
      <c r="F3984" s="6" t="str">
        <f t="shared" si="1010"/>
        <v>Pure Stars criança</v>
      </c>
      <c r="G3984" s="6" t="str">
        <f t="shared" si="1011"/>
        <v>R320384436000000</v>
      </c>
      <c r="H3984" s="6" t="str">
        <f t="shared" si="1012"/>
        <v>R 3844 - PL 1203 (m)</v>
      </c>
      <c r="I3984" s="6" t="str">
        <f t="shared" si="1016"/>
        <v>203842</v>
      </c>
      <c r="J3984" s="6" t="str">
        <f t="shared" si="1017"/>
        <v>CINZA 3842</v>
      </c>
      <c r="K3984" s="6" t="str">
        <f>"5206"</f>
        <v>5206</v>
      </c>
      <c r="L3984" s="6" t="str">
        <f t="shared" si="1015"/>
        <v>Roupões Criança</v>
      </c>
      <c r="M3984" s="6" t="str">
        <f>"6 Anos"</f>
        <v>6 Anos</v>
      </c>
      <c r="N3984" s="6" t="str">
        <f>"5602972522853"</f>
        <v>5602972522853</v>
      </c>
      <c r="O3984" s="8">
        <v>72</v>
      </c>
      <c r="P3984" s="7">
        <v>46010</v>
      </c>
      <c r="R3984" s="8">
        <v>0</v>
      </c>
      <c r="S3984" s="7">
        <v>46020</v>
      </c>
      <c r="U3984" s="8">
        <v>0</v>
      </c>
      <c r="V3984" s="7">
        <v>46030</v>
      </c>
      <c r="X3984" s="8">
        <v>0</v>
      </c>
      <c r="Z3984" s="8">
        <v>0</v>
      </c>
      <c r="AA3984" s="7">
        <v>46044</v>
      </c>
      <c r="AC3984" s="8">
        <v>0</v>
      </c>
      <c r="AE3984" s="7">
        <v>46049</v>
      </c>
      <c r="AF3984" s="8">
        <v>0</v>
      </c>
      <c r="AH3984" s="7">
        <v>46045</v>
      </c>
      <c r="AN3984" s="8">
        <v>0</v>
      </c>
      <c r="AO3984" s="8">
        <v>72</v>
      </c>
    </row>
    <row r="3985" spans="1:41" x14ac:dyDescent="0.25">
      <c r="A3985" s="6" t="str">
        <f t="shared" si="1009"/>
        <v>525-2025000486</v>
      </c>
      <c r="B3985" s="6" t="str">
        <f t="shared" si="1008"/>
        <v>Lasa Int</v>
      </c>
      <c r="C3985" s="7">
        <v>45931</v>
      </c>
      <c r="D3985" s="7">
        <v>46080</v>
      </c>
      <c r="E3985" s="8">
        <v>11</v>
      </c>
      <c r="F3985" s="6" t="str">
        <f t="shared" si="1010"/>
        <v>Pure Stars criança</v>
      </c>
      <c r="G3985" s="6" t="str">
        <f t="shared" si="1011"/>
        <v>R320384436000000</v>
      </c>
      <c r="H3985" s="6" t="str">
        <f t="shared" si="1012"/>
        <v>R 3844 - PL 1203 (m)</v>
      </c>
      <c r="I3985" s="6" t="str">
        <f t="shared" si="1016"/>
        <v>203842</v>
      </c>
      <c r="J3985" s="6" t="str">
        <f t="shared" si="1017"/>
        <v>CINZA 3842</v>
      </c>
      <c r="K3985" s="6" t="str">
        <f>"5208"</f>
        <v>5208</v>
      </c>
      <c r="L3985" s="6" t="str">
        <f t="shared" si="1015"/>
        <v>Roupões Criança</v>
      </c>
      <c r="M3985" s="6" t="str">
        <f>"8 Anos"</f>
        <v>8 Anos</v>
      </c>
      <c r="N3985" s="6" t="str">
        <f>"5602972522860"</f>
        <v>5602972522860</v>
      </c>
      <c r="O3985" s="8">
        <v>84</v>
      </c>
      <c r="P3985" s="7">
        <v>46010</v>
      </c>
      <c r="R3985" s="8">
        <v>0</v>
      </c>
      <c r="S3985" s="7">
        <v>46020</v>
      </c>
      <c r="U3985" s="8">
        <v>0</v>
      </c>
      <c r="V3985" s="7">
        <v>46030</v>
      </c>
      <c r="X3985" s="8">
        <v>0</v>
      </c>
      <c r="Z3985" s="8">
        <v>0</v>
      </c>
      <c r="AA3985" s="7">
        <v>46044</v>
      </c>
      <c r="AC3985" s="8">
        <v>0</v>
      </c>
      <c r="AE3985" s="7">
        <v>46049</v>
      </c>
      <c r="AF3985" s="8">
        <v>0</v>
      </c>
      <c r="AH3985" s="7">
        <v>46045</v>
      </c>
      <c r="AN3985" s="8">
        <v>0</v>
      </c>
      <c r="AO3985" s="8">
        <v>84</v>
      </c>
    </row>
    <row r="3986" spans="1:41" x14ac:dyDescent="0.25">
      <c r="A3986" s="6" t="str">
        <f t="shared" si="1009"/>
        <v>525-2025000486</v>
      </c>
      <c r="B3986" s="6" t="str">
        <f t="shared" si="1008"/>
        <v>Lasa Int</v>
      </c>
      <c r="C3986" s="7">
        <v>45931</v>
      </c>
      <c r="D3986" s="7">
        <v>46080</v>
      </c>
      <c r="E3986" s="8">
        <v>12</v>
      </c>
      <c r="F3986" s="6" t="str">
        <f t="shared" si="1010"/>
        <v>Pure Stars criança</v>
      </c>
      <c r="G3986" s="6" t="str">
        <f t="shared" si="1011"/>
        <v>R320384436000000</v>
      </c>
      <c r="H3986" s="6" t="str">
        <f t="shared" si="1012"/>
        <v>R 3844 - PL 1203 (m)</v>
      </c>
      <c r="I3986" s="6" t="str">
        <f t="shared" si="1016"/>
        <v>203842</v>
      </c>
      <c r="J3986" s="6" t="str">
        <f t="shared" si="1017"/>
        <v>CINZA 3842</v>
      </c>
      <c r="K3986" s="6" t="str">
        <f>"5210"</f>
        <v>5210</v>
      </c>
      <c r="L3986" s="6" t="str">
        <f t="shared" si="1015"/>
        <v>Roupões Criança</v>
      </c>
      <c r="M3986" s="6" t="str">
        <f>"10 Anos"</f>
        <v>10 Anos</v>
      </c>
      <c r="N3986" s="6" t="str">
        <f>"5602972522877"</f>
        <v>5602972522877</v>
      </c>
      <c r="O3986" s="8">
        <v>84</v>
      </c>
      <c r="P3986" s="7">
        <v>46010</v>
      </c>
      <c r="R3986" s="8">
        <v>0</v>
      </c>
      <c r="S3986" s="7">
        <v>46020</v>
      </c>
      <c r="U3986" s="8">
        <v>0</v>
      </c>
      <c r="V3986" s="7">
        <v>46030</v>
      </c>
      <c r="X3986" s="8">
        <v>0</v>
      </c>
      <c r="Z3986" s="8">
        <v>0</v>
      </c>
      <c r="AA3986" s="7">
        <v>46044</v>
      </c>
      <c r="AC3986" s="8">
        <v>0</v>
      </c>
      <c r="AE3986" s="7">
        <v>46049</v>
      </c>
      <c r="AF3986" s="8">
        <v>0</v>
      </c>
      <c r="AH3986" s="7">
        <v>46045</v>
      </c>
      <c r="AN3986" s="8">
        <v>0</v>
      </c>
      <c r="AO3986" s="8">
        <v>84</v>
      </c>
    </row>
    <row r="3987" spans="1:41" x14ac:dyDescent="0.25">
      <c r="A3987" s="6" t="str">
        <f t="shared" si="1009"/>
        <v>525-2025000486</v>
      </c>
      <c r="B3987" s="6" t="str">
        <f t="shared" si="1008"/>
        <v>Lasa Int</v>
      </c>
      <c r="C3987" s="7">
        <v>45931</v>
      </c>
      <c r="D3987" s="7">
        <v>46080</v>
      </c>
      <c r="E3987" s="8">
        <v>13</v>
      </c>
      <c r="F3987" s="6" t="str">
        <f t="shared" si="1010"/>
        <v>Pure Stars criança</v>
      </c>
      <c r="G3987" s="6" t="str">
        <f t="shared" si="1011"/>
        <v>R320384436000000</v>
      </c>
      <c r="H3987" s="6" t="str">
        <f t="shared" si="1012"/>
        <v>R 3844 - PL 1203 (m)</v>
      </c>
      <c r="I3987" s="6" t="str">
        <f t="shared" si="1016"/>
        <v>203842</v>
      </c>
      <c r="J3987" s="6" t="str">
        <f t="shared" si="1017"/>
        <v>CINZA 3842</v>
      </c>
      <c r="K3987" s="6" t="str">
        <f>"5212"</f>
        <v>5212</v>
      </c>
      <c r="L3987" s="6" t="str">
        <f t="shared" si="1015"/>
        <v>Roupões Criança</v>
      </c>
      <c r="M3987" s="6" t="str">
        <f>"12 Anos"</f>
        <v>12 Anos</v>
      </c>
      <c r="N3987" s="6" t="str">
        <f>"5602972522884"</f>
        <v>5602972522884</v>
      </c>
      <c r="O3987" s="8">
        <v>84</v>
      </c>
      <c r="P3987" s="7">
        <v>46010</v>
      </c>
      <c r="R3987" s="8">
        <v>0</v>
      </c>
      <c r="S3987" s="7">
        <v>46020</v>
      </c>
      <c r="U3987" s="8">
        <v>0</v>
      </c>
      <c r="V3987" s="7">
        <v>46030</v>
      </c>
      <c r="X3987" s="8">
        <v>0</v>
      </c>
      <c r="Z3987" s="8">
        <v>0</v>
      </c>
      <c r="AA3987" s="7">
        <v>46044</v>
      </c>
      <c r="AC3987" s="8">
        <v>0</v>
      </c>
      <c r="AE3987" s="7">
        <v>46049</v>
      </c>
      <c r="AF3987" s="8">
        <v>0</v>
      </c>
      <c r="AH3987" s="7">
        <v>46045</v>
      </c>
      <c r="AN3987" s="8">
        <v>0</v>
      </c>
      <c r="AO3987" s="8">
        <v>84</v>
      </c>
    </row>
    <row r="3988" spans="1:41" x14ac:dyDescent="0.25">
      <c r="A3988" s="6" t="str">
        <f t="shared" si="1009"/>
        <v>525-2025000486</v>
      </c>
      <c r="B3988" s="6" t="str">
        <f t="shared" si="1008"/>
        <v>Lasa Int</v>
      </c>
      <c r="C3988" s="7">
        <v>45931</v>
      </c>
      <c r="D3988" s="7">
        <v>46080</v>
      </c>
      <c r="E3988" s="8">
        <v>14</v>
      </c>
      <c r="F3988" s="6" t="str">
        <f t="shared" si="1010"/>
        <v>Pure Stars criança</v>
      </c>
      <c r="G3988" s="6" t="str">
        <f t="shared" si="1011"/>
        <v>R320384436000000</v>
      </c>
      <c r="H3988" s="6" t="str">
        <f t="shared" si="1012"/>
        <v>R 3844 - PL 1203 (m)</v>
      </c>
      <c r="I3988" s="6" t="str">
        <f t="shared" si="1016"/>
        <v>203842</v>
      </c>
      <c r="J3988" s="6" t="str">
        <f t="shared" si="1017"/>
        <v>CINZA 3842</v>
      </c>
      <c r="K3988" s="6" t="str">
        <f>"5214"</f>
        <v>5214</v>
      </c>
      <c r="L3988" s="6" t="str">
        <f t="shared" si="1015"/>
        <v>Roupões Criança</v>
      </c>
      <c r="M3988" s="6" t="str">
        <f>"14 Anos"</f>
        <v>14 Anos</v>
      </c>
      <c r="N3988" s="6" t="str">
        <f>"5602972522891"</f>
        <v>5602972522891</v>
      </c>
      <c r="O3988" s="8">
        <v>84</v>
      </c>
      <c r="P3988" s="7">
        <v>46010</v>
      </c>
      <c r="R3988" s="8">
        <v>0</v>
      </c>
      <c r="S3988" s="7">
        <v>46020</v>
      </c>
      <c r="U3988" s="8">
        <v>0</v>
      </c>
      <c r="V3988" s="7">
        <v>46030</v>
      </c>
      <c r="X3988" s="8">
        <v>0</v>
      </c>
      <c r="Z3988" s="8">
        <v>0</v>
      </c>
      <c r="AA3988" s="7">
        <v>46044</v>
      </c>
      <c r="AC3988" s="8">
        <v>0</v>
      </c>
      <c r="AE3988" s="7">
        <v>46049</v>
      </c>
      <c r="AF3988" s="8">
        <v>0</v>
      </c>
      <c r="AH3988" s="7">
        <v>46045</v>
      </c>
      <c r="AN3988" s="8">
        <v>0</v>
      </c>
      <c r="AO3988" s="8">
        <v>84</v>
      </c>
    </row>
    <row r="3989" spans="1:41" x14ac:dyDescent="0.25">
      <c r="A3989" s="6" t="str">
        <f t="shared" si="1009"/>
        <v>525-2025000486</v>
      </c>
      <c r="B3989" s="6" t="str">
        <f t="shared" si="1008"/>
        <v>Lasa Int</v>
      </c>
      <c r="C3989" s="7">
        <v>45931</v>
      </c>
      <c r="D3989" s="7">
        <v>46080</v>
      </c>
      <c r="E3989" s="8">
        <v>15</v>
      </c>
      <c r="F3989" s="6" t="str">
        <f t="shared" si="1010"/>
        <v>Pure Stars criança</v>
      </c>
      <c r="G3989" s="6" t="str">
        <f t="shared" si="1011"/>
        <v>R320384436000000</v>
      </c>
      <c r="H3989" s="6" t="str">
        <f t="shared" si="1012"/>
        <v>R 3844 - PL 1203 (m)</v>
      </c>
      <c r="I3989" s="6" t="str">
        <f t="shared" ref="I3989:I3995" si="1018">"203859"</f>
        <v>203859</v>
      </c>
      <c r="J3989" s="6" t="str">
        <f t="shared" ref="J3989:J3995" si="1019">"ROSA 3859"</f>
        <v>ROSA 3859</v>
      </c>
      <c r="K3989" s="6" t="str">
        <f>"5202"</f>
        <v>5202</v>
      </c>
      <c r="L3989" s="6" t="str">
        <f t="shared" si="1015"/>
        <v>Roupões Criança</v>
      </c>
      <c r="M3989" s="6" t="str">
        <f>"2 Anos"</f>
        <v>2 Anos</v>
      </c>
      <c r="N3989" s="6" t="str">
        <f>"5602972522907"</f>
        <v>5602972522907</v>
      </c>
      <c r="O3989" s="8">
        <v>36</v>
      </c>
      <c r="P3989" s="7">
        <v>46010</v>
      </c>
      <c r="R3989" s="8">
        <v>664</v>
      </c>
      <c r="S3989" s="7">
        <v>46020</v>
      </c>
      <c r="U3989" s="8">
        <v>664</v>
      </c>
      <c r="V3989" s="7">
        <v>46030</v>
      </c>
      <c r="X3989" s="8">
        <v>664</v>
      </c>
      <c r="Z3989" s="8">
        <v>0</v>
      </c>
      <c r="AA3989" s="7">
        <v>46044</v>
      </c>
      <c r="AC3989" s="8">
        <v>0</v>
      </c>
      <c r="AE3989" s="7">
        <v>46049</v>
      </c>
      <c r="AF3989" s="8">
        <v>0</v>
      </c>
      <c r="AH3989" s="7">
        <v>46045</v>
      </c>
      <c r="AN3989" s="8">
        <v>0</v>
      </c>
      <c r="AO3989" s="8">
        <v>36</v>
      </c>
    </row>
    <row r="3990" spans="1:41" x14ac:dyDescent="0.25">
      <c r="A3990" s="6" t="str">
        <f t="shared" si="1009"/>
        <v>525-2025000486</v>
      </c>
      <c r="B3990" s="6" t="str">
        <f t="shared" si="1008"/>
        <v>Lasa Int</v>
      </c>
      <c r="C3990" s="7">
        <v>45931</v>
      </c>
      <c r="D3990" s="7">
        <v>46080</v>
      </c>
      <c r="E3990" s="8">
        <v>16</v>
      </c>
      <c r="F3990" s="6" t="str">
        <f t="shared" si="1010"/>
        <v>Pure Stars criança</v>
      </c>
      <c r="G3990" s="6" t="str">
        <f t="shared" si="1011"/>
        <v>R320384436000000</v>
      </c>
      <c r="H3990" s="6" t="str">
        <f t="shared" si="1012"/>
        <v>R 3844 - PL 1203 (m)</v>
      </c>
      <c r="I3990" s="6" t="str">
        <f t="shared" si="1018"/>
        <v>203859</v>
      </c>
      <c r="J3990" s="6" t="str">
        <f t="shared" si="1019"/>
        <v>ROSA 3859</v>
      </c>
      <c r="K3990" s="6" t="str">
        <f>"5204"</f>
        <v>5204</v>
      </c>
      <c r="L3990" s="6" t="str">
        <f t="shared" si="1015"/>
        <v>Roupões Criança</v>
      </c>
      <c r="M3990" s="6" t="str">
        <f>"4 Anos"</f>
        <v>4 Anos</v>
      </c>
      <c r="N3990" s="6" t="str">
        <f>"5602972522914"</f>
        <v>5602972522914</v>
      </c>
      <c r="O3990" s="8">
        <v>60</v>
      </c>
      <c r="P3990" s="7">
        <v>46010</v>
      </c>
      <c r="R3990" s="8">
        <v>0</v>
      </c>
      <c r="S3990" s="7">
        <v>46020</v>
      </c>
      <c r="U3990" s="8">
        <v>0</v>
      </c>
      <c r="V3990" s="7">
        <v>46030</v>
      </c>
      <c r="X3990" s="8">
        <v>0</v>
      </c>
      <c r="Z3990" s="8">
        <v>0</v>
      </c>
      <c r="AA3990" s="7">
        <v>46044</v>
      </c>
      <c r="AC3990" s="8">
        <v>0</v>
      </c>
      <c r="AE3990" s="7">
        <v>46049</v>
      </c>
      <c r="AF3990" s="8">
        <v>0</v>
      </c>
      <c r="AH3990" s="7">
        <v>46045</v>
      </c>
      <c r="AN3990" s="8">
        <v>0</v>
      </c>
      <c r="AO3990" s="8">
        <v>60</v>
      </c>
    </row>
    <row r="3991" spans="1:41" x14ac:dyDescent="0.25">
      <c r="A3991" s="6" t="str">
        <f t="shared" si="1009"/>
        <v>525-2025000486</v>
      </c>
      <c r="B3991" s="6" t="str">
        <f t="shared" si="1008"/>
        <v>Lasa Int</v>
      </c>
      <c r="C3991" s="7">
        <v>45931</v>
      </c>
      <c r="D3991" s="7">
        <v>46080</v>
      </c>
      <c r="E3991" s="8">
        <v>17</v>
      </c>
      <c r="F3991" s="6" t="str">
        <f t="shared" si="1010"/>
        <v>Pure Stars criança</v>
      </c>
      <c r="G3991" s="6" t="str">
        <f t="shared" si="1011"/>
        <v>R320384436000000</v>
      </c>
      <c r="H3991" s="6" t="str">
        <f t="shared" si="1012"/>
        <v>R 3844 - PL 1203 (m)</v>
      </c>
      <c r="I3991" s="6" t="str">
        <f t="shared" si="1018"/>
        <v>203859</v>
      </c>
      <c r="J3991" s="6" t="str">
        <f t="shared" si="1019"/>
        <v>ROSA 3859</v>
      </c>
      <c r="K3991" s="6" t="str">
        <f>"5206"</f>
        <v>5206</v>
      </c>
      <c r="L3991" s="6" t="str">
        <f t="shared" si="1015"/>
        <v>Roupões Criança</v>
      </c>
      <c r="M3991" s="6" t="str">
        <f>"6 Anos"</f>
        <v>6 Anos</v>
      </c>
      <c r="N3991" s="6" t="str">
        <f>"5602972522921"</f>
        <v>5602972522921</v>
      </c>
      <c r="O3991" s="8">
        <v>72</v>
      </c>
      <c r="P3991" s="7">
        <v>46010</v>
      </c>
      <c r="R3991" s="8">
        <v>0</v>
      </c>
      <c r="S3991" s="7">
        <v>46020</v>
      </c>
      <c r="U3991" s="8">
        <v>0</v>
      </c>
      <c r="V3991" s="7">
        <v>46030</v>
      </c>
      <c r="X3991" s="8">
        <v>0</v>
      </c>
      <c r="Z3991" s="8">
        <v>0</v>
      </c>
      <c r="AA3991" s="7">
        <v>46044</v>
      </c>
      <c r="AC3991" s="8">
        <v>0</v>
      </c>
      <c r="AE3991" s="7">
        <v>46049</v>
      </c>
      <c r="AF3991" s="8">
        <v>0</v>
      </c>
      <c r="AH3991" s="7">
        <v>46045</v>
      </c>
      <c r="AN3991" s="8">
        <v>0</v>
      </c>
      <c r="AO3991" s="8">
        <v>72</v>
      </c>
    </row>
    <row r="3992" spans="1:41" x14ac:dyDescent="0.25">
      <c r="A3992" s="6" t="str">
        <f t="shared" si="1009"/>
        <v>525-2025000486</v>
      </c>
      <c r="B3992" s="6" t="str">
        <f t="shared" si="1008"/>
        <v>Lasa Int</v>
      </c>
      <c r="C3992" s="7">
        <v>45931</v>
      </c>
      <c r="D3992" s="7">
        <v>46080</v>
      </c>
      <c r="E3992" s="8">
        <v>18</v>
      </c>
      <c r="F3992" s="6" t="str">
        <f t="shared" si="1010"/>
        <v>Pure Stars criança</v>
      </c>
      <c r="G3992" s="6" t="str">
        <f t="shared" si="1011"/>
        <v>R320384436000000</v>
      </c>
      <c r="H3992" s="6" t="str">
        <f t="shared" si="1012"/>
        <v>R 3844 - PL 1203 (m)</v>
      </c>
      <c r="I3992" s="6" t="str">
        <f t="shared" si="1018"/>
        <v>203859</v>
      </c>
      <c r="J3992" s="6" t="str">
        <f t="shared" si="1019"/>
        <v>ROSA 3859</v>
      </c>
      <c r="K3992" s="6" t="str">
        <f>"5208"</f>
        <v>5208</v>
      </c>
      <c r="L3992" s="6" t="str">
        <f t="shared" si="1015"/>
        <v>Roupões Criança</v>
      </c>
      <c r="M3992" s="6" t="str">
        <f>"8 Anos"</f>
        <v>8 Anos</v>
      </c>
      <c r="N3992" s="6" t="str">
        <f>"5602972522938"</f>
        <v>5602972522938</v>
      </c>
      <c r="O3992" s="8">
        <v>84</v>
      </c>
      <c r="P3992" s="7">
        <v>46010</v>
      </c>
      <c r="R3992" s="8">
        <v>0</v>
      </c>
      <c r="S3992" s="7">
        <v>46020</v>
      </c>
      <c r="U3992" s="8">
        <v>0</v>
      </c>
      <c r="V3992" s="7">
        <v>46030</v>
      </c>
      <c r="X3992" s="8">
        <v>0</v>
      </c>
      <c r="Z3992" s="8">
        <v>0</v>
      </c>
      <c r="AA3992" s="7">
        <v>46044</v>
      </c>
      <c r="AC3992" s="8">
        <v>0</v>
      </c>
      <c r="AE3992" s="7">
        <v>46049</v>
      </c>
      <c r="AF3992" s="8">
        <v>0</v>
      </c>
      <c r="AH3992" s="7">
        <v>46045</v>
      </c>
      <c r="AN3992" s="8">
        <v>0</v>
      </c>
      <c r="AO3992" s="8">
        <v>84</v>
      </c>
    </row>
    <row r="3993" spans="1:41" x14ac:dyDescent="0.25">
      <c r="A3993" s="6" t="str">
        <f t="shared" si="1009"/>
        <v>525-2025000486</v>
      </c>
      <c r="B3993" s="6" t="str">
        <f t="shared" si="1008"/>
        <v>Lasa Int</v>
      </c>
      <c r="C3993" s="7">
        <v>45931</v>
      </c>
      <c r="D3993" s="7">
        <v>46080</v>
      </c>
      <c r="E3993" s="8">
        <v>19</v>
      </c>
      <c r="F3993" s="6" t="str">
        <f t="shared" si="1010"/>
        <v>Pure Stars criança</v>
      </c>
      <c r="G3993" s="6" t="str">
        <f t="shared" si="1011"/>
        <v>R320384436000000</v>
      </c>
      <c r="H3993" s="6" t="str">
        <f t="shared" si="1012"/>
        <v>R 3844 - PL 1203 (m)</v>
      </c>
      <c r="I3993" s="6" t="str">
        <f t="shared" si="1018"/>
        <v>203859</v>
      </c>
      <c r="J3993" s="6" t="str">
        <f t="shared" si="1019"/>
        <v>ROSA 3859</v>
      </c>
      <c r="K3993" s="6" t="str">
        <f>"5210"</f>
        <v>5210</v>
      </c>
      <c r="L3993" s="6" t="str">
        <f t="shared" si="1015"/>
        <v>Roupões Criança</v>
      </c>
      <c r="M3993" s="6" t="str">
        <f>"10 Anos"</f>
        <v>10 Anos</v>
      </c>
      <c r="N3993" s="6" t="str">
        <f>"5602972522945"</f>
        <v>5602972522945</v>
      </c>
      <c r="O3993" s="8">
        <v>84</v>
      </c>
      <c r="P3993" s="7">
        <v>46010</v>
      </c>
      <c r="R3993" s="8">
        <v>0</v>
      </c>
      <c r="S3993" s="7">
        <v>46020</v>
      </c>
      <c r="U3993" s="8">
        <v>0</v>
      </c>
      <c r="V3993" s="7">
        <v>46030</v>
      </c>
      <c r="X3993" s="8">
        <v>0</v>
      </c>
      <c r="Z3993" s="8">
        <v>0</v>
      </c>
      <c r="AA3993" s="7">
        <v>46044</v>
      </c>
      <c r="AC3993" s="8">
        <v>0</v>
      </c>
      <c r="AE3993" s="7">
        <v>46049</v>
      </c>
      <c r="AF3993" s="8">
        <v>0</v>
      </c>
      <c r="AH3993" s="7">
        <v>46045</v>
      </c>
      <c r="AN3993" s="8">
        <v>0</v>
      </c>
      <c r="AO3993" s="8">
        <v>84</v>
      </c>
    </row>
    <row r="3994" spans="1:41" x14ac:dyDescent="0.25">
      <c r="A3994" s="6" t="str">
        <f t="shared" si="1009"/>
        <v>525-2025000486</v>
      </c>
      <c r="B3994" s="6" t="str">
        <f t="shared" si="1008"/>
        <v>Lasa Int</v>
      </c>
      <c r="C3994" s="7">
        <v>45931</v>
      </c>
      <c r="D3994" s="7">
        <v>46080</v>
      </c>
      <c r="E3994" s="8">
        <v>20</v>
      </c>
      <c r="F3994" s="6" t="str">
        <f t="shared" si="1010"/>
        <v>Pure Stars criança</v>
      </c>
      <c r="G3994" s="6" t="str">
        <f t="shared" si="1011"/>
        <v>R320384436000000</v>
      </c>
      <c r="H3994" s="6" t="str">
        <f t="shared" si="1012"/>
        <v>R 3844 - PL 1203 (m)</v>
      </c>
      <c r="I3994" s="6" t="str">
        <f t="shared" si="1018"/>
        <v>203859</v>
      </c>
      <c r="J3994" s="6" t="str">
        <f t="shared" si="1019"/>
        <v>ROSA 3859</v>
      </c>
      <c r="K3994" s="6" t="str">
        <f>"5212"</f>
        <v>5212</v>
      </c>
      <c r="L3994" s="6" t="str">
        <f t="shared" si="1015"/>
        <v>Roupões Criança</v>
      </c>
      <c r="M3994" s="6" t="str">
        <f>"12 Anos"</f>
        <v>12 Anos</v>
      </c>
      <c r="N3994" s="6" t="str">
        <f>"5602972522952"</f>
        <v>5602972522952</v>
      </c>
      <c r="O3994" s="8">
        <v>84</v>
      </c>
      <c r="P3994" s="7">
        <v>46010</v>
      </c>
      <c r="R3994" s="8">
        <v>0</v>
      </c>
      <c r="S3994" s="7">
        <v>46020</v>
      </c>
      <c r="U3994" s="8">
        <v>0</v>
      </c>
      <c r="V3994" s="7">
        <v>46030</v>
      </c>
      <c r="X3994" s="8">
        <v>0</v>
      </c>
      <c r="Z3994" s="8">
        <v>0</v>
      </c>
      <c r="AA3994" s="7">
        <v>46044</v>
      </c>
      <c r="AC3994" s="8">
        <v>0</v>
      </c>
      <c r="AE3994" s="7">
        <v>46049</v>
      </c>
      <c r="AF3994" s="8">
        <v>0</v>
      </c>
      <c r="AH3994" s="7">
        <v>46045</v>
      </c>
      <c r="AN3994" s="8">
        <v>0</v>
      </c>
      <c r="AO3994" s="8">
        <v>84</v>
      </c>
    </row>
    <row r="3995" spans="1:41" x14ac:dyDescent="0.25">
      <c r="A3995" s="6" t="str">
        <f t="shared" si="1009"/>
        <v>525-2025000486</v>
      </c>
      <c r="B3995" s="6" t="str">
        <f t="shared" si="1008"/>
        <v>Lasa Int</v>
      </c>
      <c r="C3995" s="7">
        <v>45931</v>
      </c>
      <c r="D3995" s="7">
        <v>46080</v>
      </c>
      <c r="E3995" s="8">
        <v>21</v>
      </c>
      <c r="F3995" s="6" t="str">
        <f t="shared" si="1010"/>
        <v>Pure Stars criança</v>
      </c>
      <c r="G3995" s="6" t="str">
        <f t="shared" si="1011"/>
        <v>R320384436000000</v>
      </c>
      <c r="H3995" s="6" t="str">
        <f t="shared" si="1012"/>
        <v>R 3844 - PL 1203 (m)</v>
      </c>
      <c r="I3995" s="6" t="str">
        <f t="shared" si="1018"/>
        <v>203859</v>
      </c>
      <c r="J3995" s="6" t="str">
        <f t="shared" si="1019"/>
        <v>ROSA 3859</v>
      </c>
      <c r="K3995" s="6" t="str">
        <f>"5214"</f>
        <v>5214</v>
      </c>
      <c r="L3995" s="6" t="str">
        <f t="shared" si="1015"/>
        <v>Roupões Criança</v>
      </c>
      <c r="M3995" s="6" t="str">
        <f>"14 Anos"</f>
        <v>14 Anos</v>
      </c>
      <c r="N3995" s="6" t="str">
        <f>"5602972522969"</f>
        <v>5602972522969</v>
      </c>
      <c r="O3995" s="8">
        <v>84</v>
      </c>
      <c r="P3995" s="7">
        <v>46010</v>
      </c>
      <c r="R3995" s="8">
        <v>0</v>
      </c>
      <c r="S3995" s="7">
        <v>46020</v>
      </c>
      <c r="U3995" s="8">
        <v>0</v>
      </c>
      <c r="V3995" s="7">
        <v>46030</v>
      </c>
      <c r="X3995" s="8">
        <v>0</v>
      </c>
      <c r="Z3995" s="8">
        <v>0</v>
      </c>
      <c r="AA3995" s="7">
        <v>46044</v>
      </c>
      <c r="AC3995" s="8">
        <v>0</v>
      </c>
      <c r="AE3995" s="7">
        <v>46049</v>
      </c>
      <c r="AF3995" s="8">
        <v>0</v>
      </c>
      <c r="AH3995" s="7">
        <v>46045</v>
      </c>
      <c r="AN3995" s="8">
        <v>0</v>
      </c>
      <c r="AO3995" s="8">
        <v>84</v>
      </c>
    </row>
    <row r="3996" spans="1:41" x14ac:dyDescent="0.25">
      <c r="A3996" s="6" t="str">
        <f t="shared" si="1009"/>
        <v>525-2025000486</v>
      </c>
      <c r="B3996" s="6" t="str">
        <f t="shared" si="1008"/>
        <v>Lasa Int</v>
      </c>
      <c r="C3996" s="7">
        <v>45931</v>
      </c>
      <c r="D3996" s="7">
        <v>46080</v>
      </c>
      <c r="E3996" s="8">
        <v>22</v>
      </c>
      <c r="F3996" s="6" t="str">
        <f t="shared" si="1010"/>
        <v>Pure Stars criança</v>
      </c>
      <c r="G3996" s="6" t="str">
        <f t="shared" si="1011"/>
        <v>R320384436000000</v>
      </c>
      <c r="H3996" s="6" t="str">
        <f t="shared" si="1012"/>
        <v>R 3844 - PL 1203 (m)</v>
      </c>
      <c r="I3996" s="6" t="str">
        <f t="shared" ref="I3996:I4002" si="1020">"203874"</f>
        <v>203874</v>
      </c>
      <c r="J3996" s="6" t="str">
        <f t="shared" ref="J3996:J4002" si="1021">"VERDE 3874"</f>
        <v>VERDE 3874</v>
      </c>
      <c r="K3996" s="6" t="str">
        <f>"5202"</f>
        <v>5202</v>
      </c>
      <c r="L3996" s="6" t="str">
        <f t="shared" si="1015"/>
        <v>Roupões Criança</v>
      </c>
      <c r="M3996" s="6" t="str">
        <f>"2 Anos"</f>
        <v>2 Anos</v>
      </c>
      <c r="N3996" s="6" t="str">
        <f>"5602972522976"</f>
        <v>5602972522976</v>
      </c>
      <c r="O3996" s="8">
        <v>36</v>
      </c>
      <c r="P3996" s="7">
        <v>46010</v>
      </c>
      <c r="R3996" s="8">
        <v>676</v>
      </c>
      <c r="S3996" s="7">
        <v>46020</v>
      </c>
      <c r="U3996" s="8">
        <v>676</v>
      </c>
      <c r="V3996" s="7">
        <v>46030</v>
      </c>
      <c r="X3996" s="8">
        <v>676</v>
      </c>
      <c r="Z3996" s="8">
        <v>0</v>
      </c>
      <c r="AA3996" s="7">
        <v>46044</v>
      </c>
      <c r="AC3996" s="8">
        <v>0</v>
      </c>
      <c r="AE3996" s="7">
        <v>46049</v>
      </c>
      <c r="AF3996" s="8">
        <v>0</v>
      </c>
      <c r="AH3996" s="7">
        <v>46045</v>
      </c>
      <c r="AN3996" s="8">
        <v>0</v>
      </c>
      <c r="AO3996" s="8">
        <v>36</v>
      </c>
    </row>
    <row r="3997" spans="1:41" x14ac:dyDescent="0.25">
      <c r="A3997" s="6" t="str">
        <f t="shared" si="1009"/>
        <v>525-2025000486</v>
      </c>
      <c r="B3997" s="6" t="str">
        <f t="shared" si="1008"/>
        <v>Lasa Int</v>
      </c>
      <c r="C3997" s="7">
        <v>45931</v>
      </c>
      <c r="D3997" s="7">
        <v>46080</v>
      </c>
      <c r="E3997" s="8">
        <v>23</v>
      </c>
      <c r="F3997" s="6" t="str">
        <f t="shared" si="1010"/>
        <v>Pure Stars criança</v>
      </c>
      <c r="G3997" s="6" t="str">
        <f t="shared" si="1011"/>
        <v>R320384436000000</v>
      </c>
      <c r="H3997" s="6" t="str">
        <f t="shared" si="1012"/>
        <v>R 3844 - PL 1203 (m)</v>
      </c>
      <c r="I3997" s="6" t="str">
        <f t="shared" si="1020"/>
        <v>203874</v>
      </c>
      <c r="J3997" s="6" t="str">
        <f t="shared" si="1021"/>
        <v>VERDE 3874</v>
      </c>
      <c r="K3997" s="6" t="str">
        <f>"5204"</f>
        <v>5204</v>
      </c>
      <c r="L3997" s="6" t="str">
        <f t="shared" si="1015"/>
        <v>Roupões Criança</v>
      </c>
      <c r="M3997" s="6" t="str">
        <f>"4 Anos"</f>
        <v>4 Anos</v>
      </c>
      <c r="N3997" s="6" t="str">
        <f>"5602972522983"</f>
        <v>5602972522983</v>
      </c>
      <c r="O3997" s="8">
        <v>60</v>
      </c>
      <c r="P3997" s="7">
        <v>46010</v>
      </c>
      <c r="R3997" s="8">
        <v>0</v>
      </c>
      <c r="S3997" s="7">
        <v>46020</v>
      </c>
      <c r="U3997" s="8">
        <v>0</v>
      </c>
      <c r="V3997" s="7">
        <v>46030</v>
      </c>
      <c r="X3997" s="8">
        <v>0</v>
      </c>
      <c r="Z3997" s="8">
        <v>0</v>
      </c>
      <c r="AA3997" s="7">
        <v>46044</v>
      </c>
      <c r="AC3997" s="8">
        <v>0</v>
      </c>
      <c r="AE3997" s="7">
        <v>46049</v>
      </c>
      <c r="AF3997" s="8">
        <v>0</v>
      </c>
      <c r="AH3997" s="7">
        <v>46045</v>
      </c>
      <c r="AN3997" s="8">
        <v>0</v>
      </c>
      <c r="AO3997" s="8">
        <v>60</v>
      </c>
    </row>
    <row r="3998" spans="1:41" x14ac:dyDescent="0.25">
      <c r="A3998" s="6" t="str">
        <f t="shared" si="1009"/>
        <v>525-2025000486</v>
      </c>
      <c r="B3998" s="6" t="str">
        <f t="shared" si="1008"/>
        <v>Lasa Int</v>
      </c>
      <c r="C3998" s="7">
        <v>45931</v>
      </c>
      <c r="D3998" s="7">
        <v>46080</v>
      </c>
      <c r="E3998" s="8">
        <v>24</v>
      </c>
      <c r="F3998" s="6" t="str">
        <f t="shared" si="1010"/>
        <v>Pure Stars criança</v>
      </c>
      <c r="G3998" s="6" t="str">
        <f t="shared" si="1011"/>
        <v>R320384436000000</v>
      </c>
      <c r="H3998" s="6" t="str">
        <f t="shared" si="1012"/>
        <v>R 3844 - PL 1203 (m)</v>
      </c>
      <c r="I3998" s="6" t="str">
        <f t="shared" si="1020"/>
        <v>203874</v>
      </c>
      <c r="J3998" s="6" t="str">
        <f t="shared" si="1021"/>
        <v>VERDE 3874</v>
      </c>
      <c r="K3998" s="6" t="str">
        <f>"5206"</f>
        <v>5206</v>
      </c>
      <c r="L3998" s="6" t="str">
        <f t="shared" si="1015"/>
        <v>Roupões Criança</v>
      </c>
      <c r="M3998" s="6" t="str">
        <f>"6 Anos"</f>
        <v>6 Anos</v>
      </c>
      <c r="N3998" s="6" t="str">
        <f>"5602972522990"</f>
        <v>5602972522990</v>
      </c>
      <c r="O3998" s="8">
        <v>72</v>
      </c>
      <c r="P3998" s="7">
        <v>46010</v>
      </c>
      <c r="R3998" s="8">
        <v>0</v>
      </c>
      <c r="S3998" s="7">
        <v>46020</v>
      </c>
      <c r="U3998" s="8">
        <v>0</v>
      </c>
      <c r="V3998" s="7">
        <v>46030</v>
      </c>
      <c r="X3998" s="8">
        <v>0</v>
      </c>
      <c r="Z3998" s="8">
        <v>0</v>
      </c>
      <c r="AA3998" s="7">
        <v>46044</v>
      </c>
      <c r="AC3998" s="8">
        <v>0</v>
      </c>
      <c r="AE3998" s="7">
        <v>46049</v>
      </c>
      <c r="AF3998" s="8">
        <v>0</v>
      </c>
      <c r="AH3998" s="7">
        <v>46045</v>
      </c>
      <c r="AN3998" s="8">
        <v>0</v>
      </c>
      <c r="AO3998" s="8">
        <v>72</v>
      </c>
    </row>
    <row r="3999" spans="1:41" x14ac:dyDescent="0.25">
      <c r="A3999" s="6" t="str">
        <f t="shared" si="1009"/>
        <v>525-2025000486</v>
      </c>
      <c r="B3999" s="6" t="str">
        <f t="shared" si="1008"/>
        <v>Lasa Int</v>
      </c>
      <c r="C3999" s="7">
        <v>45931</v>
      </c>
      <c r="D3999" s="7">
        <v>46080</v>
      </c>
      <c r="E3999" s="8">
        <v>25</v>
      </c>
      <c r="F3999" s="6" t="str">
        <f t="shared" si="1010"/>
        <v>Pure Stars criança</v>
      </c>
      <c r="G3999" s="6" t="str">
        <f t="shared" si="1011"/>
        <v>R320384436000000</v>
      </c>
      <c r="H3999" s="6" t="str">
        <f t="shared" si="1012"/>
        <v>R 3844 - PL 1203 (m)</v>
      </c>
      <c r="I3999" s="6" t="str">
        <f t="shared" si="1020"/>
        <v>203874</v>
      </c>
      <c r="J3999" s="6" t="str">
        <f t="shared" si="1021"/>
        <v>VERDE 3874</v>
      </c>
      <c r="K3999" s="6" t="str">
        <f>"5208"</f>
        <v>5208</v>
      </c>
      <c r="L3999" s="6" t="str">
        <f t="shared" si="1015"/>
        <v>Roupões Criança</v>
      </c>
      <c r="M3999" s="6" t="str">
        <f>"8 Anos"</f>
        <v>8 Anos</v>
      </c>
      <c r="N3999" s="6" t="str">
        <f>"5602972523003"</f>
        <v>5602972523003</v>
      </c>
      <c r="O3999" s="8">
        <v>84</v>
      </c>
      <c r="P3999" s="7">
        <v>46010</v>
      </c>
      <c r="R3999" s="8">
        <v>0</v>
      </c>
      <c r="S3999" s="7">
        <v>46020</v>
      </c>
      <c r="U3999" s="8">
        <v>0</v>
      </c>
      <c r="V3999" s="7">
        <v>46030</v>
      </c>
      <c r="X3999" s="8">
        <v>0</v>
      </c>
      <c r="Z3999" s="8">
        <v>0</v>
      </c>
      <c r="AA3999" s="7">
        <v>46044</v>
      </c>
      <c r="AC3999" s="8">
        <v>0</v>
      </c>
      <c r="AE3999" s="7">
        <v>46049</v>
      </c>
      <c r="AF3999" s="8">
        <v>0</v>
      </c>
      <c r="AH3999" s="7">
        <v>46045</v>
      </c>
      <c r="AN3999" s="8">
        <v>0</v>
      </c>
      <c r="AO3999" s="8">
        <v>84</v>
      </c>
    </row>
    <row r="4000" spans="1:41" x14ac:dyDescent="0.25">
      <c r="A4000" s="6" t="str">
        <f t="shared" si="1009"/>
        <v>525-2025000486</v>
      </c>
      <c r="B4000" s="6" t="str">
        <f t="shared" si="1008"/>
        <v>Lasa Int</v>
      </c>
      <c r="C4000" s="7">
        <v>45931</v>
      </c>
      <c r="D4000" s="7">
        <v>46080</v>
      </c>
      <c r="E4000" s="8">
        <v>26</v>
      </c>
      <c r="F4000" s="6" t="str">
        <f t="shared" si="1010"/>
        <v>Pure Stars criança</v>
      </c>
      <c r="G4000" s="6" t="str">
        <f t="shared" si="1011"/>
        <v>R320384436000000</v>
      </c>
      <c r="H4000" s="6" t="str">
        <f t="shared" si="1012"/>
        <v>R 3844 - PL 1203 (m)</v>
      </c>
      <c r="I4000" s="6" t="str">
        <f t="shared" si="1020"/>
        <v>203874</v>
      </c>
      <c r="J4000" s="6" t="str">
        <f t="shared" si="1021"/>
        <v>VERDE 3874</v>
      </c>
      <c r="K4000" s="6" t="str">
        <f>"5210"</f>
        <v>5210</v>
      </c>
      <c r="L4000" s="6" t="str">
        <f t="shared" si="1015"/>
        <v>Roupões Criança</v>
      </c>
      <c r="M4000" s="6" t="str">
        <f>"10 Anos"</f>
        <v>10 Anos</v>
      </c>
      <c r="N4000" s="6" t="str">
        <f>"5602972523010"</f>
        <v>5602972523010</v>
      </c>
      <c r="O4000" s="8">
        <v>84</v>
      </c>
      <c r="P4000" s="7">
        <v>46010</v>
      </c>
      <c r="R4000" s="8">
        <v>0</v>
      </c>
      <c r="S4000" s="7">
        <v>46020</v>
      </c>
      <c r="U4000" s="8">
        <v>0</v>
      </c>
      <c r="V4000" s="7">
        <v>46030</v>
      </c>
      <c r="X4000" s="8">
        <v>0</v>
      </c>
      <c r="Z4000" s="8">
        <v>0</v>
      </c>
      <c r="AA4000" s="7">
        <v>46044</v>
      </c>
      <c r="AC4000" s="8">
        <v>0</v>
      </c>
      <c r="AE4000" s="7">
        <v>46049</v>
      </c>
      <c r="AF4000" s="8">
        <v>0</v>
      </c>
      <c r="AH4000" s="7">
        <v>46045</v>
      </c>
      <c r="AN4000" s="8">
        <v>0</v>
      </c>
      <c r="AO4000" s="8">
        <v>84</v>
      </c>
    </row>
    <row r="4001" spans="1:41" x14ac:dyDescent="0.25">
      <c r="A4001" s="6" t="str">
        <f t="shared" si="1009"/>
        <v>525-2025000486</v>
      </c>
      <c r="B4001" s="6" t="str">
        <f t="shared" si="1008"/>
        <v>Lasa Int</v>
      </c>
      <c r="C4001" s="7">
        <v>45931</v>
      </c>
      <c r="D4001" s="7">
        <v>46080</v>
      </c>
      <c r="E4001" s="8">
        <v>27</v>
      </c>
      <c r="F4001" s="6" t="str">
        <f t="shared" si="1010"/>
        <v>Pure Stars criança</v>
      </c>
      <c r="G4001" s="6" t="str">
        <f t="shared" si="1011"/>
        <v>R320384436000000</v>
      </c>
      <c r="H4001" s="6" t="str">
        <f t="shared" si="1012"/>
        <v>R 3844 - PL 1203 (m)</v>
      </c>
      <c r="I4001" s="6" t="str">
        <f t="shared" si="1020"/>
        <v>203874</v>
      </c>
      <c r="J4001" s="6" t="str">
        <f t="shared" si="1021"/>
        <v>VERDE 3874</v>
      </c>
      <c r="K4001" s="6" t="str">
        <f>"5212"</f>
        <v>5212</v>
      </c>
      <c r="L4001" s="6" t="str">
        <f t="shared" si="1015"/>
        <v>Roupões Criança</v>
      </c>
      <c r="M4001" s="6" t="str">
        <f>"12 Anos"</f>
        <v>12 Anos</v>
      </c>
      <c r="N4001" s="6" t="str">
        <f>"5602972523027"</f>
        <v>5602972523027</v>
      </c>
      <c r="O4001" s="8">
        <v>84</v>
      </c>
      <c r="P4001" s="7">
        <v>46010</v>
      </c>
      <c r="R4001" s="8">
        <v>0</v>
      </c>
      <c r="S4001" s="7">
        <v>46020</v>
      </c>
      <c r="U4001" s="8">
        <v>0</v>
      </c>
      <c r="V4001" s="7">
        <v>46030</v>
      </c>
      <c r="X4001" s="8">
        <v>0</v>
      </c>
      <c r="Z4001" s="8">
        <v>0</v>
      </c>
      <c r="AA4001" s="7">
        <v>46044</v>
      </c>
      <c r="AC4001" s="8">
        <v>0</v>
      </c>
      <c r="AE4001" s="7">
        <v>46049</v>
      </c>
      <c r="AF4001" s="8">
        <v>0</v>
      </c>
      <c r="AH4001" s="7">
        <v>46045</v>
      </c>
      <c r="AN4001" s="8">
        <v>0</v>
      </c>
      <c r="AO4001" s="8">
        <v>84</v>
      </c>
    </row>
    <row r="4002" spans="1:41" x14ac:dyDescent="0.25">
      <c r="A4002" s="6" t="str">
        <f t="shared" si="1009"/>
        <v>525-2025000486</v>
      </c>
      <c r="B4002" s="6" t="str">
        <f t="shared" si="1008"/>
        <v>Lasa Int</v>
      </c>
      <c r="C4002" s="7">
        <v>45931</v>
      </c>
      <c r="D4002" s="7">
        <v>46080</v>
      </c>
      <c r="E4002" s="8">
        <v>28</v>
      </c>
      <c r="F4002" s="6" t="str">
        <f t="shared" si="1010"/>
        <v>Pure Stars criança</v>
      </c>
      <c r="G4002" s="6" t="str">
        <f t="shared" si="1011"/>
        <v>R320384436000000</v>
      </c>
      <c r="H4002" s="6" t="str">
        <f t="shared" si="1012"/>
        <v>R 3844 - PL 1203 (m)</v>
      </c>
      <c r="I4002" s="6" t="str">
        <f t="shared" si="1020"/>
        <v>203874</v>
      </c>
      <c r="J4002" s="6" t="str">
        <f t="shared" si="1021"/>
        <v>VERDE 3874</v>
      </c>
      <c r="K4002" s="6" t="str">
        <f>"5214"</f>
        <v>5214</v>
      </c>
      <c r="L4002" s="6" t="str">
        <f t="shared" si="1015"/>
        <v>Roupões Criança</v>
      </c>
      <c r="M4002" s="6" t="str">
        <f>"14 Anos"</f>
        <v>14 Anos</v>
      </c>
      <c r="N4002" s="6" t="str">
        <f>"5602972523034"</f>
        <v>5602972523034</v>
      </c>
      <c r="O4002" s="8">
        <v>84</v>
      </c>
      <c r="P4002" s="7">
        <v>46010</v>
      </c>
      <c r="R4002" s="8">
        <v>0</v>
      </c>
      <c r="S4002" s="7">
        <v>46020</v>
      </c>
      <c r="U4002" s="8">
        <v>0</v>
      </c>
      <c r="V4002" s="7">
        <v>46030</v>
      </c>
      <c r="X4002" s="8">
        <v>0</v>
      </c>
      <c r="Z4002" s="8">
        <v>0</v>
      </c>
      <c r="AA4002" s="7">
        <v>46044</v>
      </c>
      <c r="AC4002" s="8">
        <v>0</v>
      </c>
      <c r="AE4002" s="7">
        <v>46049</v>
      </c>
      <c r="AF4002" s="8">
        <v>0</v>
      </c>
      <c r="AH4002" s="7">
        <v>46045</v>
      </c>
      <c r="AN4002" s="8">
        <v>0</v>
      </c>
      <c r="AO4002" s="8">
        <v>84</v>
      </c>
    </row>
    <row r="4003" spans="1:41" x14ac:dyDescent="0.25">
      <c r="A4003" s="6" t="str">
        <f t="shared" si="1009"/>
        <v>525-2025000486</v>
      </c>
      <c r="B4003" s="6" t="str">
        <f t="shared" si="1008"/>
        <v>Lasa Int</v>
      </c>
      <c r="C4003" s="7">
        <v>45931</v>
      </c>
      <c r="D4003" s="7">
        <v>46080</v>
      </c>
      <c r="E4003" s="8">
        <v>29</v>
      </c>
      <c r="F4003" s="6" t="str">
        <f t="shared" si="1010"/>
        <v>Pure Stars criança</v>
      </c>
      <c r="G4003" s="6" t="str">
        <f t="shared" si="1011"/>
        <v>R320384436000000</v>
      </c>
      <c r="H4003" s="6" t="str">
        <f t="shared" si="1012"/>
        <v>R 3844 - PL 1203 (m)</v>
      </c>
      <c r="I4003" s="6" t="str">
        <f t="shared" ref="I4003:I4009" si="1022">"204032"</f>
        <v>204032</v>
      </c>
      <c r="J4003" s="6" t="str">
        <f t="shared" ref="J4003:J4009" si="1023">"AZUL 4032"</f>
        <v>AZUL 4032</v>
      </c>
      <c r="K4003" s="6" t="str">
        <f>"5202"</f>
        <v>5202</v>
      </c>
      <c r="L4003" s="6" t="str">
        <f t="shared" si="1015"/>
        <v>Roupões Criança</v>
      </c>
      <c r="M4003" s="6" t="str">
        <f>"2 Anos"</f>
        <v>2 Anos</v>
      </c>
      <c r="N4003" s="6" t="str">
        <f>"5602972523041"</f>
        <v>5602972523041</v>
      </c>
      <c r="O4003" s="8">
        <v>36</v>
      </c>
      <c r="P4003" s="7">
        <v>46010</v>
      </c>
      <c r="R4003" s="8">
        <v>640</v>
      </c>
      <c r="S4003" s="7">
        <v>46020</v>
      </c>
      <c r="U4003" s="8">
        <v>640</v>
      </c>
      <c r="V4003" s="7">
        <v>46030</v>
      </c>
      <c r="X4003" s="8">
        <v>640</v>
      </c>
      <c r="Z4003" s="8">
        <v>0</v>
      </c>
      <c r="AA4003" s="7">
        <v>46044</v>
      </c>
      <c r="AC4003" s="8">
        <v>0</v>
      </c>
      <c r="AE4003" s="7">
        <v>46049</v>
      </c>
      <c r="AF4003" s="8">
        <v>0</v>
      </c>
      <c r="AH4003" s="7">
        <v>46045</v>
      </c>
      <c r="AN4003" s="8">
        <v>0</v>
      </c>
      <c r="AO4003" s="8">
        <v>36</v>
      </c>
    </row>
    <row r="4004" spans="1:41" x14ac:dyDescent="0.25">
      <c r="A4004" s="6" t="str">
        <f t="shared" si="1009"/>
        <v>525-2025000486</v>
      </c>
      <c r="B4004" s="6" t="str">
        <f t="shared" si="1008"/>
        <v>Lasa Int</v>
      </c>
      <c r="C4004" s="7">
        <v>45931</v>
      </c>
      <c r="D4004" s="7">
        <v>46080</v>
      </c>
      <c r="E4004" s="8">
        <v>30</v>
      </c>
      <c r="F4004" s="6" t="str">
        <f t="shared" si="1010"/>
        <v>Pure Stars criança</v>
      </c>
      <c r="G4004" s="6" t="str">
        <f t="shared" si="1011"/>
        <v>R320384436000000</v>
      </c>
      <c r="H4004" s="6" t="str">
        <f t="shared" si="1012"/>
        <v>R 3844 - PL 1203 (m)</v>
      </c>
      <c r="I4004" s="6" t="str">
        <f t="shared" si="1022"/>
        <v>204032</v>
      </c>
      <c r="J4004" s="6" t="str">
        <f t="shared" si="1023"/>
        <v>AZUL 4032</v>
      </c>
      <c r="K4004" s="6" t="str">
        <f>"5204"</f>
        <v>5204</v>
      </c>
      <c r="L4004" s="6" t="str">
        <f t="shared" si="1015"/>
        <v>Roupões Criança</v>
      </c>
      <c r="M4004" s="6" t="str">
        <f>"4 Anos"</f>
        <v>4 Anos</v>
      </c>
      <c r="N4004" s="6" t="str">
        <f>"5602972523058"</f>
        <v>5602972523058</v>
      </c>
      <c r="O4004" s="8">
        <v>60</v>
      </c>
      <c r="P4004" s="7">
        <v>46010</v>
      </c>
      <c r="R4004" s="8">
        <v>0</v>
      </c>
      <c r="S4004" s="7">
        <v>46020</v>
      </c>
      <c r="U4004" s="8">
        <v>0</v>
      </c>
      <c r="V4004" s="7">
        <v>46030</v>
      </c>
      <c r="X4004" s="8">
        <v>0</v>
      </c>
      <c r="Z4004" s="8">
        <v>0</v>
      </c>
      <c r="AA4004" s="7">
        <v>46044</v>
      </c>
      <c r="AC4004" s="8">
        <v>0</v>
      </c>
      <c r="AE4004" s="7">
        <v>46049</v>
      </c>
      <c r="AF4004" s="8">
        <v>0</v>
      </c>
      <c r="AH4004" s="7">
        <v>46045</v>
      </c>
      <c r="AN4004" s="8">
        <v>0</v>
      </c>
      <c r="AO4004" s="8">
        <v>60</v>
      </c>
    </row>
    <row r="4005" spans="1:41" x14ac:dyDescent="0.25">
      <c r="A4005" s="6" t="str">
        <f t="shared" si="1009"/>
        <v>525-2025000486</v>
      </c>
      <c r="B4005" s="6" t="str">
        <f t="shared" si="1008"/>
        <v>Lasa Int</v>
      </c>
      <c r="C4005" s="7">
        <v>45931</v>
      </c>
      <c r="D4005" s="7">
        <v>46080</v>
      </c>
      <c r="E4005" s="8">
        <v>31</v>
      </c>
      <c r="F4005" s="6" t="str">
        <f t="shared" si="1010"/>
        <v>Pure Stars criança</v>
      </c>
      <c r="G4005" s="6" t="str">
        <f t="shared" si="1011"/>
        <v>R320384436000000</v>
      </c>
      <c r="H4005" s="6" t="str">
        <f t="shared" si="1012"/>
        <v>R 3844 - PL 1203 (m)</v>
      </c>
      <c r="I4005" s="6" t="str">
        <f t="shared" si="1022"/>
        <v>204032</v>
      </c>
      <c r="J4005" s="6" t="str">
        <f t="shared" si="1023"/>
        <v>AZUL 4032</v>
      </c>
      <c r="K4005" s="6" t="str">
        <f>"5206"</f>
        <v>5206</v>
      </c>
      <c r="L4005" s="6" t="str">
        <f t="shared" si="1015"/>
        <v>Roupões Criança</v>
      </c>
      <c r="M4005" s="6" t="str">
        <f>"6 Anos"</f>
        <v>6 Anos</v>
      </c>
      <c r="N4005" s="6" t="str">
        <f>"5602972523065"</f>
        <v>5602972523065</v>
      </c>
      <c r="O4005" s="8">
        <v>72</v>
      </c>
      <c r="P4005" s="7">
        <v>46010</v>
      </c>
      <c r="R4005" s="8">
        <v>0</v>
      </c>
      <c r="S4005" s="7">
        <v>46020</v>
      </c>
      <c r="U4005" s="8">
        <v>0</v>
      </c>
      <c r="V4005" s="7">
        <v>46030</v>
      </c>
      <c r="X4005" s="8">
        <v>0</v>
      </c>
      <c r="Z4005" s="8">
        <v>0</v>
      </c>
      <c r="AA4005" s="7">
        <v>46044</v>
      </c>
      <c r="AC4005" s="8">
        <v>0</v>
      </c>
      <c r="AE4005" s="7">
        <v>46049</v>
      </c>
      <c r="AF4005" s="8">
        <v>0</v>
      </c>
      <c r="AH4005" s="7">
        <v>46045</v>
      </c>
      <c r="AN4005" s="8">
        <v>0</v>
      </c>
      <c r="AO4005" s="8">
        <v>72</v>
      </c>
    </row>
    <row r="4006" spans="1:41" x14ac:dyDescent="0.25">
      <c r="A4006" s="6" t="str">
        <f t="shared" si="1009"/>
        <v>525-2025000486</v>
      </c>
      <c r="B4006" s="6" t="str">
        <f t="shared" si="1008"/>
        <v>Lasa Int</v>
      </c>
      <c r="C4006" s="7">
        <v>45931</v>
      </c>
      <c r="D4006" s="7">
        <v>46080</v>
      </c>
      <c r="E4006" s="8">
        <v>32</v>
      </c>
      <c r="F4006" s="6" t="str">
        <f t="shared" si="1010"/>
        <v>Pure Stars criança</v>
      </c>
      <c r="G4006" s="6" t="str">
        <f t="shared" si="1011"/>
        <v>R320384436000000</v>
      </c>
      <c r="H4006" s="6" t="str">
        <f t="shared" si="1012"/>
        <v>R 3844 - PL 1203 (m)</v>
      </c>
      <c r="I4006" s="6" t="str">
        <f t="shared" si="1022"/>
        <v>204032</v>
      </c>
      <c r="J4006" s="6" t="str">
        <f t="shared" si="1023"/>
        <v>AZUL 4032</v>
      </c>
      <c r="K4006" s="6" t="str">
        <f>"5208"</f>
        <v>5208</v>
      </c>
      <c r="L4006" s="6" t="str">
        <f t="shared" si="1015"/>
        <v>Roupões Criança</v>
      </c>
      <c r="M4006" s="6" t="str">
        <f>"8 Anos"</f>
        <v>8 Anos</v>
      </c>
      <c r="N4006" s="6" t="str">
        <f>"5602972523072"</f>
        <v>5602972523072</v>
      </c>
      <c r="O4006" s="8">
        <v>84</v>
      </c>
      <c r="P4006" s="7">
        <v>46010</v>
      </c>
      <c r="R4006" s="8">
        <v>0</v>
      </c>
      <c r="S4006" s="7">
        <v>46020</v>
      </c>
      <c r="U4006" s="8">
        <v>0</v>
      </c>
      <c r="V4006" s="7">
        <v>46030</v>
      </c>
      <c r="X4006" s="8">
        <v>0</v>
      </c>
      <c r="Z4006" s="8">
        <v>0</v>
      </c>
      <c r="AA4006" s="7">
        <v>46044</v>
      </c>
      <c r="AC4006" s="8">
        <v>0</v>
      </c>
      <c r="AE4006" s="7">
        <v>46049</v>
      </c>
      <c r="AF4006" s="8">
        <v>0</v>
      </c>
      <c r="AH4006" s="7">
        <v>46045</v>
      </c>
      <c r="AN4006" s="8">
        <v>0</v>
      </c>
      <c r="AO4006" s="8">
        <v>84</v>
      </c>
    </row>
    <row r="4007" spans="1:41" x14ac:dyDescent="0.25">
      <c r="A4007" s="6" t="str">
        <f t="shared" si="1009"/>
        <v>525-2025000486</v>
      </c>
      <c r="B4007" s="6" t="str">
        <f t="shared" si="1008"/>
        <v>Lasa Int</v>
      </c>
      <c r="C4007" s="7">
        <v>45931</v>
      </c>
      <c r="D4007" s="7">
        <v>46080</v>
      </c>
      <c r="E4007" s="8">
        <v>33</v>
      </c>
      <c r="F4007" s="6" t="str">
        <f t="shared" si="1010"/>
        <v>Pure Stars criança</v>
      </c>
      <c r="G4007" s="6" t="str">
        <f t="shared" si="1011"/>
        <v>R320384436000000</v>
      </c>
      <c r="H4007" s="6" t="str">
        <f t="shared" si="1012"/>
        <v>R 3844 - PL 1203 (m)</v>
      </c>
      <c r="I4007" s="6" t="str">
        <f t="shared" si="1022"/>
        <v>204032</v>
      </c>
      <c r="J4007" s="6" t="str">
        <f t="shared" si="1023"/>
        <v>AZUL 4032</v>
      </c>
      <c r="K4007" s="6" t="str">
        <f>"5210"</f>
        <v>5210</v>
      </c>
      <c r="L4007" s="6" t="str">
        <f t="shared" ref="L4007:L4038" si="1024">"Roupões Criança"</f>
        <v>Roupões Criança</v>
      </c>
      <c r="M4007" s="6" t="str">
        <f>"10 Anos"</f>
        <v>10 Anos</v>
      </c>
      <c r="N4007" s="6" t="str">
        <f>"5602972523089"</f>
        <v>5602972523089</v>
      </c>
      <c r="O4007" s="8">
        <v>84</v>
      </c>
      <c r="P4007" s="7">
        <v>46010</v>
      </c>
      <c r="R4007" s="8">
        <v>0</v>
      </c>
      <c r="S4007" s="7">
        <v>46020</v>
      </c>
      <c r="U4007" s="8">
        <v>0</v>
      </c>
      <c r="V4007" s="7">
        <v>46030</v>
      </c>
      <c r="X4007" s="8">
        <v>0</v>
      </c>
      <c r="Z4007" s="8">
        <v>0</v>
      </c>
      <c r="AA4007" s="7">
        <v>46044</v>
      </c>
      <c r="AC4007" s="8">
        <v>0</v>
      </c>
      <c r="AE4007" s="7">
        <v>46049</v>
      </c>
      <c r="AF4007" s="8">
        <v>0</v>
      </c>
      <c r="AH4007" s="7">
        <v>46045</v>
      </c>
      <c r="AN4007" s="8">
        <v>0</v>
      </c>
      <c r="AO4007" s="8">
        <v>84</v>
      </c>
    </row>
    <row r="4008" spans="1:41" x14ac:dyDescent="0.25">
      <c r="A4008" s="6" t="str">
        <f t="shared" si="1009"/>
        <v>525-2025000486</v>
      </c>
      <c r="B4008" s="6" t="str">
        <f t="shared" si="1008"/>
        <v>Lasa Int</v>
      </c>
      <c r="C4008" s="7">
        <v>45931</v>
      </c>
      <c r="D4008" s="7">
        <v>46080</v>
      </c>
      <c r="E4008" s="8">
        <v>34</v>
      </c>
      <c r="F4008" s="6" t="str">
        <f t="shared" si="1010"/>
        <v>Pure Stars criança</v>
      </c>
      <c r="G4008" s="6" t="str">
        <f t="shared" si="1011"/>
        <v>R320384436000000</v>
      </c>
      <c r="H4008" s="6" t="str">
        <f t="shared" si="1012"/>
        <v>R 3844 - PL 1203 (m)</v>
      </c>
      <c r="I4008" s="6" t="str">
        <f t="shared" si="1022"/>
        <v>204032</v>
      </c>
      <c r="J4008" s="6" t="str">
        <f t="shared" si="1023"/>
        <v>AZUL 4032</v>
      </c>
      <c r="K4008" s="6" t="str">
        <f>"5212"</f>
        <v>5212</v>
      </c>
      <c r="L4008" s="6" t="str">
        <f t="shared" si="1024"/>
        <v>Roupões Criança</v>
      </c>
      <c r="M4008" s="6" t="str">
        <f>"12 Anos"</f>
        <v>12 Anos</v>
      </c>
      <c r="N4008" s="6" t="str">
        <f>"5602972523096"</f>
        <v>5602972523096</v>
      </c>
      <c r="O4008" s="8">
        <v>84</v>
      </c>
      <c r="P4008" s="7">
        <v>46010</v>
      </c>
      <c r="R4008" s="8">
        <v>0</v>
      </c>
      <c r="S4008" s="7">
        <v>46020</v>
      </c>
      <c r="U4008" s="8">
        <v>0</v>
      </c>
      <c r="V4008" s="7">
        <v>46030</v>
      </c>
      <c r="X4008" s="8">
        <v>0</v>
      </c>
      <c r="Z4008" s="8">
        <v>0</v>
      </c>
      <c r="AA4008" s="7">
        <v>46044</v>
      </c>
      <c r="AC4008" s="8">
        <v>0</v>
      </c>
      <c r="AE4008" s="7">
        <v>46049</v>
      </c>
      <c r="AF4008" s="8">
        <v>0</v>
      </c>
      <c r="AH4008" s="7">
        <v>46045</v>
      </c>
      <c r="AN4008" s="8">
        <v>0</v>
      </c>
      <c r="AO4008" s="8">
        <v>84</v>
      </c>
    </row>
    <row r="4009" spans="1:41" x14ac:dyDescent="0.25">
      <c r="A4009" s="6" t="str">
        <f t="shared" si="1009"/>
        <v>525-2025000486</v>
      </c>
      <c r="B4009" s="6" t="str">
        <f t="shared" si="1008"/>
        <v>Lasa Int</v>
      </c>
      <c r="C4009" s="7">
        <v>45931</v>
      </c>
      <c r="D4009" s="7">
        <v>46080</v>
      </c>
      <c r="E4009" s="8">
        <v>35</v>
      </c>
      <c r="F4009" s="6" t="str">
        <f t="shared" si="1010"/>
        <v>Pure Stars criança</v>
      </c>
      <c r="G4009" s="6" t="str">
        <f t="shared" si="1011"/>
        <v>R320384436000000</v>
      </c>
      <c r="H4009" s="6" t="str">
        <f t="shared" si="1012"/>
        <v>R 3844 - PL 1203 (m)</v>
      </c>
      <c r="I4009" s="6" t="str">
        <f t="shared" si="1022"/>
        <v>204032</v>
      </c>
      <c r="J4009" s="6" t="str">
        <f t="shared" si="1023"/>
        <v>AZUL 4032</v>
      </c>
      <c r="K4009" s="6" t="str">
        <f>"5214"</f>
        <v>5214</v>
      </c>
      <c r="L4009" s="6" t="str">
        <f t="shared" si="1024"/>
        <v>Roupões Criança</v>
      </c>
      <c r="M4009" s="6" t="str">
        <f>"14 Anos"</f>
        <v>14 Anos</v>
      </c>
      <c r="N4009" s="6" t="str">
        <f>"5602972523102"</f>
        <v>5602972523102</v>
      </c>
      <c r="O4009" s="8">
        <v>84</v>
      </c>
      <c r="P4009" s="7">
        <v>46010</v>
      </c>
      <c r="R4009" s="8">
        <v>0</v>
      </c>
      <c r="S4009" s="7">
        <v>46020</v>
      </c>
      <c r="U4009" s="8">
        <v>0</v>
      </c>
      <c r="V4009" s="7">
        <v>46030</v>
      </c>
      <c r="X4009" s="8">
        <v>0</v>
      </c>
      <c r="Z4009" s="8">
        <v>0</v>
      </c>
      <c r="AA4009" s="7">
        <v>46044</v>
      </c>
      <c r="AC4009" s="8">
        <v>0</v>
      </c>
      <c r="AE4009" s="7">
        <v>46049</v>
      </c>
      <c r="AF4009" s="8">
        <v>0</v>
      </c>
      <c r="AH4009" s="7">
        <v>46045</v>
      </c>
      <c r="AN4009" s="8">
        <v>0</v>
      </c>
      <c r="AO4009" s="8">
        <v>84</v>
      </c>
    </row>
    <row r="4010" spans="1:41" x14ac:dyDescent="0.25">
      <c r="A4010" s="6" t="str">
        <f t="shared" ref="A4010:A4044" si="1025">"525-2025000487"</f>
        <v>525-2025000487</v>
      </c>
      <c r="B4010" s="6" t="str">
        <f t="shared" si="1008"/>
        <v>Lasa Int</v>
      </c>
      <c r="C4010" s="7">
        <v>45932</v>
      </c>
      <c r="D4010" s="7">
        <v>46080</v>
      </c>
      <c r="E4010" s="8">
        <v>1</v>
      </c>
      <c r="F4010" s="6" t="str">
        <f t="shared" ref="F4010:F4044" si="1026">"Pure light criança"</f>
        <v>Pure light criança</v>
      </c>
      <c r="G4010" s="6" t="str">
        <f t="shared" ref="G4010:G4044" si="1027">"R320384536000000"</f>
        <v>R320384536000000</v>
      </c>
      <c r="H4010" s="6" t="str">
        <f t="shared" ref="H4010:H4044" si="1028">"R 3845 - PL 1204 (m)"</f>
        <v>R 3845 - PL 1204 (m)</v>
      </c>
      <c r="I4010" s="6" t="str">
        <f t="shared" ref="I4010:I4016" si="1029">"203613"</f>
        <v>203613</v>
      </c>
      <c r="J4010" s="6" t="str">
        <f t="shared" ref="J4010:J4016" si="1030">"AMARELO 3613"</f>
        <v>AMARELO 3613</v>
      </c>
      <c r="K4010" s="6" t="str">
        <f>"5202"</f>
        <v>5202</v>
      </c>
      <c r="L4010" s="6" t="str">
        <f t="shared" si="1024"/>
        <v>Roupões Criança</v>
      </c>
      <c r="M4010" s="6" t="str">
        <f>"2 Anos"</f>
        <v>2 Anos</v>
      </c>
      <c r="N4010" s="6" t="str">
        <f>"5602972523119"</f>
        <v>5602972523119</v>
      </c>
      <c r="O4010" s="8">
        <v>36</v>
      </c>
      <c r="P4010" s="7">
        <v>46010</v>
      </c>
      <c r="R4010" s="8">
        <v>673</v>
      </c>
      <c r="S4010" s="7">
        <v>46020</v>
      </c>
      <c r="U4010" s="8">
        <v>673</v>
      </c>
      <c r="V4010" s="7">
        <v>46030</v>
      </c>
      <c r="X4010" s="8">
        <v>673</v>
      </c>
      <c r="Z4010" s="8">
        <v>0</v>
      </c>
      <c r="AA4010" s="7">
        <v>46044</v>
      </c>
      <c r="AC4010" s="8">
        <v>0</v>
      </c>
      <c r="AE4010" s="7">
        <v>46049</v>
      </c>
      <c r="AF4010" s="8">
        <v>0</v>
      </c>
      <c r="AH4010" s="7">
        <v>46045</v>
      </c>
      <c r="AN4010" s="8">
        <v>0</v>
      </c>
      <c r="AO4010" s="8">
        <v>36</v>
      </c>
    </row>
    <row r="4011" spans="1:41" x14ac:dyDescent="0.25">
      <c r="A4011" s="6" t="str">
        <f t="shared" si="1025"/>
        <v>525-2025000487</v>
      </c>
      <c r="B4011" s="6" t="str">
        <f t="shared" si="1008"/>
        <v>Lasa Int</v>
      </c>
      <c r="C4011" s="7">
        <v>45932</v>
      </c>
      <c r="D4011" s="7">
        <v>46080</v>
      </c>
      <c r="E4011" s="8">
        <v>2</v>
      </c>
      <c r="F4011" s="6" t="str">
        <f t="shared" si="1026"/>
        <v>Pure light criança</v>
      </c>
      <c r="G4011" s="6" t="str">
        <f t="shared" si="1027"/>
        <v>R320384536000000</v>
      </c>
      <c r="H4011" s="6" t="str">
        <f t="shared" si="1028"/>
        <v>R 3845 - PL 1204 (m)</v>
      </c>
      <c r="I4011" s="6" t="str">
        <f t="shared" si="1029"/>
        <v>203613</v>
      </c>
      <c r="J4011" s="6" t="str">
        <f t="shared" si="1030"/>
        <v>AMARELO 3613</v>
      </c>
      <c r="K4011" s="6" t="str">
        <f>"5204"</f>
        <v>5204</v>
      </c>
      <c r="L4011" s="6" t="str">
        <f t="shared" si="1024"/>
        <v>Roupões Criança</v>
      </c>
      <c r="M4011" s="6" t="str">
        <f>"4 Anos"</f>
        <v>4 Anos</v>
      </c>
      <c r="N4011" s="6" t="str">
        <f>"5602972523126"</f>
        <v>5602972523126</v>
      </c>
      <c r="O4011" s="8">
        <v>60</v>
      </c>
      <c r="P4011" s="7">
        <v>46010</v>
      </c>
      <c r="R4011" s="8">
        <v>0</v>
      </c>
      <c r="S4011" s="7">
        <v>46020</v>
      </c>
      <c r="U4011" s="8">
        <v>0</v>
      </c>
      <c r="V4011" s="7">
        <v>46030</v>
      </c>
      <c r="X4011" s="8">
        <v>0</v>
      </c>
      <c r="Z4011" s="8">
        <v>0</v>
      </c>
      <c r="AA4011" s="7">
        <v>46044</v>
      </c>
      <c r="AC4011" s="8">
        <v>0</v>
      </c>
      <c r="AE4011" s="7">
        <v>46049</v>
      </c>
      <c r="AF4011" s="8">
        <v>0</v>
      </c>
      <c r="AH4011" s="7">
        <v>46045</v>
      </c>
      <c r="AN4011" s="8">
        <v>0</v>
      </c>
      <c r="AO4011" s="8">
        <v>60</v>
      </c>
    </row>
    <row r="4012" spans="1:41" x14ac:dyDescent="0.25">
      <c r="A4012" s="6" t="str">
        <f t="shared" si="1025"/>
        <v>525-2025000487</v>
      </c>
      <c r="B4012" s="6" t="str">
        <f t="shared" si="1008"/>
        <v>Lasa Int</v>
      </c>
      <c r="C4012" s="7">
        <v>45932</v>
      </c>
      <c r="D4012" s="7">
        <v>46080</v>
      </c>
      <c r="E4012" s="8">
        <v>3</v>
      </c>
      <c r="F4012" s="6" t="str">
        <f t="shared" si="1026"/>
        <v>Pure light criança</v>
      </c>
      <c r="G4012" s="6" t="str">
        <f t="shared" si="1027"/>
        <v>R320384536000000</v>
      </c>
      <c r="H4012" s="6" t="str">
        <f t="shared" si="1028"/>
        <v>R 3845 - PL 1204 (m)</v>
      </c>
      <c r="I4012" s="6" t="str">
        <f t="shared" si="1029"/>
        <v>203613</v>
      </c>
      <c r="J4012" s="6" t="str">
        <f t="shared" si="1030"/>
        <v>AMARELO 3613</v>
      </c>
      <c r="K4012" s="6" t="str">
        <f>"5206"</f>
        <v>5206</v>
      </c>
      <c r="L4012" s="6" t="str">
        <f t="shared" si="1024"/>
        <v>Roupões Criança</v>
      </c>
      <c r="M4012" s="6" t="str">
        <f>"6 Anos"</f>
        <v>6 Anos</v>
      </c>
      <c r="N4012" s="6" t="str">
        <f>"5602972523133"</f>
        <v>5602972523133</v>
      </c>
      <c r="O4012" s="8">
        <v>72</v>
      </c>
      <c r="P4012" s="7">
        <v>46010</v>
      </c>
      <c r="R4012" s="8">
        <v>0</v>
      </c>
      <c r="S4012" s="7">
        <v>46020</v>
      </c>
      <c r="U4012" s="8">
        <v>0</v>
      </c>
      <c r="V4012" s="7">
        <v>46030</v>
      </c>
      <c r="X4012" s="8">
        <v>0</v>
      </c>
      <c r="Z4012" s="8">
        <v>0</v>
      </c>
      <c r="AA4012" s="7">
        <v>46044</v>
      </c>
      <c r="AC4012" s="8">
        <v>0</v>
      </c>
      <c r="AE4012" s="7">
        <v>46049</v>
      </c>
      <c r="AF4012" s="8">
        <v>0</v>
      </c>
      <c r="AH4012" s="7">
        <v>46045</v>
      </c>
      <c r="AN4012" s="8">
        <v>0</v>
      </c>
      <c r="AO4012" s="8">
        <v>72</v>
      </c>
    </row>
    <row r="4013" spans="1:41" x14ac:dyDescent="0.25">
      <c r="A4013" s="6" t="str">
        <f t="shared" si="1025"/>
        <v>525-2025000487</v>
      </c>
      <c r="B4013" s="6" t="str">
        <f t="shared" si="1008"/>
        <v>Lasa Int</v>
      </c>
      <c r="C4013" s="7">
        <v>45932</v>
      </c>
      <c r="D4013" s="7">
        <v>46080</v>
      </c>
      <c r="E4013" s="8">
        <v>4</v>
      </c>
      <c r="F4013" s="6" t="str">
        <f t="shared" si="1026"/>
        <v>Pure light criança</v>
      </c>
      <c r="G4013" s="6" t="str">
        <f t="shared" si="1027"/>
        <v>R320384536000000</v>
      </c>
      <c r="H4013" s="6" t="str">
        <f t="shared" si="1028"/>
        <v>R 3845 - PL 1204 (m)</v>
      </c>
      <c r="I4013" s="6" t="str">
        <f t="shared" si="1029"/>
        <v>203613</v>
      </c>
      <c r="J4013" s="6" t="str">
        <f t="shared" si="1030"/>
        <v>AMARELO 3613</v>
      </c>
      <c r="K4013" s="6" t="str">
        <f>"5208"</f>
        <v>5208</v>
      </c>
      <c r="L4013" s="6" t="str">
        <f t="shared" si="1024"/>
        <v>Roupões Criança</v>
      </c>
      <c r="M4013" s="6" t="str">
        <f>"8 Anos"</f>
        <v>8 Anos</v>
      </c>
      <c r="N4013" s="6" t="str">
        <f>"5602972523140"</f>
        <v>5602972523140</v>
      </c>
      <c r="O4013" s="8">
        <v>84</v>
      </c>
      <c r="P4013" s="7">
        <v>46010</v>
      </c>
      <c r="R4013" s="8">
        <v>0</v>
      </c>
      <c r="S4013" s="7">
        <v>46020</v>
      </c>
      <c r="U4013" s="8">
        <v>0</v>
      </c>
      <c r="V4013" s="7">
        <v>46030</v>
      </c>
      <c r="X4013" s="8">
        <v>0</v>
      </c>
      <c r="Z4013" s="8">
        <v>0</v>
      </c>
      <c r="AA4013" s="7">
        <v>46044</v>
      </c>
      <c r="AC4013" s="8">
        <v>0</v>
      </c>
      <c r="AE4013" s="7">
        <v>46049</v>
      </c>
      <c r="AF4013" s="8">
        <v>0</v>
      </c>
      <c r="AH4013" s="7">
        <v>46045</v>
      </c>
      <c r="AN4013" s="8">
        <v>0</v>
      </c>
      <c r="AO4013" s="8">
        <v>84</v>
      </c>
    </row>
    <row r="4014" spans="1:41" x14ac:dyDescent="0.25">
      <c r="A4014" s="6" t="str">
        <f t="shared" si="1025"/>
        <v>525-2025000487</v>
      </c>
      <c r="B4014" s="6" t="str">
        <f t="shared" si="1008"/>
        <v>Lasa Int</v>
      </c>
      <c r="C4014" s="7">
        <v>45932</v>
      </c>
      <c r="D4014" s="7">
        <v>46080</v>
      </c>
      <c r="E4014" s="8">
        <v>5</v>
      </c>
      <c r="F4014" s="6" t="str">
        <f t="shared" si="1026"/>
        <v>Pure light criança</v>
      </c>
      <c r="G4014" s="6" t="str">
        <f t="shared" si="1027"/>
        <v>R320384536000000</v>
      </c>
      <c r="H4014" s="6" t="str">
        <f t="shared" si="1028"/>
        <v>R 3845 - PL 1204 (m)</v>
      </c>
      <c r="I4014" s="6" t="str">
        <f t="shared" si="1029"/>
        <v>203613</v>
      </c>
      <c r="J4014" s="6" t="str">
        <f t="shared" si="1030"/>
        <v>AMARELO 3613</v>
      </c>
      <c r="K4014" s="6" t="str">
        <f>"5210"</f>
        <v>5210</v>
      </c>
      <c r="L4014" s="6" t="str">
        <f t="shared" si="1024"/>
        <v>Roupões Criança</v>
      </c>
      <c r="M4014" s="6" t="str">
        <f>"10 Anos"</f>
        <v>10 Anos</v>
      </c>
      <c r="N4014" s="6" t="str">
        <f>"5602972523157"</f>
        <v>5602972523157</v>
      </c>
      <c r="O4014" s="8">
        <v>84</v>
      </c>
      <c r="P4014" s="7">
        <v>46010</v>
      </c>
      <c r="R4014" s="8">
        <v>0</v>
      </c>
      <c r="S4014" s="7">
        <v>46020</v>
      </c>
      <c r="U4014" s="8">
        <v>0</v>
      </c>
      <c r="V4014" s="7">
        <v>46030</v>
      </c>
      <c r="X4014" s="8">
        <v>0</v>
      </c>
      <c r="Z4014" s="8">
        <v>0</v>
      </c>
      <c r="AA4014" s="7">
        <v>46044</v>
      </c>
      <c r="AC4014" s="8">
        <v>0</v>
      </c>
      <c r="AE4014" s="7">
        <v>46049</v>
      </c>
      <c r="AF4014" s="8">
        <v>0</v>
      </c>
      <c r="AH4014" s="7">
        <v>46045</v>
      </c>
      <c r="AN4014" s="8">
        <v>0</v>
      </c>
      <c r="AO4014" s="8">
        <v>84</v>
      </c>
    </row>
    <row r="4015" spans="1:41" x14ac:dyDescent="0.25">
      <c r="A4015" s="6" t="str">
        <f t="shared" si="1025"/>
        <v>525-2025000487</v>
      </c>
      <c r="B4015" s="6" t="str">
        <f t="shared" si="1008"/>
        <v>Lasa Int</v>
      </c>
      <c r="C4015" s="7">
        <v>45932</v>
      </c>
      <c r="D4015" s="7">
        <v>46080</v>
      </c>
      <c r="E4015" s="8">
        <v>6</v>
      </c>
      <c r="F4015" s="6" t="str">
        <f t="shared" si="1026"/>
        <v>Pure light criança</v>
      </c>
      <c r="G4015" s="6" t="str">
        <f t="shared" si="1027"/>
        <v>R320384536000000</v>
      </c>
      <c r="H4015" s="6" t="str">
        <f t="shared" si="1028"/>
        <v>R 3845 - PL 1204 (m)</v>
      </c>
      <c r="I4015" s="6" t="str">
        <f t="shared" si="1029"/>
        <v>203613</v>
      </c>
      <c r="J4015" s="6" t="str">
        <f t="shared" si="1030"/>
        <v>AMARELO 3613</v>
      </c>
      <c r="K4015" s="6" t="str">
        <f>"5212"</f>
        <v>5212</v>
      </c>
      <c r="L4015" s="6" t="str">
        <f t="shared" si="1024"/>
        <v>Roupões Criança</v>
      </c>
      <c r="M4015" s="6" t="str">
        <f>"12 Anos"</f>
        <v>12 Anos</v>
      </c>
      <c r="N4015" s="6" t="str">
        <f>"5602972523164"</f>
        <v>5602972523164</v>
      </c>
      <c r="O4015" s="8">
        <v>84</v>
      </c>
      <c r="P4015" s="7">
        <v>46010</v>
      </c>
      <c r="R4015" s="8">
        <v>0</v>
      </c>
      <c r="S4015" s="7">
        <v>46020</v>
      </c>
      <c r="U4015" s="8">
        <v>0</v>
      </c>
      <c r="V4015" s="7">
        <v>46030</v>
      </c>
      <c r="X4015" s="8">
        <v>0</v>
      </c>
      <c r="Z4015" s="8">
        <v>0</v>
      </c>
      <c r="AA4015" s="7">
        <v>46044</v>
      </c>
      <c r="AC4015" s="8">
        <v>0</v>
      </c>
      <c r="AE4015" s="7">
        <v>46049</v>
      </c>
      <c r="AF4015" s="8">
        <v>0</v>
      </c>
      <c r="AH4015" s="7">
        <v>46045</v>
      </c>
      <c r="AN4015" s="8">
        <v>0</v>
      </c>
      <c r="AO4015" s="8">
        <v>84</v>
      </c>
    </row>
    <row r="4016" spans="1:41" x14ac:dyDescent="0.25">
      <c r="A4016" s="6" t="str">
        <f t="shared" si="1025"/>
        <v>525-2025000487</v>
      </c>
      <c r="B4016" s="6" t="str">
        <f t="shared" si="1008"/>
        <v>Lasa Int</v>
      </c>
      <c r="C4016" s="7">
        <v>45932</v>
      </c>
      <c r="D4016" s="7">
        <v>46080</v>
      </c>
      <c r="E4016" s="8">
        <v>7</v>
      </c>
      <c r="F4016" s="6" t="str">
        <f t="shared" si="1026"/>
        <v>Pure light criança</v>
      </c>
      <c r="G4016" s="6" t="str">
        <f t="shared" si="1027"/>
        <v>R320384536000000</v>
      </c>
      <c r="H4016" s="6" t="str">
        <f t="shared" si="1028"/>
        <v>R 3845 - PL 1204 (m)</v>
      </c>
      <c r="I4016" s="6" t="str">
        <f t="shared" si="1029"/>
        <v>203613</v>
      </c>
      <c r="J4016" s="6" t="str">
        <f t="shared" si="1030"/>
        <v>AMARELO 3613</v>
      </c>
      <c r="K4016" s="6" t="str">
        <f>"5214"</f>
        <v>5214</v>
      </c>
      <c r="L4016" s="6" t="str">
        <f t="shared" si="1024"/>
        <v>Roupões Criança</v>
      </c>
      <c r="M4016" s="6" t="str">
        <f>"14 Anos"</f>
        <v>14 Anos</v>
      </c>
      <c r="N4016" s="6" t="str">
        <f>"5602972523171"</f>
        <v>5602972523171</v>
      </c>
      <c r="O4016" s="8">
        <v>84</v>
      </c>
      <c r="P4016" s="7">
        <v>46010</v>
      </c>
      <c r="R4016" s="8">
        <v>0</v>
      </c>
      <c r="S4016" s="7">
        <v>46020</v>
      </c>
      <c r="U4016" s="8">
        <v>0</v>
      </c>
      <c r="V4016" s="7">
        <v>46030</v>
      </c>
      <c r="X4016" s="8">
        <v>0</v>
      </c>
      <c r="Z4016" s="8">
        <v>0</v>
      </c>
      <c r="AA4016" s="7">
        <v>46044</v>
      </c>
      <c r="AC4016" s="8">
        <v>0</v>
      </c>
      <c r="AE4016" s="7">
        <v>46049</v>
      </c>
      <c r="AF4016" s="8">
        <v>0</v>
      </c>
      <c r="AH4016" s="7">
        <v>46045</v>
      </c>
      <c r="AN4016" s="8">
        <v>0</v>
      </c>
      <c r="AO4016" s="8">
        <v>84</v>
      </c>
    </row>
    <row r="4017" spans="1:41" x14ac:dyDescent="0.25">
      <c r="A4017" s="6" t="str">
        <f t="shared" si="1025"/>
        <v>525-2025000487</v>
      </c>
      <c r="B4017" s="6" t="str">
        <f t="shared" si="1008"/>
        <v>Lasa Int</v>
      </c>
      <c r="C4017" s="7">
        <v>45932</v>
      </c>
      <c r="D4017" s="7">
        <v>46080</v>
      </c>
      <c r="E4017" s="8">
        <v>8</v>
      </c>
      <c r="F4017" s="6" t="str">
        <f t="shared" si="1026"/>
        <v>Pure light criança</v>
      </c>
      <c r="G4017" s="6" t="str">
        <f t="shared" si="1027"/>
        <v>R320384536000000</v>
      </c>
      <c r="H4017" s="6" t="str">
        <f t="shared" si="1028"/>
        <v>R 3845 - PL 1204 (m)</v>
      </c>
      <c r="I4017" s="6" t="str">
        <f t="shared" ref="I4017:I4023" si="1031">"203842"</f>
        <v>203842</v>
      </c>
      <c r="J4017" s="6" t="str">
        <f t="shared" ref="J4017:J4023" si="1032">"CINZA 3842"</f>
        <v>CINZA 3842</v>
      </c>
      <c r="K4017" s="6" t="str">
        <f>"5202"</f>
        <v>5202</v>
      </c>
      <c r="L4017" s="6" t="str">
        <f t="shared" si="1024"/>
        <v>Roupões Criança</v>
      </c>
      <c r="M4017" s="6" t="str">
        <f>"2 Anos"</f>
        <v>2 Anos</v>
      </c>
      <c r="N4017" s="6" t="str">
        <f>"5602972523188"</f>
        <v>5602972523188</v>
      </c>
      <c r="O4017" s="8">
        <v>36</v>
      </c>
      <c r="P4017" s="7">
        <v>46010</v>
      </c>
      <c r="R4017" s="8">
        <v>674</v>
      </c>
      <c r="S4017" s="7">
        <v>46020</v>
      </c>
      <c r="U4017" s="8">
        <v>674</v>
      </c>
      <c r="V4017" s="7">
        <v>46030</v>
      </c>
      <c r="X4017" s="8">
        <v>674</v>
      </c>
      <c r="Z4017" s="8">
        <v>0</v>
      </c>
      <c r="AA4017" s="7">
        <v>46044</v>
      </c>
      <c r="AC4017" s="8">
        <v>0</v>
      </c>
      <c r="AE4017" s="7">
        <v>46049</v>
      </c>
      <c r="AF4017" s="8">
        <v>0</v>
      </c>
      <c r="AH4017" s="7">
        <v>46045</v>
      </c>
      <c r="AN4017" s="8">
        <v>0</v>
      </c>
      <c r="AO4017" s="8">
        <v>36</v>
      </c>
    </row>
    <row r="4018" spans="1:41" x14ac:dyDescent="0.25">
      <c r="A4018" s="6" t="str">
        <f t="shared" si="1025"/>
        <v>525-2025000487</v>
      </c>
      <c r="B4018" s="6" t="str">
        <f t="shared" si="1008"/>
        <v>Lasa Int</v>
      </c>
      <c r="C4018" s="7">
        <v>45932</v>
      </c>
      <c r="D4018" s="7">
        <v>46080</v>
      </c>
      <c r="E4018" s="8">
        <v>9</v>
      </c>
      <c r="F4018" s="6" t="str">
        <f t="shared" si="1026"/>
        <v>Pure light criança</v>
      </c>
      <c r="G4018" s="6" t="str">
        <f t="shared" si="1027"/>
        <v>R320384536000000</v>
      </c>
      <c r="H4018" s="6" t="str">
        <f t="shared" si="1028"/>
        <v>R 3845 - PL 1204 (m)</v>
      </c>
      <c r="I4018" s="6" t="str">
        <f t="shared" si="1031"/>
        <v>203842</v>
      </c>
      <c r="J4018" s="6" t="str">
        <f t="shared" si="1032"/>
        <v>CINZA 3842</v>
      </c>
      <c r="K4018" s="6" t="str">
        <f>"5204"</f>
        <v>5204</v>
      </c>
      <c r="L4018" s="6" t="str">
        <f t="shared" si="1024"/>
        <v>Roupões Criança</v>
      </c>
      <c r="M4018" s="6" t="str">
        <f>"4 Anos"</f>
        <v>4 Anos</v>
      </c>
      <c r="N4018" s="6" t="str">
        <f>"5602972523195"</f>
        <v>5602972523195</v>
      </c>
      <c r="O4018" s="8">
        <v>60</v>
      </c>
      <c r="P4018" s="7">
        <v>46010</v>
      </c>
      <c r="R4018" s="8">
        <v>0</v>
      </c>
      <c r="S4018" s="7">
        <v>46020</v>
      </c>
      <c r="U4018" s="8">
        <v>0</v>
      </c>
      <c r="V4018" s="7">
        <v>46030</v>
      </c>
      <c r="X4018" s="8">
        <v>0</v>
      </c>
      <c r="Z4018" s="8">
        <v>0</v>
      </c>
      <c r="AA4018" s="7">
        <v>46044</v>
      </c>
      <c r="AC4018" s="8">
        <v>0</v>
      </c>
      <c r="AE4018" s="7">
        <v>46049</v>
      </c>
      <c r="AF4018" s="8">
        <v>0</v>
      </c>
      <c r="AH4018" s="7">
        <v>46045</v>
      </c>
      <c r="AN4018" s="8">
        <v>0</v>
      </c>
      <c r="AO4018" s="8">
        <v>60</v>
      </c>
    </row>
    <row r="4019" spans="1:41" x14ac:dyDescent="0.25">
      <c r="A4019" s="6" t="str">
        <f t="shared" si="1025"/>
        <v>525-2025000487</v>
      </c>
      <c r="B4019" s="6" t="str">
        <f t="shared" si="1008"/>
        <v>Lasa Int</v>
      </c>
      <c r="C4019" s="7">
        <v>45932</v>
      </c>
      <c r="D4019" s="7">
        <v>46080</v>
      </c>
      <c r="E4019" s="8">
        <v>10</v>
      </c>
      <c r="F4019" s="6" t="str">
        <f t="shared" si="1026"/>
        <v>Pure light criança</v>
      </c>
      <c r="G4019" s="6" t="str">
        <f t="shared" si="1027"/>
        <v>R320384536000000</v>
      </c>
      <c r="H4019" s="6" t="str">
        <f t="shared" si="1028"/>
        <v>R 3845 - PL 1204 (m)</v>
      </c>
      <c r="I4019" s="6" t="str">
        <f t="shared" si="1031"/>
        <v>203842</v>
      </c>
      <c r="J4019" s="6" t="str">
        <f t="shared" si="1032"/>
        <v>CINZA 3842</v>
      </c>
      <c r="K4019" s="6" t="str">
        <f>"5206"</f>
        <v>5206</v>
      </c>
      <c r="L4019" s="6" t="str">
        <f t="shared" si="1024"/>
        <v>Roupões Criança</v>
      </c>
      <c r="M4019" s="6" t="str">
        <f>"6 Anos"</f>
        <v>6 Anos</v>
      </c>
      <c r="N4019" s="6" t="str">
        <f>"5602972523201"</f>
        <v>5602972523201</v>
      </c>
      <c r="O4019" s="8">
        <v>72</v>
      </c>
      <c r="P4019" s="7">
        <v>46010</v>
      </c>
      <c r="R4019" s="8">
        <v>0</v>
      </c>
      <c r="S4019" s="7">
        <v>46020</v>
      </c>
      <c r="U4019" s="8">
        <v>0</v>
      </c>
      <c r="V4019" s="7">
        <v>46030</v>
      </c>
      <c r="X4019" s="8">
        <v>0</v>
      </c>
      <c r="Z4019" s="8">
        <v>0</v>
      </c>
      <c r="AA4019" s="7">
        <v>46044</v>
      </c>
      <c r="AC4019" s="8">
        <v>0</v>
      </c>
      <c r="AE4019" s="7">
        <v>46049</v>
      </c>
      <c r="AF4019" s="8">
        <v>0</v>
      </c>
      <c r="AH4019" s="7">
        <v>46045</v>
      </c>
      <c r="AN4019" s="8">
        <v>0</v>
      </c>
      <c r="AO4019" s="8">
        <v>72</v>
      </c>
    </row>
    <row r="4020" spans="1:41" x14ac:dyDescent="0.25">
      <c r="A4020" s="6" t="str">
        <f t="shared" si="1025"/>
        <v>525-2025000487</v>
      </c>
      <c r="B4020" s="6" t="str">
        <f t="shared" si="1008"/>
        <v>Lasa Int</v>
      </c>
      <c r="C4020" s="7">
        <v>45932</v>
      </c>
      <c r="D4020" s="7">
        <v>46080</v>
      </c>
      <c r="E4020" s="8">
        <v>11</v>
      </c>
      <c r="F4020" s="6" t="str">
        <f t="shared" si="1026"/>
        <v>Pure light criança</v>
      </c>
      <c r="G4020" s="6" t="str">
        <f t="shared" si="1027"/>
        <v>R320384536000000</v>
      </c>
      <c r="H4020" s="6" t="str">
        <f t="shared" si="1028"/>
        <v>R 3845 - PL 1204 (m)</v>
      </c>
      <c r="I4020" s="6" t="str">
        <f t="shared" si="1031"/>
        <v>203842</v>
      </c>
      <c r="J4020" s="6" t="str">
        <f t="shared" si="1032"/>
        <v>CINZA 3842</v>
      </c>
      <c r="K4020" s="6" t="str">
        <f>"5208"</f>
        <v>5208</v>
      </c>
      <c r="L4020" s="6" t="str">
        <f t="shared" si="1024"/>
        <v>Roupões Criança</v>
      </c>
      <c r="M4020" s="6" t="str">
        <f>"8 Anos"</f>
        <v>8 Anos</v>
      </c>
      <c r="N4020" s="6" t="str">
        <f>"5602972523218"</f>
        <v>5602972523218</v>
      </c>
      <c r="O4020" s="8">
        <v>84</v>
      </c>
      <c r="P4020" s="7">
        <v>46010</v>
      </c>
      <c r="R4020" s="8">
        <v>0</v>
      </c>
      <c r="S4020" s="7">
        <v>46020</v>
      </c>
      <c r="U4020" s="8">
        <v>0</v>
      </c>
      <c r="V4020" s="7">
        <v>46030</v>
      </c>
      <c r="X4020" s="8">
        <v>0</v>
      </c>
      <c r="Z4020" s="8">
        <v>0</v>
      </c>
      <c r="AA4020" s="7">
        <v>46044</v>
      </c>
      <c r="AC4020" s="8">
        <v>0</v>
      </c>
      <c r="AE4020" s="7">
        <v>46049</v>
      </c>
      <c r="AF4020" s="8">
        <v>0</v>
      </c>
      <c r="AH4020" s="7">
        <v>46045</v>
      </c>
      <c r="AN4020" s="8">
        <v>0</v>
      </c>
      <c r="AO4020" s="8">
        <v>84</v>
      </c>
    </row>
    <row r="4021" spans="1:41" x14ac:dyDescent="0.25">
      <c r="A4021" s="6" t="str">
        <f t="shared" si="1025"/>
        <v>525-2025000487</v>
      </c>
      <c r="B4021" s="6" t="str">
        <f t="shared" si="1008"/>
        <v>Lasa Int</v>
      </c>
      <c r="C4021" s="7">
        <v>45932</v>
      </c>
      <c r="D4021" s="7">
        <v>46080</v>
      </c>
      <c r="E4021" s="8">
        <v>12</v>
      </c>
      <c r="F4021" s="6" t="str">
        <f t="shared" si="1026"/>
        <v>Pure light criança</v>
      </c>
      <c r="G4021" s="6" t="str">
        <f t="shared" si="1027"/>
        <v>R320384536000000</v>
      </c>
      <c r="H4021" s="6" t="str">
        <f t="shared" si="1028"/>
        <v>R 3845 - PL 1204 (m)</v>
      </c>
      <c r="I4021" s="6" t="str">
        <f t="shared" si="1031"/>
        <v>203842</v>
      </c>
      <c r="J4021" s="6" t="str">
        <f t="shared" si="1032"/>
        <v>CINZA 3842</v>
      </c>
      <c r="K4021" s="6" t="str">
        <f>"5210"</f>
        <v>5210</v>
      </c>
      <c r="L4021" s="6" t="str">
        <f t="shared" si="1024"/>
        <v>Roupões Criança</v>
      </c>
      <c r="M4021" s="6" t="str">
        <f>"10 Anos"</f>
        <v>10 Anos</v>
      </c>
      <c r="N4021" s="6" t="str">
        <f>"5602972523225"</f>
        <v>5602972523225</v>
      </c>
      <c r="O4021" s="8">
        <v>84</v>
      </c>
      <c r="P4021" s="7">
        <v>46010</v>
      </c>
      <c r="R4021" s="8">
        <v>0</v>
      </c>
      <c r="S4021" s="7">
        <v>46020</v>
      </c>
      <c r="U4021" s="8">
        <v>0</v>
      </c>
      <c r="V4021" s="7">
        <v>46030</v>
      </c>
      <c r="X4021" s="8">
        <v>0</v>
      </c>
      <c r="Z4021" s="8">
        <v>0</v>
      </c>
      <c r="AA4021" s="7">
        <v>46044</v>
      </c>
      <c r="AC4021" s="8">
        <v>0</v>
      </c>
      <c r="AE4021" s="7">
        <v>46049</v>
      </c>
      <c r="AF4021" s="8">
        <v>0</v>
      </c>
      <c r="AH4021" s="7">
        <v>46045</v>
      </c>
      <c r="AN4021" s="8">
        <v>0</v>
      </c>
      <c r="AO4021" s="8">
        <v>84</v>
      </c>
    </row>
    <row r="4022" spans="1:41" x14ac:dyDescent="0.25">
      <c r="A4022" s="6" t="str">
        <f t="shared" si="1025"/>
        <v>525-2025000487</v>
      </c>
      <c r="B4022" s="6" t="str">
        <f t="shared" si="1008"/>
        <v>Lasa Int</v>
      </c>
      <c r="C4022" s="7">
        <v>45932</v>
      </c>
      <c r="D4022" s="7">
        <v>46080</v>
      </c>
      <c r="E4022" s="8">
        <v>13</v>
      </c>
      <c r="F4022" s="6" t="str">
        <f t="shared" si="1026"/>
        <v>Pure light criança</v>
      </c>
      <c r="G4022" s="6" t="str">
        <f t="shared" si="1027"/>
        <v>R320384536000000</v>
      </c>
      <c r="H4022" s="6" t="str">
        <f t="shared" si="1028"/>
        <v>R 3845 - PL 1204 (m)</v>
      </c>
      <c r="I4022" s="6" t="str">
        <f t="shared" si="1031"/>
        <v>203842</v>
      </c>
      <c r="J4022" s="6" t="str">
        <f t="shared" si="1032"/>
        <v>CINZA 3842</v>
      </c>
      <c r="K4022" s="6" t="str">
        <f>"5212"</f>
        <v>5212</v>
      </c>
      <c r="L4022" s="6" t="str">
        <f t="shared" si="1024"/>
        <v>Roupões Criança</v>
      </c>
      <c r="M4022" s="6" t="str">
        <f>"12 Anos"</f>
        <v>12 Anos</v>
      </c>
      <c r="N4022" s="6" t="str">
        <f>"5602972523232"</f>
        <v>5602972523232</v>
      </c>
      <c r="O4022" s="8">
        <v>84</v>
      </c>
      <c r="P4022" s="7">
        <v>46010</v>
      </c>
      <c r="R4022" s="8">
        <v>0</v>
      </c>
      <c r="S4022" s="7">
        <v>46020</v>
      </c>
      <c r="U4022" s="8">
        <v>0</v>
      </c>
      <c r="V4022" s="7">
        <v>46030</v>
      </c>
      <c r="X4022" s="8">
        <v>0</v>
      </c>
      <c r="Z4022" s="8">
        <v>0</v>
      </c>
      <c r="AA4022" s="7">
        <v>46044</v>
      </c>
      <c r="AC4022" s="8">
        <v>0</v>
      </c>
      <c r="AE4022" s="7">
        <v>46049</v>
      </c>
      <c r="AF4022" s="8">
        <v>0</v>
      </c>
      <c r="AH4022" s="7">
        <v>46045</v>
      </c>
      <c r="AN4022" s="8">
        <v>0</v>
      </c>
      <c r="AO4022" s="8">
        <v>84</v>
      </c>
    </row>
    <row r="4023" spans="1:41" x14ac:dyDescent="0.25">
      <c r="A4023" s="6" t="str">
        <f t="shared" si="1025"/>
        <v>525-2025000487</v>
      </c>
      <c r="B4023" s="6" t="str">
        <f t="shared" si="1008"/>
        <v>Lasa Int</v>
      </c>
      <c r="C4023" s="7">
        <v>45932</v>
      </c>
      <c r="D4023" s="7">
        <v>46080</v>
      </c>
      <c r="E4023" s="8">
        <v>14</v>
      </c>
      <c r="F4023" s="6" t="str">
        <f t="shared" si="1026"/>
        <v>Pure light criança</v>
      </c>
      <c r="G4023" s="6" t="str">
        <f t="shared" si="1027"/>
        <v>R320384536000000</v>
      </c>
      <c r="H4023" s="6" t="str">
        <f t="shared" si="1028"/>
        <v>R 3845 - PL 1204 (m)</v>
      </c>
      <c r="I4023" s="6" t="str">
        <f t="shared" si="1031"/>
        <v>203842</v>
      </c>
      <c r="J4023" s="6" t="str">
        <f t="shared" si="1032"/>
        <v>CINZA 3842</v>
      </c>
      <c r="K4023" s="6" t="str">
        <f>"5214"</f>
        <v>5214</v>
      </c>
      <c r="L4023" s="6" t="str">
        <f t="shared" si="1024"/>
        <v>Roupões Criança</v>
      </c>
      <c r="M4023" s="6" t="str">
        <f>"14 Anos"</f>
        <v>14 Anos</v>
      </c>
      <c r="N4023" s="6" t="str">
        <f>"5602972523249"</f>
        <v>5602972523249</v>
      </c>
      <c r="O4023" s="8">
        <v>84</v>
      </c>
      <c r="P4023" s="7">
        <v>46010</v>
      </c>
      <c r="R4023" s="8">
        <v>0</v>
      </c>
      <c r="S4023" s="7">
        <v>46020</v>
      </c>
      <c r="U4023" s="8">
        <v>0</v>
      </c>
      <c r="V4023" s="7">
        <v>46030</v>
      </c>
      <c r="X4023" s="8">
        <v>0</v>
      </c>
      <c r="Z4023" s="8">
        <v>0</v>
      </c>
      <c r="AA4023" s="7">
        <v>46044</v>
      </c>
      <c r="AC4023" s="8">
        <v>0</v>
      </c>
      <c r="AE4023" s="7">
        <v>46049</v>
      </c>
      <c r="AF4023" s="8">
        <v>0</v>
      </c>
      <c r="AH4023" s="7">
        <v>46045</v>
      </c>
      <c r="AN4023" s="8">
        <v>0</v>
      </c>
      <c r="AO4023" s="8">
        <v>84</v>
      </c>
    </row>
    <row r="4024" spans="1:41" x14ac:dyDescent="0.25">
      <c r="A4024" s="6" t="str">
        <f t="shared" si="1025"/>
        <v>525-2025000487</v>
      </c>
      <c r="B4024" s="6" t="str">
        <f t="shared" si="1008"/>
        <v>Lasa Int</v>
      </c>
      <c r="C4024" s="7">
        <v>45932</v>
      </c>
      <c r="D4024" s="7">
        <v>46080</v>
      </c>
      <c r="E4024" s="8">
        <v>15</v>
      </c>
      <c r="F4024" s="6" t="str">
        <f t="shared" si="1026"/>
        <v>Pure light criança</v>
      </c>
      <c r="G4024" s="6" t="str">
        <f t="shared" si="1027"/>
        <v>R320384536000000</v>
      </c>
      <c r="H4024" s="6" t="str">
        <f t="shared" si="1028"/>
        <v>R 3845 - PL 1204 (m)</v>
      </c>
      <c r="I4024" s="6" t="str">
        <f t="shared" ref="I4024:I4030" si="1033">"203859"</f>
        <v>203859</v>
      </c>
      <c r="J4024" s="6" t="str">
        <f t="shared" ref="J4024:J4030" si="1034">"ROSA 3859"</f>
        <v>ROSA 3859</v>
      </c>
      <c r="K4024" s="6" t="str">
        <f>"5202"</f>
        <v>5202</v>
      </c>
      <c r="L4024" s="6" t="str">
        <f t="shared" si="1024"/>
        <v>Roupões Criança</v>
      </c>
      <c r="M4024" s="6" t="str">
        <f>"2 Anos"</f>
        <v>2 Anos</v>
      </c>
      <c r="N4024" s="6" t="str">
        <f>"5602972523256"</f>
        <v>5602972523256</v>
      </c>
      <c r="O4024" s="8">
        <v>36</v>
      </c>
      <c r="P4024" s="7">
        <v>46010</v>
      </c>
      <c r="R4024" s="8">
        <v>686</v>
      </c>
      <c r="S4024" s="7">
        <v>46020</v>
      </c>
      <c r="U4024" s="8">
        <v>686</v>
      </c>
      <c r="V4024" s="7">
        <v>46030</v>
      </c>
      <c r="X4024" s="8">
        <v>686</v>
      </c>
      <c r="Z4024" s="8">
        <v>0</v>
      </c>
      <c r="AA4024" s="7">
        <v>46044</v>
      </c>
      <c r="AC4024" s="8">
        <v>0</v>
      </c>
      <c r="AE4024" s="7">
        <v>46049</v>
      </c>
      <c r="AF4024" s="8">
        <v>0</v>
      </c>
      <c r="AH4024" s="7">
        <v>46045</v>
      </c>
      <c r="AN4024" s="8">
        <v>0</v>
      </c>
      <c r="AO4024" s="8">
        <v>36</v>
      </c>
    </row>
    <row r="4025" spans="1:41" x14ac:dyDescent="0.25">
      <c r="A4025" s="6" t="str">
        <f t="shared" si="1025"/>
        <v>525-2025000487</v>
      </c>
      <c r="B4025" s="6" t="str">
        <f t="shared" si="1008"/>
        <v>Lasa Int</v>
      </c>
      <c r="C4025" s="7">
        <v>45932</v>
      </c>
      <c r="D4025" s="7">
        <v>46080</v>
      </c>
      <c r="E4025" s="8">
        <v>16</v>
      </c>
      <c r="F4025" s="6" t="str">
        <f t="shared" si="1026"/>
        <v>Pure light criança</v>
      </c>
      <c r="G4025" s="6" t="str">
        <f t="shared" si="1027"/>
        <v>R320384536000000</v>
      </c>
      <c r="H4025" s="6" t="str">
        <f t="shared" si="1028"/>
        <v>R 3845 - PL 1204 (m)</v>
      </c>
      <c r="I4025" s="6" t="str">
        <f t="shared" si="1033"/>
        <v>203859</v>
      </c>
      <c r="J4025" s="6" t="str">
        <f t="shared" si="1034"/>
        <v>ROSA 3859</v>
      </c>
      <c r="K4025" s="6" t="str">
        <f>"5204"</f>
        <v>5204</v>
      </c>
      <c r="L4025" s="6" t="str">
        <f t="shared" si="1024"/>
        <v>Roupões Criança</v>
      </c>
      <c r="M4025" s="6" t="str">
        <f>"4 Anos"</f>
        <v>4 Anos</v>
      </c>
      <c r="N4025" s="6" t="str">
        <f>"5602972523263"</f>
        <v>5602972523263</v>
      </c>
      <c r="O4025" s="8">
        <v>60</v>
      </c>
      <c r="P4025" s="7">
        <v>46010</v>
      </c>
      <c r="R4025" s="8">
        <v>0</v>
      </c>
      <c r="S4025" s="7">
        <v>46020</v>
      </c>
      <c r="U4025" s="8">
        <v>0</v>
      </c>
      <c r="V4025" s="7">
        <v>46030</v>
      </c>
      <c r="X4025" s="8">
        <v>0</v>
      </c>
      <c r="Z4025" s="8">
        <v>0</v>
      </c>
      <c r="AA4025" s="7">
        <v>46044</v>
      </c>
      <c r="AC4025" s="8">
        <v>0</v>
      </c>
      <c r="AE4025" s="7">
        <v>46049</v>
      </c>
      <c r="AF4025" s="8">
        <v>0</v>
      </c>
      <c r="AH4025" s="7">
        <v>46045</v>
      </c>
      <c r="AN4025" s="8">
        <v>0</v>
      </c>
      <c r="AO4025" s="8">
        <v>60</v>
      </c>
    </row>
    <row r="4026" spans="1:41" x14ac:dyDescent="0.25">
      <c r="A4026" s="6" t="str">
        <f t="shared" si="1025"/>
        <v>525-2025000487</v>
      </c>
      <c r="B4026" s="6" t="str">
        <f t="shared" si="1008"/>
        <v>Lasa Int</v>
      </c>
      <c r="C4026" s="7">
        <v>45932</v>
      </c>
      <c r="D4026" s="7">
        <v>46080</v>
      </c>
      <c r="E4026" s="8">
        <v>17</v>
      </c>
      <c r="F4026" s="6" t="str">
        <f t="shared" si="1026"/>
        <v>Pure light criança</v>
      </c>
      <c r="G4026" s="6" t="str">
        <f t="shared" si="1027"/>
        <v>R320384536000000</v>
      </c>
      <c r="H4026" s="6" t="str">
        <f t="shared" si="1028"/>
        <v>R 3845 - PL 1204 (m)</v>
      </c>
      <c r="I4026" s="6" t="str">
        <f t="shared" si="1033"/>
        <v>203859</v>
      </c>
      <c r="J4026" s="6" t="str">
        <f t="shared" si="1034"/>
        <v>ROSA 3859</v>
      </c>
      <c r="K4026" s="6" t="str">
        <f>"5206"</f>
        <v>5206</v>
      </c>
      <c r="L4026" s="6" t="str">
        <f t="shared" si="1024"/>
        <v>Roupões Criança</v>
      </c>
      <c r="M4026" s="6" t="str">
        <f>"6 Anos"</f>
        <v>6 Anos</v>
      </c>
      <c r="N4026" s="6" t="str">
        <f>"5602972523270"</f>
        <v>5602972523270</v>
      </c>
      <c r="O4026" s="8">
        <v>72</v>
      </c>
      <c r="P4026" s="7">
        <v>46010</v>
      </c>
      <c r="R4026" s="8">
        <v>0</v>
      </c>
      <c r="S4026" s="7">
        <v>46020</v>
      </c>
      <c r="U4026" s="8">
        <v>0</v>
      </c>
      <c r="V4026" s="7">
        <v>46030</v>
      </c>
      <c r="X4026" s="8">
        <v>0</v>
      </c>
      <c r="Z4026" s="8">
        <v>0</v>
      </c>
      <c r="AA4026" s="7">
        <v>46044</v>
      </c>
      <c r="AC4026" s="8">
        <v>0</v>
      </c>
      <c r="AE4026" s="7">
        <v>46049</v>
      </c>
      <c r="AF4026" s="8">
        <v>0</v>
      </c>
      <c r="AH4026" s="7">
        <v>46045</v>
      </c>
      <c r="AN4026" s="8">
        <v>0</v>
      </c>
      <c r="AO4026" s="8">
        <v>72</v>
      </c>
    </row>
    <row r="4027" spans="1:41" x14ac:dyDescent="0.25">
      <c r="A4027" s="6" t="str">
        <f t="shared" si="1025"/>
        <v>525-2025000487</v>
      </c>
      <c r="B4027" s="6" t="str">
        <f t="shared" si="1008"/>
        <v>Lasa Int</v>
      </c>
      <c r="C4027" s="7">
        <v>45932</v>
      </c>
      <c r="D4027" s="7">
        <v>46080</v>
      </c>
      <c r="E4027" s="8">
        <v>18</v>
      </c>
      <c r="F4027" s="6" t="str">
        <f t="shared" si="1026"/>
        <v>Pure light criança</v>
      </c>
      <c r="G4027" s="6" t="str">
        <f t="shared" si="1027"/>
        <v>R320384536000000</v>
      </c>
      <c r="H4027" s="6" t="str">
        <f t="shared" si="1028"/>
        <v>R 3845 - PL 1204 (m)</v>
      </c>
      <c r="I4027" s="6" t="str">
        <f t="shared" si="1033"/>
        <v>203859</v>
      </c>
      <c r="J4027" s="6" t="str">
        <f t="shared" si="1034"/>
        <v>ROSA 3859</v>
      </c>
      <c r="K4027" s="6" t="str">
        <f>"5208"</f>
        <v>5208</v>
      </c>
      <c r="L4027" s="6" t="str">
        <f t="shared" si="1024"/>
        <v>Roupões Criança</v>
      </c>
      <c r="M4027" s="6" t="str">
        <f>"8 Anos"</f>
        <v>8 Anos</v>
      </c>
      <c r="N4027" s="6" t="str">
        <f>"5602972523287"</f>
        <v>5602972523287</v>
      </c>
      <c r="O4027" s="8">
        <v>84</v>
      </c>
      <c r="P4027" s="7">
        <v>46010</v>
      </c>
      <c r="R4027" s="8">
        <v>0</v>
      </c>
      <c r="S4027" s="7">
        <v>46020</v>
      </c>
      <c r="U4027" s="8">
        <v>0</v>
      </c>
      <c r="V4027" s="7">
        <v>46030</v>
      </c>
      <c r="X4027" s="8">
        <v>0</v>
      </c>
      <c r="Z4027" s="8">
        <v>0</v>
      </c>
      <c r="AA4027" s="7">
        <v>46044</v>
      </c>
      <c r="AC4027" s="8">
        <v>0</v>
      </c>
      <c r="AE4027" s="7">
        <v>46049</v>
      </c>
      <c r="AF4027" s="8">
        <v>0</v>
      </c>
      <c r="AH4027" s="7">
        <v>46045</v>
      </c>
      <c r="AN4027" s="8">
        <v>0</v>
      </c>
      <c r="AO4027" s="8">
        <v>84</v>
      </c>
    </row>
    <row r="4028" spans="1:41" x14ac:dyDescent="0.25">
      <c r="A4028" s="6" t="str">
        <f t="shared" si="1025"/>
        <v>525-2025000487</v>
      </c>
      <c r="B4028" s="6" t="str">
        <f t="shared" si="1008"/>
        <v>Lasa Int</v>
      </c>
      <c r="C4028" s="7">
        <v>45932</v>
      </c>
      <c r="D4028" s="7">
        <v>46080</v>
      </c>
      <c r="E4028" s="8">
        <v>19</v>
      </c>
      <c r="F4028" s="6" t="str">
        <f t="shared" si="1026"/>
        <v>Pure light criança</v>
      </c>
      <c r="G4028" s="6" t="str">
        <f t="shared" si="1027"/>
        <v>R320384536000000</v>
      </c>
      <c r="H4028" s="6" t="str">
        <f t="shared" si="1028"/>
        <v>R 3845 - PL 1204 (m)</v>
      </c>
      <c r="I4028" s="6" t="str">
        <f t="shared" si="1033"/>
        <v>203859</v>
      </c>
      <c r="J4028" s="6" t="str">
        <f t="shared" si="1034"/>
        <v>ROSA 3859</v>
      </c>
      <c r="K4028" s="6" t="str">
        <f>"5210"</f>
        <v>5210</v>
      </c>
      <c r="L4028" s="6" t="str">
        <f t="shared" si="1024"/>
        <v>Roupões Criança</v>
      </c>
      <c r="M4028" s="6" t="str">
        <f>"10 Anos"</f>
        <v>10 Anos</v>
      </c>
      <c r="N4028" s="6" t="str">
        <f>"5602972523294"</f>
        <v>5602972523294</v>
      </c>
      <c r="O4028" s="8">
        <v>84</v>
      </c>
      <c r="P4028" s="7">
        <v>46010</v>
      </c>
      <c r="R4028" s="8">
        <v>0</v>
      </c>
      <c r="S4028" s="7">
        <v>46020</v>
      </c>
      <c r="U4028" s="8">
        <v>0</v>
      </c>
      <c r="V4028" s="7">
        <v>46030</v>
      </c>
      <c r="X4028" s="8">
        <v>0</v>
      </c>
      <c r="Z4028" s="8">
        <v>0</v>
      </c>
      <c r="AA4028" s="7">
        <v>46044</v>
      </c>
      <c r="AC4028" s="8">
        <v>0</v>
      </c>
      <c r="AE4028" s="7">
        <v>46049</v>
      </c>
      <c r="AF4028" s="8">
        <v>0</v>
      </c>
      <c r="AH4028" s="7">
        <v>46045</v>
      </c>
      <c r="AN4028" s="8">
        <v>0</v>
      </c>
      <c r="AO4028" s="8">
        <v>84</v>
      </c>
    </row>
    <row r="4029" spans="1:41" x14ac:dyDescent="0.25">
      <c r="A4029" s="6" t="str">
        <f t="shared" si="1025"/>
        <v>525-2025000487</v>
      </c>
      <c r="B4029" s="6" t="str">
        <f t="shared" si="1008"/>
        <v>Lasa Int</v>
      </c>
      <c r="C4029" s="7">
        <v>45932</v>
      </c>
      <c r="D4029" s="7">
        <v>46080</v>
      </c>
      <c r="E4029" s="8">
        <v>20</v>
      </c>
      <c r="F4029" s="6" t="str">
        <f t="shared" si="1026"/>
        <v>Pure light criança</v>
      </c>
      <c r="G4029" s="6" t="str">
        <f t="shared" si="1027"/>
        <v>R320384536000000</v>
      </c>
      <c r="H4029" s="6" t="str">
        <f t="shared" si="1028"/>
        <v>R 3845 - PL 1204 (m)</v>
      </c>
      <c r="I4029" s="6" t="str">
        <f t="shared" si="1033"/>
        <v>203859</v>
      </c>
      <c r="J4029" s="6" t="str">
        <f t="shared" si="1034"/>
        <v>ROSA 3859</v>
      </c>
      <c r="K4029" s="6" t="str">
        <f>"5212"</f>
        <v>5212</v>
      </c>
      <c r="L4029" s="6" t="str">
        <f t="shared" si="1024"/>
        <v>Roupões Criança</v>
      </c>
      <c r="M4029" s="6" t="str">
        <f>"12 Anos"</f>
        <v>12 Anos</v>
      </c>
      <c r="N4029" s="6" t="str">
        <f>"5602972523300"</f>
        <v>5602972523300</v>
      </c>
      <c r="O4029" s="8">
        <v>84</v>
      </c>
      <c r="P4029" s="7">
        <v>46010</v>
      </c>
      <c r="R4029" s="8">
        <v>0</v>
      </c>
      <c r="S4029" s="7">
        <v>46020</v>
      </c>
      <c r="U4029" s="8">
        <v>0</v>
      </c>
      <c r="V4029" s="7">
        <v>46030</v>
      </c>
      <c r="X4029" s="8">
        <v>0</v>
      </c>
      <c r="Z4029" s="8">
        <v>0</v>
      </c>
      <c r="AA4029" s="7">
        <v>46044</v>
      </c>
      <c r="AC4029" s="8">
        <v>0</v>
      </c>
      <c r="AE4029" s="7">
        <v>46049</v>
      </c>
      <c r="AF4029" s="8">
        <v>0</v>
      </c>
      <c r="AH4029" s="7">
        <v>46045</v>
      </c>
      <c r="AN4029" s="8">
        <v>0</v>
      </c>
      <c r="AO4029" s="8">
        <v>84</v>
      </c>
    </row>
    <row r="4030" spans="1:41" x14ac:dyDescent="0.25">
      <c r="A4030" s="6" t="str">
        <f t="shared" si="1025"/>
        <v>525-2025000487</v>
      </c>
      <c r="B4030" s="6" t="str">
        <f t="shared" si="1008"/>
        <v>Lasa Int</v>
      </c>
      <c r="C4030" s="7">
        <v>45932</v>
      </c>
      <c r="D4030" s="7">
        <v>46080</v>
      </c>
      <c r="E4030" s="8">
        <v>21</v>
      </c>
      <c r="F4030" s="6" t="str">
        <f t="shared" si="1026"/>
        <v>Pure light criança</v>
      </c>
      <c r="G4030" s="6" t="str">
        <f t="shared" si="1027"/>
        <v>R320384536000000</v>
      </c>
      <c r="H4030" s="6" t="str">
        <f t="shared" si="1028"/>
        <v>R 3845 - PL 1204 (m)</v>
      </c>
      <c r="I4030" s="6" t="str">
        <f t="shared" si="1033"/>
        <v>203859</v>
      </c>
      <c r="J4030" s="6" t="str">
        <f t="shared" si="1034"/>
        <v>ROSA 3859</v>
      </c>
      <c r="K4030" s="6" t="str">
        <f>"5214"</f>
        <v>5214</v>
      </c>
      <c r="L4030" s="6" t="str">
        <f t="shared" si="1024"/>
        <v>Roupões Criança</v>
      </c>
      <c r="M4030" s="6" t="str">
        <f>"14 Anos"</f>
        <v>14 Anos</v>
      </c>
      <c r="N4030" s="6" t="str">
        <f>"5602972523317"</f>
        <v>5602972523317</v>
      </c>
      <c r="O4030" s="8">
        <v>84</v>
      </c>
      <c r="P4030" s="7">
        <v>46010</v>
      </c>
      <c r="R4030" s="8">
        <v>0</v>
      </c>
      <c r="S4030" s="7">
        <v>46020</v>
      </c>
      <c r="U4030" s="8">
        <v>0</v>
      </c>
      <c r="V4030" s="7">
        <v>46030</v>
      </c>
      <c r="X4030" s="8">
        <v>0</v>
      </c>
      <c r="Z4030" s="8">
        <v>0</v>
      </c>
      <c r="AA4030" s="7">
        <v>46044</v>
      </c>
      <c r="AC4030" s="8">
        <v>0</v>
      </c>
      <c r="AE4030" s="7">
        <v>46049</v>
      </c>
      <c r="AF4030" s="8">
        <v>0</v>
      </c>
      <c r="AH4030" s="7">
        <v>46045</v>
      </c>
      <c r="AN4030" s="8">
        <v>0</v>
      </c>
      <c r="AO4030" s="8">
        <v>84</v>
      </c>
    </row>
    <row r="4031" spans="1:41" x14ac:dyDescent="0.25">
      <c r="A4031" s="6" t="str">
        <f t="shared" si="1025"/>
        <v>525-2025000487</v>
      </c>
      <c r="B4031" s="6" t="str">
        <f t="shared" si="1008"/>
        <v>Lasa Int</v>
      </c>
      <c r="C4031" s="7">
        <v>45932</v>
      </c>
      <c r="D4031" s="7">
        <v>46080</v>
      </c>
      <c r="E4031" s="8">
        <v>22</v>
      </c>
      <c r="F4031" s="6" t="str">
        <f t="shared" si="1026"/>
        <v>Pure light criança</v>
      </c>
      <c r="G4031" s="6" t="str">
        <f t="shared" si="1027"/>
        <v>R320384536000000</v>
      </c>
      <c r="H4031" s="6" t="str">
        <f t="shared" si="1028"/>
        <v>R 3845 - PL 1204 (m)</v>
      </c>
      <c r="I4031" s="6" t="str">
        <f t="shared" ref="I4031:I4037" si="1035">"203874"</f>
        <v>203874</v>
      </c>
      <c r="J4031" s="6" t="str">
        <f t="shared" ref="J4031:J4037" si="1036">"VERDE 3874"</f>
        <v>VERDE 3874</v>
      </c>
      <c r="K4031" s="6" t="str">
        <f>"5202"</f>
        <v>5202</v>
      </c>
      <c r="L4031" s="6" t="str">
        <f t="shared" si="1024"/>
        <v>Roupões Criança</v>
      </c>
      <c r="M4031" s="6" t="str">
        <f>"2 Anos"</f>
        <v>2 Anos</v>
      </c>
      <c r="N4031" s="6" t="str">
        <f>"5602972523324"</f>
        <v>5602972523324</v>
      </c>
      <c r="O4031" s="8">
        <v>36</v>
      </c>
      <c r="P4031" s="7">
        <v>46010</v>
      </c>
      <c r="R4031" s="8">
        <v>708</v>
      </c>
      <c r="S4031" s="7">
        <v>46020</v>
      </c>
      <c r="U4031" s="8">
        <v>708</v>
      </c>
      <c r="V4031" s="7">
        <v>46030</v>
      </c>
      <c r="X4031" s="8">
        <v>708</v>
      </c>
      <c r="Z4031" s="8">
        <v>0</v>
      </c>
      <c r="AA4031" s="7">
        <v>46044</v>
      </c>
      <c r="AC4031" s="8">
        <v>0</v>
      </c>
      <c r="AE4031" s="7">
        <v>46049</v>
      </c>
      <c r="AF4031" s="8">
        <v>0</v>
      </c>
      <c r="AH4031" s="7">
        <v>46045</v>
      </c>
      <c r="AN4031" s="8">
        <v>0</v>
      </c>
      <c r="AO4031" s="8">
        <v>36</v>
      </c>
    </row>
    <row r="4032" spans="1:41" x14ac:dyDescent="0.25">
      <c r="A4032" s="6" t="str">
        <f t="shared" si="1025"/>
        <v>525-2025000487</v>
      </c>
      <c r="B4032" s="6" t="str">
        <f t="shared" si="1008"/>
        <v>Lasa Int</v>
      </c>
      <c r="C4032" s="7">
        <v>45932</v>
      </c>
      <c r="D4032" s="7">
        <v>46080</v>
      </c>
      <c r="E4032" s="8">
        <v>23</v>
      </c>
      <c r="F4032" s="6" t="str">
        <f t="shared" si="1026"/>
        <v>Pure light criança</v>
      </c>
      <c r="G4032" s="6" t="str">
        <f t="shared" si="1027"/>
        <v>R320384536000000</v>
      </c>
      <c r="H4032" s="6" t="str">
        <f t="shared" si="1028"/>
        <v>R 3845 - PL 1204 (m)</v>
      </c>
      <c r="I4032" s="6" t="str">
        <f t="shared" si="1035"/>
        <v>203874</v>
      </c>
      <c r="J4032" s="6" t="str">
        <f t="shared" si="1036"/>
        <v>VERDE 3874</v>
      </c>
      <c r="K4032" s="6" t="str">
        <f>"5204"</f>
        <v>5204</v>
      </c>
      <c r="L4032" s="6" t="str">
        <f t="shared" si="1024"/>
        <v>Roupões Criança</v>
      </c>
      <c r="M4032" s="6" t="str">
        <f>"4 Anos"</f>
        <v>4 Anos</v>
      </c>
      <c r="N4032" s="6" t="str">
        <f>"5602972523331"</f>
        <v>5602972523331</v>
      </c>
      <c r="O4032" s="8">
        <v>60</v>
      </c>
      <c r="P4032" s="7">
        <v>46010</v>
      </c>
      <c r="R4032" s="8">
        <v>0</v>
      </c>
      <c r="S4032" s="7">
        <v>46020</v>
      </c>
      <c r="U4032" s="8">
        <v>0</v>
      </c>
      <c r="V4032" s="7">
        <v>46030</v>
      </c>
      <c r="X4032" s="8">
        <v>0</v>
      </c>
      <c r="Z4032" s="8">
        <v>0</v>
      </c>
      <c r="AA4032" s="7">
        <v>46044</v>
      </c>
      <c r="AC4032" s="8">
        <v>0</v>
      </c>
      <c r="AE4032" s="7">
        <v>46049</v>
      </c>
      <c r="AF4032" s="8">
        <v>0</v>
      </c>
      <c r="AH4032" s="7">
        <v>46045</v>
      </c>
      <c r="AN4032" s="8">
        <v>0</v>
      </c>
      <c r="AO4032" s="8">
        <v>60</v>
      </c>
    </row>
    <row r="4033" spans="1:41" x14ac:dyDescent="0.25">
      <c r="A4033" s="6" t="str">
        <f t="shared" si="1025"/>
        <v>525-2025000487</v>
      </c>
      <c r="B4033" s="6" t="str">
        <f t="shared" si="1008"/>
        <v>Lasa Int</v>
      </c>
      <c r="C4033" s="7">
        <v>45932</v>
      </c>
      <c r="D4033" s="7">
        <v>46080</v>
      </c>
      <c r="E4033" s="8">
        <v>24</v>
      </c>
      <c r="F4033" s="6" t="str">
        <f t="shared" si="1026"/>
        <v>Pure light criança</v>
      </c>
      <c r="G4033" s="6" t="str">
        <f t="shared" si="1027"/>
        <v>R320384536000000</v>
      </c>
      <c r="H4033" s="6" t="str">
        <f t="shared" si="1028"/>
        <v>R 3845 - PL 1204 (m)</v>
      </c>
      <c r="I4033" s="6" t="str">
        <f t="shared" si="1035"/>
        <v>203874</v>
      </c>
      <c r="J4033" s="6" t="str">
        <f t="shared" si="1036"/>
        <v>VERDE 3874</v>
      </c>
      <c r="K4033" s="6" t="str">
        <f>"5206"</f>
        <v>5206</v>
      </c>
      <c r="L4033" s="6" t="str">
        <f t="shared" si="1024"/>
        <v>Roupões Criança</v>
      </c>
      <c r="M4033" s="6" t="str">
        <f>"6 Anos"</f>
        <v>6 Anos</v>
      </c>
      <c r="N4033" s="6" t="str">
        <f>"5602972523348"</f>
        <v>5602972523348</v>
      </c>
      <c r="O4033" s="8">
        <v>72</v>
      </c>
      <c r="P4033" s="7">
        <v>46010</v>
      </c>
      <c r="R4033" s="8">
        <v>0</v>
      </c>
      <c r="S4033" s="7">
        <v>46020</v>
      </c>
      <c r="U4033" s="8">
        <v>0</v>
      </c>
      <c r="V4033" s="7">
        <v>46030</v>
      </c>
      <c r="X4033" s="8">
        <v>0</v>
      </c>
      <c r="Z4033" s="8">
        <v>0</v>
      </c>
      <c r="AA4033" s="7">
        <v>46044</v>
      </c>
      <c r="AC4033" s="8">
        <v>0</v>
      </c>
      <c r="AE4033" s="7">
        <v>46049</v>
      </c>
      <c r="AF4033" s="8">
        <v>0</v>
      </c>
      <c r="AH4033" s="7">
        <v>46045</v>
      </c>
      <c r="AN4033" s="8">
        <v>0</v>
      </c>
      <c r="AO4033" s="8">
        <v>72</v>
      </c>
    </row>
    <row r="4034" spans="1:41" x14ac:dyDescent="0.25">
      <c r="A4034" s="6" t="str">
        <f t="shared" si="1025"/>
        <v>525-2025000487</v>
      </c>
      <c r="B4034" s="6" t="str">
        <f t="shared" ref="B4034:B4097" si="1037">"Lasa Int"</f>
        <v>Lasa Int</v>
      </c>
      <c r="C4034" s="7">
        <v>45932</v>
      </c>
      <c r="D4034" s="7">
        <v>46080</v>
      </c>
      <c r="E4034" s="8">
        <v>25</v>
      </c>
      <c r="F4034" s="6" t="str">
        <f t="shared" si="1026"/>
        <v>Pure light criança</v>
      </c>
      <c r="G4034" s="6" t="str">
        <f t="shared" si="1027"/>
        <v>R320384536000000</v>
      </c>
      <c r="H4034" s="6" t="str">
        <f t="shared" si="1028"/>
        <v>R 3845 - PL 1204 (m)</v>
      </c>
      <c r="I4034" s="6" t="str">
        <f t="shared" si="1035"/>
        <v>203874</v>
      </c>
      <c r="J4034" s="6" t="str">
        <f t="shared" si="1036"/>
        <v>VERDE 3874</v>
      </c>
      <c r="K4034" s="6" t="str">
        <f>"5208"</f>
        <v>5208</v>
      </c>
      <c r="L4034" s="6" t="str">
        <f t="shared" si="1024"/>
        <v>Roupões Criança</v>
      </c>
      <c r="M4034" s="6" t="str">
        <f>"8 Anos"</f>
        <v>8 Anos</v>
      </c>
      <c r="N4034" s="6" t="str">
        <f>"5602972523355"</f>
        <v>5602972523355</v>
      </c>
      <c r="O4034" s="8">
        <v>84</v>
      </c>
      <c r="P4034" s="7">
        <v>46010</v>
      </c>
      <c r="R4034" s="8">
        <v>0</v>
      </c>
      <c r="S4034" s="7">
        <v>46020</v>
      </c>
      <c r="U4034" s="8">
        <v>0</v>
      </c>
      <c r="V4034" s="7">
        <v>46030</v>
      </c>
      <c r="X4034" s="8">
        <v>0</v>
      </c>
      <c r="Z4034" s="8">
        <v>0</v>
      </c>
      <c r="AA4034" s="7">
        <v>46044</v>
      </c>
      <c r="AC4034" s="8">
        <v>0</v>
      </c>
      <c r="AE4034" s="7">
        <v>46049</v>
      </c>
      <c r="AF4034" s="8">
        <v>0</v>
      </c>
      <c r="AH4034" s="7">
        <v>46045</v>
      </c>
      <c r="AN4034" s="8">
        <v>0</v>
      </c>
      <c r="AO4034" s="8">
        <v>84</v>
      </c>
    </row>
    <row r="4035" spans="1:41" x14ac:dyDescent="0.25">
      <c r="A4035" s="6" t="str">
        <f t="shared" si="1025"/>
        <v>525-2025000487</v>
      </c>
      <c r="B4035" s="6" t="str">
        <f t="shared" si="1037"/>
        <v>Lasa Int</v>
      </c>
      <c r="C4035" s="7">
        <v>45932</v>
      </c>
      <c r="D4035" s="7">
        <v>46080</v>
      </c>
      <c r="E4035" s="8">
        <v>26</v>
      </c>
      <c r="F4035" s="6" t="str">
        <f t="shared" si="1026"/>
        <v>Pure light criança</v>
      </c>
      <c r="G4035" s="6" t="str">
        <f t="shared" si="1027"/>
        <v>R320384536000000</v>
      </c>
      <c r="H4035" s="6" t="str">
        <f t="shared" si="1028"/>
        <v>R 3845 - PL 1204 (m)</v>
      </c>
      <c r="I4035" s="6" t="str">
        <f t="shared" si="1035"/>
        <v>203874</v>
      </c>
      <c r="J4035" s="6" t="str">
        <f t="shared" si="1036"/>
        <v>VERDE 3874</v>
      </c>
      <c r="K4035" s="6" t="str">
        <f>"5210"</f>
        <v>5210</v>
      </c>
      <c r="L4035" s="6" t="str">
        <f t="shared" si="1024"/>
        <v>Roupões Criança</v>
      </c>
      <c r="M4035" s="6" t="str">
        <f>"10 Anos"</f>
        <v>10 Anos</v>
      </c>
      <c r="N4035" s="6" t="str">
        <f>"5602972523362"</f>
        <v>5602972523362</v>
      </c>
      <c r="O4035" s="8">
        <v>84</v>
      </c>
      <c r="P4035" s="7">
        <v>46010</v>
      </c>
      <c r="R4035" s="8">
        <v>0</v>
      </c>
      <c r="S4035" s="7">
        <v>46020</v>
      </c>
      <c r="U4035" s="8">
        <v>0</v>
      </c>
      <c r="V4035" s="7">
        <v>46030</v>
      </c>
      <c r="X4035" s="8">
        <v>0</v>
      </c>
      <c r="Z4035" s="8">
        <v>0</v>
      </c>
      <c r="AA4035" s="7">
        <v>46044</v>
      </c>
      <c r="AC4035" s="8">
        <v>0</v>
      </c>
      <c r="AE4035" s="7">
        <v>46049</v>
      </c>
      <c r="AF4035" s="8">
        <v>0</v>
      </c>
      <c r="AH4035" s="7">
        <v>46045</v>
      </c>
      <c r="AN4035" s="8">
        <v>0</v>
      </c>
      <c r="AO4035" s="8">
        <v>84</v>
      </c>
    </row>
    <row r="4036" spans="1:41" x14ac:dyDescent="0.25">
      <c r="A4036" s="6" t="str">
        <f t="shared" si="1025"/>
        <v>525-2025000487</v>
      </c>
      <c r="B4036" s="6" t="str">
        <f t="shared" si="1037"/>
        <v>Lasa Int</v>
      </c>
      <c r="C4036" s="7">
        <v>45932</v>
      </c>
      <c r="D4036" s="7">
        <v>46080</v>
      </c>
      <c r="E4036" s="8">
        <v>27</v>
      </c>
      <c r="F4036" s="6" t="str">
        <f t="shared" si="1026"/>
        <v>Pure light criança</v>
      </c>
      <c r="G4036" s="6" t="str">
        <f t="shared" si="1027"/>
        <v>R320384536000000</v>
      </c>
      <c r="H4036" s="6" t="str">
        <f t="shared" si="1028"/>
        <v>R 3845 - PL 1204 (m)</v>
      </c>
      <c r="I4036" s="6" t="str">
        <f t="shared" si="1035"/>
        <v>203874</v>
      </c>
      <c r="J4036" s="6" t="str">
        <f t="shared" si="1036"/>
        <v>VERDE 3874</v>
      </c>
      <c r="K4036" s="6" t="str">
        <f>"5212"</f>
        <v>5212</v>
      </c>
      <c r="L4036" s="6" t="str">
        <f t="shared" si="1024"/>
        <v>Roupões Criança</v>
      </c>
      <c r="M4036" s="6" t="str">
        <f>"12 Anos"</f>
        <v>12 Anos</v>
      </c>
      <c r="N4036" s="6" t="str">
        <f>"5602972523379"</f>
        <v>5602972523379</v>
      </c>
      <c r="O4036" s="8">
        <v>84</v>
      </c>
      <c r="P4036" s="7">
        <v>46010</v>
      </c>
      <c r="R4036" s="8">
        <v>0</v>
      </c>
      <c r="S4036" s="7">
        <v>46020</v>
      </c>
      <c r="U4036" s="8">
        <v>0</v>
      </c>
      <c r="V4036" s="7">
        <v>46030</v>
      </c>
      <c r="X4036" s="8">
        <v>0</v>
      </c>
      <c r="Z4036" s="8">
        <v>0</v>
      </c>
      <c r="AA4036" s="7">
        <v>46044</v>
      </c>
      <c r="AC4036" s="8">
        <v>0</v>
      </c>
      <c r="AE4036" s="7">
        <v>46049</v>
      </c>
      <c r="AF4036" s="8">
        <v>0</v>
      </c>
      <c r="AH4036" s="7">
        <v>46045</v>
      </c>
      <c r="AN4036" s="8">
        <v>0</v>
      </c>
      <c r="AO4036" s="8">
        <v>84</v>
      </c>
    </row>
    <row r="4037" spans="1:41" x14ac:dyDescent="0.25">
      <c r="A4037" s="6" t="str">
        <f t="shared" si="1025"/>
        <v>525-2025000487</v>
      </c>
      <c r="B4037" s="6" t="str">
        <f t="shared" si="1037"/>
        <v>Lasa Int</v>
      </c>
      <c r="C4037" s="7">
        <v>45932</v>
      </c>
      <c r="D4037" s="7">
        <v>46080</v>
      </c>
      <c r="E4037" s="8">
        <v>28</v>
      </c>
      <c r="F4037" s="6" t="str">
        <f t="shared" si="1026"/>
        <v>Pure light criança</v>
      </c>
      <c r="G4037" s="6" t="str">
        <f t="shared" si="1027"/>
        <v>R320384536000000</v>
      </c>
      <c r="H4037" s="6" t="str">
        <f t="shared" si="1028"/>
        <v>R 3845 - PL 1204 (m)</v>
      </c>
      <c r="I4037" s="6" t="str">
        <f t="shared" si="1035"/>
        <v>203874</v>
      </c>
      <c r="J4037" s="6" t="str">
        <f t="shared" si="1036"/>
        <v>VERDE 3874</v>
      </c>
      <c r="K4037" s="6" t="str">
        <f>"5214"</f>
        <v>5214</v>
      </c>
      <c r="L4037" s="6" t="str">
        <f t="shared" si="1024"/>
        <v>Roupões Criança</v>
      </c>
      <c r="M4037" s="6" t="str">
        <f>"14 Anos"</f>
        <v>14 Anos</v>
      </c>
      <c r="N4037" s="6" t="str">
        <f>"5602972523386"</f>
        <v>5602972523386</v>
      </c>
      <c r="O4037" s="8">
        <v>84</v>
      </c>
      <c r="P4037" s="7">
        <v>46010</v>
      </c>
      <c r="R4037" s="8">
        <v>0</v>
      </c>
      <c r="S4037" s="7">
        <v>46020</v>
      </c>
      <c r="U4037" s="8">
        <v>0</v>
      </c>
      <c r="V4037" s="7">
        <v>46030</v>
      </c>
      <c r="X4037" s="8">
        <v>0</v>
      </c>
      <c r="Z4037" s="8">
        <v>0</v>
      </c>
      <c r="AA4037" s="7">
        <v>46044</v>
      </c>
      <c r="AC4037" s="8">
        <v>0</v>
      </c>
      <c r="AE4037" s="7">
        <v>46049</v>
      </c>
      <c r="AF4037" s="8">
        <v>0</v>
      </c>
      <c r="AH4037" s="7">
        <v>46045</v>
      </c>
      <c r="AN4037" s="8">
        <v>0</v>
      </c>
      <c r="AO4037" s="8">
        <v>84</v>
      </c>
    </row>
    <row r="4038" spans="1:41" x14ac:dyDescent="0.25">
      <c r="A4038" s="6" t="str">
        <f t="shared" si="1025"/>
        <v>525-2025000487</v>
      </c>
      <c r="B4038" s="6" t="str">
        <f t="shared" si="1037"/>
        <v>Lasa Int</v>
      </c>
      <c r="C4038" s="7">
        <v>45932</v>
      </c>
      <c r="D4038" s="7">
        <v>46080</v>
      </c>
      <c r="E4038" s="8">
        <v>29</v>
      </c>
      <c r="F4038" s="6" t="str">
        <f t="shared" si="1026"/>
        <v>Pure light criança</v>
      </c>
      <c r="G4038" s="6" t="str">
        <f t="shared" si="1027"/>
        <v>R320384536000000</v>
      </c>
      <c r="H4038" s="6" t="str">
        <f t="shared" si="1028"/>
        <v>R 3845 - PL 1204 (m)</v>
      </c>
      <c r="I4038" s="6" t="str">
        <f t="shared" ref="I4038:I4044" si="1038">"204032"</f>
        <v>204032</v>
      </c>
      <c r="J4038" s="6" t="str">
        <f t="shared" ref="J4038:J4044" si="1039">"AZUL 4032"</f>
        <v>AZUL 4032</v>
      </c>
      <c r="K4038" s="6" t="str">
        <f>"5202"</f>
        <v>5202</v>
      </c>
      <c r="L4038" s="6" t="str">
        <f t="shared" si="1024"/>
        <v>Roupões Criança</v>
      </c>
      <c r="M4038" s="6" t="str">
        <f>"2 Anos"</f>
        <v>2 Anos</v>
      </c>
      <c r="N4038" s="6" t="str">
        <f>"5602972523393"</f>
        <v>5602972523393</v>
      </c>
      <c r="O4038" s="8">
        <v>36</v>
      </c>
      <c r="P4038" s="7">
        <v>46010</v>
      </c>
      <c r="R4038" s="8">
        <v>656</v>
      </c>
      <c r="S4038" s="7">
        <v>46020</v>
      </c>
      <c r="U4038" s="8">
        <v>656</v>
      </c>
      <c r="V4038" s="7">
        <v>46030</v>
      </c>
      <c r="X4038" s="8">
        <v>656</v>
      </c>
      <c r="Z4038" s="8">
        <v>0</v>
      </c>
      <c r="AA4038" s="7">
        <v>46044</v>
      </c>
      <c r="AC4038" s="8">
        <v>0</v>
      </c>
      <c r="AE4038" s="7">
        <v>46049</v>
      </c>
      <c r="AF4038" s="8">
        <v>0</v>
      </c>
      <c r="AH4038" s="7">
        <v>46045</v>
      </c>
      <c r="AN4038" s="8">
        <v>0</v>
      </c>
      <c r="AO4038" s="8">
        <v>36</v>
      </c>
    </row>
    <row r="4039" spans="1:41" x14ac:dyDescent="0.25">
      <c r="A4039" s="6" t="str">
        <f t="shared" si="1025"/>
        <v>525-2025000487</v>
      </c>
      <c r="B4039" s="6" t="str">
        <f t="shared" si="1037"/>
        <v>Lasa Int</v>
      </c>
      <c r="C4039" s="7">
        <v>45932</v>
      </c>
      <c r="D4039" s="7">
        <v>46080</v>
      </c>
      <c r="E4039" s="8">
        <v>30</v>
      </c>
      <c r="F4039" s="6" t="str">
        <f t="shared" si="1026"/>
        <v>Pure light criança</v>
      </c>
      <c r="G4039" s="6" t="str">
        <f t="shared" si="1027"/>
        <v>R320384536000000</v>
      </c>
      <c r="H4039" s="6" t="str">
        <f t="shared" si="1028"/>
        <v>R 3845 - PL 1204 (m)</v>
      </c>
      <c r="I4039" s="6" t="str">
        <f t="shared" si="1038"/>
        <v>204032</v>
      </c>
      <c r="J4039" s="6" t="str">
        <f t="shared" si="1039"/>
        <v>AZUL 4032</v>
      </c>
      <c r="K4039" s="6" t="str">
        <f>"5204"</f>
        <v>5204</v>
      </c>
      <c r="L4039" s="6" t="str">
        <f t="shared" ref="L4039:L4044" si="1040">"Roupões Criança"</f>
        <v>Roupões Criança</v>
      </c>
      <c r="M4039" s="6" t="str">
        <f>"4 Anos"</f>
        <v>4 Anos</v>
      </c>
      <c r="N4039" s="6" t="str">
        <f>"5602972523409"</f>
        <v>5602972523409</v>
      </c>
      <c r="O4039" s="8">
        <v>60</v>
      </c>
      <c r="P4039" s="7">
        <v>46010</v>
      </c>
      <c r="R4039" s="8">
        <v>0</v>
      </c>
      <c r="S4039" s="7">
        <v>46020</v>
      </c>
      <c r="U4039" s="8">
        <v>0</v>
      </c>
      <c r="V4039" s="7">
        <v>46030</v>
      </c>
      <c r="X4039" s="8">
        <v>0</v>
      </c>
      <c r="Z4039" s="8">
        <v>0</v>
      </c>
      <c r="AA4039" s="7">
        <v>46044</v>
      </c>
      <c r="AC4039" s="8">
        <v>0</v>
      </c>
      <c r="AE4039" s="7">
        <v>46049</v>
      </c>
      <c r="AF4039" s="8">
        <v>0</v>
      </c>
      <c r="AH4039" s="7">
        <v>46045</v>
      </c>
      <c r="AN4039" s="8">
        <v>0</v>
      </c>
      <c r="AO4039" s="8">
        <v>60</v>
      </c>
    </row>
    <row r="4040" spans="1:41" x14ac:dyDescent="0.25">
      <c r="A4040" s="6" t="str">
        <f t="shared" si="1025"/>
        <v>525-2025000487</v>
      </c>
      <c r="B4040" s="6" t="str">
        <f t="shared" si="1037"/>
        <v>Lasa Int</v>
      </c>
      <c r="C4040" s="7">
        <v>45932</v>
      </c>
      <c r="D4040" s="7">
        <v>46080</v>
      </c>
      <c r="E4040" s="8">
        <v>31</v>
      </c>
      <c r="F4040" s="6" t="str">
        <f t="shared" si="1026"/>
        <v>Pure light criança</v>
      </c>
      <c r="G4040" s="6" t="str">
        <f t="shared" si="1027"/>
        <v>R320384536000000</v>
      </c>
      <c r="H4040" s="6" t="str">
        <f t="shared" si="1028"/>
        <v>R 3845 - PL 1204 (m)</v>
      </c>
      <c r="I4040" s="6" t="str">
        <f t="shared" si="1038"/>
        <v>204032</v>
      </c>
      <c r="J4040" s="6" t="str">
        <f t="shared" si="1039"/>
        <v>AZUL 4032</v>
      </c>
      <c r="K4040" s="6" t="str">
        <f>"5206"</f>
        <v>5206</v>
      </c>
      <c r="L4040" s="6" t="str">
        <f t="shared" si="1040"/>
        <v>Roupões Criança</v>
      </c>
      <c r="M4040" s="6" t="str">
        <f>"6 Anos"</f>
        <v>6 Anos</v>
      </c>
      <c r="N4040" s="6" t="str">
        <f>"5602972523416"</f>
        <v>5602972523416</v>
      </c>
      <c r="O4040" s="8">
        <v>72</v>
      </c>
      <c r="P4040" s="7">
        <v>46010</v>
      </c>
      <c r="R4040" s="8">
        <v>0</v>
      </c>
      <c r="S4040" s="7">
        <v>46020</v>
      </c>
      <c r="U4040" s="8">
        <v>0</v>
      </c>
      <c r="V4040" s="7">
        <v>46030</v>
      </c>
      <c r="X4040" s="8">
        <v>0</v>
      </c>
      <c r="Z4040" s="8">
        <v>0</v>
      </c>
      <c r="AA4040" s="7">
        <v>46044</v>
      </c>
      <c r="AC4040" s="8">
        <v>0</v>
      </c>
      <c r="AE4040" s="7">
        <v>46049</v>
      </c>
      <c r="AF4040" s="8">
        <v>0</v>
      </c>
      <c r="AH4040" s="7">
        <v>46045</v>
      </c>
      <c r="AN4040" s="8">
        <v>0</v>
      </c>
      <c r="AO4040" s="8">
        <v>72</v>
      </c>
    </row>
    <row r="4041" spans="1:41" x14ac:dyDescent="0.25">
      <c r="A4041" s="6" t="str">
        <f t="shared" si="1025"/>
        <v>525-2025000487</v>
      </c>
      <c r="B4041" s="6" t="str">
        <f t="shared" si="1037"/>
        <v>Lasa Int</v>
      </c>
      <c r="C4041" s="7">
        <v>45932</v>
      </c>
      <c r="D4041" s="7">
        <v>46080</v>
      </c>
      <c r="E4041" s="8">
        <v>32</v>
      </c>
      <c r="F4041" s="6" t="str">
        <f t="shared" si="1026"/>
        <v>Pure light criança</v>
      </c>
      <c r="G4041" s="6" t="str">
        <f t="shared" si="1027"/>
        <v>R320384536000000</v>
      </c>
      <c r="H4041" s="6" t="str">
        <f t="shared" si="1028"/>
        <v>R 3845 - PL 1204 (m)</v>
      </c>
      <c r="I4041" s="6" t="str">
        <f t="shared" si="1038"/>
        <v>204032</v>
      </c>
      <c r="J4041" s="6" t="str">
        <f t="shared" si="1039"/>
        <v>AZUL 4032</v>
      </c>
      <c r="K4041" s="6" t="str">
        <f>"5208"</f>
        <v>5208</v>
      </c>
      <c r="L4041" s="6" t="str">
        <f t="shared" si="1040"/>
        <v>Roupões Criança</v>
      </c>
      <c r="M4041" s="6" t="str">
        <f>"8 Anos"</f>
        <v>8 Anos</v>
      </c>
      <c r="N4041" s="6" t="str">
        <f>"5602972523423"</f>
        <v>5602972523423</v>
      </c>
      <c r="O4041" s="8">
        <v>84</v>
      </c>
      <c r="P4041" s="7">
        <v>46010</v>
      </c>
      <c r="R4041" s="8">
        <v>0</v>
      </c>
      <c r="S4041" s="7">
        <v>46020</v>
      </c>
      <c r="U4041" s="8">
        <v>0</v>
      </c>
      <c r="V4041" s="7">
        <v>46030</v>
      </c>
      <c r="X4041" s="8">
        <v>0</v>
      </c>
      <c r="Z4041" s="8">
        <v>0</v>
      </c>
      <c r="AA4041" s="7">
        <v>46044</v>
      </c>
      <c r="AC4041" s="8">
        <v>0</v>
      </c>
      <c r="AE4041" s="7">
        <v>46049</v>
      </c>
      <c r="AF4041" s="8">
        <v>0</v>
      </c>
      <c r="AH4041" s="7">
        <v>46045</v>
      </c>
      <c r="AN4041" s="8">
        <v>0</v>
      </c>
      <c r="AO4041" s="8">
        <v>84</v>
      </c>
    </row>
    <row r="4042" spans="1:41" x14ac:dyDescent="0.25">
      <c r="A4042" s="6" t="str">
        <f t="shared" si="1025"/>
        <v>525-2025000487</v>
      </c>
      <c r="B4042" s="6" t="str">
        <f t="shared" si="1037"/>
        <v>Lasa Int</v>
      </c>
      <c r="C4042" s="7">
        <v>45932</v>
      </c>
      <c r="D4042" s="7">
        <v>46080</v>
      </c>
      <c r="E4042" s="8">
        <v>33</v>
      </c>
      <c r="F4042" s="6" t="str">
        <f t="shared" si="1026"/>
        <v>Pure light criança</v>
      </c>
      <c r="G4042" s="6" t="str">
        <f t="shared" si="1027"/>
        <v>R320384536000000</v>
      </c>
      <c r="H4042" s="6" t="str">
        <f t="shared" si="1028"/>
        <v>R 3845 - PL 1204 (m)</v>
      </c>
      <c r="I4042" s="6" t="str">
        <f t="shared" si="1038"/>
        <v>204032</v>
      </c>
      <c r="J4042" s="6" t="str">
        <f t="shared" si="1039"/>
        <v>AZUL 4032</v>
      </c>
      <c r="K4042" s="6" t="str">
        <f>"5210"</f>
        <v>5210</v>
      </c>
      <c r="L4042" s="6" t="str">
        <f t="shared" si="1040"/>
        <v>Roupões Criança</v>
      </c>
      <c r="M4042" s="6" t="str">
        <f>"10 Anos"</f>
        <v>10 Anos</v>
      </c>
      <c r="N4042" s="6" t="str">
        <f>"5602972523430"</f>
        <v>5602972523430</v>
      </c>
      <c r="O4042" s="8">
        <v>84</v>
      </c>
      <c r="P4042" s="7">
        <v>46010</v>
      </c>
      <c r="R4042" s="8">
        <v>0</v>
      </c>
      <c r="S4042" s="7">
        <v>46020</v>
      </c>
      <c r="U4042" s="8">
        <v>0</v>
      </c>
      <c r="V4042" s="7">
        <v>46030</v>
      </c>
      <c r="X4042" s="8">
        <v>0</v>
      </c>
      <c r="Z4042" s="8">
        <v>0</v>
      </c>
      <c r="AA4042" s="7">
        <v>46044</v>
      </c>
      <c r="AC4042" s="8">
        <v>0</v>
      </c>
      <c r="AE4042" s="7">
        <v>46049</v>
      </c>
      <c r="AF4042" s="8">
        <v>0</v>
      </c>
      <c r="AH4042" s="7">
        <v>46045</v>
      </c>
      <c r="AN4042" s="8">
        <v>0</v>
      </c>
      <c r="AO4042" s="8">
        <v>84</v>
      </c>
    </row>
    <row r="4043" spans="1:41" x14ac:dyDescent="0.25">
      <c r="A4043" s="6" t="str">
        <f t="shared" si="1025"/>
        <v>525-2025000487</v>
      </c>
      <c r="B4043" s="6" t="str">
        <f t="shared" si="1037"/>
        <v>Lasa Int</v>
      </c>
      <c r="C4043" s="7">
        <v>45932</v>
      </c>
      <c r="D4043" s="7">
        <v>46080</v>
      </c>
      <c r="E4043" s="8">
        <v>34</v>
      </c>
      <c r="F4043" s="6" t="str">
        <f t="shared" si="1026"/>
        <v>Pure light criança</v>
      </c>
      <c r="G4043" s="6" t="str">
        <f t="shared" si="1027"/>
        <v>R320384536000000</v>
      </c>
      <c r="H4043" s="6" t="str">
        <f t="shared" si="1028"/>
        <v>R 3845 - PL 1204 (m)</v>
      </c>
      <c r="I4043" s="6" t="str">
        <f t="shared" si="1038"/>
        <v>204032</v>
      </c>
      <c r="J4043" s="6" t="str">
        <f t="shared" si="1039"/>
        <v>AZUL 4032</v>
      </c>
      <c r="K4043" s="6" t="str">
        <f>"5212"</f>
        <v>5212</v>
      </c>
      <c r="L4043" s="6" t="str">
        <f t="shared" si="1040"/>
        <v>Roupões Criança</v>
      </c>
      <c r="M4043" s="6" t="str">
        <f>"12 Anos"</f>
        <v>12 Anos</v>
      </c>
      <c r="N4043" s="6" t="str">
        <f>"5602972523447"</f>
        <v>5602972523447</v>
      </c>
      <c r="O4043" s="8">
        <v>84</v>
      </c>
      <c r="P4043" s="7">
        <v>46010</v>
      </c>
      <c r="R4043" s="8">
        <v>0</v>
      </c>
      <c r="S4043" s="7">
        <v>46020</v>
      </c>
      <c r="U4043" s="8">
        <v>0</v>
      </c>
      <c r="V4043" s="7">
        <v>46030</v>
      </c>
      <c r="X4043" s="8">
        <v>0</v>
      </c>
      <c r="Z4043" s="8">
        <v>0</v>
      </c>
      <c r="AA4043" s="7">
        <v>46044</v>
      </c>
      <c r="AC4043" s="8">
        <v>0</v>
      </c>
      <c r="AE4043" s="7">
        <v>46049</v>
      </c>
      <c r="AF4043" s="8">
        <v>0</v>
      </c>
      <c r="AH4043" s="7">
        <v>46045</v>
      </c>
      <c r="AN4043" s="8">
        <v>0</v>
      </c>
      <c r="AO4043" s="8">
        <v>84</v>
      </c>
    </row>
    <row r="4044" spans="1:41" x14ac:dyDescent="0.25">
      <c r="A4044" s="6" t="str">
        <f t="shared" si="1025"/>
        <v>525-2025000487</v>
      </c>
      <c r="B4044" s="6" t="str">
        <f t="shared" si="1037"/>
        <v>Lasa Int</v>
      </c>
      <c r="C4044" s="7">
        <v>45932</v>
      </c>
      <c r="D4044" s="7">
        <v>46080</v>
      </c>
      <c r="E4044" s="8">
        <v>35</v>
      </c>
      <c r="F4044" s="6" t="str">
        <f t="shared" si="1026"/>
        <v>Pure light criança</v>
      </c>
      <c r="G4044" s="6" t="str">
        <f t="shared" si="1027"/>
        <v>R320384536000000</v>
      </c>
      <c r="H4044" s="6" t="str">
        <f t="shared" si="1028"/>
        <v>R 3845 - PL 1204 (m)</v>
      </c>
      <c r="I4044" s="6" t="str">
        <f t="shared" si="1038"/>
        <v>204032</v>
      </c>
      <c r="J4044" s="6" t="str">
        <f t="shared" si="1039"/>
        <v>AZUL 4032</v>
      </c>
      <c r="K4044" s="6" t="str">
        <f>"5214"</f>
        <v>5214</v>
      </c>
      <c r="L4044" s="6" t="str">
        <f t="shared" si="1040"/>
        <v>Roupões Criança</v>
      </c>
      <c r="M4044" s="6" t="str">
        <f>"14 Anos"</f>
        <v>14 Anos</v>
      </c>
      <c r="N4044" s="6" t="str">
        <f>"5602972523454"</f>
        <v>5602972523454</v>
      </c>
      <c r="O4044" s="8">
        <v>84</v>
      </c>
      <c r="P4044" s="7">
        <v>46010</v>
      </c>
      <c r="R4044" s="8">
        <v>0</v>
      </c>
      <c r="S4044" s="7">
        <v>46020</v>
      </c>
      <c r="U4044" s="8">
        <v>0</v>
      </c>
      <c r="V4044" s="7">
        <v>46030</v>
      </c>
      <c r="X4044" s="8">
        <v>0</v>
      </c>
      <c r="Z4044" s="8">
        <v>0</v>
      </c>
      <c r="AA4044" s="7">
        <v>46044</v>
      </c>
      <c r="AC4044" s="8">
        <v>0</v>
      </c>
      <c r="AE4044" s="7">
        <v>46049</v>
      </c>
      <c r="AF4044" s="8">
        <v>0</v>
      </c>
      <c r="AH4044" s="7">
        <v>46045</v>
      </c>
      <c r="AN4044" s="8">
        <v>0</v>
      </c>
      <c r="AO4044" s="8">
        <v>84</v>
      </c>
    </row>
    <row r="4045" spans="1:41" x14ac:dyDescent="0.25">
      <c r="A4045" s="6" t="str">
        <f t="shared" ref="A4045:A4054" si="1041">"525-2025000488"</f>
        <v>525-2025000488</v>
      </c>
      <c r="B4045" s="6" t="str">
        <f t="shared" si="1037"/>
        <v>Lasa Int</v>
      </c>
      <c r="C4045" s="7">
        <v>45932</v>
      </c>
      <c r="D4045" s="7">
        <v>46068</v>
      </c>
      <c r="E4045" s="8">
        <v>1</v>
      </c>
      <c r="F4045" s="6" t="str">
        <f t="shared" ref="F4045:F4054" si="1042">"Brisa"</f>
        <v>Brisa</v>
      </c>
      <c r="G4045" s="6" t="str">
        <f t="shared" ref="G4045:G4054" si="1043">"F310636450000000"</f>
        <v>F310636450000000</v>
      </c>
      <c r="H4045" s="6" t="str">
        <f t="shared" ref="H4045:H4054" si="1044">"PLAR 6364 - 500 g/m²"</f>
        <v>PLAR 6364 - 500 g/m²</v>
      </c>
      <c r="I4045" s="6" t="str">
        <f>"204465"</f>
        <v>204465</v>
      </c>
      <c r="J4045" s="6" t="str">
        <f>"LARANJA 4465"</f>
        <v>LARANJA 4465</v>
      </c>
      <c r="K4045" s="6" t="str">
        <f>"0112"</f>
        <v>0112</v>
      </c>
      <c r="L4045" s="6" t="str">
        <f>"Luvas"</f>
        <v>Luvas</v>
      </c>
      <c r="M4045" s="6" t="str">
        <f>"16x21"</f>
        <v>16x21</v>
      </c>
      <c r="N4045" s="6" t="str">
        <f>"5602972522105"</f>
        <v>5602972522105</v>
      </c>
      <c r="O4045" s="8">
        <v>180</v>
      </c>
      <c r="P4045" s="7">
        <v>46021</v>
      </c>
      <c r="R4045" s="8">
        <v>192</v>
      </c>
      <c r="S4045" s="7">
        <v>46029</v>
      </c>
      <c r="U4045" s="8">
        <v>192</v>
      </c>
      <c r="V4045" s="7">
        <v>46034</v>
      </c>
      <c r="X4045" s="8">
        <v>0</v>
      </c>
      <c r="Z4045" s="8">
        <v>192</v>
      </c>
      <c r="AA4045" s="7">
        <v>46044</v>
      </c>
      <c r="AC4045" s="8">
        <v>0</v>
      </c>
      <c r="AE4045" s="7">
        <v>46048</v>
      </c>
      <c r="AF4045" s="8">
        <v>0</v>
      </c>
      <c r="AH4045" s="7">
        <v>46045</v>
      </c>
      <c r="AN4045" s="8">
        <v>0</v>
      </c>
      <c r="AO4045" s="8">
        <v>180</v>
      </c>
    </row>
    <row r="4046" spans="1:41" x14ac:dyDescent="0.25">
      <c r="A4046" s="6" t="str">
        <f t="shared" si="1041"/>
        <v>525-2025000488</v>
      </c>
      <c r="B4046" s="6" t="str">
        <f t="shared" si="1037"/>
        <v>Lasa Int</v>
      </c>
      <c r="C4046" s="7">
        <v>45932</v>
      </c>
      <c r="D4046" s="7">
        <v>46068</v>
      </c>
      <c r="E4046" s="8">
        <v>2</v>
      </c>
      <c r="F4046" s="6" t="str">
        <f t="shared" si="1042"/>
        <v>Brisa</v>
      </c>
      <c r="G4046" s="6" t="str">
        <f t="shared" si="1043"/>
        <v>F310636450000000</v>
      </c>
      <c r="H4046" s="6" t="str">
        <f t="shared" si="1044"/>
        <v>PLAR 6364 - 500 g/m²</v>
      </c>
      <c r="I4046" s="6" t="str">
        <f>"204465"</f>
        <v>204465</v>
      </c>
      <c r="J4046" s="6" t="str">
        <f>"LARANJA 4465"</f>
        <v>LARANJA 4465</v>
      </c>
      <c r="K4046" s="6" t="str">
        <f>"0530"</f>
        <v>0530</v>
      </c>
      <c r="L4046" s="6" t="str">
        <f>"Toalhetes"</f>
        <v>Toalhetes</v>
      </c>
      <c r="M4046" s="6" t="str">
        <f>"33x50"</f>
        <v>33x50</v>
      </c>
      <c r="N4046" s="6" t="str">
        <f>"5602972522112"</f>
        <v>5602972522112</v>
      </c>
      <c r="O4046" s="8">
        <v>720</v>
      </c>
      <c r="P4046" s="7">
        <v>46021</v>
      </c>
      <c r="R4046" s="8">
        <v>792</v>
      </c>
      <c r="S4046" s="7">
        <v>46029</v>
      </c>
      <c r="U4046" s="8">
        <v>792</v>
      </c>
      <c r="V4046" s="7">
        <v>46034</v>
      </c>
      <c r="X4046" s="8">
        <v>0</v>
      </c>
      <c r="Z4046" s="8">
        <v>792</v>
      </c>
      <c r="AA4046" s="7">
        <v>46044</v>
      </c>
      <c r="AC4046" s="8">
        <v>0</v>
      </c>
      <c r="AE4046" s="7">
        <v>46048</v>
      </c>
      <c r="AF4046" s="8">
        <v>0</v>
      </c>
      <c r="AH4046" s="7">
        <v>46045</v>
      </c>
      <c r="AN4046" s="8">
        <v>0</v>
      </c>
      <c r="AO4046" s="8">
        <v>720</v>
      </c>
    </row>
    <row r="4047" spans="1:41" x14ac:dyDescent="0.25">
      <c r="A4047" s="6" t="str">
        <f t="shared" si="1041"/>
        <v>525-2025000488</v>
      </c>
      <c r="B4047" s="6" t="str">
        <f t="shared" si="1037"/>
        <v>Lasa Int</v>
      </c>
      <c r="C4047" s="7">
        <v>45932</v>
      </c>
      <c r="D4047" s="7">
        <v>46068</v>
      </c>
      <c r="E4047" s="8">
        <v>3</v>
      </c>
      <c r="F4047" s="6" t="str">
        <f t="shared" si="1042"/>
        <v>Brisa</v>
      </c>
      <c r="G4047" s="6" t="str">
        <f t="shared" si="1043"/>
        <v>F310636450000000</v>
      </c>
      <c r="H4047" s="6" t="str">
        <f t="shared" si="1044"/>
        <v>PLAR 6364 - 500 g/m²</v>
      </c>
      <c r="I4047" s="6" t="str">
        <f>"204465"</f>
        <v>204465</v>
      </c>
      <c r="J4047" s="6" t="str">
        <f>"LARANJA 4465"</f>
        <v>LARANJA 4465</v>
      </c>
      <c r="K4047" s="6" t="str">
        <f>"1024"</f>
        <v>1024</v>
      </c>
      <c r="L4047" s="6" t="str">
        <f>"Toalhas"</f>
        <v>Toalhas</v>
      </c>
      <c r="M4047" s="6" t="str">
        <f>"50x100"</f>
        <v>50x100</v>
      </c>
      <c r="N4047" s="6" t="str">
        <f>"5602972522129"</f>
        <v>5602972522129</v>
      </c>
      <c r="O4047" s="8">
        <v>960</v>
      </c>
      <c r="P4047" s="7">
        <v>46021</v>
      </c>
      <c r="R4047" s="8">
        <v>1056</v>
      </c>
      <c r="S4047" s="7">
        <v>46029</v>
      </c>
      <c r="U4047" s="8">
        <v>1056</v>
      </c>
      <c r="V4047" s="7">
        <v>46034</v>
      </c>
      <c r="X4047" s="8">
        <v>0</v>
      </c>
      <c r="Z4047" s="8">
        <v>1056</v>
      </c>
      <c r="AA4047" s="7">
        <v>46044</v>
      </c>
      <c r="AC4047" s="8">
        <v>0</v>
      </c>
      <c r="AE4047" s="7">
        <v>46048</v>
      </c>
      <c r="AF4047" s="8">
        <v>0</v>
      </c>
      <c r="AH4047" s="7">
        <v>46045</v>
      </c>
      <c r="AN4047" s="8">
        <v>0</v>
      </c>
      <c r="AO4047" s="8">
        <v>960</v>
      </c>
    </row>
    <row r="4048" spans="1:41" x14ac:dyDescent="0.25">
      <c r="A4048" s="6" t="str">
        <f t="shared" si="1041"/>
        <v>525-2025000488</v>
      </c>
      <c r="B4048" s="6" t="str">
        <f t="shared" si="1037"/>
        <v>Lasa Int</v>
      </c>
      <c r="C4048" s="7">
        <v>45932</v>
      </c>
      <c r="D4048" s="7">
        <v>46068</v>
      </c>
      <c r="E4048" s="8">
        <v>4</v>
      </c>
      <c r="F4048" s="6" t="str">
        <f t="shared" si="1042"/>
        <v>Brisa</v>
      </c>
      <c r="G4048" s="6" t="str">
        <f t="shared" si="1043"/>
        <v>F310636450000000</v>
      </c>
      <c r="H4048" s="6" t="str">
        <f t="shared" si="1044"/>
        <v>PLAR 6364 - 500 g/m²</v>
      </c>
      <c r="I4048" s="6" t="str">
        <f>"204465"</f>
        <v>204465</v>
      </c>
      <c r="J4048" s="6" t="str">
        <f>"LARANJA 4465"</f>
        <v>LARANJA 4465</v>
      </c>
      <c r="K4048" s="6" t="str">
        <f>"1535"</f>
        <v>1535</v>
      </c>
      <c r="L4048" s="6" t="str">
        <f>"Toalhões"</f>
        <v>Toalhões</v>
      </c>
      <c r="M4048" s="6" t="str">
        <f>"70x140"</f>
        <v>70x140</v>
      </c>
      <c r="N4048" s="6" t="str">
        <f>"5602972522136"</f>
        <v>5602972522136</v>
      </c>
      <c r="O4048" s="8">
        <v>300</v>
      </c>
      <c r="P4048" s="7">
        <v>46021</v>
      </c>
      <c r="R4048" s="8">
        <v>342</v>
      </c>
      <c r="S4048" s="7">
        <v>46029</v>
      </c>
      <c r="U4048" s="8">
        <v>342</v>
      </c>
      <c r="V4048" s="7">
        <v>46034</v>
      </c>
      <c r="X4048" s="8">
        <v>0</v>
      </c>
      <c r="Z4048" s="8">
        <v>342</v>
      </c>
      <c r="AA4048" s="7">
        <v>46044</v>
      </c>
      <c r="AC4048" s="8">
        <v>0</v>
      </c>
      <c r="AE4048" s="7">
        <v>46048</v>
      </c>
      <c r="AF4048" s="8">
        <v>0</v>
      </c>
      <c r="AH4048" s="7">
        <v>46045</v>
      </c>
      <c r="AN4048" s="8">
        <v>0</v>
      </c>
      <c r="AO4048" s="8">
        <v>300</v>
      </c>
    </row>
    <row r="4049" spans="1:41" x14ac:dyDescent="0.25">
      <c r="A4049" s="6" t="str">
        <f t="shared" si="1041"/>
        <v>525-2025000488</v>
      </c>
      <c r="B4049" s="6" t="str">
        <f t="shared" si="1037"/>
        <v>Lasa Int</v>
      </c>
      <c r="C4049" s="7">
        <v>45932</v>
      </c>
      <c r="D4049" s="7">
        <v>46068</v>
      </c>
      <c r="E4049" s="8">
        <v>5</v>
      </c>
      <c r="F4049" s="6" t="str">
        <f t="shared" si="1042"/>
        <v>Brisa</v>
      </c>
      <c r="G4049" s="6" t="str">
        <f t="shared" si="1043"/>
        <v>F310636450000000</v>
      </c>
      <c r="H4049" s="6" t="str">
        <f t="shared" si="1044"/>
        <v>PLAR 6364 - 500 g/m²</v>
      </c>
      <c r="I4049" s="6" t="str">
        <f>"204465"</f>
        <v>204465</v>
      </c>
      <c r="J4049" s="6" t="str">
        <f>"LARANJA 4465"</f>
        <v>LARANJA 4465</v>
      </c>
      <c r="K4049" s="6" t="str">
        <f>"2020"</f>
        <v>2020</v>
      </c>
      <c r="L4049" s="6" t="str">
        <f>"Lençóis"</f>
        <v>Lençóis</v>
      </c>
      <c r="M4049" s="6" t="str">
        <f>"100x150"</f>
        <v>100x150</v>
      </c>
      <c r="N4049" s="6" t="str">
        <f>"5602972522143"</f>
        <v>5602972522143</v>
      </c>
      <c r="O4049" s="8">
        <v>200</v>
      </c>
      <c r="P4049" s="7">
        <v>46021</v>
      </c>
      <c r="R4049" s="8">
        <v>152</v>
      </c>
      <c r="S4049" s="7">
        <v>46029</v>
      </c>
      <c r="U4049" s="8">
        <v>228</v>
      </c>
      <c r="V4049" s="7">
        <v>46034</v>
      </c>
      <c r="X4049" s="8">
        <v>0</v>
      </c>
      <c r="Z4049" s="8">
        <v>228</v>
      </c>
      <c r="AA4049" s="7">
        <v>46044</v>
      </c>
      <c r="AC4049" s="8">
        <v>0</v>
      </c>
      <c r="AE4049" s="7">
        <v>46048</v>
      </c>
      <c r="AF4049" s="8">
        <v>0</v>
      </c>
      <c r="AH4049" s="7">
        <v>46045</v>
      </c>
      <c r="AN4049" s="8">
        <v>0</v>
      </c>
      <c r="AO4049" s="8">
        <v>200</v>
      </c>
    </row>
    <row r="4050" spans="1:41" x14ac:dyDescent="0.25">
      <c r="A4050" s="6" t="str">
        <f t="shared" si="1041"/>
        <v>525-2025000488</v>
      </c>
      <c r="B4050" s="6" t="str">
        <f t="shared" si="1037"/>
        <v>Lasa Int</v>
      </c>
      <c r="C4050" s="7">
        <v>45932</v>
      </c>
      <c r="D4050" s="7">
        <v>46068</v>
      </c>
      <c r="E4050" s="8">
        <v>6</v>
      </c>
      <c r="F4050" s="6" t="str">
        <f t="shared" si="1042"/>
        <v>Brisa</v>
      </c>
      <c r="G4050" s="6" t="str">
        <f t="shared" si="1043"/>
        <v>F310636450000000</v>
      </c>
      <c r="H4050" s="6" t="str">
        <f t="shared" si="1044"/>
        <v>PLAR 6364 - 500 g/m²</v>
      </c>
      <c r="I4050" s="6" t="str">
        <f>"204535"</f>
        <v>204535</v>
      </c>
      <c r="J4050" s="6" t="str">
        <f>"AZUL 4535"</f>
        <v>AZUL 4535</v>
      </c>
      <c r="K4050" s="6" t="str">
        <f>"0112"</f>
        <v>0112</v>
      </c>
      <c r="L4050" s="6" t="str">
        <f>"Luvas"</f>
        <v>Luvas</v>
      </c>
      <c r="M4050" s="6" t="str">
        <f>"16x21"</f>
        <v>16x21</v>
      </c>
      <c r="N4050" s="6" t="str">
        <f>"5602972522150"</f>
        <v>5602972522150</v>
      </c>
      <c r="O4050" s="8">
        <v>180</v>
      </c>
      <c r="P4050" s="7">
        <v>46021</v>
      </c>
      <c r="R4050" s="8">
        <v>192</v>
      </c>
      <c r="S4050" s="7">
        <v>46029</v>
      </c>
      <c r="U4050" s="8">
        <v>192</v>
      </c>
      <c r="V4050" s="7">
        <v>46034</v>
      </c>
      <c r="X4050" s="8">
        <v>0</v>
      </c>
      <c r="Z4050" s="8">
        <v>192</v>
      </c>
      <c r="AA4050" s="7">
        <v>46044</v>
      </c>
      <c r="AC4050" s="8">
        <v>0</v>
      </c>
      <c r="AE4050" s="7">
        <v>46048</v>
      </c>
      <c r="AF4050" s="8">
        <v>0</v>
      </c>
      <c r="AH4050" s="7">
        <v>46045</v>
      </c>
      <c r="AN4050" s="8">
        <v>0</v>
      </c>
      <c r="AO4050" s="8">
        <v>180</v>
      </c>
    </row>
    <row r="4051" spans="1:41" x14ac:dyDescent="0.25">
      <c r="A4051" s="6" t="str">
        <f t="shared" si="1041"/>
        <v>525-2025000488</v>
      </c>
      <c r="B4051" s="6" t="str">
        <f t="shared" si="1037"/>
        <v>Lasa Int</v>
      </c>
      <c r="C4051" s="7">
        <v>45932</v>
      </c>
      <c r="D4051" s="7">
        <v>46068</v>
      </c>
      <c r="E4051" s="8">
        <v>7</v>
      </c>
      <c r="F4051" s="6" t="str">
        <f t="shared" si="1042"/>
        <v>Brisa</v>
      </c>
      <c r="G4051" s="6" t="str">
        <f t="shared" si="1043"/>
        <v>F310636450000000</v>
      </c>
      <c r="H4051" s="6" t="str">
        <f t="shared" si="1044"/>
        <v>PLAR 6364 - 500 g/m²</v>
      </c>
      <c r="I4051" s="6" t="str">
        <f>"204535"</f>
        <v>204535</v>
      </c>
      <c r="J4051" s="6" t="str">
        <f>"AZUL 4535"</f>
        <v>AZUL 4535</v>
      </c>
      <c r="K4051" s="6" t="str">
        <f>"0530"</f>
        <v>0530</v>
      </c>
      <c r="L4051" s="6" t="str">
        <f>"Toalhetes"</f>
        <v>Toalhetes</v>
      </c>
      <c r="M4051" s="6" t="str">
        <f>"33x50"</f>
        <v>33x50</v>
      </c>
      <c r="N4051" s="6" t="str">
        <f>"5602972522167"</f>
        <v>5602972522167</v>
      </c>
      <c r="O4051" s="8">
        <v>720</v>
      </c>
      <c r="P4051" s="7">
        <v>46021</v>
      </c>
      <c r="R4051" s="8">
        <v>744</v>
      </c>
      <c r="S4051" s="7">
        <v>46029</v>
      </c>
      <c r="U4051" s="8">
        <v>744</v>
      </c>
      <c r="V4051" s="7">
        <v>46034</v>
      </c>
      <c r="X4051" s="8">
        <v>0</v>
      </c>
      <c r="Z4051" s="8">
        <v>744</v>
      </c>
      <c r="AA4051" s="7">
        <v>46044</v>
      </c>
      <c r="AC4051" s="8">
        <v>0</v>
      </c>
      <c r="AE4051" s="7">
        <v>46048</v>
      </c>
      <c r="AF4051" s="8">
        <v>0</v>
      </c>
      <c r="AH4051" s="7">
        <v>46045</v>
      </c>
      <c r="AN4051" s="8">
        <v>0</v>
      </c>
      <c r="AO4051" s="8">
        <v>720</v>
      </c>
    </row>
    <row r="4052" spans="1:41" x14ac:dyDescent="0.25">
      <c r="A4052" s="6" t="str">
        <f t="shared" si="1041"/>
        <v>525-2025000488</v>
      </c>
      <c r="B4052" s="6" t="str">
        <f t="shared" si="1037"/>
        <v>Lasa Int</v>
      </c>
      <c r="C4052" s="7">
        <v>45932</v>
      </c>
      <c r="D4052" s="7">
        <v>46068</v>
      </c>
      <c r="E4052" s="8">
        <v>8</v>
      </c>
      <c r="F4052" s="6" t="str">
        <f t="shared" si="1042"/>
        <v>Brisa</v>
      </c>
      <c r="G4052" s="6" t="str">
        <f t="shared" si="1043"/>
        <v>F310636450000000</v>
      </c>
      <c r="H4052" s="6" t="str">
        <f t="shared" si="1044"/>
        <v>PLAR 6364 - 500 g/m²</v>
      </c>
      <c r="I4052" s="6" t="str">
        <f>"204535"</f>
        <v>204535</v>
      </c>
      <c r="J4052" s="6" t="str">
        <f>"AZUL 4535"</f>
        <v>AZUL 4535</v>
      </c>
      <c r="K4052" s="6" t="str">
        <f>"1024"</f>
        <v>1024</v>
      </c>
      <c r="L4052" s="6" t="str">
        <f>"Toalhas"</f>
        <v>Toalhas</v>
      </c>
      <c r="M4052" s="6" t="str">
        <f>"50x100"</f>
        <v>50x100</v>
      </c>
      <c r="N4052" s="6" t="str">
        <f>"5602972522174"</f>
        <v>5602972522174</v>
      </c>
      <c r="O4052" s="8">
        <v>960</v>
      </c>
      <c r="P4052" s="7">
        <v>46021</v>
      </c>
      <c r="R4052" s="8">
        <v>1056</v>
      </c>
      <c r="S4052" s="7">
        <v>46029</v>
      </c>
      <c r="U4052" s="8">
        <v>1056</v>
      </c>
      <c r="V4052" s="7">
        <v>46034</v>
      </c>
      <c r="X4052" s="8">
        <v>0</v>
      </c>
      <c r="Z4052" s="8">
        <v>1056</v>
      </c>
      <c r="AA4052" s="7">
        <v>46044</v>
      </c>
      <c r="AC4052" s="8">
        <v>0</v>
      </c>
      <c r="AE4052" s="7">
        <v>46048</v>
      </c>
      <c r="AF4052" s="8">
        <v>0</v>
      </c>
      <c r="AH4052" s="7">
        <v>46045</v>
      </c>
      <c r="AN4052" s="8">
        <v>0</v>
      </c>
      <c r="AO4052" s="8">
        <v>960</v>
      </c>
    </row>
    <row r="4053" spans="1:41" x14ac:dyDescent="0.25">
      <c r="A4053" s="6" t="str">
        <f t="shared" si="1041"/>
        <v>525-2025000488</v>
      </c>
      <c r="B4053" s="6" t="str">
        <f t="shared" si="1037"/>
        <v>Lasa Int</v>
      </c>
      <c r="C4053" s="7">
        <v>45932</v>
      </c>
      <c r="D4053" s="7">
        <v>46068</v>
      </c>
      <c r="E4053" s="8">
        <v>9</v>
      </c>
      <c r="F4053" s="6" t="str">
        <f t="shared" si="1042"/>
        <v>Brisa</v>
      </c>
      <c r="G4053" s="6" t="str">
        <f t="shared" si="1043"/>
        <v>F310636450000000</v>
      </c>
      <c r="H4053" s="6" t="str">
        <f t="shared" si="1044"/>
        <v>PLAR 6364 - 500 g/m²</v>
      </c>
      <c r="I4053" s="6" t="str">
        <f>"204535"</f>
        <v>204535</v>
      </c>
      <c r="J4053" s="6" t="str">
        <f>"AZUL 4535"</f>
        <v>AZUL 4535</v>
      </c>
      <c r="K4053" s="6" t="str">
        <f>"1535"</f>
        <v>1535</v>
      </c>
      <c r="L4053" s="6" t="str">
        <f>"Toalhões"</f>
        <v>Toalhões</v>
      </c>
      <c r="M4053" s="6" t="str">
        <f>"70x140"</f>
        <v>70x140</v>
      </c>
      <c r="N4053" s="6" t="str">
        <f>"5602972522181"</f>
        <v>5602972522181</v>
      </c>
      <c r="O4053" s="8">
        <v>300</v>
      </c>
      <c r="P4053" s="7">
        <v>46021</v>
      </c>
      <c r="R4053" s="8">
        <v>342</v>
      </c>
      <c r="S4053" s="7">
        <v>46029</v>
      </c>
      <c r="U4053" s="8">
        <v>342</v>
      </c>
      <c r="V4053" s="7">
        <v>46034</v>
      </c>
      <c r="X4053" s="8">
        <v>0</v>
      </c>
      <c r="Z4053" s="8">
        <v>342</v>
      </c>
      <c r="AA4053" s="7">
        <v>46044</v>
      </c>
      <c r="AC4053" s="8">
        <v>0</v>
      </c>
      <c r="AE4053" s="7">
        <v>46048</v>
      </c>
      <c r="AF4053" s="8">
        <v>0</v>
      </c>
      <c r="AH4053" s="7">
        <v>46045</v>
      </c>
      <c r="AN4053" s="8">
        <v>0</v>
      </c>
      <c r="AO4053" s="8">
        <v>300</v>
      </c>
    </row>
    <row r="4054" spans="1:41" x14ac:dyDescent="0.25">
      <c r="A4054" s="6" t="str">
        <f t="shared" si="1041"/>
        <v>525-2025000488</v>
      </c>
      <c r="B4054" s="6" t="str">
        <f t="shared" si="1037"/>
        <v>Lasa Int</v>
      </c>
      <c r="C4054" s="7">
        <v>45932</v>
      </c>
      <c r="D4054" s="7">
        <v>46068</v>
      </c>
      <c r="E4054" s="8">
        <v>10</v>
      </c>
      <c r="F4054" s="6" t="str">
        <f t="shared" si="1042"/>
        <v>Brisa</v>
      </c>
      <c r="G4054" s="6" t="str">
        <f t="shared" si="1043"/>
        <v>F310636450000000</v>
      </c>
      <c r="H4054" s="6" t="str">
        <f t="shared" si="1044"/>
        <v>PLAR 6364 - 500 g/m²</v>
      </c>
      <c r="I4054" s="6" t="str">
        <f>"204535"</f>
        <v>204535</v>
      </c>
      <c r="J4054" s="6" t="str">
        <f>"AZUL 4535"</f>
        <v>AZUL 4535</v>
      </c>
      <c r="K4054" s="6" t="str">
        <f>"2020"</f>
        <v>2020</v>
      </c>
      <c r="L4054" s="6" t="str">
        <f>"Lençóis"</f>
        <v>Lençóis</v>
      </c>
      <c r="M4054" s="6" t="str">
        <f>"100x150"</f>
        <v>100x150</v>
      </c>
      <c r="N4054" s="6" t="str">
        <f>"5602972522198"</f>
        <v>5602972522198</v>
      </c>
      <c r="O4054" s="8">
        <v>200</v>
      </c>
      <c r="P4054" s="7">
        <v>46021</v>
      </c>
      <c r="R4054" s="8">
        <v>228</v>
      </c>
      <c r="S4054" s="7">
        <v>46029</v>
      </c>
      <c r="U4054" s="8">
        <v>228</v>
      </c>
      <c r="V4054" s="7">
        <v>46034</v>
      </c>
      <c r="X4054" s="8">
        <v>0</v>
      </c>
      <c r="Z4054" s="8">
        <v>228</v>
      </c>
      <c r="AA4054" s="7">
        <v>46044</v>
      </c>
      <c r="AC4054" s="8">
        <v>0</v>
      </c>
      <c r="AE4054" s="7">
        <v>46048</v>
      </c>
      <c r="AF4054" s="8">
        <v>0</v>
      </c>
      <c r="AH4054" s="7">
        <v>46045</v>
      </c>
      <c r="AN4054" s="8">
        <v>0</v>
      </c>
      <c r="AO4054" s="8">
        <v>200</v>
      </c>
    </row>
    <row r="4055" spans="1:41" x14ac:dyDescent="0.25">
      <c r="A4055" s="6" t="str">
        <f t="shared" ref="A4055:A4064" si="1045">"525-2025000489"</f>
        <v>525-2025000489</v>
      </c>
      <c r="B4055" s="6" t="str">
        <f t="shared" si="1037"/>
        <v>Lasa Int</v>
      </c>
      <c r="C4055" s="7">
        <v>45932</v>
      </c>
      <c r="D4055" s="7">
        <v>46058</v>
      </c>
      <c r="E4055" s="8">
        <v>1</v>
      </c>
      <c r="F4055" s="6" t="str">
        <f t="shared" ref="F4055:F4064" si="1046">"Brisa II"</f>
        <v>Brisa II</v>
      </c>
      <c r="G4055" s="6" t="str">
        <f t="shared" ref="G4055:G4064" si="1047">"F330313950000000"</f>
        <v>F330313950000000</v>
      </c>
      <c r="H4055" s="6" t="str">
        <f t="shared" ref="H4055:H4064" si="1048">"PLA 3139 - 500 g/m²"</f>
        <v>PLA 3139 - 500 g/m²</v>
      </c>
      <c r="I4055" s="6" t="str">
        <f>"204465"</f>
        <v>204465</v>
      </c>
      <c r="J4055" s="6" t="str">
        <f>"LARANJA 4465"</f>
        <v>LARANJA 4465</v>
      </c>
      <c r="K4055" s="6" t="str">
        <f>"0112"</f>
        <v>0112</v>
      </c>
      <c r="L4055" s="6" t="str">
        <f>"Luvas"</f>
        <v>Luvas</v>
      </c>
      <c r="M4055" s="6" t="str">
        <f>"16x21"</f>
        <v>16x21</v>
      </c>
      <c r="N4055" s="6" t="str">
        <f>"5602972522204"</f>
        <v>5602972522204</v>
      </c>
      <c r="O4055" s="8">
        <v>180</v>
      </c>
      <c r="P4055" s="7">
        <v>46021</v>
      </c>
      <c r="R4055" s="8">
        <v>192</v>
      </c>
      <c r="S4055" s="7">
        <v>46028</v>
      </c>
      <c r="U4055" s="8">
        <v>192</v>
      </c>
      <c r="V4055" s="7">
        <v>46031</v>
      </c>
      <c r="X4055" s="8">
        <v>0</v>
      </c>
      <c r="Z4055" s="8">
        <v>192</v>
      </c>
      <c r="AA4055" s="7">
        <v>46043</v>
      </c>
      <c r="AC4055" s="8">
        <v>0</v>
      </c>
      <c r="AE4055" s="7">
        <v>46045</v>
      </c>
      <c r="AF4055" s="8">
        <v>0</v>
      </c>
      <c r="AH4055" s="7">
        <v>46045</v>
      </c>
      <c r="AN4055" s="8">
        <v>0</v>
      </c>
      <c r="AO4055" s="8">
        <v>180</v>
      </c>
    </row>
    <row r="4056" spans="1:41" x14ac:dyDescent="0.25">
      <c r="A4056" s="6" t="str">
        <f t="shared" si="1045"/>
        <v>525-2025000489</v>
      </c>
      <c r="B4056" s="6" t="str">
        <f t="shared" si="1037"/>
        <v>Lasa Int</v>
      </c>
      <c r="C4056" s="7">
        <v>45932</v>
      </c>
      <c r="D4056" s="7">
        <v>46058</v>
      </c>
      <c r="E4056" s="8">
        <v>2</v>
      </c>
      <c r="F4056" s="6" t="str">
        <f t="shared" si="1046"/>
        <v>Brisa II</v>
      </c>
      <c r="G4056" s="6" t="str">
        <f t="shared" si="1047"/>
        <v>F330313950000000</v>
      </c>
      <c r="H4056" s="6" t="str">
        <f t="shared" si="1048"/>
        <v>PLA 3139 - 500 g/m²</v>
      </c>
      <c r="I4056" s="6" t="str">
        <f>"204465"</f>
        <v>204465</v>
      </c>
      <c r="J4056" s="6" t="str">
        <f>"LARANJA 4465"</f>
        <v>LARANJA 4465</v>
      </c>
      <c r="K4056" s="6" t="str">
        <f>"0530"</f>
        <v>0530</v>
      </c>
      <c r="L4056" s="6" t="str">
        <f>"Toalhetes"</f>
        <v>Toalhetes</v>
      </c>
      <c r="M4056" s="6" t="str">
        <f>"33x50"</f>
        <v>33x50</v>
      </c>
      <c r="N4056" s="6" t="str">
        <f>"5602972522211"</f>
        <v>5602972522211</v>
      </c>
      <c r="O4056" s="8">
        <v>720</v>
      </c>
      <c r="P4056" s="7">
        <v>46021</v>
      </c>
      <c r="R4056" s="8">
        <v>774</v>
      </c>
      <c r="S4056" s="7">
        <v>46028</v>
      </c>
      <c r="U4056" s="8">
        <v>774</v>
      </c>
      <c r="V4056" s="7">
        <v>46031</v>
      </c>
      <c r="X4056" s="8">
        <v>0</v>
      </c>
      <c r="Z4056" s="8">
        <v>774</v>
      </c>
      <c r="AA4056" s="7">
        <v>46043</v>
      </c>
      <c r="AC4056" s="8">
        <v>0</v>
      </c>
      <c r="AE4056" s="7">
        <v>46045</v>
      </c>
      <c r="AF4056" s="8">
        <v>0</v>
      </c>
      <c r="AH4056" s="7">
        <v>46045</v>
      </c>
      <c r="AN4056" s="8">
        <v>0</v>
      </c>
      <c r="AO4056" s="8">
        <v>720</v>
      </c>
    </row>
    <row r="4057" spans="1:41" x14ac:dyDescent="0.25">
      <c r="A4057" s="6" t="str">
        <f t="shared" si="1045"/>
        <v>525-2025000489</v>
      </c>
      <c r="B4057" s="6" t="str">
        <f t="shared" si="1037"/>
        <v>Lasa Int</v>
      </c>
      <c r="C4057" s="7">
        <v>45932</v>
      </c>
      <c r="D4057" s="7">
        <v>46058</v>
      </c>
      <c r="E4057" s="8">
        <v>3</v>
      </c>
      <c r="F4057" s="6" t="str">
        <f t="shared" si="1046"/>
        <v>Brisa II</v>
      </c>
      <c r="G4057" s="6" t="str">
        <f t="shared" si="1047"/>
        <v>F330313950000000</v>
      </c>
      <c r="H4057" s="6" t="str">
        <f t="shared" si="1048"/>
        <v>PLA 3139 - 500 g/m²</v>
      </c>
      <c r="I4057" s="6" t="str">
        <f>"204465"</f>
        <v>204465</v>
      </c>
      <c r="J4057" s="6" t="str">
        <f>"LARANJA 4465"</f>
        <v>LARANJA 4465</v>
      </c>
      <c r="K4057" s="6" t="str">
        <f>"1024"</f>
        <v>1024</v>
      </c>
      <c r="L4057" s="6" t="str">
        <f>"Toalhas"</f>
        <v>Toalhas</v>
      </c>
      <c r="M4057" s="6" t="str">
        <f>"50x100"</f>
        <v>50x100</v>
      </c>
      <c r="N4057" s="6" t="str">
        <f>"5602972522228"</f>
        <v>5602972522228</v>
      </c>
      <c r="O4057" s="8">
        <v>960</v>
      </c>
      <c r="P4057" s="7">
        <v>46021</v>
      </c>
      <c r="R4057" s="8">
        <v>1036</v>
      </c>
      <c r="S4057" s="7">
        <v>46028</v>
      </c>
      <c r="U4057" s="8">
        <v>1036</v>
      </c>
      <c r="V4057" s="7">
        <v>46031</v>
      </c>
      <c r="X4057" s="8">
        <v>0</v>
      </c>
      <c r="Z4057" s="8">
        <v>1036</v>
      </c>
      <c r="AA4057" s="7">
        <v>46043</v>
      </c>
      <c r="AC4057" s="8">
        <v>0</v>
      </c>
      <c r="AE4057" s="7">
        <v>46045</v>
      </c>
      <c r="AF4057" s="8">
        <v>0</v>
      </c>
      <c r="AH4057" s="7">
        <v>46045</v>
      </c>
      <c r="AN4057" s="8">
        <v>0</v>
      </c>
      <c r="AO4057" s="8">
        <v>960</v>
      </c>
    </row>
    <row r="4058" spans="1:41" x14ac:dyDescent="0.25">
      <c r="A4058" s="6" t="str">
        <f t="shared" si="1045"/>
        <v>525-2025000489</v>
      </c>
      <c r="B4058" s="6" t="str">
        <f t="shared" si="1037"/>
        <v>Lasa Int</v>
      </c>
      <c r="C4058" s="7">
        <v>45932</v>
      </c>
      <c r="D4058" s="7">
        <v>46058</v>
      </c>
      <c r="E4058" s="8">
        <v>4</v>
      </c>
      <c r="F4058" s="6" t="str">
        <f t="shared" si="1046"/>
        <v>Brisa II</v>
      </c>
      <c r="G4058" s="6" t="str">
        <f t="shared" si="1047"/>
        <v>F330313950000000</v>
      </c>
      <c r="H4058" s="6" t="str">
        <f t="shared" si="1048"/>
        <v>PLA 3139 - 500 g/m²</v>
      </c>
      <c r="I4058" s="6" t="str">
        <f>"204465"</f>
        <v>204465</v>
      </c>
      <c r="J4058" s="6" t="str">
        <f>"LARANJA 4465"</f>
        <v>LARANJA 4465</v>
      </c>
      <c r="K4058" s="6" t="str">
        <f>"1535"</f>
        <v>1535</v>
      </c>
      <c r="L4058" s="6" t="str">
        <f>"Toalhões"</f>
        <v>Toalhões</v>
      </c>
      <c r="M4058" s="6" t="str">
        <f>"70x140"</f>
        <v>70x140</v>
      </c>
      <c r="N4058" s="6" t="str">
        <f>"5602972522235"</f>
        <v>5602972522235</v>
      </c>
      <c r="O4058" s="8">
        <v>300</v>
      </c>
      <c r="P4058" s="7">
        <v>46021</v>
      </c>
      <c r="R4058" s="8">
        <v>324</v>
      </c>
      <c r="S4058" s="7">
        <v>46028</v>
      </c>
      <c r="U4058" s="8">
        <v>324</v>
      </c>
      <c r="V4058" s="7">
        <v>46031</v>
      </c>
      <c r="X4058" s="8">
        <v>0</v>
      </c>
      <c r="Z4058" s="8">
        <v>324</v>
      </c>
      <c r="AA4058" s="7">
        <v>46043</v>
      </c>
      <c r="AC4058" s="8">
        <v>0</v>
      </c>
      <c r="AE4058" s="7">
        <v>46045</v>
      </c>
      <c r="AF4058" s="8">
        <v>0</v>
      </c>
      <c r="AH4058" s="7">
        <v>46045</v>
      </c>
      <c r="AN4058" s="8">
        <v>0</v>
      </c>
      <c r="AO4058" s="8">
        <v>300</v>
      </c>
    </row>
    <row r="4059" spans="1:41" x14ac:dyDescent="0.25">
      <c r="A4059" s="6" t="str">
        <f t="shared" si="1045"/>
        <v>525-2025000489</v>
      </c>
      <c r="B4059" s="6" t="str">
        <f t="shared" si="1037"/>
        <v>Lasa Int</v>
      </c>
      <c r="C4059" s="7">
        <v>45932</v>
      </c>
      <c r="D4059" s="7">
        <v>46058</v>
      </c>
      <c r="E4059" s="8">
        <v>5</v>
      </c>
      <c r="F4059" s="6" t="str">
        <f t="shared" si="1046"/>
        <v>Brisa II</v>
      </c>
      <c r="G4059" s="6" t="str">
        <f t="shared" si="1047"/>
        <v>F330313950000000</v>
      </c>
      <c r="H4059" s="6" t="str">
        <f t="shared" si="1048"/>
        <v>PLA 3139 - 500 g/m²</v>
      </c>
      <c r="I4059" s="6" t="str">
        <f>"204465"</f>
        <v>204465</v>
      </c>
      <c r="J4059" s="6" t="str">
        <f>"LARANJA 4465"</f>
        <v>LARANJA 4465</v>
      </c>
      <c r="K4059" s="6" t="str">
        <f>"2020"</f>
        <v>2020</v>
      </c>
      <c r="L4059" s="6" t="str">
        <f>"Lençóis"</f>
        <v>Lençóis</v>
      </c>
      <c r="M4059" s="6" t="str">
        <f>"100x150"</f>
        <v>100x150</v>
      </c>
      <c r="N4059" s="6" t="str">
        <f>"5602972522242"</f>
        <v>5602972522242</v>
      </c>
      <c r="O4059" s="8">
        <v>200</v>
      </c>
      <c r="P4059" s="7">
        <v>46021</v>
      </c>
      <c r="R4059" s="8">
        <v>222</v>
      </c>
      <c r="S4059" s="7">
        <v>46028</v>
      </c>
      <c r="U4059" s="8">
        <v>222</v>
      </c>
      <c r="V4059" s="7">
        <v>46031</v>
      </c>
      <c r="X4059" s="8">
        <v>0</v>
      </c>
      <c r="Z4059" s="8">
        <v>222</v>
      </c>
      <c r="AA4059" s="7">
        <v>46043</v>
      </c>
      <c r="AC4059" s="8">
        <v>0</v>
      </c>
      <c r="AE4059" s="7">
        <v>46045</v>
      </c>
      <c r="AF4059" s="8">
        <v>0</v>
      </c>
      <c r="AH4059" s="7">
        <v>46045</v>
      </c>
      <c r="AN4059" s="8">
        <v>0</v>
      </c>
      <c r="AO4059" s="8">
        <v>200</v>
      </c>
    </row>
    <row r="4060" spans="1:41" x14ac:dyDescent="0.25">
      <c r="A4060" s="6" t="str">
        <f t="shared" si="1045"/>
        <v>525-2025000489</v>
      </c>
      <c r="B4060" s="6" t="str">
        <f t="shared" si="1037"/>
        <v>Lasa Int</v>
      </c>
      <c r="C4060" s="7">
        <v>45932</v>
      </c>
      <c r="D4060" s="7">
        <v>46058</v>
      </c>
      <c r="E4060" s="8">
        <v>6</v>
      </c>
      <c r="F4060" s="6" t="str">
        <f t="shared" si="1046"/>
        <v>Brisa II</v>
      </c>
      <c r="G4060" s="6" t="str">
        <f t="shared" si="1047"/>
        <v>F330313950000000</v>
      </c>
      <c r="H4060" s="6" t="str">
        <f t="shared" si="1048"/>
        <v>PLA 3139 - 500 g/m²</v>
      </c>
      <c r="I4060" s="6" t="str">
        <f>"204535"</f>
        <v>204535</v>
      </c>
      <c r="J4060" s="6" t="str">
        <f>"AZUL 4535"</f>
        <v>AZUL 4535</v>
      </c>
      <c r="K4060" s="6" t="str">
        <f>"0112"</f>
        <v>0112</v>
      </c>
      <c r="L4060" s="6" t="str">
        <f>"Luvas"</f>
        <v>Luvas</v>
      </c>
      <c r="M4060" s="6" t="str">
        <f>"16x21"</f>
        <v>16x21</v>
      </c>
      <c r="N4060" s="6" t="str">
        <f>"5602972522259"</f>
        <v>5602972522259</v>
      </c>
      <c r="O4060" s="8">
        <v>180</v>
      </c>
      <c r="P4060" s="7">
        <v>46021</v>
      </c>
      <c r="R4060" s="8">
        <v>192</v>
      </c>
      <c r="S4060" s="7">
        <v>46028</v>
      </c>
      <c r="U4060" s="8">
        <v>192</v>
      </c>
      <c r="V4060" s="7">
        <v>46031</v>
      </c>
      <c r="X4060" s="8">
        <v>0</v>
      </c>
      <c r="Z4060" s="8">
        <v>192</v>
      </c>
      <c r="AA4060" s="7">
        <v>46043</v>
      </c>
      <c r="AC4060" s="8">
        <v>0</v>
      </c>
      <c r="AE4060" s="7">
        <v>46045</v>
      </c>
      <c r="AF4060" s="8">
        <v>0</v>
      </c>
      <c r="AH4060" s="7">
        <v>46045</v>
      </c>
      <c r="AN4060" s="8">
        <v>0</v>
      </c>
      <c r="AO4060" s="8">
        <v>180</v>
      </c>
    </row>
    <row r="4061" spans="1:41" x14ac:dyDescent="0.25">
      <c r="A4061" s="6" t="str">
        <f t="shared" si="1045"/>
        <v>525-2025000489</v>
      </c>
      <c r="B4061" s="6" t="str">
        <f t="shared" si="1037"/>
        <v>Lasa Int</v>
      </c>
      <c r="C4061" s="7">
        <v>45932</v>
      </c>
      <c r="D4061" s="7">
        <v>46058</v>
      </c>
      <c r="E4061" s="8">
        <v>7</v>
      </c>
      <c r="F4061" s="6" t="str">
        <f t="shared" si="1046"/>
        <v>Brisa II</v>
      </c>
      <c r="G4061" s="6" t="str">
        <f t="shared" si="1047"/>
        <v>F330313950000000</v>
      </c>
      <c r="H4061" s="6" t="str">
        <f t="shared" si="1048"/>
        <v>PLA 3139 - 500 g/m²</v>
      </c>
      <c r="I4061" s="6" t="str">
        <f>"204535"</f>
        <v>204535</v>
      </c>
      <c r="J4061" s="6" t="str">
        <f>"AZUL 4535"</f>
        <v>AZUL 4535</v>
      </c>
      <c r="K4061" s="6" t="str">
        <f>"0530"</f>
        <v>0530</v>
      </c>
      <c r="L4061" s="6" t="str">
        <f>"Toalhetes"</f>
        <v>Toalhetes</v>
      </c>
      <c r="M4061" s="6" t="str">
        <f>"33x50"</f>
        <v>33x50</v>
      </c>
      <c r="N4061" s="6" t="str">
        <f>"5602972522266"</f>
        <v>5602972522266</v>
      </c>
      <c r="O4061" s="8">
        <v>720</v>
      </c>
      <c r="P4061" s="7">
        <v>46021</v>
      </c>
      <c r="R4061" s="8">
        <v>798</v>
      </c>
      <c r="S4061" s="7">
        <v>46028</v>
      </c>
      <c r="U4061" s="8">
        <v>798</v>
      </c>
      <c r="V4061" s="7">
        <v>46031</v>
      </c>
      <c r="X4061" s="8">
        <v>0</v>
      </c>
      <c r="Z4061" s="8">
        <v>798</v>
      </c>
      <c r="AA4061" s="7">
        <v>46043</v>
      </c>
      <c r="AC4061" s="8">
        <v>0</v>
      </c>
      <c r="AE4061" s="7">
        <v>46045</v>
      </c>
      <c r="AF4061" s="8">
        <v>0</v>
      </c>
      <c r="AH4061" s="7">
        <v>46045</v>
      </c>
      <c r="AN4061" s="8">
        <v>0</v>
      </c>
      <c r="AO4061" s="8">
        <v>720</v>
      </c>
    </row>
    <row r="4062" spans="1:41" x14ac:dyDescent="0.25">
      <c r="A4062" s="6" t="str">
        <f t="shared" si="1045"/>
        <v>525-2025000489</v>
      </c>
      <c r="B4062" s="6" t="str">
        <f t="shared" si="1037"/>
        <v>Lasa Int</v>
      </c>
      <c r="C4062" s="7">
        <v>45932</v>
      </c>
      <c r="D4062" s="7">
        <v>46058</v>
      </c>
      <c r="E4062" s="8">
        <v>8</v>
      </c>
      <c r="F4062" s="6" t="str">
        <f t="shared" si="1046"/>
        <v>Brisa II</v>
      </c>
      <c r="G4062" s="6" t="str">
        <f t="shared" si="1047"/>
        <v>F330313950000000</v>
      </c>
      <c r="H4062" s="6" t="str">
        <f t="shared" si="1048"/>
        <v>PLA 3139 - 500 g/m²</v>
      </c>
      <c r="I4062" s="6" t="str">
        <f>"204535"</f>
        <v>204535</v>
      </c>
      <c r="J4062" s="6" t="str">
        <f>"AZUL 4535"</f>
        <v>AZUL 4535</v>
      </c>
      <c r="K4062" s="6" t="str">
        <f>"1024"</f>
        <v>1024</v>
      </c>
      <c r="L4062" s="6" t="str">
        <f>"Toalhas"</f>
        <v>Toalhas</v>
      </c>
      <c r="M4062" s="6" t="str">
        <f>"50x100"</f>
        <v>50x100</v>
      </c>
      <c r="N4062" s="6" t="str">
        <f>"5602972522273"</f>
        <v>5602972522273</v>
      </c>
      <c r="O4062" s="8">
        <v>960</v>
      </c>
      <c r="P4062" s="7">
        <v>46021</v>
      </c>
      <c r="R4062" s="8">
        <v>1068</v>
      </c>
      <c r="S4062" s="7">
        <v>46028</v>
      </c>
      <c r="U4062" s="8">
        <v>1068</v>
      </c>
      <c r="V4062" s="7">
        <v>46031</v>
      </c>
      <c r="X4062" s="8">
        <v>0</v>
      </c>
      <c r="Z4062" s="8">
        <v>1068</v>
      </c>
      <c r="AA4062" s="7">
        <v>46043</v>
      </c>
      <c r="AC4062" s="8">
        <v>0</v>
      </c>
      <c r="AE4062" s="7">
        <v>46045</v>
      </c>
      <c r="AF4062" s="8">
        <v>0</v>
      </c>
      <c r="AH4062" s="7">
        <v>46045</v>
      </c>
      <c r="AN4062" s="8">
        <v>0</v>
      </c>
      <c r="AO4062" s="8">
        <v>960</v>
      </c>
    </row>
    <row r="4063" spans="1:41" x14ac:dyDescent="0.25">
      <c r="A4063" s="6" t="str">
        <f t="shared" si="1045"/>
        <v>525-2025000489</v>
      </c>
      <c r="B4063" s="6" t="str">
        <f t="shared" si="1037"/>
        <v>Lasa Int</v>
      </c>
      <c r="C4063" s="7">
        <v>45932</v>
      </c>
      <c r="D4063" s="7">
        <v>46058</v>
      </c>
      <c r="E4063" s="8">
        <v>9</v>
      </c>
      <c r="F4063" s="6" t="str">
        <f t="shared" si="1046"/>
        <v>Brisa II</v>
      </c>
      <c r="G4063" s="6" t="str">
        <f t="shared" si="1047"/>
        <v>F330313950000000</v>
      </c>
      <c r="H4063" s="6" t="str">
        <f t="shared" si="1048"/>
        <v>PLA 3139 - 500 g/m²</v>
      </c>
      <c r="I4063" s="6" t="str">
        <f>"204535"</f>
        <v>204535</v>
      </c>
      <c r="J4063" s="6" t="str">
        <f>"AZUL 4535"</f>
        <v>AZUL 4535</v>
      </c>
      <c r="K4063" s="6" t="str">
        <f>"1535"</f>
        <v>1535</v>
      </c>
      <c r="L4063" s="6" t="str">
        <f>"Toalhões"</f>
        <v>Toalhões</v>
      </c>
      <c r="M4063" s="6" t="str">
        <f>"70x140"</f>
        <v>70x140</v>
      </c>
      <c r="N4063" s="6" t="str">
        <f>"5602972522280"</f>
        <v>5602972522280</v>
      </c>
      <c r="O4063" s="8">
        <v>300</v>
      </c>
      <c r="P4063" s="7">
        <v>46021</v>
      </c>
      <c r="R4063" s="8">
        <v>342</v>
      </c>
      <c r="S4063" s="7">
        <v>46028</v>
      </c>
      <c r="U4063" s="8">
        <v>342</v>
      </c>
      <c r="V4063" s="7">
        <v>46031</v>
      </c>
      <c r="X4063" s="8">
        <v>0</v>
      </c>
      <c r="Z4063" s="8">
        <v>342</v>
      </c>
      <c r="AA4063" s="7">
        <v>46043</v>
      </c>
      <c r="AC4063" s="8">
        <v>0</v>
      </c>
      <c r="AE4063" s="7">
        <v>46045</v>
      </c>
      <c r="AF4063" s="8">
        <v>0</v>
      </c>
      <c r="AH4063" s="7">
        <v>46045</v>
      </c>
      <c r="AN4063" s="8">
        <v>0</v>
      </c>
      <c r="AO4063" s="8">
        <v>300</v>
      </c>
    </row>
    <row r="4064" spans="1:41" x14ac:dyDescent="0.25">
      <c r="A4064" s="6" t="str">
        <f t="shared" si="1045"/>
        <v>525-2025000489</v>
      </c>
      <c r="B4064" s="6" t="str">
        <f t="shared" si="1037"/>
        <v>Lasa Int</v>
      </c>
      <c r="C4064" s="7">
        <v>45932</v>
      </c>
      <c r="D4064" s="7">
        <v>46058</v>
      </c>
      <c r="E4064" s="8">
        <v>10</v>
      </c>
      <c r="F4064" s="6" t="str">
        <f t="shared" si="1046"/>
        <v>Brisa II</v>
      </c>
      <c r="G4064" s="6" t="str">
        <f t="shared" si="1047"/>
        <v>F330313950000000</v>
      </c>
      <c r="H4064" s="6" t="str">
        <f t="shared" si="1048"/>
        <v>PLA 3139 - 500 g/m²</v>
      </c>
      <c r="I4064" s="6" t="str">
        <f>"204535"</f>
        <v>204535</v>
      </c>
      <c r="J4064" s="6" t="str">
        <f>"AZUL 4535"</f>
        <v>AZUL 4535</v>
      </c>
      <c r="K4064" s="6" t="str">
        <f>"2020"</f>
        <v>2020</v>
      </c>
      <c r="L4064" s="6" t="str">
        <f>"Lençóis"</f>
        <v>Lençóis</v>
      </c>
      <c r="M4064" s="6" t="str">
        <f>"100x150"</f>
        <v>100x150</v>
      </c>
      <c r="N4064" s="6" t="str">
        <f>"5602972522297"</f>
        <v>5602972522297</v>
      </c>
      <c r="O4064" s="8">
        <v>200</v>
      </c>
      <c r="P4064" s="7">
        <v>46021</v>
      </c>
      <c r="R4064" s="8">
        <v>216</v>
      </c>
      <c r="S4064" s="7">
        <v>46028</v>
      </c>
      <c r="U4064" s="8">
        <v>216</v>
      </c>
      <c r="V4064" s="7">
        <v>46031</v>
      </c>
      <c r="X4064" s="8">
        <v>0</v>
      </c>
      <c r="Z4064" s="8">
        <v>216</v>
      </c>
      <c r="AA4064" s="7">
        <v>46043</v>
      </c>
      <c r="AC4064" s="8">
        <v>0</v>
      </c>
      <c r="AE4064" s="7">
        <v>46045</v>
      </c>
      <c r="AF4064" s="8">
        <v>0</v>
      </c>
      <c r="AH4064" s="7">
        <v>46045</v>
      </c>
      <c r="AN4064" s="8">
        <v>0</v>
      </c>
      <c r="AO4064" s="8">
        <v>200</v>
      </c>
    </row>
    <row r="4065" spans="1:41" x14ac:dyDescent="0.25">
      <c r="A4065" s="6" t="str">
        <f>"525-2025000490"</f>
        <v>525-2025000490</v>
      </c>
      <c r="B4065" s="6" t="str">
        <f t="shared" si="1037"/>
        <v>Lasa Int</v>
      </c>
      <c r="C4065" s="7">
        <v>45932</v>
      </c>
      <c r="D4065" s="7">
        <v>46058</v>
      </c>
      <c r="E4065" s="8">
        <v>1</v>
      </c>
      <c r="F4065" s="6" t="str">
        <f>"Risacas-ondas"</f>
        <v>Risacas-ondas</v>
      </c>
      <c r="G4065" s="6" t="str">
        <f>"F320120250000000"</f>
        <v>F320120250000000</v>
      </c>
      <c r="H4065" s="6" t="str">
        <f>"PL 1202 - 500 g/m²"</f>
        <v>PL 1202 - 500 g/m²</v>
      </c>
      <c r="I4065" s="6" t="str">
        <f t="shared" ref="I4065:I4080" si="1049">"200559"</f>
        <v>200559</v>
      </c>
      <c r="J4065" s="6" t="str">
        <f t="shared" ref="J4065:J4080" si="1050">"LARANJA 559"</f>
        <v>LARANJA 559</v>
      </c>
      <c r="K4065" s="6" t="str">
        <f>"0112"</f>
        <v>0112</v>
      </c>
      <c r="L4065" s="6" t="str">
        <f>"Luvas"</f>
        <v>Luvas</v>
      </c>
      <c r="M4065" s="6" t="str">
        <f>"16x21"</f>
        <v>16x21</v>
      </c>
      <c r="N4065" s="6" t="str">
        <f>"5602972522303"</f>
        <v>5602972522303</v>
      </c>
      <c r="O4065" s="8">
        <v>300</v>
      </c>
      <c r="P4065" s="7">
        <v>46021</v>
      </c>
      <c r="R4065" s="8">
        <v>450</v>
      </c>
      <c r="S4065" s="7">
        <v>46029</v>
      </c>
      <c r="U4065" s="8">
        <v>450</v>
      </c>
      <c r="V4065" s="7">
        <v>46034</v>
      </c>
      <c r="X4065" s="8">
        <v>0</v>
      </c>
      <c r="Z4065" s="8">
        <v>450</v>
      </c>
      <c r="AA4065" s="7">
        <v>46044</v>
      </c>
      <c r="AC4065" s="8">
        <v>0</v>
      </c>
      <c r="AE4065" s="7">
        <v>46048</v>
      </c>
      <c r="AF4065" s="8">
        <v>0</v>
      </c>
      <c r="AH4065" s="7">
        <v>46045</v>
      </c>
      <c r="AN4065" s="8">
        <v>0</v>
      </c>
      <c r="AO4065" s="8">
        <v>300</v>
      </c>
    </row>
    <row r="4066" spans="1:41" x14ac:dyDescent="0.25">
      <c r="A4066" s="6" t="str">
        <f>"525-2025000490"</f>
        <v>525-2025000490</v>
      </c>
      <c r="B4066" s="6" t="str">
        <f t="shared" si="1037"/>
        <v>Lasa Int</v>
      </c>
      <c r="C4066" s="7">
        <v>45932</v>
      </c>
      <c r="D4066" s="7">
        <v>46058</v>
      </c>
      <c r="E4066" s="8">
        <v>2</v>
      </c>
      <c r="F4066" s="6" t="str">
        <f>"Risacas-ondas"</f>
        <v>Risacas-ondas</v>
      </c>
      <c r="G4066" s="6" t="str">
        <f>"F320120250000000"</f>
        <v>F320120250000000</v>
      </c>
      <c r="H4066" s="6" t="str">
        <f>"PL 1202 - 500 g/m²"</f>
        <v>PL 1202 - 500 g/m²</v>
      </c>
      <c r="I4066" s="6" t="str">
        <f t="shared" si="1049"/>
        <v>200559</v>
      </c>
      <c r="J4066" s="6" t="str">
        <f t="shared" si="1050"/>
        <v>LARANJA 559</v>
      </c>
      <c r="K4066" s="6" t="str">
        <f>"0530"</f>
        <v>0530</v>
      </c>
      <c r="L4066" s="6" t="str">
        <f>"Toalhetes"</f>
        <v>Toalhetes</v>
      </c>
      <c r="M4066" s="6" t="str">
        <f>"33x50"</f>
        <v>33x50</v>
      </c>
      <c r="N4066" s="6" t="str">
        <f>"5602972522310"</f>
        <v>5602972522310</v>
      </c>
      <c r="O4066" s="8">
        <v>720</v>
      </c>
      <c r="P4066" s="7">
        <v>46021</v>
      </c>
      <c r="R4066" s="8">
        <v>726</v>
      </c>
      <c r="S4066" s="7">
        <v>46029</v>
      </c>
      <c r="U4066" s="8">
        <v>726</v>
      </c>
      <c r="V4066" s="7">
        <v>46034</v>
      </c>
      <c r="X4066" s="8">
        <v>0</v>
      </c>
      <c r="Z4066" s="8">
        <v>726</v>
      </c>
      <c r="AA4066" s="7">
        <v>46044</v>
      </c>
      <c r="AC4066" s="8">
        <v>0</v>
      </c>
      <c r="AE4066" s="7">
        <v>46048</v>
      </c>
      <c r="AF4066" s="8">
        <v>0</v>
      </c>
      <c r="AH4066" s="7">
        <v>46045</v>
      </c>
      <c r="AN4066" s="8">
        <v>0</v>
      </c>
      <c r="AO4066" s="8">
        <v>720</v>
      </c>
    </row>
    <row r="4067" spans="1:41" x14ac:dyDescent="0.25">
      <c r="A4067" s="6" t="str">
        <f>"525-2025000490"</f>
        <v>525-2025000490</v>
      </c>
      <c r="B4067" s="6" t="str">
        <f t="shared" si="1037"/>
        <v>Lasa Int</v>
      </c>
      <c r="C4067" s="7">
        <v>45932</v>
      </c>
      <c r="D4067" s="7">
        <v>46058</v>
      </c>
      <c r="E4067" s="8">
        <v>3</v>
      </c>
      <c r="F4067" s="6" t="str">
        <f>"Risacas-ondas"</f>
        <v>Risacas-ondas</v>
      </c>
      <c r="G4067" s="6" t="str">
        <f>"F320120250000000"</f>
        <v>F320120250000000</v>
      </c>
      <c r="H4067" s="6" t="str">
        <f>"PL 1202 - 500 g/m²"</f>
        <v>PL 1202 - 500 g/m²</v>
      </c>
      <c r="I4067" s="6" t="str">
        <f t="shared" si="1049"/>
        <v>200559</v>
      </c>
      <c r="J4067" s="6" t="str">
        <f t="shared" si="1050"/>
        <v>LARANJA 559</v>
      </c>
      <c r="K4067" s="6" t="str">
        <f>"1024"</f>
        <v>1024</v>
      </c>
      <c r="L4067" s="6" t="str">
        <f>"Toalhas"</f>
        <v>Toalhas</v>
      </c>
      <c r="M4067" s="6" t="str">
        <f>"50x100"</f>
        <v>50x100</v>
      </c>
      <c r="N4067" s="6" t="str">
        <f>"5602972522327"</f>
        <v>5602972522327</v>
      </c>
      <c r="O4067" s="8">
        <v>960</v>
      </c>
      <c r="P4067" s="7">
        <v>46021</v>
      </c>
      <c r="R4067" s="8">
        <v>1056</v>
      </c>
      <c r="S4067" s="7">
        <v>46029</v>
      </c>
      <c r="U4067" s="8">
        <v>1056</v>
      </c>
      <c r="V4067" s="7">
        <v>46034</v>
      </c>
      <c r="X4067" s="8">
        <v>0</v>
      </c>
      <c r="Z4067" s="8">
        <v>1056</v>
      </c>
      <c r="AA4067" s="7">
        <v>46044</v>
      </c>
      <c r="AC4067" s="8">
        <v>0</v>
      </c>
      <c r="AE4067" s="7">
        <v>46048</v>
      </c>
      <c r="AF4067" s="8">
        <v>0</v>
      </c>
      <c r="AH4067" s="7">
        <v>46045</v>
      </c>
      <c r="AN4067" s="8">
        <v>0</v>
      </c>
      <c r="AO4067" s="8">
        <v>960</v>
      </c>
    </row>
    <row r="4068" spans="1:41" x14ac:dyDescent="0.25">
      <c r="A4068" s="6" t="str">
        <f>"525-2025000490"</f>
        <v>525-2025000490</v>
      </c>
      <c r="B4068" s="6" t="str">
        <f t="shared" si="1037"/>
        <v>Lasa Int</v>
      </c>
      <c r="C4068" s="7">
        <v>45932</v>
      </c>
      <c r="D4068" s="7">
        <v>46058</v>
      </c>
      <c r="E4068" s="8">
        <v>4</v>
      </c>
      <c r="F4068" s="6" t="str">
        <f>"Risacas-ondas"</f>
        <v>Risacas-ondas</v>
      </c>
      <c r="G4068" s="6" t="str">
        <f>"F320120250000000"</f>
        <v>F320120250000000</v>
      </c>
      <c r="H4068" s="6" t="str">
        <f>"PL 1202 - 500 g/m²"</f>
        <v>PL 1202 - 500 g/m²</v>
      </c>
      <c r="I4068" s="6" t="str">
        <f t="shared" si="1049"/>
        <v>200559</v>
      </c>
      <c r="J4068" s="6" t="str">
        <f t="shared" si="1050"/>
        <v>LARANJA 559</v>
      </c>
      <c r="K4068" s="6" t="str">
        <f>"1535"</f>
        <v>1535</v>
      </c>
      <c r="L4068" s="6" t="str">
        <f>"Toalhões"</f>
        <v>Toalhões</v>
      </c>
      <c r="M4068" s="6" t="str">
        <f>"70x140"</f>
        <v>70x140</v>
      </c>
      <c r="N4068" s="6" t="str">
        <f>"5602972522334"</f>
        <v>5602972522334</v>
      </c>
      <c r="O4068" s="8">
        <v>360</v>
      </c>
      <c r="P4068" s="7">
        <v>46021</v>
      </c>
      <c r="R4068" s="8">
        <v>387</v>
      </c>
      <c r="S4068" s="7">
        <v>46029</v>
      </c>
      <c r="U4068" s="8">
        <v>387</v>
      </c>
      <c r="V4068" s="7">
        <v>46034</v>
      </c>
      <c r="X4068" s="8">
        <v>0</v>
      </c>
      <c r="Z4068" s="8">
        <v>387</v>
      </c>
      <c r="AA4068" s="7">
        <v>46044</v>
      </c>
      <c r="AC4068" s="8">
        <v>0</v>
      </c>
      <c r="AE4068" s="7">
        <v>46048</v>
      </c>
      <c r="AF4068" s="8">
        <v>0</v>
      </c>
      <c r="AH4068" s="7">
        <v>46045</v>
      </c>
      <c r="AN4068" s="8">
        <v>0</v>
      </c>
      <c r="AO4068" s="8">
        <v>360</v>
      </c>
    </row>
    <row r="4069" spans="1:41" x14ac:dyDescent="0.25">
      <c r="A4069" s="6" t="str">
        <f>"525-2025000490"</f>
        <v>525-2025000490</v>
      </c>
      <c r="B4069" s="6" t="str">
        <f t="shared" si="1037"/>
        <v>Lasa Int</v>
      </c>
      <c r="C4069" s="7">
        <v>45932</v>
      </c>
      <c r="D4069" s="7">
        <v>46058</v>
      </c>
      <c r="E4069" s="8">
        <v>5</v>
      </c>
      <c r="F4069" s="6" t="str">
        <f>"Risacas-ondas"</f>
        <v>Risacas-ondas</v>
      </c>
      <c r="G4069" s="6" t="str">
        <f>"F320120250000000"</f>
        <v>F320120250000000</v>
      </c>
      <c r="H4069" s="6" t="str">
        <f>"PL 1202 - 500 g/m²"</f>
        <v>PL 1202 - 500 g/m²</v>
      </c>
      <c r="I4069" s="6" t="str">
        <f t="shared" si="1049"/>
        <v>200559</v>
      </c>
      <c r="J4069" s="6" t="str">
        <f t="shared" si="1050"/>
        <v>LARANJA 559</v>
      </c>
      <c r="K4069" s="6" t="str">
        <f>"2020"</f>
        <v>2020</v>
      </c>
      <c r="L4069" s="6" t="str">
        <f>"Lençóis"</f>
        <v>Lençóis</v>
      </c>
      <c r="M4069" s="6" t="str">
        <f>"100x150"</f>
        <v>100x150</v>
      </c>
      <c r="N4069" s="6" t="str">
        <f>"5602972522341"</f>
        <v>5602972522341</v>
      </c>
      <c r="O4069" s="8">
        <v>240</v>
      </c>
      <c r="P4069" s="7">
        <v>46021</v>
      </c>
      <c r="R4069" s="8">
        <v>264</v>
      </c>
      <c r="S4069" s="7">
        <v>46029</v>
      </c>
      <c r="U4069" s="8">
        <v>264</v>
      </c>
      <c r="V4069" s="7">
        <v>46034</v>
      </c>
      <c r="X4069" s="8">
        <v>0</v>
      </c>
      <c r="Z4069" s="8">
        <v>264</v>
      </c>
      <c r="AA4069" s="7">
        <v>46044</v>
      </c>
      <c r="AC4069" s="8">
        <v>0</v>
      </c>
      <c r="AE4069" s="7">
        <v>46048</v>
      </c>
      <c r="AF4069" s="8">
        <v>0</v>
      </c>
      <c r="AH4069" s="7">
        <v>46045</v>
      </c>
      <c r="AN4069" s="8">
        <v>0</v>
      </c>
      <c r="AO4069" s="8">
        <v>240</v>
      </c>
    </row>
    <row r="4070" spans="1:41" x14ac:dyDescent="0.25">
      <c r="A4070" s="6" t="str">
        <f t="shared" ref="A4070:A4075" si="1051">"525-2025000491"</f>
        <v>525-2025000491</v>
      </c>
      <c r="B4070" s="6" t="str">
        <f t="shared" si="1037"/>
        <v>Lasa Int</v>
      </c>
      <c r="C4070" s="7">
        <v>45932</v>
      </c>
      <c r="D4070" s="7">
        <v>46075</v>
      </c>
      <c r="E4070" s="8">
        <v>1</v>
      </c>
      <c r="F4070" s="6" t="str">
        <f t="shared" ref="F4070:F4075" si="1052">"Risacas/ondas R"</f>
        <v>Risacas/ondas R</v>
      </c>
      <c r="G4070" s="6" t="str">
        <f>"R320384338000000"</f>
        <v>R320384338000000</v>
      </c>
      <c r="H4070" s="6" t="str">
        <f>"R 3843 - PL 1202 (m)"</f>
        <v>R 3843 - PL 1202 (m)</v>
      </c>
      <c r="I4070" s="6" t="str">
        <f t="shared" si="1049"/>
        <v>200559</v>
      </c>
      <c r="J4070" s="6" t="str">
        <f t="shared" si="1050"/>
        <v>LARANJA 559</v>
      </c>
      <c r="K4070" s="6" t="str">
        <f>"5002"</f>
        <v>5002</v>
      </c>
      <c r="L4070" s="6" t="str">
        <f>"Roupões Adulto"</f>
        <v>Roupões Adulto</v>
      </c>
      <c r="M4070" s="6" t="str">
        <f>"S"</f>
        <v>S</v>
      </c>
      <c r="N4070" s="6" t="str">
        <f>"5602972522709"</f>
        <v>5602972522709</v>
      </c>
      <c r="O4070" s="8">
        <v>120</v>
      </c>
      <c r="P4070" s="7">
        <v>46021</v>
      </c>
      <c r="R4070" s="8">
        <v>888</v>
      </c>
      <c r="S4070" s="7">
        <v>46029</v>
      </c>
      <c r="U4070" s="8">
        <v>888</v>
      </c>
      <c r="V4070" s="7">
        <v>46034</v>
      </c>
      <c r="X4070" s="8">
        <v>888</v>
      </c>
      <c r="Z4070" s="8">
        <v>0</v>
      </c>
      <c r="AA4070" s="7">
        <v>46044</v>
      </c>
      <c r="AC4070" s="8">
        <v>0</v>
      </c>
      <c r="AE4070" s="7">
        <v>46048</v>
      </c>
      <c r="AF4070" s="8">
        <v>0</v>
      </c>
      <c r="AH4070" s="7">
        <v>46045</v>
      </c>
      <c r="AN4070" s="8">
        <v>0</v>
      </c>
      <c r="AO4070" s="8">
        <v>120</v>
      </c>
    </row>
    <row r="4071" spans="1:41" x14ac:dyDescent="0.25">
      <c r="A4071" s="6" t="str">
        <f t="shared" si="1051"/>
        <v>525-2025000491</v>
      </c>
      <c r="B4071" s="6" t="str">
        <f t="shared" si="1037"/>
        <v>Lasa Int</v>
      </c>
      <c r="C4071" s="7">
        <v>45932</v>
      </c>
      <c r="D4071" s="7">
        <v>46075</v>
      </c>
      <c r="E4071" s="8">
        <v>2</v>
      </c>
      <c r="F4071" s="6" t="str">
        <f t="shared" si="1052"/>
        <v>Risacas/ondas R</v>
      </c>
      <c r="G4071" s="6" t="str">
        <f>"R320384338000000"</f>
        <v>R320384338000000</v>
      </c>
      <c r="H4071" s="6" t="str">
        <f>"R 3843 - PL 1202 (m)"</f>
        <v>R 3843 - PL 1202 (m)</v>
      </c>
      <c r="I4071" s="6" t="str">
        <f t="shared" si="1049"/>
        <v>200559</v>
      </c>
      <c r="J4071" s="6" t="str">
        <f t="shared" si="1050"/>
        <v>LARANJA 559</v>
      </c>
      <c r="K4071" s="6" t="str">
        <f>"5004"</f>
        <v>5004</v>
      </c>
      <c r="L4071" s="6" t="str">
        <f>"Roupões Adulto"</f>
        <v>Roupões Adulto</v>
      </c>
      <c r="M4071" s="6" t="str">
        <f>"M"</f>
        <v>M</v>
      </c>
      <c r="N4071" s="6" t="str">
        <f>"5602972522716"</f>
        <v>5602972522716</v>
      </c>
      <c r="O4071" s="8">
        <v>156</v>
      </c>
      <c r="P4071" s="7">
        <v>46021</v>
      </c>
      <c r="R4071" s="8">
        <v>0</v>
      </c>
      <c r="S4071" s="7">
        <v>46029</v>
      </c>
      <c r="U4071" s="8">
        <v>0</v>
      </c>
      <c r="V4071" s="7">
        <v>46034</v>
      </c>
      <c r="X4071" s="8">
        <v>0</v>
      </c>
      <c r="Z4071" s="8">
        <v>0</v>
      </c>
      <c r="AA4071" s="7">
        <v>46044</v>
      </c>
      <c r="AC4071" s="8">
        <v>0</v>
      </c>
      <c r="AE4071" s="7">
        <v>46048</v>
      </c>
      <c r="AF4071" s="8">
        <v>0</v>
      </c>
      <c r="AH4071" s="7">
        <v>46045</v>
      </c>
      <c r="AN4071" s="8">
        <v>0</v>
      </c>
      <c r="AO4071" s="8">
        <v>156</v>
      </c>
    </row>
    <row r="4072" spans="1:41" x14ac:dyDescent="0.25">
      <c r="A4072" s="6" t="str">
        <f t="shared" si="1051"/>
        <v>525-2025000491</v>
      </c>
      <c r="B4072" s="6" t="str">
        <f t="shared" si="1037"/>
        <v>Lasa Int</v>
      </c>
      <c r="C4072" s="7">
        <v>45932</v>
      </c>
      <c r="D4072" s="7">
        <v>46075</v>
      </c>
      <c r="E4072" s="8">
        <v>3</v>
      </c>
      <c r="F4072" s="6" t="str">
        <f t="shared" si="1052"/>
        <v>Risacas/ondas R</v>
      </c>
      <c r="G4072" s="6" t="str">
        <f>"R320384338000000"</f>
        <v>R320384338000000</v>
      </c>
      <c r="H4072" s="6" t="str">
        <f>"R 3843 - PL 1202 (m)"</f>
        <v>R 3843 - PL 1202 (m)</v>
      </c>
      <c r="I4072" s="6" t="str">
        <f t="shared" si="1049"/>
        <v>200559</v>
      </c>
      <c r="J4072" s="6" t="str">
        <f t="shared" si="1050"/>
        <v>LARANJA 559</v>
      </c>
      <c r="K4072" s="6" t="str">
        <f>"5006"</f>
        <v>5006</v>
      </c>
      <c r="L4072" s="6" t="str">
        <f>"Roupões Adulto"</f>
        <v>Roupões Adulto</v>
      </c>
      <c r="M4072" s="6" t="str">
        <f>"L"</f>
        <v>L</v>
      </c>
      <c r="N4072" s="6" t="str">
        <f>"5602972522723"</f>
        <v>5602972522723</v>
      </c>
      <c r="O4072" s="8">
        <v>96</v>
      </c>
      <c r="P4072" s="7">
        <v>46021</v>
      </c>
      <c r="R4072" s="8">
        <v>0</v>
      </c>
      <c r="S4072" s="7">
        <v>46029</v>
      </c>
      <c r="U4072" s="8">
        <v>0</v>
      </c>
      <c r="V4072" s="7">
        <v>46034</v>
      </c>
      <c r="X4072" s="8">
        <v>0</v>
      </c>
      <c r="Z4072" s="8">
        <v>0</v>
      </c>
      <c r="AA4072" s="7">
        <v>46044</v>
      </c>
      <c r="AC4072" s="8">
        <v>0</v>
      </c>
      <c r="AE4072" s="7">
        <v>46048</v>
      </c>
      <c r="AF4072" s="8">
        <v>0</v>
      </c>
      <c r="AH4072" s="7">
        <v>46045</v>
      </c>
      <c r="AN4072" s="8">
        <v>0</v>
      </c>
      <c r="AO4072" s="8">
        <v>96</v>
      </c>
    </row>
    <row r="4073" spans="1:41" x14ac:dyDescent="0.25">
      <c r="A4073" s="6" t="str">
        <f t="shared" si="1051"/>
        <v>525-2025000491</v>
      </c>
      <c r="B4073" s="6" t="str">
        <f t="shared" si="1037"/>
        <v>Lasa Int</v>
      </c>
      <c r="C4073" s="7">
        <v>45932</v>
      </c>
      <c r="D4073" s="7">
        <v>46075</v>
      </c>
      <c r="E4073" s="8">
        <v>4</v>
      </c>
      <c r="F4073" s="6" t="str">
        <f t="shared" si="1052"/>
        <v>Risacas/ondas R</v>
      </c>
      <c r="G4073" s="6" t="str">
        <f>"R320384338000000"</f>
        <v>R320384338000000</v>
      </c>
      <c r="H4073" s="6" t="str">
        <f>"R 3843 - PL 1202 (m)"</f>
        <v>R 3843 - PL 1202 (m)</v>
      </c>
      <c r="I4073" s="6" t="str">
        <f t="shared" si="1049"/>
        <v>200559</v>
      </c>
      <c r="J4073" s="6" t="str">
        <f t="shared" si="1050"/>
        <v>LARANJA 559</v>
      </c>
      <c r="K4073" s="6" t="str">
        <f>"5008"</f>
        <v>5008</v>
      </c>
      <c r="L4073" s="6" t="str">
        <f>"Roupões Adulto"</f>
        <v>Roupões Adulto</v>
      </c>
      <c r="M4073" s="6" t="str">
        <f>"XL"</f>
        <v>XL</v>
      </c>
      <c r="N4073" s="6" t="str">
        <f>"5602972522730"</f>
        <v>5602972522730</v>
      </c>
      <c r="O4073" s="8">
        <v>36</v>
      </c>
      <c r="P4073" s="7">
        <v>46021</v>
      </c>
      <c r="R4073" s="8">
        <v>0</v>
      </c>
      <c r="S4073" s="7">
        <v>46029</v>
      </c>
      <c r="U4073" s="8">
        <v>0</v>
      </c>
      <c r="V4073" s="7">
        <v>46034</v>
      </c>
      <c r="X4073" s="8">
        <v>0</v>
      </c>
      <c r="Z4073" s="8">
        <v>0</v>
      </c>
      <c r="AA4073" s="7">
        <v>46044</v>
      </c>
      <c r="AC4073" s="8">
        <v>0</v>
      </c>
      <c r="AE4073" s="7">
        <v>46048</v>
      </c>
      <c r="AF4073" s="8">
        <v>0</v>
      </c>
      <c r="AH4073" s="7">
        <v>46045</v>
      </c>
      <c r="AN4073" s="8">
        <v>0</v>
      </c>
      <c r="AO4073" s="8">
        <v>36</v>
      </c>
    </row>
    <row r="4074" spans="1:41" x14ac:dyDescent="0.25">
      <c r="A4074" s="6" t="str">
        <f t="shared" si="1051"/>
        <v>525-2025000491</v>
      </c>
      <c r="B4074" s="6" t="str">
        <f t="shared" si="1037"/>
        <v>Lasa Int</v>
      </c>
      <c r="C4074" s="7">
        <v>45932</v>
      </c>
      <c r="D4074" s="7">
        <v>46075</v>
      </c>
      <c r="E4074" s="8">
        <v>5</v>
      </c>
      <c r="F4074" s="6" t="str">
        <f t="shared" si="1052"/>
        <v>Risacas/ondas R</v>
      </c>
      <c r="G4074" s="6" t="str">
        <f>"K320244538000000"</f>
        <v>K320244538000000</v>
      </c>
      <c r="H4074" s="6" t="str">
        <f>"KB 2445 - PL 1202 (m"</f>
        <v>KB 2445 - PL 1202 (m</v>
      </c>
      <c r="I4074" s="6" t="str">
        <f t="shared" si="1049"/>
        <v>200559</v>
      </c>
      <c r="J4074" s="6" t="str">
        <f t="shared" si="1050"/>
        <v>LARANJA 559</v>
      </c>
      <c r="K4074" s="6" t="str">
        <f>"4865"</f>
        <v>4865</v>
      </c>
      <c r="L4074" s="6" t="str">
        <f>"Chinelos"</f>
        <v>Chinelos</v>
      </c>
      <c r="M4074" s="6" t="str">
        <f>"Tamanho S/"</f>
        <v>Tamanho S/</v>
      </c>
      <c r="N4074" s="6" t="str">
        <f>"5602972522747"</f>
        <v>5602972522747</v>
      </c>
      <c r="O4074" s="8">
        <v>96</v>
      </c>
      <c r="P4074" s="7">
        <v>46021</v>
      </c>
      <c r="R4074" s="8">
        <v>0</v>
      </c>
      <c r="S4074" s="7">
        <v>46029</v>
      </c>
      <c r="U4074" s="8">
        <v>0</v>
      </c>
      <c r="V4074" s="7">
        <v>46034</v>
      </c>
      <c r="X4074" s="8">
        <v>0</v>
      </c>
      <c r="Z4074" s="8">
        <v>0</v>
      </c>
      <c r="AA4074" s="7">
        <v>46044</v>
      </c>
      <c r="AC4074" s="8">
        <v>0</v>
      </c>
      <c r="AE4074" s="7">
        <v>46048</v>
      </c>
      <c r="AF4074" s="8">
        <v>0</v>
      </c>
      <c r="AH4074" s="7">
        <v>46045</v>
      </c>
      <c r="AN4074" s="8">
        <v>0</v>
      </c>
      <c r="AO4074" s="8">
        <v>96</v>
      </c>
    </row>
    <row r="4075" spans="1:41" x14ac:dyDescent="0.25">
      <c r="A4075" s="6" t="str">
        <f t="shared" si="1051"/>
        <v>525-2025000491</v>
      </c>
      <c r="B4075" s="6" t="str">
        <f t="shared" si="1037"/>
        <v>Lasa Int</v>
      </c>
      <c r="C4075" s="7">
        <v>45932</v>
      </c>
      <c r="D4075" s="7">
        <v>46075</v>
      </c>
      <c r="E4075" s="8">
        <v>6</v>
      </c>
      <c r="F4075" s="6" t="str">
        <f t="shared" si="1052"/>
        <v>Risacas/ondas R</v>
      </c>
      <c r="G4075" s="6" t="str">
        <f>"K320244538000000"</f>
        <v>K320244538000000</v>
      </c>
      <c r="H4075" s="6" t="str">
        <f>"KB 2445 - PL 1202 (m"</f>
        <v>KB 2445 - PL 1202 (m</v>
      </c>
      <c r="I4075" s="6" t="str">
        <f t="shared" si="1049"/>
        <v>200559</v>
      </c>
      <c r="J4075" s="6" t="str">
        <f t="shared" si="1050"/>
        <v>LARANJA 559</v>
      </c>
      <c r="K4075" s="6" t="str">
        <f>"4867"</f>
        <v>4867</v>
      </c>
      <c r="L4075" s="6" t="str">
        <f>"Chinelos"</f>
        <v>Chinelos</v>
      </c>
      <c r="M4075" s="6" t="str">
        <f>"Tamanho L/"</f>
        <v>Tamanho L/</v>
      </c>
      <c r="N4075" s="6" t="str">
        <f>"5602972522754"</f>
        <v>5602972522754</v>
      </c>
      <c r="O4075" s="8">
        <v>60</v>
      </c>
      <c r="P4075" s="7">
        <v>46021</v>
      </c>
      <c r="R4075" s="8">
        <v>0</v>
      </c>
      <c r="S4075" s="7">
        <v>46029</v>
      </c>
      <c r="U4075" s="8">
        <v>0</v>
      </c>
      <c r="V4075" s="7">
        <v>46034</v>
      </c>
      <c r="X4075" s="8">
        <v>0</v>
      </c>
      <c r="Z4075" s="8">
        <v>0</v>
      </c>
      <c r="AA4075" s="7">
        <v>46044</v>
      </c>
      <c r="AC4075" s="8">
        <v>0</v>
      </c>
      <c r="AE4075" s="7">
        <v>46048</v>
      </c>
      <c r="AF4075" s="8">
        <v>0</v>
      </c>
      <c r="AH4075" s="7">
        <v>46045</v>
      </c>
      <c r="AN4075" s="8">
        <v>0</v>
      </c>
      <c r="AO4075" s="8">
        <v>60</v>
      </c>
    </row>
    <row r="4076" spans="1:41" x14ac:dyDescent="0.25">
      <c r="A4076" s="6" t="str">
        <f t="shared" ref="A4076:A4090" si="1053">"525-2025000493"</f>
        <v>525-2025000493</v>
      </c>
      <c r="B4076" s="6" t="str">
        <f t="shared" si="1037"/>
        <v>Lasa Int</v>
      </c>
      <c r="C4076" s="7">
        <v>45932</v>
      </c>
      <c r="D4076" s="7">
        <v>46075</v>
      </c>
      <c r="E4076" s="8">
        <v>1</v>
      </c>
      <c r="F4076" s="6" t="str">
        <f t="shared" ref="F4076:F4090" si="1054">"Riscas/Ondas II"</f>
        <v>Riscas/Ondas II</v>
      </c>
      <c r="G4076" s="6" t="str">
        <f t="shared" ref="G4076:G4090" si="1055">"F300374550000000"</f>
        <v>F300374550000000</v>
      </c>
      <c r="H4076" s="6" t="str">
        <f t="shared" ref="H4076:H4090" si="1056">"PLR 3745 - 500 g/m²"</f>
        <v>PLR 3745 - 500 g/m²</v>
      </c>
      <c r="I4076" s="6" t="str">
        <f t="shared" si="1049"/>
        <v>200559</v>
      </c>
      <c r="J4076" s="6" t="str">
        <f t="shared" si="1050"/>
        <v>LARANJA 559</v>
      </c>
      <c r="K4076" s="6" t="str">
        <f>"0112"</f>
        <v>0112</v>
      </c>
      <c r="L4076" s="6" t="str">
        <f>"Luvas"</f>
        <v>Luvas</v>
      </c>
      <c r="M4076" s="6" t="str">
        <f>"16x21"</f>
        <v>16x21</v>
      </c>
      <c r="N4076" s="6" t="str">
        <f>"5602972522358"</f>
        <v>5602972522358</v>
      </c>
      <c r="O4076" s="8">
        <v>180</v>
      </c>
      <c r="P4076" s="7">
        <v>46010</v>
      </c>
      <c r="R4076" s="8">
        <v>192</v>
      </c>
      <c r="S4076" s="7">
        <v>46015</v>
      </c>
      <c r="U4076" s="8">
        <v>192</v>
      </c>
      <c r="V4076" s="7">
        <v>46028</v>
      </c>
      <c r="X4076" s="8">
        <v>0</v>
      </c>
      <c r="Z4076" s="8">
        <v>192</v>
      </c>
      <c r="AA4076" s="7">
        <v>46042</v>
      </c>
      <c r="AC4076" s="8">
        <v>0</v>
      </c>
      <c r="AE4076" s="7">
        <v>46045</v>
      </c>
      <c r="AF4076" s="8">
        <v>0</v>
      </c>
      <c r="AH4076" s="7">
        <v>46045</v>
      </c>
      <c r="AN4076" s="8">
        <v>0</v>
      </c>
      <c r="AO4076" s="8">
        <v>180</v>
      </c>
    </row>
    <row r="4077" spans="1:41" x14ac:dyDescent="0.25">
      <c r="A4077" s="6" t="str">
        <f t="shared" si="1053"/>
        <v>525-2025000493</v>
      </c>
      <c r="B4077" s="6" t="str">
        <f t="shared" si="1037"/>
        <v>Lasa Int</v>
      </c>
      <c r="C4077" s="7">
        <v>45932</v>
      </c>
      <c r="D4077" s="7">
        <v>46075</v>
      </c>
      <c r="E4077" s="8">
        <v>2</v>
      </c>
      <c r="F4077" s="6" t="str">
        <f t="shared" si="1054"/>
        <v>Riscas/Ondas II</v>
      </c>
      <c r="G4077" s="6" t="str">
        <f t="shared" si="1055"/>
        <v>F300374550000000</v>
      </c>
      <c r="H4077" s="6" t="str">
        <f t="shared" si="1056"/>
        <v>PLR 3745 - 500 g/m²</v>
      </c>
      <c r="I4077" s="6" t="str">
        <f t="shared" si="1049"/>
        <v>200559</v>
      </c>
      <c r="J4077" s="6" t="str">
        <f t="shared" si="1050"/>
        <v>LARANJA 559</v>
      </c>
      <c r="K4077" s="6" t="str">
        <f>"0530"</f>
        <v>0530</v>
      </c>
      <c r="L4077" s="6" t="str">
        <f>"Toalhetes"</f>
        <v>Toalhetes</v>
      </c>
      <c r="M4077" s="6" t="str">
        <f>"33x50"</f>
        <v>33x50</v>
      </c>
      <c r="N4077" s="6" t="str">
        <f>"5602972522365"</f>
        <v>5602972522365</v>
      </c>
      <c r="O4077" s="8">
        <v>480</v>
      </c>
      <c r="P4077" s="7">
        <v>46010</v>
      </c>
      <c r="R4077" s="8">
        <v>522</v>
      </c>
      <c r="S4077" s="7">
        <v>46015</v>
      </c>
      <c r="U4077" s="8">
        <v>522</v>
      </c>
      <c r="V4077" s="7">
        <v>46028</v>
      </c>
      <c r="X4077" s="8">
        <v>0</v>
      </c>
      <c r="Z4077" s="8">
        <v>522</v>
      </c>
      <c r="AA4077" s="7">
        <v>46042</v>
      </c>
      <c r="AC4077" s="8">
        <v>0</v>
      </c>
      <c r="AE4077" s="7">
        <v>46045</v>
      </c>
      <c r="AF4077" s="8">
        <v>0</v>
      </c>
      <c r="AH4077" s="7">
        <v>46045</v>
      </c>
      <c r="AN4077" s="8">
        <v>0</v>
      </c>
      <c r="AO4077" s="8">
        <v>480</v>
      </c>
    </row>
    <row r="4078" spans="1:41" x14ac:dyDescent="0.25">
      <c r="A4078" s="6" t="str">
        <f t="shared" si="1053"/>
        <v>525-2025000493</v>
      </c>
      <c r="B4078" s="6" t="str">
        <f t="shared" si="1037"/>
        <v>Lasa Int</v>
      </c>
      <c r="C4078" s="7">
        <v>45932</v>
      </c>
      <c r="D4078" s="7">
        <v>46075</v>
      </c>
      <c r="E4078" s="8">
        <v>3</v>
      </c>
      <c r="F4078" s="6" t="str">
        <f t="shared" si="1054"/>
        <v>Riscas/Ondas II</v>
      </c>
      <c r="G4078" s="6" t="str">
        <f t="shared" si="1055"/>
        <v>F300374550000000</v>
      </c>
      <c r="H4078" s="6" t="str">
        <f t="shared" si="1056"/>
        <v>PLR 3745 - 500 g/m²</v>
      </c>
      <c r="I4078" s="6" t="str">
        <f t="shared" si="1049"/>
        <v>200559</v>
      </c>
      <c r="J4078" s="6" t="str">
        <f t="shared" si="1050"/>
        <v>LARANJA 559</v>
      </c>
      <c r="K4078" s="6" t="str">
        <f>"1024"</f>
        <v>1024</v>
      </c>
      <c r="L4078" s="6" t="str">
        <f>"Toalhas"</f>
        <v>Toalhas</v>
      </c>
      <c r="M4078" s="6" t="str">
        <f>"50x100"</f>
        <v>50x100</v>
      </c>
      <c r="N4078" s="6" t="str">
        <f>"5602972522372"</f>
        <v>5602972522372</v>
      </c>
      <c r="O4078" s="8">
        <v>640</v>
      </c>
      <c r="P4078" s="7">
        <v>46010</v>
      </c>
      <c r="R4078" s="8">
        <v>672</v>
      </c>
      <c r="S4078" s="7">
        <v>46015</v>
      </c>
      <c r="U4078" s="8">
        <v>672</v>
      </c>
      <c r="V4078" s="7">
        <v>46028</v>
      </c>
      <c r="X4078" s="8">
        <v>0</v>
      </c>
      <c r="Z4078" s="8">
        <v>672</v>
      </c>
      <c r="AA4078" s="7">
        <v>46042</v>
      </c>
      <c r="AC4078" s="8">
        <v>0</v>
      </c>
      <c r="AE4078" s="7">
        <v>46045</v>
      </c>
      <c r="AF4078" s="8">
        <v>0</v>
      </c>
      <c r="AH4078" s="7">
        <v>46045</v>
      </c>
      <c r="AN4078" s="8">
        <v>0</v>
      </c>
      <c r="AO4078" s="8">
        <v>640</v>
      </c>
    </row>
    <row r="4079" spans="1:41" x14ac:dyDescent="0.25">
      <c r="A4079" s="6" t="str">
        <f t="shared" si="1053"/>
        <v>525-2025000493</v>
      </c>
      <c r="B4079" s="6" t="str">
        <f t="shared" si="1037"/>
        <v>Lasa Int</v>
      </c>
      <c r="C4079" s="7">
        <v>45932</v>
      </c>
      <c r="D4079" s="7">
        <v>46075</v>
      </c>
      <c r="E4079" s="8">
        <v>4</v>
      </c>
      <c r="F4079" s="6" t="str">
        <f t="shared" si="1054"/>
        <v>Riscas/Ondas II</v>
      </c>
      <c r="G4079" s="6" t="str">
        <f t="shared" si="1055"/>
        <v>F300374550000000</v>
      </c>
      <c r="H4079" s="6" t="str">
        <f t="shared" si="1056"/>
        <v>PLR 3745 - 500 g/m²</v>
      </c>
      <c r="I4079" s="6" t="str">
        <f t="shared" si="1049"/>
        <v>200559</v>
      </c>
      <c r="J4079" s="6" t="str">
        <f t="shared" si="1050"/>
        <v>LARANJA 559</v>
      </c>
      <c r="K4079" s="6" t="str">
        <f>"1535"</f>
        <v>1535</v>
      </c>
      <c r="L4079" s="6" t="str">
        <f>"Toalhões"</f>
        <v>Toalhões</v>
      </c>
      <c r="M4079" s="6" t="str">
        <f>"70x140"</f>
        <v>70x140</v>
      </c>
      <c r="N4079" s="6" t="str">
        <f>"5602972522389"</f>
        <v>5602972522389</v>
      </c>
      <c r="O4079" s="8">
        <v>240</v>
      </c>
      <c r="P4079" s="7">
        <v>46010</v>
      </c>
      <c r="R4079" s="8">
        <v>264</v>
      </c>
      <c r="S4079" s="7">
        <v>46015</v>
      </c>
      <c r="U4079" s="8">
        <v>264</v>
      </c>
      <c r="V4079" s="7">
        <v>46028</v>
      </c>
      <c r="X4079" s="8">
        <v>0</v>
      </c>
      <c r="Z4079" s="8">
        <v>264</v>
      </c>
      <c r="AA4079" s="7">
        <v>46042</v>
      </c>
      <c r="AC4079" s="8">
        <v>0</v>
      </c>
      <c r="AE4079" s="7">
        <v>46045</v>
      </c>
      <c r="AF4079" s="8">
        <v>0</v>
      </c>
      <c r="AH4079" s="7">
        <v>46045</v>
      </c>
      <c r="AN4079" s="8">
        <v>0</v>
      </c>
      <c r="AO4079" s="8">
        <v>240</v>
      </c>
    </row>
    <row r="4080" spans="1:41" x14ac:dyDescent="0.25">
      <c r="A4080" s="6" t="str">
        <f t="shared" si="1053"/>
        <v>525-2025000493</v>
      </c>
      <c r="B4080" s="6" t="str">
        <f t="shared" si="1037"/>
        <v>Lasa Int</v>
      </c>
      <c r="C4080" s="7">
        <v>45932</v>
      </c>
      <c r="D4080" s="7">
        <v>46075</v>
      </c>
      <c r="E4080" s="8">
        <v>5</v>
      </c>
      <c r="F4080" s="6" t="str">
        <f t="shared" si="1054"/>
        <v>Riscas/Ondas II</v>
      </c>
      <c r="G4080" s="6" t="str">
        <f t="shared" si="1055"/>
        <v>F300374550000000</v>
      </c>
      <c r="H4080" s="6" t="str">
        <f t="shared" si="1056"/>
        <v>PLR 3745 - 500 g/m²</v>
      </c>
      <c r="I4080" s="6" t="str">
        <f t="shared" si="1049"/>
        <v>200559</v>
      </c>
      <c r="J4080" s="6" t="str">
        <f t="shared" si="1050"/>
        <v>LARANJA 559</v>
      </c>
      <c r="K4080" s="6" t="str">
        <f>"2020"</f>
        <v>2020</v>
      </c>
      <c r="L4080" s="6" t="str">
        <f>"Lençóis"</f>
        <v>Lençóis</v>
      </c>
      <c r="M4080" s="6" t="str">
        <f>"100x150"</f>
        <v>100x150</v>
      </c>
      <c r="N4080" s="6" t="str">
        <f>"5602972522396"</f>
        <v>5602972522396</v>
      </c>
      <c r="O4080" s="8">
        <v>180</v>
      </c>
      <c r="P4080" s="7">
        <v>46010</v>
      </c>
      <c r="R4080" s="8">
        <v>182</v>
      </c>
      <c r="S4080" s="7">
        <v>46015</v>
      </c>
      <c r="U4080" s="8">
        <v>182</v>
      </c>
      <c r="V4080" s="7">
        <v>46028</v>
      </c>
      <c r="X4080" s="8">
        <v>0</v>
      </c>
      <c r="Z4080" s="8">
        <v>182</v>
      </c>
      <c r="AA4080" s="7">
        <v>46042</v>
      </c>
      <c r="AC4080" s="8">
        <v>0</v>
      </c>
      <c r="AE4080" s="7">
        <v>46045</v>
      </c>
      <c r="AF4080" s="8">
        <v>0</v>
      </c>
      <c r="AH4080" s="7">
        <v>46045</v>
      </c>
      <c r="AN4080" s="8">
        <v>0</v>
      </c>
      <c r="AO4080" s="8">
        <v>180</v>
      </c>
    </row>
    <row r="4081" spans="1:41" x14ac:dyDescent="0.25">
      <c r="A4081" s="6" t="str">
        <f t="shared" si="1053"/>
        <v>525-2025000493</v>
      </c>
      <c r="B4081" s="6" t="str">
        <f t="shared" si="1037"/>
        <v>Lasa Int</v>
      </c>
      <c r="C4081" s="7">
        <v>45932</v>
      </c>
      <c r="D4081" s="7">
        <v>46075</v>
      </c>
      <c r="E4081" s="8">
        <v>6</v>
      </c>
      <c r="F4081" s="6" t="str">
        <f t="shared" si="1054"/>
        <v>Riscas/Ondas II</v>
      </c>
      <c r="G4081" s="6" t="str">
        <f t="shared" si="1055"/>
        <v>F300374550000000</v>
      </c>
      <c r="H4081" s="6" t="str">
        <f t="shared" si="1056"/>
        <v>PLR 3745 - 500 g/m²</v>
      </c>
      <c r="I4081" s="6" t="str">
        <f>"201597"</f>
        <v>201597</v>
      </c>
      <c r="J4081" s="6" t="str">
        <f>"AZUL 1597"</f>
        <v>AZUL 1597</v>
      </c>
      <c r="K4081" s="6" t="str">
        <f>"0112"</f>
        <v>0112</v>
      </c>
      <c r="L4081" s="6" t="str">
        <f>"Luvas"</f>
        <v>Luvas</v>
      </c>
      <c r="M4081" s="6" t="str">
        <f>"16x21"</f>
        <v>16x21</v>
      </c>
      <c r="N4081" s="6" t="str">
        <f>"5602972522402"</f>
        <v>5602972522402</v>
      </c>
      <c r="O4081" s="8">
        <v>180</v>
      </c>
      <c r="P4081" s="7">
        <v>46010</v>
      </c>
      <c r="R4081" s="8">
        <v>192</v>
      </c>
      <c r="S4081" s="7">
        <v>46015</v>
      </c>
      <c r="U4081" s="8">
        <v>192</v>
      </c>
      <c r="V4081" s="7">
        <v>46028</v>
      </c>
      <c r="X4081" s="8">
        <v>0</v>
      </c>
      <c r="Z4081" s="8">
        <v>192</v>
      </c>
      <c r="AA4081" s="7">
        <v>46042</v>
      </c>
      <c r="AC4081" s="8">
        <v>0</v>
      </c>
      <c r="AE4081" s="7">
        <v>46045</v>
      </c>
      <c r="AF4081" s="8">
        <v>0</v>
      </c>
      <c r="AH4081" s="7">
        <v>46045</v>
      </c>
      <c r="AN4081" s="8">
        <v>0</v>
      </c>
      <c r="AO4081" s="8">
        <v>180</v>
      </c>
    </row>
    <row r="4082" spans="1:41" x14ac:dyDescent="0.25">
      <c r="A4082" s="6" t="str">
        <f t="shared" si="1053"/>
        <v>525-2025000493</v>
      </c>
      <c r="B4082" s="6" t="str">
        <f t="shared" si="1037"/>
        <v>Lasa Int</v>
      </c>
      <c r="C4082" s="7">
        <v>45932</v>
      </c>
      <c r="D4082" s="7">
        <v>46075</v>
      </c>
      <c r="E4082" s="8">
        <v>7</v>
      </c>
      <c r="F4082" s="6" t="str">
        <f t="shared" si="1054"/>
        <v>Riscas/Ondas II</v>
      </c>
      <c r="G4082" s="6" t="str">
        <f t="shared" si="1055"/>
        <v>F300374550000000</v>
      </c>
      <c r="H4082" s="6" t="str">
        <f t="shared" si="1056"/>
        <v>PLR 3745 - 500 g/m²</v>
      </c>
      <c r="I4082" s="6" t="str">
        <f>"201597"</f>
        <v>201597</v>
      </c>
      <c r="J4082" s="6" t="str">
        <f>"AZUL 1597"</f>
        <v>AZUL 1597</v>
      </c>
      <c r="K4082" s="6" t="str">
        <f>"0530"</f>
        <v>0530</v>
      </c>
      <c r="L4082" s="6" t="str">
        <f>"Toalhetes"</f>
        <v>Toalhetes</v>
      </c>
      <c r="M4082" s="6" t="str">
        <f>"33x50"</f>
        <v>33x50</v>
      </c>
      <c r="N4082" s="6" t="str">
        <f>"5602972522419"</f>
        <v>5602972522419</v>
      </c>
      <c r="O4082" s="8">
        <v>480</v>
      </c>
      <c r="P4082" s="7">
        <v>46010</v>
      </c>
      <c r="R4082" s="8">
        <v>522</v>
      </c>
      <c r="S4082" s="7">
        <v>46015</v>
      </c>
      <c r="U4082" s="8">
        <v>522</v>
      </c>
      <c r="V4082" s="7">
        <v>46028</v>
      </c>
      <c r="X4082" s="8">
        <v>0</v>
      </c>
      <c r="Z4082" s="8">
        <v>522</v>
      </c>
      <c r="AA4082" s="7">
        <v>46042</v>
      </c>
      <c r="AC4082" s="8">
        <v>0</v>
      </c>
      <c r="AE4082" s="7">
        <v>46045</v>
      </c>
      <c r="AF4082" s="8">
        <v>0</v>
      </c>
      <c r="AH4082" s="7">
        <v>46045</v>
      </c>
      <c r="AN4082" s="8">
        <v>0</v>
      </c>
      <c r="AO4082" s="8">
        <v>480</v>
      </c>
    </row>
    <row r="4083" spans="1:41" x14ac:dyDescent="0.25">
      <c r="A4083" s="6" t="str">
        <f t="shared" si="1053"/>
        <v>525-2025000493</v>
      </c>
      <c r="B4083" s="6" t="str">
        <f t="shared" si="1037"/>
        <v>Lasa Int</v>
      </c>
      <c r="C4083" s="7">
        <v>45932</v>
      </c>
      <c r="D4083" s="7">
        <v>46075</v>
      </c>
      <c r="E4083" s="8">
        <v>8</v>
      </c>
      <c r="F4083" s="6" t="str">
        <f t="shared" si="1054"/>
        <v>Riscas/Ondas II</v>
      </c>
      <c r="G4083" s="6" t="str">
        <f t="shared" si="1055"/>
        <v>F300374550000000</v>
      </c>
      <c r="H4083" s="6" t="str">
        <f t="shared" si="1056"/>
        <v>PLR 3745 - 500 g/m²</v>
      </c>
      <c r="I4083" s="6" t="str">
        <f>"201597"</f>
        <v>201597</v>
      </c>
      <c r="J4083" s="6" t="str">
        <f>"AZUL 1597"</f>
        <v>AZUL 1597</v>
      </c>
      <c r="K4083" s="6" t="str">
        <f>"1024"</f>
        <v>1024</v>
      </c>
      <c r="L4083" s="6" t="str">
        <f>"Toalhas"</f>
        <v>Toalhas</v>
      </c>
      <c r="M4083" s="6" t="str">
        <f>"50x100"</f>
        <v>50x100</v>
      </c>
      <c r="N4083" s="6" t="str">
        <f>"5602972522426"</f>
        <v>5602972522426</v>
      </c>
      <c r="O4083" s="8">
        <v>640</v>
      </c>
      <c r="P4083" s="7">
        <v>46010</v>
      </c>
      <c r="R4083" s="8">
        <v>672</v>
      </c>
      <c r="S4083" s="7">
        <v>46015</v>
      </c>
      <c r="U4083" s="8">
        <v>672</v>
      </c>
      <c r="V4083" s="7">
        <v>46028</v>
      </c>
      <c r="X4083" s="8">
        <v>0</v>
      </c>
      <c r="Z4083" s="8">
        <v>672</v>
      </c>
      <c r="AA4083" s="7">
        <v>46042</v>
      </c>
      <c r="AC4083" s="8">
        <v>0</v>
      </c>
      <c r="AE4083" s="7">
        <v>46045</v>
      </c>
      <c r="AF4083" s="8">
        <v>0</v>
      </c>
      <c r="AH4083" s="7">
        <v>46045</v>
      </c>
      <c r="AN4083" s="8">
        <v>0</v>
      </c>
      <c r="AO4083" s="8">
        <v>640</v>
      </c>
    </row>
    <row r="4084" spans="1:41" x14ac:dyDescent="0.25">
      <c r="A4084" s="6" t="str">
        <f t="shared" si="1053"/>
        <v>525-2025000493</v>
      </c>
      <c r="B4084" s="6" t="str">
        <f t="shared" si="1037"/>
        <v>Lasa Int</v>
      </c>
      <c r="C4084" s="7">
        <v>45932</v>
      </c>
      <c r="D4084" s="7">
        <v>46075</v>
      </c>
      <c r="E4084" s="8">
        <v>9</v>
      </c>
      <c r="F4084" s="6" t="str">
        <f t="shared" si="1054"/>
        <v>Riscas/Ondas II</v>
      </c>
      <c r="G4084" s="6" t="str">
        <f t="shared" si="1055"/>
        <v>F300374550000000</v>
      </c>
      <c r="H4084" s="6" t="str">
        <f t="shared" si="1056"/>
        <v>PLR 3745 - 500 g/m²</v>
      </c>
      <c r="I4084" s="6" t="str">
        <f>"201597"</f>
        <v>201597</v>
      </c>
      <c r="J4084" s="6" t="str">
        <f>"AZUL 1597"</f>
        <v>AZUL 1597</v>
      </c>
      <c r="K4084" s="6" t="str">
        <f>"1535"</f>
        <v>1535</v>
      </c>
      <c r="L4084" s="6" t="str">
        <f>"Toalhões"</f>
        <v>Toalhões</v>
      </c>
      <c r="M4084" s="6" t="str">
        <f>"70x140"</f>
        <v>70x140</v>
      </c>
      <c r="N4084" s="6" t="str">
        <f>"5602972522433"</f>
        <v>5602972522433</v>
      </c>
      <c r="O4084" s="8">
        <v>240</v>
      </c>
      <c r="P4084" s="7">
        <v>46010</v>
      </c>
      <c r="R4084" s="8">
        <v>261</v>
      </c>
      <c r="S4084" s="7">
        <v>46015</v>
      </c>
      <c r="U4084" s="8">
        <v>261</v>
      </c>
      <c r="V4084" s="7">
        <v>46028</v>
      </c>
      <c r="X4084" s="8">
        <v>0</v>
      </c>
      <c r="Z4084" s="8">
        <v>261</v>
      </c>
      <c r="AA4084" s="7">
        <v>46042</v>
      </c>
      <c r="AC4084" s="8">
        <v>0</v>
      </c>
      <c r="AE4084" s="7">
        <v>46045</v>
      </c>
      <c r="AF4084" s="8">
        <v>0</v>
      </c>
      <c r="AH4084" s="7">
        <v>46045</v>
      </c>
      <c r="AN4084" s="8">
        <v>0</v>
      </c>
      <c r="AO4084" s="8">
        <v>240</v>
      </c>
    </row>
    <row r="4085" spans="1:41" x14ac:dyDescent="0.25">
      <c r="A4085" s="6" t="str">
        <f t="shared" si="1053"/>
        <v>525-2025000493</v>
      </c>
      <c r="B4085" s="6" t="str">
        <f t="shared" si="1037"/>
        <v>Lasa Int</v>
      </c>
      <c r="C4085" s="7">
        <v>45932</v>
      </c>
      <c r="D4085" s="7">
        <v>46075</v>
      </c>
      <c r="E4085" s="8">
        <v>10</v>
      </c>
      <c r="F4085" s="6" t="str">
        <f t="shared" si="1054"/>
        <v>Riscas/Ondas II</v>
      </c>
      <c r="G4085" s="6" t="str">
        <f t="shared" si="1055"/>
        <v>F300374550000000</v>
      </c>
      <c r="H4085" s="6" t="str">
        <f t="shared" si="1056"/>
        <v>PLR 3745 - 500 g/m²</v>
      </c>
      <c r="I4085" s="6" t="str">
        <f>"201597"</f>
        <v>201597</v>
      </c>
      <c r="J4085" s="6" t="str">
        <f>"AZUL 1597"</f>
        <v>AZUL 1597</v>
      </c>
      <c r="K4085" s="6" t="str">
        <f>"2020"</f>
        <v>2020</v>
      </c>
      <c r="L4085" s="6" t="str">
        <f>"Lençóis"</f>
        <v>Lençóis</v>
      </c>
      <c r="M4085" s="6" t="str">
        <f>"100x150"</f>
        <v>100x150</v>
      </c>
      <c r="N4085" s="6" t="str">
        <f>"5602972522440"</f>
        <v>5602972522440</v>
      </c>
      <c r="O4085" s="8">
        <v>180</v>
      </c>
      <c r="P4085" s="7">
        <v>46010</v>
      </c>
      <c r="R4085" s="8">
        <v>198</v>
      </c>
      <c r="S4085" s="7">
        <v>46015</v>
      </c>
      <c r="U4085" s="8">
        <v>198</v>
      </c>
      <c r="V4085" s="7">
        <v>46028</v>
      </c>
      <c r="X4085" s="8">
        <v>0</v>
      </c>
      <c r="Z4085" s="8">
        <v>198</v>
      </c>
      <c r="AA4085" s="7">
        <v>46042</v>
      </c>
      <c r="AC4085" s="8">
        <v>0</v>
      </c>
      <c r="AE4085" s="7">
        <v>46045</v>
      </c>
      <c r="AF4085" s="8">
        <v>0</v>
      </c>
      <c r="AH4085" s="7">
        <v>46045</v>
      </c>
      <c r="AN4085" s="8">
        <v>0</v>
      </c>
      <c r="AO4085" s="8">
        <v>180</v>
      </c>
    </row>
    <row r="4086" spans="1:41" x14ac:dyDescent="0.25">
      <c r="A4086" s="6" t="str">
        <f t="shared" si="1053"/>
        <v>525-2025000493</v>
      </c>
      <c r="B4086" s="6" t="str">
        <f t="shared" si="1037"/>
        <v>Lasa Int</v>
      </c>
      <c r="C4086" s="7">
        <v>45932</v>
      </c>
      <c r="D4086" s="7">
        <v>46075</v>
      </c>
      <c r="E4086" s="8">
        <v>11</v>
      </c>
      <c r="F4086" s="6" t="str">
        <f t="shared" si="1054"/>
        <v>Riscas/Ondas II</v>
      </c>
      <c r="G4086" s="6" t="str">
        <f t="shared" si="1055"/>
        <v>F300374550000000</v>
      </c>
      <c r="H4086" s="6" t="str">
        <f t="shared" si="1056"/>
        <v>PLR 3745 - 500 g/m²</v>
      </c>
      <c r="I4086" s="6" t="str">
        <f>"201709"</f>
        <v>201709</v>
      </c>
      <c r="J4086" s="6" t="str">
        <f>"ROSA 1709"</f>
        <v>ROSA 1709</v>
      </c>
      <c r="K4086" s="6" t="str">
        <f>"0112"</f>
        <v>0112</v>
      </c>
      <c r="L4086" s="6" t="str">
        <f>"Luvas"</f>
        <v>Luvas</v>
      </c>
      <c r="M4086" s="6" t="str">
        <f>"16x21"</f>
        <v>16x21</v>
      </c>
      <c r="N4086" s="6" t="str">
        <f>"5602972522457"</f>
        <v>5602972522457</v>
      </c>
      <c r="O4086" s="8">
        <v>180</v>
      </c>
      <c r="P4086" s="7">
        <v>46010</v>
      </c>
      <c r="R4086" s="8">
        <v>180</v>
      </c>
      <c r="S4086" s="7">
        <v>46015</v>
      </c>
      <c r="U4086" s="8">
        <v>180</v>
      </c>
      <c r="V4086" s="7">
        <v>46028</v>
      </c>
      <c r="X4086" s="8">
        <v>0</v>
      </c>
      <c r="Z4086" s="8">
        <v>180</v>
      </c>
      <c r="AA4086" s="7">
        <v>46042</v>
      </c>
      <c r="AC4086" s="8">
        <v>0</v>
      </c>
      <c r="AE4086" s="7">
        <v>46045</v>
      </c>
      <c r="AF4086" s="8">
        <v>0</v>
      </c>
      <c r="AH4086" s="7">
        <v>46045</v>
      </c>
      <c r="AN4086" s="8">
        <v>0</v>
      </c>
      <c r="AO4086" s="8">
        <v>180</v>
      </c>
    </row>
    <row r="4087" spans="1:41" x14ac:dyDescent="0.25">
      <c r="A4087" s="6" t="str">
        <f t="shared" si="1053"/>
        <v>525-2025000493</v>
      </c>
      <c r="B4087" s="6" t="str">
        <f t="shared" si="1037"/>
        <v>Lasa Int</v>
      </c>
      <c r="C4087" s="7">
        <v>45932</v>
      </c>
      <c r="D4087" s="7">
        <v>46075</v>
      </c>
      <c r="E4087" s="8">
        <v>12</v>
      </c>
      <c r="F4087" s="6" t="str">
        <f t="shared" si="1054"/>
        <v>Riscas/Ondas II</v>
      </c>
      <c r="G4087" s="6" t="str">
        <f t="shared" si="1055"/>
        <v>F300374550000000</v>
      </c>
      <c r="H4087" s="6" t="str">
        <f t="shared" si="1056"/>
        <v>PLR 3745 - 500 g/m²</v>
      </c>
      <c r="I4087" s="6" t="str">
        <f>"201709"</f>
        <v>201709</v>
      </c>
      <c r="J4087" s="6" t="str">
        <f>"ROSA 1709"</f>
        <v>ROSA 1709</v>
      </c>
      <c r="K4087" s="6" t="str">
        <f>"0530"</f>
        <v>0530</v>
      </c>
      <c r="L4087" s="6" t="str">
        <f>"Toalhetes"</f>
        <v>Toalhetes</v>
      </c>
      <c r="M4087" s="6" t="str">
        <f>"33x50"</f>
        <v>33x50</v>
      </c>
      <c r="N4087" s="6" t="str">
        <f>"5602972522464"</f>
        <v>5602972522464</v>
      </c>
      <c r="O4087" s="8">
        <v>480</v>
      </c>
      <c r="P4087" s="7">
        <v>46010</v>
      </c>
      <c r="R4087" s="8">
        <v>564</v>
      </c>
      <c r="S4087" s="7">
        <v>46015</v>
      </c>
      <c r="U4087" s="8">
        <v>564</v>
      </c>
      <c r="V4087" s="7">
        <v>46028</v>
      </c>
      <c r="X4087" s="8">
        <v>0</v>
      </c>
      <c r="Z4087" s="8">
        <v>564</v>
      </c>
      <c r="AA4087" s="7">
        <v>46042</v>
      </c>
      <c r="AC4087" s="8">
        <v>0</v>
      </c>
      <c r="AE4087" s="7">
        <v>46045</v>
      </c>
      <c r="AF4087" s="8">
        <v>0</v>
      </c>
      <c r="AH4087" s="7">
        <v>46045</v>
      </c>
      <c r="AN4087" s="8">
        <v>0</v>
      </c>
      <c r="AO4087" s="8">
        <v>480</v>
      </c>
    </row>
    <row r="4088" spans="1:41" x14ac:dyDescent="0.25">
      <c r="A4088" s="6" t="str">
        <f t="shared" si="1053"/>
        <v>525-2025000493</v>
      </c>
      <c r="B4088" s="6" t="str">
        <f t="shared" si="1037"/>
        <v>Lasa Int</v>
      </c>
      <c r="C4088" s="7">
        <v>45932</v>
      </c>
      <c r="D4088" s="7">
        <v>46075</v>
      </c>
      <c r="E4088" s="8">
        <v>13</v>
      </c>
      <c r="F4088" s="6" t="str">
        <f t="shared" si="1054"/>
        <v>Riscas/Ondas II</v>
      </c>
      <c r="G4088" s="6" t="str">
        <f t="shared" si="1055"/>
        <v>F300374550000000</v>
      </c>
      <c r="H4088" s="6" t="str">
        <f t="shared" si="1056"/>
        <v>PLR 3745 - 500 g/m²</v>
      </c>
      <c r="I4088" s="6" t="str">
        <f>"201709"</f>
        <v>201709</v>
      </c>
      <c r="J4088" s="6" t="str">
        <f>"ROSA 1709"</f>
        <v>ROSA 1709</v>
      </c>
      <c r="K4088" s="6" t="str">
        <f>"1024"</f>
        <v>1024</v>
      </c>
      <c r="L4088" s="6" t="str">
        <f>"Toalhas"</f>
        <v>Toalhas</v>
      </c>
      <c r="M4088" s="6" t="str">
        <f>"50x100"</f>
        <v>50x100</v>
      </c>
      <c r="N4088" s="6" t="str">
        <f>"5602972522471"</f>
        <v>5602972522471</v>
      </c>
      <c r="O4088" s="8">
        <v>640</v>
      </c>
      <c r="P4088" s="7">
        <v>46010</v>
      </c>
      <c r="R4088" s="8">
        <v>676</v>
      </c>
      <c r="S4088" s="7">
        <v>46015</v>
      </c>
      <c r="U4088" s="8">
        <v>676</v>
      </c>
      <c r="V4088" s="7">
        <v>46028</v>
      </c>
      <c r="X4088" s="8">
        <v>0</v>
      </c>
      <c r="Z4088" s="8">
        <v>676</v>
      </c>
      <c r="AA4088" s="7">
        <v>46042</v>
      </c>
      <c r="AC4088" s="8">
        <v>0</v>
      </c>
      <c r="AE4088" s="7">
        <v>46045</v>
      </c>
      <c r="AF4088" s="8">
        <v>0</v>
      </c>
      <c r="AH4088" s="7">
        <v>46045</v>
      </c>
      <c r="AN4088" s="8">
        <v>0</v>
      </c>
      <c r="AO4088" s="8">
        <v>640</v>
      </c>
    </row>
    <row r="4089" spans="1:41" x14ac:dyDescent="0.25">
      <c r="A4089" s="6" t="str">
        <f t="shared" si="1053"/>
        <v>525-2025000493</v>
      </c>
      <c r="B4089" s="6" t="str">
        <f t="shared" si="1037"/>
        <v>Lasa Int</v>
      </c>
      <c r="C4089" s="7">
        <v>45932</v>
      </c>
      <c r="D4089" s="7">
        <v>46075</v>
      </c>
      <c r="E4089" s="8">
        <v>14</v>
      </c>
      <c r="F4089" s="6" t="str">
        <f t="shared" si="1054"/>
        <v>Riscas/Ondas II</v>
      </c>
      <c r="G4089" s="6" t="str">
        <f t="shared" si="1055"/>
        <v>F300374550000000</v>
      </c>
      <c r="H4089" s="6" t="str">
        <f t="shared" si="1056"/>
        <v>PLR 3745 - 500 g/m²</v>
      </c>
      <c r="I4089" s="6" t="str">
        <f>"201709"</f>
        <v>201709</v>
      </c>
      <c r="J4089" s="6" t="str">
        <f>"ROSA 1709"</f>
        <v>ROSA 1709</v>
      </c>
      <c r="K4089" s="6" t="str">
        <f>"1535"</f>
        <v>1535</v>
      </c>
      <c r="L4089" s="6" t="str">
        <f>"Toalhões"</f>
        <v>Toalhões</v>
      </c>
      <c r="M4089" s="6" t="str">
        <f>"70x140"</f>
        <v>70x140</v>
      </c>
      <c r="N4089" s="6" t="str">
        <f>"5602972522488"</f>
        <v>5602972522488</v>
      </c>
      <c r="O4089" s="8">
        <v>240</v>
      </c>
      <c r="P4089" s="7">
        <v>46010</v>
      </c>
      <c r="R4089" s="8">
        <v>258</v>
      </c>
      <c r="S4089" s="7">
        <v>46015</v>
      </c>
      <c r="U4089" s="8">
        <v>258</v>
      </c>
      <c r="V4089" s="7">
        <v>46028</v>
      </c>
      <c r="X4089" s="8">
        <v>0</v>
      </c>
      <c r="Z4089" s="8">
        <v>258</v>
      </c>
      <c r="AA4089" s="7">
        <v>46042</v>
      </c>
      <c r="AC4089" s="8">
        <v>0</v>
      </c>
      <c r="AE4089" s="7">
        <v>46045</v>
      </c>
      <c r="AF4089" s="8">
        <v>0</v>
      </c>
      <c r="AH4089" s="7">
        <v>46045</v>
      </c>
      <c r="AN4089" s="8">
        <v>0</v>
      </c>
      <c r="AO4089" s="8">
        <v>240</v>
      </c>
    </row>
    <row r="4090" spans="1:41" x14ac:dyDescent="0.25">
      <c r="A4090" s="6" t="str">
        <f t="shared" si="1053"/>
        <v>525-2025000493</v>
      </c>
      <c r="B4090" s="6" t="str">
        <f t="shared" si="1037"/>
        <v>Lasa Int</v>
      </c>
      <c r="C4090" s="7">
        <v>45932</v>
      </c>
      <c r="D4090" s="7">
        <v>46075</v>
      </c>
      <c r="E4090" s="8">
        <v>15</v>
      </c>
      <c r="F4090" s="6" t="str">
        <f t="shared" si="1054"/>
        <v>Riscas/Ondas II</v>
      </c>
      <c r="G4090" s="6" t="str">
        <f t="shared" si="1055"/>
        <v>F300374550000000</v>
      </c>
      <c r="H4090" s="6" t="str">
        <f t="shared" si="1056"/>
        <v>PLR 3745 - 500 g/m²</v>
      </c>
      <c r="I4090" s="6" t="str">
        <f>"201709"</f>
        <v>201709</v>
      </c>
      <c r="J4090" s="6" t="str">
        <f>"ROSA 1709"</f>
        <v>ROSA 1709</v>
      </c>
      <c r="K4090" s="6" t="str">
        <f>"2020"</f>
        <v>2020</v>
      </c>
      <c r="L4090" s="6" t="str">
        <f>"Lençóis"</f>
        <v>Lençóis</v>
      </c>
      <c r="M4090" s="6" t="str">
        <f>"100x150"</f>
        <v>100x150</v>
      </c>
      <c r="N4090" s="6" t="str">
        <f>"5602972522495"</f>
        <v>5602972522495</v>
      </c>
      <c r="O4090" s="8">
        <v>180</v>
      </c>
      <c r="P4090" s="7">
        <v>46010</v>
      </c>
      <c r="R4090" s="8">
        <v>196</v>
      </c>
      <c r="S4090" s="7">
        <v>46015</v>
      </c>
      <c r="U4090" s="8">
        <v>196</v>
      </c>
      <c r="V4090" s="7">
        <v>46028</v>
      </c>
      <c r="X4090" s="8">
        <v>0</v>
      </c>
      <c r="Z4090" s="8">
        <v>196</v>
      </c>
      <c r="AA4090" s="7">
        <v>46042</v>
      </c>
      <c r="AC4090" s="8">
        <v>0</v>
      </c>
      <c r="AE4090" s="7">
        <v>46045</v>
      </c>
      <c r="AF4090" s="8">
        <v>0</v>
      </c>
      <c r="AH4090" s="7">
        <v>46045</v>
      </c>
      <c r="AN4090" s="8">
        <v>0</v>
      </c>
      <c r="AO4090" s="8">
        <v>180</v>
      </c>
    </row>
    <row r="4091" spans="1:41" x14ac:dyDescent="0.25">
      <c r="A4091" s="6" t="str">
        <f t="shared" ref="A4091:A4098" si="1057">"525-2025000495"</f>
        <v>525-2025000495</v>
      </c>
      <c r="B4091" s="6" t="str">
        <f t="shared" si="1037"/>
        <v>Lasa Int</v>
      </c>
      <c r="C4091" s="7">
        <v>45932</v>
      </c>
      <c r="D4091" s="7">
        <v>46065</v>
      </c>
      <c r="E4091" s="8">
        <v>1</v>
      </c>
      <c r="F4091" s="6" t="str">
        <f t="shared" ref="F4091:F4098" si="1058">"Horizon"</f>
        <v>Horizon</v>
      </c>
      <c r="G4091" s="6" t="str">
        <f t="shared" ref="G4091:G4098" si="1059">"F330302750000000"</f>
        <v>F330302750000000</v>
      </c>
      <c r="H4091" s="6" t="str">
        <f t="shared" ref="H4091:H4098" si="1060">"PLA 3027 - 500 g/m²"</f>
        <v>PLA 3027 - 500 g/m²</v>
      </c>
      <c r="I4091" s="6" t="str">
        <f>"20019"</f>
        <v>20019</v>
      </c>
      <c r="J4091" s="6" t="str">
        <f>"PRETO REACTIVO"</f>
        <v>PRETO REACTIVO</v>
      </c>
      <c r="K4091" s="6" t="str">
        <f>"1026"</f>
        <v>1026</v>
      </c>
      <c r="L4091" s="6" t="str">
        <f>"Toalhas"</f>
        <v>Toalhas</v>
      </c>
      <c r="M4091" s="6" t="str">
        <f>"100x50"</f>
        <v>100x50</v>
      </c>
      <c r="N4091" s="6" t="str">
        <f>"5602972514476"</f>
        <v>5602972514476</v>
      </c>
      <c r="O4091" s="8">
        <v>480</v>
      </c>
      <c r="P4091" s="7">
        <v>45967</v>
      </c>
      <c r="R4091" s="8">
        <v>528</v>
      </c>
      <c r="S4091" s="7">
        <v>45972</v>
      </c>
      <c r="U4091" s="8">
        <v>528</v>
      </c>
      <c r="V4091" s="7">
        <v>45979</v>
      </c>
      <c r="X4091" s="8">
        <v>0</v>
      </c>
      <c r="Z4091" s="8">
        <v>528</v>
      </c>
      <c r="AA4091" s="7">
        <v>45994</v>
      </c>
      <c r="AC4091" s="8">
        <v>0</v>
      </c>
      <c r="AE4091" s="7">
        <v>46000</v>
      </c>
      <c r="AF4091" s="8">
        <v>0</v>
      </c>
      <c r="AH4091" s="7">
        <v>45996</v>
      </c>
      <c r="AN4091" s="8">
        <v>0</v>
      </c>
      <c r="AO4091" s="8">
        <v>480</v>
      </c>
    </row>
    <row r="4092" spans="1:41" x14ac:dyDescent="0.25">
      <c r="A4092" s="6" t="str">
        <f t="shared" si="1057"/>
        <v>525-2025000495</v>
      </c>
      <c r="B4092" s="6" t="str">
        <f t="shared" si="1037"/>
        <v>Lasa Int</v>
      </c>
      <c r="C4092" s="7">
        <v>45932</v>
      </c>
      <c r="D4092" s="7">
        <v>46065</v>
      </c>
      <c r="E4092" s="8">
        <v>2</v>
      </c>
      <c r="F4092" s="6" t="str">
        <f t="shared" si="1058"/>
        <v>Horizon</v>
      </c>
      <c r="G4092" s="6" t="str">
        <f t="shared" si="1059"/>
        <v>F330302750000000</v>
      </c>
      <c r="H4092" s="6" t="str">
        <f t="shared" si="1060"/>
        <v>PLA 3027 - 500 g/m²</v>
      </c>
      <c r="I4092" s="6" t="str">
        <f>"20019"</f>
        <v>20019</v>
      </c>
      <c r="J4092" s="6" t="str">
        <f>"PRETO REACTIVO"</f>
        <v>PRETO REACTIVO</v>
      </c>
      <c r="K4092" s="6" t="str">
        <f>"1573"</f>
        <v>1573</v>
      </c>
      <c r="L4092" s="6" t="str">
        <f>"Toalhões"</f>
        <v>Toalhões</v>
      </c>
      <c r="M4092" s="6" t="str">
        <f>"140x70"</f>
        <v>140x70</v>
      </c>
      <c r="N4092" s="6" t="str">
        <f>"5602972514483"</f>
        <v>5602972514483</v>
      </c>
      <c r="O4092" s="8">
        <v>240</v>
      </c>
      <c r="P4092" s="7">
        <v>45967</v>
      </c>
      <c r="R4092" s="8">
        <v>265</v>
      </c>
      <c r="S4092" s="7">
        <v>45972</v>
      </c>
      <c r="U4092" s="8">
        <v>265</v>
      </c>
      <c r="V4092" s="7">
        <v>45979</v>
      </c>
      <c r="X4092" s="8">
        <v>0</v>
      </c>
      <c r="Z4092" s="8">
        <v>265</v>
      </c>
      <c r="AA4092" s="7">
        <v>45994</v>
      </c>
      <c r="AC4092" s="8">
        <v>0</v>
      </c>
      <c r="AE4092" s="7">
        <v>46000</v>
      </c>
      <c r="AF4092" s="8">
        <v>0</v>
      </c>
      <c r="AH4092" s="7">
        <v>45996</v>
      </c>
      <c r="AN4092" s="8">
        <v>0</v>
      </c>
      <c r="AO4092" s="8">
        <v>240</v>
      </c>
    </row>
    <row r="4093" spans="1:41" x14ac:dyDescent="0.25">
      <c r="A4093" s="6" t="str">
        <f t="shared" si="1057"/>
        <v>525-2025000495</v>
      </c>
      <c r="B4093" s="6" t="str">
        <f t="shared" si="1037"/>
        <v>Lasa Int</v>
      </c>
      <c r="C4093" s="7">
        <v>45932</v>
      </c>
      <c r="D4093" s="7">
        <v>46065</v>
      </c>
      <c r="E4093" s="8">
        <v>3</v>
      </c>
      <c r="F4093" s="6" t="str">
        <f t="shared" si="1058"/>
        <v>Horizon</v>
      </c>
      <c r="G4093" s="6" t="str">
        <f t="shared" si="1059"/>
        <v>F330302750000000</v>
      </c>
      <c r="H4093" s="6" t="str">
        <f t="shared" si="1060"/>
        <v>PLA 3027 - 500 g/m²</v>
      </c>
      <c r="I4093" s="6" t="str">
        <f>"202698"</f>
        <v>202698</v>
      </c>
      <c r="J4093" s="6" t="str">
        <f>"BEGE 2698"</f>
        <v>BEGE 2698</v>
      </c>
      <c r="K4093" s="6" t="str">
        <f>"0112"</f>
        <v>0112</v>
      </c>
      <c r="L4093" s="6" t="str">
        <f>"Luvas"</f>
        <v>Luvas</v>
      </c>
      <c r="M4093" s="6" t="str">
        <f>"16x21"</f>
        <v>16x21</v>
      </c>
      <c r="N4093" s="6" t="str">
        <f>"5602972514506"</f>
        <v>5602972514506</v>
      </c>
      <c r="O4093" s="8">
        <v>180</v>
      </c>
      <c r="P4093" s="7">
        <v>45967</v>
      </c>
      <c r="R4093" s="8">
        <v>198</v>
      </c>
      <c r="S4093" s="7">
        <v>45972</v>
      </c>
      <c r="U4093" s="8">
        <v>198</v>
      </c>
      <c r="V4093" s="7">
        <v>45979</v>
      </c>
      <c r="X4093" s="8">
        <v>0</v>
      </c>
      <c r="Z4093" s="8">
        <v>198</v>
      </c>
      <c r="AA4093" s="7">
        <v>45994</v>
      </c>
      <c r="AC4093" s="8">
        <v>0</v>
      </c>
      <c r="AE4093" s="7">
        <v>46000</v>
      </c>
      <c r="AF4093" s="8">
        <v>0</v>
      </c>
      <c r="AH4093" s="7">
        <v>45996</v>
      </c>
      <c r="AN4093" s="8">
        <v>0</v>
      </c>
      <c r="AO4093" s="8">
        <v>180</v>
      </c>
    </row>
    <row r="4094" spans="1:41" x14ac:dyDescent="0.25">
      <c r="A4094" s="6" t="str">
        <f t="shared" si="1057"/>
        <v>525-2025000495</v>
      </c>
      <c r="B4094" s="6" t="str">
        <f t="shared" si="1037"/>
        <v>Lasa Int</v>
      </c>
      <c r="C4094" s="7">
        <v>45932</v>
      </c>
      <c r="D4094" s="7">
        <v>46065</v>
      </c>
      <c r="E4094" s="8">
        <v>4</v>
      </c>
      <c r="F4094" s="6" t="str">
        <f t="shared" si="1058"/>
        <v>Horizon</v>
      </c>
      <c r="G4094" s="6" t="str">
        <f t="shared" si="1059"/>
        <v>F330302750000000</v>
      </c>
      <c r="H4094" s="6" t="str">
        <f t="shared" si="1060"/>
        <v>PLA 3027 - 500 g/m²</v>
      </c>
      <c r="I4094" s="6" t="str">
        <f>"202698"</f>
        <v>202698</v>
      </c>
      <c r="J4094" s="6" t="str">
        <f>"BEGE 2698"</f>
        <v>BEGE 2698</v>
      </c>
      <c r="K4094" s="6" t="str">
        <f>"1026"</f>
        <v>1026</v>
      </c>
      <c r="L4094" s="6" t="str">
        <f>"Toalhas"</f>
        <v>Toalhas</v>
      </c>
      <c r="M4094" s="6" t="str">
        <f>"100x50"</f>
        <v>100x50</v>
      </c>
      <c r="N4094" s="6" t="str">
        <f>"5602972514520"</f>
        <v>5602972514520</v>
      </c>
      <c r="O4094" s="8">
        <v>360</v>
      </c>
      <c r="P4094" s="7">
        <v>45967</v>
      </c>
      <c r="R4094" s="8">
        <v>396</v>
      </c>
      <c r="S4094" s="7">
        <v>45972</v>
      </c>
      <c r="U4094" s="8">
        <v>396</v>
      </c>
      <c r="V4094" s="7">
        <v>45979</v>
      </c>
      <c r="X4094" s="8">
        <v>0</v>
      </c>
      <c r="Z4094" s="8">
        <v>396</v>
      </c>
      <c r="AA4094" s="7">
        <v>45994</v>
      </c>
      <c r="AC4094" s="8">
        <v>0</v>
      </c>
      <c r="AE4094" s="7">
        <v>46000</v>
      </c>
      <c r="AF4094" s="8">
        <v>0</v>
      </c>
      <c r="AH4094" s="7">
        <v>45996</v>
      </c>
      <c r="AN4094" s="8">
        <v>0</v>
      </c>
      <c r="AO4094" s="8">
        <v>360</v>
      </c>
    </row>
    <row r="4095" spans="1:41" x14ac:dyDescent="0.25">
      <c r="A4095" s="6" t="str">
        <f t="shared" si="1057"/>
        <v>525-2025000495</v>
      </c>
      <c r="B4095" s="6" t="str">
        <f t="shared" si="1037"/>
        <v>Lasa Int</v>
      </c>
      <c r="C4095" s="7">
        <v>45932</v>
      </c>
      <c r="D4095" s="7">
        <v>46065</v>
      </c>
      <c r="E4095" s="8">
        <v>5</v>
      </c>
      <c r="F4095" s="6" t="str">
        <f t="shared" si="1058"/>
        <v>Horizon</v>
      </c>
      <c r="G4095" s="6" t="str">
        <f t="shared" si="1059"/>
        <v>F330302750000000</v>
      </c>
      <c r="H4095" s="6" t="str">
        <f t="shared" si="1060"/>
        <v>PLA 3027 - 500 g/m²</v>
      </c>
      <c r="I4095" s="6" t="str">
        <f>"202698"</f>
        <v>202698</v>
      </c>
      <c r="J4095" s="6" t="str">
        <f>"BEGE 2698"</f>
        <v>BEGE 2698</v>
      </c>
      <c r="K4095" s="6" t="str">
        <f>"1573"</f>
        <v>1573</v>
      </c>
      <c r="L4095" s="6" t="str">
        <f>"Toalhões"</f>
        <v>Toalhões</v>
      </c>
      <c r="M4095" s="6" t="str">
        <f>"140x70"</f>
        <v>140x70</v>
      </c>
      <c r="N4095" s="6" t="str">
        <f>"5602972514537"</f>
        <v>5602972514537</v>
      </c>
      <c r="O4095" s="8">
        <v>360</v>
      </c>
      <c r="P4095" s="7">
        <v>45967</v>
      </c>
      <c r="R4095" s="8">
        <v>394</v>
      </c>
      <c r="S4095" s="7">
        <v>45972</v>
      </c>
      <c r="U4095" s="8">
        <v>394</v>
      </c>
      <c r="V4095" s="7">
        <v>45979</v>
      </c>
      <c r="X4095" s="8">
        <v>0</v>
      </c>
      <c r="Z4095" s="8">
        <v>394</v>
      </c>
      <c r="AA4095" s="7">
        <v>45994</v>
      </c>
      <c r="AC4095" s="8">
        <v>0</v>
      </c>
      <c r="AE4095" s="7">
        <v>46000</v>
      </c>
      <c r="AF4095" s="8">
        <v>0</v>
      </c>
      <c r="AH4095" s="7">
        <v>45996</v>
      </c>
      <c r="AN4095" s="8">
        <v>0</v>
      </c>
      <c r="AO4095" s="8">
        <v>360</v>
      </c>
    </row>
    <row r="4096" spans="1:41" x14ac:dyDescent="0.25">
      <c r="A4096" s="6" t="str">
        <f t="shared" si="1057"/>
        <v>525-2025000495</v>
      </c>
      <c r="B4096" s="6" t="str">
        <f t="shared" si="1037"/>
        <v>Lasa Int</v>
      </c>
      <c r="C4096" s="7">
        <v>45932</v>
      </c>
      <c r="D4096" s="7">
        <v>46065</v>
      </c>
      <c r="E4096" s="8">
        <v>6</v>
      </c>
      <c r="F4096" s="6" t="str">
        <f t="shared" si="1058"/>
        <v>Horizon</v>
      </c>
      <c r="G4096" s="6" t="str">
        <f t="shared" si="1059"/>
        <v>F330302750000000</v>
      </c>
      <c r="H4096" s="6" t="str">
        <f t="shared" si="1060"/>
        <v>PLA 3027 - 500 g/m²</v>
      </c>
      <c r="I4096" s="6" t="str">
        <f>"203735"</f>
        <v>203735</v>
      </c>
      <c r="J4096" s="6" t="str">
        <f>"VERDE 3735"</f>
        <v>VERDE 3735</v>
      </c>
      <c r="K4096" s="6" t="str">
        <f>"0112"</f>
        <v>0112</v>
      </c>
      <c r="L4096" s="6" t="str">
        <f>"Luvas"</f>
        <v>Luvas</v>
      </c>
      <c r="M4096" s="6" t="str">
        <f>"16x21"</f>
        <v>16x21</v>
      </c>
      <c r="N4096" s="6" t="str">
        <f>"5602972514551"</f>
        <v>5602972514551</v>
      </c>
      <c r="O4096" s="8">
        <v>180</v>
      </c>
      <c r="P4096" s="7">
        <v>45967</v>
      </c>
      <c r="R4096" s="8">
        <v>240</v>
      </c>
      <c r="S4096" s="7">
        <v>45972</v>
      </c>
      <c r="U4096" s="8">
        <v>240</v>
      </c>
      <c r="V4096" s="7">
        <v>45979</v>
      </c>
      <c r="X4096" s="8">
        <v>0</v>
      </c>
      <c r="Z4096" s="8">
        <v>240</v>
      </c>
      <c r="AA4096" s="7">
        <v>45994</v>
      </c>
      <c r="AC4096" s="8">
        <v>0</v>
      </c>
      <c r="AE4096" s="7">
        <v>46000</v>
      </c>
      <c r="AF4096" s="8">
        <v>0</v>
      </c>
      <c r="AH4096" s="7">
        <v>45996</v>
      </c>
      <c r="AN4096" s="8">
        <v>0</v>
      </c>
      <c r="AO4096" s="8">
        <v>180</v>
      </c>
    </row>
    <row r="4097" spans="1:41" x14ac:dyDescent="0.25">
      <c r="A4097" s="6" t="str">
        <f t="shared" si="1057"/>
        <v>525-2025000495</v>
      </c>
      <c r="B4097" s="6" t="str">
        <f t="shared" si="1037"/>
        <v>Lasa Int</v>
      </c>
      <c r="C4097" s="7">
        <v>45932</v>
      </c>
      <c r="D4097" s="7">
        <v>46065</v>
      </c>
      <c r="E4097" s="8">
        <v>7</v>
      </c>
      <c r="F4097" s="6" t="str">
        <f t="shared" si="1058"/>
        <v>Horizon</v>
      </c>
      <c r="G4097" s="6" t="str">
        <f t="shared" si="1059"/>
        <v>F330302750000000</v>
      </c>
      <c r="H4097" s="6" t="str">
        <f t="shared" si="1060"/>
        <v>PLA 3027 - 500 g/m²</v>
      </c>
      <c r="I4097" s="6" t="str">
        <f>"203735"</f>
        <v>203735</v>
      </c>
      <c r="J4097" s="6" t="str">
        <f>"VERDE 3735"</f>
        <v>VERDE 3735</v>
      </c>
      <c r="K4097" s="6" t="str">
        <f>"1026"</f>
        <v>1026</v>
      </c>
      <c r="L4097" s="6" t="str">
        <f>"Toalhas"</f>
        <v>Toalhas</v>
      </c>
      <c r="M4097" s="6" t="str">
        <f>"100x50"</f>
        <v>100x50</v>
      </c>
      <c r="N4097" s="6" t="str">
        <f>"5602972514575"</f>
        <v>5602972514575</v>
      </c>
      <c r="O4097" s="8">
        <v>360</v>
      </c>
      <c r="P4097" s="7">
        <v>45967</v>
      </c>
      <c r="R4097" s="8">
        <v>386</v>
      </c>
      <c r="S4097" s="7">
        <v>45972</v>
      </c>
      <c r="U4097" s="8">
        <v>386</v>
      </c>
      <c r="V4097" s="7">
        <v>45979</v>
      </c>
      <c r="X4097" s="8">
        <v>0</v>
      </c>
      <c r="Z4097" s="8">
        <v>386</v>
      </c>
      <c r="AA4097" s="7">
        <v>45994</v>
      </c>
      <c r="AC4097" s="8">
        <v>0</v>
      </c>
      <c r="AE4097" s="7">
        <v>46000</v>
      </c>
      <c r="AF4097" s="8">
        <v>0</v>
      </c>
      <c r="AH4097" s="7">
        <v>45996</v>
      </c>
      <c r="AN4097" s="8">
        <v>0</v>
      </c>
      <c r="AO4097" s="8">
        <v>360</v>
      </c>
    </row>
    <row r="4098" spans="1:41" x14ac:dyDescent="0.25">
      <c r="A4098" s="6" t="str">
        <f t="shared" si="1057"/>
        <v>525-2025000495</v>
      </c>
      <c r="B4098" s="6" t="str">
        <f t="shared" ref="B4098:B4161" si="1061">"Lasa Int"</f>
        <v>Lasa Int</v>
      </c>
      <c r="C4098" s="7">
        <v>45932</v>
      </c>
      <c r="D4098" s="7">
        <v>46065</v>
      </c>
      <c r="E4098" s="8">
        <v>8</v>
      </c>
      <c r="F4098" s="6" t="str">
        <f t="shared" si="1058"/>
        <v>Horizon</v>
      </c>
      <c r="G4098" s="6" t="str">
        <f t="shared" si="1059"/>
        <v>F330302750000000</v>
      </c>
      <c r="H4098" s="6" t="str">
        <f t="shared" si="1060"/>
        <v>PLA 3027 - 500 g/m²</v>
      </c>
      <c r="I4098" s="6" t="str">
        <f>"203735"</f>
        <v>203735</v>
      </c>
      <c r="J4098" s="6" t="str">
        <f>"VERDE 3735"</f>
        <v>VERDE 3735</v>
      </c>
      <c r="K4098" s="6" t="str">
        <f>"1573"</f>
        <v>1573</v>
      </c>
      <c r="L4098" s="6" t="str">
        <f>"Toalhões"</f>
        <v>Toalhões</v>
      </c>
      <c r="M4098" s="6" t="str">
        <f>"140x70"</f>
        <v>140x70</v>
      </c>
      <c r="N4098" s="6" t="str">
        <f>"5602972514582"</f>
        <v>5602972514582</v>
      </c>
      <c r="O4098" s="8">
        <v>360</v>
      </c>
      <c r="P4098" s="7">
        <v>45967</v>
      </c>
      <c r="R4098" s="8">
        <v>393</v>
      </c>
      <c r="S4098" s="7">
        <v>45972</v>
      </c>
      <c r="U4098" s="8">
        <v>393</v>
      </c>
      <c r="V4098" s="7">
        <v>45979</v>
      </c>
      <c r="X4098" s="8">
        <v>0</v>
      </c>
      <c r="Z4098" s="8">
        <v>393</v>
      </c>
      <c r="AA4098" s="7">
        <v>45994</v>
      </c>
      <c r="AC4098" s="8">
        <v>0</v>
      </c>
      <c r="AE4098" s="7">
        <v>46000</v>
      </c>
      <c r="AF4098" s="8">
        <v>0</v>
      </c>
      <c r="AH4098" s="7">
        <v>45996</v>
      </c>
      <c r="AN4098" s="8">
        <v>0</v>
      </c>
      <c r="AO4098" s="8">
        <v>360</v>
      </c>
    </row>
    <row r="4099" spans="1:41" x14ac:dyDescent="0.25">
      <c r="A4099" s="6" t="str">
        <f>"525-2025000496"</f>
        <v>525-2025000496</v>
      </c>
      <c r="B4099" s="6" t="str">
        <f t="shared" si="1061"/>
        <v>Lasa Int</v>
      </c>
      <c r="C4099" s="7">
        <v>45932</v>
      </c>
      <c r="D4099" s="7">
        <v>46065</v>
      </c>
      <c r="E4099" s="8">
        <v>1</v>
      </c>
      <c r="F4099" s="6" t="str">
        <f>"Cucina"</f>
        <v>Cucina</v>
      </c>
      <c r="G4099" s="6" t="str">
        <f>"J001239926000000"</f>
        <v>J001239926000000</v>
      </c>
      <c r="H4099" s="6" t="str">
        <f>"CZJ 2399-2400-2401-2"</f>
        <v>CZJ 2399-2400-2401-2</v>
      </c>
      <c r="I4099" s="6" t="str">
        <f>"200509"</f>
        <v>200509</v>
      </c>
      <c r="J4099" s="6" t="str">
        <f>"VERDE 509"</f>
        <v>VERDE 509</v>
      </c>
      <c r="K4099" s="6" t="str">
        <f>"0830"</f>
        <v>0830</v>
      </c>
      <c r="L4099" s="6" t="str">
        <f t="shared" ref="L4099:L4106" si="1062">"Cozinha"</f>
        <v>Cozinha</v>
      </c>
      <c r="M4099" s="6" t="str">
        <f>"50x70"</f>
        <v>50x70</v>
      </c>
      <c r="N4099" s="6" t="str">
        <f>"5602972517378"</f>
        <v>5602972517378</v>
      </c>
      <c r="O4099" s="8">
        <v>800</v>
      </c>
      <c r="P4099" s="7">
        <v>45972</v>
      </c>
      <c r="R4099" s="8">
        <v>896</v>
      </c>
      <c r="S4099" s="7">
        <v>45975</v>
      </c>
      <c r="U4099" s="8">
        <v>896</v>
      </c>
      <c r="V4099" s="7">
        <v>45982</v>
      </c>
      <c r="X4099" s="8">
        <v>0</v>
      </c>
      <c r="Z4099" s="8">
        <v>896</v>
      </c>
      <c r="AA4099" s="7">
        <v>46000</v>
      </c>
      <c r="AC4099" s="8">
        <v>864</v>
      </c>
      <c r="AE4099" s="7">
        <v>46003</v>
      </c>
      <c r="AF4099" s="8">
        <v>864</v>
      </c>
      <c r="AH4099" s="7">
        <v>46003</v>
      </c>
      <c r="AN4099" s="8">
        <v>864</v>
      </c>
      <c r="AO4099" s="8">
        <v>-64</v>
      </c>
    </row>
    <row r="4100" spans="1:41" x14ac:dyDescent="0.25">
      <c r="A4100" s="6" t="str">
        <f>"525-2025000496"</f>
        <v>525-2025000496</v>
      </c>
      <c r="B4100" s="6" t="str">
        <f t="shared" si="1061"/>
        <v>Lasa Int</v>
      </c>
      <c r="C4100" s="7">
        <v>45932</v>
      </c>
      <c r="D4100" s="7">
        <v>46065</v>
      </c>
      <c r="E4100" s="8">
        <v>2</v>
      </c>
      <c r="F4100" s="6" t="str">
        <f>"Cucina"</f>
        <v>Cucina</v>
      </c>
      <c r="G4100" s="6" t="str">
        <f>"J001239926000000"</f>
        <v>J001239926000000</v>
      </c>
      <c r="H4100" s="6" t="str">
        <f>"CZJ 2399-2400-2401-2"</f>
        <v>CZJ 2399-2400-2401-2</v>
      </c>
      <c r="I4100" s="6" t="str">
        <f>"200838"</f>
        <v>200838</v>
      </c>
      <c r="J4100" s="6" t="str">
        <f>"AZUL 838"</f>
        <v>AZUL 838</v>
      </c>
      <c r="K4100" s="6" t="str">
        <f>"0830"</f>
        <v>0830</v>
      </c>
      <c r="L4100" s="6" t="str">
        <f t="shared" si="1062"/>
        <v>Cozinha</v>
      </c>
      <c r="M4100" s="6" t="str">
        <f>"50x70"</f>
        <v>50x70</v>
      </c>
      <c r="N4100" s="6" t="str">
        <f>"5602972517385"</f>
        <v>5602972517385</v>
      </c>
      <c r="O4100" s="8">
        <v>800</v>
      </c>
      <c r="P4100" s="7">
        <v>45972</v>
      </c>
      <c r="R4100" s="8">
        <v>884</v>
      </c>
      <c r="S4100" s="7">
        <v>45975</v>
      </c>
      <c r="U4100" s="8">
        <v>884</v>
      </c>
      <c r="V4100" s="7">
        <v>45982</v>
      </c>
      <c r="X4100" s="8">
        <v>0</v>
      </c>
      <c r="Z4100" s="8">
        <v>884</v>
      </c>
      <c r="AA4100" s="7">
        <v>46000</v>
      </c>
      <c r="AC4100" s="8">
        <v>220</v>
      </c>
      <c r="AE4100" s="7">
        <v>46003</v>
      </c>
      <c r="AF4100" s="8">
        <v>220</v>
      </c>
      <c r="AH4100" s="7">
        <v>46003</v>
      </c>
      <c r="AN4100" s="8">
        <v>220</v>
      </c>
      <c r="AO4100" s="8">
        <v>580</v>
      </c>
    </row>
    <row r="4101" spans="1:41" x14ac:dyDescent="0.25">
      <c r="A4101" s="6" t="str">
        <f>"525-2025000496"</f>
        <v>525-2025000496</v>
      </c>
      <c r="B4101" s="6" t="str">
        <f t="shared" si="1061"/>
        <v>Lasa Int</v>
      </c>
      <c r="C4101" s="7">
        <v>45932</v>
      </c>
      <c r="D4101" s="7">
        <v>46065</v>
      </c>
      <c r="E4101" s="8">
        <v>3</v>
      </c>
      <c r="F4101" s="6" t="str">
        <f>"Cucina"</f>
        <v>Cucina</v>
      </c>
      <c r="G4101" s="6" t="str">
        <f>"J001239926000000"</f>
        <v>J001239926000000</v>
      </c>
      <c r="H4101" s="6" t="str">
        <f>"CZJ 2399-2400-2401-2"</f>
        <v>CZJ 2399-2400-2401-2</v>
      </c>
      <c r="I4101" s="6" t="str">
        <f>"203776"</f>
        <v>203776</v>
      </c>
      <c r="J4101" s="6" t="str">
        <f>"CASTANHO 3776"</f>
        <v>CASTANHO 3776</v>
      </c>
      <c r="K4101" s="6" t="str">
        <f>"0830"</f>
        <v>0830</v>
      </c>
      <c r="L4101" s="6" t="str">
        <f t="shared" si="1062"/>
        <v>Cozinha</v>
      </c>
      <c r="M4101" s="6" t="str">
        <f>"50x70"</f>
        <v>50x70</v>
      </c>
      <c r="N4101" s="6" t="str">
        <f>"5602972517392"</f>
        <v>5602972517392</v>
      </c>
      <c r="O4101" s="8">
        <v>800</v>
      </c>
      <c r="P4101" s="7">
        <v>45972</v>
      </c>
      <c r="R4101" s="8">
        <v>884</v>
      </c>
      <c r="S4101" s="7">
        <v>45975</v>
      </c>
      <c r="U4101" s="8">
        <v>884</v>
      </c>
      <c r="V4101" s="7">
        <v>45982</v>
      </c>
      <c r="X4101" s="8">
        <v>0</v>
      </c>
      <c r="Z4101" s="8">
        <v>884</v>
      </c>
      <c r="AA4101" s="7">
        <v>46000</v>
      </c>
      <c r="AC4101" s="8">
        <v>276</v>
      </c>
      <c r="AE4101" s="7">
        <v>46003</v>
      </c>
      <c r="AF4101" s="8">
        <v>276</v>
      </c>
      <c r="AH4101" s="7">
        <v>46003</v>
      </c>
      <c r="AN4101" s="8">
        <v>276</v>
      </c>
      <c r="AO4101" s="8">
        <v>524</v>
      </c>
    </row>
    <row r="4102" spans="1:41" x14ac:dyDescent="0.25">
      <c r="A4102" s="6" t="str">
        <f>"525-2025000496"</f>
        <v>525-2025000496</v>
      </c>
      <c r="B4102" s="6" t="str">
        <f t="shared" si="1061"/>
        <v>Lasa Int</v>
      </c>
      <c r="C4102" s="7">
        <v>45932</v>
      </c>
      <c r="D4102" s="7">
        <v>46065</v>
      </c>
      <c r="E4102" s="8">
        <v>4</v>
      </c>
      <c r="F4102" s="6" t="str">
        <f>"Cucina"</f>
        <v>Cucina</v>
      </c>
      <c r="G4102" s="6" t="str">
        <f>"J001239926000000"</f>
        <v>J001239926000000</v>
      </c>
      <c r="H4102" s="6" t="str">
        <f>"CZJ 2399-2400-2401-2"</f>
        <v>CZJ 2399-2400-2401-2</v>
      </c>
      <c r="I4102" s="6" t="str">
        <f>"204270"</f>
        <v>204270</v>
      </c>
      <c r="J4102" s="6" t="str">
        <f>"TIJOLO 4270"</f>
        <v>TIJOLO 4270</v>
      </c>
      <c r="K4102" s="6" t="str">
        <f>"0830"</f>
        <v>0830</v>
      </c>
      <c r="L4102" s="6" t="str">
        <f t="shared" si="1062"/>
        <v>Cozinha</v>
      </c>
      <c r="M4102" s="6" t="str">
        <f>"50x70"</f>
        <v>50x70</v>
      </c>
      <c r="N4102" s="6" t="str">
        <f>"5602972517408"</f>
        <v>5602972517408</v>
      </c>
      <c r="O4102" s="8">
        <v>900</v>
      </c>
      <c r="P4102" s="7">
        <v>45972</v>
      </c>
      <c r="R4102" s="8">
        <v>976</v>
      </c>
      <c r="S4102" s="7">
        <v>45975</v>
      </c>
      <c r="U4102" s="8">
        <v>976</v>
      </c>
      <c r="V4102" s="7">
        <v>45982</v>
      </c>
      <c r="X4102" s="8">
        <v>0</v>
      </c>
      <c r="Z4102" s="8">
        <v>976</v>
      </c>
      <c r="AA4102" s="7">
        <v>46000</v>
      </c>
      <c r="AC4102" s="8">
        <v>272</v>
      </c>
      <c r="AE4102" s="7">
        <v>46003</v>
      </c>
      <c r="AF4102" s="8">
        <v>272</v>
      </c>
      <c r="AH4102" s="7">
        <v>46003</v>
      </c>
      <c r="AN4102" s="8">
        <v>272</v>
      </c>
      <c r="AO4102" s="8">
        <v>628</v>
      </c>
    </row>
    <row r="4103" spans="1:41" x14ac:dyDescent="0.25">
      <c r="A4103" s="6" t="str">
        <f>"525-2025000498"</f>
        <v>525-2025000498</v>
      </c>
      <c r="B4103" s="6" t="str">
        <f t="shared" si="1061"/>
        <v>Lasa Int</v>
      </c>
      <c r="C4103" s="7">
        <v>45933</v>
      </c>
      <c r="D4103" s="7">
        <v>46051</v>
      </c>
      <c r="E4103" s="8">
        <v>1</v>
      </c>
      <c r="F4103" s="6" t="str">
        <f>"Bliss"</f>
        <v>Bliss</v>
      </c>
      <c r="G4103" s="6" t="str">
        <f>"F300364644000000"</f>
        <v>F300364644000000</v>
      </c>
      <c r="H4103" s="6" t="str">
        <f>"PLR 3646 - 440 g/m²"</f>
        <v>PLR 3646 - 440 g/m²</v>
      </c>
      <c r="I4103" s="6" t="str">
        <f>"200955"</f>
        <v>200955</v>
      </c>
      <c r="J4103" s="6" t="str">
        <f>"BEGE 955"</f>
        <v>BEGE 955</v>
      </c>
      <c r="K4103" s="6" t="str">
        <f>"0820"</f>
        <v>0820</v>
      </c>
      <c r="L4103" s="6" t="str">
        <f t="shared" si="1062"/>
        <v>Cozinha</v>
      </c>
      <c r="M4103" s="6" t="str">
        <f>"50x50"</f>
        <v>50x50</v>
      </c>
      <c r="N4103" s="6" t="str">
        <f>"5602972507591"</f>
        <v>5602972507591</v>
      </c>
      <c r="O4103" s="8">
        <v>700</v>
      </c>
      <c r="P4103" s="7">
        <v>45972</v>
      </c>
      <c r="R4103" s="8">
        <v>380</v>
      </c>
      <c r="S4103" s="7">
        <v>45975</v>
      </c>
      <c r="U4103" s="8">
        <v>760</v>
      </c>
      <c r="V4103" s="7">
        <v>45982</v>
      </c>
      <c r="X4103" s="8">
        <v>0</v>
      </c>
      <c r="Z4103" s="8">
        <v>760</v>
      </c>
      <c r="AA4103" s="7">
        <v>46000</v>
      </c>
      <c r="AC4103" s="8">
        <v>720</v>
      </c>
      <c r="AE4103" s="7">
        <v>46003</v>
      </c>
      <c r="AF4103" s="8">
        <v>720</v>
      </c>
      <c r="AH4103" s="7">
        <v>46003</v>
      </c>
      <c r="AN4103" s="8">
        <v>720</v>
      </c>
      <c r="AO4103" s="8">
        <v>-20</v>
      </c>
    </row>
    <row r="4104" spans="1:41" x14ac:dyDescent="0.25">
      <c r="A4104" s="6" t="str">
        <f>"525-2025000498"</f>
        <v>525-2025000498</v>
      </c>
      <c r="B4104" s="6" t="str">
        <f t="shared" si="1061"/>
        <v>Lasa Int</v>
      </c>
      <c r="C4104" s="7">
        <v>45933</v>
      </c>
      <c r="D4104" s="7">
        <v>46051</v>
      </c>
      <c r="E4104" s="8">
        <v>2</v>
      </c>
      <c r="F4104" s="6" t="str">
        <f>"Bliss"</f>
        <v>Bliss</v>
      </c>
      <c r="G4104" s="6" t="str">
        <f>"F300364644000000"</f>
        <v>F300364644000000</v>
      </c>
      <c r="H4104" s="6" t="str">
        <f>"PLR 3646 - 440 g/m²"</f>
        <v>PLR 3646 - 440 g/m²</v>
      </c>
      <c r="I4104" s="6" t="str">
        <f>"201449"</f>
        <v>201449</v>
      </c>
      <c r="J4104" s="6" t="str">
        <f>"ROSA 1449"</f>
        <v>ROSA 1449</v>
      </c>
      <c r="K4104" s="6" t="str">
        <f>"0820"</f>
        <v>0820</v>
      </c>
      <c r="L4104" s="6" t="str">
        <f t="shared" si="1062"/>
        <v>Cozinha</v>
      </c>
      <c r="M4104" s="6" t="str">
        <f>"50x50"</f>
        <v>50x50</v>
      </c>
      <c r="N4104" s="6" t="str">
        <f>"5602972507607"</f>
        <v>5602972507607</v>
      </c>
      <c r="O4104" s="8">
        <v>1000</v>
      </c>
      <c r="P4104" s="7">
        <v>45972</v>
      </c>
      <c r="R4104" s="8">
        <v>1056</v>
      </c>
      <c r="S4104" s="7">
        <v>45975</v>
      </c>
      <c r="U4104" s="8">
        <v>1056</v>
      </c>
      <c r="V4104" s="7">
        <v>45982</v>
      </c>
      <c r="X4104" s="8">
        <v>0</v>
      </c>
      <c r="Z4104" s="8">
        <v>1056</v>
      </c>
      <c r="AA4104" s="7">
        <v>46000</v>
      </c>
      <c r="AC4104" s="8">
        <v>664</v>
      </c>
      <c r="AE4104" s="7">
        <v>46003</v>
      </c>
      <c r="AF4104" s="8">
        <v>664</v>
      </c>
      <c r="AH4104" s="7">
        <v>46003</v>
      </c>
      <c r="AN4104" s="8">
        <v>664</v>
      </c>
      <c r="AO4104" s="8">
        <v>336</v>
      </c>
    </row>
    <row r="4105" spans="1:41" x14ac:dyDescent="0.25">
      <c r="A4105" s="6" t="str">
        <f>"525-2025000498"</f>
        <v>525-2025000498</v>
      </c>
      <c r="B4105" s="6" t="str">
        <f t="shared" si="1061"/>
        <v>Lasa Int</v>
      </c>
      <c r="C4105" s="7">
        <v>45933</v>
      </c>
      <c r="D4105" s="7">
        <v>46051</v>
      </c>
      <c r="E4105" s="8">
        <v>3</v>
      </c>
      <c r="F4105" s="6" t="str">
        <f>"Bliss"</f>
        <v>Bliss</v>
      </c>
      <c r="G4105" s="6" t="str">
        <f>"F300364644000000"</f>
        <v>F300364644000000</v>
      </c>
      <c r="H4105" s="6" t="str">
        <f>"PLR 3646 - 440 g/m²"</f>
        <v>PLR 3646 - 440 g/m²</v>
      </c>
      <c r="I4105" s="6" t="str">
        <f>"201556"</f>
        <v>201556</v>
      </c>
      <c r="J4105" s="6" t="str">
        <f>"AMARELO 1556"</f>
        <v>AMARELO 1556</v>
      </c>
      <c r="K4105" s="6" t="str">
        <f>"0820"</f>
        <v>0820</v>
      </c>
      <c r="L4105" s="6" t="str">
        <f t="shared" si="1062"/>
        <v>Cozinha</v>
      </c>
      <c r="M4105" s="6" t="str">
        <f>"50x50"</f>
        <v>50x50</v>
      </c>
      <c r="N4105" s="6" t="str">
        <f>"5602972507614"</f>
        <v>5602972507614</v>
      </c>
      <c r="O4105" s="8">
        <v>1000</v>
      </c>
      <c r="P4105" s="7">
        <v>45972</v>
      </c>
      <c r="R4105" s="8">
        <v>1100</v>
      </c>
      <c r="S4105" s="7">
        <v>45975</v>
      </c>
      <c r="U4105" s="8">
        <v>1100</v>
      </c>
      <c r="V4105" s="7">
        <v>45982</v>
      </c>
      <c r="X4105" s="8">
        <v>0</v>
      </c>
      <c r="Z4105" s="8">
        <v>1100</v>
      </c>
      <c r="AA4105" s="7">
        <v>46000</v>
      </c>
      <c r="AC4105" s="8">
        <v>888</v>
      </c>
      <c r="AE4105" s="7">
        <v>46003</v>
      </c>
      <c r="AF4105" s="8">
        <v>888</v>
      </c>
      <c r="AH4105" s="7">
        <v>46003</v>
      </c>
      <c r="AN4105" s="8">
        <v>888</v>
      </c>
      <c r="AO4105" s="8">
        <v>112</v>
      </c>
    </row>
    <row r="4106" spans="1:41" x14ac:dyDescent="0.25">
      <c r="A4106" s="6" t="str">
        <f>"525-2025000498"</f>
        <v>525-2025000498</v>
      </c>
      <c r="B4106" s="6" t="str">
        <f t="shared" si="1061"/>
        <v>Lasa Int</v>
      </c>
      <c r="C4106" s="7">
        <v>45933</v>
      </c>
      <c r="D4106" s="7">
        <v>46051</v>
      </c>
      <c r="E4106" s="8">
        <v>4</v>
      </c>
      <c r="F4106" s="6" t="str">
        <f>"Bliss"</f>
        <v>Bliss</v>
      </c>
      <c r="G4106" s="6" t="str">
        <f>"F300364644000000"</f>
        <v>F300364644000000</v>
      </c>
      <c r="H4106" s="6" t="str">
        <f>"PLR 3646 - 440 g/m²"</f>
        <v>PLR 3646 - 440 g/m²</v>
      </c>
      <c r="I4106" s="6" t="str">
        <f>"203735"</f>
        <v>203735</v>
      </c>
      <c r="J4106" s="6" t="str">
        <f>"VERDE 3735"</f>
        <v>VERDE 3735</v>
      </c>
      <c r="K4106" s="6" t="str">
        <f>"0820"</f>
        <v>0820</v>
      </c>
      <c r="L4106" s="6" t="str">
        <f t="shared" si="1062"/>
        <v>Cozinha</v>
      </c>
      <c r="M4106" s="6" t="str">
        <f>"50x50"</f>
        <v>50x50</v>
      </c>
      <c r="N4106" s="6" t="str">
        <f>"5602972507621"</f>
        <v>5602972507621</v>
      </c>
      <c r="O4106" s="8">
        <v>1000</v>
      </c>
      <c r="P4106" s="7">
        <v>45972</v>
      </c>
      <c r="R4106" s="8">
        <v>1064</v>
      </c>
      <c r="S4106" s="7">
        <v>45975</v>
      </c>
      <c r="U4106" s="8">
        <v>1064</v>
      </c>
      <c r="V4106" s="7">
        <v>45982</v>
      </c>
      <c r="X4106" s="8">
        <v>0</v>
      </c>
      <c r="Z4106" s="8">
        <v>1064</v>
      </c>
      <c r="AA4106" s="7">
        <v>46000</v>
      </c>
      <c r="AC4106" s="8">
        <v>692</v>
      </c>
      <c r="AE4106" s="7">
        <v>46003</v>
      </c>
      <c r="AF4106" s="8">
        <v>692</v>
      </c>
      <c r="AH4106" s="7">
        <v>46003</v>
      </c>
      <c r="AN4106" s="8">
        <v>692</v>
      </c>
      <c r="AO4106" s="8">
        <v>308</v>
      </c>
    </row>
    <row r="4107" spans="1:41" x14ac:dyDescent="0.25">
      <c r="A4107" s="6" t="str">
        <f t="shared" ref="A4107:A4116" si="1063">"525-2025000499"</f>
        <v>525-2025000499</v>
      </c>
      <c r="B4107" s="6" t="str">
        <f t="shared" si="1061"/>
        <v>Lasa Int</v>
      </c>
      <c r="C4107" s="7">
        <v>45936</v>
      </c>
      <c r="D4107" s="7">
        <v>46068</v>
      </c>
      <c r="E4107" s="8">
        <v>1</v>
      </c>
      <c r="F4107" s="6" t="str">
        <f t="shared" ref="F4107:F4116" si="1064">"MD"</f>
        <v>MD</v>
      </c>
      <c r="G4107" s="6" t="str">
        <f t="shared" ref="G4107:G4116" si="1065">"F310636350000000"</f>
        <v>F310636350000000</v>
      </c>
      <c r="H4107" s="6" t="str">
        <f t="shared" ref="H4107:H4116" si="1066">"PLAR 6363 - 500 g/m²"</f>
        <v>PLAR 6363 - 500 g/m²</v>
      </c>
      <c r="I4107" s="6" t="str">
        <f>"203842"</f>
        <v>203842</v>
      </c>
      <c r="J4107" s="6" t="str">
        <f>"CINZA 3842"</f>
        <v>CINZA 3842</v>
      </c>
      <c r="K4107" s="6" t="str">
        <f>"0112"</f>
        <v>0112</v>
      </c>
      <c r="L4107" s="6" t="str">
        <f>"Luvas"</f>
        <v>Luvas</v>
      </c>
      <c r="M4107" s="6" t="str">
        <f>"16x21"</f>
        <v>16x21</v>
      </c>
      <c r="N4107" s="6" t="str">
        <f>"5602972522006"</f>
        <v>5602972522006</v>
      </c>
      <c r="O4107" s="8">
        <v>180</v>
      </c>
      <c r="P4107" s="7">
        <v>46021</v>
      </c>
      <c r="R4107" s="8">
        <v>192</v>
      </c>
      <c r="S4107" s="7">
        <v>46028</v>
      </c>
      <c r="U4107" s="8">
        <v>192</v>
      </c>
      <c r="V4107" s="7">
        <v>46031</v>
      </c>
      <c r="X4107" s="8">
        <v>0</v>
      </c>
      <c r="Z4107" s="8">
        <v>192</v>
      </c>
      <c r="AA4107" s="7">
        <v>46043</v>
      </c>
      <c r="AC4107" s="8">
        <v>0</v>
      </c>
      <c r="AE4107" s="7">
        <v>46045</v>
      </c>
      <c r="AF4107" s="8">
        <v>0</v>
      </c>
      <c r="AH4107" s="7">
        <v>46045</v>
      </c>
      <c r="AN4107" s="8">
        <v>0</v>
      </c>
      <c r="AO4107" s="8">
        <v>180</v>
      </c>
    </row>
    <row r="4108" spans="1:41" x14ac:dyDescent="0.25">
      <c r="A4108" s="6" t="str">
        <f t="shared" si="1063"/>
        <v>525-2025000499</v>
      </c>
      <c r="B4108" s="6" t="str">
        <f t="shared" si="1061"/>
        <v>Lasa Int</v>
      </c>
      <c r="C4108" s="7">
        <v>45936</v>
      </c>
      <c r="D4108" s="7">
        <v>46068</v>
      </c>
      <c r="E4108" s="8">
        <v>2</v>
      </c>
      <c r="F4108" s="6" t="str">
        <f t="shared" si="1064"/>
        <v>MD</v>
      </c>
      <c r="G4108" s="6" t="str">
        <f t="shared" si="1065"/>
        <v>F310636350000000</v>
      </c>
      <c r="H4108" s="6" t="str">
        <f t="shared" si="1066"/>
        <v>PLAR 6363 - 500 g/m²</v>
      </c>
      <c r="I4108" s="6" t="str">
        <f>"203842"</f>
        <v>203842</v>
      </c>
      <c r="J4108" s="6" t="str">
        <f>"CINZA 3842"</f>
        <v>CINZA 3842</v>
      </c>
      <c r="K4108" s="6" t="str">
        <f>"0530"</f>
        <v>0530</v>
      </c>
      <c r="L4108" s="6" t="str">
        <f>"Toalhetes"</f>
        <v>Toalhetes</v>
      </c>
      <c r="M4108" s="6" t="str">
        <f>"33x50"</f>
        <v>33x50</v>
      </c>
      <c r="N4108" s="6" t="str">
        <f>"5602972522013"</f>
        <v>5602972522013</v>
      </c>
      <c r="O4108" s="8">
        <v>480</v>
      </c>
      <c r="P4108" s="7">
        <v>46021</v>
      </c>
      <c r="R4108" s="8">
        <v>480</v>
      </c>
      <c r="S4108" s="7">
        <v>46028</v>
      </c>
      <c r="U4108" s="8">
        <v>480</v>
      </c>
      <c r="V4108" s="7">
        <v>46031</v>
      </c>
      <c r="X4108" s="8">
        <v>0</v>
      </c>
      <c r="Z4108" s="8">
        <v>480</v>
      </c>
      <c r="AA4108" s="7">
        <v>46043</v>
      </c>
      <c r="AC4108" s="8">
        <v>0</v>
      </c>
      <c r="AE4108" s="7">
        <v>46045</v>
      </c>
      <c r="AF4108" s="8">
        <v>0</v>
      </c>
      <c r="AH4108" s="7">
        <v>46045</v>
      </c>
      <c r="AN4108" s="8">
        <v>0</v>
      </c>
      <c r="AO4108" s="8">
        <v>480</v>
      </c>
    </row>
    <row r="4109" spans="1:41" x14ac:dyDescent="0.25">
      <c r="A4109" s="6" t="str">
        <f t="shared" si="1063"/>
        <v>525-2025000499</v>
      </c>
      <c r="B4109" s="6" t="str">
        <f t="shared" si="1061"/>
        <v>Lasa Int</v>
      </c>
      <c r="C4109" s="7">
        <v>45936</v>
      </c>
      <c r="D4109" s="7">
        <v>46068</v>
      </c>
      <c r="E4109" s="8">
        <v>3</v>
      </c>
      <c r="F4109" s="6" t="str">
        <f t="shared" si="1064"/>
        <v>MD</v>
      </c>
      <c r="G4109" s="6" t="str">
        <f t="shared" si="1065"/>
        <v>F310636350000000</v>
      </c>
      <c r="H4109" s="6" t="str">
        <f t="shared" si="1066"/>
        <v>PLAR 6363 - 500 g/m²</v>
      </c>
      <c r="I4109" s="6" t="str">
        <f>"203842"</f>
        <v>203842</v>
      </c>
      <c r="J4109" s="6" t="str">
        <f>"CINZA 3842"</f>
        <v>CINZA 3842</v>
      </c>
      <c r="K4109" s="6" t="str">
        <f>"1024"</f>
        <v>1024</v>
      </c>
      <c r="L4109" s="6" t="str">
        <f>"Toalhas"</f>
        <v>Toalhas</v>
      </c>
      <c r="M4109" s="6" t="str">
        <f>"50x100"</f>
        <v>50x100</v>
      </c>
      <c r="N4109" s="6" t="str">
        <f>"5602972522020"</f>
        <v>5602972522020</v>
      </c>
      <c r="O4109" s="8">
        <v>840</v>
      </c>
      <c r="P4109" s="7">
        <v>46021</v>
      </c>
      <c r="R4109" s="8">
        <v>932</v>
      </c>
      <c r="S4109" s="7">
        <v>46028</v>
      </c>
      <c r="U4109" s="8">
        <v>932</v>
      </c>
      <c r="V4109" s="7">
        <v>46031</v>
      </c>
      <c r="X4109" s="8">
        <v>0</v>
      </c>
      <c r="Z4109" s="8">
        <v>932</v>
      </c>
      <c r="AA4109" s="7">
        <v>46043</v>
      </c>
      <c r="AC4109" s="8">
        <v>0</v>
      </c>
      <c r="AE4109" s="7">
        <v>46045</v>
      </c>
      <c r="AF4109" s="8">
        <v>0</v>
      </c>
      <c r="AH4109" s="7">
        <v>46045</v>
      </c>
      <c r="AN4109" s="8">
        <v>0</v>
      </c>
      <c r="AO4109" s="8">
        <v>840</v>
      </c>
    </row>
    <row r="4110" spans="1:41" x14ac:dyDescent="0.25">
      <c r="A4110" s="6" t="str">
        <f t="shared" si="1063"/>
        <v>525-2025000499</v>
      </c>
      <c r="B4110" s="6" t="str">
        <f t="shared" si="1061"/>
        <v>Lasa Int</v>
      </c>
      <c r="C4110" s="7">
        <v>45936</v>
      </c>
      <c r="D4110" s="7">
        <v>46068</v>
      </c>
      <c r="E4110" s="8">
        <v>4</v>
      </c>
      <c r="F4110" s="6" t="str">
        <f t="shared" si="1064"/>
        <v>MD</v>
      </c>
      <c r="G4110" s="6" t="str">
        <f t="shared" si="1065"/>
        <v>F310636350000000</v>
      </c>
      <c r="H4110" s="6" t="str">
        <f t="shared" si="1066"/>
        <v>PLAR 6363 - 500 g/m²</v>
      </c>
      <c r="I4110" s="6" t="str">
        <f>"203842"</f>
        <v>203842</v>
      </c>
      <c r="J4110" s="6" t="str">
        <f>"CINZA 3842"</f>
        <v>CINZA 3842</v>
      </c>
      <c r="K4110" s="6" t="str">
        <f>"1535"</f>
        <v>1535</v>
      </c>
      <c r="L4110" s="6" t="str">
        <f>"Toalhões"</f>
        <v>Toalhões</v>
      </c>
      <c r="M4110" s="6" t="str">
        <f>"70x140"</f>
        <v>70x140</v>
      </c>
      <c r="N4110" s="6" t="str">
        <f>"5602972522037"</f>
        <v>5602972522037</v>
      </c>
      <c r="O4110" s="8">
        <v>260</v>
      </c>
      <c r="P4110" s="7">
        <v>46021</v>
      </c>
      <c r="R4110" s="8">
        <v>288</v>
      </c>
      <c r="S4110" s="7">
        <v>46028</v>
      </c>
      <c r="U4110" s="8">
        <v>288</v>
      </c>
      <c r="V4110" s="7">
        <v>46031</v>
      </c>
      <c r="X4110" s="8">
        <v>0</v>
      </c>
      <c r="Z4110" s="8">
        <v>288</v>
      </c>
      <c r="AA4110" s="7">
        <v>46043</v>
      </c>
      <c r="AC4110" s="8">
        <v>0</v>
      </c>
      <c r="AE4110" s="7">
        <v>46045</v>
      </c>
      <c r="AF4110" s="8">
        <v>0</v>
      </c>
      <c r="AH4110" s="7">
        <v>46045</v>
      </c>
      <c r="AN4110" s="8">
        <v>0</v>
      </c>
      <c r="AO4110" s="8">
        <v>260</v>
      </c>
    </row>
    <row r="4111" spans="1:41" x14ac:dyDescent="0.25">
      <c r="A4111" s="6" t="str">
        <f t="shared" si="1063"/>
        <v>525-2025000499</v>
      </c>
      <c r="B4111" s="6" t="str">
        <f t="shared" si="1061"/>
        <v>Lasa Int</v>
      </c>
      <c r="C4111" s="7">
        <v>45936</v>
      </c>
      <c r="D4111" s="7">
        <v>46068</v>
      </c>
      <c r="E4111" s="8">
        <v>5</v>
      </c>
      <c r="F4111" s="6" t="str">
        <f t="shared" si="1064"/>
        <v>MD</v>
      </c>
      <c r="G4111" s="6" t="str">
        <f t="shared" si="1065"/>
        <v>F310636350000000</v>
      </c>
      <c r="H4111" s="6" t="str">
        <f t="shared" si="1066"/>
        <v>PLAR 6363 - 500 g/m²</v>
      </c>
      <c r="I4111" s="6" t="str">
        <f>"203842"</f>
        <v>203842</v>
      </c>
      <c r="J4111" s="6" t="str">
        <f>"CINZA 3842"</f>
        <v>CINZA 3842</v>
      </c>
      <c r="K4111" s="6" t="str">
        <f>"2020"</f>
        <v>2020</v>
      </c>
      <c r="L4111" s="6" t="str">
        <f>"Lençóis"</f>
        <v>Lençóis</v>
      </c>
      <c r="M4111" s="6" t="str">
        <f>"100x150"</f>
        <v>100x150</v>
      </c>
      <c r="N4111" s="6" t="str">
        <f>"5602972522044"</f>
        <v>5602972522044</v>
      </c>
      <c r="O4111" s="8">
        <v>210</v>
      </c>
      <c r="P4111" s="7">
        <v>46021</v>
      </c>
      <c r="R4111" s="8">
        <v>238</v>
      </c>
      <c r="S4111" s="7">
        <v>46028</v>
      </c>
      <c r="U4111" s="8">
        <v>238</v>
      </c>
      <c r="V4111" s="7">
        <v>46031</v>
      </c>
      <c r="X4111" s="8">
        <v>0</v>
      </c>
      <c r="Z4111" s="8">
        <v>238</v>
      </c>
      <c r="AA4111" s="7">
        <v>46043</v>
      </c>
      <c r="AC4111" s="8">
        <v>0</v>
      </c>
      <c r="AE4111" s="7">
        <v>46045</v>
      </c>
      <c r="AF4111" s="8">
        <v>0</v>
      </c>
      <c r="AH4111" s="7">
        <v>46045</v>
      </c>
      <c r="AN4111" s="8">
        <v>0</v>
      </c>
      <c r="AO4111" s="8">
        <v>210</v>
      </c>
    </row>
    <row r="4112" spans="1:41" x14ac:dyDescent="0.25">
      <c r="A4112" s="6" t="str">
        <f t="shared" si="1063"/>
        <v>525-2025000499</v>
      </c>
      <c r="B4112" s="6" t="str">
        <f t="shared" si="1061"/>
        <v>Lasa Int</v>
      </c>
      <c r="C4112" s="7">
        <v>45936</v>
      </c>
      <c r="D4112" s="7">
        <v>46068</v>
      </c>
      <c r="E4112" s="8">
        <v>6</v>
      </c>
      <c r="F4112" s="6" t="str">
        <f t="shared" si="1064"/>
        <v>MD</v>
      </c>
      <c r="G4112" s="6" t="str">
        <f t="shared" si="1065"/>
        <v>F310636350000000</v>
      </c>
      <c r="H4112" s="6" t="str">
        <f t="shared" si="1066"/>
        <v>PLAR 6363 - 500 g/m²</v>
      </c>
      <c r="I4112" s="6" t="str">
        <f>"203872"</f>
        <v>203872</v>
      </c>
      <c r="J4112" s="6" t="str">
        <f>"BEGE 3872"</f>
        <v>BEGE 3872</v>
      </c>
      <c r="K4112" s="6" t="str">
        <f>"0112"</f>
        <v>0112</v>
      </c>
      <c r="L4112" s="6" t="str">
        <f>"Luvas"</f>
        <v>Luvas</v>
      </c>
      <c r="M4112" s="6" t="str">
        <f>"16x21"</f>
        <v>16x21</v>
      </c>
      <c r="N4112" s="6" t="str">
        <f>"5602972522051"</f>
        <v>5602972522051</v>
      </c>
      <c r="O4112" s="8">
        <v>180</v>
      </c>
      <c r="P4112" s="7">
        <v>46021</v>
      </c>
      <c r="R4112" s="8">
        <v>192</v>
      </c>
      <c r="S4112" s="7">
        <v>46028</v>
      </c>
      <c r="U4112" s="8">
        <v>192</v>
      </c>
      <c r="V4112" s="7">
        <v>46031</v>
      </c>
      <c r="X4112" s="8">
        <v>0</v>
      </c>
      <c r="Z4112" s="8">
        <v>192</v>
      </c>
      <c r="AA4112" s="7">
        <v>46043</v>
      </c>
      <c r="AC4112" s="8">
        <v>0</v>
      </c>
      <c r="AE4112" s="7">
        <v>46045</v>
      </c>
      <c r="AF4112" s="8">
        <v>0</v>
      </c>
      <c r="AH4112" s="7">
        <v>46045</v>
      </c>
      <c r="AN4112" s="8">
        <v>0</v>
      </c>
      <c r="AO4112" s="8">
        <v>180</v>
      </c>
    </row>
    <row r="4113" spans="1:41" x14ac:dyDescent="0.25">
      <c r="A4113" s="6" t="str">
        <f t="shared" si="1063"/>
        <v>525-2025000499</v>
      </c>
      <c r="B4113" s="6" t="str">
        <f t="shared" si="1061"/>
        <v>Lasa Int</v>
      </c>
      <c r="C4113" s="7">
        <v>45936</v>
      </c>
      <c r="D4113" s="7">
        <v>46068</v>
      </c>
      <c r="E4113" s="8">
        <v>7</v>
      </c>
      <c r="F4113" s="6" t="str">
        <f t="shared" si="1064"/>
        <v>MD</v>
      </c>
      <c r="G4113" s="6" t="str">
        <f t="shared" si="1065"/>
        <v>F310636350000000</v>
      </c>
      <c r="H4113" s="6" t="str">
        <f t="shared" si="1066"/>
        <v>PLAR 6363 - 500 g/m²</v>
      </c>
      <c r="I4113" s="6" t="str">
        <f>"203872"</f>
        <v>203872</v>
      </c>
      <c r="J4113" s="6" t="str">
        <f>"BEGE 3872"</f>
        <v>BEGE 3872</v>
      </c>
      <c r="K4113" s="6" t="str">
        <f>"0530"</f>
        <v>0530</v>
      </c>
      <c r="L4113" s="6" t="str">
        <f>"Toalhetes"</f>
        <v>Toalhetes</v>
      </c>
      <c r="M4113" s="6" t="str">
        <f>"33x50"</f>
        <v>33x50</v>
      </c>
      <c r="N4113" s="6" t="str">
        <f>"5602972522068"</f>
        <v>5602972522068</v>
      </c>
      <c r="O4113" s="8">
        <v>480</v>
      </c>
      <c r="P4113" s="7">
        <v>46021</v>
      </c>
      <c r="R4113" s="8">
        <v>522</v>
      </c>
      <c r="S4113" s="7">
        <v>46028</v>
      </c>
      <c r="U4113" s="8">
        <v>522</v>
      </c>
      <c r="V4113" s="7">
        <v>46031</v>
      </c>
      <c r="X4113" s="8">
        <v>0</v>
      </c>
      <c r="Z4113" s="8">
        <v>522</v>
      </c>
      <c r="AA4113" s="7">
        <v>46043</v>
      </c>
      <c r="AC4113" s="8">
        <v>0</v>
      </c>
      <c r="AE4113" s="7">
        <v>46045</v>
      </c>
      <c r="AF4113" s="8">
        <v>0</v>
      </c>
      <c r="AH4113" s="7">
        <v>46045</v>
      </c>
      <c r="AN4113" s="8">
        <v>0</v>
      </c>
      <c r="AO4113" s="8">
        <v>480</v>
      </c>
    </row>
    <row r="4114" spans="1:41" x14ac:dyDescent="0.25">
      <c r="A4114" s="6" t="str">
        <f t="shared" si="1063"/>
        <v>525-2025000499</v>
      </c>
      <c r="B4114" s="6" t="str">
        <f t="shared" si="1061"/>
        <v>Lasa Int</v>
      </c>
      <c r="C4114" s="7">
        <v>45936</v>
      </c>
      <c r="D4114" s="7">
        <v>46068</v>
      </c>
      <c r="E4114" s="8">
        <v>8</v>
      </c>
      <c r="F4114" s="6" t="str">
        <f t="shared" si="1064"/>
        <v>MD</v>
      </c>
      <c r="G4114" s="6" t="str">
        <f t="shared" si="1065"/>
        <v>F310636350000000</v>
      </c>
      <c r="H4114" s="6" t="str">
        <f t="shared" si="1066"/>
        <v>PLAR 6363 - 500 g/m²</v>
      </c>
      <c r="I4114" s="6" t="str">
        <f>"203872"</f>
        <v>203872</v>
      </c>
      <c r="J4114" s="6" t="str">
        <f>"BEGE 3872"</f>
        <v>BEGE 3872</v>
      </c>
      <c r="K4114" s="6" t="str">
        <f>"1024"</f>
        <v>1024</v>
      </c>
      <c r="L4114" s="6" t="str">
        <f>"Toalhas"</f>
        <v>Toalhas</v>
      </c>
      <c r="M4114" s="6" t="str">
        <f>"50x100"</f>
        <v>50x100</v>
      </c>
      <c r="N4114" s="6" t="str">
        <f>"5602972522075"</f>
        <v>5602972522075</v>
      </c>
      <c r="O4114" s="8">
        <v>840</v>
      </c>
      <c r="P4114" s="7">
        <v>46021</v>
      </c>
      <c r="R4114" s="8">
        <v>928</v>
      </c>
      <c r="S4114" s="7">
        <v>46028</v>
      </c>
      <c r="U4114" s="8">
        <v>928</v>
      </c>
      <c r="V4114" s="7">
        <v>46031</v>
      </c>
      <c r="X4114" s="8">
        <v>0</v>
      </c>
      <c r="Z4114" s="8">
        <v>928</v>
      </c>
      <c r="AA4114" s="7">
        <v>46043</v>
      </c>
      <c r="AC4114" s="8">
        <v>0</v>
      </c>
      <c r="AE4114" s="7">
        <v>46045</v>
      </c>
      <c r="AF4114" s="8">
        <v>0</v>
      </c>
      <c r="AH4114" s="7">
        <v>46045</v>
      </c>
      <c r="AN4114" s="8">
        <v>0</v>
      </c>
      <c r="AO4114" s="8">
        <v>840</v>
      </c>
    </row>
    <row r="4115" spans="1:41" x14ac:dyDescent="0.25">
      <c r="A4115" s="6" t="str">
        <f t="shared" si="1063"/>
        <v>525-2025000499</v>
      </c>
      <c r="B4115" s="6" t="str">
        <f t="shared" si="1061"/>
        <v>Lasa Int</v>
      </c>
      <c r="C4115" s="7">
        <v>45936</v>
      </c>
      <c r="D4115" s="7">
        <v>46068</v>
      </c>
      <c r="E4115" s="8">
        <v>9</v>
      </c>
      <c r="F4115" s="6" t="str">
        <f t="shared" si="1064"/>
        <v>MD</v>
      </c>
      <c r="G4115" s="6" t="str">
        <f t="shared" si="1065"/>
        <v>F310636350000000</v>
      </c>
      <c r="H4115" s="6" t="str">
        <f t="shared" si="1066"/>
        <v>PLAR 6363 - 500 g/m²</v>
      </c>
      <c r="I4115" s="6" t="str">
        <f>"203872"</f>
        <v>203872</v>
      </c>
      <c r="J4115" s="6" t="str">
        <f>"BEGE 3872"</f>
        <v>BEGE 3872</v>
      </c>
      <c r="K4115" s="6" t="str">
        <f>"1535"</f>
        <v>1535</v>
      </c>
      <c r="L4115" s="6" t="str">
        <f>"Toalhões"</f>
        <v>Toalhões</v>
      </c>
      <c r="M4115" s="6" t="str">
        <f>"70x140"</f>
        <v>70x140</v>
      </c>
      <c r="N4115" s="6" t="str">
        <f>"5602972522082"</f>
        <v>5602972522082</v>
      </c>
      <c r="O4115" s="8">
        <v>260</v>
      </c>
      <c r="P4115" s="7">
        <v>46021</v>
      </c>
      <c r="R4115" s="8">
        <v>297</v>
      </c>
      <c r="S4115" s="7">
        <v>46028</v>
      </c>
      <c r="U4115" s="8">
        <v>297</v>
      </c>
      <c r="V4115" s="7">
        <v>46031</v>
      </c>
      <c r="X4115" s="8">
        <v>0</v>
      </c>
      <c r="Z4115" s="8">
        <v>297</v>
      </c>
      <c r="AA4115" s="7">
        <v>46043</v>
      </c>
      <c r="AC4115" s="8">
        <v>0</v>
      </c>
      <c r="AE4115" s="7">
        <v>46045</v>
      </c>
      <c r="AF4115" s="8">
        <v>0</v>
      </c>
      <c r="AH4115" s="7">
        <v>46045</v>
      </c>
      <c r="AN4115" s="8">
        <v>0</v>
      </c>
      <c r="AO4115" s="8">
        <v>260</v>
      </c>
    </row>
    <row r="4116" spans="1:41" x14ac:dyDescent="0.25">
      <c r="A4116" s="6" t="str">
        <f t="shared" si="1063"/>
        <v>525-2025000499</v>
      </c>
      <c r="B4116" s="6" t="str">
        <f t="shared" si="1061"/>
        <v>Lasa Int</v>
      </c>
      <c r="C4116" s="7">
        <v>45936</v>
      </c>
      <c r="D4116" s="7">
        <v>46068</v>
      </c>
      <c r="E4116" s="8">
        <v>10</v>
      </c>
      <c r="F4116" s="6" t="str">
        <f t="shared" si="1064"/>
        <v>MD</v>
      </c>
      <c r="G4116" s="6" t="str">
        <f t="shared" si="1065"/>
        <v>F310636350000000</v>
      </c>
      <c r="H4116" s="6" t="str">
        <f t="shared" si="1066"/>
        <v>PLAR 6363 - 500 g/m²</v>
      </c>
      <c r="I4116" s="6" t="str">
        <f>"203872"</f>
        <v>203872</v>
      </c>
      <c r="J4116" s="6" t="str">
        <f>"BEGE 3872"</f>
        <v>BEGE 3872</v>
      </c>
      <c r="K4116" s="6" t="str">
        <f>"2020"</f>
        <v>2020</v>
      </c>
      <c r="L4116" s="6" t="str">
        <f>"Lençóis"</f>
        <v>Lençóis</v>
      </c>
      <c r="M4116" s="6" t="str">
        <f>"100x150"</f>
        <v>100x150</v>
      </c>
      <c r="N4116" s="6" t="str">
        <f>"5602972522099"</f>
        <v>5602972522099</v>
      </c>
      <c r="O4116" s="8">
        <v>210</v>
      </c>
      <c r="P4116" s="7">
        <v>46021</v>
      </c>
      <c r="R4116" s="8">
        <v>240</v>
      </c>
      <c r="S4116" s="7">
        <v>46028</v>
      </c>
      <c r="U4116" s="8">
        <v>240</v>
      </c>
      <c r="V4116" s="7">
        <v>46031</v>
      </c>
      <c r="X4116" s="8">
        <v>0</v>
      </c>
      <c r="Z4116" s="8">
        <v>240</v>
      </c>
      <c r="AA4116" s="7">
        <v>46043</v>
      </c>
      <c r="AC4116" s="8">
        <v>0</v>
      </c>
      <c r="AE4116" s="7">
        <v>46045</v>
      </c>
      <c r="AF4116" s="8">
        <v>0</v>
      </c>
      <c r="AH4116" s="7">
        <v>46045</v>
      </c>
      <c r="AN4116" s="8">
        <v>0</v>
      </c>
      <c r="AO4116" s="8">
        <v>210</v>
      </c>
    </row>
    <row r="4117" spans="1:41" x14ac:dyDescent="0.25">
      <c r="A4117" s="6" t="str">
        <f t="shared" ref="A4117:A4122" si="1067">"525-2025000500"</f>
        <v>525-2025000500</v>
      </c>
      <c r="B4117" s="6" t="str">
        <f t="shared" si="1061"/>
        <v>Lasa Int</v>
      </c>
      <c r="C4117" s="7">
        <v>45937</v>
      </c>
      <c r="D4117" s="7">
        <v>46037</v>
      </c>
      <c r="E4117" s="8">
        <v>1</v>
      </c>
      <c r="F4117" s="6" t="str">
        <f t="shared" ref="F4117:F4122" si="1068">"Sette"</f>
        <v>Sette</v>
      </c>
      <c r="G4117" s="6" t="str">
        <f t="shared" ref="G4117:G4122" si="1069">"F300374044000000"</f>
        <v>F300374044000000</v>
      </c>
      <c r="H4117" s="6" t="str">
        <f t="shared" ref="H4117:H4122" si="1070">"PLR 3740 - 440 g/m²"</f>
        <v>PLR 3740 - 440 g/m²</v>
      </c>
      <c r="I4117" s="6" t="str">
        <f>"200952"</f>
        <v>200952</v>
      </c>
      <c r="J4117" s="6" t="str">
        <f>"VERDE 952"</f>
        <v>VERDE 952</v>
      </c>
      <c r="K4117" s="6" t="str">
        <f t="shared" ref="K4117:K4122" si="1071">"0820"</f>
        <v>0820</v>
      </c>
      <c r="L4117" s="6" t="str">
        <f t="shared" ref="L4117:L4122" si="1072">"Cozinha"</f>
        <v>Cozinha</v>
      </c>
      <c r="M4117" s="6" t="str">
        <f t="shared" ref="M4117:M4122" si="1073">"50x50"</f>
        <v>50x50</v>
      </c>
      <c r="N4117" s="6" t="str">
        <f>"5602972517798"</f>
        <v>5602972517798</v>
      </c>
      <c r="O4117" s="8">
        <v>900</v>
      </c>
      <c r="P4117" s="7">
        <v>45979</v>
      </c>
      <c r="R4117" s="8">
        <v>1004</v>
      </c>
      <c r="S4117" s="7">
        <v>45982</v>
      </c>
      <c r="U4117" s="8">
        <v>1004</v>
      </c>
      <c r="V4117" s="7">
        <v>45989</v>
      </c>
      <c r="X4117" s="8">
        <v>0</v>
      </c>
      <c r="Z4117" s="8">
        <v>1004</v>
      </c>
      <c r="AA4117" s="7">
        <v>46007</v>
      </c>
      <c r="AC4117" s="8">
        <v>840</v>
      </c>
      <c r="AE4117" s="7">
        <v>46010</v>
      </c>
      <c r="AF4117" s="8">
        <v>840</v>
      </c>
      <c r="AH4117" s="7">
        <v>46010</v>
      </c>
      <c r="AN4117" s="8">
        <v>840</v>
      </c>
      <c r="AO4117" s="8">
        <v>60</v>
      </c>
    </row>
    <row r="4118" spans="1:41" x14ac:dyDescent="0.25">
      <c r="A4118" s="6" t="str">
        <f t="shared" si="1067"/>
        <v>525-2025000500</v>
      </c>
      <c r="B4118" s="6" t="str">
        <f t="shared" si="1061"/>
        <v>Lasa Int</v>
      </c>
      <c r="C4118" s="7">
        <v>45937</v>
      </c>
      <c r="D4118" s="7">
        <v>46037</v>
      </c>
      <c r="E4118" s="8">
        <v>2</v>
      </c>
      <c r="F4118" s="6" t="str">
        <f t="shared" si="1068"/>
        <v>Sette</v>
      </c>
      <c r="G4118" s="6" t="str">
        <f t="shared" si="1069"/>
        <v>F300374044000000</v>
      </c>
      <c r="H4118" s="6" t="str">
        <f t="shared" si="1070"/>
        <v>PLR 3740 - 440 g/m²</v>
      </c>
      <c r="I4118" s="6" t="str">
        <f>"201515"</f>
        <v>201515</v>
      </c>
      <c r="J4118" s="6" t="str">
        <f>"VERDE 1515"</f>
        <v>VERDE 1515</v>
      </c>
      <c r="K4118" s="6" t="str">
        <f t="shared" si="1071"/>
        <v>0820</v>
      </c>
      <c r="L4118" s="6" t="str">
        <f t="shared" si="1072"/>
        <v>Cozinha</v>
      </c>
      <c r="M4118" s="6" t="str">
        <f t="shared" si="1073"/>
        <v>50x50</v>
      </c>
      <c r="N4118" s="6" t="str">
        <f>"5602972517804"</f>
        <v>5602972517804</v>
      </c>
      <c r="O4118" s="8">
        <v>600</v>
      </c>
      <c r="P4118" s="7">
        <v>45979</v>
      </c>
      <c r="R4118" s="8">
        <v>684</v>
      </c>
      <c r="S4118" s="7">
        <v>45982</v>
      </c>
      <c r="U4118" s="8">
        <v>684</v>
      </c>
      <c r="V4118" s="7">
        <v>45989</v>
      </c>
      <c r="X4118" s="8">
        <v>0</v>
      </c>
      <c r="Z4118" s="8">
        <v>684</v>
      </c>
      <c r="AA4118" s="7">
        <v>46007</v>
      </c>
      <c r="AC4118" s="8">
        <v>408</v>
      </c>
      <c r="AE4118" s="7">
        <v>46010</v>
      </c>
      <c r="AF4118" s="8">
        <v>408</v>
      </c>
      <c r="AH4118" s="7">
        <v>46010</v>
      </c>
      <c r="AN4118" s="8">
        <v>408</v>
      </c>
      <c r="AO4118" s="8">
        <v>192</v>
      </c>
    </row>
    <row r="4119" spans="1:41" x14ac:dyDescent="0.25">
      <c r="A4119" s="6" t="str">
        <f t="shared" si="1067"/>
        <v>525-2025000500</v>
      </c>
      <c r="B4119" s="6" t="str">
        <f t="shared" si="1061"/>
        <v>Lasa Int</v>
      </c>
      <c r="C4119" s="7">
        <v>45937</v>
      </c>
      <c r="D4119" s="7">
        <v>46037</v>
      </c>
      <c r="E4119" s="8">
        <v>3</v>
      </c>
      <c r="F4119" s="6" t="str">
        <f t="shared" si="1068"/>
        <v>Sette</v>
      </c>
      <c r="G4119" s="6" t="str">
        <f t="shared" si="1069"/>
        <v>F300374044000000</v>
      </c>
      <c r="H4119" s="6" t="str">
        <f t="shared" si="1070"/>
        <v>PLR 3740 - 440 g/m²</v>
      </c>
      <c r="I4119" s="6" t="str">
        <f>"202332"</f>
        <v>202332</v>
      </c>
      <c r="J4119" s="6" t="str">
        <f>"CINZA 2332"</f>
        <v>CINZA 2332</v>
      </c>
      <c r="K4119" s="6" t="str">
        <f t="shared" si="1071"/>
        <v>0820</v>
      </c>
      <c r="L4119" s="6" t="str">
        <f t="shared" si="1072"/>
        <v>Cozinha</v>
      </c>
      <c r="M4119" s="6" t="str">
        <f t="shared" si="1073"/>
        <v>50x50</v>
      </c>
      <c r="N4119" s="6" t="str">
        <f>"5602972517828"</f>
        <v>5602972517828</v>
      </c>
      <c r="O4119" s="8">
        <v>700</v>
      </c>
      <c r="P4119" s="7">
        <v>45979</v>
      </c>
      <c r="R4119" s="8">
        <v>760</v>
      </c>
      <c r="S4119" s="7">
        <v>45982</v>
      </c>
      <c r="U4119" s="8">
        <v>760</v>
      </c>
      <c r="V4119" s="7">
        <v>45989</v>
      </c>
      <c r="X4119" s="8">
        <v>0</v>
      </c>
      <c r="Z4119" s="8">
        <v>760</v>
      </c>
      <c r="AA4119" s="7">
        <v>46007</v>
      </c>
      <c r="AC4119" s="8">
        <v>576</v>
      </c>
      <c r="AE4119" s="7">
        <v>46010</v>
      </c>
      <c r="AF4119" s="8">
        <v>576</v>
      </c>
      <c r="AH4119" s="7">
        <v>46010</v>
      </c>
      <c r="AN4119" s="8">
        <v>576</v>
      </c>
      <c r="AO4119" s="8">
        <v>124</v>
      </c>
    </row>
    <row r="4120" spans="1:41" x14ac:dyDescent="0.25">
      <c r="A4120" s="6" t="str">
        <f t="shared" si="1067"/>
        <v>525-2025000500</v>
      </c>
      <c r="B4120" s="6" t="str">
        <f t="shared" si="1061"/>
        <v>Lasa Int</v>
      </c>
      <c r="C4120" s="7">
        <v>45937</v>
      </c>
      <c r="D4120" s="7">
        <v>46037</v>
      </c>
      <c r="E4120" s="8">
        <v>4</v>
      </c>
      <c r="F4120" s="6" t="str">
        <f t="shared" si="1068"/>
        <v>Sette</v>
      </c>
      <c r="G4120" s="6" t="str">
        <f t="shared" si="1069"/>
        <v>F300374044000000</v>
      </c>
      <c r="H4120" s="6" t="str">
        <f t="shared" si="1070"/>
        <v>PLR 3740 - 440 g/m²</v>
      </c>
      <c r="I4120" s="6" t="str">
        <f>"203922"</f>
        <v>203922</v>
      </c>
      <c r="J4120" s="6" t="str">
        <f>"AZUL 3922"</f>
        <v>AZUL 3922</v>
      </c>
      <c r="K4120" s="6" t="str">
        <f t="shared" si="1071"/>
        <v>0820</v>
      </c>
      <c r="L4120" s="6" t="str">
        <f t="shared" si="1072"/>
        <v>Cozinha</v>
      </c>
      <c r="M4120" s="6" t="str">
        <f t="shared" si="1073"/>
        <v>50x50</v>
      </c>
      <c r="N4120" s="6" t="str">
        <f>"5602972517835"</f>
        <v>5602972517835</v>
      </c>
      <c r="O4120" s="8">
        <v>700</v>
      </c>
      <c r="P4120" s="7">
        <v>45979</v>
      </c>
      <c r="R4120" s="8">
        <v>820</v>
      </c>
      <c r="S4120" s="7">
        <v>45982</v>
      </c>
      <c r="U4120" s="8">
        <v>820</v>
      </c>
      <c r="V4120" s="7">
        <v>45989</v>
      </c>
      <c r="X4120" s="8">
        <v>0</v>
      </c>
      <c r="Z4120" s="8">
        <v>820</v>
      </c>
      <c r="AA4120" s="7">
        <v>46007</v>
      </c>
      <c r="AC4120" s="8">
        <v>732</v>
      </c>
      <c r="AE4120" s="7">
        <v>46010</v>
      </c>
      <c r="AF4120" s="8">
        <v>732</v>
      </c>
      <c r="AH4120" s="7">
        <v>46010</v>
      </c>
      <c r="AN4120" s="8">
        <v>732</v>
      </c>
      <c r="AO4120" s="8">
        <v>-32</v>
      </c>
    </row>
    <row r="4121" spans="1:41" x14ac:dyDescent="0.25">
      <c r="A4121" s="6" t="str">
        <f t="shared" si="1067"/>
        <v>525-2025000500</v>
      </c>
      <c r="B4121" s="6" t="str">
        <f t="shared" si="1061"/>
        <v>Lasa Int</v>
      </c>
      <c r="C4121" s="7">
        <v>45937</v>
      </c>
      <c r="D4121" s="7">
        <v>46037</v>
      </c>
      <c r="E4121" s="8">
        <v>5</v>
      </c>
      <c r="F4121" s="6" t="str">
        <f t="shared" si="1068"/>
        <v>Sette</v>
      </c>
      <c r="G4121" s="6" t="str">
        <f t="shared" si="1069"/>
        <v>F300374044000000</v>
      </c>
      <c r="H4121" s="6" t="str">
        <f t="shared" si="1070"/>
        <v>PLR 3740 - 440 g/m²</v>
      </c>
      <c r="I4121" s="6" t="str">
        <f>"204042"</f>
        <v>204042</v>
      </c>
      <c r="J4121" s="6" t="str">
        <f>"TIJOLO 4042"</f>
        <v>TIJOLO 4042</v>
      </c>
      <c r="K4121" s="6" t="str">
        <f t="shared" si="1071"/>
        <v>0820</v>
      </c>
      <c r="L4121" s="6" t="str">
        <f t="shared" si="1072"/>
        <v>Cozinha</v>
      </c>
      <c r="M4121" s="6" t="str">
        <f t="shared" si="1073"/>
        <v>50x50</v>
      </c>
      <c r="N4121" s="6" t="str">
        <f>"5602972517842"</f>
        <v>5602972517842</v>
      </c>
      <c r="O4121" s="8">
        <v>600</v>
      </c>
      <c r="P4121" s="7">
        <v>45979</v>
      </c>
      <c r="R4121" s="8">
        <v>664</v>
      </c>
      <c r="S4121" s="7">
        <v>45982</v>
      </c>
      <c r="U4121" s="8">
        <v>664</v>
      </c>
      <c r="V4121" s="7">
        <v>45989</v>
      </c>
      <c r="X4121" s="8">
        <v>0</v>
      </c>
      <c r="Z4121" s="8">
        <v>664</v>
      </c>
      <c r="AA4121" s="7">
        <v>46007</v>
      </c>
      <c r="AC4121" s="8">
        <v>560</v>
      </c>
      <c r="AE4121" s="7">
        <v>46010</v>
      </c>
      <c r="AF4121" s="8">
        <v>560</v>
      </c>
      <c r="AH4121" s="7">
        <v>46010</v>
      </c>
      <c r="AN4121" s="8">
        <v>560</v>
      </c>
      <c r="AO4121" s="8">
        <v>40</v>
      </c>
    </row>
    <row r="4122" spans="1:41" x14ac:dyDescent="0.25">
      <c r="A4122" s="6" t="str">
        <f t="shared" si="1067"/>
        <v>525-2025000500</v>
      </c>
      <c r="B4122" s="6" t="str">
        <f t="shared" si="1061"/>
        <v>Lasa Int</v>
      </c>
      <c r="C4122" s="7">
        <v>45937</v>
      </c>
      <c r="D4122" s="7">
        <v>46037</v>
      </c>
      <c r="E4122" s="8">
        <v>6</v>
      </c>
      <c r="F4122" s="6" t="str">
        <f t="shared" si="1068"/>
        <v>Sette</v>
      </c>
      <c r="G4122" s="6" t="str">
        <f t="shared" si="1069"/>
        <v>F300374044000000</v>
      </c>
      <c r="H4122" s="6" t="str">
        <f t="shared" si="1070"/>
        <v>PLR 3740 - 440 g/m²</v>
      </c>
      <c r="I4122" s="6" t="str">
        <f>"204243"</f>
        <v>204243</v>
      </c>
      <c r="J4122" s="6" t="str">
        <f>"BEGE 4243"</f>
        <v>BEGE 4243</v>
      </c>
      <c r="K4122" s="6" t="str">
        <f t="shared" si="1071"/>
        <v>0820</v>
      </c>
      <c r="L4122" s="6" t="str">
        <f t="shared" si="1072"/>
        <v>Cozinha</v>
      </c>
      <c r="M4122" s="6" t="str">
        <f t="shared" si="1073"/>
        <v>50x50</v>
      </c>
      <c r="N4122" s="6" t="str">
        <f>"5602972517859"</f>
        <v>5602972517859</v>
      </c>
      <c r="O4122" s="8">
        <v>1100</v>
      </c>
      <c r="P4122" s="7">
        <v>45979</v>
      </c>
      <c r="R4122" s="8">
        <v>1160</v>
      </c>
      <c r="S4122" s="7">
        <v>45982</v>
      </c>
      <c r="U4122" s="8">
        <v>1160</v>
      </c>
      <c r="V4122" s="7">
        <v>45989</v>
      </c>
      <c r="X4122" s="8">
        <v>0</v>
      </c>
      <c r="Z4122" s="8">
        <v>1160</v>
      </c>
      <c r="AA4122" s="7">
        <v>46007</v>
      </c>
      <c r="AC4122" s="8">
        <v>972</v>
      </c>
      <c r="AE4122" s="7">
        <v>46010</v>
      </c>
      <c r="AF4122" s="8">
        <v>972</v>
      </c>
      <c r="AH4122" s="7">
        <v>46010</v>
      </c>
      <c r="AN4122" s="8">
        <v>972</v>
      </c>
      <c r="AO4122" s="8">
        <v>128</v>
      </c>
    </row>
    <row r="4123" spans="1:41" x14ac:dyDescent="0.25">
      <c r="A4123" s="6" t="str">
        <f t="shared" ref="A4123:A4147" si="1074">"525-2025000501"</f>
        <v>525-2025000501</v>
      </c>
      <c r="B4123" s="6" t="str">
        <f t="shared" si="1061"/>
        <v>Lasa Int</v>
      </c>
      <c r="C4123" s="7">
        <v>45937</v>
      </c>
      <c r="D4123" s="7">
        <v>46068</v>
      </c>
      <c r="E4123" s="8">
        <v>1</v>
      </c>
      <c r="F4123" s="6" t="str">
        <f t="shared" ref="F4123:F4147" si="1075">"MD II"</f>
        <v>MD II</v>
      </c>
      <c r="G4123" s="6" t="str">
        <f t="shared" ref="G4123:G4147" si="1076">"F310636250000000"</f>
        <v>F310636250000000</v>
      </c>
      <c r="H4123" s="6" t="str">
        <f t="shared" ref="H4123:H4147" si="1077">"PLAR 6362 FD - 500 g"</f>
        <v>PLAR 6362 FD - 500 g</v>
      </c>
      <c r="I4123" s="6" t="str">
        <f>"203842"</f>
        <v>203842</v>
      </c>
      <c r="J4123" s="6" t="str">
        <f>"CINZA 3842"</f>
        <v>CINZA 3842</v>
      </c>
      <c r="K4123" s="6" t="str">
        <f>"0112"</f>
        <v>0112</v>
      </c>
      <c r="L4123" s="6" t="str">
        <f>"Luvas"</f>
        <v>Luvas</v>
      </c>
      <c r="M4123" s="6" t="str">
        <f>"16x21"</f>
        <v>16x21</v>
      </c>
      <c r="N4123" s="6" t="str">
        <f>"5602972521757"</f>
        <v>5602972521757</v>
      </c>
      <c r="O4123" s="8">
        <v>180</v>
      </c>
      <c r="P4123" s="7">
        <v>46010</v>
      </c>
      <c r="R4123" s="8">
        <v>192</v>
      </c>
      <c r="S4123" s="7">
        <v>46015</v>
      </c>
      <c r="U4123" s="8">
        <v>192</v>
      </c>
      <c r="V4123" s="7">
        <v>46028</v>
      </c>
      <c r="X4123" s="8">
        <v>0</v>
      </c>
      <c r="Z4123" s="8">
        <v>192</v>
      </c>
      <c r="AA4123" s="7">
        <v>46042</v>
      </c>
      <c r="AC4123" s="8">
        <v>0</v>
      </c>
      <c r="AE4123" s="7">
        <v>46045</v>
      </c>
      <c r="AF4123" s="8">
        <v>0</v>
      </c>
      <c r="AH4123" s="7">
        <v>46045</v>
      </c>
      <c r="AN4123" s="8">
        <v>0</v>
      </c>
      <c r="AO4123" s="8">
        <v>180</v>
      </c>
    </row>
    <row r="4124" spans="1:41" x14ac:dyDescent="0.25">
      <c r="A4124" s="6" t="str">
        <f t="shared" si="1074"/>
        <v>525-2025000501</v>
      </c>
      <c r="B4124" s="6" t="str">
        <f t="shared" si="1061"/>
        <v>Lasa Int</v>
      </c>
      <c r="C4124" s="7">
        <v>45937</v>
      </c>
      <c r="D4124" s="7">
        <v>46068</v>
      </c>
      <c r="E4124" s="8">
        <v>2</v>
      </c>
      <c r="F4124" s="6" t="str">
        <f t="shared" si="1075"/>
        <v>MD II</v>
      </c>
      <c r="G4124" s="6" t="str">
        <f t="shared" si="1076"/>
        <v>F310636250000000</v>
      </c>
      <c r="H4124" s="6" t="str">
        <f t="shared" si="1077"/>
        <v>PLAR 6362 FD - 500 g</v>
      </c>
      <c r="I4124" s="6" t="str">
        <f>"203842"</f>
        <v>203842</v>
      </c>
      <c r="J4124" s="6" t="str">
        <f>"CINZA 3842"</f>
        <v>CINZA 3842</v>
      </c>
      <c r="K4124" s="6" t="str">
        <f>"0530"</f>
        <v>0530</v>
      </c>
      <c r="L4124" s="6" t="str">
        <f>"Toalhetes"</f>
        <v>Toalhetes</v>
      </c>
      <c r="M4124" s="6" t="str">
        <f>"33x50"</f>
        <v>33x50</v>
      </c>
      <c r="N4124" s="6" t="str">
        <f>"5602972521764"</f>
        <v>5602972521764</v>
      </c>
      <c r="O4124" s="8">
        <v>420</v>
      </c>
      <c r="P4124" s="7">
        <v>46010</v>
      </c>
      <c r="R4124" s="8">
        <v>456</v>
      </c>
      <c r="S4124" s="7">
        <v>46015</v>
      </c>
      <c r="U4124" s="8">
        <v>456</v>
      </c>
      <c r="V4124" s="7">
        <v>46028</v>
      </c>
      <c r="X4124" s="8">
        <v>0</v>
      </c>
      <c r="Z4124" s="8">
        <v>456</v>
      </c>
      <c r="AA4124" s="7">
        <v>46042</v>
      </c>
      <c r="AC4124" s="8">
        <v>0</v>
      </c>
      <c r="AE4124" s="7">
        <v>46045</v>
      </c>
      <c r="AF4124" s="8">
        <v>0</v>
      </c>
      <c r="AH4124" s="7">
        <v>46045</v>
      </c>
      <c r="AN4124" s="8">
        <v>0</v>
      </c>
      <c r="AO4124" s="8">
        <v>420</v>
      </c>
    </row>
    <row r="4125" spans="1:41" x14ac:dyDescent="0.25">
      <c r="A4125" s="6" t="str">
        <f t="shared" si="1074"/>
        <v>525-2025000501</v>
      </c>
      <c r="B4125" s="6" t="str">
        <f t="shared" si="1061"/>
        <v>Lasa Int</v>
      </c>
      <c r="C4125" s="7">
        <v>45937</v>
      </c>
      <c r="D4125" s="7">
        <v>46068</v>
      </c>
      <c r="E4125" s="8">
        <v>3</v>
      </c>
      <c r="F4125" s="6" t="str">
        <f t="shared" si="1075"/>
        <v>MD II</v>
      </c>
      <c r="G4125" s="6" t="str">
        <f t="shared" si="1076"/>
        <v>F310636250000000</v>
      </c>
      <c r="H4125" s="6" t="str">
        <f t="shared" si="1077"/>
        <v>PLAR 6362 FD - 500 g</v>
      </c>
      <c r="I4125" s="6" t="str">
        <f>"203842"</f>
        <v>203842</v>
      </c>
      <c r="J4125" s="6" t="str">
        <f>"CINZA 3842"</f>
        <v>CINZA 3842</v>
      </c>
      <c r="K4125" s="6" t="str">
        <f>"1024"</f>
        <v>1024</v>
      </c>
      <c r="L4125" s="6" t="str">
        <f>"Toalhas"</f>
        <v>Toalhas</v>
      </c>
      <c r="M4125" s="6" t="str">
        <f>"50x100"</f>
        <v>50x100</v>
      </c>
      <c r="N4125" s="6" t="str">
        <f>"5602972521771"</f>
        <v>5602972521771</v>
      </c>
      <c r="O4125" s="8">
        <v>780</v>
      </c>
      <c r="P4125" s="7">
        <v>46010</v>
      </c>
      <c r="R4125" s="8">
        <v>872</v>
      </c>
      <c r="S4125" s="7">
        <v>46015</v>
      </c>
      <c r="U4125" s="8">
        <v>872</v>
      </c>
      <c r="V4125" s="7">
        <v>46028</v>
      </c>
      <c r="X4125" s="8">
        <v>0</v>
      </c>
      <c r="Z4125" s="8">
        <v>872</v>
      </c>
      <c r="AA4125" s="7">
        <v>46042</v>
      </c>
      <c r="AC4125" s="8">
        <v>0</v>
      </c>
      <c r="AE4125" s="7">
        <v>46045</v>
      </c>
      <c r="AF4125" s="8">
        <v>0</v>
      </c>
      <c r="AH4125" s="7">
        <v>46045</v>
      </c>
      <c r="AN4125" s="8">
        <v>0</v>
      </c>
      <c r="AO4125" s="8">
        <v>780</v>
      </c>
    </row>
    <row r="4126" spans="1:41" x14ac:dyDescent="0.25">
      <c r="A4126" s="6" t="str">
        <f t="shared" si="1074"/>
        <v>525-2025000501</v>
      </c>
      <c r="B4126" s="6" t="str">
        <f t="shared" si="1061"/>
        <v>Lasa Int</v>
      </c>
      <c r="C4126" s="7">
        <v>45937</v>
      </c>
      <c r="D4126" s="7">
        <v>46068</v>
      </c>
      <c r="E4126" s="8">
        <v>4</v>
      </c>
      <c r="F4126" s="6" t="str">
        <f t="shared" si="1075"/>
        <v>MD II</v>
      </c>
      <c r="G4126" s="6" t="str">
        <f t="shared" si="1076"/>
        <v>F310636250000000</v>
      </c>
      <c r="H4126" s="6" t="str">
        <f t="shared" si="1077"/>
        <v>PLAR 6362 FD - 500 g</v>
      </c>
      <c r="I4126" s="6" t="str">
        <f>"203842"</f>
        <v>203842</v>
      </c>
      <c r="J4126" s="6" t="str">
        <f>"CINZA 3842"</f>
        <v>CINZA 3842</v>
      </c>
      <c r="K4126" s="6" t="str">
        <f>"1535"</f>
        <v>1535</v>
      </c>
      <c r="L4126" s="6" t="str">
        <f>"Toalhões"</f>
        <v>Toalhões</v>
      </c>
      <c r="M4126" s="6" t="str">
        <f>"70x140"</f>
        <v>70x140</v>
      </c>
      <c r="N4126" s="6" t="str">
        <f>"5602972521788"</f>
        <v>5602972521788</v>
      </c>
      <c r="O4126" s="8">
        <v>220</v>
      </c>
      <c r="P4126" s="7">
        <v>46010</v>
      </c>
      <c r="R4126" s="8">
        <v>246</v>
      </c>
      <c r="S4126" s="7">
        <v>46015</v>
      </c>
      <c r="U4126" s="8">
        <v>246</v>
      </c>
      <c r="V4126" s="7">
        <v>46028</v>
      </c>
      <c r="X4126" s="8">
        <v>0</v>
      </c>
      <c r="Z4126" s="8">
        <v>246</v>
      </c>
      <c r="AA4126" s="7">
        <v>46042</v>
      </c>
      <c r="AC4126" s="8">
        <v>0</v>
      </c>
      <c r="AE4126" s="7">
        <v>46045</v>
      </c>
      <c r="AF4126" s="8">
        <v>0</v>
      </c>
      <c r="AH4126" s="7">
        <v>46045</v>
      </c>
      <c r="AN4126" s="8">
        <v>0</v>
      </c>
      <c r="AO4126" s="8">
        <v>220</v>
      </c>
    </row>
    <row r="4127" spans="1:41" x14ac:dyDescent="0.25">
      <c r="A4127" s="6" t="str">
        <f t="shared" si="1074"/>
        <v>525-2025000501</v>
      </c>
      <c r="B4127" s="6" t="str">
        <f t="shared" si="1061"/>
        <v>Lasa Int</v>
      </c>
      <c r="C4127" s="7">
        <v>45937</v>
      </c>
      <c r="D4127" s="7">
        <v>46068</v>
      </c>
      <c r="E4127" s="8">
        <v>5</v>
      </c>
      <c r="F4127" s="6" t="str">
        <f t="shared" si="1075"/>
        <v>MD II</v>
      </c>
      <c r="G4127" s="6" t="str">
        <f t="shared" si="1076"/>
        <v>F310636250000000</v>
      </c>
      <c r="H4127" s="6" t="str">
        <f t="shared" si="1077"/>
        <v>PLAR 6362 FD - 500 g</v>
      </c>
      <c r="I4127" s="6" t="str">
        <f>"203842"</f>
        <v>203842</v>
      </c>
      <c r="J4127" s="6" t="str">
        <f>"CINZA 3842"</f>
        <v>CINZA 3842</v>
      </c>
      <c r="K4127" s="6" t="str">
        <f>"2020"</f>
        <v>2020</v>
      </c>
      <c r="L4127" s="6" t="str">
        <f>"Lençóis"</f>
        <v>Lençóis</v>
      </c>
      <c r="M4127" s="6" t="str">
        <f>"100x150"</f>
        <v>100x150</v>
      </c>
      <c r="N4127" s="6" t="str">
        <f>"5602972521795"</f>
        <v>5602972521795</v>
      </c>
      <c r="O4127" s="8">
        <v>190</v>
      </c>
      <c r="P4127" s="7">
        <v>46010</v>
      </c>
      <c r="R4127" s="8">
        <v>212</v>
      </c>
      <c r="S4127" s="7">
        <v>46015</v>
      </c>
      <c r="U4127" s="8">
        <v>212</v>
      </c>
      <c r="V4127" s="7">
        <v>46028</v>
      </c>
      <c r="X4127" s="8">
        <v>0</v>
      </c>
      <c r="Z4127" s="8">
        <v>212</v>
      </c>
      <c r="AA4127" s="7">
        <v>46042</v>
      </c>
      <c r="AC4127" s="8">
        <v>0</v>
      </c>
      <c r="AE4127" s="7">
        <v>46045</v>
      </c>
      <c r="AF4127" s="8">
        <v>0</v>
      </c>
      <c r="AH4127" s="7">
        <v>46045</v>
      </c>
      <c r="AN4127" s="8">
        <v>0</v>
      </c>
      <c r="AO4127" s="8">
        <v>190</v>
      </c>
    </row>
    <row r="4128" spans="1:41" x14ac:dyDescent="0.25">
      <c r="A4128" s="6" t="str">
        <f t="shared" si="1074"/>
        <v>525-2025000501</v>
      </c>
      <c r="B4128" s="6" t="str">
        <f t="shared" si="1061"/>
        <v>Lasa Int</v>
      </c>
      <c r="C4128" s="7">
        <v>45937</v>
      </c>
      <c r="D4128" s="7">
        <v>46068</v>
      </c>
      <c r="E4128" s="8">
        <v>6</v>
      </c>
      <c r="F4128" s="6" t="str">
        <f t="shared" si="1075"/>
        <v>MD II</v>
      </c>
      <c r="G4128" s="6" t="str">
        <f t="shared" si="1076"/>
        <v>F310636250000000</v>
      </c>
      <c r="H4128" s="6" t="str">
        <f t="shared" si="1077"/>
        <v>PLAR 6362 FD - 500 g</v>
      </c>
      <c r="I4128" s="6" t="str">
        <f>"203872"</f>
        <v>203872</v>
      </c>
      <c r="J4128" s="6" t="str">
        <f>"BEGE 3872"</f>
        <v>BEGE 3872</v>
      </c>
      <c r="K4128" s="6" t="str">
        <f>"0112"</f>
        <v>0112</v>
      </c>
      <c r="L4128" s="6" t="str">
        <f>"Luvas"</f>
        <v>Luvas</v>
      </c>
      <c r="M4128" s="6" t="str">
        <f>"16x21"</f>
        <v>16x21</v>
      </c>
      <c r="N4128" s="6" t="str">
        <f>"5602972521801"</f>
        <v>5602972521801</v>
      </c>
      <c r="O4128" s="8">
        <v>180</v>
      </c>
      <c r="P4128" s="7">
        <v>46010</v>
      </c>
      <c r="R4128" s="8">
        <v>192</v>
      </c>
      <c r="S4128" s="7">
        <v>46015</v>
      </c>
      <c r="U4128" s="8">
        <v>192</v>
      </c>
      <c r="V4128" s="7">
        <v>46028</v>
      </c>
      <c r="X4128" s="8">
        <v>0</v>
      </c>
      <c r="Z4128" s="8">
        <v>192</v>
      </c>
      <c r="AA4128" s="7">
        <v>46042</v>
      </c>
      <c r="AC4128" s="8">
        <v>0</v>
      </c>
      <c r="AE4128" s="7">
        <v>46045</v>
      </c>
      <c r="AF4128" s="8">
        <v>0</v>
      </c>
      <c r="AH4128" s="7">
        <v>46045</v>
      </c>
      <c r="AN4128" s="8">
        <v>0</v>
      </c>
      <c r="AO4128" s="8">
        <v>180</v>
      </c>
    </row>
    <row r="4129" spans="1:41" x14ac:dyDescent="0.25">
      <c r="A4129" s="6" t="str">
        <f t="shared" si="1074"/>
        <v>525-2025000501</v>
      </c>
      <c r="B4129" s="6" t="str">
        <f t="shared" si="1061"/>
        <v>Lasa Int</v>
      </c>
      <c r="C4129" s="7">
        <v>45937</v>
      </c>
      <c r="D4129" s="7">
        <v>46068</v>
      </c>
      <c r="E4129" s="8">
        <v>7</v>
      </c>
      <c r="F4129" s="6" t="str">
        <f t="shared" si="1075"/>
        <v>MD II</v>
      </c>
      <c r="G4129" s="6" t="str">
        <f t="shared" si="1076"/>
        <v>F310636250000000</v>
      </c>
      <c r="H4129" s="6" t="str">
        <f t="shared" si="1077"/>
        <v>PLAR 6362 FD - 500 g</v>
      </c>
      <c r="I4129" s="6" t="str">
        <f>"203872"</f>
        <v>203872</v>
      </c>
      <c r="J4129" s="6" t="str">
        <f>"BEGE 3872"</f>
        <v>BEGE 3872</v>
      </c>
      <c r="K4129" s="6" t="str">
        <f>"0530"</f>
        <v>0530</v>
      </c>
      <c r="L4129" s="6" t="str">
        <f>"Toalhetes"</f>
        <v>Toalhetes</v>
      </c>
      <c r="M4129" s="6" t="str">
        <f>"33x50"</f>
        <v>33x50</v>
      </c>
      <c r="N4129" s="6" t="str">
        <f>"5602972521818"</f>
        <v>5602972521818</v>
      </c>
      <c r="O4129" s="8">
        <v>420</v>
      </c>
      <c r="P4129" s="7">
        <v>46010</v>
      </c>
      <c r="R4129" s="8">
        <v>456</v>
      </c>
      <c r="S4129" s="7">
        <v>46015</v>
      </c>
      <c r="U4129" s="8">
        <v>456</v>
      </c>
      <c r="V4129" s="7">
        <v>46028</v>
      </c>
      <c r="X4129" s="8">
        <v>0</v>
      </c>
      <c r="Z4129" s="8">
        <v>456</v>
      </c>
      <c r="AA4129" s="7">
        <v>46042</v>
      </c>
      <c r="AC4129" s="8">
        <v>0</v>
      </c>
      <c r="AE4129" s="7">
        <v>46045</v>
      </c>
      <c r="AF4129" s="8">
        <v>0</v>
      </c>
      <c r="AH4129" s="7">
        <v>46045</v>
      </c>
      <c r="AN4129" s="8">
        <v>0</v>
      </c>
      <c r="AO4129" s="8">
        <v>420</v>
      </c>
    </row>
    <row r="4130" spans="1:41" x14ac:dyDescent="0.25">
      <c r="A4130" s="6" t="str">
        <f t="shared" si="1074"/>
        <v>525-2025000501</v>
      </c>
      <c r="B4130" s="6" t="str">
        <f t="shared" si="1061"/>
        <v>Lasa Int</v>
      </c>
      <c r="C4130" s="7">
        <v>45937</v>
      </c>
      <c r="D4130" s="7">
        <v>46068</v>
      </c>
      <c r="E4130" s="8">
        <v>8</v>
      </c>
      <c r="F4130" s="6" t="str">
        <f t="shared" si="1075"/>
        <v>MD II</v>
      </c>
      <c r="G4130" s="6" t="str">
        <f t="shared" si="1076"/>
        <v>F310636250000000</v>
      </c>
      <c r="H4130" s="6" t="str">
        <f t="shared" si="1077"/>
        <v>PLAR 6362 FD - 500 g</v>
      </c>
      <c r="I4130" s="6" t="str">
        <f>"203872"</f>
        <v>203872</v>
      </c>
      <c r="J4130" s="6" t="str">
        <f>"BEGE 3872"</f>
        <v>BEGE 3872</v>
      </c>
      <c r="K4130" s="6" t="str">
        <f>"1024"</f>
        <v>1024</v>
      </c>
      <c r="L4130" s="6" t="str">
        <f>"Toalhas"</f>
        <v>Toalhas</v>
      </c>
      <c r="M4130" s="6" t="str">
        <f>"50x100"</f>
        <v>50x100</v>
      </c>
      <c r="N4130" s="6" t="str">
        <f>"5602972521825"</f>
        <v>5602972521825</v>
      </c>
      <c r="O4130" s="8">
        <v>780</v>
      </c>
      <c r="P4130" s="7">
        <v>46010</v>
      </c>
      <c r="R4130" s="8">
        <v>820</v>
      </c>
      <c r="S4130" s="7">
        <v>46015</v>
      </c>
      <c r="U4130" s="8">
        <v>820</v>
      </c>
      <c r="V4130" s="7">
        <v>46028</v>
      </c>
      <c r="X4130" s="8">
        <v>0</v>
      </c>
      <c r="Z4130" s="8">
        <v>820</v>
      </c>
      <c r="AA4130" s="7">
        <v>46042</v>
      </c>
      <c r="AC4130" s="8">
        <v>0</v>
      </c>
      <c r="AE4130" s="7">
        <v>46045</v>
      </c>
      <c r="AF4130" s="8">
        <v>0</v>
      </c>
      <c r="AH4130" s="7">
        <v>46045</v>
      </c>
      <c r="AN4130" s="8">
        <v>0</v>
      </c>
      <c r="AO4130" s="8">
        <v>780</v>
      </c>
    </row>
    <row r="4131" spans="1:41" x14ac:dyDescent="0.25">
      <c r="A4131" s="6" t="str">
        <f t="shared" si="1074"/>
        <v>525-2025000501</v>
      </c>
      <c r="B4131" s="6" t="str">
        <f t="shared" si="1061"/>
        <v>Lasa Int</v>
      </c>
      <c r="C4131" s="7">
        <v>45937</v>
      </c>
      <c r="D4131" s="7">
        <v>46068</v>
      </c>
      <c r="E4131" s="8">
        <v>9</v>
      </c>
      <c r="F4131" s="6" t="str">
        <f t="shared" si="1075"/>
        <v>MD II</v>
      </c>
      <c r="G4131" s="6" t="str">
        <f t="shared" si="1076"/>
        <v>F310636250000000</v>
      </c>
      <c r="H4131" s="6" t="str">
        <f t="shared" si="1077"/>
        <v>PLAR 6362 FD - 500 g</v>
      </c>
      <c r="I4131" s="6" t="str">
        <f>"203872"</f>
        <v>203872</v>
      </c>
      <c r="J4131" s="6" t="str">
        <f>"BEGE 3872"</f>
        <v>BEGE 3872</v>
      </c>
      <c r="K4131" s="6" t="str">
        <f>"1535"</f>
        <v>1535</v>
      </c>
      <c r="L4131" s="6" t="str">
        <f>"Toalhões"</f>
        <v>Toalhões</v>
      </c>
      <c r="M4131" s="6" t="str">
        <f>"70x140"</f>
        <v>70x140</v>
      </c>
      <c r="N4131" s="6" t="str">
        <f>"5602972521832"</f>
        <v>5602972521832</v>
      </c>
      <c r="O4131" s="8">
        <v>220</v>
      </c>
      <c r="P4131" s="7">
        <v>46010</v>
      </c>
      <c r="R4131" s="8">
        <v>231</v>
      </c>
      <c r="S4131" s="7">
        <v>46015</v>
      </c>
      <c r="U4131" s="8">
        <v>231</v>
      </c>
      <c r="V4131" s="7">
        <v>46028</v>
      </c>
      <c r="X4131" s="8">
        <v>0</v>
      </c>
      <c r="Z4131" s="8">
        <v>231</v>
      </c>
      <c r="AA4131" s="7">
        <v>46042</v>
      </c>
      <c r="AC4131" s="8">
        <v>0</v>
      </c>
      <c r="AE4131" s="7">
        <v>46045</v>
      </c>
      <c r="AF4131" s="8">
        <v>0</v>
      </c>
      <c r="AH4131" s="7">
        <v>46045</v>
      </c>
      <c r="AN4131" s="8">
        <v>0</v>
      </c>
      <c r="AO4131" s="8">
        <v>220</v>
      </c>
    </row>
    <row r="4132" spans="1:41" x14ac:dyDescent="0.25">
      <c r="A4132" s="6" t="str">
        <f t="shared" si="1074"/>
        <v>525-2025000501</v>
      </c>
      <c r="B4132" s="6" t="str">
        <f t="shared" si="1061"/>
        <v>Lasa Int</v>
      </c>
      <c r="C4132" s="7">
        <v>45937</v>
      </c>
      <c r="D4132" s="7">
        <v>46068</v>
      </c>
      <c r="E4132" s="8">
        <v>10</v>
      </c>
      <c r="F4132" s="6" t="str">
        <f t="shared" si="1075"/>
        <v>MD II</v>
      </c>
      <c r="G4132" s="6" t="str">
        <f t="shared" si="1076"/>
        <v>F310636250000000</v>
      </c>
      <c r="H4132" s="6" t="str">
        <f t="shared" si="1077"/>
        <v>PLAR 6362 FD - 500 g</v>
      </c>
      <c r="I4132" s="6" t="str">
        <f>"203872"</f>
        <v>203872</v>
      </c>
      <c r="J4132" s="6" t="str">
        <f>"BEGE 3872"</f>
        <v>BEGE 3872</v>
      </c>
      <c r="K4132" s="6" t="str">
        <f>"2020"</f>
        <v>2020</v>
      </c>
      <c r="L4132" s="6" t="str">
        <f>"Lençóis"</f>
        <v>Lençóis</v>
      </c>
      <c r="M4132" s="6" t="str">
        <f>"100x150"</f>
        <v>100x150</v>
      </c>
      <c r="N4132" s="6" t="str">
        <f>"5602972521849"</f>
        <v>5602972521849</v>
      </c>
      <c r="O4132" s="8">
        <v>190</v>
      </c>
      <c r="P4132" s="7">
        <v>46010</v>
      </c>
      <c r="R4132" s="8">
        <v>216</v>
      </c>
      <c r="S4132" s="7">
        <v>46015</v>
      </c>
      <c r="U4132" s="8">
        <v>216</v>
      </c>
      <c r="V4132" s="7">
        <v>46028</v>
      </c>
      <c r="X4132" s="8">
        <v>0</v>
      </c>
      <c r="Z4132" s="8">
        <v>216</v>
      </c>
      <c r="AA4132" s="7">
        <v>46042</v>
      </c>
      <c r="AC4132" s="8">
        <v>0</v>
      </c>
      <c r="AE4132" s="7">
        <v>46045</v>
      </c>
      <c r="AF4132" s="8">
        <v>0</v>
      </c>
      <c r="AH4132" s="7">
        <v>46045</v>
      </c>
      <c r="AN4132" s="8">
        <v>0</v>
      </c>
      <c r="AO4132" s="8">
        <v>190</v>
      </c>
    </row>
    <row r="4133" spans="1:41" x14ac:dyDescent="0.25">
      <c r="A4133" s="6" t="str">
        <f t="shared" si="1074"/>
        <v>525-2025000501</v>
      </c>
      <c r="B4133" s="6" t="str">
        <f t="shared" si="1061"/>
        <v>Lasa Int</v>
      </c>
      <c r="C4133" s="7">
        <v>45937</v>
      </c>
      <c r="D4133" s="7">
        <v>46068</v>
      </c>
      <c r="E4133" s="8">
        <v>11</v>
      </c>
      <c r="F4133" s="6" t="str">
        <f t="shared" si="1075"/>
        <v>MD II</v>
      </c>
      <c r="G4133" s="6" t="str">
        <f t="shared" si="1076"/>
        <v>F310636250000000</v>
      </c>
      <c r="H4133" s="6" t="str">
        <f t="shared" si="1077"/>
        <v>PLAR 6362 FD - 500 g</v>
      </c>
      <c r="I4133" s="6" t="str">
        <f>"203874"</f>
        <v>203874</v>
      </c>
      <c r="J4133" s="6" t="str">
        <f>"VERDE 3874"</f>
        <v>VERDE 3874</v>
      </c>
      <c r="K4133" s="6" t="str">
        <f>"0112"</f>
        <v>0112</v>
      </c>
      <c r="L4133" s="6" t="str">
        <f>"Luvas"</f>
        <v>Luvas</v>
      </c>
      <c r="M4133" s="6" t="str">
        <f>"16x21"</f>
        <v>16x21</v>
      </c>
      <c r="N4133" s="6" t="str">
        <f>"5602972521856"</f>
        <v>5602972521856</v>
      </c>
      <c r="O4133" s="8">
        <v>180</v>
      </c>
      <c r="P4133" s="7">
        <v>46010</v>
      </c>
      <c r="R4133" s="8">
        <v>192</v>
      </c>
      <c r="S4133" s="7">
        <v>46015</v>
      </c>
      <c r="U4133" s="8">
        <v>192</v>
      </c>
      <c r="V4133" s="7">
        <v>46028</v>
      </c>
      <c r="X4133" s="8">
        <v>0</v>
      </c>
      <c r="Z4133" s="8">
        <v>192</v>
      </c>
      <c r="AA4133" s="7">
        <v>46042</v>
      </c>
      <c r="AC4133" s="8">
        <v>0</v>
      </c>
      <c r="AE4133" s="7">
        <v>46045</v>
      </c>
      <c r="AF4133" s="8">
        <v>0</v>
      </c>
      <c r="AH4133" s="7">
        <v>46045</v>
      </c>
      <c r="AN4133" s="8">
        <v>0</v>
      </c>
      <c r="AO4133" s="8">
        <v>180</v>
      </c>
    </row>
    <row r="4134" spans="1:41" x14ac:dyDescent="0.25">
      <c r="A4134" s="6" t="str">
        <f t="shared" si="1074"/>
        <v>525-2025000501</v>
      </c>
      <c r="B4134" s="6" t="str">
        <f t="shared" si="1061"/>
        <v>Lasa Int</v>
      </c>
      <c r="C4134" s="7">
        <v>45937</v>
      </c>
      <c r="D4134" s="7">
        <v>46068</v>
      </c>
      <c r="E4134" s="8">
        <v>12</v>
      </c>
      <c r="F4134" s="6" t="str">
        <f t="shared" si="1075"/>
        <v>MD II</v>
      </c>
      <c r="G4134" s="6" t="str">
        <f t="shared" si="1076"/>
        <v>F310636250000000</v>
      </c>
      <c r="H4134" s="6" t="str">
        <f t="shared" si="1077"/>
        <v>PLAR 6362 FD - 500 g</v>
      </c>
      <c r="I4134" s="6" t="str">
        <f>"203874"</f>
        <v>203874</v>
      </c>
      <c r="J4134" s="6" t="str">
        <f>"VERDE 3874"</f>
        <v>VERDE 3874</v>
      </c>
      <c r="K4134" s="6" t="str">
        <f>"0530"</f>
        <v>0530</v>
      </c>
      <c r="L4134" s="6" t="str">
        <f>"Toalhetes"</f>
        <v>Toalhetes</v>
      </c>
      <c r="M4134" s="6" t="str">
        <f>"33x50"</f>
        <v>33x50</v>
      </c>
      <c r="N4134" s="6" t="str">
        <f>"5602972521863"</f>
        <v>5602972521863</v>
      </c>
      <c r="O4134" s="8">
        <v>420</v>
      </c>
      <c r="P4134" s="7">
        <v>46010</v>
      </c>
      <c r="R4134" s="8">
        <v>456</v>
      </c>
      <c r="S4134" s="7">
        <v>46015</v>
      </c>
      <c r="U4134" s="8">
        <v>456</v>
      </c>
      <c r="V4134" s="7">
        <v>46028</v>
      </c>
      <c r="X4134" s="8">
        <v>0</v>
      </c>
      <c r="Z4134" s="8">
        <v>456</v>
      </c>
      <c r="AA4134" s="7">
        <v>46042</v>
      </c>
      <c r="AC4134" s="8">
        <v>0</v>
      </c>
      <c r="AE4134" s="7">
        <v>46045</v>
      </c>
      <c r="AF4134" s="8">
        <v>0</v>
      </c>
      <c r="AH4134" s="7">
        <v>46045</v>
      </c>
      <c r="AN4134" s="8">
        <v>0</v>
      </c>
      <c r="AO4134" s="8">
        <v>420</v>
      </c>
    </row>
    <row r="4135" spans="1:41" x14ac:dyDescent="0.25">
      <c r="A4135" s="6" t="str">
        <f t="shared" si="1074"/>
        <v>525-2025000501</v>
      </c>
      <c r="B4135" s="6" t="str">
        <f t="shared" si="1061"/>
        <v>Lasa Int</v>
      </c>
      <c r="C4135" s="7">
        <v>45937</v>
      </c>
      <c r="D4135" s="7">
        <v>46068</v>
      </c>
      <c r="E4135" s="8">
        <v>13</v>
      </c>
      <c r="F4135" s="6" t="str">
        <f t="shared" si="1075"/>
        <v>MD II</v>
      </c>
      <c r="G4135" s="6" t="str">
        <f t="shared" si="1076"/>
        <v>F310636250000000</v>
      </c>
      <c r="H4135" s="6" t="str">
        <f t="shared" si="1077"/>
        <v>PLAR 6362 FD - 500 g</v>
      </c>
      <c r="I4135" s="6" t="str">
        <f>"203874"</f>
        <v>203874</v>
      </c>
      <c r="J4135" s="6" t="str">
        <f>"VERDE 3874"</f>
        <v>VERDE 3874</v>
      </c>
      <c r="K4135" s="6" t="str">
        <f>"1024"</f>
        <v>1024</v>
      </c>
      <c r="L4135" s="6" t="str">
        <f>"Toalhas"</f>
        <v>Toalhas</v>
      </c>
      <c r="M4135" s="6" t="str">
        <f>"50x100"</f>
        <v>50x100</v>
      </c>
      <c r="N4135" s="6" t="str">
        <f>"5602972521870"</f>
        <v>5602972521870</v>
      </c>
      <c r="O4135" s="8">
        <v>780</v>
      </c>
      <c r="P4135" s="7">
        <v>46010</v>
      </c>
      <c r="R4135" s="8">
        <v>856</v>
      </c>
      <c r="S4135" s="7">
        <v>46015</v>
      </c>
      <c r="U4135" s="8">
        <v>856</v>
      </c>
      <c r="V4135" s="7">
        <v>46028</v>
      </c>
      <c r="X4135" s="8">
        <v>0</v>
      </c>
      <c r="Z4135" s="8">
        <v>856</v>
      </c>
      <c r="AA4135" s="7">
        <v>46042</v>
      </c>
      <c r="AC4135" s="8">
        <v>0</v>
      </c>
      <c r="AE4135" s="7">
        <v>46045</v>
      </c>
      <c r="AF4135" s="8">
        <v>0</v>
      </c>
      <c r="AH4135" s="7">
        <v>46045</v>
      </c>
      <c r="AN4135" s="8">
        <v>0</v>
      </c>
      <c r="AO4135" s="8">
        <v>780</v>
      </c>
    </row>
    <row r="4136" spans="1:41" x14ac:dyDescent="0.25">
      <c r="A4136" s="6" t="str">
        <f t="shared" si="1074"/>
        <v>525-2025000501</v>
      </c>
      <c r="B4136" s="6" t="str">
        <f t="shared" si="1061"/>
        <v>Lasa Int</v>
      </c>
      <c r="C4136" s="7">
        <v>45937</v>
      </c>
      <c r="D4136" s="7">
        <v>46068</v>
      </c>
      <c r="E4136" s="8">
        <v>14</v>
      </c>
      <c r="F4136" s="6" t="str">
        <f t="shared" si="1075"/>
        <v>MD II</v>
      </c>
      <c r="G4136" s="6" t="str">
        <f t="shared" si="1076"/>
        <v>F310636250000000</v>
      </c>
      <c r="H4136" s="6" t="str">
        <f t="shared" si="1077"/>
        <v>PLAR 6362 FD - 500 g</v>
      </c>
      <c r="I4136" s="6" t="str">
        <f>"203874"</f>
        <v>203874</v>
      </c>
      <c r="J4136" s="6" t="str">
        <f>"VERDE 3874"</f>
        <v>VERDE 3874</v>
      </c>
      <c r="K4136" s="6" t="str">
        <f>"1535"</f>
        <v>1535</v>
      </c>
      <c r="L4136" s="6" t="str">
        <f>"Toalhões"</f>
        <v>Toalhões</v>
      </c>
      <c r="M4136" s="6" t="str">
        <f>"70x140"</f>
        <v>70x140</v>
      </c>
      <c r="N4136" s="6" t="str">
        <f>"5602972521887"</f>
        <v>5602972521887</v>
      </c>
      <c r="O4136" s="8">
        <v>220</v>
      </c>
      <c r="P4136" s="7">
        <v>46010</v>
      </c>
      <c r="R4136" s="8">
        <v>231</v>
      </c>
      <c r="S4136" s="7">
        <v>46015</v>
      </c>
      <c r="U4136" s="8">
        <v>231</v>
      </c>
      <c r="V4136" s="7">
        <v>46028</v>
      </c>
      <c r="X4136" s="8">
        <v>0</v>
      </c>
      <c r="Z4136" s="8">
        <v>231</v>
      </c>
      <c r="AA4136" s="7">
        <v>46042</v>
      </c>
      <c r="AC4136" s="8">
        <v>0</v>
      </c>
      <c r="AE4136" s="7">
        <v>46045</v>
      </c>
      <c r="AF4136" s="8">
        <v>0</v>
      </c>
      <c r="AH4136" s="7">
        <v>46045</v>
      </c>
      <c r="AN4136" s="8">
        <v>0</v>
      </c>
      <c r="AO4136" s="8">
        <v>220</v>
      </c>
    </row>
    <row r="4137" spans="1:41" x14ac:dyDescent="0.25">
      <c r="A4137" s="6" t="str">
        <f t="shared" si="1074"/>
        <v>525-2025000501</v>
      </c>
      <c r="B4137" s="6" t="str">
        <f t="shared" si="1061"/>
        <v>Lasa Int</v>
      </c>
      <c r="C4137" s="7">
        <v>45937</v>
      </c>
      <c r="D4137" s="7">
        <v>46068</v>
      </c>
      <c r="E4137" s="8">
        <v>15</v>
      </c>
      <c r="F4137" s="6" t="str">
        <f t="shared" si="1075"/>
        <v>MD II</v>
      </c>
      <c r="G4137" s="6" t="str">
        <f t="shared" si="1076"/>
        <v>F310636250000000</v>
      </c>
      <c r="H4137" s="6" t="str">
        <f t="shared" si="1077"/>
        <v>PLAR 6362 FD - 500 g</v>
      </c>
      <c r="I4137" s="6" t="str">
        <f>"203874"</f>
        <v>203874</v>
      </c>
      <c r="J4137" s="6" t="str">
        <f>"VERDE 3874"</f>
        <v>VERDE 3874</v>
      </c>
      <c r="K4137" s="6" t="str">
        <f>"2020"</f>
        <v>2020</v>
      </c>
      <c r="L4137" s="6" t="str">
        <f>"Lençóis"</f>
        <v>Lençóis</v>
      </c>
      <c r="M4137" s="6" t="str">
        <f>"100x150"</f>
        <v>100x150</v>
      </c>
      <c r="N4137" s="6" t="str">
        <f>"5602972521894"</f>
        <v>5602972521894</v>
      </c>
      <c r="O4137" s="8">
        <v>190</v>
      </c>
      <c r="P4137" s="7">
        <v>46010</v>
      </c>
      <c r="R4137" s="8">
        <v>212</v>
      </c>
      <c r="S4137" s="7">
        <v>46015</v>
      </c>
      <c r="U4137" s="8">
        <v>212</v>
      </c>
      <c r="V4137" s="7">
        <v>46028</v>
      </c>
      <c r="X4137" s="8">
        <v>0</v>
      </c>
      <c r="Z4137" s="8">
        <v>212</v>
      </c>
      <c r="AA4137" s="7">
        <v>46042</v>
      </c>
      <c r="AC4137" s="8">
        <v>0</v>
      </c>
      <c r="AE4137" s="7">
        <v>46045</v>
      </c>
      <c r="AF4137" s="8">
        <v>0</v>
      </c>
      <c r="AH4137" s="7">
        <v>46045</v>
      </c>
      <c r="AN4137" s="8">
        <v>0</v>
      </c>
      <c r="AO4137" s="8">
        <v>190</v>
      </c>
    </row>
    <row r="4138" spans="1:41" x14ac:dyDescent="0.25">
      <c r="A4138" s="6" t="str">
        <f t="shared" si="1074"/>
        <v>525-2025000501</v>
      </c>
      <c r="B4138" s="6" t="str">
        <f t="shared" si="1061"/>
        <v>Lasa Int</v>
      </c>
      <c r="C4138" s="7">
        <v>45937</v>
      </c>
      <c r="D4138" s="7">
        <v>46068</v>
      </c>
      <c r="E4138" s="8">
        <v>16</v>
      </c>
      <c r="F4138" s="6" t="str">
        <f t="shared" si="1075"/>
        <v>MD II</v>
      </c>
      <c r="G4138" s="6" t="str">
        <f t="shared" si="1076"/>
        <v>F310636250000000</v>
      </c>
      <c r="H4138" s="6" t="str">
        <f t="shared" si="1077"/>
        <v>PLAR 6362 FD - 500 g</v>
      </c>
      <c r="I4138" s="6" t="str">
        <f>"204032"</f>
        <v>204032</v>
      </c>
      <c r="J4138" s="6" t="str">
        <f>"AZUL 4032"</f>
        <v>AZUL 4032</v>
      </c>
      <c r="K4138" s="6" t="str">
        <f>"0112"</f>
        <v>0112</v>
      </c>
      <c r="L4138" s="6" t="str">
        <f>"Luvas"</f>
        <v>Luvas</v>
      </c>
      <c r="M4138" s="6" t="str">
        <f>"16x21"</f>
        <v>16x21</v>
      </c>
      <c r="N4138" s="6" t="str">
        <f>"5602972521900"</f>
        <v>5602972521900</v>
      </c>
      <c r="O4138" s="8">
        <v>180</v>
      </c>
      <c r="P4138" s="7">
        <v>46010</v>
      </c>
      <c r="R4138" s="8">
        <v>192</v>
      </c>
      <c r="S4138" s="7">
        <v>46015</v>
      </c>
      <c r="U4138" s="8">
        <v>192</v>
      </c>
      <c r="V4138" s="7">
        <v>46028</v>
      </c>
      <c r="X4138" s="8">
        <v>0</v>
      </c>
      <c r="Z4138" s="8">
        <v>192</v>
      </c>
      <c r="AA4138" s="7">
        <v>46042</v>
      </c>
      <c r="AC4138" s="8">
        <v>0</v>
      </c>
      <c r="AE4138" s="7">
        <v>46045</v>
      </c>
      <c r="AF4138" s="8">
        <v>0</v>
      </c>
      <c r="AH4138" s="7">
        <v>46045</v>
      </c>
      <c r="AN4138" s="8">
        <v>0</v>
      </c>
      <c r="AO4138" s="8">
        <v>180</v>
      </c>
    </row>
    <row r="4139" spans="1:41" x14ac:dyDescent="0.25">
      <c r="A4139" s="6" t="str">
        <f t="shared" si="1074"/>
        <v>525-2025000501</v>
      </c>
      <c r="B4139" s="6" t="str">
        <f t="shared" si="1061"/>
        <v>Lasa Int</v>
      </c>
      <c r="C4139" s="7">
        <v>45937</v>
      </c>
      <c r="D4139" s="7">
        <v>46068</v>
      </c>
      <c r="E4139" s="8">
        <v>17</v>
      </c>
      <c r="F4139" s="6" t="str">
        <f t="shared" si="1075"/>
        <v>MD II</v>
      </c>
      <c r="G4139" s="6" t="str">
        <f t="shared" si="1076"/>
        <v>F310636250000000</v>
      </c>
      <c r="H4139" s="6" t="str">
        <f t="shared" si="1077"/>
        <v>PLAR 6362 FD - 500 g</v>
      </c>
      <c r="I4139" s="6" t="str">
        <f>"204032"</f>
        <v>204032</v>
      </c>
      <c r="J4139" s="6" t="str">
        <f>"AZUL 4032"</f>
        <v>AZUL 4032</v>
      </c>
      <c r="K4139" s="6" t="str">
        <f>"0530"</f>
        <v>0530</v>
      </c>
      <c r="L4139" s="6" t="str">
        <f>"Toalhetes"</f>
        <v>Toalhetes</v>
      </c>
      <c r="M4139" s="6" t="str">
        <f>"33x50"</f>
        <v>33x50</v>
      </c>
      <c r="N4139" s="6" t="str">
        <f>"5602972521917"</f>
        <v>5602972521917</v>
      </c>
      <c r="O4139" s="8">
        <v>420</v>
      </c>
      <c r="P4139" s="7">
        <v>46010</v>
      </c>
      <c r="R4139" s="8">
        <v>426</v>
      </c>
      <c r="S4139" s="7">
        <v>46015</v>
      </c>
      <c r="U4139" s="8">
        <v>426</v>
      </c>
      <c r="V4139" s="7">
        <v>46028</v>
      </c>
      <c r="X4139" s="8">
        <v>0</v>
      </c>
      <c r="Z4139" s="8">
        <v>426</v>
      </c>
      <c r="AA4139" s="7">
        <v>46042</v>
      </c>
      <c r="AC4139" s="8">
        <v>0</v>
      </c>
      <c r="AE4139" s="7">
        <v>46045</v>
      </c>
      <c r="AF4139" s="8">
        <v>0</v>
      </c>
      <c r="AH4139" s="7">
        <v>46045</v>
      </c>
      <c r="AN4139" s="8">
        <v>0</v>
      </c>
      <c r="AO4139" s="8">
        <v>420</v>
      </c>
    </row>
    <row r="4140" spans="1:41" x14ac:dyDescent="0.25">
      <c r="A4140" s="6" t="str">
        <f t="shared" si="1074"/>
        <v>525-2025000501</v>
      </c>
      <c r="B4140" s="6" t="str">
        <f t="shared" si="1061"/>
        <v>Lasa Int</v>
      </c>
      <c r="C4140" s="7">
        <v>45937</v>
      </c>
      <c r="D4140" s="7">
        <v>46068</v>
      </c>
      <c r="E4140" s="8">
        <v>18</v>
      </c>
      <c r="F4140" s="6" t="str">
        <f t="shared" si="1075"/>
        <v>MD II</v>
      </c>
      <c r="G4140" s="6" t="str">
        <f t="shared" si="1076"/>
        <v>F310636250000000</v>
      </c>
      <c r="H4140" s="6" t="str">
        <f t="shared" si="1077"/>
        <v>PLAR 6362 FD - 500 g</v>
      </c>
      <c r="I4140" s="6" t="str">
        <f>"204032"</f>
        <v>204032</v>
      </c>
      <c r="J4140" s="6" t="str">
        <f>"AZUL 4032"</f>
        <v>AZUL 4032</v>
      </c>
      <c r="K4140" s="6" t="str">
        <f>"1024"</f>
        <v>1024</v>
      </c>
      <c r="L4140" s="6" t="str">
        <f>"Toalhas"</f>
        <v>Toalhas</v>
      </c>
      <c r="M4140" s="6" t="str">
        <f>"50x100"</f>
        <v>50x100</v>
      </c>
      <c r="N4140" s="6" t="str">
        <f>"5602972521924"</f>
        <v>5602972521924</v>
      </c>
      <c r="O4140" s="8">
        <v>780</v>
      </c>
      <c r="P4140" s="7">
        <v>46010</v>
      </c>
      <c r="R4140" s="8">
        <v>844</v>
      </c>
      <c r="S4140" s="7">
        <v>46015</v>
      </c>
      <c r="U4140" s="8">
        <v>844</v>
      </c>
      <c r="V4140" s="7">
        <v>46028</v>
      </c>
      <c r="X4140" s="8">
        <v>0</v>
      </c>
      <c r="Z4140" s="8">
        <v>844</v>
      </c>
      <c r="AA4140" s="7">
        <v>46042</v>
      </c>
      <c r="AC4140" s="8">
        <v>0</v>
      </c>
      <c r="AE4140" s="7">
        <v>46045</v>
      </c>
      <c r="AF4140" s="8">
        <v>0</v>
      </c>
      <c r="AH4140" s="7">
        <v>46045</v>
      </c>
      <c r="AN4140" s="8">
        <v>0</v>
      </c>
      <c r="AO4140" s="8">
        <v>780</v>
      </c>
    </row>
    <row r="4141" spans="1:41" x14ac:dyDescent="0.25">
      <c r="A4141" s="6" t="str">
        <f t="shared" si="1074"/>
        <v>525-2025000501</v>
      </c>
      <c r="B4141" s="6" t="str">
        <f t="shared" si="1061"/>
        <v>Lasa Int</v>
      </c>
      <c r="C4141" s="7">
        <v>45937</v>
      </c>
      <c r="D4141" s="7">
        <v>46068</v>
      </c>
      <c r="E4141" s="8">
        <v>19</v>
      </c>
      <c r="F4141" s="6" t="str">
        <f t="shared" si="1075"/>
        <v>MD II</v>
      </c>
      <c r="G4141" s="6" t="str">
        <f t="shared" si="1076"/>
        <v>F310636250000000</v>
      </c>
      <c r="H4141" s="6" t="str">
        <f t="shared" si="1077"/>
        <v>PLAR 6362 FD - 500 g</v>
      </c>
      <c r="I4141" s="6" t="str">
        <f>"204032"</f>
        <v>204032</v>
      </c>
      <c r="J4141" s="6" t="str">
        <f>"AZUL 4032"</f>
        <v>AZUL 4032</v>
      </c>
      <c r="K4141" s="6" t="str">
        <f>"1535"</f>
        <v>1535</v>
      </c>
      <c r="L4141" s="6" t="str">
        <f>"Toalhões"</f>
        <v>Toalhões</v>
      </c>
      <c r="M4141" s="6" t="str">
        <f>"70x140"</f>
        <v>70x140</v>
      </c>
      <c r="N4141" s="6" t="str">
        <f>"5602972521931"</f>
        <v>5602972521931</v>
      </c>
      <c r="O4141" s="8">
        <v>220</v>
      </c>
      <c r="P4141" s="7">
        <v>46010</v>
      </c>
      <c r="R4141" s="8">
        <v>246</v>
      </c>
      <c r="S4141" s="7">
        <v>46015</v>
      </c>
      <c r="U4141" s="8">
        <v>246</v>
      </c>
      <c r="V4141" s="7">
        <v>46028</v>
      </c>
      <c r="X4141" s="8">
        <v>0</v>
      </c>
      <c r="Z4141" s="8">
        <v>246</v>
      </c>
      <c r="AA4141" s="7">
        <v>46042</v>
      </c>
      <c r="AC4141" s="8">
        <v>0</v>
      </c>
      <c r="AE4141" s="7">
        <v>46045</v>
      </c>
      <c r="AF4141" s="8">
        <v>0</v>
      </c>
      <c r="AH4141" s="7">
        <v>46045</v>
      </c>
      <c r="AN4141" s="8">
        <v>0</v>
      </c>
      <c r="AO4141" s="8">
        <v>220</v>
      </c>
    </row>
    <row r="4142" spans="1:41" x14ac:dyDescent="0.25">
      <c r="A4142" s="6" t="str">
        <f t="shared" si="1074"/>
        <v>525-2025000501</v>
      </c>
      <c r="B4142" s="6" t="str">
        <f t="shared" si="1061"/>
        <v>Lasa Int</v>
      </c>
      <c r="C4142" s="7">
        <v>45937</v>
      </c>
      <c r="D4142" s="7">
        <v>46068</v>
      </c>
      <c r="E4142" s="8">
        <v>20</v>
      </c>
      <c r="F4142" s="6" t="str">
        <f t="shared" si="1075"/>
        <v>MD II</v>
      </c>
      <c r="G4142" s="6" t="str">
        <f t="shared" si="1076"/>
        <v>F310636250000000</v>
      </c>
      <c r="H4142" s="6" t="str">
        <f t="shared" si="1077"/>
        <v>PLAR 6362 FD - 500 g</v>
      </c>
      <c r="I4142" s="6" t="str">
        <f>"204032"</f>
        <v>204032</v>
      </c>
      <c r="J4142" s="6" t="str">
        <f>"AZUL 4032"</f>
        <v>AZUL 4032</v>
      </c>
      <c r="K4142" s="6" t="str">
        <f>"2020"</f>
        <v>2020</v>
      </c>
      <c r="L4142" s="6" t="str">
        <f>"Lençóis"</f>
        <v>Lençóis</v>
      </c>
      <c r="M4142" s="6" t="str">
        <f>"100x150"</f>
        <v>100x150</v>
      </c>
      <c r="N4142" s="6" t="str">
        <f>"5602972521948"</f>
        <v>5602972521948</v>
      </c>
      <c r="O4142" s="8">
        <v>190</v>
      </c>
      <c r="P4142" s="7">
        <v>46010</v>
      </c>
      <c r="R4142" s="8">
        <v>216</v>
      </c>
      <c r="S4142" s="7">
        <v>46015</v>
      </c>
      <c r="U4142" s="8">
        <v>216</v>
      </c>
      <c r="V4142" s="7">
        <v>46028</v>
      </c>
      <c r="X4142" s="8">
        <v>0</v>
      </c>
      <c r="Z4142" s="8">
        <v>216</v>
      </c>
      <c r="AA4142" s="7">
        <v>46042</v>
      </c>
      <c r="AC4142" s="8">
        <v>0</v>
      </c>
      <c r="AE4142" s="7">
        <v>46045</v>
      </c>
      <c r="AF4142" s="8">
        <v>0</v>
      </c>
      <c r="AH4142" s="7">
        <v>46045</v>
      </c>
      <c r="AN4142" s="8">
        <v>0</v>
      </c>
      <c r="AO4142" s="8">
        <v>190</v>
      </c>
    </row>
    <row r="4143" spans="1:41" x14ac:dyDescent="0.25">
      <c r="A4143" s="6" t="str">
        <f t="shared" si="1074"/>
        <v>525-2025000501</v>
      </c>
      <c r="B4143" s="6" t="str">
        <f t="shared" si="1061"/>
        <v>Lasa Int</v>
      </c>
      <c r="C4143" s="7">
        <v>45937</v>
      </c>
      <c r="D4143" s="7">
        <v>46068</v>
      </c>
      <c r="E4143" s="8">
        <v>21</v>
      </c>
      <c r="F4143" s="6" t="str">
        <f t="shared" si="1075"/>
        <v>MD II</v>
      </c>
      <c r="G4143" s="6" t="str">
        <f t="shared" si="1076"/>
        <v>F310636250000000</v>
      </c>
      <c r="H4143" s="6" t="str">
        <f t="shared" si="1077"/>
        <v>PLAR 6362 FD - 500 g</v>
      </c>
      <c r="I4143" s="6" t="str">
        <f>"204033"</f>
        <v>204033</v>
      </c>
      <c r="J4143" s="6" t="str">
        <f>"ROSA 4033"</f>
        <v>ROSA 4033</v>
      </c>
      <c r="K4143" s="6" t="str">
        <f>"0112"</f>
        <v>0112</v>
      </c>
      <c r="L4143" s="6" t="str">
        <f>"Luvas"</f>
        <v>Luvas</v>
      </c>
      <c r="M4143" s="6" t="str">
        <f>"16x21"</f>
        <v>16x21</v>
      </c>
      <c r="N4143" s="6" t="str">
        <f>"5602972521955"</f>
        <v>5602972521955</v>
      </c>
      <c r="O4143" s="8">
        <v>180</v>
      </c>
      <c r="P4143" s="7">
        <v>46010</v>
      </c>
      <c r="R4143" s="8">
        <v>192</v>
      </c>
      <c r="S4143" s="7">
        <v>46015</v>
      </c>
      <c r="U4143" s="8">
        <v>192</v>
      </c>
      <c r="V4143" s="7">
        <v>46028</v>
      </c>
      <c r="X4143" s="8">
        <v>0</v>
      </c>
      <c r="Z4143" s="8">
        <v>192</v>
      </c>
      <c r="AA4143" s="7">
        <v>46042</v>
      </c>
      <c r="AC4143" s="8">
        <v>0</v>
      </c>
      <c r="AE4143" s="7">
        <v>46045</v>
      </c>
      <c r="AF4143" s="8">
        <v>0</v>
      </c>
      <c r="AH4143" s="7">
        <v>46045</v>
      </c>
      <c r="AN4143" s="8">
        <v>0</v>
      </c>
      <c r="AO4143" s="8">
        <v>180</v>
      </c>
    </row>
    <row r="4144" spans="1:41" x14ac:dyDescent="0.25">
      <c r="A4144" s="6" t="str">
        <f t="shared" si="1074"/>
        <v>525-2025000501</v>
      </c>
      <c r="B4144" s="6" t="str">
        <f t="shared" si="1061"/>
        <v>Lasa Int</v>
      </c>
      <c r="C4144" s="7">
        <v>45937</v>
      </c>
      <c r="D4144" s="7">
        <v>46068</v>
      </c>
      <c r="E4144" s="8">
        <v>22</v>
      </c>
      <c r="F4144" s="6" t="str">
        <f t="shared" si="1075"/>
        <v>MD II</v>
      </c>
      <c r="G4144" s="6" t="str">
        <f t="shared" si="1076"/>
        <v>F310636250000000</v>
      </c>
      <c r="H4144" s="6" t="str">
        <f t="shared" si="1077"/>
        <v>PLAR 6362 FD - 500 g</v>
      </c>
      <c r="I4144" s="6" t="str">
        <f>"204033"</f>
        <v>204033</v>
      </c>
      <c r="J4144" s="6" t="str">
        <f>"ROSA 4033"</f>
        <v>ROSA 4033</v>
      </c>
      <c r="K4144" s="6" t="str">
        <f>"0530"</f>
        <v>0530</v>
      </c>
      <c r="L4144" s="6" t="str">
        <f>"Toalhetes"</f>
        <v>Toalhetes</v>
      </c>
      <c r="M4144" s="6" t="str">
        <f>"33x50"</f>
        <v>33x50</v>
      </c>
      <c r="N4144" s="6" t="str">
        <f>"5602972521962"</f>
        <v>5602972521962</v>
      </c>
      <c r="O4144" s="8">
        <v>420</v>
      </c>
      <c r="P4144" s="7">
        <v>46010</v>
      </c>
      <c r="R4144" s="8">
        <v>456</v>
      </c>
      <c r="S4144" s="7">
        <v>46015</v>
      </c>
      <c r="U4144" s="8">
        <v>456</v>
      </c>
      <c r="V4144" s="7">
        <v>46028</v>
      </c>
      <c r="X4144" s="8">
        <v>0</v>
      </c>
      <c r="Z4144" s="8">
        <v>456</v>
      </c>
      <c r="AA4144" s="7">
        <v>46042</v>
      </c>
      <c r="AC4144" s="8">
        <v>0</v>
      </c>
      <c r="AE4144" s="7">
        <v>46045</v>
      </c>
      <c r="AF4144" s="8">
        <v>0</v>
      </c>
      <c r="AH4144" s="7">
        <v>46045</v>
      </c>
      <c r="AN4144" s="8">
        <v>0</v>
      </c>
      <c r="AO4144" s="8">
        <v>420</v>
      </c>
    </row>
    <row r="4145" spans="1:41" x14ac:dyDescent="0.25">
      <c r="A4145" s="6" t="str">
        <f t="shared" si="1074"/>
        <v>525-2025000501</v>
      </c>
      <c r="B4145" s="6" t="str">
        <f t="shared" si="1061"/>
        <v>Lasa Int</v>
      </c>
      <c r="C4145" s="7">
        <v>45937</v>
      </c>
      <c r="D4145" s="7">
        <v>46068</v>
      </c>
      <c r="E4145" s="8">
        <v>23</v>
      </c>
      <c r="F4145" s="6" t="str">
        <f t="shared" si="1075"/>
        <v>MD II</v>
      </c>
      <c r="G4145" s="6" t="str">
        <f t="shared" si="1076"/>
        <v>F310636250000000</v>
      </c>
      <c r="H4145" s="6" t="str">
        <f t="shared" si="1077"/>
        <v>PLAR 6362 FD - 500 g</v>
      </c>
      <c r="I4145" s="6" t="str">
        <f>"204033"</f>
        <v>204033</v>
      </c>
      <c r="J4145" s="6" t="str">
        <f>"ROSA 4033"</f>
        <v>ROSA 4033</v>
      </c>
      <c r="K4145" s="6" t="str">
        <f>"1024"</f>
        <v>1024</v>
      </c>
      <c r="L4145" s="6" t="str">
        <f>"Toalhas"</f>
        <v>Toalhas</v>
      </c>
      <c r="M4145" s="6" t="str">
        <f>"50x100"</f>
        <v>50x100</v>
      </c>
      <c r="N4145" s="6" t="str">
        <f>"5602972521979"</f>
        <v>5602972521979</v>
      </c>
      <c r="O4145" s="8">
        <v>780</v>
      </c>
      <c r="P4145" s="7">
        <v>46010</v>
      </c>
      <c r="R4145" s="8">
        <v>860</v>
      </c>
      <c r="S4145" s="7">
        <v>46015</v>
      </c>
      <c r="U4145" s="8">
        <v>860</v>
      </c>
      <c r="V4145" s="7">
        <v>46028</v>
      </c>
      <c r="X4145" s="8">
        <v>0</v>
      </c>
      <c r="Z4145" s="8">
        <v>860</v>
      </c>
      <c r="AA4145" s="7">
        <v>46042</v>
      </c>
      <c r="AC4145" s="8">
        <v>0</v>
      </c>
      <c r="AE4145" s="7">
        <v>46045</v>
      </c>
      <c r="AF4145" s="8">
        <v>0</v>
      </c>
      <c r="AH4145" s="7">
        <v>46045</v>
      </c>
      <c r="AN4145" s="8">
        <v>0</v>
      </c>
      <c r="AO4145" s="8">
        <v>780</v>
      </c>
    </row>
    <row r="4146" spans="1:41" x14ac:dyDescent="0.25">
      <c r="A4146" s="6" t="str">
        <f t="shared" si="1074"/>
        <v>525-2025000501</v>
      </c>
      <c r="B4146" s="6" t="str">
        <f t="shared" si="1061"/>
        <v>Lasa Int</v>
      </c>
      <c r="C4146" s="7">
        <v>45937</v>
      </c>
      <c r="D4146" s="7">
        <v>46068</v>
      </c>
      <c r="E4146" s="8">
        <v>24</v>
      </c>
      <c r="F4146" s="6" t="str">
        <f t="shared" si="1075"/>
        <v>MD II</v>
      </c>
      <c r="G4146" s="6" t="str">
        <f t="shared" si="1076"/>
        <v>F310636250000000</v>
      </c>
      <c r="H4146" s="6" t="str">
        <f t="shared" si="1077"/>
        <v>PLAR 6362 FD - 500 g</v>
      </c>
      <c r="I4146" s="6" t="str">
        <f>"204033"</f>
        <v>204033</v>
      </c>
      <c r="J4146" s="6" t="str">
        <f>"ROSA 4033"</f>
        <v>ROSA 4033</v>
      </c>
      <c r="K4146" s="6" t="str">
        <f>"1535"</f>
        <v>1535</v>
      </c>
      <c r="L4146" s="6" t="str">
        <f>"Toalhões"</f>
        <v>Toalhões</v>
      </c>
      <c r="M4146" s="6" t="str">
        <f>"70x140"</f>
        <v>70x140</v>
      </c>
      <c r="N4146" s="6" t="str">
        <f>"5602972521986"</f>
        <v>5602972521986</v>
      </c>
      <c r="O4146" s="8">
        <v>220</v>
      </c>
      <c r="P4146" s="7">
        <v>46010</v>
      </c>
      <c r="R4146" s="8">
        <v>231</v>
      </c>
      <c r="S4146" s="7">
        <v>46015</v>
      </c>
      <c r="U4146" s="8">
        <v>231</v>
      </c>
      <c r="V4146" s="7">
        <v>46028</v>
      </c>
      <c r="X4146" s="8">
        <v>0</v>
      </c>
      <c r="Z4146" s="8">
        <v>231</v>
      </c>
      <c r="AA4146" s="7">
        <v>46042</v>
      </c>
      <c r="AC4146" s="8">
        <v>0</v>
      </c>
      <c r="AE4146" s="7">
        <v>46045</v>
      </c>
      <c r="AF4146" s="8">
        <v>0</v>
      </c>
      <c r="AH4146" s="7">
        <v>46045</v>
      </c>
      <c r="AN4146" s="8">
        <v>0</v>
      </c>
      <c r="AO4146" s="8">
        <v>220</v>
      </c>
    </row>
    <row r="4147" spans="1:41" x14ac:dyDescent="0.25">
      <c r="A4147" s="6" t="str">
        <f t="shared" si="1074"/>
        <v>525-2025000501</v>
      </c>
      <c r="B4147" s="6" t="str">
        <f t="shared" si="1061"/>
        <v>Lasa Int</v>
      </c>
      <c r="C4147" s="7">
        <v>45937</v>
      </c>
      <c r="D4147" s="7">
        <v>46068</v>
      </c>
      <c r="E4147" s="8">
        <v>25</v>
      </c>
      <c r="F4147" s="6" t="str">
        <f t="shared" si="1075"/>
        <v>MD II</v>
      </c>
      <c r="G4147" s="6" t="str">
        <f t="shared" si="1076"/>
        <v>F310636250000000</v>
      </c>
      <c r="H4147" s="6" t="str">
        <f t="shared" si="1077"/>
        <v>PLAR 6362 FD - 500 g</v>
      </c>
      <c r="I4147" s="6" t="str">
        <f>"204033"</f>
        <v>204033</v>
      </c>
      <c r="J4147" s="6" t="str">
        <f>"ROSA 4033"</f>
        <v>ROSA 4033</v>
      </c>
      <c r="K4147" s="6" t="str">
        <f>"2020"</f>
        <v>2020</v>
      </c>
      <c r="L4147" s="6" t="str">
        <f>"Lençóis"</f>
        <v>Lençóis</v>
      </c>
      <c r="M4147" s="6" t="str">
        <f>"100x150"</f>
        <v>100x150</v>
      </c>
      <c r="N4147" s="6" t="str">
        <f>"5602972521993"</f>
        <v>5602972521993</v>
      </c>
      <c r="O4147" s="8">
        <v>190</v>
      </c>
      <c r="P4147" s="7">
        <v>46010</v>
      </c>
      <c r="R4147" s="8">
        <v>194</v>
      </c>
      <c r="S4147" s="7">
        <v>46015</v>
      </c>
      <c r="U4147" s="8">
        <v>194</v>
      </c>
      <c r="V4147" s="7">
        <v>46028</v>
      </c>
      <c r="X4147" s="8">
        <v>0</v>
      </c>
      <c r="Z4147" s="8">
        <v>194</v>
      </c>
      <c r="AA4147" s="7">
        <v>46042</v>
      </c>
      <c r="AC4147" s="8">
        <v>0</v>
      </c>
      <c r="AE4147" s="7">
        <v>46045</v>
      </c>
      <c r="AF4147" s="8">
        <v>0</v>
      </c>
      <c r="AH4147" s="7">
        <v>46045</v>
      </c>
      <c r="AN4147" s="8">
        <v>0</v>
      </c>
      <c r="AO4147" s="8">
        <v>190</v>
      </c>
    </row>
    <row r="4148" spans="1:41" x14ac:dyDescent="0.25">
      <c r="A4148" s="6" t="str">
        <f t="shared" ref="A4148:A4167" si="1078">"525-2025000503"</f>
        <v>525-2025000503</v>
      </c>
      <c r="B4148" s="6" t="str">
        <f t="shared" si="1061"/>
        <v>Lasa Int</v>
      </c>
      <c r="C4148" s="7">
        <v>45937</v>
      </c>
      <c r="D4148" s="7">
        <v>46073</v>
      </c>
      <c r="E4148" s="8">
        <v>1</v>
      </c>
      <c r="F4148" s="6" t="str">
        <f t="shared" ref="F4148:F4167" si="1079">"MD R"</f>
        <v>MD R</v>
      </c>
      <c r="G4148" s="6" t="str">
        <f t="shared" ref="G4148:G4167" si="1080">"R310384238000000"</f>
        <v>R310384238000000</v>
      </c>
      <c r="H4148" s="6" t="str">
        <f t="shared" ref="H4148:H4167" si="1081">"R 3842 - PLAR 6362 F"</f>
        <v>R 3842 - PLAR 6362 F</v>
      </c>
      <c r="I4148" s="6" t="str">
        <f>"203842"</f>
        <v>203842</v>
      </c>
      <c r="J4148" s="6" t="str">
        <f>"CINZA 3842"</f>
        <v>CINZA 3842</v>
      </c>
      <c r="K4148" s="6" t="str">
        <f>"5002"</f>
        <v>5002</v>
      </c>
      <c r="L4148" s="6" t="str">
        <f t="shared" ref="L4148:L4167" si="1082">"Roupões Adulto"</f>
        <v>Roupões Adulto</v>
      </c>
      <c r="M4148" s="6" t="str">
        <f>"S"</f>
        <v>S</v>
      </c>
      <c r="N4148" s="6" t="str">
        <f>"5602972522501"</f>
        <v>5602972522501</v>
      </c>
      <c r="O4148" s="8">
        <v>36</v>
      </c>
      <c r="P4148" s="7">
        <v>46010</v>
      </c>
      <c r="R4148" s="8">
        <v>408</v>
      </c>
      <c r="S4148" s="7">
        <v>46020</v>
      </c>
      <c r="U4148" s="8">
        <v>408</v>
      </c>
      <c r="V4148" s="7">
        <v>46030</v>
      </c>
      <c r="X4148" s="8">
        <v>408</v>
      </c>
      <c r="Z4148" s="8">
        <v>0</v>
      </c>
      <c r="AA4148" s="7">
        <v>46044</v>
      </c>
      <c r="AC4148" s="8">
        <v>0</v>
      </c>
      <c r="AE4148" s="7">
        <v>46049</v>
      </c>
      <c r="AF4148" s="8">
        <v>0</v>
      </c>
      <c r="AH4148" s="7">
        <v>46073</v>
      </c>
      <c r="AN4148" s="8">
        <v>0</v>
      </c>
      <c r="AO4148" s="8">
        <v>36</v>
      </c>
    </row>
    <row r="4149" spans="1:41" x14ac:dyDescent="0.25">
      <c r="A4149" s="6" t="str">
        <f t="shared" si="1078"/>
        <v>525-2025000503</v>
      </c>
      <c r="B4149" s="6" t="str">
        <f t="shared" si="1061"/>
        <v>Lasa Int</v>
      </c>
      <c r="C4149" s="7">
        <v>45937</v>
      </c>
      <c r="D4149" s="7">
        <v>46073</v>
      </c>
      <c r="E4149" s="8">
        <v>2</v>
      </c>
      <c r="F4149" s="6" t="str">
        <f t="shared" si="1079"/>
        <v>MD R</v>
      </c>
      <c r="G4149" s="6" t="str">
        <f t="shared" si="1080"/>
        <v>R310384238000000</v>
      </c>
      <c r="H4149" s="6" t="str">
        <f t="shared" si="1081"/>
        <v>R 3842 - PLAR 6362 F</v>
      </c>
      <c r="I4149" s="6" t="str">
        <f>"203842"</f>
        <v>203842</v>
      </c>
      <c r="J4149" s="6" t="str">
        <f>"CINZA 3842"</f>
        <v>CINZA 3842</v>
      </c>
      <c r="K4149" s="6" t="str">
        <f>"5004"</f>
        <v>5004</v>
      </c>
      <c r="L4149" s="6" t="str">
        <f t="shared" si="1082"/>
        <v>Roupões Adulto</v>
      </c>
      <c r="M4149" s="6" t="str">
        <f>"M"</f>
        <v>M</v>
      </c>
      <c r="N4149" s="6" t="str">
        <f>"5602972522518"</f>
        <v>5602972522518</v>
      </c>
      <c r="O4149" s="8">
        <v>60</v>
      </c>
      <c r="P4149" s="7">
        <v>46010</v>
      </c>
      <c r="R4149" s="8">
        <v>0</v>
      </c>
      <c r="S4149" s="7">
        <v>46020</v>
      </c>
      <c r="U4149" s="8">
        <v>0</v>
      </c>
      <c r="V4149" s="7">
        <v>46030</v>
      </c>
      <c r="X4149" s="8">
        <v>0</v>
      </c>
      <c r="Z4149" s="8">
        <v>0</v>
      </c>
      <c r="AA4149" s="7">
        <v>46044</v>
      </c>
      <c r="AC4149" s="8">
        <v>0</v>
      </c>
      <c r="AE4149" s="7">
        <v>46049</v>
      </c>
      <c r="AF4149" s="8">
        <v>0</v>
      </c>
      <c r="AH4149" s="7">
        <v>46073</v>
      </c>
      <c r="AN4149" s="8">
        <v>0</v>
      </c>
      <c r="AO4149" s="8">
        <v>60</v>
      </c>
    </row>
    <row r="4150" spans="1:41" x14ac:dyDescent="0.25">
      <c r="A4150" s="6" t="str">
        <f t="shared" si="1078"/>
        <v>525-2025000503</v>
      </c>
      <c r="B4150" s="6" t="str">
        <f t="shared" si="1061"/>
        <v>Lasa Int</v>
      </c>
      <c r="C4150" s="7">
        <v>45937</v>
      </c>
      <c r="D4150" s="7">
        <v>46073</v>
      </c>
      <c r="E4150" s="8">
        <v>3</v>
      </c>
      <c r="F4150" s="6" t="str">
        <f t="shared" si="1079"/>
        <v>MD R</v>
      </c>
      <c r="G4150" s="6" t="str">
        <f t="shared" si="1080"/>
        <v>R310384238000000</v>
      </c>
      <c r="H4150" s="6" t="str">
        <f t="shared" si="1081"/>
        <v>R 3842 - PLAR 6362 F</v>
      </c>
      <c r="I4150" s="6" t="str">
        <f>"203842"</f>
        <v>203842</v>
      </c>
      <c r="J4150" s="6" t="str">
        <f>"CINZA 3842"</f>
        <v>CINZA 3842</v>
      </c>
      <c r="K4150" s="6" t="str">
        <f>"5006"</f>
        <v>5006</v>
      </c>
      <c r="L4150" s="6" t="str">
        <f t="shared" si="1082"/>
        <v>Roupões Adulto</v>
      </c>
      <c r="M4150" s="6" t="str">
        <f>"L"</f>
        <v>L</v>
      </c>
      <c r="N4150" s="6" t="str">
        <f>"5602972522525"</f>
        <v>5602972522525</v>
      </c>
      <c r="O4150" s="8">
        <v>72</v>
      </c>
      <c r="P4150" s="7">
        <v>46010</v>
      </c>
      <c r="R4150" s="8">
        <v>0</v>
      </c>
      <c r="S4150" s="7">
        <v>46020</v>
      </c>
      <c r="U4150" s="8">
        <v>0</v>
      </c>
      <c r="V4150" s="7">
        <v>46030</v>
      </c>
      <c r="X4150" s="8">
        <v>0</v>
      </c>
      <c r="Z4150" s="8">
        <v>0</v>
      </c>
      <c r="AA4150" s="7">
        <v>46044</v>
      </c>
      <c r="AC4150" s="8">
        <v>0</v>
      </c>
      <c r="AE4150" s="7">
        <v>46049</v>
      </c>
      <c r="AF4150" s="8">
        <v>0</v>
      </c>
      <c r="AH4150" s="7">
        <v>46073</v>
      </c>
      <c r="AN4150" s="8">
        <v>0</v>
      </c>
      <c r="AO4150" s="8">
        <v>72</v>
      </c>
    </row>
    <row r="4151" spans="1:41" x14ac:dyDescent="0.25">
      <c r="A4151" s="6" t="str">
        <f t="shared" si="1078"/>
        <v>525-2025000503</v>
      </c>
      <c r="B4151" s="6" t="str">
        <f t="shared" si="1061"/>
        <v>Lasa Int</v>
      </c>
      <c r="C4151" s="7">
        <v>45937</v>
      </c>
      <c r="D4151" s="7">
        <v>46073</v>
      </c>
      <c r="E4151" s="8">
        <v>4</v>
      </c>
      <c r="F4151" s="6" t="str">
        <f t="shared" si="1079"/>
        <v>MD R</v>
      </c>
      <c r="G4151" s="6" t="str">
        <f t="shared" si="1080"/>
        <v>R310384238000000</v>
      </c>
      <c r="H4151" s="6" t="str">
        <f t="shared" si="1081"/>
        <v>R 3842 - PLAR 6362 F</v>
      </c>
      <c r="I4151" s="6" t="str">
        <f>"203842"</f>
        <v>203842</v>
      </c>
      <c r="J4151" s="6" t="str">
        <f>"CINZA 3842"</f>
        <v>CINZA 3842</v>
      </c>
      <c r="K4151" s="6" t="str">
        <f>"5008"</f>
        <v>5008</v>
      </c>
      <c r="L4151" s="6" t="str">
        <f t="shared" si="1082"/>
        <v>Roupões Adulto</v>
      </c>
      <c r="M4151" s="6" t="str">
        <f>"XL"</f>
        <v>XL</v>
      </c>
      <c r="N4151" s="6" t="str">
        <f>"5602972522532"</f>
        <v>5602972522532</v>
      </c>
      <c r="O4151" s="8">
        <v>36</v>
      </c>
      <c r="P4151" s="7">
        <v>46010</v>
      </c>
      <c r="R4151" s="8">
        <v>0</v>
      </c>
      <c r="S4151" s="7">
        <v>46020</v>
      </c>
      <c r="U4151" s="8">
        <v>0</v>
      </c>
      <c r="V4151" s="7">
        <v>46030</v>
      </c>
      <c r="X4151" s="8">
        <v>0</v>
      </c>
      <c r="Z4151" s="8">
        <v>0</v>
      </c>
      <c r="AA4151" s="7">
        <v>46044</v>
      </c>
      <c r="AC4151" s="8">
        <v>0</v>
      </c>
      <c r="AE4151" s="7">
        <v>46049</v>
      </c>
      <c r="AF4151" s="8">
        <v>0</v>
      </c>
      <c r="AH4151" s="7">
        <v>46073</v>
      </c>
      <c r="AN4151" s="8">
        <v>0</v>
      </c>
      <c r="AO4151" s="8">
        <v>36</v>
      </c>
    </row>
    <row r="4152" spans="1:41" x14ac:dyDescent="0.25">
      <c r="A4152" s="6" t="str">
        <f t="shared" si="1078"/>
        <v>525-2025000503</v>
      </c>
      <c r="B4152" s="6" t="str">
        <f t="shared" si="1061"/>
        <v>Lasa Int</v>
      </c>
      <c r="C4152" s="7">
        <v>45937</v>
      </c>
      <c r="D4152" s="7">
        <v>46073</v>
      </c>
      <c r="E4152" s="8">
        <v>5</v>
      </c>
      <c r="F4152" s="6" t="str">
        <f t="shared" si="1079"/>
        <v>MD R</v>
      </c>
      <c r="G4152" s="6" t="str">
        <f t="shared" si="1080"/>
        <v>R310384238000000</v>
      </c>
      <c r="H4152" s="6" t="str">
        <f t="shared" si="1081"/>
        <v>R 3842 - PLAR 6362 F</v>
      </c>
      <c r="I4152" s="6" t="str">
        <f>"203872"</f>
        <v>203872</v>
      </c>
      <c r="J4152" s="6" t="str">
        <f>"BEGE 3872"</f>
        <v>BEGE 3872</v>
      </c>
      <c r="K4152" s="6" t="str">
        <f>"5002"</f>
        <v>5002</v>
      </c>
      <c r="L4152" s="6" t="str">
        <f t="shared" si="1082"/>
        <v>Roupões Adulto</v>
      </c>
      <c r="M4152" s="6" t="str">
        <f>"S"</f>
        <v>S</v>
      </c>
      <c r="N4152" s="6" t="str">
        <f>"5602972522549"</f>
        <v>5602972522549</v>
      </c>
      <c r="O4152" s="8">
        <v>36</v>
      </c>
      <c r="P4152" s="7">
        <v>46010</v>
      </c>
      <c r="R4152" s="8">
        <v>382</v>
      </c>
      <c r="S4152" s="7">
        <v>46020</v>
      </c>
      <c r="U4152" s="8">
        <v>382</v>
      </c>
      <c r="V4152" s="7">
        <v>46030</v>
      </c>
      <c r="X4152" s="8">
        <v>382</v>
      </c>
      <c r="Z4152" s="8">
        <v>0</v>
      </c>
      <c r="AA4152" s="7">
        <v>46044</v>
      </c>
      <c r="AC4152" s="8">
        <v>0</v>
      </c>
      <c r="AE4152" s="7">
        <v>46049</v>
      </c>
      <c r="AF4152" s="8">
        <v>0</v>
      </c>
      <c r="AH4152" s="7">
        <v>46073</v>
      </c>
      <c r="AN4152" s="8">
        <v>0</v>
      </c>
      <c r="AO4152" s="8">
        <v>36</v>
      </c>
    </row>
    <row r="4153" spans="1:41" x14ac:dyDescent="0.25">
      <c r="A4153" s="6" t="str">
        <f t="shared" si="1078"/>
        <v>525-2025000503</v>
      </c>
      <c r="B4153" s="6" t="str">
        <f t="shared" si="1061"/>
        <v>Lasa Int</v>
      </c>
      <c r="C4153" s="7">
        <v>45937</v>
      </c>
      <c r="D4153" s="7">
        <v>46073</v>
      </c>
      <c r="E4153" s="8">
        <v>6</v>
      </c>
      <c r="F4153" s="6" t="str">
        <f t="shared" si="1079"/>
        <v>MD R</v>
      </c>
      <c r="G4153" s="6" t="str">
        <f t="shared" si="1080"/>
        <v>R310384238000000</v>
      </c>
      <c r="H4153" s="6" t="str">
        <f t="shared" si="1081"/>
        <v>R 3842 - PLAR 6362 F</v>
      </c>
      <c r="I4153" s="6" t="str">
        <f>"203872"</f>
        <v>203872</v>
      </c>
      <c r="J4153" s="6" t="str">
        <f>"BEGE 3872"</f>
        <v>BEGE 3872</v>
      </c>
      <c r="K4153" s="6" t="str">
        <f>"5004"</f>
        <v>5004</v>
      </c>
      <c r="L4153" s="6" t="str">
        <f t="shared" si="1082"/>
        <v>Roupões Adulto</v>
      </c>
      <c r="M4153" s="6" t="str">
        <f>"M"</f>
        <v>M</v>
      </c>
      <c r="N4153" s="6" t="str">
        <f>"5602972522556"</f>
        <v>5602972522556</v>
      </c>
      <c r="O4153" s="8">
        <v>60</v>
      </c>
      <c r="P4153" s="7">
        <v>46010</v>
      </c>
      <c r="R4153" s="8">
        <v>0</v>
      </c>
      <c r="S4153" s="7">
        <v>46020</v>
      </c>
      <c r="U4153" s="8">
        <v>0</v>
      </c>
      <c r="V4153" s="7">
        <v>46030</v>
      </c>
      <c r="X4153" s="8">
        <v>0</v>
      </c>
      <c r="Z4153" s="8">
        <v>0</v>
      </c>
      <c r="AA4153" s="7">
        <v>46044</v>
      </c>
      <c r="AC4153" s="8">
        <v>0</v>
      </c>
      <c r="AE4153" s="7">
        <v>46049</v>
      </c>
      <c r="AF4153" s="8">
        <v>0</v>
      </c>
      <c r="AH4153" s="7">
        <v>46073</v>
      </c>
      <c r="AN4153" s="8">
        <v>0</v>
      </c>
      <c r="AO4153" s="8">
        <v>60</v>
      </c>
    </row>
    <row r="4154" spans="1:41" x14ac:dyDescent="0.25">
      <c r="A4154" s="6" t="str">
        <f t="shared" si="1078"/>
        <v>525-2025000503</v>
      </c>
      <c r="B4154" s="6" t="str">
        <f t="shared" si="1061"/>
        <v>Lasa Int</v>
      </c>
      <c r="C4154" s="7">
        <v>45937</v>
      </c>
      <c r="D4154" s="7">
        <v>46073</v>
      </c>
      <c r="E4154" s="8">
        <v>7</v>
      </c>
      <c r="F4154" s="6" t="str">
        <f t="shared" si="1079"/>
        <v>MD R</v>
      </c>
      <c r="G4154" s="6" t="str">
        <f t="shared" si="1080"/>
        <v>R310384238000000</v>
      </c>
      <c r="H4154" s="6" t="str">
        <f t="shared" si="1081"/>
        <v>R 3842 - PLAR 6362 F</v>
      </c>
      <c r="I4154" s="6" t="str">
        <f>"203872"</f>
        <v>203872</v>
      </c>
      <c r="J4154" s="6" t="str">
        <f>"BEGE 3872"</f>
        <v>BEGE 3872</v>
      </c>
      <c r="K4154" s="6" t="str">
        <f>"5006"</f>
        <v>5006</v>
      </c>
      <c r="L4154" s="6" t="str">
        <f t="shared" si="1082"/>
        <v>Roupões Adulto</v>
      </c>
      <c r="M4154" s="6" t="str">
        <f>"L"</f>
        <v>L</v>
      </c>
      <c r="N4154" s="6" t="str">
        <f>"5602972522563"</f>
        <v>5602972522563</v>
      </c>
      <c r="O4154" s="8">
        <v>72</v>
      </c>
      <c r="P4154" s="7">
        <v>46010</v>
      </c>
      <c r="R4154" s="8">
        <v>0</v>
      </c>
      <c r="S4154" s="7">
        <v>46020</v>
      </c>
      <c r="U4154" s="8">
        <v>0</v>
      </c>
      <c r="V4154" s="7">
        <v>46030</v>
      </c>
      <c r="X4154" s="8">
        <v>0</v>
      </c>
      <c r="Z4154" s="8">
        <v>0</v>
      </c>
      <c r="AA4154" s="7">
        <v>46044</v>
      </c>
      <c r="AC4154" s="8">
        <v>0</v>
      </c>
      <c r="AE4154" s="7">
        <v>46049</v>
      </c>
      <c r="AF4154" s="8">
        <v>0</v>
      </c>
      <c r="AH4154" s="7">
        <v>46073</v>
      </c>
      <c r="AN4154" s="8">
        <v>0</v>
      </c>
      <c r="AO4154" s="8">
        <v>72</v>
      </c>
    </row>
    <row r="4155" spans="1:41" x14ac:dyDescent="0.25">
      <c r="A4155" s="6" t="str">
        <f t="shared" si="1078"/>
        <v>525-2025000503</v>
      </c>
      <c r="B4155" s="6" t="str">
        <f t="shared" si="1061"/>
        <v>Lasa Int</v>
      </c>
      <c r="C4155" s="7">
        <v>45937</v>
      </c>
      <c r="D4155" s="7">
        <v>46073</v>
      </c>
      <c r="E4155" s="8">
        <v>8</v>
      </c>
      <c r="F4155" s="6" t="str">
        <f t="shared" si="1079"/>
        <v>MD R</v>
      </c>
      <c r="G4155" s="6" t="str">
        <f t="shared" si="1080"/>
        <v>R310384238000000</v>
      </c>
      <c r="H4155" s="6" t="str">
        <f t="shared" si="1081"/>
        <v>R 3842 - PLAR 6362 F</v>
      </c>
      <c r="I4155" s="6" t="str">
        <f>"203872"</f>
        <v>203872</v>
      </c>
      <c r="J4155" s="6" t="str">
        <f>"BEGE 3872"</f>
        <v>BEGE 3872</v>
      </c>
      <c r="K4155" s="6" t="str">
        <f>"5008"</f>
        <v>5008</v>
      </c>
      <c r="L4155" s="6" t="str">
        <f t="shared" si="1082"/>
        <v>Roupões Adulto</v>
      </c>
      <c r="M4155" s="6" t="str">
        <f>"XL"</f>
        <v>XL</v>
      </c>
      <c r="N4155" s="6" t="str">
        <f>"5602972522570"</f>
        <v>5602972522570</v>
      </c>
      <c r="O4155" s="8">
        <v>24</v>
      </c>
      <c r="P4155" s="7">
        <v>46010</v>
      </c>
      <c r="R4155" s="8">
        <v>0</v>
      </c>
      <c r="S4155" s="7">
        <v>46020</v>
      </c>
      <c r="U4155" s="8">
        <v>0</v>
      </c>
      <c r="V4155" s="7">
        <v>46030</v>
      </c>
      <c r="X4155" s="8">
        <v>0</v>
      </c>
      <c r="Z4155" s="8">
        <v>0</v>
      </c>
      <c r="AA4155" s="7">
        <v>46044</v>
      </c>
      <c r="AC4155" s="8">
        <v>0</v>
      </c>
      <c r="AE4155" s="7">
        <v>46049</v>
      </c>
      <c r="AF4155" s="8">
        <v>0</v>
      </c>
      <c r="AH4155" s="7">
        <v>46073</v>
      </c>
      <c r="AN4155" s="8">
        <v>0</v>
      </c>
      <c r="AO4155" s="8">
        <v>24</v>
      </c>
    </row>
    <row r="4156" spans="1:41" x14ac:dyDescent="0.25">
      <c r="A4156" s="6" t="str">
        <f t="shared" si="1078"/>
        <v>525-2025000503</v>
      </c>
      <c r="B4156" s="6" t="str">
        <f t="shared" si="1061"/>
        <v>Lasa Int</v>
      </c>
      <c r="C4156" s="7">
        <v>45937</v>
      </c>
      <c r="D4156" s="7">
        <v>46073</v>
      </c>
      <c r="E4156" s="8">
        <v>9</v>
      </c>
      <c r="F4156" s="6" t="str">
        <f t="shared" si="1079"/>
        <v>MD R</v>
      </c>
      <c r="G4156" s="6" t="str">
        <f t="shared" si="1080"/>
        <v>R310384238000000</v>
      </c>
      <c r="H4156" s="6" t="str">
        <f t="shared" si="1081"/>
        <v>R 3842 - PLAR 6362 F</v>
      </c>
      <c r="I4156" s="6" t="str">
        <f>"203874"</f>
        <v>203874</v>
      </c>
      <c r="J4156" s="6" t="str">
        <f>"VERDE 3874"</f>
        <v>VERDE 3874</v>
      </c>
      <c r="K4156" s="6" t="str">
        <f>"5002"</f>
        <v>5002</v>
      </c>
      <c r="L4156" s="6" t="str">
        <f t="shared" si="1082"/>
        <v>Roupões Adulto</v>
      </c>
      <c r="M4156" s="6" t="str">
        <f>"S"</f>
        <v>S</v>
      </c>
      <c r="N4156" s="6" t="str">
        <f>"5602972522587"</f>
        <v>5602972522587</v>
      </c>
      <c r="O4156" s="8">
        <v>36</v>
      </c>
      <c r="P4156" s="7">
        <v>46010</v>
      </c>
      <c r="R4156" s="8">
        <v>387</v>
      </c>
      <c r="S4156" s="7">
        <v>46020</v>
      </c>
      <c r="U4156" s="8">
        <v>387</v>
      </c>
      <c r="V4156" s="7">
        <v>46030</v>
      </c>
      <c r="X4156" s="8">
        <v>387</v>
      </c>
      <c r="Z4156" s="8">
        <v>0</v>
      </c>
      <c r="AA4156" s="7">
        <v>46044</v>
      </c>
      <c r="AC4156" s="8">
        <v>0</v>
      </c>
      <c r="AE4156" s="7">
        <v>46049</v>
      </c>
      <c r="AF4156" s="8">
        <v>0</v>
      </c>
      <c r="AH4156" s="7">
        <v>46073</v>
      </c>
      <c r="AN4156" s="8">
        <v>0</v>
      </c>
      <c r="AO4156" s="8">
        <v>36</v>
      </c>
    </row>
    <row r="4157" spans="1:41" x14ac:dyDescent="0.25">
      <c r="A4157" s="6" t="str">
        <f t="shared" si="1078"/>
        <v>525-2025000503</v>
      </c>
      <c r="B4157" s="6" t="str">
        <f t="shared" si="1061"/>
        <v>Lasa Int</v>
      </c>
      <c r="C4157" s="7">
        <v>45937</v>
      </c>
      <c r="D4157" s="7">
        <v>46073</v>
      </c>
      <c r="E4157" s="8">
        <v>10</v>
      </c>
      <c r="F4157" s="6" t="str">
        <f t="shared" si="1079"/>
        <v>MD R</v>
      </c>
      <c r="G4157" s="6" t="str">
        <f t="shared" si="1080"/>
        <v>R310384238000000</v>
      </c>
      <c r="H4157" s="6" t="str">
        <f t="shared" si="1081"/>
        <v>R 3842 - PLAR 6362 F</v>
      </c>
      <c r="I4157" s="6" t="str">
        <f>"203874"</f>
        <v>203874</v>
      </c>
      <c r="J4157" s="6" t="str">
        <f>"VERDE 3874"</f>
        <v>VERDE 3874</v>
      </c>
      <c r="K4157" s="6" t="str">
        <f>"5004"</f>
        <v>5004</v>
      </c>
      <c r="L4157" s="6" t="str">
        <f t="shared" si="1082"/>
        <v>Roupões Adulto</v>
      </c>
      <c r="M4157" s="6" t="str">
        <f>"M"</f>
        <v>M</v>
      </c>
      <c r="N4157" s="6" t="str">
        <f>"5602972522594"</f>
        <v>5602972522594</v>
      </c>
      <c r="O4157" s="8">
        <v>60</v>
      </c>
      <c r="P4157" s="7">
        <v>46010</v>
      </c>
      <c r="R4157" s="8">
        <v>0</v>
      </c>
      <c r="S4157" s="7">
        <v>46020</v>
      </c>
      <c r="U4157" s="8">
        <v>0</v>
      </c>
      <c r="V4157" s="7">
        <v>46030</v>
      </c>
      <c r="X4157" s="8">
        <v>0</v>
      </c>
      <c r="Z4157" s="8">
        <v>0</v>
      </c>
      <c r="AA4157" s="7">
        <v>46044</v>
      </c>
      <c r="AC4157" s="8">
        <v>0</v>
      </c>
      <c r="AE4157" s="7">
        <v>46049</v>
      </c>
      <c r="AF4157" s="8">
        <v>0</v>
      </c>
      <c r="AH4157" s="7">
        <v>46073</v>
      </c>
      <c r="AN4157" s="8">
        <v>0</v>
      </c>
      <c r="AO4157" s="8">
        <v>60</v>
      </c>
    </row>
    <row r="4158" spans="1:41" x14ac:dyDescent="0.25">
      <c r="A4158" s="6" t="str">
        <f t="shared" si="1078"/>
        <v>525-2025000503</v>
      </c>
      <c r="B4158" s="6" t="str">
        <f t="shared" si="1061"/>
        <v>Lasa Int</v>
      </c>
      <c r="C4158" s="7">
        <v>45937</v>
      </c>
      <c r="D4158" s="7">
        <v>46073</v>
      </c>
      <c r="E4158" s="8">
        <v>11</v>
      </c>
      <c r="F4158" s="6" t="str">
        <f t="shared" si="1079"/>
        <v>MD R</v>
      </c>
      <c r="G4158" s="6" t="str">
        <f t="shared" si="1080"/>
        <v>R310384238000000</v>
      </c>
      <c r="H4158" s="6" t="str">
        <f t="shared" si="1081"/>
        <v>R 3842 - PLAR 6362 F</v>
      </c>
      <c r="I4158" s="6" t="str">
        <f>"203874"</f>
        <v>203874</v>
      </c>
      <c r="J4158" s="6" t="str">
        <f>"VERDE 3874"</f>
        <v>VERDE 3874</v>
      </c>
      <c r="K4158" s="6" t="str">
        <f>"5006"</f>
        <v>5006</v>
      </c>
      <c r="L4158" s="6" t="str">
        <f t="shared" si="1082"/>
        <v>Roupões Adulto</v>
      </c>
      <c r="M4158" s="6" t="str">
        <f>"L"</f>
        <v>L</v>
      </c>
      <c r="N4158" s="6" t="str">
        <f>"5602972522600"</f>
        <v>5602972522600</v>
      </c>
      <c r="O4158" s="8">
        <v>72</v>
      </c>
      <c r="P4158" s="7">
        <v>46010</v>
      </c>
      <c r="R4158" s="8">
        <v>0</v>
      </c>
      <c r="S4158" s="7">
        <v>46020</v>
      </c>
      <c r="U4158" s="8">
        <v>0</v>
      </c>
      <c r="V4158" s="7">
        <v>46030</v>
      </c>
      <c r="X4158" s="8">
        <v>0</v>
      </c>
      <c r="Z4158" s="8">
        <v>0</v>
      </c>
      <c r="AA4158" s="7">
        <v>46044</v>
      </c>
      <c r="AC4158" s="8">
        <v>0</v>
      </c>
      <c r="AE4158" s="7">
        <v>46049</v>
      </c>
      <c r="AF4158" s="8">
        <v>0</v>
      </c>
      <c r="AH4158" s="7">
        <v>46073</v>
      </c>
      <c r="AN4158" s="8">
        <v>0</v>
      </c>
      <c r="AO4158" s="8">
        <v>72</v>
      </c>
    </row>
    <row r="4159" spans="1:41" x14ac:dyDescent="0.25">
      <c r="A4159" s="6" t="str">
        <f t="shared" si="1078"/>
        <v>525-2025000503</v>
      </c>
      <c r="B4159" s="6" t="str">
        <f t="shared" si="1061"/>
        <v>Lasa Int</v>
      </c>
      <c r="C4159" s="7">
        <v>45937</v>
      </c>
      <c r="D4159" s="7">
        <v>46073</v>
      </c>
      <c r="E4159" s="8">
        <v>12</v>
      </c>
      <c r="F4159" s="6" t="str">
        <f t="shared" si="1079"/>
        <v>MD R</v>
      </c>
      <c r="G4159" s="6" t="str">
        <f t="shared" si="1080"/>
        <v>R310384238000000</v>
      </c>
      <c r="H4159" s="6" t="str">
        <f t="shared" si="1081"/>
        <v>R 3842 - PLAR 6362 F</v>
      </c>
      <c r="I4159" s="6" t="str">
        <f>"203874"</f>
        <v>203874</v>
      </c>
      <c r="J4159" s="6" t="str">
        <f>"VERDE 3874"</f>
        <v>VERDE 3874</v>
      </c>
      <c r="K4159" s="6" t="str">
        <f>"5008"</f>
        <v>5008</v>
      </c>
      <c r="L4159" s="6" t="str">
        <f t="shared" si="1082"/>
        <v>Roupões Adulto</v>
      </c>
      <c r="M4159" s="6" t="str">
        <f>"XL"</f>
        <v>XL</v>
      </c>
      <c r="N4159" s="6" t="str">
        <f>"5602972522617"</f>
        <v>5602972522617</v>
      </c>
      <c r="O4159" s="8">
        <v>24</v>
      </c>
      <c r="P4159" s="7">
        <v>46010</v>
      </c>
      <c r="R4159" s="8">
        <v>0</v>
      </c>
      <c r="S4159" s="7">
        <v>46020</v>
      </c>
      <c r="U4159" s="8">
        <v>0</v>
      </c>
      <c r="V4159" s="7">
        <v>46030</v>
      </c>
      <c r="X4159" s="8">
        <v>0</v>
      </c>
      <c r="Z4159" s="8">
        <v>0</v>
      </c>
      <c r="AA4159" s="7">
        <v>46044</v>
      </c>
      <c r="AC4159" s="8">
        <v>0</v>
      </c>
      <c r="AE4159" s="7">
        <v>46049</v>
      </c>
      <c r="AF4159" s="8">
        <v>0</v>
      </c>
      <c r="AH4159" s="7">
        <v>46073</v>
      </c>
      <c r="AN4159" s="8">
        <v>0</v>
      </c>
      <c r="AO4159" s="8">
        <v>24</v>
      </c>
    </row>
    <row r="4160" spans="1:41" x14ac:dyDescent="0.25">
      <c r="A4160" s="6" t="str">
        <f t="shared" si="1078"/>
        <v>525-2025000503</v>
      </c>
      <c r="B4160" s="6" t="str">
        <f t="shared" si="1061"/>
        <v>Lasa Int</v>
      </c>
      <c r="C4160" s="7">
        <v>45937</v>
      </c>
      <c r="D4160" s="7">
        <v>46073</v>
      </c>
      <c r="E4160" s="8">
        <v>13</v>
      </c>
      <c r="F4160" s="6" t="str">
        <f t="shared" si="1079"/>
        <v>MD R</v>
      </c>
      <c r="G4160" s="6" t="str">
        <f t="shared" si="1080"/>
        <v>R310384238000000</v>
      </c>
      <c r="H4160" s="6" t="str">
        <f t="shared" si="1081"/>
        <v>R 3842 - PLAR 6362 F</v>
      </c>
      <c r="I4160" s="6" t="str">
        <f>"204032"</f>
        <v>204032</v>
      </c>
      <c r="J4160" s="6" t="str">
        <f>"AZUL 4032"</f>
        <v>AZUL 4032</v>
      </c>
      <c r="K4160" s="6" t="str">
        <f>"5002"</f>
        <v>5002</v>
      </c>
      <c r="L4160" s="6" t="str">
        <f t="shared" si="1082"/>
        <v>Roupões Adulto</v>
      </c>
      <c r="M4160" s="6" t="str">
        <f>"S"</f>
        <v>S</v>
      </c>
      <c r="N4160" s="6" t="str">
        <f>"5602972522624"</f>
        <v>5602972522624</v>
      </c>
      <c r="O4160" s="8">
        <v>36</v>
      </c>
      <c r="P4160" s="7">
        <v>46010</v>
      </c>
      <c r="R4160" s="8">
        <v>404</v>
      </c>
      <c r="S4160" s="7">
        <v>46020</v>
      </c>
      <c r="U4160" s="8">
        <v>404</v>
      </c>
      <c r="V4160" s="7">
        <v>46030</v>
      </c>
      <c r="X4160" s="8">
        <v>404</v>
      </c>
      <c r="Z4160" s="8">
        <v>0</v>
      </c>
      <c r="AA4160" s="7">
        <v>46044</v>
      </c>
      <c r="AC4160" s="8">
        <v>0</v>
      </c>
      <c r="AE4160" s="7">
        <v>46049</v>
      </c>
      <c r="AF4160" s="8">
        <v>0</v>
      </c>
      <c r="AH4160" s="7">
        <v>46073</v>
      </c>
      <c r="AN4160" s="8">
        <v>0</v>
      </c>
      <c r="AO4160" s="8">
        <v>36</v>
      </c>
    </row>
    <row r="4161" spans="1:41" x14ac:dyDescent="0.25">
      <c r="A4161" s="6" t="str">
        <f t="shared" si="1078"/>
        <v>525-2025000503</v>
      </c>
      <c r="B4161" s="6" t="str">
        <f t="shared" si="1061"/>
        <v>Lasa Int</v>
      </c>
      <c r="C4161" s="7">
        <v>45937</v>
      </c>
      <c r="D4161" s="7">
        <v>46073</v>
      </c>
      <c r="E4161" s="8">
        <v>14</v>
      </c>
      <c r="F4161" s="6" t="str">
        <f t="shared" si="1079"/>
        <v>MD R</v>
      </c>
      <c r="G4161" s="6" t="str">
        <f t="shared" si="1080"/>
        <v>R310384238000000</v>
      </c>
      <c r="H4161" s="6" t="str">
        <f t="shared" si="1081"/>
        <v>R 3842 - PLAR 6362 F</v>
      </c>
      <c r="I4161" s="6" t="str">
        <f>"204032"</f>
        <v>204032</v>
      </c>
      <c r="J4161" s="6" t="str">
        <f>"AZUL 4032"</f>
        <v>AZUL 4032</v>
      </c>
      <c r="K4161" s="6" t="str">
        <f>"5004"</f>
        <v>5004</v>
      </c>
      <c r="L4161" s="6" t="str">
        <f t="shared" si="1082"/>
        <v>Roupões Adulto</v>
      </c>
      <c r="M4161" s="6" t="str">
        <f>"M"</f>
        <v>M</v>
      </c>
      <c r="N4161" s="6" t="str">
        <f>"5602972522631"</f>
        <v>5602972522631</v>
      </c>
      <c r="O4161" s="8">
        <v>60</v>
      </c>
      <c r="P4161" s="7">
        <v>46010</v>
      </c>
      <c r="R4161" s="8">
        <v>0</v>
      </c>
      <c r="S4161" s="7">
        <v>46020</v>
      </c>
      <c r="U4161" s="8">
        <v>0</v>
      </c>
      <c r="V4161" s="7">
        <v>46030</v>
      </c>
      <c r="X4161" s="8">
        <v>0</v>
      </c>
      <c r="Z4161" s="8">
        <v>0</v>
      </c>
      <c r="AA4161" s="7">
        <v>46044</v>
      </c>
      <c r="AC4161" s="8">
        <v>0</v>
      </c>
      <c r="AE4161" s="7">
        <v>46049</v>
      </c>
      <c r="AF4161" s="8">
        <v>0</v>
      </c>
      <c r="AH4161" s="7">
        <v>46073</v>
      </c>
      <c r="AN4161" s="8">
        <v>0</v>
      </c>
      <c r="AO4161" s="8">
        <v>60</v>
      </c>
    </row>
    <row r="4162" spans="1:41" x14ac:dyDescent="0.25">
      <c r="A4162" s="6" t="str">
        <f t="shared" si="1078"/>
        <v>525-2025000503</v>
      </c>
      <c r="B4162" s="6" t="str">
        <f t="shared" ref="B4162:B4225" si="1083">"Lasa Int"</f>
        <v>Lasa Int</v>
      </c>
      <c r="C4162" s="7">
        <v>45937</v>
      </c>
      <c r="D4162" s="7">
        <v>46073</v>
      </c>
      <c r="E4162" s="8">
        <v>15</v>
      </c>
      <c r="F4162" s="6" t="str">
        <f t="shared" si="1079"/>
        <v>MD R</v>
      </c>
      <c r="G4162" s="6" t="str">
        <f t="shared" si="1080"/>
        <v>R310384238000000</v>
      </c>
      <c r="H4162" s="6" t="str">
        <f t="shared" si="1081"/>
        <v>R 3842 - PLAR 6362 F</v>
      </c>
      <c r="I4162" s="6" t="str">
        <f>"204032"</f>
        <v>204032</v>
      </c>
      <c r="J4162" s="6" t="str">
        <f>"AZUL 4032"</f>
        <v>AZUL 4032</v>
      </c>
      <c r="K4162" s="6" t="str">
        <f>"5006"</f>
        <v>5006</v>
      </c>
      <c r="L4162" s="6" t="str">
        <f t="shared" si="1082"/>
        <v>Roupões Adulto</v>
      </c>
      <c r="M4162" s="6" t="str">
        <f>"L"</f>
        <v>L</v>
      </c>
      <c r="N4162" s="6" t="str">
        <f>"5602972522648"</f>
        <v>5602972522648</v>
      </c>
      <c r="O4162" s="8">
        <v>72</v>
      </c>
      <c r="P4162" s="7">
        <v>46010</v>
      </c>
      <c r="R4162" s="8">
        <v>0</v>
      </c>
      <c r="S4162" s="7">
        <v>46020</v>
      </c>
      <c r="U4162" s="8">
        <v>0</v>
      </c>
      <c r="V4162" s="7">
        <v>46030</v>
      </c>
      <c r="X4162" s="8">
        <v>0</v>
      </c>
      <c r="Z4162" s="8">
        <v>0</v>
      </c>
      <c r="AA4162" s="7">
        <v>46044</v>
      </c>
      <c r="AC4162" s="8">
        <v>0</v>
      </c>
      <c r="AE4162" s="7">
        <v>46049</v>
      </c>
      <c r="AF4162" s="8">
        <v>0</v>
      </c>
      <c r="AH4162" s="7">
        <v>46073</v>
      </c>
      <c r="AN4162" s="8">
        <v>0</v>
      </c>
      <c r="AO4162" s="8">
        <v>72</v>
      </c>
    </row>
    <row r="4163" spans="1:41" x14ac:dyDescent="0.25">
      <c r="A4163" s="6" t="str">
        <f t="shared" si="1078"/>
        <v>525-2025000503</v>
      </c>
      <c r="B4163" s="6" t="str">
        <f t="shared" si="1083"/>
        <v>Lasa Int</v>
      </c>
      <c r="C4163" s="7">
        <v>45937</v>
      </c>
      <c r="D4163" s="7">
        <v>46073</v>
      </c>
      <c r="E4163" s="8">
        <v>16</v>
      </c>
      <c r="F4163" s="6" t="str">
        <f t="shared" si="1079"/>
        <v>MD R</v>
      </c>
      <c r="G4163" s="6" t="str">
        <f t="shared" si="1080"/>
        <v>R310384238000000</v>
      </c>
      <c r="H4163" s="6" t="str">
        <f t="shared" si="1081"/>
        <v>R 3842 - PLAR 6362 F</v>
      </c>
      <c r="I4163" s="6" t="str">
        <f>"204032"</f>
        <v>204032</v>
      </c>
      <c r="J4163" s="6" t="str">
        <f>"AZUL 4032"</f>
        <v>AZUL 4032</v>
      </c>
      <c r="K4163" s="6" t="str">
        <f>"5008"</f>
        <v>5008</v>
      </c>
      <c r="L4163" s="6" t="str">
        <f t="shared" si="1082"/>
        <v>Roupões Adulto</v>
      </c>
      <c r="M4163" s="6" t="str">
        <f>"XL"</f>
        <v>XL</v>
      </c>
      <c r="N4163" s="6" t="str">
        <f>"5602972522655"</f>
        <v>5602972522655</v>
      </c>
      <c r="O4163" s="8">
        <v>24</v>
      </c>
      <c r="P4163" s="7">
        <v>46010</v>
      </c>
      <c r="R4163" s="8">
        <v>0</v>
      </c>
      <c r="S4163" s="7">
        <v>46020</v>
      </c>
      <c r="U4163" s="8">
        <v>0</v>
      </c>
      <c r="V4163" s="7">
        <v>46030</v>
      </c>
      <c r="X4163" s="8">
        <v>0</v>
      </c>
      <c r="Z4163" s="8">
        <v>0</v>
      </c>
      <c r="AA4163" s="7">
        <v>46044</v>
      </c>
      <c r="AC4163" s="8">
        <v>0</v>
      </c>
      <c r="AE4163" s="7">
        <v>46049</v>
      </c>
      <c r="AF4163" s="8">
        <v>0</v>
      </c>
      <c r="AH4163" s="7">
        <v>46073</v>
      </c>
      <c r="AN4163" s="8">
        <v>0</v>
      </c>
      <c r="AO4163" s="8">
        <v>24</v>
      </c>
    </row>
    <row r="4164" spans="1:41" x14ac:dyDescent="0.25">
      <c r="A4164" s="6" t="str">
        <f t="shared" si="1078"/>
        <v>525-2025000503</v>
      </c>
      <c r="B4164" s="6" t="str">
        <f t="shared" si="1083"/>
        <v>Lasa Int</v>
      </c>
      <c r="C4164" s="7">
        <v>45937</v>
      </c>
      <c r="D4164" s="7">
        <v>46073</v>
      </c>
      <c r="E4164" s="8">
        <v>17</v>
      </c>
      <c r="F4164" s="6" t="str">
        <f t="shared" si="1079"/>
        <v>MD R</v>
      </c>
      <c r="G4164" s="6" t="str">
        <f t="shared" si="1080"/>
        <v>R310384238000000</v>
      </c>
      <c r="H4164" s="6" t="str">
        <f t="shared" si="1081"/>
        <v>R 3842 - PLAR 6362 F</v>
      </c>
      <c r="I4164" s="6" t="str">
        <f>"204033"</f>
        <v>204033</v>
      </c>
      <c r="J4164" s="6" t="str">
        <f>"ROSA 4033"</f>
        <v>ROSA 4033</v>
      </c>
      <c r="K4164" s="6" t="str">
        <f>"5002"</f>
        <v>5002</v>
      </c>
      <c r="L4164" s="6" t="str">
        <f t="shared" si="1082"/>
        <v>Roupões Adulto</v>
      </c>
      <c r="M4164" s="6" t="str">
        <f>"S"</f>
        <v>S</v>
      </c>
      <c r="N4164" s="6" t="str">
        <f>"5602972522662"</f>
        <v>5602972522662</v>
      </c>
      <c r="O4164" s="8">
        <v>48</v>
      </c>
      <c r="P4164" s="7">
        <v>46010</v>
      </c>
      <c r="R4164" s="8">
        <v>637</v>
      </c>
      <c r="S4164" s="7">
        <v>46020</v>
      </c>
      <c r="U4164" s="8">
        <v>401</v>
      </c>
      <c r="V4164" s="7">
        <v>46030</v>
      </c>
      <c r="X4164" s="8">
        <v>401</v>
      </c>
      <c r="Z4164" s="8">
        <v>0</v>
      </c>
      <c r="AA4164" s="7">
        <v>46044</v>
      </c>
      <c r="AC4164" s="8">
        <v>0</v>
      </c>
      <c r="AE4164" s="7">
        <v>46049</v>
      </c>
      <c r="AF4164" s="8">
        <v>0</v>
      </c>
      <c r="AH4164" s="7">
        <v>46073</v>
      </c>
      <c r="AN4164" s="8">
        <v>0</v>
      </c>
      <c r="AO4164" s="8">
        <v>48</v>
      </c>
    </row>
    <row r="4165" spans="1:41" x14ac:dyDescent="0.25">
      <c r="A4165" s="6" t="str">
        <f t="shared" si="1078"/>
        <v>525-2025000503</v>
      </c>
      <c r="B4165" s="6" t="str">
        <f t="shared" si="1083"/>
        <v>Lasa Int</v>
      </c>
      <c r="C4165" s="7">
        <v>45937</v>
      </c>
      <c r="D4165" s="7">
        <v>46073</v>
      </c>
      <c r="E4165" s="8">
        <v>18</v>
      </c>
      <c r="F4165" s="6" t="str">
        <f t="shared" si="1079"/>
        <v>MD R</v>
      </c>
      <c r="G4165" s="6" t="str">
        <f t="shared" si="1080"/>
        <v>R310384238000000</v>
      </c>
      <c r="H4165" s="6" t="str">
        <f t="shared" si="1081"/>
        <v>R 3842 - PLAR 6362 F</v>
      </c>
      <c r="I4165" s="6" t="str">
        <f>"204033"</f>
        <v>204033</v>
      </c>
      <c r="J4165" s="6" t="str">
        <f>"ROSA 4033"</f>
        <v>ROSA 4033</v>
      </c>
      <c r="K4165" s="6" t="str">
        <f>"5004"</f>
        <v>5004</v>
      </c>
      <c r="L4165" s="6" t="str">
        <f t="shared" si="1082"/>
        <v>Roupões Adulto</v>
      </c>
      <c r="M4165" s="6" t="str">
        <f>"M"</f>
        <v>M</v>
      </c>
      <c r="N4165" s="6" t="str">
        <f>"5602972522679"</f>
        <v>5602972522679</v>
      </c>
      <c r="O4165" s="8">
        <v>72</v>
      </c>
      <c r="P4165" s="7">
        <v>46010</v>
      </c>
      <c r="R4165" s="8">
        <v>0</v>
      </c>
      <c r="S4165" s="7">
        <v>46020</v>
      </c>
      <c r="U4165" s="8">
        <v>0</v>
      </c>
      <c r="V4165" s="7">
        <v>46030</v>
      </c>
      <c r="X4165" s="8">
        <v>0</v>
      </c>
      <c r="Z4165" s="8">
        <v>0</v>
      </c>
      <c r="AA4165" s="7">
        <v>46044</v>
      </c>
      <c r="AC4165" s="8">
        <v>0</v>
      </c>
      <c r="AE4165" s="7">
        <v>46049</v>
      </c>
      <c r="AF4165" s="8">
        <v>0</v>
      </c>
      <c r="AH4165" s="7">
        <v>46073</v>
      </c>
      <c r="AN4165" s="8">
        <v>0</v>
      </c>
      <c r="AO4165" s="8">
        <v>72</v>
      </c>
    </row>
    <row r="4166" spans="1:41" x14ac:dyDescent="0.25">
      <c r="A4166" s="6" t="str">
        <f t="shared" si="1078"/>
        <v>525-2025000503</v>
      </c>
      <c r="B4166" s="6" t="str">
        <f t="shared" si="1083"/>
        <v>Lasa Int</v>
      </c>
      <c r="C4166" s="7">
        <v>45937</v>
      </c>
      <c r="D4166" s="7">
        <v>46073</v>
      </c>
      <c r="E4166" s="8">
        <v>19</v>
      </c>
      <c r="F4166" s="6" t="str">
        <f t="shared" si="1079"/>
        <v>MD R</v>
      </c>
      <c r="G4166" s="6" t="str">
        <f t="shared" si="1080"/>
        <v>R310384238000000</v>
      </c>
      <c r="H4166" s="6" t="str">
        <f t="shared" si="1081"/>
        <v>R 3842 - PLAR 6362 F</v>
      </c>
      <c r="I4166" s="6" t="str">
        <f>"204033"</f>
        <v>204033</v>
      </c>
      <c r="J4166" s="6" t="str">
        <f>"ROSA 4033"</f>
        <v>ROSA 4033</v>
      </c>
      <c r="K4166" s="6" t="str">
        <f>"5006"</f>
        <v>5006</v>
      </c>
      <c r="L4166" s="6" t="str">
        <f t="shared" si="1082"/>
        <v>Roupões Adulto</v>
      </c>
      <c r="M4166" s="6" t="str">
        <f>"L"</f>
        <v>L</v>
      </c>
      <c r="N4166" s="6" t="str">
        <f>"5602972522686"</f>
        <v>5602972522686</v>
      </c>
      <c r="O4166" s="8">
        <v>60</v>
      </c>
      <c r="P4166" s="7">
        <v>46010</v>
      </c>
      <c r="R4166" s="8">
        <v>0</v>
      </c>
      <c r="S4166" s="7">
        <v>46020</v>
      </c>
      <c r="U4166" s="8">
        <v>0</v>
      </c>
      <c r="V4166" s="7">
        <v>46030</v>
      </c>
      <c r="X4166" s="8">
        <v>0</v>
      </c>
      <c r="Z4166" s="8">
        <v>0</v>
      </c>
      <c r="AA4166" s="7">
        <v>46044</v>
      </c>
      <c r="AC4166" s="8">
        <v>0</v>
      </c>
      <c r="AE4166" s="7">
        <v>46049</v>
      </c>
      <c r="AF4166" s="8">
        <v>0</v>
      </c>
      <c r="AH4166" s="7">
        <v>46073</v>
      </c>
      <c r="AN4166" s="8">
        <v>0</v>
      </c>
      <c r="AO4166" s="8">
        <v>60</v>
      </c>
    </row>
    <row r="4167" spans="1:41" x14ac:dyDescent="0.25">
      <c r="A4167" s="6" t="str">
        <f t="shared" si="1078"/>
        <v>525-2025000503</v>
      </c>
      <c r="B4167" s="6" t="str">
        <f t="shared" si="1083"/>
        <v>Lasa Int</v>
      </c>
      <c r="C4167" s="7">
        <v>45937</v>
      </c>
      <c r="D4167" s="7">
        <v>46073</v>
      </c>
      <c r="E4167" s="8">
        <v>20</v>
      </c>
      <c r="F4167" s="6" t="str">
        <f t="shared" si="1079"/>
        <v>MD R</v>
      </c>
      <c r="G4167" s="6" t="str">
        <f t="shared" si="1080"/>
        <v>R310384238000000</v>
      </c>
      <c r="H4167" s="6" t="str">
        <f t="shared" si="1081"/>
        <v>R 3842 - PLAR 6362 F</v>
      </c>
      <c r="I4167" s="6" t="str">
        <f>"204033"</f>
        <v>204033</v>
      </c>
      <c r="J4167" s="6" t="str">
        <f>"ROSA 4033"</f>
        <v>ROSA 4033</v>
      </c>
      <c r="K4167" s="6" t="str">
        <f>"5008"</f>
        <v>5008</v>
      </c>
      <c r="L4167" s="6" t="str">
        <f t="shared" si="1082"/>
        <v>Roupões Adulto</v>
      </c>
      <c r="M4167" s="6" t="str">
        <f>"XL"</f>
        <v>XL</v>
      </c>
      <c r="N4167" s="6" t="str">
        <f>"5602972522693"</f>
        <v>5602972522693</v>
      </c>
      <c r="O4167" s="8">
        <v>18</v>
      </c>
      <c r="P4167" s="7">
        <v>46010</v>
      </c>
      <c r="R4167" s="8">
        <v>0</v>
      </c>
      <c r="S4167" s="7">
        <v>46020</v>
      </c>
      <c r="U4167" s="8">
        <v>0</v>
      </c>
      <c r="V4167" s="7">
        <v>46030</v>
      </c>
      <c r="X4167" s="8">
        <v>0</v>
      </c>
      <c r="Z4167" s="8">
        <v>0</v>
      </c>
      <c r="AA4167" s="7">
        <v>46044</v>
      </c>
      <c r="AC4167" s="8">
        <v>0</v>
      </c>
      <c r="AE4167" s="7">
        <v>46049</v>
      </c>
      <c r="AF4167" s="8">
        <v>0</v>
      </c>
      <c r="AH4167" s="7">
        <v>46073</v>
      </c>
      <c r="AN4167" s="8">
        <v>0</v>
      </c>
      <c r="AO4167" s="8">
        <v>18</v>
      </c>
    </row>
    <row r="4168" spans="1:41" x14ac:dyDescent="0.25">
      <c r="A4168" s="6" t="str">
        <f t="shared" ref="A4168:A4195" si="1084">"525-2025000505"</f>
        <v>525-2025000505</v>
      </c>
      <c r="B4168" s="6" t="str">
        <f t="shared" si="1083"/>
        <v>Lasa Int</v>
      </c>
      <c r="C4168" s="7">
        <v>45938</v>
      </c>
      <c r="D4168" s="7">
        <v>46037</v>
      </c>
      <c r="E4168" s="8">
        <v>1</v>
      </c>
      <c r="F4168" s="6" t="str">
        <f t="shared" ref="F4168:F4195" si="1085">"PURE"</f>
        <v>PURE</v>
      </c>
      <c r="G4168" s="6" t="str">
        <f t="shared" ref="G4168:G4193" si="1086">"F100021455000000"</f>
        <v>F100021455000000</v>
      </c>
      <c r="H4168" s="6" t="str">
        <f t="shared" ref="H4168:H4193" si="1087">"FA 214 - PURE - 550"</f>
        <v>FA 214 - PURE - 550</v>
      </c>
      <c r="I4168" s="6" t="str">
        <f>"1093"</f>
        <v>1093</v>
      </c>
      <c r="J4168" s="6" t="str">
        <f>"AZUL 1093"</f>
        <v>AZUL 1093</v>
      </c>
      <c r="K4168" s="6" t="str">
        <f>"0530"</f>
        <v>0530</v>
      </c>
      <c r="L4168" s="6" t="str">
        <f>"Toalhetes"</f>
        <v>Toalhetes</v>
      </c>
      <c r="M4168" s="6" t="str">
        <f>"33x50"</f>
        <v>33x50</v>
      </c>
      <c r="N4168" s="6" t="str">
        <f>"5602972836844"</f>
        <v>5602972836844</v>
      </c>
      <c r="O4168" s="8">
        <v>450</v>
      </c>
      <c r="P4168" s="7">
        <v>45938</v>
      </c>
      <c r="R4168" s="8">
        <v>0</v>
      </c>
      <c r="S4168" s="7">
        <v>45943</v>
      </c>
      <c r="U4168" s="8">
        <v>450</v>
      </c>
      <c r="V4168" s="7">
        <v>45954</v>
      </c>
      <c r="X4168" s="8">
        <v>0</v>
      </c>
      <c r="Z4168" s="8">
        <v>450</v>
      </c>
      <c r="AA4168" s="7">
        <v>45968</v>
      </c>
      <c r="AC4168" s="8">
        <v>186</v>
      </c>
      <c r="AE4168" s="7">
        <v>45973</v>
      </c>
      <c r="AF4168" s="8">
        <v>186</v>
      </c>
      <c r="AH4168" s="7">
        <v>45973</v>
      </c>
      <c r="AN4168" s="8">
        <v>186</v>
      </c>
      <c r="AO4168" s="8">
        <v>264</v>
      </c>
    </row>
    <row r="4169" spans="1:41" x14ac:dyDescent="0.25">
      <c r="A4169" s="6" t="str">
        <f t="shared" si="1084"/>
        <v>525-2025000505</v>
      </c>
      <c r="B4169" s="6" t="str">
        <f t="shared" si="1083"/>
        <v>Lasa Int</v>
      </c>
      <c r="C4169" s="7">
        <v>45938</v>
      </c>
      <c r="D4169" s="7">
        <v>46037</v>
      </c>
      <c r="E4169" s="8">
        <v>2</v>
      </c>
      <c r="F4169" s="6" t="str">
        <f t="shared" si="1085"/>
        <v>PURE</v>
      </c>
      <c r="G4169" s="6" t="str">
        <f t="shared" si="1086"/>
        <v>F100021455000000</v>
      </c>
      <c r="H4169" s="6" t="str">
        <f t="shared" si="1087"/>
        <v>FA 214 - PURE - 550</v>
      </c>
      <c r="I4169" s="6" t="str">
        <f>"1093"</f>
        <v>1093</v>
      </c>
      <c r="J4169" s="6" t="str">
        <f>"AZUL 1093"</f>
        <v>AZUL 1093</v>
      </c>
      <c r="K4169" s="6" t="str">
        <f>"1024"</f>
        <v>1024</v>
      </c>
      <c r="L4169" s="6" t="str">
        <f>"Toalhas"</f>
        <v>Toalhas</v>
      </c>
      <c r="M4169" s="6" t="str">
        <f>"50x100"</f>
        <v>50x100</v>
      </c>
      <c r="N4169" s="6" t="str">
        <f>"5602972836851"</f>
        <v>5602972836851</v>
      </c>
      <c r="O4169" s="8">
        <v>480</v>
      </c>
      <c r="P4169" s="7">
        <v>45938</v>
      </c>
      <c r="R4169" s="8">
        <v>5660</v>
      </c>
      <c r="S4169" s="7">
        <v>45943</v>
      </c>
      <c r="U4169" s="8">
        <v>480</v>
      </c>
      <c r="V4169" s="7">
        <v>45954</v>
      </c>
      <c r="X4169" s="8">
        <v>0</v>
      </c>
      <c r="Z4169" s="8">
        <v>480</v>
      </c>
      <c r="AA4169" s="7">
        <v>45968</v>
      </c>
      <c r="AC4169" s="8">
        <v>410</v>
      </c>
      <c r="AE4169" s="7">
        <v>45973</v>
      </c>
      <c r="AF4169" s="8">
        <v>410</v>
      </c>
      <c r="AH4169" s="7">
        <v>45973</v>
      </c>
      <c r="AN4169" s="8">
        <v>410</v>
      </c>
      <c r="AO4169" s="8">
        <v>70</v>
      </c>
    </row>
    <row r="4170" spans="1:41" x14ac:dyDescent="0.25">
      <c r="A4170" s="6" t="str">
        <f t="shared" si="1084"/>
        <v>525-2025000505</v>
      </c>
      <c r="B4170" s="6" t="str">
        <f t="shared" si="1083"/>
        <v>Lasa Int</v>
      </c>
      <c r="C4170" s="7">
        <v>45938</v>
      </c>
      <c r="D4170" s="7">
        <v>46037</v>
      </c>
      <c r="E4170" s="8">
        <v>3</v>
      </c>
      <c r="F4170" s="6" t="str">
        <f t="shared" si="1085"/>
        <v>PURE</v>
      </c>
      <c r="G4170" s="6" t="str">
        <f t="shared" si="1086"/>
        <v>F100021455000000</v>
      </c>
      <c r="H4170" s="6" t="str">
        <f t="shared" si="1087"/>
        <v>FA 214 - PURE - 550</v>
      </c>
      <c r="I4170" s="6" t="str">
        <f>"1093"</f>
        <v>1093</v>
      </c>
      <c r="J4170" s="6" t="str">
        <f>"AZUL 1093"</f>
        <v>AZUL 1093</v>
      </c>
      <c r="K4170" s="6" t="str">
        <f>"1535"</f>
        <v>1535</v>
      </c>
      <c r="L4170" s="6" t="str">
        <f>"Toalhões"</f>
        <v>Toalhões</v>
      </c>
      <c r="M4170" s="6" t="str">
        <f>"70x140"</f>
        <v>70x140</v>
      </c>
      <c r="N4170" s="6" t="str">
        <f>"5602972836868"</f>
        <v>5602972836868</v>
      </c>
      <c r="O4170" s="8">
        <v>120</v>
      </c>
      <c r="P4170" s="7">
        <v>45938</v>
      </c>
      <c r="R4170" s="8">
        <v>2271</v>
      </c>
      <c r="S4170" s="7">
        <v>45943</v>
      </c>
      <c r="U4170" s="8">
        <v>120</v>
      </c>
      <c r="V4170" s="7">
        <v>45954</v>
      </c>
      <c r="X4170" s="8">
        <v>0</v>
      </c>
      <c r="Z4170" s="8">
        <v>120</v>
      </c>
      <c r="AA4170" s="7">
        <v>45968</v>
      </c>
      <c r="AC4170" s="8">
        <v>95</v>
      </c>
      <c r="AE4170" s="7">
        <v>45973</v>
      </c>
      <c r="AF4170" s="8">
        <v>95</v>
      </c>
      <c r="AH4170" s="7">
        <v>45973</v>
      </c>
      <c r="AN4170" s="8">
        <v>95</v>
      </c>
      <c r="AO4170" s="8">
        <v>25</v>
      </c>
    </row>
    <row r="4171" spans="1:41" x14ac:dyDescent="0.25">
      <c r="A4171" s="6" t="str">
        <f t="shared" si="1084"/>
        <v>525-2025000505</v>
      </c>
      <c r="B4171" s="6" t="str">
        <f t="shared" si="1083"/>
        <v>Lasa Int</v>
      </c>
      <c r="C4171" s="7">
        <v>45938</v>
      </c>
      <c r="D4171" s="7">
        <v>46037</v>
      </c>
      <c r="E4171" s="8">
        <v>4</v>
      </c>
      <c r="F4171" s="6" t="str">
        <f t="shared" si="1085"/>
        <v>PURE</v>
      </c>
      <c r="G4171" s="6" t="str">
        <f t="shared" si="1086"/>
        <v>F100021455000000</v>
      </c>
      <c r="H4171" s="6" t="str">
        <f t="shared" si="1087"/>
        <v>FA 214 - PURE - 550</v>
      </c>
      <c r="I4171" s="6" t="str">
        <f>"1093"</f>
        <v>1093</v>
      </c>
      <c r="J4171" s="6" t="str">
        <f>"AZUL 1093"</f>
        <v>AZUL 1093</v>
      </c>
      <c r="K4171" s="6" t="str">
        <f>"2020"</f>
        <v>2020</v>
      </c>
      <c r="L4171" s="6" t="str">
        <f>"Lençóis"</f>
        <v>Lençóis</v>
      </c>
      <c r="M4171" s="6" t="str">
        <f>"100x150"</f>
        <v>100x150</v>
      </c>
      <c r="N4171" s="6" t="str">
        <f>"5602972836875"</f>
        <v>5602972836875</v>
      </c>
      <c r="O4171" s="8">
        <v>160</v>
      </c>
      <c r="P4171" s="7">
        <v>45938</v>
      </c>
      <c r="R4171" s="8">
        <v>1518</v>
      </c>
      <c r="S4171" s="7">
        <v>45943</v>
      </c>
      <c r="U4171" s="8">
        <v>160</v>
      </c>
      <c r="V4171" s="7">
        <v>45954</v>
      </c>
      <c r="X4171" s="8">
        <v>0</v>
      </c>
      <c r="Z4171" s="8">
        <v>160</v>
      </c>
      <c r="AA4171" s="7">
        <v>45968</v>
      </c>
      <c r="AC4171" s="8">
        <v>118</v>
      </c>
      <c r="AE4171" s="7">
        <v>45973</v>
      </c>
      <c r="AF4171" s="8">
        <v>118</v>
      </c>
      <c r="AH4171" s="7">
        <v>45973</v>
      </c>
      <c r="AN4171" s="8">
        <v>118</v>
      </c>
      <c r="AO4171" s="8">
        <v>42</v>
      </c>
    </row>
    <row r="4172" spans="1:41" x14ac:dyDescent="0.25">
      <c r="A4172" s="6" t="str">
        <f t="shared" si="1084"/>
        <v>525-2025000505</v>
      </c>
      <c r="B4172" s="6" t="str">
        <f t="shared" si="1083"/>
        <v>Lasa Int</v>
      </c>
      <c r="C4172" s="7">
        <v>45938</v>
      </c>
      <c r="D4172" s="7">
        <v>46037</v>
      </c>
      <c r="E4172" s="8">
        <v>5</v>
      </c>
      <c r="F4172" s="6" t="str">
        <f t="shared" si="1085"/>
        <v>PURE</v>
      </c>
      <c r="G4172" s="6" t="str">
        <f t="shared" si="1086"/>
        <v>F100021455000000</v>
      </c>
      <c r="H4172" s="6" t="str">
        <f t="shared" si="1087"/>
        <v>FA 214 - PURE - 550</v>
      </c>
      <c r="I4172" s="6" t="str">
        <f>"121"</f>
        <v>121</v>
      </c>
      <c r="J4172" s="6" t="str">
        <f>"ROSA 121"</f>
        <v>ROSA 121</v>
      </c>
      <c r="K4172" s="6" t="str">
        <f>"0112"</f>
        <v>0112</v>
      </c>
      <c r="L4172" s="6" t="str">
        <f>"Luvas"</f>
        <v>Luvas</v>
      </c>
      <c r="M4172" s="6" t="str">
        <f>"16x21"</f>
        <v>16x21</v>
      </c>
      <c r="N4172" s="6" t="str">
        <f>"5602972877977"</f>
        <v>5602972877977</v>
      </c>
      <c r="O4172" s="8">
        <v>300</v>
      </c>
      <c r="P4172" s="7">
        <v>45938</v>
      </c>
      <c r="R4172" s="8">
        <v>0</v>
      </c>
      <c r="S4172" s="7">
        <v>45943</v>
      </c>
      <c r="U4172" s="8">
        <v>300</v>
      </c>
      <c r="V4172" s="7">
        <v>45954</v>
      </c>
      <c r="X4172" s="8">
        <v>0</v>
      </c>
      <c r="Z4172" s="8">
        <v>300</v>
      </c>
      <c r="AA4172" s="7">
        <v>45968</v>
      </c>
      <c r="AC4172" s="8">
        <v>0</v>
      </c>
      <c r="AE4172" s="7">
        <v>45973</v>
      </c>
      <c r="AF4172" s="8">
        <v>0</v>
      </c>
      <c r="AH4172" s="7">
        <v>45973</v>
      </c>
      <c r="AN4172" s="8">
        <v>300</v>
      </c>
      <c r="AO4172" s="8">
        <v>0</v>
      </c>
    </row>
    <row r="4173" spans="1:41" x14ac:dyDescent="0.25">
      <c r="A4173" s="6" t="str">
        <f t="shared" si="1084"/>
        <v>525-2025000505</v>
      </c>
      <c r="B4173" s="6" t="str">
        <f t="shared" si="1083"/>
        <v>Lasa Int</v>
      </c>
      <c r="C4173" s="7">
        <v>45938</v>
      </c>
      <c r="D4173" s="7">
        <v>46037</v>
      </c>
      <c r="E4173" s="8">
        <v>6</v>
      </c>
      <c r="F4173" s="6" t="str">
        <f t="shared" si="1085"/>
        <v>PURE</v>
      </c>
      <c r="G4173" s="6" t="str">
        <f t="shared" si="1086"/>
        <v>F100021455000000</v>
      </c>
      <c r="H4173" s="6" t="str">
        <f t="shared" si="1087"/>
        <v>FA 214 - PURE - 550</v>
      </c>
      <c r="I4173" s="6" t="str">
        <f>"121"</f>
        <v>121</v>
      </c>
      <c r="J4173" s="6" t="str">
        <f>"ROSA 121"</f>
        <v>ROSA 121</v>
      </c>
      <c r="K4173" s="6" t="str">
        <f>"0530"</f>
        <v>0530</v>
      </c>
      <c r="L4173" s="6" t="str">
        <f>"Toalhetes"</f>
        <v>Toalhetes</v>
      </c>
      <c r="M4173" s="6" t="str">
        <f>"33x50"</f>
        <v>33x50</v>
      </c>
      <c r="N4173" s="6" t="str">
        <f>"5602972877984"</f>
        <v>5602972877984</v>
      </c>
      <c r="O4173" s="8">
        <v>450</v>
      </c>
      <c r="P4173" s="7">
        <v>45938</v>
      </c>
      <c r="R4173" s="8">
        <v>0</v>
      </c>
      <c r="S4173" s="7">
        <v>45943</v>
      </c>
      <c r="U4173" s="8">
        <v>450</v>
      </c>
      <c r="V4173" s="7">
        <v>45954</v>
      </c>
      <c r="X4173" s="8">
        <v>0</v>
      </c>
      <c r="Z4173" s="8">
        <v>450</v>
      </c>
      <c r="AA4173" s="7">
        <v>45968</v>
      </c>
      <c r="AC4173" s="8">
        <v>484</v>
      </c>
      <c r="AE4173" s="7">
        <v>45973</v>
      </c>
      <c r="AF4173" s="8">
        <v>484</v>
      </c>
      <c r="AH4173" s="7">
        <v>45973</v>
      </c>
      <c r="AN4173" s="8">
        <v>484</v>
      </c>
      <c r="AO4173" s="8">
        <v>-34</v>
      </c>
    </row>
    <row r="4174" spans="1:41" x14ac:dyDescent="0.25">
      <c r="A4174" s="6" t="str">
        <f t="shared" si="1084"/>
        <v>525-2025000505</v>
      </c>
      <c r="B4174" s="6" t="str">
        <f t="shared" si="1083"/>
        <v>Lasa Int</v>
      </c>
      <c r="C4174" s="7">
        <v>45938</v>
      </c>
      <c r="D4174" s="7">
        <v>46037</v>
      </c>
      <c r="E4174" s="8">
        <v>7</v>
      </c>
      <c r="F4174" s="6" t="str">
        <f t="shared" si="1085"/>
        <v>PURE</v>
      </c>
      <c r="G4174" s="6" t="str">
        <f t="shared" si="1086"/>
        <v>F100021455000000</v>
      </c>
      <c r="H4174" s="6" t="str">
        <f t="shared" si="1087"/>
        <v>FA 214 - PURE - 550</v>
      </c>
      <c r="I4174" s="6" t="str">
        <f>"121"</f>
        <v>121</v>
      </c>
      <c r="J4174" s="6" t="str">
        <f>"ROSA 121"</f>
        <v>ROSA 121</v>
      </c>
      <c r="K4174" s="6" t="str">
        <f>"1024"</f>
        <v>1024</v>
      </c>
      <c r="L4174" s="6" t="str">
        <f>"Toalhas"</f>
        <v>Toalhas</v>
      </c>
      <c r="M4174" s="6" t="str">
        <f>"50x100"</f>
        <v>50x100</v>
      </c>
      <c r="N4174" s="6" t="str">
        <f>"5602972877991"</f>
        <v>5602972877991</v>
      </c>
      <c r="O4174" s="8">
        <v>480</v>
      </c>
      <c r="P4174" s="7">
        <v>45938</v>
      </c>
      <c r="R4174" s="8">
        <v>0</v>
      </c>
      <c r="S4174" s="7">
        <v>45943</v>
      </c>
      <c r="U4174" s="8">
        <v>480</v>
      </c>
      <c r="V4174" s="7">
        <v>45954</v>
      </c>
      <c r="X4174" s="8">
        <v>0</v>
      </c>
      <c r="Z4174" s="8">
        <v>480</v>
      </c>
      <c r="AA4174" s="7">
        <v>45968</v>
      </c>
      <c r="AC4174" s="8">
        <v>496</v>
      </c>
      <c r="AE4174" s="7">
        <v>45973</v>
      </c>
      <c r="AF4174" s="8">
        <v>496</v>
      </c>
      <c r="AH4174" s="7">
        <v>45973</v>
      </c>
      <c r="AN4174" s="8">
        <v>496</v>
      </c>
      <c r="AO4174" s="8">
        <v>-16</v>
      </c>
    </row>
    <row r="4175" spans="1:41" x14ac:dyDescent="0.25">
      <c r="A4175" s="6" t="str">
        <f t="shared" si="1084"/>
        <v>525-2025000505</v>
      </c>
      <c r="B4175" s="6" t="str">
        <f t="shared" si="1083"/>
        <v>Lasa Int</v>
      </c>
      <c r="C4175" s="7">
        <v>45938</v>
      </c>
      <c r="D4175" s="7">
        <v>46037</v>
      </c>
      <c r="E4175" s="8">
        <v>8</v>
      </c>
      <c r="F4175" s="6" t="str">
        <f t="shared" si="1085"/>
        <v>PURE</v>
      </c>
      <c r="G4175" s="6" t="str">
        <f t="shared" si="1086"/>
        <v>F100021455000000</v>
      </c>
      <c r="H4175" s="6" t="str">
        <f t="shared" si="1087"/>
        <v>FA 214 - PURE - 550</v>
      </c>
      <c r="I4175" s="6" t="str">
        <f>"121"</f>
        <v>121</v>
      </c>
      <c r="J4175" s="6" t="str">
        <f>"ROSA 121"</f>
        <v>ROSA 121</v>
      </c>
      <c r="K4175" s="6" t="str">
        <f>"1535"</f>
        <v>1535</v>
      </c>
      <c r="L4175" s="6" t="str">
        <f>"Toalhões"</f>
        <v>Toalhões</v>
      </c>
      <c r="M4175" s="6" t="str">
        <f>"70x140"</f>
        <v>70x140</v>
      </c>
      <c r="N4175" s="6" t="str">
        <f>"5602972878004"</f>
        <v>5602972878004</v>
      </c>
      <c r="O4175" s="8">
        <v>360</v>
      </c>
      <c r="P4175" s="7">
        <v>45938</v>
      </c>
      <c r="R4175" s="8">
        <v>0</v>
      </c>
      <c r="S4175" s="7">
        <v>45943</v>
      </c>
      <c r="U4175" s="8">
        <v>360</v>
      </c>
      <c r="V4175" s="7">
        <v>45954</v>
      </c>
      <c r="X4175" s="8">
        <v>0</v>
      </c>
      <c r="Z4175" s="8">
        <v>360</v>
      </c>
      <c r="AA4175" s="7">
        <v>45968</v>
      </c>
      <c r="AC4175" s="8">
        <v>355</v>
      </c>
      <c r="AE4175" s="7">
        <v>45973</v>
      </c>
      <c r="AF4175" s="8">
        <v>355</v>
      </c>
      <c r="AH4175" s="7">
        <v>45973</v>
      </c>
      <c r="AN4175" s="8">
        <v>355</v>
      </c>
      <c r="AO4175" s="8">
        <v>5</v>
      </c>
    </row>
    <row r="4176" spans="1:41" x14ac:dyDescent="0.25">
      <c r="A4176" s="6" t="str">
        <f t="shared" si="1084"/>
        <v>525-2025000505</v>
      </c>
      <c r="B4176" s="6" t="str">
        <f t="shared" si="1083"/>
        <v>Lasa Int</v>
      </c>
      <c r="C4176" s="7">
        <v>45938</v>
      </c>
      <c r="D4176" s="7">
        <v>46037</v>
      </c>
      <c r="E4176" s="8">
        <v>9</v>
      </c>
      <c r="F4176" s="6" t="str">
        <f t="shared" si="1085"/>
        <v>PURE</v>
      </c>
      <c r="G4176" s="6" t="str">
        <f t="shared" si="1086"/>
        <v>F100021455000000</v>
      </c>
      <c r="H4176" s="6" t="str">
        <f t="shared" si="1087"/>
        <v>FA 214 - PURE - 550</v>
      </c>
      <c r="I4176" s="6" t="str">
        <f>"2096"</f>
        <v>2096</v>
      </c>
      <c r="J4176" s="6" t="str">
        <f>"AZUL 2096"</f>
        <v>AZUL 2096</v>
      </c>
      <c r="K4176" s="6" t="str">
        <f>"0112"</f>
        <v>0112</v>
      </c>
      <c r="L4176" s="6" t="str">
        <f>"Luvas"</f>
        <v>Luvas</v>
      </c>
      <c r="M4176" s="6" t="str">
        <f>"16x21"</f>
        <v>16x21</v>
      </c>
      <c r="N4176" s="6" t="str">
        <f>"5602972836882"</f>
        <v>5602972836882</v>
      </c>
      <c r="O4176" s="8">
        <v>300</v>
      </c>
      <c r="P4176" s="7">
        <v>45938</v>
      </c>
      <c r="R4176" s="8">
        <v>0</v>
      </c>
      <c r="S4176" s="7">
        <v>45943</v>
      </c>
      <c r="U4176" s="8">
        <v>300</v>
      </c>
      <c r="V4176" s="7">
        <v>45954</v>
      </c>
      <c r="X4176" s="8">
        <v>0</v>
      </c>
      <c r="Z4176" s="8">
        <v>300</v>
      </c>
      <c r="AA4176" s="7">
        <v>45968</v>
      </c>
      <c r="AC4176" s="8">
        <v>0</v>
      </c>
      <c r="AE4176" s="7">
        <v>45973</v>
      </c>
      <c r="AF4176" s="8">
        <v>0</v>
      </c>
      <c r="AH4176" s="7">
        <v>45973</v>
      </c>
      <c r="AN4176" s="8">
        <v>300</v>
      </c>
      <c r="AO4176" s="8">
        <v>0</v>
      </c>
    </row>
    <row r="4177" spans="1:41" x14ac:dyDescent="0.25">
      <c r="A4177" s="6" t="str">
        <f t="shared" si="1084"/>
        <v>525-2025000505</v>
      </c>
      <c r="B4177" s="6" t="str">
        <f t="shared" si="1083"/>
        <v>Lasa Int</v>
      </c>
      <c r="C4177" s="7">
        <v>45938</v>
      </c>
      <c r="D4177" s="7">
        <v>46037</v>
      </c>
      <c r="E4177" s="8">
        <v>10</v>
      </c>
      <c r="F4177" s="6" t="str">
        <f t="shared" si="1085"/>
        <v>PURE</v>
      </c>
      <c r="G4177" s="6" t="str">
        <f t="shared" si="1086"/>
        <v>F100021455000000</v>
      </c>
      <c r="H4177" s="6" t="str">
        <f t="shared" si="1087"/>
        <v>FA 214 - PURE - 550</v>
      </c>
      <c r="I4177" s="6" t="str">
        <f>"2096"</f>
        <v>2096</v>
      </c>
      <c r="J4177" s="6" t="str">
        <f>"AZUL 2096"</f>
        <v>AZUL 2096</v>
      </c>
      <c r="K4177" s="6" t="str">
        <f>"1024"</f>
        <v>1024</v>
      </c>
      <c r="L4177" s="6" t="str">
        <f>"Toalhas"</f>
        <v>Toalhas</v>
      </c>
      <c r="M4177" s="6" t="str">
        <f>"50x100"</f>
        <v>50x100</v>
      </c>
      <c r="N4177" s="6" t="str">
        <f>"5602972836905"</f>
        <v>5602972836905</v>
      </c>
      <c r="O4177" s="8">
        <v>480</v>
      </c>
      <c r="P4177" s="7">
        <v>45938</v>
      </c>
      <c r="R4177" s="8">
        <v>0</v>
      </c>
      <c r="S4177" s="7">
        <v>45943</v>
      </c>
      <c r="U4177" s="8">
        <v>480</v>
      </c>
      <c r="V4177" s="7">
        <v>45954</v>
      </c>
      <c r="X4177" s="8">
        <v>0</v>
      </c>
      <c r="Z4177" s="8">
        <v>480</v>
      </c>
      <c r="AA4177" s="7">
        <v>45968</v>
      </c>
      <c r="AC4177" s="8">
        <v>382</v>
      </c>
      <c r="AE4177" s="7">
        <v>45973</v>
      </c>
      <c r="AF4177" s="8">
        <v>382</v>
      </c>
      <c r="AH4177" s="7">
        <v>45973</v>
      </c>
      <c r="AN4177" s="8">
        <v>382</v>
      </c>
      <c r="AO4177" s="8">
        <v>98</v>
      </c>
    </row>
    <row r="4178" spans="1:41" x14ac:dyDescent="0.25">
      <c r="A4178" s="6" t="str">
        <f t="shared" si="1084"/>
        <v>525-2025000505</v>
      </c>
      <c r="B4178" s="6" t="str">
        <f t="shared" si="1083"/>
        <v>Lasa Int</v>
      </c>
      <c r="C4178" s="7">
        <v>45938</v>
      </c>
      <c r="D4178" s="7">
        <v>46037</v>
      </c>
      <c r="E4178" s="8">
        <v>11</v>
      </c>
      <c r="F4178" s="6" t="str">
        <f t="shared" si="1085"/>
        <v>PURE</v>
      </c>
      <c r="G4178" s="6" t="str">
        <f t="shared" si="1086"/>
        <v>F100021455000000</v>
      </c>
      <c r="H4178" s="6" t="str">
        <f t="shared" si="1087"/>
        <v>FA 214 - PURE - 550</v>
      </c>
      <c r="I4178" s="6" t="str">
        <f>"2096"</f>
        <v>2096</v>
      </c>
      <c r="J4178" s="6" t="str">
        <f>"AZUL 2096"</f>
        <v>AZUL 2096</v>
      </c>
      <c r="K4178" s="6" t="str">
        <f>"2020"</f>
        <v>2020</v>
      </c>
      <c r="L4178" s="6" t="str">
        <f>"Lençóis"</f>
        <v>Lençóis</v>
      </c>
      <c r="M4178" s="6" t="str">
        <f>"100x150"</f>
        <v>100x150</v>
      </c>
      <c r="N4178" s="6" t="str">
        <f>"5602972836929"</f>
        <v>5602972836929</v>
      </c>
      <c r="O4178" s="8">
        <v>240</v>
      </c>
      <c r="P4178" s="7">
        <v>45938</v>
      </c>
      <c r="R4178" s="8">
        <v>0</v>
      </c>
      <c r="S4178" s="7">
        <v>45943</v>
      </c>
      <c r="U4178" s="8">
        <v>240</v>
      </c>
      <c r="V4178" s="7">
        <v>45954</v>
      </c>
      <c r="X4178" s="8">
        <v>0</v>
      </c>
      <c r="Z4178" s="8">
        <v>240</v>
      </c>
      <c r="AA4178" s="7">
        <v>45968</v>
      </c>
      <c r="AC4178" s="8">
        <v>244</v>
      </c>
      <c r="AE4178" s="7">
        <v>45973</v>
      </c>
      <c r="AF4178" s="8">
        <v>244</v>
      </c>
      <c r="AH4178" s="7">
        <v>45973</v>
      </c>
      <c r="AN4178" s="8">
        <v>244</v>
      </c>
      <c r="AO4178" s="8">
        <v>-4</v>
      </c>
    </row>
    <row r="4179" spans="1:41" x14ac:dyDescent="0.25">
      <c r="A4179" s="6" t="str">
        <f t="shared" si="1084"/>
        <v>525-2025000505</v>
      </c>
      <c r="B4179" s="6" t="str">
        <f t="shared" si="1083"/>
        <v>Lasa Int</v>
      </c>
      <c r="C4179" s="7">
        <v>45938</v>
      </c>
      <c r="D4179" s="7">
        <v>46037</v>
      </c>
      <c r="E4179" s="8">
        <v>12</v>
      </c>
      <c r="F4179" s="6" t="str">
        <f t="shared" si="1085"/>
        <v>PURE</v>
      </c>
      <c r="G4179" s="6" t="str">
        <f t="shared" si="1086"/>
        <v>F100021455000000</v>
      </c>
      <c r="H4179" s="6" t="str">
        <f t="shared" si="1087"/>
        <v>FA 214 - PURE - 550</v>
      </c>
      <c r="I4179" s="6" t="str">
        <f>"2094"</f>
        <v>2094</v>
      </c>
      <c r="J4179" s="6" t="str">
        <f>"AZUL 2094"</f>
        <v>AZUL 2094</v>
      </c>
      <c r="K4179" s="6" t="str">
        <f>"1024"</f>
        <v>1024</v>
      </c>
      <c r="L4179" s="6" t="str">
        <f>"Toalhas"</f>
        <v>Toalhas</v>
      </c>
      <c r="M4179" s="6" t="str">
        <f>"50x100"</f>
        <v>50x100</v>
      </c>
      <c r="N4179" s="6" t="str">
        <f>"5602972837001"</f>
        <v>5602972837001</v>
      </c>
      <c r="O4179" s="8">
        <v>240</v>
      </c>
      <c r="P4179" s="7">
        <v>45938</v>
      </c>
      <c r="R4179" s="8">
        <v>0</v>
      </c>
      <c r="S4179" s="7">
        <v>45943</v>
      </c>
      <c r="U4179" s="8">
        <v>240</v>
      </c>
      <c r="V4179" s="7">
        <v>45954</v>
      </c>
      <c r="X4179" s="8">
        <v>0</v>
      </c>
      <c r="Z4179" s="8">
        <v>240</v>
      </c>
      <c r="AA4179" s="7">
        <v>45968</v>
      </c>
      <c r="AC4179" s="8">
        <v>254</v>
      </c>
      <c r="AE4179" s="7">
        <v>45973</v>
      </c>
      <c r="AF4179" s="8">
        <v>254</v>
      </c>
      <c r="AH4179" s="7">
        <v>45973</v>
      </c>
      <c r="AN4179" s="8">
        <v>254</v>
      </c>
      <c r="AO4179" s="8">
        <v>-14</v>
      </c>
    </row>
    <row r="4180" spans="1:41" x14ac:dyDescent="0.25">
      <c r="A4180" s="6" t="str">
        <f t="shared" si="1084"/>
        <v>525-2025000505</v>
      </c>
      <c r="B4180" s="6" t="str">
        <f t="shared" si="1083"/>
        <v>Lasa Int</v>
      </c>
      <c r="C4180" s="7">
        <v>45938</v>
      </c>
      <c r="D4180" s="7">
        <v>46037</v>
      </c>
      <c r="E4180" s="8">
        <v>13</v>
      </c>
      <c r="F4180" s="6" t="str">
        <f t="shared" si="1085"/>
        <v>PURE</v>
      </c>
      <c r="G4180" s="6" t="str">
        <f t="shared" si="1086"/>
        <v>F100021455000000</v>
      </c>
      <c r="H4180" s="6" t="str">
        <f t="shared" si="1087"/>
        <v>FA 214 - PURE - 550</v>
      </c>
      <c r="I4180" s="6" t="str">
        <f>"2094"</f>
        <v>2094</v>
      </c>
      <c r="J4180" s="6" t="str">
        <f>"AZUL 2094"</f>
        <v>AZUL 2094</v>
      </c>
      <c r="K4180" s="6" t="str">
        <f>"1535"</f>
        <v>1535</v>
      </c>
      <c r="L4180" s="6" t="str">
        <f>"Toalhões"</f>
        <v>Toalhões</v>
      </c>
      <c r="M4180" s="6" t="str">
        <f>"70x140"</f>
        <v>70x140</v>
      </c>
      <c r="N4180" s="6" t="str">
        <f>"5602972837018"</f>
        <v>5602972837018</v>
      </c>
      <c r="O4180" s="8">
        <v>480</v>
      </c>
      <c r="P4180" s="7">
        <v>45938</v>
      </c>
      <c r="R4180" s="8">
        <v>0</v>
      </c>
      <c r="S4180" s="7">
        <v>45943</v>
      </c>
      <c r="U4180" s="8">
        <v>480</v>
      </c>
      <c r="V4180" s="7">
        <v>45954</v>
      </c>
      <c r="X4180" s="8">
        <v>0</v>
      </c>
      <c r="Z4180" s="8">
        <v>480</v>
      </c>
      <c r="AA4180" s="7">
        <v>45968</v>
      </c>
      <c r="AC4180" s="8">
        <v>497</v>
      </c>
      <c r="AE4180" s="7">
        <v>45973</v>
      </c>
      <c r="AF4180" s="8">
        <v>497</v>
      </c>
      <c r="AH4180" s="7">
        <v>45973</v>
      </c>
      <c r="AN4180" s="8">
        <v>497</v>
      </c>
      <c r="AO4180" s="8">
        <v>-17</v>
      </c>
    </row>
    <row r="4181" spans="1:41" x14ac:dyDescent="0.25">
      <c r="A4181" s="6" t="str">
        <f t="shared" si="1084"/>
        <v>525-2025000505</v>
      </c>
      <c r="B4181" s="6" t="str">
        <f t="shared" si="1083"/>
        <v>Lasa Int</v>
      </c>
      <c r="C4181" s="7">
        <v>45938</v>
      </c>
      <c r="D4181" s="7">
        <v>46037</v>
      </c>
      <c r="E4181" s="8">
        <v>14</v>
      </c>
      <c r="F4181" s="6" t="str">
        <f t="shared" si="1085"/>
        <v>PURE</v>
      </c>
      <c r="G4181" s="6" t="str">
        <f t="shared" si="1086"/>
        <v>F100021455000000</v>
      </c>
      <c r="H4181" s="6" t="str">
        <f t="shared" si="1087"/>
        <v>FA 214 - PURE - 550</v>
      </c>
      <c r="I4181" s="6" t="str">
        <f>"2094"</f>
        <v>2094</v>
      </c>
      <c r="J4181" s="6" t="str">
        <f>"AZUL 2094"</f>
        <v>AZUL 2094</v>
      </c>
      <c r="K4181" s="6" t="str">
        <f>"2020"</f>
        <v>2020</v>
      </c>
      <c r="L4181" s="6" t="str">
        <f>"Lençóis"</f>
        <v>Lençóis</v>
      </c>
      <c r="M4181" s="6" t="str">
        <f>"100x150"</f>
        <v>100x150</v>
      </c>
      <c r="N4181" s="6" t="str">
        <f>"5602972837025"</f>
        <v>5602972837025</v>
      </c>
      <c r="O4181" s="8">
        <v>80</v>
      </c>
      <c r="P4181" s="7">
        <v>45938</v>
      </c>
      <c r="R4181" s="8">
        <v>0</v>
      </c>
      <c r="S4181" s="7">
        <v>45943</v>
      </c>
      <c r="U4181" s="8">
        <v>80</v>
      </c>
      <c r="V4181" s="7">
        <v>45954</v>
      </c>
      <c r="X4181" s="8">
        <v>0</v>
      </c>
      <c r="Z4181" s="8">
        <v>80</v>
      </c>
      <c r="AA4181" s="7">
        <v>45968</v>
      </c>
      <c r="AC4181" s="8">
        <v>133</v>
      </c>
      <c r="AE4181" s="7">
        <v>45973</v>
      </c>
      <c r="AF4181" s="8">
        <v>133</v>
      </c>
      <c r="AH4181" s="7">
        <v>45973</v>
      </c>
      <c r="AN4181" s="8">
        <v>133</v>
      </c>
      <c r="AO4181" s="8">
        <v>-53</v>
      </c>
    </row>
    <row r="4182" spans="1:41" x14ac:dyDescent="0.25">
      <c r="A4182" s="6" t="str">
        <f t="shared" si="1084"/>
        <v>525-2025000505</v>
      </c>
      <c r="B4182" s="6" t="str">
        <f t="shared" si="1083"/>
        <v>Lasa Int</v>
      </c>
      <c r="C4182" s="7">
        <v>45938</v>
      </c>
      <c r="D4182" s="7">
        <v>46037</v>
      </c>
      <c r="E4182" s="8">
        <v>15</v>
      </c>
      <c r="F4182" s="6" t="str">
        <f t="shared" si="1085"/>
        <v>PURE</v>
      </c>
      <c r="G4182" s="6" t="str">
        <f t="shared" si="1086"/>
        <v>F100021455000000</v>
      </c>
      <c r="H4182" s="6" t="str">
        <f t="shared" si="1087"/>
        <v>FA 214 - PURE - 550</v>
      </c>
      <c r="I4182" s="6" t="str">
        <f>"2596"</f>
        <v>2596</v>
      </c>
      <c r="J4182" s="6" t="str">
        <f>"VERDE 2596"</f>
        <v>VERDE 2596</v>
      </c>
      <c r="K4182" s="6" t="str">
        <f>"1024"</f>
        <v>1024</v>
      </c>
      <c r="L4182" s="6" t="str">
        <f>"Toalhas"</f>
        <v>Toalhas</v>
      </c>
      <c r="M4182" s="6" t="str">
        <f>"50x100"</f>
        <v>50x100</v>
      </c>
      <c r="N4182" s="6" t="str">
        <f>"5602972724479"</f>
        <v>5602972724479</v>
      </c>
      <c r="O4182" s="8">
        <v>480</v>
      </c>
      <c r="P4182" s="7">
        <v>45938</v>
      </c>
      <c r="R4182" s="8">
        <v>0</v>
      </c>
      <c r="S4182" s="7">
        <v>45943</v>
      </c>
      <c r="U4182" s="8">
        <v>480</v>
      </c>
      <c r="V4182" s="7">
        <v>45954</v>
      </c>
      <c r="X4182" s="8">
        <v>0</v>
      </c>
      <c r="Z4182" s="8">
        <v>480</v>
      </c>
      <c r="AA4182" s="7">
        <v>45968</v>
      </c>
      <c r="AC4182" s="8">
        <v>320</v>
      </c>
      <c r="AE4182" s="7">
        <v>45973</v>
      </c>
      <c r="AF4182" s="8">
        <v>320</v>
      </c>
      <c r="AH4182" s="7">
        <v>45973</v>
      </c>
      <c r="AN4182" s="8">
        <v>320</v>
      </c>
      <c r="AO4182" s="8">
        <v>160</v>
      </c>
    </row>
    <row r="4183" spans="1:41" x14ac:dyDescent="0.25">
      <c r="A4183" s="6" t="str">
        <f t="shared" si="1084"/>
        <v>525-2025000505</v>
      </c>
      <c r="B4183" s="6" t="str">
        <f t="shared" si="1083"/>
        <v>Lasa Int</v>
      </c>
      <c r="C4183" s="7">
        <v>45938</v>
      </c>
      <c r="D4183" s="7">
        <v>46037</v>
      </c>
      <c r="E4183" s="8">
        <v>16</v>
      </c>
      <c r="F4183" s="6" t="str">
        <f t="shared" si="1085"/>
        <v>PURE</v>
      </c>
      <c r="G4183" s="6" t="str">
        <f t="shared" si="1086"/>
        <v>F100021455000000</v>
      </c>
      <c r="H4183" s="6" t="str">
        <f t="shared" si="1087"/>
        <v>FA 214 - PURE - 550</v>
      </c>
      <c r="I4183" s="6" t="str">
        <f>"2596"</f>
        <v>2596</v>
      </c>
      <c r="J4183" s="6" t="str">
        <f>"VERDE 2596"</f>
        <v>VERDE 2596</v>
      </c>
      <c r="K4183" s="6" t="str">
        <f>"1535"</f>
        <v>1535</v>
      </c>
      <c r="L4183" s="6" t="str">
        <f>"Toalhões"</f>
        <v>Toalhões</v>
      </c>
      <c r="M4183" s="6" t="str">
        <f>"70x140"</f>
        <v>70x140</v>
      </c>
      <c r="N4183" s="6" t="str">
        <f>"5602972724486"</f>
        <v>5602972724486</v>
      </c>
      <c r="O4183" s="8">
        <v>240</v>
      </c>
      <c r="P4183" s="7">
        <v>45938</v>
      </c>
      <c r="R4183" s="8">
        <v>0</v>
      </c>
      <c r="S4183" s="7">
        <v>45943</v>
      </c>
      <c r="U4183" s="8">
        <v>240</v>
      </c>
      <c r="V4183" s="7">
        <v>45954</v>
      </c>
      <c r="X4183" s="8">
        <v>0</v>
      </c>
      <c r="Z4183" s="8">
        <v>240</v>
      </c>
      <c r="AA4183" s="7">
        <v>45968</v>
      </c>
      <c r="AC4183" s="8">
        <v>242</v>
      </c>
      <c r="AE4183" s="7">
        <v>45973</v>
      </c>
      <c r="AF4183" s="8">
        <v>242</v>
      </c>
      <c r="AH4183" s="7">
        <v>45973</v>
      </c>
      <c r="AN4183" s="8">
        <v>242</v>
      </c>
      <c r="AO4183" s="8">
        <v>-2</v>
      </c>
    </row>
    <row r="4184" spans="1:41" x14ac:dyDescent="0.25">
      <c r="A4184" s="6" t="str">
        <f t="shared" si="1084"/>
        <v>525-2025000505</v>
      </c>
      <c r="B4184" s="6" t="str">
        <f t="shared" si="1083"/>
        <v>Lasa Int</v>
      </c>
      <c r="C4184" s="7">
        <v>45938</v>
      </c>
      <c r="D4184" s="7">
        <v>46037</v>
      </c>
      <c r="E4184" s="8">
        <v>17</v>
      </c>
      <c r="F4184" s="6" t="str">
        <f t="shared" si="1085"/>
        <v>PURE</v>
      </c>
      <c r="G4184" s="6" t="str">
        <f t="shared" si="1086"/>
        <v>F100021455000000</v>
      </c>
      <c r="H4184" s="6" t="str">
        <f t="shared" si="1087"/>
        <v>FA 214 - PURE - 550</v>
      </c>
      <c r="I4184" s="6" t="str">
        <f>"2596"</f>
        <v>2596</v>
      </c>
      <c r="J4184" s="6" t="str">
        <f>"VERDE 2596"</f>
        <v>VERDE 2596</v>
      </c>
      <c r="K4184" s="6" t="str">
        <f>"2020"</f>
        <v>2020</v>
      </c>
      <c r="L4184" s="6" t="str">
        <f>"Lençóis"</f>
        <v>Lençóis</v>
      </c>
      <c r="M4184" s="6" t="str">
        <f>"100x150"</f>
        <v>100x150</v>
      </c>
      <c r="N4184" s="6" t="str">
        <f>"5602972724493"</f>
        <v>5602972724493</v>
      </c>
      <c r="O4184" s="8">
        <v>160</v>
      </c>
      <c r="P4184" s="7">
        <v>45938</v>
      </c>
      <c r="R4184" s="8">
        <v>0</v>
      </c>
      <c r="S4184" s="7">
        <v>45943</v>
      </c>
      <c r="U4184" s="8">
        <v>160</v>
      </c>
      <c r="V4184" s="7">
        <v>45954</v>
      </c>
      <c r="X4184" s="8">
        <v>0</v>
      </c>
      <c r="Z4184" s="8">
        <v>160</v>
      </c>
      <c r="AA4184" s="7">
        <v>45968</v>
      </c>
      <c r="AC4184" s="8">
        <v>0</v>
      </c>
      <c r="AE4184" s="7">
        <v>45973</v>
      </c>
      <c r="AF4184" s="8">
        <v>0</v>
      </c>
      <c r="AH4184" s="7">
        <v>45973</v>
      </c>
      <c r="AN4184" s="8">
        <v>0</v>
      </c>
      <c r="AO4184" s="8">
        <v>160</v>
      </c>
    </row>
    <row r="4185" spans="1:41" x14ac:dyDescent="0.25">
      <c r="A4185" s="6" t="str">
        <f t="shared" si="1084"/>
        <v>525-2025000505</v>
      </c>
      <c r="B4185" s="6" t="str">
        <f t="shared" si="1083"/>
        <v>Lasa Int</v>
      </c>
      <c r="C4185" s="7">
        <v>45938</v>
      </c>
      <c r="D4185" s="7">
        <v>46037</v>
      </c>
      <c r="E4185" s="8">
        <v>18</v>
      </c>
      <c r="F4185" s="6" t="str">
        <f t="shared" si="1085"/>
        <v>PURE</v>
      </c>
      <c r="G4185" s="6" t="str">
        <f t="shared" si="1086"/>
        <v>F100021455000000</v>
      </c>
      <c r="H4185" s="6" t="str">
        <f t="shared" si="1087"/>
        <v>FA 214 - PURE - 550</v>
      </c>
      <c r="I4185" s="6" t="str">
        <f t="shared" ref="I4185:I4190" si="1088">"3234"</f>
        <v>3234</v>
      </c>
      <c r="J4185" s="6" t="str">
        <f t="shared" ref="J4185:J4190" si="1089">"CASTANHO 3234"</f>
        <v>CASTANHO 3234</v>
      </c>
      <c r="K4185" s="6" t="str">
        <f>"0112"</f>
        <v>0112</v>
      </c>
      <c r="L4185" s="6" t="str">
        <f>"Luvas"</f>
        <v>Luvas</v>
      </c>
      <c r="M4185" s="6" t="str">
        <f>"16x21"</f>
        <v>16x21</v>
      </c>
      <c r="N4185" s="6" t="str">
        <f>"5602972895223"</f>
        <v>5602972895223</v>
      </c>
      <c r="O4185" s="8">
        <v>300</v>
      </c>
      <c r="P4185" s="7">
        <v>45938</v>
      </c>
      <c r="R4185" s="8">
        <v>0</v>
      </c>
      <c r="S4185" s="7">
        <v>45943</v>
      </c>
      <c r="U4185" s="8">
        <v>300</v>
      </c>
      <c r="V4185" s="7">
        <v>45954</v>
      </c>
      <c r="X4185" s="8">
        <v>0</v>
      </c>
      <c r="Z4185" s="8">
        <v>300</v>
      </c>
      <c r="AA4185" s="7">
        <v>45968</v>
      </c>
      <c r="AC4185" s="8">
        <v>0</v>
      </c>
      <c r="AE4185" s="7">
        <v>45973</v>
      </c>
      <c r="AF4185" s="8">
        <v>0</v>
      </c>
      <c r="AH4185" s="7">
        <v>45973</v>
      </c>
      <c r="AN4185" s="8">
        <v>438</v>
      </c>
      <c r="AO4185" s="8">
        <v>-138</v>
      </c>
    </row>
    <row r="4186" spans="1:41" x14ac:dyDescent="0.25">
      <c r="A4186" s="6" t="str">
        <f t="shared" si="1084"/>
        <v>525-2025000505</v>
      </c>
      <c r="B4186" s="6" t="str">
        <f t="shared" si="1083"/>
        <v>Lasa Int</v>
      </c>
      <c r="C4186" s="7">
        <v>45938</v>
      </c>
      <c r="D4186" s="7">
        <v>46037</v>
      </c>
      <c r="E4186" s="8">
        <v>19</v>
      </c>
      <c r="F4186" s="6" t="str">
        <f t="shared" si="1085"/>
        <v>PURE</v>
      </c>
      <c r="G4186" s="6" t="str">
        <f t="shared" si="1086"/>
        <v>F100021455000000</v>
      </c>
      <c r="H4186" s="6" t="str">
        <f t="shared" si="1087"/>
        <v>FA 214 - PURE - 550</v>
      </c>
      <c r="I4186" s="6" t="str">
        <f t="shared" si="1088"/>
        <v>3234</v>
      </c>
      <c r="J4186" s="6" t="str">
        <f t="shared" si="1089"/>
        <v>CASTANHO 3234</v>
      </c>
      <c r="K4186" s="6" t="str">
        <f>"0530"</f>
        <v>0530</v>
      </c>
      <c r="L4186" s="6" t="str">
        <f>"Toalhetes"</f>
        <v>Toalhetes</v>
      </c>
      <c r="M4186" s="6" t="str">
        <f>"33x50"</f>
        <v>33x50</v>
      </c>
      <c r="N4186" s="6" t="str">
        <f>"5602972895230"</f>
        <v>5602972895230</v>
      </c>
      <c r="O4186" s="8">
        <v>450</v>
      </c>
      <c r="P4186" s="7">
        <v>45938</v>
      </c>
      <c r="R4186" s="8">
        <v>0</v>
      </c>
      <c r="S4186" s="7">
        <v>45943</v>
      </c>
      <c r="U4186" s="8">
        <v>450</v>
      </c>
      <c r="V4186" s="7">
        <v>45954</v>
      </c>
      <c r="X4186" s="8">
        <v>0</v>
      </c>
      <c r="Z4186" s="8">
        <v>450</v>
      </c>
      <c r="AA4186" s="7">
        <v>45968</v>
      </c>
      <c r="AC4186" s="8">
        <v>224</v>
      </c>
      <c r="AE4186" s="7">
        <v>45973</v>
      </c>
      <c r="AF4186" s="8">
        <v>224</v>
      </c>
      <c r="AH4186" s="7">
        <v>45973</v>
      </c>
      <c r="AN4186" s="8">
        <v>224</v>
      </c>
      <c r="AO4186" s="8">
        <v>226</v>
      </c>
    </row>
    <row r="4187" spans="1:41" x14ac:dyDescent="0.25">
      <c r="A4187" s="6" t="str">
        <f t="shared" si="1084"/>
        <v>525-2025000505</v>
      </c>
      <c r="B4187" s="6" t="str">
        <f t="shared" si="1083"/>
        <v>Lasa Int</v>
      </c>
      <c r="C4187" s="7">
        <v>45938</v>
      </c>
      <c r="D4187" s="7">
        <v>46037</v>
      </c>
      <c r="E4187" s="8">
        <v>20</v>
      </c>
      <c r="F4187" s="6" t="str">
        <f t="shared" si="1085"/>
        <v>PURE</v>
      </c>
      <c r="G4187" s="6" t="str">
        <f t="shared" si="1086"/>
        <v>F100021455000000</v>
      </c>
      <c r="H4187" s="6" t="str">
        <f t="shared" si="1087"/>
        <v>FA 214 - PURE - 550</v>
      </c>
      <c r="I4187" s="6" t="str">
        <f t="shared" si="1088"/>
        <v>3234</v>
      </c>
      <c r="J4187" s="6" t="str">
        <f t="shared" si="1089"/>
        <v>CASTANHO 3234</v>
      </c>
      <c r="K4187" s="6" t="str">
        <f>"1024"</f>
        <v>1024</v>
      </c>
      <c r="L4187" s="6" t="str">
        <f>"Toalhas"</f>
        <v>Toalhas</v>
      </c>
      <c r="M4187" s="6" t="str">
        <f>"50x100"</f>
        <v>50x100</v>
      </c>
      <c r="N4187" s="6" t="str">
        <f>"5602972895247"</f>
        <v>5602972895247</v>
      </c>
      <c r="O4187" s="8">
        <v>960</v>
      </c>
      <c r="P4187" s="7">
        <v>45938</v>
      </c>
      <c r="R4187" s="8">
        <v>0</v>
      </c>
      <c r="S4187" s="7">
        <v>45943</v>
      </c>
      <c r="U4187" s="8">
        <v>960</v>
      </c>
      <c r="V4187" s="7">
        <v>45954</v>
      </c>
      <c r="X4187" s="8">
        <v>0</v>
      </c>
      <c r="Z4187" s="8">
        <v>960</v>
      </c>
      <c r="AA4187" s="7">
        <v>45968</v>
      </c>
      <c r="AC4187" s="8">
        <v>402</v>
      </c>
      <c r="AE4187" s="7">
        <v>45973</v>
      </c>
      <c r="AF4187" s="8">
        <v>402</v>
      </c>
      <c r="AH4187" s="7">
        <v>45973</v>
      </c>
      <c r="AN4187" s="8">
        <v>402</v>
      </c>
      <c r="AO4187" s="8">
        <v>558</v>
      </c>
    </row>
    <row r="4188" spans="1:41" x14ac:dyDescent="0.25">
      <c r="A4188" s="6" t="str">
        <f t="shared" si="1084"/>
        <v>525-2025000505</v>
      </c>
      <c r="B4188" s="6" t="str">
        <f t="shared" si="1083"/>
        <v>Lasa Int</v>
      </c>
      <c r="C4188" s="7">
        <v>45938</v>
      </c>
      <c r="D4188" s="7">
        <v>46037</v>
      </c>
      <c r="E4188" s="8">
        <v>21</v>
      </c>
      <c r="F4188" s="6" t="str">
        <f t="shared" si="1085"/>
        <v>PURE</v>
      </c>
      <c r="G4188" s="6" t="str">
        <f t="shared" si="1086"/>
        <v>F100021455000000</v>
      </c>
      <c r="H4188" s="6" t="str">
        <f t="shared" si="1087"/>
        <v>FA 214 - PURE - 550</v>
      </c>
      <c r="I4188" s="6" t="str">
        <f t="shared" si="1088"/>
        <v>3234</v>
      </c>
      <c r="J4188" s="6" t="str">
        <f t="shared" si="1089"/>
        <v>CASTANHO 3234</v>
      </c>
      <c r="K4188" s="6" t="str">
        <f>"1535"</f>
        <v>1535</v>
      </c>
      <c r="L4188" s="6" t="str">
        <f>"Toalhões"</f>
        <v>Toalhões</v>
      </c>
      <c r="M4188" s="6" t="str">
        <f>"70x140"</f>
        <v>70x140</v>
      </c>
      <c r="N4188" s="6" t="str">
        <f>"5602972895254"</f>
        <v>5602972895254</v>
      </c>
      <c r="O4188" s="8">
        <v>600</v>
      </c>
      <c r="P4188" s="7">
        <v>45938</v>
      </c>
      <c r="R4188" s="8">
        <v>0</v>
      </c>
      <c r="S4188" s="7">
        <v>45943</v>
      </c>
      <c r="U4188" s="8">
        <v>600</v>
      </c>
      <c r="V4188" s="7">
        <v>45954</v>
      </c>
      <c r="X4188" s="8">
        <v>0</v>
      </c>
      <c r="Z4188" s="8">
        <v>600</v>
      </c>
      <c r="AA4188" s="7">
        <v>45968</v>
      </c>
      <c r="AC4188" s="8">
        <v>651</v>
      </c>
      <c r="AE4188" s="7">
        <v>45973</v>
      </c>
      <c r="AF4188" s="8">
        <v>651</v>
      </c>
      <c r="AH4188" s="7">
        <v>45973</v>
      </c>
      <c r="AN4188" s="8">
        <v>651</v>
      </c>
      <c r="AO4188" s="8">
        <v>-51</v>
      </c>
    </row>
    <row r="4189" spans="1:41" x14ac:dyDescent="0.25">
      <c r="A4189" s="6" t="str">
        <f t="shared" si="1084"/>
        <v>525-2025000505</v>
      </c>
      <c r="B4189" s="6" t="str">
        <f t="shared" si="1083"/>
        <v>Lasa Int</v>
      </c>
      <c r="C4189" s="7">
        <v>45938</v>
      </c>
      <c r="D4189" s="7">
        <v>46037</v>
      </c>
      <c r="E4189" s="8">
        <v>22</v>
      </c>
      <c r="F4189" s="6" t="str">
        <f t="shared" si="1085"/>
        <v>PURE</v>
      </c>
      <c r="G4189" s="6" t="str">
        <f t="shared" si="1086"/>
        <v>F100021455000000</v>
      </c>
      <c r="H4189" s="6" t="str">
        <f t="shared" si="1087"/>
        <v>FA 214 - PURE - 550</v>
      </c>
      <c r="I4189" s="6" t="str">
        <f t="shared" si="1088"/>
        <v>3234</v>
      </c>
      <c r="J4189" s="6" t="str">
        <f t="shared" si="1089"/>
        <v>CASTANHO 3234</v>
      </c>
      <c r="K4189" s="6" t="str">
        <f>"2020"</f>
        <v>2020</v>
      </c>
      <c r="L4189" s="6" t="str">
        <f>"Lençóis"</f>
        <v>Lençóis</v>
      </c>
      <c r="M4189" s="6" t="str">
        <f>"100x150"</f>
        <v>100x150</v>
      </c>
      <c r="N4189" s="6" t="str">
        <f>"5602972895261"</f>
        <v>5602972895261</v>
      </c>
      <c r="O4189" s="8">
        <v>240</v>
      </c>
      <c r="P4189" s="7">
        <v>45938</v>
      </c>
      <c r="R4189" s="8">
        <v>0</v>
      </c>
      <c r="S4189" s="7">
        <v>45943</v>
      </c>
      <c r="U4189" s="8">
        <v>252</v>
      </c>
      <c r="V4189" s="7">
        <v>45954</v>
      </c>
      <c r="X4189" s="8">
        <v>0</v>
      </c>
      <c r="Z4189" s="8">
        <v>252</v>
      </c>
      <c r="AA4189" s="7">
        <v>45968</v>
      </c>
      <c r="AC4189" s="8">
        <v>100</v>
      </c>
      <c r="AE4189" s="7">
        <v>45973</v>
      </c>
      <c r="AF4189" s="8">
        <v>100</v>
      </c>
      <c r="AH4189" s="7">
        <v>45973</v>
      </c>
      <c r="AN4189" s="8">
        <v>100</v>
      </c>
      <c r="AO4189" s="8">
        <v>140</v>
      </c>
    </row>
    <row r="4190" spans="1:41" x14ac:dyDescent="0.25">
      <c r="A4190" s="6" t="str">
        <f t="shared" si="1084"/>
        <v>525-2025000505</v>
      </c>
      <c r="B4190" s="6" t="str">
        <f t="shared" si="1083"/>
        <v>Lasa Int</v>
      </c>
      <c r="C4190" s="7">
        <v>45938</v>
      </c>
      <c r="D4190" s="7">
        <v>46037</v>
      </c>
      <c r="E4190" s="8">
        <v>23</v>
      </c>
      <c r="F4190" s="6" t="str">
        <f t="shared" si="1085"/>
        <v>PURE</v>
      </c>
      <c r="G4190" s="6" t="str">
        <f t="shared" si="1086"/>
        <v>F100021455000000</v>
      </c>
      <c r="H4190" s="6" t="str">
        <f t="shared" si="1087"/>
        <v>FA 214 - PURE - 550</v>
      </c>
      <c r="I4190" s="6" t="str">
        <f t="shared" si="1088"/>
        <v>3234</v>
      </c>
      <c r="J4190" s="6" t="str">
        <f t="shared" si="1089"/>
        <v>CASTANHO 3234</v>
      </c>
      <c r="K4190" s="6" t="str">
        <f>"2030"</f>
        <v>2030</v>
      </c>
      <c r="L4190" s="6" t="str">
        <f>"Lençóis"</f>
        <v>Lençóis</v>
      </c>
      <c r="M4190" s="6" t="str">
        <f>"100x180"</f>
        <v>100x180</v>
      </c>
      <c r="N4190" s="6" t="str">
        <f>"5602972674194"</f>
        <v>5602972674194</v>
      </c>
      <c r="O4190" s="8">
        <v>60</v>
      </c>
      <c r="P4190" s="7">
        <v>45938</v>
      </c>
      <c r="R4190" s="8">
        <v>0</v>
      </c>
      <c r="S4190" s="7">
        <v>45943</v>
      </c>
      <c r="U4190" s="8">
        <v>60</v>
      </c>
      <c r="V4190" s="7">
        <v>45954</v>
      </c>
      <c r="X4190" s="8">
        <v>0</v>
      </c>
      <c r="Z4190" s="8">
        <v>60</v>
      </c>
      <c r="AA4190" s="7">
        <v>45968</v>
      </c>
      <c r="AC4190" s="8">
        <v>93</v>
      </c>
      <c r="AE4190" s="7">
        <v>45973</v>
      </c>
      <c r="AF4190" s="8">
        <v>93</v>
      </c>
      <c r="AH4190" s="7">
        <v>45973</v>
      </c>
      <c r="AN4190" s="8">
        <v>93</v>
      </c>
      <c r="AO4190" s="8">
        <v>-33</v>
      </c>
    </row>
    <row r="4191" spans="1:41" x14ac:dyDescent="0.25">
      <c r="A4191" s="6" t="str">
        <f t="shared" si="1084"/>
        <v>525-2025000505</v>
      </c>
      <c r="B4191" s="6" t="str">
        <f t="shared" si="1083"/>
        <v>Lasa Int</v>
      </c>
      <c r="C4191" s="7">
        <v>45938</v>
      </c>
      <c r="D4191" s="7">
        <v>46037</v>
      </c>
      <c r="E4191" s="8">
        <v>24</v>
      </c>
      <c r="F4191" s="6" t="str">
        <f t="shared" si="1085"/>
        <v>PURE</v>
      </c>
      <c r="G4191" s="6" t="str">
        <f t="shared" si="1086"/>
        <v>F100021455000000</v>
      </c>
      <c r="H4191" s="6" t="str">
        <f t="shared" si="1087"/>
        <v>FA 214 - PURE - 550</v>
      </c>
      <c r="I4191" s="6" t="str">
        <f>"4385"</f>
        <v>4385</v>
      </c>
      <c r="J4191" s="6" t="str">
        <f>"SALMÃO 4385"</f>
        <v>SALMÃO 4385</v>
      </c>
      <c r="K4191" s="6" t="str">
        <f>"1024"</f>
        <v>1024</v>
      </c>
      <c r="L4191" s="6" t="str">
        <f>"Toalhas"</f>
        <v>Toalhas</v>
      </c>
      <c r="M4191" s="6" t="str">
        <f>"50x100"</f>
        <v>50x100</v>
      </c>
      <c r="N4191" s="6" t="str">
        <f>"5602972795455"</f>
        <v>5602972795455</v>
      </c>
      <c r="O4191" s="8">
        <v>480</v>
      </c>
      <c r="P4191" s="7">
        <v>45938</v>
      </c>
      <c r="R4191" s="8">
        <v>0</v>
      </c>
      <c r="S4191" s="7">
        <v>45943</v>
      </c>
      <c r="U4191" s="8">
        <v>480</v>
      </c>
      <c r="V4191" s="7">
        <v>45954</v>
      </c>
      <c r="X4191" s="8">
        <v>0</v>
      </c>
      <c r="Z4191" s="8">
        <v>480</v>
      </c>
      <c r="AA4191" s="7">
        <v>45968</v>
      </c>
      <c r="AC4191" s="8">
        <v>722</v>
      </c>
      <c r="AE4191" s="7">
        <v>45973</v>
      </c>
      <c r="AF4191" s="8">
        <v>722</v>
      </c>
      <c r="AH4191" s="7">
        <v>45973</v>
      </c>
      <c r="AN4191" s="8">
        <v>722</v>
      </c>
      <c r="AO4191" s="8">
        <v>-242</v>
      </c>
    </row>
    <row r="4192" spans="1:41" x14ac:dyDescent="0.25">
      <c r="A4192" s="6" t="str">
        <f t="shared" si="1084"/>
        <v>525-2025000505</v>
      </c>
      <c r="B4192" s="6" t="str">
        <f t="shared" si="1083"/>
        <v>Lasa Int</v>
      </c>
      <c r="C4192" s="7">
        <v>45938</v>
      </c>
      <c r="D4192" s="7">
        <v>46037</v>
      </c>
      <c r="E4192" s="8">
        <v>25</v>
      </c>
      <c r="F4192" s="6" t="str">
        <f t="shared" si="1085"/>
        <v>PURE</v>
      </c>
      <c r="G4192" s="6" t="str">
        <f t="shared" si="1086"/>
        <v>F100021455000000</v>
      </c>
      <c r="H4192" s="6" t="str">
        <f t="shared" si="1087"/>
        <v>FA 214 - PURE - 550</v>
      </c>
      <c r="I4192" s="6" t="str">
        <f>"4385"</f>
        <v>4385</v>
      </c>
      <c r="J4192" s="6" t="str">
        <f>"SALMÃO 4385"</f>
        <v>SALMÃO 4385</v>
      </c>
      <c r="K4192" s="6" t="str">
        <f>"1535"</f>
        <v>1535</v>
      </c>
      <c r="L4192" s="6" t="str">
        <f>"Toalhões"</f>
        <v>Toalhões</v>
      </c>
      <c r="M4192" s="6" t="str">
        <f>"70x140"</f>
        <v>70x140</v>
      </c>
      <c r="N4192" s="6" t="str">
        <f>"5602972795462"</f>
        <v>5602972795462</v>
      </c>
      <c r="O4192" s="8">
        <v>240</v>
      </c>
      <c r="P4192" s="7">
        <v>45938</v>
      </c>
      <c r="R4192" s="8">
        <v>0</v>
      </c>
      <c r="S4192" s="7">
        <v>45943</v>
      </c>
      <c r="U4192" s="8">
        <v>240</v>
      </c>
      <c r="V4192" s="7">
        <v>45954</v>
      </c>
      <c r="X4192" s="8">
        <v>0</v>
      </c>
      <c r="Z4192" s="8">
        <v>240</v>
      </c>
      <c r="AA4192" s="7">
        <v>45968</v>
      </c>
      <c r="AC4192" s="8">
        <v>241</v>
      </c>
      <c r="AE4192" s="7">
        <v>45973</v>
      </c>
      <c r="AF4192" s="8">
        <v>241</v>
      </c>
      <c r="AH4192" s="7">
        <v>45973</v>
      </c>
      <c r="AN4192" s="8">
        <v>241</v>
      </c>
      <c r="AO4192" s="8">
        <v>-1</v>
      </c>
    </row>
    <row r="4193" spans="1:41" x14ac:dyDescent="0.25">
      <c r="A4193" s="6" t="str">
        <f t="shared" si="1084"/>
        <v>525-2025000505</v>
      </c>
      <c r="B4193" s="6" t="str">
        <f t="shared" si="1083"/>
        <v>Lasa Int</v>
      </c>
      <c r="C4193" s="7">
        <v>45938</v>
      </c>
      <c r="D4193" s="7">
        <v>46037</v>
      </c>
      <c r="E4193" s="8">
        <v>26</v>
      </c>
      <c r="F4193" s="6" t="str">
        <f t="shared" si="1085"/>
        <v>PURE</v>
      </c>
      <c r="G4193" s="6" t="str">
        <f t="shared" si="1086"/>
        <v>F100021455000000</v>
      </c>
      <c r="H4193" s="6" t="str">
        <f t="shared" si="1087"/>
        <v>FA 214 - PURE - 550</v>
      </c>
      <c r="I4193" s="6" t="str">
        <f>"4385"</f>
        <v>4385</v>
      </c>
      <c r="J4193" s="6" t="str">
        <f>"SALMÃO 4385"</f>
        <v>SALMÃO 4385</v>
      </c>
      <c r="K4193" s="6" t="str">
        <f>"2020"</f>
        <v>2020</v>
      </c>
      <c r="L4193" s="6" t="str">
        <f>"Lençóis"</f>
        <v>Lençóis</v>
      </c>
      <c r="M4193" s="6" t="str">
        <f>"100x150"</f>
        <v>100x150</v>
      </c>
      <c r="N4193" s="6" t="str">
        <f>"5602972795479"</f>
        <v>5602972795479</v>
      </c>
      <c r="O4193" s="8">
        <v>160</v>
      </c>
      <c r="P4193" s="7">
        <v>45938</v>
      </c>
      <c r="R4193" s="8">
        <v>0</v>
      </c>
      <c r="S4193" s="7">
        <v>45943</v>
      </c>
      <c r="U4193" s="8">
        <v>160</v>
      </c>
      <c r="V4193" s="7">
        <v>45954</v>
      </c>
      <c r="X4193" s="8">
        <v>0</v>
      </c>
      <c r="Z4193" s="8">
        <v>160</v>
      </c>
      <c r="AA4193" s="7">
        <v>45968</v>
      </c>
      <c r="AC4193" s="8">
        <v>157</v>
      </c>
      <c r="AE4193" s="7">
        <v>45973</v>
      </c>
      <c r="AF4193" s="8">
        <v>157</v>
      </c>
      <c r="AH4193" s="7">
        <v>45973</v>
      </c>
      <c r="AN4193" s="8">
        <v>157</v>
      </c>
      <c r="AO4193" s="8">
        <v>3</v>
      </c>
    </row>
    <row r="4194" spans="1:41" x14ac:dyDescent="0.25">
      <c r="A4194" s="6" t="str">
        <f t="shared" si="1084"/>
        <v>525-2025000505</v>
      </c>
      <c r="B4194" s="6" t="str">
        <f t="shared" si="1083"/>
        <v>Lasa Int</v>
      </c>
      <c r="C4194" s="7">
        <v>45938</v>
      </c>
      <c r="D4194" s="7">
        <v>46037</v>
      </c>
      <c r="E4194" s="8">
        <v>27</v>
      </c>
      <c r="F4194" s="6" t="str">
        <f t="shared" si="1085"/>
        <v>PURE</v>
      </c>
      <c r="G4194" s="6" t="str">
        <f>"F161003770000000"</f>
        <v>F161003770000000</v>
      </c>
      <c r="H4194" s="6" t="str">
        <f>"TA 37 - 700 g/m²"</f>
        <v>TA 37 - 700 g/m²</v>
      </c>
      <c r="I4194" s="6" t="str">
        <f>"2596"</f>
        <v>2596</v>
      </c>
      <c r="J4194" s="6" t="str">
        <f>"VERDE 2596"</f>
        <v>VERDE 2596</v>
      </c>
      <c r="K4194" s="6" t="str">
        <f>"3012"</f>
        <v>3012</v>
      </c>
      <c r="L4194" s="6" t="str">
        <f>"Tapetes"</f>
        <v>Tapetes</v>
      </c>
      <c r="M4194" s="6" t="str">
        <f>"50x70"</f>
        <v>50x70</v>
      </c>
      <c r="N4194" s="6" t="str">
        <f>"5602972724554"</f>
        <v>5602972724554</v>
      </c>
      <c r="O4194" s="8">
        <v>100</v>
      </c>
      <c r="P4194" s="7">
        <v>45938</v>
      </c>
      <c r="R4194" s="8">
        <v>0</v>
      </c>
      <c r="S4194" s="7">
        <v>45943</v>
      </c>
      <c r="U4194" s="8">
        <v>100</v>
      </c>
      <c r="V4194" s="7">
        <v>45954</v>
      </c>
      <c r="X4194" s="8">
        <v>0</v>
      </c>
      <c r="Z4194" s="8">
        <v>100</v>
      </c>
      <c r="AA4194" s="7">
        <v>45968</v>
      </c>
      <c r="AC4194" s="8">
        <v>49</v>
      </c>
      <c r="AE4194" s="7">
        <v>45973</v>
      </c>
      <c r="AF4194" s="8">
        <v>49</v>
      </c>
      <c r="AH4194" s="7">
        <v>45973</v>
      </c>
      <c r="AN4194" s="8">
        <v>49</v>
      </c>
      <c r="AO4194" s="8">
        <v>51</v>
      </c>
    </row>
    <row r="4195" spans="1:41" x14ac:dyDescent="0.25">
      <c r="A4195" s="6" t="str">
        <f t="shared" si="1084"/>
        <v>525-2025000505</v>
      </c>
      <c r="B4195" s="6" t="str">
        <f t="shared" si="1083"/>
        <v>Lasa Int</v>
      </c>
      <c r="C4195" s="7">
        <v>45938</v>
      </c>
      <c r="D4195" s="7">
        <v>46037</v>
      </c>
      <c r="E4195" s="8">
        <v>28</v>
      </c>
      <c r="F4195" s="6" t="str">
        <f t="shared" si="1085"/>
        <v>PURE</v>
      </c>
      <c r="G4195" s="6" t="str">
        <f>"F161003770000000"</f>
        <v>F161003770000000</v>
      </c>
      <c r="H4195" s="6" t="str">
        <f>"TA 37 - 700 g/m²"</f>
        <v>TA 37 - 700 g/m²</v>
      </c>
      <c r="I4195" s="6" t="str">
        <f>"4385"</f>
        <v>4385</v>
      </c>
      <c r="J4195" s="6" t="str">
        <f>"SALMÃO 4385"</f>
        <v>SALMÃO 4385</v>
      </c>
      <c r="K4195" s="6" t="str">
        <f>"3012"</f>
        <v>3012</v>
      </c>
      <c r="L4195" s="6" t="str">
        <f>"Tapetes"</f>
        <v>Tapetes</v>
      </c>
      <c r="M4195" s="6" t="str">
        <f>"50x70"</f>
        <v>50x70</v>
      </c>
      <c r="N4195" s="6" t="str">
        <f>"5602972795660"</f>
        <v>5602972795660</v>
      </c>
      <c r="O4195" s="8">
        <v>100</v>
      </c>
      <c r="P4195" s="7">
        <v>45938</v>
      </c>
      <c r="R4195" s="8">
        <v>0</v>
      </c>
      <c r="S4195" s="7">
        <v>45943</v>
      </c>
      <c r="U4195" s="8">
        <v>100</v>
      </c>
      <c r="V4195" s="7">
        <v>45954</v>
      </c>
      <c r="X4195" s="8">
        <v>0</v>
      </c>
      <c r="Z4195" s="8">
        <v>100</v>
      </c>
      <c r="AA4195" s="7">
        <v>45968</v>
      </c>
      <c r="AC4195" s="8">
        <v>85</v>
      </c>
      <c r="AE4195" s="7">
        <v>45973</v>
      </c>
      <c r="AF4195" s="8">
        <v>85</v>
      </c>
      <c r="AH4195" s="7">
        <v>45973</v>
      </c>
      <c r="AN4195" s="8">
        <v>85</v>
      </c>
      <c r="AO4195" s="8">
        <v>15</v>
      </c>
    </row>
    <row r="4196" spans="1:41" x14ac:dyDescent="0.25">
      <c r="A4196" s="6" t="str">
        <f>"525-2025000506"</f>
        <v>525-2025000506</v>
      </c>
      <c r="B4196" s="6" t="str">
        <f t="shared" si="1083"/>
        <v>Lasa Int</v>
      </c>
      <c r="C4196" s="7">
        <v>45940</v>
      </c>
      <c r="D4196" s="7">
        <v>46037</v>
      </c>
      <c r="E4196" s="8">
        <v>1</v>
      </c>
      <c r="F4196" s="6" t="str">
        <f>"PURE panos"</f>
        <v>PURE panos</v>
      </c>
      <c r="G4196" s="6" t="str">
        <f>"F110237455000000"</f>
        <v>F110237455000000</v>
      </c>
      <c r="H4196" s="6" t="str">
        <f>"FAJ 2374 - PURE - 55"</f>
        <v>FAJ 2374 - PURE - 55</v>
      </c>
      <c r="I4196" s="6" t="str">
        <f>"1"</f>
        <v>1</v>
      </c>
      <c r="J4196" s="6" t="str">
        <f>"BRANCO"</f>
        <v>BRANCO</v>
      </c>
      <c r="K4196" s="6" t="str">
        <f>"0320"</f>
        <v>0320</v>
      </c>
      <c r="L4196" s="6" t="str">
        <f>"Panos"</f>
        <v>Panos</v>
      </c>
      <c r="M4196" s="6" t="str">
        <f>"30x30"</f>
        <v>30x30</v>
      </c>
      <c r="N4196" s="6" t="str">
        <f>"5602972616637"</f>
        <v>5602972616637</v>
      </c>
      <c r="O4196" s="8">
        <v>300</v>
      </c>
      <c r="P4196" s="7">
        <v>45940</v>
      </c>
      <c r="R4196" s="8">
        <v>0</v>
      </c>
      <c r="S4196" s="7">
        <v>45945</v>
      </c>
      <c r="U4196" s="8">
        <v>900</v>
      </c>
      <c r="V4196" s="7">
        <v>45958</v>
      </c>
      <c r="X4196" s="8">
        <v>0</v>
      </c>
      <c r="Z4196" s="8">
        <v>900</v>
      </c>
      <c r="AA4196" s="7">
        <v>45972</v>
      </c>
      <c r="AC4196" s="8">
        <v>972</v>
      </c>
      <c r="AE4196" s="7">
        <v>45975</v>
      </c>
      <c r="AF4196" s="8">
        <v>972</v>
      </c>
      <c r="AH4196" s="7">
        <v>45968</v>
      </c>
      <c r="AN4196" s="8">
        <v>972</v>
      </c>
      <c r="AO4196" s="8">
        <v>-672</v>
      </c>
    </row>
    <row r="4197" spans="1:41" x14ac:dyDescent="0.25">
      <c r="A4197" s="6" t="str">
        <f>"525-2025000506"</f>
        <v>525-2025000506</v>
      </c>
      <c r="B4197" s="6" t="str">
        <f t="shared" si="1083"/>
        <v>Lasa Int</v>
      </c>
      <c r="C4197" s="7">
        <v>45940</v>
      </c>
      <c r="D4197" s="7">
        <v>46037</v>
      </c>
      <c r="E4197" s="8">
        <v>2</v>
      </c>
      <c r="F4197" s="6" t="str">
        <f>"PURE panos"</f>
        <v>PURE panos</v>
      </c>
      <c r="G4197" s="6" t="str">
        <f>"F110237455000000"</f>
        <v>F110237455000000</v>
      </c>
      <c r="H4197" s="6" t="str">
        <f>"FAJ 2374 - PURE - 55"</f>
        <v>FAJ 2374 - PURE - 55</v>
      </c>
      <c r="I4197" s="6" t="str">
        <f>"3073"</f>
        <v>3073</v>
      </c>
      <c r="J4197" s="6" t="str">
        <f>"CINZA 3073"</f>
        <v>CINZA 3073</v>
      </c>
      <c r="K4197" s="6" t="str">
        <f>"0320"</f>
        <v>0320</v>
      </c>
      <c r="L4197" s="6" t="str">
        <f>"Panos"</f>
        <v>Panos</v>
      </c>
      <c r="M4197" s="6" t="str">
        <f>"30x30"</f>
        <v>30x30</v>
      </c>
      <c r="N4197" s="6" t="str">
        <f>"5602972616668"</f>
        <v>5602972616668</v>
      </c>
      <c r="O4197" s="8">
        <v>1200</v>
      </c>
      <c r="P4197" s="7">
        <v>45940</v>
      </c>
      <c r="R4197" s="8">
        <v>0</v>
      </c>
      <c r="S4197" s="7">
        <v>45945</v>
      </c>
      <c r="U4197" s="8">
        <v>1350</v>
      </c>
      <c r="V4197" s="7">
        <v>45958</v>
      </c>
      <c r="X4197" s="8">
        <v>0</v>
      </c>
      <c r="Z4197" s="8">
        <v>1350</v>
      </c>
      <c r="AA4197" s="7">
        <v>45972</v>
      </c>
      <c r="AC4197" s="8">
        <v>1076</v>
      </c>
      <c r="AE4197" s="7">
        <v>45975</v>
      </c>
      <c r="AF4197" s="8">
        <v>1076</v>
      </c>
      <c r="AH4197" s="7">
        <v>45968</v>
      </c>
      <c r="AN4197" s="8">
        <v>1076</v>
      </c>
      <c r="AO4197" s="8">
        <v>124</v>
      </c>
    </row>
    <row r="4198" spans="1:41" x14ac:dyDescent="0.25">
      <c r="A4198" s="6" t="str">
        <f>"525-2025000506"</f>
        <v>525-2025000506</v>
      </c>
      <c r="B4198" s="6" t="str">
        <f t="shared" si="1083"/>
        <v>Lasa Int</v>
      </c>
      <c r="C4198" s="7">
        <v>45940</v>
      </c>
      <c r="D4198" s="7">
        <v>46037</v>
      </c>
      <c r="E4198" s="8">
        <v>3</v>
      </c>
      <c r="F4198" s="6" t="str">
        <f>"PURE panos"</f>
        <v>PURE panos</v>
      </c>
      <c r="G4198" s="6" t="str">
        <f>"F110237455000000"</f>
        <v>F110237455000000</v>
      </c>
      <c r="H4198" s="6" t="str">
        <f>"FAJ 2374 - PURE - 55"</f>
        <v>FAJ 2374 - PURE - 55</v>
      </c>
      <c r="I4198" s="6" t="str">
        <f>"3234"</f>
        <v>3234</v>
      </c>
      <c r="J4198" s="6" t="str">
        <f>"CASTANHO 3234"</f>
        <v>CASTANHO 3234</v>
      </c>
      <c r="K4198" s="6" t="str">
        <f>"0320"</f>
        <v>0320</v>
      </c>
      <c r="L4198" s="6" t="str">
        <f>"Panos"</f>
        <v>Panos</v>
      </c>
      <c r="M4198" s="6" t="str">
        <f>"30x30"</f>
        <v>30x30</v>
      </c>
      <c r="N4198" s="6" t="str">
        <f>"5602972616675"</f>
        <v>5602972616675</v>
      </c>
      <c r="O4198" s="8">
        <v>900</v>
      </c>
      <c r="P4198" s="7">
        <v>45940</v>
      </c>
      <c r="R4198" s="8">
        <v>0</v>
      </c>
      <c r="S4198" s="7">
        <v>45945</v>
      </c>
      <c r="U4198" s="8">
        <v>900</v>
      </c>
      <c r="V4198" s="7">
        <v>45958</v>
      </c>
      <c r="X4198" s="8">
        <v>0</v>
      </c>
      <c r="Z4198" s="8">
        <v>0</v>
      </c>
      <c r="AA4198" s="7">
        <v>45972</v>
      </c>
      <c r="AC4198" s="8">
        <v>848</v>
      </c>
      <c r="AE4198" s="7">
        <v>45975</v>
      </c>
      <c r="AF4198" s="8">
        <v>848</v>
      </c>
      <c r="AH4198" s="7">
        <v>45968</v>
      </c>
      <c r="AN4198" s="8">
        <v>848</v>
      </c>
      <c r="AO4198" s="8">
        <v>52</v>
      </c>
    </row>
    <row r="4199" spans="1:41" x14ac:dyDescent="0.25">
      <c r="A4199" s="6" t="str">
        <f>"525-2025000506"</f>
        <v>525-2025000506</v>
      </c>
      <c r="B4199" s="6" t="str">
        <f t="shared" si="1083"/>
        <v>Lasa Int</v>
      </c>
      <c r="C4199" s="7">
        <v>45940</v>
      </c>
      <c r="D4199" s="7">
        <v>46037</v>
      </c>
      <c r="E4199" s="8">
        <v>4</v>
      </c>
      <c r="F4199" s="6" t="str">
        <f>"PURE panos"</f>
        <v>PURE panos</v>
      </c>
      <c r="G4199" s="6" t="str">
        <f>"F110237455000000"</f>
        <v>F110237455000000</v>
      </c>
      <c r="H4199" s="6" t="str">
        <f>"FAJ 2374 - PURE - 55"</f>
        <v>FAJ 2374 - PURE - 55</v>
      </c>
      <c r="I4199" s="6" t="str">
        <f>"3235"</f>
        <v>3235</v>
      </c>
      <c r="J4199" s="6" t="str">
        <f>"CINZA 3235"</f>
        <v>CINZA 3235</v>
      </c>
      <c r="K4199" s="6" t="str">
        <f>"0320"</f>
        <v>0320</v>
      </c>
      <c r="L4199" s="6" t="str">
        <f>"Panos"</f>
        <v>Panos</v>
      </c>
      <c r="M4199" s="6" t="str">
        <f>"30x30"</f>
        <v>30x30</v>
      </c>
      <c r="N4199" s="6" t="str">
        <f>"5602972616682"</f>
        <v>5602972616682</v>
      </c>
      <c r="O4199" s="8">
        <v>900</v>
      </c>
      <c r="P4199" s="7">
        <v>45940</v>
      </c>
      <c r="R4199" s="8">
        <v>0</v>
      </c>
      <c r="S4199" s="7">
        <v>45945</v>
      </c>
      <c r="U4199" s="8">
        <v>900</v>
      </c>
      <c r="V4199" s="7">
        <v>45958</v>
      </c>
      <c r="X4199" s="8">
        <v>0</v>
      </c>
      <c r="Z4199" s="8">
        <v>900</v>
      </c>
      <c r="AA4199" s="7">
        <v>45972</v>
      </c>
      <c r="AC4199" s="8">
        <v>780</v>
      </c>
      <c r="AE4199" s="7">
        <v>45975</v>
      </c>
      <c r="AF4199" s="8">
        <v>780</v>
      </c>
      <c r="AH4199" s="7">
        <v>45968</v>
      </c>
      <c r="AN4199" s="8">
        <v>780</v>
      </c>
      <c r="AO4199" s="8">
        <v>120</v>
      </c>
    </row>
    <row r="4200" spans="1:41" x14ac:dyDescent="0.25">
      <c r="A4200" s="6" t="str">
        <f>"525-2025000507"</f>
        <v>525-2025000507</v>
      </c>
      <c r="B4200" s="6" t="str">
        <f t="shared" si="1083"/>
        <v>Lasa Int</v>
      </c>
      <c r="C4200" s="7">
        <v>45940</v>
      </c>
      <c r="D4200" s="7">
        <v>46065</v>
      </c>
      <c r="E4200" s="8">
        <v>1</v>
      </c>
      <c r="F4200" s="6" t="str">
        <f>"PURE R"</f>
        <v>PURE R</v>
      </c>
      <c r="G4200" s="6" t="str">
        <f>"K018000135000000"</f>
        <v>K018000135000000</v>
      </c>
      <c r="H4200" s="6" t="str">
        <f>"Chinelos - LI - 350"</f>
        <v>Chinelos - LI - 350</v>
      </c>
      <c r="I4200" s="6" t="str">
        <f>"3234"</f>
        <v>3234</v>
      </c>
      <c r="J4200" s="6" t="str">
        <f>"CASTANHO 3234"</f>
        <v>CASTANHO 3234</v>
      </c>
      <c r="K4200" s="6" t="str">
        <f>"4813"</f>
        <v>4813</v>
      </c>
      <c r="L4200" s="6" t="str">
        <f>"Chinelos"</f>
        <v>Chinelos</v>
      </c>
      <c r="M4200" s="6" t="str">
        <f>"43"</f>
        <v>43</v>
      </c>
      <c r="N4200" s="6" t="str">
        <f>"5602972896725"</f>
        <v>5602972896725</v>
      </c>
      <c r="O4200" s="8">
        <v>144</v>
      </c>
      <c r="P4200" s="7">
        <v>45940</v>
      </c>
      <c r="R4200" s="8">
        <v>0</v>
      </c>
      <c r="S4200" s="7">
        <v>45945</v>
      </c>
      <c r="U4200" s="8">
        <v>0</v>
      </c>
      <c r="V4200" s="7">
        <v>45954</v>
      </c>
      <c r="X4200" s="8">
        <v>0</v>
      </c>
      <c r="Z4200" s="8">
        <v>0</v>
      </c>
      <c r="AA4200" s="7">
        <v>45966</v>
      </c>
      <c r="AC4200" s="8">
        <v>0</v>
      </c>
      <c r="AE4200" s="7">
        <v>45982</v>
      </c>
      <c r="AF4200" s="8">
        <v>0</v>
      </c>
      <c r="AH4200" s="7">
        <v>45982</v>
      </c>
      <c r="AI4200" s="7">
        <v>45980</v>
      </c>
      <c r="AN4200" s="8">
        <v>0</v>
      </c>
      <c r="AO4200" s="8">
        <v>144</v>
      </c>
    </row>
    <row r="4201" spans="1:41" x14ac:dyDescent="0.25">
      <c r="A4201" s="6" t="str">
        <f>"525-2025000507"</f>
        <v>525-2025000507</v>
      </c>
      <c r="B4201" s="6" t="str">
        <f t="shared" si="1083"/>
        <v>Lasa Int</v>
      </c>
      <c r="C4201" s="7">
        <v>45940</v>
      </c>
      <c r="D4201" s="7">
        <v>46065</v>
      </c>
      <c r="E4201" s="8">
        <v>2</v>
      </c>
      <c r="F4201" s="6" t="str">
        <f>"PURE R"</f>
        <v>PURE R</v>
      </c>
      <c r="G4201" s="6" t="str">
        <f>"R010000635000000"</f>
        <v>R010000635000000</v>
      </c>
      <c r="H4201" s="6" t="str">
        <f>"Alexis Cotoral Pure"</f>
        <v>Alexis Cotoral Pure</v>
      </c>
      <c r="I4201" s="6" t="str">
        <f>"3234"</f>
        <v>3234</v>
      </c>
      <c r="J4201" s="6" t="str">
        <f>"CASTANHO 3234"</f>
        <v>CASTANHO 3234</v>
      </c>
      <c r="K4201" s="6" t="str">
        <f>"5004"</f>
        <v>5004</v>
      </c>
      <c r="L4201" s="6" t="str">
        <f>"Roupões Adulto"</f>
        <v>Roupões Adulto</v>
      </c>
      <c r="M4201" s="6" t="str">
        <f>"M"</f>
        <v>M</v>
      </c>
      <c r="N4201" s="6" t="str">
        <f>"5602972896688"</f>
        <v>5602972896688</v>
      </c>
      <c r="O4201" s="8">
        <v>12</v>
      </c>
      <c r="P4201" s="7">
        <v>45940</v>
      </c>
      <c r="R4201" s="8">
        <v>0</v>
      </c>
      <c r="S4201" s="7">
        <v>45945</v>
      </c>
      <c r="U4201" s="8">
        <v>540</v>
      </c>
      <c r="V4201" s="7">
        <v>45954</v>
      </c>
      <c r="X4201" s="8">
        <v>540</v>
      </c>
      <c r="Z4201" s="8">
        <v>0</v>
      </c>
      <c r="AA4201" s="7">
        <v>45966</v>
      </c>
      <c r="AC4201" s="8">
        <v>0</v>
      </c>
      <c r="AE4201" s="7">
        <v>45982</v>
      </c>
      <c r="AF4201" s="8">
        <v>0</v>
      </c>
      <c r="AH4201" s="7">
        <v>45982</v>
      </c>
      <c r="AI4201" s="7">
        <v>45980</v>
      </c>
      <c r="AN4201" s="8">
        <v>0</v>
      </c>
      <c r="AO4201" s="8">
        <v>12</v>
      </c>
    </row>
    <row r="4202" spans="1:41" x14ac:dyDescent="0.25">
      <c r="A4202" s="6" t="str">
        <f>"525-2025000507"</f>
        <v>525-2025000507</v>
      </c>
      <c r="B4202" s="6" t="str">
        <f t="shared" si="1083"/>
        <v>Lasa Int</v>
      </c>
      <c r="C4202" s="7">
        <v>45940</v>
      </c>
      <c r="D4202" s="7">
        <v>46065</v>
      </c>
      <c r="E4202" s="8">
        <v>3</v>
      </c>
      <c r="F4202" s="6" t="str">
        <f>"PURE R"</f>
        <v>PURE R</v>
      </c>
      <c r="G4202" s="6" t="str">
        <f>"R010000635000000"</f>
        <v>R010000635000000</v>
      </c>
      <c r="H4202" s="6" t="str">
        <f>"Alexis Cotoral Pure"</f>
        <v>Alexis Cotoral Pure</v>
      </c>
      <c r="I4202" s="6" t="str">
        <f>"3234"</f>
        <v>3234</v>
      </c>
      <c r="J4202" s="6" t="str">
        <f>"CASTANHO 3234"</f>
        <v>CASTANHO 3234</v>
      </c>
      <c r="K4202" s="6" t="str">
        <f>"5006"</f>
        <v>5006</v>
      </c>
      <c r="L4202" s="6" t="str">
        <f>"Roupões Adulto"</f>
        <v>Roupões Adulto</v>
      </c>
      <c r="M4202" s="6" t="str">
        <f>"L"</f>
        <v>L</v>
      </c>
      <c r="N4202" s="6" t="str">
        <f>"5602972896695"</f>
        <v>5602972896695</v>
      </c>
      <c r="O4202" s="8">
        <v>144</v>
      </c>
      <c r="P4202" s="7">
        <v>45940</v>
      </c>
      <c r="R4202" s="8">
        <v>0</v>
      </c>
      <c r="S4202" s="7">
        <v>45945</v>
      </c>
      <c r="U4202" s="8">
        <v>0</v>
      </c>
      <c r="V4202" s="7">
        <v>45954</v>
      </c>
      <c r="X4202" s="8">
        <v>0</v>
      </c>
      <c r="Z4202" s="8">
        <v>0</v>
      </c>
      <c r="AA4202" s="7">
        <v>45966</v>
      </c>
      <c r="AC4202" s="8">
        <v>0</v>
      </c>
      <c r="AE4202" s="7">
        <v>45982</v>
      </c>
      <c r="AF4202" s="8">
        <v>0</v>
      </c>
      <c r="AH4202" s="7">
        <v>45982</v>
      </c>
      <c r="AI4202" s="7">
        <v>45980</v>
      </c>
      <c r="AN4202" s="8">
        <v>0</v>
      </c>
      <c r="AO4202" s="8">
        <v>144</v>
      </c>
    </row>
    <row r="4203" spans="1:41" x14ac:dyDescent="0.25">
      <c r="A4203" s="6" t="str">
        <f>"525-2025000507"</f>
        <v>525-2025000507</v>
      </c>
      <c r="B4203" s="6" t="str">
        <f t="shared" si="1083"/>
        <v>Lasa Int</v>
      </c>
      <c r="C4203" s="7">
        <v>45940</v>
      </c>
      <c r="D4203" s="7">
        <v>46065</v>
      </c>
      <c r="E4203" s="8">
        <v>4</v>
      </c>
      <c r="F4203" s="6" t="str">
        <f>"PURE R"</f>
        <v>PURE R</v>
      </c>
      <c r="G4203" s="6" t="str">
        <f>"R010000635000000"</f>
        <v>R010000635000000</v>
      </c>
      <c r="H4203" s="6" t="str">
        <f>"Alexis Cotoral Pure"</f>
        <v>Alexis Cotoral Pure</v>
      </c>
      <c r="I4203" s="6" t="str">
        <f>"3234"</f>
        <v>3234</v>
      </c>
      <c r="J4203" s="6" t="str">
        <f>"CASTANHO 3234"</f>
        <v>CASTANHO 3234</v>
      </c>
      <c r="K4203" s="6" t="str">
        <f>"5010"</f>
        <v>5010</v>
      </c>
      <c r="L4203" s="6" t="str">
        <f>"Roupões Adulto"</f>
        <v>Roupões Adulto</v>
      </c>
      <c r="M4203" s="6" t="str">
        <f>"XXL"</f>
        <v>XXL</v>
      </c>
      <c r="N4203" s="6" t="str">
        <f>"5602972796292"</f>
        <v>5602972796292</v>
      </c>
      <c r="O4203" s="8">
        <v>12</v>
      </c>
      <c r="P4203" s="7">
        <v>45940</v>
      </c>
      <c r="R4203" s="8">
        <v>0</v>
      </c>
      <c r="S4203" s="7">
        <v>45945</v>
      </c>
      <c r="U4203" s="8">
        <v>0</v>
      </c>
      <c r="V4203" s="7">
        <v>45954</v>
      </c>
      <c r="X4203" s="8">
        <v>0</v>
      </c>
      <c r="Z4203" s="8">
        <v>0</v>
      </c>
      <c r="AA4203" s="7">
        <v>45966</v>
      </c>
      <c r="AC4203" s="8">
        <v>0</v>
      </c>
      <c r="AE4203" s="7">
        <v>45982</v>
      </c>
      <c r="AF4203" s="8">
        <v>0</v>
      </c>
      <c r="AH4203" s="7">
        <v>45982</v>
      </c>
      <c r="AI4203" s="7">
        <v>45980</v>
      </c>
      <c r="AN4203" s="8">
        <v>0</v>
      </c>
      <c r="AO4203" s="8">
        <v>12</v>
      </c>
    </row>
    <row r="4204" spans="1:41" x14ac:dyDescent="0.25">
      <c r="A4204" s="6" t="str">
        <f>"525-2025000507"</f>
        <v>525-2025000507</v>
      </c>
      <c r="B4204" s="6" t="str">
        <f t="shared" si="1083"/>
        <v>Lasa Int</v>
      </c>
      <c r="C4204" s="7">
        <v>45940</v>
      </c>
      <c r="D4204" s="7">
        <v>46065</v>
      </c>
      <c r="E4204" s="8">
        <v>5</v>
      </c>
      <c r="F4204" s="6" t="str">
        <f>"PURE R"</f>
        <v>PURE R</v>
      </c>
      <c r="G4204" s="6" t="str">
        <f>"R010000635000000"</f>
        <v>R010000635000000</v>
      </c>
      <c r="H4204" s="6" t="str">
        <f>"Alexis Cotoral Pure"</f>
        <v>Alexis Cotoral Pure</v>
      </c>
      <c r="I4204" s="6" t="str">
        <f>"3234"</f>
        <v>3234</v>
      </c>
      <c r="J4204" s="6" t="str">
        <f>"CASTANHO 3234"</f>
        <v>CASTANHO 3234</v>
      </c>
      <c r="K4204" s="6" t="str">
        <f>"5012"</f>
        <v>5012</v>
      </c>
      <c r="L4204" s="6" t="str">
        <f>"Roupões Adulto"</f>
        <v>Roupões Adulto</v>
      </c>
      <c r="M4204" s="6" t="str">
        <f>"XXXL"</f>
        <v>XXXL</v>
      </c>
      <c r="N4204" s="6" t="str">
        <f>"5602972674286"</f>
        <v>5602972674286</v>
      </c>
      <c r="O4204" s="8">
        <v>24</v>
      </c>
      <c r="P4204" s="7">
        <v>45940</v>
      </c>
      <c r="R4204" s="8">
        <v>0</v>
      </c>
      <c r="S4204" s="7">
        <v>45945</v>
      </c>
      <c r="U4204" s="8">
        <v>0</v>
      </c>
      <c r="V4204" s="7">
        <v>45954</v>
      </c>
      <c r="X4204" s="8">
        <v>0</v>
      </c>
      <c r="Z4204" s="8">
        <v>0</v>
      </c>
      <c r="AA4204" s="7">
        <v>45966</v>
      </c>
      <c r="AC4204" s="8">
        <v>0</v>
      </c>
      <c r="AE4204" s="7">
        <v>45982</v>
      </c>
      <c r="AF4204" s="8">
        <v>0</v>
      </c>
      <c r="AH4204" s="7">
        <v>45982</v>
      </c>
      <c r="AI4204" s="7">
        <v>45980</v>
      </c>
      <c r="AN4204" s="8">
        <v>0</v>
      </c>
      <c r="AO4204" s="8">
        <v>24</v>
      </c>
    </row>
    <row r="4205" spans="1:41" x14ac:dyDescent="0.25">
      <c r="A4205" s="6" t="str">
        <f t="shared" ref="A4205:A4234" si="1090">"525-2025000514"</f>
        <v>525-2025000514</v>
      </c>
      <c r="B4205" s="6" t="str">
        <f t="shared" si="1083"/>
        <v>Lasa Int</v>
      </c>
      <c r="C4205" s="7">
        <v>45946</v>
      </c>
      <c r="D4205" s="7">
        <v>46037</v>
      </c>
      <c r="E4205" s="8">
        <v>1</v>
      </c>
      <c r="F4205" s="6" t="str">
        <f t="shared" ref="F4205:F4234" si="1091">"PURE"</f>
        <v>PURE</v>
      </c>
      <c r="G4205" s="6" t="str">
        <f t="shared" ref="G4205:G4232" si="1092">"F100021455000000"</f>
        <v>F100021455000000</v>
      </c>
      <c r="H4205" s="6" t="str">
        <f t="shared" ref="H4205:H4232" si="1093">"FA 214 - PURE - 550"</f>
        <v>FA 214 - PURE - 550</v>
      </c>
      <c r="I4205" s="6" t="str">
        <f>"1"</f>
        <v>1</v>
      </c>
      <c r="J4205" s="6" t="str">
        <f>"BRANCO"</f>
        <v>BRANCO</v>
      </c>
      <c r="K4205" s="6" t="str">
        <f>"0112"</f>
        <v>0112</v>
      </c>
      <c r="L4205" s="6" t="str">
        <f>"Luvas"</f>
        <v>Luvas</v>
      </c>
      <c r="M4205" s="6" t="str">
        <f>"16x21"</f>
        <v>16x21</v>
      </c>
      <c r="N4205" s="6" t="str">
        <f>"5602972836233"</f>
        <v>5602972836233</v>
      </c>
      <c r="O4205" s="8">
        <v>600</v>
      </c>
      <c r="P4205" s="7">
        <v>45946</v>
      </c>
      <c r="R4205" s="8">
        <v>0</v>
      </c>
      <c r="S4205" s="7">
        <v>45951</v>
      </c>
      <c r="U4205" s="8">
        <v>600</v>
      </c>
      <c r="V4205" s="7">
        <v>45964</v>
      </c>
      <c r="X4205" s="8">
        <v>0</v>
      </c>
      <c r="Z4205" s="8">
        <v>600</v>
      </c>
      <c r="AA4205" s="7">
        <v>45978</v>
      </c>
      <c r="AC4205" s="8">
        <v>0</v>
      </c>
      <c r="AE4205" s="7">
        <v>45981</v>
      </c>
      <c r="AF4205" s="8">
        <v>0</v>
      </c>
      <c r="AH4205" s="7">
        <v>45981</v>
      </c>
      <c r="AN4205" s="8">
        <v>882</v>
      </c>
      <c r="AO4205" s="8">
        <v>-282</v>
      </c>
    </row>
    <row r="4206" spans="1:41" x14ac:dyDescent="0.25">
      <c r="A4206" s="6" t="str">
        <f t="shared" si="1090"/>
        <v>525-2025000514</v>
      </c>
      <c r="B4206" s="6" t="str">
        <f t="shared" si="1083"/>
        <v>Lasa Int</v>
      </c>
      <c r="C4206" s="7">
        <v>45946</v>
      </c>
      <c r="D4206" s="7">
        <v>46037</v>
      </c>
      <c r="E4206" s="8">
        <v>2</v>
      </c>
      <c r="F4206" s="6" t="str">
        <f t="shared" si="1091"/>
        <v>PURE</v>
      </c>
      <c r="G4206" s="6" t="str">
        <f t="shared" si="1092"/>
        <v>F100021455000000</v>
      </c>
      <c r="H4206" s="6" t="str">
        <f t="shared" si="1093"/>
        <v>FA 214 - PURE - 550</v>
      </c>
      <c r="I4206" s="6" t="str">
        <f>"1"</f>
        <v>1</v>
      </c>
      <c r="J4206" s="6" t="str">
        <f>"BRANCO"</f>
        <v>BRANCO</v>
      </c>
      <c r="K4206" s="6" t="str">
        <f>"0530"</f>
        <v>0530</v>
      </c>
      <c r="L4206" s="6" t="str">
        <f>"Toalhetes"</f>
        <v>Toalhetes</v>
      </c>
      <c r="M4206" s="6" t="str">
        <f>"33x50"</f>
        <v>33x50</v>
      </c>
      <c r="N4206" s="6" t="str">
        <f>"5602972836240"</f>
        <v>5602972836240</v>
      </c>
      <c r="O4206" s="8">
        <v>450</v>
      </c>
      <c r="P4206" s="7">
        <v>45946</v>
      </c>
      <c r="R4206" s="8">
        <v>0</v>
      </c>
      <c r="S4206" s="7">
        <v>45951</v>
      </c>
      <c r="U4206" s="8">
        <v>450</v>
      </c>
      <c r="V4206" s="7">
        <v>45964</v>
      </c>
      <c r="X4206" s="8">
        <v>0</v>
      </c>
      <c r="Z4206" s="8">
        <v>450</v>
      </c>
      <c r="AA4206" s="7">
        <v>45978</v>
      </c>
      <c r="AC4206" s="8">
        <v>210</v>
      </c>
      <c r="AE4206" s="7">
        <v>45981</v>
      </c>
      <c r="AF4206" s="8">
        <v>210</v>
      </c>
      <c r="AH4206" s="7">
        <v>45981</v>
      </c>
      <c r="AN4206" s="8">
        <v>210</v>
      </c>
      <c r="AO4206" s="8">
        <v>240</v>
      </c>
    </row>
    <row r="4207" spans="1:41" x14ac:dyDescent="0.25">
      <c r="A4207" s="6" t="str">
        <f t="shared" si="1090"/>
        <v>525-2025000514</v>
      </c>
      <c r="B4207" s="6" t="str">
        <f t="shared" si="1083"/>
        <v>Lasa Int</v>
      </c>
      <c r="C4207" s="7">
        <v>45946</v>
      </c>
      <c r="D4207" s="7">
        <v>46037</v>
      </c>
      <c r="E4207" s="8">
        <v>3</v>
      </c>
      <c r="F4207" s="6" t="str">
        <f t="shared" si="1091"/>
        <v>PURE</v>
      </c>
      <c r="G4207" s="6" t="str">
        <f t="shared" si="1092"/>
        <v>F100021455000000</v>
      </c>
      <c r="H4207" s="6" t="str">
        <f t="shared" si="1093"/>
        <v>FA 214 - PURE - 550</v>
      </c>
      <c r="I4207" s="6" t="str">
        <f>"1"</f>
        <v>1</v>
      </c>
      <c r="J4207" s="6" t="str">
        <f>"BRANCO"</f>
        <v>BRANCO</v>
      </c>
      <c r="K4207" s="6" t="str">
        <f>"1024"</f>
        <v>1024</v>
      </c>
      <c r="L4207" s="6" t="str">
        <f>"Toalhas"</f>
        <v>Toalhas</v>
      </c>
      <c r="M4207" s="6" t="str">
        <f>"50x100"</f>
        <v>50x100</v>
      </c>
      <c r="N4207" s="6" t="str">
        <f>"5602972836257"</f>
        <v>5602972836257</v>
      </c>
      <c r="O4207" s="8">
        <v>1440</v>
      </c>
      <c r="P4207" s="7">
        <v>45946</v>
      </c>
      <c r="R4207" s="8">
        <v>4796</v>
      </c>
      <c r="S4207" s="7">
        <v>45951</v>
      </c>
      <c r="U4207" s="8">
        <v>1452</v>
      </c>
      <c r="V4207" s="7">
        <v>45964</v>
      </c>
      <c r="X4207" s="8">
        <v>0</v>
      </c>
      <c r="Z4207" s="8">
        <v>1452</v>
      </c>
      <c r="AA4207" s="7">
        <v>45978</v>
      </c>
      <c r="AC4207" s="8">
        <v>618</v>
      </c>
      <c r="AE4207" s="7">
        <v>45981</v>
      </c>
      <c r="AF4207" s="8">
        <v>618</v>
      </c>
      <c r="AH4207" s="7">
        <v>45981</v>
      </c>
      <c r="AN4207" s="8">
        <v>618</v>
      </c>
      <c r="AO4207" s="8">
        <v>822</v>
      </c>
    </row>
    <row r="4208" spans="1:41" x14ac:dyDescent="0.25">
      <c r="A4208" s="6" t="str">
        <f t="shared" si="1090"/>
        <v>525-2025000514</v>
      </c>
      <c r="B4208" s="6" t="str">
        <f t="shared" si="1083"/>
        <v>Lasa Int</v>
      </c>
      <c r="C4208" s="7">
        <v>45946</v>
      </c>
      <c r="D4208" s="7">
        <v>46037</v>
      </c>
      <c r="E4208" s="8">
        <v>4</v>
      </c>
      <c r="F4208" s="6" t="str">
        <f t="shared" si="1091"/>
        <v>PURE</v>
      </c>
      <c r="G4208" s="6" t="str">
        <f t="shared" si="1092"/>
        <v>F100021455000000</v>
      </c>
      <c r="H4208" s="6" t="str">
        <f t="shared" si="1093"/>
        <v>FA 214 - PURE - 550</v>
      </c>
      <c r="I4208" s="6" t="str">
        <f>"1"</f>
        <v>1</v>
      </c>
      <c r="J4208" s="6" t="str">
        <f>"BRANCO"</f>
        <v>BRANCO</v>
      </c>
      <c r="K4208" s="6" t="str">
        <f>"1535"</f>
        <v>1535</v>
      </c>
      <c r="L4208" s="6" t="str">
        <f>"Toalhões"</f>
        <v>Toalhões</v>
      </c>
      <c r="M4208" s="6" t="str">
        <f>"70x140"</f>
        <v>70x140</v>
      </c>
      <c r="N4208" s="6" t="str">
        <f>"5602972836264"</f>
        <v>5602972836264</v>
      </c>
      <c r="O4208" s="8">
        <v>240</v>
      </c>
      <c r="P4208" s="7">
        <v>45946</v>
      </c>
      <c r="R4208" s="8">
        <v>4800</v>
      </c>
      <c r="S4208" s="7">
        <v>45951</v>
      </c>
      <c r="U4208" s="8">
        <v>240</v>
      </c>
      <c r="V4208" s="7">
        <v>45964</v>
      </c>
      <c r="X4208" s="8">
        <v>0</v>
      </c>
      <c r="Z4208" s="8">
        <v>240</v>
      </c>
      <c r="AA4208" s="7">
        <v>45978</v>
      </c>
      <c r="AC4208" s="8">
        <v>240</v>
      </c>
      <c r="AE4208" s="7">
        <v>45981</v>
      </c>
      <c r="AF4208" s="8">
        <v>240</v>
      </c>
      <c r="AH4208" s="7">
        <v>45981</v>
      </c>
      <c r="AN4208" s="8">
        <v>240</v>
      </c>
      <c r="AO4208" s="8">
        <v>0</v>
      </c>
    </row>
    <row r="4209" spans="1:41" x14ac:dyDescent="0.25">
      <c r="A4209" s="6" t="str">
        <f t="shared" si="1090"/>
        <v>525-2025000514</v>
      </c>
      <c r="B4209" s="6" t="str">
        <f t="shared" si="1083"/>
        <v>Lasa Int</v>
      </c>
      <c r="C4209" s="7">
        <v>45946</v>
      </c>
      <c r="D4209" s="7">
        <v>46037</v>
      </c>
      <c r="E4209" s="8">
        <v>5</v>
      </c>
      <c r="F4209" s="6" t="str">
        <f t="shared" si="1091"/>
        <v>PURE</v>
      </c>
      <c r="G4209" s="6" t="str">
        <f t="shared" si="1092"/>
        <v>F100021455000000</v>
      </c>
      <c r="H4209" s="6" t="str">
        <f t="shared" si="1093"/>
        <v>FA 214 - PURE - 550</v>
      </c>
      <c r="I4209" s="6" t="str">
        <f>"1"</f>
        <v>1</v>
      </c>
      <c r="J4209" s="6" t="str">
        <f>"BRANCO"</f>
        <v>BRANCO</v>
      </c>
      <c r="K4209" s="6" t="str">
        <f>"2020"</f>
        <v>2020</v>
      </c>
      <c r="L4209" s="6" t="str">
        <f>"Lençóis"</f>
        <v>Lençóis</v>
      </c>
      <c r="M4209" s="6" t="str">
        <f>"100x150"</f>
        <v>100x150</v>
      </c>
      <c r="N4209" s="6" t="str">
        <f>"5602972836271"</f>
        <v>5602972836271</v>
      </c>
      <c r="O4209" s="8">
        <v>240</v>
      </c>
      <c r="P4209" s="7">
        <v>45946</v>
      </c>
      <c r="R4209" s="8">
        <v>1360</v>
      </c>
      <c r="S4209" s="7">
        <v>45951</v>
      </c>
      <c r="U4209" s="8">
        <v>240</v>
      </c>
      <c r="V4209" s="7">
        <v>45964</v>
      </c>
      <c r="X4209" s="8">
        <v>0</v>
      </c>
      <c r="Z4209" s="8">
        <v>240</v>
      </c>
      <c r="AA4209" s="7">
        <v>45978</v>
      </c>
      <c r="AC4209" s="8">
        <v>220</v>
      </c>
      <c r="AE4209" s="7">
        <v>45981</v>
      </c>
      <c r="AF4209" s="8">
        <v>220</v>
      </c>
      <c r="AH4209" s="7">
        <v>45981</v>
      </c>
      <c r="AN4209" s="8">
        <v>220</v>
      </c>
      <c r="AO4209" s="8">
        <v>20</v>
      </c>
    </row>
    <row r="4210" spans="1:41" x14ac:dyDescent="0.25">
      <c r="A4210" s="6" t="str">
        <f t="shared" si="1090"/>
        <v>525-2025000514</v>
      </c>
      <c r="B4210" s="6" t="str">
        <f t="shared" si="1083"/>
        <v>Lasa Int</v>
      </c>
      <c r="C4210" s="7">
        <v>45946</v>
      </c>
      <c r="D4210" s="7">
        <v>46037</v>
      </c>
      <c r="E4210" s="8">
        <v>6</v>
      </c>
      <c r="F4210" s="6" t="str">
        <f t="shared" si="1091"/>
        <v>PURE</v>
      </c>
      <c r="G4210" s="6" t="str">
        <f t="shared" si="1092"/>
        <v>F100021455000000</v>
      </c>
      <c r="H4210" s="6" t="str">
        <f t="shared" si="1093"/>
        <v>FA 214 - PURE - 550</v>
      </c>
      <c r="I4210" s="6" t="str">
        <f>"1359"</f>
        <v>1359</v>
      </c>
      <c r="J4210" s="6" t="str">
        <f>"CASTANHO 1359"</f>
        <v>CASTANHO 1359</v>
      </c>
      <c r="K4210" s="6" t="str">
        <f>"0112"</f>
        <v>0112</v>
      </c>
      <c r="L4210" s="6" t="str">
        <f>"Luvas"</f>
        <v>Luvas</v>
      </c>
      <c r="M4210" s="6" t="str">
        <f>"16x21"</f>
        <v>16x21</v>
      </c>
      <c r="N4210" s="6" t="str">
        <f>"5602972836387"</f>
        <v>5602972836387</v>
      </c>
      <c r="O4210" s="8">
        <v>300</v>
      </c>
      <c r="P4210" s="7">
        <v>45946</v>
      </c>
      <c r="R4210" s="8">
        <v>0</v>
      </c>
      <c r="S4210" s="7">
        <v>45951</v>
      </c>
      <c r="U4210" s="8">
        <v>300</v>
      </c>
      <c r="V4210" s="7">
        <v>45964</v>
      </c>
      <c r="X4210" s="8">
        <v>0</v>
      </c>
      <c r="Z4210" s="8">
        <v>300</v>
      </c>
      <c r="AA4210" s="7">
        <v>45978</v>
      </c>
      <c r="AC4210" s="8">
        <v>0</v>
      </c>
      <c r="AE4210" s="7">
        <v>45981</v>
      </c>
      <c r="AF4210" s="8">
        <v>0</v>
      </c>
      <c r="AH4210" s="7">
        <v>45981</v>
      </c>
      <c r="AN4210" s="8">
        <v>294</v>
      </c>
      <c r="AO4210" s="8">
        <v>6</v>
      </c>
    </row>
    <row r="4211" spans="1:41" x14ac:dyDescent="0.25">
      <c r="A4211" s="6" t="str">
        <f t="shared" si="1090"/>
        <v>525-2025000514</v>
      </c>
      <c r="B4211" s="6" t="str">
        <f t="shared" si="1083"/>
        <v>Lasa Int</v>
      </c>
      <c r="C4211" s="7">
        <v>45946</v>
      </c>
      <c r="D4211" s="7">
        <v>46037</v>
      </c>
      <c r="E4211" s="8">
        <v>7</v>
      </c>
      <c r="F4211" s="6" t="str">
        <f t="shared" si="1091"/>
        <v>PURE</v>
      </c>
      <c r="G4211" s="6" t="str">
        <f t="shared" si="1092"/>
        <v>F100021455000000</v>
      </c>
      <c r="H4211" s="6" t="str">
        <f t="shared" si="1093"/>
        <v>FA 214 - PURE - 550</v>
      </c>
      <c r="I4211" s="6" t="str">
        <f>"1359"</f>
        <v>1359</v>
      </c>
      <c r="J4211" s="6" t="str">
        <f>"CASTANHO 1359"</f>
        <v>CASTANHO 1359</v>
      </c>
      <c r="K4211" s="6" t="str">
        <f>"0530"</f>
        <v>0530</v>
      </c>
      <c r="L4211" s="6" t="str">
        <f>"Toalhetes"</f>
        <v>Toalhetes</v>
      </c>
      <c r="M4211" s="6" t="str">
        <f>"33x50"</f>
        <v>33x50</v>
      </c>
      <c r="N4211" s="6" t="str">
        <f>"5602972836394"</f>
        <v>5602972836394</v>
      </c>
      <c r="O4211" s="8">
        <v>450</v>
      </c>
      <c r="P4211" s="7">
        <v>45946</v>
      </c>
      <c r="R4211" s="8">
        <v>0</v>
      </c>
      <c r="S4211" s="7">
        <v>45951</v>
      </c>
      <c r="U4211" s="8">
        <v>450</v>
      </c>
      <c r="V4211" s="7">
        <v>45964</v>
      </c>
      <c r="X4211" s="8">
        <v>0</v>
      </c>
      <c r="Z4211" s="8">
        <v>450</v>
      </c>
      <c r="AA4211" s="7">
        <v>45978</v>
      </c>
      <c r="AC4211" s="8">
        <v>604</v>
      </c>
      <c r="AE4211" s="7">
        <v>45981</v>
      </c>
      <c r="AF4211" s="8">
        <v>604</v>
      </c>
      <c r="AH4211" s="7">
        <v>45981</v>
      </c>
      <c r="AN4211" s="8">
        <v>604</v>
      </c>
      <c r="AO4211" s="8">
        <v>-154</v>
      </c>
    </row>
    <row r="4212" spans="1:41" x14ac:dyDescent="0.25">
      <c r="A4212" s="6" t="str">
        <f t="shared" si="1090"/>
        <v>525-2025000514</v>
      </c>
      <c r="B4212" s="6" t="str">
        <f t="shared" si="1083"/>
        <v>Lasa Int</v>
      </c>
      <c r="C4212" s="7">
        <v>45946</v>
      </c>
      <c r="D4212" s="7">
        <v>46037</v>
      </c>
      <c r="E4212" s="8">
        <v>8</v>
      </c>
      <c r="F4212" s="6" t="str">
        <f t="shared" si="1091"/>
        <v>PURE</v>
      </c>
      <c r="G4212" s="6" t="str">
        <f t="shared" si="1092"/>
        <v>F100021455000000</v>
      </c>
      <c r="H4212" s="6" t="str">
        <f t="shared" si="1093"/>
        <v>FA 214 - PURE - 550</v>
      </c>
      <c r="I4212" s="6" t="str">
        <f>"1359"</f>
        <v>1359</v>
      </c>
      <c r="J4212" s="6" t="str">
        <f>"CASTANHO 1359"</f>
        <v>CASTANHO 1359</v>
      </c>
      <c r="K4212" s="6" t="str">
        <f>"1024"</f>
        <v>1024</v>
      </c>
      <c r="L4212" s="6" t="str">
        <f>"Toalhas"</f>
        <v>Toalhas</v>
      </c>
      <c r="M4212" s="6" t="str">
        <f>"50x100"</f>
        <v>50x100</v>
      </c>
      <c r="N4212" s="6" t="str">
        <f>"5602972836400"</f>
        <v>5602972836400</v>
      </c>
      <c r="O4212" s="8">
        <v>480</v>
      </c>
      <c r="P4212" s="7">
        <v>45946</v>
      </c>
      <c r="R4212" s="8">
        <v>0</v>
      </c>
      <c r="S4212" s="7">
        <v>45951</v>
      </c>
      <c r="U4212" s="8">
        <v>480</v>
      </c>
      <c r="V4212" s="7">
        <v>45964</v>
      </c>
      <c r="X4212" s="8">
        <v>0</v>
      </c>
      <c r="Z4212" s="8">
        <v>480</v>
      </c>
      <c r="AA4212" s="7">
        <v>45978</v>
      </c>
      <c r="AC4212" s="8">
        <v>148</v>
      </c>
      <c r="AE4212" s="7">
        <v>45981</v>
      </c>
      <c r="AF4212" s="8">
        <v>148</v>
      </c>
      <c r="AH4212" s="7">
        <v>45981</v>
      </c>
      <c r="AN4212" s="8">
        <v>148</v>
      </c>
      <c r="AO4212" s="8">
        <v>332</v>
      </c>
    </row>
    <row r="4213" spans="1:41" x14ac:dyDescent="0.25">
      <c r="A4213" s="6" t="str">
        <f t="shared" si="1090"/>
        <v>525-2025000514</v>
      </c>
      <c r="B4213" s="6" t="str">
        <f t="shared" si="1083"/>
        <v>Lasa Int</v>
      </c>
      <c r="C4213" s="7">
        <v>45946</v>
      </c>
      <c r="D4213" s="7">
        <v>46037</v>
      </c>
      <c r="E4213" s="8">
        <v>9</v>
      </c>
      <c r="F4213" s="6" t="str">
        <f t="shared" si="1091"/>
        <v>PURE</v>
      </c>
      <c r="G4213" s="6" t="str">
        <f t="shared" si="1092"/>
        <v>F100021455000000</v>
      </c>
      <c r="H4213" s="6" t="str">
        <f t="shared" si="1093"/>
        <v>FA 214 - PURE - 550</v>
      </c>
      <c r="I4213" s="6" t="str">
        <f>"1359"</f>
        <v>1359</v>
      </c>
      <c r="J4213" s="6" t="str">
        <f>"CASTANHO 1359"</f>
        <v>CASTANHO 1359</v>
      </c>
      <c r="K4213" s="6" t="str">
        <f>"1535"</f>
        <v>1535</v>
      </c>
      <c r="L4213" s="6" t="str">
        <f>"Toalhões"</f>
        <v>Toalhões</v>
      </c>
      <c r="M4213" s="6" t="str">
        <f>"70x140"</f>
        <v>70x140</v>
      </c>
      <c r="N4213" s="6" t="str">
        <f>"5602972836417"</f>
        <v>5602972836417</v>
      </c>
      <c r="O4213" s="8">
        <v>240</v>
      </c>
      <c r="P4213" s="7">
        <v>45946</v>
      </c>
      <c r="R4213" s="8">
        <v>0</v>
      </c>
      <c r="S4213" s="7">
        <v>45951</v>
      </c>
      <c r="U4213" s="8">
        <v>240</v>
      </c>
      <c r="V4213" s="7">
        <v>45964</v>
      </c>
      <c r="X4213" s="8">
        <v>0</v>
      </c>
      <c r="Z4213" s="8">
        <v>240</v>
      </c>
      <c r="AA4213" s="7">
        <v>45978</v>
      </c>
      <c r="AC4213" s="8">
        <v>192</v>
      </c>
      <c r="AE4213" s="7">
        <v>45981</v>
      </c>
      <c r="AF4213" s="8">
        <v>192</v>
      </c>
      <c r="AH4213" s="7">
        <v>45981</v>
      </c>
      <c r="AN4213" s="8">
        <v>192</v>
      </c>
      <c r="AO4213" s="8">
        <v>48</v>
      </c>
    </row>
    <row r="4214" spans="1:41" x14ac:dyDescent="0.25">
      <c r="A4214" s="6" t="str">
        <f t="shared" si="1090"/>
        <v>525-2025000514</v>
      </c>
      <c r="B4214" s="6" t="str">
        <f t="shared" si="1083"/>
        <v>Lasa Int</v>
      </c>
      <c r="C4214" s="7">
        <v>45946</v>
      </c>
      <c r="D4214" s="7">
        <v>46037</v>
      </c>
      <c r="E4214" s="8">
        <v>10</v>
      </c>
      <c r="F4214" s="6" t="str">
        <f t="shared" si="1091"/>
        <v>PURE</v>
      </c>
      <c r="G4214" s="6" t="str">
        <f t="shared" si="1092"/>
        <v>F100021455000000</v>
      </c>
      <c r="H4214" s="6" t="str">
        <f t="shared" si="1093"/>
        <v>FA 214 - PURE - 550</v>
      </c>
      <c r="I4214" s="6" t="str">
        <f>"1359"</f>
        <v>1359</v>
      </c>
      <c r="J4214" s="6" t="str">
        <f>"CASTANHO 1359"</f>
        <v>CASTANHO 1359</v>
      </c>
      <c r="K4214" s="6" t="str">
        <f>"2020"</f>
        <v>2020</v>
      </c>
      <c r="L4214" s="6" t="str">
        <f>"Lençóis"</f>
        <v>Lençóis</v>
      </c>
      <c r="M4214" s="6" t="str">
        <f>"100x150"</f>
        <v>100x150</v>
      </c>
      <c r="N4214" s="6" t="str">
        <f>"5602972836424"</f>
        <v>5602972836424</v>
      </c>
      <c r="O4214" s="8">
        <v>160</v>
      </c>
      <c r="P4214" s="7">
        <v>45946</v>
      </c>
      <c r="R4214" s="8">
        <v>0</v>
      </c>
      <c r="S4214" s="7">
        <v>45951</v>
      </c>
      <c r="U4214" s="8">
        <v>160</v>
      </c>
      <c r="V4214" s="7">
        <v>45964</v>
      </c>
      <c r="X4214" s="8">
        <v>0</v>
      </c>
      <c r="Z4214" s="8">
        <v>160</v>
      </c>
      <c r="AA4214" s="7">
        <v>45978</v>
      </c>
      <c r="AC4214" s="8">
        <v>208</v>
      </c>
      <c r="AE4214" s="7">
        <v>45981</v>
      </c>
      <c r="AF4214" s="8">
        <v>208</v>
      </c>
      <c r="AH4214" s="7">
        <v>45981</v>
      </c>
      <c r="AN4214" s="8">
        <v>208</v>
      </c>
      <c r="AO4214" s="8">
        <v>-48</v>
      </c>
    </row>
    <row r="4215" spans="1:41" x14ac:dyDescent="0.25">
      <c r="A4215" s="6" t="str">
        <f t="shared" si="1090"/>
        <v>525-2025000514</v>
      </c>
      <c r="B4215" s="6" t="str">
        <f t="shared" si="1083"/>
        <v>Lasa Int</v>
      </c>
      <c r="C4215" s="7">
        <v>45946</v>
      </c>
      <c r="D4215" s="7">
        <v>46037</v>
      </c>
      <c r="E4215" s="8">
        <v>11</v>
      </c>
      <c r="F4215" s="6" t="str">
        <f t="shared" si="1091"/>
        <v>PURE</v>
      </c>
      <c r="G4215" s="6" t="str">
        <f t="shared" si="1092"/>
        <v>F100021455000000</v>
      </c>
      <c r="H4215" s="6" t="str">
        <f t="shared" si="1093"/>
        <v>FA 214 - PURE - 550</v>
      </c>
      <c r="I4215" s="6" t="str">
        <f>"1670"</f>
        <v>1670</v>
      </c>
      <c r="J4215" s="6" t="str">
        <f>"BEGE 1670"</f>
        <v>BEGE 1670</v>
      </c>
      <c r="K4215" s="6" t="str">
        <f>"0530"</f>
        <v>0530</v>
      </c>
      <c r="L4215" s="6" t="str">
        <f>"Toalhetes"</f>
        <v>Toalhetes</v>
      </c>
      <c r="M4215" s="6" t="str">
        <f>"33x50"</f>
        <v>33x50</v>
      </c>
      <c r="N4215" s="6" t="str">
        <f>"5602972836295"</f>
        <v>5602972836295</v>
      </c>
      <c r="O4215" s="8">
        <v>450</v>
      </c>
      <c r="P4215" s="7">
        <v>45946</v>
      </c>
      <c r="R4215" s="8">
        <v>0</v>
      </c>
      <c r="S4215" s="7">
        <v>45951</v>
      </c>
      <c r="U4215" s="8">
        <v>450</v>
      </c>
      <c r="V4215" s="7">
        <v>45964</v>
      </c>
      <c r="X4215" s="8">
        <v>0</v>
      </c>
      <c r="Z4215" s="8">
        <v>450</v>
      </c>
      <c r="AA4215" s="7">
        <v>45978</v>
      </c>
      <c r="AC4215" s="8">
        <v>36</v>
      </c>
      <c r="AE4215" s="7">
        <v>45981</v>
      </c>
      <c r="AF4215" s="8">
        <v>36</v>
      </c>
      <c r="AH4215" s="7">
        <v>45981</v>
      </c>
      <c r="AN4215" s="8">
        <v>36</v>
      </c>
      <c r="AO4215" s="8">
        <v>414</v>
      </c>
    </row>
    <row r="4216" spans="1:41" x14ac:dyDescent="0.25">
      <c r="A4216" s="6" t="str">
        <f t="shared" si="1090"/>
        <v>525-2025000514</v>
      </c>
      <c r="B4216" s="6" t="str">
        <f t="shared" si="1083"/>
        <v>Lasa Int</v>
      </c>
      <c r="C4216" s="7">
        <v>45946</v>
      </c>
      <c r="D4216" s="7">
        <v>46037</v>
      </c>
      <c r="E4216" s="8">
        <v>12</v>
      </c>
      <c r="F4216" s="6" t="str">
        <f t="shared" si="1091"/>
        <v>PURE</v>
      </c>
      <c r="G4216" s="6" t="str">
        <f t="shared" si="1092"/>
        <v>F100021455000000</v>
      </c>
      <c r="H4216" s="6" t="str">
        <f t="shared" si="1093"/>
        <v>FA 214 - PURE - 550</v>
      </c>
      <c r="I4216" s="6" t="str">
        <f>"1670"</f>
        <v>1670</v>
      </c>
      <c r="J4216" s="6" t="str">
        <f>"BEGE 1670"</f>
        <v>BEGE 1670</v>
      </c>
      <c r="K4216" s="6" t="str">
        <f>"1024"</f>
        <v>1024</v>
      </c>
      <c r="L4216" s="6" t="str">
        <f>"Toalhas"</f>
        <v>Toalhas</v>
      </c>
      <c r="M4216" s="6" t="str">
        <f>"50x100"</f>
        <v>50x100</v>
      </c>
      <c r="N4216" s="6" t="str">
        <f>"5602972836301"</f>
        <v>5602972836301</v>
      </c>
      <c r="O4216" s="8">
        <v>480</v>
      </c>
      <c r="P4216" s="7">
        <v>45946</v>
      </c>
      <c r="R4216" s="8">
        <v>0</v>
      </c>
      <c r="S4216" s="7">
        <v>45951</v>
      </c>
      <c r="U4216" s="8">
        <v>480</v>
      </c>
      <c r="V4216" s="7">
        <v>45964</v>
      </c>
      <c r="X4216" s="8">
        <v>0</v>
      </c>
      <c r="Z4216" s="8">
        <v>480</v>
      </c>
      <c r="AA4216" s="7">
        <v>45978</v>
      </c>
      <c r="AC4216" s="8">
        <v>258</v>
      </c>
      <c r="AE4216" s="7">
        <v>45981</v>
      </c>
      <c r="AF4216" s="8">
        <v>258</v>
      </c>
      <c r="AH4216" s="7">
        <v>45981</v>
      </c>
      <c r="AN4216" s="8">
        <v>258</v>
      </c>
      <c r="AO4216" s="8">
        <v>222</v>
      </c>
    </row>
    <row r="4217" spans="1:41" x14ac:dyDescent="0.25">
      <c r="A4217" s="6" t="str">
        <f t="shared" si="1090"/>
        <v>525-2025000514</v>
      </c>
      <c r="B4217" s="6" t="str">
        <f t="shared" si="1083"/>
        <v>Lasa Int</v>
      </c>
      <c r="C4217" s="7">
        <v>45946</v>
      </c>
      <c r="D4217" s="7">
        <v>46037</v>
      </c>
      <c r="E4217" s="8">
        <v>13</v>
      </c>
      <c r="F4217" s="6" t="str">
        <f t="shared" si="1091"/>
        <v>PURE</v>
      </c>
      <c r="G4217" s="6" t="str">
        <f t="shared" si="1092"/>
        <v>F100021455000000</v>
      </c>
      <c r="H4217" s="6" t="str">
        <f t="shared" si="1093"/>
        <v>FA 214 - PURE - 550</v>
      </c>
      <c r="I4217" s="6" t="str">
        <f>"1670"</f>
        <v>1670</v>
      </c>
      <c r="J4217" s="6" t="str">
        <f>"BEGE 1670"</f>
        <v>BEGE 1670</v>
      </c>
      <c r="K4217" s="6" t="str">
        <f>"1535"</f>
        <v>1535</v>
      </c>
      <c r="L4217" s="6" t="str">
        <f>"Toalhões"</f>
        <v>Toalhões</v>
      </c>
      <c r="M4217" s="6" t="str">
        <f>"70x140"</f>
        <v>70x140</v>
      </c>
      <c r="N4217" s="6" t="str">
        <f>"5602972836318"</f>
        <v>5602972836318</v>
      </c>
      <c r="O4217" s="8">
        <v>240</v>
      </c>
      <c r="P4217" s="7">
        <v>45946</v>
      </c>
      <c r="R4217" s="8">
        <v>0</v>
      </c>
      <c r="S4217" s="7">
        <v>45951</v>
      </c>
      <c r="U4217" s="8">
        <v>240</v>
      </c>
      <c r="V4217" s="7">
        <v>45964</v>
      </c>
      <c r="X4217" s="8">
        <v>0</v>
      </c>
      <c r="Z4217" s="8">
        <v>240</v>
      </c>
      <c r="AA4217" s="7">
        <v>45978</v>
      </c>
      <c r="AC4217" s="8">
        <v>241</v>
      </c>
      <c r="AE4217" s="7">
        <v>45981</v>
      </c>
      <c r="AF4217" s="8">
        <v>241</v>
      </c>
      <c r="AH4217" s="7">
        <v>45981</v>
      </c>
      <c r="AN4217" s="8">
        <v>241</v>
      </c>
      <c r="AO4217" s="8">
        <v>-1</v>
      </c>
    </row>
    <row r="4218" spans="1:41" x14ac:dyDescent="0.25">
      <c r="A4218" s="6" t="str">
        <f t="shared" si="1090"/>
        <v>525-2025000514</v>
      </c>
      <c r="B4218" s="6" t="str">
        <f t="shared" si="1083"/>
        <v>Lasa Int</v>
      </c>
      <c r="C4218" s="7">
        <v>45946</v>
      </c>
      <c r="D4218" s="7">
        <v>46037</v>
      </c>
      <c r="E4218" s="8">
        <v>14</v>
      </c>
      <c r="F4218" s="6" t="str">
        <f t="shared" si="1091"/>
        <v>PURE</v>
      </c>
      <c r="G4218" s="6" t="str">
        <f t="shared" si="1092"/>
        <v>F100021455000000</v>
      </c>
      <c r="H4218" s="6" t="str">
        <f t="shared" si="1093"/>
        <v>FA 214 - PURE - 550</v>
      </c>
      <c r="I4218" s="6" t="str">
        <f>"1670"</f>
        <v>1670</v>
      </c>
      <c r="J4218" s="6" t="str">
        <f>"BEGE 1670"</f>
        <v>BEGE 1670</v>
      </c>
      <c r="K4218" s="6" t="str">
        <f>"2020"</f>
        <v>2020</v>
      </c>
      <c r="L4218" s="6" t="str">
        <f>"Lençóis"</f>
        <v>Lençóis</v>
      </c>
      <c r="M4218" s="6" t="str">
        <f>"100x150"</f>
        <v>100x150</v>
      </c>
      <c r="N4218" s="6" t="str">
        <f>"5602972836325"</f>
        <v>5602972836325</v>
      </c>
      <c r="O4218" s="8">
        <v>160</v>
      </c>
      <c r="P4218" s="7">
        <v>45946</v>
      </c>
      <c r="R4218" s="8">
        <v>0</v>
      </c>
      <c r="S4218" s="7">
        <v>45951</v>
      </c>
      <c r="U4218" s="8">
        <v>160</v>
      </c>
      <c r="V4218" s="7">
        <v>45964</v>
      </c>
      <c r="X4218" s="8">
        <v>0</v>
      </c>
      <c r="Z4218" s="8">
        <v>160</v>
      </c>
      <c r="AA4218" s="7">
        <v>45978</v>
      </c>
      <c r="AC4218" s="8">
        <v>44</v>
      </c>
      <c r="AE4218" s="7">
        <v>45981</v>
      </c>
      <c r="AF4218" s="8">
        <v>44</v>
      </c>
      <c r="AH4218" s="7">
        <v>45981</v>
      </c>
      <c r="AN4218" s="8">
        <v>44</v>
      </c>
      <c r="AO4218" s="8">
        <v>116</v>
      </c>
    </row>
    <row r="4219" spans="1:41" x14ac:dyDescent="0.25">
      <c r="A4219" s="6" t="str">
        <f t="shared" si="1090"/>
        <v>525-2025000514</v>
      </c>
      <c r="B4219" s="6" t="str">
        <f t="shared" si="1083"/>
        <v>Lasa Int</v>
      </c>
      <c r="C4219" s="7">
        <v>45946</v>
      </c>
      <c r="D4219" s="7">
        <v>46037</v>
      </c>
      <c r="E4219" s="8">
        <v>15</v>
      </c>
      <c r="F4219" s="6" t="str">
        <f t="shared" si="1091"/>
        <v>PURE</v>
      </c>
      <c r="G4219" s="6" t="str">
        <f t="shared" si="1092"/>
        <v>F100021455000000</v>
      </c>
      <c r="H4219" s="6" t="str">
        <f t="shared" si="1093"/>
        <v>FA 214 - PURE - 550</v>
      </c>
      <c r="I4219" s="6" t="str">
        <f>"2610"</f>
        <v>2610</v>
      </c>
      <c r="J4219" s="6" t="str">
        <f>"BEGE 2610"</f>
        <v>BEGE 2610</v>
      </c>
      <c r="K4219" s="6" t="str">
        <f>"1024"</f>
        <v>1024</v>
      </c>
      <c r="L4219" s="6" t="str">
        <f>"Toalhas"</f>
        <v>Toalhas</v>
      </c>
      <c r="M4219" s="6" t="str">
        <f>"50x100"</f>
        <v>50x100</v>
      </c>
      <c r="N4219" s="6" t="str">
        <f>"5602972836356"</f>
        <v>5602972836356</v>
      </c>
      <c r="O4219" s="8">
        <v>480</v>
      </c>
      <c r="P4219" s="7">
        <v>45946</v>
      </c>
      <c r="R4219" s="8">
        <v>0</v>
      </c>
      <c r="S4219" s="7">
        <v>45951</v>
      </c>
      <c r="U4219" s="8">
        <v>480</v>
      </c>
      <c r="V4219" s="7">
        <v>45964</v>
      </c>
      <c r="X4219" s="8">
        <v>0</v>
      </c>
      <c r="Z4219" s="8">
        <v>480</v>
      </c>
      <c r="AA4219" s="7">
        <v>45978</v>
      </c>
      <c r="AC4219" s="8">
        <v>456</v>
      </c>
      <c r="AE4219" s="7">
        <v>45981</v>
      </c>
      <c r="AF4219" s="8">
        <v>456</v>
      </c>
      <c r="AH4219" s="7">
        <v>45981</v>
      </c>
      <c r="AN4219" s="8">
        <v>456</v>
      </c>
      <c r="AO4219" s="8">
        <v>24</v>
      </c>
    </row>
    <row r="4220" spans="1:41" x14ac:dyDescent="0.25">
      <c r="A4220" s="6" t="str">
        <f t="shared" si="1090"/>
        <v>525-2025000514</v>
      </c>
      <c r="B4220" s="6" t="str">
        <f t="shared" si="1083"/>
        <v>Lasa Int</v>
      </c>
      <c r="C4220" s="7">
        <v>45946</v>
      </c>
      <c r="D4220" s="7">
        <v>46037</v>
      </c>
      <c r="E4220" s="8">
        <v>16</v>
      </c>
      <c r="F4220" s="6" t="str">
        <f t="shared" si="1091"/>
        <v>PURE</v>
      </c>
      <c r="G4220" s="6" t="str">
        <f t="shared" si="1092"/>
        <v>F100021455000000</v>
      </c>
      <c r="H4220" s="6" t="str">
        <f t="shared" si="1093"/>
        <v>FA 214 - PURE - 550</v>
      </c>
      <c r="I4220" s="6" t="str">
        <f>"2610"</f>
        <v>2610</v>
      </c>
      <c r="J4220" s="6" t="str">
        <f>"BEGE 2610"</f>
        <v>BEGE 2610</v>
      </c>
      <c r="K4220" s="6" t="str">
        <f>"2020"</f>
        <v>2020</v>
      </c>
      <c r="L4220" s="6" t="str">
        <f>"Lençóis"</f>
        <v>Lençóis</v>
      </c>
      <c r="M4220" s="6" t="str">
        <f>"100x150"</f>
        <v>100x150</v>
      </c>
      <c r="N4220" s="6" t="str">
        <f>"5602972836370"</f>
        <v>5602972836370</v>
      </c>
      <c r="O4220" s="8">
        <v>160</v>
      </c>
      <c r="P4220" s="7">
        <v>45946</v>
      </c>
      <c r="R4220" s="8">
        <v>0</v>
      </c>
      <c r="S4220" s="7">
        <v>45951</v>
      </c>
      <c r="U4220" s="8">
        <v>160</v>
      </c>
      <c r="V4220" s="7">
        <v>45964</v>
      </c>
      <c r="X4220" s="8">
        <v>0</v>
      </c>
      <c r="Z4220" s="8">
        <v>160</v>
      </c>
      <c r="AA4220" s="7">
        <v>45978</v>
      </c>
      <c r="AC4220" s="8">
        <v>165</v>
      </c>
      <c r="AE4220" s="7">
        <v>45981</v>
      </c>
      <c r="AF4220" s="8">
        <v>165</v>
      </c>
      <c r="AH4220" s="7">
        <v>45981</v>
      </c>
      <c r="AN4220" s="8">
        <v>165</v>
      </c>
      <c r="AO4220" s="8">
        <v>-5</v>
      </c>
    </row>
    <row r="4221" spans="1:41" x14ac:dyDescent="0.25">
      <c r="A4221" s="6" t="str">
        <f t="shared" si="1090"/>
        <v>525-2025000514</v>
      </c>
      <c r="B4221" s="6" t="str">
        <f t="shared" si="1083"/>
        <v>Lasa Int</v>
      </c>
      <c r="C4221" s="7">
        <v>45946</v>
      </c>
      <c r="D4221" s="7">
        <v>46037</v>
      </c>
      <c r="E4221" s="8">
        <v>17</v>
      </c>
      <c r="F4221" s="6" t="str">
        <f t="shared" si="1091"/>
        <v>PURE</v>
      </c>
      <c r="G4221" s="6" t="str">
        <f t="shared" si="1092"/>
        <v>F100021455000000</v>
      </c>
      <c r="H4221" s="6" t="str">
        <f t="shared" si="1093"/>
        <v>FA 214 - PURE - 550</v>
      </c>
      <c r="I4221" s="6" t="str">
        <f>"2968"</f>
        <v>2968</v>
      </c>
      <c r="J4221" s="6" t="str">
        <f>"ROSA 2968"</f>
        <v>ROSA 2968</v>
      </c>
      <c r="K4221" s="6" t="str">
        <f>"0112"</f>
        <v>0112</v>
      </c>
      <c r="L4221" s="6" t="str">
        <f>"Luvas"</f>
        <v>Luvas</v>
      </c>
      <c r="M4221" s="6" t="str">
        <f>"16x21"</f>
        <v>16x21</v>
      </c>
      <c r="N4221" s="6" t="str">
        <f>"5602972878240"</f>
        <v>5602972878240</v>
      </c>
      <c r="O4221" s="8">
        <v>300</v>
      </c>
      <c r="P4221" s="7">
        <v>45946</v>
      </c>
      <c r="R4221" s="8">
        <v>0</v>
      </c>
      <c r="S4221" s="7">
        <v>45951</v>
      </c>
      <c r="U4221" s="8">
        <v>300</v>
      </c>
      <c r="V4221" s="7">
        <v>45964</v>
      </c>
      <c r="X4221" s="8">
        <v>0</v>
      </c>
      <c r="Z4221" s="8">
        <v>300</v>
      </c>
      <c r="AA4221" s="7">
        <v>45978</v>
      </c>
      <c r="AC4221" s="8">
        <v>0</v>
      </c>
      <c r="AE4221" s="7">
        <v>45981</v>
      </c>
      <c r="AF4221" s="8">
        <v>0</v>
      </c>
      <c r="AH4221" s="7">
        <v>45981</v>
      </c>
      <c r="AN4221" s="8">
        <v>294</v>
      </c>
      <c r="AO4221" s="8">
        <v>6</v>
      </c>
    </row>
    <row r="4222" spans="1:41" x14ac:dyDescent="0.25">
      <c r="A4222" s="6" t="str">
        <f t="shared" si="1090"/>
        <v>525-2025000514</v>
      </c>
      <c r="B4222" s="6" t="str">
        <f t="shared" si="1083"/>
        <v>Lasa Int</v>
      </c>
      <c r="C4222" s="7">
        <v>45946</v>
      </c>
      <c r="D4222" s="7">
        <v>46037</v>
      </c>
      <c r="E4222" s="8">
        <v>18</v>
      </c>
      <c r="F4222" s="6" t="str">
        <f t="shared" si="1091"/>
        <v>PURE</v>
      </c>
      <c r="G4222" s="6" t="str">
        <f t="shared" si="1092"/>
        <v>F100021455000000</v>
      </c>
      <c r="H4222" s="6" t="str">
        <f t="shared" si="1093"/>
        <v>FA 214 - PURE - 550</v>
      </c>
      <c r="I4222" s="6" t="str">
        <f>"2968"</f>
        <v>2968</v>
      </c>
      <c r="J4222" s="6" t="str">
        <f>"ROSA 2968"</f>
        <v>ROSA 2968</v>
      </c>
      <c r="K4222" s="6" t="str">
        <f>"0530"</f>
        <v>0530</v>
      </c>
      <c r="L4222" s="6" t="str">
        <f>"Toalhetes"</f>
        <v>Toalhetes</v>
      </c>
      <c r="M4222" s="6" t="str">
        <f>"33x50"</f>
        <v>33x50</v>
      </c>
      <c r="N4222" s="6" t="str">
        <f>"5602972878257"</f>
        <v>5602972878257</v>
      </c>
      <c r="O4222" s="8">
        <v>450</v>
      </c>
      <c r="P4222" s="7">
        <v>45946</v>
      </c>
      <c r="R4222" s="8">
        <v>0</v>
      </c>
      <c r="S4222" s="7">
        <v>45951</v>
      </c>
      <c r="U4222" s="8">
        <v>450</v>
      </c>
      <c r="V4222" s="7">
        <v>45964</v>
      </c>
      <c r="X4222" s="8">
        <v>0</v>
      </c>
      <c r="Z4222" s="8">
        <v>450</v>
      </c>
      <c r="AA4222" s="7">
        <v>45978</v>
      </c>
      <c r="AC4222" s="8">
        <v>330</v>
      </c>
      <c r="AE4222" s="7">
        <v>45981</v>
      </c>
      <c r="AF4222" s="8">
        <v>330</v>
      </c>
      <c r="AH4222" s="7">
        <v>45981</v>
      </c>
      <c r="AN4222" s="8">
        <v>330</v>
      </c>
      <c r="AO4222" s="8">
        <v>120</v>
      </c>
    </row>
    <row r="4223" spans="1:41" x14ac:dyDescent="0.25">
      <c r="A4223" s="6" t="str">
        <f t="shared" si="1090"/>
        <v>525-2025000514</v>
      </c>
      <c r="B4223" s="6" t="str">
        <f t="shared" si="1083"/>
        <v>Lasa Int</v>
      </c>
      <c r="C4223" s="7">
        <v>45946</v>
      </c>
      <c r="D4223" s="7">
        <v>46037</v>
      </c>
      <c r="E4223" s="8">
        <v>19</v>
      </c>
      <c r="F4223" s="6" t="str">
        <f t="shared" si="1091"/>
        <v>PURE</v>
      </c>
      <c r="G4223" s="6" t="str">
        <f t="shared" si="1092"/>
        <v>F100021455000000</v>
      </c>
      <c r="H4223" s="6" t="str">
        <f t="shared" si="1093"/>
        <v>FA 214 - PURE - 550</v>
      </c>
      <c r="I4223" s="6" t="str">
        <f>"2968"</f>
        <v>2968</v>
      </c>
      <c r="J4223" s="6" t="str">
        <f>"ROSA 2968"</f>
        <v>ROSA 2968</v>
      </c>
      <c r="K4223" s="6" t="str">
        <f>"1024"</f>
        <v>1024</v>
      </c>
      <c r="L4223" s="6" t="str">
        <f>"Toalhas"</f>
        <v>Toalhas</v>
      </c>
      <c r="M4223" s="6" t="str">
        <f>"50x100"</f>
        <v>50x100</v>
      </c>
      <c r="N4223" s="6" t="str">
        <f>"5602972878264"</f>
        <v>5602972878264</v>
      </c>
      <c r="O4223" s="8">
        <v>480</v>
      </c>
      <c r="P4223" s="7">
        <v>45946</v>
      </c>
      <c r="R4223" s="8">
        <v>0</v>
      </c>
      <c r="S4223" s="7">
        <v>45951</v>
      </c>
      <c r="U4223" s="8">
        <v>480</v>
      </c>
      <c r="V4223" s="7">
        <v>45964</v>
      </c>
      <c r="X4223" s="8">
        <v>0</v>
      </c>
      <c r="Z4223" s="8">
        <v>480</v>
      </c>
      <c r="AA4223" s="7">
        <v>45978</v>
      </c>
      <c r="AC4223" s="8">
        <v>458</v>
      </c>
      <c r="AE4223" s="7">
        <v>45981</v>
      </c>
      <c r="AF4223" s="8">
        <v>458</v>
      </c>
      <c r="AH4223" s="7">
        <v>45981</v>
      </c>
      <c r="AN4223" s="8">
        <v>458</v>
      </c>
      <c r="AO4223" s="8">
        <v>22</v>
      </c>
    </row>
    <row r="4224" spans="1:41" x14ac:dyDescent="0.25">
      <c r="A4224" s="6" t="str">
        <f t="shared" si="1090"/>
        <v>525-2025000514</v>
      </c>
      <c r="B4224" s="6" t="str">
        <f t="shared" si="1083"/>
        <v>Lasa Int</v>
      </c>
      <c r="C4224" s="7">
        <v>45946</v>
      </c>
      <c r="D4224" s="7">
        <v>46037</v>
      </c>
      <c r="E4224" s="8">
        <v>20</v>
      </c>
      <c r="F4224" s="6" t="str">
        <f t="shared" si="1091"/>
        <v>PURE</v>
      </c>
      <c r="G4224" s="6" t="str">
        <f t="shared" si="1092"/>
        <v>F100021455000000</v>
      </c>
      <c r="H4224" s="6" t="str">
        <f t="shared" si="1093"/>
        <v>FA 214 - PURE - 550</v>
      </c>
      <c r="I4224" s="6" t="str">
        <f>"2968"</f>
        <v>2968</v>
      </c>
      <c r="J4224" s="6" t="str">
        <f>"ROSA 2968"</f>
        <v>ROSA 2968</v>
      </c>
      <c r="K4224" s="6" t="str">
        <f>"1535"</f>
        <v>1535</v>
      </c>
      <c r="L4224" s="6" t="str">
        <f>"Toalhões"</f>
        <v>Toalhões</v>
      </c>
      <c r="M4224" s="6" t="str">
        <f>"70x140"</f>
        <v>70x140</v>
      </c>
      <c r="N4224" s="6" t="str">
        <f>"5602972878271"</f>
        <v>5602972878271</v>
      </c>
      <c r="O4224" s="8">
        <v>240</v>
      </c>
      <c r="P4224" s="7">
        <v>45946</v>
      </c>
      <c r="R4224" s="8">
        <v>0</v>
      </c>
      <c r="S4224" s="7">
        <v>45951</v>
      </c>
      <c r="U4224" s="8">
        <v>240</v>
      </c>
      <c r="V4224" s="7">
        <v>45964</v>
      </c>
      <c r="X4224" s="8">
        <v>0</v>
      </c>
      <c r="Z4224" s="8">
        <v>240</v>
      </c>
      <c r="AA4224" s="7">
        <v>45978</v>
      </c>
      <c r="AC4224" s="8">
        <v>227</v>
      </c>
      <c r="AE4224" s="7">
        <v>45981</v>
      </c>
      <c r="AF4224" s="8">
        <v>227</v>
      </c>
      <c r="AH4224" s="7">
        <v>45981</v>
      </c>
      <c r="AN4224" s="8">
        <v>227</v>
      </c>
      <c r="AO4224" s="8">
        <v>13</v>
      </c>
    </row>
    <row r="4225" spans="1:41" x14ac:dyDescent="0.25">
      <c r="A4225" s="6" t="str">
        <f t="shared" si="1090"/>
        <v>525-2025000514</v>
      </c>
      <c r="B4225" s="6" t="str">
        <f t="shared" si="1083"/>
        <v>Lasa Int</v>
      </c>
      <c r="C4225" s="7">
        <v>45946</v>
      </c>
      <c r="D4225" s="7">
        <v>46037</v>
      </c>
      <c r="E4225" s="8">
        <v>21</v>
      </c>
      <c r="F4225" s="6" t="str">
        <f t="shared" si="1091"/>
        <v>PURE</v>
      </c>
      <c r="G4225" s="6" t="str">
        <f t="shared" si="1092"/>
        <v>F100021455000000</v>
      </c>
      <c r="H4225" s="6" t="str">
        <f t="shared" si="1093"/>
        <v>FA 214 - PURE - 550</v>
      </c>
      <c r="I4225" s="6" t="str">
        <f>"2968"</f>
        <v>2968</v>
      </c>
      <c r="J4225" s="6" t="str">
        <f>"ROSA 2968"</f>
        <v>ROSA 2968</v>
      </c>
      <c r="K4225" s="6" t="str">
        <f>"2020"</f>
        <v>2020</v>
      </c>
      <c r="L4225" s="6" t="str">
        <f>"Lençóis"</f>
        <v>Lençóis</v>
      </c>
      <c r="M4225" s="6" t="str">
        <f>"100x150"</f>
        <v>100x150</v>
      </c>
      <c r="N4225" s="6" t="str">
        <f>"5602972878288"</f>
        <v>5602972878288</v>
      </c>
      <c r="O4225" s="8">
        <v>160</v>
      </c>
      <c r="P4225" s="7">
        <v>45946</v>
      </c>
      <c r="R4225" s="8">
        <v>0</v>
      </c>
      <c r="S4225" s="7">
        <v>45951</v>
      </c>
      <c r="U4225" s="8">
        <v>160</v>
      </c>
      <c r="V4225" s="7">
        <v>45964</v>
      </c>
      <c r="X4225" s="8">
        <v>0</v>
      </c>
      <c r="Z4225" s="8">
        <v>160</v>
      </c>
      <c r="AA4225" s="7">
        <v>45978</v>
      </c>
      <c r="AC4225" s="8">
        <v>41</v>
      </c>
      <c r="AE4225" s="7">
        <v>45981</v>
      </c>
      <c r="AF4225" s="8">
        <v>41</v>
      </c>
      <c r="AH4225" s="7">
        <v>45981</v>
      </c>
      <c r="AN4225" s="8">
        <v>41</v>
      </c>
      <c r="AO4225" s="8">
        <v>119</v>
      </c>
    </row>
    <row r="4226" spans="1:41" x14ac:dyDescent="0.25">
      <c r="A4226" s="6" t="str">
        <f t="shared" si="1090"/>
        <v>525-2025000514</v>
      </c>
      <c r="B4226" s="6" t="str">
        <f t="shared" ref="B4226:B4289" si="1094">"Lasa Int"</f>
        <v>Lasa Int</v>
      </c>
      <c r="C4226" s="7">
        <v>45946</v>
      </c>
      <c r="D4226" s="7">
        <v>46037</v>
      </c>
      <c r="E4226" s="8">
        <v>22</v>
      </c>
      <c r="F4226" s="6" t="str">
        <f t="shared" si="1091"/>
        <v>PURE</v>
      </c>
      <c r="G4226" s="6" t="str">
        <f t="shared" si="1092"/>
        <v>F100021455000000</v>
      </c>
      <c r="H4226" s="6" t="str">
        <f t="shared" si="1093"/>
        <v>FA 214 - PURE - 550</v>
      </c>
      <c r="I4226" s="6" t="str">
        <f>"3073"</f>
        <v>3073</v>
      </c>
      <c r="J4226" s="6" t="str">
        <f>"CINZA 3073"</f>
        <v>CINZA 3073</v>
      </c>
      <c r="K4226" s="6" t="str">
        <f>"0530"</f>
        <v>0530</v>
      </c>
      <c r="L4226" s="6" t="str">
        <f>"Toalhetes"</f>
        <v>Toalhetes</v>
      </c>
      <c r="M4226" s="6" t="str">
        <f>"33x50"</f>
        <v>33x50</v>
      </c>
      <c r="N4226" s="6" t="str">
        <f>"5602972877885"</f>
        <v>5602972877885</v>
      </c>
      <c r="O4226" s="8">
        <v>450</v>
      </c>
      <c r="P4226" s="7">
        <v>45946</v>
      </c>
      <c r="R4226" s="8">
        <v>0</v>
      </c>
      <c r="S4226" s="7">
        <v>45951</v>
      </c>
      <c r="U4226" s="8">
        <v>450</v>
      </c>
      <c r="V4226" s="7">
        <v>45964</v>
      </c>
      <c r="X4226" s="8">
        <v>0</v>
      </c>
      <c r="Z4226" s="8">
        <v>450</v>
      </c>
      <c r="AA4226" s="7">
        <v>45978</v>
      </c>
      <c r="AC4226" s="8">
        <v>228</v>
      </c>
      <c r="AE4226" s="7">
        <v>45981</v>
      </c>
      <c r="AF4226" s="8">
        <v>228</v>
      </c>
      <c r="AH4226" s="7">
        <v>45981</v>
      </c>
      <c r="AN4226" s="8">
        <v>228</v>
      </c>
      <c r="AO4226" s="8">
        <v>222</v>
      </c>
    </row>
    <row r="4227" spans="1:41" x14ac:dyDescent="0.25">
      <c r="A4227" s="6" t="str">
        <f t="shared" si="1090"/>
        <v>525-2025000514</v>
      </c>
      <c r="B4227" s="6" t="str">
        <f t="shared" si="1094"/>
        <v>Lasa Int</v>
      </c>
      <c r="C4227" s="7">
        <v>45946</v>
      </c>
      <c r="D4227" s="7">
        <v>46037</v>
      </c>
      <c r="E4227" s="8">
        <v>23</v>
      </c>
      <c r="F4227" s="6" t="str">
        <f t="shared" si="1091"/>
        <v>PURE</v>
      </c>
      <c r="G4227" s="6" t="str">
        <f t="shared" si="1092"/>
        <v>F100021455000000</v>
      </c>
      <c r="H4227" s="6" t="str">
        <f t="shared" si="1093"/>
        <v>FA 214 - PURE - 550</v>
      </c>
      <c r="I4227" s="6" t="str">
        <f>"3073"</f>
        <v>3073</v>
      </c>
      <c r="J4227" s="6" t="str">
        <f>"CINZA 3073"</f>
        <v>CINZA 3073</v>
      </c>
      <c r="K4227" s="6" t="str">
        <f>"1024"</f>
        <v>1024</v>
      </c>
      <c r="L4227" s="6" t="str">
        <f>"Toalhas"</f>
        <v>Toalhas</v>
      </c>
      <c r="M4227" s="6" t="str">
        <f>"50x100"</f>
        <v>50x100</v>
      </c>
      <c r="N4227" s="6" t="str">
        <f>"5602972877892"</f>
        <v>5602972877892</v>
      </c>
      <c r="O4227" s="8">
        <v>960</v>
      </c>
      <c r="P4227" s="7">
        <v>45946</v>
      </c>
      <c r="R4227" s="8">
        <v>0</v>
      </c>
      <c r="S4227" s="7">
        <v>45951</v>
      </c>
      <c r="U4227" s="8">
        <v>960</v>
      </c>
      <c r="V4227" s="7">
        <v>45964</v>
      </c>
      <c r="X4227" s="8">
        <v>0</v>
      </c>
      <c r="Z4227" s="8">
        <v>960</v>
      </c>
      <c r="AA4227" s="7">
        <v>45978</v>
      </c>
      <c r="AC4227" s="8">
        <v>768</v>
      </c>
      <c r="AE4227" s="7">
        <v>45981</v>
      </c>
      <c r="AF4227" s="8">
        <v>768</v>
      </c>
      <c r="AH4227" s="7">
        <v>45981</v>
      </c>
      <c r="AN4227" s="8">
        <v>768</v>
      </c>
      <c r="AO4227" s="8">
        <v>192</v>
      </c>
    </row>
    <row r="4228" spans="1:41" x14ac:dyDescent="0.25">
      <c r="A4228" s="6" t="str">
        <f t="shared" si="1090"/>
        <v>525-2025000514</v>
      </c>
      <c r="B4228" s="6" t="str">
        <f t="shared" si="1094"/>
        <v>Lasa Int</v>
      </c>
      <c r="C4228" s="7">
        <v>45946</v>
      </c>
      <c r="D4228" s="7">
        <v>46037</v>
      </c>
      <c r="E4228" s="8">
        <v>24</v>
      </c>
      <c r="F4228" s="6" t="str">
        <f t="shared" si="1091"/>
        <v>PURE</v>
      </c>
      <c r="G4228" s="6" t="str">
        <f t="shared" si="1092"/>
        <v>F100021455000000</v>
      </c>
      <c r="H4228" s="6" t="str">
        <f t="shared" si="1093"/>
        <v>FA 214 - PURE - 550</v>
      </c>
      <c r="I4228" s="6" t="str">
        <f>"3073"</f>
        <v>3073</v>
      </c>
      <c r="J4228" s="6" t="str">
        <f>"CINZA 3073"</f>
        <v>CINZA 3073</v>
      </c>
      <c r="K4228" s="6" t="str">
        <f>"1535"</f>
        <v>1535</v>
      </c>
      <c r="L4228" s="6" t="str">
        <f>"Toalhões"</f>
        <v>Toalhões</v>
      </c>
      <c r="M4228" s="6" t="str">
        <f>"70x140"</f>
        <v>70x140</v>
      </c>
      <c r="N4228" s="6" t="str">
        <f>"5602972877908"</f>
        <v>5602972877908</v>
      </c>
      <c r="O4228" s="8">
        <v>360</v>
      </c>
      <c r="P4228" s="7">
        <v>45946</v>
      </c>
      <c r="R4228" s="8">
        <v>0</v>
      </c>
      <c r="S4228" s="7">
        <v>45951</v>
      </c>
      <c r="U4228" s="8">
        <v>360</v>
      </c>
      <c r="V4228" s="7">
        <v>45964</v>
      </c>
      <c r="X4228" s="8">
        <v>0</v>
      </c>
      <c r="Z4228" s="8">
        <v>360</v>
      </c>
      <c r="AA4228" s="7">
        <v>45978</v>
      </c>
      <c r="AC4228" s="8">
        <v>0</v>
      </c>
      <c r="AE4228" s="7">
        <v>45981</v>
      </c>
      <c r="AF4228" s="8">
        <v>0</v>
      </c>
      <c r="AH4228" s="7">
        <v>45981</v>
      </c>
      <c r="AN4228" s="8">
        <v>0</v>
      </c>
      <c r="AO4228" s="8">
        <v>360</v>
      </c>
    </row>
    <row r="4229" spans="1:41" x14ac:dyDescent="0.25">
      <c r="A4229" s="6" t="str">
        <f t="shared" si="1090"/>
        <v>525-2025000514</v>
      </c>
      <c r="B4229" s="6" t="str">
        <f t="shared" si="1094"/>
        <v>Lasa Int</v>
      </c>
      <c r="C4229" s="7">
        <v>45946</v>
      </c>
      <c r="D4229" s="7">
        <v>46037</v>
      </c>
      <c r="E4229" s="8">
        <v>25</v>
      </c>
      <c r="F4229" s="6" t="str">
        <f t="shared" si="1091"/>
        <v>PURE</v>
      </c>
      <c r="G4229" s="6" t="str">
        <f t="shared" si="1092"/>
        <v>F100021455000000</v>
      </c>
      <c r="H4229" s="6" t="str">
        <f t="shared" si="1093"/>
        <v>FA 214 - PURE - 550</v>
      </c>
      <c r="I4229" s="6" t="str">
        <f>"3073"</f>
        <v>3073</v>
      </c>
      <c r="J4229" s="6" t="str">
        <f>"CINZA 3073"</f>
        <v>CINZA 3073</v>
      </c>
      <c r="K4229" s="6" t="str">
        <f>"2020"</f>
        <v>2020</v>
      </c>
      <c r="L4229" s="6" t="str">
        <f>"Lençóis"</f>
        <v>Lençóis</v>
      </c>
      <c r="M4229" s="6" t="str">
        <f>"100x150"</f>
        <v>100x150</v>
      </c>
      <c r="N4229" s="6" t="str">
        <f>"5602972877915"</f>
        <v>5602972877915</v>
      </c>
      <c r="O4229" s="8">
        <v>320</v>
      </c>
      <c r="P4229" s="7">
        <v>45946</v>
      </c>
      <c r="R4229" s="8">
        <v>0</v>
      </c>
      <c r="S4229" s="7">
        <v>45951</v>
      </c>
      <c r="U4229" s="8">
        <v>320</v>
      </c>
      <c r="V4229" s="7">
        <v>45964</v>
      </c>
      <c r="X4229" s="8">
        <v>0</v>
      </c>
      <c r="Z4229" s="8">
        <v>320</v>
      </c>
      <c r="AA4229" s="7">
        <v>45978</v>
      </c>
      <c r="AC4229" s="8">
        <v>350</v>
      </c>
      <c r="AE4229" s="7">
        <v>45981</v>
      </c>
      <c r="AF4229" s="8">
        <v>350</v>
      </c>
      <c r="AH4229" s="7">
        <v>45981</v>
      </c>
      <c r="AN4229" s="8">
        <v>350</v>
      </c>
      <c r="AO4229" s="8">
        <v>-30</v>
      </c>
    </row>
    <row r="4230" spans="1:41" x14ac:dyDescent="0.25">
      <c r="A4230" s="6" t="str">
        <f t="shared" si="1090"/>
        <v>525-2025000514</v>
      </c>
      <c r="B4230" s="6" t="str">
        <f t="shared" si="1094"/>
        <v>Lasa Int</v>
      </c>
      <c r="C4230" s="7">
        <v>45946</v>
      </c>
      <c r="D4230" s="7">
        <v>46037</v>
      </c>
      <c r="E4230" s="8">
        <v>26</v>
      </c>
      <c r="F4230" s="6" t="str">
        <f t="shared" si="1091"/>
        <v>PURE</v>
      </c>
      <c r="G4230" s="6" t="str">
        <f t="shared" si="1092"/>
        <v>F100021455000000</v>
      </c>
      <c r="H4230" s="6" t="str">
        <f t="shared" si="1093"/>
        <v>FA 214 - PURE - 550</v>
      </c>
      <c r="I4230" s="6" t="str">
        <f>"3236"</f>
        <v>3236</v>
      </c>
      <c r="J4230" s="6" t="str">
        <f>"TURQUESA 3236"</f>
        <v>TURQUESA 3236</v>
      </c>
      <c r="K4230" s="6" t="str">
        <f>"1024"</f>
        <v>1024</v>
      </c>
      <c r="L4230" s="6" t="str">
        <f>"Toalhas"</f>
        <v>Toalhas</v>
      </c>
      <c r="M4230" s="6" t="str">
        <f>"50x100"</f>
        <v>50x100</v>
      </c>
      <c r="N4230" s="6" t="str">
        <f>"5602972895346"</f>
        <v>5602972895346</v>
      </c>
      <c r="O4230" s="8">
        <v>480</v>
      </c>
      <c r="P4230" s="7">
        <v>45946</v>
      </c>
      <c r="R4230" s="8">
        <v>0</v>
      </c>
      <c r="S4230" s="7">
        <v>45951</v>
      </c>
      <c r="U4230" s="8">
        <v>480</v>
      </c>
      <c r="V4230" s="7">
        <v>45964</v>
      </c>
      <c r="X4230" s="8">
        <v>0</v>
      </c>
      <c r="Z4230" s="8">
        <v>480</v>
      </c>
      <c r="AA4230" s="7">
        <v>45978</v>
      </c>
      <c r="AC4230" s="8">
        <v>474</v>
      </c>
      <c r="AE4230" s="7">
        <v>45981</v>
      </c>
      <c r="AF4230" s="8">
        <v>474</v>
      </c>
      <c r="AH4230" s="7">
        <v>45981</v>
      </c>
      <c r="AN4230" s="8">
        <v>474</v>
      </c>
      <c r="AO4230" s="8">
        <v>6</v>
      </c>
    </row>
    <row r="4231" spans="1:41" x14ac:dyDescent="0.25">
      <c r="A4231" s="6" t="str">
        <f t="shared" si="1090"/>
        <v>525-2025000514</v>
      </c>
      <c r="B4231" s="6" t="str">
        <f t="shared" si="1094"/>
        <v>Lasa Int</v>
      </c>
      <c r="C4231" s="7">
        <v>45946</v>
      </c>
      <c r="D4231" s="7">
        <v>46037</v>
      </c>
      <c r="E4231" s="8">
        <v>27</v>
      </c>
      <c r="F4231" s="6" t="str">
        <f t="shared" si="1091"/>
        <v>PURE</v>
      </c>
      <c r="G4231" s="6" t="str">
        <f t="shared" si="1092"/>
        <v>F100021455000000</v>
      </c>
      <c r="H4231" s="6" t="str">
        <f t="shared" si="1093"/>
        <v>FA 214 - PURE - 550</v>
      </c>
      <c r="I4231" s="6" t="str">
        <f>"3236"</f>
        <v>3236</v>
      </c>
      <c r="J4231" s="6" t="str">
        <f>"TURQUESA 3236"</f>
        <v>TURQUESA 3236</v>
      </c>
      <c r="K4231" s="6" t="str">
        <f>"1535"</f>
        <v>1535</v>
      </c>
      <c r="L4231" s="6" t="str">
        <f>"Toalhões"</f>
        <v>Toalhões</v>
      </c>
      <c r="M4231" s="6" t="str">
        <f>"70x140"</f>
        <v>70x140</v>
      </c>
      <c r="N4231" s="6" t="str">
        <f>"5602972895353"</f>
        <v>5602972895353</v>
      </c>
      <c r="O4231" s="8">
        <v>240</v>
      </c>
      <c r="P4231" s="7">
        <v>45946</v>
      </c>
      <c r="R4231" s="8">
        <v>0</v>
      </c>
      <c r="S4231" s="7">
        <v>45951</v>
      </c>
      <c r="U4231" s="8">
        <v>240</v>
      </c>
      <c r="V4231" s="7">
        <v>45964</v>
      </c>
      <c r="X4231" s="8">
        <v>0</v>
      </c>
      <c r="Z4231" s="8">
        <v>240</v>
      </c>
      <c r="AA4231" s="7">
        <v>45978</v>
      </c>
      <c r="AC4231" s="8">
        <v>192</v>
      </c>
      <c r="AE4231" s="7">
        <v>45981</v>
      </c>
      <c r="AF4231" s="8">
        <v>192</v>
      </c>
      <c r="AH4231" s="7">
        <v>45981</v>
      </c>
      <c r="AN4231" s="8">
        <v>192</v>
      </c>
      <c r="AO4231" s="8">
        <v>48</v>
      </c>
    </row>
    <row r="4232" spans="1:41" x14ac:dyDescent="0.25">
      <c r="A4232" s="6" t="str">
        <f t="shared" si="1090"/>
        <v>525-2025000514</v>
      </c>
      <c r="B4232" s="6" t="str">
        <f t="shared" si="1094"/>
        <v>Lasa Int</v>
      </c>
      <c r="C4232" s="7">
        <v>45946</v>
      </c>
      <c r="D4232" s="7">
        <v>46037</v>
      </c>
      <c r="E4232" s="8">
        <v>28</v>
      </c>
      <c r="F4232" s="6" t="str">
        <f t="shared" si="1091"/>
        <v>PURE</v>
      </c>
      <c r="G4232" s="6" t="str">
        <f t="shared" si="1092"/>
        <v>F100021455000000</v>
      </c>
      <c r="H4232" s="6" t="str">
        <f t="shared" si="1093"/>
        <v>FA 214 - PURE - 550</v>
      </c>
      <c r="I4232" s="6" t="str">
        <f>"3236"</f>
        <v>3236</v>
      </c>
      <c r="J4232" s="6" t="str">
        <f>"TURQUESA 3236"</f>
        <v>TURQUESA 3236</v>
      </c>
      <c r="K4232" s="6" t="str">
        <f>"2020"</f>
        <v>2020</v>
      </c>
      <c r="L4232" s="6" t="str">
        <f>"Lençóis"</f>
        <v>Lençóis</v>
      </c>
      <c r="M4232" s="6" t="str">
        <f>"100x150"</f>
        <v>100x150</v>
      </c>
      <c r="N4232" s="6" t="str">
        <f>"5602972895360"</f>
        <v>5602972895360</v>
      </c>
      <c r="O4232" s="8">
        <v>160</v>
      </c>
      <c r="P4232" s="7">
        <v>45946</v>
      </c>
      <c r="R4232" s="8">
        <v>0</v>
      </c>
      <c r="S4232" s="7">
        <v>45951</v>
      </c>
      <c r="U4232" s="8">
        <v>160</v>
      </c>
      <c r="V4232" s="7">
        <v>45964</v>
      </c>
      <c r="X4232" s="8">
        <v>0</v>
      </c>
      <c r="Z4232" s="8">
        <v>160</v>
      </c>
      <c r="AA4232" s="7">
        <v>45978</v>
      </c>
      <c r="AC4232" s="8">
        <v>34</v>
      </c>
      <c r="AE4232" s="7">
        <v>45981</v>
      </c>
      <c r="AF4232" s="8">
        <v>34</v>
      </c>
      <c r="AH4232" s="7">
        <v>45981</v>
      </c>
      <c r="AN4232" s="8">
        <v>34</v>
      </c>
      <c r="AO4232" s="8">
        <v>126</v>
      </c>
    </row>
    <row r="4233" spans="1:41" x14ac:dyDescent="0.25">
      <c r="A4233" s="6" t="str">
        <f t="shared" si="1090"/>
        <v>525-2025000514</v>
      </c>
      <c r="B4233" s="6" t="str">
        <f t="shared" si="1094"/>
        <v>Lasa Int</v>
      </c>
      <c r="C4233" s="7">
        <v>45946</v>
      </c>
      <c r="D4233" s="7">
        <v>46037</v>
      </c>
      <c r="E4233" s="8">
        <v>29</v>
      </c>
      <c r="F4233" s="6" t="str">
        <f t="shared" si="1091"/>
        <v>PURE</v>
      </c>
      <c r="G4233" s="6" t="str">
        <f>"F161003770000000"</f>
        <v>F161003770000000</v>
      </c>
      <c r="H4233" s="6" t="str">
        <f>"TA 37 - 700 g/m²"</f>
        <v>TA 37 - 700 g/m²</v>
      </c>
      <c r="I4233" s="6" t="str">
        <f>"1359"</f>
        <v>1359</v>
      </c>
      <c r="J4233" s="6" t="str">
        <f>"CASTANHO 1359"</f>
        <v>CASTANHO 1359</v>
      </c>
      <c r="K4233" s="6" t="str">
        <f>"3012"</f>
        <v>3012</v>
      </c>
      <c r="L4233" s="6" t="str">
        <f>"Tapetes"</f>
        <v>Tapetes</v>
      </c>
      <c r="M4233" s="6" t="str">
        <f>"50x70"</f>
        <v>50x70</v>
      </c>
      <c r="N4233" s="6" t="str">
        <f>"5602972805482"</f>
        <v>5602972805482</v>
      </c>
      <c r="O4233" s="8">
        <v>100</v>
      </c>
      <c r="P4233" s="7">
        <v>45946</v>
      </c>
      <c r="R4233" s="8">
        <v>0</v>
      </c>
      <c r="S4233" s="7">
        <v>45951</v>
      </c>
      <c r="U4233" s="8">
        <v>100</v>
      </c>
      <c r="V4233" s="7">
        <v>45964</v>
      </c>
      <c r="X4233" s="8">
        <v>0</v>
      </c>
      <c r="Z4233" s="8">
        <v>100</v>
      </c>
      <c r="AA4233" s="7">
        <v>45978</v>
      </c>
      <c r="AC4233" s="8">
        <v>0</v>
      </c>
      <c r="AE4233" s="7">
        <v>45981</v>
      </c>
      <c r="AF4233" s="8">
        <v>0</v>
      </c>
      <c r="AH4233" s="7">
        <v>45981</v>
      </c>
      <c r="AN4233" s="8">
        <v>0</v>
      </c>
      <c r="AO4233" s="8">
        <v>100</v>
      </c>
    </row>
    <row r="4234" spans="1:41" x14ac:dyDescent="0.25">
      <c r="A4234" s="6" t="str">
        <f t="shared" si="1090"/>
        <v>525-2025000514</v>
      </c>
      <c r="B4234" s="6" t="str">
        <f t="shared" si="1094"/>
        <v>Lasa Int</v>
      </c>
      <c r="C4234" s="7">
        <v>45946</v>
      </c>
      <c r="D4234" s="7">
        <v>46037</v>
      </c>
      <c r="E4234" s="8">
        <v>30</v>
      </c>
      <c r="F4234" s="6" t="str">
        <f t="shared" si="1091"/>
        <v>PURE</v>
      </c>
      <c r="G4234" s="6" t="str">
        <f>"F161003770000000"</f>
        <v>F161003770000000</v>
      </c>
      <c r="H4234" s="6" t="str">
        <f>"TA 37 - 700 g/m²"</f>
        <v>TA 37 - 700 g/m²</v>
      </c>
      <c r="I4234" s="6" t="str">
        <f>"3073"</f>
        <v>3073</v>
      </c>
      <c r="J4234" s="6" t="str">
        <f>"CINZA 3073"</f>
        <v>CINZA 3073</v>
      </c>
      <c r="K4234" s="6" t="str">
        <f>"3012"</f>
        <v>3012</v>
      </c>
      <c r="L4234" s="6" t="str">
        <f>"Tapetes"</f>
        <v>Tapetes</v>
      </c>
      <c r="M4234" s="6" t="str">
        <f>"50x70"</f>
        <v>50x70</v>
      </c>
      <c r="N4234" s="6" t="str">
        <f>"5602972878028"</f>
        <v>5602972878028</v>
      </c>
      <c r="O4234" s="8">
        <v>200</v>
      </c>
      <c r="P4234" s="7">
        <v>45946</v>
      </c>
      <c r="R4234" s="8">
        <v>0</v>
      </c>
      <c r="S4234" s="7">
        <v>45951</v>
      </c>
      <c r="U4234" s="8">
        <v>200</v>
      </c>
      <c r="V4234" s="7">
        <v>45964</v>
      </c>
      <c r="X4234" s="8">
        <v>0</v>
      </c>
      <c r="Z4234" s="8">
        <v>200</v>
      </c>
      <c r="AA4234" s="7">
        <v>45978</v>
      </c>
      <c r="AC4234" s="8">
        <v>27</v>
      </c>
      <c r="AE4234" s="7">
        <v>45981</v>
      </c>
      <c r="AF4234" s="8">
        <v>27</v>
      </c>
      <c r="AH4234" s="7">
        <v>45981</v>
      </c>
      <c r="AN4234" s="8">
        <v>27</v>
      </c>
      <c r="AO4234" s="8">
        <v>173</v>
      </c>
    </row>
    <row r="4235" spans="1:41" x14ac:dyDescent="0.25">
      <c r="A4235" s="6" t="str">
        <f>"525-2025000516"</f>
        <v>525-2025000516</v>
      </c>
      <c r="B4235" s="6" t="str">
        <f t="shared" si="1094"/>
        <v>Lasa Int</v>
      </c>
      <c r="C4235" s="7">
        <v>45946</v>
      </c>
      <c r="D4235" s="7">
        <v>46065</v>
      </c>
      <c r="E4235" s="8">
        <v>1</v>
      </c>
      <c r="F4235" s="6" t="str">
        <f>"Praia 75x"</f>
        <v>Praia 75x</v>
      </c>
      <c r="G4235" s="6" t="str">
        <f>"F600723748000000"</f>
        <v>F600723748000000</v>
      </c>
      <c r="H4235" s="6" t="str">
        <f>"7237 - 480 g/m²"</f>
        <v>7237 - 480 g/m²</v>
      </c>
      <c r="I4235" s="6" t="str">
        <f>"201285"</f>
        <v>201285</v>
      </c>
      <c r="J4235" s="6" t="str">
        <f>"TURQUESA 1285"</f>
        <v>TURQUESA 1285</v>
      </c>
      <c r="K4235" s="6" t="str">
        <f>"3518"</f>
        <v>3518</v>
      </c>
      <c r="L4235" s="6" t="str">
        <f>"Praia"</f>
        <v>Praia</v>
      </c>
      <c r="M4235" s="6" t="str">
        <f>"75x150"</f>
        <v>75x150</v>
      </c>
      <c r="N4235" s="6" t="str">
        <f>"5602972523782"</f>
        <v>5602972523782</v>
      </c>
      <c r="O4235" s="8">
        <v>400</v>
      </c>
      <c r="P4235" s="7">
        <v>46010</v>
      </c>
      <c r="R4235" s="8">
        <v>447</v>
      </c>
      <c r="S4235" s="7">
        <v>46020</v>
      </c>
      <c r="U4235" s="8">
        <v>447</v>
      </c>
      <c r="V4235" s="7">
        <v>46030</v>
      </c>
      <c r="X4235" s="8">
        <v>0</v>
      </c>
      <c r="Z4235" s="8">
        <v>447</v>
      </c>
      <c r="AA4235" s="7">
        <v>46044</v>
      </c>
      <c r="AC4235" s="8">
        <v>0</v>
      </c>
      <c r="AE4235" s="7">
        <v>46049</v>
      </c>
      <c r="AF4235" s="8">
        <v>0</v>
      </c>
      <c r="AH4235" s="7">
        <v>46045</v>
      </c>
      <c r="AN4235" s="8">
        <v>0</v>
      </c>
      <c r="AO4235" s="8">
        <v>400</v>
      </c>
    </row>
    <row r="4236" spans="1:41" x14ac:dyDescent="0.25">
      <c r="A4236" s="6" t="str">
        <f>"525-2025000516"</f>
        <v>525-2025000516</v>
      </c>
      <c r="B4236" s="6" t="str">
        <f t="shared" si="1094"/>
        <v>Lasa Int</v>
      </c>
      <c r="C4236" s="7">
        <v>45946</v>
      </c>
      <c r="D4236" s="7">
        <v>46065</v>
      </c>
      <c r="E4236" s="8">
        <v>2</v>
      </c>
      <c r="F4236" s="6" t="str">
        <f>"Praia 75x"</f>
        <v>Praia 75x</v>
      </c>
      <c r="G4236" s="6" t="str">
        <f>"F600723748000000"</f>
        <v>F600723748000000</v>
      </c>
      <c r="H4236" s="6" t="str">
        <f>"7237 - 480 g/m²"</f>
        <v>7237 - 480 g/m²</v>
      </c>
      <c r="I4236" s="6" t="str">
        <f>"204380"</f>
        <v>204380</v>
      </c>
      <c r="J4236" s="6" t="str">
        <f>"LARANJA 4380"</f>
        <v>LARANJA 4380</v>
      </c>
      <c r="K4236" s="6" t="str">
        <f>"3518"</f>
        <v>3518</v>
      </c>
      <c r="L4236" s="6" t="str">
        <f>"Praia"</f>
        <v>Praia</v>
      </c>
      <c r="M4236" s="6" t="str">
        <f>"75x150"</f>
        <v>75x150</v>
      </c>
      <c r="N4236" s="6" t="str">
        <f>"5602972523799"</f>
        <v>5602972523799</v>
      </c>
      <c r="O4236" s="8">
        <v>400</v>
      </c>
      <c r="P4236" s="7">
        <v>46010</v>
      </c>
      <c r="R4236" s="8">
        <v>447</v>
      </c>
      <c r="S4236" s="7">
        <v>46020</v>
      </c>
      <c r="U4236" s="8">
        <v>447</v>
      </c>
      <c r="V4236" s="7">
        <v>46030</v>
      </c>
      <c r="X4236" s="8">
        <v>0</v>
      </c>
      <c r="Z4236" s="8">
        <v>447</v>
      </c>
      <c r="AA4236" s="7">
        <v>46044</v>
      </c>
      <c r="AC4236" s="8">
        <v>0</v>
      </c>
      <c r="AE4236" s="7">
        <v>46049</v>
      </c>
      <c r="AF4236" s="8">
        <v>0</v>
      </c>
      <c r="AH4236" s="7">
        <v>46045</v>
      </c>
      <c r="AN4236" s="8">
        <v>0</v>
      </c>
      <c r="AO4236" s="8">
        <v>400</v>
      </c>
    </row>
    <row r="4237" spans="1:41" x14ac:dyDescent="0.25">
      <c r="A4237" s="6" t="str">
        <f>"525-2025000516"</f>
        <v>525-2025000516</v>
      </c>
      <c r="B4237" s="6" t="str">
        <f t="shared" si="1094"/>
        <v>Lasa Int</v>
      </c>
      <c r="C4237" s="7">
        <v>45946</v>
      </c>
      <c r="D4237" s="7">
        <v>46065</v>
      </c>
      <c r="E4237" s="8">
        <v>3</v>
      </c>
      <c r="F4237" s="6" t="str">
        <f>"Praia 75x"</f>
        <v>Praia 75x</v>
      </c>
      <c r="G4237" s="6" t="str">
        <f>"F600723848000000"</f>
        <v>F600723848000000</v>
      </c>
      <c r="H4237" s="6" t="str">
        <f>"7238 - 480 g/m²"</f>
        <v>7238 - 480 g/m²</v>
      </c>
      <c r="I4237" s="6" t="str">
        <f>"200498"</f>
        <v>200498</v>
      </c>
      <c r="J4237" s="6" t="str">
        <f>"VERMELHO 498"</f>
        <v>VERMELHO 498</v>
      </c>
      <c r="K4237" s="6" t="str">
        <f>"3518"</f>
        <v>3518</v>
      </c>
      <c r="L4237" s="6" t="str">
        <f>"Praia"</f>
        <v>Praia</v>
      </c>
      <c r="M4237" s="6" t="str">
        <f>"75x150"</f>
        <v>75x150</v>
      </c>
      <c r="N4237" s="6" t="str">
        <f>"5602972523805"</f>
        <v>5602972523805</v>
      </c>
      <c r="O4237" s="8">
        <v>400</v>
      </c>
      <c r="P4237" s="7">
        <v>46010</v>
      </c>
      <c r="R4237" s="8">
        <v>438</v>
      </c>
      <c r="S4237" s="7">
        <v>46020</v>
      </c>
      <c r="U4237" s="8">
        <v>438</v>
      </c>
      <c r="V4237" s="7">
        <v>46030</v>
      </c>
      <c r="X4237" s="8">
        <v>0</v>
      </c>
      <c r="Z4237" s="8">
        <v>438</v>
      </c>
      <c r="AA4237" s="7">
        <v>46044</v>
      </c>
      <c r="AC4237" s="8">
        <v>0</v>
      </c>
      <c r="AE4237" s="7">
        <v>46049</v>
      </c>
      <c r="AF4237" s="8">
        <v>0</v>
      </c>
      <c r="AH4237" s="7">
        <v>46045</v>
      </c>
      <c r="AN4237" s="8">
        <v>0</v>
      </c>
      <c r="AO4237" s="8">
        <v>400</v>
      </c>
    </row>
    <row r="4238" spans="1:41" x14ac:dyDescent="0.25">
      <c r="A4238" s="6" t="str">
        <f t="shared" ref="A4238:A4247" si="1095">"525-2025000520"</f>
        <v>525-2025000520</v>
      </c>
      <c r="B4238" s="6" t="str">
        <f t="shared" si="1094"/>
        <v>Lasa Int</v>
      </c>
      <c r="C4238" s="7">
        <v>45950</v>
      </c>
      <c r="D4238" s="7">
        <v>46065</v>
      </c>
      <c r="E4238" s="8">
        <v>1</v>
      </c>
      <c r="F4238" s="6" t="str">
        <f t="shared" ref="F4238:F4247" si="1096">"PURE R"</f>
        <v>PURE R</v>
      </c>
      <c r="G4238" s="6" t="str">
        <f>"K018000135000000"</f>
        <v>K018000135000000</v>
      </c>
      <c r="H4238" s="6" t="str">
        <f>"Chinelos - LI - 350"</f>
        <v>Chinelos - LI - 350</v>
      </c>
      <c r="I4238" s="6" t="str">
        <f t="shared" ref="I4238:I4247" si="1097">"1670"</f>
        <v>1670</v>
      </c>
      <c r="J4238" s="6" t="str">
        <f t="shared" ref="J4238:J4247" si="1098">"BEGE 1670"</f>
        <v>BEGE 1670</v>
      </c>
      <c r="K4238" s="6" t="str">
        <f>"4808"</f>
        <v>4808</v>
      </c>
      <c r="L4238" s="6" t="str">
        <f>"Chinelos"</f>
        <v>Chinelos</v>
      </c>
      <c r="M4238" s="6" t="str">
        <f>"38"</f>
        <v>38</v>
      </c>
      <c r="N4238" s="6" t="str">
        <f>"5602972838497"</f>
        <v>5602972838497</v>
      </c>
      <c r="O4238" s="8">
        <v>160</v>
      </c>
      <c r="P4238" s="7">
        <v>45950</v>
      </c>
      <c r="R4238" s="8">
        <v>0</v>
      </c>
      <c r="S4238" s="7">
        <v>45953</v>
      </c>
      <c r="U4238" s="8">
        <v>0</v>
      </c>
      <c r="V4238" s="7">
        <v>45964</v>
      </c>
      <c r="X4238" s="8">
        <v>0</v>
      </c>
      <c r="Z4238" s="8">
        <v>0</v>
      </c>
      <c r="AA4238" s="7">
        <v>45974</v>
      </c>
      <c r="AC4238" s="8">
        <v>88</v>
      </c>
      <c r="AE4238" s="7">
        <v>46001</v>
      </c>
      <c r="AF4238" s="8">
        <v>88</v>
      </c>
      <c r="AH4238" s="7">
        <v>46001</v>
      </c>
      <c r="AI4238" s="7">
        <v>45996</v>
      </c>
      <c r="AN4238" s="8">
        <v>88</v>
      </c>
      <c r="AO4238" s="8">
        <v>72</v>
      </c>
    </row>
    <row r="4239" spans="1:41" x14ac:dyDescent="0.25">
      <c r="A4239" s="6" t="str">
        <f t="shared" si="1095"/>
        <v>525-2025000520</v>
      </c>
      <c r="B4239" s="6" t="str">
        <f t="shared" si="1094"/>
        <v>Lasa Int</v>
      </c>
      <c r="C4239" s="7">
        <v>45950</v>
      </c>
      <c r="D4239" s="7">
        <v>46065</v>
      </c>
      <c r="E4239" s="8">
        <v>2</v>
      </c>
      <c r="F4239" s="6" t="str">
        <f t="shared" si="1096"/>
        <v>PURE R</v>
      </c>
      <c r="G4239" s="6" t="str">
        <f>"K018000135000000"</f>
        <v>K018000135000000</v>
      </c>
      <c r="H4239" s="6" t="str">
        <f>"Chinelos - LI - 350"</f>
        <v>Chinelos - LI - 350</v>
      </c>
      <c r="I4239" s="6" t="str">
        <f t="shared" si="1097"/>
        <v>1670</v>
      </c>
      <c r="J4239" s="6" t="str">
        <f t="shared" si="1098"/>
        <v>BEGE 1670</v>
      </c>
      <c r="K4239" s="6" t="str">
        <f>"4813"</f>
        <v>4813</v>
      </c>
      <c r="L4239" s="6" t="str">
        <f>"Chinelos"</f>
        <v>Chinelos</v>
      </c>
      <c r="M4239" s="6" t="str">
        <f>"43"</f>
        <v>43</v>
      </c>
      <c r="N4239" s="6" t="str">
        <f>"5602972838503"</f>
        <v>5602972838503</v>
      </c>
      <c r="O4239" s="8">
        <v>48</v>
      </c>
      <c r="P4239" s="7">
        <v>45950</v>
      </c>
      <c r="R4239" s="8">
        <v>0</v>
      </c>
      <c r="S4239" s="7">
        <v>45953</v>
      </c>
      <c r="U4239" s="8">
        <v>0</v>
      </c>
      <c r="V4239" s="7">
        <v>45964</v>
      </c>
      <c r="X4239" s="8">
        <v>0</v>
      </c>
      <c r="Z4239" s="8">
        <v>0</v>
      </c>
      <c r="AA4239" s="7">
        <v>45974</v>
      </c>
      <c r="AC4239" s="8">
        <v>60</v>
      </c>
      <c r="AE4239" s="7">
        <v>46001</v>
      </c>
      <c r="AF4239" s="8">
        <v>60</v>
      </c>
      <c r="AH4239" s="7">
        <v>46001</v>
      </c>
      <c r="AI4239" s="7">
        <v>45996</v>
      </c>
      <c r="AN4239" s="8">
        <v>60</v>
      </c>
      <c r="AO4239" s="8">
        <v>-12</v>
      </c>
    </row>
    <row r="4240" spans="1:41" x14ac:dyDescent="0.25">
      <c r="A4240" s="6" t="str">
        <f t="shared" si="1095"/>
        <v>525-2025000520</v>
      </c>
      <c r="B4240" s="6" t="str">
        <f t="shared" si="1094"/>
        <v>Lasa Int</v>
      </c>
      <c r="C4240" s="7">
        <v>45950</v>
      </c>
      <c r="D4240" s="7">
        <v>46065</v>
      </c>
      <c r="E4240" s="8">
        <v>3</v>
      </c>
      <c r="F4240" s="6" t="str">
        <f t="shared" si="1096"/>
        <v>PURE R</v>
      </c>
      <c r="G4240" s="6" t="str">
        <f>"R010000635000000"</f>
        <v>R010000635000000</v>
      </c>
      <c r="H4240" s="6" t="str">
        <f>"Alexis Cotoral Pure"</f>
        <v>Alexis Cotoral Pure</v>
      </c>
      <c r="I4240" s="6" t="str">
        <f t="shared" si="1097"/>
        <v>1670</v>
      </c>
      <c r="J4240" s="6" t="str">
        <f t="shared" si="1098"/>
        <v>BEGE 1670</v>
      </c>
      <c r="K4240" s="6" t="str">
        <f>"5002"</f>
        <v>5002</v>
      </c>
      <c r="L4240" s="6" t="str">
        <f t="shared" ref="L4240:L4247" si="1099">"Roupões Adulto"</f>
        <v>Roupões Adulto</v>
      </c>
      <c r="M4240" s="6" t="str">
        <f>"S"</f>
        <v>S</v>
      </c>
      <c r="N4240" s="6" t="str">
        <f>"5602972837995"</f>
        <v>5602972837995</v>
      </c>
      <c r="O4240" s="8">
        <v>36</v>
      </c>
      <c r="P4240" s="7">
        <v>45950</v>
      </c>
      <c r="R4240" s="8">
        <v>0</v>
      </c>
      <c r="S4240" s="7">
        <v>45953</v>
      </c>
      <c r="U4240" s="8">
        <v>945</v>
      </c>
      <c r="V4240" s="7">
        <v>45964</v>
      </c>
      <c r="X4240" s="8">
        <v>945</v>
      </c>
      <c r="Z4240" s="8">
        <v>0</v>
      </c>
      <c r="AA4240" s="7">
        <v>45974</v>
      </c>
      <c r="AC4240" s="8">
        <v>0</v>
      </c>
      <c r="AE4240" s="7">
        <v>46001</v>
      </c>
      <c r="AF4240" s="8">
        <v>0</v>
      </c>
      <c r="AH4240" s="7">
        <v>46001</v>
      </c>
      <c r="AI4240" s="7">
        <v>45996</v>
      </c>
      <c r="AN4240" s="8">
        <v>0</v>
      </c>
      <c r="AO4240" s="8">
        <v>36</v>
      </c>
    </row>
    <row r="4241" spans="1:41" x14ac:dyDescent="0.25">
      <c r="A4241" s="6" t="str">
        <f t="shared" si="1095"/>
        <v>525-2025000520</v>
      </c>
      <c r="B4241" s="6" t="str">
        <f t="shared" si="1094"/>
        <v>Lasa Int</v>
      </c>
      <c r="C4241" s="7">
        <v>45950</v>
      </c>
      <c r="D4241" s="7">
        <v>46065</v>
      </c>
      <c r="E4241" s="8">
        <v>4</v>
      </c>
      <c r="F4241" s="6" t="str">
        <f t="shared" si="1096"/>
        <v>PURE R</v>
      </c>
      <c r="G4241" s="6" t="str">
        <f>"R010000635000000"</f>
        <v>R010000635000000</v>
      </c>
      <c r="H4241" s="6" t="str">
        <f>"Alexis Cotoral Pure"</f>
        <v>Alexis Cotoral Pure</v>
      </c>
      <c r="I4241" s="6" t="str">
        <f t="shared" si="1097"/>
        <v>1670</v>
      </c>
      <c r="J4241" s="6" t="str">
        <f t="shared" si="1098"/>
        <v>BEGE 1670</v>
      </c>
      <c r="K4241" s="6" t="str">
        <f>"5004"</f>
        <v>5004</v>
      </c>
      <c r="L4241" s="6" t="str">
        <f t="shared" si="1099"/>
        <v>Roupões Adulto</v>
      </c>
      <c r="M4241" s="6" t="str">
        <f>"M"</f>
        <v>M</v>
      </c>
      <c r="N4241" s="6" t="str">
        <f>"5602972838008"</f>
        <v>5602972838008</v>
      </c>
      <c r="O4241" s="8">
        <v>96</v>
      </c>
      <c r="P4241" s="7">
        <v>45950</v>
      </c>
      <c r="R4241" s="8">
        <v>0</v>
      </c>
      <c r="S4241" s="7">
        <v>45953</v>
      </c>
      <c r="U4241" s="8">
        <v>0</v>
      </c>
      <c r="V4241" s="7">
        <v>45964</v>
      </c>
      <c r="X4241" s="8">
        <v>0</v>
      </c>
      <c r="Z4241" s="8">
        <v>0</v>
      </c>
      <c r="AA4241" s="7">
        <v>45974</v>
      </c>
      <c r="AC4241" s="8">
        <v>0</v>
      </c>
      <c r="AE4241" s="7">
        <v>46001</v>
      </c>
      <c r="AF4241" s="8">
        <v>0</v>
      </c>
      <c r="AH4241" s="7">
        <v>46001</v>
      </c>
      <c r="AI4241" s="7">
        <v>45996</v>
      </c>
      <c r="AN4241" s="8">
        <v>0</v>
      </c>
      <c r="AO4241" s="8">
        <v>96</v>
      </c>
    </row>
    <row r="4242" spans="1:41" x14ac:dyDescent="0.25">
      <c r="A4242" s="6" t="str">
        <f t="shared" si="1095"/>
        <v>525-2025000520</v>
      </c>
      <c r="B4242" s="6" t="str">
        <f t="shared" si="1094"/>
        <v>Lasa Int</v>
      </c>
      <c r="C4242" s="7">
        <v>45950</v>
      </c>
      <c r="D4242" s="7">
        <v>46065</v>
      </c>
      <c r="E4242" s="8">
        <v>5</v>
      </c>
      <c r="F4242" s="6" t="str">
        <f t="shared" si="1096"/>
        <v>PURE R</v>
      </c>
      <c r="G4242" s="6" t="str">
        <f>"R010000635000000"</f>
        <v>R010000635000000</v>
      </c>
      <c r="H4242" s="6" t="str">
        <f>"Alexis Cotoral Pure"</f>
        <v>Alexis Cotoral Pure</v>
      </c>
      <c r="I4242" s="6" t="str">
        <f t="shared" si="1097"/>
        <v>1670</v>
      </c>
      <c r="J4242" s="6" t="str">
        <f t="shared" si="1098"/>
        <v>BEGE 1670</v>
      </c>
      <c r="K4242" s="6" t="str">
        <f>"5006"</f>
        <v>5006</v>
      </c>
      <c r="L4242" s="6" t="str">
        <f t="shared" si="1099"/>
        <v>Roupões Adulto</v>
      </c>
      <c r="M4242" s="6" t="str">
        <f>"L"</f>
        <v>L</v>
      </c>
      <c r="N4242" s="6" t="str">
        <f>"5602972838015"</f>
        <v>5602972838015</v>
      </c>
      <c r="O4242" s="8">
        <v>48</v>
      </c>
      <c r="P4242" s="7">
        <v>45950</v>
      </c>
      <c r="R4242" s="8">
        <v>0</v>
      </c>
      <c r="S4242" s="7">
        <v>45953</v>
      </c>
      <c r="U4242" s="8">
        <v>0</v>
      </c>
      <c r="V4242" s="7">
        <v>45964</v>
      </c>
      <c r="X4242" s="8">
        <v>0</v>
      </c>
      <c r="Z4242" s="8">
        <v>0</v>
      </c>
      <c r="AA4242" s="7">
        <v>45974</v>
      </c>
      <c r="AC4242" s="8">
        <v>0</v>
      </c>
      <c r="AE4242" s="7">
        <v>46001</v>
      </c>
      <c r="AF4242" s="8">
        <v>0</v>
      </c>
      <c r="AH4242" s="7">
        <v>46001</v>
      </c>
      <c r="AI4242" s="7">
        <v>45996</v>
      </c>
      <c r="AN4242" s="8">
        <v>0</v>
      </c>
      <c r="AO4242" s="8">
        <v>48</v>
      </c>
    </row>
    <row r="4243" spans="1:41" x14ac:dyDescent="0.25">
      <c r="A4243" s="6" t="str">
        <f t="shared" si="1095"/>
        <v>525-2025000520</v>
      </c>
      <c r="B4243" s="6" t="str">
        <f t="shared" si="1094"/>
        <v>Lasa Int</v>
      </c>
      <c r="C4243" s="7">
        <v>45950</v>
      </c>
      <c r="D4243" s="7">
        <v>46065</v>
      </c>
      <c r="E4243" s="8">
        <v>6</v>
      </c>
      <c r="F4243" s="6" t="str">
        <f t="shared" si="1096"/>
        <v>PURE R</v>
      </c>
      <c r="G4243" s="6" t="str">
        <f>"R010000635000000"</f>
        <v>R010000635000000</v>
      </c>
      <c r="H4243" s="6" t="str">
        <f>"Alexis Cotoral Pure"</f>
        <v>Alexis Cotoral Pure</v>
      </c>
      <c r="I4243" s="6" t="str">
        <f t="shared" si="1097"/>
        <v>1670</v>
      </c>
      <c r="J4243" s="6" t="str">
        <f t="shared" si="1098"/>
        <v>BEGE 1670</v>
      </c>
      <c r="K4243" s="6" t="str">
        <f>"5008"</f>
        <v>5008</v>
      </c>
      <c r="L4243" s="6" t="str">
        <f t="shared" si="1099"/>
        <v>Roupões Adulto</v>
      </c>
      <c r="M4243" s="6" t="str">
        <f>"XL"</f>
        <v>XL</v>
      </c>
      <c r="N4243" s="6" t="str">
        <f>"5602972838022"</f>
        <v>5602972838022</v>
      </c>
      <c r="O4243" s="8">
        <v>48</v>
      </c>
      <c r="P4243" s="7">
        <v>45950</v>
      </c>
      <c r="R4243" s="8">
        <v>0</v>
      </c>
      <c r="S4243" s="7">
        <v>45953</v>
      </c>
      <c r="U4243" s="8">
        <v>0</v>
      </c>
      <c r="V4243" s="7">
        <v>45964</v>
      </c>
      <c r="X4243" s="8">
        <v>0</v>
      </c>
      <c r="Z4243" s="8">
        <v>0</v>
      </c>
      <c r="AA4243" s="7">
        <v>45974</v>
      </c>
      <c r="AC4243" s="8">
        <v>0</v>
      </c>
      <c r="AE4243" s="7">
        <v>46001</v>
      </c>
      <c r="AF4243" s="8">
        <v>0</v>
      </c>
      <c r="AH4243" s="7">
        <v>46001</v>
      </c>
      <c r="AI4243" s="7">
        <v>45996</v>
      </c>
      <c r="AN4243" s="8">
        <v>0</v>
      </c>
      <c r="AO4243" s="8">
        <v>48</v>
      </c>
    </row>
    <row r="4244" spans="1:41" x14ac:dyDescent="0.25">
      <c r="A4244" s="6" t="str">
        <f t="shared" si="1095"/>
        <v>525-2025000520</v>
      </c>
      <c r="B4244" s="6" t="str">
        <f t="shared" si="1094"/>
        <v>Lasa Int</v>
      </c>
      <c r="C4244" s="7">
        <v>45950</v>
      </c>
      <c r="D4244" s="7">
        <v>46065</v>
      </c>
      <c r="E4244" s="8">
        <v>7</v>
      </c>
      <c r="F4244" s="6" t="str">
        <f t="shared" si="1096"/>
        <v>PURE R</v>
      </c>
      <c r="G4244" s="6" t="str">
        <f>"R010000635000000"</f>
        <v>R010000635000000</v>
      </c>
      <c r="H4244" s="6" t="str">
        <f>"Alexis Cotoral Pure"</f>
        <v>Alexis Cotoral Pure</v>
      </c>
      <c r="I4244" s="6" t="str">
        <f t="shared" si="1097"/>
        <v>1670</v>
      </c>
      <c r="J4244" s="6" t="str">
        <f t="shared" si="1098"/>
        <v>BEGE 1670</v>
      </c>
      <c r="K4244" s="6" t="str">
        <f>"5010"</f>
        <v>5010</v>
      </c>
      <c r="L4244" s="6" t="str">
        <f t="shared" si="1099"/>
        <v>Roupões Adulto</v>
      </c>
      <c r="M4244" s="6" t="str">
        <f>"XXL"</f>
        <v>XXL</v>
      </c>
      <c r="N4244" s="6" t="str">
        <f>"5602972896664"</f>
        <v>5602972896664</v>
      </c>
      <c r="O4244" s="8">
        <v>12</v>
      </c>
      <c r="P4244" s="7">
        <v>45950</v>
      </c>
      <c r="R4244" s="8">
        <v>0</v>
      </c>
      <c r="S4244" s="7">
        <v>45953</v>
      </c>
      <c r="U4244" s="8">
        <v>0</v>
      </c>
      <c r="V4244" s="7">
        <v>45964</v>
      </c>
      <c r="X4244" s="8">
        <v>0</v>
      </c>
      <c r="Z4244" s="8">
        <v>0</v>
      </c>
      <c r="AA4244" s="7">
        <v>45974</v>
      </c>
      <c r="AC4244" s="8">
        <v>0</v>
      </c>
      <c r="AE4244" s="7">
        <v>46001</v>
      </c>
      <c r="AF4244" s="8">
        <v>0</v>
      </c>
      <c r="AH4244" s="7">
        <v>46001</v>
      </c>
      <c r="AI4244" s="7">
        <v>45996</v>
      </c>
      <c r="AN4244" s="8">
        <v>0</v>
      </c>
      <c r="AO4244" s="8">
        <v>12</v>
      </c>
    </row>
    <row r="4245" spans="1:41" x14ac:dyDescent="0.25">
      <c r="A4245" s="6" t="str">
        <f t="shared" si="1095"/>
        <v>525-2025000520</v>
      </c>
      <c r="B4245" s="6" t="str">
        <f t="shared" si="1094"/>
        <v>Lasa Int</v>
      </c>
      <c r="C4245" s="7">
        <v>45950</v>
      </c>
      <c r="D4245" s="7">
        <v>46065</v>
      </c>
      <c r="E4245" s="8">
        <v>8</v>
      </c>
      <c r="F4245" s="6" t="str">
        <f t="shared" si="1096"/>
        <v>PURE R</v>
      </c>
      <c r="G4245" s="6" t="str">
        <f>"R120203038500000"</f>
        <v>R120203038500000</v>
      </c>
      <c r="H4245" s="6" t="str">
        <f>"R 2030 - Ketten PURE"</f>
        <v>R 2030 - Ketten PURE</v>
      </c>
      <c r="I4245" s="6" t="str">
        <f t="shared" si="1097"/>
        <v>1670</v>
      </c>
      <c r="J4245" s="6" t="str">
        <f t="shared" si="1098"/>
        <v>BEGE 1670</v>
      </c>
      <c r="K4245" s="6" t="str">
        <f>"5004"</f>
        <v>5004</v>
      </c>
      <c r="L4245" s="6" t="str">
        <f t="shared" si="1099"/>
        <v>Roupões Adulto</v>
      </c>
      <c r="M4245" s="6" t="str">
        <f>"M"</f>
        <v>M</v>
      </c>
      <c r="N4245" s="6" t="str">
        <f>"5605247600546"</f>
        <v>5605247600546</v>
      </c>
      <c r="O4245" s="8">
        <v>24</v>
      </c>
      <c r="P4245" s="7">
        <v>45950</v>
      </c>
      <c r="R4245" s="8">
        <v>0</v>
      </c>
      <c r="S4245" s="7">
        <v>45953</v>
      </c>
      <c r="U4245" s="8">
        <v>0</v>
      </c>
      <c r="V4245" s="7">
        <v>45964</v>
      </c>
      <c r="X4245" s="8">
        <v>0</v>
      </c>
      <c r="Z4245" s="8">
        <v>0</v>
      </c>
      <c r="AA4245" s="7">
        <v>45974</v>
      </c>
      <c r="AC4245" s="8">
        <v>0</v>
      </c>
      <c r="AE4245" s="7">
        <v>46001</v>
      </c>
      <c r="AF4245" s="8">
        <v>0</v>
      </c>
      <c r="AH4245" s="7">
        <v>46001</v>
      </c>
      <c r="AI4245" s="7">
        <v>45996</v>
      </c>
      <c r="AN4245" s="8">
        <v>0</v>
      </c>
      <c r="AO4245" s="8">
        <v>24</v>
      </c>
    </row>
    <row r="4246" spans="1:41" x14ac:dyDescent="0.25">
      <c r="A4246" s="6" t="str">
        <f t="shared" si="1095"/>
        <v>525-2025000520</v>
      </c>
      <c r="B4246" s="6" t="str">
        <f t="shared" si="1094"/>
        <v>Lasa Int</v>
      </c>
      <c r="C4246" s="7">
        <v>45950</v>
      </c>
      <c r="D4246" s="7">
        <v>46065</v>
      </c>
      <c r="E4246" s="8">
        <v>9</v>
      </c>
      <c r="F4246" s="6" t="str">
        <f t="shared" si="1096"/>
        <v>PURE R</v>
      </c>
      <c r="G4246" s="6" t="str">
        <f>"R120203038500000"</f>
        <v>R120203038500000</v>
      </c>
      <c r="H4246" s="6" t="str">
        <f>"R 2030 - Ketten PURE"</f>
        <v>R 2030 - Ketten PURE</v>
      </c>
      <c r="I4246" s="6" t="str">
        <f t="shared" si="1097"/>
        <v>1670</v>
      </c>
      <c r="J4246" s="6" t="str">
        <f t="shared" si="1098"/>
        <v>BEGE 1670</v>
      </c>
      <c r="K4246" s="6" t="str">
        <f>"5006"</f>
        <v>5006</v>
      </c>
      <c r="L4246" s="6" t="str">
        <f t="shared" si="1099"/>
        <v>Roupões Adulto</v>
      </c>
      <c r="M4246" s="6" t="str">
        <f>"L"</f>
        <v>L</v>
      </c>
      <c r="N4246" s="6" t="str">
        <f>"5605247600553"</f>
        <v>5605247600553</v>
      </c>
      <c r="O4246" s="8">
        <v>24</v>
      </c>
      <c r="P4246" s="7">
        <v>45950</v>
      </c>
      <c r="R4246" s="8">
        <v>0</v>
      </c>
      <c r="S4246" s="7">
        <v>45953</v>
      </c>
      <c r="U4246" s="8">
        <v>0</v>
      </c>
      <c r="V4246" s="7">
        <v>45964</v>
      </c>
      <c r="X4246" s="8">
        <v>0</v>
      </c>
      <c r="Z4246" s="8">
        <v>0</v>
      </c>
      <c r="AA4246" s="7">
        <v>45974</v>
      </c>
      <c r="AC4246" s="8">
        <v>0</v>
      </c>
      <c r="AE4246" s="7">
        <v>46001</v>
      </c>
      <c r="AF4246" s="8">
        <v>0</v>
      </c>
      <c r="AH4246" s="7">
        <v>46001</v>
      </c>
      <c r="AI4246" s="7">
        <v>45996</v>
      </c>
      <c r="AN4246" s="8">
        <v>0</v>
      </c>
      <c r="AO4246" s="8">
        <v>24</v>
      </c>
    </row>
    <row r="4247" spans="1:41" x14ac:dyDescent="0.25">
      <c r="A4247" s="6" t="str">
        <f t="shared" si="1095"/>
        <v>525-2025000520</v>
      </c>
      <c r="B4247" s="6" t="str">
        <f t="shared" si="1094"/>
        <v>Lasa Int</v>
      </c>
      <c r="C4247" s="7">
        <v>45950</v>
      </c>
      <c r="D4247" s="7">
        <v>46065</v>
      </c>
      <c r="E4247" s="8">
        <v>10</v>
      </c>
      <c r="F4247" s="6" t="str">
        <f t="shared" si="1096"/>
        <v>PURE R</v>
      </c>
      <c r="G4247" s="6" t="str">
        <f>"R120203038500000"</f>
        <v>R120203038500000</v>
      </c>
      <c r="H4247" s="6" t="str">
        <f>"R 2030 - Ketten PURE"</f>
        <v>R 2030 - Ketten PURE</v>
      </c>
      <c r="I4247" s="6" t="str">
        <f t="shared" si="1097"/>
        <v>1670</v>
      </c>
      <c r="J4247" s="6" t="str">
        <f t="shared" si="1098"/>
        <v>BEGE 1670</v>
      </c>
      <c r="K4247" s="6" t="str">
        <f>"5008"</f>
        <v>5008</v>
      </c>
      <c r="L4247" s="6" t="str">
        <f t="shared" si="1099"/>
        <v>Roupões Adulto</v>
      </c>
      <c r="M4247" s="6" t="str">
        <f>"XL"</f>
        <v>XL</v>
      </c>
      <c r="N4247" s="6" t="str">
        <f>"5605247600560"</f>
        <v>5605247600560</v>
      </c>
      <c r="O4247" s="8">
        <v>12</v>
      </c>
      <c r="P4247" s="7">
        <v>45950</v>
      </c>
      <c r="R4247" s="8">
        <v>0</v>
      </c>
      <c r="S4247" s="7">
        <v>45953</v>
      </c>
      <c r="U4247" s="8">
        <v>0</v>
      </c>
      <c r="V4247" s="7">
        <v>45964</v>
      </c>
      <c r="X4247" s="8">
        <v>0</v>
      </c>
      <c r="Z4247" s="8">
        <v>0</v>
      </c>
      <c r="AA4247" s="7">
        <v>45974</v>
      </c>
      <c r="AC4247" s="8">
        <v>0</v>
      </c>
      <c r="AE4247" s="7">
        <v>46001</v>
      </c>
      <c r="AF4247" s="8">
        <v>0</v>
      </c>
      <c r="AH4247" s="7">
        <v>46001</v>
      </c>
      <c r="AI4247" s="7">
        <v>45996</v>
      </c>
      <c r="AN4247" s="8">
        <v>0</v>
      </c>
      <c r="AO4247" s="8">
        <v>12</v>
      </c>
    </row>
    <row r="4248" spans="1:41" x14ac:dyDescent="0.25">
      <c r="A4248" s="6" t="str">
        <f t="shared" ref="A4248:A4292" si="1100">"525-2025000521"</f>
        <v>525-2025000521</v>
      </c>
      <c r="B4248" s="6" t="str">
        <f t="shared" si="1094"/>
        <v>Lasa Int</v>
      </c>
      <c r="C4248" s="7">
        <v>45951</v>
      </c>
      <c r="D4248" s="7">
        <v>46053</v>
      </c>
      <c r="E4248" s="8">
        <v>1</v>
      </c>
      <c r="F4248" s="6" t="str">
        <f t="shared" ref="F4248:F4292" si="1101">"Pure Squares"</f>
        <v>Pure Squares</v>
      </c>
      <c r="G4248" s="6" t="str">
        <f t="shared" ref="G4248:G4274" si="1102">"F100021455012620"</f>
        <v>F100021455012620</v>
      </c>
      <c r="H4248" s="6" t="str">
        <f t="shared" ref="H4248:H4274" si="1103">"FA 214 / 2620 (b) -"</f>
        <v>FA 214 / 2620 (b) -</v>
      </c>
      <c r="I4248" s="6" t="str">
        <f>"1"</f>
        <v>1</v>
      </c>
      <c r="J4248" s="6" t="str">
        <f>"BRANCO"</f>
        <v>BRANCO</v>
      </c>
      <c r="K4248" s="6" t="str">
        <f>"2020"</f>
        <v>2020</v>
      </c>
      <c r="L4248" s="6" t="str">
        <f>"Lençóis"</f>
        <v>Lençóis</v>
      </c>
      <c r="M4248" s="6" t="str">
        <f>"100x150"</f>
        <v>100x150</v>
      </c>
      <c r="N4248" s="6" t="str">
        <f>"5602972754247"</f>
        <v>5602972754247</v>
      </c>
      <c r="O4248" s="8">
        <v>4</v>
      </c>
      <c r="P4248" s="7">
        <v>45951</v>
      </c>
      <c r="R4248" s="8">
        <v>0</v>
      </c>
      <c r="U4248" s="8">
        <v>0</v>
      </c>
      <c r="X4248" s="8">
        <v>0</v>
      </c>
      <c r="Z4248" s="8">
        <v>0</v>
      </c>
      <c r="AC4248" s="8">
        <v>12</v>
      </c>
      <c r="AE4248" s="7">
        <v>45958</v>
      </c>
      <c r="AF4248" s="8">
        <v>12</v>
      </c>
      <c r="AH4248" s="7">
        <v>46053</v>
      </c>
      <c r="AN4248" s="8">
        <v>12</v>
      </c>
      <c r="AO4248" s="8">
        <v>-8</v>
      </c>
    </row>
    <row r="4249" spans="1:41" x14ac:dyDescent="0.25">
      <c r="A4249" s="6" t="str">
        <f t="shared" si="1100"/>
        <v>525-2025000521</v>
      </c>
      <c r="B4249" s="6" t="str">
        <f t="shared" si="1094"/>
        <v>Lasa Int</v>
      </c>
      <c r="C4249" s="7">
        <v>45951</v>
      </c>
      <c r="D4249" s="7">
        <v>46053</v>
      </c>
      <c r="E4249" s="8">
        <v>2</v>
      </c>
      <c r="F4249" s="6" t="str">
        <f t="shared" si="1101"/>
        <v>Pure Squares</v>
      </c>
      <c r="G4249" s="6" t="str">
        <f t="shared" si="1102"/>
        <v>F100021455012620</v>
      </c>
      <c r="H4249" s="6" t="str">
        <f t="shared" si="1103"/>
        <v>FA 214 / 2620 (b) -</v>
      </c>
      <c r="I4249" s="6" t="str">
        <f>"1"</f>
        <v>1</v>
      </c>
      <c r="J4249" s="6" t="str">
        <f>"BRANCO"</f>
        <v>BRANCO</v>
      </c>
      <c r="K4249" s="6" t="str">
        <f>"1535"</f>
        <v>1535</v>
      </c>
      <c r="L4249" s="6" t="str">
        <f>"Toalhões"</f>
        <v>Toalhões</v>
      </c>
      <c r="M4249" s="6" t="str">
        <f>"70x140"</f>
        <v>70x140</v>
      </c>
      <c r="N4249" s="6" t="str">
        <f>"5602972754230"</f>
        <v>5602972754230</v>
      </c>
      <c r="O4249" s="8">
        <v>4</v>
      </c>
      <c r="P4249" s="7">
        <v>45951</v>
      </c>
      <c r="R4249" s="8">
        <v>0</v>
      </c>
      <c r="U4249" s="8">
        <v>0</v>
      </c>
      <c r="X4249" s="8">
        <v>0</v>
      </c>
      <c r="Z4249" s="8">
        <v>0</v>
      </c>
      <c r="AC4249" s="8">
        <v>17</v>
      </c>
      <c r="AE4249" s="7">
        <v>45958</v>
      </c>
      <c r="AF4249" s="8">
        <v>17</v>
      </c>
      <c r="AH4249" s="7">
        <v>46053</v>
      </c>
      <c r="AN4249" s="8">
        <v>17</v>
      </c>
      <c r="AO4249" s="8">
        <v>-13</v>
      </c>
    </row>
    <row r="4250" spans="1:41" x14ac:dyDescent="0.25">
      <c r="A4250" s="6" t="str">
        <f t="shared" si="1100"/>
        <v>525-2025000521</v>
      </c>
      <c r="B4250" s="6" t="str">
        <f t="shared" si="1094"/>
        <v>Lasa Int</v>
      </c>
      <c r="C4250" s="7">
        <v>45951</v>
      </c>
      <c r="D4250" s="7">
        <v>46053</v>
      </c>
      <c r="E4250" s="8">
        <v>3</v>
      </c>
      <c r="F4250" s="6" t="str">
        <f t="shared" si="1101"/>
        <v>Pure Squares</v>
      </c>
      <c r="G4250" s="6" t="str">
        <f t="shared" si="1102"/>
        <v>F100021455012620</v>
      </c>
      <c r="H4250" s="6" t="str">
        <f t="shared" si="1103"/>
        <v>FA 214 / 2620 (b) -</v>
      </c>
      <c r="I4250" s="6" t="str">
        <f>"1"</f>
        <v>1</v>
      </c>
      <c r="J4250" s="6" t="str">
        <f>"BRANCO"</f>
        <v>BRANCO</v>
      </c>
      <c r="K4250" s="6" t="str">
        <f>"1024"</f>
        <v>1024</v>
      </c>
      <c r="L4250" s="6" t="str">
        <f>"Toalhas"</f>
        <v>Toalhas</v>
      </c>
      <c r="M4250" s="6" t="str">
        <f>"50x100"</f>
        <v>50x100</v>
      </c>
      <c r="N4250" s="6" t="str">
        <f>"5602972754223"</f>
        <v>5602972754223</v>
      </c>
      <c r="O4250" s="8">
        <v>12</v>
      </c>
      <c r="P4250" s="7">
        <v>45951</v>
      </c>
      <c r="R4250" s="8">
        <v>0</v>
      </c>
      <c r="U4250" s="8">
        <v>0</v>
      </c>
      <c r="X4250" s="8">
        <v>0</v>
      </c>
      <c r="Z4250" s="8">
        <v>0</v>
      </c>
      <c r="AC4250" s="8">
        <v>18</v>
      </c>
      <c r="AE4250" s="7">
        <v>45958</v>
      </c>
      <c r="AF4250" s="8">
        <v>18</v>
      </c>
      <c r="AH4250" s="7">
        <v>46053</v>
      </c>
      <c r="AN4250" s="8">
        <v>18</v>
      </c>
      <c r="AO4250" s="8">
        <v>-6</v>
      </c>
    </row>
    <row r="4251" spans="1:41" x14ac:dyDescent="0.25">
      <c r="A4251" s="6" t="str">
        <f t="shared" si="1100"/>
        <v>525-2025000521</v>
      </c>
      <c r="B4251" s="6" t="str">
        <f t="shared" si="1094"/>
        <v>Lasa Int</v>
      </c>
      <c r="C4251" s="7">
        <v>45951</v>
      </c>
      <c r="D4251" s="7">
        <v>46053</v>
      </c>
      <c r="E4251" s="8">
        <v>4</v>
      </c>
      <c r="F4251" s="6" t="str">
        <f t="shared" si="1101"/>
        <v>Pure Squares</v>
      </c>
      <c r="G4251" s="6" t="str">
        <f t="shared" si="1102"/>
        <v>F100021455012620</v>
      </c>
      <c r="H4251" s="6" t="str">
        <f t="shared" si="1103"/>
        <v>FA 214 / 2620 (b) -</v>
      </c>
      <c r="I4251" s="6" t="str">
        <f>"1670"</f>
        <v>1670</v>
      </c>
      <c r="J4251" s="6" t="str">
        <f>"BEGE 1670"</f>
        <v>BEGE 1670</v>
      </c>
      <c r="K4251" s="6" t="str">
        <f>"1024"</f>
        <v>1024</v>
      </c>
      <c r="L4251" s="6" t="str">
        <f>"Toalhas"</f>
        <v>Toalhas</v>
      </c>
      <c r="M4251" s="6" t="str">
        <f>"50x100"</f>
        <v>50x100</v>
      </c>
      <c r="N4251" s="6" t="str">
        <f>"5602972754308"</f>
        <v>5602972754308</v>
      </c>
      <c r="O4251" s="8">
        <v>12</v>
      </c>
      <c r="P4251" s="7">
        <v>45951</v>
      </c>
      <c r="R4251" s="8">
        <v>0</v>
      </c>
      <c r="U4251" s="8">
        <v>0</v>
      </c>
      <c r="X4251" s="8">
        <v>0</v>
      </c>
      <c r="Z4251" s="8">
        <v>0</v>
      </c>
      <c r="AC4251" s="8">
        <v>8</v>
      </c>
      <c r="AE4251" s="7">
        <v>45958</v>
      </c>
      <c r="AF4251" s="8">
        <v>8</v>
      </c>
      <c r="AH4251" s="7">
        <v>46053</v>
      </c>
      <c r="AN4251" s="8">
        <v>8</v>
      </c>
      <c r="AO4251" s="8">
        <v>4</v>
      </c>
    </row>
    <row r="4252" spans="1:41" x14ac:dyDescent="0.25">
      <c r="A4252" s="6" t="str">
        <f t="shared" si="1100"/>
        <v>525-2025000521</v>
      </c>
      <c r="B4252" s="6" t="str">
        <f t="shared" si="1094"/>
        <v>Lasa Int</v>
      </c>
      <c r="C4252" s="7">
        <v>45951</v>
      </c>
      <c r="D4252" s="7">
        <v>46053</v>
      </c>
      <c r="E4252" s="8">
        <v>5</v>
      </c>
      <c r="F4252" s="6" t="str">
        <f t="shared" si="1101"/>
        <v>Pure Squares</v>
      </c>
      <c r="G4252" s="6" t="str">
        <f t="shared" si="1102"/>
        <v>F100021455012620</v>
      </c>
      <c r="H4252" s="6" t="str">
        <f t="shared" si="1103"/>
        <v>FA 214 / 2620 (b) -</v>
      </c>
      <c r="I4252" s="6" t="str">
        <f>"1670"</f>
        <v>1670</v>
      </c>
      <c r="J4252" s="6" t="str">
        <f>"BEGE 1670"</f>
        <v>BEGE 1670</v>
      </c>
      <c r="K4252" s="6" t="str">
        <f>"1535"</f>
        <v>1535</v>
      </c>
      <c r="L4252" s="6" t="str">
        <f>"Toalhões"</f>
        <v>Toalhões</v>
      </c>
      <c r="M4252" s="6" t="str">
        <f>"70x140"</f>
        <v>70x140</v>
      </c>
      <c r="N4252" s="6" t="str">
        <f>"5602972754315"</f>
        <v>5602972754315</v>
      </c>
      <c r="O4252" s="8">
        <v>11</v>
      </c>
      <c r="P4252" s="7">
        <v>45951</v>
      </c>
      <c r="R4252" s="8">
        <v>0</v>
      </c>
      <c r="U4252" s="8">
        <v>0</v>
      </c>
      <c r="X4252" s="8">
        <v>0</v>
      </c>
      <c r="Z4252" s="8">
        <v>0</v>
      </c>
      <c r="AC4252" s="8">
        <v>24</v>
      </c>
      <c r="AE4252" s="7">
        <v>45958</v>
      </c>
      <c r="AF4252" s="8">
        <v>24</v>
      </c>
      <c r="AH4252" s="7">
        <v>46053</v>
      </c>
      <c r="AN4252" s="8">
        <v>24</v>
      </c>
      <c r="AO4252" s="8">
        <v>-13</v>
      </c>
    </row>
    <row r="4253" spans="1:41" x14ac:dyDescent="0.25">
      <c r="A4253" s="6" t="str">
        <f t="shared" si="1100"/>
        <v>525-2025000521</v>
      </c>
      <c r="B4253" s="6" t="str">
        <f t="shared" si="1094"/>
        <v>Lasa Int</v>
      </c>
      <c r="C4253" s="7">
        <v>45951</v>
      </c>
      <c r="D4253" s="7">
        <v>46053</v>
      </c>
      <c r="E4253" s="8">
        <v>6</v>
      </c>
      <c r="F4253" s="6" t="str">
        <f t="shared" si="1101"/>
        <v>Pure Squares</v>
      </c>
      <c r="G4253" s="6" t="str">
        <f t="shared" si="1102"/>
        <v>F100021455012620</v>
      </c>
      <c r="H4253" s="6" t="str">
        <f t="shared" si="1103"/>
        <v>FA 214 / 2620 (b) -</v>
      </c>
      <c r="I4253" s="6" t="str">
        <f>"1670"</f>
        <v>1670</v>
      </c>
      <c r="J4253" s="6" t="str">
        <f>"BEGE 1670"</f>
        <v>BEGE 1670</v>
      </c>
      <c r="K4253" s="6" t="str">
        <f>"2020"</f>
        <v>2020</v>
      </c>
      <c r="L4253" s="6" t="str">
        <f>"Lençóis"</f>
        <v>Lençóis</v>
      </c>
      <c r="M4253" s="6" t="str">
        <f>"100x150"</f>
        <v>100x150</v>
      </c>
      <c r="N4253" s="6" t="str">
        <f>"5602972754322"</f>
        <v>5602972754322</v>
      </c>
      <c r="O4253" s="8">
        <v>4</v>
      </c>
      <c r="P4253" s="7">
        <v>45951</v>
      </c>
      <c r="R4253" s="8">
        <v>0</v>
      </c>
      <c r="U4253" s="8">
        <v>0</v>
      </c>
      <c r="X4253" s="8">
        <v>0</v>
      </c>
      <c r="Z4253" s="8">
        <v>0</v>
      </c>
      <c r="AC4253" s="8">
        <v>13</v>
      </c>
      <c r="AE4253" s="7">
        <v>45958</v>
      </c>
      <c r="AF4253" s="8">
        <v>13</v>
      </c>
      <c r="AH4253" s="7">
        <v>46053</v>
      </c>
      <c r="AN4253" s="8">
        <v>13</v>
      </c>
      <c r="AO4253" s="8">
        <v>-9</v>
      </c>
    </row>
    <row r="4254" spans="1:41" x14ac:dyDescent="0.25">
      <c r="A4254" s="6" t="str">
        <f t="shared" si="1100"/>
        <v>525-2025000521</v>
      </c>
      <c r="B4254" s="6" t="str">
        <f t="shared" si="1094"/>
        <v>Lasa Int</v>
      </c>
      <c r="C4254" s="7">
        <v>45951</v>
      </c>
      <c r="D4254" s="7">
        <v>46053</v>
      </c>
      <c r="E4254" s="8">
        <v>7</v>
      </c>
      <c r="F4254" s="6" t="str">
        <f t="shared" si="1101"/>
        <v>Pure Squares</v>
      </c>
      <c r="G4254" s="6" t="str">
        <f t="shared" si="1102"/>
        <v>F100021455012620</v>
      </c>
      <c r="H4254" s="6" t="str">
        <f t="shared" si="1103"/>
        <v>FA 214 / 2620 (b) -</v>
      </c>
      <c r="I4254" s="6" t="str">
        <f>"3234"</f>
        <v>3234</v>
      </c>
      <c r="J4254" s="6" t="str">
        <f>"CASTANHO 3234"</f>
        <v>CASTANHO 3234</v>
      </c>
      <c r="K4254" s="6" t="str">
        <f>"2020"</f>
        <v>2020</v>
      </c>
      <c r="L4254" s="6" t="str">
        <f>"Lençóis"</f>
        <v>Lençóis</v>
      </c>
      <c r="M4254" s="6" t="str">
        <f>"100x150"</f>
        <v>100x150</v>
      </c>
      <c r="N4254" s="6" t="str">
        <f>"5602972754285"</f>
        <v>5602972754285</v>
      </c>
      <c r="O4254" s="8">
        <v>4</v>
      </c>
      <c r="P4254" s="7">
        <v>45951</v>
      </c>
      <c r="R4254" s="8">
        <v>0</v>
      </c>
      <c r="U4254" s="8">
        <v>0</v>
      </c>
      <c r="X4254" s="8">
        <v>0</v>
      </c>
      <c r="Z4254" s="8">
        <v>0</v>
      </c>
      <c r="AC4254" s="8">
        <v>0</v>
      </c>
      <c r="AE4254" s="7">
        <v>45958</v>
      </c>
      <c r="AF4254" s="8">
        <v>0</v>
      </c>
      <c r="AH4254" s="7">
        <v>46053</v>
      </c>
      <c r="AN4254" s="8">
        <v>0</v>
      </c>
      <c r="AO4254" s="8">
        <v>4</v>
      </c>
    </row>
    <row r="4255" spans="1:41" x14ac:dyDescent="0.25">
      <c r="A4255" s="6" t="str">
        <f t="shared" si="1100"/>
        <v>525-2025000521</v>
      </c>
      <c r="B4255" s="6" t="str">
        <f t="shared" si="1094"/>
        <v>Lasa Int</v>
      </c>
      <c r="C4255" s="7">
        <v>45951</v>
      </c>
      <c r="D4255" s="7">
        <v>46053</v>
      </c>
      <c r="E4255" s="8">
        <v>8</v>
      </c>
      <c r="F4255" s="6" t="str">
        <f t="shared" si="1101"/>
        <v>Pure Squares</v>
      </c>
      <c r="G4255" s="6" t="str">
        <f t="shared" si="1102"/>
        <v>F100021455012620</v>
      </c>
      <c r="H4255" s="6" t="str">
        <f t="shared" si="1103"/>
        <v>FA 214 / 2620 (b) -</v>
      </c>
      <c r="I4255" s="6" t="str">
        <f>"3234"</f>
        <v>3234</v>
      </c>
      <c r="J4255" s="6" t="str">
        <f>"CASTANHO 3234"</f>
        <v>CASTANHO 3234</v>
      </c>
      <c r="K4255" s="6" t="str">
        <f>"1535"</f>
        <v>1535</v>
      </c>
      <c r="L4255" s="6" t="str">
        <f>"Toalhões"</f>
        <v>Toalhões</v>
      </c>
      <c r="M4255" s="6" t="str">
        <f>"70x140"</f>
        <v>70x140</v>
      </c>
      <c r="N4255" s="6" t="str">
        <f>"5602972754278"</f>
        <v>5602972754278</v>
      </c>
      <c r="O4255" s="8">
        <v>4</v>
      </c>
      <c r="P4255" s="7">
        <v>45951</v>
      </c>
      <c r="R4255" s="8">
        <v>0</v>
      </c>
      <c r="U4255" s="8">
        <v>0</v>
      </c>
      <c r="X4255" s="8">
        <v>0</v>
      </c>
      <c r="Z4255" s="8">
        <v>0</v>
      </c>
      <c r="AC4255" s="8">
        <v>14</v>
      </c>
      <c r="AE4255" s="7">
        <v>45958</v>
      </c>
      <c r="AF4255" s="8">
        <v>14</v>
      </c>
      <c r="AH4255" s="7">
        <v>46053</v>
      </c>
      <c r="AN4255" s="8">
        <v>14</v>
      </c>
      <c r="AO4255" s="8">
        <v>-10</v>
      </c>
    </row>
    <row r="4256" spans="1:41" x14ac:dyDescent="0.25">
      <c r="A4256" s="6" t="str">
        <f t="shared" si="1100"/>
        <v>525-2025000521</v>
      </c>
      <c r="B4256" s="6" t="str">
        <f t="shared" si="1094"/>
        <v>Lasa Int</v>
      </c>
      <c r="C4256" s="7">
        <v>45951</v>
      </c>
      <c r="D4256" s="7">
        <v>46053</v>
      </c>
      <c r="E4256" s="8">
        <v>9</v>
      </c>
      <c r="F4256" s="6" t="str">
        <f t="shared" si="1101"/>
        <v>Pure Squares</v>
      </c>
      <c r="G4256" s="6" t="str">
        <f t="shared" si="1102"/>
        <v>F100021455012620</v>
      </c>
      <c r="H4256" s="6" t="str">
        <f t="shared" si="1103"/>
        <v>FA 214 / 2620 (b) -</v>
      </c>
      <c r="I4256" s="6" t="str">
        <f>"3235"</f>
        <v>3235</v>
      </c>
      <c r="J4256" s="6" t="str">
        <f>"CINZA 3235"</f>
        <v>CINZA 3235</v>
      </c>
      <c r="K4256" s="6" t="str">
        <f>"2020"</f>
        <v>2020</v>
      </c>
      <c r="L4256" s="6" t="str">
        <f>"Lençóis"</f>
        <v>Lençóis</v>
      </c>
      <c r="M4256" s="6" t="str">
        <f>"100x150"</f>
        <v>100x150</v>
      </c>
      <c r="N4256" s="6" t="str">
        <f>"5602972603538"</f>
        <v>5602972603538</v>
      </c>
      <c r="O4256" s="8">
        <v>12</v>
      </c>
      <c r="P4256" s="7">
        <v>45951</v>
      </c>
      <c r="R4256" s="8">
        <v>0</v>
      </c>
      <c r="U4256" s="8">
        <v>0</v>
      </c>
      <c r="X4256" s="8">
        <v>0</v>
      </c>
      <c r="Z4256" s="8">
        <v>0</v>
      </c>
      <c r="AC4256" s="8">
        <v>16</v>
      </c>
      <c r="AE4256" s="7">
        <v>45958</v>
      </c>
      <c r="AF4256" s="8">
        <v>16</v>
      </c>
      <c r="AH4256" s="7">
        <v>46053</v>
      </c>
      <c r="AN4256" s="8">
        <v>16</v>
      </c>
      <c r="AO4256" s="8">
        <v>-4</v>
      </c>
    </row>
    <row r="4257" spans="1:41" x14ac:dyDescent="0.25">
      <c r="A4257" s="6" t="str">
        <f t="shared" si="1100"/>
        <v>525-2025000521</v>
      </c>
      <c r="B4257" s="6" t="str">
        <f t="shared" si="1094"/>
        <v>Lasa Int</v>
      </c>
      <c r="C4257" s="7">
        <v>45951</v>
      </c>
      <c r="D4257" s="7">
        <v>46053</v>
      </c>
      <c r="E4257" s="8">
        <v>10</v>
      </c>
      <c r="F4257" s="6" t="str">
        <f t="shared" si="1101"/>
        <v>Pure Squares</v>
      </c>
      <c r="G4257" s="6" t="str">
        <f t="shared" si="1102"/>
        <v>F100021455012620</v>
      </c>
      <c r="H4257" s="6" t="str">
        <f t="shared" si="1103"/>
        <v>FA 214 / 2620 (b) -</v>
      </c>
      <c r="I4257" s="6" t="str">
        <f>"3236"</f>
        <v>3236</v>
      </c>
      <c r="J4257" s="6" t="str">
        <f>"TURQUESA 3236"</f>
        <v>TURQUESA 3236</v>
      </c>
      <c r="K4257" s="6" t="str">
        <f>"2020"</f>
        <v>2020</v>
      </c>
      <c r="L4257" s="6" t="str">
        <f>"Lençóis"</f>
        <v>Lençóis</v>
      </c>
      <c r="M4257" s="6" t="str">
        <f>"100x150"</f>
        <v>100x150</v>
      </c>
      <c r="N4257" s="6" t="str">
        <f>"5602972754445"</f>
        <v>5602972754445</v>
      </c>
      <c r="O4257" s="8">
        <v>4</v>
      </c>
      <c r="P4257" s="7">
        <v>45951</v>
      </c>
      <c r="R4257" s="8">
        <v>0</v>
      </c>
      <c r="U4257" s="8">
        <v>0</v>
      </c>
      <c r="X4257" s="8">
        <v>0</v>
      </c>
      <c r="Z4257" s="8">
        <v>0</v>
      </c>
      <c r="AC4257" s="8">
        <v>0</v>
      </c>
      <c r="AE4257" s="7">
        <v>45958</v>
      </c>
      <c r="AF4257" s="8">
        <v>0</v>
      </c>
      <c r="AH4257" s="7">
        <v>46053</v>
      </c>
      <c r="AN4257" s="8">
        <v>0</v>
      </c>
      <c r="AO4257" s="8">
        <v>4</v>
      </c>
    </row>
    <row r="4258" spans="1:41" x14ac:dyDescent="0.25">
      <c r="A4258" s="6" t="str">
        <f t="shared" si="1100"/>
        <v>525-2025000521</v>
      </c>
      <c r="B4258" s="6" t="str">
        <f t="shared" si="1094"/>
        <v>Lasa Int</v>
      </c>
      <c r="C4258" s="7">
        <v>45951</v>
      </c>
      <c r="D4258" s="7">
        <v>46053</v>
      </c>
      <c r="E4258" s="8">
        <v>11</v>
      </c>
      <c r="F4258" s="6" t="str">
        <f t="shared" si="1101"/>
        <v>Pure Squares</v>
      </c>
      <c r="G4258" s="6" t="str">
        <f t="shared" si="1102"/>
        <v>F100021455012620</v>
      </c>
      <c r="H4258" s="6" t="str">
        <f t="shared" si="1103"/>
        <v>FA 214 / 2620 (b) -</v>
      </c>
      <c r="I4258" s="6" t="str">
        <f>"3236"</f>
        <v>3236</v>
      </c>
      <c r="J4258" s="6" t="str">
        <f>"TURQUESA 3236"</f>
        <v>TURQUESA 3236</v>
      </c>
      <c r="K4258" s="6" t="str">
        <f>"1535"</f>
        <v>1535</v>
      </c>
      <c r="L4258" s="6" t="str">
        <f>"Toalhões"</f>
        <v>Toalhões</v>
      </c>
      <c r="M4258" s="6" t="str">
        <f>"70x140"</f>
        <v>70x140</v>
      </c>
      <c r="N4258" s="6" t="str">
        <f>"5602972754438"</f>
        <v>5602972754438</v>
      </c>
      <c r="O4258" s="8">
        <v>4</v>
      </c>
      <c r="P4258" s="7">
        <v>45951</v>
      </c>
      <c r="R4258" s="8">
        <v>0</v>
      </c>
      <c r="U4258" s="8">
        <v>0</v>
      </c>
      <c r="X4258" s="8">
        <v>0</v>
      </c>
      <c r="Z4258" s="8">
        <v>0</v>
      </c>
      <c r="AC4258" s="8">
        <v>0</v>
      </c>
      <c r="AE4258" s="7">
        <v>45958</v>
      </c>
      <c r="AF4258" s="8">
        <v>0</v>
      </c>
      <c r="AH4258" s="7">
        <v>46053</v>
      </c>
      <c r="AN4258" s="8">
        <v>0</v>
      </c>
      <c r="AO4258" s="8">
        <v>4</v>
      </c>
    </row>
    <row r="4259" spans="1:41" x14ac:dyDescent="0.25">
      <c r="A4259" s="6" t="str">
        <f t="shared" si="1100"/>
        <v>525-2025000521</v>
      </c>
      <c r="B4259" s="6" t="str">
        <f t="shared" si="1094"/>
        <v>Lasa Int</v>
      </c>
      <c r="C4259" s="7">
        <v>45951</v>
      </c>
      <c r="D4259" s="7">
        <v>46053</v>
      </c>
      <c r="E4259" s="8">
        <v>12</v>
      </c>
      <c r="F4259" s="6" t="str">
        <f t="shared" si="1101"/>
        <v>Pure Squares</v>
      </c>
      <c r="G4259" s="6" t="str">
        <f t="shared" si="1102"/>
        <v>F100021455012620</v>
      </c>
      <c r="H4259" s="6" t="str">
        <f t="shared" si="1103"/>
        <v>FA 214 / 2620 (b) -</v>
      </c>
      <c r="I4259" s="6" t="str">
        <f>"2094"</f>
        <v>2094</v>
      </c>
      <c r="J4259" s="6" t="str">
        <f>"AZUL 2094"</f>
        <v>AZUL 2094</v>
      </c>
      <c r="K4259" s="6" t="str">
        <f>"1535"</f>
        <v>1535</v>
      </c>
      <c r="L4259" s="6" t="str">
        <f>"Toalhões"</f>
        <v>Toalhões</v>
      </c>
      <c r="M4259" s="6" t="str">
        <f>"70x140"</f>
        <v>70x140</v>
      </c>
      <c r="N4259" s="6" t="str">
        <f>"5602972603408"</f>
        <v>5602972603408</v>
      </c>
      <c r="O4259" s="8">
        <v>4</v>
      </c>
      <c r="P4259" s="7">
        <v>45951</v>
      </c>
      <c r="R4259" s="8">
        <v>0</v>
      </c>
      <c r="U4259" s="8">
        <v>0</v>
      </c>
      <c r="X4259" s="8">
        <v>0</v>
      </c>
      <c r="Z4259" s="8">
        <v>0</v>
      </c>
      <c r="AC4259" s="8">
        <v>0</v>
      </c>
      <c r="AE4259" s="7">
        <v>45958</v>
      </c>
      <c r="AF4259" s="8">
        <v>0</v>
      </c>
      <c r="AH4259" s="7">
        <v>46053</v>
      </c>
      <c r="AN4259" s="8">
        <v>0</v>
      </c>
      <c r="AO4259" s="8">
        <v>4</v>
      </c>
    </row>
    <row r="4260" spans="1:41" x14ac:dyDescent="0.25">
      <c r="A4260" s="6" t="str">
        <f t="shared" si="1100"/>
        <v>525-2025000521</v>
      </c>
      <c r="B4260" s="6" t="str">
        <f t="shared" si="1094"/>
        <v>Lasa Int</v>
      </c>
      <c r="C4260" s="7">
        <v>45951</v>
      </c>
      <c r="D4260" s="7">
        <v>46053</v>
      </c>
      <c r="E4260" s="8">
        <v>13</v>
      </c>
      <c r="F4260" s="6" t="str">
        <f t="shared" si="1101"/>
        <v>Pure Squares</v>
      </c>
      <c r="G4260" s="6" t="str">
        <f t="shared" si="1102"/>
        <v>F100021455012620</v>
      </c>
      <c r="H4260" s="6" t="str">
        <f t="shared" si="1103"/>
        <v>FA 214 / 2620 (b) -</v>
      </c>
      <c r="I4260" s="6" t="str">
        <f>"2094"</f>
        <v>2094</v>
      </c>
      <c r="J4260" s="6" t="str">
        <f>"AZUL 2094"</f>
        <v>AZUL 2094</v>
      </c>
      <c r="K4260" s="6" t="str">
        <f>"2020"</f>
        <v>2020</v>
      </c>
      <c r="L4260" s="6" t="str">
        <f>"Lençóis"</f>
        <v>Lençóis</v>
      </c>
      <c r="M4260" s="6" t="str">
        <f>"100x150"</f>
        <v>100x150</v>
      </c>
      <c r="N4260" s="6" t="str">
        <f>"5602972603415"</f>
        <v>5602972603415</v>
      </c>
      <c r="O4260" s="8">
        <v>4</v>
      </c>
      <c r="P4260" s="7">
        <v>45951</v>
      </c>
      <c r="R4260" s="8">
        <v>0</v>
      </c>
      <c r="U4260" s="8">
        <v>0</v>
      </c>
      <c r="X4260" s="8">
        <v>0</v>
      </c>
      <c r="Z4260" s="8">
        <v>0</v>
      </c>
      <c r="AC4260" s="8">
        <v>0</v>
      </c>
      <c r="AE4260" s="7">
        <v>45958</v>
      </c>
      <c r="AF4260" s="8">
        <v>0</v>
      </c>
      <c r="AH4260" s="7">
        <v>46053</v>
      </c>
      <c r="AN4260" s="8">
        <v>0</v>
      </c>
      <c r="AO4260" s="8">
        <v>4</v>
      </c>
    </row>
    <row r="4261" spans="1:41" x14ac:dyDescent="0.25">
      <c r="A4261" s="6" t="str">
        <f t="shared" si="1100"/>
        <v>525-2025000521</v>
      </c>
      <c r="B4261" s="6" t="str">
        <f t="shared" si="1094"/>
        <v>Lasa Int</v>
      </c>
      <c r="C4261" s="7">
        <v>45951</v>
      </c>
      <c r="D4261" s="7">
        <v>46053</v>
      </c>
      <c r="E4261" s="8">
        <v>14</v>
      </c>
      <c r="F4261" s="6" t="str">
        <f t="shared" si="1101"/>
        <v>Pure Squares</v>
      </c>
      <c r="G4261" s="6" t="str">
        <f t="shared" si="1102"/>
        <v>F100021455012620</v>
      </c>
      <c r="H4261" s="6" t="str">
        <f t="shared" si="1103"/>
        <v>FA 214 / 2620 (b) -</v>
      </c>
      <c r="I4261" s="6" t="str">
        <f>"2094"</f>
        <v>2094</v>
      </c>
      <c r="J4261" s="6" t="str">
        <f>"AZUL 2094"</f>
        <v>AZUL 2094</v>
      </c>
      <c r="K4261" s="6" t="str">
        <f>"0530"</f>
        <v>0530</v>
      </c>
      <c r="L4261" s="6" t="str">
        <f>"Toalhetes"</f>
        <v>Toalhetes</v>
      </c>
      <c r="M4261" s="6" t="str">
        <f>"33x50"</f>
        <v>33x50</v>
      </c>
      <c r="N4261" s="6" t="str">
        <f>"5602972603385"</f>
        <v>5602972603385</v>
      </c>
      <c r="O4261" s="8">
        <v>6</v>
      </c>
      <c r="P4261" s="7">
        <v>45951</v>
      </c>
      <c r="R4261" s="8">
        <v>0</v>
      </c>
      <c r="U4261" s="8">
        <v>0</v>
      </c>
      <c r="X4261" s="8">
        <v>0</v>
      </c>
      <c r="Z4261" s="8">
        <v>0</v>
      </c>
      <c r="AC4261" s="8">
        <v>0</v>
      </c>
      <c r="AE4261" s="7">
        <v>45958</v>
      </c>
      <c r="AF4261" s="8">
        <v>0</v>
      </c>
      <c r="AH4261" s="7">
        <v>46053</v>
      </c>
      <c r="AN4261" s="8">
        <v>0</v>
      </c>
      <c r="AO4261" s="8">
        <v>6</v>
      </c>
    </row>
    <row r="4262" spans="1:41" x14ac:dyDescent="0.25">
      <c r="A4262" s="6" t="str">
        <f t="shared" si="1100"/>
        <v>525-2025000521</v>
      </c>
      <c r="B4262" s="6" t="str">
        <f t="shared" si="1094"/>
        <v>Lasa Int</v>
      </c>
      <c r="C4262" s="7">
        <v>45951</v>
      </c>
      <c r="D4262" s="7">
        <v>46053</v>
      </c>
      <c r="E4262" s="8">
        <v>15</v>
      </c>
      <c r="F4262" s="6" t="str">
        <f t="shared" si="1101"/>
        <v>Pure Squares</v>
      </c>
      <c r="G4262" s="6" t="str">
        <f t="shared" si="1102"/>
        <v>F100021455012620</v>
      </c>
      <c r="H4262" s="6" t="str">
        <f t="shared" si="1103"/>
        <v>FA 214 / 2620 (b) -</v>
      </c>
      <c r="I4262" s="6" t="str">
        <f>"2094"</f>
        <v>2094</v>
      </c>
      <c r="J4262" s="6" t="str">
        <f>"AZUL 2094"</f>
        <v>AZUL 2094</v>
      </c>
      <c r="K4262" s="6" t="str">
        <f>"1024"</f>
        <v>1024</v>
      </c>
      <c r="L4262" s="6" t="str">
        <f>"Toalhas"</f>
        <v>Toalhas</v>
      </c>
      <c r="M4262" s="6" t="str">
        <f>"50x100"</f>
        <v>50x100</v>
      </c>
      <c r="N4262" s="6" t="str">
        <f>"5602972603392"</f>
        <v>5602972603392</v>
      </c>
      <c r="O4262" s="8">
        <v>12</v>
      </c>
      <c r="P4262" s="7">
        <v>45951</v>
      </c>
      <c r="R4262" s="8">
        <v>0</v>
      </c>
      <c r="U4262" s="8">
        <v>0</v>
      </c>
      <c r="X4262" s="8">
        <v>0</v>
      </c>
      <c r="Z4262" s="8">
        <v>0</v>
      </c>
      <c r="AC4262" s="8">
        <v>0</v>
      </c>
      <c r="AE4262" s="7">
        <v>45958</v>
      </c>
      <c r="AF4262" s="8">
        <v>0</v>
      </c>
      <c r="AH4262" s="7">
        <v>46053</v>
      </c>
      <c r="AN4262" s="8">
        <v>0</v>
      </c>
      <c r="AO4262" s="8">
        <v>12</v>
      </c>
    </row>
    <row r="4263" spans="1:41" x14ac:dyDescent="0.25">
      <c r="A4263" s="6" t="str">
        <f t="shared" si="1100"/>
        <v>525-2025000521</v>
      </c>
      <c r="B4263" s="6" t="str">
        <f t="shared" si="1094"/>
        <v>Lasa Int</v>
      </c>
      <c r="C4263" s="7">
        <v>45951</v>
      </c>
      <c r="D4263" s="7">
        <v>46053</v>
      </c>
      <c r="E4263" s="8">
        <v>16</v>
      </c>
      <c r="F4263" s="6" t="str">
        <f t="shared" si="1101"/>
        <v>Pure Squares</v>
      </c>
      <c r="G4263" s="6" t="str">
        <f t="shared" si="1102"/>
        <v>F100021455012620</v>
      </c>
      <c r="H4263" s="6" t="str">
        <f t="shared" si="1103"/>
        <v>FA 214 / 2620 (b) -</v>
      </c>
      <c r="I4263" s="6" t="str">
        <f>"3073"</f>
        <v>3073</v>
      </c>
      <c r="J4263" s="6" t="str">
        <f>"CINZA 3073"</f>
        <v>CINZA 3073</v>
      </c>
      <c r="K4263" s="6" t="str">
        <f>"0530"</f>
        <v>0530</v>
      </c>
      <c r="L4263" s="6" t="str">
        <f>"Toalhetes"</f>
        <v>Toalhetes</v>
      </c>
      <c r="M4263" s="6" t="str">
        <f>"33x50"</f>
        <v>33x50</v>
      </c>
      <c r="N4263" s="6" t="str">
        <f>"5602972603422"</f>
        <v>5602972603422</v>
      </c>
      <c r="O4263" s="8">
        <v>12</v>
      </c>
      <c r="P4263" s="7">
        <v>45951</v>
      </c>
      <c r="R4263" s="8">
        <v>0</v>
      </c>
      <c r="U4263" s="8">
        <v>0</v>
      </c>
      <c r="X4263" s="8">
        <v>0</v>
      </c>
      <c r="Z4263" s="8">
        <v>0</v>
      </c>
      <c r="AC4263" s="8">
        <v>12</v>
      </c>
      <c r="AE4263" s="7">
        <v>45958</v>
      </c>
      <c r="AF4263" s="8">
        <v>12</v>
      </c>
      <c r="AH4263" s="7">
        <v>46053</v>
      </c>
      <c r="AN4263" s="8">
        <v>12</v>
      </c>
      <c r="AO4263" s="8">
        <v>0</v>
      </c>
    </row>
    <row r="4264" spans="1:41" x14ac:dyDescent="0.25">
      <c r="A4264" s="6" t="str">
        <f t="shared" si="1100"/>
        <v>525-2025000521</v>
      </c>
      <c r="B4264" s="6" t="str">
        <f t="shared" si="1094"/>
        <v>Lasa Int</v>
      </c>
      <c r="C4264" s="7">
        <v>45951</v>
      </c>
      <c r="D4264" s="7">
        <v>46053</v>
      </c>
      <c r="E4264" s="8">
        <v>17</v>
      </c>
      <c r="F4264" s="6" t="str">
        <f t="shared" si="1101"/>
        <v>Pure Squares</v>
      </c>
      <c r="G4264" s="6" t="str">
        <f t="shared" si="1102"/>
        <v>F100021455012620</v>
      </c>
      <c r="H4264" s="6" t="str">
        <f t="shared" si="1103"/>
        <v>FA 214 / 2620 (b) -</v>
      </c>
      <c r="I4264" s="6" t="str">
        <f>"3073"</f>
        <v>3073</v>
      </c>
      <c r="J4264" s="6" t="str">
        <f>"CINZA 3073"</f>
        <v>CINZA 3073</v>
      </c>
      <c r="K4264" s="6" t="str">
        <f>"2020"</f>
        <v>2020</v>
      </c>
      <c r="L4264" s="6" t="str">
        <f>"Lençóis"</f>
        <v>Lençóis</v>
      </c>
      <c r="M4264" s="6" t="str">
        <f>"100x150"</f>
        <v>100x150</v>
      </c>
      <c r="N4264" s="6" t="str">
        <f>"5602972603453"</f>
        <v>5602972603453</v>
      </c>
      <c r="O4264" s="8">
        <v>4</v>
      </c>
      <c r="P4264" s="7">
        <v>45951</v>
      </c>
      <c r="R4264" s="8">
        <v>0</v>
      </c>
      <c r="U4264" s="8">
        <v>0</v>
      </c>
      <c r="X4264" s="8">
        <v>0</v>
      </c>
      <c r="Z4264" s="8">
        <v>0</v>
      </c>
      <c r="AC4264" s="8">
        <v>8</v>
      </c>
      <c r="AE4264" s="7">
        <v>45958</v>
      </c>
      <c r="AF4264" s="8">
        <v>8</v>
      </c>
      <c r="AH4264" s="7">
        <v>46053</v>
      </c>
      <c r="AN4264" s="8">
        <v>8</v>
      </c>
      <c r="AO4264" s="8">
        <v>-4</v>
      </c>
    </row>
    <row r="4265" spans="1:41" x14ac:dyDescent="0.25">
      <c r="A4265" s="6" t="str">
        <f t="shared" si="1100"/>
        <v>525-2025000521</v>
      </c>
      <c r="B4265" s="6" t="str">
        <f t="shared" si="1094"/>
        <v>Lasa Int</v>
      </c>
      <c r="C4265" s="7">
        <v>45951</v>
      </c>
      <c r="D4265" s="7">
        <v>46053</v>
      </c>
      <c r="E4265" s="8">
        <v>18</v>
      </c>
      <c r="F4265" s="6" t="str">
        <f t="shared" si="1101"/>
        <v>Pure Squares</v>
      </c>
      <c r="G4265" s="6" t="str">
        <f t="shared" si="1102"/>
        <v>F100021455012620</v>
      </c>
      <c r="H4265" s="6" t="str">
        <f t="shared" si="1103"/>
        <v>FA 214 / 2620 (b) -</v>
      </c>
      <c r="I4265" s="6" t="str">
        <f>"4382"</f>
        <v>4382</v>
      </c>
      <c r="J4265" s="6" t="str">
        <f>"AMARELO 4382"</f>
        <v>AMARELO 4382</v>
      </c>
      <c r="K4265" s="6" t="str">
        <f>"2020"</f>
        <v>2020</v>
      </c>
      <c r="L4265" s="6" t="str">
        <f>"Lençóis"</f>
        <v>Lençóis</v>
      </c>
      <c r="M4265" s="6" t="str">
        <f>"100x150"</f>
        <v>100x150</v>
      </c>
      <c r="N4265" s="6" t="str">
        <f>"5602972643732"</f>
        <v>5602972643732</v>
      </c>
      <c r="O4265" s="8">
        <v>5</v>
      </c>
      <c r="P4265" s="7">
        <v>45951</v>
      </c>
      <c r="R4265" s="8">
        <v>0</v>
      </c>
      <c r="U4265" s="8">
        <v>0</v>
      </c>
      <c r="X4265" s="8">
        <v>0</v>
      </c>
      <c r="Z4265" s="8">
        <v>0</v>
      </c>
      <c r="AC4265" s="8">
        <v>9</v>
      </c>
      <c r="AE4265" s="7">
        <v>45958</v>
      </c>
      <c r="AF4265" s="8">
        <v>9</v>
      </c>
      <c r="AH4265" s="7">
        <v>46053</v>
      </c>
      <c r="AN4265" s="8">
        <v>9</v>
      </c>
      <c r="AO4265" s="8">
        <v>-4</v>
      </c>
    </row>
    <row r="4266" spans="1:41" x14ac:dyDescent="0.25">
      <c r="A4266" s="6" t="str">
        <f t="shared" si="1100"/>
        <v>525-2025000521</v>
      </c>
      <c r="B4266" s="6" t="str">
        <f t="shared" si="1094"/>
        <v>Lasa Int</v>
      </c>
      <c r="C4266" s="7">
        <v>45951</v>
      </c>
      <c r="D4266" s="7">
        <v>46053</v>
      </c>
      <c r="E4266" s="8">
        <v>19</v>
      </c>
      <c r="F4266" s="6" t="str">
        <f t="shared" si="1101"/>
        <v>Pure Squares</v>
      </c>
      <c r="G4266" s="6" t="str">
        <f t="shared" si="1102"/>
        <v>F100021455012620</v>
      </c>
      <c r="H4266" s="6" t="str">
        <f t="shared" si="1103"/>
        <v>FA 214 / 2620 (b) -</v>
      </c>
      <c r="I4266" s="6" t="str">
        <f>"4382"</f>
        <v>4382</v>
      </c>
      <c r="J4266" s="6" t="str">
        <f>"AMARELO 4382"</f>
        <v>AMARELO 4382</v>
      </c>
      <c r="K4266" s="6" t="str">
        <f>"1535"</f>
        <v>1535</v>
      </c>
      <c r="L4266" s="6" t="str">
        <f>"Toalhões"</f>
        <v>Toalhões</v>
      </c>
      <c r="M4266" s="6" t="str">
        <f>"70x140"</f>
        <v>70x140</v>
      </c>
      <c r="N4266" s="6" t="str">
        <f>"5602972643725"</f>
        <v>5602972643725</v>
      </c>
      <c r="O4266" s="8">
        <v>11</v>
      </c>
      <c r="P4266" s="7">
        <v>45951</v>
      </c>
      <c r="R4266" s="8">
        <v>0</v>
      </c>
      <c r="U4266" s="8">
        <v>0</v>
      </c>
      <c r="X4266" s="8">
        <v>0</v>
      </c>
      <c r="Z4266" s="8">
        <v>0</v>
      </c>
      <c r="AC4266" s="8">
        <v>22</v>
      </c>
      <c r="AE4266" s="7">
        <v>45958</v>
      </c>
      <c r="AF4266" s="8">
        <v>22</v>
      </c>
      <c r="AH4266" s="7">
        <v>46053</v>
      </c>
      <c r="AN4266" s="8">
        <v>22</v>
      </c>
      <c r="AO4266" s="8">
        <v>-11</v>
      </c>
    </row>
    <row r="4267" spans="1:41" x14ac:dyDescent="0.25">
      <c r="A4267" s="6" t="str">
        <f t="shared" si="1100"/>
        <v>525-2025000521</v>
      </c>
      <c r="B4267" s="6" t="str">
        <f t="shared" si="1094"/>
        <v>Lasa Int</v>
      </c>
      <c r="C4267" s="7">
        <v>45951</v>
      </c>
      <c r="D4267" s="7">
        <v>46053</v>
      </c>
      <c r="E4267" s="8">
        <v>20</v>
      </c>
      <c r="F4267" s="6" t="str">
        <f t="shared" si="1101"/>
        <v>Pure Squares</v>
      </c>
      <c r="G4267" s="6" t="str">
        <f t="shared" si="1102"/>
        <v>F100021455012620</v>
      </c>
      <c r="H4267" s="6" t="str">
        <f t="shared" si="1103"/>
        <v>FA 214 / 2620 (b) -</v>
      </c>
      <c r="I4267" s="6" t="str">
        <f>"4382"</f>
        <v>4382</v>
      </c>
      <c r="J4267" s="6" t="str">
        <f>"AMARELO 4382"</f>
        <v>AMARELO 4382</v>
      </c>
      <c r="K4267" s="6" t="str">
        <f>"1024"</f>
        <v>1024</v>
      </c>
      <c r="L4267" s="6" t="str">
        <f>"Toalhas"</f>
        <v>Toalhas</v>
      </c>
      <c r="M4267" s="6" t="str">
        <f>"50x100"</f>
        <v>50x100</v>
      </c>
      <c r="N4267" s="6" t="str">
        <f>"5602972643718"</f>
        <v>5602972643718</v>
      </c>
      <c r="O4267" s="8">
        <v>10</v>
      </c>
      <c r="P4267" s="7">
        <v>45951</v>
      </c>
      <c r="R4267" s="8">
        <v>0</v>
      </c>
      <c r="U4267" s="8">
        <v>0</v>
      </c>
      <c r="X4267" s="8">
        <v>0</v>
      </c>
      <c r="Z4267" s="8">
        <v>0</v>
      </c>
      <c r="AC4267" s="8">
        <v>22</v>
      </c>
      <c r="AE4267" s="7">
        <v>45958</v>
      </c>
      <c r="AF4267" s="8">
        <v>22</v>
      </c>
      <c r="AH4267" s="7">
        <v>46053</v>
      </c>
      <c r="AN4267" s="8">
        <v>22</v>
      </c>
      <c r="AO4267" s="8">
        <v>-12</v>
      </c>
    </row>
    <row r="4268" spans="1:41" x14ac:dyDescent="0.25">
      <c r="A4268" s="6" t="str">
        <f t="shared" si="1100"/>
        <v>525-2025000521</v>
      </c>
      <c r="B4268" s="6" t="str">
        <f t="shared" si="1094"/>
        <v>Lasa Int</v>
      </c>
      <c r="C4268" s="7">
        <v>45951</v>
      </c>
      <c r="D4268" s="7">
        <v>46053</v>
      </c>
      <c r="E4268" s="8">
        <v>21</v>
      </c>
      <c r="F4268" s="6" t="str">
        <f t="shared" si="1101"/>
        <v>Pure Squares</v>
      </c>
      <c r="G4268" s="6" t="str">
        <f t="shared" si="1102"/>
        <v>F100021455012620</v>
      </c>
      <c r="H4268" s="6" t="str">
        <f t="shared" si="1103"/>
        <v>FA 214 / 2620 (b) -</v>
      </c>
      <c r="I4268" s="6" t="str">
        <f>"4387"</f>
        <v>4387</v>
      </c>
      <c r="J4268" s="6" t="str">
        <f>"VERDE 4387"</f>
        <v>VERDE 4387</v>
      </c>
      <c r="K4268" s="6" t="str">
        <f>"1535"</f>
        <v>1535</v>
      </c>
      <c r="L4268" s="6" t="str">
        <f>"Toalhões"</f>
        <v>Toalhões</v>
      </c>
      <c r="M4268" s="6" t="str">
        <f>"70x140"</f>
        <v>70x140</v>
      </c>
      <c r="N4268" s="6" t="str">
        <f>"5602972643688"</f>
        <v>5602972643688</v>
      </c>
      <c r="O4268" s="8">
        <v>11</v>
      </c>
      <c r="P4268" s="7">
        <v>45951</v>
      </c>
      <c r="R4268" s="8">
        <v>0</v>
      </c>
      <c r="U4268" s="8">
        <v>0</v>
      </c>
      <c r="X4268" s="8">
        <v>0</v>
      </c>
      <c r="Z4268" s="8">
        <v>0</v>
      </c>
      <c r="AC4268" s="8">
        <v>0</v>
      </c>
      <c r="AE4268" s="7">
        <v>45958</v>
      </c>
      <c r="AF4268" s="8">
        <v>0</v>
      </c>
      <c r="AH4268" s="7">
        <v>46053</v>
      </c>
      <c r="AN4268" s="8">
        <v>0</v>
      </c>
      <c r="AO4268" s="8">
        <v>11</v>
      </c>
    </row>
    <row r="4269" spans="1:41" x14ac:dyDescent="0.25">
      <c r="A4269" s="6" t="str">
        <f t="shared" si="1100"/>
        <v>525-2025000521</v>
      </c>
      <c r="B4269" s="6" t="str">
        <f t="shared" si="1094"/>
        <v>Lasa Int</v>
      </c>
      <c r="C4269" s="7">
        <v>45951</v>
      </c>
      <c r="D4269" s="7">
        <v>46053</v>
      </c>
      <c r="E4269" s="8">
        <v>22</v>
      </c>
      <c r="F4269" s="6" t="str">
        <f t="shared" si="1101"/>
        <v>Pure Squares</v>
      </c>
      <c r="G4269" s="6" t="str">
        <f t="shared" si="1102"/>
        <v>F100021455012620</v>
      </c>
      <c r="H4269" s="6" t="str">
        <f t="shared" si="1103"/>
        <v>FA 214 / 2620 (b) -</v>
      </c>
      <c r="I4269" s="6" t="str">
        <f>"4387"</f>
        <v>4387</v>
      </c>
      <c r="J4269" s="6" t="str">
        <f>"VERDE 4387"</f>
        <v>VERDE 4387</v>
      </c>
      <c r="K4269" s="6" t="str">
        <f>"2020"</f>
        <v>2020</v>
      </c>
      <c r="L4269" s="6" t="str">
        <f>"Lençóis"</f>
        <v>Lençóis</v>
      </c>
      <c r="M4269" s="6" t="str">
        <f>"100x150"</f>
        <v>100x150</v>
      </c>
      <c r="N4269" s="6" t="str">
        <f>"5602972643695"</f>
        <v>5602972643695</v>
      </c>
      <c r="O4269" s="8">
        <v>4</v>
      </c>
      <c r="P4269" s="7">
        <v>45951</v>
      </c>
      <c r="R4269" s="8">
        <v>0</v>
      </c>
      <c r="U4269" s="8">
        <v>0</v>
      </c>
      <c r="X4269" s="8">
        <v>0</v>
      </c>
      <c r="Z4269" s="8">
        <v>0</v>
      </c>
      <c r="AC4269" s="8">
        <v>0</v>
      </c>
      <c r="AE4269" s="7">
        <v>45958</v>
      </c>
      <c r="AF4269" s="8">
        <v>0</v>
      </c>
      <c r="AH4269" s="7">
        <v>46053</v>
      </c>
      <c r="AN4269" s="8">
        <v>0</v>
      </c>
      <c r="AO4269" s="8">
        <v>4</v>
      </c>
    </row>
    <row r="4270" spans="1:41" x14ac:dyDescent="0.25">
      <c r="A4270" s="6" t="str">
        <f t="shared" si="1100"/>
        <v>525-2025000521</v>
      </c>
      <c r="B4270" s="6" t="str">
        <f t="shared" si="1094"/>
        <v>Lasa Int</v>
      </c>
      <c r="C4270" s="7">
        <v>45951</v>
      </c>
      <c r="D4270" s="7">
        <v>46053</v>
      </c>
      <c r="E4270" s="8">
        <v>23</v>
      </c>
      <c r="F4270" s="6" t="str">
        <f t="shared" si="1101"/>
        <v>Pure Squares</v>
      </c>
      <c r="G4270" s="6" t="str">
        <f t="shared" si="1102"/>
        <v>F100021455012620</v>
      </c>
      <c r="H4270" s="6" t="str">
        <f t="shared" si="1103"/>
        <v>FA 214 / 2620 (b) -</v>
      </c>
      <c r="I4270" s="6" t="str">
        <f>"3236"</f>
        <v>3236</v>
      </c>
      <c r="J4270" s="6" t="str">
        <f>"TURQUESA 3236"</f>
        <v>TURQUESA 3236</v>
      </c>
      <c r="K4270" s="6" t="str">
        <f>"1024"</f>
        <v>1024</v>
      </c>
      <c r="L4270" s="6" t="str">
        <f>"Toalhas"</f>
        <v>Toalhas</v>
      </c>
      <c r="M4270" s="6" t="str">
        <f>"50x100"</f>
        <v>50x100</v>
      </c>
      <c r="N4270" s="6" t="str">
        <f>"5602972754421"</f>
        <v>5602972754421</v>
      </c>
      <c r="O4270" s="8">
        <v>10</v>
      </c>
      <c r="P4270" s="7">
        <v>45951</v>
      </c>
      <c r="R4270" s="8">
        <v>0</v>
      </c>
      <c r="U4270" s="8">
        <v>0</v>
      </c>
      <c r="X4270" s="8">
        <v>0</v>
      </c>
      <c r="Z4270" s="8">
        <v>0</v>
      </c>
      <c r="AC4270" s="8">
        <v>0</v>
      </c>
      <c r="AE4270" s="7">
        <v>45958</v>
      </c>
      <c r="AF4270" s="8">
        <v>0</v>
      </c>
      <c r="AH4270" s="7">
        <v>46053</v>
      </c>
      <c r="AN4270" s="8">
        <v>0</v>
      </c>
      <c r="AO4270" s="8">
        <v>10</v>
      </c>
    </row>
    <row r="4271" spans="1:41" x14ac:dyDescent="0.25">
      <c r="A4271" s="6" t="str">
        <f t="shared" si="1100"/>
        <v>525-2025000521</v>
      </c>
      <c r="B4271" s="6" t="str">
        <f t="shared" si="1094"/>
        <v>Lasa Int</v>
      </c>
      <c r="C4271" s="7">
        <v>45951</v>
      </c>
      <c r="D4271" s="7">
        <v>46053</v>
      </c>
      <c r="E4271" s="8">
        <v>24</v>
      </c>
      <c r="F4271" s="6" t="str">
        <f t="shared" si="1101"/>
        <v>Pure Squares</v>
      </c>
      <c r="G4271" s="6" t="str">
        <f t="shared" si="1102"/>
        <v>F100021455012620</v>
      </c>
      <c r="H4271" s="6" t="str">
        <f t="shared" si="1103"/>
        <v>FA 214 / 2620 (b) -</v>
      </c>
      <c r="I4271" s="6" t="str">
        <f>"3236"</f>
        <v>3236</v>
      </c>
      <c r="J4271" s="6" t="str">
        <f>"TURQUESA 3236"</f>
        <v>TURQUESA 3236</v>
      </c>
      <c r="K4271" s="6" t="str">
        <f>"0530"</f>
        <v>0530</v>
      </c>
      <c r="L4271" s="6" t="str">
        <f>"Toalhetes"</f>
        <v>Toalhetes</v>
      </c>
      <c r="M4271" s="6" t="str">
        <f>"33x50"</f>
        <v>33x50</v>
      </c>
      <c r="N4271" s="6" t="str">
        <f>"5602972754414"</f>
        <v>5602972754414</v>
      </c>
      <c r="O4271" s="8">
        <v>10</v>
      </c>
      <c r="P4271" s="7">
        <v>45951</v>
      </c>
      <c r="R4271" s="8">
        <v>0</v>
      </c>
      <c r="U4271" s="8">
        <v>0</v>
      </c>
      <c r="X4271" s="8">
        <v>0</v>
      </c>
      <c r="Z4271" s="8">
        <v>0</v>
      </c>
      <c r="AC4271" s="8">
        <v>0</v>
      </c>
      <c r="AE4271" s="7">
        <v>45958</v>
      </c>
      <c r="AF4271" s="8">
        <v>0</v>
      </c>
      <c r="AH4271" s="7">
        <v>46053</v>
      </c>
      <c r="AN4271" s="8">
        <v>0</v>
      </c>
      <c r="AO4271" s="8">
        <v>10</v>
      </c>
    </row>
    <row r="4272" spans="1:41" x14ac:dyDescent="0.25">
      <c r="A4272" s="6" t="str">
        <f t="shared" si="1100"/>
        <v>525-2025000521</v>
      </c>
      <c r="B4272" s="6" t="str">
        <f t="shared" si="1094"/>
        <v>Lasa Int</v>
      </c>
      <c r="C4272" s="7">
        <v>45951</v>
      </c>
      <c r="D4272" s="7">
        <v>46053</v>
      </c>
      <c r="E4272" s="8">
        <v>25</v>
      </c>
      <c r="F4272" s="6" t="str">
        <f t="shared" si="1101"/>
        <v>Pure Squares</v>
      </c>
      <c r="G4272" s="6" t="str">
        <f t="shared" si="1102"/>
        <v>F100021455012620</v>
      </c>
      <c r="H4272" s="6" t="str">
        <f t="shared" si="1103"/>
        <v>FA 214 / 2620 (b) -</v>
      </c>
      <c r="I4272" s="6" t="str">
        <f>"3235"</f>
        <v>3235</v>
      </c>
      <c r="J4272" s="6" t="str">
        <f>"CINZA 3235"</f>
        <v>CINZA 3235</v>
      </c>
      <c r="K4272" s="6" t="str">
        <f>"1024"</f>
        <v>1024</v>
      </c>
      <c r="L4272" s="6" t="str">
        <f>"Toalhas"</f>
        <v>Toalhas</v>
      </c>
      <c r="M4272" s="6" t="str">
        <f>"50x100"</f>
        <v>50x100</v>
      </c>
      <c r="N4272" s="6" t="str">
        <f>"5602972603514"</f>
        <v>5602972603514</v>
      </c>
      <c r="O4272" s="8">
        <v>6</v>
      </c>
      <c r="P4272" s="7">
        <v>45951</v>
      </c>
      <c r="R4272" s="8">
        <v>0</v>
      </c>
      <c r="U4272" s="8">
        <v>0</v>
      </c>
      <c r="X4272" s="8">
        <v>0</v>
      </c>
      <c r="Z4272" s="8">
        <v>0</v>
      </c>
      <c r="AC4272" s="8">
        <v>16</v>
      </c>
      <c r="AE4272" s="7">
        <v>45958</v>
      </c>
      <c r="AF4272" s="8">
        <v>16</v>
      </c>
      <c r="AH4272" s="7">
        <v>46053</v>
      </c>
      <c r="AN4272" s="8">
        <v>16</v>
      </c>
      <c r="AO4272" s="8">
        <v>-10</v>
      </c>
    </row>
    <row r="4273" spans="1:41" x14ac:dyDescent="0.25">
      <c r="A4273" s="6" t="str">
        <f t="shared" si="1100"/>
        <v>525-2025000521</v>
      </c>
      <c r="B4273" s="6" t="str">
        <f t="shared" si="1094"/>
        <v>Lasa Int</v>
      </c>
      <c r="C4273" s="7">
        <v>45951</v>
      </c>
      <c r="D4273" s="7">
        <v>46053</v>
      </c>
      <c r="E4273" s="8">
        <v>26</v>
      </c>
      <c r="F4273" s="6" t="str">
        <f t="shared" si="1101"/>
        <v>Pure Squares</v>
      </c>
      <c r="G4273" s="6" t="str">
        <f t="shared" si="1102"/>
        <v>F100021455012620</v>
      </c>
      <c r="H4273" s="6" t="str">
        <f t="shared" si="1103"/>
        <v>FA 214 / 2620 (b) -</v>
      </c>
      <c r="I4273" s="6" t="str">
        <f>"3234"</f>
        <v>3234</v>
      </c>
      <c r="J4273" s="6" t="str">
        <f>"CASTANHO 3234"</f>
        <v>CASTANHO 3234</v>
      </c>
      <c r="K4273" s="6" t="str">
        <f>"1024"</f>
        <v>1024</v>
      </c>
      <c r="L4273" s="6" t="str">
        <f>"Toalhas"</f>
        <v>Toalhas</v>
      </c>
      <c r="M4273" s="6" t="str">
        <f>"50x100"</f>
        <v>50x100</v>
      </c>
      <c r="N4273" s="6" t="str">
        <f>"5602972754261"</f>
        <v>5602972754261</v>
      </c>
      <c r="O4273" s="8">
        <v>8</v>
      </c>
      <c r="P4273" s="7">
        <v>45951</v>
      </c>
      <c r="R4273" s="8">
        <v>0</v>
      </c>
      <c r="U4273" s="8">
        <v>0</v>
      </c>
      <c r="X4273" s="8">
        <v>0</v>
      </c>
      <c r="Z4273" s="8">
        <v>0</v>
      </c>
      <c r="AC4273" s="8">
        <v>18</v>
      </c>
      <c r="AE4273" s="7">
        <v>45958</v>
      </c>
      <c r="AF4273" s="8">
        <v>18</v>
      </c>
      <c r="AH4273" s="7">
        <v>46053</v>
      </c>
      <c r="AN4273" s="8">
        <v>18</v>
      </c>
      <c r="AO4273" s="8">
        <v>-10</v>
      </c>
    </row>
    <row r="4274" spans="1:41" x14ac:dyDescent="0.25">
      <c r="A4274" s="6" t="str">
        <f t="shared" si="1100"/>
        <v>525-2025000521</v>
      </c>
      <c r="B4274" s="6" t="str">
        <f t="shared" si="1094"/>
        <v>Lasa Int</v>
      </c>
      <c r="C4274" s="7">
        <v>45951</v>
      </c>
      <c r="D4274" s="7">
        <v>46053</v>
      </c>
      <c r="E4274" s="8">
        <v>27</v>
      </c>
      <c r="F4274" s="6" t="str">
        <f t="shared" si="1101"/>
        <v>Pure Squares</v>
      </c>
      <c r="G4274" s="6" t="str">
        <f t="shared" si="1102"/>
        <v>F100021455012620</v>
      </c>
      <c r="H4274" s="6" t="str">
        <f t="shared" si="1103"/>
        <v>FA 214 / 2620 (b) -</v>
      </c>
      <c r="I4274" s="6" t="str">
        <f>"5148"</f>
        <v>5148</v>
      </c>
      <c r="J4274" s="6" t="str">
        <f>"BEGE 5148"</f>
        <v>BEGE 5148</v>
      </c>
      <c r="K4274" s="6" t="str">
        <f>"1024"</f>
        <v>1024</v>
      </c>
      <c r="L4274" s="6" t="str">
        <f>"Toalhas"</f>
        <v>Toalhas</v>
      </c>
      <c r="M4274" s="6" t="str">
        <f>"50x100"</f>
        <v>50x100</v>
      </c>
      <c r="N4274" s="6" t="str">
        <f>"5602972681093"</f>
        <v>5602972681093</v>
      </c>
      <c r="O4274" s="8">
        <v>2</v>
      </c>
      <c r="P4274" s="7">
        <v>45951</v>
      </c>
      <c r="R4274" s="8">
        <v>0</v>
      </c>
      <c r="U4274" s="8">
        <v>0</v>
      </c>
      <c r="X4274" s="8">
        <v>0</v>
      </c>
      <c r="Z4274" s="8">
        <v>0</v>
      </c>
      <c r="AC4274" s="8">
        <v>20</v>
      </c>
      <c r="AE4274" s="7">
        <v>45958</v>
      </c>
      <c r="AF4274" s="8">
        <v>20</v>
      </c>
      <c r="AH4274" s="7">
        <v>46053</v>
      </c>
      <c r="AN4274" s="8">
        <v>20</v>
      </c>
      <c r="AO4274" s="8">
        <v>-18</v>
      </c>
    </row>
    <row r="4275" spans="1:41" x14ac:dyDescent="0.25">
      <c r="A4275" s="6" t="str">
        <f t="shared" si="1100"/>
        <v>525-2025000521</v>
      </c>
      <c r="B4275" s="6" t="str">
        <f t="shared" si="1094"/>
        <v>Lasa Int</v>
      </c>
      <c r="C4275" s="7">
        <v>45951</v>
      </c>
      <c r="D4275" s="7">
        <v>46053</v>
      </c>
      <c r="E4275" s="8">
        <v>28</v>
      </c>
      <c r="F4275" s="6" t="str">
        <f t="shared" si="1101"/>
        <v>Pure Squares</v>
      </c>
      <c r="G4275" s="6" t="str">
        <f t="shared" ref="G4275:G4282" si="1104">"R010309838502620"</f>
        <v>R010309838502620</v>
      </c>
      <c r="H4275" s="6" t="str">
        <f t="shared" ref="H4275:H4282" si="1105">"R 3098/2620 - Pure S"</f>
        <v>R 3098/2620 - Pure S</v>
      </c>
      <c r="I4275" s="6" t="str">
        <f>"3236"</f>
        <v>3236</v>
      </c>
      <c r="J4275" s="6" t="str">
        <f>"TURQUESA 3236"</f>
        <v>TURQUESA 3236</v>
      </c>
      <c r="K4275" s="6" t="str">
        <f>"5006"</f>
        <v>5006</v>
      </c>
      <c r="L4275" s="6" t="str">
        <f t="shared" ref="L4275:L4282" si="1106">"Roupões Adulto"</f>
        <v>Roupões Adulto</v>
      </c>
      <c r="M4275" s="6" t="str">
        <f>"L"</f>
        <v>L</v>
      </c>
      <c r="N4275" s="6" t="str">
        <f>"5602972616873"</f>
        <v>5602972616873</v>
      </c>
      <c r="O4275" s="8">
        <v>1</v>
      </c>
      <c r="P4275" s="7">
        <v>45951</v>
      </c>
      <c r="R4275" s="8">
        <v>0</v>
      </c>
      <c r="U4275" s="8">
        <v>0</v>
      </c>
      <c r="X4275" s="8">
        <v>0</v>
      </c>
      <c r="Z4275" s="8">
        <v>0</v>
      </c>
      <c r="AC4275" s="8">
        <v>0</v>
      </c>
      <c r="AE4275" s="7">
        <v>45958</v>
      </c>
      <c r="AF4275" s="8">
        <v>0</v>
      </c>
      <c r="AH4275" s="7">
        <v>46053</v>
      </c>
      <c r="AN4275" s="8">
        <v>0</v>
      </c>
      <c r="AO4275" s="8">
        <v>1</v>
      </c>
    </row>
    <row r="4276" spans="1:41" x14ac:dyDescent="0.25">
      <c r="A4276" s="6" t="str">
        <f t="shared" si="1100"/>
        <v>525-2025000521</v>
      </c>
      <c r="B4276" s="6" t="str">
        <f t="shared" si="1094"/>
        <v>Lasa Int</v>
      </c>
      <c r="C4276" s="7">
        <v>45951</v>
      </c>
      <c r="D4276" s="7">
        <v>46053</v>
      </c>
      <c r="E4276" s="8">
        <v>29</v>
      </c>
      <c r="F4276" s="6" t="str">
        <f t="shared" si="1101"/>
        <v>Pure Squares</v>
      </c>
      <c r="G4276" s="6" t="str">
        <f t="shared" si="1104"/>
        <v>R010309838502620</v>
      </c>
      <c r="H4276" s="6" t="str">
        <f t="shared" si="1105"/>
        <v>R 3098/2620 - Pure S</v>
      </c>
      <c r="I4276" s="6" t="str">
        <f>"3236"</f>
        <v>3236</v>
      </c>
      <c r="J4276" s="6" t="str">
        <f>"TURQUESA 3236"</f>
        <v>TURQUESA 3236</v>
      </c>
      <c r="K4276" s="6" t="str">
        <f>"5008"</f>
        <v>5008</v>
      </c>
      <c r="L4276" s="6" t="str">
        <f t="shared" si="1106"/>
        <v>Roupões Adulto</v>
      </c>
      <c r="M4276" s="6" t="str">
        <f>"XL"</f>
        <v>XL</v>
      </c>
      <c r="N4276" s="6" t="str">
        <f>"5602972616880"</f>
        <v>5602972616880</v>
      </c>
      <c r="O4276" s="8">
        <v>1</v>
      </c>
      <c r="P4276" s="7">
        <v>45951</v>
      </c>
      <c r="R4276" s="8">
        <v>0</v>
      </c>
      <c r="U4276" s="8">
        <v>0</v>
      </c>
      <c r="X4276" s="8">
        <v>0</v>
      </c>
      <c r="Z4276" s="8">
        <v>0</v>
      </c>
      <c r="AC4276" s="8">
        <v>0</v>
      </c>
      <c r="AE4276" s="7">
        <v>45958</v>
      </c>
      <c r="AF4276" s="8">
        <v>0</v>
      </c>
      <c r="AH4276" s="7">
        <v>46053</v>
      </c>
      <c r="AN4276" s="8">
        <v>0</v>
      </c>
      <c r="AO4276" s="8">
        <v>1</v>
      </c>
    </row>
    <row r="4277" spans="1:41" x14ac:dyDescent="0.25">
      <c r="A4277" s="6" t="str">
        <f t="shared" si="1100"/>
        <v>525-2025000521</v>
      </c>
      <c r="B4277" s="6" t="str">
        <f t="shared" si="1094"/>
        <v>Lasa Int</v>
      </c>
      <c r="C4277" s="7">
        <v>45951</v>
      </c>
      <c r="D4277" s="7">
        <v>46053</v>
      </c>
      <c r="E4277" s="8">
        <v>30</v>
      </c>
      <c r="F4277" s="6" t="str">
        <f t="shared" si="1101"/>
        <v>Pure Squares</v>
      </c>
      <c r="G4277" s="6" t="str">
        <f t="shared" si="1104"/>
        <v>R010309838502620</v>
      </c>
      <c r="H4277" s="6" t="str">
        <f t="shared" si="1105"/>
        <v>R 3098/2620 - Pure S</v>
      </c>
      <c r="I4277" s="6" t="str">
        <f>"3236"</f>
        <v>3236</v>
      </c>
      <c r="J4277" s="6" t="str">
        <f>"TURQUESA 3236"</f>
        <v>TURQUESA 3236</v>
      </c>
      <c r="K4277" s="6" t="str">
        <f>"5002"</f>
        <v>5002</v>
      </c>
      <c r="L4277" s="6" t="str">
        <f t="shared" si="1106"/>
        <v>Roupões Adulto</v>
      </c>
      <c r="M4277" s="6" t="str">
        <f>"S"</f>
        <v>S</v>
      </c>
      <c r="N4277" s="6" t="str">
        <f>"5602972616859"</f>
        <v>5602972616859</v>
      </c>
      <c r="O4277" s="8">
        <v>1</v>
      </c>
      <c r="P4277" s="7">
        <v>45951</v>
      </c>
      <c r="R4277" s="8">
        <v>0</v>
      </c>
      <c r="U4277" s="8">
        <v>0</v>
      </c>
      <c r="X4277" s="8">
        <v>0</v>
      </c>
      <c r="Z4277" s="8">
        <v>0</v>
      </c>
      <c r="AC4277" s="8">
        <v>0</v>
      </c>
      <c r="AE4277" s="7">
        <v>45958</v>
      </c>
      <c r="AF4277" s="8">
        <v>0</v>
      </c>
      <c r="AH4277" s="7">
        <v>46053</v>
      </c>
      <c r="AN4277" s="8">
        <v>0</v>
      </c>
      <c r="AO4277" s="8">
        <v>1</v>
      </c>
    </row>
    <row r="4278" spans="1:41" x14ac:dyDescent="0.25">
      <c r="A4278" s="6" t="str">
        <f t="shared" si="1100"/>
        <v>525-2025000521</v>
      </c>
      <c r="B4278" s="6" t="str">
        <f t="shared" si="1094"/>
        <v>Lasa Int</v>
      </c>
      <c r="C4278" s="7">
        <v>45951</v>
      </c>
      <c r="D4278" s="7">
        <v>46053</v>
      </c>
      <c r="E4278" s="8">
        <v>31</v>
      </c>
      <c r="F4278" s="6" t="str">
        <f t="shared" si="1101"/>
        <v>Pure Squares</v>
      </c>
      <c r="G4278" s="6" t="str">
        <f t="shared" si="1104"/>
        <v>R010309838502620</v>
      </c>
      <c r="H4278" s="6" t="str">
        <f t="shared" si="1105"/>
        <v>R 3098/2620 - Pure S</v>
      </c>
      <c r="I4278" s="6" t="str">
        <f>"3236"</f>
        <v>3236</v>
      </c>
      <c r="J4278" s="6" t="str">
        <f>"TURQUESA 3236"</f>
        <v>TURQUESA 3236</v>
      </c>
      <c r="K4278" s="6" t="str">
        <f>"5004"</f>
        <v>5004</v>
      </c>
      <c r="L4278" s="6" t="str">
        <f t="shared" si="1106"/>
        <v>Roupões Adulto</v>
      </c>
      <c r="M4278" s="6" t="str">
        <f>"M"</f>
        <v>M</v>
      </c>
      <c r="N4278" s="6" t="str">
        <f>"5602972616866"</f>
        <v>5602972616866</v>
      </c>
      <c r="O4278" s="8">
        <v>1</v>
      </c>
      <c r="P4278" s="7">
        <v>45951</v>
      </c>
      <c r="R4278" s="8">
        <v>0</v>
      </c>
      <c r="U4278" s="8">
        <v>0</v>
      </c>
      <c r="X4278" s="8">
        <v>0</v>
      </c>
      <c r="Z4278" s="8">
        <v>0</v>
      </c>
      <c r="AC4278" s="8">
        <v>0</v>
      </c>
      <c r="AE4278" s="7">
        <v>45958</v>
      </c>
      <c r="AF4278" s="8">
        <v>0</v>
      </c>
      <c r="AH4278" s="7">
        <v>46053</v>
      </c>
      <c r="AN4278" s="8">
        <v>0</v>
      </c>
      <c r="AO4278" s="8">
        <v>1</v>
      </c>
    </row>
    <row r="4279" spans="1:41" x14ac:dyDescent="0.25">
      <c r="A4279" s="6" t="str">
        <f t="shared" si="1100"/>
        <v>525-2025000521</v>
      </c>
      <c r="B4279" s="6" t="str">
        <f t="shared" si="1094"/>
        <v>Lasa Int</v>
      </c>
      <c r="C4279" s="7">
        <v>45951</v>
      </c>
      <c r="D4279" s="7">
        <v>46053</v>
      </c>
      <c r="E4279" s="8">
        <v>32</v>
      </c>
      <c r="F4279" s="6" t="str">
        <f t="shared" si="1101"/>
        <v>Pure Squares</v>
      </c>
      <c r="G4279" s="6" t="str">
        <f t="shared" si="1104"/>
        <v>R010309838502620</v>
      </c>
      <c r="H4279" s="6" t="str">
        <f t="shared" si="1105"/>
        <v>R 3098/2620 - Pure S</v>
      </c>
      <c r="I4279" s="6" t="str">
        <f>"3235"</f>
        <v>3235</v>
      </c>
      <c r="J4279" s="6" t="str">
        <f>"CINZA 3235"</f>
        <v>CINZA 3235</v>
      </c>
      <c r="K4279" s="6" t="str">
        <f>"5002"</f>
        <v>5002</v>
      </c>
      <c r="L4279" s="6" t="str">
        <f t="shared" si="1106"/>
        <v>Roupões Adulto</v>
      </c>
      <c r="M4279" s="6" t="str">
        <f>"S"</f>
        <v>S</v>
      </c>
      <c r="N4279" s="6" t="str">
        <f>"5602972616811"</f>
        <v>5602972616811</v>
      </c>
      <c r="O4279" s="8">
        <v>3</v>
      </c>
      <c r="P4279" s="7">
        <v>45951</v>
      </c>
      <c r="R4279" s="8">
        <v>0</v>
      </c>
      <c r="U4279" s="8">
        <v>0</v>
      </c>
      <c r="X4279" s="8">
        <v>0</v>
      </c>
      <c r="Z4279" s="8">
        <v>0</v>
      </c>
      <c r="AC4279" s="8">
        <v>0</v>
      </c>
      <c r="AE4279" s="7">
        <v>45958</v>
      </c>
      <c r="AF4279" s="8">
        <v>0</v>
      </c>
      <c r="AH4279" s="7">
        <v>46053</v>
      </c>
      <c r="AN4279" s="8">
        <v>0</v>
      </c>
      <c r="AO4279" s="8">
        <v>3</v>
      </c>
    </row>
    <row r="4280" spans="1:41" x14ac:dyDescent="0.25">
      <c r="A4280" s="6" t="str">
        <f t="shared" si="1100"/>
        <v>525-2025000521</v>
      </c>
      <c r="B4280" s="6" t="str">
        <f t="shared" si="1094"/>
        <v>Lasa Int</v>
      </c>
      <c r="C4280" s="7">
        <v>45951</v>
      </c>
      <c r="D4280" s="7">
        <v>46053</v>
      </c>
      <c r="E4280" s="8">
        <v>33</v>
      </c>
      <c r="F4280" s="6" t="str">
        <f t="shared" si="1101"/>
        <v>Pure Squares</v>
      </c>
      <c r="G4280" s="6" t="str">
        <f t="shared" si="1104"/>
        <v>R010309838502620</v>
      </c>
      <c r="H4280" s="6" t="str">
        <f t="shared" si="1105"/>
        <v>R 3098/2620 - Pure S</v>
      </c>
      <c r="I4280" s="6" t="str">
        <f>"3235"</f>
        <v>3235</v>
      </c>
      <c r="J4280" s="6" t="str">
        <f>"CINZA 3235"</f>
        <v>CINZA 3235</v>
      </c>
      <c r="K4280" s="6" t="str">
        <f>"5006"</f>
        <v>5006</v>
      </c>
      <c r="L4280" s="6" t="str">
        <f t="shared" si="1106"/>
        <v>Roupões Adulto</v>
      </c>
      <c r="M4280" s="6" t="str">
        <f>"L"</f>
        <v>L</v>
      </c>
      <c r="N4280" s="6" t="str">
        <f>"5602972616835"</f>
        <v>5602972616835</v>
      </c>
      <c r="O4280" s="8">
        <v>1</v>
      </c>
      <c r="P4280" s="7">
        <v>45951</v>
      </c>
      <c r="R4280" s="8">
        <v>0</v>
      </c>
      <c r="U4280" s="8">
        <v>0</v>
      </c>
      <c r="X4280" s="8">
        <v>0</v>
      </c>
      <c r="Z4280" s="8">
        <v>0</v>
      </c>
      <c r="AC4280" s="8">
        <v>0</v>
      </c>
      <c r="AE4280" s="7">
        <v>45958</v>
      </c>
      <c r="AF4280" s="8">
        <v>0</v>
      </c>
      <c r="AH4280" s="7">
        <v>46053</v>
      </c>
      <c r="AN4280" s="8">
        <v>0</v>
      </c>
      <c r="AO4280" s="8">
        <v>1</v>
      </c>
    </row>
    <row r="4281" spans="1:41" x14ac:dyDescent="0.25">
      <c r="A4281" s="6" t="str">
        <f t="shared" si="1100"/>
        <v>525-2025000521</v>
      </c>
      <c r="B4281" s="6" t="str">
        <f t="shared" si="1094"/>
        <v>Lasa Int</v>
      </c>
      <c r="C4281" s="7">
        <v>45951</v>
      </c>
      <c r="D4281" s="7">
        <v>46053</v>
      </c>
      <c r="E4281" s="8">
        <v>34</v>
      </c>
      <c r="F4281" s="6" t="str">
        <f t="shared" si="1101"/>
        <v>Pure Squares</v>
      </c>
      <c r="G4281" s="6" t="str">
        <f t="shared" si="1104"/>
        <v>R010309838502620</v>
      </c>
      <c r="H4281" s="6" t="str">
        <f t="shared" si="1105"/>
        <v>R 3098/2620 - Pure S</v>
      </c>
      <c r="I4281" s="6" t="str">
        <f>"3234"</f>
        <v>3234</v>
      </c>
      <c r="J4281" s="6" t="str">
        <f>"CASTANHO 3234"</f>
        <v>CASTANHO 3234</v>
      </c>
      <c r="K4281" s="6" t="str">
        <f>"5006"</f>
        <v>5006</v>
      </c>
      <c r="L4281" s="6" t="str">
        <f t="shared" si="1106"/>
        <v>Roupões Adulto</v>
      </c>
      <c r="M4281" s="6" t="str">
        <f>"L"</f>
        <v>L</v>
      </c>
      <c r="N4281" s="6" t="str">
        <f>"5602972643800"</f>
        <v>5602972643800</v>
      </c>
      <c r="O4281" s="8">
        <v>2</v>
      </c>
      <c r="P4281" s="7">
        <v>45951</v>
      </c>
      <c r="R4281" s="8">
        <v>0</v>
      </c>
      <c r="U4281" s="8">
        <v>0</v>
      </c>
      <c r="X4281" s="8">
        <v>0</v>
      </c>
      <c r="Z4281" s="8">
        <v>0</v>
      </c>
      <c r="AC4281" s="8">
        <v>0</v>
      </c>
      <c r="AE4281" s="7">
        <v>45958</v>
      </c>
      <c r="AF4281" s="8">
        <v>0</v>
      </c>
      <c r="AH4281" s="7">
        <v>46053</v>
      </c>
      <c r="AN4281" s="8">
        <v>0</v>
      </c>
      <c r="AO4281" s="8">
        <v>2</v>
      </c>
    </row>
    <row r="4282" spans="1:41" x14ac:dyDescent="0.25">
      <c r="A4282" s="6" t="str">
        <f t="shared" si="1100"/>
        <v>525-2025000521</v>
      </c>
      <c r="B4282" s="6" t="str">
        <f t="shared" si="1094"/>
        <v>Lasa Int</v>
      </c>
      <c r="C4282" s="7">
        <v>45951</v>
      </c>
      <c r="D4282" s="7">
        <v>46053</v>
      </c>
      <c r="E4282" s="8">
        <v>35</v>
      </c>
      <c r="F4282" s="6" t="str">
        <f t="shared" si="1101"/>
        <v>Pure Squares</v>
      </c>
      <c r="G4282" s="6" t="str">
        <f t="shared" si="1104"/>
        <v>R010309838502620</v>
      </c>
      <c r="H4282" s="6" t="str">
        <f t="shared" si="1105"/>
        <v>R 3098/2620 - Pure S</v>
      </c>
      <c r="I4282" s="6" t="str">
        <f>"1"</f>
        <v>1</v>
      </c>
      <c r="J4282" s="6" t="str">
        <f>"BRANCO"</f>
        <v>BRANCO</v>
      </c>
      <c r="K4282" s="6" t="str">
        <f>"5010"</f>
        <v>5010</v>
      </c>
      <c r="L4282" s="6" t="str">
        <f t="shared" si="1106"/>
        <v>Roupões Adulto</v>
      </c>
      <c r="M4282" s="6" t="str">
        <f>"XXL"</f>
        <v>XXL</v>
      </c>
      <c r="N4282" s="6" t="str">
        <f>"5602972616804"</f>
        <v>5602972616804</v>
      </c>
      <c r="O4282" s="8">
        <v>2</v>
      </c>
      <c r="P4282" s="7">
        <v>45951</v>
      </c>
      <c r="R4282" s="8">
        <v>0</v>
      </c>
      <c r="U4282" s="8">
        <v>0</v>
      </c>
      <c r="X4282" s="8">
        <v>0</v>
      </c>
      <c r="Z4282" s="8">
        <v>0</v>
      </c>
      <c r="AC4282" s="8">
        <v>0</v>
      </c>
      <c r="AE4282" s="7">
        <v>45958</v>
      </c>
      <c r="AF4282" s="8">
        <v>0</v>
      </c>
      <c r="AH4282" s="7">
        <v>46053</v>
      </c>
      <c r="AN4282" s="8">
        <v>0</v>
      </c>
      <c r="AO4282" s="8">
        <v>2</v>
      </c>
    </row>
    <row r="4283" spans="1:41" x14ac:dyDescent="0.25">
      <c r="A4283" s="6" t="str">
        <f t="shared" si="1100"/>
        <v>525-2025000521</v>
      </c>
      <c r="B4283" s="6" t="str">
        <f t="shared" si="1094"/>
        <v>Lasa Int</v>
      </c>
      <c r="C4283" s="7">
        <v>45951</v>
      </c>
      <c r="D4283" s="7">
        <v>46053</v>
      </c>
      <c r="E4283" s="8">
        <v>36</v>
      </c>
      <c r="F4283" s="6" t="str">
        <f t="shared" si="1101"/>
        <v>Pure Squares</v>
      </c>
      <c r="G4283" s="6" t="str">
        <f t="shared" ref="G4283:G4292" si="1107">"F100021455012620"</f>
        <v>F100021455012620</v>
      </c>
      <c r="H4283" s="6" t="str">
        <f t="shared" ref="H4283:H4292" si="1108">"FA 214 / 2620 (b) -"</f>
        <v>FA 214 / 2620 (b) -</v>
      </c>
      <c r="I4283" s="6" t="str">
        <f>"5148"</f>
        <v>5148</v>
      </c>
      <c r="J4283" s="6" t="str">
        <f>"BEGE 5148"</f>
        <v>BEGE 5148</v>
      </c>
      <c r="K4283" s="6" t="str">
        <f>"1535"</f>
        <v>1535</v>
      </c>
      <c r="L4283" s="6" t="str">
        <f>"Toalhões"</f>
        <v>Toalhões</v>
      </c>
      <c r="M4283" s="6" t="str">
        <f>"70x140"</f>
        <v>70x140</v>
      </c>
      <c r="N4283" s="6" t="str">
        <f>"5602972681109"</f>
        <v>5602972681109</v>
      </c>
      <c r="O4283" s="8">
        <v>13</v>
      </c>
      <c r="P4283" s="7">
        <v>45951</v>
      </c>
      <c r="R4283" s="8">
        <v>0</v>
      </c>
      <c r="U4283" s="8">
        <v>0</v>
      </c>
      <c r="X4283" s="8">
        <v>0</v>
      </c>
      <c r="Z4283" s="8">
        <v>0</v>
      </c>
      <c r="AC4283" s="8">
        <v>13</v>
      </c>
      <c r="AE4283" s="7">
        <v>45958</v>
      </c>
      <c r="AF4283" s="8">
        <v>13</v>
      </c>
      <c r="AH4283" s="7">
        <v>46053</v>
      </c>
      <c r="AN4283" s="8">
        <v>13</v>
      </c>
      <c r="AO4283" s="8">
        <v>0</v>
      </c>
    </row>
    <row r="4284" spans="1:41" x14ac:dyDescent="0.25">
      <c r="A4284" s="6" t="str">
        <f t="shared" si="1100"/>
        <v>525-2025000521</v>
      </c>
      <c r="B4284" s="6" t="str">
        <f t="shared" si="1094"/>
        <v>Lasa Int</v>
      </c>
      <c r="C4284" s="7">
        <v>45951</v>
      </c>
      <c r="D4284" s="7">
        <v>46053</v>
      </c>
      <c r="E4284" s="8">
        <v>37</v>
      </c>
      <c r="F4284" s="6" t="str">
        <f t="shared" si="1101"/>
        <v>Pure Squares</v>
      </c>
      <c r="G4284" s="6" t="str">
        <f t="shared" si="1107"/>
        <v>F100021455012620</v>
      </c>
      <c r="H4284" s="6" t="str">
        <f t="shared" si="1108"/>
        <v>FA 214 / 2620 (b) -</v>
      </c>
      <c r="I4284" s="6" t="str">
        <f>"5148"</f>
        <v>5148</v>
      </c>
      <c r="J4284" s="6" t="str">
        <f>"BEGE 5148"</f>
        <v>BEGE 5148</v>
      </c>
      <c r="K4284" s="6" t="str">
        <f>"0530"</f>
        <v>0530</v>
      </c>
      <c r="L4284" s="6" t="str">
        <f>"Toalhetes"</f>
        <v>Toalhetes</v>
      </c>
      <c r="M4284" s="6" t="str">
        <f>"33x50"</f>
        <v>33x50</v>
      </c>
      <c r="N4284" s="6" t="str">
        <f>"5602972681086"</f>
        <v>5602972681086</v>
      </c>
      <c r="O4284" s="8">
        <v>10</v>
      </c>
      <c r="P4284" s="7">
        <v>45951</v>
      </c>
      <c r="R4284" s="8">
        <v>0</v>
      </c>
      <c r="U4284" s="8">
        <v>0</v>
      </c>
      <c r="X4284" s="8">
        <v>0</v>
      </c>
      <c r="Z4284" s="8">
        <v>0</v>
      </c>
      <c r="AC4284" s="8">
        <v>10</v>
      </c>
      <c r="AE4284" s="7">
        <v>45958</v>
      </c>
      <c r="AF4284" s="8">
        <v>10</v>
      </c>
      <c r="AH4284" s="7">
        <v>46053</v>
      </c>
      <c r="AN4284" s="8">
        <v>10</v>
      </c>
      <c r="AO4284" s="8">
        <v>0</v>
      </c>
    </row>
    <row r="4285" spans="1:41" x14ac:dyDescent="0.25">
      <c r="A4285" s="6" t="str">
        <f t="shared" si="1100"/>
        <v>525-2025000521</v>
      </c>
      <c r="B4285" s="6" t="str">
        <f t="shared" si="1094"/>
        <v>Lasa Int</v>
      </c>
      <c r="C4285" s="7">
        <v>45951</v>
      </c>
      <c r="D4285" s="7">
        <v>46053</v>
      </c>
      <c r="E4285" s="8">
        <v>38</v>
      </c>
      <c r="F4285" s="6" t="str">
        <f t="shared" si="1101"/>
        <v>Pure Squares</v>
      </c>
      <c r="G4285" s="6" t="str">
        <f t="shared" si="1107"/>
        <v>F100021455012620</v>
      </c>
      <c r="H4285" s="6" t="str">
        <f t="shared" si="1108"/>
        <v>FA 214 / 2620 (b) -</v>
      </c>
      <c r="I4285" s="6" t="str">
        <f>"3235"</f>
        <v>3235</v>
      </c>
      <c r="J4285" s="6" t="str">
        <f>"CINZA 3235"</f>
        <v>CINZA 3235</v>
      </c>
      <c r="K4285" s="6" t="str">
        <f>"1535"</f>
        <v>1535</v>
      </c>
      <c r="L4285" s="6" t="str">
        <f>"Toalhões"</f>
        <v>Toalhões</v>
      </c>
      <c r="M4285" s="6" t="str">
        <f>"70x140"</f>
        <v>70x140</v>
      </c>
      <c r="N4285" s="6" t="str">
        <f>"5602972603521"</f>
        <v>5602972603521</v>
      </c>
      <c r="O4285" s="8">
        <v>12</v>
      </c>
      <c r="P4285" s="7">
        <v>45951</v>
      </c>
      <c r="R4285" s="8">
        <v>0</v>
      </c>
      <c r="U4285" s="8">
        <v>0</v>
      </c>
      <c r="X4285" s="8">
        <v>0</v>
      </c>
      <c r="Z4285" s="8">
        <v>0</v>
      </c>
      <c r="AC4285" s="8">
        <v>12</v>
      </c>
      <c r="AE4285" s="7">
        <v>45958</v>
      </c>
      <c r="AF4285" s="8">
        <v>12</v>
      </c>
      <c r="AH4285" s="7">
        <v>46053</v>
      </c>
      <c r="AN4285" s="8">
        <v>12</v>
      </c>
      <c r="AO4285" s="8">
        <v>0</v>
      </c>
    </row>
    <row r="4286" spans="1:41" x14ac:dyDescent="0.25">
      <c r="A4286" s="6" t="str">
        <f t="shared" si="1100"/>
        <v>525-2025000521</v>
      </c>
      <c r="B4286" s="6" t="str">
        <f t="shared" si="1094"/>
        <v>Lasa Int</v>
      </c>
      <c r="C4286" s="7">
        <v>45951</v>
      </c>
      <c r="D4286" s="7">
        <v>46053</v>
      </c>
      <c r="E4286" s="8">
        <v>39</v>
      </c>
      <c r="F4286" s="6" t="str">
        <f t="shared" si="1101"/>
        <v>Pure Squares</v>
      </c>
      <c r="G4286" s="6" t="str">
        <f t="shared" si="1107"/>
        <v>F100021455012620</v>
      </c>
      <c r="H4286" s="6" t="str">
        <f t="shared" si="1108"/>
        <v>FA 214 / 2620 (b) -</v>
      </c>
      <c r="I4286" s="6" t="str">
        <f>"3073"</f>
        <v>3073</v>
      </c>
      <c r="J4286" s="6" t="str">
        <f>"CINZA 3073"</f>
        <v>CINZA 3073</v>
      </c>
      <c r="K4286" s="6" t="str">
        <f>"1535"</f>
        <v>1535</v>
      </c>
      <c r="L4286" s="6" t="str">
        <f>"Toalhões"</f>
        <v>Toalhões</v>
      </c>
      <c r="M4286" s="6" t="str">
        <f>"70x140"</f>
        <v>70x140</v>
      </c>
      <c r="N4286" s="6" t="str">
        <f>"5602972603446"</f>
        <v>5602972603446</v>
      </c>
      <c r="O4286" s="8">
        <v>15</v>
      </c>
      <c r="P4286" s="7">
        <v>45951</v>
      </c>
      <c r="R4286" s="8">
        <v>0</v>
      </c>
      <c r="U4286" s="8">
        <v>0</v>
      </c>
      <c r="X4286" s="8">
        <v>0</v>
      </c>
      <c r="Z4286" s="8">
        <v>0</v>
      </c>
      <c r="AC4286" s="8">
        <v>15</v>
      </c>
      <c r="AE4286" s="7">
        <v>45958</v>
      </c>
      <c r="AF4286" s="8">
        <v>15</v>
      </c>
      <c r="AH4286" s="7">
        <v>46053</v>
      </c>
      <c r="AN4286" s="8">
        <v>15</v>
      </c>
      <c r="AO4286" s="8">
        <v>0</v>
      </c>
    </row>
    <row r="4287" spans="1:41" x14ac:dyDescent="0.25">
      <c r="A4287" s="6" t="str">
        <f t="shared" si="1100"/>
        <v>525-2025000521</v>
      </c>
      <c r="B4287" s="6" t="str">
        <f t="shared" si="1094"/>
        <v>Lasa Int</v>
      </c>
      <c r="C4287" s="7">
        <v>45951</v>
      </c>
      <c r="D4287" s="7">
        <v>46053</v>
      </c>
      <c r="E4287" s="8">
        <v>40</v>
      </c>
      <c r="F4287" s="6" t="str">
        <f t="shared" si="1101"/>
        <v>Pure Squares</v>
      </c>
      <c r="G4287" s="6" t="str">
        <f t="shared" si="1107"/>
        <v>F100021455012620</v>
      </c>
      <c r="H4287" s="6" t="str">
        <f t="shared" si="1108"/>
        <v>FA 214 / 2620 (b) -</v>
      </c>
      <c r="I4287" s="6" t="str">
        <f>"5417"</f>
        <v>5417</v>
      </c>
      <c r="J4287" s="6" t="str">
        <f>"AZUL 5417"</f>
        <v>AZUL 5417</v>
      </c>
      <c r="K4287" s="6" t="str">
        <f>"1535"</f>
        <v>1535</v>
      </c>
      <c r="L4287" s="6" t="str">
        <f>"Toalhões"</f>
        <v>Toalhões</v>
      </c>
      <c r="M4287" s="6" t="str">
        <f>"70x140"</f>
        <v>70x140</v>
      </c>
      <c r="N4287" s="6" t="str">
        <f>"5602972681062"</f>
        <v>5602972681062</v>
      </c>
      <c r="O4287" s="8">
        <v>12</v>
      </c>
      <c r="P4287" s="7">
        <v>45951</v>
      </c>
      <c r="R4287" s="8">
        <v>0</v>
      </c>
      <c r="U4287" s="8">
        <v>0</v>
      </c>
      <c r="X4287" s="8">
        <v>0</v>
      </c>
      <c r="Z4287" s="8">
        <v>0</v>
      </c>
      <c r="AC4287" s="8">
        <v>12</v>
      </c>
      <c r="AE4287" s="7">
        <v>45958</v>
      </c>
      <c r="AF4287" s="8">
        <v>12</v>
      </c>
      <c r="AH4287" s="7">
        <v>46053</v>
      </c>
      <c r="AN4287" s="8">
        <v>12</v>
      </c>
      <c r="AO4287" s="8">
        <v>0</v>
      </c>
    </row>
    <row r="4288" spans="1:41" x14ac:dyDescent="0.25">
      <c r="A4288" s="6" t="str">
        <f t="shared" si="1100"/>
        <v>525-2025000521</v>
      </c>
      <c r="B4288" s="6" t="str">
        <f t="shared" si="1094"/>
        <v>Lasa Int</v>
      </c>
      <c r="C4288" s="7">
        <v>45951</v>
      </c>
      <c r="D4288" s="7">
        <v>46053</v>
      </c>
      <c r="E4288" s="8">
        <v>41</v>
      </c>
      <c r="F4288" s="6" t="str">
        <f t="shared" si="1101"/>
        <v>Pure Squares</v>
      </c>
      <c r="G4288" s="6" t="str">
        <f t="shared" si="1107"/>
        <v>F100021455012620</v>
      </c>
      <c r="H4288" s="6" t="str">
        <f t="shared" si="1108"/>
        <v>FA 214 / 2620 (b) -</v>
      </c>
      <c r="I4288" s="6" t="str">
        <f>"5417"</f>
        <v>5417</v>
      </c>
      <c r="J4288" s="6" t="str">
        <f>"AZUL 5417"</f>
        <v>AZUL 5417</v>
      </c>
      <c r="K4288" s="6" t="str">
        <f>"1024"</f>
        <v>1024</v>
      </c>
      <c r="L4288" s="6" t="str">
        <f>"Toalhas"</f>
        <v>Toalhas</v>
      </c>
      <c r="M4288" s="6" t="str">
        <f>"50x100"</f>
        <v>50x100</v>
      </c>
      <c r="N4288" s="6" t="str">
        <f>"5602972681055"</f>
        <v>5602972681055</v>
      </c>
      <c r="O4288" s="8">
        <v>12</v>
      </c>
      <c r="P4288" s="7">
        <v>45951</v>
      </c>
      <c r="R4288" s="8">
        <v>0</v>
      </c>
      <c r="U4288" s="8">
        <v>0</v>
      </c>
      <c r="X4288" s="8">
        <v>0</v>
      </c>
      <c r="Z4288" s="8">
        <v>0</v>
      </c>
      <c r="AC4288" s="8">
        <v>12</v>
      </c>
      <c r="AE4288" s="7">
        <v>45958</v>
      </c>
      <c r="AF4288" s="8">
        <v>12</v>
      </c>
      <c r="AH4288" s="7">
        <v>46053</v>
      </c>
      <c r="AN4288" s="8">
        <v>12</v>
      </c>
      <c r="AO4288" s="8">
        <v>0</v>
      </c>
    </row>
    <row r="4289" spans="1:41" x14ac:dyDescent="0.25">
      <c r="A4289" s="6" t="str">
        <f t="shared" si="1100"/>
        <v>525-2025000521</v>
      </c>
      <c r="B4289" s="6" t="str">
        <f t="shared" si="1094"/>
        <v>Lasa Int</v>
      </c>
      <c r="C4289" s="7">
        <v>45951</v>
      </c>
      <c r="D4289" s="7">
        <v>46053</v>
      </c>
      <c r="E4289" s="8">
        <v>42</v>
      </c>
      <c r="F4289" s="6" t="str">
        <f t="shared" si="1101"/>
        <v>Pure Squares</v>
      </c>
      <c r="G4289" s="6" t="str">
        <f t="shared" si="1107"/>
        <v>F100021455012620</v>
      </c>
      <c r="H4289" s="6" t="str">
        <f t="shared" si="1108"/>
        <v>FA 214 / 2620 (b) -</v>
      </c>
      <c r="I4289" s="6" t="str">
        <f>"3073"</f>
        <v>3073</v>
      </c>
      <c r="J4289" s="6" t="str">
        <f>"CINZA 3073"</f>
        <v>CINZA 3073</v>
      </c>
      <c r="K4289" s="6" t="str">
        <f>"1024"</f>
        <v>1024</v>
      </c>
      <c r="L4289" s="6" t="str">
        <f>"Toalhas"</f>
        <v>Toalhas</v>
      </c>
      <c r="M4289" s="6" t="str">
        <f>"50x100"</f>
        <v>50x100</v>
      </c>
      <c r="N4289" s="6" t="str">
        <f>"5602972603439"</f>
        <v>5602972603439</v>
      </c>
      <c r="O4289" s="8">
        <v>24</v>
      </c>
      <c r="P4289" s="7">
        <v>45951</v>
      </c>
      <c r="R4289" s="8">
        <v>0</v>
      </c>
      <c r="U4289" s="8">
        <v>0</v>
      </c>
      <c r="X4289" s="8">
        <v>0</v>
      </c>
      <c r="Z4289" s="8">
        <v>0</v>
      </c>
      <c r="AC4289" s="8">
        <v>24</v>
      </c>
      <c r="AE4289" s="7">
        <v>45958</v>
      </c>
      <c r="AF4289" s="8">
        <v>24</v>
      </c>
      <c r="AH4289" s="7">
        <v>46053</v>
      </c>
      <c r="AN4289" s="8">
        <v>24</v>
      </c>
      <c r="AO4289" s="8">
        <v>0</v>
      </c>
    </row>
    <row r="4290" spans="1:41" x14ac:dyDescent="0.25">
      <c r="A4290" s="6" t="str">
        <f t="shared" si="1100"/>
        <v>525-2025000521</v>
      </c>
      <c r="B4290" s="6" t="str">
        <f t="shared" ref="B4290:B4341" si="1109">"Lasa Int"</f>
        <v>Lasa Int</v>
      </c>
      <c r="C4290" s="7">
        <v>45951</v>
      </c>
      <c r="D4290" s="7">
        <v>46053</v>
      </c>
      <c r="E4290" s="8">
        <v>43</v>
      </c>
      <c r="F4290" s="6" t="str">
        <f t="shared" si="1101"/>
        <v>Pure Squares</v>
      </c>
      <c r="G4290" s="6" t="str">
        <f t="shared" si="1107"/>
        <v>F100021455012620</v>
      </c>
      <c r="H4290" s="6" t="str">
        <f t="shared" si="1108"/>
        <v>FA 214 / 2620 (b) -</v>
      </c>
      <c r="I4290" s="6" t="str">
        <f>"5417"</f>
        <v>5417</v>
      </c>
      <c r="J4290" s="6" t="str">
        <f>"AZUL 5417"</f>
        <v>AZUL 5417</v>
      </c>
      <c r="K4290" s="6" t="str">
        <f>"0530"</f>
        <v>0530</v>
      </c>
      <c r="L4290" s="6" t="str">
        <f>"Toalhetes"</f>
        <v>Toalhetes</v>
      </c>
      <c r="M4290" s="6" t="str">
        <f>"33x50"</f>
        <v>33x50</v>
      </c>
      <c r="N4290" s="6" t="str">
        <f>"5602972681048"</f>
        <v>5602972681048</v>
      </c>
      <c r="O4290" s="8">
        <v>12</v>
      </c>
      <c r="P4290" s="7">
        <v>45951</v>
      </c>
      <c r="R4290" s="8">
        <v>0</v>
      </c>
      <c r="U4290" s="8">
        <v>0</v>
      </c>
      <c r="X4290" s="8">
        <v>0</v>
      </c>
      <c r="Z4290" s="8">
        <v>0</v>
      </c>
      <c r="AC4290" s="8">
        <v>12</v>
      </c>
      <c r="AE4290" s="7">
        <v>45958</v>
      </c>
      <c r="AF4290" s="8">
        <v>12</v>
      </c>
      <c r="AH4290" s="7">
        <v>46053</v>
      </c>
      <c r="AN4290" s="8">
        <v>12</v>
      </c>
      <c r="AO4290" s="8">
        <v>0</v>
      </c>
    </row>
    <row r="4291" spans="1:41" x14ac:dyDescent="0.25">
      <c r="A4291" s="6" t="str">
        <f t="shared" si="1100"/>
        <v>525-2025000521</v>
      </c>
      <c r="B4291" s="6" t="str">
        <f t="shared" si="1109"/>
        <v>Lasa Int</v>
      </c>
      <c r="C4291" s="7">
        <v>45951</v>
      </c>
      <c r="D4291" s="7">
        <v>46053</v>
      </c>
      <c r="E4291" s="8">
        <v>44</v>
      </c>
      <c r="F4291" s="6" t="str">
        <f t="shared" si="1101"/>
        <v>Pure Squares</v>
      </c>
      <c r="G4291" s="6" t="str">
        <f t="shared" si="1107"/>
        <v>F100021455012620</v>
      </c>
      <c r="H4291" s="6" t="str">
        <f t="shared" si="1108"/>
        <v>FA 214 / 2620 (b) -</v>
      </c>
      <c r="I4291" s="6" t="str">
        <f>"1"</f>
        <v>1</v>
      </c>
      <c r="J4291" s="6" t="str">
        <f>"BRANCO"</f>
        <v>BRANCO</v>
      </c>
      <c r="K4291" s="6" t="str">
        <f>"0530"</f>
        <v>0530</v>
      </c>
      <c r="L4291" s="6" t="str">
        <f>"Toalhetes"</f>
        <v>Toalhetes</v>
      </c>
      <c r="M4291" s="6" t="str">
        <f>"33x50"</f>
        <v>33x50</v>
      </c>
      <c r="N4291" s="6" t="str">
        <f>"5602972754216"</f>
        <v>5602972754216</v>
      </c>
      <c r="O4291" s="8">
        <v>12</v>
      </c>
      <c r="P4291" s="7">
        <v>45951</v>
      </c>
      <c r="R4291" s="8">
        <v>0</v>
      </c>
      <c r="U4291" s="8">
        <v>0</v>
      </c>
      <c r="X4291" s="8">
        <v>0</v>
      </c>
      <c r="Z4291" s="8">
        <v>0</v>
      </c>
      <c r="AC4291" s="8">
        <v>0</v>
      </c>
      <c r="AE4291" s="7">
        <v>45958</v>
      </c>
      <c r="AF4291" s="8">
        <v>0</v>
      </c>
      <c r="AH4291" s="7">
        <v>46053</v>
      </c>
      <c r="AN4291" s="8">
        <v>0</v>
      </c>
      <c r="AO4291" s="8">
        <v>12</v>
      </c>
    </row>
    <row r="4292" spans="1:41" x14ac:dyDescent="0.25">
      <c r="A4292" s="6" t="str">
        <f t="shared" si="1100"/>
        <v>525-2025000521</v>
      </c>
      <c r="B4292" s="6" t="str">
        <f t="shared" si="1109"/>
        <v>Lasa Int</v>
      </c>
      <c r="C4292" s="7">
        <v>45951</v>
      </c>
      <c r="D4292" s="7">
        <v>46053</v>
      </c>
      <c r="E4292" s="8">
        <v>45</v>
      </c>
      <c r="F4292" s="6" t="str">
        <f t="shared" si="1101"/>
        <v>Pure Squares</v>
      </c>
      <c r="G4292" s="6" t="str">
        <f t="shared" si="1107"/>
        <v>F100021455012620</v>
      </c>
      <c r="H4292" s="6" t="str">
        <f t="shared" si="1108"/>
        <v>FA 214 / 2620 (b) -</v>
      </c>
      <c r="I4292" s="6" t="str">
        <f>"4382"</f>
        <v>4382</v>
      </c>
      <c r="J4292" s="6" t="str">
        <f>"AMARELO 4382"</f>
        <v>AMARELO 4382</v>
      </c>
      <c r="K4292" s="6" t="str">
        <f>"0530"</f>
        <v>0530</v>
      </c>
      <c r="L4292" s="6" t="str">
        <f>"Toalhetes"</f>
        <v>Toalhetes</v>
      </c>
      <c r="M4292" s="6" t="str">
        <f>"33x50"</f>
        <v>33x50</v>
      </c>
      <c r="N4292" s="6" t="str">
        <f>"5602972643701"</f>
        <v>5602972643701</v>
      </c>
      <c r="O4292" s="8">
        <v>12</v>
      </c>
      <c r="P4292" s="7">
        <v>45951</v>
      </c>
      <c r="R4292" s="8">
        <v>0</v>
      </c>
      <c r="U4292" s="8">
        <v>0</v>
      </c>
      <c r="X4292" s="8">
        <v>0</v>
      </c>
      <c r="Z4292" s="8">
        <v>0</v>
      </c>
      <c r="AC4292" s="8">
        <v>12</v>
      </c>
      <c r="AE4292" s="7">
        <v>45958</v>
      </c>
      <c r="AF4292" s="8">
        <v>12</v>
      </c>
      <c r="AH4292" s="7">
        <v>46053</v>
      </c>
      <c r="AN4292" s="8">
        <v>12</v>
      </c>
      <c r="AO4292" s="8">
        <v>0</v>
      </c>
    </row>
    <row r="4293" spans="1:41" x14ac:dyDescent="0.25">
      <c r="A4293" s="6" t="str">
        <f>"525-2025000524"</f>
        <v>525-2025000524</v>
      </c>
      <c r="B4293" s="6" t="str">
        <f t="shared" si="1109"/>
        <v>Lasa Int</v>
      </c>
      <c r="C4293" s="7">
        <v>45952</v>
      </c>
      <c r="D4293" s="7">
        <v>46044</v>
      </c>
      <c r="E4293" s="8">
        <v>1</v>
      </c>
      <c r="F4293" s="6" t="str">
        <f>"Cucina"</f>
        <v>Cucina</v>
      </c>
      <c r="G4293" s="6" t="str">
        <f>"J310626744000000"</f>
        <v>J310626744000000</v>
      </c>
      <c r="H4293" s="6" t="str">
        <f>"PLAR 6267-6268-6269-"</f>
        <v>PLAR 6267-6268-6269-</v>
      </c>
      <c r="I4293" s="6" t="str">
        <f>"200509"</f>
        <v>200509</v>
      </c>
      <c r="J4293" s="6" t="str">
        <f>"VERDE 509"</f>
        <v>VERDE 509</v>
      </c>
      <c r="K4293" s="6" t="str">
        <f>"0820"</f>
        <v>0820</v>
      </c>
      <c r="L4293" s="6" t="str">
        <f>"Cozinha"</f>
        <v>Cozinha</v>
      </c>
      <c r="M4293" s="6" t="str">
        <f>"50x50"</f>
        <v>50x50</v>
      </c>
      <c r="N4293" s="6" t="str">
        <f>"5602972517330"</f>
        <v>5602972517330</v>
      </c>
      <c r="O4293" s="8">
        <v>1000</v>
      </c>
      <c r="P4293" s="7">
        <v>45952</v>
      </c>
      <c r="R4293" s="8">
        <v>1080</v>
      </c>
      <c r="S4293" s="7">
        <v>45957</v>
      </c>
      <c r="U4293" s="8">
        <v>1080</v>
      </c>
      <c r="V4293" s="7">
        <v>45964</v>
      </c>
      <c r="X4293" s="8">
        <v>0</v>
      </c>
      <c r="Z4293" s="8">
        <v>1080</v>
      </c>
      <c r="AA4293" s="7">
        <v>45978</v>
      </c>
      <c r="AC4293" s="8">
        <v>980</v>
      </c>
      <c r="AE4293" s="7">
        <v>45981</v>
      </c>
      <c r="AF4293" s="8">
        <v>980</v>
      </c>
      <c r="AH4293" s="7">
        <v>46031</v>
      </c>
      <c r="AN4293" s="8">
        <v>980</v>
      </c>
      <c r="AO4293" s="8">
        <v>20</v>
      </c>
    </row>
    <row r="4294" spans="1:41" x14ac:dyDescent="0.25">
      <c r="A4294" s="6" t="str">
        <f>"525-2025000524"</f>
        <v>525-2025000524</v>
      </c>
      <c r="B4294" s="6" t="str">
        <f t="shared" si="1109"/>
        <v>Lasa Int</v>
      </c>
      <c r="C4294" s="7">
        <v>45952</v>
      </c>
      <c r="D4294" s="7">
        <v>46044</v>
      </c>
      <c r="E4294" s="8">
        <v>2</v>
      </c>
      <c r="F4294" s="6" t="str">
        <f>"Cucina"</f>
        <v>Cucina</v>
      </c>
      <c r="G4294" s="6" t="str">
        <f>"J310626744000000"</f>
        <v>J310626744000000</v>
      </c>
      <c r="H4294" s="6" t="str">
        <f>"PLAR 6267-6268-6269-"</f>
        <v>PLAR 6267-6268-6269-</v>
      </c>
      <c r="I4294" s="6" t="str">
        <f>"200838"</f>
        <v>200838</v>
      </c>
      <c r="J4294" s="6" t="str">
        <f>"AZUL 838"</f>
        <v>AZUL 838</v>
      </c>
      <c r="K4294" s="6" t="str">
        <f>"0820"</f>
        <v>0820</v>
      </c>
      <c r="L4294" s="6" t="str">
        <f>"Cozinha"</f>
        <v>Cozinha</v>
      </c>
      <c r="M4294" s="6" t="str">
        <f>"50x50"</f>
        <v>50x50</v>
      </c>
      <c r="N4294" s="6" t="str">
        <f>"5602972517347"</f>
        <v>5602972517347</v>
      </c>
      <c r="O4294" s="8">
        <v>800</v>
      </c>
      <c r="P4294" s="7">
        <v>45952</v>
      </c>
      <c r="R4294" s="8">
        <v>820</v>
      </c>
      <c r="S4294" s="7">
        <v>45957</v>
      </c>
      <c r="U4294" s="8">
        <v>820</v>
      </c>
      <c r="V4294" s="7">
        <v>45964</v>
      </c>
      <c r="X4294" s="8">
        <v>0</v>
      </c>
      <c r="Z4294" s="8">
        <v>820</v>
      </c>
      <c r="AA4294" s="7">
        <v>45978</v>
      </c>
      <c r="AC4294" s="8">
        <v>652</v>
      </c>
      <c r="AE4294" s="7">
        <v>45981</v>
      </c>
      <c r="AF4294" s="8">
        <v>652</v>
      </c>
      <c r="AH4294" s="7">
        <v>46031</v>
      </c>
      <c r="AN4294" s="8">
        <v>652</v>
      </c>
      <c r="AO4294" s="8">
        <v>148</v>
      </c>
    </row>
    <row r="4295" spans="1:41" x14ac:dyDescent="0.25">
      <c r="A4295" s="6" t="str">
        <f>"525-2025000524"</f>
        <v>525-2025000524</v>
      </c>
      <c r="B4295" s="6" t="str">
        <f t="shared" si="1109"/>
        <v>Lasa Int</v>
      </c>
      <c r="C4295" s="7">
        <v>45952</v>
      </c>
      <c r="D4295" s="7">
        <v>46044</v>
      </c>
      <c r="E4295" s="8">
        <v>3</v>
      </c>
      <c r="F4295" s="6" t="str">
        <f>"Cucina"</f>
        <v>Cucina</v>
      </c>
      <c r="G4295" s="6" t="str">
        <f>"J310626744000000"</f>
        <v>J310626744000000</v>
      </c>
      <c r="H4295" s="6" t="str">
        <f>"PLAR 6267-6268-6269-"</f>
        <v>PLAR 6267-6268-6269-</v>
      </c>
      <c r="I4295" s="6" t="str">
        <f>"203776"</f>
        <v>203776</v>
      </c>
      <c r="J4295" s="6" t="str">
        <f>"CASTANHO 3776"</f>
        <v>CASTANHO 3776</v>
      </c>
      <c r="K4295" s="6" t="str">
        <f>"0820"</f>
        <v>0820</v>
      </c>
      <c r="L4295" s="6" t="str">
        <f>"Cozinha"</f>
        <v>Cozinha</v>
      </c>
      <c r="M4295" s="6" t="str">
        <f>"50x50"</f>
        <v>50x50</v>
      </c>
      <c r="N4295" s="6" t="str">
        <f>"5602972517354"</f>
        <v>5602972517354</v>
      </c>
      <c r="O4295" s="8">
        <v>800</v>
      </c>
      <c r="P4295" s="7">
        <v>45952</v>
      </c>
      <c r="R4295" s="8">
        <v>864</v>
      </c>
      <c r="S4295" s="7">
        <v>45957</v>
      </c>
      <c r="U4295" s="8">
        <v>864</v>
      </c>
      <c r="V4295" s="7">
        <v>45964</v>
      </c>
      <c r="X4295" s="8">
        <v>0</v>
      </c>
      <c r="Z4295" s="8">
        <v>864</v>
      </c>
      <c r="AA4295" s="7">
        <v>45978</v>
      </c>
      <c r="AC4295" s="8">
        <v>332</v>
      </c>
      <c r="AE4295" s="7">
        <v>45981</v>
      </c>
      <c r="AF4295" s="8">
        <v>332</v>
      </c>
      <c r="AH4295" s="7">
        <v>46031</v>
      </c>
      <c r="AN4295" s="8">
        <v>332</v>
      </c>
      <c r="AO4295" s="8">
        <v>468</v>
      </c>
    </row>
    <row r="4296" spans="1:41" x14ac:dyDescent="0.25">
      <c r="A4296" s="6" t="str">
        <f>"525-2025000524"</f>
        <v>525-2025000524</v>
      </c>
      <c r="B4296" s="6" t="str">
        <f t="shared" si="1109"/>
        <v>Lasa Int</v>
      </c>
      <c r="C4296" s="7">
        <v>45952</v>
      </c>
      <c r="D4296" s="7">
        <v>46044</v>
      </c>
      <c r="E4296" s="8">
        <v>4</v>
      </c>
      <c r="F4296" s="6" t="str">
        <f>"Cucina"</f>
        <v>Cucina</v>
      </c>
      <c r="G4296" s="6" t="str">
        <f>"J310626744000000"</f>
        <v>J310626744000000</v>
      </c>
      <c r="H4296" s="6" t="str">
        <f>"PLAR 6267-6268-6269-"</f>
        <v>PLAR 6267-6268-6269-</v>
      </c>
      <c r="I4296" s="6" t="str">
        <f>"204270"</f>
        <v>204270</v>
      </c>
      <c r="J4296" s="6" t="str">
        <f>"TIJOLO 4270"</f>
        <v>TIJOLO 4270</v>
      </c>
      <c r="K4296" s="6" t="str">
        <f>"0820"</f>
        <v>0820</v>
      </c>
      <c r="L4296" s="6" t="str">
        <f>"Cozinha"</f>
        <v>Cozinha</v>
      </c>
      <c r="M4296" s="6" t="str">
        <f>"50x50"</f>
        <v>50x50</v>
      </c>
      <c r="N4296" s="6" t="str">
        <f>"5602972517361"</f>
        <v>5602972517361</v>
      </c>
      <c r="O4296" s="8">
        <v>900</v>
      </c>
      <c r="P4296" s="7">
        <v>45952</v>
      </c>
      <c r="R4296" s="8">
        <v>996</v>
      </c>
      <c r="S4296" s="7">
        <v>45957</v>
      </c>
      <c r="U4296" s="8">
        <v>996</v>
      </c>
      <c r="V4296" s="7">
        <v>45964</v>
      </c>
      <c r="X4296" s="8">
        <v>0</v>
      </c>
      <c r="Z4296" s="8">
        <v>996</v>
      </c>
      <c r="AA4296" s="7">
        <v>45978</v>
      </c>
      <c r="AC4296" s="8">
        <v>216</v>
      </c>
      <c r="AE4296" s="7">
        <v>45981</v>
      </c>
      <c r="AF4296" s="8">
        <v>216</v>
      </c>
      <c r="AH4296" s="7">
        <v>46031</v>
      </c>
      <c r="AN4296" s="8">
        <v>216</v>
      </c>
      <c r="AO4296" s="8">
        <v>684</v>
      </c>
    </row>
    <row r="4297" spans="1:41" x14ac:dyDescent="0.25">
      <c r="A4297" s="6" t="str">
        <f>"525-2025000526"</f>
        <v>525-2025000526</v>
      </c>
      <c r="B4297" s="6" t="str">
        <f t="shared" si="1109"/>
        <v>Lasa Int</v>
      </c>
      <c r="C4297" s="7">
        <v>45953</v>
      </c>
      <c r="D4297" s="7">
        <v>46080</v>
      </c>
      <c r="E4297" s="8">
        <v>3</v>
      </c>
      <c r="F4297" s="6" t="str">
        <f>"Navy"</f>
        <v>Navy</v>
      </c>
      <c r="G4297" s="6" t="str">
        <f>"F601247138000000"</f>
        <v>F601247138000000</v>
      </c>
      <c r="H4297" s="6" t="str">
        <f>"10-2471 - 380 g/m² L"</f>
        <v>10-2471 - 380 g/m² L</v>
      </c>
      <c r="I4297" s="6" t="str">
        <f>"201002"</f>
        <v>201002</v>
      </c>
      <c r="J4297" s="6" t="str">
        <f>"AZUL 1002"</f>
        <v>AZUL 1002</v>
      </c>
      <c r="K4297" s="6" t="str">
        <f>"3530"</f>
        <v>3530</v>
      </c>
      <c r="L4297" s="6" t="str">
        <f>"Praia"</f>
        <v>Praia</v>
      </c>
      <c r="M4297" s="6" t="str">
        <f>"100x180"</f>
        <v>100x180</v>
      </c>
      <c r="N4297" s="6" t="str">
        <f>"5602972523461"</f>
        <v>5602972523461</v>
      </c>
      <c r="O4297" s="8">
        <v>400</v>
      </c>
      <c r="P4297" s="7">
        <v>46036</v>
      </c>
      <c r="R4297" s="8">
        <v>474</v>
      </c>
      <c r="S4297" s="7">
        <v>46048</v>
      </c>
      <c r="U4297" s="8">
        <v>474</v>
      </c>
      <c r="V4297" s="7">
        <v>46044</v>
      </c>
      <c r="X4297" s="8">
        <v>0</v>
      </c>
      <c r="Z4297" s="8">
        <v>474</v>
      </c>
      <c r="AA4297" s="7">
        <v>46057</v>
      </c>
      <c r="AC4297" s="8">
        <v>0</v>
      </c>
      <c r="AE4297" s="7">
        <v>46059</v>
      </c>
      <c r="AF4297" s="8">
        <v>0</v>
      </c>
      <c r="AH4297" s="7">
        <v>46059</v>
      </c>
      <c r="AN4297" s="8">
        <v>0</v>
      </c>
      <c r="AO4297" s="8">
        <v>400</v>
      </c>
    </row>
    <row r="4298" spans="1:41" x14ac:dyDescent="0.25">
      <c r="A4298" s="6" t="str">
        <f>"525-2025000526"</f>
        <v>525-2025000526</v>
      </c>
      <c r="B4298" s="6" t="str">
        <f t="shared" si="1109"/>
        <v>Lasa Int</v>
      </c>
      <c r="C4298" s="7">
        <v>45953</v>
      </c>
      <c r="D4298" s="7">
        <v>46080</v>
      </c>
      <c r="E4298" s="8">
        <v>4</v>
      </c>
      <c r="F4298" s="6" t="str">
        <f>"Navy"</f>
        <v>Navy</v>
      </c>
      <c r="G4298" s="6" t="str">
        <f>"F601247238000000"</f>
        <v>F601247238000000</v>
      </c>
      <c r="H4298" s="6" t="str">
        <f>"10-2472 - 380 g/m² L"</f>
        <v>10-2472 - 380 g/m² L</v>
      </c>
      <c r="I4298" s="6" t="str">
        <f>"200924"</f>
        <v>200924</v>
      </c>
      <c r="J4298" s="6" t="str">
        <f>"VERMELHO 924"</f>
        <v>VERMELHO 924</v>
      </c>
      <c r="K4298" s="6" t="str">
        <f>"3530"</f>
        <v>3530</v>
      </c>
      <c r="L4298" s="6" t="str">
        <f>"Praia"</f>
        <v>Praia</v>
      </c>
      <c r="M4298" s="6" t="str">
        <f>"100x180"</f>
        <v>100x180</v>
      </c>
      <c r="N4298" s="6" t="str">
        <f>"5602972523478"</f>
        <v>5602972523478</v>
      </c>
      <c r="O4298" s="8">
        <v>400</v>
      </c>
      <c r="P4298" s="7">
        <v>46036</v>
      </c>
      <c r="R4298" s="8">
        <v>448</v>
      </c>
      <c r="S4298" s="7">
        <v>46048</v>
      </c>
      <c r="U4298" s="8">
        <v>448</v>
      </c>
      <c r="V4298" s="7">
        <v>46044</v>
      </c>
      <c r="X4298" s="8">
        <v>0</v>
      </c>
      <c r="Z4298" s="8">
        <v>448</v>
      </c>
      <c r="AA4298" s="7">
        <v>46057</v>
      </c>
      <c r="AC4298" s="8">
        <v>0</v>
      </c>
      <c r="AE4298" s="7">
        <v>46059</v>
      </c>
      <c r="AF4298" s="8">
        <v>0</v>
      </c>
      <c r="AH4298" s="7">
        <v>46059</v>
      </c>
      <c r="AN4298" s="8">
        <v>0</v>
      </c>
      <c r="AO4298" s="8">
        <v>400</v>
      </c>
    </row>
    <row r="4299" spans="1:41" x14ac:dyDescent="0.25">
      <c r="A4299" s="6" t="str">
        <f>"525-2025000527"</f>
        <v>525-2025000527</v>
      </c>
      <c r="B4299" s="6" t="str">
        <f t="shared" si="1109"/>
        <v>Lasa Int</v>
      </c>
      <c r="C4299" s="7">
        <v>45953</v>
      </c>
      <c r="D4299" s="7">
        <v>46080</v>
      </c>
      <c r="E4299" s="8">
        <v>1</v>
      </c>
      <c r="F4299" s="6" t="str">
        <f>"Sun"</f>
        <v>Sun</v>
      </c>
      <c r="G4299" s="6" t="str">
        <f>"F601900438000000"</f>
        <v>F601900438000000</v>
      </c>
      <c r="H4299" s="6" t="str">
        <f>"19004 - 380 g/m² Lam"</f>
        <v>19004 - 380 g/m² Lam</v>
      </c>
      <c r="I4299" s="6" t="str">
        <f>"202583"</f>
        <v>202583</v>
      </c>
      <c r="J4299" s="6" t="str">
        <f>"LARANJA 2583"</f>
        <v>LARANJA 2583</v>
      </c>
      <c r="K4299" s="6" t="str">
        <f>"3550"</f>
        <v>3550</v>
      </c>
      <c r="L4299" s="6" t="str">
        <f>"Praia"</f>
        <v>Praia</v>
      </c>
      <c r="M4299" s="6" t="str">
        <f>"180x100"</f>
        <v>180x100</v>
      </c>
      <c r="N4299" s="6" t="str">
        <f>"5602972523522"</f>
        <v>5602972523522</v>
      </c>
      <c r="O4299" s="8">
        <v>500</v>
      </c>
      <c r="P4299" s="7">
        <v>45678</v>
      </c>
      <c r="R4299" s="8">
        <v>577</v>
      </c>
      <c r="S4299" s="7">
        <v>45688</v>
      </c>
      <c r="U4299" s="8">
        <v>577</v>
      </c>
      <c r="V4299" s="7">
        <v>45686</v>
      </c>
      <c r="X4299" s="8">
        <v>0</v>
      </c>
      <c r="Z4299" s="8">
        <v>35</v>
      </c>
      <c r="AA4299" s="7">
        <v>45699</v>
      </c>
      <c r="AC4299" s="8">
        <v>0</v>
      </c>
      <c r="AE4299" s="7">
        <v>45701</v>
      </c>
      <c r="AF4299" s="8">
        <v>0</v>
      </c>
      <c r="AH4299" s="7">
        <v>46066</v>
      </c>
      <c r="AN4299" s="8">
        <v>0</v>
      </c>
      <c r="AO4299" s="8">
        <v>500</v>
      </c>
    </row>
    <row r="4300" spans="1:41" x14ac:dyDescent="0.25">
      <c r="A4300" s="6" t="str">
        <f>"525-2025000527"</f>
        <v>525-2025000527</v>
      </c>
      <c r="B4300" s="6" t="str">
        <f t="shared" si="1109"/>
        <v>Lasa Int</v>
      </c>
      <c r="C4300" s="7">
        <v>45953</v>
      </c>
      <c r="D4300" s="7">
        <v>46080</v>
      </c>
      <c r="E4300" s="8">
        <v>2</v>
      </c>
      <c r="F4300" s="6" t="str">
        <f>"Sun"</f>
        <v>Sun</v>
      </c>
      <c r="G4300" s="6" t="str">
        <f>"F601900838000000"</f>
        <v>F601900838000000</v>
      </c>
      <c r="H4300" s="6" t="str">
        <f>"19008 - 380 g/m² Lam"</f>
        <v>19008 - 380 g/m² Lam</v>
      </c>
      <c r="I4300" s="6" t="str">
        <f>"200608"</f>
        <v>200608</v>
      </c>
      <c r="J4300" s="6" t="str">
        <f>"TURQUESA 608"</f>
        <v>TURQUESA 608</v>
      </c>
      <c r="K4300" s="6" t="str">
        <f>"3550"</f>
        <v>3550</v>
      </c>
      <c r="L4300" s="6" t="str">
        <f>"Praia"</f>
        <v>Praia</v>
      </c>
      <c r="M4300" s="6" t="str">
        <f>"180x100"</f>
        <v>180x100</v>
      </c>
      <c r="N4300" s="6" t="str">
        <f>"5602972523560"</f>
        <v>5602972523560</v>
      </c>
      <c r="O4300" s="8">
        <v>400</v>
      </c>
      <c r="P4300" s="7">
        <v>45678</v>
      </c>
      <c r="R4300" s="8">
        <v>435</v>
      </c>
      <c r="S4300" s="7">
        <v>45688</v>
      </c>
      <c r="U4300" s="8">
        <v>435</v>
      </c>
      <c r="V4300" s="7">
        <v>45686</v>
      </c>
      <c r="X4300" s="8">
        <v>0</v>
      </c>
      <c r="Z4300" s="8">
        <v>435</v>
      </c>
      <c r="AA4300" s="7">
        <v>45699</v>
      </c>
      <c r="AC4300" s="8">
        <v>0</v>
      </c>
      <c r="AE4300" s="7">
        <v>45701</v>
      </c>
      <c r="AF4300" s="8">
        <v>0</v>
      </c>
      <c r="AH4300" s="7">
        <v>46066</v>
      </c>
      <c r="AN4300" s="8">
        <v>0</v>
      </c>
      <c r="AO4300" s="8">
        <v>400</v>
      </c>
    </row>
    <row r="4301" spans="1:41" x14ac:dyDescent="0.25">
      <c r="A4301" s="6" t="str">
        <f>"525-2025000528"</f>
        <v>525-2025000528</v>
      </c>
      <c r="B4301" s="6" t="str">
        <f t="shared" si="1109"/>
        <v>Lasa Int</v>
      </c>
      <c r="C4301" s="7">
        <v>45953</v>
      </c>
      <c r="D4301" s="7">
        <v>46037</v>
      </c>
      <c r="E4301" s="8">
        <v>1</v>
      </c>
      <c r="F4301" s="6" t="str">
        <f>"Panos PURE"</f>
        <v>Panos PURE</v>
      </c>
      <c r="G4301" s="6" t="str">
        <f>"F110110840000000"</f>
        <v>F110110840000000</v>
      </c>
      <c r="H4301" s="6" t="str">
        <f>"FAJ 1108 - PURE KITC"</f>
        <v>FAJ 1108 - PURE KITC</v>
      </c>
      <c r="I4301" s="6" t="str">
        <f>"1"</f>
        <v>1</v>
      </c>
      <c r="J4301" s="6" t="str">
        <f>"BRANCO"</f>
        <v>BRANCO</v>
      </c>
      <c r="K4301" s="6" t="str">
        <f>"0820"</f>
        <v>0820</v>
      </c>
      <c r="L4301" s="6" t="str">
        <f>"Cozinha"</f>
        <v>Cozinha</v>
      </c>
      <c r="M4301" s="6" t="str">
        <f>"50x50"</f>
        <v>50x50</v>
      </c>
      <c r="N4301" s="6" t="str">
        <f>"5602972885033"</f>
        <v>5602972885033</v>
      </c>
      <c r="O4301" s="8">
        <v>1200</v>
      </c>
      <c r="P4301" s="7">
        <v>45953</v>
      </c>
      <c r="R4301" s="8">
        <v>1296</v>
      </c>
      <c r="S4301" s="7">
        <v>45958</v>
      </c>
      <c r="U4301" s="8">
        <v>1296</v>
      </c>
      <c r="V4301" s="7">
        <v>45967</v>
      </c>
      <c r="X4301" s="8">
        <v>0</v>
      </c>
      <c r="Z4301" s="8">
        <v>1296</v>
      </c>
      <c r="AA4301" s="7">
        <v>45979</v>
      </c>
      <c r="AC4301" s="8">
        <v>1164</v>
      </c>
      <c r="AE4301" s="7">
        <v>45981</v>
      </c>
      <c r="AF4301" s="8">
        <v>1164</v>
      </c>
      <c r="AH4301" s="7">
        <v>45981</v>
      </c>
      <c r="AN4301" s="8">
        <v>1164</v>
      </c>
      <c r="AO4301" s="8">
        <v>36</v>
      </c>
    </row>
    <row r="4302" spans="1:41" x14ac:dyDescent="0.25">
      <c r="A4302" s="6" t="str">
        <f>"525-2025000528"</f>
        <v>525-2025000528</v>
      </c>
      <c r="B4302" s="6" t="str">
        <f t="shared" si="1109"/>
        <v>Lasa Int</v>
      </c>
      <c r="C4302" s="7">
        <v>45953</v>
      </c>
      <c r="D4302" s="7">
        <v>46037</v>
      </c>
      <c r="E4302" s="8">
        <v>2</v>
      </c>
      <c r="F4302" s="6" t="str">
        <f>"Panos PURE"</f>
        <v>Panos PURE</v>
      </c>
      <c r="G4302" s="6" t="str">
        <f>"F110117940000000"</f>
        <v>F110117940000000</v>
      </c>
      <c r="H4302" s="6" t="str">
        <f>"FAJ 1179 - PURE KITC"</f>
        <v>FAJ 1179 - PURE KITC</v>
      </c>
      <c r="I4302" s="6" t="str">
        <f>"1"</f>
        <v>1</v>
      </c>
      <c r="J4302" s="6" t="str">
        <f>"BRANCO"</f>
        <v>BRANCO</v>
      </c>
      <c r="K4302" s="6" t="str">
        <f>"0820"</f>
        <v>0820</v>
      </c>
      <c r="L4302" s="6" t="str">
        <f>"Cozinha"</f>
        <v>Cozinha</v>
      </c>
      <c r="M4302" s="6" t="str">
        <f>"50x50"</f>
        <v>50x50</v>
      </c>
      <c r="N4302" s="6" t="str">
        <f>"5602972885132"</f>
        <v>5602972885132</v>
      </c>
      <c r="O4302" s="8">
        <v>800</v>
      </c>
      <c r="P4302" s="7">
        <v>45953</v>
      </c>
      <c r="R4302" s="8">
        <v>864</v>
      </c>
      <c r="S4302" s="7">
        <v>45958</v>
      </c>
      <c r="U4302" s="8">
        <v>864</v>
      </c>
      <c r="V4302" s="7">
        <v>45967</v>
      </c>
      <c r="X4302" s="8">
        <v>0</v>
      </c>
      <c r="Z4302" s="8">
        <v>864</v>
      </c>
      <c r="AA4302" s="7">
        <v>45979</v>
      </c>
      <c r="AC4302" s="8">
        <v>120</v>
      </c>
      <c r="AE4302" s="7">
        <v>45981</v>
      </c>
      <c r="AF4302" s="8">
        <v>120</v>
      </c>
      <c r="AH4302" s="7">
        <v>45981</v>
      </c>
      <c r="AN4302" s="8">
        <v>120</v>
      </c>
      <c r="AO4302" s="8">
        <v>680</v>
      </c>
    </row>
    <row r="4303" spans="1:41" x14ac:dyDescent="0.25">
      <c r="A4303" s="6" t="str">
        <f>"525-2025000529"</f>
        <v>525-2025000529</v>
      </c>
      <c r="B4303" s="6" t="str">
        <f t="shared" si="1109"/>
        <v>Lasa Int</v>
      </c>
      <c r="C4303" s="7">
        <v>45954</v>
      </c>
      <c r="D4303" s="7">
        <v>46073</v>
      </c>
      <c r="E4303" s="8">
        <v>1</v>
      </c>
      <c r="F4303" s="6" t="str">
        <f>"Palm"</f>
        <v>Palm</v>
      </c>
      <c r="G4303" s="6" t="str">
        <f>"F601247638000000"</f>
        <v>F601247638000000</v>
      </c>
      <c r="H4303" s="6" t="str">
        <f>"10-2476 - 380 g/m² L"</f>
        <v>10-2476 - 380 g/m² L</v>
      </c>
      <c r="I4303" s="6" t="str">
        <f>"201996"</f>
        <v>201996</v>
      </c>
      <c r="J4303" s="6" t="str">
        <f>"AMARELO 1996"</f>
        <v>AMARELO 1996</v>
      </c>
      <c r="K4303" s="6" t="str">
        <f>"3530"</f>
        <v>3530</v>
      </c>
      <c r="L4303" s="6" t="str">
        <f>"Praia"</f>
        <v>Praia</v>
      </c>
      <c r="M4303" s="6" t="str">
        <f>"100x180"</f>
        <v>100x180</v>
      </c>
      <c r="N4303" s="6" t="str">
        <f>"5602972523515"</f>
        <v>5602972523515</v>
      </c>
      <c r="O4303" s="8">
        <v>360</v>
      </c>
      <c r="P4303" s="7">
        <v>46036</v>
      </c>
      <c r="R4303" s="8">
        <v>414</v>
      </c>
      <c r="S4303" s="7">
        <v>46048</v>
      </c>
      <c r="U4303" s="8">
        <v>414</v>
      </c>
      <c r="V4303" s="7">
        <v>46044</v>
      </c>
      <c r="X4303" s="8">
        <v>0</v>
      </c>
      <c r="Z4303" s="8">
        <v>414</v>
      </c>
      <c r="AA4303" s="7">
        <v>46057</v>
      </c>
      <c r="AC4303" s="8">
        <v>0</v>
      </c>
      <c r="AE4303" s="7">
        <v>46059</v>
      </c>
      <c r="AF4303" s="8">
        <v>0</v>
      </c>
      <c r="AH4303" s="7">
        <v>46059</v>
      </c>
      <c r="AN4303" s="8">
        <v>0</v>
      </c>
      <c r="AO4303" s="8">
        <v>360</v>
      </c>
    </row>
    <row r="4304" spans="1:41" x14ac:dyDescent="0.25">
      <c r="A4304" s="6" t="str">
        <f>"525-2025000529"</f>
        <v>525-2025000529</v>
      </c>
      <c r="B4304" s="6" t="str">
        <f t="shared" si="1109"/>
        <v>Lasa Int</v>
      </c>
      <c r="C4304" s="7">
        <v>45954</v>
      </c>
      <c r="D4304" s="7">
        <v>46073</v>
      </c>
      <c r="E4304" s="8">
        <v>2</v>
      </c>
      <c r="F4304" s="6" t="str">
        <f>"Palm"</f>
        <v>Palm</v>
      </c>
      <c r="G4304" s="6" t="str">
        <f>"F601247438000000"</f>
        <v>F601247438000000</v>
      </c>
      <c r="H4304" s="6" t="str">
        <f>"10-2474 - 380 g/m² L"</f>
        <v>10-2474 - 380 g/m² L</v>
      </c>
      <c r="I4304" s="6" t="str">
        <f>"201002"</f>
        <v>201002</v>
      </c>
      <c r="J4304" s="6" t="str">
        <f>"AZUL 1002"</f>
        <v>AZUL 1002</v>
      </c>
      <c r="K4304" s="6" t="str">
        <f>"3530"</f>
        <v>3530</v>
      </c>
      <c r="L4304" s="6" t="str">
        <f>"Praia"</f>
        <v>Praia</v>
      </c>
      <c r="M4304" s="6" t="str">
        <f>"100x180"</f>
        <v>100x180</v>
      </c>
      <c r="N4304" s="6" t="str">
        <f>"5602972523485"</f>
        <v>5602972523485</v>
      </c>
      <c r="O4304" s="8">
        <v>400</v>
      </c>
      <c r="P4304" s="7">
        <v>46036</v>
      </c>
      <c r="R4304" s="8">
        <v>460</v>
      </c>
      <c r="S4304" s="7">
        <v>46048</v>
      </c>
      <c r="U4304" s="8">
        <v>460</v>
      </c>
      <c r="V4304" s="7">
        <v>46044</v>
      </c>
      <c r="X4304" s="8">
        <v>0</v>
      </c>
      <c r="Z4304" s="8">
        <v>460</v>
      </c>
      <c r="AA4304" s="7">
        <v>46057</v>
      </c>
      <c r="AC4304" s="8">
        <v>0</v>
      </c>
      <c r="AE4304" s="7">
        <v>46059</v>
      </c>
      <c r="AF4304" s="8">
        <v>0</v>
      </c>
      <c r="AH4304" s="7">
        <v>46059</v>
      </c>
      <c r="AN4304" s="8">
        <v>0</v>
      </c>
      <c r="AO4304" s="8">
        <v>400</v>
      </c>
    </row>
    <row r="4305" spans="1:41" x14ac:dyDescent="0.25">
      <c r="A4305" s="6" t="str">
        <f t="shared" ref="A4305:A4335" si="1110">"525-2025000530"</f>
        <v>525-2025000530</v>
      </c>
      <c r="B4305" s="6" t="str">
        <f t="shared" si="1109"/>
        <v>Lasa Int</v>
      </c>
      <c r="C4305" s="7">
        <v>45954</v>
      </c>
      <c r="D4305" s="7">
        <v>46037</v>
      </c>
      <c r="E4305" s="8">
        <v>1</v>
      </c>
      <c r="F4305" s="6" t="str">
        <f t="shared" ref="F4305:F4335" si="1111">"PURE"</f>
        <v>PURE</v>
      </c>
      <c r="G4305" s="6" t="str">
        <f t="shared" ref="G4305:G4332" si="1112">"F100021455000000"</f>
        <v>F100021455000000</v>
      </c>
      <c r="H4305" s="6" t="str">
        <f t="shared" ref="H4305:H4332" si="1113">"FA 214 - PURE - 550"</f>
        <v>FA 214 - PURE - 550</v>
      </c>
      <c r="I4305" s="6" t="str">
        <f>"1"</f>
        <v>1</v>
      </c>
      <c r="J4305" s="6" t="str">
        <f>"BRANCO"</f>
        <v>BRANCO</v>
      </c>
      <c r="K4305" s="6" t="str">
        <f>"0112"</f>
        <v>0112</v>
      </c>
      <c r="L4305" s="6" t="str">
        <f>"Luvas"</f>
        <v>Luvas</v>
      </c>
      <c r="M4305" s="6" t="str">
        <f>"16x21"</f>
        <v>16x21</v>
      </c>
      <c r="N4305" s="6" t="str">
        <f>"5602972836233"</f>
        <v>5602972836233</v>
      </c>
      <c r="O4305" s="8">
        <v>600</v>
      </c>
      <c r="P4305" s="7">
        <v>45954</v>
      </c>
      <c r="R4305" s="8">
        <v>0</v>
      </c>
      <c r="S4305" s="7">
        <v>45959</v>
      </c>
      <c r="U4305" s="8">
        <v>600</v>
      </c>
      <c r="V4305" s="7">
        <v>45972</v>
      </c>
      <c r="X4305" s="8">
        <v>0</v>
      </c>
      <c r="Z4305" s="8">
        <v>600</v>
      </c>
      <c r="AA4305" s="7">
        <v>45986</v>
      </c>
      <c r="AC4305" s="8">
        <v>0</v>
      </c>
      <c r="AE4305" s="7">
        <v>45989</v>
      </c>
      <c r="AF4305" s="8">
        <v>0</v>
      </c>
      <c r="AH4305" s="7">
        <v>45989</v>
      </c>
      <c r="AN4305" s="8">
        <v>588</v>
      </c>
      <c r="AO4305" s="8">
        <v>12</v>
      </c>
    </row>
    <row r="4306" spans="1:41" x14ac:dyDescent="0.25">
      <c r="A4306" s="6" t="str">
        <f t="shared" si="1110"/>
        <v>525-2025000530</v>
      </c>
      <c r="B4306" s="6" t="str">
        <f t="shared" si="1109"/>
        <v>Lasa Int</v>
      </c>
      <c r="C4306" s="7">
        <v>45954</v>
      </c>
      <c r="D4306" s="7">
        <v>46037</v>
      </c>
      <c r="E4306" s="8">
        <v>2</v>
      </c>
      <c r="F4306" s="6" t="str">
        <f t="shared" si="1111"/>
        <v>PURE</v>
      </c>
      <c r="G4306" s="6" t="str">
        <f t="shared" si="1112"/>
        <v>F100021455000000</v>
      </c>
      <c r="H4306" s="6" t="str">
        <f t="shared" si="1113"/>
        <v>FA 214 - PURE - 550</v>
      </c>
      <c r="I4306" s="6" t="str">
        <f>"1"</f>
        <v>1</v>
      </c>
      <c r="J4306" s="6" t="str">
        <f>"BRANCO"</f>
        <v>BRANCO</v>
      </c>
      <c r="K4306" s="6" t="str">
        <f>"0530"</f>
        <v>0530</v>
      </c>
      <c r="L4306" s="6" t="str">
        <f>"Toalhetes"</f>
        <v>Toalhetes</v>
      </c>
      <c r="M4306" s="6" t="str">
        <f>"33x50"</f>
        <v>33x50</v>
      </c>
      <c r="N4306" s="6" t="str">
        <f>"5602972836240"</f>
        <v>5602972836240</v>
      </c>
      <c r="O4306" s="8">
        <v>450</v>
      </c>
      <c r="P4306" s="7">
        <v>45954</v>
      </c>
      <c r="R4306" s="8">
        <v>3150</v>
      </c>
      <c r="S4306" s="7">
        <v>45959</v>
      </c>
      <c r="U4306" s="8">
        <v>450</v>
      </c>
      <c r="V4306" s="7">
        <v>45972</v>
      </c>
      <c r="X4306" s="8">
        <v>0</v>
      </c>
      <c r="Z4306" s="8">
        <v>450</v>
      </c>
      <c r="AA4306" s="7">
        <v>45986</v>
      </c>
      <c r="AC4306" s="8">
        <v>512</v>
      </c>
      <c r="AE4306" s="7">
        <v>45989</v>
      </c>
      <c r="AF4306" s="8">
        <v>512</v>
      </c>
      <c r="AH4306" s="7">
        <v>45989</v>
      </c>
      <c r="AN4306" s="8">
        <v>512</v>
      </c>
      <c r="AO4306" s="8">
        <v>-62</v>
      </c>
    </row>
    <row r="4307" spans="1:41" x14ac:dyDescent="0.25">
      <c r="A4307" s="6" t="str">
        <f t="shared" si="1110"/>
        <v>525-2025000530</v>
      </c>
      <c r="B4307" s="6" t="str">
        <f t="shared" si="1109"/>
        <v>Lasa Int</v>
      </c>
      <c r="C4307" s="7">
        <v>45954</v>
      </c>
      <c r="D4307" s="7">
        <v>46037</v>
      </c>
      <c r="E4307" s="8">
        <v>3</v>
      </c>
      <c r="F4307" s="6" t="str">
        <f t="shared" si="1111"/>
        <v>PURE</v>
      </c>
      <c r="G4307" s="6" t="str">
        <f t="shared" si="1112"/>
        <v>F100021455000000</v>
      </c>
      <c r="H4307" s="6" t="str">
        <f t="shared" si="1113"/>
        <v>FA 214 - PURE - 550</v>
      </c>
      <c r="I4307" s="6" t="str">
        <f>"1"</f>
        <v>1</v>
      </c>
      <c r="J4307" s="6" t="str">
        <f>"BRANCO"</f>
        <v>BRANCO</v>
      </c>
      <c r="K4307" s="6" t="str">
        <f>"1024"</f>
        <v>1024</v>
      </c>
      <c r="L4307" s="6" t="str">
        <f>"Toalhas"</f>
        <v>Toalhas</v>
      </c>
      <c r="M4307" s="6" t="str">
        <f>"50x100"</f>
        <v>50x100</v>
      </c>
      <c r="N4307" s="6" t="str">
        <f>"5602972836257"</f>
        <v>5602972836257</v>
      </c>
      <c r="O4307" s="8">
        <v>960</v>
      </c>
      <c r="P4307" s="7">
        <v>45954</v>
      </c>
      <c r="R4307" s="8">
        <v>5040</v>
      </c>
      <c r="S4307" s="7">
        <v>45959</v>
      </c>
      <c r="U4307" s="8">
        <v>972</v>
      </c>
      <c r="V4307" s="7">
        <v>45972</v>
      </c>
      <c r="X4307" s="8">
        <v>0</v>
      </c>
      <c r="Z4307" s="8">
        <v>972</v>
      </c>
      <c r="AA4307" s="7">
        <v>45986</v>
      </c>
      <c r="AC4307" s="8">
        <v>960</v>
      </c>
      <c r="AE4307" s="7">
        <v>45989</v>
      </c>
      <c r="AF4307" s="8">
        <v>960</v>
      </c>
      <c r="AH4307" s="7">
        <v>45989</v>
      </c>
      <c r="AN4307" s="8">
        <v>960</v>
      </c>
      <c r="AO4307" s="8">
        <v>0</v>
      </c>
    </row>
    <row r="4308" spans="1:41" x14ac:dyDescent="0.25">
      <c r="A4308" s="6" t="str">
        <f t="shared" si="1110"/>
        <v>525-2025000530</v>
      </c>
      <c r="B4308" s="6" t="str">
        <f t="shared" si="1109"/>
        <v>Lasa Int</v>
      </c>
      <c r="C4308" s="7">
        <v>45954</v>
      </c>
      <c r="D4308" s="7">
        <v>46037</v>
      </c>
      <c r="E4308" s="8">
        <v>4</v>
      </c>
      <c r="F4308" s="6" t="str">
        <f t="shared" si="1111"/>
        <v>PURE</v>
      </c>
      <c r="G4308" s="6" t="str">
        <f t="shared" si="1112"/>
        <v>F100021455000000</v>
      </c>
      <c r="H4308" s="6" t="str">
        <f t="shared" si="1113"/>
        <v>FA 214 - PURE - 550</v>
      </c>
      <c r="I4308" s="6" t="str">
        <f>"1"</f>
        <v>1</v>
      </c>
      <c r="J4308" s="6" t="str">
        <f>"BRANCO"</f>
        <v>BRANCO</v>
      </c>
      <c r="K4308" s="6" t="str">
        <f>"1535"</f>
        <v>1535</v>
      </c>
      <c r="L4308" s="6" t="str">
        <f>"Toalhões"</f>
        <v>Toalhões</v>
      </c>
      <c r="M4308" s="6" t="str">
        <f>"70x140"</f>
        <v>70x140</v>
      </c>
      <c r="N4308" s="6" t="str">
        <f>"5602972836264"</f>
        <v>5602972836264</v>
      </c>
      <c r="O4308" s="8">
        <v>480</v>
      </c>
      <c r="P4308" s="7">
        <v>45954</v>
      </c>
      <c r="R4308" s="8">
        <v>1710</v>
      </c>
      <c r="S4308" s="7">
        <v>45959</v>
      </c>
      <c r="U4308" s="8">
        <v>591</v>
      </c>
      <c r="V4308" s="7">
        <v>45972</v>
      </c>
      <c r="X4308" s="8">
        <v>0</v>
      </c>
      <c r="Z4308" s="8">
        <v>591</v>
      </c>
      <c r="AA4308" s="7">
        <v>45986</v>
      </c>
      <c r="AC4308" s="8">
        <v>485</v>
      </c>
      <c r="AE4308" s="7">
        <v>45989</v>
      </c>
      <c r="AF4308" s="8">
        <v>485</v>
      </c>
      <c r="AH4308" s="7">
        <v>45989</v>
      </c>
      <c r="AN4308" s="8">
        <v>485</v>
      </c>
      <c r="AO4308" s="8">
        <v>-5</v>
      </c>
    </row>
    <row r="4309" spans="1:41" x14ac:dyDescent="0.25">
      <c r="A4309" s="6" t="str">
        <f t="shared" si="1110"/>
        <v>525-2025000530</v>
      </c>
      <c r="B4309" s="6" t="str">
        <f t="shared" si="1109"/>
        <v>Lasa Int</v>
      </c>
      <c r="C4309" s="7">
        <v>45954</v>
      </c>
      <c r="D4309" s="7">
        <v>46037</v>
      </c>
      <c r="E4309" s="8">
        <v>5</v>
      </c>
      <c r="F4309" s="6" t="str">
        <f t="shared" si="1111"/>
        <v>PURE</v>
      </c>
      <c r="G4309" s="6" t="str">
        <f t="shared" si="1112"/>
        <v>F100021455000000</v>
      </c>
      <c r="H4309" s="6" t="str">
        <f t="shared" si="1113"/>
        <v>FA 214 - PURE - 550</v>
      </c>
      <c r="I4309" s="6" t="str">
        <f>"1"</f>
        <v>1</v>
      </c>
      <c r="J4309" s="6" t="str">
        <f>"BRANCO"</f>
        <v>BRANCO</v>
      </c>
      <c r="K4309" s="6" t="str">
        <f>"2020"</f>
        <v>2020</v>
      </c>
      <c r="L4309" s="6" t="str">
        <f>"Lençóis"</f>
        <v>Lençóis</v>
      </c>
      <c r="M4309" s="6" t="str">
        <f>"100x150"</f>
        <v>100x150</v>
      </c>
      <c r="N4309" s="6" t="str">
        <f>"5602972836271"</f>
        <v>5602972836271</v>
      </c>
      <c r="O4309" s="8">
        <v>320</v>
      </c>
      <c r="P4309" s="7">
        <v>45954</v>
      </c>
      <c r="R4309" s="8">
        <v>1688</v>
      </c>
      <c r="S4309" s="7">
        <v>45959</v>
      </c>
      <c r="U4309" s="8">
        <v>320</v>
      </c>
      <c r="V4309" s="7">
        <v>45972</v>
      </c>
      <c r="X4309" s="8">
        <v>0</v>
      </c>
      <c r="Z4309" s="8">
        <v>320</v>
      </c>
      <c r="AA4309" s="7">
        <v>45986</v>
      </c>
      <c r="AC4309" s="8">
        <v>166</v>
      </c>
      <c r="AE4309" s="7">
        <v>45989</v>
      </c>
      <c r="AF4309" s="8">
        <v>166</v>
      </c>
      <c r="AH4309" s="7">
        <v>45989</v>
      </c>
      <c r="AN4309" s="8">
        <v>166</v>
      </c>
      <c r="AO4309" s="8">
        <v>154</v>
      </c>
    </row>
    <row r="4310" spans="1:41" x14ac:dyDescent="0.25">
      <c r="A4310" s="6" t="str">
        <f t="shared" si="1110"/>
        <v>525-2025000530</v>
      </c>
      <c r="B4310" s="6" t="str">
        <f t="shared" si="1109"/>
        <v>Lasa Int</v>
      </c>
      <c r="C4310" s="7">
        <v>45954</v>
      </c>
      <c r="D4310" s="7">
        <v>46037</v>
      </c>
      <c r="E4310" s="8">
        <v>6</v>
      </c>
      <c r="F4310" s="6" t="str">
        <f t="shared" si="1111"/>
        <v>PURE</v>
      </c>
      <c r="G4310" s="6" t="str">
        <f t="shared" si="1112"/>
        <v>F100021455000000</v>
      </c>
      <c r="H4310" s="6" t="str">
        <f t="shared" si="1113"/>
        <v>FA 214 - PURE - 550</v>
      </c>
      <c r="I4310" s="6" t="str">
        <f>"2096"</f>
        <v>2096</v>
      </c>
      <c r="J4310" s="6" t="str">
        <f>"AZUL 2096"</f>
        <v>AZUL 2096</v>
      </c>
      <c r="K4310" s="6" t="str">
        <f>"1024"</f>
        <v>1024</v>
      </c>
      <c r="L4310" s="6" t="str">
        <f>"Toalhas"</f>
        <v>Toalhas</v>
      </c>
      <c r="M4310" s="6" t="str">
        <f>"50x100"</f>
        <v>50x100</v>
      </c>
      <c r="N4310" s="6" t="str">
        <f>"5602972836905"</f>
        <v>5602972836905</v>
      </c>
      <c r="O4310" s="8">
        <v>480</v>
      </c>
      <c r="P4310" s="7">
        <v>45954</v>
      </c>
      <c r="R4310" s="8">
        <v>0</v>
      </c>
      <c r="S4310" s="7">
        <v>45959</v>
      </c>
      <c r="U4310" s="8">
        <v>480</v>
      </c>
      <c r="V4310" s="7">
        <v>45972</v>
      </c>
      <c r="X4310" s="8">
        <v>0</v>
      </c>
      <c r="Z4310" s="8">
        <v>480</v>
      </c>
      <c r="AA4310" s="7">
        <v>45986</v>
      </c>
      <c r="AC4310" s="8">
        <v>274</v>
      </c>
      <c r="AE4310" s="7">
        <v>45989</v>
      </c>
      <c r="AF4310" s="8">
        <v>274</v>
      </c>
      <c r="AH4310" s="7">
        <v>45989</v>
      </c>
      <c r="AN4310" s="8">
        <v>274</v>
      </c>
      <c r="AO4310" s="8">
        <v>206</v>
      </c>
    </row>
    <row r="4311" spans="1:41" x14ac:dyDescent="0.25">
      <c r="A4311" s="6" t="str">
        <f t="shared" si="1110"/>
        <v>525-2025000530</v>
      </c>
      <c r="B4311" s="6" t="str">
        <f t="shared" si="1109"/>
        <v>Lasa Int</v>
      </c>
      <c r="C4311" s="7">
        <v>45954</v>
      </c>
      <c r="D4311" s="7">
        <v>46037</v>
      </c>
      <c r="E4311" s="8">
        <v>7</v>
      </c>
      <c r="F4311" s="6" t="str">
        <f t="shared" si="1111"/>
        <v>PURE</v>
      </c>
      <c r="G4311" s="6" t="str">
        <f t="shared" si="1112"/>
        <v>F100021455000000</v>
      </c>
      <c r="H4311" s="6" t="str">
        <f t="shared" si="1113"/>
        <v>FA 214 - PURE - 550</v>
      </c>
      <c r="I4311" s="6" t="str">
        <f>"2096"</f>
        <v>2096</v>
      </c>
      <c r="J4311" s="6" t="str">
        <f>"AZUL 2096"</f>
        <v>AZUL 2096</v>
      </c>
      <c r="K4311" s="6" t="str">
        <f>"1535"</f>
        <v>1535</v>
      </c>
      <c r="L4311" s="6" t="str">
        <f>"Toalhões"</f>
        <v>Toalhões</v>
      </c>
      <c r="M4311" s="6" t="str">
        <f>"70x140"</f>
        <v>70x140</v>
      </c>
      <c r="N4311" s="6" t="str">
        <f>"5602972836912"</f>
        <v>5602972836912</v>
      </c>
      <c r="O4311" s="8">
        <v>240</v>
      </c>
      <c r="P4311" s="7">
        <v>45954</v>
      </c>
      <c r="R4311" s="8">
        <v>0</v>
      </c>
      <c r="S4311" s="7">
        <v>45959</v>
      </c>
      <c r="U4311" s="8">
        <v>240</v>
      </c>
      <c r="V4311" s="7">
        <v>45972</v>
      </c>
      <c r="X4311" s="8">
        <v>0</v>
      </c>
      <c r="Z4311" s="8">
        <v>240</v>
      </c>
      <c r="AA4311" s="7">
        <v>45986</v>
      </c>
      <c r="AC4311" s="8">
        <v>250</v>
      </c>
      <c r="AE4311" s="7">
        <v>45989</v>
      </c>
      <c r="AF4311" s="8">
        <v>250</v>
      </c>
      <c r="AH4311" s="7">
        <v>45989</v>
      </c>
      <c r="AN4311" s="8">
        <v>250</v>
      </c>
      <c r="AO4311" s="8">
        <v>-10</v>
      </c>
    </row>
    <row r="4312" spans="1:41" x14ac:dyDescent="0.25">
      <c r="A4312" s="6" t="str">
        <f t="shared" si="1110"/>
        <v>525-2025000530</v>
      </c>
      <c r="B4312" s="6" t="str">
        <f t="shared" si="1109"/>
        <v>Lasa Int</v>
      </c>
      <c r="C4312" s="7">
        <v>45954</v>
      </c>
      <c r="D4312" s="7">
        <v>46037</v>
      </c>
      <c r="E4312" s="8">
        <v>8</v>
      </c>
      <c r="F4312" s="6" t="str">
        <f t="shared" si="1111"/>
        <v>PURE</v>
      </c>
      <c r="G4312" s="6" t="str">
        <f t="shared" si="1112"/>
        <v>F100021455000000</v>
      </c>
      <c r="H4312" s="6" t="str">
        <f t="shared" si="1113"/>
        <v>FA 214 - PURE - 550</v>
      </c>
      <c r="I4312" s="6" t="str">
        <f>"2096"</f>
        <v>2096</v>
      </c>
      <c r="J4312" s="6" t="str">
        <f>"AZUL 2096"</f>
        <v>AZUL 2096</v>
      </c>
      <c r="K4312" s="6" t="str">
        <f>"2020"</f>
        <v>2020</v>
      </c>
      <c r="L4312" s="6" t="str">
        <f>"Lençóis"</f>
        <v>Lençóis</v>
      </c>
      <c r="M4312" s="6" t="str">
        <f>"100x150"</f>
        <v>100x150</v>
      </c>
      <c r="N4312" s="6" t="str">
        <f>"5602972836929"</f>
        <v>5602972836929</v>
      </c>
      <c r="O4312" s="8">
        <v>160</v>
      </c>
      <c r="P4312" s="7">
        <v>45954</v>
      </c>
      <c r="R4312" s="8">
        <v>0</v>
      </c>
      <c r="S4312" s="7">
        <v>45959</v>
      </c>
      <c r="U4312" s="8">
        <v>160</v>
      </c>
      <c r="V4312" s="7">
        <v>45972</v>
      </c>
      <c r="X4312" s="8">
        <v>0</v>
      </c>
      <c r="Z4312" s="8">
        <v>160</v>
      </c>
      <c r="AA4312" s="7">
        <v>45986</v>
      </c>
      <c r="AC4312" s="8">
        <v>70</v>
      </c>
      <c r="AE4312" s="7">
        <v>45989</v>
      </c>
      <c r="AF4312" s="8">
        <v>70</v>
      </c>
      <c r="AH4312" s="7">
        <v>45989</v>
      </c>
      <c r="AN4312" s="8">
        <v>70</v>
      </c>
      <c r="AO4312" s="8">
        <v>90</v>
      </c>
    </row>
    <row r="4313" spans="1:41" x14ac:dyDescent="0.25">
      <c r="A4313" s="6" t="str">
        <f t="shared" si="1110"/>
        <v>525-2025000530</v>
      </c>
      <c r="B4313" s="6" t="str">
        <f t="shared" si="1109"/>
        <v>Lasa Int</v>
      </c>
      <c r="C4313" s="7">
        <v>45954</v>
      </c>
      <c r="D4313" s="7">
        <v>46037</v>
      </c>
      <c r="E4313" s="8">
        <v>9</v>
      </c>
      <c r="F4313" s="6" t="str">
        <f t="shared" si="1111"/>
        <v>PURE</v>
      </c>
      <c r="G4313" s="6" t="str">
        <f t="shared" si="1112"/>
        <v>F100021455000000</v>
      </c>
      <c r="H4313" s="6" t="str">
        <f t="shared" si="1113"/>
        <v>FA 214 - PURE - 550</v>
      </c>
      <c r="I4313" s="6" t="str">
        <f>"2307"</f>
        <v>2307</v>
      </c>
      <c r="J4313" s="6" t="str">
        <f>"VERMELHO 2307"</f>
        <v>VERMELHO 2307</v>
      </c>
      <c r="K4313" s="6" t="str">
        <f>"0530"</f>
        <v>0530</v>
      </c>
      <c r="L4313" s="6" t="str">
        <f>"Toalhetes"</f>
        <v>Toalhetes</v>
      </c>
      <c r="M4313" s="6" t="str">
        <f>"33x50"</f>
        <v>33x50</v>
      </c>
      <c r="N4313" s="6" t="str">
        <f>"5602972836790"</f>
        <v>5602972836790</v>
      </c>
      <c r="O4313" s="8">
        <v>450</v>
      </c>
      <c r="P4313" s="7">
        <v>45954</v>
      </c>
      <c r="R4313" s="8">
        <v>2418</v>
      </c>
      <c r="S4313" s="7">
        <v>45959</v>
      </c>
      <c r="U4313" s="8">
        <v>450</v>
      </c>
      <c r="V4313" s="7">
        <v>45972</v>
      </c>
      <c r="X4313" s="8">
        <v>0</v>
      </c>
      <c r="Z4313" s="8">
        <v>450</v>
      </c>
      <c r="AA4313" s="7">
        <v>45986</v>
      </c>
      <c r="AC4313" s="8">
        <v>12</v>
      </c>
      <c r="AE4313" s="7">
        <v>45989</v>
      </c>
      <c r="AF4313" s="8">
        <v>12</v>
      </c>
      <c r="AH4313" s="7">
        <v>45989</v>
      </c>
      <c r="AN4313" s="8">
        <v>12</v>
      </c>
      <c r="AO4313" s="8">
        <v>438</v>
      </c>
    </row>
    <row r="4314" spans="1:41" x14ac:dyDescent="0.25">
      <c r="A4314" s="6" t="str">
        <f t="shared" si="1110"/>
        <v>525-2025000530</v>
      </c>
      <c r="B4314" s="6" t="str">
        <f t="shared" si="1109"/>
        <v>Lasa Int</v>
      </c>
      <c r="C4314" s="7">
        <v>45954</v>
      </c>
      <c r="D4314" s="7">
        <v>46037</v>
      </c>
      <c r="E4314" s="8">
        <v>10</v>
      </c>
      <c r="F4314" s="6" t="str">
        <f t="shared" si="1111"/>
        <v>PURE</v>
      </c>
      <c r="G4314" s="6" t="str">
        <f t="shared" si="1112"/>
        <v>F100021455000000</v>
      </c>
      <c r="H4314" s="6" t="str">
        <f t="shared" si="1113"/>
        <v>FA 214 - PURE - 550</v>
      </c>
      <c r="I4314" s="6" t="str">
        <f>"2307"</f>
        <v>2307</v>
      </c>
      <c r="J4314" s="6" t="str">
        <f>"VERMELHO 2307"</f>
        <v>VERMELHO 2307</v>
      </c>
      <c r="K4314" s="6" t="str">
        <f>"1024"</f>
        <v>1024</v>
      </c>
      <c r="L4314" s="6" t="str">
        <f>"Toalhas"</f>
        <v>Toalhas</v>
      </c>
      <c r="M4314" s="6" t="str">
        <f>"50x100"</f>
        <v>50x100</v>
      </c>
      <c r="N4314" s="6" t="str">
        <f>"5602972836806"</f>
        <v>5602972836806</v>
      </c>
      <c r="O4314" s="8">
        <v>720</v>
      </c>
      <c r="P4314" s="7">
        <v>45954</v>
      </c>
      <c r="R4314" s="8">
        <v>0</v>
      </c>
      <c r="S4314" s="7">
        <v>45959</v>
      </c>
      <c r="U4314" s="8">
        <v>720</v>
      </c>
      <c r="V4314" s="7">
        <v>45972</v>
      </c>
      <c r="X4314" s="8">
        <v>0</v>
      </c>
      <c r="Z4314" s="8">
        <v>720</v>
      </c>
      <c r="AA4314" s="7">
        <v>45986</v>
      </c>
      <c r="AC4314" s="8">
        <v>514</v>
      </c>
      <c r="AE4314" s="7">
        <v>45989</v>
      </c>
      <c r="AF4314" s="8">
        <v>514</v>
      </c>
      <c r="AH4314" s="7">
        <v>45989</v>
      </c>
      <c r="AN4314" s="8">
        <v>514</v>
      </c>
      <c r="AO4314" s="8">
        <v>206</v>
      </c>
    </row>
    <row r="4315" spans="1:41" x14ac:dyDescent="0.25">
      <c r="A4315" s="6" t="str">
        <f t="shared" si="1110"/>
        <v>525-2025000530</v>
      </c>
      <c r="B4315" s="6" t="str">
        <f t="shared" si="1109"/>
        <v>Lasa Int</v>
      </c>
      <c r="C4315" s="7">
        <v>45954</v>
      </c>
      <c r="D4315" s="7">
        <v>46037</v>
      </c>
      <c r="E4315" s="8">
        <v>11</v>
      </c>
      <c r="F4315" s="6" t="str">
        <f t="shared" si="1111"/>
        <v>PURE</v>
      </c>
      <c r="G4315" s="6" t="str">
        <f t="shared" si="1112"/>
        <v>F100021455000000</v>
      </c>
      <c r="H4315" s="6" t="str">
        <f t="shared" si="1113"/>
        <v>FA 214 - PURE - 550</v>
      </c>
      <c r="I4315" s="6" t="str">
        <f>"3235"</f>
        <v>3235</v>
      </c>
      <c r="J4315" s="6" t="str">
        <f>"CINZA 3235"</f>
        <v>CINZA 3235</v>
      </c>
      <c r="K4315" s="6" t="str">
        <f>"0530"</f>
        <v>0530</v>
      </c>
      <c r="L4315" s="6" t="str">
        <f>"Toalhetes"</f>
        <v>Toalhetes</v>
      </c>
      <c r="M4315" s="6" t="str">
        <f>"33x50"</f>
        <v>33x50</v>
      </c>
      <c r="N4315" s="6" t="str">
        <f>"5602972895285"</f>
        <v>5602972895285</v>
      </c>
      <c r="O4315" s="8">
        <v>450</v>
      </c>
      <c r="P4315" s="7">
        <v>45954</v>
      </c>
      <c r="R4315" s="8">
        <v>0</v>
      </c>
      <c r="S4315" s="7">
        <v>45959</v>
      </c>
      <c r="U4315" s="8">
        <v>450</v>
      </c>
      <c r="V4315" s="7">
        <v>45972</v>
      </c>
      <c r="X4315" s="8">
        <v>0</v>
      </c>
      <c r="Z4315" s="8">
        <v>450</v>
      </c>
      <c r="AA4315" s="7">
        <v>45986</v>
      </c>
      <c r="AC4315" s="8">
        <v>182</v>
      </c>
      <c r="AE4315" s="7">
        <v>45989</v>
      </c>
      <c r="AF4315" s="8">
        <v>182</v>
      </c>
      <c r="AH4315" s="7">
        <v>45989</v>
      </c>
      <c r="AN4315" s="8">
        <v>182</v>
      </c>
      <c r="AO4315" s="8">
        <v>268</v>
      </c>
    </row>
    <row r="4316" spans="1:41" x14ac:dyDescent="0.25">
      <c r="A4316" s="6" t="str">
        <f t="shared" si="1110"/>
        <v>525-2025000530</v>
      </c>
      <c r="B4316" s="6" t="str">
        <f t="shared" si="1109"/>
        <v>Lasa Int</v>
      </c>
      <c r="C4316" s="7">
        <v>45954</v>
      </c>
      <c r="D4316" s="7">
        <v>46037</v>
      </c>
      <c r="E4316" s="8">
        <v>12</v>
      </c>
      <c r="F4316" s="6" t="str">
        <f t="shared" si="1111"/>
        <v>PURE</v>
      </c>
      <c r="G4316" s="6" t="str">
        <f t="shared" si="1112"/>
        <v>F100021455000000</v>
      </c>
      <c r="H4316" s="6" t="str">
        <f t="shared" si="1113"/>
        <v>FA 214 - PURE - 550</v>
      </c>
      <c r="I4316" s="6" t="str">
        <f>"3235"</f>
        <v>3235</v>
      </c>
      <c r="J4316" s="6" t="str">
        <f>"CINZA 3235"</f>
        <v>CINZA 3235</v>
      </c>
      <c r="K4316" s="6" t="str">
        <f>"1024"</f>
        <v>1024</v>
      </c>
      <c r="L4316" s="6" t="str">
        <f>"Toalhas"</f>
        <v>Toalhas</v>
      </c>
      <c r="M4316" s="6" t="str">
        <f>"50x100"</f>
        <v>50x100</v>
      </c>
      <c r="N4316" s="6" t="str">
        <f>"5602972895292"</f>
        <v>5602972895292</v>
      </c>
      <c r="O4316" s="8">
        <v>720</v>
      </c>
      <c r="P4316" s="7">
        <v>45954</v>
      </c>
      <c r="R4316" s="8">
        <v>0</v>
      </c>
      <c r="S4316" s="7">
        <v>45959</v>
      </c>
      <c r="U4316" s="8">
        <v>720</v>
      </c>
      <c r="V4316" s="7">
        <v>45972</v>
      </c>
      <c r="X4316" s="8">
        <v>0</v>
      </c>
      <c r="Z4316" s="8">
        <v>720</v>
      </c>
      <c r="AA4316" s="7">
        <v>45986</v>
      </c>
      <c r="AC4316" s="8">
        <v>632</v>
      </c>
      <c r="AE4316" s="7">
        <v>45989</v>
      </c>
      <c r="AF4316" s="8">
        <v>632</v>
      </c>
      <c r="AH4316" s="7">
        <v>45989</v>
      </c>
      <c r="AN4316" s="8">
        <v>632</v>
      </c>
      <c r="AO4316" s="8">
        <v>88</v>
      </c>
    </row>
    <row r="4317" spans="1:41" x14ac:dyDescent="0.25">
      <c r="A4317" s="6" t="str">
        <f t="shared" si="1110"/>
        <v>525-2025000530</v>
      </c>
      <c r="B4317" s="6" t="str">
        <f t="shared" si="1109"/>
        <v>Lasa Int</v>
      </c>
      <c r="C4317" s="7">
        <v>45954</v>
      </c>
      <c r="D4317" s="7">
        <v>46037</v>
      </c>
      <c r="E4317" s="8">
        <v>13</v>
      </c>
      <c r="F4317" s="6" t="str">
        <f t="shared" si="1111"/>
        <v>PURE</v>
      </c>
      <c r="G4317" s="6" t="str">
        <f t="shared" si="1112"/>
        <v>F100021455000000</v>
      </c>
      <c r="H4317" s="6" t="str">
        <f t="shared" si="1113"/>
        <v>FA 214 - PURE - 550</v>
      </c>
      <c r="I4317" s="6" t="str">
        <f>"3235"</f>
        <v>3235</v>
      </c>
      <c r="J4317" s="6" t="str">
        <f>"CINZA 3235"</f>
        <v>CINZA 3235</v>
      </c>
      <c r="K4317" s="6" t="str">
        <f>"1535"</f>
        <v>1535</v>
      </c>
      <c r="L4317" s="6" t="str">
        <f>"Toalhões"</f>
        <v>Toalhões</v>
      </c>
      <c r="M4317" s="6" t="str">
        <f>"70x140"</f>
        <v>70x140</v>
      </c>
      <c r="N4317" s="6" t="str">
        <f>"5602972895308"</f>
        <v>5602972895308</v>
      </c>
      <c r="O4317" s="8">
        <v>360</v>
      </c>
      <c r="P4317" s="7">
        <v>45954</v>
      </c>
      <c r="R4317" s="8">
        <v>0</v>
      </c>
      <c r="S4317" s="7">
        <v>45959</v>
      </c>
      <c r="U4317" s="8">
        <v>360</v>
      </c>
      <c r="V4317" s="7">
        <v>45972</v>
      </c>
      <c r="X4317" s="8">
        <v>0</v>
      </c>
      <c r="Z4317" s="8">
        <v>360</v>
      </c>
      <c r="AA4317" s="7">
        <v>45986</v>
      </c>
      <c r="AC4317" s="8">
        <v>202</v>
      </c>
      <c r="AE4317" s="7">
        <v>45989</v>
      </c>
      <c r="AF4317" s="8">
        <v>202</v>
      </c>
      <c r="AH4317" s="7">
        <v>45989</v>
      </c>
      <c r="AN4317" s="8">
        <v>202</v>
      </c>
      <c r="AO4317" s="8">
        <v>158</v>
      </c>
    </row>
    <row r="4318" spans="1:41" x14ac:dyDescent="0.25">
      <c r="A4318" s="6" t="str">
        <f t="shared" si="1110"/>
        <v>525-2025000530</v>
      </c>
      <c r="B4318" s="6" t="str">
        <f t="shared" si="1109"/>
        <v>Lasa Int</v>
      </c>
      <c r="C4318" s="7">
        <v>45954</v>
      </c>
      <c r="D4318" s="7">
        <v>46037</v>
      </c>
      <c r="E4318" s="8">
        <v>14</v>
      </c>
      <c r="F4318" s="6" t="str">
        <f t="shared" si="1111"/>
        <v>PURE</v>
      </c>
      <c r="G4318" s="6" t="str">
        <f t="shared" si="1112"/>
        <v>F100021455000000</v>
      </c>
      <c r="H4318" s="6" t="str">
        <f t="shared" si="1113"/>
        <v>FA 214 - PURE - 550</v>
      </c>
      <c r="I4318" s="6" t="str">
        <f>"3235"</f>
        <v>3235</v>
      </c>
      <c r="J4318" s="6" t="str">
        <f>"CINZA 3235"</f>
        <v>CINZA 3235</v>
      </c>
      <c r="K4318" s="6" t="str">
        <f>"2020"</f>
        <v>2020</v>
      </c>
      <c r="L4318" s="6" t="str">
        <f>"Lençóis"</f>
        <v>Lençóis</v>
      </c>
      <c r="M4318" s="6" t="str">
        <f>"100x150"</f>
        <v>100x150</v>
      </c>
      <c r="N4318" s="6" t="str">
        <f>"5602972895315"</f>
        <v>5602972895315</v>
      </c>
      <c r="O4318" s="8">
        <v>480</v>
      </c>
      <c r="P4318" s="7">
        <v>45954</v>
      </c>
      <c r="R4318" s="8">
        <v>0</v>
      </c>
      <c r="S4318" s="7">
        <v>45959</v>
      </c>
      <c r="U4318" s="8">
        <v>480</v>
      </c>
      <c r="V4318" s="7">
        <v>45972</v>
      </c>
      <c r="X4318" s="8">
        <v>0</v>
      </c>
      <c r="Z4318" s="8">
        <v>480</v>
      </c>
      <c r="AA4318" s="7">
        <v>45986</v>
      </c>
      <c r="AC4318" s="8">
        <v>293</v>
      </c>
      <c r="AE4318" s="7">
        <v>45989</v>
      </c>
      <c r="AF4318" s="8">
        <v>293</v>
      </c>
      <c r="AH4318" s="7">
        <v>45989</v>
      </c>
      <c r="AN4318" s="8">
        <v>293</v>
      </c>
      <c r="AO4318" s="8">
        <v>187</v>
      </c>
    </row>
    <row r="4319" spans="1:41" x14ac:dyDescent="0.25">
      <c r="A4319" s="6" t="str">
        <f t="shared" si="1110"/>
        <v>525-2025000530</v>
      </c>
      <c r="B4319" s="6" t="str">
        <f t="shared" si="1109"/>
        <v>Lasa Int</v>
      </c>
      <c r="C4319" s="7">
        <v>45954</v>
      </c>
      <c r="D4319" s="7">
        <v>46037</v>
      </c>
      <c r="E4319" s="8">
        <v>15</v>
      </c>
      <c r="F4319" s="6" t="str">
        <f t="shared" si="1111"/>
        <v>PURE</v>
      </c>
      <c r="G4319" s="6" t="str">
        <f t="shared" si="1112"/>
        <v>F100021455000000</v>
      </c>
      <c r="H4319" s="6" t="str">
        <f t="shared" si="1113"/>
        <v>FA 214 - PURE - 550</v>
      </c>
      <c r="I4319" s="6" t="str">
        <f>"4384"</f>
        <v>4384</v>
      </c>
      <c r="J4319" s="6" t="str">
        <f>"LILAS 4384"</f>
        <v>LILAS 4384</v>
      </c>
      <c r="K4319" s="6" t="str">
        <f>"0530"</f>
        <v>0530</v>
      </c>
      <c r="L4319" s="6" t="str">
        <f>"Toalhetes"</f>
        <v>Toalhetes</v>
      </c>
      <c r="M4319" s="6" t="str">
        <f>"33x50"</f>
        <v>33x50</v>
      </c>
      <c r="N4319" s="6" t="str">
        <f>"5602972795394"</f>
        <v>5602972795394</v>
      </c>
      <c r="O4319" s="8">
        <v>450</v>
      </c>
      <c r="P4319" s="7">
        <v>45954</v>
      </c>
      <c r="R4319" s="8">
        <v>0</v>
      </c>
      <c r="S4319" s="7">
        <v>45959</v>
      </c>
      <c r="U4319" s="8">
        <v>450</v>
      </c>
      <c r="V4319" s="7">
        <v>45972</v>
      </c>
      <c r="X4319" s="8">
        <v>0</v>
      </c>
      <c r="Z4319" s="8">
        <v>450</v>
      </c>
      <c r="AA4319" s="7">
        <v>45986</v>
      </c>
      <c r="AC4319" s="8">
        <v>0</v>
      </c>
      <c r="AE4319" s="7">
        <v>45989</v>
      </c>
      <c r="AF4319" s="8">
        <v>0</v>
      </c>
      <c r="AH4319" s="7">
        <v>45989</v>
      </c>
      <c r="AN4319" s="8">
        <v>0</v>
      </c>
      <c r="AO4319" s="8">
        <v>450</v>
      </c>
    </row>
    <row r="4320" spans="1:41" x14ac:dyDescent="0.25">
      <c r="A4320" s="6" t="str">
        <f t="shared" si="1110"/>
        <v>525-2025000530</v>
      </c>
      <c r="B4320" s="6" t="str">
        <f t="shared" si="1109"/>
        <v>Lasa Int</v>
      </c>
      <c r="C4320" s="7">
        <v>45954</v>
      </c>
      <c r="D4320" s="7">
        <v>46037</v>
      </c>
      <c r="E4320" s="8">
        <v>16</v>
      </c>
      <c r="F4320" s="6" t="str">
        <f t="shared" si="1111"/>
        <v>PURE</v>
      </c>
      <c r="G4320" s="6" t="str">
        <f t="shared" si="1112"/>
        <v>F100021455000000</v>
      </c>
      <c r="H4320" s="6" t="str">
        <f t="shared" si="1113"/>
        <v>FA 214 - PURE - 550</v>
      </c>
      <c r="I4320" s="6" t="str">
        <f>"4384"</f>
        <v>4384</v>
      </c>
      <c r="J4320" s="6" t="str">
        <f>"LILAS 4384"</f>
        <v>LILAS 4384</v>
      </c>
      <c r="K4320" s="6" t="str">
        <f>"1024"</f>
        <v>1024</v>
      </c>
      <c r="L4320" s="6" t="str">
        <f>"Toalhas"</f>
        <v>Toalhas</v>
      </c>
      <c r="M4320" s="6" t="str">
        <f>"50x100"</f>
        <v>50x100</v>
      </c>
      <c r="N4320" s="6" t="str">
        <f>"5602972795400"</f>
        <v>5602972795400</v>
      </c>
      <c r="O4320" s="8">
        <v>480</v>
      </c>
      <c r="P4320" s="7">
        <v>45954</v>
      </c>
      <c r="R4320" s="8">
        <v>0</v>
      </c>
      <c r="S4320" s="7">
        <v>45959</v>
      </c>
      <c r="U4320" s="8">
        <v>480</v>
      </c>
      <c r="V4320" s="7">
        <v>45972</v>
      </c>
      <c r="X4320" s="8">
        <v>0</v>
      </c>
      <c r="Z4320" s="8">
        <v>480</v>
      </c>
      <c r="AA4320" s="7">
        <v>45986</v>
      </c>
      <c r="AC4320" s="8">
        <v>238</v>
      </c>
      <c r="AE4320" s="7">
        <v>45989</v>
      </c>
      <c r="AF4320" s="8">
        <v>238</v>
      </c>
      <c r="AH4320" s="7">
        <v>45989</v>
      </c>
      <c r="AN4320" s="8">
        <v>238</v>
      </c>
      <c r="AO4320" s="8">
        <v>242</v>
      </c>
    </row>
    <row r="4321" spans="1:41" x14ac:dyDescent="0.25">
      <c r="A4321" s="6" t="str">
        <f t="shared" si="1110"/>
        <v>525-2025000530</v>
      </c>
      <c r="B4321" s="6" t="str">
        <f t="shared" si="1109"/>
        <v>Lasa Int</v>
      </c>
      <c r="C4321" s="7">
        <v>45954</v>
      </c>
      <c r="D4321" s="7">
        <v>46037</v>
      </c>
      <c r="E4321" s="8">
        <v>17</v>
      </c>
      <c r="F4321" s="6" t="str">
        <f t="shared" si="1111"/>
        <v>PURE</v>
      </c>
      <c r="G4321" s="6" t="str">
        <f t="shared" si="1112"/>
        <v>F100021455000000</v>
      </c>
      <c r="H4321" s="6" t="str">
        <f t="shared" si="1113"/>
        <v>FA 214 - PURE - 550</v>
      </c>
      <c r="I4321" s="6" t="str">
        <f>"4384"</f>
        <v>4384</v>
      </c>
      <c r="J4321" s="6" t="str">
        <f>"LILAS 4384"</f>
        <v>LILAS 4384</v>
      </c>
      <c r="K4321" s="6" t="str">
        <f>"1535"</f>
        <v>1535</v>
      </c>
      <c r="L4321" s="6" t="str">
        <f>"Toalhões"</f>
        <v>Toalhões</v>
      </c>
      <c r="M4321" s="6" t="str">
        <f>"70x140"</f>
        <v>70x140</v>
      </c>
      <c r="N4321" s="6" t="str">
        <f>"5602972795417"</f>
        <v>5602972795417</v>
      </c>
      <c r="O4321" s="8">
        <v>240</v>
      </c>
      <c r="P4321" s="7">
        <v>45954</v>
      </c>
      <c r="R4321" s="8">
        <v>0</v>
      </c>
      <c r="S4321" s="7">
        <v>45959</v>
      </c>
      <c r="U4321" s="8">
        <v>240</v>
      </c>
      <c r="V4321" s="7">
        <v>45972</v>
      </c>
      <c r="X4321" s="8">
        <v>0</v>
      </c>
      <c r="Z4321" s="8">
        <v>240</v>
      </c>
      <c r="AA4321" s="7">
        <v>45986</v>
      </c>
      <c r="AC4321" s="8">
        <v>214</v>
      </c>
      <c r="AE4321" s="7">
        <v>45989</v>
      </c>
      <c r="AF4321" s="8">
        <v>214</v>
      </c>
      <c r="AH4321" s="7">
        <v>45989</v>
      </c>
      <c r="AN4321" s="8">
        <v>214</v>
      </c>
      <c r="AO4321" s="8">
        <v>26</v>
      </c>
    </row>
    <row r="4322" spans="1:41" x14ac:dyDescent="0.25">
      <c r="A4322" s="6" t="str">
        <f t="shared" si="1110"/>
        <v>525-2025000530</v>
      </c>
      <c r="B4322" s="6" t="str">
        <f t="shared" si="1109"/>
        <v>Lasa Int</v>
      </c>
      <c r="C4322" s="7">
        <v>45954</v>
      </c>
      <c r="D4322" s="7">
        <v>46037</v>
      </c>
      <c r="E4322" s="8">
        <v>18</v>
      </c>
      <c r="F4322" s="6" t="str">
        <f t="shared" si="1111"/>
        <v>PURE</v>
      </c>
      <c r="G4322" s="6" t="str">
        <f t="shared" si="1112"/>
        <v>F100021455000000</v>
      </c>
      <c r="H4322" s="6" t="str">
        <f t="shared" si="1113"/>
        <v>FA 214 - PURE - 550</v>
      </c>
      <c r="I4322" s="6" t="str">
        <f>"4384"</f>
        <v>4384</v>
      </c>
      <c r="J4322" s="6" t="str">
        <f>"LILAS 4384"</f>
        <v>LILAS 4384</v>
      </c>
      <c r="K4322" s="6" t="str">
        <f>"2020"</f>
        <v>2020</v>
      </c>
      <c r="L4322" s="6" t="str">
        <f>"Lençóis"</f>
        <v>Lençóis</v>
      </c>
      <c r="M4322" s="6" t="str">
        <f>"100x150"</f>
        <v>100x150</v>
      </c>
      <c r="N4322" s="6" t="str">
        <f>"5602972795424"</f>
        <v>5602972795424</v>
      </c>
      <c r="O4322" s="8">
        <v>80</v>
      </c>
      <c r="P4322" s="7">
        <v>45954</v>
      </c>
      <c r="R4322" s="8">
        <v>0</v>
      </c>
      <c r="S4322" s="7">
        <v>45959</v>
      </c>
      <c r="U4322" s="8">
        <v>80</v>
      </c>
      <c r="V4322" s="7">
        <v>45972</v>
      </c>
      <c r="X4322" s="8">
        <v>0</v>
      </c>
      <c r="Z4322" s="8">
        <v>80</v>
      </c>
      <c r="AA4322" s="7">
        <v>45986</v>
      </c>
      <c r="AC4322" s="8">
        <v>0</v>
      </c>
      <c r="AE4322" s="7">
        <v>45989</v>
      </c>
      <c r="AF4322" s="8">
        <v>0</v>
      </c>
      <c r="AH4322" s="7">
        <v>45989</v>
      </c>
      <c r="AN4322" s="8">
        <v>0</v>
      </c>
      <c r="AO4322" s="8">
        <v>80</v>
      </c>
    </row>
    <row r="4323" spans="1:41" x14ac:dyDescent="0.25">
      <c r="A4323" s="6" t="str">
        <f t="shared" si="1110"/>
        <v>525-2025000530</v>
      </c>
      <c r="B4323" s="6" t="str">
        <f t="shared" si="1109"/>
        <v>Lasa Int</v>
      </c>
      <c r="C4323" s="7">
        <v>45954</v>
      </c>
      <c r="D4323" s="7">
        <v>46037</v>
      </c>
      <c r="E4323" s="8">
        <v>19</v>
      </c>
      <c r="F4323" s="6" t="str">
        <f t="shared" si="1111"/>
        <v>PURE</v>
      </c>
      <c r="G4323" s="6" t="str">
        <f t="shared" si="1112"/>
        <v>F100021455000000</v>
      </c>
      <c r="H4323" s="6" t="str">
        <f t="shared" si="1113"/>
        <v>FA 214 - PURE - 550</v>
      </c>
      <c r="I4323" s="6" t="str">
        <f t="shared" ref="I4323:I4328" si="1114">"5148"</f>
        <v>5148</v>
      </c>
      <c r="J4323" s="6" t="str">
        <f t="shared" ref="J4323:J4328" si="1115">"BEGE 5148"</f>
        <v>BEGE 5148</v>
      </c>
      <c r="K4323" s="6" t="str">
        <f>"0112"</f>
        <v>0112</v>
      </c>
      <c r="L4323" s="6" t="str">
        <f>"Luvas"</f>
        <v>Luvas</v>
      </c>
      <c r="M4323" s="6" t="str">
        <f>"16x21"</f>
        <v>16x21</v>
      </c>
      <c r="N4323" s="6" t="str">
        <f>"5602972651386"</f>
        <v>5602972651386</v>
      </c>
      <c r="O4323" s="8">
        <v>300</v>
      </c>
      <c r="P4323" s="7">
        <v>45954</v>
      </c>
      <c r="R4323" s="8">
        <v>0</v>
      </c>
      <c r="S4323" s="7">
        <v>45959</v>
      </c>
      <c r="U4323" s="8">
        <v>300</v>
      </c>
      <c r="V4323" s="7">
        <v>45972</v>
      </c>
      <c r="X4323" s="8">
        <v>0</v>
      </c>
      <c r="Z4323" s="8">
        <v>300</v>
      </c>
      <c r="AA4323" s="7">
        <v>45986</v>
      </c>
      <c r="AC4323" s="8">
        <v>0</v>
      </c>
      <c r="AE4323" s="7">
        <v>45989</v>
      </c>
      <c r="AF4323" s="8">
        <v>0</v>
      </c>
      <c r="AH4323" s="7">
        <v>45989</v>
      </c>
      <c r="AN4323" s="8">
        <v>288</v>
      </c>
      <c r="AO4323" s="8">
        <v>12</v>
      </c>
    </row>
    <row r="4324" spans="1:41" x14ac:dyDescent="0.25">
      <c r="A4324" s="6" t="str">
        <f t="shared" si="1110"/>
        <v>525-2025000530</v>
      </c>
      <c r="B4324" s="6" t="str">
        <f t="shared" si="1109"/>
        <v>Lasa Int</v>
      </c>
      <c r="C4324" s="7">
        <v>45954</v>
      </c>
      <c r="D4324" s="7">
        <v>46037</v>
      </c>
      <c r="E4324" s="8">
        <v>20</v>
      </c>
      <c r="F4324" s="6" t="str">
        <f t="shared" si="1111"/>
        <v>PURE</v>
      </c>
      <c r="G4324" s="6" t="str">
        <f t="shared" si="1112"/>
        <v>F100021455000000</v>
      </c>
      <c r="H4324" s="6" t="str">
        <f t="shared" si="1113"/>
        <v>FA 214 - PURE - 550</v>
      </c>
      <c r="I4324" s="6" t="str">
        <f t="shared" si="1114"/>
        <v>5148</v>
      </c>
      <c r="J4324" s="6" t="str">
        <f t="shared" si="1115"/>
        <v>BEGE 5148</v>
      </c>
      <c r="K4324" s="6" t="str">
        <f>"0530"</f>
        <v>0530</v>
      </c>
      <c r="L4324" s="6" t="str">
        <f>"Toalhetes"</f>
        <v>Toalhetes</v>
      </c>
      <c r="M4324" s="6" t="str">
        <f>"33x50"</f>
        <v>33x50</v>
      </c>
      <c r="N4324" s="6" t="str">
        <f>"5602972651393"</f>
        <v>5602972651393</v>
      </c>
      <c r="O4324" s="8">
        <v>450</v>
      </c>
      <c r="P4324" s="7">
        <v>45954</v>
      </c>
      <c r="R4324" s="8">
        <v>0</v>
      </c>
      <c r="S4324" s="7">
        <v>45959</v>
      </c>
      <c r="U4324" s="8">
        <v>450</v>
      </c>
      <c r="V4324" s="7">
        <v>45972</v>
      </c>
      <c r="X4324" s="8">
        <v>0</v>
      </c>
      <c r="Z4324" s="8">
        <v>450</v>
      </c>
      <c r="AA4324" s="7">
        <v>45986</v>
      </c>
      <c r="AC4324" s="8">
        <v>200</v>
      </c>
      <c r="AE4324" s="7">
        <v>45989</v>
      </c>
      <c r="AF4324" s="8">
        <v>200</v>
      </c>
      <c r="AH4324" s="7">
        <v>45989</v>
      </c>
      <c r="AN4324" s="8">
        <v>200</v>
      </c>
      <c r="AO4324" s="8">
        <v>250</v>
      </c>
    </row>
    <row r="4325" spans="1:41" x14ac:dyDescent="0.25">
      <c r="A4325" s="6" t="str">
        <f t="shared" si="1110"/>
        <v>525-2025000530</v>
      </c>
      <c r="B4325" s="6" t="str">
        <f t="shared" si="1109"/>
        <v>Lasa Int</v>
      </c>
      <c r="C4325" s="7">
        <v>45954</v>
      </c>
      <c r="D4325" s="7">
        <v>46037</v>
      </c>
      <c r="E4325" s="8">
        <v>21</v>
      </c>
      <c r="F4325" s="6" t="str">
        <f t="shared" si="1111"/>
        <v>PURE</v>
      </c>
      <c r="G4325" s="6" t="str">
        <f t="shared" si="1112"/>
        <v>F100021455000000</v>
      </c>
      <c r="H4325" s="6" t="str">
        <f t="shared" si="1113"/>
        <v>FA 214 - PURE - 550</v>
      </c>
      <c r="I4325" s="6" t="str">
        <f t="shared" si="1114"/>
        <v>5148</v>
      </c>
      <c r="J4325" s="6" t="str">
        <f t="shared" si="1115"/>
        <v>BEGE 5148</v>
      </c>
      <c r="K4325" s="6" t="str">
        <f>"1024"</f>
        <v>1024</v>
      </c>
      <c r="L4325" s="6" t="str">
        <f>"Toalhas"</f>
        <v>Toalhas</v>
      </c>
      <c r="M4325" s="6" t="str">
        <f>"50x100"</f>
        <v>50x100</v>
      </c>
      <c r="N4325" s="6" t="str">
        <f>"5602972651409"</f>
        <v>5602972651409</v>
      </c>
      <c r="O4325" s="8">
        <v>720</v>
      </c>
      <c r="P4325" s="7">
        <v>45954</v>
      </c>
      <c r="R4325" s="8">
        <v>0</v>
      </c>
      <c r="S4325" s="7">
        <v>45959</v>
      </c>
      <c r="U4325" s="8">
        <v>720</v>
      </c>
      <c r="V4325" s="7">
        <v>45972</v>
      </c>
      <c r="X4325" s="8">
        <v>0</v>
      </c>
      <c r="Z4325" s="8">
        <v>720</v>
      </c>
      <c r="AA4325" s="7">
        <v>45986</v>
      </c>
      <c r="AC4325" s="8">
        <v>0</v>
      </c>
      <c r="AE4325" s="7">
        <v>45989</v>
      </c>
      <c r="AF4325" s="8">
        <v>0</v>
      </c>
      <c r="AH4325" s="7">
        <v>45989</v>
      </c>
      <c r="AN4325" s="8">
        <v>546</v>
      </c>
      <c r="AO4325" s="8">
        <v>174</v>
      </c>
    </row>
    <row r="4326" spans="1:41" x14ac:dyDescent="0.25">
      <c r="A4326" s="6" t="str">
        <f t="shared" si="1110"/>
        <v>525-2025000530</v>
      </c>
      <c r="B4326" s="6" t="str">
        <f t="shared" si="1109"/>
        <v>Lasa Int</v>
      </c>
      <c r="C4326" s="7">
        <v>45954</v>
      </c>
      <c r="D4326" s="7">
        <v>46037</v>
      </c>
      <c r="E4326" s="8">
        <v>22</v>
      </c>
      <c r="F4326" s="6" t="str">
        <f t="shared" si="1111"/>
        <v>PURE</v>
      </c>
      <c r="G4326" s="6" t="str">
        <f t="shared" si="1112"/>
        <v>F100021455000000</v>
      </c>
      <c r="H4326" s="6" t="str">
        <f t="shared" si="1113"/>
        <v>FA 214 - PURE - 550</v>
      </c>
      <c r="I4326" s="6" t="str">
        <f t="shared" si="1114"/>
        <v>5148</v>
      </c>
      <c r="J4326" s="6" t="str">
        <f t="shared" si="1115"/>
        <v>BEGE 5148</v>
      </c>
      <c r="K4326" s="6" t="str">
        <f>"1535"</f>
        <v>1535</v>
      </c>
      <c r="L4326" s="6" t="str">
        <f>"Toalhões"</f>
        <v>Toalhões</v>
      </c>
      <c r="M4326" s="6" t="str">
        <f>"70x140"</f>
        <v>70x140</v>
      </c>
      <c r="N4326" s="6" t="str">
        <f>"5602972651416"</f>
        <v>5602972651416</v>
      </c>
      <c r="O4326" s="8">
        <v>360</v>
      </c>
      <c r="P4326" s="7">
        <v>45954</v>
      </c>
      <c r="R4326" s="8">
        <v>0</v>
      </c>
      <c r="S4326" s="7">
        <v>45959</v>
      </c>
      <c r="U4326" s="8">
        <v>360</v>
      </c>
      <c r="V4326" s="7">
        <v>45972</v>
      </c>
      <c r="X4326" s="8">
        <v>0</v>
      </c>
      <c r="Z4326" s="8">
        <v>360</v>
      </c>
      <c r="AA4326" s="7">
        <v>45986</v>
      </c>
      <c r="AC4326" s="8">
        <v>436</v>
      </c>
      <c r="AE4326" s="7">
        <v>45989</v>
      </c>
      <c r="AF4326" s="8">
        <v>436</v>
      </c>
      <c r="AH4326" s="7">
        <v>45989</v>
      </c>
      <c r="AN4326" s="8">
        <v>436</v>
      </c>
      <c r="AO4326" s="8">
        <v>-76</v>
      </c>
    </row>
    <row r="4327" spans="1:41" x14ac:dyDescent="0.25">
      <c r="A4327" s="6" t="str">
        <f t="shared" si="1110"/>
        <v>525-2025000530</v>
      </c>
      <c r="B4327" s="6" t="str">
        <f t="shared" si="1109"/>
        <v>Lasa Int</v>
      </c>
      <c r="C4327" s="7">
        <v>45954</v>
      </c>
      <c r="D4327" s="7">
        <v>46037</v>
      </c>
      <c r="E4327" s="8">
        <v>23</v>
      </c>
      <c r="F4327" s="6" t="str">
        <f t="shared" si="1111"/>
        <v>PURE</v>
      </c>
      <c r="G4327" s="6" t="str">
        <f t="shared" si="1112"/>
        <v>F100021455000000</v>
      </c>
      <c r="H4327" s="6" t="str">
        <f t="shared" si="1113"/>
        <v>FA 214 - PURE - 550</v>
      </c>
      <c r="I4327" s="6" t="str">
        <f t="shared" si="1114"/>
        <v>5148</v>
      </c>
      <c r="J4327" s="6" t="str">
        <f t="shared" si="1115"/>
        <v>BEGE 5148</v>
      </c>
      <c r="K4327" s="6" t="str">
        <f>"2020"</f>
        <v>2020</v>
      </c>
      <c r="L4327" s="6" t="str">
        <f>"Lençóis"</f>
        <v>Lençóis</v>
      </c>
      <c r="M4327" s="6" t="str">
        <f>"100x150"</f>
        <v>100x150</v>
      </c>
      <c r="N4327" s="6" t="str">
        <f>"5602972651423"</f>
        <v>5602972651423</v>
      </c>
      <c r="O4327" s="8">
        <v>320</v>
      </c>
      <c r="P4327" s="7">
        <v>45954</v>
      </c>
      <c r="R4327" s="8">
        <v>0</v>
      </c>
      <c r="S4327" s="7">
        <v>45959</v>
      </c>
      <c r="U4327" s="8">
        <v>320</v>
      </c>
      <c r="V4327" s="7">
        <v>45972</v>
      </c>
      <c r="X4327" s="8">
        <v>0</v>
      </c>
      <c r="Z4327" s="8">
        <v>320</v>
      </c>
      <c r="AA4327" s="7">
        <v>45986</v>
      </c>
      <c r="AC4327" s="8">
        <v>217</v>
      </c>
      <c r="AE4327" s="7">
        <v>45989</v>
      </c>
      <c r="AF4327" s="8">
        <v>217</v>
      </c>
      <c r="AH4327" s="7">
        <v>45989</v>
      </c>
      <c r="AN4327" s="8">
        <v>217</v>
      </c>
      <c r="AO4327" s="8">
        <v>103</v>
      </c>
    </row>
    <row r="4328" spans="1:41" x14ac:dyDescent="0.25">
      <c r="A4328" s="6" t="str">
        <f t="shared" si="1110"/>
        <v>525-2025000530</v>
      </c>
      <c r="B4328" s="6" t="str">
        <f t="shared" si="1109"/>
        <v>Lasa Int</v>
      </c>
      <c r="C4328" s="7">
        <v>45954</v>
      </c>
      <c r="D4328" s="7">
        <v>46037</v>
      </c>
      <c r="E4328" s="8">
        <v>24</v>
      </c>
      <c r="F4328" s="6" t="str">
        <f t="shared" si="1111"/>
        <v>PURE</v>
      </c>
      <c r="G4328" s="6" t="str">
        <f t="shared" si="1112"/>
        <v>F100021455000000</v>
      </c>
      <c r="H4328" s="6" t="str">
        <f t="shared" si="1113"/>
        <v>FA 214 - PURE - 550</v>
      </c>
      <c r="I4328" s="6" t="str">
        <f t="shared" si="1114"/>
        <v>5148</v>
      </c>
      <c r="J4328" s="6" t="str">
        <f t="shared" si="1115"/>
        <v>BEGE 5148</v>
      </c>
      <c r="K4328" s="6" t="str">
        <f>"2030"</f>
        <v>2030</v>
      </c>
      <c r="L4328" s="6" t="str">
        <f>"Lençóis"</f>
        <v>Lençóis</v>
      </c>
      <c r="M4328" s="6" t="str">
        <f>"100x180"</f>
        <v>100x180</v>
      </c>
      <c r="N4328" s="6" t="str">
        <f>"5602972674217"</f>
        <v>5602972674217</v>
      </c>
      <c r="O4328" s="8">
        <v>60</v>
      </c>
      <c r="P4328" s="7">
        <v>45954</v>
      </c>
      <c r="R4328" s="8">
        <v>52</v>
      </c>
      <c r="S4328" s="7">
        <v>45959</v>
      </c>
      <c r="U4328" s="8">
        <v>60</v>
      </c>
      <c r="V4328" s="7">
        <v>45972</v>
      </c>
      <c r="X4328" s="8">
        <v>0</v>
      </c>
      <c r="Z4328" s="8">
        <v>60</v>
      </c>
      <c r="AA4328" s="7">
        <v>45986</v>
      </c>
      <c r="AC4328" s="8">
        <v>0</v>
      </c>
      <c r="AE4328" s="7">
        <v>45989</v>
      </c>
      <c r="AF4328" s="8">
        <v>0</v>
      </c>
      <c r="AH4328" s="7">
        <v>45989</v>
      </c>
      <c r="AN4328" s="8">
        <v>0</v>
      </c>
      <c r="AO4328" s="8">
        <v>60</v>
      </c>
    </row>
    <row r="4329" spans="1:41" x14ac:dyDescent="0.25">
      <c r="A4329" s="6" t="str">
        <f t="shared" si="1110"/>
        <v>525-2025000530</v>
      </c>
      <c r="B4329" s="6" t="str">
        <f t="shared" si="1109"/>
        <v>Lasa Int</v>
      </c>
      <c r="C4329" s="7">
        <v>45954</v>
      </c>
      <c r="D4329" s="7">
        <v>46037</v>
      </c>
      <c r="E4329" s="8">
        <v>25</v>
      </c>
      <c r="F4329" s="6" t="str">
        <f t="shared" si="1111"/>
        <v>PURE</v>
      </c>
      <c r="G4329" s="6" t="str">
        <f t="shared" si="1112"/>
        <v>F100021455000000</v>
      </c>
      <c r="H4329" s="6" t="str">
        <f t="shared" si="1113"/>
        <v>FA 214 - PURE - 550</v>
      </c>
      <c r="I4329" s="6" t="str">
        <f>"5149"</f>
        <v>5149</v>
      </c>
      <c r="J4329" s="6" t="str">
        <f>"VERDE 5149"</f>
        <v>VERDE 5149</v>
      </c>
      <c r="K4329" s="6" t="str">
        <f>"0530"</f>
        <v>0530</v>
      </c>
      <c r="L4329" s="6" t="str">
        <f>"Toalhetes"</f>
        <v>Toalhetes</v>
      </c>
      <c r="M4329" s="6" t="str">
        <f>"33x50"</f>
        <v>33x50</v>
      </c>
      <c r="N4329" s="6" t="str">
        <f>"5602972651447"</f>
        <v>5602972651447</v>
      </c>
      <c r="O4329" s="8">
        <v>450</v>
      </c>
      <c r="P4329" s="7">
        <v>45954</v>
      </c>
      <c r="R4329" s="8">
        <v>0</v>
      </c>
      <c r="S4329" s="7">
        <v>45959</v>
      </c>
      <c r="U4329" s="8">
        <v>450</v>
      </c>
      <c r="V4329" s="7">
        <v>45972</v>
      </c>
      <c r="X4329" s="8">
        <v>0</v>
      </c>
      <c r="Z4329" s="8">
        <v>450</v>
      </c>
      <c r="AA4329" s="7">
        <v>45986</v>
      </c>
      <c r="AC4329" s="8">
        <v>168</v>
      </c>
      <c r="AE4329" s="7">
        <v>45989</v>
      </c>
      <c r="AF4329" s="8">
        <v>168</v>
      </c>
      <c r="AH4329" s="7">
        <v>45989</v>
      </c>
      <c r="AN4329" s="8">
        <v>168</v>
      </c>
      <c r="AO4329" s="8">
        <v>282</v>
      </c>
    </row>
    <row r="4330" spans="1:41" x14ac:dyDescent="0.25">
      <c r="A4330" s="6" t="str">
        <f t="shared" si="1110"/>
        <v>525-2025000530</v>
      </c>
      <c r="B4330" s="6" t="str">
        <f t="shared" si="1109"/>
        <v>Lasa Int</v>
      </c>
      <c r="C4330" s="7">
        <v>45954</v>
      </c>
      <c r="D4330" s="7">
        <v>46037</v>
      </c>
      <c r="E4330" s="8">
        <v>26</v>
      </c>
      <c r="F4330" s="6" t="str">
        <f t="shared" si="1111"/>
        <v>PURE</v>
      </c>
      <c r="G4330" s="6" t="str">
        <f t="shared" si="1112"/>
        <v>F100021455000000</v>
      </c>
      <c r="H4330" s="6" t="str">
        <f t="shared" si="1113"/>
        <v>FA 214 - PURE - 550</v>
      </c>
      <c r="I4330" s="6" t="str">
        <f>"5149"</f>
        <v>5149</v>
      </c>
      <c r="J4330" s="6" t="str">
        <f>"VERDE 5149"</f>
        <v>VERDE 5149</v>
      </c>
      <c r="K4330" s="6" t="str">
        <f>"1024"</f>
        <v>1024</v>
      </c>
      <c r="L4330" s="6" t="str">
        <f>"Toalhas"</f>
        <v>Toalhas</v>
      </c>
      <c r="M4330" s="6" t="str">
        <f>"50x100"</f>
        <v>50x100</v>
      </c>
      <c r="N4330" s="6" t="str">
        <f>"5602972651454"</f>
        <v>5602972651454</v>
      </c>
      <c r="O4330" s="8">
        <v>240</v>
      </c>
      <c r="P4330" s="7">
        <v>45954</v>
      </c>
      <c r="R4330" s="8">
        <v>0</v>
      </c>
      <c r="S4330" s="7">
        <v>45959</v>
      </c>
      <c r="U4330" s="8">
        <v>240</v>
      </c>
      <c r="V4330" s="7">
        <v>45972</v>
      </c>
      <c r="X4330" s="8">
        <v>0</v>
      </c>
      <c r="Z4330" s="8">
        <v>240</v>
      </c>
      <c r="AA4330" s="7">
        <v>45986</v>
      </c>
      <c r="AC4330" s="8">
        <v>90</v>
      </c>
      <c r="AE4330" s="7">
        <v>45989</v>
      </c>
      <c r="AF4330" s="8">
        <v>90</v>
      </c>
      <c r="AH4330" s="7">
        <v>45989</v>
      </c>
      <c r="AN4330" s="8">
        <v>90</v>
      </c>
      <c r="AO4330" s="8">
        <v>150</v>
      </c>
    </row>
    <row r="4331" spans="1:41" x14ac:dyDescent="0.25">
      <c r="A4331" s="6" t="str">
        <f t="shared" si="1110"/>
        <v>525-2025000530</v>
      </c>
      <c r="B4331" s="6" t="str">
        <f t="shared" si="1109"/>
        <v>Lasa Int</v>
      </c>
      <c r="C4331" s="7">
        <v>45954</v>
      </c>
      <c r="D4331" s="7">
        <v>46037</v>
      </c>
      <c r="E4331" s="8">
        <v>27</v>
      </c>
      <c r="F4331" s="6" t="str">
        <f t="shared" si="1111"/>
        <v>PURE</v>
      </c>
      <c r="G4331" s="6" t="str">
        <f t="shared" si="1112"/>
        <v>F100021455000000</v>
      </c>
      <c r="H4331" s="6" t="str">
        <f t="shared" si="1113"/>
        <v>FA 214 - PURE - 550</v>
      </c>
      <c r="I4331" s="6" t="str">
        <f>"5149"</f>
        <v>5149</v>
      </c>
      <c r="J4331" s="6" t="str">
        <f>"VERDE 5149"</f>
        <v>VERDE 5149</v>
      </c>
      <c r="K4331" s="6" t="str">
        <f>"1535"</f>
        <v>1535</v>
      </c>
      <c r="L4331" s="6" t="str">
        <f>"Toalhões"</f>
        <v>Toalhões</v>
      </c>
      <c r="M4331" s="6" t="str">
        <f>"70x140"</f>
        <v>70x140</v>
      </c>
      <c r="N4331" s="6" t="str">
        <f>"5602972651461"</f>
        <v>5602972651461</v>
      </c>
      <c r="O4331" s="8">
        <v>240</v>
      </c>
      <c r="P4331" s="7">
        <v>45954</v>
      </c>
      <c r="R4331" s="8">
        <v>0</v>
      </c>
      <c r="S4331" s="7">
        <v>45959</v>
      </c>
      <c r="U4331" s="8">
        <v>240</v>
      </c>
      <c r="V4331" s="7">
        <v>45972</v>
      </c>
      <c r="X4331" s="8">
        <v>0</v>
      </c>
      <c r="Z4331" s="8">
        <v>240</v>
      </c>
      <c r="AA4331" s="7">
        <v>45986</v>
      </c>
      <c r="AC4331" s="8">
        <v>254</v>
      </c>
      <c r="AE4331" s="7">
        <v>45989</v>
      </c>
      <c r="AF4331" s="8">
        <v>254</v>
      </c>
      <c r="AH4331" s="7">
        <v>45989</v>
      </c>
      <c r="AN4331" s="8">
        <v>254</v>
      </c>
      <c r="AO4331" s="8">
        <v>-14</v>
      </c>
    </row>
    <row r="4332" spans="1:41" x14ac:dyDescent="0.25">
      <c r="A4332" s="6" t="str">
        <f t="shared" si="1110"/>
        <v>525-2025000530</v>
      </c>
      <c r="B4332" s="6" t="str">
        <f t="shared" si="1109"/>
        <v>Lasa Int</v>
      </c>
      <c r="C4332" s="7">
        <v>45954</v>
      </c>
      <c r="D4332" s="7">
        <v>46037</v>
      </c>
      <c r="E4332" s="8">
        <v>28</v>
      </c>
      <c r="F4332" s="6" t="str">
        <f t="shared" si="1111"/>
        <v>PURE</v>
      </c>
      <c r="G4332" s="6" t="str">
        <f t="shared" si="1112"/>
        <v>F100021455000000</v>
      </c>
      <c r="H4332" s="6" t="str">
        <f t="shared" si="1113"/>
        <v>FA 214 - PURE - 550</v>
      </c>
      <c r="I4332" s="6" t="str">
        <f>"5149"</f>
        <v>5149</v>
      </c>
      <c r="J4332" s="6" t="str">
        <f>"VERDE 5149"</f>
        <v>VERDE 5149</v>
      </c>
      <c r="K4332" s="6" t="str">
        <f>"2020"</f>
        <v>2020</v>
      </c>
      <c r="L4332" s="6" t="str">
        <f>"Lençóis"</f>
        <v>Lençóis</v>
      </c>
      <c r="M4332" s="6" t="str">
        <f>"100x150"</f>
        <v>100x150</v>
      </c>
      <c r="N4332" s="6" t="str">
        <f>"5602972651478"</f>
        <v>5602972651478</v>
      </c>
      <c r="O4332" s="8">
        <v>240</v>
      </c>
      <c r="P4332" s="7">
        <v>45954</v>
      </c>
      <c r="R4332" s="8">
        <v>0</v>
      </c>
      <c r="S4332" s="7">
        <v>45959</v>
      </c>
      <c r="U4332" s="8">
        <v>240</v>
      </c>
      <c r="V4332" s="7">
        <v>45972</v>
      </c>
      <c r="X4332" s="8">
        <v>0</v>
      </c>
      <c r="Z4332" s="8">
        <v>240</v>
      </c>
      <c r="AA4332" s="7">
        <v>45986</v>
      </c>
      <c r="AC4332" s="8">
        <v>246</v>
      </c>
      <c r="AE4332" s="7">
        <v>45989</v>
      </c>
      <c r="AF4332" s="8">
        <v>246</v>
      </c>
      <c r="AH4332" s="7">
        <v>45989</v>
      </c>
      <c r="AN4332" s="8">
        <v>246</v>
      </c>
      <c r="AO4332" s="8">
        <v>-6</v>
      </c>
    </row>
    <row r="4333" spans="1:41" x14ac:dyDescent="0.25">
      <c r="A4333" s="6" t="str">
        <f t="shared" si="1110"/>
        <v>525-2025000530</v>
      </c>
      <c r="B4333" s="6" t="str">
        <f t="shared" si="1109"/>
        <v>Lasa Int</v>
      </c>
      <c r="C4333" s="7">
        <v>45954</v>
      </c>
      <c r="D4333" s="7">
        <v>46037</v>
      </c>
      <c r="E4333" s="8">
        <v>29</v>
      </c>
      <c r="F4333" s="6" t="str">
        <f t="shared" si="1111"/>
        <v>PURE</v>
      </c>
      <c r="G4333" s="6" t="str">
        <f>"F161003770000000"</f>
        <v>F161003770000000</v>
      </c>
      <c r="H4333" s="6" t="str">
        <f>"TA 37 - 700 g/m²"</f>
        <v>TA 37 - 700 g/m²</v>
      </c>
      <c r="I4333" s="6" t="str">
        <f>"1"</f>
        <v>1</v>
      </c>
      <c r="J4333" s="6" t="str">
        <f>"BRANCO"</f>
        <v>BRANCO</v>
      </c>
      <c r="K4333" s="6" t="str">
        <f>"3012"</f>
        <v>3012</v>
      </c>
      <c r="L4333" s="6" t="str">
        <f>"Tapetes"</f>
        <v>Tapetes</v>
      </c>
      <c r="M4333" s="6" t="str">
        <f>"50x70"</f>
        <v>50x70</v>
      </c>
      <c r="N4333" s="6" t="str">
        <f>"5602972906042"</f>
        <v>5602972906042</v>
      </c>
      <c r="O4333" s="8">
        <v>200</v>
      </c>
      <c r="P4333" s="7">
        <v>45954</v>
      </c>
      <c r="R4333" s="8">
        <v>0</v>
      </c>
      <c r="S4333" s="7">
        <v>45959</v>
      </c>
      <c r="U4333" s="8">
        <v>240</v>
      </c>
      <c r="V4333" s="7">
        <v>45972</v>
      </c>
      <c r="X4333" s="8">
        <v>0</v>
      </c>
      <c r="Z4333" s="8">
        <v>240</v>
      </c>
      <c r="AA4333" s="7">
        <v>45986</v>
      </c>
      <c r="AC4333" s="8">
        <v>114</v>
      </c>
      <c r="AE4333" s="7">
        <v>45989</v>
      </c>
      <c r="AF4333" s="8">
        <v>114</v>
      </c>
      <c r="AH4333" s="7">
        <v>45989</v>
      </c>
      <c r="AN4333" s="8">
        <v>114</v>
      </c>
      <c r="AO4333" s="8">
        <v>86</v>
      </c>
    </row>
    <row r="4334" spans="1:41" x14ac:dyDescent="0.25">
      <c r="A4334" s="6" t="str">
        <f t="shared" si="1110"/>
        <v>525-2025000530</v>
      </c>
      <c r="B4334" s="6" t="str">
        <f t="shared" si="1109"/>
        <v>Lasa Int</v>
      </c>
      <c r="C4334" s="7">
        <v>45954</v>
      </c>
      <c r="D4334" s="7">
        <v>46037</v>
      </c>
      <c r="E4334" s="8">
        <v>30</v>
      </c>
      <c r="F4334" s="6" t="str">
        <f t="shared" si="1111"/>
        <v>PURE</v>
      </c>
      <c r="G4334" s="6" t="str">
        <f>"F161003770000000"</f>
        <v>F161003770000000</v>
      </c>
      <c r="H4334" s="6" t="str">
        <f>"TA 37 - 700 g/m²"</f>
        <v>TA 37 - 700 g/m²</v>
      </c>
      <c r="I4334" s="6" t="str">
        <f>"5148"</f>
        <v>5148</v>
      </c>
      <c r="J4334" s="6" t="str">
        <f>"BEGE 5148"</f>
        <v>BEGE 5148</v>
      </c>
      <c r="K4334" s="6" t="str">
        <f>"3012"</f>
        <v>3012</v>
      </c>
      <c r="L4334" s="6" t="str">
        <f>"Tapetes"</f>
        <v>Tapetes</v>
      </c>
      <c r="M4334" s="6" t="str">
        <f>"50x70"</f>
        <v>50x70</v>
      </c>
      <c r="N4334" s="6" t="str">
        <f>"5602972651539"</f>
        <v>5602972651539</v>
      </c>
      <c r="O4334" s="8">
        <v>200</v>
      </c>
      <c r="P4334" s="7">
        <v>45954</v>
      </c>
      <c r="R4334" s="8">
        <v>0</v>
      </c>
      <c r="S4334" s="7">
        <v>45959</v>
      </c>
      <c r="U4334" s="8">
        <v>200</v>
      </c>
      <c r="V4334" s="7">
        <v>45972</v>
      </c>
      <c r="X4334" s="8">
        <v>0</v>
      </c>
      <c r="Z4334" s="8">
        <v>200</v>
      </c>
      <c r="AA4334" s="7">
        <v>45986</v>
      </c>
      <c r="AC4334" s="8">
        <v>200</v>
      </c>
      <c r="AE4334" s="7">
        <v>45989</v>
      </c>
      <c r="AF4334" s="8">
        <v>200</v>
      </c>
      <c r="AH4334" s="7">
        <v>45989</v>
      </c>
      <c r="AN4334" s="8">
        <v>200</v>
      </c>
      <c r="AO4334" s="8">
        <v>0</v>
      </c>
    </row>
    <row r="4335" spans="1:41" x14ac:dyDescent="0.25">
      <c r="A4335" s="6" t="str">
        <f t="shared" si="1110"/>
        <v>525-2025000530</v>
      </c>
      <c r="B4335" s="6" t="str">
        <f t="shared" si="1109"/>
        <v>Lasa Int</v>
      </c>
      <c r="C4335" s="7">
        <v>45954</v>
      </c>
      <c r="D4335" s="7">
        <v>46037</v>
      </c>
      <c r="E4335" s="8">
        <v>31</v>
      </c>
      <c r="F4335" s="6" t="str">
        <f t="shared" si="1111"/>
        <v>PURE</v>
      </c>
      <c r="G4335" s="6" t="str">
        <f>"F161003770000000"</f>
        <v>F161003770000000</v>
      </c>
      <c r="H4335" s="6" t="str">
        <f>"TA 37 - 700 g/m²"</f>
        <v>TA 37 - 700 g/m²</v>
      </c>
      <c r="I4335" s="6" t="str">
        <f>"5149"</f>
        <v>5149</v>
      </c>
      <c r="J4335" s="6" t="str">
        <f>"VERDE 5149"</f>
        <v>VERDE 5149</v>
      </c>
      <c r="K4335" s="6" t="str">
        <f>"3012"</f>
        <v>3012</v>
      </c>
      <c r="L4335" s="6" t="str">
        <f>"Tapetes"</f>
        <v>Tapetes</v>
      </c>
      <c r="M4335" s="6" t="str">
        <f>"50x70"</f>
        <v>50x70</v>
      </c>
      <c r="N4335" s="6" t="str">
        <f>"5602972651546"</f>
        <v>5602972651546</v>
      </c>
      <c r="O4335" s="8">
        <v>100</v>
      </c>
      <c r="P4335" s="7">
        <v>45954</v>
      </c>
      <c r="R4335" s="8">
        <v>0</v>
      </c>
      <c r="S4335" s="7">
        <v>45959</v>
      </c>
      <c r="U4335" s="8">
        <v>100</v>
      </c>
      <c r="V4335" s="7">
        <v>45972</v>
      </c>
      <c r="X4335" s="8">
        <v>0</v>
      </c>
      <c r="Z4335" s="8">
        <v>100</v>
      </c>
      <c r="AA4335" s="7">
        <v>45986</v>
      </c>
      <c r="AC4335" s="8">
        <v>100</v>
      </c>
      <c r="AE4335" s="7">
        <v>45989</v>
      </c>
      <c r="AF4335" s="8">
        <v>100</v>
      </c>
      <c r="AH4335" s="7">
        <v>45989</v>
      </c>
      <c r="AN4335" s="8">
        <v>100</v>
      </c>
      <c r="AO4335" s="8">
        <v>0</v>
      </c>
    </row>
    <row r="4336" spans="1:41" x14ac:dyDescent="0.25">
      <c r="A4336" s="6" t="str">
        <f>"525-2025000531"</f>
        <v>525-2025000531</v>
      </c>
      <c r="B4336" s="6" t="str">
        <f t="shared" si="1109"/>
        <v>Lasa Int</v>
      </c>
      <c r="C4336" s="7">
        <v>45954</v>
      </c>
      <c r="D4336" s="7">
        <v>46080</v>
      </c>
      <c r="E4336" s="8">
        <v>1</v>
      </c>
      <c r="F4336" s="6" t="str">
        <f>"Sea"</f>
        <v>Sea</v>
      </c>
      <c r="G4336" s="6" t="str">
        <f>"F601247538000000"</f>
        <v>F601247538000000</v>
      </c>
      <c r="H4336" s="6" t="str">
        <f>"10-2475 - 380 g/m² L"</f>
        <v>10-2475 - 380 g/m² L</v>
      </c>
      <c r="I4336" s="6" t="str">
        <f>"201285"</f>
        <v>201285</v>
      </c>
      <c r="J4336" s="6" t="str">
        <f>"TURQUESA 1285"</f>
        <v>TURQUESA 1285</v>
      </c>
      <c r="K4336" s="6" t="str">
        <f>"3530"</f>
        <v>3530</v>
      </c>
      <c r="L4336" s="6" t="str">
        <f t="shared" ref="L4336:L4341" si="1116">"Praia"</f>
        <v>Praia</v>
      </c>
      <c r="M4336" s="6" t="str">
        <f>"100x180"</f>
        <v>100x180</v>
      </c>
      <c r="N4336" s="6" t="str">
        <f>"5602972523492"</f>
        <v>5602972523492</v>
      </c>
      <c r="O4336" s="8">
        <v>360</v>
      </c>
      <c r="P4336" s="7">
        <v>46043</v>
      </c>
      <c r="R4336" s="8">
        <v>434</v>
      </c>
      <c r="S4336" s="7">
        <v>46055</v>
      </c>
      <c r="U4336" s="8">
        <v>434</v>
      </c>
      <c r="V4336" s="7">
        <v>46051</v>
      </c>
      <c r="X4336" s="8">
        <v>0</v>
      </c>
      <c r="Z4336" s="8">
        <v>434</v>
      </c>
      <c r="AA4336" s="7">
        <v>46064</v>
      </c>
      <c r="AC4336" s="8">
        <v>0</v>
      </c>
      <c r="AE4336" s="7">
        <v>46066</v>
      </c>
      <c r="AF4336" s="8">
        <v>0</v>
      </c>
      <c r="AH4336" s="7">
        <v>46066</v>
      </c>
      <c r="AN4336" s="8">
        <v>0</v>
      </c>
      <c r="AO4336" s="8">
        <v>360</v>
      </c>
    </row>
    <row r="4337" spans="1:41" x14ac:dyDescent="0.25">
      <c r="A4337" s="6" t="str">
        <f>"525-2025000531"</f>
        <v>525-2025000531</v>
      </c>
      <c r="B4337" s="6" t="str">
        <f t="shared" si="1109"/>
        <v>Lasa Int</v>
      </c>
      <c r="C4337" s="7">
        <v>45954</v>
      </c>
      <c r="D4337" s="7">
        <v>46080</v>
      </c>
      <c r="E4337" s="8">
        <v>2</v>
      </c>
      <c r="F4337" s="6" t="str">
        <f>"Sea"</f>
        <v>Sea</v>
      </c>
      <c r="G4337" s="6" t="str">
        <f>"F601247538000000"</f>
        <v>F601247538000000</v>
      </c>
      <c r="H4337" s="6" t="str">
        <f>"10-2475 - 380 g/m² L"</f>
        <v>10-2475 - 380 g/m² L</v>
      </c>
      <c r="I4337" s="6" t="str">
        <f>"202045"</f>
        <v>202045</v>
      </c>
      <c r="J4337" s="6" t="str">
        <f>"ROSA 2045"</f>
        <v>ROSA 2045</v>
      </c>
      <c r="K4337" s="6" t="str">
        <f>"3530"</f>
        <v>3530</v>
      </c>
      <c r="L4337" s="6" t="str">
        <f t="shared" si="1116"/>
        <v>Praia</v>
      </c>
      <c r="M4337" s="6" t="str">
        <f>"100x180"</f>
        <v>100x180</v>
      </c>
      <c r="N4337" s="6" t="str">
        <f>"5602972523508"</f>
        <v>5602972523508</v>
      </c>
      <c r="O4337" s="8">
        <v>360</v>
      </c>
      <c r="P4337" s="7">
        <v>46043</v>
      </c>
      <c r="R4337" s="8">
        <v>430</v>
      </c>
      <c r="S4337" s="7">
        <v>46055</v>
      </c>
      <c r="U4337" s="8">
        <v>430</v>
      </c>
      <c r="V4337" s="7">
        <v>46051</v>
      </c>
      <c r="X4337" s="8">
        <v>0</v>
      </c>
      <c r="Z4337" s="8">
        <v>430</v>
      </c>
      <c r="AA4337" s="7">
        <v>46064</v>
      </c>
      <c r="AC4337" s="8">
        <v>0</v>
      </c>
      <c r="AE4337" s="7">
        <v>46066</v>
      </c>
      <c r="AF4337" s="8">
        <v>0</v>
      </c>
      <c r="AH4337" s="7">
        <v>46066</v>
      </c>
      <c r="AN4337" s="8">
        <v>0</v>
      </c>
      <c r="AO4337" s="8">
        <v>360</v>
      </c>
    </row>
    <row r="4338" spans="1:41" x14ac:dyDescent="0.25">
      <c r="A4338" s="6" t="str">
        <f>"525-2025000531"</f>
        <v>525-2025000531</v>
      </c>
      <c r="B4338" s="6" t="str">
        <f t="shared" si="1109"/>
        <v>Lasa Int</v>
      </c>
      <c r="C4338" s="7">
        <v>45954</v>
      </c>
      <c r="D4338" s="7">
        <v>46080</v>
      </c>
      <c r="E4338" s="8">
        <v>4</v>
      </c>
      <c r="F4338" s="6" t="str">
        <f>"Sea"</f>
        <v>Sea</v>
      </c>
      <c r="G4338" s="6" t="str">
        <f>"F601900538000000"</f>
        <v>F601900538000000</v>
      </c>
      <c r="H4338" s="6" t="str">
        <f>"19005 - 380 g/m² Lam"</f>
        <v>19005 - 380 g/m² Lam</v>
      </c>
      <c r="I4338" s="6" t="str">
        <f>"202175"</f>
        <v>202175</v>
      </c>
      <c r="J4338" s="6" t="str">
        <f>"VERMELHO 2175"</f>
        <v>VERMELHO 2175</v>
      </c>
      <c r="K4338" s="6" t="str">
        <f>"3550"</f>
        <v>3550</v>
      </c>
      <c r="L4338" s="6" t="str">
        <f t="shared" si="1116"/>
        <v>Praia</v>
      </c>
      <c r="M4338" s="6" t="str">
        <f>"180x100"</f>
        <v>180x100</v>
      </c>
      <c r="N4338" s="6" t="str">
        <f>"5602972523539"</f>
        <v>5602972523539</v>
      </c>
      <c r="O4338" s="8">
        <v>500</v>
      </c>
      <c r="P4338" s="7">
        <v>46043</v>
      </c>
      <c r="R4338" s="8">
        <v>561</v>
      </c>
      <c r="S4338" s="7">
        <v>46055</v>
      </c>
      <c r="U4338" s="8">
        <v>561</v>
      </c>
      <c r="V4338" s="7">
        <v>46051</v>
      </c>
      <c r="X4338" s="8">
        <v>0</v>
      </c>
      <c r="Z4338" s="8">
        <v>40</v>
      </c>
      <c r="AA4338" s="7">
        <v>46064</v>
      </c>
      <c r="AC4338" s="8">
        <v>0</v>
      </c>
      <c r="AE4338" s="7">
        <v>46066</v>
      </c>
      <c r="AF4338" s="8">
        <v>0</v>
      </c>
      <c r="AH4338" s="7">
        <v>46066</v>
      </c>
      <c r="AN4338" s="8">
        <v>0</v>
      </c>
      <c r="AO4338" s="8">
        <v>500</v>
      </c>
    </row>
    <row r="4339" spans="1:41" x14ac:dyDescent="0.25">
      <c r="A4339" s="6" t="str">
        <f>"525-2025000531"</f>
        <v>525-2025000531</v>
      </c>
      <c r="B4339" s="6" t="str">
        <f t="shared" si="1109"/>
        <v>Lasa Int</v>
      </c>
      <c r="C4339" s="7">
        <v>45954</v>
      </c>
      <c r="D4339" s="7">
        <v>46080</v>
      </c>
      <c r="E4339" s="8">
        <v>5</v>
      </c>
      <c r="F4339" s="6" t="str">
        <f>"Sea"</f>
        <v>Sea</v>
      </c>
      <c r="G4339" s="6" t="str">
        <f>"F601247338000000"</f>
        <v>F601247338000000</v>
      </c>
      <c r="H4339" s="6" t="str">
        <f>"10-2473 - 380 g/m² L"</f>
        <v>10-2473 - 380 g/m² L</v>
      </c>
      <c r="I4339" s="6" t="str">
        <f>"202776"</f>
        <v>202776</v>
      </c>
      <c r="J4339" s="6" t="str">
        <f>"CINZA 2776"</f>
        <v>CINZA 2776</v>
      </c>
      <c r="K4339" s="6" t="str">
        <f>"3530"</f>
        <v>3530</v>
      </c>
      <c r="L4339" s="6" t="str">
        <f t="shared" si="1116"/>
        <v>Praia</v>
      </c>
      <c r="M4339" s="6" t="str">
        <f>"100x180"</f>
        <v>100x180</v>
      </c>
      <c r="N4339" s="6" t="str">
        <f>"5602972523577"</f>
        <v>5602972523577</v>
      </c>
      <c r="O4339" s="8">
        <v>360</v>
      </c>
      <c r="P4339" s="7">
        <v>46043</v>
      </c>
      <c r="R4339" s="8">
        <v>398</v>
      </c>
      <c r="S4339" s="7">
        <v>46055</v>
      </c>
      <c r="U4339" s="8">
        <v>398</v>
      </c>
      <c r="V4339" s="7">
        <v>46051</v>
      </c>
      <c r="X4339" s="8">
        <v>0</v>
      </c>
      <c r="Z4339" s="8">
        <v>398</v>
      </c>
      <c r="AA4339" s="7">
        <v>46064</v>
      </c>
      <c r="AC4339" s="8">
        <v>0</v>
      </c>
      <c r="AE4339" s="7">
        <v>46066</v>
      </c>
      <c r="AF4339" s="8">
        <v>0</v>
      </c>
      <c r="AH4339" s="7">
        <v>46066</v>
      </c>
      <c r="AN4339" s="8">
        <v>0</v>
      </c>
      <c r="AO4339" s="8">
        <v>360</v>
      </c>
    </row>
    <row r="4340" spans="1:41" x14ac:dyDescent="0.25">
      <c r="A4340" s="6" t="str">
        <f>"525-2025000532"</f>
        <v>525-2025000532</v>
      </c>
      <c r="B4340" s="6" t="str">
        <f t="shared" si="1109"/>
        <v>Lasa Int</v>
      </c>
      <c r="C4340" s="7">
        <v>45954</v>
      </c>
      <c r="D4340" s="7">
        <v>46080</v>
      </c>
      <c r="E4340" s="8">
        <v>1</v>
      </c>
      <c r="F4340" s="6" t="str">
        <f>"Peixe"</f>
        <v>Peixe</v>
      </c>
      <c r="G4340" s="6" t="str">
        <f>"F601900738000000"</f>
        <v>F601900738000000</v>
      </c>
      <c r="H4340" s="6" t="str">
        <f>"19007 - 380 g/m² Lam"</f>
        <v>19007 - 380 g/m² Lam</v>
      </c>
      <c r="I4340" s="6" t="str">
        <f>"202698"</f>
        <v>202698</v>
      </c>
      <c r="J4340" s="6" t="str">
        <f>"BEGE 2698"</f>
        <v>BEGE 2698</v>
      </c>
      <c r="K4340" s="6" t="str">
        <f>"3550"</f>
        <v>3550</v>
      </c>
      <c r="L4340" s="6" t="str">
        <f t="shared" si="1116"/>
        <v>Praia</v>
      </c>
      <c r="M4340" s="6" t="str">
        <f>"180x100"</f>
        <v>180x100</v>
      </c>
      <c r="N4340" s="6" t="str">
        <f>"5602972523553"</f>
        <v>5602972523553</v>
      </c>
      <c r="O4340" s="8">
        <v>600</v>
      </c>
      <c r="P4340" s="7">
        <v>46043</v>
      </c>
      <c r="R4340" s="8">
        <v>659</v>
      </c>
      <c r="S4340" s="7">
        <v>46055</v>
      </c>
      <c r="U4340" s="8">
        <v>659</v>
      </c>
      <c r="V4340" s="7">
        <v>46051</v>
      </c>
      <c r="X4340" s="8">
        <v>0</v>
      </c>
      <c r="Z4340" s="8">
        <v>659</v>
      </c>
      <c r="AA4340" s="7">
        <v>46064</v>
      </c>
      <c r="AC4340" s="8">
        <v>0</v>
      </c>
      <c r="AE4340" s="7">
        <v>46066</v>
      </c>
      <c r="AF4340" s="8">
        <v>0</v>
      </c>
      <c r="AH4340" s="7">
        <v>46066</v>
      </c>
      <c r="AN4340" s="8">
        <v>0</v>
      </c>
      <c r="AO4340" s="8">
        <v>600</v>
      </c>
    </row>
    <row r="4341" spans="1:41" x14ac:dyDescent="0.25">
      <c r="A4341" s="6" t="str">
        <f>"525-2025000532"</f>
        <v>525-2025000532</v>
      </c>
      <c r="B4341" s="6" t="str">
        <f t="shared" si="1109"/>
        <v>Lasa Int</v>
      </c>
      <c r="C4341" s="7">
        <v>45954</v>
      </c>
      <c r="D4341" s="7">
        <v>46080</v>
      </c>
      <c r="E4341" s="8">
        <v>2</v>
      </c>
      <c r="F4341" s="6" t="str">
        <f>"Peixe"</f>
        <v>Peixe</v>
      </c>
      <c r="G4341" s="6" t="str">
        <f>"F601900638000000"</f>
        <v>F601900638000000</v>
      </c>
      <c r="H4341" s="6" t="str">
        <f>"19006 - 380 g/m² Lam"</f>
        <v>19006 - 380 g/m² Lam</v>
      </c>
      <c r="I4341" s="6" t="str">
        <f>"201073"</f>
        <v>201073</v>
      </c>
      <c r="J4341" s="6" t="str">
        <f>"CINZA 1073"</f>
        <v>CINZA 1073</v>
      </c>
      <c r="K4341" s="6" t="str">
        <f>"3550"</f>
        <v>3550</v>
      </c>
      <c r="L4341" s="6" t="str">
        <f t="shared" si="1116"/>
        <v>Praia</v>
      </c>
      <c r="M4341" s="6" t="str">
        <f>"180x100"</f>
        <v>180x100</v>
      </c>
      <c r="N4341" s="6" t="str">
        <f>"5602972523546"</f>
        <v>5602972523546</v>
      </c>
      <c r="O4341" s="8">
        <v>360</v>
      </c>
      <c r="P4341" s="7">
        <v>46043</v>
      </c>
      <c r="R4341" s="8">
        <v>398</v>
      </c>
      <c r="S4341" s="7">
        <v>46055</v>
      </c>
      <c r="U4341" s="8">
        <v>398</v>
      </c>
      <c r="V4341" s="7">
        <v>46051</v>
      </c>
      <c r="X4341" s="8">
        <v>0</v>
      </c>
      <c r="Z4341" s="8">
        <v>398</v>
      </c>
      <c r="AA4341" s="7">
        <v>46064</v>
      </c>
      <c r="AC4341" s="8">
        <v>0</v>
      </c>
      <c r="AE4341" s="7">
        <v>46066</v>
      </c>
      <c r="AF4341" s="8">
        <v>0</v>
      </c>
      <c r="AH4341" s="7">
        <v>46066</v>
      </c>
      <c r="AN4341" s="8">
        <v>0</v>
      </c>
      <c r="AO4341" s="8">
        <v>360</v>
      </c>
    </row>
    <row r="4342" spans="1:41" x14ac:dyDescent="0.25">
      <c r="A4342" s="6" t="str">
        <f t="shared" ref="A4342:A4350" si="1117">"525-2025000533"</f>
        <v>525-2025000533</v>
      </c>
      <c r="B4342" s="6" t="str">
        <f t="shared" ref="B4342:B4350" si="1118">"ARMANDO"</f>
        <v>ARMANDO</v>
      </c>
      <c r="C4342" s="7">
        <v>45957</v>
      </c>
      <c r="D4342" s="7">
        <v>46030</v>
      </c>
      <c r="E4342" s="8">
        <v>1</v>
      </c>
      <c r="F4342" s="6" t="str">
        <f t="shared" ref="F4342:F4350" si="1119">"Hotel"</f>
        <v>Hotel</v>
      </c>
      <c r="G4342" s="6" t="str">
        <f>"F160036440010000"</f>
        <v>F160036440010000</v>
      </c>
      <c r="H4342" s="6" t="str">
        <f>"L 364 - 400 g/m² (HO"</f>
        <v>L 364 - 400 g/m² (HO</v>
      </c>
      <c r="I4342" s="6" t="str">
        <f t="shared" ref="I4342:I4350" si="1120">"1"</f>
        <v>1</v>
      </c>
      <c r="J4342" s="6" t="str">
        <f t="shared" ref="J4342:J4350" si="1121">"BRANCO"</f>
        <v>BRANCO</v>
      </c>
      <c r="K4342" s="6" t="str">
        <f>"1535"</f>
        <v>1535</v>
      </c>
      <c r="L4342" s="6" t="str">
        <f>"Toalhões"</f>
        <v>Toalhões</v>
      </c>
      <c r="M4342" s="6" t="str">
        <f>"70x140"</f>
        <v>70x140</v>
      </c>
      <c r="N4342" s="6" t="str">
        <f>"5602972265378"</f>
        <v>5602972265378</v>
      </c>
      <c r="O4342" s="8">
        <v>360</v>
      </c>
      <c r="P4342" s="7">
        <v>45957</v>
      </c>
      <c r="R4342" s="8">
        <v>405</v>
      </c>
      <c r="S4342" s="7">
        <v>45960</v>
      </c>
      <c r="U4342" s="8">
        <v>405</v>
      </c>
      <c r="V4342" s="7">
        <v>45971</v>
      </c>
      <c r="X4342" s="8">
        <v>0</v>
      </c>
      <c r="Z4342" s="8">
        <v>405</v>
      </c>
      <c r="AA4342" s="7">
        <v>45981</v>
      </c>
      <c r="AC4342" s="8">
        <v>330</v>
      </c>
      <c r="AE4342" s="7">
        <v>45985</v>
      </c>
      <c r="AF4342" s="8">
        <v>330</v>
      </c>
      <c r="AH4342" s="7">
        <v>45985</v>
      </c>
      <c r="AN4342" s="8">
        <v>330</v>
      </c>
      <c r="AO4342" s="8">
        <v>30</v>
      </c>
    </row>
    <row r="4343" spans="1:41" x14ac:dyDescent="0.25">
      <c r="A4343" s="6" t="str">
        <f t="shared" si="1117"/>
        <v>525-2025000533</v>
      </c>
      <c r="B4343" s="6" t="str">
        <f t="shared" si="1118"/>
        <v>ARMANDO</v>
      </c>
      <c r="C4343" s="7">
        <v>45957</v>
      </c>
      <c r="D4343" s="7">
        <v>46030</v>
      </c>
      <c r="E4343" s="8">
        <v>2</v>
      </c>
      <c r="F4343" s="6" t="str">
        <f t="shared" si="1119"/>
        <v>Hotel</v>
      </c>
      <c r="G4343" s="6" t="str">
        <f>"F160036950010000"</f>
        <v>F160036950010000</v>
      </c>
      <c r="H4343" s="6" t="str">
        <f>"L 369 - 500 g/m² (AT"</f>
        <v>L 369 - 500 g/m² (AT</v>
      </c>
      <c r="I4343" s="6" t="str">
        <f t="shared" si="1120"/>
        <v>1</v>
      </c>
      <c r="J4343" s="6" t="str">
        <f t="shared" si="1121"/>
        <v>BRANCO</v>
      </c>
      <c r="K4343" s="6" t="str">
        <f>"0520"</f>
        <v>0520</v>
      </c>
      <c r="L4343" s="6" t="str">
        <f>"Toalhetes"</f>
        <v>Toalhetes</v>
      </c>
      <c r="M4343" s="6" t="str">
        <f>"30x50"</f>
        <v>30x50</v>
      </c>
      <c r="N4343" s="6" t="str">
        <f>"5602972265231"</f>
        <v>5602972265231</v>
      </c>
      <c r="O4343" s="8">
        <v>420</v>
      </c>
      <c r="P4343" s="7">
        <v>45957</v>
      </c>
      <c r="R4343" s="8">
        <v>456</v>
      </c>
      <c r="S4343" s="7">
        <v>45960</v>
      </c>
      <c r="U4343" s="8">
        <v>498</v>
      </c>
      <c r="V4343" s="7">
        <v>45971</v>
      </c>
      <c r="X4343" s="8">
        <v>0</v>
      </c>
      <c r="Z4343" s="8">
        <v>498</v>
      </c>
      <c r="AA4343" s="7">
        <v>45981</v>
      </c>
      <c r="AC4343" s="8">
        <v>540</v>
      </c>
      <c r="AE4343" s="7">
        <v>45985</v>
      </c>
      <c r="AF4343" s="8">
        <v>540</v>
      </c>
      <c r="AH4343" s="7">
        <v>45985</v>
      </c>
      <c r="AN4343" s="8">
        <v>540</v>
      </c>
      <c r="AO4343" s="8">
        <v>-120</v>
      </c>
    </row>
    <row r="4344" spans="1:41" x14ac:dyDescent="0.25">
      <c r="A4344" s="6" t="str">
        <f t="shared" si="1117"/>
        <v>525-2025000533</v>
      </c>
      <c r="B4344" s="6" t="str">
        <f t="shared" si="1118"/>
        <v>ARMANDO</v>
      </c>
      <c r="C4344" s="7">
        <v>45957</v>
      </c>
      <c r="D4344" s="7">
        <v>46030</v>
      </c>
      <c r="E4344" s="8">
        <v>3</v>
      </c>
      <c r="F4344" s="6" t="str">
        <f t="shared" si="1119"/>
        <v>Hotel</v>
      </c>
      <c r="G4344" s="6" t="str">
        <f>"F160036950010000"</f>
        <v>F160036950010000</v>
      </c>
      <c r="H4344" s="6" t="str">
        <f>"L 369 - 500 g/m² (AT"</f>
        <v>L 369 - 500 g/m² (AT</v>
      </c>
      <c r="I4344" s="6" t="str">
        <f t="shared" si="1120"/>
        <v>1</v>
      </c>
      <c r="J4344" s="6" t="str">
        <f t="shared" si="1121"/>
        <v>BRANCO</v>
      </c>
      <c r="K4344" s="6" t="str">
        <f>"2020"</f>
        <v>2020</v>
      </c>
      <c r="L4344" s="6" t="str">
        <f>"Lençóis"</f>
        <v>Lençóis</v>
      </c>
      <c r="M4344" s="6" t="str">
        <f>"100x150"</f>
        <v>100x150</v>
      </c>
      <c r="N4344" s="6" t="str">
        <f>"5602972265262"</f>
        <v>5602972265262</v>
      </c>
      <c r="O4344" s="8">
        <v>120</v>
      </c>
      <c r="P4344" s="7">
        <v>45957</v>
      </c>
      <c r="R4344" s="8">
        <v>408</v>
      </c>
      <c r="S4344" s="7">
        <v>45960</v>
      </c>
      <c r="U4344" s="8">
        <v>162</v>
      </c>
      <c r="V4344" s="7">
        <v>45971</v>
      </c>
      <c r="X4344" s="8">
        <v>0</v>
      </c>
      <c r="Z4344" s="8">
        <v>162</v>
      </c>
      <c r="AA4344" s="7">
        <v>45981</v>
      </c>
      <c r="AC4344" s="8">
        <v>48</v>
      </c>
      <c r="AE4344" s="7">
        <v>45985</v>
      </c>
      <c r="AF4344" s="8">
        <v>48</v>
      </c>
      <c r="AH4344" s="7">
        <v>45985</v>
      </c>
      <c r="AN4344" s="8">
        <v>48</v>
      </c>
      <c r="AO4344" s="8">
        <v>72</v>
      </c>
    </row>
    <row r="4345" spans="1:41" x14ac:dyDescent="0.25">
      <c r="A4345" s="6" t="str">
        <f t="shared" si="1117"/>
        <v>525-2025000533</v>
      </c>
      <c r="B4345" s="6" t="str">
        <f t="shared" si="1118"/>
        <v>ARMANDO</v>
      </c>
      <c r="C4345" s="7">
        <v>45957</v>
      </c>
      <c r="D4345" s="7">
        <v>46030</v>
      </c>
      <c r="E4345" s="8">
        <v>4</v>
      </c>
      <c r="F4345" s="6" t="str">
        <f t="shared" si="1119"/>
        <v>Hotel</v>
      </c>
      <c r="G4345" s="6" t="str">
        <f>"F160037045010000"</f>
        <v>F160037045010000</v>
      </c>
      <c r="H4345" s="6" t="str">
        <f>"L 370 - 450 g/m² (CY"</f>
        <v>L 370 - 450 g/m² (CY</v>
      </c>
      <c r="I4345" s="6" t="str">
        <f t="shared" si="1120"/>
        <v>1</v>
      </c>
      <c r="J4345" s="6" t="str">
        <f t="shared" si="1121"/>
        <v>BRANCO</v>
      </c>
      <c r="K4345" s="6" t="str">
        <f>"1024"</f>
        <v>1024</v>
      </c>
      <c r="L4345" s="6" t="str">
        <f>"Toalhas"</f>
        <v>Toalhas</v>
      </c>
      <c r="M4345" s="6" t="str">
        <f>"50x100"</f>
        <v>50x100</v>
      </c>
      <c r="N4345" s="6" t="str">
        <f>"5602972265309"</f>
        <v>5602972265309</v>
      </c>
      <c r="O4345" s="8">
        <v>360</v>
      </c>
      <c r="P4345" s="7">
        <v>45957</v>
      </c>
      <c r="R4345" s="8">
        <v>652</v>
      </c>
      <c r="S4345" s="7">
        <v>45960</v>
      </c>
      <c r="U4345" s="8">
        <v>524</v>
      </c>
      <c r="V4345" s="7">
        <v>45971</v>
      </c>
      <c r="X4345" s="8">
        <v>0</v>
      </c>
      <c r="Z4345" s="8">
        <v>524</v>
      </c>
      <c r="AA4345" s="7">
        <v>45981</v>
      </c>
      <c r="AC4345" s="8">
        <v>420</v>
      </c>
      <c r="AE4345" s="7">
        <v>45985</v>
      </c>
      <c r="AF4345" s="8">
        <v>420</v>
      </c>
      <c r="AH4345" s="7">
        <v>45985</v>
      </c>
      <c r="AN4345" s="8">
        <v>420</v>
      </c>
      <c r="AO4345" s="8">
        <v>-60</v>
      </c>
    </row>
    <row r="4346" spans="1:41" x14ac:dyDescent="0.25">
      <c r="A4346" s="6" t="str">
        <f t="shared" si="1117"/>
        <v>525-2025000533</v>
      </c>
      <c r="B4346" s="6" t="str">
        <f t="shared" si="1118"/>
        <v>ARMANDO</v>
      </c>
      <c r="C4346" s="7">
        <v>45957</v>
      </c>
      <c r="D4346" s="7">
        <v>46030</v>
      </c>
      <c r="E4346" s="8">
        <v>5</v>
      </c>
      <c r="F4346" s="6" t="str">
        <f t="shared" si="1119"/>
        <v>Hotel</v>
      </c>
      <c r="G4346" s="6" t="str">
        <f>"F160037045010000"</f>
        <v>F160037045010000</v>
      </c>
      <c r="H4346" s="6" t="str">
        <f>"L 370 - 450 g/m² (CY"</f>
        <v>L 370 - 450 g/m² (CY</v>
      </c>
      <c r="I4346" s="6" t="str">
        <f t="shared" si="1120"/>
        <v>1</v>
      </c>
      <c r="J4346" s="6" t="str">
        <f t="shared" si="1121"/>
        <v>BRANCO</v>
      </c>
      <c r="K4346" s="6" t="str">
        <f>"1535"</f>
        <v>1535</v>
      </c>
      <c r="L4346" s="6" t="str">
        <f>"Toalhões"</f>
        <v>Toalhões</v>
      </c>
      <c r="M4346" s="6" t="str">
        <f>"70x140"</f>
        <v>70x140</v>
      </c>
      <c r="N4346" s="6" t="str">
        <f>"5602972265316"</f>
        <v>5602972265316</v>
      </c>
      <c r="O4346" s="8">
        <v>120</v>
      </c>
      <c r="P4346" s="7">
        <v>45957</v>
      </c>
      <c r="R4346" s="8">
        <v>153</v>
      </c>
      <c r="S4346" s="7">
        <v>45960</v>
      </c>
      <c r="U4346" s="8">
        <v>150</v>
      </c>
      <c r="V4346" s="7">
        <v>45971</v>
      </c>
      <c r="X4346" s="8">
        <v>0</v>
      </c>
      <c r="Z4346" s="8">
        <v>150</v>
      </c>
      <c r="AA4346" s="7">
        <v>45981</v>
      </c>
      <c r="AC4346" s="8">
        <v>90</v>
      </c>
      <c r="AE4346" s="7">
        <v>45985</v>
      </c>
      <c r="AF4346" s="8">
        <v>90</v>
      </c>
      <c r="AH4346" s="7">
        <v>45985</v>
      </c>
      <c r="AN4346" s="8">
        <v>90</v>
      </c>
      <c r="AO4346" s="8">
        <v>30</v>
      </c>
    </row>
    <row r="4347" spans="1:41" x14ac:dyDescent="0.25">
      <c r="A4347" s="6" t="str">
        <f t="shared" si="1117"/>
        <v>525-2025000533</v>
      </c>
      <c r="B4347" s="6" t="str">
        <f t="shared" si="1118"/>
        <v>ARMANDO</v>
      </c>
      <c r="C4347" s="7">
        <v>45957</v>
      </c>
      <c r="D4347" s="7">
        <v>46030</v>
      </c>
      <c r="E4347" s="8">
        <v>6</v>
      </c>
      <c r="F4347" s="6" t="str">
        <f t="shared" si="1119"/>
        <v>Hotel</v>
      </c>
      <c r="G4347" s="6" t="str">
        <f>"F160051555000002"</f>
        <v>F160051555000002</v>
      </c>
      <c r="H4347" s="6" t="str">
        <f>"L 515 - 550 g/m² (CE"</f>
        <v>L 515 - 550 g/m² (CE</v>
      </c>
      <c r="I4347" s="6" t="str">
        <f t="shared" si="1120"/>
        <v>1</v>
      </c>
      <c r="J4347" s="6" t="str">
        <f t="shared" si="1121"/>
        <v>BRANCO</v>
      </c>
      <c r="K4347" s="6" t="str">
        <f>"1024"</f>
        <v>1024</v>
      </c>
      <c r="L4347" s="6" t="str">
        <f>"Toalhas"</f>
        <v>Toalhas</v>
      </c>
      <c r="M4347" s="6" t="str">
        <f>"50x100"</f>
        <v>50x100</v>
      </c>
      <c r="N4347" s="6" t="str">
        <f>"5602972265187"</f>
        <v>5602972265187</v>
      </c>
      <c r="O4347" s="8">
        <v>240</v>
      </c>
      <c r="P4347" s="7">
        <v>45957</v>
      </c>
      <c r="R4347" s="8">
        <v>528</v>
      </c>
      <c r="S4347" s="7">
        <v>45960</v>
      </c>
      <c r="U4347" s="8">
        <v>408</v>
      </c>
      <c r="V4347" s="7">
        <v>45971</v>
      </c>
      <c r="X4347" s="8">
        <v>0</v>
      </c>
      <c r="Z4347" s="8">
        <v>408</v>
      </c>
      <c r="AA4347" s="7">
        <v>45981</v>
      </c>
      <c r="AC4347" s="8">
        <v>348</v>
      </c>
      <c r="AE4347" s="7">
        <v>45985</v>
      </c>
      <c r="AF4347" s="8">
        <v>348</v>
      </c>
      <c r="AH4347" s="7">
        <v>45985</v>
      </c>
      <c r="AN4347" s="8">
        <v>348</v>
      </c>
      <c r="AO4347" s="8">
        <v>-108</v>
      </c>
    </row>
    <row r="4348" spans="1:41" x14ac:dyDescent="0.25">
      <c r="A4348" s="6" t="str">
        <f t="shared" si="1117"/>
        <v>525-2025000533</v>
      </c>
      <c r="B4348" s="6" t="str">
        <f t="shared" si="1118"/>
        <v>ARMANDO</v>
      </c>
      <c r="C4348" s="7">
        <v>45957</v>
      </c>
      <c r="D4348" s="7">
        <v>46030</v>
      </c>
      <c r="E4348" s="8">
        <v>7</v>
      </c>
      <c r="F4348" s="6" t="str">
        <f t="shared" si="1119"/>
        <v>Hotel</v>
      </c>
      <c r="G4348" s="6" t="str">
        <f>"F160051555000002"</f>
        <v>F160051555000002</v>
      </c>
      <c r="H4348" s="6" t="str">
        <f>"L 515 - 550 g/m² (CE"</f>
        <v>L 515 - 550 g/m² (CE</v>
      </c>
      <c r="I4348" s="6" t="str">
        <f t="shared" si="1120"/>
        <v>1</v>
      </c>
      <c r="J4348" s="6" t="str">
        <f t="shared" si="1121"/>
        <v>BRANCO</v>
      </c>
      <c r="K4348" s="6" t="str">
        <f>"1535"</f>
        <v>1535</v>
      </c>
      <c r="L4348" s="6" t="str">
        <f>"Toalhões"</f>
        <v>Toalhões</v>
      </c>
      <c r="M4348" s="6" t="str">
        <f>"70x140"</f>
        <v>70x140</v>
      </c>
      <c r="N4348" s="6" t="str">
        <f>"5602972265194"</f>
        <v>5602972265194</v>
      </c>
      <c r="O4348" s="8">
        <v>120</v>
      </c>
      <c r="P4348" s="7">
        <v>45957</v>
      </c>
      <c r="R4348" s="8">
        <v>129</v>
      </c>
      <c r="S4348" s="7">
        <v>45960</v>
      </c>
      <c r="U4348" s="8">
        <v>192</v>
      </c>
      <c r="V4348" s="7">
        <v>45971</v>
      </c>
      <c r="X4348" s="8">
        <v>0</v>
      </c>
      <c r="Z4348" s="8">
        <v>192</v>
      </c>
      <c r="AA4348" s="7">
        <v>45981</v>
      </c>
      <c r="AC4348" s="8">
        <v>189</v>
      </c>
      <c r="AE4348" s="7">
        <v>45985</v>
      </c>
      <c r="AF4348" s="8">
        <v>189</v>
      </c>
      <c r="AH4348" s="7">
        <v>45985</v>
      </c>
      <c r="AN4348" s="8">
        <v>189</v>
      </c>
      <c r="AO4348" s="8">
        <v>-69</v>
      </c>
    </row>
    <row r="4349" spans="1:41" x14ac:dyDescent="0.25">
      <c r="A4349" s="6" t="str">
        <f t="shared" si="1117"/>
        <v>525-2025000533</v>
      </c>
      <c r="B4349" s="6" t="str">
        <f t="shared" si="1118"/>
        <v>ARMANDO</v>
      </c>
      <c r="C4349" s="7">
        <v>45957</v>
      </c>
      <c r="D4349" s="7">
        <v>46030</v>
      </c>
      <c r="E4349" s="8">
        <v>8</v>
      </c>
      <c r="F4349" s="6" t="str">
        <f t="shared" si="1119"/>
        <v>Hotel</v>
      </c>
      <c r="G4349" s="6" t="str">
        <f>"F161004565010000"</f>
        <v>F161004565010000</v>
      </c>
      <c r="H4349" s="6" t="str">
        <f>"TA 45 - 650 g/m² (HO"</f>
        <v>TA 45 - 650 g/m² (HO</v>
      </c>
      <c r="I4349" s="6" t="str">
        <f t="shared" si="1120"/>
        <v>1</v>
      </c>
      <c r="J4349" s="6" t="str">
        <f t="shared" si="1121"/>
        <v>BRANCO</v>
      </c>
      <c r="K4349" s="6" t="str">
        <f>"3012"</f>
        <v>3012</v>
      </c>
      <c r="L4349" s="6" t="str">
        <f>"Tapetes"</f>
        <v>Tapetes</v>
      </c>
      <c r="M4349" s="6" t="str">
        <f>"50x70"</f>
        <v>50x70</v>
      </c>
      <c r="N4349" s="6" t="str">
        <f>"5602972265392"</f>
        <v>5602972265392</v>
      </c>
      <c r="O4349" s="8">
        <v>120</v>
      </c>
      <c r="P4349" s="7">
        <v>45957</v>
      </c>
      <c r="R4349" s="8">
        <v>132</v>
      </c>
      <c r="S4349" s="7">
        <v>45960</v>
      </c>
      <c r="U4349" s="8">
        <v>220</v>
      </c>
      <c r="V4349" s="7">
        <v>45971</v>
      </c>
      <c r="X4349" s="8">
        <v>0</v>
      </c>
      <c r="Z4349" s="8">
        <v>220</v>
      </c>
      <c r="AA4349" s="7">
        <v>45981</v>
      </c>
      <c r="AC4349" s="8">
        <v>144</v>
      </c>
      <c r="AE4349" s="7">
        <v>45985</v>
      </c>
      <c r="AF4349" s="8">
        <v>144</v>
      </c>
      <c r="AH4349" s="7">
        <v>45985</v>
      </c>
      <c r="AN4349" s="8">
        <v>144</v>
      </c>
      <c r="AO4349" s="8">
        <v>-24</v>
      </c>
    </row>
    <row r="4350" spans="1:41" x14ac:dyDescent="0.25">
      <c r="A4350" s="6" t="str">
        <f t="shared" si="1117"/>
        <v>525-2025000533</v>
      </c>
      <c r="B4350" s="6" t="str">
        <f t="shared" si="1118"/>
        <v>ARMANDO</v>
      </c>
      <c r="C4350" s="7">
        <v>45957</v>
      </c>
      <c r="D4350" s="7">
        <v>46030</v>
      </c>
      <c r="E4350" s="8">
        <v>9</v>
      </c>
      <c r="F4350" s="6" t="str">
        <f t="shared" si="1119"/>
        <v>Hotel</v>
      </c>
      <c r="G4350" s="6" t="str">
        <f>"F161005665010000"</f>
        <v>F161005665010000</v>
      </c>
      <c r="H4350" s="6" t="str">
        <f>"TA 56 - 650 g/m² (CY"</f>
        <v>TA 56 - 650 g/m² (CY</v>
      </c>
      <c r="I4350" s="6" t="str">
        <f t="shared" si="1120"/>
        <v>1</v>
      </c>
      <c r="J4350" s="6" t="str">
        <f t="shared" si="1121"/>
        <v>BRANCO</v>
      </c>
      <c r="K4350" s="6" t="str">
        <f>"3012"</f>
        <v>3012</v>
      </c>
      <c r="L4350" s="6" t="str">
        <f>"Tapetes"</f>
        <v>Tapetes</v>
      </c>
      <c r="M4350" s="6" t="str">
        <f>"50x70"</f>
        <v>50x70</v>
      </c>
      <c r="N4350" s="6" t="str">
        <f>"5602972265330"</f>
        <v>5602972265330</v>
      </c>
      <c r="O4350" s="8">
        <v>300</v>
      </c>
      <c r="P4350" s="7">
        <v>45957</v>
      </c>
      <c r="R4350" s="8">
        <v>448</v>
      </c>
      <c r="S4350" s="7">
        <v>45960</v>
      </c>
      <c r="U4350" s="8">
        <v>440</v>
      </c>
      <c r="V4350" s="7">
        <v>45971</v>
      </c>
      <c r="X4350" s="8">
        <v>0</v>
      </c>
      <c r="Z4350" s="8">
        <v>440</v>
      </c>
      <c r="AA4350" s="7">
        <v>45981</v>
      </c>
      <c r="AC4350" s="8">
        <v>378</v>
      </c>
      <c r="AE4350" s="7">
        <v>45985</v>
      </c>
      <c r="AF4350" s="8">
        <v>378</v>
      </c>
      <c r="AH4350" s="7">
        <v>45985</v>
      </c>
      <c r="AN4350" s="8">
        <v>378</v>
      </c>
      <c r="AO4350" s="8">
        <v>-78</v>
      </c>
    </row>
    <row r="4351" spans="1:41" x14ac:dyDescent="0.25">
      <c r="A4351" s="6" t="str">
        <f>"525-2025000535"</f>
        <v>525-2025000535</v>
      </c>
      <c r="B4351" s="6" t="str">
        <f t="shared" ref="B4351:B4382" si="1122">"Lasa Int"</f>
        <v>Lasa Int</v>
      </c>
      <c r="C4351" s="7">
        <v>45957</v>
      </c>
      <c r="D4351" s="7">
        <v>46064</v>
      </c>
      <c r="E4351" s="8">
        <v>1</v>
      </c>
      <c r="F4351" s="6" t="str">
        <f>"PURE R"</f>
        <v>PURE R</v>
      </c>
      <c r="G4351" s="6" t="str">
        <f>"R010000635000000"</f>
        <v>R010000635000000</v>
      </c>
      <c r="H4351" s="6" t="str">
        <f>"Alexis Cotoral Pure"</f>
        <v>Alexis Cotoral Pure</v>
      </c>
      <c r="I4351" s="6" t="str">
        <f>"3233"</f>
        <v>3233</v>
      </c>
      <c r="J4351" s="6" t="str">
        <f>"LILAS 3233"</f>
        <v>LILAS 3233</v>
      </c>
      <c r="K4351" s="6" t="str">
        <f>"5002"</f>
        <v>5002</v>
      </c>
      <c r="L4351" s="6" t="str">
        <f>"Roupões Adulto"</f>
        <v>Roupões Adulto</v>
      </c>
      <c r="M4351" s="6" t="str">
        <f>"S"</f>
        <v>S</v>
      </c>
      <c r="N4351" s="6" t="str">
        <f>"5602972707397"</f>
        <v>5602972707397</v>
      </c>
      <c r="O4351" s="8">
        <v>48</v>
      </c>
      <c r="P4351" s="7">
        <v>45957</v>
      </c>
      <c r="R4351" s="8">
        <v>0</v>
      </c>
      <c r="S4351" s="7">
        <v>45960</v>
      </c>
      <c r="U4351" s="8">
        <v>675</v>
      </c>
      <c r="V4351" s="7">
        <v>45971</v>
      </c>
      <c r="X4351" s="8">
        <v>675</v>
      </c>
      <c r="Z4351" s="8">
        <v>0</v>
      </c>
      <c r="AA4351" s="7">
        <v>45981</v>
      </c>
      <c r="AC4351" s="8">
        <v>0</v>
      </c>
      <c r="AE4351" s="7">
        <v>46008</v>
      </c>
      <c r="AF4351" s="8">
        <v>0</v>
      </c>
      <c r="AH4351" s="7">
        <v>46008</v>
      </c>
      <c r="AI4351" s="7">
        <v>46006</v>
      </c>
      <c r="AN4351" s="8">
        <v>0</v>
      </c>
      <c r="AO4351" s="8">
        <v>48</v>
      </c>
    </row>
    <row r="4352" spans="1:41" x14ac:dyDescent="0.25">
      <c r="A4352" s="6" t="str">
        <f>"525-2025000535"</f>
        <v>525-2025000535</v>
      </c>
      <c r="B4352" s="6" t="str">
        <f t="shared" si="1122"/>
        <v>Lasa Int</v>
      </c>
      <c r="C4352" s="7">
        <v>45957</v>
      </c>
      <c r="D4352" s="7">
        <v>46064</v>
      </c>
      <c r="E4352" s="8">
        <v>2</v>
      </c>
      <c r="F4352" s="6" t="str">
        <f>"PURE R"</f>
        <v>PURE R</v>
      </c>
      <c r="G4352" s="6" t="str">
        <f>"R010000635000000"</f>
        <v>R010000635000000</v>
      </c>
      <c r="H4352" s="6" t="str">
        <f>"Alexis Cotoral Pure"</f>
        <v>Alexis Cotoral Pure</v>
      </c>
      <c r="I4352" s="6" t="str">
        <f>"3233"</f>
        <v>3233</v>
      </c>
      <c r="J4352" s="6" t="str">
        <f>"LILAS 3233"</f>
        <v>LILAS 3233</v>
      </c>
      <c r="K4352" s="6" t="str">
        <f>"5004"</f>
        <v>5004</v>
      </c>
      <c r="L4352" s="6" t="str">
        <f>"Roupões Adulto"</f>
        <v>Roupões Adulto</v>
      </c>
      <c r="M4352" s="6" t="str">
        <f>"M"</f>
        <v>M</v>
      </c>
      <c r="N4352" s="6" t="str">
        <f>"5602972707403"</f>
        <v>5602972707403</v>
      </c>
      <c r="O4352" s="8">
        <v>48</v>
      </c>
      <c r="P4352" s="7">
        <v>45957</v>
      </c>
      <c r="R4352" s="8">
        <v>0</v>
      </c>
      <c r="S4352" s="7">
        <v>45960</v>
      </c>
      <c r="U4352" s="8">
        <v>0</v>
      </c>
      <c r="V4352" s="7">
        <v>45971</v>
      </c>
      <c r="X4352" s="8">
        <v>0</v>
      </c>
      <c r="Z4352" s="8">
        <v>0</v>
      </c>
      <c r="AA4352" s="7">
        <v>45981</v>
      </c>
      <c r="AC4352" s="8">
        <v>0</v>
      </c>
      <c r="AE4352" s="7">
        <v>46008</v>
      </c>
      <c r="AF4352" s="8">
        <v>0</v>
      </c>
      <c r="AH4352" s="7">
        <v>46008</v>
      </c>
      <c r="AI4352" s="7">
        <v>46006</v>
      </c>
      <c r="AN4352" s="8">
        <v>0</v>
      </c>
      <c r="AO4352" s="8">
        <v>48</v>
      </c>
    </row>
    <row r="4353" spans="1:41" x14ac:dyDescent="0.25">
      <c r="A4353" s="6" t="str">
        <f>"525-2025000535"</f>
        <v>525-2025000535</v>
      </c>
      <c r="B4353" s="6" t="str">
        <f t="shared" si="1122"/>
        <v>Lasa Int</v>
      </c>
      <c r="C4353" s="7">
        <v>45957</v>
      </c>
      <c r="D4353" s="7">
        <v>46064</v>
      </c>
      <c r="E4353" s="8">
        <v>3</v>
      </c>
      <c r="F4353" s="6" t="str">
        <f>"PURE R"</f>
        <v>PURE R</v>
      </c>
      <c r="G4353" s="6" t="str">
        <f>"R010000635000000"</f>
        <v>R010000635000000</v>
      </c>
      <c r="H4353" s="6" t="str">
        <f>"Alexis Cotoral Pure"</f>
        <v>Alexis Cotoral Pure</v>
      </c>
      <c r="I4353" s="6" t="str">
        <f>"3233"</f>
        <v>3233</v>
      </c>
      <c r="J4353" s="6" t="str">
        <f>"LILAS 3233"</f>
        <v>LILAS 3233</v>
      </c>
      <c r="K4353" s="6" t="str">
        <f>"5006"</f>
        <v>5006</v>
      </c>
      <c r="L4353" s="6" t="str">
        <f>"Roupões Adulto"</f>
        <v>Roupões Adulto</v>
      </c>
      <c r="M4353" s="6" t="str">
        <f>"L"</f>
        <v>L</v>
      </c>
      <c r="N4353" s="6" t="str">
        <f>"5602972707410"</f>
        <v>5602972707410</v>
      </c>
      <c r="O4353" s="8">
        <v>60</v>
      </c>
      <c r="P4353" s="7">
        <v>45957</v>
      </c>
      <c r="R4353" s="8">
        <v>0</v>
      </c>
      <c r="S4353" s="7">
        <v>45960</v>
      </c>
      <c r="U4353" s="8">
        <v>0</v>
      </c>
      <c r="V4353" s="7">
        <v>45971</v>
      </c>
      <c r="X4353" s="8">
        <v>0</v>
      </c>
      <c r="Z4353" s="8">
        <v>0</v>
      </c>
      <c r="AA4353" s="7">
        <v>45981</v>
      </c>
      <c r="AC4353" s="8">
        <v>0</v>
      </c>
      <c r="AE4353" s="7">
        <v>46008</v>
      </c>
      <c r="AF4353" s="8">
        <v>0</v>
      </c>
      <c r="AH4353" s="7">
        <v>46008</v>
      </c>
      <c r="AI4353" s="7">
        <v>46006</v>
      </c>
      <c r="AN4353" s="8">
        <v>0</v>
      </c>
      <c r="AO4353" s="8">
        <v>60</v>
      </c>
    </row>
    <row r="4354" spans="1:41" x14ac:dyDescent="0.25">
      <c r="A4354" s="6" t="str">
        <f>"525-2025000535"</f>
        <v>525-2025000535</v>
      </c>
      <c r="B4354" s="6" t="str">
        <f t="shared" si="1122"/>
        <v>Lasa Int</v>
      </c>
      <c r="C4354" s="7">
        <v>45957</v>
      </c>
      <c r="D4354" s="7">
        <v>46064</v>
      </c>
      <c r="E4354" s="8">
        <v>4</v>
      </c>
      <c r="F4354" s="6" t="str">
        <f>"PURE R"</f>
        <v>PURE R</v>
      </c>
      <c r="G4354" s="6" t="str">
        <f>"R010000635000000"</f>
        <v>R010000635000000</v>
      </c>
      <c r="H4354" s="6" t="str">
        <f>"Alexis Cotoral Pure"</f>
        <v>Alexis Cotoral Pure</v>
      </c>
      <c r="I4354" s="6" t="str">
        <f>"3233"</f>
        <v>3233</v>
      </c>
      <c r="J4354" s="6" t="str">
        <f>"LILAS 3233"</f>
        <v>LILAS 3233</v>
      </c>
      <c r="K4354" s="6" t="str">
        <f>"5008"</f>
        <v>5008</v>
      </c>
      <c r="L4354" s="6" t="str">
        <f>"Roupões Adulto"</f>
        <v>Roupões Adulto</v>
      </c>
      <c r="M4354" s="6" t="str">
        <f>"XL"</f>
        <v>XL</v>
      </c>
      <c r="N4354" s="6" t="str">
        <f>"5602972707427"</f>
        <v>5602972707427</v>
      </c>
      <c r="O4354" s="8">
        <v>60</v>
      </c>
      <c r="P4354" s="7">
        <v>45957</v>
      </c>
      <c r="R4354" s="8">
        <v>0</v>
      </c>
      <c r="S4354" s="7">
        <v>45960</v>
      </c>
      <c r="U4354" s="8">
        <v>0</v>
      </c>
      <c r="V4354" s="7">
        <v>45971</v>
      </c>
      <c r="X4354" s="8">
        <v>0</v>
      </c>
      <c r="Z4354" s="8">
        <v>0</v>
      </c>
      <c r="AA4354" s="7">
        <v>45981</v>
      </c>
      <c r="AC4354" s="8">
        <v>0</v>
      </c>
      <c r="AE4354" s="7">
        <v>46008</v>
      </c>
      <c r="AF4354" s="8">
        <v>0</v>
      </c>
      <c r="AH4354" s="7">
        <v>46008</v>
      </c>
      <c r="AI4354" s="7">
        <v>46006</v>
      </c>
      <c r="AN4354" s="8">
        <v>0</v>
      </c>
      <c r="AO4354" s="8">
        <v>60</v>
      </c>
    </row>
    <row r="4355" spans="1:41" x14ac:dyDescent="0.25">
      <c r="A4355" s="6" t="str">
        <f>"525-2025000536"</f>
        <v>525-2025000536</v>
      </c>
      <c r="B4355" s="6" t="str">
        <f t="shared" si="1122"/>
        <v>Lasa Int</v>
      </c>
      <c r="C4355" s="7">
        <v>45958</v>
      </c>
      <c r="D4355" s="7">
        <v>46080</v>
      </c>
      <c r="E4355" s="8">
        <v>1</v>
      </c>
      <c r="F4355" s="6" t="str">
        <f t="shared" ref="F4355:F4364" si="1123">"Pareos 2026"</f>
        <v>Pareos 2026</v>
      </c>
      <c r="G4355" s="6" t="str">
        <f>"F600901129000000"</f>
        <v>F600901129000000</v>
      </c>
      <c r="H4355" s="6" t="str">
        <f>"19011 C/ Franja - 29"</f>
        <v>19011 C/ Franja - 29</v>
      </c>
      <c r="I4355" s="6" t="str">
        <f>"204497"</f>
        <v>204497</v>
      </c>
      <c r="J4355" s="6" t="str">
        <f>"AZUL 4497"</f>
        <v>AZUL 4497</v>
      </c>
      <c r="K4355" s="6" t="str">
        <f>"3558"</f>
        <v>3558</v>
      </c>
      <c r="L4355" s="6" t="str">
        <f t="shared" ref="L4355:L4374" si="1124">"Praia"</f>
        <v>Praia</v>
      </c>
      <c r="M4355" s="6" t="str">
        <f>"180x180+8"</f>
        <v>180x180+8</v>
      </c>
      <c r="N4355" s="6" t="str">
        <f>"5602972523607"</f>
        <v>5602972523607</v>
      </c>
      <c r="O4355" s="8">
        <v>420</v>
      </c>
      <c r="P4355" s="7">
        <v>46049</v>
      </c>
      <c r="R4355" s="8">
        <v>0</v>
      </c>
      <c r="S4355" s="7">
        <v>46052</v>
      </c>
      <c r="U4355" s="8">
        <v>0</v>
      </c>
      <c r="V4355" s="7">
        <v>46057</v>
      </c>
      <c r="X4355" s="8">
        <v>0</v>
      </c>
      <c r="Z4355" s="8">
        <v>0</v>
      </c>
      <c r="AA4355" s="7">
        <v>46071</v>
      </c>
      <c r="AC4355" s="8">
        <v>0</v>
      </c>
      <c r="AE4355" s="7">
        <v>46073</v>
      </c>
      <c r="AF4355" s="8">
        <v>0</v>
      </c>
      <c r="AH4355" s="7">
        <v>46073</v>
      </c>
      <c r="AN4355" s="8">
        <v>0</v>
      </c>
      <c r="AO4355" s="8">
        <v>420</v>
      </c>
    </row>
    <row r="4356" spans="1:41" x14ac:dyDescent="0.25">
      <c r="A4356" s="6" t="str">
        <f>"525-2025000537"</f>
        <v>525-2025000537</v>
      </c>
      <c r="B4356" s="6" t="str">
        <f t="shared" si="1122"/>
        <v>Lasa Int</v>
      </c>
      <c r="C4356" s="7">
        <v>45958</v>
      </c>
      <c r="D4356" s="7">
        <v>46080</v>
      </c>
      <c r="E4356" s="8">
        <v>1</v>
      </c>
      <c r="F4356" s="6" t="str">
        <f t="shared" si="1123"/>
        <v>Pareos 2026</v>
      </c>
      <c r="G4356" s="6" t="str">
        <f>"F600247729000000"</f>
        <v>F600247729000000</v>
      </c>
      <c r="H4356" s="6" t="str">
        <f>"10-2477 C/ Franja -"</f>
        <v>10-2477 C/ Franja -</v>
      </c>
      <c r="I4356" s="6" t="str">
        <f>"201285"</f>
        <v>201285</v>
      </c>
      <c r="J4356" s="6" t="str">
        <f>"TURQUESA 1285"</f>
        <v>TURQUESA 1285</v>
      </c>
      <c r="K4356" s="6" t="str">
        <f>"3539"</f>
        <v>3539</v>
      </c>
      <c r="L4356" s="6" t="str">
        <f t="shared" si="1124"/>
        <v>Praia</v>
      </c>
      <c r="M4356" s="6" t="str">
        <f>"100x180+8"</f>
        <v>100x180+8</v>
      </c>
      <c r="N4356" s="6" t="str">
        <f>"5602972523669"</f>
        <v>5602972523669</v>
      </c>
      <c r="O4356" s="8">
        <v>450</v>
      </c>
      <c r="P4356" s="7">
        <v>46044</v>
      </c>
      <c r="R4356" s="8">
        <v>532</v>
      </c>
      <c r="S4356" s="7">
        <v>46049</v>
      </c>
      <c r="U4356" s="8">
        <v>532</v>
      </c>
      <c r="V4356" s="7">
        <v>46052</v>
      </c>
      <c r="X4356" s="8">
        <v>0</v>
      </c>
      <c r="Z4356" s="8">
        <v>532</v>
      </c>
      <c r="AA4356" s="7">
        <v>46064</v>
      </c>
      <c r="AC4356" s="8">
        <v>0</v>
      </c>
      <c r="AE4356" s="7">
        <v>46066</v>
      </c>
      <c r="AF4356" s="8">
        <v>0</v>
      </c>
      <c r="AH4356" s="7">
        <v>46066</v>
      </c>
      <c r="AN4356" s="8">
        <v>0</v>
      </c>
      <c r="AO4356" s="8">
        <v>450</v>
      </c>
    </row>
    <row r="4357" spans="1:41" x14ac:dyDescent="0.25">
      <c r="A4357" s="6" t="str">
        <f>"525-2025000537"</f>
        <v>525-2025000537</v>
      </c>
      <c r="B4357" s="6" t="str">
        <f t="shared" si="1122"/>
        <v>Lasa Int</v>
      </c>
      <c r="C4357" s="7">
        <v>45958</v>
      </c>
      <c r="D4357" s="7">
        <v>46080</v>
      </c>
      <c r="E4357" s="8">
        <v>2</v>
      </c>
      <c r="F4357" s="6" t="str">
        <f t="shared" si="1123"/>
        <v>Pareos 2026</v>
      </c>
      <c r="G4357" s="6" t="str">
        <f>"F600247729000000"</f>
        <v>F600247729000000</v>
      </c>
      <c r="H4357" s="6" t="str">
        <f>"10-2477 C/ Franja -"</f>
        <v>10-2477 C/ Franja -</v>
      </c>
      <c r="I4357" s="6" t="str">
        <f>"204380"</f>
        <v>204380</v>
      </c>
      <c r="J4357" s="6" t="str">
        <f>"LARANJA 4380"</f>
        <v>LARANJA 4380</v>
      </c>
      <c r="K4357" s="6" t="str">
        <f>"3539"</f>
        <v>3539</v>
      </c>
      <c r="L4357" s="6" t="str">
        <f t="shared" si="1124"/>
        <v>Praia</v>
      </c>
      <c r="M4357" s="6" t="str">
        <f>"100x180+8"</f>
        <v>100x180+8</v>
      </c>
      <c r="N4357" s="6" t="str">
        <f>"5602972523676"</f>
        <v>5602972523676</v>
      </c>
      <c r="O4357" s="8">
        <v>450</v>
      </c>
      <c r="P4357" s="7">
        <v>46044</v>
      </c>
      <c r="R4357" s="8">
        <v>526</v>
      </c>
      <c r="S4357" s="7">
        <v>46049</v>
      </c>
      <c r="U4357" s="8">
        <v>526</v>
      </c>
      <c r="V4357" s="7">
        <v>46052</v>
      </c>
      <c r="X4357" s="8">
        <v>0</v>
      </c>
      <c r="Z4357" s="8">
        <v>526</v>
      </c>
      <c r="AA4357" s="7">
        <v>46064</v>
      </c>
      <c r="AC4357" s="8">
        <v>0</v>
      </c>
      <c r="AE4357" s="7">
        <v>46066</v>
      </c>
      <c r="AF4357" s="8">
        <v>0</v>
      </c>
      <c r="AH4357" s="7">
        <v>46066</v>
      </c>
      <c r="AN4357" s="8">
        <v>0</v>
      </c>
      <c r="AO4357" s="8">
        <v>450</v>
      </c>
    </row>
    <row r="4358" spans="1:41" x14ac:dyDescent="0.25">
      <c r="A4358" s="6" t="str">
        <f>"525-2025000538"</f>
        <v>525-2025000538</v>
      </c>
      <c r="B4358" s="6" t="str">
        <f t="shared" si="1122"/>
        <v>Lasa Int</v>
      </c>
      <c r="C4358" s="7">
        <v>45958</v>
      </c>
      <c r="D4358" s="7">
        <v>46080</v>
      </c>
      <c r="E4358" s="8">
        <v>1</v>
      </c>
      <c r="F4358" s="6" t="str">
        <f t="shared" si="1123"/>
        <v>Pareos 2026</v>
      </c>
      <c r="G4358" s="6" t="str">
        <f>"F600247829000000"</f>
        <v>F600247829000000</v>
      </c>
      <c r="H4358" s="6" t="str">
        <f>"10-2478 C/ Franja -"</f>
        <v>10-2478 C/ Franja -</v>
      </c>
      <c r="I4358" s="6" t="str">
        <f>"201002"</f>
        <v>201002</v>
      </c>
      <c r="J4358" s="6" t="str">
        <f>"AZUL 1002"</f>
        <v>AZUL 1002</v>
      </c>
      <c r="K4358" s="6" t="str">
        <f>"3539"</f>
        <v>3539</v>
      </c>
      <c r="L4358" s="6" t="str">
        <f t="shared" si="1124"/>
        <v>Praia</v>
      </c>
      <c r="M4358" s="6" t="str">
        <f>"100x180+8"</f>
        <v>100x180+8</v>
      </c>
      <c r="N4358" s="6" t="str">
        <f>"5602972523683"</f>
        <v>5602972523683</v>
      </c>
      <c r="O4358" s="8">
        <v>500</v>
      </c>
      <c r="P4358" s="7">
        <v>45679</v>
      </c>
      <c r="R4358" s="8">
        <v>550</v>
      </c>
      <c r="S4358" s="7">
        <v>45684</v>
      </c>
      <c r="U4358" s="8">
        <v>550</v>
      </c>
      <c r="V4358" s="7">
        <v>45687</v>
      </c>
      <c r="X4358" s="8">
        <v>0</v>
      </c>
      <c r="Z4358" s="8">
        <v>550</v>
      </c>
      <c r="AA4358" s="7">
        <v>45699</v>
      </c>
      <c r="AC4358" s="8">
        <v>0</v>
      </c>
      <c r="AE4358" s="7">
        <v>45701</v>
      </c>
      <c r="AF4358" s="8">
        <v>0</v>
      </c>
      <c r="AH4358" s="7">
        <v>46066</v>
      </c>
      <c r="AN4358" s="8">
        <v>0</v>
      </c>
      <c r="AO4358" s="8">
        <v>500</v>
      </c>
    </row>
    <row r="4359" spans="1:41" x14ac:dyDescent="0.25">
      <c r="A4359" s="6" t="str">
        <f>"525-2025000539"</f>
        <v>525-2025000539</v>
      </c>
      <c r="B4359" s="6" t="str">
        <f t="shared" si="1122"/>
        <v>Lasa Int</v>
      </c>
      <c r="C4359" s="7">
        <v>45958</v>
      </c>
      <c r="D4359" s="7">
        <v>46080</v>
      </c>
      <c r="E4359" s="8">
        <v>1</v>
      </c>
      <c r="F4359" s="6" t="str">
        <f t="shared" si="1123"/>
        <v>Pareos 2026</v>
      </c>
      <c r="G4359" s="6" t="str">
        <f>"F600901029000000"</f>
        <v>F600901029000000</v>
      </c>
      <c r="H4359" s="6" t="str">
        <f>"19010 C/ Franja - 29"</f>
        <v>19010 C/ Franja - 29</v>
      </c>
      <c r="I4359" s="6" t="str">
        <f>"201222"</f>
        <v>201222</v>
      </c>
      <c r="J4359" s="6" t="str">
        <f>"AZUL 1222"</f>
        <v>AZUL 1222</v>
      </c>
      <c r="K4359" s="6" t="str">
        <f>"3552"</f>
        <v>3552</v>
      </c>
      <c r="L4359" s="6" t="str">
        <f t="shared" si="1124"/>
        <v>Praia</v>
      </c>
      <c r="M4359" s="6" t="str">
        <f>"180x100+8"</f>
        <v>180x100+8</v>
      </c>
      <c r="N4359" s="6" t="str">
        <f>"5602972523584"</f>
        <v>5602972523584</v>
      </c>
      <c r="O4359" s="8">
        <v>400</v>
      </c>
      <c r="P4359" s="7">
        <v>46042</v>
      </c>
      <c r="R4359" s="8">
        <v>448</v>
      </c>
      <c r="S4359" s="7">
        <v>46045</v>
      </c>
      <c r="U4359" s="8">
        <v>448</v>
      </c>
      <c r="V4359" s="7">
        <v>46052</v>
      </c>
      <c r="X4359" s="8">
        <v>0</v>
      </c>
      <c r="Z4359" s="8">
        <v>112</v>
      </c>
      <c r="AA4359" s="7">
        <v>46066</v>
      </c>
      <c r="AC4359" s="8">
        <v>0</v>
      </c>
      <c r="AE4359" s="7">
        <v>46073</v>
      </c>
      <c r="AF4359" s="8">
        <v>0</v>
      </c>
      <c r="AH4359" s="7">
        <v>46073</v>
      </c>
      <c r="AN4359" s="8">
        <v>0</v>
      </c>
      <c r="AO4359" s="8">
        <v>400</v>
      </c>
    </row>
    <row r="4360" spans="1:41" x14ac:dyDescent="0.25">
      <c r="A4360" s="6" t="str">
        <f>"525-2025000539"</f>
        <v>525-2025000539</v>
      </c>
      <c r="B4360" s="6" t="str">
        <f t="shared" si="1122"/>
        <v>Lasa Int</v>
      </c>
      <c r="C4360" s="7">
        <v>45958</v>
      </c>
      <c r="D4360" s="7">
        <v>46080</v>
      </c>
      <c r="E4360" s="8">
        <v>2</v>
      </c>
      <c r="F4360" s="6" t="str">
        <f t="shared" si="1123"/>
        <v>Pareos 2026</v>
      </c>
      <c r="G4360" s="6" t="str">
        <f>"F600901029000000"</f>
        <v>F600901029000000</v>
      </c>
      <c r="H4360" s="6" t="str">
        <f>"19010 C/ Franja - 29"</f>
        <v>19010 C/ Franja - 29</v>
      </c>
      <c r="I4360" s="6" t="str">
        <f>"204459"</f>
        <v>204459</v>
      </c>
      <c r="J4360" s="6" t="str">
        <f>"ROSA 4459"</f>
        <v>ROSA 4459</v>
      </c>
      <c r="K4360" s="6" t="str">
        <f>"3552"</f>
        <v>3552</v>
      </c>
      <c r="L4360" s="6" t="str">
        <f t="shared" si="1124"/>
        <v>Praia</v>
      </c>
      <c r="M4360" s="6" t="str">
        <f>"180x100+8"</f>
        <v>180x100+8</v>
      </c>
      <c r="N4360" s="6" t="str">
        <f>"5602972523591"</f>
        <v>5602972523591</v>
      </c>
      <c r="O4360" s="8">
        <v>400</v>
      </c>
      <c r="P4360" s="7">
        <v>46042</v>
      </c>
      <c r="R4360" s="8">
        <v>224</v>
      </c>
      <c r="S4360" s="7">
        <v>46045</v>
      </c>
      <c r="U4360" s="8">
        <v>0</v>
      </c>
      <c r="V4360" s="7">
        <v>46052</v>
      </c>
      <c r="X4360" s="8">
        <v>0</v>
      </c>
      <c r="Z4360" s="8">
        <v>0</v>
      </c>
      <c r="AA4360" s="7">
        <v>46066</v>
      </c>
      <c r="AC4360" s="8">
        <v>0</v>
      </c>
      <c r="AE4360" s="7">
        <v>46073</v>
      </c>
      <c r="AF4360" s="8">
        <v>0</v>
      </c>
      <c r="AH4360" s="7">
        <v>46073</v>
      </c>
      <c r="AN4360" s="8">
        <v>0</v>
      </c>
      <c r="AO4360" s="8">
        <v>400</v>
      </c>
    </row>
    <row r="4361" spans="1:41" x14ac:dyDescent="0.25">
      <c r="A4361" s="6" t="str">
        <f>"525-2025000539"</f>
        <v>525-2025000539</v>
      </c>
      <c r="B4361" s="6" t="str">
        <f t="shared" si="1122"/>
        <v>Lasa Int</v>
      </c>
      <c r="C4361" s="7">
        <v>45958</v>
      </c>
      <c r="D4361" s="7">
        <v>46080</v>
      </c>
      <c r="E4361" s="8">
        <v>3</v>
      </c>
      <c r="F4361" s="6" t="str">
        <f t="shared" si="1123"/>
        <v>Pareos 2026</v>
      </c>
      <c r="G4361" s="6" t="str">
        <f>"F600247929000000"</f>
        <v>F600247929000000</v>
      </c>
      <c r="H4361" s="6" t="str">
        <f>"10-2479 C/ Franja -"</f>
        <v>10-2479 C/ Franja -</v>
      </c>
      <c r="I4361" s="6" t="str">
        <f>"201994"</f>
        <v>201994</v>
      </c>
      <c r="J4361" s="6" t="str">
        <f>"ROSA 1994"</f>
        <v>ROSA 1994</v>
      </c>
      <c r="K4361" s="6" t="str">
        <f t="shared" ref="K4361:K4374" si="1125">"3539"</f>
        <v>3539</v>
      </c>
      <c r="L4361" s="6" t="str">
        <f t="shared" si="1124"/>
        <v>Praia</v>
      </c>
      <c r="M4361" s="6" t="str">
        <f t="shared" ref="M4361:M4374" si="1126">"100x180+8"</f>
        <v>100x180+8</v>
      </c>
      <c r="N4361" s="6" t="str">
        <f>"5602972523690"</f>
        <v>5602972523690</v>
      </c>
      <c r="O4361" s="8">
        <v>400</v>
      </c>
      <c r="P4361" s="7">
        <v>46042</v>
      </c>
      <c r="R4361" s="8">
        <v>0</v>
      </c>
      <c r="S4361" s="7">
        <v>46045</v>
      </c>
      <c r="U4361" s="8">
        <v>0</v>
      </c>
      <c r="V4361" s="7">
        <v>46052</v>
      </c>
      <c r="X4361" s="8">
        <v>0</v>
      </c>
      <c r="Z4361" s="8">
        <v>0</v>
      </c>
      <c r="AA4361" s="7">
        <v>46066</v>
      </c>
      <c r="AC4361" s="8">
        <v>0</v>
      </c>
      <c r="AE4361" s="7">
        <v>46073</v>
      </c>
      <c r="AF4361" s="8">
        <v>0</v>
      </c>
      <c r="AH4361" s="7">
        <v>46073</v>
      </c>
      <c r="AN4361" s="8">
        <v>0</v>
      </c>
      <c r="AO4361" s="8">
        <v>400</v>
      </c>
    </row>
    <row r="4362" spans="1:41" x14ac:dyDescent="0.25">
      <c r="A4362" s="6" t="str">
        <f>"525-2025000539"</f>
        <v>525-2025000539</v>
      </c>
      <c r="B4362" s="6" t="str">
        <f t="shared" si="1122"/>
        <v>Lasa Int</v>
      </c>
      <c r="C4362" s="7">
        <v>45958</v>
      </c>
      <c r="D4362" s="7">
        <v>46080</v>
      </c>
      <c r="E4362" s="8">
        <v>4</v>
      </c>
      <c r="F4362" s="6" t="str">
        <f t="shared" si="1123"/>
        <v>Pareos 2026</v>
      </c>
      <c r="G4362" s="6" t="str">
        <f>"F600247929000000"</f>
        <v>F600247929000000</v>
      </c>
      <c r="H4362" s="6" t="str">
        <f>"10-2479 C/ Franja -"</f>
        <v>10-2479 C/ Franja -</v>
      </c>
      <c r="I4362" s="6" t="str">
        <f>"203040"</f>
        <v>203040</v>
      </c>
      <c r="J4362" s="6" t="str">
        <f>"AMARELO 3040"</f>
        <v>AMARELO 3040</v>
      </c>
      <c r="K4362" s="6" t="str">
        <f t="shared" si="1125"/>
        <v>3539</v>
      </c>
      <c r="L4362" s="6" t="str">
        <f t="shared" si="1124"/>
        <v>Praia</v>
      </c>
      <c r="M4362" s="6" t="str">
        <f t="shared" si="1126"/>
        <v>100x180+8</v>
      </c>
      <c r="N4362" s="6" t="str">
        <f>"5602972523706"</f>
        <v>5602972523706</v>
      </c>
      <c r="O4362" s="8">
        <v>400</v>
      </c>
      <c r="P4362" s="7">
        <v>46042</v>
      </c>
      <c r="R4362" s="8">
        <v>472</v>
      </c>
      <c r="S4362" s="7">
        <v>46045</v>
      </c>
      <c r="U4362" s="8">
        <v>472</v>
      </c>
      <c r="V4362" s="7">
        <v>46052</v>
      </c>
      <c r="X4362" s="8">
        <v>0</v>
      </c>
      <c r="Z4362" s="8">
        <v>112</v>
      </c>
      <c r="AA4362" s="7">
        <v>46066</v>
      </c>
      <c r="AC4362" s="8">
        <v>0</v>
      </c>
      <c r="AE4362" s="7">
        <v>46073</v>
      </c>
      <c r="AF4362" s="8">
        <v>0</v>
      </c>
      <c r="AH4362" s="7">
        <v>46073</v>
      </c>
      <c r="AN4362" s="8">
        <v>0</v>
      </c>
      <c r="AO4362" s="8">
        <v>400</v>
      </c>
    </row>
    <row r="4363" spans="1:41" x14ac:dyDescent="0.25">
      <c r="A4363" s="6" t="str">
        <f>"525-2025000540"</f>
        <v>525-2025000540</v>
      </c>
      <c r="B4363" s="6" t="str">
        <f t="shared" si="1122"/>
        <v>Lasa Int</v>
      </c>
      <c r="C4363" s="7">
        <v>45958</v>
      </c>
      <c r="D4363" s="7">
        <v>46080</v>
      </c>
      <c r="E4363" s="8">
        <v>1</v>
      </c>
      <c r="F4363" s="6" t="str">
        <f t="shared" si="1123"/>
        <v>Pareos 2026</v>
      </c>
      <c r="G4363" s="6" t="str">
        <f>"F600248029000000"</f>
        <v>F600248029000000</v>
      </c>
      <c r="H4363" s="6" t="str">
        <f>"10-2480 C/ Franja -"</f>
        <v>10-2480 C/ Franja -</v>
      </c>
      <c r="I4363" s="6" t="str">
        <f>"200733"</f>
        <v>200733</v>
      </c>
      <c r="J4363" s="6" t="str">
        <f>"LARANJA 733"</f>
        <v>LARANJA 733</v>
      </c>
      <c r="K4363" s="6" t="str">
        <f t="shared" si="1125"/>
        <v>3539</v>
      </c>
      <c r="L4363" s="6" t="str">
        <f t="shared" si="1124"/>
        <v>Praia</v>
      </c>
      <c r="M4363" s="6" t="str">
        <f t="shared" si="1126"/>
        <v>100x180+8</v>
      </c>
      <c r="N4363" s="6" t="str">
        <f>"5602972523713"</f>
        <v>5602972523713</v>
      </c>
      <c r="O4363" s="8">
        <v>450</v>
      </c>
      <c r="P4363" s="7">
        <v>46044</v>
      </c>
      <c r="R4363" s="8">
        <v>516</v>
      </c>
      <c r="S4363" s="7">
        <v>46049</v>
      </c>
      <c r="U4363" s="8">
        <v>516</v>
      </c>
      <c r="V4363" s="7">
        <v>46052</v>
      </c>
      <c r="X4363" s="8">
        <v>0</v>
      </c>
      <c r="Z4363" s="8">
        <v>516</v>
      </c>
      <c r="AA4363" s="7">
        <v>46064</v>
      </c>
      <c r="AC4363" s="8">
        <v>0</v>
      </c>
      <c r="AE4363" s="7">
        <v>46066</v>
      </c>
      <c r="AF4363" s="8">
        <v>0</v>
      </c>
      <c r="AH4363" s="7">
        <v>46066</v>
      </c>
      <c r="AN4363" s="8">
        <v>0</v>
      </c>
      <c r="AO4363" s="8">
        <v>450</v>
      </c>
    </row>
    <row r="4364" spans="1:41" x14ac:dyDescent="0.25">
      <c r="A4364" s="6" t="str">
        <f>"525-2025000540"</f>
        <v>525-2025000540</v>
      </c>
      <c r="B4364" s="6" t="str">
        <f t="shared" si="1122"/>
        <v>Lasa Int</v>
      </c>
      <c r="C4364" s="7">
        <v>45958</v>
      </c>
      <c r="D4364" s="7">
        <v>46080</v>
      </c>
      <c r="E4364" s="8">
        <v>2</v>
      </c>
      <c r="F4364" s="6" t="str">
        <f t="shared" si="1123"/>
        <v>Pareos 2026</v>
      </c>
      <c r="G4364" s="6" t="str">
        <f>"F600248129000000"</f>
        <v>F600248129000000</v>
      </c>
      <c r="H4364" s="6" t="str">
        <f>"10-2481 C/ Franja -"</f>
        <v>10-2481 C/ Franja -</v>
      </c>
      <c r="I4364" s="6" t="str">
        <f>"203040"</f>
        <v>203040</v>
      </c>
      <c r="J4364" s="6" t="str">
        <f>"AMARELO 3040"</f>
        <v>AMARELO 3040</v>
      </c>
      <c r="K4364" s="6" t="str">
        <f t="shared" si="1125"/>
        <v>3539</v>
      </c>
      <c r="L4364" s="6" t="str">
        <f t="shared" si="1124"/>
        <v>Praia</v>
      </c>
      <c r="M4364" s="6" t="str">
        <f t="shared" si="1126"/>
        <v>100x180+8</v>
      </c>
      <c r="N4364" s="6" t="str">
        <f>"5602972523720"</f>
        <v>5602972523720</v>
      </c>
      <c r="O4364" s="8">
        <v>550</v>
      </c>
      <c r="P4364" s="7">
        <v>46044</v>
      </c>
      <c r="R4364" s="8">
        <v>578</v>
      </c>
      <c r="S4364" s="7">
        <v>46049</v>
      </c>
      <c r="U4364" s="8">
        <v>578</v>
      </c>
      <c r="V4364" s="7">
        <v>46052</v>
      </c>
      <c r="X4364" s="8">
        <v>0</v>
      </c>
      <c r="Z4364" s="8">
        <v>578</v>
      </c>
      <c r="AA4364" s="7">
        <v>46064</v>
      </c>
      <c r="AC4364" s="8">
        <v>0</v>
      </c>
      <c r="AE4364" s="7">
        <v>46066</v>
      </c>
      <c r="AF4364" s="8">
        <v>0</v>
      </c>
      <c r="AH4364" s="7">
        <v>46066</v>
      </c>
      <c r="AN4364" s="8">
        <v>0</v>
      </c>
      <c r="AO4364" s="8">
        <v>550</v>
      </c>
    </row>
    <row r="4365" spans="1:41" x14ac:dyDescent="0.25">
      <c r="A4365" s="6" t="str">
        <f t="shared" ref="A4365:A4374" si="1127">"525-2025000541"</f>
        <v>525-2025000541</v>
      </c>
      <c r="B4365" s="6" t="str">
        <f t="shared" si="1122"/>
        <v>Lasa Int</v>
      </c>
      <c r="C4365" s="7">
        <v>45958</v>
      </c>
      <c r="D4365" s="7">
        <v>46080</v>
      </c>
      <c r="E4365" s="8">
        <v>1</v>
      </c>
      <c r="F4365" s="6" t="str">
        <f t="shared" ref="F4365:F4374" si="1128">"Pareos perm"</f>
        <v>Pareos perm</v>
      </c>
      <c r="G4365" s="6" t="str">
        <f>"F600189329002026"</f>
        <v>F600189329002026</v>
      </c>
      <c r="H4365" s="6" t="str">
        <f>"10-1893 C/ Franja -"</f>
        <v>10-1893 C/ Franja -</v>
      </c>
      <c r="I4365" s="6" t="str">
        <f>"200391"</f>
        <v>200391</v>
      </c>
      <c r="J4365" s="6" t="str">
        <f>"VERDE 391"</f>
        <v>VERDE 391</v>
      </c>
      <c r="K4365" s="6" t="str">
        <f t="shared" si="1125"/>
        <v>3539</v>
      </c>
      <c r="L4365" s="6" t="str">
        <f t="shared" si="1124"/>
        <v>Praia</v>
      </c>
      <c r="M4365" s="6" t="str">
        <f t="shared" si="1126"/>
        <v>100x180+8</v>
      </c>
      <c r="N4365" s="6" t="str">
        <f>"5602972523614"</f>
        <v>5602972523614</v>
      </c>
      <c r="O4365" s="8">
        <v>300</v>
      </c>
      <c r="P4365" s="7">
        <v>46042</v>
      </c>
      <c r="R4365" s="8">
        <v>376</v>
      </c>
      <c r="S4365" s="7">
        <v>46045</v>
      </c>
      <c r="U4365" s="8">
        <v>376</v>
      </c>
      <c r="V4365" s="7">
        <v>46052</v>
      </c>
      <c r="X4365" s="8">
        <v>0</v>
      </c>
      <c r="Z4365" s="8">
        <v>376</v>
      </c>
      <c r="AA4365" s="7">
        <v>46066</v>
      </c>
      <c r="AC4365" s="8">
        <v>0</v>
      </c>
      <c r="AE4365" s="7">
        <v>46073</v>
      </c>
      <c r="AF4365" s="8">
        <v>0</v>
      </c>
      <c r="AH4365" s="7">
        <v>46073</v>
      </c>
      <c r="AN4365" s="8">
        <v>0</v>
      </c>
      <c r="AO4365" s="8">
        <v>300</v>
      </c>
    </row>
    <row r="4366" spans="1:41" x14ac:dyDescent="0.25">
      <c r="A4366" s="6" t="str">
        <f t="shared" si="1127"/>
        <v>525-2025000541</v>
      </c>
      <c r="B4366" s="6" t="str">
        <f t="shared" si="1122"/>
        <v>Lasa Int</v>
      </c>
      <c r="C4366" s="7">
        <v>45958</v>
      </c>
      <c r="D4366" s="7">
        <v>46080</v>
      </c>
      <c r="E4366" s="8">
        <v>2</v>
      </c>
      <c r="F4366" s="6" t="str">
        <f t="shared" si="1128"/>
        <v>Pareos perm</v>
      </c>
      <c r="G4366" s="6" t="str">
        <f>"F600189329002026"</f>
        <v>F600189329002026</v>
      </c>
      <c r="H4366" s="6" t="str">
        <f>"10-1893 C/ Franja -"</f>
        <v>10-1893 C/ Franja -</v>
      </c>
      <c r="I4366" s="6" t="str">
        <f>"201456"</f>
        <v>201456</v>
      </c>
      <c r="J4366" s="6" t="str">
        <f>"TIJOLO 1456"</f>
        <v>TIJOLO 1456</v>
      </c>
      <c r="K4366" s="6" t="str">
        <f t="shared" si="1125"/>
        <v>3539</v>
      </c>
      <c r="L4366" s="6" t="str">
        <f t="shared" si="1124"/>
        <v>Praia</v>
      </c>
      <c r="M4366" s="6" t="str">
        <f t="shared" si="1126"/>
        <v>100x180+8</v>
      </c>
      <c r="N4366" s="6" t="str">
        <f>"5602972523621"</f>
        <v>5602972523621</v>
      </c>
      <c r="O4366" s="8">
        <v>300</v>
      </c>
      <c r="P4366" s="7">
        <v>46042</v>
      </c>
      <c r="R4366" s="8">
        <v>342</v>
      </c>
      <c r="S4366" s="7">
        <v>46045</v>
      </c>
      <c r="U4366" s="8">
        <v>342</v>
      </c>
      <c r="V4366" s="7">
        <v>46052</v>
      </c>
      <c r="X4366" s="8">
        <v>0</v>
      </c>
      <c r="Z4366" s="8">
        <v>342</v>
      </c>
      <c r="AA4366" s="7">
        <v>46066</v>
      </c>
      <c r="AC4366" s="8">
        <v>0</v>
      </c>
      <c r="AE4366" s="7">
        <v>46073</v>
      </c>
      <c r="AF4366" s="8">
        <v>0</v>
      </c>
      <c r="AH4366" s="7">
        <v>46073</v>
      </c>
      <c r="AN4366" s="8">
        <v>0</v>
      </c>
      <c r="AO4366" s="8">
        <v>300</v>
      </c>
    </row>
    <row r="4367" spans="1:41" x14ac:dyDescent="0.25">
      <c r="A4367" s="6" t="str">
        <f t="shared" si="1127"/>
        <v>525-2025000541</v>
      </c>
      <c r="B4367" s="6" t="str">
        <f t="shared" si="1122"/>
        <v>Lasa Int</v>
      </c>
      <c r="C4367" s="7">
        <v>45958</v>
      </c>
      <c r="D4367" s="7">
        <v>46080</v>
      </c>
      <c r="E4367" s="8">
        <v>3</v>
      </c>
      <c r="F4367" s="6" t="str">
        <f t="shared" si="1128"/>
        <v>Pareos perm</v>
      </c>
      <c r="G4367" s="6" t="str">
        <f>"F600189329002026"</f>
        <v>F600189329002026</v>
      </c>
      <c r="H4367" s="6" t="str">
        <f>"10-1893 C/ Franja -"</f>
        <v>10-1893 C/ Franja -</v>
      </c>
      <c r="I4367" s="6" t="str">
        <f>"203620"</f>
        <v>203620</v>
      </c>
      <c r="J4367" s="6" t="str">
        <f>"AZUL 3620"</f>
        <v>AZUL 3620</v>
      </c>
      <c r="K4367" s="6" t="str">
        <f t="shared" si="1125"/>
        <v>3539</v>
      </c>
      <c r="L4367" s="6" t="str">
        <f t="shared" si="1124"/>
        <v>Praia</v>
      </c>
      <c r="M4367" s="6" t="str">
        <f t="shared" si="1126"/>
        <v>100x180+8</v>
      </c>
      <c r="N4367" s="6" t="str">
        <f>"5602972523638"</f>
        <v>5602972523638</v>
      </c>
      <c r="O4367" s="8">
        <v>300</v>
      </c>
      <c r="P4367" s="7">
        <v>46042</v>
      </c>
      <c r="R4367" s="8">
        <v>344</v>
      </c>
      <c r="S4367" s="7">
        <v>46045</v>
      </c>
      <c r="U4367" s="8">
        <v>344</v>
      </c>
      <c r="V4367" s="7">
        <v>46052</v>
      </c>
      <c r="X4367" s="8">
        <v>0</v>
      </c>
      <c r="Z4367" s="8">
        <v>344</v>
      </c>
      <c r="AA4367" s="7">
        <v>46066</v>
      </c>
      <c r="AC4367" s="8">
        <v>0</v>
      </c>
      <c r="AE4367" s="7">
        <v>46073</v>
      </c>
      <c r="AF4367" s="8">
        <v>0</v>
      </c>
      <c r="AH4367" s="7">
        <v>46073</v>
      </c>
      <c r="AN4367" s="8">
        <v>0</v>
      </c>
      <c r="AO4367" s="8">
        <v>300</v>
      </c>
    </row>
    <row r="4368" spans="1:41" x14ac:dyDescent="0.25">
      <c r="A4368" s="6" t="str">
        <f t="shared" si="1127"/>
        <v>525-2025000541</v>
      </c>
      <c r="B4368" s="6" t="str">
        <f t="shared" si="1122"/>
        <v>Lasa Int</v>
      </c>
      <c r="C4368" s="7">
        <v>45958</v>
      </c>
      <c r="D4368" s="7">
        <v>46080</v>
      </c>
      <c r="E4368" s="8">
        <v>4</v>
      </c>
      <c r="F4368" s="6" t="str">
        <f t="shared" si="1128"/>
        <v>Pareos perm</v>
      </c>
      <c r="G4368" s="6" t="str">
        <f>"F600189329002026"</f>
        <v>F600189329002026</v>
      </c>
      <c r="H4368" s="6" t="str">
        <f>"10-1893 C/ Franja -"</f>
        <v>10-1893 C/ Franja -</v>
      </c>
      <c r="I4368" s="6" t="str">
        <f>"203857"</f>
        <v>203857</v>
      </c>
      <c r="J4368" s="6" t="str">
        <f>"ROSA 3857"</f>
        <v>ROSA 3857</v>
      </c>
      <c r="K4368" s="6" t="str">
        <f t="shared" si="1125"/>
        <v>3539</v>
      </c>
      <c r="L4368" s="6" t="str">
        <f t="shared" si="1124"/>
        <v>Praia</v>
      </c>
      <c r="M4368" s="6" t="str">
        <f t="shared" si="1126"/>
        <v>100x180+8</v>
      </c>
      <c r="N4368" s="6" t="str">
        <f>"5602972523645"</f>
        <v>5602972523645</v>
      </c>
      <c r="O4368" s="8">
        <v>300</v>
      </c>
      <c r="P4368" s="7">
        <v>46042</v>
      </c>
      <c r="R4368" s="8">
        <v>386</v>
      </c>
      <c r="S4368" s="7">
        <v>46045</v>
      </c>
      <c r="U4368" s="8">
        <v>386</v>
      </c>
      <c r="V4368" s="7">
        <v>46052</v>
      </c>
      <c r="X4368" s="8">
        <v>0</v>
      </c>
      <c r="Z4368" s="8">
        <v>386</v>
      </c>
      <c r="AA4368" s="7">
        <v>46066</v>
      </c>
      <c r="AC4368" s="8">
        <v>0</v>
      </c>
      <c r="AE4368" s="7">
        <v>46073</v>
      </c>
      <c r="AF4368" s="8">
        <v>0</v>
      </c>
      <c r="AH4368" s="7">
        <v>46073</v>
      </c>
      <c r="AN4368" s="8">
        <v>0</v>
      </c>
      <c r="AO4368" s="8">
        <v>300</v>
      </c>
    </row>
    <row r="4369" spans="1:41" x14ac:dyDescent="0.25">
      <c r="A4369" s="6" t="str">
        <f t="shared" si="1127"/>
        <v>525-2025000541</v>
      </c>
      <c r="B4369" s="6" t="str">
        <f t="shared" si="1122"/>
        <v>Lasa Int</v>
      </c>
      <c r="C4369" s="7">
        <v>45958</v>
      </c>
      <c r="D4369" s="7">
        <v>46080</v>
      </c>
      <c r="E4369" s="8">
        <v>5</v>
      </c>
      <c r="F4369" s="6" t="str">
        <f t="shared" si="1128"/>
        <v>Pareos perm</v>
      </c>
      <c r="G4369" s="6" t="str">
        <f>"F600189329002026"</f>
        <v>F600189329002026</v>
      </c>
      <c r="H4369" s="6" t="str">
        <f>"10-1893 C/ Franja -"</f>
        <v>10-1893 C/ Franja -</v>
      </c>
      <c r="I4369" s="6" t="str">
        <f>"204151"</f>
        <v>204151</v>
      </c>
      <c r="J4369" s="6" t="str">
        <f>"AMARELO 4151"</f>
        <v>AMARELO 4151</v>
      </c>
      <c r="K4369" s="6" t="str">
        <f t="shared" si="1125"/>
        <v>3539</v>
      </c>
      <c r="L4369" s="6" t="str">
        <f t="shared" si="1124"/>
        <v>Praia</v>
      </c>
      <c r="M4369" s="6" t="str">
        <f t="shared" si="1126"/>
        <v>100x180+8</v>
      </c>
      <c r="N4369" s="6" t="str">
        <f>"5602972523652"</f>
        <v>5602972523652</v>
      </c>
      <c r="O4369" s="8">
        <v>300</v>
      </c>
      <c r="P4369" s="7">
        <v>46042</v>
      </c>
      <c r="R4369" s="8">
        <v>342</v>
      </c>
      <c r="S4369" s="7">
        <v>46045</v>
      </c>
      <c r="U4369" s="8">
        <v>342</v>
      </c>
      <c r="V4369" s="7">
        <v>46052</v>
      </c>
      <c r="X4369" s="8">
        <v>0</v>
      </c>
      <c r="Z4369" s="8">
        <v>342</v>
      </c>
      <c r="AA4369" s="7">
        <v>46066</v>
      </c>
      <c r="AC4369" s="8">
        <v>0</v>
      </c>
      <c r="AE4369" s="7">
        <v>46073</v>
      </c>
      <c r="AF4369" s="8">
        <v>0</v>
      </c>
      <c r="AH4369" s="7">
        <v>46073</v>
      </c>
      <c r="AN4369" s="8">
        <v>0</v>
      </c>
      <c r="AO4369" s="8">
        <v>300</v>
      </c>
    </row>
    <row r="4370" spans="1:41" x14ac:dyDescent="0.25">
      <c r="A4370" s="6" t="str">
        <f t="shared" si="1127"/>
        <v>525-2025000541</v>
      </c>
      <c r="B4370" s="6" t="str">
        <f t="shared" si="1122"/>
        <v>Lasa Int</v>
      </c>
      <c r="C4370" s="7">
        <v>45958</v>
      </c>
      <c r="D4370" s="7">
        <v>46080</v>
      </c>
      <c r="E4370" s="8">
        <v>6</v>
      </c>
      <c r="F4370" s="6" t="str">
        <f t="shared" si="1128"/>
        <v>Pareos perm</v>
      </c>
      <c r="G4370" s="6" t="str">
        <f>"F600248229000000"</f>
        <v>F600248229000000</v>
      </c>
      <c r="H4370" s="6" t="str">
        <f>"10-2482 C/ Franja -"</f>
        <v>10-2482 C/ Franja -</v>
      </c>
      <c r="I4370" s="6" t="str">
        <f>"200391"</f>
        <v>200391</v>
      </c>
      <c r="J4370" s="6" t="str">
        <f>"VERDE 391"</f>
        <v>VERDE 391</v>
      </c>
      <c r="K4370" s="6" t="str">
        <f t="shared" si="1125"/>
        <v>3539</v>
      </c>
      <c r="L4370" s="6" t="str">
        <f t="shared" si="1124"/>
        <v>Praia</v>
      </c>
      <c r="M4370" s="6" t="str">
        <f t="shared" si="1126"/>
        <v>100x180+8</v>
      </c>
      <c r="N4370" s="6" t="str">
        <f>"5602972523737"</f>
        <v>5602972523737</v>
      </c>
      <c r="O4370" s="8">
        <v>300</v>
      </c>
      <c r="P4370" s="7">
        <v>46042</v>
      </c>
      <c r="R4370" s="8">
        <v>346</v>
      </c>
      <c r="S4370" s="7">
        <v>46045</v>
      </c>
      <c r="U4370" s="8">
        <v>346</v>
      </c>
      <c r="V4370" s="7">
        <v>46052</v>
      </c>
      <c r="X4370" s="8">
        <v>0</v>
      </c>
      <c r="Z4370" s="8">
        <v>346</v>
      </c>
      <c r="AA4370" s="7">
        <v>46066</v>
      </c>
      <c r="AC4370" s="8">
        <v>0</v>
      </c>
      <c r="AE4370" s="7">
        <v>46073</v>
      </c>
      <c r="AF4370" s="8">
        <v>0</v>
      </c>
      <c r="AH4370" s="7">
        <v>46073</v>
      </c>
      <c r="AN4370" s="8">
        <v>0</v>
      </c>
      <c r="AO4370" s="8">
        <v>300</v>
      </c>
    </row>
    <row r="4371" spans="1:41" x14ac:dyDescent="0.25">
      <c r="A4371" s="6" t="str">
        <f t="shared" si="1127"/>
        <v>525-2025000541</v>
      </c>
      <c r="B4371" s="6" t="str">
        <f t="shared" si="1122"/>
        <v>Lasa Int</v>
      </c>
      <c r="C4371" s="7">
        <v>45958</v>
      </c>
      <c r="D4371" s="7">
        <v>46080</v>
      </c>
      <c r="E4371" s="8">
        <v>7</v>
      </c>
      <c r="F4371" s="6" t="str">
        <f t="shared" si="1128"/>
        <v>Pareos perm</v>
      </c>
      <c r="G4371" s="6" t="str">
        <f>"F600248229000000"</f>
        <v>F600248229000000</v>
      </c>
      <c r="H4371" s="6" t="str">
        <f>"10-2482 C/ Franja -"</f>
        <v>10-2482 C/ Franja -</v>
      </c>
      <c r="I4371" s="6" t="str">
        <f>"201456"</f>
        <v>201456</v>
      </c>
      <c r="J4371" s="6" t="str">
        <f>"TIJOLO 1456"</f>
        <v>TIJOLO 1456</v>
      </c>
      <c r="K4371" s="6" t="str">
        <f t="shared" si="1125"/>
        <v>3539</v>
      </c>
      <c r="L4371" s="6" t="str">
        <f t="shared" si="1124"/>
        <v>Praia</v>
      </c>
      <c r="M4371" s="6" t="str">
        <f t="shared" si="1126"/>
        <v>100x180+8</v>
      </c>
      <c r="N4371" s="6" t="str">
        <f>"5602972523744"</f>
        <v>5602972523744</v>
      </c>
      <c r="O4371" s="8">
        <v>300</v>
      </c>
      <c r="P4371" s="7">
        <v>46042</v>
      </c>
      <c r="R4371" s="8">
        <v>352</v>
      </c>
      <c r="S4371" s="7">
        <v>46045</v>
      </c>
      <c r="U4371" s="8">
        <v>352</v>
      </c>
      <c r="V4371" s="7">
        <v>46052</v>
      </c>
      <c r="X4371" s="8">
        <v>0</v>
      </c>
      <c r="Z4371" s="8">
        <v>352</v>
      </c>
      <c r="AA4371" s="7">
        <v>46066</v>
      </c>
      <c r="AC4371" s="8">
        <v>0</v>
      </c>
      <c r="AE4371" s="7">
        <v>46073</v>
      </c>
      <c r="AF4371" s="8">
        <v>0</v>
      </c>
      <c r="AH4371" s="7">
        <v>46073</v>
      </c>
      <c r="AN4371" s="8">
        <v>0</v>
      </c>
      <c r="AO4371" s="8">
        <v>300</v>
      </c>
    </row>
    <row r="4372" spans="1:41" x14ac:dyDescent="0.25">
      <c r="A4372" s="6" t="str">
        <f t="shared" si="1127"/>
        <v>525-2025000541</v>
      </c>
      <c r="B4372" s="6" t="str">
        <f t="shared" si="1122"/>
        <v>Lasa Int</v>
      </c>
      <c r="C4372" s="7">
        <v>45958</v>
      </c>
      <c r="D4372" s="7">
        <v>46080</v>
      </c>
      <c r="E4372" s="8">
        <v>8</v>
      </c>
      <c r="F4372" s="6" t="str">
        <f t="shared" si="1128"/>
        <v>Pareos perm</v>
      </c>
      <c r="G4372" s="6" t="str">
        <f>"F600248229000000"</f>
        <v>F600248229000000</v>
      </c>
      <c r="H4372" s="6" t="str">
        <f>"10-2482 C/ Franja -"</f>
        <v>10-2482 C/ Franja -</v>
      </c>
      <c r="I4372" s="6" t="str">
        <f>"203620"</f>
        <v>203620</v>
      </c>
      <c r="J4372" s="6" t="str">
        <f>"AZUL 3620"</f>
        <v>AZUL 3620</v>
      </c>
      <c r="K4372" s="6" t="str">
        <f t="shared" si="1125"/>
        <v>3539</v>
      </c>
      <c r="L4372" s="6" t="str">
        <f t="shared" si="1124"/>
        <v>Praia</v>
      </c>
      <c r="M4372" s="6" t="str">
        <f t="shared" si="1126"/>
        <v>100x180+8</v>
      </c>
      <c r="N4372" s="6" t="str">
        <f>"5602972523751"</f>
        <v>5602972523751</v>
      </c>
      <c r="O4372" s="8">
        <v>300</v>
      </c>
      <c r="P4372" s="7">
        <v>46042</v>
      </c>
      <c r="R4372" s="8">
        <v>338</v>
      </c>
      <c r="S4372" s="7">
        <v>46045</v>
      </c>
      <c r="U4372" s="8">
        <v>338</v>
      </c>
      <c r="V4372" s="7">
        <v>46052</v>
      </c>
      <c r="X4372" s="8">
        <v>0</v>
      </c>
      <c r="Z4372" s="8">
        <v>338</v>
      </c>
      <c r="AA4372" s="7">
        <v>46066</v>
      </c>
      <c r="AC4372" s="8">
        <v>0</v>
      </c>
      <c r="AE4372" s="7">
        <v>46073</v>
      </c>
      <c r="AF4372" s="8">
        <v>0</v>
      </c>
      <c r="AH4372" s="7">
        <v>46073</v>
      </c>
      <c r="AN4372" s="8">
        <v>0</v>
      </c>
      <c r="AO4372" s="8">
        <v>300</v>
      </c>
    </row>
    <row r="4373" spans="1:41" x14ac:dyDescent="0.25">
      <c r="A4373" s="6" t="str">
        <f t="shared" si="1127"/>
        <v>525-2025000541</v>
      </c>
      <c r="B4373" s="6" t="str">
        <f t="shared" si="1122"/>
        <v>Lasa Int</v>
      </c>
      <c r="C4373" s="7">
        <v>45958</v>
      </c>
      <c r="D4373" s="7">
        <v>46080</v>
      </c>
      <c r="E4373" s="8">
        <v>9</v>
      </c>
      <c r="F4373" s="6" t="str">
        <f t="shared" si="1128"/>
        <v>Pareos perm</v>
      </c>
      <c r="G4373" s="6" t="str">
        <f>"F600248229000000"</f>
        <v>F600248229000000</v>
      </c>
      <c r="H4373" s="6" t="str">
        <f>"10-2482 C/ Franja -"</f>
        <v>10-2482 C/ Franja -</v>
      </c>
      <c r="I4373" s="6" t="str">
        <f>"203857"</f>
        <v>203857</v>
      </c>
      <c r="J4373" s="6" t="str">
        <f>"ROSA 3857"</f>
        <v>ROSA 3857</v>
      </c>
      <c r="K4373" s="6" t="str">
        <f t="shared" si="1125"/>
        <v>3539</v>
      </c>
      <c r="L4373" s="6" t="str">
        <f t="shared" si="1124"/>
        <v>Praia</v>
      </c>
      <c r="M4373" s="6" t="str">
        <f t="shared" si="1126"/>
        <v>100x180+8</v>
      </c>
      <c r="N4373" s="6" t="str">
        <f>"5602972523768"</f>
        <v>5602972523768</v>
      </c>
      <c r="O4373" s="8">
        <v>300</v>
      </c>
      <c r="P4373" s="7">
        <v>46042</v>
      </c>
      <c r="R4373" s="8">
        <v>320</v>
      </c>
      <c r="S4373" s="7">
        <v>46045</v>
      </c>
      <c r="U4373" s="8">
        <v>320</v>
      </c>
      <c r="V4373" s="7">
        <v>46052</v>
      </c>
      <c r="X4373" s="8">
        <v>0</v>
      </c>
      <c r="Z4373" s="8">
        <v>320</v>
      </c>
      <c r="AA4373" s="7">
        <v>46066</v>
      </c>
      <c r="AC4373" s="8">
        <v>0</v>
      </c>
      <c r="AE4373" s="7">
        <v>46073</v>
      </c>
      <c r="AF4373" s="8">
        <v>0</v>
      </c>
      <c r="AH4373" s="7">
        <v>46073</v>
      </c>
      <c r="AN4373" s="8">
        <v>0</v>
      </c>
      <c r="AO4373" s="8">
        <v>300</v>
      </c>
    </row>
    <row r="4374" spans="1:41" x14ac:dyDescent="0.25">
      <c r="A4374" s="6" t="str">
        <f t="shared" si="1127"/>
        <v>525-2025000541</v>
      </c>
      <c r="B4374" s="6" t="str">
        <f t="shared" si="1122"/>
        <v>Lasa Int</v>
      </c>
      <c r="C4374" s="7">
        <v>45958</v>
      </c>
      <c r="D4374" s="7">
        <v>46080</v>
      </c>
      <c r="E4374" s="8">
        <v>10</v>
      </c>
      <c r="F4374" s="6" t="str">
        <f t="shared" si="1128"/>
        <v>Pareos perm</v>
      </c>
      <c r="G4374" s="6" t="str">
        <f>"F600248229000000"</f>
        <v>F600248229000000</v>
      </c>
      <c r="H4374" s="6" t="str">
        <f>"10-2482 C/ Franja -"</f>
        <v>10-2482 C/ Franja -</v>
      </c>
      <c r="I4374" s="6" t="str">
        <f>"204151"</f>
        <v>204151</v>
      </c>
      <c r="J4374" s="6" t="str">
        <f>"AMARELO 4151"</f>
        <v>AMARELO 4151</v>
      </c>
      <c r="K4374" s="6" t="str">
        <f t="shared" si="1125"/>
        <v>3539</v>
      </c>
      <c r="L4374" s="6" t="str">
        <f t="shared" si="1124"/>
        <v>Praia</v>
      </c>
      <c r="M4374" s="6" t="str">
        <f t="shared" si="1126"/>
        <v>100x180+8</v>
      </c>
      <c r="N4374" s="6" t="str">
        <f>"5602972523775"</f>
        <v>5602972523775</v>
      </c>
      <c r="O4374" s="8">
        <v>300</v>
      </c>
      <c r="P4374" s="7">
        <v>46042</v>
      </c>
      <c r="R4374" s="8">
        <v>346</v>
      </c>
      <c r="S4374" s="7">
        <v>46045</v>
      </c>
      <c r="U4374" s="8">
        <v>346</v>
      </c>
      <c r="V4374" s="7">
        <v>46052</v>
      </c>
      <c r="X4374" s="8">
        <v>0</v>
      </c>
      <c r="Z4374" s="8">
        <v>346</v>
      </c>
      <c r="AA4374" s="7">
        <v>46066</v>
      </c>
      <c r="AC4374" s="8">
        <v>0</v>
      </c>
      <c r="AE4374" s="7">
        <v>46073</v>
      </c>
      <c r="AF4374" s="8">
        <v>0</v>
      </c>
      <c r="AH4374" s="7">
        <v>46073</v>
      </c>
      <c r="AN4374" s="8">
        <v>0</v>
      </c>
      <c r="AO4374" s="8">
        <v>300</v>
      </c>
    </row>
    <row r="4375" spans="1:41" x14ac:dyDescent="0.25">
      <c r="A4375" s="6" t="str">
        <f t="shared" ref="A4375:A4386" si="1129">"525-2025000542"</f>
        <v>525-2025000542</v>
      </c>
      <c r="B4375" s="6" t="str">
        <f t="shared" si="1122"/>
        <v>Lasa Int</v>
      </c>
      <c r="C4375" s="7">
        <v>45959</v>
      </c>
      <c r="D4375" s="7">
        <v>46044</v>
      </c>
      <c r="E4375" s="8">
        <v>1</v>
      </c>
      <c r="F4375" s="6" t="str">
        <f t="shared" ref="F4375:F4386" si="1130">"Picueta"</f>
        <v>Picueta</v>
      </c>
      <c r="G4375" s="6" t="str">
        <f t="shared" ref="G4375:G4386" si="1131">"F100342948000000"</f>
        <v>F100342948000000</v>
      </c>
      <c r="H4375" s="6" t="str">
        <f t="shared" ref="H4375:H4386" si="1132">"FA 3429 Liso C/ Apl"</f>
        <v>FA 3429 Liso C/ Apl</v>
      </c>
      <c r="I4375" s="6" t="str">
        <f>"502310"</f>
        <v>502310</v>
      </c>
      <c r="J4375" s="6" t="str">
        <f>"BRANCO/Azul 1035"</f>
        <v>BRANCO/Azul 1035</v>
      </c>
      <c r="K4375" s="6" t="str">
        <f>"0112"</f>
        <v>0112</v>
      </c>
      <c r="L4375" s="6" t="str">
        <f>"Luvas"</f>
        <v>Luvas</v>
      </c>
      <c r="M4375" s="6" t="str">
        <f>"16x21"</f>
        <v>16x21</v>
      </c>
      <c r="N4375" s="6" t="str">
        <f>"5602972515107"</f>
        <v>5602972515107</v>
      </c>
      <c r="O4375" s="8">
        <v>24</v>
      </c>
      <c r="P4375" s="7">
        <v>45959</v>
      </c>
      <c r="R4375" s="8">
        <v>0</v>
      </c>
      <c r="U4375" s="8">
        <v>0</v>
      </c>
      <c r="X4375" s="8">
        <v>0</v>
      </c>
      <c r="Z4375" s="8">
        <v>0</v>
      </c>
      <c r="AC4375" s="8">
        <v>24</v>
      </c>
      <c r="AE4375" s="7">
        <v>45966</v>
      </c>
      <c r="AF4375" s="8">
        <v>24</v>
      </c>
      <c r="AH4375" s="7">
        <v>45975</v>
      </c>
      <c r="AN4375" s="8">
        <v>24</v>
      </c>
      <c r="AO4375" s="8">
        <v>0</v>
      </c>
    </row>
    <row r="4376" spans="1:41" x14ac:dyDescent="0.25">
      <c r="A4376" s="6" t="str">
        <f t="shared" si="1129"/>
        <v>525-2025000542</v>
      </c>
      <c r="B4376" s="6" t="str">
        <f t="shared" si="1122"/>
        <v>Lasa Int</v>
      </c>
      <c r="C4376" s="7">
        <v>45959</v>
      </c>
      <c r="D4376" s="7">
        <v>46044</v>
      </c>
      <c r="E4376" s="8">
        <v>2</v>
      </c>
      <c r="F4376" s="6" t="str">
        <f t="shared" si="1130"/>
        <v>Picueta</v>
      </c>
      <c r="G4376" s="6" t="str">
        <f t="shared" si="1131"/>
        <v>F100342948000000</v>
      </c>
      <c r="H4376" s="6" t="str">
        <f t="shared" si="1132"/>
        <v>FA 3429 Liso C/ Apl</v>
      </c>
      <c r="I4376" s="6" t="str">
        <f>"502311"</f>
        <v>502311</v>
      </c>
      <c r="J4376" s="6" t="str">
        <f>"BRANCO/Verde 688"</f>
        <v>BRANCO/Verde 688</v>
      </c>
      <c r="K4376" s="6" t="str">
        <f>"0112"</f>
        <v>0112</v>
      </c>
      <c r="L4376" s="6" t="str">
        <f>"Luvas"</f>
        <v>Luvas</v>
      </c>
      <c r="M4376" s="6" t="str">
        <f>"16x21"</f>
        <v>16x21</v>
      </c>
      <c r="N4376" s="6" t="str">
        <f>"5602972515152"</f>
        <v>5602972515152</v>
      </c>
      <c r="O4376" s="8">
        <v>24</v>
      </c>
      <c r="P4376" s="7">
        <v>45959</v>
      </c>
      <c r="R4376" s="8">
        <v>0</v>
      </c>
      <c r="U4376" s="8">
        <v>0</v>
      </c>
      <c r="X4376" s="8">
        <v>0</v>
      </c>
      <c r="Z4376" s="8">
        <v>0</v>
      </c>
      <c r="AC4376" s="8">
        <v>24</v>
      </c>
      <c r="AE4376" s="7">
        <v>45966</v>
      </c>
      <c r="AF4376" s="8">
        <v>24</v>
      </c>
      <c r="AH4376" s="7">
        <v>45975</v>
      </c>
      <c r="AN4376" s="8">
        <v>24</v>
      </c>
      <c r="AO4376" s="8">
        <v>0</v>
      </c>
    </row>
    <row r="4377" spans="1:41" x14ac:dyDescent="0.25">
      <c r="A4377" s="6" t="str">
        <f t="shared" si="1129"/>
        <v>525-2025000542</v>
      </c>
      <c r="B4377" s="6" t="str">
        <f t="shared" si="1122"/>
        <v>Lasa Int</v>
      </c>
      <c r="C4377" s="7">
        <v>45959</v>
      </c>
      <c r="D4377" s="7">
        <v>46044</v>
      </c>
      <c r="E4377" s="8">
        <v>3</v>
      </c>
      <c r="F4377" s="6" t="str">
        <f t="shared" si="1130"/>
        <v>Picueta</v>
      </c>
      <c r="G4377" s="6" t="str">
        <f t="shared" si="1131"/>
        <v>F100342948000000</v>
      </c>
      <c r="H4377" s="6" t="str">
        <f t="shared" si="1132"/>
        <v>FA 3429 Liso C/ Apl</v>
      </c>
      <c r="I4377" s="6" t="str">
        <f>"502311"</f>
        <v>502311</v>
      </c>
      <c r="J4377" s="6" t="str">
        <f>"BRANCO/Verde 688"</f>
        <v>BRANCO/Verde 688</v>
      </c>
      <c r="K4377" s="6" t="str">
        <f>"1535"</f>
        <v>1535</v>
      </c>
      <c r="L4377" s="6" t="str">
        <f>"Toalhões"</f>
        <v>Toalhões</v>
      </c>
      <c r="M4377" s="6" t="str">
        <f>"70x140"</f>
        <v>70x140</v>
      </c>
      <c r="N4377" s="6" t="str">
        <f>"5602972515183"</f>
        <v>5602972515183</v>
      </c>
      <c r="O4377" s="8">
        <v>24</v>
      </c>
      <c r="P4377" s="7">
        <v>45959</v>
      </c>
      <c r="R4377" s="8">
        <v>0</v>
      </c>
      <c r="U4377" s="8">
        <v>0</v>
      </c>
      <c r="X4377" s="8">
        <v>0</v>
      </c>
      <c r="Z4377" s="8">
        <v>0</v>
      </c>
      <c r="AC4377" s="8">
        <v>15</v>
      </c>
      <c r="AE4377" s="7">
        <v>45966</v>
      </c>
      <c r="AF4377" s="8">
        <v>15</v>
      </c>
      <c r="AH4377" s="7">
        <v>45975</v>
      </c>
      <c r="AN4377" s="8">
        <v>15</v>
      </c>
      <c r="AO4377" s="8">
        <v>9</v>
      </c>
    </row>
    <row r="4378" spans="1:41" x14ac:dyDescent="0.25">
      <c r="A4378" s="6" t="str">
        <f t="shared" si="1129"/>
        <v>525-2025000542</v>
      </c>
      <c r="B4378" s="6" t="str">
        <f t="shared" si="1122"/>
        <v>Lasa Int</v>
      </c>
      <c r="C4378" s="7">
        <v>45959</v>
      </c>
      <c r="D4378" s="7">
        <v>46044</v>
      </c>
      <c r="E4378" s="8">
        <v>4</v>
      </c>
      <c r="F4378" s="6" t="str">
        <f t="shared" si="1130"/>
        <v>Picueta</v>
      </c>
      <c r="G4378" s="6" t="str">
        <f t="shared" si="1131"/>
        <v>F100342948000000</v>
      </c>
      <c r="H4378" s="6" t="str">
        <f t="shared" si="1132"/>
        <v>FA 3429 Liso C/ Apl</v>
      </c>
      <c r="I4378" s="6" t="str">
        <f>"502312"</f>
        <v>502312</v>
      </c>
      <c r="J4378" s="6" t="str">
        <f>"BRANCO/Bege 2587"</f>
        <v>BRANCO/Bege 2587</v>
      </c>
      <c r="K4378" s="6" t="str">
        <f>"1535"</f>
        <v>1535</v>
      </c>
      <c r="L4378" s="6" t="str">
        <f>"Toalhões"</f>
        <v>Toalhões</v>
      </c>
      <c r="M4378" s="6" t="str">
        <f>"70x140"</f>
        <v>70x140</v>
      </c>
      <c r="N4378" s="6" t="str">
        <f>"5602972515237"</f>
        <v>5602972515237</v>
      </c>
      <c r="O4378" s="8">
        <v>12</v>
      </c>
      <c r="P4378" s="7">
        <v>45959</v>
      </c>
      <c r="R4378" s="8">
        <v>0</v>
      </c>
      <c r="U4378" s="8">
        <v>0</v>
      </c>
      <c r="X4378" s="8">
        <v>0</v>
      </c>
      <c r="Z4378" s="8">
        <v>0</v>
      </c>
      <c r="AC4378" s="8">
        <v>13</v>
      </c>
      <c r="AE4378" s="7">
        <v>45966</v>
      </c>
      <c r="AF4378" s="8">
        <v>13</v>
      </c>
      <c r="AH4378" s="7">
        <v>45975</v>
      </c>
      <c r="AN4378" s="8">
        <v>13</v>
      </c>
      <c r="AO4378" s="8">
        <v>-1</v>
      </c>
    </row>
    <row r="4379" spans="1:41" x14ac:dyDescent="0.25">
      <c r="A4379" s="6" t="str">
        <f t="shared" si="1129"/>
        <v>525-2025000542</v>
      </c>
      <c r="B4379" s="6" t="str">
        <f t="shared" si="1122"/>
        <v>Lasa Int</v>
      </c>
      <c r="C4379" s="7">
        <v>45959</v>
      </c>
      <c r="D4379" s="7">
        <v>46044</v>
      </c>
      <c r="E4379" s="8">
        <v>5</v>
      </c>
      <c r="F4379" s="6" t="str">
        <f t="shared" si="1130"/>
        <v>Picueta</v>
      </c>
      <c r="G4379" s="6" t="str">
        <f t="shared" si="1131"/>
        <v>F100342948000000</v>
      </c>
      <c r="H4379" s="6" t="str">
        <f t="shared" si="1132"/>
        <v>FA 3429 Liso C/ Apl</v>
      </c>
      <c r="I4379" s="6" t="str">
        <f>"502313"</f>
        <v>502313</v>
      </c>
      <c r="J4379" s="6" t="str">
        <f>"BRANCO/Amarelo 304"</f>
        <v>BRANCO/Amarelo 304</v>
      </c>
      <c r="K4379" s="6" t="str">
        <f>"0112"</f>
        <v>0112</v>
      </c>
      <c r="L4379" s="6" t="str">
        <f>"Luvas"</f>
        <v>Luvas</v>
      </c>
      <c r="M4379" s="6" t="str">
        <f>"16x21"</f>
        <v>16x21</v>
      </c>
      <c r="N4379" s="6" t="str">
        <f>"5602972515251"</f>
        <v>5602972515251</v>
      </c>
      <c r="O4379" s="8">
        <v>24</v>
      </c>
      <c r="P4379" s="7">
        <v>45959</v>
      </c>
      <c r="R4379" s="8">
        <v>0</v>
      </c>
      <c r="U4379" s="8">
        <v>0</v>
      </c>
      <c r="X4379" s="8">
        <v>0</v>
      </c>
      <c r="Z4379" s="8">
        <v>0</v>
      </c>
      <c r="AC4379" s="8">
        <v>24</v>
      </c>
      <c r="AE4379" s="7">
        <v>45966</v>
      </c>
      <c r="AF4379" s="8">
        <v>24</v>
      </c>
      <c r="AH4379" s="7">
        <v>45975</v>
      </c>
      <c r="AN4379" s="8">
        <v>24</v>
      </c>
      <c r="AO4379" s="8">
        <v>0</v>
      </c>
    </row>
    <row r="4380" spans="1:41" x14ac:dyDescent="0.25">
      <c r="A4380" s="6" t="str">
        <f t="shared" si="1129"/>
        <v>525-2025000542</v>
      </c>
      <c r="B4380" s="6" t="str">
        <f t="shared" si="1122"/>
        <v>Lasa Int</v>
      </c>
      <c r="C4380" s="7">
        <v>45959</v>
      </c>
      <c r="D4380" s="7">
        <v>46044</v>
      </c>
      <c r="E4380" s="8">
        <v>6</v>
      </c>
      <c r="F4380" s="6" t="str">
        <f t="shared" si="1130"/>
        <v>Picueta</v>
      </c>
      <c r="G4380" s="6" t="str">
        <f t="shared" si="1131"/>
        <v>F100342948000000</v>
      </c>
      <c r="H4380" s="6" t="str">
        <f t="shared" si="1132"/>
        <v>FA 3429 Liso C/ Apl</v>
      </c>
      <c r="I4380" s="6" t="str">
        <f>"502313"</f>
        <v>502313</v>
      </c>
      <c r="J4380" s="6" t="str">
        <f>"BRANCO/Amarelo 304"</f>
        <v>BRANCO/Amarelo 304</v>
      </c>
      <c r="K4380" s="6" t="str">
        <f>"0530"</f>
        <v>0530</v>
      </c>
      <c r="L4380" s="6" t="str">
        <f>"Toalhetes"</f>
        <v>Toalhetes</v>
      </c>
      <c r="M4380" s="6" t="str">
        <f>"33x50"</f>
        <v>33x50</v>
      </c>
      <c r="N4380" s="6" t="str">
        <f>"5602972515268"</f>
        <v>5602972515268</v>
      </c>
      <c r="O4380" s="8">
        <v>24</v>
      </c>
      <c r="P4380" s="7">
        <v>45959</v>
      </c>
      <c r="R4380" s="8">
        <v>0</v>
      </c>
      <c r="U4380" s="8">
        <v>0</v>
      </c>
      <c r="X4380" s="8">
        <v>0</v>
      </c>
      <c r="Z4380" s="8">
        <v>0</v>
      </c>
      <c r="AC4380" s="8">
        <v>26</v>
      </c>
      <c r="AE4380" s="7">
        <v>45966</v>
      </c>
      <c r="AF4380" s="8">
        <v>26</v>
      </c>
      <c r="AH4380" s="7">
        <v>45975</v>
      </c>
      <c r="AN4380" s="8">
        <v>26</v>
      </c>
      <c r="AO4380" s="8">
        <v>-2</v>
      </c>
    </row>
    <row r="4381" spans="1:41" x14ac:dyDescent="0.25">
      <c r="A4381" s="6" t="str">
        <f t="shared" si="1129"/>
        <v>525-2025000542</v>
      </c>
      <c r="B4381" s="6" t="str">
        <f t="shared" si="1122"/>
        <v>Lasa Int</v>
      </c>
      <c r="C4381" s="7">
        <v>45959</v>
      </c>
      <c r="D4381" s="7">
        <v>46044</v>
      </c>
      <c r="E4381" s="8">
        <v>7</v>
      </c>
      <c r="F4381" s="6" t="str">
        <f t="shared" si="1130"/>
        <v>Picueta</v>
      </c>
      <c r="G4381" s="6" t="str">
        <f t="shared" si="1131"/>
        <v>F100342948000000</v>
      </c>
      <c r="H4381" s="6" t="str">
        <f t="shared" si="1132"/>
        <v>FA 3429 Liso C/ Apl</v>
      </c>
      <c r="I4381" s="6" t="str">
        <f>"502313"</f>
        <v>502313</v>
      </c>
      <c r="J4381" s="6" t="str">
        <f>"BRANCO/Amarelo 304"</f>
        <v>BRANCO/Amarelo 304</v>
      </c>
      <c r="K4381" s="6" t="str">
        <f>"2020"</f>
        <v>2020</v>
      </c>
      <c r="L4381" s="6" t="str">
        <f>"Lençóis"</f>
        <v>Lençóis</v>
      </c>
      <c r="M4381" s="6" t="str">
        <f>"100x150"</f>
        <v>100x150</v>
      </c>
      <c r="N4381" s="6" t="str">
        <f>"5602972515299"</f>
        <v>5602972515299</v>
      </c>
      <c r="O4381" s="8">
        <v>12</v>
      </c>
      <c r="P4381" s="7">
        <v>45959</v>
      </c>
      <c r="R4381" s="8">
        <v>0</v>
      </c>
      <c r="U4381" s="8">
        <v>0</v>
      </c>
      <c r="X4381" s="8">
        <v>0</v>
      </c>
      <c r="Z4381" s="8">
        <v>0</v>
      </c>
      <c r="AC4381" s="8">
        <v>12</v>
      </c>
      <c r="AE4381" s="7">
        <v>45966</v>
      </c>
      <c r="AF4381" s="8">
        <v>12</v>
      </c>
      <c r="AH4381" s="7">
        <v>45975</v>
      </c>
      <c r="AN4381" s="8">
        <v>12</v>
      </c>
      <c r="AO4381" s="8">
        <v>0</v>
      </c>
    </row>
    <row r="4382" spans="1:41" x14ac:dyDescent="0.25">
      <c r="A4382" s="6" t="str">
        <f t="shared" si="1129"/>
        <v>525-2025000542</v>
      </c>
      <c r="B4382" s="6" t="str">
        <f t="shared" si="1122"/>
        <v>Lasa Int</v>
      </c>
      <c r="C4382" s="7">
        <v>45959</v>
      </c>
      <c r="D4382" s="7">
        <v>46044</v>
      </c>
      <c r="E4382" s="8">
        <v>8</v>
      </c>
      <c r="F4382" s="6" t="str">
        <f t="shared" si="1130"/>
        <v>Picueta</v>
      </c>
      <c r="G4382" s="6" t="str">
        <f t="shared" si="1131"/>
        <v>F100342948000000</v>
      </c>
      <c r="H4382" s="6" t="str">
        <f t="shared" si="1132"/>
        <v>FA 3429 Liso C/ Apl</v>
      </c>
      <c r="I4382" s="6" t="str">
        <f>"502314"</f>
        <v>502314</v>
      </c>
      <c r="J4382" s="6" t="str">
        <f>"BRANCO/Laranja 438"</f>
        <v>BRANCO/Laranja 438</v>
      </c>
      <c r="K4382" s="6" t="str">
        <f>"0112"</f>
        <v>0112</v>
      </c>
      <c r="L4382" s="6" t="str">
        <f>"Luvas"</f>
        <v>Luvas</v>
      </c>
      <c r="M4382" s="6" t="str">
        <f>"16x21"</f>
        <v>16x21</v>
      </c>
      <c r="N4382" s="6" t="str">
        <f>"5602972515305"</f>
        <v>5602972515305</v>
      </c>
      <c r="O4382" s="8">
        <v>24</v>
      </c>
      <c r="P4382" s="7">
        <v>45959</v>
      </c>
      <c r="R4382" s="8">
        <v>0</v>
      </c>
      <c r="U4382" s="8">
        <v>0</v>
      </c>
      <c r="X4382" s="8">
        <v>0</v>
      </c>
      <c r="Z4382" s="8">
        <v>0</v>
      </c>
      <c r="AC4382" s="8">
        <v>24</v>
      </c>
      <c r="AE4382" s="7">
        <v>45966</v>
      </c>
      <c r="AF4382" s="8">
        <v>24</v>
      </c>
      <c r="AH4382" s="7">
        <v>45975</v>
      </c>
      <c r="AN4382" s="8">
        <v>24</v>
      </c>
      <c r="AO4382" s="8">
        <v>0</v>
      </c>
    </row>
    <row r="4383" spans="1:41" x14ac:dyDescent="0.25">
      <c r="A4383" s="6" t="str">
        <f t="shared" si="1129"/>
        <v>525-2025000542</v>
      </c>
      <c r="B4383" s="6" t="str">
        <f t="shared" ref="B4383:B4404" si="1133">"Lasa Int"</f>
        <v>Lasa Int</v>
      </c>
      <c r="C4383" s="7">
        <v>45959</v>
      </c>
      <c r="D4383" s="7">
        <v>46044</v>
      </c>
      <c r="E4383" s="8">
        <v>9</v>
      </c>
      <c r="F4383" s="6" t="str">
        <f t="shared" si="1130"/>
        <v>Picueta</v>
      </c>
      <c r="G4383" s="6" t="str">
        <f t="shared" si="1131"/>
        <v>F100342948000000</v>
      </c>
      <c r="H4383" s="6" t="str">
        <f t="shared" si="1132"/>
        <v>FA 3429 Liso C/ Apl</v>
      </c>
      <c r="I4383" s="6" t="str">
        <f>"502314"</f>
        <v>502314</v>
      </c>
      <c r="J4383" s="6" t="str">
        <f>"BRANCO/Laranja 438"</f>
        <v>BRANCO/Laranja 438</v>
      </c>
      <c r="K4383" s="6" t="str">
        <f>"0530"</f>
        <v>0530</v>
      </c>
      <c r="L4383" s="6" t="str">
        <f>"Toalhetes"</f>
        <v>Toalhetes</v>
      </c>
      <c r="M4383" s="6" t="str">
        <f>"33x50"</f>
        <v>33x50</v>
      </c>
      <c r="N4383" s="6" t="str">
        <f>"5602972515312"</f>
        <v>5602972515312</v>
      </c>
      <c r="O4383" s="8">
        <v>24</v>
      </c>
      <c r="P4383" s="7">
        <v>45959</v>
      </c>
      <c r="R4383" s="8">
        <v>0</v>
      </c>
      <c r="U4383" s="8">
        <v>0</v>
      </c>
      <c r="X4383" s="8">
        <v>0</v>
      </c>
      <c r="Z4383" s="8">
        <v>0</v>
      </c>
      <c r="AC4383" s="8">
        <v>28</v>
      </c>
      <c r="AE4383" s="7">
        <v>45966</v>
      </c>
      <c r="AF4383" s="8">
        <v>28</v>
      </c>
      <c r="AH4383" s="7">
        <v>45975</v>
      </c>
      <c r="AN4383" s="8">
        <v>28</v>
      </c>
      <c r="AO4383" s="8">
        <v>-4</v>
      </c>
    </row>
    <row r="4384" spans="1:41" x14ac:dyDescent="0.25">
      <c r="A4384" s="6" t="str">
        <f t="shared" si="1129"/>
        <v>525-2025000542</v>
      </c>
      <c r="B4384" s="6" t="str">
        <f t="shared" si="1133"/>
        <v>Lasa Int</v>
      </c>
      <c r="C4384" s="7">
        <v>45959</v>
      </c>
      <c r="D4384" s="7">
        <v>46044</v>
      </c>
      <c r="E4384" s="8">
        <v>10</v>
      </c>
      <c r="F4384" s="6" t="str">
        <f t="shared" si="1130"/>
        <v>Picueta</v>
      </c>
      <c r="G4384" s="6" t="str">
        <f t="shared" si="1131"/>
        <v>F100342948000000</v>
      </c>
      <c r="H4384" s="6" t="str">
        <f t="shared" si="1132"/>
        <v>FA 3429 Liso C/ Apl</v>
      </c>
      <c r="I4384" s="6" t="str">
        <f>"502314"</f>
        <v>502314</v>
      </c>
      <c r="J4384" s="6" t="str">
        <f>"BRANCO/Laranja 438"</f>
        <v>BRANCO/Laranja 438</v>
      </c>
      <c r="K4384" s="6" t="str">
        <f>"1535"</f>
        <v>1535</v>
      </c>
      <c r="L4384" s="6" t="str">
        <f>"Toalhões"</f>
        <v>Toalhões</v>
      </c>
      <c r="M4384" s="6" t="str">
        <f>"70x140"</f>
        <v>70x140</v>
      </c>
      <c r="N4384" s="6" t="str">
        <f>"5602972515336"</f>
        <v>5602972515336</v>
      </c>
      <c r="O4384" s="8">
        <v>12</v>
      </c>
      <c r="P4384" s="7">
        <v>45959</v>
      </c>
      <c r="R4384" s="8">
        <v>0</v>
      </c>
      <c r="U4384" s="8">
        <v>0</v>
      </c>
      <c r="X4384" s="8">
        <v>0</v>
      </c>
      <c r="Z4384" s="8">
        <v>0</v>
      </c>
      <c r="AC4384" s="8">
        <v>11</v>
      </c>
      <c r="AE4384" s="7">
        <v>45966</v>
      </c>
      <c r="AF4384" s="8">
        <v>11</v>
      </c>
      <c r="AH4384" s="7">
        <v>45975</v>
      </c>
      <c r="AN4384" s="8">
        <v>11</v>
      </c>
      <c r="AO4384" s="8">
        <v>1</v>
      </c>
    </row>
    <row r="4385" spans="1:41" x14ac:dyDescent="0.25">
      <c r="A4385" s="6" t="str">
        <f t="shared" si="1129"/>
        <v>525-2025000542</v>
      </c>
      <c r="B4385" s="6" t="str">
        <f t="shared" si="1133"/>
        <v>Lasa Int</v>
      </c>
      <c r="C4385" s="7">
        <v>45959</v>
      </c>
      <c r="D4385" s="7">
        <v>46044</v>
      </c>
      <c r="E4385" s="8">
        <v>11</v>
      </c>
      <c r="F4385" s="6" t="str">
        <f t="shared" si="1130"/>
        <v>Picueta</v>
      </c>
      <c r="G4385" s="6" t="str">
        <f t="shared" si="1131"/>
        <v>F100342948000000</v>
      </c>
      <c r="H4385" s="6" t="str">
        <f t="shared" si="1132"/>
        <v>FA 3429 Liso C/ Apl</v>
      </c>
      <c r="I4385" s="6" t="str">
        <f>"502314"</f>
        <v>502314</v>
      </c>
      <c r="J4385" s="6" t="str">
        <f>"BRANCO/Laranja 438"</f>
        <v>BRANCO/Laranja 438</v>
      </c>
      <c r="K4385" s="6" t="str">
        <f>"2020"</f>
        <v>2020</v>
      </c>
      <c r="L4385" s="6" t="str">
        <f>"Lençóis"</f>
        <v>Lençóis</v>
      </c>
      <c r="M4385" s="6" t="str">
        <f>"100x150"</f>
        <v>100x150</v>
      </c>
      <c r="N4385" s="6" t="str">
        <f>"5602972515343"</f>
        <v>5602972515343</v>
      </c>
      <c r="O4385" s="8">
        <v>12</v>
      </c>
      <c r="P4385" s="7">
        <v>45959</v>
      </c>
      <c r="R4385" s="8">
        <v>0</v>
      </c>
      <c r="U4385" s="8">
        <v>0</v>
      </c>
      <c r="X4385" s="8">
        <v>0</v>
      </c>
      <c r="Z4385" s="8">
        <v>0</v>
      </c>
      <c r="AC4385" s="8">
        <v>12</v>
      </c>
      <c r="AE4385" s="7">
        <v>45966</v>
      </c>
      <c r="AF4385" s="8">
        <v>12</v>
      </c>
      <c r="AH4385" s="7">
        <v>45975</v>
      </c>
      <c r="AN4385" s="8">
        <v>12</v>
      </c>
      <c r="AO4385" s="8">
        <v>0</v>
      </c>
    </row>
    <row r="4386" spans="1:41" x14ac:dyDescent="0.25">
      <c r="A4386" s="6" t="str">
        <f t="shared" si="1129"/>
        <v>525-2025000542</v>
      </c>
      <c r="B4386" s="6" t="str">
        <f t="shared" si="1133"/>
        <v>Lasa Int</v>
      </c>
      <c r="C4386" s="7">
        <v>45959</v>
      </c>
      <c r="D4386" s="7">
        <v>46044</v>
      </c>
      <c r="E4386" s="8">
        <v>12</v>
      </c>
      <c r="F4386" s="6" t="str">
        <f t="shared" si="1130"/>
        <v>Picueta</v>
      </c>
      <c r="G4386" s="6" t="str">
        <f t="shared" si="1131"/>
        <v>F100342948000000</v>
      </c>
      <c r="H4386" s="6" t="str">
        <f t="shared" si="1132"/>
        <v>FA 3429 Liso C/ Apl</v>
      </c>
      <c r="I4386" s="6" t="str">
        <f>"502315"</f>
        <v>502315</v>
      </c>
      <c r="J4386" s="6" t="str">
        <f>"BRANCO/Rosa 2045"</f>
        <v>BRANCO/Rosa 2045</v>
      </c>
      <c r="K4386" s="6" t="str">
        <f>"2020"</f>
        <v>2020</v>
      </c>
      <c r="L4386" s="6" t="str">
        <f>"Lençóis"</f>
        <v>Lençóis</v>
      </c>
      <c r="M4386" s="6" t="str">
        <f>"100x150"</f>
        <v>100x150</v>
      </c>
      <c r="N4386" s="6" t="str">
        <f>"5602972515398"</f>
        <v>5602972515398</v>
      </c>
      <c r="O4386" s="8">
        <v>12</v>
      </c>
      <c r="P4386" s="7">
        <v>45959</v>
      </c>
      <c r="R4386" s="8">
        <v>0</v>
      </c>
      <c r="U4386" s="8">
        <v>0</v>
      </c>
      <c r="X4386" s="8">
        <v>0</v>
      </c>
      <c r="Z4386" s="8">
        <v>0</v>
      </c>
      <c r="AC4386" s="8">
        <v>12</v>
      </c>
      <c r="AE4386" s="7">
        <v>45966</v>
      </c>
      <c r="AF4386" s="8">
        <v>12</v>
      </c>
      <c r="AH4386" s="7">
        <v>45975</v>
      </c>
      <c r="AN4386" s="8">
        <v>12</v>
      </c>
      <c r="AO4386" s="8">
        <v>0</v>
      </c>
    </row>
    <row r="4387" spans="1:41" x14ac:dyDescent="0.25">
      <c r="A4387" s="6" t="str">
        <f t="shared" ref="A4387:A4403" si="1134">"525-2025000543"</f>
        <v>525-2025000543</v>
      </c>
      <c r="B4387" s="6" t="str">
        <f t="shared" si="1133"/>
        <v>Lasa Int</v>
      </c>
      <c r="C4387" s="7">
        <v>45959</v>
      </c>
      <c r="D4387" s="7">
        <v>46058</v>
      </c>
      <c r="E4387" s="8">
        <v>1</v>
      </c>
      <c r="F4387" s="6" t="str">
        <f t="shared" ref="F4387:F4403" si="1135">"Juliet"</f>
        <v>Juliet</v>
      </c>
      <c r="G4387" s="6" t="str">
        <f t="shared" ref="G4387:G4403" si="1136">"F137135952000000"</f>
        <v>F137135952000000</v>
      </c>
      <c r="H4387" s="6" t="str">
        <f t="shared" ref="H4387:H4403" si="1137">"FAJ SP 1359 CH PO -"</f>
        <v>FAJ SP 1359 CH PO -</v>
      </c>
      <c r="I4387" s="6" t="str">
        <f>"500695"</f>
        <v>500695</v>
      </c>
      <c r="J4387" s="6" t="str">
        <f>"VERD 3022/103 FF"</f>
        <v>VERD 3022/103 FF</v>
      </c>
      <c r="K4387" s="6" t="str">
        <f>"0112"</f>
        <v>0112</v>
      </c>
      <c r="L4387" s="6" t="str">
        <f>"Luvas"</f>
        <v>Luvas</v>
      </c>
      <c r="M4387" s="6" t="str">
        <f>"16x21"</f>
        <v>16x21</v>
      </c>
      <c r="N4387" s="6" t="str">
        <f>"5602972715729"</f>
        <v>5602972715729</v>
      </c>
      <c r="O4387" s="8">
        <v>180</v>
      </c>
      <c r="P4387" s="7">
        <v>46006</v>
      </c>
      <c r="R4387" s="8">
        <v>192</v>
      </c>
      <c r="S4387" s="7">
        <v>46009</v>
      </c>
      <c r="U4387" s="8">
        <v>192</v>
      </c>
      <c r="V4387" s="7">
        <v>46030</v>
      </c>
      <c r="X4387" s="8">
        <v>0</v>
      </c>
      <c r="Z4387" s="8">
        <v>192</v>
      </c>
      <c r="AA4387" s="7">
        <v>46044</v>
      </c>
      <c r="AC4387" s="8">
        <v>0</v>
      </c>
      <c r="AE4387" s="7">
        <v>46049</v>
      </c>
      <c r="AF4387" s="8">
        <v>0</v>
      </c>
      <c r="AH4387" s="7">
        <v>46045</v>
      </c>
      <c r="AN4387" s="8">
        <v>0</v>
      </c>
      <c r="AO4387" s="8">
        <v>180</v>
      </c>
    </row>
    <row r="4388" spans="1:41" x14ac:dyDescent="0.25">
      <c r="A4388" s="6" t="str">
        <f t="shared" si="1134"/>
        <v>525-2025000543</v>
      </c>
      <c r="B4388" s="6" t="str">
        <f t="shared" si="1133"/>
        <v>Lasa Int</v>
      </c>
      <c r="C4388" s="7">
        <v>45959</v>
      </c>
      <c r="D4388" s="7">
        <v>46058</v>
      </c>
      <c r="E4388" s="8">
        <v>2</v>
      </c>
      <c r="F4388" s="6" t="str">
        <f t="shared" si="1135"/>
        <v>Juliet</v>
      </c>
      <c r="G4388" s="6" t="str">
        <f t="shared" si="1136"/>
        <v>F137135952000000</v>
      </c>
      <c r="H4388" s="6" t="str">
        <f t="shared" si="1137"/>
        <v>FAJ SP 1359 CH PO -</v>
      </c>
      <c r="I4388" s="6" t="str">
        <f>"500695"</f>
        <v>500695</v>
      </c>
      <c r="J4388" s="6" t="str">
        <f>"VERD 3022/103 FF"</f>
        <v>VERD 3022/103 FF</v>
      </c>
      <c r="K4388" s="6" t="str">
        <f>"0530"</f>
        <v>0530</v>
      </c>
      <c r="L4388" s="6" t="str">
        <f>"Toalhetes"</f>
        <v>Toalhetes</v>
      </c>
      <c r="M4388" s="6" t="str">
        <f>"33x50"</f>
        <v>33x50</v>
      </c>
      <c r="N4388" s="6" t="str">
        <f>"5602972715736"</f>
        <v>5602972715736</v>
      </c>
      <c r="O4388" s="8">
        <v>360</v>
      </c>
      <c r="P4388" s="7">
        <v>46006</v>
      </c>
      <c r="R4388" s="8">
        <v>390</v>
      </c>
      <c r="S4388" s="7">
        <v>46009</v>
      </c>
      <c r="U4388" s="8">
        <v>390</v>
      </c>
      <c r="V4388" s="7">
        <v>46030</v>
      </c>
      <c r="X4388" s="8">
        <v>0</v>
      </c>
      <c r="Z4388" s="8">
        <v>390</v>
      </c>
      <c r="AA4388" s="7">
        <v>46044</v>
      </c>
      <c r="AC4388" s="8">
        <v>0</v>
      </c>
      <c r="AE4388" s="7">
        <v>46049</v>
      </c>
      <c r="AF4388" s="8">
        <v>0</v>
      </c>
      <c r="AH4388" s="7">
        <v>46045</v>
      </c>
      <c r="AN4388" s="8">
        <v>0</v>
      </c>
      <c r="AO4388" s="8">
        <v>360</v>
      </c>
    </row>
    <row r="4389" spans="1:41" x14ac:dyDescent="0.25">
      <c r="A4389" s="6" t="str">
        <f t="shared" si="1134"/>
        <v>525-2025000543</v>
      </c>
      <c r="B4389" s="6" t="str">
        <f t="shared" si="1133"/>
        <v>Lasa Int</v>
      </c>
      <c r="C4389" s="7">
        <v>45959</v>
      </c>
      <c r="D4389" s="7">
        <v>46058</v>
      </c>
      <c r="E4389" s="8">
        <v>3</v>
      </c>
      <c r="F4389" s="6" t="str">
        <f t="shared" si="1135"/>
        <v>Juliet</v>
      </c>
      <c r="G4389" s="6" t="str">
        <f t="shared" si="1136"/>
        <v>F137135952000000</v>
      </c>
      <c r="H4389" s="6" t="str">
        <f t="shared" si="1137"/>
        <v>FAJ SP 1359 CH PO -</v>
      </c>
      <c r="I4389" s="6" t="str">
        <f>"500695"</f>
        <v>500695</v>
      </c>
      <c r="J4389" s="6" t="str">
        <f>"VERD 3022/103 FF"</f>
        <v>VERD 3022/103 FF</v>
      </c>
      <c r="K4389" s="6" t="str">
        <f>"1024"</f>
        <v>1024</v>
      </c>
      <c r="L4389" s="6" t="str">
        <f>"Toalhas"</f>
        <v>Toalhas</v>
      </c>
      <c r="M4389" s="6" t="str">
        <f>"50x100"</f>
        <v>50x100</v>
      </c>
      <c r="N4389" s="6" t="str">
        <f>"5602972715743"</f>
        <v>5602972715743</v>
      </c>
      <c r="O4389" s="8">
        <v>360</v>
      </c>
      <c r="P4389" s="7">
        <v>46006</v>
      </c>
      <c r="R4389" s="8">
        <v>400</v>
      </c>
      <c r="S4389" s="7">
        <v>46009</v>
      </c>
      <c r="U4389" s="8">
        <v>400</v>
      </c>
      <c r="V4389" s="7">
        <v>46030</v>
      </c>
      <c r="X4389" s="8">
        <v>0</v>
      </c>
      <c r="Z4389" s="8">
        <v>400</v>
      </c>
      <c r="AA4389" s="7">
        <v>46044</v>
      </c>
      <c r="AC4389" s="8">
        <v>0</v>
      </c>
      <c r="AE4389" s="7">
        <v>46049</v>
      </c>
      <c r="AF4389" s="8">
        <v>0</v>
      </c>
      <c r="AH4389" s="7">
        <v>46045</v>
      </c>
      <c r="AN4389" s="8">
        <v>0</v>
      </c>
      <c r="AO4389" s="8">
        <v>360</v>
      </c>
    </row>
    <row r="4390" spans="1:41" x14ac:dyDescent="0.25">
      <c r="A4390" s="6" t="str">
        <f t="shared" si="1134"/>
        <v>525-2025000543</v>
      </c>
      <c r="B4390" s="6" t="str">
        <f t="shared" si="1133"/>
        <v>Lasa Int</v>
      </c>
      <c r="C4390" s="7">
        <v>45959</v>
      </c>
      <c r="D4390" s="7">
        <v>46058</v>
      </c>
      <c r="E4390" s="8">
        <v>4</v>
      </c>
      <c r="F4390" s="6" t="str">
        <f t="shared" si="1135"/>
        <v>Juliet</v>
      </c>
      <c r="G4390" s="6" t="str">
        <f t="shared" si="1136"/>
        <v>F137135952000000</v>
      </c>
      <c r="H4390" s="6" t="str">
        <f t="shared" si="1137"/>
        <v>FAJ SP 1359 CH PO -</v>
      </c>
      <c r="I4390" s="6" t="str">
        <f>"500695"</f>
        <v>500695</v>
      </c>
      <c r="J4390" s="6" t="str">
        <f>"VERD 3022/103 FF"</f>
        <v>VERD 3022/103 FF</v>
      </c>
      <c r="K4390" s="6" t="str">
        <f>"1535"</f>
        <v>1535</v>
      </c>
      <c r="L4390" s="6" t="str">
        <f>"Toalhões"</f>
        <v>Toalhões</v>
      </c>
      <c r="M4390" s="6" t="str">
        <f>"70x140"</f>
        <v>70x140</v>
      </c>
      <c r="N4390" s="6" t="str">
        <f>"5602972715750"</f>
        <v>5602972715750</v>
      </c>
      <c r="O4390" s="8">
        <v>180</v>
      </c>
      <c r="P4390" s="7">
        <v>46006</v>
      </c>
      <c r="R4390" s="8">
        <v>210</v>
      </c>
      <c r="S4390" s="7">
        <v>46009</v>
      </c>
      <c r="U4390" s="8">
        <v>210</v>
      </c>
      <c r="V4390" s="7">
        <v>46030</v>
      </c>
      <c r="X4390" s="8">
        <v>0</v>
      </c>
      <c r="Z4390" s="8">
        <v>210</v>
      </c>
      <c r="AA4390" s="7">
        <v>46044</v>
      </c>
      <c r="AC4390" s="8">
        <v>0</v>
      </c>
      <c r="AE4390" s="7">
        <v>46049</v>
      </c>
      <c r="AF4390" s="8">
        <v>0</v>
      </c>
      <c r="AH4390" s="7">
        <v>46045</v>
      </c>
      <c r="AN4390" s="8">
        <v>0</v>
      </c>
      <c r="AO4390" s="8">
        <v>180</v>
      </c>
    </row>
    <row r="4391" spans="1:41" x14ac:dyDescent="0.25">
      <c r="A4391" s="6" t="str">
        <f t="shared" si="1134"/>
        <v>525-2025000543</v>
      </c>
      <c r="B4391" s="6" t="str">
        <f t="shared" si="1133"/>
        <v>Lasa Int</v>
      </c>
      <c r="C4391" s="7">
        <v>45959</v>
      </c>
      <c r="D4391" s="7">
        <v>46058</v>
      </c>
      <c r="E4391" s="8">
        <v>5</v>
      </c>
      <c r="F4391" s="6" t="str">
        <f t="shared" si="1135"/>
        <v>Juliet</v>
      </c>
      <c r="G4391" s="6" t="str">
        <f t="shared" si="1136"/>
        <v>F137135952000000</v>
      </c>
      <c r="H4391" s="6" t="str">
        <f t="shared" si="1137"/>
        <v>FAJ SP 1359 CH PO -</v>
      </c>
      <c r="I4391" s="6" t="str">
        <f>"500695"</f>
        <v>500695</v>
      </c>
      <c r="J4391" s="6" t="str">
        <f>"VERD 3022/103 FF"</f>
        <v>VERD 3022/103 FF</v>
      </c>
      <c r="K4391" s="6" t="str">
        <f>"2020"</f>
        <v>2020</v>
      </c>
      <c r="L4391" s="6" t="str">
        <f>"Lençóis"</f>
        <v>Lençóis</v>
      </c>
      <c r="M4391" s="6" t="str">
        <f>"100x150"</f>
        <v>100x150</v>
      </c>
      <c r="N4391" s="6" t="str">
        <f>"5602972715767"</f>
        <v>5602972715767</v>
      </c>
      <c r="O4391" s="8">
        <v>160</v>
      </c>
      <c r="P4391" s="7">
        <v>46006</v>
      </c>
      <c r="R4391" s="8">
        <v>180</v>
      </c>
      <c r="S4391" s="7">
        <v>46009</v>
      </c>
      <c r="U4391" s="8">
        <v>180</v>
      </c>
      <c r="V4391" s="7">
        <v>46030</v>
      </c>
      <c r="X4391" s="8">
        <v>0</v>
      </c>
      <c r="Z4391" s="8">
        <v>180</v>
      </c>
      <c r="AA4391" s="7">
        <v>46044</v>
      </c>
      <c r="AC4391" s="8">
        <v>0</v>
      </c>
      <c r="AE4391" s="7">
        <v>46049</v>
      </c>
      <c r="AF4391" s="8">
        <v>0</v>
      </c>
      <c r="AH4391" s="7">
        <v>46045</v>
      </c>
      <c r="AN4391" s="8">
        <v>0</v>
      </c>
      <c r="AO4391" s="8">
        <v>160</v>
      </c>
    </row>
    <row r="4392" spans="1:41" x14ac:dyDescent="0.25">
      <c r="A4392" s="6" t="str">
        <f t="shared" si="1134"/>
        <v>525-2025000543</v>
      </c>
      <c r="B4392" s="6" t="str">
        <f t="shared" si="1133"/>
        <v>Lasa Int</v>
      </c>
      <c r="C4392" s="7">
        <v>45959</v>
      </c>
      <c r="D4392" s="7">
        <v>46058</v>
      </c>
      <c r="E4392" s="8">
        <v>6</v>
      </c>
      <c r="F4392" s="6" t="str">
        <f t="shared" si="1135"/>
        <v>Juliet</v>
      </c>
      <c r="G4392" s="6" t="str">
        <f t="shared" si="1136"/>
        <v>F137135952000000</v>
      </c>
      <c r="H4392" s="6" t="str">
        <f t="shared" si="1137"/>
        <v>FAJ SP 1359 CH PO -</v>
      </c>
      <c r="I4392" s="6" t="str">
        <f>"500895"</f>
        <v>500895</v>
      </c>
      <c r="J4392" s="6" t="str">
        <f>"BEGE 1670 /1930"</f>
        <v>BEGE 1670 /1930</v>
      </c>
      <c r="K4392" s="6" t="str">
        <f>"0112"</f>
        <v>0112</v>
      </c>
      <c r="L4392" s="6" t="str">
        <f>"Luvas"</f>
        <v>Luvas</v>
      </c>
      <c r="M4392" s="6" t="str">
        <f>"16x21"</f>
        <v>16x21</v>
      </c>
      <c r="N4392" s="6" t="str">
        <f>"5602972756395"</f>
        <v>5602972756395</v>
      </c>
      <c r="O4392" s="8">
        <v>180</v>
      </c>
      <c r="P4392" s="7">
        <v>46006</v>
      </c>
      <c r="R4392" s="8">
        <v>192</v>
      </c>
      <c r="S4392" s="7">
        <v>46009</v>
      </c>
      <c r="U4392" s="8">
        <v>192</v>
      </c>
      <c r="V4392" s="7">
        <v>46030</v>
      </c>
      <c r="X4392" s="8">
        <v>0</v>
      </c>
      <c r="Z4392" s="8">
        <v>192</v>
      </c>
      <c r="AA4392" s="7">
        <v>46044</v>
      </c>
      <c r="AC4392" s="8">
        <v>0</v>
      </c>
      <c r="AE4392" s="7">
        <v>46049</v>
      </c>
      <c r="AF4392" s="8">
        <v>0</v>
      </c>
      <c r="AH4392" s="7">
        <v>46045</v>
      </c>
      <c r="AN4392" s="8">
        <v>0</v>
      </c>
      <c r="AO4392" s="8">
        <v>180</v>
      </c>
    </row>
    <row r="4393" spans="1:41" x14ac:dyDescent="0.25">
      <c r="A4393" s="6" t="str">
        <f t="shared" si="1134"/>
        <v>525-2025000543</v>
      </c>
      <c r="B4393" s="6" t="str">
        <f t="shared" si="1133"/>
        <v>Lasa Int</v>
      </c>
      <c r="C4393" s="7">
        <v>45959</v>
      </c>
      <c r="D4393" s="7">
        <v>46058</v>
      </c>
      <c r="E4393" s="8">
        <v>7</v>
      </c>
      <c r="F4393" s="6" t="str">
        <f t="shared" si="1135"/>
        <v>Juliet</v>
      </c>
      <c r="G4393" s="6" t="str">
        <f t="shared" si="1136"/>
        <v>F137135952000000</v>
      </c>
      <c r="H4393" s="6" t="str">
        <f t="shared" si="1137"/>
        <v>FAJ SP 1359 CH PO -</v>
      </c>
      <c r="I4393" s="6" t="str">
        <f>"500895"</f>
        <v>500895</v>
      </c>
      <c r="J4393" s="6" t="str">
        <f>"BEGE 1670 /1930"</f>
        <v>BEGE 1670 /1930</v>
      </c>
      <c r="K4393" s="6" t="str">
        <f>"0518"</f>
        <v>0518</v>
      </c>
      <c r="L4393" s="6" t="str">
        <f>"Toalhetes"</f>
        <v>Toalhetes</v>
      </c>
      <c r="M4393" s="6" t="str">
        <f>"40x60"</f>
        <v>40x60</v>
      </c>
      <c r="N4393" s="6" t="str">
        <f>"5602972650242"</f>
        <v>5602972650242</v>
      </c>
      <c r="O4393" s="8">
        <v>240</v>
      </c>
      <c r="P4393" s="7">
        <v>46006</v>
      </c>
      <c r="R4393" s="8">
        <v>276</v>
      </c>
      <c r="S4393" s="7">
        <v>46009</v>
      </c>
      <c r="U4393" s="8">
        <v>276</v>
      </c>
      <c r="V4393" s="7">
        <v>46030</v>
      </c>
      <c r="X4393" s="8">
        <v>0</v>
      </c>
      <c r="Z4393" s="8">
        <v>276</v>
      </c>
      <c r="AA4393" s="7">
        <v>46044</v>
      </c>
      <c r="AC4393" s="8">
        <v>0</v>
      </c>
      <c r="AE4393" s="7">
        <v>46049</v>
      </c>
      <c r="AF4393" s="8">
        <v>0</v>
      </c>
      <c r="AH4393" s="7">
        <v>46045</v>
      </c>
      <c r="AN4393" s="8">
        <v>0</v>
      </c>
      <c r="AO4393" s="8">
        <v>240</v>
      </c>
    </row>
    <row r="4394" spans="1:41" x14ac:dyDescent="0.25">
      <c r="A4394" s="6" t="str">
        <f t="shared" si="1134"/>
        <v>525-2025000543</v>
      </c>
      <c r="B4394" s="6" t="str">
        <f t="shared" si="1133"/>
        <v>Lasa Int</v>
      </c>
      <c r="C4394" s="7">
        <v>45959</v>
      </c>
      <c r="D4394" s="7">
        <v>46058</v>
      </c>
      <c r="E4394" s="8">
        <v>8</v>
      </c>
      <c r="F4394" s="6" t="str">
        <f t="shared" si="1135"/>
        <v>Juliet</v>
      </c>
      <c r="G4394" s="6" t="str">
        <f t="shared" si="1136"/>
        <v>F137135952000000</v>
      </c>
      <c r="H4394" s="6" t="str">
        <f t="shared" si="1137"/>
        <v>FAJ SP 1359 CH PO -</v>
      </c>
      <c r="I4394" s="6" t="str">
        <f>"500895"</f>
        <v>500895</v>
      </c>
      <c r="J4394" s="6" t="str">
        <f>"BEGE 1670 /1930"</f>
        <v>BEGE 1670 /1930</v>
      </c>
      <c r="K4394" s="6" t="str">
        <f>"1024"</f>
        <v>1024</v>
      </c>
      <c r="L4394" s="6" t="str">
        <f>"Toalhas"</f>
        <v>Toalhas</v>
      </c>
      <c r="M4394" s="6" t="str">
        <f>"50x100"</f>
        <v>50x100</v>
      </c>
      <c r="N4394" s="6" t="str">
        <f>"5602972756418"</f>
        <v>5602972756418</v>
      </c>
      <c r="O4394" s="8">
        <v>240</v>
      </c>
      <c r="P4394" s="7">
        <v>46006</v>
      </c>
      <c r="R4394" s="8">
        <v>272</v>
      </c>
      <c r="S4394" s="7">
        <v>46009</v>
      </c>
      <c r="U4394" s="8">
        <v>272</v>
      </c>
      <c r="V4394" s="7">
        <v>46030</v>
      </c>
      <c r="X4394" s="8">
        <v>0</v>
      </c>
      <c r="Z4394" s="8">
        <v>272</v>
      </c>
      <c r="AA4394" s="7">
        <v>46044</v>
      </c>
      <c r="AC4394" s="8">
        <v>0</v>
      </c>
      <c r="AE4394" s="7">
        <v>46049</v>
      </c>
      <c r="AF4394" s="8">
        <v>0</v>
      </c>
      <c r="AH4394" s="7">
        <v>46045</v>
      </c>
      <c r="AN4394" s="8">
        <v>0</v>
      </c>
      <c r="AO4394" s="8">
        <v>240</v>
      </c>
    </row>
    <row r="4395" spans="1:41" x14ac:dyDescent="0.25">
      <c r="A4395" s="6" t="str">
        <f t="shared" si="1134"/>
        <v>525-2025000543</v>
      </c>
      <c r="B4395" s="6" t="str">
        <f t="shared" si="1133"/>
        <v>Lasa Int</v>
      </c>
      <c r="C4395" s="7">
        <v>45959</v>
      </c>
      <c r="D4395" s="7">
        <v>46058</v>
      </c>
      <c r="E4395" s="8">
        <v>9</v>
      </c>
      <c r="F4395" s="6" t="str">
        <f t="shared" si="1135"/>
        <v>Juliet</v>
      </c>
      <c r="G4395" s="6" t="str">
        <f t="shared" si="1136"/>
        <v>F137135952000000</v>
      </c>
      <c r="H4395" s="6" t="str">
        <f t="shared" si="1137"/>
        <v>FAJ SP 1359 CH PO -</v>
      </c>
      <c r="I4395" s="6" t="str">
        <f>"500895"</f>
        <v>500895</v>
      </c>
      <c r="J4395" s="6" t="str">
        <f>"BEGE 1670 /1930"</f>
        <v>BEGE 1670 /1930</v>
      </c>
      <c r="K4395" s="6" t="str">
        <f>"2020"</f>
        <v>2020</v>
      </c>
      <c r="L4395" s="6" t="str">
        <f>"Lençóis"</f>
        <v>Lençóis</v>
      </c>
      <c r="M4395" s="6" t="str">
        <f>"100x150"</f>
        <v>100x150</v>
      </c>
      <c r="N4395" s="6" t="str">
        <f>"5602972756432"</f>
        <v>5602972756432</v>
      </c>
      <c r="O4395" s="8">
        <v>180</v>
      </c>
      <c r="P4395" s="7">
        <v>46006</v>
      </c>
      <c r="R4395" s="8">
        <v>204</v>
      </c>
      <c r="S4395" s="7">
        <v>46009</v>
      </c>
      <c r="U4395" s="8">
        <v>204</v>
      </c>
      <c r="V4395" s="7">
        <v>46030</v>
      </c>
      <c r="X4395" s="8">
        <v>0</v>
      </c>
      <c r="Z4395" s="8">
        <v>204</v>
      </c>
      <c r="AA4395" s="7">
        <v>46044</v>
      </c>
      <c r="AC4395" s="8">
        <v>0</v>
      </c>
      <c r="AE4395" s="7">
        <v>46049</v>
      </c>
      <c r="AF4395" s="8">
        <v>0</v>
      </c>
      <c r="AH4395" s="7">
        <v>46045</v>
      </c>
      <c r="AN4395" s="8">
        <v>0</v>
      </c>
      <c r="AO4395" s="8">
        <v>180</v>
      </c>
    </row>
    <row r="4396" spans="1:41" x14ac:dyDescent="0.25">
      <c r="A4396" s="6" t="str">
        <f t="shared" si="1134"/>
        <v>525-2025000543</v>
      </c>
      <c r="B4396" s="6" t="str">
        <f t="shared" si="1133"/>
        <v>Lasa Int</v>
      </c>
      <c r="C4396" s="7">
        <v>45959</v>
      </c>
      <c r="D4396" s="7">
        <v>46058</v>
      </c>
      <c r="E4396" s="8">
        <v>10</v>
      </c>
      <c r="F4396" s="6" t="str">
        <f t="shared" si="1135"/>
        <v>Juliet</v>
      </c>
      <c r="G4396" s="6" t="str">
        <f t="shared" si="1136"/>
        <v>F137135952000000</v>
      </c>
      <c r="H4396" s="6" t="str">
        <f t="shared" si="1137"/>
        <v>FAJ SP 1359 CH PO -</v>
      </c>
      <c r="I4396" s="6" t="str">
        <f>"500899"</f>
        <v>500899</v>
      </c>
      <c r="J4396" s="6" t="str">
        <f>"PRETO Sulf /Preto"</f>
        <v>PRETO Sulf /Preto</v>
      </c>
      <c r="K4396" s="6" t="str">
        <f>"0530"</f>
        <v>0530</v>
      </c>
      <c r="L4396" s="6" t="str">
        <f>"Toalhetes"</f>
        <v>Toalhetes</v>
      </c>
      <c r="M4396" s="6" t="str">
        <f>"33x50"</f>
        <v>33x50</v>
      </c>
      <c r="N4396" s="6" t="str">
        <f>"5602972756203"</f>
        <v>5602972756203</v>
      </c>
      <c r="O4396" s="8">
        <v>180</v>
      </c>
      <c r="P4396" s="7">
        <v>46006</v>
      </c>
      <c r="R4396" s="8">
        <v>198</v>
      </c>
      <c r="S4396" s="7">
        <v>46009</v>
      </c>
      <c r="U4396" s="8">
        <v>198</v>
      </c>
      <c r="V4396" s="7">
        <v>46030</v>
      </c>
      <c r="X4396" s="8">
        <v>0</v>
      </c>
      <c r="Z4396" s="8">
        <v>198</v>
      </c>
      <c r="AA4396" s="7">
        <v>46044</v>
      </c>
      <c r="AC4396" s="8">
        <v>0</v>
      </c>
      <c r="AE4396" s="7">
        <v>46049</v>
      </c>
      <c r="AF4396" s="8">
        <v>0</v>
      </c>
      <c r="AH4396" s="7">
        <v>46045</v>
      </c>
      <c r="AN4396" s="8">
        <v>0</v>
      </c>
      <c r="AO4396" s="8">
        <v>180</v>
      </c>
    </row>
    <row r="4397" spans="1:41" x14ac:dyDescent="0.25">
      <c r="A4397" s="6" t="str">
        <f t="shared" si="1134"/>
        <v>525-2025000543</v>
      </c>
      <c r="B4397" s="6" t="str">
        <f t="shared" si="1133"/>
        <v>Lasa Int</v>
      </c>
      <c r="C4397" s="7">
        <v>45959</v>
      </c>
      <c r="D4397" s="7">
        <v>46058</v>
      </c>
      <c r="E4397" s="8">
        <v>11</v>
      </c>
      <c r="F4397" s="6" t="str">
        <f t="shared" si="1135"/>
        <v>Juliet</v>
      </c>
      <c r="G4397" s="6" t="str">
        <f t="shared" si="1136"/>
        <v>F137135952000000</v>
      </c>
      <c r="H4397" s="6" t="str">
        <f t="shared" si="1137"/>
        <v>FAJ SP 1359 CH PO -</v>
      </c>
      <c r="I4397" s="6" t="str">
        <f>"500899"</f>
        <v>500899</v>
      </c>
      <c r="J4397" s="6" t="str">
        <f>"PRETO Sulf /Preto"</f>
        <v>PRETO Sulf /Preto</v>
      </c>
      <c r="K4397" s="6" t="str">
        <f>"1024"</f>
        <v>1024</v>
      </c>
      <c r="L4397" s="6" t="str">
        <f>"Toalhas"</f>
        <v>Toalhas</v>
      </c>
      <c r="M4397" s="6" t="str">
        <f>"50x100"</f>
        <v>50x100</v>
      </c>
      <c r="N4397" s="6" t="str">
        <f>"5602972756210"</f>
        <v>5602972756210</v>
      </c>
      <c r="O4397" s="8">
        <v>240</v>
      </c>
      <c r="P4397" s="7">
        <v>46006</v>
      </c>
      <c r="R4397" s="8">
        <v>264</v>
      </c>
      <c r="S4397" s="7">
        <v>46009</v>
      </c>
      <c r="U4397" s="8">
        <v>264</v>
      </c>
      <c r="V4397" s="7">
        <v>46030</v>
      </c>
      <c r="X4397" s="8">
        <v>0</v>
      </c>
      <c r="Z4397" s="8">
        <v>264</v>
      </c>
      <c r="AA4397" s="7">
        <v>46044</v>
      </c>
      <c r="AC4397" s="8">
        <v>0</v>
      </c>
      <c r="AE4397" s="7">
        <v>46049</v>
      </c>
      <c r="AF4397" s="8">
        <v>0</v>
      </c>
      <c r="AH4397" s="7">
        <v>46045</v>
      </c>
      <c r="AN4397" s="8">
        <v>0</v>
      </c>
      <c r="AO4397" s="8">
        <v>240</v>
      </c>
    </row>
    <row r="4398" spans="1:41" x14ac:dyDescent="0.25">
      <c r="A4398" s="6" t="str">
        <f t="shared" si="1134"/>
        <v>525-2025000543</v>
      </c>
      <c r="B4398" s="6" t="str">
        <f t="shared" si="1133"/>
        <v>Lasa Int</v>
      </c>
      <c r="C4398" s="7">
        <v>45959</v>
      </c>
      <c r="D4398" s="7">
        <v>46058</v>
      </c>
      <c r="E4398" s="8">
        <v>12</v>
      </c>
      <c r="F4398" s="6" t="str">
        <f t="shared" si="1135"/>
        <v>Juliet</v>
      </c>
      <c r="G4398" s="6" t="str">
        <f t="shared" si="1136"/>
        <v>F137135952000000</v>
      </c>
      <c r="H4398" s="6" t="str">
        <f t="shared" si="1137"/>
        <v>FAJ SP 1359 CH PO -</v>
      </c>
      <c r="I4398" s="6" t="str">
        <f>"500899"</f>
        <v>500899</v>
      </c>
      <c r="J4398" s="6" t="str">
        <f>"PRETO Sulf /Preto"</f>
        <v>PRETO Sulf /Preto</v>
      </c>
      <c r="K4398" s="6" t="str">
        <f>"1535"</f>
        <v>1535</v>
      </c>
      <c r="L4398" s="6" t="str">
        <f>"Toalhões"</f>
        <v>Toalhões</v>
      </c>
      <c r="M4398" s="6" t="str">
        <f>"70x140"</f>
        <v>70x140</v>
      </c>
      <c r="N4398" s="6" t="str">
        <f>"5602972756227"</f>
        <v>5602972756227</v>
      </c>
      <c r="O4398" s="8">
        <v>80</v>
      </c>
      <c r="P4398" s="7">
        <v>46006</v>
      </c>
      <c r="R4398" s="8">
        <v>90</v>
      </c>
      <c r="S4398" s="7">
        <v>46009</v>
      </c>
      <c r="U4398" s="8">
        <v>90</v>
      </c>
      <c r="V4398" s="7">
        <v>46030</v>
      </c>
      <c r="X4398" s="8">
        <v>0</v>
      </c>
      <c r="Z4398" s="8">
        <v>90</v>
      </c>
      <c r="AA4398" s="7">
        <v>46044</v>
      </c>
      <c r="AC4398" s="8">
        <v>0</v>
      </c>
      <c r="AE4398" s="7">
        <v>46049</v>
      </c>
      <c r="AF4398" s="8">
        <v>0</v>
      </c>
      <c r="AH4398" s="7">
        <v>46045</v>
      </c>
      <c r="AN4398" s="8">
        <v>0</v>
      </c>
      <c r="AO4398" s="8">
        <v>80</v>
      </c>
    </row>
    <row r="4399" spans="1:41" x14ac:dyDescent="0.25">
      <c r="A4399" s="6" t="str">
        <f t="shared" si="1134"/>
        <v>525-2025000543</v>
      </c>
      <c r="B4399" s="6" t="str">
        <f t="shared" si="1133"/>
        <v>Lasa Int</v>
      </c>
      <c r="C4399" s="7">
        <v>45959</v>
      </c>
      <c r="D4399" s="7">
        <v>46058</v>
      </c>
      <c r="E4399" s="8">
        <v>13</v>
      </c>
      <c r="F4399" s="6" t="str">
        <f t="shared" si="1135"/>
        <v>Juliet</v>
      </c>
      <c r="G4399" s="6" t="str">
        <f t="shared" si="1136"/>
        <v>F137135952000000</v>
      </c>
      <c r="H4399" s="6" t="str">
        <f t="shared" si="1137"/>
        <v>FAJ SP 1359 CH PO -</v>
      </c>
      <c r="I4399" s="6" t="str">
        <f>"500899"</f>
        <v>500899</v>
      </c>
      <c r="J4399" s="6" t="str">
        <f>"PRETO Sulf /Preto"</f>
        <v>PRETO Sulf /Preto</v>
      </c>
      <c r="K4399" s="6" t="str">
        <f>"2020"</f>
        <v>2020</v>
      </c>
      <c r="L4399" s="6" t="str">
        <f>"Lençóis"</f>
        <v>Lençóis</v>
      </c>
      <c r="M4399" s="6" t="str">
        <f>"100x150"</f>
        <v>100x150</v>
      </c>
      <c r="N4399" s="6" t="str">
        <f>"5602972756234"</f>
        <v>5602972756234</v>
      </c>
      <c r="O4399" s="8">
        <v>240</v>
      </c>
      <c r="P4399" s="7">
        <v>46006</v>
      </c>
      <c r="R4399" s="8">
        <v>244</v>
      </c>
      <c r="S4399" s="7">
        <v>46009</v>
      </c>
      <c r="U4399" s="8">
        <v>244</v>
      </c>
      <c r="V4399" s="7">
        <v>46030</v>
      </c>
      <c r="X4399" s="8">
        <v>0</v>
      </c>
      <c r="Z4399" s="8">
        <v>244</v>
      </c>
      <c r="AA4399" s="7">
        <v>46044</v>
      </c>
      <c r="AC4399" s="8">
        <v>0</v>
      </c>
      <c r="AE4399" s="7">
        <v>46049</v>
      </c>
      <c r="AF4399" s="8">
        <v>0</v>
      </c>
      <c r="AH4399" s="7">
        <v>46045</v>
      </c>
      <c r="AN4399" s="8">
        <v>0</v>
      </c>
      <c r="AO4399" s="8">
        <v>240</v>
      </c>
    </row>
    <row r="4400" spans="1:41" x14ac:dyDescent="0.25">
      <c r="A4400" s="6" t="str">
        <f t="shared" si="1134"/>
        <v>525-2025000543</v>
      </c>
      <c r="B4400" s="6" t="str">
        <f t="shared" si="1133"/>
        <v>Lasa Int</v>
      </c>
      <c r="C4400" s="7">
        <v>45959</v>
      </c>
      <c r="D4400" s="7">
        <v>46058</v>
      </c>
      <c r="E4400" s="8">
        <v>14</v>
      </c>
      <c r="F4400" s="6" t="str">
        <f t="shared" si="1135"/>
        <v>Juliet</v>
      </c>
      <c r="G4400" s="6" t="str">
        <f t="shared" si="1136"/>
        <v>F137135952000000</v>
      </c>
      <c r="H4400" s="6" t="str">
        <f t="shared" si="1137"/>
        <v>FAJ SP 1359 CH PO -</v>
      </c>
      <c r="I4400" s="6" t="str">
        <f>"501314"</f>
        <v>501314</v>
      </c>
      <c r="J4400" s="6" t="str">
        <f>"TIJOLO 4483/H 2512"</f>
        <v>TIJOLO 4483/H 2512</v>
      </c>
      <c r="K4400" s="6" t="str">
        <f>"0530"</f>
        <v>0530</v>
      </c>
      <c r="L4400" s="6" t="str">
        <f>"Toalhetes"</f>
        <v>Toalhetes</v>
      </c>
      <c r="M4400" s="6" t="str">
        <f>"33x50"</f>
        <v>33x50</v>
      </c>
      <c r="N4400" s="6" t="str">
        <f>"5602972608168"</f>
        <v>5602972608168</v>
      </c>
      <c r="O4400" s="8">
        <v>120</v>
      </c>
      <c r="P4400" s="7">
        <v>46006</v>
      </c>
      <c r="R4400" s="8">
        <v>132</v>
      </c>
      <c r="S4400" s="7">
        <v>46009</v>
      </c>
      <c r="U4400" s="8">
        <v>132</v>
      </c>
      <c r="V4400" s="7">
        <v>46030</v>
      </c>
      <c r="X4400" s="8">
        <v>0</v>
      </c>
      <c r="Z4400" s="8">
        <v>132</v>
      </c>
      <c r="AA4400" s="7">
        <v>46044</v>
      </c>
      <c r="AC4400" s="8">
        <v>0</v>
      </c>
      <c r="AE4400" s="7">
        <v>46049</v>
      </c>
      <c r="AF4400" s="8">
        <v>0</v>
      </c>
      <c r="AH4400" s="7">
        <v>46045</v>
      </c>
      <c r="AN4400" s="8">
        <v>0</v>
      </c>
      <c r="AO4400" s="8">
        <v>120</v>
      </c>
    </row>
    <row r="4401" spans="1:41" x14ac:dyDescent="0.25">
      <c r="A4401" s="6" t="str">
        <f t="shared" si="1134"/>
        <v>525-2025000543</v>
      </c>
      <c r="B4401" s="6" t="str">
        <f t="shared" si="1133"/>
        <v>Lasa Int</v>
      </c>
      <c r="C4401" s="7">
        <v>45959</v>
      </c>
      <c r="D4401" s="7">
        <v>46058</v>
      </c>
      <c r="E4401" s="8">
        <v>15</v>
      </c>
      <c r="F4401" s="6" t="str">
        <f t="shared" si="1135"/>
        <v>Juliet</v>
      </c>
      <c r="G4401" s="6" t="str">
        <f t="shared" si="1136"/>
        <v>F137135952000000</v>
      </c>
      <c r="H4401" s="6" t="str">
        <f t="shared" si="1137"/>
        <v>FAJ SP 1359 CH PO -</v>
      </c>
      <c r="I4401" s="6" t="str">
        <f>"501314"</f>
        <v>501314</v>
      </c>
      <c r="J4401" s="6" t="str">
        <f>"TIJOLO 4483/H 2512"</f>
        <v>TIJOLO 4483/H 2512</v>
      </c>
      <c r="K4401" s="6" t="str">
        <f>"1024"</f>
        <v>1024</v>
      </c>
      <c r="L4401" s="6" t="str">
        <f>"Toalhas"</f>
        <v>Toalhas</v>
      </c>
      <c r="M4401" s="6" t="str">
        <f>"50x100"</f>
        <v>50x100</v>
      </c>
      <c r="N4401" s="6" t="str">
        <f>"5602972608175"</f>
        <v>5602972608175</v>
      </c>
      <c r="O4401" s="8">
        <v>240</v>
      </c>
      <c r="P4401" s="7">
        <v>46006</v>
      </c>
      <c r="R4401" s="8">
        <v>264</v>
      </c>
      <c r="S4401" s="7">
        <v>46009</v>
      </c>
      <c r="U4401" s="8">
        <v>264</v>
      </c>
      <c r="V4401" s="7">
        <v>46030</v>
      </c>
      <c r="X4401" s="8">
        <v>0</v>
      </c>
      <c r="Z4401" s="8">
        <v>264</v>
      </c>
      <c r="AA4401" s="7">
        <v>46044</v>
      </c>
      <c r="AC4401" s="8">
        <v>0</v>
      </c>
      <c r="AE4401" s="7">
        <v>46049</v>
      </c>
      <c r="AF4401" s="8">
        <v>0</v>
      </c>
      <c r="AH4401" s="7">
        <v>46045</v>
      </c>
      <c r="AN4401" s="8">
        <v>0</v>
      </c>
      <c r="AO4401" s="8">
        <v>240</v>
      </c>
    </row>
    <row r="4402" spans="1:41" x14ac:dyDescent="0.25">
      <c r="A4402" s="6" t="str">
        <f t="shared" si="1134"/>
        <v>525-2025000543</v>
      </c>
      <c r="B4402" s="6" t="str">
        <f t="shared" si="1133"/>
        <v>Lasa Int</v>
      </c>
      <c r="C4402" s="7">
        <v>45959</v>
      </c>
      <c r="D4402" s="7">
        <v>46058</v>
      </c>
      <c r="E4402" s="8">
        <v>16</v>
      </c>
      <c r="F4402" s="6" t="str">
        <f t="shared" si="1135"/>
        <v>Juliet</v>
      </c>
      <c r="G4402" s="6" t="str">
        <f t="shared" si="1136"/>
        <v>F137135952000000</v>
      </c>
      <c r="H4402" s="6" t="str">
        <f t="shared" si="1137"/>
        <v>FAJ SP 1359 CH PO -</v>
      </c>
      <c r="I4402" s="6" t="str">
        <f>"501314"</f>
        <v>501314</v>
      </c>
      <c r="J4402" s="6" t="str">
        <f>"TIJOLO 4483/H 2512"</f>
        <v>TIJOLO 4483/H 2512</v>
      </c>
      <c r="K4402" s="6" t="str">
        <f>"1535"</f>
        <v>1535</v>
      </c>
      <c r="L4402" s="6" t="str">
        <f>"Toalhões"</f>
        <v>Toalhões</v>
      </c>
      <c r="M4402" s="6" t="str">
        <f>"70x140"</f>
        <v>70x140</v>
      </c>
      <c r="N4402" s="6" t="str">
        <f>"5602972608182"</f>
        <v>5602972608182</v>
      </c>
      <c r="O4402" s="8">
        <v>80</v>
      </c>
      <c r="P4402" s="7">
        <v>46006</v>
      </c>
      <c r="R4402" s="8">
        <v>90</v>
      </c>
      <c r="S4402" s="7">
        <v>46009</v>
      </c>
      <c r="U4402" s="8">
        <v>90</v>
      </c>
      <c r="V4402" s="7">
        <v>46030</v>
      </c>
      <c r="X4402" s="8">
        <v>0</v>
      </c>
      <c r="Z4402" s="8">
        <v>90</v>
      </c>
      <c r="AA4402" s="7">
        <v>46044</v>
      </c>
      <c r="AC4402" s="8">
        <v>0</v>
      </c>
      <c r="AE4402" s="7">
        <v>46049</v>
      </c>
      <c r="AF4402" s="8">
        <v>0</v>
      </c>
      <c r="AH4402" s="7">
        <v>46045</v>
      </c>
      <c r="AN4402" s="8">
        <v>0</v>
      </c>
      <c r="AO4402" s="8">
        <v>80</v>
      </c>
    </row>
    <row r="4403" spans="1:41" x14ac:dyDescent="0.25">
      <c r="A4403" s="6" t="str">
        <f t="shared" si="1134"/>
        <v>525-2025000543</v>
      </c>
      <c r="B4403" s="6" t="str">
        <f t="shared" si="1133"/>
        <v>Lasa Int</v>
      </c>
      <c r="C4403" s="7">
        <v>45959</v>
      </c>
      <c r="D4403" s="7">
        <v>46058</v>
      </c>
      <c r="E4403" s="8">
        <v>17</v>
      </c>
      <c r="F4403" s="6" t="str">
        <f t="shared" si="1135"/>
        <v>Juliet</v>
      </c>
      <c r="G4403" s="6" t="str">
        <f t="shared" si="1136"/>
        <v>F137135952000000</v>
      </c>
      <c r="H4403" s="6" t="str">
        <f t="shared" si="1137"/>
        <v>FAJ SP 1359 CH PO -</v>
      </c>
      <c r="I4403" s="6" t="str">
        <f>"501314"</f>
        <v>501314</v>
      </c>
      <c r="J4403" s="6" t="str">
        <f>"TIJOLO 4483/H 2512"</f>
        <v>TIJOLO 4483/H 2512</v>
      </c>
      <c r="K4403" s="6" t="str">
        <f>"2020"</f>
        <v>2020</v>
      </c>
      <c r="L4403" s="6" t="str">
        <f>"Lençóis"</f>
        <v>Lençóis</v>
      </c>
      <c r="M4403" s="6" t="str">
        <f>"100x150"</f>
        <v>100x150</v>
      </c>
      <c r="N4403" s="6" t="str">
        <f>"5602972608199"</f>
        <v>5602972608199</v>
      </c>
      <c r="O4403" s="8">
        <v>160</v>
      </c>
      <c r="P4403" s="7">
        <v>46006</v>
      </c>
      <c r="R4403" s="8">
        <v>180</v>
      </c>
      <c r="S4403" s="7">
        <v>46009</v>
      </c>
      <c r="U4403" s="8">
        <v>180</v>
      </c>
      <c r="V4403" s="7">
        <v>46030</v>
      </c>
      <c r="X4403" s="8">
        <v>0</v>
      </c>
      <c r="Z4403" s="8">
        <v>180</v>
      </c>
      <c r="AA4403" s="7">
        <v>46044</v>
      </c>
      <c r="AC4403" s="8">
        <v>0</v>
      </c>
      <c r="AE4403" s="7">
        <v>46049</v>
      </c>
      <c r="AF4403" s="8">
        <v>0</v>
      </c>
      <c r="AH4403" s="7">
        <v>46045</v>
      </c>
      <c r="AN4403" s="8">
        <v>0</v>
      </c>
      <c r="AO4403" s="8">
        <v>160</v>
      </c>
    </row>
    <row r="4404" spans="1:41" x14ac:dyDescent="0.25">
      <c r="A4404" s="6" t="str">
        <f>"525-2025000544"</f>
        <v>525-2025000544</v>
      </c>
      <c r="B4404" s="6" t="str">
        <f t="shared" si="1133"/>
        <v>Lasa Int</v>
      </c>
      <c r="C4404" s="7">
        <v>45960</v>
      </c>
      <c r="D4404" s="7">
        <v>46052</v>
      </c>
      <c r="E4404" s="8">
        <v>1</v>
      </c>
      <c r="F4404" s="6" t="str">
        <f>"Softy"</f>
        <v>Softy</v>
      </c>
      <c r="G4404" s="6" t="str">
        <f>"F110271050000000"</f>
        <v>F110271050000000</v>
      </c>
      <c r="H4404" s="6" t="str">
        <f>"FAJ 2710 (SOFTY) - 5"</f>
        <v>FAJ 2710 (SOFTY) - 5</v>
      </c>
      <c r="I4404" s="6" t="str">
        <f>"2094"</f>
        <v>2094</v>
      </c>
      <c r="J4404" s="6" t="str">
        <f>"AZUL 2094"</f>
        <v>AZUL 2094</v>
      </c>
      <c r="K4404" s="6" t="str">
        <f>"0520"</f>
        <v>0520</v>
      </c>
      <c r="L4404" s="6" t="str">
        <f>"Toalhetes"</f>
        <v>Toalhetes</v>
      </c>
      <c r="M4404" s="6" t="str">
        <f>"30x50"</f>
        <v>30x50</v>
      </c>
      <c r="N4404" s="6" t="str">
        <f>"5602972650778"</f>
        <v>5602972650778</v>
      </c>
      <c r="O4404" s="8">
        <v>720</v>
      </c>
      <c r="P4404" s="7">
        <v>45967</v>
      </c>
      <c r="R4404" s="8">
        <v>1920</v>
      </c>
      <c r="S4404" s="7">
        <v>45972</v>
      </c>
      <c r="U4404" s="8">
        <v>780</v>
      </c>
      <c r="V4404" s="7">
        <v>45981</v>
      </c>
      <c r="X4404" s="8">
        <v>0</v>
      </c>
      <c r="Z4404" s="8">
        <v>780</v>
      </c>
      <c r="AA4404" s="7">
        <v>45994</v>
      </c>
      <c r="AC4404" s="8">
        <v>0</v>
      </c>
      <c r="AE4404" s="7">
        <v>45996</v>
      </c>
      <c r="AF4404" s="8">
        <v>0</v>
      </c>
      <c r="AH4404" s="7">
        <v>45996</v>
      </c>
      <c r="AN4404" s="8">
        <v>0</v>
      </c>
      <c r="AO4404" s="8">
        <v>720</v>
      </c>
    </row>
    <row r="4405" spans="1:41" x14ac:dyDescent="0.25">
      <c r="A4405" s="6" t="str">
        <f>"525-2025000546"</f>
        <v>525-2025000546</v>
      </c>
      <c r="B4405" s="6" t="str">
        <f>"KLEINMAN"</f>
        <v>KLEINMAN</v>
      </c>
      <c r="C4405" s="7">
        <v>45961</v>
      </c>
      <c r="D4405" s="7">
        <v>46045</v>
      </c>
      <c r="E4405" s="8">
        <v>1</v>
      </c>
      <c r="F4405" s="6" t="str">
        <f>"Favo"</f>
        <v>Favo</v>
      </c>
      <c r="G4405" s="6" t="str">
        <f>"C001090426000000"</f>
        <v>C001090426000000</v>
      </c>
      <c r="H4405" s="6" t="str">
        <f>"CZJ 0904 - 260 gr/m²"</f>
        <v>CZJ 0904 - 260 gr/m²</v>
      </c>
      <c r="I4405" s="6" t="str">
        <f>"200498"</f>
        <v>200498</v>
      </c>
      <c r="J4405" s="6" t="str">
        <f>"VERMELHO 498"</f>
        <v>VERMELHO 498</v>
      </c>
      <c r="K4405" s="6" t="str">
        <f>"0830"</f>
        <v>0830</v>
      </c>
      <c r="L4405" s="6" t="str">
        <f>"Cozinha"</f>
        <v>Cozinha</v>
      </c>
      <c r="M4405" s="6" t="str">
        <f>"50x70"</f>
        <v>50x70</v>
      </c>
      <c r="N4405" s="6" t="str">
        <f>"5605247633674"</f>
        <v>5605247633674</v>
      </c>
      <c r="O4405" s="8">
        <v>500</v>
      </c>
      <c r="P4405" s="7" t="s">
        <v>4</v>
      </c>
      <c r="R4405" s="8">
        <v>2080</v>
      </c>
      <c r="S4405" s="7" t="s">
        <v>4</v>
      </c>
      <c r="U4405" s="8">
        <v>530</v>
      </c>
      <c r="V4405" s="7" t="s">
        <v>4</v>
      </c>
      <c r="X4405" s="8">
        <v>0</v>
      </c>
      <c r="Z4405" s="8">
        <v>530</v>
      </c>
      <c r="AA4405" s="7" t="s">
        <v>4</v>
      </c>
      <c r="AC4405" s="8">
        <v>0</v>
      </c>
      <c r="AE4405" s="7" t="s">
        <v>4</v>
      </c>
      <c r="AF4405" s="8">
        <v>0</v>
      </c>
      <c r="AH4405" s="7">
        <v>46045</v>
      </c>
      <c r="AN4405" s="8">
        <v>0</v>
      </c>
      <c r="AO4405" s="8">
        <v>500</v>
      </c>
    </row>
    <row r="4406" spans="1:41" x14ac:dyDescent="0.25">
      <c r="A4406" s="6" t="str">
        <f>"525-2025000546"</f>
        <v>525-2025000546</v>
      </c>
      <c r="B4406" s="6" t="str">
        <f>"KLEINMAN"</f>
        <v>KLEINMAN</v>
      </c>
      <c r="C4406" s="7">
        <v>45961</v>
      </c>
      <c r="D4406" s="7">
        <v>46045</v>
      </c>
      <c r="E4406" s="8">
        <v>2</v>
      </c>
      <c r="F4406" s="6" t="str">
        <f>"Favo"</f>
        <v>Favo</v>
      </c>
      <c r="G4406" s="6" t="str">
        <f>"C001090426000000"</f>
        <v>C001090426000000</v>
      </c>
      <c r="H4406" s="6" t="str">
        <f>"CZJ 0904 - 260 gr/m²"</f>
        <v>CZJ 0904 - 260 gr/m²</v>
      </c>
      <c r="I4406" s="6" t="str">
        <f>"200532"</f>
        <v>200532</v>
      </c>
      <c r="J4406" s="6" t="str">
        <f>"VERDE 532"</f>
        <v>VERDE 532</v>
      </c>
      <c r="K4406" s="6" t="str">
        <f>"0830"</f>
        <v>0830</v>
      </c>
      <c r="L4406" s="6" t="str">
        <f>"Cozinha"</f>
        <v>Cozinha</v>
      </c>
      <c r="M4406" s="6" t="str">
        <f>"50x70"</f>
        <v>50x70</v>
      </c>
      <c r="N4406" s="6" t="str">
        <f>"5605247640306"</f>
        <v>5605247640306</v>
      </c>
      <c r="O4406" s="8">
        <v>500</v>
      </c>
      <c r="P4406" s="7" t="s">
        <v>4</v>
      </c>
      <c r="R4406" s="8">
        <v>1400</v>
      </c>
      <c r="S4406" s="7" t="s">
        <v>4</v>
      </c>
      <c r="U4406" s="8">
        <v>530</v>
      </c>
      <c r="V4406" s="7" t="s">
        <v>4</v>
      </c>
      <c r="X4406" s="8">
        <v>0</v>
      </c>
      <c r="Z4406" s="8">
        <v>530</v>
      </c>
      <c r="AA4406" s="7" t="s">
        <v>4</v>
      </c>
      <c r="AC4406" s="8">
        <v>0</v>
      </c>
      <c r="AE4406" s="7" t="s">
        <v>4</v>
      </c>
      <c r="AF4406" s="8">
        <v>0</v>
      </c>
      <c r="AH4406" s="7">
        <v>46045</v>
      </c>
      <c r="AN4406" s="8">
        <v>0</v>
      </c>
      <c r="AO4406" s="8">
        <v>500</v>
      </c>
    </row>
    <row r="4407" spans="1:41" x14ac:dyDescent="0.25">
      <c r="A4407" s="6" t="str">
        <f>"525-2025000546"</f>
        <v>525-2025000546</v>
      </c>
      <c r="B4407" s="6" t="str">
        <f>"KLEINMAN"</f>
        <v>KLEINMAN</v>
      </c>
      <c r="C4407" s="7">
        <v>45961</v>
      </c>
      <c r="D4407" s="7">
        <v>46045</v>
      </c>
      <c r="E4407" s="8">
        <v>3</v>
      </c>
      <c r="F4407" s="6" t="str">
        <f>"Favo"</f>
        <v>Favo</v>
      </c>
      <c r="G4407" s="6" t="str">
        <f>"C001090426000000"</f>
        <v>C001090426000000</v>
      </c>
      <c r="H4407" s="6" t="str">
        <f>"CZJ 0904 - 260 gr/m²"</f>
        <v>CZJ 0904 - 260 gr/m²</v>
      </c>
      <c r="I4407" s="6" t="str">
        <f>"202206"</f>
        <v>202206</v>
      </c>
      <c r="J4407" s="6" t="str">
        <f>"CINZA 2206"</f>
        <v>CINZA 2206</v>
      </c>
      <c r="K4407" s="6" t="str">
        <f>"0830"</f>
        <v>0830</v>
      </c>
      <c r="L4407" s="6" t="str">
        <f>"Cozinha"</f>
        <v>Cozinha</v>
      </c>
      <c r="M4407" s="6" t="str">
        <f>"50x70"</f>
        <v>50x70</v>
      </c>
      <c r="N4407" s="6" t="str">
        <f>"5605247642348"</f>
        <v>5605247642348</v>
      </c>
      <c r="O4407" s="8">
        <v>500</v>
      </c>
      <c r="P4407" s="7" t="s">
        <v>4</v>
      </c>
      <c r="R4407" s="8">
        <v>2100</v>
      </c>
      <c r="S4407" s="7" t="s">
        <v>4</v>
      </c>
      <c r="U4407" s="8">
        <v>532</v>
      </c>
      <c r="V4407" s="7" t="s">
        <v>4</v>
      </c>
      <c r="X4407" s="8">
        <v>0</v>
      </c>
      <c r="Z4407" s="8">
        <v>532</v>
      </c>
      <c r="AA4407" s="7" t="s">
        <v>4</v>
      </c>
      <c r="AC4407" s="8">
        <v>0</v>
      </c>
      <c r="AE4407" s="7" t="s">
        <v>4</v>
      </c>
      <c r="AF4407" s="8">
        <v>0</v>
      </c>
      <c r="AH4407" s="7">
        <v>46045</v>
      </c>
      <c r="AN4407" s="8">
        <v>0</v>
      </c>
      <c r="AO4407" s="8">
        <v>500</v>
      </c>
    </row>
    <row r="4408" spans="1:41" x14ac:dyDescent="0.25">
      <c r="A4408" s="6" t="str">
        <f>"525-2025000547"</f>
        <v>525-2025000547</v>
      </c>
      <c r="B4408" s="6" t="str">
        <f t="shared" ref="B4408:B4471" si="1138">"Lasa Int"</f>
        <v>Lasa Int</v>
      </c>
      <c r="C4408" s="7">
        <v>45964</v>
      </c>
      <c r="D4408" s="7">
        <v>46050</v>
      </c>
      <c r="E4408" s="8">
        <v>1</v>
      </c>
      <c r="F4408" s="6" t="str">
        <f>"Panos PURE"</f>
        <v>Panos PURE</v>
      </c>
      <c r="G4408" s="6" t="str">
        <f>"F110110840000000"</f>
        <v>F110110840000000</v>
      </c>
      <c r="H4408" s="6" t="str">
        <f>"FAJ 1108 - PURE KITC"</f>
        <v>FAJ 1108 - PURE KITC</v>
      </c>
      <c r="I4408" s="6" t="str">
        <f>"3"</f>
        <v>3</v>
      </c>
      <c r="J4408" s="6" t="str">
        <f>"PRETO Sulf"</f>
        <v>PRETO Sulf</v>
      </c>
      <c r="K4408" s="6" t="str">
        <f>"0820"</f>
        <v>0820</v>
      </c>
      <c r="L4408" s="6" t="str">
        <f>"Cozinha"</f>
        <v>Cozinha</v>
      </c>
      <c r="M4408" s="6" t="str">
        <f>"50x50"</f>
        <v>50x50</v>
      </c>
      <c r="N4408" s="6" t="str">
        <f>"5602972885118"</f>
        <v>5602972885118</v>
      </c>
      <c r="O4408" s="8">
        <v>600</v>
      </c>
      <c r="P4408" s="7">
        <v>45964</v>
      </c>
      <c r="R4408" s="8">
        <v>624</v>
      </c>
      <c r="S4408" s="7">
        <v>45967</v>
      </c>
      <c r="U4408" s="8">
        <v>632</v>
      </c>
      <c r="V4408" s="7">
        <v>45978</v>
      </c>
      <c r="X4408" s="8">
        <v>0</v>
      </c>
      <c r="Z4408" s="8">
        <v>632</v>
      </c>
      <c r="AA4408" s="7">
        <v>45988</v>
      </c>
      <c r="AC4408" s="8">
        <v>384</v>
      </c>
      <c r="AE4408" s="7">
        <v>45993</v>
      </c>
      <c r="AF4408" s="8">
        <v>384</v>
      </c>
      <c r="AH4408" s="7">
        <v>45993</v>
      </c>
      <c r="AN4408" s="8">
        <v>384</v>
      </c>
      <c r="AO4408" s="8">
        <v>216</v>
      </c>
    </row>
    <row r="4409" spans="1:41" x14ac:dyDescent="0.25">
      <c r="A4409" s="6" t="str">
        <f>"525-2025000547"</f>
        <v>525-2025000547</v>
      </c>
      <c r="B4409" s="6" t="str">
        <f t="shared" si="1138"/>
        <v>Lasa Int</v>
      </c>
      <c r="C4409" s="7">
        <v>45964</v>
      </c>
      <c r="D4409" s="7">
        <v>46050</v>
      </c>
      <c r="E4409" s="8">
        <v>2</v>
      </c>
      <c r="F4409" s="6" t="str">
        <f>"Panos PURE"</f>
        <v>Panos PURE</v>
      </c>
      <c r="G4409" s="6" t="str">
        <f>"F110117940000000"</f>
        <v>F110117940000000</v>
      </c>
      <c r="H4409" s="6" t="str">
        <f>"FAJ 1179 - PURE KITC"</f>
        <v>FAJ 1179 - PURE KITC</v>
      </c>
      <c r="I4409" s="6" t="str">
        <f>"3"</f>
        <v>3</v>
      </c>
      <c r="J4409" s="6" t="str">
        <f>"PRETO Sulf"</f>
        <v>PRETO Sulf</v>
      </c>
      <c r="K4409" s="6" t="str">
        <f>"0820"</f>
        <v>0820</v>
      </c>
      <c r="L4409" s="6" t="str">
        <f>"Cozinha"</f>
        <v>Cozinha</v>
      </c>
      <c r="M4409" s="6" t="str">
        <f>"50x50"</f>
        <v>50x50</v>
      </c>
      <c r="N4409" s="6" t="str">
        <f>"5602972885217"</f>
        <v>5602972885217</v>
      </c>
      <c r="O4409" s="8">
        <v>900</v>
      </c>
      <c r="P4409" s="7">
        <v>45964</v>
      </c>
      <c r="R4409" s="8">
        <v>976</v>
      </c>
      <c r="S4409" s="7">
        <v>45967</v>
      </c>
      <c r="U4409" s="8">
        <v>972</v>
      </c>
      <c r="V4409" s="7">
        <v>45978</v>
      </c>
      <c r="X4409" s="8">
        <v>0</v>
      </c>
      <c r="Z4409" s="8">
        <v>972</v>
      </c>
      <c r="AA4409" s="7">
        <v>45988</v>
      </c>
      <c r="AC4409" s="8">
        <v>724</v>
      </c>
      <c r="AE4409" s="7">
        <v>45993</v>
      </c>
      <c r="AF4409" s="8">
        <v>724</v>
      </c>
      <c r="AH4409" s="7">
        <v>45993</v>
      </c>
      <c r="AN4409" s="8">
        <v>724</v>
      </c>
      <c r="AO4409" s="8">
        <v>176</v>
      </c>
    </row>
    <row r="4410" spans="1:41" x14ac:dyDescent="0.25">
      <c r="A4410" s="6" t="str">
        <f t="shared" ref="A4410:A4437" si="1139">"525-2025000549"</f>
        <v>525-2025000549</v>
      </c>
      <c r="B4410" s="6" t="str">
        <f t="shared" si="1138"/>
        <v>Lasa Int</v>
      </c>
      <c r="C4410" s="7">
        <v>45965</v>
      </c>
      <c r="D4410" s="7">
        <v>46031</v>
      </c>
      <c r="E4410" s="8">
        <v>1</v>
      </c>
      <c r="F4410" s="6" t="str">
        <f t="shared" ref="F4410:F4437" si="1140">"Squares M"</f>
        <v>Squares M</v>
      </c>
      <c r="G4410" s="6" t="str">
        <f t="shared" ref="G4410:G4437" si="1141">"F100021455012620"</f>
        <v>F100021455012620</v>
      </c>
      <c r="H4410" s="6" t="str">
        <f t="shared" ref="H4410:H4437" si="1142">"FA 214 / 2620 (b) -"</f>
        <v>FA 214 / 2620 (b) -</v>
      </c>
      <c r="I4410" s="6" t="str">
        <f>"2307"</f>
        <v>2307</v>
      </c>
      <c r="J4410" s="6" t="str">
        <f>"VERMELHO 2307"</f>
        <v>VERMELHO 2307</v>
      </c>
      <c r="K4410" s="6" t="str">
        <f>"0530"</f>
        <v>0530</v>
      </c>
      <c r="L4410" s="6" t="str">
        <f>"Toalhetes"</f>
        <v>Toalhetes</v>
      </c>
      <c r="M4410" s="6" t="str">
        <f>"33x50"</f>
        <v>33x50</v>
      </c>
      <c r="N4410" s="6" t="str">
        <f>"5602972754537"</f>
        <v>5602972754537</v>
      </c>
      <c r="O4410" s="8">
        <v>18</v>
      </c>
      <c r="P4410" s="7">
        <v>45965</v>
      </c>
      <c r="R4410" s="8">
        <v>0</v>
      </c>
      <c r="U4410" s="8">
        <v>0</v>
      </c>
      <c r="X4410" s="8">
        <v>0</v>
      </c>
      <c r="Z4410" s="8">
        <v>0</v>
      </c>
      <c r="AC4410" s="8">
        <v>18</v>
      </c>
      <c r="AE4410" s="7">
        <v>45972</v>
      </c>
      <c r="AF4410" s="8">
        <v>18</v>
      </c>
      <c r="AH4410" s="7">
        <v>45989</v>
      </c>
      <c r="AN4410" s="8">
        <v>18</v>
      </c>
      <c r="AO4410" s="8">
        <v>0</v>
      </c>
    </row>
    <row r="4411" spans="1:41" x14ac:dyDescent="0.25">
      <c r="A4411" s="6" t="str">
        <f t="shared" si="1139"/>
        <v>525-2025000549</v>
      </c>
      <c r="B4411" s="6" t="str">
        <f t="shared" si="1138"/>
        <v>Lasa Int</v>
      </c>
      <c r="C4411" s="7">
        <v>45965</v>
      </c>
      <c r="D4411" s="7">
        <v>46031</v>
      </c>
      <c r="E4411" s="8">
        <v>2</v>
      </c>
      <c r="F4411" s="6" t="str">
        <f t="shared" si="1140"/>
        <v>Squares M</v>
      </c>
      <c r="G4411" s="6" t="str">
        <f t="shared" si="1141"/>
        <v>F100021455012620</v>
      </c>
      <c r="H4411" s="6" t="str">
        <f t="shared" si="1142"/>
        <v>FA 214 / 2620 (b) -</v>
      </c>
      <c r="I4411" s="6" t="str">
        <f>"2307"</f>
        <v>2307</v>
      </c>
      <c r="J4411" s="6" t="str">
        <f>"VERMELHO 2307"</f>
        <v>VERMELHO 2307</v>
      </c>
      <c r="K4411" s="6" t="str">
        <f>"1024"</f>
        <v>1024</v>
      </c>
      <c r="L4411" s="6" t="str">
        <f>"Toalhas"</f>
        <v>Toalhas</v>
      </c>
      <c r="M4411" s="6" t="str">
        <f>"50x100"</f>
        <v>50x100</v>
      </c>
      <c r="N4411" s="6" t="str">
        <f>"5602972754544"</f>
        <v>5602972754544</v>
      </c>
      <c r="O4411" s="8">
        <v>54</v>
      </c>
      <c r="P4411" s="7">
        <v>45965</v>
      </c>
      <c r="R4411" s="8">
        <v>0</v>
      </c>
      <c r="U4411" s="8">
        <v>0</v>
      </c>
      <c r="X4411" s="8">
        <v>0</v>
      </c>
      <c r="Z4411" s="8">
        <v>0</v>
      </c>
      <c r="AC4411" s="8">
        <v>50</v>
      </c>
      <c r="AE4411" s="7">
        <v>45972</v>
      </c>
      <c r="AF4411" s="8">
        <v>50</v>
      </c>
      <c r="AH4411" s="7">
        <v>45989</v>
      </c>
      <c r="AN4411" s="8">
        <v>50</v>
      </c>
      <c r="AO4411" s="8">
        <v>4</v>
      </c>
    </row>
    <row r="4412" spans="1:41" x14ac:dyDescent="0.25">
      <c r="A4412" s="6" t="str">
        <f t="shared" si="1139"/>
        <v>525-2025000549</v>
      </c>
      <c r="B4412" s="6" t="str">
        <f t="shared" si="1138"/>
        <v>Lasa Int</v>
      </c>
      <c r="C4412" s="7">
        <v>45965</v>
      </c>
      <c r="D4412" s="7">
        <v>46031</v>
      </c>
      <c r="E4412" s="8">
        <v>3</v>
      </c>
      <c r="F4412" s="6" t="str">
        <f t="shared" si="1140"/>
        <v>Squares M</v>
      </c>
      <c r="G4412" s="6" t="str">
        <f t="shared" si="1141"/>
        <v>F100021455012620</v>
      </c>
      <c r="H4412" s="6" t="str">
        <f t="shared" si="1142"/>
        <v>FA 214 / 2620 (b) -</v>
      </c>
      <c r="I4412" s="6" t="str">
        <f>"2307"</f>
        <v>2307</v>
      </c>
      <c r="J4412" s="6" t="str">
        <f>"VERMELHO 2307"</f>
        <v>VERMELHO 2307</v>
      </c>
      <c r="K4412" s="6" t="str">
        <f>"1535"</f>
        <v>1535</v>
      </c>
      <c r="L4412" s="6" t="str">
        <f>"Toalhões"</f>
        <v>Toalhões</v>
      </c>
      <c r="M4412" s="6" t="str">
        <f>"70x140"</f>
        <v>70x140</v>
      </c>
      <c r="N4412" s="6" t="str">
        <f>"5602972754551"</f>
        <v>5602972754551</v>
      </c>
      <c r="O4412" s="8">
        <v>54</v>
      </c>
      <c r="P4412" s="7">
        <v>45965</v>
      </c>
      <c r="R4412" s="8">
        <v>0</v>
      </c>
      <c r="U4412" s="8">
        <v>0</v>
      </c>
      <c r="X4412" s="8">
        <v>0</v>
      </c>
      <c r="Z4412" s="8">
        <v>0</v>
      </c>
      <c r="AC4412" s="8">
        <v>49</v>
      </c>
      <c r="AE4412" s="7">
        <v>45972</v>
      </c>
      <c r="AF4412" s="8">
        <v>49</v>
      </c>
      <c r="AH4412" s="7">
        <v>45989</v>
      </c>
      <c r="AN4412" s="8">
        <v>49</v>
      </c>
      <c r="AO4412" s="8">
        <v>5</v>
      </c>
    </row>
    <row r="4413" spans="1:41" x14ac:dyDescent="0.25">
      <c r="A4413" s="6" t="str">
        <f t="shared" si="1139"/>
        <v>525-2025000549</v>
      </c>
      <c r="B4413" s="6" t="str">
        <f t="shared" si="1138"/>
        <v>Lasa Int</v>
      </c>
      <c r="C4413" s="7">
        <v>45965</v>
      </c>
      <c r="D4413" s="7">
        <v>46031</v>
      </c>
      <c r="E4413" s="8">
        <v>4</v>
      </c>
      <c r="F4413" s="6" t="str">
        <f t="shared" si="1140"/>
        <v>Squares M</v>
      </c>
      <c r="G4413" s="6" t="str">
        <f t="shared" si="1141"/>
        <v>F100021455012620</v>
      </c>
      <c r="H4413" s="6" t="str">
        <f t="shared" si="1142"/>
        <v>FA 214 / 2620 (b) -</v>
      </c>
      <c r="I4413" s="6" t="str">
        <f>"2307"</f>
        <v>2307</v>
      </c>
      <c r="J4413" s="6" t="str">
        <f>"VERMELHO 2307"</f>
        <v>VERMELHO 2307</v>
      </c>
      <c r="K4413" s="6" t="str">
        <f>"2020"</f>
        <v>2020</v>
      </c>
      <c r="L4413" s="6" t="str">
        <f>"Lençóis"</f>
        <v>Lençóis</v>
      </c>
      <c r="M4413" s="6" t="str">
        <f>"100x150"</f>
        <v>100x150</v>
      </c>
      <c r="N4413" s="6" t="str">
        <f>"5602972754568"</f>
        <v>5602972754568</v>
      </c>
      <c r="O4413" s="8">
        <v>30</v>
      </c>
      <c r="P4413" s="7">
        <v>45965</v>
      </c>
      <c r="R4413" s="8">
        <v>0</v>
      </c>
      <c r="U4413" s="8">
        <v>0</v>
      </c>
      <c r="X4413" s="8">
        <v>0</v>
      </c>
      <c r="Z4413" s="8">
        <v>0</v>
      </c>
      <c r="AC4413" s="8">
        <v>29</v>
      </c>
      <c r="AE4413" s="7">
        <v>45972</v>
      </c>
      <c r="AF4413" s="8">
        <v>29</v>
      </c>
      <c r="AH4413" s="7">
        <v>45989</v>
      </c>
      <c r="AN4413" s="8">
        <v>29</v>
      </c>
      <c r="AO4413" s="8">
        <v>1</v>
      </c>
    </row>
    <row r="4414" spans="1:41" x14ac:dyDescent="0.25">
      <c r="A4414" s="6" t="str">
        <f t="shared" si="1139"/>
        <v>525-2025000549</v>
      </c>
      <c r="B4414" s="6" t="str">
        <f t="shared" si="1138"/>
        <v>Lasa Int</v>
      </c>
      <c r="C4414" s="7">
        <v>45965</v>
      </c>
      <c r="D4414" s="7">
        <v>46031</v>
      </c>
      <c r="E4414" s="8">
        <v>5</v>
      </c>
      <c r="F4414" s="6" t="str">
        <f t="shared" si="1140"/>
        <v>Squares M</v>
      </c>
      <c r="G4414" s="6" t="str">
        <f t="shared" si="1141"/>
        <v>F100021455012620</v>
      </c>
      <c r="H4414" s="6" t="str">
        <f t="shared" si="1142"/>
        <v>FA 214 / 2620 (b) -</v>
      </c>
      <c r="I4414" s="6" t="str">
        <f>"2392"</f>
        <v>2392</v>
      </c>
      <c r="J4414" s="6" t="str">
        <f>"LARANJA 2392"</f>
        <v>LARANJA 2392</v>
      </c>
      <c r="K4414" s="6" t="str">
        <f>"0530"</f>
        <v>0530</v>
      </c>
      <c r="L4414" s="6" t="str">
        <f>"Toalhetes"</f>
        <v>Toalhetes</v>
      </c>
      <c r="M4414" s="6" t="str">
        <f>"33x50"</f>
        <v>33x50</v>
      </c>
      <c r="N4414" s="6" t="str">
        <f>"5602972754452"</f>
        <v>5602972754452</v>
      </c>
      <c r="O4414" s="8">
        <v>18</v>
      </c>
      <c r="P4414" s="7">
        <v>45965</v>
      </c>
      <c r="R4414" s="8">
        <v>0</v>
      </c>
      <c r="U4414" s="8">
        <v>0</v>
      </c>
      <c r="X4414" s="8">
        <v>0</v>
      </c>
      <c r="Z4414" s="8">
        <v>0</v>
      </c>
      <c r="AC4414" s="8">
        <v>18</v>
      </c>
      <c r="AE4414" s="7">
        <v>45972</v>
      </c>
      <c r="AF4414" s="8">
        <v>18</v>
      </c>
      <c r="AH4414" s="7">
        <v>45989</v>
      </c>
      <c r="AN4414" s="8">
        <v>18</v>
      </c>
      <c r="AO4414" s="8">
        <v>0</v>
      </c>
    </row>
    <row r="4415" spans="1:41" x14ac:dyDescent="0.25">
      <c r="A4415" s="6" t="str">
        <f t="shared" si="1139"/>
        <v>525-2025000549</v>
      </c>
      <c r="B4415" s="6" t="str">
        <f t="shared" si="1138"/>
        <v>Lasa Int</v>
      </c>
      <c r="C4415" s="7">
        <v>45965</v>
      </c>
      <c r="D4415" s="7">
        <v>46031</v>
      </c>
      <c r="E4415" s="8">
        <v>6</v>
      </c>
      <c r="F4415" s="6" t="str">
        <f t="shared" si="1140"/>
        <v>Squares M</v>
      </c>
      <c r="G4415" s="6" t="str">
        <f t="shared" si="1141"/>
        <v>F100021455012620</v>
      </c>
      <c r="H4415" s="6" t="str">
        <f t="shared" si="1142"/>
        <v>FA 214 / 2620 (b) -</v>
      </c>
      <c r="I4415" s="6" t="str">
        <f>"2392"</f>
        <v>2392</v>
      </c>
      <c r="J4415" s="6" t="str">
        <f>"LARANJA 2392"</f>
        <v>LARANJA 2392</v>
      </c>
      <c r="K4415" s="6" t="str">
        <f>"1024"</f>
        <v>1024</v>
      </c>
      <c r="L4415" s="6" t="str">
        <f>"Toalhas"</f>
        <v>Toalhas</v>
      </c>
      <c r="M4415" s="6" t="str">
        <f>"50x100"</f>
        <v>50x100</v>
      </c>
      <c r="N4415" s="6" t="str">
        <f>"5602972754469"</f>
        <v>5602972754469</v>
      </c>
      <c r="O4415" s="8">
        <v>54</v>
      </c>
      <c r="P4415" s="7">
        <v>45965</v>
      </c>
      <c r="R4415" s="8">
        <v>0</v>
      </c>
      <c r="U4415" s="8">
        <v>0</v>
      </c>
      <c r="X4415" s="8">
        <v>0</v>
      </c>
      <c r="Z4415" s="8">
        <v>0</v>
      </c>
      <c r="AC4415" s="8">
        <v>54</v>
      </c>
      <c r="AE4415" s="7">
        <v>45972</v>
      </c>
      <c r="AF4415" s="8">
        <v>54</v>
      </c>
      <c r="AH4415" s="7">
        <v>45989</v>
      </c>
      <c r="AN4415" s="8">
        <v>54</v>
      </c>
      <c r="AO4415" s="8">
        <v>0</v>
      </c>
    </row>
    <row r="4416" spans="1:41" x14ac:dyDescent="0.25">
      <c r="A4416" s="6" t="str">
        <f t="shared" si="1139"/>
        <v>525-2025000549</v>
      </c>
      <c r="B4416" s="6" t="str">
        <f t="shared" si="1138"/>
        <v>Lasa Int</v>
      </c>
      <c r="C4416" s="7">
        <v>45965</v>
      </c>
      <c r="D4416" s="7">
        <v>46031</v>
      </c>
      <c r="E4416" s="8">
        <v>7</v>
      </c>
      <c r="F4416" s="6" t="str">
        <f t="shared" si="1140"/>
        <v>Squares M</v>
      </c>
      <c r="G4416" s="6" t="str">
        <f t="shared" si="1141"/>
        <v>F100021455012620</v>
      </c>
      <c r="H4416" s="6" t="str">
        <f t="shared" si="1142"/>
        <v>FA 214 / 2620 (b) -</v>
      </c>
      <c r="I4416" s="6" t="str">
        <f>"2392"</f>
        <v>2392</v>
      </c>
      <c r="J4416" s="6" t="str">
        <f>"LARANJA 2392"</f>
        <v>LARANJA 2392</v>
      </c>
      <c r="K4416" s="6" t="str">
        <f>"1535"</f>
        <v>1535</v>
      </c>
      <c r="L4416" s="6" t="str">
        <f>"Toalhões"</f>
        <v>Toalhões</v>
      </c>
      <c r="M4416" s="6" t="str">
        <f>"70x140"</f>
        <v>70x140</v>
      </c>
      <c r="N4416" s="6" t="str">
        <f>"5602972754476"</f>
        <v>5602972754476</v>
      </c>
      <c r="O4416" s="8">
        <v>54</v>
      </c>
      <c r="P4416" s="7">
        <v>45965</v>
      </c>
      <c r="R4416" s="8">
        <v>0</v>
      </c>
      <c r="U4416" s="8">
        <v>0</v>
      </c>
      <c r="X4416" s="8">
        <v>0</v>
      </c>
      <c r="Z4416" s="8">
        <v>0</v>
      </c>
      <c r="AC4416" s="8">
        <v>54</v>
      </c>
      <c r="AE4416" s="7">
        <v>45972</v>
      </c>
      <c r="AF4416" s="8">
        <v>54</v>
      </c>
      <c r="AH4416" s="7">
        <v>45989</v>
      </c>
      <c r="AN4416" s="8">
        <v>54</v>
      </c>
      <c r="AO4416" s="8">
        <v>0</v>
      </c>
    </row>
    <row r="4417" spans="1:41" x14ac:dyDescent="0.25">
      <c r="A4417" s="6" t="str">
        <f t="shared" si="1139"/>
        <v>525-2025000549</v>
      </c>
      <c r="B4417" s="6" t="str">
        <f t="shared" si="1138"/>
        <v>Lasa Int</v>
      </c>
      <c r="C4417" s="7">
        <v>45965</v>
      </c>
      <c r="D4417" s="7">
        <v>46031</v>
      </c>
      <c r="E4417" s="8">
        <v>8</v>
      </c>
      <c r="F4417" s="6" t="str">
        <f t="shared" si="1140"/>
        <v>Squares M</v>
      </c>
      <c r="G4417" s="6" t="str">
        <f t="shared" si="1141"/>
        <v>F100021455012620</v>
      </c>
      <c r="H4417" s="6" t="str">
        <f t="shared" si="1142"/>
        <v>FA 214 / 2620 (b) -</v>
      </c>
      <c r="I4417" s="6" t="str">
        <f>"2392"</f>
        <v>2392</v>
      </c>
      <c r="J4417" s="6" t="str">
        <f>"LARANJA 2392"</f>
        <v>LARANJA 2392</v>
      </c>
      <c r="K4417" s="6" t="str">
        <f>"2020"</f>
        <v>2020</v>
      </c>
      <c r="L4417" s="6" t="str">
        <f>"Lençóis"</f>
        <v>Lençóis</v>
      </c>
      <c r="M4417" s="6" t="str">
        <f>"100x150"</f>
        <v>100x150</v>
      </c>
      <c r="N4417" s="6" t="str">
        <f>"5602972754483"</f>
        <v>5602972754483</v>
      </c>
      <c r="O4417" s="8">
        <v>30</v>
      </c>
      <c r="P4417" s="7">
        <v>45965</v>
      </c>
      <c r="R4417" s="8">
        <v>0</v>
      </c>
      <c r="U4417" s="8">
        <v>0</v>
      </c>
      <c r="X4417" s="8">
        <v>0</v>
      </c>
      <c r="Z4417" s="8">
        <v>0</v>
      </c>
      <c r="AC4417" s="8">
        <v>30</v>
      </c>
      <c r="AE4417" s="7">
        <v>45972</v>
      </c>
      <c r="AF4417" s="8">
        <v>30</v>
      </c>
      <c r="AH4417" s="7">
        <v>45989</v>
      </c>
      <c r="AN4417" s="8">
        <v>30</v>
      </c>
      <c r="AO4417" s="8">
        <v>0</v>
      </c>
    </row>
    <row r="4418" spans="1:41" x14ac:dyDescent="0.25">
      <c r="A4418" s="6" t="str">
        <f t="shared" si="1139"/>
        <v>525-2025000549</v>
      </c>
      <c r="B4418" s="6" t="str">
        <f t="shared" si="1138"/>
        <v>Lasa Int</v>
      </c>
      <c r="C4418" s="7">
        <v>45965</v>
      </c>
      <c r="D4418" s="7">
        <v>46031</v>
      </c>
      <c r="E4418" s="8">
        <v>9</v>
      </c>
      <c r="F4418" s="6" t="str">
        <f t="shared" si="1140"/>
        <v>Squares M</v>
      </c>
      <c r="G4418" s="6" t="str">
        <f t="shared" si="1141"/>
        <v>F100021455012620</v>
      </c>
      <c r="H4418" s="6" t="str">
        <f t="shared" si="1142"/>
        <v>FA 214 / 2620 (b) -</v>
      </c>
      <c r="I4418" s="6" t="str">
        <f>"2610"</f>
        <v>2610</v>
      </c>
      <c r="J4418" s="6" t="str">
        <f>"BEGE 2610"</f>
        <v>BEGE 2610</v>
      </c>
      <c r="K4418" s="6" t="str">
        <f>"0530"</f>
        <v>0530</v>
      </c>
      <c r="L4418" s="6" t="str">
        <f>"Toalhetes"</f>
        <v>Toalhetes</v>
      </c>
      <c r="M4418" s="6" t="str">
        <f>"33x50"</f>
        <v>33x50</v>
      </c>
      <c r="N4418" s="6" t="str">
        <f>"5602972603460"</f>
        <v>5602972603460</v>
      </c>
      <c r="O4418" s="8">
        <v>18</v>
      </c>
      <c r="P4418" s="7">
        <v>45965</v>
      </c>
      <c r="R4418" s="8">
        <v>0</v>
      </c>
      <c r="U4418" s="8">
        <v>0</v>
      </c>
      <c r="X4418" s="8">
        <v>0</v>
      </c>
      <c r="Z4418" s="8">
        <v>0</v>
      </c>
      <c r="AC4418" s="8">
        <v>18</v>
      </c>
      <c r="AE4418" s="7">
        <v>45972</v>
      </c>
      <c r="AF4418" s="8">
        <v>18</v>
      </c>
      <c r="AH4418" s="7">
        <v>45989</v>
      </c>
      <c r="AN4418" s="8">
        <v>18</v>
      </c>
      <c r="AO4418" s="8">
        <v>0</v>
      </c>
    </row>
    <row r="4419" spans="1:41" x14ac:dyDescent="0.25">
      <c r="A4419" s="6" t="str">
        <f t="shared" si="1139"/>
        <v>525-2025000549</v>
      </c>
      <c r="B4419" s="6" t="str">
        <f t="shared" si="1138"/>
        <v>Lasa Int</v>
      </c>
      <c r="C4419" s="7">
        <v>45965</v>
      </c>
      <c r="D4419" s="7">
        <v>46031</v>
      </c>
      <c r="E4419" s="8">
        <v>10</v>
      </c>
      <c r="F4419" s="6" t="str">
        <f t="shared" si="1140"/>
        <v>Squares M</v>
      </c>
      <c r="G4419" s="6" t="str">
        <f t="shared" si="1141"/>
        <v>F100021455012620</v>
      </c>
      <c r="H4419" s="6" t="str">
        <f t="shared" si="1142"/>
        <v>FA 214 / 2620 (b) -</v>
      </c>
      <c r="I4419" s="6" t="str">
        <f>"2610"</f>
        <v>2610</v>
      </c>
      <c r="J4419" s="6" t="str">
        <f>"BEGE 2610"</f>
        <v>BEGE 2610</v>
      </c>
      <c r="K4419" s="6" t="str">
        <f>"1024"</f>
        <v>1024</v>
      </c>
      <c r="L4419" s="6" t="str">
        <f>"Toalhas"</f>
        <v>Toalhas</v>
      </c>
      <c r="M4419" s="6" t="str">
        <f>"50x100"</f>
        <v>50x100</v>
      </c>
      <c r="N4419" s="6" t="str">
        <f>"5602972603477"</f>
        <v>5602972603477</v>
      </c>
      <c r="O4419" s="8">
        <v>54</v>
      </c>
      <c r="P4419" s="7">
        <v>45965</v>
      </c>
      <c r="R4419" s="8">
        <v>0</v>
      </c>
      <c r="U4419" s="8">
        <v>0</v>
      </c>
      <c r="X4419" s="8">
        <v>0</v>
      </c>
      <c r="Z4419" s="8">
        <v>0</v>
      </c>
      <c r="AC4419" s="8">
        <v>52</v>
      </c>
      <c r="AE4419" s="7">
        <v>45972</v>
      </c>
      <c r="AF4419" s="8">
        <v>52</v>
      </c>
      <c r="AH4419" s="7">
        <v>45989</v>
      </c>
      <c r="AN4419" s="8">
        <v>52</v>
      </c>
      <c r="AO4419" s="8">
        <v>2</v>
      </c>
    </row>
    <row r="4420" spans="1:41" x14ac:dyDescent="0.25">
      <c r="A4420" s="6" t="str">
        <f t="shared" si="1139"/>
        <v>525-2025000549</v>
      </c>
      <c r="B4420" s="6" t="str">
        <f t="shared" si="1138"/>
        <v>Lasa Int</v>
      </c>
      <c r="C4420" s="7">
        <v>45965</v>
      </c>
      <c r="D4420" s="7">
        <v>46031</v>
      </c>
      <c r="E4420" s="8">
        <v>11</v>
      </c>
      <c r="F4420" s="6" t="str">
        <f t="shared" si="1140"/>
        <v>Squares M</v>
      </c>
      <c r="G4420" s="6" t="str">
        <f t="shared" si="1141"/>
        <v>F100021455012620</v>
      </c>
      <c r="H4420" s="6" t="str">
        <f t="shared" si="1142"/>
        <v>FA 214 / 2620 (b) -</v>
      </c>
      <c r="I4420" s="6" t="str">
        <f>"2610"</f>
        <v>2610</v>
      </c>
      <c r="J4420" s="6" t="str">
        <f>"BEGE 2610"</f>
        <v>BEGE 2610</v>
      </c>
      <c r="K4420" s="6" t="str">
        <f>"1535"</f>
        <v>1535</v>
      </c>
      <c r="L4420" s="6" t="str">
        <f>"Toalhões"</f>
        <v>Toalhões</v>
      </c>
      <c r="M4420" s="6" t="str">
        <f>"70x140"</f>
        <v>70x140</v>
      </c>
      <c r="N4420" s="6" t="str">
        <f>"5602972603484"</f>
        <v>5602972603484</v>
      </c>
      <c r="O4420" s="8">
        <v>54</v>
      </c>
      <c r="P4420" s="7">
        <v>45965</v>
      </c>
      <c r="R4420" s="8">
        <v>0</v>
      </c>
      <c r="U4420" s="8">
        <v>0</v>
      </c>
      <c r="X4420" s="8">
        <v>0</v>
      </c>
      <c r="Z4420" s="8">
        <v>0</v>
      </c>
      <c r="AC4420" s="8">
        <v>54</v>
      </c>
      <c r="AE4420" s="7">
        <v>45972</v>
      </c>
      <c r="AF4420" s="8">
        <v>54</v>
      </c>
      <c r="AH4420" s="7">
        <v>45989</v>
      </c>
      <c r="AN4420" s="8">
        <v>54</v>
      </c>
      <c r="AO4420" s="8">
        <v>0</v>
      </c>
    </row>
    <row r="4421" spans="1:41" x14ac:dyDescent="0.25">
      <c r="A4421" s="6" t="str">
        <f t="shared" si="1139"/>
        <v>525-2025000549</v>
      </c>
      <c r="B4421" s="6" t="str">
        <f t="shared" si="1138"/>
        <v>Lasa Int</v>
      </c>
      <c r="C4421" s="7">
        <v>45965</v>
      </c>
      <c r="D4421" s="7">
        <v>46031</v>
      </c>
      <c r="E4421" s="8">
        <v>12</v>
      </c>
      <c r="F4421" s="6" t="str">
        <f t="shared" si="1140"/>
        <v>Squares M</v>
      </c>
      <c r="G4421" s="6" t="str">
        <f t="shared" si="1141"/>
        <v>F100021455012620</v>
      </c>
      <c r="H4421" s="6" t="str">
        <f t="shared" si="1142"/>
        <v>FA 214 / 2620 (b) -</v>
      </c>
      <c r="I4421" s="6" t="str">
        <f>"2610"</f>
        <v>2610</v>
      </c>
      <c r="J4421" s="6" t="str">
        <f>"BEGE 2610"</f>
        <v>BEGE 2610</v>
      </c>
      <c r="K4421" s="6" t="str">
        <f>"2020"</f>
        <v>2020</v>
      </c>
      <c r="L4421" s="6" t="str">
        <f>"Lençóis"</f>
        <v>Lençóis</v>
      </c>
      <c r="M4421" s="6" t="str">
        <f>"100x150"</f>
        <v>100x150</v>
      </c>
      <c r="N4421" s="6" t="str">
        <f>"5602972603491"</f>
        <v>5602972603491</v>
      </c>
      <c r="O4421" s="8">
        <v>30</v>
      </c>
      <c r="P4421" s="7">
        <v>45965</v>
      </c>
      <c r="R4421" s="8">
        <v>0</v>
      </c>
      <c r="U4421" s="8">
        <v>0</v>
      </c>
      <c r="X4421" s="8">
        <v>0</v>
      </c>
      <c r="Z4421" s="8">
        <v>0</v>
      </c>
      <c r="AC4421" s="8">
        <v>30</v>
      </c>
      <c r="AE4421" s="7">
        <v>45972</v>
      </c>
      <c r="AF4421" s="8">
        <v>30</v>
      </c>
      <c r="AH4421" s="7">
        <v>45989</v>
      </c>
      <c r="AN4421" s="8">
        <v>30</v>
      </c>
      <c r="AO4421" s="8">
        <v>0</v>
      </c>
    </row>
    <row r="4422" spans="1:41" x14ac:dyDescent="0.25">
      <c r="A4422" s="6" t="str">
        <f t="shared" si="1139"/>
        <v>525-2025000549</v>
      </c>
      <c r="B4422" s="6" t="str">
        <f t="shared" si="1138"/>
        <v>Lasa Int</v>
      </c>
      <c r="C4422" s="7">
        <v>45965</v>
      </c>
      <c r="D4422" s="7">
        <v>46031</v>
      </c>
      <c r="E4422" s="8">
        <v>13</v>
      </c>
      <c r="F4422" s="6" t="str">
        <f t="shared" si="1140"/>
        <v>Squares M</v>
      </c>
      <c r="G4422" s="6" t="str">
        <f t="shared" si="1141"/>
        <v>F100021455012620</v>
      </c>
      <c r="H4422" s="6" t="str">
        <f t="shared" si="1142"/>
        <v>FA 214 / 2620 (b) -</v>
      </c>
      <c r="I4422" s="6" t="str">
        <f>"4383"</f>
        <v>4383</v>
      </c>
      <c r="J4422" s="6" t="str">
        <f>"AZUL 4383"</f>
        <v>AZUL 4383</v>
      </c>
      <c r="K4422" s="6" t="str">
        <f>"0530"</f>
        <v>0530</v>
      </c>
      <c r="L4422" s="6" t="str">
        <f>"Toalhetes"</f>
        <v>Toalhetes</v>
      </c>
      <c r="M4422" s="6" t="str">
        <f>"33x50"</f>
        <v>33x50</v>
      </c>
      <c r="N4422" s="6" t="str">
        <f>"5602972521092"</f>
        <v>5602972521092</v>
      </c>
      <c r="O4422" s="8">
        <v>18</v>
      </c>
      <c r="P4422" s="7">
        <v>45965</v>
      </c>
      <c r="R4422" s="8">
        <v>0</v>
      </c>
      <c r="U4422" s="8">
        <v>0</v>
      </c>
      <c r="X4422" s="8">
        <v>0</v>
      </c>
      <c r="Z4422" s="8">
        <v>0</v>
      </c>
      <c r="AC4422" s="8">
        <v>18</v>
      </c>
      <c r="AE4422" s="7">
        <v>45972</v>
      </c>
      <c r="AF4422" s="8">
        <v>18</v>
      </c>
      <c r="AH4422" s="7">
        <v>45989</v>
      </c>
      <c r="AN4422" s="8">
        <v>18</v>
      </c>
      <c r="AO4422" s="8">
        <v>0</v>
      </c>
    </row>
    <row r="4423" spans="1:41" x14ac:dyDescent="0.25">
      <c r="A4423" s="6" t="str">
        <f t="shared" si="1139"/>
        <v>525-2025000549</v>
      </c>
      <c r="B4423" s="6" t="str">
        <f t="shared" si="1138"/>
        <v>Lasa Int</v>
      </c>
      <c r="C4423" s="7">
        <v>45965</v>
      </c>
      <c r="D4423" s="7">
        <v>46031</v>
      </c>
      <c r="E4423" s="8">
        <v>14</v>
      </c>
      <c r="F4423" s="6" t="str">
        <f t="shared" si="1140"/>
        <v>Squares M</v>
      </c>
      <c r="G4423" s="6" t="str">
        <f t="shared" si="1141"/>
        <v>F100021455012620</v>
      </c>
      <c r="H4423" s="6" t="str">
        <f t="shared" si="1142"/>
        <v>FA 214 / 2620 (b) -</v>
      </c>
      <c r="I4423" s="6" t="str">
        <f>"4383"</f>
        <v>4383</v>
      </c>
      <c r="J4423" s="6" t="str">
        <f>"AZUL 4383"</f>
        <v>AZUL 4383</v>
      </c>
      <c r="K4423" s="6" t="str">
        <f>"1024"</f>
        <v>1024</v>
      </c>
      <c r="L4423" s="6" t="str">
        <f>"Toalhas"</f>
        <v>Toalhas</v>
      </c>
      <c r="M4423" s="6" t="str">
        <f>"50x100"</f>
        <v>50x100</v>
      </c>
      <c r="N4423" s="6" t="str">
        <f>"5602972521108"</f>
        <v>5602972521108</v>
      </c>
      <c r="O4423" s="8">
        <v>54</v>
      </c>
      <c r="P4423" s="7">
        <v>45965</v>
      </c>
      <c r="R4423" s="8">
        <v>0</v>
      </c>
      <c r="U4423" s="8">
        <v>0</v>
      </c>
      <c r="X4423" s="8">
        <v>0</v>
      </c>
      <c r="Z4423" s="8">
        <v>0</v>
      </c>
      <c r="AC4423" s="8">
        <v>54</v>
      </c>
      <c r="AE4423" s="7">
        <v>45972</v>
      </c>
      <c r="AF4423" s="8">
        <v>54</v>
      </c>
      <c r="AH4423" s="7">
        <v>45989</v>
      </c>
      <c r="AN4423" s="8">
        <v>54</v>
      </c>
      <c r="AO4423" s="8">
        <v>0</v>
      </c>
    </row>
    <row r="4424" spans="1:41" x14ac:dyDescent="0.25">
      <c r="A4424" s="6" t="str">
        <f t="shared" si="1139"/>
        <v>525-2025000549</v>
      </c>
      <c r="B4424" s="6" t="str">
        <f t="shared" si="1138"/>
        <v>Lasa Int</v>
      </c>
      <c r="C4424" s="7">
        <v>45965</v>
      </c>
      <c r="D4424" s="7">
        <v>46031</v>
      </c>
      <c r="E4424" s="8">
        <v>15</v>
      </c>
      <c r="F4424" s="6" t="str">
        <f t="shared" si="1140"/>
        <v>Squares M</v>
      </c>
      <c r="G4424" s="6" t="str">
        <f t="shared" si="1141"/>
        <v>F100021455012620</v>
      </c>
      <c r="H4424" s="6" t="str">
        <f t="shared" si="1142"/>
        <v>FA 214 / 2620 (b) -</v>
      </c>
      <c r="I4424" s="6" t="str">
        <f>"4383"</f>
        <v>4383</v>
      </c>
      <c r="J4424" s="6" t="str">
        <f>"AZUL 4383"</f>
        <v>AZUL 4383</v>
      </c>
      <c r="K4424" s="6" t="str">
        <f>"1535"</f>
        <v>1535</v>
      </c>
      <c r="L4424" s="6" t="str">
        <f>"Toalhões"</f>
        <v>Toalhões</v>
      </c>
      <c r="M4424" s="6" t="str">
        <f>"70x140"</f>
        <v>70x140</v>
      </c>
      <c r="N4424" s="6" t="str">
        <f>"5602972521115"</f>
        <v>5602972521115</v>
      </c>
      <c r="O4424" s="8">
        <v>54</v>
      </c>
      <c r="P4424" s="7">
        <v>45965</v>
      </c>
      <c r="R4424" s="8">
        <v>0</v>
      </c>
      <c r="U4424" s="8">
        <v>0</v>
      </c>
      <c r="X4424" s="8">
        <v>0</v>
      </c>
      <c r="Z4424" s="8">
        <v>0</v>
      </c>
      <c r="AC4424" s="8">
        <v>54</v>
      </c>
      <c r="AE4424" s="7">
        <v>45972</v>
      </c>
      <c r="AF4424" s="8">
        <v>54</v>
      </c>
      <c r="AH4424" s="7">
        <v>45989</v>
      </c>
      <c r="AN4424" s="8">
        <v>54</v>
      </c>
      <c r="AO4424" s="8">
        <v>0</v>
      </c>
    </row>
    <row r="4425" spans="1:41" x14ac:dyDescent="0.25">
      <c r="A4425" s="6" t="str">
        <f t="shared" si="1139"/>
        <v>525-2025000549</v>
      </c>
      <c r="B4425" s="6" t="str">
        <f t="shared" si="1138"/>
        <v>Lasa Int</v>
      </c>
      <c r="C4425" s="7">
        <v>45965</v>
      </c>
      <c r="D4425" s="7">
        <v>46031</v>
      </c>
      <c r="E4425" s="8">
        <v>16</v>
      </c>
      <c r="F4425" s="6" t="str">
        <f t="shared" si="1140"/>
        <v>Squares M</v>
      </c>
      <c r="G4425" s="6" t="str">
        <f t="shared" si="1141"/>
        <v>F100021455012620</v>
      </c>
      <c r="H4425" s="6" t="str">
        <f t="shared" si="1142"/>
        <v>FA 214 / 2620 (b) -</v>
      </c>
      <c r="I4425" s="6" t="str">
        <f>"4383"</f>
        <v>4383</v>
      </c>
      <c r="J4425" s="6" t="str">
        <f>"AZUL 4383"</f>
        <v>AZUL 4383</v>
      </c>
      <c r="K4425" s="6" t="str">
        <f>"2020"</f>
        <v>2020</v>
      </c>
      <c r="L4425" s="6" t="str">
        <f>"Lençóis"</f>
        <v>Lençóis</v>
      </c>
      <c r="M4425" s="6" t="str">
        <f>"100x150"</f>
        <v>100x150</v>
      </c>
      <c r="N4425" s="6" t="str">
        <f>"5602972521122"</f>
        <v>5602972521122</v>
      </c>
      <c r="O4425" s="8">
        <v>30</v>
      </c>
      <c r="P4425" s="7">
        <v>45965</v>
      </c>
      <c r="R4425" s="8">
        <v>0</v>
      </c>
      <c r="U4425" s="8">
        <v>0</v>
      </c>
      <c r="X4425" s="8">
        <v>0</v>
      </c>
      <c r="Z4425" s="8">
        <v>0</v>
      </c>
      <c r="AC4425" s="8">
        <v>30</v>
      </c>
      <c r="AE4425" s="7">
        <v>45972</v>
      </c>
      <c r="AF4425" s="8">
        <v>30</v>
      </c>
      <c r="AH4425" s="7">
        <v>45989</v>
      </c>
      <c r="AN4425" s="8">
        <v>30</v>
      </c>
      <c r="AO4425" s="8">
        <v>0</v>
      </c>
    </row>
    <row r="4426" spans="1:41" x14ac:dyDescent="0.25">
      <c r="A4426" s="6" t="str">
        <f t="shared" si="1139"/>
        <v>525-2025000549</v>
      </c>
      <c r="B4426" s="6" t="str">
        <f t="shared" si="1138"/>
        <v>Lasa Int</v>
      </c>
      <c r="C4426" s="7">
        <v>45965</v>
      </c>
      <c r="D4426" s="7">
        <v>46031</v>
      </c>
      <c r="E4426" s="8">
        <v>17</v>
      </c>
      <c r="F4426" s="6" t="str">
        <f t="shared" si="1140"/>
        <v>Squares M</v>
      </c>
      <c r="G4426" s="6" t="str">
        <f t="shared" si="1141"/>
        <v>F100021455012620</v>
      </c>
      <c r="H4426" s="6" t="str">
        <f t="shared" si="1142"/>
        <v>FA 214 / 2620 (b) -</v>
      </c>
      <c r="I4426" s="6" t="str">
        <f>"5149"</f>
        <v>5149</v>
      </c>
      <c r="J4426" s="6" t="str">
        <f>"VERDE 5149"</f>
        <v>VERDE 5149</v>
      </c>
      <c r="K4426" s="6" t="str">
        <f>"0530"</f>
        <v>0530</v>
      </c>
      <c r="L4426" s="6" t="str">
        <f>"Toalhetes"</f>
        <v>Toalhetes</v>
      </c>
      <c r="M4426" s="6" t="str">
        <f>"33x50"</f>
        <v>33x50</v>
      </c>
      <c r="N4426" s="6" t="str">
        <f>"5602972521139"</f>
        <v>5602972521139</v>
      </c>
      <c r="O4426" s="8">
        <v>18</v>
      </c>
      <c r="P4426" s="7">
        <v>45965</v>
      </c>
      <c r="R4426" s="8">
        <v>0</v>
      </c>
      <c r="U4426" s="8">
        <v>0</v>
      </c>
      <c r="X4426" s="8">
        <v>0</v>
      </c>
      <c r="Z4426" s="8">
        <v>0</v>
      </c>
      <c r="AC4426" s="8">
        <v>18</v>
      </c>
      <c r="AE4426" s="7">
        <v>45972</v>
      </c>
      <c r="AF4426" s="8">
        <v>18</v>
      </c>
      <c r="AH4426" s="7">
        <v>45989</v>
      </c>
      <c r="AN4426" s="8">
        <v>18</v>
      </c>
      <c r="AO4426" s="8">
        <v>0</v>
      </c>
    </row>
    <row r="4427" spans="1:41" x14ac:dyDescent="0.25">
      <c r="A4427" s="6" t="str">
        <f t="shared" si="1139"/>
        <v>525-2025000549</v>
      </c>
      <c r="B4427" s="6" t="str">
        <f t="shared" si="1138"/>
        <v>Lasa Int</v>
      </c>
      <c r="C4427" s="7">
        <v>45965</v>
      </c>
      <c r="D4427" s="7">
        <v>46031</v>
      </c>
      <c r="E4427" s="8">
        <v>18</v>
      </c>
      <c r="F4427" s="6" t="str">
        <f t="shared" si="1140"/>
        <v>Squares M</v>
      </c>
      <c r="G4427" s="6" t="str">
        <f t="shared" si="1141"/>
        <v>F100021455012620</v>
      </c>
      <c r="H4427" s="6" t="str">
        <f t="shared" si="1142"/>
        <v>FA 214 / 2620 (b) -</v>
      </c>
      <c r="I4427" s="6" t="str">
        <f>"5149"</f>
        <v>5149</v>
      </c>
      <c r="J4427" s="6" t="str">
        <f>"VERDE 5149"</f>
        <v>VERDE 5149</v>
      </c>
      <c r="K4427" s="6" t="str">
        <f>"1024"</f>
        <v>1024</v>
      </c>
      <c r="L4427" s="6" t="str">
        <f>"Toalhas"</f>
        <v>Toalhas</v>
      </c>
      <c r="M4427" s="6" t="str">
        <f>"50x100"</f>
        <v>50x100</v>
      </c>
      <c r="N4427" s="6" t="str">
        <f>"5602972521146"</f>
        <v>5602972521146</v>
      </c>
      <c r="O4427" s="8">
        <v>54</v>
      </c>
      <c r="P4427" s="7">
        <v>45965</v>
      </c>
      <c r="R4427" s="8">
        <v>0</v>
      </c>
      <c r="U4427" s="8">
        <v>0</v>
      </c>
      <c r="X4427" s="8">
        <v>0</v>
      </c>
      <c r="Z4427" s="8">
        <v>0</v>
      </c>
      <c r="AC4427" s="8">
        <v>54</v>
      </c>
      <c r="AE4427" s="7">
        <v>45972</v>
      </c>
      <c r="AF4427" s="8">
        <v>54</v>
      </c>
      <c r="AH4427" s="7">
        <v>45989</v>
      </c>
      <c r="AN4427" s="8">
        <v>54</v>
      </c>
      <c r="AO4427" s="8">
        <v>0</v>
      </c>
    </row>
    <row r="4428" spans="1:41" x14ac:dyDescent="0.25">
      <c r="A4428" s="6" t="str">
        <f t="shared" si="1139"/>
        <v>525-2025000549</v>
      </c>
      <c r="B4428" s="6" t="str">
        <f t="shared" si="1138"/>
        <v>Lasa Int</v>
      </c>
      <c r="C4428" s="7">
        <v>45965</v>
      </c>
      <c r="D4428" s="7">
        <v>46031</v>
      </c>
      <c r="E4428" s="8">
        <v>19</v>
      </c>
      <c r="F4428" s="6" t="str">
        <f t="shared" si="1140"/>
        <v>Squares M</v>
      </c>
      <c r="G4428" s="6" t="str">
        <f t="shared" si="1141"/>
        <v>F100021455012620</v>
      </c>
      <c r="H4428" s="6" t="str">
        <f t="shared" si="1142"/>
        <v>FA 214 / 2620 (b) -</v>
      </c>
      <c r="I4428" s="6" t="str">
        <f>"5149"</f>
        <v>5149</v>
      </c>
      <c r="J4428" s="6" t="str">
        <f>"VERDE 5149"</f>
        <v>VERDE 5149</v>
      </c>
      <c r="K4428" s="6" t="str">
        <f>"1535"</f>
        <v>1535</v>
      </c>
      <c r="L4428" s="6" t="str">
        <f>"Toalhões"</f>
        <v>Toalhões</v>
      </c>
      <c r="M4428" s="6" t="str">
        <f>"70x140"</f>
        <v>70x140</v>
      </c>
      <c r="N4428" s="6" t="str">
        <f>"5602972521153"</f>
        <v>5602972521153</v>
      </c>
      <c r="O4428" s="8">
        <v>54</v>
      </c>
      <c r="P4428" s="7">
        <v>45965</v>
      </c>
      <c r="R4428" s="8">
        <v>0</v>
      </c>
      <c r="U4428" s="8">
        <v>0</v>
      </c>
      <c r="X4428" s="8">
        <v>0</v>
      </c>
      <c r="Z4428" s="8">
        <v>0</v>
      </c>
      <c r="AC4428" s="8">
        <v>54</v>
      </c>
      <c r="AE4428" s="7">
        <v>45972</v>
      </c>
      <c r="AF4428" s="8">
        <v>54</v>
      </c>
      <c r="AH4428" s="7">
        <v>45989</v>
      </c>
      <c r="AN4428" s="8">
        <v>54</v>
      </c>
      <c r="AO4428" s="8">
        <v>0</v>
      </c>
    </row>
    <row r="4429" spans="1:41" x14ac:dyDescent="0.25">
      <c r="A4429" s="6" t="str">
        <f t="shared" si="1139"/>
        <v>525-2025000549</v>
      </c>
      <c r="B4429" s="6" t="str">
        <f t="shared" si="1138"/>
        <v>Lasa Int</v>
      </c>
      <c r="C4429" s="7">
        <v>45965</v>
      </c>
      <c r="D4429" s="7">
        <v>46031</v>
      </c>
      <c r="E4429" s="8">
        <v>20</v>
      </c>
      <c r="F4429" s="6" t="str">
        <f t="shared" si="1140"/>
        <v>Squares M</v>
      </c>
      <c r="G4429" s="6" t="str">
        <f t="shared" si="1141"/>
        <v>F100021455012620</v>
      </c>
      <c r="H4429" s="6" t="str">
        <f t="shared" si="1142"/>
        <v>FA 214 / 2620 (b) -</v>
      </c>
      <c r="I4429" s="6" t="str">
        <f>"5149"</f>
        <v>5149</v>
      </c>
      <c r="J4429" s="6" t="str">
        <f>"VERDE 5149"</f>
        <v>VERDE 5149</v>
      </c>
      <c r="K4429" s="6" t="str">
        <f>"2020"</f>
        <v>2020</v>
      </c>
      <c r="L4429" s="6" t="str">
        <f>"Lençóis"</f>
        <v>Lençóis</v>
      </c>
      <c r="M4429" s="6" t="str">
        <f>"100x150"</f>
        <v>100x150</v>
      </c>
      <c r="N4429" s="6" t="str">
        <f>"5602972521160"</f>
        <v>5602972521160</v>
      </c>
      <c r="O4429" s="8">
        <v>30</v>
      </c>
      <c r="P4429" s="7">
        <v>45965</v>
      </c>
      <c r="R4429" s="8">
        <v>0</v>
      </c>
      <c r="U4429" s="8">
        <v>0</v>
      </c>
      <c r="X4429" s="8">
        <v>0</v>
      </c>
      <c r="Z4429" s="8">
        <v>0</v>
      </c>
      <c r="AC4429" s="8">
        <v>30</v>
      </c>
      <c r="AE4429" s="7">
        <v>45972</v>
      </c>
      <c r="AF4429" s="8">
        <v>30</v>
      </c>
      <c r="AH4429" s="7">
        <v>45989</v>
      </c>
      <c r="AN4429" s="8">
        <v>30</v>
      </c>
      <c r="AO4429" s="8">
        <v>0</v>
      </c>
    </row>
    <row r="4430" spans="1:41" x14ac:dyDescent="0.25">
      <c r="A4430" s="6" t="str">
        <f t="shared" si="1139"/>
        <v>525-2025000549</v>
      </c>
      <c r="B4430" s="6" t="str">
        <f t="shared" si="1138"/>
        <v>Lasa Int</v>
      </c>
      <c r="C4430" s="7">
        <v>45965</v>
      </c>
      <c r="D4430" s="7">
        <v>46031</v>
      </c>
      <c r="E4430" s="8">
        <v>21</v>
      </c>
      <c r="F4430" s="6" t="str">
        <f t="shared" si="1140"/>
        <v>Squares M</v>
      </c>
      <c r="G4430" s="6" t="str">
        <f t="shared" si="1141"/>
        <v>F100021455012620</v>
      </c>
      <c r="H4430" s="6" t="str">
        <f t="shared" si="1142"/>
        <v>FA 214 / 2620 (b) -</v>
      </c>
      <c r="I4430" s="6" t="str">
        <f>"5419"</f>
        <v>5419</v>
      </c>
      <c r="J4430" s="6" t="str">
        <f>"ROSA 5419"</f>
        <v>ROSA 5419</v>
      </c>
      <c r="K4430" s="6" t="str">
        <f>"0530"</f>
        <v>0530</v>
      </c>
      <c r="L4430" s="6" t="str">
        <f>"Toalhetes"</f>
        <v>Toalhetes</v>
      </c>
      <c r="M4430" s="6" t="str">
        <f>"33x50"</f>
        <v>33x50</v>
      </c>
      <c r="N4430" s="6" t="str">
        <f>"5602972521054"</f>
        <v>5602972521054</v>
      </c>
      <c r="O4430" s="8">
        <v>18</v>
      </c>
      <c r="P4430" s="7">
        <v>45965</v>
      </c>
      <c r="R4430" s="8">
        <v>0</v>
      </c>
      <c r="U4430" s="8">
        <v>0</v>
      </c>
      <c r="X4430" s="8">
        <v>0</v>
      </c>
      <c r="Z4430" s="8">
        <v>0</v>
      </c>
      <c r="AC4430" s="8">
        <v>18</v>
      </c>
      <c r="AE4430" s="7">
        <v>45972</v>
      </c>
      <c r="AF4430" s="8">
        <v>18</v>
      </c>
      <c r="AH4430" s="7">
        <v>45989</v>
      </c>
      <c r="AN4430" s="8">
        <v>18</v>
      </c>
      <c r="AO4430" s="8">
        <v>0</v>
      </c>
    </row>
    <row r="4431" spans="1:41" x14ac:dyDescent="0.25">
      <c r="A4431" s="6" t="str">
        <f t="shared" si="1139"/>
        <v>525-2025000549</v>
      </c>
      <c r="B4431" s="6" t="str">
        <f t="shared" si="1138"/>
        <v>Lasa Int</v>
      </c>
      <c r="C4431" s="7">
        <v>45965</v>
      </c>
      <c r="D4431" s="7">
        <v>46031</v>
      </c>
      <c r="E4431" s="8">
        <v>22</v>
      </c>
      <c r="F4431" s="6" t="str">
        <f t="shared" si="1140"/>
        <v>Squares M</v>
      </c>
      <c r="G4431" s="6" t="str">
        <f t="shared" si="1141"/>
        <v>F100021455012620</v>
      </c>
      <c r="H4431" s="6" t="str">
        <f t="shared" si="1142"/>
        <v>FA 214 / 2620 (b) -</v>
      </c>
      <c r="I4431" s="6" t="str">
        <f>"5419"</f>
        <v>5419</v>
      </c>
      <c r="J4431" s="6" t="str">
        <f>"ROSA 5419"</f>
        <v>ROSA 5419</v>
      </c>
      <c r="K4431" s="6" t="str">
        <f>"1024"</f>
        <v>1024</v>
      </c>
      <c r="L4431" s="6" t="str">
        <f>"Toalhas"</f>
        <v>Toalhas</v>
      </c>
      <c r="M4431" s="6" t="str">
        <f>"50x100"</f>
        <v>50x100</v>
      </c>
      <c r="N4431" s="6" t="str">
        <f>"5602972521061"</f>
        <v>5602972521061</v>
      </c>
      <c r="O4431" s="8">
        <v>54</v>
      </c>
      <c r="P4431" s="7">
        <v>45965</v>
      </c>
      <c r="R4431" s="8">
        <v>0</v>
      </c>
      <c r="U4431" s="8">
        <v>0</v>
      </c>
      <c r="X4431" s="8">
        <v>0</v>
      </c>
      <c r="Z4431" s="8">
        <v>0</v>
      </c>
      <c r="AC4431" s="8">
        <v>54</v>
      </c>
      <c r="AE4431" s="7">
        <v>45972</v>
      </c>
      <c r="AF4431" s="8">
        <v>54</v>
      </c>
      <c r="AH4431" s="7">
        <v>45989</v>
      </c>
      <c r="AN4431" s="8">
        <v>54</v>
      </c>
      <c r="AO4431" s="8">
        <v>0</v>
      </c>
    </row>
    <row r="4432" spans="1:41" x14ac:dyDescent="0.25">
      <c r="A4432" s="6" t="str">
        <f t="shared" si="1139"/>
        <v>525-2025000549</v>
      </c>
      <c r="B4432" s="6" t="str">
        <f t="shared" si="1138"/>
        <v>Lasa Int</v>
      </c>
      <c r="C4432" s="7">
        <v>45965</v>
      </c>
      <c r="D4432" s="7">
        <v>46031</v>
      </c>
      <c r="E4432" s="8">
        <v>23</v>
      </c>
      <c r="F4432" s="6" t="str">
        <f t="shared" si="1140"/>
        <v>Squares M</v>
      </c>
      <c r="G4432" s="6" t="str">
        <f t="shared" si="1141"/>
        <v>F100021455012620</v>
      </c>
      <c r="H4432" s="6" t="str">
        <f t="shared" si="1142"/>
        <v>FA 214 / 2620 (b) -</v>
      </c>
      <c r="I4432" s="6" t="str">
        <f>"5419"</f>
        <v>5419</v>
      </c>
      <c r="J4432" s="6" t="str">
        <f>"ROSA 5419"</f>
        <v>ROSA 5419</v>
      </c>
      <c r="K4432" s="6" t="str">
        <f>"1535"</f>
        <v>1535</v>
      </c>
      <c r="L4432" s="6" t="str">
        <f>"Toalhões"</f>
        <v>Toalhões</v>
      </c>
      <c r="M4432" s="6" t="str">
        <f>"70x140"</f>
        <v>70x140</v>
      </c>
      <c r="N4432" s="6" t="str">
        <f>"5602972521078"</f>
        <v>5602972521078</v>
      </c>
      <c r="O4432" s="8">
        <v>54</v>
      </c>
      <c r="P4432" s="7">
        <v>45965</v>
      </c>
      <c r="R4432" s="8">
        <v>0</v>
      </c>
      <c r="U4432" s="8">
        <v>0</v>
      </c>
      <c r="X4432" s="8">
        <v>0</v>
      </c>
      <c r="Z4432" s="8">
        <v>0</v>
      </c>
      <c r="AC4432" s="8">
        <v>54</v>
      </c>
      <c r="AE4432" s="7">
        <v>45972</v>
      </c>
      <c r="AF4432" s="8">
        <v>54</v>
      </c>
      <c r="AH4432" s="7">
        <v>45989</v>
      </c>
      <c r="AN4432" s="8">
        <v>54</v>
      </c>
      <c r="AO4432" s="8">
        <v>0</v>
      </c>
    </row>
    <row r="4433" spans="1:41" x14ac:dyDescent="0.25">
      <c r="A4433" s="6" t="str">
        <f t="shared" si="1139"/>
        <v>525-2025000549</v>
      </c>
      <c r="B4433" s="6" t="str">
        <f t="shared" si="1138"/>
        <v>Lasa Int</v>
      </c>
      <c r="C4433" s="7">
        <v>45965</v>
      </c>
      <c r="D4433" s="7">
        <v>46031</v>
      </c>
      <c r="E4433" s="8">
        <v>24</v>
      </c>
      <c r="F4433" s="6" t="str">
        <f t="shared" si="1140"/>
        <v>Squares M</v>
      </c>
      <c r="G4433" s="6" t="str">
        <f t="shared" si="1141"/>
        <v>F100021455012620</v>
      </c>
      <c r="H4433" s="6" t="str">
        <f t="shared" si="1142"/>
        <v>FA 214 / 2620 (b) -</v>
      </c>
      <c r="I4433" s="6" t="str">
        <f>"5419"</f>
        <v>5419</v>
      </c>
      <c r="J4433" s="6" t="str">
        <f>"ROSA 5419"</f>
        <v>ROSA 5419</v>
      </c>
      <c r="K4433" s="6" t="str">
        <f>"2020"</f>
        <v>2020</v>
      </c>
      <c r="L4433" s="6" t="str">
        <f>"Lençóis"</f>
        <v>Lençóis</v>
      </c>
      <c r="M4433" s="6" t="str">
        <f>"100x150"</f>
        <v>100x150</v>
      </c>
      <c r="N4433" s="6" t="str">
        <f>"5602972521085"</f>
        <v>5602972521085</v>
      </c>
      <c r="O4433" s="8">
        <v>30</v>
      </c>
      <c r="P4433" s="7">
        <v>45965</v>
      </c>
      <c r="R4433" s="8">
        <v>0</v>
      </c>
      <c r="U4433" s="8">
        <v>0</v>
      </c>
      <c r="X4433" s="8">
        <v>0</v>
      </c>
      <c r="Z4433" s="8">
        <v>0</v>
      </c>
      <c r="AC4433" s="8">
        <v>30</v>
      </c>
      <c r="AE4433" s="7">
        <v>45972</v>
      </c>
      <c r="AF4433" s="8">
        <v>30</v>
      </c>
      <c r="AH4433" s="7">
        <v>45989</v>
      </c>
      <c r="AN4433" s="8">
        <v>30</v>
      </c>
      <c r="AO4433" s="8">
        <v>0</v>
      </c>
    </row>
    <row r="4434" spans="1:41" x14ac:dyDescent="0.25">
      <c r="A4434" s="6" t="str">
        <f t="shared" si="1139"/>
        <v>525-2025000549</v>
      </c>
      <c r="B4434" s="6" t="str">
        <f t="shared" si="1138"/>
        <v>Lasa Int</v>
      </c>
      <c r="C4434" s="7">
        <v>45965</v>
      </c>
      <c r="D4434" s="7">
        <v>46031</v>
      </c>
      <c r="E4434" s="8">
        <v>25</v>
      </c>
      <c r="F4434" s="6" t="str">
        <f t="shared" si="1140"/>
        <v>Squares M</v>
      </c>
      <c r="G4434" s="6" t="str">
        <f t="shared" si="1141"/>
        <v>F100021455012620</v>
      </c>
      <c r="H4434" s="6" t="str">
        <f t="shared" si="1142"/>
        <v>FA 214 / 2620 (b) -</v>
      </c>
      <c r="I4434" s="6" t="str">
        <f>"5867"</f>
        <v>5867</v>
      </c>
      <c r="J4434" s="6" t="str">
        <f>"VERDE 5867"</f>
        <v>VERDE 5867</v>
      </c>
      <c r="K4434" s="6" t="str">
        <f>"0530"</f>
        <v>0530</v>
      </c>
      <c r="L4434" s="6" t="str">
        <f>"Toalhetes"</f>
        <v>Toalhetes</v>
      </c>
      <c r="M4434" s="6" t="str">
        <f>"33x50"</f>
        <v>33x50</v>
      </c>
      <c r="N4434" s="6" t="str">
        <f>"5602972521177"</f>
        <v>5602972521177</v>
      </c>
      <c r="O4434" s="8">
        <v>18</v>
      </c>
      <c r="P4434" s="7">
        <v>45965</v>
      </c>
      <c r="R4434" s="8">
        <v>0</v>
      </c>
      <c r="U4434" s="8">
        <v>0</v>
      </c>
      <c r="X4434" s="8">
        <v>0</v>
      </c>
      <c r="Z4434" s="8">
        <v>0</v>
      </c>
      <c r="AC4434" s="8">
        <v>18</v>
      </c>
      <c r="AE4434" s="7">
        <v>45972</v>
      </c>
      <c r="AF4434" s="8">
        <v>18</v>
      </c>
      <c r="AH4434" s="7">
        <v>45989</v>
      </c>
      <c r="AN4434" s="8">
        <v>18</v>
      </c>
      <c r="AO4434" s="8">
        <v>0</v>
      </c>
    </row>
    <row r="4435" spans="1:41" x14ac:dyDescent="0.25">
      <c r="A4435" s="6" t="str">
        <f t="shared" si="1139"/>
        <v>525-2025000549</v>
      </c>
      <c r="B4435" s="6" t="str">
        <f t="shared" si="1138"/>
        <v>Lasa Int</v>
      </c>
      <c r="C4435" s="7">
        <v>45965</v>
      </c>
      <c r="D4435" s="7">
        <v>46031</v>
      </c>
      <c r="E4435" s="8">
        <v>26</v>
      </c>
      <c r="F4435" s="6" t="str">
        <f t="shared" si="1140"/>
        <v>Squares M</v>
      </c>
      <c r="G4435" s="6" t="str">
        <f t="shared" si="1141"/>
        <v>F100021455012620</v>
      </c>
      <c r="H4435" s="6" t="str">
        <f t="shared" si="1142"/>
        <v>FA 214 / 2620 (b) -</v>
      </c>
      <c r="I4435" s="6" t="str">
        <f>"5867"</f>
        <v>5867</v>
      </c>
      <c r="J4435" s="6" t="str">
        <f>"VERDE 5867"</f>
        <v>VERDE 5867</v>
      </c>
      <c r="K4435" s="6" t="str">
        <f>"1024"</f>
        <v>1024</v>
      </c>
      <c r="L4435" s="6" t="str">
        <f>"Toalhas"</f>
        <v>Toalhas</v>
      </c>
      <c r="M4435" s="6" t="str">
        <f>"50x100"</f>
        <v>50x100</v>
      </c>
      <c r="N4435" s="6" t="str">
        <f>"5602972521184"</f>
        <v>5602972521184</v>
      </c>
      <c r="O4435" s="8">
        <v>54</v>
      </c>
      <c r="P4435" s="7">
        <v>45965</v>
      </c>
      <c r="R4435" s="8">
        <v>0</v>
      </c>
      <c r="U4435" s="8">
        <v>0</v>
      </c>
      <c r="X4435" s="8">
        <v>0</v>
      </c>
      <c r="Z4435" s="8">
        <v>0</v>
      </c>
      <c r="AC4435" s="8">
        <v>54</v>
      </c>
      <c r="AE4435" s="7">
        <v>45972</v>
      </c>
      <c r="AF4435" s="8">
        <v>54</v>
      </c>
      <c r="AH4435" s="7">
        <v>45989</v>
      </c>
      <c r="AN4435" s="8">
        <v>54</v>
      </c>
      <c r="AO4435" s="8">
        <v>0</v>
      </c>
    </row>
    <row r="4436" spans="1:41" x14ac:dyDescent="0.25">
      <c r="A4436" s="6" t="str">
        <f t="shared" si="1139"/>
        <v>525-2025000549</v>
      </c>
      <c r="B4436" s="6" t="str">
        <f t="shared" si="1138"/>
        <v>Lasa Int</v>
      </c>
      <c r="C4436" s="7">
        <v>45965</v>
      </c>
      <c r="D4436" s="7">
        <v>46031</v>
      </c>
      <c r="E4436" s="8">
        <v>27</v>
      </c>
      <c r="F4436" s="6" t="str">
        <f t="shared" si="1140"/>
        <v>Squares M</v>
      </c>
      <c r="G4436" s="6" t="str">
        <f t="shared" si="1141"/>
        <v>F100021455012620</v>
      </c>
      <c r="H4436" s="6" t="str">
        <f t="shared" si="1142"/>
        <v>FA 214 / 2620 (b) -</v>
      </c>
      <c r="I4436" s="6" t="str">
        <f>"5867"</f>
        <v>5867</v>
      </c>
      <c r="J4436" s="6" t="str">
        <f>"VERDE 5867"</f>
        <v>VERDE 5867</v>
      </c>
      <c r="K4436" s="6" t="str">
        <f>"1535"</f>
        <v>1535</v>
      </c>
      <c r="L4436" s="6" t="str">
        <f>"Toalhões"</f>
        <v>Toalhões</v>
      </c>
      <c r="M4436" s="6" t="str">
        <f>"70x140"</f>
        <v>70x140</v>
      </c>
      <c r="N4436" s="6" t="str">
        <f>"5602972521191"</f>
        <v>5602972521191</v>
      </c>
      <c r="O4436" s="8">
        <v>54</v>
      </c>
      <c r="P4436" s="7">
        <v>45965</v>
      </c>
      <c r="R4436" s="8">
        <v>0</v>
      </c>
      <c r="U4436" s="8">
        <v>0</v>
      </c>
      <c r="X4436" s="8">
        <v>0</v>
      </c>
      <c r="Z4436" s="8">
        <v>0</v>
      </c>
      <c r="AC4436" s="8">
        <v>54</v>
      </c>
      <c r="AE4436" s="7">
        <v>45972</v>
      </c>
      <c r="AF4436" s="8">
        <v>54</v>
      </c>
      <c r="AH4436" s="7">
        <v>45989</v>
      </c>
      <c r="AN4436" s="8">
        <v>54</v>
      </c>
      <c r="AO4436" s="8">
        <v>0</v>
      </c>
    </row>
    <row r="4437" spans="1:41" x14ac:dyDescent="0.25">
      <c r="A4437" s="6" t="str">
        <f t="shared" si="1139"/>
        <v>525-2025000549</v>
      </c>
      <c r="B4437" s="6" t="str">
        <f t="shared" si="1138"/>
        <v>Lasa Int</v>
      </c>
      <c r="C4437" s="7">
        <v>45965</v>
      </c>
      <c r="D4437" s="7">
        <v>46031</v>
      </c>
      <c r="E4437" s="8">
        <v>28</v>
      </c>
      <c r="F4437" s="6" t="str">
        <f t="shared" si="1140"/>
        <v>Squares M</v>
      </c>
      <c r="G4437" s="6" t="str">
        <f t="shared" si="1141"/>
        <v>F100021455012620</v>
      </c>
      <c r="H4437" s="6" t="str">
        <f t="shared" si="1142"/>
        <v>FA 214 / 2620 (b) -</v>
      </c>
      <c r="I4437" s="6" t="str">
        <f>"5867"</f>
        <v>5867</v>
      </c>
      <c r="J4437" s="6" t="str">
        <f>"VERDE 5867"</f>
        <v>VERDE 5867</v>
      </c>
      <c r="K4437" s="6" t="str">
        <f>"2020"</f>
        <v>2020</v>
      </c>
      <c r="L4437" s="6" t="str">
        <f>"Lençóis"</f>
        <v>Lençóis</v>
      </c>
      <c r="M4437" s="6" t="str">
        <f>"100x150"</f>
        <v>100x150</v>
      </c>
      <c r="N4437" s="6" t="str">
        <f>"5602972521207"</f>
        <v>5602972521207</v>
      </c>
      <c r="O4437" s="8">
        <v>30</v>
      </c>
      <c r="P4437" s="7">
        <v>45965</v>
      </c>
      <c r="R4437" s="8">
        <v>0</v>
      </c>
      <c r="U4437" s="8">
        <v>0</v>
      </c>
      <c r="X4437" s="8">
        <v>0</v>
      </c>
      <c r="Z4437" s="8">
        <v>0</v>
      </c>
      <c r="AC4437" s="8">
        <v>30</v>
      </c>
      <c r="AE4437" s="7">
        <v>45972</v>
      </c>
      <c r="AF4437" s="8">
        <v>30</v>
      </c>
      <c r="AH4437" s="7">
        <v>45989</v>
      </c>
      <c r="AN4437" s="8">
        <v>30</v>
      </c>
      <c r="AO4437" s="8">
        <v>0</v>
      </c>
    </row>
    <row r="4438" spans="1:41" x14ac:dyDescent="0.25">
      <c r="A4438" s="6" t="str">
        <f t="shared" ref="A4438:A4464" si="1143">"525-2025000550"</f>
        <v>525-2025000550</v>
      </c>
      <c r="B4438" s="6" t="str">
        <f t="shared" si="1138"/>
        <v>Lasa Int</v>
      </c>
      <c r="C4438" s="7">
        <v>45965</v>
      </c>
      <c r="D4438" s="7">
        <v>46037</v>
      </c>
      <c r="E4438" s="8">
        <v>1</v>
      </c>
      <c r="F4438" s="6" t="str">
        <f t="shared" ref="F4438:F4464" si="1144">"PURE"</f>
        <v>PURE</v>
      </c>
      <c r="G4438" s="6" t="str">
        <f t="shared" ref="G4438:G4462" si="1145">"F100021455000000"</f>
        <v>F100021455000000</v>
      </c>
      <c r="H4438" s="6" t="str">
        <f t="shared" ref="H4438:H4462" si="1146">"FA 214 - PURE - 550"</f>
        <v>FA 214 - PURE - 550</v>
      </c>
      <c r="I4438" s="6" t="str">
        <f>"1"</f>
        <v>1</v>
      </c>
      <c r="J4438" s="6" t="str">
        <f>"BRANCO"</f>
        <v>BRANCO</v>
      </c>
      <c r="K4438" s="6" t="str">
        <f>"0112"</f>
        <v>0112</v>
      </c>
      <c r="L4438" s="6" t="str">
        <f>"Luvas"</f>
        <v>Luvas</v>
      </c>
      <c r="M4438" s="6" t="str">
        <f>"16x21"</f>
        <v>16x21</v>
      </c>
      <c r="N4438" s="6" t="str">
        <f>"5602972836233"</f>
        <v>5602972836233</v>
      </c>
      <c r="O4438" s="8">
        <v>300</v>
      </c>
      <c r="P4438" s="7">
        <v>45965</v>
      </c>
      <c r="R4438" s="8">
        <v>5100</v>
      </c>
      <c r="S4438" s="7">
        <v>45968</v>
      </c>
      <c r="U4438" s="8">
        <v>300</v>
      </c>
      <c r="V4438" s="7">
        <v>45981</v>
      </c>
      <c r="X4438" s="8">
        <v>0</v>
      </c>
      <c r="Z4438" s="8">
        <v>300</v>
      </c>
      <c r="AA4438" s="7">
        <v>45996</v>
      </c>
      <c r="AC4438" s="8">
        <v>0</v>
      </c>
      <c r="AE4438" s="7">
        <v>46002</v>
      </c>
      <c r="AF4438" s="8">
        <v>0</v>
      </c>
      <c r="AH4438" s="7">
        <v>46002</v>
      </c>
      <c r="AN4438" s="8">
        <v>0</v>
      </c>
      <c r="AO4438" s="8">
        <v>300</v>
      </c>
    </row>
    <row r="4439" spans="1:41" x14ac:dyDescent="0.25">
      <c r="A4439" s="6" t="str">
        <f t="shared" si="1143"/>
        <v>525-2025000550</v>
      </c>
      <c r="B4439" s="6" t="str">
        <f t="shared" si="1138"/>
        <v>Lasa Int</v>
      </c>
      <c r="C4439" s="7">
        <v>45965</v>
      </c>
      <c r="D4439" s="7">
        <v>46037</v>
      </c>
      <c r="E4439" s="8">
        <v>2</v>
      </c>
      <c r="F4439" s="6" t="str">
        <f t="shared" si="1144"/>
        <v>PURE</v>
      </c>
      <c r="G4439" s="6" t="str">
        <f t="shared" si="1145"/>
        <v>F100021455000000</v>
      </c>
      <c r="H4439" s="6" t="str">
        <f t="shared" si="1146"/>
        <v>FA 214 - PURE - 550</v>
      </c>
      <c r="I4439" s="6" t="str">
        <f>"1"</f>
        <v>1</v>
      </c>
      <c r="J4439" s="6" t="str">
        <f>"BRANCO"</f>
        <v>BRANCO</v>
      </c>
      <c r="K4439" s="6" t="str">
        <f>"0530"</f>
        <v>0530</v>
      </c>
      <c r="L4439" s="6" t="str">
        <f>"Toalhetes"</f>
        <v>Toalhetes</v>
      </c>
      <c r="M4439" s="6" t="str">
        <f>"33x50"</f>
        <v>33x50</v>
      </c>
      <c r="N4439" s="6" t="str">
        <f>"5602972836240"</f>
        <v>5602972836240</v>
      </c>
      <c r="O4439" s="8">
        <v>900</v>
      </c>
      <c r="P4439" s="7">
        <v>45965</v>
      </c>
      <c r="R4439" s="8">
        <v>0</v>
      </c>
      <c r="S4439" s="7">
        <v>45968</v>
      </c>
      <c r="U4439" s="8">
        <v>900</v>
      </c>
      <c r="V4439" s="7">
        <v>45981</v>
      </c>
      <c r="X4439" s="8">
        <v>0</v>
      </c>
      <c r="Z4439" s="8">
        <v>900</v>
      </c>
      <c r="AA4439" s="7">
        <v>45996</v>
      </c>
      <c r="AC4439" s="8">
        <v>912</v>
      </c>
      <c r="AE4439" s="7">
        <v>46002</v>
      </c>
      <c r="AF4439" s="8">
        <v>912</v>
      </c>
      <c r="AH4439" s="7">
        <v>46002</v>
      </c>
      <c r="AN4439" s="8">
        <v>912</v>
      </c>
      <c r="AO4439" s="8">
        <v>-12</v>
      </c>
    </row>
    <row r="4440" spans="1:41" x14ac:dyDescent="0.25">
      <c r="A4440" s="6" t="str">
        <f t="shared" si="1143"/>
        <v>525-2025000550</v>
      </c>
      <c r="B4440" s="6" t="str">
        <f t="shared" si="1138"/>
        <v>Lasa Int</v>
      </c>
      <c r="C4440" s="7">
        <v>45965</v>
      </c>
      <c r="D4440" s="7">
        <v>46037</v>
      </c>
      <c r="E4440" s="8">
        <v>3</v>
      </c>
      <c r="F4440" s="6" t="str">
        <f t="shared" si="1144"/>
        <v>PURE</v>
      </c>
      <c r="G4440" s="6" t="str">
        <f t="shared" si="1145"/>
        <v>F100021455000000</v>
      </c>
      <c r="H4440" s="6" t="str">
        <f t="shared" si="1146"/>
        <v>FA 214 - PURE - 550</v>
      </c>
      <c r="I4440" s="6" t="str">
        <f>"1"</f>
        <v>1</v>
      </c>
      <c r="J4440" s="6" t="str">
        <f>"BRANCO"</f>
        <v>BRANCO</v>
      </c>
      <c r="K4440" s="6" t="str">
        <f>"1024"</f>
        <v>1024</v>
      </c>
      <c r="L4440" s="6" t="str">
        <f>"Toalhas"</f>
        <v>Toalhas</v>
      </c>
      <c r="M4440" s="6" t="str">
        <f>"50x100"</f>
        <v>50x100</v>
      </c>
      <c r="N4440" s="6" t="str">
        <f>"5602972836257"</f>
        <v>5602972836257</v>
      </c>
      <c r="O4440" s="8">
        <v>960</v>
      </c>
      <c r="P4440" s="7">
        <v>45965</v>
      </c>
      <c r="R4440" s="8">
        <v>4320</v>
      </c>
      <c r="S4440" s="7">
        <v>45968</v>
      </c>
      <c r="U4440" s="8">
        <v>960</v>
      </c>
      <c r="V4440" s="7">
        <v>45981</v>
      </c>
      <c r="X4440" s="8">
        <v>0</v>
      </c>
      <c r="Z4440" s="8">
        <v>960</v>
      </c>
      <c r="AA4440" s="7">
        <v>45996</v>
      </c>
      <c r="AC4440" s="8">
        <v>976</v>
      </c>
      <c r="AE4440" s="7">
        <v>46002</v>
      </c>
      <c r="AF4440" s="8">
        <v>976</v>
      </c>
      <c r="AH4440" s="7">
        <v>46002</v>
      </c>
      <c r="AN4440" s="8">
        <v>976</v>
      </c>
      <c r="AO4440" s="8">
        <v>-16</v>
      </c>
    </row>
    <row r="4441" spans="1:41" x14ac:dyDescent="0.25">
      <c r="A4441" s="6" t="str">
        <f t="shared" si="1143"/>
        <v>525-2025000550</v>
      </c>
      <c r="B4441" s="6" t="str">
        <f t="shared" si="1138"/>
        <v>Lasa Int</v>
      </c>
      <c r="C4441" s="7">
        <v>45965</v>
      </c>
      <c r="D4441" s="7">
        <v>46037</v>
      </c>
      <c r="E4441" s="8">
        <v>4</v>
      </c>
      <c r="F4441" s="6" t="str">
        <f t="shared" si="1144"/>
        <v>PURE</v>
      </c>
      <c r="G4441" s="6" t="str">
        <f t="shared" si="1145"/>
        <v>F100021455000000</v>
      </c>
      <c r="H4441" s="6" t="str">
        <f t="shared" si="1146"/>
        <v>FA 214 - PURE - 550</v>
      </c>
      <c r="I4441" s="6" t="str">
        <f>"1"</f>
        <v>1</v>
      </c>
      <c r="J4441" s="6" t="str">
        <f>"BRANCO"</f>
        <v>BRANCO</v>
      </c>
      <c r="K4441" s="6" t="str">
        <f>"1535"</f>
        <v>1535</v>
      </c>
      <c r="L4441" s="6" t="str">
        <f>"Toalhões"</f>
        <v>Toalhões</v>
      </c>
      <c r="M4441" s="6" t="str">
        <f>"70x140"</f>
        <v>70x140</v>
      </c>
      <c r="N4441" s="6" t="str">
        <f>"5602972836264"</f>
        <v>5602972836264</v>
      </c>
      <c r="O4441" s="8">
        <v>360</v>
      </c>
      <c r="P4441" s="7">
        <v>45965</v>
      </c>
      <c r="R4441" s="8">
        <v>1470</v>
      </c>
      <c r="S4441" s="7">
        <v>45968</v>
      </c>
      <c r="U4441" s="8">
        <v>360</v>
      </c>
      <c r="V4441" s="7">
        <v>45981</v>
      </c>
      <c r="X4441" s="8">
        <v>0</v>
      </c>
      <c r="Z4441" s="8">
        <v>360</v>
      </c>
      <c r="AA4441" s="7">
        <v>45996</v>
      </c>
      <c r="AC4441" s="8">
        <v>370</v>
      </c>
      <c r="AE4441" s="7">
        <v>46002</v>
      </c>
      <c r="AF4441" s="8">
        <v>370</v>
      </c>
      <c r="AH4441" s="7">
        <v>46002</v>
      </c>
      <c r="AN4441" s="8">
        <v>370</v>
      </c>
      <c r="AO4441" s="8">
        <v>-10</v>
      </c>
    </row>
    <row r="4442" spans="1:41" x14ac:dyDescent="0.25">
      <c r="A4442" s="6" t="str">
        <f t="shared" si="1143"/>
        <v>525-2025000550</v>
      </c>
      <c r="B4442" s="6" t="str">
        <f t="shared" si="1138"/>
        <v>Lasa Int</v>
      </c>
      <c r="C4442" s="7">
        <v>45965</v>
      </c>
      <c r="D4442" s="7">
        <v>46037</v>
      </c>
      <c r="E4442" s="8">
        <v>5</v>
      </c>
      <c r="F4442" s="6" t="str">
        <f t="shared" si="1144"/>
        <v>PURE</v>
      </c>
      <c r="G4442" s="6" t="str">
        <f t="shared" si="1145"/>
        <v>F100021455000000</v>
      </c>
      <c r="H4442" s="6" t="str">
        <f t="shared" si="1146"/>
        <v>FA 214 - PURE - 550</v>
      </c>
      <c r="I4442" s="6" t="str">
        <f>"1"</f>
        <v>1</v>
      </c>
      <c r="J4442" s="6" t="str">
        <f>"BRANCO"</f>
        <v>BRANCO</v>
      </c>
      <c r="K4442" s="6" t="str">
        <f>"2020"</f>
        <v>2020</v>
      </c>
      <c r="L4442" s="6" t="str">
        <f>"Lençóis"</f>
        <v>Lençóis</v>
      </c>
      <c r="M4442" s="6" t="str">
        <f>"100x150"</f>
        <v>100x150</v>
      </c>
      <c r="N4442" s="6" t="str">
        <f>"5602972836271"</f>
        <v>5602972836271</v>
      </c>
      <c r="O4442" s="8">
        <v>320</v>
      </c>
      <c r="P4442" s="7">
        <v>45965</v>
      </c>
      <c r="R4442" s="8">
        <v>1118</v>
      </c>
      <c r="S4442" s="7">
        <v>45968</v>
      </c>
      <c r="U4442" s="8">
        <v>320</v>
      </c>
      <c r="V4442" s="7">
        <v>45981</v>
      </c>
      <c r="X4442" s="8">
        <v>0</v>
      </c>
      <c r="Z4442" s="8">
        <v>320</v>
      </c>
      <c r="AA4442" s="7">
        <v>45996</v>
      </c>
      <c r="AC4442" s="8">
        <v>0</v>
      </c>
      <c r="AE4442" s="7">
        <v>46002</v>
      </c>
      <c r="AF4442" s="8">
        <v>0</v>
      </c>
      <c r="AH4442" s="7">
        <v>46002</v>
      </c>
      <c r="AN4442" s="8">
        <v>611</v>
      </c>
      <c r="AO4442" s="8">
        <v>-291</v>
      </c>
    </row>
    <row r="4443" spans="1:41" x14ac:dyDescent="0.25">
      <c r="A4443" s="6" t="str">
        <f t="shared" si="1143"/>
        <v>525-2025000550</v>
      </c>
      <c r="B4443" s="6" t="str">
        <f t="shared" si="1138"/>
        <v>Lasa Int</v>
      </c>
      <c r="C4443" s="7">
        <v>45965</v>
      </c>
      <c r="D4443" s="7">
        <v>46037</v>
      </c>
      <c r="E4443" s="8">
        <v>6</v>
      </c>
      <c r="F4443" s="6" t="str">
        <f t="shared" si="1144"/>
        <v>PURE</v>
      </c>
      <c r="G4443" s="6" t="str">
        <f t="shared" si="1145"/>
        <v>F100021455000000</v>
      </c>
      <c r="H4443" s="6" t="str">
        <f t="shared" si="1146"/>
        <v>FA 214 - PURE - 550</v>
      </c>
      <c r="I4443" s="6" t="str">
        <f>"1822"</f>
        <v>1822</v>
      </c>
      <c r="J4443" s="6" t="str">
        <f>"ROSA 1822"</f>
        <v>ROSA 1822</v>
      </c>
      <c r="K4443" s="6" t="str">
        <f>"1024"</f>
        <v>1024</v>
      </c>
      <c r="L4443" s="6" t="str">
        <f>"Toalhas"</f>
        <v>Toalhas</v>
      </c>
      <c r="M4443" s="6" t="str">
        <f>"50x100"</f>
        <v>50x100</v>
      </c>
      <c r="N4443" s="6" t="str">
        <f>"5602972836707"</f>
        <v>5602972836707</v>
      </c>
      <c r="O4443" s="8">
        <v>480</v>
      </c>
      <c r="P4443" s="7">
        <v>45965</v>
      </c>
      <c r="R4443" s="8">
        <v>0</v>
      </c>
      <c r="S4443" s="7">
        <v>45968</v>
      </c>
      <c r="U4443" s="8">
        <v>480</v>
      </c>
      <c r="V4443" s="7">
        <v>45981</v>
      </c>
      <c r="X4443" s="8">
        <v>0</v>
      </c>
      <c r="Z4443" s="8">
        <v>0</v>
      </c>
      <c r="AA4443" s="7">
        <v>45996</v>
      </c>
      <c r="AC4443" s="8">
        <v>0</v>
      </c>
      <c r="AE4443" s="7">
        <v>46002</v>
      </c>
      <c r="AF4443" s="8">
        <v>0</v>
      </c>
      <c r="AH4443" s="7">
        <v>46002</v>
      </c>
      <c r="AN4443" s="8">
        <v>0</v>
      </c>
      <c r="AO4443" s="8">
        <v>480</v>
      </c>
    </row>
    <row r="4444" spans="1:41" x14ac:dyDescent="0.25">
      <c r="A4444" s="6" t="str">
        <f t="shared" si="1143"/>
        <v>525-2025000550</v>
      </c>
      <c r="B4444" s="6" t="str">
        <f t="shared" si="1138"/>
        <v>Lasa Int</v>
      </c>
      <c r="C4444" s="7">
        <v>45965</v>
      </c>
      <c r="D4444" s="7">
        <v>46037</v>
      </c>
      <c r="E4444" s="8">
        <v>7</v>
      </c>
      <c r="F4444" s="6" t="str">
        <f t="shared" si="1144"/>
        <v>PURE</v>
      </c>
      <c r="G4444" s="6" t="str">
        <f t="shared" si="1145"/>
        <v>F100021455000000</v>
      </c>
      <c r="H4444" s="6" t="str">
        <f t="shared" si="1146"/>
        <v>FA 214 - PURE - 550</v>
      </c>
      <c r="I4444" s="6" t="str">
        <f>"1822"</f>
        <v>1822</v>
      </c>
      <c r="J4444" s="6" t="str">
        <f>"ROSA 1822"</f>
        <v>ROSA 1822</v>
      </c>
      <c r="K4444" s="6" t="str">
        <f>"1535"</f>
        <v>1535</v>
      </c>
      <c r="L4444" s="6" t="str">
        <f>"Toalhões"</f>
        <v>Toalhões</v>
      </c>
      <c r="M4444" s="6" t="str">
        <f>"70x140"</f>
        <v>70x140</v>
      </c>
      <c r="N4444" s="6" t="str">
        <f>"5602972836714"</f>
        <v>5602972836714</v>
      </c>
      <c r="O4444" s="8">
        <v>360</v>
      </c>
      <c r="P4444" s="7">
        <v>45965</v>
      </c>
      <c r="R4444" s="8">
        <v>0</v>
      </c>
      <c r="S4444" s="7">
        <v>45968</v>
      </c>
      <c r="U4444" s="8">
        <v>360</v>
      </c>
      <c r="V4444" s="7">
        <v>45981</v>
      </c>
      <c r="X4444" s="8">
        <v>0</v>
      </c>
      <c r="Z4444" s="8">
        <v>0</v>
      </c>
      <c r="AA4444" s="7">
        <v>45996</v>
      </c>
      <c r="AC4444" s="8">
        <v>203</v>
      </c>
      <c r="AE4444" s="7">
        <v>46002</v>
      </c>
      <c r="AF4444" s="8">
        <v>203</v>
      </c>
      <c r="AH4444" s="7">
        <v>46002</v>
      </c>
      <c r="AN4444" s="8">
        <v>203</v>
      </c>
      <c r="AO4444" s="8">
        <v>157</v>
      </c>
    </row>
    <row r="4445" spans="1:41" x14ac:dyDescent="0.25">
      <c r="A4445" s="6" t="str">
        <f t="shared" si="1143"/>
        <v>525-2025000550</v>
      </c>
      <c r="B4445" s="6" t="str">
        <f t="shared" si="1138"/>
        <v>Lasa Int</v>
      </c>
      <c r="C4445" s="7">
        <v>45965</v>
      </c>
      <c r="D4445" s="7">
        <v>46037</v>
      </c>
      <c r="E4445" s="8">
        <v>8</v>
      </c>
      <c r="F4445" s="6" t="str">
        <f t="shared" si="1144"/>
        <v>PURE</v>
      </c>
      <c r="G4445" s="6" t="str">
        <f t="shared" si="1145"/>
        <v>F100021455000000</v>
      </c>
      <c r="H4445" s="6" t="str">
        <f t="shared" si="1146"/>
        <v>FA 214 - PURE - 550</v>
      </c>
      <c r="I4445" s="6" t="str">
        <f>"1822"</f>
        <v>1822</v>
      </c>
      <c r="J4445" s="6" t="str">
        <f>"ROSA 1822"</f>
        <v>ROSA 1822</v>
      </c>
      <c r="K4445" s="6" t="str">
        <f>"2020"</f>
        <v>2020</v>
      </c>
      <c r="L4445" s="6" t="str">
        <f>"Lençóis"</f>
        <v>Lençóis</v>
      </c>
      <c r="M4445" s="6" t="str">
        <f>"100x150"</f>
        <v>100x150</v>
      </c>
      <c r="N4445" s="6" t="str">
        <f>"5602972836721"</f>
        <v>5602972836721</v>
      </c>
      <c r="O4445" s="8">
        <v>80</v>
      </c>
      <c r="P4445" s="7">
        <v>45965</v>
      </c>
      <c r="R4445" s="8">
        <v>0</v>
      </c>
      <c r="S4445" s="7">
        <v>45968</v>
      </c>
      <c r="U4445" s="8">
        <v>80</v>
      </c>
      <c r="V4445" s="7">
        <v>45981</v>
      </c>
      <c r="X4445" s="8">
        <v>0</v>
      </c>
      <c r="Z4445" s="8">
        <v>0</v>
      </c>
      <c r="AA4445" s="7">
        <v>45996</v>
      </c>
      <c r="AC4445" s="8">
        <v>21</v>
      </c>
      <c r="AE4445" s="7">
        <v>46002</v>
      </c>
      <c r="AF4445" s="8">
        <v>21</v>
      </c>
      <c r="AH4445" s="7">
        <v>46002</v>
      </c>
      <c r="AN4445" s="8">
        <v>21</v>
      </c>
      <c r="AO4445" s="8">
        <v>59</v>
      </c>
    </row>
    <row r="4446" spans="1:41" x14ac:dyDescent="0.25">
      <c r="A4446" s="6" t="str">
        <f t="shared" si="1143"/>
        <v>525-2025000550</v>
      </c>
      <c r="B4446" s="6" t="str">
        <f t="shared" si="1138"/>
        <v>Lasa Int</v>
      </c>
      <c r="C4446" s="7">
        <v>45965</v>
      </c>
      <c r="D4446" s="7">
        <v>46037</v>
      </c>
      <c r="E4446" s="8">
        <v>9</v>
      </c>
      <c r="F4446" s="6" t="str">
        <f t="shared" si="1144"/>
        <v>PURE</v>
      </c>
      <c r="G4446" s="6" t="str">
        <f t="shared" si="1145"/>
        <v>F100021455000000</v>
      </c>
      <c r="H4446" s="6" t="str">
        <f t="shared" si="1146"/>
        <v>FA 214 - PURE - 550</v>
      </c>
      <c r="I4446" s="6" t="str">
        <f>"2334"</f>
        <v>2334</v>
      </c>
      <c r="J4446" s="6" t="str">
        <f>"TURQUESA 2334"</f>
        <v>TURQUESA 2334</v>
      </c>
      <c r="K4446" s="6" t="str">
        <f>"0112"</f>
        <v>0112</v>
      </c>
      <c r="L4446" s="6" t="str">
        <f>"Luvas"</f>
        <v>Luvas</v>
      </c>
      <c r="M4446" s="6" t="str">
        <f>"16x21"</f>
        <v>16x21</v>
      </c>
      <c r="N4446" s="6" t="str">
        <f>"5602972836936"</f>
        <v>5602972836936</v>
      </c>
      <c r="O4446" s="8">
        <v>300</v>
      </c>
      <c r="P4446" s="7">
        <v>45965</v>
      </c>
      <c r="R4446" s="8">
        <v>0</v>
      </c>
      <c r="S4446" s="7">
        <v>45968</v>
      </c>
      <c r="U4446" s="8">
        <v>300</v>
      </c>
      <c r="V4446" s="7">
        <v>45981</v>
      </c>
      <c r="X4446" s="8">
        <v>0</v>
      </c>
      <c r="Z4446" s="8">
        <v>300</v>
      </c>
      <c r="AA4446" s="7">
        <v>45996</v>
      </c>
      <c r="AC4446" s="8">
        <v>0</v>
      </c>
      <c r="AE4446" s="7">
        <v>46002</v>
      </c>
      <c r="AF4446" s="8">
        <v>0</v>
      </c>
      <c r="AH4446" s="7">
        <v>46002</v>
      </c>
      <c r="AN4446" s="8">
        <v>294</v>
      </c>
      <c r="AO4446" s="8">
        <v>6</v>
      </c>
    </row>
    <row r="4447" spans="1:41" x14ac:dyDescent="0.25">
      <c r="A4447" s="6" t="str">
        <f t="shared" si="1143"/>
        <v>525-2025000550</v>
      </c>
      <c r="B4447" s="6" t="str">
        <f t="shared" si="1138"/>
        <v>Lasa Int</v>
      </c>
      <c r="C4447" s="7">
        <v>45965</v>
      </c>
      <c r="D4447" s="7">
        <v>46037</v>
      </c>
      <c r="E4447" s="8">
        <v>10</v>
      </c>
      <c r="F4447" s="6" t="str">
        <f t="shared" si="1144"/>
        <v>PURE</v>
      </c>
      <c r="G4447" s="6" t="str">
        <f t="shared" si="1145"/>
        <v>F100021455000000</v>
      </c>
      <c r="H4447" s="6" t="str">
        <f t="shared" si="1146"/>
        <v>FA 214 - PURE - 550</v>
      </c>
      <c r="I4447" s="6" t="str">
        <f>"2334"</f>
        <v>2334</v>
      </c>
      <c r="J4447" s="6" t="str">
        <f>"TURQUESA 2334"</f>
        <v>TURQUESA 2334</v>
      </c>
      <c r="K4447" s="6" t="str">
        <f>"1024"</f>
        <v>1024</v>
      </c>
      <c r="L4447" s="6" t="str">
        <f>"Toalhas"</f>
        <v>Toalhas</v>
      </c>
      <c r="M4447" s="6" t="str">
        <f>"50x100"</f>
        <v>50x100</v>
      </c>
      <c r="N4447" s="6" t="str">
        <f>"5602972836950"</f>
        <v>5602972836950</v>
      </c>
      <c r="O4447" s="8">
        <v>720</v>
      </c>
      <c r="P4447" s="7">
        <v>45965</v>
      </c>
      <c r="R4447" s="8">
        <v>0</v>
      </c>
      <c r="S4447" s="7">
        <v>45968</v>
      </c>
      <c r="U4447" s="8">
        <v>720</v>
      </c>
      <c r="V4447" s="7">
        <v>45981</v>
      </c>
      <c r="X4447" s="8">
        <v>0</v>
      </c>
      <c r="Z4447" s="8">
        <v>720</v>
      </c>
      <c r="AA4447" s="7">
        <v>45996</v>
      </c>
      <c r="AC4447" s="8">
        <v>506</v>
      </c>
      <c r="AE4447" s="7">
        <v>46002</v>
      </c>
      <c r="AF4447" s="8">
        <v>506</v>
      </c>
      <c r="AH4447" s="7">
        <v>46002</v>
      </c>
      <c r="AN4447" s="8">
        <v>1136</v>
      </c>
      <c r="AO4447" s="8">
        <v>-416</v>
      </c>
    </row>
    <row r="4448" spans="1:41" x14ac:dyDescent="0.25">
      <c r="A4448" s="6" t="str">
        <f t="shared" si="1143"/>
        <v>525-2025000550</v>
      </c>
      <c r="B4448" s="6" t="str">
        <f t="shared" si="1138"/>
        <v>Lasa Int</v>
      </c>
      <c r="C4448" s="7">
        <v>45965</v>
      </c>
      <c r="D4448" s="7">
        <v>46037</v>
      </c>
      <c r="E4448" s="8">
        <v>11</v>
      </c>
      <c r="F4448" s="6" t="str">
        <f t="shared" si="1144"/>
        <v>PURE</v>
      </c>
      <c r="G4448" s="6" t="str">
        <f t="shared" si="1145"/>
        <v>F100021455000000</v>
      </c>
      <c r="H4448" s="6" t="str">
        <f t="shared" si="1146"/>
        <v>FA 214 - PURE - 550</v>
      </c>
      <c r="I4448" s="6" t="str">
        <f>"2334"</f>
        <v>2334</v>
      </c>
      <c r="J4448" s="6" t="str">
        <f>"TURQUESA 2334"</f>
        <v>TURQUESA 2334</v>
      </c>
      <c r="K4448" s="6" t="str">
        <f>"2020"</f>
        <v>2020</v>
      </c>
      <c r="L4448" s="6" t="str">
        <f>"Lençóis"</f>
        <v>Lençóis</v>
      </c>
      <c r="M4448" s="6" t="str">
        <f>"100x150"</f>
        <v>100x150</v>
      </c>
      <c r="N4448" s="6" t="str">
        <f>"5602972836974"</f>
        <v>5602972836974</v>
      </c>
      <c r="O4448" s="8">
        <v>240</v>
      </c>
      <c r="P4448" s="7">
        <v>45965</v>
      </c>
      <c r="R4448" s="8">
        <v>0</v>
      </c>
      <c r="S4448" s="7">
        <v>45968</v>
      </c>
      <c r="U4448" s="8">
        <v>240</v>
      </c>
      <c r="V4448" s="7">
        <v>45981</v>
      </c>
      <c r="X4448" s="8">
        <v>0</v>
      </c>
      <c r="Z4448" s="8">
        <v>240</v>
      </c>
      <c r="AA4448" s="7">
        <v>45996</v>
      </c>
      <c r="AC4448" s="8">
        <v>242</v>
      </c>
      <c r="AE4448" s="7">
        <v>46002</v>
      </c>
      <c r="AF4448" s="8">
        <v>242</v>
      </c>
      <c r="AH4448" s="7">
        <v>46002</v>
      </c>
      <c r="AN4448" s="8">
        <v>242</v>
      </c>
      <c r="AO4448" s="8">
        <v>-2</v>
      </c>
    </row>
    <row r="4449" spans="1:41" x14ac:dyDescent="0.25">
      <c r="A4449" s="6" t="str">
        <f t="shared" si="1143"/>
        <v>525-2025000550</v>
      </c>
      <c r="B4449" s="6" t="str">
        <f t="shared" si="1138"/>
        <v>Lasa Int</v>
      </c>
      <c r="C4449" s="7">
        <v>45965</v>
      </c>
      <c r="D4449" s="7">
        <v>46037</v>
      </c>
      <c r="E4449" s="8">
        <v>12</v>
      </c>
      <c r="F4449" s="6" t="str">
        <f t="shared" si="1144"/>
        <v>PURE</v>
      </c>
      <c r="G4449" s="6" t="str">
        <f t="shared" si="1145"/>
        <v>F100021455000000</v>
      </c>
      <c r="H4449" s="6" t="str">
        <f t="shared" si="1146"/>
        <v>FA 214 - PURE - 550</v>
      </c>
      <c r="I4449" s="6" t="str">
        <f>"2392"</f>
        <v>2392</v>
      </c>
      <c r="J4449" s="6" t="str">
        <f>"LARANJA 2392"</f>
        <v>LARANJA 2392</v>
      </c>
      <c r="K4449" s="6" t="str">
        <f>"0530"</f>
        <v>0530</v>
      </c>
      <c r="L4449" s="6" t="str">
        <f>"Toalhetes"</f>
        <v>Toalhetes</v>
      </c>
      <c r="M4449" s="6" t="str">
        <f>"33x50"</f>
        <v>33x50</v>
      </c>
      <c r="N4449" s="6" t="str">
        <f>"5602972836547"</f>
        <v>5602972836547</v>
      </c>
      <c r="O4449" s="8">
        <v>450</v>
      </c>
      <c r="P4449" s="7">
        <v>45965</v>
      </c>
      <c r="R4449" s="8">
        <v>0</v>
      </c>
      <c r="S4449" s="7">
        <v>45968</v>
      </c>
      <c r="U4449" s="8">
        <v>450</v>
      </c>
      <c r="V4449" s="7">
        <v>45981</v>
      </c>
      <c r="X4449" s="8">
        <v>0</v>
      </c>
      <c r="Z4449" s="8">
        <v>450</v>
      </c>
      <c r="AA4449" s="7">
        <v>45996</v>
      </c>
      <c r="AC4449" s="8">
        <v>428</v>
      </c>
      <c r="AE4449" s="7">
        <v>46002</v>
      </c>
      <c r="AF4449" s="8">
        <v>428</v>
      </c>
      <c r="AH4449" s="7">
        <v>46002</v>
      </c>
      <c r="AN4449" s="8">
        <v>428</v>
      </c>
      <c r="AO4449" s="8">
        <v>22</v>
      </c>
    </row>
    <row r="4450" spans="1:41" x14ac:dyDescent="0.25">
      <c r="A4450" s="6" t="str">
        <f t="shared" si="1143"/>
        <v>525-2025000550</v>
      </c>
      <c r="B4450" s="6" t="str">
        <f t="shared" si="1138"/>
        <v>Lasa Int</v>
      </c>
      <c r="C4450" s="7">
        <v>45965</v>
      </c>
      <c r="D4450" s="7">
        <v>46037</v>
      </c>
      <c r="E4450" s="8">
        <v>13</v>
      </c>
      <c r="F4450" s="6" t="str">
        <f t="shared" si="1144"/>
        <v>PURE</v>
      </c>
      <c r="G4450" s="6" t="str">
        <f t="shared" si="1145"/>
        <v>F100021455000000</v>
      </c>
      <c r="H4450" s="6" t="str">
        <f t="shared" si="1146"/>
        <v>FA 214 - PURE - 550</v>
      </c>
      <c r="I4450" s="6" t="str">
        <f>"2392"</f>
        <v>2392</v>
      </c>
      <c r="J4450" s="6" t="str">
        <f>"LARANJA 2392"</f>
        <v>LARANJA 2392</v>
      </c>
      <c r="K4450" s="6" t="str">
        <f>"1024"</f>
        <v>1024</v>
      </c>
      <c r="L4450" s="6" t="str">
        <f>"Toalhas"</f>
        <v>Toalhas</v>
      </c>
      <c r="M4450" s="6" t="str">
        <f>"50x100"</f>
        <v>50x100</v>
      </c>
      <c r="N4450" s="6" t="str">
        <f>"5602972836554"</f>
        <v>5602972836554</v>
      </c>
      <c r="O4450" s="8">
        <v>240</v>
      </c>
      <c r="P4450" s="7">
        <v>45965</v>
      </c>
      <c r="R4450" s="8">
        <v>0</v>
      </c>
      <c r="S4450" s="7">
        <v>45968</v>
      </c>
      <c r="U4450" s="8">
        <v>240</v>
      </c>
      <c r="V4450" s="7">
        <v>45981</v>
      </c>
      <c r="X4450" s="8">
        <v>0</v>
      </c>
      <c r="Z4450" s="8">
        <v>240</v>
      </c>
      <c r="AA4450" s="7">
        <v>45996</v>
      </c>
      <c r="AC4450" s="8">
        <v>0</v>
      </c>
      <c r="AE4450" s="7">
        <v>46002</v>
      </c>
      <c r="AF4450" s="8">
        <v>0</v>
      </c>
      <c r="AH4450" s="7">
        <v>46002</v>
      </c>
      <c r="AN4450" s="8">
        <v>210</v>
      </c>
      <c r="AO4450" s="8">
        <v>30</v>
      </c>
    </row>
    <row r="4451" spans="1:41" x14ac:dyDescent="0.25">
      <c r="A4451" s="6" t="str">
        <f t="shared" si="1143"/>
        <v>525-2025000550</v>
      </c>
      <c r="B4451" s="6" t="str">
        <f t="shared" si="1138"/>
        <v>Lasa Int</v>
      </c>
      <c r="C4451" s="7">
        <v>45965</v>
      </c>
      <c r="D4451" s="7">
        <v>46037</v>
      </c>
      <c r="E4451" s="8">
        <v>14</v>
      </c>
      <c r="F4451" s="6" t="str">
        <f t="shared" si="1144"/>
        <v>PURE</v>
      </c>
      <c r="G4451" s="6" t="str">
        <f t="shared" si="1145"/>
        <v>F100021455000000</v>
      </c>
      <c r="H4451" s="6" t="str">
        <f t="shared" si="1146"/>
        <v>FA 214 - PURE - 550</v>
      </c>
      <c r="I4451" s="6" t="str">
        <f>"2392"</f>
        <v>2392</v>
      </c>
      <c r="J4451" s="6" t="str">
        <f>"LARANJA 2392"</f>
        <v>LARANJA 2392</v>
      </c>
      <c r="K4451" s="6" t="str">
        <f>"1535"</f>
        <v>1535</v>
      </c>
      <c r="L4451" s="6" t="str">
        <f>"Toalhões"</f>
        <v>Toalhões</v>
      </c>
      <c r="M4451" s="6" t="str">
        <f>"70x140"</f>
        <v>70x140</v>
      </c>
      <c r="N4451" s="6" t="str">
        <f>"5602972836561"</f>
        <v>5602972836561</v>
      </c>
      <c r="O4451" s="8">
        <v>160</v>
      </c>
      <c r="P4451" s="7">
        <v>45965</v>
      </c>
      <c r="R4451" s="8">
        <v>0</v>
      </c>
      <c r="S4451" s="7">
        <v>45968</v>
      </c>
      <c r="U4451" s="8">
        <v>229</v>
      </c>
      <c r="V4451" s="7">
        <v>45981</v>
      </c>
      <c r="X4451" s="8">
        <v>0</v>
      </c>
      <c r="Z4451" s="8">
        <v>229</v>
      </c>
      <c r="AA4451" s="7">
        <v>45996</v>
      </c>
      <c r="AC4451" s="8">
        <v>163</v>
      </c>
      <c r="AE4451" s="7">
        <v>46002</v>
      </c>
      <c r="AF4451" s="8">
        <v>163</v>
      </c>
      <c r="AH4451" s="7">
        <v>46002</v>
      </c>
      <c r="AN4451" s="8">
        <v>163</v>
      </c>
      <c r="AO4451" s="8">
        <v>-3</v>
      </c>
    </row>
    <row r="4452" spans="1:41" x14ac:dyDescent="0.25">
      <c r="A4452" s="6" t="str">
        <f t="shared" si="1143"/>
        <v>525-2025000550</v>
      </c>
      <c r="B4452" s="6" t="str">
        <f t="shared" si="1138"/>
        <v>Lasa Int</v>
      </c>
      <c r="C4452" s="7">
        <v>45965</v>
      </c>
      <c r="D4452" s="7">
        <v>46037</v>
      </c>
      <c r="E4452" s="8">
        <v>15</v>
      </c>
      <c r="F4452" s="6" t="str">
        <f t="shared" si="1144"/>
        <v>PURE</v>
      </c>
      <c r="G4452" s="6" t="str">
        <f t="shared" si="1145"/>
        <v>F100021455000000</v>
      </c>
      <c r="H4452" s="6" t="str">
        <f t="shared" si="1146"/>
        <v>FA 214 - PURE - 550</v>
      </c>
      <c r="I4452" s="6" t="str">
        <f>"2392"</f>
        <v>2392</v>
      </c>
      <c r="J4452" s="6" t="str">
        <f>"LARANJA 2392"</f>
        <v>LARANJA 2392</v>
      </c>
      <c r="K4452" s="6" t="str">
        <f>"2020"</f>
        <v>2020</v>
      </c>
      <c r="L4452" s="6" t="str">
        <f>"Lençóis"</f>
        <v>Lençóis</v>
      </c>
      <c r="M4452" s="6" t="str">
        <f>"100x150"</f>
        <v>100x150</v>
      </c>
      <c r="N4452" s="6" t="str">
        <f>"5602972836578"</f>
        <v>5602972836578</v>
      </c>
      <c r="O4452" s="8">
        <v>160</v>
      </c>
      <c r="P4452" s="7">
        <v>45965</v>
      </c>
      <c r="R4452" s="8">
        <v>0</v>
      </c>
      <c r="S4452" s="7">
        <v>45968</v>
      </c>
      <c r="U4452" s="8">
        <v>160</v>
      </c>
      <c r="V4452" s="7">
        <v>45981</v>
      </c>
      <c r="X4452" s="8">
        <v>0</v>
      </c>
      <c r="Z4452" s="8">
        <v>160</v>
      </c>
      <c r="AA4452" s="7">
        <v>45996</v>
      </c>
      <c r="AC4452" s="8">
        <v>108</v>
      </c>
      <c r="AE4452" s="7">
        <v>46002</v>
      </c>
      <c r="AF4452" s="8">
        <v>108</v>
      </c>
      <c r="AH4452" s="7">
        <v>46002</v>
      </c>
      <c r="AN4452" s="8">
        <v>108</v>
      </c>
      <c r="AO4452" s="8">
        <v>52</v>
      </c>
    </row>
    <row r="4453" spans="1:41" x14ac:dyDescent="0.25">
      <c r="A4453" s="6" t="str">
        <f t="shared" si="1143"/>
        <v>525-2025000550</v>
      </c>
      <c r="B4453" s="6" t="str">
        <f t="shared" si="1138"/>
        <v>Lasa Int</v>
      </c>
      <c r="C4453" s="7">
        <v>45965</v>
      </c>
      <c r="D4453" s="7">
        <v>46037</v>
      </c>
      <c r="E4453" s="8">
        <v>16</v>
      </c>
      <c r="F4453" s="6" t="str">
        <f t="shared" si="1144"/>
        <v>PURE</v>
      </c>
      <c r="G4453" s="6" t="str">
        <f t="shared" si="1145"/>
        <v>F100021455000000</v>
      </c>
      <c r="H4453" s="6" t="str">
        <f t="shared" si="1146"/>
        <v>FA 214 - PURE - 550</v>
      </c>
      <c r="I4453" s="6" t="str">
        <f>"2596"</f>
        <v>2596</v>
      </c>
      <c r="J4453" s="6" t="str">
        <f>"VERDE 2596"</f>
        <v>VERDE 2596</v>
      </c>
      <c r="K4453" s="6" t="str">
        <f>"0530"</f>
        <v>0530</v>
      </c>
      <c r="L4453" s="6" t="str">
        <f>"Toalhetes"</f>
        <v>Toalhetes</v>
      </c>
      <c r="M4453" s="6" t="str">
        <f>"33x50"</f>
        <v>33x50</v>
      </c>
      <c r="N4453" s="6" t="str">
        <f>"5602972724462"</f>
        <v>5602972724462</v>
      </c>
      <c r="O4453" s="8">
        <v>450</v>
      </c>
      <c r="P4453" s="7">
        <v>45965</v>
      </c>
      <c r="R4453" s="8">
        <v>0</v>
      </c>
      <c r="S4453" s="7">
        <v>45968</v>
      </c>
      <c r="U4453" s="8">
        <v>450</v>
      </c>
      <c r="V4453" s="7">
        <v>45981</v>
      </c>
      <c r="X4453" s="8">
        <v>0</v>
      </c>
      <c r="Z4453" s="8">
        <v>0</v>
      </c>
      <c r="AA4453" s="7">
        <v>45996</v>
      </c>
      <c r="AC4453" s="8">
        <v>376</v>
      </c>
      <c r="AE4453" s="7">
        <v>46002</v>
      </c>
      <c r="AF4453" s="8">
        <v>376</v>
      </c>
      <c r="AH4453" s="7">
        <v>46002</v>
      </c>
      <c r="AN4453" s="8">
        <v>276</v>
      </c>
      <c r="AO4453" s="8">
        <v>174</v>
      </c>
    </row>
    <row r="4454" spans="1:41" x14ac:dyDescent="0.25">
      <c r="A4454" s="6" t="str">
        <f t="shared" si="1143"/>
        <v>525-2025000550</v>
      </c>
      <c r="B4454" s="6" t="str">
        <f t="shared" si="1138"/>
        <v>Lasa Int</v>
      </c>
      <c r="C4454" s="7">
        <v>45965</v>
      </c>
      <c r="D4454" s="7">
        <v>46037</v>
      </c>
      <c r="E4454" s="8">
        <v>17</v>
      </c>
      <c r="F4454" s="6" t="str">
        <f t="shared" si="1144"/>
        <v>PURE</v>
      </c>
      <c r="G4454" s="6" t="str">
        <f t="shared" si="1145"/>
        <v>F100021455000000</v>
      </c>
      <c r="H4454" s="6" t="str">
        <f t="shared" si="1146"/>
        <v>FA 214 - PURE - 550</v>
      </c>
      <c r="I4454" s="6" t="str">
        <f>"2596"</f>
        <v>2596</v>
      </c>
      <c r="J4454" s="6" t="str">
        <f>"VERDE 2596"</f>
        <v>VERDE 2596</v>
      </c>
      <c r="K4454" s="6" t="str">
        <f>"1024"</f>
        <v>1024</v>
      </c>
      <c r="L4454" s="6" t="str">
        <f>"Toalhas"</f>
        <v>Toalhas</v>
      </c>
      <c r="M4454" s="6" t="str">
        <f>"50x100"</f>
        <v>50x100</v>
      </c>
      <c r="N4454" s="6" t="str">
        <f>"5602972724479"</f>
        <v>5602972724479</v>
      </c>
      <c r="O4454" s="8">
        <v>720</v>
      </c>
      <c r="P4454" s="7">
        <v>45965</v>
      </c>
      <c r="R4454" s="8">
        <v>0</v>
      </c>
      <c r="S4454" s="7">
        <v>45968</v>
      </c>
      <c r="U4454" s="8">
        <v>720</v>
      </c>
      <c r="V4454" s="7">
        <v>45981</v>
      </c>
      <c r="X4454" s="8">
        <v>0</v>
      </c>
      <c r="Z4454" s="8">
        <v>0</v>
      </c>
      <c r="AA4454" s="7">
        <v>45996</v>
      </c>
      <c r="AC4454" s="8">
        <v>0</v>
      </c>
      <c r="AE4454" s="7">
        <v>46002</v>
      </c>
      <c r="AF4454" s="8">
        <v>0</v>
      </c>
      <c r="AH4454" s="7">
        <v>46002</v>
      </c>
      <c r="AN4454" s="8">
        <v>0</v>
      </c>
      <c r="AO4454" s="8">
        <v>720</v>
      </c>
    </row>
    <row r="4455" spans="1:41" x14ac:dyDescent="0.25">
      <c r="A4455" s="6" t="str">
        <f t="shared" si="1143"/>
        <v>525-2025000550</v>
      </c>
      <c r="B4455" s="6" t="str">
        <f t="shared" si="1138"/>
        <v>Lasa Int</v>
      </c>
      <c r="C4455" s="7">
        <v>45965</v>
      </c>
      <c r="D4455" s="7">
        <v>46037</v>
      </c>
      <c r="E4455" s="8">
        <v>18</v>
      </c>
      <c r="F4455" s="6" t="str">
        <f t="shared" si="1144"/>
        <v>PURE</v>
      </c>
      <c r="G4455" s="6" t="str">
        <f t="shared" si="1145"/>
        <v>F100021455000000</v>
      </c>
      <c r="H4455" s="6" t="str">
        <f t="shared" si="1146"/>
        <v>FA 214 - PURE - 550</v>
      </c>
      <c r="I4455" s="6" t="str">
        <f>"2596"</f>
        <v>2596</v>
      </c>
      <c r="J4455" s="6" t="str">
        <f>"VERDE 2596"</f>
        <v>VERDE 2596</v>
      </c>
      <c r="K4455" s="6" t="str">
        <f>"1535"</f>
        <v>1535</v>
      </c>
      <c r="L4455" s="6" t="str">
        <f>"Toalhões"</f>
        <v>Toalhões</v>
      </c>
      <c r="M4455" s="6" t="str">
        <f>"70x140"</f>
        <v>70x140</v>
      </c>
      <c r="N4455" s="6" t="str">
        <f>"5602972724486"</f>
        <v>5602972724486</v>
      </c>
      <c r="O4455" s="8">
        <v>240</v>
      </c>
      <c r="P4455" s="7">
        <v>45965</v>
      </c>
      <c r="R4455" s="8">
        <v>0</v>
      </c>
      <c r="S4455" s="7">
        <v>45968</v>
      </c>
      <c r="U4455" s="8">
        <v>240</v>
      </c>
      <c r="V4455" s="7">
        <v>45981</v>
      </c>
      <c r="X4455" s="8">
        <v>0</v>
      </c>
      <c r="Z4455" s="8">
        <v>0</v>
      </c>
      <c r="AA4455" s="7">
        <v>45996</v>
      </c>
      <c r="AC4455" s="8">
        <v>200</v>
      </c>
      <c r="AE4455" s="7">
        <v>46002</v>
      </c>
      <c r="AF4455" s="8">
        <v>200</v>
      </c>
      <c r="AH4455" s="7">
        <v>46002</v>
      </c>
      <c r="AN4455" s="8">
        <v>200</v>
      </c>
      <c r="AO4455" s="8">
        <v>40</v>
      </c>
    </row>
    <row r="4456" spans="1:41" x14ac:dyDescent="0.25">
      <c r="A4456" s="6" t="str">
        <f t="shared" si="1143"/>
        <v>525-2025000550</v>
      </c>
      <c r="B4456" s="6" t="str">
        <f t="shared" si="1138"/>
        <v>Lasa Int</v>
      </c>
      <c r="C4456" s="7">
        <v>45965</v>
      </c>
      <c r="D4456" s="7">
        <v>46037</v>
      </c>
      <c r="E4456" s="8">
        <v>19</v>
      </c>
      <c r="F4456" s="6" t="str">
        <f t="shared" si="1144"/>
        <v>PURE</v>
      </c>
      <c r="G4456" s="6" t="str">
        <f t="shared" si="1145"/>
        <v>F100021455000000</v>
      </c>
      <c r="H4456" s="6" t="str">
        <f t="shared" si="1146"/>
        <v>FA 214 - PURE - 550</v>
      </c>
      <c r="I4456" s="6" t="str">
        <f>"2596"</f>
        <v>2596</v>
      </c>
      <c r="J4456" s="6" t="str">
        <f>"VERDE 2596"</f>
        <v>VERDE 2596</v>
      </c>
      <c r="K4456" s="6" t="str">
        <f>"2020"</f>
        <v>2020</v>
      </c>
      <c r="L4456" s="6" t="str">
        <f>"Lençóis"</f>
        <v>Lençóis</v>
      </c>
      <c r="M4456" s="6" t="str">
        <f>"100x150"</f>
        <v>100x150</v>
      </c>
      <c r="N4456" s="6" t="str">
        <f>"5602972724493"</f>
        <v>5602972724493</v>
      </c>
      <c r="O4456" s="8">
        <v>80</v>
      </c>
      <c r="P4456" s="7">
        <v>45965</v>
      </c>
      <c r="R4456" s="8">
        <v>0</v>
      </c>
      <c r="S4456" s="7">
        <v>45968</v>
      </c>
      <c r="U4456" s="8">
        <v>80</v>
      </c>
      <c r="V4456" s="7">
        <v>45981</v>
      </c>
      <c r="X4456" s="8">
        <v>0</v>
      </c>
      <c r="Z4456" s="8">
        <v>0</v>
      </c>
      <c r="AA4456" s="7">
        <v>45996</v>
      </c>
      <c r="AC4456" s="8">
        <v>0</v>
      </c>
      <c r="AE4456" s="7">
        <v>46002</v>
      </c>
      <c r="AF4456" s="8">
        <v>0</v>
      </c>
      <c r="AH4456" s="7">
        <v>46002</v>
      </c>
      <c r="AN4456" s="8">
        <v>0</v>
      </c>
      <c r="AO4456" s="8">
        <v>80</v>
      </c>
    </row>
    <row r="4457" spans="1:41" x14ac:dyDescent="0.25">
      <c r="A4457" s="6" t="str">
        <f t="shared" si="1143"/>
        <v>525-2025000550</v>
      </c>
      <c r="B4457" s="6" t="str">
        <f t="shared" si="1138"/>
        <v>Lasa Int</v>
      </c>
      <c r="C4457" s="7">
        <v>45965</v>
      </c>
      <c r="D4457" s="7">
        <v>46037</v>
      </c>
      <c r="E4457" s="8">
        <v>20</v>
      </c>
      <c r="F4457" s="6" t="str">
        <f t="shared" si="1144"/>
        <v>PURE</v>
      </c>
      <c r="G4457" s="6" t="str">
        <f t="shared" si="1145"/>
        <v>F100021455000000</v>
      </c>
      <c r="H4457" s="6" t="str">
        <f t="shared" si="1146"/>
        <v>FA 214 - PURE - 550</v>
      </c>
      <c r="I4457" s="6" t="str">
        <f>"4383"</f>
        <v>4383</v>
      </c>
      <c r="J4457" s="6" t="str">
        <f>"AZUL 4383"</f>
        <v>AZUL 4383</v>
      </c>
      <c r="K4457" s="6" t="str">
        <f>"0112"</f>
        <v>0112</v>
      </c>
      <c r="L4457" s="6" t="str">
        <f>"Luvas"</f>
        <v>Luvas</v>
      </c>
      <c r="M4457" s="6" t="str">
        <f>"16x21"</f>
        <v>16x21</v>
      </c>
      <c r="N4457" s="6" t="str">
        <f>"5602972795332"</f>
        <v>5602972795332</v>
      </c>
      <c r="O4457" s="8">
        <v>300</v>
      </c>
      <c r="P4457" s="7">
        <v>45965</v>
      </c>
      <c r="R4457" s="8">
        <v>0</v>
      </c>
      <c r="S4457" s="7">
        <v>45968</v>
      </c>
      <c r="U4457" s="8">
        <v>300</v>
      </c>
      <c r="V4457" s="7">
        <v>45981</v>
      </c>
      <c r="X4457" s="8">
        <v>0</v>
      </c>
      <c r="Z4457" s="8">
        <v>300</v>
      </c>
      <c r="AA4457" s="7">
        <v>45996</v>
      </c>
      <c r="AC4457" s="8">
        <v>0</v>
      </c>
      <c r="AE4457" s="7">
        <v>46002</v>
      </c>
      <c r="AF4457" s="8">
        <v>0</v>
      </c>
      <c r="AH4457" s="7">
        <v>46002</v>
      </c>
      <c r="AN4457" s="8">
        <v>300</v>
      </c>
      <c r="AO4457" s="8">
        <v>0</v>
      </c>
    </row>
    <row r="4458" spans="1:41" x14ac:dyDescent="0.25">
      <c r="A4458" s="6" t="str">
        <f t="shared" si="1143"/>
        <v>525-2025000550</v>
      </c>
      <c r="B4458" s="6" t="str">
        <f t="shared" si="1138"/>
        <v>Lasa Int</v>
      </c>
      <c r="C4458" s="7">
        <v>45965</v>
      </c>
      <c r="D4458" s="7">
        <v>46037</v>
      </c>
      <c r="E4458" s="8">
        <v>21</v>
      </c>
      <c r="F4458" s="6" t="str">
        <f t="shared" si="1144"/>
        <v>PURE</v>
      </c>
      <c r="G4458" s="6" t="str">
        <f t="shared" si="1145"/>
        <v>F100021455000000</v>
      </c>
      <c r="H4458" s="6" t="str">
        <f t="shared" si="1146"/>
        <v>FA 214 - PURE - 550</v>
      </c>
      <c r="I4458" s="6" t="str">
        <f>"4383"</f>
        <v>4383</v>
      </c>
      <c r="J4458" s="6" t="str">
        <f>"AZUL 4383"</f>
        <v>AZUL 4383</v>
      </c>
      <c r="K4458" s="6" t="str">
        <f>"1024"</f>
        <v>1024</v>
      </c>
      <c r="L4458" s="6" t="str">
        <f>"Toalhas"</f>
        <v>Toalhas</v>
      </c>
      <c r="M4458" s="6" t="str">
        <f>"50x100"</f>
        <v>50x100</v>
      </c>
      <c r="N4458" s="6" t="str">
        <f>"5602972795356"</f>
        <v>5602972795356</v>
      </c>
      <c r="O4458" s="8">
        <v>720</v>
      </c>
      <c r="P4458" s="7">
        <v>45965</v>
      </c>
      <c r="R4458" s="8">
        <v>0</v>
      </c>
      <c r="S4458" s="7">
        <v>45968</v>
      </c>
      <c r="U4458" s="8">
        <v>720</v>
      </c>
      <c r="V4458" s="7">
        <v>45981</v>
      </c>
      <c r="X4458" s="8">
        <v>0</v>
      </c>
      <c r="Z4458" s="8">
        <v>720</v>
      </c>
      <c r="AA4458" s="7">
        <v>45996</v>
      </c>
      <c r="AC4458" s="8">
        <v>514</v>
      </c>
      <c r="AE4458" s="7">
        <v>46002</v>
      </c>
      <c r="AF4458" s="8">
        <v>514</v>
      </c>
      <c r="AH4458" s="7">
        <v>46002</v>
      </c>
      <c r="AN4458" s="8">
        <v>716</v>
      </c>
      <c r="AO4458" s="8">
        <v>4</v>
      </c>
    </row>
    <row r="4459" spans="1:41" x14ac:dyDescent="0.25">
      <c r="A4459" s="6" t="str">
        <f t="shared" si="1143"/>
        <v>525-2025000550</v>
      </c>
      <c r="B4459" s="6" t="str">
        <f t="shared" si="1138"/>
        <v>Lasa Int</v>
      </c>
      <c r="C4459" s="7">
        <v>45965</v>
      </c>
      <c r="D4459" s="7">
        <v>46037</v>
      </c>
      <c r="E4459" s="8">
        <v>22</v>
      </c>
      <c r="F4459" s="6" t="str">
        <f t="shared" si="1144"/>
        <v>PURE</v>
      </c>
      <c r="G4459" s="6" t="str">
        <f t="shared" si="1145"/>
        <v>F100021455000000</v>
      </c>
      <c r="H4459" s="6" t="str">
        <f t="shared" si="1146"/>
        <v>FA 214 - PURE - 550</v>
      </c>
      <c r="I4459" s="6" t="str">
        <f>"4383"</f>
        <v>4383</v>
      </c>
      <c r="J4459" s="6" t="str">
        <f>"AZUL 4383"</f>
        <v>AZUL 4383</v>
      </c>
      <c r="K4459" s="6" t="str">
        <f>"2020"</f>
        <v>2020</v>
      </c>
      <c r="L4459" s="6" t="str">
        <f>"Lençóis"</f>
        <v>Lençóis</v>
      </c>
      <c r="M4459" s="6" t="str">
        <f>"100x150"</f>
        <v>100x150</v>
      </c>
      <c r="N4459" s="6" t="str">
        <f>"5602972795370"</f>
        <v>5602972795370</v>
      </c>
      <c r="O4459" s="8">
        <v>240</v>
      </c>
      <c r="P4459" s="7">
        <v>45965</v>
      </c>
      <c r="R4459" s="8">
        <v>0</v>
      </c>
      <c r="S4459" s="7">
        <v>45968</v>
      </c>
      <c r="U4459" s="8">
        <v>240</v>
      </c>
      <c r="V4459" s="7">
        <v>45981</v>
      </c>
      <c r="X4459" s="8">
        <v>0</v>
      </c>
      <c r="Z4459" s="8">
        <v>240</v>
      </c>
      <c r="AA4459" s="7">
        <v>45996</v>
      </c>
      <c r="AC4459" s="8">
        <v>205</v>
      </c>
      <c r="AE4459" s="7">
        <v>46002</v>
      </c>
      <c r="AF4459" s="8">
        <v>205</v>
      </c>
      <c r="AH4459" s="7">
        <v>46002</v>
      </c>
      <c r="AN4459" s="8">
        <v>428</v>
      </c>
      <c r="AO4459" s="8">
        <v>-188</v>
      </c>
    </row>
    <row r="4460" spans="1:41" x14ac:dyDescent="0.25">
      <c r="A4460" s="6" t="str">
        <f t="shared" si="1143"/>
        <v>525-2025000550</v>
      </c>
      <c r="B4460" s="6" t="str">
        <f t="shared" si="1138"/>
        <v>Lasa Int</v>
      </c>
      <c r="C4460" s="7">
        <v>45965</v>
      </c>
      <c r="D4460" s="7">
        <v>46037</v>
      </c>
      <c r="E4460" s="8">
        <v>23</v>
      </c>
      <c r="F4460" s="6" t="str">
        <f t="shared" si="1144"/>
        <v>PURE</v>
      </c>
      <c r="G4460" s="6" t="str">
        <f t="shared" si="1145"/>
        <v>F100021455000000</v>
      </c>
      <c r="H4460" s="6" t="str">
        <f t="shared" si="1146"/>
        <v>FA 214 - PURE - 550</v>
      </c>
      <c r="I4460" s="6" t="str">
        <f>"5150"</f>
        <v>5150</v>
      </c>
      <c r="J4460" s="6" t="str">
        <f>"LARANJA 5150"</f>
        <v>LARANJA 5150</v>
      </c>
      <c r="K4460" s="6" t="str">
        <f>"0530"</f>
        <v>0530</v>
      </c>
      <c r="L4460" s="6" t="str">
        <f>"Toalhetes"</f>
        <v>Toalhetes</v>
      </c>
      <c r="M4460" s="6" t="str">
        <f>"33x50"</f>
        <v>33x50</v>
      </c>
      <c r="N4460" s="6" t="str">
        <f>"5602972651492"</f>
        <v>5602972651492</v>
      </c>
      <c r="O4460" s="8">
        <v>450</v>
      </c>
      <c r="P4460" s="7">
        <v>45965</v>
      </c>
      <c r="R4460" s="8">
        <v>0</v>
      </c>
      <c r="S4460" s="7">
        <v>45968</v>
      </c>
      <c r="U4460" s="8">
        <v>450</v>
      </c>
      <c r="V4460" s="7">
        <v>45981</v>
      </c>
      <c r="X4460" s="8">
        <v>0</v>
      </c>
      <c r="Z4460" s="8">
        <v>450</v>
      </c>
      <c r="AA4460" s="7">
        <v>45996</v>
      </c>
      <c r="AC4460" s="8">
        <v>0</v>
      </c>
      <c r="AE4460" s="7">
        <v>46002</v>
      </c>
      <c r="AF4460" s="8">
        <v>0</v>
      </c>
      <c r="AH4460" s="7">
        <v>46002</v>
      </c>
      <c r="AN4460" s="8">
        <v>0</v>
      </c>
      <c r="AO4460" s="8">
        <v>450</v>
      </c>
    </row>
    <row r="4461" spans="1:41" x14ac:dyDescent="0.25">
      <c r="A4461" s="6" t="str">
        <f t="shared" si="1143"/>
        <v>525-2025000550</v>
      </c>
      <c r="B4461" s="6" t="str">
        <f t="shared" si="1138"/>
        <v>Lasa Int</v>
      </c>
      <c r="C4461" s="7">
        <v>45965</v>
      </c>
      <c r="D4461" s="7">
        <v>46037</v>
      </c>
      <c r="E4461" s="8">
        <v>24</v>
      </c>
      <c r="F4461" s="6" t="str">
        <f t="shared" si="1144"/>
        <v>PURE</v>
      </c>
      <c r="G4461" s="6" t="str">
        <f t="shared" si="1145"/>
        <v>F100021455000000</v>
      </c>
      <c r="H4461" s="6" t="str">
        <f t="shared" si="1146"/>
        <v>FA 214 - PURE - 550</v>
      </c>
      <c r="I4461" s="6" t="str">
        <f>"5150"</f>
        <v>5150</v>
      </c>
      <c r="J4461" s="6" t="str">
        <f>"LARANJA 5150"</f>
        <v>LARANJA 5150</v>
      </c>
      <c r="K4461" s="6" t="str">
        <f>"1024"</f>
        <v>1024</v>
      </c>
      <c r="L4461" s="6" t="str">
        <f>"Toalhas"</f>
        <v>Toalhas</v>
      </c>
      <c r="M4461" s="6" t="str">
        <f>"50x100"</f>
        <v>50x100</v>
      </c>
      <c r="N4461" s="6" t="str">
        <f>"5602972651508"</f>
        <v>5602972651508</v>
      </c>
      <c r="O4461" s="8">
        <v>480</v>
      </c>
      <c r="P4461" s="7">
        <v>45965</v>
      </c>
      <c r="R4461" s="8">
        <v>0</v>
      </c>
      <c r="S4461" s="7">
        <v>45968</v>
      </c>
      <c r="U4461" s="8">
        <v>480</v>
      </c>
      <c r="V4461" s="7">
        <v>45981</v>
      </c>
      <c r="X4461" s="8">
        <v>0</v>
      </c>
      <c r="Z4461" s="8">
        <v>480</v>
      </c>
      <c r="AA4461" s="7">
        <v>45996</v>
      </c>
      <c r="AC4461" s="8">
        <v>0</v>
      </c>
      <c r="AE4461" s="7">
        <v>46002</v>
      </c>
      <c r="AF4461" s="8">
        <v>0</v>
      </c>
      <c r="AH4461" s="7">
        <v>46002</v>
      </c>
      <c r="AN4461" s="8">
        <v>0</v>
      </c>
      <c r="AO4461" s="8">
        <v>480</v>
      </c>
    </row>
    <row r="4462" spans="1:41" x14ac:dyDescent="0.25">
      <c r="A4462" s="6" t="str">
        <f t="shared" si="1143"/>
        <v>525-2025000550</v>
      </c>
      <c r="B4462" s="6" t="str">
        <f t="shared" si="1138"/>
        <v>Lasa Int</v>
      </c>
      <c r="C4462" s="7">
        <v>45965</v>
      </c>
      <c r="D4462" s="7">
        <v>46037</v>
      </c>
      <c r="E4462" s="8">
        <v>25</v>
      </c>
      <c r="F4462" s="6" t="str">
        <f t="shared" si="1144"/>
        <v>PURE</v>
      </c>
      <c r="G4462" s="6" t="str">
        <f t="shared" si="1145"/>
        <v>F100021455000000</v>
      </c>
      <c r="H4462" s="6" t="str">
        <f t="shared" si="1146"/>
        <v>FA 214 - PURE - 550</v>
      </c>
      <c r="I4462" s="6" t="str">
        <f>"5150"</f>
        <v>5150</v>
      </c>
      <c r="J4462" s="6" t="str">
        <f>"LARANJA 5150"</f>
        <v>LARANJA 5150</v>
      </c>
      <c r="K4462" s="6" t="str">
        <f>"1535"</f>
        <v>1535</v>
      </c>
      <c r="L4462" s="6" t="str">
        <f>"Toalhões"</f>
        <v>Toalhões</v>
      </c>
      <c r="M4462" s="6" t="str">
        <f>"70x140"</f>
        <v>70x140</v>
      </c>
      <c r="N4462" s="6" t="str">
        <f>"5602972651515"</f>
        <v>5602972651515</v>
      </c>
      <c r="O4462" s="8">
        <v>240</v>
      </c>
      <c r="P4462" s="7">
        <v>45965</v>
      </c>
      <c r="R4462" s="8">
        <v>0</v>
      </c>
      <c r="S4462" s="7">
        <v>45968</v>
      </c>
      <c r="U4462" s="8">
        <v>240</v>
      </c>
      <c r="V4462" s="7">
        <v>45981</v>
      </c>
      <c r="X4462" s="8">
        <v>0</v>
      </c>
      <c r="Z4462" s="8">
        <v>240</v>
      </c>
      <c r="AA4462" s="7">
        <v>45996</v>
      </c>
      <c r="AC4462" s="8">
        <v>218</v>
      </c>
      <c r="AE4462" s="7">
        <v>46002</v>
      </c>
      <c r="AF4462" s="8">
        <v>218</v>
      </c>
      <c r="AH4462" s="7">
        <v>46002</v>
      </c>
      <c r="AN4462" s="8">
        <v>218</v>
      </c>
      <c r="AO4462" s="8">
        <v>22</v>
      </c>
    </row>
    <row r="4463" spans="1:41" x14ac:dyDescent="0.25">
      <c r="A4463" s="6" t="str">
        <f t="shared" si="1143"/>
        <v>525-2025000550</v>
      </c>
      <c r="B4463" s="6" t="str">
        <f t="shared" si="1138"/>
        <v>Lasa Int</v>
      </c>
      <c r="C4463" s="7">
        <v>45965</v>
      </c>
      <c r="D4463" s="7">
        <v>46037</v>
      </c>
      <c r="E4463" s="8">
        <v>26</v>
      </c>
      <c r="F4463" s="6" t="str">
        <f t="shared" si="1144"/>
        <v>PURE</v>
      </c>
      <c r="G4463" s="6" t="str">
        <f>"F161003770000000"</f>
        <v>F161003770000000</v>
      </c>
      <c r="H4463" s="6" t="str">
        <f>"TA 37 - 700 g/m²"</f>
        <v>TA 37 - 700 g/m²</v>
      </c>
      <c r="I4463" s="6" t="str">
        <f>"1"</f>
        <v>1</v>
      </c>
      <c r="J4463" s="6" t="str">
        <f>"BRANCO"</f>
        <v>BRANCO</v>
      </c>
      <c r="K4463" s="6" t="str">
        <f>"3012"</f>
        <v>3012</v>
      </c>
      <c r="L4463" s="6" t="str">
        <f>"Tapetes"</f>
        <v>Tapetes</v>
      </c>
      <c r="M4463" s="6" t="str">
        <f t="shared" ref="M4463:M4471" si="1147">"50x70"</f>
        <v>50x70</v>
      </c>
      <c r="N4463" s="6" t="str">
        <f>"5602972906042"</f>
        <v>5602972906042</v>
      </c>
      <c r="O4463" s="8">
        <v>200</v>
      </c>
      <c r="P4463" s="7">
        <v>45965</v>
      </c>
      <c r="R4463" s="8">
        <v>0</v>
      </c>
      <c r="S4463" s="7">
        <v>45968</v>
      </c>
      <c r="U4463" s="8">
        <v>200</v>
      </c>
      <c r="V4463" s="7">
        <v>45981</v>
      </c>
      <c r="X4463" s="8">
        <v>0</v>
      </c>
      <c r="Z4463" s="8">
        <v>200</v>
      </c>
      <c r="AA4463" s="7">
        <v>45996</v>
      </c>
      <c r="AC4463" s="8">
        <v>0</v>
      </c>
      <c r="AE4463" s="7">
        <v>46002</v>
      </c>
      <c r="AF4463" s="8">
        <v>0</v>
      </c>
      <c r="AH4463" s="7">
        <v>46002</v>
      </c>
      <c r="AN4463" s="8">
        <v>0</v>
      </c>
      <c r="AO4463" s="8">
        <v>200</v>
      </c>
    </row>
    <row r="4464" spans="1:41" x14ac:dyDescent="0.25">
      <c r="A4464" s="6" t="str">
        <f t="shared" si="1143"/>
        <v>525-2025000550</v>
      </c>
      <c r="B4464" s="6" t="str">
        <f t="shared" si="1138"/>
        <v>Lasa Int</v>
      </c>
      <c r="C4464" s="7">
        <v>45965</v>
      </c>
      <c r="D4464" s="7">
        <v>46037</v>
      </c>
      <c r="E4464" s="8">
        <v>27</v>
      </c>
      <c r="F4464" s="6" t="str">
        <f t="shared" si="1144"/>
        <v>PURE</v>
      </c>
      <c r="G4464" s="6" t="str">
        <f>"F161003770000000"</f>
        <v>F161003770000000</v>
      </c>
      <c r="H4464" s="6" t="str">
        <f>"TA 37 - 700 g/m²"</f>
        <v>TA 37 - 700 g/m²</v>
      </c>
      <c r="I4464" s="6" t="str">
        <f>"5150"</f>
        <v>5150</v>
      </c>
      <c r="J4464" s="6" t="str">
        <f>"LARANJA 5150"</f>
        <v>LARANJA 5150</v>
      </c>
      <c r="K4464" s="6" t="str">
        <f>"3012"</f>
        <v>3012</v>
      </c>
      <c r="L4464" s="6" t="str">
        <f>"Tapetes"</f>
        <v>Tapetes</v>
      </c>
      <c r="M4464" s="6" t="str">
        <f t="shared" si="1147"/>
        <v>50x70</v>
      </c>
      <c r="N4464" s="6" t="str">
        <f>"5602972651553"</f>
        <v>5602972651553</v>
      </c>
      <c r="O4464" s="8">
        <v>100</v>
      </c>
      <c r="P4464" s="7">
        <v>45965</v>
      </c>
      <c r="R4464" s="8">
        <v>1572</v>
      </c>
      <c r="S4464" s="7">
        <v>45968</v>
      </c>
      <c r="U4464" s="8">
        <v>100</v>
      </c>
      <c r="V4464" s="7">
        <v>45981</v>
      </c>
      <c r="X4464" s="8">
        <v>0</v>
      </c>
      <c r="Z4464" s="8">
        <v>100</v>
      </c>
      <c r="AA4464" s="7">
        <v>45996</v>
      </c>
      <c r="AC4464" s="8">
        <v>87</v>
      </c>
      <c r="AE4464" s="7">
        <v>46002</v>
      </c>
      <c r="AF4464" s="8">
        <v>87</v>
      </c>
      <c r="AH4464" s="7">
        <v>46002</v>
      </c>
      <c r="AN4464" s="8">
        <v>87</v>
      </c>
      <c r="AO4464" s="8">
        <v>13</v>
      </c>
    </row>
    <row r="4465" spans="1:41" x14ac:dyDescent="0.25">
      <c r="A4465" s="6" t="str">
        <f t="shared" ref="A4465:A4471" si="1148">"525-2025000552"</f>
        <v>525-2025000552</v>
      </c>
      <c r="B4465" s="6" t="str">
        <f t="shared" si="1138"/>
        <v>Lasa Int</v>
      </c>
      <c r="C4465" s="7">
        <v>45965</v>
      </c>
      <c r="D4465" s="7">
        <v>46065</v>
      </c>
      <c r="E4465" s="8">
        <v>1</v>
      </c>
      <c r="F4465" s="6" t="str">
        <f t="shared" ref="F4465:F4471" si="1149">"Sette"</f>
        <v>Sette</v>
      </c>
      <c r="G4465" s="6" t="str">
        <f t="shared" ref="G4465:G4471" si="1150">"C001242724500000"</f>
        <v>C001242724500000</v>
      </c>
      <c r="H4465" s="6" t="str">
        <f t="shared" ref="H4465:H4471" si="1151">"CZJ 2427 - 245 g/m²"</f>
        <v>CZJ 2427 - 245 g/m²</v>
      </c>
      <c r="I4465" s="6" t="str">
        <f>"200952"</f>
        <v>200952</v>
      </c>
      <c r="J4465" s="6" t="str">
        <f>"VERDE 952"</f>
        <v>VERDE 952</v>
      </c>
      <c r="K4465" s="6" t="str">
        <f t="shared" ref="K4465:K4471" si="1152">"0830"</f>
        <v>0830</v>
      </c>
      <c r="L4465" s="6" t="str">
        <f t="shared" ref="L4465:L4471" si="1153">"Cozinha"</f>
        <v>Cozinha</v>
      </c>
      <c r="M4465" s="6" t="str">
        <f t="shared" si="1147"/>
        <v>50x70</v>
      </c>
      <c r="N4465" s="6" t="str">
        <f>"5602972517866"</f>
        <v>5602972517866</v>
      </c>
      <c r="O4465" s="8">
        <v>900</v>
      </c>
      <c r="P4465" s="7">
        <v>46010</v>
      </c>
      <c r="R4465" s="8">
        <v>960</v>
      </c>
      <c r="S4465" s="7">
        <v>46015</v>
      </c>
      <c r="U4465" s="8">
        <v>960</v>
      </c>
      <c r="V4465" s="7">
        <v>46028</v>
      </c>
      <c r="X4465" s="8">
        <v>0</v>
      </c>
      <c r="Z4465" s="8">
        <v>960</v>
      </c>
      <c r="AA4465" s="7">
        <v>46042</v>
      </c>
      <c r="AC4465" s="8">
        <v>0</v>
      </c>
      <c r="AE4465" s="7">
        <v>46045</v>
      </c>
      <c r="AF4465" s="8">
        <v>0</v>
      </c>
      <c r="AH4465" s="7">
        <v>46045</v>
      </c>
      <c r="AN4465" s="8">
        <v>0</v>
      </c>
      <c r="AO4465" s="8">
        <v>900</v>
      </c>
    </row>
    <row r="4466" spans="1:41" x14ac:dyDescent="0.25">
      <c r="A4466" s="6" t="str">
        <f t="shared" si="1148"/>
        <v>525-2025000552</v>
      </c>
      <c r="B4466" s="6" t="str">
        <f t="shared" si="1138"/>
        <v>Lasa Int</v>
      </c>
      <c r="C4466" s="7">
        <v>45965</v>
      </c>
      <c r="D4466" s="7">
        <v>46065</v>
      </c>
      <c r="E4466" s="8">
        <v>2</v>
      </c>
      <c r="F4466" s="6" t="str">
        <f t="shared" si="1149"/>
        <v>Sette</v>
      </c>
      <c r="G4466" s="6" t="str">
        <f t="shared" si="1150"/>
        <v>C001242724500000</v>
      </c>
      <c r="H4466" s="6" t="str">
        <f t="shared" si="1151"/>
        <v>CZJ 2427 - 245 g/m²</v>
      </c>
      <c r="I4466" s="6" t="str">
        <f>"201515"</f>
        <v>201515</v>
      </c>
      <c r="J4466" s="6" t="str">
        <f>"VERDE 1515"</f>
        <v>VERDE 1515</v>
      </c>
      <c r="K4466" s="6" t="str">
        <f t="shared" si="1152"/>
        <v>0830</v>
      </c>
      <c r="L4466" s="6" t="str">
        <f t="shared" si="1153"/>
        <v>Cozinha</v>
      </c>
      <c r="M4466" s="6" t="str">
        <f t="shared" si="1147"/>
        <v>50x70</v>
      </c>
      <c r="N4466" s="6" t="str">
        <f>"5602972517873"</f>
        <v>5602972517873</v>
      </c>
      <c r="O4466" s="8">
        <v>600</v>
      </c>
      <c r="P4466" s="7">
        <v>46010</v>
      </c>
      <c r="R4466" s="8">
        <v>640</v>
      </c>
      <c r="S4466" s="7">
        <v>46015</v>
      </c>
      <c r="U4466" s="8">
        <v>640</v>
      </c>
      <c r="V4466" s="7">
        <v>46028</v>
      </c>
      <c r="X4466" s="8">
        <v>0</v>
      </c>
      <c r="Z4466" s="8">
        <v>640</v>
      </c>
      <c r="AA4466" s="7">
        <v>46042</v>
      </c>
      <c r="AC4466" s="8">
        <v>0</v>
      </c>
      <c r="AE4466" s="7">
        <v>46045</v>
      </c>
      <c r="AF4466" s="8">
        <v>0</v>
      </c>
      <c r="AH4466" s="7">
        <v>46045</v>
      </c>
      <c r="AN4466" s="8">
        <v>0</v>
      </c>
      <c r="AO4466" s="8">
        <v>600</v>
      </c>
    </row>
    <row r="4467" spans="1:41" x14ac:dyDescent="0.25">
      <c r="A4467" s="6" t="str">
        <f t="shared" si="1148"/>
        <v>525-2025000552</v>
      </c>
      <c r="B4467" s="6" t="str">
        <f t="shared" si="1138"/>
        <v>Lasa Int</v>
      </c>
      <c r="C4467" s="7">
        <v>45965</v>
      </c>
      <c r="D4467" s="7">
        <v>46065</v>
      </c>
      <c r="E4467" s="8">
        <v>3</v>
      </c>
      <c r="F4467" s="6" t="str">
        <f t="shared" si="1149"/>
        <v>Sette</v>
      </c>
      <c r="G4467" s="6" t="str">
        <f t="shared" si="1150"/>
        <v>C001242724500000</v>
      </c>
      <c r="H4467" s="6" t="str">
        <f t="shared" si="1151"/>
        <v>CZJ 2427 - 245 g/m²</v>
      </c>
      <c r="I4467" s="6" t="str">
        <f>"201652"</f>
        <v>201652</v>
      </c>
      <c r="J4467" s="6" t="str">
        <f>"MOSTARDA 1652"</f>
        <v>MOSTARDA 1652</v>
      </c>
      <c r="K4467" s="6" t="str">
        <f t="shared" si="1152"/>
        <v>0830</v>
      </c>
      <c r="L4467" s="6" t="str">
        <f t="shared" si="1153"/>
        <v>Cozinha</v>
      </c>
      <c r="M4467" s="6" t="str">
        <f t="shared" si="1147"/>
        <v>50x70</v>
      </c>
      <c r="N4467" s="6" t="str">
        <f>"5602972517880"</f>
        <v>5602972517880</v>
      </c>
      <c r="O4467" s="8">
        <v>600</v>
      </c>
      <c r="P4467" s="7">
        <v>46010</v>
      </c>
      <c r="R4467" s="8">
        <v>640</v>
      </c>
      <c r="S4467" s="7">
        <v>46015</v>
      </c>
      <c r="U4467" s="8">
        <v>640</v>
      </c>
      <c r="V4467" s="7">
        <v>46028</v>
      </c>
      <c r="X4467" s="8">
        <v>0</v>
      </c>
      <c r="Z4467" s="8">
        <v>640</v>
      </c>
      <c r="AA4467" s="7">
        <v>46042</v>
      </c>
      <c r="AC4467" s="8">
        <v>0</v>
      </c>
      <c r="AE4467" s="7">
        <v>46045</v>
      </c>
      <c r="AF4467" s="8">
        <v>0</v>
      </c>
      <c r="AH4467" s="7">
        <v>46045</v>
      </c>
      <c r="AN4467" s="8">
        <v>0</v>
      </c>
      <c r="AO4467" s="8">
        <v>600</v>
      </c>
    </row>
    <row r="4468" spans="1:41" x14ac:dyDescent="0.25">
      <c r="A4468" s="6" t="str">
        <f t="shared" si="1148"/>
        <v>525-2025000552</v>
      </c>
      <c r="B4468" s="6" t="str">
        <f t="shared" si="1138"/>
        <v>Lasa Int</v>
      </c>
      <c r="C4468" s="7">
        <v>45965</v>
      </c>
      <c r="D4468" s="7">
        <v>46065</v>
      </c>
      <c r="E4468" s="8">
        <v>4</v>
      </c>
      <c r="F4468" s="6" t="str">
        <f t="shared" si="1149"/>
        <v>Sette</v>
      </c>
      <c r="G4468" s="6" t="str">
        <f t="shared" si="1150"/>
        <v>C001242724500000</v>
      </c>
      <c r="H4468" s="6" t="str">
        <f t="shared" si="1151"/>
        <v>CZJ 2427 - 245 g/m²</v>
      </c>
      <c r="I4468" s="6" t="str">
        <f>"202332"</f>
        <v>202332</v>
      </c>
      <c r="J4468" s="6" t="str">
        <f>"CINZA 2332"</f>
        <v>CINZA 2332</v>
      </c>
      <c r="K4468" s="6" t="str">
        <f t="shared" si="1152"/>
        <v>0830</v>
      </c>
      <c r="L4468" s="6" t="str">
        <f t="shared" si="1153"/>
        <v>Cozinha</v>
      </c>
      <c r="M4468" s="6" t="str">
        <f t="shared" si="1147"/>
        <v>50x70</v>
      </c>
      <c r="N4468" s="6" t="str">
        <f>"5602972517897"</f>
        <v>5602972517897</v>
      </c>
      <c r="O4468" s="8">
        <v>700</v>
      </c>
      <c r="P4468" s="7">
        <v>46010</v>
      </c>
      <c r="R4468" s="8">
        <v>756</v>
      </c>
      <c r="S4468" s="7">
        <v>46015</v>
      </c>
      <c r="U4468" s="8">
        <v>756</v>
      </c>
      <c r="V4468" s="7">
        <v>46028</v>
      </c>
      <c r="X4468" s="8">
        <v>0</v>
      </c>
      <c r="Z4468" s="8">
        <v>756</v>
      </c>
      <c r="AA4468" s="7">
        <v>46042</v>
      </c>
      <c r="AC4468" s="8">
        <v>0</v>
      </c>
      <c r="AE4468" s="7">
        <v>46045</v>
      </c>
      <c r="AF4468" s="8">
        <v>0</v>
      </c>
      <c r="AH4468" s="7">
        <v>46045</v>
      </c>
      <c r="AN4468" s="8">
        <v>0</v>
      </c>
      <c r="AO4468" s="8">
        <v>700</v>
      </c>
    </row>
    <row r="4469" spans="1:41" x14ac:dyDescent="0.25">
      <c r="A4469" s="6" t="str">
        <f t="shared" si="1148"/>
        <v>525-2025000552</v>
      </c>
      <c r="B4469" s="6" t="str">
        <f t="shared" si="1138"/>
        <v>Lasa Int</v>
      </c>
      <c r="C4469" s="7">
        <v>45965</v>
      </c>
      <c r="D4469" s="7">
        <v>46065</v>
      </c>
      <c r="E4469" s="8">
        <v>5</v>
      </c>
      <c r="F4469" s="6" t="str">
        <f t="shared" si="1149"/>
        <v>Sette</v>
      </c>
      <c r="G4469" s="6" t="str">
        <f t="shared" si="1150"/>
        <v>C001242724500000</v>
      </c>
      <c r="H4469" s="6" t="str">
        <f t="shared" si="1151"/>
        <v>CZJ 2427 - 245 g/m²</v>
      </c>
      <c r="I4469" s="6" t="str">
        <f>"203922"</f>
        <v>203922</v>
      </c>
      <c r="J4469" s="6" t="str">
        <f>"AZUL 3922"</f>
        <v>AZUL 3922</v>
      </c>
      <c r="K4469" s="6" t="str">
        <f t="shared" si="1152"/>
        <v>0830</v>
      </c>
      <c r="L4469" s="6" t="str">
        <f t="shared" si="1153"/>
        <v>Cozinha</v>
      </c>
      <c r="M4469" s="6" t="str">
        <f t="shared" si="1147"/>
        <v>50x70</v>
      </c>
      <c r="N4469" s="6" t="str">
        <f>"5602972517903"</f>
        <v>5602972517903</v>
      </c>
      <c r="O4469" s="8">
        <v>800</v>
      </c>
      <c r="P4469" s="7">
        <v>46010</v>
      </c>
      <c r="R4469" s="8">
        <v>852</v>
      </c>
      <c r="S4469" s="7">
        <v>46015</v>
      </c>
      <c r="U4469" s="8">
        <v>852</v>
      </c>
      <c r="V4469" s="7">
        <v>46028</v>
      </c>
      <c r="X4469" s="8">
        <v>0</v>
      </c>
      <c r="Z4469" s="8">
        <v>852</v>
      </c>
      <c r="AA4469" s="7">
        <v>46042</v>
      </c>
      <c r="AC4469" s="8">
        <v>0</v>
      </c>
      <c r="AE4469" s="7">
        <v>46045</v>
      </c>
      <c r="AF4469" s="8">
        <v>0</v>
      </c>
      <c r="AH4469" s="7">
        <v>46045</v>
      </c>
      <c r="AN4469" s="8">
        <v>0</v>
      </c>
      <c r="AO4469" s="8">
        <v>800</v>
      </c>
    </row>
    <row r="4470" spans="1:41" x14ac:dyDescent="0.25">
      <c r="A4470" s="6" t="str">
        <f t="shared" si="1148"/>
        <v>525-2025000552</v>
      </c>
      <c r="B4470" s="6" t="str">
        <f t="shared" si="1138"/>
        <v>Lasa Int</v>
      </c>
      <c r="C4470" s="7">
        <v>45965</v>
      </c>
      <c r="D4470" s="7">
        <v>46065</v>
      </c>
      <c r="E4470" s="8">
        <v>6</v>
      </c>
      <c r="F4470" s="6" t="str">
        <f t="shared" si="1149"/>
        <v>Sette</v>
      </c>
      <c r="G4470" s="6" t="str">
        <f t="shared" si="1150"/>
        <v>C001242724500000</v>
      </c>
      <c r="H4470" s="6" t="str">
        <f t="shared" si="1151"/>
        <v>CZJ 2427 - 245 g/m²</v>
      </c>
      <c r="I4470" s="6" t="str">
        <f>"204042"</f>
        <v>204042</v>
      </c>
      <c r="J4470" s="6" t="str">
        <f>"TIJOLO 4042"</f>
        <v>TIJOLO 4042</v>
      </c>
      <c r="K4470" s="6" t="str">
        <f t="shared" si="1152"/>
        <v>0830</v>
      </c>
      <c r="L4470" s="6" t="str">
        <f t="shared" si="1153"/>
        <v>Cozinha</v>
      </c>
      <c r="M4470" s="6" t="str">
        <f t="shared" si="1147"/>
        <v>50x70</v>
      </c>
      <c r="N4470" s="6" t="str">
        <f>"5602972517910"</f>
        <v>5602972517910</v>
      </c>
      <c r="O4470" s="8">
        <v>600</v>
      </c>
      <c r="P4470" s="7">
        <v>46010</v>
      </c>
      <c r="R4470" s="8">
        <v>648</v>
      </c>
      <c r="S4470" s="7">
        <v>46015</v>
      </c>
      <c r="U4470" s="8">
        <v>648</v>
      </c>
      <c r="V4470" s="7">
        <v>46028</v>
      </c>
      <c r="X4470" s="8">
        <v>0</v>
      </c>
      <c r="Z4470" s="8">
        <v>648</v>
      </c>
      <c r="AA4470" s="7">
        <v>46042</v>
      </c>
      <c r="AC4470" s="8">
        <v>0</v>
      </c>
      <c r="AE4470" s="7">
        <v>46045</v>
      </c>
      <c r="AF4470" s="8">
        <v>0</v>
      </c>
      <c r="AH4470" s="7">
        <v>46045</v>
      </c>
      <c r="AN4470" s="8">
        <v>0</v>
      </c>
      <c r="AO4470" s="8">
        <v>600</v>
      </c>
    </row>
    <row r="4471" spans="1:41" x14ac:dyDescent="0.25">
      <c r="A4471" s="6" t="str">
        <f t="shared" si="1148"/>
        <v>525-2025000552</v>
      </c>
      <c r="B4471" s="6" t="str">
        <f t="shared" si="1138"/>
        <v>Lasa Int</v>
      </c>
      <c r="C4471" s="7">
        <v>45965</v>
      </c>
      <c r="D4471" s="7">
        <v>46065</v>
      </c>
      <c r="E4471" s="8">
        <v>7</v>
      </c>
      <c r="F4471" s="6" t="str">
        <f t="shared" si="1149"/>
        <v>Sette</v>
      </c>
      <c r="G4471" s="6" t="str">
        <f t="shared" si="1150"/>
        <v>C001242724500000</v>
      </c>
      <c r="H4471" s="6" t="str">
        <f t="shared" si="1151"/>
        <v>CZJ 2427 - 245 g/m²</v>
      </c>
      <c r="I4471" s="6" t="str">
        <f>"204243"</f>
        <v>204243</v>
      </c>
      <c r="J4471" s="6" t="str">
        <f>"BEGE 4243"</f>
        <v>BEGE 4243</v>
      </c>
      <c r="K4471" s="6" t="str">
        <f t="shared" si="1152"/>
        <v>0830</v>
      </c>
      <c r="L4471" s="6" t="str">
        <f t="shared" si="1153"/>
        <v>Cozinha</v>
      </c>
      <c r="M4471" s="6" t="str">
        <f t="shared" si="1147"/>
        <v>50x70</v>
      </c>
      <c r="N4471" s="6" t="str">
        <f>"5602972517927"</f>
        <v>5602972517927</v>
      </c>
      <c r="O4471" s="8">
        <v>1000</v>
      </c>
      <c r="P4471" s="7">
        <v>46010</v>
      </c>
      <c r="R4471" s="8">
        <v>1116</v>
      </c>
      <c r="S4471" s="7">
        <v>46015</v>
      </c>
      <c r="U4471" s="8">
        <v>1116</v>
      </c>
      <c r="V4471" s="7">
        <v>46028</v>
      </c>
      <c r="X4471" s="8">
        <v>0</v>
      </c>
      <c r="Z4471" s="8">
        <v>1116</v>
      </c>
      <c r="AA4471" s="7">
        <v>46042</v>
      </c>
      <c r="AC4471" s="8">
        <v>0</v>
      </c>
      <c r="AE4471" s="7">
        <v>46045</v>
      </c>
      <c r="AF4471" s="8">
        <v>0</v>
      </c>
      <c r="AH4471" s="7">
        <v>46045</v>
      </c>
      <c r="AN4471" s="8">
        <v>0</v>
      </c>
      <c r="AO4471" s="8">
        <v>1000</v>
      </c>
    </row>
    <row r="4472" spans="1:41" x14ac:dyDescent="0.25">
      <c r="A4472" s="6" t="str">
        <f t="shared" ref="A4472:A4477" si="1154">"525-2025000553"</f>
        <v>525-2025000553</v>
      </c>
      <c r="B4472" s="6" t="str">
        <f t="shared" ref="B4472:B4535" si="1155">"Lasa Int"</f>
        <v>Lasa Int</v>
      </c>
      <c r="C4472" s="7">
        <v>45965</v>
      </c>
      <c r="D4472" s="7">
        <v>46065</v>
      </c>
      <c r="E4472" s="8">
        <v>1</v>
      </c>
      <c r="F4472" s="6" t="str">
        <f t="shared" ref="F4472:F4477" si="1156">"Efficience"</f>
        <v>Efficience</v>
      </c>
      <c r="G4472" s="6" t="str">
        <f>"F100312352000000"</f>
        <v>F100312352000000</v>
      </c>
      <c r="H4472" s="6" t="str">
        <f>"FA RC 3123 GRS - 520"</f>
        <v>FA RC 3123 GRS - 520</v>
      </c>
      <c r="I4472" s="6" t="str">
        <f t="shared" ref="I4472:I4477" si="1157">"5577"</f>
        <v>5577</v>
      </c>
      <c r="J4472" s="6" t="str">
        <f t="shared" ref="J4472:J4477" si="1158">"ROSA 5577"</f>
        <v>ROSA 5577</v>
      </c>
      <c r="K4472" s="6" t="str">
        <f>"0112"</f>
        <v>0112</v>
      </c>
      <c r="L4472" s="6" t="str">
        <f>"Luvas"</f>
        <v>Luvas</v>
      </c>
      <c r="M4472" s="6" t="str">
        <f>"16x21"</f>
        <v>16x21</v>
      </c>
      <c r="N4472" s="6" t="str">
        <f>"5602972684810"</f>
        <v>5602972684810</v>
      </c>
      <c r="O4472" s="8">
        <v>402</v>
      </c>
      <c r="P4472" s="7">
        <v>45965</v>
      </c>
      <c r="R4472" s="8">
        <v>0</v>
      </c>
      <c r="S4472" s="7">
        <v>45968</v>
      </c>
      <c r="U4472" s="8">
        <v>408</v>
      </c>
      <c r="V4472" s="7">
        <v>45979</v>
      </c>
      <c r="X4472" s="8">
        <v>0</v>
      </c>
      <c r="Z4472" s="8">
        <v>408</v>
      </c>
      <c r="AA4472" s="7">
        <v>45989</v>
      </c>
      <c r="AC4472" s="8">
        <v>0</v>
      </c>
      <c r="AE4472" s="7">
        <v>45994</v>
      </c>
      <c r="AF4472" s="8">
        <v>0</v>
      </c>
      <c r="AH4472" s="7">
        <v>45994</v>
      </c>
      <c r="AN4472" s="8">
        <v>396</v>
      </c>
      <c r="AO4472" s="8">
        <v>6</v>
      </c>
    </row>
    <row r="4473" spans="1:41" x14ac:dyDescent="0.25">
      <c r="A4473" s="6" t="str">
        <f t="shared" si="1154"/>
        <v>525-2025000553</v>
      </c>
      <c r="B4473" s="6" t="str">
        <f t="shared" si="1155"/>
        <v>Lasa Int</v>
      </c>
      <c r="C4473" s="7">
        <v>45965</v>
      </c>
      <c r="D4473" s="7">
        <v>46065</v>
      </c>
      <c r="E4473" s="8">
        <v>2</v>
      </c>
      <c r="F4473" s="6" t="str">
        <f t="shared" si="1156"/>
        <v>Efficience</v>
      </c>
      <c r="G4473" s="6" t="str">
        <f>"F100312352000000"</f>
        <v>F100312352000000</v>
      </c>
      <c r="H4473" s="6" t="str">
        <f>"FA RC 3123 GRS - 520"</f>
        <v>FA RC 3123 GRS - 520</v>
      </c>
      <c r="I4473" s="6" t="str">
        <f t="shared" si="1157"/>
        <v>5577</v>
      </c>
      <c r="J4473" s="6" t="str">
        <f t="shared" si="1158"/>
        <v>ROSA 5577</v>
      </c>
      <c r="K4473" s="6" t="str">
        <f>"0520"</f>
        <v>0520</v>
      </c>
      <c r="L4473" s="6" t="str">
        <f>"Toalhetes"</f>
        <v>Toalhetes</v>
      </c>
      <c r="M4473" s="6" t="str">
        <f>"30x50"</f>
        <v>30x50</v>
      </c>
      <c r="N4473" s="6" t="str">
        <f>"5602972684827"</f>
        <v>5602972684827</v>
      </c>
      <c r="O4473" s="8">
        <v>240</v>
      </c>
      <c r="P4473" s="7">
        <v>45965</v>
      </c>
      <c r="R4473" s="8">
        <v>0</v>
      </c>
      <c r="S4473" s="7">
        <v>45968</v>
      </c>
      <c r="U4473" s="8">
        <v>300</v>
      </c>
      <c r="V4473" s="7">
        <v>45979</v>
      </c>
      <c r="X4473" s="8">
        <v>0</v>
      </c>
      <c r="Z4473" s="8">
        <v>300</v>
      </c>
      <c r="AA4473" s="7">
        <v>45989</v>
      </c>
      <c r="AC4473" s="8">
        <v>0</v>
      </c>
      <c r="AE4473" s="7">
        <v>45994</v>
      </c>
      <c r="AF4473" s="8">
        <v>0</v>
      </c>
      <c r="AH4473" s="7">
        <v>45994</v>
      </c>
      <c r="AN4473" s="8">
        <v>0</v>
      </c>
      <c r="AO4473" s="8">
        <v>240</v>
      </c>
    </row>
    <row r="4474" spans="1:41" x14ac:dyDescent="0.25">
      <c r="A4474" s="6" t="str">
        <f t="shared" si="1154"/>
        <v>525-2025000553</v>
      </c>
      <c r="B4474" s="6" t="str">
        <f t="shared" si="1155"/>
        <v>Lasa Int</v>
      </c>
      <c r="C4474" s="7">
        <v>45965</v>
      </c>
      <c r="D4474" s="7">
        <v>46065</v>
      </c>
      <c r="E4474" s="8">
        <v>3</v>
      </c>
      <c r="F4474" s="6" t="str">
        <f t="shared" si="1156"/>
        <v>Efficience</v>
      </c>
      <c r="G4474" s="6" t="str">
        <f>"F100312352000000"</f>
        <v>F100312352000000</v>
      </c>
      <c r="H4474" s="6" t="str">
        <f>"FA RC 3123 GRS - 520"</f>
        <v>FA RC 3123 GRS - 520</v>
      </c>
      <c r="I4474" s="6" t="str">
        <f t="shared" si="1157"/>
        <v>5577</v>
      </c>
      <c r="J4474" s="6" t="str">
        <f t="shared" si="1158"/>
        <v>ROSA 5577</v>
      </c>
      <c r="K4474" s="6" t="str">
        <f>"1024"</f>
        <v>1024</v>
      </c>
      <c r="L4474" s="6" t="str">
        <f>"Toalhas"</f>
        <v>Toalhas</v>
      </c>
      <c r="M4474" s="6" t="str">
        <f>"50x100"</f>
        <v>50x100</v>
      </c>
      <c r="N4474" s="6" t="str">
        <f>"5602972684834"</f>
        <v>5602972684834</v>
      </c>
      <c r="O4474" s="8">
        <v>720</v>
      </c>
      <c r="P4474" s="7">
        <v>45965</v>
      </c>
      <c r="R4474" s="8">
        <v>0</v>
      </c>
      <c r="S4474" s="7">
        <v>45968</v>
      </c>
      <c r="U4474" s="8">
        <v>720</v>
      </c>
      <c r="V4474" s="7">
        <v>45979</v>
      </c>
      <c r="X4474" s="8">
        <v>0</v>
      </c>
      <c r="Z4474" s="8">
        <v>720</v>
      </c>
      <c r="AA4474" s="7">
        <v>45989</v>
      </c>
      <c r="AC4474" s="8">
        <v>0</v>
      </c>
      <c r="AE4474" s="7">
        <v>45994</v>
      </c>
      <c r="AF4474" s="8">
        <v>0</v>
      </c>
      <c r="AH4474" s="7">
        <v>45994</v>
      </c>
      <c r="AN4474" s="8">
        <v>0</v>
      </c>
      <c r="AO4474" s="8">
        <v>720</v>
      </c>
    </row>
    <row r="4475" spans="1:41" x14ac:dyDescent="0.25">
      <c r="A4475" s="6" t="str">
        <f t="shared" si="1154"/>
        <v>525-2025000553</v>
      </c>
      <c r="B4475" s="6" t="str">
        <f t="shared" si="1155"/>
        <v>Lasa Int</v>
      </c>
      <c r="C4475" s="7">
        <v>45965</v>
      </c>
      <c r="D4475" s="7">
        <v>46065</v>
      </c>
      <c r="E4475" s="8">
        <v>4</v>
      </c>
      <c r="F4475" s="6" t="str">
        <f t="shared" si="1156"/>
        <v>Efficience</v>
      </c>
      <c r="G4475" s="6" t="str">
        <f>"F100312352000000"</f>
        <v>F100312352000000</v>
      </c>
      <c r="H4475" s="6" t="str">
        <f>"FA RC 3123 GRS - 520"</f>
        <v>FA RC 3123 GRS - 520</v>
      </c>
      <c r="I4475" s="6" t="str">
        <f t="shared" si="1157"/>
        <v>5577</v>
      </c>
      <c r="J4475" s="6" t="str">
        <f t="shared" si="1158"/>
        <v>ROSA 5577</v>
      </c>
      <c r="K4475" s="6" t="str">
        <f>"1535"</f>
        <v>1535</v>
      </c>
      <c r="L4475" s="6" t="str">
        <f>"Toalhões"</f>
        <v>Toalhões</v>
      </c>
      <c r="M4475" s="6" t="str">
        <f>"70x140"</f>
        <v>70x140</v>
      </c>
      <c r="N4475" s="6" t="str">
        <f>"5602972684841"</f>
        <v>5602972684841</v>
      </c>
      <c r="O4475" s="8">
        <v>120</v>
      </c>
      <c r="P4475" s="7">
        <v>45965</v>
      </c>
      <c r="R4475" s="8">
        <v>0</v>
      </c>
      <c r="S4475" s="7">
        <v>45968</v>
      </c>
      <c r="U4475" s="8">
        <v>120</v>
      </c>
      <c r="V4475" s="7">
        <v>45979</v>
      </c>
      <c r="X4475" s="8">
        <v>0</v>
      </c>
      <c r="Z4475" s="8">
        <v>120</v>
      </c>
      <c r="AA4475" s="7">
        <v>45989</v>
      </c>
      <c r="AC4475" s="8">
        <v>0</v>
      </c>
      <c r="AE4475" s="7">
        <v>45994</v>
      </c>
      <c r="AF4475" s="8">
        <v>0</v>
      </c>
      <c r="AH4475" s="7">
        <v>45994</v>
      </c>
      <c r="AN4475" s="8">
        <v>0</v>
      </c>
      <c r="AO4475" s="8">
        <v>120</v>
      </c>
    </row>
    <row r="4476" spans="1:41" x14ac:dyDescent="0.25">
      <c r="A4476" s="6" t="str">
        <f t="shared" si="1154"/>
        <v>525-2025000553</v>
      </c>
      <c r="B4476" s="6" t="str">
        <f t="shared" si="1155"/>
        <v>Lasa Int</v>
      </c>
      <c r="C4476" s="7">
        <v>45965</v>
      </c>
      <c r="D4476" s="7">
        <v>46065</v>
      </c>
      <c r="E4476" s="8">
        <v>5</v>
      </c>
      <c r="F4476" s="6" t="str">
        <f t="shared" si="1156"/>
        <v>Efficience</v>
      </c>
      <c r="G4476" s="6" t="str">
        <f>"F100312352000000"</f>
        <v>F100312352000000</v>
      </c>
      <c r="H4476" s="6" t="str">
        <f>"FA RC 3123 GRS - 520"</f>
        <v>FA RC 3123 GRS - 520</v>
      </c>
      <c r="I4476" s="6" t="str">
        <f t="shared" si="1157"/>
        <v>5577</v>
      </c>
      <c r="J4476" s="6" t="str">
        <f t="shared" si="1158"/>
        <v>ROSA 5577</v>
      </c>
      <c r="K4476" s="6" t="str">
        <f>"2020"</f>
        <v>2020</v>
      </c>
      <c r="L4476" s="6" t="str">
        <f>"Lençóis"</f>
        <v>Lençóis</v>
      </c>
      <c r="M4476" s="6" t="str">
        <f>"100x150"</f>
        <v>100x150</v>
      </c>
      <c r="N4476" s="6" t="str">
        <f>"5602972684858"</f>
        <v>5602972684858</v>
      </c>
      <c r="O4476" s="8">
        <v>80</v>
      </c>
      <c r="P4476" s="7">
        <v>45965</v>
      </c>
      <c r="R4476" s="8">
        <v>0</v>
      </c>
      <c r="S4476" s="7">
        <v>45968</v>
      </c>
      <c r="U4476" s="8">
        <v>80</v>
      </c>
      <c r="V4476" s="7">
        <v>45979</v>
      </c>
      <c r="X4476" s="8">
        <v>0</v>
      </c>
      <c r="Z4476" s="8">
        <v>80</v>
      </c>
      <c r="AA4476" s="7">
        <v>45989</v>
      </c>
      <c r="AC4476" s="8">
        <v>0</v>
      </c>
      <c r="AE4476" s="7">
        <v>45994</v>
      </c>
      <c r="AF4476" s="8">
        <v>0</v>
      </c>
      <c r="AH4476" s="7">
        <v>45994</v>
      </c>
      <c r="AN4476" s="8">
        <v>0</v>
      </c>
      <c r="AO4476" s="8">
        <v>80</v>
      </c>
    </row>
    <row r="4477" spans="1:41" x14ac:dyDescent="0.25">
      <c r="A4477" s="6" t="str">
        <f t="shared" si="1154"/>
        <v>525-2025000553</v>
      </c>
      <c r="B4477" s="6" t="str">
        <f t="shared" si="1155"/>
        <v>Lasa Int</v>
      </c>
      <c r="C4477" s="7">
        <v>45965</v>
      </c>
      <c r="D4477" s="7">
        <v>46065</v>
      </c>
      <c r="E4477" s="8">
        <v>6</v>
      </c>
      <c r="F4477" s="6" t="str">
        <f t="shared" si="1156"/>
        <v>Efficience</v>
      </c>
      <c r="G4477" s="6" t="str">
        <f>"F161029465000000"</f>
        <v>F161029465000000</v>
      </c>
      <c r="H4477" s="6" t="str">
        <f>"TA RC 294 GRS - 650"</f>
        <v>TA RC 294 GRS - 650</v>
      </c>
      <c r="I4477" s="6" t="str">
        <f t="shared" si="1157"/>
        <v>5577</v>
      </c>
      <c r="J4477" s="6" t="str">
        <f t="shared" si="1158"/>
        <v>ROSA 5577</v>
      </c>
      <c r="K4477" s="6" t="str">
        <f>"3012"</f>
        <v>3012</v>
      </c>
      <c r="L4477" s="6" t="str">
        <f>"Tapetes"</f>
        <v>Tapetes</v>
      </c>
      <c r="M4477" s="6" t="str">
        <f>"50x70"</f>
        <v>50x70</v>
      </c>
      <c r="N4477" s="6" t="str">
        <f>"5602972685282"</f>
        <v>5602972685282</v>
      </c>
      <c r="O4477" s="8">
        <v>100</v>
      </c>
      <c r="P4477" s="7">
        <v>45965</v>
      </c>
      <c r="R4477" s="8">
        <v>0</v>
      </c>
      <c r="S4477" s="7">
        <v>45968</v>
      </c>
      <c r="U4477" s="8">
        <v>100</v>
      </c>
      <c r="V4477" s="7">
        <v>45979</v>
      </c>
      <c r="X4477" s="8">
        <v>0</v>
      </c>
      <c r="Z4477" s="8">
        <v>100</v>
      </c>
      <c r="AA4477" s="7">
        <v>45989</v>
      </c>
      <c r="AC4477" s="8">
        <v>0</v>
      </c>
      <c r="AE4477" s="7">
        <v>45994</v>
      </c>
      <c r="AF4477" s="8">
        <v>0</v>
      </c>
      <c r="AH4477" s="7">
        <v>45994</v>
      </c>
      <c r="AN4477" s="8">
        <v>0</v>
      </c>
      <c r="AO4477" s="8">
        <v>100</v>
      </c>
    </row>
    <row r="4478" spans="1:41" x14ac:dyDescent="0.25">
      <c r="A4478" s="6" t="str">
        <f t="shared" ref="A4478:A4489" si="1159">"525-2025000557"</f>
        <v>525-2025000557</v>
      </c>
      <c r="B4478" s="6" t="str">
        <f t="shared" si="1155"/>
        <v>Lasa Int</v>
      </c>
      <c r="C4478" s="7">
        <v>45966</v>
      </c>
      <c r="D4478" s="7">
        <v>46075</v>
      </c>
      <c r="E4478" s="8">
        <v>1</v>
      </c>
      <c r="F4478" s="6" t="str">
        <f t="shared" ref="F4478:F4489" si="1160">"Clouds"</f>
        <v>Clouds</v>
      </c>
      <c r="G4478" s="6" t="str">
        <f>"B166000136000000"</f>
        <v>B166000136000000</v>
      </c>
      <c r="H4478" s="6" t="str">
        <f>"LaU 01 - Clouds - 36"</f>
        <v>LaU 01 - Clouds - 36</v>
      </c>
      <c r="I4478" s="6" t="str">
        <f t="shared" ref="I4478:I4489" si="1161">"500005"</f>
        <v>500005</v>
      </c>
      <c r="J4478" s="6" t="str">
        <f t="shared" ref="J4478:J4489" si="1162">"CINZA"</f>
        <v>CINZA</v>
      </c>
      <c r="K4478" s="6" t="str">
        <f t="shared" ref="K4478:K4483" si="1163">"5300"</f>
        <v>5300</v>
      </c>
      <c r="L4478" s="6" t="str">
        <f t="shared" ref="L4478:L4483" si="1164">"Artigos B,b,"</f>
        <v>Artigos B,b,</v>
      </c>
      <c r="M4478" s="6" t="str">
        <f t="shared" ref="M4478:M4483" si="1165">"Único"</f>
        <v>Único</v>
      </c>
      <c r="N4478" s="6" t="str">
        <f>"5602972932706"</f>
        <v>5602972932706</v>
      </c>
      <c r="O4478" s="8">
        <v>120</v>
      </c>
      <c r="P4478" s="7">
        <v>45966</v>
      </c>
      <c r="R4478" s="8">
        <v>0</v>
      </c>
      <c r="U4478" s="8">
        <v>0</v>
      </c>
      <c r="X4478" s="8">
        <v>0</v>
      </c>
      <c r="Z4478" s="8">
        <v>0</v>
      </c>
      <c r="AC4478" s="8">
        <v>0</v>
      </c>
      <c r="AE4478" s="7">
        <v>45973</v>
      </c>
      <c r="AF4478" s="8">
        <v>0</v>
      </c>
      <c r="AH4478" s="7">
        <v>45996</v>
      </c>
      <c r="AN4478" s="8">
        <v>0</v>
      </c>
      <c r="AO4478" s="8">
        <v>120</v>
      </c>
    </row>
    <row r="4479" spans="1:41" x14ac:dyDescent="0.25">
      <c r="A4479" s="6" t="str">
        <f t="shared" si="1159"/>
        <v>525-2025000557</v>
      </c>
      <c r="B4479" s="6" t="str">
        <f t="shared" si="1155"/>
        <v>Lasa Int</v>
      </c>
      <c r="C4479" s="7">
        <v>45966</v>
      </c>
      <c r="D4479" s="7">
        <v>46075</v>
      </c>
      <c r="E4479" s="8">
        <v>2</v>
      </c>
      <c r="F4479" s="6" t="str">
        <f t="shared" si="1160"/>
        <v>Clouds</v>
      </c>
      <c r="G4479" s="6" t="str">
        <f>"B166000236000000"</f>
        <v>B166000236000000</v>
      </c>
      <c r="H4479" s="6" t="str">
        <f>"LaU 02 - Clouds - 36"</f>
        <v>LaU 02 - Clouds - 36</v>
      </c>
      <c r="I4479" s="6" t="str">
        <f t="shared" si="1161"/>
        <v>500005</v>
      </c>
      <c r="J4479" s="6" t="str">
        <f t="shared" si="1162"/>
        <v>CINZA</v>
      </c>
      <c r="K4479" s="6" t="str">
        <f t="shared" si="1163"/>
        <v>5300</v>
      </c>
      <c r="L4479" s="6" t="str">
        <f t="shared" si="1164"/>
        <v>Artigos B,b,</v>
      </c>
      <c r="M4479" s="6" t="str">
        <f t="shared" si="1165"/>
        <v>Único</v>
      </c>
      <c r="N4479" s="6" t="str">
        <f>"5602972932713"</f>
        <v>5602972932713</v>
      </c>
      <c r="O4479" s="8">
        <v>96</v>
      </c>
      <c r="P4479" s="7">
        <v>45966</v>
      </c>
      <c r="R4479" s="8">
        <v>0</v>
      </c>
      <c r="U4479" s="8">
        <v>0</v>
      </c>
      <c r="X4479" s="8">
        <v>0</v>
      </c>
      <c r="Z4479" s="8">
        <v>0</v>
      </c>
      <c r="AC4479" s="8">
        <v>0</v>
      </c>
      <c r="AE4479" s="7">
        <v>45973</v>
      </c>
      <c r="AF4479" s="8">
        <v>0</v>
      </c>
      <c r="AH4479" s="7">
        <v>45996</v>
      </c>
      <c r="AN4479" s="8">
        <v>0</v>
      </c>
      <c r="AO4479" s="8">
        <v>96</v>
      </c>
    </row>
    <row r="4480" spans="1:41" x14ac:dyDescent="0.25">
      <c r="A4480" s="6" t="str">
        <f t="shared" si="1159"/>
        <v>525-2025000557</v>
      </c>
      <c r="B4480" s="6" t="str">
        <f t="shared" si="1155"/>
        <v>Lasa Int</v>
      </c>
      <c r="C4480" s="7">
        <v>45966</v>
      </c>
      <c r="D4480" s="7">
        <v>46075</v>
      </c>
      <c r="E4480" s="8">
        <v>3</v>
      </c>
      <c r="F4480" s="6" t="str">
        <f t="shared" si="1160"/>
        <v>Clouds</v>
      </c>
      <c r="G4480" s="6" t="str">
        <f>"B166000436000000"</f>
        <v>B166000436000000</v>
      </c>
      <c r="H4480" s="6" t="str">
        <f>"LaU 04 - Clouds - 36"</f>
        <v>LaU 04 - Clouds - 36</v>
      </c>
      <c r="I4480" s="6" t="str">
        <f t="shared" si="1161"/>
        <v>500005</v>
      </c>
      <c r="J4480" s="6" t="str">
        <f t="shared" si="1162"/>
        <v>CINZA</v>
      </c>
      <c r="K4480" s="6" t="str">
        <f t="shared" si="1163"/>
        <v>5300</v>
      </c>
      <c r="L4480" s="6" t="str">
        <f t="shared" si="1164"/>
        <v>Artigos B,b,</v>
      </c>
      <c r="M4480" s="6" t="str">
        <f t="shared" si="1165"/>
        <v>Único</v>
      </c>
      <c r="N4480" s="6" t="str">
        <f>"5602972932720"</f>
        <v>5602972932720</v>
      </c>
      <c r="O4480" s="8">
        <v>60</v>
      </c>
      <c r="P4480" s="7">
        <v>45966</v>
      </c>
      <c r="R4480" s="8">
        <v>0</v>
      </c>
      <c r="U4480" s="8">
        <v>0</v>
      </c>
      <c r="X4480" s="8">
        <v>0</v>
      </c>
      <c r="Z4480" s="8">
        <v>0</v>
      </c>
      <c r="AC4480" s="8">
        <v>0</v>
      </c>
      <c r="AE4480" s="7">
        <v>45973</v>
      </c>
      <c r="AF4480" s="8">
        <v>0</v>
      </c>
      <c r="AH4480" s="7">
        <v>45996</v>
      </c>
      <c r="AN4480" s="8">
        <v>0</v>
      </c>
      <c r="AO4480" s="8">
        <v>60</v>
      </c>
    </row>
    <row r="4481" spans="1:41" x14ac:dyDescent="0.25">
      <c r="A4481" s="6" t="str">
        <f t="shared" si="1159"/>
        <v>525-2025000557</v>
      </c>
      <c r="B4481" s="6" t="str">
        <f t="shared" si="1155"/>
        <v>Lasa Int</v>
      </c>
      <c r="C4481" s="7">
        <v>45966</v>
      </c>
      <c r="D4481" s="7">
        <v>46075</v>
      </c>
      <c r="E4481" s="8">
        <v>4</v>
      </c>
      <c r="F4481" s="6" t="str">
        <f t="shared" si="1160"/>
        <v>Clouds</v>
      </c>
      <c r="G4481" s="6" t="str">
        <f>"B166000736000000"</f>
        <v>B166000736000000</v>
      </c>
      <c r="H4481" s="6" t="str">
        <f>"LaU 07 - Clouds - 36"</f>
        <v>LaU 07 - Clouds - 36</v>
      </c>
      <c r="I4481" s="6" t="str">
        <f t="shared" si="1161"/>
        <v>500005</v>
      </c>
      <c r="J4481" s="6" t="str">
        <f t="shared" si="1162"/>
        <v>CINZA</v>
      </c>
      <c r="K4481" s="6" t="str">
        <f t="shared" si="1163"/>
        <v>5300</v>
      </c>
      <c r="L4481" s="6" t="str">
        <f t="shared" si="1164"/>
        <v>Artigos B,b,</v>
      </c>
      <c r="M4481" s="6" t="str">
        <f t="shared" si="1165"/>
        <v>Único</v>
      </c>
      <c r="N4481" s="6" t="str">
        <f>"5602972932744"</f>
        <v>5602972932744</v>
      </c>
      <c r="O4481" s="8">
        <v>36</v>
      </c>
      <c r="P4481" s="7">
        <v>45966</v>
      </c>
      <c r="R4481" s="8">
        <v>0</v>
      </c>
      <c r="U4481" s="8">
        <v>0</v>
      </c>
      <c r="X4481" s="8">
        <v>0</v>
      </c>
      <c r="Z4481" s="8">
        <v>0</v>
      </c>
      <c r="AC4481" s="8">
        <v>0</v>
      </c>
      <c r="AE4481" s="7">
        <v>45973</v>
      </c>
      <c r="AF4481" s="8">
        <v>0</v>
      </c>
      <c r="AH4481" s="7">
        <v>45996</v>
      </c>
      <c r="AN4481" s="8">
        <v>0</v>
      </c>
      <c r="AO4481" s="8">
        <v>36</v>
      </c>
    </row>
    <row r="4482" spans="1:41" x14ac:dyDescent="0.25">
      <c r="A4482" s="6" t="str">
        <f t="shared" si="1159"/>
        <v>525-2025000557</v>
      </c>
      <c r="B4482" s="6" t="str">
        <f t="shared" si="1155"/>
        <v>Lasa Int</v>
      </c>
      <c r="C4482" s="7">
        <v>45966</v>
      </c>
      <c r="D4482" s="7">
        <v>46075</v>
      </c>
      <c r="E4482" s="8">
        <v>5</v>
      </c>
      <c r="F4482" s="6" t="str">
        <f t="shared" si="1160"/>
        <v>Clouds</v>
      </c>
      <c r="G4482" s="6" t="str">
        <f>"B166000836000000"</f>
        <v>B166000836000000</v>
      </c>
      <c r="H4482" s="6" t="str">
        <f>"LaU 08 - Clouds - 36"</f>
        <v>LaU 08 - Clouds - 36</v>
      </c>
      <c r="I4482" s="6" t="str">
        <f t="shared" si="1161"/>
        <v>500005</v>
      </c>
      <c r="J4482" s="6" t="str">
        <f t="shared" si="1162"/>
        <v>CINZA</v>
      </c>
      <c r="K4482" s="6" t="str">
        <f t="shared" si="1163"/>
        <v>5300</v>
      </c>
      <c r="L4482" s="6" t="str">
        <f t="shared" si="1164"/>
        <v>Artigos B,b,</v>
      </c>
      <c r="M4482" s="6" t="str">
        <f t="shared" si="1165"/>
        <v>Único</v>
      </c>
      <c r="N4482" s="6" t="str">
        <f>"5602972932751"</f>
        <v>5602972932751</v>
      </c>
      <c r="O4482" s="8">
        <v>48</v>
      </c>
      <c r="P4482" s="7">
        <v>45966</v>
      </c>
      <c r="R4482" s="8">
        <v>0</v>
      </c>
      <c r="U4482" s="8">
        <v>0</v>
      </c>
      <c r="X4482" s="8">
        <v>0</v>
      </c>
      <c r="Z4482" s="8">
        <v>0</v>
      </c>
      <c r="AC4482" s="8">
        <v>0</v>
      </c>
      <c r="AE4482" s="7">
        <v>45973</v>
      </c>
      <c r="AF4482" s="8">
        <v>0</v>
      </c>
      <c r="AH4482" s="7">
        <v>45996</v>
      </c>
      <c r="AN4482" s="8">
        <v>0</v>
      </c>
      <c r="AO4482" s="8">
        <v>48</v>
      </c>
    </row>
    <row r="4483" spans="1:41" x14ac:dyDescent="0.25">
      <c r="A4483" s="6" t="str">
        <f t="shared" si="1159"/>
        <v>525-2025000557</v>
      </c>
      <c r="B4483" s="6" t="str">
        <f t="shared" si="1155"/>
        <v>Lasa Int</v>
      </c>
      <c r="C4483" s="7">
        <v>45966</v>
      </c>
      <c r="D4483" s="7">
        <v>46075</v>
      </c>
      <c r="E4483" s="8">
        <v>6</v>
      </c>
      <c r="F4483" s="6" t="str">
        <f t="shared" si="1160"/>
        <v>Clouds</v>
      </c>
      <c r="G4483" s="6" t="str">
        <f>"B166000936000000"</f>
        <v>B166000936000000</v>
      </c>
      <c r="H4483" s="6" t="str">
        <f>"LaU 09 - Clouds - 36"</f>
        <v>LaU 09 - Clouds - 36</v>
      </c>
      <c r="I4483" s="6" t="str">
        <f t="shared" si="1161"/>
        <v>500005</v>
      </c>
      <c r="J4483" s="6" t="str">
        <f t="shared" si="1162"/>
        <v>CINZA</v>
      </c>
      <c r="K4483" s="6" t="str">
        <f t="shared" si="1163"/>
        <v>5300</v>
      </c>
      <c r="L4483" s="6" t="str">
        <f t="shared" si="1164"/>
        <v>Artigos B,b,</v>
      </c>
      <c r="M4483" s="6" t="str">
        <f t="shared" si="1165"/>
        <v>Único</v>
      </c>
      <c r="N4483" s="6" t="str">
        <f>"5602972932768"</f>
        <v>5602972932768</v>
      </c>
      <c r="O4483" s="8">
        <v>24</v>
      </c>
      <c r="P4483" s="7">
        <v>45966</v>
      </c>
      <c r="R4483" s="8">
        <v>0</v>
      </c>
      <c r="U4483" s="8">
        <v>0</v>
      </c>
      <c r="X4483" s="8">
        <v>0</v>
      </c>
      <c r="Z4483" s="8">
        <v>0</v>
      </c>
      <c r="AC4483" s="8">
        <v>0</v>
      </c>
      <c r="AE4483" s="7">
        <v>45973</v>
      </c>
      <c r="AF4483" s="8">
        <v>0</v>
      </c>
      <c r="AH4483" s="7">
        <v>45996</v>
      </c>
      <c r="AN4483" s="8">
        <v>0</v>
      </c>
      <c r="AO4483" s="8">
        <v>24</v>
      </c>
    </row>
    <row r="4484" spans="1:41" x14ac:dyDescent="0.25">
      <c r="A4484" s="6" t="str">
        <f t="shared" si="1159"/>
        <v>525-2025000557</v>
      </c>
      <c r="B4484" s="6" t="str">
        <f t="shared" si="1155"/>
        <v>Lasa Int</v>
      </c>
      <c r="C4484" s="7">
        <v>45966</v>
      </c>
      <c r="D4484" s="7">
        <v>46075</v>
      </c>
      <c r="E4484" s="8">
        <v>7</v>
      </c>
      <c r="F4484" s="6" t="str">
        <f t="shared" si="1160"/>
        <v>Clouds</v>
      </c>
      <c r="G4484" s="6" t="str">
        <f>"B166001036000000"</f>
        <v>B166001036000000</v>
      </c>
      <c r="H4484" s="6" t="str">
        <f>"LaU 10 - Clouds - 36"</f>
        <v>LaU 10 - Clouds - 36</v>
      </c>
      <c r="I4484" s="6" t="str">
        <f t="shared" si="1161"/>
        <v>500005</v>
      </c>
      <c r="J4484" s="6" t="str">
        <f t="shared" si="1162"/>
        <v>CINZA</v>
      </c>
      <c r="K4484" s="6" t="str">
        <f>"5201"</f>
        <v>5201</v>
      </c>
      <c r="L4484" s="6" t="str">
        <f>"Roupões Criança"</f>
        <v>Roupões Criança</v>
      </c>
      <c r="M4484" s="6" t="str">
        <f>"0-1 Ano"</f>
        <v>0-1 Ano</v>
      </c>
      <c r="N4484" s="6" t="str">
        <f>"5602972932775"</f>
        <v>5602972932775</v>
      </c>
      <c r="O4484" s="8">
        <v>24</v>
      </c>
      <c r="P4484" s="7">
        <v>45966</v>
      </c>
      <c r="R4484" s="8">
        <v>0</v>
      </c>
      <c r="U4484" s="8">
        <v>0</v>
      </c>
      <c r="X4484" s="8">
        <v>0</v>
      </c>
      <c r="Z4484" s="8">
        <v>0</v>
      </c>
      <c r="AC4484" s="8">
        <v>0</v>
      </c>
      <c r="AE4484" s="7">
        <v>45973</v>
      </c>
      <c r="AF4484" s="8">
        <v>0</v>
      </c>
      <c r="AH4484" s="7">
        <v>45996</v>
      </c>
      <c r="AN4484" s="8">
        <v>0</v>
      </c>
      <c r="AO4484" s="8">
        <v>24</v>
      </c>
    </row>
    <row r="4485" spans="1:41" x14ac:dyDescent="0.25">
      <c r="A4485" s="6" t="str">
        <f t="shared" si="1159"/>
        <v>525-2025000557</v>
      </c>
      <c r="B4485" s="6" t="str">
        <f t="shared" si="1155"/>
        <v>Lasa Int</v>
      </c>
      <c r="C4485" s="7">
        <v>45966</v>
      </c>
      <c r="D4485" s="7">
        <v>46075</v>
      </c>
      <c r="E4485" s="8">
        <v>8</v>
      </c>
      <c r="F4485" s="6" t="str">
        <f t="shared" si="1160"/>
        <v>Clouds</v>
      </c>
      <c r="G4485" s="6" t="str">
        <f>"B166001036000000"</f>
        <v>B166001036000000</v>
      </c>
      <c r="H4485" s="6" t="str">
        <f>"LaU 10 - Clouds - 36"</f>
        <v>LaU 10 - Clouds - 36</v>
      </c>
      <c r="I4485" s="6" t="str">
        <f t="shared" si="1161"/>
        <v>500005</v>
      </c>
      <c r="J4485" s="6" t="str">
        <f t="shared" si="1162"/>
        <v>CINZA</v>
      </c>
      <c r="K4485" s="6" t="str">
        <f>"5202"</f>
        <v>5202</v>
      </c>
      <c r="L4485" s="6" t="str">
        <f>"Roupões Criança"</f>
        <v>Roupões Criança</v>
      </c>
      <c r="M4485" s="6" t="str">
        <f>"2 Anos"</f>
        <v>2 Anos</v>
      </c>
      <c r="N4485" s="6" t="str">
        <f>"5602972932782"</f>
        <v>5602972932782</v>
      </c>
      <c r="O4485" s="8">
        <v>36</v>
      </c>
      <c r="P4485" s="7">
        <v>45966</v>
      </c>
      <c r="R4485" s="8">
        <v>0</v>
      </c>
      <c r="U4485" s="8">
        <v>0</v>
      </c>
      <c r="X4485" s="8">
        <v>0</v>
      </c>
      <c r="Z4485" s="8">
        <v>0</v>
      </c>
      <c r="AC4485" s="8">
        <v>0</v>
      </c>
      <c r="AE4485" s="7">
        <v>45973</v>
      </c>
      <c r="AF4485" s="8">
        <v>0</v>
      </c>
      <c r="AH4485" s="7">
        <v>45996</v>
      </c>
      <c r="AN4485" s="8">
        <v>0</v>
      </c>
      <c r="AO4485" s="8">
        <v>36</v>
      </c>
    </row>
    <row r="4486" spans="1:41" x14ac:dyDescent="0.25">
      <c r="A4486" s="6" t="str">
        <f t="shared" si="1159"/>
        <v>525-2025000557</v>
      </c>
      <c r="B4486" s="6" t="str">
        <f t="shared" si="1155"/>
        <v>Lasa Int</v>
      </c>
      <c r="C4486" s="7">
        <v>45966</v>
      </c>
      <c r="D4486" s="7">
        <v>46075</v>
      </c>
      <c r="E4486" s="8">
        <v>9</v>
      </c>
      <c r="F4486" s="6" t="str">
        <f t="shared" si="1160"/>
        <v>Clouds</v>
      </c>
      <c r="G4486" s="6" t="str">
        <f>"B166001036000000"</f>
        <v>B166001036000000</v>
      </c>
      <c r="H4486" s="6" t="str">
        <f>"LaU 10 - Clouds - 36"</f>
        <v>LaU 10 - Clouds - 36</v>
      </c>
      <c r="I4486" s="6" t="str">
        <f t="shared" si="1161"/>
        <v>500005</v>
      </c>
      <c r="J4486" s="6" t="str">
        <f t="shared" si="1162"/>
        <v>CINZA</v>
      </c>
      <c r="K4486" s="6" t="str">
        <f>"5204"</f>
        <v>5204</v>
      </c>
      <c r="L4486" s="6" t="str">
        <f>"Roupões Criança"</f>
        <v>Roupões Criança</v>
      </c>
      <c r="M4486" s="6" t="str">
        <f>"4 Anos"</f>
        <v>4 Anos</v>
      </c>
      <c r="N4486" s="6" t="str">
        <f>"5602972932799"</f>
        <v>5602972932799</v>
      </c>
      <c r="O4486" s="8">
        <v>24</v>
      </c>
      <c r="P4486" s="7">
        <v>45966</v>
      </c>
      <c r="R4486" s="8">
        <v>0</v>
      </c>
      <c r="U4486" s="8">
        <v>0</v>
      </c>
      <c r="X4486" s="8">
        <v>0</v>
      </c>
      <c r="Z4486" s="8">
        <v>0</v>
      </c>
      <c r="AC4486" s="8">
        <v>0</v>
      </c>
      <c r="AE4486" s="7">
        <v>45973</v>
      </c>
      <c r="AF4486" s="8">
        <v>0</v>
      </c>
      <c r="AH4486" s="7">
        <v>45996</v>
      </c>
      <c r="AN4486" s="8">
        <v>0</v>
      </c>
      <c r="AO4486" s="8">
        <v>24</v>
      </c>
    </row>
    <row r="4487" spans="1:41" x14ac:dyDescent="0.25">
      <c r="A4487" s="6" t="str">
        <f t="shared" si="1159"/>
        <v>525-2025000557</v>
      </c>
      <c r="B4487" s="6" t="str">
        <f t="shared" si="1155"/>
        <v>Lasa Int</v>
      </c>
      <c r="C4487" s="7">
        <v>45966</v>
      </c>
      <c r="D4487" s="7">
        <v>46075</v>
      </c>
      <c r="E4487" s="8">
        <v>10</v>
      </c>
      <c r="F4487" s="6" t="str">
        <f t="shared" si="1160"/>
        <v>Clouds</v>
      </c>
      <c r="G4487" s="6" t="str">
        <f>"B166001036000000"</f>
        <v>B166001036000000</v>
      </c>
      <c r="H4487" s="6" t="str">
        <f>"LaU 10 - Clouds - 36"</f>
        <v>LaU 10 - Clouds - 36</v>
      </c>
      <c r="I4487" s="6" t="str">
        <f t="shared" si="1161"/>
        <v>500005</v>
      </c>
      <c r="J4487" s="6" t="str">
        <f t="shared" si="1162"/>
        <v>CINZA</v>
      </c>
      <c r="K4487" s="6" t="str">
        <f>"5206"</f>
        <v>5206</v>
      </c>
      <c r="L4487" s="6" t="str">
        <f>"Roupões Criança"</f>
        <v>Roupões Criança</v>
      </c>
      <c r="M4487" s="6" t="str">
        <f>"6 Anos"</f>
        <v>6 Anos</v>
      </c>
      <c r="N4487" s="6" t="str">
        <f>"5602972932805"</f>
        <v>5602972932805</v>
      </c>
      <c r="O4487" s="8">
        <v>12</v>
      </c>
      <c r="P4487" s="7">
        <v>45966</v>
      </c>
      <c r="R4487" s="8">
        <v>0</v>
      </c>
      <c r="U4487" s="8">
        <v>0</v>
      </c>
      <c r="X4487" s="8">
        <v>0</v>
      </c>
      <c r="Z4487" s="8">
        <v>0</v>
      </c>
      <c r="AC4487" s="8">
        <v>0</v>
      </c>
      <c r="AE4487" s="7">
        <v>45973</v>
      </c>
      <c r="AF4487" s="8">
        <v>0</v>
      </c>
      <c r="AH4487" s="7">
        <v>45996</v>
      </c>
      <c r="AN4487" s="8">
        <v>0</v>
      </c>
      <c r="AO4487" s="8">
        <v>12</v>
      </c>
    </row>
    <row r="4488" spans="1:41" x14ac:dyDescent="0.25">
      <c r="A4488" s="6" t="str">
        <f t="shared" si="1159"/>
        <v>525-2025000557</v>
      </c>
      <c r="B4488" s="6" t="str">
        <f t="shared" si="1155"/>
        <v>Lasa Int</v>
      </c>
      <c r="C4488" s="7">
        <v>45966</v>
      </c>
      <c r="D4488" s="7">
        <v>46075</v>
      </c>
      <c r="E4488" s="8">
        <v>11</v>
      </c>
      <c r="F4488" s="6" t="str">
        <f t="shared" si="1160"/>
        <v>Clouds</v>
      </c>
      <c r="G4488" s="6" t="str">
        <f>"B166001136000000"</f>
        <v>B166001136000000</v>
      </c>
      <c r="H4488" s="6" t="str">
        <f>"LaU 11 - Clouds - 36"</f>
        <v>LaU 11 - Clouds - 36</v>
      </c>
      <c r="I4488" s="6" t="str">
        <f t="shared" si="1161"/>
        <v>500005</v>
      </c>
      <c r="J4488" s="6" t="str">
        <f t="shared" si="1162"/>
        <v>CINZA</v>
      </c>
      <c r="K4488" s="6" t="str">
        <f>"5300"</f>
        <v>5300</v>
      </c>
      <c r="L4488" s="6" t="str">
        <f>"Artigos B,b,"</f>
        <v>Artigos B,b,</v>
      </c>
      <c r="M4488" s="6" t="str">
        <f>"Único"</f>
        <v>Único</v>
      </c>
      <c r="N4488" s="6" t="str">
        <f>"5602972932812"</f>
        <v>5602972932812</v>
      </c>
      <c r="O4488" s="8">
        <v>24</v>
      </c>
      <c r="P4488" s="7">
        <v>45966</v>
      </c>
      <c r="R4488" s="8">
        <v>0</v>
      </c>
      <c r="U4488" s="8">
        <v>0</v>
      </c>
      <c r="X4488" s="8">
        <v>0</v>
      </c>
      <c r="Z4488" s="8">
        <v>0</v>
      </c>
      <c r="AC4488" s="8">
        <v>0</v>
      </c>
      <c r="AE4488" s="7">
        <v>45973</v>
      </c>
      <c r="AF4488" s="8">
        <v>0</v>
      </c>
      <c r="AH4488" s="7">
        <v>45996</v>
      </c>
      <c r="AN4488" s="8">
        <v>0</v>
      </c>
      <c r="AO4488" s="8">
        <v>24</v>
      </c>
    </row>
    <row r="4489" spans="1:41" x14ac:dyDescent="0.25">
      <c r="A4489" s="6" t="str">
        <f t="shared" si="1159"/>
        <v>525-2025000557</v>
      </c>
      <c r="B4489" s="6" t="str">
        <f t="shared" si="1155"/>
        <v>Lasa Int</v>
      </c>
      <c r="C4489" s="7">
        <v>45966</v>
      </c>
      <c r="D4489" s="7">
        <v>46075</v>
      </c>
      <c r="E4489" s="8">
        <v>12</v>
      </c>
      <c r="F4489" s="6" t="str">
        <f t="shared" si="1160"/>
        <v>Clouds</v>
      </c>
      <c r="G4489" s="6" t="str">
        <f>"B166005336000000"</f>
        <v>B166005336000000</v>
      </c>
      <c r="H4489" s="6" t="str">
        <f>"LaU 53 - Clouds - 36"</f>
        <v>LaU 53 - Clouds - 36</v>
      </c>
      <c r="I4489" s="6" t="str">
        <f t="shared" si="1161"/>
        <v>500005</v>
      </c>
      <c r="J4489" s="6" t="str">
        <f t="shared" si="1162"/>
        <v>CINZA</v>
      </c>
      <c r="K4489" s="6" t="str">
        <f>"5300"</f>
        <v>5300</v>
      </c>
      <c r="L4489" s="6" t="str">
        <f>"Artigos B,b,"</f>
        <v>Artigos B,b,</v>
      </c>
      <c r="M4489" s="6" t="str">
        <f>"Único"</f>
        <v>Único</v>
      </c>
      <c r="N4489" s="6" t="str">
        <f>"5602972932980"</f>
        <v>5602972932980</v>
      </c>
      <c r="O4489" s="8">
        <v>36</v>
      </c>
      <c r="P4489" s="7">
        <v>45966</v>
      </c>
      <c r="R4489" s="8">
        <v>0</v>
      </c>
      <c r="U4489" s="8">
        <v>0</v>
      </c>
      <c r="X4489" s="8">
        <v>0</v>
      </c>
      <c r="Z4489" s="8">
        <v>0</v>
      </c>
      <c r="AC4489" s="8">
        <v>0</v>
      </c>
      <c r="AE4489" s="7">
        <v>45973</v>
      </c>
      <c r="AF4489" s="8">
        <v>0</v>
      </c>
      <c r="AH4489" s="7">
        <v>45996</v>
      </c>
      <c r="AN4489" s="8">
        <v>0</v>
      </c>
      <c r="AO4489" s="8">
        <v>36</v>
      </c>
    </row>
    <row r="4490" spans="1:41" x14ac:dyDescent="0.25">
      <c r="A4490" s="6" t="str">
        <f t="shared" ref="A4490:A4495" si="1166">"525-2025000560"</f>
        <v>525-2025000560</v>
      </c>
      <c r="B4490" s="6" t="str">
        <f t="shared" si="1155"/>
        <v>Lasa Int</v>
      </c>
      <c r="C4490" s="7">
        <v>45968</v>
      </c>
      <c r="D4490" s="7">
        <v>46080</v>
      </c>
      <c r="E4490" s="8">
        <v>1</v>
      </c>
      <c r="F4490" s="6" t="str">
        <f t="shared" ref="F4490:F4495" si="1167">"Cool"</f>
        <v>Cool</v>
      </c>
      <c r="G4490" s="6" t="str">
        <f t="shared" ref="G4490:G4495" si="1168">"F611920836000000"</f>
        <v>F611920836000000</v>
      </c>
      <c r="H4490" s="6" t="str">
        <f t="shared" ref="H4490:H4495" si="1169">"9208 - 360 g/m² Lami"</f>
        <v>9208 - 360 g/m² Lami</v>
      </c>
      <c r="I4490" s="6" t="str">
        <f>"1822"</f>
        <v>1822</v>
      </c>
      <c r="J4490" s="6" t="str">
        <f>"ROSA 1822"</f>
        <v>ROSA 1822</v>
      </c>
      <c r="K4490" s="6" t="str">
        <f t="shared" ref="K4490:K4495" si="1170">"3520"</f>
        <v>3520</v>
      </c>
      <c r="L4490" s="6" t="str">
        <f t="shared" ref="L4490:L4495" si="1171">"Praia"</f>
        <v>Praia</v>
      </c>
      <c r="M4490" s="6" t="str">
        <f t="shared" ref="M4490:M4495" si="1172">"90x160"</f>
        <v>90x160</v>
      </c>
      <c r="N4490" s="6" t="str">
        <f>"5602972655087"</f>
        <v>5602972655087</v>
      </c>
      <c r="O4490" s="8">
        <v>150</v>
      </c>
      <c r="P4490" s="7">
        <v>46006</v>
      </c>
      <c r="R4490" s="8">
        <v>980</v>
      </c>
      <c r="S4490" s="7">
        <v>46009</v>
      </c>
      <c r="U4490" s="8">
        <v>212</v>
      </c>
      <c r="V4490" s="7">
        <v>46030</v>
      </c>
      <c r="X4490" s="8">
        <v>0</v>
      </c>
      <c r="Z4490" s="8">
        <v>0</v>
      </c>
      <c r="AA4490" s="7">
        <v>46044</v>
      </c>
      <c r="AC4490" s="8">
        <v>0</v>
      </c>
      <c r="AE4490" s="7">
        <v>46049</v>
      </c>
      <c r="AF4490" s="8">
        <v>0</v>
      </c>
      <c r="AH4490" s="7">
        <v>46045</v>
      </c>
      <c r="AN4490" s="8">
        <v>0</v>
      </c>
      <c r="AO4490" s="8">
        <v>150</v>
      </c>
    </row>
    <row r="4491" spans="1:41" x14ac:dyDescent="0.25">
      <c r="A4491" s="6" t="str">
        <f t="shared" si="1166"/>
        <v>525-2025000560</v>
      </c>
      <c r="B4491" s="6" t="str">
        <f t="shared" si="1155"/>
        <v>Lasa Int</v>
      </c>
      <c r="C4491" s="7">
        <v>45968</v>
      </c>
      <c r="D4491" s="7">
        <v>46080</v>
      </c>
      <c r="E4491" s="8">
        <v>2</v>
      </c>
      <c r="F4491" s="6" t="str">
        <f t="shared" si="1167"/>
        <v>Cool</v>
      </c>
      <c r="G4491" s="6" t="str">
        <f t="shared" si="1168"/>
        <v>F611920836000000</v>
      </c>
      <c r="H4491" s="6" t="str">
        <f t="shared" si="1169"/>
        <v>9208 - 360 g/m² Lami</v>
      </c>
      <c r="I4491" s="6" t="str">
        <f>"2094"</f>
        <v>2094</v>
      </c>
      <c r="J4491" s="6" t="str">
        <f>"AZUL 2094"</f>
        <v>AZUL 2094</v>
      </c>
      <c r="K4491" s="6" t="str">
        <f t="shared" si="1170"/>
        <v>3520</v>
      </c>
      <c r="L4491" s="6" t="str">
        <f t="shared" si="1171"/>
        <v>Praia</v>
      </c>
      <c r="M4491" s="6" t="str">
        <f t="shared" si="1172"/>
        <v>90x160</v>
      </c>
      <c r="N4491" s="6" t="str">
        <f>"5602972655094"</f>
        <v>5602972655094</v>
      </c>
      <c r="O4491" s="8">
        <v>150</v>
      </c>
      <c r="P4491" s="7">
        <v>46006</v>
      </c>
      <c r="R4491" s="8">
        <v>74</v>
      </c>
      <c r="S4491" s="7">
        <v>46009</v>
      </c>
      <c r="U4491" s="8">
        <v>180</v>
      </c>
      <c r="V4491" s="7">
        <v>46030</v>
      </c>
      <c r="X4491" s="8">
        <v>0</v>
      </c>
      <c r="Z4491" s="8">
        <v>180</v>
      </c>
      <c r="AA4491" s="7">
        <v>46044</v>
      </c>
      <c r="AC4491" s="8">
        <v>0</v>
      </c>
      <c r="AE4491" s="7">
        <v>46049</v>
      </c>
      <c r="AF4491" s="8">
        <v>0</v>
      </c>
      <c r="AH4491" s="7">
        <v>46045</v>
      </c>
      <c r="AN4491" s="8">
        <v>0</v>
      </c>
      <c r="AO4491" s="8">
        <v>150</v>
      </c>
    </row>
    <row r="4492" spans="1:41" x14ac:dyDescent="0.25">
      <c r="A4492" s="6" t="str">
        <f t="shared" si="1166"/>
        <v>525-2025000560</v>
      </c>
      <c r="B4492" s="6" t="str">
        <f t="shared" si="1155"/>
        <v>Lasa Int</v>
      </c>
      <c r="C4492" s="7">
        <v>45968</v>
      </c>
      <c r="D4492" s="7">
        <v>46080</v>
      </c>
      <c r="E4492" s="8">
        <v>3</v>
      </c>
      <c r="F4492" s="6" t="str">
        <f t="shared" si="1167"/>
        <v>Cool</v>
      </c>
      <c r="G4492" s="6" t="str">
        <f t="shared" si="1168"/>
        <v>F611920836000000</v>
      </c>
      <c r="H4492" s="6" t="str">
        <f t="shared" si="1169"/>
        <v>9208 - 360 g/m² Lami</v>
      </c>
      <c r="I4492" s="6" t="str">
        <f>"2334"</f>
        <v>2334</v>
      </c>
      <c r="J4492" s="6" t="str">
        <f>"TURQUESA 2334"</f>
        <v>TURQUESA 2334</v>
      </c>
      <c r="K4492" s="6" t="str">
        <f t="shared" si="1170"/>
        <v>3520</v>
      </c>
      <c r="L4492" s="6" t="str">
        <f t="shared" si="1171"/>
        <v>Praia</v>
      </c>
      <c r="M4492" s="6" t="str">
        <f t="shared" si="1172"/>
        <v>90x160</v>
      </c>
      <c r="N4492" s="6" t="str">
        <f>"5602972655117"</f>
        <v>5602972655117</v>
      </c>
      <c r="O4492" s="8">
        <v>150</v>
      </c>
      <c r="P4492" s="7">
        <v>46006</v>
      </c>
      <c r="R4492" s="8">
        <v>0</v>
      </c>
      <c r="S4492" s="7">
        <v>46009</v>
      </c>
      <c r="U4492" s="8">
        <v>180</v>
      </c>
      <c r="V4492" s="7">
        <v>46030</v>
      </c>
      <c r="X4492" s="8">
        <v>0</v>
      </c>
      <c r="Z4492" s="8">
        <v>0</v>
      </c>
      <c r="AA4492" s="7">
        <v>46044</v>
      </c>
      <c r="AC4492" s="8">
        <v>0</v>
      </c>
      <c r="AE4492" s="7">
        <v>46049</v>
      </c>
      <c r="AF4492" s="8">
        <v>0</v>
      </c>
      <c r="AH4492" s="7">
        <v>46045</v>
      </c>
      <c r="AN4492" s="8">
        <v>0</v>
      </c>
      <c r="AO4492" s="8">
        <v>150</v>
      </c>
    </row>
    <row r="4493" spans="1:41" x14ac:dyDescent="0.25">
      <c r="A4493" s="6" t="str">
        <f t="shared" si="1166"/>
        <v>525-2025000560</v>
      </c>
      <c r="B4493" s="6" t="str">
        <f t="shared" si="1155"/>
        <v>Lasa Int</v>
      </c>
      <c r="C4493" s="7">
        <v>45968</v>
      </c>
      <c r="D4493" s="7">
        <v>46080</v>
      </c>
      <c r="E4493" s="8">
        <v>4</v>
      </c>
      <c r="F4493" s="6" t="str">
        <f t="shared" si="1167"/>
        <v>Cool</v>
      </c>
      <c r="G4493" s="6" t="str">
        <f t="shared" si="1168"/>
        <v>F611920836000000</v>
      </c>
      <c r="H4493" s="6" t="str">
        <f t="shared" si="1169"/>
        <v>9208 - 360 g/m² Lami</v>
      </c>
      <c r="I4493" s="6" t="str">
        <f>"3074"</f>
        <v>3074</v>
      </c>
      <c r="J4493" s="6" t="str">
        <f>"LARANJA 3074"</f>
        <v>LARANJA 3074</v>
      </c>
      <c r="K4493" s="6" t="str">
        <f t="shared" si="1170"/>
        <v>3520</v>
      </c>
      <c r="L4493" s="6" t="str">
        <f t="shared" si="1171"/>
        <v>Praia</v>
      </c>
      <c r="M4493" s="6" t="str">
        <f t="shared" si="1172"/>
        <v>90x160</v>
      </c>
      <c r="N4493" s="6" t="str">
        <f>"5602972655148"</f>
        <v>5602972655148</v>
      </c>
      <c r="O4493" s="8">
        <v>100</v>
      </c>
      <c r="P4493" s="7">
        <v>46006</v>
      </c>
      <c r="R4493" s="8">
        <v>0</v>
      </c>
      <c r="S4493" s="7">
        <v>46009</v>
      </c>
      <c r="U4493" s="8">
        <v>122</v>
      </c>
      <c r="V4493" s="7">
        <v>46030</v>
      </c>
      <c r="X4493" s="8">
        <v>0</v>
      </c>
      <c r="Z4493" s="8">
        <v>0</v>
      </c>
      <c r="AA4493" s="7">
        <v>46044</v>
      </c>
      <c r="AC4493" s="8">
        <v>0</v>
      </c>
      <c r="AE4493" s="7">
        <v>46049</v>
      </c>
      <c r="AF4493" s="8">
        <v>0</v>
      </c>
      <c r="AH4493" s="7">
        <v>46045</v>
      </c>
      <c r="AN4493" s="8">
        <v>0</v>
      </c>
      <c r="AO4493" s="8">
        <v>100</v>
      </c>
    </row>
    <row r="4494" spans="1:41" x14ac:dyDescent="0.25">
      <c r="A4494" s="6" t="str">
        <f t="shared" si="1166"/>
        <v>525-2025000560</v>
      </c>
      <c r="B4494" s="6" t="str">
        <f t="shared" si="1155"/>
        <v>Lasa Int</v>
      </c>
      <c r="C4494" s="7">
        <v>45968</v>
      </c>
      <c r="D4494" s="7">
        <v>46080</v>
      </c>
      <c r="E4494" s="8">
        <v>5</v>
      </c>
      <c r="F4494" s="6" t="str">
        <f t="shared" si="1167"/>
        <v>Cool</v>
      </c>
      <c r="G4494" s="6" t="str">
        <f t="shared" si="1168"/>
        <v>F611920836000000</v>
      </c>
      <c r="H4494" s="6" t="str">
        <f t="shared" si="1169"/>
        <v>9208 - 360 g/m² Lami</v>
      </c>
      <c r="I4494" s="6" t="str">
        <f>"3234"</f>
        <v>3234</v>
      </c>
      <c r="J4494" s="6" t="str">
        <f>"CASTANHO 3234"</f>
        <v>CASTANHO 3234</v>
      </c>
      <c r="K4494" s="6" t="str">
        <f t="shared" si="1170"/>
        <v>3520</v>
      </c>
      <c r="L4494" s="6" t="str">
        <f t="shared" si="1171"/>
        <v>Praia</v>
      </c>
      <c r="M4494" s="6" t="str">
        <f t="shared" si="1172"/>
        <v>90x160</v>
      </c>
      <c r="N4494" s="6" t="str">
        <f>"5602972677560"</f>
        <v>5602972677560</v>
      </c>
      <c r="O4494" s="8">
        <v>100</v>
      </c>
      <c r="P4494" s="7">
        <v>46006</v>
      </c>
      <c r="R4494" s="8">
        <v>0</v>
      </c>
      <c r="S4494" s="7">
        <v>46009</v>
      </c>
      <c r="U4494" s="8">
        <v>120</v>
      </c>
      <c r="V4494" s="7">
        <v>46030</v>
      </c>
      <c r="X4494" s="8">
        <v>0</v>
      </c>
      <c r="Z4494" s="8">
        <v>120</v>
      </c>
      <c r="AA4494" s="7">
        <v>46044</v>
      </c>
      <c r="AC4494" s="8">
        <v>0</v>
      </c>
      <c r="AE4494" s="7">
        <v>46049</v>
      </c>
      <c r="AF4494" s="8">
        <v>0</v>
      </c>
      <c r="AH4494" s="7">
        <v>46045</v>
      </c>
      <c r="AN4494" s="8">
        <v>0</v>
      </c>
      <c r="AO4494" s="8">
        <v>100</v>
      </c>
    </row>
    <row r="4495" spans="1:41" x14ac:dyDescent="0.25">
      <c r="A4495" s="6" t="str">
        <f t="shared" si="1166"/>
        <v>525-2025000560</v>
      </c>
      <c r="B4495" s="6" t="str">
        <f t="shared" si="1155"/>
        <v>Lasa Int</v>
      </c>
      <c r="C4495" s="7">
        <v>45968</v>
      </c>
      <c r="D4495" s="7">
        <v>46080</v>
      </c>
      <c r="E4495" s="8">
        <v>6</v>
      </c>
      <c r="F4495" s="6" t="str">
        <f t="shared" si="1167"/>
        <v>Cool</v>
      </c>
      <c r="G4495" s="6" t="str">
        <f t="shared" si="1168"/>
        <v>F611920836000000</v>
      </c>
      <c r="H4495" s="6" t="str">
        <f t="shared" si="1169"/>
        <v>9208 - 360 g/m² Lami</v>
      </c>
      <c r="I4495" s="6" t="str">
        <f>"3235"</f>
        <v>3235</v>
      </c>
      <c r="J4495" s="6" t="str">
        <f>"CINZA 3235"</f>
        <v>CINZA 3235</v>
      </c>
      <c r="K4495" s="6" t="str">
        <f t="shared" si="1170"/>
        <v>3520</v>
      </c>
      <c r="L4495" s="6" t="str">
        <f t="shared" si="1171"/>
        <v>Praia</v>
      </c>
      <c r="M4495" s="6" t="str">
        <f t="shared" si="1172"/>
        <v>90x160</v>
      </c>
      <c r="N4495" s="6" t="str">
        <f>"5602972677577"</f>
        <v>5602972677577</v>
      </c>
      <c r="O4495" s="8">
        <v>200</v>
      </c>
      <c r="P4495" s="7">
        <v>46006</v>
      </c>
      <c r="R4495" s="8">
        <v>0</v>
      </c>
      <c r="S4495" s="7">
        <v>46009</v>
      </c>
      <c r="U4495" s="8">
        <v>240</v>
      </c>
      <c r="V4495" s="7">
        <v>46030</v>
      </c>
      <c r="X4495" s="8">
        <v>0</v>
      </c>
      <c r="Z4495" s="8">
        <v>240</v>
      </c>
      <c r="AA4495" s="7">
        <v>46044</v>
      </c>
      <c r="AC4495" s="8">
        <v>0</v>
      </c>
      <c r="AE4495" s="7">
        <v>46049</v>
      </c>
      <c r="AF4495" s="8">
        <v>0</v>
      </c>
      <c r="AH4495" s="7">
        <v>46045</v>
      </c>
      <c r="AN4495" s="8">
        <v>0</v>
      </c>
      <c r="AO4495" s="8">
        <v>200</v>
      </c>
    </row>
    <row r="4496" spans="1:41" x14ac:dyDescent="0.25">
      <c r="A4496" s="6" t="str">
        <f t="shared" ref="A4496:A4501" si="1173">"525-2025000561"</f>
        <v>525-2025000561</v>
      </c>
      <c r="B4496" s="6" t="str">
        <f t="shared" si="1155"/>
        <v>Lasa Int</v>
      </c>
      <c r="C4496" s="7">
        <v>45971</v>
      </c>
      <c r="D4496" s="7">
        <v>46072</v>
      </c>
      <c r="E4496" s="8">
        <v>1</v>
      </c>
      <c r="F4496" s="6" t="str">
        <f t="shared" ref="F4496:F4507" si="1174">"Wild II"</f>
        <v>Wild II</v>
      </c>
      <c r="G4496" s="6" t="str">
        <f>"R310331236000000"</f>
        <v>R310331236000000</v>
      </c>
      <c r="H4496" s="6" t="str">
        <f>"R 3312 - PLAR 1841 ("</f>
        <v>R 3312 - PLAR 1841 (</v>
      </c>
      <c r="I4496" s="6" t="str">
        <f t="shared" ref="I4496:I4507" si="1175">"200068"</f>
        <v>200068</v>
      </c>
      <c r="J4496" s="6" t="str">
        <f t="shared" ref="J4496:J4507" si="1176">"CASTANHO 68"</f>
        <v>CASTANHO 68</v>
      </c>
      <c r="K4496" s="6" t="str">
        <f>"5002"</f>
        <v>5002</v>
      </c>
      <c r="L4496" s="6" t="str">
        <f>"Roupões Adulto"</f>
        <v>Roupões Adulto</v>
      </c>
      <c r="M4496" s="6" t="str">
        <f>"S"</f>
        <v>S</v>
      </c>
      <c r="N4496" s="6" t="str">
        <f>"5602972654851"</f>
        <v>5602972654851</v>
      </c>
      <c r="O4496" s="8">
        <v>60</v>
      </c>
      <c r="P4496" s="7">
        <v>46010</v>
      </c>
      <c r="R4496" s="8">
        <v>383</v>
      </c>
      <c r="S4496" s="7">
        <v>46020</v>
      </c>
      <c r="U4496" s="8">
        <v>280</v>
      </c>
      <c r="V4496" s="7">
        <v>46028</v>
      </c>
      <c r="X4496" s="8">
        <v>280</v>
      </c>
      <c r="Z4496" s="8">
        <v>0</v>
      </c>
      <c r="AA4496" s="7">
        <v>46038</v>
      </c>
      <c r="AC4496" s="8">
        <v>0</v>
      </c>
      <c r="AE4496" s="7">
        <v>46042</v>
      </c>
      <c r="AF4496" s="8">
        <v>0</v>
      </c>
      <c r="AH4496" s="7">
        <v>46065</v>
      </c>
      <c r="AN4496" s="8">
        <v>0</v>
      </c>
      <c r="AO4496" s="8">
        <v>60</v>
      </c>
    </row>
    <row r="4497" spans="1:41" x14ac:dyDescent="0.25">
      <c r="A4497" s="6" t="str">
        <f t="shared" si="1173"/>
        <v>525-2025000561</v>
      </c>
      <c r="B4497" s="6" t="str">
        <f t="shared" si="1155"/>
        <v>Lasa Int</v>
      </c>
      <c r="C4497" s="7">
        <v>45971</v>
      </c>
      <c r="D4497" s="7">
        <v>46072</v>
      </c>
      <c r="E4497" s="8">
        <v>2</v>
      </c>
      <c r="F4497" s="6" t="str">
        <f t="shared" si="1174"/>
        <v>Wild II</v>
      </c>
      <c r="G4497" s="6" t="str">
        <f>"R310331236000000"</f>
        <v>R310331236000000</v>
      </c>
      <c r="H4497" s="6" t="str">
        <f>"R 3312 - PLAR 1841 ("</f>
        <v>R 3312 - PLAR 1841 (</v>
      </c>
      <c r="I4497" s="6" t="str">
        <f t="shared" si="1175"/>
        <v>200068</v>
      </c>
      <c r="J4497" s="6" t="str">
        <f t="shared" si="1176"/>
        <v>CASTANHO 68</v>
      </c>
      <c r="K4497" s="6" t="str">
        <f>"5004"</f>
        <v>5004</v>
      </c>
      <c r="L4497" s="6" t="str">
        <f>"Roupões Adulto"</f>
        <v>Roupões Adulto</v>
      </c>
      <c r="M4497" s="6" t="str">
        <f>"M"</f>
        <v>M</v>
      </c>
      <c r="N4497" s="6" t="str">
        <f>"5602972654868"</f>
        <v>5602972654868</v>
      </c>
      <c r="O4497" s="8">
        <v>48</v>
      </c>
      <c r="P4497" s="7">
        <v>46010</v>
      </c>
      <c r="R4497" s="8">
        <v>0</v>
      </c>
      <c r="S4497" s="7">
        <v>46020</v>
      </c>
      <c r="U4497" s="8">
        <v>0</v>
      </c>
      <c r="V4497" s="7">
        <v>46028</v>
      </c>
      <c r="X4497" s="8">
        <v>0</v>
      </c>
      <c r="Z4497" s="8">
        <v>0</v>
      </c>
      <c r="AA4497" s="7">
        <v>46038</v>
      </c>
      <c r="AC4497" s="8">
        <v>0</v>
      </c>
      <c r="AE4497" s="7">
        <v>46042</v>
      </c>
      <c r="AF4497" s="8">
        <v>0</v>
      </c>
      <c r="AH4497" s="7">
        <v>46065</v>
      </c>
      <c r="AN4497" s="8">
        <v>0</v>
      </c>
      <c r="AO4497" s="8">
        <v>48</v>
      </c>
    </row>
    <row r="4498" spans="1:41" x14ac:dyDescent="0.25">
      <c r="A4498" s="6" t="str">
        <f t="shared" si="1173"/>
        <v>525-2025000561</v>
      </c>
      <c r="B4498" s="6" t="str">
        <f t="shared" si="1155"/>
        <v>Lasa Int</v>
      </c>
      <c r="C4498" s="7">
        <v>45971</v>
      </c>
      <c r="D4498" s="7">
        <v>46072</v>
      </c>
      <c r="E4498" s="8">
        <v>3</v>
      </c>
      <c r="F4498" s="6" t="str">
        <f t="shared" si="1174"/>
        <v>Wild II</v>
      </c>
      <c r="G4498" s="6" t="str">
        <f>"R310331236000000"</f>
        <v>R310331236000000</v>
      </c>
      <c r="H4498" s="6" t="str">
        <f>"R 3312 - PLAR 1841 ("</f>
        <v>R 3312 - PLAR 1841 (</v>
      </c>
      <c r="I4498" s="6" t="str">
        <f t="shared" si="1175"/>
        <v>200068</v>
      </c>
      <c r="J4498" s="6" t="str">
        <f t="shared" si="1176"/>
        <v>CASTANHO 68</v>
      </c>
      <c r="K4498" s="6" t="str">
        <f>"5006"</f>
        <v>5006</v>
      </c>
      <c r="L4498" s="6" t="str">
        <f>"Roupões Adulto"</f>
        <v>Roupões Adulto</v>
      </c>
      <c r="M4498" s="6" t="str">
        <f>"L"</f>
        <v>L</v>
      </c>
      <c r="N4498" s="6" t="str">
        <f>"5602972654875"</f>
        <v>5602972654875</v>
      </c>
      <c r="O4498" s="8">
        <v>24</v>
      </c>
      <c r="P4498" s="7">
        <v>46010</v>
      </c>
      <c r="R4498" s="8">
        <v>0</v>
      </c>
      <c r="S4498" s="7">
        <v>46020</v>
      </c>
      <c r="U4498" s="8">
        <v>0</v>
      </c>
      <c r="V4498" s="7">
        <v>46028</v>
      </c>
      <c r="X4498" s="8">
        <v>0</v>
      </c>
      <c r="Z4498" s="8">
        <v>0</v>
      </c>
      <c r="AA4498" s="7">
        <v>46038</v>
      </c>
      <c r="AC4498" s="8">
        <v>0</v>
      </c>
      <c r="AE4498" s="7">
        <v>46042</v>
      </c>
      <c r="AF4498" s="8">
        <v>0</v>
      </c>
      <c r="AH4498" s="7">
        <v>46065</v>
      </c>
      <c r="AN4498" s="8">
        <v>0</v>
      </c>
      <c r="AO4498" s="8">
        <v>24</v>
      </c>
    </row>
    <row r="4499" spans="1:41" x14ac:dyDescent="0.25">
      <c r="A4499" s="6" t="str">
        <f t="shared" si="1173"/>
        <v>525-2025000561</v>
      </c>
      <c r="B4499" s="6" t="str">
        <f t="shared" si="1155"/>
        <v>Lasa Int</v>
      </c>
      <c r="C4499" s="7">
        <v>45971</v>
      </c>
      <c r="D4499" s="7">
        <v>46072</v>
      </c>
      <c r="E4499" s="8">
        <v>4</v>
      </c>
      <c r="F4499" s="6" t="str">
        <f t="shared" si="1174"/>
        <v>Wild II</v>
      </c>
      <c r="G4499" s="6" t="str">
        <f>"R310331236000000"</f>
        <v>R310331236000000</v>
      </c>
      <c r="H4499" s="6" t="str">
        <f>"R 3312 - PLAR 1841 ("</f>
        <v>R 3312 - PLAR 1841 (</v>
      </c>
      <c r="I4499" s="6" t="str">
        <f t="shared" si="1175"/>
        <v>200068</v>
      </c>
      <c r="J4499" s="6" t="str">
        <f t="shared" si="1176"/>
        <v>CASTANHO 68</v>
      </c>
      <c r="K4499" s="6" t="str">
        <f>"5008"</f>
        <v>5008</v>
      </c>
      <c r="L4499" s="6" t="str">
        <f>"Roupões Adulto"</f>
        <v>Roupões Adulto</v>
      </c>
      <c r="M4499" s="6" t="str">
        <f>"XL"</f>
        <v>XL</v>
      </c>
      <c r="N4499" s="6" t="str">
        <f>"5602972654882"</f>
        <v>5602972654882</v>
      </c>
      <c r="O4499" s="8">
        <v>18</v>
      </c>
      <c r="P4499" s="7">
        <v>46010</v>
      </c>
      <c r="R4499" s="8">
        <v>0</v>
      </c>
      <c r="S4499" s="7">
        <v>46020</v>
      </c>
      <c r="U4499" s="8">
        <v>0</v>
      </c>
      <c r="V4499" s="7">
        <v>46028</v>
      </c>
      <c r="X4499" s="8">
        <v>0</v>
      </c>
      <c r="Z4499" s="8">
        <v>0</v>
      </c>
      <c r="AA4499" s="7">
        <v>46038</v>
      </c>
      <c r="AC4499" s="8">
        <v>0</v>
      </c>
      <c r="AE4499" s="7">
        <v>46042</v>
      </c>
      <c r="AF4499" s="8">
        <v>0</v>
      </c>
      <c r="AH4499" s="7">
        <v>46065</v>
      </c>
      <c r="AN4499" s="8">
        <v>0</v>
      </c>
      <c r="AO4499" s="8">
        <v>18</v>
      </c>
    </row>
    <row r="4500" spans="1:41" x14ac:dyDescent="0.25">
      <c r="A4500" s="6" t="str">
        <f t="shared" si="1173"/>
        <v>525-2025000561</v>
      </c>
      <c r="B4500" s="6" t="str">
        <f t="shared" si="1155"/>
        <v>Lasa Int</v>
      </c>
      <c r="C4500" s="7">
        <v>45971</v>
      </c>
      <c r="D4500" s="7">
        <v>46072</v>
      </c>
      <c r="E4500" s="8">
        <v>5</v>
      </c>
      <c r="F4500" s="6" t="str">
        <f t="shared" si="1174"/>
        <v>Wild II</v>
      </c>
      <c r="G4500" s="6" t="str">
        <f>"K310156936000000"</f>
        <v>K310156936000000</v>
      </c>
      <c r="H4500" s="6" t="str">
        <f>"KB 1569 - PLAR 1841"</f>
        <v>KB 1569 - PLAR 1841</v>
      </c>
      <c r="I4500" s="6" t="str">
        <f t="shared" si="1175"/>
        <v>200068</v>
      </c>
      <c r="J4500" s="6" t="str">
        <f t="shared" si="1176"/>
        <v>CASTANHO 68</v>
      </c>
      <c r="K4500" s="6" t="str">
        <f>"8501"</f>
        <v>8501</v>
      </c>
      <c r="L4500" s="6" t="str">
        <f>"Bolsas"</f>
        <v>Bolsas</v>
      </c>
      <c r="M4500" s="6" t="str">
        <f>"Único"</f>
        <v>Único</v>
      </c>
      <c r="N4500" s="6" t="str">
        <f>"5602972654936"</f>
        <v>5602972654936</v>
      </c>
      <c r="O4500" s="8">
        <v>48</v>
      </c>
      <c r="P4500" s="7">
        <v>46010</v>
      </c>
      <c r="R4500" s="8">
        <v>0</v>
      </c>
      <c r="S4500" s="7">
        <v>46020</v>
      </c>
      <c r="U4500" s="8">
        <v>0</v>
      </c>
      <c r="V4500" s="7">
        <v>46028</v>
      </c>
      <c r="X4500" s="8">
        <v>0</v>
      </c>
      <c r="Z4500" s="8">
        <v>0</v>
      </c>
      <c r="AA4500" s="7">
        <v>46038</v>
      </c>
      <c r="AC4500" s="8">
        <v>0</v>
      </c>
      <c r="AE4500" s="7">
        <v>46042</v>
      </c>
      <c r="AF4500" s="8">
        <v>0</v>
      </c>
      <c r="AH4500" s="7">
        <v>46065</v>
      </c>
      <c r="AN4500" s="8">
        <v>0</v>
      </c>
      <c r="AO4500" s="8">
        <v>48</v>
      </c>
    </row>
    <row r="4501" spans="1:41" x14ac:dyDescent="0.25">
      <c r="A4501" s="6" t="str">
        <f t="shared" si="1173"/>
        <v>525-2025000561</v>
      </c>
      <c r="B4501" s="6" t="str">
        <f t="shared" si="1155"/>
        <v>Lasa Int</v>
      </c>
      <c r="C4501" s="7">
        <v>45971</v>
      </c>
      <c r="D4501" s="7">
        <v>46072</v>
      </c>
      <c r="E4501" s="8">
        <v>6</v>
      </c>
      <c r="F4501" s="6" t="str">
        <f t="shared" si="1174"/>
        <v>Wild II</v>
      </c>
      <c r="G4501" s="6" t="str">
        <f>"K310157036000000"</f>
        <v>K310157036000000</v>
      </c>
      <c r="H4501" s="6" t="str">
        <f>"KB 1570 - PLAR 1841"</f>
        <v>KB 1570 - PLAR 1841</v>
      </c>
      <c r="I4501" s="6" t="str">
        <f t="shared" si="1175"/>
        <v>200068</v>
      </c>
      <c r="J4501" s="6" t="str">
        <f t="shared" si="1176"/>
        <v>CASTANHO 68</v>
      </c>
      <c r="K4501" s="6" t="str">
        <f>"4865"</f>
        <v>4865</v>
      </c>
      <c r="L4501" s="6" t="str">
        <f>"Chinelos"</f>
        <v>Chinelos</v>
      </c>
      <c r="M4501" s="6" t="str">
        <f>"Tamanho S/"</f>
        <v>Tamanho S/</v>
      </c>
      <c r="N4501" s="6" t="str">
        <f>"5602972654943"</f>
        <v>5602972654943</v>
      </c>
      <c r="O4501" s="8">
        <v>24</v>
      </c>
      <c r="P4501" s="7">
        <v>46010</v>
      </c>
      <c r="R4501" s="8">
        <v>0</v>
      </c>
      <c r="S4501" s="7">
        <v>46020</v>
      </c>
      <c r="U4501" s="8">
        <v>0</v>
      </c>
      <c r="V4501" s="7">
        <v>46028</v>
      </c>
      <c r="X4501" s="8">
        <v>0</v>
      </c>
      <c r="Z4501" s="8">
        <v>0</v>
      </c>
      <c r="AA4501" s="7">
        <v>46038</v>
      </c>
      <c r="AC4501" s="8">
        <v>0</v>
      </c>
      <c r="AE4501" s="7">
        <v>46042</v>
      </c>
      <c r="AF4501" s="8">
        <v>0</v>
      </c>
      <c r="AH4501" s="7">
        <v>46065</v>
      </c>
      <c r="AN4501" s="8">
        <v>0</v>
      </c>
      <c r="AO4501" s="8">
        <v>24</v>
      </c>
    </row>
    <row r="4502" spans="1:41" x14ac:dyDescent="0.25">
      <c r="A4502" s="6" t="str">
        <f t="shared" ref="A4502:A4507" si="1177">"525-2025000562"</f>
        <v>525-2025000562</v>
      </c>
      <c r="B4502" s="6" t="str">
        <f t="shared" si="1155"/>
        <v>Lasa Int</v>
      </c>
      <c r="C4502" s="7">
        <v>45971</v>
      </c>
      <c r="D4502" s="7">
        <v>46072</v>
      </c>
      <c r="E4502" s="8">
        <v>1</v>
      </c>
      <c r="F4502" s="6" t="str">
        <f t="shared" si="1174"/>
        <v>Wild II</v>
      </c>
      <c r="G4502" s="6" t="str">
        <f>"F310184150000001"</f>
        <v>F310184150000001</v>
      </c>
      <c r="H4502" s="6" t="str">
        <f>"PLAR 1841 - 500 g/m²"</f>
        <v>PLAR 1841 - 500 g/m²</v>
      </c>
      <c r="I4502" s="6" t="str">
        <f t="shared" si="1175"/>
        <v>200068</v>
      </c>
      <c r="J4502" s="6" t="str">
        <f t="shared" si="1176"/>
        <v>CASTANHO 68</v>
      </c>
      <c r="K4502" s="6" t="str">
        <f>"1024"</f>
        <v>1024</v>
      </c>
      <c r="L4502" s="6" t="str">
        <f>"Toalhas"</f>
        <v>Toalhas</v>
      </c>
      <c r="M4502" s="6" t="str">
        <f>"50x100"</f>
        <v>50x100</v>
      </c>
      <c r="N4502" s="6" t="str">
        <f>"5602972653823"</f>
        <v>5602972653823</v>
      </c>
      <c r="O4502" s="8">
        <v>320</v>
      </c>
      <c r="P4502" s="7">
        <v>46010</v>
      </c>
      <c r="R4502" s="8">
        <v>352</v>
      </c>
      <c r="S4502" s="7">
        <v>46015</v>
      </c>
      <c r="U4502" s="8">
        <v>352</v>
      </c>
      <c r="V4502" s="7">
        <v>46024</v>
      </c>
      <c r="X4502" s="8">
        <v>0</v>
      </c>
      <c r="Z4502" s="8">
        <v>352</v>
      </c>
      <c r="AA4502" s="7">
        <v>46036</v>
      </c>
      <c r="AC4502" s="8">
        <v>0</v>
      </c>
      <c r="AE4502" s="7">
        <v>46038</v>
      </c>
      <c r="AF4502" s="8">
        <v>0</v>
      </c>
      <c r="AH4502" s="7">
        <v>46038</v>
      </c>
      <c r="AN4502" s="8">
        <v>0</v>
      </c>
      <c r="AO4502" s="8">
        <v>320</v>
      </c>
    </row>
    <row r="4503" spans="1:41" x14ac:dyDescent="0.25">
      <c r="A4503" s="6" t="str">
        <f t="shared" si="1177"/>
        <v>525-2025000562</v>
      </c>
      <c r="B4503" s="6" t="str">
        <f t="shared" si="1155"/>
        <v>Lasa Int</v>
      </c>
      <c r="C4503" s="7">
        <v>45971</v>
      </c>
      <c r="D4503" s="7">
        <v>46072</v>
      </c>
      <c r="E4503" s="8">
        <v>2</v>
      </c>
      <c r="F4503" s="6" t="str">
        <f t="shared" si="1174"/>
        <v>Wild II</v>
      </c>
      <c r="G4503" s="6" t="str">
        <f>"F310184150000001"</f>
        <v>F310184150000001</v>
      </c>
      <c r="H4503" s="6" t="str">
        <f>"PLAR 1841 - 500 g/m²"</f>
        <v>PLAR 1841 - 500 g/m²</v>
      </c>
      <c r="I4503" s="6" t="str">
        <f t="shared" si="1175"/>
        <v>200068</v>
      </c>
      <c r="J4503" s="6" t="str">
        <f t="shared" si="1176"/>
        <v>CASTANHO 68</v>
      </c>
      <c r="K4503" s="6" t="str">
        <f>"1535"</f>
        <v>1535</v>
      </c>
      <c r="L4503" s="6" t="str">
        <f>"Toalhões"</f>
        <v>Toalhões</v>
      </c>
      <c r="M4503" s="6" t="str">
        <f>"70x140"</f>
        <v>70x140</v>
      </c>
      <c r="N4503" s="6" t="str">
        <f>"5602972653847"</f>
        <v>5602972653847</v>
      </c>
      <c r="O4503" s="8">
        <v>180</v>
      </c>
      <c r="P4503" s="7">
        <v>46010</v>
      </c>
      <c r="R4503" s="8">
        <v>204</v>
      </c>
      <c r="S4503" s="7">
        <v>46015</v>
      </c>
      <c r="U4503" s="8">
        <v>204</v>
      </c>
      <c r="V4503" s="7">
        <v>46024</v>
      </c>
      <c r="X4503" s="8">
        <v>0</v>
      </c>
      <c r="Z4503" s="8">
        <v>204</v>
      </c>
      <c r="AA4503" s="7">
        <v>46036</v>
      </c>
      <c r="AC4503" s="8">
        <v>0</v>
      </c>
      <c r="AE4503" s="7">
        <v>46038</v>
      </c>
      <c r="AF4503" s="8">
        <v>0</v>
      </c>
      <c r="AH4503" s="7">
        <v>46038</v>
      </c>
      <c r="AN4503" s="8">
        <v>0</v>
      </c>
      <c r="AO4503" s="8">
        <v>180</v>
      </c>
    </row>
    <row r="4504" spans="1:41" x14ac:dyDescent="0.25">
      <c r="A4504" s="6" t="str">
        <f t="shared" si="1177"/>
        <v>525-2025000562</v>
      </c>
      <c r="B4504" s="6" t="str">
        <f t="shared" si="1155"/>
        <v>Lasa Int</v>
      </c>
      <c r="C4504" s="7">
        <v>45971</v>
      </c>
      <c r="D4504" s="7">
        <v>46072</v>
      </c>
      <c r="E4504" s="8">
        <v>3</v>
      </c>
      <c r="F4504" s="6" t="str">
        <f t="shared" si="1174"/>
        <v>Wild II</v>
      </c>
      <c r="G4504" s="6" t="str">
        <f>"F310184150000001"</f>
        <v>F310184150000001</v>
      </c>
      <c r="H4504" s="6" t="str">
        <f>"PLAR 1841 - 500 g/m²"</f>
        <v>PLAR 1841 - 500 g/m²</v>
      </c>
      <c r="I4504" s="6" t="str">
        <f t="shared" si="1175"/>
        <v>200068</v>
      </c>
      <c r="J4504" s="6" t="str">
        <f t="shared" si="1176"/>
        <v>CASTANHO 68</v>
      </c>
      <c r="K4504" s="6" t="str">
        <f>"2020"</f>
        <v>2020</v>
      </c>
      <c r="L4504" s="6" t="str">
        <f>"Lençóis"</f>
        <v>Lençóis</v>
      </c>
      <c r="M4504" s="6" t="str">
        <f>"100x150"</f>
        <v>100x150</v>
      </c>
      <c r="N4504" s="6" t="str">
        <f>"5602972653854"</f>
        <v>5602972653854</v>
      </c>
      <c r="O4504" s="8">
        <v>60</v>
      </c>
      <c r="P4504" s="7">
        <v>46010</v>
      </c>
      <c r="R4504" s="8">
        <v>96</v>
      </c>
      <c r="S4504" s="7">
        <v>46015</v>
      </c>
      <c r="U4504" s="8">
        <v>96</v>
      </c>
      <c r="V4504" s="7">
        <v>46024</v>
      </c>
      <c r="X4504" s="8">
        <v>0</v>
      </c>
      <c r="Z4504" s="8">
        <v>96</v>
      </c>
      <c r="AA4504" s="7">
        <v>46036</v>
      </c>
      <c r="AC4504" s="8">
        <v>76</v>
      </c>
      <c r="AE4504" s="7">
        <v>46038</v>
      </c>
      <c r="AF4504" s="8">
        <v>76</v>
      </c>
      <c r="AH4504" s="7">
        <v>46038</v>
      </c>
      <c r="AN4504" s="8">
        <v>76</v>
      </c>
      <c r="AO4504" s="8">
        <v>-16</v>
      </c>
    </row>
    <row r="4505" spans="1:41" x14ac:dyDescent="0.25">
      <c r="A4505" s="6" t="str">
        <f t="shared" si="1177"/>
        <v>525-2025000562</v>
      </c>
      <c r="B4505" s="6" t="str">
        <f t="shared" si="1155"/>
        <v>Lasa Int</v>
      </c>
      <c r="C4505" s="7">
        <v>45971</v>
      </c>
      <c r="D4505" s="7">
        <v>46072</v>
      </c>
      <c r="E4505" s="8">
        <v>4</v>
      </c>
      <c r="F4505" s="6" t="str">
        <f t="shared" si="1174"/>
        <v>Wild II</v>
      </c>
      <c r="G4505" s="6" t="str">
        <f>"F310503350000000"</f>
        <v>F310503350000000</v>
      </c>
      <c r="H4505" s="6" t="str">
        <f>"PLAR 5033 - 500 g/m²"</f>
        <v>PLAR 5033 - 500 g/m²</v>
      </c>
      <c r="I4505" s="6" t="str">
        <f t="shared" si="1175"/>
        <v>200068</v>
      </c>
      <c r="J4505" s="6" t="str">
        <f t="shared" si="1176"/>
        <v>CASTANHO 68</v>
      </c>
      <c r="K4505" s="6" t="str">
        <f>"1024"</f>
        <v>1024</v>
      </c>
      <c r="L4505" s="6" t="str">
        <f>"Toalhas"</f>
        <v>Toalhas</v>
      </c>
      <c r="M4505" s="6" t="str">
        <f>"50x100"</f>
        <v>50x100</v>
      </c>
      <c r="N4505" s="6" t="str">
        <f>"5602972653755"</f>
        <v>5602972653755</v>
      </c>
      <c r="O4505" s="8">
        <v>320</v>
      </c>
      <c r="P4505" s="7">
        <v>46010</v>
      </c>
      <c r="R4505" s="8">
        <v>324</v>
      </c>
      <c r="S4505" s="7">
        <v>46015</v>
      </c>
      <c r="U4505" s="8">
        <v>324</v>
      </c>
      <c r="V4505" s="7">
        <v>46024</v>
      </c>
      <c r="X4505" s="8">
        <v>0</v>
      </c>
      <c r="Z4505" s="8">
        <v>324</v>
      </c>
      <c r="AA4505" s="7">
        <v>46036</v>
      </c>
      <c r="AC4505" s="8">
        <v>0</v>
      </c>
      <c r="AE4505" s="7">
        <v>46038</v>
      </c>
      <c r="AF4505" s="8">
        <v>0</v>
      </c>
      <c r="AH4505" s="7">
        <v>46038</v>
      </c>
      <c r="AN4505" s="8">
        <v>0</v>
      </c>
      <c r="AO4505" s="8">
        <v>320</v>
      </c>
    </row>
    <row r="4506" spans="1:41" x14ac:dyDescent="0.25">
      <c r="A4506" s="6" t="str">
        <f t="shared" si="1177"/>
        <v>525-2025000562</v>
      </c>
      <c r="B4506" s="6" t="str">
        <f t="shared" si="1155"/>
        <v>Lasa Int</v>
      </c>
      <c r="C4506" s="7">
        <v>45971</v>
      </c>
      <c r="D4506" s="7">
        <v>46072</v>
      </c>
      <c r="E4506" s="8">
        <v>5</v>
      </c>
      <c r="F4506" s="6" t="str">
        <f t="shared" si="1174"/>
        <v>Wild II</v>
      </c>
      <c r="G4506" s="6" t="str">
        <f>"F310503350000000"</f>
        <v>F310503350000000</v>
      </c>
      <c r="H4506" s="6" t="str">
        <f>"PLAR 5033 - 500 g/m²"</f>
        <v>PLAR 5033 - 500 g/m²</v>
      </c>
      <c r="I4506" s="6" t="str">
        <f t="shared" si="1175"/>
        <v>200068</v>
      </c>
      <c r="J4506" s="6" t="str">
        <f t="shared" si="1176"/>
        <v>CASTANHO 68</v>
      </c>
      <c r="K4506" s="6" t="str">
        <f>"1535"</f>
        <v>1535</v>
      </c>
      <c r="L4506" s="6" t="str">
        <f>"Toalhões"</f>
        <v>Toalhões</v>
      </c>
      <c r="M4506" s="6" t="str">
        <f>"70x140"</f>
        <v>70x140</v>
      </c>
      <c r="N4506" s="6" t="str">
        <f>"5602972653779"</f>
        <v>5602972653779</v>
      </c>
      <c r="O4506" s="8">
        <v>150</v>
      </c>
      <c r="P4506" s="7">
        <v>46010</v>
      </c>
      <c r="R4506" s="8">
        <v>177</v>
      </c>
      <c r="S4506" s="7">
        <v>46015</v>
      </c>
      <c r="U4506" s="8">
        <v>177</v>
      </c>
      <c r="V4506" s="7">
        <v>46024</v>
      </c>
      <c r="X4506" s="8">
        <v>0</v>
      </c>
      <c r="Z4506" s="8">
        <v>177</v>
      </c>
      <c r="AA4506" s="7">
        <v>46036</v>
      </c>
      <c r="AC4506" s="8">
        <v>0</v>
      </c>
      <c r="AE4506" s="7">
        <v>46038</v>
      </c>
      <c r="AF4506" s="8">
        <v>0</v>
      </c>
      <c r="AH4506" s="7">
        <v>46038</v>
      </c>
      <c r="AN4506" s="8">
        <v>0</v>
      </c>
      <c r="AO4506" s="8">
        <v>150</v>
      </c>
    </row>
    <row r="4507" spans="1:41" x14ac:dyDescent="0.25">
      <c r="A4507" s="6" t="str">
        <f t="shared" si="1177"/>
        <v>525-2025000562</v>
      </c>
      <c r="B4507" s="6" t="str">
        <f t="shared" si="1155"/>
        <v>Lasa Int</v>
      </c>
      <c r="C4507" s="7">
        <v>45971</v>
      </c>
      <c r="D4507" s="7">
        <v>46072</v>
      </c>
      <c r="E4507" s="8">
        <v>6</v>
      </c>
      <c r="F4507" s="6" t="str">
        <f t="shared" si="1174"/>
        <v>Wild II</v>
      </c>
      <c r="G4507" s="6" t="str">
        <f>"F310503350000000"</f>
        <v>F310503350000000</v>
      </c>
      <c r="H4507" s="6" t="str">
        <f>"PLAR 5033 - 500 g/m²"</f>
        <v>PLAR 5033 - 500 g/m²</v>
      </c>
      <c r="I4507" s="6" t="str">
        <f t="shared" si="1175"/>
        <v>200068</v>
      </c>
      <c r="J4507" s="6" t="str">
        <f t="shared" si="1176"/>
        <v>CASTANHO 68</v>
      </c>
      <c r="K4507" s="6" t="str">
        <f>"2020"</f>
        <v>2020</v>
      </c>
      <c r="L4507" s="6" t="str">
        <f>"Lençóis"</f>
        <v>Lençóis</v>
      </c>
      <c r="M4507" s="6" t="str">
        <f>"100x150"</f>
        <v>100x150</v>
      </c>
      <c r="N4507" s="6" t="str">
        <f>"5602972653786"</f>
        <v>5602972653786</v>
      </c>
      <c r="O4507" s="8">
        <v>60</v>
      </c>
      <c r="P4507" s="7">
        <v>46010</v>
      </c>
      <c r="R4507" s="8">
        <v>98</v>
      </c>
      <c r="S4507" s="7">
        <v>46015</v>
      </c>
      <c r="U4507" s="8">
        <v>98</v>
      </c>
      <c r="V4507" s="7">
        <v>46024</v>
      </c>
      <c r="X4507" s="8">
        <v>0</v>
      </c>
      <c r="Z4507" s="8">
        <v>98</v>
      </c>
      <c r="AA4507" s="7">
        <v>46036</v>
      </c>
      <c r="AC4507" s="8">
        <v>77</v>
      </c>
      <c r="AE4507" s="7">
        <v>46038</v>
      </c>
      <c r="AF4507" s="8">
        <v>77</v>
      </c>
      <c r="AH4507" s="7">
        <v>46038</v>
      </c>
      <c r="AN4507" s="8">
        <v>77</v>
      </c>
      <c r="AO4507" s="8">
        <v>-17</v>
      </c>
    </row>
    <row r="4508" spans="1:41" x14ac:dyDescent="0.25">
      <c r="A4508" s="6" t="str">
        <f t="shared" ref="A4508:A4539" si="1178">"525-2025000566"</f>
        <v>525-2025000566</v>
      </c>
      <c r="B4508" s="6" t="str">
        <f t="shared" si="1155"/>
        <v>Lasa Int</v>
      </c>
      <c r="C4508" s="7">
        <v>45974</v>
      </c>
      <c r="D4508" s="7">
        <v>46044</v>
      </c>
      <c r="E4508" s="8">
        <v>1</v>
      </c>
      <c r="F4508" s="6" t="str">
        <f t="shared" ref="F4508:F4539" si="1179">"PURE"</f>
        <v>PURE</v>
      </c>
      <c r="G4508" s="6" t="str">
        <f t="shared" ref="G4508:G4554" si="1180">"F100021455000000"</f>
        <v>F100021455000000</v>
      </c>
      <c r="H4508" s="6" t="str">
        <f t="shared" ref="H4508:H4554" si="1181">"FA 214 - PURE - 550"</f>
        <v>FA 214 - PURE - 550</v>
      </c>
      <c r="I4508" s="6" t="str">
        <f>"1"</f>
        <v>1</v>
      </c>
      <c r="J4508" s="6" t="str">
        <f>"BRANCO"</f>
        <v>BRANCO</v>
      </c>
      <c r="K4508" s="6" t="str">
        <f>"0530"</f>
        <v>0530</v>
      </c>
      <c r="L4508" s="6" t="str">
        <f>"Toalhetes"</f>
        <v>Toalhetes</v>
      </c>
      <c r="M4508" s="6" t="str">
        <f>"33x50"</f>
        <v>33x50</v>
      </c>
      <c r="N4508" s="6" t="str">
        <f>"5602972836240"</f>
        <v>5602972836240</v>
      </c>
      <c r="O4508" s="8">
        <v>450</v>
      </c>
      <c r="P4508" s="7">
        <v>45974</v>
      </c>
      <c r="R4508" s="8">
        <v>18528</v>
      </c>
      <c r="S4508" s="7">
        <v>45979</v>
      </c>
      <c r="U4508" s="8">
        <v>450</v>
      </c>
      <c r="V4508" s="7">
        <v>45996</v>
      </c>
      <c r="X4508" s="8">
        <v>0</v>
      </c>
      <c r="Z4508" s="8">
        <v>450</v>
      </c>
      <c r="AA4508" s="7">
        <v>46013</v>
      </c>
      <c r="AC4508" s="8">
        <v>292</v>
      </c>
      <c r="AE4508" s="7">
        <v>46021</v>
      </c>
      <c r="AF4508" s="8">
        <v>292</v>
      </c>
      <c r="AH4508" s="7">
        <v>46037</v>
      </c>
      <c r="AN4508" s="8">
        <v>292</v>
      </c>
      <c r="AO4508" s="8">
        <v>158</v>
      </c>
    </row>
    <row r="4509" spans="1:41" x14ac:dyDescent="0.25">
      <c r="A4509" s="6" t="str">
        <f t="shared" si="1178"/>
        <v>525-2025000566</v>
      </c>
      <c r="B4509" s="6" t="str">
        <f t="shared" si="1155"/>
        <v>Lasa Int</v>
      </c>
      <c r="C4509" s="7">
        <v>45974</v>
      </c>
      <c r="D4509" s="7">
        <v>46044</v>
      </c>
      <c r="E4509" s="8">
        <v>2</v>
      </c>
      <c r="F4509" s="6" t="str">
        <f t="shared" si="1179"/>
        <v>PURE</v>
      </c>
      <c r="G4509" s="6" t="str">
        <f t="shared" si="1180"/>
        <v>F100021455000000</v>
      </c>
      <c r="H4509" s="6" t="str">
        <f t="shared" si="1181"/>
        <v>FA 214 - PURE - 550</v>
      </c>
      <c r="I4509" s="6" t="str">
        <f>"1"</f>
        <v>1</v>
      </c>
      <c r="J4509" s="6" t="str">
        <f>"BRANCO"</f>
        <v>BRANCO</v>
      </c>
      <c r="K4509" s="6" t="str">
        <f>"1024"</f>
        <v>1024</v>
      </c>
      <c r="L4509" s="6" t="str">
        <f>"Toalhas"</f>
        <v>Toalhas</v>
      </c>
      <c r="M4509" s="6" t="str">
        <f>"50x100"</f>
        <v>50x100</v>
      </c>
      <c r="N4509" s="6" t="str">
        <f>"5602972836257"</f>
        <v>5602972836257</v>
      </c>
      <c r="O4509" s="8">
        <v>720</v>
      </c>
      <c r="P4509" s="7">
        <v>45974</v>
      </c>
      <c r="R4509" s="8">
        <v>6720</v>
      </c>
      <c r="S4509" s="7">
        <v>45979</v>
      </c>
      <c r="U4509" s="8">
        <v>720</v>
      </c>
      <c r="V4509" s="7">
        <v>45996</v>
      </c>
      <c r="X4509" s="8">
        <v>0</v>
      </c>
      <c r="Z4509" s="8">
        <v>720</v>
      </c>
      <c r="AA4509" s="7">
        <v>46013</v>
      </c>
      <c r="AC4509" s="8">
        <v>742</v>
      </c>
      <c r="AE4509" s="7">
        <v>46021</v>
      </c>
      <c r="AF4509" s="8">
        <v>742</v>
      </c>
      <c r="AH4509" s="7">
        <v>46037</v>
      </c>
      <c r="AN4509" s="8">
        <v>1394</v>
      </c>
      <c r="AO4509" s="8">
        <v>-674</v>
      </c>
    </row>
    <row r="4510" spans="1:41" x14ac:dyDescent="0.25">
      <c r="A4510" s="6" t="str">
        <f t="shared" si="1178"/>
        <v>525-2025000566</v>
      </c>
      <c r="B4510" s="6" t="str">
        <f t="shared" si="1155"/>
        <v>Lasa Int</v>
      </c>
      <c r="C4510" s="7">
        <v>45974</v>
      </c>
      <c r="D4510" s="7">
        <v>46044</v>
      </c>
      <c r="E4510" s="8">
        <v>3</v>
      </c>
      <c r="F4510" s="6" t="str">
        <f t="shared" si="1179"/>
        <v>PURE</v>
      </c>
      <c r="G4510" s="6" t="str">
        <f t="shared" si="1180"/>
        <v>F100021455000000</v>
      </c>
      <c r="H4510" s="6" t="str">
        <f t="shared" si="1181"/>
        <v>FA 214 - PURE - 550</v>
      </c>
      <c r="I4510" s="6" t="str">
        <f>"1"</f>
        <v>1</v>
      </c>
      <c r="J4510" s="6" t="str">
        <f>"BRANCO"</f>
        <v>BRANCO</v>
      </c>
      <c r="K4510" s="6" t="str">
        <f>"1535"</f>
        <v>1535</v>
      </c>
      <c r="L4510" s="6" t="str">
        <f>"Toalhões"</f>
        <v>Toalhões</v>
      </c>
      <c r="M4510" s="6" t="str">
        <f>"70x140"</f>
        <v>70x140</v>
      </c>
      <c r="N4510" s="6" t="str">
        <f>"5602972836264"</f>
        <v>5602972836264</v>
      </c>
      <c r="O4510" s="8">
        <v>480</v>
      </c>
      <c r="P4510" s="7">
        <v>45974</v>
      </c>
      <c r="R4510" s="8">
        <v>4071</v>
      </c>
      <c r="S4510" s="7">
        <v>45979</v>
      </c>
      <c r="U4510" s="8">
        <v>480</v>
      </c>
      <c r="V4510" s="7">
        <v>45996</v>
      </c>
      <c r="X4510" s="8">
        <v>0</v>
      </c>
      <c r="Z4510" s="8">
        <v>480</v>
      </c>
      <c r="AA4510" s="7">
        <v>46013</v>
      </c>
      <c r="AC4510" s="8">
        <v>183</v>
      </c>
      <c r="AE4510" s="7">
        <v>46021</v>
      </c>
      <c r="AF4510" s="8">
        <v>183</v>
      </c>
      <c r="AH4510" s="7">
        <v>46037</v>
      </c>
      <c r="AN4510" s="8">
        <v>183</v>
      </c>
      <c r="AO4510" s="8">
        <v>297</v>
      </c>
    </row>
    <row r="4511" spans="1:41" x14ac:dyDescent="0.25">
      <c r="A4511" s="6" t="str">
        <f t="shared" si="1178"/>
        <v>525-2025000566</v>
      </c>
      <c r="B4511" s="6" t="str">
        <f t="shared" si="1155"/>
        <v>Lasa Int</v>
      </c>
      <c r="C4511" s="7">
        <v>45974</v>
      </c>
      <c r="D4511" s="7">
        <v>46044</v>
      </c>
      <c r="E4511" s="8">
        <v>4</v>
      </c>
      <c r="F4511" s="6" t="str">
        <f t="shared" si="1179"/>
        <v>PURE</v>
      </c>
      <c r="G4511" s="6" t="str">
        <f t="shared" si="1180"/>
        <v>F100021455000000</v>
      </c>
      <c r="H4511" s="6" t="str">
        <f t="shared" si="1181"/>
        <v>FA 214 - PURE - 550</v>
      </c>
      <c r="I4511" s="6" t="str">
        <f>"1"</f>
        <v>1</v>
      </c>
      <c r="J4511" s="6" t="str">
        <f>"BRANCO"</f>
        <v>BRANCO</v>
      </c>
      <c r="K4511" s="6" t="str">
        <f>"2020"</f>
        <v>2020</v>
      </c>
      <c r="L4511" s="6" t="str">
        <f>"Lençóis"</f>
        <v>Lençóis</v>
      </c>
      <c r="M4511" s="6" t="str">
        <f>"100x150"</f>
        <v>100x150</v>
      </c>
      <c r="N4511" s="6" t="str">
        <f>"5602972836271"</f>
        <v>5602972836271</v>
      </c>
      <c r="O4511" s="8">
        <v>480</v>
      </c>
      <c r="P4511" s="7">
        <v>45974</v>
      </c>
      <c r="R4511" s="8">
        <v>2318</v>
      </c>
      <c r="S4511" s="7">
        <v>45979</v>
      </c>
      <c r="U4511" s="8">
        <v>488</v>
      </c>
      <c r="V4511" s="7">
        <v>45996</v>
      </c>
      <c r="X4511" s="8">
        <v>0</v>
      </c>
      <c r="Z4511" s="8">
        <v>488</v>
      </c>
      <c r="AA4511" s="7">
        <v>46013</v>
      </c>
      <c r="AC4511" s="8">
        <v>0</v>
      </c>
      <c r="AE4511" s="7">
        <v>46021</v>
      </c>
      <c r="AF4511" s="8">
        <v>0</v>
      </c>
      <c r="AH4511" s="7">
        <v>46037</v>
      </c>
      <c r="AN4511" s="8">
        <v>0</v>
      </c>
      <c r="AO4511" s="8">
        <v>480</v>
      </c>
    </row>
    <row r="4512" spans="1:41" x14ac:dyDescent="0.25">
      <c r="A4512" s="6" t="str">
        <f t="shared" si="1178"/>
        <v>525-2025000566</v>
      </c>
      <c r="B4512" s="6" t="str">
        <f t="shared" si="1155"/>
        <v>Lasa Int</v>
      </c>
      <c r="C4512" s="7">
        <v>45974</v>
      </c>
      <c r="D4512" s="7">
        <v>46044</v>
      </c>
      <c r="E4512" s="8">
        <v>5</v>
      </c>
      <c r="F4512" s="6" t="str">
        <f t="shared" si="1179"/>
        <v>PURE</v>
      </c>
      <c r="G4512" s="6" t="str">
        <f t="shared" si="1180"/>
        <v>F100021455000000</v>
      </c>
      <c r="H4512" s="6" t="str">
        <f t="shared" si="1181"/>
        <v>FA 214 - PURE - 550</v>
      </c>
      <c r="I4512" s="6" t="str">
        <f>"1670"</f>
        <v>1670</v>
      </c>
      <c r="J4512" s="6" t="str">
        <f>"BEGE 1670"</f>
        <v>BEGE 1670</v>
      </c>
      <c r="K4512" s="6" t="str">
        <f>"0530"</f>
        <v>0530</v>
      </c>
      <c r="L4512" s="6" t="str">
        <f>"Toalhetes"</f>
        <v>Toalhetes</v>
      </c>
      <c r="M4512" s="6" t="str">
        <f>"33x50"</f>
        <v>33x50</v>
      </c>
      <c r="N4512" s="6" t="str">
        <f>"5602972836295"</f>
        <v>5602972836295</v>
      </c>
      <c r="O4512" s="8">
        <v>450</v>
      </c>
      <c r="P4512" s="7">
        <v>45974</v>
      </c>
      <c r="R4512" s="8">
        <v>0</v>
      </c>
      <c r="S4512" s="7">
        <v>45979</v>
      </c>
      <c r="U4512" s="8">
        <v>450</v>
      </c>
      <c r="V4512" s="7">
        <v>45996</v>
      </c>
      <c r="X4512" s="8">
        <v>0</v>
      </c>
      <c r="Z4512" s="8">
        <v>450</v>
      </c>
      <c r="AA4512" s="7">
        <v>46013</v>
      </c>
      <c r="AC4512" s="8">
        <v>0</v>
      </c>
      <c r="AE4512" s="7">
        <v>46021</v>
      </c>
      <c r="AF4512" s="8">
        <v>0</v>
      </c>
      <c r="AH4512" s="7">
        <v>46037</v>
      </c>
      <c r="AN4512" s="8">
        <v>0</v>
      </c>
      <c r="AO4512" s="8">
        <v>450</v>
      </c>
    </row>
    <row r="4513" spans="1:41" x14ac:dyDescent="0.25">
      <c r="A4513" s="6" t="str">
        <f t="shared" si="1178"/>
        <v>525-2025000566</v>
      </c>
      <c r="B4513" s="6" t="str">
        <f t="shared" si="1155"/>
        <v>Lasa Int</v>
      </c>
      <c r="C4513" s="7">
        <v>45974</v>
      </c>
      <c r="D4513" s="7">
        <v>46044</v>
      </c>
      <c r="E4513" s="8">
        <v>6</v>
      </c>
      <c r="F4513" s="6" t="str">
        <f t="shared" si="1179"/>
        <v>PURE</v>
      </c>
      <c r="G4513" s="6" t="str">
        <f t="shared" si="1180"/>
        <v>F100021455000000</v>
      </c>
      <c r="H4513" s="6" t="str">
        <f t="shared" si="1181"/>
        <v>FA 214 - PURE - 550</v>
      </c>
      <c r="I4513" s="6" t="str">
        <f>"1670"</f>
        <v>1670</v>
      </c>
      <c r="J4513" s="6" t="str">
        <f>"BEGE 1670"</f>
        <v>BEGE 1670</v>
      </c>
      <c r="K4513" s="6" t="str">
        <f>"1024"</f>
        <v>1024</v>
      </c>
      <c r="L4513" s="6" t="str">
        <f>"Toalhas"</f>
        <v>Toalhas</v>
      </c>
      <c r="M4513" s="6" t="str">
        <f>"50x100"</f>
        <v>50x100</v>
      </c>
      <c r="N4513" s="6" t="str">
        <f>"5602972836301"</f>
        <v>5602972836301</v>
      </c>
      <c r="O4513" s="8">
        <v>480</v>
      </c>
      <c r="P4513" s="7">
        <v>45974</v>
      </c>
      <c r="R4513" s="8">
        <v>0</v>
      </c>
      <c r="S4513" s="7">
        <v>45979</v>
      </c>
      <c r="U4513" s="8">
        <v>480</v>
      </c>
      <c r="V4513" s="7">
        <v>45996</v>
      </c>
      <c r="X4513" s="8">
        <v>0</v>
      </c>
      <c r="Z4513" s="8">
        <v>480</v>
      </c>
      <c r="AA4513" s="7">
        <v>46013</v>
      </c>
      <c r="AC4513" s="8">
        <v>490</v>
      </c>
      <c r="AE4513" s="7">
        <v>46021</v>
      </c>
      <c r="AF4513" s="8">
        <v>490</v>
      </c>
      <c r="AH4513" s="7">
        <v>46037</v>
      </c>
      <c r="AN4513" s="8">
        <v>490</v>
      </c>
      <c r="AO4513" s="8">
        <v>-10</v>
      </c>
    </row>
    <row r="4514" spans="1:41" x14ac:dyDescent="0.25">
      <c r="A4514" s="6" t="str">
        <f t="shared" si="1178"/>
        <v>525-2025000566</v>
      </c>
      <c r="B4514" s="6" t="str">
        <f t="shared" si="1155"/>
        <v>Lasa Int</v>
      </c>
      <c r="C4514" s="7">
        <v>45974</v>
      </c>
      <c r="D4514" s="7">
        <v>46044</v>
      </c>
      <c r="E4514" s="8">
        <v>7</v>
      </c>
      <c r="F4514" s="6" t="str">
        <f t="shared" si="1179"/>
        <v>PURE</v>
      </c>
      <c r="G4514" s="6" t="str">
        <f t="shared" si="1180"/>
        <v>F100021455000000</v>
      </c>
      <c r="H4514" s="6" t="str">
        <f t="shared" si="1181"/>
        <v>FA 214 - PURE - 550</v>
      </c>
      <c r="I4514" s="6" t="str">
        <f>"1670"</f>
        <v>1670</v>
      </c>
      <c r="J4514" s="6" t="str">
        <f>"BEGE 1670"</f>
        <v>BEGE 1670</v>
      </c>
      <c r="K4514" s="6" t="str">
        <f>"1535"</f>
        <v>1535</v>
      </c>
      <c r="L4514" s="6" t="str">
        <f>"Toalhões"</f>
        <v>Toalhões</v>
      </c>
      <c r="M4514" s="6" t="str">
        <f>"70x140"</f>
        <v>70x140</v>
      </c>
      <c r="N4514" s="6" t="str">
        <f>"5602972836318"</f>
        <v>5602972836318</v>
      </c>
      <c r="O4514" s="8">
        <v>360</v>
      </c>
      <c r="P4514" s="7">
        <v>45974</v>
      </c>
      <c r="R4514" s="8">
        <v>0</v>
      </c>
      <c r="S4514" s="7">
        <v>45979</v>
      </c>
      <c r="U4514" s="8">
        <v>360</v>
      </c>
      <c r="V4514" s="7">
        <v>45996</v>
      </c>
      <c r="X4514" s="8">
        <v>0</v>
      </c>
      <c r="Z4514" s="8">
        <v>360</v>
      </c>
      <c r="AA4514" s="7">
        <v>46013</v>
      </c>
      <c r="AC4514" s="8">
        <v>114</v>
      </c>
      <c r="AE4514" s="7">
        <v>46021</v>
      </c>
      <c r="AF4514" s="8">
        <v>114</v>
      </c>
      <c r="AH4514" s="7">
        <v>46037</v>
      </c>
      <c r="AN4514" s="8">
        <v>671</v>
      </c>
      <c r="AO4514" s="8">
        <v>-311</v>
      </c>
    </row>
    <row r="4515" spans="1:41" x14ac:dyDescent="0.25">
      <c r="A4515" s="6" t="str">
        <f t="shared" si="1178"/>
        <v>525-2025000566</v>
      </c>
      <c r="B4515" s="6" t="str">
        <f t="shared" si="1155"/>
        <v>Lasa Int</v>
      </c>
      <c r="C4515" s="7">
        <v>45974</v>
      </c>
      <c r="D4515" s="7">
        <v>46044</v>
      </c>
      <c r="E4515" s="8">
        <v>8</v>
      </c>
      <c r="F4515" s="6" t="str">
        <f t="shared" si="1179"/>
        <v>PURE</v>
      </c>
      <c r="G4515" s="6" t="str">
        <f t="shared" si="1180"/>
        <v>F100021455000000</v>
      </c>
      <c r="H4515" s="6" t="str">
        <f t="shared" si="1181"/>
        <v>FA 214 - PURE - 550</v>
      </c>
      <c r="I4515" s="6" t="str">
        <f>"1670"</f>
        <v>1670</v>
      </c>
      <c r="J4515" s="6" t="str">
        <f>"BEGE 1670"</f>
        <v>BEGE 1670</v>
      </c>
      <c r="K4515" s="6" t="str">
        <f>"2020"</f>
        <v>2020</v>
      </c>
      <c r="L4515" s="6" t="str">
        <f>"Lençóis"</f>
        <v>Lençóis</v>
      </c>
      <c r="M4515" s="6" t="str">
        <f>"100x150"</f>
        <v>100x150</v>
      </c>
      <c r="N4515" s="6" t="str">
        <f>"5602972836325"</f>
        <v>5602972836325</v>
      </c>
      <c r="O4515" s="8">
        <v>80</v>
      </c>
      <c r="P4515" s="7">
        <v>45974</v>
      </c>
      <c r="R4515" s="8">
        <v>0</v>
      </c>
      <c r="S4515" s="7">
        <v>45979</v>
      </c>
      <c r="U4515" s="8">
        <v>80</v>
      </c>
      <c r="V4515" s="7">
        <v>45996</v>
      </c>
      <c r="X4515" s="8">
        <v>0</v>
      </c>
      <c r="Z4515" s="8">
        <v>80</v>
      </c>
      <c r="AA4515" s="7">
        <v>46013</v>
      </c>
      <c r="AC4515" s="8">
        <v>88</v>
      </c>
      <c r="AE4515" s="7">
        <v>46021</v>
      </c>
      <c r="AF4515" s="8">
        <v>88</v>
      </c>
      <c r="AH4515" s="7">
        <v>46037</v>
      </c>
      <c r="AN4515" s="8">
        <v>88</v>
      </c>
      <c r="AO4515" s="8">
        <v>-8</v>
      </c>
    </row>
    <row r="4516" spans="1:41" x14ac:dyDescent="0.25">
      <c r="A4516" s="6" t="str">
        <f t="shared" si="1178"/>
        <v>525-2025000566</v>
      </c>
      <c r="B4516" s="6" t="str">
        <f t="shared" si="1155"/>
        <v>Lasa Int</v>
      </c>
      <c r="C4516" s="7">
        <v>45974</v>
      </c>
      <c r="D4516" s="7">
        <v>46044</v>
      </c>
      <c r="E4516" s="8">
        <v>9</v>
      </c>
      <c r="F4516" s="6" t="str">
        <f t="shared" si="1179"/>
        <v>PURE</v>
      </c>
      <c r="G4516" s="6" t="str">
        <f t="shared" si="1180"/>
        <v>F100021455000000</v>
      </c>
      <c r="H4516" s="6" t="str">
        <f t="shared" si="1181"/>
        <v>FA 214 - PURE - 550</v>
      </c>
      <c r="I4516" s="6" t="str">
        <f>"2094"</f>
        <v>2094</v>
      </c>
      <c r="J4516" s="6" t="str">
        <f>"AZUL 2094"</f>
        <v>AZUL 2094</v>
      </c>
      <c r="K4516" s="6" t="str">
        <f>"1024"</f>
        <v>1024</v>
      </c>
      <c r="L4516" s="6" t="str">
        <f>"Toalhas"</f>
        <v>Toalhas</v>
      </c>
      <c r="M4516" s="6" t="str">
        <f>"50x100"</f>
        <v>50x100</v>
      </c>
      <c r="N4516" s="6" t="str">
        <f>"5602972837001"</f>
        <v>5602972837001</v>
      </c>
      <c r="O4516" s="8">
        <v>240</v>
      </c>
      <c r="P4516" s="7">
        <v>45974</v>
      </c>
      <c r="R4516" s="8">
        <v>0</v>
      </c>
      <c r="S4516" s="7">
        <v>45979</v>
      </c>
      <c r="U4516" s="8">
        <v>240</v>
      </c>
      <c r="V4516" s="7">
        <v>45996</v>
      </c>
      <c r="X4516" s="8">
        <v>0</v>
      </c>
      <c r="Z4516" s="8">
        <v>240</v>
      </c>
      <c r="AA4516" s="7">
        <v>46013</v>
      </c>
      <c r="AC4516" s="8">
        <v>240</v>
      </c>
      <c r="AE4516" s="7">
        <v>46021</v>
      </c>
      <c r="AF4516" s="8">
        <v>240</v>
      </c>
      <c r="AH4516" s="7">
        <v>46037</v>
      </c>
      <c r="AN4516" s="8">
        <v>240</v>
      </c>
      <c r="AO4516" s="8">
        <v>0</v>
      </c>
    </row>
    <row r="4517" spans="1:41" x14ac:dyDescent="0.25">
      <c r="A4517" s="6" t="str">
        <f t="shared" si="1178"/>
        <v>525-2025000566</v>
      </c>
      <c r="B4517" s="6" t="str">
        <f t="shared" si="1155"/>
        <v>Lasa Int</v>
      </c>
      <c r="C4517" s="7">
        <v>45974</v>
      </c>
      <c r="D4517" s="7">
        <v>46044</v>
      </c>
      <c r="E4517" s="8">
        <v>10</v>
      </c>
      <c r="F4517" s="6" t="str">
        <f t="shared" si="1179"/>
        <v>PURE</v>
      </c>
      <c r="G4517" s="6" t="str">
        <f t="shared" si="1180"/>
        <v>F100021455000000</v>
      </c>
      <c r="H4517" s="6" t="str">
        <f t="shared" si="1181"/>
        <v>FA 214 - PURE - 550</v>
      </c>
      <c r="I4517" s="6" t="str">
        <f>"2094"</f>
        <v>2094</v>
      </c>
      <c r="J4517" s="6" t="str">
        <f>"AZUL 2094"</f>
        <v>AZUL 2094</v>
      </c>
      <c r="K4517" s="6" t="str">
        <f>"1535"</f>
        <v>1535</v>
      </c>
      <c r="L4517" s="6" t="str">
        <f>"Toalhões"</f>
        <v>Toalhões</v>
      </c>
      <c r="M4517" s="6" t="str">
        <f>"70x140"</f>
        <v>70x140</v>
      </c>
      <c r="N4517" s="6" t="str">
        <f>"5602972837018"</f>
        <v>5602972837018</v>
      </c>
      <c r="O4517" s="8">
        <v>240</v>
      </c>
      <c r="P4517" s="7">
        <v>45974</v>
      </c>
      <c r="R4517" s="8">
        <v>0</v>
      </c>
      <c r="S4517" s="7">
        <v>45979</v>
      </c>
      <c r="U4517" s="8">
        <v>240</v>
      </c>
      <c r="V4517" s="7">
        <v>45996</v>
      </c>
      <c r="X4517" s="8">
        <v>0</v>
      </c>
      <c r="Z4517" s="8">
        <v>240</v>
      </c>
      <c r="AA4517" s="7">
        <v>46013</v>
      </c>
      <c r="AC4517" s="8">
        <v>43</v>
      </c>
      <c r="AE4517" s="7">
        <v>46021</v>
      </c>
      <c r="AF4517" s="8">
        <v>43</v>
      </c>
      <c r="AH4517" s="7">
        <v>46037</v>
      </c>
      <c r="AN4517" s="8">
        <v>43</v>
      </c>
      <c r="AO4517" s="8">
        <v>197</v>
      </c>
    </row>
    <row r="4518" spans="1:41" x14ac:dyDescent="0.25">
      <c r="A4518" s="6" t="str">
        <f t="shared" si="1178"/>
        <v>525-2025000566</v>
      </c>
      <c r="B4518" s="6" t="str">
        <f t="shared" si="1155"/>
        <v>Lasa Int</v>
      </c>
      <c r="C4518" s="7">
        <v>45974</v>
      </c>
      <c r="D4518" s="7">
        <v>46044</v>
      </c>
      <c r="E4518" s="8">
        <v>11</v>
      </c>
      <c r="F4518" s="6" t="str">
        <f t="shared" si="1179"/>
        <v>PURE</v>
      </c>
      <c r="G4518" s="6" t="str">
        <f t="shared" si="1180"/>
        <v>F100021455000000</v>
      </c>
      <c r="H4518" s="6" t="str">
        <f t="shared" si="1181"/>
        <v>FA 214 - PURE - 550</v>
      </c>
      <c r="I4518" s="6" t="str">
        <f>"2094"</f>
        <v>2094</v>
      </c>
      <c r="J4518" s="6" t="str">
        <f>"AZUL 2094"</f>
        <v>AZUL 2094</v>
      </c>
      <c r="K4518" s="6" t="str">
        <f>"2020"</f>
        <v>2020</v>
      </c>
      <c r="L4518" s="6" t="str">
        <f>"Lençóis"</f>
        <v>Lençóis</v>
      </c>
      <c r="M4518" s="6" t="str">
        <f>"100x150"</f>
        <v>100x150</v>
      </c>
      <c r="N4518" s="6" t="str">
        <f>"5602972837025"</f>
        <v>5602972837025</v>
      </c>
      <c r="O4518" s="8">
        <v>160</v>
      </c>
      <c r="P4518" s="7">
        <v>45974</v>
      </c>
      <c r="R4518" s="8">
        <v>0</v>
      </c>
      <c r="S4518" s="7">
        <v>45979</v>
      </c>
      <c r="U4518" s="8">
        <v>160</v>
      </c>
      <c r="V4518" s="7">
        <v>45996</v>
      </c>
      <c r="X4518" s="8">
        <v>0</v>
      </c>
      <c r="Z4518" s="8">
        <v>160</v>
      </c>
      <c r="AA4518" s="7">
        <v>46013</v>
      </c>
      <c r="AC4518" s="8">
        <v>0</v>
      </c>
      <c r="AE4518" s="7">
        <v>46021</v>
      </c>
      <c r="AF4518" s="8">
        <v>0</v>
      </c>
      <c r="AH4518" s="7">
        <v>46037</v>
      </c>
      <c r="AN4518" s="8">
        <v>0</v>
      </c>
      <c r="AO4518" s="8">
        <v>160</v>
      </c>
    </row>
    <row r="4519" spans="1:41" x14ac:dyDescent="0.25">
      <c r="A4519" s="6" t="str">
        <f t="shared" si="1178"/>
        <v>525-2025000566</v>
      </c>
      <c r="B4519" s="6" t="str">
        <f t="shared" si="1155"/>
        <v>Lasa Int</v>
      </c>
      <c r="C4519" s="7">
        <v>45974</v>
      </c>
      <c r="D4519" s="7">
        <v>46044</v>
      </c>
      <c r="E4519" s="8">
        <v>12</v>
      </c>
      <c r="F4519" s="6" t="str">
        <f t="shared" si="1179"/>
        <v>PURE</v>
      </c>
      <c r="G4519" s="6" t="str">
        <f t="shared" si="1180"/>
        <v>F100021455000000</v>
      </c>
      <c r="H4519" s="6" t="str">
        <f t="shared" si="1181"/>
        <v>FA 214 - PURE - 550</v>
      </c>
      <c r="I4519" s="6" t="str">
        <f>"2096"</f>
        <v>2096</v>
      </c>
      <c r="J4519" s="6" t="str">
        <f>"AZUL 2096"</f>
        <v>AZUL 2096</v>
      </c>
      <c r="K4519" s="6" t="str">
        <f>"0530"</f>
        <v>0530</v>
      </c>
      <c r="L4519" s="6" t="str">
        <f>"Toalhetes"</f>
        <v>Toalhetes</v>
      </c>
      <c r="M4519" s="6" t="str">
        <f>"33x50"</f>
        <v>33x50</v>
      </c>
      <c r="N4519" s="6" t="str">
        <f>"5602972836899"</f>
        <v>5602972836899</v>
      </c>
      <c r="O4519" s="8">
        <v>450</v>
      </c>
      <c r="P4519" s="7">
        <v>45974</v>
      </c>
      <c r="R4519" s="8">
        <v>0</v>
      </c>
      <c r="S4519" s="7">
        <v>45979</v>
      </c>
      <c r="U4519" s="8">
        <v>450</v>
      </c>
      <c r="V4519" s="7">
        <v>45996</v>
      </c>
      <c r="X4519" s="8">
        <v>0</v>
      </c>
      <c r="Z4519" s="8">
        <v>450</v>
      </c>
      <c r="AA4519" s="7">
        <v>46013</v>
      </c>
      <c r="AC4519" s="8">
        <v>0</v>
      </c>
      <c r="AE4519" s="7">
        <v>46021</v>
      </c>
      <c r="AF4519" s="8">
        <v>0</v>
      </c>
      <c r="AH4519" s="7">
        <v>46037</v>
      </c>
      <c r="AN4519" s="8">
        <v>0</v>
      </c>
      <c r="AO4519" s="8">
        <v>450</v>
      </c>
    </row>
    <row r="4520" spans="1:41" x14ac:dyDescent="0.25">
      <c r="A4520" s="6" t="str">
        <f t="shared" si="1178"/>
        <v>525-2025000566</v>
      </c>
      <c r="B4520" s="6" t="str">
        <f t="shared" si="1155"/>
        <v>Lasa Int</v>
      </c>
      <c r="C4520" s="7">
        <v>45974</v>
      </c>
      <c r="D4520" s="7">
        <v>46044</v>
      </c>
      <c r="E4520" s="8">
        <v>13</v>
      </c>
      <c r="F4520" s="6" t="str">
        <f t="shared" si="1179"/>
        <v>PURE</v>
      </c>
      <c r="G4520" s="6" t="str">
        <f t="shared" si="1180"/>
        <v>F100021455000000</v>
      </c>
      <c r="H4520" s="6" t="str">
        <f t="shared" si="1181"/>
        <v>FA 214 - PURE - 550</v>
      </c>
      <c r="I4520" s="6" t="str">
        <f>"2096"</f>
        <v>2096</v>
      </c>
      <c r="J4520" s="6" t="str">
        <f>"AZUL 2096"</f>
        <v>AZUL 2096</v>
      </c>
      <c r="K4520" s="6" t="str">
        <f>"1024"</f>
        <v>1024</v>
      </c>
      <c r="L4520" s="6" t="str">
        <f>"Toalhas"</f>
        <v>Toalhas</v>
      </c>
      <c r="M4520" s="6" t="str">
        <f>"50x100"</f>
        <v>50x100</v>
      </c>
      <c r="N4520" s="6" t="str">
        <f>"5602972836905"</f>
        <v>5602972836905</v>
      </c>
      <c r="O4520" s="8">
        <v>720</v>
      </c>
      <c r="P4520" s="7">
        <v>45974</v>
      </c>
      <c r="R4520" s="8">
        <v>0</v>
      </c>
      <c r="S4520" s="7">
        <v>45979</v>
      </c>
      <c r="U4520" s="8">
        <v>720</v>
      </c>
      <c r="V4520" s="7">
        <v>45996</v>
      </c>
      <c r="X4520" s="8">
        <v>0</v>
      </c>
      <c r="Z4520" s="8">
        <v>720</v>
      </c>
      <c r="AA4520" s="7">
        <v>46013</v>
      </c>
      <c r="AC4520" s="8">
        <v>398</v>
      </c>
      <c r="AE4520" s="7">
        <v>46021</v>
      </c>
      <c r="AF4520" s="8">
        <v>398</v>
      </c>
      <c r="AH4520" s="7">
        <v>46037</v>
      </c>
      <c r="AN4520" s="8">
        <v>398</v>
      </c>
      <c r="AO4520" s="8">
        <v>322</v>
      </c>
    </row>
    <row r="4521" spans="1:41" x14ac:dyDescent="0.25">
      <c r="A4521" s="6" t="str">
        <f t="shared" si="1178"/>
        <v>525-2025000566</v>
      </c>
      <c r="B4521" s="6" t="str">
        <f t="shared" si="1155"/>
        <v>Lasa Int</v>
      </c>
      <c r="C4521" s="7">
        <v>45974</v>
      </c>
      <c r="D4521" s="7">
        <v>46044</v>
      </c>
      <c r="E4521" s="8">
        <v>14</v>
      </c>
      <c r="F4521" s="6" t="str">
        <f t="shared" si="1179"/>
        <v>PURE</v>
      </c>
      <c r="G4521" s="6" t="str">
        <f t="shared" si="1180"/>
        <v>F100021455000000</v>
      </c>
      <c r="H4521" s="6" t="str">
        <f t="shared" si="1181"/>
        <v>FA 214 - PURE - 550</v>
      </c>
      <c r="I4521" s="6" t="str">
        <f>"2096"</f>
        <v>2096</v>
      </c>
      <c r="J4521" s="6" t="str">
        <f>"AZUL 2096"</f>
        <v>AZUL 2096</v>
      </c>
      <c r="K4521" s="6" t="str">
        <f>"1535"</f>
        <v>1535</v>
      </c>
      <c r="L4521" s="6" t="str">
        <f>"Toalhões"</f>
        <v>Toalhões</v>
      </c>
      <c r="M4521" s="6" t="str">
        <f>"70x140"</f>
        <v>70x140</v>
      </c>
      <c r="N4521" s="6" t="str">
        <f>"5602972836912"</f>
        <v>5602972836912</v>
      </c>
      <c r="O4521" s="8">
        <v>120</v>
      </c>
      <c r="P4521" s="7">
        <v>45974</v>
      </c>
      <c r="R4521" s="8">
        <v>0</v>
      </c>
      <c r="S4521" s="7">
        <v>45979</v>
      </c>
      <c r="U4521" s="8">
        <v>120</v>
      </c>
      <c r="V4521" s="7">
        <v>45996</v>
      </c>
      <c r="X4521" s="8">
        <v>0</v>
      </c>
      <c r="Z4521" s="8">
        <v>120</v>
      </c>
      <c r="AA4521" s="7">
        <v>46013</v>
      </c>
      <c r="AC4521" s="8">
        <v>114</v>
      </c>
      <c r="AE4521" s="7">
        <v>46021</v>
      </c>
      <c r="AF4521" s="8">
        <v>114</v>
      </c>
      <c r="AH4521" s="7">
        <v>46037</v>
      </c>
      <c r="AN4521" s="8">
        <v>114</v>
      </c>
      <c r="AO4521" s="8">
        <v>6</v>
      </c>
    </row>
    <row r="4522" spans="1:41" x14ac:dyDescent="0.25">
      <c r="A4522" s="6" t="str">
        <f t="shared" si="1178"/>
        <v>525-2025000566</v>
      </c>
      <c r="B4522" s="6" t="str">
        <f t="shared" si="1155"/>
        <v>Lasa Int</v>
      </c>
      <c r="C4522" s="7">
        <v>45974</v>
      </c>
      <c r="D4522" s="7">
        <v>46044</v>
      </c>
      <c r="E4522" s="8">
        <v>15</v>
      </c>
      <c r="F4522" s="6" t="str">
        <f t="shared" si="1179"/>
        <v>PURE</v>
      </c>
      <c r="G4522" s="6" t="str">
        <f t="shared" si="1180"/>
        <v>F100021455000000</v>
      </c>
      <c r="H4522" s="6" t="str">
        <f t="shared" si="1181"/>
        <v>FA 214 - PURE - 550</v>
      </c>
      <c r="I4522" s="6" t="str">
        <f>"2096"</f>
        <v>2096</v>
      </c>
      <c r="J4522" s="6" t="str">
        <f>"AZUL 2096"</f>
        <v>AZUL 2096</v>
      </c>
      <c r="K4522" s="6" t="str">
        <f>"2020"</f>
        <v>2020</v>
      </c>
      <c r="L4522" s="6" t="str">
        <f>"Lençóis"</f>
        <v>Lençóis</v>
      </c>
      <c r="M4522" s="6" t="str">
        <f>"100x150"</f>
        <v>100x150</v>
      </c>
      <c r="N4522" s="6" t="str">
        <f>"5602972836929"</f>
        <v>5602972836929</v>
      </c>
      <c r="O4522" s="8">
        <v>160</v>
      </c>
      <c r="P4522" s="7">
        <v>45974</v>
      </c>
      <c r="R4522" s="8">
        <v>0</v>
      </c>
      <c r="S4522" s="7">
        <v>45979</v>
      </c>
      <c r="U4522" s="8">
        <v>160</v>
      </c>
      <c r="V4522" s="7">
        <v>45996</v>
      </c>
      <c r="X4522" s="8">
        <v>0</v>
      </c>
      <c r="Z4522" s="8">
        <v>160</v>
      </c>
      <c r="AA4522" s="7">
        <v>46013</v>
      </c>
      <c r="AC4522" s="8">
        <v>165</v>
      </c>
      <c r="AE4522" s="7">
        <v>46021</v>
      </c>
      <c r="AF4522" s="8">
        <v>165</v>
      </c>
      <c r="AH4522" s="7">
        <v>46037</v>
      </c>
      <c r="AN4522" s="8">
        <v>165</v>
      </c>
      <c r="AO4522" s="8">
        <v>-5</v>
      </c>
    </row>
    <row r="4523" spans="1:41" x14ac:dyDescent="0.25">
      <c r="A4523" s="6" t="str">
        <f t="shared" si="1178"/>
        <v>525-2025000566</v>
      </c>
      <c r="B4523" s="6" t="str">
        <f t="shared" si="1155"/>
        <v>Lasa Int</v>
      </c>
      <c r="C4523" s="7">
        <v>45974</v>
      </c>
      <c r="D4523" s="7">
        <v>46044</v>
      </c>
      <c r="E4523" s="8">
        <v>16</v>
      </c>
      <c r="F4523" s="6" t="str">
        <f t="shared" si="1179"/>
        <v>PURE</v>
      </c>
      <c r="G4523" s="6" t="str">
        <f t="shared" si="1180"/>
        <v>F100021455000000</v>
      </c>
      <c r="H4523" s="6" t="str">
        <f t="shared" si="1181"/>
        <v>FA 214 - PURE - 550</v>
      </c>
      <c r="I4523" s="6" t="str">
        <f>"2307"</f>
        <v>2307</v>
      </c>
      <c r="J4523" s="6" t="str">
        <f>"VERMELHO 2307"</f>
        <v>VERMELHO 2307</v>
      </c>
      <c r="K4523" s="6" t="str">
        <f>"1024"</f>
        <v>1024</v>
      </c>
      <c r="L4523" s="6" t="str">
        <f>"Toalhas"</f>
        <v>Toalhas</v>
      </c>
      <c r="M4523" s="6" t="str">
        <f>"50x100"</f>
        <v>50x100</v>
      </c>
      <c r="N4523" s="6" t="str">
        <f>"5602972836806"</f>
        <v>5602972836806</v>
      </c>
      <c r="O4523" s="8">
        <v>480</v>
      </c>
      <c r="P4523" s="7">
        <v>45974</v>
      </c>
      <c r="R4523" s="8">
        <v>0</v>
      </c>
      <c r="S4523" s="7">
        <v>45979</v>
      </c>
      <c r="U4523" s="8">
        <v>480</v>
      </c>
      <c r="V4523" s="7">
        <v>45996</v>
      </c>
      <c r="X4523" s="8">
        <v>0</v>
      </c>
      <c r="Z4523" s="8">
        <v>480</v>
      </c>
      <c r="AA4523" s="7">
        <v>46013</v>
      </c>
      <c r="AC4523" s="8">
        <v>116</v>
      </c>
      <c r="AE4523" s="7">
        <v>46021</v>
      </c>
      <c r="AF4523" s="8">
        <v>116</v>
      </c>
      <c r="AH4523" s="7">
        <v>46037</v>
      </c>
      <c r="AN4523" s="8">
        <v>116</v>
      </c>
      <c r="AO4523" s="8">
        <v>364</v>
      </c>
    </row>
    <row r="4524" spans="1:41" x14ac:dyDescent="0.25">
      <c r="A4524" s="6" t="str">
        <f t="shared" si="1178"/>
        <v>525-2025000566</v>
      </c>
      <c r="B4524" s="6" t="str">
        <f t="shared" si="1155"/>
        <v>Lasa Int</v>
      </c>
      <c r="C4524" s="7">
        <v>45974</v>
      </c>
      <c r="D4524" s="7">
        <v>46044</v>
      </c>
      <c r="E4524" s="8">
        <v>17</v>
      </c>
      <c r="F4524" s="6" t="str">
        <f t="shared" si="1179"/>
        <v>PURE</v>
      </c>
      <c r="G4524" s="6" t="str">
        <f t="shared" si="1180"/>
        <v>F100021455000000</v>
      </c>
      <c r="H4524" s="6" t="str">
        <f t="shared" si="1181"/>
        <v>FA 214 - PURE - 550</v>
      </c>
      <c r="I4524" s="6" t="str">
        <f>"2307"</f>
        <v>2307</v>
      </c>
      <c r="J4524" s="6" t="str">
        <f>"VERMELHO 2307"</f>
        <v>VERMELHO 2307</v>
      </c>
      <c r="K4524" s="6" t="str">
        <f>"1535"</f>
        <v>1535</v>
      </c>
      <c r="L4524" s="6" t="str">
        <f>"Toalhões"</f>
        <v>Toalhões</v>
      </c>
      <c r="M4524" s="6" t="str">
        <f>"70x140"</f>
        <v>70x140</v>
      </c>
      <c r="N4524" s="6" t="str">
        <f>"5602972836813"</f>
        <v>5602972836813</v>
      </c>
      <c r="O4524" s="8">
        <v>360</v>
      </c>
      <c r="P4524" s="7">
        <v>45974</v>
      </c>
      <c r="R4524" s="8">
        <v>0</v>
      </c>
      <c r="S4524" s="7">
        <v>45979</v>
      </c>
      <c r="U4524" s="8">
        <v>360</v>
      </c>
      <c r="V4524" s="7">
        <v>45996</v>
      </c>
      <c r="X4524" s="8">
        <v>0</v>
      </c>
      <c r="Z4524" s="8">
        <v>360</v>
      </c>
      <c r="AA4524" s="7">
        <v>46013</v>
      </c>
      <c r="AC4524" s="8">
        <v>0</v>
      </c>
      <c r="AE4524" s="7">
        <v>46021</v>
      </c>
      <c r="AF4524" s="8">
        <v>0</v>
      </c>
      <c r="AH4524" s="7">
        <v>46037</v>
      </c>
      <c r="AN4524" s="8">
        <v>0</v>
      </c>
      <c r="AO4524" s="8">
        <v>360</v>
      </c>
    </row>
    <row r="4525" spans="1:41" x14ac:dyDescent="0.25">
      <c r="A4525" s="6" t="str">
        <f t="shared" si="1178"/>
        <v>525-2025000566</v>
      </c>
      <c r="B4525" s="6" t="str">
        <f t="shared" si="1155"/>
        <v>Lasa Int</v>
      </c>
      <c r="C4525" s="7">
        <v>45974</v>
      </c>
      <c r="D4525" s="7">
        <v>46044</v>
      </c>
      <c r="E4525" s="8">
        <v>18</v>
      </c>
      <c r="F4525" s="6" t="str">
        <f t="shared" si="1179"/>
        <v>PURE</v>
      </c>
      <c r="G4525" s="6" t="str">
        <f t="shared" si="1180"/>
        <v>F100021455000000</v>
      </c>
      <c r="H4525" s="6" t="str">
        <f t="shared" si="1181"/>
        <v>FA 214 - PURE - 550</v>
      </c>
      <c r="I4525" s="6" t="str">
        <f>"2307"</f>
        <v>2307</v>
      </c>
      <c r="J4525" s="6" t="str">
        <f>"VERMELHO 2307"</f>
        <v>VERMELHO 2307</v>
      </c>
      <c r="K4525" s="6" t="str">
        <f>"2020"</f>
        <v>2020</v>
      </c>
      <c r="L4525" s="6" t="str">
        <f>"Lençóis"</f>
        <v>Lençóis</v>
      </c>
      <c r="M4525" s="6" t="str">
        <f>"100x150"</f>
        <v>100x150</v>
      </c>
      <c r="N4525" s="6" t="str">
        <f>"5602972836820"</f>
        <v>5602972836820</v>
      </c>
      <c r="O4525" s="8">
        <v>160</v>
      </c>
      <c r="P4525" s="7">
        <v>45974</v>
      </c>
      <c r="R4525" s="8">
        <v>0</v>
      </c>
      <c r="S4525" s="7">
        <v>45979</v>
      </c>
      <c r="U4525" s="8">
        <v>160</v>
      </c>
      <c r="V4525" s="7">
        <v>45996</v>
      </c>
      <c r="X4525" s="8">
        <v>0</v>
      </c>
      <c r="Z4525" s="8">
        <v>160</v>
      </c>
      <c r="AA4525" s="7">
        <v>46013</v>
      </c>
      <c r="AC4525" s="8">
        <v>99</v>
      </c>
      <c r="AE4525" s="7">
        <v>46021</v>
      </c>
      <c r="AF4525" s="8">
        <v>99</v>
      </c>
      <c r="AH4525" s="7">
        <v>46037</v>
      </c>
      <c r="AN4525" s="8">
        <v>99</v>
      </c>
      <c r="AO4525" s="8">
        <v>61</v>
      </c>
    </row>
    <row r="4526" spans="1:41" x14ac:dyDescent="0.25">
      <c r="A4526" s="6" t="str">
        <f t="shared" si="1178"/>
        <v>525-2025000566</v>
      </c>
      <c r="B4526" s="6" t="str">
        <f t="shared" si="1155"/>
        <v>Lasa Int</v>
      </c>
      <c r="C4526" s="7">
        <v>45974</v>
      </c>
      <c r="D4526" s="7">
        <v>46044</v>
      </c>
      <c r="E4526" s="8">
        <v>19</v>
      </c>
      <c r="F4526" s="6" t="str">
        <f t="shared" si="1179"/>
        <v>PURE</v>
      </c>
      <c r="G4526" s="6" t="str">
        <f t="shared" si="1180"/>
        <v>F100021455000000</v>
      </c>
      <c r="H4526" s="6" t="str">
        <f t="shared" si="1181"/>
        <v>FA 214 - PURE - 550</v>
      </c>
      <c r="I4526" s="6" t="str">
        <f>"3233"</f>
        <v>3233</v>
      </c>
      <c r="J4526" s="6" t="str">
        <f>"LILAS 3233"</f>
        <v>LILAS 3233</v>
      </c>
      <c r="K4526" s="6" t="str">
        <f>"0530"</f>
        <v>0530</v>
      </c>
      <c r="L4526" s="6" t="str">
        <f>"Toalhetes"</f>
        <v>Toalhetes</v>
      </c>
      <c r="M4526" s="6" t="str">
        <f>"33x50"</f>
        <v>33x50</v>
      </c>
      <c r="N4526" s="6" t="str">
        <f>"5602972895186"</f>
        <v>5602972895186</v>
      </c>
      <c r="O4526" s="8">
        <v>900</v>
      </c>
      <c r="P4526" s="7">
        <v>45974</v>
      </c>
      <c r="R4526" s="8">
        <v>0</v>
      </c>
      <c r="S4526" s="7">
        <v>45979</v>
      </c>
      <c r="U4526" s="8">
        <v>900</v>
      </c>
      <c r="V4526" s="7">
        <v>45996</v>
      </c>
      <c r="X4526" s="8">
        <v>0</v>
      </c>
      <c r="Z4526" s="8">
        <v>900</v>
      </c>
      <c r="AA4526" s="7">
        <v>46013</v>
      </c>
      <c r="AC4526" s="8">
        <v>840</v>
      </c>
      <c r="AE4526" s="7">
        <v>46021</v>
      </c>
      <c r="AF4526" s="8">
        <v>840</v>
      </c>
      <c r="AH4526" s="7">
        <v>46037</v>
      </c>
      <c r="AN4526" s="8">
        <v>840</v>
      </c>
      <c r="AO4526" s="8">
        <v>60</v>
      </c>
    </row>
    <row r="4527" spans="1:41" x14ac:dyDescent="0.25">
      <c r="A4527" s="6" t="str">
        <f t="shared" si="1178"/>
        <v>525-2025000566</v>
      </c>
      <c r="B4527" s="6" t="str">
        <f t="shared" si="1155"/>
        <v>Lasa Int</v>
      </c>
      <c r="C4527" s="7">
        <v>45974</v>
      </c>
      <c r="D4527" s="7">
        <v>46044</v>
      </c>
      <c r="E4527" s="8">
        <v>20</v>
      </c>
      <c r="F4527" s="6" t="str">
        <f t="shared" si="1179"/>
        <v>PURE</v>
      </c>
      <c r="G4527" s="6" t="str">
        <f t="shared" si="1180"/>
        <v>F100021455000000</v>
      </c>
      <c r="H4527" s="6" t="str">
        <f t="shared" si="1181"/>
        <v>FA 214 - PURE - 550</v>
      </c>
      <c r="I4527" s="6" t="str">
        <f>"3233"</f>
        <v>3233</v>
      </c>
      <c r="J4527" s="6" t="str">
        <f>"LILAS 3233"</f>
        <v>LILAS 3233</v>
      </c>
      <c r="K4527" s="6" t="str">
        <f>"1024"</f>
        <v>1024</v>
      </c>
      <c r="L4527" s="6" t="str">
        <f>"Toalhas"</f>
        <v>Toalhas</v>
      </c>
      <c r="M4527" s="6" t="str">
        <f>"50x100"</f>
        <v>50x100</v>
      </c>
      <c r="N4527" s="6" t="str">
        <f>"5602972895193"</f>
        <v>5602972895193</v>
      </c>
      <c r="O4527" s="8">
        <v>240</v>
      </c>
      <c r="P4527" s="7">
        <v>45974</v>
      </c>
      <c r="R4527" s="8">
        <v>0</v>
      </c>
      <c r="S4527" s="7">
        <v>45979</v>
      </c>
      <c r="U4527" s="8">
        <v>240</v>
      </c>
      <c r="V4527" s="7">
        <v>45996</v>
      </c>
      <c r="X4527" s="8">
        <v>0</v>
      </c>
      <c r="Z4527" s="8">
        <v>240</v>
      </c>
      <c r="AA4527" s="7">
        <v>46013</v>
      </c>
      <c r="AC4527" s="8">
        <v>210</v>
      </c>
      <c r="AE4527" s="7">
        <v>46021</v>
      </c>
      <c r="AF4527" s="8">
        <v>210</v>
      </c>
      <c r="AH4527" s="7">
        <v>46037</v>
      </c>
      <c r="AN4527" s="8">
        <v>210</v>
      </c>
      <c r="AO4527" s="8">
        <v>30</v>
      </c>
    </row>
    <row r="4528" spans="1:41" x14ac:dyDescent="0.25">
      <c r="A4528" s="6" t="str">
        <f t="shared" si="1178"/>
        <v>525-2025000566</v>
      </c>
      <c r="B4528" s="6" t="str">
        <f t="shared" si="1155"/>
        <v>Lasa Int</v>
      </c>
      <c r="C4528" s="7">
        <v>45974</v>
      </c>
      <c r="D4528" s="7">
        <v>46044</v>
      </c>
      <c r="E4528" s="8">
        <v>21</v>
      </c>
      <c r="F4528" s="6" t="str">
        <f t="shared" si="1179"/>
        <v>PURE</v>
      </c>
      <c r="G4528" s="6" t="str">
        <f t="shared" si="1180"/>
        <v>F100021455000000</v>
      </c>
      <c r="H4528" s="6" t="str">
        <f t="shared" si="1181"/>
        <v>FA 214 - PURE - 550</v>
      </c>
      <c r="I4528" s="6" t="str">
        <f>"3233"</f>
        <v>3233</v>
      </c>
      <c r="J4528" s="6" t="str">
        <f>"LILAS 3233"</f>
        <v>LILAS 3233</v>
      </c>
      <c r="K4528" s="6" t="str">
        <f>"1535"</f>
        <v>1535</v>
      </c>
      <c r="L4528" s="6" t="str">
        <f>"Toalhões"</f>
        <v>Toalhões</v>
      </c>
      <c r="M4528" s="6" t="str">
        <f>"70x140"</f>
        <v>70x140</v>
      </c>
      <c r="N4528" s="6" t="str">
        <f>"5602972895209"</f>
        <v>5602972895209</v>
      </c>
      <c r="O4528" s="8">
        <v>120</v>
      </c>
      <c r="P4528" s="7">
        <v>45974</v>
      </c>
      <c r="R4528" s="8">
        <v>0</v>
      </c>
      <c r="S4528" s="7">
        <v>45979</v>
      </c>
      <c r="U4528" s="8">
        <v>150</v>
      </c>
      <c r="V4528" s="7">
        <v>45996</v>
      </c>
      <c r="X4528" s="8">
        <v>0</v>
      </c>
      <c r="Z4528" s="8">
        <v>150</v>
      </c>
      <c r="AA4528" s="7">
        <v>46013</v>
      </c>
      <c r="AC4528" s="8">
        <v>136</v>
      </c>
      <c r="AE4528" s="7">
        <v>46021</v>
      </c>
      <c r="AF4528" s="8">
        <v>136</v>
      </c>
      <c r="AH4528" s="7">
        <v>46037</v>
      </c>
      <c r="AN4528" s="8">
        <v>136</v>
      </c>
      <c r="AO4528" s="8">
        <v>-16</v>
      </c>
    </row>
    <row r="4529" spans="1:41" x14ac:dyDescent="0.25">
      <c r="A4529" s="6" t="str">
        <f t="shared" si="1178"/>
        <v>525-2025000566</v>
      </c>
      <c r="B4529" s="6" t="str">
        <f t="shared" si="1155"/>
        <v>Lasa Int</v>
      </c>
      <c r="C4529" s="7">
        <v>45974</v>
      </c>
      <c r="D4529" s="7">
        <v>46044</v>
      </c>
      <c r="E4529" s="8">
        <v>22</v>
      </c>
      <c r="F4529" s="6" t="str">
        <f t="shared" si="1179"/>
        <v>PURE</v>
      </c>
      <c r="G4529" s="6" t="str">
        <f t="shared" si="1180"/>
        <v>F100021455000000</v>
      </c>
      <c r="H4529" s="6" t="str">
        <f t="shared" si="1181"/>
        <v>FA 214 - PURE - 550</v>
      </c>
      <c r="I4529" s="6" t="str">
        <f>"3233"</f>
        <v>3233</v>
      </c>
      <c r="J4529" s="6" t="str">
        <f>"LILAS 3233"</f>
        <v>LILAS 3233</v>
      </c>
      <c r="K4529" s="6" t="str">
        <f>"2020"</f>
        <v>2020</v>
      </c>
      <c r="L4529" s="6" t="str">
        <f>"Lençóis"</f>
        <v>Lençóis</v>
      </c>
      <c r="M4529" s="6" t="str">
        <f>"100x150"</f>
        <v>100x150</v>
      </c>
      <c r="N4529" s="6" t="str">
        <f>"5602972895216"</f>
        <v>5602972895216</v>
      </c>
      <c r="O4529" s="8">
        <v>80</v>
      </c>
      <c r="P4529" s="7">
        <v>45974</v>
      </c>
      <c r="R4529" s="8">
        <v>0</v>
      </c>
      <c r="S4529" s="7">
        <v>45979</v>
      </c>
      <c r="U4529" s="8">
        <v>80</v>
      </c>
      <c r="V4529" s="7">
        <v>45996</v>
      </c>
      <c r="X4529" s="8">
        <v>0</v>
      </c>
      <c r="Z4529" s="8">
        <v>80</v>
      </c>
      <c r="AA4529" s="7">
        <v>46013</v>
      </c>
      <c r="AC4529" s="8">
        <v>0</v>
      </c>
      <c r="AE4529" s="7">
        <v>46021</v>
      </c>
      <c r="AF4529" s="8">
        <v>0</v>
      </c>
      <c r="AH4529" s="7">
        <v>46037</v>
      </c>
      <c r="AN4529" s="8">
        <v>0</v>
      </c>
      <c r="AO4529" s="8">
        <v>80</v>
      </c>
    </row>
    <row r="4530" spans="1:41" x14ac:dyDescent="0.25">
      <c r="A4530" s="6" t="str">
        <f t="shared" si="1178"/>
        <v>525-2025000566</v>
      </c>
      <c r="B4530" s="6" t="str">
        <f t="shared" si="1155"/>
        <v>Lasa Int</v>
      </c>
      <c r="C4530" s="7">
        <v>45974</v>
      </c>
      <c r="D4530" s="7">
        <v>46044</v>
      </c>
      <c r="E4530" s="8">
        <v>23</v>
      </c>
      <c r="F4530" s="6" t="str">
        <f t="shared" si="1179"/>
        <v>PURE</v>
      </c>
      <c r="G4530" s="6" t="str">
        <f t="shared" si="1180"/>
        <v>F100021455000000</v>
      </c>
      <c r="H4530" s="6" t="str">
        <f t="shared" si="1181"/>
        <v>FA 214 - PURE - 550</v>
      </c>
      <c r="I4530" s="6" t="str">
        <f>"3234"</f>
        <v>3234</v>
      </c>
      <c r="J4530" s="6" t="str">
        <f>"CASTANHO 3234"</f>
        <v>CASTANHO 3234</v>
      </c>
      <c r="K4530" s="6" t="str">
        <f>"0112"</f>
        <v>0112</v>
      </c>
      <c r="L4530" s="6" t="str">
        <f>"Luvas"</f>
        <v>Luvas</v>
      </c>
      <c r="M4530" s="6" t="str">
        <f>"16x21"</f>
        <v>16x21</v>
      </c>
      <c r="N4530" s="6" t="str">
        <f>"5602972895223"</f>
        <v>5602972895223</v>
      </c>
      <c r="O4530" s="8">
        <v>300</v>
      </c>
      <c r="P4530" s="7">
        <v>45974</v>
      </c>
      <c r="R4530" s="8">
        <v>0</v>
      </c>
      <c r="S4530" s="7">
        <v>45979</v>
      </c>
      <c r="U4530" s="8">
        <v>300</v>
      </c>
      <c r="V4530" s="7">
        <v>45996</v>
      </c>
      <c r="X4530" s="8">
        <v>0</v>
      </c>
      <c r="Z4530" s="8">
        <v>300</v>
      </c>
      <c r="AA4530" s="7">
        <v>46013</v>
      </c>
      <c r="AC4530" s="8">
        <v>0</v>
      </c>
      <c r="AE4530" s="7">
        <v>46021</v>
      </c>
      <c r="AF4530" s="8">
        <v>0</v>
      </c>
      <c r="AH4530" s="7">
        <v>46037</v>
      </c>
      <c r="AN4530" s="8">
        <v>300</v>
      </c>
      <c r="AO4530" s="8">
        <v>0</v>
      </c>
    </row>
    <row r="4531" spans="1:41" x14ac:dyDescent="0.25">
      <c r="A4531" s="6" t="str">
        <f t="shared" si="1178"/>
        <v>525-2025000566</v>
      </c>
      <c r="B4531" s="6" t="str">
        <f t="shared" si="1155"/>
        <v>Lasa Int</v>
      </c>
      <c r="C4531" s="7">
        <v>45974</v>
      </c>
      <c r="D4531" s="7">
        <v>46044</v>
      </c>
      <c r="E4531" s="8">
        <v>24</v>
      </c>
      <c r="F4531" s="6" t="str">
        <f t="shared" si="1179"/>
        <v>PURE</v>
      </c>
      <c r="G4531" s="6" t="str">
        <f t="shared" si="1180"/>
        <v>F100021455000000</v>
      </c>
      <c r="H4531" s="6" t="str">
        <f t="shared" si="1181"/>
        <v>FA 214 - PURE - 550</v>
      </c>
      <c r="I4531" s="6" t="str">
        <f>"3234"</f>
        <v>3234</v>
      </c>
      <c r="J4531" s="6" t="str">
        <f>"CASTANHO 3234"</f>
        <v>CASTANHO 3234</v>
      </c>
      <c r="K4531" s="6" t="str">
        <f>"0530"</f>
        <v>0530</v>
      </c>
      <c r="L4531" s="6" t="str">
        <f>"Toalhetes"</f>
        <v>Toalhetes</v>
      </c>
      <c r="M4531" s="6" t="str">
        <f>"33x50"</f>
        <v>33x50</v>
      </c>
      <c r="N4531" s="6" t="str">
        <f>"5602972895230"</f>
        <v>5602972895230</v>
      </c>
      <c r="O4531" s="8">
        <v>900</v>
      </c>
      <c r="P4531" s="7">
        <v>45974</v>
      </c>
      <c r="R4531" s="8">
        <v>0</v>
      </c>
      <c r="S4531" s="7">
        <v>45979</v>
      </c>
      <c r="U4531" s="8">
        <v>900</v>
      </c>
      <c r="V4531" s="7">
        <v>45996</v>
      </c>
      <c r="X4531" s="8">
        <v>0</v>
      </c>
      <c r="Z4531" s="8">
        <v>900</v>
      </c>
      <c r="AA4531" s="7">
        <v>46013</v>
      </c>
      <c r="AC4531" s="8">
        <v>912</v>
      </c>
      <c r="AE4531" s="7">
        <v>46021</v>
      </c>
      <c r="AF4531" s="8">
        <v>912</v>
      </c>
      <c r="AH4531" s="7">
        <v>46037</v>
      </c>
      <c r="AN4531" s="8">
        <v>912</v>
      </c>
      <c r="AO4531" s="8">
        <v>-12</v>
      </c>
    </row>
    <row r="4532" spans="1:41" x14ac:dyDescent="0.25">
      <c r="A4532" s="6" t="str">
        <f t="shared" si="1178"/>
        <v>525-2025000566</v>
      </c>
      <c r="B4532" s="6" t="str">
        <f t="shared" si="1155"/>
        <v>Lasa Int</v>
      </c>
      <c r="C4532" s="7">
        <v>45974</v>
      </c>
      <c r="D4532" s="7">
        <v>46044</v>
      </c>
      <c r="E4532" s="8">
        <v>25</v>
      </c>
      <c r="F4532" s="6" t="str">
        <f t="shared" si="1179"/>
        <v>PURE</v>
      </c>
      <c r="G4532" s="6" t="str">
        <f t="shared" si="1180"/>
        <v>F100021455000000</v>
      </c>
      <c r="H4532" s="6" t="str">
        <f t="shared" si="1181"/>
        <v>FA 214 - PURE - 550</v>
      </c>
      <c r="I4532" s="6" t="str">
        <f>"3234"</f>
        <v>3234</v>
      </c>
      <c r="J4532" s="6" t="str">
        <f>"CASTANHO 3234"</f>
        <v>CASTANHO 3234</v>
      </c>
      <c r="K4532" s="6" t="str">
        <f>"1024"</f>
        <v>1024</v>
      </c>
      <c r="L4532" s="6" t="str">
        <f>"Toalhas"</f>
        <v>Toalhas</v>
      </c>
      <c r="M4532" s="6" t="str">
        <f>"50x100"</f>
        <v>50x100</v>
      </c>
      <c r="N4532" s="6" t="str">
        <f>"5602972895247"</f>
        <v>5602972895247</v>
      </c>
      <c r="O4532" s="8">
        <v>720</v>
      </c>
      <c r="P4532" s="7">
        <v>45974</v>
      </c>
      <c r="R4532" s="8">
        <v>0</v>
      </c>
      <c r="S4532" s="7">
        <v>45979</v>
      </c>
      <c r="U4532" s="8">
        <v>720</v>
      </c>
      <c r="V4532" s="7">
        <v>45996</v>
      </c>
      <c r="X4532" s="8">
        <v>0</v>
      </c>
      <c r="Z4532" s="8">
        <v>720</v>
      </c>
      <c r="AA4532" s="7">
        <v>46013</v>
      </c>
      <c r="AC4532" s="8">
        <v>732</v>
      </c>
      <c r="AE4532" s="7">
        <v>46021</v>
      </c>
      <c r="AF4532" s="8">
        <v>732</v>
      </c>
      <c r="AH4532" s="7">
        <v>46037</v>
      </c>
      <c r="AN4532" s="8">
        <v>732</v>
      </c>
      <c r="AO4532" s="8">
        <v>-12</v>
      </c>
    </row>
    <row r="4533" spans="1:41" x14ac:dyDescent="0.25">
      <c r="A4533" s="6" t="str">
        <f t="shared" si="1178"/>
        <v>525-2025000566</v>
      </c>
      <c r="B4533" s="6" t="str">
        <f t="shared" si="1155"/>
        <v>Lasa Int</v>
      </c>
      <c r="C4533" s="7">
        <v>45974</v>
      </c>
      <c r="D4533" s="7">
        <v>46044</v>
      </c>
      <c r="E4533" s="8">
        <v>26</v>
      </c>
      <c r="F4533" s="6" t="str">
        <f t="shared" si="1179"/>
        <v>PURE</v>
      </c>
      <c r="G4533" s="6" t="str">
        <f t="shared" si="1180"/>
        <v>F100021455000000</v>
      </c>
      <c r="H4533" s="6" t="str">
        <f t="shared" si="1181"/>
        <v>FA 214 - PURE - 550</v>
      </c>
      <c r="I4533" s="6" t="str">
        <f>"3234"</f>
        <v>3234</v>
      </c>
      <c r="J4533" s="6" t="str">
        <f>"CASTANHO 3234"</f>
        <v>CASTANHO 3234</v>
      </c>
      <c r="K4533" s="6" t="str">
        <f>"1535"</f>
        <v>1535</v>
      </c>
      <c r="L4533" s="6" t="str">
        <f>"Toalhões"</f>
        <v>Toalhões</v>
      </c>
      <c r="M4533" s="6" t="str">
        <f>"70x140"</f>
        <v>70x140</v>
      </c>
      <c r="N4533" s="6" t="str">
        <f>"5602972895254"</f>
        <v>5602972895254</v>
      </c>
      <c r="O4533" s="8">
        <v>360</v>
      </c>
      <c r="P4533" s="7">
        <v>45974</v>
      </c>
      <c r="R4533" s="8">
        <v>0</v>
      </c>
      <c r="S4533" s="7">
        <v>45979</v>
      </c>
      <c r="U4533" s="8">
        <v>360</v>
      </c>
      <c r="V4533" s="7">
        <v>45996</v>
      </c>
      <c r="X4533" s="8">
        <v>0</v>
      </c>
      <c r="Z4533" s="8">
        <v>360</v>
      </c>
      <c r="AA4533" s="7">
        <v>46013</v>
      </c>
      <c r="AC4533" s="8">
        <v>367</v>
      </c>
      <c r="AE4533" s="7">
        <v>46021</v>
      </c>
      <c r="AF4533" s="8">
        <v>367</v>
      </c>
      <c r="AH4533" s="7">
        <v>46037</v>
      </c>
      <c r="AN4533" s="8">
        <v>367</v>
      </c>
      <c r="AO4533" s="8">
        <v>-7</v>
      </c>
    </row>
    <row r="4534" spans="1:41" x14ac:dyDescent="0.25">
      <c r="A4534" s="6" t="str">
        <f t="shared" si="1178"/>
        <v>525-2025000566</v>
      </c>
      <c r="B4534" s="6" t="str">
        <f t="shared" si="1155"/>
        <v>Lasa Int</v>
      </c>
      <c r="C4534" s="7">
        <v>45974</v>
      </c>
      <c r="D4534" s="7">
        <v>46044</v>
      </c>
      <c r="E4534" s="8">
        <v>27</v>
      </c>
      <c r="F4534" s="6" t="str">
        <f t="shared" si="1179"/>
        <v>PURE</v>
      </c>
      <c r="G4534" s="6" t="str">
        <f t="shared" si="1180"/>
        <v>F100021455000000</v>
      </c>
      <c r="H4534" s="6" t="str">
        <f t="shared" si="1181"/>
        <v>FA 214 - PURE - 550</v>
      </c>
      <c r="I4534" s="6" t="str">
        <f>"3234"</f>
        <v>3234</v>
      </c>
      <c r="J4534" s="6" t="str">
        <f>"CASTANHO 3234"</f>
        <v>CASTANHO 3234</v>
      </c>
      <c r="K4534" s="6" t="str">
        <f>"2020"</f>
        <v>2020</v>
      </c>
      <c r="L4534" s="6" t="str">
        <f>"Lençóis"</f>
        <v>Lençóis</v>
      </c>
      <c r="M4534" s="6" t="str">
        <f>"100x150"</f>
        <v>100x150</v>
      </c>
      <c r="N4534" s="6" t="str">
        <f>"5602972895261"</f>
        <v>5602972895261</v>
      </c>
      <c r="O4534" s="8">
        <v>320</v>
      </c>
      <c r="P4534" s="7">
        <v>45974</v>
      </c>
      <c r="R4534" s="8">
        <v>0</v>
      </c>
      <c r="S4534" s="7">
        <v>45979</v>
      </c>
      <c r="U4534" s="8">
        <v>320</v>
      </c>
      <c r="V4534" s="7">
        <v>45996</v>
      </c>
      <c r="X4534" s="8">
        <v>0</v>
      </c>
      <c r="Z4534" s="8">
        <v>320</v>
      </c>
      <c r="AA4534" s="7">
        <v>46013</v>
      </c>
      <c r="AC4534" s="8">
        <v>276</v>
      </c>
      <c r="AE4534" s="7">
        <v>46021</v>
      </c>
      <c r="AF4534" s="8">
        <v>276</v>
      </c>
      <c r="AH4534" s="7">
        <v>46037</v>
      </c>
      <c r="AN4534" s="8">
        <v>276</v>
      </c>
      <c r="AO4534" s="8">
        <v>44</v>
      </c>
    </row>
    <row r="4535" spans="1:41" x14ac:dyDescent="0.25">
      <c r="A4535" s="6" t="str">
        <f t="shared" si="1178"/>
        <v>525-2025000566</v>
      </c>
      <c r="B4535" s="6" t="str">
        <f t="shared" si="1155"/>
        <v>Lasa Int</v>
      </c>
      <c r="C4535" s="7">
        <v>45974</v>
      </c>
      <c r="D4535" s="7">
        <v>46044</v>
      </c>
      <c r="E4535" s="8">
        <v>28</v>
      </c>
      <c r="F4535" s="6" t="str">
        <f t="shared" si="1179"/>
        <v>PURE</v>
      </c>
      <c r="G4535" s="6" t="str">
        <f t="shared" si="1180"/>
        <v>F100021455000000</v>
      </c>
      <c r="H4535" s="6" t="str">
        <f t="shared" si="1181"/>
        <v>FA 214 - PURE - 550</v>
      </c>
      <c r="I4535" s="6" t="str">
        <f>"3235"</f>
        <v>3235</v>
      </c>
      <c r="J4535" s="6" t="str">
        <f>"CINZA 3235"</f>
        <v>CINZA 3235</v>
      </c>
      <c r="K4535" s="6" t="str">
        <f>"0530"</f>
        <v>0530</v>
      </c>
      <c r="L4535" s="6" t="str">
        <f>"Toalhetes"</f>
        <v>Toalhetes</v>
      </c>
      <c r="M4535" s="6" t="str">
        <f>"33x50"</f>
        <v>33x50</v>
      </c>
      <c r="N4535" s="6" t="str">
        <f>"5602972895285"</f>
        <v>5602972895285</v>
      </c>
      <c r="O4535" s="8">
        <v>900</v>
      </c>
      <c r="P4535" s="7">
        <v>45974</v>
      </c>
      <c r="R4535" s="8">
        <v>0</v>
      </c>
      <c r="S4535" s="7">
        <v>45979</v>
      </c>
      <c r="U4535" s="8">
        <v>900</v>
      </c>
      <c r="V4535" s="7">
        <v>45996</v>
      </c>
      <c r="X4535" s="8">
        <v>0</v>
      </c>
      <c r="Z4535" s="8">
        <v>900</v>
      </c>
      <c r="AA4535" s="7">
        <v>46013</v>
      </c>
      <c r="AC4535" s="8">
        <v>0</v>
      </c>
      <c r="AE4535" s="7">
        <v>46021</v>
      </c>
      <c r="AF4535" s="8">
        <v>0</v>
      </c>
      <c r="AH4535" s="7">
        <v>46037</v>
      </c>
      <c r="AN4535" s="8">
        <v>0</v>
      </c>
      <c r="AO4535" s="8">
        <v>900</v>
      </c>
    </row>
    <row r="4536" spans="1:41" x14ac:dyDescent="0.25">
      <c r="A4536" s="6" t="str">
        <f t="shared" si="1178"/>
        <v>525-2025000566</v>
      </c>
      <c r="B4536" s="6" t="str">
        <f t="shared" ref="B4536:B4599" si="1182">"Lasa Int"</f>
        <v>Lasa Int</v>
      </c>
      <c r="C4536" s="7">
        <v>45974</v>
      </c>
      <c r="D4536" s="7">
        <v>46044</v>
      </c>
      <c r="E4536" s="8">
        <v>29</v>
      </c>
      <c r="F4536" s="6" t="str">
        <f t="shared" si="1179"/>
        <v>PURE</v>
      </c>
      <c r="G4536" s="6" t="str">
        <f t="shared" si="1180"/>
        <v>F100021455000000</v>
      </c>
      <c r="H4536" s="6" t="str">
        <f t="shared" si="1181"/>
        <v>FA 214 - PURE - 550</v>
      </c>
      <c r="I4536" s="6" t="str">
        <f>"3235"</f>
        <v>3235</v>
      </c>
      <c r="J4536" s="6" t="str">
        <f>"CINZA 3235"</f>
        <v>CINZA 3235</v>
      </c>
      <c r="K4536" s="6" t="str">
        <f>"1024"</f>
        <v>1024</v>
      </c>
      <c r="L4536" s="6" t="str">
        <f>"Toalhas"</f>
        <v>Toalhas</v>
      </c>
      <c r="M4536" s="6" t="str">
        <f>"50x100"</f>
        <v>50x100</v>
      </c>
      <c r="N4536" s="6" t="str">
        <f>"5602972895292"</f>
        <v>5602972895292</v>
      </c>
      <c r="O4536" s="8">
        <v>960</v>
      </c>
      <c r="P4536" s="7">
        <v>45974</v>
      </c>
      <c r="R4536" s="8">
        <v>0</v>
      </c>
      <c r="S4536" s="7">
        <v>45979</v>
      </c>
      <c r="U4536" s="8">
        <v>960</v>
      </c>
      <c r="V4536" s="7">
        <v>45996</v>
      </c>
      <c r="X4536" s="8">
        <v>0</v>
      </c>
      <c r="Z4536" s="8">
        <v>960</v>
      </c>
      <c r="AA4536" s="7">
        <v>46013</v>
      </c>
      <c r="AC4536" s="8">
        <v>102</v>
      </c>
      <c r="AE4536" s="7">
        <v>46021</v>
      </c>
      <c r="AF4536" s="8">
        <v>102</v>
      </c>
      <c r="AH4536" s="7">
        <v>46037</v>
      </c>
      <c r="AN4536" s="8">
        <v>102</v>
      </c>
      <c r="AO4536" s="8">
        <v>858</v>
      </c>
    </row>
    <row r="4537" spans="1:41" x14ac:dyDescent="0.25">
      <c r="A4537" s="6" t="str">
        <f t="shared" si="1178"/>
        <v>525-2025000566</v>
      </c>
      <c r="B4537" s="6" t="str">
        <f t="shared" si="1182"/>
        <v>Lasa Int</v>
      </c>
      <c r="C4537" s="7">
        <v>45974</v>
      </c>
      <c r="D4537" s="7">
        <v>46044</v>
      </c>
      <c r="E4537" s="8">
        <v>30</v>
      </c>
      <c r="F4537" s="6" t="str">
        <f t="shared" si="1179"/>
        <v>PURE</v>
      </c>
      <c r="G4537" s="6" t="str">
        <f t="shared" si="1180"/>
        <v>F100021455000000</v>
      </c>
      <c r="H4537" s="6" t="str">
        <f t="shared" si="1181"/>
        <v>FA 214 - PURE - 550</v>
      </c>
      <c r="I4537" s="6" t="str">
        <f>"3235"</f>
        <v>3235</v>
      </c>
      <c r="J4537" s="6" t="str">
        <f>"CINZA 3235"</f>
        <v>CINZA 3235</v>
      </c>
      <c r="K4537" s="6" t="str">
        <f>"1535"</f>
        <v>1535</v>
      </c>
      <c r="L4537" s="6" t="str">
        <f>"Toalhões"</f>
        <v>Toalhões</v>
      </c>
      <c r="M4537" s="6" t="str">
        <f>"70x140"</f>
        <v>70x140</v>
      </c>
      <c r="N4537" s="6" t="str">
        <f>"5602972895308"</f>
        <v>5602972895308</v>
      </c>
      <c r="O4537" s="8">
        <v>360</v>
      </c>
      <c r="P4537" s="7">
        <v>45974</v>
      </c>
      <c r="R4537" s="8">
        <v>0</v>
      </c>
      <c r="S4537" s="7">
        <v>45979</v>
      </c>
      <c r="U4537" s="8">
        <v>390</v>
      </c>
      <c r="V4537" s="7">
        <v>45996</v>
      </c>
      <c r="X4537" s="8">
        <v>0</v>
      </c>
      <c r="Z4537" s="8">
        <v>390</v>
      </c>
      <c r="AA4537" s="7">
        <v>46013</v>
      </c>
      <c r="AC4537" s="8">
        <v>373</v>
      </c>
      <c r="AE4537" s="7">
        <v>46021</v>
      </c>
      <c r="AF4537" s="8">
        <v>373</v>
      </c>
      <c r="AH4537" s="7">
        <v>46037</v>
      </c>
      <c r="AN4537" s="8">
        <v>373</v>
      </c>
      <c r="AO4537" s="8">
        <v>-13</v>
      </c>
    </row>
    <row r="4538" spans="1:41" x14ac:dyDescent="0.25">
      <c r="A4538" s="6" t="str">
        <f t="shared" si="1178"/>
        <v>525-2025000566</v>
      </c>
      <c r="B4538" s="6" t="str">
        <f t="shared" si="1182"/>
        <v>Lasa Int</v>
      </c>
      <c r="C4538" s="7">
        <v>45974</v>
      </c>
      <c r="D4538" s="7">
        <v>46044</v>
      </c>
      <c r="E4538" s="8">
        <v>31</v>
      </c>
      <c r="F4538" s="6" t="str">
        <f t="shared" si="1179"/>
        <v>PURE</v>
      </c>
      <c r="G4538" s="6" t="str">
        <f t="shared" si="1180"/>
        <v>F100021455000000</v>
      </c>
      <c r="H4538" s="6" t="str">
        <f t="shared" si="1181"/>
        <v>FA 214 - PURE - 550</v>
      </c>
      <c r="I4538" s="6" t="str">
        <f>"3235"</f>
        <v>3235</v>
      </c>
      <c r="J4538" s="6" t="str">
        <f>"CINZA 3235"</f>
        <v>CINZA 3235</v>
      </c>
      <c r="K4538" s="6" t="str">
        <f>"2020"</f>
        <v>2020</v>
      </c>
      <c r="L4538" s="6" t="str">
        <f>"Lençóis"</f>
        <v>Lençóis</v>
      </c>
      <c r="M4538" s="6" t="str">
        <f>"100x150"</f>
        <v>100x150</v>
      </c>
      <c r="N4538" s="6" t="str">
        <f>"5602972895315"</f>
        <v>5602972895315</v>
      </c>
      <c r="O4538" s="8">
        <v>480</v>
      </c>
      <c r="P4538" s="7">
        <v>45974</v>
      </c>
      <c r="R4538" s="8">
        <v>0</v>
      </c>
      <c r="S4538" s="7">
        <v>45979</v>
      </c>
      <c r="U4538" s="8">
        <v>480</v>
      </c>
      <c r="V4538" s="7">
        <v>45996</v>
      </c>
      <c r="X4538" s="8">
        <v>0</v>
      </c>
      <c r="Z4538" s="8">
        <v>480</v>
      </c>
      <c r="AA4538" s="7">
        <v>46013</v>
      </c>
      <c r="AC4538" s="8">
        <v>133</v>
      </c>
      <c r="AE4538" s="7">
        <v>46021</v>
      </c>
      <c r="AF4538" s="8">
        <v>133</v>
      </c>
      <c r="AH4538" s="7">
        <v>46037</v>
      </c>
      <c r="AN4538" s="8">
        <v>532</v>
      </c>
      <c r="AO4538" s="8">
        <v>-52</v>
      </c>
    </row>
    <row r="4539" spans="1:41" x14ac:dyDescent="0.25">
      <c r="A4539" s="6" t="str">
        <f t="shared" si="1178"/>
        <v>525-2025000566</v>
      </c>
      <c r="B4539" s="6" t="str">
        <f t="shared" si="1182"/>
        <v>Lasa Int</v>
      </c>
      <c r="C4539" s="7">
        <v>45974</v>
      </c>
      <c r="D4539" s="7">
        <v>46044</v>
      </c>
      <c r="E4539" s="8">
        <v>32</v>
      </c>
      <c r="F4539" s="6" t="str">
        <f t="shared" si="1179"/>
        <v>PURE</v>
      </c>
      <c r="G4539" s="6" t="str">
        <f t="shared" si="1180"/>
        <v>F100021455000000</v>
      </c>
      <c r="H4539" s="6" t="str">
        <f t="shared" si="1181"/>
        <v>FA 214 - PURE - 550</v>
      </c>
      <c r="I4539" s="6" t="str">
        <f>"3968"</f>
        <v>3968</v>
      </c>
      <c r="J4539" s="6" t="str">
        <f>"BORDEAUX 3968"</f>
        <v>BORDEAUX 3968</v>
      </c>
      <c r="K4539" s="6" t="str">
        <f>"0112"</f>
        <v>0112</v>
      </c>
      <c r="L4539" s="6" t="str">
        <f>"Luvas"</f>
        <v>Luvas</v>
      </c>
      <c r="M4539" s="6" t="str">
        <f>"16x21"</f>
        <v>16x21</v>
      </c>
      <c r="N4539" s="6" t="str">
        <f>"5602972761405"</f>
        <v>5602972761405</v>
      </c>
      <c r="O4539" s="8">
        <v>300</v>
      </c>
      <c r="P4539" s="7">
        <v>45974</v>
      </c>
      <c r="R4539" s="8">
        <v>0</v>
      </c>
      <c r="S4539" s="7">
        <v>45979</v>
      </c>
      <c r="U4539" s="8">
        <v>300</v>
      </c>
      <c r="V4539" s="7">
        <v>45996</v>
      </c>
      <c r="X4539" s="8">
        <v>0</v>
      </c>
      <c r="Z4539" s="8">
        <v>300</v>
      </c>
      <c r="AA4539" s="7">
        <v>46013</v>
      </c>
      <c r="AC4539" s="8">
        <v>0</v>
      </c>
      <c r="AE4539" s="7">
        <v>46021</v>
      </c>
      <c r="AF4539" s="8">
        <v>0</v>
      </c>
      <c r="AH4539" s="7">
        <v>46037</v>
      </c>
      <c r="AN4539" s="8">
        <v>0</v>
      </c>
      <c r="AO4539" s="8">
        <v>300</v>
      </c>
    </row>
    <row r="4540" spans="1:41" x14ac:dyDescent="0.25">
      <c r="A4540" s="6" t="str">
        <f t="shared" ref="A4540:A4559" si="1183">"525-2025000566"</f>
        <v>525-2025000566</v>
      </c>
      <c r="B4540" s="6" t="str">
        <f t="shared" si="1182"/>
        <v>Lasa Int</v>
      </c>
      <c r="C4540" s="7">
        <v>45974</v>
      </c>
      <c r="D4540" s="7">
        <v>46044</v>
      </c>
      <c r="E4540" s="8">
        <v>33</v>
      </c>
      <c r="F4540" s="6" t="str">
        <f t="shared" ref="F4540:F4559" si="1184">"PURE"</f>
        <v>PURE</v>
      </c>
      <c r="G4540" s="6" t="str">
        <f t="shared" si="1180"/>
        <v>F100021455000000</v>
      </c>
      <c r="H4540" s="6" t="str">
        <f t="shared" si="1181"/>
        <v>FA 214 - PURE - 550</v>
      </c>
      <c r="I4540" s="6" t="str">
        <f>"3968"</f>
        <v>3968</v>
      </c>
      <c r="J4540" s="6" t="str">
        <f>"BORDEAUX 3968"</f>
        <v>BORDEAUX 3968</v>
      </c>
      <c r="K4540" s="6" t="str">
        <f>"0530"</f>
        <v>0530</v>
      </c>
      <c r="L4540" s="6" t="str">
        <f>"Toalhetes"</f>
        <v>Toalhetes</v>
      </c>
      <c r="M4540" s="6" t="str">
        <f>"33x50"</f>
        <v>33x50</v>
      </c>
      <c r="N4540" s="6" t="str">
        <f>"5602972761412"</f>
        <v>5602972761412</v>
      </c>
      <c r="O4540" s="8">
        <v>450</v>
      </c>
      <c r="P4540" s="7">
        <v>45974</v>
      </c>
      <c r="R4540" s="8">
        <v>0</v>
      </c>
      <c r="S4540" s="7">
        <v>45979</v>
      </c>
      <c r="U4540" s="8">
        <v>450</v>
      </c>
      <c r="V4540" s="7">
        <v>45996</v>
      </c>
      <c r="X4540" s="8">
        <v>0</v>
      </c>
      <c r="Z4540" s="8">
        <v>450</v>
      </c>
      <c r="AA4540" s="7">
        <v>46013</v>
      </c>
      <c r="AC4540" s="8">
        <v>0</v>
      </c>
      <c r="AE4540" s="7">
        <v>46021</v>
      </c>
      <c r="AF4540" s="8">
        <v>0</v>
      </c>
      <c r="AH4540" s="7">
        <v>46037</v>
      </c>
      <c r="AN4540" s="8">
        <v>0</v>
      </c>
      <c r="AO4540" s="8">
        <v>450</v>
      </c>
    </row>
    <row r="4541" spans="1:41" x14ac:dyDescent="0.25">
      <c r="A4541" s="6" t="str">
        <f t="shared" si="1183"/>
        <v>525-2025000566</v>
      </c>
      <c r="B4541" s="6" t="str">
        <f t="shared" si="1182"/>
        <v>Lasa Int</v>
      </c>
      <c r="C4541" s="7">
        <v>45974</v>
      </c>
      <c r="D4541" s="7">
        <v>46044</v>
      </c>
      <c r="E4541" s="8">
        <v>34</v>
      </c>
      <c r="F4541" s="6" t="str">
        <f t="shared" si="1184"/>
        <v>PURE</v>
      </c>
      <c r="G4541" s="6" t="str">
        <f t="shared" si="1180"/>
        <v>F100021455000000</v>
      </c>
      <c r="H4541" s="6" t="str">
        <f t="shared" si="1181"/>
        <v>FA 214 - PURE - 550</v>
      </c>
      <c r="I4541" s="6" t="str">
        <f>"3968"</f>
        <v>3968</v>
      </c>
      <c r="J4541" s="6" t="str">
        <f>"BORDEAUX 3968"</f>
        <v>BORDEAUX 3968</v>
      </c>
      <c r="K4541" s="6" t="str">
        <f>"1024"</f>
        <v>1024</v>
      </c>
      <c r="L4541" s="6" t="str">
        <f>"Toalhas"</f>
        <v>Toalhas</v>
      </c>
      <c r="M4541" s="6" t="str">
        <f>"50x100"</f>
        <v>50x100</v>
      </c>
      <c r="N4541" s="6" t="str">
        <f>"5602972761429"</f>
        <v>5602972761429</v>
      </c>
      <c r="O4541" s="8">
        <v>720</v>
      </c>
      <c r="P4541" s="7">
        <v>45974</v>
      </c>
      <c r="R4541" s="8">
        <v>0</v>
      </c>
      <c r="S4541" s="7">
        <v>45979</v>
      </c>
      <c r="U4541" s="8">
        <v>720</v>
      </c>
      <c r="V4541" s="7">
        <v>45996</v>
      </c>
      <c r="X4541" s="8">
        <v>0</v>
      </c>
      <c r="Z4541" s="8">
        <v>720</v>
      </c>
      <c r="AA4541" s="7">
        <v>46013</v>
      </c>
      <c r="AC4541" s="8">
        <v>112</v>
      </c>
      <c r="AE4541" s="7">
        <v>46021</v>
      </c>
      <c r="AF4541" s="8">
        <v>112</v>
      </c>
      <c r="AH4541" s="7">
        <v>46037</v>
      </c>
      <c r="AN4541" s="8">
        <v>112</v>
      </c>
      <c r="AO4541" s="8">
        <v>608</v>
      </c>
    </row>
    <row r="4542" spans="1:41" x14ac:dyDescent="0.25">
      <c r="A4542" s="6" t="str">
        <f t="shared" si="1183"/>
        <v>525-2025000566</v>
      </c>
      <c r="B4542" s="6" t="str">
        <f t="shared" si="1182"/>
        <v>Lasa Int</v>
      </c>
      <c r="C4542" s="7">
        <v>45974</v>
      </c>
      <c r="D4542" s="7">
        <v>46044</v>
      </c>
      <c r="E4542" s="8">
        <v>35</v>
      </c>
      <c r="F4542" s="6" t="str">
        <f t="shared" si="1184"/>
        <v>PURE</v>
      </c>
      <c r="G4542" s="6" t="str">
        <f t="shared" si="1180"/>
        <v>F100021455000000</v>
      </c>
      <c r="H4542" s="6" t="str">
        <f t="shared" si="1181"/>
        <v>FA 214 - PURE - 550</v>
      </c>
      <c r="I4542" s="6" t="str">
        <f>"3968"</f>
        <v>3968</v>
      </c>
      <c r="J4542" s="6" t="str">
        <f>"BORDEAUX 3968"</f>
        <v>BORDEAUX 3968</v>
      </c>
      <c r="K4542" s="6" t="str">
        <f>"1535"</f>
        <v>1535</v>
      </c>
      <c r="L4542" s="6" t="str">
        <f>"Toalhões"</f>
        <v>Toalhões</v>
      </c>
      <c r="M4542" s="6" t="str">
        <f>"70x140"</f>
        <v>70x140</v>
      </c>
      <c r="N4542" s="6" t="str">
        <f>"5602972761436"</f>
        <v>5602972761436</v>
      </c>
      <c r="O4542" s="8">
        <v>360</v>
      </c>
      <c r="P4542" s="7">
        <v>45974</v>
      </c>
      <c r="R4542" s="8">
        <v>0</v>
      </c>
      <c r="S4542" s="7">
        <v>45979</v>
      </c>
      <c r="U4542" s="8">
        <v>360</v>
      </c>
      <c r="V4542" s="7">
        <v>45996</v>
      </c>
      <c r="X4542" s="8">
        <v>0</v>
      </c>
      <c r="Z4542" s="8">
        <v>360</v>
      </c>
      <c r="AA4542" s="7">
        <v>46013</v>
      </c>
      <c r="AC4542" s="8">
        <v>366</v>
      </c>
      <c r="AE4542" s="7">
        <v>46021</v>
      </c>
      <c r="AF4542" s="8">
        <v>366</v>
      </c>
      <c r="AH4542" s="7">
        <v>46037</v>
      </c>
      <c r="AN4542" s="8">
        <v>366</v>
      </c>
      <c r="AO4542" s="8">
        <v>-6</v>
      </c>
    </row>
    <row r="4543" spans="1:41" x14ac:dyDescent="0.25">
      <c r="A4543" s="6" t="str">
        <f t="shared" si="1183"/>
        <v>525-2025000566</v>
      </c>
      <c r="B4543" s="6" t="str">
        <f t="shared" si="1182"/>
        <v>Lasa Int</v>
      </c>
      <c r="C4543" s="7">
        <v>45974</v>
      </c>
      <c r="D4543" s="7">
        <v>46044</v>
      </c>
      <c r="E4543" s="8">
        <v>36</v>
      </c>
      <c r="F4543" s="6" t="str">
        <f t="shared" si="1184"/>
        <v>PURE</v>
      </c>
      <c r="G4543" s="6" t="str">
        <f t="shared" si="1180"/>
        <v>F100021455000000</v>
      </c>
      <c r="H4543" s="6" t="str">
        <f t="shared" si="1181"/>
        <v>FA 214 - PURE - 550</v>
      </c>
      <c r="I4543" s="6" t="str">
        <f>"4387"</f>
        <v>4387</v>
      </c>
      <c r="J4543" s="6" t="str">
        <f>"VERDE 4387"</f>
        <v>VERDE 4387</v>
      </c>
      <c r="K4543" s="6" t="str">
        <f>"0530"</f>
        <v>0530</v>
      </c>
      <c r="L4543" s="6" t="str">
        <f>"Toalhetes"</f>
        <v>Toalhetes</v>
      </c>
      <c r="M4543" s="6" t="str">
        <f>"33x50"</f>
        <v>33x50</v>
      </c>
      <c r="N4543" s="6" t="str">
        <f>"5602972795592"</f>
        <v>5602972795592</v>
      </c>
      <c r="O4543" s="8">
        <v>450</v>
      </c>
      <c r="P4543" s="7">
        <v>45974</v>
      </c>
      <c r="R4543" s="8">
        <v>0</v>
      </c>
      <c r="S4543" s="7">
        <v>45979</v>
      </c>
      <c r="U4543" s="8">
        <v>450</v>
      </c>
      <c r="V4543" s="7">
        <v>45996</v>
      </c>
      <c r="X4543" s="8">
        <v>0</v>
      </c>
      <c r="Z4543" s="8">
        <v>450</v>
      </c>
      <c r="AA4543" s="7">
        <v>46013</v>
      </c>
      <c r="AC4543" s="8">
        <v>0</v>
      </c>
      <c r="AE4543" s="7">
        <v>46021</v>
      </c>
      <c r="AF4543" s="8">
        <v>0</v>
      </c>
      <c r="AH4543" s="7">
        <v>46037</v>
      </c>
      <c r="AN4543" s="8">
        <v>0</v>
      </c>
      <c r="AO4543" s="8">
        <v>450</v>
      </c>
    </row>
    <row r="4544" spans="1:41" x14ac:dyDescent="0.25">
      <c r="A4544" s="6" t="str">
        <f t="shared" si="1183"/>
        <v>525-2025000566</v>
      </c>
      <c r="B4544" s="6" t="str">
        <f t="shared" si="1182"/>
        <v>Lasa Int</v>
      </c>
      <c r="C4544" s="7">
        <v>45974</v>
      </c>
      <c r="D4544" s="7">
        <v>46044</v>
      </c>
      <c r="E4544" s="8">
        <v>37</v>
      </c>
      <c r="F4544" s="6" t="str">
        <f t="shared" si="1184"/>
        <v>PURE</v>
      </c>
      <c r="G4544" s="6" t="str">
        <f t="shared" si="1180"/>
        <v>F100021455000000</v>
      </c>
      <c r="H4544" s="6" t="str">
        <f t="shared" si="1181"/>
        <v>FA 214 - PURE - 550</v>
      </c>
      <c r="I4544" s="6" t="str">
        <f>"4387"</f>
        <v>4387</v>
      </c>
      <c r="J4544" s="6" t="str">
        <f>"VERDE 4387"</f>
        <v>VERDE 4387</v>
      </c>
      <c r="K4544" s="6" t="str">
        <f>"1024"</f>
        <v>1024</v>
      </c>
      <c r="L4544" s="6" t="str">
        <f>"Toalhas"</f>
        <v>Toalhas</v>
      </c>
      <c r="M4544" s="6" t="str">
        <f>"50x100"</f>
        <v>50x100</v>
      </c>
      <c r="N4544" s="6" t="str">
        <f>"5602972795608"</f>
        <v>5602972795608</v>
      </c>
      <c r="O4544" s="8">
        <v>480</v>
      </c>
      <c r="P4544" s="7">
        <v>45974</v>
      </c>
      <c r="R4544" s="8">
        <v>0</v>
      </c>
      <c r="S4544" s="7">
        <v>45979</v>
      </c>
      <c r="U4544" s="8">
        <v>480</v>
      </c>
      <c r="V4544" s="7">
        <v>45996</v>
      </c>
      <c r="X4544" s="8">
        <v>0</v>
      </c>
      <c r="Z4544" s="8">
        <v>480</v>
      </c>
      <c r="AA4544" s="7">
        <v>46013</v>
      </c>
      <c r="AC4544" s="8">
        <v>438</v>
      </c>
      <c r="AE4544" s="7">
        <v>46021</v>
      </c>
      <c r="AF4544" s="8">
        <v>438</v>
      </c>
      <c r="AH4544" s="7">
        <v>46037</v>
      </c>
      <c r="AN4544" s="8">
        <v>438</v>
      </c>
      <c r="AO4544" s="8">
        <v>42</v>
      </c>
    </row>
    <row r="4545" spans="1:41" x14ac:dyDescent="0.25">
      <c r="A4545" s="6" t="str">
        <f t="shared" si="1183"/>
        <v>525-2025000566</v>
      </c>
      <c r="B4545" s="6" t="str">
        <f t="shared" si="1182"/>
        <v>Lasa Int</v>
      </c>
      <c r="C4545" s="7">
        <v>45974</v>
      </c>
      <c r="D4545" s="7">
        <v>46044</v>
      </c>
      <c r="E4545" s="8">
        <v>38</v>
      </c>
      <c r="F4545" s="6" t="str">
        <f t="shared" si="1184"/>
        <v>PURE</v>
      </c>
      <c r="G4545" s="6" t="str">
        <f t="shared" si="1180"/>
        <v>F100021455000000</v>
      </c>
      <c r="H4545" s="6" t="str">
        <f t="shared" si="1181"/>
        <v>FA 214 - PURE - 550</v>
      </c>
      <c r="I4545" s="6" t="str">
        <f>"4387"</f>
        <v>4387</v>
      </c>
      <c r="J4545" s="6" t="str">
        <f>"VERDE 4387"</f>
        <v>VERDE 4387</v>
      </c>
      <c r="K4545" s="6" t="str">
        <f>"1535"</f>
        <v>1535</v>
      </c>
      <c r="L4545" s="6" t="str">
        <f>"Toalhões"</f>
        <v>Toalhões</v>
      </c>
      <c r="M4545" s="6" t="str">
        <f>"70x140"</f>
        <v>70x140</v>
      </c>
      <c r="N4545" s="6" t="str">
        <f>"5602972795615"</f>
        <v>5602972795615</v>
      </c>
      <c r="O4545" s="8">
        <v>360</v>
      </c>
      <c r="P4545" s="7">
        <v>45974</v>
      </c>
      <c r="R4545" s="8">
        <v>0</v>
      </c>
      <c r="S4545" s="7">
        <v>45979</v>
      </c>
      <c r="U4545" s="8">
        <v>360</v>
      </c>
      <c r="V4545" s="7">
        <v>45996</v>
      </c>
      <c r="X4545" s="8">
        <v>0</v>
      </c>
      <c r="Z4545" s="8">
        <v>360</v>
      </c>
      <c r="AA4545" s="7">
        <v>46013</v>
      </c>
      <c r="AC4545" s="8">
        <v>268</v>
      </c>
      <c r="AE4545" s="7">
        <v>46021</v>
      </c>
      <c r="AF4545" s="8">
        <v>268</v>
      </c>
      <c r="AH4545" s="7">
        <v>46037</v>
      </c>
      <c r="AN4545" s="8">
        <v>268</v>
      </c>
      <c r="AO4545" s="8">
        <v>92</v>
      </c>
    </row>
    <row r="4546" spans="1:41" x14ac:dyDescent="0.25">
      <c r="A4546" s="6" t="str">
        <f t="shared" si="1183"/>
        <v>525-2025000566</v>
      </c>
      <c r="B4546" s="6" t="str">
        <f t="shared" si="1182"/>
        <v>Lasa Int</v>
      </c>
      <c r="C4546" s="7">
        <v>45974</v>
      </c>
      <c r="D4546" s="7">
        <v>46044</v>
      </c>
      <c r="E4546" s="8">
        <v>39</v>
      </c>
      <c r="F4546" s="6" t="str">
        <f t="shared" si="1184"/>
        <v>PURE</v>
      </c>
      <c r="G4546" s="6" t="str">
        <f t="shared" si="1180"/>
        <v>F100021455000000</v>
      </c>
      <c r="H4546" s="6" t="str">
        <f t="shared" si="1181"/>
        <v>FA 214 - PURE - 550</v>
      </c>
      <c r="I4546" s="6" t="str">
        <f>"4387"</f>
        <v>4387</v>
      </c>
      <c r="J4546" s="6" t="str">
        <f>"VERDE 4387"</f>
        <v>VERDE 4387</v>
      </c>
      <c r="K4546" s="6" t="str">
        <f>"2020"</f>
        <v>2020</v>
      </c>
      <c r="L4546" s="6" t="str">
        <f>"Lençóis"</f>
        <v>Lençóis</v>
      </c>
      <c r="M4546" s="6" t="str">
        <f>"100x150"</f>
        <v>100x150</v>
      </c>
      <c r="N4546" s="6" t="str">
        <f>"5602972795622"</f>
        <v>5602972795622</v>
      </c>
      <c r="O4546" s="8">
        <v>80</v>
      </c>
      <c r="P4546" s="7">
        <v>45974</v>
      </c>
      <c r="R4546" s="8">
        <v>0</v>
      </c>
      <c r="S4546" s="7">
        <v>45979</v>
      </c>
      <c r="U4546" s="8">
        <v>80</v>
      </c>
      <c r="V4546" s="7">
        <v>45996</v>
      </c>
      <c r="X4546" s="8">
        <v>0</v>
      </c>
      <c r="Z4546" s="8">
        <v>80</v>
      </c>
      <c r="AA4546" s="7">
        <v>46013</v>
      </c>
      <c r="AC4546" s="8">
        <v>67</v>
      </c>
      <c r="AE4546" s="7">
        <v>46021</v>
      </c>
      <c r="AF4546" s="8">
        <v>67</v>
      </c>
      <c r="AH4546" s="7">
        <v>46037</v>
      </c>
      <c r="AN4546" s="8">
        <v>67</v>
      </c>
      <c r="AO4546" s="8">
        <v>13</v>
      </c>
    </row>
    <row r="4547" spans="1:41" x14ac:dyDescent="0.25">
      <c r="A4547" s="6" t="str">
        <f t="shared" si="1183"/>
        <v>525-2025000566</v>
      </c>
      <c r="B4547" s="6" t="str">
        <f t="shared" si="1182"/>
        <v>Lasa Int</v>
      </c>
      <c r="C4547" s="7">
        <v>45974</v>
      </c>
      <c r="D4547" s="7">
        <v>46044</v>
      </c>
      <c r="E4547" s="8">
        <v>40</v>
      </c>
      <c r="F4547" s="6" t="str">
        <f t="shared" si="1184"/>
        <v>PURE</v>
      </c>
      <c r="G4547" s="6" t="str">
        <f t="shared" si="1180"/>
        <v>F100021455000000</v>
      </c>
      <c r="H4547" s="6" t="str">
        <f t="shared" si="1181"/>
        <v>FA 214 - PURE - 550</v>
      </c>
      <c r="I4547" s="6" t="str">
        <f>"5149"</f>
        <v>5149</v>
      </c>
      <c r="J4547" s="6" t="str">
        <f>"VERDE 5149"</f>
        <v>VERDE 5149</v>
      </c>
      <c r="K4547" s="6" t="str">
        <f>"1024"</f>
        <v>1024</v>
      </c>
      <c r="L4547" s="6" t="str">
        <f>"Toalhas"</f>
        <v>Toalhas</v>
      </c>
      <c r="M4547" s="6" t="str">
        <f>"50x100"</f>
        <v>50x100</v>
      </c>
      <c r="N4547" s="6" t="str">
        <f>"5602972651454"</f>
        <v>5602972651454</v>
      </c>
      <c r="O4547" s="8">
        <v>480</v>
      </c>
      <c r="P4547" s="7">
        <v>45974</v>
      </c>
      <c r="R4547" s="8">
        <v>0</v>
      </c>
      <c r="S4547" s="7">
        <v>45979</v>
      </c>
      <c r="U4547" s="8">
        <v>480</v>
      </c>
      <c r="V4547" s="7">
        <v>45996</v>
      </c>
      <c r="X4547" s="8">
        <v>0</v>
      </c>
      <c r="Z4547" s="8">
        <v>480</v>
      </c>
      <c r="AA4547" s="7">
        <v>46013</v>
      </c>
      <c r="AC4547" s="8">
        <v>410</v>
      </c>
      <c r="AE4547" s="7">
        <v>46021</v>
      </c>
      <c r="AF4547" s="8">
        <v>410</v>
      </c>
      <c r="AH4547" s="7">
        <v>46037</v>
      </c>
      <c r="AN4547" s="8">
        <v>618</v>
      </c>
      <c r="AO4547" s="8">
        <v>-138</v>
      </c>
    </row>
    <row r="4548" spans="1:41" x14ac:dyDescent="0.25">
      <c r="A4548" s="6" t="str">
        <f t="shared" si="1183"/>
        <v>525-2025000566</v>
      </c>
      <c r="B4548" s="6" t="str">
        <f t="shared" si="1182"/>
        <v>Lasa Int</v>
      </c>
      <c r="C4548" s="7">
        <v>45974</v>
      </c>
      <c r="D4548" s="7">
        <v>46044</v>
      </c>
      <c r="E4548" s="8">
        <v>41</v>
      </c>
      <c r="F4548" s="6" t="str">
        <f t="shared" si="1184"/>
        <v>PURE</v>
      </c>
      <c r="G4548" s="6" t="str">
        <f t="shared" si="1180"/>
        <v>F100021455000000</v>
      </c>
      <c r="H4548" s="6" t="str">
        <f t="shared" si="1181"/>
        <v>FA 214 - PURE - 550</v>
      </c>
      <c r="I4548" s="6" t="str">
        <f>"5149"</f>
        <v>5149</v>
      </c>
      <c r="J4548" s="6" t="str">
        <f>"VERDE 5149"</f>
        <v>VERDE 5149</v>
      </c>
      <c r="K4548" s="6" t="str">
        <f>"1535"</f>
        <v>1535</v>
      </c>
      <c r="L4548" s="6" t="str">
        <f>"Toalhões"</f>
        <v>Toalhões</v>
      </c>
      <c r="M4548" s="6" t="str">
        <f>"70x140"</f>
        <v>70x140</v>
      </c>
      <c r="N4548" s="6" t="str">
        <f>"5602972651461"</f>
        <v>5602972651461</v>
      </c>
      <c r="O4548" s="8">
        <v>240</v>
      </c>
      <c r="P4548" s="7">
        <v>45974</v>
      </c>
      <c r="R4548" s="8">
        <v>0</v>
      </c>
      <c r="S4548" s="7">
        <v>45979</v>
      </c>
      <c r="U4548" s="8">
        <v>240</v>
      </c>
      <c r="V4548" s="7">
        <v>45996</v>
      </c>
      <c r="X4548" s="8">
        <v>0</v>
      </c>
      <c r="Z4548" s="8">
        <v>240</v>
      </c>
      <c r="AA4548" s="7">
        <v>46013</v>
      </c>
      <c r="AC4548" s="8">
        <v>240</v>
      </c>
      <c r="AE4548" s="7">
        <v>46021</v>
      </c>
      <c r="AF4548" s="8">
        <v>240</v>
      </c>
      <c r="AH4548" s="7">
        <v>46037</v>
      </c>
      <c r="AN4548" s="8">
        <v>240</v>
      </c>
      <c r="AO4548" s="8">
        <v>0</v>
      </c>
    </row>
    <row r="4549" spans="1:41" x14ac:dyDescent="0.25">
      <c r="A4549" s="6" t="str">
        <f t="shared" si="1183"/>
        <v>525-2025000566</v>
      </c>
      <c r="B4549" s="6" t="str">
        <f t="shared" si="1182"/>
        <v>Lasa Int</v>
      </c>
      <c r="C4549" s="7">
        <v>45974</v>
      </c>
      <c r="D4549" s="7">
        <v>46044</v>
      </c>
      <c r="E4549" s="8">
        <v>42</v>
      </c>
      <c r="F4549" s="6" t="str">
        <f t="shared" si="1184"/>
        <v>PURE</v>
      </c>
      <c r="G4549" s="6" t="str">
        <f t="shared" si="1180"/>
        <v>F100021455000000</v>
      </c>
      <c r="H4549" s="6" t="str">
        <f t="shared" si="1181"/>
        <v>FA 214 - PURE - 550</v>
      </c>
      <c r="I4549" s="6" t="str">
        <f>"5149"</f>
        <v>5149</v>
      </c>
      <c r="J4549" s="6" t="str">
        <f>"VERDE 5149"</f>
        <v>VERDE 5149</v>
      </c>
      <c r="K4549" s="6" t="str">
        <f>"2020"</f>
        <v>2020</v>
      </c>
      <c r="L4549" s="6" t="str">
        <f>"Lençóis"</f>
        <v>Lençóis</v>
      </c>
      <c r="M4549" s="6" t="str">
        <f>"100x150"</f>
        <v>100x150</v>
      </c>
      <c r="N4549" s="6" t="str">
        <f>"5602972651478"</f>
        <v>5602972651478</v>
      </c>
      <c r="O4549" s="8">
        <v>160</v>
      </c>
      <c r="P4549" s="7">
        <v>45974</v>
      </c>
      <c r="R4549" s="8">
        <v>0</v>
      </c>
      <c r="S4549" s="7">
        <v>45979</v>
      </c>
      <c r="U4549" s="8">
        <v>160</v>
      </c>
      <c r="V4549" s="7">
        <v>45996</v>
      </c>
      <c r="X4549" s="8">
        <v>0</v>
      </c>
      <c r="Z4549" s="8">
        <v>160</v>
      </c>
      <c r="AA4549" s="7">
        <v>46013</v>
      </c>
      <c r="AC4549" s="8">
        <v>112</v>
      </c>
      <c r="AE4549" s="7">
        <v>46021</v>
      </c>
      <c r="AF4549" s="8">
        <v>112</v>
      </c>
      <c r="AH4549" s="7">
        <v>46037</v>
      </c>
      <c r="AN4549" s="8">
        <v>262</v>
      </c>
      <c r="AO4549" s="8">
        <v>-102</v>
      </c>
    </row>
    <row r="4550" spans="1:41" x14ac:dyDescent="0.25">
      <c r="A4550" s="6" t="str">
        <f t="shared" si="1183"/>
        <v>525-2025000566</v>
      </c>
      <c r="B4550" s="6" t="str">
        <f t="shared" si="1182"/>
        <v>Lasa Int</v>
      </c>
      <c r="C4550" s="7">
        <v>45974</v>
      </c>
      <c r="D4550" s="7">
        <v>46044</v>
      </c>
      <c r="E4550" s="8">
        <v>43</v>
      </c>
      <c r="F4550" s="6" t="str">
        <f t="shared" si="1184"/>
        <v>PURE</v>
      </c>
      <c r="G4550" s="6" t="str">
        <f t="shared" si="1180"/>
        <v>F100021455000000</v>
      </c>
      <c r="H4550" s="6" t="str">
        <f t="shared" si="1181"/>
        <v>FA 214 - PURE - 550</v>
      </c>
      <c r="I4550" s="6" t="str">
        <f>"5149"</f>
        <v>5149</v>
      </c>
      <c r="J4550" s="6" t="str">
        <f>"VERDE 5149"</f>
        <v>VERDE 5149</v>
      </c>
      <c r="K4550" s="6" t="str">
        <f>"2030"</f>
        <v>2030</v>
      </c>
      <c r="L4550" s="6" t="str">
        <f>"Lençóis"</f>
        <v>Lençóis</v>
      </c>
      <c r="M4550" s="6" t="str">
        <f>"100x180"</f>
        <v>100x180</v>
      </c>
      <c r="N4550" s="6" t="str">
        <f>"5602972674224"</f>
        <v>5602972674224</v>
      </c>
      <c r="O4550" s="8">
        <v>60</v>
      </c>
      <c r="P4550" s="7">
        <v>45974</v>
      </c>
      <c r="R4550" s="8">
        <v>0</v>
      </c>
      <c r="S4550" s="7">
        <v>45979</v>
      </c>
      <c r="U4550" s="8">
        <v>60</v>
      </c>
      <c r="V4550" s="7">
        <v>45996</v>
      </c>
      <c r="X4550" s="8">
        <v>0</v>
      </c>
      <c r="Z4550" s="8">
        <v>60</v>
      </c>
      <c r="AA4550" s="7">
        <v>46013</v>
      </c>
      <c r="AC4550" s="8">
        <v>0</v>
      </c>
      <c r="AE4550" s="7">
        <v>46021</v>
      </c>
      <c r="AF4550" s="8">
        <v>0</v>
      </c>
      <c r="AH4550" s="7">
        <v>46037</v>
      </c>
      <c r="AN4550" s="8">
        <v>0</v>
      </c>
      <c r="AO4550" s="8">
        <v>60</v>
      </c>
    </row>
    <row r="4551" spans="1:41" x14ac:dyDescent="0.25">
      <c r="A4551" s="6" t="str">
        <f t="shared" si="1183"/>
        <v>525-2025000566</v>
      </c>
      <c r="B4551" s="6" t="str">
        <f t="shared" si="1182"/>
        <v>Lasa Int</v>
      </c>
      <c r="C4551" s="7">
        <v>45974</v>
      </c>
      <c r="D4551" s="7">
        <v>46044</v>
      </c>
      <c r="E4551" s="8">
        <v>44</v>
      </c>
      <c r="F4551" s="6" t="str">
        <f t="shared" si="1184"/>
        <v>PURE</v>
      </c>
      <c r="G4551" s="6" t="str">
        <f t="shared" si="1180"/>
        <v>F100021455000000</v>
      </c>
      <c r="H4551" s="6" t="str">
        <f t="shared" si="1181"/>
        <v>FA 214 - PURE - 550</v>
      </c>
      <c r="I4551" s="6" t="str">
        <f>"5417"</f>
        <v>5417</v>
      </c>
      <c r="J4551" s="6" t="str">
        <f>"AZUL 5417"</f>
        <v>AZUL 5417</v>
      </c>
      <c r="K4551" s="6" t="str">
        <f>"0530"</f>
        <v>0530</v>
      </c>
      <c r="L4551" s="6" t="str">
        <f>"Toalhetes"</f>
        <v>Toalhetes</v>
      </c>
      <c r="M4551" s="6" t="str">
        <f>"33x50"</f>
        <v>33x50</v>
      </c>
      <c r="N4551" s="6" t="str">
        <f>"5602972667561"</f>
        <v>5602972667561</v>
      </c>
      <c r="O4551" s="8">
        <v>450</v>
      </c>
      <c r="P4551" s="7">
        <v>45974</v>
      </c>
      <c r="R4551" s="8">
        <v>0</v>
      </c>
      <c r="S4551" s="7">
        <v>45979</v>
      </c>
      <c r="U4551" s="8">
        <v>450</v>
      </c>
      <c r="V4551" s="7">
        <v>45996</v>
      </c>
      <c r="X4551" s="8">
        <v>0</v>
      </c>
      <c r="Z4551" s="8">
        <v>450</v>
      </c>
      <c r="AA4551" s="7">
        <v>46013</v>
      </c>
      <c r="AC4551" s="8">
        <v>444</v>
      </c>
      <c r="AE4551" s="7">
        <v>46021</v>
      </c>
      <c r="AF4551" s="8">
        <v>444</v>
      </c>
      <c r="AH4551" s="7">
        <v>46037</v>
      </c>
      <c r="AN4551" s="8">
        <v>444</v>
      </c>
      <c r="AO4551" s="8">
        <v>6</v>
      </c>
    </row>
    <row r="4552" spans="1:41" x14ac:dyDescent="0.25">
      <c r="A4552" s="6" t="str">
        <f t="shared" si="1183"/>
        <v>525-2025000566</v>
      </c>
      <c r="B4552" s="6" t="str">
        <f t="shared" si="1182"/>
        <v>Lasa Int</v>
      </c>
      <c r="C4552" s="7">
        <v>45974</v>
      </c>
      <c r="D4552" s="7">
        <v>46044</v>
      </c>
      <c r="E4552" s="8">
        <v>45</v>
      </c>
      <c r="F4552" s="6" t="str">
        <f t="shared" si="1184"/>
        <v>PURE</v>
      </c>
      <c r="G4552" s="6" t="str">
        <f t="shared" si="1180"/>
        <v>F100021455000000</v>
      </c>
      <c r="H4552" s="6" t="str">
        <f t="shared" si="1181"/>
        <v>FA 214 - PURE - 550</v>
      </c>
      <c r="I4552" s="6" t="str">
        <f>"5417"</f>
        <v>5417</v>
      </c>
      <c r="J4552" s="6" t="str">
        <f>"AZUL 5417"</f>
        <v>AZUL 5417</v>
      </c>
      <c r="K4552" s="6" t="str">
        <f>"1024"</f>
        <v>1024</v>
      </c>
      <c r="L4552" s="6" t="str">
        <f>"Toalhas"</f>
        <v>Toalhas</v>
      </c>
      <c r="M4552" s="6" t="str">
        <f>"50x100"</f>
        <v>50x100</v>
      </c>
      <c r="N4552" s="6" t="str">
        <f>"5602972667578"</f>
        <v>5602972667578</v>
      </c>
      <c r="O4552" s="8">
        <v>480</v>
      </c>
      <c r="P4552" s="7">
        <v>45974</v>
      </c>
      <c r="R4552" s="8">
        <v>0</v>
      </c>
      <c r="S4552" s="7">
        <v>45979</v>
      </c>
      <c r="U4552" s="8">
        <v>480</v>
      </c>
      <c r="V4552" s="7">
        <v>45996</v>
      </c>
      <c r="X4552" s="8">
        <v>0</v>
      </c>
      <c r="Z4552" s="8">
        <v>480</v>
      </c>
      <c r="AA4552" s="7">
        <v>46013</v>
      </c>
      <c r="AC4552" s="8">
        <v>556</v>
      </c>
      <c r="AE4552" s="7">
        <v>46021</v>
      </c>
      <c r="AF4552" s="8">
        <v>556</v>
      </c>
      <c r="AH4552" s="7">
        <v>46037</v>
      </c>
      <c r="AN4552" s="8">
        <v>556</v>
      </c>
      <c r="AO4552" s="8">
        <v>-76</v>
      </c>
    </row>
    <row r="4553" spans="1:41" x14ac:dyDescent="0.25">
      <c r="A4553" s="6" t="str">
        <f t="shared" si="1183"/>
        <v>525-2025000566</v>
      </c>
      <c r="B4553" s="6" t="str">
        <f t="shared" si="1182"/>
        <v>Lasa Int</v>
      </c>
      <c r="C4553" s="7">
        <v>45974</v>
      </c>
      <c r="D4553" s="7">
        <v>46044</v>
      </c>
      <c r="E4553" s="8">
        <v>46</v>
      </c>
      <c r="F4553" s="6" t="str">
        <f t="shared" si="1184"/>
        <v>PURE</v>
      </c>
      <c r="G4553" s="6" t="str">
        <f t="shared" si="1180"/>
        <v>F100021455000000</v>
      </c>
      <c r="H4553" s="6" t="str">
        <f t="shared" si="1181"/>
        <v>FA 214 - PURE - 550</v>
      </c>
      <c r="I4553" s="6" t="str">
        <f>"5417"</f>
        <v>5417</v>
      </c>
      <c r="J4553" s="6" t="str">
        <f>"AZUL 5417"</f>
        <v>AZUL 5417</v>
      </c>
      <c r="K4553" s="6" t="str">
        <f>"1535"</f>
        <v>1535</v>
      </c>
      <c r="L4553" s="6" t="str">
        <f>"Toalhões"</f>
        <v>Toalhões</v>
      </c>
      <c r="M4553" s="6" t="str">
        <f>"70x140"</f>
        <v>70x140</v>
      </c>
      <c r="N4553" s="6" t="str">
        <f>"5602972667585"</f>
        <v>5602972667585</v>
      </c>
      <c r="O4553" s="8">
        <v>240</v>
      </c>
      <c r="P4553" s="7">
        <v>45974</v>
      </c>
      <c r="R4553" s="8">
        <v>0</v>
      </c>
      <c r="S4553" s="7">
        <v>45979</v>
      </c>
      <c r="U4553" s="8">
        <v>240</v>
      </c>
      <c r="V4553" s="7">
        <v>45996</v>
      </c>
      <c r="X4553" s="8">
        <v>0</v>
      </c>
      <c r="Z4553" s="8">
        <v>240</v>
      </c>
      <c r="AA4553" s="7">
        <v>46013</v>
      </c>
      <c r="AC4553" s="8">
        <v>241</v>
      </c>
      <c r="AE4553" s="7">
        <v>46021</v>
      </c>
      <c r="AF4553" s="8">
        <v>241</v>
      </c>
      <c r="AH4553" s="7">
        <v>46037</v>
      </c>
      <c r="AN4553" s="8">
        <v>241</v>
      </c>
      <c r="AO4553" s="8">
        <v>-1</v>
      </c>
    </row>
    <row r="4554" spans="1:41" x14ac:dyDescent="0.25">
      <c r="A4554" s="6" t="str">
        <f t="shared" si="1183"/>
        <v>525-2025000566</v>
      </c>
      <c r="B4554" s="6" t="str">
        <f t="shared" si="1182"/>
        <v>Lasa Int</v>
      </c>
      <c r="C4554" s="7">
        <v>45974</v>
      </c>
      <c r="D4554" s="7">
        <v>46044</v>
      </c>
      <c r="E4554" s="8">
        <v>47</v>
      </c>
      <c r="F4554" s="6" t="str">
        <f t="shared" si="1184"/>
        <v>PURE</v>
      </c>
      <c r="G4554" s="6" t="str">
        <f t="shared" si="1180"/>
        <v>F100021455000000</v>
      </c>
      <c r="H4554" s="6" t="str">
        <f t="shared" si="1181"/>
        <v>FA 214 - PURE - 550</v>
      </c>
      <c r="I4554" s="6" t="str">
        <f>"5417"</f>
        <v>5417</v>
      </c>
      <c r="J4554" s="6" t="str">
        <f>"AZUL 5417"</f>
        <v>AZUL 5417</v>
      </c>
      <c r="K4554" s="6" t="str">
        <f>"2020"</f>
        <v>2020</v>
      </c>
      <c r="L4554" s="6" t="str">
        <f>"Lençóis"</f>
        <v>Lençóis</v>
      </c>
      <c r="M4554" s="6" t="str">
        <f>"100x150"</f>
        <v>100x150</v>
      </c>
      <c r="N4554" s="6" t="str">
        <f>"5602972667592"</f>
        <v>5602972667592</v>
      </c>
      <c r="O4554" s="8">
        <v>160</v>
      </c>
      <c r="P4554" s="7">
        <v>45974</v>
      </c>
      <c r="R4554" s="8">
        <v>0</v>
      </c>
      <c r="S4554" s="7">
        <v>45979</v>
      </c>
      <c r="U4554" s="8">
        <v>160</v>
      </c>
      <c r="V4554" s="7">
        <v>45996</v>
      </c>
      <c r="X4554" s="8">
        <v>0</v>
      </c>
      <c r="Z4554" s="8">
        <v>160</v>
      </c>
      <c r="AA4554" s="7">
        <v>46013</v>
      </c>
      <c r="AC4554" s="8">
        <v>161</v>
      </c>
      <c r="AE4554" s="7">
        <v>46021</v>
      </c>
      <c r="AF4554" s="8">
        <v>161</v>
      </c>
      <c r="AH4554" s="7">
        <v>46037</v>
      </c>
      <c r="AN4554" s="8">
        <v>161</v>
      </c>
      <c r="AO4554" s="8">
        <v>-1</v>
      </c>
    </row>
    <row r="4555" spans="1:41" x14ac:dyDescent="0.25">
      <c r="A4555" s="6" t="str">
        <f t="shared" si="1183"/>
        <v>525-2025000566</v>
      </c>
      <c r="B4555" s="6" t="str">
        <f t="shared" si="1182"/>
        <v>Lasa Int</v>
      </c>
      <c r="C4555" s="7">
        <v>45974</v>
      </c>
      <c r="D4555" s="7">
        <v>46044</v>
      </c>
      <c r="E4555" s="8">
        <v>48</v>
      </c>
      <c r="F4555" s="6" t="str">
        <f t="shared" si="1184"/>
        <v>PURE</v>
      </c>
      <c r="G4555" s="6" t="str">
        <f>"F161003770000000"</f>
        <v>F161003770000000</v>
      </c>
      <c r="H4555" s="6" t="str">
        <f>"TA 37 - 700 g/m²"</f>
        <v>TA 37 - 700 g/m²</v>
      </c>
      <c r="I4555" s="6" t="str">
        <f>"2094"</f>
        <v>2094</v>
      </c>
      <c r="J4555" s="6" t="str">
        <f>"AZUL 2094"</f>
        <v>AZUL 2094</v>
      </c>
      <c r="K4555" s="6" t="str">
        <f>"3012"</f>
        <v>3012</v>
      </c>
      <c r="L4555" s="6" t="str">
        <f>"Tapetes"</f>
        <v>Tapetes</v>
      </c>
      <c r="M4555" s="6" t="str">
        <f>"50x70"</f>
        <v>50x70</v>
      </c>
      <c r="N4555" s="6" t="str">
        <f>"5602972837353"</f>
        <v>5602972837353</v>
      </c>
      <c r="O4555" s="8">
        <v>100</v>
      </c>
      <c r="P4555" s="7">
        <v>45974</v>
      </c>
      <c r="R4555" s="8">
        <v>0</v>
      </c>
      <c r="S4555" s="7">
        <v>45979</v>
      </c>
      <c r="U4555" s="8">
        <v>100</v>
      </c>
      <c r="V4555" s="7">
        <v>45996</v>
      </c>
      <c r="X4555" s="8">
        <v>0</v>
      </c>
      <c r="Z4555" s="8">
        <v>100</v>
      </c>
      <c r="AA4555" s="7">
        <v>46013</v>
      </c>
      <c r="AC4555" s="8">
        <v>167</v>
      </c>
      <c r="AE4555" s="7">
        <v>46021</v>
      </c>
      <c r="AF4555" s="8">
        <v>167</v>
      </c>
      <c r="AH4555" s="7">
        <v>46037</v>
      </c>
      <c r="AN4555" s="8">
        <v>167</v>
      </c>
      <c r="AO4555" s="8">
        <v>-67</v>
      </c>
    </row>
    <row r="4556" spans="1:41" x14ac:dyDescent="0.25">
      <c r="A4556" s="6" t="str">
        <f t="shared" si="1183"/>
        <v>525-2025000566</v>
      </c>
      <c r="B4556" s="6" t="str">
        <f t="shared" si="1182"/>
        <v>Lasa Int</v>
      </c>
      <c r="C4556" s="7">
        <v>45974</v>
      </c>
      <c r="D4556" s="7">
        <v>46044</v>
      </c>
      <c r="E4556" s="8">
        <v>49</v>
      </c>
      <c r="F4556" s="6" t="str">
        <f t="shared" si="1184"/>
        <v>PURE</v>
      </c>
      <c r="G4556" s="6" t="str">
        <f>"F161003770000000"</f>
        <v>F161003770000000</v>
      </c>
      <c r="H4556" s="6" t="str">
        <f>"TA 37 - 700 g/m²"</f>
        <v>TA 37 - 700 g/m²</v>
      </c>
      <c r="I4556" s="6" t="str">
        <f>"2307"</f>
        <v>2307</v>
      </c>
      <c r="J4556" s="6" t="str">
        <f>"VERMELHO 2307"</f>
        <v>VERMELHO 2307</v>
      </c>
      <c r="K4556" s="6" t="str">
        <f>"3012"</f>
        <v>3012</v>
      </c>
      <c r="L4556" s="6" t="str">
        <f>"Tapetes"</f>
        <v>Tapetes</v>
      </c>
      <c r="M4556" s="6" t="str">
        <f>"50x70"</f>
        <v>50x70</v>
      </c>
      <c r="N4556" s="6" t="str">
        <f>"5602972837322"</f>
        <v>5602972837322</v>
      </c>
      <c r="O4556" s="8">
        <v>100</v>
      </c>
      <c r="P4556" s="7">
        <v>45974</v>
      </c>
      <c r="R4556" s="8">
        <v>0</v>
      </c>
      <c r="S4556" s="7">
        <v>45979</v>
      </c>
      <c r="U4556" s="8">
        <v>100</v>
      </c>
      <c r="V4556" s="7">
        <v>45996</v>
      </c>
      <c r="X4556" s="8">
        <v>0</v>
      </c>
      <c r="Z4556" s="8">
        <v>100</v>
      </c>
      <c r="AA4556" s="7">
        <v>46013</v>
      </c>
      <c r="AC4556" s="8">
        <v>0</v>
      </c>
      <c r="AE4556" s="7">
        <v>46021</v>
      </c>
      <c r="AF4556" s="8">
        <v>0</v>
      </c>
      <c r="AH4556" s="7">
        <v>46037</v>
      </c>
      <c r="AN4556" s="8">
        <v>0</v>
      </c>
      <c r="AO4556" s="8">
        <v>100</v>
      </c>
    </row>
    <row r="4557" spans="1:41" x14ac:dyDescent="0.25">
      <c r="A4557" s="6" t="str">
        <f t="shared" si="1183"/>
        <v>525-2025000566</v>
      </c>
      <c r="B4557" s="6" t="str">
        <f t="shared" si="1182"/>
        <v>Lasa Int</v>
      </c>
      <c r="C4557" s="7">
        <v>45974</v>
      </c>
      <c r="D4557" s="7">
        <v>46044</v>
      </c>
      <c r="E4557" s="8">
        <v>50</v>
      </c>
      <c r="F4557" s="6" t="str">
        <f t="shared" si="1184"/>
        <v>PURE</v>
      </c>
      <c r="G4557" s="6" t="str">
        <f>"F161003770000000"</f>
        <v>F161003770000000</v>
      </c>
      <c r="H4557" s="6" t="str">
        <f>"TA 37 - 700 g/m²"</f>
        <v>TA 37 - 700 g/m²</v>
      </c>
      <c r="I4557" s="6" t="str">
        <f>"3233"</f>
        <v>3233</v>
      </c>
      <c r="J4557" s="6" t="str">
        <f>"LILAS 3233"</f>
        <v>LILAS 3233</v>
      </c>
      <c r="K4557" s="6" t="str">
        <f>"3012"</f>
        <v>3012</v>
      </c>
      <c r="L4557" s="6" t="str">
        <f>"Tapetes"</f>
        <v>Tapetes</v>
      </c>
      <c r="M4557" s="6" t="str">
        <f>"50x70"</f>
        <v>50x70</v>
      </c>
      <c r="N4557" s="6" t="str">
        <f>"5602972895377"</f>
        <v>5602972895377</v>
      </c>
      <c r="O4557" s="8">
        <v>100</v>
      </c>
      <c r="P4557" s="7">
        <v>45974</v>
      </c>
      <c r="R4557" s="8">
        <v>0</v>
      </c>
      <c r="S4557" s="7">
        <v>45979</v>
      </c>
      <c r="U4557" s="8">
        <v>100</v>
      </c>
      <c r="V4557" s="7">
        <v>45996</v>
      </c>
      <c r="X4557" s="8">
        <v>0</v>
      </c>
      <c r="Z4557" s="8">
        <v>100</v>
      </c>
      <c r="AA4557" s="7">
        <v>46013</v>
      </c>
      <c r="AC4557" s="8">
        <v>56</v>
      </c>
      <c r="AE4557" s="7">
        <v>46021</v>
      </c>
      <c r="AF4557" s="8">
        <v>56</v>
      </c>
      <c r="AH4557" s="7">
        <v>46037</v>
      </c>
      <c r="AN4557" s="8">
        <v>56</v>
      </c>
      <c r="AO4557" s="8">
        <v>44</v>
      </c>
    </row>
    <row r="4558" spans="1:41" x14ac:dyDescent="0.25">
      <c r="A4558" s="6" t="str">
        <f t="shared" si="1183"/>
        <v>525-2025000566</v>
      </c>
      <c r="B4558" s="6" t="str">
        <f t="shared" si="1182"/>
        <v>Lasa Int</v>
      </c>
      <c r="C4558" s="7">
        <v>45974</v>
      </c>
      <c r="D4558" s="7">
        <v>46044</v>
      </c>
      <c r="E4558" s="8">
        <v>51</v>
      </c>
      <c r="F4558" s="6" t="str">
        <f t="shared" si="1184"/>
        <v>PURE</v>
      </c>
      <c r="G4558" s="6" t="str">
        <f>"F161003770000000"</f>
        <v>F161003770000000</v>
      </c>
      <c r="H4558" s="6" t="str">
        <f>"TA 37 - 700 g/m²"</f>
        <v>TA 37 - 700 g/m²</v>
      </c>
      <c r="I4558" s="6" t="str">
        <f>"3234"</f>
        <v>3234</v>
      </c>
      <c r="J4558" s="6" t="str">
        <f>"CASTANHO 3234"</f>
        <v>CASTANHO 3234</v>
      </c>
      <c r="K4558" s="6" t="str">
        <f>"3012"</f>
        <v>3012</v>
      </c>
      <c r="L4558" s="6" t="str">
        <f>"Tapetes"</f>
        <v>Tapetes</v>
      </c>
      <c r="M4558" s="6" t="str">
        <f>"50x70"</f>
        <v>50x70</v>
      </c>
      <c r="N4558" s="6" t="str">
        <f>"5602972895384"</f>
        <v>5602972895384</v>
      </c>
      <c r="O4558" s="8">
        <v>200</v>
      </c>
      <c r="P4558" s="7">
        <v>45974</v>
      </c>
      <c r="R4558" s="8">
        <v>0</v>
      </c>
      <c r="S4558" s="7">
        <v>45979</v>
      </c>
      <c r="U4558" s="8">
        <v>200</v>
      </c>
      <c r="V4558" s="7">
        <v>45996</v>
      </c>
      <c r="X4558" s="8">
        <v>0</v>
      </c>
      <c r="Z4558" s="8">
        <v>200</v>
      </c>
      <c r="AA4558" s="7">
        <v>46013</v>
      </c>
      <c r="AC4558" s="8">
        <v>173</v>
      </c>
      <c r="AE4558" s="7">
        <v>46021</v>
      </c>
      <c r="AF4558" s="8">
        <v>173</v>
      </c>
      <c r="AH4558" s="7">
        <v>46037</v>
      </c>
      <c r="AN4558" s="8">
        <v>173</v>
      </c>
      <c r="AO4558" s="8">
        <v>27</v>
      </c>
    </row>
    <row r="4559" spans="1:41" x14ac:dyDescent="0.25">
      <c r="A4559" s="6" t="str">
        <f t="shared" si="1183"/>
        <v>525-2025000566</v>
      </c>
      <c r="B4559" s="6" t="str">
        <f t="shared" si="1182"/>
        <v>Lasa Int</v>
      </c>
      <c r="C4559" s="7">
        <v>45974</v>
      </c>
      <c r="D4559" s="7">
        <v>46044</v>
      </c>
      <c r="E4559" s="8">
        <v>52</v>
      </c>
      <c r="F4559" s="6" t="str">
        <f t="shared" si="1184"/>
        <v>PURE</v>
      </c>
      <c r="G4559" s="6" t="str">
        <f>"F161003770000000"</f>
        <v>F161003770000000</v>
      </c>
      <c r="H4559" s="6" t="str">
        <f>"TA 37 - 700 g/m²"</f>
        <v>TA 37 - 700 g/m²</v>
      </c>
      <c r="I4559" s="6" t="str">
        <f>"3968"</f>
        <v>3968</v>
      </c>
      <c r="J4559" s="6" t="str">
        <f>"BORDEAUX 3968"</f>
        <v>BORDEAUX 3968</v>
      </c>
      <c r="K4559" s="6" t="str">
        <f>"3012"</f>
        <v>3012</v>
      </c>
      <c r="L4559" s="6" t="str">
        <f>"Tapetes"</f>
        <v>Tapetes</v>
      </c>
      <c r="M4559" s="6" t="str">
        <f>"50x70"</f>
        <v>50x70</v>
      </c>
      <c r="N4559" s="6" t="str">
        <f>"5602972761504"</f>
        <v>5602972761504</v>
      </c>
      <c r="O4559" s="8">
        <v>100</v>
      </c>
      <c r="P4559" s="7">
        <v>45974</v>
      </c>
      <c r="R4559" s="8">
        <v>0</v>
      </c>
      <c r="S4559" s="7">
        <v>45979</v>
      </c>
      <c r="U4559" s="8">
        <v>100</v>
      </c>
      <c r="V4559" s="7">
        <v>45996</v>
      </c>
      <c r="X4559" s="8">
        <v>0</v>
      </c>
      <c r="Z4559" s="8">
        <v>100</v>
      </c>
      <c r="AA4559" s="7">
        <v>46013</v>
      </c>
      <c r="AC4559" s="8">
        <v>77</v>
      </c>
      <c r="AE4559" s="7">
        <v>46021</v>
      </c>
      <c r="AF4559" s="8">
        <v>77</v>
      </c>
      <c r="AH4559" s="7">
        <v>46037</v>
      </c>
      <c r="AN4559" s="8">
        <v>77</v>
      </c>
      <c r="AO4559" s="8">
        <v>23</v>
      </c>
    </row>
    <row r="4560" spans="1:41" x14ac:dyDescent="0.25">
      <c r="A4560" s="6" t="str">
        <f>"525-2025000568"</f>
        <v>525-2025000568</v>
      </c>
      <c r="B4560" s="6" t="str">
        <f t="shared" si="1182"/>
        <v>Lasa Int</v>
      </c>
      <c r="C4560" s="7">
        <v>45974</v>
      </c>
      <c r="D4560" s="7">
        <v>46044</v>
      </c>
      <c r="E4560" s="8">
        <v>1</v>
      </c>
      <c r="F4560" s="6" t="str">
        <f t="shared" ref="F4560:F4568" si="1185">"PURE R"</f>
        <v>PURE R</v>
      </c>
      <c r="G4560" s="6" t="str">
        <f t="shared" ref="G4560:G4568" si="1186">"R010000635000000"</f>
        <v>R010000635000000</v>
      </c>
      <c r="H4560" s="6" t="str">
        <f t="shared" ref="H4560:H4568" si="1187">"Alexis Cotoral Pure"</f>
        <v>Alexis Cotoral Pure</v>
      </c>
      <c r="I4560" s="6" t="str">
        <f>"4387"</f>
        <v>4387</v>
      </c>
      <c r="J4560" s="6" t="str">
        <f>"VERDE 4387"</f>
        <v>VERDE 4387</v>
      </c>
      <c r="K4560" s="6" t="str">
        <f>"5002"</f>
        <v>5002</v>
      </c>
      <c r="L4560" s="6" t="str">
        <f t="shared" ref="L4560:L4580" si="1188">"Roupões Adulto"</f>
        <v>Roupões Adulto</v>
      </c>
      <c r="M4560" s="6" t="str">
        <f>"S"</f>
        <v>S</v>
      </c>
      <c r="N4560" s="6" t="str">
        <f>"5602972637861"</f>
        <v>5602972637861</v>
      </c>
      <c r="O4560" s="8">
        <v>36</v>
      </c>
      <c r="P4560" s="7">
        <v>45974</v>
      </c>
      <c r="R4560" s="8">
        <v>0</v>
      </c>
      <c r="S4560" s="7">
        <v>45979</v>
      </c>
      <c r="U4560" s="8">
        <v>405</v>
      </c>
      <c r="V4560" s="7">
        <v>45988</v>
      </c>
      <c r="X4560" s="8">
        <v>405</v>
      </c>
      <c r="Z4560" s="8">
        <v>0</v>
      </c>
      <c r="AA4560" s="7">
        <v>46002</v>
      </c>
      <c r="AC4560" s="8">
        <v>0</v>
      </c>
      <c r="AE4560" s="7">
        <v>46035</v>
      </c>
      <c r="AF4560" s="8">
        <v>0</v>
      </c>
      <c r="AH4560" s="7">
        <v>46044</v>
      </c>
      <c r="AI4560" s="7">
        <v>46031</v>
      </c>
      <c r="AN4560" s="8">
        <v>0</v>
      </c>
      <c r="AO4560" s="8">
        <v>36</v>
      </c>
    </row>
    <row r="4561" spans="1:41" x14ac:dyDescent="0.25">
      <c r="A4561" s="6" t="str">
        <f>"525-2025000568"</f>
        <v>525-2025000568</v>
      </c>
      <c r="B4561" s="6" t="str">
        <f t="shared" si="1182"/>
        <v>Lasa Int</v>
      </c>
      <c r="C4561" s="7">
        <v>45974</v>
      </c>
      <c r="D4561" s="7">
        <v>46044</v>
      </c>
      <c r="E4561" s="8">
        <v>2</v>
      </c>
      <c r="F4561" s="6" t="str">
        <f t="shared" si="1185"/>
        <v>PURE R</v>
      </c>
      <c r="G4561" s="6" t="str">
        <f t="shared" si="1186"/>
        <v>R010000635000000</v>
      </c>
      <c r="H4561" s="6" t="str">
        <f t="shared" si="1187"/>
        <v>Alexis Cotoral Pure</v>
      </c>
      <c r="I4561" s="6" t="str">
        <f>"4387"</f>
        <v>4387</v>
      </c>
      <c r="J4561" s="6" t="str">
        <f>"VERDE 4387"</f>
        <v>VERDE 4387</v>
      </c>
      <c r="K4561" s="6" t="str">
        <f>"5004"</f>
        <v>5004</v>
      </c>
      <c r="L4561" s="6" t="str">
        <f t="shared" si="1188"/>
        <v>Roupões Adulto</v>
      </c>
      <c r="M4561" s="6" t="str">
        <f>"M"</f>
        <v>M</v>
      </c>
      <c r="N4561" s="6" t="str">
        <f>"5602972637878"</f>
        <v>5602972637878</v>
      </c>
      <c r="O4561" s="8">
        <v>48</v>
      </c>
      <c r="P4561" s="7">
        <v>45974</v>
      </c>
      <c r="R4561" s="8">
        <v>0</v>
      </c>
      <c r="S4561" s="7">
        <v>45979</v>
      </c>
      <c r="U4561" s="8">
        <v>0</v>
      </c>
      <c r="V4561" s="7">
        <v>45988</v>
      </c>
      <c r="X4561" s="8">
        <v>0</v>
      </c>
      <c r="Z4561" s="8">
        <v>0</v>
      </c>
      <c r="AA4561" s="7">
        <v>46002</v>
      </c>
      <c r="AC4561" s="8">
        <v>0</v>
      </c>
      <c r="AE4561" s="7">
        <v>46035</v>
      </c>
      <c r="AF4561" s="8">
        <v>0</v>
      </c>
      <c r="AH4561" s="7">
        <v>46044</v>
      </c>
      <c r="AI4561" s="7">
        <v>46031</v>
      </c>
      <c r="AN4561" s="8">
        <v>0</v>
      </c>
      <c r="AO4561" s="8">
        <v>48</v>
      </c>
    </row>
    <row r="4562" spans="1:41" x14ac:dyDescent="0.25">
      <c r="A4562" s="6" t="str">
        <f>"525-2025000568"</f>
        <v>525-2025000568</v>
      </c>
      <c r="B4562" s="6" t="str">
        <f t="shared" si="1182"/>
        <v>Lasa Int</v>
      </c>
      <c r="C4562" s="7">
        <v>45974</v>
      </c>
      <c r="D4562" s="7">
        <v>46044</v>
      </c>
      <c r="E4562" s="8">
        <v>3</v>
      </c>
      <c r="F4562" s="6" t="str">
        <f t="shared" si="1185"/>
        <v>PURE R</v>
      </c>
      <c r="G4562" s="6" t="str">
        <f t="shared" si="1186"/>
        <v>R010000635000000</v>
      </c>
      <c r="H4562" s="6" t="str">
        <f t="shared" si="1187"/>
        <v>Alexis Cotoral Pure</v>
      </c>
      <c r="I4562" s="6" t="str">
        <f>"4387"</f>
        <v>4387</v>
      </c>
      <c r="J4562" s="6" t="str">
        <f>"VERDE 4387"</f>
        <v>VERDE 4387</v>
      </c>
      <c r="K4562" s="6" t="str">
        <f>"5006"</f>
        <v>5006</v>
      </c>
      <c r="L4562" s="6" t="str">
        <f t="shared" si="1188"/>
        <v>Roupões Adulto</v>
      </c>
      <c r="M4562" s="6" t="str">
        <f>"L"</f>
        <v>L</v>
      </c>
      <c r="N4562" s="6" t="str">
        <f>"5602972637885"</f>
        <v>5602972637885</v>
      </c>
      <c r="O4562" s="8">
        <v>60</v>
      </c>
      <c r="P4562" s="7">
        <v>45974</v>
      </c>
      <c r="R4562" s="8">
        <v>0</v>
      </c>
      <c r="S4562" s="7">
        <v>45979</v>
      </c>
      <c r="U4562" s="8">
        <v>0</v>
      </c>
      <c r="V4562" s="7">
        <v>45988</v>
      </c>
      <c r="X4562" s="8">
        <v>0</v>
      </c>
      <c r="Z4562" s="8">
        <v>0</v>
      </c>
      <c r="AA4562" s="7">
        <v>46002</v>
      </c>
      <c r="AC4562" s="8">
        <v>0</v>
      </c>
      <c r="AE4562" s="7">
        <v>46035</v>
      </c>
      <c r="AF4562" s="8">
        <v>0</v>
      </c>
      <c r="AH4562" s="7">
        <v>46044</v>
      </c>
      <c r="AI4562" s="7">
        <v>46031</v>
      </c>
      <c r="AN4562" s="8">
        <v>0</v>
      </c>
      <c r="AO4562" s="8">
        <v>60</v>
      </c>
    </row>
    <row r="4563" spans="1:41" x14ac:dyDescent="0.25">
      <c r="A4563" s="6" t="str">
        <f>"525-2025000568"</f>
        <v>525-2025000568</v>
      </c>
      <c r="B4563" s="6" t="str">
        <f t="shared" si="1182"/>
        <v>Lasa Int</v>
      </c>
      <c r="C4563" s="7">
        <v>45974</v>
      </c>
      <c r="D4563" s="7">
        <v>46044</v>
      </c>
      <c r="E4563" s="8">
        <v>4</v>
      </c>
      <c r="F4563" s="6" t="str">
        <f t="shared" si="1185"/>
        <v>PURE R</v>
      </c>
      <c r="G4563" s="6" t="str">
        <f t="shared" si="1186"/>
        <v>R010000635000000</v>
      </c>
      <c r="H4563" s="6" t="str">
        <f t="shared" si="1187"/>
        <v>Alexis Cotoral Pure</v>
      </c>
      <c r="I4563" s="6" t="str">
        <f>"4387"</f>
        <v>4387</v>
      </c>
      <c r="J4563" s="6" t="str">
        <f>"VERDE 4387"</f>
        <v>VERDE 4387</v>
      </c>
      <c r="K4563" s="6" t="str">
        <f>"5008"</f>
        <v>5008</v>
      </c>
      <c r="L4563" s="6" t="str">
        <f t="shared" si="1188"/>
        <v>Roupões Adulto</v>
      </c>
      <c r="M4563" s="6" t="str">
        <f>"XL"</f>
        <v>XL</v>
      </c>
      <c r="N4563" s="6" t="str">
        <f>"5602972637892"</f>
        <v>5602972637892</v>
      </c>
      <c r="O4563" s="8">
        <v>16</v>
      </c>
      <c r="P4563" s="7">
        <v>45974</v>
      </c>
      <c r="R4563" s="8">
        <v>0</v>
      </c>
      <c r="S4563" s="7">
        <v>45979</v>
      </c>
      <c r="U4563" s="8">
        <v>0</v>
      </c>
      <c r="V4563" s="7">
        <v>45988</v>
      </c>
      <c r="X4563" s="8">
        <v>0</v>
      </c>
      <c r="Z4563" s="8">
        <v>0</v>
      </c>
      <c r="AA4563" s="7">
        <v>46002</v>
      </c>
      <c r="AC4563" s="8">
        <v>0</v>
      </c>
      <c r="AE4563" s="7">
        <v>46035</v>
      </c>
      <c r="AF4563" s="8">
        <v>0</v>
      </c>
      <c r="AH4563" s="7">
        <v>46044</v>
      </c>
      <c r="AI4563" s="7">
        <v>46031</v>
      </c>
      <c r="AN4563" s="8">
        <v>0</v>
      </c>
      <c r="AO4563" s="8">
        <v>16</v>
      </c>
    </row>
    <row r="4564" spans="1:41" x14ac:dyDescent="0.25">
      <c r="A4564" s="6" t="str">
        <f>"525-2025000569"</f>
        <v>525-2025000569</v>
      </c>
      <c r="B4564" s="6" t="str">
        <f t="shared" si="1182"/>
        <v>Lasa Int</v>
      </c>
      <c r="C4564" s="7">
        <v>45974</v>
      </c>
      <c r="D4564" s="7">
        <v>46044</v>
      </c>
      <c r="E4564" s="8">
        <v>1</v>
      </c>
      <c r="F4564" s="6" t="str">
        <f t="shared" si="1185"/>
        <v>PURE R</v>
      </c>
      <c r="G4564" s="6" t="str">
        <f t="shared" si="1186"/>
        <v>R010000635000000</v>
      </c>
      <c r="H4564" s="6" t="str">
        <f t="shared" si="1187"/>
        <v>Alexis Cotoral Pure</v>
      </c>
      <c r="I4564" s="6" t="str">
        <f>"3968"</f>
        <v>3968</v>
      </c>
      <c r="J4564" s="6" t="str">
        <f>"BORDEAUX 3968"</f>
        <v>BORDEAUX 3968</v>
      </c>
      <c r="K4564" s="6" t="str">
        <f>"5002"</f>
        <v>5002</v>
      </c>
      <c r="L4564" s="6" t="str">
        <f t="shared" si="1188"/>
        <v>Roupões Adulto</v>
      </c>
      <c r="M4564" s="6" t="str">
        <f>"S"</f>
        <v>S</v>
      </c>
      <c r="N4564" s="6" t="str">
        <f>"5602972769920"</f>
        <v>5602972769920</v>
      </c>
      <c r="O4564" s="8">
        <v>24</v>
      </c>
      <c r="P4564" s="7">
        <v>45974</v>
      </c>
      <c r="R4564" s="8">
        <v>6480</v>
      </c>
      <c r="S4564" s="7">
        <v>45979</v>
      </c>
      <c r="U4564" s="8">
        <v>675</v>
      </c>
      <c r="V4564" s="7">
        <v>45988</v>
      </c>
      <c r="X4564" s="8">
        <v>675</v>
      </c>
      <c r="Z4564" s="8">
        <v>0</v>
      </c>
      <c r="AA4564" s="7">
        <v>46002</v>
      </c>
      <c r="AC4564" s="8">
        <v>0</v>
      </c>
      <c r="AE4564" s="7">
        <v>46035</v>
      </c>
      <c r="AF4564" s="8">
        <v>0</v>
      </c>
      <c r="AH4564" s="7">
        <v>46031</v>
      </c>
      <c r="AI4564" s="7">
        <v>46031</v>
      </c>
      <c r="AN4564" s="8">
        <v>0</v>
      </c>
      <c r="AO4564" s="8">
        <v>24</v>
      </c>
    </row>
    <row r="4565" spans="1:41" x14ac:dyDescent="0.25">
      <c r="A4565" s="6" t="str">
        <f>"525-2025000569"</f>
        <v>525-2025000569</v>
      </c>
      <c r="B4565" s="6" t="str">
        <f t="shared" si="1182"/>
        <v>Lasa Int</v>
      </c>
      <c r="C4565" s="7">
        <v>45974</v>
      </c>
      <c r="D4565" s="7">
        <v>46044</v>
      </c>
      <c r="E4565" s="8">
        <v>2</v>
      </c>
      <c r="F4565" s="6" t="str">
        <f t="shared" si="1185"/>
        <v>PURE R</v>
      </c>
      <c r="G4565" s="6" t="str">
        <f t="shared" si="1186"/>
        <v>R010000635000000</v>
      </c>
      <c r="H4565" s="6" t="str">
        <f t="shared" si="1187"/>
        <v>Alexis Cotoral Pure</v>
      </c>
      <c r="I4565" s="6" t="str">
        <f>"3968"</f>
        <v>3968</v>
      </c>
      <c r="J4565" s="6" t="str">
        <f>"BORDEAUX 3968"</f>
        <v>BORDEAUX 3968</v>
      </c>
      <c r="K4565" s="6" t="str">
        <f>"5004"</f>
        <v>5004</v>
      </c>
      <c r="L4565" s="6" t="str">
        <f t="shared" si="1188"/>
        <v>Roupões Adulto</v>
      </c>
      <c r="M4565" s="6" t="str">
        <f>"M"</f>
        <v>M</v>
      </c>
      <c r="N4565" s="6" t="str">
        <f>"5602972769937"</f>
        <v>5602972769937</v>
      </c>
      <c r="O4565" s="8">
        <v>60</v>
      </c>
      <c r="P4565" s="7">
        <v>45974</v>
      </c>
      <c r="R4565" s="8">
        <v>0</v>
      </c>
      <c r="S4565" s="7">
        <v>45979</v>
      </c>
      <c r="U4565" s="8">
        <v>0</v>
      </c>
      <c r="V4565" s="7">
        <v>45988</v>
      </c>
      <c r="X4565" s="8">
        <v>0</v>
      </c>
      <c r="Z4565" s="8">
        <v>0</v>
      </c>
      <c r="AA4565" s="7">
        <v>46002</v>
      </c>
      <c r="AC4565" s="8">
        <v>0</v>
      </c>
      <c r="AE4565" s="7">
        <v>46035</v>
      </c>
      <c r="AF4565" s="8">
        <v>0</v>
      </c>
      <c r="AH4565" s="7">
        <v>46031</v>
      </c>
      <c r="AI4565" s="7">
        <v>46031</v>
      </c>
      <c r="AN4565" s="8">
        <v>0</v>
      </c>
      <c r="AO4565" s="8">
        <v>60</v>
      </c>
    </row>
    <row r="4566" spans="1:41" x14ac:dyDescent="0.25">
      <c r="A4566" s="6" t="str">
        <f>"525-2025000569"</f>
        <v>525-2025000569</v>
      </c>
      <c r="B4566" s="6" t="str">
        <f t="shared" si="1182"/>
        <v>Lasa Int</v>
      </c>
      <c r="C4566" s="7">
        <v>45974</v>
      </c>
      <c r="D4566" s="7">
        <v>46044</v>
      </c>
      <c r="E4566" s="8">
        <v>3</v>
      </c>
      <c r="F4566" s="6" t="str">
        <f t="shared" si="1185"/>
        <v>PURE R</v>
      </c>
      <c r="G4566" s="6" t="str">
        <f t="shared" si="1186"/>
        <v>R010000635000000</v>
      </c>
      <c r="H4566" s="6" t="str">
        <f t="shared" si="1187"/>
        <v>Alexis Cotoral Pure</v>
      </c>
      <c r="I4566" s="6" t="str">
        <f>"3968"</f>
        <v>3968</v>
      </c>
      <c r="J4566" s="6" t="str">
        <f>"BORDEAUX 3968"</f>
        <v>BORDEAUX 3968</v>
      </c>
      <c r="K4566" s="6" t="str">
        <f>"5006"</f>
        <v>5006</v>
      </c>
      <c r="L4566" s="6" t="str">
        <f t="shared" si="1188"/>
        <v>Roupões Adulto</v>
      </c>
      <c r="M4566" s="6" t="str">
        <f>"L"</f>
        <v>L</v>
      </c>
      <c r="N4566" s="6" t="str">
        <f>"5602972769944"</f>
        <v>5602972769944</v>
      </c>
      <c r="O4566" s="8">
        <v>72</v>
      </c>
      <c r="P4566" s="7">
        <v>45974</v>
      </c>
      <c r="R4566" s="8">
        <v>0</v>
      </c>
      <c r="S4566" s="7">
        <v>45979</v>
      </c>
      <c r="U4566" s="8">
        <v>0</v>
      </c>
      <c r="V4566" s="7">
        <v>45988</v>
      </c>
      <c r="X4566" s="8">
        <v>0</v>
      </c>
      <c r="Z4566" s="8">
        <v>0</v>
      </c>
      <c r="AA4566" s="7">
        <v>46002</v>
      </c>
      <c r="AC4566" s="8">
        <v>0</v>
      </c>
      <c r="AE4566" s="7">
        <v>46035</v>
      </c>
      <c r="AF4566" s="8">
        <v>0</v>
      </c>
      <c r="AH4566" s="7">
        <v>46031</v>
      </c>
      <c r="AI4566" s="7">
        <v>46031</v>
      </c>
      <c r="AN4566" s="8">
        <v>0</v>
      </c>
      <c r="AO4566" s="8">
        <v>72</v>
      </c>
    </row>
    <row r="4567" spans="1:41" x14ac:dyDescent="0.25">
      <c r="A4567" s="6" t="str">
        <f>"525-2025000569"</f>
        <v>525-2025000569</v>
      </c>
      <c r="B4567" s="6" t="str">
        <f t="shared" si="1182"/>
        <v>Lasa Int</v>
      </c>
      <c r="C4567" s="7">
        <v>45974</v>
      </c>
      <c r="D4567" s="7">
        <v>46044</v>
      </c>
      <c r="E4567" s="8">
        <v>4</v>
      </c>
      <c r="F4567" s="6" t="str">
        <f t="shared" si="1185"/>
        <v>PURE R</v>
      </c>
      <c r="G4567" s="6" t="str">
        <f t="shared" si="1186"/>
        <v>R010000635000000</v>
      </c>
      <c r="H4567" s="6" t="str">
        <f t="shared" si="1187"/>
        <v>Alexis Cotoral Pure</v>
      </c>
      <c r="I4567" s="6" t="str">
        <f>"3968"</f>
        <v>3968</v>
      </c>
      <c r="J4567" s="6" t="str">
        <f>"BORDEAUX 3968"</f>
        <v>BORDEAUX 3968</v>
      </c>
      <c r="K4567" s="6" t="str">
        <f>"5008"</f>
        <v>5008</v>
      </c>
      <c r="L4567" s="6" t="str">
        <f t="shared" si="1188"/>
        <v>Roupões Adulto</v>
      </c>
      <c r="M4567" s="6" t="str">
        <f>"XL"</f>
        <v>XL</v>
      </c>
      <c r="N4567" s="6" t="str">
        <f>"5602972769951"</f>
        <v>5602972769951</v>
      </c>
      <c r="O4567" s="8">
        <v>60</v>
      </c>
      <c r="P4567" s="7">
        <v>45974</v>
      </c>
      <c r="R4567" s="8">
        <v>0</v>
      </c>
      <c r="S4567" s="7">
        <v>45979</v>
      </c>
      <c r="U4567" s="8">
        <v>0</v>
      </c>
      <c r="V4567" s="7">
        <v>45988</v>
      </c>
      <c r="X4567" s="8">
        <v>0</v>
      </c>
      <c r="Z4567" s="8">
        <v>0</v>
      </c>
      <c r="AA4567" s="7">
        <v>46002</v>
      </c>
      <c r="AC4567" s="8">
        <v>0</v>
      </c>
      <c r="AE4567" s="7">
        <v>46035</v>
      </c>
      <c r="AF4567" s="8">
        <v>0</v>
      </c>
      <c r="AH4567" s="7">
        <v>46031</v>
      </c>
      <c r="AI4567" s="7">
        <v>46031</v>
      </c>
      <c r="AN4567" s="8">
        <v>0</v>
      </c>
      <c r="AO4567" s="8">
        <v>60</v>
      </c>
    </row>
    <row r="4568" spans="1:41" x14ac:dyDescent="0.25">
      <c r="A4568" s="6" t="str">
        <f>"525-2025000569"</f>
        <v>525-2025000569</v>
      </c>
      <c r="B4568" s="6" t="str">
        <f t="shared" si="1182"/>
        <v>Lasa Int</v>
      </c>
      <c r="C4568" s="7">
        <v>45974</v>
      </c>
      <c r="D4568" s="7">
        <v>46044</v>
      </c>
      <c r="E4568" s="8">
        <v>5</v>
      </c>
      <c r="F4568" s="6" t="str">
        <f t="shared" si="1185"/>
        <v>PURE R</v>
      </c>
      <c r="G4568" s="6" t="str">
        <f t="shared" si="1186"/>
        <v>R010000635000000</v>
      </c>
      <c r="H4568" s="6" t="str">
        <f t="shared" si="1187"/>
        <v>Alexis Cotoral Pure</v>
      </c>
      <c r="I4568" s="6" t="str">
        <f>"3968"</f>
        <v>3968</v>
      </c>
      <c r="J4568" s="6" t="str">
        <f>"BORDEAUX 3968"</f>
        <v>BORDEAUX 3968</v>
      </c>
      <c r="K4568" s="6" t="str">
        <f>"5010"</f>
        <v>5010</v>
      </c>
      <c r="L4568" s="6" t="str">
        <f t="shared" si="1188"/>
        <v>Roupões Adulto</v>
      </c>
      <c r="M4568" s="6" t="str">
        <f>"XXL"</f>
        <v>XXL</v>
      </c>
      <c r="N4568" s="6" t="str">
        <f>"5602972770049"</f>
        <v>5602972770049</v>
      </c>
      <c r="O4568" s="8">
        <v>24</v>
      </c>
      <c r="P4568" s="7">
        <v>45974</v>
      </c>
      <c r="R4568" s="8">
        <v>0</v>
      </c>
      <c r="S4568" s="7">
        <v>45979</v>
      </c>
      <c r="U4568" s="8">
        <v>0</v>
      </c>
      <c r="V4568" s="7">
        <v>45988</v>
      </c>
      <c r="X4568" s="8">
        <v>0</v>
      </c>
      <c r="Z4568" s="8">
        <v>0</v>
      </c>
      <c r="AA4568" s="7">
        <v>46002</v>
      </c>
      <c r="AC4568" s="8">
        <v>0</v>
      </c>
      <c r="AE4568" s="7">
        <v>46035</v>
      </c>
      <c r="AF4568" s="8">
        <v>0</v>
      </c>
      <c r="AH4568" s="7">
        <v>46031</v>
      </c>
      <c r="AI4568" s="7">
        <v>46031</v>
      </c>
      <c r="AN4568" s="8">
        <v>0</v>
      </c>
      <c r="AO4568" s="8">
        <v>24</v>
      </c>
    </row>
    <row r="4569" spans="1:41" x14ac:dyDescent="0.25">
      <c r="A4569" s="6" t="str">
        <f t="shared" ref="A4569:A4580" si="1189">"525-2025000570"</f>
        <v>525-2025000570</v>
      </c>
      <c r="B4569" s="6" t="str">
        <f t="shared" si="1182"/>
        <v>Lasa Int</v>
      </c>
      <c r="C4569" s="7">
        <v>45978</v>
      </c>
      <c r="D4569" s="7">
        <v>46075</v>
      </c>
      <c r="E4569" s="8">
        <v>1</v>
      </c>
      <c r="F4569" s="6" t="str">
        <f t="shared" ref="F4569:F4580" si="1190">"Misto R"</f>
        <v>Misto R</v>
      </c>
      <c r="G4569" s="6" t="str">
        <f t="shared" ref="G4569:G4580" si="1191">"R330380138000000"</f>
        <v>R330380138000000</v>
      </c>
      <c r="H4569" s="6" t="str">
        <f t="shared" ref="H4569:H4580" si="1192">"R 3801 - PLA 3098 (m"</f>
        <v>R 3801 - PLA 3098 (m</v>
      </c>
      <c r="I4569" s="6" t="str">
        <f>"200549"</f>
        <v>200549</v>
      </c>
      <c r="J4569" s="6" t="str">
        <f>"CASTANHO 549"</f>
        <v>CASTANHO 549</v>
      </c>
      <c r="K4569" s="6" t="str">
        <f>"5002"</f>
        <v>5002</v>
      </c>
      <c r="L4569" s="6" t="str">
        <f t="shared" si="1188"/>
        <v>Roupões Adulto</v>
      </c>
      <c r="M4569" s="6" t="str">
        <f>"S"</f>
        <v>S</v>
      </c>
      <c r="N4569" s="6" t="str">
        <f>"5602972519617"</f>
        <v>5602972519617</v>
      </c>
      <c r="O4569" s="8">
        <v>24</v>
      </c>
      <c r="P4569" s="7">
        <v>45987</v>
      </c>
      <c r="R4569" s="8">
        <v>0</v>
      </c>
      <c r="S4569" s="7">
        <v>45993</v>
      </c>
      <c r="U4569" s="8">
        <v>223</v>
      </c>
      <c r="V4569" s="7">
        <v>46001</v>
      </c>
      <c r="X4569" s="8">
        <v>223</v>
      </c>
      <c r="Z4569" s="8">
        <v>0</v>
      </c>
      <c r="AA4569" s="7">
        <v>46015</v>
      </c>
      <c r="AC4569" s="8">
        <v>0</v>
      </c>
      <c r="AE4569" s="7">
        <v>46031</v>
      </c>
      <c r="AF4569" s="8">
        <v>0</v>
      </c>
      <c r="AH4569" s="7">
        <v>46038</v>
      </c>
      <c r="AI4569" s="7">
        <v>46028</v>
      </c>
      <c r="AN4569" s="8">
        <v>0</v>
      </c>
      <c r="AO4569" s="8">
        <v>24</v>
      </c>
    </row>
    <row r="4570" spans="1:41" x14ac:dyDescent="0.25">
      <c r="A4570" s="6" t="str">
        <f t="shared" si="1189"/>
        <v>525-2025000570</v>
      </c>
      <c r="B4570" s="6" t="str">
        <f t="shared" si="1182"/>
        <v>Lasa Int</v>
      </c>
      <c r="C4570" s="7">
        <v>45978</v>
      </c>
      <c r="D4570" s="7">
        <v>46075</v>
      </c>
      <c r="E4570" s="8">
        <v>2</v>
      </c>
      <c r="F4570" s="6" t="str">
        <f t="shared" si="1190"/>
        <v>Misto R</v>
      </c>
      <c r="G4570" s="6" t="str">
        <f t="shared" si="1191"/>
        <v>R330380138000000</v>
      </c>
      <c r="H4570" s="6" t="str">
        <f t="shared" si="1192"/>
        <v>R 3801 - PLA 3098 (m</v>
      </c>
      <c r="I4570" s="6" t="str">
        <f>"200549"</f>
        <v>200549</v>
      </c>
      <c r="J4570" s="6" t="str">
        <f>"CASTANHO 549"</f>
        <v>CASTANHO 549</v>
      </c>
      <c r="K4570" s="6" t="str">
        <f>"5004"</f>
        <v>5004</v>
      </c>
      <c r="L4570" s="6" t="str">
        <f t="shared" si="1188"/>
        <v>Roupões Adulto</v>
      </c>
      <c r="M4570" s="6" t="str">
        <f>"M"</f>
        <v>M</v>
      </c>
      <c r="N4570" s="6" t="str">
        <f>"5602972519624"</f>
        <v>5602972519624</v>
      </c>
      <c r="O4570" s="8">
        <v>36</v>
      </c>
      <c r="P4570" s="7">
        <v>45987</v>
      </c>
      <c r="R4570" s="8">
        <v>0</v>
      </c>
      <c r="S4570" s="7">
        <v>45993</v>
      </c>
      <c r="U4570" s="8">
        <v>0</v>
      </c>
      <c r="V4570" s="7">
        <v>46001</v>
      </c>
      <c r="X4570" s="8">
        <v>0</v>
      </c>
      <c r="Z4570" s="8">
        <v>0</v>
      </c>
      <c r="AA4570" s="7">
        <v>46015</v>
      </c>
      <c r="AC4570" s="8">
        <v>0</v>
      </c>
      <c r="AE4570" s="7">
        <v>46031</v>
      </c>
      <c r="AF4570" s="8">
        <v>0</v>
      </c>
      <c r="AH4570" s="7">
        <v>46038</v>
      </c>
      <c r="AI4570" s="7">
        <v>46028</v>
      </c>
      <c r="AN4570" s="8">
        <v>0</v>
      </c>
      <c r="AO4570" s="8">
        <v>36</v>
      </c>
    </row>
    <row r="4571" spans="1:41" x14ac:dyDescent="0.25">
      <c r="A4571" s="6" t="str">
        <f t="shared" si="1189"/>
        <v>525-2025000570</v>
      </c>
      <c r="B4571" s="6" t="str">
        <f t="shared" si="1182"/>
        <v>Lasa Int</v>
      </c>
      <c r="C4571" s="7">
        <v>45978</v>
      </c>
      <c r="D4571" s="7">
        <v>46075</v>
      </c>
      <c r="E4571" s="8">
        <v>3</v>
      </c>
      <c r="F4571" s="6" t="str">
        <f t="shared" si="1190"/>
        <v>Misto R</v>
      </c>
      <c r="G4571" s="6" t="str">
        <f t="shared" si="1191"/>
        <v>R330380138000000</v>
      </c>
      <c r="H4571" s="6" t="str">
        <f t="shared" si="1192"/>
        <v>R 3801 - PLA 3098 (m</v>
      </c>
      <c r="I4571" s="6" t="str">
        <f>"200549"</f>
        <v>200549</v>
      </c>
      <c r="J4571" s="6" t="str">
        <f>"CASTANHO 549"</f>
        <v>CASTANHO 549</v>
      </c>
      <c r="K4571" s="6" t="str">
        <f>"5006"</f>
        <v>5006</v>
      </c>
      <c r="L4571" s="6" t="str">
        <f t="shared" si="1188"/>
        <v>Roupões Adulto</v>
      </c>
      <c r="M4571" s="6" t="str">
        <f>"L"</f>
        <v>L</v>
      </c>
      <c r="N4571" s="6" t="str">
        <f>"5602972519631"</f>
        <v>5602972519631</v>
      </c>
      <c r="O4571" s="8">
        <v>36</v>
      </c>
      <c r="P4571" s="7">
        <v>45987</v>
      </c>
      <c r="R4571" s="8">
        <v>0</v>
      </c>
      <c r="S4571" s="7">
        <v>45993</v>
      </c>
      <c r="U4571" s="8">
        <v>0</v>
      </c>
      <c r="V4571" s="7">
        <v>46001</v>
      </c>
      <c r="X4571" s="8">
        <v>0</v>
      </c>
      <c r="Z4571" s="8">
        <v>0</v>
      </c>
      <c r="AA4571" s="7">
        <v>46015</v>
      </c>
      <c r="AC4571" s="8">
        <v>0</v>
      </c>
      <c r="AE4571" s="7">
        <v>46031</v>
      </c>
      <c r="AF4571" s="8">
        <v>0</v>
      </c>
      <c r="AH4571" s="7">
        <v>46038</v>
      </c>
      <c r="AI4571" s="7">
        <v>46028</v>
      </c>
      <c r="AN4571" s="8">
        <v>0</v>
      </c>
      <c r="AO4571" s="8">
        <v>36</v>
      </c>
    </row>
    <row r="4572" spans="1:41" x14ac:dyDescent="0.25">
      <c r="A4572" s="6" t="str">
        <f t="shared" si="1189"/>
        <v>525-2025000570</v>
      </c>
      <c r="B4572" s="6" t="str">
        <f t="shared" si="1182"/>
        <v>Lasa Int</v>
      </c>
      <c r="C4572" s="7">
        <v>45978</v>
      </c>
      <c r="D4572" s="7">
        <v>46075</v>
      </c>
      <c r="E4572" s="8">
        <v>4</v>
      </c>
      <c r="F4572" s="6" t="str">
        <f t="shared" si="1190"/>
        <v>Misto R</v>
      </c>
      <c r="G4572" s="6" t="str">
        <f t="shared" si="1191"/>
        <v>R330380138000000</v>
      </c>
      <c r="H4572" s="6" t="str">
        <f t="shared" si="1192"/>
        <v>R 3801 - PLA 3098 (m</v>
      </c>
      <c r="I4572" s="6" t="str">
        <f>"200549"</f>
        <v>200549</v>
      </c>
      <c r="J4572" s="6" t="str">
        <f>"CASTANHO 549"</f>
        <v>CASTANHO 549</v>
      </c>
      <c r="K4572" s="6" t="str">
        <f>"5008"</f>
        <v>5008</v>
      </c>
      <c r="L4572" s="6" t="str">
        <f t="shared" si="1188"/>
        <v>Roupões Adulto</v>
      </c>
      <c r="M4572" s="6" t="str">
        <f>"XL"</f>
        <v>XL</v>
      </c>
      <c r="N4572" s="6" t="str">
        <f>"5602972519648"</f>
        <v>5602972519648</v>
      </c>
      <c r="O4572" s="8">
        <v>36</v>
      </c>
      <c r="P4572" s="7">
        <v>45987</v>
      </c>
      <c r="R4572" s="8">
        <v>0</v>
      </c>
      <c r="S4572" s="7">
        <v>45993</v>
      </c>
      <c r="U4572" s="8">
        <v>0</v>
      </c>
      <c r="V4572" s="7">
        <v>46001</v>
      </c>
      <c r="X4572" s="8">
        <v>0</v>
      </c>
      <c r="Z4572" s="8">
        <v>0</v>
      </c>
      <c r="AA4572" s="7">
        <v>46015</v>
      </c>
      <c r="AC4572" s="8">
        <v>0</v>
      </c>
      <c r="AE4572" s="7">
        <v>46031</v>
      </c>
      <c r="AF4572" s="8">
        <v>0</v>
      </c>
      <c r="AH4572" s="7">
        <v>46038</v>
      </c>
      <c r="AI4572" s="7">
        <v>46028</v>
      </c>
      <c r="AN4572" s="8">
        <v>0</v>
      </c>
      <c r="AO4572" s="8">
        <v>36</v>
      </c>
    </row>
    <row r="4573" spans="1:41" x14ac:dyDescent="0.25">
      <c r="A4573" s="6" t="str">
        <f t="shared" si="1189"/>
        <v>525-2025000570</v>
      </c>
      <c r="B4573" s="6" t="str">
        <f t="shared" si="1182"/>
        <v>Lasa Int</v>
      </c>
      <c r="C4573" s="7">
        <v>45978</v>
      </c>
      <c r="D4573" s="7">
        <v>46075</v>
      </c>
      <c r="E4573" s="8">
        <v>5</v>
      </c>
      <c r="F4573" s="6" t="str">
        <f t="shared" si="1190"/>
        <v>Misto R</v>
      </c>
      <c r="G4573" s="6" t="str">
        <f t="shared" si="1191"/>
        <v>R330380138000000</v>
      </c>
      <c r="H4573" s="6" t="str">
        <f t="shared" si="1192"/>
        <v>R 3801 - PLA 3098 (m</v>
      </c>
      <c r="I4573" s="6" t="str">
        <f>"200922"</f>
        <v>200922</v>
      </c>
      <c r="J4573" s="6" t="str">
        <f>"AZUL 922"</f>
        <v>AZUL 922</v>
      </c>
      <c r="K4573" s="6" t="str">
        <f>"5002"</f>
        <v>5002</v>
      </c>
      <c r="L4573" s="6" t="str">
        <f t="shared" si="1188"/>
        <v>Roupões Adulto</v>
      </c>
      <c r="M4573" s="6" t="str">
        <f>"S"</f>
        <v>S</v>
      </c>
      <c r="N4573" s="6" t="str">
        <f>"5602972519655"</f>
        <v>5602972519655</v>
      </c>
      <c r="O4573" s="8">
        <v>12</v>
      </c>
      <c r="P4573" s="7">
        <v>45987</v>
      </c>
      <c r="R4573" s="8">
        <v>0</v>
      </c>
      <c r="S4573" s="7">
        <v>45993</v>
      </c>
      <c r="U4573" s="8">
        <v>471</v>
      </c>
      <c r="V4573" s="7">
        <v>46001</v>
      </c>
      <c r="X4573" s="8">
        <v>0</v>
      </c>
      <c r="Z4573" s="8">
        <v>0</v>
      </c>
      <c r="AA4573" s="7">
        <v>46015</v>
      </c>
      <c r="AC4573" s="8">
        <v>0</v>
      </c>
      <c r="AE4573" s="7">
        <v>46031</v>
      </c>
      <c r="AF4573" s="8">
        <v>0</v>
      </c>
      <c r="AH4573" s="7">
        <v>46038</v>
      </c>
      <c r="AI4573" s="7">
        <v>46028</v>
      </c>
      <c r="AN4573" s="8">
        <v>0</v>
      </c>
      <c r="AO4573" s="8">
        <v>12</v>
      </c>
    </row>
    <row r="4574" spans="1:41" x14ac:dyDescent="0.25">
      <c r="A4574" s="6" t="str">
        <f t="shared" si="1189"/>
        <v>525-2025000570</v>
      </c>
      <c r="B4574" s="6" t="str">
        <f t="shared" si="1182"/>
        <v>Lasa Int</v>
      </c>
      <c r="C4574" s="7">
        <v>45978</v>
      </c>
      <c r="D4574" s="7">
        <v>46075</v>
      </c>
      <c r="E4574" s="8">
        <v>6</v>
      </c>
      <c r="F4574" s="6" t="str">
        <f t="shared" si="1190"/>
        <v>Misto R</v>
      </c>
      <c r="G4574" s="6" t="str">
        <f t="shared" si="1191"/>
        <v>R330380138000000</v>
      </c>
      <c r="H4574" s="6" t="str">
        <f t="shared" si="1192"/>
        <v>R 3801 - PLA 3098 (m</v>
      </c>
      <c r="I4574" s="6" t="str">
        <f>"200922"</f>
        <v>200922</v>
      </c>
      <c r="J4574" s="6" t="str">
        <f>"AZUL 922"</f>
        <v>AZUL 922</v>
      </c>
      <c r="K4574" s="6" t="str">
        <f>"5004"</f>
        <v>5004</v>
      </c>
      <c r="L4574" s="6" t="str">
        <f t="shared" si="1188"/>
        <v>Roupões Adulto</v>
      </c>
      <c r="M4574" s="6" t="str">
        <f>"M"</f>
        <v>M</v>
      </c>
      <c r="N4574" s="6" t="str">
        <f>"5602972519662"</f>
        <v>5602972519662</v>
      </c>
      <c r="O4574" s="8">
        <v>24</v>
      </c>
      <c r="P4574" s="7">
        <v>45987</v>
      </c>
      <c r="R4574" s="8">
        <v>0</v>
      </c>
      <c r="S4574" s="7">
        <v>45993</v>
      </c>
      <c r="U4574" s="8">
        <v>0</v>
      </c>
      <c r="V4574" s="7">
        <v>46001</v>
      </c>
      <c r="X4574" s="8">
        <v>0</v>
      </c>
      <c r="Z4574" s="8">
        <v>0</v>
      </c>
      <c r="AA4574" s="7">
        <v>46015</v>
      </c>
      <c r="AC4574" s="8">
        <v>0</v>
      </c>
      <c r="AE4574" s="7">
        <v>46031</v>
      </c>
      <c r="AF4574" s="8">
        <v>0</v>
      </c>
      <c r="AH4574" s="7">
        <v>46038</v>
      </c>
      <c r="AI4574" s="7">
        <v>46028</v>
      </c>
      <c r="AN4574" s="8">
        <v>0</v>
      </c>
      <c r="AO4574" s="8">
        <v>24</v>
      </c>
    </row>
    <row r="4575" spans="1:41" x14ac:dyDescent="0.25">
      <c r="A4575" s="6" t="str">
        <f t="shared" si="1189"/>
        <v>525-2025000570</v>
      </c>
      <c r="B4575" s="6" t="str">
        <f t="shared" si="1182"/>
        <v>Lasa Int</v>
      </c>
      <c r="C4575" s="7">
        <v>45978</v>
      </c>
      <c r="D4575" s="7">
        <v>46075</v>
      </c>
      <c r="E4575" s="8">
        <v>7</v>
      </c>
      <c r="F4575" s="6" t="str">
        <f t="shared" si="1190"/>
        <v>Misto R</v>
      </c>
      <c r="G4575" s="6" t="str">
        <f t="shared" si="1191"/>
        <v>R330380138000000</v>
      </c>
      <c r="H4575" s="6" t="str">
        <f t="shared" si="1192"/>
        <v>R 3801 - PLA 3098 (m</v>
      </c>
      <c r="I4575" s="6" t="str">
        <f>"200922"</f>
        <v>200922</v>
      </c>
      <c r="J4575" s="6" t="str">
        <f>"AZUL 922"</f>
        <v>AZUL 922</v>
      </c>
      <c r="K4575" s="6" t="str">
        <f>"5006"</f>
        <v>5006</v>
      </c>
      <c r="L4575" s="6" t="str">
        <f t="shared" si="1188"/>
        <v>Roupões Adulto</v>
      </c>
      <c r="M4575" s="6" t="str">
        <f>"L"</f>
        <v>L</v>
      </c>
      <c r="N4575" s="6" t="str">
        <f>"5602972519679"</f>
        <v>5602972519679</v>
      </c>
      <c r="O4575" s="8">
        <v>48</v>
      </c>
      <c r="P4575" s="7">
        <v>45987</v>
      </c>
      <c r="R4575" s="8">
        <v>0</v>
      </c>
      <c r="S4575" s="7">
        <v>45993</v>
      </c>
      <c r="U4575" s="8">
        <v>0</v>
      </c>
      <c r="V4575" s="7">
        <v>46001</v>
      </c>
      <c r="X4575" s="8">
        <v>0</v>
      </c>
      <c r="Z4575" s="8">
        <v>0</v>
      </c>
      <c r="AA4575" s="7">
        <v>46015</v>
      </c>
      <c r="AC4575" s="8">
        <v>0</v>
      </c>
      <c r="AE4575" s="7">
        <v>46031</v>
      </c>
      <c r="AF4575" s="8">
        <v>0</v>
      </c>
      <c r="AH4575" s="7">
        <v>46038</v>
      </c>
      <c r="AI4575" s="7">
        <v>46028</v>
      </c>
      <c r="AN4575" s="8">
        <v>0</v>
      </c>
      <c r="AO4575" s="8">
        <v>48</v>
      </c>
    </row>
    <row r="4576" spans="1:41" x14ac:dyDescent="0.25">
      <c r="A4576" s="6" t="str">
        <f t="shared" si="1189"/>
        <v>525-2025000570</v>
      </c>
      <c r="B4576" s="6" t="str">
        <f t="shared" si="1182"/>
        <v>Lasa Int</v>
      </c>
      <c r="C4576" s="7">
        <v>45978</v>
      </c>
      <c r="D4576" s="7">
        <v>46075</v>
      </c>
      <c r="E4576" s="8">
        <v>8</v>
      </c>
      <c r="F4576" s="6" t="str">
        <f t="shared" si="1190"/>
        <v>Misto R</v>
      </c>
      <c r="G4576" s="6" t="str">
        <f t="shared" si="1191"/>
        <v>R330380138000000</v>
      </c>
      <c r="H4576" s="6" t="str">
        <f t="shared" si="1192"/>
        <v>R 3801 - PLA 3098 (m</v>
      </c>
      <c r="I4576" s="6" t="str">
        <f>"200922"</f>
        <v>200922</v>
      </c>
      <c r="J4576" s="6" t="str">
        <f>"AZUL 922"</f>
        <v>AZUL 922</v>
      </c>
      <c r="K4576" s="6" t="str">
        <f>"5008"</f>
        <v>5008</v>
      </c>
      <c r="L4576" s="6" t="str">
        <f t="shared" si="1188"/>
        <v>Roupões Adulto</v>
      </c>
      <c r="M4576" s="6" t="str">
        <f>"XL"</f>
        <v>XL</v>
      </c>
      <c r="N4576" s="6" t="str">
        <f>"5602972519686"</f>
        <v>5602972519686</v>
      </c>
      <c r="O4576" s="8">
        <v>72</v>
      </c>
      <c r="P4576" s="7">
        <v>45987</v>
      </c>
      <c r="R4576" s="8">
        <v>0</v>
      </c>
      <c r="S4576" s="7">
        <v>45993</v>
      </c>
      <c r="U4576" s="8">
        <v>0</v>
      </c>
      <c r="V4576" s="7">
        <v>46001</v>
      </c>
      <c r="X4576" s="8">
        <v>0</v>
      </c>
      <c r="Z4576" s="8">
        <v>0</v>
      </c>
      <c r="AA4576" s="7">
        <v>46015</v>
      </c>
      <c r="AC4576" s="8">
        <v>0</v>
      </c>
      <c r="AE4576" s="7">
        <v>46031</v>
      </c>
      <c r="AF4576" s="8">
        <v>0</v>
      </c>
      <c r="AH4576" s="7">
        <v>46038</v>
      </c>
      <c r="AI4576" s="7">
        <v>46028</v>
      </c>
      <c r="AN4576" s="8">
        <v>0</v>
      </c>
      <c r="AO4576" s="8">
        <v>72</v>
      </c>
    </row>
    <row r="4577" spans="1:41" x14ac:dyDescent="0.25">
      <c r="A4577" s="6" t="str">
        <f t="shared" si="1189"/>
        <v>525-2025000570</v>
      </c>
      <c r="B4577" s="6" t="str">
        <f t="shared" si="1182"/>
        <v>Lasa Int</v>
      </c>
      <c r="C4577" s="7">
        <v>45978</v>
      </c>
      <c r="D4577" s="7">
        <v>46075</v>
      </c>
      <c r="E4577" s="8">
        <v>9</v>
      </c>
      <c r="F4577" s="6" t="str">
        <f t="shared" si="1190"/>
        <v>Misto R</v>
      </c>
      <c r="G4577" s="6" t="str">
        <f t="shared" si="1191"/>
        <v>R330380138000000</v>
      </c>
      <c r="H4577" s="6" t="str">
        <f t="shared" si="1192"/>
        <v>R 3801 - PLA 3098 (m</v>
      </c>
      <c r="I4577" s="6" t="str">
        <f>"203687"</f>
        <v>203687</v>
      </c>
      <c r="J4577" s="6" t="str">
        <f>"CINZA 3687"</f>
        <v>CINZA 3687</v>
      </c>
      <c r="K4577" s="6" t="str">
        <f>"5002"</f>
        <v>5002</v>
      </c>
      <c r="L4577" s="6" t="str">
        <f t="shared" si="1188"/>
        <v>Roupões Adulto</v>
      </c>
      <c r="M4577" s="6" t="str">
        <f>"S"</f>
        <v>S</v>
      </c>
      <c r="N4577" s="6" t="str">
        <f>"5602972519693"</f>
        <v>5602972519693</v>
      </c>
      <c r="O4577" s="8">
        <v>12</v>
      </c>
      <c r="P4577" s="7">
        <v>45987</v>
      </c>
      <c r="R4577" s="8">
        <v>0</v>
      </c>
      <c r="S4577" s="7">
        <v>45993</v>
      </c>
      <c r="U4577" s="8">
        <v>224</v>
      </c>
      <c r="V4577" s="7">
        <v>46001</v>
      </c>
      <c r="X4577" s="8">
        <v>0</v>
      </c>
      <c r="Z4577" s="8">
        <v>0</v>
      </c>
      <c r="AA4577" s="7">
        <v>46015</v>
      </c>
      <c r="AC4577" s="8">
        <v>0</v>
      </c>
      <c r="AE4577" s="7">
        <v>46031</v>
      </c>
      <c r="AF4577" s="8">
        <v>0</v>
      </c>
      <c r="AH4577" s="7">
        <v>46038</v>
      </c>
      <c r="AI4577" s="7">
        <v>46028</v>
      </c>
      <c r="AN4577" s="8">
        <v>0</v>
      </c>
      <c r="AO4577" s="8">
        <v>12</v>
      </c>
    </row>
    <row r="4578" spans="1:41" x14ac:dyDescent="0.25">
      <c r="A4578" s="6" t="str">
        <f t="shared" si="1189"/>
        <v>525-2025000570</v>
      </c>
      <c r="B4578" s="6" t="str">
        <f t="shared" si="1182"/>
        <v>Lasa Int</v>
      </c>
      <c r="C4578" s="7">
        <v>45978</v>
      </c>
      <c r="D4578" s="7">
        <v>46075</v>
      </c>
      <c r="E4578" s="8">
        <v>10</v>
      </c>
      <c r="F4578" s="6" t="str">
        <f t="shared" si="1190"/>
        <v>Misto R</v>
      </c>
      <c r="G4578" s="6" t="str">
        <f t="shared" si="1191"/>
        <v>R330380138000000</v>
      </c>
      <c r="H4578" s="6" t="str">
        <f t="shared" si="1192"/>
        <v>R 3801 - PLA 3098 (m</v>
      </c>
      <c r="I4578" s="6" t="str">
        <f>"203687"</f>
        <v>203687</v>
      </c>
      <c r="J4578" s="6" t="str">
        <f>"CINZA 3687"</f>
        <v>CINZA 3687</v>
      </c>
      <c r="K4578" s="6" t="str">
        <f>"5004"</f>
        <v>5004</v>
      </c>
      <c r="L4578" s="6" t="str">
        <f t="shared" si="1188"/>
        <v>Roupões Adulto</v>
      </c>
      <c r="M4578" s="6" t="str">
        <f>"M"</f>
        <v>M</v>
      </c>
      <c r="N4578" s="6" t="str">
        <f>"5602972519709"</f>
        <v>5602972519709</v>
      </c>
      <c r="O4578" s="8">
        <v>24</v>
      </c>
      <c r="P4578" s="7">
        <v>45987</v>
      </c>
      <c r="R4578" s="8">
        <v>0</v>
      </c>
      <c r="S4578" s="7">
        <v>45993</v>
      </c>
      <c r="U4578" s="8">
        <v>0</v>
      </c>
      <c r="V4578" s="7">
        <v>46001</v>
      </c>
      <c r="X4578" s="8">
        <v>0</v>
      </c>
      <c r="Z4578" s="8">
        <v>0</v>
      </c>
      <c r="AA4578" s="7">
        <v>46015</v>
      </c>
      <c r="AC4578" s="8">
        <v>0</v>
      </c>
      <c r="AE4578" s="7">
        <v>46031</v>
      </c>
      <c r="AF4578" s="8">
        <v>0</v>
      </c>
      <c r="AH4578" s="7">
        <v>46038</v>
      </c>
      <c r="AI4578" s="7">
        <v>46028</v>
      </c>
      <c r="AN4578" s="8">
        <v>0</v>
      </c>
      <c r="AO4578" s="8">
        <v>24</v>
      </c>
    </row>
    <row r="4579" spans="1:41" x14ac:dyDescent="0.25">
      <c r="A4579" s="6" t="str">
        <f t="shared" si="1189"/>
        <v>525-2025000570</v>
      </c>
      <c r="B4579" s="6" t="str">
        <f t="shared" si="1182"/>
        <v>Lasa Int</v>
      </c>
      <c r="C4579" s="7">
        <v>45978</v>
      </c>
      <c r="D4579" s="7">
        <v>46075</v>
      </c>
      <c r="E4579" s="8">
        <v>11</v>
      </c>
      <c r="F4579" s="6" t="str">
        <f t="shared" si="1190"/>
        <v>Misto R</v>
      </c>
      <c r="G4579" s="6" t="str">
        <f t="shared" si="1191"/>
        <v>R330380138000000</v>
      </c>
      <c r="H4579" s="6" t="str">
        <f t="shared" si="1192"/>
        <v>R 3801 - PLA 3098 (m</v>
      </c>
      <c r="I4579" s="6" t="str">
        <f>"203687"</f>
        <v>203687</v>
      </c>
      <c r="J4579" s="6" t="str">
        <f>"CINZA 3687"</f>
        <v>CINZA 3687</v>
      </c>
      <c r="K4579" s="6" t="str">
        <f>"5006"</f>
        <v>5006</v>
      </c>
      <c r="L4579" s="6" t="str">
        <f t="shared" si="1188"/>
        <v>Roupões Adulto</v>
      </c>
      <c r="M4579" s="6" t="str">
        <f>"L"</f>
        <v>L</v>
      </c>
      <c r="N4579" s="6" t="str">
        <f>"5602972519716"</f>
        <v>5602972519716</v>
      </c>
      <c r="O4579" s="8">
        <v>36</v>
      </c>
      <c r="P4579" s="7">
        <v>45987</v>
      </c>
      <c r="R4579" s="8">
        <v>0</v>
      </c>
      <c r="S4579" s="7">
        <v>45993</v>
      </c>
      <c r="U4579" s="8">
        <v>0</v>
      </c>
      <c r="V4579" s="7">
        <v>46001</v>
      </c>
      <c r="X4579" s="8">
        <v>0</v>
      </c>
      <c r="Z4579" s="8">
        <v>0</v>
      </c>
      <c r="AA4579" s="7">
        <v>46015</v>
      </c>
      <c r="AC4579" s="8">
        <v>0</v>
      </c>
      <c r="AE4579" s="7">
        <v>46031</v>
      </c>
      <c r="AF4579" s="8">
        <v>0</v>
      </c>
      <c r="AH4579" s="7">
        <v>46038</v>
      </c>
      <c r="AI4579" s="7">
        <v>46028</v>
      </c>
      <c r="AN4579" s="8">
        <v>0</v>
      </c>
      <c r="AO4579" s="8">
        <v>36</v>
      </c>
    </row>
    <row r="4580" spans="1:41" x14ac:dyDescent="0.25">
      <c r="A4580" s="6" t="str">
        <f t="shared" si="1189"/>
        <v>525-2025000570</v>
      </c>
      <c r="B4580" s="6" t="str">
        <f t="shared" si="1182"/>
        <v>Lasa Int</v>
      </c>
      <c r="C4580" s="7">
        <v>45978</v>
      </c>
      <c r="D4580" s="7">
        <v>46075</v>
      </c>
      <c r="E4580" s="8">
        <v>12</v>
      </c>
      <c r="F4580" s="6" t="str">
        <f t="shared" si="1190"/>
        <v>Misto R</v>
      </c>
      <c r="G4580" s="6" t="str">
        <f t="shared" si="1191"/>
        <v>R330380138000000</v>
      </c>
      <c r="H4580" s="6" t="str">
        <f t="shared" si="1192"/>
        <v>R 3801 - PLA 3098 (m</v>
      </c>
      <c r="I4580" s="6" t="str">
        <f>"203687"</f>
        <v>203687</v>
      </c>
      <c r="J4580" s="6" t="str">
        <f>"CINZA 3687"</f>
        <v>CINZA 3687</v>
      </c>
      <c r="K4580" s="6" t="str">
        <f>"5008"</f>
        <v>5008</v>
      </c>
      <c r="L4580" s="6" t="str">
        <f t="shared" si="1188"/>
        <v>Roupões Adulto</v>
      </c>
      <c r="M4580" s="6" t="str">
        <f>"XL"</f>
        <v>XL</v>
      </c>
      <c r="N4580" s="6" t="str">
        <f>"5602972519723"</f>
        <v>5602972519723</v>
      </c>
      <c r="O4580" s="8">
        <v>60</v>
      </c>
      <c r="P4580" s="7">
        <v>45987</v>
      </c>
      <c r="R4580" s="8">
        <v>0</v>
      </c>
      <c r="S4580" s="7">
        <v>45993</v>
      </c>
      <c r="U4580" s="8">
        <v>0</v>
      </c>
      <c r="V4580" s="7">
        <v>46001</v>
      </c>
      <c r="X4580" s="8">
        <v>0</v>
      </c>
      <c r="Z4580" s="8">
        <v>0</v>
      </c>
      <c r="AA4580" s="7">
        <v>46015</v>
      </c>
      <c r="AC4580" s="8">
        <v>0</v>
      </c>
      <c r="AE4580" s="7">
        <v>46031</v>
      </c>
      <c r="AF4580" s="8">
        <v>0</v>
      </c>
      <c r="AH4580" s="7">
        <v>46038</v>
      </c>
      <c r="AI4580" s="7">
        <v>46028</v>
      </c>
      <c r="AN4580" s="8">
        <v>0</v>
      </c>
      <c r="AO4580" s="8">
        <v>60</v>
      </c>
    </row>
    <row r="4581" spans="1:41" x14ac:dyDescent="0.25">
      <c r="A4581" s="6" t="str">
        <f>"525-2025000571"</f>
        <v>525-2025000571</v>
      </c>
      <c r="B4581" s="6" t="str">
        <f t="shared" si="1182"/>
        <v>Lasa Int</v>
      </c>
      <c r="C4581" s="7">
        <v>45978</v>
      </c>
      <c r="D4581" s="7">
        <v>46037</v>
      </c>
      <c r="E4581" s="8">
        <v>1</v>
      </c>
      <c r="F4581" s="6" t="str">
        <f>"Alpha"</f>
        <v>Alpha</v>
      </c>
      <c r="G4581" s="6" t="str">
        <f>"F100023140000000"</f>
        <v>F100023140000000</v>
      </c>
      <c r="H4581" s="6" t="str">
        <f>"FA 231 - 400 g/m²"</f>
        <v>FA 231 - 400 g/m²</v>
      </c>
      <c r="I4581" s="6" t="str">
        <f>"3"</f>
        <v>3</v>
      </c>
      <c r="J4581" s="6" t="str">
        <f>"PRETO Sulf"</f>
        <v>PRETO Sulf</v>
      </c>
      <c r="K4581" s="6" t="str">
        <f>"0112"</f>
        <v>0112</v>
      </c>
      <c r="L4581" s="6" t="str">
        <f>"Luvas"</f>
        <v>Luvas</v>
      </c>
      <c r="M4581" s="6" t="str">
        <f>"16x21"</f>
        <v>16x21</v>
      </c>
      <c r="N4581" s="6" t="str">
        <f>"5602972713657"</f>
        <v>5602972713657</v>
      </c>
      <c r="O4581" s="8">
        <v>300</v>
      </c>
      <c r="P4581" s="7">
        <v>45978</v>
      </c>
      <c r="R4581" s="8">
        <v>0</v>
      </c>
      <c r="S4581" s="7">
        <v>45981</v>
      </c>
      <c r="U4581" s="8">
        <v>300</v>
      </c>
      <c r="V4581" s="7">
        <v>45993</v>
      </c>
      <c r="X4581" s="8">
        <v>0</v>
      </c>
      <c r="Z4581" s="8">
        <v>300</v>
      </c>
      <c r="AA4581" s="7">
        <v>46006</v>
      </c>
      <c r="AC4581" s="8">
        <v>0</v>
      </c>
      <c r="AE4581" s="7">
        <v>46008</v>
      </c>
      <c r="AF4581" s="8">
        <v>0</v>
      </c>
      <c r="AH4581" s="7">
        <v>46008</v>
      </c>
      <c r="AN4581" s="8">
        <v>0</v>
      </c>
      <c r="AO4581" s="8">
        <v>300</v>
      </c>
    </row>
    <row r="4582" spans="1:41" x14ac:dyDescent="0.25">
      <c r="A4582" s="6" t="str">
        <f>"525-2025000571"</f>
        <v>525-2025000571</v>
      </c>
      <c r="B4582" s="6" t="str">
        <f t="shared" si="1182"/>
        <v>Lasa Int</v>
      </c>
      <c r="C4582" s="7">
        <v>45978</v>
      </c>
      <c r="D4582" s="7">
        <v>46037</v>
      </c>
      <c r="E4582" s="8">
        <v>2</v>
      </c>
      <c r="F4582" s="6" t="str">
        <f>"Alpha"</f>
        <v>Alpha</v>
      </c>
      <c r="G4582" s="6" t="str">
        <f>"F100023140000000"</f>
        <v>F100023140000000</v>
      </c>
      <c r="H4582" s="6" t="str">
        <f>"FA 231 - 400 g/m²"</f>
        <v>FA 231 - 400 g/m²</v>
      </c>
      <c r="I4582" s="6" t="str">
        <f>"3"</f>
        <v>3</v>
      </c>
      <c r="J4582" s="6" t="str">
        <f>"PRETO Sulf"</f>
        <v>PRETO Sulf</v>
      </c>
      <c r="K4582" s="6" t="str">
        <f>"0320"</f>
        <v>0320</v>
      </c>
      <c r="L4582" s="6" t="str">
        <f>"Panos"</f>
        <v>Panos</v>
      </c>
      <c r="M4582" s="6" t="str">
        <f>"30x30"</f>
        <v>30x30</v>
      </c>
      <c r="N4582" s="6" t="str">
        <f>"5602972713664"</f>
        <v>5602972713664</v>
      </c>
      <c r="O4582" s="8">
        <v>900</v>
      </c>
      <c r="P4582" s="7">
        <v>45978</v>
      </c>
      <c r="R4582" s="8">
        <v>3300</v>
      </c>
      <c r="S4582" s="7">
        <v>45981</v>
      </c>
      <c r="U4582" s="8">
        <v>900</v>
      </c>
      <c r="V4582" s="7">
        <v>45993</v>
      </c>
      <c r="X4582" s="8">
        <v>0</v>
      </c>
      <c r="Z4582" s="8">
        <v>900</v>
      </c>
      <c r="AA4582" s="7">
        <v>46006</v>
      </c>
      <c r="AC4582" s="8">
        <v>948</v>
      </c>
      <c r="AE4582" s="7">
        <v>46008</v>
      </c>
      <c r="AF4582" s="8">
        <v>948</v>
      </c>
      <c r="AH4582" s="7">
        <v>46008</v>
      </c>
      <c r="AN4582" s="8">
        <v>948</v>
      </c>
      <c r="AO4582" s="8">
        <v>-48</v>
      </c>
    </row>
    <row r="4583" spans="1:41" x14ac:dyDescent="0.25">
      <c r="A4583" s="6" t="str">
        <f>"525-2025000571"</f>
        <v>525-2025000571</v>
      </c>
      <c r="B4583" s="6" t="str">
        <f t="shared" si="1182"/>
        <v>Lasa Int</v>
      </c>
      <c r="C4583" s="7">
        <v>45978</v>
      </c>
      <c r="D4583" s="7">
        <v>46037</v>
      </c>
      <c r="E4583" s="8">
        <v>3</v>
      </c>
      <c r="F4583" s="6" t="str">
        <f>"Alpha"</f>
        <v>Alpha</v>
      </c>
      <c r="G4583" s="6" t="str">
        <f>"F100023140000000"</f>
        <v>F100023140000000</v>
      </c>
      <c r="H4583" s="6" t="str">
        <f>"FA 231 - 400 g/m²"</f>
        <v>FA 231 - 400 g/m²</v>
      </c>
      <c r="I4583" s="6" t="str">
        <f>"3"</f>
        <v>3</v>
      </c>
      <c r="J4583" s="6" t="str">
        <f>"PRETO Sulf"</f>
        <v>PRETO Sulf</v>
      </c>
      <c r="K4583" s="6" t="str">
        <f>"0520"</f>
        <v>0520</v>
      </c>
      <c r="L4583" s="6" t="str">
        <f>"Toalhetes"</f>
        <v>Toalhetes</v>
      </c>
      <c r="M4583" s="6" t="str">
        <f>"30x50"</f>
        <v>30x50</v>
      </c>
      <c r="N4583" s="6" t="str">
        <f>"5602972713671"</f>
        <v>5602972713671</v>
      </c>
      <c r="O4583" s="8">
        <v>240</v>
      </c>
      <c r="P4583" s="7">
        <v>45978</v>
      </c>
      <c r="R4583" s="8">
        <v>0</v>
      </c>
      <c r="S4583" s="7">
        <v>45981</v>
      </c>
      <c r="U4583" s="8">
        <v>450</v>
      </c>
      <c r="V4583" s="7">
        <v>45993</v>
      </c>
      <c r="X4583" s="8">
        <v>0</v>
      </c>
      <c r="Z4583" s="8">
        <v>450</v>
      </c>
      <c r="AA4583" s="7">
        <v>46006</v>
      </c>
      <c r="AC4583" s="8">
        <v>840</v>
      </c>
      <c r="AE4583" s="7">
        <v>46008</v>
      </c>
      <c r="AF4583" s="8">
        <v>840</v>
      </c>
      <c r="AH4583" s="7">
        <v>46008</v>
      </c>
      <c r="AN4583" s="8">
        <v>840</v>
      </c>
      <c r="AO4583" s="8">
        <v>-600</v>
      </c>
    </row>
    <row r="4584" spans="1:41" x14ac:dyDescent="0.25">
      <c r="A4584" s="6" t="str">
        <f>"525-2025000571"</f>
        <v>525-2025000571</v>
      </c>
      <c r="B4584" s="6" t="str">
        <f t="shared" si="1182"/>
        <v>Lasa Int</v>
      </c>
      <c r="C4584" s="7">
        <v>45978</v>
      </c>
      <c r="D4584" s="7">
        <v>46037</v>
      </c>
      <c r="E4584" s="8">
        <v>4</v>
      </c>
      <c r="F4584" s="6" t="str">
        <f>"Alpha"</f>
        <v>Alpha</v>
      </c>
      <c r="G4584" s="6" t="str">
        <f>"F100023140000000"</f>
        <v>F100023140000000</v>
      </c>
      <c r="H4584" s="6" t="str">
        <f>"FA 231 - 400 g/m²"</f>
        <v>FA 231 - 400 g/m²</v>
      </c>
      <c r="I4584" s="6" t="str">
        <f>"3"</f>
        <v>3</v>
      </c>
      <c r="J4584" s="6" t="str">
        <f>"PRETO Sulf"</f>
        <v>PRETO Sulf</v>
      </c>
      <c r="K4584" s="6" t="str">
        <f>"1020"</f>
        <v>1020</v>
      </c>
      <c r="L4584" s="6" t="str">
        <f>"Toalhas"</f>
        <v>Toalhas</v>
      </c>
      <c r="M4584" s="6" t="str">
        <f>"50x90"</f>
        <v>50x90</v>
      </c>
      <c r="N4584" s="6" t="str">
        <f>"5602972713688"</f>
        <v>5602972713688</v>
      </c>
      <c r="O4584" s="8">
        <v>1200</v>
      </c>
      <c r="P4584" s="7">
        <v>45978</v>
      </c>
      <c r="R4584" s="8">
        <v>3356</v>
      </c>
      <c r="S4584" s="7">
        <v>45981</v>
      </c>
      <c r="U4584" s="8">
        <v>1200</v>
      </c>
      <c r="V4584" s="7">
        <v>45993</v>
      </c>
      <c r="X4584" s="8">
        <v>0</v>
      </c>
      <c r="Z4584" s="8">
        <v>1200</v>
      </c>
      <c r="AA4584" s="7">
        <v>46006</v>
      </c>
      <c r="AC4584" s="8">
        <v>1692</v>
      </c>
      <c r="AE4584" s="7">
        <v>46008</v>
      </c>
      <c r="AF4584" s="8">
        <v>1692</v>
      </c>
      <c r="AH4584" s="7">
        <v>46008</v>
      </c>
      <c r="AN4584" s="8">
        <v>1692</v>
      </c>
      <c r="AO4584" s="8">
        <v>-492</v>
      </c>
    </row>
    <row r="4585" spans="1:41" x14ac:dyDescent="0.25">
      <c r="A4585" s="6" t="str">
        <f>"525-2025000571"</f>
        <v>525-2025000571</v>
      </c>
      <c r="B4585" s="6" t="str">
        <f t="shared" si="1182"/>
        <v>Lasa Int</v>
      </c>
      <c r="C4585" s="7">
        <v>45978</v>
      </c>
      <c r="D4585" s="7">
        <v>46037</v>
      </c>
      <c r="E4585" s="8">
        <v>5</v>
      </c>
      <c r="F4585" s="6" t="str">
        <f>"Alpha"</f>
        <v>Alpha</v>
      </c>
      <c r="G4585" s="6" t="str">
        <f>"F100023140000000"</f>
        <v>F100023140000000</v>
      </c>
      <c r="H4585" s="6" t="str">
        <f>"FA 231 - 400 g/m²"</f>
        <v>FA 231 - 400 g/m²</v>
      </c>
      <c r="I4585" s="6" t="str">
        <f>"3"</f>
        <v>3</v>
      </c>
      <c r="J4585" s="6" t="str">
        <f>"PRETO Sulf"</f>
        <v>PRETO Sulf</v>
      </c>
      <c r="K4585" s="6" t="str">
        <f>"1532"</f>
        <v>1532</v>
      </c>
      <c r="L4585" s="6" t="str">
        <f>"Toalhões"</f>
        <v>Toalhões</v>
      </c>
      <c r="M4585" s="6" t="str">
        <f>"70x130"</f>
        <v>70x130</v>
      </c>
      <c r="N4585" s="6" t="str">
        <f>"5602972713695"</f>
        <v>5602972713695</v>
      </c>
      <c r="O4585" s="8">
        <v>360</v>
      </c>
      <c r="P4585" s="7">
        <v>45978</v>
      </c>
      <c r="R4585" s="8">
        <v>756</v>
      </c>
      <c r="S4585" s="7">
        <v>45981</v>
      </c>
      <c r="U4585" s="8">
        <v>360</v>
      </c>
      <c r="V4585" s="7">
        <v>45993</v>
      </c>
      <c r="X4585" s="8">
        <v>0</v>
      </c>
      <c r="Z4585" s="8">
        <v>360</v>
      </c>
      <c r="AA4585" s="7">
        <v>46006</v>
      </c>
      <c r="AC4585" s="8">
        <v>300</v>
      </c>
      <c r="AE4585" s="7">
        <v>46008</v>
      </c>
      <c r="AF4585" s="8">
        <v>300</v>
      </c>
      <c r="AH4585" s="7">
        <v>46008</v>
      </c>
      <c r="AN4585" s="8">
        <v>300</v>
      </c>
      <c r="AO4585" s="8">
        <v>60</v>
      </c>
    </row>
    <row r="4586" spans="1:41" x14ac:dyDescent="0.25">
      <c r="A4586" s="6" t="str">
        <f t="shared" ref="A4586:A4597" si="1193">"525-2025000572"</f>
        <v>525-2025000572</v>
      </c>
      <c r="B4586" s="6" t="str">
        <f t="shared" si="1182"/>
        <v>Lasa Int</v>
      </c>
      <c r="C4586" s="7">
        <v>45978</v>
      </c>
      <c r="D4586" s="7">
        <v>46051</v>
      </c>
      <c r="E4586" s="8">
        <v>1</v>
      </c>
      <c r="F4586" s="6" t="str">
        <f t="shared" ref="F4586:F4597" si="1194">"PURE R"</f>
        <v>PURE R</v>
      </c>
      <c r="G4586" s="6" t="str">
        <f>"R010000635000000"</f>
        <v>R010000635000000</v>
      </c>
      <c r="H4586" s="6" t="str">
        <f>"Alexis Cotoral Pure"</f>
        <v>Alexis Cotoral Pure</v>
      </c>
      <c r="I4586" s="6" t="str">
        <f t="shared" ref="I4586:I4597" si="1195">"1822"</f>
        <v>1822</v>
      </c>
      <c r="J4586" s="6" t="str">
        <f t="shared" ref="J4586:J4597" si="1196">"ROSA 1822"</f>
        <v>ROSA 1822</v>
      </c>
      <c r="K4586" s="6" t="str">
        <f>"5004"</f>
        <v>5004</v>
      </c>
      <c r="L4586" s="6" t="str">
        <f>"Roupões Adulto"</f>
        <v>Roupões Adulto</v>
      </c>
      <c r="M4586" s="6" t="str">
        <f>"M"</f>
        <v>M</v>
      </c>
      <c r="N4586" s="6" t="str">
        <f>"5602972838404"</f>
        <v>5602972838404</v>
      </c>
      <c r="O4586" s="8">
        <v>60</v>
      </c>
      <c r="P4586" s="7">
        <v>45978</v>
      </c>
      <c r="R4586" s="8">
        <v>0</v>
      </c>
      <c r="S4586" s="7">
        <v>45981</v>
      </c>
      <c r="U4586" s="8">
        <v>0</v>
      </c>
      <c r="V4586" s="7">
        <v>45993</v>
      </c>
      <c r="X4586" s="8">
        <v>0</v>
      </c>
      <c r="Z4586" s="8">
        <v>0</v>
      </c>
      <c r="AA4586" s="7">
        <v>46006</v>
      </c>
      <c r="AC4586" s="8">
        <v>0</v>
      </c>
      <c r="AE4586" s="7">
        <v>46028</v>
      </c>
      <c r="AF4586" s="8">
        <v>0</v>
      </c>
      <c r="AH4586" s="7">
        <v>46028</v>
      </c>
      <c r="AI4586" s="7">
        <v>46024</v>
      </c>
      <c r="AN4586" s="8">
        <v>0</v>
      </c>
      <c r="AO4586" s="8">
        <v>60</v>
      </c>
    </row>
    <row r="4587" spans="1:41" x14ac:dyDescent="0.25">
      <c r="A4587" s="6" t="str">
        <f t="shared" si="1193"/>
        <v>525-2025000572</v>
      </c>
      <c r="B4587" s="6" t="str">
        <f t="shared" si="1182"/>
        <v>Lasa Int</v>
      </c>
      <c r="C4587" s="7">
        <v>45978</v>
      </c>
      <c r="D4587" s="7">
        <v>46051</v>
      </c>
      <c r="E4587" s="8">
        <v>2</v>
      </c>
      <c r="F4587" s="6" t="str">
        <f t="shared" si="1194"/>
        <v>PURE R</v>
      </c>
      <c r="G4587" s="6" t="str">
        <f>"R010000635000000"</f>
        <v>R010000635000000</v>
      </c>
      <c r="H4587" s="6" t="str">
        <f>"Alexis Cotoral Pure"</f>
        <v>Alexis Cotoral Pure</v>
      </c>
      <c r="I4587" s="6" t="str">
        <f t="shared" si="1195"/>
        <v>1822</v>
      </c>
      <c r="J4587" s="6" t="str">
        <f t="shared" si="1196"/>
        <v>ROSA 1822</v>
      </c>
      <c r="K4587" s="6" t="str">
        <f>"5006"</f>
        <v>5006</v>
      </c>
      <c r="L4587" s="6" t="str">
        <f>"Roupões Adulto"</f>
        <v>Roupões Adulto</v>
      </c>
      <c r="M4587" s="6" t="str">
        <f>"L"</f>
        <v>L</v>
      </c>
      <c r="N4587" s="6" t="str">
        <f>"5602972838411"</f>
        <v>5602972838411</v>
      </c>
      <c r="O4587" s="8">
        <v>12</v>
      </c>
      <c r="P4587" s="7">
        <v>45978</v>
      </c>
      <c r="R4587" s="8">
        <v>0</v>
      </c>
      <c r="S4587" s="7">
        <v>45981</v>
      </c>
      <c r="U4587" s="8">
        <v>0</v>
      </c>
      <c r="V4587" s="7">
        <v>45993</v>
      </c>
      <c r="X4587" s="8">
        <v>0</v>
      </c>
      <c r="Z4587" s="8">
        <v>0</v>
      </c>
      <c r="AA4587" s="7">
        <v>46006</v>
      </c>
      <c r="AC4587" s="8">
        <v>0</v>
      </c>
      <c r="AE4587" s="7">
        <v>46028</v>
      </c>
      <c r="AF4587" s="8">
        <v>0</v>
      </c>
      <c r="AH4587" s="7">
        <v>46028</v>
      </c>
      <c r="AI4587" s="7">
        <v>46024</v>
      </c>
      <c r="AN4587" s="8">
        <v>0</v>
      </c>
      <c r="AO4587" s="8">
        <v>12</v>
      </c>
    </row>
    <row r="4588" spans="1:41" x14ac:dyDescent="0.25">
      <c r="A4588" s="6" t="str">
        <f t="shared" si="1193"/>
        <v>525-2025000572</v>
      </c>
      <c r="B4588" s="6" t="str">
        <f t="shared" si="1182"/>
        <v>Lasa Int</v>
      </c>
      <c r="C4588" s="7">
        <v>45978</v>
      </c>
      <c r="D4588" s="7">
        <v>46051</v>
      </c>
      <c r="E4588" s="8">
        <v>3</v>
      </c>
      <c r="F4588" s="6" t="str">
        <f t="shared" si="1194"/>
        <v>PURE R</v>
      </c>
      <c r="G4588" s="6" t="str">
        <f>"R010000635000000"</f>
        <v>R010000635000000</v>
      </c>
      <c r="H4588" s="6" t="str">
        <f>"Alexis Cotoral Pure"</f>
        <v>Alexis Cotoral Pure</v>
      </c>
      <c r="I4588" s="6" t="str">
        <f t="shared" si="1195"/>
        <v>1822</v>
      </c>
      <c r="J4588" s="6" t="str">
        <f t="shared" si="1196"/>
        <v>ROSA 1822</v>
      </c>
      <c r="K4588" s="6" t="str">
        <f>"5008"</f>
        <v>5008</v>
      </c>
      <c r="L4588" s="6" t="str">
        <f>"Roupões Adulto"</f>
        <v>Roupões Adulto</v>
      </c>
      <c r="M4588" s="6" t="str">
        <f>"XL"</f>
        <v>XL</v>
      </c>
      <c r="N4588" s="6" t="str">
        <f>"5602972718607"</f>
        <v>5602972718607</v>
      </c>
      <c r="O4588" s="8">
        <v>12</v>
      </c>
      <c r="P4588" s="7">
        <v>45978</v>
      </c>
      <c r="R4588" s="8">
        <v>0</v>
      </c>
      <c r="S4588" s="7">
        <v>45981</v>
      </c>
      <c r="U4588" s="8">
        <v>0</v>
      </c>
      <c r="V4588" s="7">
        <v>45993</v>
      </c>
      <c r="X4588" s="8">
        <v>0</v>
      </c>
      <c r="Z4588" s="8">
        <v>0</v>
      </c>
      <c r="AA4588" s="7">
        <v>46006</v>
      </c>
      <c r="AC4588" s="8">
        <v>0</v>
      </c>
      <c r="AE4588" s="7">
        <v>46028</v>
      </c>
      <c r="AF4588" s="8">
        <v>0</v>
      </c>
      <c r="AH4588" s="7">
        <v>46028</v>
      </c>
      <c r="AI4588" s="7">
        <v>46024</v>
      </c>
      <c r="AN4588" s="8">
        <v>0</v>
      </c>
      <c r="AO4588" s="8">
        <v>12</v>
      </c>
    </row>
    <row r="4589" spans="1:41" x14ac:dyDescent="0.25">
      <c r="A4589" s="6" t="str">
        <f t="shared" si="1193"/>
        <v>525-2025000572</v>
      </c>
      <c r="B4589" s="6" t="str">
        <f t="shared" si="1182"/>
        <v>Lasa Int</v>
      </c>
      <c r="C4589" s="7">
        <v>45978</v>
      </c>
      <c r="D4589" s="7">
        <v>46051</v>
      </c>
      <c r="E4589" s="8">
        <v>4</v>
      </c>
      <c r="F4589" s="6" t="str">
        <f t="shared" si="1194"/>
        <v>PURE R</v>
      </c>
      <c r="G4589" s="6" t="str">
        <f t="shared" ref="G4589:G4595" si="1197">"R013000138500000"</f>
        <v>R013000138500000</v>
      </c>
      <c r="H4589" s="6" t="str">
        <f t="shared" ref="H4589:H4595" si="1198">"Star PURE - Ketten 3"</f>
        <v>Star PURE - Ketten 3</v>
      </c>
      <c r="I4589" s="6" t="str">
        <f t="shared" si="1195"/>
        <v>1822</v>
      </c>
      <c r="J4589" s="6" t="str">
        <f t="shared" si="1196"/>
        <v>ROSA 1822</v>
      </c>
      <c r="K4589" s="6" t="str">
        <f>"5202"</f>
        <v>5202</v>
      </c>
      <c r="L4589" s="6" t="str">
        <f t="shared" ref="L4589:L4597" si="1199">"Roupões Criança"</f>
        <v>Roupões Criança</v>
      </c>
      <c r="M4589" s="6" t="str">
        <f>"2 Anos"</f>
        <v>2 Anos</v>
      </c>
      <c r="N4589" s="6" t="str">
        <f>"5602972853896"</f>
        <v>5602972853896</v>
      </c>
      <c r="O4589" s="8">
        <v>24</v>
      </c>
      <c r="P4589" s="7">
        <v>45978</v>
      </c>
      <c r="R4589" s="8">
        <v>0</v>
      </c>
      <c r="S4589" s="7">
        <v>45981</v>
      </c>
      <c r="U4589" s="8">
        <v>810</v>
      </c>
      <c r="V4589" s="7">
        <v>45993</v>
      </c>
      <c r="X4589" s="8">
        <v>810</v>
      </c>
      <c r="Z4589" s="8">
        <v>0</v>
      </c>
      <c r="AA4589" s="7">
        <v>46006</v>
      </c>
      <c r="AC4589" s="8">
        <v>0</v>
      </c>
      <c r="AE4589" s="7">
        <v>46028</v>
      </c>
      <c r="AF4589" s="8">
        <v>0</v>
      </c>
      <c r="AH4589" s="7">
        <v>46028</v>
      </c>
      <c r="AI4589" s="7">
        <v>46024</v>
      </c>
      <c r="AN4589" s="8">
        <v>0</v>
      </c>
      <c r="AO4589" s="8">
        <v>24</v>
      </c>
    </row>
    <row r="4590" spans="1:41" x14ac:dyDescent="0.25">
      <c r="A4590" s="6" t="str">
        <f t="shared" si="1193"/>
        <v>525-2025000572</v>
      </c>
      <c r="B4590" s="6" t="str">
        <f t="shared" si="1182"/>
        <v>Lasa Int</v>
      </c>
      <c r="C4590" s="7">
        <v>45978</v>
      </c>
      <c r="D4590" s="7">
        <v>46051</v>
      </c>
      <c r="E4590" s="8">
        <v>5</v>
      </c>
      <c r="F4590" s="6" t="str">
        <f t="shared" si="1194"/>
        <v>PURE R</v>
      </c>
      <c r="G4590" s="6" t="str">
        <f t="shared" si="1197"/>
        <v>R013000138500000</v>
      </c>
      <c r="H4590" s="6" t="str">
        <f t="shared" si="1198"/>
        <v>Star PURE - Ketten 3</v>
      </c>
      <c r="I4590" s="6" t="str">
        <f t="shared" si="1195"/>
        <v>1822</v>
      </c>
      <c r="J4590" s="6" t="str">
        <f t="shared" si="1196"/>
        <v>ROSA 1822</v>
      </c>
      <c r="K4590" s="6" t="str">
        <f>"5204"</f>
        <v>5204</v>
      </c>
      <c r="L4590" s="6" t="str">
        <f t="shared" si="1199"/>
        <v>Roupões Criança</v>
      </c>
      <c r="M4590" s="6" t="str">
        <f>"4 Anos"</f>
        <v>4 Anos</v>
      </c>
      <c r="N4590" s="6" t="str">
        <f>"5602972853902"</f>
        <v>5602972853902</v>
      </c>
      <c r="O4590" s="8">
        <v>12</v>
      </c>
      <c r="P4590" s="7">
        <v>45978</v>
      </c>
      <c r="R4590" s="8">
        <v>0</v>
      </c>
      <c r="S4590" s="7">
        <v>45981</v>
      </c>
      <c r="U4590" s="8">
        <v>0</v>
      </c>
      <c r="V4590" s="7">
        <v>45993</v>
      </c>
      <c r="X4590" s="8">
        <v>0</v>
      </c>
      <c r="Z4590" s="8">
        <v>0</v>
      </c>
      <c r="AA4590" s="7">
        <v>46006</v>
      </c>
      <c r="AC4590" s="8">
        <v>0</v>
      </c>
      <c r="AE4590" s="7">
        <v>46028</v>
      </c>
      <c r="AF4590" s="8">
        <v>0</v>
      </c>
      <c r="AH4590" s="7">
        <v>46028</v>
      </c>
      <c r="AI4590" s="7">
        <v>46024</v>
      </c>
      <c r="AN4590" s="8">
        <v>0</v>
      </c>
      <c r="AO4590" s="8">
        <v>12</v>
      </c>
    </row>
    <row r="4591" spans="1:41" x14ac:dyDescent="0.25">
      <c r="A4591" s="6" t="str">
        <f t="shared" si="1193"/>
        <v>525-2025000572</v>
      </c>
      <c r="B4591" s="6" t="str">
        <f t="shared" si="1182"/>
        <v>Lasa Int</v>
      </c>
      <c r="C4591" s="7">
        <v>45978</v>
      </c>
      <c r="D4591" s="7">
        <v>46051</v>
      </c>
      <c r="E4591" s="8">
        <v>6</v>
      </c>
      <c r="F4591" s="6" t="str">
        <f t="shared" si="1194"/>
        <v>PURE R</v>
      </c>
      <c r="G4591" s="6" t="str">
        <f t="shared" si="1197"/>
        <v>R013000138500000</v>
      </c>
      <c r="H4591" s="6" t="str">
        <f t="shared" si="1198"/>
        <v>Star PURE - Ketten 3</v>
      </c>
      <c r="I4591" s="6" t="str">
        <f t="shared" si="1195"/>
        <v>1822</v>
      </c>
      <c r="J4591" s="6" t="str">
        <f t="shared" si="1196"/>
        <v>ROSA 1822</v>
      </c>
      <c r="K4591" s="6" t="str">
        <f>"5206"</f>
        <v>5206</v>
      </c>
      <c r="L4591" s="6" t="str">
        <f t="shared" si="1199"/>
        <v>Roupões Criança</v>
      </c>
      <c r="M4591" s="6" t="str">
        <f>"6 Anos"</f>
        <v>6 Anos</v>
      </c>
      <c r="N4591" s="6" t="str">
        <f>"5602972853919"</f>
        <v>5602972853919</v>
      </c>
      <c r="O4591" s="8">
        <v>24</v>
      </c>
      <c r="P4591" s="7">
        <v>45978</v>
      </c>
      <c r="R4591" s="8">
        <v>0</v>
      </c>
      <c r="S4591" s="7">
        <v>45981</v>
      </c>
      <c r="U4591" s="8">
        <v>0</v>
      </c>
      <c r="V4591" s="7">
        <v>45993</v>
      </c>
      <c r="X4591" s="8">
        <v>0</v>
      </c>
      <c r="Z4591" s="8">
        <v>0</v>
      </c>
      <c r="AA4591" s="7">
        <v>46006</v>
      </c>
      <c r="AC4591" s="8">
        <v>0</v>
      </c>
      <c r="AE4591" s="7">
        <v>46028</v>
      </c>
      <c r="AF4591" s="8">
        <v>0</v>
      </c>
      <c r="AH4591" s="7">
        <v>46028</v>
      </c>
      <c r="AI4591" s="7">
        <v>46024</v>
      </c>
      <c r="AN4591" s="8">
        <v>0</v>
      </c>
      <c r="AO4591" s="8">
        <v>24</v>
      </c>
    </row>
    <row r="4592" spans="1:41" x14ac:dyDescent="0.25">
      <c r="A4592" s="6" t="str">
        <f t="shared" si="1193"/>
        <v>525-2025000572</v>
      </c>
      <c r="B4592" s="6" t="str">
        <f t="shared" si="1182"/>
        <v>Lasa Int</v>
      </c>
      <c r="C4592" s="7">
        <v>45978</v>
      </c>
      <c r="D4592" s="7">
        <v>46051</v>
      </c>
      <c r="E4592" s="8">
        <v>7</v>
      </c>
      <c r="F4592" s="6" t="str">
        <f t="shared" si="1194"/>
        <v>PURE R</v>
      </c>
      <c r="G4592" s="6" t="str">
        <f t="shared" si="1197"/>
        <v>R013000138500000</v>
      </c>
      <c r="H4592" s="6" t="str">
        <f t="shared" si="1198"/>
        <v>Star PURE - Ketten 3</v>
      </c>
      <c r="I4592" s="6" t="str">
        <f t="shared" si="1195"/>
        <v>1822</v>
      </c>
      <c r="J4592" s="6" t="str">
        <f t="shared" si="1196"/>
        <v>ROSA 1822</v>
      </c>
      <c r="K4592" s="6" t="str">
        <f>"5208"</f>
        <v>5208</v>
      </c>
      <c r="L4592" s="6" t="str">
        <f t="shared" si="1199"/>
        <v>Roupões Criança</v>
      </c>
      <c r="M4592" s="6" t="str">
        <f>"8 Anos"</f>
        <v>8 Anos</v>
      </c>
      <c r="N4592" s="6" t="str">
        <f>"5602972853926"</f>
        <v>5602972853926</v>
      </c>
      <c r="O4592" s="8">
        <v>48</v>
      </c>
      <c r="P4592" s="7">
        <v>45978</v>
      </c>
      <c r="R4592" s="8">
        <v>0</v>
      </c>
      <c r="S4592" s="7">
        <v>45981</v>
      </c>
      <c r="U4592" s="8">
        <v>0</v>
      </c>
      <c r="V4592" s="7">
        <v>45993</v>
      </c>
      <c r="X4592" s="8">
        <v>0</v>
      </c>
      <c r="Z4592" s="8">
        <v>0</v>
      </c>
      <c r="AA4592" s="7">
        <v>46006</v>
      </c>
      <c r="AC4592" s="8">
        <v>0</v>
      </c>
      <c r="AE4592" s="7">
        <v>46028</v>
      </c>
      <c r="AF4592" s="8">
        <v>0</v>
      </c>
      <c r="AH4592" s="7">
        <v>46028</v>
      </c>
      <c r="AI4592" s="7">
        <v>46024</v>
      </c>
      <c r="AN4592" s="8">
        <v>0</v>
      </c>
      <c r="AO4592" s="8">
        <v>48</v>
      </c>
    </row>
    <row r="4593" spans="1:41" x14ac:dyDescent="0.25">
      <c r="A4593" s="6" t="str">
        <f t="shared" si="1193"/>
        <v>525-2025000572</v>
      </c>
      <c r="B4593" s="6" t="str">
        <f t="shared" si="1182"/>
        <v>Lasa Int</v>
      </c>
      <c r="C4593" s="7">
        <v>45978</v>
      </c>
      <c r="D4593" s="7">
        <v>46051</v>
      </c>
      <c r="E4593" s="8">
        <v>8</v>
      </c>
      <c r="F4593" s="6" t="str">
        <f t="shared" si="1194"/>
        <v>PURE R</v>
      </c>
      <c r="G4593" s="6" t="str">
        <f t="shared" si="1197"/>
        <v>R013000138500000</v>
      </c>
      <c r="H4593" s="6" t="str">
        <f t="shared" si="1198"/>
        <v>Star PURE - Ketten 3</v>
      </c>
      <c r="I4593" s="6" t="str">
        <f t="shared" si="1195"/>
        <v>1822</v>
      </c>
      <c r="J4593" s="6" t="str">
        <f t="shared" si="1196"/>
        <v>ROSA 1822</v>
      </c>
      <c r="K4593" s="6" t="str">
        <f>"5212"</f>
        <v>5212</v>
      </c>
      <c r="L4593" s="6" t="str">
        <f t="shared" si="1199"/>
        <v>Roupões Criança</v>
      </c>
      <c r="M4593" s="6" t="str">
        <f>"12 Anos"</f>
        <v>12 Anos</v>
      </c>
      <c r="N4593" s="6" t="str">
        <f>"5602972853940"</f>
        <v>5602972853940</v>
      </c>
      <c r="O4593" s="8">
        <v>48</v>
      </c>
      <c r="P4593" s="7">
        <v>45978</v>
      </c>
      <c r="R4593" s="8">
        <v>0</v>
      </c>
      <c r="S4593" s="7">
        <v>45981</v>
      </c>
      <c r="U4593" s="8">
        <v>0</v>
      </c>
      <c r="V4593" s="7">
        <v>45993</v>
      </c>
      <c r="X4593" s="8">
        <v>0</v>
      </c>
      <c r="Z4593" s="8">
        <v>0</v>
      </c>
      <c r="AA4593" s="7">
        <v>46006</v>
      </c>
      <c r="AC4593" s="8">
        <v>0</v>
      </c>
      <c r="AE4593" s="7">
        <v>46028</v>
      </c>
      <c r="AF4593" s="8">
        <v>0</v>
      </c>
      <c r="AH4593" s="7">
        <v>46028</v>
      </c>
      <c r="AI4593" s="7">
        <v>46024</v>
      </c>
      <c r="AN4593" s="8">
        <v>0</v>
      </c>
      <c r="AO4593" s="8">
        <v>48</v>
      </c>
    </row>
    <row r="4594" spans="1:41" x14ac:dyDescent="0.25">
      <c r="A4594" s="6" t="str">
        <f t="shared" si="1193"/>
        <v>525-2025000572</v>
      </c>
      <c r="B4594" s="6" t="str">
        <f t="shared" si="1182"/>
        <v>Lasa Int</v>
      </c>
      <c r="C4594" s="7">
        <v>45978</v>
      </c>
      <c r="D4594" s="7">
        <v>46051</v>
      </c>
      <c r="E4594" s="8">
        <v>9</v>
      </c>
      <c r="F4594" s="6" t="str">
        <f t="shared" si="1194"/>
        <v>PURE R</v>
      </c>
      <c r="G4594" s="6" t="str">
        <f t="shared" si="1197"/>
        <v>R013000138500000</v>
      </c>
      <c r="H4594" s="6" t="str">
        <f t="shared" si="1198"/>
        <v>Star PURE - Ketten 3</v>
      </c>
      <c r="I4594" s="6" t="str">
        <f t="shared" si="1195"/>
        <v>1822</v>
      </c>
      <c r="J4594" s="6" t="str">
        <f t="shared" si="1196"/>
        <v>ROSA 1822</v>
      </c>
      <c r="K4594" s="6" t="str">
        <f>"5210"</f>
        <v>5210</v>
      </c>
      <c r="L4594" s="6" t="str">
        <f t="shared" si="1199"/>
        <v>Roupões Criança</v>
      </c>
      <c r="M4594" s="6" t="str">
        <f>"10 Anos"</f>
        <v>10 Anos</v>
      </c>
      <c r="N4594" s="6" t="str">
        <f>"5602972853933"</f>
        <v>5602972853933</v>
      </c>
      <c r="O4594" s="8">
        <v>48</v>
      </c>
      <c r="P4594" s="7">
        <v>45978</v>
      </c>
      <c r="R4594" s="8">
        <v>0</v>
      </c>
      <c r="S4594" s="7">
        <v>45981</v>
      </c>
      <c r="U4594" s="8">
        <v>0</v>
      </c>
      <c r="V4594" s="7">
        <v>45993</v>
      </c>
      <c r="X4594" s="8">
        <v>0</v>
      </c>
      <c r="Z4594" s="8">
        <v>0</v>
      </c>
      <c r="AA4594" s="7">
        <v>46006</v>
      </c>
      <c r="AC4594" s="8">
        <v>0</v>
      </c>
      <c r="AE4594" s="7">
        <v>46028</v>
      </c>
      <c r="AF4594" s="8">
        <v>0</v>
      </c>
      <c r="AH4594" s="7">
        <v>46028</v>
      </c>
      <c r="AI4594" s="7">
        <v>46024</v>
      </c>
      <c r="AN4594" s="8">
        <v>0</v>
      </c>
      <c r="AO4594" s="8">
        <v>48</v>
      </c>
    </row>
    <row r="4595" spans="1:41" x14ac:dyDescent="0.25">
      <c r="A4595" s="6" t="str">
        <f t="shared" si="1193"/>
        <v>525-2025000572</v>
      </c>
      <c r="B4595" s="6" t="str">
        <f t="shared" si="1182"/>
        <v>Lasa Int</v>
      </c>
      <c r="C4595" s="7">
        <v>45978</v>
      </c>
      <c r="D4595" s="7">
        <v>46051</v>
      </c>
      <c r="E4595" s="8">
        <v>10</v>
      </c>
      <c r="F4595" s="6" t="str">
        <f t="shared" si="1194"/>
        <v>PURE R</v>
      </c>
      <c r="G4595" s="6" t="str">
        <f t="shared" si="1197"/>
        <v>R013000138500000</v>
      </c>
      <c r="H4595" s="6" t="str">
        <f t="shared" si="1198"/>
        <v>Star PURE - Ketten 3</v>
      </c>
      <c r="I4595" s="6" t="str">
        <f t="shared" si="1195"/>
        <v>1822</v>
      </c>
      <c r="J4595" s="6" t="str">
        <f t="shared" si="1196"/>
        <v>ROSA 1822</v>
      </c>
      <c r="K4595" s="6" t="str">
        <f>"5214"</f>
        <v>5214</v>
      </c>
      <c r="L4595" s="6" t="str">
        <f t="shared" si="1199"/>
        <v>Roupões Criança</v>
      </c>
      <c r="M4595" s="6" t="str">
        <f>"14 Anos"</f>
        <v>14 Anos</v>
      </c>
      <c r="N4595" s="6" t="str">
        <f>"5602972853957"</f>
        <v>5602972853957</v>
      </c>
      <c r="O4595" s="8">
        <v>48</v>
      </c>
      <c r="P4595" s="7">
        <v>45978</v>
      </c>
      <c r="R4595" s="8">
        <v>0</v>
      </c>
      <c r="S4595" s="7">
        <v>45981</v>
      </c>
      <c r="U4595" s="8">
        <v>0</v>
      </c>
      <c r="V4595" s="7">
        <v>45993</v>
      </c>
      <c r="X4595" s="8">
        <v>0</v>
      </c>
      <c r="Z4595" s="8">
        <v>0</v>
      </c>
      <c r="AA4595" s="7">
        <v>46006</v>
      </c>
      <c r="AC4595" s="8">
        <v>0</v>
      </c>
      <c r="AE4595" s="7">
        <v>46028</v>
      </c>
      <c r="AF4595" s="8">
        <v>0</v>
      </c>
      <c r="AH4595" s="7">
        <v>46028</v>
      </c>
      <c r="AI4595" s="7">
        <v>46024</v>
      </c>
      <c r="AN4595" s="8">
        <v>0</v>
      </c>
      <c r="AO4595" s="8">
        <v>48</v>
      </c>
    </row>
    <row r="4596" spans="1:41" x14ac:dyDescent="0.25">
      <c r="A4596" s="6" t="str">
        <f t="shared" si="1193"/>
        <v>525-2025000572</v>
      </c>
      <c r="B4596" s="6" t="str">
        <f t="shared" si="1182"/>
        <v>Lasa Int</v>
      </c>
      <c r="C4596" s="7">
        <v>45978</v>
      </c>
      <c r="D4596" s="7">
        <v>46051</v>
      </c>
      <c r="E4596" s="8">
        <v>11</v>
      </c>
      <c r="F4596" s="6" t="str">
        <f t="shared" si="1194"/>
        <v>PURE R</v>
      </c>
      <c r="G4596" s="6" t="str">
        <f>"K110069636000000"</f>
        <v>K110069636000000</v>
      </c>
      <c r="H4596" s="6" t="str">
        <f>"KB 696 Poncho - Kett"</f>
        <v>KB 696 Poncho - Kett</v>
      </c>
      <c r="I4596" s="6" t="str">
        <f t="shared" si="1195"/>
        <v>1822</v>
      </c>
      <c r="J4596" s="6" t="str">
        <f t="shared" si="1196"/>
        <v>ROSA 1822</v>
      </c>
      <c r="K4596" s="6" t="str">
        <f>"5205"</f>
        <v>5205</v>
      </c>
      <c r="L4596" s="6" t="str">
        <f t="shared" si="1199"/>
        <v>Roupões Criança</v>
      </c>
      <c r="M4596" s="6" t="str">
        <f>"2/4 Anos"</f>
        <v>2/4 Anos</v>
      </c>
      <c r="N4596" s="6" t="str">
        <f>"5602972879599"</f>
        <v>5602972879599</v>
      </c>
      <c r="O4596" s="8">
        <v>48</v>
      </c>
      <c r="P4596" s="7">
        <v>45978</v>
      </c>
      <c r="R4596" s="8">
        <v>0</v>
      </c>
      <c r="S4596" s="7">
        <v>45981</v>
      </c>
      <c r="U4596" s="8">
        <v>0</v>
      </c>
      <c r="V4596" s="7">
        <v>45993</v>
      </c>
      <c r="X4596" s="8">
        <v>0</v>
      </c>
      <c r="Z4596" s="8">
        <v>0</v>
      </c>
      <c r="AA4596" s="7">
        <v>46006</v>
      </c>
      <c r="AC4596" s="8">
        <v>0</v>
      </c>
      <c r="AE4596" s="7">
        <v>46028</v>
      </c>
      <c r="AF4596" s="8">
        <v>0</v>
      </c>
      <c r="AH4596" s="7">
        <v>46028</v>
      </c>
      <c r="AI4596" s="7">
        <v>46024</v>
      </c>
      <c r="AN4596" s="8">
        <v>0</v>
      </c>
      <c r="AO4596" s="8">
        <v>48</v>
      </c>
    </row>
    <row r="4597" spans="1:41" x14ac:dyDescent="0.25">
      <c r="A4597" s="6" t="str">
        <f t="shared" si="1193"/>
        <v>525-2025000572</v>
      </c>
      <c r="B4597" s="6" t="str">
        <f t="shared" si="1182"/>
        <v>Lasa Int</v>
      </c>
      <c r="C4597" s="7">
        <v>45978</v>
      </c>
      <c r="D4597" s="7">
        <v>46051</v>
      </c>
      <c r="E4597" s="8">
        <v>12</v>
      </c>
      <c r="F4597" s="6" t="str">
        <f t="shared" si="1194"/>
        <v>PURE R</v>
      </c>
      <c r="G4597" s="6" t="str">
        <f>"K110069636000000"</f>
        <v>K110069636000000</v>
      </c>
      <c r="H4597" s="6" t="str">
        <f>"KB 696 Poncho - Kett"</f>
        <v>KB 696 Poncho - Kett</v>
      </c>
      <c r="I4597" s="6" t="str">
        <f t="shared" si="1195"/>
        <v>1822</v>
      </c>
      <c r="J4597" s="6" t="str">
        <f t="shared" si="1196"/>
        <v>ROSA 1822</v>
      </c>
      <c r="K4597" s="6" t="str">
        <f>"5207"</f>
        <v>5207</v>
      </c>
      <c r="L4597" s="6" t="str">
        <f t="shared" si="1199"/>
        <v>Roupões Criança</v>
      </c>
      <c r="M4597" s="6" t="str">
        <f>"6/8 Anos"</f>
        <v>6/8 Anos</v>
      </c>
      <c r="N4597" s="6" t="str">
        <f>"5602972879605"</f>
        <v>5602972879605</v>
      </c>
      <c r="O4597" s="8">
        <v>36</v>
      </c>
      <c r="P4597" s="7">
        <v>45978</v>
      </c>
      <c r="R4597" s="8">
        <v>0</v>
      </c>
      <c r="S4597" s="7">
        <v>45981</v>
      </c>
      <c r="U4597" s="8">
        <v>0</v>
      </c>
      <c r="V4597" s="7">
        <v>45993</v>
      </c>
      <c r="X4597" s="8">
        <v>0</v>
      </c>
      <c r="Z4597" s="8">
        <v>0</v>
      </c>
      <c r="AA4597" s="7">
        <v>46006</v>
      </c>
      <c r="AC4597" s="8">
        <v>0</v>
      </c>
      <c r="AE4597" s="7">
        <v>46028</v>
      </c>
      <c r="AF4597" s="8">
        <v>0</v>
      </c>
      <c r="AH4597" s="7">
        <v>46028</v>
      </c>
      <c r="AI4597" s="7">
        <v>46024</v>
      </c>
      <c r="AN4597" s="8">
        <v>0</v>
      </c>
      <c r="AO4597" s="8">
        <v>36</v>
      </c>
    </row>
    <row r="4598" spans="1:41" x14ac:dyDescent="0.25">
      <c r="A4598" s="6" t="str">
        <f t="shared" ref="A4598:A4633" si="1200">"525-2025000575"</f>
        <v>525-2025000575</v>
      </c>
      <c r="B4598" s="6" t="str">
        <f t="shared" si="1182"/>
        <v>Lasa Int</v>
      </c>
      <c r="C4598" s="7">
        <v>45981</v>
      </c>
      <c r="D4598" s="7">
        <v>46044</v>
      </c>
      <c r="E4598" s="8">
        <v>1</v>
      </c>
      <c r="F4598" s="6" t="str">
        <f t="shared" ref="F4598:F4633" si="1201">"PURE"</f>
        <v>PURE</v>
      </c>
      <c r="G4598" s="6" t="str">
        <f t="shared" ref="G4598:G4630" si="1202">"F100021455000000"</f>
        <v>F100021455000000</v>
      </c>
      <c r="H4598" s="6" t="str">
        <f t="shared" ref="H4598:H4630" si="1203">"FA 214 - PURE - 550"</f>
        <v>FA 214 - PURE - 550</v>
      </c>
      <c r="I4598" s="6" t="str">
        <f>"1670"</f>
        <v>1670</v>
      </c>
      <c r="J4598" s="6" t="str">
        <f>"BEGE 1670"</f>
        <v>BEGE 1670</v>
      </c>
      <c r="K4598" s="6" t="str">
        <f>"1024"</f>
        <v>1024</v>
      </c>
      <c r="L4598" s="6" t="str">
        <f>"Toalhas"</f>
        <v>Toalhas</v>
      </c>
      <c r="M4598" s="6" t="str">
        <f>"50x100"</f>
        <v>50x100</v>
      </c>
      <c r="N4598" s="6" t="str">
        <f>"5602972836301"</f>
        <v>5602972836301</v>
      </c>
      <c r="O4598" s="8">
        <v>480</v>
      </c>
      <c r="P4598" s="7">
        <v>45981</v>
      </c>
      <c r="R4598" s="8">
        <v>2160</v>
      </c>
      <c r="S4598" s="7">
        <v>45986</v>
      </c>
      <c r="U4598" s="8">
        <v>480</v>
      </c>
      <c r="V4598" s="7">
        <v>46001</v>
      </c>
      <c r="X4598" s="8">
        <v>0</v>
      </c>
      <c r="Z4598" s="8">
        <v>480</v>
      </c>
      <c r="AA4598" s="7">
        <v>46020</v>
      </c>
      <c r="AC4598" s="8">
        <v>374</v>
      </c>
      <c r="AE4598" s="7">
        <v>46028</v>
      </c>
      <c r="AF4598" s="8">
        <v>374</v>
      </c>
      <c r="AH4598" s="7">
        <v>46037</v>
      </c>
      <c r="AN4598" s="8">
        <v>374</v>
      </c>
      <c r="AO4598" s="8">
        <v>106</v>
      </c>
    </row>
    <row r="4599" spans="1:41" x14ac:dyDescent="0.25">
      <c r="A4599" s="6" t="str">
        <f t="shared" si="1200"/>
        <v>525-2025000575</v>
      </c>
      <c r="B4599" s="6" t="str">
        <f t="shared" si="1182"/>
        <v>Lasa Int</v>
      </c>
      <c r="C4599" s="7">
        <v>45981</v>
      </c>
      <c r="D4599" s="7">
        <v>46044</v>
      </c>
      <c r="E4599" s="8">
        <v>2</v>
      </c>
      <c r="F4599" s="6" t="str">
        <f t="shared" si="1201"/>
        <v>PURE</v>
      </c>
      <c r="G4599" s="6" t="str">
        <f t="shared" si="1202"/>
        <v>F100021455000000</v>
      </c>
      <c r="H4599" s="6" t="str">
        <f t="shared" si="1203"/>
        <v>FA 214 - PURE - 550</v>
      </c>
      <c r="I4599" s="6" t="str">
        <f>"1670"</f>
        <v>1670</v>
      </c>
      <c r="J4599" s="6" t="str">
        <f>"BEGE 1670"</f>
        <v>BEGE 1670</v>
      </c>
      <c r="K4599" s="6" t="str">
        <f>"1535"</f>
        <v>1535</v>
      </c>
      <c r="L4599" s="6" t="str">
        <f>"Toalhões"</f>
        <v>Toalhões</v>
      </c>
      <c r="M4599" s="6" t="str">
        <f>"70x140"</f>
        <v>70x140</v>
      </c>
      <c r="N4599" s="6" t="str">
        <f>"5602972836318"</f>
        <v>5602972836318</v>
      </c>
      <c r="O4599" s="8">
        <v>240</v>
      </c>
      <c r="P4599" s="7">
        <v>45981</v>
      </c>
      <c r="R4599" s="8">
        <v>3201</v>
      </c>
      <c r="S4599" s="7">
        <v>45986</v>
      </c>
      <c r="U4599" s="8">
        <v>240</v>
      </c>
      <c r="V4599" s="7">
        <v>46001</v>
      </c>
      <c r="X4599" s="8">
        <v>0</v>
      </c>
      <c r="Z4599" s="8">
        <v>240</v>
      </c>
      <c r="AA4599" s="7">
        <v>46020</v>
      </c>
      <c r="AC4599" s="8">
        <v>0</v>
      </c>
      <c r="AE4599" s="7">
        <v>46028</v>
      </c>
      <c r="AF4599" s="8">
        <v>0</v>
      </c>
      <c r="AH4599" s="7">
        <v>46037</v>
      </c>
      <c r="AN4599" s="8">
        <v>0</v>
      </c>
      <c r="AO4599" s="8">
        <v>240</v>
      </c>
    </row>
    <row r="4600" spans="1:41" x14ac:dyDescent="0.25">
      <c r="A4600" s="6" t="str">
        <f t="shared" si="1200"/>
        <v>525-2025000575</v>
      </c>
      <c r="B4600" s="6" t="str">
        <f t="shared" ref="B4600:B4665" si="1204">"Lasa Int"</f>
        <v>Lasa Int</v>
      </c>
      <c r="C4600" s="7">
        <v>45981</v>
      </c>
      <c r="D4600" s="7">
        <v>46044</v>
      </c>
      <c r="E4600" s="8">
        <v>3</v>
      </c>
      <c r="F4600" s="6" t="str">
        <f t="shared" si="1201"/>
        <v>PURE</v>
      </c>
      <c r="G4600" s="6" t="str">
        <f t="shared" si="1202"/>
        <v>F100021455000000</v>
      </c>
      <c r="H4600" s="6" t="str">
        <f t="shared" si="1203"/>
        <v>FA 214 - PURE - 550</v>
      </c>
      <c r="I4600" s="6" t="str">
        <f>"1670"</f>
        <v>1670</v>
      </c>
      <c r="J4600" s="6" t="str">
        <f>"BEGE 1670"</f>
        <v>BEGE 1670</v>
      </c>
      <c r="K4600" s="6" t="str">
        <f>"2020"</f>
        <v>2020</v>
      </c>
      <c r="L4600" s="6" t="str">
        <f>"Lençóis"</f>
        <v>Lençóis</v>
      </c>
      <c r="M4600" s="6" t="str">
        <f>"100x150"</f>
        <v>100x150</v>
      </c>
      <c r="N4600" s="6" t="str">
        <f>"5602972836325"</f>
        <v>5602972836325</v>
      </c>
      <c r="O4600" s="8">
        <v>160</v>
      </c>
      <c r="P4600" s="7">
        <v>45981</v>
      </c>
      <c r="R4600" s="8">
        <v>1200</v>
      </c>
      <c r="S4600" s="7">
        <v>45986</v>
      </c>
      <c r="U4600" s="8">
        <v>160</v>
      </c>
      <c r="V4600" s="7">
        <v>46001</v>
      </c>
      <c r="X4600" s="8">
        <v>0</v>
      </c>
      <c r="Z4600" s="8">
        <v>160</v>
      </c>
      <c r="AA4600" s="7">
        <v>46020</v>
      </c>
      <c r="AC4600" s="8">
        <v>121</v>
      </c>
      <c r="AE4600" s="7">
        <v>46028</v>
      </c>
      <c r="AF4600" s="8">
        <v>121</v>
      </c>
      <c r="AH4600" s="7">
        <v>46037</v>
      </c>
      <c r="AN4600" s="8">
        <v>121</v>
      </c>
      <c r="AO4600" s="8">
        <v>39</v>
      </c>
    </row>
    <row r="4601" spans="1:41" x14ac:dyDescent="0.25">
      <c r="A4601" s="6" t="str">
        <f t="shared" si="1200"/>
        <v>525-2025000575</v>
      </c>
      <c r="B4601" s="6" t="str">
        <f t="shared" si="1204"/>
        <v>Lasa Int</v>
      </c>
      <c r="C4601" s="7">
        <v>45981</v>
      </c>
      <c r="D4601" s="7">
        <v>46044</v>
      </c>
      <c r="E4601" s="8">
        <v>4</v>
      </c>
      <c r="F4601" s="6" t="str">
        <f t="shared" si="1201"/>
        <v>PURE</v>
      </c>
      <c r="G4601" s="6" t="str">
        <f t="shared" si="1202"/>
        <v>F100021455000000</v>
      </c>
      <c r="H4601" s="6" t="str">
        <f t="shared" si="1203"/>
        <v>FA 214 - PURE - 550</v>
      </c>
      <c r="I4601" s="6" t="str">
        <f>"2596"</f>
        <v>2596</v>
      </c>
      <c r="J4601" s="6" t="str">
        <f>"VERDE 2596"</f>
        <v>VERDE 2596</v>
      </c>
      <c r="K4601" s="6" t="str">
        <f>"1024"</f>
        <v>1024</v>
      </c>
      <c r="L4601" s="6" t="str">
        <f>"Toalhas"</f>
        <v>Toalhas</v>
      </c>
      <c r="M4601" s="6" t="str">
        <f>"50x100"</f>
        <v>50x100</v>
      </c>
      <c r="N4601" s="6" t="str">
        <f>"5602972724479"</f>
        <v>5602972724479</v>
      </c>
      <c r="O4601" s="8">
        <v>240</v>
      </c>
      <c r="P4601" s="7">
        <v>45981</v>
      </c>
      <c r="R4601" s="8">
        <v>0</v>
      </c>
      <c r="S4601" s="7">
        <v>45986</v>
      </c>
      <c r="U4601" s="8">
        <v>240</v>
      </c>
      <c r="V4601" s="7">
        <v>46001</v>
      </c>
      <c r="X4601" s="8">
        <v>0</v>
      </c>
      <c r="Z4601" s="8">
        <v>0</v>
      </c>
      <c r="AA4601" s="7">
        <v>46020</v>
      </c>
      <c r="AC4601" s="8">
        <v>0</v>
      </c>
      <c r="AE4601" s="7">
        <v>46028</v>
      </c>
      <c r="AF4601" s="8">
        <v>0</v>
      </c>
      <c r="AH4601" s="7">
        <v>46037</v>
      </c>
      <c r="AN4601" s="8">
        <v>0</v>
      </c>
      <c r="AO4601" s="8">
        <v>240</v>
      </c>
    </row>
    <row r="4602" spans="1:41" x14ac:dyDescent="0.25">
      <c r="A4602" s="6" t="str">
        <f t="shared" si="1200"/>
        <v>525-2025000575</v>
      </c>
      <c r="B4602" s="6" t="str">
        <f t="shared" si="1204"/>
        <v>Lasa Int</v>
      </c>
      <c r="C4602" s="7">
        <v>45981</v>
      </c>
      <c r="D4602" s="7">
        <v>46044</v>
      </c>
      <c r="E4602" s="8">
        <v>5</v>
      </c>
      <c r="F4602" s="6" t="str">
        <f t="shared" si="1201"/>
        <v>PURE</v>
      </c>
      <c r="G4602" s="6" t="str">
        <f t="shared" si="1202"/>
        <v>F100021455000000</v>
      </c>
      <c r="H4602" s="6" t="str">
        <f t="shared" si="1203"/>
        <v>FA 214 - PURE - 550</v>
      </c>
      <c r="I4602" s="6" t="str">
        <f>"2596"</f>
        <v>2596</v>
      </c>
      <c r="J4602" s="6" t="str">
        <f>"VERDE 2596"</f>
        <v>VERDE 2596</v>
      </c>
      <c r="K4602" s="6" t="str">
        <f>"1535"</f>
        <v>1535</v>
      </c>
      <c r="L4602" s="6" t="str">
        <f>"Toalhões"</f>
        <v>Toalhões</v>
      </c>
      <c r="M4602" s="6" t="str">
        <f>"70x140"</f>
        <v>70x140</v>
      </c>
      <c r="N4602" s="6" t="str">
        <f>"5602972724486"</f>
        <v>5602972724486</v>
      </c>
      <c r="O4602" s="8">
        <v>360</v>
      </c>
      <c r="P4602" s="7">
        <v>45981</v>
      </c>
      <c r="R4602" s="8">
        <v>0</v>
      </c>
      <c r="S4602" s="7">
        <v>45986</v>
      </c>
      <c r="U4602" s="8">
        <v>360</v>
      </c>
      <c r="V4602" s="7">
        <v>46001</v>
      </c>
      <c r="X4602" s="8">
        <v>0</v>
      </c>
      <c r="Z4602" s="8">
        <v>0</v>
      </c>
      <c r="AA4602" s="7">
        <v>46020</v>
      </c>
      <c r="AC4602" s="8">
        <v>0</v>
      </c>
      <c r="AE4602" s="7">
        <v>46028</v>
      </c>
      <c r="AF4602" s="8">
        <v>0</v>
      </c>
      <c r="AH4602" s="7">
        <v>46037</v>
      </c>
      <c r="AN4602" s="8">
        <v>0</v>
      </c>
      <c r="AO4602" s="8">
        <v>360</v>
      </c>
    </row>
    <row r="4603" spans="1:41" x14ac:dyDescent="0.25">
      <c r="A4603" s="6" t="str">
        <f t="shared" si="1200"/>
        <v>525-2025000575</v>
      </c>
      <c r="B4603" s="6" t="str">
        <f t="shared" si="1204"/>
        <v>Lasa Int</v>
      </c>
      <c r="C4603" s="7">
        <v>45981</v>
      </c>
      <c r="D4603" s="7">
        <v>46044</v>
      </c>
      <c r="E4603" s="8">
        <v>6</v>
      </c>
      <c r="F4603" s="6" t="str">
        <f t="shared" si="1201"/>
        <v>PURE</v>
      </c>
      <c r="G4603" s="6" t="str">
        <f t="shared" si="1202"/>
        <v>F100021455000000</v>
      </c>
      <c r="H4603" s="6" t="str">
        <f t="shared" si="1203"/>
        <v>FA 214 - PURE - 550</v>
      </c>
      <c r="I4603" s="6" t="str">
        <f>"2596"</f>
        <v>2596</v>
      </c>
      <c r="J4603" s="6" t="str">
        <f>"VERDE 2596"</f>
        <v>VERDE 2596</v>
      </c>
      <c r="K4603" s="6" t="str">
        <f>"2020"</f>
        <v>2020</v>
      </c>
      <c r="L4603" s="6" t="str">
        <f>"Lençóis"</f>
        <v>Lençóis</v>
      </c>
      <c r="M4603" s="6" t="str">
        <f>"100x150"</f>
        <v>100x150</v>
      </c>
      <c r="N4603" s="6" t="str">
        <f>"5602972724493"</f>
        <v>5602972724493</v>
      </c>
      <c r="O4603" s="8">
        <v>160</v>
      </c>
      <c r="P4603" s="7">
        <v>45981</v>
      </c>
      <c r="R4603" s="8">
        <v>0</v>
      </c>
      <c r="S4603" s="7">
        <v>45986</v>
      </c>
      <c r="U4603" s="8">
        <v>160</v>
      </c>
      <c r="V4603" s="7">
        <v>46001</v>
      </c>
      <c r="X4603" s="8">
        <v>0</v>
      </c>
      <c r="Z4603" s="8">
        <v>0</v>
      </c>
      <c r="AA4603" s="7">
        <v>46020</v>
      </c>
      <c r="AC4603" s="8">
        <v>0</v>
      </c>
      <c r="AE4603" s="7">
        <v>46028</v>
      </c>
      <c r="AF4603" s="8">
        <v>0</v>
      </c>
      <c r="AH4603" s="7">
        <v>46037</v>
      </c>
      <c r="AN4603" s="8">
        <v>0</v>
      </c>
      <c r="AO4603" s="8">
        <v>160</v>
      </c>
    </row>
    <row r="4604" spans="1:41" x14ac:dyDescent="0.25">
      <c r="A4604" s="6" t="str">
        <f t="shared" si="1200"/>
        <v>525-2025000575</v>
      </c>
      <c r="B4604" s="6" t="str">
        <f t="shared" si="1204"/>
        <v>Lasa Int</v>
      </c>
      <c r="C4604" s="7">
        <v>45981</v>
      </c>
      <c r="D4604" s="7">
        <v>46044</v>
      </c>
      <c r="E4604" s="8">
        <v>7</v>
      </c>
      <c r="F4604" s="6" t="str">
        <f t="shared" si="1201"/>
        <v>PURE</v>
      </c>
      <c r="G4604" s="6" t="str">
        <f t="shared" si="1202"/>
        <v>F100021455000000</v>
      </c>
      <c r="H4604" s="6" t="str">
        <f t="shared" si="1203"/>
        <v>FA 214 - PURE - 550</v>
      </c>
      <c r="I4604" s="6" t="str">
        <f>"2610"</f>
        <v>2610</v>
      </c>
      <c r="J4604" s="6" t="str">
        <f>"BEGE 2610"</f>
        <v>BEGE 2610</v>
      </c>
      <c r="K4604" s="6" t="str">
        <f>"0530"</f>
        <v>0530</v>
      </c>
      <c r="L4604" s="6" t="str">
        <f>"Toalhetes"</f>
        <v>Toalhetes</v>
      </c>
      <c r="M4604" s="6" t="str">
        <f>"33x50"</f>
        <v>33x50</v>
      </c>
      <c r="N4604" s="6" t="str">
        <f>"5602972836349"</f>
        <v>5602972836349</v>
      </c>
      <c r="O4604" s="8">
        <v>450</v>
      </c>
      <c r="P4604" s="7">
        <v>45981</v>
      </c>
      <c r="R4604" s="8">
        <v>0</v>
      </c>
      <c r="S4604" s="7">
        <v>45986</v>
      </c>
      <c r="U4604" s="8">
        <v>450</v>
      </c>
      <c r="V4604" s="7">
        <v>46001</v>
      </c>
      <c r="X4604" s="8">
        <v>0</v>
      </c>
      <c r="Z4604" s="8">
        <v>450</v>
      </c>
      <c r="AA4604" s="7">
        <v>46020</v>
      </c>
      <c r="AC4604" s="8">
        <v>0</v>
      </c>
      <c r="AE4604" s="7">
        <v>46028</v>
      </c>
      <c r="AF4604" s="8">
        <v>0</v>
      </c>
      <c r="AH4604" s="7">
        <v>46037</v>
      </c>
      <c r="AN4604" s="8">
        <v>0</v>
      </c>
      <c r="AO4604" s="8">
        <v>450</v>
      </c>
    </row>
    <row r="4605" spans="1:41" x14ac:dyDescent="0.25">
      <c r="A4605" s="6" t="str">
        <f t="shared" si="1200"/>
        <v>525-2025000575</v>
      </c>
      <c r="B4605" s="6" t="str">
        <f t="shared" si="1204"/>
        <v>Lasa Int</v>
      </c>
      <c r="C4605" s="7">
        <v>45981</v>
      </c>
      <c r="D4605" s="7">
        <v>46044</v>
      </c>
      <c r="E4605" s="8">
        <v>8</v>
      </c>
      <c r="F4605" s="6" t="str">
        <f t="shared" si="1201"/>
        <v>PURE</v>
      </c>
      <c r="G4605" s="6" t="str">
        <f t="shared" si="1202"/>
        <v>F100021455000000</v>
      </c>
      <c r="H4605" s="6" t="str">
        <f t="shared" si="1203"/>
        <v>FA 214 - PURE - 550</v>
      </c>
      <c r="I4605" s="6" t="str">
        <f>"2610"</f>
        <v>2610</v>
      </c>
      <c r="J4605" s="6" t="str">
        <f>"BEGE 2610"</f>
        <v>BEGE 2610</v>
      </c>
      <c r="K4605" s="6" t="str">
        <f>"1024"</f>
        <v>1024</v>
      </c>
      <c r="L4605" s="6" t="str">
        <f>"Toalhas"</f>
        <v>Toalhas</v>
      </c>
      <c r="M4605" s="6" t="str">
        <f>"50x100"</f>
        <v>50x100</v>
      </c>
      <c r="N4605" s="6" t="str">
        <f>"5602972836356"</f>
        <v>5602972836356</v>
      </c>
      <c r="O4605" s="8">
        <v>480</v>
      </c>
      <c r="P4605" s="7">
        <v>45981</v>
      </c>
      <c r="R4605" s="8">
        <v>0</v>
      </c>
      <c r="S4605" s="7">
        <v>45986</v>
      </c>
      <c r="U4605" s="8">
        <v>480</v>
      </c>
      <c r="V4605" s="7">
        <v>46001</v>
      </c>
      <c r="X4605" s="8">
        <v>0</v>
      </c>
      <c r="Z4605" s="8">
        <v>480</v>
      </c>
      <c r="AA4605" s="7">
        <v>46020</v>
      </c>
      <c r="AC4605" s="8">
        <v>604</v>
      </c>
      <c r="AE4605" s="7">
        <v>46028</v>
      </c>
      <c r="AF4605" s="8">
        <v>604</v>
      </c>
      <c r="AH4605" s="7">
        <v>46037</v>
      </c>
      <c r="AN4605" s="8">
        <v>604</v>
      </c>
      <c r="AO4605" s="8">
        <v>-124</v>
      </c>
    </row>
    <row r="4606" spans="1:41" x14ac:dyDescent="0.25">
      <c r="A4606" s="6" t="str">
        <f t="shared" si="1200"/>
        <v>525-2025000575</v>
      </c>
      <c r="B4606" s="6" t="str">
        <f t="shared" si="1204"/>
        <v>Lasa Int</v>
      </c>
      <c r="C4606" s="7">
        <v>45981</v>
      </c>
      <c r="D4606" s="7">
        <v>46044</v>
      </c>
      <c r="E4606" s="8">
        <v>9</v>
      </c>
      <c r="F4606" s="6" t="str">
        <f t="shared" si="1201"/>
        <v>PURE</v>
      </c>
      <c r="G4606" s="6" t="str">
        <f t="shared" si="1202"/>
        <v>F100021455000000</v>
      </c>
      <c r="H4606" s="6" t="str">
        <f t="shared" si="1203"/>
        <v>FA 214 - PURE - 550</v>
      </c>
      <c r="I4606" s="6" t="str">
        <f>"2610"</f>
        <v>2610</v>
      </c>
      <c r="J4606" s="6" t="str">
        <f>"BEGE 2610"</f>
        <v>BEGE 2610</v>
      </c>
      <c r="K4606" s="6" t="str">
        <f>"1535"</f>
        <v>1535</v>
      </c>
      <c r="L4606" s="6" t="str">
        <f>"Toalhões"</f>
        <v>Toalhões</v>
      </c>
      <c r="M4606" s="6" t="str">
        <f>"70x140"</f>
        <v>70x140</v>
      </c>
      <c r="N4606" s="6" t="str">
        <f>"5602972836363"</f>
        <v>5602972836363</v>
      </c>
      <c r="O4606" s="8">
        <v>360</v>
      </c>
      <c r="P4606" s="7">
        <v>45981</v>
      </c>
      <c r="R4606" s="8">
        <v>0</v>
      </c>
      <c r="S4606" s="7">
        <v>45986</v>
      </c>
      <c r="U4606" s="8">
        <v>360</v>
      </c>
      <c r="V4606" s="7">
        <v>46001</v>
      </c>
      <c r="X4606" s="8">
        <v>0</v>
      </c>
      <c r="Z4606" s="8">
        <v>360</v>
      </c>
      <c r="AA4606" s="7">
        <v>46020</v>
      </c>
      <c r="AC4606" s="8">
        <v>334</v>
      </c>
      <c r="AE4606" s="7">
        <v>46028</v>
      </c>
      <c r="AF4606" s="8">
        <v>334</v>
      </c>
      <c r="AH4606" s="7">
        <v>46037</v>
      </c>
      <c r="AN4606" s="8">
        <v>334</v>
      </c>
      <c r="AO4606" s="8">
        <v>26</v>
      </c>
    </row>
    <row r="4607" spans="1:41" x14ac:dyDescent="0.25">
      <c r="A4607" s="6" t="str">
        <f t="shared" si="1200"/>
        <v>525-2025000575</v>
      </c>
      <c r="B4607" s="6" t="str">
        <f t="shared" si="1204"/>
        <v>Lasa Int</v>
      </c>
      <c r="C4607" s="7">
        <v>45981</v>
      </c>
      <c r="D4607" s="7">
        <v>46044</v>
      </c>
      <c r="E4607" s="8">
        <v>10</v>
      </c>
      <c r="F4607" s="6" t="str">
        <f t="shared" si="1201"/>
        <v>PURE</v>
      </c>
      <c r="G4607" s="6" t="str">
        <f t="shared" si="1202"/>
        <v>F100021455000000</v>
      </c>
      <c r="H4607" s="6" t="str">
        <f t="shared" si="1203"/>
        <v>FA 214 - PURE - 550</v>
      </c>
      <c r="I4607" s="6" t="str">
        <f>"2610"</f>
        <v>2610</v>
      </c>
      <c r="J4607" s="6" t="str">
        <f>"BEGE 2610"</f>
        <v>BEGE 2610</v>
      </c>
      <c r="K4607" s="6" t="str">
        <f>"2020"</f>
        <v>2020</v>
      </c>
      <c r="L4607" s="6" t="str">
        <f>"Lençóis"</f>
        <v>Lençóis</v>
      </c>
      <c r="M4607" s="6" t="str">
        <f>"100x150"</f>
        <v>100x150</v>
      </c>
      <c r="N4607" s="6" t="str">
        <f>"5602972836370"</f>
        <v>5602972836370</v>
      </c>
      <c r="O4607" s="8">
        <v>80</v>
      </c>
      <c r="P4607" s="7">
        <v>45981</v>
      </c>
      <c r="R4607" s="8">
        <v>0</v>
      </c>
      <c r="S4607" s="7">
        <v>45986</v>
      </c>
      <c r="U4607" s="8">
        <v>80</v>
      </c>
      <c r="V4607" s="7">
        <v>46001</v>
      </c>
      <c r="X4607" s="8">
        <v>0</v>
      </c>
      <c r="Z4607" s="8">
        <v>80</v>
      </c>
      <c r="AA4607" s="7">
        <v>46020</v>
      </c>
      <c r="AC4607" s="8">
        <v>42</v>
      </c>
      <c r="AE4607" s="7">
        <v>46028</v>
      </c>
      <c r="AF4607" s="8">
        <v>42</v>
      </c>
      <c r="AH4607" s="7">
        <v>46037</v>
      </c>
      <c r="AN4607" s="8">
        <v>42</v>
      </c>
      <c r="AO4607" s="8">
        <v>38</v>
      </c>
    </row>
    <row r="4608" spans="1:41" x14ac:dyDescent="0.25">
      <c r="A4608" s="6" t="str">
        <f t="shared" si="1200"/>
        <v>525-2025000575</v>
      </c>
      <c r="B4608" s="6" t="str">
        <f t="shared" si="1204"/>
        <v>Lasa Int</v>
      </c>
      <c r="C4608" s="7">
        <v>45981</v>
      </c>
      <c r="D4608" s="7">
        <v>46044</v>
      </c>
      <c r="E4608" s="8">
        <v>11</v>
      </c>
      <c r="F4608" s="6" t="str">
        <f t="shared" si="1201"/>
        <v>PURE</v>
      </c>
      <c r="G4608" s="6" t="str">
        <f t="shared" si="1202"/>
        <v>F100021455000000</v>
      </c>
      <c r="H4608" s="6" t="str">
        <f t="shared" si="1203"/>
        <v>FA 214 - PURE - 550</v>
      </c>
      <c r="I4608" s="6" t="str">
        <f>"2612"</f>
        <v>2612</v>
      </c>
      <c r="J4608" s="6" t="str">
        <f>"VERDE 2612"</f>
        <v>VERDE 2612</v>
      </c>
      <c r="K4608" s="6" t="str">
        <f>"0530"</f>
        <v>0530</v>
      </c>
      <c r="L4608" s="6" t="str">
        <f>"Toalhetes"</f>
        <v>Toalhetes</v>
      </c>
      <c r="M4608" s="6" t="str">
        <f>"33x50"</f>
        <v>33x50</v>
      </c>
      <c r="N4608" s="6" t="str">
        <f>"5602972837094"</f>
        <v>5602972837094</v>
      </c>
      <c r="O4608" s="8">
        <v>450</v>
      </c>
      <c r="P4608" s="7">
        <v>45981</v>
      </c>
      <c r="R4608" s="8">
        <v>0</v>
      </c>
      <c r="S4608" s="7">
        <v>45986</v>
      </c>
      <c r="U4608" s="8">
        <v>450</v>
      </c>
      <c r="V4608" s="7">
        <v>46001</v>
      </c>
      <c r="X4608" s="8">
        <v>0</v>
      </c>
      <c r="Z4608" s="8">
        <v>450</v>
      </c>
      <c r="AA4608" s="7">
        <v>46020</v>
      </c>
      <c r="AC4608" s="8">
        <v>752</v>
      </c>
      <c r="AE4608" s="7">
        <v>46028</v>
      </c>
      <c r="AF4608" s="8">
        <v>752</v>
      </c>
      <c r="AH4608" s="7">
        <v>46037</v>
      </c>
      <c r="AN4608" s="8">
        <v>752</v>
      </c>
      <c r="AO4608" s="8">
        <v>-302</v>
      </c>
    </row>
    <row r="4609" spans="1:41" x14ac:dyDescent="0.25">
      <c r="A4609" s="6" t="str">
        <f t="shared" si="1200"/>
        <v>525-2025000575</v>
      </c>
      <c r="B4609" s="6" t="str">
        <f t="shared" si="1204"/>
        <v>Lasa Int</v>
      </c>
      <c r="C4609" s="7">
        <v>45981</v>
      </c>
      <c r="D4609" s="7">
        <v>46044</v>
      </c>
      <c r="E4609" s="8">
        <v>12</v>
      </c>
      <c r="F4609" s="6" t="str">
        <f t="shared" si="1201"/>
        <v>PURE</v>
      </c>
      <c r="G4609" s="6" t="str">
        <f t="shared" si="1202"/>
        <v>F100021455000000</v>
      </c>
      <c r="H4609" s="6" t="str">
        <f t="shared" si="1203"/>
        <v>FA 214 - PURE - 550</v>
      </c>
      <c r="I4609" s="6" t="str">
        <f>"2612"</f>
        <v>2612</v>
      </c>
      <c r="J4609" s="6" t="str">
        <f>"VERDE 2612"</f>
        <v>VERDE 2612</v>
      </c>
      <c r="K4609" s="6" t="str">
        <f>"1535"</f>
        <v>1535</v>
      </c>
      <c r="L4609" s="6" t="str">
        <f>"Toalhões"</f>
        <v>Toalhões</v>
      </c>
      <c r="M4609" s="6" t="str">
        <f>"70x140"</f>
        <v>70x140</v>
      </c>
      <c r="N4609" s="6" t="str">
        <f>"5602972837117"</f>
        <v>5602972837117</v>
      </c>
      <c r="O4609" s="8">
        <v>240</v>
      </c>
      <c r="P4609" s="7">
        <v>45981</v>
      </c>
      <c r="R4609" s="8">
        <v>0</v>
      </c>
      <c r="S4609" s="7">
        <v>45986</v>
      </c>
      <c r="U4609" s="8">
        <v>240</v>
      </c>
      <c r="V4609" s="7">
        <v>46001</v>
      </c>
      <c r="X4609" s="8">
        <v>0</v>
      </c>
      <c r="Z4609" s="8">
        <v>240</v>
      </c>
      <c r="AA4609" s="7">
        <v>46020</v>
      </c>
      <c r="AC4609" s="8">
        <v>228</v>
      </c>
      <c r="AE4609" s="7">
        <v>46028</v>
      </c>
      <c r="AF4609" s="8">
        <v>228</v>
      </c>
      <c r="AH4609" s="7">
        <v>46037</v>
      </c>
      <c r="AN4609" s="8">
        <v>228</v>
      </c>
      <c r="AO4609" s="8">
        <v>12</v>
      </c>
    </row>
    <row r="4610" spans="1:41" x14ac:dyDescent="0.25">
      <c r="A4610" s="6" t="str">
        <f t="shared" si="1200"/>
        <v>525-2025000575</v>
      </c>
      <c r="B4610" s="6" t="str">
        <f t="shared" si="1204"/>
        <v>Lasa Int</v>
      </c>
      <c r="C4610" s="7">
        <v>45981</v>
      </c>
      <c r="D4610" s="7">
        <v>46044</v>
      </c>
      <c r="E4610" s="8">
        <v>13</v>
      </c>
      <c r="F4610" s="6" t="str">
        <f t="shared" si="1201"/>
        <v>PURE</v>
      </c>
      <c r="G4610" s="6" t="str">
        <f t="shared" si="1202"/>
        <v>F100021455000000</v>
      </c>
      <c r="H4610" s="6" t="str">
        <f t="shared" si="1203"/>
        <v>FA 214 - PURE - 550</v>
      </c>
      <c r="I4610" s="6" t="str">
        <f>"2612"</f>
        <v>2612</v>
      </c>
      <c r="J4610" s="6" t="str">
        <f>"VERDE 2612"</f>
        <v>VERDE 2612</v>
      </c>
      <c r="K4610" s="6" t="str">
        <f>"2020"</f>
        <v>2020</v>
      </c>
      <c r="L4610" s="6" t="str">
        <f>"Lençóis"</f>
        <v>Lençóis</v>
      </c>
      <c r="M4610" s="6" t="str">
        <f>"100x150"</f>
        <v>100x150</v>
      </c>
      <c r="N4610" s="6" t="str">
        <f>"5602972837124"</f>
        <v>5602972837124</v>
      </c>
      <c r="O4610" s="8">
        <v>160</v>
      </c>
      <c r="P4610" s="7">
        <v>45981</v>
      </c>
      <c r="R4610" s="8">
        <v>0</v>
      </c>
      <c r="S4610" s="7">
        <v>45986</v>
      </c>
      <c r="U4610" s="8">
        <v>160</v>
      </c>
      <c r="V4610" s="7">
        <v>46001</v>
      </c>
      <c r="X4610" s="8">
        <v>0</v>
      </c>
      <c r="Z4610" s="8">
        <v>160</v>
      </c>
      <c r="AA4610" s="7">
        <v>46020</v>
      </c>
      <c r="AC4610" s="8">
        <v>146</v>
      </c>
      <c r="AE4610" s="7">
        <v>46028</v>
      </c>
      <c r="AF4610" s="8">
        <v>146</v>
      </c>
      <c r="AH4610" s="7">
        <v>46037</v>
      </c>
      <c r="AN4610" s="8">
        <v>146</v>
      </c>
      <c r="AO4610" s="8">
        <v>14</v>
      </c>
    </row>
    <row r="4611" spans="1:41" x14ac:dyDescent="0.25">
      <c r="A4611" s="6" t="str">
        <f t="shared" si="1200"/>
        <v>525-2025000575</v>
      </c>
      <c r="B4611" s="6" t="str">
        <f t="shared" si="1204"/>
        <v>Lasa Int</v>
      </c>
      <c r="C4611" s="7">
        <v>45981</v>
      </c>
      <c r="D4611" s="7">
        <v>46044</v>
      </c>
      <c r="E4611" s="8">
        <v>14</v>
      </c>
      <c r="F4611" s="6" t="str">
        <f t="shared" si="1201"/>
        <v>PURE</v>
      </c>
      <c r="G4611" s="6" t="str">
        <f t="shared" si="1202"/>
        <v>F100021455000000</v>
      </c>
      <c r="H4611" s="6" t="str">
        <f t="shared" si="1203"/>
        <v>FA 214 - PURE - 550</v>
      </c>
      <c r="I4611" s="6" t="str">
        <f>"3"</f>
        <v>3</v>
      </c>
      <c r="J4611" s="6" t="str">
        <f>"PRETO Sulf"</f>
        <v>PRETO Sulf</v>
      </c>
      <c r="K4611" s="6" t="str">
        <f>"0112"</f>
        <v>0112</v>
      </c>
      <c r="L4611" s="6" t="str">
        <f>"Luvas"</f>
        <v>Luvas</v>
      </c>
      <c r="M4611" s="6" t="str">
        <f>"16x21"</f>
        <v>16x21</v>
      </c>
      <c r="N4611" s="6" t="str">
        <f>"5602972837186"</f>
        <v>5602972837186</v>
      </c>
      <c r="O4611" s="8">
        <v>300</v>
      </c>
      <c r="P4611" s="7">
        <v>45981</v>
      </c>
      <c r="R4611" s="8">
        <v>0</v>
      </c>
      <c r="S4611" s="7">
        <v>45986</v>
      </c>
      <c r="U4611" s="8">
        <v>300</v>
      </c>
      <c r="V4611" s="7">
        <v>46001</v>
      </c>
      <c r="X4611" s="8">
        <v>0</v>
      </c>
      <c r="Z4611" s="8">
        <v>300</v>
      </c>
      <c r="AA4611" s="7">
        <v>46020</v>
      </c>
      <c r="AC4611" s="8">
        <v>0</v>
      </c>
      <c r="AE4611" s="7">
        <v>46028</v>
      </c>
      <c r="AF4611" s="8">
        <v>0</v>
      </c>
      <c r="AH4611" s="7">
        <v>46037</v>
      </c>
      <c r="AN4611" s="8">
        <v>0</v>
      </c>
      <c r="AO4611" s="8">
        <v>300</v>
      </c>
    </row>
    <row r="4612" spans="1:41" x14ac:dyDescent="0.25">
      <c r="A4612" s="6" t="str">
        <f t="shared" si="1200"/>
        <v>525-2025000575</v>
      </c>
      <c r="B4612" s="6" t="str">
        <f t="shared" si="1204"/>
        <v>Lasa Int</v>
      </c>
      <c r="C4612" s="7">
        <v>45981</v>
      </c>
      <c r="D4612" s="7">
        <v>46044</v>
      </c>
      <c r="E4612" s="8">
        <v>15</v>
      </c>
      <c r="F4612" s="6" t="str">
        <f t="shared" si="1201"/>
        <v>PURE</v>
      </c>
      <c r="G4612" s="6" t="str">
        <f t="shared" si="1202"/>
        <v>F100021455000000</v>
      </c>
      <c r="H4612" s="6" t="str">
        <f t="shared" si="1203"/>
        <v>FA 214 - PURE - 550</v>
      </c>
      <c r="I4612" s="6" t="str">
        <f>"3"</f>
        <v>3</v>
      </c>
      <c r="J4612" s="6" t="str">
        <f>"PRETO Sulf"</f>
        <v>PRETO Sulf</v>
      </c>
      <c r="K4612" s="6" t="str">
        <f>"0530"</f>
        <v>0530</v>
      </c>
      <c r="L4612" s="6" t="str">
        <f>"Toalhetes"</f>
        <v>Toalhetes</v>
      </c>
      <c r="M4612" s="6" t="str">
        <f>"33x50"</f>
        <v>33x50</v>
      </c>
      <c r="N4612" s="6" t="str">
        <f>"5602972837193"</f>
        <v>5602972837193</v>
      </c>
      <c r="O4612" s="8">
        <v>450</v>
      </c>
      <c r="P4612" s="7">
        <v>45981</v>
      </c>
      <c r="R4612" s="8">
        <v>0</v>
      </c>
      <c r="S4612" s="7">
        <v>45986</v>
      </c>
      <c r="U4612" s="8">
        <v>450</v>
      </c>
      <c r="V4612" s="7">
        <v>46001</v>
      </c>
      <c r="X4612" s="8">
        <v>0</v>
      </c>
      <c r="Z4612" s="8">
        <v>450</v>
      </c>
      <c r="AA4612" s="7">
        <v>46020</v>
      </c>
      <c r="AC4612" s="8">
        <v>194</v>
      </c>
      <c r="AE4612" s="7">
        <v>46028</v>
      </c>
      <c r="AF4612" s="8">
        <v>194</v>
      </c>
      <c r="AH4612" s="7">
        <v>46037</v>
      </c>
      <c r="AN4612" s="8">
        <v>194</v>
      </c>
      <c r="AO4612" s="8">
        <v>256</v>
      </c>
    </row>
    <row r="4613" spans="1:41" x14ac:dyDescent="0.25">
      <c r="A4613" s="6" t="str">
        <f t="shared" si="1200"/>
        <v>525-2025000575</v>
      </c>
      <c r="B4613" s="6" t="str">
        <f t="shared" si="1204"/>
        <v>Lasa Int</v>
      </c>
      <c r="C4613" s="7">
        <v>45981</v>
      </c>
      <c r="D4613" s="7">
        <v>46044</v>
      </c>
      <c r="E4613" s="8">
        <v>16</v>
      </c>
      <c r="F4613" s="6" t="str">
        <f t="shared" si="1201"/>
        <v>PURE</v>
      </c>
      <c r="G4613" s="6" t="str">
        <f t="shared" si="1202"/>
        <v>F100021455000000</v>
      </c>
      <c r="H4613" s="6" t="str">
        <f t="shared" si="1203"/>
        <v>FA 214 - PURE - 550</v>
      </c>
      <c r="I4613" s="6" t="str">
        <f>"3"</f>
        <v>3</v>
      </c>
      <c r="J4613" s="6" t="str">
        <f>"PRETO Sulf"</f>
        <v>PRETO Sulf</v>
      </c>
      <c r="K4613" s="6" t="str">
        <f>"1024"</f>
        <v>1024</v>
      </c>
      <c r="L4613" s="6" t="str">
        <f>"Toalhas"</f>
        <v>Toalhas</v>
      </c>
      <c r="M4613" s="6" t="str">
        <f>"50x100"</f>
        <v>50x100</v>
      </c>
      <c r="N4613" s="6" t="str">
        <f>"5602972837209"</f>
        <v>5602972837209</v>
      </c>
      <c r="O4613" s="8">
        <v>720</v>
      </c>
      <c r="P4613" s="7">
        <v>45981</v>
      </c>
      <c r="R4613" s="8">
        <v>0</v>
      </c>
      <c r="S4613" s="7">
        <v>45986</v>
      </c>
      <c r="U4613" s="8">
        <v>720</v>
      </c>
      <c r="V4613" s="7">
        <v>46001</v>
      </c>
      <c r="X4613" s="8">
        <v>0</v>
      </c>
      <c r="Z4613" s="8">
        <v>720</v>
      </c>
      <c r="AA4613" s="7">
        <v>46020</v>
      </c>
      <c r="AC4613" s="8">
        <v>324</v>
      </c>
      <c r="AE4613" s="7">
        <v>46028</v>
      </c>
      <c r="AF4613" s="8">
        <v>324</v>
      </c>
      <c r="AH4613" s="7">
        <v>46037</v>
      </c>
      <c r="AN4613" s="8">
        <v>324</v>
      </c>
      <c r="AO4613" s="8">
        <v>396</v>
      </c>
    </row>
    <row r="4614" spans="1:41" x14ac:dyDescent="0.25">
      <c r="A4614" s="6" t="str">
        <f t="shared" si="1200"/>
        <v>525-2025000575</v>
      </c>
      <c r="B4614" s="6" t="str">
        <f t="shared" si="1204"/>
        <v>Lasa Int</v>
      </c>
      <c r="C4614" s="7">
        <v>45981</v>
      </c>
      <c r="D4614" s="7">
        <v>46044</v>
      </c>
      <c r="E4614" s="8">
        <v>17</v>
      </c>
      <c r="F4614" s="6" t="str">
        <f t="shared" si="1201"/>
        <v>PURE</v>
      </c>
      <c r="G4614" s="6" t="str">
        <f t="shared" si="1202"/>
        <v>F100021455000000</v>
      </c>
      <c r="H4614" s="6" t="str">
        <f t="shared" si="1203"/>
        <v>FA 214 - PURE - 550</v>
      </c>
      <c r="I4614" s="6" t="str">
        <f>"3"</f>
        <v>3</v>
      </c>
      <c r="J4614" s="6" t="str">
        <f>"PRETO Sulf"</f>
        <v>PRETO Sulf</v>
      </c>
      <c r="K4614" s="6" t="str">
        <f>"1535"</f>
        <v>1535</v>
      </c>
      <c r="L4614" s="6" t="str">
        <f>"Toalhões"</f>
        <v>Toalhões</v>
      </c>
      <c r="M4614" s="6" t="str">
        <f>"70x140"</f>
        <v>70x140</v>
      </c>
      <c r="N4614" s="6" t="str">
        <f>"5602972837216"</f>
        <v>5602972837216</v>
      </c>
      <c r="O4614" s="8">
        <v>240</v>
      </c>
      <c r="P4614" s="7">
        <v>45981</v>
      </c>
      <c r="R4614" s="8">
        <v>0</v>
      </c>
      <c r="S4614" s="7">
        <v>45986</v>
      </c>
      <c r="U4614" s="8">
        <v>240</v>
      </c>
      <c r="V4614" s="7">
        <v>46001</v>
      </c>
      <c r="X4614" s="8">
        <v>0</v>
      </c>
      <c r="Z4614" s="8">
        <v>240</v>
      </c>
      <c r="AA4614" s="7">
        <v>46020</v>
      </c>
      <c r="AC4614" s="8">
        <v>0</v>
      </c>
      <c r="AE4614" s="7">
        <v>46028</v>
      </c>
      <c r="AF4614" s="8">
        <v>0</v>
      </c>
      <c r="AH4614" s="7">
        <v>46037</v>
      </c>
      <c r="AN4614" s="8">
        <v>0</v>
      </c>
      <c r="AO4614" s="8">
        <v>240</v>
      </c>
    </row>
    <row r="4615" spans="1:41" x14ac:dyDescent="0.25">
      <c r="A4615" s="6" t="str">
        <f t="shared" si="1200"/>
        <v>525-2025000575</v>
      </c>
      <c r="B4615" s="6" t="str">
        <f t="shared" si="1204"/>
        <v>Lasa Int</v>
      </c>
      <c r="C4615" s="7">
        <v>45981</v>
      </c>
      <c r="D4615" s="7">
        <v>46044</v>
      </c>
      <c r="E4615" s="8">
        <v>18</v>
      </c>
      <c r="F4615" s="6" t="str">
        <f t="shared" si="1201"/>
        <v>PURE</v>
      </c>
      <c r="G4615" s="6" t="str">
        <f t="shared" si="1202"/>
        <v>F100021455000000</v>
      </c>
      <c r="H4615" s="6" t="str">
        <f t="shared" si="1203"/>
        <v>FA 214 - PURE - 550</v>
      </c>
      <c r="I4615" s="6" t="str">
        <f>"3"</f>
        <v>3</v>
      </c>
      <c r="J4615" s="6" t="str">
        <f>"PRETO Sulf"</f>
        <v>PRETO Sulf</v>
      </c>
      <c r="K4615" s="6" t="str">
        <f>"2020"</f>
        <v>2020</v>
      </c>
      <c r="L4615" s="6" t="str">
        <f>"Lençóis"</f>
        <v>Lençóis</v>
      </c>
      <c r="M4615" s="6" t="str">
        <f>"100x150"</f>
        <v>100x150</v>
      </c>
      <c r="N4615" s="6" t="str">
        <f>"5602972837223"</f>
        <v>5602972837223</v>
      </c>
      <c r="O4615" s="8">
        <v>160</v>
      </c>
      <c r="P4615" s="7">
        <v>45981</v>
      </c>
      <c r="R4615" s="8">
        <v>0</v>
      </c>
      <c r="S4615" s="7">
        <v>45986</v>
      </c>
      <c r="U4615" s="8">
        <v>160</v>
      </c>
      <c r="V4615" s="7">
        <v>46001</v>
      </c>
      <c r="X4615" s="8">
        <v>0</v>
      </c>
      <c r="Z4615" s="8">
        <v>160</v>
      </c>
      <c r="AA4615" s="7">
        <v>46020</v>
      </c>
      <c r="AC4615" s="8">
        <v>0</v>
      </c>
      <c r="AE4615" s="7">
        <v>46028</v>
      </c>
      <c r="AF4615" s="8">
        <v>0</v>
      </c>
      <c r="AH4615" s="7">
        <v>46037</v>
      </c>
      <c r="AN4615" s="8">
        <v>0</v>
      </c>
      <c r="AO4615" s="8">
        <v>160</v>
      </c>
    </row>
    <row r="4616" spans="1:41" x14ac:dyDescent="0.25">
      <c r="A4616" s="6" t="str">
        <f t="shared" si="1200"/>
        <v>525-2025000575</v>
      </c>
      <c r="B4616" s="6" t="str">
        <f t="shared" si="1204"/>
        <v>Lasa Int</v>
      </c>
      <c r="C4616" s="7">
        <v>45981</v>
      </c>
      <c r="D4616" s="7">
        <v>46044</v>
      </c>
      <c r="E4616" s="8">
        <v>19</v>
      </c>
      <c r="F4616" s="6" t="str">
        <f t="shared" si="1201"/>
        <v>PURE</v>
      </c>
      <c r="G4616" s="6" t="str">
        <f t="shared" si="1202"/>
        <v>F100021455000000</v>
      </c>
      <c r="H4616" s="6" t="str">
        <f t="shared" si="1203"/>
        <v>FA 214 - PURE - 550</v>
      </c>
      <c r="I4616" s="6" t="str">
        <f>"3073"</f>
        <v>3073</v>
      </c>
      <c r="J4616" s="6" t="str">
        <f>"CINZA 3073"</f>
        <v>CINZA 3073</v>
      </c>
      <c r="K4616" s="6" t="str">
        <f>"0530"</f>
        <v>0530</v>
      </c>
      <c r="L4616" s="6" t="str">
        <f>"Toalhetes"</f>
        <v>Toalhetes</v>
      </c>
      <c r="M4616" s="6" t="str">
        <f>"33x50"</f>
        <v>33x50</v>
      </c>
      <c r="N4616" s="6" t="str">
        <f>"5602972877885"</f>
        <v>5602972877885</v>
      </c>
      <c r="O4616" s="8">
        <v>450</v>
      </c>
      <c r="P4616" s="7">
        <v>45981</v>
      </c>
      <c r="R4616" s="8">
        <v>0</v>
      </c>
      <c r="S4616" s="7">
        <v>45986</v>
      </c>
      <c r="U4616" s="8">
        <v>450</v>
      </c>
      <c r="V4616" s="7">
        <v>46001</v>
      </c>
      <c r="X4616" s="8">
        <v>0</v>
      </c>
      <c r="Z4616" s="8">
        <v>450</v>
      </c>
      <c r="AA4616" s="7">
        <v>46020</v>
      </c>
      <c r="AC4616" s="8">
        <v>516</v>
      </c>
      <c r="AE4616" s="7">
        <v>46028</v>
      </c>
      <c r="AF4616" s="8">
        <v>516</v>
      </c>
      <c r="AH4616" s="7">
        <v>46037</v>
      </c>
      <c r="AN4616" s="8">
        <v>516</v>
      </c>
      <c r="AO4616" s="8">
        <v>-66</v>
      </c>
    </row>
    <row r="4617" spans="1:41" x14ac:dyDescent="0.25">
      <c r="A4617" s="6" t="str">
        <f t="shared" si="1200"/>
        <v>525-2025000575</v>
      </c>
      <c r="B4617" s="6" t="str">
        <f t="shared" si="1204"/>
        <v>Lasa Int</v>
      </c>
      <c r="C4617" s="7">
        <v>45981</v>
      </c>
      <c r="D4617" s="7">
        <v>46044</v>
      </c>
      <c r="E4617" s="8">
        <v>20</v>
      </c>
      <c r="F4617" s="6" t="str">
        <f t="shared" si="1201"/>
        <v>PURE</v>
      </c>
      <c r="G4617" s="6" t="str">
        <f t="shared" si="1202"/>
        <v>F100021455000000</v>
      </c>
      <c r="H4617" s="6" t="str">
        <f t="shared" si="1203"/>
        <v>FA 214 - PURE - 550</v>
      </c>
      <c r="I4617" s="6" t="str">
        <f>"3073"</f>
        <v>3073</v>
      </c>
      <c r="J4617" s="6" t="str">
        <f>"CINZA 3073"</f>
        <v>CINZA 3073</v>
      </c>
      <c r="K4617" s="6" t="str">
        <f>"1024"</f>
        <v>1024</v>
      </c>
      <c r="L4617" s="6" t="str">
        <f>"Toalhas"</f>
        <v>Toalhas</v>
      </c>
      <c r="M4617" s="6" t="str">
        <f>"50x100"</f>
        <v>50x100</v>
      </c>
      <c r="N4617" s="6" t="str">
        <f>"5602972877892"</f>
        <v>5602972877892</v>
      </c>
      <c r="O4617" s="8">
        <v>480</v>
      </c>
      <c r="P4617" s="7">
        <v>45981</v>
      </c>
      <c r="R4617" s="8">
        <v>0</v>
      </c>
      <c r="S4617" s="7">
        <v>45986</v>
      </c>
      <c r="U4617" s="8">
        <v>480</v>
      </c>
      <c r="V4617" s="7">
        <v>46001</v>
      </c>
      <c r="X4617" s="8">
        <v>0</v>
      </c>
      <c r="Z4617" s="8">
        <v>480</v>
      </c>
      <c r="AA4617" s="7">
        <v>46020</v>
      </c>
      <c r="AC4617" s="8">
        <v>520</v>
      </c>
      <c r="AE4617" s="7">
        <v>46028</v>
      </c>
      <c r="AF4617" s="8">
        <v>520</v>
      </c>
      <c r="AH4617" s="7">
        <v>46037</v>
      </c>
      <c r="AN4617" s="8">
        <v>520</v>
      </c>
      <c r="AO4617" s="8">
        <v>-40</v>
      </c>
    </row>
    <row r="4618" spans="1:41" x14ac:dyDescent="0.25">
      <c r="A4618" s="6" t="str">
        <f t="shared" si="1200"/>
        <v>525-2025000575</v>
      </c>
      <c r="B4618" s="6" t="str">
        <f t="shared" si="1204"/>
        <v>Lasa Int</v>
      </c>
      <c r="C4618" s="7">
        <v>45981</v>
      </c>
      <c r="D4618" s="7">
        <v>46044</v>
      </c>
      <c r="E4618" s="8">
        <v>21</v>
      </c>
      <c r="F4618" s="6" t="str">
        <f t="shared" si="1201"/>
        <v>PURE</v>
      </c>
      <c r="G4618" s="6" t="str">
        <f t="shared" si="1202"/>
        <v>F100021455000000</v>
      </c>
      <c r="H4618" s="6" t="str">
        <f t="shared" si="1203"/>
        <v>FA 214 - PURE - 550</v>
      </c>
      <c r="I4618" s="6" t="str">
        <f>"3073"</f>
        <v>3073</v>
      </c>
      <c r="J4618" s="6" t="str">
        <f>"CINZA 3073"</f>
        <v>CINZA 3073</v>
      </c>
      <c r="K4618" s="6" t="str">
        <f>"1535"</f>
        <v>1535</v>
      </c>
      <c r="L4618" s="6" t="str">
        <f>"Toalhões"</f>
        <v>Toalhões</v>
      </c>
      <c r="M4618" s="6" t="str">
        <f>"70x140"</f>
        <v>70x140</v>
      </c>
      <c r="N4618" s="6" t="str">
        <f>"5602972877908"</f>
        <v>5602972877908</v>
      </c>
      <c r="O4618" s="8">
        <v>720</v>
      </c>
      <c r="P4618" s="7">
        <v>45981</v>
      </c>
      <c r="R4618" s="8">
        <v>0</v>
      </c>
      <c r="S4618" s="7">
        <v>45986</v>
      </c>
      <c r="U4618" s="8">
        <v>720</v>
      </c>
      <c r="V4618" s="7">
        <v>46001</v>
      </c>
      <c r="X4618" s="8">
        <v>0</v>
      </c>
      <c r="Z4618" s="8">
        <v>720</v>
      </c>
      <c r="AA4618" s="7">
        <v>46020</v>
      </c>
      <c r="AC4618" s="8">
        <v>697</v>
      </c>
      <c r="AE4618" s="7">
        <v>46028</v>
      </c>
      <c r="AF4618" s="8">
        <v>697</v>
      </c>
      <c r="AH4618" s="7">
        <v>46037</v>
      </c>
      <c r="AN4618" s="8">
        <v>697</v>
      </c>
      <c r="AO4618" s="8">
        <v>23</v>
      </c>
    </row>
    <row r="4619" spans="1:41" x14ac:dyDescent="0.25">
      <c r="A4619" s="6" t="str">
        <f t="shared" si="1200"/>
        <v>525-2025000575</v>
      </c>
      <c r="B4619" s="6" t="str">
        <f t="shared" si="1204"/>
        <v>Lasa Int</v>
      </c>
      <c r="C4619" s="7">
        <v>45981</v>
      </c>
      <c r="D4619" s="7">
        <v>46044</v>
      </c>
      <c r="E4619" s="8">
        <v>22</v>
      </c>
      <c r="F4619" s="6" t="str">
        <f t="shared" si="1201"/>
        <v>PURE</v>
      </c>
      <c r="G4619" s="6" t="str">
        <f t="shared" si="1202"/>
        <v>F100021455000000</v>
      </c>
      <c r="H4619" s="6" t="str">
        <f t="shared" si="1203"/>
        <v>FA 214 - PURE - 550</v>
      </c>
      <c r="I4619" s="6" t="str">
        <f>"3073"</f>
        <v>3073</v>
      </c>
      <c r="J4619" s="6" t="str">
        <f>"CINZA 3073"</f>
        <v>CINZA 3073</v>
      </c>
      <c r="K4619" s="6" t="str">
        <f>"2020"</f>
        <v>2020</v>
      </c>
      <c r="L4619" s="6" t="str">
        <f>"Lençóis"</f>
        <v>Lençóis</v>
      </c>
      <c r="M4619" s="6" t="str">
        <f>"100x150"</f>
        <v>100x150</v>
      </c>
      <c r="N4619" s="6" t="str">
        <f>"5602972877915"</f>
        <v>5602972877915</v>
      </c>
      <c r="O4619" s="8">
        <v>240</v>
      </c>
      <c r="P4619" s="7">
        <v>45981</v>
      </c>
      <c r="R4619" s="8">
        <v>0</v>
      </c>
      <c r="S4619" s="7">
        <v>45986</v>
      </c>
      <c r="U4619" s="8">
        <v>240</v>
      </c>
      <c r="V4619" s="7">
        <v>46001</v>
      </c>
      <c r="X4619" s="8">
        <v>0</v>
      </c>
      <c r="Z4619" s="8">
        <v>240</v>
      </c>
      <c r="AA4619" s="7">
        <v>46020</v>
      </c>
      <c r="AC4619" s="8">
        <v>146</v>
      </c>
      <c r="AE4619" s="7">
        <v>46028</v>
      </c>
      <c r="AF4619" s="8">
        <v>146</v>
      </c>
      <c r="AH4619" s="7">
        <v>46037</v>
      </c>
      <c r="AN4619" s="8">
        <v>135</v>
      </c>
      <c r="AO4619" s="8">
        <v>105</v>
      </c>
    </row>
    <row r="4620" spans="1:41" x14ac:dyDescent="0.25">
      <c r="A4620" s="6" t="str">
        <f t="shared" si="1200"/>
        <v>525-2025000575</v>
      </c>
      <c r="B4620" s="6" t="str">
        <f t="shared" si="1204"/>
        <v>Lasa Int</v>
      </c>
      <c r="C4620" s="7">
        <v>45981</v>
      </c>
      <c r="D4620" s="7">
        <v>46044</v>
      </c>
      <c r="E4620" s="8">
        <v>23</v>
      </c>
      <c r="F4620" s="6" t="str">
        <f t="shared" si="1201"/>
        <v>PURE</v>
      </c>
      <c r="G4620" s="6" t="str">
        <f t="shared" si="1202"/>
        <v>F100021455000000</v>
      </c>
      <c r="H4620" s="6" t="str">
        <f t="shared" si="1203"/>
        <v>FA 214 - PURE - 550</v>
      </c>
      <c r="I4620" s="6" t="str">
        <f>"3236"</f>
        <v>3236</v>
      </c>
      <c r="J4620" s="6" t="str">
        <f>"TURQUESA 3236"</f>
        <v>TURQUESA 3236</v>
      </c>
      <c r="K4620" s="6" t="str">
        <f>"0530"</f>
        <v>0530</v>
      </c>
      <c r="L4620" s="6" t="str">
        <f>"Toalhetes"</f>
        <v>Toalhetes</v>
      </c>
      <c r="M4620" s="6" t="str">
        <f>"33x50"</f>
        <v>33x50</v>
      </c>
      <c r="N4620" s="6" t="str">
        <f>"5602972895339"</f>
        <v>5602972895339</v>
      </c>
      <c r="O4620" s="8">
        <v>450</v>
      </c>
      <c r="P4620" s="7">
        <v>45981</v>
      </c>
      <c r="R4620" s="8">
        <v>0</v>
      </c>
      <c r="S4620" s="7">
        <v>45986</v>
      </c>
      <c r="U4620" s="8">
        <v>450</v>
      </c>
      <c r="V4620" s="7">
        <v>46001</v>
      </c>
      <c r="X4620" s="8">
        <v>0</v>
      </c>
      <c r="Z4620" s="8">
        <v>450</v>
      </c>
      <c r="AA4620" s="7">
        <v>46020</v>
      </c>
      <c r="AC4620" s="8">
        <v>408</v>
      </c>
      <c r="AE4620" s="7">
        <v>46028</v>
      </c>
      <c r="AF4620" s="8">
        <v>408</v>
      </c>
      <c r="AH4620" s="7">
        <v>46037</v>
      </c>
      <c r="AN4620" s="8">
        <v>408</v>
      </c>
      <c r="AO4620" s="8">
        <v>42</v>
      </c>
    </row>
    <row r="4621" spans="1:41" x14ac:dyDescent="0.25">
      <c r="A4621" s="6" t="str">
        <f t="shared" si="1200"/>
        <v>525-2025000575</v>
      </c>
      <c r="B4621" s="6" t="str">
        <f t="shared" si="1204"/>
        <v>Lasa Int</v>
      </c>
      <c r="C4621" s="7">
        <v>45981</v>
      </c>
      <c r="D4621" s="7">
        <v>46044</v>
      </c>
      <c r="E4621" s="8">
        <v>24</v>
      </c>
      <c r="F4621" s="6" t="str">
        <f t="shared" si="1201"/>
        <v>PURE</v>
      </c>
      <c r="G4621" s="6" t="str">
        <f t="shared" si="1202"/>
        <v>F100021455000000</v>
      </c>
      <c r="H4621" s="6" t="str">
        <f t="shared" si="1203"/>
        <v>FA 214 - PURE - 550</v>
      </c>
      <c r="I4621" s="6" t="str">
        <f>"3236"</f>
        <v>3236</v>
      </c>
      <c r="J4621" s="6" t="str">
        <f>"TURQUESA 3236"</f>
        <v>TURQUESA 3236</v>
      </c>
      <c r="K4621" s="6" t="str">
        <f>"1024"</f>
        <v>1024</v>
      </c>
      <c r="L4621" s="6" t="str">
        <f>"Toalhas"</f>
        <v>Toalhas</v>
      </c>
      <c r="M4621" s="6" t="str">
        <f>"50x100"</f>
        <v>50x100</v>
      </c>
      <c r="N4621" s="6" t="str">
        <f>"5602972895346"</f>
        <v>5602972895346</v>
      </c>
      <c r="O4621" s="8">
        <v>480</v>
      </c>
      <c r="P4621" s="7">
        <v>45981</v>
      </c>
      <c r="R4621" s="8">
        <v>0</v>
      </c>
      <c r="S4621" s="7">
        <v>45986</v>
      </c>
      <c r="U4621" s="8">
        <v>480</v>
      </c>
      <c r="V4621" s="7">
        <v>46001</v>
      </c>
      <c r="X4621" s="8">
        <v>0</v>
      </c>
      <c r="Z4621" s="8">
        <v>480</v>
      </c>
      <c r="AA4621" s="7">
        <v>46020</v>
      </c>
      <c r="AC4621" s="8">
        <v>498</v>
      </c>
      <c r="AE4621" s="7">
        <v>46028</v>
      </c>
      <c r="AF4621" s="8">
        <v>498</v>
      </c>
      <c r="AH4621" s="7">
        <v>46037</v>
      </c>
      <c r="AN4621" s="8">
        <v>498</v>
      </c>
      <c r="AO4621" s="8">
        <v>-18</v>
      </c>
    </row>
    <row r="4622" spans="1:41" x14ac:dyDescent="0.25">
      <c r="A4622" s="6" t="str">
        <f t="shared" si="1200"/>
        <v>525-2025000575</v>
      </c>
      <c r="B4622" s="6" t="str">
        <f t="shared" si="1204"/>
        <v>Lasa Int</v>
      </c>
      <c r="C4622" s="7">
        <v>45981</v>
      </c>
      <c r="D4622" s="7">
        <v>46044</v>
      </c>
      <c r="E4622" s="8">
        <v>25</v>
      </c>
      <c r="F4622" s="6" t="str">
        <f t="shared" si="1201"/>
        <v>PURE</v>
      </c>
      <c r="G4622" s="6" t="str">
        <f t="shared" si="1202"/>
        <v>F100021455000000</v>
      </c>
      <c r="H4622" s="6" t="str">
        <f t="shared" si="1203"/>
        <v>FA 214 - PURE - 550</v>
      </c>
      <c r="I4622" s="6" t="str">
        <f>"3236"</f>
        <v>3236</v>
      </c>
      <c r="J4622" s="6" t="str">
        <f>"TURQUESA 3236"</f>
        <v>TURQUESA 3236</v>
      </c>
      <c r="K4622" s="6" t="str">
        <f>"1535"</f>
        <v>1535</v>
      </c>
      <c r="L4622" s="6" t="str">
        <f>"Toalhões"</f>
        <v>Toalhões</v>
      </c>
      <c r="M4622" s="6" t="str">
        <f>"70x140"</f>
        <v>70x140</v>
      </c>
      <c r="N4622" s="6" t="str">
        <f>"5602972895353"</f>
        <v>5602972895353</v>
      </c>
      <c r="O4622" s="8">
        <v>240</v>
      </c>
      <c r="P4622" s="7">
        <v>45981</v>
      </c>
      <c r="R4622" s="8">
        <v>0</v>
      </c>
      <c r="S4622" s="7">
        <v>45986</v>
      </c>
      <c r="U4622" s="8">
        <v>240</v>
      </c>
      <c r="V4622" s="7">
        <v>46001</v>
      </c>
      <c r="X4622" s="8">
        <v>0</v>
      </c>
      <c r="Z4622" s="8">
        <v>240</v>
      </c>
      <c r="AA4622" s="7">
        <v>46020</v>
      </c>
      <c r="AC4622" s="8">
        <v>224</v>
      </c>
      <c r="AE4622" s="7">
        <v>46028</v>
      </c>
      <c r="AF4622" s="8">
        <v>224</v>
      </c>
      <c r="AH4622" s="7">
        <v>46037</v>
      </c>
      <c r="AN4622" s="8">
        <v>224</v>
      </c>
      <c r="AO4622" s="8">
        <v>16</v>
      </c>
    </row>
    <row r="4623" spans="1:41" x14ac:dyDescent="0.25">
      <c r="A4623" s="6" t="str">
        <f t="shared" si="1200"/>
        <v>525-2025000575</v>
      </c>
      <c r="B4623" s="6" t="str">
        <f t="shared" si="1204"/>
        <v>Lasa Int</v>
      </c>
      <c r="C4623" s="7">
        <v>45981</v>
      </c>
      <c r="D4623" s="7">
        <v>46044</v>
      </c>
      <c r="E4623" s="8">
        <v>26</v>
      </c>
      <c r="F4623" s="6" t="str">
        <f t="shared" si="1201"/>
        <v>PURE</v>
      </c>
      <c r="G4623" s="6" t="str">
        <f t="shared" si="1202"/>
        <v>F100021455000000</v>
      </c>
      <c r="H4623" s="6" t="str">
        <f t="shared" si="1203"/>
        <v>FA 214 - PURE - 550</v>
      </c>
      <c r="I4623" s="6" t="str">
        <f>"3236"</f>
        <v>3236</v>
      </c>
      <c r="J4623" s="6" t="str">
        <f>"TURQUESA 3236"</f>
        <v>TURQUESA 3236</v>
      </c>
      <c r="K4623" s="6" t="str">
        <f>"2020"</f>
        <v>2020</v>
      </c>
      <c r="L4623" s="6" t="str">
        <f>"Lençóis"</f>
        <v>Lençóis</v>
      </c>
      <c r="M4623" s="6" t="str">
        <f>"100x150"</f>
        <v>100x150</v>
      </c>
      <c r="N4623" s="6" t="str">
        <f>"5602972895360"</f>
        <v>5602972895360</v>
      </c>
      <c r="O4623" s="8">
        <v>80</v>
      </c>
      <c r="P4623" s="7">
        <v>45981</v>
      </c>
      <c r="R4623" s="8">
        <v>0</v>
      </c>
      <c r="S4623" s="7">
        <v>45986</v>
      </c>
      <c r="U4623" s="8">
        <v>80</v>
      </c>
      <c r="V4623" s="7">
        <v>46001</v>
      </c>
      <c r="X4623" s="8">
        <v>0</v>
      </c>
      <c r="Z4623" s="8">
        <v>80</v>
      </c>
      <c r="AA4623" s="7">
        <v>46020</v>
      </c>
      <c r="AC4623" s="8">
        <v>0</v>
      </c>
      <c r="AE4623" s="7">
        <v>46028</v>
      </c>
      <c r="AF4623" s="8">
        <v>0</v>
      </c>
      <c r="AH4623" s="7">
        <v>46037</v>
      </c>
      <c r="AN4623" s="8">
        <v>0</v>
      </c>
      <c r="AO4623" s="8">
        <v>80</v>
      </c>
    </row>
    <row r="4624" spans="1:41" x14ac:dyDescent="0.25">
      <c r="A4624" s="6" t="str">
        <f t="shared" si="1200"/>
        <v>525-2025000575</v>
      </c>
      <c r="B4624" s="6" t="str">
        <f t="shared" si="1204"/>
        <v>Lasa Int</v>
      </c>
      <c r="C4624" s="7">
        <v>45981</v>
      </c>
      <c r="D4624" s="7">
        <v>46044</v>
      </c>
      <c r="E4624" s="8">
        <v>27</v>
      </c>
      <c r="F4624" s="6" t="str">
        <f t="shared" si="1201"/>
        <v>PURE</v>
      </c>
      <c r="G4624" s="6" t="str">
        <f t="shared" si="1202"/>
        <v>F100021455000000</v>
      </c>
      <c r="H4624" s="6" t="str">
        <f t="shared" si="1203"/>
        <v>FA 214 - PURE - 550</v>
      </c>
      <c r="I4624" s="6" t="str">
        <f>"5148"</f>
        <v>5148</v>
      </c>
      <c r="J4624" s="6" t="str">
        <f>"BEGE 5148"</f>
        <v>BEGE 5148</v>
      </c>
      <c r="K4624" s="6" t="str">
        <f>"1024"</f>
        <v>1024</v>
      </c>
      <c r="L4624" s="6" t="str">
        <f>"Toalhas"</f>
        <v>Toalhas</v>
      </c>
      <c r="M4624" s="6" t="str">
        <f>"50x100"</f>
        <v>50x100</v>
      </c>
      <c r="N4624" s="6" t="str">
        <f>"5602972651409"</f>
        <v>5602972651409</v>
      </c>
      <c r="O4624" s="8">
        <v>480</v>
      </c>
      <c r="P4624" s="7">
        <v>45981</v>
      </c>
      <c r="R4624" s="8">
        <v>0</v>
      </c>
      <c r="S4624" s="7">
        <v>45986</v>
      </c>
      <c r="U4624" s="8">
        <v>480</v>
      </c>
      <c r="V4624" s="7">
        <v>46001</v>
      </c>
      <c r="X4624" s="8">
        <v>0</v>
      </c>
      <c r="Z4624" s="8">
        <v>480</v>
      </c>
      <c r="AA4624" s="7">
        <v>46020</v>
      </c>
      <c r="AC4624" s="8">
        <v>0</v>
      </c>
      <c r="AE4624" s="7">
        <v>46028</v>
      </c>
      <c r="AF4624" s="8">
        <v>0</v>
      </c>
      <c r="AH4624" s="7">
        <v>46037</v>
      </c>
      <c r="AN4624" s="8">
        <v>0</v>
      </c>
      <c r="AO4624" s="8">
        <v>480</v>
      </c>
    </row>
    <row r="4625" spans="1:41" x14ac:dyDescent="0.25">
      <c r="A4625" s="6" t="str">
        <f t="shared" si="1200"/>
        <v>525-2025000575</v>
      </c>
      <c r="B4625" s="6" t="str">
        <f t="shared" si="1204"/>
        <v>Lasa Int</v>
      </c>
      <c r="C4625" s="7">
        <v>45981</v>
      </c>
      <c r="D4625" s="7">
        <v>46044</v>
      </c>
      <c r="E4625" s="8">
        <v>28</v>
      </c>
      <c r="F4625" s="6" t="str">
        <f t="shared" si="1201"/>
        <v>PURE</v>
      </c>
      <c r="G4625" s="6" t="str">
        <f t="shared" si="1202"/>
        <v>F100021455000000</v>
      </c>
      <c r="H4625" s="6" t="str">
        <f t="shared" si="1203"/>
        <v>FA 214 - PURE - 550</v>
      </c>
      <c r="I4625" s="6" t="str">
        <f>"5148"</f>
        <v>5148</v>
      </c>
      <c r="J4625" s="6" t="str">
        <f>"BEGE 5148"</f>
        <v>BEGE 5148</v>
      </c>
      <c r="K4625" s="6" t="str">
        <f>"1535"</f>
        <v>1535</v>
      </c>
      <c r="L4625" s="6" t="str">
        <f>"Toalhões"</f>
        <v>Toalhões</v>
      </c>
      <c r="M4625" s="6" t="str">
        <f>"70x140"</f>
        <v>70x140</v>
      </c>
      <c r="N4625" s="6" t="str">
        <f>"5602972651416"</f>
        <v>5602972651416</v>
      </c>
      <c r="O4625" s="8">
        <v>480</v>
      </c>
      <c r="P4625" s="7">
        <v>45981</v>
      </c>
      <c r="R4625" s="8">
        <v>0</v>
      </c>
      <c r="S4625" s="7">
        <v>45986</v>
      </c>
      <c r="U4625" s="8">
        <v>480</v>
      </c>
      <c r="V4625" s="7">
        <v>46001</v>
      </c>
      <c r="X4625" s="8">
        <v>0</v>
      </c>
      <c r="Z4625" s="8">
        <v>480</v>
      </c>
      <c r="AA4625" s="7">
        <v>46020</v>
      </c>
      <c r="AC4625" s="8">
        <v>0</v>
      </c>
      <c r="AE4625" s="7">
        <v>46028</v>
      </c>
      <c r="AF4625" s="8">
        <v>0</v>
      </c>
      <c r="AH4625" s="7">
        <v>46037</v>
      </c>
      <c r="AN4625" s="8">
        <v>438</v>
      </c>
      <c r="AO4625" s="8">
        <v>42</v>
      </c>
    </row>
    <row r="4626" spans="1:41" x14ac:dyDescent="0.25">
      <c r="A4626" s="6" t="str">
        <f t="shared" si="1200"/>
        <v>525-2025000575</v>
      </c>
      <c r="B4626" s="6" t="str">
        <f t="shared" si="1204"/>
        <v>Lasa Int</v>
      </c>
      <c r="C4626" s="7">
        <v>45981</v>
      </c>
      <c r="D4626" s="7">
        <v>46044</v>
      </c>
      <c r="E4626" s="8">
        <v>29</v>
      </c>
      <c r="F4626" s="6" t="str">
        <f t="shared" si="1201"/>
        <v>PURE</v>
      </c>
      <c r="G4626" s="6" t="str">
        <f t="shared" si="1202"/>
        <v>F100021455000000</v>
      </c>
      <c r="H4626" s="6" t="str">
        <f t="shared" si="1203"/>
        <v>FA 214 - PURE - 550</v>
      </c>
      <c r="I4626" s="6" t="str">
        <f>"5148"</f>
        <v>5148</v>
      </c>
      <c r="J4626" s="6" t="str">
        <f>"BEGE 5148"</f>
        <v>BEGE 5148</v>
      </c>
      <c r="K4626" s="6" t="str">
        <f>"2020"</f>
        <v>2020</v>
      </c>
      <c r="L4626" s="6" t="str">
        <f>"Lençóis"</f>
        <v>Lençóis</v>
      </c>
      <c r="M4626" s="6" t="str">
        <f>"100x150"</f>
        <v>100x150</v>
      </c>
      <c r="N4626" s="6" t="str">
        <f>"5602972651423"</f>
        <v>5602972651423</v>
      </c>
      <c r="O4626" s="8">
        <v>80</v>
      </c>
      <c r="P4626" s="7">
        <v>45981</v>
      </c>
      <c r="R4626" s="8">
        <v>0</v>
      </c>
      <c r="S4626" s="7">
        <v>45986</v>
      </c>
      <c r="U4626" s="8">
        <v>80</v>
      </c>
      <c r="V4626" s="7">
        <v>46001</v>
      </c>
      <c r="X4626" s="8">
        <v>0</v>
      </c>
      <c r="Z4626" s="8">
        <v>80</v>
      </c>
      <c r="AA4626" s="7">
        <v>46020</v>
      </c>
      <c r="AC4626" s="8">
        <v>30</v>
      </c>
      <c r="AE4626" s="7">
        <v>46028</v>
      </c>
      <c r="AF4626" s="8">
        <v>30</v>
      </c>
      <c r="AH4626" s="7">
        <v>46037</v>
      </c>
      <c r="AN4626" s="8">
        <v>30</v>
      </c>
      <c r="AO4626" s="8">
        <v>50</v>
      </c>
    </row>
    <row r="4627" spans="1:41" x14ac:dyDescent="0.25">
      <c r="A4627" s="6" t="str">
        <f t="shared" si="1200"/>
        <v>525-2025000575</v>
      </c>
      <c r="B4627" s="6" t="str">
        <f t="shared" si="1204"/>
        <v>Lasa Int</v>
      </c>
      <c r="C4627" s="7">
        <v>45981</v>
      </c>
      <c r="D4627" s="7">
        <v>46044</v>
      </c>
      <c r="E4627" s="8">
        <v>30</v>
      </c>
      <c r="F4627" s="6" t="str">
        <f t="shared" si="1201"/>
        <v>PURE</v>
      </c>
      <c r="G4627" s="6" t="str">
        <f t="shared" si="1202"/>
        <v>F100021455000000</v>
      </c>
      <c r="H4627" s="6" t="str">
        <f t="shared" si="1203"/>
        <v>FA 214 - PURE - 550</v>
      </c>
      <c r="I4627" s="6" t="str">
        <f>"2307"</f>
        <v>2307</v>
      </c>
      <c r="J4627" s="6" t="str">
        <f>"VERMELHO 2307"</f>
        <v>VERMELHO 2307</v>
      </c>
      <c r="K4627" s="6" t="str">
        <f>"0530"</f>
        <v>0530</v>
      </c>
      <c r="L4627" s="6" t="str">
        <f>"Toalhetes"</f>
        <v>Toalhetes</v>
      </c>
      <c r="M4627" s="6" t="str">
        <f>"33x50"</f>
        <v>33x50</v>
      </c>
      <c r="N4627" s="6" t="str">
        <f>"5602972836790"</f>
        <v>5602972836790</v>
      </c>
      <c r="O4627" s="8">
        <v>450</v>
      </c>
      <c r="P4627" s="7">
        <v>45981</v>
      </c>
      <c r="R4627" s="8">
        <v>0</v>
      </c>
      <c r="S4627" s="7">
        <v>45986</v>
      </c>
      <c r="U4627" s="8">
        <v>450</v>
      </c>
      <c r="V4627" s="7">
        <v>46001</v>
      </c>
      <c r="X4627" s="8">
        <v>0</v>
      </c>
      <c r="Z4627" s="8">
        <v>450</v>
      </c>
      <c r="AA4627" s="7">
        <v>46020</v>
      </c>
      <c r="AC4627" s="8">
        <v>0</v>
      </c>
      <c r="AE4627" s="7">
        <v>46028</v>
      </c>
      <c r="AF4627" s="8">
        <v>0</v>
      </c>
      <c r="AH4627" s="7">
        <v>46037</v>
      </c>
      <c r="AN4627" s="8">
        <v>0</v>
      </c>
      <c r="AO4627" s="8">
        <v>450</v>
      </c>
    </row>
    <row r="4628" spans="1:41" x14ac:dyDescent="0.25">
      <c r="A4628" s="6" t="str">
        <f t="shared" si="1200"/>
        <v>525-2025000575</v>
      </c>
      <c r="B4628" s="6" t="str">
        <f t="shared" si="1204"/>
        <v>Lasa Int</v>
      </c>
      <c r="C4628" s="7">
        <v>45981</v>
      </c>
      <c r="D4628" s="7">
        <v>46044</v>
      </c>
      <c r="E4628" s="8">
        <v>31</v>
      </c>
      <c r="F4628" s="6" t="str">
        <f t="shared" si="1201"/>
        <v>PURE</v>
      </c>
      <c r="G4628" s="6" t="str">
        <f t="shared" si="1202"/>
        <v>F100021455000000</v>
      </c>
      <c r="H4628" s="6" t="str">
        <f t="shared" si="1203"/>
        <v>FA 214 - PURE - 550</v>
      </c>
      <c r="I4628" s="6" t="str">
        <f>"2307"</f>
        <v>2307</v>
      </c>
      <c r="J4628" s="6" t="str">
        <f>"VERMELHO 2307"</f>
        <v>VERMELHO 2307</v>
      </c>
      <c r="K4628" s="6" t="str">
        <f>"1024"</f>
        <v>1024</v>
      </c>
      <c r="L4628" s="6" t="str">
        <f>"Toalhas"</f>
        <v>Toalhas</v>
      </c>
      <c r="M4628" s="6" t="str">
        <f>"50x100"</f>
        <v>50x100</v>
      </c>
      <c r="N4628" s="6" t="str">
        <f>"5602972836806"</f>
        <v>5602972836806</v>
      </c>
      <c r="O4628" s="8">
        <v>480</v>
      </c>
      <c r="P4628" s="7">
        <v>45981</v>
      </c>
      <c r="R4628" s="8">
        <v>0</v>
      </c>
      <c r="S4628" s="7">
        <v>45986</v>
      </c>
      <c r="U4628" s="8">
        <v>480</v>
      </c>
      <c r="V4628" s="7">
        <v>46001</v>
      </c>
      <c r="X4628" s="8">
        <v>0</v>
      </c>
      <c r="Z4628" s="8">
        <v>480</v>
      </c>
      <c r="AA4628" s="7">
        <v>46020</v>
      </c>
      <c r="AC4628" s="8">
        <v>434</v>
      </c>
      <c r="AE4628" s="7">
        <v>46028</v>
      </c>
      <c r="AF4628" s="8">
        <v>434</v>
      </c>
      <c r="AH4628" s="7">
        <v>46037</v>
      </c>
      <c r="AN4628" s="8">
        <v>434</v>
      </c>
      <c r="AO4628" s="8">
        <v>46</v>
      </c>
    </row>
    <row r="4629" spans="1:41" x14ac:dyDescent="0.25">
      <c r="A4629" s="6" t="str">
        <f t="shared" si="1200"/>
        <v>525-2025000575</v>
      </c>
      <c r="B4629" s="6" t="str">
        <f t="shared" si="1204"/>
        <v>Lasa Int</v>
      </c>
      <c r="C4629" s="7">
        <v>45981</v>
      </c>
      <c r="D4629" s="7">
        <v>46044</v>
      </c>
      <c r="E4629" s="8">
        <v>32</v>
      </c>
      <c r="F4629" s="6" t="str">
        <f t="shared" si="1201"/>
        <v>PURE</v>
      </c>
      <c r="G4629" s="6" t="str">
        <f t="shared" si="1202"/>
        <v>F100021455000000</v>
      </c>
      <c r="H4629" s="6" t="str">
        <f t="shared" si="1203"/>
        <v>FA 214 - PURE - 550</v>
      </c>
      <c r="I4629" s="6" t="str">
        <f>"2307"</f>
        <v>2307</v>
      </c>
      <c r="J4629" s="6" t="str">
        <f>"VERMELHO 2307"</f>
        <v>VERMELHO 2307</v>
      </c>
      <c r="K4629" s="6" t="str">
        <f>"1535"</f>
        <v>1535</v>
      </c>
      <c r="L4629" s="6" t="str">
        <f>"Toalhões"</f>
        <v>Toalhões</v>
      </c>
      <c r="M4629" s="6" t="str">
        <f>"70x140"</f>
        <v>70x140</v>
      </c>
      <c r="N4629" s="6" t="str">
        <f>"5602972836813"</f>
        <v>5602972836813</v>
      </c>
      <c r="O4629" s="8">
        <v>120</v>
      </c>
      <c r="P4629" s="7">
        <v>45981</v>
      </c>
      <c r="R4629" s="8">
        <v>0</v>
      </c>
      <c r="S4629" s="7">
        <v>45986</v>
      </c>
      <c r="U4629" s="8">
        <v>120</v>
      </c>
      <c r="V4629" s="7">
        <v>46001</v>
      </c>
      <c r="X4629" s="8">
        <v>0</v>
      </c>
      <c r="Z4629" s="8">
        <v>120</v>
      </c>
      <c r="AA4629" s="7">
        <v>46020</v>
      </c>
      <c r="AC4629" s="8">
        <v>268</v>
      </c>
      <c r="AE4629" s="7">
        <v>46028</v>
      </c>
      <c r="AF4629" s="8">
        <v>268</v>
      </c>
      <c r="AH4629" s="7">
        <v>46037</v>
      </c>
      <c r="AN4629" s="8">
        <v>268</v>
      </c>
      <c r="AO4629" s="8">
        <v>-148</v>
      </c>
    </row>
    <row r="4630" spans="1:41" x14ac:dyDescent="0.25">
      <c r="A4630" s="6" t="str">
        <f t="shared" si="1200"/>
        <v>525-2025000575</v>
      </c>
      <c r="B4630" s="6" t="str">
        <f t="shared" si="1204"/>
        <v>Lasa Int</v>
      </c>
      <c r="C4630" s="7">
        <v>45981</v>
      </c>
      <c r="D4630" s="7">
        <v>46044</v>
      </c>
      <c r="E4630" s="8">
        <v>33</v>
      </c>
      <c r="F4630" s="6" t="str">
        <f t="shared" si="1201"/>
        <v>PURE</v>
      </c>
      <c r="G4630" s="6" t="str">
        <f t="shared" si="1202"/>
        <v>F100021455000000</v>
      </c>
      <c r="H4630" s="6" t="str">
        <f t="shared" si="1203"/>
        <v>FA 214 - PURE - 550</v>
      </c>
      <c r="I4630" s="6" t="str">
        <f>"2307"</f>
        <v>2307</v>
      </c>
      <c r="J4630" s="6" t="str">
        <f>"VERMELHO 2307"</f>
        <v>VERMELHO 2307</v>
      </c>
      <c r="K4630" s="6" t="str">
        <f>"2020"</f>
        <v>2020</v>
      </c>
      <c r="L4630" s="6" t="str">
        <f>"Lençóis"</f>
        <v>Lençóis</v>
      </c>
      <c r="M4630" s="6" t="str">
        <f>"100x150"</f>
        <v>100x150</v>
      </c>
      <c r="N4630" s="6" t="str">
        <f>"5602972836820"</f>
        <v>5602972836820</v>
      </c>
      <c r="O4630" s="8">
        <v>80</v>
      </c>
      <c r="P4630" s="7">
        <v>45981</v>
      </c>
      <c r="R4630" s="8">
        <v>0</v>
      </c>
      <c r="S4630" s="7">
        <v>45986</v>
      </c>
      <c r="U4630" s="8">
        <v>80</v>
      </c>
      <c r="V4630" s="7">
        <v>46001</v>
      </c>
      <c r="X4630" s="8">
        <v>0</v>
      </c>
      <c r="Z4630" s="8">
        <v>80</v>
      </c>
      <c r="AA4630" s="7">
        <v>46020</v>
      </c>
      <c r="AC4630" s="8">
        <v>0</v>
      </c>
      <c r="AE4630" s="7">
        <v>46028</v>
      </c>
      <c r="AF4630" s="8">
        <v>0</v>
      </c>
      <c r="AH4630" s="7">
        <v>46037</v>
      </c>
      <c r="AN4630" s="8">
        <v>0</v>
      </c>
      <c r="AO4630" s="8">
        <v>80</v>
      </c>
    </row>
    <row r="4631" spans="1:41" x14ac:dyDescent="0.25">
      <c r="A4631" s="6" t="str">
        <f t="shared" si="1200"/>
        <v>525-2025000575</v>
      </c>
      <c r="B4631" s="6" t="str">
        <f t="shared" si="1204"/>
        <v>Lasa Int</v>
      </c>
      <c r="C4631" s="7">
        <v>45981</v>
      </c>
      <c r="D4631" s="7">
        <v>46044</v>
      </c>
      <c r="E4631" s="8">
        <v>34</v>
      </c>
      <c r="F4631" s="6" t="str">
        <f t="shared" si="1201"/>
        <v>PURE</v>
      </c>
      <c r="G4631" s="6" t="str">
        <f>"F161003770000000"</f>
        <v>F161003770000000</v>
      </c>
      <c r="H4631" s="6" t="str">
        <f>"TA 37 - 700 g/m²"</f>
        <v>TA 37 - 700 g/m²</v>
      </c>
      <c r="I4631" s="6" t="str">
        <f>"1670"</f>
        <v>1670</v>
      </c>
      <c r="J4631" s="6" t="str">
        <f>"BEGE 1670"</f>
        <v>BEGE 1670</v>
      </c>
      <c r="K4631" s="6" t="str">
        <f>"3012"</f>
        <v>3012</v>
      </c>
      <c r="L4631" s="6" t="str">
        <f>"Tapetes"</f>
        <v>Tapetes</v>
      </c>
      <c r="M4631" s="6" t="str">
        <f>"50x70"</f>
        <v>50x70</v>
      </c>
      <c r="N4631" s="6" t="str">
        <f>"5602972837230"</f>
        <v>5602972837230</v>
      </c>
      <c r="O4631" s="8">
        <v>100</v>
      </c>
      <c r="P4631" s="7">
        <v>45981</v>
      </c>
      <c r="R4631" s="8">
        <v>0</v>
      </c>
      <c r="S4631" s="7">
        <v>45986</v>
      </c>
      <c r="U4631" s="8">
        <v>100</v>
      </c>
      <c r="V4631" s="7">
        <v>46001</v>
      </c>
      <c r="X4631" s="8">
        <v>0</v>
      </c>
      <c r="Z4631" s="8">
        <v>100</v>
      </c>
      <c r="AA4631" s="7">
        <v>46020</v>
      </c>
      <c r="AC4631" s="8">
        <v>115</v>
      </c>
      <c r="AE4631" s="7">
        <v>46028</v>
      </c>
      <c r="AF4631" s="8">
        <v>115</v>
      </c>
      <c r="AH4631" s="7">
        <v>46037</v>
      </c>
      <c r="AN4631" s="8">
        <v>115</v>
      </c>
      <c r="AO4631" s="8">
        <v>-15</v>
      </c>
    </row>
    <row r="4632" spans="1:41" x14ac:dyDescent="0.25">
      <c r="A4632" s="6" t="str">
        <f t="shared" si="1200"/>
        <v>525-2025000575</v>
      </c>
      <c r="B4632" s="6" t="str">
        <f t="shared" si="1204"/>
        <v>Lasa Int</v>
      </c>
      <c r="C4632" s="7">
        <v>45981</v>
      </c>
      <c r="D4632" s="7">
        <v>46044</v>
      </c>
      <c r="E4632" s="8">
        <v>35</v>
      </c>
      <c r="F4632" s="6" t="str">
        <f t="shared" si="1201"/>
        <v>PURE</v>
      </c>
      <c r="G4632" s="6" t="str">
        <f>"F161003770000000"</f>
        <v>F161003770000000</v>
      </c>
      <c r="H4632" s="6" t="str">
        <f>"TA 37 - 700 g/m²"</f>
        <v>TA 37 - 700 g/m²</v>
      </c>
      <c r="I4632" s="6" t="str">
        <f>"2610"</f>
        <v>2610</v>
      </c>
      <c r="J4632" s="6" t="str">
        <f>"BEGE 2610"</f>
        <v>BEGE 2610</v>
      </c>
      <c r="K4632" s="6" t="str">
        <f>"3012"</f>
        <v>3012</v>
      </c>
      <c r="L4632" s="6" t="str">
        <f>"Tapetes"</f>
        <v>Tapetes</v>
      </c>
      <c r="M4632" s="6" t="str">
        <f>"50x70"</f>
        <v>50x70</v>
      </c>
      <c r="N4632" s="6" t="str">
        <f>"5602972837247"</f>
        <v>5602972837247</v>
      </c>
      <c r="O4632" s="8">
        <v>100</v>
      </c>
      <c r="P4632" s="7">
        <v>45981</v>
      </c>
      <c r="R4632" s="8">
        <v>0</v>
      </c>
      <c r="S4632" s="7">
        <v>45986</v>
      </c>
      <c r="U4632" s="8">
        <v>100</v>
      </c>
      <c r="V4632" s="7">
        <v>46001</v>
      </c>
      <c r="X4632" s="8">
        <v>0</v>
      </c>
      <c r="Z4632" s="8">
        <v>100</v>
      </c>
      <c r="AA4632" s="7">
        <v>46020</v>
      </c>
      <c r="AC4632" s="8">
        <v>0</v>
      </c>
      <c r="AE4632" s="7">
        <v>46028</v>
      </c>
      <c r="AF4632" s="8">
        <v>0</v>
      </c>
      <c r="AH4632" s="7">
        <v>46037</v>
      </c>
      <c r="AN4632" s="8">
        <v>0</v>
      </c>
      <c r="AO4632" s="8">
        <v>100</v>
      </c>
    </row>
    <row r="4633" spans="1:41" x14ac:dyDescent="0.25">
      <c r="A4633" s="6" t="str">
        <f t="shared" si="1200"/>
        <v>525-2025000575</v>
      </c>
      <c r="B4633" s="6" t="str">
        <f t="shared" si="1204"/>
        <v>Lasa Int</v>
      </c>
      <c r="C4633" s="7">
        <v>45981</v>
      </c>
      <c r="D4633" s="7">
        <v>46044</v>
      </c>
      <c r="E4633" s="8">
        <v>36</v>
      </c>
      <c r="F4633" s="6" t="str">
        <f t="shared" si="1201"/>
        <v>PURE</v>
      </c>
      <c r="G4633" s="6" t="str">
        <f>"F161003770000000"</f>
        <v>F161003770000000</v>
      </c>
      <c r="H4633" s="6" t="str">
        <f>"TA 37 - 700 g/m²"</f>
        <v>TA 37 - 700 g/m²</v>
      </c>
      <c r="I4633" s="6" t="str">
        <f>"3073"</f>
        <v>3073</v>
      </c>
      <c r="J4633" s="6" t="str">
        <f>"CINZA 3073"</f>
        <v>CINZA 3073</v>
      </c>
      <c r="K4633" s="6" t="str">
        <f>"3012"</f>
        <v>3012</v>
      </c>
      <c r="L4633" s="6" t="str">
        <f>"Tapetes"</f>
        <v>Tapetes</v>
      </c>
      <c r="M4633" s="6" t="str">
        <f>"50x70"</f>
        <v>50x70</v>
      </c>
      <c r="N4633" s="6" t="str">
        <f>"5602972878028"</f>
        <v>5602972878028</v>
      </c>
      <c r="O4633" s="8">
        <v>200</v>
      </c>
      <c r="P4633" s="7">
        <v>45981</v>
      </c>
      <c r="R4633" s="8">
        <v>0</v>
      </c>
      <c r="S4633" s="7">
        <v>45986</v>
      </c>
      <c r="U4633" s="8">
        <v>200</v>
      </c>
      <c r="V4633" s="7">
        <v>46001</v>
      </c>
      <c r="X4633" s="8">
        <v>0</v>
      </c>
      <c r="Z4633" s="8">
        <v>200</v>
      </c>
      <c r="AA4633" s="7">
        <v>46020</v>
      </c>
      <c r="AC4633" s="8">
        <v>0</v>
      </c>
      <c r="AE4633" s="7">
        <v>46028</v>
      </c>
      <c r="AF4633" s="8">
        <v>0</v>
      </c>
      <c r="AH4633" s="7">
        <v>46037</v>
      </c>
      <c r="AN4633" s="8">
        <v>0</v>
      </c>
      <c r="AO4633" s="8">
        <v>200</v>
      </c>
    </row>
    <row r="4634" spans="1:41" x14ac:dyDescent="0.25">
      <c r="A4634" s="6" t="str">
        <f>"525-2025000576"</f>
        <v>525-2025000576</v>
      </c>
      <c r="B4634" s="6" t="str">
        <f t="shared" si="1204"/>
        <v>Lasa Int</v>
      </c>
      <c r="C4634" s="7">
        <v>45981</v>
      </c>
      <c r="D4634" s="7">
        <v>46037</v>
      </c>
      <c r="E4634" s="8">
        <v>1</v>
      </c>
      <c r="F4634" s="6" t="str">
        <f>"Alpha"</f>
        <v>Alpha</v>
      </c>
      <c r="G4634" s="6" t="str">
        <f>"F100023140000000"</f>
        <v>F100023140000000</v>
      </c>
      <c r="H4634" s="6" t="str">
        <f>"FA 231 - 400 g/m²"</f>
        <v>FA 231 - 400 g/m²</v>
      </c>
      <c r="I4634" s="6" t="str">
        <f>"1670"</f>
        <v>1670</v>
      </c>
      <c r="J4634" s="6" t="str">
        <f>"BEGE 1670"</f>
        <v>BEGE 1670</v>
      </c>
      <c r="K4634" s="6" t="str">
        <f>"0320"</f>
        <v>0320</v>
      </c>
      <c r="L4634" s="6" t="str">
        <f>"Panos"</f>
        <v>Panos</v>
      </c>
      <c r="M4634" s="6" t="str">
        <f>"30x30"</f>
        <v>30x30</v>
      </c>
      <c r="N4634" s="6" t="str">
        <f>"5602972713305"</f>
        <v>5602972713305</v>
      </c>
      <c r="O4634" s="8">
        <v>900</v>
      </c>
      <c r="P4634" s="7">
        <v>45981</v>
      </c>
      <c r="R4634" s="8">
        <v>0</v>
      </c>
      <c r="S4634" s="7">
        <v>45986</v>
      </c>
      <c r="U4634" s="8">
        <v>900</v>
      </c>
      <c r="V4634" s="7">
        <v>45996</v>
      </c>
      <c r="X4634" s="8">
        <v>0</v>
      </c>
      <c r="Z4634" s="8">
        <v>900</v>
      </c>
      <c r="AA4634" s="7">
        <v>46009</v>
      </c>
      <c r="AC4634" s="8">
        <v>780</v>
      </c>
      <c r="AE4634" s="7">
        <v>46013</v>
      </c>
      <c r="AF4634" s="8">
        <v>780</v>
      </c>
      <c r="AH4634" s="7">
        <v>46013</v>
      </c>
      <c r="AN4634" s="8">
        <v>780</v>
      </c>
      <c r="AO4634" s="8">
        <v>120</v>
      </c>
    </row>
    <row r="4635" spans="1:41" x14ac:dyDescent="0.25">
      <c r="A4635" s="6" t="str">
        <f t="shared" ref="A4635:A4642" si="1205">"525-2025000577"</f>
        <v>525-2025000577</v>
      </c>
      <c r="B4635" s="6" t="str">
        <f t="shared" si="1204"/>
        <v>Lasa Int</v>
      </c>
      <c r="C4635" s="7">
        <v>45981</v>
      </c>
      <c r="D4635" s="7">
        <v>46065</v>
      </c>
      <c r="E4635" s="8">
        <v>1</v>
      </c>
      <c r="F4635" s="6" t="str">
        <f t="shared" ref="F4635:F4642" si="1206">"PURE R"</f>
        <v>PURE R</v>
      </c>
      <c r="G4635" s="6" t="str">
        <f>"R010000635000000"</f>
        <v>R010000635000000</v>
      </c>
      <c r="H4635" s="6" t="str">
        <f>"Alexis Cotoral Pure"</f>
        <v>Alexis Cotoral Pure</v>
      </c>
      <c r="I4635" s="6" t="str">
        <f t="shared" ref="I4635:I4642" si="1207">"1093"</f>
        <v>1093</v>
      </c>
      <c r="J4635" s="6" t="str">
        <f t="shared" ref="J4635:J4642" si="1208">"AZUL 1093"</f>
        <v>AZUL 1093</v>
      </c>
      <c r="K4635" s="6" t="str">
        <f>"5002"</f>
        <v>5002</v>
      </c>
      <c r="L4635" s="6" t="str">
        <f>"Roupões Adulto"</f>
        <v>Roupões Adulto</v>
      </c>
      <c r="M4635" s="6" t="str">
        <f>"S"</f>
        <v>S</v>
      </c>
      <c r="N4635" s="6" t="str">
        <f>"5602972838220"</f>
        <v>5602972838220</v>
      </c>
      <c r="O4635" s="8">
        <v>24</v>
      </c>
      <c r="P4635" s="7">
        <v>45981</v>
      </c>
      <c r="R4635" s="8">
        <v>0</v>
      </c>
      <c r="S4635" s="7">
        <v>45986</v>
      </c>
      <c r="U4635" s="8">
        <v>810</v>
      </c>
      <c r="V4635" s="7">
        <v>45996</v>
      </c>
      <c r="X4635" s="8">
        <v>810</v>
      </c>
      <c r="Z4635" s="8">
        <v>0</v>
      </c>
      <c r="AA4635" s="7">
        <v>46009</v>
      </c>
      <c r="AC4635" s="8">
        <v>0</v>
      </c>
      <c r="AE4635" s="7">
        <v>46038</v>
      </c>
      <c r="AF4635" s="8">
        <v>0</v>
      </c>
      <c r="AH4635" s="7">
        <v>46038</v>
      </c>
      <c r="AI4635" s="7">
        <v>46036</v>
      </c>
      <c r="AN4635" s="8">
        <v>0</v>
      </c>
      <c r="AO4635" s="8">
        <v>24</v>
      </c>
    </row>
    <row r="4636" spans="1:41" x14ac:dyDescent="0.25">
      <c r="A4636" s="6" t="str">
        <f t="shared" si="1205"/>
        <v>525-2025000577</v>
      </c>
      <c r="B4636" s="6" t="str">
        <f t="shared" si="1204"/>
        <v>Lasa Int</v>
      </c>
      <c r="C4636" s="7">
        <v>45981</v>
      </c>
      <c r="D4636" s="7">
        <v>46065</v>
      </c>
      <c r="E4636" s="8">
        <v>2</v>
      </c>
      <c r="F4636" s="6" t="str">
        <f t="shared" si="1206"/>
        <v>PURE R</v>
      </c>
      <c r="G4636" s="6" t="str">
        <f t="shared" ref="G4636:G4642" si="1209">"R013000138500000"</f>
        <v>R013000138500000</v>
      </c>
      <c r="H4636" s="6" t="str">
        <f t="shared" ref="H4636:H4642" si="1210">"Star PURE - Ketten 3"</f>
        <v>Star PURE - Ketten 3</v>
      </c>
      <c r="I4636" s="6" t="str">
        <f t="shared" si="1207"/>
        <v>1093</v>
      </c>
      <c r="J4636" s="6" t="str">
        <f t="shared" si="1208"/>
        <v>AZUL 1093</v>
      </c>
      <c r="K4636" s="6" t="str">
        <f>"5202"</f>
        <v>5202</v>
      </c>
      <c r="L4636" s="6" t="str">
        <f t="shared" ref="L4636:L4643" si="1211">"Roupões Criança"</f>
        <v>Roupões Criança</v>
      </c>
      <c r="M4636" s="6" t="str">
        <f>"2 Anos"</f>
        <v>2 Anos</v>
      </c>
      <c r="N4636" s="6" t="str">
        <f>"5602972854107"</f>
        <v>5602972854107</v>
      </c>
      <c r="O4636" s="8">
        <v>36</v>
      </c>
      <c r="P4636" s="7">
        <v>45981</v>
      </c>
      <c r="R4636" s="8">
        <v>0</v>
      </c>
      <c r="S4636" s="7">
        <v>45986</v>
      </c>
      <c r="U4636" s="8">
        <v>0</v>
      </c>
      <c r="V4636" s="7">
        <v>45996</v>
      </c>
      <c r="X4636" s="8">
        <v>0</v>
      </c>
      <c r="Z4636" s="8">
        <v>0</v>
      </c>
      <c r="AA4636" s="7">
        <v>46009</v>
      </c>
      <c r="AC4636" s="8">
        <v>0</v>
      </c>
      <c r="AE4636" s="7">
        <v>46038</v>
      </c>
      <c r="AF4636" s="8">
        <v>0</v>
      </c>
      <c r="AH4636" s="7">
        <v>46038</v>
      </c>
      <c r="AI4636" s="7">
        <v>46036</v>
      </c>
      <c r="AN4636" s="8">
        <v>0</v>
      </c>
      <c r="AO4636" s="8">
        <v>36</v>
      </c>
    </row>
    <row r="4637" spans="1:41" x14ac:dyDescent="0.25">
      <c r="A4637" s="6" t="str">
        <f t="shared" si="1205"/>
        <v>525-2025000577</v>
      </c>
      <c r="B4637" s="6" t="str">
        <f t="shared" si="1204"/>
        <v>Lasa Int</v>
      </c>
      <c r="C4637" s="7">
        <v>45981</v>
      </c>
      <c r="D4637" s="7">
        <v>46065</v>
      </c>
      <c r="E4637" s="8">
        <v>3</v>
      </c>
      <c r="F4637" s="6" t="str">
        <f t="shared" si="1206"/>
        <v>PURE R</v>
      </c>
      <c r="G4637" s="6" t="str">
        <f t="shared" si="1209"/>
        <v>R013000138500000</v>
      </c>
      <c r="H4637" s="6" t="str">
        <f t="shared" si="1210"/>
        <v>Star PURE - Ketten 3</v>
      </c>
      <c r="I4637" s="6" t="str">
        <f t="shared" si="1207"/>
        <v>1093</v>
      </c>
      <c r="J4637" s="6" t="str">
        <f t="shared" si="1208"/>
        <v>AZUL 1093</v>
      </c>
      <c r="K4637" s="6" t="str">
        <f>"5204"</f>
        <v>5204</v>
      </c>
      <c r="L4637" s="6" t="str">
        <f t="shared" si="1211"/>
        <v>Roupões Criança</v>
      </c>
      <c r="M4637" s="6" t="str">
        <f>"4 Anos"</f>
        <v>4 Anos</v>
      </c>
      <c r="N4637" s="6" t="str">
        <f>"5602972854114"</f>
        <v>5602972854114</v>
      </c>
      <c r="O4637" s="8">
        <v>48</v>
      </c>
      <c r="P4637" s="7">
        <v>45981</v>
      </c>
      <c r="R4637" s="8">
        <v>0</v>
      </c>
      <c r="S4637" s="7">
        <v>45986</v>
      </c>
      <c r="U4637" s="8">
        <v>0</v>
      </c>
      <c r="V4637" s="7">
        <v>45996</v>
      </c>
      <c r="X4637" s="8">
        <v>0</v>
      </c>
      <c r="Z4637" s="8">
        <v>0</v>
      </c>
      <c r="AA4637" s="7">
        <v>46009</v>
      </c>
      <c r="AC4637" s="8">
        <v>0</v>
      </c>
      <c r="AE4637" s="7">
        <v>46038</v>
      </c>
      <c r="AF4637" s="8">
        <v>0</v>
      </c>
      <c r="AH4637" s="7">
        <v>46038</v>
      </c>
      <c r="AI4637" s="7">
        <v>46036</v>
      </c>
      <c r="AN4637" s="8">
        <v>0</v>
      </c>
      <c r="AO4637" s="8">
        <v>48</v>
      </c>
    </row>
    <row r="4638" spans="1:41" x14ac:dyDescent="0.25">
      <c r="A4638" s="6" t="str">
        <f t="shared" si="1205"/>
        <v>525-2025000577</v>
      </c>
      <c r="B4638" s="6" t="str">
        <f t="shared" si="1204"/>
        <v>Lasa Int</v>
      </c>
      <c r="C4638" s="7">
        <v>45981</v>
      </c>
      <c r="D4638" s="7">
        <v>46065</v>
      </c>
      <c r="E4638" s="8">
        <v>4</v>
      </c>
      <c r="F4638" s="6" t="str">
        <f t="shared" si="1206"/>
        <v>PURE R</v>
      </c>
      <c r="G4638" s="6" t="str">
        <f t="shared" si="1209"/>
        <v>R013000138500000</v>
      </c>
      <c r="H4638" s="6" t="str">
        <f t="shared" si="1210"/>
        <v>Star PURE - Ketten 3</v>
      </c>
      <c r="I4638" s="6" t="str">
        <f t="shared" si="1207"/>
        <v>1093</v>
      </c>
      <c r="J4638" s="6" t="str">
        <f t="shared" si="1208"/>
        <v>AZUL 1093</v>
      </c>
      <c r="K4638" s="6" t="str">
        <f>"5206"</f>
        <v>5206</v>
      </c>
      <c r="L4638" s="6" t="str">
        <f t="shared" si="1211"/>
        <v>Roupões Criança</v>
      </c>
      <c r="M4638" s="6" t="str">
        <f>"6 Anos"</f>
        <v>6 Anos</v>
      </c>
      <c r="N4638" s="6" t="str">
        <f>"5602972854121"</f>
        <v>5602972854121</v>
      </c>
      <c r="O4638" s="8">
        <v>12</v>
      </c>
      <c r="P4638" s="7">
        <v>45981</v>
      </c>
      <c r="R4638" s="8">
        <v>0</v>
      </c>
      <c r="S4638" s="7">
        <v>45986</v>
      </c>
      <c r="U4638" s="8">
        <v>0</v>
      </c>
      <c r="V4638" s="7">
        <v>45996</v>
      </c>
      <c r="X4638" s="8">
        <v>0</v>
      </c>
      <c r="Z4638" s="8">
        <v>0</v>
      </c>
      <c r="AA4638" s="7">
        <v>46009</v>
      </c>
      <c r="AC4638" s="8">
        <v>0</v>
      </c>
      <c r="AE4638" s="7">
        <v>46038</v>
      </c>
      <c r="AF4638" s="8">
        <v>0</v>
      </c>
      <c r="AH4638" s="7">
        <v>46038</v>
      </c>
      <c r="AI4638" s="7">
        <v>46036</v>
      </c>
      <c r="AN4638" s="8">
        <v>0</v>
      </c>
      <c r="AO4638" s="8">
        <v>12</v>
      </c>
    </row>
    <row r="4639" spans="1:41" x14ac:dyDescent="0.25">
      <c r="A4639" s="6" t="str">
        <f t="shared" si="1205"/>
        <v>525-2025000577</v>
      </c>
      <c r="B4639" s="6" t="str">
        <f t="shared" si="1204"/>
        <v>Lasa Int</v>
      </c>
      <c r="C4639" s="7">
        <v>45981</v>
      </c>
      <c r="D4639" s="7">
        <v>46065</v>
      </c>
      <c r="E4639" s="8">
        <v>5</v>
      </c>
      <c r="F4639" s="6" t="str">
        <f t="shared" si="1206"/>
        <v>PURE R</v>
      </c>
      <c r="G4639" s="6" t="str">
        <f t="shared" si="1209"/>
        <v>R013000138500000</v>
      </c>
      <c r="H4639" s="6" t="str">
        <f t="shared" si="1210"/>
        <v>Star PURE - Ketten 3</v>
      </c>
      <c r="I4639" s="6" t="str">
        <f t="shared" si="1207"/>
        <v>1093</v>
      </c>
      <c r="J4639" s="6" t="str">
        <f t="shared" si="1208"/>
        <v>AZUL 1093</v>
      </c>
      <c r="K4639" s="6" t="str">
        <f>"5208"</f>
        <v>5208</v>
      </c>
      <c r="L4639" s="6" t="str">
        <f t="shared" si="1211"/>
        <v>Roupões Criança</v>
      </c>
      <c r="M4639" s="6" t="str">
        <f>"8 Anos"</f>
        <v>8 Anos</v>
      </c>
      <c r="N4639" s="6" t="str">
        <f>"5602972854138"</f>
        <v>5602972854138</v>
      </c>
      <c r="O4639" s="8">
        <v>24</v>
      </c>
      <c r="P4639" s="7">
        <v>45981</v>
      </c>
      <c r="R4639" s="8">
        <v>0</v>
      </c>
      <c r="S4639" s="7">
        <v>45986</v>
      </c>
      <c r="U4639" s="8">
        <v>0</v>
      </c>
      <c r="V4639" s="7">
        <v>45996</v>
      </c>
      <c r="X4639" s="8">
        <v>0</v>
      </c>
      <c r="Z4639" s="8">
        <v>0</v>
      </c>
      <c r="AA4639" s="7">
        <v>46009</v>
      </c>
      <c r="AC4639" s="8">
        <v>0</v>
      </c>
      <c r="AE4639" s="7">
        <v>46038</v>
      </c>
      <c r="AF4639" s="8">
        <v>0</v>
      </c>
      <c r="AH4639" s="7">
        <v>46038</v>
      </c>
      <c r="AI4639" s="7">
        <v>46036</v>
      </c>
      <c r="AN4639" s="8">
        <v>0</v>
      </c>
      <c r="AO4639" s="8">
        <v>24</v>
      </c>
    </row>
    <row r="4640" spans="1:41" x14ac:dyDescent="0.25">
      <c r="A4640" s="6" t="str">
        <f t="shared" si="1205"/>
        <v>525-2025000577</v>
      </c>
      <c r="B4640" s="6" t="str">
        <f t="shared" si="1204"/>
        <v>Lasa Int</v>
      </c>
      <c r="C4640" s="7">
        <v>45981</v>
      </c>
      <c r="D4640" s="7">
        <v>46065</v>
      </c>
      <c r="E4640" s="8">
        <v>6</v>
      </c>
      <c r="F4640" s="6" t="str">
        <f t="shared" si="1206"/>
        <v>PURE R</v>
      </c>
      <c r="G4640" s="6" t="str">
        <f t="shared" si="1209"/>
        <v>R013000138500000</v>
      </c>
      <c r="H4640" s="6" t="str">
        <f t="shared" si="1210"/>
        <v>Star PURE - Ketten 3</v>
      </c>
      <c r="I4640" s="6" t="str">
        <f t="shared" si="1207"/>
        <v>1093</v>
      </c>
      <c r="J4640" s="6" t="str">
        <f t="shared" si="1208"/>
        <v>AZUL 1093</v>
      </c>
      <c r="K4640" s="6" t="str">
        <f>"5210"</f>
        <v>5210</v>
      </c>
      <c r="L4640" s="6" t="str">
        <f t="shared" si="1211"/>
        <v>Roupões Criança</v>
      </c>
      <c r="M4640" s="6" t="str">
        <f>"10 Anos"</f>
        <v>10 Anos</v>
      </c>
      <c r="N4640" s="6" t="str">
        <f>"5602972854145"</f>
        <v>5602972854145</v>
      </c>
      <c r="O4640" s="8">
        <v>60</v>
      </c>
      <c r="P4640" s="7">
        <v>45981</v>
      </c>
      <c r="R4640" s="8">
        <v>0</v>
      </c>
      <c r="S4640" s="7">
        <v>45986</v>
      </c>
      <c r="U4640" s="8">
        <v>0</v>
      </c>
      <c r="V4640" s="7">
        <v>45996</v>
      </c>
      <c r="X4640" s="8">
        <v>0</v>
      </c>
      <c r="Z4640" s="8">
        <v>0</v>
      </c>
      <c r="AA4640" s="7">
        <v>46009</v>
      </c>
      <c r="AC4640" s="8">
        <v>0</v>
      </c>
      <c r="AE4640" s="7">
        <v>46038</v>
      </c>
      <c r="AF4640" s="8">
        <v>0</v>
      </c>
      <c r="AH4640" s="7">
        <v>46038</v>
      </c>
      <c r="AI4640" s="7">
        <v>46036</v>
      </c>
      <c r="AN4640" s="8">
        <v>0</v>
      </c>
      <c r="AO4640" s="8">
        <v>60</v>
      </c>
    </row>
    <row r="4641" spans="1:41" x14ac:dyDescent="0.25">
      <c r="A4641" s="6" t="str">
        <f t="shared" si="1205"/>
        <v>525-2025000577</v>
      </c>
      <c r="B4641" s="6" t="str">
        <f t="shared" si="1204"/>
        <v>Lasa Int</v>
      </c>
      <c r="C4641" s="7">
        <v>45981</v>
      </c>
      <c r="D4641" s="7">
        <v>46065</v>
      </c>
      <c r="E4641" s="8">
        <v>7</v>
      </c>
      <c r="F4641" s="6" t="str">
        <f t="shared" si="1206"/>
        <v>PURE R</v>
      </c>
      <c r="G4641" s="6" t="str">
        <f t="shared" si="1209"/>
        <v>R013000138500000</v>
      </c>
      <c r="H4641" s="6" t="str">
        <f t="shared" si="1210"/>
        <v>Star PURE - Ketten 3</v>
      </c>
      <c r="I4641" s="6" t="str">
        <f t="shared" si="1207"/>
        <v>1093</v>
      </c>
      <c r="J4641" s="6" t="str">
        <f t="shared" si="1208"/>
        <v>AZUL 1093</v>
      </c>
      <c r="K4641" s="6" t="str">
        <f>"5212"</f>
        <v>5212</v>
      </c>
      <c r="L4641" s="6" t="str">
        <f t="shared" si="1211"/>
        <v>Roupões Criança</v>
      </c>
      <c r="M4641" s="6" t="str">
        <f>"12 Anos"</f>
        <v>12 Anos</v>
      </c>
      <c r="N4641" s="6" t="str">
        <f>"5602972854152"</f>
        <v>5602972854152</v>
      </c>
      <c r="O4641" s="8">
        <v>36</v>
      </c>
      <c r="P4641" s="7">
        <v>45981</v>
      </c>
      <c r="R4641" s="8">
        <v>0</v>
      </c>
      <c r="S4641" s="7">
        <v>45986</v>
      </c>
      <c r="U4641" s="8">
        <v>0</v>
      </c>
      <c r="V4641" s="7">
        <v>45996</v>
      </c>
      <c r="X4641" s="8">
        <v>0</v>
      </c>
      <c r="Z4641" s="8">
        <v>0</v>
      </c>
      <c r="AA4641" s="7">
        <v>46009</v>
      </c>
      <c r="AC4641" s="8">
        <v>0</v>
      </c>
      <c r="AE4641" s="7">
        <v>46038</v>
      </c>
      <c r="AF4641" s="8">
        <v>0</v>
      </c>
      <c r="AH4641" s="7">
        <v>46038</v>
      </c>
      <c r="AI4641" s="7">
        <v>46036</v>
      </c>
      <c r="AN4641" s="8">
        <v>0</v>
      </c>
      <c r="AO4641" s="8">
        <v>36</v>
      </c>
    </row>
    <row r="4642" spans="1:41" x14ac:dyDescent="0.25">
      <c r="A4642" s="6" t="str">
        <f t="shared" si="1205"/>
        <v>525-2025000577</v>
      </c>
      <c r="B4642" s="6" t="str">
        <f t="shared" si="1204"/>
        <v>Lasa Int</v>
      </c>
      <c r="C4642" s="7">
        <v>45981</v>
      </c>
      <c r="D4642" s="7">
        <v>46065</v>
      </c>
      <c r="E4642" s="8">
        <v>8</v>
      </c>
      <c r="F4642" s="6" t="str">
        <f t="shared" si="1206"/>
        <v>PURE R</v>
      </c>
      <c r="G4642" s="6" t="str">
        <f t="shared" si="1209"/>
        <v>R013000138500000</v>
      </c>
      <c r="H4642" s="6" t="str">
        <f t="shared" si="1210"/>
        <v>Star PURE - Ketten 3</v>
      </c>
      <c r="I4642" s="6" t="str">
        <f t="shared" si="1207"/>
        <v>1093</v>
      </c>
      <c r="J4642" s="6" t="str">
        <f t="shared" si="1208"/>
        <v>AZUL 1093</v>
      </c>
      <c r="K4642" s="6" t="str">
        <f>"5214"</f>
        <v>5214</v>
      </c>
      <c r="L4642" s="6" t="str">
        <f t="shared" si="1211"/>
        <v>Roupões Criança</v>
      </c>
      <c r="M4642" s="6" t="str">
        <f>"14 Anos"</f>
        <v>14 Anos</v>
      </c>
      <c r="N4642" s="6" t="str">
        <f>"5602972854169"</f>
        <v>5602972854169</v>
      </c>
      <c r="O4642" s="8">
        <v>72</v>
      </c>
      <c r="P4642" s="7">
        <v>45981</v>
      </c>
      <c r="R4642" s="8">
        <v>0</v>
      </c>
      <c r="S4642" s="7">
        <v>45986</v>
      </c>
      <c r="U4642" s="8">
        <v>0</v>
      </c>
      <c r="V4642" s="7">
        <v>45996</v>
      </c>
      <c r="X4642" s="8">
        <v>0</v>
      </c>
      <c r="Z4642" s="8">
        <v>0</v>
      </c>
      <c r="AA4642" s="7">
        <v>46009</v>
      </c>
      <c r="AC4642" s="8">
        <v>0</v>
      </c>
      <c r="AE4642" s="7">
        <v>46038</v>
      </c>
      <c r="AF4642" s="8">
        <v>0</v>
      </c>
      <c r="AH4642" s="7">
        <v>46038</v>
      </c>
      <c r="AI4642" s="7">
        <v>46036</v>
      </c>
      <c r="AN4642" s="8">
        <v>0</v>
      </c>
      <c r="AO4642" s="8">
        <v>72</v>
      </c>
    </row>
    <row r="4643" spans="1:41" x14ac:dyDescent="0.25">
      <c r="A4643" s="6" t="str">
        <f>"525-2025000578"</f>
        <v>525-2025000578</v>
      </c>
      <c r="B4643" s="6" t="str">
        <f t="shared" si="1204"/>
        <v>Lasa Int</v>
      </c>
      <c r="C4643" s="7">
        <v>45981</v>
      </c>
      <c r="D4643" s="7">
        <v>46042</v>
      </c>
      <c r="E4643" s="8">
        <v>1</v>
      </c>
      <c r="F4643" s="6" t="str">
        <f>"Ponchos"</f>
        <v>Ponchos</v>
      </c>
      <c r="G4643" s="6" t="str">
        <f>"K110069636000000"</f>
        <v>K110069636000000</v>
      </c>
      <c r="H4643" s="6" t="str">
        <f>"KB 696 Poncho - Kett"</f>
        <v>KB 696 Poncho - Kett</v>
      </c>
      <c r="I4643" s="6" t="str">
        <f>"2334"</f>
        <v>2334</v>
      </c>
      <c r="J4643" s="6" t="str">
        <f>"TURQUESA 2334"</f>
        <v>TURQUESA 2334</v>
      </c>
      <c r="K4643" s="6" t="str">
        <f>"5207"</f>
        <v>5207</v>
      </c>
      <c r="L4643" s="6" t="str">
        <f t="shared" si="1211"/>
        <v>Roupões Criança</v>
      </c>
      <c r="M4643" s="6" t="str">
        <f>"6/8 Anos"</f>
        <v>6/8 Anos</v>
      </c>
      <c r="N4643" s="6" t="str">
        <f>"5602972879568"</f>
        <v>5602972879568</v>
      </c>
      <c r="O4643" s="8">
        <v>36</v>
      </c>
      <c r="P4643" s="7">
        <v>45981</v>
      </c>
      <c r="R4643" s="8">
        <v>0</v>
      </c>
      <c r="U4643" s="8">
        <v>0</v>
      </c>
      <c r="X4643" s="8">
        <v>0</v>
      </c>
      <c r="Z4643" s="8">
        <v>0</v>
      </c>
      <c r="AC4643" s="8">
        <v>39</v>
      </c>
      <c r="AE4643" s="7">
        <v>45988</v>
      </c>
      <c r="AF4643" s="8">
        <v>39</v>
      </c>
      <c r="AH4643" s="7">
        <v>45995</v>
      </c>
      <c r="AN4643" s="8">
        <v>39</v>
      </c>
      <c r="AO4643" s="8">
        <v>-3</v>
      </c>
    </row>
    <row r="4644" spans="1:41" x14ac:dyDescent="0.25">
      <c r="A4644" s="6" t="str">
        <f>"525-2025000580"</f>
        <v>525-2025000580</v>
      </c>
      <c r="B4644" s="6" t="str">
        <f t="shared" si="1204"/>
        <v>Lasa Int</v>
      </c>
      <c r="C4644" s="7">
        <v>45982</v>
      </c>
      <c r="D4644" s="7">
        <v>46044</v>
      </c>
      <c r="E4644" s="8">
        <v>1</v>
      </c>
      <c r="F4644" s="6" t="str">
        <f>"Picueta"</f>
        <v>Picueta</v>
      </c>
      <c r="G4644" s="6" t="str">
        <f>"F100342948000000"</f>
        <v>F100342948000000</v>
      </c>
      <c r="H4644" s="6" t="str">
        <f>"FA 3429 Liso C/ Apl"</f>
        <v>FA 3429 Liso C/ Apl</v>
      </c>
      <c r="I4644" s="6" t="str">
        <f>"502311"</f>
        <v>502311</v>
      </c>
      <c r="J4644" s="6" t="str">
        <f>"BRANCO/Verde 688"</f>
        <v>BRANCO/Verde 688</v>
      </c>
      <c r="K4644" s="6" t="str">
        <f>"0530"</f>
        <v>0530</v>
      </c>
      <c r="L4644" s="6" t="str">
        <f>"Toalhetes"</f>
        <v>Toalhetes</v>
      </c>
      <c r="M4644" s="6" t="str">
        <f>"33x50"</f>
        <v>33x50</v>
      </c>
      <c r="N4644" s="6" t="str">
        <f>"5602972515169"</f>
        <v>5602972515169</v>
      </c>
      <c r="O4644" s="8">
        <v>36</v>
      </c>
      <c r="P4644" s="7">
        <v>45982</v>
      </c>
      <c r="R4644" s="8">
        <v>0</v>
      </c>
      <c r="U4644" s="8">
        <v>0</v>
      </c>
      <c r="X4644" s="8">
        <v>0</v>
      </c>
      <c r="Z4644" s="8">
        <v>0</v>
      </c>
      <c r="AC4644" s="8">
        <v>38</v>
      </c>
      <c r="AE4644" s="7">
        <v>45989</v>
      </c>
      <c r="AF4644" s="8">
        <v>38</v>
      </c>
      <c r="AH4644" s="7">
        <v>45995</v>
      </c>
      <c r="AN4644" s="8">
        <v>38</v>
      </c>
      <c r="AO4644" s="8">
        <v>-2</v>
      </c>
    </row>
    <row r="4645" spans="1:41" x14ac:dyDescent="0.25">
      <c r="A4645" s="6" t="str">
        <f>"525-2025000580"</f>
        <v>525-2025000580</v>
      </c>
      <c r="B4645" s="6" t="str">
        <f t="shared" si="1204"/>
        <v>Lasa Int</v>
      </c>
      <c r="C4645" s="7">
        <v>45982</v>
      </c>
      <c r="D4645" s="7">
        <v>46044</v>
      </c>
      <c r="E4645" s="8">
        <v>2</v>
      </c>
      <c r="F4645" s="6" t="str">
        <f>"Picueta"</f>
        <v>Picueta</v>
      </c>
      <c r="G4645" s="6" t="str">
        <f>"F100342948000000"</f>
        <v>F100342948000000</v>
      </c>
      <c r="H4645" s="6" t="str">
        <f>"FA 3429 Liso C/ Apl"</f>
        <v>FA 3429 Liso C/ Apl</v>
      </c>
      <c r="I4645" s="6" t="str">
        <f>"502315"</f>
        <v>502315</v>
      </c>
      <c r="J4645" s="6" t="str">
        <f>"BRANCO/Rosa 2045"</f>
        <v>BRANCO/Rosa 2045</v>
      </c>
      <c r="K4645" s="6" t="str">
        <f>"0530"</f>
        <v>0530</v>
      </c>
      <c r="L4645" s="6" t="str">
        <f>"Toalhetes"</f>
        <v>Toalhetes</v>
      </c>
      <c r="M4645" s="6" t="str">
        <f>"33x50"</f>
        <v>33x50</v>
      </c>
      <c r="N4645" s="6" t="str">
        <f>"5602972515367"</f>
        <v>5602972515367</v>
      </c>
      <c r="O4645" s="8">
        <v>36</v>
      </c>
      <c r="P4645" s="7">
        <v>45982</v>
      </c>
      <c r="R4645" s="8">
        <v>0</v>
      </c>
      <c r="U4645" s="8">
        <v>0</v>
      </c>
      <c r="X4645" s="8">
        <v>0</v>
      </c>
      <c r="Z4645" s="8">
        <v>0</v>
      </c>
      <c r="AC4645" s="8">
        <v>38</v>
      </c>
      <c r="AE4645" s="7">
        <v>45989</v>
      </c>
      <c r="AF4645" s="8">
        <v>38</v>
      </c>
      <c r="AH4645" s="7">
        <v>45995</v>
      </c>
      <c r="AN4645" s="8">
        <v>38</v>
      </c>
      <c r="AO4645" s="8">
        <v>-2</v>
      </c>
    </row>
    <row r="4646" spans="1:41" x14ac:dyDescent="0.25">
      <c r="A4646" s="6" t="str">
        <f>"525-2025000580"</f>
        <v>525-2025000580</v>
      </c>
      <c r="B4646" s="6" t="str">
        <f t="shared" si="1204"/>
        <v>Lasa Int</v>
      </c>
      <c r="C4646" s="7">
        <v>45982</v>
      </c>
      <c r="D4646" s="7">
        <v>46044</v>
      </c>
      <c r="E4646" s="8">
        <v>3</v>
      </c>
      <c r="F4646" s="6" t="str">
        <f>"Picueta"</f>
        <v>Picueta</v>
      </c>
      <c r="G4646" s="6" t="str">
        <f>"F100342948000000"</f>
        <v>F100342948000000</v>
      </c>
      <c r="H4646" s="6" t="str">
        <f>"FA 3429 Liso C/ Apl"</f>
        <v>FA 3429 Liso C/ Apl</v>
      </c>
      <c r="I4646" s="6" t="str">
        <f>"502315"</f>
        <v>502315</v>
      </c>
      <c r="J4646" s="6" t="str">
        <f>"BRANCO/Rosa 2045"</f>
        <v>BRANCO/Rosa 2045</v>
      </c>
      <c r="K4646" s="6" t="str">
        <f>"1024"</f>
        <v>1024</v>
      </c>
      <c r="L4646" s="6" t="str">
        <f>"Toalhas"</f>
        <v>Toalhas</v>
      </c>
      <c r="M4646" s="6" t="str">
        <f>"50x100"</f>
        <v>50x100</v>
      </c>
      <c r="N4646" s="6" t="str">
        <f>"5602972515374"</f>
        <v>5602972515374</v>
      </c>
      <c r="O4646" s="8">
        <v>36</v>
      </c>
      <c r="P4646" s="7">
        <v>45982</v>
      </c>
      <c r="R4646" s="8">
        <v>0</v>
      </c>
      <c r="U4646" s="8">
        <v>0</v>
      </c>
      <c r="X4646" s="8">
        <v>0</v>
      </c>
      <c r="Z4646" s="8">
        <v>0</v>
      </c>
      <c r="AC4646" s="8">
        <v>38</v>
      </c>
      <c r="AE4646" s="7">
        <v>45989</v>
      </c>
      <c r="AF4646" s="8">
        <v>38</v>
      </c>
      <c r="AH4646" s="7">
        <v>45995</v>
      </c>
      <c r="AN4646" s="8">
        <v>38</v>
      </c>
      <c r="AO4646" s="8">
        <v>-2</v>
      </c>
    </row>
    <row r="4647" spans="1:41" x14ac:dyDescent="0.25">
      <c r="A4647" s="6" t="str">
        <f t="shared" ref="A4647:A4654" si="1212">"525-2025000583"</f>
        <v>525-2025000583</v>
      </c>
      <c r="B4647" s="6" t="str">
        <f t="shared" si="1204"/>
        <v>Lasa Int</v>
      </c>
      <c r="C4647" s="7">
        <v>45982</v>
      </c>
      <c r="D4647" s="7">
        <v>46065</v>
      </c>
      <c r="E4647" s="8">
        <v>1</v>
      </c>
      <c r="F4647" s="6" t="str">
        <f t="shared" ref="F4647:F4654" si="1213">"Misto"</f>
        <v>Misto</v>
      </c>
      <c r="G4647" s="6" t="str">
        <f t="shared" ref="G4647:G4654" si="1214">"F330309850000000"</f>
        <v>F330309850000000</v>
      </c>
      <c r="H4647" s="6" t="str">
        <f t="shared" ref="H4647:H4654" si="1215">"PLA 3098 - 500 g/m²"</f>
        <v>PLA 3098 - 500 g/m²</v>
      </c>
      <c r="I4647" s="6" t="str">
        <f>"200549"</f>
        <v>200549</v>
      </c>
      <c r="J4647" s="6" t="str">
        <f>"CASTANHO 549"</f>
        <v>CASTANHO 549</v>
      </c>
      <c r="K4647" s="6" t="str">
        <f>"1024"</f>
        <v>1024</v>
      </c>
      <c r="L4647" s="6" t="str">
        <f>"Toalhas"</f>
        <v>Toalhas</v>
      </c>
      <c r="M4647" s="6" t="str">
        <f>"50x100"</f>
        <v>50x100</v>
      </c>
      <c r="N4647" s="6" t="str">
        <f>"5602972519129"</f>
        <v>5602972519129</v>
      </c>
      <c r="O4647" s="8">
        <v>180</v>
      </c>
      <c r="P4647" s="7">
        <v>45987</v>
      </c>
      <c r="R4647" s="8">
        <v>0</v>
      </c>
      <c r="S4647" s="7">
        <v>45993</v>
      </c>
      <c r="U4647" s="8">
        <v>200</v>
      </c>
      <c r="V4647" s="7">
        <v>46001</v>
      </c>
      <c r="X4647" s="8">
        <v>0</v>
      </c>
      <c r="Z4647" s="8">
        <v>200</v>
      </c>
      <c r="AA4647" s="7">
        <v>46015</v>
      </c>
      <c r="AC4647" s="8">
        <v>0</v>
      </c>
      <c r="AE4647" s="7">
        <v>46024</v>
      </c>
      <c r="AF4647" s="8">
        <v>0</v>
      </c>
      <c r="AH4647" s="7">
        <v>46031</v>
      </c>
      <c r="AN4647" s="8">
        <v>0</v>
      </c>
      <c r="AO4647" s="8">
        <v>180</v>
      </c>
    </row>
    <row r="4648" spans="1:41" x14ac:dyDescent="0.25">
      <c r="A4648" s="6" t="str">
        <f t="shared" si="1212"/>
        <v>525-2025000583</v>
      </c>
      <c r="B4648" s="6" t="str">
        <f t="shared" si="1204"/>
        <v>Lasa Int</v>
      </c>
      <c r="C4648" s="7">
        <v>45982</v>
      </c>
      <c r="D4648" s="7">
        <v>46065</v>
      </c>
      <c r="E4648" s="8">
        <v>2</v>
      </c>
      <c r="F4648" s="6" t="str">
        <f t="shared" si="1213"/>
        <v>Misto</v>
      </c>
      <c r="G4648" s="6" t="str">
        <f t="shared" si="1214"/>
        <v>F330309850000000</v>
      </c>
      <c r="H4648" s="6" t="str">
        <f t="shared" si="1215"/>
        <v>PLA 3098 - 500 g/m²</v>
      </c>
      <c r="I4648" s="6" t="str">
        <f>"200549"</f>
        <v>200549</v>
      </c>
      <c r="J4648" s="6" t="str">
        <f>"CASTANHO 549"</f>
        <v>CASTANHO 549</v>
      </c>
      <c r="K4648" s="6" t="str">
        <f>"2020"</f>
        <v>2020</v>
      </c>
      <c r="L4648" s="6" t="str">
        <f>"Lençóis"</f>
        <v>Lençóis</v>
      </c>
      <c r="M4648" s="6" t="str">
        <f>"100x150"</f>
        <v>100x150</v>
      </c>
      <c r="N4648" s="6" t="str">
        <f>"5602972519143"</f>
        <v>5602972519143</v>
      </c>
      <c r="O4648" s="8">
        <v>60</v>
      </c>
      <c r="P4648" s="7">
        <v>45987</v>
      </c>
      <c r="R4648" s="8">
        <v>0</v>
      </c>
      <c r="S4648" s="7">
        <v>45993</v>
      </c>
      <c r="U4648" s="8">
        <v>68</v>
      </c>
      <c r="V4648" s="7">
        <v>46001</v>
      </c>
      <c r="X4648" s="8">
        <v>0</v>
      </c>
      <c r="Z4648" s="8">
        <v>68</v>
      </c>
      <c r="AA4648" s="7">
        <v>46015</v>
      </c>
      <c r="AC4648" s="8">
        <v>0</v>
      </c>
      <c r="AE4648" s="7">
        <v>46024</v>
      </c>
      <c r="AF4648" s="8">
        <v>0</v>
      </c>
      <c r="AH4648" s="7">
        <v>46031</v>
      </c>
      <c r="AN4648" s="8">
        <v>0</v>
      </c>
      <c r="AO4648" s="8">
        <v>60</v>
      </c>
    </row>
    <row r="4649" spans="1:41" x14ac:dyDescent="0.25">
      <c r="A4649" s="6" t="str">
        <f t="shared" si="1212"/>
        <v>525-2025000583</v>
      </c>
      <c r="B4649" s="6" t="str">
        <f t="shared" si="1204"/>
        <v>Lasa Int</v>
      </c>
      <c r="C4649" s="7">
        <v>45982</v>
      </c>
      <c r="D4649" s="7">
        <v>46065</v>
      </c>
      <c r="E4649" s="8">
        <v>3</v>
      </c>
      <c r="F4649" s="6" t="str">
        <f t="shared" si="1213"/>
        <v>Misto</v>
      </c>
      <c r="G4649" s="6" t="str">
        <f t="shared" si="1214"/>
        <v>F330309850000000</v>
      </c>
      <c r="H4649" s="6" t="str">
        <f t="shared" si="1215"/>
        <v>PLA 3098 - 500 g/m²</v>
      </c>
      <c r="I4649" s="6" t="str">
        <f>"203687"</f>
        <v>203687</v>
      </c>
      <c r="J4649" s="6" t="str">
        <f>"CINZA 3687"</f>
        <v>CINZA 3687</v>
      </c>
      <c r="K4649" s="6" t="str">
        <f>"0530"</f>
        <v>0530</v>
      </c>
      <c r="L4649" s="6" t="str">
        <f>"Toalhetes"</f>
        <v>Toalhetes</v>
      </c>
      <c r="M4649" s="6" t="str">
        <f>"33x50"</f>
        <v>33x50</v>
      </c>
      <c r="N4649" s="6" t="str">
        <f>"5602972519211"</f>
        <v>5602972519211</v>
      </c>
      <c r="O4649" s="8">
        <v>120</v>
      </c>
      <c r="P4649" s="7">
        <v>45987</v>
      </c>
      <c r="R4649" s="8">
        <v>0</v>
      </c>
      <c r="S4649" s="7">
        <v>45993</v>
      </c>
      <c r="U4649" s="8">
        <v>138</v>
      </c>
      <c r="V4649" s="7">
        <v>46001</v>
      </c>
      <c r="X4649" s="8">
        <v>138</v>
      </c>
      <c r="Z4649" s="8">
        <v>0</v>
      </c>
      <c r="AA4649" s="7">
        <v>46015</v>
      </c>
      <c r="AC4649" s="8">
        <v>236</v>
      </c>
      <c r="AE4649" s="7">
        <v>46024</v>
      </c>
      <c r="AF4649" s="8">
        <v>236</v>
      </c>
      <c r="AH4649" s="7">
        <v>46031</v>
      </c>
      <c r="AN4649" s="8">
        <v>236</v>
      </c>
      <c r="AO4649" s="8">
        <v>-116</v>
      </c>
    </row>
    <row r="4650" spans="1:41" x14ac:dyDescent="0.25">
      <c r="A4650" s="6" t="str">
        <f t="shared" si="1212"/>
        <v>525-2025000583</v>
      </c>
      <c r="B4650" s="6" t="str">
        <f t="shared" si="1204"/>
        <v>Lasa Int</v>
      </c>
      <c r="C4650" s="7">
        <v>45982</v>
      </c>
      <c r="D4650" s="7">
        <v>46065</v>
      </c>
      <c r="E4650" s="8">
        <v>4</v>
      </c>
      <c r="F4650" s="6" t="str">
        <f t="shared" si="1213"/>
        <v>Misto</v>
      </c>
      <c r="G4650" s="6" t="str">
        <f t="shared" si="1214"/>
        <v>F330309850000000</v>
      </c>
      <c r="H4650" s="6" t="str">
        <f t="shared" si="1215"/>
        <v>PLA 3098 - 500 g/m²</v>
      </c>
      <c r="I4650" s="6" t="str">
        <f>"203687"</f>
        <v>203687</v>
      </c>
      <c r="J4650" s="6" t="str">
        <f>"CINZA 3687"</f>
        <v>CINZA 3687</v>
      </c>
      <c r="K4650" s="6" t="str">
        <f>"1024"</f>
        <v>1024</v>
      </c>
      <c r="L4650" s="6" t="str">
        <f>"Toalhas"</f>
        <v>Toalhas</v>
      </c>
      <c r="M4650" s="6" t="str">
        <f>"50x100"</f>
        <v>50x100</v>
      </c>
      <c r="N4650" s="6" t="str">
        <f>"5602972519228"</f>
        <v>5602972519228</v>
      </c>
      <c r="O4650" s="8">
        <v>180</v>
      </c>
      <c r="P4650" s="7">
        <v>45987</v>
      </c>
      <c r="R4650" s="8">
        <v>0</v>
      </c>
      <c r="S4650" s="7">
        <v>45993</v>
      </c>
      <c r="U4650" s="8">
        <v>208</v>
      </c>
      <c r="V4650" s="7">
        <v>46001</v>
      </c>
      <c r="X4650" s="8">
        <v>208</v>
      </c>
      <c r="Z4650" s="8">
        <v>0</v>
      </c>
      <c r="AA4650" s="7">
        <v>46015</v>
      </c>
      <c r="AC4650" s="8">
        <v>0</v>
      </c>
      <c r="AE4650" s="7">
        <v>46024</v>
      </c>
      <c r="AF4650" s="8">
        <v>0</v>
      </c>
      <c r="AH4650" s="7">
        <v>46031</v>
      </c>
      <c r="AN4650" s="8">
        <v>0</v>
      </c>
      <c r="AO4650" s="8">
        <v>180</v>
      </c>
    </row>
    <row r="4651" spans="1:41" x14ac:dyDescent="0.25">
      <c r="A4651" s="6" t="str">
        <f t="shared" si="1212"/>
        <v>525-2025000583</v>
      </c>
      <c r="B4651" s="6" t="str">
        <f t="shared" si="1204"/>
        <v>Lasa Int</v>
      </c>
      <c r="C4651" s="7">
        <v>45982</v>
      </c>
      <c r="D4651" s="7">
        <v>46065</v>
      </c>
      <c r="E4651" s="8">
        <v>5</v>
      </c>
      <c r="F4651" s="6" t="str">
        <f t="shared" si="1213"/>
        <v>Misto</v>
      </c>
      <c r="G4651" s="6" t="str">
        <f t="shared" si="1214"/>
        <v>F330309850000000</v>
      </c>
      <c r="H4651" s="6" t="str">
        <f t="shared" si="1215"/>
        <v>PLA 3098 - 500 g/m²</v>
      </c>
      <c r="I4651" s="6" t="str">
        <f>"203687"</f>
        <v>203687</v>
      </c>
      <c r="J4651" s="6" t="str">
        <f>"CINZA 3687"</f>
        <v>CINZA 3687</v>
      </c>
      <c r="K4651" s="6" t="str">
        <f>"2020"</f>
        <v>2020</v>
      </c>
      <c r="L4651" s="6" t="str">
        <f>"Lençóis"</f>
        <v>Lençóis</v>
      </c>
      <c r="M4651" s="6" t="str">
        <f>"100x150"</f>
        <v>100x150</v>
      </c>
      <c r="N4651" s="6" t="str">
        <f>"5602972519242"</f>
        <v>5602972519242</v>
      </c>
      <c r="O4651" s="8">
        <v>90</v>
      </c>
      <c r="P4651" s="7">
        <v>45987</v>
      </c>
      <c r="R4651" s="8">
        <v>0</v>
      </c>
      <c r="S4651" s="7">
        <v>45993</v>
      </c>
      <c r="U4651" s="8">
        <v>106</v>
      </c>
      <c r="V4651" s="7">
        <v>46001</v>
      </c>
      <c r="X4651" s="8">
        <v>106</v>
      </c>
      <c r="Z4651" s="8">
        <v>0</v>
      </c>
      <c r="AA4651" s="7">
        <v>46015</v>
      </c>
      <c r="AC4651" s="8">
        <v>88</v>
      </c>
      <c r="AE4651" s="7">
        <v>46024</v>
      </c>
      <c r="AF4651" s="8">
        <v>88</v>
      </c>
      <c r="AH4651" s="7">
        <v>46031</v>
      </c>
      <c r="AN4651" s="8">
        <v>88</v>
      </c>
      <c r="AO4651" s="8">
        <v>2</v>
      </c>
    </row>
    <row r="4652" spans="1:41" x14ac:dyDescent="0.25">
      <c r="A4652" s="6" t="str">
        <f t="shared" si="1212"/>
        <v>525-2025000583</v>
      </c>
      <c r="B4652" s="6" t="str">
        <f t="shared" si="1204"/>
        <v>Lasa Int</v>
      </c>
      <c r="C4652" s="7">
        <v>45982</v>
      </c>
      <c r="D4652" s="7">
        <v>46065</v>
      </c>
      <c r="E4652" s="8">
        <v>6</v>
      </c>
      <c r="F4652" s="6" t="str">
        <f t="shared" si="1213"/>
        <v>Misto</v>
      </c>
      <c r="G4652" s="6" t="str">
        <f t="shared" si="1214"/>
        <v>F330309850000000</v>
      </c>
      <c r="H4652" s="6" t="str">
        <f t="shared" si="1215"/>
        <v>PLA 3098 - 500 g/m²</v>
      </c>
      <c r="I4652" s="6" t="str">
        <f>"200922"</f>
        <v>200922</v>
      </c>
      <c r="J4652" s="6" t="str">
        <f>"AZUL 922"</f>
        <v>AZUL 922</v>
      </c>
      <c r="K4652" s="6" t="str">
        <f>"0530"</f>
        <v>0530</v>
      </c>
      <c r="L4652" s="6" t="str">
        <f>"Toalhetes"</f>
        <v>Toalhetes</v>
      </c>
      <c r="M4652" s="6" t="str">
        <f>"33x50"</f>
        <v>33x50</v>
      </c>
      <c r="N4652" s="6" t="str">
        <f>"5602972519167"</f>
        <v>5602972519167</v>
      </c>
      <c r="O4652" s="8">
        <v>320</v>
      </c>
      <c r="P4652" s="7">
        <v>45987</v>
      </c>
      <c r="R4652" s="8">
        <v>0</v>
      </c>
      <c r="S4652" s="7">
        <v>45993</v>
      </c>
      <c r="U4652" s="8">
        <v>348</v>
      </c>
      <c r="V4652" s="7">
        <v>46001</v>
      </c>
      <c r="X4652" s="8">
        <v>348</v>
      </c>
      <c r="Z4652" s="8">
        <v>0</v>
      </c>
      <c r="AA4652" s="7">
        <v>46015</v>
      </c>
      <c r="AC4652" s="8">
        <v>0</v>
      </c>
      <c r="AE4652" s="7">
        <v>46024</v>
      </c>
      <c r="AF4652" s="8">
        <v>0</v>
      </c>
      <c r="AH4652" s="7">
        <v>46031</v>
      </c>
      <c r="AN4652" s="8">
        <v>0</v>
      </c>
      <c r="AO4652" s="8">
        <v>320</v>
      </c>
    </row>
    <row r="4653" spans="1:41" x14ac:dyDescent="0.25">
      <c r="A4653" s="6" t="str">
        <f t="shared" si="1212"/>
        <v>525-2025000583</v>
      </c>
      <c r="B4653" s="6" t="str">
        <f t="shared" si="1204"/>
        <v>Lasa Int</v>
      </c>
      <c r="C4653" s="7">
        <v>45982</v>
      </c>
      <c r="D4653" s="7">
        <v>46065</v>
      </c>
      <c r="E4653" s="8">
        <v>7</v>
      </c>
      <c r="F4653" s="6" t="str">
        <f t="shared" si="1213"/>
        <v>Misto</v>
      </c>
      <c r="G4653" s="6" t="str">
        <f t="shared" si="1214"/>
        <v>F330309850000000</v>
      </c>
      <c r="H4653" s="6" t="str">
        <f t="shared" si="1215"/>
        <v>PLA 3098 - 500 g/m²</v>
      </c>
      <c r="I4653" s="6" t="str">
        <f>"200922"</f>
        <v>200922</v>
      </c>
      <c r="J4653" s="6" t="str">
        <f>"AZUL 922"</f>
        <v>AZUL 922</v>
      </c>
      <c r="K4653" s="6" t="str">
        <f>"1024"</f>
        <v>1024</v>
      </c>
      <c r="L4653" s="6" t="str">
        <f>"Toalhas"</f>
        <v>Toalhas</v>
      </c>
      <c r="M4653" s="6" t="str">
        <f>"50x100"</f>
        <v>50x100</v>
      </c>
      <c r="N4653" s="6" t="str">
        <f>"5602972519174"</f>
        <v>5602972519174</v>
      </c>
      <c r="O4653" s="8">
        <v>320</v>
      </c>
      <c r="P4653" s="7">
        <v>45987</v>
      </c>
      <c r="R4653" s="8">
        <v>0</v>
      </c>
      <c r="S4653" s="7">
        <v>45993</v>
      </c>
      <c r="U4653" s="8">
        <v>352</v>
      </c>
      <c r="V4653" s="7">
        <v>46001</v>
      </c>
      <c r="X4653" s="8">
        <v>352</v>
      </c>
      <c r="Z4653" s="8">
        <v>0</v>
      </c>
      <c r="AA4653" s="7">
        <v>46015</v>
      </c>
      <c r="AC4653" s="8">
        <v>0</v>
      </c>
      <c r="AE4653" s="7">
        <v>46024</v>
      </c>
      <c r="AF4653" s="8">
        <v>0</v>
      </c>
      <c r="AH4653" s="7">
        <v>46031</v>
      </c>
      <c r="AN4653" s="8">
        <v>0</v>
      </c>
      <c r="AO4653" s="8">
        <v>320</v>
      </c>
    </row>
    <row r="4654" spans="1:41" x14ac:dyDescent="0.25">
      <c r="A4654" s="6" t="str">
        <f t="shared" si="1212"/>
        <v>525-2025000583</v>
      </c>
      <c r="B4654" s="6" t="str">
        <f t="shared" si="1204"/>
        <v>Lasa Int</v>
      </c>
      <c r="C4654" s="7">
        <v>45982</v>
      </c>
      <c r="D4654" s="7">
        <v>46065</v>
      </c>
      <c r="E4654" s="8">
        <v>8</v>
      </c>
      <c r="F4654" s="6" t="str">
        <f t="shared" si="1213"/>
        <v>Misto</v>
      </c>
      <c r="G4654" s="6" t="str">
        <f t="shared" si="1214"/>
        <v>F330309850000000</v>
      </c>
      <c r="H4654" s="6" t="str">
        <f t="shared" si="1215"/>
        <v>PLA 3098 - 500 g/m²</v>
      </c>
      <c r="I4654" s="6" t="str">
        <f>"200922"</f>
        <v>200922</v>
      </c>
      <c r="J4654" s="6" t="str">
        <f>"AZUL 922"</f>
        <v>AZUL 922</v>
      </c>
      <c r="K4654" s="6" t="str">
        <f>"2020"</f>
        <v>2020</v>
      </c>
      <c r="L4654" s="6" t="str">
        <f>"Lençóis"</f>
        <v>Lençóis</v>
      </c>
      <c r="M4654" s="6" t="str">
        <f>"100x150"</f>
        <v>100x150</v>
      </c>
      <c r="N4654" s="6" t="str">
        <f>"5602972519198"</f>
        <v>5602972519198</v>
      </c>
      <c r="O4654" s="8">
        <v>140</v>
      </c>
      <c r="P4654" s="7">
        <v>45987</v>
      </c>
      <c r="R4654" s="8">
        <v>0</v>
      </c>
      <c r="S4654" s="7">
        <v>45993</v>
      </c>
      <c r="U4654" s="8">
        <v>158</v>
      </c>
      <c r="V4654" s="7">
        <v>46001</v>
      </c>
      <c r="X4654" s="8">
        <v>158</v>
      </c>
      <c r="Z4654" s="8">
        <v>0</v>
      </c>
      <c r="AA4654" s="7">
        <v>46015</v>
      </c>
      <c r="AC4654" s="8">
        <v>0</v>
      </c>
      <c r="AE4654" s="7">
        <v>46024</v>
      </c>
      <c r="AF4654" s="8">
        <v>0</v>
      </c>
      <c r="AH4654" s="7">
        <v>46031</v>
      </c>
      <c r="AN4654" s="8">
        <v>0</v>
      </c>
      <c r="AO4654" s="8">
        <v>140</v>
      </c>
    </row>
    <row r="4655" spans="1:41" x14ac:dyDescent="0.25">
      <c r="A4655" s="6" t="str">
        <f t="shared" ref="A4655:A4664" si="1216">"525-2025000585"</f>
        <v>525-2025000585</v>
      </c>
      <c r="B4655" s="6" t="str">
        <f t="shared" si="1204"/>
        <v>Lasa Int</v>
      </c>
      <c r="C4655" s="7">
        <v>45985</v>
      </c>
      <c r="D4655" s="7">
        <v>46049</v>
      </c>
      <c r="E4655" s="8">
        <v>1</v>
      </c>
      <c r="F4655" s="6" t="str">
        <f t="shared" ref="F4655:F4664" si="1217">"Panos PURE"</f>
        <v>Panos PURE</v>
      </c>
      <c r="G4655" s="6" t="str">
        <f>"F110110840000000"</f>
        <v>F110110840000000</v>
      </c>
      <c r="H4655" s="6" t="str">
        <f>"FAJ 1108 - PURE KITC"</f>
        <v>FAJ 1108 - PURE KITC</v>
      </c>
      <c r="I4655" s="6" t="str">
        <f>"2307"</f>
        <v>2307</v>
      </c>
      <c r="J4655" s="6" t="str">
        <f>"VERMELHO 2307"</f>
        <v>VERMELHO 2307</v>
      </c>
      <c r="K4655" s="6" t="str">
        <f t="shared" ref="K4655:K4664" si="1218">"0820"</f>
        <v>0820</v>
      </c>
      <c r="L4655" s="6" t="str">
        <f t="shared" ref="L4655:L4664" si="1219">"Cozinha"</f>
        <v>Cozinha</v>
      </c>
      <c r="M4655" s="6" t="str">
        <f t="shared" ref="M4655:M4664" si="1220">"50x50"</f>
        <v>50x50</v>
      </c>
      <c r="N4655" s="6" t="str">
        <f>"5602972885095"</f>
        <v>5602972885095</v>
      </c>
      <c r="O4655" s="8">
        <v>500</v>
      </c>
      <c r="P4655" s="7">
        <v>45985</v>
      </c>
      <c r="R4655" s="8">
        <v>2704</v>
      </c>
      <c r="S4655" s="7">
        <v>45988</v>
      </c>
      <c r="U4655" s="8">
        <v>540</v>
      </c>
      <c r="V4655" s="7">
        <v>46003</v>
      </c>
      <c r="X4655" s="8">
        <v>0</v>
      </c>
      <c r="Z4655" s="8">
        <v>540</v>
      </c>
      <c r="AA4655" s="7">
        <v>46021</v>
      </c>
      <c r="AC4655" s="8">
        <v>0</v>
      </c>
      <c r="AE4655" s="7">
        <v>46028</v>
      </c>
      <c r="AF4655" s="8">
        <v>0</v>
      </c>
      <c r="AH4655" s="7">
        <v>46028</v>
      </c>
      <c r="AN4655" s="8">
        <v>0</v>
      </c>
      <c r="AO4655" s="8">
        <v>500</v>
      </c>
    </row>
    <row r="4656" spans="1:41" x14ac:dyDescent="0.25">
      <c r="A4656" s="6" t="str">
        <f t="shared" si="1216"/>
        <v>525-2025000585</v>
      </c>
      <c r="B4656" s="6" t="str">
        <f t="shared" si="1204"/>
        <v>Lasa Int</v>
      </c>
      <c r="C4656" s="7">
        <v>45985</v>
      </c>
      <c r="D4656" s="7">
        <v>46049</v>
      </c>
      <c r="E4656" s="8">
        <v>2</v>
      </c>
      <c r="F4656" s="6" t="str">
        <f t="shared" si="1217"/>
        <v>Panos PURE</v>
      </c>
      <c r="G4656" s="6" t="str">
        <f>"F110110840000000"</f>
        <v>F110110840000000</v>
      </c>
      <c r="H4656" s="6" t="str">
        <f>"FAJ 1108 - PURE KITC"</f>
        <v>FAJ 1108 - PURE KITC</v>
      </c>
      <c r="I4656" s="6" t="str">
        <f>"3073"</f>
        <v>3073</v>
      </c>
      <c r="J4656" s="6" t="str">
        <f>"CINZA 3073"</f>
        <v>CINZA 3073</v>
      </c>
      <c r="K4656" s="6" t="str">
        <f t="shared" si="1218"/>
        <v>0820</v>
      </c>
      <c r="L4656" s="6" t="str">
        <f t="shared" si="1219"/>
        <v>Cozinha</v>
      </c>
      <c r="M4656" s="6" t="str">
        <f t="shared" si="1220"/>
        <v>50x50</v>
      </c>
      <c r="N4656" s="6" t="str">
        <f>"5602972885125"</f>
        <v>5602972885125</v>
      </c>
      <c r="O4656" s="8">
        <v>1000</v>
      </c>
      <c r="P4656" s="7">
        <v>45985</v>
      </c>
      <c r="R4656" s="8">
        <v>0</v>
      </c>
      <c r="S4656" s="7">
        <v>45988</v>
      </c>
      <c r="U4656" s="8">
        <v>1044</v>
      </c>
      <c r="V4656" s="7">
        <v>46003</v>
      </c>
      <c r="X4656" s="8">
        <v>0</v>
      </c>
      <c r="Z4656" s="8">
        <v>1044</v>
      </c>
      <c r="AA4656" s="7">
        <v>46021</v>
      </c>
      <c r="AC4656" s="8">
        <v>808</v>
      </c>
      <c r="AE4656" s="7">
        <v>46028</v>
      </c>
      <c r="AF4656" s="8">
        <v>808</v>
      </c>
      <c r="AH4656" s="7">
        <v>46028</v>
      </c>
      <c r="AN4656" s="8">
        <v>808</v>
      </c>
      <c r="AO4656" s="8">
        <v>192</v>
      </c>
    </row>
    <row r="4657" spans="1:41" x14ac:dyDescent="0.25">
      <c r="A4657" s="6" t="str">
        <f t="shared" si="1216"/>
        <v>525-2025000585</v>
      </c>
      <c r="B4657" s="6" t="str">
        <f t="shared" si="1204"/>
        <v>Lasa Int</v>
      </c>
      <c r="C4657" s="7">
        <v>45985</v>
      </c>
      <c r="D4657" s="7">
        <v>46049</v>
      </c>
      <c r="E4657" s="8">
        <v>3</v>
      </c>
      <c r="F4657" s="6" t="str">
        <f t="shared" si="1217"/>
        <v>Panos PURE</v>
      </c>
      <c r="G4657" s="6" t="str">
        <f>"F110110840000000"</f>
        <v>F110110840000000</v>
      </c>
      <c r="H4657" s="6" t="str">
        <f>"FAJ 1108 - PURE KITC"</f>
        <v>FAJ 1108 - PURE KITC</v>
      </c>
      <c r="I4657" s="6" t="str">
        <f>"3235"</f>
        <v>3235</v>
      </c>
      <c r="J4657" s="6" t="str">
        <f>"CINZA 3235"</f>
        <v>CINZA 3235</v>
      </c>
      <c r="K4657" s="6" t="str">
        <f t="shared" si="1218"/>
        <v>0820</v>
      </c>
      <c r="L4657" s="6" t="str">
        <f t="shared" si="1219"/>
        <v>Cozinha</v>
      </c>
      <c r="M4657" s="6" t="str">
        <f t="shared" si="1220"/>
        <v>50x50</v>
      </c>
      <c r="N4657" s="6" t="str">
        <f>"5602972736328"</f>
        <v>5602972736328</v>
      </c>
      <c r="O4657" s="8">
        <v>500</v>
      </c>
      <c r="P4657" s="7">
        <v>45985</v>
      </c>
      <c r="R4657" s="8">
        <v>0</v>
      </c>
      <c r="S4657" s="7">
        <v>45988</v>
      </c>
      <c r="U4657" s="8">
        <v>540</v>
      </c>
      <c r="V4657" s="7">
        <v>46003</v>
      </c>
      <c r="X4657" s="8">
        <v>0</v>
      </c>
      <c r="Z4657" s="8">
        <v>540</v>
      </c>
      <c r="AA4657" s="7">
        <v>46021</v>
      </c>
      <c r="AC4657" s="8">
        <v>468</v>
      </c>
      <c r="AE4657" s="7">
        <v>46028</v>
      </c>
      <c r="AF4657" s="8">
        <v>468</v>
      </c>
      <c r="AH4657" s="7">
        <v>46028</v>
      </c>
      <c r="AN4657" s="8">
        <v>468</v>
      </c>
      <c r="AO4657" s="8">
        <v>32</v>
      </c>
    </row>
    <row r="4658" spans="1:41" x14ac:dyDescent="0.25">
      <c r="A4658" s="6" t="str">
        <f t="shared" si="1216"/>
        <v>525-2025000585</v>
      </c>
      <c r="B4658" s="6" t="str">
        <f t="shared" si="1204"/>
        <v>Lasa Int</v>
      </c>
      <c r="C4658" s="7">
        <v>45985</v>
      </c>
      <c r="D4658" s="7">
        <v>46049</v>
      </c>
      <c r="E4658" s="8">
        <v>4</v>
      </c>
      <c r="F4658" s="6" t="str">
        <f t="shared" si="1217"/>
        <v>Panos PURE</v>
      </c>
      <c r="G4658" s="6" t="str">
        <f>"F110110840000000"</f>
        <v>F110110840000000</v>
      </c>
      <c r="H4658" s="6" t="str">
        <f>"FAJ 1108 - PURE KITC"</f>
        <v>FAJ 1108 - PURE KITC</v>
      </c>
      <c r="I4658" s="6" t="str">
        <f>"5417"</f>
        <v>5417</v>
      </c>
      <c r="J4658" s="6" t="str">
        <f>"AZUL 5417"</f>
        <v>AZUL 5417</v>
      </c>
      <c r="K4658" s="6" t="str">
        <f t="shared" si="1218"/>
        <v>0820</v>
      </c>
      <c r="L4658" s="6" t="str">
        <f t="shared" si="1219"/>
        <v>Cozinha</v>
      </c>
      <c r="M4658" s="6" t="str">
        <f t="shared" si="1220"/>
        <v>50x50</v>
      </c>
      <c r="N4658" s="6" t="str">
        <f>"5602972677492"</f>
        <v>5602972677492</v>
      </c>
      <c r="O4658" s="8">
        <v>500</v>
      </c>
      <c r="P4658" s="7">
        <v>45985</v>
      </c>
      <c r="R4658" s="8">
        <v>0</v>
      </c>
      <c r="S4658" s="7">
        <v>45988</v>
      </c>
      <c r="U4658" s="8">
        <v>540</v>
      </c>
      <c r="V4658" s="7">
        <v>46003</v>
      </c>
      <c r="X4658" s="8">
        <v>0</v>
      </c>
      <c r="Z4658" s="8">
        <v>540</v>
      </c>
      <c r="AA4658" s="7">
        <v>46021</v>
      </c>
      <c r="AC4658" s="8">
        <v>0</v>
      </c>
      <c r="AE4658" s="7">
        <v>46028</v>
      </c>
      <c r="AF4658" s="8">
        <v>0</v>
      </c>
      <c r="AH4658" s="7">
        <v>46028</v>
      </c>
      <c r="AN4658" s="8">
        <v>0</v>
      </c>
      <c r="AO4658" s="8">
        <v>500</v>
      </c>
    </row>
    <row r="4659" spans="1:41" x14ac:dyDescent="0.25">
      <c r="A4659" s="6" t="str">
        <f t="shared" si="1216"/>
        <v>525-2025000585</v>
      </c>
      <c r="B4659" s="6" t="str">
        <f t="shared" si="1204"/>
        <v>Lasa Int</v>
      </c>
      <c r="C4659" s="7">
        <v>45985</v>
      </c>
      <c r="D4659" s="7">
        <v>46049</v>
      </c>
      <c r="E4659" s="8">
        <v>5</v>
      </c>
      <c r="F4659" s="6" t="str">
        <f t="shared" si="1217"/>
        <v>Panos PURE</v>
      </c>
      <c r="G4659" s="6" t="str">
        <f t="shared" ref="G4659:G4664" si="1221">"F110117940000000"</f>
        <v>F110117940000000</v>
      </c>
      <c r="H4659" s="6" t="str">
        <f t="shared" ref="H4659:H4664" si="1222">"FAJ 1179 - PURE KITC"</f>
        <v>FAJ 1179 - PURE KITC</v>
      </c>
      <c r="I4659" s="6" t="str">
        <f>"1359"</f>
        <v>1359</v>
      </c>
      <c r="J4659" s="6" t="str">
        <f>"CASTANHO 1359"</f>
        <v>CASTANHO 1359</v>
      </c>
      <c r="K4659" s="6" t="str">
        <f t="shared" si="1218"/>
        <v>0820</v>
      </c>
      <c r="L4659" s="6" t="str">
        <f t="shared" si="1219"/>
        <v>Cozinha</v>
      </c>
      <c r="M4659" s="6" t="str">
        <f t="shared" si="1220"/>
        <v>50x50</v>
      </c>
      <c r="N4659" s="6" t="str">
        <f>"5602972736342"</f>
        <v>5602972736342</v>
      </c>
      <c r="O4659" s="8">
        <v>500</v>
      </c>
      <c r="P4659" s="7">
        <v>45985</v>
      </c>
      <c r="R4659" s="8">
        <v>4604</v>
      </c>
      <c r="S4659" s="7">
        <v>45988</v>
      </c>
      <c r="U4659" s="8">
        <v>648</v>
      </c>
      <c r="V4659" s="7">
        <v>46003</v>
      </c>
      <c r="X4659" s="8">
        <v>0</v>
      </c>
      <c r="Z4659" s="8">
        <v>648</v>
      </c>
      <c r="AA4659" s="7">
        <v>46021</v>
      </c>
      <c r="AC4659" s="8">
        <v>0</v>
      </c>
      <c r="AE4659" s="7">
        <v>46028</v>
      </c>
      <c r="AF4659" s="8">
        <v>0</v>
      </c>
      <c r="AH4659" s="7">
        <v>46028</v>
      </c>
      <c r="AN4659" s="8">
        <v>0</v>
      </c>
      <c r="AO4659" s="8">
        <v>500</v>
      </c>
    </row>
    <row r="4660" spans="1:41" x14ac:dyDescent="0.25">
      <c r="A4660" s="6" t="str">
        <f t="shared" si="1216"/>
        <v>525-2025000585</v>
      </c>
      <c r="B4660" s="6" t="str">
        <f t="shared" si="1204"/>
        <v>Lasa Int</v>
      </c>
      <c r="C4660" s="7">
        <v>45985</v>
      </c>
      <c r="D4660" s="7">
        <v>46049</v>
      </c>
      <c r="E4660" s="8">
        <v>6</v>
      </c>
      <c r="F4660" s="6" t="str">
        <f t="shared" si="1217"/>
        <v>Panos PURE</v>
      </c>
      <c r="G4660" s="6" t="str">
        <f t="shared" si="1221"/>
        <v>F110117940000000</v>
      </c>
      <c r="H4660" s="6" t="str">
        <f t="shared" si="1222"/>
        <v>FAJ 1179 - PURE KITC</v>
      </c>
      <c r="I4660" s="6" t="str">
        <f>"1670"</f>
        <v>1670</v>
      </c>
      <c r="J4660" s="6" t="str">
        <f>"BEGE 1670"</f>
        <v>BEGE 1670</v>
      </c>
      <c r="K4660" s="6" t="str">
        <f t="shared" si="1218"/>
        <v>0820</v>
      </c>
      <c r="L4660" s="6" t="str">
        <f t="shared" si="1219"/>
        <v>Cozinha</v>
      </c>
      <c r="M4660" s="6" t="str">
        <f t="shared" si="1220"/>
        <v>50x50</v>
      </c>
      <c r="N4660" s="6" t="str">
        <f>"5602972885149"</f>
        <v>5602972885149</v>
      </c>
      <c r="O4660" s="8">
        <v>500</v>
      </c>
      <c r="P4660" s="7">
        <v>45985</v>
      </c>
      <c r="R4660" s="8">
        <v>0</v>
      </c>
      <c r="S4660" s="7">
        <v>45988</v>
      </c>
      <c r="U4660" s="8">
        <v>540</v>
      </c>
      <c r="V4660" s="7">
        <v>46003</v>
      </c>
      <c r="X4660" s="8">
        <v>0</v>
      </c>
      <c r="Z4660" s="8">
        <v>540</v>
      </c>
      <c r="AA4660" s="7">
        <v>46021</v>
      </c>
      <c r="AC4660" s="8">
        <v>416</v>
      </c>
      <c r="AE4660" s="7">
        <v>46028</v>
      </c>
      <c r="AF4660" s="8">
        <v>416</v>
      </c>
      <c r="AH4660" s="7">
        <v>46028</v>
      </c>
      <c r="AN4660" s="8">
        <v>416</v>
      </c>
      <c r="AO4660" s="8">
        <v>84</v>
      </c>
    </row>
    <row r="4661" spans="1:41" x14ac:dyDescent="0.25">
      <c r="A4661" s="6" t="str">
        <f t="shared" si="1216"/>
        <v>525-2025000585</v>
      </c>
      <c r="B4661" s="6" t="str">
        <f t="shared" si="1204"/>
        <v>Lasa Int</v>
      </c>
      <c r="C4661" s="7">
        <v>45985</v>
      </c>
      <c r="D4661" s="7">
        <v>46049</v>
      </c>
      <c r="E4661" s="8">
        <v>7</v>
      </c>
      <c r="F4661" s="6" t="str">
        <f t="shared" si="1217"/>
        <v>Panos PURE</v>
      </c>
      <c r="G4661" s="6" t="str">
        <f t="shared" si="1221"/>
        <v>F110117940000000</v>
      </c>
      <c r="H4661" s="6" t="str">
        <f t="shared" si="1222"/>
        <v>FAJ 1179 - PURE KITC</v>
      </c>
      <c r="I4661" s="6" t="str">
        <f>"2307"</f>
        <v>2307</v>
      </c>
      <c r="J4661" s="6" t="str">
        <f>"VERMELHO 2307"</f>
        <v>VERMELHO 2307</v>
      </c>
      <c r="K4661" s="6" t="str">
        <f t="shared" si="1218"/>
        <v>0820</v>
      </c>
      <c r="L4661" s="6" t="str">
        <f t="shared" si="1219"/>
        <v>Cozinha</v>
      </c>
      <c r="M4661" s="6" t="str">
        <f t="shared" si="1220"/>
        <v>50x50</v>
      </c>
      <c r="N4661" s="6" t="str">
        <f>"5602972885194"</f>
        <v>5602972885194</v>
      </c>
      <c r="O4661" s="8">
        <v>500</v>
      </c>
      <c r="P4661" s="7">
        <v>45985</v>
      </c>
      <c r="R4661" s="8">
        <v>0</v>
      </c>
      <c r="S4661" s="7">
        <v>45988</v>
      </c>
      <c r="U4661" s="8">
        <v>540</v>
      </c>
      <c r="V4661" s="7">
        <v>46003</v>
      </c>
      <c r="X4661" s="8">
        <v>0</v>
      </c>
      <c r="Z4661" s="8">
        <v>540</v>
      </c>
      <c r="AA4661" s="7">
        <v>46021</v>
      </c>
      <c r="AC4661" s="8">
        <v>0</v>
      </c>
      <c r="AE4661" s="7">
        <v>46028</v>
      </c>
      <c r="AF4661" s="8">
        <v>0</v>
      </c>
      <c r="AH4661" s="7">
        <v>46028</v>
      </c>
      <c r="AN4661" s="8">
        <v>0</v>
      </c>
      <c r="AO4661" s="8">
        <v>500</v>
      </c>
    </row>
    <row r="4662" spans="1:41" x14ac:dyDescent="0.25">
      <c r="A4662" s="6" t="str">
        <f t="shared" si="1216"/>
        <v>525-2025000585</v>
      </c>
      <c r="B4662" s="6" t="str">
        <f t="shared" si="1204"/>
        <v>Lasa Int</v>
      </c>
      <c r="C4662" s="7">
        <v>45985</v>
      </c>
      <c r="D4662" s="7">
        <v>46049</v>
      </c>
      <c r="E4662" s="8">
        <v>8</v>
      </c>
      <c r="F4662" s="6" t="str">
        <f t="shared" si="1217"/>
        <v>Panos PURE</v>
      </c>
      <c r="G4662" s="6" t="str">
        <f t="shared" si="1221"/>
        <v>F110117940000000</v>
      </c>
      <c r="H4662" s="6" t="str">
        <f t="shared" si="1222"/>
        <v>FAJ 1179 - PURE KITC</v>
      </c>
      <c r="I4662" s="6" t="str">
        <f>"2596"</f>
        <v>2596</v>
      </c>
      <c r="J4662" s="6" t="str">
        <f>"VERDE 2596"</f>
        <v>VERDE 2596</v>
      </c>
      <c r="K4662" s="6" t="str">
        <f t="shared" si="1218"/>
        <v>0820</v>
      </c>
      <c r="L4662" s="6" t="str">
        <f t="shared" si="1219"/>
        <v>Cozinha</v>
      </c>
      <c r="M4662" s="6" t="str">
        <f t="shared" si="1220"/>
        <v>50x50</v>
      </c>
      <c r="N4662" s="6" t="str">
        <f>"5602972795738"</f>
        <v>5602972795738</v>
      </c>
      <c r="O4662" s="8">
        <v>1000</v>
      </c>
      <c r="P4662" s="7">
        <v>45985</v>
      </c>
      <c r="R4662" s="8">
        <v>0</v>
      </c>
      <c r="S4662" s="7">
        <v>45988</v>
      </c>
      <c r="U4662" s="8">
        <v>1136</v>
      </c>
      <c r="V4662" s="7">
        <v>46003</v>
      </c>
      <c r="X4662" s="8">
        <v>0</v>
      </c>
      <c r="Z4662" s="8">
        <v>0</v>
      </c>
      <c r="AA4662" s="7">
        <v>46021</v>
      </c>
      <c r="AC4662" s="8">
        <v>0</v>
      </c>
      <c r="AE4662" s="7">
        <v>46028</v>
      </c>
      <c r="AF4662" s="8">
        <v>0</v>
      </c>
      <c r="AH4662" s="7">
        <v>46028</v>
      </c>
      <c r="AN4662" s="8">
        <v>0</v>
      </c>
      <c r="AO4662" s="8">
        <v>1000</v>
      </c>
    </row>
    <row r="4663" spans="1:41" x14ac:dyDescent="0.25">
      <c r="A4663" s="6" t="str">
        <f t="shared" si="1216"/>
        <v>525-2025000585</v>
      </c>
      <c r="B4663" s="6" t="str">
        <f t="shared" si="1204"/>
        <v>Lasa Int</v>
      </c>
      <c r="C4663" s="7">
        <v>45985</v>
      </c>
      <c r="D4663" s="7">
        <v>46049</v>
      </c>
      <c r="E4663" s="8">
        <v>9</v>
      </c>
      <c r="F4663" s="6" t="str">
        <f t="shared" si="1217"/>
        <v>Panos PURE</v>
      </c>
      <c r="G4663" s="6" t="str">
        <f t="shared" si="1221"/>
        <v>F110117940000000</v>
      </c>
      <c r="H4663" s="6" t="str">
        <f t="shared" si="1222"/>
        <v>FAJ 1179 - PURE KITC</v>
      </c>
      <c r="I4663" s="6" t="str">
        <f>"3073"</f>
        <v>3073</v>
      </c>
      <c r="J4663" s="6" t="str">
        <f>"CINZA 3073"</f>
        <v>CINZA 3073</v>
      </c>
      <c r="K4663" s="6" t="str">
        <f t="shared" si="1218"/>
        <v>0820</v>
      </c>
      <c r="L4663" s="6" t="str">
        <f t="shared" si="1219"/>
        <v>Cozinha</v>
      </c>
      <c r="M4663" s="6" t="str">
        <f t="shared" si="1220"/>
        <v>50x50</v>
      </c>
      <c r="N4663" s="6" t="str">
        <f>"5602972885224"</f>
        <v>5602972885224</v>
      </c>
      <c r="O4663" s="8">
        <v>1000</v>
      </c>
      <c r="P4663" s="7">
        <v>45985</v>
      </c>
      <c r="R4663" s="8">
        <v>0</v>
      </c>
      <c r="S4663" s="7">
        <v>45988</v>
      </c>
      <c r="U4663" s="8">
        <v>1136</v>
      </c>
      <c r="V4663" s="7">
        <v>46003</v>
      </c>
      <c r="X4663" s="8">
        <v>0</v>
      </c>
      <c r="Z4663" s="8">
        <v>1136</v>
      </c>
      <c r="AA4663" s="7">
        <v>46021</v>
      </c>
      <c r="AC4663" s="8">
        <v>804</v>
      </c>
      <c r="AE4663" s="7">
        <v>46028</v>
      </c>
      <c r="AF4663" s="8">
        <v>804</v>
      </c>
      <c r="AH4663" s="7">
        <v>46028</v>
      </c>
      <c r="AN4663" s="8">
        <v>804</v>
      </c>
      <c r="AO4663" s="8">
        <v>196</v>
      </c>
    </row>
    <row r="4664" spans="1:41" x14ac:dyDescent="0.25">
      <c r="A4664" s="6" t="str">
        <f t="shared" si="1216"/>
        <v>525-2025000585</v>
      </c>
      <c r="B4664" s="6" t="str">
        <f t="shared" si="1204"/>
        <v>Lasa Int</v>
      </c>
      <c r="C4664" s="7">
        <v>45985</v>
      </c>
      <c r="D4664" s="7">
        <v>46049</v>
      </c>
      <c r="E4664" s="8">
        <v>10</v>
      </c>
      <c r="F4664" s="6" t="str">
        <f t="shared" si="1217"/>
        <v>Panos PURE</v>
      </c>
      <c r="G4664" s="6" t="str">
        <f t="shared" si="1221"/>
        <v>F110117940000000</v>
      </c>
      <c r="H4664" s="6" t="str">
        <f t="shared" si="1222"/>
        <v>FAJ 1179 - PURE KITC</v>
      </c>
      <c r="I4664" s="6" t="str">
        <f>"3234"</f>
        <v>3234</v>
      </c>
      <c r="J4664" s="6" t="str">
        <f>"CASTANHO 3234"</f>
        <v>CASTANHO 3234</v>
      </c>
      <c r="K4664" s="6" t="str">
        <f t="shared" si="1218"/>
        <v>0820</v>
      </c>
      <c r="L4664" s="6" t="str">
        <f t="shared" si="1219"/>
        <v>Cozinha</v>
      </c>
      <c r="M4664" s="6" t="str">
        <f t="shared" si="1220"/>
        <v>50x50</v>
      </c>
      <c r="N4664" s="6" t="str">
        <f>"5602972795745"</f>
        <v>5602972795745</v>
      </c>
      <c r="O4664" s="8">
        <v>500</v>
      </c>
      <c r="P4664" s="7">
        <v>45985</v>
      </c>
      <c r="R4664" s="8">
        <v>0</v>
      </c>
      <c r="S4664" s="7">
        <v>45988</v>
      </c>
      <c r="U4664" s="8">
        <v>648</v>
      </c>
      <c r="V4664" s="7">
        <v>46003</v>
      </c>
      <c r="X4664" s="8">
        <v>0</v>
      </c>
      <c r="Z4664" s="8">
        <v>648</v>
      </c>
      <c r="AA4664" s="7">
        <v>46021</v>
      </c>
      <c r="AC4664" s="8">
        <v>0</v>
      </c>
      <c r="AE4664" s="7">
        <v>46028</v>
      </c>
      <c r="AF4664" s="8">
        <v>0</v>
      </c>
      <c r="AH4664" s="7">
        <v>46028</v>
      </c>
      <c r="AN4664" s="8">
        <v>0</v>
      </c>
      <c r="AO4664" s="8">
        <v>500</v>
      </c>
    </row>
    <row r="4665" spans="1:41" x14ac:dyDescent="0.25">
      <c r="A4665" s="6" t="str">
        <f>"525-2025000586"</f>
        <v>525-2025000586</v>
      </c>
      <c r="B4665" s="6" t="str">
        <f t="shared" si="1204"/>
        <v>Lasa Int</v>
      </c>
      <c r="C4665" s="7">
        <v>45985</v>
      </c>
      <c r="D4665" s="7">
        <v>46030</v>
      </c>
      <c r="E4665" s="8">
        <v>1</v>
      </c>
      <c r="F4665" s="6" t="str">
        <f>"Royal C"</f>
        <v>Royal C</v>
      </c>
      <c r="G4665" s="6" t="str">
        <f>"F161003085000000"</f>
        <v>F161003085000000</v>
      </c>
      <c r="H4665" s="6" t="str">
        <f>"TA 30 - 850 g/m²"</f>
        <v>TA 30 - 850 g/m²</v>
      </c>
      <c r="I4665" s="6" t="str">
        <f>"1"</f>
        <v>1</v>
      </c>
      <c r="J4665" s="6" t="str">
        <f>"BRANCO"</f>
        <v>BRANCO</v>
      </c>
      <c r="K4665" s="6" t="str">
        <f>"3020"</f>
        <v>3020</v>
      </c>
      <c r="L4665" s="6" t="str">
        <f>"Tapetes"</f>
        <v>Tapetes</v>
      </c>
      <c r="M4665" s="6" t="str">
        <f>"50x80"</f>
        <v>50x80</v>
      </c>
      <c r="N4665" s="6" t="str">
        <f>"5602972872606"</f>
        <v>5602972872606</v>
      </c>
      <c r="O4665" s="8">
        <v>300</v>
      </c>
      <c r="P4665" s="7">
        <v>45985</v>
      </c>
      <c r="R4665" s="8">
        <v>400</v>
      </c>
      <c r="S4665" s="7">
        <v>45988</v>
      </c>
      <c r="U4665" s="8">
        <v>300</v>
      </c>
      <c r="V4665" s="7">
        <v>46001</v>
      </c>
      <c r="X4665" s="8">
        <v>0</v>
      </c>
      <c r="Z4665" s="8">
        <v>300</v>
      </c>
      <c r="AA4665" s="7">
        <v>46013</v>
      </c>
      <c r="AC4665" s="8">
        <v>170</v>
      </c>
      <c r="AE4665" s="7">
        <v>46015</v>
      </c>
      <c r="AF4665" s="8">
        <v>170</v>
      </c>
      <c r="AH4665" s="7">
        <v>46020</v>
      </c>
      <c r="AN4665" s="8">
        <v>170</v>
      </c>
      <c r="AO4665" s="8">
        <v>130</v>
      </c>
    </row>
    <row r="4666" spans="1:41" x14ac:dyDescent="0.25">
      <c r="A4666" s="6" t="str">
        <f t="shared" ref="A4666:A4673" si="1223">"525-2025000587"</f>
        <v>525-2025000587</v>
      </c>
      <c r="B4666" s="6" t="str">
        <f t="shared" ref="B4666:B4673" si="1224">"KLEINMAN"</f>
        <v>KLEINMAN</v>
      </c>
      <c r="C4666" s="7">
        <v>45985</v>
      </c>
      <c r="D4666" s="7">
        <v>46037</v>
      </c>
      <c r="E4666" s="8">
        <v>1</v>
      </c>
      <c r="F4666" s="6" t="str">
        <f t="shared" ref="F4666:F4673" si="1225">"Varios"</f>
        <v>Varios</v>
      </c>
      <c r="G4666" s="6" t="str">
        <f>"C001090426002955"</f>
        <v>C001090426002955</v>
      </c>
      <c r="H4666" s="6" t="str">
        <f>"CZJ 0904/2955 - 260"</f>
        <v>CZJ 0904/2955 - 260</v>
      </c>
      <c r="I4666" s="6" t="str">
        <f>"200498"</f>
        <v>200498</v>
      </c>
      <c r="J4666" s="6" t="str">
        <f>"VERMELHO 498"</f>
        <v>VERMELHO 498</v>
      </c>
      <c r="K4666" s="6" t="str">
        <f t="shared" ref="K4666:K4673" si="1226">"0830"</f>
        <v>0830</v>
      </c>
      <c r="L4666" s="6" t="str">
        <f t="shared" ref="L4666:L4673" si="1227">"Cozinha"</f>
        <v>Cozinha</v>
      </c>
      <c r="M4666" s="6" t="str">
        <f t="shared" ref="M4666:M4673" si="1228">"50x70"</f>
        <v>50x70</v>
      </c>
      <c r="N4666" s="6" t="str">
        <f>"5605247635142"</f>
        <v>5605247635142</v>
      </c>
      <c r="O4666" s="8">
        <v>120</v>
      </c>
      <c r="P4666" s="7">
        <v>45985</v>
      </c>
      <c r="R4666" s="8">
        <v>0</v>
      </c>
      <c r="U4666" s="8">
        <v>0</v>
      </c>
      <c r="X4666" s="8">
        <v>0</v>
      </c>
      <c r="Z4666" s="8">
        <v>0</v>
      </c>
      <c r="AC4666" s="8">
        <v>120</v>
      </c>
      <c r="AE4666" s="7">
        <v>45993</v>
      </c>
      <c r="AF4666" s="8">
        <v>120</v>
      </c>
      <c r="AH4666" s="7">
        <v>45995</v>
      </c>
      <c r="AN4666" s="8">
        <v>120</v>
      </c>
      <c r="AO4666" s="8">
        <v>0</v>
      </c>
    </row>
    <row r="4667" spans="1:41" x14ac:dyDescent="0.25">
      <c r="A4667" s="6" t="str">
        <f t="shared" si="1223"/>
        <v>525-2025000587</v>
      </c>
      <c r="B4667" s="6" t="str">
        <f t="shared" si="1224"/>
        <v>KLEINMAN</v>
      </c>
      <c r="C4667" s="7">
        <v>45985</v>
      </c>
      <c r="D4667" s="7">
        <v>46037</v>
      </c>
      <c r="E4667" s="8">
        <v>2</v>
      </c>
      <c r="F4667" s="6" t="str">
        <f t="shared" si="1225"/>
        <v>Varios</v>
      </c>
      <c r="G4667" s="6" t="str">
        <f>"C001090426002955"</f>
        <v>C001090426002955</v>
      </c>
      <c r="H4667" s="6" t="str">
        <f>"CZJ 0904/2955 - 260"</f>
        <v>CZJ 0904/2955 - 260</v>
      </c>
      <c r="I4667" s="6" t="str">
        <f>"200532"</f>
        <v>200532</v>
      </c>
      <c r="J4667" s="6" t="str">
        <f>"VERDE 532"</f>
        <v>VERDE 532</v>
      </c>
      <c r="K4667" s="6" t="str">
        <f t="shared" si="1226"/>
        <v>0830</v>
      </c>
      <c r="L4667" s="6" t="str">
        <f t="shared" si="1227"/>
        <v>Cozinha</v>
      </c>
      <c r="M4667" s="6" t="str">
        <f t="shared" si="1228"/>
        <v>50x70</v>
      </c>
      <c r="N4667" s="6" t="str">
        <f>"5605247640580"</f>
        <v>5605247640580</v>
      </c>
      <c r="O4667" s="8">
        <v>120</v>
      </c>
      <c r="P4667" s="7">
        <v>45985</v>
      </c>
      <c r="R4667" s="8">
        <v>0</v>
      </c>
      <c r="U4667" s="8">
        <v>0</v>
      </c>
      <c r="X4667" s="8">
        <v>0</v>
      </c>
      <c r="Z4667" s="8">
        <v>0</v>
      </c>
      <c r="AC4667" s="8">
        <v>116</v>
      </c>
      <c r="AE4667" s="7">
        <v>45993</v>
      </c>
      <c r="AF4667" s="8">
        <v>116</v>
      </c>
      <c r="AH4667" s="7">
        <v>45995</v>
      </c>
      <c r="AN4667" s="8">
        <v>116</v>
      </c>
      <c r="AO4667" s="8">
        <v>4</v>
      </c>
    </row>
    <row r="4668" spans="1:41" x14ac:dyDescent="0.25">
      <c r="A4668" s="6" t="str">
        <f t="shared" si="1223"/>
        <v>525-2025000587</v>
      </c>
      <c r="B4668" s="6" t="str">
        <f t="shared" si="1224"/>
        <v>KLEINMAN</v>
      </c>
      <c r="C4668" s="7">
        <v>45985</v>
      </c>
      <c r="D4668" s="7">
        <v>46037</v>
      </c>
      <c r="E4668" s="8">
        <v>3</v>
      </c>
      <c r="F4668" s="6" t="str">
        <f t="shared" si="1225"/>
        <v>Varios</v>
      </c>
      <c r="G4668" s="6" t="str">
        <f>"C001090426003521"</f>
        <v>C001090426003521</v>
      </c>
      <c r="H4668" s="6" t="str">
        <f>"CZJ 0904/3521 - 260"</f>
        <v>CZJ 0904/3521 - 260</v>
      </c>
      <c r="I4668" s="6" t="str">
        <f>"200532"</f>
        <v>200532</v>
      </c>
      <c r="J4668" s="6" t="str">
        <f>"VERDE 532"</f>
        <v>VERDE 532</v>
      </c>
      <c r="K4668" s="6" t="str">
        <f t="shared" si="1226"/>
        <v>0830</v>
      </c>
      <c r="L4668" s="6" t="str">
        <f t="shared" si="1227"/>
        <v>Cozinha</v>
      </c>
      <c r="M4668" s="6" t="str">
        <f t="shared" si="1228"/>
        <v>50x70</v>
      </c>
      <c r="N4668" s="6" t="str">
        <f>"5605247927377"</f>
        <v>5605247927377</v>
      </c>
      <c r="O4668" s="8">
        <v>24</v>
      </c>
      <c r="P4668" s="7">
        <v>45985</v>
      </c>
      <c r="R4668" s="8">
        <v>0</v>
      </c>
      <c r="U4668" s="8">
        <v>0</v>
      </c>
      <c r="X4668" s="8">
        <v>0</v>
      </c>
      <c r="Z4668" s="8">
        <v>0</v>
      </c>
      <c r="AC4668" s="8">
        <v>24</v>
      </c>
      <c r="AE4668" s="7">
        <v>45993</v>
      </c>
      <c r="AF4668" s="8">
        <v>24</v>
      </c>
      <c r="AH4668" s="7">
        <v>45995</v>
      </c>
      <c r="AN4668" s="8">
        <v>24</v>
      </c>
      <c r="AO4668" s="8">
        <v>0</v>
      </c>
    </row>
    <row r="4669" spans="1:41" x14ac:dyDescent="0.25">
      <c r="A4669" s="6" t="str">
        <f t="shared" si="1223"/>
        <v>525-2025000587</v>
      </c>
      <c r="B4669" s="6" t="str">
        <f t="shared" si="1224"/>
        <v>KLEINMAN</v>
      </c>
      <c r="C4669" s="7">
        <v>45985</v>
      </c>
      <c r="D4669" s="7">
        <v>46037</v>
      </c>
      <c r="E4669" s="8">
        <v>4</v>
      </c>
      <c r="F4669" s="6" t="str">
        <f t="shared" si="1225"/>
        <v>Varios</v>
      </c>
      <c r="G4669" s="6" t="str">
        <f>"C001090426003970"</f>
        <v>C001090426003970</v>
      </c>
      <c r="H4669" s="6" t="str">
        <f>"CZJ 0904 / 3970 - 26"</f>
        <v>CZJ 0904 / 3970 - 26</v>
      </c>
      <c r="I4669" s="6" t="str">
        <f>"200532"</f>
        <v>200532</v>
      </c>
      <c r="J4669" s="6" t="str">
        <f>"VERDE 532"</f>
        <v>VERDE 532</v>
      </c>
      <c r="K4669" s="6" t="str">
        <f t="shared" si="1226"/>
        <v>0830</v>
      </c>
      <c r="L4669" s="6" t="str">
        <f t="shared" si="1227"/>
        <v>Cozinha</v>
      </c>
      <c r="M4669" s="6" t="str">
        <f t="shared" si="1228"/>
        <v>50x70</v>
      </c>
      <c r="N4669" s="6" t="str">
        <f>"5605247931480"</f>
        <v>5605247931480</v>
      </c>
      <c r="O4669" s="8">
        <v>24</v>
      </c>
      <c r="P4669" s="7">
        <v>45985</v>
      </c>
      <c r="R4669" s="8">
        <v>0</v>
      </c>
      <c r="U4669" s="8">
        <v>0</v>
      </c>
      <c r="X4669" s="8">
        <v>0</v>
      </c>
      <c r="Z4669" s="8">
        <v>0</v>
      </c>
      <c r="AC4669" s="8">
        <v>24</v>
      </c>
      <c r="AE4669" s="7">
        <v>45993</v>
      </c>
      <c r="AF4669" s="8">
        <v>24</v>
      </c>
      <c r="AH4669" s="7">
        <v>45995</v>
      </c>
      <c r="AN4669" s="8">
        <v>24</v>
      </c>
      <c r="AO4669" s="8">
        <v>0</v>
      </c>
    </row>
    <row r="4670" spans="1:41" x14ac:dyDescent="0.25">
      <c r="A4670" s="6" t="str">
        <f t="shared" si="1223"/>
        <v>525-2025000587</v>
      </c>
      <c r="B4670" s="6" t="str">
        <f t="shared" si="1224"/>
        <v>KLEINMAN</v>
      </c>
      <c r="C4670" s="7">
        <v>45985</v>
      </c>
      <c r="D4670" s="7">
        <v>46037</v>
      </c>
      <c r="E4670" s="8">
        <v>5</v>
      </c>
      <c r="F4670" s="6" t="str">
        <f t="shared" si="1225"/>
        <v>Varios</v>
      </c>
      <c r="G4670" s="6" t="str">
        <f>"C001090426003970"</f>
        <v>C001090426003970</v>
      </c>
      <c r="H4670" s="6" t="str">
        <f>"CZJ 0904 / 3970 - 26"</f>
        <v>CZJ 0904 / 3970 - 26</v>
      </c>
      <c r="I4670" s="6" t="str">
        <f>"200498"</f>
        <v>200498</v>
      </c>
      <c r="J4670" s="6" t="str">
        <f>"VERMELHO 498"</f>
        <v>VERMELHO 498</v>
      </c>
      <c r="K4670" s="6" t="str">
        <f t="shared" si="1226"/>
        <v>0830</v>
      </c>
      <c r="L4670" s="6" t="str">
        <f t="shared" si="1227"/>
        <v>Cozinha</v>
      </c>
      <c r="M4670" s="6" t="str">
        <f t="shared" si="1228"/>
        <v>50x70</v>
      </c>
      <c r="N4670" s="6" t="str">
        <f>"5605247931190"</f>
        <v>5605247931190</v>
      </c>
      <c r="O4670" s="8">
        <v>24</v>
      </c>
      <c r="P4670" s="7">
        <v>45985</v>
      </c>
      <c r="R4670" s="8">
        <v>0</v>
      </c>
      <c r="U4670" s="8">
        <v>0</v>
      </c>
      <c r="X4670" s="8">
        <v>0</v>
      </c>
      <c r="Z4670" s="8">
        <v>0</v>
      </c>
      <c r="AC4670" s="8">
        <v>24</v>
      </c>
      <c r="AE4670" s="7">
        <v>45993</v>
      </c>
      <c r="AF4670" s="8">
        <v>24</v>
      </c>
      <c r="AH4670" s="7">
        <v>45995</v>
      </c>
      <c r="AN4670" s="8">
        <v>24</v>
      </c>
      <c r="AO4670" s="8">
        <v>0</v>
      </c>
    </row>
    <row r="4671" spans="1:41" x14ac:dyDescent="0.25">
      <c r="A4671" s="6" t="str">
        <f t="shared" si="1223"/>
        <v>525-2025000587</v>
      </c>
      <c r="B4671" s="6" t="str">
        <f t="shared" si="1224"/>
        <v>KLEINMAN</v>
      </c>
      <c r="C4671" s="7">
        <v>45985</v>
      </c>
      <c r="D4671" s="7">
        <v>46037</v>
      </c>
      <c r="E4671" s="8">
        <v>6</v>
      </c>
      <c r="F4671" s="6" t="str">
        <f t="shared" si="1225"/>
        <v>Varios</v>
      </c>
      <c r="G4671" s="6" t="str">
        <f>"C001090426004187"</f>
        <v>C001090426004187</v>
      </c>
      <c r="H4671" s="6" t="str">
        <f>"CZJ 0904 / 4187 - 26"</f>
        <v>CZJ 0904 / 4187 - 26</v>
      </c>
      <c r="I4671" s="6" t="str">
        <f>"202206"</f>
        <v>202206</v>
      </c>
      <c r="J4671" s="6" t="str">
        <f>"CINZA 2206"</f>
        <v>CINZA 2206</v>
      </c>
      <c r="K4671" s="6" t="str">
        <f t="shared" si="1226"/>
        <v>0830</v>
      </c>
      <c r="L4671" s="6" t="str">
        <f t="shared" si="1227"/>
        <v>Cozinha</v>
      </c>
      <c r="M4671" s="6" t="str">
        <f t="shared" si="1228"/>
        <v>50x70</v>
      </c>
      <c r="N4671" s="6" t="str">
        <f>"5605247934566"</f>
        <v>5605247934566</v>
      </c>
      <c r="O4671" s="8">
        <v>24</v>
      </c>
      <c r="P4671" s="7">
        <v>45985</v>
      </c>
      <c r="R4671" s="8">
        <v>0</v>
      </c>
      <c r="U4671" s="8">
        <v>0</v>
      </c>
      <c r="X4671" s="8">
        <v>0</v>
      </c>
      <c r="Z4671" s="8">
        <v>0</v>
      </c>
      <c r="AC4671" s="8">
        <v>24</v>
      </c>
      <c r="AE4671" s="7">
        <v>45993</v>
      </c>
      <c r="AF4671" s="8">
        <v>24</v>
      </c>
      <c r="AH4671" s="7">
        <v>45995</v>
      </c>
      <c r="AN4671" s="8">
        <v>24</v>
      </c>
      <c r="AO4671" s="8">
        <v>0</v>
      </c>
    </row>
    <row r="4672" spans="1:41" x14ac:dyDescent="0.25">
      <c r="A4672" s="6" t="str">
        <f t="shared" si="1223"/>
        <v>525-2025000587</v>
      </c>
      <c r="B4672" s="6" t="str">
        <f t="shared" si="1224"/>
        <v>KLEINMAN</v>
      </c>
      <c r="C4672" s="7">
        <v>45985</v>
      </c>
      <c r="D4672" s="7">
        <v>46037</v>
      </c>
      <c r="E4672" s="8">
        <v>7</v>
      </c>
      <c r="F4672" s="6" t="str">
        <f t="shared" si="1225"/>
        <v>Varios</v>
      </c>
      <c r="G4672" s="6" t="str">
        <f>"C001090426004190"</f>
        <v>C001090426004190</v>
      </c>
      <c r="H4672" s="6" t="str">
        <f>"CZJ 0904 / 4190 - 26"</f>
        <v>CZJ 0904 / 4190 - 26</v>
      </c>
      <c r="I4672" s="6" t="str">
        <f>"200532"</f>
        <v>200532</v>
      </c>
      <c r="J4672" s="6" t="str">
        <f>"VERDE 532"</f>
        <v>VERDE 532</v>
      </c>
      <c r="K4672" s="6" t="str">
        <f t="shared" si="1226"/>
        <v>0830</v>
      </c>
      <c r="L4672" s="6" t="str">
        <f t="shared" si="1227"/>
        <v>Cozinha</v>
      </c>
      <c r="M4672" s="6" t="str">
        <f t="shared" si="1228"/>
        <v>50x70</v>
      </c>
      <c r="N4672" s="6" t="str">
        <f>"5605247934528"</f>
        <v>5605247934528</v>
      </c>
      <c r="O4672" s="8">
        <v>24</v>
      </c>
      <c r="P4672" s="7">
        <v>45985</v>
      </c>
      <c r="R4672" s="8">
        <v>0</v>
      </c>
      <c r="U4672" s="8">
        <v>0</v>
      </c>
      <c r="X4672" s="8">
        <v>0</v>
      </c>
      <c r="Z4672" s="8">
        <v>0</v>
      </c>
      <c r="AC4672" s="8">
        <v>24</v>
      </c>
      <c r="AE4672" s="7">
        <v>45993</v>
      </c>
      <c r="AF4672" s="8">
        <v>24</v>
      </c>
      <c r="AH4672" s="7">
        <v>45995</v>
      </c>
      <c r="AN4672" s="8">
        <v>24</v>
      </c>
      <c r="AO4672" s="8">
        <v>0</v>
      </c>
    </row>
    <row r="4673" spans="1:41" x14ac:dyDescent="0.25">
      <c r="A4673" s="6" t="str">
        <f t="shared" si="1223"/>
        <v>525-2025000587</v>
      </c>
      <c r="B4673" s="6" t="str">
        <f t="shared" si="1224"/>
        <v>KLEINMAN</v>
      </c>
      <c r="C4673" s="7">
        <v>45985</v>
      </c>
      <c r="D4673" s="7">
        <v>46037</v>
      </c>
      <c r="E4673" s="8">
        <v>8</v>
      </c>
      <c r="F4673" s="6" t="str">
        <f t="shared" si="1225"/>
        <v>Varios</v>
      </c>
      <c r="G4673" s="6" t="str">
        <f>"C001090426005732"</f>
        <v>C001090426005732</v>
      </c>
      <c r="H4673" s="6" t="str">
        <f>"CZJ 0904/5732 - 260"</f>
        <v>CZJ 0904/5732 - 260</v>
      </c>
      <c r="I4673" s="6" t="str">
        <f>"202206"</f>
        <v>202206</v>
      </c>
      <c r="J4673" s="6" t="str">
        <f>"CINZA 2206"</f>
        <v>CINZA 2206</v>
      </c>
      <c r="K4673" s="6" t="str">
        <f t="shared" si="1226"/>
        <v>0830</v>
      </c>
      <c r="L4673" s="6" t="str">
        <f t="shared" si="1227"/>
        <v>Cozinha</v>
      </c>
      <c r="M4673" s="6" t="str">
        <f t="shared" si="1228"/>
        <v>50x70</v>
      </c>
      <c r="N4673" s="6" t="str">
        <f>"5605247643581"</f>
        <v>5605247643581</v>
      </c>
      <c r="O4673" s="8">
        <v>60</v>
      </c>
      <c r="P4673" s="7">
        <v>45985</v>
      </c>
      <c r="R4673" s="8">
        <v>0</v>
      </c>
      <c r="U4673" s="8">
        <v>0</v>
      </c>
      <c r="X4673" s="8">
        <v>0</v>
      </c>
      <c r="Z4673" s="8">
        <v>0</v>
      </c>
      <c r="AC4673" s="8">
        <v>60</v>
      </c>
      <c r="AE4673" s="7">
        <v>45993</v>
      </c>
      <c r="AF4673" s="8">
        <v>60</v>
      </c>
      <c r="AH4673" s="7">
        <v>45995</v>
      </c>
      <c r="AN4673" s="8">
        <v>60</v>
      </c>
      <c r="AO4673" s="8">
        <v>0</v>
      </c>
    </row>
    <row r="4674" spans="1:41" x14ac:dyDescent="0.25">
      <c r="A4674" s="6" t="str">
        <f t="shared" ref="A4674:A4679" si="1229">"525-2025000589"</f>
        <v>525-2025000589</v>
      </c>
      <c r="B4674" s="6" t="str">
        <f t="shared" ref="B4674:B4705" si="1230">"Lasa Int"</f>
        <v>Lasa Int</v>
      </c>
      <c r="C4674" s="7">
        <v>45985</v>
      </c>
      <c r="D4674" s="7">
        <v>46050</v>
      </c>
      <c r="E4674" s="8">
        <v>1</v>
      </c>
      <c r="F4674" s="6" t="str">
        <f t="shared" ref="F4674:F4679" si="1231">"Efficience"</f>
        <v>Efficience</v>
      </c>
      <c r="G4674" s="6" t="str">
        <f>"F100312352000000"</f>
        <v>F100312352000000</v>
      </c>
      <c r="H4674" s="6" t="str">
        <f>"FA RC 3123 GRS - 520"</f>
        <v>FA RC 3123 GRS - 520</v>
      </c>
      <c r="I4674" s="6" t="str">
        <f t="shared" ref="I4674:I4679" si="1232">"5570"</f>
        <v>5570</v>
      </c>
      <c r="J4674" s="6" t="str">
        <f t="shared" ref="J4674:J4679" si="1233">"CINZA 5570"</f>
        <v>CINZA 5570</v>
      </c>
      <c r="K4674" s="6" t="str">
        <f>"0112"</f>
        <v>0112</v>
      </c>
      <c r="L4674" s="6" t="str">
        <f>"Luvas"</f>
        <v>Luvas</v>
      </c>
      <c r="M4674" s="6" t="str">
        <f>"16x21"</f>
        <v>16x21</v>
      </c>
      <c r="N4674" s="6" t="str">
        <f>"5602972684469"</f>
        <v>5602972684469</v>
      </c>
      <c r="O4674" s="8">
        <v>396</v>
      </c>
      <c r="P4674" s="7">
        <v>45985</v>
      </c>
      <c r="R4674" s="8">
        <v>0</v>
      </c>
      <c r="S4674" s="7">
        <v>45988</v>
      </c>
      <c r="U4674" s="8">
        <v>372</v>
      </c>
      <c r="V4674" s="7">
        <v>46001</v>
      </c>
      <c r="X4674" s="8">
        <v>0</v>
      </c>
      <c r="Z4674" s="8">
        <v>372</v>
      </c>
      <c r="AA4674" s="7">
        <v>46013</v>
      </c>
      <c r="AC4674" s="8">
        <v>0</v>
      </c>
      <c r="AE4674" s="7">
        <v>46020</v>
      </c>
      <c r="AF4674" s="8">
        <v>0</v>
      </c>
      <c r="AH4674" s="7">
        <v>46020</v>
      </c>
      <c r="AN4674" s="8">
        <v>0</v>
      </c>
      <c r="AO4674" s="8">
        <v>396</v>
      </c>
    </row>
    <row r="4675" spans="1:41" x14ac:dyDescent="0.25">
      <c r="A4675" s="6" t="str">
        <f t="shared" si="1229"/>
        <v>525-2025000589</v>
      </c>
      <c r="B4675" s="6" t="str">
        <f t="shared" si="1230"/>
        <v>Lasa Int</v>
      </c>
      <c r="C4675" s="7">
        <v>45985</v>
      </c>
      <c r="D4675" s="7">
        <v>46050</v>
      </c>
      <c r="E4675" s="8">
        <v>2</v>
      </c>
      <c r="F4675" s="6" t="str">
        <f t="shared" si="1231"/>
        <v>Efficience</v>
      </c>
      <c r="G4675" s="6" t="str">
        <f>"F100312352000000"</f>
        <v>F100312352000000</v>
      </c>
      <c r="H4675" s="6" t="str">
        <f>"FA RC 3123 GRS - 520"</f>
        <v>FA RC 3123 GRS - 520</v>
      </c>
      <c r="I4675" s="6" t="str">
        <f t="shared" si="1232"/>
        <v>5570</v>
      </c>
      <c r="J4675" s="6" t="str">
        <f t="shared" si="1233"/>
        <v>CINZA 5570</v>
      </c>
      <c r="K4675" s="6" t="str">
        <f>"0520"</f>
        <v>0520</v>
      </c>
      <c r="L4675" s="6" t="str">
        <f>"Toalhetes"</f>
        <v>Toalhetes</v>
      </c>
      <c r="M4675" s="6" t="str">
        <f>"30x50"</f>
        <v>30x50</v>
      </c>
      <c r="N4675" s="6" t="str">
        <f>"5602972684476"</f>
        <v>5602972684476</v>
      </c>
      <c r="O4675" s="8">
        <v>300</v>
      </c>
      <c r="P4675" s="7">
        <v>45985</v>
      </c>
      <c r="R4675" s="8">
        <v>0</v>
      </c>
      <c r="S4675" s="7">
        <v>45988</v>
      </c>
      <c r="U4675" s="8">
        <v>390</v>
      </c>
      <c r="V4675" s="7">
        <v>46001</v>
      </c>
      <c r="X4675" s="8">
        <v>0</v>
      </c>
      <c r="Z4675" s="8">
        <v>390</v>
      </c>
      <c r="AA4675" s="7">
        <v>46013</v>
      </c>
      <c r="AC4675" s="8">
        <v>0</v>
      </c>
      <c r="AE4675" s="7">
        <v>46020</v>
      </c>
      <c r="AF4675" s="8">
        <v>0</v>
      </c>
      <c r="AH4675" s="7">
        <v>46020</v>
      </c>
      <c r="AN4675" s="8">
        <v>0</v>
      </c>
      <c r="AO4675" s="8">
        <v>300</v>
      </c>
    </row>
    <row r="4676" spans="1:41" x14ac:dyDescent="0.25">
      <c r="A4676" s="6" t="str">
        <f t="shared" si="1229"/>
        <v>525-2025000589</v>
      </c>
      <c r="B4676" s="6" t="str">
        <f t="shared" si="1230"/>
        <v>Lasa Int</v>
      </c>
      <c r="C4676" s="7">
        <v>45985</v>
      </c>
      <c r="D4676" s="7">
        <v>46050</v>
      </c>
      <c r="E4676" s="8">
        <v>3</v>
      </c>
      <c r="F4676" s="6" t="str">
        <f t="shared" si="1231"/>
        <v>Efficience</v>
      </c>
      <c r="G4676" s="6" t="str">
        <f>"F100312352000000"</f>
        <v>F100312352000000</v>
      </c>
      <c r="H4676" s="6" t="str">
        <f>"FA RC 3123 GRS - 520"</f>
        <v>FA RC 3123 GRS - 520</v>
      </c>
      <c r="I4676" s="6" t="str">
        <f t="shared" si="1232"/>
        <v>5570</v>
      </c>
      <c r="J4676" s="6" t="str">
        <f t="shared" si="1233"/>
        <v>CINZA 5570</v>
      </c>
      <c r="K4676" s="6" t="str">
        <f>"1024"</f>
        <v>1024</v>
      </c>
      <c r="L4676" s="6" t="str">
        <f>"Toalhas"</f>
        <v>Toalhas</v>
      </c>
      <c r="M4676" s="6" t="str">
        <f>"50x100"</f>
        <v>50x100</v>
      </c>
      <c r="N4676" s="6" t="str">
        <f>"5602972684483"</f>
        <v>5602972684483</v>
      </c>
      <c r="O4676" s="8">
        <v>240</v>
      </c>
      <c r="P4676" s="7">
        <v>45985</v>
      </c>
      <c r="R4676" s="8">
        <v>0</v>
      </c>
      <c r="S4676" s="7">
        <v>45988</v>
      </c>
      <c r="U4676" s="8">
        <v>240</v>
      </c>
      <c r="V4676" s="7">
        <v>46001</v>
      </c>
      <c r="X4676" s="8">
        <v>0</v>
      </c>
      <c r="Z4676" s="8">
        <v>240</v>
      </c>
      <c r="AA4676" s="7">
        <v>46013</v>
      </c>
      <c r="AC4676" s="8">
        <v>0</v>
      </c>
      <c r="AE4676" s="7">
        <v>46020</v>
      </c>
      <c r="AF4676" s="8">
        <v>0</v>
      </c>
      <c r="AH4676" s="7">
        <v>46020</v>
      </c>
      <c r="AN4676" s="8">
        <v>0</v>
      </c>
      <c r="AO4676" s="8">
        <v>240</v>
      </c>
    </row>
    <row r="4677" spans="1:41" x14ac:dyDescent="0.25">
      <c r="A4677" s="6" t="str">
        <f t="shared" si="1229"/>
        <v>525-2025000589</v>
      </c>
      <c r="B4677" s="6" t="str">
        <f t="shared" si="1230"/>
        <v>Lasa Int</v>
      </c>
      <c r="C4677" s="7">
        <v>45985</v>
      </c>
      <c r="D4677" s="7">
        <v>46050</v>
      </c>
      <c r="E4677" s="8">
        <v>4</v>
      </c>
      <c r="F4677" s="6" t="str">
        <f t="shared" si="1231"/>
        <v>Efficience</v>
      </c>
      <c r="G4677" s="6" t="str">
        <f>"F100312352000000"</f>
        <v>F100312352000000</v>
      </c>
      <c r="H4677" s="6" t="str">
        <f>"FA RC 3123 GRS - 520"</f>
        <v>FA RC 3123 GRS - 520</v>
      </c>
      <c r="I4677" s="6" t="str">
        <f t="shared" si="1232"/>
        <v>5570</v>
      </c>
      <c r="J4677" s="6" t="str">
        <f t="shared" si="1233"/>
        <v>CINZA 5570</v>
      </c>
      <c r="K4677" s="6" t="str">
        <f>"1535"</f>
        <v>1535</v>
      </c>
      <c r="L4677" s="6" t="str">
        <f>"Toalhões"</f>
        <v>Toalhões</v>
      </c>
      <c r="M4677" s="6" t="str">
        <f>"70x140"</f>
        <v>70x140</v>
      </c>
      <c r="N4677" s="6" t="str">
        <f>"5602972684490"</f>
        <v>5602972684490</v>
      </c>
      <c r="O4677" s="8">
        <v>120</v>
      </c>
      <c r="P4677" s="7">
        <v>45985</v>
      </c>
      <c r="R4677" s="8">
        <v>0</v>
      </c>
      <c r="S4677" s="7">
        <v>45988</v>
      </c>
      <c r="U4677" s="8">
        <v>120</v>
      </c>
      <c r="V4677" s="7">
        <v>46001</v>
      </c>
      <c r="X4677" s="8">
        <v>0</v>
      </c>
      <c r="Z4677" s="8">
        <v>120</v>
      </c>
      <c r="AA4677" s="7">
        <v>46013</v>
      </c>
      <c r="AC4677" s="8">
        <v>0</v>
      </c>
      <c r="AE4677" s="7">
        <v>46020</v>
      </c>
      <c r="AF4677" s="8">
        <v>0</v>
      </c>
      <c r="AH4677" s="7">
        <v>46020</v>
      </c>
      <c r="AN4677" s="8">
        <v>0</v>
      </c>
      <c r="AO4677" s="8">
        <v>120</v>
      </c>
    </row>
    <row r="4678" spans="1:41" x14ac:dyDescent="0.25">
      <c r="A4678" s="6" t="str">
        <f t="shared" si="1229"/>
        <v>525-2025000589</v>
      </c>
      <c r="B4678" s="6" t="str">
        <f t="shared" si="1230"/>
        <v>Lasa Int</v>
      </c>
      <c r="C4678" s="7">
        <v>45985</v>
      </c>
      <c r="D4678" s="7">
        <v>46050</v>
      </c>
      <c r="E4678" s="8">
        <v>5</v>
      </c>
      <c r="F4678" s="6" t="str">
        <f t="shared" si="1231"/>
        <v>Efficience</v>
      </c>
      <c r="G4678" s="6" t="str">
        <f>"F100312352000000"</f>
        <v>F100312352000000</v>
      </c>
      <c r="H4678" s="6" t="str">
        <f>"FA RC 3123 GRS - 520"</f>
        <v>FA RC 3123 GRS - 520</v>
      </c>
      <c r="I4678" s="6" t="str">
        <f t="shared" si="1232"/>
        <v>5570</v>
      </c>
      <c r="J4678" s="6" t="str">
        <f t="shared" si="1233"/>
        <v>CINZA 5570</v>
      </c>
      <c r="K4678" s="6" t="str">
        <f>"2020"</f>
        <v>2020</v>
      </c>
      <c r="L4678" s="6" t="str">
        <f>"Lençóis"</f>
        <v>Lençóis</v>
      </c>
      <c r="M4678" s="6" t="str">
        <f>"100x150"</f>
        <v>100x150</v>
      </c>
      <c r="N4678" s="6" t="str">
        <f>"5602972684506"</f>
        <v>5602972684506</v>
      </c>
      <c r="O4678" s="8">
        <v>80</v>
      </c>
      <c r="P4678" s="7">
        <v>45985</v>
      </c>
      <c r="R4678" s="8">
        <v>0</v>
      </c>
      <c r="S4678" s="7">
        <v>45988</v>
      </c>
      <c r="U4678" s="8">
        <v>80</v>
      </c>
      <c r="V4678" s="7">
        <v>46001</v>
      </c>
      <c r="X4678" s="8">
        <v>0</v>
      </c>
      <c r="Z4678" s="8">
        <v>80</v>
      </c>
      <c r="AA4678" s="7">
        <v>46013</v>
      </c>
      <c r="AC4678" s="8">
        <v>0</v>
      </c>
      <c r="AE4678" s="7">
        <v>46020</v>
      </c>
      <c r="AF4678" s="8">
        <v>0</v>
      </c>
      <c r="AH4678" s="7">
        <v>46020</v>
      </c>
      <c r="AN4678" s="8">
        <v>0</v>
      </c>
      <c r="AO4678" s="8">
        <v>80</v>
      </c>
    </row>
    <row r="4679" spans="1:41" x14ac:dyDescent="0.25">
      <c r="A4679" s="6" t="str">
        <f t="shared" si="1229"/>
        <v>525-2025000589</v>
      </c>
      <c r="B4679" s="6" t="str">
        <f t="shared" si="1230"/>
        <v>Lasa Int</v>
      </c>
      <c r="C4679" s="7">
        <v>45985</v>
      </c>
      <c r="D4679" s="7">
        <v>46050</v>
      </c>
      <c r="E4679" s="8">
        <v>6</v>
      </c>
      <c r="F4679" s="6" t="str">
        <f t="shared" si="1231"/>
        <v>Efficience</v>
      </c>
      <c r="G4679" s="6" t="str">
        <f>"F161029465000000"</f>
        <v>F161029465000000</v>
      </c>
      <c r="H4679" s="6" t="str">
        <f>"TA RC 294 GRS - 650"</f>
        <v>TA RC 294 GRS - 650</v>
      </c>
      <c r="I4679" s="6" t="str">
        <f t="shared" si="1232"/>
        <v>5570</v>
      </c>
      <c r="J4679" s="6" t="str">
        <f t="shared" si="1233"/>
        <v>CINZA 5570</v>
      </c>
      <c r="K4679" s="6" t="str">
        <f>"3012"</f>
        <v>3012</v>
      </c>
      <c r="L4679" s="6" t="str">
        <f>"Tapetes"</f>
        <v>Tapetes</v>
      </c>
      <c r="M4679" s="6" t="str">
        <f>"50x70"</f>
        <v>50x70</v>
      </c>
      <c r="N4679" s="6" t="str">
        <f>"5602972685213"</f>
        <v>5602972685213</v>
      </c>
      <c r="O4679" s="8">
        <v>200</v>
      </c>
      <c r="P4679" s="7">
        <v>45985</v>
      </c>
      <c r="R4679" s="8">
        <v>0</v>
      </c>
      <c r="S4679" s="7">
        <v>45988</v>
      </c>
      <c r="U4679" s="8">
        <v>200</v>
      </c>
      <c r="V4679" s="7">
        <v>46001</v>
      </c>
      <c r="X4679" s="8">
        <v>0</v>
      </c>
      <c r="Z4679" s="8">
        <v>200</v>
      </c>
      <c r="AA4679" s="7">
        <v>46013</v>
      </c>
      <c r="AC4679" s="8">
        <v>0</v>
      </c>
      <c r="AE4679" s="7">
        <v>46020</v>
      </c>
      <c r="AF4679" s="8">
        <v>0</v>
      </c>
      <c r="AH4679" s="7">
        <v>46020</v>
      </c>
      <c r="AN4679" s="8">
        <v>0</v>
      </c>
      <c r="AO4679" s="8">
        <v>200</v>
      </c>
    </row>
    <row r="4680" spans="1:41" x14ac:dyDescent="0.25">
      <c r="A4680" s="6" t="str">
        <f t="shared" ref="A4680:A4689" si="1234">"525-2025000590"</f>
        <v>525-2025000590</v>
      </c>
      <c r="B4680" s="6" t="str">
        <f t="shared" si="1230"/>
        <v>Lasa Int</v>
      </c>
      <c r="C4680" s="7">
        <v>45986</v>
      </c>
      <c r="D4680" s="7">
        <v>46065</v>
      </c>
      <c r="E4680" s="8">
        <v>1</v>
      </c>
      <c r="F4680" s="6" t="str">
        <f t="shared" ref="F4680:F4697" si="1235">"PURE R"</f>
        <v>PURE R</v>
      </c>
      <c r="G4680" s="6" t="str">
        <f>"R013000138500000"</f>
        <v>R013000138500000</v>
      </c>
      <c r="H4680" s="6" t="str">
        <f>"Star PURE - Ketten 3"</f>
        <v>Star PURE - Ketten 3</v>
      </c>
      <c r="I4680" s="6" t="str">
        <f t="shared" ref="I4680:I4689" si="1236">"1"</f>
        <v>1</v>
      </c>
      <c r="J4680" s="6" t="str">
        <f t="shared" ref="J4680:J4689" si="1237">"BRANCO"</f>
        <v>BRANCO</v>
      </c>
      <c r="K4680" s="6" t="str">
        <f>"5202"</f>
        <v>5202</v>
      </c>
      <c r="L4680" s="6" t="str">
        <f>"Roupões Criança"</f>
        <v>Roupões Criança</v>
      </c>
      <c r="M4680" s="6" t="str">
        <f>"2 Anos"</f>
        <v>2 Anos</v>
      </c>
      <c r="N4680" s="6" t="str">
        <f>"5602972853612"</f>
        <v>5602972853612</v>
      </c>
      <c r="O4680" s="8">
        <v>144</v>
      </c>
      <c r="P4680" s="7">
        <v>45986</v>
      </c>
      <c r="R4680" s="8">
        <v>0</v>
      </c>
      <c r="S4680" s="7">
        <v>45989</v>
      </c>
      <c r="U4680" s="8">
        <v>0</v>
      </c>
      <c r="V4680" s="7">
        <v>46002</v>
      </c>
      <c r="X4680" s="8">
        <v>0</v>
      </c>
      <c r="Z4680" s="8">
        <v>0</v>
      </c>
      <c r="AA4680" s="7">
        <v>46014</v>
      </c>
      <c r="AC4680" s="8">
        <v>0</v>
      </c>
      <c r="AE4680" s="7">
        <v>46045</v>
      </c>
      <c r="AF4680" s="8">
        <v>0</v>
      </c>
      <c r="AH4680" s="7">
        <v>46065</v>
      </c>
      <c r="AI4680" s="7">
        <v>46043</v>
      </c>
      <c r="AN4680" s="8">
        <v>0</v>
      </c>
      <c r="AO4680" s="8">
        <v>144</v>
      </c>
    </row>
    <row r="4681" spans="1:41" x14ac:dyDescent="0.25">
      <c r="A4681" s="6" t="str">
        <f t="shared" si="1234"/>
        <v>525-2025000590</v>
      </c>
      <c r="B4681" s="6" t="str">
        <f t="shared" si="1230"/>
        <v>Lasa Int</v>
      </c>
      <c r="C4681" s="7">
        <v>45986</v>
      </c>
      <c r="D4681" s="7">
        <v>46065</v>
      </c>
      <c r="E4681" s="8">
        <v>2</v>
      </c>
      <c r="F4681" s="6" t="str">
        <f t="shared" si="1235"/>
        <v>PURE R</v>
      </c>
      <c r="G4681" s="6" t="str">
        <f>"R013000138500000"</f>
        <v>R013000138500000</v>
      </c>
      <c r="H4681" s="6" t="str">
        <f>"Star PURE - Ketten 3"</f>
        <v>Star PURE - Ketten 3</v>
      </c>
      <c r="I4681" s="6" t="str">
        <f t="shared" si="1236"/>
        <v>1</v>
      </c>
      <c r="J4681" s="6" t="str">
        <f t="shared" si="1237"/>
        <v>BRANCO</v>
      </c>
      <c r="K4681" s="6" t="str">
        <f>"5214"</f>
        <v>5214</v>
      </c>
      <c r="L4681" s="6" t="str">
        <f>"Roupões Criança"</f>
        <v>Roupões Criança</v>
      </c>
      <c r="M4681" s="6" t="str">
        <f>"14 Anos"</f>
        <v>14 Anos</v>
      </c>
      <c r="N4681" s="6" t="str">
        <f>"5602972853674"</f>
        <v>5602972853674</v>
      </c>
      <c r="O4681" s="8">
        <v>24</v>
      </c>
      <c r="P4681" s="7">
        <v>45986</v>
      </c>
      <c r="R4681" s="8">
        <v>0</v>
      </c>
      <c r="S4681" s="7">
        <v>45989</v>
      </c>
      <c r="U4681" s="8">
        <v>0</v>
      </c>
      <c r="V4681" s="7">
        <v>46002</v>
      </c>
      <c r="X4681" s="8">
        <v>0</v>
      </c>
      <c r="Z4681" s="8">
        <v>0</v>
      </c>
      <c r="AA4681" s="7">
        <v>46014</v>
      </c>
      <c r="AC4681" s="8">
        <v>0</v>
      </c>
      <c r="AE4681" s="7">
        <v>46045</v>
      </c>
      <c r="AF4681" s="8">
        <v>0</v>
      </c>
      <c r="AH4681" s="7">
        <v>46065</v>
      </c>
      <c r="AI4681" s="7">
        <v>46043</v>
      </c>
      <c r="AN4681" s="8">
        <v>0</v>
      </c>
      <c r="AO4681" s="8">
        <v>24</v>
      </c>
    </row>
    <row r="4682" spans="1:41" x14ac:dyDescent="0.25">
      <c r="A4682" s="6" t="str">
        <f t="shared" si="1234"/>
        <v>525-2025000590</v>
      </c>
      <c r="B4682" s="6" t="str">
        <f t="shared" si="1230"/>
        <v>Lasa Int</v>
      </c>
      <c r="C4682" s="7">
        <v>45986</v>
      </c>
      <c r="D4682" s="7">
        <v>46065</v>
      </c>
      <c r="E4682" s="8">
        <v>3</v>
      </c>
      <c r="F4682" s="6" t="str">
        <f t="shared" si="1235"/>
        <v>PURE R</v>
      </c>
      <c r="G4682" s="6" t="str">
        <f>"R120203038500000"</f>
        <v>R120203038500000</v>
      </c>
      <c r="H4682" s="6" t="str">
        <f>"R 2030 - Ketten PURE"</f>
        <v>R 2030 - Ketten PURE</v>
      </c>
      <c r="I4682" s="6" t="str">
        <f t="shared" si="1236"/>
        <v>1</v>
      </c>
      <c r="J4682" s="6" t="str">
        <f t="shared" si="1237"/>
        <v>BRANCO</v>
      </c>
      <c r="K4682" s="6" t="str">
        <f>"5008"</f>
        <v>5008</v>
      </c>
      <c r="L4682" s="6" t="str">
        <f t="shared" ref="L4682:L4692" si="1238">"Roupões Adulto"</f>
        <v>Roupões Adulto</v>
      </c>
      <c r="M4682" s="6" t="str">
        <f>"XL"</f>
        <v>XL</v>
      </c>
      <c r="N4682" s="6" t="str">
        <f>"5605247600461"</f>
        <v>5605247600461</v>
      </c>
      <c r="O4682" s="8">
        <v>12</v>
      </c>
      <c r="P4682" s="7">
        <v>45986</v>
      </c>
      <c r="R4682" s="8">
        <v>0</v>
      </c>
      <c r="S4682" s="7">
        <v>45989</v>
      </c>
      <c r="U4682" s="8">
        <v>0</v>
      </c>
      <c r="V4682" s="7">
        <v>46002</v>
      </c>
      <c r="X4682" s="8">
        <v>0</v>
      </c>
      <c r="Z4682" s="8">
        <v>0</v>
      </c>
      <c r="AA4682" s="7">
        <v>46014</v>
      </c>
      <c r="AC4682" s="8">
        <v>0</v>
      </c>
      <c r="AE4682" s="7">
        <v>46045</v>
      </c>
      <c r="AF4682" s="8">
        <v>0</v>
      </c>
      <c r="AH4682" s="7">
        <v>46065</v>
      </c>
      <c r="AI4682" s="7">
        <v>46043</v>
      </c>
      <c r="AN4682" s="8">
        <v>0</v>
      </c>
      <c r="AO4682" s="8">
        <v>12</v>
      </c>
    </row>
    <row r="4683" spans="1:41" x14ac:dyDescent="0.25">
      <c r="A4683" s="6" t="str">
        <f t="shared" si="1234"/>
        <v>525-2025000590</v>
      </c>
      <c r="B4683" s="6" t="str">
        <f t="shared" si="1230"/>
        <v>Lasa Int</v>
      </c>
      <c r="C4683" s="7">
        <v>45986</v>
      </c>
      <c r="D4683" s="7">
        <v>46065</v>
      </c>
      <c r="E4683" s="8">
        <v>4</v>
      </c>
      <c r="F4683" s="6" t="str">
        <f t="shared" si="1235"/>
        <v>PURE R</v>
      </c>
      <c r="G4683" s="6" t="str">
        <f>"R120203038500000"</f>
        <v>R120203038500000</v>
      </c>
      <c r="H4683" s="6" t="str">
        <f>"R 2030 - Ketten PURE"</f>
        <v>R 2030 - Ketten PURE</v>
      </c>
      <c r="I4683" s="6" t="str">
        <f t="shared" si="1236"/>
        <v>1</v>
      </c>
      <c r="J4683" s="6" t="str">
        <f t="shared" si="1237"/>
        <v>BRANCO</v>
      </c>
      <c r="K4683" s="6" t="str">
        <f>"5010"</f>
        <v>5010</v>
      </c>
      <c r="L4683" s="6" t="str">
        <f t="shared" si="1238"/>
        <v>Roupões Adulto</v>
      </c>
      <c r="M4683" s="6" t="str">
        <f>"XXL"</f>
        <v>XXL</v>
      </c>
      <c r="N4683" s="6" t="str">
        <f>"5605247600478"</f>
        <v>5605247600478</v>
      </c>
      <c r="O4683" s="8">
        <v>6</v>
      </c>
      <c r="P4683" s="7">
        <v>45986</v>
      </c>
      <c r="R4683" s="8">
        <v>0</v>
      </c>
      <c r="S4683" s="7">
        <v>45989</v>
      </c>
      <c r="U4683" s="8">
        <v>0</v>
      </c>
      <c r="V4683" s="7">
        <v>46002</v>
      </c>
      <c r="X4683" s="8">
        <v>0</v>
      </c>
      <c r="Z4683" s="8">
        <v>0</v>
      </c>
      <c r="AA4683" s="7">
        <v>46014</v>
      </c>
      <c r="AC4683" s="8">
        <v>0</v>
      </c>
      <c r="AE4683" s="7">
        <v>46045</v>
      </c>
      <c r="AF4683" s="8">
        <v>0</v>
      </c>
      <c r="AH4683" s="7">
        <v>46065</v>
      </c>
      <c r="AI4683" s="7">
        <v>46043</v>
      </c>
      <c r="AN4683" s="8">
        <v>0</v>
      </c>
      <c r="AO4683" s="8">
        <v>6</v>
      </c>
    </row>
    <row r="4684" spans="1:41" x14ac:dyDescent="0.25">
      <c r="A4684" s="6" t="str">
        <f t="shared" si="1234"/>
        <v>525-2025000590</v>
      </c>
      <c r="B4684" s="6" t="str">
        <f t="shared" si="1230"/>
        <v>Lasa Int</v>
      </c>
      <c r="C4684" s="7">
        <v>45986</v>
      </c>
      <c r="D4684" s="7">
        <v>46065</v>
      </c>
      <c r="E4684" s="8">
        <v>5</v>
      </c>
      <c r="F4684" s="6" t="str">
        <f t="shared" si="1235"/>
        <v>PURE R</v>
      </c>
      <c r="G4684" s="6" t="str">
        <f t="shared" ref="G4684:G4689" si="1239">"R120327038500000"</f>
        <v>R120327038500000</v>
      </c>
      <c r="H4684" s="6" t="str">
        <f t="shared" ref="H4684:H4689" si="1240">"R 3270 - PURE Capuz"</f>
        <v>R 3270 - PURE Capuz</v>
      </c>
      <c r="I4684" s="6" t="str">
        <f t="shared" si="1236"/>
        <v>1</v>
      </c>
      <c r="J4684" s="6" t="str">
        <f t="shared" si="1237"/>
        <v>BRANCO</v>
      </c>
      <c r="K4684" s="6" t="str">
        <f>"5001"</f>
        <v>5001</v>
      </c>
      <c r="L4684" s="6" t="str">
        <f t="shared" si="1238"/>
        <v>Roupões Adulto</v>
      </c>
      <c r="M4684" s="6" t="str">
        <f>"XS"</f>
        <v>XS</v>
      </c>
      <c r="N4684" s="6" t="str">
        <f>"5602972645293"</f>
        <v>5602972645293</v>
      </c>
      <c r="O4684" s="8">
        <v>12</v>
      </c>
      <c r="P4684" s="7">
        <v>45986</v>
      </c>
      <c r="R4684" s="8">
        <v>0</v>
      </c>
      <c r="S4684" s="7">
        <v>45989</v>
      </c>
      <c r="U4684" s="8">
        <v>0</v>
      </c>
      <c r="V4684" s="7">
        <v>46002</v>
      </c>
      <c r="X4684" s="8">
        <v>0</v>
      </c>
      <c r="Z4684" s="8">
        <v>0</v>
      </c>
      <c r="AA4684" s="7">
        <v>46014</v>
      </c>
      <c r="AC4684" s="8">
        <v>0</v>
      </c>
      <c r="AE4684" s="7">
        <v>46045</v>
      </c>
      <c r="AF4684" s="8">
        <v>0</v>
      </c>
      <c r="AH4684" s="7">
        <v>46065</v>
      </c>
      <c r="AI4684" s="7">
        <v>46043</v>
      </c>
      <c r="AN4684" s="8">
        <v>0</v>
      </c>
      <c r="AO4684" s="8">
        <v>12</v>
      </c>
    </row>
    <row r="4685" spans="1:41" x14ac:dyDescent="0.25">
      <c r="A4685" s="6" t="str">
        <f t="shared" si="1234"/>
        <v>525-2025000590</v>
      </c>
      <c r="B4685" s="6" t="str">
        <f t="shared" si="1230"/>
        <v>Lasa Int</v>
      </c>
      <c r="C4685" s="7">
        <v>45986</v>
      </c>
      <c r="D4685" s="7">
        <v>46065</v>
      </c>
      <c r="E4685" s="8">
        <v>6</v>
      </c>
      <c r="F4685" s="6" t="str">
        <f t="shared" si="1235"/>
        <v>PURE R</v>
      </c>
      <c r="G4685" s="6" t="str">
        <f t="shared" si="1239"/>
        <v>R120327038500000</v>
      </c>
      <c r="H4685" s="6" t="str">
        <f t="shared" si="1240"/>
        <v>R 3270 - PURE Capuz</v>
      </c>
      <c r="I4685" s="6" t="str">
        <f t="shared" si="1236"/>
        <v>1</v>
      </c>
      <c r="J4685" s="6" t="str">
        <f t="shared" si="1237"/>
        <v>BRANCO</v>
      </c>
      <c r="K4685" s="6" t="str">
        <f>"5002"</f>
        <v>5002</v>
      </c>
      <c r="L4685" s="6" t="str">
        <f t="shared" si="1238"/>
        <v>Roupões Adulto</v>
      </c>
      <c r="M4685" s="6" t="str">
        <f>"S"</f>
        <v>S</v>
      </c>
      <c r="N4685" s="6" t="str">
        <f>"5602972645309"</f>
        <v>5602972645309</v>
      </c>
      <c r="O4685" s="8">
        <v>36</v>
      </c>
      <c r="P4685" s="7">
        <v>45986</v>
      </c>
      <c r="R4685" s="8">
        <v>0</v>
      </c>
      <c r="S4685" s="7">
        <v>45989</v>
      </c>
      <c r="U4685" s="8">
        <v>810</v>
      </c>
      <c r="V4685" s="7">
        <v>46002</v>
      </c>
      <c r="X4685" s="8">
        <v>810</v>
      </c>
      <c r="Z4685" s="8">
        <v>0</v>
      </c>
      <c r="AA4685" s="7">
        <v>46014</v>
      </c>
      <c r="AC4685" s="8">
        <v>0</v>
      </c>
      <c r="AE4685" s="7">
        <v>46045</v>
      </c>
      <c r="AF4685" s="8">
        <v>0</v>
      </c>
      <c r="AH4685" s="7">
        <v>46065</v>
      </c>
      <c r="AI4685" s="7">
        <v>46043</v>
      </c>
      <c r="AN4685" s="8">
        <v>0</v>
      </c>
      <c r="AO4685" s="8">
        <v>36</v>
      </c>
    </row>
    <row r="4686" spans="1:41" x14ac:dyDescent="0.25">
      <c r="A4686" s="6" t="str">
        <f t="shared" si="1234"/>
        <v>525-2025000590</v>
      </c>
      <c r="B4686" s="6" t="str">
        <f t="shared" si="1230"/>
        <v>Lasa Int</v>
      </c>
      <c r="C4686" s="7">
        <v>45986</v>
      </c>
      <c r="D4686" s="7">
        <v>46065</v>
      </c>
      <c r="E4686" s="8">
        <v>7</v>
      </c>
      <c r="F4686" s="6" t="str">
        <f t="shared" si="1235"/>
        <v>PURE R</v>
      </c>
      <c r="G4686" s="6" t="str">
        <f t="shared" si="1239"/>
        <v>R120327038500000</v>
      </c>
      <c r="H4686" s="6" t="str">
        <f t="shared" si="1240"/>
        <v>R 3270 - PURE Capuz</v>
      </c>
      <c r="I4686" s="6" t="str">
        <f t="shared" si="1236"/>
        <v>1</v>
      </c>
      <c r="J4686" s="6" t="str">
        <f t="shared" si="1237"/>
        <v>BRANCO</v>
      </c>
      <c r="K4686" s="6" t="str">
        <f>"5004"</f>
        <v>5004</v>
      </c>
      <c r="L4686" s="6" t="str">
        <f t="shared" si="1238"/>
        <v>Roupões Adulto</v>
      </c>
      <c r="M4686" s="6" t="str">
        <f>"M"</f>
        <v>M</v>
      </c>
      <c r="N4686" s="6" t="str">
        <f>"5602972645316"</f>
        <v>5602972645316</v>
      </c>
      <c r="O4686" s="8">
        <v>36</v>
      </c>
      <c r="P4686" s="7">
        <v>45986</v>
      </c>
      <c r="R4686" s="8">
        <v>0</v>
      </c>
      <c r="S4686" s="7">
        <v>45989</v>
      </c>
      <c r="U4686" s="8">
        <v>0</v>
      </c>
      <c r="V4686" s="7">
        <v>46002</v>
      </c>
      <c r="X4686" s="8">
        <v>0</v>
      </c>
      <c r="Z4686" s="8">
        <v>0</v>
      </c>
      <c r="AA4686" s="7">
        <v>46014</v>
      </c>
      <c r="AC4686" s="8">
        <v>0</v>
      </c>
      <c r="AE4686" s="7">
        <v>46045</v>
      </c>
      <c r="AF4686" s="8">
        <v>0</v>
      </c>
      <c r="AH4686" s="7">
        <v>46065</v>
      </c>
      <c r="AI4686" s="7">
        <v>46043</v>
      </c>
      <c r="AN4686" s="8">
        <v>0</v>
      </c>
      <c r="AO4686" s="8">
        <v>36</v>
      </c>
    </row>
    <row r="4687" spans="1:41" x14ac:dyDescent="0.25">
      <c r="A4687" s="6" t="str">
        <f t="shared" si="1234"/>
        <v>525-2025000590</v>
      </c>
      <c r="B4687" s="6" t="str">
        <f t="shared" si="1230"/>
        <v>Lasa Int</v>
      </c>
      <c r="C4687" s="7">
        <v>45986</v>
      </c>
      <c r="D4687" s="7">
        <v>46065</v>
      </c>
      <c r="E4687" s="8">
        <v>8</v>
      </c>
      <c r="F4687" s="6" t="str">
        <f t="shared" si="1235"/>
        <v>PURE R</v>
      </c>
      <c r="G4687" s="6" t="str">
        <f t="shared" si="1239"/>
        <v>R120327038500000</v>
      </c>
      <c r="H4687" s="6" t="str">
        <f t="shared" si="1240"/>
        <v>R 3270 - PURE Capuz</v>
      </c>
      <c r="I4687" s="6" t="str">
        <f t="shared" si="1236"/>
        <v>1</v>
      </c>
      <c r="J4687" s="6" t="str">
        <f t="shared" si="1237"/>
        <v>BRANCO</v>
      </c>
      <c r="K4687" s="6" t="str">
        <f>"5006"</f>
        <v>5006</v>
      </c>
      <c r="L4687" s="6" t="str">
        <f t="shared" si="1238"/>
        <v>Roupões Adulto</v>
      </c>
      <c r="M4687" s="6" t="str">
        <f>"L"</f>
        <v>L</v>
      </c>
      <c r="N4687" s="6" t="str">
        <f>"5602972645323"</f>
        <v>5602972645323</v>
      </c>
      <c r="O4687" s="8">
        <v>36</v>
      </c>
      <c r="P4687" s="7">
        <v>45986</v>
      </c>
      <c r="R4687" s="8">
        <v>0</v>
      </c>
      <c r="S4687" s="7">
        <v>45989</v>
      </c>
      <c r="U4687" s="8">
        <v>0</v>
      </c>
      <c r="V4687" s="7">
        <v>46002</v>
      </c>
      <c r="X4687" s="8">
        <v>0</v>
      </c>
      <c r="Z4687" s="8">
        <v>0</v>
      </c>
      <c r="AA4687" s="7">
        <v>46014</v>
      </c>
      <c r="AC4687" s="8">
        <v>0</v>
      </c>
      <c r="AE4687" s="7">
        <v>46045</v>
      </c>
      <c r="AF4687" s="8">
        <v>0</v>
      </c>
      <c r="AH4687" s="7">
        <v>46065</v>
      </c>
      <c r="AI4687" s="7">
        <v>46043</v>
      </c>
      <c r="AN4687" s="8">
        <v>0</v>
      </c>
      <c r="AO4687" s="8">
        <v>36</v>
      </c>
    </row>
    <row r="4688" spans="1:41" x14ac:dyDescent="0.25">
      <c r="A4688" s="6" t="str">
        <f t="shared" si="1234"/>
        <v>525-2025000590</v>
      </c>
      <c r="B4688" s="6" t="str">
        <f t="shared" si="1230"/>
        <v>Lasa Int</v>
      </c>
      <c r="C4688" s="7">
        <v>45986</v>
      </c>
      <c r="D4688" s="7">
        <v>46065</v>
      </c>
      <c r="E4688" s="8">
        <v>9</v>
      </c>
      <c r="F4688" s="6" t="str">
        <f t="shared" si="1235"/>
        <v>PURE R</v>
      </c>
      <c r="G4688" s="6" t="str">
        <f t="shared" si="1239"/>
        <v>R120327038500000</v>
      </c>
      <c r="H4688" s="6" t="str">
        <f t="shared" si="1240"/>
        <v>R 3270 - PURE Capuz</v>
      </c>
      <c r="I4688" s="6" t="str">
        <f t="shared" si="1236"/>
        <v>1</v>
      </c>
      <c r="J4688" s="6" t="str">
        <f t="shared" si="1237"/>
        <v>BRANCO</v>
      </c>
      <c r="K4688" s="6" t="str">
        <f>"5008"</f>
        <v>5008</v>
      </c>
      <c r="L4688" s="6" t="str">
        <f t="shared" si="1238"/>
        <v>Roupões Adulto</v>
      </c>
      <c r="M4688" s="6" t="str">
        <f>"XL"</f>
        <v>XL</v>
      </c>
      <c r="N4688" s="6" t="str">
        <f>"5602972645330"</f>
        <v>5602972645330</v>
      </c>
      <c r="O4688" s="8">
        <v>36</v>
      </c>
      <c r="P4688" s="7">
        <v>45986</v>
      </c>
      <c r="R4688" s="8">
        <v>0</v>
      </c>
      <c r="S4688" s="7">
        <v>45989</v>
      </c>
      <c r="U4688" s="8">
        <v>0</v>
      </c>
      <c r="V4688" s="7">
        <v>46002</v>
      </c>
      <c r="X4688" s="8">
        <v>0</v>
      </c>
      <c r="Z4688" s="8">
        <v>0</v>
      </c>
      <c r="AA4688" s="7">
        <v>46014</v>
      </c>
      <c r="AC4688" s="8">
        <v>0</v>
      </c>
      <c r="AE4688" s="7">
        <v>46045</v>
      </c>
      <c r="AF4688" s="8">
        <v>0</v>
      </c>
      <c r="AH4688" s="7">
        <v>46065</v>
      </c>
      <c r="AI4688" s="7">
        <v>46043</v>
      </c>
      <c r="AN4688" s="8">
        <v>0</v>
      </c>
      <c r="AO4688" s="8">
        <v>36</v>
      </c>
    </row>
    <row r="4689" spans="1:41" x14ac:dyDescent="0.25">
      <c r="A4689" s="6" t="str">
        <f t="shared" si="1234"/>
        <v>525-2025000590</v>
      </c>
      <c r="B4689" s="6" t="str">
        <f t="shared" si="1230"/>
        <v>Lasa Int</v>
      </c>
      <c r="C4689" s="7">
        <v>45986</v>
      </c>
      <c r="D4689" s="7">
        <v>46065</v>
      </c>
      <c r="E4689" s="8">
        <v>10</v>
      </c>
      <c r="F4689" s="6" t="str">
        <f t="shared" si="1235"/>
        <v>PURE R</v>
      </c>
      <c r="G4689" s="6" t="str">
        <f t="shared" si="1239"/>
        <v>R120327038500000</v>
      </c>
      <c r="H4689" s="6" t="str">
        <f t="shared" si="1240"/>
        <v>R 3270 - PURE Capuz</v>
      </c>
      <c r="I4689" s="6" t="str">
        <f t="shared" si="1236"/>
        <v>1</v>
      </c>
      <c r="J4689" s="6" t="str">
        <f t="shared" si="1237"/>
        <v>BRANCO</v>
      </c>
      <c r="K4689" s="6" t="str">
        <f>"5010"</f>
        <v>5010</v>
      </c>
      <c r="L4689" s="6" t="str">
        <f t="shared" si="1238"/>
        <v>Roupões Adulto</v>
      </c>
      <c r="M4689" s="6" t="str">
        <f>"XXL"</f>
        <v>XXL</v>
      </c>
      <c r="N4689" s="6" t="str">
        <f>"5602972645347"</f>
        <v>5602972645347</v>
      </c>
      <c r="O4689" s="8">
        <v>12</v>
      </c>
      <c r="P4689" s="7">
        <v>45986</v>
      </c>
      <c r="R4689" s="8">
        <v>0</v>
      </c>
      <c r="S4689" s="7">
        <v>45989</v>
      </c>
      <c r="U4689" s="8">
        <v>0</v>
      </c>
      <c r="V4689" s="7">
        <v>46002</v>
      </c>
      <c r="X4689" s="8">
        <v>0</v>
      </c>
      <c r="Z4689" s="8">
        <v>0</v>
      </c>
      <c r="AA4689" s="7">
        <v>46014</v>
      </c>
      <c r="AC4689" s="8">
        <v>0</v>
      </c>
      <c r="AE4689" s="7">
        <v>46045</v>
      </c>
      <c r="AF4689" s="8">
        <v>0</v>
      </c>
      <c r="AH4689" s="7">
        <v>46065</v>
      </c>
      <c r="AI4689" s="7">
        <v>46043</v>
      </c>
      <c r="AN4689" s="8">
        <v>0</v>
      </c>
      <c r="AO4689" s="8">
        <v>12</v>
      </c>
    </row>
    <row r="4690" spans="1:41" x14ac:dyDescent="0.25">
      <c r="A4690" s="6" t="str">
        <f t="shared" ref="A4690:A4697" si="1241">"525-2025000592"</f>
        <v>525-2025000592</v>
      </c>
      <c r="B4690" s="6" t="str">
        <f t="shared" si="1230"/>
        <v>Lasa Int</v>
      </c>
      <c r="C4690" s="7">
        <v>45986</v>
      </c>
      <c r="D4690" s="7">
        <v>46072</v>
      </c>
      <c r="E4690" s="8">
        <v>1</v>
      </c>
      <c r="F4690" s="6" t="str">
        <f t="shared" si="1235"/>
        <v>PURE R</v>
      </c>
      <c r="G4690" s="6" t="str">
        <f>"R010000635000000"</f>
        <v>R010000635000000</v>
      </c>
      <c r="H4690" s="6" t="str">
        <f>"Alexis Cotoral Pure"</f>
        <v>Alexis Cotoral Pure</v>
      </c>
      <c r="I4690" s="6" t="str">
        <f t="shared" ref="I4690:I4697" si="1242">"2307"</f>
        <v>2307</v>
      </c>
      <c r="J4690" s="6" t="str">
        <f t="shared" ref="J4690:J4697" si="1243">"VERMELHO 2307"</f>
        <v>VERMELHO 2307</v>
      </c>
      <c r="K4690" s="6" t="str">
        <f>"5004"</f>
        <v>5004</v>
      </c>
      <c r="L4690" s="6" t="str">
        <f t="shared" si="1238"/>
        <v>Roupões Adulto</v>
      </c>
      <c r="M4690" s="6" t="str">
        <f>"M"</f>
        <v>M</v>
      </c>
      <c r="N4690" s="6" t="str">
        <f>"5602972855722"</f>
        <v>5602972855722</v>
      </c>
      <c r="O4690" s="8">
        <v>12</v>
      </c>
      <c r="P4690" s="7">
        <v>45986</v>
      </c>
      <c r="R4690" s="8">
        <v>0</v>
      </c>
      <c r="S4690" s="7">
        <v>45989</v>
      </c>
      <c r="U4690" s="8">
        <v>0</v>
      </c>
      <c r="V4690" s="7">
        <v>46002</v>
      </c>
      <c r="X4690" s="8">
        <v>0</v>
      </c>
      <c r="Z4690" s="8">
        <v>0</v>
      </c>
      <c r="AA4690" s="7">
        <v>46014</v>
      </c>
      <c r="AC4690" s="8">
        <v>0</v>
      </c>
      <c r="AE4690" s="7">
        <v>46043</v>
      </c>
      <c r="AF4690" s="8">
        <v>0</v>
      </c>
      <c r="AH4690" s="7">
        <v>46043</v>
      </c>
      <c r="AI4690" s="7">
        <v>46041</v>
      </c>
      <c r="AN4690" s="8">
        <v>0</v>
      </c>
      <c r="AO4690" s="8">
        <v>12</v>
      </c>
    </row>
    <row r="4691" spans="1:41" x14ac:dyDescent="0.25">
      <c r="A4691" s="6" t="str">
        <f t="shared" si="1241"/>
        <v>525-2025000592</v>
      </c>
      <c r="B4691" s="6" t="str">
        <f t="shared" si="1230"/>
        <v>Lasa Int</v>
      </c>
      <c r="C4691" s="7">
        <v>45986</v>
      </c>
      <c r="D4691" s="7">
        <v>46072</v>
      </c>
      <c r="E4691" s="8">
        <v>2</v>
      </c>
      <c r="F4691" s="6" t="str">
        <f t="shared" si="1235"/>
        <v>PURE R</v>
      </c>
      <c r="G4691" s="6" t="str">
        <f>"R010000635000000"</f>
        <v>R010000635000000</v>
      </c>
      <c r="H4691" s="6" t="str">
        <f>"Alexis Cotoral Pure"</f>
        <v>Alexis Cotoral Pure</v>
      </c>
      <c r="I4691" s="6" t="str">
        <f t="shared" si="1242"/>
        <v>2307</v>
      </c>
      <c r="J4691" s="6" t="str">
        <f t="shared" si="1243"/>
        <v>VERMELHO 2307</v>
      </c>
      <c r="K4691" s="6" t="str">
        <f>"5006"</f>
        <v>5006</v>
      </c>
      <c r="L4691" s="6" t="str">
        <f t="shared" si="1238"/>
        <v>Roupões Adulto</v>
      </c>
      <c r="M4691" s="6" t="str">
        <f>"L"</f>
        <v>L</v>
      </c>
      <c r="N4691" s="6" t="str">
        <f>"5602972855739"</f>
        <v>5602972855739</v>
      </c>
      <c r="O4691" s="8">
        <v>12</v>
      </c>
      <c r="P4691" s="7">
        <v>45986</v>
      </c>
      <c r="R4691" s="8">
        <v>0</v>
      </c>
      <c r="S4691" s="7">
        <v>45989</v>
      </c>
      <c r="U4691" s="8">
        <v>0</v>
      </c>
      <c r="V4691" s="7">
        <v>46002</v>
      </c>
      <c r="X4691" s="8">
        <v>0</v>
      </c>
      <c r="Z4691" s="8">
        <v>0</v>
      </c>
      <c r="AA4691" s="7">
        <v>46014</v>
      </c>
      <c r="AC4691" s="8">
        <v>0</v>
      </c>
      <c r="AE4691" s="7">
        <v>46043</v>
      </c>
      <c r="AF4691" s="8">
        <v>0</v>
      </c>
      <c r="AH4691" s="7">
        <v>46043</v>
      </c>
      <c r="AI4691" s="7">
        <v>46041</v>
      </c>
      <c r="AN4691" s="8">
        <v>0</v>
      </c>
      <c r="AO4691" s="8">
        <v>12</v>
      </c>
    </row>
    <row r="4692" spans="1:41" x14ac:dyDescent="0.25">
      <c r="A4692" s="6" t="str">
        <f t="shared" si="1241"/>
        <v>525-2025000592</v>
      </c>
      <c r="B4692" s="6" t="str">
        <f t="shared" si="1230"/>
        <v>Lasa Int</v>
      </c>
      <c r="C4692" s="7">
        <v>45986</v>
      </c>
      <c r="D4692" s="7">
        <v>46072</v>
      </c>
      <c r="E4692" s="8">
        <v>3</v>
      </c>
      <c r="F4692" s="6" t="str">
        <f t="shared" si="1235"/>
        <v>PURE R</v>
      </c>
      <c r="G4692" s="6" t="str">
        <f>"R010000635000000"</f>
        <v>R010000635000000</v>
      </c>
      <c r="H4692" s="6" t="str">
        <f>"Alexis Cotoral Pure"</f>
        <v>Alexis Cotoral Pure</v>
      </c>
      <c r="I4692" s="6" t="str">
        <f t="shared" si="1242"/>
        <v>2307</v>
      </c>
      <c r="J4692" s="6" t="str">
        <f t="shared" si="1243"/>
        <v>VERMELHO 2307</v>
      </c>
      <c r="K4692" s="6" t="str">
        <f>"5008"</f>
        <v>5008</v>
      </c>
      <c r="L4692" s="6" t="str">
        <f t="shared" si="1238"/>
        <v>Roupões Adulto</v>
      </c>
      <c r="M4692" s="6" t="str">
        <f>"XL"</f>
        <v>XL</v>
      </c>
      <c r="N4692" s="6" t="str">
        <f>"5602972855746"</f>
        <v>5602972855746</v>
      </c>
      <c r="O4692" s="8">
        <v>12</v>
      </c>
      <c r="P4692" s="7">
        <v>45986</v>
      </c>
      <c r="R4692" s="8">
        <v>0</v>
      </c>
      <c r="S4692" s="7">
        <v>45989</v>
      </c>
      <c r="U4692" s="8">
        <v>0</v>
      </c>
      <c r="V4692" s="7">
        <v>46002</v>
      </c>
      <c r="X4692" s="8">
        <v>0</v>
      </c>
      <c r="Z4692" s="8">
        <v>0</v>
      </c>
      <c r="AA4692" s="7">
        <v>46014</v>
      </c>
      <c r="AC4692" s="8">
        <v>0</v>
      </c>
      <c r="AE4692" s="7">
        <v>46043</v>
      </c>
      <c r="AF4692" s="8">
        <v>0</v>
      </c>
      <c r="AH4692" s="7">
        <v>46043</v>
      </c>
      <c r="AI4692" s="7">
        <v>46041</v>
      </c>
      <c r="AN4692" s="8">
        <v>0</v>
      </c>
      <c r="AO4692" s="8">
        <v>12</v>
      </c>
    </row>
    <row r="4693" spans="1:41" x14ac:dyDescent="0.25">
      <c r="A4693" s="6" t="str">
        <f t="shared" si="1241"/>
        <v>525-2025000592</v>
      </c>
      <c r="B4693" s="6" t="str">
        <f t="shared" si="1230"/>
        <v>Lasa Int</v>
      </c>
      <c r="C4693" s="7">
        <v>45986</v>
      </c>
      <c r="D4693" s="7">
        <v>46072</v>
      </c>
      <c r="E4693" s="8">
        <v>4</v>
      </c>
      <c r="F4693" s="6" t="str">
        <f t="shared" si="1235"/>
        <v>PURE R</v>
      </c>
      <c r="G4693" s="6" t="str">
        <f>"R013000138500000"</f>
        <v>R013000138500000</v>
      </c>
      <c r="H4693" s="6" t="str">
        <f>"Star PURE - Ketten 3"</f>
        <v>Star PURE - Ketten 3</v>
      </c>
      <c r="I4693" s="6" t="str">
        <f t="shared" si="1242"/>
        <v>2307</v>
      </c>
      <c r="J4693" s="6" t="str">
        <f t="shared" si="1243"/>
        <v>VERMELHO 2307</v>
      </c>
      <c r="K4693" s="6" t="str">
        <f>"5208"</f>
        <v>5208</v>
      </c>
      <c r="L4693" s="6" t="str">
        <f>"Roupões Criança"</f>
        <v>Roupões Criança</v>
      </c>
      <c r="M4693" s="6" t="str">
        <f>"8 Anos"</f>
        <v>8 Anos</v>
      </c>
      <c r="N4693" s="6" t="str">
        <f>"5602972796407"</f>
        <v>5602972796407</v>
      </c>
      <c r="O4693" s="8">
        <v>12</v>
      </c>
      <c r="P4693" s="7">
        <v>45986</v>
      </c>
      <c r="R4693" s="8">
        <v>0</v>
      </c>
      <c r="S4693" s="7">
        <v>45989</v>
      </c>
      <c r="U4693" s="8">
        <v>0</v>
      </c>
      <c r="V4693" s="7">
        <v>46002</v>
      </c>
      <c r="X4693" s="8">
        <v>0</v>
      </c>
      <c r="Z4693" s="8">
        <v>0</v>
      </c>
      <c r="AA4693" s="7">
        <v>46014</v>
      </c>
      <c r="AC4693" s="8">
        <v>0</v>
      </c>
      <c r="AE4693" s="7">
        <v>46043</v>
      </c>
      <c r="AF4693" s="8">
        <v>0</v>
      </c>
      <c r="AH4693" s="7">
        <v>46043</v>
      </c>
      <c r="AI4693" s="7">
        <v>46041</v>
      </c>
      <c r="AN4693" s="8">
        <v>0</v>
      </c>
      <c r="AO4693" s="8">
        <v>12</v>
      </c>
    </row>
    <row r="4694" spans="1:41" x14ac:dyDescent="0.25">
      <c r="A4694" s="6" t="str">
        <f t="shared" si="1241"/>
        <v>525-2025000592</v>
      </c>
      <c r="B4694" s="6" t="str">
        <f t="shared" si="1230"/>
        <v>Lasa Int</v>
      </c>
      <c r="C4694" s="7">
        <v>45986</v>
      </c>
      <c r="D4694" s="7">
        <v>46072</v>
      </c>
      <c r="E4694" s="8">
        <v>5</v>
      </c>
      <c r="F4694" s="6" t="str">
        <f t="shared" si="1235"/>
        <v>PURE R</v>
      </c>
      <c r="G4694" s="6" t="str">
        <f>"R013000138500000"</f>
        <v>R013000138500000</v>
      </c>
      <c r="H4694" s="6" t="str">
        <f>"Star PURE - Ketten 3"</f>
        <v>Star PURE - Ketten 3</v>
      </c>
      <c r="I4694" s="6" t="str">
        <f t="shared" si="1242"/>
        <v>2307</v>
      </c>
      <c r="J4694" s="6" t="str">
        <f t="shared" si="1243"/>
        <v>VERMELHO 2307</v>
      </c>
      <c r="K4694" s="6" t="str">
        <f>"5212"</f>
        <v>5212</v>
      </c>
      <c r="L4694" s="6" t="str">
        <f>"Roupões Criança"</f>
        <v>Roupões Criança</v>
      </c>
      <c r="M4694" s="6" t="str">
        <f>"12 Anos"</f>
        <v>12 Anos</v>
      </c>
      <c r="N4694" s="6" t="str">
        <f>"5602972796421"</f>
        <v>5602972796421</v>
      </c>
      <c r="O4694" s="8">
        <v>12</v>
      </c>
      <c r="P4694" s="7">
        <v>45986</v>
      </c>
      <c r="R4694" s="8">
        <v>0</v>
      </c>
      <c r="S4694" s="7">
        <v>45989</v>
      </c>
      <c r="U4694" s="8">
        <v>0</v>
      </c>
      <c r="V4694" s="7">
        <v>46002</v>
      </c>
      <c r="X4694" s="8">
        <v>0</v>
      </c>
      <c r="Z4694" s="8">
        <v>0</v>
      </c>
      <c r="AA4694" s="7">
        <v>46014</v>
      </c>
      <c r="AC4694" s="8">
        <v>0</v>
      </c>
      <c r="AE4694" s="7">
        <v>46043</v>
      </c>
      <c r="AF4694" s="8">
        <v>0</v>
      </c>
      <c r="AH4694" s="7">
        <v>46043</v>
      </c>
      <c r="AI4694" s="7">
        <v>46041</v>
      </c>
      <c r="AN4694" s="8">
        <v>0</v>
      </c>
      <c r="AO4694" s="8">
        <v>12</v>
      </c>
    </row>
    <row r="4695" spans="1:41" x14ac:dyDescent="0.25">
      <c r="A4695" s="6" t="str">
        <f t="shared" si="1241"/>
        <v>525-2025000592</v>
      </c>
      <c r="B4695" s="6" t="str">
        <f t="shared" si="1230"/>
        <v>Lasa Int</v>
      </c>
      <c r="C4695" s="7">
        <v>45986</v>
      </c>
      <c r="D4695" s="7">
        <v>46072</v>
      </c>
      <c r="E4695" s="8">
        <v>6</v>
      </c>
      <c r="F4695" s="6" t="str">
        <f t="shared" si="1235"/>
        <v>PURE R</v>
      </c>
      <c r="G4695" s="6" t="str">
        <f>"R120327038500000"</f>
        <v>R120327038500000</v>
      </c>
      <c r="H4695" s="6" t="str">
        <f>"R 3270 - PURE Capuz"</f>
        <v>R 3270 - PURE Capuz</v>
      </c>
      <c r="I4695" s="6" t="str">
        <f t="shared" si="1242"/>
        <v>2307</v>
      </c>
      <c r="J4695" s="6" t="str">
        <f t="shared" si="1243"/>
        <v>VERMELHO 2307</v>
      </c>
      <c r="K4695" s="6" t="str">
        <f>"5002"</f>
        <v>5002</v>
      </c>
      <c r="L4695" s="6" t="str">
        <f t="shared" ref="L4695:L4702" si="1244">"Roupões Adulto"</f>
        <v>Roupões Adulto</v>
      </c>
      <c r="M4695" s="6" t="str">
        <f>"S"</f>
        <v>S</v>
      </c>
      <c r="N4695" s="6" t="str">
        <f>"5602972645552"</f>
        <v>5602972645552</v>
      </c>
      <c r="O4695" s="8">
        <v>12</v>
      </c>
      <c r="P4695" s="7">
        <v>45986</v>
      </c>
      <c r="R4695" s="8">
        <v>0</v>
      </c>
      <c r="S4695" s="7">
        <v>45989</v>
      </c>
      <c r="U4695" s="8">
        <v>540</v>
      </c>
      <c r="V4695" s="7">
        <v>46002</v>
      </c>
      <c r="X4695" s="8">
        <v>540</v>
      </c>
      <c r="Z4695" s="8">
        <v>0</v>
      </c>
      <c r="AA4695" s="7">
        <v>46014</v>
      </c>
      <c r="AC4695" s="8">
        <v>0</v>
      </c>
      <c r="AE4695" s="7">
        <v>46043</v>
      </c>
      <c r="AF4695" s="8">
        <v>0</v>
      </c>
      <c r="AH4695" s="7">
        <v>46043</v>
      </c>
      <c r="AI4695" s="7">
        <v>46041</v>
      </c>
      <c r="AN4695" s="8">
        <v>0</v>
      </c>
      <c r="AO4695" s="8">
        <v>12</v>
      </c>
    </row>
    <row r="4696" spans="1:41" x14ac:dyDescent="0.25">
      <c r="A4696" s="6" t="str">
        <f t="shared" si="1241"/>
        <v>525-2025000592</v>
      </c>
      <c r="B4696" s="6" t="str">
        <f t="shared" si="1230"/>
        <v>Lasa Int</v>
      </c>
      <c r="C4696" s="7">
        <v>45986</v>
      </c>
      <c r="D4696" s="7">
        <v>46072</v>
      </c>
      <c r="E4696" s="8">
        <v>7</v>
      </c>
      <c r="F4696" s="6" t="str">
        <f t="shared" si="1235"/>
        <v>PURE R</v>
      </c>
      <c r="G4696" s="6" t="str">
        <f>"R120327038500000"</f>
        <v>R120327038500000</v>
      </c>
      <c r="H4696" s="6" t="str">
        <f>"R 3270 - PURE Capuz"</f>
        <v>R 3270 - PURE Capuz</v>
      </c>
      <c r="I4696" s="6" t="str">
        <f t="shared" si="1242"/>
        <v>2307</v>
      </c>
      <c r="J4696" s="6" t="str">
        <f t="shared" si="1243"/>
        <v>VERMELHO 2307</v>
      </c>
      <c r="K4696" s="6" t="str">
        <f>"5004"</f>
        <v>5004</v>
      </c>
      <c r="L4696" s="6" t="str">
        <f t="shared" si="1244"/>
        <v>Roupões Adulto</v>
      </c>
      <c r="M4696" s="6" t="str">
        <f>"M"</f>
        <v>M</v>
      </c>
      <c r="N4696" s="6" t="str">
        <f>"5602972645569"</f>
        <v>5602972645569</v>
      </c>
      <c r="O4696" s="8">
        <v>48</v>
      </c>
      <c r="P4696" s="7">
        <v>45986</v>
      </c>
      <c r="R4696" s="8">
        <v>0</v>
      </c>
      <c r="S4696" s="7">
        <v>45989</v>
      </c>
      <c r="U4696" s="8">
        <v>0</v>
      </c>
      <c r="V4696" s="7">
        <v>46002</v>
      </c>
      <c r="X4696" s="8">
        <v>0</v>
      </c>
      <c r="Z4696" s="8">
        <v>0</v>
      </c>
      <c r="AA4696" s="7">
        <v>46014</v>
      </c>
      <c r="AC4696" s="8">
        <v>0</v>
      </c>
      <c r="AE4696" s="7">
        <v>46043</v>
      </c>
      <c r="AF4696" s="8">
        <v>0</v>
      </c>
      <c r="AH4696" s="7">
        <v>46043</v>
      </c>
      <c r="AI4696" s="7">
        <v>46041</v>
      </c>
      <c r="AN4696" s="8">
        <v>0</v>
      </c>
      <c r="AO4696" s="8">
        <v>48</v>
      </c>
    </row>
    <row r="4697" spans="1:41" x14ac:dyDescent="0.25">
      <c r="A4697" s="6" t="str">
        <f t="shared" si="1241"/>
        <v>525-2025000592</v>
      </c>
      <c r="B4697" s="6" t="str">
        <f t="shared" si="1230"/>
        <v>Lasa Int</v>
      </c>
      <c r="C4697" s="7">
        <v>45986</v>
      </c>
      <c r="D4697" s="7">
        <v>46072</v>
      </c>
      <c r="E4697" s="8">
        <v>8</v>
      </c>
      <c r="F4697" s="6" t="str">
        <f t="shared" si="1235"/>
        <v>PURE R</v>
      </c>
      <c r="G4697" s="6" t="str">
        <f>"R120327038500000"</f>
        <v>R120327038500000</v>
      </c>
      <c r="H4697" s="6" t="str">
        <f>"R 3270 - PURE Capuz"</f>
        <v>R 3270 - PURE Capuz</v>
      </c>
      <c r="I4697" s="6" t="str">
        <f t="shared" si="1242"/>
        <v>2307</v>
      </c>
      <c r="J4697" s="6" t="str">
        <f t="shared" si="1243"/>
        <v>VERMELHO 2307</v>
      </c>
      <c r="K4697" s="6" t="str">
        <f>"5008"</f>
        <v>5008</v>
      </c>
      <c r="L4697" s="6" t="str">
        <f t="shared" si="1244"/>
        <v>Roupões Adulto</v>
      </c>
      <c r="M4697" s="6" t="str">
        <f>"XL"</f>
        <v>XL</v>
      </c>
      <c r="N4697" s="6" t="str">
        <f>"5602972645583"</f>
        <v>5602972645583</v>
      </c>
      <c r="O4697" s="8">
        <v>48</v>
      </c>
      <c r="P4697" s="7">
        <v>45986</v>
      </c>
      <c r="R4697" s="8">
        <v>0</v>
      </c>
      <c r="S4697" s="7">
        <v>45989</v>
      </c>
      <c r="U4697" s="8">
        <v>0</v>
      </c>
      <c r="V4697" s="7">
        <v>46002</v>
      </c>
      <c r="X4697" s="8">
        <v>0</v>
      </c>
      <c r="Z4697" s="8">
        <v>0</v>
      </c>
      <c r="AA4697" s="7">
        <v>46014</v>
      </c>
      <c r="AC4697" s="8">
        <v>0</v>
      </c>
      <c r="AE4697" s="7">
        <v>46043</v>
      </c>
      <c r="AF4697" s="8">
        <v>0</v>
      </c>
      <c r="AH4697" s="7">
        <v>46043</v>
      </c>
      <c r="AI4697" s="7">
        <v>46041</v>
      </c>
      <c r="AN4697" s="8">
        <v>0</v>
      </c>
      <c r="AO4697" s="8">
        <v>48</v>
      </c>
    </row>
    <row r="4698" spans="1:41" x14ac:dyDescent="0.25">
      <c r="A4698" s="6" t="str">
        <f>"525-2025000594"</f>
        <v>525-2025000594</v>
      </c>
      <c r="B4698" s="6" t="str">
        <f t="shared" si="1230"/>
        <v>Lasa Int</v>
      </c>
      <c r="C4698" s="7">
        <v>45987</v>
      </c>
      <c r="D4698" s="7">
        <v>46112</v>
      </c>
      <c r="E4698" s="8">
        <v>1</v>
      </c>
      <c r="F4698" s="6" t="str">
        <f>"Cool"</f>
        <v>Cool</v>
      </c>
      <c r="G4698" s="6" t="str">
        <f>"R702284130000000"</f>
        <v>R702284130000000</v>
      </c>
      <c r="H4698" s="6" t="str">
        <f>"R 2841 - Ketten - 30"</f>
        <v>R 2841 - Ketten - 30</v>
      </c>
      <c r="I4698" s="6" t="str">
        <f t="shared" ref="I4698:I4714" si="1245">"3073"</f>
        <v>3073</v>
      </c>
      <c r="J4698" s="6" t="str">
        <f t="shared" ref="J4698:J4714" si="1246">"CINZA 3073"</f>
        <v>CINZA 3073</v>
      </c>
      <c r="K4698" s="6" t="str">
        <f>"5002"</f>
        <v>5002</v>
      </c>
      <c r="L4698" s="6" t="str">
        <f t="shared" si="1244"/>
        <v>Roupões Adulto</v>
      </c>
      <c r="M4698" s="6" t="str">
        <f>"S"</f>
        <v>S</v>
      </c>
      <c r="N4698" s="6" t="str">
        <f>"5602972782233"</f>
        <v>5602972782233</v>
      </c>
      <c r="O4698" s="8">
        <v>24</v>
      </c>
      <c r="P4698" s="7">
        <v>45987</v>
      </c>
      <c r="R4698" s="8">
        <v>0</v>
      </c>
      <c r="S4698" s="7">
        <v>45993</v>
      </c>
      <c r="U4698" s="8">
        <v>700</v>
      </c>
      <c r="V4698" s="7">
        <v>46003</v>
      </c>
      <c r="X4698" s="8">
        <v>700</v>
      </c>
      <c r="Z4698" s="8">
        <v>0</v>
      </c>
      <c r="AA4698" s="7">
        <v>46020</v>
      </c>
      <c r="AC4698" s="8">
        <v>0</v>
      </c>
      <c r="AE4698" s="7">
        <v>46045</v>
      </c>
      <c r="AF4698" s="8">
        <v>0</v>
      </c>
      <c r="AH4698" s="7">
        <v>46045</v>
      </c>
      <c r="AI4698" s="7">
        <v>46043</v>
      </c>
      <c r="AN4698" s="8">
        <v>0</v>
      </c>
      <c r="AO4698" s="8">
        <v>24</v>
      </c>
    </row>
    <row r="4699" spans="1:41" x14ac:dyDescent="0.25">
      <c r="A4699" s="6" t="str">
        <f>"525-2025000594"</f>
        <v>525-2025000594</v>
      </c>
      <c r="B4699" s="6" t="str">
        <f t="shared" si="1230"/>
        <v>Lasa Int</v>
      </c>
      <c r="C4699" s="7">
        <v>45987</v>
      </c>
      <c r="D4699" s="7">
        <v>46112</v>
      </c>
      <c r="E4699" s="8">
        <v>2</v>
      </c>
      <c r="F4699" s="6" t="str">
        <f>"Cool"</f>
        <v>Cool</v>
      </c>
      <c r="G4699" s="6" t="str">
        <f>"R702284130000000"</f>
        <v>R702284130000000</v>
      </c>
      <c r="H4699" s="6" t="str">
        <f>"R 2841 - Ketten - 30"</f>
        <v>R 2841 - Ketten - 30</v>
      </c>
      <c r="I4699" s="6" t="str">
        <f t="shared" si="1245"/>
        <v>3073</v>
      </c>
      <c r="J4699" s="6" t="str">
        <f t="shared" si="1246"/>
        <v>CINZA 3073</v>
      </c>
      <c r="K4699" s="6" t="str">
        <f>"5004"</f>
        <v>5004</v>
      </c>
      <c r="L4699" s="6" t="str">
        <f t="shared" si="1244"/>
        <v>Roupões Adulto</v>
      </c>
      <c r="M4699" s="6" t="str">
        <f>"M"</f>
        <v>M</v>
      </c>
      <c r="N4699" s="6" t="str">
        <f>"5602972782240"</f>
        <v>5602972782240</v>
      </c>
      <c r="O4699" s="8">
        <v>36</v>
      </c>
      <c r="P4699" s="7">
        <v>45987</v>
      </c>
      <c r="R4699" s="8">
        <v>0</v>
      </c>
      <c r="S4699" s="7">
        <v>45993</v>
      </c>
      <c r="U4699" s="8">
        <v>0</v>
      </c>
      <c r="V4699" s="7">
        <v>46003</v>
      </c>
      <c r="X4699" s="8">
        <v>0</v>
      </c>
      <c r="Z4699" s="8">
        <v>0</v>
      </c>
      <c r="AA4699" s="7">
        <v>46020</v>
      </c>
      <c r="AC4699" s="8">
        <v>0</v>
      </c>
      <c r="AE4699" s="7">
        <v>46045</v>
      </c>
      <c r="AF4699" s="8">
        <v>0</v>
      </c>
      <c r="AH4699" s="7">
        <v>46045</v>
      </c>
      <c r="AI4699" s="7">
        <v>46043</v>
      </c>
      <c r="AN4699" s="8">
        <v>0</v>
      </c>
      <c r="AO4699" s="8">
        <v>36</v>
      </c>
    </row>
    <row r="4700" spans="1:41" x14ac:dyDescent="0.25">
      <c r="A4700" s="6" t="str">
        <f>"525-2025000594"</f>
        <v>525-2025000594</v>
      </c>
      <c r="B4700" s="6" t="str">
        <f t="shared" si="1230"/>
        <v>Lasa Int</v>
      </c>
      <c r="C4700" s="7">
        <v>45987</v>
      </c>
      <c r="D4700" s="7">
        <v>46112</v>
      </c>
      <c r="E4700" s="8">
        <v>3</v>
      </c>
      <c r="F4700" s="6" t="str">
        <f>"Cool"</f>
        <v>Cool</v>
      </c>
      <c r="G4700" s="6" t="str">
        <f>"R702284130000000"</f>
        <v>R702284130000000</v>
      </c>
      <c r="H4700" s="6" t="str">
        <f>"R 2841 - Ketten - 30"</f>
        <v>R 2841 - Ketten - 30</v>
      </c>
      <c r="I4700" s="6" t="str">
        <f t="shared" si="1245"/>
        <v>3073</v>
      </c>
      <c r="J4700" s="6" t="str">
        <f t="shared" si="1246"/>
        <v>CINZA 3073</v>
      </c>
      <c r="K4700" s="6" t="str">
        <f>"5006"</f>
        <v>5006</v>
      </c>
      <c r="L4700" s="6" t="str">
        <f t="shared" si="1244"/>
        <v>Roupões Adulto</v>
      </c>
      <c r="M4700" s="6" t="str">
        <f>"L"</f>
        <v>L</v>
      </c>
      <c r="N4700" s="6" t="str">
        <f>"5602972782257"</f>
        <v>5602972782257</v>
      </c>
      <c r="O4700" s="8">
        <v>72</v>
      </c>
      <c r="P4700" s="7">
        <v>45987</v>
      </c>
      <c r="R4700" s="8">
        <v>0</v>
      </c>
      <c r="S4700" s="7">
        <v>45993</v>
      </c>
      <c r="U4700" s="8">
        <v>0</v>
      </c>
      <c r="V4700" s="7">
        <v>46003</v>
      </c>
      <c r="X4700" s="8">
        <v>0</v>
      </c>
      <c r="Z4700" s="8">
        <v>0</v>
      </c>
      <c r="AA4700" s="7">
        <v>46020</v>
      </c>
      <c r="AC4700" s="8">
        <v>0</v>
      </c>
      <c r="AE4700" s="7">
        <v>46045</v>
      </c>
      <c r="AF4700" s="8">
        <v>0</v>
      </c>
      <c r="AH4700" s="7">
        <v>46045</v>
      </c>
      <c r="AI4700" s="7">
        <v>46043</v>
      </c>
      <c r="AN4700" s="8">
        <v>0</v>
      </c>
      <c r="AO4700" s="8">
        <v>72</v>
      </c>
    </row>
    <row r="4701" spans="1:41" x14ac:dyDescent="0.25">
      <c r="A4701" s="6" t="str">
        <f>"525-2025000594"</f>
        <v>525-2025000594</v>
      </c>
      <c r="B4701" s="6" t="str">
        <f t="shared" si="1230"/>
        <v>Lasa Int</v>
      </c>
      <c r="C4701" s="7">
        <v>45987</v>
      </c>
      <c r="D4701" s="7">
        <v>46112</v>
      </c>
      <c r="E4701" s="8">
        <v>4</v>
      </c>
      <c r="F4701" s="6" t="str">
        <f>"Cool"</f>
        <v>Cool</v>
      </c>
      <c r="G4701" s="6" t="str">
        <f>"R702284130000000"</f>
        <v>R702284130000000</v>
      </c>
      <c r="H4701" s="6" t="str">
        <f>"R 2841 - Ketten - 30"</f>
        <v>R 2841 - Ketten - 30</v>
      </c>
      <c r="I4701" s="6" t="str">
        <f t="shared" si="1245"/>
        <v>3073</v>
      </c>
      <c r="J4701" s="6" t="str">
        <f t="shared" si="1246"/>
        <v>CINZA 3073</v>
      </c>
      <c r="K4701" s="6" t="str">
        <f>"5008"</f>
        <v>5008</v>
      </c>
      <c r="L4701" s="6" t="str">
        <f t="shared" si="1244"/>
        <v>Roupões Adulto</v>
      </c>
      <c r="M4701" s="6" t="str">
        <f>"XL"</f>
        <v>XL</v>
      </c>
      <c r="N4701" s="6" t="str">
        <f>"5602972782264"</f>
        <v>5602972782264</v>
      </c>
      <c r="O4701" s="8">
        <v>72</v>
      </c>
      <c r="P4701" s="7">
        <v>45987</v>
      </c>
      <c r="R4701" s="8">
        <v>0</v>
      </c>
      <c r="S4701" s="7">
        <v>45993</v>
      </c>
      <c r="U4701" s="8">
        <v>0</v>
      </c>
      <c r="V4701" s="7">
        <v>46003</v>
      </c>
      <c r="X4701" s="8">
        <v>0</v>
      </c>
      <c r="Z4701" s="8">
        <v>0</v>
      </c>
      <c r="AA4701" s="7">
        <v>46020</v>
      </c>
      <c r="AC4701" s="8">
        <v>0</v>
      </c>
      <c r="AE4701" s="7">
        <v>46045</v>
      </c>
      <c r="AF4701" s="8">
        <v>0</v>
      </c>
      <c r="AH4701" s="7">
        <v>46045</v>
      </c>
      <c r="AI4701" s="7">
        <v>46043</v>
      </c>
      <c r="AN4701" s="8">
        <v>0</v>
      </c>
      <c r="AO4701" s="8">
        <v>72</v>
      </c>
    </row>
    <row r="4702" spans="1:41" x14ac:dyDescent="0.25">
      <c r="A4702" s="6" t="str">
        <f>"525-2025000594"</f>
        <v>525-2025000594</v>
      </c>
      <c r="B4702" s="6" t="str">
        <f t="shared" si="1230"/>
        <v>Lasa Int</v>
      </c>
      <c r="C4702" s="7">
        <v>45987</v>
      </c>
      <c r="D4702" s="7">
        <v>46112</v>
      </c>
      <c r="E4702" s="8">
        <v>5</v>
      </c>
      <c r="F4702" s="6" t="str">
        <f>"Cool"</f>
        <v>Cool</v>
      </c>
      <c r="G4702" s="6" t="str">
        <f>"R702284130000000"</f>
        <v>R702284130000000</v>
      </c>
      <c r="H4702" s="6" t="str">
        <f>"R 2841 - Ketten - 30"</f>
        <v>R 2841 - Ketten - 30</v>
      </c>
      <c r="I4702" s="6" t="str">
        <f t="shared" si="1245"/>
        <v>3073</v>
      </c>
      <c r="J4702" s="6" t="str">
        <f t="shared" si="1246"/>
        <v>CINZA 3073</v>
      </c>
      <c r="K4702" s="6" t="str">
        <f>"5010"</f>
        <v>5010</v>
      </c>
      <c r="L4702" s="6" t="str">
        <f t="shared" si="1244"/>
        <v>Roupões Adulto</v>
      </c>
      <c r="M4702" s="6" t="str">
        <f>"XXL"</f>
        <v>XXL</v>
      </c>
      <c r="N4702" s="6" t="str">
        <f>"5602972792355"</f>
        <v>5602972792355</v>
      </c>
      <c r="O4702" s="8">
        <v>36</v>
      </c>
      <c r="P4702" s="7">
        <v>45987</v>
      </c>
      <c r="R4702" s="8">
        <v>0</v>
      </c>
      <c r="S4702" s="7">
        <v>45993</v>
      </c>
      <c r="U4702" s="8">
        <v>0</v>
      </c>
      <c r="V4702" s="7">
        <v>46003</v>
      </c>
      <c r="X4702" s="8">
        <v>0</v>
      </c>
      <c r="Z4702" s="8">
        <v>0</v>
      </c>
      <c r="AA4702" s="7">
        <v>46020</v>
      </c>
      <c r="AC4702" s="8">
        <v>0</v>
      </c>
      <c r="AE4702" s="7">
        <v>46045</v>
      </c>
      <c r="AF4702" s="8">
        <v>0</v>
      </c>
      <c r="AH4702" s="7">
        <v>46045</v>
      </c>
      <c r="AI4702" s="7">
        <v>46043</v>
      </c>
      <c r="AN4702" s="8">
        <v>0</v>
      </c>
      <c r="AO4702" s="8">
        <v>36</v>
      </c>
    </row>
    <row r="4703" spans="1:41" x14ac:dyDescent="0.25">
      <c r="A4703" s="6" t="str">
        <f t="shared" ref="A4703:A4714" si="1247">"525-2025000595"</f>
        <v>525-2025000595</v>
      </c>
      <c r="B4703" s="6" t="str">
        <f t="shared" si="1230"/>
        <v>Lasa Int</v>
      </c>
      <c r="C4703" s="7">
        <v>45987</v>
      </c>
      <c r="D4703" s="7">
        <v>46065</v>
      </c>
      <c r="E4703" s="8">
        <v>1</v>
      </c>
      <c r="F4703" s="6" t="str">
        <f t="shared" ref="F4703:F4714" si="1248">"PURE R"</f>
        <v>PURE R</v>
      </c>
      <c r="G4703" s="6" t="str">
        <f>"K018000135000000"</f>
        <v>K018000135000000</v>
      </c>
      <c r="H4703" s="6" t="str">
        <f>"Chinelos - LI - 350"</f>
        <v>Chinelos - LI - 350</v>
      </c>
      <c r="I4703" s="6" t="str">
        <f t="shared" si="1245"/>
        <v>3073</v>
      </c>
      <c r="J4703" s="6" t="str">
        <f t="shared" si="1246"/>
        <v>CINZA 3073</v>
      </c>
      <c r="K4703" s="6" t="str">
        <f>"4813"</f>
        <v>4813</v>
      </c>
      <c r="L4703" s="6" t="str">
        <f>"Chinelos"</f>
        <v>Chinelos</v>
      </c>
      <c r="M4703" s="6" t="str">
        <f>"43"</f>
        <v>43</v>
      </c>
      <c r="N4703" s="6" t="str">
        <f>"5602972878097"</f>
        <v>5602972878097</v>
      </c>
      <c r="O4703" s="8">
        <v>60</v>
      </c>
      <c r="P4703" s="7">
        <v>45987</v>
      </c>
      <c r="R4703" s="8">
        <v>0</v>
      </c>
      <c r="S4703" s="7">
        <v>45993</v>
      </c>
      <c r="U4703" s="8">
        <v>0</v>
      </c>
      <c r="V4703" s="7">
        <v>46003</v>
      </c>
      <c r="X4703" s="8">
        <v>0</v>
      </c>
      <c r="Z4703" s="8">
        <v>0</v>
      </c>
      <c r="AA4703" s="7">
        <v>46020</v>
      </c>
      <c r="AC4703" s="8">
        <v>0</v>
      </c>
      <c r="AE4703" s="7">
        <v>46045</v>
      </c>
      <c r="AF4703" s="8">
        <v>0</v>
      </c>
      <c r="AH4703" s="7">
        <v>46045</v>
      </c>
      <c r="AI4703" s="7">
        <v>46043</v>
      </c>
      <c r="AN4703" s="8">
        <v>0</v>
      </c>
      <c r="AO4703" s="8">
        <v>60</v>
      </c>
    </row>
    <row r="4704" spans="1:41" x14ac:dyDescent="0.25">
      <c r="A4704" s="6" t="str">
        <f t="shared" si="1247"/>
        <v>525-2025000595</v>
      </c>
      <c r="B4704" s="6" t="str">
        <f t="shared" si="1230"/>
        <v>Lasa Int</v>
      </c>
      <c r="C4704" s="7">
        <v>45987</v>
      </c>
      <c r="D4704" s="7">
        <v>46065</v>
      </c>
      <c r="E4704" s="8">
        <v>2</v>
      </c>
      <c r="F4704" s="6" t="str">
        <f t="shared" si="1248"/>
        <v>PURE R</v>
      </c>
      <c r="G4704" s="6" t="str">
        <f>"R010000635000000"</f>
        <v>R010000635000000</v>
      </c>
      <c r="H4704" s="6" t="str">
        <f>"Alexis Cotoral Pure"</f>
        <v>Alexis Cotoral Pure</v>
      </c>
      <c r="I4704" s="6" t="str">
        <f t="shared" si="1245"/>
        <v>3073</v>
      </c>
      <c r="J4704" s="6" t="str">
        <f t="shared" si="1246"/>
        <v>CINZA 3073</v>
      </c>
      <c r="K4704" s="6" t="str">
        <f>"5004"</f>
        <v>5004</v>
      </c>
      <c r="L4704" s="6" t="str">
        <f t="shared" ref="L4704:L4714" si="1249">"Roupões Adulto"</f>
        <v>Roupões Adulto</v>
      </c>
      <c r="M4704" s="6" t="str">
        <f>"M"</f>
        <v>M</v>
      </c>
      <c r="N4704" s="6" t="str">
        <f>"5602972878042"</f>
        <v>5602972878042</v>
      </c>
      <c r="O4704" s="8">
        <v>60</v>
      </c>
      <c r="P4704" s="7">
        <v>45987</v>
      </c>
      <c r="R4704" s="8">
        <v>0</v>
      </c>
      <c r="S4704" s="7">
        <v>45993</v>
      </c>
      <c r="U4704" s="8">
        <v>0</v>
      </c>
      <c r="V4704" s="7">
        <v>46003</v>
      </c>
      <c r="X4704" s="8">
        <v>0</v>
      </c>
      <c r="Z4704" s="8">
        <v>0</v>
      </c>
      <c r="AA4704" s="7">
        <v>46020</v>
      </c>
      <c r="AC4704" s="8">
        <v>0</v>
      </c>
      <c r="AE4704" s="7">
        <v>46045</v>
      </c>
      <c r="AF4704" s="8">
        <v>0</v>
      </c>
      <c r="AH4704" s="7">
        <v>46045</v>
      </c>
      <c r="AI4704" s="7">
        <v>46043</v>
      </c>
      <c r="AN4704" s="8">
        <v>0</v>
      </c>
      <c r="AO4704" s="8">
        <v>60</v>
      </c>
    </row>
    <row r="4705" spans="1:41" x14ac:dyDescent="0.25">
      <c r="A4705" s="6" t="str">
        <f t="shared" si="1247"/>
        <v>525-2025000595</v>
      </c>
      <c r="B4705" s="6" t="str">
        <f t="shared" si="1230"/>
        <v>Lasa Int</v>
      </c>
      <c r="C4705" s="7">
        <v>45987</v>
      </c>
      <c r="D4705" s="7">
        <v>46065</v>
      </c>
      <c r="E4705" s="8">
        <v>3</v>
      </c>
      <c r="F4705" s="6" t="str">
        <f t="shared" si="1248"/>
        <v>PURE R</v>
      </c>
      <c r="G4705" s="6" t="str">
        <f>"R120195738500000"</f>
        <v>R120195738500000</v>
      </c>
      <c r="H4705" s="6" t="str">
        <f>"R 1957 - Ketten PURE"</f>
        <v>R 1957 - Ketten PURE</v>
      </c>
      <c r="I4705" s="6" t="str">
        <f t="shared" si="1245"/>
        <v>3073</v>
      </c>
      <c r="J4705" s="6" t="str">
        <f t="shared" si="1246"/>
        <v>CINZA 3073</v>
      </c>
      <c r="K4705" s="6" t="str">
        <f>"5010"</f>
        <v>5010</v>
      </c>
      <c r="L4705" s="6" t="str">
        <f t="shared" si="1249"/>
        <v>Roupões Adulto</v>
      </c>
      <c r="M4705" s="6" t="str">
        <f>"XXL"</f>
        <v>XXL</v>
      </c>
      <c r="N4705" s="6" t="str">
        <f>"5605247591752"</f>
        <v>5605247591752</v>
      </c>
      <c r="O4705" s="8">
        <v>12</v>
      </c>
      <c r="P4705" s="7">
        <v>45987</v>
      </c>
      <c r="R4705" s="8">
        <v>0</v>
      </c>
      <c r="S4705" s="7">
        <v>45993</v>
      </c>
      <c r="U4705" s="8">
        <v>0</v>
      </c>
      <c r="V4705" s="7">
        <v>46003</v>
      </c>
      <c r="X4705" s="8">
        <v>0</v>
      </c>
      <c r="Z4705" s="8">
        <v>0</v>
      </c>
      <c r="AA4705" s="7">
        <v>46020</v>
      </c>
      <c r="AC4705" s="8">
        <v>0</v>
      </c>
      <c r="AE4705" s="7">
        <v>46045</v>
      </c>
      <c r="AF4705" s="8">
        <v>0</v>
      </c>
      <c r="AH4705" s="7">
        <v>46045</v>
      </c>
      <c r="AI4705" s="7">
        <v>46043</v>
      </c>
      <c r="AN4705" s="8">
        <v>0</v>
      </c>
      <c r="AO4705" s="8">
        <v>12</v>
      </c>
    </row>
    <row r="4706" spans="1:41" x14ac:dyDescent="0.25">
      <c r="A4706" s="6" t="str">
        <f t="shared" si="1247"/>
        <v>525-2025000595</v>
      </c>
      <c r="B4706" s="6" t="str">
        <f t="shared" ref="B4706:B4737" si="1250">"Lasa Int"</f>
        <v>Lasa Int</v>
      </c>
      <c r="C4706" s="7">
        <v>45987</v>
      </c>
      <c r="D4706" s="7">
        <v>46065</v>
      </c>
      <c r="E4706" s="8">
        <v>4</v>
      </c>
      <c r="F4706" s="6" t="str">
        <f t="shared" si="1248"/>
        <v>PURE R</v>
      </c>
      <c r="G4706" s="6" t="str">
        <f>"R120203038500000"</f>
        <v>R120203038500000</v>
      </c>
      <c r="H4706" s="6" t="str">
        <f>"R 2030 - Ketten PURE"</f>
        <v>R 2030 - Ketten PURE</v>
      </c>
      <c r="I4706" s="6" t="str">
        <f t="shared" si="1245"/>
        <v>3073</v>
      </c>
      <c r="J4706" s="6" t="str">
        <f t="shared" si="1246"/>
        <v>CINZA 3073</v>
      </c>
      <c r="K4706" s="6" t="str">
        <f>"5001"</f>
        <v>5001</v>
      </c>
      <c r="L4706" s="6" t="str">
        <f t="shared" si="1249"/>
        <v>Roupões Adulto</v>
      </c>
      <c r="M4706" s="6" t="str">
        <f>"XS"</f>
        <v>XS</v>
      </c>
      <c r="N4706" s="6" t="str">
        <f>"5605247635937"</f>
        <v>5605247635937</v>
      </c>
      <c r="O4706" s="8">
        <v>12</v>
      </c>
      <c r="P4706" s="7">
        <v>45987</v>
      </c>
      <c r="R4706" s="8">
        <v>0</v>
      </c>
      <c r="S4706" s="7">
        <v>45993</v>
      </c>
      <c r="U4706" s="8">
        <v>0</v>
      </c>
      <c r="V4706" s="7">
        <v>46003</v>
      </c>
      <c r="X4706" s="8">
        <v>0</v>
      </c>
      <c r="Z4706" s="8">
        <v>0</v>
      </c>
      <c r="AA4706" s="7">
        <v>46020</v>
      </c>
      <c r="AC4706" s="8">
        <v>0</v>
      </c>
      <c r="AE4706" s="7">
        <v>46045</v>
      </c>
      <c r="AF4706" s="8">
        <v>0</v>
      </c>
      <c r="AH4706" s="7">
        <v>46045</v>
      </c>
      <c r="AI4706" s="7">
        <v>46043</v>
      </c>
      <c r="AN4706" s="8">
        <v>0</v>
      </c>
      <c r="AO4706" s="8">
        <v>12</v>
      </c>
    </row>
    <row r="4707" spans="1:41" x14ac:dyDescent="0.25">
      <c r="A4707" s="6" t="str">
        <f t="shared" si="1247"/>
        <v>525-2025000595</v>
      </c>
      <c r="B4707" s="6" t="str">
        <f t="shared" si="1250"/>
        <v>Lasa Int</v>
      </c>
      <c r="C4707" s="7">
        <v>45987</v>
      </c>
      <c r="D4707" s="7">
        <v>46065</v>
      </c>
      <c r="E4707" s="8">
        <v>5</v>
      </c>
      <c r="F4707" s="6" t="str">
        <f t="shared" si="1248"/>
        <v>PURE R</v>
      </c>
      <c r="G4707" s="6" t="str">
        <f>"R120203038500000"</f>
        <v>R120203038500000</v>
      </c>
      <c r="H4707" s="6" t="str">
        <f>"R 2030 - Ketten PURE"</f>
        <v>R 2030 - Ketten PURE</v>
      </c>
      <c r="I4707" s="6" t="str">
        <f t="shared" si="1245"/>
        <v>3073</v>
      </c>
      <c r="J4707" s="6" t="str">
        <f t="shared" si="1246"/>
        <v>CINZA 3073</v>
      </c>
      <c r="K4707" s="6" t="str">
        <f>"5002"</f>
        <v>5002</v>
      </c>
      <c r="L4707" s="6" t="str">
        <f t="shared" si="1249"/>
        <v>Roupões Adulto</v>
      </c>
      <c r="M4707" s="6" t="str">
        <f>"S"</f>
        <v>S</v>
      </c>
      <c r="N4707" s="6" t="str">
        <f>"5605247635944"</f>
        <v>5605247635944</v>
      </c>
      <c r="O4707" s="8">
        <v>24</v>
      </c>
      <c r="P4707" s="7">
        <v>45987</v>
      </c>
      <c r="R4707" s="8">
        <v>0</v>
      </c>
      <c r="S4707" s="7">
        <v>45993</v>
      </c>
      <c r="U4707" s="8">
        <v>810</v>
      </c>
      <c r="V4707" s="7">
        <v>46003</v>
      </c>
      <c r="X4707" s="8">
        <v>810</v>
      </c>
      <c r="Z4707" s="8">
        <v>0</v>
      </c>
      <c r="AA4707" s="7">
        <v>46020</v>
      </c>
      <c r="AC4707" s="8">
        <v>0</v>
      </c>
      <c r="AE4707" s="7">
        <v>46045</v>
      </c>
      <c r="AF4707" s="8">
        <v>0</v>
      </c>
      <c r="AH4707" s="7">
        <v>46045</v>
      </c>
      <c r="AI4707" s="7">
        <v>46043</v>
      </c>
      <c r="AN4707" s="8">
        <v>0</v>
      </c>
      <c r="AO4707" s="8">
        <v>24</v>
      </c>
    </row>
    <row r="4708" spans="1:41" x14ac:dyDescent="0.25">
      <c r="A4708" s="6" t="str">
        <f t="shared" si="1247"/>
        <v>525-2025000595</v>
      </c>
      <c r="B4708" s="6" t="str">
        <f t="shared" si="1250"/>
        <v>Lasa Int</v>
      </c>
      <c r="C4708" s="7">
        <v>45987</v>
      </c>
      <c r="D4708" s="7">
        <v>46065</v>
      </c>
      <c r="E4708" s="8">
        <v>6</v>
      </c>
      <c r="F4708" s="6" t="str">
        <f t="shared" si="1248"/>
        <v>PURE R</v>
      </c>
      <c r="G4708" s="6" t="str">
        <f>"R120203038500000"</f>
        <v>R120203038500000</v>
      </c>
      <c r="H4708" s="6" t="str">
        <f>"R 2030 - Ketten PURE"</f>
        <v>R 2030 - Ketten PURE</v>
      </c>
      <c r="I4708" s="6" t="str">
        <f t="shared" si="1245"/>
        <v>3073</v>
      </c>
      <c r="J4708" s="6" t="str">
        <f t="shared" si="1246"/>
        <v>CINZA 3073</v>
      </c>
      <c r="K4708" s="6" t="str">
        <f>"5004"</f>
        <v>5004</v>
      </c>
      <c r="L4708" s="6" t="str">
        <f t="shared" si="1249"/>
        <v>Roupões Adulto</v>
      </c>
      <c r="M4708" s="6" t="str">
        <f>"M"</f>
        <v>M</v>
      </c>
      <c r="N4708" s="6" t="str">
        <f>"5605247635951"</f>
        <v>5605247635951</v>
      </c>
      <c r="O4708" s="8">
        <v>36</v>
      </c>
      <c r="P4708" s="7">
        <v>45987</v>
      </c>
      <c r="R4708" s="8">
        <v>0</v>
      </c>
      <c r="S4708" s="7">
        <v>45993</v>
      </c>
      <c r="U4708" s="8">
        <v>0</v>
      </c>
      <c r="V4708" s="7">
        <v>46003</v>
      </c>
      <c r="X4708" s="8">
        <v>0</v>
      </c>
      <c r="Z4708" s="8">
        <v>0</v>
      </c>
      <c r="AA4708" s="7">
        <v>46020</v>
      </c>
      <c r="AC4708" s="8">
        <v>0</v>
      </c>
      <c r="AE4708" s="7">
        <v>46045</v>
      </c>
      <c r="AF4708" s="8">
        <v>0</v>
      </c>
      <c r="AH4708" s="7">
        <v>46045</v>
      </c>
      <c r="AI4708" s="7">
        <v>46043</v>
      </c>
      <c r="AN4708" s="8">
        <v>0</v>
      </c>
      <c r="AO4708" s="8">
        <v>36</v>
      </c>
    </row>
    <row r="4709" spans="1:41" x14ac:dyDescent="0.25">
      <c r="A4709" s="6" t="str">
        <f t="shared" si="1247"/>
        <v>525-2025000595</v>
      </c>
      <c r="B4709" s="6" t="str">
        <f t="shared" si="1250"/>
        <v>Lasa Int</v>
      </c>
      <c r="C4709" s="7">
        <v>45987</v>
      </c>
      <c r="D4709" s="7">
        <v>46065</v>
      </c>
      <c r="E4709" s="8">
        <v>7</v>
      </c>
      <c r="F4709" s="6" t="str">
        <f t="shared" si="1248"/>
        <v>PURE R</v>
      </c>
      <c r="G4709" s="6" t="str">
        <f>"R120203038500000"</f>
        <v>R120203038500000</v>
      </c>
      <c r="H4709" s="6" t="str">
        <f>"R 2030 - Ketten PURE"</f>
        <v>R 2030 - Ketten PURE</v>
      </c>
      <c r="I4709" s="6" t="str">
        <f t="shared" si="1245"/>
        <v>3073</v>
      </c>
      <c r="J4709" s="6" t="str">
        <f t="shared" si="1246"/>
        <v>CINZA 3073</v>
      </c>
      <c r="K4709" s="6" t="str">
        <f>"5006"</f>
        <v>5006</v>
      </c>
      <c r="L4709" s="6" t="str">
        <f t="shared" si="1249"/>
        <v>Roupões Adulto</v>
      </c>
      <c r="M4709" s="6" t="str">
        <f>"L"</f>
        <v>L</v>
      </c>
      <c r="N4709" s="6" t="str">
        <f>"5605247635968"</f>
        <v>5605247635968</v>
      </c>
      <c r="O4709" s="8">
        <v>24</v>
      </c>
      <c r="P4709" s="7">
        <v>45987</v>
      </c>
      <c r="R4709" s="8">
        <v>0</v>
      </c>
      <c r="S4709" s="7">
        <v>45993</v>
      </c>
      <c r="U4709" s="8">
        <v>0</v>
      </c>
      <c r="V4709" s="7">
        <v>46003</v>
      </c>
      <c r="X4709" s="8">
        <v>0</v>
      </c>
      <c r="Z4709" s="8">
        <v>0</v>
      </c>
      <c r="AA4709" s="7">
        <v>46020</v>
      </c>
      <c r="AC4709" s="8">
        <v>0</v>
      </c>
      <c r="AE4709" s="7">
        <v>46045</v>
      </c>
      <c r="AF4709" s="8">
        <v>0</v>
      </c>
      <c r="AH4709" s="7">
        <v>46045</v>
      </c>
      <c r="AI4709" s="7">
        <v>46043</v>
      </c>
      <c r="AN4709" s="8">
        <v>0</v>
      </c>
      <c r="AO4709" s="8">
        <v>24</v>
      </c>
    </row>
    <row r="4710" spans="1:41" x14ac:dyDescent="0.25">
      <c r="A4710" s="6" t="str">
        <f t="shared" si="1247"/>
        <v>525-2025000595</v>
      </c>
      <c r="B4710" s="6" t="str">
        <f t="shared" si="1250"/>
        <v>Lasa Int</v>
      </c>
      <c r="C4710" s="7">
        <v>45987</v>
      </c>
      <c r="D4710" s="7">
        <v>46065</v>
      </c>
      <c r="E4710" s="8">
        <v>8</v>
      </c>
      <c r="F4710" s="6" t="str">
        <f t="shared" si="1248"/>
        <v>PURE R</v>
      </c>
      <c r="G4710" s="6" t="str">
        <f>"R120203038500000"</f>
        <v>R120203038500000</v>
      </c>
      <c r="H4710" s="6" t="str">
        <f>"R 2030 - Ketten PURE"</f>
        <v>R 2030 - Ketten PURE</v>
      </c>
      <c r="I4710" s="6" t="str">
        <f t="shared" si="1245"/>
        <v>3073</v>
      </c>
      <c r="J4710" s="6" t="str">
        <f t="shared" si="1246"/>
        <v>CINZA 3073</v>
      </c>
      <c r="K4710" s="6" t="str">
        <f>"5008"</f>
        <v>5008</v>
      </c>
      <c r="L4710" s="6" t="str">
        <f t="shared" si="1249"/>
        <v>Roupões Adulto</v>
      </c>
      <c r="M4710" s="6" t="str">
        <f>"XL"</f>
        <v>XL</v>
      </c>
      <c r="N4710" s="6" t="str">
        <f>"5605247635975"</f>
        <v>5605247635975</v>
      </c>
      <c r="O4710" s="8">
        <v>18</v>
      </c>
      <c r="P4710" s="7">
        <v>45987</v>
      </c>
      <c r="R4710" s="8">
        <v>0</v>
      </c>
      <c r="S4710" s="7">
        <v>45993</v>
      </c>
      <c r="U4710" s="8">
        <v>0</v>
      </c>
      <c r="V4710" s="7">
        <v>46003</v>
      </c>
      <c r="X4710" s="8">
        <v>0</v>
      </c>
      <c r="Z4710" s="8">
        <v>0</v>
      </c>
      <c r="AA4710" s="7">
        <v>46020</v>
      </c>
      <c r="AC4710" s="8">
        <v>0</v>
      </c>
      <c r="AE4710" s="7">
        <v>46045</v>
      </c>
      <c r="AF4710" s="8">
        <v>0</v>
      </c>
      <c r="AH4710" s="7">
        <v>46045</v>
      </c>
      <c r="AI4710" s="7">
        <v>46043</v>
      </c>
      <c r="AN4710" s="8">
        <v>0</v>
      </c>
      <c r="AO4710" s="8">
        <v>18</v>
      </c>
    </row>
    <row r="4711" spans="1:41" x14ac:dyDescent="0.25">
      <c r="A4711" s="6" t="str">
        <f t="shared" si="1247"/>
        <v>525-2025000595</v>
      </c>
      <c r="B4711" s="6" t="str">
        <f t="shared" si="1250"/>
        <v>Lasa Int</v>
      </c>
      <c r="C4711" s="7">
        <v>45987</v>
      </c>
      <c r="D4711" s="7">
        <v>46065</v>
      </c>
      <c r="E4711" s="8">
        <v>9</v>
      </c>
      <c r="F4711" s="6" t="str">
        <f t="shared" si="1248"/>
        <v>PURE R</v>
      </c>
      <c r="G4711" s="6" t="str">
        <f>"R120327038500000"</f>
        <v>R120327038500000</v>
      </c>
      <c r="H4711" s="6" t="str">
        <f>"R 3270 - PURE Capuz"</f>
        <v>R 3270 - PURE Capuz</v>
      </c>
      <c r="I4711" s="6" t="str">
        <f t="shared" si="1245"/>
        <v>3073</v>
      </c>
      <c r="J4711" s="6" t="str">
        <f t="shared" si="1246"/>
        <v>CINZA 3073</v>
      </c>
      <c r="K4711" s="6" t="str">
        <f>"5002"</f>
        <v>5002</v>
      </c>
      <c r="L4711" s="6" t="str">
        <f t="shared" si="1249"/>
        <v>Roupões Adulto</v>
      </c>
      <c r="M4711" s="6" t="str">
        <f>"S"</f>
        <v>S</v>
      </c>
      <c r="N4711" s="6" t="str">
        <f>"5602972645453"</f>
        <v>5602972645453</v>
      </c>
      <c r="O4711" s="8">
        <v>12</v>
      </c>
      <c r="P4711" s="7">
        <v>45987</v>
      </c>
      <c r="R4711" s="8">
        <v>0</v>
      </c>
      <c r="S4711" s="7">
        <v>45993</v>
      </c>
      <c r="U4711" s="8">
        <v>0</v>
      </c>
      <c r="V4711" s="7">
        <v>46003</v>
      </c>
      <c r="X4711" s="8">
        <v>0</v>
      </c>
      <c r="Z4711" s="8">
        <v>0</v>
      </c>
      <c r="AA4711" s="7">
        <v>46020</v>
      </c>
      <c r="AC4711" s="8">
        <v>0</v>
      </c>
      <c r="AE4711" s="7">
        <v>46045</v>
      </c>
      <c r="AF4711" s="8">
        <v>0</v>
      </c>
      <c r="AH4711" s="7">
        <v>46045</v>
      </c>
      <c r="AI4711" s="7">
        <v>46043</v>
      </c>
      <c r="AN4711" s="8">
        <v>0</v>
      </c>
      <c r="AO4711" s="8">
        <v>12</v>
      </c>
    </row>
    <row r="4712" spans="1:41" x14ac:dyDescent="0.25">
      <c r="A4712" s="6" t="str">
        <f t="shared" si="1247"/>
        <v>525-2025000595</v>
      </c>
      <c r="B4712" s="6" t="str">
        <f t="shared" si="1250"/>
        <v>Lasa Int</v>
      </c>
      <c r="C4712" s="7">
        <v>45987</v>
      </c>
      <c r="D4712" s="7">
        <v>46065</v>
      </c>
      <c r="E4712" s="8">
        <v>10</v>
      </c>
      <c r="F4712" s="6" t="str">
        <f t="shared" si="1248"/>
        <v>PURE R</v>
      </c>
      <c r="G4712" s="6" t="str">
        <f>"R120327038500000"</f>
        <v>R120327038500000</v>
      </c>
      <c r="H4712" s="6" t="str">
        <f>"R 3270 - PURE Capuz"</f>
        <v>R 3270 - PURE Capuz</v>
      </c>
      <c r="I4712" s="6" t="str">
        <f t="shared" si="1245"/>
        <v>3073</v>
      </c>
      <c r="J4712" s="6" t="str">
        <f t="shared" si="1246"/>
        <v>CINZA 3073</v>
      </c>
      <c r="K4712" s="6" t="str">
        <f>"5004"</f>
        <v>5004</v>
      </c>
      <c r="L4712" s="6" t="str">
        <f t="shared" si="1249"/>
        <v>Roupões Adulto</v>
      </c>
      <c r="M4712" s="6" t="str">
        <f>"M"</f>
        <v>M</v>
      </c>
      <c r="N4712" s="6" t="str">
        <f>"5602972645460"</f>
        <v>5602972645460</v>
      </c>
      <c r="O4712" s="8">
        <v>12</v>
      </c>
      <c r="P4712" s="7">
        <v>45987</v>
      </c>
      <c r="R4712" s="8">
        <v>0</v>
      </c>
      <c r="S4712" s="7">
        <v>45993</v>
      </c>
      <c r="U4712" s="8">
        <v>0</v>
      </c>
      <c r="V4712" s="7">
        <v>46003</v>
      </c>
      <c r="X4712" s="8">
        <v>0</v>
      </c>
      <c r="Z4712" s="8">
        <v>0</v>
      </c>
      <c r="AA4712" s="7">
        <v>46020</v>
      </c>
      <c r="AC4712" s="8">
        <v>0</v>
      </c>
      <c r="AE4712" s="7">
        <v>46045</v>
      </c>
      <c r="AF4712" s="8">
        <v>0</v>
      </c>
      <c r="AH4712" s="7">
        <v>46045</v>
      </c>
      <c r="AI4712" s="7">
        <v>46043</v>
      </c>
      <c r="AN4712" s="8">
        <v>0</v>
      </c>
      <c r="AO4712" s="8">
        <v>12</v>
      </c>
    </row>
    <row r="4713" spans="1:41" x14ac:dyDescent="0.25">
      <c r="A4713" s="6" t="str">
        <f t="shared" si="1247"/>
        <v>525-2025000595</v>
      </c>
      <c r="B4713" s="6" t="str">
        <f t="shared" si="1250"/>
        <v>Lasa Int</v>
      </c>
      <c r="C4713" s="7">
        <v>45987</v>
      </c>
      <c r="D4713" s="7">
        <v>46065</v>
      </c>
      <c r="E4713" s="8">
        <v>11</v>
      </c>
      <c r="F4713" s="6" t="str">
        <f t="shared" si="1248"/>
        <v>PURE R</v>
      </c>
      <c r="G4713" s="6" t="str">
        <f>"R120327038500000"</f>
        <v>R120327038500000</v>
      </c>
      <c r="H4713" s="6" t="str">
        <f>"R 3270 - PURE Capuz"</f>
        <v>R 3270 - PURE Capuz</v>
      </c>
      <c r="I4713" s="6" t="str">
        <f t="shared" si="1245"/>
        <v>3073</v>
      </c>
      <c r="J4713" s="6" t="str">
        <f t="shared" si="1246"/>
        <v>CINZA 3073</v>
      </c>
      <c r="K4713" s="6" t="str">
        <f>"5006"</f>
        <v>5006</v>
      </c>
      <c r="L4713" s="6" t="str">
        <f t="shared" si="1249"/>
        <v>Roupões Adulto</v>
      </c>
      <c r="M4713" s="6" t="str">
        <f>"L"</f>
        <v>L</v>
      </c>
      <c r="N4713" s="6" t="str">
        <f>"5602972645477"</f>
        <v>5602972645477</v>
      </c>
      <c r="O4713" s="8">
        <v>12</v>
      </c>
      <c r="P4713" s="7">
        <v>45987</v>
      </c>
      <c r="R4713" s="8">
        <v>0</v>
      </c>
      <c r="S4713" s="7">
        <v>45993</v>
      </c>
      <c r="U4713" s="8">
        <v>0</v>
      </c>
      <c r="V4713" s="7">
        <v>46003</v>
      </c>
      <c r="X4713" s="8">
        <v>0</v>
      </c>
      <c r="Z4713" s="8">
        <v>0</v>
      </c>
      <c r="AA4713" s="7">
        <v>46020</v>
      </c>
      <c r="AC4713" s="8">
        <v>0</v>
      </c>
      <c r="AE4713" s="7">
        <v>46045</v>
      </c>
      <c r="AF4713" s="8">
        <v>0</v>
      </c>
      <c r="AH4713" s="7">
        <v>46045</v>
      </c>
      <c r="AI4713" s="7">
        <v>46043</v>
      </c>
      <c r="AN4713" s="8">
        <v>0</v>
      </c>
      <c r="AO4713" s="8">
        <v>12</v>
      </c>
    </row>
    <row r="4714" spans="1:41" x14ac:dyDescent="0.25">
      <c r="A4714" s="6" t="str">
        <f t="shared" si="1247"/>
        <v>525-2025000595</v>
      </c>
      <c r="B4714" s="6" t="str">
        <f t="shared" si="1250"/>
        <v>Lasa Int</v>
      </c>
      <c r="C4714" s="7">
        <v>45987</v>
      </c>
      <c r="D4714" s="7">
        <v>46065</v>
      </c>
      <c r="E4714" s="8">
        <v>12</v>
      </c>
      <c r="F4714" s="6" t="str">
        <f t="shared" si="1248"/>
        <v>PURE R</v>
      </c>
      <c r="G4714" s="6" t="str">
        <f>"R120327038500000"</f>
        <v>R120327038500000</v>
      </c>
      <c r="H4714" s="6" t="str">
        <f>"R 3270 - PURE Capuz"</f>
        <v>R 3270 - PURE Capuz</v>
      </c>
      <c r="I4714" s="6" t="str">
        <f t="shared" si="1245"/>
        <v>3073</v>
      </c>
      <c r="J4714" s="6" t="str">
        <f t="shared" si="1246"/>
        <v>CINZA 3073</v>
      </c>
      <c r="K4714" s="6" t="str">
        <f>"5008"</f>
        <v>5008</v>
      </c>
      <c r="L4714" s="6" t="str">
        <f t="shared" si="1249"/>
        <v>Roupões Adulto</v>
      </c>
      <c r="M4714" s="6" t="str">
        <f>"XL"</f>
        <v>XL</v>
      </c>
      <c r="N4714" s="6" t="str">
        <f>"5602972645484"</f>
        <v>5602972645484</v>
      </c>
      <c r="O4714" s="8">
        <v>12</v>
      </c>
      <c r="P4714" s="7">
        <v>45987</v>
      </c>
      <c r="R4714" s="8">
        <v>0</v>
      </c>
      <c r="S4714" s="7">
        <v>45993</v>
      </c>
      <c r="U4714" s="8">
        <v>0</v>
      </c>
      <c r="V4714" s="7">
        <v>46003</v>
      </c>
      <c r="X4714" s="8">
        <v>0</v>
      </c>
      <c r="Z4714" s="8">
        <v>0</v>
      </c>
      <c r="AA4714" s="7">
        <v>46020</v>
      </c>
      <c r="AC4714" s="8">
        <v>0</v>
      </c>
      <c r="AE4714" s="7">
        <v>46045</v>
      </c>
      <c r="AF4714" s="8">
        <v>0</v>
      </c>
      <c r="AH4714" s="7">
        <v>46045</v>
      </c>
      <c r="AI4714" s="7">
        <v>46043</v>
      </c>
      <c r="AN4714" s="8">
        <v>0</v>
      </c>
      <c r="AO4714" s="8">
        <v>12</v>
      </c>
    </row>
    <row r="4715" spans="1:41" x14ac:dyDescent="0.25">
      <c r="A4715" s="6" t="str">
        <f t="shared" ref="A4715:A4746" si="1251">"525-2025000596"</f>
        <v>525-2025000596</v>
      </c>
      <c r="B4715" s="6" t="str">
        <f t="shared" si="1250"/>
        <v>Lasa Int</v>
      </c>
      <c r="C4715" s="7">
        <v>45988</v>
      </c>
      <c r="D4715" s="7">
        <v>46050</v>
      </c>
      <c r="E4715" s="8">
        <v>1</v>
      </c>
      <c r="F4715" s="6" t="str">
        <f t="shared" ref="F4715:F4746" si="1252">"PURE"</f>
        <v>PURE</v>
      </c>
      <c r="G4715" s="6" t="str">
        <f t="shared" ref="G4715:G4759" si="1253">"F100021455000000"</f>
        <v>F100021455000000</v>
      </c>
      <c r="H4715" s="6" t="str">
        <f t="shared" ref="H4715:H4759" si="1254">"FA 214 - PURE - 550"</f>
        <v>FA 214 - PURE - 550</v>
      </c>
      <c r="I4715" s="6" t="str">
        <f>"1"</f>
        <v>1</v>
      </c>
      <c r="J4715" s="6" t="str">
        <f>"BRANCO"</f>
        <v>BRANCO</v>
      </c>
      <c r="K4715" s="6" t="str">
        <f>"0530"</f>
        <v>0530</v>
      </c>
      <c r="L4715" s="6" t="str">
        <f>"Toalhetes"</f>
        <v>Toalhetes</v>
      </c>
      <c r="M4715" s="6" t="str">
        <f>"33x50"</f>
        <v>33x50</v>
      </c>
      <c r="N4715" s="6" t="str">
        <f>"5602972836240"</f>
        <v>5602972836240</v>
      </c>
      <c r="O4715" s="8">
        <v>900</v>
      </c>
      <c r="P4715" s="7">
        <v>45988</v>
      </c>
      <c r="R4715" s="8">
        <v>0</v>
      </c>
      <c r="S4715" s="7">
        <v>45994</v>
      </c>
      <c r="U4715" s="8">
        <v>900</v>
      </c>
      <c r="V4715" s="7">
        <v>46013</v>
      </c>
      <c r="X4715" s="8">
        <v>0</v>
      </c>
      <c r="Z4715" s="8">
        <v>900</v>
      </c>
      <c r="AA4715" s="7">
        <v>46035</v>
      </c>
      <c r="AC4715" s="8">
        <v>0</v>
      </c>
      <c r="AE4715" s="7">
        <v>46045</v>
      </c>
      <c r="AF4715" s="8">
        <v>0</v>
      </c>
      <c r="AH4715" s="7">
        <v>46043</v>
      </c>
      <c r="AI4715" s="7">
        <v>46042</v>
      </c>
      <c r="AN4715" s="8">
        <v>0</v>
      </c>
      <c r="AO4715" s="8">
        <v>900</v>
      </c>
    </row>
    <row r="4716" spans="1:41" x14ac:dyDescent="0.25">
      <c r="A4716" s="6" t="str">
        <f t="shared" si="1251"/>
        <v>525-2025000596</v>
      </c>
      <c r="B4716" s="6" t="str">
        <f t="shared" si="1250"/>
        <v>Lasa Int</v>
      </c>
      <c r="C4716" s="7">
        <v>45988</v>
      </c>
      <c r="D4716" s="7">
        <v>46050</v>
      </c>
      <c r="E4716" s="8">
        <v>2</v>
      </c>
      <c r="F4716" s="6" t="str">
        <f t="shared" si="1252"/>
        <v>PURE</v>
      </c>
      <c r="G4716" s="6" t="str">
        <f t="shared" si="1253"/>
        <v>F100021455000000</v>
      </c>
      <c r="H4716" s="6" t="str">
        <f t="shared" si="1254"/>
        <v>FA 214 - PURE - 550</v>
      </c>
      <c r="I4716" s="6" t="str">
        <f>"1"</f>
        <v>1</v>
      </c>
      <c r="J4716" s="6" t="str">
        <f>"BRANCO"</f>
        <v>BRANCO</v>
      </c>
      <c r="K4716" s="6" t="str">
        <f>"1024"</f>
        <v>1024</v>
      </c>
      <c r="L4716" s="6" t="str">
        <f>"Toalhas"</f>
        <v>Toalhas</v>
      </c>
      <c r="M4716" s="6" t="str">
        <f>"50x100"</f>
        <v>50x100</v>
      </c>
      <c r="N4716" s="6" t="str">
        <f>"5602972836257"</f>
        <v>5602972836257</v>
      </c>
      <c r="O4716" s="8">
        <v>1200</v>
      </c>
      <c r="P4716" s="7">
        <v>45988</v>
      </c>
      <c r="R4716" s="8">
        <v>8396</v>
      </c>
      <c r="S4716" s="7">
        <v>45994</v>
      </c>
      <c r="U4716" s="8">
        <v>1200</v>
      </c>
      <c r="V4716" s="7">
        <v>46013</v>
      </c>
      <c r="X4716" s="8">
        <v>0</v>
      </c>
      <c r="Z4716" s="8">
        <v>1200</v>
      </c>
      <c r="AA4716" s="7">
        <v>46035</v>
      </c>
      <c r="AC4716" s="8">
        <v>600</v>
      </c>
      <c r="AE4716" s="7">
        <v>46045</v>
      </c>
      <c r="AF4716" s="8">
        <v>600</v>
      </c>
      <c r="AH4716" s="7">
        <v>46043</v>
      </c>
      <c r="AI4716" s="7">
        <v>46042</v>
      </c>
      <c r="AN4716" s="8">
        <v>600</v>
      </c>
      <c r="AO4716" s="8">
        <v>600</v>
      </c>
    </row>
    <row r="4717" spans="1:41" x14ac:dyDescent="0.25">
      <c r="A4717" s="6" t="str">
        <f t="shared" si="1251"/>
        <v>525-2025000596</v>
      </c>
      <c r="B4717" s="6" t="str">
        <f t="shared" si="1250"/>
        <v>Lasa Int</v>
      </c>
      <c r="C4717" s="7">
        <v>45988</v>
      </c>
      <c r="D4717" s="7">
        <v>46050</v>
      </c>
      <c r="E4717" s="8">
        <v>3</v>
      </c>
      <c r="F4717" s="6" t="str">
        <f t="shared" si="1252"/>
        <v>PURE</v>
      </c>
      <c r="G4717" s="6" t="str">
        <f t="shared" si="1253"/>
        <v>F100021455000000</v>
      </c>
      <c r="H4717" s="6" t="str">
        <f t="shared" si="1254"/>
        <v>FA 214 - PURE - 550</v>
      </c>
      <c r="I4717" s="6" t="str">
        <f>"1"</f>
        <v>1</v>
      </c>
      <c r="J4717" s="6" t="str">
        <f>"BRANCO"</f>
        <v>BRANCO</v>
      </c>
      <c r="K4717" s="6" t="str">
        <f>"1535"</f>
        <v>1535</v>
      </c>
      <c r="L4717" s="6" t="str">
        <f>"Toalhões"</f>
        <v>Toalhões</v>
      </c>
      <c r="M4717" s="6" t="str">
        <f>"70x140"</f>
        <v>70x140</v>
      </c>
      <c r="N4717" s="6" t="str">
        <f>"5602972836264"</f>
        <v>5602972836264</v>
      </c>
      <c r="O4717" s="8">
        <v>600</v>
      </c>
      <c r="P4717" s="7">
        <v>45988</v>
      </c>
      <c r="R4717" s="8">
        <v>1440</v>
      </c>
      <c r="S4717" s="7">
        <v>45994</v>
      </c>
      <c r="U4717" s="8">
        <v>600</v>
      </c>
      <c r="V4717" s="7">
        <v>46013</v>
      </c>
      <c r="X4717" s="8">
        <v>0</v>
      </c>
      <c r="Z4717" s="8">
        <v>600</v>
      </c>
      <c r="AA4717" s="7">
        <v>46035</v>
      </c>
      <c r="AC4717" s="8">
        <v>0</v>
      </c>
      <c r="AE4717" s="7">
        <v>46045</v>
      </c>
      <c r="AF4717" s="8">
        <v>0</v>
      </c>
      <c r="AH4717" s="7">
        <v>46043</v>
      </c>
      <c r="AI4717" s="7">
        <v>46042</v>
      </c>
      <c r="AN4717" s="8">
        <v>0</v>
      </c>
      <c r="AO4717" s="8">
        <v>600</v>
      </c>
    </row>
    <row r="4718" spans="1:41" x14ac:dyDescent="0.25">
      <c r="A4718" s="6" t="str">
        <f t="shared" si="1251"/>
        <v>525-2025000596</v>
      </c>
      <c r="B4718" s="6" t="str">
        <f t="shared" si="1250"/>
        <v>Lasa Int</v>
      </c>
      <c r="C4718" s="7">
        <v>45988</v>
      </c>
      <c r="D4718" s="7">
        <v>46050</v>
      </c>
      <c r="E4718" s="8">
        <v>4</v>
      </c>
      <c r="F4718" s="6" t="str">
        <f t="shared" si="1252"/>
        <v>PURE</v>
      </c>
      <c r="G4718" s="6" t="str">
        <f t="shared" si="1253"/>
        <v>F100021455000000</v>
      </c>
      <c r="H4718" s="6" t="str">
        <f t="shared" si="1254"/>
        <v>FA 214 - PURE - 550</v>
      </c>
      <c r="I4718" s="6" t="str">
        <f>"1093"</f>
        <v>1093</v>
      </c>
      <c r="J4718" s="6" t="str">
        <f>"AZUL 1093"</f>
        <v>AZUL 1093</v>
      </c>
      <c r="K4718" s="6" t="str">
        <f>"0530"</f>
        <v>0530</v>
      </c>
      <c r="L4718" s="6" t="str">
        <f>"Toalhetes"</f>
        <v>Toalhetes</v>
      </c>
      <c r="M4718" s="6" t="str">
        <f>"33x50"</f>
        <v>33x50</v>
      </c>
      <c r="N4718" s="6" t="str">
        <f>"5602972836844"</f>
        <v>5602972836844</v>
      </c>
      <c r="O4718" s="8">
        <v>450</v>
      </c>
      <c r="P4718" s="7">
        <v>45988</v>
      </c>
      <c r="R4718" s="8">
        <v>0</v>
      </c>
      <c r="S4718" s="7">
        <v>45994</v>
      </c>
      <c r="U4718" s="8">
        <v>450</v>
      </c>
      <c r="V4718" s="7">
        <v>46013</v>
      </c>
      <c r="X4718" s="8">
        <v>0</v>
      </c>
      <c r="Z4718" s="8">
        <v>450</v>
      </c>
      <c r="AA4718" s="7">
        <v>46035</v>
      </c>
      <c r="AC4718" s="8">
        <v>420</v>
      </c>
      <c r="AE4718" s="7">
        <v>46045</v>
      </c>
      <c r="AF4718" s="8">
        <v>420</v>
      </c>
      <c r="AH4718" s="7">
        <v>46043</v>
      </c>
      <c r="AI4718" s="7">
        <v>46042</v>
      </c>
      <c r="AN4718" s="8">
        <v>420</v>
      </c>
      <c r="AO4718" s="8">
        <v>30</v>
      </c>
    </row>
    <row r="4719" spans="1:41" x14ac:dyDescent="0.25">
      <c r="A4719" s="6" t="str">
        <f t="shared" si="1251"/>
        <v>525-2025000596</v>
      </c>
      <c r="B4719" s="6" t="str">
        <f t="shared" si="1250"/>
        <v>Lasa Int</v>
      </c>
      <c r="C4719" s="7">
        <v>45988</v>
      </c>
      <c r="D4719" s="7">
        <v>46050</v>
      </c>
      <c r="E4719" s="8">
        <v>5</v>
      </c>
      <c r="F4719" s="6" t="str">
        <f t="shared" si="1252"/>
        <v>PURE</v>
      </c>
      <c r="G4719" s="6" t="str">
        <f t="shared" si="1253"/>
        <v>F100021455000000</v>
      </c>
      <c r="H4719" s="6" t="str">
        <f t="shared" si="1254"/>
        <v>FA 214 - PURE - 550</v>
      </c>
      <c r="I4719" s="6" t="str">
        <f>"1093"</f>
        <v>1093</v>
      </c>
      <c r="J4719" s="6" t="str">
        <f>"AZUL 1093"</f>
        <v>AZUL 1093</v>
      </c>
      <c r="K4719" s="6" t="str">
        <f>"1024"</f>
        <v>1024</v>
      </c>
      <c r="L4719" s="6" t="str">
        <f>"Toalhas"</f>
        <v>Toalhas</v>
      </c>
      <c r="M4719" s="6" t="str">
        <f>"50x100"</f>
        <v>50x100</v>
      </c>
      <c r="N4719" s="6" t="str">
        <f>"5602972836851"</f>
        <v>5602972836851</v>
      </c>
      <c r="O4719" s="8">
        <v>480</v>
      </c>
      <c r="P4719" s="7">
        <v>45988</v>
      </c>
      <c r="R4719" s="8">
        <v>0</v>
      </c>
      <c r="S4719" s="7">
        <v>45994</v>
      </c>
      <c r="U4719" s="8">
        <v>480</v>
      </c>
      <c r="V4719" s="7">
        <v>46013</v>
      </c>
      <c r="X4719" s="8">
        <v>0</v>
      </c>
      <c r="Z4719" s="8">
        <v>480</v>
      </c>
      <c r="AA4719" s="7">
        <v>46035</v>
      </c>
      <c r="AC4719" s="8">
        <v>468</v>
      </c>
      <c r="AE4719" s="7">
        <v>46045</v>
      </c>
      <c r="AF4719" s="8">
        <v>468</v>
      </c>
      <c r="AH4719" s="7">
        <v>46043</v>
      </c>
      <c r="AI4719" s="7">
        <v>46042</v>
      </c>
      <c r="AN4719" s="8">
        <v>468</v>
      </c>
      <c r="AO4719" s="8">
        <v>12</v>
      </c>
    </row>
    <row r="4720" spans="1:41" x14ac:dyDescent="0.25">
      <c r="A4720" s="6" t="str">
        <f t="shared" si="1251"/>
        <v>525-2025000596</v>
      </c>
      <c r="B4720" s="6" t="str">
        <f t="shared" si="1250"/>
        <v>Lasa Int</v>
      </c>
      <c r="C4720" s="7">
        <v>45988</v>
      </c>
      <c r="D4720" s="7">
        <v>46050</v>
      </c>
      <c r="E4720" s="8">
        <v>6</v>
      </c>
      <c r="F4720" s="6" t="str">
        <f t="shared" si="1252"/>
        <v>PURE</v>
      </c>
      <c r="G4720" s="6" t="str">
        <f t="shared" si="1253"/>
        <v>F100021455000000</v>
      </c>
      <c r="H4720" s="6" t="str">
        <f t="shared" si="1254"/>
        <v>FA 214 - PURE - 550</v>
      </c>
      <c r="I4720" s="6" t="str">
        <f>"1093"</f>
        <v>1093</v>
      </c>
      <c r="J4720" s="6" t="str">
        <f>"AZUL 1093"</f>
        <v>AZUL 1093</v>
      </c>
      <c r="K4720" s="6" t="str">
        <f>"1535"</f>
        <v>1535</v>
      </c>
      <c r="L4720" s="6" t="str">
        <f>"Toalhões"</f>
        <v>Toalhões</v>
      </c>
      <c r="M4720" s="6" t="str">
        <f>"70x140"</f>
        <v>70x140</v>
      </c>
      <c r="N4720" s="6" t="str">
        <f>"5602972836868"</f>
        <v>5602972836868</v>
      </c>
      <c r="O4720" s="8">
        <v>120</v>
      </c>
      <c r="P4720" s="7">
        <v>45988</v>
      </c>
      <c r="R4720" s="8">
        <v>0</v>
      </c>
      <c r="S4720" s="7">
        <v>45994</v>
      </c>
      <c r="U4720" s="8">
        <v>120</v>
      </c>
      <c r="V4720" s="7">
        <v>46013</v>
      </c>
      <c r="X4720" s="8">
        <v>0</v>
      </c>
      <c r="Z4720" s="8">
        <v>120</v>
      </c>
      <c r="AA4720" s="7">
        <v>46035</v>
      </c>
      <c r="AC4720" s="8">
        <v>0</v>
      </c>
      <c r="AE4720" s="7">
        <v>46045</v>
      </c>
      <c r="AF4720" s="8">
        <v>0</v>
      </c>
      <c r="AH4720" s="7">
        <v>46043</v>
      </c>
      <c r="AI4720" s="7">
        <v>46042</v>
      </c>
      <c r="AN4720" s="8">
        <v>0</v>
      </c>
      <c r="AO4720" s="8">
        <v>120</v>
      </c>
    </row>
    <row r="4721" spans="1:41" x14ac:dyDescent="0.25">
      <c r="A4721" s="6" t="str">
        <f t="shared" si="1251"/>
        <v>525-2025000596</v>
      </c>
      <c r="B4721" s="6" t="str">
        <f t="shared" si="1250"/>
        <v>Lasa Int</v>
      </c>
      <c r="C4721" s="7">
        <v>45988</v>
      </c>
      <c r="D4721" s="7">
        <v>46050</v>
      </c>
      <c r="E4721" s="8">
        <v>7</v>
      </c>
      <c r="F4721" s="6" t="str">
        <f t="shared" si="1252"/>
        <v>PURE</v>
      </c>
      <c r="G4721" s="6" t="str">
        <f t="shared" si="1253"/>
        <v>F100021455000000</v>
      </c>
      <c r="H4721" s="6" t="str">
        <f t="shared" si="1254"/>
        <v>FA 214 - PURE - 550</v>
      </c>
      <c r="I4721" s="6" t="str">
        <f>"1853"</f>
        <v>1853</v>
      </c>
      <c r="J4721" s="6" t="str">
        <f>"ROSA 1853"</f>
        <v>ROSA 1853</v>
      </c>
      <c r="K4721" s="6" t="str">
        <f>"1024"</f>
        <v>1024</v>
      </c>
      <c r="L4721" s="6" t="str">
        <f>"Toalhas"</f>
        <v>Toalhas</v>
      </c>
      <c r="M4721" s="6" t="str">
        <f>"50x100"</f>
        <v>50x100</v>
      </c>
      <c r="N4721" s="6" t="str">
        <f>"5602972836653"</f>
        <v>5602972836653</v>
      </c>
      <c r="O4721" s="8">
        <v>240</v>
      </c>
      <c r="P4721" s="7">
        <v>45988</v>
      </c>
      <c r="R4721" s="8">
        <v>0</v>
      </c>
      <c r="S4721" s="7">
        <v>45994</v>
      </c>
      <c r="U4721" s="8">
        <v>240</v>
      </c>
      <c r="V4721" s="7">
        <v>46013</v>
      </c>
      <c r="X4721" s="8">
        <v>0</v>
      </c>
      <c r="Z4721" s="8">
        <v>240</v>
      </c>
      <c r="AA4721" s="7">
        <v>46035</v>
      </c>
      <c r="AC4721" s="8">
        <v>0</v>
      </c>
      <c r="AE4721" s="7">
        <v>46045</v>
      </c>
      <c r="AF4721" s="8">
        <v>0</v>
      </c>
      <c r="AH4721" s="7">
        <v>46043</v>
      </c>
      <c r="AI4721" s="7">
        <v>46042</v>
      </c>
      <c r="AN4721" s="8">
        <v>0</v>
      </c>
      <c r="AO4721" s="8">
        <v>240</v>
      </c>
    </row>
    <row r="4722" spans="1:41" x14ac:dyDescent="0.25">
      <c r="A4722" s="6" t="str">
        <f t="shared" si="1251"/>
        <v>525-2025000596</v>
      </c>
      <c r="B4722" s="6" t="str">
        <f t="shared" si="1250"/>
        <v>Lasa Int</v>
      </c>
      <c r="C4722" s="7">
        <v>45988</v>
      </c>
      <c r="D4722" s="7">
        <v>46050</v>
      </c>
      <c r="E4722" s="8">
        <v>8</v>
      </c>
      <c r="F4722" s="6" t="str">
        <f t="shared" si="1252"/>
        <v>PURE</v>
      </c>
      <c r="G4722" s="6" t="str">
        <f t="shared" si="1253"/>
        <v>F100021455000000</v>
      </c>
      <c r="H4722" s="6" t="str">
        <f t="shared" si="1254"/>
        <v>FA 214 - PURE - 550</v>
      </c>
      <c r="I4722" s="6" t="str">
        <f>"1853"</f>
        <v>1853</v>
      </c>
      <c r="J4722" s="6" t="str">
        <f>"ROSA 1853"</f>
        <v>ROSA 1853</v>
      </c>
      <c r="K4722" s="6" t="str">
        <f>"1535"</f>
        <v>1535</v>
      </c>
      <c r="L4722" s="6" t="str">
        <f>"Toalhões"</f>
        <v>Toalhões</v>
      </c>
      <c r="M4722" s="6" t="str">
        <f>"70x140"</f>
        <v>70x140</v>
      </c>
      <c r="N4722" s="6" t="str">
        <f>"5602972836660"</f>
        <v>5602972836660</v>
      </c>
      <c r="O4722" s="8">
        <v>240</v>
      </c>
      <c r="P4722" s="7">
        <v>45988</v>
      </c>
      <c r="R4722" s="8">
        <v>0</v>
      </c>
      <c r="S4722" s="7">
        <v>45994</v>
      </c>
      <c r="U4722" s="8">
        <v>240</v>
      </c>
      <c r="V4722" s="7">
        <v>46013</v>
      </c>
      <c r="X4722" s="8">
        <v>0</v>
      </c>
      <c r="Z4722" s="8">
        <v>240</v>
      </c>
      <c r="AA4722" s="7">
        <v>46035</v>
      </c>
      <c r="AC4722" s="8">
        <v>227</v>
      </c>
      <c r="AE4722" s="7">
        <v>46045</v>
      </c>
      <c r="AF4722" s="8">
        <v>227</v>
      </c>
      <c r="AH4722" s="7">
        <v>46043</v>
      </c>
      <c r="AI4722" s="7">
        <v>46042</v>
      </c>
      <c r="AN4722" s="8">
        <v>227</v>
      </c>
      <c r="AO4722" s="8">
        <v>13</v>
      </c>
    </row>
    <row r="4723" spans="1:41" x14ac:dyDescent="0.25">
      <c r="A4723" s="6" t="str">
        <f t="shared" si="1251"/>
        <v>525-2025000596</v>
      </c>
      <c r="B4723" s="6" t="str">
        <f t="shared" si="1250"/>
        <v>Lasa Int</v>
      </c>
      <c r="C4723" s="7">
        <v>45988</v>
      </c>
      <c r="D4723" s="7">
        <v>46050</v>
      </c>
      <c r="E4723" s="8">
        <v>9</v>
      </c>
      <c r="F4723" s="6" t="str">
        <f t="shared" si="1252"/>
        <v>PURE</v>
      </c>
      <c r="G4723" s="6" t="str">
        <f t="shared" si="1253"/>
        <v>F100021455000000</v>
      </c>
      <c r="H4723" s="6" t="str">
        <f t="shared" si="1254"/>
        <v>FA 214 - PURE - 550</v>
      </c>
      <c r="I4723" s="6" t="str">
        <f>"1853"</f>
        <v>1853</v>
      </c>
      <c r="J4723" s="6" t="str">
        <f>"ROSA 1853"</f>
        <v>ROSA 1853</v>
      </c>
      <c r="K4723" s="6" t="str">
        <f>"2020"</f>
        <v>2020</v>
      </c>
      <c r="L4723" s="6" t="str">
        <f>"Lençóis"</f>
        <v>Lençóis</v>
      </c>
      <c r="M4723" s="6" t="str">
        <f>"100x150"</f>
        <v>100x150</v>
      </c>
      <c r="N4723" s="6" t="str">
        <f>"5602972836677"</f>
        <v>5602972836677</v>
      </c>
      <c r="O4723" s="8">
        <v>80</v>
      </c>
      <c r="P4723" s="7">
        <v>45988</v>
      </c>
      <c r="R4723" s="8">
        <v>1602</v>
      </c>
      <c r="S4723" s="7">
        <v>45994</v>
      </c>
      <c r="U4723" s="8">
        <v>80</v>
      </c>
      <c r="V4723" s="7">
        <v>46013</v>
      </c>
      <c r="X4723" s="8">
        <v>0</v>
      </c>
      <c r="Z4723" s="8">
        <v>80</v>
      </c>
      <c r="AA4723" s="7">
        <v>46035</v>
      </c>
      <c r="AC4723" s="8">
        <v>75</v>
      </c>
      <c r="AE4723" s="7">
        <v>46045</v>
      </c>
      <c r="AF4723" s="8">
        <v>75</v>
      </c>
      <c r="AH4723" s="7">
        <v>46043</v>
      </c>
      <c r="AI4723" s="7">
        <v>46042</v>
      </c>
      <c r="AN4723" s="8">
        <v>75</v>
      </c>
      <c r="AO4723" s="8">
        <v>5</v>
      </c>
    </row>
    <row r="4724" spans="1:41" x14ac:dyDescent="0.25">
      <c r="A4724" s="6" t="str">
        <f t="shared" si="1251"/>
        <v>525-2025000596</v>
      </c>
      <c r="B4724" s="6" t="str">
        <f t="shared" si="1250"/>
        <v>Lasa Int</v>
      </c>
      <c r="C4724" s="7">
        <v>45988</v>
      </c>
      <c r="D4724" s="7">
        <v>46050</v>
      </c>
      <c r="E4724" s="8">
        <v>10</v>
      </c>
      <c r="F4724" s="6" t="str">
        <f t="shared" si="1252"/>
        <v>PURE</v>
      </c>
      <c r="G4724" s="6" t="str">
        <f t="shared" si="1253"/>
        <v>F100021455000000</v>
      </c>
      <c r="H4724" s="6" t="str">
        <f t="shared" si="1254"/>
        <v>FA 214 - PURE - 550</v>
      </c>
      <c r="I4724" s="6" t="str">
        <f>"2096"</f>
        <v>2096</v>
      </c>
      <c r="J4724" s="6" t="str">
        <f>"AZUL 2096"</f>
        <v>AZUL 2096</v>
      </c>
      <c r="K4724" s="6" t="str">
        <f>"0530"</f>
        <v>0530</v>
      </c>
      <c r="L4724" s="6" t="str">
        <f>"Toalhetes"</f>
        <v>Toalhetes</v>
      </c>
      <c r="M4724" s="6" t="str">
        <f>"33x50"</f>
        <v>33x50</v>
      </c>
      <c r="N4724" s="6" t="str">
        <f>"5602972836899"</f>
        <v>5602972836899</v>
      </c>
      <c r="O4724" s="8">
        <v>450</v>
      </c>
      <c r="P4724" s="7">
        <v>45988</v>
      </c>
      <c r="R4724" s="8">
        <v>0</v>
      </c>
      <c r="S4724" s="7">
        <v>45994</v>
      </c>
      <c r="U4724" s="8">
        <v>450</v>
      </c>
      <c r="V4724" s="7">
        <v>46013</v>
      </c>
      <c r="X4724" s="8">
        <v>0</v>
      </c>
      <c r="Z4724" s="8">
        <v>450</v>
      </c>
      <c r="AA4724" s="7">
        <v>46035</v>
      </c>
      <c r="AC4724" s="8">
        <v>0</v>
      </c>
      <c r="AE4724" s="7">
        <v>46045</v>
      </c>
      <c r="AF4724" s="8">
        <v>0</v>
      </c>
      <c r="AH4724" s="7">
        <v>46043</v>
      </c>
      <c r="AI4724" s="7">
        <v>46042</v>
      </c>
      <c r="AN4724" s="8">
        <v>0</v>
      </c>
      <c r="AO4724" s="8">
        <v>450</v>
      </c>
    </row>
    <row r="4725" spans="1:41" x14ac:dyDescent="0.25">
      <c r="A4725" s="6" t="str">
        <f t="shared" si="1251"/>
        <v>525-2025000596</v>
      </c>
      <c r="B4725" s="6" t="str">
        <f t="shared" si="1250"/>
        <v>Lasa Int</v>
      </c>
      <c r="C4725" s="7">
        <v>45988</v>
      </c>
      <c r="D4725" s="7">
        <v>46050</v>
      </c>
      <c r="E4725" s="8">
        <v>11</v>
      </c>
      <c r="F4725" s="6" t="str">
        <f t="shared" si="1252"/>
        <v>PURE</v>
      </c>
      <c r="G4725" s="6" t="str">
        <f t="shared" si="1253"/>
        <v>F100021455000000</v>
      </c>
      <c r="H4725" s="6" t="str">
        <f t="shared" si="1254"/>
        <v>FA 214 - PURE - 550</v>
      </c>
      <c r="I4725" s="6" t="str">
        <f>"2096"</f>
        <v>2096</v>
      </c>
      <c r="J4725" s="6" t="str">
        <f>"AZUL 2096"</f>
        <v>AZUL 2096</v>
      </c>
      <c r="K4725" s="6" t="str">
        <f>"1024"</f>
        <v>1024</v>
      </c>
      <c r="L4725" s="6" t="str">
        <f>"Toalhas"</f>
        <v>Toalhas</v>
      </c>
      <c r="M4725" s="6" t="str">
        <f>"50x100"</f>
        <v>50x100</v>
      </c>
      <c r="N4725" s="6" t="str">
        <f>"5602972836905"</f>
        <v>5602972836905</v>
      </c>
      <c r="O4725" s="8">
        <v>480</v>
      </c>
      <c r="P4725" s="7">
        <v>45988</v>
      </c>
      <c r="R4725" s="8">
        <v>0</v>
      </c>
      <c r="S4725" s="7">
        <v>45994</v>
      </c>
      <c r="U4725" s="8">
        <v>480</v>
      </c>
      <c r="V4725" s="7">
        <v>46013</v>
      </c>
      <c r="X4725" s="8">
        <v>0</v>
      </c>
      <c r="Z4725" s="8">
        <v>480</v>
      </c>
      <c r="AA4725" s="7">
        <v>46035</v>
      </c>
      <c r="AC4725" s="8">
        <v>0</v>
      </c>
      <c r="AE4725" s="7">
        <v>46045</v>
      </c>
      <c r="AF4725" s="8">
        <v>0</v>
      </c>
      <c r="AH4725" s="7">
        <v>46043</v>
      </c>
      <c r="AI4725" s="7">
        <v>46042</v>
      </c>
      <c r="AN4725" s="8">
        <v>0</v>
      </c>
      <c r="AO4725" s="8">
        <v>480</v>
      </c>
    </row>
    <row r="4726" spans="1:41" x14ac:dyDescent="0.25">
      <c r="A4726" s="6" t="str">
        <f t="shared" si="1251"/>
        <v>525-2025000596</v>
      </c>
      <c r="B4726" s="6" t="str">
        <f t="shared" si="1250"/>
        <v>Lasa Int</v>
      </c>
      <c r="C4726" s="7">
        <v>45988</v>
      </c>
      <c r="D4726" s="7">
        <v>46050</v>
      </c>
      <c r="E4726" s="8">
        <v>12</v>
      </c>
      <c r="F4726" s="6" t="str">
        <f t="shared" si="1252"/>
        <v>PURE</v>
      </c>
      <c r="G4726" s="6" t="str">
        <f t="shared" si="1253"/>
        <v>F100021455000000</v>
      </c>
      <c r="H4726" s="6" t="str">
        <f t="shared" si="1254"/>
        <v>FA 214 - PURE - 550</v>
      </c>
      <c r="I4726" s="6" t="str">
        <f>"2096"</f>
        <v>2096</v>
      </c>
      <c r="J4726" s="6" t="str">
        <f>"AZUL 2096"</f>
        <v>AZUL 2096</v>
      </c>
      <c r="K4726" s="6" t="str">
        <f>"1535"</f>
        <v>1535</v>
      </c>
      <c r="L4726" s="6" t="str">
        <f>"Toalhões"</f>
        <v>Toalhões</v>
      </c>
      <c r="M4726" s="6" t="str">
        <f>"70x140"</f>
        <v>70x140</v>
      </c>
      <c r="N4726" s="6" t="str">
        <f>"5602972836912"</f>
        <v>5602972836912</v>
      </c>
      <c r="O4726" s="8">
        <v>240</v>
      </c>
      <c r="P4726" s="7">
        <v>45988</v>
      </c>
      <c r="R4726" s="8">
        <v>0</v>
      </c>
      <c r="S4726" s="7">
        <v>45994</v>
      </c>
      <c r="U4726" s="8">
        <v>240</v>
      </c>
      <c r="V4726" s="7">
        <v>46013</v>
      </c>
      <c r="X4726" s="8">
        <v>0</v>
      </c>
      <c r="Z4726" s="8">
        <v>240</v>
      </c>
      <c r="AA4726" s="7">
        <v>46035</v>
      </c>
      <c r="AC4726" s="8">
        <v>0</v>
      </c>
      <c r="AE4726" s="7">
        <v>46045</v>
      </c>
      <c r="AF4726" s="8">
        <v>0</v>
      </c>
      <c r="AH4726" s="7">
        <v>46043</v>
      </c>
      <c r="AI4726" s="7">
        <v>46042</v>
      </c>
      <c r="AN4726" s="8">
        <v>0</v>
      </c>
      <c r="AO4726" s="8">
        <v>240</v>
      </c>
    </row>
    <row r="4727" spans="1:41" x14ac:dyDescent="0.25">
      <c r="A4727" s="6" t="str">
        <f t="shared" si="1251"/>
        <v>525-2025000596</v>
      </c>
      <c r="B4727" s="6" t="str">
        <f t="shared" si="1250"/>
        <v>Lasa Int</v>
      </c>
      <c r="C4727" s="7">
        <v>45988</v>
      </c>
      <c r="D4727" s="7">
        <v>46050</v>
      </c>
      <c r="E4727" s="8">
        <v>13</v>
      </c>
      <c r="F4727" s="6" t="str">
        <f t="shared" si="1252"/>
        <v>PURE</v>
      </c>
      <c r="G4727" s="6" t="str">
        <f t="shared" si="1253"/>
        <v>F100021455000000</v>
      </c>
      <c r="H4727" s="6" t="str">
        <f t="shared" si="1254"/>
        <v>FA 214 - PURE - 550</v>
      </c>
      <c r="I4727" s="6" t="str">
        <f>"2096"</f>
        <v>2096</v>
      </c>
      <c r="J4727" s="6" t="str">
        <f>"AZUL 2096"</f>
        <v>AZUL 2096</v>
      </c>
      <c r="K4727" s="6" t="str">
        <f>"2020"</f>
        <v>2020</v>
      </c>
      <c r="L4727" s="6" t="str">
        <f>"Lençóis"</f>
        <v>Lençóis</v>
      </c>
      <c r="M4727" s="6" t="str">
        <f>"100x150"</f>
        <v>100x150</v>
      </c>
      <c r="N4727" s="6" t="str">
        <f>"5602972836929"</f>
        <v>5602972836929</v>
      </c>
      <c r="O4727" s="8">
        <v>80</v>
      </c>
      <c r="P4727" s="7">
        <v>45988</v>
      </c>
      <c r="R4727" s="8">
        <v>0</v>
      </c>
      <c r="S4727" s="7">
        <v>45994</v>
      </c>
      <c r="U4727" s="8">
        <v>80</v>
      </c>
      <c r="V4727" s="7">
        <v>46013</v>
      </c>
      <c r="X4727" s="8">
        <v>0</v>
      </c>
      <c r="Z4727" s="8">
        <v>80</v>
      </c>
      <c r="AA4727" s="7">
        <v>46035</v>
      </c>
      <c r="AC4727" s="8">
        <v>88</v>
      </c>
      <c r="AE4727" s="7">
        <v>46045</v>
      </c>
      <c r="AF4727" s="8">
        <v>88</v>
      </c>
      <c r="AH4727" s="7">
        <v>46043</v>
      </c>
      <c r="AI4727" s="7">
        <v>46042</v>
      </c>
      <c r="AN4727" s="8">
        <v>88</v>
      </c>
      <c r="AO4727" s="8">
        <v>-8</v>
      </c>
    </row>
    <row r="4728" spans="1:41" x14ac:dyDescent="0.25">
      <c r="A4728" s="6" t="str">
        <f t="shared" si="1251"/>
        <v>525-2025000596</v>
      </c>
      <c r="B4728" s="6" t="str">
        <f t="shared" si="1250"/>
        <v>Lasa Int</v>
      </c>
      <c r="C4728" s="7">
        <v>45988</v>
      </c>
      <c r="D4728" s="7">
        <v>46050</v>
      </c>
      <c r="E4728" s="8">
        <v>14</v>
      </c>
      <c r="F4728" s="6" t="str">
        <f t="shared" si="1252"/>
        <v>PURE</v>
      </c>
      <c r="G4728" s="6" t="str">
        <f t="shared" si="1253"/>
        <v>F100021455000000</v>
      </c>
      <c r="H4728" s="6" t="str">
        <f t="shared" si="1254"/>
        <v>FA 214 - PURE - 550</v>
      </c>
      <c r="I4728" s="6" t="str">
        <f>"2096"</f>
        <v>2096</v>
      </c>
      <c r="J4728" s="6" t="str">
        <f>"AZUL 2096"</f>
        <v>AZUL 2096</v>
      </c>
      <c r="K4728" s="6" t="str">
        <f>"2030"</f>
        <v>2030</v>
      </c>
      <c r="L4728" s="6" t="str">
        <f>"Lençóis"</f>
        <v>Lençóis</v>
      </c>
      <c r="M4728" s="6" t="str">
        <f>"100x180"</f>
        <v>100x180</v>
      </c>
      <c r="N4728" s="6" t="str">
        <f>"5602972674187"</f>
        <v>5602972674187</v>
      </c>
      <c r="O4728" s="8">
        <v>60</v>
      </c>
      <c r="P4728" s="7">
        <v>45988</v>
      </c>
      <c r="R4728" s="8">
        <v>0</v>
      </c>
      <c r="S4728" s="7">
        <v>45994</v>
      </c>
      <c r="U4728" s="8">
        <v>60</v>
      </c>
      <c r="V4728" s="7">
        <v>46013</v>
      </c>
      <c r="X4728" s="8">
        <v>0</v>
      </c>
      <c r="Z4728" s="8">
        <v>60</v>
      </c>
      <c r="AA4728" s="7">
        <v>46035</v>
      </c>
      <c r="AC4728" s="8">
        <v>0</v>
      </c>
      <c r="AE4728" s="7">
        <v>46045</v>
      </c>
      <c r="AF4728" s="8">
        <v>0</v>
      </c>
      <c r="AH4728" s="7">
        <v>46043</v>
      </c>
      <c r="AI4728" s="7">
        <v>46042</v>
      </c>
      <c r="AN4728" s="8">
        <v>0</v>
      </c>
      <c r="AO4728" s="8">
        <v>60</v>
      </c>
    </row>
    <row r="4729" spans="1:41" x14ac:dyDescent="0.25">
      <c r="A4729" s="6" t="str">
        <f t="shared" si="1251"/>
        <v>525-2025000596</v>
      </c>
      <c r="B4729" s="6" t="str">
        <f t="shared" si="1250"/>
        <v>Lasa Int</v>
      </c>
      <c r="C4729" s="7">
        <v>45988</v>
      </c>
      <c r="D4729" s="7">
        <v>46050</v>
      </c>
      <c r="E4729" s="8">
        <v>15</v>
      </c>
      <c r="F4729" s="6" t="str">
        <f t="shared" si="1252"/>
        <v>PURE</v>
      </c>
      <c r="G4729" s="6" t="str">
        <f t="shared" si="1253"/>
        <v>F100021455000000</v>
      </c>
      <c r="H4729" s="6" t="str">
        <f t="shared" si="1254"/>
        <v>FA 214 - PURE - 550</v>
      </c>
      <c r="I4729" s="6" t="str">
        <f>"2596"</f>
        <v>2596</v>
      </c>
      <c r="J4729" s="6" t="str">
        <f>"VERDE 2596"</f>
        <v>VERDE 2596</v>
      </c>
      <c r="K4729" s="6" t="str">
        <f>"0112"</f>
        <v>0112</v>
      </c>
      <c r="L4729" s="6" t="str">
        <f>"Luvas"</f>
        <v>Luvas</v>
      </c>
      <c r="M4729" s="6" t="str">
        <f>"16x21"</f>
        <v>16x21</v>
      </c>
      <c r="N4729" s="6" t="str">
        <f>"5602972724455"</f>
        <v>5602972724455</v>
      </c>
      <c r="O4729" s="8">
        <v>600</v>
      </c>
      <c r="P4729" s="7">
        <v>45988</v>
      </c>
      <c r="R4729" s="8">
        <v>0</v>
      </c>
      <c r="S4729" s="7">
        <v>45994</v>
      </c>
      <c r="U4729" s="8">
        <v>600</v>
      </c>
      <c r="V4729" s="7">
        <v>46013</v>
      </c>
      <c r="X4729" s="8">
        <v>0</v>
      </c>
      <c r="Z4729" s="8">
        <v>600</v>
      </c>
      <c r="AA4729" s="7">
        <v>46035</v>
      </c>
      <c r="AC4729" s="8">
        <v>0</v>
      </c>
      <c r="AE4729" s="7">
        <v>46045</v>
      </c>
      <c r="AF4729" s="8">
        <v>0</v>
      </c>
      <c r="AH4729" s="7">
        <v>46043</v>
      </c>
      <c r="AI4729" s="7">
        <v>46042</v>
      </c>
      <c r="AN4729" s="8">
        <v>222</v>
      </c>
      <c r="AO4729" s="8">
        <v>378</v>
      </c>
    </row>
    <row r="4730" spans="1:41" x14ac:dyDescent="0.25">
      <c r="A4730" s="6" t="str">
        <f t="shared" si="1251"/>
        <v>525-2025000596</v>
      </c>
      <c r="B4730" s="6" t="str">
        <f t="shared" si="1250"/>
        <v>Lasa Int</v>
      </c>
      <c r="C4730" s="7">
        <v>45988</v>
      </c>
      <c r="D4730" s="7">
        <v>46050</v>
      </c>
      <c r="E4730" s="8">
        <v>16</v>
      </c>
      <c r="F4730" s="6" t="str">
        <f t="shared" si="1252"/>
        <v>PURE</v>
      </c>
      <c r="G4730" s="6" t="str">
        <f t="shared" si="1253"/>
        <v>F100021455000000</v>
      </c>
      <c r="H4730" s="6" t="str">
        <f t="shared" si="1254"/>
        <v>FA 214 - PURE - 550</v>
      </c>
      <c r="I4730" s="6" t="str">
        <f>"2596"</f>
        <v>2596</v>
      </c>
      <c r="J4730" s="6" t="str">
        <f>"VERDE 2596"</f>
        <v>VERDE 2596</v>
      </c>
      <c r="K4730" s="6" t="str">
        <f>"0530"</f>
        <v>0530</v>
      </c>
      <c r="L4730" s="6" t="str">
        <f>"Toalhetes"</f>
        <v>Toalhetes</v>
      </c>
      <c r="M4730" s="6" t="str">
        <f>"33x50"</f>
        <v>33x50</v>
      </c>
      <c r="N4730" s="6" t="str">
        <f>"5602972724462"</f>
        <v>5602972724462</v>
      </c>
      <c r="O4730" s="8">
        <v>450</v>
      </c>
      <c r="P4730" s="7">
        <v>45988</v>
      </c>
      <c r="R4730" s="8">
        <v>0</v>
      </c>
      <c r="S4730" s="7">
        <v>45994</v>
      </c>
      <c r="U4730" s="8">
        <v>450</v>
      </c>
      <c r="V4730" s="7">
        <v>46013</v>
      </c>
      <c r="X4730" s="8">
        <v>0</v>
      </c>
      <c r="Z4730" s="8">
        <v>450</v>
      </c>
      <c r="AA4730" s="7">
        <v>46035</v>
      </c>
      <c r="AC4730" s="8">
        <v>0</v>
      </c>
      <c r="AE4730" s="7">
        <v>46045</v>
      </c>
      <c r="AF4730" s="8">
        <v>0</v>
      </c>
      <c r="AH4730" s="7">
        <v>46043</v>
      </c>
      <c r="AI4730" s="7">
        <v>46042</v>
      </c>
      <c r="AN4730" s="8">
        <v>0</v>
      </c>
      <c r="AO4730" s="8">
        <v>450</v>
      </c>
    </row>
    <row r="4731" spans="1:41" x14ac:dyDescent="0.25">
      <c r="A4731" s="6" t="str">
        <f t="shared" si="1251"/>
        <v>525-2025000596</v>
      </c>
      <c r="B4731" s="6" t="str">
        <f t="shared" si="1250"/>
        <v>Lasa Int</v>
      </c>
      <c r="C4731" s="7">
        <v>45988</v>
      </c>
      <c r="D4731" s="7">
        <v>46050</v>
      </c>
      <c r="E4731" s="8">
        <v>17</v>
      </c>
      <c r="F4731" s="6" t="str">
        <f t="shared" si="1252"/>
        <v>PURE</v>
      </c>
      <c r="G4731" s="6" t="str">
        <f t="shared" si="1253"/>
        <v>F100021455000000</v>
      </c>
      <c r="H4731" s="6" t="str">
        <f t="shared" si="1254"/>
        <v>FA 214 - PURE - 550</v>
      </c>
      <c r="I4731" s="6" t="str">
        <f>"2596"</f>
        <v>2596</v>
      </c>
      <c r="J4731" s="6" t="str">
        <f>"VERDE 2596"</f>
        <v>VERDE 2596</v>
      </c>
      <c r="K4731" s="6" t="str">
        <f>"1024"</f>
        <v>1024</v>
      </c>
      <c r="L4731" s="6" t="str">
        <f>"Toalhas"</f>
        <v>Toalhas</v>
      </c>
      <c r="M4731" s="6" t="str">
        <f>"50x100"</f>
        <v>50x100</v>
      </c>
      <c r="N4731" s="6" t="str">
        <f>"5602972724479"</f>
        <v>5602972724479</v>
      </c>
      <c r="O4731" s="8">
        <v>480</v>
      </c>
      <c r="P4731" s="7">
        <v>45988</v>
      </c>
      <c r="R4731" s="8">
        <v>0</v>
      </c>
      <c r="S4731" s="7">
        <v>45994</v>
      </c>
      <c r="U4731" s="8">
        <v>480</v>
      </c>
      <c r="V4731" s="7">
        <v>46013</v>
      </c>
      <c r="X4731" s="8">
        <v>0</v>
      </c>
      <c r="Z4731" s="8">
        <v>480</v>
      </c>
      <c r="AA4731" s="7">
        <v>46035</v>
      </c>
      <c r="AC4731" s="8">
        <v>0</v>
      </c>
      <c r="AE4731" s="7">
        <v>46045</v>
      </c>
      <c r="AF4731" s="8">
        <v>0</v>
      </c>
      <c r="AH4731" s="7">
        <v>46043</v>
      </c>
      <c r="AI4731" s="7">
        <v>46042</v>
      </c>
      <c r="AN4731" s="8">
        <v>0</v>
      </c>
      <c r="AO4731" s="8">
        <v>480</v>
      </c>
    </row>
    <row r="4732" spans="1:41" x14ac:dyDescent="0.25">
      <c r="A4732" s="6" t="str">
        <f t="shared" si="1251"/>
        <v>525-2025000596</v>
      </c>
      <c r="B4732" s="6" t="str">
        <f t="shared" si="1250"/>
        <v>Lasa Int</v>
      </c>
      <c r="C4732" s="7">
        <v>45988</v>
      </c>
      <c r="D4732" s="7">
        <v>46050</v>
      </c>
      <c r="E4732" s="8">
        <v>18</v>
      </c>
      <c r="F4732" s="6" t="str">
        <f t="shared" si="1252"/>
        <v>PURE</v>
      </c>
      <c r="G4732" s="6" t="str">
        <f t="shared" si="1253"/>
        <v>F100021455000000</v>
      </c>
      <c r="H4732" s="6" t="str">
        <f t="shared" si="1254"/>
        <v>FA 214 - PURE - 550</v>
      </c>
      <c r="I4732" s="6" t="str">
        <f>"2596"</f>
        <v>2596</v>
      </c>
      <c r="J4732" s="6" t="str">
        <f>"VERDE 2596"</f>
        <v>VERDE 2596</v>
      </c>
      <c r="K4732" s="6" t="str">
        <f>"1535"</f>
        <v>1535</v>
      </c>
      <c r="L4732" s="6" t="str">
        <f>"Toalhões"</f>
        <v>Toalhões</v>
      </c>
      <c r="M4732" s="6" t="str">
        <f>"70x140"</f>
        <v>70x140</v>
      </c>
      <c r="N4732" s="6" t="str">
        <f>"5602972724486"</f>
        <v>5602972724486</v>
      </c>
      <c r="O4732" s="8">
        <v>360</v>
      </c>
      <c r="P4732" s="7">
        <v>45988</v>
      </c>
      <c r="R4732" s="8">
        <v>0</v>
      </c>
      <c r="S4732" s="7">
        <v>45994</v>
      </c>
      <c r="U4732" s="8">
        <v>360</v>
      </c>
      <c r="V4732" s="7">
        <v>46013</v>
      </c>
      <c r="X4732" s="8">
        <v>0</v>
      </c>
      <c r="Z4732" s="8">
        <v>360</v>
      </c>
      <c r="AA4732" s="7">
        <v>46035</v>
      </c>
      <c r="AC4732" s="8">
        <v>0</v>
      </c>
      <c r="AE4732" s="7">
        <v>46045</v>
      </c>
      <c r="AF4732" s="8">
        <v>0</v>
      </c>
      <c r="AH4732" s="7">
        <v>46043</v>
      </c>
      <c r="AI4732" s="7">
        <v>46042</v>
      </c>
      <c r="AN4732" s="8">
        <v>0</v>
      </c>
      <c r="AO4732" s="8">
        <v>360</v>
      </c>
    </row>
    <row r="4733" spans="1:41" x14ac:dyDescent="0.25">
      <c r="A4733" s="6" t="str">
        <f t="shared" si="1251"/>
        <v>525-2025000596</v>
      </c>
      <c r="B4733" s="6" t="str">
        <f t="shared" si="1250"/>
        <v>Lasa Int</v>
      </c>
      <c r="C4733" s="7">
        <v>45988</v>
      </c>
      <c r="D4733" s="7">
        <v>46050</v>
      </c>
      <c r="E4733" s="8">
        <v>19</v>
      </c>
      <c r="F4733" s="6" t="str">
        <f t="shared" si="1252"/>
        <v>PURE</v>
      </c>
      <c r="G4733" s="6" t="str">
        <f t="shared" si="1253"/>
        <v>F100021455000000</v>
      </c>
      <c r="H4733" s="6" t="str">
        <f t="shared" si="1254"/>
        <v>FA 214 - PURE - 550</v>
      </c>
      <c r="I4733" s="6" t="str">
        <f>"2968"</f>
        <v>2968</v>
      </c>
      <c r="J4733" s="6" t="str">
        <f>"ROSA 2968"</f>
        <v>ROSA 2968</v>
      </c>
      <c r="K4733" s="6" t="str">
        <f>"1024"</f>
        <v>1024</v>
      </c>
      <c r="L4733" s="6" t="str">
        <f>"Toalhas"</f>
        <v>Toalhas</v>
      </c>
      <c r="M4733" s="6" t="str">
        <f>"50x100"</f>
        <v>50x100</v>
      </c>
      <c r="N4733" s="6" t="str">
        <f>"5602972878264"</f>
        <v>5602972878264</v>
      </c>
      <c r="O4733" s="8">
        <v>480</v>
      </c>
      <c r="P4733" s="7">
        <v>45988</v>
      </c>
      <c r="R4733" s="8">
        <v>0</v>
      </c>
      <c r="S4733" s="7">
        <v>45994</v>
      </c>
      <c r="U4733" s="8">
        <v>480</v>
      </c>
      <c r="V4733" s="7">
        <v>46013</v>
      </c>
      <c r="X4733" s="8">
        <v>0</v>
      </c>
      <c r="Z4733" s="8">
        <v>480</v>
      </c>
      <c r="AA4733" s="7">
        <v>46035</v>
      </c>
      <c r="AC4733" s="8">
        <v>0</v>
      </c>
      <c r="AE4733" s="7">
        <v>46045</v>
      </c>
      <c r="AF4733" s="8">
        <v>0</v>
      </c>
      <c r="AH4733" s="7">
        <v>46043</v>
      </c>
      <c r="AI4733" s="7">
        <v>46042</v>
      </c>
      <c r="AN4733" s="8">
        <v>460</v>
      </c>
      <c r="AO4733" s="8">
        <v>20</v>
      </c>
    </row>
    <row r="4734" spans="1:41" x14ac:dyDescent="0.25">
      <c r="A4734" s="6" t="str">
        <f t="shared" si="1251"/>
        <v>525-2025000596</v>
      </c>
      <c r="B4734" s="6" t="str">
        <f t="shared" si="1250"/>
        <v>Lasa Int</v>
      </c>
      <c r="C4734" s="7">
        <v>45988</v>
      </c>
      <c r="D4734" s="7">
        <v>46050</v>
      </c>
      <c r="E4734" s="8">
        <v>20</v>
      </c>
      <c r="F4734" s="6" t="str">
        <f t="shared" si="1252"/>
        <v>PURE</v>
      </c>
      <c r="G4734" s="6" t="str">
        <f t="shared" si="1253"/>
        <v>F100021455000000</v>
      </c>
      <c r="H4734" s="6" t="str">
        <f t="shared" si="1254"/>
        <v>FA 214 - PURE - 550</v>
      </c>
      <c r="I4734" s="6" t="str">
        <f>"2968"</f>
        <v>2968</v>
      </c>
      <c r="J4734" s="6" t="str">
        <f>"ROSA 2968"</f>
        <v>ROSA 2968</v>
      </c>
      <c r="K4734" s="6" t="str">
        <f>"1535"</f>
        <v>1535</v>
      </c>
      <c r="L4734" s="6" t="str">
        <f>"Toalhões"</f>
        <v>Toalhões</v>
      </c>
      <c r="M4734" s="6" t="str">
        <f>"70x140"</f>
        <v>70x140</v>
      </c>
      <c r="N4734" s="6" t="str">
        <f>"5602972878271"</f>
        <v>5602972878271</v>
      </c>
      <c r="O4734" s="8">
        <v>360</v>
      </c>
      <c r="P4734" s="7">
        <v>45988</v>
      </c>
      <c r="R4734" s="8">
        <v>0</v>
      </c>
      <c r="S4734" s="7">
        <v>45994</v>
      </c>
      <c r="U4734" s="8">
        <v>360</v>
      </c>
      <c r="V4734" s="7">
        <v>46013</v>
      </c>
      <c r="X4734" s="8">
        <v>0</v>
      </c>
      <c r="Z4734" s="8">
        <v>360</v>
      </c>
      <c r="AA4734" s="7">
        <v>46035</v>
      </c>
      <c r="AC4734" s="8">
        <v>192</v>
      </c>
      <c r="AE4734" s="7">
        <v>46045</v>
      </c>
      <c r="AF4734" s="8">
        <v>192</v>
      </c>
      <c r="AH4734" s="7">
        <v>46043</v>
      </c>
      <c r="AI4734" s="7">
        <v>46042</v>
      </c>
      <c r="AN4734" s="8">
        <v>192</v>
      </c>
      <c r="AO4734" s="8">
        <v>168</v>
      </c>
    </row>
    <row r="4735" spans="1:41" x14ac:dyDescent="0.25">
      <c r="A4735" s="6" t="str">
        <f t="shared" si="1251"/>
        <v>525-2025000596</v>
      </c>
      <c r="B4735" s="6" t="str">
        <f t="shared" si="1250"/>
        <v>Lasa Int</v>
      </c>
      <c r="C4735" s="7">
        <v>45988</v>
      </c>
      <c r="D4735" s="7">
        <v>46050</v>
      </c>
      <c r="E4735" s="8">
        <v>21</v>
      </c>
      <c r="F4735" s="6" t="str">
        <f t="shared" si="1252"/>
        <v>PURE</v>
      </c>
      <c r="G4735" s="6" t="str">
        <f t="shared" si="1253"/>
        <v>F100021455000000</v>
      </c>
      <c r="H4735" s="6" t="str">
        <f t="shared" si="1254"/>
        <v>FA 214 - PURE - 550</v>
      </c>
      <c r="I4735" s="6" t="str">
        <f>"2968"</f>
        <v>2968</v>
      </c>
      <c r="J4735" s="6" t="str">
        <f>"ROSA 2968"</f>
        <v>ROSA 2968</v>
      </c>
      <c r="K4735" s="6" t="str">
        <f>"2020"</f>
        <v>2020</v>
      </c>
      <c r="L4735" s="6" t="str">
        <f>"Lençóis"</f>
        <v>Lençóis</v>
      </c>
      <c r="M4735" s="6" t="str">
        <f>"100x150"</f>
        <v>100x150</v>
      </c>
      <c r="N4735" s="6" t="str">
        <f>"5602972878288"</f>
        <v>5602972878288</v>
      </c>
      <c r="O4735" s="8">
        <v>160</v>
      </c>
      <c r="P4735" s="7">
        <v>45988</v>
      </c>
      <c r="R4735" s="8">
        <v>0</v>
      </c>
      <c r="S4735" s="7">
        <v>45994</v>
      </c>
      <c r="U4735" s="8">
        <v>160</v>
      </c>
      <c r="V4735" s="7">
        <v>46013</v>
      </c>
      <c r="X4735" s="8">
        <v>0</v>
      </c>
      <c r="Z4735" s="8">
        <v>160</v>
      </c>
      <c r="AA4735" s="7">
        <v>46035</v>
      </c>
      <c r="AC4735" s="8">
        <v>0</v>
      </c>
      <c r="AE4735" s="7">
        <v>46045</v>
      </c>
      <c r="AF4735" s="8">
        <v>0</v>
      </c>
      <c r="AH4735" s="7">
        <v>46043</v>
      </c>
      <c r="AI4735" s="7">
        <v>46042</v>
      </c>
      <c r="AN4735" s="8">
        <v>0</v>
      </c>
      <c r="AO4735" s="8">
        <v>160</v>
      </c>
    </row>
    <row r="4736" spans="1:41" x14ac:dyDescent="0.25">
      <c r="A4736" s="6" t="str">
        <f t="shared" si="1251"/>
        <v>525-2025000596</v>
      </c>
      <c r="B4736" s="6" t="str">
        <f t="shared" si="1250"/>
        <v>Lasa Int</v>
      </c>
      <c r="C4736" s="7">
        <v>45988</v>
      </c>
      <c r="D4736" s="7">
        <v>46050</v>
      </c>
      <c r="E4736" s="8">
        <v>22</v>
      </c>
      <c r="F4736" s="6" t="str">
        <f t="shared" si="1252"/>
        <v>PURE</v>
      </c>
      <c r="G4736" s="6" t="str">
        <f t="shared" si="1253"/>
        <v>F100021455000000</v>
      </c>
      <c r="H4736" s="6" t="str">
        <f t="shared" si="1254"/>
        <v>FA 214 - PURE - 550</v>
      </c>
      <c r="I4736" s="6" t="str">
        <f>"3073"</f>
        <v>3073</v>
      </c>
      <c r="J4736" s="6" t="str">
        <f>"CINZA 3073"</f>
        <v>CINZA 3073</v>
      </c>
      <c r="K4736" s="6" t="str">
        <f>"0112"</f>
        <v>0112</v>
      </c>
      <c r="L4736" s="6" t="str">
        <f>"Luvas"</f>
        <v>Luvas</v>
      </c>
      <c r="M4736" s="6" t="str">
        <f>"16x21"</f>
        <v>16x21</v>
      </c>
      <c r="N4736" s="6" t="str">
        <f>"5602972877878"</f>
        <v>5602972877878</v>
      </c>
      <c r="O4736" s="8">
        <v>600</v>
      </c>
      <c r="P4736" s="7">
        <v>45988</v>
      </c>
      <c r="R4736" s="8">
        <v>0</v>
      </c>
      <c r="S4736" s="7">
        <v>45994</v>
      </c>
      <c r="U4736" s="8">
        <v>600</v>
      </c>
      <c r="V4736" s="7">
        <v>46013</v>
      </c>
      <c r="X4736" s="8">
        <v>0</v>
      </c>
      <c r="Z4736" s="8">
        <v>600</v>
      </c>
      <c r="AA4736" s="7">
        <v>46035</v>
      </c>
      <c r="AC4736" s="8">
        <v>0</v>
      </c>
      <c r="AE4736" s="7">
        <v>46045</v>
      </c>
      <c r="AF4736" s="8">
        <v>0</v>
      </c>
      <c r="AH4736" s="7">
        <v>46043</v>
      </c>
      <c r="AI4736" s="7">
        <v>46042</v>
      </c>
      <c r="AN4736" s="8">
        <v>594</v>
      </c>
      <c r="AO4736" s="8">
        <v>6</v>
      </c>
    </row>
    <row r="4737" spans="1:41" x14ac:dyDescent="0.25">
      <c r="A4737" s="6" t="str">
        <f t="shared" si="1251"/>
        <v>525-2025000596</v>
      </c>
      <c r="B4737" s="6" t="str">
        <f t="shared" si="1250"/>
        <v>Lasa Int</v>
      </c>
      <c r="C4737" s="7">
        <v>45988</v>
      </c>
      <c r="D4737" s="7">
        <v>46050</v>
      </c>
      <c r="E4737" s="8">
        <v>23</v>
      </c>
      <c r="F4737" s="6" t="str">
        <f t="shared" si="1252"/>
        <v>PURE</v>
      </c>
      <c r="G4737" s="6" t="str">
        <f t="shared" si="1253"/>
        <v>F100021455000000</v>
      </c>
      <c r="H4737" s="6" t="str">
        <f t="shared" si="1254"/>
        <v>FA 214 - PURE - 550</v>
      </c>
      <c r="I4737" s="6" t="str">
        <f>"3073"</f>
        <v>3073</v>
      </c>
      <c r="J4737" s="6" t="str">
        <f>"CINZA 3073"</f>
        <v>CINZA 3073</v>
      </c>
      <c r="K4737" s="6" t="str">
        <f>"1024"</f>
        <v>1024</v>
      </c>
      <c r="L4737" s="6" t="str">
        <f>"Toalhas"</f>
        <v>Toalhas</v>
      </c>
      <c r="M4737" s="6" t="str">
        <f>"50x100"</f>
        <v>50x100</v>
      </c>
      <c r="N4737" s="6" t="str">
        <f>"5602972877892"</f>
        <v>5602972877892</v>
      </c>
      <c r="O4737" s="8">
        <v>480</v>
      </c>
      <c r="P4737" s="7">
        <v>45988</v>
      </c>
      <c r="R4737" s="8">
        <v>0</v>
      </c>
      <c r="S4737" s="7">
        <v>45994</v>
      </c>
      <c r="U4737" s="8">
        <v>480</v>
      </c>
      <c r="V4737" s="7">
        <v>46013</v>
      </c>
      <c r="X4737" s="8">
        <v>0</v>
      </c>
      <c r="Z4737" s="8">
        <v>480</v>
      </c>
      <c r="AA4737" s="7">
        <v>46035</v>
      </c>
      <c r="AC4737" s="8">
        <v>0</v>
      </c>
      <c r="AE4737" s="7">
        <v>46045</v>
      </c>
      <c r="AF4737" s="8">
        <v>0</v>
      </c>
      <c r="AH4737" s="7">
        <v>46043</v>
      </c>
      <c r="AI4737" s="7">
        <v>46042</v>
      </c>
      <c r="AN4737" s="8">
        <v>640</v>
      </c>
      <c r="AO4737" s="8">
        <v>-160</v>
      </c>
    </row>
    <row r="4738" spans="1:41" x14ac:dyDescent="0.25">
      <c r="A4738" s="6" t="str">
        <f t="shared" si="1251"/>
        <v>525-2025000596</v>
      </c>
      <c r="B4738" s="6" t="str">
        <f t="shared" ref="B4738:B4763" si="1255">"Lasa Int"</f>
        <v>Lasa Int</v>
      </c>
      <c r="C4738" s="7">
        <v>45988</v>
      </c>
      <c r="D4738" s="7">
        <v>46050</v>
      </c>
      <c r="E4738" s="8">
        <v>24</v>
      </c>
      <c r="F4738" s="6" t="str">
        <f t="shared" si="1252"/>
        <v>PURE</v>
      </c>
      <c r="G4738" s="6" t="str">
        <f t="shared" si="1253"/>
        <v>F100021455000000</v>
      </c>
      <c r="H4738" s="6" t="str">
        <f t="shared" si="1254"/>
        <v>FA 214 - PURE - 550</v>
      </c>
      <c r="I4738" s="6" t="str">
        <f>"3073"</f>
        <v>3073</v>
      </c>
      <c r="J4738" s="6" t="str">
        <f>"CINZA 3073"</f>
        <v>CINZA 3073</v>
      </c>
      <c r="K4738" s="6" t="str">
        <f>"1535"</f>
        <v>1535</v>
      </c>
      <c r="L4738" s="6" t="str">
        <f>"Toalhões"</f>
        <v>Toalhões</v>
      </c>
      <c r="M4738" s="6" t="str">
        <f>"70x140"</f>
        <v>70x140</v>
      </c>
      <c r="N4738" s="6" t="str">
        <f>"5602972877908"</f>
        <v>5602972877908</v>
      </c>
      <c r="O4738" s="8">
        <v>480</v>
      </c>
      <c r="P4738" s="7">
        <v>45988</v>
      </c>
      <c r="R4738" s="8">
        <v>0</v>
      </c>
      <c r="S4738" s="7">
        <v>45994</v>
      </c>
      <c r="U4738" s="8">
        <v>480</v>
      </c>
      <c r="V4738" s="7">
        <v>46013</v>
      </c>
      <c r="X4738" s="8">
        <v>0</v>
      </c>
      <c r="Z4738" s="8">
        <v>480</v>
      </c>
      <c r="AA4738" s="7">
        <v>46035</v>
      </c>
      <c r="AC4738" s="8">
        <v>0</v>
      </c>
      <c r="AE4738" s="7">
        <v>46045</v>
      </c>
      <c r="AF4738" s="8">
        <v>0</v>
      </c>
      <c r="AH4738" s="7">
        <v>46043</v>
      </c>
      <c r="AI4738" s="7">
        <v>46042</v>
      </c>
      <c r="AN4738" s="8">
        <v>0</v>
      </c>
      <c r="AO4738" s="8">
        <v>480</v>
      </c>
    </row>
    <row r="4739" spans="1:41" x14ac:dyDescent="0.25">
      <c r="A4739" s="6" t="str">
        <f t="shared" si="1251"/>
        <v>525-2025000596</v>
      </c>
      <c r="B4739" s="6" t="str">
        <f t="shared" si="1255"/>
        <v>Lasa Int</v>
      </c>
      <c r="C4739" s="7">
        <v>45988</v>
      </c>
      <c r="D4739" s="7">
        <v>46050</v>
      </c>
      <c r="E4739" s="8">
        <v>25</v>
      </c>
      <c r="F4739" s="6" t="str">
        <f t="shared" si="1252"/>
        <v>PURE</v>
      </c>
      <c r="G4739" s="6" t="str">
        <f t="shared" si="1253"/>
        <v>F100021455000000</v>
      </c>
      <c r="H4739" s="6" t="str">
        <f t="shared" si="1254"/>
        <v>FA 214 - PURE - 550</v>
      </c>
      <c r="I4739" s="6" t="str">
        <f>"3235"</f>
        <v>3235</v>
      </c>
      <c r="J4739" s="6" t="str">
        <f>"CINZA 3235"</f>
        <v>CINZA 3235</v>
      </c>
      <c r="K4739" s="6" t="str">
        <f>"0112"</f>
        <v>0112</v>
      </c>
      <c r="L4739" s="6" t="str">
        <f>"Luvas"</f>
        <v>Luvas</v>
      </c>
      <c r="M4739" s="6" t="str">
        <f>"16x21"</f>
        <v>16x21</v>
      </c>
      <c r="N4739" s="6" t="str">
        <f>"5602972895278"</f>
        <v>5602972895278</v>
      </c>
      <c r="O4739" s="8">
        <v>300</v>
      </c>
      <c r="P4739" s="7">
        <v>45988</v>
      </c>
      <c r="R4739" s="8">
        <v>0</v>
      </c>
      <c r="S4739" s="7">
        <v>45994</v>
      </c>
      <c r="U4739" s="8">
        <v>300</v>
      </c>
      <c r="V4739" s="7">
        <v>46013</v>
      </c>
      <c r="X4739" s="8">
        <v>0</v>
      </c>
      <c r="Z4739" s="8">
        <v>300</v>
      </c>
      <c r="AA4739" s="7">
        <v>46035</v>
      </c>
      <c r="AC4739" s="8">
        <v>0</v>
      </c>
      <c r="AE4739" s="7">
        <v>46045</v>
      </c>
      <c r="AF4739" s="8">
        <v>0</v>
      </c>
      <c r="AH4739" s="7">
        <v>46043</v>
      </c>
      <c r="AI4739" s="7">
        <v>46042</v>
      </c>
      <c r="AN4739" s="8">
        <v>294</v>
      </c>
      <c r="AO4739" s="8">
        <v>6</v>
      </c>
    </row>
    <row r="4740" spans="1:41" x14ac:dyDescent="0.25">
      <c r="A4740" s="6" t="str">
        <f t="shared" si="1251"/>
        <v>525-2025000596</v>
      </c>
      <c r="B4740" s="6" t="str">
        <f t="shared" si="1255"/>
        <v>Lasa Int</v>
      </c>
      <c r="C4740" s="7">
        <v>45988</v>
      </c>
      <c r="D4740" s="7">
        <v>46050</v>
      </c>
      <c r="E4740" s="8">
        <v>26</v>
      </c>
      <c r="F4740" s="6" t="str">
        <f t="shared" si="1252"/>
        <v>PURE</v>
      </c>
      <c r="G4740" s="6" t="str">
        <f t="shared" si="1253"/>
        <v>F100021455000000</v>
      </c>
      <c r="H4740" s="6" t="str">
        <f t="shared" si="1254"/>
        <v>FA 214 - PURE - 550</v>
      </c>
      <c r="I4740" s="6" t="str">
        <f>"3235"</f>
        <v>3235</v>
      </c>
      <c r="J4740" s="6" t="str">
        <f>"CINZA 3235"</f>
        <v>CINZA 3235</v>
      </c>
      <c r="K4740" s="6" t="str">
        <f>"0530"</f>
        <v>0530</v>
      </c>
      <c r="L4740" s="6" t="str">
        <f>"Toalhetes"</f>
        <v>Toalhetes</v>
      </c>
      <c r="M4740" s="6" t="str">
        <f>"33x50"</f>
        <v>33x50</v>
      </c>
      <c r="N4740" s="6" t="str">
        <f>"5602972895285"</f>
        <v>5602972895285</v>
      </c>
      <c r="O4740" s="8">
        <v>450</v>
      </c>
      <c r="P4740" s="7">
        <v>45988</v>
      </c>
      <c r="R4740" s="8">
        <v>0</v>
      </c>
      <c r="S4740" s="7">
        <v>45994</v>
      </c>
      <c r="U4740" s="8">
        <v>450</v>
      </c>
      <c r="V4740" s="7">
        <v>46013</v>
      </c>
      <c r="X4740" s="8">
        <v>0</v>
      </c>
      <c r="Z4740" s="8">
        <v>450</v>
      </c>
      <c r="AA4740" s="7">
        <v>46035</v>
      </c>
      <c r="AC4740" s="8">
        <v>476</v>
      </c>
      <c r="AE4740" s="7">
        <v>46045</v>
      </c>
      <c r="AF4740" s="8">
        <v>476</v>
      </c>
      <c r="AH4740" s="7">
        <v>46043</v>
      </c>
      <c r="AI4740" s="7">
        <v>46042</v>
      </c>
      <c r="AN4740" s="8">
        <v>476</v>
      </c>
      <c r="AO4740" s="8">
        <v>-26</v>
      </c>
    </row>
    <row r="4741" spans="1:41" x14ac:dyDescent="0.25">
      <c r="A4741" s="6" t="str">
        <f t="shared" si="1251"/>
        <v>525-2025000596</v>
      </c>
      <c r="B4741" s="6" t="str">
        <f t="shared" si="1255"/>
        <v>Lasa Int</v>
      </c>
      <c r="C4741" s="7">
        <v>45988</v>
      </c>
      <c r="D4741" s="7">
        <v>46050</v>
      </c>
      <c r="E4741" s="8">
        <v>27</v>
      </c>
      <c r="F4741" s="6" t="str">
        <f t="shared" si="1252"/>
        <v>PURE</v>
      </c>
      <c r="G4741" s="6" t="str">
        <f t="shared" si="1253"/>
        <v>F100021455000000</v>
      </c>
      <c r="H4741" s="6" t="str">
        <f t="shared" si="1254"/>
        <v>FA 214 - PURE - 550</v>
      </c>
      <c r="I4741" s="6" t="str">
        <f>"3235"</f>
        <v>3235</v>
      </c>
      <c r="J4741" s="6" t="str">
        <f>"CINZA 3235"</f>
        <v>CINZA 3235</v>
      </c>
      <c r="K4741" s="6" t="str">
        <f>"1024"</f>
        <v>1024</v>
      </c>
      <c r="L4741" s="6" t="str">
        <f>"Toalhas"</f>
        <v>Toalhas</v>
      </c>
      <c r="M4741" s="6" t="str">
        <f>"50x100"</f>
        <v>50x100</v>
      </c>
      <c r="N4741" s="6" t="str">
        <f>"5602972895292"</f>
        <v>5602972895292</v>
      </c>
      <c r="O4741" s="8">
        <v>720</v>
      </c>
      <c r="P4741" s="7">
        <v>45988</v>
      </c>
      <c r="R4741" s="8">
        <v>0</v>
      </c>
      <c r="S4741" s="7">
        <v>45994</v>
      </c>
      <c r="U4741" s="8">
        <v>720</v>
      </c>
      <c r="V4741" s="7">
        <v>46013</v>
      </c>
      <c r="X4741" s="8">
        <v>0</v>
      </c>
      <c r="Z4741" s="8">
        <v>720</v>
      </c>
      <c r="AA4741" s="7">
        <v>46035</v>
      </c>
      <c r="AC4741" s="8">
        <v>0</v>
      </c>
      <c r="AE4741" s="7">
        <v>46045</v>
      </c>
      <c r="AF4741" s="8">
        <v>0</v>
      </c>
      <c r="AH4741" s="7">
        <v>46043</v>
      </c>
      <c r="AI4741" s="7">
        <v>46042</v>
      </c>
      <c r="AN4741" s="8">
        <v>0</v>
      </c>
      <c r="AO4741" s="8">
        <v>720</v>
      </c>
    </row>
    <row r="4742" spans="1:41" x14ac:dyDescent="0.25">
      <c r="A4742" s="6" t="str">
        <f t="shared" si="1251"/>
        <v>525-2025000596</v>
      </c>
      <c r="B4742" s="6" t="str">
        <f t="shared" si="1255"/>
        <v>Lasa Int</v>
      </c>
      <c r="C4742" s="7">
        <v>45988</v>
      </c>
      <c r="D4742" s="7">
        <v>46050</v>
      </c>
      <c r="E4742" s="8">
        <v>28</v>
      </c>
      <c r="F4742" s="6" t="str">
        <f t="shared" si="1252"/>
        <v>PURE</v>
      </c>
      <c r="G4742" s="6" t="str">
        <f t="shared" si="1253"/>
        <v>F100021455000000</v>
      </c>
      <c r="H4742" s="6" t="str">
        <f t="shared" si="1254"/>
        <v>FA 214 - PURE - 550</v>
      </c>
      <c r="I4742" s="6" t="str">
        <f>"3235"</f>
        <v>3235</v>
      </c>
      <c r="J4742" s="6" t="str">
        <f>"CINZA 3235"</f>
        <v>CINZA 3235</v>
      </c>
      <c r="K4742" s="6" t="str">
        <f>"1535"</f>
        <v>1535</v>
      </c>
      <c r="L4742" s="6" t="str">
        <f>"Toalhões"</f>
        <v>Toalhões</v>
      </c>
      <c r="M4742" s="6" t="str">
        <f>"70x140"</f>
        <v>70x140</v>
      </c>
      <c r="N4742" s="6" t="str">
        <f>"5602972895308"</f>
        <v>5602972895308</v>
      </c>
      <c r="O4742" s="8">
        <v>480</v>
      </c>
      <c r="P4742" s="7">
        <v>45988</v>
      </c>
      <c r="R4742" s="8">
        <v>0</v>
      </c>
      <c r="S4742" s="7">
        <v>45994</v>
      </c>
      <c r="U4742" s="8">
        <v>480</v>
      </c>
      <c r="V4742" s="7">
        <v>46013</v>
      </c>
      <c r="X4742" s="8">
        <v>0</v>
      </c>
      <c r="Z4742" s="8">
        <v>480</v>
      </c>
      <c r="AA4742" s="7">
        <v>46035</v>
      </c>
      <c r="AC4742" s="8">
        <v>152</v>
      </c>
      <c r="AE4742" s="7">
        <v>46045</v>
      </c>
      <c r="AF4742" s="8">
        <v>152</v>
      </c>
      <c r="AH4742" s="7">
        <v>46043</v>
      </c>
      <c r="AI4742" s="7">
        <v>46042</v>
      </c>
      <c r="AN4742" s="8">
        <v>152</v>
      </c>
      <c r="AO4742" s="8">
        <v>328</v>
      </c>
    </row>
    <row r="4743" spans="1:41" x14ac:dyDescent="0.25">
      <c r="A4743" s="6" t="str">
        <f t="shared" si="1251"/>
        <v>525-2025000596</v>
      </c>
      <c r="B4743" s="6" t="str">
        <f t="shared" si="1255"/>
        <v>Lasa Int</v>
      </c>
      <c r="C4743" s="7">
        <v>45988</v>
      </c>
      <c r="D4743" s="7">
        <v>46050</v>
      </c>
      <c r="E4743" s="8">
        <v>29</v>
      </c>
      <c r="F4743" s="6" t="str">
        <f t="shared" si="1252"/>
        <v>PURE</v>
      </c>
      <c r="G4743" s="6" t="str">
        <f t="shared" si="1253"/>
        <v>F100021455000000</v>
      </c>
      <c r="H4743" s="6" t="str">
        <f t="shared" si="1254"/>
        <v>FA 214 - PURE - 550</v>
      </c>
      <c r="I4743" s="6" t="str">
        <f>"3235"</f>
        <v>3235</v>
      </c>
      <c r="J4743" s="6" t="str">
        <f>"CINZA 3235"</f>
        <v>CINZA 3235</v>
      </c>
      <c r="K4743" s="6" t="str">
        <f>"2020"</f>
        <v>2020</v>
      </c>
      <c r="L4743" s="6" t="str">
        <f>"Lençóis"</f>
        <v>Lençóis</v>
      </c>
      <c r="M4743" s="6" t="str">
        <f>"100x150"</f>
        <v>100x150</v>
      </c>
      <c r="N4743" s="6" t="str">
        <f>"5602972895315"</f>
        <v>5602972895315</v>
      </c>
      <c r="O4743" s="8">
        <v>320</v>
      </c>
      <c r="P4743" s="7">
        <v>45988</v>
      </c>
      <c r="R4743" s="8">
        <v>0</v>
      </c>
      <c r="S4743" s="7">
        <v>45994</v>
      </c>
      <c r="U4743" s="8">
        <v>320</v>
      </c>
      <c r="V4743" s="7">
        <v>46013</v>
      </c>
      <c r="X4743" s="8">
        <v>0</v>
      </c>
      <c r="Z4743" s="8">
        <v>320</v>
      </c>
      <c r="AA4743" s="7">
        <v>46035</v>
      </c>
      <c r="AC4743" s="8">
        <v>0</v>
      </c>
      <c r="AE4743" s="7">
        <v>46045</v>
      </c>
      <c r="AF4743" s="8">
        <v>0</v>
      </c>
      <c r="AH4743" s="7">
        <v>46043</v>
      </c>
      <c r="AI4743" s="7">
        <v>46042</v>
      </c>
      <c r="AN4743" s="8">
        <v>0</v>
      </c>
      <c r="AO4743" s="8">
        <v>320</v>
      </c>
    </row>
    <row r="4744" spans="1:41" x14ac:dyDescent="0.25">
      <c r="A4744" s="6" t="str">
        <f t="shared" si="1251"/>
        <v>525-2025000596</v>
      </c>
      <c r="B4744" s="6" t="str">
        <f t="shared" si="1255"/>
        <v>Lasa Int</v>
      </c>
      <c r="C4744" s="7">
        <v>45988</v>
      </c>
      <c r="D4744" s="7">
        <v>46050</v>
      </c>
      <c r="E4744" s="8">
        <v>30</v>
      </c>
      <c r="F4744" s="6" t="str">
        <f t="shared" si="1252"/>
        <v>PURE</v>
      </c>
      <c r="G4744" s="6" t="str">
        <f t="shared" si="1253"/>
        <v>F100021455000000</v>
      </c>
      <c r="H4744" s="6" t="str">
        <f t="shared" si="1254"/>
        <v>FA 214 - PURE - 550</v>
      </c>
      <c r="I4744" s="6" t="str">
        <f>"3969"</f>
        <v>3969</v>
      </c>
      <c r="J4744" s="6" t="str">
        <f>"VERDE 3969"</f>
        <v>VERDE 3969</v>
      </c>
      <c r="K4744" s="6" t="str">
        <f>"0530"</f>
        <v>0530</v>
      </c>
      <c r="L4744" s="6" t="str">
        <f>"Toalhetes"</f>
        <v>Toalhetes</v>
      </c>
      <c r="M4744" s="6" t="str">
        <f>"33x50"</f>
        <v>33x50</v>
      </c>
      <c r="N4744" s="6" t="str">
        <f>"5602972761467"</f>
        <v>5602972761467</v>
      </c>
      <c r="O4744" s="8">
        <v>450</v>
      </c>
      <c r="P4744" s="7">
        <v>45988</v>
      </c>
      <c r="R4744" s="8">
        <v>0</v>
      </c>
      <c r="S4744" s="7">
        <v>45994</v>
      </c>
      <c r="U4744" s="8">
        <v>450</v>
      </c>
      <c r="V4744" s="7">
        <v>46013</v>
      </c>
      <c r="X4744" s="8">
        <v>0</v>
      </c>
      <c r="Z4744" s="8">
        <v>450</v>
      </c>
      <c r="AA4744" s="7">
        <v>46035</v>
      </c>
      <c r="AC4744" s="8">
        <v>0</v>
      </c>
      <c r="AE4744" s="7">
        <v>46045</v>
      </c>
      <c r="AF4744" s="8">
        <v>0</v>
      </c>
      <c r="AH4744" s="7">
        <v>46043</v>
      </c>
      <c r="AI4744" s="7">
        <v>46042</v>
      </c>
      <c r="AN4744" s="8">
        <v>0</v>
      </c>
      <c r="AO4744" s="8">
        <v>450</v>
      </c>
    </row>
    <row r="4745" spans="1:41" x14ac:dyDescent="0.25">
      <c r="A4745" s="6" t="str">
        <f t="shared" si="1251"/>
        <v>525-2025000596</v>
      </c>
      <c r="B4745" s="6" t="str">
        <f t="shared" si="1255"/>
        <v>Lasa Int</v>
      </c>
      <c r="C4745" s="7">
        <v>45988</v>
      </c>
      <c r="D4745" s="7">
        <v>46050</v>
      </c>
      <c r="E4745" s="8">
        <v>31</v>
      </c>
      <c r="F4745" s="6" t="str">
        <f t="shared" si="1252"/>
        <v>PURE</v>
      </c>
      <c r="G4745" s="6" t="str">
        <f t="shared" si="1253"/>
        <v>F100021455000000</v>
      </c>
      <c r="H4745" s="6" t="str">
        <f t="shared" si="1254"/>
        <v>FA 214 - PURE - 550</v>
      </c>
      <c r="I4745" s="6" t="str">
        <f>"3969"</f>
        <v>3969</v>
      </c>
      <c r="J4745" s="6" t="str">
        <f>"VERDE 3969"</f>
        <v>VERDE 3969</v>
      </c>
      <c r="K4745" s="6" t="str">
        <f>"1024"</f>
        <v>1024</v>
      </c>
      <c r="L4745" s="6" t="str">
        <f>"Toalhas"</f>
        <v>Toalhas</v>
      </c>
      <c r="M4745" s="6" t="str">
        <f>"50x100"</f>
        <v>50x100</v>
      </c>
      <c r="N4745" s="6" t="str">
        <f>"5602972761474"</f>
        <v>5602972761474</v>
      </c>
      <c r="O4745" s="8">
        <v>480</v>
      </c>
      <c r="P4745" s="7">
        <v>45988</v>
      </c>
      <c r="R4745" s="8">
        <v>0</v>
      </c>
      <c r="S4745" s="7">
        <v>45994</v>
      </c>
      <c r="U4745" s="8">
        <v>480</v>
      </c>
      <c r="V4745" s="7">
        <v>46013</v>
      </c>
      <c r="X4745" s="8">
        <v>0</v>
      </c>
      <c r="Z4745" s="8">
        <v>480</v>
      </c>
      <c r="AA4745" s="7">
        <v>46035</v>
      </c>
      <c r="AC4745" s="8">
        <v>0</v>
      </c>
      <c r="AE4745" s="7">
        <v>46045</v>
      </c>
      <c r="AF4745" s="8">
        <v>0</v>
      </c>
      <c r="AH4745" s="7">
        <v>46043</v>
      </c>
      <c r="AI4745" s="7">
        <v>46042</v>
      </c>
      <c r="AN4745" s="8">
        <v>0</v>
      </c>
      <c r="AO4745" s="8">
        <v>480</v>
      </c>
    </row>
    <row r="4746" spans="1:41" x14ac:dyDescent="0.25">
      <c r="A4746" s="6" t="str">
        <f t="shared" si="1251"/>
        <v>525-2025000596</v>
      </c>
      <c r="B4746" s="6" t="str">
        <f t="shared" si="1255"/>
        <v>Lasa Int</v>
      </c>
      <c r="C4746" s="7">
        <v>45988</v>
      </c>
      <c r="D4746" s="7">
        <v>46050</v>
      </c>
      <c r="E4746" s="8">
        <v>32</v>
      </c>
      <c r="F4746" s="6" t="str">
        <f t="shared" si="1252"/>
        <v>PURE</v>
      </c>
      <c r="G4746" s="6" t="str">
        <f t="shared" si="1253"/>
        <v>F100021455000000</v>
      </c>
      <c r="H4746" s="6" t="str">
        <f t="shared" si="1254"/>
        <v>FA 214 - PURE - 550</v>
      </c>
      <c r="I4746" s="6" t="str">
        <f>"3969"</f>
        <v>3969</v>
      </c>
      <c r="J4746" s="6" t="str">
        <f>"VERDE 3969"</f>
        <v>VERDE 3969</v>
      </c>
      <c r="K4746" s="6" t="str">
        <f>"1535"</f>
        <v>1535</v>
      </c>
      <c r="L4746" s="6" t="str">
        <f>"Toalhões"</f>
        <v>Toalhões</v>
      </c>
      <c r="M4746" s="6" t="str">
        <f>"70x140"</f>
        <v>70x140</v>
      </c>
      <c r="N4746" s="6" t="str">
        <f>"5602972761481"</f>
        <v>5602972761481</v>
      </c>
      <c r="O4746" s="8">
        <v>120</v>
      </c>
      <c r="P4746" s="7">
        <v>45988</v>
      </c>
      <c r="R4746" s="8">
        <v>0</v>
      </c>
      <c r="S4746" s="7">
        <v>45994</v>
      </c>
      <c r="U4746" s="8">
        <v>120</v>
      </c>
      <c r="V4746" s="7">
        <v>46013</v>
      </c>
      <c r="X4746" s="8">
        <v>0</v>
      </c>
      <c r="Z4746" s="8">
        <v>120</v>
      </c>
      <c r="AA4746" s="7">
        <v>46035</v>
      </c>
      <c r="AC4746" s="8">
        <v>0</v>
      </c>
      <c r="AE4746" s="7">
        <v>46045</v>
      </c>
      <c r="AF4746" s="8">
        <v>0</v>
      </c>
      <c r="AH4746" s="7">
        <v>46043</v>
      </c>
      <c r="AI4746" s="7">
        <v>46042</v>
      </c>
      <c r="AN4746" s="8">
        <v>0</v>
      </c>
      <c r="AO4746" s="8">
        <v>120</v>
      </c>
    </row>
    <row r="4747" spans="1:41" x14ac:dyDescent="0.25">
      <c r="A4747" s="6" t="str">
        <f t="shared" ref="A4747:A4763" si="1256">"525-2025000596"</f>
        <v>525-2025000596</v>
      </c>
      <c r="B4747" s="6" t="str">
        <f t="shared" si="1255"/>
        <v>Lasa Int</v>
      </c>
      <c r="C4747" s="7">
        <v>45988</v>
      </c>
      <c r="D4747" s="7">
        <v>46050</v>
      </c>
      <c r="E4747" s="8">
        <v>33</v>
      </c>
      <c r="F4747" s="6" t="str">
        <f t="shared" ref="F4747:F4763" si="1257">"PURE"</f>
        <v>PURE</v>
      </c>
      <c r="G4747" s="6" t="str">
        <f t="shared" si="1253"/>
        <v>F100021455000000</v>
      </c>
      <c r="H4747" s="6" t="str">
        <f t="shared" si="1254"/>
        <v>FA 214 - PURE - 550</v>
      </c>
      <c r="I4747" s="6" t="str">
        <f>"3969"</f>
        <v>3969</v>
      </c>
      <c r="J4747" s="6" t="str">
        <f>"VERDE 3969"</f>
        <v>VERDE 3969</v>
      </c>
      <c r="K4747" s="6" t="str">
        <f>"2020"</f>
        <v>2020</v>
      </c>
      <c r="L4747" s="6" t="str">
        <f>"Lençóis"</f>
        <v>Lençóis</v>
      </c>
      <c r="M4747" s="6" t="str">
        <f>"100x150"</f>
        <v>100x150</v>
      </c>
      <c r="N4747" s="6" t="str">
        <f>"5602972761498"</f>
        <v>5602972761498</v>
      </c>
      <c r="O4747" s="8">
        <v>160</v>
      </c>
      <c r="P4747" s="7">
        <v>45988</v>
      </c>
      <c r="R4747" s="8">
        <v>0</v>
      </c>
      <c r="S4747" s="7">
        <v>45994</v>
      </c>
      <c r="U4747" s="8">
        <v>160</v>
      </c>
      <c r="V4747" s="7">
        <v>46013</v>
      </c>
      <c r="X4747" s="8">
        <v>0</v>
      </c>
      <c r="Z4747" s="8">
        <v>160</v>
      </c>
      <c r="AA4747" s="7">
        <v>46035</v>
      </c>
      <c r="AC4747" s="8">
        <v>114</v>
      </c>
      <c r="AE4747" s="7">
        <v>46045</v>
      </c>
      <c r="AF4747" s="8">
        <v>114</v>
      </c>
      <c r="AH4747" s="7">
        <v>46043</v>
      </c>
      <c r="AI4747" s="7">
        <v>46042</v>
      </c>
      <c r="AN4747" s="8">
        <v>114</v>
      </c>
      <c r="AO4747" s="8">
        <v>46</v>
      </c>
    </row>
    <row r="4748" spans="1:41" x14ac:dyDescent="0.25">
      <c r="A4748" s="6" t="str">
        <f t="shared" si="1256"/>
        <v>525-2025000596</v>
      </c>
      <c r="B4748" s="6" t="str">
        <f t="shared" si="1255"/>
        <v>Lasa Int</v>
      </c>
      <c r="C4748" s="7">
        <v>45988</v>
      </c>
      <c r="D4748" s="7">
        <v>46050</v>
      </c>
      <c r="E4748" s="8">
        <v>34</v>
      </c>
      <c r="F4748" s="6" t="str">
        <f t="shared" si="1257"/>
        <v>PURE</v>
      </c>
      <c r="G4748" s="6" t="str">
        <f t="shared" si="1253"/>
        <v>F100021455000000</v>
      </c>
      <c r="H4748" s="6" t="str">
        <f t="shared" si="1254"/>
        <v>FA 214 - PURE - 550</v>
      </c>
      <c r="I4748" s="6" t="str">
        <f>"4383"</f>
        <v>4383</v>
      </c>
      <c r="J4748" s="6" t="str">
        <f>"AZUL 4383"</f>
        <v>AZUL 4383</v>
      </c>
      <c r="K4748" s="6" t="str">
        <f>"1024"</f>
        <v>1024</v>
      </c>
      <c r="L4748" s="6" t="str">
        <f>"Toalhas"</f>
        <v>Toalhas</v>
      </c>
      <c r="M4748" s="6" t="str">
        <f>"50x100"</f>
        <v>50x100</v>
      </c>
      <c r="N4748" s="6" t="str">
        <f>"5602972795356"</f>
        <v>5602972795356</v>
      </c>
      <c r="O4748" s="8">
        <v>240</v>
      </c>
      <c r="P4748" s="7">
        <v>45988</v>
      </c>
      <c r="R4748" s="8">
        <v>0</v>
      </c>
      <c r="S4748" s="7">
        <v>45994</v>
      </c>
      <c r="U4748" s="8">
        <v>240</v>
      </c>
      <c r="V4748" s="7">
        <v>46013</v>
      </c>
      <c r="X4748" s="8">
        <v>0</v>
      </c>
      <c r="Z4748" s="8">
        <v>240</v>
      </c>
      <c r="AA4748" s="7">
        <v>46035</v>
      </c>
      <c r="AC4748" s="8">
        <v>88</v>
      </c>
      <c r="AE4748" s="7">
        <v>46045</v>
      </c>
      <c r="AF4748" s="8">
        <v>88</v>
      </c>
      <c r="AH4748" s="7">
        <v>46043</v>
      </c>
      <c r="AI4748" s="7">
        <v>46042</v>
      </c>
      <c r="AN4748" s="8">
        <v>88</v>
      </c>
      <c r="AO4748" s="8">
        <v>152</v>
      </c>
    </row>
    <row r="4749" spans="1:41" x14ac:dyDescent="0.25">
      <c r="A4749" s="6" t="str">
        <f t="shared" si="1256"/>
        <v>525-2025000596</v>
      </c>
      <c r="B4749" s="6" t="str">
        <f t="shared" si="1255"/>
        <v>Lasa Int</v>
      </c>
      <c r="C4749" s="7">
        <v>45988</v>
      </c>
      <c r="D4749" s="7">
        <v>46050</v>
      </c>
      <c r="E4749" s="8">
        <v>35</v>
      </c>
      <c r="F4749" s="6" t="str">
        <f t="shared" si="1257"/>
        <v>PURE</v>
      </c>
      <c r="G4749" s="6" t="str">
        <f t="shared" si="1253"/>
        <v>F100021455000000</v>
      </c>
      <c r="H4749" s="6" t="str">
        <f t="shared" si="1254"/>
        <v>FA 214 - PURE - 550</v>
      </c>
      <c r="I4749" s="6" t="str">
        <f>"4383"</f>
        <v>4383</v>
      </c>
      <c r="J4749" s="6" t="str">
        <f>"AZUL 4383"</f>
        <v>AZUL 4383</v>
      </c>
      <c r="K4749" s="6" t="str">
        <f>"1535"</f>
        <v>1535</v>
      </c>
      <c r="L4749" s="6" t="str">
        <f>"Toalhões"</f>
        <v>Toalhões</v>
      </c>
      <c r="M4749" s="6" t="str">
        <f>"70x140"</f>
        <v>70x140</v>
      </c>
      <c r="N4749" s="6" t="str">
        <f>"5602972795363"</f>
        <v>5602972795363</v>
      </c>
      <c r="O4749" s="8">
        <v>360</v>
      </c>
      <c r="P4749" s="7">
        <v>45988</v>
      </c>
      <c r="R4749" s="8">
        <v>0</v>
      </c>
      <c r="S4749" s="7">
        <v>45994</v>
      </c>
      <c r="U4749" s="8">
        <v>360</v>
      </c>
      <c r="V4749" s="7">
        <v>46013</v>
      </c>
      <c r="X4749" s="8">
        <v>0</v>
      </c>
      <c r="Z4749" s="8">
        <v>360</v>
      </c>
      <c r="AA4749" s="7">
        <v>46035</v>
      </c>
      <c r="AC4749" s="8">
        <v>289</v>
      </c>
      <c r="AE4749" s="7">
        <v>46045</v>
      </c>
      <c r="AF4749" s="8">
        <v>289</v>
      </c>
      <c r="AH4749" s="7">
        <v>46043</v>
      </c>
      <c r="AI4749" s="7">
        <v>46042</v>
      </c>
      <c r="AN4749" s="8">
        <v>289</v>
      </c>
      <c r="AO4749" s="8">
        <v>71</v>
      </c>
    </row>
    <row r="4750" spans="1:41" x14ac:dyDescent="0.25">
      <c r="A4750" s="6" t="str">
        <f t="shared" si="1256"/>
        <v>525-2025000596</v>
      </c>
      <c r="B4750" s="6" t="str">
        <f t="shared" si="1255"/>
        <v>Lasa Int</v>
      </c>
      <c r="C4750" s="7">
        <v>45988</v>
      </c>
      <c r="D4750" s="7">
        <v>46050</v>
      </c>
      <c r="E4750" s="8">
        <v>36</v>
      </c>
      <c r="F4750" s="6" t="str">
        <f t="shared" si="1257"/>
        <v>PURE</v>
      </c>
      <c r="G4750" s="6" t="str">
        <f t="shared" si="1253"/>
        <v>F100021455000000</v>
      </c>
      <c r="H4750" s="6" t="str">
        <f t="shared" si="1254"/>
        <v>FA 214 - PURE - 550</v>
      </c>
      <c r="I4750" s="6" t="str">
        <f>"4383"</f>
        <v>4383</v>
      </c>
      <c r="J4750" s="6" t="str">
        <f>"AZUL 4383"</f>
        <v>AZUL 4383</v>
      </c>
      <c r="K4750" s="6" t="str">
        <f>"2020"</f>
        <v>2020</v>
      </c>
      <c r="L4750" s="6" t="str">
        <f>"Lençóis"</f>
        <v>Lençóis</v>
      </c>
      <c r="M4750" s="6" t="str">
        <f>"100x150"</f>
        <v>100x150</v>
      </c>
      <c r="N4750" s="6" t="str">
        <f>"5602972795370"</f>
        <v>5602972795370</v>
      </c>
      <c r="O4750" s="8">
        <v>240</v>
      </c>
      <c r="P4750" s="7">
        <v>45988</v>
      </c>
      <c r="R4750" s="8">
        <v>0</v>
      </c>
      <c r="S4750" s="7">
        <v>45994</v>
      </c>
      <c r="U4750" s="8">
        <v>240</v>
      </c>
      <c r="V4750" s="7">
        <v>46013</v>
      </c>
      <c r="X4750" s="8">
        <v>0</v>
      </c>
      <c r="Z4750" s="8">
        <v>240</v>
      </c>
      <c r="AA4750" s="7">
        <v>46035</v>
      </c>
      <c r="AC4750" s="8">
        <v>0</v>
      </c>
      <c r="AE4750" s="7">
        <v>46045</v>
      </c>
      <c r="AF4750" s="8">
        <v>0</v>
      </c>
      <c r="AH4750" s="7">
        <v>46043</v>
      </c>
      <c r="AI4750" s="7">
        <v>46042</v>
      </c>
      <c r="AN4750" s="8">
        <v>0</v>
      </c>
      <c r="AO4750" s="8">
        <v>240</v>
      </c>
    </row>
    <row r="4751" spans="1:41" x14ac:dyDescent="0.25">
      <c r="A4751" s="6" t="str">
        <f t="shared" si="1256"/>
        <v>525-2025000596</v>
      </c>
      <c r="B4751" s="6" t="str">
        <f t="shared" si="1255"/>
        <v>Lasa Int</v>
      </c>
      <c r="C4751" s="7">
        <v>45988</v>
      </c>
      <c r="D4751" s="7">
        <v>46050</v>
      </c>
      <c r="E4751" s="8">
        <v>37</v>
      </c>
      <c r="F4751" s="6" t="str">
        <f t="shared" si="1257"/>
        <v>PURE</v>
      </c>
      <c r="G4751" s="6" t="str">
        <f t="shared" si="1253"/>
        <v>F100021455000000</v>
      </c>
      <c r="H4751" s="6" t="str">
        <f t="shared" si="1254"/>
        <v>FA 214 - PURE - 550</v>
      </c>
      <c r="I4751" s="6" t="str">
        <f>"5866"</f>
        <v>5866</v>
      </c>
      <c r="J4751" s="6" t="str">
        <f>"ROSA 5866"</f>
        <v>ROSA 5866</v>
      </c>
      <c r="K4751" s="6" t="str">
        <f>"0530"</f>
        <v>0530</v>
      </c>
      <c r="L4751" s="6" t="str">
        <f>"Toalhetes"</f>
        <v>Toalhetes</v>
      </c>
      <c r="M4751" s="6" t="str">
        <f>"33x50"</f>
        <v>33x50</v>
      </c>
      <c r="N4751" s="6" t="str">
        <f>"5602972509458"</f>
        <v>5602972509458</v>
      </c>
      <c r="O4751" s="8">
        <v>450</v>
      </c>
      <c r="P4751" s="7">
        <v>45988</v>
      </c>
      <c r="R4751" s="8">
        <v>0</v>
      </c>
      <c r="S4751" s="7">
        <v>45994</v>
      </c>
      <c r="U4751" s="8">
        <v>450</v>
      </c>
      <c r="V4751" s="7">
        <v>46013</v>
      </c>
      <c r="X4751" s="8">
        <v>0</v>
      </c>
      <c r="Z4751" s="8">
        <v>450</v>
      </c>
      <c r="AA4751" s="7">
        <v>46035</v>
      </c>
      <c r="AC4751" s="8">
        <v>0</v>
      </c>
      <c r="AE4751" s="7">
        <v>46045</v>
      </c>
      <c r="AF4751" s="8">
        <v>0</v>
      </c>
      <c r="AH4751" s="7">
        <v>46043</v>
      </c>
      <c r="AI4751" s="7">
        <v>46042</v>
      </c>
      <c r="AN4751" s="8">
        <v>0</v>
      </c>
      <c r="AO4751" s="8">
        <v>450</v>
      </c>
    </row>
    <row r="4752" spans="1:41" x14ac:dyDescent="0.25">
      <c r="A4752" s="6" t="str">
        <f t="shared" si="1256"/>
        <v>525-2025000596</v>
      </c>
      <c r="B4752" s="6" t="str">
        <f t="shared" si="1255"/>
        <v>Lasa Int</v>
      </c>
      <c r="C4752" s="7">
        <v>45988</v>
      </c>
      <c r="D4752" s="7">
        <v>46050</v>
      </c>
      <c r="E4752" s="8">
        <v>38</v>
      </c>
      <c r="F4752" s="6" t="str">
        <f t="shared" si="1257"/>
        <v>PURE</v>
      </c>
      <c r="G4752" s="6" t="str">
        <f t="shared" si="1253"/>
        <v>F100021455000000</v>
      </c>
      <c r="H4752" s="6" t="str">
        <f t="shared" si="1254"/>
        <v>FA 214 - PURE - 550</v>
      </c>
      <c r="I4752" s="6" t="str">
        <f>"5866"</f>
        <v>5866</v>
      </c>
      <c r="J4752" s="6" t="str">
        <f>"ROSA 5866"</f>
        <v>ROSA 5866</v>
      </c>
      <c r="K4752" s="6" t="str">
        <f>"1024"</f>
        <v>1024</v>
      </c>
      <c r="L4752" s="6" t="str">
        <f>"Toalhas"</f>
        <v>Toalhas</v>
      </c>
      <c r="M4752" s="6" t="str">
        <f>"50x100"</f>
        <v>50x100</v>
      </c>
      <c r="N4752" s="6" t="str">
        <f>"5602972509465"</f>
        <v>5602972509465</v>
      </c>
      <c r="O4752" s="8">
        <v>240</v>
      </c>
      <c r="P4752" s="7">
        <v>45988</v>
      </c>
      <c r="R4752" s="8">
        <v>0</v>
      </c>
      <c r="S4752" s="7">
        <v>45994</v>
      </c>
      <c r="U4752" s="8">
        <v>240</v>
      </c>
      <c r="V4752" s="7">
        <v>46013</v>
      </c>
      <c r="X4752" s="8">
        <v>0</v>
      </c>
      <c r="Z4752" s="8">
        <v>240</v>
      </c>
      <c r="AA4752" s="7">
        <v>46035</v>
      </c>
      <c r="AC4752" s="8">
        <v>0</v>
      </c>
      <c r="AE4752" s="7">
        <v>46045</v>
      </c>
      <c r="AF4752" s="8">
        <v>0</v>
      </c>
      <c r="AH4752" s="7">
        <v>46043</v>
      </c>
      <c r="AI4752" s="7">
        <v>46042</v>
      </c>
      <c r="AN4752" s="8">
        <v>0</v>
      </c>
      <c r="AO4752" s="8">
        <v>240</v>
      </c>
    </row>
    <row r="4753" spans="1:41" x14ac:dyDescent="0.25">
      <c r="A4753" s="6" t="str">
        <f t="shared" si="1256"/>
        <v>525-2025000596</v>
      </c>
      <c r="B4753" s="6" t="str">
        <f t="shared" si="1255"/>
        <v>Lasa Int</v>
      </c>
      <c r="C4753" s="7">
        <v>45988</v>
      </c>
      <c r="D4753" s="7">
        <v>46050</v>
      </c>
      <c r="E4753" s="8">
        <v>39</v>
      </c>
      <c r="F4753" s="6" t="str">
        <f t="shared" si="1257"/>
        <v>PURE</v>
      </c>
      <c r="G4753" s="6" t="str">
        <f t="shared" si="1253"/>
        <v>F100021455000000</v>
      </c>
      <c r="H4753" s="6" t="str">
        <f t="shared" si="1254"/>
        <v>FA 214 - PURE - 550</v>
      </c>
      <c r="I4753" s="6" t="str">
        <f>"5866"</f>
        <v>5866</v>
      </c>
      <c r="J4753" s="6" t="str">
        <f>"ROSA 5866"</f>
        <v>ROSA 5866</v>
      </c>
      <c r="K4753" s="6" t="str">
        <f>"1535"</f>
        <v>1535</v>
      </c>
      <c r="L4753" s="6" t="str">
        <f>"Toalhões"</f>
        <v>Toalhões</v>
      </c>
      <c r="M4753" s="6" t="str">
        <f>"70x140"</f>
        <v>70x140</v>
      </c>
      <c r="N4753" s="6" t="str">
        <f>"5602972509472"</f>
        <v>5602972509472</v>
      </c>
      <c r="O4753" s="8">
        <v>240</v>
      </c>
      <c r="P4753" s="7">
        <v>45988</v>
      </c>
      <c r="R4753" s="8">
        <v>0</v>
      </c>
      <c r="S4753" s="7">
        <v>45994</v>
      </c>
      <c r="U4753" s="8">
        <v>240</v>
      </c>
      <c r="V4753" s="7">
        <v>46013</v>
      </c>
      <c r="X4753" s="8">
        <v>0</v>
      </c>
      <c r="Z4753" s="8">
        <v>240</v>
      </c>
      <c r="AA4753" s="7">
        <v>46035</v>
      </c>
      <c r="AC4753" s="8">
        <v>173</v>
      </c>
      <c r="AE4753" s="7">
        <v>46045</v>
      </c>
      <c r="AF4753" s="8">
        <v>173</v>
      </c>
      <c r="AH4753" s="7">
        <v>46043</v>
      </c>
      <c r="AI4753" s="7">
        <v>46042</v>
      </c>
      <c r="AN4753" s="8">
        <v>173</v>
      </c>
      <c r="AO4753" s="8">
        <v>67</v>
      </c>
    </row>
    <row r="4754" spans="1:41" x14ac:dyDescent="0.25">
      <c r="A4754" s="6" t="str">
        <f t="shared" si="1256"/>
        <v>525-2025000596</v>
      </c>
      <c r="B4754" s="6" t="str">
        <f t="shared" si="1255"/>
        <v>Lasa Int</v>
      </c>
      <c r="C4754" s="7">
        <v>45988</v>
      </c>
      <c r="D4754" s="7">
        <v>46050</v>
      </c>
      <c r="E4754" s="8">
        <v>40</v>
      </c>
      <c r="F4754" s="6" t="str">
        <f t="shared" si="1257"/>
        <v>PURE</v>
      </c>
      <c r="G4754" s="6" t="str">
        <f t="shared" si="1253"/>
        <v>F100021455000000</v>
      </c>
      <c r="H4754" s="6" t="str">
        <f t="shared" si="1254"/>
        <v>FA 214 - PURE - 550</v>
      </c>
      <c r="I4754" s="6" t="str">
        <f>"5866"</f>
        <v>5866</v>
      </c>
      <c r="J4754" s="6" t="str">
        <f>"ROSA 5866"</f>
        <v>ROSA 5866</v>
      </c>
      <c r="K4754" s="6" t="str">
        <f>"2020"</f>
        <v>2020</v>
      </c>
      <c r="L4754" s="6" t="str">
        <f>"Lençóis"</f>
        <v>Lençóis</v>
      </c>
      <c r="M4754" s="6" t="str">
        <f>"100x150"</f>
        <v>100x150</v>
      </c>
      <c r="N4754" s="6" t="str">
        <f>"5602972509489"</f>
        <v>5602972509489</v>
      </c>
      <c r="O4754" s="8">
        <v>240</v>
      </c>
      <c r="P4754" s="7">
        <v>45988</v>
      </c>
      <c r="R4754" s="8">
        <v>0</v>
      </c>
      <c r="S4754" s="7">
        <v>45994</v>
      </c>
      <c r="U4754" s="8">
        <v>240</v>
      </c>
      <c r="V4754" s="7">
        <v>46013</v>
      </c>
      <c r="X4754" s="8">
        <v>0</v>
      </c>
      <c r="Z4754" s="8">
        <v>240</v>
      </c>
      <c r="AA4754" s="7">
        <v>46035</v>
      </c>
      <c r="AC4754" s="8">
        <v>183</v>
      </c>
      <c r="AE4754" s="7">
        <v>46045</v>
      </c>
      <c r="AF4754" s="8">
        <v>183</v>
      </c>
      <c r="AH4754" s="7">
        <v>46043</v>
      </c>
      <c r="AI4754" s="7">
        <v>46042</v>
      </c>
      <c r="AN4754" s="8">
        <v>183</v>
      </c>
      <c r="AO4754" s="8">
        <v>57</v>
      </c>
    </row>
    <row r="4755" spans="1:41" x14ac:dyDescent="0.25">
      <c r="A4755" s="6" t="str">
        <f t="shared" si="1256"/>
        <v>525-2025000596</v>
      </c>
      <c r="B4755" s="6" t="str">
        <f t="shared" si="1255"/>
        <v>Lasa Int</v>
      </c>
      <c r="C4755" s="7">
        <v>45988</v>
      </c>
      <c r="D4755" s="7">
        <v>46050</v>
      </c>
      <c r="E4755" s="8">
        <v>41</v>
      </c>
      <c r="F4755" s="6" t="str">
        <f t="shared" si="1257"/>
        <v>PURE</v>
      </c>
      <c r="G4755" s="6" t="str">
        <f t="shared" si="1253"/>
        <v>F100021455000000</v>
      </c>
      <c r="H4755" s="6" t="str">
        <f t="shared" si="1254"/>
        <v>FA 214 - PURE - 550</v>
      </c>
      <c r="I4755" s="6" t="str">
        <f>"784"</f>
        <v>784</v>
      </c>
      <c r="J4755" s="6" t="str">
        <f>"ROSA 784"</f>
        <v>ROSA 784</v>
      </c>
      <c r="K4755" s="6" t="str">
        <f>"1024"</f>
        <v>1024</v>
      </c>
      <c r="L4755" s="6" t="str">
        <f>"Toalhas"</f>
        <v>Toalhas</v>
      </c>
      <c r="M4755" s="6" t="str">
        <f>"50x100"</f>
        <v>50x100</v>
      </c>
      <c r="N4755" s="6" t="str">
        <f>"5602972836752"</f>
        <v>5602972836752</v>
      </c>
      <c r="O4755" s="8">
        <v>480</v>
      </c>
      <c r="P4755" s="7">
        <v>45988</v>
      </c>
      <c r="R4755" s="8">
        <v>0</v>
      </c>
      <c r="S4755" s="7">
        <v>45994</v>
      </c>
      <c r="U4755" s="8">
        <v>480</v>
      </c>
      <c r="V4755" s="7">
        <v>46013</v>
      </c>
      <c r="X4755" s="8">
        <v>0</v>
      </c>
      <c r="Z4755" s="8">
        <v>480</v>
      </c>
      <c r="AA4755" s="7">
        <v>46035</v>
      </c>
      <c r="AC4755" s="8">
        <v>0</v>
      </c>
      <c r="AE4755" s="7">
        <v>46045</v>
      </c>
      <c r="AF4755" s="8">
        <v>0</v>
      </c>
      <c r="AH4755" s="7">
        <v>46043</v>
      </c>
      <c r="AI4755" s="7">
        <v>46042</v>
      </c>
      <c r="AN4755" s="8">
        <v>0</v>
      </c>
      <c r="AO4755" s="8">
        <v>480</v>
      </c>
    </row>
    <row r="4756" spans="1:41" x14ac:dyDescent="0.25">
      <c r="A4756" s="6" t="str">
        <f t="shared" si="1256"/>
        <v>525-2025000596</v>
      </c>
      <c r="B4756" s="6" t="str">
        <f t="shared" si="1255"/>
        <v>Lasa Int</v>
      </c>
      <c r="C4756" s="7">
        <v>45988</v>
      </c>
      <c r="D4756" s="7">
        <v>46050</v>
      </c>
      <c r="E4756" s="8">
        <v>42</v>
      </c>
      <c r="F4756" s="6" t="str">
        <f t="shared" si="1257"/>
        <v>PURE</v>
      </c>
      <c r="G4756" s="6" t="str">
        <f t="shared" si="1253"/>
        <v>F100021455000000</v>
      </c>
      <c r="H4756" s="6" t="str">
        <f t="shared" si="1254"/>
        <v>FA 214 - PURE - 550</v>
      </c>
      <c r="I4756" s="6" t="str">
        <f>"784"</f>
        <v>784</v>
      </c>
      <c r="J4756" s="6" t="str">
        <f>"ROSA 784"</f>
        <v>ROSA 784</v>
      </c>
      <c r="K4756" s="6" t="str">
        <f>"1535"</f>
        <v>1535</v>
      </c>
      <c r="L4756" s="6" t="str">
        <f>"Toalhões"</f>
        <v>Toalhões</v>
      </c>
      <c r="M4756" s="6" t="str">
        <f>"70x140"</f>
        <v>70x140</v>
      </c>
      <c r="N4756" s="6" t="str">
        <f>"5602972836769"</f>
        <v>5602972836769</v>
      </c>
      <c r="O4756" s="8">
        <v>240</v>
      </c>
      <c r="P4756" s="7">
        <v>45988</v>
      </c>
      <c r="R4756" s="8">
        <v>0</v>
      </c>
      <c r="S4756" s="7">
        <v>45994</v>
      </c>
      <c r="U4756" s="8">
        <v>240</v>
      </c>
      <c r="V4756" s="7">
        <v>46013</v>
      </c>
      <c r="X4756" s="8">
        <v>0</v>
      </c>
      <c r="Z4756" s="8">
        <v>240</v>
      </c>
      <c r="AA4756" s="7">
        <v>46035</v>
      </c>
      <c r="AC4756" s="8">
        <v>0</v>
      </c>
      <c r="AE4756" s="7">
        <v>46045</v>
      </c>
      <c r="AF4756" s="8">
        <v>0</v>
      </c>
      <c r="AH4756" s="7">
        <v>46043</v>
      </c>
      <c r="AI4756" s="7">
        <v>46042</v>
      </c>
      <c r="AN4756" s="8">
        <v>0</v>
      </c>
      <c r="AO4756" s="8">
        <v>240</v>
      </c>
    </row>
    <row r="4757" spans="1:41" x14ac:dyDescent="0.25">
      <c r="A4757" s="6" t="str">
        <f t="shared" si="1256"/>
        <v>525-2025000596</v>
      </c>
      <c r="B4757" s="6" t="str">
        <f t="shared" si="1255"/>
        <v>Lasa Int</v>
      </c>
      <c r="C4757" s="7">
        <v>45988</v>
      </c>
      <c r="D4757" s="7">
        <v>46050</v>
      </c>
      <c r="E4757" s="8">
        <v>43</v>
      </c>
      <c r="F4757" s="6" t="str">
        <f t="shared" si="1257"/>
        <v>PURE</v>
      </c>
      <c r="G4757" s="6" t="str">
        <f t="shared" si="1253"/>
        <v>F100021455000000</v>
      </c>
      <c r="H4757" s="6" t="str">
        <f t="shared" si="1254"/>
        <v>FA 214 - PURE - 550</v>
      </c>
      <c r="I4757" s="6" t="str">
        <f>"784"</f>
        <v>784</v>
      </c>
      <c r="J4757" s="6" t="str">
        <f>"ROSA 784"</f>
        <v>ROSA 784</v>
      </c>
      <c r="K4757" s="6" t="str">
        <f>"2020"</f>
        <v>2020</v>
      </c>
      <c r="L4757" s="6" t="str">
        <f>"Lençóis"</f>
        <v>Lençóis</v>
      </c>
      <c r="M4757" s="6" t="str">
        <f>"100x150"</f>
        <v>100x150</v>
      </c>
      <c r="N4757" s="6" t="str">
        <f>"5602972836776"</f>
        <v>5602972836776</v>
      </c>
      <c r="O4757" s="8">
        <v>160</v>
      </c>
      <c r="P4757" s="7">
        <v>45988</v>
      </c>
      <c r="R4757" s="8">
        <v>0</v>
      </c>
      <c r="S4757" s="7">
        <v>45994</v>
      </c>
      <c r="U4757" s="8">
        <v>160</v>
      </c>
      <c r="V4757" s="7">
        <v>46013</v>
      </c>
      <c r="X4757" s="8">
        <v>0</v>
      </c>
      <c r="Z4757" s="8">
        <v>160</v>
      </c>
      <c r="AA4757" s="7">
        <v>46035</v>
      </c>
      <c r="AC4757" s="8">
        <v>0</v>
      </c>
      <c r="AE4757" s="7">
        <v>46045</v>
      </c>
      <c r="AF4757" s="8">
        <v>0</v>
      </c>
      <c r="AH4757" s="7">
        <v>46043</v>
      </c>
      <c r="AI4757" s="7">
        <v>46042</v>
      </c>
      <c r="AN4757" s="8">
        <v>0</v>
      </c>
      <c r="AO4757" s="8">
        <v>160</v>
      </c>
    </row>
    <row r="4758" spans="1:41" x14ac:dyDescent="0.25">
      <c r="A4758" s="6" t="str">
        <f t="shared" si="1256"/>
        <v>525-2025000596</v>
      </c>
      <c r="B4758" s="6" t="str">
        <f t="shared" si="1255"/>
        <v>Lasa Int</v>
      </c>
      <c r="C4758" s="7">
        <v>45988</v>
      </c>
      <c r="D4758" s="7">
        <v>46050</v>
      </c>
      <c r="E4758" s="8">
        <v>44</v>
      </c>
      <c r="F4758" s="6" t="str">
        <f t="shared" si="1257"/>
        <v>PURE</v>
      </c>
      <c r="G4758" s="6" t="str">
        <f t="shared" si="1253"/>
        <v>F100021455000000</v>
      </c>
      <c r="H4758" s="6" t="str">
        <f t="shared" si="1254"/>
        <v>FA 214 - PURE - 550</v>
      </c>
      <c r="I4758" s="6" t="str">
        <f>"2334"</f>
        <v>2334</v>
      </c>
      <c r="J4758" s="6" t="str">
        <f>"TURQUESA 2334"</f>
        <v>TURQUESA 2334</v>
      </c>
      <c r="K4758" s="6" t="str">
        <f>"1024"</f>
        <v>1024</v>
      </c>
      <c r="L4758" s="6" t="str">
        <f>"Toalhas"</f>
        <v>Toalhas</v>
      </c>
      <c r="M4758" s="6" t="str">
        <f>"50x100"</f>
        <v>50x100</v>
      </c>
      <c r="N4758" s="6" t="str">
        <f>"5602972836950"</f>
        <v>5602972836950</v>
      </c>
      <c r="O4758" s="8">
        <v>720</v>
      </c>
      <c r="P4758" s="7">
        <v>45988</v>
      </c>
      <c r="R4758" s="8">
        <v>0</v>
      </c>
      <c r="S4758" s="7">
        <v>45994</v>
      </c>
      <c r="U4758" s="8">
        <v>720</v>
      </c>
      <c r="V4758" s="7">
        <v>46013</v>
      </c>
      <c r="X4758" s="8">
        <v>0</v>
      </c>
      <c r="Z4758" s="8">
        <v>720</v>
      </c>
      <c r="AA4758" s="7">
        <v>46035</v>
      </c>
      <c r="AC4758" s="8">
        <v>0</v>
      </c>
      <c r="AE4758" s="7">
        <v>46045</v>
      </c>
      <c r="AF4758" s="8">
        <v>0</v>
      </c>
      <c r="AH4758" s="7">
        <v>46043</v>
      </c>
      <c r="AI4758" s="7">
        <v>46042</v>
      </c>
      <c r="AN4758" s="8">
        <v>0</v>
      </c>
      <c r="AO4758" s="8">
        <v>720</v>
      </c>
    </row>
    <row r="4759" spans="1:41" x14ac:dyDescent="0.25">
      <c r="A4759" s="6" t="str">
        <f t="shared" si="1256"/>
        <v>525-2025000596</v>
      </c>
      <c r="B4759" s="6" t="str">
        <f t="shared" si="1255"/>
        <v>Lasa Int</v>
      </c>
      <c r="C4759" s="7">
        <v>45988</v>
      </c>
      <c r="D4759" s="7">
        <v>46050</v>
      </c>
      <c r="E4759" s="8">
        <v>45</v>
      </c>
      <c r="F4759" s="6" t="str">
        <f t="shared" si="1257"/>
        <v>PURE</v>
      </c>
      <c r="G4759" s="6" t="str">
        <f t="shared" si="1253"/>
        <v>F100021455000000</v>
      </c>
      <c r="H4759" s="6" t="str">
        <f t="shared" si="1254"/>
        <v>FA 214 - PURE - 550</v>
      </c>
      <c r="I4759" s="6" t="str">
        <f>"2334"</f>
        <v>2334</v>
      </c>
      <c r="J4759" s="6" t="str">
        <f>"TURQUESA 2334"</f>
        <v>TURQUESA 2334</v>
      </c>
      <c r="K4759" s="6" t="str">
        <f>"2020"</f>
        <v>2020</v>
      </c>
      <c r="L4759" s="6" t="str">
        <f>"Lençóis"</f>
        <v>Lençóis</v>
      </c>
      <c r="M4759" s="6" t="str">
        <f>"100x150"</f>
        <v>100x150</v>
      </c>
      <c r="N4759" s="6" t="str">
        <f>"5602972836974"</f>
        <v>5602972836974</v>
      </c>
      <c r="O4759" s="8">
        <v>160</v>
      </c>
      <c r="P4759" s="7">
        <v>45988</v>
      </c>
      <c r="R4759" s="8">
        <v>0</v>
      </c>
      <c r="S4759" s="7">
        <v>45994</v>
      </c>
      <c r="U4759" s="8">
        <v>160</v>
      </c>
      <c r="V4759" s="7">
        <v>46013</v>
      </c>
      <c r="X4759" s="8">
        <v>0</v>
      </c>
      <c r="Z4759" s="8">
        <v>160</v>
      </c>
      <c r="AA4759" s="7">
        <v>46035</v>
      </c>
      <c r="AC4759" s="8">
        <v>81</v>
      </c>
      <c r="AE4759" s="7">
        <v>46045</v>
      </c>
      <c r="AF4759" s="8">
        <v>81</v>
      </c>
      <c r="AH4759" s="7">
        <v>46043</v>
      </c>
      <c r="AI4759" s="7">
        <v>46042</v>
      </c>
      <c r="AN4759" s="8">
        <v>81</v>
      </c>
      <c r="AO4759" s="8">
        <v>79</v>
      </c>
    </row>
    <row r="4760" spans="1:41" x14ac:dyDescent="0.25">
      <c r="A4760" s="6" t="str">
        <f t="shared" si="1256"/>
        <v>525-2025000596</v>
      </c>
      <c r="B4760" s="6" t="str">
        <f t="shared" si="1255"/>
        <v>Lasa Int</v>
      </c>
      <c r="C4760" s="7">
        <v>45988</v>
      </c>
      <c r="D4760" s="7">
        <v>46050</v>
      </c>
      <c r="E4760" s="8">
        <v>46</v>
      </c>
      <c r="F4760" s="6" t="str">
        <f t="shared" si="1257"/>
        <v>PURE</v>
      </c>
      <c r="G4760" s="6" t="str">
        <f>"F161003770000000"</f>
        <v>F161003770000000</v>
      </c>
      <c r="H4760" s="6" t="str">
        <f>"TA 37 - 700 g/m²"</f>
        <v>TA 37 - 700 g/m²</v>
      </c>
      <c r="I4760" s="6" t="str">
        <f>"2096"</f>
        <v>2096</v>
      </c>
      <c r="J4760" s="6" t="str">
        <f>"AZUL 2096"</f>
        <v>AZUL 2096</v>
      </c>
      <c r="K4760" s="6" t="str">
        <f>"3012"</f>
        <v>3012</v>
      </c>
      <c r="L4760" s="6" t="str">
        <f>"Tapetes"</f>
        <v>Tapetes</v>
      </c>
      <c r="M4760" s="6" t="str">
        <f t="shared" ref="M4760:M4766" si="1258">"50x70"</f>
        <v>50x70</v>
      </c>
      <c r="N4760" s="6" t="str">
        <f>"5602972805468"</f>
        <v>5602972805468</v>
      </c>
      <c r="O4760" s="8">
        <v>100</v>
      </c>
      <c r="P4760" s="7">
        <v>45988</v>
      </c>
      <c r="R4760" s="8">
        <v>0</v>
      </c>
      <c r="S4760" s="7">
        <v>45994</v>
      </c>
      <c r="U4760" s="8">
        <v>100</v>
      </c>
      <c r="V4760" s="7">
        <v>46013</v>
      </c>
      <c r="X4760" s="8">
        <v>0</v>
      </c>
      <c r="Z4760" s="8">
        <v>100</v>
      </c>
      <c r="AA4760" s="7">
        <v>46035</v>
      </c>
      <c r="AC4760" s="8">
        <v>0</v>
      </c>
      <c r="AE4760" s="7">
        <v>46045</v>
      </c>
      <c r="AF4760" s="8">
        <v>0</v>
      </c>
      <c r="AH4760" s="7">
        <v>46043</v>
      </c>
      <c r="AI4760" s="7">
        <v>46042</v>
      </c>
      <c r="AN4760" s="8">
        <v>0</v>
      </c>
      <c r="AO4760" s="8">
        <v>100</v>
      </c>
    </row>
    <row r="4761" spans="1:41" x14ac:dyDescent="0.25">
      <c r="A4761" s="6" t="str">
        <f t="shared" si="1256"/>
        <v>525-2025000596</v>
      </c>
      <c r="B4761" s="6" t="str">
        <f t="shared" si="1255"/>
        <v>Lasa Int</v>
      </c>
      <c r="C4761" s="7">
        <v>45988</v>
      </c>
      <c r="D4761" s="7">
        <v>46050</v>
      </c>
      <c r="E4761" s="8">
        <v>47</v>
      </c>
      <c r="F4761" s="6" t="str">
        <f t="shared" si="1257"/>
        <v>PURE</v>
      </c>
      <c r="G4761" s="6" t="str">
        <f>"F161003770000000"</f>
        <v>F161003770000000</v>
      </c>
      <c r="H4761" s="6" t="str">
        <f>"TA 37 - 700 g/m²"</f>
        <v>TA 37 - 700 g/m²</v>
      </c>
      <c r="I4761" s="6" t="str">
        <f>"2596"</f>
        <v>2596</v>
      </c>
      <c r="J4761" s="6" t="str">
        <f>"VERDE 2596"</f>
        <v>VERDE 2596</v>
      </c>
      <c r="K4761" s="6" t="str">
        <f>"3012"</f>
        <v>3012</v>
      </c>
      <c r="L4761" s="6" t="str">
        <f>"Tapetes"</f>
        <v>Tapetes</v>
      </c>
      <c r="M4761" s="6" t="str">
        <f t="shared" si="1258"/>
        <v>50x70</v>
      </c>
      <c r="N4761" s="6" t="str">
        <f>"5602972724554"</f>
        <v>5602972724554</v>
      </c>
      <c r="O4761" s="8">
        <v>100</v>
      </c>
      <c r="P4761" s="7">
        <v>45988</v>
      </c>
      <c r="R4761" s="8">
        <v>0</v>
      </c>
      <c r="S4761" s="7">
        <v>45994</v>
      </c>
      <c r="U4761" s="8">
        <v>100</v>
      </c>
      <c r="V4761" s="7">
        <v>46013</v>
      </c>
      <c r="X4761" s="8">
        <v>0</v>
      </c>
      <c r="Z4761" s="8">
        <v>100</v>
      </c>
      <c r="AA4761" s="7">
        <v>46035</v>
      </c>
      <c r="AC4761" s="8">
        <v>0</v>
      </c>
      <c r="AE4761" s="7">
        <v>46045</v>
      </c>
      <c r="AF4761" s="8">
        <v>0</v>
      </c>
      <c r="AH4761" s="7">
        <v>46043</v>
      </c>
      <c r="AI4761" s="7">
        <v>46042</v>
      </c>
      <c r="AN4761" s="8">
        <v>0</v>
      </c>
      <c r="AO4761" s="8">
        <v>100</v>
      </c>
    </row>
    <row r="4762" spans="1:41" x14ac:dyDescent="0.25">
      <c r="A4762" s="6" t="str">
        <f t="shared" si="1256"/>
        <v>525-2025000596</v>
      </c>
      <c r="B4762" s="6" t="str">
        <f t="shared" si="1255"/>
        <v>Lasa Int</v>
      </c>
      <c r="C4762" s="7">
        <v>45988</v>
      </c>
      <c r="D4762" s="7">
        <v>46050</v>
      </c>
      <c r="E4762" s="8">
        <v>48</v>
      </c>
      <c r="F4762" s="6" t="str">
        <f t="shared" si="1257"/>
        <v>PURE</v>
      </c>
      <c r="G4762" s="6" t="str">
        <f>"F161003770000000"</f>
        <v>F161003770000000</v>
      </c>
      <c r="H4762" s="6" t="str">
        <f>"TA 37 - 700 g/m²"</f>
        <v>TA 37 - 700 g/m²</v>
      </c>
      <c r="I4762" s="6" t="str">
        <f>"3235"</f>
        <v>3235</v>
      </c>
      <c r="J4762" s="6" t="str">
        <f>"CINZA 3235"</f>
        <v>CINZA 3235</v>
      </c>
      <c r="K4762" s="6" t="str">
        <f>"3012"</f>
        <v>3012</v>
      </c>
      <c r="L4762" s="6" t="str">
        <f>"Tapetes"</f>
        <v>Tapetes</v>
      </c>
      <c r="M4762" s="6" t="str">
        <f t="shared" si="1258"/>
        <v>50x70</v>
      </c>
      <c r="N4762" s="6" t="str">
        <f>"5602972895391"</f>
        <v>5602972895391</v>
      </c>
      <c r="O4762" s="8">
        <v>200</v>
      </c>
      <c r="P4762" s="7">
        <v>45988</v>
      </c>
      <c r="R4762" s="8">
        <v>0</v>
      </c>
      <c r="S4762" s="7">
        <v>45994</v>
      </c>
      <c r="U4762" s="8">
        <v>200</v>
      </c>
      <c r="V4762" s="7">
        <v>46013</v>
      </c>
      <c r="X4762" s="8">
        <v>0</v>
      </c>
      <c r="Z4762" s="8">
        <v>200</v>
      </c>
      <c r="AA4762" s="7">
        <v>46035</v>
      </c>
      <c r="AC4762" s="8">
        <v>0</v>
      </c>
      <c r="AE4762" s="7">
        <v>46045</v>
      </c>
      <c r="AF4762" s="8">
        <v>0</v>
      </c>
      <c r="AH4762" s="7">
        <v>46043</v>
      </c>
      <c r="AI4762" s="7">
        <v>46042</v>
      </c>
      <c r="AN4762" s="8">
        <v>0</v>
      </c>
      <c r="AO4762" s="8">
        <v>200</v>
      </c>
    </row>
    <row r="4763" spans="1:41" x14ac:dyDescent="0.25">
      <c r="A4763" s="6" t="str">
        <f t="shared" si="1256"/>
        <v>525-2025000596</v>
      </c>
      <c r="B4763" s="6" t="str">
        <f t="shared" si="1255"/>
        <v>Lasa Int</v>
      </c>
      <c r="C4763" s="7">
        <v>45988</v>
      </c>
      <c r="D4763" s="7">
        <v>46050</v>
      </c>
      <c r="E4763" s="8">
        <v>49</v>
      </c>
      <c r="F4763" s="6" t="str">
        <f t="shared" si="1257"/>
        <v>PURE</v>
      </c>
      <c r="G4763" s="6" t="str">
        <f>"F161003770000000"</f>
        <v>F161003770000000</v>
      </c>
      <c r="H4763" s="6" t="str">
        <f>"TA 37 - 700 g/m²"</f>
        <v>TA 37 - 700 g/m²</v>
      </c>
      <c r="I4763" s="6" t="str">
        <f>"2334"</f>
        <v>2334</v>
      </c>
      <c r="J4763" s="6" t="str">
        <f>"TURQUESA 2334"</f>
        <v>TURQUESA 2334</v>
      </c>
      <c r="K4763" s="6" t="str">
        <f>"3012"</f>
        <v>3012</v>
      </c>
      <c r="L4763" s="6" t="str">
        <f>"Tapetes"</f>
        <v>Tapetes</v>
      </c>
      <c r="M4763" s="6" t="str">
        <f t="shared" si="1258"/>
        <v>50x70</v>
      </c>
      <c r="N4763" s="6" t="str">
        <f>"5602972837346"</f>
        <v>5602972837346</v>
      </c>
      <c r="O4763" s="8">
        <v>100</v>
      </c>
      <c r="P4763" s="7">
        <v>45988</v>
      </c>
      <c r="R4763" s="8">
        <v>0</v>
      </c>
      <c r="S4763" s="7">
        <v>45994</v>
      </c>
      <c r="U4763" s="8">
        <v>100</v>
      </c>
      <c r="V4763" s="7">
        <v>46013</v>
      </c>
      <c r="X4763" s="8">
        <v>0</v>
      </c>
      <c r="Z4763" s="8">
        <v>100</v>
      </c>
      <c r="AA4763" s="7">
        <v>46035</v>
      </c>
      <c r="AC4763" s="8">
        <v>80</v>
      </c>
      <c r="AE4763" s="7">
        <v>46045</v>
      </c>
      <c r="AF4763" s="8">
        <v>80</v>
      </c>
      <c r="AH4763" s="7">
        <v>46043</v>
      </c>
      <c r="AI4763" s="7">
        <v>46042</v>
      </c>
      <c r="AN4763" s="8">
        <v>80</v>
      </c>
      <c r="AO4763" s="8">
        <v>20</v>
      </c>
    </row>
    <row r="4764" spans="1:41" x14ac:dyDescent="0.25">
      <c r="A4764" s="6" t="str">
        <f>"525-2025000597"</f>
        <v>525-2025000597</v>
      </c>
      <c r="B4764" s="6" t="str">
        <f>"KLEINMAN"</f>
        <v>KLEINMAN</v>
      </c>
      <c r="C4764" s="7">
        <v>45988</v>
      </c>
      <c r="D4764" s="7">
        <v>46066</v>
      </c>
      <c r="E4764" s="8">
        <v>1</v>
      </c>
      <c r="F4764" s="6" t="str">
        <f>"Favo"</f>
        <v>Favo</v>
      </c>
      <c r="G4764" s="6" t="str">
        <f>"C001090426000000"</f>
        <v>C001090426000000</v>
      </c>
      <c r="H4764" s="6" t="str">
        <f>"CZJ 0904 - 260 gr/m²"</f>
        <v>CZJ 0904 - 260 gr/m²</v>
      </c>
      <c r="I4764" s="6" t="str">
        <f>"200498"</f>
        <v>200498</v>
      </c>
      <c r="J4764" s="6" t="str">
        <f>"VERMELHO 498"</f>
        <v>VERMELHO 498</v>
      </c>
      <c r="K4764" s="6" t="str">
        <f>"0830"</f>
        <v>0830</v>
      </c>
      <c r="L4764" s="6" t="str">
        <f>"Cozinha"</f>
        <v>Cozinha</v>
      </c>
      <c r="M4764" s="6" t="str">
        <f t="shared" si="1258"/>
        <v>50x70</v>
      </c>
      <c r="N4764" s="6" t="str">
        <f>"5605247633674"</f>
        <v>5605247633674</v>
      </c>
      <c r="O4764" s="8">
        <v>1500</v>
      </c>
      <c r="P4764" s="7">
        <v>46037</v>
      </c>
      <c r="R4764" s="8">
        <v>1584</v>
      </c>
      <c r="S4764" s="7">
        <v>46042</v>
      </c>
      <c r="U4764" s="8">
        <v>1584</v>
      </c>
      <c r="V4764" s="7">
        <v>46049</v>
      </c>
      <c r="X4764" s="8">
        <v>0</v>
      </c>
      <c r="Z4764" s="8">
        <v>1584</v>
      </c>
      <c r="AA4764" s="7">
        <v>46063</v>
      </c>
      <c r="AC4764" s="8">
        <v>0</v>
      </c>
      <c r="AE4764" s="7">
        <v>46066</v>
      </c>
      <c r="AF4764" s="8">
        <v>0</v>
      </c>
      <c r="AH4764" s="7">
        <v>46066</v>
      </c>
      <c r="AN4764" s="8">
        <v>0</v>
      </c>
      <c r="AO4764" s="8">
        <v>1500</v>
      </c>
    </row>
    <row r="4765" spans="1:41" x14ac:dyDescent="0.25">
      <c r="A4765" s="6" t="str">
        <f>"525-2025000597"</f>
        <v>525-2025000597</v>
      </c>
      <c r="B4765" s="6" t="str">
        <f>"KLEINMAN"</f>
        <v>KLEINMAN</v>
      </c>
      <c r="C4765" s="7">
        <v>45988</v>
      </c>
      <c r="D4765" s="7">
        <v>46066</v>
      </c>
      <c r="E4765" s="8">
        <v>2</v>
      </c>
      <c r="F4765" s="6" t="str">
        <f>"Favo"</f>
        <v>Favo</v>
      </c>
      <c r="G4765" s="6" t="str">
        <f>"C001090426000000"</f>
        <v>C001090426000000</v>
      </c>
      <c r="H4765" s="6" t="str">
        <f>"CZJ 0904 - 260 gr/m²"</f>
        <v>CZJ 0904 - 260 gr/m²</v>
      </c>
      <c r="I4765" s="6" t="str">
        <f>"200532"</f>
        <v>200532</v>
      </c>
      <c r="J4765" s="6" t="str">
        <f>"VERDE 532"</f>
        <v>VERDE 532</v>
      </c>
      <c r="K4765" s="6" t="str">
        <f>"0830"</f>
        <v>0830</v>
      </c>
      <c r="L4765" s="6" t="str">
        <f>"Cozinha"</f>
        <v>Cozinha</v>
      </c>
      <c r="M4765" s="6" t="str">
        <f t="shared" si="1258"/>
        <v>50x70</v>
      </c>
      <c r="N4765" s="6" t="str">
        <f>"5605247640306"</f>
        <v>5605247640306</v>
      </c>
      <c r="O4765" s="8">
        <v>1500</v>
      </c>
      <c r="P4765" s="7">
        <v>46037</v>
      </c>
      <c r="R4765" s="8">
        <v>1584</v>
      </c>
      <c r="S4765" s="7">
        <v>46042</v>
      </c>
      <c r="U4765" s="8">
        <v>1584</v>
      </c>
      <c r="V4765" s="7">
        <v>46049</v>
      </c>
      <c r="X4765" s="8">
        <v>0</v>
      </c>
      <c r="Z4765" s="8">
        <v>1584</v>
      </c>
      <c r="AA4765" s="7">
        <v>46063</v>
      </c>
      <c r="AC4765" s="8">
        <v>0</v>
      </c>
      <c r="AE4765" s="7">
        <v>46066</v>
      </c>
      <c r="AF4765" s="8">
        <v>0</v>
      </c>
      <c r="AH4765" s="7">
        <v>46066</v>
      </c>
      <c r="AN4765" s="8">
        <v>0</v>
      </c>
      <c r="AO4765" s="8">
        <v>1500</v>
      </c>
    </row>
    <row r="4766" spans="1:41" x14ac:dyDescent="0.25">
      <c r="A4766" s="6" t="str">
        <f>"525-2025000597"</f>
        <v>525-2025000597</v>
      </c>
      <c r="B4766" s="6" t="str">
        <f>"KLEINMAN"</f>
        <v>KLEINMAN</v>
      </c>
      <c r="C4766" s="7">
        <v>45988</v>
      </c>
      <c r="D4766" s="7">
        <v>46066</v>
      </c>
      <c r="E4766" s="8">
        <v>3</v>
      </c>
      <c r="F4766" s="6" t="str">
        <f>"Favo"</f>
        <v>Favo</v>
      </c>
      <c r="G4766" s="6" t="str">
        <f>"C001090426000000"</f>
        <v>C001090426000000</v>
      </c>
      <c r="H4766" s="6" t="str">
        <f>"CZJ 0904 - 260 gr/m²"</f>
        <v>CZJ 0904 - 260 gr/m²</v>
      </c>
      <c r="I4766" s="6" t="str">
        <f>"202206"</f>
        <v>202206</v>
      </c>
      <c r="J4766" s="6" t="str">
        <f>"CINZA 2206"</f>
        <v>CINZA 2206</v>
      </c>
      <c r="K4766" s="6" t="str">
        <f>"0830"</f>
        <v>0830</v>
      </c>
      <c r="L4766" s="6" t="str">
        <f>"Cozinha"</f>
        <v>Cozinha</v>
      </c>
      <c r="M4766" s="6" t="str">
        <f t="shared" si="1258"/>
        <v>50x70</v>
      </c>
      <c r="N4766" s="6" t="str">
        <f>"5605247642348"</f>
        <v>5605247642348</v>
      </c>
      <c r="O4766" s="8">
        <v>2000</v>
      </c>
      <c r="P4766" s="7">
        <v>46037</v>
      </c>
      <c r="R4766" s="8">
        <v>2100</v>
      </c>
      <c r="S4766" s="7">
        <v>46042</v>
      </c>
      <c r="U4766" s="8">
        <v>2100</v>
      </c>
      <c r="V4766" s="7">
        <v>46049</v>
      </c>
      <c r="X4766" s="8">
        <v>0</v>
      </c>
      <c r="Z4766" s="8">
        <v>2100</v>
      </c>
      <c r="AA4766" s="7">
        <v>46063</v>
      </c>
      <c r="AC4766" s="8">
        <v>400</v>
      </c>
      <c r="AE4766" s="7">
        <v>46066</v>
      </c>
      <c r="AF4766" s="8">
        <v>400</v>
      </c>
      <c r="AH4766" s="7">
        <v>46066</v>
      </c>
      <c r="AN4766" s="8">
        <v>400</v>
      </c>
      <c r="AO4766" s="8">
        <v>1600</v>
      </c>
    </row>
    <row r="4767" spans="1:41" x14ac:dyDescent="0.25">
      <c r="A4767" s="6" t="str">
        <f t="shared" ref="A4767:A4772" si="1259">"525-2025000598"</f>
        <v>525-2025000598</v>
      </c>
      <c r="B4767" s="6" t="str">
        <f t="shared" ref="B4767:B4809" si="1260">"Lasa Int"</f>
        <v>Lasa Int</v>
      </c>
      <c r="C4767" s="7">
        <v>45989</v>
      </c>
      <c r="D4767" s="7">
        <v>46049</v>
      </c>
      <c r="E4767" s="8">
        <v>1</v>
      </c>
      <c r="F4767" s="6" t="str">
        <f t="shared" ref="F4767:F4772" si="1261">"PURE R"</f>
        <v>PURE R</v>
      </c>
      <c r="G4767" s="6" t="str">
        <f>"K018000135000000"</f>
        <v>K018000135000000</v>
      </c>
      <c r="H4767" s="6" t="str">
        <f>"Chinelos - LI - 350"</f>
        <v>Chinelos - LI - 350</v>
      </c>
      <c r="I4767" s="6" t="str">
        <f t="shared" ref="I4767:I4772" si="1262">"3969"</f>
        <v>3969</v>
      </c>
      <c r="J4767" s="6" t="str">
        <f t="shared" ref="J4767:J4772" si="1263">"VERDE 3969"</f>
        <v>VERDE 3969</v>
      </c>
      <c r="K4767" s="6" t="str">
        <f>"4808"</f>
        <v>4808</v>
      </c>
      <c r="L4767" s="6" t="str">
        <f>"Chinelos"</f>
        <v>Chinelos</v>
      </c>
      <c r="M4767" s="6" t="str">
        <f>"38"</f>
        <v>38</v>
      </c>
      <c r="N4767" s="6" t="str">
        <f>"5602972770025"</f>
        <v>5602972770025</v>
      </c>
      <c r="O4767" s="8">
        <v>60</v>
      </c>
      <c r="P4767" s="7">
        <v>45989</v>
      </c>
      <c r="R4767" s="8">
        <v>0</v>
      </c>
      <c r="S4767" s="7">
        <v>45995</v>
      </c>
      <c r="U4767" s="8">
        <v>0</v>
      </c>
      <c r="V4767" s="7">
        <v>46007</v>
      </c>
      <c r="X4767" s="8">
        <v>0</v>
      </c>
      <c r="Z4767" s="8">
        <v>0</v>
      </c>
      <c r="AA4767" s="7">
        <v>46024</v>
      </c>
      <c r="AC4767" s="8">
        <v>0</v>
      </c>
      <c r="AE4767" s="7">
        <v>46049</v>
      </c>
      <c r="AF4767" s="8">
        <v>0</v>
      </c>
      <c r="AH4767" s="7">
        <v>46049</v>
      </c>
      <c r="AI4767" s="7">
        <v>46045</v>
      </c>
      <c r="AN4767" s="8">
        <v>0</v>
      </c>
      <c r="AO4767" s="8">
        <v>60</v>
      </c>
    </row>
    <row r="4768" spans="1:41" x14ac:dyDescent="0.25">
      <c r="A4768" s="6" t="str">
        <f t="shared" si="1259"/>
        <v>525-2025000598</v>
      </c>
      <c r="B4768" s="6" t="str">
        <f t="shared" si="1260"/>
        <v>Lasa Int</v>
      </c>
      <c r="C4768" s="7">
        <v>45989</v>
      </c>
      <c r="D4768" s="7">
        <v>46049</v>
      </c>
      <c r="E4768" s="8">
        <v>2</v>
      </c>
      <c r="F4768" s="6" t="str">
        <f t="shared" si="1261"/>
        <v>PURE R</v>
      </c>
      <c r="G4768" s="6" t="str">
        <f>"R010000635000000"</f>
        <v>R010000635000000</v>
      </c>
      <c r="H4768" s="6" t="str">
        <f>"Alexis Cotoral Pure"</f>
        <v>Alexis Cotoral Pure</v>
      </c>
      <c r="I4768" s="6" t="str">
        <f t="shared" si="1262"/>
        <v>3969</v>
      </c>
      <c r="J4768" s="6" t="str">
        <f t="shared" si="1263"/>
        <v>VERDE 3969</v>
      </c>
      <c r="K4768" s="6" t="str">
        <f>"5002"</f>
        <v>5002</v>
      </c>
      <c r="L4768" s="6" t="str">
        <f>"Roupões Adulto"</f>
        <v>Roupões Adulto</v>
      </c>
      <c r="M4768" s="6" t="str">
        <f>"S"</f>
        <v>S</v>
      </c>
      <c r="N4768" s="6" t="str">
        <f>"5602972769968"</f>
        <v>5602972769968</v>
      </c>
      <c r="O4768" s="8">
        <v>48</v>
      </c>
      <c r="P4768" s="7">
        <v>45989</v>
      </c>
      <c r="R4768" s="8">
        <v>0</v>
      </c>
      <c r="S4768" s="7">
        <v>45995</v>
      </c>
      <c r="U4768" s="8">
        <v>540</v>
      </c>
      <c r="V4768" s="7">
        <v>46007</v>
      </c>
      <c r="X4768" s="8">
        <v>540</v>
      </c>
      <c r="Z4768" s="8">
        <v>0</v>
      </c>
      <c r="AA4768" s="7">
        <v>46024</v>
      </c>
      <c r="AC4768" s="8">
        <v>0</v>
      </c>
      <c r="AE4768" s="7">
        <v>46049</v>
      </c>
      <c r="AF4768" s="8">
        <v>0</v>
      </c>
      <c r="AH4768" s="7">
        <v>46049</v>
      </c>
      <c r="AI4768" s="7">
        <v>46045</v>
      </c>
      <c r="AN4768" s="8">
        <v>0</v>
      </c>
      <c r="AO4768" s="8">
        <v>48</v>
      </c>
    </row>
    <row r="4769" spans="1:41" x14ac:dyDescent="0.25">
      <c r="A4769" s="6" t="str">
        <f t="shared" si="1259"/>
        <v>525-2025000598</v>
      </c>
      <c r="B4769" s="6" t="str">
        <f t="shared" si="1260"/>
        <v>Lasa Int</v>
      </c>
      <c r="C4769" s="7">
        <v>45989</v>
      </c>
      <c r="D4769" s="7">
        <v>46049</v>
      </c>
      <c r="E4769" s="8">
        <v>3</v>
      </c>
      <c r="F4769" s="6" t="str">
        <f t="shared" si="1261"/>
        <v>PURE R</v>
      </c>
      <c r="G4769" s="6" t="str">
        <f>"R010000635000000"</f>
        <v>R010000635000000</v>
      </c>
      <c r="H4769" s="6" t="str">
        <f>"Alexis Cotoral Pure"</f>
        <v>Alexis Cotoral Pure</v>
      </c>
      <c r="I4769" s="6" t="str">
        <f t="shared" si="1262"/>
        <v>3969</v>
      </c>
      <c r="J4769" s="6" t="str">
        <f t="shared" si="1263"/>
        <v>VERDE 3969</v>
      </c>
      <c r="K4769" s="6" t="str">
        <f>"5004"</f>
        <v>5004</v>
      </c>
      <c r="L4769" s="6" t="str">
        <f>"Roupões Adulto"</f>
        <v>Roupões Adulto</v>
      </c>
      <c r="M4769" s="6" t="str">
        <f>"M"</f>
        <v>M</v>
      </c>
      <c r="N4769" s="6" t="str">
        <f>"5602972769975"</f>
        <v>5602972769975</v>
      </c>
      <c r="O4769" s="8">
        <v>48</v>
      </c>
      <c r="P4769" s="7">
        <v>45989</v>
      </c>
      <c r="R4769" s="8">
        <v>0</v>
      </c>
      <c r="S4769" s="7">
        <v>45995</v>
      </c>
      <c r="U4769" s="8">
        <v>0</v>
      </c>
      <c r="V4769" s="7">
        <v>46007</v>
      </c>
      <c r="X4769" s="8">
        <v>0</v>
      </c>
      <c r="Z4769" s="8">
        <v>0</v>
      </c>
      <c r="AA4769" s="7">
        <v>46024</v>
      </c>
      <c r="AC4769" s="8">
        <v>0</v>
      </c>
      <c r="AE4769" s="7">
        <v>46049</v>
      </c>
      <c r="AF4769" s="8">
        <v>0</v>
      </c>
      <c r="AH4769" s="7">
        <v>46049</v>
      </c>
      <c r="AI4769" s="7">
        <v>46045</v>
      </c>
      <c r="AN4769" s="8">
        <v>0</v>
      </c>
      <c r="AO4769" s="8">
        <v>48</v>
      </c>
    </row>
    <row r="4770" spans="1:41" x14ac:dyDescent="0.25">
      <c r="A4770" s="6" t="str">
        <f t="shared" si="1259"/>
        <v>525-2025000598</v>
      </c>
      <c r="B4770" s="6" t="str">
        <f t="shared" si="1260"/>
        <v>Lasa Int</v>
      </c>
      <c r="C4770" s="7">
        <v>45989</v>
      </c>
      <c r="D4770" s="7">
        <v>46049</v>
      </c>
      <c r="E4770" s="8">
        <v>4</v>
      </c>
      <c r="F4770" s="6" t="str">
        <f t="shared" si="1261"/>
        <v>PURE R</v>
      </c>
      <c r="G4770" s="6" t="str">
        <f>"R010000635000000"</f>
        <v>R010000635000000</v>
      </c>
      <c r="H4770" s="6" t="str">
        <f>"Alexis Cotoral Pure"</f>
        <v>Alexis Cotoral Pure</v>
      </c>
      <c r="I4770" s="6" t="str">
        <f t="shared" si="1262"/>
        <v>3969</v>
      </c>
      <c r="J4770" s="6" t="str">
        <f t="shared" si="1263"/>
        <v>VERDE 3969</v>
      </c>
      <c r="K4770" s="6" t="str">
        <f>"5006"</f>
        <v>5006</v>
      </c>
      <c r="L4770" s="6" t="str">
        <f>"Roupões Adulto"</f>
        <v>Roupões Adulto</v>
      </c>
      <c r="M4770" s="6" t="str">
        <f>"L"</f>
        <v>L</v>
      </c>
      <c r="N4770" s="6" t="str">
        <f>"5602972769982"</f>
        <v>5602972769982</v>
      </c>
      <c r="O4770" s="8">
        <v>36</v>
      </c>
      <c r="P4770" s="7">
        <v>45989</v>
      </c>
      <c r="R4770" s="8">
        <v>0</v>
      </c>
      <c r="S4770" s="7">
        <v>45995</v>
      </c>
      <c r="U4770" s="8">
        <v>0</v>
      </c>
      <c r="V4770" s="7">
        <v>46007</v>
      </c>
      <c r="X4770" s="8">
        <v>0</v>
      </c>
      <c r="Z4770" s="8">
        <v>0</v>
      </c>
      <c r="AA4770" s="7">
        <v>46024</v>
      </c>
      <c r="AC4770" s="8">
        <v>0</v>
      </c>
      <c r="AE4770" s="7">
        <v>46049</v>
      </c>
      <c r="AF4770" s="8">
        <v>0</v>
      </c>
      <c r="AH4770" s="7">
        <v>46049</v>
      </c>
      <c r="AI4770" s="7">
        <v>46045</v>
      </c>
      <c r="AN4770" s="8">
        <v>0</v>
      </c>
      <c r="AO4770" s="8">
        <v>36</v>
      </c>
    </row>
    <row r="4771" spans="1:41" x14ac:dyDescent="0.25">
      <c r="A4771" s="6" t="str">
        <f t="shared" si="1259"/>
        <v>525-2025000598</v>
      </c>
      <c r="B4771" s="6" t="str">
        <f t="shared" si="1260"/>
        <v>Lasa Int</v>
      </c>
      <c r="C4771" s="7">
        <v>45989</v>
      </c>
      <c r="D4771" s="7">
        <v>46049</v>
      </c>
      <c r="E4771" s="8">
        <v>5</v>
      </c>
      <c r="F4771" s="6" t="str">
        <f t="shared" si="1261"/>
        <v>PURE R</v>
      </c>
      <c r="G4771" s="6" t="str">
        <f>"R010000635000000"</f>
        <v>R010000635000000</v>
      </c>
      <c r="H4771" s="6" t="str">
        <f>"Alexis Cotoral Pure"</f>
        <v>Alexis Cotoral Pure</v>
      </c>
      <c r="I4771" s="6" t="str">
        <f t="shared" si="1262"/>
        <v>3969</v>
      </c>
      <c r="J4771" s="6" t="str">
        <f t="shared" si="1263"/>
        <v>VERDE 3969</v>
      </c>
      <c r="K4771" s="6" t="str">
        <f>"5008"</f>
        <v>5008</v>
      </c>
      <c r="L4771" s="6" t="str">
        <f>"Roupões Adulto"</f>
        <v>Roupões Adulto</v>
      </c>
      <c r="M4771" s="6" t="str">
        <f>"XL"</f>
        <v>XL</v>
      </c>
      <c r="N4771" s="6" t="str">
        <f>"5602972769999"</f>
        <v>5602972769999</v>
      </c>
      <c r="O4771" s="8">
        <v>12</v>
      </c>
      <c r="P4771" s="7">
        <v>45989</v>
      </c>
      <c r="R4771" s="8">
        <v>0</v>
      </c>
      <c r="S4771" s="7">
        <v>45995</v>
      </c>
      <c r="U4771" s="8">
        <v>0</v>
      </c>
      <c r="V4771" s="7">
        <v>46007</v>
      </c>
      <c r="X4771" s="8">
        <v>0</v>
      </c>
      <c r="Z4771" s="8">
        <v>0</v>
      </c>
      <c r="AA4771" s="7">
        <v>46024</v>
      </c>
      <c r="AC4771" s="8">
        <v>0</v>
      </c>
      <c r="AE4771" s="7">
        <v>46049</v>
      </c>
      <c r="AF4771" s="8">
        <v>0</v>
      </c>
      <c r="AH4771" s="7">
        <v>46049</v>
      </c>
      <c r="AI4771" s="7">
        <v>46045</v>
      </c>
      <c r="AN4771" s="8">
        <v>0</v>
      </c>
      <c r="AO4771" s="8">
        <v>12</v>
      </c>
    </row>
    <row r="4772" spans="1:41" x14ac:dyDescent="0.25">
      <c r="A4772" s="6" t="str">
        <f t="shared" si="1259"/>
        <v>525-2025000598</v>
      </c>
      <c r="B4772" s="6" t="str">
        <f t="shared" si="1260"/>
        <v>Lasa Int</v>
      </c>
      <c r="C4772" s="7">
        <v>45989</v>
      </c>
      <c r="D4772" s="7">
        <v>46049</v>
      </c>
      <c r="E4772" s="8">
        <v>6</v>
      </c>
      <c r="F4772" s="6" t="str">
        <f t="shared" si="1261"/>
        <v>PURE R</v>
      </c>
      <c r="G4772" s="6" t="str">
        <f>"R010000635000000"</f>
        <v>R010000635000000</v>
      </c>
      <c r="H4772" s="6" t="str">
        <f>"Alexis Cotoral Pure"</f>
        <v>Alexis Cotoral Pure</v>
      </c>
      <c r="I4772" s="6" t="str">
        <f t="shared" si="1262"/>
        <v>3969</v>
      </c>
      <c r="J4772" s="6" t="str">
        <f t="shared" si="1263"/>
        <v>VERDE 3969</v>
      </c>
      <c r="K4772" s="6" t="str">
        <f>"5010"</f>
        <v>5010</v>
      </c>
      <c r="L4772" s="6" t="str">
        <f>"Roupões Adulto"</f>
        <v>Roupões Adulto</v>
      </c>
      <c r="M4772" s="6" t="str">
        <f>"XXL"</f>
        <v>XXL</v>
      </c>
      <c r="N4772" s="6" t="str">
        <f>"5602972770056"</f>
        <v>5602972770056</v>
      </c>
      <c r="O4772" s="8">
        <v>24</v>
      </c>
      <c r="P4772" s="7">
        <v>45989</v>
      </c>
      <c r="R4772" s="8">
        <v>0</v>
      </c>
      <c r="S4772" s="7">
        <v>45995</v>
      </c>
      <c r="U4772" s="8">
        <v>0</v>
      </c>
      <c r="V4772" s="7">
        <v>46007</v>
      </c>
      <c r="X4772" s="8">
        <v>0</v>
      </c>
      <c r="Z4772" s="8">
        <v>0</v>
      </c>
      <c r="AA4772" s="7">
        <v>46024</v>
      </c>
      <c r="AC4772" s="8">
        <v>0</v>
      </c>
      <c r="AE4772" s="7">
        <v>46049</v>
      </c>
      <c r="AF4772" s="8">
        <v>0</v>
      </c>
      <c r="AH4772" s="7">
        <v>46049</v>
      </c>
      <c r="AI4772" s="7">
        <v>46045</v>
      </c>
      <c r="AN4772" s="8">
        <v>0</v>
      </c>
      <c r="AO4772" s="8">
        <v>24</v>
      </c>
    </row>
    <row r="4773" spans="1:41" x14ac:dyDescent="0.25">
      <c r="A4773" s="6" t="str">
        <f>"525-2025000599"</f>
        <v>525-2025000599</v>
      </c>
      <c r="B4773" s="6" t="str">
        <f t="shared" si="1260"/>
        <v>Lasa Int</v>
      </c>
      <c r="C4773" s="7">
        <v>45989</v>
      </c>
      <c r="D4773" s="7">
        <v>46066</v>
      </c>
      <c r="E4773" s="8">
        <v>1</v>
      </c>
      <c r="F4773" s="6" t="str">
        <f>"Royal C"</f>
        <v>Royal C</v>
      </c>
      <c r="G4773" s="6" t="str">
        <f>"F110108765000000"</f>
        <v>F110108765000000</v>
      </c>
      <c r="H4773" s="6" t="str">
        <f>"FAJP 1087 M - ROYAL"</f>
        <v>FAJP 1087 M - ROYAL</v>
      </c>
      <c r="I4773" s="6" t="str">
        <f>"1411"</f>
        <v>1411</v>
      </c>
      <c r="J4773" s="6" t="str">
        <f>"AMARELO 1411"</f>
        <v>AMARELO 1411</v>
      </c>
      <c r="K4773" s="6" t="str">
        <f>"0330"</f>
        <v>0330</v>
      </c>
      <c r="L4773" s="6" t="str">
        <f>"Panos"</f>
        <v>Panos</v>
      </c>
      <c r="M4773" s="6" t="str">
        <f>"33x33"</f>
        <v>33x33</v>
      </c>
      <c r="N4773" s="6" t="str">
        <f>"5602972717877"</f>
        <v>5602972717877</v>
      </c>
      <c r="O4773" s="8">
        <v>300</v>
      </c>
      <c r="P4773" s="7">
        <v>45989</v>
      </c>
      <c r="R4773" s="8">
        <v>0</v>
      </c>
      <c r="S4773" s="7">
        <v>45995</v>
      </c>
      <c r="U4773" s="8">
        <v>330</v>
      </c>
      <c r="V4773" s="7">
        <v>46007</v>
      </c>
      <c r="X4773" s="8">
        <v>0</v>
      </c>
      <c r="Z4773" s="8">
        <v>0</v>
      </c>
      <c r="AA4773" s="7">
        <v>46024</v>
      </c>
      <c r="AC4773" s="8">
        <v>0</v>
      </c>
      <c r="AE4773" s="7">
        <v>46035</v>
      </c>
      <c r="AF4773" s="8">
        <v>0</v>
      </c>
      <c r="AH4773" s="7">
        <v>46035</v>
      </c>
      <c r="AI4773" s="7">
        <v>46031</v>
      </c>
      <c r="AN4773" s="8">
        <v>0</v>
      </c>
      <c r="AO4773" s="8">
        <v>300</v>
      </c>
    </row>
    <row r="4774" spans="1:41" x14ac:dyDescent="0.25">
      <c r="A4774" s="6" t="str">
        <f>"525-2025000599"</f>
        <v>525-2025000599</v>
      </c>
      <c r="B4774" s="6" t="str">
        <f t="shared" si="1260"/>
        <v>Lasa Int</v>
      </c>
      <c r="C4774" s="7">
        <v>45989</v>
      </c>
      <c r="D4774" s="7">
        <v>46066</v>
      </c>
      <c r="E4774" s="8">
        <v>2</v>
      </c>
      <c r="F4774" s="6" t="str">
        <f>"Royal C"</f>
        <v>Royal C</v>
      </c>
      <c r="G4774" s="6" t="str">
        <f>"F110108765000000"</f>
        <v>F110108765000000</v>
      </c>
      <c r="H4774" s="6" t="str">
        <f>"FAJP 1087 M - ROYAL"</f>
        <v>FAJP 1087 M - ROYAL</v>
      </c>
      <c r="I4774" s="6" t="str">
        <f>"1411"</f>
        <v>1411</v>
      </c>
      <c r="J4774" s="6" t="str">
        <f>"AMARELO 1411"</f>
        <v>AMARELO 1411</v>
      </c>
      <c r="K4774" s="6" t="str">
        <f>"1024"</f>
        <v>1024</v>
      </c>
      <c r="L4774" s="6" t="str">
        <f>"Toalhas"</f>
        <v>Toalhas</v>
      </c>
      <c r="M4774" s="6" t="str">
        <f>"50x100"</f>
        <v>50x100</v>
      </c>
      <c r="N4774" s="6" t="str">
        <f>"5602972717891"</f>
        <v>5602972717891</v>
      </c>
      <c r="O4774" s="8">
        <v>480</v>
      </c>
      <c r="P4774" s="7">
        <v>45989</v>
      </c>
      <c r="R4774" s="8">
        <v>0</v>
      </c>
      <c r="S4774" s="7">
        <v>45995</v>
      </c>
      <c r="U4774" s="8">
        <v>496</v>
      </c>
      <c r="V4774" s="7">
        <v>46007</v>
      </c>
      <c r="X4774" s="8">
        <v>0</v>
      </c>
      <c r="Z4774" s="8">
        <v>0</v>
      </c>
      <c r="AA4774" s="7">
        <v>46024</v>
      </c>
      <c r="AC4774" s="8">
        <v>0</v>
      </c>
      <c r="AE4774" s="7">
        <v>46035</v>
      </c>
      <c r="AF4774" s="8">
        <v>0</v>
      </c>
      <c r="AH4774" s="7">
        <v>46035</v>
      </c>
      <c r="AI4774" s="7">
        <v>46031</v>
      </c>
      <c r="AN4774" s="8">
        <v>0</v>
      </c>
      <c r="AO4774" s="8">
        <v>480</v>
      </c>
    </row>
    <row r="4775" spans="1:41" x14ac:dyDescent="0.25">
      <c r="A4775" s="6" t="str">
        <f>"525-2025000599"</f>
        <v>525-2025000599</v>
      </c>
      <c r="B4775" s="6" t="str">
        <f t="shared" si="1260"/>
        <v>Lasa Int</v>
      </c>
      <c r="C4775" s="7">
        <v>45989</v>
      </c>
      <c r="D4775" s="7">
        <v>46066</v>
      </c>
      <c r="E4775" s="8">
        <v>3</v>
      </c>
      <c r="F4775" s="6" t="str">
        <f>"Royal C"</f>
        <v>Royal C</v>
      </c>
      <c r="G4775" s="6" t="str">
        <f>"F110108765000000"</f>
        <v>F110108765000000</v>
      </c>
      <c r="H4775" s="6" t="str">
        <f>"FAJP 1087 M - ROYAL"</f>
        <v>FAJP 1087 M - ROYAL</v>
      </c>
      <c r="I4775" s="6" t="str">
        <f>"1411"</f>
        <v>1411</v>
      </c>
      <c r="J4775" s="6" t="str">
        <f>"AMARELO 1411"</f>
        <v>AMARELO 1411</v>
      </c>
      <c r="K4775" s="6" t="str">
        <f>"2020"</f>
        <v>2020</v>
      </c>
      <c r="L4775" s="6" t="str">
        <f>"Lençóis"</f>
        <v>Lençóis</v>
      </c>
      <c r="M4775" s="6" t="str">
        <f>"100x150"</f>
        <v>100x150</v>
      </c>
      <c r="N4775" s="6" t="str">
        <f>"5602972717914"</f>
        <v>5602972717914</v>
      </c>
      <c r="O4775" s="8">
        <v>180</v>
      </c>
      <c r="P4775" s="7">
        <v>45989</v>
      </c>
      <c r="R4775" s="8">
        <v>0</v>
      </c>
      <c r="S4775" s="7">
        <v>45995</v>
      </c>
      <c r="U4775" s="8">
        <v>180</v>
      </c>
      <c r="V4775" s="7">
        <v>46007</v>
      </c>
      <c r="X4775" s="8">
        <v>0</v>
      </c>
      <c r="Z4775" s="8">
        <v>0</v>
      </c>
      <c r="AA4775" s="7">
        <v>46024</v>
      </c>
      <c r="AC4775" s="8">
        <v>0</v>
      </c>
      <c r="AE4775" s="7">
        <v>46035</v>
      </c>
      <c r="AF4775" s="8">
        <v>0</v>
      </c>
      <c r="AH4775" s="7">
        <v>46035</v>
      </c>
      <c r="AI4775" s="7">
        <v>46031</v>
      </c>
      <c r="AN4775" s="8">
        <v>0</v>
      </c>
      <c r="AO4775" s="8">
        <v>180</v>
      </c>
    </row>
    <row r="4776" spans="1:41" x14ac:dyDescent="0.25">
      <c r="A4776" s="6" t="str">
        <f>"525-2025000599"</f>
        <v>525-2025000599</v>
      </c>
      <c r="B4776" s="6" t="str">
        <f t="shared" si="1260"/>
        <v>Lasa Int</v>
      </c>
      <c r="C4776" s="7">
        <v>45989</v>
      </c>
      <c r="D4776" s="7">
        <v>46066</v>
      </c>
      <c r="E4776" s="8">
        <v>4</v>
      </c>
      <c r="F4776" s="6" t="str">
        <f>"Royal C"</f>
        <v>Royal C</v>
      </c>
      <c r="G4776" s="6" t="str">
        <f>"F161003085000000"</f>
        <v>F161003085000000</v>
      </c>
      <c r="H4776" s="6" t="str">
        <f>"TA 30 - 850 g/m²"</f>
        <v>TA 30 - 850 g/m²</v>
      </c>
      <c r="I4776" s="6" t="str">
        <f>"1411"</f>
        <v>1411</v>
      </c>
      <c r="J4776" s="6" t="str">
        <f>"AMARELO 1411"</f>
        <v>AMARELO 1411</v>
      </c>
      <c r="K4776" s="6" t="str">
        <f>"3020"</f>
        <v>3020</v>
      </c>
      <c r="L4776" s="6" t="str">
        <f>"Tapetes"</f>
        <v>Tapetes</v>
      </c>
      <c r="M4776" s="6" t="str">
        <f>"50x80"</f>
        <v>50x80</v>
      </c>
      <c r="N4776" s="6" t="str">
        <f>"5602972718287"</f>
        <v>5602972718287</v>
      </c>
      <c r="O4776" s="8">
        <v>100</v>
      </c>
      <c r="P4776" s="7">
        <v>45989</v>
      </c>
      <c r="R4776" s="8">
        <v>0</v>
      </c>
      <c r="S4776" s="7">
        <v>45995</v>
      </c>
      <c r="U4776" s="8">
        <v>100</v>
      </c>
      <c r="V4776" s="7">
        <v>46007</v>
      </c>
      <c r="X4776" s="8">
        <v>0</v>
      </c>
      <c r="Z4776" s="8">
        <v>0</v>
      </c>
      <c r="AA4776" s="7">
        <v>46024</v>
      </c>
      <c r="AC4776" s="8">
        <v>0</v>
      </c>
      <c r="AE4776" s="7">
        <v>46035</v>
      </c>
      <c r="AF4776" s="8">
        <v>0</v>
      </c>
      <c r="AH4776" s="7">
        <v>46035</v>
      </c>
      <c r="AI4776" s="7">
        <v>46031</v>
      </c>
      <c r="AN4776" s="8">
        <v>0</v>
      </c>
      <c r="AO4776" s="8">
        <v>100</v>
      </c>
    </row>
    <row r="4777" spans="1:41" x14ac:dyDescent="0.25">
      <c r="A4777" s="6" t="str">
        <f t="shared" ref="A4777:A4798" si="1264">"525-2025000601"</f>
        <v>525-2025000601</v>
      </c>
      <c r="B4777" s="6" t="str">
        <f t="shared" si="1260"/>
        <v>Lasa Int</v>
      </c>
      <c r="C4777" s="7">
        <v>45993</v>
      </c>
      <c r="D4777" s="7">
        <v>46051</v>
      </c>
      <c r="E4777" s="8">
        <v>1</v>
      </c>
      <c r="F4777" s="6" t="str">
        <f t="shared" ref="F4777:F4798" si="1265">"Squares"</f>
        <v>Squares</v>
      </c>
      <c r="G4777" s="6" t="str">
        <f t="shared" ref="G4777:G4798" si="1266">"F100021455002620"</f>
        <v>F100021455002620</v>
      </c>
      <c r="H4777" s="6" t="str">
        <f t="shared" ref="H4777:H4798" si="1267">"FA 214 / 2620 - PURE"</f>
        <v>FA 214 / 2620 - PURE</v>
      </c>
      <c r="I4777" s="6" t="str">
        <f>"1"</f>
        <v>1</v>
      </c>
      <c r="J4777" s="6" t="str">
        <f>"BRANCO"</f>
        <v>BRANCO</v>
      </c>
      <c r="K4777" s="6" t="str">
        <f>"0530"</f>
        <v>0530</v>
      </c>
      <c r="L4777" s="6" t="str">
        <f>"Toalhetes"</f>
        <v>Toalhetes</v>
      </c>
      <c r="M4777" s="6" t="str">
        <f>"33x50"</f>
        <v>33x50</v>
      </c>
      <c r="N4777" s="6" t="str">
        <f>"5602972775815"</f>
        <v>5602972775815</v>
      </c>
      <c r="O4777" s="8">
        <v>24</v>
      </c>
      <c r="P4777" s="7">
        <v>45993</v>
      </c>
      <c r="R4777" s="8">
        <v>0</v>
      </c>
      <c r="U4777" s="8">
        <v>0</v>
      </c>
      <c r="X4777" s="8">
        <v>0</v>
      </c>
      <c r="Z4777" s="8">
        <v>0</v>
      </c>
      <c r="AC4777" s="8">
        <v>0</v>
      </c>
      <c r="AE4777" s="7">
        <v>46001</v>
      </c>
      <c r="AF4777" s="8">
        <v>0</v>
      </c>
      <c r="AH4777" s="7">
        <v>46009</v>
      </c>
      <c r="AN4777" s="8">
        <v>0</v>
      </c>
      <c r="AO4777" s="8">
        <v>24</v>
      </c>
    </row>
    <row r="4778" spans="1:41" x14ac:dyDescent="0.25">
      <c r="A4778" s="6" t="str">
        <f t="shared" si="1264"/>
        <v>525-2025000601</v>
      </c>
      <c r="B4778" s="6" t="str">
        <f t="shared" si="1260"/>
        <v>Lasa Int</v>
      </c>
      <c r="C4778" s="7">
        <v>45993</v>
      </c>
      <c r="D4778" s="7">
        <v>46051</v>
      </c>
      <c r="E4778" s="8">
        <v>2</v>
      </c>
      <c r="F4778" s="6" t="str">
        <f t="shared" si="1265"/>
        <v>Squares</v>
      </c>
      <c r="G4778" s="6" t="str">
        <f t="shared" si="1266"/>
        <v>F100021455002620</v>
      </c>
      <c r="H4778" s="6" t="str">
        <f t="shared" si="1267"/>
        <v>FA 214 / 2620 - PURE</v>
      </c>
      <c r="I4778" s="6" t="str">
        <f>"1"</f>
        <v>1</v>
      </c>
      <c r="J4778" s="6" t="str">
        <f>"BRANCO"</f>
        <v>BRANCO</v>
      </c>
      <c r="K4778" s="6" t="str">
        <f>"1024"</f>
        <v>1024</v>
      </c>
      <c r="L4778" s="6" t="str">
        <f>"Toalhas"</f>
        <v>Toalhas</v>
      </c>
      <c r="M4778" s="6" t="str">
        <f>"50x100"</f>
        <v>50x100</v>
      </c>
      <c r="N4778" s="6" t="str">
        <f>"5602972775822"</f>
        <v>5602972775822</v>
      </c>
      <c r="O4778" s="8">
        <v>24</v>
      </c>
      <c r="P4778" s="7">
        <v>45993</v>
      </c>
      <c r="R4778" s="8">
        <v>0</v>
      </c>
      <c r="U4778" s="8">
        <v>0</v>
      </c>
      <c r="X4778" s="8">
        <v>0</v>
      </c>
      <c r="Z4778" s="8">
        <v>0</v>
      </c>
      <c r="AC4778" s="8">
        <v>0</v>
      </c>
      <c r="AE4778" s="7">
        <v>46001</v>
      </c>
      <c r="AF4778" s="8">
        <v>0</v>
      </c>
      <c r="AH4778" s="7">
        <v>46009</v>
      </c>
      <c r="AN4778" s="8">
        <v>0</v>
      </c>
      <c r="AO4778" s="8">
        <v>24</v>
      </c>
    </row>
    <row r="4779" spans="1:41" x14ac:dyDescent="0.25">
      <c r="A4779" s="6" t="str">
        <f t="shared" si="1264"/>
        <v>525-2025000601</v>
      </c>
      <c r="B4779" s="6" t="str">
        <f t="shared" si="1260"/>
        <v>Lasa Int</v>
      </c>
      <c r="C4779" s="7">
        <v>45993</v>
      </c>
      <c r="D4779" s="7">
        <v>46051</v>
      </c>
      <c r="E4779" s="8">
        <v>3</v>
      </c>
      <c r="F4779" s="6" t="str">
        <f t="shared" si="1265"/>
        <v>Squares</v>
      </c>
      <c r="G4779" s="6" t="str">
        <f t="shared" si="1266"/>
        <v>F100021455002620</v>
      </c>
      <c r="H4779" s="6" t="str">
        <f t="shared" si="1267"/>
        <v>FA 214 / 2620 - PURE</v>
      </c>
      <c r="I4779" s="6" t="str">
        <f>"1"</f>
        <v>1</v>
      </c>
      <c r="J4779" s="6" t="str">
        <f>"BRANCO"</f>
        <v>BRANCO</v>
      </c>
      <c r="K4779" s="6" t="str">
        <f>"1535"</f>
        <v>1535</v>
      </c>
      <c r="L4779" s="6" t="str">
        <f>"Toalhões"</f>
        <v>Toalhões</v>
      </c>
      <c r="M4779" s="6" t="str">
        <f>"70x140"</f>
        <v>70x140</v>
      </c>
      <c r="N4779" s="6" t="str">
        <f>"5602972775839"</f>
        <v>5602972775839</v>
      </c>
      <c r="O4779" s="8">
        <v>12</v>
      </c>
      <c r="P4779" s="7">
        <v>45993</v>
      </c>
      <c r="R4779" s="8">
        <v>0</v>
      </c>
      <c r="U4779" s="8">
        <v>0</v>
      </c>
      <c r="X4779" s="8">
        <v>0</v>
      </c>
      <c r="Z4779" s="8">
        <v>0</v>
      </c>
      <c r="AC4779" s="8">
        <v>0</v>
      </c>
      <c r="AE4779" s="7">
        <v>46001</v>
      </c>
      <c r="AF4779" s="8">
        <v>0</v>
      </c>
      <c r="AH4779" s="7">
        <v>46009</v>
      </c>
      <c r="AN4779" s="8">
        <v>0</v>
      </c>
      <c r="AO4779" s="8">
        <v>12</v>
      </c>
    </row>
    <row r="4780" spans="1:41" x14ac:dyDescent="0.25">
      <c r="A4780" s="6" t="str">
        <f t="shared" si="1264"/>
        <v>525-2025000601</v>
      </c>
      <c r="B4780" s="6" t="str">
        <f t="shared" si="1260"/>
        <v>Lasa Int</v>
      </c>
      <c r="C4780" s="7">
        <v>45993</v>
      </c>
      <c r="D4780" s="7">
        <v>46051</v>
      </c>
      <c r="E4780" s="8">
        <v>4</v>
      </c>
      <c r="F4780" s="6" t="str">
        <f t="shared" si="1265"/>
        <v>Squares</v>
      </c>
      <c r="G4780" s="6" t="str">
        <f t="shared" si="1266"/>
        <v>F100021455002620</v>
      </c>
      <c r="H4780" s="6" t="str">
        <f t="shared" si="1267"/>
        <v>FA 214 / 2620 - PURE</v>
      </c>
      <c r="I4780" s="6" t="str">
        <f>"2610"</f>
        <v>2610</v>
      </c>
      <c r="J4780" s="6" t="str">
        <f>"BEGE 2610"</f>
        <v>BEGE 2610</v>
      </c>
      <c r="K4780" s="6" t="str">
        <f>"0530"</f>
        <v>0530</v>
      </c>
      <c r="L4780" s="6" t="str">
        <f>"Toalhetes"</f>
        <v>Toalhetes</v>
      </c>
      <c r="M4780" s="6" t="str">
        <f>"33x50"</f>
        <v>33x50</v>
      </c>
      <c r="N4780" s="6" t="str">
        <f>"5602972731729"</f>
        <v>5602972731729</v>
      </c>
      <c r="O4780" s="8">
        <v>24</v>
      </c>
      <c r="P4780" s="7">
        <v>45993</v>
      </c>
      <c r="R4780" s="8">
        <v>0</v>
      </c>
      <c r="U4780" s="8">
        <v>0</v>
      </c>
      <c r="X4780" s="8">
        <v>0</v>
      </c>
      <c r="Z4780" s="8">
        <v>0</v>
      </c>
      <c r="AC4780" s="8">
        <v>0</v>
      </c>
      <c r="AE4780" s="7">
        <v>46001</v>
      </c>
      <c r="AF4780" s="8">
        <v>0</v>
      </c>
      <c r="AH4780" s="7">
        <v>46009</v>
      </c>
      <c r="AN4780" s="8">
        <v>0</v>
      </c>
      <c r="AO4780" s="8">
        <v>24</v>
      </c>
    </row>
    <row r="4781" spans="1:41" x14ac:dyDescent="0.25">
      <c r="A4781" s="6" t="str">
        <f t="shared" si="1264"/>
        <v>525-2025000601</v>
      </c>
      <c r="B4781" s="6" t="str">
        <f t="shared" si="1260"/>
        <v>Lasa Int</v>
      </c>
      <c r="C4781" s="7">
        <v>45993</v>
      </c>
      <c r="D4781" s="7">
        <v>46051</v>
      </c>
      <c r="E4781" s="8">
        <v>5</v>
      </c>
      <c r="F4781" s="6" t="str">
        <f t="shared" si="1265"/>
        <v>Squares</v>
      </c>
      <c r="G4781" s="6" t="str">
        <f t="shared" si="1266"/>
        <v>F100021455002620</v>
      </c>
      <c r="H4781" s="6" t="str">
        <f t="shared" si="1267"/>
        <v>FA 214 / 2620 - PURE</v>
      </c>
      <c r="I4781" s="6" t="str">
        <f>"3"</f>
        <v>3</v>
      </c>
      <c r="J4781" s="6" t="str">
        <f>"PRETO Sulf"</f>
        <v>PRETO Sulf</v>
      </c>
      <c r="K4781" s="6" t="str">
        <f>"0530"</f>
        <v>0530</v>
      </c>
      <c r="L4781" s="6" t="str">
        <f>"Toalhetes"</f>
        <v>Toalhetes</v>
      </c>
      <c r="M4781" s="6" t="str">
        <f>"33x50"</f>
        <v>33x50</v>
      </c>
      <c r="N4781" s="6" t="str">
        <f>"5602972731767"</f>
        <v>5602972731767</v>
      </c>
      <c r="O4781" s="8">
        <v>36</v>
      </c>
      <c r="P4781" s="7">
        <v>45993</v>
      </c>
      <c r="R4781" s="8">
        <v>0</v>
      </c>
      <c r="U4781" s="8">
        <v>0</v>
      </c>
      <c r="X4781" s="8">
        <v>0</v>
      </c>
      <c r="Z4781" s="8">
        <v>0</v>
      </c>
      <c r="AC4781" s="8">
        <v>0</v>
      </c>
      <c r="AE4781" s="7">
        <v>46001</v>
      </c>
      <c r="AF4781" s="8">
        <v>0</v>
      </c>
      <c r="AH4781" s="7">
        <v>46009</v>
      </c>
      <c r="AN4781" s="8">
        <v>0</v>
      </c>
      <c r="AO4781" s="8">
        <v>36</v>
      </c>
    </row>
    <row r="4782" spans="1:41" x14ac:dyDescent="0.25">
      <c r="A4782" s="6" t="str">
        <f t="shared" si="1264"/>
        <v>525-2025000601</v>
      </c>
      <c r="B4782" s="6" t="str">
        <f t="shared" si="1260"/>
        <v>Lasa Int</v>
      </c>
      <c r="C4782" s="7">
        <v>45993</v>
      </c>
      <c r="D4782" s="7">
        <v>46051</v>
      </c>
      <c r="E4782" s="8">
        <v>6</v>
      </c>
      <c r="F4782" s="6" t="str">
        <f t="shared" si="1265"/>
        <v>Squares</v>
      </c>
      <c r="G4782" s="6" t="str">
        <f t="shared" si="1266"/>
        <v>F100021455002620</v>
      </c>
      <c r="H4782" s="6" t="str">
        <f t="shared" si="1267"/>
        <v>FA 214 / 2620 - PURE</v>
      </c>
      <c r="I4782" s="6" t="str">
        <f>"3"</f>
        <v>3</v>
      </c>
      <c r="J4782" s="6" t="str">
        <f>"PRETO Sulf"</f>
        <v>PRETO Sulf</v>
      </c>
      <c r="K4782" s="6" t="str">
        <f>"1024"</f>
        <v>1024</v>
      </c>
      <c r="L4782" s="6" t="str">
        <f>"Toalhas"</f>
        <v>Toalhas</v>
      </c>
      <c r="M4782" s="6" t="str">
        <f>"50x100"</f>
        <v>50x100</v>
      </c>
      <c r="N4782" s="6" t="str">
        <f>"5602972731774"</f>
        <v>5602972731774</v>
      </c>
      <c r="O4782" s="8">
        <v>24</v>
      </c>
      <c r="P4782" s="7">
        <v>45993</v>
      </c>
      <c r="R4782" s="8">
        <v>0</v>
      </c>
      <c r="U4782" s="8">
        <v>0</v>
      </c>
      <c r="X4782" s="8">
        <v>0</v>
      </c>
      <c r="Z4782" s="8">
        <v>0</v>
      </c>
      <c r="AC4782" s="8">
        <v>0</v>
      </c>
      <c r="AE4782" s="7">
        <v>46001</v>
      </c>
      <c r="AF4782" s="8">
        <v>0</v>
      </c>
      <c r="AH4782" s="7">
        <v>46009</v>
      </c>
      <c r="AN4782" s="8">
        <v>0</v>
      </c>
      <c r="AO4782" s="8">
        <v>24</v>
      </c>
    </row>
    <row r="4783" spans="1:41" x14ac:dyDescent="0.25">
      <c r="A4783" s="6" t="str">
        <f t="shared" si="1264"/>
        <v>525-2025000601</v>
      </c>
      <c r="B4783" s="6" t="str">
        <f t="shared" si="1260"/>
        <v>Lasa Int</v>
      </c>
      <c r="C4783" s="7">
        <v>45993</v>
      </c>
      <c r="D4783" s="7">
        <v>46051</v>
      </c>
      <c r="E4783" s="8">
        <v>7</v>
      </c>
      <c r="F4783" s="6" t="str">
        <f t="shared" si="1265"/>
        <v>Squares</v>
      </c>
      <c r="G4783" s="6" t="str">
        <f t="shared" si="1266"/>
        <v>F100021455002620</v>
      </c>
      <c r="H4783" s="6" t="str">
        <f t="shared" si="1267"/>
        <v>FA 214 / 2620 - PURE</v>
      </c>
      <c r="I4783" s="6" t="str">
        <f>"3"</f>
        <v>3</v>
      </c>
      <c r="J4783" s="6" t="str">
        <f>"PRETO Sulf"</f>
        <v>PRETO Sulf</v>
      </c>
      <c r="K4783" s="6" t="str">
        <f>"1535"</f>
        <v>1535</v>
      </c>
      <c r="L4783" s="6" t="str">
        <f>"Toalhões"</f>
        <v>Toalhões</v>
      </c>
      <c r="M4783" s="6" t="str">
        <f>"70x140"</f>
        <v>70x140</v>
      </c>
      <c r="N4783" s="6" t="str">
        <f>"5602972731781"</f>
        <v>5602972731781</v>
      </c>
      <c r="O4783" s="8">
        <v>12</v>
      </c>
      <c r="P4783" s="7">
        <v>45993</v>
      </c>
      <c r="R4783" s="8">
        <v>0</v>
      </c>
      <c r="U4783" s="8">
        <v>0</v>
      </c>
      <c r="X4783" s="8">
        <v>0</v>
      </c>
      <c r="Z4783" s="8">
        <v>0</v>
      </c>
      <c r="AC4783" s="8">
        <v>0</v>
      </c>
      <c r="AE4783" s="7">
        <v>46001</v>
      </c>
      <c r="AF4783" s="8">
        <v>0</v>
      </c>
      <c r="AH4783" s="7">
        <v>46009</v>
      </c>
      <c r="AN4783" s="8">
        <v>0</v>
      </c>
      <c r="AO4783" s="8">
        <v>12</v>
      </c>
    </row>
    <row r="4784" spans="1:41" x14ac:dyDescent="0.25">
      <c r="A4784" s="6" t="str">
        <f t="shared" si="1264"/>
        <v>525-2025000601</v>
      </c>
      <c r="B4784" s="6" t="str">
        <f t="shared" si="1260"/>
        <v>Lasa Int</v>
      </c>
      <c r="C4784" s="7">
        <v>45993</v>
      </c>
      <c r="D4784" s="7">
        <v>46051</v>
      </c>
      <c r="E4784" s="8">
        <v>8</v>
      </c>
      <c r="F4784" s="6" t="str">
        <f t="shared" si="1265"/>
        <v>Squares</v>
      </c>
      <c r="G4784" s="6" t="str">
        <f t="shared" si="1266"/>
        <v>F100021455002620</v>
      </c>
      <c r="H4784" s="6" t="str">
        <f t="shared" si="1267"/>
        <v>FA 214 / 2620 - PURE</v>
      </c>
      <c r="I4784" s="6" t="str">
        <f>"3"</f>
        <v>3</v>
      </c>
      <c r="J4784" s="6" t="str">
        <f>"PRETO Sulf"</f>
        <v>PRETO Sulf</v>
      </c>
      <c r="K4784" s="6" t="str">
        <f>"2020"</f>
        <v>2020</v>
      </c>
      <c r="L4784" s="6" t="str">
        <f>"Lençóis"</f>
        <v>Lençóis</v>
      </c>
      <c r="M4784" s="6" t="str">
        <f>"100x150"</f>
        <v>100x150</v>
      </c>
      <c r="N4784" s="6" t="str">
        <f>"5602972731798"</f>
        <v>5602972731798</v>
      </c>
      <c r="O4784" s="8">
        <v>12</v>
      </c>
      <c r="P4784" s="7">
        <v>45993</v>
      </c>
      <c r="R4784" s="8">
        <v>0</v>
      </c>
      <c r="U4784" s="8">
        <v>0</v>
      </c>
      <c r="X4784" s="8">
        <v>0</v>
      </c>
      <c r="Z4784" s="8">
        <v>0</v>
      </c>
      <c r="AC4784" s="8">
        <v>0</v>
      </c>
      <c r="AE4784" s="7">
        <v>46001</v>
      </c>
      <c r="AF4784" s="8">
        <v>0</v>
      </c>
      <c r="AH4784" s="7">
        <v>46009</v>
      </c>
      <c r="AN4784" s="8">
        <v>0</v>
      </c>
      <c r="AO4784" s="8">
        <v>12</v>
      </c>
    </row>
    <row r="4785" spans="1:41" x14ac:dyDescent="0.25">
      <c r="A4785" s="6" t="str">
        <f t="shared" si="1264"/>
        <v>525-2025000601</v>
      </c>
      <c r="B4785" s="6" t="str">
        <f t="shared" si="1260"/>
        <v>Lasa Int</v>
      </c>
      <c r="C4785" s="7">
        <v>45993</v>
      </c>
      <c r="D4785" s="7">
        <v>46051</v>
      </c>
      <c r="E4785" s="8">
        <v>9</v>
      </c>
      <c r="F4785" s="6" t="str">
        <f t="shared" si="1265"/>
        <v>Squares</v>
      </c>
      <c r="G4785" s="6" t="str">
        <f t="shared" si="1266"/>
        <v>F100021455002620</v>
      </c>
      <c r="H4785" s="6" t="str">
        <f t="shared" si="1267"/>
        <v>FA 214 / 2620 - PURE</v>
      </c>
      <c r="I4785" s="6" t="str">
        <f>"3073"</f>
        <v>3073</v>
      </c>
      <c r="J4785" s="6" t="str">
        <f>"CINZA 3073"</f>
        <v>CINZA 3073</v>
      </c>
      <c r="K4785" s="6" t="str">
        <f>"0530"</f>
        <v>0530</v>
      </c>
      <c r="L4785" s="6" t="str">
        <f>"Toalhetes"</f>
        <v>Toalhetes</v>
      </c>
      <c r="M4785" s="6" t="str">
        <f>"33x50"</f>
        <v>33x50</v>
      </c>
      <c r="N4785" s="6" t="str">
        <f>"5602972509571"</f>
        <v>5602972509571</v>
      </c>
      <c r="O4785" s="8">
        <v>24</v>
      </c>
      <c r="P4785" s="7">
        <v>45993</v>
      </c>
      <c r="R4785" s="8">
        <v>0</v>
      </c>
      <c r="U4785" s="8">
        <v>0</v>
      </c>
      <c r="X4785" s="8">
        <v>0</v>
      </c>
      <c r="Z4785" s="8">
        <v>0</v>
      </c>
      <c r="AC4785" s="8">
        <v>0</v>
      </c>
      <c r="AE4785" s="7">
        <v>46001</v>
      </c>
      <c r="AF4785" s="8">
        <v>0</v>
      </c>
      <c r="AH4785" s="7">
        <v>46009</v>
      </c>
      <c r="AN4785" s="8">
        <v>0</v>
      </c>
      <c r="AO4785" s="8">
        <v>24</v>
      </c>
    </row>
    <row r="4786" spans="1:41" x14ac:dyDescent="0.25">
      <c r="A4786" s="6" t="str">
        <f t="shared" si="1264"/>
        <v>525-2025000601</v>
      </c>
      <c r="B4786" s="6" t="str">
        <f t="shared" si="1260"/>
        <v>Lasa Int</v>
      </c>
      <c r="C4786" s="7">
        <v>45993</v>
      </c>
      <c r="D4786" s="7">
        <v>46051</v>
      </c>
      <c r="E4786" s="8">
        <v>10</v>
      </c>
      <c r="F4786" s="6" t="str">
        <f t="shared" si="1265"/>
        <v>Squares</v>
      </c>
      <c r="G4786" s="6" t="str">
        <f t="shared" si="1266"/>
        <v>F100021455002620</v>
      </c>
      <c r="H4786" s="6" t="str">
        <f t="shared" si="1267"/>
        <v>FA 214 / 2620 - PURE</v>
      </c>
      <c r="I4786" s="6" t="str">
        <f>"3073"</f>
        <v>3073</v>
      </c>
      <c r="J4786" s="6" t="str">
        <f>"CINZA 3073"</f>
        <v>CINZA 3073</v>
      </c>
      <c r="K4786" s="6" t="str">
        <f>"1024"</f>
        <v>1024</v>
      </c>
      <c r="L4786" s="6" t="str">
        <f>"Toalhas"</f>
        <v>Toalhas</v>
      </c>
      <c r="M4786" s="6" t="str">
        <f>"50x100"</f>
        <v>50x100</v>
      </c>
      <c r="N4786" s="6" t="str">
        <f>"5602972509588"</f>
        <v>5602972509588</v>
      </c>
      <c r="O4786" s="8">
        <v>24</v>
      </c>
      <c r="P4786" s="7">
        <v>45993</v>
      </c>
      <c r="R4786" s="8">
        <v>0</v>
      </c>
      <c r="U4786" s="8">
        <v>0</v>
      </c>
      <c r="X4786" s="8">
        <v>0</v>
      </c>
      <c r="Z4786" s="8">
        <v>0</v>
      </c>
      <c r="AC4786" s="8">
        <v>0</v>
      </c>
      <c r="AE4786" s="7">
        <v>46001</v>
      </c>
      <c r="AF4786" s="8">
        <v>0</v>
      </c>
      <c r="AH4786" s="7">
        <v>46009</v>
      </c>
      <c r="AN4786" s="8">
        <v>0</v>
      </c>
      <c r="AO4786" s="8">
        <v>24</v>
      </c>
    </row>
    <row r="4787" spans="1:41" x14ac:dyDescent="0.25">
      <c r="A4787" s="6" t="str">
        <f t="shared" si="1264"/>
        <v>525-2025000601</v>
      </c>
      <c r="B4787" s="6" t="str">
        <f t="shared" si="1260"/>
        <v>Lasa Int</v>
      </c>
      <c r="C4787" s="7">
        <v>45993</v>
      </c>
      <c r="D4787" s="7">
        <v>46051</v>
      </c>
      <c r="E4787" s="8">
        <v>11</v>
      </c>
      <c r="F4787" s="6" t="str">
        <f t="shared" si="1265"/>
        <v>Squares</v>
      </c>
      <c r="G4787" s="6" t="str">
        <f t="shared" si="1266"/>
        <v>F100021455002620</v>
      </c>
      <c r="H4787" s="6" t="str">
        <f t="shared" si="1267"/>
        <v>FA 214 / 2620 - PURE</v>
      </c>
      <c r="I4787" s="6" t="str">
        <f>"3073"</f>
        <v>3073</v>
      </c>
      <c r="J4787" s="6" t="str">
        <f>"CINZA 3073"</f>
        <v>CINZA 3073</v>
      </c>
      <c r="K4787" s="6" t="str">
        <f>"1535"</f>
        <v>1535</v>
      </c>
      <c r="L4787" s="6" t="str">
        <f>"Toalhões"</f>
        <v>Toalhões</v>
      </c>
      <c r="M4787" s="6" t="str">
        <f>"70x140"</f>
        <v>70x140</v>
      </c>
      <c r="N4787" s="6" t="str">
        <f>"5602972509595"</f>
        <v>5602972509595</v>
      </c>
      <c r="O4787" s="8">
        <v>24</v>
      </c>
      <c r="P4787" s="7">
        <v>45993</v>
      </c>
      <c r="R4787" s="8">
        <v>0</v>
      </c>
      <c r="U4787" s="8">
        <v>0</v>
      </c>
      <c r="X4787" s="8">
        <v>0</v>
      </c>
      <c r="Z4787" s="8">
        <v>0</v>
      </c>
      <c r="AC4787" s="8">
        <v>0</v>
      </c>
      <c r="AE4787" s="7">
        <v>46001</v>
      </c>
      <c r="AF4787" s="8">
        <v>0</v>
      </c>
      <c r="AH4787" s="7">
        <v>46009</v>
      </c>
      <c r="AN4787" s="8">
        <v>0</v>
      </c>
      <c r="AO4787" s="8">
        <v>24</v>
      </c>
    </row>
    <row r="4788" spans="1:41" x14ac:dyDescent="0.25">
      <c r="A4788" s="6" t="str">
        <f t="shared" si="1264"/>
        <v>525-2025000601</v>
      </c>
      <c r="B4788" s="6" t="str">
        <f t="shared" si="1260"/>
        <v>Lasa Int</v>
      </c>
      <c r="C4788" s="7">
        <v>45993</v>
      </c>
      <c r="D4788" s="7">
        <v>46051</v>
      </c>
      <c r="E4788" s="8">
        <v>12</v>
      </c>
      <c r="F4788" s="6" t="str">
        <f t="shared" si="1265"/>
        <v>Squares</v>
      </c>
      <c r="G4788" s="6" t="str">
        <f t="shared" si="1266"/>
        <v>F100021455002620</v>
      </c>
      <c r="H4788" s="6" t="str">
        <f t="shared" si="1267"/>
        <v>FA 214 / 2620 - PURE</v>
      </c>
      <c r="I4788" s="6" t="str">
        <f>"3073"</f>
        <v>3073</v>
      </c>
      <c r="J4788" s="6" t="str">
        <f>"CINZA 3073"</f>
        <v>CINZA 3073</v>
      </c>
      <c r="K4788" s="6" t="str">
        <f>"2020"</f>
        <v>2020</v>
      </c>
      <c r="L4788" s="6" t="str">
        <f>"Lençóis"</f>
        <v>Lençóis</v>
      </c>
      <c r="M4788" s="6" t="str">
        <f>"100x150"</f>
        <v>100x150</v>
      </c>
      <c r="N4788" s="6" t="str">
        <f>"5602972509601"</f>
        <v>5602972509601</v>
      </c>
      <c r="O4788" s="8">
        <v>12</v>
      </c>
      <c r="P4788" s="7">
        <v>45993</v>
      </c>
      <c r="R4788" s="8">
        <v>0</v>
      </c>
      <c r="U4788" s="8">
        <v>0</v>
      </c>
      <c r="X4788" s="8">
        <v>0</v>
      </c>
      <c r="Z4788" s="8">
        <v>0</v>
      </c>
      <c r="AC4788" s="8">
        <v>0</v>
      </c>
      <c r="AE4788" s="7">
        <v>46001</v>
      </c>
      <c r="AF4788" s="8">
        <v>0</v>
      </c>
      <c r="AH4788" s="7">
        <v>46009</v>
      </c>
      <c r="AN4788" s="8">
        <v>0</v>
      </c>
      <c r="AO4788" s="8">
        <v>12</v>
      </c>
    </row>
    <row r="4789" spans="1:41" x14ac:dyDescent="0.25">
      <c r="A4789" s="6" t="str">
        <f t="shared" si="1264"/>
        <v>525-2025000601</v>
      </c>
      <c r="B4789" s="6" t="str">
        <f t="shared" si="1260"/>
        <v>Lasa Int</v>
      </c>
      <c r="C4789" s="7">
        <v>45993</v>
      </c>
      <c r="D4789" s="7">
        <v>46051</v>
      </c>
      <c r="E4789" s="8">
        <v>13</v>
      </c>
      <c r="F4789" s="6" t="str">
        <f t="shared" si="1265"/>
        <v>Squares</v>
      </c>
      <c r="G4789" s="6" t="str">
        <f t="shared" si="1266"/>
        <v>F100021455002620</v>
      </c>
      <c r="H4789" s="6" t="str">
        <f t="shared" si="1267"/>
        <v>FA 214 / 2620 - PURE</v>
      </c>
      <c r="I4789" s="6" t="str">
        <f>"3233"</f>
        <v>3233</v>
      </c>
      <c r="J4789" s="6" t="str">
        <f>"LILAS 3233"</f>
        <v>LILAS 3233</v>
      </c>
      <c r="K4789" s="6" t="str">
        <f>"1024"</f>
        <v>1024</v>
      </c>
      <c r="L4789" s="6" t="str">
        <f>"Toalhas"</f>
        <v>Toalhas</v>
      </c>
      <c r="M4789" s="6" t="str">
        <f>"50x100"</f>
        <v>50x100</v>
      </c>
      <c r="N4789" s="6" t="str">
        <f>"5602972775860"</f>
        <v>5602972775860</v>
      </c>
      <c r="O4789" s="8">
        <v>24</v>
      </c>
      <c r="P4789" s="7">
        <v>45993</v>
      </c>
      <c r="R4789" s="8">
        <v>0</v>
      </c>
      <c r="U4789" s="8">
        <v>0</v>
      </c>
      <c r="X4789" s="8">
        <v>0</v>
      </c>
      <c r="Z4789" s="8">
        <v>0</v>
      </c>
      <c r="AC4789" s="8">
        <v>0</v>
      </c>
      <c r="AE4789" s="7">
        <v>46001</v>
      </c>
      <c r="AF4789" s="8">
        <v>0</v>
      </c>
      <c r="AH4789" s="7">
        <v>46009</v>
      </c>
      <c r="AN4789" s="8">
        <v>0</v>
      </c>
      <c r="AO4789" s="8">
        <v>24</v>
      </c>
    </row>
    <row r="4790" spans="1:41" x14ac:dyDescent="0.25">
      <c r="A4790" s="6" t="str">
        <f t="shared" si="1264"/>
        <v>525-2025000601</v>
      </c>
      <c r="B4790" s="6" t="str">
        <f t="shared" si="1260"/>
        <v>Lasa Int</v>
      </c>
      <c r="C4790" s="7">
        <v>45993</v>
      </c>
      <c r="D4790" s="7">
        <v>46051</v>
      </c>
      <c r="E4790" s="8">
        <v>14</v>
      </c>
      <c r="F4790" s="6" t="str">
        <f t="shared" si="1265"/>
        <v>Squares</v>
      </c>
      <c r="G4790" s="6" t="str">
        <f t="shared" si="1266"/>
        <v>F100021455002620</v>
      </c>
      <c r="H4790" s="6" t="str">
        <f t="shared" si="1267"/>
        <v>FA 214 / 2620 - PURE</v>
      </c>
      <c r="I4790" s="6" t="str">
        <f>"3233"</f>
        <v>3233</v>
      </c>
      <c r="J4790" s="6" t="str">
        <f>"LILAS 3233"</f>
        <v>LILAS 3233</v>
      </c>
      <c r="K4790" s="6" t="str">
        <f>"2020"</f>
        <v>2020</v>
      </c>
      <c r="L4790" s="6" t="str">
        <f>"Lençóis"</f>
        <v>Lençóis</v>
      </c>
      <c r="M4790" s="6" t="str">
        <f>"100x150"</f>
        <v>100x150</v>
      </c>
      <c r="N4790" s="6" t="str">
        <f>"5602972775884"</f>
        <v>5602972775884</v>
      </c>
      <c r="O4790" s="8">
        <v>12</v>
      </c>
      <c r="P4790" s="7">
        <v>45993</v>
      </c>
      <c r="R4790" s="8">
        <v>0</v>
      </c>
      <c r="U4790" s="8">
        <v>0</v>
      </c>
      <c r="X4790" s="8">
        <v>0</v>
      </c>
      <c r="Z4790" s="8">
        <v>0</v>
      </c>
      <c r="AC4790" s="8">
        <v>0</v>
      </c>
      <c r="AE4790" s="7">
        <v>46001</v>
      </c>
      <c r="AF4790" s="8">
        <v>0</v>
      </c>
      <c r="AH4790" s="7">
        <v>46009</v>
      </c>
      <c r="AN4790" s="8">
        <v>0</v>
      </c>
      <c r="AO4790" s="8">
        <v>12</v>
      </c>
    </row>
    <row r="4791" spans="1:41" x14ac:dyDescent="0.25">
      <c r="A4791" s="6" t="str">
        <f t="shared" si="1264"/>
        <v>525-2025000601</v>
      </c>
      <c r="B4791" s="6" t="str">
        <f t="shared" si="1260"/>
        <v>Lasa Int</v>
      </c>
      <c r="C4791" s="7">
        <v>45993</v>
      </c>
      <c r="D4791" s="7">
        <v>46051</v>
      </c>
      <c r="E4791" s="8">
        <v>15</v>
      </c>
      <c r="F4791" s="6" t="str">
        <f t="shared" si="1265"/>
        <v>Squares</v>
      </c>
      <c r="G4791" s="6" t="str">
        <f t="shared" si="1266"/>
        <v>F100021455002620</v>
      </c>
      <c r="H4791" s="6" t="str">
        <f t="shared" si="1267"/>
        <v>FA 214 / 2620 - PURE</v>
      </c>
      <c r="I4791" s="6" t="str">
        <f>"3235"</f>
        <v>3235</v>
      </c>
      <c r="J4791" s="6" t="str">
        <f>"CINZA 3235"</f>
        <v>CINZA 3235</v>
      </c>
      <c r="K4791" s="6" t="str">
        <f>"0530"</f>
        <v>0530</v>
      </c>
      <c r="L4791" s="6" t="str">
        <f>"Toalhetes"</f>
        <v>Toalhetes</v>
      </c>
      <c r="M4791" s="6" t="str">
        <f>"33x50"</f>
        <v>33x50</v>
      </c>
      <c r="N4791" s="6" t="str">
        <f>"5602972731804"</f>
        <v>5602972731804</v>
      </c>
      <c r="O4791" s="8">
        <v>36</v>
      </c>
      <c r="P4791" s="7">
        <v>45993</v>
      </c>
      <c r="R4791" s="8">
        <v>0</v>
      </c>
      <c r="U4791" s="8">
        <v>0</v>
      </c>
      <c r="X4791" s="8">
        <v>0</v>
      </c>
      <c r="Z4791" s="8">
        <v>0</v>
      </c>
      <c r="AC4791" s="8">
        <v>0</v>
      </c>
      <c r="AE4791" s="7">
        <v>46001</v>
      </c>
      <c r="AF4791" s="8">
        <v>0</v>
      </c>
      <c r="AH4791" s="7">
        <v>46009</v>
      </c>
      <c r="AN4791" s="8">
        <v>0</v>
      </c>
      <c r="AO4791" s="8">
        <v>36</v>
      </c>
    </row>
    <row r="4792" spans="1:41" x14ac:dyDescent="0.25">
      <c r="A4792" s="6" t="str">
        <f t="shared" si="1264"/>
        <v>525-2025000601</v>
      </c>
      <c r="B4792" s="6" t="str">
        <f t="shared" si="1260"/>
        <v>Lasa Int</v>
      </c>
      <c r="C4792" s="7">
        <v>45993</v>
      </c>
      <c r="D4792" s="7">
        <v>46051</v>
      </c>
      <c r="E4792" s="8">
        <v>16</v>
      </c>
      <c r="F4792" s="6" t="str">
        <f t="shared" si="1265"/>
        <v>Squares</v>
      </c>
      <c r="G4792" s="6" t="str">
        <f t="shared" si="1266"/>
        <v>F100021455002620</v>
      </c>
      <c r="H4792" s="6" t="str">
        <f t="shared" si="1267"/>
        <v>FA 214 / 2620 - PURE</v>
      </c>
      <c r="I4792" s="6" t="str">
        <f>"3235"</f>
        <v>3235</v>
      </c>
      <c r="J4792" s="6" t="str">
        <f>"CINZA 3235"</f>
        <v>CINZA 3235</v>
      </c>
      <c r="K4792" s="6" t="str">
        <f>"1024"</f>
        <v>1024</v>
      </c>
      <c r="L4792" s="6" t="str">
        <f>"Toalhas"</f>
        <v>Toalhas</v>
      </c>
      <c r="M4792" s="6" t="str">
        <f>"50x100"</f>
        <v>50x100</v>
      </c>
      <c r="N4792" s="6" t="str">
        <f>"5602972731811"</f>
        <v>5602972731811</v>
      </c>
      <c r="O4792" s="8">
        <v>36</v>
      </c>
      <c r="P4792" s="7">
        <v>45993</v>
      </c>
      <c r="R4792" s="8">
        <v>0</v>
      </c>
      <c r="U4792" s="8">
        <v>0</v>
      </c>
      <c r="X4792" s="8">
        <v>0</v>
      </c>
      <c r="Z4792" s="8">
        <v>0</v>
      </c>
      <c r="AC4792" s="8">
        <v>0</v>
      </c>
      <c r="AE4792" s="7">
        <v>46001</v>
      </c>
      <c r="AF4792" s="8">
        <v>0</v>
      </c>
      <c r="AH4792" s="7">
        <v>46009</v>
      </c>
      <c r="AN4792" s="8">
        <v>0</v>
      </c>
      <c r="AO4792" s="8">
        <v>36</v>
      </c>
    </row>
    <row r="4793" spans="1:41" x14ac:dyDescent="0.25">
      <c r="A4793" s="6" t="str">
        <f t="shared" si="1264"/>
        <v>525-2025000601</v>
      </c>
      <c r="B4793" s="6" t="str">
        <f t="shared" si="1260"/>
        <v>Lasa Int</v>
      </c>
      <c r="C4793" s="7">
        <v>45993</v>
      </c>
      <c r="D4793" s="7">
        <v>46051</v>
      </c>
      <c r="E4793" s="8">
        <v>17</v>
      </c>
      <c r="F4793" s="6" t="str">
        <f t="shared" si="1265"/>
        <v>Squares</v>
      </c>
      <c r="G4793" s="6" t="str">
        <f t="shared" si="1266"/>
        <v>F100021455002620</v>
      </c>
      <c r="H4793" s="6" t="str">
        <f t="shared" si="1267"/>
        <v>FA 214 / 2620 - PURE</v>
      </c>
      <c r="I4793" s="6" t="str">
        <f>"3235"</f>
        <v>3235</v>
      </c>
      <c r="J4793" s="6" t="str">
        <f>"CINZA 3235"</f>
        <v>CINZA 3235</v>
      </c>
      <c r="K4793" s="6" t="str">
        <f>"1535"</f>
        <v>1535</v>
      </c>
      <c r="L4793" s="6" t="str">
        <f>"Toalhões"</f>
        <v>Toalhões</v>
      </c>
      <c r="M4793" s="6" t="str">
        <f>"70x140"</f>
        <v>70x140</v>
      </c>
      <c r="N4793" s="6" t="str">
        <f>"5602972731828"</f>
        <v>5602972731828</v>
      </c>
      <c r="O4793" s="8">
        <v>24</v>
      </c>
      <c r="P4793" s="7">
        <v>45993</v>
      </c>
      <c r="R4793" s="8">
        <v>0</v>
      </c>
      <c r="U4793" s="8">
        <v>0</v>
      </c>
      <c r="X4793" s="8">
        <v>0</v>
      </c>
      <c r="Z4793" s="8">
        <v>0</v>
      </c>
      <c r="AC4793" s="8">
        <v>0</v>
      </c>
      <c r="AE4793" s="7">
        <v>46001</v>
      </c>
      <c r="AF4793" s="8">
        <v>0</v>
      </c>
      <c r="AH4793" s="7">
        <v>46009</v>
      </c>
      <c r="AN4793" s="8">
        <v>0</v>
      </c>
      <c r="AO4793" s="8">
        <v>24</v>
      </c>
    </row>
    <row r="4794" spans="1:41" x14ac:dyDescent="0.25">
      <c r="A4794" s="6" t="str">
        <f t="shared" si="1264"/>
        <v>525-2025000601</v>
      </c>
      <c r="B4794" s="6" t="str">
        <f t="shared" si="1260"/>
        <v>Lasa Int</v>
      </c>
      <c r="C4794" s="7">
        <v>45993</v>
      </c>
      <c r="D4794" s="7">
        <v>46051</v>
      </c>
      <c r="E4794" s="8">
        <v>18</v>
      </c>
      <c r="F4794" s="6" t="str">
        <f t="shared" si="1265"/>
        <v>Squares</v>
      </c>
      <c r="G4794" s="6" t="str">
        <f t="shared" si="1266"/>
        <v>F100021455002620</v>
      </c>
      <c r="H4794" s="6" t="str">
        <f t="shared" si="1267"/>
        <v>FA 214 / 2620 - PURE</v>
      </c>
      <c r="I4794" s="6" t="str">
        <f>"3235"</f>
        <v>3235</v>
      </c>
      <c r="J4794" s="6" t="str">
        <f>"CINZA 3235"</f>
        <v>CINZA 3235</v>
      </c>
      <c r="K4794" s="6" t="str">
        <f>"2020"</f>
        <v>2020</v>
      </c>
      <c r="L4794" s="6" t="str">
        <f>"Lençóis"</f>
        <v>Lençóis</v>
      </c>
      <c r="M4794" s="6" t="str">
        <f>"100x150"</f>
        <v>100x150</v>
      </c>
      <c r="N4794" s="6" t="str">
        <f>"5602972731835"</f>
        <v>5602972731835</v>
      </c>
      <c r="O4794" s="8">
        <v>24</v>
      </c>
      <c r="P4794" s="7">
        <v>45993</v>
      </c>
      <c r="R4794" s="8">
        <v>0</v>
      </c>
      <c r="U4794" s="8">
        <v>0</v>
      </c>
      <c r="X4794" s="8">
        <v>0</v>
      </c>
      <c r="Z4794" s="8">
        <v>0</v>
      </c>
      <c r="AC4794" s="8">
        <v>0</v>
      </c>
      <c r="AE4794" s="7">
        <v>46001</v>
      </c>
      <c r="AF4794" s="8">
        <v>0</v>
      </c>
      <c r="AH4794" s="7">
        <v>46009</v>
      </c>
      <c r="AN4794" s="8">
        <v>0</v>
      </c>
      <c r="AO4794" s="8">
        <v>24</v>
      </c>
    </row>
    <row r="4795" spans="1:41" x14ac:dyDescent="0.25">
      <c r="A4795" s="6" t="str">
        <f t="shared" si="1264"/>
        <v>525-2025000601</v>
      </c>
      <c r="B4795" s="6" t="str">
        <f t="shared" si="1260"/>
        <v>Lasa Int</v>
      </c>
      <c r="C4795" s="7">
        <v>45993</v>
      </c>
      <c r="D4795" s="7">
        <v>46051</v>
      </c>
      <c r="E4795" s="8">
        <v>19</v>
      </c>
      <c r="F4795" s="6" t="str">
        <f t="shared" si="1265"/>
        <v>Squares</v>
      </c>
      <c r="G4795" s="6" t="str">
        <f t="shared" si="1266"/>
        <v>F100021455002620</v>
      </c>
      <c r="H4795" s="6" t="str">
        <f t="shared" si="1267"/>
        <v>FA 214 / 2620 - PURE</v>
      </c>
      <c r="I4795" s="6" t="str">
        <f>"5417"</f>
        <v>5417</v>
      </c>
      <c r="J4795" s="6" t="str">
        <f>"AZUL 5417"</f>
        <v>AZUL 5417</v>
      </c>
      <c r="K4795" s="6" t="str">
        <f>"0530"</f>
        <v>0530</v>
      </c>
      <c r="L4795" s="6" t="str">
        <f>"Toalhetes"</f>
        <v>Toalhetes</v>
      </c>
      <c r="M4795" s="6" t="str">
        <f>"33x50"</f>
        <v>33x50</v>
      </c>
      <c r="N4795" s="6" t="str">
        <f>"5602972509618"</f>
        <v>5602972509618</v>
      </c>
      <c r="O4795" s="8">
        <v>24</v>
      </c>
      <c r="P4795" s="7">
        <v>45993</v>
      </c>
      <c r="R4795" s="8">
        <v>0</v>
      </c>
      <c r="U4795" s="8">
        <v>0</v>
      </c>
      <c r="X4795" s="8">
        <v>0</v>
      </c>
      <c r="Z4795" s="8">
        <v>0</v>
      </c>
      <c r="AC4795" s="8">
        <v>0</v>
      </c>
      <c r="AE4795" s="7">
        <v>46001</v>
      </c>
      <c r="AF4795" s="8">
        <v>0</v>
      </c>
      <c r="AH4795" s="7">
        <v>46009</v>
      </c>
      <c r="AN4795" s="8">
        <v>0</v>
      </c>
      <c r="AO4795" s="8">
        <v>24</v>
      </c>
    </row>
    <row r="4796" spans="1:41" x14ac:dyDescent="0.25">
      <c r="A4796" s="6" t="str">
        <f t="shared" si="1264"/>
        <v>525-2025000601</v>
      </c>
      <c r="B4796" s="6" t="str">
        <f t="shared" si="1260"/>
        <v>Lasa Int</v>
      </c>
      <c r="C4796" s="7">
        <v>45993</v>
      </c>
      <c r="D4796" s="7">
        <v>46051</v>
      </c>
      <c r="E4796" s="8">
        <v>20</v>
      </c>
      <c r="F4796" s="6" t="str">
        <f t="shared" si="1265"/>
        <v>Squares</v>
      </c>
      <c r="G4796" s="6" t="str">
        <f t="shared" si="1266"/>
        <v>F100021455002620</v>
      </c>
      <c r="H4796" s="6" t="str">
        <f t="shared" si="1267"/>
        <v>FA 214 / 2620 - PURE</v>
      </c>
      <c r="I4796" s="6" t="str">
        <f>"5417"</f>
        <v>5417</v>
      </c>
      <c r="J4796" s="6" t="str">
        <f>"AZUL 5417"</f>
        <v>AZUL 5417</v>
      </c>
      <c r="K4796" s="6" t="str">
        <f>"1024"</f>
        <v>1024</v>
      </c>
      <c r="L4796" s="6" t="str">
        <f>"Toalhas"</f>
        <v>Toalhas</v>
      </c>
      <c r="M4796" s="6" t="str">
        <f>"50x100"</f>
        <v>50x100</v>
      </c>
      <c r="N4796" s="6" t="str">
        <f>"5602972509625"</f>
        <v>5602972509625</v>
      </c>
      <c r="O4796" s="8">
        <v>24</v>
      </c>
      <c r="P4796" s="7">
        <v>45993</v>
      </c>
      <c r="R4796" s="8">
        <v>0</v>
      </c>
      <c r="U4796" s="8">
        <v>0</v>
      </c>
      <c r="X4796" s="8">
        <v>0</v>
      </c>
      <c r="Z4796" s="8">
        <v>0</v>
      </c>
      <c r="AC4796" s="8">
        <v>0</v>
      </c>
      <c r="AE4796" s="7">
        <v>46001</v>
      </c>
      <c r="AF4796" s="8">
        <v>0</v>
      </c>
      <c r="AH4796" s="7">
        <v>46009</v>
      </c>
      <c r="AN4796" s="8">
        <v>0</v>
      </c>
      <c r="AO4796" s="8">
        <v>24</v>
      </c>
    </row>
    <row r="4797" spans="1:41" x14ac:dyDescent="0.25">
      <c r="A4797" s="6" t="str">
        <f t="shared" si="1264"/>
        <v>525-2025000601</v>
      </c>
      <c r="B4797" s="6" t="str">
        <f t="shared" si="1260"/>
        <v>Lasa Int</v>
      </c>
      <c r="C4797" s="7">
        <v>45993</v>
      </c>
      <c r="D4797" s="7">
        <v>46051</v>
      </c>
      <c r="E4797" s="8">
        <v>21</v>
      </c>
      <c r="F4797" s="6" t="str">
        <f t="shared" si="1265"/>
        <v>Squares</v>
      </c>
      <c r="G4797" s="6" t="str">
        <f t="shared" si="1266"/>
        <v>F100021455002620</v>
      </c>
      <c r="H4797" s="6" t="str">
        <f t="shared" si="1267"/>
        <v>FA 214 / 2620 - PURE</v>
      </c>
      <c r="I4797" s="6" t="str">
        <f>"5417"</f>
        <v>5417</v>
      </c>
      <c r="J4797" s="6" t="str">
        <f>"AZUL 5417"</f>
        <v>AZUL 5417</v>
      </c>
      <c r="K4797" s="6" t="str">
        <f>"1535"</f>
        <v>1535</v>
      </c>
      <c r="L4797" s="6" t="str">
        <f>"Toalhões"</f>
        <v>Toalhões</v>
      </c>
      <c r="M4797" s="6" t="str">
        <f>"70x140"</f>
        <v>70x140</v>
      </c>
      <c r="N4797" s="6" t="str">
        <f>"5602972509632"</f>
        <v>5602972509632</v>
      </c>
      <c r="O4797" s="8">
        <v>24</v>
      </c>
      <c r="P4797" s="7">
        <v>45993</v>
      </c>
      <c r="R4797" s="8">
        <v>0</v>
      </c>
      <c r="U4797" s="8">
        <v>0</v>
      </c>
      <c r="X4797" s="8">
        <v>0</v>
      </c>
      <c r="Z4797" s="8">
        <v>0</v>
      </c>
      <c r="AC4797" s="8">
        <v>0</v>
      </c>
      <c r="AE4797" s="7">
        <v>46001</v>
      </c>
      <c r="AF4797" s="8">
        <v>0</v>
      </c>
      <c r="AH4797" s="7">
        <v>46009</v>
      </c>
      <c r="AN4797" s="8">
        <v>0</v>
      </c>
      <c r="AO4797" s="8">
        <v>24</v>
      </c>
    </row>
    <row r="4798" spans="1:41" x14ac:dyDescent="0.25">
      <c r="A4798" s="6" t="str">
        <f t="shared" si="1264"/>
        <v>525-2025000601</v>
      </c>
      <c r="B4798" s="6" t="str">
        <f t="shared" si="1260"/>
        <v>Lasa Int</v>
      </c>
      <c r="C4798" s="7">
        <v>45993</v>
      </c>
      <c r="D4798" s="7">
        <v>46051</v>
      </c>
      <c r="E4798" s="8">
        <v>22</v>
      </c>
      <c r="F4798" s="6" t="str">
        <f t="shared" si="1265"/>
        <v>Squares</v>
      </c>
      <c r="G4798" s="6" t="str">
        <f t="shared" si="1266"/>
        <v>F100021455002620</v>
      </c>
      <c r="H4798" s="6" t="str">
        <f t="shared" si="1267"/>
        <v>FA 214 / 2620 - PURE</v>
      </c>
      <c r="I4798" s="6" t="str">
        <f>"5417"</f>
        <v>5417</v>
      </c>
      <c r="J4798" s="6" t="str">
        <f>"AZUL 5417"</f>
        <v>AZUL 5417</v>
      </c>
      <c r="K4798" s="6" t="str">
        <f>"2020"</f>
        <v>2020</v>
      </c>
      <c r="L4798" s="6" t="str">
        <f>"Lençóis"</f>
        <v>Lençóis</v>
      </c>
      <c r="M4798" s="6" t="str">
        <f>"100x150"</f>
        <v>100x150</v>
      </c>
      <c r="N4798" s="6" t="str">
        <f>"5602972509649"</f>
        <v>5602972509649</v>
      </c>
      <c r="O4798" s="8">
        <v>12</v>
      </c>
      <c r="P4798" s="7">
        <v>45993</v>
      </c>
      <c r="R4798" s="8">
        <v>0</v>
      </c>
      <c r="U4798" s="8">
        <v>0</v>
      </c>
      <c r="X4798" s="8">
        <v>0</v>
      </c>
      <c r="Z4798" s="8">
        <v>0</v>
      </c>
      <c r="AC4798" s="8">
        <v>0</v>
      </c>
      <c r="AE4798" s="7">
        <v>46001</v>
      </c>
      <c r="AF4798" s="8">
        <v>0</v>
      </c>
      <c r="AH4798" s="7">
        <v>46009</v>
      </c>
      <c r="AN4798" s="8">
        <v>0</v>
      </c>
      <c r="AO4798" s="8">
        <v>12</v>
      </c>
    </row>
    <row r="4799" spans="1:41" x14ac:dyDescent="0.25">
      <c r="A4799" s="6" t="str">
        <f>"525-2025000603"</f>
        <v>525-2025000603</v>
      </c>
      <c r="B4799" s="6" t="str">
        <f t="shared" si="1260"/>
        <v>Lasa Int</v>
      </c>
      <c r="C4799" s="7">
        <v>45993</v>
      </c>
      <c r="D4799" s="7">
        <v>46058</v>
      </c>
      <c r="E4799" s="8">
        <v>2</v>
      </c>
      <c r="F4799" s="6" t="str">
        <f>"alpha"</f>
        <v>alpha</v>
      </c>
      <c r="G4799" s="6" t="str">
        <f>"F100023140000000"</f>
        <v>F100023140000000</v>
      </c>
      <c r="H4799" s="6" t="str">
        <f>"FA 231 - 400 g/m²"</f>
        <v>FA 231 - 400 g/m²</v>
      </c>
      <c r="I4799" s="6" t="str">
        <f>"1"</f>
        <v>1</v>
      </c>
      <c r="J4799" s="6" t="str">
        <f>"BRANCO"</f>
        <v>BRANCO</v>
      </c>
      <c r="K4799" s="6" t="str">
        <f>"1020"</f>
        <v>1020</v>
      </c>
      <c r="L4799" s="6" t="str">
        <f>"Toalhas"</f>
        <v>Toalhas</v>
      </c>
      <c r="M4799" s="6" t="str">
        <f>"50x90"</f>
        <v>50x90</v>
      </c>
      <c r="N4799" s="6" t="str">
        <f>"5602972713145"</f>
        <v>5602972713145</v>
      </c>
      <c r="O4799" s="8">
        <v>960</v>
      </c>
      <c r="P4799" s="7">
        <v>45993</v>
      </c>
      <c r="R4799" s="8">
        <v>0</v>
      </c>
      <c r="S4799" s="7">
        <v>45996</v>
      </c>
      <c r="U4799" s="8">
        <v>960</v>
      </c>
      <c r="V4799" s="7">
        <v>46008</v>
      </c>
      <c r="X4799" s="8">
        <v>0</v>
      </c>
      <c r="Z4799" s="8">
        <v>960</v>
      </c>
      <c r="AA4799" s="7">
        <v>46027</v>
      </c>
      <c r="AC4799" s="8">
        <v>192</v>
      </c>
      <c r="AE4799" s="7">
        <v>46029</v>
      </c>
      <c r="AF4799" s="8">
        <v>192</v>
      </c>
      <c r="AH4799" s="7">
        <v>46029</v>
      </c>
      <c r="AN4799" s="8">
        <v>192</v>
      </c>
      <c r="AO4799" s="8">
        <v>768</v>
      </c>
    </row>
    <row r="4800" spans="1:41" x14ac:dyDescent="0.25">
      <c r="A4800" s="6" t="str">
        <f t="shared" ref="A4800:A4805" si="1268">"525-2025000604"</f>
        <v>525-2025000604</v>
      </c>
      <c r="B4800" s="6" t="str">
        <f t="shared" si="1260"/>
        <v>Lasa Int</v>
      </c>
      <c r="C4800" s="7">
        <v>45994</v>
      </c>
      <c r="D4800" s="7">
        <v>46093</v>
      </c>
      <c r="E4800" s="8">
        <v>1</v>
      </c>
      <c r="F4800" s="6" t="str">
        <f t="shared" ref="F4800:F4809" si="1269">"Zebra soft"</f>
        <v>Zebra soft</v>
      </c>
      <c r="G4800" s="6" t="str">
        <f>"R310331338000000"</f>
        <v>R310331338000000</v>
      </c>
      <c r="H4800" s="6" t="str">
        <f>"R 3313 (c) - PLAR 50"</f>
        <v>R 3313 (c) - PLAR 50</v>
      </c>
      <c r="I4800" s="6" t="str">
        <f t="shared" ref="I4800:I4809" si="1270">"202698"</f>
        <v>202698</v>
      </c>
      <c r="J4800" s="6" t="str">
        <f t="shared" ref="J4800:J4809" si="1271">"BEGE 2698"</f>
        <v>BEGE 2698</v>
      </c>
      <c r="K4800" s="6" t="str">
        <f>"5002"</f>
        <v>5002</v>
      </c>
      <c r="L4800" s="6" t="str">
        <f>"Roupões Adulto"</f>
        <v>Roupões Adulto</v>
      </c>
      <c r="M4800" s="6" t="str">
        <f>"S"</f>
        <v>S</v>
      </c>
      <c r="N4800" s="6" t="str">
        <f>"5602972511987"</f>
        <v>5602972511987</v>
      </c>
      <c r="O4800" s="8">
        <v>120</v>
      </c>
      <c r="P4800" s="7">
        <v>46049</v>
      </c>
      <c r="R4800" s="8">
        <v>899</v>
      </c>
      <c r="S4800" s="7">
        <v>46052</v>
      </c>
      <c r="U4800" s="8">
        <v>854</v>
      </c>
      <c r="V4800" s="7">
        <v>46063</v>
      </c>
      <c r="X4800" s="8">
        <v>537</v>
      </c>
      <c r="Z4800" s="8">
        <v>0</v>
      </c>
      <c r="AA4800" s="7">
        <v>46077</v>
      </c>
      <c r="AC4800" s="8">
        <v>0</v>
      </c>
      <c r="AE4800" s="7">
        <v>46093</v>
      </c>
      <c r="AF4800" s="8">
        <v>0</v>
      </c>
      <c r="AH4800" s="7">
        <v>46093</v>
      </c>
      <c r="AI4800" s="7">
        <v>46091</v>
      </c>
      <c r="AN4800" s="8">
        <v>0</v>
      </c>
      <c r="AO4800" s="8">
        <v>120</v>
      </c>
    </row>
    <row r="4801" spans="1:41" x14ac:dyDescent="0.25">
      <c r="A4801" s="6" t="str">
        <f t="shared" si="1268"/>
        <v>525-2025000604</v>
      </c>
      <c r="B4801" s="6" t="str">
        <f t="shared" si="1260"/>
        <v>Lasa Int</v>
      </c>
      <c r="C4801" s="7">
        <v>45994</v>
      </c>
      <c r="D4801" s="7">
        <v>46093</v>
      </c>
      <c r="E4801" s="8">
        <v>2</v>
      </c>
      <c r="F4801" s="6" t="str">
        <f t="shared" si="1269"/>
        <v>Zebra soft</v>
      </c>
      <c r="G4801" s="6" t="str">
        <f>"R310331338000000"</f>
        <v>R310331338000000</v>
      </c>
      <c r="H4801" s="6" t="str">
        <f>"R 3313 (c) - PLAR 50"</f>
        <v>R 3313 (c) - PLAR 50</v>
      </c>
      <c r="I4801" s="6" t="str">
        <f t="shared" si="1270"/>
        <v>202698</v>
      </c>
      <c r="J4801" s="6" t="str">
        <f t="shared" si="1271"/>
        <v>BEGE 2698</v>
      </c>
      <c r="K4801" s="6" t="str">
        <f>"5004"</f>
        <v>5004</v>
      </c>
      <c r="L4801" s="6" t="str">
        <f>"Roupões Adulto"</f>
        <v>Roupões Adulto</v>
      </c>
      <c r="M4801" s="6" t="str">
        <f>"M"</f>
        <v>M</v>
      </c>
      <c r="N4801" s="6" t="str">
        <f>"5602972511994"</f>
        <v>5602972511994</v>
      </c>
      <c r="O4801" s="8">
        <v>144</v>
      </c>
      <c r="P4801" s="7">
        <v>46049</v>
      </c>
      <c r="R4801" s="8">
        <v>0</v>
      </c>
      <c r="S4801" s="7">
        <v>46052</v>
      </c>
      <c r="U4801" s="8">
        <v>0</v>
      </c>
      <c r="V4801" s="7">
        <v>46063</v>
      </c>
      <c r="X4801" s="8">
        <v>0</v>
      </c>
      <c r="Z4801" s="8">
        <v>0</v>
      </c>
      <c r="AA4801" s="7">
        <v>46077</v>
      </c>
      <c r="AC4801" s="8">
        <v>0</v>
      </c>
      <c r="AE4801" s="7">
        <v>46093</v>
      </c>
      <c r="AF4801" s="8">
        <v>0</v>
      </c>
      <c r="AH4801" s="7">
        <v>46093</v>
      </c>
      <c r="AI4801" s="7">
        <v>46091</v>
      </c>
      <c r="AN4801" s="8">
        <v>0</v>
      </c>
      <c r="AO4801" s="8">
        <v>144</v>
      </c>
    </row>
    <row r="4802" spans="1:41" x14ac:dyDescent="0.25">
      <c r="A4802" s="6" t="str">
        <f t="shared" si="1268"/>
        <v>525-2025000604</v>
      </c>
      <c r="B4802" s="6" t="str">
        <f t="shared" si="1260"/>
        <v>Lasa Int</v>
      </c>
      <c r="C4802" s="7">
        <v>45994</v>
      </c>
      <c r="D4802" s="7">
        <v>46093</v>
      </c>
      <c r="E4802" s="8">
        <v>3</v>
      </c>
      <c r="F4802" s="6" t="str">
        <f t="shared" si="1269"/>
        <v>Zebra soft</v>
      </c>
      <c r="G4802" s="6" t="str">
        <f>"R310331338000000"</f>
        <v>R310331338000000</v>
      </c>
      <c r="H4802" s="6" t="str">
        <f>"R 3313 (c) - PLAR 50"</f>
        <v>R 3313 (c) - PLAR 50</v>
      </c>
      <c r="I4802" s="6" t="str">
        <f t="shared" si="1270"/>
        <v>202698</v>
      </c>
      <c r="J4802" s="6" t="str">
        <f t="shared" si="1271"/>
        <v>BEGE 2698</v>
      </c>
      <c r="K4802" s="6" t="str">
        <f>"5006"</f>
        <v>5006</v>
      </c>
      <c r="L4802" s="6" t="str">
        <f>"Roupões Adulto"</f>
        <v>Roupões Adulto</v>
      </c>
      <c r="M4802" s="6" t="str">
        <f>"L"</f>
        <v>L</v>
      </c>
      <c r="N4802" s="6" t="str">
        <f>"5602972512007"</f>
        <v>5602972512007</v>
      </c>
      <c r="O4802" s="8">
        <v>120</v>
      </c>
      <c r="P4802" s="7">
        <v>46049</v>
      </c>
      <c r="R4802" s="8">
        <v>0</v>
      </c>
      <c r="S4802" s="7">
        <v>46052</v>
      </c>
      <c r="U4802" s="8">
        <v>0</v>
      </c>
      <c r="V4802" s="7">
        <v>46063</v>
      </c>
      <c r="X4802" s="8">
        <v>0</v>
      </c>
      <c r="Z4802" s="8">
        <v>0</v>
      </c>
      <c r="AA4802" s="7">
        <v>46077</v>
      </c>
      <c r="AC4802" s="8">
        <v>0</v>
      </c>
      <c r="AE4802" s="7">
        <v>46093</v>
      </c>
      <c r="AF4802" s="8">
        <v>0</v>
      </c>
      <c r="AH4802" s="7">
        <v>46093</v>
      </c>
      <c r="AI4802" s="7">
        <v>46091</v>
      </c>
      <c r="AN4802" s="8">
        <v>0</v>
      </c>
      <c r="AO4802" s="8">
        <v>120</v>
      </c>
    </row>
    <row r="4803" spans="1:41" x14ac:dyDescent="0.25">
      <c r="A4803" s="6" t="str">
        <f t="shared" si="1268"/>
        <v>525-2025000604</v>
      </c>
      <c r="B4803" s="6" t="str">
        <f t="shared" si="1260"/>
        <v>Lasa Int</v>
      </c>
      <c r="C4803" s="7">
        <v>45994</v>
      </c>
      <c r="D4803" s="7">
        <v>46093</v>
      </c>
      <c r="E4803" s="8">
        <v>4</v>
      </c>
      <c r="F4803" s="6" t="str">
        <f t="shared" si="1269"/>
        <v>Zebra soft</v>
      </c>
      <c r="G4803" s="6" t="str">
        <f>"R310331338000000"</f>
        <v>R310331338000000</v>
      </c>
      <c r="H4803" s="6" t="str">
        <f>"R 3313 (c) - PLAR 50"</f>
        <v>R 3313 (c) - PLAR 50</v>
      </c>
      <c r="I4803" s="6" t="str">
        <f t="shared" si="1270"/>
        <v>202698</v>
      </c>
      <c r="J4803" s="6" t="str">
        <f t="shared" si="1271"/>
        <v>BEGE 2698</v>
      </c>
      <c r="K4803" s="6" t="str">
        <f>"5008"</f>
        <v>5008</v>
      </c>
      <c r="L4803" s="6" t="str">
        <f>"Roupões Adulto"</f>
        <v>Roupões Adulto</v>
      </c>
      <c r="M4803" s="6" t="str">
        <f>"XL"</f>
        <v>XL</v>
      </c>
      <c r="N4803" s="6" t="str">
        <f>"5602972512014"</f>
        <v>5602972512014</v>
      </c>
      <c r="O4803" s="8">
        <v>96</v>
      </c>
      <c r="P4803" s="7">
        <v>46049</v>
      </c>
      <c r="R4803" s="8">
        <v>0</v>
      </c>
      <c r="S4803" s="7">
        <v>46052</v>
      </c>
      <c r="U4803" s="8">
        <v>0</v>
      </c>
      <c r="V4803" s="7">
        <v>46063</v>
      </c>
      <c r="X4803" s="8">
        <v>0</v>
      </c>
      <c r="Z4803" s="8">
        <v>0</v>
      </c>
      <c r="AA4803" s="7">
        <v>46077</v>
      </c>
      <c r="AC4803" s="8">
        <v>0</v>
      </c>
      <c r="AE4803" s="7">
        <v>46093</v>
      </c>
      <c r="AF4803" s="8">
        <v>0</v>
      </c>
      <c r="AH4803" s="7">
        <v>46093</v>
      </c>
      <c r="AI4803" s="7">
        <v>46091</v>
      </c>
      <c r="AN4803" s="8">
        <v>0</v>
      </c>
      <c r="AO4803" s="8">
        <v>96</v>
      </c>
    </row>
    <row r="4804" spans="1:41" x14ac:dyDescent="0.25">
      <c r="A4804" s="6" t="str">
        <f t="shared" si="1268"/>
        <v>525-2025000604</v>
      </c>
      <c r="B4804" s="6" t="str">
        <f t="shared" si="1260"/>
        <v>Lasa Int</v>
      </c>
      <c r="C4804" s="7">
        <v>45994</v>
      </c>
      <c r="D4804" s="7">
        <v>46093</v>
      </c>
      <c r="E4804" s="8">
        <v>5</v>
      </c>
      <c r="F4804" s="6" t="str">
        <f t="shared" si="1269"/>
        <v>Zebra soft</v>
      </c>
      <c r="G4804" s="6" t="str">
        <f>"K310157238000000"</f>
        <v>K310157238000000</v>
      </c>
      <c r="H4804" s="6" t="str">
        <f>"KB 1572 (c) - PLAR 5"</f>
        <v>KB 1572 (c) - PLAR 5</v>
      </c>
      <c r="I4804" s="6" t="str">
        <f t="shared" si="1270"/>
        <v>202698</v>
      </c>
      <c r="J4804" s="6" t="str">
        <f t="shared" si="1271"/>
        <v>BEGE 2698</v>
      </c>
      <c r="K4804" s="6" t="str">
        <f>"4865"</f>
        <v>4865</v>
      </c>
      <c r="L4804" s="6" t="str">
        <f>"Chinelos"</f>
        <v>Chinelos</v>
      </c>
      <c r="M4804" s="6" t="str">
        <f>"Tamanho S/"</f>
        <v>Tamanho S/</v>
      </c>
      <c r="N4804" s="6" t="str">
        <f>"5602972512038"</f>
        <v>5602972512038</v>
      </c>
      <c r="O4804" s="8">
        <v>72</v>
      </c>
      <c r="P4804" s="7">
        <v>46049</v>
      </c>
      <c r="R4804" s="8">
        <v>0</v>
      </c>
      <c r="S4804" s="7">
        <v>46052</v>
      </c>
      <c r="U4804" s="8">
        <v>0</v>
      </c>
      <c r="V4804" s="7">
        <v>46063</v>
      </c>
      <c r="X4804" s="8">
        <v>0</v>
      </c>
      <c r="Z4804" s="8">
        <v>0</v>
      </c>
      <c r="AA4804" s="7">
        <v>46077</v>
      </c>
      <c r="AC4804" s="8">
        <v>0</v>
      </c>
      <c r="AE4804" s="7">
        <v>46093</v>
      </c>
      <c r="AF4804" s="8">
        <v>0</v>
      </c>
      <c r="AH4804" s="7">
        <v>46093</v>
      </c>
      <c r="AI4804" s="7">
        <v>46091</v>
      </c>
      <c r="AN4804" s="8">
        <v>0</v>
      </c>
      <c r="AO4804" s="8">
        <v>72</v>
      </c>
    </row>
    <row r="4805" spans="1:41" x14ac:dyDescent="0.25">
      <c r="A4805" s="6" t="str">
        <f t="shared" si="1268"/>
        <v>525-2025000604</v>
      </c>
      <c r="B4805" s="6" t="str">
        <f t="shared" si="1260"/>
        <v>Lasa Int</v>
      </c>
      <c r="C4805" s="7">
        <v>45994</v>
      </c>
      <c r="D4805" s="7">
        <v>46093</v>
      </c>
      <c r="E4805" s="8">
        <v>6</v>
      </c>
      <c r="F4805" s="6" t="str">
        <f t="shared" si="1269"/>
        <v>Zebra soft</v>
      </c>
      <c r="G4805" s="6" t="str">
        <f>"K310157238000000"</f>
        <v>K310157238000000</v>
      </c>
      <c r="H4805" s="6" t="str">
        <f>"KB 1572 (c) - PLAR 5"</f>
        <v>KB 1572 (c) - PLAR 5</v>
      </c>
      <c r="I4805" s="6" t="str">
        <f t="shared" si="1270"/>
        <v>202698</v>
      </c>
      <c r="J4805" s="6" t="str">
        <f t="shared" si="1271"/>
        <v>BEGE 2698</v>
      </c>
      <c r="K4805" s="6" t="str">
        <f>"4867"</f>
        <v>4867</v>
      </c>
      <c r="L4805" s="6" t="str">
        <f>"Chinelos"</f>
        <v>Chinelos</v>
      </c>
      <c r="M4805" s="6" t="str">
        <f>"Tamanho L/"</f>
        <v>Tamanho L/</v>
      </c>
      <c r="N4805" s="6" t="str">
        <f>"5602972512045"</f>
        <v>5602972512045</v>
      </c>
      <c r="O4805" s="8">
        <v>24</v>
      </c>
      <c r="P4805" s="7">
        <v>46049</v>
      </c>
      <c r="R4805" s="8">
        <v>0</v>
      </c>
      <c r="S4805" s="7">
        <v>46052</v>
      </c>
      <c r="U4805" s="8">
        <v>0</v>
      </c>
      <c r="V4805" s="7">
        <v>46063</v>
      </c>
      <c r="X4805" s="8">
        <v>0</v>
      </c>
      <c r="Z4805" s="8">
        <v>0</v>
      </c>
      <c r="AA4805" s="7">
        <v>46077</v>
      </c>
      <c r="AC4805" s="8">
        <v>0</v>
      </c>
      <c r="AE4805" s="7">
        <v>46093</v>
      </c>
      <c r="AF4805" s="8">
        <v>0</v>
      </c>
      <c r="AH4805" s="7">
        <v>46093</v>
      </c>
      <c r="AI4805" s="7">
        <v>46091</v>
      </c>
      <c r="AN4805" s="8">
        <v>0</v>
      </c>
      <c r="AO4805" s="8">
        <v>24</v>
      </c>
    </row>
    <row r="4806" spans="1:41" x14ac:dyDescent="0.25">
      <c r="A4806" s="6" t="str">
        <f>"525-2025000605"</f>
        <v>525-2025000605</v>
      </c>
      <c r="B4806" s="6" t="str">
        <f t="shared" si="1260"/>
        <v>Lasa Int</v>
      </c>
      <c r="C4806" s="7">
        <v>45994</v>
      </c>
      <c r="D4806" s="7">
        <v>46073</v>
      </c>
      <c r="E4806" s="8">
        <v>1</v>
      </c>
      <c r="F4806" s="6" t="str">
        <f t="shared" si="1269"/>
        <v>Zebra soft</v>
      </c>
      <c r="G4806" s="6" t="str">
        <f>"F310503150000002"</f>
        <v>F310503150000002</v>
      </c>
      <c r="H4806" s="6" t="str">
        <f>"PLAR 5031 (c) - 500"</f>
        <v>PLAR 5031 (c) - 500</v>
      </c>
      <c r="I4806" s="6" t="str">
        <f t="shared" si="1270"/>
        <v>202698</v>
      </c>
      <c r="J4806" s="6" t="str">
        <f t="shared" si="1271"/>
        <v>BEGE 2698</v>
      </c>
      <c r="K4806" s="6" t="str">
        <f>"0112"</f>
        <v>0112</v>
      </c>
      <c r="L4806" s="6" t="str">
        <f>"Luvas"</f>
        <v>Luvas</v>
      </c>
      <c r="M4806" s="6" t="str">
        <f>"16x21"</f>
        <v>16x21</v>
      </c>
      <c r="N4806" s="6" t="str">
        <f>"5602972511338"</f>
        <v>5602972511338</v>
      </c>
      <c r="O4806" s="8">
        <v>240</v>
      </c>
      <c r="P4806" s="7">
        <v>46049</v>
      </c>
      <c r="R4806" s="8">
        <v>306</v>
      </c>
      <c r="S4806" s="7">
        <v>46052</v>
      </c>
      <c r="U4806" s="8">
        <v>306</v>
      </c>
      <c r="V4806" s="7">
        <v>46057</v>
      </c>
      <c r="X4806" s="8">
        <v>306</v>
      </c>
      <c r="Z4806" s="8">
        <v>0</v>
      </c>
      <c r="AA4806" s="7">
        <v>46071</v>
      </c>
      <c r="AC4806" s="8">
        <v>0</v>
      </c>
      <c r="AE4806" s="7">
        <v>46073</v>
      </c>
      <c r="AF4806" s="8">
        <v>0</v>
      </c>
      <c r="AH4806" s="7">
        <v>46073</v>
      </c>
      <c r="AN4806" s="8">
        <v>0</v>
      </c>
      <c r="AO4806" s="8">
        <v>240</v>
      </c>
    </row>
    <row r="4807" spans="1:41" x14ac:dyDescent="0.25">
      <c r="A4807" s="6" t="str">
        <f>"525-2025000605"</f>
        <v>525-2025000605</v>
      </c>
      <c r="B4807" s="6" t="str">
        <f t="shared" si="1260"/>
        <v>Lasa Int</v>
      </c>
      <c r="C4807" s="7">
        <v>45994</v>
      </c>
      <c r="D4807" s="7">
        <v>46073</v>
      </c>
      <c r="E4807" s="8">
        <v>2</v>
      </c>
      <c r="F4807" s="6" t="str">
        <f t="shared" si="1269"/>
        <v>Zebra soft</v>
      </c>
      <c r="G4807" s="6" t="str">
        <f>"F310503150000002"</f>
        <v>F310503150000002</v>
      </c>
      <c r="H4807" s="6" t="str">
        <f>"PLAR 5031 (c) - 500"</f>
        <v>PLAR 5031 (c) - 500</v>
      </c>
      <c r="I4807" s="6" t="str">
        <f t="shared" si="1270"/>
        <v>202698</v>
      </c>
      <c r="J4807" s="6" t="str">
        <f t="shared" si="1271"/>
        <v>BEGE 2698</v>
      </c>
      <c r="K4807" s="6" t="str">
        <f>"1024"</f>
        <v>1024</v>
      </c>
      <c r="L4807" s="6" t="str">
        <f>"Toalhas"</f>
        <v>Toalhas</v>
      </c>
      <c r="M4807" s="6" t="str">
        <f>"50x100"</f>
        <v>50x100</v>
      </c>
      <c r="N4807" s="6" t="str">
        <f>"5602972511352"</f>
        <v>5602972511352</v>
      </c>
      <c r="O4807" s="8">
        <v>240</v>
      </c>
      <c r="P4807" s="7">
        <v>46049</v>
      </c>
      <c r="R4807" s="8">
        <v>276</v>
      </c>
      <c r="S4807" s="7">
        <v>46052</v>
      </c>
      <c r="U4807" s="8">
        <v>276</v>
      </c>
      <c r="V4807" s="7">
        <v>46057</v>
      </c>
      <c r="X4807" s="8">
        <v>276</v>
      </c>
      <c r="Z4807" s="8">
        <v>0</v>
      </c>
      <c r="AA4807" s="7">
        <v>46071</v>
      </c>
      <c r="AC4807" s="8">
        <v>0</v>
      </c>
      <c r="AE4807" s="7">
        <v>46073</v>
      </c>
      <c r="AF4807" s="8">
        <v>0</v>
      </c>
      <c r="AH4807" s="7">
        <v>46073</v>
      </c>
      <c r="AN4807" s="8">
        <v>0</v>
      </c>
      <c r="AO4807" s="8">
        <v>240</v>
      </c>
    </row>
    <row r="4808" spans="1:41" x14ac:dyDescent="0.25">
      <c r="A4808" s="6" t="str">
        <f>"525-2025000605"</f>
        <v>525-2025000605</v>
      </c>
      <c r="B4808" s="6" t="str">
        <f t="shared" si="1260"/>
        <v>Lasa Int</v>
      </c>
      <c r="C4808" s="7">
        <v>45994</v>
      </c>
      <c r="D4808" s="7">
        <v>46073</v>
      </c>
      <c r="E4808" s="8">
        <v>3</v>
      </c>
      <c r="F4808" s="6" t="str">
        <f t="shared" si="1269"/>
        <v>Zebra soft</v>
      </c>
      <c r="G4808" s="6" t="str">
        <f>"F310503150000002"</f>
        <v>F310503150000002</v>
      </c>
      <c r="H4808" s="6" t="str">
        <f>"PLAR 5031 (c) - 500"</f>
        <v>PLAR 5031 (c) - 500</v>
      </c>
      <c r="I4808" s="6" t="str">
        <f t="shared" si="1270"/>
        <v>202698</v>
      </c>
      <c r="J4808" s="6" t="str">
        <f t="shared" si="1271"/>
        <v>BEGE 2698</v>
      </c>
      <c r="K4808" s="6" t="str">
        <f>"2020"</f>
        <v>2020</v>
      </c>
      <c r="L4808" s="6" t="str">
        <f>"Lençóis"</f>
        <v>Lençóis</v>
      </c>
      <c r="M4808" s="6" t="str">
        <f>"100x150"</f>
        <v>100x150</v>
      </c>
      <c r="N4808" s="6" t="str">
        <f>"5602972511376"</f>
        <v>5602972511376</v>
      </c>
      <c r="O4808" s="8">
        <v>80</v>
      </c>
      <c r="P4808" s="7">
        <v>46049</v>
      </c>
      <c r="R4808" s="8">
        <v>96</v>
      </c>
      <c r="S4808" s="7">
        <v>46052</v>
      </c>
      <c r="U4808" s="8">
        <v>96</v>
      </c>
      <c r="V4808" s="7">
        <v>46057</v>
      </c>
      <c r="X4808" s="8">
        <v>96</v>
      </c>
      <c r="Z4808" s="8">
        <v>0</v>
      </c>
      <c r="AA4808" s="7">
        <v>46071</v>
      </c>
      <c r="AC4808" s="8">
        <v>0</v>
      </c>
      <c r="AE4808" s="7">
        <v>46073</v>
      </c>
      <c r="AF4808" s="8">
        <v>0</v>
      </c>
      <c r="AH4808" s="7">
        <v>46073</v>
      </c>
      <c r="AN4808" s="8">
        <v>0</v>
      </c>
      <c r="AO4808" s="8">
        <v>80</v>
      </c>
    </row>
    <row r="4809" spans="1:41" x14ac:dyDescent="0.25">
      <c r="A4809" s="6" t="str">
        <f>"525-2025000605"</f>
        <v>525-2025000605</v>
      </c>
      <c r="B4809" s="6" t="str">
        <f t="shared" si="1260"/>
        <v>Lasa Int</v>
      </c>
      <c r="C4809" s="7">
        <v>45994</v>
      </c>
      <c r="D4809" s="7">
        <v>46073</v>
      </c>
      <c r="E4809" s="8">
        <v>4</v>
      </c>
      <c r="F4809" s="6" t="str">
        <f t="shared" si="1269"/>
        <v>Zebra soft</v>
      </c>
      <c r="G4809" s="6" t="str">
        <f>"F310503250000001"</f>
        <v>F310503250000001</v>
      </c>
      <c r="H4809" s="6" t="str">
        <f>"PLAR 5032 (c) - 500"</f>
        <v>PLAR 5032 (c) - 500</v>
      </c>
      <c r="I4809" s="6" t="str">
        <f t="shared" si="1270"/>
        <v>202698</v>
      </c>
      <c r="J4809" s="6" t="str">
        <f t="shared" si="1271"/>
        <v>BEGE 2698</v>
      </c>
      <c r="K4809" s="6" t="str">
        <f>"0112"</f>
        <v>0112</v>
      </c>
      <c r="L4809" s="6" t="str">
        <f>"Luvas"</f>
        <v>Luvas</v>
      </c>
      <c r="M4809" s="6" t="str">
        <f>"16x21"</f>
        <v>16x21</v>
      </c>
      <c r="N4809" s="6" t="str">
        <f>"5602972511383"</f>
        <v>5602972511383</v>
      </c>
      <c r="O4809" s="8">
        <v>120</v>
      </c>
      <c r="P4809" s="7">
        <v>46049</v>
      </c>
      <c r="R4809" s="8">
        <v>180</v>
      </c>
      <c r="S4809" s="7">
        <v>46052</v>
      </c>
      <c r="U4809" s="8">
        <v>180</v>
      </c>
      <c r="V4809" s="7">
        <v>46057</v>
      </c>
      <c r="X4809" s="8">
        <v>0</v>
      </c>
      <c r="Z4809" s="8">
        <v>0</v>
      </c>
      <c r="AA4809" s="7">
        <v>46071</v>
      </c>
      <c r="AC4809" s="8">
        <v>0</v>
      </c>
      <c r="AE4809" s="7">
        <v>46073</v>
      </c>
      <c r="AF4809" s="8">
        <v>0</v>
      </c>
      <c r="AH4809" s="7">
        <v>46073</v>
      </c>
      <c r="AN4809" s="8">
        <v>0</v>
      </c>
      <c r="AO4809" s="8">
        <v>120</v>
      </c>
    </row>
    <row r="4810" spans="1:41" x14ac:dyDescent="0.25">
      <c r="A4810" s="6" t="str">
        <f t="shared" ref="A4810:A4819" si="1272">"525-2025000606"</f>
        <v>525-2025000606</v>
      </c>
      <c r="B4810" s="6" t="str">
        <f t="shared" ref="B4810:B4819" si="1273">"ARMANDO"</f>
        <v>ARMANDO</v>
      </c>
      <c r="C4810" s="7">
        <v>45994</v>
      </c>
      <c r="D4810" s="7">
        <v>46030</v>
      </c>
      <c r="E4810" s="8">
        <v>1</v>
      </c>
      <c r="F4810" s="6" t="str">
        <f t="shared" ref="F4810:F4819" si="1274">"Hotel"</f>
        <v>Hotel</v>
      </c>
      <c r="G4810" s="6" t="str">
        <f>"F160036440010000"</f>
        <v>F160036440010000</v>
      </c>
      <c r="H4810" s="6" t="str">
        <f>"L 364 - 400 g/m² (HO"</f>
        <v>L 364 - 400 g/m² (HO</v>
      </c>
      <c r="I4810" s="6" t="str">
        <f t="shared" ref="I4810:I4819" si="1275">"1"</f>
        <v>1</v>
      </c>
      <c r="J4810" s="6" t="str">
        <f t="shared" ref="J4810:J4819" si="1276">"BRANCO"</f>
        <v>BRANCO</v>
      </c>
      <c r="K4810" s="6" t="str">
        <f>"0520"</f>
        <v>0520</v>
      </c>
      <c r="L4810" s="6" t="str">
        <f>"Toalhetes"</f>
        <v>Toalhetes</v>
      </c>
      <c r="M4810" s="6" t="str">
        <f>"30x50"</f>
        <v>30x50</v>
      </c>
      <c r="N4810" s="6" t="str">
        <f>"5602972265354"</f>
        <v>5602972265354</v>
      </c>
      <c r="O4810" s="8">
        <v>360</v>
      </c>
      <c r="P4810" s="7">
        <v>45994</v>
      </c>
      <c r="R4810" s="8">
        <v>432</v>
      </c>
      <c r="S4810" s="7">
        <v>46000</v>
      </c>
      <c r="U4810" s="8">
        <v>636</v>
      </c>
      <c r="V4810" s="7">
        <v>46009</v>
      </c>
      <c r="X4810" s="8">
        <v>0</v>
      </c>
      <c r="Z4810" s="8">
        <v>636</v>
      </c>
      <c r="AA4810" s="7">
        <v>46028</v>
      </c>
      <c r="AC4810" s="8">
        <v>108</v>
      </c>
      <c r="AE4810" s="7">
        <v>46030</v>
      </c>
      <c r="AF4810" s="8">
        <v>108</v>
      </c>
      <c r="AH4810" s="7">
        <v>46030</v>
      </c>
      <c r="AN4810" s="8">
        <v>108</v>
      </c>
      <c r="AO4810" s="8">
        <v>252</v>
      </c>
    </row>
    <row r="4811" spans="1:41" x14ac:dyDescent="0.25">
      <c r="A4811" s="6" t="str">
        <f t="shared" si="1272"/>
        <v>525-2025000606</v>
      </c>
      <c r="B4811" s="6" t="str">
        <f t="shared" si="1273"/>
        <v>ARMANDO</v>
      </c>
      <c r="C4811" s="7">
        <v>45994</v>
      </c>
      <c r="D4811" s="7">
        <v>46030</v>
      </c>
      <c r="E4811" s="8">
        <v>2</v>
      </c>
      <c r="F4811" s="6" t="str">
        <f t="shared" si="1274"/>
        <v>Hotel</v>
      </c>
      <c r="G4811" s="6" t="str">
        <f>"F160036440010000"</f>
        <v>F160036440010000</v>
      </c>
      <c r="H4811" s="6" t="str">
        <f>"L 364 - 400 g/m² (HO"</f>
        <v>L 364 - 400 g/m² (HO</v>
      </c>
      <c r="I4811" s="6" t="str">
        <f t="shared" si="1275"/>
        <v>1</v>
      </c>
      <c r="J4811" s="6" t="str">
        <f t="shared" si="1276"/>
        <v>BRANCO</v>
      </c>
      <c r="K4811" s="6" t="str">
        <f>"1535"</f>
        <v>1535</v>
      </c>
      <c r="L4811" s="6" t="str">
        <f>"Toalhões"</f>
        <v>Toalhões</v>
      </c>
      <c r="M4811" s="6" t="str">
        <f>"70x140"</f>
        <v>70x140</v>
      </c>
      <c r="N4811" s="6" t="str">
        <f>"5602972265378"</f>
        <v>5602972265378</v>
      </c>
      <c r="O4811" s="8">
        <v>360</v>
      </c>
      <c r="P4811" s="7">
        <v>45994</v>
      </c>
      <c r="R4811" s="8">
        <v>405</v>
      </c>
      <c r="S4811" s="7">
        <v>46000</v>
      </c>
      <c r="U4811" s="8">
        <v>405</v>
      </c>
      <c r="V4811" s="7">
        <v>46009</v>
      </c>
      <c r="X4811" s="8">
        <v>0</v>
      </c>
      <c r="Z4811" s="8">
        <v>405</v>
      </c>
      <c r="AA4811" s="7">
        <v>46028</v>
      </c>
      <c r="AC4811" s="8">
        <v>243</v>
      </c>
      <c r="AE4811" s="7">
        <v>46030</v>
      </c>
      <c r="AF4811" s="8">
        <v>243</v>
      </c>
      <c r="AH4811" s="7">
        <v>46030</v>
      </c>
      <c r="AN4811" s="8">
        <v>243</v>
      </c>
      <c r="AO4811" s="8">
        <v>117</v>
      </c>
    </row>
    <row r="4812" spans="1:41" x14ac:dyDescent="0.25">
      <c r="A4812" s="6" t="str">
        <f t="shared" si="1272"/>
        <v>525-2025000606</v>
      </c>
      <c r="B4812" s="6" t="str">
        <f t="shared" si="1273"/>
        <v>ARMANDO</v>
      </c>
      <c r="C4812" s="7">
        <v>45994</v>
      </c>
      <c r="D4812" s="7">
        <v>46030</v>
      </c>
      <c r="E4812" s="8">
        <v>3</v>
      </c>
      <c r="F4812" s="6" t="str">
        <f t="shared" si="1274"/>
        <v>Hotel</v>
      </c>
      <c r="G4812" s="6" t="str">
        <f>"F160036950010000"</f>
        <v>F160036950010000</v>
      </c>
      <c r="H4812" s="6" t="str">
        <f>"L 369 - 500 g/m² (AT"</f>
        <v>L 369 - 500 g/m² (AT</v>
      </c>
      <c r="I4812" s="6" t="str">
        <f t="shared" si="1275"/>
        <v>1</v>
      </c>
      <c r="J4812" s="6" t="str">
        <f t="shared" si="1276"/>
        <v>BRANCO</v>
      </c>
      <c r="K4812" s="6" t="str">
        <f>"1024"</f>
        <v>1024</v>
      </c>
      <c r="L4812" s="6" t="str">
        <f>"Toalhas"</f>
        <v>Toalhas</v>
      </c>
      <c r="M4812" s="6" t="str">
        <f>"50x100"</f>
        <v>50x100</v>
      </c>
      <c r="N4812" s="6" t="str">
        <f>"5602972265248"</f>
        <v>5602972265248</v>
      </c>
      <c r="O4812" s="8">
        <v>480</v>
      </c>
      <c r="P4812" s="7">
        <v>45994</v>
      </c>
      <c r="R4812" s="8">
        <v>528</v>
      </c>
      <c r="S4812" s="7">
        <v>46000</v>
      </c>
      <c r="U4812" s="8">
        <v>528</v>
      </c>
      <c r="V4812" s="7">
        <v>46009</v>
      </c>
      <c r="X4812" s="8">
        <v>0</v>
      </c>
      <c r="Z4812" s="8">
        <v>528</v>
      </c>
      <c r="AA4812" s="7">
        <v>46028</v>
      </c>
      <c r="AC4812" s="8">
        <v>0</v>
      </c>
      <c r="AE4812" s="7">
        <v>46030</v>
      </c>
      <c r="AF4812" s="8">
        <v>0</v>
      </c>
      <c r="AH4812" s="7">
        <v>46030</v>
      </c>
      <c r="AN4812" s="8">
        <v>0</v>
      </c>
      <c r="AO4812" s="8">
        <v>480</v>
      </c>
    </row>
    <row r="4813" spans="1:41" x14ac:dyDescent="0.25">
      <c r="A4813" s="6" t="str">
        <f t="shared" si="1272"/>
        <v>525-2025000606</v>
      </c>
      <c r="B4813" s="6" t="str">
        <f t="shared" si="1273"/>
        <v>ARMANDO</v>
      </c>
      <c r="C4813" s="7">
        <v>45994</v>
      </c>
      <c r="D4813" s="7">
        <v>46030</v>
      </c>
      <c r="E4813" s="8">
        <v>4</v>
      </c>
      <c r="F4813" s="6" t="str">
        <f t="shared" si="1274"/>
        <v>Hotel</v>
      </c>
      <c r="G4813" s="6" t="str">
        <f>"F160036950010000"</f>
        <v>F160036950010000</v>
      </c>
      <c r="H4813" s="6" t="str">
        <f>"L 369 - 500 g/m² (AT"</f>
        <v>L 369 - 500 g/m² (AT</v>
      </c>
      <c r="I4813" s="6" t="str">
        <f t="shared" si="1275"/>
        <v>1</v>
      </c>
      <c r="J4813" s="6" t="str">
        <f t="shared" si="1276"/>
        <v>BRANCO</v>
      </c>
      <c r="K4813" s="6" t="str">
        <f>"2020"</f>
        <v>2020</v>
      </c>
      <c r="L4813" s="6" t="str">
        <f>"Lençóis"</f>
        <v>Lençóis</v>
      </c>
      <c r="M4813" s="6" t="str">
        <f>"100x150"</f>
        <v>100x150</v>
      </c>
      <c r="N4813" s="6" t="str">
        <f>"5602972265262"</f>
        <v>5602972265262</v>
      </c>
      <c r="O4813" s="8">
        <v>360</v>
      </c>
      <c r="P4813" s="7">
        <v>45994</v>
      </c>
      <c r="R4813" s="8">
        <v>422</v>
      </c>
      <c r="S4813" s="7">
        <v>46000</v>
      </c>
      <c r="U4813" s="8">
        <v>408</v>
      </c>
      <c r="V4813" s="7">
        <v>46009</v>
      </c>
      <c r="X4813" s="8">
        <v>0</v>
      </c>
      <c r="Z4813" s="8">
        <v>408</v>
      </c>
      <c r="AA4813" s="7">
        <v>46028</v>
      </c>
      <c r="AC4813" s="8">
        <v>0</v>
      </c>
      <c r="AE4813" s="7">
        <v>46030</v>
      </c>
      <c r="AF4813" s="8">
        <v>0</v>
      </c>
      <c r="AH4813" s="7">
        <v>46030</v>
      </c>
      <c r="AN4813" s="8">
        <v>0</v>
      </c>
      <c r="AO4813" s="8">
        <v>360</v>
      </c>
    </row>
    <row r="4814" spans="1:41" x14ac:dyDescent="0.25">
      <c r="A4814" s="6" t="str">
        <f t="shared" si="1272"/>
        <v>525-2025000606</v>
      </c>
      <c r="B4814" s="6" t="str">
        <f t="shared" si="1273"/>
        <v>ARMANDO</v>
      </c>
      <c r="C4814" s="7">
        <v>45994</v>
      </c>
      <c r="D4814" s="7">
        <v>46030</v>
      </c>
      <c r="E4814" s="8">
        <v>5</v>
      </c>
      <c r="F4814" s="6" t="str">
        <f t="shared" si="1274"/>
        <v>Hotel</v>
      </c>
      <c r="G4814" s="6" t="str">
        <f>"F160037045010000"</f>
        <v>F160037045010000</v>
      </c>
      <c r="H4814" s="6" t="str">
        <f>"L 370 - 450 g/m² (CY"</f>
        <v>L 370 - 450 g/m² (CY</v>
      </c>
      <c r="I4814" s="6" t="str">
        <f t="shared" si="1275"/>
        <v>1</v>
      </c>
      <c r="J4814" s="6" t="str">
        <f t="shared" si="1276"/>
        <v>BRANCO</v>
      </c>
      <c r="K4814" s="6" t="str">
        <f>"1024"</f>
        <v>1024</v>
      </c>
      <c r="L4814" s="6" t="str">
        <f>"Toalhas"</f>
        <v>Toalhas</v>
      </c>
      <c r="M4814" s="6" t="str">
        <f>"50x100"</f>
        <v>50x100</v>
      </c>
      <c r="N4814" s="6" t="str">
        <f>"5602972265309"</f>
        <v>5602972265309</v>
      </c>
      <c r="O4814" s="8">
        <v>480</v>
      </c>
      <c r="P4814" s="7">
        <v>45994</v>
      </c>
      <c r="R4814" s="8">
        <v>564</v>
      </c>
      <c r="S4814" s="7">
        <v>46000</v>
      </c>
      <c r="U4814" s="8">
        <v>528</v>
      </c>
      <c r="V4814" s="7">
        <v>46009</v>
      </c>
      <c r="X4814" s="8">
        <v>0</v>
      </c>
      <c r="Z4814" s="8">
        <v>528</v>
      </c>
      <c r="AA4814" s="7">
        <v>46028</v>
      </c>
      <c r="AC4814" s="8">
        <v>0</v>
      </c>
      <c r="AE4814" s="7">
        <v>46030</v>
      </c>
      <c r="AF4814" s="8">
        <v>0</v>
      </c>
      <c r="AH4814" s="7">
        <v>46030</v>
      </c>
      <c r="AN4814" s="8">
        <v>0</v>
      </c>
      <c r="AO4814" s="8">
        <v>480</v>
      </c>
    </row>
    <row r="4815" spans="1:41" x14ac:dyDescent="0.25">
      <c r="A4815" s="6" t="str">
        <f t="shared" si="1272"/>
        <v>525-2025000606</v>
      </c>
      <c r="B4815" s="6" t="str">
        <f t="shared" si="1273"/>
        <v>ARMANDO</v>
      </c>
      <c r="C4815" s="7">
        <v>45994</v>
      </c>
      <c r="D4815" s="7">
        <v>46030</v>
      </c>
      <c r="E4815" s="8">
        <v>6</v>
      </c>
      <c r="F4815" s="6" t="str">
        <f t="shared" si="1274"/>
        <v>Hotel</v>
      </c>
      <c r="G4815" s="6" t="str">
        <f>"F160037045010000"</f>
        <v>F160037045010000</v>
      </c>
      <c r="H4815" s="6" t="str">
        <f>"L 370 - 450 g/m² (CY"</f>
        <v>L 370 - 450 g/m² (CY</v>
      </c>
      <c r="I4815" s="6" t="str">
        <f t="shared" si="1275"/>
        <v>1</v>
      </c>
      <c r="J4815" s="6" t="str">
        <f t="shared" si="1276"/>
        <v>BRANCO</v>
      </c>
      <c r="K4815" s="6" t="str">
        <f>"1535"</f>
        <v>1535</v>
      </c>
      <c r="L4815" s="6" t="str">
        <f>"Toalhões"</f>
        <v>Toalhões</v>
      </c>
      <c r="M4815" s="6" t="str">
        <f>"70x140"</f>
        <v>70x140</v>
      </c>
      <c r="N4815" s="6" t="str">
        <f>"5602972265316"</f>
        <v>5602972265316</v>
      </c>
      <c r="O4815" s="8">
        <v>240</v>
      </c>
      <c r="P4815" s="7">
        <v>45994</v>
      </c>
      <c r="R4815" s="8">
        <v>279</v>
      </c>
      <c r="S4815" s="7">
        <v>46000</v>
      </c>
      <c r="U4815" s="8">
        <v>261</v>
      </c>
      <c r="V4815" s="7">
        <v>46009</v>
      </c>
      <c r="X4815" s="8">
        <v>0</v>
      </c>
      <c r="Z4815" s="8">
        <v>261</v>
      </c>
      <c r="AA4815" s="7">
        <v>46028</v>
      </c>
      <c r="AC4815" s="8">
        <v>0</v>
      </c>
      <c r="AE4815" s="7">
        <v>46030</v>
      </c>
      <c r="AF4815" s="8">
        <v>0</v>
      </c>
      <c r="AH4815" s="7">
        <v>46030</v>
      </c>
      <c r="AN4815" s="8">
        <v>0</v>
      </c>
      <c r="AO4815" s="8">
        <v>240</v>
      </c>
    </row>
    <row r="4816" spans="1:41" x14ac:dyDescent="0.25">
      <c r="A4816" s="6" t="str">
        <f t="shared" si="1272"/>
        <v>525-2025000606</v>
      </c>
      <c r="B4816" s="6" t="str">
        <f t="shared" si="1273"/>
        <v>ARMANDO</v>
      </c>
      <c r="C4816" s="7">
        <v>45994</v>
      </c>
      <c r="D4816" s="7">
        <v>46030</v>
      </c>
      <c r="E4816" s="8">
        <v>7</v>
      </c>
      <c r="F4816" s="6" t="str">
        <f t="shared" si="1274"/>
        <v>Hotel</v>
      </c>
      <c r="G4816" s="6" t="str">
        <f>"F160051555000002"</f>
        <v>F160051555000002</v>
      </c>
      <c r="H4816" s="6" t="str">
        <f>"L 515 - 550 g/m² (CE"</f>
        <v>L 515 - 550 g/m² (CE</v>
      </c>
      <c r="I4816" s="6" t="str">
        <f t="shared" si="1275"/>
        <v>1</v>
      </c>
      <c r="J4816" s="6" t="str">
        <f t="shared" si="1276"/>
        <v>BRANCO</v>
      </c>
      <c r="K4816" s="6" t="str">
        <f>"1535"</f>
        <v>1535</v>
      </c>
      <c r="L4816" s="6" t="str">
        <f>"Toalhões"</f>
        <v>Toalhões</v>
      </c>
      <c r="M4816" s="6" t="str">
        <f>"70x140"</f>
        <v>70x140</v>
      </c>
      <c r="N4816" s="6" t="str">
        <f>"5602972265194"</f>
        <v>5602972265194</v>
      </c>
      <c r="O4816" s="8">
        <v>240</v>
      </c>
      <c r="P4816" s="7">
        <v>45994</v>
      </c>
      <c r="R4816" s="8">
        <v>360</v>
      </c>
      <c r="S4816" s="7">
        <v>46000</v>
      </c>
      <c r="U4816" s="8">
        <v>261</v>
      </c>
      <c r="V4816" s="7">
        <v>46009</v>
      </c>
      <c r="X4816" s="8">
        <v>0</v>
      </c>
      <c r="Z4816" s="8">
        <v>261</v>
      </c>
      <c r="AA4816" s="7">
        <v>46028</v>
      </c>
      <c r="AC4816" s="8">
        <v>201</v>
      </c>
      <c r="AE4816" s="7">
        <v>46030</v>
      </c>
      <c r="AF4816" s="8">
        <v>201</v>
      </c>
      <c r="AH4816" s="7">
        <v>46030</v>
      </c>
      <c r="AN4816" s="8">
        <v>201</v>
      </c>
      <c r="AO4816" s="8">
        <v>39</v>
      </c>
    </row>
    <row r="4817" spans="1:41" x14ac:dyDescent="0.25">
      <c r="A4817" s="6" t="str">
        <f t="shared" si="1272"/>
        <v>525-2025000606</v>
      </c>
      <c r="B4817" s="6" t="str">
        <f t="shared" si="1273"/>
        <v>ARMANDO</v>
      </c>
      <c r="C4817" s="7">
        <v>45994</v>
      </c>
      <c r="D4817" s="7">
        <v>46030</v>
      </c>
      <c r="E4817" s="8">
        <v>8</v>
      </c>
      <c r="F4817" s="6" t="str">
        <f t="shared" si="1274"/>
        <v>Hotel</v>
      </c>
      <c r="G4817" s="6" t="str">
        <f>"F161004565010000"</f>
        <v>F161004565010000</v>
      </c>
      <c r="H4817" s="6" t="str">
        <f>"TA 45 - 650 g/m² (HO"</f>
        <v>TA 45 - 650 g/m² (HO</v>
      </c>
      <c r="I4817" s="6" t="str">
        <f t="shared" si="1275"/>
        <v>1</v>
      </c>
      <c r="J4817" s="6" t="str">
        <f t="shared" si="1276"/>
        <v>BRANCO</v>
      </c>
      <c r="K4817" s="6" t="str">
        <f>"3012"</f>
        <v>3012</v>
      </c>
      <c r="L4817" s="6" t="str">
        <f>"Tapetes"</f>
        <v>Tapetes</v>
      </c>
      <c r="M4817" s="6" t="str">
        <f>"50x70"</f>
        <v>50x70</v>
      </c>
      <c r="N4817" s="6" t="str">
        <f>"5602972265392"</f>
        <v>5602972265392</v>
      </c>
      <c r="O4817" s="8">
        <v>204</v>
      </c>
      <c r="P4817" s="7">
        <v>45994</v>
      </c>
      <c r="R4817" s="8">
        <v>228</v>
      </c>
      <c r="S4817" s="7">
        <v>46000</v>
      </c>
      <c r="U4817" s="8">
        <v>220</v>
      </c>
      <c r="V4817" s="7">
        <v>46009</v>
      </c>
      <c r="X4817" s="8">
        <v>0</v>
      </c>
      <c r="Z4817" s="8">
        <v>220</v>
      </c>
      <c r="AA4817" s="7">
        <v>46028</v>
      </c>
      <c r="AC4817" s="8">
        <v>36</v>
      </c>
      <c r="AE4817" s="7">
        <v>46030</v>
      </c>
      <c r="AF4817" s="8">
        <v>36</v>
      </c>
      <c r="AH4817" s="7">
        <v>46030</v>
      </c>
      <c r="AN4817" s="8">
        <v>36</v>
      </c>
      <c r="AO4817" s="8">
        <v>168</v>
      </c>
    </row>
    <row r="4818" spans="1:41" x14ac:dyDescent="0.25">
      <c r="A4818" s="6" t="str">
        <f t="shared" si="1272"/>
        <v>525-2025000606</v>
      </c>
      <c r="B4818" s="6" t="str">
        <f t="shared" si="1273"/>
        <v>ARMANDO</v>
      </c>
      <c r="C4818" s="7">
        <v>45994</v>
      </c>
      <c r="D4818" s="7">
        <v>46030</v>
      </c>
      <c r="E4818" s="8">
        <v>9</v>
      </c>
      <c r="F4818" s="6" t="str">
        <f t="shared" si="1274"/>
        <v>Hotel</v>
      </c>
      <c r="G4818" s="6" t="str">
        <f>"F161005665010000"</f>
        <v>F161005665010000</v>
      </c>
      <c r="H4818" s="6" t="str">
        <f>"TA 56 - 650 g/m² (CY"</f>
        <v>TA 56 - 650 g/m² (CY</v>
      </c>
      <c r="I4818" s="6" t="str">
        <f t="shared" si="1275"/>
        <v>1</v>
      </c>
      <c r="J4818" s="6" t="str">
        <f t="shared" si="1276"/>
        <v>BRANCO</v>
      </c>
      <c r="K4818" s="6" t="str">
        <f>"3012"</f>
        <v>3012</v>
      </c>
      <c r="L4818" s="6" t="str">
        <f>"Tapetes"</f>
        <v>Tapetes</v>
      </c>
      <c r="M4818" s="6" t="str">
        <f>"50x70"</f>
        <v>50x70</v>
      </c>
      <c r="N4818" s="6" t="str">
        <f>"5602972265330"</f>
        <v>5602972265330</v>
      </c>
      <c r="O4818" s="8">
        <v>204</v>
      </c>
      <c r="P4818" s="7">
        <v>45994</v>
      </c>
      <c r="R4818" s="8">
        <v>228</v>
      </c>
      <c r="S4818" s="7">
        <v>46000</v>
      </c>
      <c r="U4818" s="8">
        <v>224</v>
      </c>
      <c r="V4818" s="7">
        <v>46009</v>
      </c>
      <c r="X4818" s="8">
        <v>0</v>
      </c>
      <c r="Z4818" s="8">
        <v>224</v>
      </c>
      <c r="AA4818" s="7">
        <v>46028</v>
      </c>
      <c r="AC4818" s="8">
        <v>0</v>
      </c>
      <c r="AE4818" s="7">
        <v>46030</v>
      </c>
      <c r="AF4818" s="8">
        <v>0</v>
      </c>
      <c r="AH4818" s="7">
        <v>46030</v>
      </c>
      <c r="AN4818" s="8">
        <v>0</v>
      </c>
      <c r="AO4818" s="8">
        <v>204</v>
      </c>
    </row>
    <row r="4819" spans="1:41" x14ac:dyDescent="0.25">
      <c r="A4819" s="6" t="str">
        <f t="shared" si="1272"/>
        <v>525-2025000606</v>
      </c>
      <c r="B4819" s="6" t="str">
        <f t="shared" si="1273"/>
        <v>ARMANDO</v>
      </c>
      <c r="C4819" s="7">
        <v>45994</v>
      </c>
      <c r="D4819" s="7">
        <v>46030</v>
      </c>
      <c r="E4819" s="8">
        <v>10</v>
      </c>
      <c r="F4819" s="6" t="str">
        <f t="shared" si="1274"/>
        <v>Hotel</v>
      </c>
      <c r="G4819" s="6" t="str">
        <f>"F161006165010000"</f>
        <v>F161006165010000</v>
      </c>
      <c r="H4819" s="6" t="str">
        <f>"TA 61 - 650 g/m² (AT"</f>
        <v>TA 61 - 650 g/m² (AT</v>
      </c>
      <c r="I4819" s="6" t="str">
        <f t="shared" si="1275"/>
        <v>1</v>
      </c>
      <c r="J4819" s="6" t="str">
        <f t="shared" si="1276"/>
        <v>BRANCO</v>
      </c>
      <c r="K4819" s="6" t="str">
        <f>"3012"</f>
        <v>3012</v>
      </c>
      <c r="L4819" s="6" t="str">
        <f>"Tapetes"</f>
        <v>Tapetes</v>
      </c>
      <c r="M4819" s="6" t="str">
        <f>"50x70"</f>
        <v>50x70</v>
      </c>
      <c r="N4819" s="6" t="str">
        <f>"5602972265279"</f>
        <v>5602972265279</v>
      </c>
      <c r="O4819" s="8">
        <v>204</v>
      </c>
      <c r="P4819" s="7">
        <v>45994</v>
      </c>
      <c r="R4819" s="8">
        <v>228</v>
      </c>
      <c r="S4819" s="7">
        <v>46000</v>
      </c>
      <c r="U4819" s="8">
        <v>220</v>
      </c>
      <c r="V4819" s="7">
        <v>46009</v>
      </c>
      <c r="X4819" s="8">
        <v>0</v>
      </c>
      <c r="Z4819" s="8">
        <v>220</v>
      </c>
      <c r="AA4819" s="7">
        <v>46028</v>
      </c>
      <c r="AC4819" s="8">
        <v>0</v>
      </c>
      <c r="AE4819" s="7">
        <v>46030</v>
      </c>
      <c r="AF4819" s="8">
        <v>0</v>
      </c>
      <c r="AH4819" s="7">
        <v>46030</v>
      </c>
      <c r="AN4819" s="8">
        <v>0</v>
      </c>
      <c r="AO4819" s="8">
        <v>204</v>
      </c>
    </row>
    <row r="4820" spans="1:41" x14ac:dyDescent="0.25">
      <c r="A4820" s="6" t="str">
        <f>"525-2025000607"</f>
        <v>525-2025000607</v>
      </c>
      <c r="B4820" s="6" t="str">
        <f t="shared" ref="B4820:B4851" si="1277">"Lasa Int"</f>
        <v>Lasa Int</v>
      </c>
      <c r="C4820" s="7">
        <v>45995</v>
      </c>
      <c r="D4820" s="7">
        <v>46031</v>
      </c>
      <c r="E4820" s="8">
        <v>1</v>
      </c>
      <c r="F4820" s="6" t="str">
        <f>"Alpha"</f>
        <v>Alpha</v>
      </c>
      <c r="G4820" s="6" t="str">
        <f>"F100023140000000"</f>
        <v>F100023140000000</v>
      </c>
      <c r="H4820" s="6" t="str">
        <f>"FA 231 - 400 g/m²"</f>
        <v>FA 231 - 400 g/m²</v>
      </c>
      <c r="I4820" s="6" t="str">
        <f>"1670"</f>
        <v>1670</v>
      </c>
      <c r="J4820" s="6" t="str">
        <f>"BEGE 1670"</f>
        <v>BEGE 1670</v>
      </c>
      <c r="K4820" s="6" t="str">
        <f>"0520"</f>
        <v>0520</v>
      </c>
      <c r="L4820" s="6" t="str">
        <f>"Toalhetes"</f>
        <v>Toalhetes</v>
      </c>
      <c r="M4820" s="6" t="str">
        <f>"30x50"</f>
        <v>30x50</v>
      </c>
      <c r="N4820" s="6" t="str">
        <f>"5602972713312"</f>
        <v>5602972713312</v>
      </c>
      <c r="O4820" s="8">
        <v>900</v>
      </c>
      <c r="P4820" s="7">
        <v>45995</v>
      </c>
      <c r="R4820" s="8">
        <v>0</v>
      </c>
      <c r="S4820" s="7">
        <v>46001</v>
      </c>
      <c r="U4820" s="8">
        <v>900</v>
      </c>
      <c r="V4820" s="7">
        <v>46010</v>
      </c>
      <c r="X4820" s="8">
        <v>0</v>
      </c>
      <c r="Z4820" s="8">
        <v>900</v>
      </c>
      <c r="AA4820" s="7">
        <v>46029</v>
      </c>
      <c r="AC4820" s="8">
        <v>756</v>
      </c>
      <c r="AE4820" s="7">
        <v>46031</v>
      </c>
      <c r="AF4820" s="8">
        <v>756</v>
      </c>
      <c r="AH4820" s="7">
        <v>46031</v>
      </c>
      <c r="AN4820" s="8">
        <v>756</v>
      </c>
      <c r="AO4820" s="8">
        <v>144</v>
      </c>
    </row>
    <row r="4821" spans="1:41" x14ac:dyDescent="0.25">
      <c r="A4821" s="6" t="str">
        <f t="shared" ref="A4821:A4857" si="1278">"525-2025000608"</f>
        <v>525-2025000608</v>
      </c>
      <c r="B4821" s="6" t="str">
        <f t="shared" si="1277"/>
        <v>Lasa Int</v>
      </c>
      <c r="C4821" s="7">
        <v>45995</v>
      </c>
      <c r="D4821" s="7">
        <v>46045</v>
      </c>
      <c r="E4821" s="8">
        <v>1</v>
      </c>
      <c r="F4821" s="6" t="str">
        <f t="shared" ref="F4821:F4857" si="1279">"PURE"</f>
        <v>PURE</v>
      </c>
      <c r="G4821" s="6" t="str">
        <f t="shared" ref="G4821:G4854" si="1280">"F100021455000000"</f>
        <v>F100021455000000</v>
      </c>
      <c r="H4821" s="6" t="str">
        <f t="shared" ref="H4821:H4854" si="1281">"FA 214 - PURE - 550"</f>
        <v>FA 214 - PURE - 550</v>
      </c>
      <c r="I4821" s="6" t="str">
        <f>"1"</f>
        <v>1</v>
      </c>
      <c r="J4821" s="6" t="str">
        <f>"BRANCO"</f>
        <v>BRANCO</v>
      </c>
      <c r="K4821" s="6" t="str">
        <f>"0530"</f>
        <v>0530</v>
      </c>
      <c r="L4821" s="6" t="str">
        <f>"Toalhetes"</f>
        <v>Toalhetes</v>
      </c>
      <c r="M4821" s="6" t="str">
        <f>"33x50"</f>
        <v>33x50</v>
      </c>
      <c r="N4821" s="6" t="str">
        <f>"5602972836240"</f>
        <v>5602972836240</v>
      </c>
      <c r="O4821" s="8">
        <v>900</v>
      </c>
      <c r="P4821" s="7">
        <v>45995</v>
      </c>
      <c r="R4821" s="8">
        <v>0</v>
      </c>
      <c r="S4821" s="7">
        <v>46001</v>
      </c>
      <c r="U4821" s="8">
        <v>1008</v>
      </c>
      <c r="V4821" s="7">
        <v>46014</v>
      </c>
      <c r="X4821" s="8">
        <v>0</v>
      </c>
      <c r="Z4821" s="8">
        <v>1008</v>
      </c>
      <c r="AA4821" s="7">
        <v>46036</v>
      </c>
      <c r="AC4821" s="8">
        <v>0</v>
      </c>
      <c r="AE4821" s="7">
        <v>46041</v>
      </c>
      <c r="AF4821" s="8">
        <v>0</v>
      </c>
      <c r="AH4821" s="7">
        <v>46045</v>
      </c>
      <c r="AN4821" s="8">
        <v>0</v>
      </c>
      <c r="AO4821" s="8">
        <v>900</v>
      </c>
    </row>
    <row r="4822" spans="1:41" x14ac:dyDescent="0.25">
      <c r="A4822" s="6" t="str">
        <f t="shared" si="1278"/>
        <v>525-2025000608</v>
      </c>
      <c r="B4822" s="6" t="str">
        <f t="shared" si="1277"/>
        <v>Lasa Int</v>
      </c>
      <c r="C4822" s="7">
        <v>45995</v>
      </c>
      <c r="D4822" s="7">
        <v>46045</v>
      </c>
      <c r="E4822" s="8">
        <v>2</v>
      </c>
      <c r="F4822" s="6" t="str">
        <f t="shared" si="1279"/>
        <v>PURE</v>
      </c>
      <c r="G4822" s="6" t="str">
        <f t="shared" si="1280"/>
        <v>F100021455000000</v>
      </c>
      <c r="H4822" s="6" t="str">
        <f t="shared" si="1281"/>
        <v>FA 214 - PURE - 550</v>
      </c>
      <c r="I4822" s="6" t="str">
        <f>"1"</f>
        <v>1</v>
      </c>
      <c r="J4822" s="6" t="str">
        <f>"BRANCO"</f>
        <v>BRANCO</v>
      </c>
      <c r="K4822" s="6" t="str">
        <f>"1024"</f>
        <v>1024</v>
      </c>
      <c r="L4822" s="6" t="str">
        <f>"Toalhas"</f>
        <v>Toalhas</v>
      </c>
      <c r="M4822" s="6" t="str">
        <f>"50x100"</f>
        <v>50x100</v>
      </c>
      <c r="N4822" s="6" t="str">
        <f>"5602972836257"</f>
        <v>5602972836257</v>
      </c>
      <c r="O4822" s="8">
        <v>960</v>
      </c>
      <c r="P4822" s="7">
        <v>45995</v>
      </c>
      <c r="R4822" s="8">
        <v>2400</v>
      </c>
      <c r="S4822" s="7">
        <v>46001</v>
      </c>
      <c r="U4822" s="8">
        <v>960</v>
      </c>
      <c r="V4822" s="7">
        <v>46014</v>
      </c>
      <c r="X4822" s="8">
        <v>0</v>
      </c>
      <c r="Z4822" s="8">
        <v>960</v>
      </c>
      <c r="AA4822" s="7">
        <v>46036</v>
      </c>
      <c r="AC4822" s="8">
        <v>0</v>
      </c>
      <c r="AE4822" s="7">
        <v>46041</v>
      </c>
      <c r="AF4822" s="8">
        <v>0</v>
      </c>
      <c r="AH4822" s="7">
        <v>46045</v>
      </c>
      <c r="AN4822" s="8">
        <v>0</v>
      </c>
      <c r="AO4822" s="8">
        <v>960</v>
      </c>
    </row>
    <row r="4823" spans="1:41" x14ac:dyDescent="0.25">
      <c r="A4823" s="6" t="str">
        <f t="shared" si="1278"/>
        <v>525-2025000608</v>
      </c>
      <c r="B4823" s="6" t="str">
        <f t="shared" si="1277"/>
        <v>Lasa Int</v>
      </c>
      <c r="C4823" s="7">
        <v>45995</v>
      </c>
      <c r="D4823" s="7">
        <v>46045</v>
      </c>
      <c r="E4823" s="8">
        <v>3</v>
      </c>
      <c r="F4823" s="6" t="str">
        <f t="shared" si="1279"/>
        <v>PURE</v>
      </c>
      <c r="G4823" s="6" t="str">
        <f t="shared" si="1280"/>
        <v>F100021455000000</v>
      </c>
      <c r="H4823" s="6" t="str">
        <f t="shared" si="1281"/>
        <v>FA 214 - PURE - 550</v>
      </c>
      <c r="I4823" s="6" t="str">
        <f>"1"</f>
        <v>1</v>
      </c>
      <c r="J4823" s="6" t="str">
        <f>"BRANCO"</f>
        <v>BRANCO</v>
      </c>
      <c r="K4823" s="6" t="str">
        <f>"1535"</f>
        <v>1535</v>
      </c>
      <c r="L4823" s="6" t="str">
        <f>"Toalhões"</f>
        <v>Toalhões</v>
      </c>
      <c r="M4823" s="6" t="str">
        <f>"70x140"</f>
        <v>70x140</v>
      </c>
      <c r="N4823" s="6" t="str">
        <f>"5602972836264"</f>
        <v>5602972836264</v>
      </c>
      <c r="O4823" s="8">
        <v>240</v>
      </c>
      <c r="P4823" s="7">
        <v>45995</v>
      </c>
      <c r="R4823" s="8">
        <v>3708</v>
      </c>
      <c r="S4823" s="7">
        <v>46001</v>
      </c>
      <c r="U4823" s="8">
        <v>240</v>
      </c>
      <c r="V4823" s="7">
        <v>46014</v>
      </c>
      <c r="X4823" s="8">
        <v>0</v>
      </c>
      <c r="Z4823" s="8">
        <v>240</v>
      </c>
      <c r="AA4823" s="7">
        <v>46036</v>
      </c>
      <c r="AC4823" s="8">
        <v>0</v>
      </c>
      <c r="AE4823" s="7">
        <v>46041</v>
      </c>
      <c r="AF4823" s="8">
        <v>0</v>
      </c>
      <c r="AH4823" s="7">
        <v>46045</v>
      </c>
      <c r="AN4823" s="8">
        <v>0</v>
      </c>
      <c r="AO4823" s="8">
        <v>240</v>
      </c>
    </row>
    <row r="4824" spans="1:41" x14ac:dyDescent="0.25">
      <c r="A4824" s="6" t="str">
        <f t="shared" si="1278"/>
        <v>525-2025000608</v>
      </c>
      <c r="B4824" s="6" t="str">
        <f t="shared" si="1277"/>
        <v>Lasa Int</v>
      </c>
      <c r="C4824" s="7">
        <v>45995</v>
      </c>
      <c r="D4824" s="7">
        <v>46045</v>
      </c>
      <c r="E4824" s="8">
        <v>4</v>
      </c>
      <c r="F4824" s="6" t="str">
        <f t="shared" si="1279"/>
        <v>PURE</v>
      </c>
      <c r="G4824" s="6" t="str">
        <f t="shared" si="1280"/>
        <v>F100021455000000</v>
      </c>
      <c r="H4824" s="6" t="str">
        <f t="shared" si="1281"/>
        <v>FA 214 - PURE - 550</v>
      </c>
      <c r="I4824" s="6" t="str">
        <f>"1"</f>
        <v>1</v>
      </c>
      <c r="J4824" s="6" t="str">
        <f>"BRANCO"</f>
        <v>BRANCO</v>
      </c>
      <c r="K4824" s="6" t="str">
        <f>"2020"</f>
        <v>2020</v>
      </c>
      <c r="L4824" s="6" t="str">
        <f>"Lençóis"</f>
        <v>Lençóis</v>
      </c>
      <c r="M4824" s="6" t="str">
        <f>"100x150"</f>
        <v>100x150</v>
      </c>
      <c r="N4824" s="6" t="str">
        <f>"5602972836271"</f>
        <v>5602972836271</v>
      </c>
      <c r="O4824" s="8">
        <v>480</v>
      </c>
      <c r="P4824" s="7">
        <v>45995</v>
      </c>
      <c r="R4824" s="8">
        <v>1676</v>
      </c>
      <c r="S4824" s="7">
        <v>46001</v>
      </c>
      <c r="U4824" s="8">
        <v>480</v>
      </c>
      <c r="V4824" s="7">
        <v>46014</v>
      </c>
      <c r="X4824" s="8">
        <v>0</v>
      </c>
      <c r="Z4824" s="8">
        <v>480</v>
      </c>
      <c r="AA4824" s="7">
        <v>46036</v>
      </c>
      <c r="AC4824" s="8">
        <v>0</v>
      </c>
      <c r="AE4824" s="7">
        <v>46041</v>
      </c>
      <c r="AF4824" s="8">
        <v>0</v>
      </c>
      <c r="AH4824" s="7">
        <v>46045</v>
      </c>
      <c r="AN4824" s="8">
        <v>0</v>
      </c>
      <c r="AO4824" s="8">
        <v>480</v>
      </c>
    </row>
    <row r="4825" spans="1:41" x14ac:dyDescent="0.25">
      <c r="A4825" s="6" t="str">
        <f t="shared" si="1278"/>
        <v>525-2025000608</v>
      </c>
      <c r="B4825" s="6" t="str">
        <f t="shared" si="1277"/>
        <v>Lasa Int</v>
      </c>
      <c r="C4825" s="7">
        <v>45995</v>
      </c>
      <c r="D4825" s="7">
        <v>46045</v>
      </c>
      <c r="E4825" s="8">
        <v>5</v>
      </c>
      <c r="F4825" s="6" t="str">
        <f t="shared" si="1279"/>
        <v>PURE</v>
      </c>
      <c r="G4825" s="6" t="str">
        <f t="shared" si="1280"/>
        <v>F100021455000000</v>
      </c>
      <c r="H4825" s="6" t="str">
        <f t="shared" si="1281"/>
        <v>FA 214 - PURE - 550</v>
      </c>
      <c r="I4825" s="6" t="str">
        <f>"1359"</f>
        <v>1359</v>
      </c>
      <c r="J4825" s="6" t="str">
        <f>"CASTANHO 1359"</f>
        <v>CASTANHO 1359</v>
      </c>
      <c r="K4825" s="6" t="str">
        <f>"1024"</f>
        <v>1024</v>
      </c>
      <c r="L4825" s="6" t="str">
        <f>"Toalhas"</f>
        <v>Toalhas</v>
      </c>
      <c r="M4825" s="6" t="str">
        <f>"50x100"</f>
        <v>50x100</v>
      </c>
      <c r="N4825" s="6" t="str">
        <f>"5602972836400"</f>
        <v>5602972836400</v>
      </c>
      <c r="O4825" s="8">
        <v>480</v>
      </c>
      <c r="P4825" s="7">
        <v>45995</v>
      </c>
      <c r="R4825" s="8">
        <v>0</v>
      </c>
      <c r="S4825" s="7">
        <v>46001</v>
      </c>
      <c r="U4825" s="8">
        <v>480</v>
      </c>
      <c r="V4825" s="7">
        <v>46014</v>
      </c>
      <c r="X4825" s="8">
        <v>0</v>
      </c>
      <c r="Z4825" s="8">
        <v>480</v>
      </c>
      <c r="AA4825" s="7">
        <v>46036</v>
      </c>
      <c r="AC4825" s="8">
        <v>456</v>
      </c>
      <c r="AE4825" s="7">
        <v>46041</v>
      </c>
      <c r="AF4825" s="8">
        <v>456</v>
      </c>
      <c r="AH4825" s="7">
        <v>46045</v>
      </c>
      <c r="AN4825" s="8">
        <v>456</v>
      </c>
      <c r="AO4825" s="8">
        <v>24</v>
      </c>
    </row>
    <row r="4826" spans="1:41" x14ac:dyDescent="0.25">
      <c r="A4826" s="6" t="str">
        <f t="shared" si="1278"/>
        <v>525-2025000608</v>
      </c>
      <c r="B4826" s="6" t="str">
        <f t="shared" si="1277"/>
        <v>Lasa Int</v>
      </c>
      <c r="C4826" s="7">
        <v>45995</v>
      </c>
      <c r="D4826" s="7">
        <v>46045</v>
      </c>
      <c r="E4826" s="8">
        <v>6</v>
      </c>
      <c r="F4826" s="6" t="str">
        <f t="shared" si="1279"/>
        <v>PURE</v>
      </c>
      <c r="G4826" s="6" t="str">
        <f t="shared" si="1280"/>
        <v>F100021455000000</v>
      </c>
      <c r="H4826" s="6" t="str">
        <f t="shared" si="1281"/>
        <v>FA 214 - PURE - 550</v>
      </c>
      <c r="I4826" s="6" t="str">
        <f>"1359"</f>
        <v>1359</v>
      </c>
      <c r="J4826" s="6" t="str">
        <f>"CASTANHO 1359"</f>
        <v>CASTANHO 1359</v>
      </c>
      <c r="K4826" s="6" t="str">
        <f>"1535"</f>
        <v>1535</v>
      </c>
      <c r="L4826" s="6" t="str">
        <f>"Toalhões"</f>
        <v>Toalhões</v>
      </c>
      <c r="M4826" s="6" t="str">
        <f>"70x140"</f>
        <v>70x140</v>
      </c>
      <c r="N4826" s="6" t="str">
        <f>"5602972836417"</f>
        <v>5602972836417</v>
      </c>
      <c r="O4826" s="8">
        <v>240</v>
      </c>
      <c r="P4826" s="7">
        <v>45995</v>
      </c>
      <c r="R4826" s="8">
        <v>0</v>
      </c>
      <c r="S4826" s="7">
        <v>46001</v>
      </c>
      <c r="U4826" s="8">
        <v>240</v>
      </c>
      <c r="V4826" s="7">
        <v>46014</v>
      </c>
      <c r="X4826" s="8">
        <v>0</v>
      </c>
      <c r="Z4826" s="8">
        <v>240</v>
      </c>
      <c r="AA4826" s="7">
        <v>46036</v>
      </c>
      <c r="AC4826" s="8">
        <v>216</v>
      </c>
      <c r="AE4826" s="7">
        <v>46041</v>
      </c>
      <c r="AF4826" s="8">
        <v>216</v>
      </c>
      <c r="AH4826" s="7">
        <v>46045</v>
      </c>
      <c r="AN4826" s="8">
        <v>216</v>
      </c>
      <c r="AO4826" s="8">
        <v>24</v>
      </c>
    </row>
    <row r="4827" spans="1:41" x14ac:dyDescent="0.25">
      <c r="A4827" s="6" t="str">
        <f t="shared" si="1278"/>
        <v>525-2025000608</v>
      </c>
      <c r="B4827" s="6" t="str">
        <f t="shared" si="1277"/>
        <v>Lasa Int</v>
      </c>
      <c r="C4827" s="7">
        <v>45995</v>
      </c>
      <c r="D4827" s="7">
        <v>46045</v>
      </c>
      <c r="E4827" s="8">
        <v>7</v>
      </c>
      <c r="F4827" s="6" t="str">
        <f t="shared" si="1279"/>
        <v>PURE</v>
      </c>
      <c r="G4827" s="6" t="str">
        <f t="shared" si="1280"/>
        <v>F100021455000000</v>
      </c>
      <c r="H4827" s="6" t="str">
        <f t="shared" si="1281"/>
        <v>FA 214 - PURE - 550</v>
      </c>
      <c r="I4827" s="6" t="str">
        <f>"1359"</f>
        <v>1359</v>
      </c>
      <c r="J4827" s="6" t="str">
        <f>"CASTANHO 1359"</f>
        <v>CASTANHO 1359</v>
      </c>
      <c r="K4827" s="6" t="str">
        <f>"2020"</f>
        <v>2020</v>
      </c>
      <c r="L4827" s="6" t="str">
        <f>"Lençóis"</f>
        <v>Lençóis</v>
      </c>
      <c r="M4827" s="6" t="str">
        <f>"100x150"</f>
        <v>100x150</v>
      </c>
      <c r="N4827" s="6" t="str">
        <f>"5602972836424"</f>
        <v>5602972836424</v>
      </c>
      <c r="O4827" s="8">
        <v>160</v>
      </c>
      <c r="P4827" s="7">
        <v>45995</v>
      </c>
      <c r="R4827" s="8">
        <v>0</v>
      </c>
      <c r="S4827" s="7">
        <v>46001</v>
      </c>
      <c r="U4827" s="8">
        <v>160</v>
      </c>
      <c r="V4827" s="7">
        <v>46014</v>
      </c>
      <c r="X4827" s="8">
        <v>0</v>
      </c>
      <c r="Z4827" s="8">
        <v>160</v>
      </c>
      <c r="AA4827" s="7">
        <v>46036</v>
      </c>
      <c r="AC4827" s="8">
        <v>0</v>
      </c>
      <c r="AE4827" s="7">
        <v>46041</v>
      </c>
      <c r="AF4827" s="8">
        <v>0</v>
      </c>
      <c r="AH4827" s="7">
        <v>46045</v>
      </c>
      <c r="AN4827" s="8">
        <v>0</v>
      </c>
      <c r="AO4827" s="8">
        <v>160</v>
      </c>
    </row>
    <row r="4828" spans="1:41" x14ac:dyDescent="0.25">
      <c r="A4828" s="6" t="str">
        <f t="shared" si="1278"/>
        <v>525-2025000608</v>
      </c>
      <c r="B4828" s="6" t="str">
        <f t="shared" si="1277"/>
        <v>Lasa Int</v>
      </c>
      <c r="C4828" s="7">
        <v>45995</v>
      </c>
      <c r="D4828" s="7">
        <v>46045</v>
      </c>
      <c r="E4828" s="8">
        <v>8</v>
      </c>
      <c r="F4828" s="6" t="str">
        <f t="shared" si="1279"/>
        <v>PURE</v>
      </c>
      <c r="G4828" s="6" t="str">
        <f t="shared" si="1280"/>
        <v>F100021455000000</v>
      </c>
      <c r="H4828" s="6" t="str">
        <f t="shared" si="1281"/>
        <v>FA 214 - PURE - 550</v>
      </c>
      <c r="I4828" s="6" t="str">
        <f>"1670"</f>
        <v>1670</v>
      </c>
      <c r="J4828" s="6" t="str">
        <f>"BEGE 1670"</f>
        <v>BEGE 1670</v>
      </c>
      <c r="K4828" s="6" t="str">
        <f>"0530"</f>
        <v>0530</v>
      </c>
      <c r="L4828" s="6" t="str">
        <f>"Toalhetes"</f>
        <v>Toalhetes</v>
      </c>
      <c r="M4828" s="6" t="str">
        <f>"33x50"</f>
        <v>33x50</v>
      </c>
      <c r="N4828" s="6" t="str">
        <f>"5602972836295"</f>
        <v>5602972836295</v>
      </c>
      <c r="O4828" s="8">
        <v>450</v>
      </c>
      <c r="P4828" s="7">
        <v>45995</v>
      </c>
      <c r="R4828" s="8">
        <v>0</v>
      </c>
      <c r="S4828" s="7">
        <v>46001</v>
      </c>
      <c r="U4828" s="8">
        <v>450</v>
      </c>
      <c r="V4828" s="7">
        <v>46014</v>
      </c>
      <c r="X4828" s="8">
        <v>0</v>
      </c>
      <c r="Z4828" s="8">
        <v>450</v>
      </c>
      <c r="AA4828" s="7">
        <v>46036</v>
      </c>
      <c r="AC4828" s="8">
        <v>0</v>
      </c>
      <c r="AE4828" s="7">
        <v>46041</v>
      </c>
      <c r="AF4828" s="8">
        <v>0</v>
      </c>
      <c r="AH4828" s="7">
        <v>46045</v>
      </c>
      <c r="AN4828" s="8">
        <v>0</v>
      </c>
      <c r="AO4828" s="8">
        <v>450</v>
      </c>
    </row>
    <row r="4829" spans="1:41" x14ac:dyDescent="0.25">
      <c r="A4829" s="6" t="str">
        <f t="shared" si="1278"/>
        <v>525-2025000608</v>
      </c>
      <c r="B4829" s="6" t="str">
        <f t="shared" si="1277"/>
        <v>Lasa Int</v>
      </c>
      <c r="C4829" s="7">
        <v>45995</v>
      </c>
      <c r="D4829" s="7">
        <v>46045</v>
      </c>
      <c r="E4829" s="8">
        <v>9</v>
      </c>
      <c r="F4829" s="6" t="str">
        <f t="shared" si="1279"/>
        <v>PURE</v>
      </c>
      <c r="G4829" s="6" t="str">
        <f t="shared" si="1280"/>
        <v>F100021455000000</v>
      </c>
      <c r="H4829" s="6" t="str">
        <f t="shared" si="1281"/>
        <v>FA 214 - PURE - 550</v>
      </c>
      <c r="I4829" s="6" t="str">
        <f>"1670"</f>
        <v>1670</v>
      </c>
      <c r="J4829" s="6" t="str">
        <f>"BEGE 1670"</f>
        <v>BEGE 1670</v>
      </c>
      <c r="K4829" s="6" t="str">
        <f>"1024"</f>
        <v>1024</v>
      </c>
      <c r="L4829" s="6" t="str">
        <f>"Toalhas"</f>
        <v>Toalhas</v>
      </c>
      <c r="M4829" s="6" t="str">
        <f>"50x100"</f>
        <v>50x100</v>
      </c>
      <c r="N4829" s="6" t="str">
        <f>"5602972836301"</f>
        <v>5602972836301</v>
      </c>
      <c r="O4829" s="8">
        <v>240</v>
      </c>
      <c r="P4829" s="7">
        <v>45995</v>
      </c>
      <c r="R4829" s="8">
        <v>0</v>
      </c>
      <c r="S4829" s="7">
        <v>46001</v>
      </c>
      <c r="U4829" s="8">
        <v>240</v>
      </c>
      <c r="V4829" s="7">
        <v>46014</v>
      </c>
      <c r="X4829" s="8">
        <v>0</v>
      </c>
      <c r="Z4829" s="8">
        <v>240</v>
      </c>
      <c r="AA4829" s="7">
        <v>46036</v>
      </c>
      <c r="AC4829" s="8">
        <v>0</v>
      </c>
      <c r="AE4829" s="7">
        <v>46041</v>
      </c>
      <c r="AF4829" s="8">
        <v>0</v>
      </c>
      <c r="AH4829" s="7">
        <v>46045</v>
      </c>
      <c r="AN4829" s="8">
        <v>0</v>
      </c>
      <c r="AO4829" s="8">
        <v>240</v>
      </c>
    </row>
    <row r="4830" spans="1:41" x14ac:dyDescent="0.25">
      <c r="A4830" s="6" t="str">
        <f t="shared" si="1278"/>
        <v>525-2025000608</v>
      </c>
      <c r="B4830" s="6" t="str">
        <f t="shared" si="1277"/>
        <v>Lasa Int</v>
      </c>
      <c r="C4830" s="7">
        <v>45995</v>
      </c>
      <c r="D4830" s="7">
        <v>46045</v>
      </c>
      <c r="E4830" s="8">
        <v>10</v>
      </c>
      <c r="F4830" s="6" t="str">
        <f t="shared" si="1279"/>
        <v>PURE</v>
      </c>
      <c r="G4830" s="6" t="str">
        <f t="shared" si="1280"/>
        <v>F100021455000000</v>
      </c>
      <c r="H4830" s="6" t="str">
        <f t="shared" si="1281"/>
        <v>FA 214 - PURE - 550</v>
      </c>
      <c r="I4830" s="6" t="str">
        <f>"1670"</f>
        <v>1670</v>
      </c>
      <c r="J4830" s="6" t="str">
        <f>"BEGE 1670"</f>
        <v>BEGE 1670</v>
      </c>
      <c r="K4830" s="6" t="str">
        <f>"1535"</f>
        <v>1535</v>
      </c>
      <c r="L4830" s="6" t="str">
        <f>"Toalhões"</f>
        <v>Toalhões</v>
      </c>
      <c r="M4830" s="6" t="str">
        <f>"70x140"</f>
        <v>70x140</v>
      </c>
      <c r="N4830" s="6" t="str">
        <f>"5602972836318"</f>
        <v>5602972836318</v>
      </c>
      <c r="O4830" s="8">
        <v>240</v>
      </c>
      <c r="P4830" s="7">
        <v>45995</v>
      </c>
      <c r="R4830" s="8">
        <v>0</v>
      </c>
      <c r="S4830" s="7">
        <v>46001</v>
      </c>
      <c r="U4830" s="8">
        <v>324</v>
      </c>
      <c r="V4830" s="7">
        <v>46014</v>
      </c>
      <c r="X4830" s="8">
        <v>0</v>
      </c>
      <c r="Z4830" s="8">
        <v>324</v>
      </c>
      <c r="AA4830" s="7">
        <v>46036</v>
      </c>
      <c r="AC4830" s="8">
        <v>0</v>
      </c>
      <c r="AE4830" s="7">
        <v>46041</v>
      </c>
      <c r="AF4830" s="8">
        <v>0</v>
      </c>
      <c r="AH4830" s="7">
        <v>46045</v>
      </c>
      <c r="AN4830" s="8">
        <v>0</v>
      </c>
      <c r="AO4830" s="8">
        <v>240</v>
      </c>
    </row>
    <row r="4831" spans="1:41" x14ac:dyDescent="0.25">
      <c r="A4831" s="6" t="str">
        <f t="shared" si="1278"/>
        <v>525-2025000608</v>
      </c>
      <c r="B4831" s="6" t="str">
        <f t="shared" si="1277"/>
        <v>Lasa Int</v>
      </c>
      <c r="C4831" s="7">
        <v>45995</v>
      </c>
      <c r="D4831" s="7">
        <v>46045</v>
      </c>
      <c r="E4831" s="8">
        <v>11</v>
      </c>
      <c r="F4831" s="6" t="str">
        <f t="shared" si="1279"/>
        <v>PURE</v>
      </c>
      <c r="G4831" s="6" t="str">
        <f t="shared" si="1280"/>
        <v>F100021455000000</v>
      </c>
      <c r="H4831" s="6" t="str">
        <f t="shared" si="1281"/>
        <v>FA 214 - PURE - 550</v>
      </c>
      <c r="I4831" s="6" t="str">
        <f>"1670"</f>
        <v>1670</v>
      </c>
      <c r="J4831" s="6" t="str">
        <f>"BEGE 1670"</f>
        <v>BEGE 1670</v>
      </c>
      <c r="K4831" s="6" t="str">
        <f>"2020"</f>
        <v>2020</v>
      </c>
      <c r="L4831" s="6" t="str">
        <f>"Lençóis"</f>
        <v>Lençóis</v>
      </c>
      <c r="M4831" s="6" t="str">
        <f>"100x150"</f>
        <v>100x150</v>
      </c>
      <c r="N4831" s="6" t="str">
        <f>"5602972836325"</f>
        <v>5602972836325</v>
      </c>
      <c r="O4831" s="8">
        <v>160</v>
      </c>
      <c r="P4831" s="7">
        <v>45995</v>
      </c>
      <c r="R4831" s="8">
        <v>0</v>
      </c>
      <c r="S4831" s="7">
        <v>46001</v>
      </c>
      <c r="U4831" s="8">
        <v>160</v>
      </c>
      <c r="V4831" s="7">
        <v>46014</v>
      </c>
      <c r="X4831" s="8">
        <v>0</v>
      </c>
      <c r="Z4831" s="8">
        <v>160</v>
      </c>
      <c r="AA4831" s="7">
        <v>46036</v>
      </c>
      <c r="AC4831" s="8">
        <v>0</v>
      </c>
      <c r="AE4831" s="7">
        <v>46041</v>
      </c>
      <c r="AF4831" s="8">
        <v>0</v>
      </c>
      <c r="AH4831" s="7">
        <v>46045</v>
      </c>
      <c r="AN4831" s="8">
        <v>0</v>
      </c>
      <c r="AO4831" s="8">
        <v>160</v>
      </c>
    </row>
    <row r="4832" spans="1:41" x14ac:dyDescent="0.25">
      <c r="A4832" s="6" t="str">
        <f t="shared" si="1278"/>
        <v>525-2025000608</v>
      </c>
      <c r="B4832" s="6" t="str">
        <f t="shared" si="1277"/>
        <v>Lasa Int</v>
      </c>
      <c r="C4832" s="7">
        <v>45995</v>
      </c>
      <c r="D4832" s="7">
        <v>46045</v>
      </c>
      <c r="E4832" s="8">
        <v>12</v>
      </c>
      <c r="F4832" s="6" t="str">
        <f t="shared" si="1279"/>
        <v>PURE</v>
      </c>
      <c r="G4832" s="6" t="str">
        <f t="shared" si="1280"/>
        <v>F100021455000000</v>
      </c>
      <c r="H4832" s="6" t="str">
        <f t="shared" si="1281"/>
        <v>FA 214 - PURE - 550</v>
      </c>
      <c r="I4832" s="6" t="str">
        <f>"3234"</f>
        <v>3234</v>
      </c>
      <c r="J4832" s="6" t="str">
        <f>"CASTANHO 3234"</f>
        <v>CASTANHO 3234</v>
      </c>
      <c r="K4832" s="6" t="str">
        <f>"0112"</f>
        <v>0112</v>
      </c>
      <c r="L4832" s="6" t="str">
        <f>"Luvas"</f>
        <v>Luvas</v>
      </c>
      <c r="M4832" s="6" t="str">
        <f>"16x21"</f>
        <v>16x21</v>
      </c>
      <c r="N4832" s="6" t="str">
        <f>"5602972895223"</f>
        <v>5602972895223</v>
      </c>
      <c r="O4832" s="8">
        <v>300</v>
      </c>
      <c r="P4832" s="7">
        <v>45995</v>
      </c>
      <c r="R4832" s="8">
        <v>0</v>
      </c>
      <c r="S4832" s="7">
        <v>46001</v>
      </c>
      <c r="U4832" s="8">
        <v>300</v>
      </c>
      <c r="V4832" s="7">
        <v>46014</v>
      </c>
      <c r="X4832" s="8">
        <v>0</v>
      </c>
      <c r="Z4832" s="8">
        <v>300</v>
      </c>
      <c r="AA4832" s="7">
        <v>46036</v>
      </c>
      <c r="AC4832" s="8">
        <v>0</v>
      </c>
      <c r="AE4832" s="7">
        <v>46041</v>
      </c>
      <c r="AF4832" s="8">
        <v>0</v>
      </c>
      <c r="AH4832" s="7">
        <v>46045</v>
      </c>
      <c r="AN4832" s="8">
        <v>192</v>
      </c>
      <c r="AO4832" s="8">
        <v>108</v>
      </c>
    </row>
    <row r="4833" spans="1:41" x14ac:dyDescent="0.25">
      <c r="A4833" s="6" t="str">
        <f t="shared" si="1278"/>
        <v>525-2025000608</v>
      </c>
      <c r="B4833" s="6" t="str">
        <f t="shared" si="1277"/>
        <v>Lasa Int</v>
      </c>
      <c r="C4833" s="7">
        <v>45995</v>
      </c>
      <c r="D4833" s="7">
        <v>46045</v>
      </c>
      <c r="E4833" s="8">
        <v>13</v>
      </c>
      <c r="F4833" s="6" t="str">
        <f t="shared" si="1279"/>
        <v>PURE</v>
      </c>
      <c r="G4833" s="6" t="str">
        <f t="shared" si="1280"/>
        <v>F100021455000000</v>
      </c>
      <c r="H4833" s="6" t="str">
        <f t="shared" si="1281"/>
        <v>FA 214 - PURE - 550</v>
      </c>
      <c r="I4833" s="6" t="str">
        <f>"3234"</f>
        <v>3234</v>
      </c>
      <c r="J4833" s="6" t="str">
        <f>"CASTANHO 3234"</f>
        <v>CASTANHO 3234</v>
      </c>
      <c r="K4833" s="6" t="str">
        <f>"0530"</f>
        <v>0530</v>
      </c>
      <c r="L4833" s="6" t="str">
        <f>"Toalhetes"</f>
        <v>Toalhetes</v>
      </c>
      <c r="M4833" s="6" t="str">
        <f>"33x50"</f>
        <v>33x50</v>
      </c>
      <c r="N4833" s="6" t="str">
        <f>"5602972895230"</f>
        <v>5602972895230</v>
      </c>
      <c r="O4833" s="8">
        <v>450</v>
      </c>
      <c r="P4833" s="7">
        <v>45995</v>
      </c>
      <c r="R4833" s="8">
        <v>0</v>
      </c>
      <c r="S4833" s="7">
        <v>46001</v>
      </c>
      <c r="U4833" s="8">
        <v>450</v>
      </c>
      <c r="V4833" s="7">
        <v>46014</v>
      </c>
      <c r="X4833" s="8">
        <v>0</v>
      </c>
      <c r="Z4833" s="8">
        <v>450</v>
      </c>
      <c r="AA4833" s="7">
        <v>46036</v>
      </c>
      <c r="AC4833" s="8">
        <v>118</v>
      </c>
      <c r="AE4833" s="7">
        <v>46041</v>
      </c>
      <c r="AF4833" s="8">
        <v>118</v>
      </c>
      <c r="AH4833" s="7">
        <v>46045</v>
      </c>
      <c r="AN4833" s="8">
        <v>118</v>
      </c>
      <c r="AO4833" s="8">
        <v>332</v>
      </c>
    </row>
    <row r="4834" spans="1:41" x14ac:dyDescent="0.25">
      <c r="A4834" s="6" t="str">
        <f t="shared" si="1278"/>
        <v>525-2025000608</v>
      </c>
      <c r="B4834" s="6" t="str">
        <f t="shared" si="1277"/>
        <v>Lasa Int</v>
      </c>
      <c r="C4834" s="7">
        <v>45995</v>
      </c>
      <c r="D4834" s="7">
        <v>46045</v>
      </c>
      <c r="E4834" s="8">
        <v>14</v>
      </c>
      <c r="F4834" s="6" t="str">
        <f t="shared" si="1279"/>
        <v>PURE</v>
      </c>
      <c r="G4834" s="6" t="str">
        <f t="shared" si="1280"/>
        <v>F100021455000000</v>
      </c>
      <c r="H4834" s="6" t="str">
        <f t="shared" si="1281"/>
        <v>FA 214 - PURE - 550</v>
      </c>
      <c r="I4834" s="6" t="str">
        <f>"3234"</f>
        <v>3234</v>
      </c>
      <c r="J4834" s="6" t="str">
        <f>"CASTANHO 3234"</f>
        <v>CASTANHO 3234</v>
      </c>
      <c r="K4834" s="6" t="str">
        <f>"1024"</f>
        <v>1024</v>
      </c>
      <c r="L4834" s="6" t="str">
        <f>"Toalhas"</f>
        <v>Toalhas</v>
      </c>
      <c r="M4834" s="6" t="str">
        <f>"50x100"</f>
        <v>50x100</v>
      </c>
      <c r="N4834" s="6" t="str">
        <f>"5602972895247"</f>
        <v>5602972895247</v>
      </c>
      <c r="O4834" s="8">
        <v>720</v>
      </c>
      <c r="P4834" s="7">
        <v>45995</v>
      </c>
      <c r="R4834" s="8">
        <v>0</v>
      </c>
      <c r="S4834" s="7">
        <v>46001</v>
      </c>
      <c r="U4834" s="8">
        <v>720</v>
      </c>
      <c r="V4834" s="7">
        <v>46014</v>
      </c>
      <c r="X4834" s="8">
        <v>0</v>
      </c>
      <c r="Z4834" s="8">
        <v>720</v>
      </c>
      <c r="AA4834" s="7">
        <v>46036</v>
      </c>
      <c r="AC4834" s="8">
        <v>0</v>
      </c>
      <c r="AE4834" s="7">
        <v>46041</v>
      </c>
      <c r="AF4834" s="8">
        <v>0</v>
      </c>
      <c r="AH4834" s="7">
        <v>46045</v>
      </c>
      <c r="AN4834" s="8">
        <v>0</v>
      </c>
      <c r="AO4834" s="8">
        <v>720</v>
      </c>
    </row>
    <row r="4835" spans="1:41" x14ac:dyDescent="0.25">
      <c r="A4835" s="6" t="str">
        <f t="shared" si="1278"/>
        <v>525-2025000608</v>
      </c>
      <c r="B4835" s="6" t="str">
        <f t="shared" si="1277"/>
        <v>Lasa Int</v>
      </c>
      <c r="C4835" s="7">
        <v>45995</v>
      </c>
      <c r="D4835" s="7">
        <v>46045</v>
      </c>
      <c r="E4835" s="8">
        <v>15</v>
      </c>
      <c r="F4835" s="6" t="str">
        <f t="shared" si="1279"/>
        <v>PURE</v>
      </c>
      <c r="G4835" s="6" t="str">
        <f t="shared" si="1280"/>
        <v>F100021455000000</v>
      </c>
      <c r="H4835" s="6" t="str">
        <f t="shared" si="1281"/>
        <v>FA 214 - PURE - 550</v>
      </c>
      <c r="I4835" s="6" t="str">
        <f>"3234"</f>
        <v>3234</v>
      </c>
      <c r="J4835" s="6" t="str">
        <f>"CASTANHO 3234"</f>
        <v>CASTANHO 3234</v>
      </c>
      <c r="K4835" s="6" t="str">
        <f>"1535"</f>
        <v>1535</v>
      </c>
      <c r="L4835" s="6" t="str">
        <f>"Toalhões"</f>
        <v>Toalhões</v>
      </c>
      <c r="M4835" s="6" t="str">
        <f>"70x140"</f>
        <v>70x140</v>
      </c>
      <c r="N4835" s="6" t="str">
        <f>"5602972895254"</f>
        <v>5602972895254</v>
      </c>
      <c r="O4835" s="8">
        <v>960</v>
      </c>
      <c r="P4835" s="7">
        <v>45995</v>
      </c>
      <c r="R4835" s="8">
        <v>0</v>
      </c>
      <c r="S4835" s="7">
        <v>46001</v>
      </c>
      <c r="U4835" s="8">
        <v>960</v>
      </c>
      <c r="V4835" s="7">
        <v>46014</v>
      </c>
      <c r="X4835" s="8">
        <v>0</v>
      </c>
      <c r="Z4835" s="8">
        <v>960</v>
      </c>
      <c r="AA4835" s="7">
        <v>46036</v>
      </c>
      <c r="AC4835" s="8">
        <v>83</v>
      </c>
      <c r="AE4835" s="7">
        <v>46041</v>
      </c>
      <c r="AF4835" s="8">
        <v>83</v>
      </c>
      <c r="AH4835" s="7">
        <v>46045</v>
      </c>
      <c r="AN4835" s="8">
        <v>83</v>
      </c>
      <c r="AO4835" s="8">
        <v>877</v>
      </c>
    </row>
    <row r="4836" spans="1:41" x14ac:dyDescent="0.25">
      <c r="A4836" s="6" t="str">
        <f t="shared" si="1278"/>
        <v>525-2025000608</v>
      </c>
      <c r="B4836" s="6" t="str">
        <f t="shared" si="1277"/>
        <v>Lasa Int</v>
      </c>
      <c r="C4836" s="7">
        <v>45995</v>
      </c>
      <c r="D4836" s="7">
        <v>46045</v>
      </c>
      <c r="E4836" s="8">
        <v>16</v>
      </c>
      <c r="F4836" s="6" t="str">
        <f t="shared" si="1279"/>
        <v>PURE</v>
      </c>
      <c r="G4836" s="6" t="str">
        <f t="shared" si="1280"/>
        <v>F100021455000000</v>
      </c>
      <c r="H4836" s="6" t="str">
        <f t="shared" si="1281"/>
        <v>FA 214 - PURE - 550</v>
      </c>
      <c r="I4836" s="6" t="str">
        <f>"3234"</f>
        <v>3234</v>
      </c>
      <c r="J4836" s="6" t="str">
        <f>"CASTANHO 3234"</f>
        <v>CASTANHO 3234</v>
      </c>
      <c r="K4836" s="6" t="str">
        <f>"2020"</f>
        <v>2020</v>
      </c>
      <c r="L4836" s="6" t="str">
        <f>"Lençóis"</f>
        <v>Lençóis</v>
      </c>
      <c r="M4836" s="6" t="str">
        <f>"100x150"</f>
        <v>100x150</v>
      </c>
      <c r="N4836" s="6" t="str">
        <f>"5602972895261"</f>
        <v>5602972895261</v>
      </c>
      <c r="O4836" s="8">
        <v>240</v>
      </c>
      <c r="P4836" s="7">
        <v>45995</v>
      </c>
      <c r="R4836" s="8">
        <v>0</v>
      </c>
      <c r="S4836" s="7">
        <v>46001</v>
      </c>
      <c r="U4836" s="8">
        <v>240</v>
      </c>
      <c r="V4836" s="7">
        <v>46014</v>
      </c>
      <c r="X4836" s="8">
        <v>0</v>
      </c>
      <c r="Z4836" s="8">
        <v>240</v>
      </c>
      <c r="AA4836" s="7">
        <v>46036</v>
      </c>
      <c r="AC4836" s="8">
        <v>0</v>
      </c>
      <c r="AE4836" s="7">
        <v>46041</v>
      </c>
      <c r="AF4836" s="8">
        <v>0</v>
      </c>
      <c r="AH4836" s="7">
        <v>46045</v>
      </c>
      <c r="AN4836" s="8">
        <v>0</v>
      </c>
      <c r="AO4836" s="8">
        <v>240</v>
      </c>
    </row>
    <row r="4837" spans="1:41" x14ac:dyDescent="0.25">
      <c r="A4837" s="6" t="str">
        <f t="shared" si="1278"/>
        <v>525-2025000608</v>
      </c>
      <c r="B4837" s="6" t="str">
        <f t="shared" si="1277"/>
        <v>Lasa Int</v>
      </c>
      <c r="C4837" s="7">
        <v>45995</v>
      </c>
      <c r="D4837" s="7">
        <v>46045</v>
      </c>
      <c r="E4837" s="8">
        <v>17</v>
      </c>
      <c r="F4837" s="6" t="str">
        <f t="shared" si="1279"/>
        <v>PURE</v>
      </c>
      <c r="G4837" s="6" t="str">
        <f t="shared" si="1280"/>
        <v>F100021455000000</v>
      </c>
      <c r="H4837" s="6" t="str">
        <f t="shared" si="1281"/>
        <v>FA 214 - PURE - 550</v>
      </c>
      <c r="I4837" s="6" t="str">
        <f>"5149"</f>
        <v>5149</v>
      </c>
      <c r="J4837" s="6" t="str">
        <f>"VERDE 5149"</f>
        <v>VERDE 5149</v>
      </c>
      <c r="K4837" s="6" t="str">
        <f>"0112"</f>
        <v>0112</v>
      </c>
      <c r="L4837" s="6" t="str">
        <f>"Luvas"</f>
        <v>Luvas</v>
      </c>
      <c r="M4837" s="6" t="str">
        <f>"16x21"</f>
        <v>16x21</v>
      </c>
      <c r="N4837" s="6" t="str">
        <f>"5602972651430"</f>
        <v>5602972651430</v>
      </c>
      <c r="O4837" s="8">
        <v>300</v>
      </c>
      <c r="P4837" s="7">
        <v>45995</v>
      </c>
      <c r="R4837" s="8">
        <v>0</v>
      </c>
      <c r="S4837" s="7">
        <v>46001</v>
      </c>
      <c r="U4837" s="8">
        <v>300</v>
      </c>
      <c r="V4837" s="7">
        <v>46014</v>
      </c>
      <c r="X4837" s="8">
        <v>0</v>
      </c>
      <c r="Z4837" s="8">
        <v>300</v>
      </c>
      <c r="AA4837" s="7">
        <v>46036</v>
      </c>
      <c r="AC4837" s="8">
        <v>0</v>
      </c>
      <c r="AE4837" s="7">
        <v>46041</v>
      </c>
      <c r="AF4837" s="8">
        <v>0</v>
      </c>
      <c r="AH4837" s="7">
        <v>46045</v>
      </c>
      <c r="AN4837" s="8">
        <v>300</v>
      </c>
      <c r="AO4837" s="8">
        <v>0</v>
      </c>
    </row>
    <row r="4838" spans="1:41" x14ac:dyDescent="0.25">
      <c r="A4838" s="6" t="str">
        <f t="shared" si="1278"/>
        <v>525-2025000608</v>
      </c>
      <c r="B4838" s="6" t="str">
        <f t="shared" si="1277"/>
        <v>Lasa Int</v>
      </c>
      <c r="C4838" s="7">
        <v>45995</v>
      </c>
      <c r="D4838" s="7">
        <v>46045</v>
      </c>
      <c r="E4838" s="8">
        <v>18</v>
      </c>
      <c r="F4838" s="6" t="str">
        <f t="shared" si="1279"/>
        <v>PURE</v>
      </c>
      <c r="G4838" s="6" t="str">
        <f t="shared" si="1280"/>
        <v>F100021455000000</v>
      </c>
      <c r="H4838" s="6" t="str">
        <f t="shared" si="1281"/>
        <v>FA 214 - PURE - 550</v>
      </c>
      <c r="I4838" s="6" t="str">
        <f>"5149"</f>
        <v>5149</v>
      </c>
      <c r="J4838" s="6" t="str">
        <f>"VERDE 5149"</f>
        <v>VERDE 5149</v>
      </c>
      <c r="K4838" s="6" t="str">
        <f>"0530"</f>
        <v>0530</v>
      </c>
      <c r="L4838" s="6" t="str">
        <f>"Toalhetes"</f>
        <v>Toalhetes</v>
      </c>
      <c r="M4838" s="6" t="str">
        <f>"33x50"</f>
        <v>33x50</v>
      </c>
      <c r="N4838" s="6" t="str">
        <f>"5602972651447"</f>
        <v>5602972651447</v>
      </c>
      <c r="O4838" s="8">
        <v>450</v>
      </c>
      <c r="P4838" s="7">
        <v>45995</v>
      </c>
      <c r="R4838" s="8">
        <v>0</v>
      </c>
      <c r="S4838" s="7">
        <v>46001</v>
      </c>
      <c r="U4838" s="8">
        <v>450</v>
      </c>
      <c r="V4838" s="7">
        <v>46014</v>
      </c>
      <c r="X4838" s="8">
        <v>0</v>
      </c>
      <c r="Z4838" s="8">
        <v>450</v>
      </c>
      <c r="AA4838" s="7">
        <v>46036</v>
      </c>
      <c r="AC4838" s="8">
        <v>0</v>
      </c>
      <c r="AE4838" s="7">
        <v>46041</v>
      </c>
      <c r="AF4838" s="8">
        <v>0</v>
      </c>
      <c r="AH4838" s="7">
        <v>46045</v>
      </c>
      <c r="AN4838" s="8">
        <v>0</v>
      </c>
      <c r="AO4838" s="8">
        <v>450</v>
      </c>
    </row>
    <row r="4839" spans="1:41" x14ac:dyDescent="0.25">
      <c r="A4839" s="6" t="str">
        <f t="shared" si="1278"/>
        <v>525-2025000608</v>
      </c>
      <c r="B4839" s="6" t="str">
        <f t="shared" si="1277"/>
        <v>Lasa Int</v>
      </c>
      <c r="C4839" s="7">
        <v>45995</v>
      </c>
      <c r="D4839" s="7">
        <v>46045</v>
      </c>
      <c r="E4839" s="8">
        <v>19</v>
      </c>
      <c r="F4839" s="6" t="str">
        <f t="shared" si="1279"/>
        <v>PURE</v>
      </c>
      <c r="G4839" s="6" t="str">
        <f t="shared" si="1280"/>
        <v>F100021455000000</v>
      </c>
      <c r="H4839" s="6" t="str">
        <f t="shared" si="1281"/>
        <v>FA 214 - PURE - 550</v>
      </c>
      <c r="I4839" s="6" t="str">
        <f>"5149"</f>
        <v>5149</v>
      </c>
      <c r="J4839" s="6" t="str">
        <f>"VERDE 5149"</f>
        <v>VERDE 5149</v>
      </c>
      <c r="K4839" s="6" t="str">
        <f>"1024"</f>
        <v>1024</v>
      </c>
      <c r="L4839" s="6" t="str">
        <f>"Toalhas"</f>
        <v>Toalhas</v>
      </c>
      <c r="M4839" s="6" t="str">
        <f>"50x100"</f>
        <v>50x100</v>
      </c>
      <c r="N4839" s="6" t="str">
        <f>"5602972651454"</f>
        <v>5602972651454</v>
      </c>
      <c r="O4839" s="8">
        <v>480</v>
      </c>
      <c r="P4839" s="7">
        <v>45995</v>
      </c>
      <c r="R4839" s="8">
        <v>0</v>
      </c>
      <c r="S4839" s="7">
        <v>46001</v>
      </c>
      <c r="U4839" s="8">
        <v>480</v>
      </c>
      <c r="V4839" s="7">
        <v>46014</v>
      </c>
      <c r="X4839" s="8">
        <v>0</v>
      </c>
      <c r="Z4839" s="8">
        <v>480</v>
      </c>
      <c r="AA4839" s="7">
        <v>46036</v>
      </c>
      <c r="AC4839" s="8">
        <v>0</v>
      </c>
      <c r="AE4839" s="7">
        <v>46041</v>
      </c>
      <c r="AF4839" s="8">
        <v>0</v>
      </c>
      <c r="AH4839" s="7">
        <v>46045</v>
      </c>
      <c r="AN4839" s="8">
        <v>0</v>
      </c>
      <c r="AO4839" s="8">
        <v>480</v>
      </c>
    </row>
    <row r="4840" spans="1:41" x14ac:dyDescent="0.25">
      <c r="A4840" s="6" t="str">
        <f t="shared" si="1278"/>
        <v>525-2025000608</v>
      </c>
      <c r="B4840" s="6" t="str">
        <f t="shared" si="1277"/>
        <v>Lasa Int</v>
      </c>
      <c r="C4840" s="7">
        <v>45995</v>
      </c>
      <c r="D4840" s="7">
        <v>46045</v>
      </c>
      <c r="E4840" s="8">
        <v>20</v>
      </c>
      <c r="F4840" s="6" t="str">
        <f t="shared" si="1279"/>
        <v>PURE</v>
      </c>
      <c r="G4840" s="6" t="str">
        <f t="shared" si="1280"/>
        <v>F100021455000000</v>
      </c>
      <c r="H4840" s="6" t="str">
        <f t="shared" si="1281"/>
        <v>FA 214 - PURE - 550</v>
      </c>
      <c r="I4840" s="6" t="str">
        <f>"5149"</f>
        <v>5149</v>
      </c>
      <c r="J4840" s="6" t="str">
        <f>"VERDE 5149"</f>
        <v>VERDE 5149</v>
      </c>
      <c r="K4840" s="6" t="str">
        <f>"1535"</f>
        <v>1535</v>
      </c>
      <c r="L4840" s="6" t="str">
        <f>"Toalhões"</f>
        <v>Toalhões</v>
      </c>
      <c r="M4840" s="6" t="str">
        <f>"70x140"</f>
        <v>70x140</v>
      </c>
      <c r="N4840" s="6" t="str">
        <f>"5602972651461"</f>
        <v>5602972651461</v>
      </c>
      <c r="O4840" s="8">
        <v>240</v>
      </c>
      <c r="P4840" s="7">
        <v>45995</v>
      </c>
      <c r="R4840" s="8">
        <v>0</v>
      </c>
      <c r="S4840" s="7">
        <v>46001</v>
      </c>
      <c r="U4840" s="8">
        <v>240</v>
      </c>
      <c r="V4840" s="7">
        <v>46014</v>
      </c>
      <c r="X4840" s="8">
        <v>0</v>
      </c>
      <c r="Z4840" s="8">
        <v>240</v>
      </c>
      <c r="AA4840" s="7">
        <v>46036</v>
      </c>
      <c r="AC4840" s="8">
        <v>157</v>
      </c>
      <c r="AE4840" s="7">
        <v>46041</v>
      </c>
      <c r="AF4840" s="8">
        <v>157</v>
      </c>
      <c r="AH4840" s="7">
        <v>46045</v>
      </c>
      <c r="AN4840" s="8">
        <v>157</v>
      </c>
      <c r="AO4840" s="8">
        <v>83</v>
      </c>
    </row>
    <row r="4841" spans="1:41" x14ac:dyDescent="0.25">
      <c r="A4841" s="6" t="str">
        <f t="shared" si="1278"/>
        <v>525-2025000608</v>
      </c>
      <c r="B4841" s="6" t="str">
        <f t="shared" si="1277"/>
        <v>Lasa Int</v>
      </c>
      <c r="C4841" s="7">
        <v>45995</v>
      </c>
      <c r="D4841" s="7">
        <v>46045</v>
      </c>
      <c r="E4841" s="8">
        <v>21</v>
      </c>
      <c r="F4841" s="6" t="str">
        <f t="shared" si="1279"/>
        <v>PURE</v>
      </c>
      <c r="G4841" s="6" t="str">
        <f t="shared" si="1280"/>
        <v>F100021455000000</v>
      </c>
      <c r="H4841" s="6" t="str">
        <f t="shared" si="1281"/>
        <v>FA 214 - PURE - 550</v>
      </c>
      <c r="I4841" s="6" t="str">
        <f>"5149"</f>
        <v>5149</v>
      </c>
      <c r="J4841" s="6" t="str">
        <f>"VERDE 5149"</f>
        <v>VERDE 5149</v>
      </c>
      <c r="K4841" s="6" t="str">
        <f>"2020"</f>
        <v>2020</v>
      </c>
      <c r="L4841" s="6" t="str">
        <f>"Lençóis"</f>
        <v>Lençóis</v>
      </c>
      <c r="M4841" s="6" t="str">
        <f>"100x150"</f>
        <v>100x150</v>
      </c>
      <c r="N4841" s="6" t="str">
        <f>"5602972651478"</f>
        <v>5602972651478</v>
      </c>
      <c r="O4841" s="8">
        <v>160</v>
      </c>
      <c r="P4841" s="7">
        <v>45995</v>
      </c>
      <c r="R4841" s="8">
        <v>0</v>
      </c>
      <c r="S4841" s="7">
        <v>46001</v>
      </c>
      <c r="U4841" s="8">
        <v>160</v>
      </c>
      <c r="V4841" s="7">
        <v>46014</v>
      </c>
      <c r="X4841" s="8">
        <v>0</v>
      </c>
      <c r="Z4841" s="8">
        <v>160</v>
      </c>
      <c r="AA4841" s="7">
        <v>46036</v>
      </c>
      <c r="AC4841" s="8">
        <v>0</v>
      </c>
      <c r="AE4841" s="7">
        <v>46041</v>
      </c>
      <c r="AF4841" s="8">
        <v>0</v>
      </c>
      <c r="AH4841" s="7">
        <v>46045</v>
      </c>
      <c r="AN4841" s="8">
        <v>0</v>
      </c>
      <c r="AO4841" s="8">
        <v>160</v>
      </c>
    </row>
    <row r="4842" spans="1:41" x14ac:dyDescent="0.25">
      <c r="A4842" s="6" t="str">
        <f t="shared" si="1278"/>
        <v>525-2025000608</v>
      </c>
      <c r="B4842" s="6" t="str">
        <f t="shared" si="1277"/>
        <v>Lasa Int</v>
      </c>
      <c r="C4842" s="7">
        <v>45995</v>
      </c>
      <c r="D4842" s="7">
        <v>46045</v>
      </c>
      <c r="E4842" s="8">
        <v>22</v>
      </c>
      <c r="F4842" s="6" t="str">
        <f t="shared" si="1279"/>
        <v>PURE</v>
      </c>
      <c r="G4842" s="6" t="str">
        <f t="shared" si="1280"/>
        <v>F100021455000000</v>
      </c>
      <c r="H4842" s="6" t="str">
        <f t="shared" si="1281"/>
        <v>FA 214 - PURE - 550</v>
      </c>
      <c r="I4842" s="6" t="str">
        <f>"5417"</f>
        <v>5417</v>
      </c>
      <c r="J4842" s="6" t="str">
        <f>"AZUL 5417"</f>
        <v>AZUL 5417</v>
      </c>
      <c r="K4842" s="6" t="str">
        <f>"0112"</f>
        <v>0112</v>
      </c>
      <c r="L4842" s="6" t="str">
        <f>"Luvas"</f>
        <v>Luvas</v>
      </c>
      <c r="M4842" s="6" t="str">
        <f>"16x21"</f>
        <v>16x21</v>
      </c>
      <c r="N4842" s="6" t="str">
        <f>"5602972667554"</f>
        <v>5602972667554</v>
      </c>
      <c r="O4842" s="8">
        <v>300</v>
      </c>
      <c r="P4842" s="7">
        <v>45995</v>
      </c>
      <c r="R4842" s="8">
        <v>0</v>
      </c>
      <c r="S4842" s="7">
        <v>46001</v>
      </c>
      <c r="U4842" s="8">
        <v>300</v>
      </c>
      <c r="V4842" s="7">
        <v>46014</v>
      </c>
      <c r="X4842" s="8">
        <v>0</v>
      </c>
      <c r="Z4842" s="8">
        <v>300</v>
      </c>
      <c r="AA4842" s="7">
        <v>46036</v>
      </c>
      <c r="AC4842" s="8">
        <v>0</v>
      </c>
      <c r="AE4842" s="7">
        <v>46041</v>
      </c>
      <c r="AF4842" s="8">
        <v>0</v>
      </c>
      <c r="AH4842" s="7">
        <v>46045</v>
      </c>
      <c r="AN4842" s="8">
        <v>300</v>
      </c>
      <c r="AO4842" s="8">
        <v>0</v>
      </c>
    </row>
    <row r="4843" spans="1:41" x14ac:dyDescent="0.25">
      <c r="A4843" s="6" t="str">
        <f t="shared" si="1278"/>
        <v>525-2025000608</v>
      </c>
      <c r="B4843" s="6" t="str">
        <f t="shared" si="1277"/>
        <v>Lasa Int</v>
      </c>
      <c r="C4843" s="7">
        <v>45995</v>
      </c>
      <c r="D4843" s="7">
        <v>46045</v>
      </c>
      <c r="E4843" s="8">
        <v>23</v>
      </c>
      <c r="F4843" s="6" t="str">
        <f t="shared" si="1279"/>
        <v>PURE</v>
      </c>
      <c r="G4843" s="6" t="str">
        <f t="shared" si="1280"/>
        <v>F100021455000000</v>
      </c>
      <c r="H4843" s="6" t="str">
        <f t="shared" si="1281"/>
        <v>FA 214 - PURE - 550</v>
      </c>
      <c r="I4843" s="6" t="str">
        <f>"5417"</f>
        <v>5417</v>
      </c>
      <c r="J4843" s="6" t="str">
        <f>"AZUL 5417"</f>
        <v>AZUL 5417</v>
      </c>
      <c r="K4843" s="6" t="str">
        <f>"0530"</f>
        <v>0530</v>
      </c>
      <c r="L4843" s="6" t="str">
        <f>"Toalhetes"</f>
        <v>Toalhetes</v>
      </c>
      <c r="M4843" s="6" t="str">
        <f>"33x50"</f>
        <v>33x50</v>
      </c>
      <c r="N4843" s="6" t="str">
        <f>"5602972667561"</f>
        <v>5602972667561</v>
      </c>
      <c r="O4843" s="8">
        <v>450</v>
      </c>
      <c r="P4843" s="7">
        <v>45995</v>
      </c>
      <c r="R4843" s="8">
        <v>0</v>
      </c>
      <c r="S4843" s="7">
        <v>46001</v>
      </c>
      <c r="U4843" s="8">
        <v>450</v>
      </c>
      <c r="V4843" s="7">
        <v>46014</v>
      </c>
      <c r="X4843" s="8">
        <v>0</v>
      </c>
      <c r="Z4843" s="8">
        <v>450</v>
      </c>
      <c r="AA4843" s="7">
        <v>46036</v>
      </c>
      <c r="AC4843" s="8">
        <v>0</v>
      </c>
      <c r="AE4843" s="7">
        <v>46041</v>
      </c>
      <c r="AF4843" s="8">
        <v>0</v>
      </c>
      <c r="AH4843" s="7">
        <v>46045</v>
      </c>
      <c r="AN4843" s="8">
        <v>0</v>
      </c>
      <c r="AO4843" s="8">
        <v>450</v>
      </c>
    </row>
    <row r="4844" spans="1:41" x14ac:dyDescent="0.25">
      <c r="A4844" s="6" t="str">
        <f t="shared" si="1278"/>
        <v>525-2025000608</v>
      </c>
      <c r="B4844" s="6" t="str">
        <f t="shared" si="1277"/>
        <v>Lasa Int</v>
      </c>
      <c r="C4844" s="7">
        <v>45995</v>
      </c>
      <c r="D4844" s="7">
        <v>46045</v>
      </c>
      <c r="E4844" s="8">
        <v>24</v>
      </c>
      <c r="F4844" s="6" t="str">
        <f t="shared" si="1279"/>
        <v>PURE</v>
      </c>
      <c r="G4844" s="6" t="str">
        <f t="shared" si="1280"/>
        <v>F100021455000000</v>
      </c>
      <c r="H4844" s="6" t="str">
        <f t="shared" si="1281"/>
        <v>FA 214 - PURE - 550</v>
      </c>
      <c r="I4844" s="6" t="str">
        <f>"5417"</f>
        <v>5417</v>
      </c>
      <c r="J4844" s="6" t="str">
        <f>"AZUL 5417"</f>
        <v>AZUL 5417</v>
      </c>
      <c r="K4844" s="6" t="str">
        <f>"1024"</f>
        <v>1024</v>
      </c>
      <c r="L4844" s="6" t="str">
        <f>"Toalhas"</f>
        <v>Toalhas</v>
      </c>
      <c r="M4844" s="6" t="str">
        <f>"50x100"</f>
        <v>50x100</v>
      </c>
      <c r="N4844" s="6" t="str">
        <f>"5602972667578"</f>
        <v>5602972667578</v>
      </c>
      <c r="O4844" s="8">
        <v>480</v>
      </c>
      <c r="P4844" s="7">
        <v>45995</v>
      </c>
      <c r="R4844" s="8">
        <v>0</v>
      </c>
      <c r="S4844" s="7">
        <v>46001</v>
      </c>
      <c r="U4844" s="8">
        <v>480</v>
      </c>
      <c r="V4844" s="7">
        <v>46014</v>
      </c>
      <c r="X4844" s="8">
        <v>0</v>
      </c>
      <c r="Z4844" s="8">
        <v>480</v>
      </c>
      <c r="AA4844" s="7">
        <v>46036</v>
      </c>
      <c r="AC4844" s="8">
        <v>0</v>
      </c>
      <c r="AE4844" s="7">
        <v>46041</v>
      </c>
      <c r="AF4844" s="8">
        <v>0</v>
      </c>
      <c r="AH4844" s="7">
        <v>46045</v>
      </c>
      <c r="AN4844" s="8">
        <v>0</v>
      </c>
      <c r="AO4844" s="8">
        <v>480</v>
      </c>
    </row>
    <row r="4845" spans="1:41" x14ac:dyDescent="0.25">
      <c r="A4845" s="6" t="str">
        <f t="shared" si="1278"/>
        <v>525-2025000608</v>
      </c>
      <c r="B4845" s="6" t="str">
        <f t="shared" si="1277"/>
        <v>Lasa Int</v>
      </c>
      <c r="C4845" s="7">
        <v>45995</v>
      </c>
      <c r="D4845" s="7">
        <v>46045</v>
      </c>
      <c r="E4845" s="8">
        <v>25</v>
      </c>
      <c r="F4845" s="6" t="str">
        <f t="shared" si="1279"/>
        <v>PURE</v>
      </c>
      <c r="G4845" s="6" t="str">
        <f t="shared" si="1280"/>
        <v>F100021455000000</v>
      </c>
      <c r="H4845" s="6" t="str">
        <f t="shared" si="1281"/>
        <v>FA 214 - PURE - 550</v>
      </c>
      <c r="I4845" s="6" t="str">
        <f>"5417"</f>
        <v>5417</v>
      </c>
      <c r="J4845" s="6" t="str">
        <f>"AZUL 5417"</f>
        <v>AZUL 5417</v>
      </c>
      <c r="K4845" s="6" t="str">
        <f>"1535"</f>
        <v>1535</v>
      </c>
      <c r="L4845" s="6" t="str">
        <f>"Toalhões"</f>
        <v>Toalhões</v>
      </c>
      <c r="M4845" s="6" t="str">
        <f>"70x140"</f>
        <v>70x140</v>
      </c>
      <c r="N4845" s="6" t="str">
        <f>"5602972667585"</f>
        <v>5602972667585</v>
      </c>
      <c r="O4845" s="8">
        <v>240</v>
      </c>
      <c r="P4845" s="7">
        <v>45995</v>
      </c>
      <c r="R4845" s="8">
        <v>0</v>
      </c>
      <c r="S4845" s="7">
        <v>46001</v>
      </c>
      <c r="U4845" s="8">
        <v>240</v>
      </c>
      <c r="V4845" s="7">
        <v>46014</v>
      </c>
      <c r="X4845" s="8">
        <v>0</v>
      </c>
      <c r="Z4845" s="8">
        <v>240</v>
      </c>
      <c r="AA4845" s="7">
        <v>46036</v>
      </c>
      <c r="AC4845" s="8">
        <v>158</v>
      </c>
      <c r="AE4845" s="7">
        <v>46041</v>
      </c>
      <c r="AF4845" s="8">
        <v>158</v>
      </c>
      <c r="AH4845" s="7">
        <v>46045</v>
      </c>
      <c r="AN4845" s="8">
        <v>158</v>
      </c>
      <c r="AO4845" s="8">
        <v>82</v>
      </c>
    </row>
    <row r="4846" spans="1:41" x14ac:dyDescent="0.25">
      <c r="A4846" s="6" t="str">
        <f t="shared" si="1278"/>
        <v>525-2025000608</v>
      </c>
      <c r="B4846" s="6" t="str">
        <f t="shared" si="1277"/>
        <v>Lasa Int</v>
      </c>
      <c r="C4846" s="7">
        <v>45995</v>
      </c>
      <c r="D4846" s="7">
        <v>46045</v>
      </c>
      <c r="E4846" s="8">
        <v>26</v>
      </c>
      <c r="F4846" s="6" t="str">
        <f t="shared" si="1279"/>
        <v>PURE</v>
      </c>
      <c r="G4846" s="6" t="str">
        <f t="shared" si="1280"/>
        <v>F100021455000000</v>
      </c>
      <c r="H4846" s="6" t="str">
        <f t="shared" si="1281"/>
        <v>FA 214 - PURE - 550</v>
      </c>
      <c r="I4846" s="6" t="str">
        <f>"5417"</f>
        <v>5417</v>
      </c>
      <c r="J4846" s="6" t="str">
        <f>"AZUL 5417"</f>
        <v>AZUL 5417</v>
      </c>
      <c r="K4846" s="6" t="str">
        <f>"2020"</f>
        <v>2020</v>
      </c>
      <c r="L4846" s="6" t="str">
        <f>"Lençóis"</f>
        <v>Lençóis</v>
      </c>
      <c r="M4846" s="6" t="str">
        <f>"100x150"</f>
        <v>100x150</v>
      </c>
      <c r="N4846" s="6" t="str">
        <f>"5602972667592"</f>
        <v>5602972667592</v>
      </c>
      <c r="O4846" s="8">
        <v>160</v>
      </c>
      <c r="P4846" s="7">
        <v>45995</v>
      </c>
      <c r="R4846" s="8">
        <v>0</v>
      </c>
      <c r="S4846" s="7">
        <v>46001</v>
      </c>
      <c r="U4846" s="8">
        <v>160</v>
      </c>
      <c r="V4846" s="7">
        <v>46014</v>
      </c>
      <c r="X4846" s="8">
        <v>0</v>
      </c>
      <c r="Z4846" s="8">
        <v>160</v>
      </c>
      <c r="AA4846" s="7">
        <v>46036</v>
      </c>
      <c r="AC4846" s="8">
        <v>46</v>
      </c>
      <c r="AE4846" s="7">
        <v>46041</v>
      </c>
      <c r="AF4846" s="8">
        <v>46</v>
      </c>
      <c r="AH4846" s="7">
        <v>46045</v>
      </c>
      <c r="AN4846" s="8">
        <v>46</v>
      </c>
      <c r="AO4846" s="8">
        <v>114</v>
      </c>
    </row>
    <row r="4847" spans="1:41" x14ac:dyDescent="0.25">
      <c r="A4847" s="6" t="str">
        <f t="shared" si="1278"/>
        <v>525-2025000608</v>
      </c>
      <c r="B4847" s="6" t="str">
        <f t="shared" si="1277"/>
        <v>Lasa Int</v>
      </c>
      <c r="C4847" s="7">
        <v>45995</v>
      </c>
      <c r="D4847" s="7">
        <v>46045</v>
      </c>
      <c r="E4847" s="8">
        <v>27</v>
      </c>
      <c r="F4847" s="6" t="str">
        <f t="shared" si="1279"/>
        <v>PURE</v>
      </c>
      <c r="G4847" s="6" t="str">
        <f t="shared" si="1280"/>
        <v>F100021455000000</v>
      </c>
      <c r="H4847" s="6" t="str">
        <f t="shared" si="1281"/>
        <v>FA 214 - PURE - 550</v>
      </c>
      <c r="I4847" s="6" t="str">
        <f>"5419"</f>
        <v>5419</v>
      </c>
      <c r="J4847" s="6" t="str">
        <f>"ROSA 5419"</f>
        <v>ROSA 5419</v>
      </c>
      <c r="K4847" s="6" t="str">
        <f>"0112"</f>
        <v>0112</v>
      </c>
      <c r="L4847" s="6" t="str">
        <f>"Luvas"</f>
        <v>Luvas</v>
      </c>
      <c r="M4847" s="6" t="str">
        <f>"16x21"</f>
        <v>16x21</v>
      </c>
      <c r="N4847" s="6" t="str">
        <f>"5602972667608"</f>
        <v>5602972667608</v>
      </c>
      <c r="O4847" s="8">
        <v>300</v>
      </c>
      <c r="P4847" s="7">
        <v>45995</v>
      </c>
      <c r="R4847" s="8">
        <v>0</v>
      </c>
      <c r="S4847" s="7">
        <v>46001</v>
      </c>
      <c r="U4847" s="8">
        <v>300</v>
      </c>
      <c r="V4847" s="7">
        <v>46014</v>
      </c>
      <c r="X4847" s="8">
        <v>0</v>
      </c>
      <c r="Z4847" s="8">
        <v>300</v>
      </c>
      <c r="AA4847" s="7">
        <v>46036</v>
      </c>
      <c r="AC4847" s="8">
        <v>0</v>
      </c>
      <c r="AE4847" s="7">
        <v>46041</v>
      </c>
      <c r="AF4847" s="8">
        <v>0</v>
      </c>
      <c r="AH4847" s="7">
        <v>46045</v>
      </c>
      <c r="AN4847" s="8">
        <v>294</v>
      </c>
      <c r="AO4847" s="8">
        <v>6</v>
      </c>
    </row>
    <row r="4848" spans="1:41" x14ac:dyDescent="0.25">
      <c r="A4848" s="6" t="str">
        <f t="shared" si="1278"/>
        <v>525-2025000608</v>
      </c>
      <c r="B4848" s="6" t="str">
        <f t="shared" si="1277"/>
        <v>Lasa Int</v>
      </c>
      <c r="C4848" s="7">
        <v>45995</v>
      </c>
      <c r="D4848" s="7">
        <v>46045</v>
      </c>
      <c r="E4848" s="8">
        <v>28</v>
      </c>
      <c r="F4848" s="6" t="str">
        <f t="shared" si="1279"/>
        <v>PURE</v>
      </c>
      <c r="G4848" s="6" t="str">
        <f t="shared" si="1280"/>
        <v>F100021455000000</v>
      </c>
      <c r="H4848" s="6" t="str">
        <f t="shared" si="1281"/>
        <v>FA 214 - PURE - 550</v>
      </c>
      <c r="I4848" s="6" t="str">
        <f>"5419"</f>
        <v>5419</v>
      </c>
      <c r="J4848" s="6" t="str">
        <f>"ROSA 5419"</f>
        <v>ROSA 5419</v>
      </c>
      <c r="K4848" s="6" t="str">
        <f>"0530"</f>
        <v>0530</v>
      </c>
      <c r="L4848" s="6" t="str">
        <f>"Toalhetes"</f>
        <v>Toalhetes</v>
      </c>
      <c r="M4848" s="6" t="str">
        <f>"33x50"</f>
        <v>33x50</v>
      </c>
      <c r="N4848" s="6" t="str">
        <f>"5602972667615"</f>
        <v>5602972667615</v>
      </c>
      <c r="O4848" s="8">
        <v>450</v>
      </c>
      <c r="P4848" s="7">
        <v>45995</v>
      </c>
      <c r="R4848" s="8">
        <v>0</v>
      </c>
      <c r="S4848" s="7">
        <v>46001</v>
      </c>
      <c r="U4848" s="8">
        <v>450</v>
      </c>
      <c r="V4848" s="7">
        <v>46014</v>
      </c>
      <c r="X4848" s="8">
        <v>0</v>
      </c>
      <c r="Z4848" s="8">
        <v>450</v>
      </c>
      <c r="AA4848" s="7">
        <v>46036</v>
      </c>
      <c r="AC4848" s="8">
        <v>0</v>
      </c>
      <c r="AE4848" s="7">
        <v>46041</v>
      </c>
      <c r="AF4848" s="8">
        <v>0</v>
      </c>
      <c r="AH4848" s="7">
        <v>46045</v>
      </c>
      <c r="AN4848" s="8">
        <v>0</v>
      </c>
      <c r="AO4848" s="8">
        <v>450</v>
      </c>
    </row>
    <row r="4849" spans="1:41" x14ac:dyDescent="0.25">
      <c r="A4849" s="6" t="str">
        <f t="shared" si="1278"/>
        <v>525-2025000608</v>
      </c>
      <c r="B4849" s="6" t="str">
        <f t="shared" si="1277"/>
        <v>Lasa Int</v>
      </c>
      <c r="C4849" s="7">
        <v>45995</v>
      </c>
      <c r="D4849" s="7">
        <v>46045</v>
      </c>
      <c r="E4849" s="8">
        <v>29</v>
      </c>
      <c r="F4849" s="6" t="str">
        <f t="shared" si="1279"/>
        <v>PURE</v>
      </c>
      <c r="G4849" s="6" t="str">
        <f t="shared" si="1280"/>
        <v>F100021455000000</v>
      </c>
      <c r="H4849" s="6" t="str">
        <f t="shared" si="1281"/>
        <v>FA 214 - PURE - 550</v>
      </c>
      <c r="I4849" s="6" t="str">
        <f>"5419"</f>
        <v>5419</v>
      </c>
      <c r="J4849" s="6" t="str">
        <f>"ROSA 5419"</f>
        <v>ROSA 5419</v>
      </c>
      <c r="K4849" s="6" t="str">
        <f>"1024"</f>
        <v>1024</v>
      </c>
      <c r="L4849" s="6" t="str">
        <f>"Toalhas"</f>
        <v>Toalhas</v>
      </c>
      <c r="M4849" s="6" t="str">
        <f>"50x100"</f>
        <v>50x100</v>
      </c>
      <c r="N4849" s="6" t="str">
        <f>"5602972667622"</f>
        <v>5602972667622</v>
      </c>
      <c r="O4849" s="8">
        <v>240</v>
      </c>
      <c r="P4849" s="7">
        <v>45995</v>
      </c>
      <c r="R4849" s="8">
        <v>0</v>
      </c>
      <c r="S4849" s="7">
        <v>46001</v>
      </c>
      <c r="U4849" s="8">
        <v>240</v>
      </c>
      <c r="V4849" s="7">
        <v>46014</v>
      </c>
      <c r="X4849" s="8">
        <v>0</v>
      </c>
      <c r="Z4849" s="8">
        <v>240</v>
      </c>
      <c r="AA4849" s="7">
        <v>46036</v>
      </c>
      <c r="AC4849" s="8">
        <v>222</v>
      </c>
      <c r="AE4849" s="7">
        <v>46041</v>
      </c>
      <c r="AF4849" s="8">
        <v>222</v>
      </c>
      <c r="AH4849" s="7">
        <v>46045</v>
      </c>
      <c r="AN4849" s="8">
        <v>452</v>
      </c>
      <c r="AO4849" s="8">
        <v>-212</v>
      </c>
    </row>
    <row r="4850" spans="1:41" x14ac:dyDescent="0.25">
      <c r="A4850" s="6" t="str">
        <f t="shared" si="1278"/>
        <v>525-2025000608</v>
      </c>
      <c r="B4850" s="6" t="str">
        <f t="shared" si="1277"/>
        <v>Lasa Int</v>
      </c>
      <c r="C4850" s="7">
        <v>45995</v>
      </c>
      <c r="D4850" s="7">
        <v>46045</v>
      </c>
      <c r="E4850" s="8">
        <v>30</v>
      </c>
      <c r="F4850" s="6" t="str">
        <f t="shared" si="1279"/>
        <v>PURE</v>
      </c>
      <c r="G4850" s="6" t="str">
        <f t="shared" si="1280"/>
        <v>F100021455000000</v>
      </c>
      <c r="H4850" s="6" t="str">
        <f t="shared" si="1281"/>
        <v>FA 214 - PURE - 550</v>
      </c>
      <c r="I4850" s="6" t="str">
        <f>"5419"</f>
        <v>5419</v>
      </c>
      <c r="J4850" s="6" t="str">
        <f>"ROSA 5419"</f>
        <v>ROSA 5419</v>
      </c>
      <c r="K4850" s="6" t="str">
        <f>"1535"</f>
        <v>1535</v>
      </c>
      <c r="L4850" s="6" t="str">
        <f>"Toalhões"</f>
        <v>Toalhões</v>
      </c>
      <c r="M4850" s="6" t="str">
        <f>"70x140"</f>
        <v>70x140</v>
      </c>
      <c r="N4850" s="6" t="str">
        <f>"5602972667639"</f>
        <v>5602972667639</v>
      </c>
      <c r="O4850" s="8">
        <v>240</v>
      </c>
      <c r="P4850" s="7">
        <v>45995</v>
      </c>
      <c r="R4850" s="8">
        <v>0</v>
      </c>
      <c r="S4850" s="7">
        <v>46001</v>
      </c>
      <c r="U4850" s="8">
        <v>240</v>
      </c>
      <c r="V4850" s="7">
        <v>46014</v>
      </c>
      <c r="X4850" s="8">
        <v>0</v>
      </c>
      <c r="Z4850" s="8">
        <v>240</v>
      </c>
      <c r="AA4850" s="7">
        <v>46036</v>
      </c>
      <c r="AC4850" s="8">
        <v>0</v>
      </c>
      <c r="AE4850" s="7">
        <v>46041</v>
      </c>
      <c r="AF4850" s="8">
        <v>0</v>
      </c>
      <c r="AH4850" s="7">
        <v>46045</v>
      </c>
      <c r="AN4850" s="8">
        <v>0</v>
      </c>
      <c r="AO4850" s="8">
        <v>240</v>
      </c>
    </row>
    <row r="4851" spans="1:41" x14ac:dyDescent="0.25">
      <c r="A4851" s="6" t="str">
        <f t="shared" si="1278"/>
        <v>525-2025000608</v>
      </c>
      <c r="B4851" s="6" t="str">
        <f t="shared" si="1277"/>
        <v>Lasa Int</v>
      </c>
      <c r="C4851" s="7">
        <v>45995</v>
      </c>
      <c r="D4851" s="7">
        <v>46045</v>
      </c>
      <c r="E4851" s="8">
        <v>31</v>
      </c>
      <c r="F4851" s="6" t="str">
        <f t="shared" si="1279"/>
        <v>PURE</v>
      </c>
      <c r="G4851" s="6" t="str">
        <f t="shared" si="1280"/>
        <v>F100021455000000</v>
      </c>
      <c r="H4851" s="6" t="str">
        <f t="shared" si="1281"/>
        <v>FA 214 - PURE - 550</v>
      </c>
      <c r="I4851" s="6" t="str">
        <f>"5419"</f>
        <v>5419</v>
      </c>
      <c r="J4851" s="6" t="str">
        <f>"ROSA 5419"</f>
        <v>ROSA 5419</v>
      </c>
      <c r="K4851" s="6" t="str">
        <f>"2020"</f>
        <v>2020</v>
      </c>
      <c r="L4851" s="6" t="str">
        <f>"Lençóis"</f>
        <v>Lençóis</v>
      </c>
      <c r="M4851" s="6" t="str">
        <f>"100x150"</f>
        <v>100x150</v>
      </c>
      <c r="N4851" s="6" t="str">
        <f>"5602972667646"</f>
        <v>5602972667646</v>
      </c>
      <c r="O4851" s="8">
        <v>160</v>
      </c>
      <c r="P4851" s="7">
        <v>45995</v>
      </c>
      <c r="R4851" s="8">
        <v>0</v>
      </c>
      <c r="S4851" s="7">
        <v>46001</v>
      </c>
      <c r="U4851" s="8">
        <v>160</v>
      </c>
      <c r="V4851" s="7">
        <v>46014</v>
      </c>
      <c r="X4851" s="8">
        <v>0</v>
      </c>
      <c r="Z4851" s="8">
        <v>160</v>
      </c>
      <c r="AA4851" s="7">
        <v>46036</v>
      </c>
      <c r="AC4851" s="8">
        <v>150</v>
      </c>
      <c r="AE4851" s="7">
        <v>46041</v>
      </c>
      <c r="AF4851" s="8">
        <v>150</v>
      </c>
      <c r="AH4851" s="7">
        <v>46045</v>
      </c>
      <c r="AN4851" s="8">
        <v>150</v>
      </c>
      <c r="AO4851" s="8">
        <v>10</v>
      </c>
    </row>
    <row r="4852" spans="1:41" x14ac:dyDescent="0.25">
      <c r="A4852" s="6" t="str">
        <f t="shared" si="1278"/>
        <v>525-2025000608</v>
      </c>
      <c r="B4852" s="6" t="str">
        <f t="shared" ref="B4852:B4883" si="1282">"Lasa Int"</f>
        <v>Lasa Int</v>
      </c>
      <c r="C4852" s="7">
        <v>45995</v>
      </c>
      <c r="D4852" s="7">
        <v>46045</v>
      </c>
      <c r="E4852" s="8">
        <v>32</v>
      </c>
      <c r="F4852" s="6" t="str">
        <f t="shared" si="1279"/>
        <v>PURE</v>
      </c>
      <c r="G4852" s="6" t="str">
        <f t="shared" si="1280"/>
        <v>F100021455000000</v>
      </c>
      <c r="H4852" s="6" t="str">
        <f t="shared" si="1281"/>
        <v>FA 214 - PURE - 550</v>
      </c>
      <c r="I4852" s="6" t="str">
        <f>"5867"</f>
        <v>5867</v>
      </c>
      <c r="J4852" s="6" t="str">
        <f>"VERDE 5867"</f>
        <v>VERDE 5867</v>
      </c>
      <c r="K4852" s="6" t="str">
        <f>"1024"</f>
        <v>1024</v>
      </c>
      <c r="L4852" s="6" t="str">
        <f>"Toalhas"</f>
        <v>Toalhas</v>
      </c>
      <c r="M4852" s="6" t="str">
        <f>"50x100"</f>
        <v>50x100</v>
      </c>
      <c r="N4852" s="6" t="str">
        <f>"5602972509526"</f>
        <v>5602972509526</v>
      </c>
      <c r="O4852" s="8">
        <v>480</v>
      </c>
      <c r="P4852" s="7">
        <v>45995</v>
      </c>
      <c r="R4852" s="8">
        <v>0</v>
      </c>
      <c r="S4852" s="7">
        <v>46001</v>
      </c>
      <c r="U4852" s="8">
        <v>480</v>
      </c>
      <c r="V4852" s="7">
        <v>46014</v>
      </c>
      <c r="X4852" s="8">
        <v>0</v>
      </c>
      <c r="Z4852" s="8">
        <v>480</v>
      </c>
      <c r="AA4852" s="7">
        <v>46036</v>
      </c>
      <c r="AC4852" s="8">
        <v>0</v>
      </c>
      <c r="AE4852" s="7">
        <v>46041</v>
      </c>
      <c r="AF4852" s="8">
        <v>0</v>
      </c>
      <c r="AH4852" s="7">
        <v>46045</v>
      </c>
      <c r="AN4852" s="8">
        <v>0</v>
      </c>
      <c r="AO4852" s="8">
        <v>480</v>
      </c>
    </row>
    <row r="4853" spans="1:41" x14ac:dyDescent="0.25">
      <c r="A4853" s="6" t="str">
        <f t="shared" si="1278"/>
        <v>525-2025000608</v>
      </c>
      <c r="B4853" s="6" t="str">
        <f t="shared" si="1282"/>
        <v>Lasa Int</v>
      </c>
      <c r="C4853" s="7">
        <v>45995</v>
      </c>
      <c r="D4853" s="7">
        <v>46045</v>
      </c>
      <c r="E4853" s="8">
        <v>33</v>
      </c>
      <c r="F4853" s="6" t="str">
        <f t="shared" si="1279"/>
        <v>PURE</v>
      </c>
      <c r="G4853" s="6" t="str">
        <f t="shared" si="1280"/>
        <v>F100021455000000</v>
      </c>
      <c r="H4853" s="6" t="str">
        <f t="shared" si="1281"/>
        <v>FA 214 - PURE - 550</v>
      </c>
      <c r="I4853" s="6" t="str">
        <f>"5867"</f>
        <v>5867</v>
      </c>
      <c r="J4853" s="6" t="str">
        <f>"VERDE 5867"</f>
        <v>VERDE 5867</v>
      </c>
      <c r="K4853" s="6" t="str">
        <f>"1535"</f>
        <v>1535</v>
      </c>
      <c r="L4853" s="6" t="str">
        <f>"Toalhões"</f>
        <v>Toalhões</v>
      </c>
      <c r="M4853" s="6" t="str">
        <f>"70x140"</f>
        <v>70x140</v>
      </c>
      <c r="N4853" s="6" t="str">
        <f>"5602972509533"</f>
        <v>5602972509533</v>
      </c>
      <c r="O4853" s="8">
        <v>240</v>
      </c>
      <c r="P4853" s="7">
        <v>45995</v>
      </c>
      <c r="R4853" s="8">
        <v>0</v>
      </c>
      <c r="S4853" s="7">
        <v>46001</v>
      </c>
      <c r="U4853" s="8">
        <v>240</v>
      </c>
      <c r="V4853" s="7">
        <v>46014</v>
      </c>
      <c r="X4853" s="8">
        <v>0</v>
      </c>
      <c r="Z4853" s="8">
        <v>240</v>
      </c>
      <c r="AA4853" s="7">
        <v>46036</v>
      </c>
      <c r="AC4853" s="8">
        <v>214</v>
      </c>
      <c r="AE4853" s="7">
        <v>46041</v>
      </c>
      <c r="AF4853" s="8">
        <v>214</v>
      </c>
      <c r="AH4853" s="7">
        <v>46045</v>
      </c>
      <c r="AN4853" s="8">
        <v>214</v>
      </c>
      <c r="AO4853" s="8">
        <v>26</v>
      </c>
    </row>
    <row r="4854" spans="1:41" x14ac:dyDescent="0.25">
      <c r="A4854" s="6" t="str">
        <f t="shared" si="1278"/>
        <v>525-2025000608</v>
      </c>
      <c r="B4854" s="6" t="str">
        <f t="shared" si="1282"/>
        <v>Lasa Int</v>
      </c>
      <c r="C4854" s="7">
        <v>45995</v>
      </c>
      <c r="D4854" s="7">
        <v>46045</v>
      </c>
      <c r="E4854" s="8">
        <v>34</v>
      </c>
      <c r="F4854" s="6" t="str">
        <f t="shared" si="1279"/>
        <v>PURE</v>
      </c>
      <c r="G4854" s="6" t="str">
        <f t="shared" si="1280"/>
        <v>F100021455000000</v>
      </c>
      <c r="H4854" s="6" t="str">
        <f t="shared" si="1281"/>
        <v>FA 214 - PURE - 550</v>
      </c>
      <c r="I4854" s="6" t="str">
        <f>"5867"</f>
        <v>5867</v>
      </c>
      <c r="J4854" s="6" t="str">
        <f>"VERDE 5867"</f>
        <v>VERDE 5867</v>
      </c>
      <c r="K4854" s="6" t="str">
        <f>"2020"</f>
        <v>2020</v>
      </c>
      <c r="L4854" s="6" t="str">
        <f>"Lençóis"</f>
        <v>Lençóis</v>
      </c>
      <c r="M4854" s="6" t="str">
        <f>"100x150"</f>
        <v>100x150</v>
      </c>
      <c r="N4854" s="6" t="str">
        <f>"5602972509540"</f>
        <v>5602972509540</v>
      </c>
      <c r="O4854" s="8">
        <v>160</v>
      </c>
      <c r="P4854" s="7">
        <v>45995</v>
      </c>
      <c r="R4854" s="8">
        <v>0</v>
      </c>
      <c r="S4854" s="7">
        <v>46001</v>
      </c>
      <c r="U4854" s="8">
        <v>160</v>
      </c>
      <c r="V4854" s="7">
        <v>46014</v>
      </c>
      <c r="X4854" s="8">
        <v>0</v>
      </c>
      <c r="Z4854" s="8">
        <v>160</v>
      </c>
      <c r="AA4854" s="7">
        <v>46036</v>
      </c>
      <c r="AC4854" s="8">
        <v>0</v>
      </c>
      <c r="AE4854" s="7">
        <v>46041</v>
      </c>
      <c r="AF4854" s="8">
        <v>0</v>
      </c>
      <c r="AH4854" s="7">
        <v>46045</v>
      </c>
      <c r="AN4854" s="8">
        <v>0</v>
      </c>
      <c r="AO4854" s="8">
        <v>160</v>
      </c>
    </row>
    <row r="4855" spans="1:41" x14ac:dyDescent="0.25">
      <c r="A4855" s="6" t="str">
        <f t="shared" si="1278"/>
        <v>525-2025000608</v>
      </c>
      <c r="B4855" s="6" t="str">
        <f t="shared" si="1282"/>
        <v>Lasa Int</v>
      </c>
      <c r="C4855" s="7">
        <v>45995</v>
      </c>
      <c r="D4855" s="7">
        <v>46045</v>
      </c>
      <c r="E4855" s="8">
        <v>35</v>
      </c>
      <c r="F4855" s="6" t="str">
        <f t="shared" si="1279"/>
        <v>PURE</v>
      </c>
      <c r="G4855" s="6" t="str">
        <f>"F161003770000000"</f>
        <v>F161003770000000</v>
      </c>
      <c r="H4855" s="6" t="str">
        <f>"TA 37 - 700 g/m²"</f>
        <v>TA 37 - 700 g/m²</v>
      </c>
      <c r="I4855" s="6" t="str">
        <f>"1359"</f>
        <v>1359</v>
      </c>
      <c r="J4855" s="6" t="str">
        <f>"CASTANHO 1359"</f>
        <v>CASTANHO 1359</v>
      </c>
      <c r="K4855" s="6" t="str">
        <f>"3012"</f>
        <v>3012</v>
      </c>
      <c r="L4855" s="6" t="str">
        <f>"Tapetes"</f>
        <v>Tapetes</v>
      </c>
      <c r="M4855" s="6" t="str">
        <f>"50x70"</f>
        <v>50x70</v>
      </c>
      <c r="N4855" s="6" t="str">
        <f>"5602972805482"</f>
        <v>5602972805482</v>
      </c>
      <c r="O4855" s="8">
        <v>100</v>
      </c>
      <c r="P4855" s="7">
        <v>45995</v>
      </c>
      <c r="R4855" s="8">
        <v>0</v>
      </c>
      <c r="S4855" s="7">
        <v>46001</v>
      </c>
      <c r="U4855" s="8">
        <v>100</v>
      </c>
      <c r="V4855" s="7">
        <v>46014</v>
      </c>
      <c r="X4855" s="8">
        <v>0</v>
      </c>
      <c r="Z4855" s="8">
        <v>100</v>
      </c>
      <c r="AA4855" s="7">
        <v>46036</v>
      </c>
      <c r="AC4855" s="8">
        <v>0</v>
      </c>
      <c r="AE4855" s="7">
        <v>46041</v>
      </c>
      <c r="AF4855" s="8">
        <v>0</v>
      </c>
      <c r="AH4855" s="7">
        <v>46045</v>
      </c>
      <c r="AN4855" s="8">
        <v>0</v>
      </c>
      <c r="AO4855" s="8">
        <v>100</v>
      </c>
    </row>
    <row r="4856" spans="1:41" x14ac:dyDescent="0.25">
      <c r="A4856" s="6" t="str">
        <f t="shared" si="1278"/>
        <v>525-2025000608</v>
      </c>
      <c r="B4856" s="6" t="str">
        <f t="shared" si="1282"/>
        <v>Lasa Int</v>
      </c>
      <c r="C4856" s="7">
        <v>45995</v>
      </c>
      <c r="D4856" s="7">
        <v>46045</v>
      </c>
      <c r="E4856" s="8">
        <v>36</v>
      </c>
      <c r="F4856" s="6" t="str">
        <f t="shared" si="1279"/>
        <v>PURE</v>
      </c>
      <c r="G4856" s="6" t="str">
        <f>"F161003770000000"</f>
        <v>F161003770000000</v>
      </c>
      <c r="H4856" s="6" t="str">
        <f>"TA 37 - 700 g/m²"</f>
        <v>TA 37 - 700 g/m²</v>
      </c>
      <c r="I4856" s="6" t="str">
        <f>"1670"</f>
        <v>1670</v>
      </c>
      <c r="J4856" s="6" t="str">
        <f>"BEGE 1670"</f>
        <v>BEGE 1670</v>
      </c>
      <c r="K4856" s="6" t="str">
        <f>"3012"</f>
        <v>3012</v>
      </c>
      <c r="L4856" s="6" t="str">
        <f>"Tapetes"</f>
        <v>Tapetes</v>
      </c>
      <c r="M4856" s="6" t="str">
        <f>"50x70"</f>
        <v>50x70</v>
      </c>
      <c r="N4856" s="6" t="str">
        <f>"5602972837230"</f>
        <v>5602972837230</v>
      </c>
      <c r="O4856" s="8">
        <v>200</v>
      </c>
      <c r="P4856" s="7">
        <v>45995</v>
      </c>
      <c r="R4856" s="8">
        <v>0</v>
      </c>
      <c r="S4856" s="7">
        <v>46001</v>
      </c>
      <c r="U4856" s="8">
        <v>200</v>
      </c>
      <c r="V4856" s="7">
        <v>46014</v>
      </c>
      <c r="X4856" s="8">
        <v>0</v>
      </c>
      <c r="Z4856" s="8">
        <v>200</v>
      </c>
      <c r="AA4856" s="7">
        <v>46036</v>
      </c>
      <c r="AC4856" s="8">
        <v>20</v>
      </c>
      <c r="AE4856" s="7">
        <v>46041</v>
      </c>
      <c r="AF4856" s="8">
        <v>20</v>
      </c>
      <c r="AH4856" s="7">
        <v>46045</v>
      </c>
      <c r="AN4856" s="8">
        <v>20</v>
      </c>
      <c r="AO4856" s="8">
        <v>180</v>
      </c>
    </row>
    <row r="4857" spans="1:41" x14ac:dyDescent="0.25">
      <c r="A4857" s="6" t="str">
        <f t="shared" si="1278"/>
        <v>525-2025000608</v>
      </c>
      <c r="B4857" s="6" t="str">
        <f t="shared" si="1282"/>
        <v>Lasa Int</v>
      </c>
      <c r="C4857" s="7">
        <v>45995</v>
      </c>
      <c r="D4857" s="7">
        <v>46045</v>
      </c>
      <c r="E4857" s="8">
        <v>37</v>
      </c>
      <c r="F4857" s="6" t="str">
        <f t="shared" si="1279"/>
        <v>PURE</v>
      </c>
      <c r="G4857" s="6" t="str">
        <f>"F161003770000000"</f>
        <v>F161003770000000</v>
      </c>
      <c r="H4857" s="6" t="str">
        <f>"TA 37 - 700 g/m²"</f>
        <v>TA 37 - 700 g/m²</v>
      </c>
      <c r="I4857" s="6" t="str">
        <f>"5419"</f>
        <v>5419</v>
      </c>
      <c r="J4857" s="6" t="str">
        <f>"ROSA 5419"</f>
        <v>ROSA 5419</v>
      </c>
      <c r="K4857" s="6" t="str">
        <f>"3012"</f>
        <v>3012</v>
      </c>
      <c r="L4857" s="6" t="str">
        <f>"Tapetes"</f>
        <v>Tapetes</v>
      </c>
      <c r="M4857" s="6" t="str">
        <f>"50x70"</f>
        <v>50x70</v>
      </c>
      <c r="N4857" s="6" t="str">
        <f>"5602972667660"</f>
        <v>5602972667660</v>
      </c>
      <c r="O4857" s="8">
        <v>100</v>
      </c>
      <c r="P4857" s="7">
        <v>45995</v>
      </c>
      <c r="R4857" s="8">
        <v>1072</v>
      </c>
      <c r="S4857" s="7">
        <v>46001</v>
      </c>
      <c r="U4857" s="8">
        <v>100</v>
      </c>
      <c r="V4857" s="7">
        <v>46014</v>
      </c>
      <c r="X4857" s="8">
        <v>0</v>
      </c>
      <c r="Z4857" s="8">
        <v>100</v>
      </c>
      <c r="AA4857" s="7">
        <v>46036</v>
      </c>
      <c r="AC4857" s="8">
        <v>0</v>
      </c>
      <c r="AE4857" s="7">
        <v>46041</v>
      </c>
      <c r="AF4857" s="8">
        <v>0</v>
      </c>
      <c r="AH4857" s="7">
        <v>46045</v>
      </c>
      <c r="AN4857" s="8">
        <v>0</v>
      </c>
      <c r="AO4857" s="8">
        <v>100</v>
      </c>
    </row>
    <row r="4858" spans="1:41" x14ac:dyDescent="0.25">
      <c r="A4858" s="6" t="str">
        <f t="shared" ref="A4858:A4871" si="1283">"525-2025000609"</f>
        <v>525-2025000609</v>
      </c>
      <c r="B4858" s="6" t="str">
        <f t="shared" si="1282"/>
        <v>Lasa Int</v>
      </c>
      <c r="C4858" s="7">
        <v>45996</v>
      </c>
      <c r="D4858" s="7">
        <v>46056</v>
      </c>
      <c r="E4858" s="8">
        <v>1</v>
      </c>
      <c r="F4858" s="6" t="str">
        <f t="shared" ref="F4858:F4871" si="1284">"PURE R"</f>
        <v>PURE R</v>
      </c>
      <c r="G4858" s="6" t="str">
        <f>"R010000635000000"</f>
        <v>R010000635000000</v>
      </c>
      <c r="H4858" s="6" t="str">
        <f>"Alexis Cotoral Pure"</f>
        <v>Alexis Cotoral Pure</v>
      </c>
      <c r="I4858" s="6" t="str">
        <f t="shared" ref="I4858:I4871" si="1285">"2968"</f>
        <v>2968</v>
      </c>
      <c r="J4858" s="6" t="str">
        <f t="shared" ref="J4858:J4871" si="1286">"ROSA 2968"</f>
        <v>ROSA 2968</v>
      </c>
      <c r="K4858" s="6" t="str">
        <f>"5002"</f>
        <v>5002</v>
      </c>
      <c r="L4858" s="6" t="str">
        <f>"Roupões Adulto"</f>
        <v>Roupões Adulto</v>
      </c>
      <c r="M4858" s="6" t="str">
        <f>"S"</f>
        <v>S</v>
      </c>
      <c r="N4858" s="6" t="str">
        <f>"5602972895650"</f>
        <v>5602972895650</v>
      </c>
      <c r="O4858" s="8">
        <v>36</v>
      </c>
      <c r="P4858" s="7">
        <v>45996</v>
      </c>
      <c r="R4858" s="8">
        <v>4050</v>
      </c>
      <c r="S4858" s="7">
        <v>46002</v>
      </c>
      <c r="U4858" s="8">
        <v>945</v>
      </c>
      <c r="V4858" s="7">
        <v>46013</v>
      </c>
      <c r="X4858" s="8">
        <v>945</v>
      </c>
      <c r="Z4858" s="8">
        <v>0</v>
      </c>
      <c r="AA4858" s="7">
        <v>46031</v>
      </c>
      <c r="AC4858" s="8">
        <v>0</v>
      </c>
      <c r="AE4858" s="7">
        <v>46056</v>
      </c>
      <c r="AF4858" s="8">
        <v>0</v>
      </c>
      <c r="AH4858" s="7">
        <v>46056</v>
      </c>
      <c r="AI4858" s="7">
        <v>46052</v>
      </c>
      <c r="AN4858" s="8">
        <v>0</v>
      </c>
      <c r="AO4858" s="8">
        <v>36</v>
      </c>
    </row>
    <row r="4859" spans="1:41" x14ac:dyDescent="0.25">
      <c r="A4859" s="6" t="str">
        <f t="shared" si="1283"/>
        <v>525-2025000609</v>
      </c>
      <c r="B4859" s="6" t="str">
        <f t="shared" si="1282"/>
        <v>Lasa Int</v>
      </c>
      <c r="C4859" s="7">
        <v>45996</v>
      </c>
      <c r="D4859" s="7">
        <v>46056</v>
      </c>
      <c r="E4859" s="8">
        <v>2</v>
      </c>
      <c r="F4859" s="6" t="str">
        <f t="shared" si="1284"/>
        <v>PURE R</v>
      </c>
      <c r="G4859" s="6" t="str">
        <f>"R010000635000000"</f>
        <v>R010000635000000</v>
      </c>
      <c r="H4859" s="6" t="str">
        <f>"Alexis Cotoral Pure"</f>
        <v>Alexis Cotoral Pure</v>
      </c>
      <c r="I4859" s="6" t="str">
        <f t="shared" si="1285"/>
        <v>2968</v>
      </c>
      <c r="J4859" s="6" t="str">
        <f t="shared" si="1286"/>
        <v>ROSA 2968</v>
      </c>
      <c r="K4859" s="6" t="str">
        <f>"5004"</f>
        <v>5004</v>
      </c>
      <c r="L4859" s="6" t="str">
        <f>"Roupões Adulto"</f>
        <v>Roupões Adulto</v>
      </c>
      <c r="M4859" s="6" t="str">
        <f>"M"</f>
        <v>M</v>
      </c>
      <c r="N4859" s="6" t="str">
        <f>"5602972895667"</f>
        <v>5602972895667</v>
      </c>
      <c r="O4859" s="8">
        <v>48</v>
      </c>
      <c r="P4859" s="7">
        <v>45996</v>
      </c>
      <c r="R4859" s="8">
        <v>0</v>
      </c>
      <c r="S4859" s="7">
        <v>46002</v>
      </c>
      <c r="U4859" s="8">
        <v>0</v>
      </c>
      <c r="V4859" s="7">
        <v>46013</v>
      </c>
      <c r="X4859" s="8">
        <v>0</v>
      </c>
      <c r="Z4859" s="8">
        <v>0</v>
      </c>
      <c r="AA4859" s="7">
        <v>46031</v>
      </c>
      <c r="AC4859" s="8">
        <v>0</v>
      </c>
      <c r="AE4859" s="7">
        <v>46056</v>
      </c>
      <c r="AF4859" s="8">
        <v>0</v>
      </c>
      <c r="AH4859" s="7">
        <v>46056</v>
      </c>
      <c r="AI4859" s="7">
        <v>46052</v>
      </c>
      <c r="AN4859" s="8">
        <v>0</v>
      </c>
      <c r="AO4859" s="8">
        <v>48</v>
      </c>
    </row>
    <row r="4860" spans="1:41" x14ac:dyDescent="0.25">
      <c r="A4860" s="6" t="str">
        <f t="shared" si="1283"/>
        <v>525-2025000609</v>
      </c>
      <c r="B4860" s="6" t="str">
        <f t="shared" si="1282"/>
        <v>Lasa Int</v>
      </c>
      <c r="C4860" s="7">
        <v>45996</v>
      </c>
      <c r="D4860" s="7">
        <v>46056</v>
      </c>
      <c r="E4860" s="8">
        <v>3</v>
      </c>
      <c r="F4860" s="6" t="str">
        <f t="shared" si="1284"/>
        <v>PURE R</v>
      </c>
      <c r="G4860" s="6" t="str">
        <f>"R010000635000000"</f>
        <v>R010000635000000</v>
      </c>
      <c r="H4860" s="6" t="str">
        <f>"Alexis Cotoral Pure"</f>
        <v>Alexis Cotoral Pure</v>
      </c>
      <c r="I4860" s="6" t="str">
        <f t="shared" si="1285"/>
        <v>2968</v>
      </c>
      <c r="J4860" s="6" t="str">
        <f t="shared" si="1286"/>
        <v>ROSA 2968</v>
      </c>
      <c r="K4860" s="6" t="str">
        <f>"5006"</f>
        <v>5006</v>
      </c>
      <c r="L4860" s="6" t="str">
        <f>"Roupões Adulto"</f>
        <v>Roupões Adulto</v>
      </c>
      <c r="M4860" s="6" t="str">
        <f>"L"</f>
        <v>L</v>
      </c>
      <c r="N4860" s="6" t="str">
        <f>"5602972895674"</f>
        <v>5602972895674</v>
      </c>
      <c r="O4860" s="8">
        <v>12</v>
      </c>
      <c r="P4860" s="7">
        <v>45996</v>
      </c>
      <c r="R4860" s="8">
        <v>0</v>
      </c>
      <c r="S4860" s="7">
        <v>46002</v>
      </c>
      <c r="U4860" s="8">
        <v>0</v>
      </c>
      <c r="V4860" s="7">
        <v>46013</v>
      </c>
      <c r="X4860" s="8">
        <v>0</v>
      </c>
      <c r="Z4860" s="8">
        <v>0</v>
      </c>
      <c r="AA4860" s="7">
        <v>46031</v>
      </c>
      <c r="AC4860" s="8">
        <v>0</v>
      </c>
      <c r="AE4860" s="7">
        <v>46056</v>
      </c>
      <c r="AF4860" s="8">
        <v>0</v>
      </c>
      <c r="AH4860" s="7">
        <v>46056</v>
      </c>
      <c r="AI4860" s="7">
        <v>46052</v>
      </c>
      <c r="AN4860" s="8">
        <v>0</v>
      </c>
      <c r="AO4860" s="8">
        <v>12</v>
      </c>
    </row>
    <row r="4861" spans="1:41" x14ac:dyDescent="0.25">
      <c r="A4861" s="6" t="str">
        <f t="shared" si="1283"/>
        <v>525-2025000609</v>
      </c>
      <c r="B4861" s="6" t="str">
        <f t="shared" si="1282"/>
        <v>Lasa Int</v>
      </c>
      <c r="C4861" s="7">
        <v>45996</v>
      </c>
      <c r="D4861" s="7">
        <v>46056</v>
      </c>
      <c r="E4861" s="8">
        <v>4</v>
      </c>
      <c r="F4861" s="6" t="str">
        <f t="shared" si="1284"/>
        <v>PURE R</v>
      </c>
      <c r="G4861" s="6" t="str">
        <f>"R010000635000000"</f>
        <v>R010000635000000</v>
      </c>
      <c r="H4861" s="6" t="str">
        <f>"Alexis Cotoral Pure"</f>
        <v>Alexis Cotoral Pure</v>
      </c>
      <c r="I4861" s="6" t="str">
        <f t="shared" si="1285"/>
        <v>2968</v>
      </c>
      <c r="J4861" s="6" t="str">
        <f t="shared" si="1286"/>
        <v>ROSA 2968</v>
      </c>
      <c r="K4861" s="6" t="str">
        <f>"5008"</f>
        <v>5008</v>
      </c>
      <c r="L4861" s="6" t="str">
        <f>"Roupões Adulto"</f>
        <v>Roupões Adulto</v>
      </c>
      <c r="M4861" s="6" t="str">
        <f>"XL"</f>
        <v>XL</v>
      </c>
      <c r="N4861" s="6" t="str">
        <f>"5602972895681"</f>
        <v>5602972895681</v>
      </c>
      <c r="O4861" s="8">
        <v>12</v>
      </c>
      <c r="P4861" s="7">
        <v>45996</v>
      </c>
      <c r="R4861" s="8">
        <v>0</v>
      </c>
      <c r="S4861" s="7">
        <v>46002</v>
      </c>
      <c r="U4861" s="8">
        <v>0</v>
      </c>
      <c r="V4861" s="7">
        <v>46013</v>
      </c>
      <c r="X4861" s="8">
        <v>0</v>
      </c>
      <c r="Z4861" s="8">
        <v>0</v>
      </c>
      <c r="AA4861" s="7">
        <v>46031</v>
      </c>
      <c r="AC4861" s="8">
        <v>0</v>
      </c>
      <c r="AE4861" s="7">
        <v>46056</v>
      </c>
      <c r="AF4861" s="8">
        <v>0</v>
      </c>
      <c r="AH4861" s="7">
        <v>46056</v>
      </c>
      <c r="AI4861" s="7">
        <v>46052</v>
      </c>
      <c r="AN4861" s="8">
        <v>0</v>
      </c>
      <c r="AO4861" s="8">
        <v>12</v>
      </c>
    </row>
    <row r="4862" spans="1:41" x14ac:dyDescent="0.25">
      <c r="A4862" s="6" t="str">
        <f t="shared" si="1283"/>
        <v>525-2025000609</v>
      </c>
      <c r="B4862" s="6" t="str">
        <f t="shared" si="1282"/>
        <v>Lasa Int</v>
      </c>
      <c r="C4862" s="7">
        <v>45996</v>
      </c>
      <c r="D4862" s="7">
        <v>46056</v>
      </c>
      <c r="E4862" s="8">
        <v>5</v>
      </c>
      <c r="F4862" s="6" t="str">
        <f t="shared" si="1284"/>
        <v>PURE R</v>
      </c>
      <c r="G4862" s="6" t="str">
        <f t="shared" ref="G4862:G4867" si="1287">"R013000138500000"</f>
        <v>R013000138500000</v>
      </c>
      <c r="H4862" s="6" t="str">
        <f t="shared" ref="H4862:H4867" si="1288">"Star PURE - Ketten 3"</f>
        <v>Star PURE - Ketten 3</v>
      </c>
      <c r="I4862" s="6" t="str">
        <f t="shared" si="1285"/>
        <v>2968</v>
      </c>
      <c r="J4862" s="6" t="str">
        <f t="shared" si="1286"/>
        <v>ROSA 2968</v>
      </c>
      <c r="K4862" s="6" t="str">
        <f>"5202"</f>
        <v>5202</v>
      </c>
      <c r="L4862" s="6" t="str">
        <f t="shared" ref="L4862:L4867" si="1289">"Roupões Criança"</f>
        <v>Roupões Criança</v>
      </c>
      <c r="M4862" s="6" t="str">
        <f>"2 Anos"</f>
        <v>2 Anos</v>
      </c>
      <c r="N4862" s="6" t="str">
        <f>"5602972724158"</f>
        <v>5602972724158</v>
      </c>
      <c r="O4862" s="8">
        <v>6</v>
      </c>
      <c r="P4862" s="7">
        <v>45996</v>
      </c>
      <c r="R4862" s="8">
        <v>0</v>
      </c>
      <c r="S4862" s="7">
        <v>46002</v>
      </c>
      <c r="U4862" s="8">
        <v>0</v>
      </c>
      <c r="V4862" s="7">
        <v>46013</v>
      </c>
      <c r="X4862" s="8">
        <v>0</v>
      </c>
      <c r="Z4862" s="8">
        <v>0</v>
      </c>
      <c r="AA4862" s="7">
        <v>46031</v>
      </c>
      <c r="AC4862" s="8">
        <v>0</v>
      </c>
      <c r="AE4862" s="7">
        <v>46056</v>
      </c>
      <c r="AF4862" s="8">
        <v>0</v>
      </c>
      <c r="AH4862" s="7">
        <v>46056</v>
      </c>
      <c r="AI4862" s="7">
        <v>46052</v>
      </c>
      <c r="AN4862" s="8">
        <v>0</v>
      </c>
      <c r="AO4862" s="8">
        <v>6</v>
      </c>
    </row>
    <row r="4863" spans="1:41" x14ac:dyDescent="0.25">
      <c r="A4863" s="6" t="str">
        <f t="shared" si="1283"/>
        <v>525-2025000609</v>
      </c>
      <c r="B4863" s="6" t="str">
        <f t="shared" si="1282"/>
        <v>Lasa Int</v>
      </c>
      <c r="C4863" s="7">
        <v>45996</v>
      </c>
      <c r="D4863" s="7">
        <v>46056</v>
      </c>
      <c r="E4863" s="8">
        <v>6</v>
      </c>
      <c r="F4863" s="6" t="str">
        <f t="shared" si="1284"/>
        <v>PURE R</v>
      </c>
      <c r="G4863" s="6" t="str">
        <f t="shared" si="1287"/>
        <v>R013000138500000</v>
      </c>
      <c r="H4863" s="6" t="str">
        <f t="shared" si="1288"/>
        <v>Star PURE - Ketten 3</v>
      </c>
      <c r="I4863" s="6" t="str">
        <f t="shared" si="1285"/>
        <v>2968</v>
      </c>
      <c r="J4863" s="6" t="str">
        <f t="shared" si="1286"/>
        <v>ROSA 2968</v>
      </c>
      <c r="K4863" s="6" t="str">
        <f>"5204"</f>
        <v>5204</v>
      </c>
      <c r="L4863" s="6" t="str">
        <f t="shared" si="1289"/>
        <v>Roupões Criança</v>
      </c>
      <c r="M4863" s="6" t="str">
        <f>"4 Anos"</f>
        <v>4 Anos</v>
      </c>
      <c r="N4863" s="6" t="str">
        <f>"5602972724165"</f>
        <v>5602972724165</v>
      </c>
      <c r="O4863" s="8">
        <v>24</v>
      </c>
      <c r="P4863" s="7">
        <v>45996</v>
      </c>
      <c r="R4863" s="8">
        <v>0</v>
      </c>
      <c r="S4863" s="7">
        <v>46002</v>
      </c>
      <c r="U4863" s="8">
        <v>0</v>
      </c>
      <c r="V4863" s="7">
        <v>46013</v>
      </c>
      <c r="X4863" s="8">
        <v>0</v>
      </c>
      <c r="Z4863" s="8">
        <v>0</v>
      </c>
      <c r="AA4863" s="7">
        <v>46031</v>
      </c>
      <c r="AC4863" s="8">
        <v>0</v>
      </c>
      <c r="AE4863" s="7">
        <v>46056</v>
      </c>
      <c r="AF4863" s="8">
        <v>0</v>
      </c>
      <c r="AH4863" s="7">
        <v>46056</v>
      </c>
      <c r="AI4863" s="7">
        <v>46052</v>
      </c>
      <c r="AN4863" s="8">
        <v>0</v>
      </c>
      <c r="AO4863" s="8">
        <v>24</v>
      </c>
    </row>
    <row r="4864" spans="1:41" x14ac:dyDescent="0.25">
      <c r="A4864" s="6" t="str">
        <f t="shared" si="1283"/>
        <v>525-2025000609</v>
      </c>
      <c r="B4864" s="6" t="str">
        <f t="shared" si="1282"/>
        <v>Lasa Int</v>
      </c>
      <c r="C4864" s="7">
        <v>45996</v>
      </c>
      <c r="D4864" s="7">
        <v>46056</v>
      </c>
      <c r="E4864" s="8">
        <v>7</v>
      </c>
      <c r="F4864" s="6" t="str">
        <f t="shared" si="1284"/>
        <v>PURE R</v>
      </c>
      <c r="G4864" s="6" t="str">
        <f t="shared" si="1287"/>
        <v>R013000138500000</v>
      </c>
      <c r="H4864" s="6" t="str">
        <f t="shared" si="1288"/>
        <v>Star PURE - Ketten 3</v>
      </c>
      <c r="I4864" s="6" t="str">
        <f t="shared" si="1285"/>
        <v>2968</v>
      </c>
      <c r="J4864" s="6" t="str">
        <f t="shared" si="1286"/>
        <v>ROSA 2968</v>
      </c>
      <c r="K4864" s="6" t="str">
        <f>"5206"</f>
        <v>5206</v>
      </c>
      <c r="L4864" s="6" t="str">
        <f t="shared" si="1289"/>
        <v>Roupões Criança</v>
      </c>
      <c r="M4864" s="6" t="str">
        <f>"6 Anos"</f>
        <v>6 Anos</v>
      </c>
      <c r="N4864" s="6" t="str">
        <f>"5602972724172"</f>
        <v>5602972724172</v>
      </c>
      <c r="O4864" s="8">
        <v>6</v>
      </c>
      <c r="P4864" s="7">
        <v>45996</v>
      </c>
      <c r="R4864" s="8">
        <v>0</v>
      </c>
      <c r="S4864" s="7">
        <v>46002</v>
      </c>
      <c r="U4864" s="8">
        <v>0</v>
      </c>
      <c r="V4864" s="7">
        <v>46013</v>
      </c>
      <c r="X4864" s="8">
        <v>0</v>
      </c>
      <c r="Z4864" s="8">
        <v>0</v>
      </c>
      <c r="AA4864" s="7">
        <v>46031</v>
      </c>
      <c r="AC4864" s="8">
        <v>0</v>
      </c>
      <c r="AE4864" s="7">
        <v>46056</v>
      </c>
      <c r="AF4864" s="8">
        <v>0</v>
      </c>
      <c r="AH4864" s="7">
        <v>46056</v>
      </c>
      <c r="AI4864" s="7">
        <v>46052</v>
      </c>
      <c r="AN4864" s="8">
        <v>0</v>
      </c>
      <c r="AO4864" s="8">
        <v>6</v>
      </c>
    </row>
    <row r="4865" spans="1:41" x14ac:dyDescent="0.25">
      <c r="A4865" s="6" t="str">
        <f t="shared" si="1283"/>
        <v>525-2025000609</v>
      </c>
      <c r="B4865" s="6" t="str">
        <f t="shared" si="1282"/>
        <v>Lasa Int</v>
      </c>
      <c r="C4865" s="7">
        <v>45996</v>
      </c>
      <c r="D4865" s="7">
        <v>46056</v>
      </c>
      <c r="E4865" s="8">
        <v>8</v>
      </c>
      <c r="F4865" s="6" t="str">
        <f t="shared" si="1284"/>
        <v>PURE R</v>
      </c>
      <c r="G4865" s="6" t="str">
        <f t="shared" si="1287"/>
        <v>R013000138500000</v>
      </c>
      <c r="H4865" s="6" t="str">
        <f t="shared" si="1288"/>
        <v>Star PURE - Ketten 3</v>
      </c>
      <c r="I4865" s="6" t="str">
        <f t="shared" si="1285"/>
        <v>2968</v>
      </c>
      <c r="J4865" s="6" t="str">
        <f t="shared" si="1286"/>
        <v>ROSA 2968</v>
      </c>
      <c r="K4865" s="6" t="str">
        <f>"5208"</f>
        <v>5208</v>
      </c>
      <c r="L4865" s="6" t="str">
        <f t="shared" si="1289"/>
        <v>Roupões Criança</v>
      </c>
      <c r="M4865" s="6" t="str">
        <f>"8 Anos"</f>
        <v>8 Anos</v>
      </c>
      <c r="N4865" s="6" t="str">
        <f>"5602972724189"</f>
        <v>5602972724189</v>
      </c>
      <c r="O4865" s="8">
        <v>24</v>
      </c>
      <c r="P4865" s="7">
        <v>45996</v>
      </c>
      <c r="R4865" s="8">
        <v>0</v>
      </c>
      <c r="S4865" s="7">
        <v>46002</v>
      </c>
      <c r="U4865" s="8">
        <v>0</v>
      </c>
      <c r="V4865" s="7">
        <v>46013</v>
      </c>
      <c r="X4865" s="8">
        <v>0</v>
      </c>
      <c r="Z4865" s="8">
        <v>0</v>
      </c>
      <c r="AA4865" s="7">
        <v>46031</v>
      </c>
      <c r="AC4865" s="8">
        <v>0</v>
      </c>
      <c r="AE4865" s="7">
        <v>46056</v>
      </c>
      <c r="AF4865" s="8">
        <v>0</v>
      </c>
      <c r="AH4865" s="7">
        <v>46056</v>
      </c>
      <c r="AI4865" s="7">
        <v>46052</v>
      </c>
      <c r="AN4865" s="8">
        <v>0</v>
      </c>
      <c r="AO4865" s="8">
        <v>24</v>
      </c>
    </row>
    <row r="4866" spans="1:41" x14ac:dyDescent="0.25">
      <c r="A4866" s="6" t="str">
        <f t="shared" si="1283"/>
        <v>525-2025000609</v>
      </c>
      <c r="B4866" s="6" t="str">
        <f t="shared" si="1282"/>
        <v>Lasa Int</v>
      </c>
      <c r="C4866" s="7">
        <v>45996</v>
      </c>
      <c r="D4866" s="7">
        <v>46056</v>
      </c>
      <c r="E4866" s="8">
        <v>9</v>
      </c>
      <c r="F4866" s="6" t="str">
        <f t="shared" si="1284"/>
        <v>PURE R</v>
      </c>
      <c r="G4866" s="6" t="str">
        <f t="shared" si="1287"/>
        <v>R013000138500000</v>
      </c>
      <c r="H4866" s="6" t="str">
        <f t="shared" si="1288"/>
        <v>Star PURE - Ketten 3</v>
      </c>
      <c r="I4866" s="6" t="str">
        <f t="shared" si="1285"/>
        <v>2968</v>
      </c>
      <c r="J4866" s="6" t="str">
        <f t="shared" si="1286"/>
        <v>ROSA 2968</v>
      </c>
      <c r="K4866" s="6" t="str">
        <f>"5212"</f>
        <v>5212</v>
      </c>
      <c r="L4866" s="6" t="str">
        <f t="shared" si="1289"/>
        <v>Roupões Criança</v>
      </c>
      <c r="M4866" s="6" t="str">
        <f>"12 Anos"</f>
        <v>12 Anos</v>
      </c>
      <c r="N4866" s="6" t="str">
        <f>"5602972724202"</f>
        <v>5602972724202</v>
      </c>
      <c r="O4866" s="8">
        <v>36</v>
      </c>
      <c r="P4866" s="7">
        <v>45996</v>
      </c>
      <c r="R4866" s="8">
        <v>0</v>
      </c>
      <c r="S4866" s="7">
        <v>46002</v>
      </c>
      <c r="U4866" s="8">
        <v>0</v>
      </c>
      <c r="V4866" s="7">
        <v>46013</v>
      </c>
      <c r="X4866" s="8">
        <v>0</v>
      </c>
      <c r="Z4866" s="8">
        <v>0</v>
      </c>
      <c r="AA4866" s="7">
        <v>46031</v>
      </c>
      <c r="AC4866" s="8">
        <v>0</v>
      </c>
      <c r="AE4866" s="7">
        <v>46056</v>
      </c>
      <c r="AF4866" s="8">
        <v>0</v>
      </c>
      <c r="AH4866" s="7">
        <v>46056</v>
      </c>
      <c r="AI4866" s="7">
        <v>46052</v>
      </c>
      <c r="AN4866" s="8">
        <v>0</v>
      </c>
      <c r="AO4866" s="8">
        <v>36</v>
      </c>
    </row>
    <row r="4867" spans="1:41" x14ac:dyDescent="0.25">
      <c r="A4867" s="6" t="str">
        <f t="shared" si="1283"/>
        <v>525-2025000609</v>
      </c>
      <c r="B4867" s="6" t="str">
        <f t="shared" si="1282"/>
        <v>Lasa Int</v>
      </c>
      <c r="C4867" s="7">
        <v>45996</v>
      </c>
      <c r="D4867" s="7">
        <v>46056</v>
      </c>
      <c r="E4867" s="8">
        <v>10</v>
      </c>
      <c r="F4867" s="6" t="str">
        <f t="shared" si="1284"/>
        <v>PURE R</v>
      </c>
      <c r="G4867" s="6" t="str">
        <f t="shared" si="1287"/>
        <v>R013000138500000</v>
      </c>
      <c r="H4867" s="6" t="str">
        <f t="shared" si="1288"/>
        <v>Star PURE - Ketten 3</v>
      </c>
      <c r="I4867" s="6" t="str">
        <f t="shared" si="1285"/>
        <v>2968</v>
      </c>
      <c r="J4867" s="6" t="str">
        <f t="shared" si="1286"/>
        <v>ROSA 2968</v>
      </c>
      <c r="K4867" s="6" t="str">
        <f>"5214"</f>
        <v>5214</v>
      </c>
      <c r="L4867" s="6" t="str">
        <f t="shared" si="1289"/>
        <v>Roupões Criança</v>
      </c>
      <c r="M4867" s="6" t="str">
        <f>"14 Anos"</f>
        <v>14 Anos</v>
      </c>
      <c r="N4867" s="6" t="str">
        <f>"5602972724219"</f>
        <v>5602972724219</v>
      </c>
      <c r="O4867" s="8">
        <v>18</v>
      </c>
      <c r="P4867" s="7">
        <v>45996</v>
      </c>
      <c r="R4867" s="8">
        <v>0</v>
      </c>
      <c r="S4867" s="7">
        <v>46002</v>
      </c>
      <c r="U4867" s="8">
        <v>0</v>
      </c>
      <c r="V4867" s="7">
        <v>46013</v>
      </c>
      <c r="X4867" s="8">
        <v>0</v>
      </c>
      <c r="Z4867" s="8">
        <v>0</v>
      </c>
      <c r="AA4867" s="7">
        <v>46031</v>
      </c>
      <c r="AC4867" s="8">
        <v>0</v>
      </c>
      <c r="AE4867" s="7">
        <v>46056</v>
      </c>
      <c r="AF4867" s="8">
        <v>0</v>
      </c>
      <c r="AH4867" s="7">
        <v>46056</v>
      </c>
      <c r="AI4867" s="7">
        <v>46052</v>
      </c>
      <c r="AN4867" s="8">
        <v>0</v>
      </c>
      <c r="AO4867" s="8">
        <v>18</v>
      </c>
    </row>
    <row r="4868" spans="1:41" x14ac:dyDescent="0.25">
      <c r="A4868" s="6" t="str">
        <f t="shared" si="1283"/>
        <v>525-2025000609</v>
      </c>
      <c r="B4868" s="6" t="str">
        <f t="shared" si="1282"/>
        <v>Lasa Int</v>
      </c>
      <c r="C4868" s="7">
        <v>45996</v>
      </c>
      <c r="D4868" s="7">
        <v>46056</v>
      </c>
      <c r="E4868" s="8">
        <v>11</v>
      </c>
      <c r="F4868" s="6" t="str">
        <f t="shared" si="1284"/>
        <v>PURE R</v>
      </c>
      <c r="G4868" s="6" t="str">
        <f>"R120203038500000"</f>
        <v>R120203038500000</v>
      </c>
      <c r="H4868" s="6" t="str">
        <f>"R 2030 - Ketten PURE"</f>
        <v>R 2030 - Ketten PURE</v>
      </c>
      <c r="I4868" s="6" t="str">
        <f t="shared" si="1285"/>
        <v>2968</v>
      </c>
      <c r="J4868" s="6" t="str">
        <f t="shared" si="1286"/>
        <v>ROSA 2968</v>
      </c>
      <c r="K4868" s="6" t="str">
        <f>"5002"</f>
        <v>5002</v>
      </c>
      <c r="L4868" s="6" t="str">
        <f>"Roupões Adulto"</f>
        <v>Roupões Adulto</v>
      </c>
      <c r="M4868" s="6" t="str">
        <f>"S"</f>
        <v>S</v>
      </c>
      <c r="N4868" s="6" t="str">
        <f>"5605247636064"</f>
        <v>5605247636064</v>
      </c>
      <c r="O4868" s="8">
        <v>36</v>
      </c>
      <c r="P4868" s="7">
        <v>45996</v>
      </c>
      <c r="R4868" s="8">
        <v>0</v>
      </c>
      <c r="S4868" s="7">
        <v>46002</v>
      </c>
      <c r="U4868" s="8">
        <v>0</v>
      </c>
      <c r="V4868" s="7">
        <v>46013</v>
      </c>
      <c r="X4868" s="8">
        <v>0</v>
      </c>
      <c r="Z4868" s="8">
        <v>0</v>
      </c>
      <c r="AA4868" s="7">
        <v>46031</v>
      </c>
      <c r="AC4868" s="8">
        <v>0</v>
      </c>
      <c r="AE4868" s="7">
        <v>46056</v>
      </c>
      <c r="AF4868" s="8">
        <v>0</v>
      </c>
      <c r="AH4868" s="7">
        <v>46056</v>
      </c>
      <c r="AI4868" s="7">
        <v>46052</v>
      </c>
      <c r="AN4868" s="8">
        <v>0</v>
      </c>
      <c r="AO4868" s="8">
        <v>36</v>
      </c>
    </row>
    <row r="4869" spans="1:41" x14ac:dyDescent="0.25">
      <c r="A4869" s="6" t="str">
        <f t="shared" si="1283"/>
        <v>525-2025000609</v>
      </c>
      <c r="B4869" s="6" t="str">
        <f t="shared" si="1282"/>
        <v>Lasa Int</v>
      </c>
      <c r="C4869" s="7">
        <v>45996</v>
      </c>
      <c r="D4869" s="7">
        <v>46056</v>
      </c>
      <c r="E4869" s="8">
        <v>12</v>
      </c>
      <c r="F4869" s="6" t="str">
        <f t="shared" si="1284"/>
        <v>PURE R</v>
      </c>
      <c r="G4869" s="6" t="str">
        <f>"R120203038500000"</f>
        <v>R120203038500000</v>
      </c>
      <c r="H4869" s="6" t="str">
        <f>"R 2030 - Ketten PURE"</f>
        <v>R 2030 - Ketten PURE</v>
      </c>
      <c r="I4869" s="6" t="str">
        <f t="shared" si="1285"/>
        <v>2968</v>
      </c>
      <c r="J4869" s="6" t="str">
        <f t="shared" si="1286"/>
        <v>ROSA 2968</v>
      </c>
      <c r="K4869" s="6" t="str">
        <f>"5004"</f>
        <v>5004</v>
      </c>
      <c r="L4869" s="6" t="str">
        <f>"Roupões Adulto"</f>
        <v>Roupões Adulto</v>
      </c>
      <c r="M4869" s="6" t="str">
        <f>"M"</f>
        <v>M</v>
      </c>
      <c r="N4869" s="6" t="str">
        <f>"5605247636071"</f>
        <v>5605247636071</v>
      </c>
      <c r="O4869" s="8">
        <v>36</v>
      </c>
      <c r="P4869" s="7">
        <v>45996</v>
      </c>
      <c r="R4869" s="8">
        <v>0</v>
      </c>
      <c r="S4869" s="7">
        <v>46002</v>
      </c>
      <c r="U4869" s="8">
        <v>0</v>
      </c>
      <c r="V4869" s="7">
        <v>46013</v>
      </c>
      <c r="X4869" s="8">
        <v>0</v>
      </c>
      <c r="Z4869" s="8">
        <v>0</v>
      </c>
      <c r="AA4869" s="7">
        <v>46031</v>
      </c>
      <c r="AC4869" s="8">
        <v>0</v>
      </c>
      <c r="AE4869" s="7">
        <v>46056</v>
      </c>
      <c r="AF4869" s="8">
        <v>0</v>
      </c>
      <c r="AH4869" s="7">
        <v>46056</v>
      </c>
      <c r="AI4869" s="7">
        <v>46052</v>
      </c>
      <c r="AN4869" s="8">
        <v>0</v>
      </c>
      <c r="AO4869" s="8">
        <v>36</v>
      </c>
    </row>
    <row r="4870" spans="1:41" x14ac:dyDescent="0.25">
      <c r="A4870" s="6" t="str">
        <f t="shared" si="1283"/>
        <v>525-2025000609</v>
      </c>
      <c r="B4870" s="6" t="str">
        <f t="shared" si="1282"/>
        <v>Lasa Int</v>
      </c>
      <c r="C4870" s="7">
        <v>45996</v>
      </c>
      <c r="D4870" s="7">
        <v>46056</v>
      </c>
      <c r="E4870" s="8">
        <v>13</v>
      </c>
      <c r="F4870" s="6" t="str">
        <f t="shared" si="1284"/>
        <v>PURE R</v>
      </c>
      <c r="G4870" s="6" t="str">
        <f>"R120203038500000"</f>
        <v>R120203038500000</v>
      </c>
      <c r="H4870" s="6" t="str">
        <f>"R 2030 - Ketten PURE"</f>
        <v>R 2030 - Ketten PURE</v>
      </c>
      <c r="I4870" s="6" t="str">
        <f t="shared" si="1285"/>
        <v>2968</v>
      </c>
      <c r="J4870" s="6" t="str">
        <f t="shared" si="1286"/>
        <v>ROSA 2968</v>
      </c>
      <c r="K4870" s="6" t="str">
        <f>"5006"</f>
        <v>5006</v>
      </c>
      <c r="L4870" s="6" t="str">
        <f>"Roupões Adulto"</f>
        <v>Roupões Adulto</v>
      </c>
      <c r="M4870" s="6" t="str">
        <f>"L"</f>
        <v>L</v>
      </c>
      <c r="N4870" s="6" t="str">
        <f>"5605247636088"</f>
        <v>5605247636088</v>
      </c>
      <c r="O4870" s="8">
        <v>24</v>
      </c>
      <c r="P4870" s="7">
        <v>45996</v>
      </c>
      <c r="R4870" s="8">
        <v>0</v>
      </c>
      <c r="S4870" s="7">
        <v>46002</v>
      </c>
      <c r="U4870" s="8">
        <v>0</v>
      </c>
      <c r="V4870" s="7">
        <v>46013</v>
      </c>
      <c r="X4870" s="8">
        <v>0</v>
      </c>
      <c r="Z4870" s="8">
        <v>0</v>
      </c>
      <c r="AA4870" s="7">
        <v>46031</v>
      </c>
      <c r="AC4870" s="8">
        <v>0</v>
      </c>
      <c r="AE4870" s="7">
        <v>46056</v>
      </c>
      <c r="AF4870" s="8">
        <v>0</v>
      </c>
      <c r="AH4870" s="7">
        <v>46056</v>
      </c>
      <c r="AI4870" s="7">
        <v>46052</v>
      </c>
      <c r="AN4870" s="8">
        <v>0</v>
      </c>
      <c r="AO4870" s="8">
        <v>24</v>
      </c>
    </row>
    <row r="4871" spans="1:41" x14ac:dyDescent="0.25">
      <c r="A4871" s="6" t="str">
        <f t="shared" si="1283"/>
        <v>525-2025000609</v>
      </c>
      <c r="B4871" s="6" t="str">
        <f t="shared" si="1282"/>
        <v>Lasa Int</v>
      </c>
      <c r="C4871" s="7">
        <v>45996</v>
      </c>
      <c r="D4871" s="7">
        <v>46056</v>
      </c>
      <c r="E4871" s="8">
        <v>14</v>
      </c>
      <c r="F4871" s="6" t="str">
        <f t="shared" si="1284"/>
        <v>PURE R</v>
      </c>
      <c r="G4871" s="6" t="str">
        <f>"R120203038500000"</f>
        <v>R120203038500000</v>
      </c>
      <c r="H4871" s="6" t="str">
        <f>"R 2030 - Ketten PURE"</f>
        <v>R 2030 - Ketten PURE</v>
      </c>
      <c r="I4871" s="6" t="str">
        <f t="shared" si="1285"/>
        <v>2968</v>
      </c>
      <c r="J4871" s="6" t="str">
        <f t="shared" si="1286"/>
        <v>ROSA 2968</v>
      </c>
      <c r="K4871" s="6" t="str">
        <f>"5008"</f>
        <v>5008</v>
      </c>
      <c r="L4871" s="6" t="str">
        <f>"Roupões Adulto"</f>
        <v>Roupões Adulto</v>
      </c>
      <c r="M4871" s="6" t="str">
        <f>"XL"</f>
        <v>XL</v>
      </c>
      <c r="N4871" s="6" t="str">
        <f>"5605247636095"</f>
        <v>5605247636095</v>
      </c>
      <c r="O4871" s="8">
        <v>6</v>
      </c>
      <c r="P4871" s="7">
        <v>45996</v>
      </c>
      <c r="R4871" s="8">
        <v>0</v>
      </c>
      <c r="S4871" s="7">
        <v>46002</v>
      </c>
      <c r="U4871" s="8">
        <v>0</v>
      </c>
      <c r="V4871" s="7">
        <v>46013</v>
      </c>
      <c r="X4871" s="8">
        <v>0</v>
      </c>
      <c r="Z4871" s="8">
        <v>0</v>
      </c>
      <c r="AA4871" s="7">
        <v>46031</v>
      </c>
      <c r="AC4871" s="8">
        <v>0</v>
      </c>
      <c r="AE4871" s="7">
        <v>46056</v>
      </c>
      <c r="AF4871" s="8">
        <v>0</v>
      </c>
      <c r="AH4871" s="7">
        <v>46056</v>
      </c>
      <c r="AI4871" s="7">
        <v>46052</v>
      </c>
      <c r="AN4871" s="8">
        <v>0</v>
      </c>
      <c r="AO4871" s="8">
        <v>6</v>
      </c>
    </row>
    <row r="4872" spans="1:41" x14ac:dyDescent="0.25">
      <c r="A4872" s="6" t="str">
        <f>"525-2025000610"</f>
        <v>525-2025000610</v>
      </c>
      <c r="B4872" s="6" t="str">
        <f t="shared" si="1282"/>
        <v>Lasa Int</v>
      </c>
      <c r="C4872" s="7">
        <v>46000</v>
      </c>
      <c r="D4872" s="7">
        <v>46037</v>
      </c>
      <c r="E4872" s="8">
        <v>3</v>
      </c>
      <c r="F4872" s="6" t="str">
        <f>"Karat"</f>
        <v>Karat</v>
      </c>
      <c r="G4872" s="6" t="str">
        <f>"F110110840004936"</f>
        <v>F110110840004936</v>
      </c>
      <c r="H4872" s="6" t="str">
        <f>"FAJ 1108 / 4936 C -"</f>
        <v>FAJ 1108 / 4936 C -</v>
      </c>
      <c r="I4872" s="6" t="str">
        <f>"3"</f>
        <v>3</v>
      </c>
      <c r="J4872" s="6" t="str">
        <f>"PRETO Sulf"</f>
        <v>PRETO Sulf</v>
      </c>
      <c r="K4872" s="6" t="str">
        <f>"0820"</f>
        <v>0820</v>
      </c>
      <c r="L4872" s="6" t="str">
        <f>"Cozinha"</f>
        <v>Cozinha</v>
      </c>
      <c r="M4872" s="6" t="str">
        <f>"50x50"</f>
        <v>50x50</v>
      </c>
      <c r="N4872" s="6" t="str">
        <f>"5602972276077"</f>
        <v>5602972276077</v>
      </c>
      <c r="O4872" s="8">
        <v>200</v>
      </c>
      <c r="P4872" s="7">
        <v>46000</v>
      </c>
      <c r="R4872" s="8">
        <v>0</v>
      </c>
      <c r="U4872" s="8">
        <v>0</v>
      </c>
      <c r="X4872" s="8">
        <v>0</v>
      </c>
      <c r="Z4872" s="8">
        <v>0</v>
      </c>
      <c r="AC4872" s="8">
        <v>200</v>
      </c>
      <c r="AE4872" s="7">
        <v>46007</v>
      </c>
      <c r="AF4872" s="8">
        <v>200</v>
      </c>
      <c r="AH4872" s="7">
        <v>46010</v>
      </c>
      <c r="AN4872" s="8">
        <v>200</v>
      </c>
      <c r="AO4872" s="8">
        <v>0</v>
      </c>
    </row>
    <row r="4873" spans="1:41" x14ac:dyDescent="0.25">
      <c r="A4873" s="6" t="str">
        <f>"525-2025000610"</f>
        <v>525-2025000610</v>
      </c>
      <c r="B4873" s="6" t="str">
        <f t="shared" si="1282"/>
        <v>Lasa Int</v>
      </c>
      <c r="C4873" s="7">
        <v>46000</v>
      </c>
      <c r="D4873" s="7">
        <v>46037</v>
      </c>
      <c r="E4873" s="8">
        <v>4</v>
      </c>
      <c r="F4873" s="6" t="str">
        <f>"Karat"</f>
        <v>Karat</v>
      </c>
      <c r="G4873" s="6" t="str">
        <f>"F110117940004936"</f>
        <v>F110117940004936</v>
      </c>
      <c r="H4873" s="6" t="str">
        <f>"FAJ 1179 / 4936 C -"</f>
        <v>FAJ 1179 / 4936 C -</v>
      </c>
      <c r="I4873" s="6" t="str">
        <f>"3"</f>
        <v>3</v>
      </c>
      <c r="J4873" s="6" t="str">
        <f>"PRETO Sulf"</f>
        <v>PRETO Sulf</v>
      </c>
      <c r="K4873" s="6" t="str">
        <f>"0820"</f>
        <v>0820</v>
      </c>
      <c r="L4873" s="6" t="str">
        <f>"Cozinha"</f>
        <v>Cozinha</v>
      </c>
      <c r="M4873" s="6" t="str">
        <f>"50x50"</f>
        <v>50x50</v>
      </c>
      <c r="N4873" s="6" t="str">
        <f>"5602972277791"</f>
        <v>5602972277791</v>
      </c>
      <c r="O4873" s="8">
        <v>200</v>
      </c>
      <c r="P4873" s="7">
        <v>46000</v>
      </c>
      <c r="R4873" s="8">
        <v>0</v>
      </c>
      <c r="U4873" s="8">
        <v>0</v>
      </c>
      <c r="X4873" s="8">
        <v>0</v>
      </c>
      <c r="Z4873" s="8">
        <v>0</v>
      </c>
      <c r="AC4873" s="8">
        <v>200</v>
      </c>
      <c r="AE4873" s="7">
        <v>46007</v>
      </c>
      <c r="AF4873" s="8">
        <v>200</v>
      </c>
      <c r="AH4873" s="7">
        <v>46010</v>
      </c>
      <c r="AN4873" s="8">
        <v>200</v>
      </c>
      <c r="AO4873" s="8">
        <v>0</v>
      </c>
    </row>
    <row r="4874" spans="1:41" x14ac:dyDescent="0.25">
      <c r="A4874" s="6" t="str">
        <f>"525-2025000610"</f>
        <v>525-2025000610</v>
      </c>
      <c r="B4874" s="6" t="str">
        <f t="shared" si="1282"/>
        <v>Lasa Int</v>
      </c>
      <c r="C4874" s="7">
        <v>46000</v>
      </c>
      <c r="D4874" s="7">
        <v>46037</v>
      </c>
      <c r="E4874" s="8">
        <v>5</v>
      </c>
      <c r="F4874" s="6" t="str">
        <f>"Karat"</f>
        <v>Karat</v>
      </c>
      <c r="G4874" s="6" t="str">
        <f>"F100021455004936"</f>
        <v>F100021455004936</v>
      </c>
      <c r="H4874" s="6" t="str">
        <f>"FA 214 / 4936 - Kara"</f>
        <v>FA 214 / 4936 - Kara</v>
      </c>
      <c r="I4874" s="6" t="str">
        <f>"1"</f>
        <v>1</v>
      </c>
      <c r="J4874" s="6" t="str">
        <f>"BRANCO"</f>
        <v>BRANCO</v>
      </c>
      <c r="K4874" s="6" t="str">
        <f>"2020"</f>
        <v>2020</v>
      </c>
      <c r="L4874" s="6" t="str">
        <f>"Lençóis"</f>
        <v>Lençóis</v>
      </c>
      <c r="M4874" s="6" t="str">
        <f>"100x150"</f>
        <v>100x150</v>
      </c>
      <c r="N4874" s="6" t="str">
        <f>"5602972275292"</f>
        <v>5602972275292</v>
      </c>
      <c r="O4874" s="8">
        <v>60</v>
      </c>
      <c r="P4874" s="7">
        <v>46000</v>
      </c>
      <c r="R4874" s="8">
        <v>0</v>
      </c>
      <c r="U4874" s="8">
        <v>0</v>
      </c>
      <c r="X4874" s="8">
        <v>0</v>
      </c>
      <c r="Z4874" s="8">
        <v>0</v>
      </c>
      <c r="AC4874" s="8">
        <v>60</v>
      </c>
      <c r="AE4874" s="7">
        <v>46007</v>
      </c>
      <c r="AF4874" s="8">
        <v>60</v>
      </c>
      <c r="AH4874" s="7">
        <v>46010</v>
      </c>
      <c r="AN4874" s="8">
        <v>60</v>
      </c>
      <c r="AO4874" s="8">
        <v>0</v>
      </c>
    </row>
    <row r="4875" spans="1:41" x14ac:dyDescent="0.25">
      <c r="A4875" s="6" t="str">
        <f>"525-2025000610"</f>
        <v>525-2025000610</v>
      </c>
      <c r="B4875" s="6" t="str">
        <f t="shared" si="1282"/>
        <v>Lasa Int</v>
      </c>
      <c r="C4875" s="7">
        <v>46000</v>
      </c>
      <c r="D4875" s="7">
        <v>46037</v>
      </c>
      <c r="E4875" s="8">
        <v>6</v>
      </c>
      <c r="F4875" s="6" t="str">
        <f>"Karat"</f>
        <v>Karat</v>
      </c>
      <c r="G4875" s="6" t="str">
        <f>"F100021455004936"</f>
        <v>F100021455004936</v>
      </c>
      <c r="H4875" s="6" t="str">
        <f>"FA 214 / 4936 - Kara"</f>
        <v>FA 214 / 4936 - Kara</v>
      </c>
      <c r="I4875" s="6" t="str">
        <f>"1"</f>
        <v>1</v>
      </c>
      <c r="J4875" s="6" t="str">
        <f>"BRANCO"</f>
        <v>BRANCO</v>
      </c>
      <c r="K4875" s="6" t="str">
        <f>"1024"</f>
        <v>1024</v>
      </c>
      <c r="L4875" s="6" t="str">
        <f>"Toalhas"</f>
        <v>Toalhas</v>
      </c>
      <c r="M4875" s="6" t="str">
        <f>"50x100"</f>
        <v>50x100</v>
      </c>
      <c r="N4875" s="6" t="str">
        <f>"5602972275315"</f>
        <v>5602972275315</v>
      </c>
      <c r="O4875" s="8">
        <v>200</v>
      </c>
      <c r="P4875" s="7">
        <v>46000</v>
      </c>
      <c r="R4875" s="8">
        <v>0</v>
      </c>
      <c r="U4875" s="8">
        <v>0</v>
      </c>
      <c r="X4875" s="8">
        <v>0</v>
      </c>
      <c r="Z4875" s="8">
        <v>0</v>
      </c>
      <c r="AC4875" s="8">
        <v>200</v>
      </c>
      <c r="AE4875" s="7">
        <v>46007</v>
      </c>
      <c r="AF4875" s="8">
        <v>200</v>
      </c>
      <c r="AH4875" s="7">
        <v>46010</v>
      </c>
      <c r="AN4875" s="8">
        <v>200</v>
      </c>
      <c r="AO4875" s="8">
        <v>0</v>
      </c>
    </row>
    <row r="4876" spans="1:41" x14ac:dyDescent="0.25">
      <c r="A4876" s="6" t="str">
        <f t="shared" ref="A4876:A4886" si="1290">"525-2025000611"</f>
        <v>525-2025000611</v>
      </c>
      <c r="B4876" s="6" t="str">
        <f t="shared" si="1282"/>
        <v>Lasa Int</v>
      </c>
      <c r="C4876" s="7">
        <v>46001</v>
      </c>
      <c r="D4876" s="7">
        <v>46058</v>
      </c>
      <c r="E4876" s="8">
        <v>1</v>
      </c>
      <c r="F4876" s="6" t="str">
        <f t="shared" ref="F4876:F4886" si="1291">"PURE R"</f>
        <v>PURE R</v>
      </c>
      <c r="G4876" s="6" t="str">
        <f>"K018000135000000"</f>
        <v>K018000135000000</v>
      </c>
      <c r="H4876" s="6" t="str">
        <f>"Chinelos - LI - 350"</f>
        <v>Chinelos - LI - 350</v>
      </c>
      <c r="I4876" s="6" t="str">
        <f t="shared" ref="I4876:I4886" si="1292">"3235"</f>
        <v>3235</v>
      </c>
      <c r="J4876" s="6" t="str">
        <f t="shared" ref="J4876:J4886" si="1293">"CINZA 3235"</f>
        <v>CINZA 3235</v>
      </c>
      <c r="K4876" s="6" t="str">
        <f>"4808"</f>
        <v>4808</v>
      </c>
      <c r="L4876" s="6" t="str">
        <f>"Chinelos"</f>
        <v>Chinelos</v>
      </c>
      <c r="M4876" s="6" t="str">
        <f>"38"</f>
        <v>38</v>
      </c>
      <c r="N4876" s="6" t="str">
        <f>"5602972724295"</f>
        <v>5602972724295</v>
      </c>
      <c r="O4876" s="8">
        <v>60</v>
      </c>
      <c r="P4876" s="7">
        <v>46001</v>
      </c>
      <c r="R4876" s="8">
        <v>0</v>
      </c>
      <c r="S4876" s="7">
        <v>46006</v>
      </c>
      <c r="U4876" s="8">
        <v>0</v>
      </c>
      <c r="V4876" s="7">
        <v>46020</v>
      </c>
      <c r="X4876" s="8">
        <v>0</v>
      </c>
      <c r="Z4876" s="8">
        <v>0</v>
      </c>
      <c r="AA4876" s="7">
        <v>46035</v>
      </c>
      <c r="AC4876" s="8">
        <v>0</v>
      </c>
      <c r="AE4876" s="7">
        <v>46058</v>
      </c>
      <c r="AF4876" s="8">
        <v>0</v>
      </c>
      <c r="AH4876" s="7">
        <v>46058</v>
      </c>
      <c r="AI4876" s="7">
        <v>46056</v>
      </c>
      <c r="AN4876" s="8">
        <v>0</v>
      </c>
      <c r="AO4876" s="8">
        <v>60</v>
      </c>
    </row>
    <row r="4877" spans="1:41" x14ac:dyDescent="0.25">
      <c r="A4877" s="6" t="str">
        <f t="shared" si="1290"/>
        <v>525-2025000611</v>
      </c>
      <c r="B4877" s="6" t="str">
        <f t="shared" si="1282"/>
        <v>Lasa Int</v>
      </c>
      <c r="C4877" s="7">
        <v>46001</v>
      </c>
      <c r="D4877" s="7">
        <v>46058</v>
      </c>
      <c r="E4877" s="8">
        <v>2</v>
      </c>
      <c r="F4877" s="6" t="str">
        <f t="shared" si="1291"/>
        <v>PURE R</v>
      </c>
      <c r="G4877" s="6" t="str">
        <f>"R010000635000000"</f>
        <v>R010000635000000</v>
      </c>
      <c r="H4877" s="6" t="str">
        <f>"Alexis Cotoral Pure"</f>
        <v>Alexis Cotoral Pure</v>
      </c>
      <c r="I4877" s="6" t="str">
        <f t="shared" si="1292"/>
        <v>3235</v>
      </c>
      <c r="J4877" s="6" t="str">
        <f t="shared" si="1293"/>
        <v>CINZA 3235</v>
      </c>
      <c r="K4877" s="6" t="str">
        <f>"5002"</f>
        <v>5002</v>
      </c>
      <c r="L4877" s="6" t="str">
        <f t="shared" ref="L4877:L4886" si="1294">"Roupões Adulto"</f>
        <v>Roupões Adulto</v>
      </c>
      <c r="M4877" s="6" t="str">
        <f>"S"</f>
        <v>S</v>
      </c>
      <c r="N4877" s="6" t="str">
        <f>"5602972722406"</f>
        <v>5602972722406</v>
      </c>
      <c r="O4877" s="8">
        <v>24</v>
      </c>
      <c r="P4877" s="7">
        <v>46001</v>
      </c>
      <c r="R4877" s="8">
        <v>0</v>
      </c>
      <c r="S4877" s="7">
        <v>46006</v>
      </c>
      <c r="U4877" s="8">
        <v>810</v>
      </c>
      <c r="V4877" s="7">
        <v>46020</v>
      </c>
      <c r="X4877" s="8">
        <v>810</v>
      </c>
      <c r="Z4877" s="8">
        <v>0</v>
      </c>
      <c r="AA4877" s="7">
        <v>46035</v>
      </c>
      <c r="AC4877" s="8">
        <v>0</v>
      </c>
      <c r="AE4877" s="7">
        <v>46058</v>
      </c>
      <c r="AF4877" s="8">
        <v>0</v>
      </c>
      <c r="AH4877" s="7">
        <v>46058</v>
      </c>
      <c r="AI4877" s="7">
        <v>46056</v>
      </c>
      <c r="AN4877" s="8">
        <v>0</v>
      </c>
      <c r="AO4877" s="8">
        <v>24</v>
      </c>
    </row>
    <row r="4878" spans="1:41" x14ac:dyDescent="0.25">
      <c r="A4878" s="6" t="str">
        <f t="shared" si="1290"/>
        <v>525-2025000611</v>
      </c>
      <c r="B4878" s="6" t="str">
        <f t="shared" si="1282"/>
        <v>Lasa Int</v>
      </c>
      <c r="C4878" s="7">
        <v>46001</v>
      </c>
      <c r="D4878" s="7">
        <v>46058</v>
      </c>
      <c r="E4878" s="8">
        <v>3</v>
      </c>
      <c r="F4878" s="6" t="str">
        <f t="shared" si="1291"/>
        <v>PURE R</v>
      </c>
      <c r="G4878" s="6" t="str">
        <f>"R010000635000000"</f>
        <v>R010000635000000</v>
      </c>
      <c r="H4878" s="6" t="str">
        <f>"Alexis Cotoral Pure"</f>
        <v>Alexis Cotoral Pure</v>
      </c>
      <c r="I4878" s="6" t="str">
        <f t="shared" si="1292"/>
        <v>3235</v>
      </c>
      <c r="J4878" s="6" t="str">
        <f t="shared" si="1293"/>
        <v>CINZA 3235</v>
      </c>
      <c r="K4878" s="6" t="str">
        <f>"5004"</f>
        <v>5004</v>
      </c>
      <c r="L4878" s="6" t="str">
        <f t="shared" si="1294"/>
        <v>Roupões Adulto</v>
      </c>
      <c r="M4878" s="6" t="str">
        <f>"M"</f>
        <v>M</v>
      </c>
      <c r="N4878" s="6" t="str">
        <f>"5602972722413"</f>
        <v>5602972722413</v>
      </c>
      <c r="O4878" s="8">
        <v>48</v>
      </c>
      <c r="P4878" s="7">
        <v>46001</v>
      </c>
      <c r="R4878" s="8">
        <v>0</v>
      </c>
      <c r="S4878" s="7">
        <v>46006</v>
      </c>
      <c r="U4878" s="8">
        <v>0</v>
      </c>
      <c r="V4878" s="7">
        <v>46020</v>
      </c>
      <c r="X4878" s="8">
        <v>0</v>
      </c>
      <c r="Z4878" s="8">
        <v>0</v>
      </c>
      <c r="AA4878" s="7">
        <v>46035</v>
      </c>
      <c r="AC4878" s="8">
        <v>0</v>
      </c>
      <c r="AE4878" s="7">
        <v>46058</v>
      </c>
      <c r="AF4878" s="8">
        <v>0</v>
      </c>
      <c r="AH4878" s="7">
        <v>46058</v>
      </c>
      <c r="AI4878" s="7">
        <v>46056</v>
      </c>
      <c r="AN4878" s="8">
        <v>0</v>
      </c>
      <c r="AO4878" s="8">
        <v>48</v>
      </c>
    </row>
    <row r="4879" spans="1:41" x14ac:dyDescent="0.25">
      <c r="A4879" s="6" t="str">
        <f t="shared" si="1290"/>
        <v>525-2025000611</v>
      </c>
      <c r="B4879" s="6" t="str">
        <f t="shared" si="1282"/>
        <v>Lasa Int</v>
      </c>
      <c r="C4879" s="7">
        <v>46001</v>
      </c>
      <c r="D4879" s="7">
        <v>46058</v>
      </c>
      <c r="E4879" s="8">
        <v>4</v>
      </c>
      <c r="F4879" s="6" t="str">
        <f t="shared" si="1291"/>
        <v>PURE R</v>
      </c>
      <c r="G4879" s="6" t="str">
        <f>"R010000635000000"</f>
        <v>R010000635000000</v>
      </c>
      <c r="H4879" s="6" t="str">
        <f>"Alexis Cotoral Pure"</f>
        <v>Alexis Cotoral Pure</v>
      </c>
      <c r="I4879" s="6" t="str">
        <f t="shared" si="1292"/>
        <v>3235</v>
      </c>
      <c r="J4879" s="6" t="str">
        <f t="shared" si="1293"/>
        <v>CINZA 3235</v>
      </c>
      <c r="K4879" s="6" t="str">
        <f>"5006"</f>
        <v>5006</v>
      </c>
      <c r="L4879" s="6" t="str">
        <f t="shared" si="1294"/>
        <v>Roupões Adulto</v>
      </c>
      <c r="M4879" s="6" t="str">
        <f>"L"</f>
        <v>L</v>
      </c>
      <c r="N4879" s="6" t="str">
        <f>"5602972722420"</f>
        <v>5602972722420</v>
      </c>
      <c r="O4879" s="8">
        <v>60</v>
      </c>
      <c r="P4879" s="7">
        <v>46001</v>
      </c>
      <c r="R4879" s="8">
        <v>0</v>
      </c>
      <c r="S4879" s="7">
        <v>46006</v>
      </c>
      <c r="U4879" s="8">
        <v>0</v>
      </c>
      <c r="V4879" s="7">
        <v>46020</v>
      </c>
      <c r="X4879" s="8">
        <v>0</v>
      </c>
      <c r="Z4879" s="8">
        <v>0</v>
      </c>
      <c r="AA4879" s="7">
        <v>46035</v>
      </c>
      <c r="AC4879" s="8">
        <v>0</v>
      </c>
      <c r="AE4879" s="7">
        <v>46058</v>
      </c>
      <c r="AF4879" s="8">
        <v>0</v>
      </c>
      <c r="AH4879" s="7">
        <v>46058</v>
      </c>
      <c r="AI4879" s="7">
        <v>46056</v>
      </c>
      <c r="AN4879" s="8">
        <v>0</v>
      </c>
      <c r="AO4879" s="8">
        <v>60</v>
      </c>
    </row>
    <row r="4880" spans="1:41" x14ac:dyDescent="0.25">
      <c r="A4880" s="6" t="str">
        <f t="shared" si="1290"/>
        <v>525-2025000611</v>
      </c>
      <c r="B4880" s="6" t="str">
        <f t="shared" si="1282"/>
        <v>Lasa Int</v>
      </c>
      <c r="C4880" s="7">
        <v>46001</v>
      </c>
      <c r="D4880" s="7">
        <v>46058</v>
      </c>
      <c r="E4880" s="8">
        <v>5</v>
      </c>
      <c r="F4880" s="6" t="str">
        <f t="shared" si="1291"/>
        <v>PURE R</v>
      </c>
      <c r="G4880" s="6" t="str">
        <f>"R010000635000000"</f>
        <v>R010000635000000</v>
      </c>
      <c r="H4880" s="6" t="str">
        <f>"Alexis Cotoral Pure"</f>
        <v>Alexis Cotoral Pure</v>
      </c>
      <c r="I4880" s="6" t="str">
        <f t="shared" si="1292"/>
        <v>3235</v>
      </c>
      <c r="J4880" s="6" t="str">
        <f t="shared" si="1293"/>
        <v>CINZA 3235</v>
      </c>
      <c r="K4880" s="6" t="str">
        <f>"5008"</f>
        <v>5008</v>
      </c>
      <c r="L4880" s="6" t="str">
        <f t="shared" si="1294"/>
        <v>Roupões Adulto</v>
      </c>
      <c r="M4880" s="6" t="str">
        <f>"XL"</f>
        <v>XL</v>
      </c>
      <c r="N4880" s="6" t="str">
        <f>"5602972722437"</f>
        <v>5602972722437</v>
      </c>
      <c r="O4880" s="8">
        <v>36</v>
      </c>
      <c r="P4880" s="7">
        <v>46001</v>
      </c>
      <c r="R4880" s="8">
        <v>0</v>
      </c>
      <c r="S4880" s="7">
        <v>46006</v>
      </c>
      <c r="U4880" s="8">
        <v>0</v>
      </c>
      <c r="V4880" s="7">
        <v>46020</v>
      </c>
      <c r="X4880" s="8">
        <v>0</v>
      </c>
      <c r="Z4880" s="8">
        <v>0</v>
      </c>
      <c r="AA4880" s="7">
        <v>46035</v>
      </c>
      <c r="AC4880" s="8">
        <v>0</v>
      </c>
      <c r="AE4880" s="7">
        <v>46058</v>
      </c>
      <c r="AF4880" s="8">
        <v>0</v>
      </c>
      <c r="AH4880" s="7">
        <v>46058</v>
      </c>
      <c r="AI4880" s="7">
        <v>46056</v>
      </c>
      <c r="AN4880" s="8">
        <v>0</v>
      </c>
      <c r="AO4880" s="8">
        <v>36</v>
      </c>
    </row>
    <row r="4881" spans="1:41" x14ac:dyDescent="0.25">
      <c r="A4881" s="6" t="str">
        <f t="shared" si="1290"/>
        <v>525-2025000611</v>
      </c>
      <c r="B4881" s="6" t="str">
        <f t="shared" si="1282"/>
        <v>Lasa Int</v>
      </c>
      <c r="C4881" s="7">
        <v>46001</v>
      </c>
      <c r="D4881" s="7">
        <v>46058</v>
      </c>
      <c r="E4881" s="8">
        <v>6</v>
      </c>
      <c r="F4881" s="6" t="str">
        <f t="shared" si="1291"/>
        <v>PURE R</v>
      </c>
      <c r="G4881" s="6" t="str">
        <f>"R120203038500000"</f>
        <v>R120203038500000</v>
      </c>
      <c r="H4881" s="6" t="str">
        <f>"R 2030 - Ketten PURE"</f>
        <v>R 2030 - Ketten PURE</v>
      </c>
      <c r="I4881" s="6" t="str">
        <f t="shared" si="1292"/>
        <v>3235</v>
      </c>
      <c r="J4881" s="6" t="str">
        <f t="shared" si="1293"/>
        <v>CINZA 3235</v>
      </c>
      <c r="K4881" s="6" t="str">
        <f>"5006"</f>
        <v>5006</v>
      </c>
      <c r="L4881" s="6" t="str">
        <f t="shared" si="1294"/>
        <v>Roupões Adulto</v>
      </c>
      <c r="M4881" s="6" t="str">
        <f>"L"</f>
        <v>L</v>
      </c>
      <c r="N4881" s="6" t="str">
        <f>"5605247636026"</f>
        <v>5605247636026</v>
      </c>
      <c r="O4881" s="8">
        <v>12</v>
      </c>
      <c r="P4881" s="7">
        <v>46001</v>
      </c>
      <c r="R4881" s="8">
        <v>0</v>
      </c>
      <c r="S4881" s="7">
        <v>46006</v>
      </c>
      <c r="U4881" s="8">
        <v>0</v>
      </c>
      <c r="V4881" s="7">
        <v>46020</v>
      </c>
      <c r="X4881" s="8">
        <v>0</v>
      </c>
      <c r="Z4881" s="8">
        <v>0</v>
      </c>
      <c r="AA4881" s="7">
        <v>46035</v>
      </c>
      <c r="AC4881" s="8">
        <v>0</v>
      </c>
      <c r="AE4881" s="7">
        <v>46058</v>
      </c>
      <c r="AF4881" s="8">
        <v>0</v>
      </c>
      <c r="AH4881" s="7">
        <v>46058</v>
      </c>
      <c r="AI4881" s="7">
        <v>46056</v>
      </c>
      <c r="AN4881" s="8">
        <v>0</v>
      </c>
      <c r="AO4881" s="8">
        <v>12</v>
      </c>
    </row>
    <row r="4882" spans="1:41" x14ac:dyDescent="0.25">
      <c r="A4882" s="6" t="str">
        <f t="shared" si="1290"/>
        <v>525-2025000611</v>
      </c>
      <c r="B4882" s="6" t="str">
        <f t="shared" si="1282"/>
        <v>Lasa Int</v>
      </c>
      <c r="C4882" s="7">
        <v>46001</v>
      </c>
      <c r="D4882" s="7">
        <v>46058</v>
      </c>
      <c r="E4882" s="8">
        <v>7</v>
      </c>
      <c r="F4882" s="6" t="str">
        <f t="shared" si="1291"/>
        <v>PURE R</v>
      </c>
      <c r="G4882" s="6" t="str">
        <f>"R120203038500000"</f>
        <v>R120203038500000</v>
      </c>
      <c r="H4882" s="6" t="str">
        <f>"R 2030 - Ketten PURE"</f>
        <v>R 2030 - Ketten PURE</v>
      </c>
      <c r="I4882" s="6" t="str">
        <f t="shared" si="1292"/>
        <v>3235</v>
      </c>
      <c r="J4882" s="6" t="str">
        <f t="shared" si="1293"/>
        <v>CINZA 3235</v>
      </c>
      <c r="K4882" s="6" t="str">
        <f>"5008"</f>
        <v>5008</v>
      </c>
      <c r="L4882" s="6" t="str">
        <f t="shared" si="1294"/>
        <v>Roupões Adulto</v>
      </c>
      <c r="M4882" s="6" t="str">
        <f>"XL"</f>
        <v>XL</v>
      </c>
      <c r="N4882" s="6" t="str">
        <f>"5605247636033"</f>
        <v>5605247636033</v>
      </c>
      <c r="O4882" s="8">
        <v>12</v>
      </c>
      <c r="P4882" s="7">
        <v>46001</v>
      </c>
      <c r="R4882" s="8">
        <v>0</v>
      </c>
      <c r="S4882" s="7">
        <v>46006</v>
      </c>
      <c r="U4882" s="8">
        <v>0</v>
      </c>
      <c r="V4882" s="7">
        <v>46020</v>
      </c>
      <c r="X4882" s="8">
        <v>0</v>
      </c>
      <c r="Z4882" s="8">
        <v>0</v>
      </c>
      <c r="AA4882" s="7">
        <v>46035</v>
      </c>
      <c r="AC4882" s="8">
        <v>0</v>
      </c>
      <c r="AE4882" s="7">
        <v>46058</v>
      </c>
      <c r="AF4882" s="8">
        <v>0</v>
      </c>
      <c r="AH4882" s="7">
        <v>46058</v>
      </c>
      <c r="AI4882" s="7">
        <v>46056</v>
      </c>
      <c r="AN4882" s="8">
        <v>0</v>
      </c>
      <c r="AO4882" s="8">
        <v>12</v>
      </c>
    </row>
    <row r="4883" spans="1:41" x14ac:dyDescent="0.25">
      <c r="A4883" s="6" t="str">
        <f t="shared" si="1290"/>
        <v>525-2025000611</v>
      </c>
      <c r="B4883" s="6" t="str">
        <f t="shared" si="1282"/>
        <v>Lasa Int</v>
      </c>
      <c r="C4883" s="7">
        <v>46001</v>
      </c>
      <c r="D4883" s="7">
        <v>46058</v>
      </c>
      <c r="E4883" s="8">
        <v>8</v>
      </c>
      <c r="F4883" s="6" t="str">
        <f t="shared" si="1291"/>
        <v>PURE R</v>
      </c>
      <c r="G4883" s="6" t="str">
        <f>"R120203038500000"</f>
        <v>R120203038500000</v>
      </c>
      <c r="H4883" s="6" t="str">
        <f>"R 2030 - Ketten PURE"</f>
        <v>R 2030 - Ketten PURE</v>
      </c>
      <c r="I4883" s="6" t="str">
        <f t="shared" si="1292"/>
        <v>3235</v>
      </c>
      <c r="J4883" s="6" t="str">
        <f t="shared" si="1293"/>
        <v>CINZA 3235</v>
      </c>
      <c r="K4883" s="6" t="str">
        <f>"5010"</f>
        <v>5010</v>
      </c>
      <c r="L4883" s="6" t="str">
        <f t="shared" si="1294"/>
        <v>Roupões Adulto</v>
      </c>
      <c r="M4883" s="6" t="str">
        <f>"XXL"</f>
        <v>XXL</v>
      </c>
      <c r="N4883" s="6" t="str">
        <f>"5605247636040"</f>
        <v>5605247636040</v>
      </c>
      <c r="O4883" s="8">
        <v>12</v>
      </c>
      <c r="P4883" s="7">
        <v>46001</v>
      </c>
      <c r="R4883" s="8">
        <v>0</v>
      </c>
      <c r="S4883" s="7">
        <v>46006</v>
      </c>
      <c r="U4883" s="8">
        <v>0</v>
      </c>
      <c r="V4883" s="7">
        <v>46020</v>
      </c>
      <c r="X4883" s="8">
        <v>0</v>
      </c>
      <c r="Z4883" s="8">
        <v>0</v>
      </c>
      <c r="AA4883" s="7">
        <v>46035</v>
      </c>
      <c r="AC4883" s="8">
        <v>0</v>
      </c>
      <c r="AE4883" s="7">
        <v>46058</v>
      </c>
      <c r="AF4883" s="8">
        <v>0</v>
      </c>
      <c r="AH4883" s="7">
        <v>46058</v>
      </c>
      <c r="AI4883" s="7">
        <v>46056</v>
      </c>
      <c r="AN4883" s="8">
        <v>0</v>
      </c>
      <c r="AO4883" s="8">
        <v>12</v>
      </c>
    </row>
    <row r="4884" spans="1:41" x14ac:dyDescent="0.25">
      <c r="A4884" s="6" t="str">
        <f t="shared" si="1290"/>
        <v>525-2025000611</v>
      </c>
      <c r="B4884" s="6" t="str">
        <f t="shared" ref="B4884:B4915" si="1295">"Lasa Int"</f>
        <v>Lasa Int</v>
      </c>
      <c r="C4884" s="7">
        <v>46001</v>
      </c>
      <c r="D4884" s="7">
        <v>46058</v>
      </c>
      <c r="E4884" s="8">
        <v>9</v>
      </c>
      <c r="F4884" s="6" t="str">
        <f t="shared" si="1291"/>
        <v>PURE R</v>
      </c>
      <c r="G4884" s="6" t="str">
        <f>"R120327038500000"</f>
        <v>R120327038500000</v>
      </c>
      <c r="H4884" s="6" t="str">
        <f>"R 3270 - PURE Capuz"</f>
        <v>R 3270 - PURE Capuz</v>
      </c>
      <c r="I4884" s="6" t="str">
        <f t="shared" si="1292"/>
        <v>3235</v>
      </c>
      <c r="J4884" s="6" t="str">
        <f t="shared" si="1293"/>
        <v>CINZA 3235</v>
      </c>
      <c r="K4884" s="6" t="str">
        <f>"5002"</f>
        <v>5002</v>
      </c>
      <c r="L4884" s="6" t="str">
        <f t="shared" si="1294"/>
        <v>Roupões Adulto</v>
      </c>
      <c r="M4884" s="6" t="str">
        <f>"S"</f>
        <v>S</v>
      </c>
      <c r="N4884" s="6" t="str">
        <f>"5602972645507"</f>
        <v>5602972645507</v>
      </c>
      <c r="O4884" s="8">
        <v>24</v>
      </c>
      <c r="P4884" s="7">
        <v>46001</v>
      </c>
      <c r="R4884" s="8">
        <v>0</v>
      </c>
      <c r="S4884" s="7">
        <v>46006</v>
      </c>
      <c r="U4884" s="8">
        <v>0</v>
      </c>
      <c r="V4884" s="7">
        <v>46020</v>
      </c>
      <c r="X4884" s="8">
        <v>0</v>
      </c>
      <c r="Z4884" s="8">
        <v>0</v>
      </c>
      <c r="AA4884" s="7">
        <v>46035</v>
      </c>
      <c r="AC4884" s="8">
        <v>0</v>
      </c>
      <c r="AE4884" s="7">
        <v>46058</v>
      </c>
      <c r="AF4884" s="8">
        <v>0</v>
      </c>
      <c r="AH4884" s="7">
        <v>46058</v>
      </c>
      <c r="AI4884" s="7">
        <v>46056</v>
      </c>
      <c r="AN4884" s="8">
        <v>0</v>
      </c>
      <c r="AO4884" s="8">
        <v>24</v>
      </c>
    </row>
    <row r="4885" spans="1:41" x14ac:dyDescent="0.25">
      <c r="A4885" s="6" t="str">
        <f t="shared" si="1290"/>
        <v>525-2025000611</v>
      </c>
      <c r="B4885" s="6" t="str">
        <f t="shared" si="1295"/>
        <v>Lasa Int</v>
      </c>
      <c r="C4885" s="7">
        <v>46001</v>
      </c>
      <c r="D4885" s="7">
        <v>46058</v>
      </c>
      <c r="E4885" s="8">
        <v>10</v>
      </c>
      <c r="F4885" s="6" t="str">
        <f t="shared" si="1291"/>
        <v>PURE R</v>
      </c>
      <c r="G4885" s="6" t="str">
        <f>"R120327038500000"</f>
        <v>R120327038500000</v>
      </c>
      <c r="H4885" s="6" t="str">
        <f>"R 3270 - PURE Capuz"</f>
        <v>R 3270 - PURE Capuz</v>
      </c>
      <c r="I4885" s="6" t="str">
        <f t="shared" si="1292"/>
        <v>3235</v>
      </c>
      <c r="J4885" s="6" t="str">
        <f t="shared" si="1293"/>
        <v>CINZA 3235</v>
      </c>
      <c r="K4885" s="6" t="str">
        <f>"5006"</f>
        <v>5006</v>
      </c>
      <c r="L4885" s="6" t="str">
        <f t="shared" si="1294"/>
        <v>Roupões Adulto</v>
      </c>
      <c r="M4885" s="6" t="str">
        <f>"L"</f>
        <v>L</v>
      </c>
      <c r="N4885" s="6" t="str">
        <f>"5602972645521"</f>
        <v>5602972645521</v>
      </c>
      <c r="O4885" s="8">
        <v>12</v>
      </c>
      <c r="P4885" s="7">
        <v>46001</v>
      </c>
      <c r="R4885" s="8">
        <v>0</v>
      </c>
      <c r="S4885" s="7">
        <v>46006</v>
      </c>
      <c r="U4885" s="8">
        <v>0</v>
      </c>
      <c r="V4885" s="7">
        <v>46020</v>
      </c>
      <c r="X4885" s="8">
        <v>0</v>
      </c>
      <c r="Z4885" s="8">
        <v>0</v>
      </c>
      <c r="AA4885" s="7">
        <v>46035</v>
      </c>
      <c r="AC4885" s="8">
        <v>0</v>
      </c>
      <c r="AE4885" s="7">
        <v>46058</v>
      </c>
      <c r="AF4885" s="8">
        <v>0</v>
      </c>
      <c r="AH4885" s="7">
        <v>46058</v>
      </c>
      <c r="AI4885" s="7">
        <v>46056</v>
      </c>
      <c r="AN4885" s="8">
        <v>0</v>
      </c>
      <c r="AO4885" s="8">
        <v>12</v>
      </c>
    </row>
    <row r="4886" spans="1:41" x14ac:dyDescent="0.25">
      <c r="A4886" s="6" t="str">
        <f t="shared" si="1290"/>
        <v>525-2025000611</v>
      </c>
      <c r="B4886" s="6" t="str">
        <f t="shared" si="1295"/>
        <v>Lasa Int</v>
      </c>
      <c r="C4886" s="7">
        <v>46001</v>
      </c>
      <c r="D4886" s="7">
        <v>46058</v>
      </c>
      <c r="E4886" s="8">
        <v>11</v>
      </c>
      <c r="F4886" s="6" t="str">
        <f t="shared" si="1291"/>
        <v>PURE R</v>
      </c>
      <c r="G4886" s="6" t="str">
        <f>"R120327038500000"</f>
        <v>R120327038500000</v>
      </c>
      <c r="H4886" s="6" t="str">
        <f>"R 3270 - PURE Capuz"</f>
        <v>R 3270 - PURE Capuz</v>
      </c>
      <c r="I4886" s="6" t="str">
        <f t="shared" si="1292"/>
        <v>3235</v>
      </c>
      <c r="J4886" s="6" t="str">
        <f t="shared" si="1293"/>
        <v>CINZA 3235</v>
      </c>
      <c r="K4886" s="6" t="str">
        <f>"5008"</f>
        <v>5008</v>
      </c>
      <c r="L4886" s="6" t="str">
        <f t="shared" si="1294"/>
        <v>Roupões Adulto</v>
      </c>
      <c r="M4886" s="6" t="str">
        <f>"XL"</f>
        <v>XL</v>
      </c>
      <c r="N4886" s="6" t="str">
        <f>"5602972645538"</f>
        <v>5602972645538</v>
      </c>
      <c r="O4886" s="8">
        <v>24</v>
      </c>
      <c r="P4886" s="7">
        <v>46001</v>
      </c>
      <c r="R4886" s="8">
        <v>0</v>
      </c>
      <c r="S4886" s="7">
        <v>46006</v>
      </c>
      <c r="U4886" s="8">
        <v>0</v>
      </c>
      <c r="V4886" s="7">
        <v>46020</v>
      </c>
      <c r="X4886" s="8">
        <v>0</v>
      </c>
      <c r="Z4886" s="8">
        <v>0</v>
      </c>
      <c r="AA4886" s="7">
        <v>46035</v>
      </c>
      <c r="AC4886" s="8">
        <v>0</v>
      </c>
      <c r="AE4886" s="7">
        <v>46058</v>
      </c>
      <c r="AF4886" s="8">
        <v>0</v>
      </c>
      <c r="AH4886" s="7">
        <v>46058</v>
      </c>
      <c r="AI4886" s="7">
        <v>46056</v>
      </c>
      <c r="AN4886" s="8">
        <v>0</v>
      </c>
      <c r="AO4886" s="8">
        <v>24</v>
      </c>
    </row>
    <row r="4887" spans="1:41" x14ac:dyDescent="0.25">
      <c r="A4887" s="6" t="str">
        <f t="shared" ref="A4887:A4893" si="1296">"525-2025000612"</f>
        <v>525-2025000612</v>
      </c>
      <c r="B4887" s="6" t="str">
        <f t="shared" si="1295"/>
        <v>Lasa Int</v>
      </c>
      <c r="C4887" s="7">
        <v>46002</v>
      </c>
      <c r="D4887" s="7">
        <v>46087</v>
      </c>
      <c r="E4887" s="8">
        <v>1</v>
      </c>
      <c r="F4887" s="6" t="str">
        <f t="shared" ref="F4887:F4893" si="1297">"Sette"</f>
        <v>Sette</v>
      </c>
      <c r="G4887" s="6" t="str">
        <f t="shared" ref="G4887:G4893" si="1298">"F300374044000000"</f>
        <v>F300374044000000</v>
      </c>
      <c r="H4887" s="6" t="str">
        <f t="shared" ref="H4887:H4893" si="1299">"PLR 3740 - 440 g/m²"</f>
        <v>PLR 3740 - 440 g/m²</v>
      </c>
      <c r="I4887" s="6" t="str">
        <f>"200952"</f>
        <v>200952</v>
      </c>
      <c r="J4887" s="6" t="str">
        <f>"VERDE 952"</f>
        <v>VERDE 952</v>
      </c>
      <c r="K4887" s="6" t="str">
        <f t="shared" ref="K4887:K4893" si="1300">"0820"</f>
        <v>0820</v>
      </c>
      <c r="L4887" s="6" t="str">
        <f t="shared" ref="L4887:L4893" si="1301">"Cozinha"</f>
        <v>Cozinha</v>
      </c>
      <c r="M4887" s="6" t="str">
        <f t="shared" ref="M4887:M4893" si="1302">"50x50"</f>
        <v>50x50</v>
      </c>
      <c r="N4887" s="6" t="str">
        <f>"5602972517798"</f>
        <v>5602972517798</v>
      </c>
      <c r="O4887" s="8">
        <v>900</v>
      </c>
      <c r="P4887" s="7">
        <v>46056</v>
      </c>
      <c r="R4887" s="8">
        <v>0</v>
      </c>
      <c r="S4887" s="7">
        <v>46059</v>
      </c>
      <c r="U4887" s="8">
        <v>0</v>
      </c>
      <c r="V4887" s="7">
        <v>46066</v>
      </c>
      <c r="X4887" s="8">
        <v>0</v>
      </c>
      <c r="Z4887" s="8">
        <v>0</v>
      </c>
      <c r="AA4887" s="7">
        <v>46084</v>
      </c>
      <c r="AC4887" s="8">
        <v>0</v>
      </c>
      <c r="AE4887" s="7">
        <v>46087</v>
      </c>
      <c r="AF4887" s="8">
        <v>0</v>
      </c>
      <c r="AH4887" s="7">
        <v>46087</v>
      </c>
      <c r="AN4887" s="8">
        <v>0</v>
      </c>
      <c r="AO4887" s="8">
        <v>900</v>
      </c>
    </row>
    <row r="4888" spans="1:41" x14ac:dyDescent="0.25">
      <c r="A4888" s="6" t="str">
        <f t="shared" si="1296"/>
        <v>525-2025000612</v>
      </c>
      <c r="B4888" s="6" t="str">
        <f t="shared" si="1295"/>
        <v>Lasa Int</v>
      </c>
      <c r="C4888" s="7">
        <v>46002</v>
      </c>
      <c r="D4888" s="7">
        <v>46087</v>
      </c>
      <c r="E4888" s="8">
        <v>2</v>
      </c>
      <c r="F4888" s="6" t="str">
        <f t="shared" si="1297"/>
        <v>Sette</v>
      </c>
      <c r="G4888" s="6" t="str">
        <f t="shared" si="1298"/>
        <v>F300374044000000</v>
      </c>
      <c r="H4888" s="6" t="str">
        <f t="shared" si="1299"/>
        <v>PLR 3740 - 440 g/m²</v>
      </c>
      <c r="I4888" s="6" t="str">
        <f>"201515"</f>
        <v>201515</v>
      </c>
      <c r="J4888" s="6" t="str">
        <f>"VERDE 1515"</f>
        <v>VERDE 1515</v>
      </c>
      <c r="K4888" s="6" t="str">
        <f t="shared" si="1300"/>
        <v>0820</v>
      </c>
      <c r="L4888" s="6" t="str">
        <f t="shared" si="1301"/>
        <v>Cozinha</v>
      </c>
      <c r="M4888" s="6" t="str">
        <f t="shared" si="1302"/>
        <v>50x50</v>
      </c>
      <c r="N4888" s="6" t="str">
        <f>"5602972517804"</f>
        <v>5602972517804</v>
      </c>
      <c r="O4888" s="8">
        <v>800</v>
      </c>
      <c r="P4888" s="7">
        <v>46056</v>
      </c>
      <c r="R4888" s="8">
        <v>0</v>
      </c>
      <c r="S4888" s="7">
        <v>46059</v>
      </c>
      <c r="U4888" s="8">
        <v>0</v>
      </c>
      <c r="V4888" s="7">
        <v>46066</v>
      </c>
      <c r="X4888" s="8">
        <v>0</v>
      </c>
      <c r="Z4888" s="8">
        <v>0</v>
      </c>
      <c r="AA4888" s="7">
        <v>46084</v>
      </c>
      <c r="AC4888" s="8">
        <v>0</v>
      </c>
      <c r="AE4888" s="7">
        <v>46087</v>
      </c>
      <c r="AF4888" s="8">
        <v>0</v>
      </c>
      <c r="AH4888" s="7">
        <v>46087</v>
      </c>
      <c r="AN4888" s="8">
        <v>0</v>
      </c>
      <c r="AO4888" s="8">
        <v>800</v>
      </c>
    </row>
    <row r="4889" spans="1:41" x14ac:dyDescent="0.25">
      <c r="A4889" s="6" t="str">
        <f t="shared" si="1296"/>
        <v>525-2025000612</v>
      </c>
      <c r="B4889" s="6" t="str">
        <f t="shared" si="1295"/>
        <v>Lasa Int</v>
      </c>
      <c r="C4889" s="7">
        <v>46002</v>
      </c>
      <c r="D4889" s="7">
        <v>46087</v>
      </c>
      <c r="E4889" s="8">
        <v>3</v>
      </c>
      <c r="F4889" s="6" t="str">
        <f t="shared" si="1297"/>
        <v>Sette</v>
      </c>
      <c r="G4889" s="6" t="str">
        <f t="shared" si="1298"/>
        <v>F300374044000000</v>
      </c>
      <c r="H4889" s="6" t="str">
        <f t="shared" si="1299"/>
        <v>PLR 3740 - 440 g/m²</v>
      </c>
      <c r="I4889" s="6" t="str">
        <f>"201652"</f>
        <v>201652</v>
      </c>
      <c r="J4889" s="6" t="str">
        <f>"MOSTARDA 1652"</f>
        <v>MOSTARDA 1652</v>
      </c>
      <c r="K4889" s="6" t="str">
        <f t="shared" si="1300"/>
        <v>0820</v>
      </c>
      <c r="L4889" s="6" t="str">
        <f t="shared" si="1301"/>
        <v>Cozinha</v>
      </c>
      <c r="M4889" s="6" t="str">
        <f t="shared" si="1302"/>
        <v>50x50</v>
      </c>
      <c r="N4889" s="6" t="str">
        <f>"5602972517811"</f>
        <v>5602972517811</v>
      </c>
      <c r="O4889" s="8">
        <v>900</v>
      </c>
      <c r="P4889" s="7">
        <v>46056</v>
      </c>
      <c r="R4889" s="8">
        <v>0</v>
      </c>
      <c r="S4889" s="7">
        <v>46059</v>
      </c>
      <c r="U4889" s="8">
        <v>0</v>
      </c>
      <c r="V4889" s="7">
        <v>46066</v>
      </c>
      <c r="X4889" s="8">
        <v>0</v>
      </c>
      <c r="Z4889" s="8">
        <v>0</v>
      </c>
      <c r="AA4889" s="7">
        <v>46084</v>
      </c>
      <c r="AC4889" s="8">
        <v>0</v>
      </c>
      <c r="AE4889" s="7">
        <v>46087</v>
      </c>
      <c r="AF4889" s="8">
        <v>0</v>
      </c>
      <c r="AH4889" s="7">
        <v>46087</v>
      </c>
      <c r="AN4889" s="8">
        <v>0</v>
      </c>
      <c r="AO4889" s="8">
        <v>900</v>
      </c>
    </row>
    <row r="4890" spans="1:41" x14ac:dyDescent="0.25">
      <c r="A4890" s="6" t="str">
        <f t="shared" si="1296"/>
        <v>525-2025000612</v>
      </c>
      <c r="B4890" s="6" t="str">
        <f t="shared" si="1295"/>
        <v>Lasa Int</v>
      </c>
      <c r="C4890" s="7">
        <v>46002</v>
      </c>
      <c r="D4890" s="7">
        <v>46087</v>
      </c>
      <c r="E4890" s="8">
        <v>4</v>
      </c>
      <c r="F4890" s="6" t="str">
        <f t="shared" si="1297"/>
        <v>Sette</v>
      </c>
      <c r="G4890" s="6" t="str">
        <f t="shared" si="1298"/>
        <v>F300374044000000</v>
      </c>
      <c r="H4890" s="6" t="str">
        <f t="shared" si="1299"/>
        <v>PLR 3740 - 440 g/m²</v>
      </c>
      <c r="I4890" s="6" t="str">
        <f>"202332"</f>
        <v>202332</v>
      </c>
      <c r="J4890" s="6" t="str">
        <f>"CINZA 2332"</f>
        <v>CINZA 2332</v>
      </c>
      <c r="K4890" s="6" t="str">
        <f t="shared" si="1300"/>
        <v>0820</v>
      </c>
      <c r="L4890" s="6" t="str">
        <f t="shared" si="1301"/>
        <v>Cozinha</v>
      </c>
      <c r="M4890" s="6" t="str">
        <f t="shared" si="1302"/>
        <v>50x50</v>
      </c>
      <c r="N4890" s="6" t="str">
        <f>"5602972517828"</f>
        <v>5602972517828</v>
      </c>
      <c r="O4890" s="8">
        <v>900</v>
      </c>
      <c r="P4890" s="7">
        <v>46056</v>
      </c>
      <c r="R4890" s="8">
        <v>0</v>
      </c>
      <c r="S4890" s="7">
        <v>46059</v>
      </c>
      <c r="U4890" s="8">
        <v>0</v>
      </c>
      <c r="V4890" s="7">
        <v>46066</v>
      </c>
      <c r="X4890" s="8">
        <v>0</v>
      </c>
      <c r="Z4890" s="8">
        <v>0</v>
      </c>
      <c r="AA4890" s="7">
        <v>46084</v>
      </c>
      <c r="AC4890" s="8">
        <v>0</v>
      </c>
      <c r="AE4890" s="7">
        <v>46087</v>
      </c>
      <c r="AF4890" s="8">
        <v>0</v>
      </c>
      <c r="AH4890" s="7">
        <v>46087</v>
      </c>
      <c r="AN4890" s="8">
        <v>0</v>
      </c>
      <c r="AO4890" s="8">
        <v>900</v>
      </c>
    </row>
    <row r="4891" spans="1:41" x14ac:dyDescent="0.25">
      <c r="A4891" s="6" t="str">
        <f t="shared" si="1296"/>
        <v>525-2025000612</v>
      </c>
      <c r="B4891" s="6" t="str">
        <f t="shared" si="1295"/>
        <v>Lasa Int</v>
      </c>
      <c r="C4891" s="7">
        <v>46002</v>
      </c>
      <c r="D4891" s="7">
        <v>46087</v>
      </c>
      <c r="E4891" s="8">
        <v>5</v>
      </c>
      <c r="F4891" s="6" t="str">
        <f t="shared" si="1297"/>
        <v>Sette</v>
      </c>
      <c r="G4891" s="6" t="str">
        <f t="shared" si="1298"/>
        <v>F300374044000000</v>
      </c>
      <c r="H4891" s="6" t="str">
        <f t="shared" si="1299"/>
        <v>PLR 3740 - 440 g/m²</v>
      </c>
      <c r="I4891" s="6" t="str">
        <f>"203922"</f>
        <v>203922</v>
      </c>
      <c r="J4891" s="6" t="str">
        <f>"AZUL 3922"</f>
        <v>AZUL 3922</v>
      </c>
      <c r="K4891" s="6" t="str">
        <f t="shared" si="1300"/>
        <v>0820</v>
      </c>
      <c r="L4891" s="6" t="str">
        <f t="shared" si="1301"/>
        <v>Cozinha</v>
      </c>
      <c r="M4891" s="6" t="str">
        <f t="shared" si="1302"/>
        <v>50x50</v>
      </c>
      <c r="N4891" s="6" t="str">
        <f>"5602972517835"</f>
        <v>5602972517835</v>
      </c>
      <c r="O4891" s="8">
        <v>1000</v>
      </c>
      <c r="P4891" s="7">
        <v>46056</v>
      </c>
      <c r="R4891" s="8">
        <v>0</v>
      </c>
      <c r="S4891" s="7">
        <v>46059</v>
      </c>
      <c r="U4891" s="8">
        <v>0</v>
      </c>
      <c r="V4891" s="7">
        <v>46066</v>
      </c>
      <c r="X4891" s="8">
        <v>0</v>
      </c>
      <c r="Z4891" s="8">
        <v>0</v>
      </c>
      <c r="AA4891" s="7">
        <v>46084</v>
      </c>
      <c r="AC4891" s="8">
        <v>0</v>
      </c>
      <c r="AE4891" s="7">
        <v>46087</v>
      </c>
      <c r="AF4891" s="8">
        <v>0</v>
      </c>
      <c r="AH4891" s="7">
        <v>46087</v>
      </c>
      <c r="AN4891" s="8">
        <v>0</v>
      </c>
      <c r="AO4891" s="8">
        <v>1000</v>
      </c>
    </row>
    <row r="4892" spans="1:41" x14ac:dyDescent="0.25">
      <c r="A4892" s="6" t="str">
        <f t="shared" si="1296"/>
        <v>525-2025000612</v>
      </c>
      <c r="B4892" s="6" t="str">
        <f t="shared" si="1295"/>
        <v>Lasa Int</v>
      </c>
      <c r="C4892" s="7">
        <v>46002</v>
      </c>
      <c r="D4892" s="7">
        <v>46087</v>
      </c>
      <c r="E4892" s="8">
        <v>6</v>
      </c>
      <c r="F4892" s="6" t="str">
        <f t="shared" si="1297"/>
        <v>Sette</v>
      </c>
      <c r="G4892" s="6" t="str">
        <f t="shared" si="1298"/>
        <v>F300374044000000</v>
      </c>
      <c r="H4892" s="6" t="str">
        <f t="shared" si="1299"/>
        <v>PLR 3740 - 440 g/m²</v>
      </c>
      <c r="I4892" s="6" t="str">
        <f>"204042"</f>
        <v>204042</v>
      </c>
      <c r="J4892" s="6" t="str">
        <f>"TIJOLO 4042"</f>
        <v>TIJOLO 4042</v>
      </c>
      <c r="K4892" s="6" t="str">
        <f t="shared" si="1300"/>
        <v>0820</v>
      </c>
      <c r="L4892" s="6" t="str">
        <f t="shared" si="1301"/>
        <v>Cozinha</v>
      </c>
      <c r="M4892" s="6" t="str">
        <f t="shared" si="1302"/>
        <v>50x50</v>
      </c>
      <c r="N4892" s="6" t="str">
        <f>"5602972517842"</f>
        <v>5602972517842</v>
      </c>
      <c r="O4892" s="8">
        <v>800</v>
      </c>
      <c r="P4892" s="7">
        <v>46056</v>
      </c>
      <c r="R4892" s="8">
        <v>0</v>
      </c>
      <c r="S4892" s="7">
        <v>46059</v>
      </c>
      <c r="U4892" s="8">
        <v>0</v>
      </c>
      <c r="V4892" s="7">
        <v>46066</v>
      </c>
      <c r="X4892" s="8">
        <v>0</v>
      </c>
      <c r="Z4892" s="8">
        <v>0</v>
      </c>
      <c r="AA4892" s="7">
        <v>46084</v>
      </c>
      <c r="AC4892" s="8">
        <v>0</v>
      </c>
      <c r="AE4892" s="7">
        <v>46087</v>
      </c>
      <c r="AF4892" s="8">
        <v>0</v>
      </c>
      <c r="AH4892" s="7">
        <v>46087</v>
      </c>
      <c r="AN4892" s="8">
        <v>0</v>
      </c>
      <c r="AO4892" s="8">
        <v>800</v>
      </c>
    </row>
    <row r="4893" spans="1:41" x14ac:dyDescent="0.25">
      <c r="A4893" s="6" t="str">
        <f t="shared" si="1296"/>
        <v>525-2025000612</v>
      </c>
      <c r="B4893" s="6" t="str">
        <f t="shared" si="1295"/>
        <v>Lasa Int</v>
      </c>
      <c r="C4893" s="7">
        <v>46002</v>
      </c>
      <c r="D4893" s="7">
        <v>46087</v>
      </c>
      <c r="E4893" s="8">
        <v>7</v>
      </c>
      <c r="F4893" s="6" t="str">
        <f t="shared" si="1297"/>
        <v>Sette</v>
      </c>
      <c r="G4893" s="6" t="str">
        <f t="shared" si="1298"/>
        <v>F300374044000000</v>
      </c>
      <c r="H4893" s="6" t="str">
        <f t="shared" si="1299"/>
        <v>PLR 3740 - 440 g/m²</v>
      </c>
      <c r="I4893" s="6" t="str">
        <f>"204243"</f>
        <v>204243</v>
      </c>
      <c r="J4893" s="6" t="str">
        <f>"BEGE 4243"</f>
        <v>BEGE 4243</v>
      </c>
      <c r="K4893" s="6" t="str">
        <f t="shared" si="1300"/>
        <v>0820</v>
      </c>
      <c r="L4893" s="6" t="str">
        <f t="shared" si="1301"/>
        <v>Cozinha</v>
      </c>
      <c r="M4893" s="6" t="str">
        <f t="shared" si="1302"/>
        <v>50x50</v>
      </c>
      <c r="N4893" s="6" t="str">
        <f>"5602972517859"</f>
        <v>5602972517859</v>
      </c>
      <c r="O4893" s="8">
        <v>800</v>
      </c>
      <c r="P4893" s="7">
        <v>46056</v>
      </c>
      <c r="R4893" s="8">
        <v>0</v>
      </c>
      <c r="S4893" s="7">
        <v>46059</v>
      </c>
      <c r="U4893" s="8">
        <v>0</v>
      </c>
      <c r="V4893" s="7">
        <v>46066</v>
      </c>
      <c r="X4893" s="8">
        <v>0</v>
      </c>
      <c r="Z4893" s="8">
        <v>0</v>
      </c>
      <c r="AA4893" s="7">
        <v>46084</v>
      </c>
      <c r="AC4893" s="8">
        <v>0</v>
      </c>
      <c r="AE4893" s="7">
        <v>46087</v>
      </c>
      <c r="AF4893" s="8">
        <v>0</v>
      </c>
      <c r="AH4893" s="7">
        <v>46087</v>
      </c>
      <c r="AN4893" s="8">
        <v>0</v>
      </c>
      <c r="AO4893" s="8">
        <v>800</v>
      </c>
    </row>
    <row r="4894" spans="1:41" x14ac:dyDescent="0.25">
      <c r="A4894" s="6" t="str">
        <f t="shared" ref="A4894:A4923" si="1303">"525-2025000613"</f>
        <v>525-2025000613</v>
      </c>
      <c r="B4894" s="6" t="str">
        <f t="shared" si="1295"/>
        <v>Lasa Int</v>
      </c>
      <c r="C4894" s="7">
        <v>46003</v>
      </c>
      <c r="D4894" s="7">
        <v>46048</v>
      </c>
      <c r="E4894" s="8">
        <v>1</v>
      </c>
      <c r="F4894" s="6" t="str">
        <f t="shared" ref="F4894:F4923" si="1304">"PURE"</f>
        <v>PURE</v>
      </c>
      <c r="G4894" s="6" t="str">
        <f t="shared" ref="G4894:G4922" si="1305">"F100021455000000"</f>
        <v>F100021455000000</v>
      </c>
      <c r="H4894" s="6" t="str">
        <f t="shared" ref="H4894:H4922" si="1306">"FA 214 - PURE - 550"</f>
        <v>FA 214 - PURE - 550</v>
      </c>
      <c r="I4894" s="6" t="str">
        <f>"1"</f>
        <v>1</v>
      </c>
      <c r="J4894" s="6" t="str">
        <f>"BRANCO"</f>
        <v>BRANCO</v>
      </c>
      <c r="K4894" s="6" t="str">
        <f>"0530"</f>
        <v>0530</v>
      </c>
      <c r="L4894" s="6" t="str">
        <f>"Toalhetes"</f>
        <v>Toalhetes</v>
      </c>
      <c r="M4894" s="6" t="str">
        <f>"33x50"</f>
        <v>33x50</v>
      </c>
      <c r="N4894" s="6" t="str">
        <f>"5602972836240"</f>
        <v>5602972836240</v>
      </c>
      <c r="O4894" s="8">
        <v>1350</v>
      </c>
      <c r="P4894" s="7">
        <v>46003</v>
      </c>
      <c r="R4894" s="8">
        <v>0</v>
      </c>
      <c r="S4894" s="7">
        <v>46008</v>
      </c>
      <c r="U4894" s="8">
        <v>1350</v>
      </c>
      <c r="V4894" s="7">
        <v>46029</v>
      </c>
      <c r="X4894" s="8">
        <v>0</v>
      </c>
      <c r="Z4894" s="8">
        <v>1350</v>
      </c>
      <c r="AA4894" s="7">
        <v>46043</v>
      </c>
      <c r="AC4894" s="8">
        <v>0</v>
      </c>
      <c r="AE4894" s="7">
        <v>46048</v>
      </c>
      <c r="AF4894" s="8">
        <v>0</v>
      </c>
      <c r="AH4894" s="7">
        <v>46048</v>
      </c>
      <c r="AN4894" s="8">
        <v>0</v>
      </c>
      <c r="AO4894" s="8">
        <v>1350</v>
      </c>
    </row>
    <row r="4895" spans="1:41" x14ac:dyDescent="0.25">
      <c r="A4895" s="6" t="str">
        <f t="shared" si="1303"/>
        <v>525-2025000613</v>
      </c>
      <c r="B4895" s="6" t="str">
        <f t="shared" si="1295"/>
        <v>Lasa Int</v>
      </c>
      <c r="C4895" s="7">
        <v>46003</v>
      </c>
      <c r="D4895" s="7">
        <v>46048</v>
      </c>
      <c r="E4895" s="8">
        <v>2</v>
      </c>
      <c r="F4895" s="6" t="str">
        <f t="shared" si="1304"/>
        <v>PURE</v>
      </c>
      <c r="G4895" s="6" t="str">
        <f t="shared" si="1305"/>
        <v>F100021455000000</v>
      </c>
      <c r="H4895" s="6" t="str">
        <f t="shared" si="1306"/>
        <v>FA 214 - PURE - 550</v>
      </c>
      <c r="I4895" s="6" t="str">
        <f>"1"</f>
        <v>1</v>
      </c>
      <c r="J4895" s="6" t="str">
        <f>"BRANCO"</f>
        <v>BRANCO</v>
      </c>
      <c r="K4895" s="6" t="str">
        <f>"1024"</f>
        <v>1024</v>
      </c>
      <c r="L4895" s="6" t="str">
        <f>"Toalhas"</f>
        <v>Toalhas</v>
      </c>
      <c r="M4895" s="6" t="str">
        <f>"50x100"</f>
        <v>50x100</v>
      </c>
      <c r="N4895" s="6" t="str">
        <f>"5602972836257"</f>
        <v>5602972836257</v>
      </c>
      <c r="O4895" s="8">
        <v>1440</v>
      </c>
      <c r="P4895" s="7">
        <v>46003</v>
      </c>
      <c r="R4895" s="8">
        <v>4800</v>
      </c>
      <c r="S4895" s="7">
        <v>46008</v>
      </c>
      <c r="U4895" s="8">
        <v>1440</v>
      </c>
      <c r="V4895" s="7">
        <v>46029</v>
      </c>
      <c r="X4895" s="8">
        <v>0</v>
      </c>
      <c r="Z4895" s="8">
        <v>1440</v>
      </c>
      <c r="AA4895" s="7">
        <v>46043</v>
      </c>
      <c r="AC4895" s="8">
        <v>0</v>
      </c>
      <c r="AE4895" s="7">
        <v>46048</v>
      </c>
      <c r="AF4895" s="8">
        <v>0</v>
      </c>
      <c r="AH4895" s="7">
        <v>46048</v>
      </c>
      <c r="AN4895" s="8">
        <v>0</v>
      </c>
      <c r="AO4895" s="8">
        <v>1440</v>
      </c>
    </row>
    <row r="4896" spans="1:41" x14ac:dyDescent="0.25">
      <c r="A4896" s="6" t="str">
        <f t="shared" si="1303"/>
        <v>525-2025000613</v>
      </c>
      <c r="B4896" s="6" t="str">
        <f t="shared" si="1295"/>
        <v>Lasa Int</v>
      </c>
      <c r="C4896" s="7">
        <v>46003</v>
      </c>
      <c r="D4896" s="7">
        <v>46048</v>
      </c>
      <c r="E4896" s="8">
        <v>3</v>
      </c>
      <c r="F4896" s="6" t="str">
        <f t="shared" si="1304"/>
        <v>PURE</v>
      </c>
      <c r="G4896" s="6" t="str">
        <f t="shared" si="1305"/>
        <v>F100021455000000</v>
      </c>
      <c r="H4896" s="6" t="str">
        <f t="shared" si="1306"/>
        <v>FA 214 - PURE - 550</v>
      </c>
      <c r="I4896" s="6" t="str">
        <f>"1"</f>
        <v>1</v>
      </c>
      <c r="J4896" s="6" t="str">
        <f>"BRANCO"</f>
        <v>BRANCO</v>
      </c>
      <c r="K4896" s="6" t="str">
        <f>"1535"</f>
        <v>1535</v>
      </c>
      <c r="L4896" s="6" t="str">
        <f>"Toalhões"</f>
        <v>Toalhões</v>
      </c>
      <c r="M4896" s="6" t="str">
        <f>"70x140"</f>
        <v>70x140</v>
      </c>
      <c r="N4896" s="6" t="str">
        <f>"5602972836264"</f>
        <v>5602972836264</v>
      </c>
      <c r="O4896" s="8">
        <v>360</v>
      </c>
      <c r="P4896" s="7">
        <v>46003</v>
      </c>
      <c r="R4896" s="8">
        <v>3456</v>
      </c>
      <c r="S4896" s="7">
        <v>46008</v>
      </c>
      <c r="U4896" s="8">
        <v>360</v>
      </c>
      <c r="V4896" s="7">
        <v>46029</v>
      </c>
      <c r="X4896" s="8">
        <v>0</v>
      </c>
      <c r="Z4896" s="8">
        <v>360</v>
      </c>
      <c r="AA4896" s="7">
        <v>46043</v>
      </c>
      <c r="AC4896" s="8">
        <v>0</v>
      </c>
      <c r="AE4896" s="7">
        <v>46048</v>
      </c>
      <c r="AF4896" s="8">
        <v>0</v>
      </c>
      <c r="AH4896" s="7">
        <v>46048</v>
      </c>
      <c r="AN4896" s="8">
        <v>0</v>
      </c>
      <c r="AO4896" s="8">
        <v>360</v>
      </c>
    </row>
    <row r="4897" spans="1:41" x14ac:dyDescent="0.25">
      <c r="A4897" s="6" t="str">
        <f t="shared" si="1303"/>
        <v>525-2025000613</v>
      </c>
      <c r="B4897" s="6" t="str">
        <f t="shared" si="1295"/>
        <v>Lasa Int</v>
      </c>
      <c r="C4897" s="7">
        <v>46003</v>
      </c>
      <c r="D4897" s="7">
        <v>46048</v>
      </c>
      <c r="E4897" s="8">
        <v>4</v>
      </c>
      <c r="F4897" s="6" t="str">
        <f t="shared" si="1304"/>
        <v>PURE</v>
      </c>
      <c r="G4897" s="6" t="str">
        <f t="shared" si="1305"/>
        <v>F100021455000000</v>
      </c>
      <c r="H4897" s="6" t="str">
        <f t="shared" si="1306"/>
        <v>FA 214 - PURE - 550</v>
      </c>
      <c r="I4897" s="6" t="str">
        <f>"1"</f>
        <v>1</v>
      </c>
      <c r="J4897" s="6" t="str">
        <f>"BRANCO"</f>
        <v>BRANCO</v>
      </c>
      <c r="K4897" s="6" t="str">
        <f>"2020"</f>
        <v>2020</v>
      </c>
      <c r="L4897" s="6" t="str">
        <f>"Lençóis"</f>
        <v>Lençóis</v>
      </c>
      <c r="M4897" s="6" t="str">
        <f>"100x150"</f>
        <v>100x150</v>
      </c>
      <c r="N4897" s="6" t="str">
        <f>"5602972836271"</f>
        <v>5602972836271</v>
      </c>
      <c r="O4897" s="8">
        <v>320</v>
      </c>
      <c r="P4897" s="7">
        <v>46003</v>
      </c>
      <c r="R4897" s="8">
        <v>1356</v>
      </c>
      <c r="S4897" s="7">
        <v>46008</v>
      </c>
      <c r="U4897" s="8">
        <v>320</v>
      </c>
      <c r="V4897" s="7">
        <v>46029</v>
      </c>
      <c r="X4897" s="8">
        <v>0</v>
      </c>
      <c r="Z4897" s="8">
        <v>320</v>
      </c>
      <c r="AA4897" s="7">
        <v>46043</v>
      </c>
      <c r="AC4897" s="8">
        <v>0</v>
      </c>
      <c r="AE4897" s="7">
        <v>46048</v>
      </c>
      <c r="AF4897" s="8">
        <v>0</v>
      </c>
      <c r="AH4897" s="7">
        <v>46048</v>
      </c>
      <c r="AN4897" s="8">
        <v>0</v>
      </c>
      <c r="AO4897" s="8">
        <v>320</v>
      </c>
    </row>
    <row r="4898" spans="1:41" x14ac:dyDescent="0.25">
      <c r="A4898" s="6" t="str">
        <f t="shared" si="1303"/>
        <v>525-2025000613</v>
      </c>
      <c r="B4898" s="6" t="str">
        <f t="shared" si="1295"/>
        <v>Lasa Int</v>
      </c>
      <c r="C4898" s="7">
        <v>46003</v>
      </c>
      <c r="D4898" s="7">
        <v>46048</v>
      </c>
      <c r="E4898" s="8">
        <v>5</v>
      </c>
      <c r="F4898" s="6" t="str">
        <f t="shared" si="1304"/>
        <v>PURE</v>
      </c>
      <c r="G4898" s="6" t="str">
        <f t="shared" si="1305"/>
        <v>F100021455000000</v>
      </c>
      <c r="H4898" s="6" t="str">
        <f t="shared" si="1306"/>
        <v>FA 214 - PURE - 550</v>
      </c>
      <c r="I4898" s="6" t="str">
        <f>"1"</f>
        <v>1</v>
      </c>
      <c r="J4898" s="6" t="str">
        <f>"BRANCO"</f>
        <v>BRANCO</v>
      </c>
      <c r="K4898" s="6" t="str">
        <f>"1545"</f>
        <v>1545</v>
      </c>
      <c r="L4898" s="6" t="str">
        <f>"Toalhões"</f>
        <v>Toalhões</v>
      </c>
      <c r="M4898" s="6" t="str">
        <f>"70x180"</f>
        <v>70x180</v>
      </c>
      <c r="N4898" s="6" t="str">
        <f>"5602972743555"</f>
        <v>5602972743555</v>
      </c>
      <c r="O4898" s="8">
        <v>102</v>
      </c>
      <c r="P4898" s="7">
        <v>46003</v>
      </c>
      <c r="R4898" s="8">
        <v>0</v>
      </c>
      <c r="S4898" s="7">
        <v>46008</v>
      </c>
      <c r="U4898" s="8">
        <v>81</v>
      </c>
      <c r="V4898" s="7">
        <v>46029</v>
      </c>
      <c r="X4898" s="8">
        <v>0</v>
      </c>
      <c r="Z4898" s="8">
        <v>81</v>
      </c>
      <c r="AA4898" s="7">
        <v>46043</v>
      </c>
      <c r="AC4898" s="8">
        <v>0</v>
      </c>
      <c r="AE4898" s="7">
        <v>46048</v>
      </c>
      <c r="AF4898" s="8">
        <v>0</v>
      </c>
      <c r="AH4898" s="7">
        <v>46048</v>
      </c>
      <c r="AN4898" s="8">
        <v>0</v>
      </c>
      <c r="AO4898" s="8">
        <v>102</v>
      </c>
    </row>
    <row r="4899" spans="1:41" x14ac:dyDescent="0.25">
      <c r="A4899" s="6" t="str">
        <f t="shared" si="1303"/>
        <v>525-2025000613</v>
      </c>
      <c r="B4899" s="6" t="str">
        <f t="shared" si="1295"/>
        <v>Lasa Int</v>
      </c>
      <c r="C4899" s="7">
        <v>46003</v>
      </c>
      <c r="D4899" s="7">
        <v>46048</v>
      </c>
      <c r="E4899" s="8">
        <v>6</v>
      </c>
      <c r="F4899" s="6" t="str">
        <f t="shared" si="1304"/>
        <v>PURE</v>
      </c>
      <c r="G4899" s="6" t="str">
        <f t="shared" si="1305"/>
        <v>F100021455000000</v>
      </c>
      <c r="H4899" s="6" t="str">
        <f t="shared" si="1306"/>
        <v>FA 214 - PURE - 550</v>
      </c>
      <c r="I4899" s="6" t="str">
        <f>"2094"</f>
        <v>2094</v>
      </c>
      <c r="J4899" s="6" t="str">
        <f>"AZUL 2094"</f>
        <v>AZUL 2094</v>
      </c>
      <c r="K4899" s="6" t="str">
        <f>"0530"</f>
        <v>0530</v>
      </c>
      <c r="L4899" s="6" t="str">
        <f>"Toalhetes"</f>
        <v>Toalhetes</v>
      </c>
      <c r="M4899" s="6" t="str">
        <f>"33x50"</f>
        <v>33x50</v>
      </c>
      <c r="N4899" s="6" t="str">
        <f>"5602972836998"</f>
        <v>5602972836998</v>
      </c>
      <c r="O4899" s="8">
        <v>450</v>
      </c>
      <c r="P4899" s="7">
        <v>46003</v>
      </c>
      <c r="R4899" s="8">
        <v>0</v>
      </c>
      <c r="S4899" s="7">
        <v>46008</v>
      </c>
      <c r="U4899" s="8">
        <v>450</v>
      </c>
      <c r="V4899" s="7">
        <v>46029</v>
      </c>
      <c r="X4899" s="8">
        <v>0</v>
      </c>
      <c r="Z4899" s="8">
        <v>450</v>
      </c>
      <c r="AA4899" s="7">
        <v>46043</v>
      </c>
      <c r="AC4899" s="8">
        <v>0</v>
      </c>
      <c r="AE4899" s="7">
        <v>46048</v>
      </c>
      <c r="AF4899" s="8">
        <v>0</v>
      </c>
      <c r="AH4899" s="7">
        <v>46048</v>
      </c>
      <c r="AN4899" s="8">
        <v>0</v>
      </c>
      <c r="AO4899" s="8">
        <v>450</v>
      </c>
    </row>
    <row r="4900" spans="1:41" x14ac:dyDescent="0.25">
      <c r="A4900" s="6" t="str">
        <f t="shared" si="1303"/>
        <v>525-2025000613</v>
      </c>
      <c r="B4900" s="6" t="str">
        <f t="shared" si="1295"/>
        <v>Lasa Int</v>
      </c>
      <c r="C4900" s="7">
        <v>46003</v>
      </c>
      <c r="D4900" s="7">
        <v>46048</v>
      </c>
      <c r="E4900" s="8">
        <v>7</v>
      </c>
      <c r="F4900" s="6" t="str">
        <f t="shared" si="1304"/>
        <v>PURE</v>
      </c>
      <c r="G4900" s="6" t="str">
        <f t="shared" si="1305"/>
        <v>F100021455000000</v>
      </c>
      <c r="H4900" s="6" t="str">
        <f t="shared" si="1306"/>
        <v>FA 214 - PURE - 550</v>
      </c>
      <c r="I4900" s="6" t="str">
        <f>"2094"</f>
        <v>2094</v>
      </c>
      <c r="J4900" s="6" t="str">
        <f>"AZUL 2094"</f>
        <v>AZUL 2094</v>
      </c>
      <c r="K4900" s="6" t="str">
        <f>"1024"</f>
        <v>1024</v>
      </c>
      <c r="L4900" s="6" t="str">
        <f>"Toalhas"</f>
        <v>Toalhas</v>
      </c>
      <c r="M4900" s="6" t="str">
        <f>"50x100"</f>
        <v>50x100</v>
      </c>
      <c r="N4900" s="6" t="str">
        <f>"5602972837001"</f>
        <v>5602972837001</v>
      </c>
      <c r="O4900" s="8">
        <v>240</v>
      </c>
      <c r="P4900" s="7">
        <v>46003</v>
      </c>
      <c r="R4900" s="8">
        <v>0</v>
      </c>
      <c r="S4900" s="7">
        <v>46008</v>
      </c>
      <c r="U4900" s="8">
        <v>240</v>
      </c>
      <c r="V4900" s="7">
        <v>46029</v>
      </c>
      <c r="X4900" s="8">
        <v>0</v>
      </c>
      <c r="Z4900" s="8">
        <v>240</v>
      </c>
      <c r="AA4900" s="7">
        <v>46043</v>
      </c>
      <c r="AC4900" s="8">
        <v>172</v>
      </c>
      <c r="AE4900" s="7">
        <v>46048</v>
      </c>
      <c r="AF4900" s="8">
        <v>172</v>
      </c>
      <c r="AH4900" s="7">
        <v>46048</v>
      </c>
      <c r="AN4900" s="8">
        <v>172</v>
      </c>
      <c r="AO4900" s="8">
        <v>68</v>
      </c>
    </row>
    <row r="4901" spans="1:41" x14ac:dyDescent="0.25">
      <c r="A4901" s="6" t="str">
        <f t="shared" si="1303"/>
        <v>525-2025000613</v>
      </c>
      <c r="B4901" s="6" t="str">
        <f t="shared" si="1295"/>
        <v>Lasa Int</v>
      </c>
      <c r="C4901" s="7">
        <v>46003</v>
      </c>
      <c r="D4901" s="7">
        <v>46048</v>
      </c>
      <c r="E4901" s="8">
        <v>8</v>
      </c>
      <c r="F4901" s="6" t="str">
        <f t="shared" si="1304"/>
        <v>PURE</v>
      </c>
      <c r="G4901" s="6" t="str">
        <f t="shared" si="1305"/>
        <v>F100021455000000</v>
      </c>
      <c r="H4901" s="6" t="str">
        <f t="shared" si="1306"/>
        <v>FA 214 - PURE - 550</v>
      </c>
      <c r="I4901" s="6" t="str">
        <f>"2094"</f>
        <v>2094</v>
      </c>
      <c r="J4901" s="6" t="str">
        <f>"AZUL 2094"</f>
        <v>AZUL 2094</v>
      </c>
      <c r="K4901" s="6" t="str">
        <f>"1535"</f>
        <v>1535</v>
      </c>
      <c r="L4901" s="6" t="str">
        <f>"Toalhões"</f>
        <v>Toalhões</v>
      </c>
      <c r="M4901" s="6" t="str">
        <f>"70x140"</f>
        <v>70x140</v>
      </c>
      <c r="N4901" s="6" t="str">
        <f>"5602972837018"</f>
        <v>5602972837018</v>
      </c>
      <c r="O4901" s="8">
        <v>360</v>
      </c>
      <c r="P4901" s="7">
        <v>46003</v>
      </c>
      <c r="R4901" s="8">
        <v>0</v>
      </c>
      <c r="S4901" s="7">
        <v>46008</v>
      </c>
      <c r="U4901" s="8">
        <v>360</v>
      </c>
      <c r="V4901" s="7">
        <v>46029</v>
      </c>
      <c r="X4901" s="8">
        <v>0</v>
      </c>
      <c r="Z4901" s="8">
        <v>360</v>
      </c>
      <c r="AA4901" s="7">
        <v>46043</v>
      </c>
      <c r="AC4901" s="8">
        <v>0</v>
      </c>
      <c r="AE4901" s="7">
        <v>46048</v>
      </c>
      <c r="AF4901" s="8">
        <v>0</v>
      </c>
      <c r="AH4901" s="7">
        <v>46048</v>
      </c>
      <c r="AN4901" s="8">
        <v>0</v>
      </c>
      <c r="AO4901" s="8">
        <v>360</v>
      </c>
    </row>
    <row r="4902" spans="1:41" x14ac:dyDescent="0.25">
      <c r="A4902" s="6" t="str">
        <f t="shared" si="1303"/>
        <v>525-2025000613</v>
      </c>
      <c r="B4902" s="6" t="str">
        <f t="shared" si="1295"/>
        <v>Lasa Int</v>
      </c>
      <c r="C4902" s="7">
        <v>46003</v>
      </c>
      <c r="D4902" s="7">
        <v>46048</v>
      </c>
      <c r="E4902" s="8">
        <v>9</v>
      </c>
      <c r="F4902" s="6" t="str">
        <f t="shared" si="1304"/>
        <v>PURE</v>
      </c>
      <c r="G4902" s="6" t="str">
        <f t="shared" si="1305"/>
        <v>F100021455000000</v>
      </c>
      <c r="H4902" s="6" t="str">
        <f t="shared" si="1306"/>
        <v>FA 214 - PURE - 550</v>
      </c>
      <c r="I4902" s="6" t="str">
        <f>"2094"</f>
        <v>2094</v>
      </c>
      <c r="J4902" s="6" t="str">
        <f>"AZUL 2094"</f>
        <v>AZUL 2094</v>
      </c>
      <c r="K4902" s="6" t="str">
        <f>"2020"</f>
        <v>2020</v>
      </c>
      <c r="L4902" s="6" t="str">
        <f>"Lençóis"</f>
        <v>Lençóis</v>
      </c>
      <c r="M4902" s="6" t="str">
        <f>"100x150"</f>
        <v>100x150</v>
      </c>
      <c r="N4902" s="6" t="str">
        <f>"5602972837025"</f>
        <v>5602972837025</v>
      </c>
      <c r="O4902" s="8">
        <v>80</v>
      </c>
      <c r="P4902" s="7">
        <v>46003</v>
      </c>
      <c r="R4902" s="8">
        <v>0</v>
      </c>
      <c r="S4902" s="7">
        <v>46008</v>
      </c>
      <c r="U4902" s="8">
        <v>80</v>
      </c>
      <c r="V4902" s="7">
        <v>46029</v>
      </c>
      <c r="X4902" s="8">
        <v>0</v>
      </c>
      <c r="Z4902" s="8">
        <v>80</v>
      </c>
      <c r="AA4902" s="7">
        <v>46043</v>
      </c>
      <c r="AC4902" s="8">
        <v>0</v>
      </c>
      <c r="AE4902" s="7">
        <v>46048</v>
      </c>
      <c r="AF4902" s="8">
        <v>0</v>
      </c>
      <c r="AH4902" s="7">
        <v>46048</v>
      </c>
      <c r="AN4902" s="8">
        <v>0</v>
      </c>
      <c r="AO4902" s="8">
        <v>80</v>
      </c>
    </row>
    <row r="4903" spans="1:41" x14ac:dyDescent="0.25">
      <c r="A4903" s="6" t="str">
        <f t="shared" si="1303"/>
        <v>525-2025000613</v>
      </c>
      <c r="B4903" s="6" t="str">
        <f t="shared" si="1295"/>
        <v>Lasa Int</v>
      </c>
      <c r="C4903" s="7">
        <v>46003</v>
      </c>
      <c r="D4903" s="7">
        <v>46048</v>
      </c>
      <c r="E4903" s="8">
        <v>10</v>
      </c>
      <c r="F4903" s="6" t="str">
        <f t="shared" si="1304"/>
        <v>PURE</v>
      </c>
      <c r="G4903" s="6" t="str">
        <f t="shared" si="1305"/>
        <v>F100021455000000</v>
      </c>
      <c r="H4903" s="6" t="str">
        <f t="shared" si="1306"/>
        <v>FA 214 - PURE - 550</v>
      </c>
      <c r="I4903" s="6" t="str">
        <f>"3073"</f>
        <v>3073</v>
      </c>
      <c r="J4903" s="6" t="str">
        <f>"CINZA 3073"</f>
        <v>CINZA 3073</v>
      </c>
      <c r="K4903" s="6" t="str">
        <f>"0530"</f>
        <v>0530</v>
      </c>
      <c r="L4903" s="6" t="str">
        <f>"Toalhetes"</f>
        <v>Toalhetes</v>
      </c>
      <c r="M4903" s="6" t="str">
        <f>"33x50"</f>
        <v>33x50</v>
      </c>
      <c r="N4903" s="6" t="str">
        <f>"5602972877885"</f>
        <v>5602972877885</v>
      </c>
      <c r="O4903" s="8">
        <v>450</v>
      </c>
      <c r="P4903" s="7">
        <v>46003</v>
      </c>
      <c r="R4903" s="8">
        <v>0</v>
      </c>
      <c r="S4903" s="7">
        <v>46008</v>
      </c>
      <c r="U4903" s="8">
        <v>450</v>
      </c>
      <c r="V4903" s="7">
        <v>46029</v>
      </c>
      <c r="X4903" s="8">
        <v>0</v>
      </c>
      <c r="Z4903" s="8">
        <v>450</v>
      </c>
      <c r="AA4903" s="7">
        <v>46043</v>
      </c>
      <c r="AC4903" s="8">
        <v>0</v>
      </c>
      <c r="AE4903" s="7">
        <v>46048</v>
      </c>
      <c r="AF4903" s="8">
        <v>0</v>
      </c>
      <c r="AH4903" s="7">
        <v>46048</v>
      </c>
      <c r="AN4903" s="8">
        <v>0</v>
      </c>
      <c r="AO4903" s="8">
        <v>450</v>
      </c>
    </row>
    <row r="4904" spans="1:41" x14ac:dyDescent="0.25">
      <c r="A4904" s="6" t="str">
        <f t="shared" si="1303"/>
        <v>525-2025000613</v>
      </c>
      <c r="B4904" s="6" t="str">
        <f t="shared" si="1295"/>
        <v>Lasa Int</v>
      </c>
      <c r="C4904" s="7">
        <v>46003</v>
      </c>
      <c r="D4904" s="7">
        <v>46048</v>
      </c>
      <c r="E4904" s="8">
        <v>11</v>
      </c>
      <c r="F4904" s="6" t="str">
        <f t="shared" si="1304"/>
        <v>PURE</v>
      </c>
      <c r="G4904" s="6" t="str">
        <f t="shared" si="1305"/>
        <v>F100021455000000</v>
      </c>
      <c r="H4904" s="6" t="str">
        <f t="shared" si="1306"/>
        <v>FA 214 - PURE - 550</v>
      </c>
      <c r="I4904" s="6" t="str">
        <f>"3073"</f>
        <v>3073</v>
      </c>
      <c r="J4904" s="6" t="str">
        <f>"CINZA 3073"</f>
        <v>CINZA 3073</v>
      </c>
      <c r="K4904" s="6" t="str">
        <f>"1024"</f>
        <v>1024</v>
      </c>
      <c r="L4904" s="6" t="str">
        <f>"Toalhas"</f>
        <v>Toalhas</v>
      </c>
      <c r="M4904" s="6" t="str">
        <f>"50x100"</f>
        <v>50x100</v>
      </c>
      <c r="N4904" s="6" t="str">
        <f>"5602972877892"</f>
        <v>5602972877892</v>
      </c>
      <c r="O4904" s="8">
        <v>960</v>
      </c>
      <c r="P4904" s="7">
        <v>46003</v>
      </c>
      <c r="R4904" s="8">
        <v>0</v>
      </c>
      <c r="S4904" s="7">
        <v>46008</v>
      </c>
      <c r="U4904" s="8">
        <v>960</v>
      </c>
      <c r="V4904" s="7">
        <v>46029</v>
      </c>
      <c r="X4904" s="8">
        <v>0</v>
      </c>
      <c r="Z4904" s="8">
        <v>960</v>
      </c>
      <c r="AA4904" s="7">
        <v>46043</v>
      </c>
      <c r="AC4904" s="8">
        <v>0</v>
      </c>
      <c r="AE4904" s="7">
        <v>46048</v>
      </c>
      <c r="AF4904" s="8">
        <v>0</v>
      </c>
      <c r="AH4904" s="7">
        <v>46048</v>
      </c>
      <c r="AN4904" s="8">
        <v>0</v>
      </c>
      <c r="AO4904" s="8">
        <v>960</v>
      </c>
    </row>
    <row r="4905" spans="1:41" x14ac:dyDescent="0.25">
      <c r="A4905" s="6" t="str">
        <f t="shared" si="1303"/>
        <v>525-2025000613</v>
      </c>
      <c r="B4905" s="6" t="str">
        <f t="shared" si="1295"/>
        <v>Lasa Int</v>
      </c>
      <c r="C4905" s="7">
        <v>46003</v>
      </c>
      <c r="D4905" s="7">
        <v>46048</v>
      </c>
      <c r="E4905" s="8">
        <v>12</v>
      </c>
      <c r="F4905" s="6" t="str">
        <f t="shared" si="1304"/>
        <v>PURE</v>
      </c>
      <c r="G4905" s="6" t="str">
        <f t="shared" si="1305"/>
        <v>F100021455000000</v>
      </c>
      <c r="H4905" s="6" t="str">
        <f t="shared" si="1306"/>
        <v>FA 214 - PURE - 550</v>
      </c>
      <c r="I4905" s="6" t="str">
        <f>"3073"</f>
        <v>3073</v>
      </c>
      <c r="J4905" s="6" t="str">
        <f>"CINZA 3073"</f>
        <v>CINZA 3073</v>
      </c>
      <c r="K4905" s="6" t="str">
        <f>"1535"</f>
        <v>1535</v>
      </c>
      <c r="L4905" s="6" t="str">
        <f>"Toalhões"</f>
        <v>Toalhões</v>
      </c>
      <c r="M4905" s="6" t="str">
        <f>"70x140"</f>
        <v>70x140</v>
      </c>
      <c r="N4905" s="6" t="str">
        <f>"5602972877908"</f>
        <v>5602972877908</v>
      </c>
      <c r="O4905" s="8">
        <v>720</v>
      </c>
      <c r="P4905" s="7">
        <v>46003</v>
      </c>
      <c r="R4905" s="8">
        <v>0</v>
      </c>
      <c r="S4905" s="7">
        <v>46008</v>
      </c>
      <c r="U4905" s="8">
        <v>720</v>
      </c>
      <c r="V4905" s="7">
        <v>46029</v>
      </c>
      <c r="X4905" s="8">
        <v>0</v>
      </c>
      <c r="Z4905" s="8">
        <v>720</v>
      </c>
      <c r="AA4905" s="7">
        <v>46043</v>
      </c>
      <c r="AC4905" s="8">
        <v>0</v>
      </c>
      <c r="AE4905" s="7">
        <v>46048</v>
      </c>
      <c r="AF4905" s="8">
        <v>0</v>
      </c>
      <c r="AH4905" s="7">
        <v>46048</v>
      </c>
      <c r="AN4905" s="8">
        <v>0</v>
      </c>
      <c r="AO4905" s="8">
        <v>720</v>
      </c>
    </row>
    <row r="4906" spans="1:41" x14ac:dyDescent="0.25">
      <c r="A4906" s="6" t="str">
        <f t="shared" si="1303"/>
        <v>525-2025000613</v>
      </c>
      <c r="B4906" s="6" t="str">
        <f t="shared" si="1295"/>
        <v>Lasa Int</v>
      </c>
      <c r="C4906" s="7">
        <v>46003</v>
      </c>
      <c r="D4906" s="7">
        <v>46048</v>
      </c>
      <c r="E4906" s="8">
        <v>13</v>
      </c>
      <c r="F4906" s="6" t="str">
        <f t="shared" si="1304"/>
        <v>PURE</v>
      </c>
      <c r="G4906" s="6" t="str">
        <f t="shared" si="1305"/>
        <v>F100021455000000</v>
      </c>
      <c r="H4906" s="6" t="str">
        <f t="shared" si="1306"/>
        <v>FA 214 - PURE - 550</v>
      </c>
      <c r="I4906" s="6" t="str">
        <f>"3073"</f>
        <v>3073</v>
      </c>
      <c r="J4906" s="6" t="str">
        <f>"CINZA 3073"</f>
        <v>CINZA 3073</v>
      </c>
      <c r="K4906" s="6" t="str">
        <f>"2020"</f>
        <v>2020</v>
      </c>
      <c r="L4906" s="6" t="str">
        <f>"Lençóis"</f>
        <v>Lençóis</v>
      </c>
      <c r="M4906" s="6" t="str">
        <f>"100x150"</f>
        <v>100x150</v>
      </c>
      <c r="N4906" s="6" t="str">
        <f>"5602972877915"</f>
        <v>5602972877915</v>
      </c>
      <c r="O4906" s="8">
        <v>240</v>
      </c>
      <c r="P4906" s="7">
        <v>46003</v>
      </c>
      <c r="R4906" s="8">
        <v>0</v>
      </c>
      <c r="S4906" s="7">
        <v>46008</v>
      </c>
      <c r="U4906" s="8">
        <v>240</v>
      </c>
      <c r="V4906" s="7">
        <v>46029</v>
      </c>
      <c r="X4906" s="8">
        <v>0</v>
      </c>
      <c r="Z4906" s="8">
        <v>240</v>
      </c>
      <c r="AA4906" s="7">
        <v>46043</v>
      </c>
      <c r="AC4906" s="8">
        <v>0</v>
      </c>
      <c r="AE4906" s="7">
        <v>46048</v>
      </c>
      <c r="AF4906" s="8">
        <v>0</v>
      </c>
      <c r="AH4906" s="7">
        <v>46048</v>
      </c>
      <c r="AN4906" s="8">
        <v>0</v>
      </c>
      <c r="AO4906" s="8">
        <v>240</v>
      </c>
    </row>
    <row r="4907" spans="1:41" x14ac:dyDescent="0.25">
      <c r="A4907" s="6" t="str">
        <f t="shared" si="1303"/>
        <v>525-2025000613</v>
      </c>
      <c r="B4907" s="6" t="str">
        <f t="shared" si="1295"/>
        <v>Lasa Int</v>
      </c>
      <c r="C4907" s="7">
        <v>46003</v>
      </c>
      <c r="D4907" s="7">
        <v>46048</v>
      </c>
      <c r="E4907" s="8">
        <v>14</v>
      </c>
      <c r="F4907" s="6" t="str">
        <f t="shared" si="1304"/>
        <v>PURE</v>
      </c>
      <c r="G4907" s="6" t="str">
        <f t="shared" si="1305"/>
        <v>F100021455000000</v>
      </c>
      <c r="H4907" s="6" t="str">
        <f t="shared" si="1306"/>
        <v>FA 214 - PURE - 550</v>
      </c>
      <c r="I4907" s="6" t="str">
        <f>"3968"</f>
        <v>3968</v>
      </c>
      <c r="J4907" s="6" t="str">
        <f>"BORDEAUX 3968"</f>
        <v>BORDEAUX 3968</v>
      </c>
      <c r="K4907" s="6" t="str">
        <f>"0530"</f>
        <v>0530</v>
      </c>
      <c r="L4907" s="6" t="str">
        <f>"Toalhetes"</f>
        <v>Toalhetes</v>
      </c>
      <c r="M4907" s="6" t="str">
        <f>"33x50"</f>
        <v>33x50</v>
      </c>
      <c r="N4907" s="6" t="str">
        <f>"5602972761412"</f>
        <v>5602972761412</v>
      </c>
      <c r="O4907" s="8">
        <v>450</v>
      </c>
      <c r="P4907" s="7">
        <v>46003</v>
      </c>
      <c r="R4907" s="8">
        <v>0</v>
      </c>
      <c r="S4907" s="7">
        <v>46008</v>
      </c>
      <c r="U4907" s="8">
        <v>450</v>
      </c>
      <c r="V4907" s="7">
        <v>46029</v>
      </c>
      <c r="X4907" s="8">
        <v>0</v>
      </c>
      <c r="Z4907" s="8">
        <v>450</v>
      </c>
      <c r="AA4907" s="7">
        <v>46043</v>
      </c>
      <c r="AC4907" s="8">
        <v>0</v>
      </c>
      <c r="AE4907" s="7">
        <v>46048</v>
      </c>
      <c r="AF4907" s="8">
        <v>0</v>
      </c>
      <c r="AH4907" s="7">
        <v>46048</v>
      </c>
      <c r="AN4907" s="8">
        <v>0</v>
      </c>
      <c r="AO4907" s="8">
        <v>450</v>
      </c>
    </row>
    <row r="4908" spans="1:41" x14ac:dyDescent="0.25">
      <c r="A4908" s="6" t="str">
        <f t="shared" si="1303"/>
        <v>525-2025000613</v>
      </c>
      <c r="B4908" s="6" t="str">
        <f t="shared" si="1295"/>
        <v>Lasa Int</v>
      </c>
      <c r="C4908" s="7">
        <v>46003</v>
      </c>
      <c r="D4908" s="7">
        <v>46048</v>
      </c>
      <c r="E4908" s="8">
        <v>15</v>
      </c>
      <c r="F4908" s="6" t="str">
        <f t="shared" si="1304"/>
        <v>PURE</v>
      </c>
      <c r="G4908" s="6" t="str">
        <f t="shared" si="1305"/>
        <v>F100021455000000</v>
      </c>
      <c r="H4908" s="6" t="str">
        <f t="shared" si="1306"/>
        <v>FA 214 - PURE - 550</v>
      </c>
      <c r="I4908" s="6" t="str">
        <f>"3968"</f>
        <v>3968</v>
      </c>
      <c r="J4908" s="6" t="str">
        <f>"BORDEAUX 3968"</f>
        <v>BORDEAUX 3968</v>
      </c>
      <c r="K4908" s="6" t="str">
        <f>"1024"</f>
        <v>1024</v>
      </c>
      <c r="L4908" s="6" t="str">
        <f>"Toalhas"</f>
        <v>Toalhas</v>
      </c>
      <c r="M4908" s="6" t="str">
        <f>"50x100"</f>
        <v>50x100</v>
      </c>
      <c r="N4908" s="6" t="str">
        <f>"5602972761429"</f>
        <v>5602972761429</v>
      </c>
      <c r="O4908" s="8">
        <v>240</v>
      </c>
      <c r="P4908" s="7">
        <v>46003</v>
      </c>
      <c r="R4908" s="8">
        <v>0</v>
      </c>
      <c r="S4908" s="7">
        <v>46008</v>
      </c>
      <c r="U4908" s="8">
        <v>240</v>
      </c>
      <c r="V4908" s="7">
        <v>46029</v>
      </c>
      <c r="X4908" s="8">
        <v>0</v>
      </c>
      <c r="Z4908" s="8">
        <v>240</v>
      </c>
      <c r="AA4908" s="7">
        <v>46043</v>
      </c>
      <c r="AC4908" s="8">
        <v>0</v>
      </c>
      <c r="AE4908" s="7">
        <v>46048</v>
      </c>
      <c r="AF4908" s="8">
        <v>0</v>
      </c>
      <c r="AH4908" s="7">
        <v>46048</v>
      </c>
      <c r="AN4908" s="8">
        <v>0</v>
      </c>
      <c r="AO4908" s="8">
        <v>240</v>
      </c>
    </row>
    <row r="4909" spans="1:41" x14ac:dyDescent="0.25">
      <c r="A4909" s="6" t="str">
        <f t="shared" si="1303"/>
        <v>525-2025000613</v>
      </c>
      <c r="B4909" s="6" t="str">
        <f t="shared" si="1295"/>
        <v>Lasa Int</v>
      </c>
      <c r="C4909" s="7">
        <v>46003</v>
      </c>
      <c r="D4909" s="7">
        <v>46048</v>
      </c>
      <c r="E4909" s="8">
        <v>16</v>
      </c>
      <c r="F4909" s="6" t="str">
        <f t="shared" si="1304"/>
        <v>PURE</v>
      </c>
      <c r="G4909" s="6" t="str">
        <f t="shared" si="1305"/>
        <v>F100021455000000</v>
      </c>
      <c r="H4909" s="6" t="str">
        <f t="shared" si="1306"/>
        <v>FA 214 - PURE - 550</v>
      </c>
      <c r="I4909" s="6" t="str">
        <f>"3968"</f>
        <v>3968</v>
      </c>
      <c r="J4909" s="6" t="str">
        <f>"BORDEAUX 3968"</f>
        <v>BORDEAUX 3968</v>
      </c>
      <c r="K4909" s="6" t="str">
        <f>"1535"</f>
        <v>1535</v>
      </c>
      <c r="L4909" s="6" t="str">
        <f>"Toalhões"</f>
        <v>Toalhões</v>
      </c>
      <c r="M4909" s="6" t="str">
        <f>"70x140"</f>
        <v>70x140</v>
      </c>
      <c r="N4909" s="6" t="str">
        <f>"5602972761436"</f>
        <v>5602972761436</v>
      </c>
      <c r="O4909" s="8">
        <v>240</v>
      </c>
      <c r="P4909" s="7">
        <v>46003</v>
      </c>
      <c r="R4909" s="8">
        <v>0</v>
      </c>
      <c r="S4909" s="7">
        <v>46008</v>
      </c>
      <c r="U4909" s="8">
        <v>240</v>
      </c>
      <c r="V4909" s="7">
        <v>46029</v>
      </c>
      <c r="X4909" s="8">
        <v>0</v>
      </c>
      <c r="Z4909" s="8">
        <v>240</v>
      </c>
      <c r="AA4909" s="7">
        <v>46043</v>
      </c>
      <c r="AC4909" s="8">
        <v>180</v>
      </c>
      <c r="AE4909" s="7">
        <v>46048</v>
      </c>
      <c r="AF4909" s="8">
        <v>180</v>
      </c>
      <c r="AH4909" s="7">
        <v>46048</v>
      </c>
      <c r="AN4909" s="8">
        <v>180</v>
      </c>
      <c r="AO4909" s="8">
        <v>60</v>
      </c>
    </row>
    <row r="4910" spans="1:41" x14ac:dyDescent="0.25">
      <c r="A4910" s="6" t="str">
        <f t="shared" si="1303"/>
        <v>525-2025000613</v>
      </c>
      <c r="B4910" s="6" t="str">
        <f t="shared" si="1295"/>
        <v>Lasa Int</v>
      </c>
      <c r="C4910" s="7">
        <v>46003</v>
      </c>
      <c r="D4910" s="7">
        <v>46048</v>
      </c>
      <c r="E4910" s="8">
        <v>17</v>
      </c>
      <c r="F4910" s="6" t="str">
        <f t="shared" si="1304"/>
        <v>PURE</v>
      </c>
      <c r="G4910" s="6" t="str">
        <f t="shared" si="1305"/>
        <v>F100021455000000</v>
      </c>
      <c r="H4910" s="6" t="str">
        <f t="shared" si="1306"/>
        <v>FA 214 - PURE - 550</v>
      </c>
      <c r="I4910" s="6" t="str">
        <f>"3968"</f>
        <v>3968</v>
      </c>
      <c r="J4910" s="6" t="str">
        <f>"BORDEAUX 3968"</f>
        <v>BORDEAUX 3968</v>
      </c>
      <c r="K4910" s="6" t="str">
        <f>"2020"</f>
        <v>2020</v>
      </c>
      <c r="L4910" s="6" t="str">
        <f>"Lençóis"</f>
        <v>Lençóis</v>
      </c>
      <c r="M4910" s="6" t="str">
        <f>"100x150"</f>
        <v>100x150</v>
      </c>
      <c r="N4910" s="6" t="str">
        <f>"5602972761443"</f>
        <v>5602972761443</v>
      </c>
      <c r="O4910" s="8">
        <v>160</v>
      </c>
      <c r="P4910" s="7">
        <v>46003</v>
      </c>
      <c r="R4910" s="8">
        <v>0</v>
      </c>
      <c r="S4910" s="7">
        <v>46008</v>
      </c>
      <c r="U4910" s="8">
        <v>160</v>
      </c>
      <c r="V4910" s="7">
        <v>46029</v>
      </c>
      <c r="X4910" s="8">
        <v>0</v>
      </c>
      <c r="Z4910" s="8">
        <v>160</v>
      </c>
      <c r="AA4910" s="7">
        <v>46043</v>
      </c>
      <c r="AC4910" s="8">
        <v>0</v>
      </c>
      <c r="AE4910" s="7">
        <v>46048</v>
      </c>
      <c r="AF4910" s="8">
        <v>0</v>
      </c>
      <c r="AH4910" s="7">
        <v>46048</v>
      </c>
      <c r="AN4910" s="8">
        <v>0</v>
      </c>
      <c r="AO4910" s="8">
        <v>160</v>
      </c>
    </row>
    <row r="4911" spans="1:41" x14ac:dyDescent="0.25">
      <c r="A4911" s="6" t="str">
        <f t="shared" si="1303"/>
        <v>525-2025000613</v>
      </c>
      <c r="B4911" s="6" t="str">
        <f t="shared" si="1295"/>
        <v>Lasa Int</v>
      </c>
      <c r="C4911" s="7">
        <v>46003</v>
      </c>
      <c r="D4911" s="7">
        <v>46048</v>
      </c>
      <c r="E4911" s="8">
        <v>18</v>
      </c>
      <c r="F4911" s="6" t="str">
        <f t="shared" si="1304"/>
        <v>PURE</v>
      </c>
      <c r="G4911" s="6" t="str">
        <f t="shared" si="1305"/>
        <v>F100021455000000</v>
      </c>
      <c r="H4911" s="6" t="str">
        <f t="shared" si="1306"/>
        <v>FA 214 - PURE - 550</v>
      </c>
      <c r="I4911" s="6" t="str">
        <f>"4385"</f>
        <v>4385</v>
      </c>
      <c r="J4911" s="6" t="str">
        <f>"SALMÃO 4385"</f>
        <v>SALMÃO 4385</v>
      </c>
      <c r="K4911" s="6" t="str">
        <f>"0112"</f>
        <v>0112</v>
      </c>
      <c r="L4911" s="6" t="str">
        <f>"Luvas"</f>
        <v>Luvas</v>
      </c>
      <c r="M4911" s="6" t="str">
        <f>"16x21"</f>
        <v>16x21</v>
      </c>
      <c r="N4911" s="6" t="str">
        <f>"5602972795431"</f>
        <v>5602972795431</v>
      </c>
      <c r="O4911" s="8">
        <v>300</v>
      </c>
      <c r="P4911" s="7">
        <v>46003</v>
      </c>
      <c r="R4911" s="8">
        <v>0</v>
      </c>
      <c r="S4911" s="7">
        <v>46008</v>
      </c>
      <c r="U4911" s="8">
        <v>300</v>
      </c>
      <c r="V4911" s="7">
        <v>46029</v>
      </c>
      <c r="X4911" s="8">
        <v>0</v>
      </c>
      <c r="Z4911" s="8">
        <v>300</v>
      </c>
      <c r="AA4911" s="7">
        <v>46043</v>
      </c>
      <c r="AC4911" s="8">
        <v>0</v>
      </c>
      <c r="AE4911" s="7">
        <v>46048</v>
      </c>
      <c r="AF4911" s="8">
        <v>0</v>
      </c>
      <c r="AH4911" s="7">
        <v>46048</v>
      </c>
      <c r="AN4911" s="8">
        <v>0</v>
      </c>
      <c r="AO4911" s="8">
        <v>300</v>
      </c>
    </row>
    <row r="4912" spans="1:41" x14ac:dyDescent="0.25">
      <c r="A4912" s="6" t="str">
        <f t="shared" si="1303"/>
        <v>525-2025000613</v>
      </c>
      <c r="B4912" s="6" t="str">
        <f t="shared" si="1295"/>
        <v>Lasa Int</v>
      </c>
      <c r="C4912" s="7">
        <v>46003</v>
      </c>
      <c r="D4912" s="7">
        <v>46048</v>
      </c>
      <c r="E4912" s="8">
        <v>19</v>
      </c>
      <c r="F4912" s="6" t="str">
        <f t="shared" si="1304"/>
        <v>PURE</v>
      </c>
      <c r="G4912" s="6" t="str">
        <f t="shared" si="1305"/>
        <v>F100021455000000</v>
      </c>
      <c r="H4912" s="6" t="str">
        <f t="shared" si="1306"/>
        <v>FA 214 - PURE - 550</v>
      </c>
      <c r="I4912" s="6" t="str">
        <f>"4385"</f>
        <v>4385</v>
      </c>
      <c r="J4912" s="6" t="str">
        <f>"SALMÃO 4385"</f>
        <v>SALMÃO 4385</v>
      </c>
      <c r="K4912" s="6" t="str">
        <f>"0530"</f>
        <v>0530</v>
      </c>
      <c r="L4912" s="6" t="str">
        <f>"Toalhetes"</f>
        <v>Toalhetes</v>
      </c>
      <c r="M4912" s="6" t="str">
        <f>"33x50"</f>
        <v>33x50</v>
      </c>
      <c r="N4912" s="6" t="str">
        <f>"5602972795448"</f>
        <v>5602972795448</v>
      </c>
      <c r="O4912" s="8">
        <v>450</v>
      </c>
      <c r="P4912" s="7">
        <v>46003</v>
      </c>
      <c r="R4912" s="8">
        <v>0</v>
      </c>
      <c r="S4912" s="7">
        <v>46008</v>
      </c>
      <c r="U4912" s="8">
        <v>450</v>
      </c>
      <c r="V4912" s="7">
        <v>46029</v>
      </c>
      <c r="X4912" s="8">
        <v>0</v>
      </c>
      <c r="Z4912" s="8">
        <v>450</v>
      </c>
      <c r="AA4912" s="7">
        <v>46043</v>
      </c>
      <c r="AC4912" s="8">
        <v>0</v>
      </c>
      <c r="AE4912" s="7">
        <v>46048</v>
      </c>
      <c r="AF4912" s="8">
        <v>0</v>
      </c>
      <c r="AH4912" s="7">
        <v>46048</v>
      </c>
      <c r="AN4912" s="8">
        <v>0</v>
      </c>
      <c r="AO4912" s="8">
        <v>450</v>
      </c>
    </row>
    <row r="4913" spans="1:41" x14ac:dyDescent="0.25">
      <c r="A4913" s="6" t="str">
        <f t="shared" si="1303"/>
        <v>525-2025000613</v>
      </c>
      <c r="B4913" s="6" t="str">
        <f t="shared" si="1295"/>
        <v>Lasa Int</v>
      </c>
      <c r="C4913" s="7">
        <v>46003</v>
      </c>
      <c r="D4913" s="7">
        <v>46048</v>
      </c>
      <c r="E4913" s="8">
        <v>20</v>
      </c>
      <c r="F4913" s="6" t="str">
        <f t="shared" si="1304"/>
        <v>PURE</v>
      </c>
      <c r="G4913" s="6" t="str">
        <f t="shared" si="1305"/>
        <v>F100021455000000</v>
      </c>
      <c r="H4913" s="6" t="str">
        <f t="shared" si="1306"/>
        <v>FA 214 - PURE - 550</v>
      </c>
      <c r="I4913" s="6" t="str">
        <f>"4385"</f>
        <v>4385</v>
      </c>
      <c r="J4913" s="6" t="str">
        <f>"SALMÃO 4385"</f>
        <v>SALMÃO 4385</v>
      </c>
      <c r="K4913" s="6" t="str">
        <f>"1024"</f>
        <v>1024</v>
      </c>
      <c r="L4913" s="6" t="str">
        <f>"Toalhas"</f>
        <v>Toalhas</v>
      </c>
      <c r="M4913" s="6" t="str">
        <f>"50x100"</f>
        <v>50x100</v>
      </c>
      <c r="N4913" s="6" t="str">
        <f>"5602972795455"</f>
        <v>5602972795455</v>
      </c>
      <c r="O4913" s="8">
        <v>480</v>
      </c>
      <c r="P4913" s="7">
        <v>46003</v>
      </c>
      <c r="R4913" s="8">
        <v>0</v>
      </c>
      <c r="S4913" s="7">
        <v>46008</v>
      </c>
      <c r="U4913" s="8">
        <v>480</v>
      </c>
      <c r="V4913" s="7">
        <v>46029</v>
      </c>
      <c r="X4913" s="8">
        <v>0</v>
      </c>
      <c r="Z4913" s="8">
        <v>480</v>
      </c>
      <c r="AA4913" s="7">
        <v>46043</v>
      </c>
      <c r="AC4913" s="8">
        <v>0</v>
      </c>
      <c r="AE4913" s="7">
        <v>46048</v>
      </c>
      <c r="AF4913" s="8">
        <v>0</v>
      </c>
      <c r="AH4913" s="7">
        <v>46048</v>
      </c>
      <c r="AN4913" s="8">
        <v>0</v>
      </c>
      <c r="AO4913" s="8">
        <v>480</v>
      </c>
    </row>
    <row r="4914" spans="1:41" x14ac:dyDescent="0.25">
      <c r="A4914" s="6" t="str">
        <f t="shared" si="1303"/>
        <v>525-2025000613</v>
      </c>
      <c r="B4914" s="6" t="str">
        <f t="shared" si="1295"/>
        <v>Lasa Int</v>
      </c>
      <c r="C4914" s="7">
        <v>46003</v>
      </c>
      <c r="D4914" s="7">
        <v>46048</v>
      </c>
      <c r="E4914" s="8">
        <v>21</v>
      </c>
      <c r="F4914" s="6" t="str">
        <f t="shared" si="1304"/>
        <v>PURE</v>
      </c>
      <c r="G4914" s="6" t="str">
        <f t="shared" si="1305"/>
        <v>F100021455000000</v>
      </c>
      <c r="H4914" s="6" t="str">
        <f t="shared" si="1306"/>
        <v>FA 214 - PURE - 550</v>
      </c>
      <c r="I4914" s="6" t="str">
        <f>"4385"</f>
        <v>4385</v>
      </c>
      <c r="J4914" s="6" t="str">
        <f>"SALMÃO 4385"</f>
        <v>SALMÃO 4385</v>
      </c>
      <c r="K4914" s="6" t="str">
        <f>"1535"</f>
        <v>1535</v>
      </c>
      <c r="L4914" s="6" t="str">
        <f>"Toalhões"</f>
        <v>Toalhões</v>
      </c>
      <c r="M4914" s="6" t="str">
        <f>"70x140"</f>
        <v>70x140</v>
      </c>
      <c r="N4914" s="6" t="str">
        <f>"5602972795462"</f>
        <v>5602972795462</v>
      </c>
      <c r="O4914" s="8">
        <v>240</v>
      </c>
      <c r="P4914" s="7">
        <v>46003</v>
      </c>
      <c r="R4914" s="8">
        <v>0</v>
      </c>
      <c r="S4914" s="7">
        <v>46008</v>
      </c>
      <c r="U4914" s="8">
        <v>240</v>
      </c>
      <c r="V4914" s="7">
        <v>46029</v>
      </c>
      <c r="X4914" s="8">
        <v>0</v>
      </c>
      <c r="Z4914" s="8">
        <v>240</v>
      </c>
      <c r="AA4914" s="7">
        <v>46043</v>
      </c>
      <c r="AC4914" s="8">
        <v>306</v>
      </c>
      <c r="AE4914" s="7">
        <v>46048</v>
      </c>
      <c r="AF4914" s="8">
        <v>306</v>
      </c>
      <c r="AH4914" s="7">
        <v>46048</v>
      </c>
      <c r="AN4914" s="8">
        <v>306</v>
      </c>
      <c r="AO4914" s="8">
        <v>-66</v>
      </c>
    </row>
    <row r="4915" spans="1:41" x14ac:dyDescent="0.25">
      <c r="A4915" s="6" t="str">
        <f t="shared" si="1303"/>
        <v>525-2025000613</v>
      </c>
      <c r="B4915" s="6" t="str">
        <f t="shared" si="1295"/>
        <v>Lasa Int</v>
      </c>
      <c r="C4915" s="7">
        <v>46003</v>
      </c>
      <c r="D4915" s="7">
        <v>46048</v>
      </c>
      <c r="E4915" s="8">
        <v>22</v>
      </c>
      <c r="F4915" s="6" t="str">
        <f t="shared" si="1304"/>
        <v>PURE</v>
      </c>
      <c r="G4915" s="6" t="str">
        <f t="shared" si="1305"/>
        <v>F100021455000000</v>
      </c>
      <c r="H4915" s="6" t="str">
        <f t="shared" si="1306"/>
        <v>FA 214 - PURE - 550</v>
      </c>
      <c r="I4915" s="6" t="str">
        <f>"4385"</f>
        <v>4385</v>
      </c>
      <c r="J4915" s="6" t="str">
        <f>"SALMÃO 4385"</f>
        <v>SALMÃO 4385</v>
      </c>
      <c r="K4915" s="6" t="str">
        <f>"2020"</f>
        <v>2020</v>
      </c>
      <c r="L4915" s="6" t="str">
        <f>"Lençóis"</f>
        <v>Lençóis</v>
      </c>
      <c r="M4915" s="6" t="str">
        <f>"100x150"</f>
        <v>100x150</v>
      </c>
      <c r="N4915" s="6" t="str">
        <f>"5602972795479"</f>
        <v>5602972795479</v>
      </c>
      <c r="O4915" s="8">
        <v>160</v>
      </c>
      <c r="P4915" s="7">
        <v>46003</v>
      </c>
      <c r="R4915" s="8">
        <v>0</v>
      </c>
      <c r="S4915" s="7">
        <v>46008</v>
      </c>
      <c r="U4915" s="8">
        <v>160</v>
      </c>
      <c r="V4915" s="7">
        <v>46029</v>
      </c>
      <c r="X4915" s="8">
        <v>0</v>
      </c>
      <c r="Z4915" s="8">
        <v>160</v>
      </c>
      <c r="AA4915" s="7">
        <v>46043</v>
      </c>
      <c r="AC4915" s="8">
        <v>0</v>
      </c>
      <c r="AE4915" s="7">
        <v>46048</v>
      </c>
      <c r="AF4915" s="8">
        <v>0</v>
      </c>
      <c r="AH4915" s="7">
        <v>46048</v>
      </c>
      <c r="AN4915" s="8">
        <v>0</v>
      </c>
      <c r="AO4915" s="8">
        <v>160</v>
      </c>
    </row>
    <row r="4916" spans="1:41" x14ac:dyDescent="0.25">
      <c r="A4916" s="6" t="str">
        <f t="shared" si="1303"/>
        <v>525-2025000613</v>
      </c>
      <c r="B4916" s="6" t="str">
        <f t="shared" ref="B4916:B4926" si="1307">"Lasa Int"</f>
        <v>Lasa Int</v>
      </c>
      <c r="C4916" s="7">
        <v>46003</v>
      </c>
      <c r="D4916" s="7">
        <v>46048</v>
      </c>
      <c r="E4916" s="8">
        <v>23</v>
      </c>
      <c r="F4916" s="6" t="str">
        <f t="shared" si="1304"/>
        <v>PURE</v>
      </c>
      <c r="G4916" s="6" t="str">
        <f t="shared" si="1305"/>
        <v>F100021455000000</v>
      </c>
      <c r="H4916" s="6" t="str">
        <f t="shared" si="1306"/>
        <v>FA 214 - PURE - 550</v>
      </c>
      <c r="I4916" s="6" t="str">
        <f>"5148"</f>
        <v>5148</v>
      </c>
      <c r="J4916" s="6" t="str">
        <f>"BEGE 5148"</f>
        <v>BEGE 5148</v>
      </c>
      <c r="K4916" s="6" t="str">
        <f>"1024"</f>
        <v>1024</v>
      </c>
      <c r="L4916" s="6" t="str">
        <f>"Toalhas"</f>
        <v>Toalhas</v>
      </c>
      <c r="M4916" s="6" t="str">
        <f>"50x100"</f>
        <v>50x100</v>
      </c>
      <c r="N4916" s="6" t="str">
        <f>"5602972651409"</f>
        <v>5602972651409</v>
      </c>
      <c r="O4916" s="8">
        <v>1200</v>
      </c>
      <c r="P4916" s="7">
        <v>46003</v>
      </c>
      <c r="R4916" s="8">
        <v>0</v>
      </c>
      <c r="S4916" s="7">
        <v>46008</v>
      </c>
      <c r="U4916" s="8">
        <v>1200</v>
      </c>
      <c r="V4916" s="7">
        <v>46029</v>
      </c>
      <c r="X4916" s="8">
        <v>0</v>
      </c>
      <c r="Z4916" s="8">
        <v>1200</v>
      </c>
      <c r="AA4916" s="7">
        <v>46043</v>
      </c>
      <c r="AC4916" s="8">
        <v>0</v>
      </c>
      <c r="AE4916" s="7">
        <v>46048</v>
      </c>
      <c r="AF4916" s="8">
        <v>0</v>
      </c>
      <c r="AH4916" s="7">
        <v>46048</v>
      </c>
      <c r="AN4916" s="8">
        <v>0</v>
      </c>
      <c r="AO4916" s="8">
        <v>1200</v>
      </c>
    </row>
    <row r="4917" spans="1:41" x14ac:dyDescent="0.25">
      <c r="A4917" s="6" t="str">
        <f t="shared" si="1303"/>
        <v>525-2025000613</v>
      </c>
      <c r="B4917" s="6" t="str">
        <f t="shared" si="1307"/>
        <v>Lasa Int</v>
      </c>
      <c r="C4917" s="7">
        <v>46003</v>
      </c>
      <c r="D4917" s="7">
        <v>46048</v>
      </c>
      <c r="E4917" s="8">
        <v>24</v>
      </c>
      <c r="F4917" s="6" t="str">
        <f t="shared" si="1304"/>
        <v>PURE</v>
      </c>
      <c r="G4917" s="6" t="str">
        <f t="shared" si="1305"/>
        <v>F100021455000000</v>
      </c>
      <c r="H4917" s="6" t="str">
        <f t="shared" si="1306"/>
        <v>FA 214 - PURE - 550</v>
      </c>
      <c r="I4917" s="6" t="str">
        <f>"5148"</f>
        <v>5148</v>
      </c>
      <c r="J4917" s="6" t="str">
        <f>"BEGE 5148"</f>
        <v>BEGE 5148</v>
      </c>
      <c r="K4917" s="6" t="str">
        <f>"1535"</f>
        <v>1535</v>
      </c>
      <c r="L4917" s="6" t="str">
        <f>"Toalhões"</f>
        <v>Toalhões</v>
      </c>
      <c r="M4917" s="6" t="str">
        <f>"70x140"</f>
        <v>70x140</v>
      </c>
      <c r="N4917" s="6" t="str">
        <f>"5602972651416"</f>
        <v>5602972651416</v>
      </c>
      <c r="O4917" s="8">
        <v>480</v>
      </c>
      <c r="P4917" s="7">
        <v>46003</v>
      </c>
      <c r="R4917" s="8">
        <v>0</v>
      </c>
      <c r="S4917" s="7">
        <v>46008</v>
      </c>
      <c r="U4917" s="8">
        <v>480</v>
      </c>
      <c r="V4917" s="7">
        <v>46029</v>
      </c>
      <c r="X4917" s="8">
        <v>0</v>
      </c>
      <c r="Z4917" s="8">
        <v>480</v>
      </c>
      <c r="AA4917" s="7">
        <v>46043</v>
      </c>
      <c r="AC4917" s="8">
        <v>0</v>
      </c>
      <c r="AE4917" s="7">
        <v>46048</v>
      </c>
      <c r="AF4917" s="8">
        <v>0</v>
      </c>
      <c r="AH4917" s="7">
        <v>46048</v>
      </c>
      <c r="AN4917" s="8">
        <v>0</v>
      </c>
      <c r="AO4917" s="8">
        <v>480</v>
      </c>
    </row>
    <row r="4918" spans="1:41" x14ac:dyDescent="0.25">
      <c r="A4918" s="6" t="str">
        <f t="shared" si="1303"/>
        <v>525-2025000613</v>
      </c>
      <c r="B4918" s="6" t="str">
        <f t="shared" si="1307"/>
        <v>Lasa Int</v>
      </c>
      <c r="C4918" s="7">
        <v>46003</v>
      </c>
      <c r="D4918" s="7">
        <v>46048</v>
      </c>
      <c r="E4918" s="8">
        <v>25</v>
      </c>
      <c r="F4918" s="6" t="str">
        <f t="shared" si="1304"/>
        <v>PURE</v>
      </c>
      <c r="G4918" s="6" t="str">
        <f t="shared" si="1305"/>
        <v>F100021455000000</v>
      </c>
      <c r="H4918" s="6" t="str">
        <f t="shared" si="1306"/>
        <v>FA 214 - PURE - 550</v>
      </c>
      <c r="I4918" s="6" t="str">
        <f>"5148"</f>
        <v>5148</v>
      </c>
      <c r="J4918" s="6" t="str">
        <f>"BEGE 5148"</f>
        <v>BEGE 5148</v>
      </c>
      <c r="K4918" s="6" t="str">
        <f>"2020"</f>
        <v>2020</v>
      </c>
      <c r="L4918" s="6" t="str">
        <f>"Lençóis"</f>
        <v>Lençóis</v>
      </c>
      <c r="M4918" s="6" t="str">
        <f>"100x150"</f>
        <v>100x150</v>
      </c>
      <c r="N4918" s="6" t="str">
        <f>"5602972651423"</f>
        <v>5602972651423</v>
      </c>
      <c r="O4918" s="8">
        <v>320</v>
      </c>
      <c r="P4918" s="7">
        <v>46003</v>
      </c>
      <c r="R4918" s="8">
        <v>0</v>
      </c>
      <c r="S4918" s="7">
        <v>46008</v>
      </c>
      <c r="U4918" s="8">
        <v>320</v>
      </c>
      <c r="V4918" s="7">
        <v>46029</v>
      </c>
      <c r="X4918" s="8">
        <v>0</v>
      </c>
      <c r="Z4918" s="8">
        <v>320</v>
      </c>
      <c r="AA4918" s="7">
        <v>46043</v>
      </c>
      <c r="AC4918" s="8">
        <v>0</v>
      </c>
      <c r="AE4918" s="7">
        <v>46048</v>
      </c>
      <c r="AF4918" s="8">
        <v>0</v>
      </c>
      <c r="AH4918" s="7">
        <v>46048</v>
      </c>
      <c r="AN4918" s="8">
        <v>0</v>
      </c>
      <c r="AO4918" s="8">
        <v>320</v>
      </c>
    </row>
    <row r="4919" spans="1:41" x14ac:dyDescent="0.25">
      <c r="A4919" s="6" t="str">
        <f t="shared" si="1303"/>
        <v>525-2025000613</v>
      </c>
      <c r="B4919" s="6" t="str">
        <f t="shared" si="1307"/>
        <v>Lasa Int</v>
      </c>
      <c r="C4919" s="7">
        <v>46003</v>
      </c>
      <c r="D4919" s="7">
        <v>46048</v>
      </c>
      <c r="E4919" s="8">
        <v>26</v>
      </c>
      <c r="F4919" s="6" t="str">
        <f t="shared" si="1304"/>
        <v>PURE</v>
      </c>
      <c r="G4919" s="6" t="str">
        <f t="shared" si="1305"/>
        <v>F100021455000000</v>
      </c>
      <c r="H4919" s="6" t="str">
        <f t="shared" si="1306"/>
        <v>FA 214 - PURE - 550</v>
      </c>
      <c r="I4919" s="6" t="str">
        <f>"5855"</f>
        <v>5855</v>
      </c>
      <c r="J4919" s="6" t="str">
        <f>"AMARELO 5855"</f>
        <v>AMARELO 5855</v>
      </c>
      <c r="K4919" s="6" t="str">
        <f>"0530"</f>
        <v>0530</v>
      </c>
      <c r="L4919" s="6" t="str">
        <f>"Toalhetes"</f>
        <v>Toalhetes</v>
      </c>
      <c r="M4919" s="6" t="str">
        <f>"33x50"</f>
        <v>33x50</v>
      </c>
      <c r="N4919" s="6" t="str">
        <f>"5602972508802"</f>
        <v>5602972508802</v>
      </c>
      <c r="O4919" s="8">
        <v>450</v>
      </c>
      <c r="P4919" s="7">
        <v>46003</v>
      </c>
      <c r="R4919" s="8">
        <v>0</v>
      </c>
      <c r="S4919" s="7">
        <v>46008</v>
      </c>
      <c r="U4919" s="8">
        <v>450</v>
      </c>
      <c r="V4919" s="7">
        <v>46029</v>
      </c>
      <c r="X4919" s="8">
        <v>0</v>
      </c>
      <c r="Z4919" s="8">
        <v>450</v>
      </c>
      <c r="AA4919" s="7">
        <v>46043</v>
      </c>
      <c r="AC4919" s="8">
        <v>0</v>
      </c>
      <c r="AE4919" s="7">
        <v>46048</v>
      </c>
      <c r="AF4919" s="8">
        <v>0</v>
      </c>
      <c r="AH4919" s="7">
        <v>46048</v>
      </c>
      <c r="AN4919" s="8">
        <v>0</v>
      </c>
      <c r="AO4919" s="8">
        <v>450</v>
      </c>
    </row>
    <row r="4920" spans="1:41" x14ac:dyDescent="0.25">
      <c r="A4920" s="6" t="str">
        <f t="shared" si="1303"/>
        <v>525-2025000613</v>
      </c>
      <c r="B4920" s="6" t="str">
        <f t="shared" si="1307"/>
        <v>Lasa Int</v>
      </c>
      <c r="C4920" s="7">
        <v>46003</v>
      </c>
      <c r="D4920" s="7">
        <v>46048</v>
      </c>
      <c r="E4920" s="8">
        <v>27</v>
      </c>
      <c r="F4920" s="6" t="str">
        <f t="shared" si="1304"/>
        <v>PURE</v>
      </c>
      <c r="G4920" s="6" t="str">
        <f t="shared" si="1305"/>
        <v>F100021455000000</v>
      </c>
      <c r="H4920" s="6" t="str">
        <f t="shared" si="1306"/>
        <v>FA 214 - PURE - 550</v>
      </c>
      <c r="I4920" s="6" t="str">
        <f>"5855"</f>
        <v>5855</v>
      </c>
      <c r="J4920" s="6" t="str">
        <f>"AMARELO 5855"</f>
        <v>AMARELO 5855</v>
      </c>
      <c r="K4920" s="6" t="str">
        <f>"1024"</f>
        <v>1024</v>
      </c>
      <c r="L4920" s="6" t="str">
        <f>"Toalhas"</f>
        <v>Toalhas</v>
      </c>
      <c r="M4920" s="6" t="str">
        <f>"50x100"</f>
        <v>50x100</v>
      </c>
      <c r="N4920" s="6" t="str">
        <f>"5602972508819"</f>
        <v>5602972508819</v>
      </c>
      <c r="O4920" s="8">
        <v>240</v>
      </c>
      <c r="P4920" s="7">
        <v>46003</v>
      </c>
      <c r="R4920" s="8">
        <v>0</v>
      </c>
      <c r="S4920" s="7">
        <v>46008</v>
      </c>
      <c r="U4920" s="8">
        <v>240</v>
      </c>
      <c r="V4920" s="7">
        <v>46029</v>
      </c>
      <c r="X4920" s="8">
        <v>0</v>
      </c>
      <c r="Z4920" s="8">
        <v>240</v>
      </c>
      <c r="AA4920" s="7">
        <v>46043</v>
      </c>
      <c r="AC4920" s="8">
        <v>0</v>
      </c>
      <c r="AE4920" s="7">
        <v>46048</v>
      </c>
      <c r="AF4920" s="8">
        <v>0</v>
      </c>
      <c r="AH4920" s="7">
        <v>46048</v>
      </c>
      <c r="AN4920" s="8">
        <v>0</v>
      </c>
      <c r="AO4920" s="8">
        <v>240</v>
      </c>
    </row>
    <row r="4921" spans="1:41" x14ac:dyDescent="0.25">
      <c r="A4921" s="6" t="str">
        <f t="shared" si="1303"/>
        <v>525-2025000613</v>
      </c>
      <c r="B4921" s="6" t="str">
        <f t="shared" si="1307"/>
        <v>Lasa Int</v>
      </c>
      <c r="C4921" s="7">
        <v>46003</v>
      </c>
      <c r="D4921" s="7">
        <v>46048</v>
      </c>
      <c r="E4921" s="8">
        <v>28</v>
      </c>
      <c r="F4921" s="6" t="str">
        <f t="shared" si="1304"/>
        <v>PURE</v>
      </c>
      <c r="G4921" s="6" t="str">
        <f t="shared" si="1305"/>
        <v>F100021455000000</v>
      </c>
      <c r="H4921" s="6" t="str">
        <f t="shared" si="1306"/>
        <v>FA 214 - PURE - 550</v>
      </c>
      <c r="I4921" s="6" t="str">
        <f>"5855"</f>
        <v>5855</v>
      </c>
      <c r="J4921" s="6" t="str">
        <f>"AMARELO 5855"</f>
        <v>AMARELO 5855</v>
      </c>
      <c r="K4921" s="6" t="str">
        <f>"1535"</f>
        <v>1535</v>
      </c>
      <c r="L4921" s="6" t="str">
        <f>"Toalhões"</f>
        <v>Toalhões</v>
      </c>
      <c r="M4921" s="6" t="str">
        <f>"70x140"</f>
        <v>70x140</v>
      </c>
      <c r="N4921" s="6" t="str">
        <f>"5602972508826"</f>
        <v>5602972508826</v>
      </c>
      <c r="O4921" s="8">
        <v>360</v>
      </c>
      <c r="P4921" s="7">
        <v>46003</v>
      </c>
      <c r="R4921" s="8">
        <v>0</v>
      </c>
      <c r="S4921" s="7">
        <v>46008</v>
      </c>
      <c r="U4921" s="8">
        <v>360</v>
      </c>
      <c r="V4921" s="7">
        <v>46029</v>
      </c>
      <c r="X4921" s="8">
        <v>0</v>
      </c>
      <c r="Z4921" s="8">
        <v>360</v>
      </c>
      <c r="AA4921" s="7">
        <v>46043</v>
      </c>
      <c r="AC4921" s="8">
        <v>0</v>
      </c>
      <c r="AE4921" s="7">
        <v>46048</v>
      </c>
      <c r="AF4921" s="8">
        <v>0</v>
      </c>
      <c r="AH4921" s="7">
        <v>46048</v>
      </c>
      <c r="AN4921" s="8">
        <v>0</v>
      </c>
      <c r="AO4921" s="8">
        <v>360</v>
      </c>
    </row>
    <row r="4922" spans="1:41" x14ac:dyDescent="0.25">
      <c r="A4922" s="6" t="str">
        <f t="shared" si="1303"/>
        <v>525-2025000613</v>
      </c>
      <c r="B4922" s="6" t="str">
        <f t="shared" si="1307"/>
        <v>Lasa Int</v>
      </c>
      <c r="C4922" s="7">
        <v>46003</v>
      </c>
      <c r="D4922" s="7">
        <v>46048</v>
      </c>
      <c r="E4922" s="8">
        <v>29</v>
      </c>
      <c r="F4922" s="6" t="str">
        <f t="shared" si="1304"/>
        <v>PURE</v>
      </c>
      <c r="G4922" s="6" t="str">
        <f t="shared" si="1305"/>
        <v>F100021455000000</v>
      </c>
      <c r="H4922" s="6" t="str">
        <f t="shared" si="1306"/>
        <v>FA 214 - PURE - 550</v>
      </c>
      <c r="I4922" s="6" t="str">
        <f>"5855"</f>
        <v>5855</v>
      </c>
      <c r="J4922" s="6" t="str">
        <f>"AMARELO 5855"</f>
        <v>AMARELO 5855</v>
      </c>
      <c r="K4922" s="6" t="str">
        <f>"2020"</f>
        <v>2020</v>
      </c>
      <c r="L4922" s="6" t="str">
        <f>"Lençóis"</f>
        <v>Lençóis</v>
      </c>
      <c r="M4922" s="6" t="str">
        <f>"100x150"</f>
        <v>100x150</v>
      </c>
      <c r="N4922" s="6" t="str">
        <f>"5602972508833"</f>
        <v>5602972508833</v>
      </c>
      <c r="O4922" s="8">
        <v>80</v>
      </c>
      <c r="P4922" s="7">
        <v>46003</v>
      </c>
      <c r="R4922" s="8">
        <v>0</v>
      </c>
      <c r="S4922" s="7">
        <v>46008</v>
      </c>
      <c r="U4922" s="8">
        <v>80</v>
      </c>
      <c r="V4922" s="7">
        <v>46029</v>
      </c>
      <c r="X4922" s="8">
        <v>0</v>
      </c>
      <c r="Z4922" s="8">
        <v>80</v>
      </c>
      <c r="AA4922" s="7">
        <v>46043</v>
      </c>
      <c r="AC4922" s="8">
        <v>0</v>
      </c>
      <c r="AE4922" s="7">
        <v>46048</v>
      </c>
      <c r="AF4922" s="8">
        <v>0</v>
      </c>
      <c r="AH4922" s="7">
        <v>46048</v>
      </c>
      <c r="AN4922" s="8">
        <v>0</v>
      </c>
      <c r="AO4922" s="8">
        <v>80</v>
      </c>
    </row>
    <row r="4923" spans="1:41" x14ac:dyDescent="0.25">
      <c r="A4923" s="6" t="str">
        <f t="shared" si="1303"/>
        <v>525-2025000613</v>
      </c>
      <c r="B4923" s="6" t="str">
        <f t="shared" si="1307"/>
        <v>Lasa Int</v>
      </c>
      <c r="C4923" s="7">
        <v>46003</v>
      </c>
      <c r="D4923" s="7">
        <v>46048</v>
      </c>
      <c r="E4923" s="8">
        <v>30</v>
      </c>
      <c r="F4923" s="6" t="str">
        <f t="shared" si="1304"/>
        <v>PURE</v>
      </c>
      <c r="G4923" s="6" t="str">
        <f>"F161003770000000"</f>
        <v>F161003770000000</v>
      </c>
      <c r="H4923" s="6" t="str">
        <f>"TA 37 - 700 g/m²"</f>
        <v>TA 37 - 700 g/m²</v>
      </c>
      <c r="I4923" s="6" t="str">
        <f>"5148"</f>
        <v>5148</v>
      </c>
      <c r="J4923" s="6" t="str">
        <f>"BEGE 5148"</f>
        <v>BEGE 5148</v>
      </c>
      <c r="K4923" s="6" t="str">
        <f>"3012"</f>
        <v>3012</v>
      </c>
      <c r="L4923" s="6" t="str">
        <f>"Tapetes"</f>
        <v>Tapetes</v>
      </c>
      <c r="M4923" s="6" t="str">
        <f>"50x70"</f>
        <v>50x70</v>
      </c>
      <c r="N4923" s="6" t="str">
        <f>"5602972651539"</f>
        <v>5602972651539</v>
      </c>
      <c r="O4923" s="8">
        <v>200</v>
      </c>
      <c r="P4923" s="7">
        <v>46003</v>
      </c>
      <c r="R4923" s="8">
        <v>0</v>
      </c>
      <c r="S4923" s="7">
        <v>46008</v>
      </c>
      <c r="U4923" s="8">
        <v>200</v>
      </c>
      <c r="V4923" s="7">
        <v>46029</v>
      </c>
      <c r="X4923" s="8">
        <v>0</v>
      </c>
      <c r="Z4923" s="8">
        <v>200</v>
      </c>
      <c r="AA4923" s="7">
        <v>46043</v>
      </c>
      <c r="AC4923" s="8">
        <v>206</v>
      </c>
      <c r="AE4923" s="7">
        <v>46048</v>
      </c>
      <c r="AF4923" s="8">
        <v>206</v>
      </c>
      <c r="AH4923" s="7">
        <v>46048</v>
      </c>
      <c r="AN4923" s="8">
        <v>206</v>
      </c>
      <c r="AO4923" s="8">
        <v>-6</v>
      </c>
    </row>
    <row r="4924" spans="1:41" x14ac:dyDescent="0.25">
      <c r="A4924" s="6" t="str">
        <f>"525-2025000614"</f>
        <v>525-2025000614</v>
      </c>
      <c r="B4924" s="6" t="str">
        <f t="shared" si="1307"/>
        <v>Lasa Int</v>
      </c>
      <c r="C4924" s="7">
        <v>46006</v>
      </c>
      <c r="D4924" s="7">
        <v>46049</v>
      </c>
      <c r="E4924" s="8">
        <v>1</v>
      </c>
      <c r="F4924" s="6" t="str">
        <f>"Royal C"</f>
        <v>Royal C</v>
      </c>
      <c r="G4924" s="6" t="str">
        <f>"F110108765000000"</f>
        <v>F110108765000000</v>
      </c>
      <c r="H4924" s="6" t="str">
        <f>"FAJP 1087 M - ROYAL"</f>
        <v>FAJP 1087 M - ROYAL</v>
      </c>
      <c r="I4924" s="6" t="str">
        <f>"1"</f>
        <v>1</v>
      </c>
      <c r="J4924" s="6" t="str">
        <f>"BRANCO"</f>
        <v>BRANCO</v>
      </c>
      <c r="K4924" s="6" t="str">
        <f>"0330"</f>
        <v>0330</v>
      </c>
      <c r="L4924" s="6" t="str">
        <f>"Panos"</f>
        <v>Panos</v>
      </c>
      <c r="M4924" s="6" t="str">
        <f>"33x33"</f>
        <v>33x33</v>
      </c>
      <c r="N4924" s="6" t="str">
        <f>"5602972871777"</f>
        <v>5602972871777</v>
      </c>
      <c r="O4924" s="8">
        <v>600</v>
      </c>
      <c r="P4924" s="7">
        <v>46006</v>
      </c>
      <c r="R4924" s="8">
        <v>0</v>
      </c>
      <c r="S4924" s="7">
        <v>46009</v>
      </c>
      <c r="U4924" s="8">
        <v>600</v>
      </c>
      <c r="V4924" s="7">
        <v>46028</v>
      </c>
      <c r="X4924" s="8">
        <v>0</v>
      </c>
      <c r="Z4924" s="8">
        <v>600</v>
      </c>
      <c r="AA4924" s="7">
        <v>46038</v>
      </c>
      <c r="AC4924" s="8">
        <v>0</v>
      </c>
      <c r="AE4924" s="7">
        <v>46042</v>
      </c>
      <c r="AF4924" s="8">
        <v>0</v>
      </c>
      <c r="AH4924" s="7">
        <v>46407</v>
      </c>
      <c r="AN4924" s="8">
        <v>0</v>
      </c>
      <c r="AO4924" s="8">
        <v>600</v>
      </c>
    </row>
    <row r="4925" spans="1:41" x14ac:dyDescent="0.25">
      <c r="A4925" s="6" t="str">
        <f>"525-2025000614"</f>
        <v>525-2025000614</v>
      </c>
      <c r="B4925" s="6" t="str">
        <f t="shared" si="1307"/>
        <v>Lasa Int</v>
      </c>
      <c r="C4925" s="7">
        <v>46006</v>
      </c>
      <c r="D4925" s="7">
        <v>46049</v>
      </c>
      <c r="E4925" s="8">
        <v>2</v>
      </c>
      <c r="F4925" s="6" t="str">
        <f>"Royal C"</f>
        <v>Royal C</v>
      </c>
      <c r="G4925" s="6" t="str">
        <f>"F110108765000000"</f>
        <v>F110108765000000</v>
      </c>
      <c r="H4925" s="6" t="str">
        <f>"FAJP 1087 M - ROYAL"</f>
        <v>FAJP 1087 M - ROYAL</v>
      </c>
      <c r="I4925" s="6" t="str">
        <f>"1"</f>
        <v>1</v>
      </c>
      <c r="J4925" s="6" t="str">
        <f>"BRANCO"</f>
        <v>BRANCO</v>
      </c>
      <c r="K4925" s="6" t="str">
        <f>"0518"</f>
        <v>0518</v>
      </c>
      <c r="L4925" s="6" t="str">
        <f>"Toalhetes"</f>
        <v>Toalhetes</v>
      </c>
      <c r="M4925" s="6" t="str">
        <f>"40x60"</f>
        <v>40x60</v>
      </c>
      <c r="N4925" s="6" t="str">
        <f>"5602972871784"</f>
        <v>5602972871784</v>
      </c>
      <c r="O4925" s="8">
        <v>360</v>
      </c>
      <c r="P4925" s="7">
        <v>46006</v>
      </c>
      <c r="R4925" s="8">
        <v>0</v>
      </c>
      <c r="S4925" s="7">
        <v>46009</v>
      </c>
      <c r="U4925" s="8">
        <v>372</v>
      </c>
      <c r="V4925" s="7">
        <v>46028</v>
      </c>
      <c r="X4925" s="8">
        <v>0</v>
      </c>
      <c r="Z4925" s="8">
        <v>372</v>
      </c>
      <c r="AA4925" s="7">
        <v>46038</v>
      </c>
      <c r="AC4925" s="8">
        <v>342</v>
      </c>
      <c r="AE4925" s="7">
        <v>46042</v>
      </c>
      <c r="AF4925" s="8">
        <v>342</v>
      </c>
      <c r="AH4925" s="7">
        <v>46407</v>
      </c>
      <c r="AN4925" s="8">
        <v>342</v>
      </c>
      <c r="AO4925" s="8">
        <v>18</v>
      </c>
    </row>
    <row r="4926" spans="1:41" x14ac:dyDescent="0.25">
      <c r="A4926" s="6" t="str">
        <f>"525-2025000614"</f>
        <v>525-2025000614</v>
      </c>
      <c r="B4926" s="6" t="str">
        <f t="shared" si="1307"/>
        <v>Lasa Int</v>
      </c>
      <c r="C4926" s="7">
        <v>46006</v>
      </c>
      <c r="D4926" s="7">
        <v>46049</v>
      </c>
      <c r="E4926" s="8">
        <v>3</v>
      </c>
      <c r="F4926" s="6" t="str">
        <f>"Royal C"</f>
        <v>Royal C</v>
      </c>
      <c r="G4926" s="6" t="str">
        <f>"F110108765000000"</f>
        <v>F110108765000000</v>
      </c>
      <c r="H4926" s="6" t="str">
        <f>"FAJP 1087 M - ROYAL"</f>
        <v>FAJP 1087 M - ROYAL</v>
      </c>
      <c r="I4926" s="6" t="str">
        <f>"1"</f>
        <v>1</v>
      </c>
      <c r="J4926" s="6" t="str">
        <f>"BRANCO"</f>
        <v>BRANCO</v>
      </c>
      <c r="K4926" s="6" t="str">
        <f>"1024"</f>
        <v>1024</v>
      </c>
      <c r="L4926" s="6" t="str">
        <f>"Toalhas"</f>
        <v>Toalhas</v>
      </c>
      <c r="M4926" s="6" t="str">
        <f>"50x100"</f>
        <v>50x100</v>
      </c>
      <c r="N4926" s="6" t="str">
        <f>"5602972871791"</f>
        <v>5602972871791</v>
      </c>
      <c r="O4926" s="8">
        <v>240</v>
      </c>
      <c r="P4926" s="7">
        <v>46006</v>
      </c>
      <c r="R4926" s="8">
        <v>556</v>
      </c>
      <c r="S4926" s="7">
        <v>46009</v>
      </c>
      <c r="U4926" s="8">
        <v>240</v>
      </c>
      <c r="V4926" s="7">
        <v>46028</v>
      </c>
      <c r="X4926" s="8">
        <v>0</v>
      </c>
      <c r="Z4926" s="8">
        <v>240</v>
      </c>
      <c r="AA4926" s="7">
        <v>46038</v>
      </c>
      <c r="AC4926" s="8">
        <v>0</v>
      </c>
      <c r="AE4926" s="7">
        <v>46042</v>
      </c>
      <c r="AF4926" s="8">
        <v>0</v>
      </c>
      <c r="AH4926" s="7">
        <v>46407</v>
      </c>
      <c r="AN4926" s="8">
        <v>0</v>
      </c>
      <c r="AO4926" s="8">
        <v>240</v>
      </c>
    </row>
    <row r="4927" spans="1:41" x14ac:dyDescent="0.25">
      <c r="A4927" s="6" t="str">
        <f t="shared" ref="A4927:A4934" si="1308">"525-2025000615"</f>
        <v>525-2025000615</v>
      </c>
      <c r="B4927" s="6" t="str">
        <f t="shared" ref="B4927:B4934" si="1309">"KLEINMAN"</f>
        <v>KLEINMAN</v>
      </c>
      <c r="C4927" s="7">
        <v>46008</v>
      </c>
      <c r="D4927" s="7">
        <v>46037</v>
      </c>
      <c r="E4927" s="8">
        <v>1</v>
      </c>
      <c r="F4927" s="6" t="str">
        <f t="shared" ref="F4927:F4934" si="1310">"Hirsch"</f>
        <v>Hirsch</v>
      </c>
      <c r="G4927" s="6" t="str">
        <f>"F130023460002394"</f>
        <v>F130023460002394</v>
      </c>
      <c r="H4927" s="6" t="str">
        <f>"FAP 234 / 2394 - 600"</f>
        <v>FAP 234 / 2394 - 600</v>
      </c>
      <c r="I4927" s="6" t="str">
        <f>"501202"</f>
        <v>501202</v>
      </c>
      <c r="J4927" s="6" t="str">
        <f>"BRANCO /Cinza Escu"</f>
        <v>BRANCO /Cinza Escu</v>
      </c>
      <c r="K4927" s="6" t="str">
        <f>"0520"</f>
        <v>0520</v>
      </c>
      <c r="L4927" s="6" t="str">
        <f>"Toalhetes"</f>
        <v>Toalhetes</v>
      </c>
      <c r="M4927" s="6" t="str">
        <f>"30x50"</f>
        <v>30x50</v>
      </c>
      <c r="N4927" s="6" t="str">
        <f>"5605247644144"</f>
        <v>5605247644144</v>
      </c>
      <c r="O4927" s="8">
        <v>24</v>
      </c>
      <c r="P4927" s="7">
        <v>46008</v>
      </c>
      <c r="R4927" s="8">
        <v>0</v>
      </c>
      <c r="U4927" s="8">
        <v>0</v>
      </c>
      <c r="X4927" s="8">
        <v>0</v>
      </c>
      <c r="Z4927" s="8">
        <v>0</v>
      </c>
      <c r="AC4927" s="8">
        <v>24</v>
      </c>
      <c r="AE4927" s="7">
        <v>46020</v>
      </c>
      <c r="AF4927" s="8">
        <v>24</v>
      </c>
      <c r="AH4927" s="7">
        <v>46037</v>
      </c>
      <c r="AN4927" s="8">
        <v>24</v>
      </c>
      <c r="AO4927" s="8">
        <v>0</v>
      </c>
    </row>
    <row r="4928" spans="1:41" x14ac:dyDescent="0.25">
      <c r="A4928" s="6" t="str">
        <f t="shared" si="1308"/>
        <v>525-2025000615</v>
      </c>
      <c r="B4928" s="6" t="str">
        <f t="shared" si="1309"/>
        <v>KLEINMAN</v>
      </c>
      <c r="C4928" s="7">
        <v>46008</v>
      </c>
      <c r="D4928" s="7">
        <v>46037</v>
      </c>
      <c r="E4928" s="8">
        <v>2</v>
      </c>
      <c r="F4928" s="6" t="str">
        <f t="shared" si="1310"/>
        <v>Hirsch</v>
      </c>
      <c r="G4928" s="6" t="str">
        <f>"F130023460002394"</f>
        <v>F130023460002394</v>
      </c>
      <c r="H4928" s="6" t="str">
        <f>"FAP 234 / 2394 - 600"</f>
        <v>FAP 234 / 2394 - 600</v>
      </c>
      <c r="I4928" s="6" t="str">
        <f>"501202"</f>
        <v>501202</v>
      </c>
      <c r="J4928" s="6" t="str">
        <f>"BRANCO /Cinza Escu"</f>
        <v>BRANCO /Cinza Escu</v>
      </c>
      <c r="K4928" s="6" t="str">
        <f>"1024"</f>
        <v>1024</v>
      </c>
      <c r="L4928" s="6" t="str">
        <f>"Toalhas"</f>
        <v>Toalhas</v>
      </c>
      <c r="M4928" s="6" t="str">
        <f>"50x100"</f>
        <v>50x100</v>
      </c>
      <c r="N4928" s="6" t="str">
        <f>"5605247644151"</f>
        <v>5605247644151</v>
      </c>
      <c r="O4928" s="8">
        <v>24</v>
      </c>
      <c r="P4928" s="7">
        <v>46008</v>
      </c>
      <c r="R4928" s="8">
        <v>0</v>
      </c>
      <c r="U4928" s="8">
        <v>0</v>
      </c>
      <c r="X4928" s="8">
        <v>0</v>
      </c>
      <c r="Z4928" s="8">
        <v>0</v>
      </c>
      <c r="AC4928" s="8">
        <v>24</v>
      </c>
      <c r="AE4928" s="7">
        <v>46020</v>
      </c>
      <c r="AF4928" s="8">
        <v>24</v>
      </c>
      <c r="AH4928" s="7">
        <v>46037</v>
      </c>
      <c r="AN4928" s="8">
        <v>24</v>
      </c>
      <c r="AO4928" s="8">
        <v>0</v>
      </c>
    </row>
    <row r="4929" spans="1:41" x14ac:dyDescent="0.25">
      <c r="A4929" s="6" t="str">
        <f t="shared" si="1308"/>
        <v>525-2025000615</v>
      </c>
      <c r="B4929" s="6" t="str">
        <f t="shared" si="1309"/>
        <v>KLEINMAN</v>
      </c>
      <c r="C4929" s="7">
        <v>46008</v>
      </c>
      <c r="D4929" s="7">
        <v>46037</v>
      </c>
      <c r="E4929" s="8">
        <v>3</v>
      </c>
      <c r="F4929" s="6" t="str">
        <f t="shared" si="1310"/>
        <v>Hirsch</v>
      </c>
      <c r="G4929" s="6" t="str">
        <f>"F130023460002394"</f>
        <v>F130023460002394</v>
      </c>
      <c r="H4929" s="6" t="str">
        <f>"FAP 234 / 2394 - 600"</f>
        <v>FAP 234 / 2394 - 600</v>
      </c>
      <c r="I4929" s="6" t="str">
        <f>"501202"</f>
        <v>501202</v>
      </c>
      <c r="J4929" s="6" t="str">
        <f>"BRANCO /Cinza Escu"</f>
        <v>BRANCO /Cinza Escu</v>
      </c>
      <c r="K4929" s="6" t="str">
        <f>"1532"</f>
        <v>1532</v>
      </c>
      <c r="L4929" s="6" t="str">
        <f>"Toalhões"</f>
        <v>Toalhões</v>
      </c>
      <c r="M4929" s="6" t="str">
        <f>"70x130"</f>
        <v>70x130</v>
      </c>
      <c r="N4929" s="6" t="str">
        <f>"5605247644168"</f>
        <v>5605247644168</v>
      </c>
      <c r="O4929" s="8">
        <v>24</v>
      </c>
      <c r="P4929" s="7">
        <v>46008</v>
      </c>
      <c r="R4929" s="8">
        <v>0</v>
      </c>
      <c r="U4929" s="8">
        <v>0</v>
      </c>
      <c r="X4929" s="8">
        <v>0</v>
      </c>
      <c r="Z4929" s="8">
        <v>0</v>
      </c>
      <c r="AC4929" s="8">
        <v>24</v>
      </c>
      <c r="AE4929" s="7">
        <v>46020</v>
      </c>
      <c r="AF4929" s="8">
        <v>24</v>
      </c>
      <c r="AH4929" s="7">
        <v>46037</v>
      </c>
      <c r="AN4929" s="8">
        <v>24</v>
      </c>
      <c r="AO4929" s="8">
        <v>0</v>
      </c>
    </row>
    <row r="4930" spans="1:41" x14ac:dyDescent="0.25">
      <c r="A4930" s="6" t="str">
        <f t="shared" si="1308"/>
        <v>525-2025000615</v>
      </c>
      <c r="B4930" s="6" t="str">
        <f t="shared" si="1309"/>
        <v>KLEINMAN</v>
      </c>
      <c r="C4930" s="7">
        <v>46008</v>
      </c>
      <c r="D4930" s="7">
        <v>46037</v>
      </c>
      <c r="E4930" s="8">
        <v>4</v>
      </c>
      <c r="F4930" s="6" t="str">
        <f t="shared" si="1310"/>
        <v>Hirsch</v>
      </c>
      <c r="G4930" s="6" t="str">
        <f>"F130023460002394"</f>
        <v>F130023460002394</v>
      </c>
      <c r="H4930" s="6" t="str">
        <f>"FAP 234 / 2394 - 600"</f>
        <v>FAP 234 / 2394 - 600</v>
      </c>
      <c r="I4930" s="6" t="str">
        <f>"900196"</f>
        <v>900196</v>
      </c>
      <c r="J4930" s="6" t="str">
        <f>"4 branco/verde"</f>
        <v>4 branco/verde</v>
      </c>
      <c r="K4930" s="6" t="str">
        <f>"0520"</f>
        <v>0520</v>
      </c>
      <c r="L4930" s="6" t="str">
        <f>"Toalhetes"</f>
        <v>Toalhetes</v>
      </c>
      <c r="M4930" s="6" t="str">
        <f>"30x50"</f>
        <v>30x50</v>
      </c>
      <c r="N4930" s="6" t="str">
        <f>"5605247912441"</f>
        <v>5605247912441</v>
      </c>
      <c r="O4930" s="8">
        <v>24</v>
      </c>
      <c r="P4930" s="7">
        <v>46008</v>
      </c>
      <c r="R4930" s="8">
        <v>0</v>
      </c>
      <c r="U4930" s="8">
        <v>0</v>
      </c>
      <c r="X4930" s="8">
        <v>0</v>
      </c>
      <c r="Z4930" s="8">
        <v>0</v>
      </c>
      <c r="AC4930" s="8">
        <v>24</v>
      </c>
      <c r="AE4930" s="7">
        <v>46020</v>
      </c>
      <c r="AF4930" s="8">
        <v>24</v>
      </c>
      <c r="AH4930" s="7">
        <v>46037</v>
      </c>
      <c r="AN4930" s="8">
        <v>24</v>
      </c>
      <c r="AO4930" s="8">
        <v>0</v>
      </c>
    </row>
    <row r="4931" spans="1:41" x14ac:dyDescent="0.25">
      <c r="A4931" s="6" t="str">
        <f t="shared" si="1308"/>
        <v>525-2025000615</v>
      </c>
      <c r="B4931" s="6" t="str">
        <f t="shared" si="1309"/>
        <v>KLEINMAN</v>
      </c>
      <c r="C4931" s="7">
        <v>46008</v>
      </c>
      <c r="D4931" s="7">
        <v>46037</v>
      </c>
      <c r="E4931" s="8">
        <v>5</v>
      </c>
      <c r="F4931" s="6" t="str">
        <f t="shared" si="1310"/>
        <v>Hirsch</v>
      </c>
      <c r="G4931" s="6" t="str">
        <f>"F130023460002394"</f>
        <v>F130023460002394</v>
      </c>
      <c r="H4931" s="6" t="str">
        <f>"FAP 234 / 2394 - 600"</f>
        <v>FAP 234 / 2394 - 600</v>
      </c>
      <c r="I4931" s="6" t="str">
        <f>"900196"</f>
        <v>900196</v>
      </c>
      <c r="J4931" s="6" t="str">
        <f>"4 branco/verde"</f>
        <v>4 branco/verde</v>
      </c>
      <c r="K4931" s="6" t="str">
        <f>"1532"</f>
        <v>1532</v>
      </c>
      <c r="L4931" s="6" t="str">
        <f>"Toalhões"</f>
        <v>Toalhões</v>
      </c>
      <c r="M4931" s="6" t="str">
        <f>"70x130"</f>
        <v>70x130</v>
      </c>
      <c r="N4931" s="6" t="str">
        <f>"5605247912465"</f>
        <v>5605247912465</v>
      </c>
      <c r="O4931" s="8">
        <v>24</v>
      </c>
      <c r="P4931" s="7">
        <v>46008</v>
      </c>
      <c r="R4931" s="8">
        <v>0</v>
      </c>
      <c r="U4931" s="8">
        <v>0</v>
      </c>
      <c r="X4931" s="8">
        <v>0</v>
      </c>
      <c r="Z4931" s="8">
        <v>0</v>
      </c>
      <c r="AC4931" s="8">
        <v>24</v>
      </c>
      <c r="AE4931" s="7">
        <v>46020</v>
      </c>
      <c r="AF4931" s="8">
        <v>24</v>
      </c>
      <c r="AH4931" s="7">
        <v>46037</v>
      </c>
      <c r="AN4931" s="8">
        <v>24</v>
      </c>
      <c r="AO4931" s="8">
        <v>0</v>
      </c>
    </row>
    <row r="4932" spans="1:41" x14ac:dyDescent="0.25">
      <c r="A4932" s="6" t="str">
        <f t="shared" si="1308"/>
        <v>525-2025000615</v>
      </c>
      <c r="B4932" s="6" t="str">
        <f t="shared" si="1309"/>
        <v>KLEINMAN</v>
      </c>
      <c r="C4932" s="7">
        <v>46008</v>
      </c>
      <c r="D4932" s="7">
        <v>46037</v>
      </c>
      <c r="E4932" s="8">
        <v>6</v>
      </c>
      <c r="F4932" s="6" t="str">
        <f t="shared" si="1310"/>
        <v>Hirsch</v>
      </c>
      <c r="G4932" s="6" t="str">
        <f>"F161003770002394"</f>
        <v>F161003770002394</v>
      </c>
      <c r="H4932" s="6" t="str">
        <f>"TA 37 / 2394 - 700 g"</f>
        <v>TA 37 / 2394 - 700 g</v>
      </c>
      <c r="I4932" s="6" t="str">
        <f>"501202"</f>
        <v>501202</v>
      </c>
      <c r="J4932" s="6" t="str">
        <f>"BRANCO /Cinza Escu"</f>
        <v>BRANCO /Cinza Escu</v>
      </c>
      <c r="K4932" s="6" t="str">
        <f>"3012"</f>
        <v>3012</v>
      </c>
      <c r="L4932" s="6" t="str">
        <f>"Tapetes"</f>
        <v>Tapetes</v>
      </c>
      <c r="M4932" s="6" t="str">
        <f>"50x70"</f>
        <v>50x70</v>
      </c>
      <c r="N4932" s="6" t="str">
        <f>"5605247930896"</f>
        <v>5605247930896</v>
      </c>
      <c r="O4932" s="8">
        <v>12</v>
      </c>
      <c r="P4932" s="7">
        <v>46008</v>
      </c>
      <c r="R4932" s="8">
        <v>0</v>
      </c>
      <c r="U4932" s="8">
        <v>0</v>
      </c>
      <c r="X4932" s="8">
        <v>0</v>
      </c>
      <c r="Z4932" s="8">
        <v>0</v>
      </c>
      <c r="AC4932" s="8">
        <v>12</v>
      </c>
      <c r="AE4932" s="7">
        <v>46020</v>
      </c>
      <c r="AF4932" s="8">
        <v>12</v>
      </c>
      <c r="AH4932" s="7">
        <v>46037</v>
      </c>
      <c r="AN4932" s="8">
        <v>12</v>
      </c>
      <c r="AO4932" s="8">
        <v>0</v>
      </c>
    </row>
    <row r="4933" spans="1:41" x14ac:dyDescent="0.25">
      <c r="A4933" s="6" t="str">
        <f t="shared" si="1308"/>
        <v>525-2025000615</v>
      </c>
      <c r="B4933" s="6" t="str">
        <f t="shared" si="1309"/>
        <v>KLEINMAN</v>
      </c>
      <c r="C4933" s="7">
        <v>46008</v>
      </c>
      <c r="D4933" s="7">
        <v>46037</v>
      </c>
      <c r="E4933" s="8">
        <v>7</v>
      </c>
      <c r="F4933" s="6" t="str">
        <f t="shared" si="1310"/>
        <v>Hirsch</v>
      </c>
      <c r="G4933" s="6" t="str">
        <f>"F161003770002394"</f>
        <v>F161003770002394</v>
      </c>
      <c r="H4933" s="6" t="str">
        <f>"TA 37 / 2394 - 700 g"</f>
        <v>TA 37 / 2394 - 700 g</v>
      </c>
      <c r="I4933" s="6" t="str">
        <f>"900195"</f>
        <v>900195</v>
      </c>
      <c r="J4933" s="6" t="str">
        <f>"2 Branco/Vermelh"</f>
        <v>2 Branco/Vermelh</v>
      </c>
      <c r="K4933" s="6" t="str">
        <f>"3012"</f>
        <v>3012</v>
      </c>
      <c r="L4933" s="6" t="str">
        <f>"Tapetes"</f>
        <v>Tapetes</v>
      </c>
      <c r="M4933" s="6" t="str">
        <f>"50x70"</f>
        <v>50x70</v>
      </c>
      <c r="N4933" s="6" t="str">
        <f>"5605247922143"</f>
        <v>5605247922143</v>
      </c>
      <c r="O4933" s="8">
        <v>12</v>
      </c>
      <c r="P4933" s="7">
        <v>46008</v>
      </c>
      <c r="R4933" s="8">
        <v>0</v>
      </c>
      <c r="U4933" s="8">
        <v>0</v>
      </c>
      <c r="X4933" s="8">
        <v>0</v>
      </c>
      <c r="Z4933" s="8">
        <v>0</v>
      </c>
      <c r="AC4933" s="8">
        <v>12</v>
      </c>
      <c r="AE4933" s="7">
        <v>46020</v>
      </c>
      <c r="AF4933" s="8">
        <v>12</v>
      </c>
      <c r="AH4933" s="7">
        <v>46037</v>
      </c>
      <c r="AN4933" s="8">
        <v>12</v>
      </c>
      <c r="AO4933" s="8">
        <v>0</v>
      </c>
    </row>
    <row r="4934" spans="1:41" x14ac:dyDescent="0.25">
      <c r="A4934" s="6" t="str">
        <f t="shared" si="1308"/>
        <v>525-2025000615</v>
      </c>
      <c r="B4934" s="6" t="str">
        <f t="shared" si="1309"/>
        <v>KLEINMAN</v>
      </c>
      <c r="C4934" s="7">
        <v>46008</v>
      </c>
      <c r="D4934" s="7">
        <v>46037</v>
      </c>
      <c r="E4934" s="8">
        <v>8</v>
      </c>
      <c r="F4934" s="6" t="str">
        <f t="shared" si="1310"/>
        <v>Hirsch</v>
      </c>
      <c r="G4934" s="6" t="str">
        <f>"F161003770002394"</f>
        <v>F161003770002394</v>
      </c>
      <c r="H4934" s="6" t="str">
        <f>"TA 37 / 2394 - 700 g"</f>
        <v>TA 37 / 2394 - 700 g</v>
      </c>
      <c r="I4934" s="6" t="str">
        <f>"900196"</f>
        <v>900196</v>
      </c>
      <c r="J4934" s="6" t="str">
        <f>"4 branco/verde"</f>
        <v>4 branco/verde</v>
      </c>
      <c r="K4934" s="6" t="str">
        <f>"3012"</f>
        <v>3012</v>
      </c>
      <c r="L4934" s="6" t="str">
        <f>"Tapetes"</f>
        <v>Tapetes</v>
      </c>
      <c r="M4934" s="6" t="str">
        <f>"50x70"</f>
        <v>50x70</v>
      </c>
      <c r="N4934" s="6" t="str">
        <f>"5605247922150"</f>
        <v>5605247922150</v>
      </c>
      <c r="O4934" s="8">
        <v>12</v>
      </c>
      <c r="P4934" s="7">
        <v>46008</v>
      </c>
      <c r="R4934" s="8">
        <v>0</v>
      </c>
      <c r="U4934" s="8">
        <v>0</v>
      </c>
      <c r="X4934" s="8">
        <v>0</v>
      </c>
      <c r="Z4934" s="8">
        <v>0</v>
      </c>
      <c r="AC4934" s="8">
        <v>12</v>
      </c>
      <c r="AE4934" s="7">
        <v>46020</v>
      </c>
      <c r="AF4934" s="8">
        <v>12</v>
      </c>
      <c r="AH4934" s="7">
        <v>46037</v>
      </c>
      <c r="AN4934" s="8">
        <v>12</v>
      </c>
      <c r="AO4934" s="8">
        <v>0</v>
      </c>
    </row>
    <row r="4935" spans="1:41" x14ac:dyDescent="0.25">
      <c r="A4935" s="6" t="str">
        <f>"525-2025000616"</f>
        <v>525-2025000616</v>
      </c>
      <c r="B4935" s="6" t="str">
        <f t="shared" ref="B4935:B4966" si="1311">"Lasa Int"</f>
        <v>Lasa Int</v>
      </c>
      <c r="C4935" s="7">
        <v>46008</v>
      </c>
      <c r="D4935" s="7">
        <v>46044</v>
      </c>
      <c r="E4935" s="8">
        <v>1</v>
      </c>
      <c r="F4935" s="6" t="str">
        <f>"PURE"</f>
        <v>PURE</v>
      </c>
      <c r="G4935" s="6" t="str">
        <f>"F100021455000000"</f>
        <v>F100021455000000</v>
      </c>
      <c r="H4935" s="6" t="str">
        <f>"FA 214 - PURE - 550"</f>
        <v>FA 214 - PURE - 550</v>
      </c>
      <c r="I4935" s="6" t="str">
        <f>"121"</f>
        <v>121</v>
      </c>
      <c r="J4935" s="6" t="str">
        <f>"ROSA 121"</f>
        <v>ROSA 121</v>
      </c>
      <c r="K4935" s="6" t="str">
        <f>"0530"</f>
        <v>0530</v>
      </c>
      <c r="L4935" s="6" t="str">
        <f>"Toalhetes"</f>
        <v>Toalhetes</v>
      </c>
      <c r="M4935" s="6" t="str">
        <f>"33x50"</f>
        <v>33x50</v>
      </c>
      <c r="N4935" s="6" t="str">
        <f>"5602972877984"</f>
        <v>5602972877984</v>
      </c>
      <c r="O4935" s="8">
        <v>450</v>
      </c>
      <c r="P4935" s="7">
        <v>46008</v>
      </c>
      <c r="R4935" s="8">
        <v>0</v>
      </c>
      <c r="S4935" s="7">
        <v>46013</v>
      </c>
      <c r="U4935" s="8">
        <v>450</v>
      </c>
      <c r="V4935" s="7">
        <v>46030</v>
      </c>
      <c r="X4935" s="8">
        <v>0</v>
      </c>
      <c r="Z4935" s="8">
        <v>450</v>
      </c>
      <c r="AA4935" s="7">
        <v>46042</v>
      </c>
      <c r="AC4935" s="8">
        <v>0</v>
      </c>
      <c r="AE4935" s="7">
        <v>46044</v>
      </c>
      <c r="AF4935" s="8">
        <v>0</v>
      </c>
      <c r="AH4935" s="7">
        <v>46044</v>
      </c>
      <c r="AN4935" s="8">
        <v>0</v>
      </c>
      <c r="AO4935" s="8">
        <v>450</v>
      </c>
    </row>
    <row r="4936" spans="1:41" x14ac:dyDescent="0.25">
      <c r="A4936" s="6" t="str">
        <f>"525-2025000616"</f>
        <v>525-2025000616</v>
      </c>
      <c r="B4936" s="6" t="str">
        <f t="shared" si="1311"/>
        <v>Lasa Int</v>
      </c>
      <c r="C4936" s="7">
        <v>46008</v>
      </c>
      <c r="D4936" s="7">
        <v>46044</v>
      </c>
      <c r="E4936" s="8">
        <v>2</v>
      </c>
      <c r="F4936" s="6" t="str">
        <f>"PURE"</f>
        <v>PURE</v>
      </c>
      <c r="G4936" s="6" t="str">
        <f>"F100021455000000"</f>
        <v>F100021455000000</v>
      </c>
      <c r="H4936" s="6" t="str">
        <f>"FA 214 - PURE - 550"</f>
        <v>FA 214 - PURE - 550</v>
      </c>
      <c r="I4936" s="6" t="str">
        <f>"121"</f>
        <v>121</v>
      </c>
      <c r="J4936" s="6" t="str">
        <f>"ROSA 121"</f>
        <v>ROSA 121</v>
      </c>
      <c r="K4936" s="6" t="str">
        <f>"1024"</f>
        <v>1024</v>
      </c>
      <c r="L4936" s="6" t="str">
        <f>"Toalhas"</f>
        <v>Toalhas</v>
      </c>
      <c r="M4936" s="6" t="str">
        <f>"50x100"</f>
        <v>50x100</v>
      </c>
      <c r="N4936" s="6" t="str">
        <f>"5602972877991"</f>
        <v>5602972877991</v>
      </c>
      <c r="O4936" s="8">
        <v>480</v>
      </c>
      <c r="P4936" s="7">
        <v>46008</v>
      </c>
      <c r="R4936" s="8">
        <v>0</v>
      </c>
      <c r="S4936" s="7">
        <v>46013</v>
      </c>
      <c r="U4936" s="8">
        <v>480</v>
      </c>
      <c r="V4936" s="7">
        <v>46030</v>
      </c>
      <c r="X4936" s="8">
        <v>0</v>
      </c>
      <c r="Z4936" s="8">
        <v>480</v>
      </c>
      <c r="AA4936" s="7">
        <v>46042</v>
      </c>
      <c r="AC4936" s="8">
        <v>0</v>
      </c>
      <c r="AE4936" s="7">
        <v>46044</v>
      </c>
      <c r="AF4936" s="8">
        <v>0</v>
      </c>
      <c r="AH4936" s="7">
        <v>46044</v>
      </c>
      <c r="AN4936" s="8">
        <v>410</v>
      </c>
      <c r="AO4936" s="8">
        <v>70</v>
      </c>
    </row>
    <row r="4937" spans="1:41" x14ac:dyDescent="0.25">
      <c r="A4937" s="6" t="str">
        <f>"525-2025000616"</f>
        <v>525-2025000616</v>
      </c>
      <c r="B4937" s="6" t="str">
        <f t="shared" si="1311"/>
        <v>Lasa Int</v>
      </c>
      <c r="C4937" s="7">
        <v>46008</v>
      </c>
      <c r="D4937" s="7">
        <v>46044</v>
      </c>
      <c r="E4937" s="8">
        <v>3</v>
      </c>
      <c r="F4937" s="6" t="str">
        <f>"PURE"</f>
        <v>PURE</v>
      </c>
      <c r="G4937" s="6" t="str">
        <f>"F100021455000000"</f>
        <v>F100021455000000</v>
      </c>
      <c r="H4937" s="6" t="str">
        <f>"FA 214 - PURE - 550"</f>
        <v>FA 214 - PURE - 550</v>
      </c>
      <c r="I4937" s="6" t="str">
        <f>"121"</f>
        <v>121</v>
      </c>
      <c r="J4937" s="6" t="str">
        <f>"ROSA 121"</f>
        <v>ROSA 121</v>
      </c>
      <c r="K4937" s="6" t="str">
        <f>"1535"</f>
        <v>1535</v>
      </c>
      <c r="L4937" s="6" t="str">
        <f>"Toalhões"</f>
        <v>Toalhões</v>
      </c>
      <c r="M4937" s="6" t="str">
        <f>"70x140"</f>
        <v>70x140</v>
      </c>
      <c r="N4937" s="6" t="str">
        <f>"5602972878004"</f>
        <v>5602972878004</v>
      </c>
      <c r="O4937" s="8">
        <v>360</v>
      </c>
      <c r="P4937" s="7">
        <v>46008</v>
      </c>
      <c r="R4937" s="8">
        <v>0</v>
      </c>
      <c r="S4937" s="7">
        <v>46013</v>
      </c>
      <c r="U4937" s="8">
        <v>360</v>
      </c>
      <c r="V4937" s="7">
        <v>46030</v>
      </c>
      <c r="X4937" s="8">
        <v>0</v>
      </c>
      <c r="Z4937" s="8">
        <v>360</v>
      </c>
      <c r="AA4937" s="7">
        <v>46042</v>
      </c>
      <c r="AC4937" s="8">
        <v>207</v>
      </c>
      <c r="AE4937" s="7">
        <v>46044</v>
      </c>
      <c r="AF4937" s="8">
        <v>207</v>
      </c>
      <c r="AH4937" s="7">
        <v>46044</v>
      </c>
      <c r="AN4937" s="8">
        <v>207</v>
      </c>
      <c r="AO4937" s="8">
        <v>153</v>
      </c>
    </row>
    <row r="4938" spans="1:41" x14ac:dyDescent="0.25">
      <c r="A4938" s="6" t="str">
        <f>"525-2025000616"</f>
        <v>525-2025000616</v>
      </c>
      <c r="B4938" s="6" t="str">
        <f t="shared" si="1311"/>
        <v>Lasa Int</v>
      </c>
      <c r="C4938" s="7">
        <v>46008</v>
      </c>
      <c r="D4938" s="7">
        <v>46044</v>
      </c>
      <c r="E4938" s="8">
        <v>4</v>
      </c>
      <c r="F4938" s="6" t="str">
        <f>"PURE"</f>
        <v>PURE</v>
      </c>
      <c r="G4938" s="6" t="str">
        <f>"F100021455000000"</f>
        <v>F100021455000000</v>
      </c>
      <c r="H4938" s="6" t="str">
        <f>"FA 214 - PURE - 550"</f>
        <v>FA 214 - PURE - 550</v>
      </c>
      <c r="I4938" s="6" t="str">
        <f>"121"</f>
        <v>121</v>
      </c>
      <c r="J4938" s="6" t="str">
        <f>"ROSA 121"</f>
        <v>ROSA 121</v>
      </c>
      <c r="K4938" s="6" t="str">
        <f>"2020"</f>
        <v>2020</v>
      </c>
      <c r="L4938" s="6" t="str">
        <f>"Lençóis"</f>
        <v>Lençóis</v>
      </c>
      <c r="M4938" s="6" t="str">
        <f>"100x150"</f>
        <v>100x150</v>
      </c>
      <c r="N4938" s="6" t="str">
        <f>"5602972878011"</f>
        <v>5602972878011</v>
      </c>
      <c r="O4938" s="8">
        <v>160</v>
      </c>
      <c r="P4938" s="7">
        <v>46008</v>
      </c>
      <c r="R4938" s="8">
        <v>0</v>
      </c>
      <c r="S4938" s="7">
        <v>46013</v>
      </c>
      <c r="U4938" s="8">
        <v>160</v>
      </c>
      <c r="V4938" s="7">
        <v>46030</v>
      </c>
      <c r="X4938" s="8">
        <v>0</v>
      </c>
      <c r="Z4938" s="8">
        <v>160</v>
      </c>
      <c r="AA4938" s="7">
        <v>46042</v>
      </c>
      <c r="AC4938" s="8">
        <v>82</v>
      </c>
      <c r="AE4938" s="7">
        <v>46044</v>
      </c>
      <c r="AF4938" s="8">
        <v>82</v>
      </c>
      <c r="AH4938" s="7">
        <v>46044</v>
      </c>
      <c r="AN4938" s="8">
        <v>82</v>
      </c>
      <c r="AO4938" s="8">
        <v>78</v>
      </c>
    </row>
    <row r="4939" spans="1:41" x14ac:dyDescent="0.25">
      <c r="A4939" s="6" t="str">
        <f>"525-2025000617"</f>
        <v>525-2025000617</v>
      </c>
      <c r="B4939" s="6" t="str">
        <f t="shared" si="1311"/>
        <v>Lasa Int</v>
      </c>
      <c r="C4939" s="7">
        <v>46009</v>
      </c>
      <c r="D4939" s="7">
        <v>46037</v>
      </c>
      <c r="E4939" s="8">
        <v>2</v>
      </c>
      <c r="F4939" s="6" t="str">
        <f>"Green City"</f>
        <v>Green City</v>
      </c>
      <c r="G4939" s="6" t="str">
        <f>"F130108760006069"</f>
        <v>F130108760006069</v>
      </c>
      <c r="H4939" s="6" t="str">
        <f>"FAJP 1087 M / 6069 -"</f>
        <v>FAJP 1087 M / 6069 -</v>
      </c>
      <c r="I4939" s="6" t="str">
        <f>"65"</f>
        <v>65</v>
      </c>
      <c r="J4939" s="6" t="str">
        <f>"BEGE 65"</f>
        <v>BEGE 65</v>
      </c>
      <c r="K4939" s="6" t="str">
        <f>"1535"</f>
        <v>1535</v>
      </c>
      <c r="L4939" s="6" t="str">
        <f>"Toalhões"</f>
        <v>Toalhões</v>
      </c>
      <c r="M4939" s="6" t="str">
        <f>"70x140"</f>
        <v>70x140</v>
      </c>
      <c r="N4939" s="6" t="str">
        <f>"5602972277746"</f>
        <v>5602972277746</v>
      </c>
      <c r="O4939" s="8">
        <v>156</v>
      </c>
      <c r="P4939" s="7">
        <v>46009</v>
      </c>
      <c r="R4939" s="8">
        <v>0</v>
      </c>
      <c r="S4939" s="7">
        <v>46014</v>
      </c>
      <c r="U4939" s="8">
        <v>0</v>
      </c>
      <c r="V4939" s="7">
        <v>46031</v>
      </c>
      <c r="X4939" s="8">
        <v>0</v>
      </c>
      <c r="Z4939" s="8">
        <v>0</v>
      </c>
      <c r="AA4939" s="7">
        <v>46043</v>
      </c>
      <c r="AC4939" s="8">
        <v>156</v>
      </c>
      <c r="AE4939" s="7">
        <v>46045</v>
      </c>
      <c r="AF4939" s="8">
        <v>156</v>
      </c>
      <c r="AH4939" s="7">
        <v>46037</v>
      </c>
      <c r="AN4939" s="8">
        <v>156</v>
      </c>
      <c r="AO4939" s="8">
        <v>0</v>
      </c>
    </row>
    <row r="4940" spans="1:41" x14ac:dyDescent="0.25">
      <c r="A4940" s="6" t="str">
        <f>"525-2025000619"</f>
        <v>525-2025000619</v>
      </c>
      <c r="B4940" s="6" t="str">
        <f t="shared" si="1311"/>
        <v>Lasa Int</v>
      </c>
      <c r="C4940" s="7">
        <v>46009</v>
      </c>
      <c r="D4940" s="7">
        <v>46094</v>
      </c>
      <c r="E4940" s="8">
        <v>1</v>
      </c>
      <c r="F4940" s="6" t="str">
        <f>"LH - BATHROBES"</f>
        <v>LH - BATHROBES</v>
      </c>
      <c r="G4940" s="6" t="str">
        <f>"R119341340000000"</f>
        <v>R119341340000000</v>
      </c>
      <c r="H4940" s="6" t="str">
        <f>"R 3413 (HOLANDA) - K"</f>
        <v>R 3413 (HOLANDA) - K</v>
      </c>
      <c r="I4940" s="6" t="str">
        <f>"1"</f>
        <v>1</v>
      </c>
      <c r="J4940" s="6" t="str">
        <f>"BRANCO"</f>
        <v>BRANCO</v>
      </c>
      <c r="K4940" s="6" t="str">
        <f>"5004"</f>
        <v>5004</v>
      </c>
      <c r="L4940" s="6" t="str">
        <f>"Roupões Adulto"</f>
        <v>Roupões Adulto</v>
      </c>
      <c r="M4940" s="6" t="str">
        <f>"M"</f>
        <v>M</v>
      </c>
      <c r="N4940" s="6" t="str">
        <f>"5602972265477"</f>
        <v>5602972265477</v>
      </c>
      <c r="O4940" s="8">
        <v>30</v>
      </c>
      <c r="P4940" s="7">
        <v>46058</v>
      </c>
      <c r="R4940" s="8">
        <v>0</v>
      </c>
      <c r="S4940" s="7">
        <v>46063</v>
      </c>
      <c r="U4940" s="8">
        <v>0</v>
      </c>
      <c r="V4940" s="7">
        <v>46076</v>
      </c>
      <c r="X4940" s="8">
        <v>0</v>
      </c>
      <c r="Z4940" s="8">
        <v>0</v>
      </c>
      <c r="AA4940" s="7">
        <v>46086</v>
      </c>
      <c r="AC4940" s="8">
        <v>0</v>
      </c>
      <c r="AE4940" s="7">
        <v>46090</v>
      </c>
      <c r="AF4940" s="8">
        <v>0</v>
      </c>
      <c r="AH4940" s="7">
        <v>46094</v>
      </c>
      <c r="AN4940" s="8">
        <v>0</v>
      </c>
      <c r="AO4940" s="8">
        <v>30</v>
      </c>
    </row>
    <row r="4941" spans="1:41" x14ac:dyDescent="0.25">
      <c r="A4941" s="6" t="str">
        <f>"525-2025000619"</f>
        <v>525-2025000619</v>
      </c>
      <c r="B4941" s="6" t="str">
        <f t="shared" si="1311"/>
        <v>Lasa Int</v>
      </c>
      <c r="C4941" s="7">
        <v>46009</v>
      </c>
      <c r="D4941" s="7">
        <v>46094</v>
      </c>
      <c r="E4941" s="8">
        <v>2</v>
      </c>
      <c r="F4941" s="6" t="str">
        <f>"LH - BATHROBES"</f>
        <v>LH - BATHROBES</v>
      </c>
      <c r="G4941" s="6" t="str">
        <f>"R119341440000000"</f>
        <v>R119341440000000</v>
      </c>
      <c r="H4941" s="6" t="str">
        <f>"R 3414 (HOLANDA) - K"</f>
        <v>R 3414 (HOLANDA) - K</v>
      </c>
      <c r="I4941" s="6" t="str">
        <f>"1"</f>
        <v>1</v>
      </c>
      <c r="J4941" s="6" t="str">
        <f>"BRANCO"</f>
        <v>BRANCO</v>
      </c>
      <c r="K4941" s="6" t="str">
        <f>"5004"</f>
        <v>5004</v>
      </c>
      <c r="L4941" s="6" t="str">
        <f>"Roupões Adulto"</f>
        <v>Roupões Adulto</v>
      </c>
      <c r="M4941" s="6" t="str">
        <f>"M"</f>
        <v>M</v>
      </c>
      <c r="N4941" s="6" t="str">
        <f>"5602972265538"</f>
        <v>5602972265538</v>
      </c>
      <c r="O4941" s="8">
        <v>30</v>
      </c>
      <c r="P4941" s="7">
        <v>46058</v>
      </c>
      <c r="R4941" s="8">
        <v>0</v>
      </c>
      <c r="S4941" s="7">
        <v>46063</v>
      </c>
      <c r="U4941" s="8">
        <v>0</v>
      </c>
      <c r="V4941" s="7">
        <v>46076</v>
      </c>
      <c r="X4941" s="8">
        <v>0</v>
      </c>
      <c r="Z4941" s="8">
        <v>0</v>
      </c>
      <c r="AA4941" s="7">
        <v>46086</v>
      </c>
      <c r="AC4941" s="8">
        <v>0</v>
      </c>
      <c r="AE4941" s="7">
        <v>46090</v>
      </c>
      <c r="AF4941" s="8">
        <v>0</v>
      </c>
      <c r="AH4941" s="7">
        <v>46094</v>
      </c>
      <c r="AN4941" s="8">
        <v>0</v>
      </c>
      <c r="AO4941" s="8">
        <v>30</v>
      </c>
    </row>
    <row r="4942" spans="1:41" x14ac:dyDescent="0.25">
      <c r="A4942" s="6" t="str">
        <f>"525-2025000619"</f>
        <v>525-2025000619</v>
      </c>
      <c r="B4942" s="6" t="str">
        <f t="shared" si="1311"/>
        <v>Lasa Int</v>
      </c>
      <c r="C4942" s="7">
        <v>46009</v>
      </c>
      <c r="D4942" s="7">
        <v>46094</v>
      </c>
      <c r="E4942" s="8">
        <v>3</v>
      </c>
      <c r="F4942" s="6" t="str">
        <f>"LH - BATHROBES"</f>
        <v>LH - BATHROBES</v>
      </c>
      <c r="G4942" s="6" t="str">
        <f>"R119341440000000"</f>
        <v>R119341440000000</v>
      </c>
      <c r="H4942" s="6" t="str">
        <f>"R 3414 (HOLANDA) - K"</f>
        <v>R 3414 (HOLANDA) - K</v>
      </c>
      <c r="I4942" s="6" t="str">
        <f>"1"</f>
        <v>1</v>
      </c>
      <c r="J4942" s="6" t="str">
        <f>"BRANCO"</f>
        <v>BRANCO</v>
      </c>
      <c r="K4942" s="6" t="str">
        <f>"5006"</f>
        <v>5006</v>
      </c>
      <c r="L4942" s="6" t="str">
        <f>"Roupões Adulto"</f>
        <v>Roupões Adulto</v>
      </c>
      <c r="M4942" s="6" t="str">
        <f>"L"</f>
        <v>L</v>
      </c>
      <c r="N4942" s="6" t="str">
        <f>"5602972265545"</f>
        <v>5602972265545</v>
      </c>
      <c r="O4942" s="8">
        <v>100</v>
      </c>
      <c r="P4942" s="7">
        <v>46058</v>
      </c>
      <c r="R4942" s="8">
        <v>0</v>
      </c>
      <c r="S4942" s="7">
        <v>46063</v>
      </c>
      <c r="U4942" s="8">
        <v>0</v>
      </c>
      <c r="V4942" s="7">
        <v>46076</v>
      </c>
      <c r="X4942" s="8">
        <v>0</v>
      </c>
      <c r="Z4942" s="8">
        <v>0</v>
      </c>
      <c r="AA4942" s="7">
        <v>46086</v>
      </c>
      <c r="AC4942" s="8">
        <v>0</v>
      </c>
      <c r="AE4942" s="7">
        <v>46090</v>
      </c>
      <c r="AF4942" s="8">
        <v>0</v>
      </c>
      <c r="AH4942" s="7">
        <v>46094</v>
      </c>
      <c r="AN4942" s="8">
        <v>0</v>
      </c>
      <c r="AO4942" s="8">
        <v>100</v>
      </c>
    </row>
    <row r="4943" spans="1:41" x14ac:dyDescent="0.25">
      <c r="A4943" s="6" t="str">
        <f>"525-2025000620"</f>
        <v>525-2025000620</v>
      </c>
      <c r="B4943" s="6" t="str">
        <f t="shared" si="1311"/>
        <v>Lasa Int</v>
      </c>
      <c r="C4943" s="7">
        <v>46010</v>
      </c>
      <c r="D4943" s="7">
        <v>46044</v>
      </c>
      <c r="E4943" s="8">
        <v>3</v>
      </c>
      <c r="F4943" s="6" t="str">
        <f>"The Bath"</f>
        <v>The Bath</v>
      </c>
      <c r="G4943" s="6" t="str">
        <f>"F100023140004672"</f>
        <v>F100023140004672</v>
      </c>
      <c r="H4943" s="6" t="str">
        <f>"FA 231 / 4672 - 400"</f>
        <v>FA 231 / 4672 - 400</v>
      </c>
      <c r="I4943" s="6" t="str">
        <f>"1"</f>
        <v>1</v>
      </c>
      <c r="J4943" s="6" t="str">
        <f>"BRANCO"</f>
        <v>BRANCO</v>
      </c>
      <c r="K4943" s="6" t="str">
        <f>"1532"</f>
        <v>1532</v>
      </c>
      <c r="L4943" s="6" t="str">
        <f>"Toalhões"</f>
        <v>Toalhões</v>
      </c>
      <c r="M4943" s="6" t="str">
        <f>"70x130"</f>
        <v>70x130</v>
      </c>
      <c r="N4943" s="6" t="str">
        <f>"5602972272086"</f>
        <v>5602972272086</v>
      </c>
      <c r="O4943" s="8">
        <v>100</v>
      </c>
      <c r="P4943" s="7">
        <v>46010</v>
      </c>
      <c r="R4943" s="8">
        <v>0</v>
      </c>
      <c r="U4943" s="8">
        <v>0</v>
      </c>
      <c r="X4943" s="8">
        <v>0</v>
      </c>
      <c r="Z4943" s="8">
        <v>0</v>
      </c>
      <c r="AC4943" s="8">
        <v>100</v>
      </c>
      <c r="AE4943" s="7">
        <v>46027</v>
      </c>
      <c r="AF4943" s="8">
        <v>100</v>
      </c>
      <c r="AH4943" s="7">
        <v>46044</v>
      </c>
      <c r="AN4943" s="8">
        <v>100</v>
      </c>
      <c r="AO4943" s="8">
        <v>0</v>
      </c>
    </row>
    <row r="4944" spans="1:41" x14ac:dyDescent="0.25">
      <c r="A4944" s="6" t="str">
        <f>"525-2025000621"</f>
        <v>525-2025000621</v>
      </c>
      <c r="B4944" s="6" t="str">
        <f t="shared" si="1311"/>
        <v>Lasa Int</v>
      </c>
      <c r="C4944" s="7">
        <v>46010</v>
      </c>
      <c r="D4944" s="7">
        <v>46048</v>
      </c>
      <c r="E4944" s="8">
        <v>1</v>
      </c>
      <c r="F4944" s="6" t="str">
        <f>"Pure - Bath"</f>
        <v>Pure - Bath</v>
      </c>
      <c r="G4944" s="6" t="str">
        <f>"R010000635000000"</f>
        <v>R010000635000000</v>
      </c>
      <c r="H4944" s="6" t="str">
        <f>"Alexis Cotoral Pure"</f>
        <v>Alexis Cotoral Pure</v>
      </c>
      <c r="I4944" s="6" t="str">
        <f>"1"</f>
        <v>1</v>
      </c>
      <c r="J4944" s="6" t="str">
        <f>"BRANCO"</f>
        <v>BRANCO</v>
      </c>
      <c r="K4944" s="6" t="str">
        <f>"5004"</f>
        <v>5004</v>
      </c>
      <c r="L4944" s="6" t="str">
        <f>"Roupões Adulto"</f>
        <v>Roupões Adulto</v>
      </c>
      <c r="M4944" s="6" t="str">
        <f>"M"</f>
        <v>M</v>
      </c>
      <c r="N4944" s="6" t="str">
        <f>"5602972837964"</f>
        <v>5602972837964</v>
      </c>
      <c r="O4944" s="8">
        <v>100</v>
      </c>
      <c r="P4944" s="7">
        <v>46010</v>
      </c>
      <c r="R4944" s="8">
        <v>0</v>
      </c>
      <c r="S4944" s="7">
        <v>46020</v>
      </c>
      <c r="U4944" s="8">
        <v>270</v>
      </c>
      <c r="V4944" s="7">
        <v>46034</v>
      </c>
      <c r="X4944" s="8">
        <v>270</v>
      </c>
      <c r="Z4944" s="8">
        <v>0</v>
      </c>
      <c r="AA4944" s="7">
        <v>46044</v>
      </c>
      <c r="AC4944" s="8">
        <v>0</v>
      </c>
      <c r="AE4944" s="7">
        <v>46048</v>
      </c>
      <c r="AF4944" s="8">
        <v>0</v>
      </c>
      <c r="AH4944" s="7">
        <v>46048</v>
      </c>
      <c r="AN4944" s="8">
        <v>0</v>
      </c>
      <c r="AO4944" s="8">
        <v>100</v>
      </c>
    </row>
    <row r="4945" spans="1:41" x14ac:dyDescent="0.25">
      <c r="A4945" s="6" t="str">
        <f t="shared" ref="A4945:A4977" si="1312">"525-2026000001"</f>
        <v>525-2026000001</v>
      </c>
      <c r="B4945" s="6" t="str">
        <f t="shared" si="1311"/>
        <v>Lasa Int</v>
      </c>
      <c r="C4945" s="7">
        <v>46027</v>
      </c>
      <c r="D4945" s="7">
        <v>46062</v>
      </c>
      <c r="E4945" s="8">
        <v>1</v>
      </c>
      <c r="F4945" s="6" t="str">
        <f t="shared" ref="F4945:F4977" si="1313">"PURE"</f>
        <v>PURE</v>
      </c>
      <c r="G4945" s="6" t="str">
        <f t="shared" ref="G4945:G4973" si="1314">"F100021455000000"</f>
        <v>F100021455000000</v>
      </c>
      <c r="H4945" s="6" t="str">
        <f t="shared" ref="H4945:H4973" si="1315">"FA 214 - PURE - 550"</f>
        <v>FA 214 - PURE - 550</v>
      </c>
      <c r="I4945" s="6" t="str">
        <f>"1093"</f>
        <v>1093</v>
      </c>
      <c r="J4945" s="6" t="str">
        <f>"AZUL 1093"</f>
        <v>AZUL 1093</v>
      </c>
      <c r="K4945" s="6" t="str">
        <f>"0530"</f>
        <v>0530</v>
      </c>
      <c r="L4945" s="6" t="str">
        <f>"Toalhetes"</f>
        <v>Toalhetes</v>
      </c>
      <c r="M4945" s="6" t="str">
        <f>"33x50"</f>
        <v>33x50</v>
      </c>
      <c r="N4945" s="6" t="str">
        <f>"5602972836844"</f>
        <v>5602972836844</v>
      </c>
      <c r="O4945" s="8">
        <v>450</v>
      </c>
      <c r="P4945" s="7">
        <v>46027</v>
      </c>
      <c r="R4945" s="8">
        <v>1002</v>
      </c>
      <c r="S4945" s="7">
        <v>46030</v>
      </c>
      <c r="U4945" s="8">
        <v>450</v>
      </c>
      <c r="V4945" s="7">
        <v>46043</v>
      </c>
      <c r="X4945" s="8">
        <v>0</v>
      </c>
      <c r="Z4945" s="8">
        <v>450</v>
      </c>
      <c r="AA4945" s="7">
        <v>46057</v>
      </c>
      <c r="AC4945" s="8">
        <v>0</v>
      </c>
      <c r="AE4945" s="7">
        <v>46062</v>
      </c>
      <c r="AF4945" s="8">
        <v>0</v>
      </c>
      <c r="AH4945" s="7">
        <v>46062</v>
      </c>
      <c r="AN4945" s="8">
        <v>0</v>
      </c>
      <c r="AO4945" s="8">
        <v>450</v>
      </c>
    </row>
    <row r="4946" spans="1:41" x14ac:dyDescent="0.25">
      <c r="A4946" s="6" t="str">
        <f t="shared" si="1312"/>
        <v>525-2026000001</v>
      </c>
      <c r="B4946" s="6" t="str">
        <f t="shared" si="1311"/>
        <v>Lasa Int</v>
      </c>
      <c r="C4946" s="7">
        <v>46027</v>
      </c>
      <c r="D4946" s="7">
        <v>46062</v>
      </c>
      <c r="E4946" s="8">
        <v>2</v>
      </c>
      <c r="F4946" s="6" t="str">
        <f t="shared" si="1313"/>
        <v>PURE</v>
      </c>
      <c r="G4946" s="6" t="str">
        <f t="shared" si="1314"/>
        <v>F100021455000000</v>
      </c>
      <c r="H4946" s="6" t="str">
        <f t="shared" si="1315"/>
        <v>FA 214 - PURE - 550</v>
      </c>
      <c r="I4946" s="6" t="str">
        <f>"1093"</f>
        <v>1093</v>
      </c>
      <c r="J4946" s="6" t="str">
        <f>"AZUL 1093"</f>
        <v>AZUL 1093</v>
      </c>
      <c r="K4946" s="6" t="str">
        <f>"1024"</f>
        <v>1024</v>
      </c>
      <c r="L4946" s="6" t="str">
        <f>"Toalhas"</f>
        <v>Toalhas</v>
      </c>
      <c r="M4946" s="6" t="str">
        <f>"50x100"</f>
        <v>50x100</v>
      </c>
      <c r="N4946" s="6" t="str">
        <f>"5602972836851"</f>
        <v>5602972836851</v>
      </c>
      <c r="O4946" s="8">
        <v>240</v>
      </c>
      <c r="P4946" s="7">
        <v>46027</v>
      </c>
      <c r="R4946" s="8">
        <v>5996</v>
      </c>
      <c r="S4946" s="7">
        <v>46030</v>
      </c>
      <c r="U4946" s="8">
        <v>240</v>
      </c>
      <c r="V4946" s="7">
        <v>46043</v>
      </c>
      <c r="X4946" s="8">
        <v>0</v>
      </c>
      <c r="Z4946" s="8">
        <v>240</v>
      </c>
      <c r="AA4946" s="7">
        <v>46057</v>
      </c>
      <c r="AC4946" s="8">
        <v>0</v>
      </c>
      <c r="AE4946" s="7">
        <v>46062</v>
      </c>
      <c r="AF4946" s="8">
        <v>0</v>
      </c>
      <c r="AH4946" s="7">
        <v>46062</v>
      </c>
      <c r="AN4946" s="8">
        <v>0</v>
      </c>
      <c r="AO4946" s="8">
        <v>240</v>
      </c>
    </row>
    <row r="4947" spans="1:41" x14ac:dyDescent="0.25">
      <c r="A4947" s="6" t="str">
        <f t="shared" si="1312"/>
        <v>525-2026000001</v>
      </c>
      <c r="B4947" s="6" t="str">
        <f t="shared" si="1311"/>
        <v>Lasa Int</v>
      </c>
      <c r="C4947" s="7">
        <v>46027</v>
      </c>
      <c r="D4947" s="7">
        <v>46062</v>
      </c>
      <c r="E4947" s="8">
        <v>3</v>
      </c>
      <c r="F4947" s="6" t="str">
        <f t="shared" si="1313"/>
        <v>PURE</v>
      </c>
      <c r="G4947" s="6" t="str">
        <f t="shared" si="1314"/>
        <v>F100021455000000</v>
      </c>
      <c r="H4947" s="6" t="str">
        <f t="shared" si="1315"/>
        <v>FA 214 - PURE - 550</v>
      </c>
      <c r="I4947" s="6" t="str">
        <f>"1093"</f>
        <v>1093</v>
      </c>
      <c r="J4947" s="6" t="str">
        <f>"AZUL 1093"</f>
        <v>AZUL 1093</v>
      </c>
      <c r="K4947" s="6" t="str">
        <f>"1535"</f>
        <v>1535</v>
      </c>
      <c r="L4947" s="6" t="str">
        <f>"Toalhões"</f>
        <v>Toalhões</v>
      </c>
      <c r="M4947" s="6" t="str">
        <f>"70x140"</f>
        <v>70x140</v>
      </c>
      <c r="N4947" s="6" t="str">
        <f>"5602972836868"</f>
        <v>5602972836868</v>
      </c>
      <c r="O4947" s="8">
        <v>240</v>
      </c>
      <c r="P4947" s="7">
        <v>46027</v>
      </c>
      <c r="R4947" s="8">
        <v>681</v>
      </c>
      <c r="S4947" s="7">
        <v>46030</v>
      </c>
      <c r="U4947" s="8">
        <v>240</v>
      </c>
      <c r="V4947" s="7">
        <v>46043</v>
      </c>
      <c r="X4947" s="8">
        <v>0</v>
      </c>
      <c r="Z4947" s="8">
        <v>240</v>
      </c>
      <c r="AA4947" s="7">
        <v>46057</v>
      </c>
      <c r="AC4947" s="8">
        <v>0</v>
      </c>
      <c r="AE4947" s="7">
        <v>46062</v>
      </c>
      <c r="AF4947" s="8">
        <v>0</v>
      </c>
      <c r="AH4947" s="7">
        <v>46062</v>
      </c>
      <c r="AN4947" s="8">
        <v>0</v>
      </c>
      <c r="AO4947" s="8">
        <v>240</v>
      </c>
    </row>
    <row r="4948" spans="1:41" x14ac:dyDescent="0.25">
      <c r="A4948" s="6" t="str">
        <f t="shared" si="1312"/>
        <v>525-2026000001</v>
      </c>
      <c r="B4948" s="6" t="str">
        <f t="shared" si="1311"/>
        <v>Lasa Int</v>
      </c>
      <c r="C4948" s="7">
        <v>46027</v>
      </c>
      <c r="D4948" s="7">
        <v>46062</v>
      </c>
      <c r="E4948" s="8">
        <v>4</v>
      </c>
      <c r="F4948" s="6" t="str">
        <f t="shared" si="1313"/>
        <v>PURE</v>
      </c>
      <c r="G4948" s="6" t="str">
        <f t="shared" si="1314"/>
        <v>F100021455000000</v>
      </c>
      <c r="H4948" s="6" t="str">
        <f t="shared" si="1315"/>
        <v>FA 214 - PURE - 550</v>
      </c>
      <c r="I4948" s="6" t="str">
        <f>"1093"</f>
        <v>1093</v>
      </c>
      <c r="J4948" s="6" t="str">
        <f>"AZUL 1093"</f>
        <v>AZUL 1093</v>
      </c>
      <c r="K4948" s="6" t="str">
        <f>"2020"</f>
        <v>2020</v>
      </c>
      <c r="L4948" s="6" t="str">
        <f>"Lençóis"</f>
        <v>Lençóis</v>
      </c>
      <c r="M4948" s="6" t="str">
        <f>"100x150"</f>
        <v>100x150</v>
      </c>
      <c r="N4948" s="6" t="str">
        <f>"5602972836875"</f>
        <v>5602972836875</v>
      </c>
      <c r="O4948" s="8">
        <v>160</v>
      </c>
      <c r="P4948" s="7">
        <v>46027</v>
      </c>
      <c r="R4948" s="8">
        <v>1518</v>
      </c>
      <c r="S4948" s="7">
        <v>46030</v>
      </c>
      <c r="U4948" s="8">
        <v>160</v>
      </c>
      <c r="V4948" s="7">
        <v>46043</v>
      </c>
      <c r="X4948" s="8">
        <v>0</v>
      </c>
      <c r="Z4948" s="8">
        <v>160</v>
      </c>
      <c r="AA4948" s="7">
        <v>46057</v>
      </c>
      <c r="AC4948" s="8">
        <v>0</v>
      </c>
      <c r="AE4948" s="7">
        <v>46062</v>
      </c>
      <c r="AF4948" s="8">
        <v>0</v>
      </c>
      <c r="AH4948" s="7">
        <v>46062</v>
      </c>
      <c r="AN4948" s="8">
        <v>0</v>
      </c>
      <c r="AO4948" s="8">
        <v>160</v>
      </c>
    </row>
    <row r="4949" spans="1:41" x14ac:dyDescent="0.25">
      <c r="A4949" s="6" t="str">
        <f t="shared" si="1312"/>
        <v>525-2026000001</v>
      </c>
      <c r="B4949" s="6" t="str">
        <f t="shared" si="1311"/>
        <v>Lasa Int</v>
      </c>
      <c r="C4949" s="7">
        <v>46027</v>
      </c>
      <c r="D4949" s="7">
        <v>46062</v>
      </c>
      <c r="E4949" s="8">
        <v>5</v>
      </c>
      <c r="F4949" s="6" t="str">
        <f t="shared" si="1313"/>
        <v>PURE</v>
      </c>
      <c r="G4949" s="6" t="str">
        <f t="shared" si="1314"/>
        <v>F100021455000000</v>
      </c>
      <c r="H4949" s="6" t="str">
        <f t="shared" si="1315"/>
        <v>FA 214 - PURE - 550</v>
      </c>
      <c r="I4949" s="6" t="str">
        <f>"1670"</f>
        <v>1670</v>
      </c>
      <c r="J4949" s="6" t="str">
        <f>"BEGE 1670"</f>
        <v>BEGE 1670</v>
      </c>
      <c r="K4949" s="6" t="str">
        <f>"0112"</f>
        <v>0112</v>
      </c>
      <c r="L4949" s="6" t="str">
        <f>"Luvas"</f>
        <v>Luvas</v>
      </c>
      <c r="M4949" s="6" t="str">
        <f>"16x21"</f>
        <v>16x21</v>
      </c>
      <c r="N4949" s="6" t="str">
        <f>"5602972836288"</f>
        <v>5602972836288</v>
      </c>
      <c r="O4949" s="8">
        <v>300</v>
      </c>
      <c r="P4949" s="7">
        <v>46027</v>
      </c>
      <c r="R4949" s="8">
        <v>0</v>
      </c>
      <c r="S4949" s="7">
        <v>46030</v>
      </c>
      <c r="U4949" s="8">
        <v>300</v>
      </c>
      <c r="V4949" s="7">
        <v>46043</v>
      </c>
      <c r="X4949" s="8">
        <v>0</v>
      </c>
      <c r="Z4949" s="8">
        <v>300</v>
      </c>
      <c r="AA4949" s="7">
        <v>46057</v>
      </c>
      <c r="AC4949" s="8">
        <v>0</v>
      </c>
      <c r="AE4949" s="7">
        <v>46062</v>
      </c>
      <c r="AF4949" s="8">
        <v>0</v>
      </c>
      <c r="AH4949" s="7">
        <v>46062</v>
      </c>
      <c r="AN4949" s="8">
        <v>0</v>
      </c>
      <c r="AO4949" s="8">
        <v>300</v>
      </c>
    </row>
    <row r="4950" spans="1:41" x14ac:dyDescent="0.25">
      <c r="A4950" s="6" t="str">
        <f t="shared" si="1312"/>
        <v>525-2026000001</v>
      </c>
      <c r="B4950" s="6" t="str">
        <f t="shared" si="1311"/>
        <v>Lasa Int</v>
      </c>
      <c r="C4950" s="7">
        <v>46027</v>
      </c>
      <c r="D4950" s="7">
        <v>46062</v>
      </c>
      <c r="E4950" s="8">
        <v>6</v>
      </c>
      <c r="F4950" s="6" t="str">
        <f t="shared" si="1313"/>
        <v>PURE</v>
      </c>
      <c r="G4950" s="6" t="str">
        <f t="shared" si="1314"/>
        <v>F100021455000000</v>
      </c>
      <c r="H4950" s="6" t="str">
        <f t="shared" si="1315"/>
        <v>FA 214 - PURE - 550</v>
      </c>
      <c r="I4950" s="6" t="str">
        <f>"1670"</f>
        <v>1670</v>
      </c>
      <c r="J4950" s="6" t="str">
        <f>"BEGE 1670"</f>
        <v>BEGE 1670</v>
      </c>
      <c r="K4950" s="6" t="str">
        <f>"1024"</f>
        <v>1024</v>
      </c>
      <c r="L4950" s="6" t="str">
        <f>"Toalhas"</f>
        <v>Toalhas</v>
      </c>
      <c r="M4950" s="6" t="str">
        <f>"50x100"</f>
        <v>50x100</v>
      </c>
      <c r="N4950" s="6" t="str">
        <f>"5602972836301"</f>
        <v>5602972836301</v>
      </c>
      <c r="O4950" s="8">
        <v>720</v>
      </c>
      <c r="P4950" s="7">
        <v>46027</v>
      </c>
      <c r="R4950" s="8">
        <v>0</v>
      </c>
      <c r="S4950" s="7">
        <v>46030</v>
      </c>
      <c r="U4950" s="8">
        <v>720</v>
      </c>
      <c r="V4950" s="7">
        <v>46043</v>
      </c>
      <c r="X4950" s="8">
        <v>0</v>
      </c>
      <c r="Z4950" s="8">
        <v>720</v>
      </c>
      <c r="AA4950" s="7">
        <v>46057</v>
      </c>
      <c r="AC4950" s="8">
        <v>0</v>
      </c>
      <c r="AE4950" s="7">
        <v>46062</v>
      </c>
      <c r="AF4950" s="8">
        <v>0</v>
      </c>
      <c r="AH4950" s="7">
        <v>46062</v>
      </c>
      <c r="AN4950" s="8">
        <v>0</v>
      </c>
      <c r="AO4950" s="8">
        <v>720</v>
      </c>
    </row>
    <row r="4951" spans="1:41" x14ac:dyDescent="0.25">
      <c r="A4951" s="6" t="str">
        <f t="shared" si="1312"/>
        <v>525-2026000001</v>
      </c>
      <c r="B4951" s="6" t="str">
        <f t="shared" si="1311"/>
        <v>Lasa Int</v>
      </c>
      <c r="C4951" s="7">
        <v>46027</v>
      </c>
      <c r="D4951" s="7">
        <v>46062</v>
      </c>
      <c r="E4951" s="8">
        <v>7</v>
      </c>
      <c r="F4951" s="6" t="str">
        <f t="shared" si="1313"/>
        <v>PURE</v>
      </c>
      <c r="G4951" s="6" t="str">
        <f t="shared" si="1314"/>
        <v>F100021455000000</v>
      </c>
      <c r="H4951" s="6" t="str">
        <f t="shared" si="1315"/>
        <v>FA 214 - PURE - 550</v>
      </c>
      <c r="I4951" s="6" t="str">
        <f>"1670"</f>
        <v>1670</v>
      </c>
      <c r="J4951" s="6" t="str">
        <f>"BEGE 1670"</f>
        <v>BEGE 1670</v>
      </c>
      <c r="K4951" s="6" t="str">
        <f>"1535"</f>
        <v>1535</v>
      </c>
      <c r="L4951" s="6" t="str">
        <f>"Toalhões"</f>
        <v>Toalhões</v>
      </c>
      <c r="M4951" s="6" t="str">
        <f>"70x140"</f>
        <v>70x140</v>
      </c>
      <c r="N4951" s="6" t="str">
        <f>"5602972836318"</f>
        <v>5602972836318</v>
      </c>
      <c r="O4951" s="8">
        <v>240</v>
      </c>
      <c r="P4951" s="7">
        <v>46027</v>
      </c>
      <c r="R4951" s="8">
        <v>0</v>
      </c>
      <c r="S4951" s="7">
        <v>46030</v>
      </c>
      <c r="U4951" s="8">
        <v>240</v>
      </c>
      <c r="V4951" s="7">
        <v>46043</v>
      </c>
      <c r="X4951" s="8">
        <v>0</v>
      </c>
      <c r="Z4951" s="8">
        <v>240</v>
      </c>
      <c r="AA4951" s="7">
        <v>46057</v>
      </c>
      <c r="AC4951" s="8">
        <v>0</v>
      </c>
      <c r="AE4951" s="7">
        <v>46062</v>
      </c>
      <c r="AF4951" s="8">
        <v>0</v>
      </c>
      <c r="AH4951" s="7">
        <v>46062</v>
      </c>
      <c r="AN4951" s="8">
        <v>0</v>
      </c>
      <c r="AO4951" s="8">
        <v>240</v>
      </c>
    </row>
    <row r="4952" spans="1:41" x14ac:dyDescent="0.25">
      <c r="A4952" s="6" t="str">
        <f t="shared" si="1312"/>
        <v>525-2026000001</v>
      </c>
      <c r="B4952" s="6" t="str">
        <f t="shared" si="1311"/>
        <v>Lasa Int</v>
      </c>
      <c r="C4952" s="7">
        <v>46027</v>
      </c>
      <c r="D4952" s="7">
        <v>46062</v>
      </c>
      <c r="E4952" s="8">
        <v>8</v>
      </c>
      <c r="F4952" s="6" t="str">
        <f t="shared" si="1313"/>
        <v>PURE</v>
      </c>
      <c r="G4952" s="6" t="str">
        <f t="shared" si="1314"/>
        <v>F100021455000000</v>
      </c>
      <c r="H4952" s="6" t="str">
        <f t="shared" si="1315"/>
        <v>FA 214 - PURE - 550</v>
      </c>
      <c r="I4952" s="6" t="str">
        <f>"1670"</f>
        <v>1670</v>
      </c>
      <c r="J4952" s="6" t="str">
        <f>"BEGE 1670"</f>
        <v>BEGE 1670</v>
      </c>
      <c r="K4952" s="6" t="str">
        <f>"2020"</f>
        <v>2020</v>
      </c>
      <c r="L4952" s="6" t="str">
        <f>"Lençóis"</f>
        <v>Lençóis</v>
      </c>
      <c r="M4952" s="6" t="str">
        <f>"100x150"</f>
        <v>100x150</v>
      </c>
      <c r="N4952" s="6" t="str">
        <f>"5602972836325"</f>
        <v>5602972836325</v>
      </c>
      <c r="O4952" s="8">
        <v>160</v>
      </c>
      <c r="P4952" s="7">
        <v>46027</v>
      </c>
      <c r="R4952" s="8">
        <v>0</v>
      </c>
      <c r="S4952" s="7">
        <v>46030</v>
      </c>
      <c r="U4952" s="8">
        <v>160</v>
      </c>
      <c r="V4952" s="7">
        <v>46043</v>
      </c>
      <c r="X4952" s="8">
        <v>0</v>
      </c>
      <c r="Z4952" s="8">
        <v>160</v>
      </c>
      <c r="AA4952" s="7">
        <v>46057</v>
      </c>
      <c r="AC4952" s="8">
        <v>0</v>
      </c>
      <c r="AE4952" s="7">
        <v>46062</v>
      </c>
      <c r="AF4952" s="8">
        <v>0</v>
      </c>
      <c r="AH4952" s="7">
        <v>46062</v>
      </c>
      <c r="AN4952" s="8">
        <v>0</v>
      </c>
      <c r="AO4952" s="8">
        <v>160</v>
      </c>
    </row>
    <row r="4953" spans="1:41" x14ac:dyDescent="0.25">
      <c r="A4953" s="6" t="str">
        <f t="shared" si="1312"/>
        <v>525-2026000001</v>
      </c>
      <c r="B4953" s="6" t="str">
        <f t="shared" si="1311"/>
        <v>Lasa Int</v>
      </c>
      <c r="C4953" s="7">
        <v>46027</v>
      </c>
      <c r="D4953" s="7">
        <v>46062</v>
      </c>
      <c r="E4953" s="8">
        <v>9</v>
      </c>
      <c r="F4953" s="6" t="str">
        <f t="shared" si="1313"/>
        <v>PURE</v>
      </c>
      <c r="G4953" s="6" t="str">
        <f t="shared" si="1314"/>
        <v>F100021455000000</v>
      </c>
      <c r="H4953" s="6" t="str">
        <f t="shared" si="1315"/>
        <v>FA 214 - PURE - 550</v>
      </c>
      <c r="I4953" s="6" t="str">
        <f>"2096"</f>
        <v>2096</v>
      </c>
      <c r="J4953" s="6" t="str">
        <f>"AZUL 2096"</f>
        <v>AZUL 2096</v>
      </c>
      <c r="K4953" s="6" t="str">
        <f>"1024"</f>
        <v>1024</v>
      </c>
      <c r="L4953" s="6" t="str">
        <f>"Toalhas"</f>
        <v>Toalhas</v>
      </c>
      <c r="M4953" s="6" t="str">
        <f>"50x100"</f>
        <v>50x100</v>
      </c>
      <c r="N4953" s="6" t="str">
        <f>"5602972836905"</f>
        <v>5602972836905</v>
      </c>
      <c r="O4953" s="8">
        <v>480</v>
      </c>
      <c r="P4953" s="7">
        <v>46027</v>
      </c>
      <c r="R4953" s="8">
        <v>0</v>
      </c>
      <c r="S4953" s="7">
        <v>46030</v>
      </c>
      <c r="U4953" s="8">
        <v>480</v>
      </c>
      <c r="V4953" s="7">
        <v>46043</v>
      </c>
      <c r="X4953" s="8">
        <v>0</v>
      </c>
      <c r="Z4953" s="8">
        <v>480</v>
      </c>
      <c r="AA4953" s="7">
        <v>46057</v>
      </c>
      <c r="AC4953" s="8">
        <v>0</v>
      </c>
      <c r="AE4953" s="7">
        <v>46062</v>
      </c>
      <c r="AF4953" s="8">
        <v>0</v>
      </c>
      <c r="AH4953" s="7">
        <v>46062</v>
      </c>
      <c r="AN4953" s="8">
        <v>0</v>
      </c>
      <c r="AO4953" s="8">
        <v>480</v>
      </c>
    </row>
    <row r="4954" spans="1:41" x14ac:dyDescent="0.25">
      <c r="A4954" s="6" t="str">
        <f t="shared" si="1312"/>
        <v>525-2026000001</v>
      </c>
      <c r="B4954" s="6" t="str">
        <f t="shared" si="1311"/>
        <v>Lasa Int</v>
      </c>
      <c r="C4954" s="7">
        <v>46027</v>
      </c>
      <c r="D4954" s="7">
        <v>46062</v>
      </c>
      <c r="E4954" s="8">
        <v>10</v>
      </c>
      <c r="F4954" s="6" t="str">
        <f t="shared" si="1313"/>
        <v>PURE</v>
      </c>
      <c r="G4954" s="6" t="str">
        <f t="shared" si="1314"/>
        <v>F100021455000000</v>
      </c>
      <c r="H4954" s="6" t="str">
        <f t="shared" si="1315"/>
        <v>FA 214 - PURE - 550</v>
      </c>
      <c r="I4954" s="6" t="str">
        <f>"2096"</f>
        <v>2096</v>
      </c>
      <c r="J4954" s="6" t="str">
        <f>"AZUL 2096"</f>
        <v>AZUL 2096</v>
      </c>
      <c r="K4954" s="6" t="str">
        <f>"1535"</f>
        <v>1535</v>
      </c>
      <c r="L4954" s="6" t="str">
        <f>"Toalhões"</f>
        <v>Toalhões</v>
      </c>
      <c r="M4954" s="6" t="str">
        <f>"70x140"</f>
        <v>70x140</v>
      </c>
      <c r="N4954" s="6" t="str">
        <f>"5602972836912"</f>
        <v>5602972836912</v>
      </c>
      <c r="O4954" s="8">
        <v>360</v>
      </c>
      <c r="P4954" s="7">
        <v>46027</v>
      </c>
      <c r="R4954" s="8">
        <v>0</v>
      </c>
      <c r="S4954" s="7">
        <v>46030</v>
      </c>
      <c r="U4954" s="8">
        <v>360</v>
      </c>
      <c r="V4954" s="7">
        <v>46043</v>
      </c>
      <c r="X4954" s="8">
        <v>0</v>
      </c>
      <c r="Z4954" s="8">
        <v>360</v>
      </c>
      <c r="AA4954" s="7">
        <v>46057</v>
      </c>
      <c r="AC4954" s="8">
        <v>0</v>
      </c>
      <c r="AE4954" s="7">
        <v>46062</v>
      </c>
      <c r="AF4954" s="8">
        <v>0</v>
      </c>
      <c r="AH4954" s="7">
        <v>46062</v>
      </c>
      <c r="AN4954" s="8">
        <v>0</v>
      </c>
      <c r="AO4954" s="8">
        <v>360</v>
      </c>
    </row>
    <row r="4955" spans="1:41" x14ac:dyDescent="0.25">
      <c r="A4955" s="6" t="str">
        <f t="shared" si="1312"/>
        <v>525-2026000001</v>
      </c>
      <c r="B4955" s="6" t="str">
        <f t="shared" si="1311"/>
        <v>Lasa Int</v>
      </c>
      <c r="C4955" s="7">
        <v>46027</v>
      </c>
      <c r="D4955" s="7">
        <v>46062</v>
      </c>
      <c r="E4955" s="8">
        <v>11</v>
      </c>
      <c r="F4955" s="6" t="str">
        <f t="shared" si="1313"/>
        <v>PURE</v>
      </c>
      <c r="G4955" s="6" t="str">
        <f t="shared" si="1314"/>
        <v>F100021455000000</v>
      </c>
      <c r="H4955" s="6" t="str">
        <f t="shared" si="1315"/>
        <v>FA 214 - PURE - 550</v>
      </c>
      <c r="I4955" s="6" t="str">
        <f>"2096"</f>
        <v>2096</v>
      </c>
      <c r="J4955" s="6" t="str">
        <f>"AZUL 2096"</f>
        <v>AZUL 2096</v>
      </c>
      <c r="K4955" s="6" t="str">
        <f>"2020"</f>
        <v>2020</v>
      </c>
      <c r="L4955" s="6" t="str">
        <f>"Lençóis"</f>
        <v>Lençóis</v>
      </c>
      <c r="M4955" s="6" t="str">
        <f>"100x150"</f>
        <v>100x150</v>
      </c>
      <c r="N4955" s="6" t="str">
        <f>"5602972836929"</f>
        <v>5602972836929</v>
      </c>
      <c r="O4955" s="8">
        <v>160</v>
      </c>
      <c r="P4955" s="7">
        <v>46027</v>
      </c>
      <c r="R4955" s="8">
        <v>0</v>
      </c>
      <c r="S4955" s="7">
        <v>46030</v>
      </c>
      <c r="U4955" s="8">
        <v>160</v>
      </c>
      <c r="V4955" s="7">
        <v>46043</v>
      </c>
      <c r="X4955" s="8">
        <v>0</v>
      </c>
      <c r="Z4955" s="8">
        <v>160</v>
      </c>
      <c r="AA4955" s="7">
        <v>46057</v>
      </c>
      <c r="AC4955" s="8">
        <v>32</v>
      </c>
      <c r="AE4955" s="7">
        <v>46062</v>
      </c>
      <c r="AF4955" s="8">
        <v>32</v>
      </c>
      <c r="AH4955" s="7">
        <v>46062</v>
      </c>
      <c r="AN4955" s="8">
        <v>32</v>
      </c>
      <c r="AO4955" s="8">
        <v>128</v>
      </c>
    </row>
    <row r="4956" spans="1:41" x14ac:dyDescent="0.25">
      <c r="A4956" s="6" t="str">
        <f t="shared" si="1312"/>
        <v>525-2026000001</v>
      </c>
      <c r="B4956" s="6" t="str">
        <f t="shared" si="1311"/>
        <v>Lasa Int</v>
      </c>
      <c r="C4956" s="7">
        <v>46027</v>
      </c>
      <c r="D4956" s="7">
        <v>46062</v>
      </c>
      <c r="E4956" s="8">
        <v>12</v>
      </c>
      <c r="F4956" s="6" t="str">
        <f t="shared" si="1313"/>
        <v>PURE</v>
      </c>
      <c r="G4956" s="6" t="str">
        <f t="shared" si="1314"/>
        <v>F100021455000000</v>
      </c>
      <c r="H4956" s="6" t="str">
        <f t="shared" si="1315"/>
        <v>FA 214 - PURE - 550</v>
      </c>
      <c r="I4956" s="6" t="str">
        <f>"3"</f>
        <v>3</v>
      </c>
      <c r="J4956" s="6" t="str">
        <f>"PRETO Sulf"</f>
        <v>PRETO Sulf</v>
      </c>
      <c r="K4956" s="6" t="str">
        <f>"1024"</f>
        <v>1024</v>
      </c>
      <c r="L4956" s="6" t="str">
        <f>"Toalhas"</f>
        <v>Toalhas</v>
      </c>
      <c r="M4956" s="6" t="str">
        <f>"50x100"</f>
        <v>50x100</v>
      </c>
      <c r="N4956" s="6" t="str">
        <f>"5602972837209"</f>
        <v>5602972837209</v>
      </c>
      <c r="O4956" s="8">
        <v>720</v>
      </c>
      <c r="P4956" s="7">
        <v>46027</v>
      </c>
      <c r="R4956" s="8">
        <v>0</v>
      </c>
      <c r="S4956" s="7">
        <v>46030</v>
      </c>
      <c r="U4956" s="8">
        <v>720</v>
      </c>
      <c r="V4956" s="7">
        <v>46043</v>
      </c>
      <c r="X4956" s="8">
        <v>0</v>
      </c>
      <c r="Z4956" s="8">
        <v>0</v>
      </c>
      <c r="AA4956" s="7">
        <v>46057</v>
      </c>
      <c r="AC4956" s="8">
        <v>0</v>
      </c>
      <c r="AE4956" s="7">
        <v>46062</v>
      </c>
      <c r="AF4956" s="8">
        <v>0</v>
      </c>
      <c r="AH4956" s="7">
        <v>46062</v>
      </c>
      <c r="AN4956" s="8">
        <v>0</v>
      </c>
      <c r="AO4956" s="8">
        <v>720</v>
      </c>
    </row>
    <row r="4957" spans="1:41" x14ac:dyDescent="0.25">
      <c r="A4957" s="6" t="str">
        <f t="shared" si="1312"/>
        <v>525-2026000001</v>
      </c>
      <c r="B4957" s="6" t="str">
        <f t="shared" si="1311"/>
        <v>Lasa Int</v>
      </c>
      <c r="C4957" s="7">
        <v>46027</v>
      </c>
      <c r="D4957" s="7">
        <v>46062</v>
      </c>
      <c r="E4957" s="8">
        <v>13</v>
      </c>
      <c r="F4957" s="6" t="str">
        <f t="shared" si="1313"/>
        <v>PURE</v>
      </c>
      <c r="G4957" s="6" t="str">
        <f t="shared" si="1314"/>
        <v>F100021455000000</v>
      </c>
      <c r="H4957" s="6" t="str">
        <f t="shared" si="1315"/>
        <v>FA 214 - PURE - 550</v>
      </c>
      <c r="I4957" s="6" t="str">
        <f>"3"</f>
        <v>3</v>
      </c>
      <c r="J4957" s="6" t="str">
        <f>"PRETO Sulf"</f>
        <v>PRETO Sulf</v>
      </c>
      <c r="K4957" s="6" t="str">
        <f>"1535"</f>
        <v>1535</v>
      </c>
      <c r="L4957" s="6" t="str">
        <f>"Toalhões"</f>
        <v>Toalhões</v>
      </c>
      <c r="M4957" s="6" t="str">
        <f>"70x140"</f>
        <v>70x140</v>
      </c>
      <c r="N4957" s="6" t="str">
        <f>"5602972837216"</f>
        <v>5602972837216</v>
      </c>
      <c r="O4957" s="8">
        <v>360</v>
      </c>
      <c r="P4957" s="7">
        <v>46027</v>
      </c>
      <c r="R4957" s="8">
        <v>0</v>
      </c>
      <c r="S4957" s="7">
        <v>46030</v>
      </c>
      <c r="U4957" s="8">
        <v>360</v>
      </c>
      <c r="V4957" s="7">
        <v>46043</v>
      </c>
      <c r="X4957" s="8">
        <v>0</v>
      </c>
      <c r="Z4957" s="8">
        <v>0</v>
      </c>
      <c r="AA4957" s="7">
        <v>46057</v>
      </c>
      <c r="AC4957" s="8">
        <v>0</v>
      </c>
      <c r="AE4957" s="7">
        <v>46062</v>
      </c>
      <c r="AF4957" s="8">
        <v>0</v>
      </c>
      <c r="AH4957" s="7">
        <v>46062</v>
      </c>
      <c r="AN4957" s="8">
        <v>0</v>
      </c>
      <c r="AO4957" s="8">
        <v>360</v>
      </c>
    </row>
    <row r="4958" spans="1:41" x14ac:dyDescent="0.25">
      <c r="A4958" s="6" t="str">
        <f t="shared" si="1312"/>
        <v>525-2026000001</v>
      </c>
      <c r="B4958" s="6" t="str">
        <f t="shared" si="1311"/>
        <v>Lasa Int</v>
      </c>
      <c r="C4958" s="7">
        <v>46027</v>
      </c>
      <c r="D4958" s="7">
        <v>46062</v>
      </c>
      <c r="E4958" s="8">
        <v>14</v>
      </c>
      <c r="F4958" s="6" t="str">
        <f t="shared" si="1313"/>
        <v>PURE</v>
      </c>
      <c r="G4958" s="6" t="str">
        <f t="shared" si="1314"/>
        <v>F100021455000000</v>
      </c>
      <c r="H4958" s="6" t="str">
        <f t="shared" si="1315"/>
        <v>FA 214 - PURE - 550</v>
      </c>
      <c r="I4958" s="6" t="str">
        <f>"3"</f>
        <v>3</v>
      </c>
      <c r="J4958" s="6" t="str">
        <f>"PRETO Sulf"</f>
        <v>PRETO Sulf</v>
      </c>
      <c r="K4958" s="6" t="str">
        <f>"2020"</f>
        <v>2020</v>
      </c>
      <c r="L4958" s="6" t="str">
        <f>"Lençóis"</f>
        <v>Lençóis</v>
      </c>
      <c r="M4958" s="6" t="str">
        <f>"100x150"</f>
        <v>100x150</v>
      </c>
      <c r="N4958" s="6" t="str">
        <f>"5602972837223"</f>
        <v>5602972837223</v>
      </c>
      <c r="O4958" s="8">
        <v>80</v>
      </c>
      <c r="P4958" s="7">
        <v>46027</v>
      </c>
      <c r="R4958" s="8">
        <v>0</v>
      </c>
      <c r="S4958" s="7">
        <v>46030</v>
      </c>
      <c r="U4958" s="8">
        <v>80</v>
      </c>
      <c r="V4958" s="7">
        <v>46043</v>
      </c>
      <c r="X4958" s="8">
        <v>0</v>
      </c>
      <c r="Z4958" s="8">
        <v>0</v>
      </c>
      <c r="AA4958" s="7">
        <v>46057</v>
      </c>
      <c r="AC4958" s="8">
        <v>0</v>
      </c>
      <c r="AE4958" s="7">
        <v>46062</v>
      </c>
      <c r="AF4958" s="8">
        <v>0</v>
      </c>
      <c r="AH4958" s="7">
        <v>46062</v>
      </c>
      <c r="AN4958" s="8">
        <v>0</v>
      </c>
      <c r="AO4958" s="8">
        <v>80</v>
      </c>
    </row>
    <row r="4959" spans="1:41" x14ac:dyDescent="0.25">
      <c r="A4959" s="6" t="str">
        <f t="shared" si="1312"/>
        <v>525-2026000001</v>
      </c>
      <c r="B4959" s="6" t="str">
        <f t="shared" si="1311"/>
        <v>Lasa Int</v>
      </c>
      <c r="C4959" s="7">
        <v>46027</v>
      </c>
      <c r="D4959" s="7">
        <v>46062</v>
      </c>
      <c r="E4959" s="8">
        <v>15</v>
      </c>
      <c r="F4959" s="6" t="str">
        <f t="shared" si="1313"/>
        <v>PURE</v>
      </c>
      <c r="G4959" s="6" t="str">
        <f t="shared" si="1314"/>
        <v>F100021455000000</v>
      </c>
      <c r="H4959" s="6" t="str">
        <f t="shared" si="1315"/>
        <v>FA 214 - PURE - 550</v>
      </c>
      <c r="I4959" s="6" t="str">
        <f>"3074"</f>
        <v>3074</v>
      </c>
      <c r="J4959" s="6" t="str">
        <f>"LARANJA 3074"</f>
        <v>LARANJA 3074</v>
      </c>
      <c r="K4959" s="6" t="str">
        <f>"1024"</f>
        <v>1024</v>
      </c>
      <c r="L4959" s="6" t="str">
        <f>"Toalhas"</f>
        <v>Toalhas</v>
      </c>
      <c r="M4959" s="6" t="str">
        <f>"50x100"</f>
        <v>50x100</v>
      </c>
      <c r="N4959" s="6" t="str">
        <f>"5602972877946"</f>
        <v>5602972877946</v>
      </c>
      <c r="O4959" s="8">
        <v>240</v>
      </c>
      <c r="P4959" s="7">
        <v>46027</v>
      </c>
      <c r="R4959" s="8">
        <v>0</v>
      </c>
      <c r="S4959" s="7">
        <v>46030</v>
      </c>
      <c r="U4959" s="8">
        <v>240</v>
      </c>
      <c r="V4959" s="7">
        <v>46043</v>
      </c>
      <c r="X4959" s="8">
        <v>0</v>
      </c>
      <c r="Z4959" s="8">
        <v>0</v>
      </c>
      <c r="AA4959" s="7">
        <v>46057</v>
      </c>
      <c r="AC4959" s="8">
        <v>0</v>
      </c>
      <c r="AE4959" s="7">
        <v>46062</v>
      </c>
      <c r="AF4959" s="8">
        <v>0</v>
      </c>
      <c r="AH4959" s="7">
        <v>46062</v>
      </c>
      <c r="AN4959" s="8">
        <v>0</v>
      </c>
      <c r="AO4959" s="8">
        <v>240</v>
      </c>
    </row>
    <row r="4960" spans="1:41" x14ac:dyDescent="0.25">
      <c r="A4960" s="6" t="str">
        <f t="shared" si="1312"/>
        <v>525-2026000001</v>
      </c>
      <c r="B4960" s="6" t="str">
        <f t="shared" si="1311"/>
        <v>Lasa Int</v>
      </c>
      <c r="C4960" s="7">
        <v>46027</v>
      </c>
      <c r="D4960" s="7">
        <v>46062</v>
      </c>
      <c r="E4960" s="8">
        <v>16</v>
      </c>
      <c r="F4960" s="6" t="str">
        <f t="shared" si="1313"/>
        <v>PURE</v>
      </c>
      <c r="G4960" s="6" t="str">
        <f t="shared" si="1314"/>
        <v>F100021455000000</v>
      </c>
      <c r="H4960" s="6" t="str">
        <f t="shared" si="1315"/>
        <v>FA 214 - PURE - 550</v>
      </c>
      <c r="I4960" s="6" t="str">
        <f>"3074"</f>
        <v>3074</v>
      </c>
      <c r="J4960" s="6" t="str">
        <f>"LARANJA 3074"</f>
        <v>LARANJA 3074</v>
      </c>
      <c r="K4960" s="6" t="str">
        <f>"1535"</f>
        <v>1535</v>
      </c>
      <c r="L4960" s="6" t="str">
        <f>"Toalhões"</f>
        <v>Toalhões</v>
      </c>
      <c r="M4960" s="6" t="str">
        <f>"70x140"</f>
        <v>70x140</v>
      </c>
      <c r="N4960" s="6" t="str">
        <f>"5602972877953"</f>
        <v>5602972877953</v>
      </c>
      <c r="O4960" s="8">
        <v>240</v>
      </c>
      <c r="P4960" s="7">
        <v>46027</v>
      </c>
      <c r="R4960" s="8">
        <v>0</v>
      </c>
      <c r="S4960" s="7">
        <v>46030</v>
      </c>
      <c r="U4960" s="8">
        <v>240</v>
      </c>
      <c r="V4960" s="7">
        <v>46043</v>
      </c>
      <c r="X4960" s="8">
        <v>0</v>
      </c>
      <c r="Z4960" s="8">
        <v>0</v>
      </c>
      <c r="AA4960" s="7">
        <v>46057</v>
      </c>
      <c r="AC4960" s="8">
        <v>0</v>
      </c>
      <c r="AE4960" s="7">
        <v>46062</v>
      </c>
      <c r="AF4960" s="8">
        <v>0</v>
      </c>
      <c r="AH4960" s="7">
        <v>46062</v>
      </c>
      <c r="AN4960" s="8">
        <v>0</v>
      </c>
      <c r="AO4960" s="8">
        <v>240</v>
      </c>
    </row>
    <row r="4961" spans="1:41" x14ac:dyDescent="0.25">
      <c r="A4961" s="6" t="str">
        <f t="shared" si="1312"/>
        <v>525-2026000001</v>
      </c>
      <c r="B4961" s="6" t="str">
        <f t="shared" si="1311"/>
        <v>Lasa Int</v>
      </c>
      <c r="C4961" s="7">
        <v>46027</v>
      </c>
      <c r="D4961" s="7">
        <v>46062</v>
      </c>
      <c r="E4961" s="8">
        <v>17</v>
      </c>
      <c r="F4961" s="6" t="str">
        <f t="shared" si="1313"/>
        <v>PURE</v>
      </c>
      <c r="G4961" s="6" t="str">
        <f t="shared" si="1314"/>
        <v>F100021455000000</v>
      </c>
      <c r="H4961" s="6" t="str">
        <f t="shared" si="1315"/>
        <v>FA 214 - PURE - 550</v>
      </c>
      <c r="I4961" s="6" t="str">
        <f>"3074"</f>
        <v>3074</v>
      </c>
      <c r="J4961" s="6" t="str">
        <f>"LARANJA 3074"</f>
        <v>LARANJA 3074</v>
      </c>
      <c r="K4961" s="6" t="str">
        <f>"2020"</f>
        <v>2020</v>
      </c>
      <c r="L4961" s="6" t="str">
        <f>"Lençóis"</f>
        <v>Lençóis</v>
      </c>
      <c r="M4961" s="6" t="str">
        <f>"100x150"</f>
        <v>100x150</v>
      </c>
      <c r="N4961" s="6" t="str">
        <f>"5602972877960"</f>
        <v>5602972877960</v>
      </c>
      <c r="O4961" s="8">
        <v>160</v>
      </c>
      <c r="P4961" s="7">
        <v>46027</v>
      </c>
      <c r="R4961" s="8">
        <v>0</v>
      </c>
      <c r="S4961" s="7">
        <v>46030</v>
      </c>
      <c r="U4961" s="8">
        <v>160</v>
      </c>
      <c r="V4961" s="7">
        <v>46043</v>
      </c>
      <c r="X4961" s="8">
        <v>0</v>
      </c>
      <c r="Z4961" s="8">
        <v>0</v>
      </c>
      <c r="AA4961" s="7">
        <v>46057</v>
      </c>
      <c r="AC4961" s="8">
        <v>0</v>
      </c>
      <c r="AE4961" s="7">
        <v>46062</v>
      </c>
      <c r="AF4961" s="8">
        <v>0</v>
      </c>
      <c r="AH4961" s="7">
        <v>46062</v>
      </c>
      <c r="AN4961" s="8">
        <v>0</v>
      </c>
      <c r="AO4961" s="8">
        <v>160</v>
      </c>
    </row>
    <row r="4962" spans="1:41" x14ac:dyDescent="0.25">
      <c r="A4962" s="6" t="str">
        <f t="shared" si="1312"/>
        <v>525-2026000001</v>
      </c>
      <c r="B4962" s="6" t="str">
        <f t="shared" si="1311"/>
        <v>Lasa Int</v>
      </c>
      <c r="C4962" s="7">
        <v>46027</v>
      </c>
      <c r="D4962" s="7">
        <v>46062</v>
      </c>
      <c r="E4962" s="8">
        <v>18</v>
      </c>
      <c r="F4962" s="6" t="str">
        <f t="shared" si="1313"/>
        <v>PURE</v>
      </c>
      <c r="G4962" s="6" t="str">
        <f t="shared" si="1314"/>
        <v>F100021455000000</v>
      </c>
      <c r="H4962" s="6" t="str">
        <f t="shared" si="1315"/>
        <v>FA 214 - PURE - 550</v>
      </c>
      <c r="I4962" s="6" t="str">
        <f>"5148"</f>
        <v>5148</v>
      </c>
      <c r="J4962" s="6" t="str">
        <f>"BEGE 5148"</f>
        <v>BEGE 5148</v>
      </c>
      <c r="K4962" s="6" t="str">
        <f>"0530"</f>
        <v>0530</v>
      </c>
      <c r="L4962" s="6" t="str">
        <f>"Toalhetes"</f>
        <v>Toalhetes</v>
      </c>
      <c r="M4962" s="6" t="str">
        <f>"33x50"</f>
        <v>33x50</v>
      </c>
      <c r="N4962" s="6" t="str">
        <f>"5602972651393"</f>
        <v>5602972651393</v>
      </c>
      <c r="O4962" s="8">
        <v>450</v>
      </c>
      <c r="P4962" s="7">
        <v>46027</v>
      </c>
      <c r="R4962" s="8">
        <v>0</v>
      </c>
      <c r="S4962" s="7">
        <v>46030</v>
      </c>
      <c r="U4962" s="8">
        <v>450</v>
      </c>
      <c r="V4962" s="7">
        <v>46043</v>
      </c>
      <c r="X4962" s="8">
        <v>0</v>
      </c>
      <c r="Z4962" s="8">
        <v>450</v>
      </c>
      <c r="AA4962" s="7">
        <v>46057</v>
      </c>
      <c r="AC4962" s="8">
        <v>0</v>
      </c>
      <c r="AE4962" s="7">
        <v>46062</v>
      </c>
      <c r="AF4962" s="8">
        <v>0</v>
      </c>
      <c r="AH4962" s="7">
        <v>46062</v>
      </c>
      <c r="AN4962" s="8">
        <v>0</v>
      </c>
      <c r="AO4962" s="8">
        <v>450</v>
      </c>
    </row>
    <row r="4963" spans="1:41" x14ac:dyDescent="0.25">
      <c r="A4963" s="6" t="str">
        <f t="shared" si="1312"/>
        <v>525-2026000001</v>
      </c>
      <c r="B4963" s="6" t="str">
        <f t="shared" si="1311"/>
        <v>Lasa Int</v>
      </c>
      <c r="C4963" s="7">
        <v>46027</v>
      </c>
      <c r="D4963" s="7">
        <v>46062</v>
      </c>
      <c r="E4963" s="8">
        <v>19</v>
      </c>
      <c r="F4963" s="6" t="str">
        <f t="shared" si="1313"/>
        <v>PURE</v>
      </c>
      <c r="G4963" s="6" t="str">
        <f t="shared" si="1314"/>
        <v>F100021455000000</v>
      </c>
      <c r="H4963" s="6" t="str">
        <f t="shared" si="1315"/>
        <v>FA 214 - PURE - 550</v>
      </c>
      <c r="I4963" s="6" t="str">
        <f>"5148"</f>
        <v>5148</v>
      </c>
      <c r="J4963" s="6" t="str">
        <f>"BEGE 5148"</f>
        <v>BEGE 5148</v>
      </c>
      <c r="K4963" s="6" t="str">
        <f>"1024"</f>
        <v>1024</v>
      </c>
      <c r="L4963" s="6" t="str">
        <f>"Toalhas"</f>
        <v>Toalhas</v>
      </c>
      <c r="M4963" s="6" t="str">
        <f>"50x100"</f>
        <v>50x100</v>
      </c>
      <c r="N4963" s="6" t="str">
        <f>"5602972651409"</f>
        <v>5602972651409</v>
      </c>
      <c r="O4963" s="8">
        <v>240</v>
      </c>
      <c r="P4963" s="7">
        <v>46027</v>
      </c>
      <c r="R4963" s="8">
        <v>0</v>
      </c>
      <c r="S4963" s="7">
        <v>46030</v>
      </c>
      <c r="U4963" s="8">
        <v>240</v>
      </c>
      <c r="V4963" s="7">
        <v>46043</v>
      </c>
      <c r="X4963" s="8">
        <v>0</v>
      </c>
      <c r="Z4963" s="8">
        <v>240</v>
      </c>
      <c r="AA4963" s="7">
        <v>46057</v>
      </c>
      <c r="AC4963" s="8">
        <v>0</v>
      </c>
      <c r="AE4963" s="7">
        <v>46062</v>
      </c>
      <c r="AF4963" s="8">
        <v>0</v>
      </c>
      <c r="AH4963" s="7">
        <v>46062</v>
      </c>
      <c r="AN4963" s="8">
        <v>0</v>
      </c>
      <c r="AO4963" s="8">
        <v>240</v>
      </c>
    </row>
    <row r="4964" spans="1:41" x14ac:dyDescent="0.25">
      <c r="A4964" s="6" t="str">
        <f t="shared" si="1312"/>
        <v>525-2026000001</v>
      </c>
      <c r="B4964" s="6" t="str">
        <f t="shared" si="1311"/>
        <v>Lasa Int</v>
      </c>
      <c r="C4964" s="7">
        <v>46027</v>
      </c>
      <c r="D4964" s="7">
        <v>46062</v>
      </c>
      <c r="E4964" s="8">
        <v>20</v>
      </c>
      <c r="F4964" s="6" t="str">
        <f t="shared" si="1313"/>
        <v>PURE</v>
      </c>
      <c r="G4964" s="6" t="str">
        <f t="shared" si="1314"/>
        <v>F100021455000000</v>
      </c>
      <c r="H4964" s="6" t="str">
        <f t="shared" si="1315"/>
        <v>FA 214 - PURE - 550</v>
      </c>
      <c r="I4964" s="6" t="str">
        <f>"5148"</f>
        <v>5148</v>
      </c>
      <c r="J4964" s="6" t="str">
        <f>"BEGE 5148"</f>
        <v>BEGE 5148</v>
      </c>
      <c r="K4964" s="6" t="str">
        <f>"1535"</f>
        <v>1535</v>
      </c>
      <c r="L4964" s="6" t="str">
        <f>"Toalhões"</f>
        <v>Toalhões</v>
      </c>
      <c r="M4964" s="6" t="str">
        <f>"70x140"</f>
        <v>70x140</v>
      </c>
      <c r="N4964" s="6" t="str">
        <f>"5602972651416"</f>
        <v>5602972651416</v>
      </c>
      <c r="O4964" s="8">
        <v>120</v>
      </c>
      <c r="P4964" s="7">
        <v>46027</v>
      </c>
      <c r="R4964" s="8">
        <v>0</v>
      </c>
      <c r="S4964" s="7">
        <v>46030</v>
      </c>
      <c r="U4964" s="8">
        <v>120</v>
      </c>
      <c r="V4964" s="7">
        <v>46043</v>
      </c>
      <c r="X4964" s="8">
        <v>0</v>
      </c>
      <c r="Z4964" s="8">
        <v>120</v>
      </c>
      <c r="AA4964" s="7">
        <v>46057</v>
      </c>
      <c r="AC4964" s="8">
        <v>0</v>
      </c>
      <c r="AE4964" s="7">
        <v>46062</v>
      </c>
      <c r="AF4964" s="8">
        <v>0</v>
      </c>
      <c r="AH4964" s="7">
        <v>46062</v>
      </c>
      <c r="AN4964" s="8">
        <v>0</v>
      </c>
      <c r="AO4964" s="8">
        <v>120</v>
      </c>
    </row>
    <row r="4965" spans="1:41" x14ac:dyDescent="0.25">
      <c r="A4965" s="6" t="str">
        <f t="shared" si="1312"/>
        <v>525-2026000001</v>
      </c>
      <c r="B4965" s="6" t="str">
        <f t="shared" si="1311"/>
        <v>Lasa Int</v>
      </c>
      <c r="C4965" s="7">
        <v>46027</v>
      </c>
      <c r="D4965" s="7">
        <v>46062</v>
      </c>
      <c r="E4965" s="8">
        <v>21</v>
      </c>
      <c r="F4965" s="6" t="str">
        <f t="shared" si="1313"/>
        <v>PURE</v>
      </c>
      <c r="G4965" s="6" t="str">
        <f t="shared" si="1314"/>
        <v>F100021455000000</v>
      </c>
      <c r="H4965" s="6" t="str">
        <f t="shared" si="1315"/>
        <v>FA 214 - PURE - 550</v>
      </c>
      <c r="I4965" s="6" t="str">
        <f>"5148"</f>
        <v>5148</v>
      </c>
      <c r="J4965" s="6" t="str">
        <f>"BEGE 5148"</f>
        <v>BEGE 5148</v>
      </c>
      <c r="K4965" s="6" t="str">
        <f>"2020"</f>
        <v>2020</v>
      </c>
      <c r="L4965" s="6" t="str">
        <f>"Lençóis"</f>
        <v>Lençóis</v>
      </c>
      <c r="M4965" s="6" t="str">
        <f>"100x150"</f>
        <v>100x150</v>
      </c>
      <c r="N4965" s="6" t="str">
        <f>"5602972651423"</f>
        <v>5602972651423</v>
      </c>
      <c r="O4965" s="8">
        <v>320</v>
      </c>
      <c r="P4965" s="7">
        <v>46027</v>
      </c>
      <c r="R4965" s="8">
        <v>0</v>
      </c>
      <c r="S4965" s="7">
        <v>46030</v>
      </c>
      <c r="U4965" s="8">
        <v>320</v>
      </c>
      <c r="V4965" s="7">
        <v>46043</v>
      </c>
      <c r="X4965" s="8">
        <v>0</v>
      </c>
      <c r="Z4965" s="8">
        <v>320</v>
      </c>
      <c r="AA4965" s="7">
        <v>46057</v>
      </c>
      <c r="AC4965" s="8">
        <v>0</v>
      </c>
      <c r="AE4965" s="7">
        <v>46062</v>
      </c>
      <c r="AF4965" s="8">
        <v>0</v>
      </c>
      <c r="AH4965" s="7">
        <v>46062</v>
      </c>
      <c r="AN4965" s="8">
        <v>0</v>
      </c>
      <c r="AO4965" s="8">
        <v>320</v>
      </c>
    </row>
    <row r="4966" spans="1:41" x14ac:dyDescent="0.25">
      <c r="A4966" s="6" t="str">
        <f t="shared" si="1312"/>
        <v>525-2026000001</v>
      </c>
      <c r="B4966" s="6" t="str">
        <f t="shared" si="1311"/>
        <v>Lasa Int</v>
      </c>
      <c r="C4966" s="7">
        <v>46027</v>
      </c>
      <c r="D4966" s="7">
        <v>46062</v>
      </c>
      <c r="E4966" s="8">
        <v>22</v>
      </c>
      <c r="F4966" s="6" t="str">
        <f t="shared" si="1313"/>
        <v>PURE</v>
      </c>
      <c r="G4966" s="6" t="str">
        <f t="shared" si="1314"/>
        <v>F100021455000000</v>
      </c>
      <c r="H4966" s="6" t="str">
        <f t="shared" si="1315"/>
        <v>FA 214 - PURE - 550</v>
      </c>
      <c r="I4966" s="6" t="str">
        <f>"5149"</f>
        <v>5149</v>
      </c>
      <c r="J4966" s="6" t="str">
        <f>"VERDE 5149"</f>
        <v>VERDE 5149</v>
      </c>
      <c r="K4966" s="6" t="str">
        <f>"0530"</f>
        <v>0530</v>
      </c>
      <c r="L4966" s="6" t="str">
        <f>"Toalhetes"</f>
        <v>Toalhetes</v>
      </c>
      <c r="M4966" s="6" t="str">
        <f>"33x50"</f>
        <v>33x50</v>
      </c>
      <c r="N4966" s="6" t="str">
        <f>"5602972651447"</f>
        <v>5602972651447</v>
      </c>
      <c r="O4966" s="8">
        <v>450</v>
      </c>
      <c r="P4966" s="7">
        <v>46027</v>
      </c>
      <c r="R4966" s="8">
        <v>0</v>
      </c>
      <c r="S4966" s="7">
        <v>46030</v>
      </c>
      <c r="U4966" s="8">
        <v>450</v>
      </c>
      <c r="V4966" s="7">
        <v>46043</v>
      </c>
      <c r="X4966" s="8">
        <v>0</v>
      </c>
      <c r="Z4966" s="8">
        <v>450</v>
      </c>
      <c r="AA4966" s="7">
        <v>46057</v>
      </c>
      <c r="AC4966" s="8">
        <v>0</v>
      </c>
      <c r="AE4966" s="7">
        <v>46062</v>
      </c>
      <c r="AF4966" s="8">
        <v>0</v>
      </c>
      <c r="AH4966" s="7">
        <v>46062</v>
      </c>
      <c r="AN4966" s="8">
        <v>0</v>
      </c>
      <c r="AO4966" s="8">
        <v>450</v>
      </c>
    </row>
    <row r="4967" spans="1:41" x14ac:dyDescent="0.25">
      <c r="A4967" s="6" t="str">
        <f t="shared" si="1312"/>
        <v>525-2026000001</v>
      </c>
      <c r="B4967" s="6" t="str">
        <f t="shared" ref="B4967:B4998" si="1316">"Lasa Int"</f>
        <v>Lasa Int</v>
      </c>
      <c r="C4967" s="7">
        <v>46027</v>
      </c>
      <c r="D4967" s="7">
        <v>46062</v>
      </c>
      <c r="E4967" s="8">
        <v>23</v>
      </c>
      <c r="F4967" s="6" t="str">
        <f t="shared" si="1313"/>
        <v>PURE</v>
      </c>
      <c r="G4967" s="6" t="str">
        <f t="shared" si="1314"/>
        <v>F100021455000000</v>
      </c>
      <c r="H4967" s="6" t="str">
        <f t="shared" si="1315"/>
        <v>FA 214 - PURE - 550</v>
      </c>
      <c r="I4967" s="6" t="str">
        <f>"5149"</f>
        <v>5149</v>
      </c>
      <c r="J4967" s="6" t="str">
        <f>"VERDE 5149"</f>
        <v>VERDE 5149</v>
      </c>
      <c r="K4967" s="6" t="str">
        <f>"1024"</f>
        <v>1024</v>
      </c>
      <c r="L4967" s="6" t="str">
        <f>"Toalhas"</f>
        <v>Toalhas</v>
      </c>
      <c r="M4967" s="6" t="str">
        <f>"50x100"</f>
        <v>50x100</v>
      </c>
      <c r="N4967" s="6" t="str">
        <f>"5602972651454"</f>
        <v>5602972651454</v>
      </c>
      <c r="O4967" s="8">
        <v>720</v>
      </c>
      <c r="P4967" s="7">
        <v>46027</v>
      </c>
      <c r="R4967" s="8">
        <v>0</v>
      </c>
      <c r="S4967" s="7">
        <v>46030</v>
      </c>
      <c r="U4967" s="8">
        <v>720</v>
      </c>
      <c r="V4967" s="7">
        <v>46043</v>
      </c>
      <c r="X4967" s="8">
        <v>0</v>
      </c>
      <c r="Z4967" s="8">
        <v>720</v>
      </c>
      <c r="AA4967" s="7">
        <v>46057</v>
      </c>
      <c r="AC4967" s="8">
        <v>0</v>
      </c>
      <c r="AE4967" s="7">
        <v>46062</v>
      </c>
      <c r="AF4967" s="8">
        <v>0</v>
      </c>
      <c r="AH4967" s="7">
        <v>46062</v>
      </c>
      <c r="AN4967" s="8">
        <v>0</v>
      </c>
      <c r="AO4967" s="8">
        <v>720</v>
      </c>
    </row>
    <row r="4968" spans="1:41" x14ac:dyDescent="0.25">
      <c r="A4968" s="6" t="str">
        <f t="shared" si="1312"/>
        <v>525-2026000001</v>
      </c>
      <c r="B4968" s="6" t="str">
        <f t="shared" si="1316"/>
        <v>Lasa Int</v>
      </c>
      <c r="C4968" s="7">
        <v>46027</v>
      </c>
      <c r="D4968" s="7">
        <v>46062</v>
      </c>
      <c r="E4968" s="8">
        <v>24</v>
      </c>
      <c r="F4968" s="6" t="str">
        <f t="shared" si="1313"/>
        <v>PURE</v>
      </c>
      <c r="G4968" s="6" t="str">
        <f t="shared" si="1314"/>
        <v>F100021455000000</v>
      </c>
      <c r="H4968" s="6" t="str">
        <f t="shared" si="1315"/>
        <v>FA 214 - PURE - 550</v>
      </c>
      <c r="I4968" s="6" t="str">
        <f>"5149"</f>
        <v>5149</v>
      </c>
      <c r="J4968" s="6" t="str">
        <f>"VERDE 5149"</f>
        <v>VERDE 5149</v>
      </c>
      <c r="K4968" s="6" t="str">
        <f>"1535"</f>
        <v>1535</v>
      </c>
      <c r="L4968" s="6" t="str">
        <f>"Toalhões"</f>
        <v>Toalhões</v>
      </c>
      <c r="M4968" s="6" t="str">
        <f>"70x140"</f>
        <v>70x140</v>
      </c>
      <c r="N4968" s="6" t="str">
        <f>"5602972651461"</f>
        <v>5602972651461</v>
      </c>
      <c r="O4968" s="8">
        <v>120</v>
      </c>
      <c r="P4968" s="7">
        <v>46027</v>
      </c>
      <c r="R4968" s="8">
        <v>0</v>
      </c>
      <c r="S4968" s="7">
        <v>46030</v>
      </c>
      <c r="U4968" s="8">
        <v>120</v>
      </c>
      <c r="V4968" s="7">
        <v>46043</v>
      </c>
      <c r="X4968" s="8">
        <v>0</v>
      </c>
      <c r="Z4968" s="8">
        <v>120</v>
      </c>
      <c r="AA4968" s="7">
        <v>46057</v>
      </c>
      <c r="AC4968" s="8">
        <v>0</v>
      </c>
      <c r="AE4968" s="7">
        <v>46062</v>
      </c>
      <c r="AF4968" s="8">
        <v>0</v>
      </c>
      <c r="AH4968" s="7">
        <v>46062</v>
      </c>
      <c r="AN4968" s="8">
        <v>0</v>
      </c>
      <c r="AO4968" s="8">
        <v>120</v>
      </c>
    </row>
    <row r="4969" spans="1:41" x14ac:dyDescent="0.25">
      <c r="A4969" s="6" t="str">
        <f t="shared" si="1312"/>
        <v>525-2026000001</v>
      </c>
      <c r="B4969" s="6" t="str">
        <f t="shared" si="1316"/>
        <v>Lasa Int</v>
      </c>
      <c r="C4969" s="7">
        <v>46027</v>
      </c>
      <c r="D4969" s="7">
        <v>46062</v>
      </c>
      <c r="E4969" s="8">
        <v>25</v>
      </c>
      <c r="F4969" s="6" t="str">
        <f t="shared" si="1313"/>
        <v>PURE</v>
      </c>
      <c r="G4969" s="6" t="str">
        <f t="shared" si="1314"/>
        <v>F100021455000000</v>
      </c>
      <c r="H4969" s="6" t="str">
        <f t="shared" si="1315"/>
        <v>FA 214 - PURE - 550</v>
      </c>
      <c r="I4969" s="6" t="str">
        <f>"5149"</f>
        <v>5149</v>
      </c>
      <c r="J4969" s="6" t="str">
        <f>"VERDE 5149"</f>
        <v>VERDE 5149</v>
      </c>
      <c r="K4969" s="6" t="str">
        <f>"2020"</f>
        <v>2020</v>
      </c>
      <c r="L4969" s="6" t="str">
        <f>"Lençóis"</f>
        <v>Lençóis</v>
      </c>
      <c r="M4969" s="6" t="str">
        <f>"100x150"</f>
        <v>100x150</v>
      </c>
      <c r="N4969" s="6" t="str">
        <f>"5602972651478"</f>
        <v>5602972651478</v>
      </c>
      <c r="O4969" s="8">
        <v>80</v>
      </c>
      <c r="P4969" s="7">
        <v>46027</v>
      </c>
      <c r="R4969" s="8">
        <v>0</v>
      </c>
      <c r="S4969" s="7">
        <v>46030</v>
      </c>
      <c r="U4969" s="8">
        <v>80</v>
      </c>
      <c r="V4969" s="7">
        <v>46043</v>
      </c>
      <c r="X4969" s="8">
        <v>0</v>
      </c>
      <c r="Z4969" s="8">
        <v>80</v>
      </c>
      <c r="AA4969" s="7">
        <v>46057</v>
      </c>
      <c r="AC4969" s="8">
        <v>0</v>
      </c>
      <c r="AE4969" s="7">
        <v>46062</v>
      </c>
      <c r="AF4969" s="8">
        <v>0</v>
      </c>
      <c r="AH4969" s="7">
        <v>46062</v>
      </c>
      <c r="AN4969" s="8">
        <v>0</v>
      </c>
      <c r="AO4969" s="8">
        <v>80</v>
      </c>
    </row>
    <row r="4970" spans="1:41" x14ac:dyDescent="0.25">
      <c r="A4970" s="6" t="str">
        <f t="shared" si="1312"/>
        <v>525-2026000001</v>
      </c>
      <c r="B4970" s="6" t="str">
        <f t="shared" si="1316"/>
        <v>Lasa Int</v>
      </c>
      <c r="C4970" s="7">
        <v>46027</v>
      </c>
      <c r="D4970" s="7">
        <v>46062</v>
      </c>
      <c r="E4970" s="8">
        <v>26</v>
      </c>
      <c r="F4970" s="6" t="str">
        <f t="shared" si="1313"/>
        <v>PURE</v>
      </c>
      <c r="G4970" s="6" t="str">
        <f t="shared" si="1314"/>
        <v>F100021455000000</v>
      </c>
      <c r="H4970" s="6" t="str">
        <f t="shared" si="1315"/>
        <v>FA 214 - PURE - 550</v>
      </c>
      <c r="I4970" s="6" t="str">
        <f>"5417"</f>
        <v>5417</v>
      </c>
      <c r="J4970" s="6" t="str">
        <f>"AZUL 5417"</f>
        <v>AZUL 5417</v>
      </c>
      <c r="K4970" s="6" t="str">
        <f>"0530"</f>
        <v>0530</v>
      </c>
      <c r="L4970" s="6" t="str">
        <f>"Toalhetes"</f>
        <v>Toalhetes</v>
      </c>
      <c r="M4970" s="6" t="str">
        <f>"33x50"</f>
        <v>33x50</v>
      </c>
      <c r="N4970" s="6" t="str">
        <f>"5602972667561"</f>
        <v>5602972667561</v>
      </c>
      <c r="O4970" s="8">
        <v>450</v>
      </c>
      <c r="P4970" s="7">
        <v>46027</v>
      </c>
      <c r="R4970" s="8">
        <v>0</v>
      </c>
      <c r="S4970" s="7">
        <v>46030</v>
      </c>
      <c r="U4970" s="8">
        <v>450</v>
      </c>
      <c r="V4970" s="7">
        <v>46043</v>
      </c>
      <c r="X4970" s="8">
        <v>0</v>
      </c>
      <c r="Z4970" s="8">
        <v>450</v>
      </c>
      <c r="AA4970" s="7">
        <v>46057</v>
      </c>
      <c r="AC4970" s="8">
        <v>0</v>
      </c>
      <c r="AE4970" s="7">
        <v>46062</v>
      </c>
      <c r="AF4970" s="8">
        <v>0</v>
      </c>
      <c r="AH4970" s="7">
        <v>46062</v>
      </c>
      <c r="AN4970" s="8">
        <v>0</v>
      </c>
      <c r="AO4970" s="8">
        <v>450</v>
      </c>
    </row>
    <row r="4971" spans="1:41" x14ac:dyDescent="0.25">
      <c r="A4971" s="6" t="str">
        <f t="shared" si="1312"/>
        <v>525-2026000001</v>
      </c>
      <c r="B4971" s="6" t="str">
        <f t="shared" si="1316"/>
        <v>Lasa Int</v>
      </c>
      <c r="C4971" s="7">
        <v>46027</v>
      </c>
      <c r="D4971" s="7">
        <v>46062</v>
      </c>
      <c r="E4971" s="8">
        <v>27</v>
      </c>
      <c r="F4971" s="6" t="str">
        <f t="shared" si="1313"/>
        <v>PURE</v>
      </c>
      <c r="G4971" s="6" t="str">
        <f t="shared" si="1314"/>
        <v>F100021455000000</v>
      </c>
      <c r="H4971" s="6" t="str">
        <f t="shared" si="1315"/>
        <v>FA 214 - PURE - 550</v>
      </c>
      <c r="I4971" s="6" t="str">
        <f>"5417"</f>
        <v>5417</v>
      </c>
      <c r="J4971" s="6" t="str">
        <f>"AZUL 5417"</f>
        <v>AZUL 5417</v>
      </c>
      <c r="K4971" s="6" t="str">
        <f>"1024"</f>
        <v>1024</v>
      </c>
      <c r="L4971" s="6" t="str">
        <f>"Toalhas"</f>
        <v>Toalhas</v>
      </c>
      <c r="M4971" s="6" t="str">
        <f>"50x100"</f>
        <v>50x100</v>
      </c>
      <c r="N4971" s="6" t="str">
        <f>"5602972667578"</f>
        <v>5602972667578</v>
      </c>
      <c r="O4971" s="8">
        <v>240</v>
      </c>
      <c r="P4971" s="7">
        <v>46027</v>
      </c>
      <c r="R4971" s="8">
        <v>0</v>
      </c>
      <c r="S4971" s="7">
        <v>46030</v>
      </c>
      <c r="U4971" s="8">
        <v>240</v>
      </c>
      <c r="V4971" s="7">
        <v>46043</v>
      </c>
      <c r="X4971" s="8">
        <v>0</v>
      </c>
      <c r="Z4971" s="8">
        <v>240</v>
      </c>
      <c r="AA4971" s="7">
        <v>46057</v>
      </c>
      <c r="AC4971" s="8">
        <v>0</v>
      </c>
      <c r="AE4971" s="7">
        <v>46062</v>
      </c>
      <c r="AF4971" s="8">
        <v>0</v>
      </c>
      <c r="AH4971" s="7">
        <v>46062</v>
      </c>
      <c r="AN4971" s="8">
        <v>0</v>
      </c>
      <c r="AO4971" s="8">
        <v>240</v>
      </c>
    </row>
    <row r="4972" spans="1:41" x14ac:dyDescent="0.25">
      <c r="A4972" s="6" t="str">
        <f t="shared" si="1312"/>
        <v>525-2026000001</v>
      </c>
      <c r="B4972" s="6" t="str">
        <f t="shared" si="1316"/>
        <v>Lasa Int</v>
      </c>
      <c r="C4972" s="7">
        <v>46027</v>
      </c>
      <c r="D4972" s="7">
        <v>46062</v>
      </c>
      <c r="E4972" s="8">
        <v>28</v>
      </c>
      <c r="F4972" s="6" t="str">
        <f t="shared" si="1313"/>
        <v>PURE</v>
      </c>
      <c r="G4972" s="6" t="str">
        <f t="shared" si="1314"/>
        <v>F100021455000000</v>
      </c>
      <c r="H4972" s="6" t="str">
        <f t="shared" si="1315"/>
        <v>FA 214 - PURE - 550</v>
      </c>
      <c r="I4972" s="6" t="str">
        <f>"5417"</f>
        <v>5417</v>
      </c>
      <c r="J4972" s="6" t="str">
        <f>"AZUL 5417"</f>
        <v>AZUL 5417</v>
      </c>
      <c r="K4972" s="6" t="str">
        <f>"1535"</f>
        <v>1535</v>
      </c>
      <c r="L4972" s="6" t="str">
        <f>"Toalhões"</f>
        <v>Toalhões</v>
      </c>
      <c r="M4972" s="6" t="str">
        <f>"70x140"</f>
        <v>70x140</v>
      </c>
      <c r="N4972" s="6" t="str">
        <f>"5602972667585"</f>
        <v>5602972667585</v>
      </c>
      <c r="O4972" s="8">
        <v>240</v>
      </c>
      <c r="P4972" s="7">
        <v>46027</v>
      </c>
      <c r="R4972" s="8">
        <v>0</v>
      </c>
      <c r="S4972" s="7">
        <v>46030</v>
      </c>
      <c r="U4972" s="8">
        <v>240</v>
      </c>
      <c r="V4972" s="7">
        <v>46043</v>
      </c>
      <c r="X4972" s="8">
        <v>0</v>
      </c>
      <c r="Z4972" s="8">
        <v>240</v>
      </c>
      <c r="AA4972" s="7">
        <v>46057</v>
      </c>
      <c r="AC4972" s="8">
        <v>0</v>
      </c>
      <c r="AE4972" s="7">
        <v>46062</v>
      </c>
      <c r="AF4972" s="8">
        <v>0</v>
      </c>
      <c r="AH4972" s="7">
        <v>46062</v>
      </c>
      <c r="AN4972" s="8">
        <v>0</v>
      </c>
      <c r="AO4972" s="8">
        <v>240</v>
      </c>
    </row>
    <row r="4973" spans="1:41" x14ac:dyDescent="0.25">
      <c r="A4973" s="6" t="str">
        <f t="shared" si="1312"/>
        <v>525-2026000001</v>
      </c>
      <c r="B4973" s="6" t="str">
        <f t="shared" si="1316"/>
        <v>Lasa Int</v>
      </c>
      <c r="C4973" s="7">
        <v>46027</v>
      </c>
      <c r="D4973" s="7">
        <v>46062</v>
      </c>
      <c r="E4973" s="8">
        <v>29</v>
      </c>
      <c r="F4973" s="6" t="str">
        <f t="shared" si="1313"/>
        <v>PURE</v>
      </c>
      <c r="G4973" s="6" t="str">
        <f t="shared" si="1314"/>
        <v>F100021455000000</v>
      </c>
      <c r="H4973" s="6" t="str">
        <f t="shared" si="1315"/>
        <v>FA 214 - PURE - 550</v>
      </c>
      <c r="I4973" s="6" t="str">
        <f>"5417"</f>
        <v>5417</v>
      </c>
      <c r="J4973" s="6" t="str">
        <f>"AZUL 5417"</f>
        <v>AZUL 5417</v>
      </c>
      <c r="K4973" s="6" t="str">
        <f>"2020"</f>
        <v>2020</v>
      </c>
      <c r="L4973" s="6" t="str">
        <f>"Lençóis"</f>
        <v>Lençóis</v>
      </c>
      <c r="M4973" s="6" t="str">
        <f>"100x150"</f>
        <v>100x150</v>
      </c>
      <c r="N4973" s="6" t="str">
        <f>"5602972667592"</f>
        <v>5602972667592</v>
      </c>
      <c r="O4973" s="8">
        <v>240</v>
      </c>
      <c r="P4973" s="7">
        <v>46027</v>
      </c>
      <c r="R4973" s="8">
        <v>0</v>
      </c>
      <c r="S4973" s="7">
        <v>46030</v>
      </c>
      <c r="U4973" s="8">
        <v>240</v>
      </c>
      <c r="V4973" s="7">
        <v>46043</v>
      </c>
      <c r="X4973" s="8">
        <v>0</v>
      </c>
      <c r="Z4973" s="8">
        <v>240</v>
      </c>
      <c r="AA4973" s="7">
        <v>46057</v>
      </c>
      <c r="AC4973" s="8">
        <v>0</v>
      </c>
      <c r="AE4973" s="7">
        <v>46062</v>
      </c>
      <c r="AF4973" s="8">
        <v>0</v>
      </c>
      <c r="AH4973" s="7">
        <v>46062</v>
      </c>
      <c r="AN4973" s="8">
        <v>0</v>
      </c>
      <c r="AO4973" s="8">
        <v>240</v>
      </c>
    </row>
    <row r="4974" spans="1:41" x14ac:dyDescent="0.25">
      <c r="A4974" s="6" t="str">
        <f t="shared" si="1312"/>
        <v>525-2026000001</v>
      </c>
      <c r="B4974" s="6" t="str">
        <f t="shared" si="1316"/>
        <v>Lasa Int</v>
      </c>
      <c r="C4974" s="7">
        <v>46027</v>
      </c>
      <c r="D4974" s="7">
        <v>46062</v>
      </c>
      <c r="E4974" s="8">
        <v>30</v>
      </c>
      <c r="F4974" s="6" t="str">
        <f t="shared" si="1313"/>
        <v>PURE</v>
      </c>
      <c r="G4974" s="6" t="str">
        <f>"F161003770000000"</f>
        <v>F161003770000000</v>
      </c>
      <c r="H4974" s="6" t="str">
        <f>"TA 37 - 700 g/m²"</f>
        <v>TA 37 - 700 g/m²</v>
      </c>
      <c r="I4974" s="6" t="str">
        <f>"2096"</f>
        <v>2096</v>
      </c>
      <c r="J4974" s="6" t="str">
        <f>"AZUL 2096"</f>
        <v>AZUL 2096</v>
      </c>
      <c r="K4974" s="6" t="str">
        <f>"3012"</f>
        <v>3012</v>
      </c>
      <c r="L4974" s="6" t="str">
        <f>"Tapetes"</f>
        <v>Tapetes</v>
      </c>
      <c r="M4974" s="6" t="str">
        <f>"50x70"</f>
        <v>50x70</v>
      </c>
      <c r="N4974" s="6" t="str">
        <f>"5602972805468"</f>
        <v>5602972805468</v>
      </c>
      <c r="O4974" s="8">
        <v>100</v>
      </c>
      <c r="P4974" s="7">
        <v>46027</v>
      </c>
      <c r="R4974" s="8">
        <v>0</v>
      </c>
      <c r="S4974" s="7">
        <v>46030</v>
      </c>
      <c r="U4974" s="8">
        <v>100</v>
      </c>
      <c r="V4974" s="7">
        <v>46043</v>
      </c>
      <c r="X4974" s="8">
        <v>0</v>
      </c>
      <c r="Z4974" s="8">
        <v>100</v>
      </c>
      <c r="AA4974" s="7">
        <v>46057</v>
      </c>
      <c r="AC4974" s="8">
        <v>0</v>
      </c>
      <c r="AE4974" s="7">
        <v>46062</v>
      </c>
      <c r="AF4974" s="8">
        <v>0</v>
      </c>
      <c r="AH4974" s="7">
        <v>46062</v>
      </c>
      <c r="AN4974" s="8">
        <v>0</v>
      </c>
      <c r="AO4974" s="8">
        <v>100</v>
      </c>
    </row>
    <row r="4975" spans="1:41" x14ac:dyDescent="0.25">
      <c r="A4975" s="6" t="str">
        <f t="shared" si="1312"/>
        <v>525-2026000001</v>
      </c>
      <c r="B4975" s="6" t="str">
        <f t="shared" si="1316"/>
        <v>Lasa Int</v>
      </c>
      <c r="C4975" s="7">
        <v>46027</v>
      </c>
      <c r="D4975" s="7">
        <v>46062</v>
      </c>
      <c r="E4975" s="8">
        <v>31</v>
      </c>
      <c r="F4975" s="6" t="str">
        <f t="shared" si="1313"/>
        <v>PURE</v>
      </c>
      <c r="G4975" s="6" t="str">
        <f>"F161003770000000"</f>
        <v>F161003770000000</v>
      </c>
      <c r="H4975" s="6" t="str">
        <f>"TA 37 - 700 g/m²"</f>
        <v>TA 37 - 700 g/m²</v>
      </c>
      <c r="I4975" s="6" t="str">
        <f>"3"</f>
        <v>3</v>
      </c>
      <c r="J4975" s="6" t="str">
        <f>"PRETO Sulf"</f>
        <v>PRETO Sulf</v>
      </c>
      <c r="K4975" s="6" t="str">
        <f>"3012"</f>
        <v>3012</v>
      </c>
      <c r="L4975" s="6" t="str">
        <f>"Tapetes"</f>
        <v>Tapetes</v>
      </c>
      <c r="M4975" s="6" t="str">
        <f>"50x70"</f>
        <v>50x70</v>
      </c>
      <c r="N4975" s="6" t="str">
        <f>"5602972806090"</f>
        <v>5602972806090</v>
      </c>
      <c r="O4975" s="8">
        <v>100</v>
      </c>
      <c r="P4975" s="7">
        <v>46027</v>
      </c>
      <c r="R4975" s="8">
        <v>0</v>
      </c>
      <c r="S4975" s="7">
        <v>46030</v>
      </c>
      <c r="U4975" s="8">
        <v>100</v>
      </c>
      <c r="V4975" s="7">
        <v>46043</v>
      </c>
      <c r="X4975" s="8">
        <v>0</v>
      </c>
      <c r="Z4975" s="8">
        <v>0</v>
      </c>
      <c r="AA4975" s="7">
        <v>46057</v>
      </c>
      <c r="AC4975" s="8">
        <v>0</v>
      </c>
      <c r="AE4975" s="7">
        <v>46062</v>
      </c>
      <c r="AF4975" s="8">
        <v>0</v>
      </c>
      <c r="AH4975" s="7">
        <v>46062</v>
      </c>
      <c r="AN4975" s="8">
        <v>0</v>
      </c>
      <c r="AO4975" s="8">
        <v>100</v>
      </c>
    </row>
    <row r="4976" spans="1:41" x14ac:dyDescent="0.25">
      <c r="A4976" s="6" t="str">
        <f t="shared" si="1312"/>
        <v>525-2026000001</v>
      </c>
      <c r="B4976" s="6" t="str">
        <f t="shared" si="1316"/>
        <v>Lasa Int</v>
      </c>
      <c r="C4976" s="7">
        <v>46027</v>
      </c>
      <c r="D4976" s="7">
        <v>46062</v>
      </c>
      <c r="E4976" s="8">
        <v>32</v>
      </c>
      <c r="F4976" s="6" t="str">
        <f t="shared" si="1313"/>
        <v>PURE</v>
      </c>
      <c r="G4976" s="6" t="str">
        <f>"F161003770000000"</f>
        <v>F161003770000000</v>
      </c>
      <c r="H4976" s="6" t="str">
        <f>"TA 37 - 700 g/m²"</f>
        <v>TA 37 - 700 g/m²</v>
      </c>
      <c r="I4976" s="6" t="str">
        <f>"5149"</f>
        <v>5149</v>
      </c>
      <c r="J4976" s="6" t="str">
        <f>"VERDE 5149"</f>
        <v>VERDE 5149</v>
      </c>
      <c r="K4976" s="6" t="str">
        <f>"3012"</f>
        <v>3012</v>
      </c>
      <c r="L4976" s="6" t="str">
        <f>"Tapetes"</f>
        <v>Tapetes</v>
      </c>
      <c r="M4976" s="6" t="str">
        <f>"50x70"</f>
        <v>50x70</v>
      </c>
      <c r="N4976" s="6" t="str">
        <f>"5602972651546"</f>
        <v>5602972651546</v>
      </c>
      <c r="O4976" s="8">
        <v>200</v>
      </c>
      <c r="P4976" s="7">
        <v>46027</v>
      </c>
      <c r="R4976" s="8">
        <v>0</v>
      </c>
      <c r="S4976" s="7">
        <v>46030</v>
      </c>
      <c r="U4976" s="8">
        <v>200</v>
      </c>
      <c r="V4976" s="7">
        <v>46043</v>
      </c>
      <c r="X4976" s="8">
        <v>0</v>
      </c>
      <c r="Z4976" s="8">
        <v>200</v>
      </c>
      <c r="AA4976" s="7">
        <v>46057</v>
      </c>
      <c r="AC4976" s="8">
        <v>224</v>
      </c>
      <c r="AE4976" s="7">
        <v>46062</v>
      </c>
      <c r="AF4976" s="8">
        <v>224</v>
      </c>
      <c r="AH4976" s="7">
        <v>46062</v>
      </c>
      <c r="AN4976" s="8">
        <v>224</v>
      </c>
      <c r="AO4976" s="8">
        <v>-24</v>
      </c>
    </row>
    <row r="4977" spans="1:41" x14ac:dyDescent="0.25">
      <c r="A4977" s="6" t="str">
        <f t="shared" si="1312"/>
        <v>525-2026000001</v>
      </c>
      <c r="B4977" s="6" t="str">
        <f t="shared" si="1316"/>
        <v>Lasa Int</v>
      </c>
      <c r="C4977" s="7">
        <v>46027</v>
      </c>
      <c r="D4977" s="7">
        <v>46062</v>
      </c>
      <c r="E4977" s="8">
        <v>33</v>
      </c>
      <c r="F4977" s="6" t="str">
        <f t="shared" si="1313"/>
        <v>PURE</v>
      </c>
      <c r="G4977" s="6" t="str">
        <f>"F161003770000000"</f>
        <v>F161003770000000</v>
      </c>
      <c r="H4977" s="6" t="str">
        <f>"TA 37 - 700 g/m²"</f>
        <v>TA 37 - 700 g/m²</v>
      </c>
      <c r="I4977" s="6" t="str">
        <f>"5417"</f>
        <v>5417</v>
      </c>
      <c r="J4977" s="6" t="str">
        <f>"AZUL 5417"</f>
        <v>AZUL 5417</v>
      </c>
      <c r="K4977" s="6" t="str">
        <f>"3012"</f>
        <v>3012</v>
      </c>
      <c r="L4977" s="6" t="str">
        <f>"Tapetes"</f>
        <v>Tapetes</v>
      </c>
      <c r="M4977" s="6" t="str">
        <f>"50x70"</f>
        <v>50x70</v>
      </c>
      <c r="N4977" s="6" t="str">
        <f>"5602972667653"</f>
        <v>5602972667653</v>
      </c>
      <c r="O4977" s="8">
        <v>200</v>
      </c>
      <c r="P4977" s="7">
        <v>46027</v>
      </c>
      <c r="R4977" s="8">
        <v>0</v>
      </c>
      <c r="S4977" s="7">
        <v>46030</v>
      </c>
      <c r="U4977" s="8">
        <v>200</v>
      </c>
      <c r="V4977" s="7">
        <v>46043</v>
      </c>
      <c r="X4977" s="8">
        <v>0</v>
      </c>
      <c r="Z4977" s="8">
        <v>200</v>
      </c>
      <c r="AA4977" s="7">
        <v>46057</v>
      </c>
      <c r="AC4977" s="8">
        <v>0</v>
      </c>
      <c r="AE4977" s="7">
        <v>46062</v>
      </c>
      <c r="AF4977" s="8">
        <v>0</v>
      </c>
      <c r="AH4977" s="7">
        <v>46062</v>
      </c>
      <c r="AN4977" s="8">
        <v>0</v>
      </c>
      <c r="AO4977" s="8">
        <v>200</v>
      </c>
    </row>
    <row r="4978" spans="1:41" x14ac:dyDescent="0.25">
      <c r="A4978" s="6" t="str">
        <f>"525-2026000002"</f>
        <v>525-2026000002</v>
      </c>
      <c r="B4978" s="6" t="str">
        <f t="shared" si="1316"/>
        <v>Lasa Int</v>
      </c>
      <c r="C4978" s="7">
        <v>46028</v>
      </c>
      <c r="D4978" s="7">
        <v>46035</v>
      </c>
      <c r="E4978" s="8">
        <v>1</v>
      </c>
      <c r="F4978" s="6" t="str">
        <f>"Pratignani"</f>
        <v>Pratignani</v>
      </c>
      <c r="G4978" s="6" t="str">
        <f>"F100021455006585"</f>
        <v>F100021455006585</v>
      </c>
      <c r="H4978" s="6" t="str">
        <f>"FA 214 / 6585 - Patr"</f>
        <v>FA 214 / 6585 - Patr</v>
      </c>
      <c r="I4978" s="6" t="str">
        <f>"1"</f>
        <v>1</v>
      </c>
      <c r="J4978" s="6" t="str">
        <f>"BRANCO"</f>
        <v>BRANCO</v>
      </c>
      <c r="K4978" s="6" t="str">
        <f>"0530"</f>
        <v>0530</v>
      </c>
      <c r="L4978" s="6" t="str">
        <f>"Toalhetes"</f>
        <v>Toalhetes</v>
      </c>
      <c r="M4978" s="6" t="str">
        <f>"33x50"</f>
        <v>33x50</v>
      </c>
      <c r="N4978" s="6" t="str">
        <f>"5602972285161"</f>
        <v>5602972285161</v>
      </c>
      <c r="O4978" s="8">
        <v>100</v>
      </c>
      <c r="P4978" s="7">
        <v>46028</v>
      </c>
      <c r="R4978" s="8">
        <v>0</v>
      </c>
      <c r="U4978" s="8">
        <v>0</v>
      </c>
      <c r="X4978" s="8">
        <v>0</v>
      </c>
      <c r="Z4978" s="8">
        <v>0</v>
      </c>
      <c r="AC4978" s="8">
        <v>100</v>
      </c>
      <c r="AE4978" s="7">
        <v>46035</v>
      </c>
      <c r="AF4978" s="8">
        <v>100</v>
      </c>
      <c r="AH4978" s="7">
        <v>46035</v>
      </c>
      <c r="AN4978" s="8">
        <v>100</v>
      </c>
      <c r="AO4978" s="8">
        <v>0</v>
      </c>
    </row>
    <row r="4979" spans="1:41" x14ac:dyDescent="0.25">
      <c r="A4979" s="6" t="str">
        <f>"525-2026000003"</f>
        <v>525-2026000003</v>
      </c>
      <c r="B4979" s="6" t="str">
        <f t="shared" si="1316"/>
        <v>Lasa Int</v>
      </c>
      <c r="C4979" s="7">
        <v>46029</v>
      </c>
      <c r="D4979" s="7">
        <v>46037</v>
      </c>
      <c r="E4979" s="8">
        <v>1</v>
      </c>
      <c r="F4979" s="6" t="str">
        <f>"IXM"</f>
        <v>IXM</v>
      </c>
      <c r="G4979" s="6" t="str">
        <f>"F110271050004474"</f>
        <v>F110271050004474</v>
      </c>
      <c r="H4979" s="6" t="str">
        <f>"FAJ 2710 / 4474 - 50"</f>
        <v>FAJ 2710 / 4474 - 50</v>
      </c>
      <c r="I4979" s="6" t="str">
        <f>"1"</f>
        <v>1</v>
      </c>
      <c r="J4979" s="6" t="str">
        <f>"BRANCO"</f>
        <v>BRANCO</v>
      </c>
      <c r="K4979" s="6" t="str">
        <f>"1535"</f>
        <v>1535</v>
      </c>
      <c r="L4979" s="6" t="str">
        <f>"Toalhões"</f>
        <v>Toalhões</v>
      </c>
      <c r="M4979" s="6" t="str">
        <f>"70x140"</f>
        <v>70x140</v>
      </c>
      <c r="N4979" s="6" t="str">
        <f>"5602972263299"</f>
        <v>5602972263299</v>
      </c>
      <c r="O4979" s="8">
        <v>60</v>
      </c>
      <c r="P4979" s="7">
        <v>46029</v>
      </c>
      <c r="R4979" s="8">
        <v>0</v>
      </c>
      <c r="U4979" s="8">
        <v>0</v>
      </c>
      <c r="X4979" s="8">
        <v>0</v>
      </c>
      <c r="Z4979" s="8">
        <v>0</v>
      </c>
      <c r="AC4979" s="8">
        <v>60</v>
      </c>
      <c r="AE4979" s="7">
        <v>46036</v>
      </c>
      <c r="AF4979" s="8">
        <v>60</v>
      </c>
      <c r="AH4979" s="7">
        <v>46037</v>
      </c>
      <c r="AN4979" s="8">
        <v>60</v>
      </c>
      <c r="AO4979" s="8">
        <v>0</v>
      </c>
    </row>
    <row r="4980" spans="1:41" x14ac:dyDescent="0.25">
      <c r="A4980" s="6" t="str">
        <f>"525-2026000004"</f>
        <v>525-2026000004</v>
      </c>
      <c r="B4980" s="6" t="str">
        <f t="shared" si="1316"/>
        <v>Lasa Int</v>
      </c>
      <c r="C4980" s="7">
        <v>46031</v>
      </c>
      <c r="D4980" s="7">
        <v>46038</v>
      </c>
      <c r="E4980" s="8">
        <v>1</v>
      </c>
      <c r="F4980" s="6" t="str">
        <f>"Panos aproveitamento"</f>
        <v>Panos aproveitamento</v>
      </c>
      <c r="G4980" s="6" t="str">
        <f>"F330307838000000"</f>
        <v>F330307838000000</v>
      </c>
      <c r="H4980" s="6" t="str">
        <f>"PLA 3078 - 380 g/m²"</f>
        <v>PLA 3078 - 380 g/m²</v>
      </c>
      <c r="I4980" s="6" t="str">
        <f>"300000"</f>
        <v>300000</v>
      </c>
      <c r="J4980" s="6" t="str">
        <f>"SORTIDAS"</f>
        <v>SORTIDAS</v>
      </c>
      <c r="K4980" s="6" t="str">
        <f>"0820"</f>
        <v>0820</v>
      </c>
      <c r="L4980" s="6" t="str">
        <f>"Cozinha"</f>
        <v>Cozinha</v>
      </c>
      <c r="M4980" s="6" t="str">
        <f>"50x50"</f>
        <v>50x50</v>
      </c>
      <c r="N4980" s="6" t="str">
        <f>"5602972517019"</f>
        <v>5602972517019</v>
      </c>
      <c r="O4980" s="8">
        <v>960</v>
      </c>
      <c r="P4980" s="7">
        <v>46031</v>
      </c>
      <c r="R4980" s="8">
        <v>0</v>
      </c>
      <c r="U4980" s="8">
        <v>0</v>
      </c>
      <c r="X4980" s="8">
        <v>0</v>
      </c>
      <c r="Z4980" s="8">
        <v>0</v>
      </c>
      <c r="AC4980" s="8">
        <v>0</v>
      </c>
      <c r="AE4980" s="7">
        <v>46038</v>
      </c>
      <c r="AF4980" s="8">
        <v>0</v>
      </c>
      <c r="AH4980" s="7">
        <v>46038</v>
      </c>
      <c r="AN4980" s="8">
        <v>0</v>
      </c>
      <c r="AO4980" s="8">
        <v>960</v>
      </c>
    </row>
    <row r="4981" spans="1:41" x14ac:dyDescent="0.25">
      <c r="A4981" s="6" t="str">
        <f>"525-2026000004"</f>
        <v>525-2026000004</v>
      </c>
      <c r="B4981" s="6" t="str">
        <f t="shared" si="1316"/>
        <v>Lasa Int</v>
      </c>
      <c r="C4981" s="7">
        <v>46031</v>
      </c>
      <c r="D4981" s="7">
        <v>46038</v>
      </c>
      <c r="E4981" s="8">
        <v>2</v>
      </c>
      <c r="F4981" s="6" t="str">
        <f>"Panos aproveitamento"</f>
        <v>Panos aproveitamento</v>
      </c>
      <c r="G4981" s="6" t="str">
        <f>"F330307938000000"</f>
        <v>F330307938000000</v>
      </c>
      <c r="H4981" s="6" t="str">
        <f>"PLA 3079 - 380 g/m²"</f>
        <v>PLA 3079 - 380 g/m²</v>
      </c>
      <c r="I4981" s="6" t="str">
        <f>"300000"</f>
        <v>300000</v>
      </c>
      <c r="J4981" s="6" t="str">
        <f>"SORTIDAS"</f>
        <v>SORTIDAS</v>
      </c>
      <c r="K4981" s="6" t="str">
        <f>"0820"</f>
        <v>0820</v>
      </c>
      <c r="L4981" s="6" t="str">
        <f>"Cozinha"</f>
        <v>Cozinha</v>
      </c>
      <c r="M4981" s="6" t="str">
        <f>"50x50"</f>
        <v>50x50</v>
      </c>
      <c r="N4981" s="6" t="str">
        <f>"5602972517057"</f>
        <v>5602972517057</v>
      </c>
      <c r="O4981" s="8">
        <v>960</v>
      </c>
      <c r="P4981" s="7">
        <v>46031</v>
      </c>
      <c r="R4981" s="8">
        <v>0</v>
      </c>
      <c r="U4981" s="8">
        <v>0</v>
      </c>
      <c r="X4981" s="8">
        <v>0</v>
      </c>
      <c r="Z4981" s="8">
        <v>0</v>
      </c>
      <c r="AC4981" s="8">
        <v>0</v>
      </c>
      <c r="AE4981" s="7">
        <v>46038</v>
      </c>
      <c r="AF4981" s="8">
        <v>0</v>
      </c>
      <c r="AH4981" s="7">
        <v>46038</v>
      </c>
      <c r="AN4981" s="8">
        <v>0</v>
      </c>
      <c r="AO4981" s="8">
        <v>960</v>
      </c>
    </row>
    <row r="4982" spans="1:41" x14ac:dyDescent="0.25">
      <c r="A4982" s="6" t="str">
        <f>"525-2026000004"</f>
        <v>525-2026000004</v>
      </c>
      <c r="B4982" s="6" t="str">
        <f t="shared" si="1316"/>
        <v>Lasa Int</v>
      </c>
      <c r="C4982" s="7">
        <v>46031</v>
      </c>
      <c r="D4982" s="7">
        <v>46038</v>
      </c>
      <c r="E4982" s="8">
        <v>3</v>
      </c>
      <c r="F4982" s="6" t="str">
        <f>"Panos aproveitamento"</f>
        <v>Panos aproveitamento</v>
      </c>
      <c r="G4982" s="6" t="str">
        <f>"F330307538000000"</f>
        <v>F330307538000000</v>
      </c>
      <c r="H4982" s="6" t="str">
        <f>"PLA 3075 - 380 g/m²"</f>
        <v>PLA 3075 - 380 g/m²</v>
      </c>
      <c r="I4982" s="6" t="str">
        <f>"300001"</f>
        <v>300001</v>
      </c>
      <c r="J4982" s="6" t="str">
        <f>"SORTIDAS 1"</f>
        <v>SORTIDAS 1</v>
      </c>
      <c r="K4982" s="6" t="str">
        <f>"0820"</f>
        <v>0820</v>
      </c>
      <c r="L4982" s="6" t="str">
        <f>"Cozinha"</f>
        <v>Cozinha</v>
      </c>
      <c r="M4982" s="6" t="str">
        <f>"50x50"</f>
        <v>50x50</v>
      </c>
      <c r="N4982" s="6" t="str">
        <f>"5602972517095"</f>
        <v>5602972517095</v>
      </c>
      <c r="O4982" s="8">
        <v>960</v>
      </c>
      <c r="P4982" s="7">
        <v>46031</v>
      </c>
      <c r="R4982" s="8">
        <v>0</v>
      </c>
      <c r="U4982" s="8">
        <v>0</v>
      </c>
      <c r="X4982" s="8">
        <v>0</v>
      </c>
      <c r="Z4982" s="8">
        <v>0</v>
      </c>
      <c r="AC4982" s="8">
        <v>0</v>
      </c>
      <c r="AE4982" s="7">
        <v>46038</v>
      </c>
      <c r="AF4982" s="8">
        <v>0</v>
      </c>
      <c r="AH4982" s="7">
        <v>46038</v>
      </c>
      <c r="AN4982" s="8">
        <v>0</v>
      </c>
      <c r="AO4982" s="8">
        <v>960</v>
      </c>
    </row>
    <row r="4983" spans="1:41" x14ac:dyDescent="0.25">
      <c r="A4983" s="6" t="str">
        <f t="shared" ref="A4983:A4997" si="1317">"525-2026000005"</f>
        <v>525-2026000005</v>
      </c>
      <c r="B4983" s="6" t="str">
        <f t="shared" si="1316"/>
        <v>Lasa Int</v>
      </c>
      <c r="C4983" s="7">
        <v>46031</v>
      </c>
      <c r="D4983" s="7">
        <v>46052</v>
      </c>
      <c r="E4983" s="8">
        <v>1</v>
      </c>
      <c r="F4983" s="6" t="str">
        <f t="shared" ref="F4983:F4997" si="1318">"Primavera"</f>
        <v>Primavera</v>
      </c>
      <c r="G4983" s="6" t="str">
        <f t="shared" ref="G4983:G4997" si="1319">"F100021455022620"</f>
        <v>F100021455022620</v>
      </c>
      <c r="H4983" s="6" t="str">
        <f t="shared" ref="H4983:H4997" si="1320">"FA 214 / 2620 (c) -"</f>
        <v>FA 214 / 2620 (c) -</v>
      </c>
      <c r="I4983" s="6" t="str">
        <f>"1822"</f>
        <v>1822</v>
      </c>
      <c r="J4983" s="6" t="str">
        <f>"ROSA 1822"</f>
        <v>ROSA 1822</v>
      </c>
      <c r="K4983" s="6" t="str">
        <f>"0530"</f>
        <v>0530</v>
      </c>
      <c r="L4983" s="6" t="str">
        <f>"Toalhetes"</f>
        <v>Toalhetes</v>
      </c>
      <c r="M4983" s="6" t="str">
        <f>"33x50"</f>
        <v>33x50</v>
      </c>
      <c r="N4983" s="6" t="str">
        <f>"5602972775730"</f>
        <v>5602972775730</v>
      </c>
      <c r="O4983" s="8">
        <v>24</v>
      </c>
      <c r="P4983" s="7">
        <v>46031</v>
      </c>
      <c r="R4983" s="8">
        <v>0</v>
      </c>
      <c r="U4983" s="8">
        <v>0</v>
      </c>
      <c r="X4983" s="8">
        <v>0</v>
      </c>
      <c r="Z4983" s="8">
        <v>0</v>
      </c>
      <c r="AC4983" s="8">
        <v>0</v>
      </c>
      <c r="AE4983" s="7">
        <v>46038</v>
      </c>
      <c r="AF4983" s="8">
        <v>0</v>
      </c>
      <c r="AH4983" s="7">
        <v>46052</v>
      </c>
      <c r="AN4983" s="8">
        <v>0</v>
      </c>
      <c r="AO4983" s="8">
        <v>24</v>
      </c>
    </row>
    <row r="4984" spans="1:41" x14ac:dyDescent="0.25">
      <c r="A4984" s="6" t="str">
        <f t="shared" si="1317"/>
        <v>525-2026000005</v>
      </c>
      <c r="B4984" s="6" t="str">
        <f t="shared" si="1316"/>
        <v>Lasa Int</v>
      </c>
      <c r="C4984" s="7">
        <v>46031</v>
      </c>
      <c r="D4984" s="7">
        <v>46052</v>
      </c>
      <c r="E4984" s="8">
        <v>2</v>
      </c>
      <c r="F4984" s="6" t="str">
        <f t="shared" si="1318"/>
        <v>Primavera</v>
      </c>
      <c r="G4984" s="6" t="str">
        <f t="shared" si="1319"/>
        <v>F100021455022620</v>
      </c>
      <c r="H4984" s="6" t="str">
        <f t="shared" si="1320"/>
        <v>FA 214 / 2620 (c) -</v>
      </c>
      <c r="I4984" s="6" t="str">
        <f>"1822"</f>
        <v>1822</v>
      </c>
      <c r="J4984" s="6" t="str">
        <f>"ROSA 1822"</f>
        <v>ROSA 1822</v>
      </c>
      <c r="K4984" s="6" t="str">
        <f>"1024"</f>
        <v>1024</v>
      </c>
      <c r="L4984" s="6" t="str">
        <f>"Toalhas"</f>
        <v>Toalhas</v>
      </c>
      <c r="M4984" s="6" t="str">
        <f>"50x100"</f>
        <v>50x100</v>
      </c>
      <c r="N4984" s="6" t="str">
        <f>"5602972775747"</f>
        <v>5602972775747</v>
      </c>
      <c r="O4984" s="8">
        <v>24</v>
      </c>
      <c r="P4984" s="7">
        <v>46031</v>
      </c>
      <c r="R4984" s="8">
        <v>0</v>
      </c>
      <c r="U4984" s="8">
        <v>0</v>
      </c>
      <c r="X4984" s="8">
        <v>0</v>
      </c>
      <c r="Z4984" s="8">
        <v>0</v>
      </c>
      <c r="AC4984" s="8">
        <v>0</v>
      </c>
      <c r="AE4984" s="7">
        <v>46038</v>
      </c>
      <c r="AF4984" s="8">
        <v>0</v>
      </c>
      <c r="AH4984" s="7">
        <v>46052</v>
      </c>
      <c r="AN4984" s="8">
        <v>0</v>
      </c>
      <c r="AO4984" s="8">
        <v>24</v>
      </c>
    </row>
    <row r="4985" spans="1:41" x14ac:dyDescent="0.25">
      <c r="A4985" s="6" t="str">
        <f t="shared" si="1317"/>
        <v>525-2026000005</v>
      </c>
      <c r="B4985" s="6" t="str">
        <f t="shared" si="1316"/>
        <v>Lasa Int</v>
      </c>
      <c r="C4985" s="7">
        <v>46031</v>
      </c>
      <c r="D4985" s="7">
        <v>46052</v>
      </c>
      <c r="E4985" s="8">
        <v>3</v>
      </c>
      <c r="F4985" s="6" t="str">
        <f t="shared" si="1318"/>
        <v>Primavera</v>
      </c>
      <c r="G4985" s="6" t="str">
        <f t="shared" si="1319"/>
        <v>F100021455022620</v>
      </c>
      <c r="H4985" s="6" t="str">
        <f t="shared" si="1320"/>
        <v>FA 214 / 2620 (c) -</v>
      </c>
      <c r="I4985" s="6" t="str">
        <f>"1822"</f>
        <v>1822</v>
      </c>
      <c r="J4985" s="6" t="str">
        <f>"ROSA 1822"</f>
        <v>ROSA 1822</v>
      </c>
      <c r="K4985" s="6" t="str">
        <f>"1535"</f>
        <v>1535</v>
      </c>
      <c r="L4985" s="6" t="str">
        <f>"Toalhões"</f>
        <v>Toalhões</v>
      </c>
      <c r="M4985" s="6" t="str">
        <f>"70x140"</f>
        <v>70x140</v>
      </c>
      <c r="N4985" s="6" t="str">
        <f>"5602972775754"</f>
        <v>5602972775754</v>
      </c>
      <c r="O4985" s="8">
        <v>12</v>
      </c>
      <c r="P4985" s="7">
        <v>46031</v>
      </c>
      <c r="R4985" s="8">
        <v>0</v>
      </c>
      <c r="U4985" s="8">
        <v>0</v>
      </c>
      <c r="X4985" s="8">
        <v>0</v>
      </c>
      <c r="Z4985" s="8">
        <v>0</v>
      </c>
      <c r="AC4985" s="8">
        <v>0</v>
      </c>
      <c r="AE4985" s="7">
        <v>46038</v>
      </c>
      <c r="AF4985" s="8">
        <v>0</v>
      </c>
      <c r="AH4985" s="7">
        <v>46052</v>
      </c>
      <c r="AN4985" s="8">
        <v>0</v>
      </c>
      <c r="AO4985" s="8">
        <v>12</v>
      </c>
    </row>
    <row r="4986" spans="1:41" x14ac:dyDescent="0.25">
      <c r="A4986" s="6" t="str">
        <f t="shared" si="1317"/>
        <v>525-2026000005</v>
      </c>
      <c r="B4986" s="6" t="str">
        <f t="shared" si="1316"/>
        <v>Lasa Int</v>
      </c>
      <c r="C4986" s="7">
        <v>46031</v>
      </c>
      <c r="D4986" s="7">
        <v>46052</v>
      </c>
      <c r="E4986" s="8">
        <v>4</v>
      </c>
      <c r="F4986" s="6" t="str">
        <f t="shared" si="1318"/>
        <v>Primavera</v>
      </c>
      <c r="G4986" s="6" t="str">
        <f t="shared" si="1319"/>
        <v>F100021455022620</v>
      </c>
      <c r="H4986" s="6" t="str">
        <f t="shared" si="1320"/>
        <v>FA 214 / 2620 (c) -</v>
      </c>
      <c r="I4986" s="6" t="str">
        <f>"1822"</f>
        <v>1822</v>
      </c>
      <c r="J4986" s="6" t="str">
        <f>"ROSA 1822"</f>
        <v>ROSA 1822</v>
      </c>
      <c r="K4986" s="6" t="str">
        <f>"2020"</f>
        <v>2020</v>
      </c>
      <c r="L4986" s="6" t="str">
        <f>"Lençóis"</f>
        <v>Lençóis</v>
      </c>
      <c r="M4986" s="6" t="str">
        <f>"100x150"</f>
        <v>100x150</v>
      </c>
      <c r="N4986" s="6" t="str">
        <f>"5602972775761"</f>
        <v>5602972775761</v>
      </c>
      <c r="O4986" s="8">
        <v>24</v>
      </c>
      <c r="P4986" s="7">
        <v>46031</v>
      </c>
      <c r="R4986" s="8">
        <v>0</v>
      </c>
      <c r="U4986" s="8">
        <v>0</v>
      </c>
      <c r="X4986" s="8">
        <v>0</v>
      </c>
      <c r="Z4986" s="8">
        <v>0</v>
      </c>
      <c r="AC4986" s="8">
        <v>0</v>
      </c>
      <c r="AE4986" s="7">
        <v>46038</v>
      </c>
      <c r="AF4986" s="8">
        <v>0</v>
      </c>
      <c r="AH4986" s="7">
        <v>46052</v>
      </c>
      <c r="AN4986" s="8">
        <v>0</v>
      </c>
      <c r="AO4986" s="8">
        <v>24</v>
      </c>
    </row>
    <row r="4987" spans="1:41" x14ac:dyDescent="0.25">
      <c r="A4987" s="6" t="str">
        <f t="shared" si="1317"/>
        <v>525-2026000005</v>
      </c>
      <c r="B4987" s="6" t="str">
        <f t="shared" si="1316"/>
        <v>Lasa Int</v>
      </c>
      <c r="C4987" s="7">
        <v>46031</v>
      </c>
      <c r="D4987" s="7">
        <v>46052</v>
      </c>
      <c r="E4987" s="8">
        <v>5</v>
      </c>
      <c r="F4987" s="6" t="str">
        <f t="shared" si="1318"/>
        <v>Primavera</v>
      </c>
      <c r="G4987" s="6" t="str">
        <f t="shared" si="1319"/>
        <v>F100021455022620</v>
      </c>
      <c r="H4987" s="6" t="str">
        <f t="shared" si="1320"/>
        <v>FA 214 / 2620 (c) -</v>
      </c>
      <c r="I4987" s="6" t="str">
        <f>"2392"</f>
        <v>2392</v>
      </c>
      <c r="J4987" s="6" t="str">
        <f>"LARANJA 2392"</f>
        <v>LARANJA 2392</v>
      </c>
      <c r="K4987" s="6" t="str">
        <f>"0530"</f>
        <v>0530</v>
      </c>
      <c r="L4987" s="6" t="str">
        <f>"Toalhetes"</f>
        <v>Toalhetes</v>
      </c>
      <c r="M4987" s="6" t="str">
        <f>"33x50"</f>
        <v>33x50</v>
      </c>
      <c r="N4987" s="6" t="str">
        <f>"5602972775778"</f>
        <v>5602972775778</v>
      </c>
      <c r="O4987" s="8">
        <v>24</v>
      </c>
      <c r="P4987" s="7">
        <v>46031</v>
      </c>
      <c r="R4987" s="8">
        <v>0</v>
      </c>
      <c r="U4987" s="8">
        <v>0</v>
      </c>
      <c r="X4987" s="8">
        <v>0</v>
      </c>
      <c r="Z4987" s="8">
        <v>0</v>
      </c>
      <c r="AC4987" s="8">
        <v>0</v>
      </c>
      <c r="AE4987" s="7">
        <v>46038</v>
      </c>
      <c r="AF4987" s="8">
        <v>0</v>
      </c>
      <c r="AH4987" s="7">
        <v>46052</v>
      </c>
      <c r="AN4987" s="8">
        <v>0</v>
      </c>
      <c r="AO4987" s="8">
        <v>24</v>
      </c>
    </row>
    <row r="4988" spans="1:41" x14ac:dyDescent="0.25">
      <c r="A4988" s="6" t="str">
        <f t="shared" si="1317"/>
        <v>525-2026000005</v>
      </c>
      <c r="B4988" s="6" t="str">
        <f t="shared" si="1316"/>
        <v>Lasa Int</v>
      </c>
      <c r="C4988" s="7">
        <v>46031</v>
      </c>
      <c r="D4988" s="7">
        <v>46052</v>
      </c>
      <c r="E4988" s="8">
        <v>6</v>
      </c>
      <c r="F4988" s="6" t="str">
        <f t="shared" si="1318"/>
        <v>Primavera</v>
      </c>
      <c r="G4988" s="6" t="str">
        <f t="shared" si="1319"/>
        <v>F100021455022620</v>
      </c>
      <c r="H4988" s="6" t="str">
        <f t="shared" si="1320"/>
        <v>FA 214 / 2620 (c) -</v>
      </c>
      <c r="I4988" s="6" t="str">
        <f>"2392"</f>
        <v>2392</v>
      </c>
      <c r="J4988" s="6" t="str">
        <f>"LARANJA 2392"</f>
        <v>LARANJA 2392</v>
      </c>
      <c r="K4988" s="6" t="str">
        <f>"1024"</f>
        <v>1024</v>
      </c>
      <c r="L4988" s="6" t="str">
        <f>"Toalhas"</f>
        <v>Toalhas</v>
      </c>
      <c r="M4988" s="6" t="str">
        <f>"50x100"</f>
        <v>50x100</v>
      </c>
      <c r="N4988" s="6" t="str">
        <f>"5602972775785"</f>
        <v>5602972775785</v>
      </c>
      <c r="O4988" s="8">
        <v>48</v>
      </c>
      <c r="P4988" s="7">
        <v>46031</v>
      </c>
      <c r="R4988" s="8">
        <v>0</v>
      </c>
      <c r="U4988" s="8">
        <v>0</v>
      </c>
      <c r="X4988" s="8">
        <v>0</v>
      </c>
      <c r="Z4988" s="8">
        <v>0</v>
      </c>
      <c r="AC4988" s="8">
        <v>0</v>
      </c>
      <c r="AE4988" s="7">
        <v>46038</v>
      </c>
      <c r="AF4988" s="8">
        <v>0</v>
      </c>
      <c r="AH4988" s="7">
        <v>46052</v>
      </c>
      <c r="AN4988" s="8">
        <v>0</v>
      </c>
      <c r="AO4988" s="8">
        <v>48</v>
      </c>
    </row>
    <row r="4989" spans="1:41" x14ac:dyDescent="0.25">
      <c r="A4989" s="6" t="str">
        <f t="shared" si="1317"/>
        <v>525-2026000005</v>
      </c>
      <c r="B4989" s="6" t="str">
        <f t="shared" si="1316"/>
        <v>Lasa Int</v>
      </c>
      <c r="C4989" s="7">
        <v>46031</v>
      </c>
      <c r="D4989" s="7">
        <v>46052</v>
      </c>
      <c r="E4989" s="8">
        <v>7</v>
      </c>
      <c r="F4989" s="6" t="str">
        <f t="shared" si="1318"/>
        <v>Primavera</v>
      </c>
      <c r="G4989" s="6" t="str">
        <f t="shared" si="1319"/>
        <v>F100021455022620</v>
      </c>
      <c r="H4989" s="6" t="str">
        <f t="shared" si="1320"/>
        <v>FA 214 / 2620 (c) -</v>
      </c>
      <c r="I4989" s="6" t="str">
        <f>"2392"</f>
        <v>2392</v>
      </c>
      <c r="J4989" s="6" t="str">
        <f>"LARANJA 2392"</f>
        <v>LARANJA 2392</v>
      </c>
      <c r="K4989" s="6" t="str">
        <f>"1535"</f>
        <v>1535</v>
      </c>
      <c r="L4989" s="6" t="str">
        <f>"Toalhões"</f>
        <v>Toalhões</v>
      </c>
      <c r="M4989" s="6" t="str">
        <f>"70x140"</f>
        <v>70x140</v>
      </c>
      <c r="N4989" s="6" t="str">
        <f>"5602972775792"</f>
        <v>5602972775792</v>
      </c>
      <c r="O4989" s="8">
        <v>12</v>
      </c>
      <c r="P4989" s="7">
        <v>46031</v>
      </c>
      <c r="R4989" s="8">
        <v>0</v>
      </c>
      <c r="U4989" s="8">
        <v>0</v>
      </c>
      <c r="X4989" s="8">
        <v>0</v>
      </c>
      <c r="Z4989" s="8">
        <v>0</v>
      </c>
      <c r="AC4989" s="8">
        <v>0</v>
      </c>
      <c r="AE4989" s="7">
        <v>46038</v>
      </c>
      <c r="AF4989" s="8">
        <v>0</v>
      </c>
      <c r="AH4989" s="7">
        <v>46052</v>
      </c>
      <c r="AN4989" s="8">
        <v>0</v>
      </c>
      <c r="AO4989" s="8">
        <v>12</v>
      </c>
    </row>
    <row r="4990" spans="1:41" x14ac:dyDescent="0.25">
      <c r="A4990" s="6" t="str">
        <f t="shared" si="1317"/>
        <v>525-2026000005</v>
      </c>
      <c r="B4990" s="6" t="str">
        <f t="shared" si="1316"/>
        <v>Lasa Int</v>
      </c>
      <c r="C4990" s="7">
        <v>46031</v>
      </c>
      <c r="D4990" s="7">
        <v>46052</v>
      </c>
      <c r="E4990" s="8">
        <v>8</v>
      </c>
      <c r="F4990" s="6" t="str">
        <f t="shared" si="1318"/>
        <v>Primavera</v>
      </c>
      <c r="G4990" s="6" t="str">
        <f t="shared" si="1319"/>
        <v>F100021455022620</v>
      </c>
      <c r="H4990" s="6" t="str">
        <f t="shared" si="1320"/>
        <v>FA 214 / 2620 (c) -</v>
      </c>
      <c r="I4990" s="6" t="str">
        <f>"3236"</f>
        <v>3236</v>
      </c>
      <c r="J4990" s="6" t="str">
        <f>"TURQUESA 3236"</f>
        <v>TURQUESA 3236</v>
      </c>
      <c r="K4990" s="6" t="str">
        <f>"0530"</f>
        <v>0530</v>
      </c>
      <c r="L4990" s="6" t="str">
        <f>"Toalhetes"</f>
        <v>Toalhetes</v>
      </c>
      <c r="M4990" s="6" t="str">
        <f>"33x50"</f>
        <v>33x50</v>
      </c>
      <c r="N4990" s="6" t="str">
        <f>"5602972775693"</f>
        <v>5602972775693</v>
      </c>
      <c r="O4990" s="8">
        <v>48</v>
      </c>
      <c r="P4990" s="7">
        <v>46031</v>
      </c>
      <c r="R4990" s="8">
        <v>0</v>
      </c>
      <c r="U4990" s="8">
        <v>0</v>
      </c>
      <c r="X4990" s="8">
        <v>0</v>
      </c>
      <c r="Z4990" s="8">
        <v>0</v>
      </c>
      <c r="AC4990" s="8">
        <v>0</v>
      </c>
      <c r="AE4990" s="7">
        <v>46038</v>
      </c>
      <c r="AF4990" s="8">
        <v>0</v>
      </c>
      <c r="AH4990" s="7">
        <v>46052</v>
      </c>
      <c r="AN4990" s="8">
        <v>0</v>
      </c>
      <c r="AO4990" s="8">
        <v>48</v>
      </c>
    </row>
    <row r="4991" spans="1:41" x14ac:dyDescent="0.25">
      <c r="A4991" s="6" t="str">
        <f t="shared" si="1317"/>
        <v>525-2026000005</v>
      </c>
      <c r="B4991" s="6" t="str">
        <f t="shared" si="1316"/>
        <v>Lasa Int</v>
      </c>
      <c r="C4991" s="7">
        <v>46031</v>
      </c>
      <c r="D4991" s="7">
        <v>46052</v>
      </c>
      <c r="E4991" s="8">
        <v>9</v>
      </c>
      <c r="F4991" s="6" t="str">
        <f t="shared" si="1318"/>
        <v>Primavera</v>
      </c>
      <c r="G4991" s="6" t="str">
        <f t="shared" si="1319"/>
        <v>F100021455022620</v>
      </c>
      <c r="H4991" s="6" t="str">
        <f t="shared" si="1320"/>
        <v>FA 214 / 2620 (c) -</v>
      </c>
      <c r="I4991" s="6" t="str">
        <f>"3236"</f>
        <v>3236</v>
      </c>
      <c r="J4991" s="6" t="str">
        <f>"TURQUESA 3236"</f>
        <v>TURQUESA 3236</v>
      </c>
      <c r="K4991" s="6" t="str">
        <f>"1024"</f>
        <v>1024</v>
      </c>
      <c r="L4991" s="6" t="str">
        <f>"Toalhas"</f>
        <v>Toalhas</v>
      </c>
      <c r="M4991" s="6" t="str">
        <f>"50x100"</f>
        <v>50x100</v>
      </c>
      <c r="N4991" s="6" t="str">
        <f>"5602972775709"</f>
        <v>5602972775709</v>
      </c>
      <c r="O4991" s="8">
        <v>36</v>
      </c>
      <c r="P4991" s="7">
        <v>46031</v>
      </c>
      <c r="R4991" s="8">
        <v>0</v>
      </c>
      <c r="U4991" s="8">
        <v>0</v>
      </c>
      <c r="X4991" s="8">
        <v>0</v>
      </c>
      <c r="Z4991" s="8">
        <v>0</v>
      </c>
      <c r="AC4991" s="8">
        <v>0</v>
      </c>
      <c r="AE4991" s="7">
        <v>46038</v>
      </c>
      <c r="AF4991" s="8">
        <v>0</v>
      </c>
      <c r="AH4991" s="7">
        <v>46052</v>
      </c>
      <c r="AN4991" s="8">
        <v>0</v>
      </c>
      <c r="AO4991" s="8">
        <v>36</v>
      </c>
    </row>
    <row r="4992" spans="1:41" x14ac:dyDescent="0.25">
      <c r="A4992" s="6" t="str">
        <f t="shared" si="1317"/>
        <v>525-2026000005</v>
      </c>
      <c r="B4992" s="6" t="str">
        <f t="shared" si="1316"/>
        <v>Lasa Int</v>
      </c>
      <c r="C4992" s="7">
        <v>46031</v>
      </c>
      <c r="D4992" s="7">
        <v>46052</v>
      </c>
      <c r="E4992" s="8">
        <v>10</v>
      </c>
      <c r="F4992" s="6" t="str">
        <f t="shared" si="1318"/>
        <v>Primavera</v>
      </c>
      <c r="G4992" s="6" t="str">
        <f t="shared" si="1319"/>
        <v>F100021455022620</v>
      </c>
      <c r="H4992" s="6" t="str">
        <f t="shared" si="1320"/>
        <v>FA 214 / 2620 (c) -</v>
      </c>
      <c r="I4992" s="6" t="str">
        <f>"3236"</f>
        <v>3236</v>
      </c>
      <c r="J4992" s="6" t="str">
        <f>"TURQUESA 3236"</f>
        <v>TURQUESA 3236</v>
      </c>
      <c r="K4992" s="6" t="str">
        <f>"1535"</f>
        <v>1535</v>
      </c>
      <c r="L4992" s="6" t="str">
        <f>"Toalhões"</f>
        <v>Toalhões</v>
      </c>
      <c r="M4992" s="6" t="str">
        <f>"70x140"</f>
        <v>70x140</v>
      </c>
      <c r="N4992" s="6" t="str">
        <f>"5602972775716"</f>
        <v>5602972775716</v>
      </c>
      <c r="O4992" s="8">
        <v>36</v>
      </c>
      <c r="P4992" s="7">
        <v>46031</v>
      </c>
      <c r="R4992" s="8">
        <v>0</v>
      </c>
      <c r="U4992" s="8">
        <v>0</v>
      </c>
      <c r="X4992" s="8">
        <v>0</v>
      </c>
      <c r="Z4992" s="8">
        <v>0</v>
      </c>
      <c r="AC4992" s="8">
        <v>0</v>
      </c>
      <c r="AE4992" s="7">
        <v>46038</v>
      </c>
      <c r="AF4992" s="8">
        <v>0</v>
      </c>
      <c r="AH4992" s="7">
        <v>46052</v>
      </c>
      <c r="AN4992" s="8">
        <v>0</v>
      </c>
      <c r="AO4992" s="8">
        <v>36</v>
      </c>
    </row>
    <row r="4993" spans="1:41" x14ac:dyDescent="0.25">
      <c r="A4993" s="6" t="str">
        <f t="shared" si="1317"/>
        <v>525-2026000005</v>
      </c>
      <c r="B4993" s="6" t="str">
        <f t="shared" si="1316"/>
        <v>Lasa Int</v>
      </c>
      <c r="C4993" s="7">
        <v>46031</v>
      </c>
      <c r="D4993" s="7">
        <v>46052</v>
      </c>
      <c r="E4993" s="8">
        <v>11</v>
      </c>
      <c r="F4993" s="6" t="str">
        <f t="shared" si="1318"/>
        <v>Primavera</v>
      </c>
      <c r="G4993" s="6" t="str">
        <f t="shared" si="1319"/>
        <v>F100021455022620</v>
      </c>
      <c r="H4993" s="6" t="str">
        <f t="shared" si="1320"/>
        <v>FA 214 / 2620 (c) -</v>
      </c>
      <c r="I4993" s="6" t="str">
        <f>"3236"</f>
        <v>3236</v>
      </c>
      <c r="J4993" s="6" t="str">
        <f>"TURQUESA 3236"</f>
        <v>TURQUESA 3236</v>
      </c>
      <c r="K4993" s="6" t="str">
        <f>"2020"</f>
        <v>2020</v>
      </c>
      <c r="L4993" s="6" t="str">
        <f>"Lençóis"</f>
        <v>Lençóis</v>
      </c>
      <c r="M4993" s="6" t="str">
        <f>"100x150"</f>
        <v>100x150</v>
      </c>
      <c r="N4993" s="6" t="str">
        <f>"5602972775723"</f>
        <v>5602972775723</v>
      </c>
      <c r="O4993" s="8">
        <v>24</v>
      </c>
      <c r="P4993" s="7">
        <v>46031</v>
      </c>
      <c r="R4993" s="8">
        <v>0</v>
      </c>
      <c r="U4993" s="8">
        <v>0</v>
      </c>
      <c r="X4993" s="8">
        <v>0</v>
      </c>
      <c r="Z4993" s="8">
        <v>0</v>
      </c>
      <c r="AC4993" s="8">
        <v>0</v>
      </c>
      <c r="AE4993" s="7">
        <v>46038</v>
      </c>
      <c r="AF4993" s="8">
        <v>0</v>
      </c>
      <c r="AH4993" s="7">
        <v>46052</v>
      </c>
      <c r="AN4993" s="8">
        <v>0</v>
      </c>
      <c r="AO4993" s="8">
        <v>24</v>
      </c>
    </row>
    <row r="4994" spans="1:41" x14ac:dyDescent="0.25">
      <c r="A4994" s="6" t="str">
        <f t="shared" si="1317"/>
        <v>525-2026000005</v>
      </c>
      <c r="B4994" s="6" t="str">
        <f t="shared" si="1316"/>
        <v>Lasa Int</v>
      </c>
      <c r="C4994" s="7">
        <v>46031</v>
      </c>
      <c r="D4994" s="7">
        <v>46052</v>
      </c>
      <c r="E4994" s="8">
        <v>12</v>
      </c>
      <c r="F4994" s="6" t="str">
        <f t="shared" si="1318"/>
        <v>Primavera</v>
      </c>
      <c r="G4994" s="6" t="str">
        <f t="shared" si="1319"/>
        <v>F100021455022620</v>
      </c>
      <c r="H4994" s="6" t="str">
        <f t="shared" si="1320"/>
        <v>FA 214 / 2620 (c) -</v>
      </c>
      <c r="I4994" s="6" t="str">
        <f>"4383"</f>
        <v>4383</v>
      </c>
      <c r="J4994" s="6" t="str">
        <f>"AZUL 4383"</f>
        <v>AZUL 4383</v>
      </c>
      <c r="K4994" s="6" t="str">
        <f>"0530"</f>
        <v>0530</v>
      </c>
      <c r="L4994" s="6" t="str">
        <f>"Toalhetes"</f>
        <v>Toalhetes</v>
      </c>
      <c r="M4994" s="6" t="str">
        <f>"33x50"</f>
        <v>33x50</v>
      </c>
      <c r="N4994" s="6" t="str">
        <f>"5602972603101"</f>
        <v>5602972603101</v>
      </c>
      <c r="O4994" s="8">
        <v>24</v>
      </c>
      <c r="P4994" s="7">
        <v>46031</v>
      </c>
      <c r="R4994" s="8">
        <v>0</v>
      </c>
      <c r="U4994" s="8">
        <v>0</v>
      </c>
      <c r="X4994" s="8">
        <v>0</v>
      </c>
      <c r="Z4994" s="8">
        <v>0</v>
      </c>
      <c r="AC4994" s="8">
        <v>0</v>
      </c>
      <c r="AE4994" s="7">
        <v>46038</v>
      </c>
      <c r="AF4994" s="8">
        <v>0</v>
      </c>
      <c r="AH4994" s="7">
        <v>46052</v>
      </c>
      <c r="AN4994" s="8">
        <v>0</v>
      </c>
      <c r="AO4994" s="8">
        <v>24</v>
      </c>
    </row>
    <row r="4995" spans="1:41" x14ac:dyDescent="0.25">
      <c r="A4995" s="6" t="str">
        <f t="shared" si="1317"/>
        <v>525-2026000005</v>
      </c>
      <c r="B4995" s="6" t="str">
        <f t="shared" si="1316"/>
        <v>Lasa Int</v>
      </c>
      <c r="C4995" s="7">
        <v>46031</v>
      </c>
      <c r="D4995" s="7">
        <v>46052</v>
      </c>
      <c r="E4995" s="8">
        <v>13</v>
      </c>
      <c r="F4995" s="6" t="str">
        <f t="shared" si="1318"/>
        <v>Primavera</v>
      </c>
      <c r="G4995" s="6" t="str">
        <f t="shared" si="1319"/>
        <v>F100021455022620</v>
      </c>
      <c r="H4995" s="6" t="str">
        <f t="shared" si="1320"/>
        <v>FA 214 / 2620 (c) -</v>
      </c>
      <c r="I4995" s="6" t="str">
        <f>"4383"</f>
        <v>4383</v>
      </c>
      <c r="J4995" s="6" t="str">
        <f>"AZUL 4383"</f>
        <v>AZUL 4383</v>
      </c>
      <c r="K4995" s="6" t="str">
        <f>"1024"</f>
        <v>1024</v>
      </c>
      <c r="L4995" s="6" t="str">
        <f>"Toalhas"</f>
        <v>Toalhas</v>
      </c>
      <c r="M4995" s="6" t="str">
        <f>"50x100"</f>
        <v>50x100</v>
      </c>
      <c r="N4995" s="6" t="str">
        <f>"5602972603118"</f>
        <v>5602972603118</v>
      </c>
      <c r="O4995" s="8">
        <v>24</v>
      </c>
      <c r="P4995" s="7">
        <v>46031</v>
      </c>
      <c r="R4995" s="8">
        <v>0</v>
      </c>
      <c r="U4995" s="8">
        <v>0</v>
      </c>
      <c r="X4995" s="8">
        <v>0</v>
      </c>
      <c r="Z4995" s="8">
        <v>0</v>
      </c>
      <c r="AC4995" s="8">
        <v>0</v>
      </c>
      <c r="AE4995" s="7">
        <v>46038</v>
      </c>
      <c r="AF4995" s="8">
        <v>0</v>
      </c>
      <c r="AH4995" s="7">
        <v>46052</v>
      </c>
      <c r="AN4995" s="8">
        <v>0</v>
      </c>
      <c r="AO4995" s="8">
        <v>24</v>
      </c>
    </row>
    <row r="4996" spans="1:41" x14ac:dyDescent="0.25">
      <c r="A4996" s="6" t="str">
        <f t="shared" si="1317"/>
        <v>525-2026000005</v>
      </c>
      <c r="B4996" s="6" t="str">
        <f t="shared" si="1316"/>
        <v>Lasa Int</v>
      </c>
      <c r="C4996" s="7">
        <v>46031</v>
      </c>
      <c r="D4996" s="7">
        <v>46052</v>
      </c>
      <c r="E4996" s="8">
        <v>14</v>
      </c>
      <c r="F4996" s="6" t="str">
        <f t="shared" si="1318"/>
        <v>Primavera</v>
      </c>
      <c r="G4996" s="6" t="str">
        <f t="shared" si="1319"/>
        <v>F100021455022620</v>
      </c>
      <c r="H4996" s="6" t="str">
        <f t="shared" si="1320"/>
        <v>FA 214 / 2620 (c) -</v>
      </c>
      <c r="I4996" s="6" t="str">
        <f>"4383"</f>
        <v>4383</v>
      </c>
      <c r="J4996" s="6" t="str">
        <f>"AZUL 4383"</f>
        <v>AZUL 4383</v>
      </c>
      <c r="K4996" s="6" t="str">
        <f>"1535"</f>
        <v>1535</v>
      </c>
      <c r="L4996" s="6" t="str">
        <f>"Toalhões"</f>
        <v>Toalhões</v>
      </c>
      <c r="M4996" s="6" t="str">
        <f>"70x140"</f>
        <v>70x140</v>
      </c>
      <c r="N4996" s="6" t="str">
        <f>"5602972603125"</f>
        <v>5602972603125</v>
      </c>
      <c r="O4996" s="8">
        <v>24</v>
      </c>
      <c r="P4996" s="7">
        <v>46031</v>
      </c>
      <c r="R4996" s="8">
        <v>0</v>
      </c>
      <c r="U4996" s="8">
        <v>0</v>
      </c>
      <c r="X4996" s="8">
        <v>0</v>
      </c>
      <c r="Z4996" s="8">
        <v>0</v>
      </c>
      <c r="AC4996" s="8">
        <v>0</v>
      </c>
      <c r="AE4996" s="7">
        <v>46038</v>
      </c>
      <c r="AF4996" s="8">
        <v>0</v>
      </c>
      <c r="AH4996" s="7">
        <v>46052</v>
      </c>
      <c r="AN4996" s="8">
        <v>0</v>
      </c>
      <c r="AO4996" s="8">
        <v>24</v>
      </c>
    </row>
    <row r="4997" spans="1:41" x14ac:dyDescent="0.25">
      <c r="A4997" s="6" t="str">
        <f t="shared" si="1317"/>
        <v>525-2026000005</v>
      </c>
      <c r="B4997" s="6" t="str">
        <f t="shared" si="1316"/>
        <v>Lasa Int</v>
      </c>
      <c r="C4997" s="7">
        <v>46031</v>
      </c>
      <c r="D4997" s="7">
        <v>46052</v>
      </c>
      <c r="E4997" s="8">
        <v>15</v>
      </c>
      <c r="F4997" s="6" t="str">
        <f t="shared" si="1318"/>
        <v>Primavera</v>
      </c>
      <c r="G4997" s="6" t="str">
        <f t="shared" si="1319"/>
        <v>F100021455022620</v>
      </c>
      <c r="H4997" s="6" t="str">
        <f t="shared" si="1320"/>
        <v>FA 214 / 2620 (c) -</v>
      </c>
      <c r="I4997" s="6" t="str">
        <f>"4383"</f>
        <v>4383</v>
      </c>
      <c r="J4997" s="6" t="str">
        <f>"AZUL 4383"</f>
        <v>AZUL 4383</v>
      </c>
      <c r="K4997" s="6" t="str">
        <f>"2020"</f>
        <v>2020</v>
      </c>
      <c r="L4997" s="6" t="str">
        <f>"Lençóis"</f>
        <v>Lençóis</v>
      </c>
      <c r="M4997" s="6" t="str">
        <f>"100x150"</f>
        <v>100x150</v>
      </c>
      <c r="N4997" s="6" t="str">
        <f>"5602972603132"</f>
        <v>5602972603132</v>
      </c>
      <c r="O4997" s="8">
        <v>12</v>
      </c>
      <c r="P4997" s="7">
        <v>46031</v>
      </c>
      <c r="R4997" s="8">
        <v>0</v>
      </c>
      <c r="U4997" s="8">
        <v>0</v>
      </c>
      <c r="X4997" s="8">
        <v>0</v>
      </c>
      <c r="Z4997" s="8">
        <v>0</v>
      </c>
      <c r="AC4997" s="8">
        <v>0</v>
      </c>
      <c r="AE4997" s="7">
        <v>46038</v>
      </c>
      <c r="AF4997" s="8">
        <v>0</v>
      </c>
      <c r="AH4997" s="7">
        <v>46052</v>
      </c>
      <c r="AN4997" s="8">
        <v>0</v>
      </c>
      <c r="AO4997" s="8">
        <v>12</v>
      </c>
    </row>
    <row r="4998" spans="1:41" x14ac:dyDescent="0.25">
      <c r="A4998" s="6" t="str">
        <f t="shared" ref="A4998:A5029" si="1321">"525-2026000006"</f>
        <v>525-2026000006</v>
      </c>
      <c r="B4998" s="6" t="str">
        <f t="shared" si="1316"/>
        <v>Lasa Int</v>
      </c>
      <c r="C4998" s="7">
        <v>46035</v>
      </c>
      <c r="D4998" s="7">
        <v>46077</v>
      </c>
      <c r="E4998" s="8">
        <v>1</v>
      </c>
      <c r="F4998" s="6" t="str">
        <f t="shared" ref="F4998:F5029" si="1322">"PURE"</f>
        <v>PURE</v>
      </c>
      <c r="G4998" s="6" t="str">
        <f t="shared" ref="G4998:G5029" si="1323">"F100021455000000"</f>
        <v>F100021455000000</v>
      </c>
      <c r="H4998" s="6" t="str">
        <f t="shared" ref="H4998:H5029" si="1324">"FA 214 - PURE - 550"</f>
        <v>FA 214 - PURE - 550</v>
      </c>
      <c r="I4998" s="6" t="str">
        <f>"1"</f>
        <v>1</v>
      </c>
      <c r="J4998" s="6" t="str">
        <f>"BRANCO"</f>
        <v>BRANCO</v>
      </c>
      <c r="K4998" s="6" t="str">
        <f>"0112"</f>
        <v>0112</v>
      </c>
      <c r="L4998" s="6" t="str">
        <f>"Luvas"</f>
        <v>Luvas</v>
      </c>
      <c r="M4998" s="6" t="str">
        <f>"16x21"</f>
        <v>16x21</v>
      </c>
      <c r="N4998" s="6" t="str">
        <f>"5602972836233"</f>
        <v>5602972836233</v>
      </c>
      <c r="O4998" s="8">
        <v>600</v>
      </c>
      <c r="P4998" s="7">
        <v>46035</v>
      </c>
      <c r="R4998" s="8">
        <v>0</v>
      </c>
      <c r="S4998" s="7">
        <v>46038</v>
      </c>
      <c r="U4998" s="8">
        <v>600</v>
      </c>
      <c r="V4998" s="7">
        <v>46056</v>
      </c>
      <c r="X4998" s="8">
        <v>0</v>
      </c>
      <c r="Z4998" s="8">
        <v>0</v>
      </c>
      <c r="AA4998" s="7">
        <v>46072</v>
      </c>
      <c r="AC4998" s="8">
        <v>0</v>
      </c>
      <c r="AE4998" s="7">
        <v>46077</v>
      </c>
      <c r="AF4998" s="8">
        <v>0</v>
      </c>
      <c r="AH4998" s="7">
        <v>46077</v>
      </c>
      <c r="AN4998" s="8">
        <v>0</v>
      </c>
      <c r="AO4998" s="8">
        <v>600</v>
      </c>
    </row>
    <row r="4999" spans="1:41" x14ac:dyDescent="0.25">
      <c r="A4999" s="6" t="str">
        <f t="shared" si="1321"/>
        <v>525-2026000006</v>
      </c>
      <c r="B4999" s="6" t="str">
        <f t="shared" ref="B4999:B5030" si="1325">"Lasa Int"</f>
        <v>Lasa Int</v>
      </c>
      <c r="C4999" s="7">
        <v>46035</v>
      </c>
      <c r="D4999" s="7">
        <v>46077</v>
      </c>
      <c r="E4999" s="8">
        <v>2</v>
      </c>
      <c r="F4999" s="6" t="str">
        <f t="shared" si="1322"/>
        <v>PURE</v>
      </c>
      <c r="G4999" s="6" t="str">
        <f t="shared" si="1323"/>
        <v>F100021455000000</v>
      </c>
      <c r="H4999" s="6" t="str">
        <f t="shared" si="1324"/>
        <v>FA 214 - PURE - 550</v>
      </c>
      <c r="I4999" s="6" t="str">
        <f>"1"</f>
        <v>1</v>
      </c>
      <c r="J4999" s="6" t="str">
        <f>"BRANCO"</f>
        <v>BRANCO</v>
      </c>
      <c r="K4999" s="6" t="str">
        <f>"0530"</f>
        <v>0530</v>
      </c>
      <c r="L4999" s="6" t="str">
        <f>"Toalhetes"</f>
        <v>Toalhetes</v>
      </c>
      <c r="M4999" s="6" t="str">
        <f>"33x50"</f>
        <v>33x50</v>
      </c>
      <c r="N4999" s="6" t="str">
        <f>"5602972836240"</f>
        <v>5602972836240</v>
      </c>
      <c r="O4999" s="8">
        <v>900</v>
      </c>
      <c r="P4999" s="7">
        <v>46035</v>
      </c>
      <c r="R4999" s="8">
        <v>0</v>
      </c>
      <c r="S4999" s="7">
        <v>46038</v>
      </c>
      <c r="U4999" s="8">
        <v>900</v>
      </c>
      <c r="V4999" s="7">
        <v>46056</v>
      </c>
      <c r="X4999" s="8">
        <v>0</v>
      </c>
      <c r="Z4999" s="8">
        <v>0</v>
      </c>
      <c r="AA4999" s="7">
        <v>46072</v>
      </c>
      <c r="AC4999" s="8">
        <v>0</v>
      </c>
      <c r="AE4999" s="7">
        <v>46077</v>
      </c>
      <c r="AF4999" s="8">
        <v>0</v>
      </c>
      <c r="AH4999" s="7">
        <v>46077</v>
      </c>
      <c r="AN4999" s="8">
        <v>0</v>
      </c>
      <c r="AO4999" s="8">
        <v>900</v>
      </c>
    </row>
    <row r="5000" spans="1:41" x14ac:dyDescent="0.25">
      <c r="A5000" s="6" t="str">
        <f t="shared" si="1321"/>
        <v>525-2026000006</v>
      </c>
      <c r="B5000" s="6" t="str">
        <f t="shared" si="1325"/>
        <v>Lasa Int</v>
      </c>
      <c r="C5000" s="7">
        <v>46035</v>
      </c>
      <c r="D5000" s="7">
        <v>46077</v>
      </c>
      <c r="E5000" s="8">
        <v>3</v>
      </c>
      <c r="F5000" s="6" t="str">
        <f t="shared" si="1322"/>
        <v>PURE</v>
      </c>
      <c r="G5000" s="6" t="str">
        <f t="shared" si="1323"/>
        <v>F100021455000000</v>
      </c>
      <c r="H5000" s="6" t="str">
        <f t="shared" si="1324"/>
        <v>FA 214 - PURE - 550</v>
      </c>
      <c r="I5000" s="6" t="str">
        <f>"1"</f>
        <v>1</v>
      </c>
      <c r="J5000" s="6" t="str">
        <f>"BRANCO"</f>
        <v>BRANCO</v>
      </c>
      <c r="K5000" s="6" t="str">
        <f>"1024"</f>
        <v>1024</v>
      </c>
      <c r="L5000" s="6" t="str">
        <f>"Toalhas"</f>
        <v>Toalhas</v>
      </c>
      <c r="M5000" s="6" t="str">
        <f>"50x100"</f>
        <v>50x100</v>
      </c>
      <c r="N5000" s="6" t="str">
        <f>"5602972836257"</f>
        <v>5602972836257</v>
      </c>
      <c r="O5000" s="8">
        <v>720</v>
      </c>
      <c r="P5000" s="7">
        <v>46035</v>
      </c>
      <c r="R5000" s="8">
        <v>720</v>
      </c>
      <c r="S5000" s="7">
        <v>46038</v>
      </c>
      <c r="U5000" s="8">
        <v>720</v>
      </c>
      <c r="V5000" s="7">
        <v>46056</v>
      </c>
      <c r="X5000" s="8">
        <v>0</v>
      </c>
      <c r="Z5000" s="8">
        <v>0</v>
      </c>
      <c r="AA5000" s="7">
        <v>46072</v>
      </c>
      <c r="AC5000" s="8">
        <v>0</v>
      </c>
      <c r="AE5000" s="7">
        <v>46077</v>
      </c>
      <c r="AF5000" s="8">
        <v>0</v>
      </c>
      <c r="AH5000" s="7">
        <v>46077</v>
      </c>
      <c r="AN5000" s="8">
        <v>0</v>
      </c>
      <c r="AO5000" s="8">
        <v>720</v>
      </c>
    </row>
    <row r="5001" spans="1:41" x14ac:dyDescent="0.25">
      <c r="A5001" s="6" t="str">
        <f t="shared" si="1321"/>
        <v>525-2026000006</v>
      </c>
      <c r="B5001" s="6" t="str">
        <f t="shared" si="1325"/>
        <v>Lasa Int</v>
      </c>
      <c r="C5001" s="7">
        <v>46035</v>
      </c>
      <c r="D5001" s="7">
        <v>46077</v>
      </c>
      <c r="E5001" s="8">
        <v>4</v>
      </c>
      <c r="F5001" s="6" t="str">
        <f t="shared" si="1322"/>
        <v>PURE</v>
      </c>
      <c r="G5001" s="6" t="str">
        <f t="shared" si="1323"/>
        <v>F100021455000000</v>
      </c>
      <c r="H5001" s="6" t="str">
        <f t="shared" si="1324"/>
        <v>FA 214 - PURE - 550</v>
      </c>
      <c r="I5001" s="6" t="str">
        <f>"1"</f>
        <v>1</v>
      </c>
      <c r="J5001" s="6" t="str">
        <f>"BRANCO"</f>
        <v>BRANCO</v>
      </c>
      <c r="K5001" s="6" t="str">
        <f>"1535"</f>
        <v>1535</v>
      </c>
      <c r="L5001" s="6" t="str">
        <f>"Toalhões"</f>
        <v>Toalhões</v>
      </c>
      <c r="M5001" s="6" t="str">
        <f>"70x140"</f>
        <v>70x140</v>
      </c>
      <c r="N5001" s="6" t="str">
        <f>"5602972836264"</f>
        <v>5602972836264</v>
      </c>
      <c r="O5001" s="8">
        <v>480</v>
      </c>
      <c r="P5001" s="7">
        <v>46035</v>
      </c>
      <c r="R5001" s="8">
        <v>0</v>
      </c>
      <c r="S5001" s="7">
        <v>46038</v>
      </c>
      <c r="U5001" s="8">
        <v>480</v>
      </c>
      <c r="V5001" s="7">
        <v>46056</v>
      </c>
      <c r="X5001" s="8">
        <v>0</v>
      </c>
      <c r="Z5001" s="8">
        <v>480</v>
      </c>
      <c r="AA5001" s="7">
        <v>46072</v>
      </c>
      <c r="AC5001" s="8">
        <v>0</v>
      </c>
      <c r="AE5001" s="7">
        <v>46077</v>
      </c>
      <c r="AF5001" s="8">
        <v>0</v>
      </c>
      <c r="AH5001" s="7">
        <v>46077</v>
      </c>
      <c r="AN5001" s="8">
        <v>0</v>
      </c>
      <c r="AO5001" s="8">
        <v>480</v>
      </c>
    </row>
    <row r="5002" spans="1:41" x14ac:dyDescent="0.25">
      <c r="A5002" s="6" t="str">
        <f t="shared" si="1321"/>
        <v>525-2026000006</v>
      </c>
      <c r="B5002" s="6" t="str">
        <f t="shared" si="1325"/>
        <v>Lasa Int</v>
      </c>
      <c r="C5002" s="7">
        <v>46035</v>
      </c>
      <c r="D5002" s="7">
        <v>46077</v>
      </c>
      <c r="E5002" s="8">
        <v>5</v>
      </c>
      <c r="F5002" s="6" t="str">
        <f t="shared" si="1322"/>
        <v>PURE</v>
      </c>
      <c r="G5002" s="6" t="str">
        <f t="shared" si="1323"/>
        <v>F100021455000000</v>
      </c>
      <c r="H5002" s="6" t="str">
        <f t="shared" si="1324"/>
        <v>FA 214 - PURE - 550</v>
      </c>
      <c r="I5002" s="6" t="str">
        <f>"1"</f>
        <v>1</v>
      </c>
      <c r="J5002" s="6" t="str">
        <f>"BRANCO"</f>
        <v>BRANCO</v>
      </c>
      <c r="K5002" s="6" t="str">
        <f>"2020"</f>
        <v>2020</v>
      </c>
      <c r="L5002" s="6" t="str">
        <f>"Lençóis"</f>
        <v>Lençóis</v>
      </c>
      <c r="M5002" s="6" t="str">
        <f>"100x150"</f>
        <v>100x150</v>
      </c>
      <c r="N5002" s="6" t="str">
        <f>"5602972836271"</f>
        <v>5602972836271</v>
      </c>
      <c r="O5002" s="8">
        <v>240</v>
      </c>
      <c r="P5002" s="7">
        <v>46035</v>
      </c>
      <c r="R5002" s="8">
        <v>962</v>
      </c>
      <c r="S5002" s="7">
        <v>46038</v>
      </c>
      <c r="U5002" s="8">
        <v>240</v>
      </c>
      <c r="V5002" s="7">
        <v>46056</v>
      </c>
      <c r="X5002" s="8">
        <v>0</v>
      </c>
      <c r="Z5002" s="8">
        <v>0</v>
      </c>
      <c r="AA5002" s="7">
        <v>46072</v>
      </c>
      <c r="AC5002" s="8">
        <v>0</v>
      </c>
      <c r="AE5002" s="7">
        <v>46077</v>
      </c>
      <c r="AF5002" s="8">
        <v>0</v>
      </c>
      <c r="AH5002" s="7">
        <v>46077</v>
      </c>
      <c r="AN5002" s="8">
        <v>0</v>
      </c>
      <c r="AO5002" s="8">
        <v>240</v>
      </c>
    </row>
    <row r="5003" spans="1:41" x14ac:dyDescent="0.25">
      <c r="A5003" s="6" t="str">
        <f t="shared" si="1321"/>
        <v>525-2026000006</v>
      </c>
      <c r="B5003" s="6" t="str">
        <f t="shared" si="1325"/>
        <v>Lasa Int</v>
      </c>
      <c r="C5003" s="7">
        <v>46035</v>
      </c>
      <c r="D5003" s="7">
        <v>46077</v>
      </c>
      <c r="E5003" s="8">
        <v>6</v>
      </c>
      <c r="F5003" s="6" t="str">
        <f t="shared" si="1322"/>
        <v>PURE</v>
      </c>
      <c r="G5003" s="6" t="str">
        <f t="shared" si="1323"/>
        <v>F100021455000000</v>
      </c>
      <c r="H5003" s="6" t="str">
        <f t="shared" si="1324"/>
        <v>FA 214 - PURE - 550</v>
      </c>
      <c r="I5003" s="6" t="str">
        <f>"1822"</f>
        <v>1822</v>
      </c>
      <c r="J5003" s="6" t="str">
        <f>"ROSA 1822"</f>
        <v>ROSA 1822</v>
      </c>
      <c r="K5003" s="6" t="str">
        <f>"1024"</f>
        <v>1024</v>
      </c>
      <c r="L5003" s="6" t="str">
        <f>"Toalhas"</f>
        <v>Toalhas</v>
      </c>
      <c r="M5003" s="6" t="str">
        <f>"50x100"</f>
        <v>50x100</v>
      </c>
      <c r="N5003" s="6" t="str">
        <f>"5602972836707"</f>
        <v>5602972836707</v>
      </c>
      <c r="O5003" s="8">
        <v>720</v>
      </c>
      <c r="P5003" s="7">
        <v>46035</v>
      </c>
      <c r="R5003" s="8">
        <v>0</v>
      </c>
      <c r="S5003" s="7">
        <v>46038</v>
      </c>
      <c r="U5003" s="8">
        <v>720</v>
      </c>
      <c r="V5003" s="7">
        <v>46056</v>
      </c>
      <c r="X5003" s="8">
        <v>0</v>
      </c>
      <c r="Z5003" s="8">
        <v>0</v>
      </c>
      <c r="AA5003" s="7">
        <v>46072</v>
      </c>
      <c r="AC5003" s="8">
        <v>0</v>
      </c>
      <c r="AE5003" s="7">
        <v>46077</v>
      </c>
      <c r="AF5003" s="8">
        <v>0</v>
      </c>
      <c r="AH5003" s="7">
        <v>46077</v>
      </c>
      <c r="AN5003" s="8">
        <v>0</v>
      </c>
      <c r="AO5003" s="8">
        <v>720</v>
      </c>
    </row>
    <row r="5004" spans="1:41" x14ac:dyDescent="0.25">
      <c r="A5004" s="6" t="str">
        <f t="shared" si="1321"/>
        <v>525-2026000006</v>
      </c>
      <c r="B5004" s="6" t="str">
        <f t="shared" si="1325"/>
        <v>Lasa Int</v>
      </c>
      <c r="C5004" s="7">
        <v>46035</v>
      </c>
      <c r="D5004" s="7">
        <v>46077</v>
      </c>
      <c r="E5004" s="8">
        <v>7</v>
      </c>
      <c r="F5004" s="6" t="str">
        <f t="shared" si="1322"/>
        <v>PURE</v>
      </c>
      <c r="G5004" s="6" t="str">
        <f t="shared" si="1323"/>
        <v>F100021455000000</v>
      </c>
      <c r="H5004" s="6" t="str">
        <f t="shared" si="1324"/>
        <v>FA 214 - PURE - 550</v>
      </c>
      <c r="I5004" s="6" t="str">
        <f>"1822"</f>
        <v>1822</v>
      </c>
      <c r="J5004" s="6" t="str">
        <f>"ROSA 1822"</f>
        <v>ROSA 1822</v>
      </c>
      <c r="K5004" s="6" t="str">
        <f>"1535"</f>
        <v>1535</v>
      </c>
      <c r="L5004" s="6" t="str">
        <f>"Toalhões"</f>
        <v>Toalhões</v>
      </c>
      <c r="M5004" s="6" t="str">
        <f>"70x140"</f>
        <v>70x140</v>
      </c>
      <c r="N5004" s="6" t="str">
        <f>"5602972836714"</f>
        <v>5602972836714</v>
      </c>
      <c r="O5004" s="8">
        <v>240</v>
      </c>
      <c r="P5004" s="7">
        <v>46035</v>
      </c>
      <c r="R5004" s="8">
        <v>0</v>
      </c>
      <c r="S5004" s="7">
        <v>46038</v>
      </c>
      <c r="U5004" s="8">
        <v>240</v>
      </c>
      <c r="V5004" s="7">
        <v>46056</v>
      </c>
      <c r="X5004" s="8">
        <v>0</v>
      </c>
      <c r="Z5004" s="8">
        <v>0</v>
      </c>
      <c r="AA5004" s="7">
        <v>46072</v>
      </c>
      <c r="AC5004" s="8">
        <v>0</v>
      </c>
      <c r="AE5004" s="7">
        <v>46077</v>
      </c>
      <c r="AF5004" s="8">
        <v>0</v>
      </c>
      <c r="AH5004" s="7">
        <v>46077</v>
      </c>
      <c r="AN5004" s="8">
        <v>0</v>
      </c>
      <c r="AO5004" s="8">
        <v>240</v>
      </c>
    </row>
    <row r="5005" spans="1:41" x14ac:dyDescent="0.25">
      <c r="A5005" s="6" t="str">
        <f t="shared" si="1321"/>
        <v>525-2026000006</v>
      </c>
      <c r="B5005" s="6" t="str">
        <f t="shared" si="1325"/>
        <v>Lasa Int</v>
      </c>
      <c r="C5005" s="7">
        <v>46035</v>
      </c>
      <c r="D5005" s="7">
        <v>46077</v>
      </c>
      <c r="E5005" s="8">
        <v>8</v>
      </c>
      <c r="F5005" s="6" t="str">
        <f t="shared" si="1322"/>
        <v>PURE</v>
      </c>
      <c r="G5005" s="6" t="str">
        <f t="shared" si="1323"/>
        <v>F100021455000000</v>
      </c>
      <c r="H5005" s="6" t="str">
        <f t="shared" si="1324"/>
        <v>FA 214 - PURE - 550</v>
      </c>
      <c r="I5005" s="6" t="str">
        <f>"1822"</f>
        <v>1822</v>
      </c>
      <c r="J5005" s="6" t="str">
        <f>"ROSA 1822"</f>
        <v>ROSA 1822</v>
      </c>
      <c r="K5005" s="6" t="str">
        <f>"2020"</f>
        <v>2020</v>
      </c>
      <c r="L5005" s="6" t="str">
        <f>"Lençóis"</f>
        <v>Lençóis</v>
      </c>
      <c r="M5005" s="6" t="str">
        <f>"100x150"</f>
        <v>100x150</v>
      </c>
      <c r="N5005" s="6" t="str">
        <f>"5602972836721"</f>
        <v>5602972836721</v>
      </c>
      <c r="O5005" s="8">
        <v>160</v>
      </c>
      <c r="P5005" s="7">
        <v>46035</v>
      </c>
      <c r="R5005" s="8">
        <v>0</v>
      </c>
      <c r="S5005" s="7">
        <v>46038</v>
      </c>
      <c r="U5005" s="8">
        <v>160</v>
      </c>
      <c r="V5005" s="7">
        <v>46056</v>
      </c>
      <c r="X5005" s="8">
        <v>0</v>
      </c>
      <c r="Z5005" s="8">
        <v>0</v>
      </c>
      <c r="AA5005" s="7">
        <v>46072</v>
      </c>
      <c r="AC5005" s="8">
        <v>0</v>
      </c>
      <c r="AE5005" s="7">
        <v>46077</v>
      </c>
      <c r="AF5005" s="8">
        <v>0</v>
      </c>
      <c r="AH5005" s="7">
        <v>46077</v>
      </c>
      <c r="AN5005" s="8">
        <v>0</v>
      </c>
      <c r="AO5005" s="8">
        <v>160</v>
      </c>
    </row>
    <row r="5006" spans="1:41" x14ac:dyDescent="0.25">
      <c r="A5006" s="6" t="str">
        <f t="shared" si="1321"/>
        <v>525-2026000006</v>
      </c>
      <c r="B5006" s="6" t="str">
        <f t="shared" si="1325"/>
        <v>Lasa Int</v>
      </c>
      <c r="C5006" s="7">
        <v>46035</v>
      </c>
      <c r="D5006" s="7">
        <v>46077</v>
      </c>
      <c r="E5006" s="8">
        <v>9</v>
      </c>
      <c r="F5006" s="6" t="str">
        <f t="shared" si="1322"/>
        <v>PURE</v>
      </c>
      <c r="G5006" s="6" t="str">
        <f t="shared" si="1323"/>
        <v>F100021455000000</v>
      </c>
      <c r="H5006" s="6" t="str">
        <f t="shared" si="1324"/>
        <v>FA 214 - PURE - 550</v>
      </c>
      <c r="I5006" s="6" t="str">
        <f>"1853"</f>
        <v>1853</v>
      </c>
      <c r="J5006" s="6" t="str">
        <f>"ROSA 1853"</f>
        <v>ROSA 1853</v>
      </c>
      <c r="K5006" s="6" t="str">
        <f>"1024"</f>
        <v>1024</v>
      </c>
      <c r="L5006" s="6" t="str">
        <f>"Toalhas"</f>
        <v>Toalhas</v>
      </c>
      <c r="M5006" s="6" t="str">
        <f>"50x100"</f>
        <v>50x100</v>
      </c>
      <c r="N5006" s="6" t="str">
        <f>"5602972836653"</f>
        <v>5602972836653</v>
      </c>
      <c r="O5006" s="8">
        <v>480</v>
      </c>
      <c r="P5006" s="7">
        <v>46035</v>
      </c>
      <c r="R5006" s="8">
        <v>0</v>
      </c>
      <c r="S5006" s="7">
        <v>46038</v>
      </c>
      <c r="U5006" s="8">
        <v>480</v>
      </c>
      <c r="V5006" s="7">
        <v>46056</v>
      </c>
      <c r="X5006" s="8">
        <v>0</v>
      </c>
      <c r="Z5006" s="8">
        <v>480</v>
      </c>
      <c r="AA5006" s="7">
        <v>46072</v>
      </c>
      <c r="AC5006" s="8">
        <v>0</v>
      </c>
      <c r="AE5006" s="7">
        <v>46077</v>
      </c>
      <c r="AF5006" s="8">
        <v>0</v>
      </c>
      <c r="AH5006" s="7">
        <v>46077</v>
      </c>
      <c r="AN5006" s="8">
        <v>0</v>
      </c>
      <c r="AO5006" s="8">
        <v>480</v>
      </c>
    </row>
    <row r="5007" spans="1:41" x14ac:dyDescent="0.25">
      <c r="A5007" s="6" t="str">
        <f t="shared" si="1321"/>
        <v>525-2026000006</v>
      </c>
      <c r="B5007" s="6" t="str">
        <f t="shared" si="1325"/>
        <v>Lasa Int</v>
      </c>
      <c r="C5007" s="7">
        <v>46035</v>
      </c>
      <c r="D5007" s="7">
        <v>46077</v>
      </c>
      <c r="E5007" s="8">
        <v>10</v>
      </c>
      <c r="F5007" s="6" t="str">
        <f t="shared" si="1322"/>
        <v>PURE</v>
      </c>
      <c r="G5007" s="6" t="str">
        <f t="shared" si="1323"/>
        <v>F100021455000000</v>
      </c>
      <c r="H5007" s="6" t="str">
        <f t="shared" si="1324"/>
        <v>FA 214 - PURE - 550</v>
      </c>
      <c r="I5007" s="6" t="str">
        <f>"1853"</f>
        <v>1853</v>
      </c>
      <c r="J5007" s="6" t="str">
        <f>"ROSA 1853"</f>
        <v>ROSA 1853</v>
      </c>
      <c r="K5007" s="6" t="str">
        <f>"1535"</f>
        <v>1535</v>
      </c>
      <c r="L5007" s="6" t="str">
        <f>"Toalhões"</f>
        <v>Toalhões</v>
      </c>
      <c r="M5007" s="6" t="str">
        <f>"70x140"</f>
        <v>70x140</v>
      </c>
      <c r="N5007" s="6" t="str">
        <f>"5602972836660"</f>
        <v>5602972836660</v>
      </c>
      <c r="O5007" s="8">
        <v>240</v>
      </c>
      <c r="P5007" s="7">
        <v>46035</v>
      </c>
      <c r="R5007" s="8">
        <v>0</v>
      </c>
      <c r="S5007" s="7">
        <v>46038</v>
      </c>
      <c r="U5007" s="8">
        <v>240</v>
      </c>
      <c r="V5007" s="7">
        <v>46056</v>
      </c>
      <c r="X5007" s="8">
        <v>0</v>
      </c>
      <c r="Z5007" s="8">
        <v>240</v>
      </c>
      <c r="AA5007" s="7">
        <v>46072</v>
      </c>
      <c r="AC5007" s="8">
        <v>0</v>
      </c>
      <c r="AE5007" s="7">
        <v>46077</v>
      </c>
      <c r="AF5007" s="8">
        <v>0</v>
      </c>
      <c r="AH5007" s="7">
        <v>46077</v>
      </c>
      <c r="AN5007" s="8">
        <v>0</v>
      </c>
      <c r="AO5007" s="8">
        <v>240</v>
      </c>
    </row>
    <row r="5008" spans="1:41" x14ac:dyDescent="0.25">
      <c r="A5008" s="6" t="str">
        <f t="shared" si="1321"/>
        <v>525-2026000006</v>
      </c>
      <c r="B5008" s="6" t="str">
        <f t="shared" si="1325"/>
        <v>Lasa Int</v>
      </c>
      <c r="C5008" s="7">
        <v>46035</v>
      </c>
      <c r="D5008" s="7">
        <v>46077</v>
      </c>
      <c r="E5008" s="8">
        <v>11</v>
      </c>
      <c r="F5008" s="6" t="str">
        <f t="shared" si="1322"/>
        <v>PURE</v>
      </c>
      <c r="G5008" s="6" t="str">
        <f t="shared" si="1323"/>
        <v>F100021455000000</v>
      </c>
      <c r="H5008" s="6" t="str">
        <f t="shared" si="1324"/>
        <v>FA 214 - PURE - 550</v>
      </c>
      <c r="I5008" s="6" t="str">
        <f>"1853"</f>
        <v>1853</v>
      </c>
      <c r="J5008" s="6" t="str">
        <f>"ROSA 1853"</f>
        <v>ROSA 1853</v>
      </c>
      <c r="K5008" s="6" t="str">
        <f>"2020"</f>
        <v>2020</v>
      </c>
      <c r="L5008" s="6" t="str">
        <f>"Lençóis"</f>
        <v>Lençóis</v>
      </c>
      <c r="M5008" s="6" t="str">
        <f>"100x150"</f>
        <v>100x150</v>
      </c>
      <c r="N5008" s="6" t="str">
        <f>"5602972836677"</f>
        <v>5602972836677</v>
      </c>
      <c r="O5008" s="8">
        <v>160</v>
      </c>
      <c r="P5008" s="7">
        <v>46035</v>
      </c>
      <c r="R5008" s="8">
        <v>0</v>
      </c>
      <c r="S5008" s="7">
        <v>46038</v>
      </c>
      <c r="U5008" s="8">
        <v>160</v>
      </c>
      <c r="V5008" s="7">
        <v>46056</v>
      </c>
      <c r="X5008" s="8">
        <v>0</v>
      </c>
      <c r="Z5008" s="8">
        <v>160</v>
      </c>
      <c r="AA5008" s="7">
        <v>46072</v>
      </c>
      <c r="AC5008" s="8">
        <v>0</v>
      </c>
      <c r="AE5008" s="7">
        <v>46077</v>
      </c>
      <c r="AF5008" s="8">
        <v>0</v>
      </c>
      <c r="AH5008" s="7">
        <v>46077</v>
      </c>
      <c r="AN5008" s="8">
        <v>0</v>
      </c>
      <c r="AO5008" s="8">
        <v>160</v>
      </c>
    </row>
    <row r="5009" spans="1:41" x14ac:dyDescent="0.25">
      <c r="A5009" s="6" t="str">
        <f t="shared" si="1321"/>
        <v>525-2026000006</v>
      </c>
      <c r="B5009" s="6" t="str">
        <f t="shared" si="1325"/>
        <v>Lasa Int</v>
      </c>
      <c r="C5009" s="7">
        <v>46035</v>
      </c>
      <c r="D5009" s="7">
        <v>46077</v>
      </c>
      <c r="E5009" s="8">
        <v>12</v>
      </c>
      <c r="F5009" s="6" t="str">
        <f t="shared" si="1322"/>
        <v>PURE</v>
      </c>
      <c r="G5009" s="6" t="str">
        <f t="shared" si="1323"/>
        <v>F100021455000000</v>
      </c>
      <c r="H5009" s="6" t="str">
        <f t="shared" si="1324"/>
        <v>FA 214 - PURE - 550</v>
      </c>
      <c r="I5009" s="6" t="str">
        <f>"2307"</f>
        <v>2307</v>
      </c>
      <c r="J5009" s="6" t="str">
        <f>"VERMELHO 2307"</f>
        <v>VERMELHO 2307</v>
      </c>
      <c r="K5009" s="6" t="str">
        <f>"0112"</f>
        <v>0112</v>
      </c>
      <c r="L5009" s="6" t="str">
        <f>"Luvas"</f>
        <v>Luvas</v>
      </c>
      <c r="M5009" s="6" t="str">
        <f>"16x21"</f>
        <v>16x21</v>
      </c>
      <c r="N5009" s="6" t="str">
        <f>" "</f>
        <v xml:space="preserve"> </v>
      </c>
      <c r="O5009" s="8">
        <v>300</v>
      </c>
      <c r="P5009" s="7">
        <v>46035</v>
      </c>
      <c r="R5009" s="8">
        <v>0</v>
      </c>
      <c r="S5009" s="7">
        <v>46038</v>
      </c>
      <c r="U5009" s="8">
        <v>300</v>
      </c>
      <c r="V5009" s="7">
        <v>46056</v>
      </c>
      <c r="X5009" s="8">
        <v>0</v>
      </c>
      <c r="Z5009" s="8">
        <v>0</v>
      </c>
      <c r="AA5009" s="7">
        <v>46072</v>
      </c>
      <c r="AC5009" s="8">
        <v>0</v>
      </c>
      <c r="AE5009" s="7">
        <v>46077</v>
      </c>
      <c r="AF5009" s="8">
        <v>0</v>
      </c>
      <c r="AH5009" s="7">
        <v>46077</v>
      </c>
      <c r="AN5009" s="8">
        <v>0</v>
      </c>
      <c r="AO5009" s="8">
        <v>300</v>
      </c>
    </row>
    <row r="5010" spans="1:41" x14ac:dyDescent="0.25">
      <c r="A5010" s="6" t="str">
        <f t="shared" si="1321"/>
        <v>525-2026000006</v>
      </c>
      <c r="B5010" s="6" t="str">
        <f t="shared" si="1325"/>
        <v>Lasa Int</v>
      </c>
      <c r="C5010" s="7">
        <v>46035</v>
      </c>
      <c r="D5010" s="7">
        <v>46077</v>
      </c>
      <c r="E5010" s="8">
        <v>13</v>
      </c>
      <c r="F5010" s="6" t="str">
        <f t="shared" si="1322"/>
        <v>PURE</v>
      </c>
      <c r="G5010" s="6" t="str">
        <f t="shared" si="1323"/>
        <v>F100021455000000</v>
      </c>
      <c r="H5010" s="6" t="str">
        <f t="shared" si="1324"/>
        <v>FA 214 - PURE - 550</v>
      </c>
      <c r="I5010" s="6" t="str">
        <f>"2307"</f>
        <v>2307</v>
      </c>
      <c r="J5010" s="6" t="str">
        <f>"VERMELHO 2307"</f>
        <v>VERMELHO 2307</v>
      </c>
      <c r="K5010" s="6" t="str">
        <f>"0530"</f>
        <v>0530</v>
      </c>
      <c r="L5010" s="6" t="str">
        <f>"Toalhetes"</f>
        <v>Toalhetes</v>
      </c>
      <c r="M5010" s="6" t="str">
        <f>"33x50"</f>
        <v>33x50</v>
      </c>
      <c r="N5010" s="6" t="str">
        <f>"5602972836790"</f>
        <v>5602972836790</v>
      </c>
      <c r="O5010" s="8">
        <v>450</v>
      </c>
      <c r="P5010" s="7">
        <v>46035</v>
      </c>
      <c r="R5010" s="8">
        <v>0</v>
      </c>
      <c r="S5010" s="7">
        <v>46038</v>
      </c>
      <c r="U5010" s="8">
        <v>450</v>
      </c>
      <c r="V5010" s="7">
        <v>46056</v>
      </c>
      <c r="X5010" s="8">
        <v>0</v>
      </c>
      <c r="Z5010" s="8">
        <v>0</v>
      </c>
      <c r="AA5010" s="7">
        <v>46072</v>
      </c>
      <c r="AC5010" s="8">
        <v>0</v>
      </c>
      <c r="AE5010" s="7">
        <v>46077</v>
      </c>
      <c r="AF5010" s="8">
        <v>0</v>
      </c>
      <c r="AH5010" s="7">
        <v>46077</v>
      </c>
      <c r="AN5010" s="8">
        <v>0</v>
      </c>
      <c r="AO5010" s="8">
        <v>450</v>
      </c>
    </row>
    <row r="5011" spans="1:41" x14ac:dyDescent="0.25">
      <c r="A5011" s="6" t="str">
        <f t="shared" si="1321"/>
        <v>525-2026000006</v>
      </c>
      <c r="B5011" s="6" t="str">
        <f t="shared" si="1325"/>
        <v>Lasa Int</v>
      </c>
      <c r="C5011" s="7">
        <v>46035</v>
      </c>
      <c r="D5011" s="7">
        <v>46077</v>
      </c>
      <c r="E5011" s="8">
        <v>14</v>
      </c>
      <c r="F5011" s="6" t="str">
        <f t="shared" si="1322"/>
        <v>PURE</v>
      </c>
      <c r="G5011" s="6" t="str">
        <f t="shared" si="1323"/>
        <v>F100021455000000</v>
      </c>
      <c r="H5011" s="6" t="str">
        <f t="shared" si="1324"/>
        <v>FA 214 - PURE - 550</v>
      </c>
      <c r="I5011" s="6" t="str">
        <f>"2307"</f>
        <v>2307</v>
      </c>
      <c r="J5011" s="6" t="str">
        <f>"VERMELHO 2307"</f>
        <v>VERMELHO 2307</v>
      </c>
      <c r="K5011" s="6" t="str">
        <f>"1024"</f>
        <v>1024</v>
      </c>
      <c r="L5011" s="6" t="str">
        <f>"Toalhas"</f>
        <v>Toalhas</v>
      </c>
      <c r="M5011" s="6" t="str">
        <f>"50x100"</f>
        <v>50x100</v>
      </c>
      <c r="N5011" s="6" t="str">
        <f>"5602972836806"</f>
        <v>5602972836806</v>
      </c>
      <c r="O5011" s="8">
        <v>240</v>
      </c>
      <c r="P5011" s="7">
        <v>46035</v>
      </c>
      <c r="R5011" s="8">
        <v>0</v>
      </c>
      <c r="S5011" s="7">
        <v>46038</v>
      </c>
      <c r="U5011" s="8">
        <v>240</v>
      </c>
      <c r="V5011" s="7">
        <v>46056</v>
      </c>
      <c r="X5011" s="8">
        <v>0</v>
      </c>
      <c r="Z5011" s="8">
        <v>0</v>
      </c>
      <c r="AA5011" s="7">
        <v>46072</v>
      </c>
      <c r="AC5011" s="8">
        <v>0</v>
      </c>
      <c r="AE5011" s="7">
        <v>46077</v>
      </c>
      <c r="AF5011" s="8">
        <v>0</v>
      </c>
      <c r="AH5011" s="7">
        <v>46077</v>
      </c>
      <c r="AN5011" s="8">
        <v>0</v>
      </c>
      <c r="AO5011" s="8">
        <v>240</v>
      </c>
    </row>
    <row r="5012" spans="1:41" x14ac:dyDescent="0.25">
      <c r="A5012" s="6" t="str">
        <f t="shared" si="1321"/>
        <v>525-2026000006</v>
      </c>
      <c r="B5012" s="6" t="str">
        <f t="shared" si="1325"/>
        <v>Lasa Int</v>
      </c>
      <c r="C5012" s="7">
        <v>46035</v>
      </c>
      <c r="D5012" s="7">
        <v>46077</v>
      </c>
      <c r="E5012" s="8">
        <v>15</v>
      </c>
      <c r="F5012" s="6" t="str">
        <f t="shared" si="1322"/>
        <v>PURE</v>
      </c>
      <c r="G5012" s="6" t="str">
        <f t="shared" si="1323"/>
        <v>F100021455000000</v>
      </c>
      <c r="H5012" s="6" t="str">
        <f t="shared" si="1324"/>
        <v>FA 214 - PURE - 550</v>
      </c>
      <c r="I5012" s="6" t="str">
        <f>"2307"</f>
        <v>2307</v>
      </c>
      <c r="J5012" s="6" t="str">
        <f>"VERMELHO 2307"</f>
        <v>VERMELHO 2307</v>
      </c>
      <c r="K5012" s="6" t="str">
        <f>"1535"</f>
        <v>1535</v>
      </c>
      <c r="L5012" s="6" t="str">
        <f>"Toalhões"</f>
        <v>Toalhões</v>
      </c>
      <c r="M5012" s="6" t="str">
        <f>"70x140"</f>
        <v>70x140</v>
      </c>
      <c r="N5012" s="6" t="str">
        <f>"5602972836813"</f>
        <v>5602972836813</v>
      </c>
      <c r="O5012" s="8">
        <v>360</v>
      </c>
      <c r="P5012" s="7">
        <v>46035</v>
      </c>
      <c r="R5012" s="8">
        <v>0</v>
      </c>
      <c r="S5012" s="7">
        <v>46038</v>
      </c>
      <c r="U5012" s="8">
        <v>360</v>
      </c>
      <c r="V5012" s="7">
        <v>46056</v>
      </c>
      <c r="X5012" s="8">
        <v>0</v>
      </c>
      <c r="Z5012" s="8">
        <v>0</v>
      </c>
      <c r="AA5012" s="7">
        <v>46072</v>
      </c>
      <c r="AC5012" s="8">
        <v>0</v>
      </c>
      <c r="AE5012" s="7">
        <v>46077</v>
      </c>
      <c r="AF5012" s="8">
        <v>0</v>
      </c>
      <c r="AH5012" s="7">
        <v>46077</v>
      </c>
      <c r="AN5012" s="8">
        <v>0</v>
      </c>
      <c r="AO5012" s="8">
        <v>360</v>
      </c>
    </row>
    <row r="5013" spans="1:41" x14ac:dyDescent="0.25">
      <c r="A5013" s="6" t="str">
        <f t="shared" si="1321"/>
        <v>525-2026000006</v>
      </c>
      <c r="B5013" s="6" t="str">
        <f t="shared" si="1325"/>
        <v>Lasa Int</v>
      </c>
      <c r="C5013" s="7">
        <v>46035</v>
      </c>
      <c r="D5013" s="7">
        <v>46077</v>
      </c>
      <c r="E5013" s="8">
        <v>16</v>
      </c>
      <c r="F5013" s="6" t="str">
        <f t="shared" si="1322"/>
        <v>PURE</v>
      </c>
      <c r="G5013" s="6" t="str">
        <f t="shared" si="1323"/>
        <v>F100021455000000</v>
      </c>
      <c r="H5013" s="6" t="str">
        <f t="shared" si="1324"/>
        <v>FA 214 - PURE - 550</v>
      </c>
      <c r="I5013" s="6" t="str">
        <f>"2307"</f>
        <v>2307</v>
      </c>
      <c r="J5013" s="6" t="str">
        <f>"VERMELHO 2307"</f>
        <v>VERMELHO 2307</v>
      </c>
      <c r="K5013" s="6" t="str">
        <f>"2020"</f>
        <v>2020</v>
      </c>
      <c r="L5013" s="6" t="str">
        <f>"Lençóis"</f>
        <v>Lençóis</v>
      </c>
      <c r="M5013" s="6" t="str">
        <f>"100x150"</f>
        <v>100x150</v>
      </c>
      <c r="N5013" s="6" t="str">
        <f>"5602972836820"</f>
        <v>5602972836820</v>
      </c>
      <c r="O5013" s="8">
        <v>160</v>
      </c>
      <c r="P5013" s="7">
        <v>46035</v>
      </c>
      <c r="R5013" s="8">
        <v>0</v>
      </c>
      <c r="S5013" s="7">
        <v>46038</v>
      </c>
      <c r="U5013" s="8">
        <v>160</v>
      </c>
      <c r="V5013" s="7">
        <v>46056</v>
      </c>
      <c r="X5013" s="8">
        <v>0</v>
      </c>
      <c r="Z5013" s="8">
        <v>0</v>
      </c>
      <c r="AA5013" s="7">
        <v>46072</v>
      </c>
      <c r="AC5013" s="8">
        <v>0</v>
      </c>
      <c r="AE5013" s="7">
        <v>46077</v>
      </c>
      <c r="AF5013" s="8">
        <v>0</v>
      </c>
      <c r="AH5013" s="7">
        <v>46077</v>
      </c>
      <c r="AN5013" s="8">
        <v>0</v>
      </c>
      <c r="AO5013" s="8">
        <v>160</v>
      </c>
    </row>
    <row r="5014" spans="1:41" x14ac:dyDescent="0.25">
      <c r="A5014" s="6" t="str">
        <f t="shared" si="1321"/>
        <v>525-2026000006</v>
      </c>
      <c r="B5014" s="6" t="str">
        <f t="shared" si="1325"/>
        <v>Lasa Int</v>
      </c>
      <c r="C5014" s="7">
        <v>46035</v>
      </c>
      <c r="D5014" s="7">
        <v>46077</v>
      </c>
      <c r="E5014" s="8">
        <v>17</v>
      </c>
      <c r="F5014" s="6" t="str">
        <f t="shared" si="1322"/>
        <v>PURE</v>
      </c>
      <c r="G5014" s="6" t="str">
        <f t="shared" si="1323"/>
        <v>F100021455000000</v>
      </c>
      <c r="H5014" s="6" t="str">
        <f t="shared" si="1324"/>
        <v>FA 214 - PURE - 550</v>
      </c>
      <c r="I5014" s="6" t="str">
        <f>"2392"</f>
        <v>2392</v>
      </c>
      <c r="J5014" s="6" t="str">
        <f>"LARANJA 2392"</f>
        <v>LARANJA 2392</v>
      </c>
      <c r="K5014" s="6" t="str">
        <f>"0112"</f>
        <v>0112</v>
      </c>
      <c r="L5014" s="6" t="str">
        <f>"Luvas"</f>
        <v>Luvas</v>
      </c>
      <c r="M5014" s="6" t="str">
        <f>"16x21"</f>
        <v>16x21</v>
      </c>
      <c r="N5014" s="6" t="str">
        <f>"5602972836530"</f>
        <v>5602972836530</v>
      </c>
      <c r="O5014" s="8">
        <v>300</v>
      </c>
      <c r="P5014" s="7">
        <v>46035</v>
      </c>
      <c r="R5014" s="8">
        <v>0</v>
      </c>
      <c r="S5014" s="7">
        <v>46038</v>
      </c>
      <c r="U5014" s="8">
        <v>300</v>
      </c>
      <c r="V5014" s="7">
        <v>46056</v>
      </c>
      <c r="X5014" s="8">
        <v>0</v>
      </c>
      <c r="Z5014" s="8">
        <v>0</v>
      </c>
      <c r="AA5014" s="7">
        <v>46072</v>
      </c>
      <c r="AC5014" s="8">
        <v>0</v>
      </c>
      <c r="AE5014" s="7">
        <v>46077</v>
      </c>
      <c r="AF5014" s="8">
        <v>0</v>
      </c>
      <c r="AH5014" s="7">
        <v>46077</v>
      </c>
      <c r="AN5014" s="8">
        <v>0</v>
      </c>
      <c r="AO5014" s="8">
        <v>300</v>
      </c>
    </row>
    <row r="5015" spans="1:41" x14ac:dyDescent="0.25">
      <c r="A5015" s="6" t="str">
        <f t="shared" si="1321"/>
        <v>525-2026000006</v>
      </c>
      <c r="B5015" s="6" t="str">
        <f t="shared" si="1325"/>
        <v>Lasa Int</v>
      </c>
      <c r="C5015" s="7">
        <v>46035</v>
      </c>
      <c r="D5015" s="7">
        <v>46077</v>
      </c>
      <c r="E5015" s="8">
        <v>18</v>
      </c>
      <c r="F5015" s="6" t="str">
        <f t="shared" si="1322"/>
        <v>PURE</v>
      </c>
      <c r="G5015" s="6" t="str">
        <f t="shared" si="1323"/>
        <v>F100021455000000</v>
      </c>
      <c r="H5015" s="6" t="str">
        <f t="shared" si="1324"/>
        <v>FA 214 - PURE - 550</v>
      </c>
      <c r="I5015" s="6" t="str">
        <f>"2392"</f>
        <v>2392</v>
      </c>
      <c r="J5015" s="6" t="str">
        <f>"LARANJA 2392"</f>
        <v>LARANJA 2392</v>
      </c>
      <c r="K5015" s="6" t="str">
        <f>"0530"</f>
        <v>0530</v>
      </c>
      <c r="L5015" s="6" t="str">
        <f>"Toalhetes"</f>
        <v>Toalhetes</v>
      </c>
      <c r="M5015" s="6" t="str">
        <f>"33x50"</f>
        <v>33x50</v>
      </c>
      <c r="N5015" s="6" t="str">
        <f>"5602972836547"</f>
        <v>5602972836547</v>
      </c>
      <c r="O5015" s="8">
        <v>450</v>
      </c>
      <c r="P5015" s="7">
        <v>46035</v>
      </c>
      <c r="R5015" s="8">
        <v>0</v>
      </c>
      <c r="S5015" s="7">
        <v>46038</v>
      </c>
      <c r="U5015" s="8">
        <v>450</v>
      </c>
      <c r="V5015" s="7">
        <v>46056</v>
      </c>
      <c r="X5015" s="8">
        <v>0</v>
      </c>
      <c r="Z5015" s="8">
        <v>0</v>
      </c>
      <c r="AA5015" s="7">
        <v>46072</v>
      </c>
      <c r="AC5015" s="8">
        <v>0</v>
      </c>
      <c r="AE5015" s="7">
        <v>46077</v>
      </c>
      <c r="AF5015" s="8">
        <v>0</v>
      </c>
      <c r="AH5015" s="7">
        <v>46077</v>
      </c>
      <c r="AN5015" s="8">
        <v>0</v>
      </c>
      <c r="AO5015" s="8">
        <v>450</v>
      </c>
    </row>
    <row r="5016" spans="1:41" x14ac:dyDescent="0.25">
      <c r="A5016" s="6" t="str">
        <f t="shared" si="1321"/>
        <v>525-2026000006</v>
      </c>
      <c r="B5016" s="6" t="str">
        <f t="shared" si="1325"/>
        <v>Lasa Int</v>
      </c>
      <c r="C5016" s="7">
        <v>46035</v>
      </c>
      <c r="D5016" s="7">
        <v>46077</v>
      </c>
      <c r="E5016" s="8">
        <v>19</v>
      </c>
      <c r="F5016" s="6" t="str">
        <f t="shared" si="1322"/>
        <v>PURE</v>
      </c>
      <c r="G5016" s="6" t="str">
        <f t="shared" si="1323"/>
        <v>F100021455000000</v>
      </c>
      <c r="H5016" s="6" t="str">
        <f t="shared" si="1324"/>
        <v>FA 214 - PURE - 550</v>
      </c>
      <c r="I5016" s="6" t="str">
        <f>"2392"</f>
        <v>2392</v>
      </c>
      <c r="J5016" s="6" t="str">
        <f>"LARANJA 2392"</f>
        <v>LARANJA 2392</v>
      </c>
      <c r="K5016" s="6" t="str">
        <f>"1024"</f>
        <v>1024</v>
      </c>
      <c r="L5016" s="6" t="str">
        <f>"Toalhas"</f>
        <v>Toalhas</v>
      </c>
      <c r="M5016" s="6" t="str">
        <f>"50x100"</f>
        <v>50x100</v>
      </c>
      <c r="N5016" s="6" t="str">
        <f>"5602972836554"</f>
        <v>5602972836554</v>
      </c>
      <c r="O5016" s="8">
        <v>240</v>
      </c>
      <c r="P5016" s="7">
        <v>46035</v>
      </c>
      <c r="R5016" s="8">
        <v>0</v>
      </c>
      <c r="S5016" s="7">
        <v>46038</v>
      </c>
      <c r="U5016" s="8">
        <v>240</v>
      </c>
      <c r="V5016" s="7">
        <v>46056</v>
      </c>
      <c r="X5016" s="8">
        <v>0</v>
      </c>
      <c r="Z5016" s="8">
        <v>0</v>
      </c>
      <c r="AA5016" s="7">
        <v>46072</v>
      </c>
      <c r="AC5016" s="8">
        <v>0</v>
      </c>
      <c r="AE5016" s="7">
        <v>46077</v>
      </c>
      <c r="AF5016" s="8">
        <v>0</v>
      </c>
      <c r="AH5016" s="7">
        <v>46077</v>
      </c>
      <c r="AN5016" s="8">
        <v>0</v>
      </c>
      <c r="AO5016" s="8">
        <v>240</v>
      </c>
    </row>
    <row r="5017" spans="1:41" x14ac:dyDescent="0.25">
      <c r="A5017" s="6" t="str">
        <f t="shared" si="1321"/>
        <v>525-2026000006</v>
      </c>
      <c r="B5017" s="6" t="str">
        <f t="shared" si="1325"/>
        <v>Lasa Int</v>
      </c>
      <c r="C5017" s="7">
        <v>46035</v>
      </c>
      <c r="D5017" s="7">
        <v>46077</v>
      </c>
      <c r="E5017" s="8">
        <v>20</v>
      </c>
      <c r="F5017" s="6" t="str">
        <f t="shared" si="1322"/>
        <v>PURE</v>
      </c>
      <c r="G5017" s="6" t="str">
        <f t="shared" si="1323"/>
        <v>F100021455000000</v>
      </c>
      <c r="H5017" s="6" t="str">
        <f t="shared" si="1324"/>
        <v>FA 214 - PURE - 550</v>
      </c>
      <c r="I5017" s="6" t="str">
        <f>"2392"</f>
        <v>2392</v>
      </c>
      <c r="J5017" s="6" t="str">
        <f>"LARANJA 2392"</f>
        <v>LARANJA 2392</v>
      </c>
      <c r="K5017" s="6" t="str">
        <f>"1535"</f>
        <v>1535</v>
      </c>
      <c r="L5017" s="6" t="str">
        <f>"Toalhões"</f>
        <v>Toalhões</v>
      </c>
      <c r="M5017" s="6" t="str">
        <f>"70x140"</f>
        <v>70x140</v>
      </c>
      <c r="N5017" s="6" t="str">
        <f>"5602972836561"</f>
        <v>5602972836561</v>
      </c>
      <c r="O5017" s="8">
        <v>240</v>
      </c>
      <c r="P5017" s="7">
        <v>46035</v>
      </c>
      <c r="R5017" s="8">
        <v>0</v>
      </c>
      <c r="S5017" s="7">
        <v>46038</v>
      </c>
      <c r="U5017" s="8">
        <v>240</v>
      </c>
      <c r="V5017" s="7">
        <v>46056</v>
      </c>
      <c r="X5017" s="8">
        <v>0</v>
      </c>
      <c r="Z5017" s="8">
        <v>0</v>
      </c>
      <c r="AA5017" s="7">
        <v>46072</v>
      </c>
      <c r="AC5017" s="8">
        <v>0</v>
      </c>
      <c r="AE5017" s="7">
        <v>46077</v>
      </c>
      <c r="AF5017" s="8">
        <v>0</v>
      </c>
      <c r="AH5017" s="7">
        <v>46077</v>
      </c>
      <c r="AN5017" s="8">
        <v>0</v>
      </c>
      <c r="AO5017" s="8">
        <v>240</v>
      </c>
    </row>
    <row r="5018" spans="1:41" x14ac:dyDescent="0.25">
      <c r="A5018" s="6" t="str">
        <f t="shared" si="1321"/>
        <v>525-2026000006</v>
      </c>
      <c r="B5018" s="6" t="str">
        <f t="shared" si="1325"/>
        <v>Lasa Int</v>
      </c>
      <c r="C5018" s="7">
        <v>46035</v>
      </c>
      <c r="D5018" s="7">
        <v>46077</v>
      </c>
      <c r="E5018" s="8">
        <v>21</v>
      </c>
      <c r="F5018" s="6" t="str">
        <f t="shared" si="1322"/>
        <v>PURE</v>
      </c>
      <c r="G5018" s="6" t="str">
        <f t="shared" si="1323"/>
        <v>F100021455000000</v>
      </c>
      <c r="H5018" s="6" t="str">
        <f t="shared" si="1324"/>
        <v>FA 214 - PURE - 550</v>
      </c>
      <c r="I5018" s="6" t="str">
        <f>"2392"</f>
        <v>2392</v>
      </c>
      <c r="J5018" s="6" t="str">
        <f>"LARANJA 2392"</f>
        <v>LARANJA 2392</v>
      </c>
      <c r="K5018" s="6" t="str">
        <f>"2020"</f>
        <v>2020</v>
      </c>
      <c r="L5018" s="6" t="str">
        <f>"Lençóis"</f>
        <v>Lençóis</v>
      </c>
      <c r="M5018" s="6" t="str">
        <f>"100x150"</f>
        <v>100x150</v>
      </c>
      <c r="N5018" s="6" t="str">
        <f>"5602972836578"</f>
        <v>5602972836578</v>
      </c>
      <c r="O5018" s="8">
        <v>160</v>
      </c>
      <c r="P5018" s="7">
        <v>46035</v>
      </c>
      <c r="R5018" s="8">
        <v>0</v>
      </c>
      <c r="S5018" s="7">
        <v>46038</v>
      </c>
      <c r="U5018" s="8">
        <v>160</v>
      </c>
      <c r="V5018" s="7">
        <v>46056</v>
      </c>
      <c r="X5018" s="8">
        <v>0</v>
      </c>
      <c r="Z5018" s="8">
        <v>0</v>
      </c>
      <c r="AA5018" s="7">
        <v>46072</v>
      </c>
      <c r="AC5018" s="8">
        <v>0</v>
      </c>
      <c r="AE5018" s="7">
        <v>46077</v>
      </c>
      <c r="AF5018" s="8">
        <v>0</v>
      </c>
      <c r="AH5018" s="7">
        <v>46077</v>
      </c>
      <c r="AN5018" s="8">
        <v>0</v>
      </c>
      <c r="AO5018" s="8">
        <v>160</v>
      </c>
    </row>
    <row r="5019" spans="1:41" x14ac:dyDescent="0.25">
      <c r="A5019" s="6" t="str">
        <f t="shared" si="1321"/>
        <v>525-2026000006</v>
      </c>
      <c r="B5019" s="6" t="str">
        <f t="shared" si="1325"/>
        <v>Lasa Int</v>
      </c>
      <c r="C5019" s="7">
        <v>46035</v>
      </c>
      <c r="D5019" s="7">
        <v>46077</v>
      </c>
      <c r="E5019" s="8">
        <v>22</v>
      </c>
      <c r="F5019" s="6" t="str">
        <f t="shared" si="1322"/>
        <v>PURE</v>
      </c>
      <c r="G5019" s="6" t="str">
        <f t="shared" si="1323"/>
        <v>F100021455000000</v>
      </c>
      <c r="H5019" s="6" t="str">
        <f t="shared" si="1324"/>
        <v>FA 214 - PURE - 550</v>
      </c>
      <c r="I5019" s="6" t="str">
        <f>"2596"</f>
        <v>2596</v>
      </c>
      <c r="J5019" s="6" t="str">
        <f>"VERDE 2596"</f>
        <v>VERDE 2596</v>
      </c>
      <c r="K5019" s="6" t="str">
        <f>"1024"</f>
        <v>1024</v>
      </c>
      <c r="L5019" s="6" t="str">
        <f>"Toalhas"</f>
        <v>Toalhas</v>
      </c>
      <c r="M5019" s="6" t="str">
        <f>"50x100"</f>
        <v>50x100</v>
      </c>
      <c r="N5019" s="6" t="str">
        <f>"5602972724479"</f>
        <v>5602972724479</v>
      </c>
      <c r="O5019" s="8">
        <v>480</v>
      </c>
      <c r="P5019" s="7">
        <v>46035</v>
      </c>
      <c r="R5019" s="8">
        <v>0</v>
      </c>
      <c r="S5019" s="7">
        <v>46038</v>
      </c>
      <c r="U5019" s="8">
        <v>480</v>
      </c>
      <c r="V5019" s="7">
        <v>46056</v>
      </c>
      <c r="X5019" s="8">
        <v>0</v>
      </c>
      <c r="Z5019" s="8">
        <v>0</v>
      </c>
      <c r="AA5019" s="7">
        <v>46072</v>
      </c>
      <c r="AC5019" s="8">
        <v>0</v>
      </c>
      <c r="AE5019" s="7">
        <v>46077</v>
      </c>
      <c r="AF5019" s="8">
        <v>0</v>
      </c>
      <c r="AH5019" s="7">
        <v>46077</v>
      </c>
      <c r="AN5019" s="8">
        <v>0</v>
      </c>
      <c r="AO5019" s="8">
        <v>480</v>
      </c>
    </row>
    <row r="5020" spans="1:41" x14ac:dyDescent="0.25">
      <c r="A5020" s="6" t="str">
        <f t="shared" si="1321"/>
        <v>525-2026000006</v>
      </c>
      <c r="B5020" s="6" t="str">
        <f t="shared" si="1325"/>
        <v>Lasa Int</v>
      </c>
      <c r="C5020" s="7">
        <v>46035</v>
      </c>
      <c r="D5020" s="7">
        <v>46077</v>
      </c>
      <c r="E5020" s="8">
        <v>23</v>
      </c>
      <c r="F5020" s="6" t="str">
        <f t="shared" si="1322"/>
        <v>PURE</v>
      </c>
      <c r="G5020" s="6" t="str">
        <f t="shared" si="1323"/>
        <v>F100021455000000</v>
      </c>
      <c r="H5020" s="6" t="str">
        <f t="shared" si="1324"/>
        <v>FA 214 - PURE - 550</v>
      </c>
      <c r="I5020" s="6" t="str">
        <f>"2596"</f>
        <v>2596</v>
      </c>
      <c r="J5020" s="6" t="str">
        <f>"VERDE 2596"</f>
        <v>VERDE 2596</v>
      </c>
      <c r="K5020" s="6" t="str">
        <f>"1535"</f>
        <v>1535</v>
      </c>
      <c r="L5020" s="6" t="str">
        <f>"Toalhões"</f>
        <v>Toalhões</v>
      </c>
      <c r="M5020" s="6" t="str">
        <f>"70x140"</f>
        <v>70x140</v>
      </c>
      <c r="N5020" s="6" t="str">
        <f>"5602972724486"</f>
        <v>5602972724486</v>
      </c>
      <c r="O5020" s="8">
        <v>360</v>
      </c>
      <c r="P5020" s="7">
        <v>46035</v>
      </c>
      <c r="R5020" s="8">
        <v>0</v>
      </c>
      <c r="S5020" s="7">
        <v>46038</v>
      </c>
      <c r="U5020" s="8">
        <v>360</v>
      </c>
      <c r="V5020" s="7">
        <v>46056</v>
      </c>
      <c r="X5020" s="8">
        <v>0</v>
      </c>
      <c r="Z5020" s="8">
        <v>0</v>
      </c>
      <c r="AA5020" s="7">
        <v>46072</v>
      </c>
      <c r="AC5020" s="8">
        <v>0</v>
      </c>
      <c r="AE5020" s="7">
        <v>46077</v>
      </c>
      <c r="AF5020" s="8">
        <v>0</v>
      </c>
      <c r="AH5020" s="7">
        <v>46077</v>
      </c>
      <c r="AN5020" s="8">
        <v>0</v>
      </c>
      <c r="AO5020" s="8">
        <v>360</v>
      </c>
    </row>
    <row r="5021" spans="1:41" x14ac:dyDescent="0.25">
      <c r="A5021" s="6" t="str">
        <f t="shared" si="1321"/>
        <v>525-2026000006</v>
      </c>
      <c r="B5021" s="6" t="str">
        <f t="shared" si="1325"/>
        <v>Lasa Int</v>
      </c>
      <c r="C5021" s="7">
        <v>46035</v>
      </c>
      <c r="D5021" s="7">
        <v>46077</v>
      </c>
      <c r="E5021" s="8">
        <v>24</v>
      </c>
      <c r="F5021" s="6" t="str">
        <f t="shared" si="1322"/>
        <v>PURE</v>
      </c>
      <c r="G5021" s="6" t="str">
        <f t="shared" si="1323"/>
        <v>F100021455000000</v>
      </c>
      <c r="H5021" s="6" t="str">
        <f t="shared" si="1324"/>
        <v>FA 214 - PURE - 550</v>
      </c>
      <c r="I5021" s="6" t="str">
        <f>"2596"</f>
        <v>2596</v>
      </c>
      <c r="J5021" s="6" t="str">
        <f>"VERDE 2596"</f>
        <v>VERDE 2596</v>
      </c>
      <c r="K5021" s="6" t="str">
        <f>"2020"</f>
        <v>2020</v>
      </c>
      <c r="L5021" s="6" t="str">
        <f>"Lençóis"</f>
        <v>Lençóis</v>
      </c>
      <c r="M5021" s="6" t="str">
        <f>"100x150"</f>
        <v>100x150</v>
      </c>
      <c r="N5021" s="6" t="str">
        <f>"5602972724493"</f>
        <v>5602972724493</v>
      </c>
      <c r="O5021" s="8">
        <v>160</v>
      </c>
      <c r="P5021" s="7">
        <v>46035</v>
      </c>
      <c r="R5021" s="8">
        <v>0</v>
      </c>
      <c r="S5021" s="7">
        <v>46038</v>
      </c>
      <c r="U5021" s="8">
        <v>160</v>
      </c>
      <c r="V5021" s="7">
        <v>46056</v>
      </c>
      <c r="X5021" s="8">
        <v>0</v>
      </c>
      <c r="Z5021" s="8">
        <v>0</v>
      </c>
      <c r="AA5021" s="7">
        <v>46072</v>
      </c>
      <c r="AC5021" s="8">
        <v>0</v>
      </c>
      <c r="AE5021" s="7">
        <v>46077</v>
      </c>
      <c r="AF5021" s="8">
        <v>0</v>
      </c>
      <c r="AH5021" s="7">
        <v>46077</v>
      </c>
      <c r="AN5021" s="8">
        <v>0</v>
      </c>
      <c r="AO5021" s="8">
        <v>160</v>
      </c>
    </row>
    <row r="5022" spans="1:41" x14ac:dyDescent="0.25">
      <c r="A5022" s="6" t="str">
        <f t="shared" si="1321"/>
        <v>525-2026000006</v>
      </c>
      <c r="B5022" s="6" t="str">
        <f t="shared" si="1325"/>
        <v>Lasa Int</v>
      </c>
      <c r="C5022" s="7">
        <v>46035</v>
      </c>
      <c r="D5022" s="7">
        <v>46077</v>
      </c>
      <c r="E5022" s="8">
        <v>25</v>
      </c>
      <c r="F5022" s="6" t="str">
        <f t="shared" si="1322"/>
        <v>PURE</v>
      </c>
      <c r="G5022" s="6" t="str">
        <f t="shared" si="1323"/>
        <v>F100021455000000</v>
      </c>
      <c r="H5022" s="6" t="str">
        <f t="shared" si="1324"/>
        <v>FA 214 - PURE - 550</v>
      </c>
      <c r="I5022" s="6" t="str">
        <f>"2610"</f>
        <v>2610</v>
      </c>
      <c r="J5022" s="6" t="str">
        <f>"BEGE 2610"</f>
        <v>BEGE 2610</v>
      </c>
      <c r="K5022" s="6" t="str">
        <f>"0112"</f>
        <v>0112</v>
      </c>
      <c r="L5022" s="6" t="str">
        <f>"Luvas"</f>
        <v>Luvas</v>
      </c>
      <c r="M5022" s="6" t="str">
        <f>"16x21"</f>
        <v>16x21</v>
      </c>
      <c r="N5022" s="6" t="str">
        <f>"5602972836332"</f>
        <v>5602972836332</v>
      </c>
      <c r="O5022" s="8">
        <v>300</v>
      </c>
      <c r="P5022" s="7">
        <v>46035</v>
      </c>
      <c r="R5022" s="8">
        <v>0</v>
      </c>
      <c r="S5022" s="7">
        <v>46038</v>
      </c>
      <c r="U5022" s="8">
        <v>300</v>
      </c>
      <c r="V5022" s="7">
        <v>46056</v>
      </c>
      <c r="X5022" s="8">
        <v>0</v>
      </c>
      <c r="Z5022" s="8">
        <v>300</v>
      </c>
      <c r="AA5022" s="7">
        <v>46072</v>
      </c>
      <c r="AC5022" s="8">
        <v>0</v>
      </c>
      <c r="AE5022" s="7">
        <v>46077</v>
      </c>
      <c r="AF5022" s="8">
        <v>0</v>
      </c>
      <c r="AH5022" s="7">
        <v>46077</v>
      </c>
      <c r="AN5022" s="8">
        <v>0</v>
      </c>
      <c r="AO5022" s="8">
        <v>300</v>
      </c>
    </row>
    <row r="5023" spans="1:41" x14ac:dyDescent="0.25">
      <c r="A5023" s="6" t="str">
        <f t="shared" si="1321"/>
        <v>525-2026000006</v>
      </c>
      <c r="B5023" s="6" t="str">
        <f t="shared" si="1325"/>
        <v>Lasa Int</v>
      </c>
      <c r="C5023" s="7">
        <v>46035</v>
      </c>
      <c r="D5023" s="7">
        <v>46077</v>
      </c>
      <c r="E5023" s="8">
        <v>26</v>
      </c>
      <c r="F5023" s="6" t="str">
        <f t="shared" si="1322"/>
        <v>PURE</v>
      </c>
      <c r="G5023" s="6" t="str">
        <f t="shared" si="1323"/>
        <v>F100021455000000</v>
      </c>
      <c r="H5023" s="6" t="str">
        <f t="shared" si="1324"/>
        <v>FA 214 - PURE - 550</v>
      </c>
      <c r="I5023" s="6" t="str">
        <f>"2610"</f>
        <v>2610</v>
      </c>
      <c r="J5023" s="6" t="str">
        <f>"BEGE 2610"</f>
        <v>BEGE 2610</v>
      </c>
      <c r="K5023" s="6" t="str">
        <f>"0530"</f>
        <v>0530</v>
      </c>
      <c r="L5023" s="6" t="str">
        <f>"Toalhetes"</f>
        <v>Toalhetes</v>
      </c>
      <c r="M5023" s="6" t="str">
        <f>"33x50"</f>
        <v>33x50</v>
      </c>
      <c r="N5023" s="6" t="str">
        <f>"5602972836349"</f>
        <v>5602972836349</v>
      </c>
      <c r="O5023" s="8">
        <v>450</v>
      </c>
      <c r="P5023" s="7">
        <v>46035</v>
      </c>
      <c r="R5023" s="8">
        <v>0</v>
      </c>
      <c r="S5023" s="7">
        <v>46038</v>
      </c>
      <c r="U5023" s="8">
        <v>450</v>
      </c>
      <c r="V5023" s="7">
        <v>46056</v>
      </c>
      <c r="X5023" s="8">
        <v>0</v>
      </c>
      <c r="Z5023" s="8">
        <v>450</v>
      </c>
      <c r="AA5023" s="7">
        <v>46072</v>
      </c>
      <c r="AC5023" s="8">
        <v>0</v>
      </c>
      <c r="AE5023" s="7">
        <v>46077</v>
      </c>
      <c r="AF5023" s="8">
        <v>0</v>
      </c>
      <c r="AH5023" s="7">
        <v>46077</v>
      </c>
      <c r="AN5023" s="8">
        <v>0</v>
      </c>
      <c r="AO5023" s="8">
        <v>450</v>
      </c>
    </row>
    <row r="5024" spans="1:41" x14ac:dyDescent="0.25">
      <c r="A5024" s="6" t="str">
        <f t="shared" si="1321"/>
        <v>525-2026000006</v>
      </c>
      <c r="B5024" s="6" t="str">
        <f t="shared" si="1325"/>
        <v>Lasa Int</v>
      </c>
      <c r="C5024" s="7">
        <v>46035</v>
      </c>
      <c r="D5024" s="7">
        <v>46077</v>
      </c>
      <c r="E5024" s="8">
        <v>27</v>
      </c>
      <c r="F5024" s="6" t="str">
        <f t="shared" si="1322"/>
        <v>PURE</v>
      </c>
      <c r="G5024" s="6" t="str">
        <f t="shared" si="1323"/>
        <v>F100021455000000</v>
      </c>
      <c r="H5024" s="6" t="str">
        <f t="shared" si="1324"/>
        <v>FA 214 - PURE - 550</v>
      </c>
      <c r="I5024" s="6" t="str">
        <f>"2610"</f>
        <v>2610</v>
      </c>
      <c r="J5024" s="6" t="str">
        <f>"BEGE 2610"</f>
        <v>BEGE 2610</v>
      </c>
      <c r="K5024" s="6" t="str">
        <f>"1024"</f>
        <v>1024</v>
      </c>
      <c r="L5024" s="6" t="str">
        <f>"Toalhas"</f>
        <v>Toalhas</v>
      </c>
      <c r="M5024" s="6" t="str">
        <f>"50x100"</f>
        <v>50x100</v>
      </c>
      <c r="N5024" s="6" t="str">
        <f>"5602972836356"</f>
        <v>5602972836356</v>
      </c>
      <c r="O5024" s="8">
        <v>240</v>
      </c>
      <c r="P5024" s="7">
        <v>46035</v>
      </c>
      <c r="R5024" s="8">
        <v>0</v>
      </c>
      <c r="S5024" s="7">
        <v>46038</v>
      </c>
      <c r="U5024" s="8">
        <v>240</v>
      </c>
      <c r="V5024" s="7">
        <v>46056</v>
      </c>
      <c r="X5024" s="8">
        <v>0</v>
      </c>
      <c r="Z5024" s="8">
        <v>240</v>
      </c>
      <c r="AA5024" s="7">
        <v>46072</v>
      </c>
      <c r="AC5024" s="8">
        <v>0</v>
      </c>
      <c r="AE5024" s="7">
        <v>46077</v>
      </c>
      <c r="AF5024" s="8">
        <v>0</v>
      </c>
      <c r="AH5024" s="7">
        <v>46077</v>
      </c>
      <c r="AN5024" s="8">
        <v>0</v>
      </c>
      <c r="AO5024" s="8">
        <v>240</v>
      </c>
    </row>
    <row r="5025" spans="1:41" x14ac:dyDescent="0.25">
      <c r="A5025" s="6" t="str">
        <f t="shared" si="1321"/>
        <v>525-2026000006</v>
      </c>
      <c r="B5025" s="6" t="str">
        <f t="shared" si="1325"/>
        <v>Lasa Int</v>
      </c>
      <c r="C5025" s="7">
        <v>46035</v>
      </c>
      <c r="D5025" s="7">
        <v>46077</v>
      </c>
      <c r="E5025" s="8">
        <v>28</v>
      </c>
      <c r="F5025" s="6" t="str">
        <f t="shared" si="1322"/>
        <v>PURE</v>
      </c>
      <c r="G5025" s="6" t="str">
        <f t="shared" si="1323"/>
        <v>F100021455000000</v>
      </c>
      <c r="H5025" s="6" t="str">
        <f t="shared" si="1324"/>
        <v>FA 214 - PURE - 550</v>
      </c>
      <c r="I5025" s="6" t="str">
        <f>"2610"</f>
        <v>2610</v>
      </c>
      <c r="J5025" s="6" t="str">
        <f>"BEGE 2610"</f>
        <v>BEGE 2610</v>
      </c>
      <c r="K5025" s="6" t="str">
        <f>"1535"</f>
        <v>1535</v>
      </c>
      <c r="L5025" s="6" t="str">
        <f>"Toalhões"</f>
        <v>Toalhões</v>
      </c>
      <c r="M5025" s="6" t="str">
        <f>"70x140"</f>
        <v>70x140</v>
      </c>
      <c r="N5025" s="6" t="str">
        <f>"5602972836363"</f>
        <v>5602972836363</v>
      </c>
      <c r="O5025" s="8">
        <v>120</v>
      </c>
      <c r="P5025" s="7">
        <v>46035</v>
      </c>
      <c r="R5025" s="8">
        <v>0</v>
      </c>
      <c r="S5025" s="7">
        <v>46038</v>
      </c>
      <c r="U5025" s="8">
        <v>120</v>
      </c>
      <c r="V5025" s="7">
        <v>46056</v>
      </c>
      <c r="X5025" s="8">
        <v>0</v>
      </c>
      <c r="Z5025" s="8">
        <v>120</v>
      </c>
      <c r="AA5025" s="7">
        <v>46072</v>
      </c>
      <c r="AC5025" s="8">
        <v>0</v>
      </c>
      <c r="AE5025" s="7">
        <v>46077</v>
      </c>
      <c r="AF5025" s="8">
        <v>0</v>
      </c>
      <c r="AH5025" s="7">
        <v>46077</v>
      </c>
      <c r="AN5025" s="8">
        <v>0</v>
      </c>
      <c r="AO5025" s="8">
        <v>120</v>
      </c>
    </row>
    <row r="5026" spans="1:41" x14ac:dyDescent="0.25">
      <c r="A5026" s="6" t="str">
        <f t="shared" si="1321"/>
        <v>525-2026000006</v>
      </c>
      <c r="B5026" s="6" t="str">
        <f t="shared" si="1325"/>
        <v>Lasa Int</v>
      </c>
      <c r="C5026" s="7">
        <v>46035</v>
      </c>
      <c r="D5026" s="7">
        <v>46077</v>
      </c>
      <c r="E5026" s="8">
        <v>29</v>
      </c>
      <c r="F5026" s="6" t="str">
        <f t="shared" si="1322"/>
        <v>PURE</v>
      </c>
      <c r="G5026" s="6" t="str">
        <f t="shared" si="1323"/>
        <v>F100021455000000</v>
      </c>
      <c r="H5026" s="6" t="str">
        <f t="shared" si="1324"/>
        <v>FA 214 - PURE - 550</v>
      </c>
      <c r="I5026" s="6" t="str">
        <f>"2610"</f>
        <v>2610</v>
      </c>
      <c r="J5026" s="6" t="str">
        <f>"BEGE 2610"</f>
        <v>BEGE 2610</v>
      </c>
      <c r="K5026" s="6" t="str">
        <f>"2020"</f>
        <v>2020</v>
      </c>
      <c r="L5026" s="6" t="str">
        <f>"Lençóis"</f>
        <v>Lençóis</v>
      </c>
      <c r="M5026" s="6" t="str">
        <f>"100x150"</f>
        <v>100x150</v>
      </c>
      <c r="N5026" s="6" t="str">
        <f>"5602972836370"</f>
        <v>5602972836370</v>
      </c>
      <c r="O5026" s="8">
        <v>160</v>
      </c>
      <c r="P5026" s="7">
        <v>46035</v>
      </c>
      <c r="R5026" s="8">
        <v>0</v>
      </c>
      <c r="S5026" s="7">
        <v>46038</v>
      </c>
      <c r="U5026" s="8">
        <v>160</v>
      </c>
      <c r="V5026" s="7">
        <v>46056</v>
      </c>
      <c r="X5026" s="8">
        <v>0</v>
      </c>
      <c r="Z5026" s="8">
        <v>160</v>
      </c>
      <c r="AA5026" s="7">
        <v>46072</v>
      </c>
      <c r="AC5026" s="8">
        <v>0</v>
      </c>
      <c r="AE5026" s="7">
        <v>46077</v>
      </c>
      <c r="AF5026" s="8">
        <v>0</v>
      </c>
      <c r="AH5026" s="7">
        <v>46077</v>
      </c>
      <c r="AN5026" s="8">
        <v>0</v>
      </c>
      <c r="AO5026" s="8">
        <v>160</v>
      </c>
    </row>
    <row r="5027" spans="1:41" x14ac:dyDescent="0.25">
      <c r="A5027" s="6" t="str">
        <f t="shared" si="1321"/>
        <v>525-2026000006</v>
      </c>
      <c r="B5027" s="6" t="str">
        <f t="shared" si="1325"/>
        <v>Lasa Int</v>
      </c>
      <c r="C5027" s="7">
        <v>46035</v>
      </c>
      <c r="D5027" s="7">
        <v>46077</v>
      </c>
      <c r="E5027" s="8">
        <v>30</v>
      </c>
      <c r="F5027" s="6" t="str">
        <f t="shared" si="1322"/>
        <v>PURE</v>
      </c>
      <c r="G5027" s="6" t="str">
        <f t="shared" si="1323"/>
        <v>F100021455000000</v>
      </c>
      <c r="H5027" s="6" t="str">
        <f t="shared" si="1324"/>
        <v>FA 214 - PURE - 550</v>
      </c>
      <c r="I5027" s="6" t="str">
        <f>"2968"</f>
        <v>2968</v>
      </c>
      <c r="J5027" s="6" t="str">
        <f>"ROSA 2968"</f>
        <v>ROSA 2968</v>
      </c>
      <c r="K5027" s="6" t="str">
        <f>"0112"</f>
        <v>0112</v>
      </c>
      <c r="L5027" s="6" t="str">
        <f>"Luvas"</f>
        <v>Luvas</v>
      </c>
      <c r="M5027" s="6" t="str">
        <f>"16x21"</f>
        <v>16x21</v>
      </c>
      <c r="N5027" s="6" t="str">
        <f>"5602972878240"</f>
        <v>5602972878240</v>
      </c>
      <c r="O5027" s="8">
        <v>300</v>
      </c>
      <c r="P5027" s="7">
        <v>46035</v>
      </c>
      <c r="R5027" s="8">
        <v>0</v>
      </c>
      <c r="S5027" s="7">
        <v>46038</v>
      </c>
      <c r="U5027" s="8">
        <v>300</v>
      </c>
      <c r="V5027" s="7">
        <v>46056</v>
      </c>
      <c r="X5027" s="8">
        <v>0</v>
      </c>
      <c r="Z5027" s="8">
        <v>0</v>
      </c>
      <c r="AA5027" s="7">
        <v>46072</v>
      </c>
      <c r="AC5027" s="8">
        <v>0</v>
      </c>
      <c r="AE5027" s="7">
        <v>46077</v>
      </c>
      <c r="AF5027" s="8">
        <v>0</v>
      </c>
      <c r="AH5027" s="7">
        <v>46077</v>
      </c>
      <c r="AN5027" s="8">
        <v>0</v>
      </c>
      <c r="AO5027" s="8">
        <v>300</v>
      </c>
    </row>
    <row r="5028" spans="1:41" x14ac:dyDescent="0.25">
      <c r="A5028" s="6" t="str">
        <f t="shared" si="1321"/>
        <v>525-2026000006</v>
      </c>
      <c r="B5028" s="6" t="str">
        <f t="shared" si="1325"/>
        <v>Lasa Int</v>
      </c>
      <c r="C5028" s="7">
        <v>46035</v>
      </c>
      <c r="D5028" s="7">
        <v>46077</v>
      </c>
      <c r="E5028" s="8">
        <v>31</v>
      </c>
      <c r="F5028" s="6" t="str">
        <f t="shared" si="1322"/>
        <v>PURE</v>
      </c>
      <c r="G5028" s="6" t="str">
        <f t="shared" si="1323"/>
        <v>F100021455000000</v>
      </c>
      <c r="H5028" s="6" t="str">
        <f t="shared" si="1324"/>
        <v>FA 214 - PURE - 550</v>
      </c>
      <c r="I5028" s="6" t="str">
        <f>"2968"</f>
        <v>2968</v>
      </c>
      <c r="J5028" s="6" t="str">
        <f>"ROSA 2968"</f>
        <v>ROSA 2968</v>
      </c>
      <c r="K5028" s="6" t="str">
        <f>"1024"</f>
        <v>1024</v>
      </c>
      <c r="L5028" s="6" t="str">
        <f>"Toalhas"</f>
        <v>Toalhas</v>
      </c>
      <c r="M5028" s="6" t="str">
        <f>"50x100"</f>
        <v>50x100</v>
      </c>
      <c r="N5028" s="6" t="str">
        <f>"5602972878264"</f>
        <v>5602972878264</v>
      </c>
      <c r="O5028" s="8">
        <v>240</v>
      </c>
      <c r="P5028" s="7">
        <v>46035</v>
      </c>
      <c r="R5028" s="8">
        <v>0</v>
      </c>
      <c r="S5028" s="7">
        <v>46038</v>
      </c>
      <c r="U5028" s="8">
        <v>240</v>
      </c>
      <c r="V5028" s="7">
        <v>46056</v>
      </c>
      <c r="X5028" s="8">
        <v>0</v>
      </c>
      <c r="Z5028" s="8">
        <v>0</v>
      </c>
      <c r="AA5028" s="7">
        <v>46072</v>
      </c>
      <c r="AC5028" s="8">
        <v>0</v>
      </c>
      <c r="AE5028" s="7">
        <v>46077</v>
      </c>
      <c r="AF5028" s="8">
        <v>0</v>
      </c>
      <c r="AH5028" s="7">
        <v>46077</v>
      </c>
      <c r="AN5028" s="8">
        <v>0</v>
      </c>
      <c r="AO5028" s="8">
        <v>240</v>
      </c>
    </row>
    <row r="5029" spans="1:41" x14ac:dyDescent="0.25">
      <c r="A5029" s="6" t="str">
        <f t="shared" si="1321"/>
        <v>525-2026000006</v>
      </c>
      <c r="B5029" s="6" t="str">
        <f t="shared" si="1325"/>
        <v>Lasa Int</v>
      </c>
      <c r="C5029" s="7">
        <v>46035</v>
      </c>
      <c r="D5029" s="7">
        <v>46077</v>
      </c>
      <c r="E5029" s="8">
        <v>32</v>
      </c>
      <c r="F5029" s="6" t="str">
        <f t="shared" si="1322"/>
        <v>PURE</v>
      </c>
      <c r="G5029" s="6" t="str">
        <f t="shared" si="1323"/>
        <v>F100021455000000</v>
      </c>
      <c r="H5029" s="6" t="str">
        <f t="shared" si="1324"/>
        <v>FA 214 - PURE - 550</v>
      </c>
      <c r="I5029" s="6" t="str">
        <f>"2968"</f>
        <v>2968</v>
      </c>
      <c r="J5029" s="6" t="str">
        <f>"ROSA 2968"</f>
        <v>ROSA 2968</v>
      </c>
      <c r="K5029" s="6" t="str">
        <f>"1535"</f>
        <v>1535</v>
      </c>
      <c r="L5029" s="6" t="str">
        <f>"Toalhões"</f>
        <v>Toalhões</v>
      </c>
      <c r="M5029" s="6" t="str">
        <f>"70x140"</f>
        <v>70x140</v>
      </c>
      <c r="N5029" s="6" t="str">
        <f>"5602972878271"</f>
        <v>5602972878271</v>
      </c>
      <c r="O5029" s="8">
        <v>240</v>
      </c>
      <c r="P5029" s="7">
        <v>46035</v>
      </c>
      <c r="R5029" s="8">
        <v>0</v>
      </c>
      <c r="S5029" s="7">
        <v>46038</v>
      </c>
      <c r="U5029" s="8">
        <v>240</v>
      </c>
      <c r="V5029" s="7">
        <v>46056</v>
      </c>
      <c r="X5029" s="8">
        <v>0</v>
      </c>
      <c r="Z5029" s="8">
        <v>0</v>
      </c>
      <c r="AA5029" s="7">
        <v>46072</v>
      </c>
      <c r="AC5029" s="8">
        <v>0</v>
      </c>
      <c r="AE5029" s="7">
        <v>46077</v>
      </c>
      <c r="AF5029" s="8">
        <v>0</v>
      </c>
      <c r="AH5029" s="7">
        <v>46077</v>
      </c>
      <c r="AN5029" s="8">
        <v>0</v>
      </c>
      <c r="AO5029" s="8">
        <v>240</v>
      </c>
    </row>
    <row r="5030" spans="1:41" x14ac:dyDescent="0.25">
      <c r="A5030" s="6" t="str">
        <f t="shared" ref="A5030:A5059" si="1326">"525-2026000006"</f>
        <v>525-2026000006</v>
      </c>
      <c r="B5030" s="6" t="str">
        <f t="shared" si="1325"/>
        <v>Lasa Int</v>
      </c>
      <c r="C5030" s="7">
        <v>46035</v>
      </c>
      <c r="D5030" s="7">
        <v>46077</v>
      </c>
      <c r="E5030" s="8">
        <v>33</v>
      </c>
      <c r="F5030" s="6" t="str">
        <f t="shared" ref="F5030:F5059" si="1327">"PURE"</f>
        <v>PURE</v>
      </c>
      <c r="G5030" s="6" t="str">
        <f t="shared" ref="G5030:G5054" si="1328">"F100021455000000"</f>
        <v>F100021455000000</v>
      </c>
      <c r="H5030" s="6" t="str">
        <f t="shared" ref="H5030:H5054" si="1329">"FA 214 - PURE - 550"</f>
        <v>FA 214 - PURE - 550</v>
      </c>
      <c r="I5030" s="6" t="str">
        <f>"2968"</f>
        <v>2968</v>
      </c>
      <c r="J5030" s="6" t="str">
        <f>"ROSA 2968"</f>
        <v>ROSA 2968</v>
      </c>
      <c r="K5030" s="6" t="str">
        <f>"2020"</f>
        <v>2020</v>
      </c>
      <c r="L5030" s="6" t="str">
        <f>"Lençóis"</f>
        <v>Lençóis</v>
      </c>
      <c r="M5030" s="6" t="str">
        <f>"100x150"</f>
        <v>100x150</v>
      </c>
      <c r="N5030" s="6" t="str">
        <f>"5602972878288"</f>
        <v>5602972878288</v>
      </c>
      <c r="O5030" s="8">
        <v>160</v>
      </c>
      <c r="P5030" s="7">
        <v>46035</v>
      </c>
      <c r="R5030" s="8">
        <v>0</v>
      </c>
      <c r="S5030" s="7">
        <v>46038</v>
      </c>
      <c r="U5030" s="8">
        <v>160</v>
      </c>
      <c r="V5030" s="7">
        <v>46056</v>
      </c>
      <c r="X5030" s="8">
        <v>0</v>
      </c>
      <c r="Z5030" s="8">
        <v>0</v>
      </c>
      <c r="AA5030" s="7">
        <v>46072</v>
      </c>
      <c r="AC5030" s="8">
        <v>0</v>
      </c>
      <c r="AE5030" s="7">
        <v>46077</v>
      </c>
      <c r="AF5030" s="8">
        <v>0</v>
      </c>
      <c r="AH5030" s="7">
        <v>46077</v>
      </c>
      <c r="AN5030" s="8">
        <v>0</v>
      </c>
      <c r="AO5030" s="8">
        <v>160</v>
      </c>
    </row>
    <row r="5031" spans="1:41" x14ac:dyDescent="0.25">
      <c r="A5031" s="6" t="str">
        <f t="shared" si="1326"/>
        <v>525-2026000006</v>
      </c>
      <c r="B5031" s="6" t="str">
        <f t="shared" ref="B5031:B5063" si="1330">"Lasa Int"</f>
        <v>Lasa Int</v>
      </c>
      <c r="C5031" s="7">
        <v>46035</v>
      </c>
      <c r="D5031" s="7">
        <v>46077</v>
      </c>
      <c r="E5031" s="8">
        <v>34</v>
      </c>
      <c r="F5031" s="6" t="str">
        <f t="shared" si="1327"/>
        <v>PURE</v>
      </c>
      <c r="G5031" s="6" t="str">
        <f t="shared" si="1328"/>
        <v>F100021455000000</v>
      </c>
      <c r="H5031" s="6" t="str">
        <f t="shared" si="1329"/>
        <v>FA 214 - PURE - 550</v>
      </c>
      <c r="I5031" s="6" t="str">
        <f>"3073"</f>
        <v>3073</v>
      </c>
      <c r="J5031" s="6" t="str">
        <f>"CINZA 3073"</f>
        <v>CINZA 3073</v>
      </c>
      <c r="K5031" s="6" t="str">
        <f>"0530"</f>
        <v>0530</v>
      </c>
      <c r="L5031" s="6" t="str">
        <f>"Toalhetes"</f>
        <v>Toalhetes</v>
      </c>
      <c r="M5031" s="6" t="str">
        <f>"33x50"</f>
        <v>33x50</v>
      </c>
      <c r="N5031" s="6" t="str">
        <f>"5602972877885"</f>
        <v>5602972877885</v>
      </c>
      <c r="O5031" s="8">
        <v>450</v>
      </c>
      <c r="P5031" s="7">
        <v>46035</v>
      </c>
      <c r="R5031" s="8">
        <v>0</v>
      </c>
      <c r="S5031" s="7">
        <v>46038</v>
      </c>
      <c r="U5031" s="8">
        <v>450</v>
      </c>
      <c r="V5031" s="7">
        <v>46056</v>
      </c>
      <c r="X5031" s="8">
        <v>0</v>
      </c>
      <c r="Z5031" s="8">
        <v>0</v>
      </c>
      <c r="AA5031" s="7">
        <v>46072</v>
      </c>
      <c r="AC5031" s="8">
        <v>0</v>
      </c>
      <c r="AE5031" s="7">
        <v>46077</v>
      </c>
      <c r="AF5031" s="8">
        <v>0</v>
      </c>
      <c r="AH5031" s="7">
        <v>46077</v>
      </c>
      <c r="AN5031" s="8">
        <v>0</v>
      </c>
      <c r="AO5031" s="8">
        <v>450</v>
      </c>
    </row>
    <row r="5032" spans="1:41" x14ac:dyDescent="0.25">
      <c r="A5032" s="6" t="str">
        <f t="shared" si="1326"/>
        <v>525-2026000006</v>
      </c>
      <c r="B5032" s="6" t="str">
        <f t="shared" si="1330"/>
        <v>Lasa Int</v>
      </c>
      <c r="C5032" s="7">
        <v>46035</v>
      </c>
      <c r="D5032" s="7">
        <v>46077</v>
      </c>
      <c r="E5032" s="8">
        <v>35</v>
      </c>
      <c r="F5032" s="6" t="str">
        <f t="shared" si="1327"/>
        <v>PURE</v>
      </c>
      <c r="G5032" s="6" t="str">
        <f t="shared" si="1328"/>
        <v>F100021455000000</v>
      </c>
      <c r="H5032" s="6" t="str">
        <f t="shared" si="1329"/>
        <v>FA 214 - PURE - 550</v>
      </c>
      <c r="I5032" s="6" t="str">
        <f>"3073"</f>
        <v>3073</v>
      </c>
      <c r="J5032" s="6" t="str">
        <f>"CINZA 3073"</f>
        <v>CINZA 3073</v>
      </c>
      <c r="K5032" s="6" t="str">
        <f>"1024"</f>
        <v>1024</v>
      </c>
      <c r="L5032" s="6" t="str">
        <f>"Toalhas"</f>
        <v>Toalhas</v>
      </c>
      <c r="M5032" s="6" t="str">
        <f>"50x100"</f>
        <v>50x100</v>
      </c>
      <c r="N5032" s="6" t="str">
        <f>"5602972877892"</f>
        <v>5602972877892</v>
      </c>
      <c r="O5032" s="8">
        <v>480</v>
      </c>
      <c r="P5032" s="7">
        <v>46035</v>
      </c>
      <c r="R5032" s="8">
        <v>0</v>
      </c>
      <c r="S5032" s="7">
        <v>46038</v>
      </c>
      <c r="U5032" s="8">
        <v>480</v>
      </c>
      <c r="V5032" s="7">
        <v>46056</v>
      </c>
      <c r="X5032" s="8">
        <v>0</v>
      </c>
      <c r="Z5032" s="8">
        <v>0</v>
      </c>
      <c r="AA5032" s="7">
        <v>46072</v>
      </c>
      <c r="AC5032" s="8">
        <v>0</v>
      </c>
      <c r="AE5032" s="7">
        <v>46077</v>
      </c>
      <c r="AF5032" s="8">
        <v>0</v>
      </c>
      <c r="AH5032" s="7">
        <v>46077</v>
      </c>
      <c r="AN5032" s="8">
        <v>0</v>
      </c>
      <c r="AO5032" s="8">
        <v>480</v>
      </c>
    </row>
    <row r="5033" spans="1:41" x14ac:dyDescent="0.25">
      <c r="A5033" s="6" t="str">
        <f t="shared" si="1326"/>
        <v>525-2026000006</v>
      </c>
      <c r="B5033" s="6" t="str">
        <f t="shared" si="1330"/>
        <v>Lasa Int</v>
      </c>
      <c r="C5033" s="7">
        <v>46035</v>
      </c>
      <c r="D5033" s="7">
        <v>46077</v>
      </c>
      <c r="E5033" s="8">
        <v>36</v>
      </c>
      <c r="F5033" s="6" t="str">
        <f t="shared" si="1327"/>
        <v>PURE</v>
      </c>
      <c r="G5033" s="6" t="str">
        <f t="shared" si="1328"/>
        <v>F100021455000000</v>
      </c>
      <c r="H5033" s="6" t="str">
        <f t="shared" si="1329"/>
        <v>FA 214 - PURE - 550</v>
      </c>
      <c r="I5033" s="6" t="str">
        <f>"3073"</f>
        <v>3073</v>
      </c>
      <c r="J5033" s="6" t="str">
        <f>"CINZA 3073"</f>
        <v>CINZA 3073</v>
      </c>
      <c r="K5033" s="6" t="str">
        <f>"1535"</f>
        <v>1535</v>
      </c>
      <c r="L5033" s="6" t="str">
        <f>"Toalhões"</f>
        <v>Toalhões</v>
      </c>
      <c r="M5033" s="6" t="str">
        <f>"70x140"</f>
        <v>70x140</v>
      </c>
      <c r="N5033" s="6" t="str">
        <f>"5602972877908"</f>
        <v>5602972877908</v>
      </c>
      <c r="O5033" s="8">
        <v>360</v>
      </c>
      <c r="P5033" s="7">
        <v>46035</v>
      </c>
      <c r="R5033" s="8">
        <v>0</v>
      </c>
      <c r="S5033" s="7">
        <v>46038</v>
      </c>
      <c r="U5033" s="8">
        <v>360</v>
      </c>
      <c r="V5033" s="7">
        <v>46056</v>
      </c>
      <c r="X5033" s="8">
        <v>0</v>
      </c>
      <c r="Z5033" s="8">
        <v>0</v>
      </c>
      <c r="AA5033" s="7">
        <v>46072</v>
      </c>
      <c r="AC5033" s="8">
        <v>0</v>
      </c>
      <c r="AE5033" s="7">
        <v>46077</v>
      </c>
      <c r="AF5033" s="8">
        <v>0</v>
      </c>
      <c r="AH5033" s="7">
        <v>46077</v>
      </c>
      <c r="AN5033" s="8">
        <v>0</v>
      </c>
      <c r="AO5033" s="8">
        <v>360</v>
      </c>
    </row>
    <row r="5034" spans="1:41" x14ac:dyDescent="0.25">
      <c r="A5034" s="6" t="str">
        <f t="shared" si="1326"/>
        <v>525-2026000006</v>
      </c>
      <c r="B5034" s="6" t="str">
        <f t="shared" si="1330"/>
        <v>Lasa Int</v>
      </c>
      <c r="C5034" s="7">
        <v>46035</v>
      </c>
      <c r="D5034" s="7">
        <v>46077</v>
      </c>
      <c r="E5034" s="8">
        <v>37</v>
      </c>
      <c r="F5034" s="6" t="str">
        <f t="shared" si="1327"/>
        <v>PURE</v>
      </c>
      <c r="G5034" s="6" t="str">
        <f t="shared" si="1328"/>
        <v>F100021455000000</v>
      </c>
      <c r="H5034" s="6" t="str">
        <f t="shared" si="1329"/>
        <v>FA 214 - PURE - 550</v>
      </c>
      <c r="I5034" s="6" t="str">
        <f>"3073"</f>
        <v>3073</v>
      </c>
      <c r="J5034" s="6" t="str">
        <f>"CINZA 3073"</f>
        <v>CINZA 3073</v>
      </c>
      <c r="K5034" s="6" t="str">
        <f>"2020"</f>
        <v>2020</v>
      </c>
      <c r="L5034" s="6" t="str">
        <f>"Lençóis"</f>
        <v>Lençóis</v>
      </c>
      <c r="M5034" s="6" t="str">
        <f>"100x150"</f>
        <v>100x150</v>
      </c>
      <c r="N5034" s="6" t="str">
        <f>"5602972877915"</f>
        <v>5602972877915</v>
      </c>
      <c r="O5034" s="8">
        <v>160</v>
      </c>
      <c r="P5034" s="7">
        <v>46035</v>
      </c>
      <c r="R5034" s="8">
        <v>0</v>
      </c>
      <c r="S5034" s="7">
        <v>46038</v>
      </c>
      <c r="U5034" s="8">
        <v>160</v>
      </c>
      <c r="V5034" s="7">
        <v>46056</v>
      </c>
      <c r="X5034" s="8">
        <v>0</v>
      </c>
      <c r="Z5034" s="8">
        <v>0</v>
      </c>
      <c r="AA5034" s="7">
        <v>46072</v>
      </c>
      <c r="AC5034" s="8">
        <v>0</v>
      </c>
      <c r="AE5034" s="7">
        <v>46077</v>
      </c>
      <c r="AF5034" s="8">
        <v>0</v>
      </c>
      <c r="AH5034" s="7">
        <v>46077</v>
      </c>
      <c r="AN5034" s="8">
        <v>0</v>
      </c>
      <c r="AO5034" s="8">
        <v>160</v>
      </c>
    </row>
    <row r="5035" spans="1:41" x14ac:dyDescent="0.25">
      <c r="A5035" s="6" t="str">
        <f t="shared" si="1326"/>
        <v>525-2026000006</v>
      </c>
      <c r="B5035" s="6" t="str">
        <f t="shared" si="1330"/>
        <v>Lasa Int</v>
      </c>
      <c r="C5035" s="7">
        <v>46035</v>
      </c>
      <c r="D5035" s="7">
        <v>46077</v>
      </c>
      <c r="E5035" s="8">
        <v>38</v>
      </c>
      <c r="F5035" s="6" t="str">
        <f t="shared" si="1327"/>
        <v>PURE</v>
      </c>
      <c r="G5035" s="6" t="str">
        <f t="shared" si="1328"/>
        <v>F100021455000000</v>
      </c>
      <c r="H5035" s="6" t="str">
        <f t="shared" si="1329"/>
        <v>FA 214 - PURE - 550</v>
      </c>
      <c r="I5035" s="6" t="str">
        <f>"3233"</f>
        <v>3233</v>
      </c>
      <c r="J5035" s="6" t="str">
        <f>"LILAS 3233"</f>
        <v>LILAS 3233</v>
      </c>
      <c r="K5035" s="6" t="str">
        <f>"0112"</f>
        <v>0112</v>
      </c>
      <c r="L5035" s="6" t="str">
        <f>"Luvas"</f>
        <v>Luvas</v>
      </c>
      <c r="M5035" s="6" t="str">
        <f>"16x21"</f>
        <v>16x21</v>
      </c>
      <c r="N5035" s="6" t="str">
        <f>"5602972895179"</f>
        <v>5602972895179</v>
      </c>
      <c r="O5035" s="8">
        <v>300</v>
      </c>
      <c r="P5035" s="7">
        <v>46035</v>
      </c>
      <c r="R5035" s="8">
        <v>0</v>
      </c>
      <c r="S5035" s="7">
        <v>46038</v>
      </c>
      <c r="U5035" s="8">
        <v>300</v>
      </c>
      <c r="V5035" s="7">
        <v>46056</v>
      </c>
      <c r="X5035" s="8">
        <v>0</v>
      </c>
      <c r="Z5035" s="8">
        <v>300</v>
      </c>
      <c r="AA5035" s="7">
        <v>46072</v>
      </c>
      <c r="AC5035" s="8">
        <v>0</v>
      </c>
      <c r="AE5035" s="7">
        <v>46077</v>
      </c>
      <c r="AF5035" s="8">
        <v>0</v>
      </c>
      <c r="AH5035" s="7">
        <v>46077</v>
      </c>
      <c r="AN5035" s="8">
        <v>0</v>
      </c>
      <c r="AO5035" s="8">
        <v>300</v>
      </c>
    </row>
    <row r="5036" spans="1:41" x14ac:dyDescent="0.25">
      <c r="A5036" s="6" t="str">
        <f t="shared" si="1326"/>
        <v>525-2026000006</v>
      </c>
      <c r="B5036" s="6" t="str">
        <f t="shared" si="1330"/>
        <v>Lasa Int</v>
      </c>
      <c r="C5036" s="7">
        <v>46035</v>
      </c>
      <c r="D5036" s="7">
        <v>46077</v>
      </c>
      <c r="E5036" s="8">
        <v>39</v>
      </c>
      <c r="F5036" s="6" t="str">
        <f t="shared" si="1327"/>
        <v>PURE</v>
      </c>
      <c r="G5036" s="6" t="str">
        <f t="shared" si="1328"/>
        <v>F100021455000000</v>
      </c>
      <c r="H5036" s="6" t="str">
        <f t="shared" si="1329"/>
        <v>FA 214 - PURE - 550</v>
      </c>
      <c r="I5036" s="6" t="str">
        <f>"3233"</f>
        <v>3233</v>
      </c>
      <c r="J5036" s="6" t="str">
        <f>"LILAS 3233"</f>
        <v>LILAS 3233</v>
      </c>
      <c r="K5036" s="6" t="str">
        <f>"1024"</f>
        <v>1024</v>
      </c>
      <c r="L5036" s="6" t="str">
        <f>"Toalhas"</f>
        <v>Toalhas</v>
      </c>
      <c r="M5036" s="6" t="str">
        <f>"50x100"</f>
        <v>50x100</v>
      </c>
      <c r="N5036" s="6" t="str">
        <f>"5602972895193"</f>
        <v>5602972895193</v>
      </c>
      <c r="O5036" s="8">
        <v>480</v>
      </c>
      <c r="P5036" s="7">
        <v>46035</v>
      </c>
      <c r="R5036" s="8">
        <v>0</v>
      </c>
      <c r="S5036" s="7">
        <v>46038</v>
      </c>
      <c r="U5036" s="8">
        <v>480</v>
      </c>
      <c r="V5036" s="7">
        <v>46056</v>
      </c>
      <c r="X5036" s="8">
        <v>0</v>
      </c>
      <c r="Z5036" s="8">
        <v>480</v>
      </c>
      <c r="AA5036" s="7">
        <v>46072</v>
      </c>
      <c r="AC5036" s="8">
        <v>0</v>
      </c>
      <c r="AE5036" s="7">
        <v>46077</v>
      </c>
      <c r="AF5036" s="8">
        <v>0</v>
      </c>
      <c r="AH5036" s="7">
        <v>46077</v>
      </c>
      <c r="AN5036" s="8">
        <v>0</v>
      </c>
      <c r="AO5036" s="8">
        <v>480</v>
      </c>
    </row>
    <row r="5037" spans="1:41" x14ac:dyDescent="0.25">
      <c r="A5037" s="6" t="str">
        <f t="shared" si="1326"/>
        <v>525-2026000006</v>
      </c>
      <c r="B5037" s="6" t="str">
        <f t="shared" si="1330"/>
        <v>Lasa Int</v>
      </c>
      <c r="C5037" s="7">
        <v>46035</v>
      </c>
      <c r="D5037" s="7">
        <v>46077</v>
      </c>
      <c r="E5037" s="8">
        <v>40</v>
      </c>
      <c r="F5037" s="6" t="str">
        <f t="shared" si="1327"/>
        <v>PURE</v>
      </c>
      <c r="G5037" s="6" t="str">
        <f t="shared" si="1328"/>
        <v>F100021455000000</v>
      </c>
      <c r="H5037" s="6" t="str">
        <f t="shared" si="1329"/>
        <v>FA 214 - PURE - 550</v>
      </c>
      <c r="I5037" s="6" t="str">
        <f>"3233"</f>
        <v>3233</v>
      </c>
      <c r="J5037" s="6" t="str">
        <f>"LILAS 3233"</f>
        <v>LILAS 3233</v>
      </c>
      <c r="K5037" s="6" t="str">
        <f>"1535"</f>
        <v>1535</v>
      </c>
      <c r="L5037" s="6" t="str">
        <f>"Toalhões"</f>
        <v>Toalhões</v>
      </c>
      <c r="M5037" s="6" t="str">
        <f>"70x140"</f>
        <v>70x140</v>
      </c>
      <c r="N5037" s="6" t="str">
        <f>"5602972895209"</f>
        <v>5602972895209</v>
      </c>
      <c r="O5037" s="8">
        <v>240</v>
      </c>
      <c r="P5037" s="7">
        <v>46035</v>
      </c>
      <c r="R5037" s="8">
        <v>0</v>
      </c>
      <c r="S5037" s="7">
        <v>46038</v>
      </c>
      <c r="U5037" s="8">
        <v>240</v>
      </c>
      <c r="V5037" s="7">
        <v>46056</v>
      </c>
      <c r="X5037" s="8">
        <v>0</v>
      </c>
      <c r="Z5037" s="8">
        <v>240</v>
      </c>
      <c r="AA5037" s="7">
        <v>46072</v>
      </c>
      <c r="AC5037" s="8">
        <v>0</v>
      </c>
      <c r="AE5037" s="7">
        <v>46077</v>
      </c>
      <c r="AF5037" s="8">
        <v>0</v>
      </c>
      <c r="AH5037" s="7">
        <v>46077</v>
      </c>
      <c r="AN5037" s="8">
        <v>0</v>
      </c>
      <c r="AO5037" s="8">
        <v>240</v>
      </c>
    </row>
    <row r="5038" spans="1:41" x14ac:dyDescent="0.25">
      <c r="A5038" s="6" t="str">
        <f t="shared" si="1326"/>
        <v>525-2026000006</v>
      </c>
      <c r="B5038" s="6" t="str">
        <f t="shared" si="1330"/>
        <v>Lasa Int</v>
      </c>
      <c r="C5038" s="7">
        <v>46035</v>
      </c>
      <c r="D5038" s="7">
        <v>46077</v>
      </c>
      <c r="E5038" s="8">
        <v>41</v>
      </c>
      <c r="F5038" s="6" t="str">
        <f t="shared" si="1327"/>
        <v>PURE</v>
      </c>
      <c r="G5038" s="6" t="str">
        <f t="shared" si="1328"/>
        <v>F100021455000000</v>
      </c>
      <c r="H5038" s="6" t="str">
        <f t="shared" si="1329"/>
        <v>FA 214 - PURE - 550</v>
      </c>
      <c r="I5038" s="6" t="str">
        <f>"3233"</f>
        <v>3233</v>
      </c>
      <c r="J5038" s="6" t="str">
        <f>"LILAS 3233"</f>
        <v>LILAS 3233</v>
      </c>
      <c r="K5038" s="6" t="str">
        <f>"2020"</f>
        <v>2020</v>
      </c>
      <c r="L5038" s="6" t="str">
        <f>"Lençóis"</f>
        <v>Lençóis</v>
      </c>
      <c r="M5038" s="6" t="str">
        <f>"100x150"</f>
        <v>100x150</v>
      </c>
      <c r="N5038" s="6" t="str">
        <f>"5602972895216"</f>
        <v>5602972895216</v>
      </c>
      <c r="O5038" s="8">
        <v>160</v>
      </c>
      <c r="P5038" s="7">
        <v>46035</v>
      </c>
      <c r="R5038" s="8">
        <v>0</v>
      </c>
      <c r="S5038" s="7">
        <v>46038</v>
      </c>
      <c r="U5038" s="8">
        <v>160</v>
      </c>
      <c r="V5038" s="7">
        <v>46056</v>
      </c>
      <c r="X5038" s="8">
        <v>0</v>
      </c>
      <c r="Z5038" s="8">
        <v>160</v>
      </c>
      <c r="AA5038" s="7">
        <v>46072</v>
      </c>
      <c r="AC5038" s="8">
        <v>0</v>
      </c>
      <c r="AE5038" s="7">
        <v>46077</v>
      </c>
      <c r="AF5038" s="8">
        <v>0</v>
      </c>
      <c r="AH5038" s="7">
        <v>46077</v>
      </c>
      <c r="AN5038" s="8">
        <v>0</v>
      </c>
      <c r="AO5038" s="8">
        <v>160</v>
      </c>
    </row>
    <row r="5039" spans="1:41" x14ac:dyDescent="0.25">
      <c r="A5039" s="6" t="str">
        <f t="shared" si="1326"/>
        <v>525-2026000006</v>
      </c>
      <c r="B5039" s="6" t="str">
        <f t="shared" si="1330"/>
        <v>Lasa Int</v>
      </c>
      <c r="C5039" s="7">
        <v>46035</v>
      </c>
      <c r="D5039" s="7">
        <v>46077</v>
      </c>
      <c r="E5039" s="8">
        <v>42</v>
      </c>
      <c r="F5039" s="6" t="str">
        <f t="shared" si="1327"/>
        <v>PURE</v>
      </c>
      <c r="G5039" s="6" t="str">
        <f t="shared" si="1328"/>
        <v>F100021455000000</v>
      </c>
      <c r="H5039" s="6" t="str">
        <f t="shared" si="1329"/>
        <v>FA 214 - PURE - 550</v>
      </c>
      <c r="I5039" s="6" t="str">
        <f>"3234"</f>
        <v>3234</v>
      </c>
      <c r="J5039" s="6" t="str">
        <f>"CASTANHO 3234"</f>
        <v>CASTANHO 3234</v>
      </c>
      <c r="K5039" s="6" t="str">
        <f>"0112"</f>
        <v>0112</v>
      </c>
      <c r="L5039" s="6" t="str">
        <f>"Luvas"</f>
        <v>Luvas</v>
      </c>
      <c r="M5039" s="6" t="str">
        <f>"16x21"</f>
        <v>16x21</v>
      </c>
      <c r="N5039" s="6" t="str">
        <f>"5602972895223"</f>
        <v>5602972895223</v>
      </c>
      <c r="O5039" s="8">
        <v>300</v>
      </c>
      <c r="P5039" s="7">
        <v>46035</v>
      </c>
      <c r="R5039" s="8">
        <v>0</v>
      </c>
      <c r="S5039" s="7">
        <v>46038</v>
      </c>
      <c r="U5039" s="8">
        <v>300</v>
      </c>
      <c r="V5039" s="7">
        <v>46056</v>
      </c>
      <c r="X5039" s="8">
        <v>0</v>
      </c>
      <c r="Z5039" s="8">
        <v>300</v>
      </c>
      <c r="AA5039" s="7">
        <v>46072</v>
      </c>
      <c r="AC5039" s="8">
        <v>0</v>
      </c>
      <c r="AE5039" s="7">
        <v>46077</v>
      </c>
      <c r="AF5039" s="8">
        <v>0</v>
      </c>
      <c r="AH5039" s="7">
        <v>46077</v>
      </c>
      <c r="AN5039" s="8">
        <v>0</v>
      </c>
      <c r="AO5039" s="8">
        <v>300</v>
      </c>
    </row>
    <row r="5040" spans="1:41" x14ac:dyDescent="0.25">
      <c r="A5040" s="6" t="str">
        <f t="shared" si="1326"/>
        <v>525-2026000006</v>
      </c>
      <c r="B5040" s="6" t="str">
        <f t="shared" si="1330"/>
        <v>Lasa Int</v>
      </c>
      <c r="C5040" s="7">
        <v>46035</v>
      </c>
      <c r="D5040" s="7">
        <v>46077</v>
      </c>
      <c r="E5040" s="8">
        <v>43</v>
      </c>
      <c r="F5040" s="6" t="str">
        <f t="shared" si="1327"/>
        <v>PURE</v>
      </c>
      <c r="G5040" s="6" t="str">
        <f t="shared" si="1328"/>
        <v>F100021455000000</v>
      </c>
      <c r="H5040" s="6" t="str">
        <f t="shared" si="1329"/>
        <v>FA 214 - PURE - 550</v>
      </c>
      <c r="I5040" s="6" t="str">
        <f>"3234"</f>
        <v>3234</v>
      </c>
      <c r="J5040" s="6" t="str">
        <f>"CASTANHO 3234"</f>
        <v>CASTANHO 3234</v>
      </c>
      <c r="K5040" s="6" t="str">
        <f>"0530"</f>
        <v>0530</v>
      </c>
      <c r="L5040" s="6" t="str">
        <f>"Toalhetes"</f>
        <v>Toalhetes</v>
      </c>
      <c r="M5040" s="6" t="str">
        <f>"33x50"</f>
        <v>33x50</v>
      </c>
      <c r="N5040" s="6" t="str">
        <f>"5602972895230"</f>
        <v>5602972895230</v>
      </c>
      <c r="O5040" s="8">
        <v>450</v>
      </c>
      <c r="P5040" s="7">
        <v>46035</v>
      </c>
      <c r="R5040" s="8">
        <v>0</v>
      </c>
      <c r="S5040" s="7">
        <v>46038</v>
      </c>
      <c r="U5040" s="8">
        <v>450</v>
      </c>
      <c r="V5040" s="7">
        <v>46056</v>
      </c>
      <c r="X5040" s="8">
        <v>0</v>
      </c>
      <c r="Z5040" s="8">
        <v>450</v>
      </c>
      <c r="AA5040" s="7">
        <v>46072</v>
      </c>
      <c r="AC5040" s="8">
        <v>0</v>
      </c>
      <c r="AE5040" s="7">
        <v>46077</v>
      </c>
      <c r="AF5040" s="8">
        <v>0</v>
      </c>
      <c r="AH5040" s="7">
        <v>46077</v>
      </c>
      <c r="AN5040" s="8">
        <v>0</v>
      </c>
      <c r="AO5040" s="8">
        <v>450</v>
      </c>
    </row>
    <row r="5041" spans="1:41" x14ac:dyDescent="0.25">
      <c r="A5041" s="6" t="str">
        <f t="shared" si="1326"/>
        <v>525-2026000006</v>
      </c>
      <c r="B5041" s="6" t="str">
        <f t="shared" si="1330"/>
        <v>Lasa Int</v>
      </c>
      <c r="C5041" s="7">
        <v>46035</v>
      </c>
      <c r="D5041" s="7">
        <v>46077</v>
      </c>
      <c r="E5041" s="8">
        <v>44</v>
      </c>
      <c r="F5041" s="6" t="str">
        <f t="shared" si="1327"/>
        <v>PURE</v>
      </c>
      <c r="G5041" s="6" t="str">
        <f t="shared" si="1328"/>
        <v>F100021455000000</v>
      </c>
      <c r="H5041" s="6" t="str">
        <f t="shared" si="1329"/>
        <v>FA 214 - PURE - 550</v>
      </c>
      <c r="I5041" s="6" t="str">
        <f>"3234"</f>
        <v>3234</v>
      </c>
      <c r="J5041" s="6" t="str">
        <f>"CASTANHO 3234"</f>
        <v>CASTANHO 3234</v>
      </c>
      <c r="K5041" s="6" t="str">
        <f>"1024"</f>
        <v>1024</v>
      </c>
      <c r="L5041" s="6" t="str">
        <f>"Toalhas"</f>
        <v>Toalhas</v>
      </c>
      <c r="M5041" s="6" t="str">
        <f>"50x100"</f>
        <v>50x100</v>
      </c>
      <c r="N5041" s="6" t="str">
        <f>"5602972895247"</f>
        <v>5602972895247</v>
      </c>
      <c r="O5041" s="8">
        <v>1200</v>
      </c>
      <c r="P5041" s="7">
        <v>46035</v>
      </c>
      <c r="R5041" s="8">
        <v>0</v>
      </c>
      <c r="S5041" s="7">
        <v>46038</v>
      </c>
      <c r="U5041" s="8">
        <v>1200</v>
      </c>
      <c r="V5041" s="7">
        <v>46056</v>
      </c>
      <c r="X5041" s="8">
        <v>0</v>
      </c>
      <c r="Z5041" s="8">
        <v>1200</v>
      </c>
      <c r="AA5041" s="7">
        <v>46072</v>
      </c>
      <c r="AC5041" s="8">
        <v>0</v>
      </c>
      <c r="AE5041" s="7">
        <v>46077</v>
      </c>
      <c r="AF5041" s="8">
        <v>0</v>
      </c>
      <c r="AH5041" s="7">
        <v>46077</v>
      </c>
      <c r="AN5041" s="8">
        <v>0</v>
      </c>
      <c r="AO5041" s="8">
        <v>1200</v>
      </c>
    </row>
    <row r="5042" spans="1:41" x14ac:dyDescent="0.25">
      <c r="A5042" s="6" t="str">
        <f t="shared" si="1326"/>
        <v>525-2026000006</v>
      </c>
      <c r="B5042" s="6" t="str">
        <f t="shared" si="1330"/>
        <v>Lasa Int</v>
      </c>
      <c r="C5042" s="7">
        <v>46035</v>
      </c>
      <c r="D5042" s="7">
        <v>46077</v>
      </c>
      <c r="E5042" s="8">
        <v>45</v>
      </c>
      <c r="F5042" s="6" t="str">
        <f t="shared" si="1327"/>
        <v>PURE</v>
      </c>
      <c r="G5042" s="6" t="str">
        <f t="shared" si="1328"/>
        <v>F100021455000000</v>
      </c>
      <c r="H5042" s="6" t="str">
        <f t="shared" si="1329"/>
        <v>FA 214 - PURE - 550</v>
      </c>
      <c r="I5042" s="6" t="str">
        <f>"3234"</f>
        <v>3234</v>
      </c>
      <c r="J5042" s="6" t="str">
        <f>"CASTANHO 3234"</f>
        <v>CASTANHO 3234</v>
      </c>
      <c r="K5042" s="6" t="str">
        <f>"1535"</f>
        <v>1535</v>
      </c>
      <c r="L5042" s="6" t="str">
        <f>"Toalhões"</f>
        <v>Toalhões</v>
      </c>
      <c r="M5042" s="6" t="str">
        <f>"70x140"</f>
        <v>70x140</v>
      </c>
      <c r="N5042" s="6" t="str">
        <f>"5602972895254"</f>
        <v>5602972895254</v>
      </c>
      <c r="O5042" s="8">
        <v>360</v>
      </c>
      <c r="P5042" s="7">
        <v>46035</v>
      </c>
      <c r="R5042" s="8">
        <v>0</v>
      </c>
      <c r="S5042" s="7">
        <v>46038</v>
      </c>
      <c r="U5042" s="8">
        <v>360</v>
      </c>
      <c r="V5042" s="7">
        <v>46056</v>
      </c>
      <c r="X5042" s="8">
        <v>0</v>
      </c>
      <c r="Z5042" s="8">
        <v>360</v>
      </c>
      <c r="AA5042" s="7">
        <v>46072</v>
      </c>
      <c r="AC5042" s="8">
        <v>0</v>
      </c>
      <c r="AE5042" s="7">
        <v>46077</v>
      </c>
      <c r="AF5042" s="8">
        <v>0</v>
      </c>
      <c r="AH5042" s="7">
        <v>46077</v>
      </c>
      <c r="AN5042" s="8">
        <v>0</v>
      </c>
      <c r="AO5042" s="8">
        <v>360</v>
      </c>
    </row>
    <row r="5043" spans="1:41" x14ac:dyDescent="0.25">
      <c r="A5043" s="6" t="str">
        <f t="shared" si="1326"/>
        <v>525-2026000006</v>
      </c>
      <c r="B5043" s="6" t="str">
        <f t="shared" si="1330"/>
        <v>Lasa Int</v>
      </c>
      <c r="C5043" s="7">
        <v>46035</v>
      </c>
      <c r="D5043" s="7">
        <v>46077</v>
      </c>
      <c r="E5043" s="8">
        <v>46</v>
      </c>
      <c r="F5043" s="6" t="str">
        <f t="shared" si="1327"/>
        <v>PURE</v>
      </c>
      <c r="G5043" s="6" t="str">
        <f t="shared" si="1328"/>
        <v>F100021455000000</v>
      </c>
      <c r="H5043" s="6" t="str">
        <f t="shared" si="1329"/>
        <v>FA 214 - PURE - 550</v>
      </c>
      <c r="I5043" s="6" t="str">
        <f>"3234"</f>
        <v>3234</v>
      </c>
      <c r="J5043" s="6" t="str">
        <f>"CASTANHO 3234"</f>
        <v>CASTANHO 3234</v>
      </c>
      <c r="K5043" s="6" t="str">
        <f>"2020"</f>
        <v>2020</v>
      </c>
      <c r="L5043" s="6" t="str">
        <f>"Lençóis"</f>
        <v>Lençóis</v>
      </c>
      <c r="M5043" s="6" t="str">
        <f>"100x150"</f>
        <v>100x150</v>
      </c>
      <c r="N5043" s="6" t="str">
        <f>"5602972895261"</f>
        <v>5602972895261</v>
      </c>
      <c r="O5043" s="8">
        <v>320</v>
      </c>
      <c r="P5043" s="7">
        <v>46035</v>
      </c>
      <c r="R5043" s="8">
        <v>0</v>
      </c>
      <c r="S5043" s="7">
        <v>46038</v>
      </c>
      <c r="U5043" s="8">
        <v>320</v>
      </c>
      <c r="V5043" s="7">
        <v>46056</v>
      </c>
      <c r="X5043" s="8">
        <v>0</v>
      </c>
      <c r="Z5043" s="8">
        <v>320</v>
      </c>
      <c r="AA5043" s="7">
        <v>46072</v>
      </c>
      <c r="AC5043" s="8">
        <v>0</v>
      </c>
      <c r="AE5043" s="7">
        <v>46077</v>
      </c>
      <c r="AF5043" s="8">
        <v>0</v>
      </c>
      <c r="AH5043" s="7">
        <v>46077</v>
      </c>
      <c r="AN5043" s="8">
        <v>0</v>
      </c>
      <c r="AO5043" s="8">
        <v>320</v>
      </c>
    </row>
    <row r="5044" spans="1:41" x14ac:dyDescent="0.25">
      <c r="A5044" s="6" t="str">
        <f t="shared" si="1326"/>
        <v>525-2026000006</v>
      </c>
      <c r="B5044" s="6" t="str">
        <f t="shared" si="1330"/>
        <v>Lasa Int</v>
      </c>
      <c r="C5044" s="7">
        <v>46035</v>
      </c>
      <c r="D5044" s="7">
        <v>46077</v>
      </c>
      <c r="E5044" s="8">
        <v>47</v>
      </c>
      <c r="F5044" s="6" t="str">
        <f t="shared" si="1327"/>
        <v>PURE</v>
      </c>
      <c r="G5044" s="6" t="str">
        <f t="shared" si="1328"/>
        <v>F100021455000000</v>
      </c>
      <c r="H5044" s="6" t="str">
        <f t="shared" si="1329"/>
        <v>FA 214 - PURE - 550</v>
      </c>
      <c r="I5044" s="6" t="str">
        <f>"3235"</f>
        <v>3235</v>
      </c>
      <c r="J5044" s="6" t="str">
        <f>"CINZA 3235"</f>
        <v>CINZA 3235</v>
      </c>
      <c r="K5044" s="6" t="str">
        <f>"0530"</f>
        <v>0530</v>
      </c>
      <c r="L5044" s="6" t="str">
        <f>"Toalhetes"</f>
        <v>Toalhetes</v>
      </c>
      <c r="M5044" s="6" t="str">
        <f>"33x50"</f>
        <v>33x50</v>
      </c>
      <c r="N5044" s="6" t="str">
        <f>"5602972895285"</f>
        <v>5602972895285</v>
      </c>
      <c r="O5044" s="8">
        <v>450</v>
      </c>
      <c r="P5044" s="7">
        <v>46035</v>
      </c>
      <c r="R5044" s="8">
        <v>0</v>
      </c>
      <c r="S5044" s="7">
        <v>46038</v>
      </c>
      <c r="U5044" s="8">
        <v>450</v>
      </c>
      <c r="V5044" s="7">
        <v>46056</v>
      </c>
      <c r="X5044" s="8">
        <v>0</v>
      </c>
      <c r="Z5044" s="8">
        <v>450</v>
      </c>
      <c r="AA5044" s="7">
        <v>46072</v>
      </c>
      <c r="AC5044" s="8">
        <v>0</v>
      </c>
      <c r="AE5044" s="7">
        <v>46077</v>
      </c>
      <c r="AF5044" s="8">
        <v>0</v>
      </c>
      <c r="AH5044" s="7">
        <v>46077</v>
      </c>
      <c r="AN5044" s="8">
        <v>0</v>
      </c>
      <c r="AO5044" s="8">
        <v>450</v>
      </c>
    </row>
    <row r="5045" spans="1:41" x14ac:dyDescent="0.25">
      <c r="A5045" s="6" t="str">
        <f t="shared" si="1326"/>
        <v>525-2026000006</v>
      </c>
      <c r="B5045" s="6" t="str">
        <f t="shared" si="1330"/>
        <v>Lasa Int</v>
      </c>
      <c r="C5045" s="7">
        <v>46035</v>
      </c>
      <c r="D5045" s="7">
        <v>46077</v>
      </c>
      <c r="E5045" s="8">
        <v>48</v>
      </c>
      <c r="F5045" s="6" t="str">
        <f t="shared" si="1327"/>
        <v>PURE</v>
      </c>
      <c r="G5045" s="6" t="str">
        <f t="shared" si="1328"/>
        <v>F100021455000000</v>
      </c>
      <c r="H5045" s="6" t="str">
        <f t="shared" si="1329"/>
        <v>FA 214 - PURE - 550</v>
      </c>
      <c r="I5045" s="6" t="str">
        <f>"3235"</f>
        <v>3235</v>
      </c>
      <c r="J5045" s="6" t="str">
        <f>"CINZA 3235"</f>
        <v>CINZA 3235</v>
      </c>
      <c r="K5045" s="6" t="str">
        <f>"1024"</f>
        <v>1024</v>
      </c>
      <c r="L5045" s="6" t="str">
        <f>"Toalhas"</f>
        <v>Toalhas</v>
      </c>
      <c r="M5045" s="6" t="str">
        <f>"50x100"</f>
        <v>50x100</v>
      </c>
      <c r="N5045" s="6" t="str">
        <f>"5602972895292"</f>
        <v>5602972895292</v>
      </c>
      <c r="O5045" s="8">
        <v>480</v>
      </c>
      <c r="P5045" s="7">
        <v>46035</v>
      </c>
      <c r="R5045" s="8">
        <v>0</v>
      </c>
      <c r="S5045" s="7">
        <v>46038</v>
      </c>
      <c r="U5045" s="8">
        <v>480</v>
      </c>
      <c r="V5045" s="7">
        <v>46056</v>
      </c>
      <c r="X5045" s="8">
        <v>0</v>
      </c>
      <c r="Z5045" s="8">
        <v>480</v>
      </c>
      <c r="AA5045" s="7">
        <v>46072</v>
      </c>
      <c r="AC5045" s="8">
        <v>0</v>
      </c>
      <c r="AE5045" s="7">
        <v>46077</v>
      </c>
      <c r="AF5045" s="8">
        <v>0</v>
      </c>
      <c r="AH5045" s="7">
        <v>46077</v>
      </c>
      <c r="AN5045" s="8">
        <v>0</v>
      </c>
      <c r="AO5045" s="8">
        <v>480</v>
      </c>
    </row>
    <row r="5046" spans="1:41" x14ac:dyDescent="0.25">
      <c r="A5046" s="6" t="str">
        <f t="shared" si="1326"/>
        <v>525-2026000006</v>
      </c>
      <c r="B5046" s="6" t="str">
        <f t="shared" si="1330"/>
        <v>Lasa Int</v>
      </c>
      <c r="C5046" s="7">
        <v>46035</v>
      </c>
      <c r="D5046" s="7">
        <v>46077</v>
      </c>
      <c r="E5046" s="8">
        <v>49</v>
      </c>
      <c r="F5046" s="6" t="str">
        <f t="shared" si="1327"/>
        <v>PURE</v>
      </c>
      <c r="G5046" s="6" t="str">
        <f t="shared" si="1328"/>
        <v>F100021455000000</v>
      </c>
      <c r="H5046" s="6" t="str">
        <f t="shared" si="1329"/>
        <v>FA 214 - PURE - 550</v>
      </c>
      <c r="I5046" s="6" t="str">
        <f>"3235"</f>
        <v>3235</v>
      </c>
      <c r="J5046" s="6" t="str">
        <f>"CINZA 3235"</f>
        <v>CINZA 3235</v>
      </c>
      <c r="K5046" s="6" t="str">
        <f>"1535"</f>
        <v>1535</v>
      </c>
      <c r="L5046" s="6" t="str">
        <f>"Toalhões"</f>
        <v>Toalhões</v>
      </c>
      <c r="M5046" s="6" t="str">
        <f>"70x140"</f>
        <v>70x140</v>
      </c>
      <c r="N5046" s="6" t="str">
        <f>"5602972895308"</f>
        <v>5602972895308</v>
      </c>
      <c r="O5046" s="8">
        <v>360</v>
      </c>
      <c r="P5046" s="7">
        <v>46035</v>
      </c>
      <c r="R5046" s="8">
        <v>0</v>
      </c>
      <c r="S5046" s="7">
        <v>46038</v>
      </c>
      <c r="U5046" s="8">
        <v>360</v>
      </c>
      <c r="V5046" s="7">
        <v>46056</v>
      </c>
      <c r="X5046" s="8">
        <v>0</v>
      </c>
      <c r="Z5046" s="8">
        <v>360</v>
      </c>
      <c r="AA5046" s="7">
        <v>46072</v>
      </c>
      <c r="AC5046" s="8">
        <v>0</v>
      </c>
      <c r="AE5046" s="7">
        <v>46077</v>
      </c>
      <c r="AF5046" s="8">
        <v>0</v>
      </c>
      <c r="AH5046" s="7">
        <v>46077</v>
      </c>
      <c r="AN5046" s="8">
        <v>0</v>
      </c>
      <c r="AO5046" s="8">
        <v>360</v>
      </c>
    </row>
    <row r="5047" spans="1:41" x14ac:dyDescent="0.25">
      <c r="A5047" s="6" t="str">
        <f t="shared" si="1326"/>
        <v>525-2026000006</v>
      </c>
      <c r="B5047" s="6" t="str">
        <f t="shared" si="1330"/>
        <v>Lasa Int</v>
      </c>
      <c r="C5047" s="7">
        <v>46035</v>
      </c>
      <c r="D5047" s="7">
        <v>46077</v>
      </c>
      <c r="E5047" s="8">
        <v>50</v>
      </c>
      <c r="F5047" s="6" t="str">
        <f t="shared" si="1327"/>
        <v>PURE</v>
      </c>
      <c r="G5047" s="6" t="str">
        <f t="shared" si="1328"/>
        <v>F100021455000000</v>
      </c>
      <c r="H5047" s="6" t="str">
        <f t="shared" si="1329"/>
        <v>FA 214 - PURE - 550</v>
      </c>
      <c r="I5047" s="6" t="str">
        <f>"3235"</f>
        <v>3235</v>
      </c>
      <c r="J5047" s="6" t="str">
        <f>"CINZA 3235"</f>
        <v>CINZA 3235</v>
      </c>
      <c r="K5047" s="6" t="str">
        <f>"2020"</f>
        <v>2020</v>
      </c>
      <c r="L5047" s="6" t="str">
        <f>"Lençóis"</f>
        <v>Lençóis</v>
      </c>
      <c r="M5047" s="6" t="str">
        <f>"100x150"</f>
        <v>100x150</v>
      </c>
      <c r="N5047" s="6" t="str">
        <f>"5602972895315"</f>
        <v>5602972895315</v>
      </c>
      <c r="O5047" s="8">
        <v>400</v>
      </c>
      <c r="P5047" s="7">
        <v>46035</v>
      </c>
      <c r="R5047" s="8">
        <v>0</v>
      </c>
      <c r="S5047" s="7">
        <v>46038</v>
      </c>
      <c r="U5047" s="8">
        <v>398</v>
      </c>
      <c r="V5047" s="7">
        <v>46056</v>
      </c>
      <c r="X5047" s="8">
        <v>0</v>
      </c>
      <c r="Z5047" s="8">
        <v>398</v>
      </c>
      <c r="AA5047" s="7">
        <v>46072</v>
      </c>
      <c r="AC5047" s="8">
        <v>0</v>
      </c>
      <c r="AE5047" s="7">
        <v>46077</v>
      </c>
      <c r="AF5047" s="8">
        <v>0</v>
      </c>
      <c r="AH5047" s="7">
        <v>46077</v>
      </c>
      <c r="AN5047" s="8">
        <v>0</v>
      </c>
      <c r="AO5047" s="8">
        <v>400</v>
      </c>
    </row>
    <row r="5048" spans="1:41" x14ac:dyDescent="0.25">
      <c r="A5048" s="6" t="str">
        <f t="shared" si="1326"/>
        <v>525-2026000006</v>
      </c>
      <c r="B5048" s="6" t="str">
        <f t="shared" si="1330"/>
        <v>Lasa Int</v>
      </c>
      <c r="C5048" s="7">
        <v>46035</v>
      </c>
      <c r="D5048" s="7">
        <v>46077</v>
      </c>
      <c r="E5048" s="8">
        <v>51</v>
      </c>
      <c r="F5048" s="6" t="str">
        <f t="shared" si="1327"/>
        <v>PURE</v>
      </c>
      <c r="G5048" s="6" t="str">
        <f t="shared" si="1328"/>
        <v>F100021455000000</v>
      </c>
      <c r="H5048" s="6" t="str">
        <f t="shared" si="1329"/>
        <v>FA 214 - PURE - 550</v>
      </c>
      <c r="I5048" s="6" t="str">
        <f>"3236"</f>
        <v>3236</v>
      </c>
      <c r="J5048" s="6" t="str">
        <f>"TURQUESA 3236"</f>
        <v>TURQUESA 3236</v>
      </c>
      <c r="K5048" s="6" t="str">
        <f>"0530"</f>
        <v>0530</v>
      </c>
      <c r="L5048" s="6" t="str">
        <f>"Toalhetes"</f>
        <v>Toalhetes</v>
      </c>
      <c r="M5048" s="6" t="str">
        <f>"33x50"</f>
        <v>33x50</v>
      </c>
      <c r="N5048" s="6" t="str">
        <f>"5602972895339"</f>
        <v>5602972895339</v>
      </c>
      <c r="O5048" s="8">
        <v>450</v>
      </c>
      <c r="P5048" s="7">
        <v>46035</v>
      </c>
      <c r="R5048" s="8">
        <v>0</v>
      </c>
      <c r="S5048" s="7">
        <v>46038</v>
      </c>
      <c r="U5048" s="8">
        <v>450</v>
      </c>
      <c r="V5048" s="7">
        <v>46056</v>
      </c>
      <c r="X5048" s="8">
        <v>0</v>
      </c>
      <c r="Z5048" s="8">
        <v>450</v>
      </c>
      <c r="AA5048" s="7">
        <v>46072</v>
      </c>
      <c r="AC5048" s="8">
        <v>0</v>
      </c>
      <c r="AE5048" s="7">
        <v>46077</v>
      </c>
      <c r="AF5048" s="8">
        <v>0</v>
      </c>
      <c r="AH5048" s="7">
        <v>46077</v>
      </c>
      <c r="AN5048" s="8">
        <v>0</v>
      </c>
      <c r="AO5048" s="8">
        <v>450</v>
      </c>
    </row>
    <row r="5049" spans="1:41" x14ac:dyDescent="0.25">
      <c r="A5049" s="6" t="str">
        <f t="shared" si="1326"/>
        <v>525-2026000006</v>
      </c>
      <c r="B5049" s="6" t="str">
        <f t="shared" si="1330"/>
        <v>Lasa Int</v>
      </c>
      <c r="C5049" s="7">
        <v>46035</v>
      </c>
      <c r="D5049" s="7">
        <v>46077</v>
      </c>
      <c r="E5049" s="8">
        <v>52</v>
      </c>
      <c r="F5049" s="6" t="str">
        <f t="shared" si="1327"/>
        <v>PURE</v>
      </c>
      <c r="G5049" s="6" t="str">
        <f t="shared" si="1328"/>
        <v>F100021455000000</v>
      </c>
      <c r="H5049" s="6" t="str">
        <f t="shared" si="1329"/>
        <v>FA 214 - PURE - 550</v>
      </c>
      <c r="I5049" s="6" t="str">
        <f>"3236"</f>
        <v>3236</v>
      </c>
      <c r="J5049" s="6" t="str">
        <f>"TURQUESA 3236"</f>
        <v>TURQUESA 3236</v>
      </c>
      <c r="K5049" s="6" t="str">
        <f>"1024"</f>
        <v>1024</v>
      </c>
      <c r="L5049" s="6" t="str">
        <f>"Toalhas"</f>
        <v>Toalhas</v>
      </c>
      <c r="M5049" s="6" t="str">
        <f>"50x100"</f>
        <v>50x100</v>
      </c>
      <c r="N5049" s="6" t="str">
        <f>"5602972895346"</f>
        <v>5602972895346</v>
      </c>
      <c r="O5049" s="8">
        <v>480</v>
      </c>
      <c r="P5049" s="7">
        <v>46035</v>
      </c>
      <c r="R5049" s="8">
        <v>0</v>
      </c>
      <c r="S5049" s="7">
        <v>46038</v>
      </c>
      <c r="U5049" s="8">
        <v>480</v>
      </c>
      <c r="V5049" s="7">
        <v>46056</v>
      </c>
      <c r="X5049" s="8">
        <v>0</v>
      </c>
      <c r="Z5049" s="8">
        <v>480</v>
      </c>
      <c r="AA5049" s="7">
        <v>46072</v>
      </c>
      <c r="AC5049" s="8">
        <v>0</v>
      </c>
      <c r="AE5049" s="7">
        <v>46077</v>
      </c>
      <c r="AF5049" s="8">
        <v>0</v>
      </c>
      <c r="AH5049" s="7">
        <v>46077</v>
      </c>
      <c r="AN5049" s="8">
        <v>0</v>
      </c>
      <c r="AO5049" s="8">
        <v>480</v>
      </c>
    </row>
    <row r="5050" spans="1:41" x14ac:dyDescent="0.25">
      <c r="A5050" s="6" t="str">
        <f t="shared" si="1326"/>
        <v>525-2026000006</v>
      </c>
      <c r="B5050" s="6" t="str">
        <f t="shared" si="1330"/>
        <v>Lasa Int</v>
      </c>
      <c r="C5050" s="7">
        <v>46035</v>
      </c>
      <c r="D5050" s="7">
        <v>46077</v>
      </c>
      <c r="E5050" s="8">
        <v>53</v>
      </c>
      <c r="F5050" s="6" t="str">
        <f t="shared" si="1327"/>
        <v>PURE</v>
      </c>
      <c r="G5050" s="6" t="str">
        <f t="shared" si="1328"/>
        <v>F100021455000000</v>
      </c>
      <c r="H5050" s="6" t="str">
        <f t="shared" si="1329"/>
        <v>FA 214 - PURE - 550</v>
      </c>
      <c r="I5050" s="6" t="str">
        <f>"3236"</f>
        <v>3236</v>
      </c>
      <c r="J5050" s="6" t="str">
        <f>"TURQUESA 3236"</f>
        <v>TURQUESA 3236</v>
      </c>
      <c r="K5050" s="6" t="str">
        <f>"1535"</f>
        <v>1535</v>
      </c>
      <c r="L5050" s="6" t="str">
        <f>"Toalhões"</f>
        <v>Toalhões</v>
      </c>
      <c r="M5050" s="6" t="str">
        <f>"70x140"</f>
        <v>70x140</v>
      </c>
      <c r="N5050" s="6" t="str">
        <f>"5602972895353"</f>
        <v>5602972895353</v>
      </c>
      <c r="O5050" s="8">
        <v>240</v>
      </c>
      <c r="P5050" s="7">
        <v>46035</v>
      </c>
      <c r="R5050" s="8">
        <v>0</v>
      </c>
      <c r="S5050" s="7">
        <v>46038</v>
      </c>
      <c r="U5050" s="8">
        <v>240</v>
      </c>
      <c r="V5050" s="7">
        <v>46056</v>
      </c>
      <c r="X5050" s="8">
        <v>0</v>
      </c>
      <c r="Z5050" s="8">
        <v>240</v>
      </c>
      <c r="AA5050" s="7">
        <v>46072</v>
      </c>
      <c r="AC5050" s="8">
        <v>0</v>
      </c>
      <c r="AE5050" s="7">
        <v>46077</v>
      </c>
      <c r="AF5050" s="8">
        <v>0</v>
      </c>
      <c r="AH5050" s="7">
        <v>46077</v>
      </c>
      <c r="AN5050" s="8">
        <v>0</v>
      </c>
      <c r="AO5050" s="8">
        <v>240</v>
      </c>
    </row>
    <row r="5051" spans="1:41" x14ac:dyDescent="0.25">
      <c r="A5051" s="6" t="str">
        <f t="shared" si="1326"/>
        <v>525-2026000006</v>
      </c>
      <c r="B5051" s="6" t="str">
        <f t="shared" si="1330"/>
        <v>Lasa Int</v>
      </c>
      <c r="C5051" s="7">
        <v>46035</v>
      </c>
      <c r="D5051" s="7">
        <v>46077</v>
      </c>
      <c r="E5051" s="8">
        <v>54</v>
      </c>
      <c r="F5051" s="6" t="str">
        <f t="shared" si="1327"/>
        <v>PURE</v>
      </c>
      <c r="G5051" s="6" t="str">
        <f t="shared" si="1328"/>
        <v>F100021455000000</v>
      </c>
      <c r="H5051" s="6" t="str">
        <f t="shared" si="1329"/>
        <v>FA 214 - PURE - 550</v>
      </c>
      <c r="I5051" s="6" t="str">
        <f>"3236"</f>
        <v>3236</v>
      </c>
      <c r="J5051" s="6" t="str">
        <f>"TURQUESA 3236"</f>
        <v>TURQUESA 3236</v>
      </c>
      <c r="K5051" s="6" t="str">
        <f>"2020"</f>
        <v>2020</v>
      </c>
      <c r="L5051" s="6" t="str">
        <f>"Lençóis"</f>
        <v>Lençóis</v>
      </c>
      <c r="M5051" s="6" t="str">
        <f>"100x150"</f>
        <v>100x150</v>
      </c>
      <c r="N5051" s="6" t="str">
        <f>"5602972895360"</f>
        <v>5602972895360</v>
      </c>
      <c r="O5051" s="8">
        <v>160</v>
      </c>
      <c r="P5051" s="7">
        <v>46035</v>
      </c>
      <c r="R5051" s="8">
        <v>0</v>
      </c>
      <c r="S5051" s="7">
        <v>46038</v>
      </c>
      <c r="U5051" s="8">
        <v>160</v>
      </c>
      <c r="V5051" s="7">
        <v>46056</v>
      </c>
      <c r="X5051" s="8">
        <v>0</v>
      </c>
      <c r="Z5051" s="8">
        <v>160</v>
      </c>
      <c r="AA5051" s="7">
        <v>46072</v>
      </c>
      <c r="AC5051" s="8">
        <v>0</v>
      </c>
      <c r="AE5051" s="7">
        <v>46077</v>
      </c>
      <c r="AF5051" s="8">
        <v>0</v>
      </c>
      <c r="AH5051" s="7">
        <v>46077</v>
      </c>
      <c r="AN5051" s="8">
        <v>0</v>
      </c>
      <c r="AO5051" s="8">
        <v>160</v>
      </c>
    </row>
    <row r="5052" spans="1:41" x14ac:dyDescent="0.25">
      <c r="A5052" s="6" t="str">
        <f t="shared" si="1326"/>
        <v>525-2026000006</v>
      </c>
      <c r="B5052" s="6" t="str">
        <f t="shared" si="1330"/>
        <v>Lasa Int</v>
      </c>
      <c r="C5052" s="7">
        <v>46035</v>
      </c>
      <c r="D5052" s="7">
        <v>46077</v>
      </c>
      <c r="E5052" s="8">
        <v>55</v>
      </c>
      <c r="F5052" s="6" t="str">
        <f t="shared" si="1327"/>
        <v>PURE</v>
      </c>
      <c r="G5052" s="6" t="str">
        <f t="shared" si="1328"/>
        <v>F100021455000000</v>
      </c>
      <c r="H5052" s="6" t="str">
        <f t="shared" si="1329"/>
        <v>FA 214 - PURE - 550</v>
      </c>
      <c r="I5052" s="6" t="str">
        <f>"5149"</f>
        <v>5149</v>
      </c>
      <c r="J5052" s="6" t="str">
        <f>"VERDE 5149"</f>
        <v>VERDE 5149</v>
      </c>
      <c r="K5052" s="6" t="str">
        <f>"1024"</f>
        <v>1024</v>
      </c>
      <c r="L5052" s="6" t="str">
        <f>"Toalhas"</f>
        <v>Toalhas</v>
      </c>
      <c r="M5052" s="6" t="str">
        <f>"50x100"</f>
        <v>50x100</v>
      </c>
      <c r="N5052" s="6" t="str">
        <f>"5602972651454"</f>
        <v>5602972651454</v>
      </c>
      <c r="O5052" s="8">
        <v>720</v>
      </c>
      <c r="P5052" s="7">
        <v>46035</v>
      </c>
      <c r="R5052" s="8">
        <v>0</v>
      </c>
      <c r="S5052" s="7">
        <v>46038</v>
      </c>
      <c r="U5052" s="8">
        <v>720</v>
      </c>
      <c r="V5052" s="7">
        <v>46056</v>
      </c>
      <c r="X5052" s="8">
        <v>0</v>
      </c>
      <c r="Z5052" s="8">
        <v>720</v>
      </c>
      <c r="AA5052" s="7">
        <v>46072</v>
      </c>
      <c r="AC5052" s="8">
        <v>0</v>
      </c>
      <c r="AE5052" s="7">
        <v>46077</v>
      </c>
      <c r="AF5052" s="8">
        <v>0</v>
      </c>
      <c r="AH5052" s="7">
        <v>46077</v>
      </c>
      <c r="AN5052" s="8">
        <v>0</v>
      </c>
      <c r="AO5052" s="8">
        <v>720</v>
      </c>
    </row>
    <row r="5053" spans="1:41" x14ac:dyDescent="0.25">
      <c r="A5053" s="6" t="str">
        <f t="shared" si="1326"/>
        <v>525-2026000006</v>
      </c>
      <c r="B5053" s="6" t="str">
        <f t="shared" si="1330"/>
        <v>Lasa Int</v>
      </c>
      <c r="C5053" s="7">
        <v>46035</v>
      </c>
      <c r="D5053" s="7">
        <v>46077</v>
      </c>
      <c r="E5053" s="8">
        <v>56</v>
      </c>
      <c r="F5053" s="6" t="str">
        <f t="shared" si="1327"/>
        <v>PURE</v>
      </c>
      <c r="G5053" s="6" t="str">
        <f t="shared" si="1328"/>
        <v>F100021455000000</v>
      </c>
      <c r="H5053" s="6" t="str">
        <f t="shared" si="1329"/>
        <v>FA 214 - PURE - 550</v>
      </c>
      <c r="I5053" s="6" t="str">
        <f>"5149"</f>
        <v>5149</v>
      </c>
      <c r="J5053" s="6" t="str">
        <f>"VERDE 5149"</f>
        <v>VERDE 5149</v>
      </c>
      <c r="K5053" s="6" t="str">
        <f>"1535"</f>
        <v>1535</v>
      </c>
      <c r="L5053" s="6" t="str">
        <f>"Toalhões"</f>
        <v>Toalhões</v>
      </c>
      <c r="M5053" s="6" t="str">
        <f>"70x140"</f>
        <v>70x140</v>
      </c>
      <c r="N5053" s="6" t="str">
        <f>"5602972651461"</f>
        <v>5602972651461</v>
      </c>
      <c r="O5053" s="8">
        <v>240</v>
      </c>
      <c r="P5053" s="7">
        <v>46035</v>
      </c>
      <c r="R5053" s="8">
        <v>0</v>
      </c>
      <c r="S5053" s="7">
        <v>46038</v>
      </c>
      <c r="U5053" s="8">
        <v>240</v>
      </c>
      <c r="V5053" s="7">
        <v>46056</v>
      </c>
      <c r="X5053" s="8">
        <v>0</v>
      </c>
      <c r="Z5053" s="8">
        <v>240</v>
      </c>
      <c r="AA5053" s="7">
        <v>46072</v>
      </c>
      <c r="AC5053" s="8">
        <v>0</v>
      </c>
      <c r="AE5053" s="7">
        <v>46077</v>
      </c>
      <c r="AF5053" s="8">
        <v>0</v>
      </c>
      <c r="AH5053" s="7">
        <v>46077</v>
      </c>
      <c r="AN5053" s="8">
        <v>0</v>
      </c>
      <c r="AO5053" s="8">
        <v>240</v>
      </c>
    </row>
    <row r="5054" spans="1:41" x14ac:dyDescent="0.25">
      <c r="A5054" s="6" t="str">
        <f t="shared" si="1326"/>
        <v>525-2026000006</v>
      </c>
      <c r="B5054" s="6" t="str">
        <f t="shared" si="1330"/>
        <v>Lasa Int</v>
      </c>
      <c r="C5054" s="7">
        <v>46035</v>
      </c>
      <c r="D5054" s="7">
        <v>46077</v>
      </c>
      <c r="E5054" s="8">
        <v>57</v>
      </c>
      <c r="F5054" s="6" t="str">
        <f t="shared" si="1327"/>
        <v>PURE</v>
      </c>
      <c r="G5054" s="6" t="str">
        <f t="shared" si="1328"/>
        <v>F100021455000000</v>
      </c>
      <c r="H5054" s="6" t="str">
        <f t="shared" si="1329"/>
        <v>FA 214 - PURE - 550</v>
      </c>
      <c r="I5054" s="6" t="str">
        <f>"5149"</f>
        <v>5149</v>
      </c>
      <c r="J5054" s="6" t="str">
        <f>"VERDE 5149"</f>
        <v>VERDE 5149</v>
      </c>
      <c r="K5054" s="6" t="str">
        <f>"2020"</f>
        <v>2020</v>
      </c>
      <c r="L5054" s="6" t="str">
        <f>"Lençóis"</f>
        <v>Lençóis</v>
      </c>
      <c r="M5054" s="6" t="str">
        <f>"100x150"</f>
        <v>100x150</v>
      </c>
      <c r="N5054" s="6" t="str">
        <f>"5602972651478"</f>
        <v>5602972651478</v>
      </c>
      <c r="O5054" s="8">
        <v>160</v>
      </c>
      <c r="P5054" s="7">
        <v>46035</v>
      </c>
      <c r="R5054" s="8">
        <v>0</v>
      </c>
      <c r="S5054" s="7">
        <v>46038</v>
      </c>
      <c r="U5054" s="8">
        <v>160</v>
      </c>
      <c r="V5054" s="7">
        <v>46056</v>
      </c>
      <c r="X5054" s="8">
        <v>0</v>
      </c>
      <c r="Z5054" s="8">
        <v>160</v>
      </c>
      <c r="AA5054" s="7">
        <v>46072</v>
      </c>
      <c r="AC5054" s="8">
        <v>0</v>
      </c>
      <c r="AE5054" s="7">
        <v>46077</v>
      </c>
      <c r="AF5054" s="8">
        <v>0</v>
      </c>
      <c r="AH5054" s="7">
        <v>46077</v>
      </c>
      <c r="AN5054" s="8">
        <v>0</v>
      </c>
      <c r="AO5054" s="8">
        <v>160</v>
      </c>
    </row>
    <row r="5055" spans="1:41" x14ac:dyDescent="0.25">
      <c r="A5055" s="6" t="str">
        <f t="shared" si="1326"/>
        <v>525-2026000006</v>
      </c>
      <c r="B5055" s="6" t="str">
        <f t="shared" si="1330"/>
        <v>Lasa Int</v>
      </c>
      <c r="C5055" s="7">
        <v>46035</v>
      </c>
      <c r="D5055" s="7">
        <v>46077</v>
      </c>
      <c r="E5055" s="8">
        <v>58</v>
      </c>
      <c r="F5055" s="6" t="str">
        <f t="shared" si="1327"/>
        <v>PURE</v>
      </c>
      <c r="G5055" s="6" t="str">
        <f>"F161003770000000"</f>
        <v>F161003770000000</v>
      </c>
      <c r="H5055" s="6" t="str">
        <f>"TA 37 - 700 g/m²"</f>
        <v>TA 37 - 700 g/m²</v>
      </c>
      <c r="I5055" s="6" t="str">
        <f>"1"</f>
        <v>1</v>
      </c>
      <c r="J5055" s="6" t="str">
        <f>"BRANCO"</f>
        <v>BRANCO</v>
      </c>
      <c r="K5055" s="6" t="str">
        <f>"3012"</f>
        <v>3012</v>
      </c>
      <c r="L5055" s="6" t="str">
        <f>"Tapetes"</f>
        <v>Tapetes</v>
      </c>
      <c r="M5055" s="6" t="str">
        <f>"50x70"</f>
        <v>50x70</v>
      </c>
      <c r="N5055" s="6" t="str">
        <f>"5602972906042"</f>
        <v>5602972906042</v>
      </c>
      <c r="O5055" s="8">
        <v>200</v>
      </c>
      <c r="P5055" s="7">
        <v>46035</v>
      </c>
      <c r="R5055" s="8">
        <v>0</v>
      </c>
      <c r="S5055" s="7">
        <v>46038</v>
      </c>
      <c r="U5055" s="8">
        <v>200</v>
      </c>
      <c r="V5055" s="7">
        <v>46056</v>
      </c>
      <c r="X5055" s="8">
        <v>0</v>
      </c>
      <c r="Z5055" s="8">
        <v>0</v>
      </c>
      <c r="AA5055" s="7">
        <v>46072</v>
      </c>
      <c r="AC5055" s="8">
        <v>0</v>
      </c>
      <c r="AE5055" s="7">
        <v>46077</v>
      </c>
      <c r="AF5055" s="8">
        <v>0</v>
      </c>
      <c r="AH5055" s="7">
        <v>46077</v>
      </c>
      <c r="AN5055" s="8">
        <v>0</v>
      </c>
      <c r="AO5055" s="8">
        <v>200</v>
      </c>
    </row>
    <row r="5056" spans="1:41" x14ac:dyDescent="0.25">
      <c r="A5056" s="6" t="str">
        <f t="shared" si="1326"/>
        <v>525-2026000006</v>
      </c>
      <c r="B5056" s="6" t="str">
        <f t="shared" si="1330"/>
        <v>Lasa Int</v>
      </c>
      <c r="C5056" s="7">
        <v>46035</v>
      </c>
      <c r="D5056" s="7">
        <v>46077</v>
      </c>
      <c r="E5056" s="8">
        <v>59</v>
      </c>
      <c r="F5056" s="6" t="str">
        <f t="shared" si="1327"/>
        <v>PURE</v>
      </c>
      <c r="G5056" s="6" t="str">
        <f>"F161003770000000"</f>
        <v>F161003770000000</v>
      </c>
      <c r="H5056" s="6" t="str">
        <f>"TA 37 - 700 g/m²"</f>
        <v>TA 37 - 700 g/m²</v>
      </c>
      <c r="I5056" s="6" t="str">
        <f>"1853"</f>
        <v>1853</v>
      </c>
      <c r="J5056" s="6" t="str">
        <f>"ROSA 1853"</f>
        <v>ROSA 1853</v>
      </c>
      <c r="K5056" s="6" t="str">
        <f>"3012"</f>
        <v>3012</v>
      </c>
      <c r="L5056" s="6" t="str">
        <f>"Tapetes"</f>
        <v>Tapetes</v>
      </c>
      <c r="M5056" s="6" t="str">
        <f>"50x70"</f>
        <v>50x70</v>
      </c>
      <c r="N5056" s="6" t="str">
        <f>"5602972837292"</f>
        <v>5602972837292</v>
      </c>
      <c r="O5056" s="8">
        <v>100</v>
      </c>
      <c r="P5056" s="7">
        <v>46035</v>
      </c>
      <c r="R5056" s="8">
        <v>0</v>
      </c>
      <c r="S5056" s="7">
        <v>46038</v>
      </c>
      <c r="U5056" s="8">
        <v>100</v>
      </c>
      <c r="V5056" s="7">
        <v>46056</v>
      </c>
      <c r="X5056" s="8">
        <v>0</v>
      </c>
      <c r="Z5056" s="8">
        <v>100</v>
      </c>
      <c r="AA5056" s="7">
        <v>46072</v>
      </c>
      <c r="AC5056" s="8">
        <v>0</v>
      </c>
      <c r="AE5056" s="7">
        <v>46077</v>
      </c>
      <c r="AF5056" s="8">
        <v>0</v>
      </c>
      <c r="AH5056" s="7">
        <v>46077</v>
      </c>
      <c r="AN5056" s="8">
        <v>0</v>
      </c>
      <c r="AO5056" s="8">
        <v>100</v>
      </c>
    </row>
    <row r="5057" spans="1:41" x14ac:dyDescent="0.25">
      <c r="A5057" s="6" t="str">
        <f t="shared" si="1326"/>
        <v>525-2026000006</v>
      </c>
      <c r="B5057" s="6" t="str">
        <f t="shared" si="1330"/>
        <v>Lasa Int</v>
      </c>
      <c r="C5057" s="7">
        <v>46035</v>
      </c>
      <c r="D5057" s="7">
        <v>46077</v>
      </c>
      <c r="E5057" s="8">
        <v>60</v>
      </c>
      <c r="F5057" s="6" t="str">
        <f t="shared" si="1327"/>
        <v>PURE</v>
      </c>
      <c r="G5057" s="6" t="str">
        <f>"F161003770000000"</f>
        <v>F161003770000000</v>
      </c>
      <c r="H5057" s="6" t="str">
        <f>"TA 37 - 700 g/m²"</f>
        <v>TA 37 - 700 g/m²</v>
      </c>
      <c r="I5057" s="6" t="str">
        <f>"2392"</f>
        <v>2392</v>
      </c>
      <c r="J5057" s="6" t="str">
        <f>"LARANJA 2392"</f>
        <v>LARANJA 2392</v>
      </c>
      <c r="K5057" s="6" t="str">
        <f>"3012"</f>
        <v>3012</v>
      </c>
      <c r="L5057" s="6" t="str">
        <f>"Tapetes"</f>
        <v>Tapetes</v>
      </c>
      <c r="M5057" s="6" t="str">
        <f>"50x70"</f>
        <v>50x70</v>
      </c>
      <c r="N5057" s="6" t="str">
        <f>"5602972837278"</f>
        <v>5602972837278</v>
      </c>
      <c r="O5057" s="8">
        <v>100</v>
      </c>
      <c r="P5057" s="7">
        <v>46035</v>
      </c>
      <c r="R5057" s="8">
        <v>0</v>
      </c>
      <c r="S5057" s="7">
        <v>46038</v>
      </c>
      <c r="U5057" s="8">
        <v>100</v>
      </c>
      <c r="V5057" s="7">
        <v>46056</v>
      </c>
      <c r="X5057" s="8">
        <v>0</v>
      </c>
      <c r="Z5057" s="8">
        <v>0</v>
      </c>
      <c r="AA5057" s="7">
        <v>46072</v>
      </c>
      <c r="AC5057" s="8">
        <v>0</v>
      </c>
      <c r="AE5057" s="7">
        <v>46077</v>
      </c>
      <c r="AF5057" s="8">
        <v>0</v>
      </c>
      <c r="AH5057" s="7">
        <v>46077</v>
      </c>
      <c r="AN5057" s="8">
        <v>0</v>
      </c>
      <c r="AO5057" s="8">
        <v>100</v>
      </c>
    </row>
    <row r="5058" spans="1:41" x14ac:dyDescent="0.25">
      <c r="A5058" s="6" t="str">
        <f t="shared" si="1326"/>
        <v>525-2026000006</v>
      </c>
      <c r="B5058" s="6" t="str">
        <f t="shared" si="1330"/>
        <v>Lasa Int</v>
      </c>
      <c r="C5058" s="7">
        <v>46035</v>
      </c>
      <c r="D5058" s="7">
        <v>46077</v>
      </c>
      <c r="E5058" s="8">
        <v>61</v>
      </c>
      <c r="F5058" s="6" t="str">
        <f t="shared" si="1327"/>
        <v>PURE</v>
      </c>
      <c r="G5058" s="6" t="str">
        <f>"F161003770000000"</f>
        <v>F161003770000000</v>
      </c>
      <c r="H5058" s="6" t="str">
        <f>"TA 37 - 700 g/m²"</f>
        <v>TA 37 - 700 g/m²</v>
      </c>
      <c r="I5058" s="6" t="str">
        <f>"2610"</f>
        <v>2610</v>
      </c>
      <c r="J5058" s="6" t="str">
        <f>"BEGE 2610"</f>
        <v>BEGE 2610</v>
      </c>
      <c r="K5058" s="6" t="str">
        <f>"3012"</f>
        <v>3012</v>
      </c>
      <c r="L5058" s="6" t="str">
        <f>"Tapetes"</f>
        <v>Tapetes</v>
      </c>
      <c r="M5058" s="6" t="str">
        <f>"50x70"</f>
        <v>50x70</v>
      </c>
      <c r="N5058" s="6" t="str">
        <f>"5602972837247"</f>
        <v>5602972837247</v>
      </c>
      <c r="O5058" s="8">
        <v>100</v>
      </c>
      <c r="P5058" s="7">
        <v>46035</v>
      </c>
      <c r="R5058" s="8">
        <v>0</v>
      </c>
      <c r="S5058" s="7">
        <v>46038</v>
      </c>
      <c r="U5058" s="8">
        <v>100</v>
      </c>
      <c r="V5058" s="7">
        <v>46056</v>
      </c>
      <c r="X5058" s="8">
        <v>0</v>
      </c>
      <c r="Z5058" s="8">
        <v>100</v>
      </c>
      <c r="AA5058" s="7">
        <v>46072</v>
      </c>
      <c r="AC5058" s="8">
        <v>0</v>
      </c>
      <c r="AE5058" s="7">
        <v>46077</v>
      </c>
      <c r="AF5058" s="8">
        <v>0</v>
      </c>
      <c r="AH5058" s="7">
        <v>46077</v>
      </c>
      <c r="AN5058" s="8">
        <v>0</v>
      </c>
      <c r="AO5058" s="8">
        <v>100</v>
      </c>
    </row>
    <row r="5059" spans="1:41" x14ac:dyDescent="0.25">
      <c r="A5059" s="6" t="str">
        <f t="shared" si="1326"/>
        <v>525-2026000006</v>
      </c>
      <c r="B5059" s="6" t="str">
        <f t="shared" si="1330"/>
        <v>Lasa Int</v>
      </c>
      <c r="C5059" s="7">
        <v>46035</v>
      </c>
      <c r="D5059" s="7">
        <v>46077</v>
      </c>
      <c r="E5059" s="8">
        <v>62</v>
      </c>
      <c r="F5059" s="6" t="str">
        <f t="shared" si="1327"/>
        <v>PURE</v>
      </c>
      <c r="G5059" s="6" t="str">
        <f>"F161003770000000"</f>
        <v>F161003770000000</v>
      </c>
      <c r="H5059" s="6" t="str">
        <f>"TA 37 - 700 g/m²"</f>
        <v>TA 37 - 700 g/m²</v>
      </c>
      <c r="I5059" s="6" t="str">
        <f>"3234"</f>
        <v>3234</v>
      </c>
      <c r="J5059" s="6" t="str">
        <f>"CASTANHO 3234"</f>
        <v>CASTANHO 3234</v>
      </c>
      <c r="K5059" s="6" t="str">
        <f>"3012"</f>
        <v>3012</v>
      </c>
      <c r="L5059" s="6" t="str">
        <f>"Tapetes"</f>
        <v>Tapetes</v>
      </c>
      <c r="M5059" s="6" t="str">
        <f>"50x70"</f>
        <v>50x70</v>
      </c>
      <c r="N5059" s="6" t="str">
        <f>"5602972895384"</f>
        <v>5602972895384</v>
      </c>
      <c r="O5059" s="8">
        <v>100</v>
      </c>
      <c r="P5059" s="7">
        <v>46035</v>
      </c>
      <c r="R5059" s="8">
        <v>0</v>
      </c>
      <c r="S5059" s="7">
        <v>46038</v>
      </c>
      <c r="U5059" s="8">
        <v>100</v>
      </c>
      <c r="V5059" s="7">
        <v>46056</v>
      </c>
      <c r="X5059" s="8">
        <v>0</v>
      </c>
      <c r="Z5059" s="8">
        <v>100</v>
      </c>
      <c r="AA5059" s="7">
        <v>46072</v>
      </c>
      <c r="AC5059" s="8">
        <v>0</v>
      </c>
      <c r="AE5059" s="7">
        <v>46077</v>
      </c>
      <c r="AF5059" s="8">
        <v>0</v>
      </c>
      <c r="AH5059" s="7">
        <v>46077</v>
      </c>
      <c r="AN5059" s="8">
        <v>0</v>
      </c>
      <c r="AO5059" s="8">
        <v>100</v>
      </c>
    </row>
    <row r="5060" spans="1:41" x14ac:dyDescent="0.25">
      <c r="A5060" s="6" t="str">
        <f>"525-2026000007"</f>
        <v>525-2026000007</v>
      </c>
      <c r="B5060" s="6" t="str">
        <f t="shared" si="1330"/>
        <v>Lasa Int</v>
      </c>
      <c r="C5060" s="7">
        <v>46035</v>
      </c>
      <c r="D5060" s="7">
        <v>46094</v>
      </c>
      <c r="E5060" s="8">
        <v>1</v>
      </c>
      <c r="F5060" s="6" t="str">
        <f>"Luxor"</f>
        <v>Luxor</v>
      </c>
      <c r="G5060" s="6" t="str">
        <f>"F130023460000000"</f>
        <v>F130023460000000</v>
      </c>
      <c r="H5060" s="6" t="str">
        <f>"FAP 234 - LUXOR - 60"</f>
        <v>FAP 234 - LUXOR - 60</v>
      </c>
      <c r="I5060" s="6" t="str">
        <f>"1"</f>
        <v>1</v>
      </c>
      <c r="J5060" s="6" t="str">
        <f>"BRANCO"</f>
        <v>BRANCO</v>
      </c>
      <c r="K5060" s="6" t="str">
        <f>"0320"</f>
        <v>0320</v>
      </c>
      <c r="L5060" s="6" t="str">
        <f>"Panos"</f>
        <v>Panos</v>
      </c>
      <c r="M5060" s="6" t="str">
        <f>"30x30"</f>
        <v>30x30</v>
      </c>
      <c r="N5060" s="6" t="str">
        <f>"5605247529380"</f>
        <v>5605247529380</v>
      </c>
      <c r="O5060" s="8">
        <v>480</v>
      </c>
      <c r="P5060" s="7">
        <v>46064</v>
      </c>
      <c r="R5060" s="8">
        <v>1230</v>
      </c>
      <c r="S5060" s="7">
        <v>46071</v>
      </c>
      <c r="U5060" s="8">
        <v>0</v>
      </c>
      <c r="V5060" s="7">
        <v>46080</v>
      </c>
      <c r="X5060" s="8">
        <v>0</v>
      </c>
      <c r="Z5060" s="8">
        <v>0</v>
      </c>
      <c r="AA5060" s="7">
        <v>46092</v>
      </c>
      <c r="AC5060" s="8">
        <v>0</v>
      </c>
      <c r="AE5060" s="7">
        <v>46094</v>
      </c>
      <c r="AF5060" s="8">
        <v>0</v>
      </c>
      <c r="AH5060" s="7">
        <v>46094</v>
      </c>
      <c r="AN5060" s="8">
        <v>0</v>
      </c>
      <c r="AO5060" s="8">
        <v>480</v>
      </c>
    </row>
    <row r="5061" spans="1:41" x14ac:dyDescent="0.25">
      <c r="A5061" s="6" t="str">
        <f>"525-2026000007"</f>
        <v>525-2026000007</v>
      </c>
      <c r="B5061" s="6" t="str">
        <f t="shared" si="1330"/>
        <v>Lasa Int</v>
      </c>
      <c r="C5061" s="7">
        <v>46035</v>
      </c>
      <c r="D5061" s="7">
        <v>46094</v>
      </c>
      <c r="E5061" s="8">
        <v>2</v>
      </c>
      <c r="F5061" s="6" t="str">
        <f>"Luxor"</f>
        <v>Luxor</v>
      </c>
      <c r="G5061" s="6" t="str">
        <f>"F130023460000000"</f>
        <v>F130023460000000</v>
      </c>
      <c r="H5061" s="6" t="str">
        <f>"FAP 234 - LUXOR - 60"</f>
        <v>FAP 234 - LUXOR - 60</v>
      </c>
      <c r="I5061" s="6" t="str">
        <f>"1"</f>
        <v>1</v>
      </c>
      <c r="J5061" s="6" t="str">
        <f>"BRANCO"</f>
        <v>BRANCO</v>
      </c>
      <c r="K5061" s="6" t="str">
        <f>"1024"</f>
        <v>1024</v>
      </c>
      <c r="L5061" s="6" t="str">
        <f>"Toalhas"</f>
        <v>Toalhas</v>
      </c>
      <c r="M5061" s="6" t="str">
        <f>"50x100"</f>
        <v>50x100</v>
      </c>
      <c r="N5061" s="6" t="str">
        <f>"5605247529403"</f>
        <v>5605247529403</v>
      </c>
      <c r="O5061" s="8">
        <v>960</v>
      </c>
      <c r="P5061" s="7">
        <v>46064</v>
      </c>
      <c r="R5061" s="8">
        <v>1136</v>
      </c>
      <c r="S5061" s="7">
        <v>46071</v>
      </c>
      <c r="U5061" s="8">
        <v>0</v>
      </c>
      <c r="V5061" s="7">
        <v>46080</v>
      </c>
      <c r="X5061" s="8">
        <v>0</v>
      </c>
      <c r="Z5061" s="8">
        <v>0</v>
      </c>
      <c r="AA5061" s="7">
        <v>46092</v>
      </c>
      <c r="AC5061" s="8">
        <v>0</v>
      </c>
      <c r="AE5061" s="7">
        <v>46094</v>
      </c>
      <c r="AF5061" s="8">
        <v>0</v>
      </c>
      <c r="AH5061" s="7">
        <v>46094</v>
      </c>
      <c r="AN5061" s="8">
        <v>0</v>
      </c>
      <c r="AO5061" s="8">
        <v>960</v>
      </c>
    </row>
    <row r="5062" spans="1:41" x14ac:dyDescent="0.25">
      <c r="A5062" s="6" t="str">
        <f>"525-2026000007"</f>
        <v>525-2026000007</v>
      </c>
      <c r="B5062" s="6" t="str">
        <f t="shared" si="1330"/>
        <v>Lasa Int</v>
      </c>
      <c r="C5062" s="7">
        <v>46035</v>
      </c>
      <c r="D5062" s="7">
        <v>46094</v>
      </c>
      <c r="E5062" s="8">
        <v>3</v>
      </c>
      <c r="F5062" s="6" t="str">
        <f>"Luxor"</f>
        <v>Luxor</v>
      </c>
      <c r="G5062" s="6" t="str">
        <f>"F130023460000000"</f>
        <v>F130023460000000</v>
      </c>
      <c r="H5062" s="6" t="str">
        <f>"FAP 234 - LUXOR - 60"</f>
        <v>FAP 234 - LUXOR - 60</v>
      </c>
      <c r="I5062" s="6" t="str">
        <f>"1"</f>
        <v>1</v>
      </c>
      <c r="J5062" s="6" t="str">
        <f>"BRANCO"</f>
        <v>BRANCO</v>
      </c>
      <c r="K5062" s="6" t="str">
        <f>"1532"</f>
        <v>1532</v>
      </c>
      <c r="L5062" s="6" t="str">
        <f>"Toalhões"</f>
        <v>Toalhões</v>
      </c>
      <c r="M5062" s="6" t="str">
        <f>"70x130"</f>
        <v>70x130</v>
      </c>
      <c r="N5062" s="6" t="str">
        <f>"5605247544383"</f>
        <v>5605247544383</v>
      </c>
      <c r="O5062" s="8">
        <v>480</v>
      </c>
      <c r="P5062" s="7">
        <v>46064</v>
      </c>
      <c r="R5062" s="8">
        <v>567</v>
      </c>
      <c r="S5062" s="7">
        <v>46071</v>
      </c>
      <c r="U5062" s="8">
        <v>0</v>
      </c>
      <c r="V5062" s="7">
        <v>46080</v>
      </c>
      <c r="X5062" s="8">
        <v>0</v>
      </c>
      <c r="Z5062" s="8">
        <v>0</v>
      </c>
      <c r="AA5062" s="7">
        <v>46092</v>
      </c>
      <c r="AC5062" s="8">
        <v>0</v>
      </c>
      <c r="AE5062" s="7">
        <v>46094</v>
      </c>
      <c r="AF5062" s="8">
        <v>0</v>
      </c>
      <c r="AH5062" s="7">
        <v>46094</v>
      </c>
      <c r="AN5062" s="8">
        <v>0</v>
      </c>
      <c r="AO5062" s="8">
        <v>480</v>
      </c>
    </row>
    <row r="5063" spans="1:41" x14ac:dyDescent="0.25">
      <c r="A5063" s="6" t="str">
        <f>"525-2026000007"</f>
        <v>525-2026000007</v>
      </c>
      <c r="B5063" s="6" t="str">
        <f t="shared" si="1330"/>
        <v>Lasa Int</v>
      </c>
      <c r="C5063" s="7">
        <v>46035</v>
      </c>
      <c r="D5063" s="7">
        <v>46094</v>
      </c>
      <c r="E5063" s="8">
        <v>4</v>
      </c>
      <c r="F5063" s="6" t="str">
        <f>"Luxor"</f>
        <v>Luxor</v>
      </c>
      <c r="G5063" s="6" t="str">
        <f>"F130023460000000"</f>
        <v>F130023460000000</v>
      </c>
      <c r="H5063" s="6" t="str">
        <f>"FAP 234 - LUXOR - 60"</f>
        <v>FAP 234 - LUXOR - 60</v>
      </c>
      <c r="I5063" s="6" t="str">
        <f>"3235"</f>
        <v>3235</v>
      </c>
      <c r="J5063" s="6" t="str">
        <f>"CINZA 3235"</f>
        <v>CINZA 3235</v>
      </c>
      <c r="K5063" s="6" t="str">
        <f>"0320"</f>
        <v>0320</v>
      </c>
      <c r="L5063" s="6" t="str">
        <f>"Panos"</f>
        <v>Panos</v>
      </c>
      <c r="M5063" s="6" t="str">
        <f>"30x30"</f>
        <v>30x30</v>
      </c>
      <c r="N5063" s="6" t="str">
        <f>"5605247639751"</f>
        <v>5605247639751</v>
      </c>
      <c r="O5063" s="8">
        <v>600</v>
      </c>
      <c r="P5063" s="7">
        <v>46064</v>
      </c>
      <c r="R5063" s="8">
        <v>0</v>
      </c>
      <c r="S5063" s="7">
        <v>46071</v>
      </c>
      <c r="U5063" s="8">
        <v>0</v>
      </c>
      <c r="V5063" s="7">
        <v>46080</v>
      </c>
      <c r="X5063" s="8">
        <v>0</v>
      </c>
      <c r="Z5063" s="8">
        <v>0</v>
      </c>
      <c r="AA5063" s="7">
        <v>46092</v>
      </c>
      <c r="AC5063" s="8">
        <v>0</v>
      </c>
      <c r="AE5063" s="7">
        <v>46094</v>
      </c>
      <c r="AF5063" s="8">
        <v>0</v>
      </c>
      <c r="AH5063" s="7">
        <v>46094</v>
      </c>
      <c r="AN5063" s="8">
        <v>0</v>
      </c>
      <c r="AO5063" s="8">
        <v>600</v>
      </c>
    </row>
    <row r="5064" spans="1:41" x14ac:dyDescent="0.25">
      <c r="A5064" s="6" t="str">
        <f>"525-2026000008"</f>
        <v>525-2026000008</v>
      </c>
      <c r="B5064" s="6" t="str">
        <f>"KLEINMAN"</f>
        <v>KLEINMAN</v>
      </c>
      <c r="C5064" s="7">
        <v>46035</v>
      </c>
      <c r="D5064" s="7">
        <v>46042</v>
      </c>
      <c r="E5064" s="8">
        <v>1</v>
      </c>
      <c r="F5064" s="6" t="str">
        <f>"CLIENTE VOLKS-KUNST"</f>
        <v>CLIENTE VOLKS-KUNST</v>
      </c>
      <c r="G5064" s="6" t="str">
        <f>"F130023460003725"</f>
        <v>F130023460003725</v>
      </c>
      <c r="H5064" s="6" t="str">
        <f>"FAP 234 / 3725 - 600"</f>
        <v>FAP 234 / 3725 - 600</v>
      </c>
      <c r="I5064" s="6" t="str">
        <f>"1"</f>
        <v>1</v>
      </c>
      <c r="J5064" s="6" t="str">
        <f>"BRANCO"</f>
        <v>BRANCO</v>
      </c>
      <c r="K5064" s="6" t="str">
        <f>"0520"</f>
        <v>0520</v>
      </c>
      <c r="L5064" s="6" t="str">
        <f>"Toalhetes"</f>
        <v>Toalhetes</v>
      </c>
      <c r="M5064" s="6" t="str">
        <f>"30x50"</f>
        <v>30x50</v>
      </c>
      <c r="N5064" s="6" t="str">
        <f>"5605247928206"</f>
        <v>5605247928206</v>
      </c>
      <c r="O5064" s="8">
        <v>60</v>
      </c>
      <c r="P5064" s="7">
        <v>46035</v>
      </c>
      <c r="R5064" s="8">
        <v>0</v>
      </c>
      <c r="U5064" s="8">
        <v>0</v>
      </c>
      <c r="X5064" s="8">
        <v>0</v>
      </c>
      <c r="Z5064" s="8">
        <v>0</v>
      </c>
      <c r="AC5064" s="8">
        <v>60</v>
      </c>
      <c r="AE5064" s="7">
        <v>46042</v>
      </c>
      <c r="AF5064" s="8">
        <v>60</v>
      </c>
      <c r="AH5064" s="7">
        <v>46042</v>
      </c>
      <c r="AN5064" s="8">
        <v>60</v>
      </c>
      <c r="AO5064" s="8">
        <v>0</v>
      </c>
    </row>
    <row r="5065" spans="1:41" x14ac:dyDescent="0.25">
      <c r="A5065" s="6" t="str">
        <f t="shared" ref="A5065:A5074" si="1331">"525-2026000009"</f>
        <v>525-2026000009</v>
      </c>
      <c r="B5065" s="6" t="str">
        <f t="shared" ref="B5065:B5100" si="1332">"Lasa Int"</f>
        <v>Lasa Int</v>
      </c>
      <c r="C5065" s="7">
        <v>46035</v>
      </c>
      <c r="D5065" s="7">
        <v>46072</v>
      </c>
      <c r="E5065" s="8">
        <v>1</v>
      </c>
      <c r="F5065" s="6" t="str">
        <f t="shared" ref="F5065:F5074" si="1333">"Alpha"</f>
        <v>Alpha</v>
      </c>
      <c r="G5065" s="6" t="str">
        <f t="shared" ref="G5065:G5074" si="1334">"F100023140000000"</f>
        <v>F100023140000000</v>
      </c>
      <c r="H5065" s="6" t="str">
        <f t="shared" ref="H5065:H5074" si="1335">"FA 231 - 400 g/m²"</f>
        <v>FA 231 - 400 g/m²</v>
      </c>
      <c r="I5065" s="6" t="str">
        <f>"1"</f>
        <v>1</v>
      </c>
      <c r="J5065" s="6" t="str">
        <f>"BRANCO"</f>
        <v>BRANCO</v>
      </c>
      <c r="K5065" s="6" t="str">
        <f>"0320"</f>
        <v>0320</v>
      </c>
      <c r="L5065" s="6" t="str">
        <f>"Panos"</f>
        <v>Panos</v>
      </c>
      <c r="M5065" s="6" t="str">
        <f>"30x30"</f>
        <v>30x30</v>
      </c>
      <c r="N5065" s="6" t="str">
        <f>"5602972713121"</f>
        <v>5602972713121</v>
      </c>
      <c r="O5065" s="8">
        <v>900</v>
      </c>
      <c r="P5065" s="7">
        <v>46035</v>
      </c>
      <c r="R5065" s="8">
        <v>0</v>
      </c>
      <c r="S5065" s="7">
        <v>46038</v>
      </c>
      <c r="U5065" s="8">
        <v>900</v>
      </c>
      <c r="V5065" s="7">
        <v>46051</v>
      </c>
      <c r="X5065" s="8">
        <v>0</v>
      </c>
      <c r="Z5065" s="8">
        <v>900</v>
      </c>
      <c r="AA5065" s="7">
        <v>46065</v>
      </c>
      <c r="AC5065" s="8">
        <v>0</v>
      </c>
      <c r="AE5065" s="7">
        <v>46072</v>
      </c>
      <c r="AF5065" s="8">
        <v>0</v>
      </c>
      <c r="AH5065" s="7">
        <v>46072</v>
      </c>
      <c r="AN5065" s="8">
        <v>0</v>
      </c>
      <c r="AO5065" s="8">
        <v>900</v>
      </c>
    </row>
    <row r="5066" spans="1:41" x14ac:dyDescent="0.25">
      <c r="A5066" s="6" t="str">
        <f t="shared" si="1331"/>
        <v>525-2026000009</v>
      </c>
      <c r="B5066" s="6" t="str">
        <f t="shared" si="1332"/>
        <v>Lasa Int</v>
      </c>
      <c r="C5066" s="7">
        <v>46035</v>
      </c>
      <c r="D5066" s="7">
        <v>46072</v>
      </c>
      <c r="E5066" s="8">
        <v>2</v>
      </c>
      <c r="F5066" s="6" t="str">
        <f t="shared" si="1333"/>
        <v>Alpha</v>
      </c>
      <c r="G5066" s="6" t="str">
        <f t="shared" si="1334"/>
        <v>F100023140000000</v>
      </c>
      <c r="H5066" s="6" t="str">
        <f t="shared" si="1335"/>
        <v>FA 231 - 400 g/m²</v>
      </c>
      <c r="I5066" s="6" t="str">
        <f>"1"</f>
        <v>1</v>
      </c>
      <c r="J5066" s="6" t="str">
        <f>"BRANCO"</f>
        <v>BRANCO</v>
      </c>
      <c r="K5066" s="6" t="str">
        <f>"1020"</f>
        <v>1020</v>
      </c>
      <c r="L5066" s="6" t="str">
        <f>"Toalhas"</f>
        <v>Toalhas</v>
      </c>
      <c r="M5066" s="6" t="str">
        <f>"50x90"</f>
        <v>50x90</v>
      </c>
      <c r="N5066" s="6" t="str">
        <f>"5602972713145"</f>
        <v>5602972713145</v>
      </c>
      <c r="O5066" s="8">
        <v>480</v>
      </c>
      <c r="P5066" s="7">
        <v>46035</v>
      </c>
      <c r="R5066" s="8">
        <v>0</v>
      </c>
      <c r="S5066" s="7">
        <v>46038</v>
      </c>
      <c r="U5066" s="8">
        <v>480</v>
      </c>
      <c r="V5066" s="7">
        <v>46051</v>
      </c>
      <c r="X5066" s="8">
        <v>0</v>
      </c>
      <c r="Z5066" s="8">
        <v>480</v>
      </c>
      <c r="AA5066" s="7">
        <v>46065</v>
      </c>
      <c r="AC5066" s="8">
        <v>0</v>
      </c>
      <c r="AE5066" s="7">
        <v>46072</v>
      </c>
      <c r="AF5066" s="8">
        <v>0</v>
      </c>
      <c r="AH5066" s="7">
        <v>46072</v>
      </c>
      <c r="AN5066" s="8">
        <v>0</v>
      </c>
      <c r="AO5066" s="8">
        <v>480</v>
      </c>
    </row>
    <row r="5067" spans="1:41" x14ac:dyDescent="0.25">
      <c r="A5067" s="6" t="str">
        <f t="shared" si="1331"/>
        <v>525-2026000009</v>
      </c>
      <c r="B5067" s="6" t="str">
        <f t="shared" si="1332"/>
        <v>Lasa Int</v>
      </c>
      <c r="C5067" s="7">
        <v>46035</v>
      </c>
      <c r="D5067" s="7">
        <v>46072</v>
      </c>
      <c r="E5067" s="8">
        <v>3</v>
      </c>
      <c r="F5067" s="6" t="str">
        <f t="shared" si="1333"/>
        <v>Alpha</v>
      </c>
      <c r="G5067" s="6" t="str">
        <f t="shared" si="1334"/>
        <v>F100023140000000</v>
      </c>
      <c r="H5067" s="6" t="str">
        <f t="shared" si="1335"/>
        <v>FA 231 - 400 g/m²</v>
      </c>
      <c r="I5067" s="6" t="str">
        <f>"1"</f>
        <v>1</v>
      </c>
      <c r="J5067" s="6" t="str">
        <f>"BRANCO"</f>
        <v>BRANCO</v>
      </c>
      <c r="K5067" s="6" t="str">
        <f>"1532"</f>
        <v>1532</v>
      </c>
      <c r="L5067" s="6" t="str">
        <f>"Toalhões"</f>
        <v>Toalhões</v>
      </c>
      <c r="M5067" s="6" t="str">
        <f>"70x130"</f>
        <v>70x130</v>
      </c>
      <c r="N5067" s="6" t="str">
        <f>"5602972713152"</f>
        <v>5602972713152</v>
      </c>
      <c r="O5067" s="8">
        <v>120</v>
      </c>
      <c r="P5067" s="7">
        <v>46035</v>
      </c>
      <c r="R5067" s="8">
        <v>0</v>
      </c>
      <c r="S5067" s="7">
        <v>46038</v>
      </c>
      <c r="U5067" s="8">
        <v>120</v>
      </c>
      <c r="V5067" s="7">
        <v>46051</v>
      </c>
      <c r="X5067" s="8">
        <v>0</v>
      </c>
      <c r="Z5067" s="8">
        <v>120</v>
      </c>
      <c r="AA5067" s="7">
        <v>46065</v>
      </c>
      <c r="AC5067" s="8">
        <v>26</v>
      </c>
      <c r="AE5067" s="7">
        <v>46072</v>
      </c>
      <c r="AF5067" s="8">
        <v>26</v>
      </c>
      <c r="AH5067" s="7">
        <v>46072</v>
      </c>
      <c r="AN5067" s="8">
        <v>26</v>
      </c>
      <c r="AO5067" s="8">
        <v>94</v>
      </c>
    </row>
    <row r="5068" spans="1:41" x14ac:dyDescent="0.25">
      <c r="A5068" s="6" t="str">
        <f t="shared" si="1331"/>
        <v>525-2026000009</v>
      </c>
      <c r="B5068" s="6" t="str">
        <f t="shared" si="1332"/>
        <v>Lasa Int</v>
      </c>
      <c r="C5068" s="7">
        <v>46035</v>
      </c>
      <c r="D5068" s="7">
        <v>46072</v>
      </c>
      <c r="E5068" s="8">
        <v>4</v>
      </c>
      <c r="F5068" s="6" t="str">
        <f t="shared" si="1333"/>
        <v>Alpha</v>
      </c>
      <c r="G5068" s="6" t="str">
        <f t="shared" si="1334"/>
        <v>F100023140000000</v>
      </c>
      <c r="H5068" s="6" t="str">
        <f t="shared" si="1335"/>
        <v>FA 231 - 400 g/m²</v>
      </c>
      <c r="I5068" s="6" t="str">
        <f>"2094"</f>
        <v>2094</v>
      </c>
      <c r="J5068" s="6" t="str">
        <f>"AZUL 2094"</f>
        <v>AZUL 2094</v>
      </c>
      <c r="K5068" s="6" t="str">
        <f>"0112"</f>
        <v>0112</v>
      </c>
      <c r="L5068" s="6" t="str">
        <f>"Luvas"</f>
        <v>Luvas</v>
      </c>
      <c r="M5068" s="6" t="str">
        <f>"16x21"</f>
        <v>16x21</v>
      </c>
      <c r="N5068" s="6" t="str">
        <f>"5602972713411"</f>
        <v>5602972713411</v>
      </c>
      <c r="O5068" s="8">
        <v>900</v>
      </c>
      <c r="P5068" s="7">
        <v>46035</v>
      </c>
      <c r="R5068" s="8">
        <v>0</v>
      </c>
      <c r="S5068" s="7">
        <v>46038</v>
      </c>
      <c r="U5068" s="8">
        <v>900</v>
      </c>
      <c r="V5068" s="7">
        <v>46051</v>
      </c>
      <c r="X5068" s="8">
        <v>0</v>
      </c>
      <c r="Z5068" s="8">
        <v>0</v>
      </c>
      <c r="AA5068" s="7">
        <v>46065</v>
      </c>
      <c r="AC5068" s="8">
        <v>0</v>
      </c>
      <c r="AE5068" s="7">
        <v>46072</v>
      </c>
      <c r="AF5068" s="8">
        <v>0</v>
      </c>
      <c r="AH5068" s="7">
        <v>46072</v>
      </c>
      <c r="AN5068" s="8">
        <v>0</v>
      </c>
      <c r="AO5068" s="8">
        <v>900</v>
      </c>
    </row>
    <row r="5069" spans="1:41" x14ac:dyDescent="0.25">
      <c r="A5069" s="6" t="str">
        <f t="shared" si="1331"/>
        <v>525-2026000009</v>
      </c>
      <c r="B5069" s="6" t="str">
        <f t="shared" si="1332"/>
        <v>Lasa Int</v>
      </c>
      <c r="C5069" s="7">
        <v>46035</v>
      </c>
      <c r="D5069" s="7">
        <v>46072</v>
      </c>
      <c r="E5069" s="8">
        <v>5</v>
      </c>
      <c r="F5069" s="6" t="str">
        <f t="shared" si="1333"/>
        <v>Alpha</v>
      </c>
      <c r="G5069" s="6" t="str">
        <f t="shared" si="1334"/>
        <v>F100023140000000</v>
      </c>
      <c r="H5069" s="6" t="str">
        <f t="shared" si="1335"/>
        <v>FA 231 - 400 g/m²</v>
      </c>
      <c r="I5069" s="6" t="str">
        <f>"2094"</f>
        <v>2094</v>
      </c>
      <c r="J5069" s="6" t="str">
        <f>"AZUL 2094"</f>
        <v>AZUL 2094</v>
      </c>
      <c r="K5069" s="6" t="str">
        <f>"1020"</f>
        <v>1020</v>
      </c>
      <c r="L5069" s="6" t="str">
        <f>"Toalhas"</f>
        <v>Toalhas</v>
      </c>
      <c r="M5069" s="6" t="str">
        <f>"50x90"</f>
        <v>50x90</v>
      </c>
      <c r="N5069" s="6" t="str">
        <f>"5602972713442"</f>
        <v>5602972713442</v>
      </c>
      <c r="O5069" s="8">
        <v>240</v>
      </c>
      <c r="P5069" s="7">
        <v>46035</v>
      </c>
      <c r="R5069" s="8">
        <v>0</v>
      </c>
      <c r="S5069" s="7">
        <v>46038</v>
      </c>
      <c r="U5069" s="8">
        <v>240</v>
      </c>
      <c r="V5069" s="7">
        <v>46051</v>
      </c>
      <c r="X5069" s="8">
        <v>0</v>
      </c>
      <c r="Z5069" s="8">
        <v>0</v>
      </c>
      <c r="AA5069" s="7">
        <v>46065</v>
      </c>
      <c r="AC5069" s="8">
        <v>0</v>
      </c>
      <c r="AE5069" s="7">
        <v>46072</v>
      </c>
      <c r="AF5069" s="8">
        <v>0</v>
      </c>
      <c r="AH5069" s="7">
        <v>46072</v>
      </c>
      <c r="AN5069" s="8">
        <v>0</v>
      </c>
      <c r="AO5069" s="8">
        <v>240</v>
      </c>
    </row>
    <row r="5070" spans="1:41" x14ac:dyDescent="0.25">
      <c r="A5070" s="6" t="str">
        <f t="shared" si="1331"/>
        <v>525-2026000009</v>
      </c>
      <c r="B5070" s="6" t="str">
        <f t="shared" si="1332"/>
        <v>Lasa Int</v>
      </c>
      <c r="C5070" s="7">
        <v>46035</v>
      </c>
      <c r="D5070" s="7">
        <v>46072</v>
      </c>
      <c r="E5070" s="8">
        <v>6</v>
      </c>
      <c r="F5070" s="6" t="str">
        <f t="shared" si="1333"/>
        <v>Alpha</v>
      </c>
      <c r="G5070" s="6" t="str">
        <f t="shared" si="1334"/>
        <v>F100023140000000</v>
      </c>
      <c r="H5070" s="6" t="str">
        <f t="shared" si="1335"/>
        <v>FA 231 - 400 g/m²</v>
      </c>
      <c r="I5070" s="6" t="str">
        <f>"2094"</f>
        <v>2094</v>
      </c>
      <c r="J5070" s="6" t="str">
        <f>"AZUL 2094"</f>
        <v>AZUL 2094</v>
      </c>
      <c r="K5070" s="6" t="str">
        <f>"1532"</f>
        <v>1532</v>
      </c>
      <c r="L5070" s="6" t="str">
        <f>"Toalhões"</f>
        <v>Toalhões</v>
      </c>
      <c r="M5070" s="6" t="str">
        <f>"70x130"</f>
        <v>70x130</v>
      </c>
      <c r="N5070" s="6" t="str">
        <f>"5602972713459"</f>
        <v>5602972713459</v>
      </c>
      <c r="O5070" s="8">
        <v>360</v>
      </c>
      <c r="P5070" s="7">
        <v>46035</v>
      </c>
      <c r="R5070" s="8">
        <v>0</v>
      </c>
      <c r="S5070" s="7">
        <v>46038</v>
      </c>
      <c r="U5070" s="8">
        <v>360</v>
      </c>
      <c r="V5070" s="7">
        <v>46051</v>
      </c>
      <c r="X5070" s="8">
        <v>0</v>
      </c>
      <c r="Z5070" s="8">
        <v>0</v>
      </c>
      <c r="AA5070" s="7">
        <v>46065</v>
      </c>
      <c r="AC5070" s="8">
        <v>0</v>
      </c>
      <c r="AE5070" s="7">
        <v>46072</v>
      </c>
      <c r="AF5070" s="8">
        <v>0</v>
      </c>
      <c r="AH5070" s="7">
        <v>46072</v>
      </c>
      <c r="AN5070" s="8">
        <v>0</v>
      </c>
      <c r="AO5070" s="8">
        <v>360</v>
      </c>
    </row>
    <row r="5071" spans="1:41" x14ac:dyDescent="0.25">
      <c r="A5071" s="6" t="str">
        <f t="shared" si="1331"/>
        <v>525-2026000009</v>
      </c>
      <c r="B5071" s="6" t="str">
        <f t="shared" si="1332"/>
        <v>Lasa Int</v>
      </c>
      <c r="C5071" s="7">
        <v>46035</v>
      </c>
      <c r="D5071" s="7">
        <v>46072</v>
      </c>
      <c r="E5071" s="8">
        <v>7</v>
      </c>
      <c r="F5071" s="6" t="str">
        <f t="shared" si="1333"/>
        <v>Alpha</v>
      </c>
      <c r="G5071" s="6" t="str">
        <f t="shared" si="1334"/>
        <v>F100023140000000</v>
      </c>
      <c r="H5071" s="6" t="str">
        <f t="shared" si="1335"/>
        <v>FA 231 - 400 g/m²</v>
      </c>
      <c r="I5071" s="6" t="str">
        <f>"2612"</f>
        <v>2612</v>
      </c>
      <c r="J5071" s="6" t="str">
        <f>"VERDE 2612"</f>
        <v>VERDE 2612</v>
      </c>
      <c r="K5071" s="6" t="str">
        <f>"0112"</f>
        <v>0112</v>
      </c>
      <c r="L5071" s="6" t="str">
        <f>"Luvas"</f>
        <v>Luvas</v>
      </c>
      <c r="M5071" s="6" t="str">
        <f>"16x21"</f>
        <v>16x21</v>
      </c>
      <c r="N5071" s="6" t="str">
        <f>"5602972713596"</f>
        <v>5602972713596</v>
      </c>
      <c r="O5071" s="8">
        <v>1200</v>
      </c>
      <c r="P5071" s="7">
        <v>46035</v>
      </c>
      <c r="R5071" s="8">
        <v>0</v>
      </c>
      <c r="S5071" s="7">
        <v>46038</v>
      </c>
      <c r="U5071" s="8">
        <v>1200</v>
      </c>
      <c r="V5071" s="7">
        <v>46051</v>
      </c>
      <c r="X5071" s="8">
        <v>0</v>
      </c>
      <c r="Z5071" s="8">
        <v>1200</v>
      </c>
      <c r="AA5071" s="7">
        <v>46065</v>
      </c>
      <c r="AC5071" s="8">
        <v>0</v>
      </c>
      <c r="AE5071" s="7">
        <v>46072</v>
      </c>
      <c r="AF5071" s="8">
        <v>0</v>
      </c>
      <c r="AH5071" s="7">
        <v>46072</v>
      </c>
      <c r="AN5071" s="8">
        <v>0</v>
      </c>
      <c r="AO5071" s="8">
        <v>1200</v>
      </c>
    </row>
    <row r="5072" spans="1:41" x14ac:dyDescent="0.25">
      <c r="A5072" s="6" t="str">
        <f t="shared" si="1331"/>
        <v>525-2026000009</v>
      </c>
      <c r="B5072" s="6" t="str">
        <f t="shared" si="1332"/>
        <v>Lasa Int</v>
      </c>
      <c r="C5072" s="7">
        <v>46035</v>
      </c>
      <c r="D5072" s="7">
        <v>46072</v>
      </c>
      <c r="E5072" s="8">
        <v>8</v>
      </c>
      <c r="F5072" s="6" t="str">
        <f t="shared" si="1333"/>
        <v>Alpha</v>
      </c>
      <c r="G5072" s="6" t="str">
        <f t="shared" si="1334"/>
        <v>F100023140000000</v>
      </c>
      <c r="H5072" s="6" t="str">
        <f t="shared" si="1335"/>
        <v>FA 231 - 400 g/m²</v>
      </c>
      <c r="I5072" s="6" t="str">
        <f>"3"</f>
        <v>3</v>
      </c>
      <c r="J5072" s="6" t="str">
        <f>"PRETO Sulf"</f>
        <v>PRETO Sulf</v>
      </c>
      <c r="K5072" s="6" t="str">
        <f>"0320"</f>
        <v>0320</v>
      </c>
      <c r="L5072" s="6" t="str">
        <f>"Panos"</f>
        <v>Panos</v>
      </c>
      <c r="M5072" s="6" t="str">
        <f>"30x30"</f>
        <v>30x30</v>
      </c>
      <c r="N5072" s="6" t="str">
        <f>"5602972713664"</f>
        <v>5602972713664</v>
      </c>
      <c r="O5072" s="8">
        <v>900</v>
      </c>
      <c r="P5072" s="7">
        <v>46035</v>
      </c>
      <c r="R5072" s="8">
        <v>0</v>
      </c>
      <c r="S5072" s="7">
        <v>46038</v>
      </c>
      <c r="U5072" s="8">
        <v>900</v>
      </c>
      <c r="V5072" s="7">
        <v>46051</v>
      </c>
      <c r="X5072" s="8">
        <v>0</v>
      </c>
      <c r="Z5072" s="8">
        <v>0</v>
      </c>
      <c r="AA5072" s="7">
        <v>46065</v>
      </c>
      <c r="AC5072" s="8">
        <v>0</v>
      </c>
      <c r="AE5072" s="7">
        <v>46072</v>
      </c>
      <c r="AF5072" s="8">
        <v>0</v>
      </c>
      <c r="AH5072" s="7">
        <v>46072</v>
      </c>
      <c r="AN5072" s="8">
        <v>0</v>
      </c>
      <c r="AO5072" s="8">
        <v>900</v>
      </c>
    </row>
    <row r="5073" spans="1:41" x14ac:dyDescent="0.25">
      <c r="A5073" s="6" t="str">
        <f t="shared" si="1331"/>
        <v>525-2026000009</v>
      </c>
      <c r="B5073" s="6" t="str">
        <f t="shared" si="1332"/>
        <v>Lasa Int</v>
      </c>
      <c r="C5073" s="7">
        <v>46035</v>
      </c>
      <c r="D5073" s="7">
        <v>46072</v>
      </c>
      <c r="E5073" s="8">
        <v>9</v>
      </c>
      <c r="F5073" s="6" t="str">
        <f t="shared" si="1333"/>
        <v>Alpha</v>
      </c>
      <c r="G5073" s="6" t="str">
        <f t="shared" si="1334"/>
        <v>F100023140000000</v>
      </c>
      <c r="H5073" s="6" t="str">
        <f t="shared" si="1335"/>
        <v>FA 231 - 400 g/m²</v>
      </c>
      <c r="I5073" s="6" t="str">
        <f>"3"</f>
        <v>3</v>
      </c>
      <c r="J5073" s="6" t="str">
        <f>"PRETO Sulf"</f>
        <v>PRETO Sulf</v>
      </c>
      <c r="K5073" s="6" t="str">
        <f>"1532"</f>
        <v>1532</v>
      </c>
      <c r="L5073" s="6" t="str">
        <f>"Toalhões"</f>
        <v>Toalhões</v>
      </c>
      <c r="M5073" s="6" t="str">
        <f>"70x130"</f>
        <v>70x130</v>
      </c>
      <c r="N5073" s="6" t="str">
        <f>"5602972713695"</f>
        <v>5602972713695</v>
      </c>
      <c r="O5073" s="8">
        <v>240</v>
      </c>
      <c r="P5073" s="7">
        <v>46035</v>
      </c>
      <c r="R5073" s="8">
        <v>0</v>
      </c>
      <c r="S5073" s="7">
        <v>46038</v>
      </c>
      <c r="U5073" s="8">
        <v>240</v>
      </c>
      <c r="V5073" s="7">
        <v>46051</v>
      </c>
      <c r="X5073" s="8">
        <v>0</v>
      </c>
      <c r="Z5073" s="8">
        <v>0</v>
      </c>
      <c r="AA5073" s="7">
        <v>46065</v>
      </c>
      <c r="AC5073" s="8">
        <v>0</v>
      </c>
      <c r="AE5073" s="7">
        <v>46072</v>
      </c>
      <c r="AF5073" s="8">
        <v>0</v>
      </c>
      <c r="AH5073" s="7">
        <v>46072</v>
      </c>
      <c r="AN5073" s="8">
        <v>0</v>
      </c>
      <c r="AO5073" s="8">
        <v>240</v>
      </c>
    </row>
    <row r="5074" spans="1:41" x14ac:dyDescent="0.25">
      <c r="A5074" s="6" t="str">
        <f t="shared" si="1331"/>
        <v>525-2026000009</v>
      </c>
      <c r="B5074" s="6" t="str">
        <f t="shared" si="1332"/>
        <v>Lasa Int</v>
      </c>
      <c r="C5074" s="7">
        <v>46035</v>
      </c>
      <c r="D5074" s="7">
        <v>46072</v>
      </c>
      <c r="E5074" s="8">
        <v>10</v>
      </c>
      <c r="F5074" s="6" t="str">
        <f t="shared" si="1333"/>
        <v>Alpha</v>
      </c>
      <c r="G5074" s="6" t="str">
        <f t="shared" si="1334"/>
        <v>F100023140000000</v>
      </c>
      <c r="H5074" s="6" t="str">
        <f t="shared" si="1335"/>
        <v>FA 231 - 400 g/m²</v>
      </c>
      <c r="I5074" s="6" t="str">
        <f>"3235"</f>
        <v>3235</v>
      </c>
      <c r="J5074" s="6" t="str">
        <f>"CINZA 3235"</f>
        <v>CINZA 3235</v>
      </c>
      <c r="K5074" s="6" t="str">
        <f>"0112"</f>
        <v>0112</v>
      </c>
      <c r="L5074" s="6" t="str">
        <f>"Luvas"</f>
        <v>Luvas</v>
      </c>
      <c r="M5074" s="6" t="str">
        <f>"16x21"</f>
        <v>16x21</v>
      </c>
      <c r="N5074" s="6" t="str">
        <f>"5602972713718"</f>
        <v>5602972713718</v>
      </c>
      <c r="O5074" s="8">
        <v>900</v>
      </c>
      <c r="P5074" s="7">
        <v>46035</v>
      </c>
      <c r="R5074" s="8">
        <v>0</v>
      </c>
      <c r="S5074" s="7">
        <v>46038</v>
      </c>
      <c r="U5074" s="8">
        <v>900</v>
      </c>
      <c r="V5074" s="7">
        <v>46051</v>
      </c>
      <c r="X5074" s="8">
        <v>0</v>
      </c>
      <c r="Z5074" s="8">
        <v>900</v>
      </c>
      <c r="AA5074" s="7">
        <v>46065</v>
      </c>
      <c r="AC5074" s="8">
        <v>0</v>
      </c>
      <c r="AE5074" s="7">
        <v>46072</v>
      </c>
      <c r="AF5074" s="8">
        <v>0</v>
      </c>
      <c r="AH5074" s="7">
        <v>46072</v>
      </c>
      <c r="AN5074" s="8">
        <v>0</v>
      </c>
      <c r="AO5074" s="8">
        <v>900</v>
      </c>
    </row>
    <row r="5075" spans="1:41" x14ac:dyDescent="0.25">
      <c r="A5075" s="6" t="str">
        <f t="shared" ref="A5075:A5083" si="1336">"525-2026000010"</f>
        <v>525-2026000010</v>
      </c>
      <c r="B5075" s="6" t="str">
        <f t="shared" si="1332"/>
        <v>Lasa Int</v>
      </c>
      <c r="C5075" s="7">
        <v>46035</v>
      </c>
      <c r="D5075" s="7">
        <v>46112</v>
      </c>
      <c r="E5075" s="8">
        <v>1</v>
      </c>
      <c r="F5075" s="6" t="str">
        <f t="shared" ref="F5075:F5083" si="1337">"PURE R"</f>
        <v>PURE R</v>
      </c>
      <c r="G5075" s="6" t="str">
        <f>"K018000135000000"</f>
        <v>K018000135000000</v>
      </c>
      <c r="H5075" s="6" t="str">
        <f>"Chinelos - LI - 350"</f>
        <v>Chinelos - LI - 350</v>
      </c>
      <c r="I5075" s="6" t="str">
        <f t="shared" ref="I5075:I5083" si="1338">"5417"</f>
        <v>5417</v>
      </c>
      <c r="J5075" s="6" t="str">
        <f t="shared" ref="J5075:J5083" si="1339">"AZUL 5417"</f>
        <v>AZUL 5417</v>
      </c>
      <c r="K5075" s="6" t="str">
        <f>"4808"</f>
        <v>4808</v>
      </c>
      <c r="L5075" s="6" t="str">
        <f>"Chinelos"</f>
        <v>Chinelos</v>
      </c>
      <c r="M5075" s="6" t="str">
        <f>"38"</f>
        <v>38</v>
      </c>
      <c r="N5075" s="6" t="str">
        <f>"5602972677218"</f>
        <v>5602972677218</v>
      </c>
      <c r="O5075" s="8">
        <v>60</v>
      </c>
      <c r="P5075" s="7">
        <v>46035</v>
      </c>
      <c r="R5075" s="8">
        <v>0</v>
      </c>
      <c r="S5075" s="7">
        <v>46038</v>
      </c>
      <c r="U5075" s="8">
        <v>0</v>
      </c>
      <c r="V5075" s="7">
        <v>46049</v>
      </c>
      <c r="X5075" s="8">
        <v>0</v>
      </c>
      <c r="Z5075" s="8">
        <v>0</v>
      </c>
      <c r="AA5075" s="7">
        <v>46059</v>
      </c>
      <c r="AC5075" s="8">
        <v>0</v>
      </c>
      <c r="AE5075" s="7">
        <v>46112</v>
      </c>
      <c r="AF5075" s="8">
        <v>0</v>
      </c>
      <c r="AH5075" s="7">
        <v>46112</v>
      </c>
      <c r="AI5075" s="7">
        <v>46108</v>
      </c>
      <c r="AN5075" s="8">
        <v>0</v>
      </c>
      <c r="AO5075" s="8">
        <v>60</v>
      </c>
    </row>
    <row r="5076" spans="1:41" x14ac:dyDescent="0.25">
      <c r="A5076" s="6" t="str">
        <f t="shared" si="1336"/>
        <v>525-2026000010</v>
      </c>
      <c r="B5076" s="6" t="str">
        <f t="shared" si="1332"/>
        <v>Lasa Int</v>
      </c>
      <c r="C5076" s="7">
        <v>46035</v>
      </c>
      <c r="D5076" s="7">
        <v>46112</v>
      </c>
      <c r="E5076" s="8">
        <v>2</v>
      </c>
      <c r="F5076" s="6" t="str">
        <f t="shared" si="1337"/>
        <v>PURE R</v>
      </c>
      <c r="G5076" s="6" t="str">
        <f>"R010000635000000"</f>
        <v>R010000635000000</v>
      </c>
      <c r="H5076" s="6" t="str">
        <f>"Alexis Cotoral Pure"</f>
        <v>Alexis Cotoral Pure</v>
      </c>
      <c r="I5076" s="6" t="str">
        <f t="shared" si="1338"/>
        <v>5417</v>
      </c>
      <c r="J5076" s="6" t="str">
        <f t="shared" si="1339"/>
        <v>AZUL 5417</v>
      </c>
      <c r="K5076" s="6" t="str">
        <f>"5004"</f>
        <v>5004</v>
      </c>
      <c r="L5076" s="6" t="str">
        <f>"Roupões Adulto"</f>
        <v>Roupões Adulto</v>
      </c>
      <c r="M5076" s="6" t="str">
        <f>"M"</f>
        <v>M</v>
      </c>
      <c r="N5076" s="6" t="str">
        <f>"5602972677188"</f>
        <v>5602972677188</v>
      </c>
      <c r="O5076" s="8">
        <v>60</v>
      </c>
      <c r="P5076" s="7">
        <v>46035</v>
      </c>
      <c r="R5076" s="8">
        <v>0</v>
      </c>
      <c r="S5076" s="7">
        <v>46038</v>
      </c>
      <c r="U5076" s="8">
        <v>0</v>
      </c>
      <c r="V5076" s="7">
        <v>46049</v>
      </c>
      <c r="X5076" s="8">
        <v>0</v>
      </c>
      <c r="Z5076" s="8">
        <v>0</v>
      </c>
      <c r="AA5076" s="7">
        <v>46059</v>
      </c>
      <c r="AC5076" s="8">
        <v>0</v>
      </c>
      <c r="AE5076" s="7">
        <v>46112</v>
      </c>
      <c r="AF5076" s="8">
        <v>0</v>
      </c>
      <c r="AH5076" s="7">
        <v>46112</v>
      </c>
      <c r="AI5076" s="7">
        <v>46108</v>
      </c>
      <c r="AN5076" s="8">
        <v>0</v>
      </c>
      <c r="AO5076" s="8">
        <v>60</v>
      </c>
    </row>
    <row r="5077" spans="1:41" x14ac:dyDescent="0.25">
      <c r="A5077" s="6" t="str">
        <f t="shared" si="1336"/>
        <v>525-2026000010</v>
      </c>
      <c r="B5077" s="6" t="str">
        <f t="shared" si="1332"/>
        <v>Lasa Int</v>
      </c>
      <c r="C5077" s="7">
        <v>46035</v>
      </c>
      <c r="D5077" s="7">
        <v>46112</v>
      </c>
      <c r="E5077" s="8">
        <v>3</v>
      </c>
      <c r="F5077" s="6" t="str">
        <f t="shared" si="1337"/>
        <v>PURE R</v>
      </c>
      <c r="G5077" s="6" t="str">
        <f>"R010000635000000"</f>
        <v>R010000635000000</v>
      </c>
      <c r="H5077" s="6" t="str">
        <f>"Alexis Cotoral Pure"</f>
        <v>Alexis Cotoral Pure</v>
      </c>
      <c r="I5077" s="6" t="str">
        <f t="shared" si="1338"/>
        <v>5417</v>
      </c>
      <c r="J5077" s="6" t="str">
        <f t="shared" si="1339"/>
        <v>AZUL 5417</v>
      </c>
      <c r="K5077" s="6" t="str">
        <f>"5006"</f>
        <v>5006</v>
      </c>
      <c r="L5077" s="6" t="str">
        <f>"Roupões Adulto"</f>
        <v>Roupões Adulto</v>
      </c>
      <c r="M5077" s="6" t="str">
        <f>"L"</f>
        <v>L</v>
      </c>
      <c r="N5077" s="6" t="str">
        <f>"5602972677195"</f>
        <v>5602972677195</v>
      </c>
      <c r="O5077" s="8">
        <v>96</v>
      </c>
      <c r="P5077" s="7">
        <v>46035</v>
      </c>
      <c r="R5077" s="8">
        <v>0</v>
      </c>
      <c r="S5077" s="7">
        <v>46038</v>
      </c>
      <c r="U5077" s="8">
        <v>0</v>
      </c>
      <c r="V5077" s="7">
        <v>46049</v>
      </c>
      <c r="X5077" s="8">
        <v>0</v>
      </c>
      <c r="Z5077" s="8">
        <v>0</v>
      </c>
      <c r="AA5077" s="7">
        <v>46059</v>
      </c>
      <c r="AC5077" s="8">
        <v>0</v>
      </c>
      <c r="AE5077" s="7">
        <v>46112</v>
      </c>
      <c r="AF5077" s="8">
        <v>0</v>
      </c>
      <c r="AH5077" s="7">
        <v>46112</v>
      </c>
      <c r="AI5077" s="7">
        <v>46108</v>
      </c>
      <c r="AN5077" s="8">
        <v>0</v>
      </c>
      <c r="AO5077" s="8">
        <v>96</v>
      </c>
    </row>
    <row r="5078" spans="1:41" x14ac:dyDescent="0.25">
      <c r="A5078" s="6" t="str">
        <f t="shared" si="1336"/>
        <v>525-2026000010</v>
      </c>
      <c r="B5078" s="6" t="str">
        <f t="shared" si="1332"/>
        <v>Lasa Int</v>
      </c>
      <c r="C5078" s="7">
        <v>46035</v>
      </c>
      <c r="D5078" s="7">
        <v>46112</v>
      </c>
      <c r="E5078" s="8">
        <v>4</v>
      </c>
      <c r="F5078" s="6" t="str">
        <f t="shared" si="1337"/>
        <v>PURE R</v>
      </c>
      <c r="G5078" s="6" t="str">
        <f>"R010000635000000"</f>
        <v>R010000635000000</v>
      </c>
      <c r="H5078" s="6" t="str">
        <f>"Alexis Cotoral Pure"</f>
        <v>Alexis Cotoral Pure</v>
      </c>
      <c r="I5078" s="6" t="str">
        <f t="shared" si="1338"/>
        <v>5417</v>
      </c>
      <c r="J5078" s="6" t="str">
        <f t="shared" si="1339"/>
        <v>AZUL 5417</v>
      </c>
      <c r="K5078" s="6" t="str">
        <f>"5008"</f>
        <v>5008</v>
      </c>
      <c r="L5078" s="6" t="str">
        <f>"Roupões Adulto"</f>
        <v>Roupões Adulto</v>
      </c>
      <c r="M5078" s="6" t="str">
        <f>"XL"</f>
        <v>XL</v>
      </c>
      <c r="N5078" s="6" t="str">
        <f>"5602972677201"</f>
        <v>5602972677201</v>
      </c>
      <c r="O5078" s="8">
        <v>96</v>
      </c>
      <c r="P5078" s="7">
        <v>46035</v>
      </c>
      <c r="R5078" s="8">
        <v>0</v>
      </c>
      <c r="S5078" s="7">
        <v>46038</v>
      </c>
      <c r="U5078" s="8">
        <v>0</v>
      </c>
      <c r="V5078" s="7">
        <v>46049</v>
      </c>
      <c r="X5078" s="8">
        <v>0</v>
      </c>
      <c r="Z5078" s="8">
        <v>0</v>
      </c>
      <c r="AA5078" s="7">
        <v>46059</v>
      </c>
      <c r="AC5078" s="8">
        <v>0</v>
      </c>
      <c r="AE5078" s="7">
        <v>46112</v>
      </c>
      <c r="AF5078" s="8">
        <v>0</v>
      </c>
      <c r="AH5078" s="7">
        <v>46112</v>
      </c>
      <c r="AI5078" s="7">
        <v>46108</v>
      </c>
      <c r="AN5078" s="8">
        <v>0</v>
      </c>
      <c r="AO5078" s="8">
        <v>96</v>
      </c>
    </row>
    <row r="5079" spans="1:41" x14ac:dyDescent="0.25">
      <c r="A5079" s="6" t="str">
        <f t="shared" si="1336"/>
        <v>525-2026000010</v>
      </c>
      <c r="B5079" s="6" t="str">
        <f t="shared" si="1332"/>
        <v>Lasa Int</v>
      </c>
      <c r="C5079" s="7">
        <v>46035</v>
      </c>
      <c r="D5079" s="7">
        <v>46112</v>
      </c>
      <c r="E5079" s="8">
        <v>5</v>
      </c>
      <c r="F5079" s="6" t="str">
        <f t="shared" si="1337"/>
        <v>PURE R</v>
      </c>
      <c r="G5079" s="6" t="str">
        <f>"R013000138500000"</f>
        <v>R013000138500000</v>
      </c>
      <c r="H5079" s="6" t="str">
        <f>"Star PURE - Ketten 3"</f>
        <v>Star PURE - Ketten 3</v>
      </c>
      <c r="I5079" s="6" t="str">
        <f t="shared" si="1338"/>
        <v>5417</v>
      </c>
      <c r="J5079" s="6" t="str">
        <f t="shared" si="1339"/>
        <v>AZUL 5417</v>
      </c>
      <c r="K5079" s="6" t="str">
        <f>"5202"</f>
        <v>5202</v>
      </c>
      <c r="L5079" s="6" t="str">
        <f>"Roupões Criança"</f>
        <v>Roupões Criança</v>
      </c>
      <c r="M5079" s="6" t="str">
        <f>"2 Anos"</f>
        <v>2 Anos</v>
      </c>
      <c r="N5079" s="6" t="str">
        <f>"5602972677300"</f>
        <v>5602972677300</v>
      </c>
      <c r="O5079" s="8">
        <v>12</v>
      </c>
      <c r="P5079" s="7">
        <v>46035</v>
      </c>
      <c r="R5079" s="8">
        <v>0</v>
      </c>
      <c r="S5079" s="7">
        <v>46038</v>
      </c>
      <c r="U5079" s="8">
        <v>945</v>
      </c>
      <c r="V5079" s="7">
        <v>46049</v>
      </c>
      <c r="X5079" s="8">
        <v>945</v>
      </c>
      <c r="Z5079" s="8">
        <v>0</v>
      </c>
      <c r="AA5079" s="7">
        <v>46059</v>
      </c>
      <c r="AC5079" s="8">
        <v>0</v>
      </c>
      <c r="AE5079" s="7">
        <v>46112</v>
      </c>
      <c r="AF5079" s="8">
        <v>0</v>
      </c>
      <c r="AH5079" s="7">
        <v>46112</v>
      </c>
      <c r="AI5079" s="7">
        <v>46108</v>
      </c>
      <c r="AN5079" s="8">
        <v>0</v>
      </c>
      <c r="AO5079" s="8">
        <v>12</v>
      </c>
    </row>
    <row r="5080" spans="1:41" x14ac:dyDescent="0.25">
      <c r="A5080" s="6" t="str">
        <f t="shared" si="1336"/>
        <v>525-2026000010</v>
      </c>
      <c r="B5080" s="6" t="str">
        <f t="shared" si="1332"/>
        <v>Lasa Int</v>
      </c>
      <c r="C5080" s="7">
        <v>46035</v>
      </c>
      <c r="D5080" s="7">
        <v>46112</v>
      </c>
      <c r="E5080" s="8">
        <v>6</v>
      </c>
      <c r="F5080" s="6" t="str">
        <f t="shared" si="1337"/>
        <v>PURE R</v>
      </c>
      <c r="G5080" s="6" t="str">
        <f>"R013000138500000"</f>
        <v>R013000138500000</v>
      </c>
      <c r="H5080" s="6" t="str">
        <f>"Star PURE - Ketten 3"</f>
        <v>Star PURE - Ketten 3</v>
      </c>
      <c r="I5080" s="6" t="str">
        <f t="shared" si="1338"/>
        <v>5417</v>
      </c>
      <c r="J5080" s="6" t="str">
        <f t="shared" si="1339"/>
        <v>AZUL 5417</v>
      </c>
      <c r="K5080" s="6" t="str">
        <f>"5204"</f>
        <v>5204</v>
      </c>
      <c r="L5080" s="6" t="str">
        <f>"Roupões Criança"</f>
        <v>Roupões Criança</v>
      </c>
      <c r="M5080" s="6" t="str">
        <f>"4 Anos"</f>
        <v>4 Anos</v>
      </c>
      <c r="N5080" s="6" t="str">
        <f>"5602972677317"</f>
        <v>5602972677317</v>
      </c>
      <c r="O5080" s="8">
        <v>12</v>
      </c>
      <c r="P5080" s="7">
        <v>46035</v>
      </c>
      <c r="R5080" s="8">
        <v>0</v>
      </c>
      <c r="S5080" s="7">
        <v>46038</v>
      </c>
      <c r="U5080" s="8">
        <v>0</v>
      </c>
      <c r="V5080" s="7">
        <v>46049</v>
      </c>
      <c r="X5080" s="8">
        <v>0</v>
      </c>
      <c r="Z5080" s="8">
        <v>0</v>
      </c>
      <c r="AA5080" s="7">
        <v>46059</v>
      </c>
      <c r="AC5080" s="8">
        <v>0</v>
      </c>
      <c r="AE5080" s="7">
        <v>46112</v>
      </c>
      <c r="AF5080" s="8">
        <v>0</v>
      </c>
      <c r="AH5080" s="7">
        <v>46112</v>
      </c>
      <c r="AI5080" s="7">
        <v>46108</v>
      </c>
      <c r="AN5080" s="8">
        <v>0</v>
      </c>
      <c r="AO5080" s="8">
        <v>12</v>
      </c>
    </row>
    <row r="5081" spans="1:41" x14ac:dyDescent="0.25">
      <c r="A5081" s="6" t="str">
        <f t="shared" si="1336"/>
        <v>525-2026000010</v>
      </c>
      <c r="B5081" s="6" t="str">
        <f t="shared" si="1332"/>
        <v>Lasa Int</v>
      </c>
      <c r="C5081" s="7">
        <v>46035</v>
      </c>
      <c r="D5081" s="7">
        <v>46112</v>
      </c>
      <c r="E5081" s="8">
        <v>7</v>
      </c>
      <c r="F5081" s="6" t="str">
        <f t="shared" si="1337"/>
        <v>PURE R</v>
      </c>
      <c r="G5081" s="6" t="str">
        <f>"R013000138500000"</f>
        <v>R013000138500000</v>
      </c>
      <c r="H5081" s="6" t="str">
        <f>"Star PURE - Ketten 3"</f>
        <v>Star PURE - Ketten 3</v>
      </c>
      <c r="I5081" s="6" t="str">
        <f t="shared" si="1338"/>
        <v>5417</v>
      </c>
      <c r="J5081" s="6" t="str">
        <f t="shared" si="1339"/>
        <v>AZUL 5417</v>
      </c>
      <c r="K5081" s="6" t="str">
        <f>"5210"</f>
        <v>5210</v>
      </c>
      <c r="L5081" s="6" t="str">
        <f>"Roupões Criança"</f>
        <v>Roupões Criança</v>
      </c>
      <c r="M5081" s="6" t="str">
        <f>"10 Anos"</f>
        <v>10 Anos</v>
      </c>
      <c r="N5081" s="6" t="str">
        <f>"5602972677348"</f>
        <v>5602972677348</v>
      </c>
      <c r="O5081" s="8">
        <v>12</v>
      </c>
      <c r="P5081" s="7">
        <v>46035</v>
      </c>
      <c r="R5081" s="8">
        <v>0</v>
      </c>
      <c r="S5081" s="7">
        <v>46038</v>
      </c>
      <c r="U5081" s="8">
        <v>0</v>
      </c>
      <c r="V5081" s="7">
        <v>46049</v>
      </c>
      <c r="X5081" s="8">
        <v>0</v>
      </c>
      <c r="Z5081" s="8">
        <v>0</v>
      </c>
      <c r="AA5081" s="7">
        <v>46059</v>
      </c>
      <c r="AC5081" s="8">
        <v>0</v>
      </c>
      <c r="AE5081" s="7">
        <v>46112</v>
      </c>
      <c r="AF5081" s="8">
        <v>0</v>
      </c>
      <c r="AH5081" s="7">
        <v>46112</v>
      </c>
      <c r="AI5081" s="7">
        <v>46108</v>
      </c>
      <c r="AN5081" s="8">
        <v>0</v>
      </c>
      <c r="AO5081" s="8">
        <v>12</v>
      </c>
    </row>
    <row r="5082" spans="1:41" x14ac:dyDescent="0.25">
      <c r="A5082" s="6" t="str">
        <f t="shared" si="1336"/>
        <v>525-2026000010</v>
      </c>
      <c r="B5082" s="6" t="str">
        <f t="shared" si="1332"/>
        <v>Lasa Int</v>
      </c>
      <c r="C5082" s="7">
        <v>46035</v>
      </c>
      <c r="D5082" s="7">
        <v>46112</v>
      </c>
      <c r="E5082" s="8">
        <v>8</v>
      </c>
      <c r="F5082" s="6" t="str">
        <f t="shared" si="1337"/>
        <v>PURE R</v>
      </c>
      <c r="G5082" s="6" t="str">
        <f>"R013000138500000"</f>
        <v>R013000138500000</v>
      </c>
      <c r="H5082" s="6" t="str">
        <f>"Star PURE - Ketten 3"</f>
        <v>Star PURE - Ketten 3</v>
      </c>
      <c r="I5082" s="6" t="str">
        <f t="shared" si="1338"/>
        <v>5417</v>
      </c>
      <c r="J5082" s="6" t="str">
        <f t="shared" si="1339"/>
        <v>AZUL 5417</v>
      </c>
      <c r="K5082" s="6" t="str">
        <f>"5212"</f>
        <v>5212</v>
      </c>
      <c r="L5082" s="6" t="str">
        <f>"Roupões Criança"</f>
        <v>Roupões Criança</v>
      </c>
      <c r="M5082" s="6" t="str">
        <f>"12 Anos"</f>
        <v>12 Anos</v>
      </c>
      <c r="N5082" s="6" t="str">
        <f>"5602972677355"</f>
        <v>5602972677355</v>
      </c>
      <c r="O5082" s="8">
        <v>24</v>
      </c>
      <c r="P5082" s="7">
        <v>46035</v>
      </c>
      <c r="R5082" s="8">
        <v>0</v>
      </c>
      <c r="S5082" s="7">
        <v>46038</v>
      </c>
      <c r="U5082" s="8">
        <v>0</v>
      </c>
      <c r="V5082" s="7">
        <v>46049</v>
      </c>
      <c r="X5082" s="8">
        <v>0</v>
      </c>
      <c r="Z5082" s="8">
        <v>0</v>
      </c>
      <c r="AA5082" s="7">
        <v>46059</v>
      </c>
      <c r="AC5082" s="8">
        <v>0</v>
      </c>
      <c r="AE5082" s="7">
        <v>46112</v>
      </c>
      <c r="AF5082" s="8">
        <v>0</v>
      </c>
      <c r="AH5082" s="7">
        <v>46112</v>
      </c>
      <c r="AI5082" s="7">
        <v>46108</v>
      </c>
      <c r="AN5082" s="8">
        <v>0</v>
      </c>
      <c r="AO5082" s="8">
        <v>24</v>
      </c>
    </row>
    <row r="5083" spans="1:41" x14ac:dyDescent="0.25">
      <c r="A5083" s="6" t="str">
        <f t="shared" si="1336"/>
        <v>525-2026000010</v>
      </c>
      <c r="B5083" s="6" t="str">
        <f t="shared" si="1332"/>
        <v>Lasa Int</v>
      </c>
      <c r="C5083" s="7">
        <v>46035</v>
      </c>
      <c r="D5083" s="7">
        <v>46112</v>
      </c>
      <c r="E5083" s="8">
        <v>9</v>
      </c>
      <c r="F5083" s="6" t="str">
        <f t="shared" si="1337"/>
        <v>PURE R</v>
      </c>
      <c r="G5083" s="6" t="str">
        <f>"R013000138500000"</f>
        <v>R013000138500000</v>
      </c>
      <c r="H5083" s="6" t="str">
        <f>"Star PURE - Ketten 3"</f>
        <v>Star PURE - Ketten 3</v>
      </c>
      <c r="I5083" s="6" t="str">
        <f t="shared" si="1338"/>
        <v>5417</v>
      </c>
      <c r="J5083" s="6" t="str">
        <f t="shared" si="1339"/>
        <v>AZUL 5417</v>
      </c>
      <c r="K5083" s="6" t="str">
        <f>"5214"</f>
        <v>5214</v>
      </c>
      <c r="L5083" s="6" t="str">
        <f>"Roupões Criança"</f>
        <v>Roupões Criança</v>
      </c>
      <c r="M5083" s="6" t="str">
        <f>"14 Anos"</f>
        <v>14 Anos</v>
      </c>
      <c r="N5083" s="6" t="str">
        <f>"5602972677362"</f>
        <v>5602972677362</v>
      </c>
      <c r="O5083" s="8">
        <v>36</v>
      </c>
      <c r="P5083" s="7">
        <v>46035</v>
      </c>
      <c r="R5083" s="8">
        <v>0</v>
      </c>
      <c r="S5083" s="7">
        <v>46038</v>
      </c>
      <c r="U5083" s="8">
        <v>0</v>
      </c>
      <c r="V5083" s="7">
        <v>46049</v>
      </c>
      <c r="X5083" s="8">
        <v>0</v>
      </c>
      <c r="Z5083" s="8">
        <v>0</v>
      </c>
      <c r="AA5083" s="7">
        <v>46059</v>
      </c>
      <c r="AC5083" s="8">
        <v>0</v>
      </c>
      <c r="AE5083" s="7">
        <v>46112</v>
      </c>
      <c r="AF5083" s="8">
        <v>0</v>
      </c>
      <c r="AH5083" s="7">
        <v>46112</v>
      </c>
      <c r="AI5083" s="7">
        <v>46108</v>
      </c>
      <c r="AN5083" s="8">
        <v>0</v>
      </c>
      <c r="AO5083" s="8">
        <v>36</v>
      </c>
    </row>
    <row r="5084" spans="1:41" x14ac:dyDescent="0.25">
      <c r="A5084" s="6" t="str">
        <f>"525-2026000011"</f>
        <v>525-2026000011</v>
      </c>
      <c r="B5084" s="6" t="str">
        <f t="shared" si="1332"/>
        <v>Lasa Int</v>
      </c>
      <c r="C5084" s="7">
        <v>46035</v>
      </c>
      <c r="D5084" s="7">
        <v>46049</v>
      </c>
      <c r="E5084" s="8">
        <v>1</v>
      </c>
      <c r="F5084" s="6" t="str">
        <f>"Veolia"</f>
        <v>Veolia</v>
      </c>
      <c r="G5084" s="6" t="str">
        <f>"F100023140004950"</f>
        <v>F100023140004950</v>
      </c>
      <c r="H5084" s="6" t="str">
        <f>"FA 231 / 4950 - Veol"</f>
        <v>FA 231 / 4950 - Veol</v>
      </c>
      <c r="I5084" s="6" t="str">
        <f>"2094"</f>
        <v>2094</v>
      </c>
      <c r="J5084" s="6" t="str">
        <f>"AZUL 2094"</f>
        <v>AZUL 2094</v>
      </c>
      <c r="K5084" s="6" t="str">
        <f>"1532"</f>
        <v>1532</v>
      </c>
      <c r="L5084" s="6" t="str">
        <f>"Toalhões"</f>
        <v>Toalhões</v>
      </c>
      <c r="M5084" s="6" t="str">
        <f>"70x130"</f>
        <v>70x130</v>
      </c>
      <c r="N5084" s="6" t="str">
        <f>"5602972280043"</f>
        <v>5602972280043</v>
      </c>
      <c r="O5084" s="8">
        <v>108</v>
      </c>
      <c r="P5084" s="7">
        <v>46035</v>
      </c>
      <c r="R5084" s="8">
        <v>0</v>
      </c>
      <c r="U5084" s="8">
        <v>0</v>
      </c>
      <c r="X5084" s="8">
        <v>0</v>
      </c>
      <c r="Z5084" s="8">
        <v>0</v>
      </c>
      <c r="AC5084" s="8">
        <v>108</v>
      </c>
      <c r="AE5084" s="7">
        <v>46042</v>
      </c>
      <c r="AF5084" s="8">
        <v>108</v>
      </c>
      <c r="AH5084" s="7">
        <v>46049</v>
      </c>
      <c r="AN5084" s="8">
        <v>108</v>
      </c>
      <c r="AO5084" s="8">
        <v>0</v>
      </c>
    </row>
    <row r="5085" spans="1:41" x14ac:dyDescent="0.25">
      <c r="A5085" s="6" t="str">
        <f>"525-2026000011"</f>
        <v>525-2026000011</v>
      </c>
      <c r="B5085" s="6" t="str">
        <f t="shared" si="1332"/>
        <v>Lasa Int</v>
      </c>
      <c r="C5085" s="7">
        <v>46035</v>
      </c>
      <c r="D5085" s="7">
        <v>46049</v>
      </c>
      <c r="E5085" s="8">
        <v>2</v>
      </c>
      <c r="F5085" s="6" t="str">
        <f>"Veolia"</f>
        <v>Veolia</v>
      </c>
      <c r="G5085" s="6" t="str">
        <f>"F100023140004950"</f>
        <v>F100023140004950</v>
      </c>
      <c r="H5085" s="6" t="str">
        <f>"FA 231 / 4950 - Veol"</f>
        <v>FA 231 / 4950 - Veol</v>
      </c>
      <c r="I5085" s="6" t="str">
        <f>"1093"</f>
        <v>1093</v>
      </c>
      <c r="J5085" s="6" t="str">
        <f>"AZUL 1093"</f>
        <v>AZUL 1093</v>
      </c>
      <c r="K5085" s="6" t="str">
        <f>"1532"</f>
        <v>1532</v>
      </c>
      <c r="L5085" s="6" t="str">
        <f>"Toalhões"</f>
        <v>Toalhões</v>
      </c>
      <c r="M5085" s="6" t="str">
        <f>"70x130"</f>
        <v>70x130</v>
      </c>
      <c r="N5085" s="6" t="str">
        <f>"5602972280050"</f>
        <v>5602972280050</v>
      </c>
      <c r="O5085" s="8">
        <v>108</v>
      </c>
      <c r="P5085" s="7">
        <v>46035</v>
      </c>
      <c r="R5085" s="8">
        <v>0</v>
      </c>
      <c r="U5085" s="8">
        <v>0</v>
      </c>
      <c r="X5085" s="8">
        <v>0</v>
      </c>
      <c r="Z5085" s="8">
        <v>0</v>
      </c>
      <c r="AC5085" s="8">
        <v>108</v>
      </c>
      <c r="AE5085" s="7">
        <v>46042</v>
      </c>
      <c r="AF5085" s="8">
        <v>108</v>
      </c>
      <c r="AH5085" s="7">
        <v>46049</v>
      </c>
      <c r="AN5085" s="8">
        <v>108</v>
      </c>
      <c r="AO5085" s="8">
        <v>0</v>
      </c>
    </row>
    <row r="5086" spans="1:41" x14ac:dyDescent="0.25">
      <c r="A5086" s="6" t="str">
        <f>"525-2026000012"</f>
        <v>525-2026000012</v>
      </c>
      <c r="B5086" s="6" t="str">
        <f t="shared" si="1332"/>
        <v>Lasa Int</v>
      </c>
      <c r="C5086" s="7">
        <v>46035</v>
      </c>
      <c r="D5086" s="7">
        <v>46072</v>
      </c>
      <c r="E5086" s="8">
        <v>1</v>
      </c>
      <c r="F5086" s="6" t="str">
        <f>"PURE panos"</f>
        <v>PURE panos</v>
      </c>
      <c r="G5086" s="6" t="str">
        <f>"F110237455000000"</f>
        <v>F110237455000000</v>
      </c>
      <c r="H5086" s="6" t="str">
        <f>"FAJ 2374 - PURE - 55"</f>
        <v>FAJ 2374 - PURE - 55</v>
      </c>
      <c r="I5086" s="6" t="str">
        <f>"1670"</f>
        <v>1670</v>
      </c>
      <c r="J5086" s="6" t="str">
        <f>"BEGE 1670"</f>
        <v>BEGE 1670</v>
      </c>
      <c r="K5086" s="6" t="str">
        <f>"0320"</f>
        <v>0320</v>
      </c>
      <c r="L5086" s="6" t="str">
        <f>"Panos"</f>
        <v>Panos</v>
      </c>
      <c r="M5086" s="6" t="str">
        <f>"30x30"</f>
        <v>30x30</v>
      </c>
      <c r="N5086" s="6" t="str">
        <f>"5602972616644"</f>
        <v>5602972616644</v>
      </c>
      <c r="O5086" s="8">
        <v>900</v>
      </c>
      <c r="P5086" s="7">
        <v>46035</v>
      </c>
      <c r="R5086" s="8">
        <v>0</v>
      </c>
      <c r="S5086" s="7">
        <v>46038</v>
      </c>
      <c r="U5086" s="8">
        <v>900</v>
      </c>
      <c r="V5086" s="7">
        <v>46045</v>
      </c>
      <c r="X5086" s="8">
        <v>0</v>
      </c>
      <c r="Z5086" s="8">
        <v>900</v>
      </c>
      <c r="AA5086" s="7">
        <v>46059</v>
      </c>
      <c r="AC5086" s="8">
        <v>0</v>
      </c>
      <c r="AE5086" s="7">
        <v>46064</v>
      </c>
      <c r="AF5086" s="8">
        <v>0</v>
      </c>
      <c r="AH5086" s="7">
        <v>46072</v>
      </c>
      <c r="AN5086" s="8">
        <v>0</v>
      </c>
      <c r="AO5086" s="8">
        <v>900</v>
      </c>
    </row>
    <row r="5087" spans="1:41" x14ac:dyDescent="0.25">
      <c r="A5087" s="6" t="str">
        <f>"525-2026000012"</f>
        <v>525-2026000012</v>
      </c>
      <c r="B5087" s="6" t="str">
        <f t="shared" si="1332"/>
        <v>Lasa Int</v>
      </c>
      <c r="C5087" s="7">
        <v>46035</v>
      </c>
      <c r="D5087" s="7">
        <v>46072</v>
      </c>
      <c r="E5087" s="8">
        <v>2</v>
      </c>
      <c r="F5087" s="6" t="str">
        <f>"PURE panos"</f>
        <v>PURE panos</v>
      </c>
      <c r="G5087" s="6" t="str">
        <f>"F110237455000000"</f>
        <v>F110237455000000</v>
      </c>
      <c r="H5087" s="6" t="str">
        <f>"FAJ 2374 - PURE - 55"</f>
        <v>FAJ 2374 - PURE - 55</v>
      </c>
      <c r="I5087" s="6" t="str">
        <f>"3"</f>
        <v>3</v>
      </c>
      <c r="J5087" s="6" t="str">
        <f>"PRETO Sulf"</f>
        <v>PRETO Sulf</v>
      </c>
      <c r="K5087" s="6" t="str">
        <f>"0320"</f>
        <v>0320</v>
      </c>
      <c r="L5087" s="6" t="str">
        <f>"Panos"</f>
        <v>Panos</v>
      </c>
      <c r="M5087" s="6" t="str">
        <f>"30x30"</f>
        <v>30x30</v>
      </c>
      <c r="N5087" s="6" t="str">
        <f>"5602972643824"</f>
        <v>5602972643824</v>
      </c>
      <c r="O5087" s="8">
        <v>900</v>
      </c>
      <c r="P5087" s="7">
        <v>46035</v>
      </c>
      <c r="R5087" s="8">
        <v>0</v>
      </c>
      <c r="S5087" s="7">
        <v>46038</v>
      </c>
      <c r="U5087" s="8">
        <v>900</v>
      </c>
      <c r="V5087" s="7">
        <v>46045</v>
      </c>
      <c r="X5087" s="8">
        <v>0</v>
      </c>
      <c r="Z5087" s="8">
        <v>0</v>
      </c>
      <c r="AA5087" s="7">
        <v>46059</v>
      </c>
      <c r="AC5087" s="8">
        <v>0</v>
      </c>
      <c r="AE5087" s="7">
        <v>46064</v>
      </c>
      <c r="AF5087" s="8">
        <v>0</v>
      </c>
      <c r="AH5087" s="7">
        <v>46072</v>
      </c>
      <c r="AN5087" s="8">
        <v>0</v>
      </c>
      <c r="AO5087" s="8">
        <v>900</v>
      </c>
    </row>
    <row r="5088" spans="1:41" x14ac:dyDescent="0.25">
      <c r="A5088" s="6" t="str">
        <f>"525-2026000012"</f>
        <v>525-2026000012</v>
      </c>
      <c r="B5088" s="6" t="str">
        <f t="shared" si="1332"/>
        <v>Lasa Int</v>
      </c>
      <c r="C5088" s="7">
        <v>46035</v>
      </c>
      <c r="D5088" s="7">
        <v>46072</v>
      </c>
      <c r="E5088" s="8">
        <v>3</v>
      </c>
      <c r="F5088" s="6" t="str">
        <f>"PURE panos"</f>
        <v>PURE panos</v>
      </c>
      <c r="G5088" s="6" t="str">
        <f>"F110237455000000"</f>
        <v>F110237455000000</v>
      </c>
      <c r="H5088" s="6" t="str">
        <f>"FAJ 2374 - PURE - 55"</f>
        <v>FAJ 2374 - PURE - 55</v>
      </c>
      <c r="I5088" s="6" t="str">
        <f>"3073"</f>
        <v>3073</v>
      </c>
      <c r="J5088" s="6" t="str">
        <f>"CINZA 3073"</f>
        <v>CINZA 3073</v>
      </c>
      <c r="K5088" s="6" t="str">
        <f>"0320"</f>
        <v>0320</v>
      </c>
      <c r="L5088" s="6" t="str">
        <f>"Panos"</f>
        <v>Panos</v>
      </c>
      <c r="M5088" s="6" t="str">
        <f>"30x30"</f>
        <v>30x30</v>
      </c>
      <c r="N5088" s="6" t="str">
        <f>"5602972616668"</f>
        <v>5602972616668</v>
      </c>
      <c r="O5088" s="8">
        <v>900</v>
      </c>
      <c r="P5088" s="7">
        <v>46035</v>
      </c>
      <c r="R5088" s="8">
        <v>0</v>
      </c>
      <c r="S5088" s="7">
        <v>46038</v>
      </c>
      <c r="U5088" s="8">
        <v>900</v>
      </c>
      <c r="V5088" s="7">
        <v>46045</v>
      </c>
      <c r="X5088" s="8">
        <v>0</v>
      </c>
      <c r="Z5088" s="8">
        <v>0</v>
      </c>
      <c r="AA5088" s="7">
        <v>46059</v>
      </c>
      <c r="AC5088" s="8">
        <v>0</v>
      </c>
      <c r="AE5088" s="7">
        <v>46064</v>
      </c>
      <c r="AF5088" s="8">
        <v>0</v>
      </c>
      <c r="AH5088" s="7">
        <v>46072</v>
      </c>
      <c r="AN5088" s="8">
        <v>0</v>
      </c>
      <c r="AO5088" s="8">
        <v>900</v>
      </c>
    </row>
    <row r="5089" spans="1:41" x14ac:dyDescent="0.25">
      <c r="A5089" s="6" t="str">
        <f>"525-2026000012"</f>
        <v>525-2026000012</v>
      </c>
      <c r="B5089" s="6" t="str">
        <f t="shared" si="1332"/>
        <v>Lasa Int</v>
      </c>
      <c r="C5089" s="7">
        <v>46035</v>
      </c>
      <c r="D5089" s="7">
        <v>46072</v>
      </c>
      <c r="E5089" s="8">
        <v>4</v>
      </c>
      <c r="F5089" s="6" t="str">
        <f>"PURE panos"</f>
        <v>PURE panos</v>
      </c>
      <c r="G5089" s="6" t="str">
        <f>"F110237455000000"</f>
        <v>F110237455000000</v>
      </c>
      <c r="H5089" s="6" t="str">
        <f>"FAJ 2374 - PURE - 55"</f>
        <v>FAJ 2374 - PURE - 55</v>
      </c>
      <c r="I5089" s="6" t="str">
        <f>"3234"</f>
        <v>3234</v>
      </c>
      <c r="J5089" s="6" t="str">
        <f>"CASTANHO 3234"</f>
        <v>CASTANHO 3234</v>
      </c>
      <c r="K5089" s="6" t="str">
        <f>"0320"</f>
        <v>0320</v>
      </c>
      <c r="L5089" s="6" t="str">
        <f>"Panos"</f>
        <v>Panos</v>
      </c>
      <c r="M5089" s="6" t="str">
        <f>"30x30"</f>
        <v>30x30</v>
      </c>
      <c r="N5089" s="6" t="str">
        <f>"5602972616675"</f>
        <v>5602972616675</v>
      </c>
      <c r="O5089" s="8">
        <v>900</v>
      </c>
      <c r="P5089" s="7">
        <v>46035</v>
      </c>
      <c r="R5089" s="8">
        <v>0</v>
      </c>
      <c r="S5089" s="7">
        <v>46038</v>
      </c>
      <c r="U5089" s="8">
        <v>900</v>
      </c>
      <c r="V5089" s="7">
        <v>46045</v>
      </c>
      <c r="X5089" s="8">
        <v>0</v>
      </c>
      <c r="Z5089" s="8">
        <v>900</v>
      </c>
      <c r="AA5089" s="7">
        <v>46059</v>
      </c>
      <c r="AC5089" s="8">
        <v>0</v>
      </c>
      <c r="AE5089" s="7">
        <v>46064</v>
      </c>
      <c r="AF5089" s="8">
        <v>0</v>
      </c>
      <c r="AH5089" s="7">
        <v>46072</v>
      </c>
      <c r="AN5089" s="8">
        <v>0</v>
      </c>
      <c r="AO5089" s="8">
        <v>900</v>
      </c>
    </row>
    <row r="5090" spans="1:41" x14ac:dyDescent="0.25">
      <c r="A5090" s="6" t="str">
        <f>"525-2026000013"</f>
        <v>525-2026000013</v>
      </c>
      <c r="B5090" s="6" t="str">
        <f t="shared" si="1332"/>
        <v>Lasa Int</v>
      </c>
      <c r="C5090" s="7">
        <v>46037</v>
      </c>
      <c r="D5090" s="7">
        <v>46065</v>
      </c>
      <c r="E5090" s="8">
        <v>1</v>
      </c>
      <c r="F5090" s="6" t="str">
        <f>"PURE"</f>
        <v>PURE</v>
      </c>
      <c r="G5090" s="6" t="str">
        <f>"F100021455000000"</f>
        <v>F100021455000000</v>
      </c>
      <c r="H5090" s="6" t="str">
        <f>"FA 214 - PURE - 550"</f>
        <v>FA 214 - PURE - 550</v>
      </c>
      <c r="I5090" s="6" t="str">
        <f>"2334"</f>
        <v>2334</v>
      </c>
      <c r="J5090" s="6" t="str">
        <f>"TURQUESA 2334"</f>
        <v>TURQUESA 2334</v>
      </c>
      <c r="K5090" s="6" t="str">
        <f>"1024"</f>
        <v>1024</v>
      </c>
      <c r="L5090" s="6" t="str">
        <f>"Toalhas"</f>
        <v>Toalhas</v>
      </c>
      <c r="M5090" s="6" t="str">
        <f>"50x100"</f>
        <v>50x100</v>
      </c>
      <c r="N5090" s="6" t="str">
        <f>"5602972836950"</f>
        <v>5602972836950</v>
      </c>
      <c r="O5090" s="8">
        <v>480</v>
      </c>
      <c r="P5090" s="7">
        <v>46037</v>
      </c>
      <c r="R5090" s="8">
        <v>0</v>
      </c>
      <c r="S5090" s="7">
        <v>46042</v>
      </c>
      <c r="U5090" s="8">
        <v>480</v>
      </c>
      <c r="V5090" s="7">
        <v>46051</v>
      </c>
      <c r="X5090" s="8">
        <v>0</v>
      </c>
      <c r="Z5090" s="8">
        <v>0</v>
      </c>
      <c r="AA5090" s="7">
        <v>46063</v>
      </c>
      <c r="AC5090" s="8">
        <v>0</v>
      </c>
      <c r="AE5090" s="7">
        <v>46065</v>
      </c>
      <c r="AF5090" s="8">
        <v>0</v>
      </c>
      <c r="AH5090" s="7">
        <v>46065</v>
      </c>
      <c r="AN5090" s="8">
        <v>0</v>
      </c>
      <c r="AO5090" s="8">
        <v>480</v>
      </c>
    </row>
    <row r="5091" spans="1:41" x14ac:dyDescent="0.25">
      <c r="A5091" s="6" t="str">
        <f>"525-2026000013"</f>
        <v>525-2026000013</v>
      </c>
      <c r="B5091" s="6" t="str">
        <f t="shared" si="1332"/>
        <v>Lasa Int</v>
      </c>
      <c r="C5091" s="7">
        <v>46037</v>
      </c>
      <c r="D5091" s="7">
        <v>46065</v>
      </c>
      <c r="E5091" s="8">
        <v>2</v>
      </c>
      <c r="F5091" s="6" t="str">
        <f>"PURE"</f>
        <v>PURE</v>
      </c>
      <c r="G5091" s="6" t="str">
        <f>"F100021455000000"</f>
        <v>F100021455000000</v>
      </c>
      <c r="H5091" s="6" t="str">
        <f>"FA 214 - PURE - 550"</f>
        <v>FA 214 - PURE - 550</v>
      </c>
      <c r="I5091" s="6" t="str">
        <f>"2334"</f>
        <v>2334</v>
      </c>
      <c r="J5091" s="6" t="str">
        <f>"TURQUESA 2334"</f>
        <v>TURQUESA 2334</v>
      </c>
      <c r="K5091" s="6" t="str">
        <f>"1535"</f>
        <v>1535</v>
      </c>
      <c r="L5091" s="6" t="str">
        <f>"Toalhões"</f>
        <v>Toalhões</v>
      </c>
      <c r="M5091" s="6" t="str">
        <f>"70x140"</f>
        <v>70x140</v>
      </c>
      <c r="N5091" s="6" t="str">
        <f>"5602972836967"</f>
        <v>5602972836967</v>
      </c>
      <c r="O5091" s="8">
        <v>240</v>
      </c>
      <c r="P5091" s="7">
        <v>46037</v>
      </c>
      <c r="R5091" s="8">
        <v>0</v>
      </c>
      <c r="S5091" s="7">
        <v>46042</v>
      </c>
      <c r="U5091" s="8">
        <v>240</v>
      </c>
      <c r="V5091" s="7">
        <v>46051</v>
      </c>
      <c r="X5091" s="8">
        <v>0</v>
      </c>
      <c r="Z5091" s="8">
        <v>0</v>
      </c>
      <c r="AA5091" s="7">
        <v>46063</v>
      </c>
      <c r="AC5091" s="8">
        <v>0</v>
      </c>
      <c r="AE5091" s="7">
        <v>46065</v>
      </c>
      <c r="AF5091" s="8">
        <v>0</v>
      </c>
      <c r="AH5091" s="7">
        <v>46065</v>
      </c>
      <c r="AN5091" s="8">
        <v>0</v>
      </c>
      <c r="AO5091" s="8">
        <v>240</v>
      </c>
    </row>
    <row r="5092" spans="1:41" x14ac:dyDescent="0.25">
      <c r="A5092" s="6" t="str">
        <f>"525-2026000013"</f>
        <v>525-2026000013</v>
      </c>
      <c r="B5092" s="6" t="str">
        <f t="shared" si="1332"/>
        <v>Lasa Int</v>
      </c>
      <c r="C5092" s="7">
        <v>46037</v>
      </c>
      <c r="D5092" s="7">
        <v>46065</v>
      </c>
      <c r="E5092" s="8">
        <v>3</v>
      </c>
      <c r="F5092" s="6" t="str">
        <f>"PURE"</f>
        <v>PURE</v>
      </c>
      <c r="G5092" s="6" t="str">
        <f>"F100021455000000"</f>
        <v>F100021455000000</v>
      </c>
      <c r="H5092" s="6" t="str">
        <f>"FA 214 - PURE - 550"</f>
        <v>FA 214 - PURE - 550</v>
      </c>
      <c r="I5092" s="6" t="str">
        <f>"2612"</f>
        <v>2612</v>
      </c>
      <c r="J5092" s="6" t="str">
        <f>"VERDE 2612"</f>
        <v>VERDE 2612</v>
      </c>
      <c r="K5092" s="6" t="str">
        <f>"1535"</f>
        <v>1535</v>
      </c>
      <c r="L5092" s="6" t="str">
        <f>"Toalhões"</f>
        <v>Toalhões</v>
      </c>
      <c r="M5092" s="6" t="str">
        <f>"70x140"</f>
        <v>70x140</v>
      </c>
      <c r="N5092" s="6" t="str">
        <f>"5602972837117"</f>
        <v>5602972837117</v>
      </c>
      <c r="O5092" s="8">
        <v>240</v>
      </c>
      <c r="P5092" s="7">
        <v>46037</v>
      </c>
      <c r="R5092" s="8">
        <v>0</v>
      </c>
      <c r="S5092" s="7">
        <v>46042</v>
      </c>
      <c r="U5092" s="8">
        <v>240</v>
      </c>
      <c r="V5092" s="7">
        <v>46051</v>
      </c>
      <c r="X5092" s="8">
        <v>0</v>
      </c>
      <c r="Z5092" s="8">
        <v>240</v>
      </c>
      <c r="AA5092" s="7">
        <v>46063</v>
      </c>
      <c r="AC5092" s="8">
        <v>0</v>
      </c>
      <c r="AE5092" s="7">
        <v>46065</v>
      </c>
      <c r="AF5092" s="8">
        <v>0</v>
      </c>
      <c r="AH5092" s="7">
        <v>46065</v>
      </c>
      <c r="AN5092" s="8">
        <v>0</v>
      </c>
      <c r="AO5092" s="8">
        <v>240</v>
      </c>
    </row>
    <row r="5093" spans="1:41" x14ac:dyDescent="0.25">
      <c r="A5093" s="6" t="str">
        <f>"525-2026000013"</f>
        <v>525-2026000013</v>
      </c>
      <c r="B5093" s="6" t="str">
        <f t="shared" si="1332"/>
        <v>Lasa Int</v>
      </c>
      <c r="C5093" s="7">
        <v>46037</v>
      </c>
      <c r="D5093" s="7">
        <v>46065</v>
      </c>
      <c r="E5093" s="8">
        <v>4</v>
      </c>
      <c r="F5093" s="6" t="str">
        <f>"PURE"</f>
        <v>PURE</v>
      </c>
      <c r="G5093" s="6" t="str">
        <f>"F100021455000000"</f>
        <v>F100021455000000</v>
      </c>
      <c r="H5093" s="6" t="str">
        <f>"FA 214 - PURE - 550"</f>
        <v>FA 214 - PURE - 550</v>
      </c>
      <c r="I5093" s="6" t="str">
        <f>"2612"</f>
        <v>2612</v>
      </c>
      <c r="J5093" s="6" t="str">
        <f>"VERDE 2612"</f>
        <v>VERDE 2612</v>
      </c>
      <c r="K5093" s="6" t="str">
        <f>"2020"</f>
        <v>2020</v>
      </c>
      <c r="L5093" s="6" t="str">
        <f>"Lençóis"</f>
        <v>Lençóis</v>
      </c>
      <c r="M5093" s="6" t="str">
        <f>"100x150"</f>
        <v>100x150</v>
      </c>
      <c r="N5093" s="6" t="str">
        <f>"5602972837124"</f>
        <v>5602972837124</v>
      </c>
      <c r="O5093" s="8">
        <v>160</v>
      </c>
      <c r="P5093" s="7">
        <v>46037</v>
      </c>
      <c r="R5093" s="8">
        <v>0</v>
      </c>
      <c r="S5093" s="7">
        <v>46042</v>
      </c>
      <c r="U5093" s="8">
        <v>160</v>
      </c>
      <c r="V5093" s="7">
        <v>46051</v>
      </c>
      <c r="X5093" s="8">
        <v>0</v>
      </c>
      <c r="Z5093" s="8">
        <v>160</v>
      </c>
      <c r="AA5093" s="7">
        <v>46063</v>
      </c>
      <c r="AC5093" s="8">
        <v>0</v>
      </c>
      <c r="AE5093" s="7">
        <v>46065</v>
      </c>
      <c r="AF5093" s="8">
        <v>0</v>
      </c>
      <c r="AH5093" s="7">
        <v>46065</v>
      </c>
      <c r="AN5093" s="8">
        <v>0</v>
      </c>
      <c r="AO5093" s="8">
        <v>160</v>
      </c>
    </row>
    <row r="5094" spans="1:41" x14ac:dyDescent="0.25">
      <c r="A5094" s="6" t="str">
        <f t="shared" ref="A5094:A5100" si="1340">"525-2026000014"</f>
        <v>525-2026000014</v>
      </c>
      <c r="B5094" s="6" t="str">
        <f t="shared" si="1332"/>
        <v>Lasa Int</v>
      </c>
      <c r="C5094" s="7">
        <v>46037</v>
      </c>
      <c r="D5094" s="7">
        <v>46045</v>
      </c>
      <c r="E5094" s="8">
        <v>1</v>
      </c>
      <c r="F5094" s="6" t="str">
        <f t="shared" ref="F5094:F5100" si="1341">"Desporto"</f>
        <v>Desporto</v>
      </c>
      <c r="G5094" s="6" t="str">
        <f>"F100021455002444"</f>
        <v>F100021455002444</v>
      </c>
      <c r="H5094" s="6" t="str">
        <f>"FA 214 / 2444 - 550"</f>
        <v>FA 214 / 2444 - 550</v>
      </c>
      <c r="I5094" s="6" t="str">
        <f>"2334"</f>
        <v>2334</v>
      </c>
      <c r="J5094" s="6" t="str">
        <f>"TURQUESA 2334"</f>
        <v>TURQUESA 2334</v>
      </c>
      <c r="K5094" s="6" t="str">
        <f>"1024"</f>
        <v>1024</v>
      </c>
      <c r="L5094" s="6" t="str">
        <f>"Toalhas"</f>
        <v>Toalhas</v>
      </c>
      <c r="M5094" s="6" t="str">
        <f>"50x100"</f>
        <v>50x100</v>
      </c>
      <c r="N5094" s="6" t="str">
        <f>"5605247611269"</f>
        <v>5605247611269</v>
      </c>
      <c r="O5094" s="8">
        <v>12</v>
      </c>
      <c r="P5094" s="7">
        <v>46037</v>
      </c>
      <c r="R5094" s="8">
        <v>0</v>
      </c>
      <c r="U5094" s="8">
        <v>0</v>
      </c>
      <c r="X5094" s="8">
        <v>0</v>
      </c>
      <c r="Z5094" s="8">
        <v>0</v>
      </c>
      <c r="AC5094" s="8">
        <v>12</v>
      </c>
      <c r="AE5094" s="7">
        <v>46044</v>
      </c>
      <c r="AF5094" s="8">
        <v>12</v>
      </c>
      <c r="AH5094" s="7">
        <v>46045</v>
      </c>
      <c r="AN5094" s="8">
        <v>12</v>
      </c>
      <c r="AO5094" s="8">
        <v>0</v>
      </c>
    </row>
    <row r="5095" spans="1:41" x14ac:dyDescent="0.25">
      <c r="A5095" s="6" t="str">
        <f t="shared" si="1340"/>
        <v>525-2026000014</v>
      </c>
      <c r="B5095" s="6" t="str">
        <f t="shared" si="1332"/>
        <v>Lasa Int</v>
      </c>
      <c r="C5095" s="7">
        <v>46037</v>
      </c>
      <c r="D5095" s="7">
        <v>46045</v>
      </c>
      <c r="E5095" s="8">
        <v>2</v>
      </c>
      <c r="F5095" s="6" t="str">
        <f t="shared" si="1341"/>
        <v>Desporto</v>
      </c>
      <c r="G5095" s="6" t="str">
        <f t="shared" ref="G5095:G5100" si="1342">"F100021455002445"</f>
        <v>F100021455002445</v>
      </c>
      <c r="H5095" s="6" t="str">
        <f t="shared" ref="H5095:H5100" si="1343">"FA 214 / 2445 - 550"</f>
        <v>FA 214 / 2445 - 550</v>
      </c>
      <c r="I5095" s="6" t="str">
        <f>"1"</f>
        <v>1</v>
      </c>
      <c r="J5095" s="6" t="str">
        <f>"BRANCO"</f>
        <v>BRANCO</v>
      </c>
      <c r="K5095" s="6" t="str">
        <f>"0530"</f>
        <v>0530</v>
      </c>
      <c r="L5095" s="6" t="str">
        <f>"Toalhetes"</f>
        <v>Toalhetes</v>
      </c>
      <c r="M5095" s="6" t="str">
        <f>"33x50"</f>
        <v>33x50</v>
      </c>
      <c r="N5095" s="6" t="str">
        <f>"5605247611344"</f>
        <v>5605247611344</v>
      </c>
      <c r="O5095" s="8">
        <v>12</v>
      </c>
      <c r="P5095" s="7">
        <v>46037</v>
      </c>
      <c r="R5095" s="8">
        <v>0</v>
      </c>
      <c r="U5095" s="8">
        <v>0</v>
      </c>
      <c r="X5095" s="8">
        <v>0</v>
      </c>
      <c r="Z5095" s="8">
        <v>0</v>
      </c>
      <c r="AC5095" s="8">
        <v>12</v>
      </c>
      <c r="AE5095" s="7">
        <v>46044</v>
      </c>
      <c r="AF5095" s="8">
        <v>12</v>
      </c>
      <c r="AH5095" s="7">
        <v>46045</v>
      </c>
      <c r="AN5095" s="8">
        <v>12</v>
      </c>
      <c r="AO5095" s="8">
        <v>0</v>
      </c>
    </row>
    <row r="5096" spans="1:41" x14ac:dyDescent="0.25">
      <c r="A5096" s="6" t="str">
        <f t="shared" si="1340"/>
        <v>525-2026000014</v>
      </c>
      <c r="B5096" s="6" t="str">
        <f t="shared" si="1332"/>
        <v>Lasa Int</v>
      </c>
      <c r="C5096" s="7">
        <v>46037</v>
      </c>
      <c r="D5096" s="7">
        <v>46045</v>
      </c>
      <c r="E5096" s="8">
        <v>3</v>
      </c>
      <c r="F5096" s="6" t="str">
        <f t="shared" si="1341"/>
        <v>Desporto</v>
      </c>
      <c r="G5096" s="6" t="str">
        <f t="shared" si="1342"/>
        <v>F100021455002445</v>
      </c>
      <c r="H5096" s="6" t="str">
        <f t="shared" si="1343"/>
        <v>FA 214 / 2445 - 550</v>
      </c>
      <c r="I5096" s="6" t="str">
        <f>"1822"</f>
        <v>1822</v>
      </c>
      <c r="J5096" s="6" t="str">
        <f>"ROSA 1822"</f>
        <v>ROSA 1822</v>
      </c>
      <c r="K5096" s="6" t="str">
        <f>"0530"</f>
        <v>0530</v>
      </c>
      <c r="L5096" s="6" t="str">
        <f>"Toalhetes"</f>
        <v>Toalhetes</v>
      </c>
      <c r="M5096" s="6" t="str">
        <f>"33x50"</f>
        <v>33x50</v>
      </c>
      <c r="N5096" s="6" t="str">
        <f>"5605247611375"</f>
        <v>5605247611375</v>
      </c>
      <c r="O5096" s="8">
        <v>12</v>
      </c>
      <c r="P5096" s="7">
        <v>46037</v>
      </c>
      <c r="R5096" s="8">
        <v>0</v>
      </c>
      <c r="U5096" s="8">
        <v>0</v>
      </c>
      <c r="X5096" s="8">
        <v>0</v>
      </c>
      <c r="Z5096" s="8">
        <v>0</v>
      </c>
      <c r="AC5096" s="8">
        <v>12</v>
      </c>
      <c r="AE5096" s="7">
        <v>46044</v>
      </c>
      <c r="AF5096" s="8">
        <v>12</v>
      </c>
      <c r="AH5096" s="7">
        <v>46045</v>
      </c>
      <c r="AN5096" s="8">
        <v>12</v>
      </c>
      <c r="AO5096" s="8">
        <v>0</v>
      </c>
    </row>
    <row r="5097" spans="1:41" x14ac:dyDescent="0.25">
      <c r="A5097" s="6" t="str">
        <f t="shared" si="1340"/>
        <v>525-2026000014</v>
      </c>
      <c r="B5097" s="6" t="str">
        <f t="shared" si="1332"/>
        <v>Lasa Int</v>
      </c>
      <c r="C5097" s="7">
        <v>46037</v>
      </c>
      <c r="D5097" s="7">
        <v>46045</v>
      </c>
      <c r="E5097" s="8">
        <v>4</v>
      </c>
      <c r="F5097" s="6" t="str">
        <f t="shared" si="1341"/>
        <v>Desporto</v>
      </c>
      <c r="G5097" s="6" t="str">
        <f t="shared" si="1342"/>
        <v>F100021455002445</v>
      </c>
      <c r="H5097" s="6" t="str">
        <f t="shared" si="1343"/>
        <v>FA 214 / 2445 - 550</v>
      </c>
      <c r="I5097" s="6" t="str">
        <f>"2094"</f>
        <v>2094</v>
      </c>
      <c r="J5097" s="6" t="str">
        <f>"AZUL 2094"</f>
        <v>AZUL 2094</v>
      </c>
      <c r="K5097" s="6" t="str">
        <f>"0530"</f>
        <v>0530</v>
      </c>
      <c r="L5097" s="6" t="str">
        <f>"Toalhetes"</f>
        <v>Toalhetes</v>
      </c>
      <c r="M5097" s="6" t="str">
        <f>"33x50"</f>
        <v>33x50</v>
      </c>
      <c r="N5097" s="6" t="str">
        <f>"5605247611405"</f>
        <v>5605247611405</v>
      </c>
      <c r="O5097" s="8">
        <v>12</v>
      </c>
      <c r="P5097" s="7">
        <v>46037</v>
      </c>
      <c r="R5097" s="8">
        <v>0</v>
      </c>
      <c r="U5097" s="8">
        <v>0</v>
      </c>
      <c r="X5097" s="8">
        <v>0</v>
      </c>
      <c r="Z5097" s="8">
        <v>0</v>
      </c>
      <c r="AC5097" s="8">
        <v>12</v>
      </c>
      <c r="AE5097" s="7">
        <v>46044</v>
      </c>
      <c r="AF5097" s="8">
        <v>12</v>
      </c>
      <c r="AH5097" s="7">
        <v>46045</v>
      </c>
      <c r="AN5097" s="8">
        <v>12</v>
      </c>
      <c r="AO5097" s="8">
        <v>0</v>
      </c>
    </row>
    <row r="5098" spans="1:41" x14ac:dyDescent="0.25">
      <c r="A5098" s="6" t="str">
        <f t="shared" si="1340"/>
        <v>525-2026000014</v>
      </c>
      <c r="B5098" s="6" t="str">
        <f t="shared" si="1332"/>
        <v>Lasa Int</v>
      </c>
      <c r="C5098" s="7">
        <v>46037</v>
      </c>
      <c r="D5098" s="7">
        <v>46045</v>
      </c>
      <c r="E5098" s="8">
        <v>5</v>
      </c>
      <c r="F5098" s="6" t="str">
        <f t="shared" si="1341"/>
        <v>Desporto</v>
      </c>
      <c r="G5098" s="6" t="str">
        <f t="shared" si="1342"/>
        <v>F100021455002445</v>
      </c>
      <c r="H5098" s="6" t="str">
        <f t="shared" si="1343"/>
        <v>FA 214 / 2445 - 550</v>
      </c>
      <c r="I5098" s="6" t="str">
        <f>"2307"</f>
        <v>2307</v>
      </c>
      <c r="J5098" s="6" t="str">
        <f>"VERMELHO 2307"</f>
        <v>VERMELHO 2307</v>
      </c>
      <c r="K5098" s="6" t="str">
        <f>"0530"</f>
        <v>0530</v>
      </c>
      <c r="L5098" s="6" t="str">
        <f>"Toalhetes"</f>
        <v>Toalhetes</v>
      </c>
      <c r="M5098" s="6" t="str">
        <f>"33x50"</f>
        <v>33x50</v>
      </c>
      <c r="N5098" s="6" t="str">
        <f>"5605247611436"</f>
        <v>5605247611436</v>
      </c>
      <c r="O5098" s="8">
        <v>12</v>
      </c>
      <c r="P5098" s="7">
        <v>46037</v>
      </c>
      <c r="R5098" s="8">
        <v>0</v>
      </c>
      <c r="U5098" s="8">
        <v>0</v>
      </c>
      <c r="X5098" s="8">
        <v>0</v>
      </c>
      <c r="Z5098" s="8">
        <v>0</v>
      </c>
      <c r="AC5098" s="8">
        <v>12</v>
      </c>
      <c r="AE5098" s="7">
        <v>46044</v>
      </c>
      <c r="AF5098" s="8">
        <v>12</v>
      </c>
      <c r="AH5098" s="7">
        <v>46045</v>
      </c>
      <c r="AN5098" s="8">
        <v>12</v>
      </c>
      <c r="AO5098" s="8">
        <v>0</v>
      </c>
    </row>
    <row r="5099" spans="1:41" x14ac:dyDescent="0.25">
      <c r="A5099" s="6" t="str">
        <f t="shared" si="1340"/>
        <v>525-2026000014</v>
      </c>
      <c r="B5099" s="6" t="str">
        <f t="shared" si="1332"/>
        <v>Lasa Int</v>
      </c>
      <c r="C5099" s="7">
        <v>46037</v>
      </c>
      <c r="D5099" s="7">
        <v>46045</v>
      </c>
      <c r="E5099" s="8">
        <v>6</v>
      </c>
      <c r="F5099" s="6" t="str">
        <f t="shared" si="1341"/>
        <v>Desporto</v>
      </c>
      <c r="G5099" s="6" t="str">
        <f t="shared" si="1342"/>
        <v>F100021455002445</v>
      </c>
      <c r="H5099" s="6" t="str">
        <f t="shared" si="1343"/>
        <v>FA 214 / 2445 - 550</v>
      </c>
      <c r="I5099" s="6" t="str">
        <f>"2334"</f>
        <v>2334</v>
      </c>
      <c r="J5099" s="6" t="str">
        <f>"TURQUESA 2334"</f>
        <v>TURQUESA 2334</v>
      </c>
      <c r="K5099" s="6" t="str">
        <f>"1024"</f>
        <v>1024</v>
      </c>
      <c r="L5099" s="6" t="str">
        <f>"Toalhas"</f>
        <v>Toalhas</v>
      </c>
      <c r="M5099" s="6" t="str">
        <f>"50x100"</f>
        <v>50x100</v>
      </c>
      <c r="N5099" s="6" t="str">
        <f>"5605247611474"</f>
        <v>5605247611474</v>
      </c>
      <c r="O5099" s="8">
        <v>20</v>
      </c>
      <c r="P5099" s="7">
        <v>46037</v>
      </c>
      <c r="R5099" s="8">
        <v>0</v>
      </c>
      <c r="U5099" s="8">
        <v>0</v>
      </c>
      <c r="X5099" s="8">
        <v>0</v>
      </c>
      <c r="Z5099" s="8">
        <v>0</v>
      </c>
      <c r="AC5099" s="8">
        <v>20</v>
      </c>
      <c r="AE5099" s="7">
        <v>46044</v>
      </c>
      <c r="AF5099" s="8">
        <v>20</v>
      </c>
      <c r="AH5099" s="7">
        <v>46045</v>
      </c>
      <c r="AN5099" s="8">
        <v>20</v>
      </c>
      <c r="AO5099" s="8">
        <v>0</v>
      </c>
    </row>
    <row r="5100" spans="1:41" x14ac:dyDescent="0.25">
      <c r="A5100" s="6" t="str">
        <f t="shared" si="1340"/>
        <v>525-2026000014</v>
      </c>
      <c r="B5100" s="6" t="str">
        <f t="shared" si="1332"/>
        <v>Lasa Int</v>
      </c>
      <c r="C5100" s="7">
        <v>46037</v>
      </c>
      <c r="D5100" s="7">
        <v>46045</v>
      </c>
      <c r="E5100" s="8">
        <v>7</v>
      </c>
      <c r="F5100" s="6" t="str">
        <f t="shared" si="1341"/>
        <v>Desporto</v>
      </c>
      <c r="G5100" s="6" t="str">
        <f t="shared" si="1342"/>
        <v>F100021455002445</v>
      </c>
      <c r="H5100" s="6" t="str">
        <f t="shared" si="1343"/>
        <v>FA 214 / 2445 - 550</v>
      </c>
      <c r="I5100" s="6" t="str">
        <f>"2392"</f>
        <v>2392</v>
      </c>
      <c r="J5100" s="6" t="str">
        <f>"LARANJA 2392"</f>
        <v>LARANJA 2392</v>
      </c>
      <c r="K5100" s="6" t="str">
        <f>"0530"</f>
        <v>0530</v>
      </c>
      <c r="L5100" s="6" t="str">
        <f>"Toalhetes"</f>
        <v>Toalhetes</v>
      </c>
      <c r="M5100" s="6" t="str">
        <f>"33x50"</f>
        <v>33x50</v>
      </c>
      <c r="N5100" s="6" t="str">
        <f>"5605247611498"</f>
        <v>5605247611498</v>
      </c>
      <c r="O5100" s="8">
        <v>12</v>
      </c>
      <c r="P5100" s="7">
        <v>46037</v>
      </c>
      <c r="R5100" s="8">
        <v>0</v>
      </c>
      <c r="U5100" s="8">
        <v>0</v>
      </c>
      <c r="X5100" s="8">
        <v>0</v>
      </c>
      <c r="Z5100" s="8">
        <v>0</v>
      </c>
      <c r="AC5100" s="8">
        <v>12</v>
      </c>
      <c r="AE5100" s="7">
        <v>46044</v>
      </c>
      <c r="AF5100" s="8">
        <v>12</v>
      </c>
      <c r="AH5100" s="7">
        <v>46045</v>
      </c>
      <c r="AN5100" s="8">
        <v>12</v>
      </c>
      <c r="AO5100" s="8">
        <v>0</v>
      </c>
    </row>
    <row r="5101" spans="1:41" x14ac:dyDescent="0.25">
      <c r="A5101" s="6" t="str">
        <f>"525-2026000015"</f>
        <v>525-2026000015</v>
      </c>
      <c r="B5101" s="6" t="str">
        <f>"KLEINMAN"</f>
        <v>KLEINMAN</v>
      </c>
      <c r="C5101" s="7">
        <v>46037</v>
      </c>
      <c r="D5101" s="7">
        <v>46101</v>
      </c>
      <c r="E5101" s="8">
        <v>1</v>
      </c>
      <c r="F5101" s="6" t="str">
        <f>"Favo"</f>
        <v>Favo</v>
      </c>
      <c r="G5101" s="6" t="str">
        <f>"C001090426000000"</f>
        <v>C001090426000000</v>
      </c>
      <c r="H5101" s="6" t="str">
        <f>"CZJ 0904 - 260 gr/m²"</f>
        <v>CZJ 0904 - 260 gr/m²</v>
      </c>
      <c r="I5101" s="6" t="str">
        <f>"200498"</f>
        <v>200498</v>
      </c>
      <c r="J5101" s="6" t="str">
        <f>"VERMELHO 498"</f>
        <v>VERMELHO 498</v>
      </c>
      <c r="K5101" s="6" t="str">
        <f>"0830"</f>
        <v>0830</v>
      </c>
      <c r="L5101" s="6" t="str">
        <f>"Cozinha"</f>
        <v>Cozinha</v>
      </c>
      <c r="M5101" s="6" t="str">
        <f>"50x70"</f>
        <v>50x70</v>
      </c>
      <c r="N5101" s="6" t="str">
        <f>"5605247633674"</f>
        <v>5605247633674</v>
      </c>
      <c r="O5101" s="8">
        <v>1500</v>
      </c>
      <c r="P5101" s="7">
        <v>46037</v>
      </c>
      <c r="R5101" s="8">
        <v>0</v>
      </c>
      <c r="S5101" s="7">
        <v>46042</v>
      </c>
      <c r="U5101" s="8">
        <v>0</v>
      </c>
      <c r="V5101" s="7">
        <v>46049</v>
      </c>
      <c r="X5101" s="8">
        <v>0</v>
      </c>
      <c r="Z5101" s="8">
        <v>0</v>
      </c>
      <c r="AA5101" s="7">
        <v>46063</v>
      </c>
      <c r="AC5101" s="8">
        <v>0</v>
      </c>
      <c r="AE5101" s="7">
        <v>46066</v>
      </c>
      <c r="AF5101" s="8">
        <v>0</v>
      </c>
      <c r="AH5101" s="7">
        <v>46101</v>
      </c>
      <c r="AN5101" s="8">
        <v>0</v>
      </c>
      <c r="AO5101" s="8">
        <v>1500</v>
      </c>
    </row>
    <row r="5102" spans="1:41" x14ac:dyDescent="0.25">
      <c r="A5102" s="6" t="str">
        <f>"525-2026000015"</f>
        <v>525-2026000015</v>
      </c>
      <c r="B5102" s="6" t="str">
        <f>"KLEINMAN"</f>
        <v>KLEINMAN</v>
      </c>
      <c r="C5102" s="7">
        <v>46037</v>
      </c>
      <c r="D5102" s="7">
        <v>46101</v>
      </c>
      <c r="E5102" s="8">
        <v>2</v>
      </c>
      <c r="F5102" s="6" t="str">
        <f>"Favo"</f>
        <v>Favo</v>
      </c>
      <c r="G5102" s="6" t="str">
        <f>"C001090426000000"</f>
        <v>C001090426000000</v>
      </c>
      <c r="H5102" s="6" t="str">
        <f>"CZJ 0904 - 260 gr/m²"</f>
        <v>CZJ 0904 - 260 gr/m²</v>
      </c>
      <c r="I5102" s="6" t="str">
        <f>"200532"</f>
        <v>200532</v>
      </c>
      <c r="J5102" s="6" t="str">
        <f>"VERDE 532"</f>
        <v>VERDE 532</v>
      </c>
      <c r="K5102" s="6" t="str">
        <f>"0830"</f>
        <v>0830</v>
      </c>
      <c r="L5102" s="6" t="str">
        <f>"Cozinha"</f>
        <v>Cozinha</v>
      </c>
      <c r="M5102" s="6" t="str">
        <f>"50x70"</f>
        <v>50x70</v>
      </c>
      <c r="N5102" s="6" t="str">
        <f>"5605247640306"</f>
        <v>5605247640306</v>
      </c>
      <c r="O5102" s="8">
        <v>1500</v>
      </c>
      <c r="P5102" s="7">
        <v>46037</v>
      </c>
      <c r="R5102" s="8">
        <v>0</v>
      </c>
      <c r="S5102" s="7">
        <v>46042</v>
      </c>
      <c r="U5102" s="8">
        <v>0</v>
      </c>
      <c r="V5102" s="7">
        <v>46049</v>
      </c>
      <c r="X5102" s="8">
        <v>0</v>
      </c>
      <c r="Z5102" s="8">
        <v>0</v>
      </c>
      <c r="AA5102" s="7">
        <v>46063</v>
      </c>
      <c r="AC5102" s="8">
        <v>0</v>
      </c>
      <c r="AE5102" s="7">
        <v>46066</v>
      </c>
      <c r="AF5102" s="8">
        <v>0</v>
      </c>
      <c r="AH5102" s="7">
        <v>46101</v>
      </c>
      <c r="AN5102" s="8">
        <v>0</v>
      </c>
      <c r="AO5102" s="8">
        <v>1500</v>
      </c>
    </row>
    <row r="5103" spans="1:41" x14ac:dyDescent="0.25">
      <c r="A5103" s="6" t="str">
        <f>"525-2026000015"</f>
        <v>525-2026000015</v>
      </c>
      <c r="B5103" s="6" t="str">
        <f>"KLEINMAN"</f>
        <v>KLEINMAN</v>
      </c>
      <c r="C5103" s="7">
        <v>46037</v>
      </c>
      <c r="D5103" s="7">
        <v>46101</v>
      </c>
      <c r="E5103" s="8">
        <v>3</v>
      </c>
      <c r="F5103" s="6" t="str">
        <f>"Favo"</f>
        <v>Favo</v>
      </c>
      <c r="G5103" s="6" t="str">
        <f>"C001090426000000"</f>
        <v>C001090426000000</v>
      </c>
      <c r="H5103" s="6" t="str">
        <f>"CZJ 0904 - 260 gr/m²"</f>
        <v>CZJ 0904 - 260 gr/m²</v>
      </c>
      <c r="I5103" s="6" t="str">
        <f>"202206"</f>
        <v>202206</v>
      </c>
      <c r="J5103" s="6" t="str">
        <f>"CINZA 2206"</f>
        <v>CINZA 2206</v>
      </c>
      <c r="K5103" s="6" t="str">
        <f>"0830"</f>
        <v>0830</v>
      </c>
      <c r="L5103" s="6" t="str">
        <f>"Cozinha"</f>
        <v>Cozinha</v>
      </c>
      <c r="M5103" s="6" t="str">
        <f>"50x70"</f>
        <v>50x70</v>
      </c>
      <c r="N5103" s="6" t="str">
        <f>"5605247642348"</f>
        <v>5605247642348</v>
      </c>
      <c r="O5103" s="8">
        <v>3000</v>
      </c>
      <c r="P5103" s="7">
        <v>46037</v>
      </c>
      <c r="R5103" s="8">
        <v>0</v>
      </c>
      <c r="S5103" s="7">
        <v>46042</v>
      </c>
      <c r="U5103" s="8">
        <v>0</v>
      </c>
      <c r="V5103" s="7">
        <v>46049</v>
      </c>
      <c r="X5103" s="8">
        <v>0</v>
      </c>
      <c r="Z5103" s="8">
        <v>0</v>
      </c>
      <c r="AA5103" s="7">
        <v>46063</v>
      </c>
      <c r="AC5103" s="8">
        <v>0</v>
      </c>
      <c r="AE5103" s="7">
        <v>46066</v>
      </c>
      <c r="AF5103" s="8">
        <v>0</v>
      </c>
      <c r="AH5103" s="7">
        <v>46101</v>
      </c>
      <c r="AN5103" s="8">
        <v>0</v>
      </c>
      <c r="AO5103" s="8">
        <v>3000</v>
      </c>
    </row>
    <row r="5104" spans="1:41" x14ac:dyDescent="0.25">
      <c r="A5104" s="6" t="str">
        <f t="shared" ref="A5104:A5115" si="1344">"525-2026000016"</f>
        <v>525-2026000016</v>
      </c>
      <c r="B5104" s="6" t="str">
        <f t="shared" ref="B5104:B5136" si="1345">"Lasa Int"</f>
        <v>Lasa Int</v>
      </c>
      <c r="C5104" s="7">
        <v>46037</v>
      </c>
      <c r="D5104" s="7">
        <v>46101</v>
      </c>
      <c r="E5104" s="8">
        <v>1</v>
      </c>
      <c r="F5104" s="6" t="str">
        <f t="shared" ref="F5104:F5115" si="1346">"Riscas"</f>
        <v>Riscas</v>
      </c>
      <c r="G5104" s="6" t="str">
        <f>"K320203938000000"</f>
        <v>K320203938000000</v>
      </c>
      <c r="H5104" s="6" t="str">
        <f>"KB 2039 - PL P 1137"</f>
        <v>KB 2039 - PL P 1137</v>
      </c>
      <c r="I5104" s="6" t="str">
        <f>"200469"</f>
        <v>200469</v>
      </c>
      <c r="J5104" s="6" t="str">
        <f>"AZUL 469"</f>
        <v>AZUL 469</v>
      </c>
      <c r="K5104" s="6" t="str">
        <f>"5206"</f>
        <v>5206</v>
      </c>
      <c r="L5104" s="6" t="str">
        <f>"Roupões Criança"</f>
        <v>Roupões Criança</v>
      </c>
      <c r="M5104" s="6" t="str">
        <f>"6 Anos"</f>
        <v>6 Anos</v>
      </c>
      <c r="N5104" s="6" t="str">
        <f>"5602972698879"</f>
        <v>5602972698879</v>
      </c>
      <c r="O5104" s="8">
        <v>36</v>
      </c>
      <c r="P5104" s="7">
        <v>46072</v>
      </c>
      <c r="R5104" s="8">
        <v>0</v>
      </c>
      <c r="S5104" s="7">
        <v>46077</v>
      </c>
      <c r="U5104" s="8">
        <v>0</v>
      </c>
      <c r="V5104" s="7">
        <v>46084</v>
      </c>
      <c r="X5104" s="8">
        <v>0</v>
      </c>
      <c r="Z5104" s="8">
        <v>0</v>
      </c>
      <c r="AA5104" s="7">
        <v>46098</v>
      </c>
      <c r="AC5104" s="8">
        <v>0</v>
      </c>
      <c r="AE5104" s="7">
        <v>46101</v>
      </c>
      <c r="AF5104" s="8">
        <v>0</v>
      </c>
      <c r="AH5104" s="7">
        <v>46101</v>
      </c>
      <c r="AN5104" s="8">
        <v>0</v>
      </c>
      <c r="AO5104" s="8">
        <v>36</v>
      </c>
    </row>
    <row r="5105" spans="1:41" x14ac:dyDescent="0.25">
      <c r="A5105" s="6" t="str">
        <f t="shared" si="1344"/>
        <v>525-2026000016</v>
      </c>
      <c r="B5105" s="6" t="str">
        <f t="shared" si="1345"/>
        <v>Lasa Int</v>
      </c>
      <c r="C5105" s="7">
        <v>46037</v>
      </c>
      <c r="D5105" s="7">
        <v>46101</v>
      </c>
      <c r="E5105" s="8">
        <v>2</v>
      </c>
      <c r="F5105" s="6" t="str">
        <f t="shared" si="1346"/>
        <v>Riscas</v>
      </c>
      <c r="G5105" s="6" t="str">
        <f>"K320203938000000"</f>
        <v>K320203938000000</v>
      </c>
      <c r="H5105" s="6" t="str">
        <f>"KB 2039 - PL P 1137"</f>
        <v>KB 2039 - PL P 1137</v>
      </c>
      <c r="I5105" s="6" t="str">
        <f>"200731"</f>
        <v>200731</v>
      </c>
      <c r="J5105" s="6" t="str">
        <f>"PESSEGO 731"</f>
        <v>PESSEGO 731</v>
      </c>
      <c r="K5105" s="6" t="str">
        <f>"5206"</f>
        <v>5206</v>
      </c>
      <c r="L5105" s="6" t="str">
        <f>"Roupões Criança"</f>
        <v>Roupões Criança</v>
      </c>
      <c r="M5105" s="6" t="str">
        <f>"6 Anos"</f>
        <v>6 Anos</v>
      </c>
      <c r="N5105" s="6" t="str">
        <f>"5602972698916"</f>
        <v>5602972698916</v>
      </c>
      <c r="O5105" s="8">
        <v>36</v>
      </c>
      <c r="P5105" s="7">
        <v>46072</v>
      </c>
      <c r="R5105" s="8">
        <v>0</v>
      </c>
      <c r="S5105" s="7">
        <v>46077</v>
      </c>
      <c r="U5105" s="8">
        <v>0</v>
      </c>
      <c r="V5105" s="7">
        <v>46084</v>
      </c>
      <c r="X5105" s="8">
        <v>0</v>
      </c>
      <c r="Z5105" s="8">
        <v>0</v>
      </c>
      <c r="AA5105" s="7">
        <v>46098</v>
      </c>
      <c r="AC5105" s="8">
        <v>0</v>
      </c>
      <c r="AE5105" s="7">
        <v>46101</v>
      </c>
      <c r="AF5105" s="8">
        <v>0</v>
      </c>
      <c r="AH5105" s="7">
        <v>46101</v>
      </c>
      <c r="AN5105" s="8">
        <v>0</v>
      </c>
      <c r="AO5105" s="8">
        <v>36</v>
      </c>
    </row>
    <row r="5106" spans="1:41" x14ac:dyDescent="0.25">
      <c r="A5106" s="6" t="str">
        <f t="shared" si="1344"/>
        <v>525-2026000016</v>
      </c>
      <c r="B5106" s="6" t="str">
        <f t="shared" si="1345"/>
        <v>Lasa Int</v>
      </c>
      <c r="C5106" s="7">
        <v>46037</v>
      </c>
      <c r="D5106" s="7">
        <v>46101</v>
      </c>
      <c r="E5106" s="8">
        <v>3</v>
      </c>
      <c r="F5106" s="6" t="str">
        <f t="shared" si="1346"/>
        <v>Riscas</v>
      </c>
      <c r="G5106" s="6" t="str">
        <f>"K320203938000000"</f>
        <v>K320203938000000</v>
      </c>
      <c r="H5106" s="6" t="str">
        <f>"KB 2039 - PL P 1137"</f>
        <v>KB 2039 - PL P 1137</v>
      </c>
      <c r="I5106" s="6" t="str">
        <f>"203527"</f>
        <v>203527</v>
      </c>
      <c r="J5106" s="6" t="str">
        <f>"CINZA 3527"</f>
        <v>CINZA 3527</v>
      </c>
      <c r="K5106" s="6" t="str">
        <f>"5206"</f>
        <v>5206</v>
      </c>
      <c r="L5106" s="6" t="str">
        <f>"Roupões Criança"</f>
        <v>Roupões Criança</v>
      </c>
      <c r="M5106" s="6" t="str">
        <f>"6 Anos"</f>
        <v>6 Anos</v>
      </c>
      <c r="N5106" s="6" t="str">
        <f>"5602972698954"</f>
        <v>5602972698954</v>
      </c>
      <c r="O5106" s="8">
        <v>36</v>
      </c>
      <c r="P5106" s="7">
        <v>46072</v>
      </c>
      <c r="R5106" s="8">
        <v>0</v>
      </c>
      <c r="S5106" s="7">
        <v>46077</v>
      </c>
      <c r="U5106" s="8">
        <v>0</v>
      </c>
      <c r="V5106" s="7">
        <v>46084</v>
      </c>
      <c r="X5106" s="8">
        <v>0</v>
      </c>
      <c r="Z5106" s="8">
        <v>0</v>
      </c>
      <c r="AA5106" s="7">
        <v>46098</v>
      </c>
      <c r="AC5106" s="8">
        <v>0</v>
      </c>
      <c r="AE5106" s="7">
        <v>46101</v>
      </c>
      <c r="AF5106" s="8">
        <v>0</v>
      </c>
      <c r="AH5106" s="7">
        <v>46101</v>
      </c>
      <c r="AN5106" s="8">
        <v>0</v>
      </c>
      <c r="AO5106" s="8">
        <v>36</v>
      </c>
    </row>
    <row r="5107" spans="1:41" x14ac:dyDescent="0.25">
      <c r="A5107" s="6" t="str">
        <f t="shared" si="1344"/>
        <v>525-2026000016</v>
      </c>
      <c r="B5107" s="6" t="str">
        <f t="shared" si="1345"/>
        <v>Lasa Int</v>
      </c>
      <c r="C5107" s="7">
        <v>46037</v>
      </c>
      <c r="D5107" s="7">
        <v>46101</v>
      </c>
      <c r="E5107" s="8">
        <v>4</v>
      </c>
      <c r="F5107" s="6" t="str">
        <f t="shared" si="1346"/>
        <v>Riscas</v>
      </c>
      <c r="G5107" s="6" t="str">
        <f>"K320204038000000"</f>
        <v>K320204038000000</v>
      </c>
      <c r="H5107" s="6" t="str">
        <f>"KB 2040 - PL P 1137"</f>
        <v>KB 2040 - PL P 1137</v>
      </c>
      <c r="I5107" s="6" t="str">
        <f>"200469"</f>
        <v>200469</v>
      </c>
      <c r="J5107" s="6" t="str">
        <f>"AZUL 469"</f>
        <v>AZUL 469</v>
      </c>
      <c r="K5107" s="6" t="str">
        <f t="shared" ref="K5107:K5115" si="1347">"5300"</f>
        <v>5300</v>
      </c>
      <c r="L5107" s="6" t="str">
        <f t="shared" ref="L5107:L5115" si="1348">"Artigos B,b,"</f>
        <v>Artigos B,b,</v>
      </c>
      <c r="M5107" s="6" t="str">
        <f t="shared" ref="M5107:M5115" si="1349">"Único"</f>
        <v>Único</v>
      </c>
      <c r="N5107" s="6" t="str">
        <f>"5602972698961"</f>
        <v>5602972698961</v>
      </c>
      <c r="O5107" s="8">
        <v>144</v>
      </c>
      <c r="P5107" s="7">
        <v>46072</v>
      </c>
      <c r="R5107" s="8">
        <v>0</v>
      </c>
      <c r="S5107" s="7">
        <v>46077</v>
      </c>
      <c r="U5107" s="8">
        <v>0</v>
      </c>
      <c r="V5107" s="7">
        <v>46084</v>
      </c>
      <c r="X5107" s="8">
        <v>0</v>
      </c>
      <c r="Z5107" s="8">
        <v>0</v>
      </c>
      <c r="AA5107" s="7">
        <v>46098</v>
      </c>
      <c r="AC5107" s="8">
        <v>0</v>
      </c>
      <c r="AE5107" s="7">
        <v>46101</v>
      </c>
      <c r="AF5107" s="8">
        <v>0</v>
      </c>
      <c r="AH5107" s="7">
        <v>46101</v>
      </c>
      <c r="AN5107" s="8">
        <v>0</v>
      </c>
      <c r="AO5107" s="8">
        <v>144</v>
      </c>
    </row>
    <row r="5108" spans="1:41" x14ac:dyDescent="0.25">
      <c r="A5108" s="6" t="str">
        <f t="shared" si="1344"/>
        <v>525-2026000016</v>
      </c>
      <c r="B5108" s="6" t="str">
        <f t="shared" si="1345"/>
        <v>Lasa Int</v>
      </c>
      <c r="C5108" s="7">
        <v>46037</v>
      </c>
      <c r="D5108" s="7">
        <v>46101</v>
      </c>
      <c r="E5108" s="8">
        <v>5</v>
      </c>
      <c r="F5108" s="6" t="str">
        <f t="shared" si="1346"/>
        <v>Riscas</v>
      </c>
      <c r="G5108" s="6" t="str">
        <f>"K320204038000000"</f>
        <v>K320204038000000</v>
      </c>
      <c r="H5108" s="6" t="str">
        <f>"KB 2040 - PL P 1137"</f>
        <v>KB 2040 - PL P 1137</v>
      </c>
      <c r="I5108" s="6" t="str">
        <f>"200731"</f>
        <v>200731</v>
      </c>
      <c r="J5108" s="6" t="str">
        <f>"PESSEGO 731"</f>
        <v>PESSEGO 731</v>
      </c>
      <c r="K5108" s="6" t="str">
        <f t="shared" si="1347"/>
        <v>5300</v>
      </c>
      <c r="L5108" s="6" t="str">
        <f t="shared" si="1348"/>
        <v>Artigos B,b,</v>
      </c>
      <c r="M5108" s="6" t="str">
        <f t="shared" si="1349"/>
        <v>Único</v>
      </c>
      <c r="N5108" s="6" t="str">
        <f>"5602972698978"</f>
        <v>5602972698978</v>
      </c>
      <c r="O5108" s="8">
        <v>144</v>
      </c>
      <c r="P5108" s="7">
        <v>46072</v>
      </c>
      <c r="R5108" s="8">
        <v>0</v>
      </c>
      <c r="S5108" s="7">
        <v>46077</v>
      </c>
      <c r="U5108" s="8">
        <v>0</v>
      </c>
      <c r="V5108" s="7">
        <v>46084</v>
      </c>
      <c r="X5108" s="8">
        <v>0</v>
      </c>
      <c r="Z5108" s="8">
        <v>0</v>
      </c>
      <c r="AA5108" s="7">
        <v>46098</v>
      </c>
      <c r="AC5108" s="8">
        <v>0</v>
      </c>
      <c r="AE5108" s="7">
        <v>46101</v>
      </c>
      <c r="AF5108" s="8">
        <v>0</v>
      </c>
      <c r="AH5108" s="7">
        <v>46101</v>
      </c>
      <c r="AN5108" s="8">
        <v>0</v>
      </c>
      <c r="AO5108" s="8">
        <v>144</v>
      </c>
    </row>
    <row r="5109" spans="1:41" x14ac:dyDescent="0.25">
      <c r="A5109" s="6" t="str">
        <f t="shared" si="1344"/>
        <v>525-2026000016</v>
      </c>
      <c r="B5109" s="6" t="str">
        <f t="shared" si="1345"/>
        <v>Lasa Int</v>
      </c>
      <c r="C5109" s="7">
        <v>46037</v>
      </c>
      <c r="D5109" s="7">
        <v>46101</v>
      </c>
      <c r="E5109" s="8">
        <v>6</v>
      </c>
      <c r="F5109" s="6" t="str">
        <f t="shared" si="1346"/>
        <v>Riscas</v>
      </c>
      <c r="G5109" s="6" t="str">
        <f>"K320204038000000"</f>
        <v>K320204038000000</v>
      </c>
      <c r="H5109" s="6" t="str">
        <f>"KB 2040 - PL P 1137"</f>
        <v>KB 2040 - PL P 1137</v>
      </c>
      <c r="I5109" s="6" t="str">
        <f>"203527"</f>
        <v>203527</v>
      </c>
      <c r="J5109" s="6" t="str">
        <f>"CINZA 3527"</f>
        <v>CINZA 3527</v>
      </c>
      <c r="K5109" s="6" t="str">
        <f t="shared" si="1347"/>
        <v>5300</v>
      </c>
      <c r="L5109" s="6" t="str">
        <f t="shared" si="1348"/>
        <v>Artigos B,b,</v>
      </c>
      <c r="M5109" s="6" t="str">
        <f t="shared" si="1349"/>
        <v>Único</v>
      </c>
      <c r="N5109" s="6" t="str">
        <f>"5602972698985"</f>
        <v>5602972698985</v>
      </c>
      <c r="O5109" s="8">
        <v>120</v>
      </c>
      <c r="P5109" s="7">
        <v>46072</v>
      </c>
      <c r="R5109" s="8">
        <v>0</v>
      </c>
      <c r="S5109" s="7">
        <v>46077</v>
      </c>
      <c r="U5109" s="8">
        <v>0</v>
      </c>
      <c r="V5109" s="7">
        <v>46084</v>
      </c>
      <c r="X5109" s="8">
        <v>0</v>
      </c>
      <c r="Z5109" s="8">
        <v>0</v>
      </c>
      <c r="AA5109" s="7">
        <v>46098</v>
      </c>
      <c r="AC5109" s="8">
        <v>0</v>
      </c>
      <c r="AE5109" s="7">
        <v>46101</v>
      </c>
      <c r="AF5109" s="8">
        <v>0</v>
      </c>
      <c r="AH5109" s="7">
        <v>46101</v>
      </c>
      <c r="AN5109" s="8">
        <v>0</v>
      </c>
      <c r="AO5109" s="8">
        <v>120</v>
      </c>
    </row>
    <row r="5110" spans="1:41" x14ac:dyDescent="0.25">
      <c r="A5110" s="6" t="str">
        <f t="shared" si="1344"/>
        <v>525-2026000016</v>
      </c>
      <c r="B5110" s="6" t="str">
        <f t="shared" si="1345"/>
        <v>Lasa Int</v>
      </c>
      <c r="C5110" s="7">
        <v>46037</v>
      </c>
      <c r="D5110" s="7">
        <v>46101</v>
      </c>
      <c r="E5110" s="8">
        <v>7</v>
      </c>
      <c r="F5110" s="6" t="str">
        <f t="shared" si="1346"/>
        <v>Riscas</v>
      </c>
      <c r="G5110" s="6" t="str">
        <f>"K320204138000000"</f>
        <v>K320204138000000</v>
      </c>
      <c r="H5110" s="6" t="str">
        <f>"KB 2041 - PL P 1137"</f>
        <v>KB 2041 - PL P 1137</v>
      </c>
      <c r="I5110" s="6" t="str">
        <f>"200469"</f>
        <v>200469</v>
      </c>
      <c r="J5110" s="6" t="str">
        <f>"AZUL 469"</f>
        <v>AZUL 469</v>
      </c>
      <c r="K5110" s="6" t="str">
        <f t="shared" si="1347"/>
        <v>5300</v>
      </c>
      <c r="L5110" s="6" t="str">
        <f t="shared" si="1348"/>
        <v>Artigos B,b,</v>
      </c>
      <c r="M5110" s="6" t="str">
        <f t="shared" si="1349"/>
        <v>Único</v>
      </c>
      <c r="N5110" s="6" t="str">
        <f>"5602972698992"</f>
        <v>5602972698992</v>
      </c>
      <c r="O5110" s="8">
        <v>144</v>
      </c>
      <c r="P5110" s="7">
        <v>46072</v>
      </c>
      <c r="R5110" s="8">
        <v>0</v>
      </c>
      <c r="S5110" s="7">
        <v>46077</v>
      </c>
      <c r="U5110" s="8">
        <v>0</v>
      </c>
      <c r="V5110" s="7">
        <v>46084</v>
      </c>
      <c r="X5110" s="8">
        <v>0</v>
      </c>
      <c r="Z5110" s="8">
        <v>0</v>
      </c>
      <c r="AA5110" s="7">
        <v>46098</v>
      </c>
      <c r="AC5110" s="8">
        <v>0</v>
      </c>
      <c r="AE5110" s="7">
        <v>46101</v>
      </c>
      <c r="AF5110" s="8">
        <v>0</v>
      </c>
      <c r="AH5110" s="7">
        <v>46101</v>
      </c>
      <c r="AN5110" s="8">
        <v>0</v>
      </c>
      <c r="AO5110" s="8">
        <v>144</v>
      </c>
    </row>
    <row r="5111" spans="1:41" x14ac:dyDescent="0.25">
      <c r="A5111" s="6" t="str">
        <f t="shared" si="1344"/>
        <v>525-2026000016</v>
      </c>
      <c r="B5111" s="6" t="str">
        <f t="shared" si="1345"/>
        <v>Lasa Int</v>
      </c>
      <c r="C5111" s="7">
        <v>46037</v>
      </c>
      <c r="D5111" s="7">
        <v>46101</v>
      </c>
      <c r="E5111" s="8">
        <v>8</v>
      </c>
      <c r="F5111" s="6" t="str">
        <f t="shared" si="1346"/>
        <v>Riscas</v>
      </c>
      <c r="G5111" s="6" t="str">
        <f>"K320204138000000"</f>
        <v>K320204138000000</v>
      </c>
      <c r="H5111" s="6" t="str">
        <f>"KB 2041 - PL P 1137"</f>
        <v>KB 2041 - PL P 1137</v>
      </c>
      <c r="I5111" s="6" t="str">
        <f>"200731"</f>
        <v>200731</v>
      </c>
      <c r="J5111" s="6" t="str">
        <f>"PESSEGO 731"</f>
        <v>PESSEGO 731</v>
      </c>
      <c r="K5111" s="6" t="str">
        <f t="shared" si="1347"/>
        <v>5300</v>
      </c>
      <c r="L5111" s="6" t="str">
        <f t="shared" si="1348"/>
        <v>Artigos B,b,</v>
      </c>
      <c r="M5111" s="6" t="str">
        <f t="shared" si="1349"/>
        <v>Único</v>
      </c>
      <c r="N5111" s="6" t="str">
        <f>"5602972699005"</f>
        <v>5602972699005</v>
      </c>
      <c r="O5111" s="8">
        <v>144</v>
      </c>
      <c r="P5111" s="7">
        <v>46072</v>
      </c>
      <c r="R5111" s="8">
        <v>0</v>
      </c>
      <c r="S5111" s="7">
        <v>46077</v>
      </c>
      <c r="U5111" s="8">
        <v>0</v>
      </c>
      <c r="V5111" s="7">
        <v>46084</v>
      </c>
      <c r="X5111" s="8">
        <v>0</v>
      </c>
      <c r="Z5111" s="8">
        <v>0</v>
      </c>
      <c r="AA5111" s="7">
        <v>46098</v>
      </c>
      <c r="AC5111" s="8">
        <v>0</v>
      </c>
      <c r="AE5111" s="7">
        <v>46101</v>
      </c>
      <c r="AF5111" s="8">
        <v>0</v>
      </c>
      <c r="AH5111" s="7">
        <v>46101</v>
      </c>
      <c r="AN5111" s="8">
        <v>0</v>
      </c>
      <c r="AO5111" s="8">
        <v>144</v>
      </c>
    </row>
    <row r="5112" spans="1:41" x14ac:dyDescent="0.25">
      <c r="A5112" s="6" t="str">
        <f t="shared" si="1344"/>
        <v>525-2026000016</v>
      </c>
      <c r="B5112" s="6" t="str">
        <f t="shared" si="1345"/>
        <v>Lasa Int</v>
      </c>
      <c r="C5112" s="7">
        <v>46037</v>
      </c>
      <c r="D5112" s="7">
        <v>46101</v>
      </c>
      <c r="E5112" s="8">
        <v>9</v>
      </c>
      <c r="F5112" s="6" t="str">
        <f t="shared" si="1346"/>
        <v>Riscas</v>
      </c>
      <c r="G5112" s="6" t="str">
        <f>"K320204138000000"</f>
        <v>K320204138000000</v>
      </c>
      <c r="H5112" s="6" t="str">
        <f>"KB 2041 - PL P 1137"</f>
        <v>KB 2041 - PL P 1137</v>
      </c>
      <c r="I5112" s="6" t="str">
        <f>"203527"</f>
        <v>203527</v>
      </c>
      <c r="J5112" s="6" t="str">
        <f>"CINZA 3527"</f>
        <v>CINZA 3527</v>
      </c>
      <c r="K5112" s="6" t="str">
        <f t="shared" si="1347"/>
        <v>5300</v>
      </c>
      <c r="L5112" s="6" t="str">
        <f t="shared" si="1348"/>
        <v>Artigos B,b,</v>
      </c>
      <c r="M5112" s="6" t="str">
        <f t="shared" si="1349"/>
        <v>Único</v>
      </c>
      <c r="N5112" s="6" t="str">
        <f>"5602972699012"</f>
        <v>5602972699012</v>
      </c>
      <c r="O5112" s="8">
        <v>144</v>
      </c>
      <c r="P5112" s="7">
        <v>46072</v>
      </c>
      <c r="R5112" s="8">
        <v>0</v>
      </c>
      <c r="S5112" s="7">
        <v>46077</v>
      </c>
      <c r="U5112" s="8">
        <v>0</v>
      </c>
      <c r="V5112" s="7">
        <v>46084</v>
      </c>
      <c r="X5112" s="8">
        <v>0</v>
      </c>
      <c r="Z5112" s="8">
        <v>0</v>
      </c>
      <c r="AA5112" s="7">
        <v>46098</v>
      </c>
      <c r="AC5112" s="8">
        <v>0</v>
      </c>
      <c r="AE5112" s="7">
        <v>46101</v>
      </c>
      <c r="AF5112" s="8">
        <v>0</v>
      </c>
      <c r="AH5112" s="7">
        <v>46101</v>
      </c>
      <c r="AN5112" s="8">
        <v>0</v>
      </c>
      <c r="AO5112" s="8">
        <v>144</v>
      </c>
    </row>
    <row r="5113" spans="1:41" x14ac:dyDescent="0.25">
      <c r="A5113" s="6" t="str">
        <f t="shared" si="1344"/>
        <v>525-2026000016</v>
      </c>
      <c r="B5113" s="6" t="str">
        <f t="shared" si="1345"/>
        <v>Lasa Int</v>
      </c>
      <c r="C5113" s="7">
        <v>46037</v>
      </c>
      <c r="D5113" s="7">
        <v>46101</v>
      </c>
      <c r="E5113" s="8">
        <v>10</v>
      </c>
      <c r="F5113" s="6" t="str">
        <f t="shared" si="1346"/>
        <v>Riscas</v>
      </c>
      <c r="G5113" s="6" t="str">
        <f>"K320204238000000"</f>
        <v>K320204238000000</v>
      </c>
      <c r="H5113" s="6" t="str">
        <f>"KB 2042 - PL P 1137"</f>
        <v>KB 2042 - PL P 1137</v>
      </c>
      <c r="I5113" s="6" t="str">
        <f>"200469"</f>
        <v>200469</v>
      </c>
      <c r="J5113" s="6" t="str">
        <f>"AZUL 469"</f>
        <v>AZUL 469</v>
      </c>
      <c r="K5113" s="6" t="str">
        <f t="shared" si="1347"/>
        <v>5300</v>
      </c>
      <c r="L5113" s="6" t="str">
        <f t="shared" si="1348"/>
        <v>Artigos B,b,</v>
      </c>
      <c r="M5113" s="6" t="str">
        <f t="shared" si="1349"/>
        <v>Único</v>
      </c>
      <c r="N5113" s="6" t="str">
        <f>"5602972699029"</f>
        <v>5602972699029</v>
      </c>
      <c r="O5113" s="8">
        <v>144</v>
      </c>
      <c r="P5113" s="7">
        <v>46072</v>
      </c>
      <c r="R5113" s="8">
        <v>0</v>
      </c>
      <c r="S5113" s="7">
        <v>46077</v>
      </c>
      <c r="U5113" s="8">
        <v>0</v>
      </c>
      <c r="V5113" s="7">
        <v>46084</v>
      </c>
      <c r="X5113" s="8">
        <v>0</v>
      </c>
      <c r="Z5113" s="8">
        <v>0</v>
      </c>
      <c r="AA5113" s="7">
        <v>46098</v>
      </c>
      <c r="AC5113" s="8">
        <v>0</v>
      </c>
      <c r="AE5113" s="7">
        <v>46101</v>
      </c>
      <c r="AF5113" s="8">
        <v>0</v>
      </c>
      <c r="AH5113" s="7">
        <v>46101</v>
      </c>
      <c r="AN5113" s="8">
        <v>0</v>
      </c>
      <c r="AO5113" s="8">
        <v>144</v>
      </c>
    </row>
    <row r="5114" spans="1:41" x14ac:dyDescent="0.25">
      <c r="A5114" s="6" t="str">
        <f t="shared" si="1344"/>
        <v>525-2026000016</v>
      </c>
      <c r="B5114" s="6" t="str">
        <f t="shared" si="1345"/>
        <v>Lasa Int</v>
      </c>
      <c r="C5114" s="7">
        <v>46037</v>
      </c>
      <c r="D5114" s="7">
        <v>46101</v>
      </c>
      <c r="E5114" s="8">
        <v>11</v>
      </c>
      <c r="F5114" s="6" t="str">
        <f t="shared" si="1346"/>
        <v>Riscas</v>
      </c>
      <c r="G5114" s="6" t="str">
        <f>"K320204238000000"</f>
        <v>K320204238000000</v>
      </c>
      <c r="H5114" s="6" t="str">
        <f>"KB 2042 - PL P 1137"</f>
        <v>KB 2042 - PL P 1137</v>
      </c>
      <c r="I5114" s="6" t="str">
        <f>"200731"</f>
        <v>200731</v>
      </c>
      <c r="J5114" s="6" t="str">
        <f>"PESSEGO 731"</f>
        <v>PESSEGO 731</v>
      </c>
      <c r="K5114" s="6" t="str">
        <f t="shared" si="1347"/>
        <v>5300</v>
      </c>
      <c r="L5114" s="6" t="str">
        <f t="shared" si="1348"/>
        <v>Artigos B,b,</v>
      </c>
      <c r="M5114" s="6" t="str">
        <f t="shared" si="1349"/>
        <v>Único</v>
      </c>
      <c r="N5114" s="6" t="str">
        <f>"5602972699036"</f>
        <v>5602972699036</v>
      </c>
      <c r="O5114" s="8">
        <v>144</v>
      </c>
      <c r="P5114" s="7">
        <v>46072</v>
      </c>
      <c r="R5114" s="8">
        <v>0</v>
      </c>
      <c r="S5114" s="7">
        <v>46077</v>
      </c>
      <c r="U5114" s="8">
        <v>0</v>
      </c>
      <c r="V5114" s="7">
        <v>46084</v>
      </c>
      <c r="X5114" s="8">
        <v>0</v>
      </c>
      <c r="Z5114" s="8">
        <v>0</v>
      </c>
      <c r="AA5114" s="7">
        <v>46098</v>
      </c>
      <c r="AC5114" s="8">
        <v>0</v>
      </c>
      <c r="AE5114" s="7">
        <v>46101</v>
      </c>
      <c r="AF5114" s="8">
        <v>0</v>
      </c>
      <c r="AH5114" s="7">
        <v>46101</v>
      </c>
      <c r="AN5114" s="8">
        <v>0</v>
      </c>
      <c r="AO5114" s="8">
        <v>144</v>
      </c>
    </row>
    <row r="5115" spans="1:41" x14ac:dyDescent="0.25">
      <c r="A5115" s="6" t="str">
        <f t="shared" si="1344"/>
        <v>525-2026000016</v>
      </c>
      <c r="B5115" s="6" t="str">
        <f t="shared" si="1345"/>
        <v>Lasa Int</v>
      </c>
      <c r="C5115" s="7">
        <v>46037</v>
      </c>
      <c r="D5115" s="7">
        <v>46101</v>
      </c>
      <c r="E5115" s="8">
        <v>12</v>
      </c>
      <c r="F5115" s="6" t="str">
        <f t="shared" si="1346"/>
        <v>Riscas</v>
      </c>
      <c r="G5115" s="6" t="str">
        <f>"K320204238000000"</f>
        <v>K320204238000000</v>
      </c>
      <c r="H5115" s="6" t="str">
        <f>"KB 2042 - PL P 1137"</f>
        <v>KB 2042 - PL P 1137</v>
      </c>
      <c r="I5115" s="6" t="str">
        <f>"203527"</f>
        <v>203527</v>
      </c>
      <c r="J5115" s="6" t="str">
        <f>"CINZA 3527"</f>
        <v>CINZA 3527</v>
      </c>
      <c r="K5115" s="6" t="str">
        <f t="shared" si="1347"/>
        <v>5300</v>
      </c>
      <c r="L5115" s="6" t="str">
        <f t="shared" si="1348"/>
        <v>Artigos B,b,</v>
      </c>
      <c r="M5115" s="6" t="str">
        <f t="shared" si="1349"/>
        <v>Único</v>
      </c>
      <c r="N5115" s="6" t="str">
        <f>"5602972699043"</f>
        <v>5602972699043</v>
      </c>
      <c r="O5115" s="8">
        <v>144</v>
      </c>
      <c r="P5115" s="7">
        <v>46072</v>
      </c>
      <c r="R5115" s="8">
        <v>0</v>
      </c>
      <c r="S5115" s="7">
        <v>46077</v>
      </c>
      <c r="U5115" s="8">
        <v>0</v>
      </c>
      <c r="V5115" s="7">
        <v>46084</v>
      </c>
      <c r="X5115" s="8">
        <v>0</v>
      </c>
      <c r="Z5115" s="8">
        <v>0</v>
      </c>
      <c r="AA5115" s="7">
        <v>46098</v>
      </c>
      <c r="AC5115" s="8">
        <v>0</v>
      </c>
      <c r="AE5115" s="7">
        <v>46101</v>
      </c>
      <c r="AF5115" s="8">
        <v>0</v>
      </c>
      <c r="AH5115" s="7">
        <v>46101</v>
      </c>
      <c r="AN5115" s="8">
        <v>0</v>
      </c>
      <c r="AO5115" s="8">
        <v>144</v>
      </c>
    </row>
    <row r="5116" spans="1:41" x14ac:dyDescent="0.25">
      <c r="A5116" s="6" t="str">
        <f t="shared" ref="A5116:A5121" si="1350">"525-2026000017"</f>
        <v>525-2026000017</v>
      </c>
      <c r="B5116" s="6" t="str">
        <f t="shared" si="1345"/>
        <v>Lasa Int</v>
      </c>
      <c r="C5116" s="7">
        <v>46038</v>
      </c>
      <c r="D5116" s="7">
        <v>46101</v>
      </c>
      <c r="E5116" s="8">
        <v>1</v>
      </c>
      <c r="F5116" s="6" t="str">
        <f t="shared" ref="F5116:F5121" si="1351">"Stripes II"</f>
        <v>Stripes II</v>
      </c>
      <c r="G5116" s="6" t="str">
        <f t="shared" ref="G5116:G5121" si="1352">"F300363450000000"</f>
        <v>F300363450000000</v>
      </c>
      <c r="H5116" s="6" t="str">
        <f t="shared" ref="H5116:H5121" si="1353">"PLR 3634 - 500 g/m²"</f>
        <v>PLR 3634 - 500 g/m²</v>
      </c>
      <c r="I5116" s="6" t="str">
        <f>"202083"</f>
        <v>202083</v>
      </c>
      <c r="J5116" s="6" t="str">
        <f>"VERDE 2083"</f>
        <v>VERDE 2083</v>
      </c>
      <c r="K5116" s="6" t="str">
        <f>"0530"</f>
        <v>0530</v>
      </c>
      <c r="L5116" s="6" t="str">
        <f>"Toalhetes"</f>
        <v>Toalhetes</v>
      </c>
      <c r="M5116" s="6" t="str">
        <f>"33x50"</f>
        <v>33x50</v>
      </c>
      <c r="N5116" s="6" t="str">
        <f>"5602972501001"</f>
        <v>5602972501001</v>
      </c>
      <c r="O5116" s="8">
        <v>480</v>
      </c>
      <c r="P5116" s="7">
        <v>46079</v>
      </c>
      <c r="R5116" s="8">
        <v>0</v>
      </c>
      <c r="S5116" s="7">
        <v>46084</v>
      </c>
      <c r="U5116" s="8">
        <v>0</v>
      </c>
      <c r="V5116" s="7">
        <v>46087</v>
      </c>
      <c r="X5116" s="8">
        <v>0</v>
      </c>
      <c r="Z5116" s="8">
        <v>0</v>
      </c>
      <c r="AA5116" s="7">
        <v>46099</v>
      </c>
      <c r="AC5116" s="8">
        <v>0</v>
      </c>
      <c r="AE5116" s="7">
        <v>46101</v>
      </c>
      <c r="AF5116" s="8">
        <v>0</v>
      </c>
      <c r="AH5116" s="7">
        <v>46101</v>
      </c>
      <c r="AN5116" s="8">
        <v>0</v>
      </c>
      <c r="AO5116" s="8">
        <v>480</v>
      </c>
    </row>
    <row r="5117" spans="1:41" x14ac:dyDescent="0.25">
      <c r="A5117" s="6" t="str">
        <f t="shared" si="1350"/>
        <v>525-2026000017</v>
      </c>
      <c r="B5117" s="6" t="str">
        <f t="shared" si="1345"/>
        <v>Lasa Int</v>
      </c>
      <c r="C5117" s="7">
        <v>46038</v>
      </c>
      <c r="D5117" s="7">
        <v>46101</v>
      </c>
      <c r="E5117" s="8">
        <v>2</v>
      </c>
      <c r="F5117" s="6" t="str">
        <f t="shared" si="1351"/>
        <v>Stripes II</v>
      </c>
      <c r="G5117" s="6" t="str">
        <f t="shared" si="1352"/>
        <v>F300363450000000</v>
      </c>
      <c r="H5117" s="6" t="str">
        <f t="shared" si="1353"/>
        <v>PLR 3634 - 500 g/m²</v>
      </c>
      <c r="I5117" s="6" t="str">
        <f>"202083"</f>
        <v>202083</v>
      </c>
      <c r="J5117" s="6" t="str">
        <f>"VERDE 2083"</f>
        <v>VERDE 2083</v>
      </c>
      <c r="K5117" s="6" t="str">
        <f>"1024"</f>
        <v>1024</v>
      </c>
      <c r="L5117" s="6" t="str">
        <f>"Toalhas"</f>
        <v>Toalhas</v>
      </c>
      <c r="M5117" s="6" t="str">
        <f>"50x100"</f>
        <v>50x100</v>
      </c>
      <c r="N5117" s="6" t="str">
        <f>"5602972501018"</f>
        <v>5602972501018</v>
      </c>
      <c r="O5117" s="8">
        <v>240</v>
      </c>
      <c r="P5117" s="7">
        <v>46079</v>
      </c>
      <c r="R5117" s="8">
        <v>0</v>
      </c>
      <c r="S5117" s="7">
        <v>46084</v>
      </c>
      <c r="U5117" s="8">
        <v>0</v>
      </c>
      <c r="V5117" s="7">
        <v>46087</v>
      </c>
      <c r="X5117" s="8">
        <v>0</v>
      </c>
      <c r="Z5117" s="8">
        <v>0</v>
      </c>
      <c r="AA5117" s="7">
        <v>46099</v>
      </c>
      <c r="AC5117" s="8">
        <v>0</v>
      </c>
      <c r="AE5117" s="7">
        <v>46101</v>
      </c>
      <c r="AF5117" s="8">
        <v>0</v>
      </c>
      <c r="AH5117" s="7">
        <v>46101</v>
      </c>
      <c r="AN5117" s="8">
        <v>0</v>
      </c>
      <c r="AO5117" s="8">
        <v>240</v>
      </c>
    </row>
    <row r="5118" spans="1:41" x14ac:dyDescent="0.25">
      <c r="A5118" s="6" t="str">
        <f t="shared" si="1350"/>
        <v>525-2026000017</v>
      </c>
      <c r="B5118" s="6" t="str">
        <f t="shared" si="1345"/>
        <v>Lasa Int</v>
      </c>
      <c r="C5118" s="7">
        <v>46038</v>
      </c>
      <c r="D5118" s="7">
        <v>46101</v>
      </c>
      <c r="E5118" s="8">
        <v>3</v>
      </c>
      <c r="F5118" s="6" t="str">
        <f t="shared" si="1351"/>
        <v>Stripes II</v>
      </c>
      <c r="G5118" s="6" t="str">
        <f t="shared" si="1352"/>
        <v>F300363450000000</v>
      </c>
      <c r="H5118" s="6" t="str">
        <f t="shared" si="1353"/>
        <v>PLR 3634 - 500 g/m²</v>
      </c>
      <c r="I5118" s="6" t="str">
        <f>"202083"</f>
        <v>202083</v>
      </c>
      <c r="J5118" s="6" t="str">
        <f>"VERDE 2083"</f>
        <v>VERDE 2083</v>
      </c>
      <c r="K5118" s="6" t="str">
        <f>"1535"</f>
        <v>1535</v>
      </c>
      <c r="L5118" s="6" t="str">
        <f>"Toalhões"</f>
        <v>Toalhões</v>
      </c>
      <c r="M5118" s="6" t="str">
        <f>"70x140"</f>
        <v>70x140</v>
      </c>
      <c r="N5118" s="6" t="str">
        <f>"5602972501025"</f>
        <v>5602972501025</v>
      </c>
      <c r="O5118" s="8">
        <v>120</v>
      </c>
      <c r="P5118" s="7">
        <v>46079</v>
      </c>
      <c r="R5118" s="8">
        <v>0</v>
      </c>
      <c r="S5118" s="7">
        <v>46084</v>
      </c>
      <c r="U5118" s="8">
        <v>0</v>
      </c>
      <c r="V5118" s="7">
        <v>46087</v>
      </c>
      <c r="X5118" s="8">
        <v>0</v>
      </c>
      <c r="Z5118" s="8">
        <v>0</v>
      </c>
      <c r="AA5118" s="7">
        <v>46099</v>
      </c>
      <c r="AC5118" s="8">
        <v>0</v>
      </c>
      <c r="AE5118" s="7">
        <v>46101</v>
      </c>
      <c r="AF5118" s="8">
        <v>0</v>
      </c>
      <c r="AH5118" s="7">
        <v>46101</v>
      </c>
      <c r="AN5118" s="8">
        <v>0</v>
      </c>
      <c r="AO5118" s="8">
        <v>120</v>
      </c>
    </row>
    <row r="5119" spans="1:41" x14ac:dyDescent="0.25">
      <c r="A5119" s="6" t="str">
        <f t="shared" si="1350"/>
        <v>525-2026000017</v>
      </c>
      <c r="B5119" s="6" t="str">
        <f t="shared" si="1345"/>
        <v>Lasa Int</v>
      </c>
      <c r="C5119" s="7">
        <v>46038</v>
      </c>
      <c r="D5119" s="7">
        <v>46101</v>
      </c>
      <c r="E5119" s="8">
        <v>4</v>
      </c>
      <c r="F5119" s="6" t="str">
        <f t="shared" si="1351"/>
        <v>Stripes II</v>
      </c>
      <c r="G5119" s="6" t="str">
        <f t="shared" si="1352"/>
        <v>F300363450000000</v>
      </c>
      <c r="H5119" s="6" t="str">
        <f t="shared" si="1353"/>
        <v>PLR 3634 - 500 g/m²</v>
      </c>
      <c r="I5119" s="6" t="str">
        <f>"203859"</f>
        <v>203859</v>
      </c>
      <c r="J5119" s="6" t="str">
        <f>"ROSA 3859"</f>
        <v>ROSA 3859</v>
      </c>
      <c r="K5119" s="6" t="str">
        <f>"0530"</f>
        <v>0530</v>
      </c>
      <c r="L5119" s="6" t="str">
        <f>"Toalhetes"</f>
        <v>Toalhetes</v>
      </c>
      <c r="M5119" s="6" t="str">
        <f>"33x50"</f>
        <v>33x50</v>
      </c>
      <c r="N5119" s="6" t="str">
        <f>"5602972501056"</f>
        <v>5602972501056</v>
      </c>
      <c r="O5119" s="8">
        <v>480</v>
      </c>
      <c r="P5119" s="7">
        <v>46079</v>
      </c>
      <c r="R5119" s="8">
        <v>0</v>
      </c>
      <c r="S5119" s="7">
        <v>46084</v>
      </c>
      <c r="U5119" s="8">
        <v>0</v>
      </c>
      <c r="V5119" s="7">
        <v>46087</v>
      </c>
      <c r="X5119" s="8">
        <v>0</v>
      </c>
      <c r="Z5119" s="8">
        <v>0</v>
      </c>
      <c r="AA5119" s="7">
        <v>46099</v>
      </c>
      <c r="AC5119" s="8">
        <v>0</v>
      </c>
      <c r="AE5119" s="7">
        <v>46101</v>
      </c>
      <c r="AF5119" s="8">
        <v>0</v>
      </c>
      <c r="AH5119" s="7">
        <v>46101</v>
      </c>
      <c r="AN5119" s="8">
        <v>0</v>
      </c>
      <c r="AO5119" s="8">
        <v>480</v>
      </c>
    </row>
    <row r="5120" spans="1:41" x14ac:dyDescent="0.25">
      <c r="A5120" s="6" t="str">
        <f t="shared" si="1350"/>
        <v>525-2026000017</v>
      </c>
      <c r="B5120" s="6" t="str">
        <f t="shared" si="1345"/>
        <v>Lasa Int</v>
      </c>
      <c r="C5120" s="7">
        <v>46038</v>
      </c>
      <c r="D5120" s="7">
        <v>46101</v>
      </c>
      <c r="E5120" s="8">
        <v>5</v>
      </c>
      <c r="F5120" s="6" t="str">
        <f t="shared" si="1351"/>
        <v>Stripes II</v>
      </c>
      <c r="G5120" s="6" t="str">
        <f t="shared" si="1352"/>
        <v>F300363450000000</v>
      </c>
      <c r="H5120" s="6" t="str">
        <f t="shared" si="1353"/>
        <v>PLR 3634 - 500 g/m²</v>
      </c>
      <c r="I5120" s="6" t="str">
        <f>"203859"</f>
        <v>203859</v>
      </c>
      <c r="J5120" s="6" t="str">
        <f>"ROSA 3859"</f>
        <v>ROSA 3859</v>
      </c>
      <c r="K5120" s="6" t="str">
        <f>"1024"</f>
        <v>1024</v>
      </c>
      <c r="L5120" s="6" t="str">
        <f>"Toalhas"</f>
        <v>Toalhas</v>
      </c>
      <c r="M5120" s="6" t="str">
        <f>"50x100"</f>
        <v>50x100</v>
      </c>
      <c r="N5120" s="6" t="str">
        <f>"5602972501063"</f>
        <v>5602972501063</v>
      </c>
      <c r="O5120" s="8">
        <v>240</v>
      </c>
      <c r="P5120" s="7">
        <v>46079</v>
      </c>
      <c r="R5120" s="8">
        <v>0</v>
      </c>
      <c r="S5120" s="7">
        <v>46084</v>
      </c>
      <c r="U5120" s="8">
        <v>0</v>
      </c>
      <c r="V5120" s="7">
        <v>46087</v>
      </c>
      <c r="X5120" s="8">
        <v>0</v>
      </c>
      <c r="Z5120" s="8">
        <v>0</v>
      </c>
      <c r="AA5120" s="7">
        <v>46099</v>
      </c>
      <c r="AC5120" s="8">
        <v>0</v>
      </c>
      <c r="AE5120" s="7">
        <v>46101</v>
      </c>
      <c r="AF5120" s="8">
        <v>0</v>
      </c>
      <c r="AH5120" s="7">
        <v>46101</v>
      </c>
      <c r="AN5120" s="8">
        <v>0</v>
      </c>
      <c r="AO5120" s="8">
        <v>240</v>
      </c>
    </row>
    <row r="5121" spans="1:41" x14ac:dyDescent="0.25">
      <c r="A5121" s="6" t="str">
        <f t="shared" si="1350"/>
        <v>525-2026000017</v>
      </c>
      <c r="B5121" s="6" t="str">
        <f t="shared" si="1345"/>
        <v>Lasa Int</v>
      </c>
      <c r="C5121" s="7">
        <v>46038</v>
      </c>
      <c r="D5121" s="7">
        <v>46101</v>
      </c>
      <c r="E5121" s="8">
        <v>6</v>
      </c>
      <c r="F5121" s="6" t="str">
        <f t="shared" si="1351"/>
        <v>Stripes II</v>
      </c>
      <c r="G5121" s="6" t="str">
        <f t="shared" si="1352"/>
        <v>F300363450000000</v>
      </c>
      <c r="H5121" s="6" t="str">
        <f t="shared" si="1353"/>
        <v>PLR 3634 - 500 g/m²</v>
      </c>
      <c r="I5121" s="6" t="str">
        <f>"203859"</f>
        <v>203859</v>
      </c>
      <c r="J5121" s="6" t="str">
        <f>"ROSA 3859"</f>
        <v>ROSA 3859</v>
      </c>
      <c r="K5121" s="6" t="str">
        <f>"1535"</f>
        <v>1535</v>
      </c>
      <c r="L5121" s="6" t="str">
        <f>"Toalhões"</f>
        <v>Toalhões</v>
      </c>
      <c r="M5121" s="6" t="str">
        <f>"70x140"</f>
        <v>70x140</v>
      </c>
      <c r="N5121" s="6" t="str">
        <f>"5602972501070"</f>
        <v>5602972501070</v>
      </c>
      <c r="O5121" s="8">
        <v>120</v>
      </c>
      <c r="P5121" s="7">
        <v>46079</v>
      </c>
      <c r="R5121" s="8">
        <v>0</v>
      </c>
      <c r="S5121" s="7">
        <v>46084</v>
      </c>
      <c r="U5121" s="8">
        <v>0</v>
      </c>
      <c r="V5121" s="7">
        <v>46087</v>
      </c>
      <c r="X5121" s="8">
        <v>0</v>
      </c>
      <c r="Z5121" s="8">
        <v>0</v>
      </c>
      <c r="AA5121" s="7">
        <v>46099</v>
      </c>
      <c r="AC5121" s="8">
        <v>0</v>
      </c>
      <c r="AE5121" s="7">
        <v>46101</v>
      </c>
      <c r="AF5121" s="8">
        <v>0</v>
      </c>
      <c r="AH5121" s="7">
        <v>46101</v>
      </c>
      <c r="AN5121" s="8">
        <v>0</v>
      </c>
      <c r="AO5121" s="8">
        <v>120</v>
      </c>
    </row>
    <row r="5122" spans="1:41" x14ac:dyDescent="0.25">
      <c r="A5122" s="6" t="str">
        <f t="shared" ref="A5122:A5129" si="1354">"525-2026000018"</f>
        <v>525-2026000018</v>
      </c>
      <c r="B5122" s="6" t="str">
        <f t="shared" si="1345"/>
        <v>Lasa Int</v>
      </c>
      <c r="C5122" s="7">
        <v>46038</v>
      </c>
      <c r="D5122" s="7">
        <v>46108</v>
      </c>
      <c r="E5122" s="8">
        <v>1</v>
      </c>
      <c r="F5122" s="6" t="str">
        <f t="shared" ref="F5122:F5129" si="1355">"Juliet"</f>
        <v>Juliet</v>
      </c>
      <c r="G5122" s="6" t="str">
        <f t="shared" ref="G5122:G5129" si="1356">"F137135952000000"</f>
        <v>F137135952000000</v>
      </c>
      <c r="H5122" s="6" t="str">
        <f t="shared" ref="H5122:H5129" si="1357">"FAJ SP 1359 CH PO -"</f>
        <v>FAJ SP 1359 CH PO -</v>
      </c>
      <c r="I5122" s="6" t="str">
        <f>"500897"</f>
        <v>500897</v>
      </c>
      <c r="J5122" s="6" t="str">
        <f>"AZUL 2096 /737"</f>
        <v>AZUL 2096 /737</v>
      </c>
      <c r="K5122" s="6" t="str">
        <f>"0530"</f>
        <v>0530</v>
      </c>
      <c r="L5122" s="6" t="str">
        <f>"Toalhetes"</f>
        <v>Toalhetes</v>
      </c>
      <c r="M5122" s="6" t="str">
        <f>"33x50"</f>
        <v>33x50</v>
      </c>
      <c r="N5122" s="6" t="str">
        <f>"5602972756456"</f>
        <v>5602972756456</v>
      </c>
      <c r="O5122" s="8">
        <v>240</v>
      </c>
      <c r="P5122" s="7">
        <v>46080</v>
      </c>
      <c r="R5122" s="8">
        <v>0</v>
      </c>
      <c r="S5122" s="7">
        <v>46085</v>
      </c>
      <c r="U5122" s="8">
        <v>0</v>
      </c>
      <c r="V5122" s="7">
        <v>46094</v>
      </c>
      <c r="X5122" s="8">
        <v>0</v>
      </c>
      <c r="Z5122" s="8">
        <v>0</v>
      </c>
      <c r="AA5122" s="7">
        <v>46106</v>
      </c>
      <c r="AC5122" s="8">
        <v>0</v>
      </c>
      <c r="AE5122" s="7">
        <v>46108</v>
      </c>
      <c r="AF5122" s="8">
        <v>0</v>
      </c>
      <c r="AH5122" s="7">
        <v>46108</v>
      </c>
      <c r="AN5122" s="8">
        <v>0</v>
      </c>
      <c r="AO5122" s="8">
        <v>240</v>
      </c>
    </row>
    <row r="5123" spans="1:41" x14ac:dyDescent="0.25">
      <c r="A5123" s="6" t="str">
        <f t="shared" si="1354"/>
        <v>525-2026000018</v>
      </c>
      <c r="B5123" s="6" t="str">
        <f t="shared" si="1345"/>
        <v>Lasa Int</v>
      </c>
      <c r="C5123" s="7">
        <v>46038</v>
      </c>
      <c r="D5123" s="7">
        <v>46108</v>
      </c>
      <c r="E5123" s="8">
        <v>2</v>
      </c>
      <c r="F5123" s="6" t="str">
        <f t="shared" si="1355"/>
        <v>Juliet</v>
      </c>
      <c r="G5123" s="6" t="str">
        <f t="shared" si="1356"/>
        <v>F137135952000000</v>
      </c>
      <c r="H5123" s="6" t="str">
        <f t="shared" si="1357"/>
        <v>FAJ SP 1359 CH PO -</v>
      </c>
      <c r="I5123" s="6" t="str">
        <f>"500897"</f>
        <v>500897</v>
      </c>
      <c r="J5123" s="6" t="str">
        <f>"AZUL 2096 /737"</f>
        <v>AZUL 2096 /737</v>
      </c>
      <c r="K5123" s="6" t="str">
        <f>"1024"</f>
        <v>1024</v>
      </c>
      <c r="L5123" s="6" t="str">
        <f>"Toalhas"</f>
        <v>Toalhas</v>
      </c>
      <c r="M5123" s="6" t="str">
        <f>"50x100"</f>
        <v>50x100</v>
      </c>
      <c r="N5123" s="6" t="str">
        <f>"5602972756463"</f>
        <v>5602972756463</v>
      </c>
      <c r="O5123" s="8">
        <v>480</v>
      </c>
      <c r="P5123" s="7">
        <v>46080</v>
      </c>
      <c r="R5123" s="8">
        <v>0</v>
      </c>
      <c r="S5123" s="7">
        <v>46085</v>
      </c>
      <c r="U5123" s="8">
        <v>0</v>
      </c>
      <c r="V5123" s="7">
        <v>46094</v>
      </c>
      <c r="X5123" s="8">
        <v>0</v>
      </c>
      <c r="Z5123" s="8">
        <v>0</v>
      </c>
      <c r="AA5123" s="7">
        <v>46106</v>
      </c>
      <c r="AC5123" s="8">
        <v>0</v>
      </c>
      <c r="AE5123" s="7">
        <v>46108</v>
      </c>
      <c r="AF5123" s="8">
        <v>0</v>
      </c>
      <c r="AH5123" s="7">
        <v>46108</v>
      </c>
      <c r="AN5123" s="8">
        <v>0</v>
      </c>
      <c r="AO5123" s="8">
        <v>480</v>
      </c>
    </row>
    <row r="5124" spans="1:41" x14ac:dyDescent="0.25">
      <c r="A5124" s="6" t="str">
        <f t="shared" si="1354"/>
        <v>525-2026000018</v>
      </c>
      <c r="B5124" s="6" t="str">
        <f t="shared" si="1345"/>
        <v>Lasa Int</v>
      </c>
      <c r="C5124" s="7">
        <v>46038</v>
      </c>
      <c r="D5124" s="7">
        <v>46108</v>
      </c>
      <c r="E5124" s="8">
        <v>3</v>
      </c>
      <c r="F5124" s="6" t="str">
        <f t="shared" si="1355"/>
        <v>Juliet</v>
      </c>
      <c r="G5124" s="6" t="str">
        <f t="shared" si="1356"/>
        <v>F137135952000000</v>
      </c>
      <c r="H5124" s="6" t="str">
        <f t="shared" si="1357"/>
        <v>FAJ SP 1359 CH PO -</v>
      </c>
      <c r="I5124" s="6" t="str">
        <f>"500897"</f>
        <v>500897</v>
      </c>
      <c r="J5124" s="6" t="str">
        <f>"AZUL 2096 /737"</f>
        <v>AZUL 2096 /737</v>
      </c>
      <c r="K5124" s="6" t="str">
        <f>"1535"</f>
        <v>1535</v>
      </c>
      <c r="L5124" s="6" t="str">
        <f>"Toalhões"</f>
        <v>Toalhões</v>
      </c>
      <c r="M5124" s="6" t="str">
        <f>"70x140"</f>
        <v>70x140</v>
      </c>
      <c r="N5124" s="6" t="str">
        <f>"5602972756470"</f>
        <v>5602972756470</v>
      </c>
      <c r="O5124" s="8">
        <v>180</v>
      </c>
      <c r="P5124" s="7">
        <v>46080</v>
      </c>
      <c r="R5124" s="8">
        <v>0</v>
      </c>
      <c r="S5124" s="7">
        <v>46085</v>
      </c>
      <c r="U5124" s="8">
        <v>0</v>
      </c>
      <c r="V5124" s="7">
        <v>46094</v>
      </c>
      <c r="X5124" s="8">
        <v>0</v>
      </c>
      <c r="Z5124" s="8">
        <v>0</v>
      </c>
      <c r="AA5124" s="7">
        <v>46106</v>
      </c>
      <c r="AC5124" s="8">
        <v>0</v>
      </c>
      <c r="AE5124" s="7">
        <v>46108</v>
      </c>
      <c r="AF5124" s="8">
        <v>0</v>
      </c>
      <c r="AH5124" s="7">
        <v>46108</v>
      </c>
      <c r="AN5124" s="8">
        <v>0</v>
      </c>
      <c r="AO5124" s="8">
        <v>180</v>
      </c>
    </row>
    <row r="5125" spans="1:41" x14ac:dyDescent="0.25">
      <c r="A5125" s="6" t="str">
        <f t="shared" si="1354"/>
        <v>525-2026000018</v>
      </c>
      <c r="B5125" s="6" t="str">
        <f t="shared" si="1345"/>
        <v>Lasa Int</v>
      </c>
      <c r="C5125" s="7">
        <v>46038</v>
      </c>
      <c r="D5125" s="7">
        <v>46108</v>
      </c>
      <c r="E5125" s="8">
        <v>4</v>
      </c>
      <c r="F5125" s="6" t="str">
        <f t="shared" si="1355"/>
        <v>Juliet</v>
      </c>
      <c r="G5125" s="6" t="str">
        <f t="shared" si="1356"/>
        <v>F137135952000000</v>
      </c>
      <c r="H5125" s="6" t="str">
        <f t="shared" si="1357"/>
        <v>FAJ SP 1359 CH PO -</v>
      </c>
      <c r="I5125" s="6" t="str">
        <f>"500897"</f>
        <v>500897</v>
      </c>
      <c r="J5125" s="6" t="str">
        <f>"AZUL 2096 /737"</f>
        <v>AZUL 2096 /737</v>
      </c>
      <c r="K5125" s="6" t="str">
        <f>"2020"</f>
        <v>2020</v>
      </c>
      <c r="L5125" s="6" t="str">
        <f>"Lençóis"</f>
        <v>Lençóis</v>
      </c>
      <c r="M5125" s="6" t="str">
        <f>"100x150"</f>
        <v>100x150</v>
      </c>
      <c r="N5125" s="6" t="str">
        <f>"5602972756487"</f>
        <v>5602972756487</v>
      </c>
      <c r="O5125" s="8">
        <v>120</v>
      </c>
      <c r="P5125" s="7">
        <v>46080</v>
      </c>
      <c r="R5125" s="8">
        <v>0</v>
      </c>
      <c r="S5125" s="7">
        <v>46085</v>
      </c>
      <c r="U5125" s="8">
        <v>0</v>
      </c>
      <c r="V5125" s="7">
        <v>46094</v>
      </c>
      <c r="X5125" s="8">
        <v>0</v>
      </c>
      <c r="Z5125" s="8">
        <v>0</v>
      </c>
      <c r="AA5125" s="7">
        <v>46106</v>
      </c>
      <c r="AC5125" s="8">
        <v>0</v>
      </c>
      <c r="AE5125" s="7">
        <v>46108</v>
      </c>
      <c r="AF5125" s="8">
        <v>0</v>
      </c>
      <c r="AH5125" s="7">
        <v>46108</v>
      </c>
      <c r="AN5125" s="8">
        <v>0</v>
      </c>
      <c r="AO5125" s="8">
        <v>120</v>
      </c>
    </row>
    <row r="5126" spans="1:41" x14ac:dyDescent="0.25">
      <c r="A5126" s="6" t="str">
        <f t="shared" si="1354"/>
        <v>525-2026000018</v>
      </c>
      <c r="B5126" s="6" t="str">
        <f t="shared" si="1345"/>
        <v>Lasa Int</v>
      </c>
      <c r="C5126" s="7">
        <v>46038</v>
      </c>
      <c r="D5126" s="7">
        <v>46108</v>
      </c>
      <c r="E5126" s="8">
        <v>5</v>
      </c>
      <c r="F5126" s="6" t="str">
        <f t="shared" si="1355"/>
        <v>Juliet</v>
      </c>
      <c r="G5126" s="6" t="str">
        <f t="shared" si="1356"/>
        <v>F137135952000000</v>
      </c>
      <c r="H5126" s="6" t="str">
        <f t="shared" si="1357"/>
        <v>FAJ SP 1359 CH PO -</v>
      </c>
      <c r="I5126" s="6" t="str">
        <f>"501317"</f>
        <v>501317</v>
      </c>
      <c r="J5126" s="6" t="str">
        <f>"VERDE 3605/H 3347"</f>
        <v>VERDE 3605/H 3347</v>
      </c>
      <c r="K5126" s="6" t="str">
        <f>"0530"</f>
        <v>0530</v>
      </c>
      <c r="L5126" s="6" t="str">
        <f>"Toalhetes"</f>
        <v>Toalhetes</v>
      </c>
      <c r="M5126" s="6" t="str">
        <f>"33x50"</f>
        <v>33x50</v>
      </c>
      <c r="N5126" s="6" t="str">
        <f>"5602972608311"</f>
        <v>5602972608311</v>
      </c>
      <c r="O5126" s="8">
        <v>240</v>
      </c>
      <c r="P5126" s="7">
        <v>46080</v>
      </c>
      <c r="R5126" s="8">
        <v>0</v>
      </c>
      <c r="S5126" s="7">
        <v>46085</v>
      </c>
      <c r="U5126" s="8">
        <v>0</v>
      </c>
      <c r="V5126" s="7">
        <v>46094</v>
      </c>
      <c r="X5126" s="8">
        <v>0</v>
      </c>
      <c r="Z5126" s="8">
        <v>0</v>
      </c>
      <c r="AA5126" s="7">
        <v>46106</v>
      </c>
      <c r="AC5126" s="8">
        <v>0</v>
      </c>
      <c r="AE5126" s="7">
        <v>46108</v>
      </c>
      <c r="AF5126" s="8">
        <v>0</v>
      </c>
      <c r="AH5126" s="7">
        <v>46108</v>
      </c>
      <c r="AN5126" s="8">
        <v>0</v>
      </c>
      <c r="AO5126" s="8">
        <v>240</v>
      </c>
    </row>
    <row r="5127" spans="1:41" x14ac:dyDescent="0.25">
      <c r="A5127" s="6" t="str">
        <f t="shared" si="1354"/>
        <v>525-2026000018</v>
      </c>
      <c r="B5127" s="6" t="str">
        <f t="shared" si="1345"/>
        <v>Lasa Int</v>
      </c>
      <c r="C5127" s="7">
        <v>46038</v>
      </c>
      <c r="D5127" s="7">
        <v>46108</v>
      </c>
      <c r="E5127" s="8">
        <v>6</v>
      </c>
      <c r="F5127" s="6" t="str">
        <f t="shared" si="1355"/>
        <v>Juliet</v>
      </c>
      <c r="G5127" s="6" t="str">
        <f t="shared" si="1356"/>
        <v>F137135952000000</v>
      </c>
      <c r="H5127" s="6" t="str">
        <f t="shared" si="1357"/>
        <v>FAJ SP 1359 CH PO -</v>
      </c>
      <c r="I5127" s="6" t="str">
        <f>"501317"</f>
        <v>501317</v>
      </c>
      <c r="J5127" s="6" t="str">
        <f>"VERDE 3605/H 3347"</f>
        <v>VERDE 3605/H 3347</v>
      </c>
      <c r="K5127" s="6" t="str">
        <f>"1024"</f>
        <v>1024</v>
      </c>
      <c r="L5127" s="6" t="str">
        <f>"Toalhas"</f>
        <v>Toalhas</v>
      </c>
      <c r="M5127" s="6" t="str">
        <f>"50x100"</f>
        <v>50x100</v>
      </c>
      <c r="N5127" s="6" t="str">
        <f>"5602972608328"</f>
        <v>5602972608328</v>
      </c>
      <c r="O5127" s="8">
        <v>480</v>
      </c>
      <c r="P5127" s="7">
        <v>46080</v>
      </c>
      <c r="R5127" s="8">
        <v>0</v>
      </c>
      <c r="S5127" s="7">
        <v>46085</v>
      </c>
      <c r="U5127" s="8">
        <v>0</v>
      </c>
      <c r="V5127" s="7">
        <v>46094</v>
      </c>
      <c r="X5127" s="8">
        <v>0</v>
      </c>
      <c r="Z5127" s="8">
        <v>0</v>
      </c>
      <c r="AA5127" s="7">
        <v>46106</v>
      </c>
      <c r="AC5127" s="8">
        <v>0</v>
      </c>
      <c r="AE5127" s="7">
        <v>46108</v>
      </c>
      <c r="AF5127" s="8">
        <v>0</v>
      </c>
      <c r="AH5127" s="7">
        <v>46108</v>
      </c>
      <c r="AN5127" s="8">
        <v>0</v>
      </c>
      <c r="AO5127" s="8">
        <v>480</v>
      </c>
    </row>
    <row r="5128" spans="1:41" x14ac:dyDescent="0.25">
      <c r="A5128" s="6" t="str">
        <f t="shared" si="1354"/>
        <v>525-2026000018</v>
      </c>
      <c r="B5128" s="6" t="str">
        <f t="shared" si="1345"/>
        <v>Lasa Int</v>
      </c>
      <c r="C5128" s="7">
        <v>46038</v>
      </c>
      <c r="D5128" s="7">
        <v>46108</v>
      </c>
      <c r="E5128" s="8">
        <v>7</v>
      </c>
      <c r="F5128" s="6" t="str">
        <f t="shared" si="1355"/>
        <v>Juliet</v>
      </c>
      <c r="G5128" s="6" t="str">
        <f t="shared" si="1356"/>
        <v>F137135952000000</v>
      </c>
      <c r="H5128" s="6" t="str">
        <f t="shared" si="1357"/>
        <v>FAJ SP 1359 CH PO -</v>
      </c>
      <c r="I5128" s="6" t="str">
        <f>"501317"</f>
        <v>501317</v>
      </c>
      <c r="J5128" s="6" t="str">
        <f>"VERDE 3605/H 3347"</f>
        <v>VERDE 3605/H 3347</v>
      </c>
      <c r="K5128" s="6" t="str">
        <f>"1535"</f>
        <v>1535</v>
      </c>
      <c r="L5128" s="6" t="str">
        <f>"Toalhões"</f>
        <v>Toalhões</v>
      </c>
      <c r="M5128" s="6" t="str">
        <f>"70x140"</f>
        <v>70x140</v>
      </c>
      <c r="N5128" s="6" t="str">
        <f>"5602972608335"</f>
        <v>5602972608335</v>
      </c>
      <c r="O5128" s="8">
        <v>120</v>
      </c>
      <c r="P5128" s="7">
        <v>46080</v>
      </c>
      <c r="R5128" s="8">
        <v>0</v>
      </c>
      <c r="S5128" s="7">
        <v>46085</v>
      </c>
      <c r="U5128" s="8">
        <v>0</v>
      </c>
      <c r="V5128" s="7">
        <v>46094</v>
      </c>
      <c r="X5128" s="8">
        <v>0</v>
      </c>
      <c r="Z5128" s="8">
        <v>0</v>
      </c>
      <c r="AA5128" s="7">
        <v>46106</v>
      </c>
      <c r="AC5128" s="8">
        <v>0</v>
      </c>
      <c r="AE5128" s="7">
        <v>46108</v>
      </c>
      <c r="AF5128" s="8">
        <v>0</v>
      </c>
      <c r="AH5128" s="7">
        <v>46108</v>
      </c>
      <c r="AN5128" s="8">
        <v>0</v>
      </c>
      <c r="AO5128" s="8">
        <v>120</v>
      </c>
    </row>
    <row r="5129" spans="1:41" x14ac:dyDescent="0.25">
      <c r="A5129" s="6" t="str">
        <f t="shared" si="1354"/>
        <v>525-2026000018</v>
      </c>
      <c r="B5129" s="6" t="str">
        <f t="shared" si="1345"/>
        <v>Lasa Int</v>
      </c>
      <c r="C5129" s="7">
        <v>46038</v>
      </c>
      <c r="D5129" s="7">
        <v>46108</v>
      </c>
      <c r="E5129" s="8">
        <v>8</v>
      </c>
      <c r="F5129" s="6" t="str">
        <f t="shared" si="1355"/>
        <v>Juliet</v>
      </c>
      <c r="G5129" s="6" t="str">
        <f t="shared" si="1356"/>
        <v>F137135952000000</v>
      </c>
      <c r="H5129" s="6" t="str">
        <f t="shared" si="1357"/>
        <v>FAJ SP 1359 CH PO -</v>
      </c>
      <c r="I5129" s="6" t="str">
        <f>"501317"</f>
        <v>501317</v>
      </c>
      <c r="J5129" s="6" t="str">
        <f>"VERDE 3605/H 3347"</f>
        <v>VERDE 3605/H 3347</v>
      </c>
      <c r="K5129" s="6" t="str">
        <f>"2020"</f>
        <v>2020</v>
      </c>
      <c r="L5129" s="6" t="str">
        <f>"Lençóis"</f>
        <v>Lençóis</v>
      </c>
      <c r="M5129" s="6" t="str">
        <f>"100x150"</f>
        <v>100x150</v>
      </c>
      <c r="N5129" s="6" t="str">
        <f>"5602972608342"</f>
        <v>5602972608342</v>
      </c>
      <c r="O5129" s="8">
        <v>80</v>
      </c>
      <c r="P5129" s="7">
        <v>46080</v>
      </c>
      <c r="R5129" s="8">
        <v>0</v>
      </c>
      <c r="S5129" s="7">
        <v>46085</v>
      </c>
      <c r="U5129" s="8">
        <v>0</v>
      </c>
      <c r="V5129" s="7">
        <v>46094</v>
      </c>
      <c r="X5129" s="8">
        <v>0</v>
      </c>
      <c r="Z5129" s="8">
        <v>0</v>
      </c>
      <c r="AA5129" s="7">
        <v>46106</v>
      </c>
      <c r="AC5129" s="8">
        <v>0</v>
      </c>
      <c r="AE5129" s="7">
        <v>46108</v>
      </c>
      <c r="AF5129" s="8">
        <v>0</v>
      </c>
      <c r="AH5129" s="7">
        <v>46108</v>
      </c>
      <c r="AN5129" s="8">
        <v>0</v>
      </c>
      <c r="AO5129" s="8">
        <v>80</v>
      </c>
    </row>
    <row r="5130" spans="1:41" x14ac:dyDescent="0.25">
      <c r="A5130" s="6" t="str">
        <f t="shared" ref="A5130:A5136" si="1358">"525-2026000019"</f>
        <v>525-2026000019</v>
      </c>
      <c r="B5130" s="6" t="str">
        <f t="shared" si="1345"/>
        <v>Lasa Int</v>
      </c>
      <c r="C5130" s="7">
        <v>46038</v>
      </c>
      <c r="D5130" s="7">
        <v>46108</v>
      </c>
      <c r="E5130" s="8">
        <v>1</v>
      </c>
      <c r="F5130" s="6" t="str">
        <f t="shared" ref="F5130:F5136" si="1359">"PURE R"</f>
        <v>PURE R</v>
      </c>
      <c r="G5130" s="6" t="str">
        <f>"R010000635000000"</f>
        <v>R010000635000000</v>
      </c>
      <c r="H5130" s="6" t="str">
        <f>"Alexis Cotoral Pure"</f>
        <v>Alexis Cotoral Pure</v>
      </c>
      <c r="I5130" s="6" t="str">
        <f t="shared" ref="I5130:I5136" si="1360">"784"</f>
        <v>784</v>
      </c>
      <c r="J5130" s="6" t="str">
        <f t="shared" ref="J5130:J5136" si="1361">"ROSA 784"</f>
        <v>ROSA 784</v>
      </c>
      <c r="K5130" s="6" t="str">
        <f>"5002"</f>
        <v>5002</v>
      </c>
      <c r="L5130" s="6" t="str">
        <f t="shared" ref="L5130:L5136" si="1362">"Roupões Adulto"</f>
        <v>Roupões Adulto</v>
      </c>
      <c r="M5130" s="6" t="str">
        <f>"S"</f>
        <v>S</v>
      </c>
      <c r="N5130" s="6" t="str">
        <f>"5602972838428"</f>
        <v>5602972838428</v>
      </c>
      <c r="O5130" s="8">
        <v>60</v>
      </c>
      <c r="P5130" s="7">
        <v>46038</v>
      </c>
      <c r="R5130" s="8">
        <v>0</v>
      </c>
      <c r="S5130" s="7">
        <v>46043</v>
      </c>
      <c r="U5130" s="8">
        <v>810</v>
      </c>
      <c r="V5130" s="7">
        <v>46052</v>
      </c>
      <c r="X5130" s="8">
        <v>0</v>
      </c>
      <c r="Z5130" s="8">
        <v>0</v>
      </c>
      <c r="AA5130" s="7">
        <v>46064</v>
      </c>
      <c r="AC5130" s="8">
        <v>0</v>
      </c>
      <c r="AE5130" s="7">
        <v>46108</v>
      </c>
      <c r="AF5130" s="8">
        <v>0</v>
      </c>
      <c r="AH5130" s="7">
        <v>46108</v>
      </c>
      <c r="AI5130" s="7">
        <v>46106</v>
      </c>
      <c r="AN5130" s="8">
        <v>0</v>
      </c>
      <c r="AO5130" s="8">
        <v>60</v>
      </c>
    </row>
    <row r="5131" spans="1:41" x14ac:dyDescent="0.25">
      <c r="A5131" s="6" t="str">
        <f t="shared" si="1358"/>
        <v>525-2026000019</v>
      </c>
      <c r="B5131" s="6" t="str">
        <f t="shared" si="1345"/>
        <v>Lasa Int</v>
      </c>
      <c r="C5131" s="7">
        <v>46038</v>
      </c>
      <c r="D5131" s="7">
        <v>46108</v>
      </c>
      <c r="E5131" s="8">
        <v>2</v>
      </c>
      <c r="F5131" s="6" t="str">
        <f t="shared" si="1359"/>
        <v>PURE R</v>
      </c>
      <c r="G5131" s="6" t="str">
        <f>"R010000635000000"</f>
        <v>R010000635000000</v>
      </c>
      <c r="H5131" s="6" t="str">
        <f>"Alexis Cotoral Pure"</f>
        <v>Alexis Cotoral Pure</v>
      </c>
      <c r="I5131" s="6" t="str">
        <f t="shared" si="1360"/>
        <v>784</v>
      </c>
      <c r="J5131" s="6" t="str">
        <f t="shared" si="1361"/>
        <v>ROSA 784</v>
      </c>
      <c r="K5131" s="6" t="str">
        <f>"5004"</f>
        <v>5004</v>
      </c>
      <c r="L5131" s="6" t="str">
        <f t="shared" si="1362"/>
        <v>Roupões Adulto</v>
      </c>
      <c r="M5131" s="6" t="str">
        <f>"M"</f>
        <v>M</v>
      </c>
      <c r="N5131" s="6" t="str">
        <f>"5602972838435"</f>
        <v>5602972838435</v>
      </c>
      <c r="O5131" s="8">
        <v>60</v>
      </c>
      <c r="P5131" s="7">
        <v>46038</v>
      </c>
      <c r="R5131" s="8">
        <v>0</v>
      </c>
      <c r="S5131" s="7">
        <v>46043</v>
      </c>
      <c r="U5131" s="8">
        <v>0</v>
      </c>
      <c r="V5131" s="7">
        <v>46052</v>
      </c>
      <c r="X5131" s="8">
        <v>0</v>
      </c>
      <c r="Z5131" s="8">
        <v>0</v>
      </c>
      <c r="AA5131" s="7">
        <v>46064</v>
      </c>
      <c r="AC5131" s="8">
        <v>0</v>
      </c>
      <c r="AE5131" s="7">
        <v>46108</v>
      </c>
      <c r="AF5131" s="8">
        <v>0</v>
      </c>
      <c r="AH5131" s="7">
        <v>46108</v>
      </c>
      <c r="AI5131" s="7">
        <v>46106</v>
      </c>
      <c r="AN5131" s="8">
        <v>0</v>
      </c>
      <c r="AO5131" s="8">
        <v>60</v>
      </c>
    </row>
    <row r="5132" spans="1:41" x14ac:dyDescent="0.25">
      <c r="A5132" s="6" t="str">
        <f t="shared" si="1358"/>
        <v>525-2026000019</v>
      </c>
      <c r="B5132" s="6" t="str">
        <f t="shared" si="1345"/>
        <v>Lasa Int</v>
      </c>
      <c r="C5132" s="7">
        <v>46038</v>
      </c>
      <c r="D5132" s="7">
        <v>46108</v>
      </c>
      <c r="E5132" s="8">
        <v>3</v>
      </c>
      <c r="F5132" s="6" t="str">
        <f t="shared" si="1359"/>
        <v>PURE R</v>
      </c>
      <c r="G5132" s="6" t="str">
        <f>"R010000635000000"</f>
        <v>R010000635000000</v>
      </c>
      <c r="H5132" s="6" t="str">
        <f>"Alexis Cotoral Pure"</f>
        <v>Alexis Cotoral Pure</v>
      </c>
      <c r="I5132" s="6" t="str">
        <f t="shared" si="1360"/>
        <v>784</v>
      </c>
      <c r="J5132" s="6" t="str">
        <f t="shared" si="1361"/>
        <v>ROSA 784</v>
      </c>
      <c r="K5132" s="6" t="str">
        <f>"5006"</f>
        <v>5006</v>
      </c>
      <c r="L5132" s="6" t="str">
        <f t="shared" si="1362"/>
        <v>Roupões Adulto</v>
      </c>
      <c r="M5132" s="6" t="str">
        <f>"L"</f>
        <v>L</v>
      </c>
      <c r="N5132" s="6" t="str">
        <f>"5602972838442"</f>
        <v>5602972838442</v>
      </c>
      <c r="O5132" s="8">
        <v>12</v>
      </c>
      <c r="P5132" s="7">
        <v>46038</v>
      </c>
      <c r="R5132" s="8">
        <v>0</v>
      </c>
      <c r="S5132" s="7">
        <v>46043</v>
      </c>
      <c r="U5132" s="8">
        <v>0</v>
      </c>
      <c r="V5132" s="7">
        <v>46052</v>
      </c>
      <c r="X5132" s="8">
        <v>0</v>
      </c>
      <c r="Z5132" s="8">
        <v>0</v>
      </c>
      <c r="AA5132" s="7">
        <v>46064</v>
      </c>
      <c r="AC5132" s="8">
        <v>0</v>
      </c>
      <c r="AE5132" s="7">
        <v>46108</v>
      </c>
      <c r="AF5132" s="8">
        <v>0</v>
      </c>
      <c r="AH5132" s="7">
        <v>46108</v>
      </c>
      <c r="AI5132" s="7">
        <v>46106</v>
      </c>
      <c r="AN5132" s="8">
        <v>0</v>
      </c>
      <c r="AO5132" s="8">
        <v>12</v>
      </c>
    </row>
    <row r="5133" spans="1:41" x14ac:dyDescent="0.25">
      <c r="A5133" s="6" t="str">
        <f t="shared" si="1358"/>
        <v>525-2026000019</v>
      </c>
      <c r="B5133" s="6" t="str">
        <f t="shared" si="1345"/>
        <v>Lasa Int</v>
      </c>
      <c r="C5133" s="7">
        <v>46038</v>
      </c>
      <c r="D5133" s="7">
        <v>46108</v>
      </c>
      <c r="E5133" s="8">
        <v>4</v>
      </c>
      <c r="F5133" s="6" t="str">
        <f t="shared" si="1359"/>
        <v>PURE R</v>
      </c>
      <c r="G5133" s="6" t="str">
        <f>"R120203038500000"</f>
        <v>R120203038500000</v>
      </c>
      <c r="H5133" s="6" t="str">
        <f>"R 2030 - Ketten PURE"</f>
        <v>R 2030 - Ketten PURE</v>
      </c>
      <c r="I5133" s="6" t="str">
        <f t="shared" si="1360"/>
        <v>784</v>
      </c>
      <c r="J5133" s="6" t="str">
        <f t="shared" si="1361"/>
        <v>ROSA 784</v>
      </c>
      <c r="K5133" s="6" t="str">
        <f>"5002"</f>
        <v>5002</v>
      </c>
      <c r="L5133" s="6" t="str">
        <f t="shared" si="1362"/>
        <v>Roupões Adulto</v>
      </c>
      <c r="M5133" s="6" t="str">
        <f>"S"</f>
        <v>S</v>
      </c>
      <c r="N5133" s="6" t="str">
        <f>"5605247600485"</f>
        <v>5605247600485</v>
      </c>
      <c r="O5133" s="8">
        <v>24</v>
      </c>
      <c r="P5133" s="7">
        <v>46038</v>
      </c>
      <c r="R5133" s="8">
        <v>0</v>
      </c>
      <c r="S5133" s="7">
        <v>46043</v>
      </c>
      <c r="U5133" s="8">
        <v>0</v>
      </c>
      <c r="V5133" s="7">
        <v>46052</v>
      </c>
      <c r="X5133" s="8">
        <v>0</v>
      </c>
      <c r="Z5133" s="8">
        <v>0</v>
      </c>
      <c r="AA5133" s="7">
        <v>46064</v>
      </c>
      <c r="AC5133" s="8">
        <v>0</v>
      </c>
      <c r="AE5133" s="7">
        <v>46108</v>
      </c>
      <c r="AF5133" s="8">
        <v>0</v>
      </c>
      <c r="AH5133" s="7">
        <v>46108</v>
      </c>
      <c r="AI5133" s="7">
        <v>46106</v>
      </c>
      <c r="AN5133" s="8">
        <v>0</v>
      </c>
      <c r="AO5133" s="8">
        <v>24</v>
      </c>
    </row>
    <row r="5134" spans="1:41" x14ac:dyDescent="0.25">
      <c r="A5134" s="6" t="str">
        <f t="shared" si="1358"/>
        <v>525-2026000019</v>
      </c>
      <c r="B5134" s="6" t="str">
        <f t="shared" si="1345"/>
        <v>Lasa Int</v>
      </c>
      <c r="C5134" s="7">
        <v>46038</v>
      </c>
      <c r="D5134" s="7">
        <v>46108</v>
      </c>
      <c r="E5134" s="8">
        <v>5</v>
      </c>
      <c r="F5134" s="6" t="str">
        <f t="shared" si="1359"/>
        <v>PURE R</v>
      </c>
      <c r="G5134" s="6" t="str">
        <f>"R120203038500000"</f>
        <v>R120203038500000</v>
      </c>
      <c r="H5134" s="6" t="str">
        <f>"R 2030 - Ketten PURE"</f>
        <v>R 2030 - Ketten PURE</v>
      </c>
      <c r="I5134" s="6" t="str">
        <f t="shared" si="1360"/>
        <v>784</v>
      </c>
      <c r="J5134" s="6" t="str">
        <f t="shared" si="1361"/>
        <v>ROSA 784</v>
      </c>
      <c r="K5134" s="6" t="str">
        <f>"5004"</f>
        <v>5004</v>
      </c>
      <c r="L5134" s="6" t="str">
        <f t="shared" si="1362"/>
        <v>Roupões Adulto</v>
      </c>
      <c r="M5134" s="6" t="str">
        <f>"M"</f>
        <v>M</v>
      </c>
      <c r="N5134" s="6" t="str">
        <f>"5605247600492"</f>
        <v>5605247600492</v>
      </c>
      <c r="O5134" s="8">
        <v>48</v>
      </c>
      <c r="P5134" s="7">
        <v>46038</v>
      </c>
      <c r="R5134" s="8">
        <v>0</v>
      </c>
      <c r="S5134" s="7">
        <v>46043</v>
      </c>
      <c r="U5134" s="8">
        <v>0</v>
      </c>
      <c r="V5134" s="7">
        <v>46052</v>
      </c>
      <c r="X5134" s="8">
        <v>0</v>
      </c>
      <c r="Z5134" s="8">
        <v>0</v>
      </c>
      <c r="AA5134" s="7">
        <v>46064</v>
      </c>
      <c r="AC5134" s="8">
        <v>0</v>
      </c>
      <c r="AE5134" s="7">
        <v>46108</v>
      </c>
      <c r="AF5134" s="8">
        <v>0</v>
      </c>
      <c r="AH5134" s="7">
        <v>46108</v>
      </c>
      <c r="AI5134" s="7">
        <v>46106</v>
      </c>
      <c r="AN5134" s="8">
        <v>0</v>
      </c>
      <c r="AO5134" s="8">
        <v>48</v>
      </c>
    </row>
    <row r="5135" spans="1:41" x14ac:dyDescent="0.25">
      <c r="A5135" s="6" t="str">
        <f t="shared" si="1358"/>
        <v>525-2026000019</v>
      </c>
      <c r="B5135" s="6" t="str">
        <f t="shared" si="1345"/>
        <v>Lasa Int</v>
      </c>
      <c r="C5135" s="7">
        <v>46038</v>
      </c>
      <c r="D5135" s="7">
        <v>46108</v>
      </c>
      <c r="E5135" s="8">
        <v>6</v>
      </c>
      <c r="F5135" s="6" t="str">
        <f t="shared" si="1359"/>
        <v>PURE R</v>
      </c>
      <c r="G5135" s="6" t="str">
        <f>"R120203038500000"</f>
        <v>R120203038500000</v>
      </c>
      <c r="H5135" s="6" t="str">
        <f>"R 2030 - Ketten PURE"</f>
        <v>R 2030 - Ketten PURE</v>
      </c>
      <c r="I5135" s="6" t="str">
        <f t="shared" si="1360"/>
        <v>784</v>
      </c>
      <c r="J5135" s="6" t="str">
        <f t="shared" si="1361"/>
        <v>ROSA 784</v>
      </c>
      <c r="K5135" s="6" t="str">
        <f>"5006"</f>
        <v>5006</v>
      </c>
      <c r="L5135" s="6" t="str">
        <f t="shared" si="1362"/>
        <v>Roupões Adulto</v>
      </c>
      <c r="M5135" s="6" t="str">
        <f>"L"</f>
        <v>L</v>
      </c>
      <c r="N5135" s="6" t="str">
        <f>"5605247600508"</f>
        <v>5605247600508</v>
      </c>
      <c r="O5135" s="8">
        <v>24</v>
      </c>
      <c r="P5135" s="7">
        <v>46038</v>
      </c>
      <c r="R5135" s="8">
        <v>0</v>
      </c>
      <c r="S5135" s="7">
        <v>46043</v>
      </c>
      <c r="U5135" s="8">
        <v>0</v>
      </c>
      <c r="V5135" s="7">
        <v>46052</v>
      </c>
      <c r="X5135" s="8">
        <v>0</v>
      </c>
      <c r="Z5135" s="8">
        <v>0</v>
      </c>
      <c r="AA5135" s="7">
        <v>46064</v>
      </c>
      <c r="AC5135" s="8">
        <v>0</v>
      </c>
      <c r="AE5135" s="7">
        <v>46108</v>
      </c>
      <c r="AF5135" s="8">
        <v>0</v>
      </c>
      <c r="AH5135" s="7">
        <v>46108</v>
      </c>
      <c r="AI5135" s="7">
        <v>46106</v>
      </c>
      <c r="AN5135" s="8">
        <v>0</v>
      </c>
      <c r="AO5135" s="8">
        <v>24</v>
      </c>
    </row>
    <row r="5136" spans="1:41" x14ac:dyDescent="0.25">
      <c r="A5136" s="6" t="str">
        <f t="shared" si="1358"/>
        <v>525-2026000019</v>
      </c>
      <c r="B5136" s="6" t="str">
        <f t="shared" si="1345"/>
        <v>Lasa Int</v>
      </c>
      <c r="C5136" s="7">
        <v>46038</v>
      </c>
      <c r="D5136" s="7">
        <v>46108</v>
      </c>
      <c r="E5136" s="8">
        <v>7</v>
      </c>
      <c r="F5136" s="6" t="str">
        <f t="shared" si="1359"/>
        <v>PURE R</v>
      </c>
      <c r="G5136" s="6" t="str">
        <f>"R120203038500000"</f>
        <v>R120203038500000</v>
      </c>
      <c r="H5136" s="6" t="str">
        <f>"R 2030 - Ketten PURE"</f>
        <v>R 2030 - Ketten PURE</v>
      </c>
      <c r="I5136" s="6" t="str">
        <f t="shared" si="1360"/>
        <v>784</v>
      </c>
      <c r="J5136" s="6" t="str">
        <f t="shared" si="1361"/>
        <v>ROSA 784</v>
      </c>
      <c r="K5136" s="6" t="str">
        <f>"5008"</f>
        <v>5008</v>
      </c>
      <c r="L5136" s="6" t="str">
        <f t="shared" si="1362"/>
        <v>Roupões Adulto</v>
      </c>
      <c r="M5136" s="6" t="str">
        <f>"XL"</f>
        <v>XL</v>
      </c>
      <c r="N5136" s="6" t="str">
        <f>"5605247600515"</f>
        <v>5605247600515</v>
      </c>
      <c r="O5136" s="8">
        <v>12</v>
      </c>
      <c r="P5136" s="7">
        <v>46038</v>
      </c>
      <c r="R5136" s="8">
        <v>0</v>
      </c>
      <c r="S5136" s="7">
        <v>46043</v>
      </c>
      <c r="U5136" s="8">
        <v>0</v>
      </c>
      <c r="V5136" s="7">
        <v>46052</v>
      </c>
      <c r="X5136" s="8">
        <v>0</v>
      </c>
      <c r="Z5136" s="8">
        <v>0</v>
      </c>
      <c r="AA5136" s="7">
        <v>46064</v>
      </c>
      <c r="AC5136" s="8">
        <v>0</v>
      </c>
      <c r="AE5136" s="7">
        <v>46108</v>
      </c>
      <c r="AF5136" s="8">
        <v>0</v>
      </c>
      <c r="AH5136" s="7">
        <v>46108</v>
      </c>
      <c r="AI5136" s="7">
        <v>46106</v>
      </c>
      <c r="AN5136" s="8">
        <v>0</v>
      </c>
      <c r="AO5136" s="8">
        <v>12</v>
      </c>
    </row>
    <row r="5137" spans="1:41" x14ac:dyDescent="0.25">
      <c r="A5137" s="6" t="str">
        <f t="shared" ref="A5137:A5142" si="1363">"525-2026000020"</f>
        <v>525-2026000020</v>
      </c>
      <c r="B5137" s="6" t="str">
        <f t="shared" ref="B5137:B5142" si="1364">"KLEINMAN"</f>
        <v>KLEINMAN</v>
      </c>
      <c r="C5137" s="7">
        <v>46038</v>
      </c>
      <c r="D5137" s="7">
        <v>46052</v>
      </c>
      <c r="E5137" s="8">
        <v>1</v>
      </c>
      <c r="F5137" s="6" t="str">
        <f t="shared" ref="F5137:F5142" si="1365">"Varios"</f>
        <v>Varios</v>
      </c>
      <c r="G5137" s="6" t="str">
        <f>"C001090426003109"</f>
        <v>C001090426003109</v>
      </c>
      <c r="H5137" s="6" t="str">
        <f>"CZJ 0904/3109 - 260"</f>
        <v>CZJ 0904/3109 - 260</v>
      </c>
      <c r="I5137" s="6" t="str">
        <f>"200532"</f>
        <v>200532</v>
      </c>
      <c r="J5137" s="6" t="str">
        <f>"VERDE 532"</f>
        <v>VERDE 532</v>
      </c>
      <c r="K5137" s="6" t="str">
        <f t="shared" ref="K5137:K5142" si="1366">"0830"</f>
        <v>0830</v>
      </c>
      <c r="L5137" s="6" t="str">
        <f t="shared" ref="L5137:L5142" si="1367">"Cozinha"</f>
        <v>Cozinha</v>
      </c>
      <c r="M5137" s="6" t="str">
        <f t="shared" ref="M5137:M5142" si="1368">"50x70"</f>
        <v>50x70</v>
      </c>
      <c r="N5137" s="6" t="str">
        <f>"5605247640535"</f>
        <v>5605247640535</v>
      </c>
      <c r="O5137" s="8">
        <v>60</v>
      </c>
      <c r="P5137" s="7">
        <v>46038</v>
      </c>
      <c r="R5137" s="8">
        <v>0</v>
      </c>
      <c r="U5137" s="8">
        <v>0</v>
      </c>
      <c r="X5137" s="8">
        <v>0</v>
      </c>
      <c r="Z5137" s="8">
        <v>0</v>
      </c>
      <c r="AC5137" s="8">
        <v>0</v>
      </c>
      <c r="AE5137" s="7">
        <v>46045</v>
      </c>
      <c r="AF5137" s="8">
        <v>0</v>
      </c>
      <c r="AH5137" s="7">
        <v>46052</v>
      </c>
      <c r="AN5137" s="8">
        <v>0</v>
      </c>
      <c r="AO5137" s="8">
        <v>60</v>
      </c>
    </row>
    <row r="5138" spans="1:41" x14ac:dyDescent="0.25">
      <c r="A5138" s="6" t="str">
        <f t="shared" si="1363"/>
        <v>525-2026000020</v>
      </c>
      <c r="B5138" s="6" t="str">
        <f t="shared" si="1364"/>
        <v>KLEINMAN</v>
      </c>
      <c r="C5138" s="7">
        <v>46038</v>
      </c>
      <c r="D5138" s="7">
        <v>46052</v>
      </c>
      <c r="E5138" s="8">
        <v>2</v>
      </c>
      <c r="F5138" s="6" t="str">
        <f t="shared" si="1365"/>
        <v>Varios</v>
      </c>
      <c r="G5138" s="6" t="str">
        <f>"C001090426003114"</f>
        <v>C001090426003114</v>
      </c>
      <c r="H5138" s="6" t="str">
        <f>"CZJ 0904/3114 - 260"</f>
        <v>CZJ 0904/3114 - 260</v>
      </c>
      <c r="I5138" s="6" t="str">
        <f>"200532"</f>
        <v>200532</v>
      </c>
      <c r="J5138" s="6" t="str">
        <f>"VERDE 532"</f>
        <v>VERDE 532</v>
      </c>
      <c r="K5138" s="6" t="str">
        <f t="shared" si="1366"/>
        <v>0830</v>
      </c>
      <c r="L5138" s="6" t="str">
        <f t="shared" si="1367"/>
        <v>Cozinha</v>
      </c>
      <c r="M5138" s="6" t="str">
        <f t="shared" si="1368"/>
        <v>50x70</v>
      </c>
      <c r="N5138" s="6" t="str">
        <f>"5605247640542"</f>
        <v>5605247640542</v>
      </c>
      <c r="O5138" s="8">
        <v>60</v>
      </c>
      <c r="P5138" s="7">
        <v>46038</v>
      </c>
      <c r="R5138" s="8">
        <v>0</v>
      </c>
      <c r="U5138" s="8">
        <v>0</v>
      </c>
      <c r="X5138" s="8">
        <v>0</v>
      </c>
      <c r="Z5138" s="8">
        <v>0</v>
      </c>
      <c r="AC5138" s="8">
        <v>0</v>
      </c>
      <c r="AE5138" s="7">
        <v>46045</v>
      </c>
      <c r="AF5138" s="8">
        <v>0</v>
      </c>
      <c r="AH5138" s="7">
        <v>46052</v>
      </c>
      <c r="AN5138" s="8">
        <v>0</v>
      </c>
      <c r="AO5138" s="8">
        <v>60</v>
      </c>
    </row>
    <row r="5139" spans="1:41" x14ac:dyDescent="0.25">
      <c r="A5139" s="6" t="str">
        <f t="shared" si="1363"/>
        <v>525-2026000020</v>
      </c>
      <c r="B5139" s="6" t="str">
        <f t="shared" si="1364"/>
        <v>KLEINMAN</v>
      </c>
      <c r="C5139" s="7">
        <v>46038</v>
      </c>
      <c r="D5139" s="7">
        <v>46052</v>
      </c>
      <c r="E5139" s="8">
        <v>3</v>
      </c>
      <c r="F5139" s="6" t="str">
        <f t="shared" si="1365"/>
        <v>Varios</v>
      </c>
      <c r="G5139" s="6" t="str">
        <f>"C001090426004191"</f>
        <v>C001090426004191</v>
      </c>
      <c r="H5139" s="6" t="str">
        <f>"CZJ 0904 / 4191 - 26"</f>
        <v>CZJ 0904 / 4191 - 26</v>
      </c>
      <c r="I5139" s="6" t="str">
        <f>"202206"</f>
        <v>202206</v>
      </c>
      <c r="J5139" s="6" t="str">
        <f>"CINZA 2206"</f>
        <v>CINZA 2206</v>
      </c>
      <c r="K5139" s="6" t="str">
        <f t="shared" si="1366"/>
        <v>0830</v>
      </c>
      <c r="L5139" s="6" t="str">
        <f t="shared" si="1367"/>
        <v>Cozinha</v>
      </c>
      <c r="M5139" s="6" t="str">
        <f t="shared" si="1368"/>
        <v>50x70</v>
      </c>
      <c r="N5139" s="6" t="str">
        <f>"5605247934665"</f>
        <v>5605247934665</v>
      </c>
      <c r="O5139" s="8">
        <v>40</v>
      </c>
      <c r="P5139" s="7">
        <v>46038</v>
      </c>
      <c r="R5139" s="8">
        <v>0</v>
      </c>
      <c r="U5139" s="8">
        <v>0</v>
      </c>
      <c r="X5139" s="8">
        <v>0</v>
      </c>
      <c r="Z5139" s="8">
        <v>0</v>
      </c>
      <c r="AC5139" s="8">
        <v>0</v>
      </c>
      <c r="AE5139" s="7">
        <v>46045</v>
      </c>
      <c r="AF5139" s="8">
        <v>0</v>
      </c>
      <c r="AH5139" s="7">
        <v>46052</v>
      </c>
      <c r="AN5139" s="8">
        <v>0</v>
      </c>
      <c r="AO5139" s="8">
        <v>40</v>
      </c>
    </row>
    <row r="5140" spans="1:41" x14ac:dyDescent="0.25">
      <c r="A5140" s="6" t="str">
        <f t="shared" si="1363"/>
        <v>525-2026000020</v>
      </c>
      <c r="B5140" s="6" t="str">
        <f t="shared" si="1364"/>
        <v>KLEINMAN</v>
      </c>
      <c r="C5140" s="7">
        <v>46038</v>
      </c>
      <c r="D5140" s="7">
        <v>46052</v>
      </c>
      <c r="E5140" s="8">
        <v>4</v>
      </c>
      <c r="F5140" s="6" t="str">
        <f t="shared" si="1365"/>
        <v>Varios</v>
      </c>
      <c r="G5140" s="6" t="str">
        <f>"C001090426004315"</f>
        <v>C001090426004315</v>
      </c>
      <c r="H5140" s="6" t="str">
        <f>"CZJ 0904 / 4315 - 26"</f>
        <v>CZJ 0904 / 4315 - 26</v>
      </c>
      <c r="I5140" s="6" t="str">
        <f>"202206"</f>
        <v>202206</v>
      </c>
      <c r="J5140" s="6" t="str">
        <f>"CINZA 2206"</f>
        <v>CINZA 2206</v>
      </c>
      <c r="K5140" s="6" t="str">
        <f t="shared" si="1366"/>
        <v>0830</v>
      </c>
      <c r="L5140" s="6" t="str">
        <f t="shared" si="1367"/>
        <v>Cozinha</v>
      </c>
      <c r="M5140" s="6" t="str">
        <f t="shared" si="1368"/>
        <v>50x70</v>
      </c>
      <c r="N5140" s="6" t="str">
        <f>"5605247936157"</f>
        <v>5605247936157</v>
      </c>
      <c r="O5140" s="8">
        <v>24</v>
      </c>
      <c r="P5140" s="7">
        <v>46038</v>
      </c>
      <c r="R5140" s="8">
        <v>0</v>
      </c>
      <c r="U5140" s="8">
        <v>0</v>
      </c>
      <c r="X5140" s="8">
        <v>0</v>
      </c>
      <c r="Z5140" s="8">
        <v>0</v>
      </c>
      <c r="AC5140" s="8">
        <v>0</v>
      </c>
      <c r="AE5140" s="7">
        <v>46045</v>
      </c>
      <c r="AF5140" s="8">
        <v>0</v>
      </c>
      <c r="AH5140" s="7">
        <v>46052</v>
      </c>
      <c r="AN5140" s="8">
        <v>0</v>
      </c>
      <c r="AO5140" s="8">
        <v>24</v>
      </c>
    </row>
    <row r="5141" spans="1:41" x14ac:dyDescent="0.25">
      <c r="A5141" s="6" t="str">
        <f t="shared" si="1363"/>
        <v>525-2026000020</v>
      </c>
      <c r="B5141" s="6" t="str">
        <f t="shared" si="1364"/>
        <v>KLEINMAN</v>
      </c>
      <c r="C5141" s="7">
        <v>46038</v>
      </c>
      <c r="D5141" s="7">
        <v>46052</v>
      </c>
      <c r="E5141" s="8">
        <v>5</v>
      </c>
      <c r="F5141" s="6" t="str">
        <f t="shared" si="1365"/>
        <v>Varios</v>
      </c>
      <c r="G5141" s="6" t="str">
        <f>"C001090426004318"</f>
        <v>C001090426004318</v>
      </c>
      <c r="H5141" s="6" t="str">
        <f>"CZJ 0904 / 4318 - 26"</f>
        <v>CZJ 0904 / 4318 - 26</v>
      </c>
      <c r="I5141" s="6" t="str">
        <f>"202206"</f>
        <v>202206</v>
      </c>
      <c r="J5141" s="6" t="str">
        <f>"CINZA 2206"</f>
        <v>CINZA 2206</v>
      </c>
      <c r="K5141" s="6" t="str">
        <f t="shared" si="1366"/>
        <v>0830</v>
      </c>
      <c r="L5141" s="6" t="str">
        <f t="shared" si="1367"/>
        <v>Cozinha</v>
      </c>
      <c r="M5141" s="6" t="str">
        <f t="shared" si="1368"/>
        <v>50x70</v>
      </c>
      <c r="N5141" s="6" t="str">
        <f>"5605247936133"</f>
        <v>5605247936133</v>
      </c>
      <c r="O5141" s="8">
        <v>24</v>
      </c>
      <c r="P5141" s="7">
        <v>46038</v>
      </c>
      <c r="R5141" s="8">
        <v>0</v>
      </c>
      <c r="U5141" s="8">
        <v>0</v>
      </c>
      <c r="X5141" s="8">
        <v>0</v>
      </c>
      <c r="Z5141" s="8">
        <v>0</v>
      </c>
      <c r="AC5141" s="8">
        <v>0</v>
      </c>
      <c r="AE5141" s="7">
        <v>46045</v>
      </c>
      <c r="AF5141" s="8">
        <v>0</v>
      </c>
      <c r="AH5141" s="7">
        <v>46052</v>
      </c>
      <c r="AN5141" s="8">
        <v>0</v>
      </c>
      <c r="AO5141" s="8">
        <v>24</v>
      </c>
    </row>
    <row r="5142" spans="1:41" x14ac:dyDescent="0.25">
      <c r="A5142" s="6" t="str">
        <f t="shared" si="1363"/>
        <v>525-2026000020</v>
      </c>
      <c r="B5142" s="6" t="str">
        <f t="shared" si="1364"/>
        <v>KLEINMAN</v>
      </c>
      <c r="C5142" s="7">
        <v>46038</v>
      </c>
      <c r="D5142" s="7">
        <v>46052</v>
      </c>
      <c r="E5142" s="8">
        <v>6</v>
      </c>
      <c r="F5142" s="6" t="str">
        <f t="shared" si="1365"/>
        <v>Varios</v>
      </c>
      <c r="G5142" s="6" t="str">
        <f>"C001090426004938"</f>
        <v>C001090426004938</v>
      </c>
      <c r="H5142" s="6" t="str">
        <f>"CZJ 0904 / 4938 - 26"</f>
        <v>CZJ 0904 / 4938 - 26</v>
      </c>
      <c r="I5142" s="6" t="str">
        <f>"200498"</f>
        <v>200498</v>
      </c>
      <c r="J5142" s="6" t="str">
        <f>"VERMELHO 498"</f>
        <v>VERMELHO 498</v>
      </c>
      <c r="K5142" s="6" t="str">
        <f t="shared" si="1366"/>
        <v>0830</v>
      </c>
      <c r="L5142" s="6" t="str">
        <f t="shared" si="1367"/>
        <v>Cozinha</v>
      </c>
      <c r="M5142" s="6" t="str">
        <f t="shared" si="1368"/>
        <v>50x70</v>
      </c>
      <c r="N5142" s="6" t="str">
        <f>"5605247944459"</f>
        <v>5605247944459</v>
      </c>
      <c r="O5142" s="8">
        <v>24</v>
      </c>
      <c r="P5142" s="7">
        <v>46038</v>
      </c>
      <c r="R5142" s="8">
        <v>0</v>
      </c>
      <c r="U5142" s="8">
        <v>0</v>
      </c>
      <c r="X5142" s="8">
        <v>0</v>
      </c>
      <c r="Z5142" s="8">
        <v>0</v>
      </c>
      <c r="AC5142" s="8">
        <v>0</v>
      </c>
      <c r="AE5142" s="7">
        <v>46045</v>
      </c>
      <c r="AF5142" s="8">
        <v>0</v>
      </c>
      <c r="AH5142" s="7">
        <v>46052</v>
      </c>
      <c r="AN5142" s="8">
        <v>0</v>
      </c>
      <c r="AO5142" s="8">
        <v>24</v>
      </c>
    </row>
    <row r="5143" spans="1:41" x14ac:dyDescent="0.25">
      <c r="A5143" s="6" t="str">
        <f t="shared" ref="A5143:A5166" si="1369">"525-2026000021"</f>
        <v>525-2026000021</v>
      </c>
      <c r="B5143" s="6" t="str">
        <f t="shared" ref="B5143:B5182" si="1370">"Lasa Int"</f>
        <v>Lasa Int</v>
      </c>
      <c r="C5143" s="7">
        <v>46038</v>
      </c>
      <c r="D5143" s="7">
        <v>46059</v>
      </c>
      <c r="E5143" s="8">
        <v>1</v>
      </c>
      <c r="F5143" s="6" t="str">
        <f t="shared" ref="F5143:F5166" si="1371">"Points"</f>
        <v>Points</v>
      </c>
      <c r="G5143" s="6" t="str">
        <f t="shared" ref="G5143:G5166" si="1372">"F100021455005514"</f>
        <v>F100021455005514</v>
      </c>
      <c r="H5143" s="6" t="str">
        <f t="shared" ref="H5143:H5166" si="1373">"FA 214 / 5514 - PURE"</f>
        <v>FA 214 / 5514 - PURE</v>
      </c>
      <c r="I5143" s="6" t="str">
        <f>"1670"</f>
        <v>1670</v>
      </c>
      <c r="J5143" s="6" t="str">
        <f>"BEGE 1670"</f>
        <v>BEGE 1670</v>
      </c>
      <c r="K5143" s="6" t="str">
        <f>"0530"</f>
        <v>0530</v>
      </c>
      <c r="L5143" s="6" t="str">
        <f>"Toalhetes"</f>
        <v>Toalhetes</v>
      </c>
      <c r="M5143" s="6" t="str">
        <f>"33x50"</f>
        <v>33x50</v>
      </c>
      <c r="N5143" s="6" t="str">
        <f>"5602972775938"</f>
        <v>5602972775938</v>
      </c>
      <c r="O5143" s="8">
        <v>48</v>
      </c>
      <c r="P5143" s="7">
        <v>46038</v>
      </c>
      <c r="R5143" s="8">
        <v>0</v>
      </c>
      <c r="U5143" s="8">
        <v>0</v>
      </c>
      <c r="X5143" s="8">
        <v>0</v>
      </c>
      <c r="Z5143" s="8">
        <v>0</v>
      </c>
      <c r="AC5143" s="8">
        <v>0</v>
      </c>
      <c r="AE5143" s="7">
        <v>46045</v>
      </c>
      <c r="AF5143" s="8">
        <v>0</v>
      </c>
      <c r="AH5143" s="7">
        <v>46059</v>
      </c>
      <c r="AN5143" s="8">
        <v>0</v>
      </c>
      <c r="AO5143" s="8">
        <v>48</v>
      </c>
    </row>
    <row r="5144" spans="1:41" x14ac:dyDescent="0.25">
      <c r="A5144" s="6" t="str">
        <f t="shared" si="1369"/>
        <v>525-2026000021</v>
      </c>
      <c r="B5144" s="6" t="str">
        <f t="shared" si="1370"/>
        <v>Lasa Int</v>
      </c>
      <c r="C5144" s="7">
        <v>46038</v>
      </c>
      <c r="D5144" s="7">
        <v>46059</v>
      </c>
      <c r="E5144" s="8">
        <v>2</v>
      </c>
      <c r="F5144" s="6" t="str">
        <f t="shared" si="1371"/>
        <v>Points</v>
      </c>
      <c r="G5144" s="6" t="str">
        <f t="shared" si="1372"/>
        <v>F100021455005514</v>
      </c>
      <c r="H5144" s="6" t="str">
        <f t="shared" si="1373"/>
        <v>FA 214 / 5514 - PURE</v>
      </c>
      <c r="I5144" s="6" t="str">
        <f>"1670"</f>
        <v>1670</v>
      </c>
      <c r="J5144" s="6" t="str">
        <f>"BEGE 1670"</f>
        <v>BEGE 1670</v>
      </c>
      <c r="K5144" s="6" t="str">
        <f>"1024"</f>
        <v>1024</v>
      </c>
      <c r="L5144" s="6" t="str">
        <f>"Toalhas"</f>
        <v>Toalhas</v>
      </c>
      <c r="M5144" s="6" t="str">
        <f>"50x100"</f>
        <v>50x100</v>
      </c>
      <c r="N5144" s="6" t="str">
        <f>"5602972775945"</f>
        <v>5602972775945</v>
      </c>
      <c r="O5144" s="8">
        <v>60</v>
      </c>
      <c r="P5144" s="7">
        <v>46038</v>
      </c>
      <c r="R5144" s="8">
        <v>0</v>
      </c>
      <c r="U5144" s="8">
        <v>0</v>
      </c>
      <c r="X5144" s="8">
        <v>0</v>
      </c>
      <c r="Z5144" s="8">
        <v>0</v>
      </c>
      <c r="AC5144" s="8">
        <v>0</v>
      </c>
      <c r="AE5144" s="7">
        <v>46045</v>
      </c>
      <c r="AF5144" s="8">
        <v>0</v>
      </c>
      <c r="AH5144" s="7">
        <v>46059</v>
      </c>
      <c r="AN5144" s="8">
        <v>0</v>
      </c>
      <c r="AO5144" s="8">
        <v>60</v>
      </c>
    </row>
    <row r="5145" spans="1:41" x14ac:dyDescent="0.25">
      <c r="A5145" s="6" t="str">
        <f t="shared" si="1369"/>
        <v>525-2026000021</v>
      </c>
      <c r="B5145" s="6" t="str">
        <f t="shared" si="1370"/>
        <v>Lasa Int</v>
      </c>
      <c r="C5145" s="7">
        <v>46038</v>
      </c>
      <c r="D5145" s="7">
        <v>46059</v>
      </c>
      <c r="E5145" s="8">
        <v>3</v>
      </c>
      <c r="F5145" s="6" t="str">
        <f t="shared" si="1371"/>
        <v>Points</v>
      </c>
      <c r="G5145" s="6" t="str">
        <f t="shared" si="1372"/>
        <v>F100021455005514</v>
      </c>
      <c r="H5145" s="6" t="str">
        <f t="shared" si="1373"/>
        <v>FA 214 / 5514 - PURE</v>
      </c>
      <c r="I5145" s="6" t="str">
        <f>"1670"</f>
        <v>1670</v>
      </c>
      <c r="J5145" s="6" t="str">
        <f>"BEGE 1670"</f>
        <v>BEGE 1670</v>
      </c>
      <c r="K5145" s="6" t="str">
        <f>"1535"</f>
        <v>1535</v>
      </c>
      <c r="L5145" s="6" t="str">
        <f>"Toalhões"</f>
        <v>Toalhões</v>
      </c>
      <c r="M5145" s="6" t="str">
        <f>"70x140"</f>
        <v>70x140</v>
      </c>
      <c r="N5145" s="6" t="str">
        <f>"5602972775952"</f>
        <v>5602972775952</v>
      </c>
      <c r="O5145" s="8">
        <v>48</v>
      </c>
      <c r="P5145" s="7">
        <v>46038</v>
      </c>
      <c r="R5145" s="8">
        <v>0</v>
      </c>
      <c r="U5145" s="8">
        <v>0</v>
      </c>
      <c r="X5145" s="8">
        <v>0</v>
      </c>
      <c r="Z5145" s="8">
        <v>0</v>
      </c>
      <c r="AC5145" s="8">
        <v>0</v>
      </c>
      <c r="AE5145" s="7">
        <v>46045</v>
      </c>
      <c r="AF5145" s="8">
        <v>0</v>
      </c>
      <c r="AH5145" s="7">
        <v>46059</v>
      </c>
      <c r="AN5145" s="8">
        <v>0</v>
      </c>
      <c r="AO5145" s="8">
        <v>48</v>
      </c>
    </row>
    <row r="5146" spans="1:41" x14ac:dyDescent="0.25">
      <c r="A5146" s="6" t="str">
        <f t="shared" si="1369"/>
        <v>525-2026000021</v>
      </c>
      <c r="B5146" s="6" t="str">
        <f t="shared" si="1370"/>
        <v>Lasa Int</v>
      </c>
      <c r="C5146" s="7">
        <v>46038</v>
      </c>
      <c r="D5146" s="7">
        <v>46059</v>
      </c>
      <c r="E5146" s="8">
        <v>4</v>
      </c>
      <c r="F5146" s="6" t="str">
        <f t="shared" si="1371"/>
        <v>Points</v>
      </c>
      <c r="G5146" s="6" t="str">
        <f t="shared" si="1372"/>
        <v>F100021455005514</v>
      </c>
      <c r="H5146" s="6" t="str">
        <f t="shared" si="1373"/>
        <v>FA 214 / 5514 - PURE</v>
      </c>
      <c r="I5146" s="6" t="str">
        <f>"1670"</f>
        <v>1670</v>
      </c>
      <c r="J5146" s="6" t="str">
        <f>"BEGE 1670"</f>
        <v>BEGE 1670</v>
      </c>
      <c r="K5146" s="6" t="str">
        <f>"2020"</f>
        <v>2020</v>
      </c>
      <c r="L5146" s="6" t="str">
        <f>"Lençóis"</f>
        <v>Lençóis</v>
      </c>
      <c r="M5146" s="6" t="str">
        <f>"100x150"</f>
        <v>100x150</v>
      </c>
      <c r="N5146" s="6" t="str">
        <f>"5602972775969"</f>
        <v>5602972775969</v>
      </c>
      <c r="O5146" s="8">
        <v>36</v>
      </c>
      <c r="P5146" s="7">
        <v>46038</v>
      </c>
      <c r="R5146" s="8">
        <v>0</v>
      </c>
      <c r="U5146" s="8">
        <v>0</v>
      </c>
      <c r="X5146" s="8">
        <v>0</v>
      </c>
      <c r="Z5146" s="8">
        <v>0</v>
      </c>
      <c r="AC5146" s="8">
        <v>0</v>
      </c>
      <c r="AE5146" s="7">
        <v>46045</v>
      </c>
      <c r="AF5146" s="8">
        <v>0</v>
      </c>
      <c r="AH5146" s="7">
        <v>46059</v>
      </c>
      <c r="AN5146" s="8">
        <v>0</v>
      </c>
      <c r="AO5146" s="8">
        <v>36</v>
      </c>
    </row>
    <row r="5147" spans="1:41" x14ac:dyDescent="0.25">
      <c r="A5147" s="6" t="str">
        <f t="shared" si="1369"/>
        <v>525-2026000021</v>
      </c>
      <c r="B5147" s="6" t="str">
        <f t="shared" si="1370"/>
        <v>Lasa Int</v>
      </c>
      <c r="C5147" s="7">
        <v>46038</v>
      </c>
      <c r="D5147" s="7">
        <v>46059</v>
      </c>
      <c r="E5147" s="8">
        <v>5</v>
      </c>
      <c r="F5147" s="6" t="str">
        <f t="shared" si="1371"/>
        <v>Points</v>
      </c>
      <c r="G5147" s="6" t="str">
        <f t="shared" si="1372"/>
        <v>F100021455005514</v>
      </c>
      <c r="H5147" s="6" t="str">
        <f t="shared" si="1373"/>
        <v>FA 214 / 5514 - PURE</v>
      </c>
      <c r="I5147" s="6" t="str">
        <f>"3234"</f>
        <v>3234</v>
      </c>
      <c r="J5147" s="6" t="str">
        <f>"CASTANHO 3234"</f>
        <v>CASTANHO 3234</v>
      </c>
      <c r="K5147" s="6" t="str">
        <f>"0530"</f>
        <v>0530</v>
      </c>
      <c r="L5147" s="6" t="str">
        <f>"Toalhetes"</f>
        <v>Toalhetes</v>
      </c>
      <c r="M5147" s="6" t="str">
        <f>"33x50"</f>
        <v>33x50</v>
      </c>
      <c r="N5147" s="6" t="str">
        <f>"5602972731644"</f>
        <v>5602972731644</v>
      </c>
      <c r="O5147" s="8">
        <v>60</v>
      </c>
      <c r="P5147" s="7">
        <v>46038</v>
      </c>
      <c r="R5147" s="8">
        <v>0</v>
      </c>
      <c r="U5147" s="8">
        <v>0</v>
      </c>
      <c r="X5147" s="8">
        <v>0</v>
      </c>
      <c r="Z5147" s="8">
        <v>0</v>
      </c>
      <c r="AC5147" s="8">
        <v>0</v>
      </c>
      <c r="AE5147" s="7">
        <v>46045</v>
      </c>
      <c r="AF5147" s="8">
        <v>0</v>
      </c>
      <c r="AH5147" s="7">
        <v>46059</v>
      </c>
      <c r="AN5147" s="8">
        <v>0</v>
      </c>
      <c r="AO5147" s="8">
        <v>60</v>
      </c>
    </row>
    <row r="5148" spans="1:41" x14ac:dyDescent="0.25">
      <c r="A5148" s="6" t="str">
        <f t="shared" si="1369"/>
        <v>525-2026000021</v>
      </c>
      <c r="B5148" s="6" t="str">
        <f t="shared" si="1370"/>
        <v>Lasa Int</v>
      </c>
      <c r="C5148" s="7">
        <v>46038</v>
      </c>
      <c r="D5148" s="7">
        <v>46059</v>
      </c>
      <c r="E5148" s="8">
        <v>6</v>
      </c>
      <c r="F5148" s="6" t="str">
        <f t="shared" si="1371"/>
        <v>Points</v>
      </c>
      <c r="G5148" s="6" t="str">
        <f t="shared" si="1372"/>
        <v>F100021455005514</v>
      </c>
      <c r="H5148" s="6" t="str">
        <f t="shared" si="1373"/>
        <v>FA 214 / 5514 - PURE</v>
      </c>
      <c r="I5148" s="6" t="str">
        <f>"3234"</f>
        <v>3234</v>
      </c>
      <c r="J5148" s="6" t="str">
        <f>"CASTANHO 3234"</f>
        <v>CASTANHO 3234</v>
      </c>
      <c r="K5148" s="6" t="str">
        <f>"1024"</f>
        <v>1024</v>
      </c>
      <c r="L5148" s="6" t="str">
        <f>"Toalhas"</f>
        <v>Toalhas</v>
      </c>
      <c r="M5148" s="6" t="str">
        <f>"50x100"</f>
        <v>50x100</v>
      </c>
      <c r="N5148" s="6" t="str">
        <f>"5602972731651"</f>
        <v>5602972731651</v>
      </c>
      <c r="O5148" s="8">
        <v>60</v>
      </c>
      <c r="P5148" s="7">
        <v>46038</v>
      </c>
      <c r="R5148" s="8">
        <v>0</v>
      </c>
      <c r="U5148" s="8">
        <v>0</v>
      </c>
      <c r="X5148" s="8">
        <v>0</v>
      </c>
      <c r="Z5148" s="8">
        <v>0</v>
      </c>
      <c r="AC5148" s="8">
        <v>0</v>
      </c>
      <c r="AE5148" s="7">
        <v>46045</v>
      </c>
      <c r="AF5148" s="8">
        <v>0</v>
      </c>
      <c r="AH5148" s="7">
        <v>46059</v>
      </c>
      <c r="AN5148" s="8">
        <v>0</v>
      </c>
      <c r="AO5148" s="8">
        <v>60</v>
      </c>
    </row>
    <row r="5149" spans="1:41" x14ac:dyDescent="0.25">
      <c r="A5149" s="6" t="str">
        <f t="shared" si="1369"/>
        <v>525-2026000021</v>
      </c>
      <c r="B5149" s="6" t="str">
        <f t="shared" si="1370"/>
        <v>Lasa Int</v>
      </c>
      <c r="C5149" s="7">
        <v>46038</v>
      </c>
      <c r="D5149" s="7">
        <v>46059</v>
      </c>
      <c r="E5149" s="8">
        <v>7</v>
      </c>
      <c r="F5149" s="6" t="str">
        <f t="shared" si="1371"/>
        <v>Points</v>
      </c>
      <c r="G5149" s="6" t="str">
        <f t="shared" si="1372"/>
        <v>F100021455005514</v>
      </c>
      <c r="H5149" s="6" t="str">
        <f t="shared" si="1373"/>
        <v>FA 214 / 5514 - PURE</v>
      </c>
      <c r="I5149" s="6" t="str">
        <f>"3234"</f>
        <v>3234</v>
      </c>
      <c r="J5149" s="6" t="str">
        <f>"CASTANHO 3234"</f>
        <v>CASTANHO 3234</v>
      </c>
      <c r="K5149" s="6" t="str">
        <f>"1535"</f>
        <v>1535</v>
      </c>
      <c r="L5149" s="6" t="str">
        <f>"Toalhões"</f>
        <v>Toalhões</v>
      </c>
      <c r="M5149" s="6" t="str">
        <f>"70x140"</f>
        <v>70x140</v>
      </c>
      <c r="N5149" s="6" t="str">
        <f>"5602972731668"</f>
        <v>5602972731668</v>
      </c>
      <c r="O5149" s="8">
        <v>36</v>
      </c>
      <c r="P5149" s="7">
        <v>46038</v>
      </c>
      <c r="R5149" s="8">
        <v>0</v>
      </c>
      <c r="U5149" s="8">
        <v>0</v>
      </c>
      <c r="X5149" s="8">
        <v>0</v>
      </c>
      <c r="Z5149" s="8">
        <v>0</v>
      </c>
      <c r="AC5149" s="8">
        <v>0</v>
      </c>
      <c r="AE5149" s="7">
        <v>46045</v>
      </c>
      <c r="AF5149" s="8">
        <v>0</v>
      </c>
      <c r="AH5149" s="7">
        <v>46059</v>
      </c>
      <c r="AN5149" s="8">
        <v>0</v>
      </c>
      <c r="AO5149" s="8">
        <v>36</v>
      </c>
    </row>
    <row r="5150" spans="1:41" x14ac:dyDescent="0.25">
      <c r="A5150" s="6" t="str">
        <f t="shared" si="1369"/>
        <v>525-2026000021</v>
      </c>
      <c r="B5150" s="6" t="str">
        <f t="shared" si="1370"/>
        <v>Lasa Int</v>
      </c>
      <c r="C5150" s="7">
        <v>46038</v>
      </c>
      <c r="D5150" s="7">
        <v>46059</v>
      </c>
      <c r="E5150" s="8">
        <v>8</v>
      </c>
      <c r="F5150" s="6" t="str">
        <f t="shared" si="1371"/>
        <v>Points</v>
      </c>
      <c r="G5150" s="6" t="str">
        <f t="shared" si="1372"/>
        <v>F100021455005514</v>
      </c>
      <c r="H5150" s="6" t="str">
        <f t="shared" si="1373"/>
        <v>FA 214 / 5514 - PURE</v>
      </c>
      <c r="I5150" s="6" t="str">
        <f>"3234"</f>
        <v>3234</v>
      </c>
      <c r="J5150" s="6" t="str">
        <f>"CASTANHO 3234"</f>
        <v>CASTANHO 3234</v>
      </c>
      <c r="K5150" s="6" t="str">
        <f>"2020"</f>
        <v>2020</v>
      </c>
      <c r="L5150" s="6" t="str">
        <f>"Lençóis"</f>
        <v>Lençóis</v>
      </c>
      <c r="M5150" s="6" t="str">
        <f>"100x150"</f>
        <v>100x150</v>
      </c>
      <c r="N5150" s="6" t="str">
        <f>"5602972731675"</f>
        <v>5602972731675</v>
      </c>
      <c r="O5150" s="8">
        <v>36</v>
      </c>
      <c r="P5150" s="7">
        <v>46038</v>
      </c>
      <c r="R5150" s="8">
        <v>0</v>
      </c>
      <c r="U5150" s="8">
        <v>0</v>
      </c>
      <c r="X5150" s="8">
        <v>0</v>
      </c>
      <c r="Z5150" s="8">
        <v>0</v>
      </c>
      <c r="AC5150" s="8">
        <v>0</v>
      </c>
      <c r="AE5150" s="7">
        <v>46045</v>
      </c>
      <c r="AF5150" s="8">
        <v>0</v>
      </c>
      <c r="AH5150" s="7">
        <v>46059</v>
      </c>
      <c r="AN5150" s="8">
        <v>0</v>
      </c>
      <c r="AO5150" s="8">
        <v>36</v>
      </c>
    </row>
    <row r="5151" spans="1:41" x14ac:dyDescent="0.25">
      <c r="A5151" s="6" t="str">
        <f t="shared" si="1369"/>
        <v>525-2026000021</v>
      </c>
      <c r="B5151" s="6" t="str">
        <f t="shared" si="1370"/>
        <v>Lasa Int</v>
      </c>
      <c r="C5151" s="7">
        <v>46038</v>
      </c>
      <c r="D5151" s="7">
        <v>46059</v>
      </c>
      <c r="E5151" s="8">
        <v>9</v>
      </c>
      <c r="F5151" s="6" t="str">
        <f t="shared" si="1371"/>
        <v>Points</v>
      </c>
      <c r="G5151" s="6" t="str">
        <f t="shared" si="1372"/>
        <v>F100021455005514</v>
      </c>
      <c r="H5151" s="6" t="str">
        <f t="shared" si="1373"/>
        <v>FA 214 / 5514 - PURE</v>
      </c>
      <c r="I5151" s="6" t="str">
        <f>"5148"</f>
        <v>5148</v>
      </c>
      <c r="J5151" s="6" t="str">
        <f>"BEGE 5148"</f>
        <v>BEGE 5148</v>
      </c>
      <c r="K5151" s="6" t="str">
        <f>"0530"</f>
        <v>0530</v>
      </c>
      <c r="L5151" s="6" t="str">
        <f>"Toalhetes"</f>
        <v>Toalhetes</v>
      </c>
      <c r="M5151" s="6" t="str">
        <f>"33x50"</f>
        <v>33x50</v>
      </c>
      <c r="N5151" s="6" t="str">
        <f>"5602972509779"</f>
        <v>5602972509779</v>
      </c>
      <c r="O5151" s="8">
        <v>12</v>
      </c>
      <c r="P5151" s="7">
        <v>46038</v>
      </c>
      <c r="R5151" s="8">
        <v>0</v>
      </c>
      <c r="U5151" s="8">
        <v>0</v>
      </c>
      <c r="X5151" s="8">
        <v>0</v>
      </c>
      <c r="Z5151" s="8">
        <v>0</v>
      </c>
      <c r="AC5151" s="8">
        <v>0</v>
      </c>
      <c r="AE5151" s="7">
        <v>46045</v>
      </c>
      <c r="AF5151" s="8">
        <v>0</v>
      </c>
      <c r="AH5151" s="7">
        <v>46059</v>
      </c>
      <c r="AN5151" s="8">
        <v>0</v>
      </c>
      <c r="AO5151" s="8">
        <v>12</v>
      </c>
    </row>
    <row r="5152" spans="1:41" x14ac:dyDescent="0.25">
      <c r="A5152" s="6" t="str">
        <f t="shared" si="1369"/>
        <v>525-2026000021</v>
      </c>
      <c r="B5152" s="6" t="str">
        <f t="shared" si="1370"/>
        <v>Lasa Int</v>
      </c>
      <c r="C5152" s="7">
        <v>46038</v>
      </c>
      <c r="D5152" s="7">
        <v>46059</v>
      </c>
      <c r="E5152" s="8">
        <v>10</v>
      </c>
      <c r="F5152" s="6" t="str">
        <f t="shared" si="1371"/>
        <v>Points</v>
      </c>
      <c r="G5152" s="6" t="str">
        <f t="shared" si="1372"/>
        <v>F100021455005514</v>
      </c>
      <c r="H5152" s="6" t="str">
        <f t="shared" si="1373"/>
        <v>FA 214 / 5514 - PURE</v>
      </c>
      <c r="I5152" s="6" t="str">
        <f>"5148"</f>
        <v>5148</v>
      </c>
      <c r="J5152" s="6" t="str">
        <f>"BEGE 5148"</f>
        <v>BEGE 5148</v>
      </c>
      <c r="K5152" s="6" t="str">
        <f>"1024"</f>
        <v>1024</v>
      </c>
      <c r="L5152" s="6" t="str">
        <f>"Toalhas"</f>
        <v>Toalhas</v>
      </c>
      <c r="M5152" s="6" t="str">
        <f>"50x100"</f>
        <v>50x100</v>
      </c>
      <c r="N5152" s="6" t="str">
        <f>"5602972509786"</f>
        <v>5602972509786</v>
      </c>
      <c r="O5152" s="8">
        <v>24</v>
      </c>
      <c r="P5152" s="7">
        <v>46038</v>
      </c>
      <c r="R5152" s="8">
        <v>0</v>
      </c>
      <c r="U5152" s="8">
        <v>0</v>
      </c>
      <c r="X5152" s="8">
        <v>0</v>
      </c>
      <c r="Z5152" s="8">
        <v>0</v>
      </c>
      <c r="AC5152" s="8">
        <v>0</v>
      </c>
      <c r="AE5152" s="7">
        <v>46045</v>
      </c>
      <c r="AF5152" s="8">
        <v>0</v>
      </c>
      <c r="AH5152" s="7">
        <v>46059</v>
      </c>
      <c r="AN5152" s="8">
        <v>0</v>
      </c>
      <c r="AO5152" s="8">
        <v>24</v>
      </c>
    </row>
    <row r="5153" spans="1:41" x14ac:dyDescent="0.25">
      <c r="A5153" s="6" t="str">
        <f t="shared" si="1369"/>
        <v>525-2026000021</v>
      </c>
      <c r="B5153" s="6" t="str">
        <f t="shared" si="1370"/>
        <v>Lasa Int</v>
      </c>
      <c r="C5153" s="7">
        <v>46038</v>
      </c>
      <c r="D5153" s="7">
        <v>46059</v>
      </c>
      <c r="E5153" s="8">
        <v>11</v>
      </c>
      <c r="F5153" s="6" t="str">
        <f t="shared" si="1371"/>
        <v>Points</v>
      </c>
      <c r="G5153" s="6" t="str">
        <f t="shared" si="1372"/>
        <v>F100021455005514</v>
      </c>
      <c r="H5153" s="6" t="str">
        <f t="shared" si="1373"/>
        <v>FA 214 / 5514 - PURE</v>
      </c>
      <c r="I5153" s="6" t="str">
        <f>"5148"</f>
        <v>5148</v>
      </c>
      <c r="J5153" s="6" t="str">
        <f>"BEGE 5148"</f>
        <v>BEGE 5148</v>
      </c>
      <c r="K5153" s="6" t="str">
        <f>"1535"</f>
        <v>1535</v>
      </c>
      <c r="L5153" s="6" t="str">
        <f>"Toalhões"</f>
        <v>Toalhões</v>
      </c>
      <c r="M5153" s="6" t="str">
        <f>"70x140"</f>
        <v>70x140</v>
      </c>
      <c r="N5153" s="6" t="str">
        <f>"5602972509793"</f>
        <v>5602972509793</v>
      </c>
      <c r="O5153" s="8">
        <v>12</v>
      </c>
      <c r="P5153" s="7">
        <v>46038</v>
      </c>
      <c r="R5153" s="8">
        <v>0</v>
      </c>
      <c r="U5153" s="8">
        <v>0</v>
      </c>
      <c r="X5153" s="8">
        <v>0</v>
      </c>
      <c r="Z5153" s="8">
        <v>0</v>
      </c>
      <c r="AC5153" s="8">
        <v>0</v>
      </c>
      <c r="AE5153" s="7">
        <v>46045</v>
      </c>
      <c r="AF5153" s="8">
        <v>0</v>
      </c>
      <c r="AH5153" s="7">
        <v>46059</v>
      </c>
      <c r="AN5153" s="8">
        <v>0</v>
      </c>
      <c r="AO5153" s="8">
        <v>12</v>
      </c>
    </row>
    <row r="5154" spans="1:41" x14ac:dyDescent="0.25">
      <c r="A5154" s="6" t="str">
        <f t="shared" si="1369"/>
        <v>525-2026000021</v>
      </c>
      <c r="B5154" s="6" t="str">
        <f t="shared" si="1370"/>
        <v>Lasa Int</v>
      </c>
      <c r="C5154" s="7">
        <v>46038</v>
      </c>
      <c r="D5154" s="7">
        <v>46059</v>
      </c>
      <c r="E5154" s="8">
        <v>12</v>
      </c>
      <c r="F5154" s="6" t="str">
        <f t="shared" si="1371"/>
        <v>Points</v>
      </c>
      <c r="G5154" s="6" t="str">
        <f t="shared" si="1372"/>
        <v>F100021455005514</v>
      </c>
      <c r="H5154" s="6" t="str">
        <f t="shared" si="1373"/>
        <v>FA 214 / 5514 - PURE</v>
      </c>
      <c r="I5154" s="6" t="str">
        <f>"5148"</f>
        <v>5148</v>
      </c>
      <c r="J5154" s="6" t="str">
        <f>"BEGE 5148"</f>
        <v>BEGE 5148</v>
      </c>
      <c r="K5154" s="6" t="str">
        <f>"2020"</f>
        <v>2020</v>
      </c>
      <c r="L5154" s="6" t="str">
        <f>"Lençóis"</f>
        <v>Lençóis</v>
      </c>
      <c r="M5154" s="6" t="str">
        <f>"100x150"</f>
        <v>100x150</v>
      </c>
      <c r="N5154" s="6" t="str">
        <f>"5602972509809"</f>
        <v>5602972509809</v>
      </c>
      <c r="O5154" s="8">
        <v>12</v>
      </c>
      <c r="P5154" s="7">
        <v>46038</v>
      </c>
      <c r="R5154" s="8">
        <v>0</v>
      </c>
      <c r="U5154" s="8">
        <v>0</v>
      </c>
      <c r="X5154" s="8">
        <v>0</v>
      </c>
      <c r="Z5154" s="8">
        <v>0</v>
      </c>
      <c r="AC5154" s="8">
        <v>0</v>
      </c>
      <c r="AE5154" s="7">
        <v>46045</v>
      </c>
      <c r="AF5154" s="8">
        <v>0</v>
      </c>
      <c r="AH5154" s="7">
        <v>46059</v>
      </c>
      <c r="AN5154" s="8">
        <v>0</v>
      </c>
      <c r="AO5154" s="8">
        <v>12</v>
      </c>
    </row>
    <row r="5155" spans="1:41" x14ac:dyDescent="0.25">
      <c r="A5155" s="6" t="str">
        <f t="shared" si="1369"/>
        <v>525-2026000021</v>
      </c>
      <c r="B5155" s="6" t="str">
        <f t="shared" si="1370"/>
        <v>Lasa Int</v>
      </c>
      <c r="C5155" s="7">
        <v>46038</v>
      </c>
      <c r="D5155" s="7">
        <v>46059</v>
      </c>
      <c r="E5155" s="8">
        <v>13</v>
      </c>
      <c r="F5155" s="6" t="str">
        <f t="shared" si="1371"/>
        <v>Points</v>
      </c>
      <c r="G5155" s="6" t="str">
        <f t="shared" si="1372"/>
        <v>F100021455005514</v>
      </c>
      <c r="H5155" s="6" t="str">
        <f t="shared" si="1373"/>
        <v>FA 214 / 5514 - PURE</v>
      </c>
      <c r="I5155" s="6" t="str">
        <f>"5149"</f>
        <v>5149</v>
      </c>
      <c r="J5155" s="6" t="str">
        <f>"VERDE 5149"</f>
        <v>VERDE 5149</v>
      </c>
      <c r="K5155" s="6" t="str">
        <f>"0530"</f>
        <v>0530</v>
      </c>
      <c r="L5155" s="6" t="str">
        <f>"Toalhetes"</f>
        <v>Toalhetes</v>
      </c>
      <c r="M5155" s="6" t="str">
        <f>"33x50"</f>
        <v>33x50</v>
      </c>
      <c r="N5155" s="6" t="str">
        <f>"5602972509694"</f>
        <v>5602972509694</v>
      </c>
      <c r="O5155" s="8">
        <v>36</v>
      </c>
      <c r="P5155" s="7">
        <v>46038</v>
      </c>
      <c r="R5155" s="8">
        <v>0</v>
      </c>
      <c r="U5155" s="8">
        <v>0</v>
      </c>
      <c r="X5155" s="8">
        <v>0</v>
      </c>
      <c r="Z5155" s="8">
        <v>0</v>
      </c>
      <c r="AC5155" s="8">
        <v>0</v>
      </c>
      <c r="AE5155" s="7">
        <v>46045</v>
      </c>
      <c r="AF5155" s="8">
        <v>0</v>
      </c>
      <c r="AH5155" s="7">
        <v>46059</v>
      </c>
      <c r="AN5155" s="8">
        <v>0</v>
      </c>
      <c r="AO5155" s="8">
        <v>36</v>
      </c>
    </row>
    <row r="5156" spans="1:41" x14ac:dyDescent="0.25">
      <c r="A5156" s="6" t="str">
        <f t="shared" si="1369"/>
        <v>525-2026000021</v>
      </c>
      <c r="B5156" s="6" t="str">
        <f t="shared" si="1370"/>
        <v>Lasa Int</v>
      </c>
      <c r="C5156" s="7">
        <v>46038</v>
      </c>
      <c r="D5156" s="7">
        <v>46059</v>
      </c>
      <c r="E5156" s="8">
        <v>14</v>
      </c>
      <c r="F5156" s="6" t="str">
        <f t="shared" si="1371"/>
        <v>Points</v>
      </c>
      <c r="G5156" s="6" t="str">
        <f t="shared" si="1372"/>
        <v>F100021455005514</v>
      </c>
      <c r="H5156" s="6" t="str">
        <f t="shared" si="1373"/>
        <v>FA 214 / 5514 - PURE</v>
      </c>
      <c r="I5156" s="6" t="str">
        <f>"5149"</f>
        <v>5149</v>
      </c>
      <c r="J5156" s="6" t="str">
        <f>"VERDE 5149"</f>
        <v>VERDE 5149</v>
      </c>
      <c r="K5156" s="6" t="str">
        <f>"1024"</f>
        <v>1024</v>
      </c>
      <c r="L5156" s="6" t="str">
        <f>"Toalhas"</f>
        <v>Toalhas</v>
      </c>
      <c r="M5156" s="6" t="str">
        <f>"50x100"</f>
        <v>50x100</v>
      </c>
      <c r="N5156" s="6" t="str">
        <f>"5602972509700"</f>
        <v>5602972509700</v>
      </c>
      <c r="O5156" s="8">
        <v>24</v>
      </c>
      <c r="P5156" s="7">
        <v>46038</v>
      </c>
      <c r="R5156" s="8">
        <v>0</v>
      </c>
      <c r="U5156" s="8">
        <v>0</v>
      </c>
      <c r="X5156" s="8">
        <v>0</v>
      </c>
      <c r="Z5156" s="8">
        <v>0</v>
      </c>
      <c r="AC5156" s="8">
        <v>0</v>
      </c>
      <c r="AE5156" s="7">
        <v>46045</v>
      </c>
      <c r="AF5156" s="8">
        <v>0</v>
      </c>
      <c r="AH5156" s="7">
        <v>46059</v>
      </c>
      <c r="AN5156" s="8">
        <v>0</v>
      </c>
      <c r="AO5156" s="8">
        <v>24</v>
      </c>
    </row>
    <row r="5157" spans="1:41" x14ac:dyDescent="0.25">
      <c r="A5157" s="6" t="str">
        <f t="shared" si="1369"/>
        <v>525-2026000021</v>
      </c>
      <c r="B5157" s="6" t="str">
        <f t="shared" si="1370"/>
        <v>Lasa Int</v>
      </c>
      <c r="C5157" s="7">
        <v>46038</v>
      </c>
      <c r="D5157" s="7">
        <v>46059</v>
      </c>
      <c r="E5157" s="8">
        <v>15</v>
      </c>
      <c r="F5157" s="6" t="str">
        <f t="shared" si="1371"/>
        <v>Points</v>
      </c>
      <c r="G5157" s="6" t="str">
        <f t="shared" si="1372"/>
        <v>F100021455005514</v>
      </c>
      <c r="H5157" s="6" t="str">
        <f t="shared" si="1373"/>
        <v>FA 214 / 5514 - PURE</v>
      </c>
      <c r="I5157" s="6" t="str">
        <f>"5149"</f>
        <v>5149</v>
      </c>
      <c r="J5157" s="6" t="str">
        <f>"VERDE 5149"</f>
        <v>VERDE 5149</v>
      </c>
      <c r="K5157" s="6" t="str">
        <f>"1535"</f>
        <v>1535</v>
      </c>
      <c r="L5157" s="6" t="str">
        <f>"Toalhões"</f>
        <v>Toalhões</v>
      </c>
      <c r="M5157" s="6" t="str">
        <f>"70x140"</f>
        <v>70x140</v>
      </c>
      <c r="N5157" s="6" t="str">
        <f>"5602972509717"</f>
        <v>5602972509717</v>
      </c>
      <c r="O5157" s="8">
        <v>24</v>
      </c>
      <c r="P5157" s="7">
        <v>46038</v>
      </c>
      <c r="R5157" s="8">
        <v>0</v>
      </c>
      <c r="U5157" s="8">
        <v>0</v>
      </c>
      <c r="X5157" s="8">
        <v>0</v>
      </c>
      <c r="Z5157" s="8">
        <v>0</v>
      </c>
      <c r="AC5157" s="8">
        <v>0</v>
      </c>
      <c r="AE5157" s="7">
        <v>46045</v>
      </c>
      <c r="AF5157" s="8">
        <v>0</v>
      </c>
      <c r="AH5157" s="7">
        <v>46059</v>
      </c>
      <c r="AN5157" s="8">
        <v>0</v>
      </c>
      <c r="AO5157" s="8">
        <v>24</v>
      </c>
    </row>
    <row r="5158" spans="1:41" x14ac:dyDescent="0.25">
      <c r="A5158" s="6" t="str">
        <f t="shared" si="1369"/>
        <v>525-2026000021</v>
      </c>
      <c r="B5158" s="6" t="str">
        <f t="shared" si="1370"/>
        <v>Lasa Int</v>
      </c>
      <c r="C5158" s="7">
        <v>46038</v>
      </c>
      <c r="D5158" s="7">
        <v>46059</v>
      </c>
      <c r="E5158" s="8">
        <v>16</v>
      </c>
      <c r="F5158" s="6" t="str">
        <f t="shared" si="1371"/>
        <v>Points</v>
      </c>
      <c r="G5158" s="6" t="str">
        <f t="shared" si="1372"/>
        <v>F100021455005514</v>
      </c>
      <c r="H5158" s="6" t="str">
        <f t="shared" si="1373"/>
        <v>FA 214 / 5514 - PURE</v>
      </c>
      <c r="I5158" s="6" t="str">
        <f>"5149"</f>
        <v>5149</v>
      </c>
      <c r="J5158" s="6" t="str">
        <f>"VERDE 5149"</f>
        <v>VERDE 5149</v>
      </c>
      <c r="K5158" s="6" t="str">
        <f>"2020"</f>
        <v>2020</v>
      </c>
      <c r="L5158" s="6" t="str">
        <f>"Lençóis"</f>
        <v>Lençóis</v>
      </c>
      <c r="M5158" s="6" t="str">
        <f>"100x150"</f>
        <v>100x150</v>
      </c>
      <c r="N5158" s="6" t="str">
        <f>"5602972509724"</f>
        <v>5602972509724</v>
      </c>
      <c r="O5158" s="8">
        <v>24</v>
      </c>
      <c r="P5158" s="7">
        <v>46038</v>
      </c>
      <c r="R5158" s="8">
        <v>0</v>
      </c>
      <c r="U5158" s="8">
        <v>0</v>
      </c>
      <c r="X5158" s="8">
        <v>0</v>
      </c>
      <c r="Z5158" s="8">
        <v>0</v>
      </c>
      <c r="AC5158" s="8">
        <v>0</v>
      </c>
      <c r="AE5158" s="7">
        <v>46045</v>
      </c>
      <c r="AF5158" s="8">
        <v>0</v>
      </c>
      <c r="AH5158" s="7">
        <v>46059</v>
      </c>
      <c r="AN5158" s="8">
        <v>0</v>
      </c>
      <c r="AO5158" s="8">
        <v>24</v>
      </c>
    </row>
    <row r="5159" spans="1:41" x14ac:dyDescent="0.25">
      <c r="A5159" s="6" t="str">
        <f t="shared" si="1369"/>
        <v>525-2026000021</v>
      </c>
      <c r="B5159" s="6" t="str">
        <f t="shared" si="1370"/>
        <v>Lasa Int</v>
      </c>
      <c r="C5159" s="7">
        <v>46038</v>
      </c>
      <c r="D5159" s="7">
        <v>46059</v>
      </c>
      <c r="E5159" s="8">
        <v>17</v>
      </c>
      <c r="F5159" s="6" t="str">
        <f t="shared" si="1371"/>
        <v>Points</v>
      </c>
      <c r="G5159" s="6" t="str">
        <f t="shared" si="1372"/>
        <v>F100021455005514</v>
      </c>
      <c r="H5159" s="6" t="str">
        <f t="shared" si="1373"/>
        <v>FA 214 / 5514 - PURE</v>
      </c>
      <c r="I5159" s="6" t="str">
        <f>"5417"</f>
        <v>5417</v>
      </c>
      <c r="J5159" s="6" t="str">
        <f>"AZUL 5417"</f>
        <v>AZUL 5417</v>
      </c>
      <c r="K5159" s="6" t="str">
        <f>"0530"</f>
        <v>0530</v>
      </c>
      <c r="L5159" s="6" t="str">
        <f>"Toalhetes"</f>
        <v>Toalhetes</v>
      </c>
      <c r="M5159" s="6" t="str">
        <f>"33x50"</f>
        <v>33x50</v>
      </c>
      <c r="N5159" s="6" t="str">
        <f>"5602972509731"</f>
        <v>5602972509731</v>
      </c>
      <c r="O5159" s="8">
        <v>48</v>
      </c>
      <c r="P5159" s="7">
        <v>46038</v>
      </c>
      <c r="R5159" s="8">
        <v>0</v>
      </c>
      <c r="U5159" s="8">
        <v>0</v>
      </c>
      <c r="X5159" s="8">
        <v>0</v>
      </c>
      <c r="Z5159" s="8">
        <v>0</v>
      </c>
      <c r="AC5159" s="8">
        <v>0</v>
      </c>
      <c r="AE5159" s="7">
        <v>46045</v>
      </c>
      <c r="AF5159" s="8">
        <v>0</v>
      </c>
      <c r="AH5159" s="7">
        <v>46059</v>
      </c>
      <c r="AN5159" s="8">
        <v>0</v>
      </c>
      <c r="AO5159" s="8">
        <v>48</v>
      </c>
    </row>
    <row r="5160" spans="1:41" x14ac:dyDescent="0.25">
      <c r="A5160" s="6" t="str">
        <f t="shared" si="1369"/>
        <v>525-2026000021</v>
      </c>
      <c r="B5160" s="6" t="str">
        <f t="shared" si="1370"/>
        <v>Lasa Int</v>
      </c>
      <c r="C5160" s="7">
        <v>46038</v>
      </c>
      <c r="D5160" s="7">
        <v>46059</v>
      </c>
      <c r="E5160" s="8">
        <v>18</v>
      </c>
      <c r="F5160" s="6" t="str">
        <f t="shared" si="1371"/>
        <v>Points</v>
      </c>
      <c r="G5160" s="6" t="str">
        <f t="shared" si="1372"/>
        <v>F100021455005514</v>
      </c>
      <c r="H5160" s="6" t="str">
        <f t="shared" si="1373"/>
        <v>FA 214 / 5514 - PURE</v>
      </c>
      <c r="I5160" s="6" t="str">
        <f>"5417"</f>
        <v>5417</v>
      </c>
      <c r="J5160" s="6" t="str">
        <f>"AZUL 5417"</f>
        <v>AZUL 5417</v>
      </c>
      <c r="K5160" s="6" t="str">
        <f>"1024"</f>
        <v>1024</v>
      </c>
      <c r="L5160" s="6" t="str">
        <f>"Toalhas"</f>
        <v>Toalhas</v>
      </c>
      <c r="M5160" s="6" t="str">
        <f>"50x100"</f>
        <v>50x100</v>
      </c>
      <c r="N5160" s="6" t="str">
        <f>"5602972509748"</f>
        <v>5602972509748</v>
      </c>
      <c r="O5160" s="8">
        <v>48</v>
      </c>
      <c r="P5160" s="7">
        <v>46038</v>
      </c>
      <c r="R5160" s="8">
        <v>0</v>
      </c>
      <c r="U5160" s="8">
        <v>0</v>
      </c>
      <c r="X5160" s="8">
        <v>0</v>
      </c>
      <c r="Z5160" s="8">
        <v>0</v>
      </c>
      <c r="AC5160" s="8">
        <v>0</v>
      </c>
      <c r="AE5160" s="7">
        <v>46045</v>
      </c>
      <c r="AF5160" s="8">
        <v>0</v>
      </c>
      <c r="AH5160" s="7">
        <v>46059</v>
      </c>
      <c r="AN5160" s="8">
        <v>0</v>
      </c>
      <c r="AO5160" s="8">
        <v>48</v>
      </c>
    </row>
    <row r="5161" spans="1:41" x14ac:dyDescent="0.25">
      <c r="A5161" s="6" t="str">
        <f t="shared" si="1369"/>
        <v>525-2026000021</v>
      </c>
      <c r="B5161" s="6" t="str">
        <f t="shared" si="1370"/>
        <v>Lasa Int</v>
      </c>
      <c r="C5161" s="7">
        <v>46038</v>
      </c>
      <c r="D5161" s="7">
        <v>46059</v>
      </c>
      <c r="E5161" s="8">
        <v>19</v>
      </c>
      <c r="F5161" s="6" t="str">
        <f t="shared" si="1371"/>
        <v>Points</v>
      </c>
      <c r="G5161" s="6" t="str">
        <f t="shared" si="1372"/>
        <v>F100021455005514</v>
      </c>
      <c r="H5161" s="6" t="str">
        <f t="shared" si="1373"/>
        <v>FA 214 / 5514 - PURE</v>
      </c>
      <c r="I5161" s="6" t="str">
        <f>"5417"</f>
        <v>5417</v>
      </c>
      <c r="J5161" s="6" t="str">
        <f>"AZUL 5417"</f>
        <v>AZUL 5417</v>
      </c>
      <c r="K5161" s="6" t="str">
        <f>"1535"</f>
        <v>1535</v>
      </c>
      <c r="L5161" s="6" t="str">
        <f>"Toalhões"</f>
        <v>Toalhões</v>
      </c>
      <c r="M5161" s="6" t="str">
        <f>"70x140"</f>
        <v>70x140</v>
      </c>
      <c r="N5161" s="6" t="str">
        <f>"5602972509755"</f>
        <v>5602972509755</v>
      </c>
      <c r="O5161" s="8">
        <v>24</v>
      </c>
      <c r="P5161" s="7">
        <v>46038</v>
      </c>
      <c r="R5161" s="8">
        <v>0</v>
      </c>
      <c r="U5161" s="8">
        <v>0</v>
      </c>
      <c r="X5161" s="8">
        <v>0</v>
      </c>
      <c r="Z5161" s="8">
        <v>0</v>
      </c>
      <c r="AC5161" s="8">
        <v>0</v>
      </c>
      <c r="AE5161" s="7">
        <v>46045</v>
      </c>
      <c r="AF5161" s="8">
        <v>0</v>
      </c>
      <c r="AH5161" s="7">
        <v>46059</v>
      </c>
      <c r="AN5161" s="8">
        <v>0</v>
      </c>
      <c r="AO5161" s="8">
        <v>24</v>
      </c>
    </row>
    <row r="5162" spans="1:41" x14ac:dyDescent="0.25">
      <c r="A5162" s="6" t="str">
        <f t="shared" si="1369"/>
        <v>525-2026000021</v>
      </c>
      <c r="B5162" s="6" t="str">
        <f t="shared" si="1370"/>
        <v>Lasa Int</v>
      </c>
      <c r="C5162" s="7">
        <v>46038</v>
      </c>
      <c r="D5162" s="7">
        <v>46059</v>
      </c>
      <c r="E5162" s="8">
        <v>20</v>
      </c>
      <c r="F5162" s="6" t="str">
        <f t="shared" si="1371"/>
        <v>Points</v>
      </c>
      <c r="G5162" s="6" t="str">
        <f t="shared" si="1372"/>
        <v>F100021455005514</v>
      </c>
      <c r="H5162" s="6" t="str">
        <f t="shared" si="1373"/>
        <v>FA 214 / 5514 - PURE</v>
      </c>
      <c r="I5162" s="6" t="str">
        <f>"5417"</f>
        <v>5417</v>
      </c>
      <c r="J5162" s="6" t="str">
        <f>"AZUL 5417"</f>
        <v>AZUL 5417</v>
      </c>
      <c r="K5162" s="6" t="str">
        <f>"2020"</f>
        <v>2020</v>
      </c>
      <c r="L5162" s="6" t="str">
        <f>"Lençóis"</f>
        <v>Lençóis</v>
      </c>
      <c r="M5162" s="6" t="str">
        <f>"100x150"</f>
        <v>100x150</v>
      </c>
      <c r="N5162" s="6" t="str">
        <f>"5602972509762"</f>
        <v>5602972509762</v>
      </c>
      <c r="O5162" s="8">
        <v>24</v>
      </c>
      <c r="P5162" s="7">
        <v>46038</v>
      </c>
      <c r="R5162" s="8">
        <v>0</v>
      </c>
      <c r="U5162" s="8">
        <v>0</v>
      </c>
      <c r="X5162" s="8">
        <v>0</v>
      </c>
      <c r="Z5162" s="8">
        <v>0</v>
      </c>
      <c r="AC5162" s="8">
        <v>0</v>
      </c>
      <c r="AE5162" s="7">
        <v>46045</v>
      </c>
      <c r="AF5162" s="8">
        <v>0</v>
      </c>
      <c r="AH5162" s="7">
        <v>46059</v>
      </c>
      <c r="AN5162" s="8">
        <v>0</v>
      </c>
      <c r="AO5162" s="8">
        <v>24</v>
      </c>
    </row>
    <row r="5163" spans="1:41" x14ac:dyDescent="0.25">
      <c r="A5163" s="6" t="str">
        <f t="shared" si="1369"/>
        <v>525-2026000021</v>
      </c>
      <c r="B5163" s="6" t="str">
        <f t="shared" si="1370"/>
        <v>Lasa Int</v>
      </c>
      <c r="C5163" s="7">
        <v>46038</v>
      </c>
      <c r="D5163" s="7">
        <v>46059</v>
      </c>
      <c r="E5163" s="8">
        <v>21</v>
      </c>
      <c r="F5163" s="6" t="str">
        <f t="shared" si="1371"/>
        <v>Points</v>
      </c>
      <c r="G5163" s="6" t="str">
        <f t="shared" si="1372"/>
        <v>F100021455005514</v>
      </c>
      <c r="H5163" s="6" t="str">
        <f t="shared" si="1373"/>
        <v>FA 214 / 5514 - PURE</v>
      </c>
      <c r="I5163" s="6" t="str">
        <f>"5855"</f>
        <v>5855</v>
      </c>
      <c r="J5163" s="6" t="str">
        <f>"AMARELO 5855"</f>
        <v>AMARELO 5855</v>
      </c>
      <c r="K5163" s="6" t="str">
        <f>"0530"</f>
        <v>0530</v>
      </c>
      <c r="L5163" s="6" t="str">
        <f>"Toalhetes"</f>
        <v>Toalhetes</v>
      </c>
      <c r="M5163" s="6" t="str">
        <f>"33x50"</f>
        <v>33x50</v>
      </c>
      <c r="N5163" s="6" t="str">
        <f>"5602972509656"</f>
        <v>5602972509656</v>
      </c>
      <c r="O5163" s="8">
        <v>48</v>
      </c>
      <c r="P5163" s="7">
        <v>46038</v>
      </c>
      <c r="R5163" s="8">
        <v>0</v>
      </c>
      <c r="U5163" s="8">
        <v>0</v>
      </c>
      <c r="X5163" s="8">
        <v>0</v>
      </c>
      <c r="Z5163" s="8">
        <v>0</v>
      </c>
      <c r="AC5163" s="8">
        <v>0</v>
      </c>
      <c r="AE5163" s="7">
        <v>46045</v>
      </c>
      <c r="AF5163" s="8">
        <v>0</v>
      </c>
      <c r="AH5163" s="7">
        <v>46059</v>
      </c>
      <c r="AN5163" s="8">
        <v>0</v>
      </c>
      <c r="AO5163" s="8">
        <v>48</v>
      </c>
    </row>
    <row r="5164" spans="1:41" x14ac:dyDescent="0.25">
      <c r="A5164" s="6" t="str">
        <f t="shared" si="1369"/>
        <v>525-2026000021</v>
      </c>
      <c r="B5164" s="6" t="str">
        <f t="shared" si="1370"/>
        <v>Lasa Int</v>
      </c>
      <c r="C5164" s="7">
        <v>46038</v>
      </c>
      <c r="D5164" s="7">
        <v>46059</v>
      </c>
      <c r="E5164" s="8">
        <v>22</v>
      </c>
      <c r="F5164" s="6" t="str">
        <f t="shared" si="1371"/>
        <v>Points</v>
      </c>
      <c r="G5164" s="6" t="str">
        <f t="shared" si="1372"/>
        <v>F100021455005514</v>
      </c>
      <c r="H5164" s="6" t="str">
        <f t="shared" si="1373"/>
        <v>FA 214 / 5514 - PURE</v>
      </c>
      <c r="I5164" s="6" t="str">
        <f>"5855"</f>
        <v>5855</v>
      </c>
      <c r="J5164" s="6" t="str">
        <f>"AMARELO 5855"</f>
        <v>AMARELO 5855</v>
      </c>
      <c r="K5164" s="6" t="str">
        <f>"1024"</f>
        <v>1024</v>
      </c>
      <c r="L5164" s="6" t="str">
        <f>"Toalhas"</f>
        <v>Toalhas</v>
      </c>
      <c r="M5164" s="6" t="str">
        <f>"50x100"</f>
        <v>50x100</v>
      </c>
      <c r="N5164" s="6" t="str">
        <f>"5602972509663"</f>
        <v>5602972509663</v>
      </c>
      <c r="O5164" s="8">
        <v>48</v>
      </c>
      <c r="P5164" s="7">
        <v>46038</v>
      </c>
      <c r="R5164" s="8">
        <v>0</v>
      </c>
      <c r="U5164" s="8">
        <v>0</v>
      </c>
      <c r="X5164" s="8">
        <v>0</v>
      </c>
      <c r="Z5164" s="8">
        <v>0</v>
      </c>
      <c r="AC5164" s="8">
        <v>0</v>
      </c>
      <c r="AE5164" s="7">
        <v>46045</v>
      </c>
      <c r="AF5164" s="8">
        <v>0</v>
      </c>
      <c r="AH5164" s="7">
        <v>46059</v>
      </c>
      <c r="AN5164" s="8">
        <v>0</v>
      </c>
      <c r="AO5164" s="8">
        <v>48</v>
      </c>
    </row>
    <row r="5165" spans="1:41" x14ac:dyDescent="0.25">
      <c r="A5165" s="6" t="str">
        <f t="shared" si="1369"/>
        <v>525-2026000021</v>
      </c>
      <c r="B5165" s="6" t="str">
        <f t="shared" si="1370"/>
        <v>Lasa Int</v>
      </c>
      <c r="C5165" s="7">
        <v>46038</v>
      </c>
      <c r="D5165" s="7">
        <v>46059</v>
      </c>
      <c r="E5165" s="8">
        <v>23</v>
      </c>
      <c r="F5165" s="6" t="str">
        <f t="shared" si="1371"/>
        <v>Points</v>
      </c>
      <c r="G5165" s="6" t="str">
        <f t="shared" si="1372"/>
        <v>F100021455005514</v>
      </c>
      <c r="H5165" s="6" t="str">
        <f t="shared" si="1373"/>
        <v>FA 214 / 5514 - PURE</v>
      </c>
      <c r="I5165" s="6" t="str">
        <f>"5855"</f>
        <v>5855</v>
      </c>
      <c r="J5165" s="6" t="str">
        <f>"AMARELO 5855"</f>
        <v>AMARELO 5855</v>
      </c>
      <c r="K5165" s="6" t="str">
        <f>"1535"</f>
        <v>1535</v>
      </c>
      <c r="L5165" s="6" t="str">
        <f>"Toalhões"</f>
        <v>Toalhões</v>
      </c>
      <c r="M5165" s="6" t="str">
        <f>"70x140"</f>
        <v>70x140</v>
      </c>
      <c r="N5165" s="6" t="str">
        <f>"5602972509670"</f>
        <v>5602972509670</v>
      </c>
      <c r="O5165" s="8">
        <v>24</v>
      </c>
      <c r="P5165" s="7">
        <v>46038</v>
      </c>
      <c r="R5165" s="8">
        <v>0</v>
      </c>
      <c r="U5165" s="8">
        <v>0</v>
      </c>
      <c r="X5165" s="8">
        <v>0</v>
      </c>
      <c r="Z5165" s="8">
        <v>0</v>
      </c>
      <c r="AC5165" s="8">
        <v>0</v>
      </c>
      <c r="AE5165" s="7">
        <v>46045</v>
      </c>
      <c r="AF5165" s="8">
        <v>0</v>
      </c>
      <c r="AH5165" s="7">
        <v>46059</v>
      </c>
      <c r="AN5165" s="8">
        <v>0</v>
      </c>
      <c r="AO5165" s="8">
        <v>24</v>
      </c>
    </row>
    <row r="5166" spans="1:41" x14ac:dyDescent="0.25">
      <c r="A5166" s="6" t="str">
        <f t="shared" si="1369"/>
        <v>525-2026000021</v>
      </c>
      <c r="B5166" s="6" t="str">
        <f t="shared" si="1370"/>
        <v>Lasa Int</v>
      </c>
      <c r="C5166" s="7">
        <v>46038</v>
      </c>
      <c r="D5166" s="7">
        <v>46059</v>
      </c>
      <c r="E5166" s="8">
        <v>24</v>
      </c>
      <c r="F5166" s="6" t="str">
        <f t="shared" si="1371"/>
        <v>Points</v>
      </c>
      <c r="G5166" s="6" t="str">
        <f t="shared" si="1372"/>
        <v>F100021455005514</v>
      </c>
      <c r="H5166" s="6" t="str">
        <f t="shared" si="1373"/>
        <v>FA 214 / 5514 - PURE</v>
      </c>
      <c r="I5166" s="6" t="str">
        <f>"5855"</f>
        <v>5855</v>
      </c>
      <c r="J5166" s="6" t="str">
        <f>"AMARELO 5855"</f>
        <v>AMARELO 5855</v>
      </c>
      <c r="K5166" s="6" t="str">
        <f>"2020"</f>
        <v>2020</v>
      </c>
      <c r="L5166" s="6" t="str">
        <f>"Lençóis"</f>
        <v>Lençóis</v>
      </c>
      <c r="M5166" s="6" t="str">
        <f>"100x150"</f>
        <v>100x150</v>
      </c>
      <c r="N5166" s="6" t="str">
        <f>"5602972509687"</f>
        <v>5602972509687</v>
      </c>
      <c r="O5166" s="8">
        <v>24</v>
      </c>
      <c r="P5166" s="7">
        <v>46038</v>
      </c>
      <c r="R5166" s="8">
        <v>0</v>
      </c>
      <c r="U5166" s="8">
        <v>0</v>
      </c>
      <c r="X5166" s="8">
        <v>0</v>
      </c>
      <c r="Z5166" s="8">
        <v>0</v>
      </c>
      <c r="AC5166" s="8">
        <v>0</v>
      </c>
      <c r="AE5166" s="7">
        <v>46045</v>
      </c>
      <c r="AF5166" s="8">
        <v>0</v>
      </c>
      <c r="AH5166" s="7">
        <v>46059</v>
      </c>
      <c r="AN5166" s="8">
        <v>0</v>
      </c>
      <c r="AO5166" s="8">
        <v>24</v>
      </c>
    </row>
    <row r="5167" spans="1:41" x14ac:dyDescent="0.25">
      <c r="A5167" s="6" t="str">
        <f t="shared" ref="A5167:A5182" si="1374">"525-2026000022"</f>
        <v>525-2026000022</v>
      </c>
      <c r="B5167" s="6" t="str">
        <f t="shared" si="1370"/>
        <v>Lasa Int</v>
      </c>
      <c r="C5167" s="7">
        <v>46041</v>
      </c>
      <c r="D5167" s="7">
        <v>46108</v>
      </c>
      <c r="E5167" s="8">
        <v>1</v>
      </c>
      <c r="F5167" s="6" t="str">
        <f t="shared" ref="F5167:F5182" si="1375">"Pat+Spot"</f>
        <v>Pat+Spot</v>
      </c>
      <c r="G5167" s="6" t="str">
        <f>"C001187126000000"</f>
        <v>C001187126000000</v>
      </c>
      <c r="H5167" s="6" t="str">
        <f>"CZJ 1871 - 260 g/m²"</f>
        <v>CZJ 1871 - 260 g/m²</v>
      </c>
      <c r="I5167" s="6" t="str">
        <f>"201132"</f>
        <v>201132</v>
      </c>
      <c r="J5167" s="6" t="str">
        <f>"AZUL 1132"</f>
        <v>AZUL 1132</v>
      </c>
      <c r="K5167" s="6" t="str">
        <f t="shared" ref="K5167:K5174" si="1376">"0830"</f>
        <v>0830</v>
      </c>
      <c r="L5167" s="6" t="str">
        <f t="shared" ref="L5167:L5182" si="1377">"Cozinha"</f>
        <v>Cozinha</v>
      </c>
      <c r="M5167" s="6" t="str">
        <f t="shared" ref="M5167:M5174" si="1378">"50x70"</f>
        <v>50x70</v>
      </c>
      <c r="N5167" s="6" t="str">
        <f>"5602972652123"</f>
        <v>5602972652123</v>
      </c>
      <c r="O5167" s="8">
        <v>400</v>
      </c>
      <c r="P5167" s="7">
        <v>46080</v>
      </c>
      <c r="R5167" s="8">
        <v>0</v>
      </c>
      <c r="S5167" s="7">
        <v>46085</v>
      </c>
      <c r="U5167" s="8">
        <v>0</v>
      </c>
      <c r="V5167" s="7">
        <v>46092</v>
      </c>
      <c r="X5167" s="8">
        <v>0</v>
      </c>
      <c r="Z5167" s="8">
        <v>0</v>
      </c>
      <c r="AA5167" s="7">
        <v>46106</v>
      </c>
      <c r="AC5167" s="8">
        <v>0</v>
      </c>
      <c r="AE5167" s="7">
        <v>46111</v>
      </c>
      <c r="AF5167" s="8">
        <v>0</v>
      </c>
      <c r="AH5167" s="7">
        <v>46108</v>
      </c>
      <c r="AN5167" s="8">
        <v>0</v>
      </c>
      <c r="AO5167" s="8">
        <v>400</v>
      </c>
    </row>
    <row r="5168" spans="1:41" x14ac:dyDescent="0.25">
      <c r="A5168" s="6" t="str">
        <f t="shared" si="1374"/>
        <v>525-2026000022</v>
      </c>
      <c r="B5168" s="6" t="str">
        <f t="shared" si="1370"/>
        <v>Lasa Int</v>
      </c>
      <c r="C5168" s="7">
        <v>46041</v>
      </c>
      <c r="D5168" s="7">
        <v>46108</v>
      </c>
      <c r="E5168" s="8">
        <v>2</v>
      </c>
      <c r="F5168" s="6" t="str">
        <f t="shared" si="1375"/>
        <v>Pat+Spot</v>
      </c>
      <c r="G5168" s="6" t="str">
        <f>"C001187126000000"</f>
        <v>C001187126000000</v>
      </c>
      <c r="H5168" s="6" t="str">
        <f>"CZJ 1871 - 260 g/m²"</f>
        <v>CZJ 1871 - 260 g/m²</v>
      </c>
      <c r="I5168" s="6" t="str">
        <f>"202332"</f>
        <v>202332</v>
      </c>
      <c r="J5168" s="6" t="str">
        <f>"CINZA 2332"</f>
        <v>CINZA 2332</v>
      </c>
      <c r="K5168" s="6" t="str">
        <f t="shared" si="1376"/>
        <v>0830</v>
      </c>
      <c r="L5168" s="6" t="str">
        <f t="shared" si="1377"/>
        <v>Cozinha</v>
      </c>
      <c r="M5168" s="6" t="str">
        <f t="shared" si="1378"/>
        <v>50x70</v>
      </c>
      <c r="N5168" s="6" t="str">
        <f>"5602972652130"</f>
        <v>5602972652130</v>
      </c>
      <c r="O5168" s="8">
        <v>700</v>
      </c>
      <c r="P5168" s="7">
        <v>46080</v>
      </c>
      <c r="R5168" s="8">
        <v>0</v>
      </c>
      <c r="S5168" s="7">
        <v>46085</v>
      </c>
      <c r="U5168" s="8">
        <v>0</v>
      </c>
      <c r="V5168" s="7">
        <v>46092</v>
      </c>
      <c r="X5168" s="8">
        <v>0</v>
      </c>
      <c r="Z5168" s="8">
        <v>0</v>
      </c>
      <c r="AA5168" s="7">
        <v>46106</v>
      </c>
      <c r="AC5168" s="8">
        <v>0</v>
      </c>
      <c r="AE5168" s="7">
        <v>46111</v>
      </c>
      <c r="AF5168" s="8">
        <v>0</v>
      </c>
      <c r="AH5168" s="7">
        <v>46108</v>
      </c>
      <c r="AN5168" s="8">
        <v>0</v>
      </c>
      <c r="AO5168" s="8">
        <v>700</v>
      </c>
    </row>
    <row r="5169" spans="1:41" x14ac:dyDescent="0.25">
      <c r="A5169" s="6" t="str">
        <f t="shared" si="1374"/>
        <v>525-2026000022</v>
      </c>
      <c r="B5169" s="6" t="str">
        <f t="shared" si="1370"/>
        <v>Lasa Int</v>
      </c>
      <c r="C5169" s="7">
        <v>46041</v>
      </c>
      <c r="D5169" s="7">
        <v>46108</v>
      </c>
      <c r="E5169" s="8">
        <v>3</v>
      </c>
      <c r="F5169" s="6" t="str">
        <f t="shared" si="1375"/>
        <v>Pat+Spot</v>
      </c>
      <c r="G5169" s="6" t="str">
        <f>"C001187126000000"</f>
        <v>C001187126000000</v>
      </c>
      <c r="H5169" s="6" t="str">
        <f>"CZJ 1871 - 260 g/m²"</f>
        <v>CZJ 1871 - 260 g/m²</v>
      </c>
      <c r="I5169" s="6" t="str">
        <f>"202995"</f>
        <v>202995</v>
      </c>
      <c r="J5169" s="6" t="str">
        <f>"BORDEAUX 2995"</f>
        <v>BORDEAUX 2995</v>
      </c>
      <c r="K5169" s="6" t="str">
        <f t="shared" si="1376"/>
        <v>0830</v>
      </c>
      <c r="L5169" s="6" t="str">
        <f t="shared" si="1377"/>
        <v>Cozinha</v>
      </c>
      <c r="M5169" s="6" t="str">
        <f t="shared" si="1378"/>
        <v>50x70</v>
      </c>
      <c r="N5169" s="6" t="str">
        <f>"5602972652147"</f>
        <v>5602972652147</v>
      </c>
      <c r="O5169" s="8">
        <v>500</v>
      </c>
      <c r="P5169" s="7">
        <v>46080</v>
      </c>
      <c r="R5169" s="8">
        <v>0</v>
      </c>
      <c r="S5169" s="7">
        <v>46085</v>
      </c>
      <c r="U5169" s="8">
        <v>0</v>
      </c>
      <c r="V5169" s="7">
        <v>46092</v>
      </c>
      <c r="X5169" s="8">
        <v>0</v>
      </c>
      <c r="Z5169" s="8">
        <v>0</v>
      </c>
      <c r="AA5169" s="7">
        <v>46106</v>
      </c>
      <c r="AC5169" s="8">
        <v>0</v>
      </c>
      <c r="AE5169" s="7">
        <v>46111</v>
      </c>
      <c r="AF5169" s="8">
        <v>0</v>
      </c>
      <c r="AH5169" s="7">
        <v>46108</v>
      </c>
      <c r="AN5169" s="8">
        <v>0</v>
      </c>
      <c r="AO5169" s="8">
        <v>500</v>
      </c>
    </row>
    <row r="5170" spans="1:41" x14ac:dyDescent="0.25">
      <c r="A5170" s="6" t="str">
        <f t="shared" si="1374"/>
        <v>525-2026000022</v>
      </c>
      <c r="B5170" s="6" t="str">
        <f t="shared" si="1370"/>
        <v>Lasa Int</v>
      </c>
      <c r="C5170" s="7">
        <v>46041</v>
      </c>
      <c r="D5170" s="7">
        <v>46108</v>
      </c>
      <c r="E5170" s="8">
        <v>4</v>
      </c>
      <c r="F5170" s="6" t="str">
        <f t="shared" si="1375"/>
        <v>Pat+Spot</v>
      </c>
      <c r="G5170" s="6" t="str">
        <f>"C001187126000000"</f>
        <v>C001187126000000</v>
      </c>
      <c r="H5170" s="6" t="str">
        <f>"CZJ 1871 - 260 g/m²"</f>
        <v>CZJ 1871 - 260 g/m²</v>
      </c>
      <c r="I5170" s="6" t="str">
        <f>"203044"</f>
        <v>203044</v>
      </c>
      <c r="J5170" s="6" t="str">
        <f>"CASTANHO 3044"</f>
        <v>CASTANHO 3044</v>
      </c>
      <c r="K5170" s="6" t="str">
        <f t="shared" si="1376"/>
        <v>0830</v>
      </c>
      <c r="L5170" s="6" t="str">
        <f t="shared" si="1377"/>
        <v>Cozinha</v>
      </c>
      <c r="M5170" s="6" t="str">
        <f t="shared" si="1378"/>
        <v>50x70</v>
      </c>
      <c r="N5170" s="6" t="str">
        <f>"5602972652154"</f>
        <v>5602972652154</v>
      </c>
      <c r="O5170" s="8">
        <v>600</v>
      </c>
      <c r="P5170" s="7">
        <v>46080</v>
      </c>
      <c r="R5170" s="8">
        <v>0</v>
      </c>
      <c r="S5170" s="7">
        <v>46085</v>
      </c>
      <c r="U5170" s="8">
        <v>0</v>
      </c>
      <c r="V5170" s="7">
        <v>46092</v>
      </c>
      <c r="X5170" s="8">
        <v>0</v>
      </c>
      <c r="Z5170" s="8">
        <v>0</v>
      </c>
      <c r="AA5170" s="7">
        <v>46106</v>
      </c>
      <c r="AC5170" s="8">
        <v>0</v>
      </c>
      <c r="AE5170" s="7">
        <v>46111</v>
      </c>
      <c r="AF5170" s="8">
        <v>0</v>
      </c>
      <c r="AH5170" s="7">
        <v>46108</v>
      </c>
      <c r="AN5170" s="8">
        <v>0</v>
      </c>
      <c r="AO5170" s="8">
        <v>600</v>
      </c>
    </row>
    <row r="5171" spans="1:41" x14ac:dyDescent="0.25">
      <c r="A5171" s="6" t="str">
        <f t="shared" si="1374"/>
        <v>525-2026000022</v>
      </c>
      <c r="B5171" s="6" t="str">
        <f t="shared" si="1370"/>
        <v>Lasa Int</v>
      </c>
      <c r="C5171" s="7">
        <v>46041</v>
      </c>
      <c r="D5171" s="7">
        <v>46108</v>
      </c>
      <c r="E5171" s="8">
        <v>5</v>
      </c>
      <c r="F5171" s="6" t="str">
        <f t="shared" si="1375"/>
        <v>Pat+Spot</v>
      </c>
      <c r="G5171" s="6" t="str">
        <f>"C001187226000000"</f>
        <v>C001187226000000</v>
      </c>
      <c r="H5171" s="6" t="str">
        <f>"CZJ 1872 - 260 g/m²"</f>
        <v>CZJ 1872 - 260 g/m²</v>
      </c>
      <c r="I5171" s="6" t="str">
        <f>"201132"</f>
        <v>201132</v>
      </c>
      <c r="J5171" s="6" t="str">
        <f>"AZUL 1132"</f>
        <v>AZUL 1132</v>
      </c>
      <c r="K5171" s="6" t="str">
        <f t="shared" si="1376"/>
        <v>0830</v>
      </c>
      <c r="L5171" s="6" t="str">
        <f t="shared" si="1377"/>
        <v>Cozinha</v>
      </c>
      <c r="M5171" s="6" t="str">
        <f t="shared" si="1378"/>
        <v>50x70</v>
      </c>
      <c r="N5171" s="6" t="str">
        <f>"5602972652048"</f>
        <v>5602972652048</v>
      </c>
      <c r="O5171" s="8">
        <v>700</v>
      </c>
      <c r="P5171" s="7">
        <v>46080</v>
      </c>
      <c r="R5171" s="8">
        <v>0</v>
      </c>
      <c r="S5171" s="7">
        <v>46085</v>
      </c>
      <c r="U5171" s="8">
        <v>0</v>
      </c>
      <c r="V5171" s="7">
        <v>46092</v>
      </c>
      <c r="X5171" s="8">
        <v>0</v>
      </c>
      <c r="Z5171" s="8">
        <v>0</v>
      </c>
      <c r="AA5171" s="7">
        <v>46106</v>
      </c>
      <c r="AC5171" s="8">
        <v>0</v>
      </c>
      <c r="AE5171" s="7">
        <v>46111</v>
      </c>
      <c r="AF5171" s="8">
        <v>0</v>
      </c>
      <c r="AH5171" s="7">
        <v>46108</v>
      </c>
      <c r="AN5171" s="8">
        <v>0</v>
      </c>
      <c r="AO5171" s="8">
        <v>700</v>
      </c>
    </row>
    <row r="5172" spans="1:41" x14ac:dyDescent="0.25">
      <c r="A5172" s="6" t="str">
        <f t="shared" si="1374"/>
        <v>525-2026000022</v>
      </c>
      <c r="B5172" s="6" t="str">
        <f t="shared" si="1370"/>
        <v>Lasa Int</v>
      </c>
      <c r="C5172" s="7">
        <v>46041</v>
      </c>
      <c r="D5172" s="7">
        <v>46108</v>
      </c>
      <c r="E5172" s="8">
        <v>6</v>
      </c>
      <c r="F5172" s="6" t="str">
        <f t="shared" si="1375"/>
        <v>Pat+Spot</v>
      </c>
      <c r="G5172" s="6" t="str">
        <f>"C001187226000000"</f>
        <v>C001187226000000</v>
      </c>
      <c r="H5172" s="6" t="str">
        <f>"CZJ 1872 - 260 g/m²"</f>
        <v>CZJ 1872 - 260 g/m²</v>
      </c>
      <c r="I5172" s="6" t="str">
        <f>"202332"</f>
        <v>202332</v>
      </c>
      <c r="J5172" s="6" t="str">
        <f>"CINZA 2332"</f>
        <v>CINZA 2332</v>
      </c>
      <c r="K5172" s="6" t="str">
        <f t="shared" si="1376"/>
        <v>0830</v>
      </c>
      <c r="L5172" s="6" t="str">
        <f t="shared" si="1377"/>
        <v>Cozinha</v>
      </c>
      <c r="M5172" s="6" t="str">
        <f t="shared" si="1378"/>
        <v>50x70</v>
      </c>
      <c r="N5172" s="6" t="str">
        <f>"5602972652055"</f>
        <v>5602972652055</v>
      </c>
      <c r="O5172" s="8">
        <v>900</v>
      </c>
      <c r="P5172" s="7">
        <v>46080</v>
      </c>
      <c r="R5172" s="8">
        <v>0</v>
      </c>
      <c r="S5172" s="7">
        <v>46085</v>
      </c>
      <c r="U5172" s="8">
        <v>0</v>
      </c>
      <c r="V5172" s="7">
        <v>46092</v>
      </c>
      <c r="X5172" s="8">
        <v>0</v>
      </c>
      <c r="Z5172" s="8">
        <v>0</v>
      </c>
      <c r="AA5172" s="7">
        <v>46106</v>
      </c>
      <c r="AC5172" s="8">
        <v>0</v>
      </c>
      <c r="AE5172" s="7">
        <v>46111</v>
      </c>
      <c r="AF5172" s="8">
        <v>0</v>
      </c>
      <c r="AH5172" s="7">
        <v>46108</v>
      </c>
      <c r="AN5172" s="8">
        <v>0</v>
      </c>
      <c r="AO5172" s="8">
        <v>900</v>
      </c>
    </row>
    <row r="5173" spans="1:41" x14ac:dyDescent="0.25">
      <c r="A5173" s="6" t="str">
        <f t="shared" si="1374"/>
        <v>525-2026000022</v>
      </c>
      <c r="B5173" s="6" t="str">
        <f t="shared" si="1370"/>
        <v>Lasa Int</v>
      </c>
      <c r="C5173" s="7">
        <v>46041</v>
      </c>
      <c r="D5173" s="7">
        <v>46108</v>
      </c>
      <c r="E5173" s="8">
        <v>7</v>
      </c>
      <c r="F5173" s="6" t="str">
        <f t="shared" si="1375"/>
        <v>Pat+Spot</v>
      </c>
      <c r="G5173" s="6" t="str">
        <f>"C001187226000000"</f>
        <v>C001187226000000</v>
      </c>
      <c r="H5173" s="6" t="str">
        <f>"CZJ 1872 - 260 g/m²"</f>
        <v>CZJ 1872 - 260 g/m²</v>
      </c>
      <c r="I5173" s="6" t="str">
        <f>"202995"</f>
        <v>202995</v>
      </c>
      <c r="J5173" s="6" t="str">
        <f>"BORDEAUX 2995"</f>
        <v>BORDEAUX 2995</v>
      </c>
      <c r="K5173" s="6" t="str">
        <f t="shared" si="1376"/>
        <v>0830</v>
      </c>
      <c r="L5173" s="6" t="str">
        <f t="shared" si="1377"/>
        <v>Cozinha</v>
      </c>
      <c r="M5173" s="6" t="str">
        <f t="shared" si="1378"/>
        <v>50x70</v>
      </c>
      <c r="N5173" s="6" t="str">
        <f>"5602972652062"</f>
        <v>5602972652062</v>
      </c>
      <c r="O5173" s="8">
        <v>600</v>
      </c>
      <c r="P5173" s="7">
        <v>46080</v>
      </c>
      <c r="R5173" s="8">
        <v>0</v>
      </c>
      <c r="S5173" s="7">
        <v>46085</v>
      </c>
      <c r="U5173" s="8">
        <v>0</v>
      </c>
      <c r="V5173" s="7">
        <v>46092</v>
      </c>
      <c r="X5173" s="8">
        <v>0</v>
      </c>
      <c r="Z5173" s="8">
        <v>0</v>
      </c>
      <c r="AA5173" s="7">
        <v>46106</v>
      </c>
      <c r="AC5173" s="8">
        <v>0</v>
      </c>
      <c r="AE5173" s="7">
        <v>46111</v>
      </c>
      <c r="AF5173" s="8">
        <v>0</v>
      </c>
      <c r="AH5173" s="7">
        <v>46108</v>
      </c>
      <c r="AN5173" s="8">
        <v>0</v>
      </c>
      <c r="AO5173" s="8">
        <v>600</v>
      </c>
    </row>
    <row r="5174" spans="1:41" x14ac:dyDescent="0.25">
      <c r="A5174" s="6" t="str">
        <f t="shared" si="1374"/>
        <v>525-2026000022</v>
      </c>
      <c r="B5174" s="6" t="str">
        <f t="shared" si="1370"/>
        <v>Lasa Int</v>
      </c>
      <c r="C5174" s="7">
        <v>46041</v>
      </c>
      <c r="D5174" s="7">
        <v>46108</v>
      </c>
      <c r="E5174" s="8">
        <v>8</v>
      </c>
      <c r="F5174" s="6" t="str">
        <f t="shared" si="1375"/>
        <v>Pat+Spot</v>
      </c>
      <c r="G5174" s="6" t="str">
        <f>"C001187226000000"</f>
        <v>C001187226000000</v>
      </c>
      <c r="H5174" s="6" t="str">
        <f>"CZJ 1872 - 260 g/m²"</f>
        <v>CZJ 1872 - 260 g/m²</v>
      </c>
      <c r="I5174" s="6" t="str">
        <f>"203044"</f>
        <v>203044</v>
      </c>
      <c r="J5174" s="6" t="str">
        <f>"CASTANHO 3044"</f>
        <v>CASTANHO 3044</v>
      </c>
      <c r="K5174" s="6" t="str">
        <f t="shared" si="1376"/>
        <v>0830</v>
      </c>
      <c r="L5174" s="6" t="str">
        <f t="shared" si="1377"/>
        <v>Cozinha</v>
      </c>
      <c r="M5174" s="6" t="str">
        <f t="shared" si="1378"/>
        <v>50x70</v>
      </c>
      <c r="N5174" s="6" t="str">
        <f>"5602972652079"</f>
        <v>5602972652079</v>
      </c>
      <c r="O5174" s="8">
        <v>1000</v>
      </c>
      <c r="P5174" s="7">
        <v>46080</v>
      </c>
      <c r="R5174" s="8">
        <v>0</v>
      </c>
      <c r="S5174" s="7">
        <v>46085</v>
      </c>
      <c r="U5174" s="8">
        <v>0</v>
      </c>
      <c r="V5174" s="7">
        <v>46092</v>
      </c>
      <c r="X5174" s="8">
        <v>0</v>
      </c>
      <c r="Z5174" s="8">
        <v>0</v>
      </c>
      <c r="AA5174" s="7">
        <v>46106</v>
      </c>
      <c r="AC5174" s="8">
        <v>0</v>
      </c>
      <c r="AE5174" s="7">
        <v>46111</v>
      </c>
      <c r="AF5174" s="8">
        <v>0</v>
      </c>
      <c r="AH5174" s="7">
        <v>46108</v>
      </c>
      <c r="AN5174" s="8">
        <v>0</v>
      </c>
      <c r="AO5174" s="8">
        <v>1000</v>
      </c>
    </row>
    <row r="5175" spans="1:41" x14ac:dyDescent="0.25">
      <c r="A5175" s="6" t="str">
        <f t="shared" si="1374"/>
        <v>525-2026000022</v>
      </c>
      <c r="B5175" s="6" t="str">
        <f t="shared" si="1370"/>
        <v>Lasa Int</v>
      </c>
      <c r="C5175" s="7">
        <v>46041</v>
      </c>
      <c r="D5175" s="7">
        <v>46108</v>
      </c>
      <c r="E5175" s="8">
        <v>9</v>
      </c>
      <c r="F5175" s="6" t="str">
        <f t="shared" si="1375"/>
        <v>Pat+Spot</v>
      </c>
      <c r="G5175" s="6" t="str">
        <f>"F330228844000000"</f>
        <v>F330228844000000</v>
      </c>
      <c r="H5175" s="6" t="str">
        <f>"PLA 2288 - 440 g/m²"</f>
        <v>PLA 2288 - 440 g/m²</v>
      </c>
      <c r="I5175" s="6" t="str">
        <f>"201132"</f>
        <v>201132</v>
      </c>
      <c r="J5175" s="6" t="str">
        <f>"AZUL 1132"</f>
        <v>AZUL 1132</v>
      </c>
      <c r="K5175" s="6" t="str">
        <f t="shared" ref="K5175:K5182" si="1379">"0820"</f>
        <v>0820</v>
      </c>
      <c r="L5175" s="6" t="str">
        <f t="shared" si="1377"/>
        <v>Cozinha</v>
      </c>
      <c r="M5175" s="6" t="str">
        <f t="shared" ref="M5175:M5182" si="1380">"50x50"</f>
        <v>50x50</v>
      </c>
      <c r="N5175" s="6" t="str">
        <f>"5602972652086"</f>
        <v>5602972652086</v>
      </c>
      <c r="O5175" s="8">
        <v>500</v>
      </c>
      <c r="P5175" s="7">
        <v>46080</v>
      </c>
      <c r="R5175" s="8">
        <v>0</v>
      </c>
      <c r="S5175" s="7">
        <v>46085</v>
      </c>
      <c r="U5175" s="8">
        <v>0</v>
      </c>
      <c r="V5175" s="7">
        <v>46092</v>
      </c>
      <c r="X5175" s="8">
        <v>0</v>
      </c>
      <c r="Z5175" s="8">
        <v>0</v>
      </c>
      <c r="AA5175" s="7">
        <v>46106</v>
      </c>
      <c r="AC5175" s="8">
        <v>0</v>
      </c>
      <c r="AE5175" s="7">
        <v>46111</v>
      </c>
      <c r="AF5175" s="8">
        <v>0</v>
      </c>
      <c r="AH5175" s="7">
        <v>46108</v>
      </c>
      <c r="AN5175" s="8">
        <v>0</v>
      </c>
      <c r="AO5175" s="8">
        <v>500</v>
      </c>
    </row>
    <row r="5176" spans="1:41" x14ac:dyDescent="0.25">
      <c r="A5176" s="6" t="str">
        <f t="shared" si="1374"/>
        <v>525-2026000022</v>
      </c>
      <c r="B5176" s="6" t="str">
        <f t="shared" si="1370"/>
        <v>Lasa Int</v>
      </c>
      <c r="C5176" s="7">
        <v>46041</v>
      </c>
      <c r="D5176" s="7">
        <v>46108</v>
      </c>
      <c r="E5176" s="8">
        <v>10</v>
      </c>
      <c r="F5176" s="6" t="str">
        <f t="shared" si="1375"/>
        <v>Pat+Spot</v>
      </c>
      <c r="G5176" s="6" t="str">
        <f>"F330228844000000"</f>
        <v>F330228844000000</v>
      </c>
      <c r="H5176" s="6" t="str">
        <f>"PLA 2288 - 440 g/m²"</f>
        <v>PLA 2288 - 440 g/m²</v>
      </c>
      <c r="I5176" s="6" t="str">
        <f>"202332"</f>
        <v>202332</v>
      </c>
      <c r="J5176" s="6" t="str">
        <f>"CINZA 2332"</f>
        <v>CINZA 2332</v>
      </c>
      <c r="K5176" s="6" t="str">
        <f t="shared" si="1379"/>
        <v>0820</v>
      </c>
      <c r="L5176" s="6" t="str">
        <f t="shared" si="1377"/>
        <v>Cozinha</v>
      </c>
      <c r="M5176" s="6" t="str">
        <f t="shared" si="1380"/>
        <v>50x50</v>
      </c>
      <c r="N5176" s="6" t="str">
        <f>"5602972652093"</f>
        <v>5602972652093</v>
      </c>
      <c r="O5176" s="8">
        <v>1000</v>
      </c>
      <c r="P5176" s="7">
        <v>46080</v>
      </c>
      <c r="R5176" s="8">
        <v>0</v>
      </c>
      <c r="S5176" s="7">
        <v>46085</v>
      </c>
      <c r="U5176" s="8">
        <v>0</v>
      </c>
      <c r="V5176" s="7">
        <v>46092</v>
      </c>
      <c r="X5176" s="8">
        <v>0</v>
      </c>
      <c r="Z5176" s="8">
        <v>0</v>
      </c>
      <c r="AA5176" s="7">
        <v>46106</v>
      </c>
      <c r="AC5176" s="8">
        <v>0</v>
      </c>
      <c r="AE5176" s="7">
        <v>46111</v>
      </c>
      <c r="AF5176" s="8">
        <v>0</v>
      </c>
      <c r="AH5176" s="7">
        <v>46108</v>
      </c>
      <c r="AN5176" s="8">
        <v>0</v>
      </c>
      <c r="AO5176" s="8">
        <v>1000</v>
      </c>
    </row>
    <row r="5177" spans="1:41" x14ac:dyDescent="0.25">
      <c r="A5177" s="6" t="str">
        <f t="shared" si="1374"/>
        <v>525-2026000022</v>
      </c>
      <c r="B5177" s="6" t="str">
        <f t="shared" si="1370"/>
        <v>Lasa Int</v>
      </c>
      <c r="C5177" s="7">
        <v>46041</v>
      </c>
      <c r="D5177" s="7">
        <v>46108</v>
      </c>
      <c r="E5177" s="8">
        <v>11</v>
      </c>
      <c r="F5177" s="6" t="str">
        <f t="shared" si="1375"/>
        <v>Pat+Spot</v>
      </c>
      <c r="G5177" s="6" t="str">
        <f>"F330228844000000"</f>
        <v>F330228844000000</v>
      </c>
      <c r="H5177" s="6" t="str">
        <f>"PLA 2288 - 440 g/m²"</f>
        <v>PLA 2288 - 440 g/m²</v>
      </c>
      <c r="I5177" s="6" t="str">
        <f>"202995"</f>
        <v>202995</v>
      </c>
      <c r="J5177" s="6" t="str">
        <f>"BORDEAUX 2995"</f>
        <v>BORDEAUX 2995</v>
      </c>
      <c r="K5177" s="6" t="str">
        <f t="shared" si="1379"/>
        <v>0820</v>
      </c>
      <c r="L5177" s="6" t="str">
        <f t="shared" si="1377"/>
        <v>Cozinha</v>
      </c>
      <c r="M5177" s="6" t="str">
        <f t="shared" si="1380"/>
        <v>50x50</v>
      </c>
      <c r="N5177" s="6" t="str">
        <f>"5602972652109"</f>
        <v>5602972652109</v>
      </c>
      <c r="O5177" s="8">
        <v>400</v>
      </c>
      <c r="P5177" s="7">
        <v>46080</v>
      </c>
      <c r="R5177" s="8">
        <v>0</v>
      </c>
      <c r="S5177" s="7">
        <v>46085</v>
      </c>
      <c r="U5177" s="8">
        <v>0</v>
      </c>
      <c r="V5177" s="7">
        <v>46092</v>
      </c>
      <c r="X5177" s="8">
        <v>0</v>
      </c>
      <c r="Z5177" s="8">
        <v>0</v>
      </c>
      <c r="AA5177" s="7">
        <v>46106</v>
      </c>
      <c r="AC5177" s="8">
        <v>0</v>
      </c>
      <c r="AE5177" s="7">
        <v>46111</v>
      </c>
      <c r="AF5177" s="8">
        <v>0</v>
      </c>
      <c r="AH5177" s="7">
        <v>46108</v>
      </c>
      <c r="AN5177" s="8">
        <v>0</v>
      </c>
      <c r="AO5177" s="8">
        <v>400</v>
      </c>
    </row>
    <row r="5178" spans="1:41" x14ac:dyDescent="0.25">
      <c r="A5178" s="6" t="str">
        <f t="shared" si="1374"/>
        <v>525-2026000022</v>
      </c>
      <c r="B5178" s="6" t="str">
        <f t="shared" si="1370"/>
        <v>Lasa Int</v>
      </c>
      <c r="C5178" s="7">
        <v>46041</v>
      </c>
      <c r="D5178" s="7">
        <v>46108</v>
      </c>
      <c r="E5178" s="8">
        <v>12</v>
      </c>
      <c r="F5178" s="6" t="str">
        <f t="shared" si="1375"/>
        <v>Pat+Spot</v>
      </c>
      <c r="G5178" s="6" t="str">
        <f>"F330228844000000"</f>
        <v>F330228844000000</v>
      </c>
      <c r="H5178" s="6" t="str">
        <f>"PLA 2288 - 440 g/m²"</f>
        <v>PLA 2288 - 440 g/m²</v>
      </c>
      <c r="I5178" s="6" t="str">
        <f>"203044"</f>
        <v>203044</v>
      </c>
      <c r="J5178" s="6" t="str">
        <f>"CASTANHO 3044"</f>
        <v>CASTANHO 3044</v>
      </c>
      <c r="K5178" s="6" t="str">
        <f t="shared" si="1379"/>
        <v>0820</v>
      </c>
      <c r="L5178" s="6" t="str">
        <f t="shared" si="1377"/>
        <v>Cozinha</v>
      </c>
      <c r="M5178" s="6" t="str">
        <f t="shared" si="1380"/>
        <v>50x50</v>
      </c>
      <c r="N5178" s="6" t="str">
        <f>"5602972652116"</f>
        <v>5602972652116</v>
      </c>
      <c r="O5178" s="8">
        <v>800</v>
      </c>
      <c r="P5178" s="7">
        <v>46080</v>
      </c>
      <c r="R5178" s="8">
        <v>0</v>
      </c>
      <c r="S5178" s="7">
        <v>46085</v>
      </c>
      <c r="U5178" s="8">
        <v>0</v>
      </c>
      <c r="V5178" s="7">
        <v>46092</v>
      </c>
      <c r="X5178" s="8">
        <v>0</v>
      </c>
      <c r="Z5178" s="8">
        <v>0</v>
      </c>
      <c r="AA5178" s="7">
        <v>46106</v>
      </c>
      <c r="AC5178" s="8">
        <v>0</v>
      </c>
      <c r="AE5178" s="7">
        <v>46111</v>
      </c>
      <c r="AF5178" s="8">
        <v>0</v>
      </c>
      <c r="AH5178" s="7">
        <v>46108</v>
      </c>
      <c r="AN5178" s="8">
        <v>0</v>
      </c>
      <c r="AO5178" s="8">
        <v>800</v>
      </c>
    </row>
    <row r="5179" spans="1:41" x14ac:dyDescent="0.25">
      <c r="A5179" s="6" t="str">
        <f t="shared" si="1374"/>
        <v>525-2026000022</v>
      </c>
      <c r="B5179" s="6" t="str">
        <f t="shared" si="1370"/>
        <v>Lasa Int</v>
      </c>
      <c r="C5179" s="7">
        <v>46041</v>
      </c>
      <c r="D5179" s="7">
        <v>46108</v>
      </c>
      <c r="E5179" s="8">
        <v>13</v>
      </c>
      <c r="F5179" s="6" t="str">
        <f t="shared" si="1375"/>
        <v>Pat+Spot</v>
      </c>
      <c r="G5179" s="6" t="str">
        <f>"F330228944000000"</f>
        <v>F330228944000000</v>
      </c>
      <c r="H5179" s="6" t="str">
        <f>"PLA 2289 - 440 g/m²"</f>
        <v>PLA 2289 - 440 g/m²</v>
      </c>
      <c r="I5179" s="6" t="str">
        <f>"201132"</f>
        <v>201132</v>
      </c>
      <c r="J5179" s="6" t="str">
        <f>"AZUL 1132"</f>
        <v>AZUL 1132</v>
      </c>
      <c r="K5179" s="6" t="str">
        <f t="shared" si="1379"/>
        <v>0820</v>
      </c>
      <c r="L5179" s="6" t="str">
        <f t="shared" si="1377"/>
        <v>Cozinha</v>
      </c>
      <c r="M5179" s="6" t="str">
        <f t="shared" si="1380"/>
        <v>50x50</v>
      </c>
      <c r="N5179" s="6" t="str">
        <f>"5602972652000"</f>
        <v>5602972652000</v>
      </c>
      <c r="O5179" s="8">
        <v>400</v>
      </c>
      <c r="P5179" s="7">
        <v>46080</v>
      </c>
      <c r="R5179" s="8">
        <v>0</v>
      </c>
      <c r="S5179" s="7">
        <v>46085</v>
      </c>
      <c r="U5179" s="8">
        <v>0</v>
      </c>
      <c r="V5179" s="7">
        <v>46092</v>
      </c>
      <c r="X5179" s="8">
        <v>0</v>
      </c>
      <c r="Z5179" s="8">
        <v>0</v>
      </c>
      <c r="AA5179" s="7">
        <v>46106</v>
      </c>
      <c r="AC5179" s="8">
        <v>0</v>
      </c>
      <c r="AE5179" s="7">
        <v>46111</v>
      </c>
      <c r="AF5179" s="8">
        <v>0</v>
      </c>
      <c r="AH5179" s="7">
        <v>46108</v>
      </c>
      <c r="AN5179" s="8">
        <v>0</v>
      </c>
      <c r="AO5179" s="8">
        <v>400</v>
      </c>
    </row>
    <row r="5180" spans="1:41" x14ac:dyDescent="0.25">
      <c r="A5180" s="6" t="str">
        <f t="shared" si="1374"/>
        <v>525-2026000022</v>
      </c>
      <c r="B5180" s="6" t="str">
        <f t="shared" si="1370"/>
        <v>Lasa Int</v>
      </c>
      <c r="C5180" s="7">
        <v>46041</v>
      </c>
      <c r="D5180" s="7">
        <v>46108</v>
      </c>
      <c r="E5180" s="8">
        <v>14</v>
      </c>
      <c r="F5180" s="6" t="str">
        <f t="shared" si="1375"/>
        <v>Pat+Spot</v>
      </c>
      <c r="G5180" s="6" t="str">
        <f>"F330228944000000"</f>
        <v>F330228944000000</v>
      </c>
      <c r="H5180" s="6" t="str">
        <f>"PLA 2289 - 440 g/m²"</f>
        <v>PLA 2289 - 440 g/m²</v>
      </c>
      <c r="I5180" s="6" t="str">
        <f>"202332"</f>
        <v>202332</v>
      </c>
      <c r="J5180" s="6" t="str">
        <f>"CINZA 2332"</f>
        <v>CINZA 2332</v>
      </c>
      <c r="K5180" s="6" t="str">
        <f t="shared" si="1379"/>
        <v>0820</v>
      </c>
      <c r="L5180" s="6" t="str">
        <f t="shared" si="1377"/>
        <v>Cozinha</v>
      </c>
      <c r="M5180" s="6" t="str">
        <f t="shared" si="1380"/>
        <v>50x50</v>
      </c>
      <c r="N5180" s="6" t="str">
        <f>"5602972652017"</f>
        <v>5602972652017</v>
      </c>
      <c r="O5180" s="8">
        <v>400</v>
      </c>
      <c r="P5180" s="7">
        <v>46080</v>
      </c>
      <c r="R5180" s="8">
        <v>0</v>
      </c>
      <c r="S5180" s="7">
        <v>46085</v>
      </c>
      <c r="U5180" s="8">
        <v>0</v>
      </c>
      <c r="V5180" s="7">
        <v>46092</v>
      </c>
      <c r="X5180" s="8">
        <v>0</v>
      </c>
      <c r="Z5180" s="8">
        <v>0</v>
      </c>
      <c r="AA5180" s="7">
        <v>46106</v>
      </c>
      <c r="AC5180" s="8">
        <v>0</v>
      </c>
      <c r="AE5180" s="7">
        <v>46111</v>
      </c>
      <c r="AF5180" s="8">
        <v>0</v>
      </c>
      <c r="AH5180" s="7">
        <v>46108</v>
      </c>
      <c r="AN5180" s="8">
        <v>0</v>
      </c>
      <c r="AO5180" s="8">
        <v>400</v>
      </c>
    </row>
    <row r="5181" spans="1:41" x14ac:dyDescent="0.25">
      <c r="A5181" s="6" t="str">
        <f t="shared" si="1374"/>
        <v>525-2026000022</v>
      </c>
      <c r="B5181" s="6" t="str">
        <f t="shared" si="1370"/>
        <v>Lasa Int</v>
      </c>
      <c r="C5181" s="7">
        <v>46041</v>
      </c>
      <c r="D5181" s="7">
        <v>46108</v>
      </c>
      <c r="E5181" s="8">
        <v>15</v>
      </c>
      <c r="F5181" s="6" t="str">
        <f t="shared" si="1375"/>
        <v>Pat+Spot</v>
      </c>
      <c r="G5181" s="6" t="str">
        <f>"F330228944000000"</f>
        <v>F330228944000000</v>
      </c>
      <c r="H5181" s="6" t="str">
        <f>"PLA 2289 - 440 g/m²"</f>
        <v>PLA 2289 - 440 g/m²</v>
      </c>
      <c r="I5181" s="6" t="str">
        <f>"202995"</f>
        <v>202995</v>
      </c>
      <c r="J5181" s="6" t="str">
        <f>"BORDEAUX 2995"</f>
        <v>BORDEAUX 2995</v>
      </c>
      <c r="K5181" s="6" t="str">
        <f t="shared" si="1379"/>
        <v>0820</v>
      </c>
      <c r="L5181" s="6" t="str">
        <f t="shared" si="1377"/>
        <v>Cozinha</v>
      </c>
      <c r="M5181" s="6" t="str">
        <f t="shared" si="1380"/>
        <v>50x50</v>
      </c>
      <c r="N5181" s="6" t="str">
        <f>"5602972652024"</f>
        <v>5602972652024</v>
      </c>
      <c r="O5181" s="8">
        <v>400</v>
      </c>
      <c r="P5181" s="7">
        <v>46080</v>
      </c>
      <c r="R5181" s="8">
        <v>0</v>
      </c>
      <c r="S5181" s="7">
        <v>46085</v>
      </c>
      <c r="U5181" s="8">
        <v>0</v>
      </c>
      <c r="V5181" s="7">
        <v>46092</v>
      </c>
      <c r="X5181" s="8">
        <v>0</v>
      </c>
      <c r="Z5181" s="8">
        <v>0</v>
      </c>
      <c r="AA5181" s="7">
        <v>46106</v>
      </c>
      <c r="AC5181" s="8">
        <v>0</v>
      </c>
      <c r="AE5181" s="7">
        <v>46111</v>
      </c>
      <c r="AF5181" s="8">
        <v>0</v>
      </c>
      <c r="AH5181" s="7">
        <v>46108</v>
      </c>
      <c r="AN5181" s="8">
        <v>0</v>
      </c>
      <c r="AO5181" s="8">
        <v>400</v>
      </c>
    </row>
    <row r="5182" spans="1:41" x14ac:dyDescent="0.25">
      <c r="A5182" s="6" t="str">
        <f t="shared" si="1374"/>
        <v>525-2026000022</v>
      </c>
      <c r="B5182" s="6" t="str">
        <f t="shared" si="1370"/>
        <v>Lasa Int</v>
      </c>
      <c r="C5182" s="7">
        <v>46041</v>
      </c>
      <c r="D5182" s="7">
        <v>46108</v>
      </c>
      <c r="E5182" s="8">
        <v>16</v>
      </c>
      <c r="F5182" s="6" t="str">
        <f t="shared" si="1375"/>
        <v>Pat+Spot</v>
      </c>
      <c r="G5182" s="6" t="str">
        <f>"F330228944000000"</f>
        <v>F330228944000000</v>
      </c>
      <c r="H5182" s="6" t="str">
        <f>"PLA 2289 - 440 g/m²"</f>
        <v>PLA 2289 - 440 g/m²</v>
      </c>
      <c r="I5182" s="6" t="str">
        <f>"203044"</f>
        <v>203044</v>
      </c>
      <c r="J5182" s="6" t="str">
        <f>"CASTANHO 3044"</f>
        <v>CASTANHO 3044</v>
      </c>
      <c r="K5182" s="6" t="str">
        <f t="shared" si="1379"/>
        <v>0820</v>
      </c>
      <c r="L5182" s="6" t="str">
        <f t="shared" si="1377"/>
        <v>Cozinha</v>
      </c>
      <c r="M5182" s="6" t="str">
        <f t="shared" si="1380"/>
        <v>50x50</v>
      </c>
      <c r="N5182" s="6" t="str">
        <f>"5602972652031"</f>
        <v>5602972652031</v>
      </c>
      <c r="O5182" s="8">
        <v>900</v>
      </c>
      <c r="P5182" s="7">
        <v>46080</v>
      </c>
      <c r="R5182" s="8">
        <v>0</v>
      </c>
      <c r="S5182" s="7">
        <v>46085</v>
      </c>
      <c r="U5182" s="8">
        <v>0</v>
      </c>
      <c r="V5182" s="7">
        <v>46092</v>
      </c>
      <c r="X5182" s="8">
        <v>0</v>
      </c>
      <c r="Z5182" s="8">
        <v>0</v>
      </c>
      <c r="AA5182" s="7">
        <v>46106</v>
      </c>
      <c r="AC5182" s="8">
        <v>0</v>
      </c>
      <c r="AE5182" s="7">
        <v>46111</v>
      </c>
      <c r="AF5182" s="8">
        <v>0</v>
      </c>
      <c r="AH5182" s="7">
        <v>46108</v>
      </c>
      <c r="AN5182" s="8">
        <v>0</v>
      </c>
      <c r="AO5182" s="8">
        <v>900</v>
      </c>
    </row>
    <row r="5183" spans="1:41" x14ac:dyDescent="0.25">
      <c r="A5183" s="6" t="str">
        <f t="shared" ref="A5183:A5188" si="1381">"525-2026000023"</f>
        <v>525-2026000023</v>
      </c>
      <c r="B5183" s="6" t="str">
        <f t="shared" ref="B5183:B5188" si="1382">"ARMANDO"</f>
        <v>ARMANDO</v>
      </c>
      <c r="C5183" s="7">
        <v>46042</v>
      </c>
      <c r="D5183" s="7">
        <v>46072</v>
      </c>
      <c r="E5183" s="8">
        <v>1</v>
      </c>
      <c r="F5183" s="6" t="str">
        <f t="shared" ref="F5183:F5188" si="1383">"Hotel"</f>
        <v>Hotel</v>
      </c>
      <c r="G5183" s="6" t="str">
        <f>"F160036440010000"</f>
        <v>F160036440010000</v>
      </c>
      <c r="H5183" s="6" t="str">
        <f>"L 364 - 400 g/m² (HO"</f>
        <v>L 364 - 400 g/m² (HO</v>
      </c>
      <c r="I5183" s="6" t="str">
        <f t="shared" ref="I5183:I5188" si="1384">"1"</f>
        <v>1</v>
      </c>
      <c r="J5183" s="6" t="str">
        <f t="shared" ref="J5183:J5188" si="1385">"BRANCO"</f>
        <v>BRANCO</v>
      </c>
      <c r="K5183" s="6" t="str">
        <f>"0330"</f>
        <v>0330</v>
      </c>
      <c r="L5183" s="6" t="str">
        <f>"Panos"</f>
        <v>Panos</v>
      </c>
      <c r="M5183" s="6" t="str">
        <f>"33x33"</f>
        <v>33x33</v>
      </c>
      <c r="N5183" s="6" t="str">
        <f>"5602972265347"</f>
        <v>5602972265347</v>
      </c>
      <c r="O5183" s="8">
        <v>1200</v>
      </c>
      <c r="P5183" s="7">
        <v>46042</v>
      </c>
      <c r="R5183" s="8">
        <v>0</v>
      </c>
      <c r="S5183" s="7">
        <v>46045</v>
      </c>
      <c r="U5183" s="8">
        <v>0</v>
      </c>
      <c r="V5183" s="7">
        <v>46056</v>
      </c>
      <c r="X5183" s="8">
        <v>0</v>
      </c>
      <c r="Z5183" s="8">
        <v>0</v>
      </c>
      <c r="AA5183" s="7">
        <v>46066</v>
      </c>
      <c r="AC5183" s="8">
        <v>0</v>
      </c>
      <c r="AE5183" s="7">
        <v>46072</v>
      </c>
      <c r="AF5183" s="8">
        <v>0</v>
      </c>
      <c r="AH5183" s="7">
        <v>46072</v>
      </c>
      <c r="AN5183" s="8">
        <v>0</v>
      </c>
      <c r="AO5183" s="8">
        <v>1200</v>
      </c>
    </row>
    <row r="5184" spans="1:41" x14ac:dyDescent="0.25">
      <c r="A5184" s="6" t="str">
        <f t="shared" si="1381"/>
        <v>525-2026000023</v>
      </c>
      <c r="B5184" s="6" t="str">
        <f t="shared" si="1382"/>
        <v>ARMANDO</v>
      </c>
      <c r="C5184" s="7">
        <v>46042</v>
      </c>
      <c r="D5184" s="7">
        <v>46072</v>
      </c>
      <c r="E5184" s="8">
        <v>2</v>
      </c>
      <c r="F5184" s="6" t="str">
        <f t="shared" si="1383"/>
        <v>Hotel</v>
      </c>
      <c r="G5184" s="6" t="str">
        <f>"F160036440010000"</f>
        <v>F160036440010000</v>
      </c>
      <c r="H5184" s="6" t="str">
        <f>"L 364 - 400 g/m² (HO"</f>
        <v>L 364 - 400 g/m² (HO</v>
      </c>
      <c r="I5184" s="6" t="str">
        <f t="shared" si="1384"/>
        <v>1</v>
      </c>
      <c r="J5184" s="6" t="str">
        <f t="shared" si="1385"/>
        <v>BRANCO</v>
      </c>
      <c r="K5184" s="6" t="str">
        <f>"1024"</f>
        <v>1024</v>
      </c>
      <c r="L5184" s="6" t="str">
        <f>"Toalhas"</f>
        <v>Toalhas</v>
      </c>
      <c r="M5184" s="6" t="str">
        <f>"50x100"</f>
        <v>50x100</v>
      </c>
      <c r="N5184" s="6" t="str">
        <f>"5602972265361"</f>
        <v>5602972265361</v>
      </c>
      <c r="O5184" s="8">
        <v>240</v>
      </c>
      <c r="P5184" s="7">
        <v>46042</v>
      </c>
      <c r="R5184" s="8">
        <v>0</v>
      </c>
      <c r="S5184" s="7">
        <v>46045</v>
      </c>
      <c r="U5184" s="8">
        <v>0</v>
      </c>
      <c r="V5184" s="7">
        <v>46056</v>
      </c>
      <c r="X5184" s="8">
        <v>0</v>
      </c>
      <c r="Z5184" s="8">
        <v>0</v>
      </c>
      <c r="AA5184" s="7">
        <v>46066</v>
      </c>
      <c r="AC5184" s="8">
        <v>0</v>
      </c>
      <c r="AE5184" s="7">
        <v>46072</v>
      </c>
      <c r="AF5184" s="8">
        <v>0</v>
      </c>
      <c r="AH5184" s="7">
        <v>46072</v>
      </c>
      <c r="AN5184" s="8">
        <v>0</v>
      </c>
      <c r="AO5184" s="8">
        <v>240</v>
      </c>
    </row>
    <row r="5185" spans="1:41" x14ac:dyDescent="0.25">
      <c r="A5185" s="6" t="str">
        <f t="shared" si="1381"/>
        <v>525-2026000023</v>
      </c>
      <c r="B5185" s="6" t="str">
        <f t="shared" si="1382"/>
        <v>ARMANDO</v>
      </c>
      <c r="C5185" s="7">
        <v>46042</v>
      </c>
      <c r="D5185" s="7">
        <v>46072</v>
      </c>
      <c r="E5185" s="8">
        <v>3</v>
      </c>
      <c r="F5185" s="6" t="str">
        <f t="shared" si="1383"/>
        <v>Hotel</v>
      </c>
      <c r="G5185" s="6" t="str">
        <f>"F160051555000002"</f>
        <v>F160051555000002</v>
      </c>
      <c r="H5185" s="6" t="str">
        <f>"L 515 - 550 g/m² (CE"</f>
        <v>L 515 - 550 g/m² (CE</v>
      </c>
      <c r="I5185" s="6" t="str">
        <f t="shared" si="1384"/>
        <v>1</v>
      </c>
      <c r="J5185" s="6" t="str">
        <f t="shared" si="1385"/>
        <v>BRANCO</v>
      </c>
      <c r="K5185" s="6" t="str">
        <f>"0330"</f>
        <v>0330</v>
      </c>
      <c r="L5185" s="6" t="str">
        <f>"Panos"</f>
        <v>Panos</v>
      </c>
      <c r="M5185" s="6" t="str">
        <f>"33x33"</f>
        <v>33x33</v>
      </c>
      <c r="N5185" s="6" t="str">
        <f>"5602972265163"</f>
        <v>5602972265163</v>
      </c>
      <c r="O5185" s="8">
        <v>480</v>
      </c>
      <c r="P5185" s="7">
        <v>46042</v>
      </c>
      <c r="R5185" s="8">
        <v>0</v>
      </c>
      <c r="S5185" s="7">
        <v>46045</v>
      </c>
      <c r="U5185" s="8">
        <v>0</v>
      </c>
      <c r="V5185" s="7">
        <v>46056</v>
      </c>
      <c r="X5185" s="8">
        <v>0</v>
      </c>
      <c r="Z5185" s="8">
        <v>0</v>
      </c>
      <c r="AA5185" s="7">
        <v>46066</v>
      </c>
      <c r="AC5185" s="8">
        <v>0</v>
      </c>
      <c r="AE5185" s="7">
        <v>46072</v>
      </c>
      <c r="AF5185" s="8">
        <v>0</v>
      </c>
      <c r="AH5185" s="7">
        <v>46072</v>
      </c>
      <c r="AN5185" s="8">
        <v>0</v>
      </c>
      <c r="AO5185" s="8">
        <v>480</v>
      </c>
    </row>
    <row r="5186" spans="1:41" x14ac:dyDescent="0.25">
      <c r="A5186" s="6" t="str">
        <f t="shared" si="1381"/>
        <v>525-2026000023</v>
      </c>
      <c r="B5186" s="6" t="str">
        <f t="shared" si="1382"/>
        <v>ARMANDO</v>
      </c>
      <c r="C5186" s="7">
        <v>46042</v>
      </c>
      <c r="D5186" s="7">
        <v>46072</v>
      </c>
      <c r="E5186" s="8">
        <v>4</v>
      </c>
      <c r="F5186" s="6" t="str">
        <f t="shared" si="1383"/>
        <v>Hotel</v>
      </c>
      <c r="G5186" s="6" t="str">
        <f>"F160051555000002"</f>
        <v>F160051555000002</v>
      </c>
      <c r="H5186" s="6" t="str">
        <f>"L 515 - 550 g/m² (CE"</f>
        <v>L 515 - 550 g/m² (CE</v>
      </c>
      <c r="I5186" s="6" t="str">
        <f t="shared" si="1384"/>
        <v>1</v>
      </c>
      <c r="J5186" s="6" t="str">
        <f t="shared" si="1385"/>
        <v>BRANCO</v>
      </c>
      <c r="K5186" s="6" t="str">
        <f>"1024"</f>
        <v>1024</v>
      </c>
      <c r="L5186" s="6" t="str">
        <f>"Toalhas"</f>
        <v>Toalhas</v>
      </c>
      <c r="M5186" s="6" t="str">
        <f>"50x100"</f>
        <v>50x100</v>
      </c>
      <c r="N5186" s="6" t="str">
        <f>"5602972265187"</f>
        <v>5602972265187</v>
      </c>
      <c r="O5186" s="8">
        <v>240</v>
      </c>
      <c r="P5186" s="7">
        <v>46042</v>
      </c>
      <c r="R5186" s="8">
        <v>0</v>
      </c>
      <c r="S5186" s="7">
        <v>46045</v>
      </c>
      <c r="U5186" s="8">
        <v>0</v>
      </c>
      <c r="V5186" s="7">
        <v>46056</v>
      </c>
      <c r="X5186" s="8">
        <v>0</v>
      </c>
      <c r="Z5186" s="8">
        <v>0</v>
      </c>
      <c r="AA5186" s="7">
        <v>46066</v>
      </c>
      <c r="AC5186" s="8">
        <v>0</v>
      </c>
      <c r="AE5186" s="7">
        <v>46072</v>
      </c>
      <c r="AF5186" s="8">
        <v>0</v>
      </c>
      <c r="AH5186" s="7">
        <v>46072</v>
      </c>
      <c r="AN5186" s="8">
        <v>0</v>
      </c>
      <c r="AO5186" s="8">
        <v>240</v>
      </c>
    </row>
    <row r="5187" spans="1:41" x14ac:dyDescent="0.25">
      <c r="A5187" s="6" t="str">
        <f t="shared" si="1381"/>
        <v>525-2026000023</v>
      </c>
      <c r="B5187" s="6" t="str">
        <f t="shared" si="1382"/>
        <v>ARMANDO</v>
      </c>
      <c r="C5187" s="7">
        <v>46042</v>
      </c>
      <c r="D5187" s="7">
        <v>46072</v>
      </c>
      <c r="E5187" s="8">
        <v>5</v>
      </c>
      <c r="F5187" s="6" t="str">
        <f t="shared" si="1383"/>
        <v>Hotel</v>
      </c>
      <c r="G5187" s="6" t="str">
        <f>"F160051555000002"</f>
        <v>F160051555000002</v>
      </c>
      <c r="H5187" s="6" t="str">
        <f>"L 515 - 550 g/m² (CE"</f>
        <v>L 515 - 550 g/m² (CE</v>
      </c>
      <c r="I5187" s="6" t="str">
        <f t="shared" si="1384"/>
        <v>1</v>
      </c>
      <c r="J5187" s="6" t="str">
        <f t="shared" si="1385"/>
        <v>BRANCO</v>
      </c>
      <c r="K5187" s="6" t="str">
        <f>"2020"</f>
        <v>2020</v>
      </c>
      <c r="L5187" s="6" t="str">
        <f>"Lençóis"</f>
        <v>Lençóis</v>
      </c>
      <c r="M5187" s="6" t="str">
        <f>"100x150"</f>
        <v>100x150</v>
      </c>
      <c r="N5187" s="6" t="str">
        <f>"5602972265200"</f>
        <v>5602972265200</v>
      </c>
      <c r="O5187" s="8">
        <v>120</v>
      </c>
      <c r="P5187" s="7">
        <v>46042</v>
      </c>
      <c r="R5187" s="8">
        <v>0</v>
      </c>
      <c r="S5187" s="7">
        <v>46045</v>
      </c>
      <c r="U5187" s="8">
        <v>0</v>
      </c>
      <c r="V5187" s="7">
        <v>46056</v>
      </c>
      <c r="X5187" s="8">
        <v>0</v>
      </c>
      <c r="Z5187" s="8">
        <v>0</v>
      </c>
      <c r="AA5187" s="7">
        <v>46066</v>
      </c>
      <c r="AC5187" s="8">
        <v>0</v>
      </c>
      <c r="AE5187" s="7">
        <v>46072</v>
      </c>
      <c r="AF5187" s="8">
        <v>0</v>
      </c>
      <c r="AH5187" s="7">
        <v>46072</v>
      </c>
      <c r="AN5187" s="8">
        <v>0</v>
      </c>
      <c r="AO5187" s="8">
        <v>120</v>
      </c>
    </row>
    <row r="5188" spans="1:41" x14ac:dyDescent="0.25">
      <c r="A5188" s="6" t="str">
        <f t="shared" si="1381"/>
        <v>525-2026000023</v>
      </c>
      <c r="B5188" s="6" t="str">
        <f t="shared" si="1382"/>
        <v>ARMANDO</v>
      </c>
      <c r="C5188" s="7">
        <v>46042</v>
      </c>
      <c r="D5188" s="7">
        <v>46072</v>
      </c>
      <c r="E5188" s="8">
        <v>6</v>
      </c>
      <c r="F5188" s="6" t="str">
        <f t="shared" si="1383"/>
        <v>Hotel</v>
      </c>
      <c r="G5188" s="6" t="str">
        <f>"F161027070000000"</f>
        <v>F161027070000000</v>
      </c>
      <c r="H5188" s="6" t="str">
        <f>"TA 270 - 700 g/m² (C"</f>
        <v>TA 270 - 700 g/m² (C</v>
      </c>
      <c r="I5188" s="6" t="str">
        <f t="shared" si="1384"/>
        <v>1</v>
      </c>
      <c r="J5188" s="6" t="str">
        <f t="shared" si="1385"/>
        <v>BRANCO</v>
      </c>
      <c r="K5188" s="6" t="str">
        <f>"3012"</f>
        <v>3012</v>
      </c>
      <c r="L5188" s="6" t="str">
        <f>"Tapetes"</f>
        <v>Tapetes</v>
      </c>
      <c r="M5188" s="6" t="str">
        <f>"50x70"</f>
        <v>50x70</v>
      </c>
      <c r="N5188" s="6" t="str">
        <f>"5602972265217"</f>
        <v>5602972265217</v>
      </c>
      <c r="O5188" s="8">
        <v>204</v>
      </c>
      <c r="P5188" s="7">
        <v>46042</v>
      </c>
      <c r="R5188" s="8">
        <v>0</v>
      </c>
      <c r="S5188" s="7">
        <v>46045</v>
      </c>
      <c r="U5188" s="8">
        <v>0</v>
      </c>
      <c r="V5188" s="7">
        <v>46056</v>
      </c>
      <c r="X5188" s="8">
        <v>0</v>
      </c>
      <c r="Z5188" s="8">
        <v>0</v>
      </c>
      <c r="AA5188" s="7">
        <v>46066</v>
      </c>
      <c r="AC5188" s="8">
        <v>0</v>
      </c>
      <c r="AE5188" s="7">
        <v>46072</v>
      </c>
      <c r="AF5188" s="8">
        <v>0</v>
      </c>
      <c r="AH5188" s="7">
        <v>46072</v>
      </c>
      <c r="AN5188" s="8">
        <v>0</v>
      </c>
      <c r="AO5188" s="8">
        <v>204</v>
      </c>
    </row>
    <row r="5189" spans="1:41" x14ac:dyDescent="0.25">
      <c r="A5189" s="6" t="str">
        <f>"525-2026000024"</f>
        <v>525-2026000024</v>
      </c>
      <c r="B5189" s="6" t="str">
        <f>"Lasa Int"</f>
        <v>Lasa Int</v>
      </c>
      <c r="C5189" s="7">
        <v>46042</v>
      </c>
      <c r="D5189" s="7">
        <v>46051</v>
      </c>
      <c r="E5189" s="8">
        <v>1</v>
      </c>
      <c r="F5189" s="6" t="str">
        <f>"Animais"</f>
        <v>Animais</v>
      </c>
      <c r="G5189" s="6" t="str">
        <f>"F110271050004315"</f>
        <v>F110271050004315</v>
      </c>
      <c r="H5189" s="6" t="str">
        <f>"FAJ 2710 / 4315 - 50"</f>
        <v>FAJ 2710 / 4315 - 50</v>
      </c>
      <c r="I5189" s="6" t="str">
        <f>"2992"</f>
        <v>2992</v>
      </c>
      <c r="J5189" s="6" t="str">
        <f>"CINZA 2992"</f>
        <v>CINZA 2992</v>
      </c>
      <c r="K5189" s="6" t="str">
        <f>"0520"</f>
        <v>0520</v>
      </c>
      <c r="L5189" s="6" t="str">
        <f>"Toalhetes"</f>
        <v>Toalhetes</v>
      </c>
      <c r="M5189" s="6" t="str">
        <f>"30x50"</f>
        <v>30x50</v>
      </c>
      <c r="N5189" s="6" t="str">
        <f>"5605247936324"</f>
        <v>5605247936324</v>
      </c>
      <c r="O5189" s="8">
        <v>12</v>
      </c>
      <c r="P5189" s="7">
        <v>46042</v>
      </c>
      <c r="R5189" s="8">
        <v>0</v>
      </c>
      <c r="U5189" s="8">
        <v>0</v>
      </c>
      <c r="X5189" s="8">
        <v>0</v>
      </c>
      <c r="Z5189" s="8">
        <v>0</v>
      </c>
      <c r="AC5189" s="8">
        <v>0</v>
      </c>
      <c r="AE5189" s="7">
        <v>46049</v>
      </c>
      <c r="AF5189" s="8">
        <v>0</v>
      </c>
      <c r="AH5189" s="7">
        <v>46051</v>
      </c>
      <c r="AN5189" s="8">
        <v>0</v>
      </c>
      <c r="AO5189" s="8">
        <v>12</v>
      </c>
    </row>
    <row r="5190" spans="1:41" x14ac:dyDescent="0.25">
      <c r="A5190" s="6" t="str">
        <f>"525-2026000024"</f>
        <v>525-2026000024</v>
      </c>
      <c r="B5190" s="6" t="str">
        <f>"Lasa Int"</f>
        <v>Lasa Int</v>
      </c>
      <c r="C5190" s="7">
        <v>46042</v>
      </c>
      <c r="D5190" s="7">
        <v>46051</v>
      </c>
      <c r="E5190" s="8">
        <v>2</v>
      </c>
      <c r="F5190" s="6" t="str">
        <f>"Animais"</f>
        <v>Animais</v>
      </c>
      <c r="G5190" s="6" t="str">
        <f>"F110271050004318"</f>
        <v>F110271050004318</v>
      </c>
      <c r="H5190" s="6" t="str">
        <f>"FAJ 2710 / 4318 - 50"</f>
        <v>FAJ 2710 / 4318 - 50</v>
      </c>
      <c r="I5190" s="6" t="str">
        <f>"2992"</f>
        <v>2992</v>
      </c>
      <c r="J5190" s="6" t="str">
        <f>"CINZA 2992"</f>
        <v>CINZA 2992</v>
      </c>
      <c r="K5190" s="6" t="str">
        <f>"0520"</f>
        <v>0520</v>
      </c>
      <c r="L5190" s="6" t="str">
        <f>"Toalhetes"</f>
        <v>Toalhetes</v>
      </c>
      <c r="M5190" s="6" t="str">
        <f>"30x50"</f>
        <v>30x50</v>
      </c>
      <c r="N5190" s="6" t="str">
        <f>"5605247936386"</f>
        <v>5605247936386</v>
      </c>
      <c r="O5190" s="8">
        <v>12</v>
      </c>
      <c r="P5190" s="7">
        <v>46042</v>
      </c>
      <c r="R5190" s="8">
        <v>0</v>
      </c>
      <c r="U5190" s="8">
        <v>0</v>
      </c>
      <c r="X5190" s="8">
        <v>0</v>
      </c>
      <c r="Z5190" s="8">
        <v>0</v>
      </c>
      <c r="AC5190" s="8">
        <v>0</v>
      </c>
      <c r="AE5190" s="7">
        <v>46049</v>
      </c>
      <c r="AF5190" s="8">
        <v>0</v>
      </c>
      <c r="AH5190" s="7">
        <v>46051</v>
      </c>
      <c r="AN5190" s="8">
        <v>0</v>
      </c>
      <c r="AO5190" s="8">
        <v>12</v>
      </c>
    </row>
    <row r="5191" spans="1:41" x14ac:dyDescent="0.25">
      <c r="A5191" s="6" t="str">
        <f>"525-2026000024"</f>
        <v>525-2026000024</v>
      </c>
      <c r="B5191" s="6" t="str">
        <f>"Lasa Int"</f>
        <v>Lasa Int</v>
      </c>
      <c r="C5191" s="7">
        <v>46042</v>
      </c>
      <c r="D5191" s="7">
        <v>46051</v>
      </c>
      <c r="E5191" s="8">
        <v>3</v>
      </c>
      <c r="F5191" s="6" t="str">
        <f>"Animais"</f>
        <v>Animais</v>
      </c>
      <c r="G5191" s="6" t="str">
        <f>"F110271050004330"</f>
        <v>F110271050004330</v>
      </c>
      <c r="H5191" s="6" t="str">
        <f>"FAJ 2710 / 4330 - 50"</f>
        <v>FAJ 2710 / 4330 - 50</v>
      </c>
      <c r="I5191" s="6" t="str">
        <f>"1"</f>
        <v>1</v>
      </c>
      <c r="J5191" s="6" t="str">
        <f>"BRANCO"</f>
        <v>BRANCO</v>
      </c>
      <c r="K5191" s="6" t="str">
        <f>"0520"</f>
        <v>0520</v>
      </c>
      <c r="L5191" s="6" t="str">
        <f>"Toalhetes"</f>
        <v>Toalhetes</v>
      </c>
      <c r="M5191" s="6" t="str">
        <f>"30x50"</f>
        <v>30x50</v>
      </c>
      <c r="N5191" s="6" t="str">
        <f>"5605247936416"</f>
        <v>5605247936416</v>
      </c>
      <c r="O5191" s="8">
        <v>12</v>
      </c>
      <c r="P5191" s="7">
        <v>46042</v>
      </c>
      <c r="R5191" s="8">
        <v>0</v>
      </c>
      <c r="U5191" s="8">
        <v>0</v>
      </c>
      <c r="X5191" s="8">
        <v>0</v>
      </c>
      <c r="Z5191" s="8">
        <v>0</v>
      </c>
      <c r="AC5191" s="8">
        <v>0</v>
      </c>
      <c r="AE5191" s="7">
        <v>46049</v>
      </c>
      <c r="AF5191" s="8">
        <v>0</v>
      </c>
      <c r="AH5191" s="7">
        <v>46051</v>
      </c>
      <c r="AN5191" s="8">
        <v>0</v>
      </c>
      <c r="AO5191" s="8">
        <v>12</v>
      </c>
    </row>
    <row r="5192" spans="1:41" x14ac:dyDescent="0.25">
      <c r="A5192" s="6" t="str">
        <f>"525-2026000024"</f>
        <v>525-2026000024</v>
      </c>
      <c r="B5192" s="6" t="str">
        <f>"Lasa Int"</f>
        <v>Lasa Int</v>
      </c>
      <c r="C5192" s="7">
        <v>46042</v>
      </c>
      <c r="D5192" s="7">
        <v>46051</v>
      </c>
      <c r="E5192" s="8">
        <v>4</v>
      </c>
      <c r="F5192" s="6" t="str">
        <f>"Animais"</f>
        <v>Animais</v>
      </c>
      <c r="G5192" s="6" t="str">
        <f>"F110271050004330"</f>
        <v>F110271050004330</v>
      </c>
      <c r="H5192" s="6" t="str">
        <f>"FAJ 2710 / 4330 - 50"</f>
        <v>FAJ 2710 / 4330 - 50</v>
      </c>
      <c r="I5192" s="6" t="str">
        <f>"1"</f>
        <v>1</v>
      </c>
      <c r="J5192" s="6" t="str">
        <f>"BRANCO"</f>
        <v>BRANCO</v>
      </c>
      <c r="K5192" s="6" t="str">
        <f>"1024"</f>
        <v>1024</v>
      </c>
      <c r="L5192" s="6" t="str">
        <f>"Toalhas"</f>
        <v>Toalhas</v>
      </c>
      <c r="M5192" s="6" t="str">
        <f>"50x100"</f>
        <v>50x100</v>
      </c>
      <c r="N5192" s="6" t="str">
        <f>"5605247936423"</f>
        <v>5605247936423</v>
      </c>
      <c r="O5192" s="8">
        <v>12</v>
      </c>
      <c r="P5192" s="7">
        <v>46042</v>
      </c>
      <c r="R5192" s="8">
        <v>0</v>
      </c>
      <c r="U5192" s="8">
        <v>0</v>
      </c>
      <c r="X5192" s="8">
        <v>0</v>
      </c>
      <c r="Z5192" s="8">
        <v>0</v>
      </c>
      <c r="AC5192" s="8">
        <v>0</v>
      </c>
      <c r="AE5192" s="7">
        <v>46049</v>
      </c>
      <c r="AF5192" s="8">
        <v>0</v>
      </c>
      <c r="AH5192" s="7">
        <v>46051</v>
      </c>
      <c r="AN5192" s="8">
        <v>0</v>
      </c>
      <c r="AO5192" s="8">
        <v>12</v>
      </c>
    </row>
    <row r="5193" spans="1:41" x14ac:dyDescent="0.25">
      <c r="A5193" s="6" t="str">
        <f>"525-2026000024"</f>
        <v>525-2026000024</v>
      </c>
      <c r="B5193" s="6" t="str">
        <f>"Lasa Int"</f>
        <v>Lasa Int</v>
      </c>
      <c r="C5193" s="7">
        <v>46042</v>
      </c>
      <c r="D5193" s="7">
        <v>46051</v>
      </c>
      <c r="E5193" s="8">
        <v>5</v>
      </c>
      <c r="F5193" s="6" t="str">
        <f>"Animais"</f>
        <v>Animais</v>
      </c>
      <c r="G5193" s="6" t="str">
        <f>"F110271050004330"</f>
        <v>F110271050004330</v>
      </c>
      <c r="H5193" s="6" t="str">
        <f>"FAJ 2710 / 4330 - 50"</f>
        <v>FAJ 2710 / 4330 - 50</v>
      </c>
      <c r="I5193" s="6" t="str">
        <f>"1"</f>
        <v>1</v>
      </c>
      <c r="J5193" s="6" t="str">
        <f>"BRANCO"</f>
        <v>BRANCO</v>
      </c>
      <c r="K5193" s="6" t="str">
        <f>"1535"</f>
        <v>1535</v>
      </c>
      <c r="L5193" s="6" t="str">
        <f>"Toalhões"</f>
        <v>Toalhões</v>
      </c>
      <c r="M5193" s="6" t="str">
        <f>"70x140"</f>
        <v>70x140</v>
      </c>
      <c r="N5193" s="6" t="str">
        <f>"5605247936430"</f>
        <v>5605247936430</v>
      </c>
      <c r="O5193" s="8">
        <v>12</v>
      </c>
      <c r="P5193" s="7">
        <v>46042</v>
      </c>
      <c r="R5193" s="8">
        <v>0</v>
      </c>
      <c r="U5193" s="8">
        <v>0</v>
      </c>
      <c r="X5193" s="8">
        <v>0</v>
      </c>
      <c r="Z5193" s="8">
        <v>0</v>
      </c>
      <c r="AC5193" s="8">
        <v>0</v>
      </c>
      <c r="AE5193" s="7">
        <v>46049</v>
      </c>
      <c r="AF5193" s="8">
        <v>0</v>
      </c>
      <c r="AH5193" s="7">
        <v>46051</v>
      </c>
      <c r="AN5193" s="8">
        <v>0</v>
      </c>
      <c r="AO5193" s="8">
        <v>12</v>
      </c>
    </row>
    <row r="5194" spans="1:41" x14ac:dyDescent="0.25">
      <c r="A5194" s="6" t="str">
        <f>"525-2026000025"</f>
        <v>525-2026000025</v>
      </c>
      <c r="B5194" s="6" t="str">
        <f>"KLEINMAN"</f>
        <v>KLEINMAN</v>
      </c>
      <c r="C5194" s="7">
        <v>46042</v>
      </c>
      <c r="D5194" s="7">
        <v>46057</v>
      </c>
      <c r="E5194" s="8">
        <v>1</v>
      </c>
      <c r="F5194" s="6" t="str">
        <f>"CLIENTE BETTENHAUS B"</f>
        <v>CLIENTE BETTENHAUS B</v>
      </c>
      <c r="G5194" s="6" t="str">
        <f>"C001090426003653"</f>
        <v>C001090426003653</v>
      </c>
      <c r="H5194" s="6" t="str">
        <f>"CZJ 0904 / 3653 - 26"</f>
        <v>CZJ 0904 / 3653 - 26</v>
      </c>
      <c r="I5194" s="6" t="str">
        <f>"201013"</f>
        <v>201013</v>
      </c>
      <c r="J5194" s="6" t="str">
        <f>"AZUL 1013"</f>
        <v>AZUL 1013</v>
      </c>
      <c r="K5194" s="6" t="str">
        <f>"0830"</f>
        <v>0830</v>
      </c>
      <c r="L5194" s="6" t="str">
        <f>"Cozinha"</f>
        <v>Cozinha</v>
      </c>
      <c r="M5194" s="6" t="str">
        <f>"50x70"</f>
        <v>50x70</v>
      </c>
      <c r="N5194" s="6" t="str">
        <f>"5605247642898"</f>
        <v>5605247642898</v>
      </c>
      <c r="O5194" s="8">
        <v>60</v>
      </c>
      <c r="P5194" s="7">
        <v>46042</v>
      </c>
      <c r="R5194" s="8">
        <v>0</v>
      </c>
      <c r="U5194" s="8">
        <v>0</v>
      </c>
      <c r="X5194" s="8">
        <v>0</v>
      </c>
      <c r="Z5194" s="8">
        <v>0</v>
      </c>
      <c r="AC5194" s="8">
        <v>0</v>
      </c>
      <c r="AE5194" s="7">
        <v>46049</v>
      </c>
      <c r="AF5194" s="8">
        <v>0</v>
      </c>
      <c r="AH5194" s="7">
        <v>46057</v>
      </c>
      <c r="AN5194" s="8">
        <v>0</v>
      </c>
      <c r="AO5194" s="8">
        <v>60</v>
      </c>
    </row>
    <row r="5195" spans="1:41" x14ac:dyDescent="0.25">
      <c r="A5195" s="6" t="str">
        <f>"525-2026000025"</f>
        <v>525-2026000025</v>
      </c>
      <c r="B5195" s="6" t="str">
        <f>"KLEINMAN"</f>
        <v>KLEINMAN</v>
      </c>
      <c r="C5195" s="7">
        <v>46042</v>
      </c>
      <c r="D5195" s="7">
        <v>46057</v>
      </c>
      <c r="E5195" s="8">
        <v>2</v>
      </c>
      <c r="F5195" s="6" t="str">
        <f>"CLIENTE BETTENHAUS B"</f>
        <v>CLIENTE BETTENHAUS B</v>
      </c>
      <c r="G5195" s="6" t="str">
        <f>"C001090426006042"</f>
        <v>C001090426006042</v>
      </c>
      <c r="H5195" s="6" t="str">
        <f>"CZJ 0904 / 6042 - 26"</f>
        <v>CZJ 0904 / 6042 - 26</v>
      </c>
      <c r="I5195" s="6" t="str">
        <f>"201013"</f>
        <v>201013</v>
      </c>
      <c r="J5195" s="6" t="str">
        <f>"AZUL 1013"</f>
        <v>AZUL 1013</v>
      </c>
      <c r="K5195" s="6" t="str">
        <f>"0830"</f>
        <v>0830</v>
      </c>
      <c r="L5195" s="6" t="str">
        <f>"Cozinha"</f>
        <v>Cozinha</v>
      </c>
      <c r="M5195" s="6" t="str">
        <f>"50x70"</f>
        <v>50x70</v>
      </c>
      <c r="N5195" s="6" t="str">
        <f>"5605247945449"</f>
        <v>5605247945449</v>
      </c>
      <c r="O5195" s="8">
        <v>60</v>
      </c>
      <c r="P5195" s="7">
        <v>46042</v>
      </c>
      <c r="R5195" s="8">
        <v>0</v>
      </c>
      <c r="U5195" s="8">
        <v>0</v>
      </c>
      <c r="X5195" s="8">
        <v>0</v>
      </c>
      <c r="Z5195" s="8">
        <v>0</v>
      </c>
      <c r="AC5195" s="8">
        <v>0</v>
      </c>
      <c r="AE5195" s="7">
        <v>46049</v>
      </c>
      <c r="AF5195" s="8">
        <v>0</v>
      </c>
      <c r="AH5195" s="7">
        <v>46057</v>
      </c>
      <c r="AN5195" s="8">
        <v>0</v>
      </c>
      <c r="AO5195" s="8">
        <v>60</v>
      </c>
    </row>
    <row r="5196" spans="1:41" x14ac:dyDescent="0.25">
      <c r="A5196" s="6" t="str">
        <f>"525-2026000025"</f>
        <v>525-2026000025</v>
      </c>
      <c r="B5196" s="6" t="str">
        <f>"KLEINMAN"</f>
        <v>KLEINMAN</v>
      </c>
      <c r="C5196" s="7">
        <v>46042</v>
      </c>
      <c r="D5196" s="7">
        <v>46057</v>
      </c>
      <c r="E5196" s="8">
        <v>3</v>
      </c>
      <c r="F5196" s="6" t="str">
        <f>"CLIENTE BETTENHAUS B"</f>
        <v>CLIENTE BETTENHAUS B</v>
      </c>
      <c r="G5196" s="6" t="str">
        <f>"C001090426003757"</f>
        <v>C001090426003757</v>
      </c>
      <c r="H5196" s="6" t="str">
        <f>"CZJ 0904 / 3757 - 26"</f>
        <v>CZJ 0904 / 3757 - 26</v>
      </c>
      <c r="I5196" s="6" t="str">
        <f>"201013"</f>
        <v>201013</v>
      </c>
      <c r="J5196" s="6" t="str">
        <f>"AZUL 1013"</f>
        <v>AZUL 1013</v>
      </c>
      <c r="K5196" s="6" t="str">
        <f>"0830"</f>
        <v>0830</v>
      </c>
      <c r="L5196" s="6" t="str">
        <f>"Cozinha"</f>
        <v>Cozinha</v>
      </c>
      <c r="M5196" s="6" t="str">
        <f>"50x70"</f>
        <v>50x70</v>
      </c>
      <c r="N5196" s="6" t="str">
        <f>"5605247928879"</f>
        <v>5605247928879</v>
      </c>
      <c r="O5196" s="8">
        <v>60</v>
      </c>
      <c r="P5196" s="7">
        <v>46042</v>
      </c>
      <c r="R5196" s="8">
        <v>0</v>
      </c>
      <c r="U5196" s="8">
        <v>0</v>
      </c>
      <c r="X5196" s="8">
        <v>0</v>
      </c>
      <c r="Z5196" s="8">
        <v>0</v>
      </c>
      <c r="AC5196" s="8">
        <v>0</v>
      </c>
      <c r="AE5196" s="7">
        <v>46049</v>
      </c>
      <c r="AF5196" s="8">
        <v>0</v>
      </c>
      <c r="AH5196" s="7">
        <v>46057</v>
      </c>
      <c r="AN5196" s="8">
        <v>0</v>
      </c>
      <c r="AO5196" s="8">
        <v>60</v>
      </c>
    </row>
    <row r="5197" spans="1:41" x14ac:dyDescent="0.25">
      <c r="A5197" s="6" t="str">
        <f>"525-2026000025"</f>
        <v>525-2026000025</v>
      </c>
      <c r="B5197" s="6" t="str">
        <f>"KLEINMAN"</f>
        <v>KLEINMAN</v>
      </c>
      <c r="C5197" s="7">
        <v>46042</v>
      </c>
      <c r="D5197" s="7">
        <v>46057</v>
      </c>
      <c r="E5197" s="8">
        <v>4</v>
      </c>
      <c r="F5197" s="6" t="str">
        <f>"CLIENTE BETTENHAUS B"</f>
        <v>CLIENTE BETTENHAUS B</v>
      </c>
      <c r="G5197" s="6" t="str">
        <f>"C001090426003757"</f>
        <v>C001090426003757</v>
      </c>
      <c r="H5197" s="6" t="str">
        <f>"CZJ 0904 / 3757 - 26"</f>
        <v>CZJ 0904 / 3757 - 26</v>
      </c>
      <c r="I5197" s="6" t="str">
        <f>"200498"</f>
        <v>200498</v>
      </c>
      <c r="J5197" s="6" t="str">
        <f>"VERMELHO 498"</f>
        <v>VERMELHO 498</v>
      </c>
      <c r="K5197" s="6" t="str">
        <f>"0830"</f>
        <v>0830</v>
      </c>
      <c r="L5197" s="6" t="str">
        <f>"Cozinha"</f>
        <v>Cozinha</v>
      </c>
      <c r="M5197" s="6" t="str">
        <f>"50x70"</f>
        <v>50x70</v>
      </c>
      <c r="N5197" s="6" t="str">
        <f>"5605247928862"</f>
        <v>5605247928862</v>
      </c>
      <c r="O5197" s="8">
        <v>60</v>
      </c>
      <c r="P5197" s="7">
        <v>46042</v>
      </c>
      <c r="R5197" s="8">
        <v>0</v>
      </c>
      <c r="U5197" s="8">
        <v>0</v>
      </c>
      <c r="X5197" s="8">
        <v>0</v>
      </c>
      <c r="Z5197" s="8">
        <v>0</v>
      </c>
      <c r="AC5197" s="8">
        <v>0</v>
      </c>
      <c r="AE5197" s="7">
        <v>46049</v>
      </c>
      <c r="AF5197" s="8">
        <v>0</v>
      </c>
      <c r="AH5197" s="7">
        <v>46057</v>
      </c>
      <c r="AN5197" s="8">
        <v>0</v>
      </c>
      <c r="AO5197" s="8">
        <v>60</v>
      </c>
    </row>
    <row r="5198" spans="1:41" x14ac:dyDescent="0.25">
      <c r="A5198" s="6" t="str">
        <f>"525-2026000025"</f>
        <v>525-2026000025</v>
      </c>
      <c r="B5198" s="6" t="str">
        <f>"KLEINMAN"</f>
        <v>KLEINMAN</v>
      </c>
      <c r="C5198" s="7">
        <v>46042</v>
      </c>
      <c r="D5198" s="7">
        <v>46057</v>
      </c>
      <c r="E5198" s="8">
        <v>5</v>
      </c>
      <c r="F5198" s="6" t="str">
        <f>"CLIENTE BETTENHAUS B"</f>
        <v>CLIENTE BETTENHAUS B</v>
      </c>
      <c r="G5198" s="6" t="str">
        <f>"C001090426003757"</f>
        <v>C001090426003757</v>
      </c>
      <c r="H5198" s="6" t="str">
        <f>"CZJ 0904 / 3757 - 26"</f>
        <v>CZJ 0904 / 3757 - 26</v>
      </c>
      <c r="I5198" s="6" t="str">
        <f>"202206"</f>
        <v>202206</v>
      </c>
      <c r="J5198" s="6" t="str">
        <f>"CINZA 2206"</f>
        <v>CINZA 2206</v>
      </c>
      <c r="K5198" s="6" t="str">
        <f>"0830"</f>
        <v>0830</v>
      </c>
      <c r="L5198" s="6" t="str">
        <f>"Cozinha"</f>
        <v>Cozinha</v>
      </c>
      <c r="M5198" s="6" t="str">
        <f>"50x70"</f>
        <v>50x70</v>
      </c>
      <c r="N5198" s="6" t="str">
        <f>"5605247929425"</f>
        <v>5605247929425</v>
      </c>
      <c r="O5198" s="8">
        <v>60</v>
      </c>
      <c r="P5198" s="7">
        <v>46042</v>
      </c>
      <c r="R5198" s="8">
        <v>0</v>
      </c>
      <c r="U5198" s="8">
        <v>0</v>
      </c>
      <c r="X5198" s="8">
        <v>0</v>
      </c>
      <c r="Z5198" s="8">
        <v>0</v>
      </c>
      <c r="AC5198" s="8">
        <v>0</v>
      </c>
      <c r="AE5198" s="7">
        <v>46049</v>
      </c>
      <c r="AF5198" s="8">
        <v>0</v>
      </c>
      <c r="AH5198" s="7">
        <v>46057</v>
      </c>
      <c r="AN5198" s="8">
        <v>0</v>
      </c>
      <c r="AO5198" s="8">
        <v>60</v>
      </c>
    </row>
    <row r="5199" spans="1:41" x14ac:dyDescent="0.25">
      <c r="A5199" s="6" t="str">
        <f>"525-2026000026"</f>
        <v>525-2026000026</v>
      </c>
      <c r="B5199" s="6" t="str">
        <f t="shared" ref="B5199:B5243" si="1386">"Lasa Int"</f>
        <v>Lasa Int</v>
      </c>
      <c r="C5199" s="7">
        <v>46042</v>
      </c>
      <c r="D5199" s="7">
        <v>46080</v>
      </c>
      <c r="E5199" s="8">
        <v>1</v>
      </c>
      <c r="F5199" s="6" t="str">
        <f>"A metro"</f>
        <v>A metro</v>
      </c>
      <c r="G5199" s="6" t="str">
        <f>"K009000138500000"</f>
        <v>K009000138500000</v>
      </c>
      <c r="H5199" s="6" t="str">
        <f>"Ketten (m) - 385 g/m"</f>
        <v>Ketten (m) - 385 g/m</v>
      </c>
      <c r="I5199" s="6" t="str">
        <f>"1"</f>
        <v>1</v>
      </c>
      <c r="J5199" s="6" t="str">
        <f>"BRANCO"</f>
        <v>BRANCO</v>
      </c>
      <c r="K5199" s="6" t="str">
        <f>"2520"</f>
        <v>2520</v>
      </c>
      <c r="L5199" s="6" t="str">
        <f>"A Metro"</f>
        <v>A Metro</v>
      </c>
      <c r="M5199" s="6" t="str">
        <f>"160x"</f>
        <v>160x</v>
      </c>
      <c r="N5199" s="6" t="str">
        <f>"5605247921597"</f>
        <v>5605247921597</v>
      </c>
      <c r="O5199" s="8">
        <v>50</v>
      </c>
      <c r="P5199" s="7">
        <v>46042</v>
      </c>
      <c r="R5199" s="8">
        <v>0</v>
      </c>
      <c r="U5199" s="8">
        <v>0</v>
      </c>
      <c r="X5199" s="8">
        <v>0</v>
      </c>
      <c r="Z5199" s="8">
        <v>0</v>
      </c>
      <c r="AC5199" s="8">
        <v>0</v>
      </c>
      <c r="AE5199" s="7">
        <v>46049</v>
      </c>
      <c r="AF5199" s="8">
        <v>0</v>
      </c>
      <c r="AH5199" s="7">
        <v>46080</v>
      </c>
      <c r="AN5199" s="8">
        <v>0</v>
      </c>
      <c r="AO5199" s="8">
        <v>50</v>
      </c>
    </row>
    <row r="5200" spans="1:41" x14ac:dyDescent="0.25">
      <c r="A5200" s="6" t="str">
        <f>"525-2026000026"</f>
        <v>525-2026000026</v>
      </c>
      <c r="B5200" s="6" t="str">
        <f t="shared" si="1386"/>
        <v>Lasa Int</v>
      </c>
      <c r="C5200" s="7">
        <v>46042</v>
      </c>
      <c r="D5200" s="7">
        <v>46080</v>
      </c>
      <c r="E5200" s="8">
        <v>2</v>
      </c>
      <c r="F5200" s="6" t="str">
        <f>"A metro"</f>
        <v>A metro</v>
      </c>
      <c r="G5200" s="6" t="str">
        <f>"K009000138500000"</f>
        <v>K009000138500000</v>
      </c>
      <c r="H5200" s="6" t="str">
        <f>"Ketten (m) - 385 g/m"</f>
        <v>Ketten (m) - 385 g/m</v>
      </c>
      <c r="I5200" s="6" t="str">
        <f>"121"</f>
        <v>121</v>
      </c>
      <c r="J5200" s="6" t="str">
        <f>"ROSA 121"</f>
        <v>ROSA 121</v>
      </c>
      <c r="K5200" s="6" t="str">
        <f>"2520"</f>
        <v>2520</v>
      </c>
      <c r="L5200" s="6" t="str">
        <f>"A Metro"</f>
        <v>A Metro</v>
      </c>
      <c r="M5200" s="6" t="str">
        <f>"160x"</f>
        <v>160x</v>
      </c>
      <c r="N5200" s="6" t="str">
        <f>"5605247930476"</f>
        <v>5605247930476</v>
      </c>
      <c r="O5200" s="8">
        <v>50</v>
      </c>
      <c r="P5200" s="7">
        <v>46042</v>
      </c>
      <c r="R5200" s="8">
        <v>0</v>
      </c>
      <c r="U5200" s="8">
        <v>0</v>
      </c>
      <c r="X5200" s="8">
        <v>0</v>
      </c>
      <c r="Z5200" s="8">
        <v>0</v>
      </c>
      <c r="AC5200" s="8">
        <v>0</v>
      </c>
      <c r="AE5200" s="7">
        <v>46049</v>
      </c>
      <c r="AF5200" s="8">
        <v>0</v>
      </c>
      <c r="AH5200" s="7">
        <v>46080</v>
      </c>
      <c r="AN5200" s="8">
        <v>0</v>
      </c>
      <c r="AO5200" s="8">
        <v>50</v>
      </c>
    </row>
    <row r="5201" spans="1:41" x14ac:dyDescent="0.25">
      <c r="A5201" s="6" t="str">
        <f t="shared" ref="A5201:A5208" si="1387">"525-2026000027"</f>
        <v>525-2026000027</v>
      </c>
      <c r="B5201" s="6" t="str">
        <f t="shared" si="1386"/>
        <v>Lasa Int</v>
      </c>
      <c r="C5201" s="7">
        <v>46042</v>
      </c>
      <c r="D5201" s="7">
        <v>46122</v>
      </c>
      <c r="E5201" s="8">
        <v>1</v>
      </c>
      <c r="F5201" s="6" t="str">
        <f t="shared" ref="F5201:F5208" si="1388">"Checks"</f>
        <v>Checks</v>
      </c>
      <c r="G5201" s="6" t="str">
        <f>"C001176527000000"</f>
        <v>C001176527000000</v>
      </c>
      <c r="H5201" s="6" t="str">
        <f>"CZJ 1765 - 270 g/m²"</f>
        <v>CZJ 1765 - 270 g/m²</v>
      </c>
      <c r="I5201" s="6" t="str">
        <f>"201132"</f>
        <v>201132</v>
      </c>
      <c r="J5201" s="6" t="str">
        <f>"AZUL 1132"</f>
        <v>AZUL 1132</v>
      </c>
      <c r="K5201" s="6" t="str">
        <f>"0830"</f>
        <v>0830</v>
      </c>
      <c r="L5201" s="6" t="str">
        <f t="shared" ref="L5201:L5208" si="1389">"Cozinha"</f>
        <v>Cozinha</v>
      </c>
      <c r="M5201" s="6" t="str">
        <f>"50x70"</f>
        <v>50x70</v>
      </c>
      <c r="N5201" s="6" t="str">
        <f>"5602972635003"</f>
        <v>5602972635003</v>
      </c>
      <c r="O5201" s="8">
        <v>1000</v>
      </c>
      <c r="P5201" s="7">
        <v>46092</v>
      </c>
      <c r="R5201" s="8">
        <v>0</v>
      </c>
      <c r="S5201" s="7">
        <v>46097</v>
      </c>
      <c r="U5201" s="8">
        <v>0</v>
      </c>
      <c r="V5201" s="7">
        <v>46104</v>
      </c>
      <c r="X5201" s="8">
        <v>0</v>
      </c>
      <c r="Z5201" s="8">
        <v>0</v>
      </c>
      <c r="AA5201" s="7">
        <v>46119</v>
      </c>
      <c r="AC5201" s="8">
        <v>0</v>
      </c>
      <c r="AE5201" s="7">
        <v>46122</v>
      </c>
      <c r="AF5201" s="8">
        <v>0</v>
      </c>
      <c r="AH5201" s="7">
        <v>46122</v>
      </c>
      <c r="AN5201" s="8">
        <v>0</v>
      </c>
      <c r="AO5201" s="8">
        <v>1000</v>
      </c>
    </row>
    <row r="5202" spans="1:41" x14ac:dyDescent="0.25">
      <c r="A5202" s="6" t="str">
        <f t="shared" si="1387"/>
        <v>525-2026000027</v>
      </c>
      <c r="B5202" s="6" t="str">
        <f t="shared" si="1386"/>
        <v>Lasa Int</v>
      </c>
      <c r="C5202" s="7">
        <v>46042</v>
      </c>
      <c r="D5202" s="7">
        <v>46122</v>
      </c>
      <c r="E5202" s="8">
        <v>2</v>
      </c>
      <c r="F5202" s="6" t="str">
        <f t="shared" si="1388"/>
        <v>Checks</v>
      </c>
      <c r="G5202" s="6" t="str">
        <f>"C001176527000000"</f>
        <v>C001176527000000</v>
      </c>
      <c r="H5202" s="6" t="str">
        <f>"CZJ 1765 - 270 g/m²"</f>
        <v>CZJ 1765 - 270 g/m²</v>
      </c>
      <c r="I5202" s="6" t="str">
        <f>"202332"</f>
        <v>202332</v>
      </c>
      <c r="J5202" s="6" t="str">
        <f>"CINZA 2332"</f>
        <v>CINZA 2332</v>
      </c>
      <c r="K5202" s="6" t="str">
        <f>"0830"</f>
        <v>0830</v>
      </c>
      <c r="L5202" s="6" t="str">
        <f t="shared" si="1389"/>
        <v>Cozinha</v>
      </c>
      <c r="M5202" s="6" t="str">
        <f>"50x70"</f>
        <v>50x70</v>
      </c>
      <c r="N5202" s="6" t="str">
        <f>"5602972635010"</f>
        <v>5602972635010</v>
      </c>
      <c r="O5202" s="8">
        <v>1000</v>
      </c>
      <c r="P5202" s="7">
        <v>46092</v>
      </c>
      <c r="R5202" s="8">
        <v>0</v>
      </c>
      <c r="S5202" s="7">
        <v>46097</v>
      </c>
      <c r="U5202" s="8">
        <v>0</v>
      </c>
      <c r="V5202" s="7">
        <v>46104</v>
      </c>
      <c r="X5202" s="8">
        <v>0</v>
      </c>
      <c r="Z5202" s="8">
        <v>0</v>
      </c>
      <c r="AA5202" s="7">
        <v>46119</v>
      </c>
      <c r="AC5202" s="8">
        <v>0</v>
      </c>
      <c r="AE5202" s="7">
        <v>46122</v>
      </c>
      <c r="AF5202" s="8">
        <v>0</v>
      </c>
      <c r="AH5202" s="7">
        <v>46122</v>
      </c>
      <c r="AN5202" s="8">
        <v>0</v>
      </c>
      <c r="AO5202" s="8">
        <v>1000</v>
      </c>
    </row>
    <row r="5203" spans="1:41" x14ac:dyDescent="0.25">
      <c r="A5203" s="6" t="str">
        <f t="shared" si="1387"/>
        <v>525-2026000027</v>
      </c>
      <c r="B5203" s="6" t="str">
        <f t="shared" si="1386"/>
        <v>Lasa Int</v>
      </c>
      <c r="C5203" s="7">
        <v>46042</v>
      </c>
      <c r="D5203" s="7">
        <v>46122</v>
      </c>
      <c r="E5203" s="8">
        <v>3</v>
      </c>
      <c r="F5203" s="6" t="str">
        <f t="shared" si="1388"/>
        <v>Checks</v>
      </c>
      <c r="G5203" s="6" t="str">
        <f>"C001176527000000"</f>
        <v>C001176527000000</v>
      </c>
      <c r="H5203" s="6" t="str">
        <f>"CZJ 1765 - 270 g/m²"</f>
        <v>CZJ 1765 - 270 g/m²</v>
      </c>
      <c r="I5203" s="6" t="str">
        <f>"202995"</f>
        <v>202995</v>
      </c>
      <c r="J5203" s="6" t="str">
        <f>"BORDEAUX 2995"</f>
        <v>BORDEAUX 2995</v>
      </c>
      <c r="K5203" s="6" t="str">
        <f>"0830"</f>
        <v>0830</v>
      </c>
      <c r="L5203" s="6" t="str">
        <f t="shared" si="1389"/>
        <v>Cozinha</v>
      </c>
      <c r="M5203" s="6" t="str">
        <f>"50x70"</f>
        <v>50x70</v>
      </c>
      <c r="N5203" s="6" t="str">
        <f>"5602972635027"</f>
        <v>5602972635027</v>
      </c>
      <c r="O5203" s="8">
        <v>1300</v>
      </c>
      <c r="P5203" s="7">
        <v>46092</v>
      </c>
      <c r="R5203" s="8">
        <v>0</v>
      </c>
      <c r="S5203" s="7">
        <v>46097</v>
      </c>
      <c r="U5203" s="8">
        <v>0</v>
      </c>
      <c r="V5203" s="7">
        <v>46104</v>
      </c>
      <c r="X5203" s="8">
        <v>0</v>
      </c>
      <c r="Z5203" s="8">
        <v>0</v>
      </c>
      <c r="AA5203" s="7">
        <v>46119</v>
      </c>
      <c r="AC5203" s="8">
        <v>0</v>
      </c>
      <c r="AE5203" s="7">
        <v>46122</v>
      </c>
      <c r="AF5203" s="8">
        <v>0</v>
      </c>
      <c r="AH5203" s="7">
        <v>46122</v>
      </c>
      <c r="AN5203" s="8">
        <v>0</v>
      </c>
      <c r="AO5203" s="8">
        <v>1300</v>
      </c>
    </row>
    <row r="5204" spans="1:41" x14ac:dyDescent="0.25">
      <c r="A5204" s="6" t="str">
        <f t="shared" si="1387"/>
        <v>525-2026000027</v>
      </c>
      <c r="B5204" s="6" t="str">
        <f t="shared" si="1386"/>
        <v>Lasa Int</v>
      </c>
      <c r="C5204" s="7">
        <v>46042</v>
      </c>
      <c r="D5204" s="7">
        <v>46122</v>
      </c>
      <c r="E5204" s="8">
        <v>4</v>
      </c>
      <c r="F5204" s="6" t="str">
        <f t="shared" si="1388"/>
        <v>Checks</v>
      </c>
      <c r="G5204" s="6" t="str">
        <f>"C001176527000000"</f>
        <v>C001176527000000</v>
      </c>
      <c r="H5204" s="6" t="str">
        <f>"CZJ 1765 - 270 g/m²"</f>
        <v>CZJ 1765 - 270 g/m²</v>
      </c>
      <c r="I5204" s="6" t="str">
        <f>"203044"</f>
        <v>203044</v>
      </c>
      <c r="J5204" s="6" t="str">
        <f>"CASTANHO 3044"</f>
        <v>CASTANHO 3044</v>
      </c>
      <c r="K5204" s="6" t="str">
        <f>"0830"</f>
        <v>0830</v>
      </c>
      <c r="L5204" s="6" t="str">
        <f t="shared" si="1389"/>
        <v>Cozinha</v>
      </c>
      <c r="M5204" s="6" t="str">
        <f>"50x70"</f>
        <v>50x70</v>
      </c>
      <c r="N5204" s="6" t="str">
        <f>"5602972635034"</f>
        <v>5602972635034</v>
      </c>
      <c r="O5204" s="8">
        <v>1000</v>
      </c>
      <c r="P5204" s="7">
        <v>46092</v>
      </c>
      <c r="R5204" s="8">
        <v>0</v>
      </c>
      <c r="S5204" s="7">
        <v>46097</v>
      </c>
      <c r="U5204" s="8">
        <v>0</v>
      </c>
      <c r="V5204" s="7">
        <v>46104</v>
      </c>
      <c r="X5204" s="8">
        <v>0</v>
      </c>
      <c r="Z5204" s="8">
        <v>0</v>
      </c>
      <c r="AA5204" s="7">
        <v>46119</v>
      </c>
      <c r="AC5204" s="8">
        <v>0</v>
      </c>
      <c r="AE5204" s="7">
        <v>46122</v>
      </c>
      <c r="AF5204" s="8">
        <v>0</v>
      </c>
      <c r="AH5204" s="7">
        <v>46122</v>
      </c>
      <c r="AN5204" s="8">
        <v>0</v>
      </c>
      <c r="AO5204" s="8">
        <v>1000</v>
      </c>
    </row>
    <row r="5205" spans="1:41" x14ac:dyDescent="0.25">
      <c r="A5205" s="6" t="str">
        <f t="shared" si="1387"/>
        <v>525-2026000027</v>
      </c>
      <c r="B5205" s="6" t="str">
        <f t="shared" si="1386"/>
        <v>Lasa Int</v>
      </c>
      <c r="C5205" s="7">
        <v>46042</v>
      </c>
      <c r="D5205" s="7">
        <v>46122</v>
      </c>
      <c r="E5205" s="8">
        <v>5</v>
      </c>
      <c r="F5205" s="6" t="str">
        <f t="shared" si="1388"/>
        <v>Checks</v>
      </c>
      <c r="G5205" s="6" t="str">
        <f>"F310477044000000"</f>
        <v>F310477044000000</v>
      </c>
      <c r="H5205" s="6" t="str">
        <f>"PLAR 4770 - 440 g/m²"</f>
        <v>PLAR 4770 - 440 g/m²</v>
      </c>
      <c r="I5205" s="6" t="str">
        <f>"201132"</f>
        <v>201132</v>
      </c>
      <c r="J5205" s="6" t="str">
        <f>"AZUL 1132"</f>
        <v>AZUL 1132</v>
      </c>
      <c r="K5205" s="6" t="str">
        <f>"0820"</f>
        <v>0820</v>
      </c>
      <c r="L5205" s="6" t="str">
        <f t="shared" si="1389"/>
        <v>Cozinha</v>
      </c>
      <c r="M5205" s="6" t="str">
        <f>"50x50"</f>
        <v>50x50</v>
      </c>
      <c r="N5205" s="6" t="str">
        <f>"5602972634969"</f>
        <v>5602972634969</v>
      </c>
      <c r="O5205" s="8">
        <v>500</v>
      </c>
      <c r="P5205" s="7">
        <v>46092</v>
      </c>
      <c r="R5205" s="8">
        <v>0</v>
      </c>
      <c r="S5205" s="7">
        <v>46097</v>
      </c>
      <c r="U5205" s="8">
        <v>0</v>
      </c>
      <c r="V5205" s="7">
        <v>46104</v>
      </c>
      <c r="X5205" s="8">
        <v>0</v>
      </c>
      <c r="Z5205" s="8">
        <v>0</v>
      </c>
      <c r="AA5205" s="7">
        <v>46119</v>
      </c>
      <c r="AC5205" s="8">
        <v>0</v>
      </c>
      <c r="AE5205" s="7">
        <v>46122</v>
      </c>
      <c r="AF5205" s="8">
        <v>0</v>
      </c>
      <c r="AH5205" s="7">
        <v>46122</v>
      </c>
      <c r="AN5205" s="8">
        <v>0</v>
      </c>
      <c r="AO5205" s="8">
        <v>500</v>
      </c>
    </row>
    <row r="5206" spans="1:41" x14ac:dyDescent="0.25">
      <c r="A5206" s="6" t="str">
        <f t="shared" si="1387"/>
        <v>525-2026000027</v>
      </c>
      <c r="B5206" s="6" t="str">
        <f t="shared" si="1386"/>
        <v>Lasa Int</v>
      </c>
      <c r="C5206" s="7">
        <v>46042</v>
      </c>
      <c r="D5206" s="7">
        <v>46122</v>
      </c>
      <c r="E5206" s="8">
        <v>6</v>
      </c>
      <c r="F5206" s="6" t="str">
        <f t="shared" si="1388"/>
        <v>Checks</v>
      </c>
      <c r="G5206" s="6" t="str">
        <f>"F310477044000000"</f>
        <v>F310477044000000</v>
      </c>
      <c r="H5206" s="6" t="str">
        <f>"PLAR 4770 - 440 g/m²"</f>
        <v>PLAR 4770 - 440 g/m²</v>
      </c>
      <c r="I5206" s="6" t="str">
        <f>"202332"</f>
        <v>202332</v>
      </c>
      <c r="J5206" s="6" t="str">
        <f>"CINZA 2332"</f>
        <v>CINZA 2332</v>
      </c>
      <c r="K5206" s="6" t="str">
        <f>"0820"</f>
        <v>0820</v>
      </c>
      <c r="L5206" s="6" t="str">
        <f t="shared" si="1389"/>
        <v>Cozinha</v>
      </c>
      <c r="M5206" s="6" t="str">
        <f>"50x50"</f>
        <v>50x50</v>
      </c>
      <c r="N5206" s="6" t="str">
        <f>"5602972634976"</f>
        <v>5602972634976</v>
      </c>
      <c r="O5206" s="8">
        <v>900</v>
      </c>
      <c r="P5206" s="7">
        <v>46092</v>
      </c>
      <c r="R5206" s="8">
        <v>0</v>
      </c>
      <c r="S5206" s="7">
        <v>46097</v>
      </c>
      <c r="U5206" s="8">
        <v>0</v>
      </c>
      <c r="V5206" s="7">
        <v>46104</v>
      </c>
      <c r="X5206" s="8">
        <v>0</v>
      </c>
      <c r="Z5206" s="8">
        <v>0</v>
      </c>
      <c r="AA5206" s="7">
        <v>46119</v>
      </c>
      <c r="AC5206" s="8">
        <v>0</v>
      </c>
      <c r="AE5206" s="7">
        <v>46122</v>
      </c>
      <c r="AF5206" s="8">
        <v>0</v>
      </c>
      <c r="AH5206" s="7">
        <v>46122</v>
      </c>
      <c r="AN5206" s="8">
        <v>0</v>
      </c>
      <c r="AO5206" s="8">
        <v>900</v>
      </c>
    </row>
    <row r="5207" spans="1:41" x14ac:dyDescent="0.25">
      <c r="A5207" s="6" t="str">
        <f t="shared" si="1387"/>
        <v>525-2026000027</v>
      </c>
      <c r="B5207" s="6" t="str">
        <f t="shared" si="1386"/>
        <v>Lasa Int</v>
      </c>
      <c r="C5207" s="7">
        <v>46042</v>
      </c>
      <c r="D5207" s="7">
        <v>46122</v>
      </c>
      <c r="E5207" s="8">
        <v>7</v>
      </c>
      <c r="F5207" s="6" t="str">
        <f t="shared" si="1388"/>
        <v>Checks</v>
      </c>
      <c r="G5207" s="6" t="str">
        <f>"F310477044000000"</f>
        <v>F310477044000000</v>
      </c>
      <c r="H5207" s="6" t="str">
        <f>"PLAR 4770 - 440 g/m²"</f>
        <v>PLAR 4770 - 440 g/m²</v>
      </c>
      <c r="I5207" s="6" t="str">
        <f>"202995"</f>
        <v>202995</v>
      </c>
      <c r="J5207" s="6" t="str">
        <f>"BORDEAUX 2995"</f>
        <v>BORDEAUX 2995</v>
      </c>
      <c r="K5207" s="6" t="str">
        <f>"0820"</f>
        <v>0820</v>
      </c>
      <c r="L5207" s="6" t="str">
        <f t="shared" si="1389"/>
        <v>Cozinha</v>
      </c>
      <c r="M5207" s="6" t="str">
        <f>"50x50"</f>
        <v>50x50</v>
      </c>
      <c r="N5207" s="6" t="str">
        <f>"5602972634983"</f>
        <v>5602972634983</v>
      </c>
      <c r="O5207" s="8">
        <v>800</v>
      </c>
      <c r="P5207" s="7">
        <v>46092</v>
      </c>
      <c r="R5207" s="8">
        <v>0</v>
      </c>
      <c r="S5207" s="7">
        <v>46097</v>
      </c>
      <c r="U5207" s="8">
        <v>0</v>
      </c>
      <c r="V5207" s="7">
        <v>46104</v>
      </c>
      <c r="X5207" s="8">
        <v>0</v>
      </c>
      <c r="Z5207" s="8">
        <v>0</v>
      </c>
      <c r="AA5207" s="7">
        <v>46119</v>
      </c>
      <c r="AC5207" s="8">
        <v>0</v>
      </c>
      <c r="AE5207" s="7">
        <v>46122</v>
      </c>
      <c r="AF5207" s="8">
        <v>0</v>
      </c>
      <c r="AH5207" s="7">
        <v>46122</v>
      </c>
      <c r="AN5207" s="8">
        <v>0</v>
      </c>
      <c r="AO5207" s="8">
        <v>800</v>
      </c>
    </row>
    <row r="5208" spans="1:41" x14ac:dyDescent="0.25">
      <c r="A5208" s="6" t="str">
        <f t="shared" si="1387"/>
        <v>525-2026000027</v>
      </c>
      <c r="B5208" s="6" t="str">
        <f t="shared" si="1386"/>
        <v>Lasa Int</v>
      </c>
      <c r="C5208" s="7">
        <v>46042</v>
      </c>
      <c r="D5208" s="7">
        <v>46122</v>
      </c>
      <c r="E5208" s="8">
        <v>8</v>
      </c>
      <c r="F5208" s="6" t="str">
        <f t="shared" si="1388"/>
        <v>Checks</v>
      </c>
      <c r="G5208" s="6" t="str">
        <f>"F310477044000000"</f>
        <v>F310477044000000</v>
      </c>
      <c r="H5208" s="6" t="str">
        <f>"PLAR 4770 - 440 g/m²"</f>
        <v>PLAR 4770 - 440 g/m²</v>
      </c>
      <c r="I5208" s="6" t="str">
        <f>"203044"</f>
        <v>203044</v>
      </c>
      <c r="J5208" s="6" t="str">
        <f>"CASTANHO 3044"</f>
        <v>CASTANHO 3044</v>
      </c>
      <c r="K5208" s="6" t="str">
        <f>"0820"</f>
        <v>0820</v>
      </c>
      <c r="L5208" s="6" t="str">
        <f t="shared" si="1389"/>
        <v>Cozinha</v>
      </c>
      <c r="M5208" s="6" t="str">
        <f>"50x50"</f>
        <v>50x50</v>
      </c>
      <c r="N5208" s="6" t="str">
        <f>"5602972634990"</f>
        <v>5602972634990</v>
      </c>
      <c r="O5208" s="8">
        <v>900</v>
      </c>
      <c r="P5208" s="7">
        <v>46092</v>
      </c>
      <c r="R5208" s="8">
        <v>0</v>
      </c>
      <c r="S5208" s="7">
        <v>46097</v>
      </c>
      <c r="U5208" s="8">
        <v>0</v>
      </c>
      <c r="V5208" s="7">
        <v>46104</v>
      </c>
      <c r="X5208" s="8">
        <v>0</v>
      </c>
      <c r="Z5208" s="8">
        <v>0</v>
      </c>
      <c r="AA5208" s="7">
        <v>46119</v>
      </c>
      <c r="AC5208" s="8">
        <v>0</v>
      </c>
      <c r="AE5208" s="7">
        <v>46122</v>
      </c>
      <c r="AF5208" s="8">
        <v>0</v>
      </c>
      <c r="AH5208" s="7">
        <v>46122</v>
      </c>
      <c r="AN5208" s="8">
        <v>0</v>
      </c>
      <c r="AO5208" s="8">
        <v>900</v>
      </c>
    </row>
    <row r="5209" spans="1:41" x14ac:dyDescent="0.25">
      <c r="A5209" s="6" t="str">
        <f t="shared" ref="A5209:A5221" si="1390">"525-2026000028"</f>
        <v>525-2026000028</v>
      </c>
      <c r="B5209" s="6" t="str">
        <f t="shared" si="1386"/>
        <v>Lasa Int</v>
      </c>
      <c r="C5209" s="7">
        <v>46042</v>
      </c>
      <c r="D5209" s="7">
        <v>46104</v>
      </c>
      <c r="E5209" s="8">
        <v>1</v>
      </c>
      <c r="F5209" s="6" t="str">
        <f t="shared" ref="F5209:F5232" si="1391">"PURE R"</f>
        <v>PURE R</v>
      </c>
      <c r="G5209" s="6" t="str">
        <f>"R010000635000000"</f>
        <v>R010000635000000</v>
      </c>
      <c r="H5209" s="6" t="str">
        <f>"Alexis Cotoral Pure"</f>
        <v>Alexis Cotoral Pure</v>
      </c>
      <c r="I5209" s="6" t="str">
        <f t="shared" ref="I5209:I5221" si="1392">"121"</f>
        <v>121</v>
      </c>
      <c r="J5209" s="6" t="str">
        <f t="shared" ref="J5209:J5221" si="1393">"ROSA 121"</f>
        <v>ROSA 121</v>
      </c>
      <c r="K5209" s="6" t="str">
        <f>"5002"</f>
        <v>5002</v>
      </c>
      <c r="L5209" s="6" t="str">
        <f>"Roupões Adulto"</f>
        <v>Roupões Adulto</v>
      </c>
      <c r="M5209" s="6" t="str">
        <f>"S"</f>
        <v>S</v>
      </c>
      <c r="N5209" s="6" t="str">
        <f>"5602972637823"</f>
        <v>5602972637823</v>
      </c>
      <c r="O5209" s="8">
        <v>24</v>
      </c>
      <c r="P5209" s="7">
        <v>46042</v>
      </c>
      <c r="R5209" s="8">
        <v>0</v>
      </c>
      <c r="S5209" s="7">
        <v>46045</v>
      </c>
      <c r="U5209" s="8">
        <v>675</v>
      </c>
      <c r="V5209" s="7">
        <v>46056</v>
      </c>
      <c r="X5209" s="8">
        <v>0</v>
      </c>
      <c r="Z5209" s="8">
        <v>0</v>
      </c>
      <c r="AA5209" s="7">
        <v>46066</v>
      </c>
      <c r="AC5209" s="8">
        <v>0</v>
      </c>
      <c r="AE5209" s="7">
        <v>46104</v>
      </c>
      <c r="AF5209" s="8">
        <v>0</v>
      </c>
      <c r="AH5209" s="7">
        <v>46104</v>
      </c>
      <c r="AI5209" s="7">
        <v>46100</v>
      </c>
      <c r="AN5209" s="8">
        <v>0</v>
      </c>
      <c r="AO5209" s="8">
        <v>24</v>
      </c>
    </row>
    <row r="5210" spans="1:41" x14ac:dyDescent="0.25">
      <c r="A5210" s="6" t="str">
        <f t="shared" si="1390"/>
        <v>525-2026000028</v>
      </c>
      <c r="B5210" s="6" t="str">
        <f t="shared" si="1386"/>
        <v>Lasa Int</v>
      </c>
      <c r="C5210" s="7">
        <v>46042</v>
      </c>
      <c r="D5210" s="7">
        <v>46104</v>
      </c>
      <c r="E5210" s="8">
        <v>2</v>
      </c>
      <c r="F5210" s="6" t="str">
        <f t="shared" si="1391"/>
        <v>PURE R</v>
      </c>
      <c r="G5210" s="6" t="str">
        <f>"R010000635000000"</f>
        <v>R010000635000000</v>
      </c>
      <c r="H5210" s="6" t="str">
        <f>"Alexis Cotoral Pure"</f>
        <v>Alexis Cotoral Pure</v>
      </c>
      <c r="I5210" s="6" t="str">
        <f t="shared" si="1392"/>
        <v>121</v>
      </c>
      <c r="J5210" s="6" t="str">
        <f t="shared" si="1393"/>
        <v>ROSA 121</v>
      </c>
      <c r="K5210" s="6" t="str">
        <f>"5008"</f>
        <v>5008</v>
      </c>
      <c r="L5210" s="6" t="str">
        <f>"Roupões Adulto"</f>
        <v>Roupões Adulto</v>
      </c>
      <c r="M5210" s="6" t="str">
        <f>"XL"</f>
        <v>XL</v>
      </c>
      <c r="N5210" s="6" t="str">
        <f>"5602972637854"</f>
        <v>5602972637854</v>
      </c>
      <c r="O5210" s="8">
        <v>12</v>
      </c>
      <c r="P5210" s="7">
        <v>46042</v>
      </c>
      <c r="R5210" s="8">
        <v>0</v>
      </c>
      <c r="S5210" s="7">
        <v>46045</v>
      </c>
      <c r="U5210" s="8">
        <v>0</v>
      </c>
      <c r="V5210" s="7">
        <v>46056</v>
      </c>
      <c r="X5210" s="8">
        <v>0</v>
      </c>
      <c r="Z5210" s="8">
        <v>0</v>
      </c>
      <c r="AA5210" s="7">
        <v>46066</v>
      </c>
      <c r="AC5210" s="8">
        <v>0</v>
      </c>
      <c r="AE5210" s="7">
        <v>46104</v>
      </c>
      <c r="AF5210" s="8">
        <v>0</v>
      </c>
      <c r="AH5210" s="7">
        <v>46104</v>
      </c>
      <c r="AI5210" s="7">
        <v>46100</v>
      </c>
      <c r="AN5210" s="8">
        <v>0</v>
      </c>
      <c r="AO5210" s="8">
        <v>12</v>
      </c>
    </row>
    <row r="5211" spans="1:41" x14ac:dyDescent="0.25">
      <c r="A5211" s="6" t="str">
        <f t="shared" si="1390"/>
        <v>525-2026000028</v>
      </c>
      <c r="B5211" s="6" t="str">
        <f t="shared" si="1386"/>
        <v>Lasa Int</v>
      </c>
      <c r="C5211" s="7">
        <v>46042</v>
      </c>
      <c r="D5211" s="7">
        <v>46104</v>
      </c>
      <c r="E5211" s="8">
        <v>3</v>
      </c>
      <c r="F5211" s="6" t="str">
        <f t="shared" si="1391"/>
        <v>PURE R</v>
      </c>
      <c r="G5211" s="6" t="str">
        <f>"R013000138500000"</f>
        <v>R013000138500000</v>
      </c>
      <c r="H5211" s="6" t="str">
        <f>"Star PURE - Ketten 3"</f>
        <v>Star PURE - Ketten 3</v>
      </c>
      <c r="I5211" s="6" t="str">
        <f t="shared" si="1392"/>
        <v>121</v>
      </c>
      <c r="J5211" s="6" t="str">
        <f t="shared" si="1393"/>
        <v>ROSA 121</v>
      </c>
      <c r="K5211" s="6" t="str">
        <f>"5208"</f>
        <v>5208</v>
      </c>
      <c r="L5211" s="6" t="str">
        <f>"Roupões Criança"</f>
        <v>Roupões Criança</v>
      </c>
      <c r="M5211" s="6" t="str">
        <f>"8 Anos"</f>
        <v>8 Anos</v>
      </c>
      <c r="N5211" s="6" t="str">
        <f>"5602972878202"</f>
        <v>5602972878202</v>
      </c>
      <c r="O5211" s="8">
        <v>24</v>
      </c>
      <c r="P5211" s="7">
        <v>46042</v>
      </c>
      <c r="R5211" s="8">
        <v>0</v>
      </c>
      <c r="S5211" s="7">
        <v>46045</v>
      </c>
      <c r="U5211" s="8">
        <v>0</v>
      </c>
      <c r="V5211" s="7">
        <v>46056</v>
      </c>
      <c r="X5211" s="8">
        <v>0</v>
      </c>
      <c r="Z5211" s="8">
        <v>0</v>
      </c>
      <c r="AA5211" s="7">
        <v>46066</v>
      </c>
      <c r="AC5211" s="8">
        <v>0</v>
      </c>
      <c r="AE5211" s="7">
        <v>46104</v>
      </c>
      <c r="AF5211" s="8">
        <v>0</v>
      </c>
      <c r="AH5211" s="7">
        <v>46104</v>
      </c>
      <c r="AI5211" s="7">
        <v>46100</v>
      </c>
      <c r="AN5211" s="8">
        <v>0</v>
      </c>
      <c r="AO5211" s="8">
        <v>24</v>
      </c>
    </row>
    <row r="5212" spans="1:41" x14ac:dyDescent="0.25">
      <c r="A5212" s="6" t="str">
        <f t="shared" si="1390"/>
        <v>525-2026000028</v>
      </c>
      <c r="B5212" s="6" t="str">
        <f t="shared" si="1386"/>
        <v>Lasa Int</v>
      </c>
      <c r="C5212" s="7">
        <v>46042</v>
      </c>
      <c r="D5212" s="7">
        <v>46104</v>
      </c>
      <c r="E5212" s="8">
        <v>4</v>
      </c>
      <c r="F5212" s="6" t="str">
        <f t="shared" si="1391"/>
        <v>PURE R</v>
      </c>
      <c r="G5212" s="6" t="str">
        <f>"R013000138500000"</f>
        <v>R013000138500000</v>
      </c>
      <c r="H5212" s="6" t="str">
        <f>"Star PURE - Ketten 3"</f>
        <v>Star PURE - Ketten 3</v>
      </c>
      <c r="I5212" s="6" t="str">
        <f t="shared" si="1392"/>
        <v>121</v>
      </c>
      <c r="J5212" s="6" t="str">
        <f t="shared" si="1393"/>
        <v>ROSA 121</v>
      </c>
      <c r="K5212" s="6" t="str">
        <f>"5210"</f>
        <v>5210</v>
      </c>
      <c r="L5212" s="6" t="str">
        <f>"Roupões Criança"</f>
        <v>Roupões Criança</v>
      </c>
      <c r="M5212" s="6" t="str">
        <f>"10 Anos"</f>
        <v>10 Anos</v>
      </c>
      <c r="N5212" s="6" t="str">
        <f>"5602972878219"</f>
        <v>5602972878219</v>
      </c>
      <c r="O5212" s="8">
        <v>24</v>
      </c>
      <c r="P5212" s="7">
        <v>46042</v>
      </c>
      <c r="R5212" s="8">
        <v>0</v>
      </c>
      <c r="S5212" s="7">
        <v>46045</v>
      </c>
      <c r="U5212" s="8">
        <v>0</v>
      </c>
      <c r="V5212" s="7">
        <v>46056</v>
      </c>
      <c r="X5212" s="8">
        <v>0</v>
      </c>
      <c r="Z5212" s="8">
        <v>0</v>
      </c>
      <c r="AA5212" s="7">
        <v>46066</v>
      </c>
      <c r="AC5212" s="8">
        <v>0</v>
      </c>
      <c r="AE5212" s="7">
        <v>46104</v>
      </c>
      <c r="AF5212" s="8">
        <v>0</v>
      </c>
      <c r="AH5212" s="7">
        <v>46104</v>
      </c>
      <c r="AI5212" s="7">
        <v>46100</v>
      </c>
      <c r="AN5212" s="8">
        <v>0</v>
      </c>
      <c r="AO5212" s="8">
        <v>24</v>
      </c>
    </row>
    <row r="5213" spans="1:41" x14ac:dyDescent="0.25">
      <c r="A5213" s="6" t="str">
        <f t="shared" si="1390"/>
        <v>525-2026000028</v>
      </c>
      <c r="B5213" s="6" t="str">
        <f t="shared" si="1386"/>
        <v>Lasa Int</v>
      </c>
      <c r="C5213" s="7">
        <v>46042</v>
      </c>
      <c r="D5213" s="7">
        <v>46104</v>
      </c>
      <c r="E5213" s="8">
        <v>5</v>
      </c>
      <c r="F5213" s="6" t="str">
        <f t="shared" si="1391"/>
        <v>PURE R</v>
      </c>
      <c r="G5213" s="6" t="str">
        <f>"R013000138500000"</f>
        <v>R013000138500000</v>
      </c>
      <c r="H5213" s="6" t="str">
        <f>"Star PURE - Ketten 3"</f>
        <v>Star PURE - Ketten 3</v>
      </c>
      <c r="I5213" s="6" t="str">
        <f t="shared" si="1392"/>
        <v>121</v>
      </c>
      <c r="J5213" s="6" t="str">
        <f t="shared" si="1393"/>
        <v>ROSA 121</v>
      </c>
      <c r="K5213" s="6" t="str">
        <f>"5212"</f>
        <v>5212</v>
      </c>
      <c r="L5213" s="6" t="str">
        <f>"Roupões Criança"</f>
        <v>Roupões Criança</v>
      </c>
      <c r="M5213" s="6" t="str">
        <f>"12 Anos"</f>
        <v>12 Anos</v>
      </c>
      <c r="N5213" s="6" t="str">
        <f>"5602972878226"</f>
        <v>5602972878226</v>
      </c>
      <c r="O5213" s="8">
        <v>12</v>
      </c>
      <c r="P5213" s="7">
        <v>46042</v>
      </c>
      <c r="R5213" s="8">
        <v>0</v>
      </c>
      <c r="S5213" s="7">
        <v>46045</v>
      </c>
      <c r="U5213" s="8">
        <v>0</v>
      </c>
      <c r="V5213" s="7">
        <v>46056</v>
      </c>
      <c r="X5213" s="8">
        <v>0</v>
      </c>
      <c r="Z5213" s="8">
        <v>0</v>
      </c>
      <c r="AA5213" s="7">
        <v>46066</v>
      </c>
      <c r="AC5213" s="8">
        <v>0</v>
      </c>
      <c r="AE5213" s="7">
        <v>46104</v>
      </c>
      <c r="AF5213" s="8">
        <v>0</v>
      </c>
      <c r="AH5213" s="7">
        <v>46104</v>
      </c>
      <c r="AI5213" s="7">
        <v>46100</v>
      </c>
      <c r="AN5213" s="8">
        <v>0</v>
      </c>
      <c r="AO5213" s="8">
        <v>12</v>
      </c>
    </row>
    <row r="5214" spans="1:41" x14ac:dyDescent="0.25">
      <c r="A5214" s="6" t="str">
        <f t="shared" si="1390"/>
        <v>525-2026000028</v>
      </c>
      <c r="B5214" s="6" t="str">
        <f t="shared" si="1386"/>
        <v>Lasa Int</v>
      </c>
      <c r="C5214" s="7">
        <v>46042</v>
      </c>
      <c r="D5214" s="7">
        <v>46104</v>
      </c>
      <c r="E5214" s="8">
        <v>6</v>
      </c>
      <c r="F5214" s="6" t="str">
        <f t="shared" si="1391"/>
        <v>PURE R</v>
      </c>
      <c r="G5214" s="6" t="str">
        <f>"R013000138500000"</f>
        <v>R013000138500000</v>
      </c>
      <c r="H5214" s="6" t="str">
        <f>"Star PURE - Ketten 3"</f>
        <v>Star PURE - Ketten 3</v>
      </c>
      <c r="I5214" s="6" t="str">
        <f t="shared" si="1392"/>
        <v>121</v>
      </c>
      <c r="J5214" s="6" t="str">
        <f t="shared" si="1393"/>
        <v>ROSA 121</v>
      </c>
      <c r="K5214" s="6" t="str">
        <f>"5214"</f>
        <v>5214</v>
      </c>
      <c r="L5214" s="6" t="str">
        <f>"Roupões Criança"</f>
        <v>Roupões Criança</v>
      </c>
      <c r="M5214" s="6" t="str">
        <f>"14 Anos"</f>
        <v>14 Anos</v>
      </c>
      <c r="N5214" s="6" t="str">
        <f>"5602972878233"</f>
        <v>5602972878233</v>
      </c>
      <c r="O5214" s="8">
        <v>24</v>
      </c>
      <c r="P5214" s="7">
        <v>46042</v>
      </c>
      <c r="R5214" s="8">
        <v>0</v>
      </c>
      <c r="S5214" s="7">
        <v>46045</v>
      </c>
      <c r="U5214" s="8">
        <v>0</v>
      </c>
      <c r="V5214" s="7">
        <v>46056</v>
      </c>
      <c r="X5214" s="8">
        <v>0</v>
      </c>
      <c r="Z5214" s="8">
        <v>0</v>
      </c>
      <c r="AA5214" s="7">
        <v>46066</v>
      </c>
      <c r="AC5214" s="8">
        <v>0</v>
      </c>
      <c r="AE5214" s="7">
        <v>46104</v>
      </c>
      <c r="AF5214" s="8">
        <v>0</v>
      </c>
      <c r="AH5214" s="7">
        <v>46104</v>
      </c>
      <c r="AI5214" s="7">
        <v>46100</v>
      </c>
      <c r="AN5214" s="8">
        <v>0</v>
      </c>
      <c r="AO5214" s="8">
        <v>24</v>
      </c>
    </row>
    <row r="5215" spans="1:41" x14ac:dyDescent="0.25">
      <c r="A5215" s="6" t="str">
        <f t="shared" si="1390"/>
        <v>525-2026000028</v>
      </c>
      <c r="B5215" s="6" t="str">
        <f t="shared" si="1386"/>
        <v>Lasa Int</v>
      </c>
      <c r="C5215" s="7">
        <v>46042</v>
      </c>
      <c r="D5215" s="7">
        <v>46104</v>
      </c>
      <c r="E5215" s="8">
        <v>7</v>
      </c>
      <c r="F5215" s="6" t="str">
        <f t="shared" si="1391"/>
        <v>PURE R</v>
      </c>
      <c r="G5215" s="6" t="str">
        <f>"R120203038500000"</f>
        <v>R120203038500000</v>
      </c>
      <c r="H5215" s="6" t="str">
        <f>"R 2030 - Ketten PURE"</f>
        <v>R 2030 - Ketten PURE</v>
      </c>
      <c r="I5215" s="6" t="str">
        <f t="shared" si="1392"/>
        <v>121</v>
      </c>
      <c r="J5215" s="6" t="str">
        <f t="shared" si="1393"/>
        <v>ROSA 121</v>
      </c>
      <c r="K5215" s="6" t="str">
        <f>"5002"</f>
        <v>5002</v>
      </c>
      <c r="L5215" s="6" t="str">
        <f t="shared" ref="L5215:L5221" si="1394">"Roupões Adulto"</f>
        <v>Roupões Adulto</v>
      </c>
      <c r="M5215" s="6" t="str">
        <f>"S"</f>
        <v>S</v>
      </c>
      <c r="N5215" s="6" t="str">
        <f>"5605247644809"</f>
        <v>5605247644809</v>
      </c>
      <c r="O5215" s="8">
        <v>24</v>
      </c>
      <c r="P5215" s="7">
        <v>46042</v>
      </c>
      <c r="R5215" s="8">
        <v>0</v>
      </c>
      <c r="S5215" s="7">
        <v>46045</v>
      </c>
      <c r="U5215" s="8">
        <v>0</v>
      </c>
      <c r="V5215" s="7">
        <v>46056</v>
      </c>
      <c r="X5215" s="8">
        <v>0</v>
      </c>
      <c r="Z5215" s="8">
        <v>0</v>
      </c>
      <c r="AA5215" s="7">
        <v>46066</v>
      </c>
      <c r="AC5215" s="8">
        <v>0</v>
      </c>
      <c r="AE5215" s="7">
        <v>46104</v>
      </c>
      <c r="AF5215" s="8">
        <v>0</v>
      </c>
      <c r="AH5215" s="7">
        <v>46104</v>
      </c>
      <c r="AI5215" s="7">
        <v>46100</v>
      </c>
      <c r="AN5215" s="8">
        <v>0</v>
      </c>
      <c r="AO5215" s="8">
        <v>24</v>
      </c>
    </row>
    <row r="5216" spans="1:41" x14ac:dyDescent="0.25">
      <c r="A5216" s="6" t="str">
        <f t="shared" si="1390"/>
        <v>525-2026000028</v>
      </c>
      <c r="B5216" s="6" t="str">
        <f t="shared" si="1386"/>
        <v>Lasa Int</v>
      </c>
      <c r="C5216" s="7">
        <v>46042</v>
      </c>
      <c r="D5216" s="7">
        <v>46104</v>
      </c>
      <c r="E5216" s="8">
        <v>8</v>
      </c>
      <c r="F5216" s="6" t="str">
        <f t="shared" si="1391"/>
        <v>PURE R</v>
      </c>
      <c r="G5216" s="6" t="str">
        <f>"R120203038500000"</f>
        <v>R120203038500000</v>
      </c>
      <c r="H5216" s="6" t="str">
        <f>"R 2030 - Ketten PURE"</f>
        <v>R 2030 - Ketten PURE</v>
      </c>
      <c r="I5216" s="6" t="str">
        <f t="shared" si="1392"/>
        <v>121</v>
      </c>
      <c r="J5216" s="6" t="str">
        <f t="shared" si="1393"/>
        <v>ROSA 121</v>
      </c>
      <c r="K5216" s="6" t="str">
        <f>"5004"</f>
        <v>5004</v>
      </c>
      <c r="L5216" s="6" t="str">
        <f t="shared" si="1394"/>
        <v>Roupões Adulto</v>
      </c>
      <c r="M5216" s="6" t="str">
        <f>"M"</f>
        <v>M</v>
      </c>
      <c r="N5216" s="6" t="str">
        <f>"5605247644816"</f>
        <v>5605247644816</v>
      </c>
      <c r="O5216" s="8">
        <v>12</v>
      </c>
      <c r="P5216" s="7">
        <v>46042</v>
      </c>
      <c r="R5216" s="8">
        <v>0</v>
      </c>
      <c r="S5216" s="7">
        <v>46045</v>
      </c>
      <c r="U5216" s="8">
        <v>0</v>
      </c>
      <c r="V5216" s="7">
        <v>46056</v>
      </c>
      <c r="X5216" s="8">
        <v>0</v>
      </c>
      <c r="Z5216" s="8">
        <v>0</v>
      </c>
      <c r="AA5216" s="7">
        <v>46066</v>
      </c>
      <c r="AC5216" s="8">
        <v>0</v>
      </c>
      <c r="AE5216" s="7">
        <v>46104</v>
      </c>
      <c r="AF5216" s="8">
        <v>0</v>
      </c>
      <c r="AH5216" s="7">
        <v>46104</v>
      </c>
      <c r="AI5216" s="7">
        <v>46100</v>
      </c>
      <c r="AN5216" s="8">
        <v>0</v>
      </c>
      <c r="AO5216" s="8">
        <v>12</v>
      </c>
    </row>
    <row r="5217" spans="1:41" x14ac:dyDescent="0.25">
      <c r="A5217" s="6" t="str">
        <f t="shared" si="1390"/>
        <v>525-2026000028</v>
      </c>
      <c r="B5217" s="6" t="str">
        <f t="shared" si="1386"/>
        <v>Lasa Int</v>
      </c>
      <c r="C5217" s="7">
        <v>46042</v>
      </c>
      <c r="D5217" s="7">
        <v>46104</v>
      </c>
      <c r="E5217" s="8">
        <v>9</v>
      </c>
      <c r="F5217" s="6" t="str">
        <f t="shared" si="1391"/>
        <v>PURE R</v>
      </c>
      <c r="G5217" s="6" t="str">
        <f>"R120327038500000"</f>
        <v>R120327038500000</v>
      </c>
      <c r="H5217" s="6" t="str">
        <f>"R 3270 - PURE Capuz"</f>
        <v>R 3270 - PURE Capuz</v>
      </c>
      <c r="I5217" s="6" t="str">
        <f t="shared" si="1392"/>
        <v>121</v>
      </c>
      <c r="J5217" s="6" t="str">
        <f t="shared" si="1393"/>
        <v>ROSA 121</v>
      </c>
      <c r="K5217" s="6" t="str">
        <f>"5001"</f>
        <v>5001</v>
      </c>
      <c r="L5217" s="6" t="str">
        <f t="shared" si="1394"/>
        <v>Roupões Adulto</v>
      </c>
      <c r="M5217" s="6" t="str">
        <f>"XS"</f>
        <v>XS</v>
      </c>
      <c r="N5217" s="6" t="str">
        <f>"5602972645590"</f>
        <v>5602972645590</v>
      </c>
      <c r="O5217" s="8">
        <v>12</v>
      </c>
      <c r="P5217" s="7">
        <v>46042</v>
      </c>
      <c r="R5217" s="8">
        <v>0</v>
      </c>
      <c r="S5217" s="7">
        <v>46045</v>
      </c>
      <c r="U5217" s="8">
        <v>0</v>
      </c>
      <c r="V5217" s="7">
        <v>46056</v>
      </c>
      <c r="X5217" s="8">
        <v>0</v>
      </c>
      <c r="Z5217" s="8">
        <v>0</v>
      </c>
      <c r="AA5217" s="7">
        <v>46066</v>
      </c>
      <c r="AC5217" s="8">
        <v>0</v>
      </c>
      <c r="AE5217" s="7">
        <v>46104</v>
      </c>
      <c r="AF5217" s="8">
        <v>0</v>
      </c>
      <c r="AH5217" s="7">
        <v>46104</v>
      </c>
      <c r="AI5217" s="7">
        <v>46100</v>
      </c>
      <c r="AN5217" s="8">
        <v>0</v>
      </c>
      <c r="AO5217" s="8">
        <v>12</v>
      </c>
    </row>
    <row r="5218" spans="1:41" x14ac:dyDescent="0.25">
      <c r="A5218" s="6" t="str">
        <f t="shared" si="1390"/>
        <v>525-2026000028</v>
      </c>
      <c r="B5218" s="6" t="str">
        <f t="shared" si="1386"/>
        <v>Lasa Int</v>
      </c>
      <c r="C5218" s="7">
        <v>46042</v>
      </c>
      <c r="D5218" s="7">
        <v>46104</v>
      </c>
      <c r="E5218" s="8">
        <v>10</v>
      </c>
      <c r="F5218" s="6" t="str">
        <f t="shared" si="1391"/>
        <v>PURE R</v>
      </c>
      <c r="G5218" s="6" t="str">
        <f>"R120327038500000"</f>
        <v>R120327038500000</v>
      </c>
      <c r="H5218" s="6" t="str">
        <f>"R 3270 - PURE Capuz"</f>
        <v>R 3270 - PURE Capuz</v>
      </c>
      <c r="I5218" s="6" t="str">
        <f t="shared" si="1392"/>
        <v>121</v>
      </c>
      <c r="J5218" s="6" t="str">
        <f t="shared" si="1393"/>
        <v>ROSA 121</v>
      </c>
      <c r="K5218" s="6" t="str">
        <f>"5002"</f>
        <v>5002</v>
      </c>
      <c r="L5218" s="6" t="str">
        <f t="shared" si="1394"/>
        <v>Roupões Adulto</v>
      </c>
      <c r="M5218" s="6" t="str">
        <f>"S"</f>
        <v>S</v>
      </c>
      <c r="N5218" s="6" t="str">
        <f>"5602972645606"</f>
        <v>5602972645606</v>
      </c>
      <c r="O5218" s="8">
        <v>24</v>
      </c>
      <c r="P5218" s="7">
        <v>46042</v>
      </c>
      <c r="R5218" s="8">
        <v>0</v>
      </c>
      <c r="S5218" s="7">
        <v>46045</v>
      </c>
      <c r="U5218" s="8">
        <v>0</v>
      </c>
      <c r="V5218" s="7">
        <v>46056</v>
      </c>
      <c r="X5218" s="8">
        <v>0</v>
      </c>
      <c r="Z5218" s="8">
        <v>0</v>
      </c>
      <c r="AA5218" s="7">
        <v>46066</v>
      </c>
      <c r="AC5218" s="8">
        <v>0</v>
      </c>
      <c r="AE5218" s="7">
        <v>46104</v>
      </c>
      <c r="AF5218" s="8">
        <v>0</v>
      </c>
      <c r="AH5218" s="7">
        <v>46104</v>
      </c>
      <c r="AI5218" s="7">
        <v>46100</v>
      </c>
      <c r="AN5218" s="8">
        <v>0</v>
      </c>
      <c r="AO5218" s="8">
        <v>24</v>
      </c>
    </row>
    <row r="5219" spans="1:41" x14ac:dyDescent="0.25">
      <c r="A5219" s="6" t="str">
        <f t="shared" si="1390"/>
        <v>525-2026000028</v>
      </c>
      <c r="B5219" s="6" t="str">
        <f t="shared" si="1386"/>
        <v>Lasa Int</v>
      </c>
      <c r="C5219" s="7">
        <v>46042</v>
      </c>
      <c r="D5219" s="7">
        <v>46104</v>
      </c>
      <c r="E5219" s="8">
        <v>11</v>
      </c>
      <c r="F5219" s="6" t="str">
        <f t="shared" si="1391"/>
        <v>PURE R</v>
      </c>
      <c r="G5219" s="6" t="str">
        <f>"R120327038500000"</f>
        <v>R120327038500000</v>
      </c>
      <c r="H5219" s="6" t="str">
        <f>"R 3270 - PURE Capuz"</f>
        <v>R 3270 - PURE Capuz</v>
      </c>
      <c r="I5219" s="6" t="str">
        <f t="shared" si="1392"/>
        <v>121</v>
      </c>
      <c r="J5219" s="6" t="str">
        <f t="shared" si="1393"/>
        <v>ROSA 121</v>
      </c>
      <c r="K5219" s="6" t="str">
        <f>"5004"</f>
        <v>5004</v>
      </c>
      <c r="L5219" s="6" t="str">
        <f t="shared" si="1394"/>
        <v>Roupões Adulto</v>
      </c>
      <c r="M5219" s="6" t="str">
        <f>"M"</f>
        <v>M</v>
      </c>
      <c r="N5219" s="6" t="str">
        <f>"5602972645613"</f>
        <v>5602972645613</v>
      </c>
      <c r="O5219" s="8">
        <v>24</v>
      </c>
      <c r="P5219" s="7">
        <v>46042</v>
      </c>
      <c r="R5219" s="8">
        <v>0</v>
      </c>
      <c r="S5219" s="7">
        <v>46045</v>
      </c>
      <c r="U5219" s="8">
        <v>0</v>
      </c>
      <c r="V5219" s="7">
        <v>46056</v>
      </c>
      <c r="X5219" s="8">
        <v>0</v>
      </c>
      <c r="Z5219" s="8">
        <v>0</v>
      </c>
      <c r="AA5219" s="7">
        <v>46066</v>
      </c>
      <c r="AC5219" s="8">
        <v>0</v>
      </c>
      <c r="AE5219" s="7">
        <v>46104</v>
      </c>
      <c r="AF5219" s="8">
        <v>0</v>
      </c>
      <c r="AH5219" s="7">
        <v>46104</v>
      </c>
      <c r="AI5219" s="7">
        <v>46100</v>
      </c>
      <c r="AN5219" s="8">
        <v>0</v>
      </c>
      <c r="AO5219" s="8">
        <v>24</v>
      </c>
    </row>
    <row r="5220" spans="1:41" x14ac:dyDescent="0.25">
      <c r="A5220" s="6" t="str">
        <f t="shared" si="1390"/>
        <v>525-2026000028</v>
      </c>
      <c r="B5220" s="6" t="str">
        <f t="shared" si="1386"/>
        <v>Lasa Int</v>
      </c>
      <c r="C5220" s="7">
        <v>46042</v>
      </c>
      <c r="D5220" s="7">
        <v>46104</v>
      </c>
      <c r="E5220" s="8">
        <v>12</v>
      </c>
      <c r="F5220" s="6" t="str">
        <f t="shared" si="1391"/>
        <v>PURE R</v>
      </c>
      <c r="G5220" s="6" t="str">
        <f>"R120327038500000"</f>
        <v>R120327038500000</v>
      </c>
      <c r="H5220" s="6" t="str">
        <f>"R 3270 - PURE Capuz"</f>
        <v>R 3270 - PURE Capuz</v>
      </c>
      <c r="I5220" s="6" t="str">
        <f t="shared" si="1392"/>
        <v>121</v>
      </c>
      <c r="J5220" s="6" t="str">
        <f t="shared" si="1393"/>
        <v>ROSA 121</v>
      </c>
      <c r="K5220" s="6" t="str">
        <f>"5006"</f>
        <v>5006</v>
      </c>
      <c r="L5220" s="6" t="str">
        <f t="shared" si="1394"/>
        <v>Roupões Adulto</v>
      </c>
      <c r="M5220" s="6" t="str">
        <f>"L"</f>
        <v>L</v>
      </c>
      <c r="N5220" s="6" t="str">
        <f>"5602972645620"</f>
        <v>5602972645620</v>
      </c>
      <c r="O5220" s="8">
        <v>12</v>
      </c>
      <c r="P5220" s="7">
        <v>46042</v>
      </c>
      <c r="R5220" s="8">
        <v>0</v>
      </c>
      <c r="S5220" s="7">
        <v>46045</v>
      </c>
      <c r="U5220" s="8">
        <v>0</v>
      </c>
      <c r="V5220" s="7">
        <v>46056</v>
      </c>
      <c r="X5220" s="8">
        <v>0</v>
      </c>
      <c r="Z5220" s="8">
        <v>0</v>
      </c>
      <c r="AA5220" s="7">
        <v>46066</v>
      </c>
      <c r="AC5220" s="8">
        <v>0</v>
      </c>
      <c r="AE5220" s="7">
        <v>46104</v>
      </c>
      <c r="AF5220" s="8">
        <v>0</v>
      </c>
      <c r="AH5220" s="7">
        <v>46104</v>
      </c>
      <c r="AI5220" s="7">
        <v>46100</v>
      </c>
      <c r="AN5220" s="8">
        <v>0</v>
      </c>
      <c r="AO5220" s="8">
        <v>12</v>
      </c>
    </row>
    <row r="5221" spans="1:41" x14ac:dyDescent="0.25">
      <c r="A5221" s="6" t="str">
        <f t="shared" si="1390"/>
        <v>525-2026000028</v>
      </c>
      <c r="B5221" s="6" t="str">
        <f t="shared" si="1386"/>
        <v>Lasa Int</v>
      </c>
      <c r="C5221" s="7">
        <v>46042</v>
      </c>
      <c r="D5221" s="7">
        <v>46104</v>
      </c>
      <c r="E5221" s="8">
        <v>13</v>
      </c>
      <c r="F5221" s="6" t="str">
        <f t="shared" si="1391"/>
        <v>PURE R</v>
      </c>
      <c r="G5221" s="6" t="str">
        <f>"R120327038500000"</f>
        <v>R120327038500000</v>
      </c>
      <c r="H5221" s="6" t="str">
        <f>"R 3270 - PURE Capuz"</f>
        <v>R 3270 - PURE Capuz</v>
      </c>
      <c r="I5221" s="6" t="str">
        <f t="shared" si="1392"/>
        <v>121</v>
      </c>
      <c r="J5221" s="6" t="str">
        <f t="shared" si="1393"/>
        <v>ROSA 121</v>
      </c>
      <c r="K5221" s="6" t="str">
        <f>"5008"</f>
        <v>5008</v>
      </c>
      <c r="L5221" s="6" t="str">
        <f t="shared" si="1394"/>
        <v>Roupões Adulto</v>
      </c>
      <c r="M5221" s="6" t="str">
        <f>"XL"</f>
        <v>XL</v>
      </c>
      <c r="N5221" s="6" t="str">
        <f>"5602972645637"</f>
        <v>5602972645637</v>
      </c>
      <c r="O5221" s="8">
        <v>12</v>
      </c>
      <c r="P5221" s="7">
        <v>46042</v>
      </c>
      <c r="R5221" s="8">
        <v>0</v>
      </c>
      <c r="S5221" s="7">
        <v>46045</v>
      </c>
      <c r="U5221" s="8">
        <v>0</v>
      </c>
      <c r="V5221" s="7">
        <v>46056</v>
      </c>
      <c r="X5221" s="8">
        <v>0</v>
      </c>
      <c r="Z5221" s="8">
        <v>0</v>
      </c>
      <c r="AA5221" s="7">
        <v>46066</v>
      </c>
      <c r="AC5221" s="8">
        <v>0</v>
      </c>
      <c r="AE5221" s="7">
        <v>46104</v>
      </c>
      <c r="AF5221" s="8">
        <v>0</v>
      </c>
      <c r="AH5221" s="7">
        <v>46104</v>
      </c>
      <c r="AI5221" s="7">
        <v>46100</v>
      </c>
      <c r="AN5221" s="8">
        <v>0</v>
      </c>
      <c r="AO5221" s="8">
        <v>12</v>
      </c>
    </row>
    <row r="5222" spans="1:41" x14ac:dyDescent="0.25">
      <c r="A5222" s="6" t="str">
        <f t="shared" ref="A5222:A5232" si="1395">"525-2026000029"</f>
        <v>525-2026000029</v>
      </c>
      <c r="B5222" s="6" t="str">
        <f t="shared" si="1386"/>
        <v>Lasa Int</v>
      </c>
      <c r="C5222" s="7">
        <v>46042</v>
      </c>
      <c r="D5222" s="7">
        <v>46104</v>
      </c>
      <c r="E5222" s="8">
        <v>1</v>
      </c>
      <c r="F5222" s="6" t="str">
        <f t="shared" si="1391"/>
        <v>PURE R</v>
      </c>
      <c r="G5222" s="6" t="str">
        <f>"K018000135000000"</f>
        <v>K018000135000000</v>
      </c>
      <c r="H5222" s="6" t="str">
        <f>"Chinelos - LI - 350"</f>
        <v>Chinelos - LI - 350</v>
      </c>
      <c r="I5222" s="6" t="str">
        <f t="shared" ref="I5222:I5237" si="1396">"1"</f>
        <v>1</v>
      </c>
      <c r="J5222" s="6" t="str">
        <f t="shared" ref="J5222:J5237" si="1397">"BRANCO"</f>
        <v>BRANCO</v>
      </c>
      <c r="K5222" s="6" t="str">
        <f>"4813"</f>
        <v>4813</v>
      </c>
      <c r="L5222" s="6" t="str">
        <f>"Chinelos"</f>
        <v>Chinelos</v>
      </c>
      <c r="M5222" s="6" t="str">
        <f>"43"</f>
        <v>43</v>
      </c>
      <c r="N5222" s="6" t="str">
        <f>"5602972907018"</f>
        <v>5602972907018</v>
      </c>
      <c r="O5222" s="8">
        <v>80</v>
      </c>
      <c r="P5222" s="7">
        <v>46042</v>
      </c>
      <c r="R5222" s="8">
        <v>0</v>
      </c>
      <c r="S5222" s="7">
        <v>46045</v>
      </c>
      <c r="U5222" s="8">
        <v>0</v>
      </c>
      <c r="V5222" s="7">
        <v>46056</v>
      </c>
      <c r="X5222" s="8">
        <v>0</v>
      </c>
      <c r="Z5222" s="8">
        <v>0</v>
      </c>
      <c r="AA5222" s="7">
        <v>46066</v>
      </c>
      <c r="AC5222" s="8">
        <v>0</v>
      </c>
      <c r="AE5222" s="7">
        <v>46104</v>
      </c>
      <c r="AF5222" s="8">
        <v>0</v>
      </c>
      <c r="AH5222" s="7">
        <v>46104</v>
      </c>
      <c r="AI5222" s="7">
        <v>46100</v>
      </c>
      <c r="AN5222" s="8">
        <v>0</v>
      </c>
      <c r="AO5222" s="8">
        <v>80</v>
      </c>
    </row>
    <row r="5223" spans="1:41" x14ac:dyDescent="0.25">
      <c r="A5223" s="6" t="str">
        <f t="shared" si="1395"/>
        <v>525-2026000029</v>
      </c>
      <c r="B5223" s="6" t="str">
        <f t="shared" si="1386"/>
        <v>Lasa Int</v>
      </c>
      <c r="C5223" s="7">
        <v>46042</v>
      </c>
      <c r="D5223" s="7">
        <v>46104</v>
      </c>
      <c r="E5223" s="8">
        <v>2</v>
      </c>
      <c r="F5223" s="6" t="str">
        <f t="shared" si="1391"/>
        <v>PURE R</v>
      </c>
      <c r="G5223" s="6" t="str">
        <f t="shared" ref="G5223:G5228" si="1398">"R010000635000000"</f>
        <v>R010000635000000</v>
      </c>
      <c r="H5223" s="6" t="str">
        <f t="shared" ref="H5223:H5228" si="1399">"Alexis Cotoral Pure"</f>
        <v>Alexis Cotoral Pure</v>
      </c>
      <c r="I5223" s="6" t="str">
        <f t="shared" si="1396"/>
        <v>1</v>
      </c>
      <c r="J5223" s="6" t="str">
        <f t="shared" si="1397"/>
        <v>BRANCO</v>
      </c>
      <c r="K5223" s="6" t="str">
        <f>"5002"</f>
        <v>5002</v>
      </c>
      <c r="L5223" s="6" t="str">
        <f t="shared" ref="L5223:L5228" si="1400">"Roupões Adulto"</f>
        <v>Roupões Adulto</v>
      </c>
      <c r="M5223" s="6" t="str">
        <f>"S"</f>
        <v>S</v>
      </c>
      <c r="N5223" s="6" t="str">
        <f>"5602972837957"</f>
        <v>5602972837957</v>
      </c>
      <c r="O5223" s="8">
        <v>120</v>
      </c>
      <c r="P5223" s="7">
        <v>46042</v>
      </c>
      <c r="R5223" s="8">
        <v>0</v>
      </c>
      <c r="S5223" s="7">
        <v>46045</v>
      </c>
      <c r="U5223" s="8">
        <v>1620</v>
      </c>
      <c r="V5223" s="7">
        <v>46056</v>
      </c>
      <c r="X5223" s="8">
        <v>0</v>
      </c>
      <c r="Z5223" s="8">
        <v>0</v>
      </c>
      <c r="AA5223" s="7">
        <v>46066</v>
      </c>
      <c r="AC5223" s="8">
        <v>0</v>
      </c>
      <c r="AE5223" s="7">
        <v>46104</v>
      </c>
      <c r="AF5223" s="8">
        <v>0</v>
      </c>
      <c r="AH5223" s="7">
        <v>46104</v>
      </c>
      <c r="AI5223" s="7">
        <v>46100</v>
      </c>
      <c r="AN5223" s="8">
        <v>0</v>
      </c>
      <c r="AO5223" s="8">
        <v>120</v>
      </c>
    </row>
    <row r="5224" spans="1:41" x14ac:dyDescent="0.25">
      <c r="A5224" s="6" t="str">
        <f t="shared" si="1395"/>
        <v>525-2026000029</v>
      </c>
      <c r="B5224" s="6" t="str">
        <f t="shared" si="1386"/>
        <v>Lasa Int</v>
      </c>
      <c r="C5224" s="7">
        <v>46042</v>
      </c>
      <c r="D5224" s="7">
        <v>46104</v>
      </c>
      <c r="E5224" s="8">
        <v>3</v>
      </c>
      <c r="F5224" s="6" t="str">
        <f t="shared" si="1391"/>
        <v>PURE R</v>
      </c>
      <c r="G5224" s="6" t="str">
        <f t="shared" si="1398"/>
        <v>R010000635000000</v>
      </c>
      <c r="H5224" s="6" t="str">
        <f t="shared" si="1399"/>
        <v>Alexis Cotoral Pure</v>
      </c>
      <c r="I5224" s="6" t="str">
        <f t="shared" si="1396"/>
        <v>1</v>
      </c>
      <c r="J5224" s="6" t="str">
        <f t="shared" si="1397"/>
        <v>BRANCO</v>
      </c>
      <c r="K5224" s="6" t="str">
        <f>"5004"</f>
        <v>5004</v>
      </c>
      <c r="L5224" s="6" t="str">
        <f t="shared" si="1400"/>
        <v>Roupões Adulto</v>
      </c>
      <c r="M5224" s="6" t="str">
        <f>"M"</f>
        <v>M</v>
      </c>
      <c r="N5224" s="6" t="str">
        <f>"5602972837964"</f>
        <v>5602972837964</v>
      </c>
      <c r="O5224" s="8">
        <v>120</v>
      </c>
      <c r="P5224" s="7">
        <v>46042</v>
      </c>
      <c r="R5224" s="8">
        <v>0</v>
      </c>
      <c r="S5224" s="7">
        <v>46045</v>
      </c>
      <c r="U5224" s="8">
        <v>0</v>
      </c>
      <c r="V5224" s="7">
        <v>46056</v>
      </c>
      <c r="X5224" s="8">
        <v>0</v>
      </c>
      <c r="Z5224" s="8">
        <v>0</v>
      </c>
      <c r="AA5224" s="7">
        <v>46066</v>
      </c>
      <c r="AC5224" s="8">
        <v>0</v>
      </c>
      <c r="AE5224" s="7">
        <v>46104</v>
      </c>
      <c r="AF5224" s="8">
        <v>0</v>
      </c>
      <c r="AH5224" s="7">
        <v>46104</v>
      </c>
      <c r="AI5224" s="7">
        <v>46100</v>
      </c>
      <c r="AN5224" s="8">
        <v>0</v>
      </c>
      <c r="AO5224" s="8">
        <v>120</v>
      </c>
    </row>
    <row r="5225" spans="1:41" x14ac:dyDescent="0.25">
      <c r="A5225" s="6" t="str">
        <f t="shared" si="1395"/>
        <v>525-2026000029</v>
      </c>
      <c r="B5225" s="6" t="str">
        <f t="shared" si="1386"/>
        <v>Lasa Int</v>
      </c>
      <c r="C5225" s="7">
        <v>46042</v>
      </c>
      <c r="D5225" s="7">
        <v>46104</v>
      </c>
      <c r="E5225" s="8">
        <v>4</v>
      </c>
      <c r="F5225" s="6" t="str">
        <f t="shared" si="1391"/>
        <v>PURE R</v>
      </c>
      <c r="G5225" s="6" t="str">
        <f t="shared" si="1398"/>
        <v>R010000635000000</v>
      </c>
      <c r="H5225" s="6" t="str">
        <f t="shared" si="1399"/>
        <v>Alexis Cotoral Pure</v>
      </c>
      <c r="I5225" s="6" t="str">
        <f t="shared" si="1396"/>
        <v>1</v>
      </c>
      <c r="J5225" s="6" t="str">
        <f t="shared" si="1397"/>
        <v>BRANCO</v>
      </c>
      <c r="K5225" s="6" t="str">
        <f>"5006"</f>
        <v>5006</v>
      </c>
      <c r="L5225" s="6" t="str">
        <f t="shared" si="1400"/>
        <v>Roupões Adulto</v>
      </c>
      <c r="M5225" s="6" t="str">
        <f>"L"</f>
        <v>L</v>
      </c>
      <c r="N5225" s="6" t="str">
        <f>"5602972837971"</f>
        <v>5602972837971</v>
      </c>
      <c r="O5225" s="8">
        <v>120</v>
      </c>
      <c r="P5225" s="7">
        <v>46042</v>
      </c>
      <c r="R5225" s="8">
        <v>0</v>
      </c>
      <c r="S5225" s="7">
        <v>46045</v>
      </c>
      <c r="U5225" s="8">
        <v>0</v>
      </c>
      <c r="V5225" s="7">
        <v>46056</v>
      </c>
      <c r="X5225" s="8">
        <v>0</v>
      </c>
      <c r="Z5225" s="8">
        <v>0</v>
      </c>
      <c r="AA5225" s="7">
        <v>46066</v>
      </c>
      <c r="AC5225" s="8">
        <v>0</v>
      </c>
      <c r="AE5225" s="7">
        <v>46104</v>
      </c>
      <c r="AF5225" s="8">
        <v>0</v>
      </c>
      <c r="AH5225" s="7">
        <v>46104</v>
      </c>
      <c r="AI5225" s="7">
        <v>46100</v>
      </c>
      <c r="AN5225" s="8">
        <v>0</v>
      </c>
      <c r="AO5225" s="8">
        <v>120</v>
      </c>
    </row>
    <row r="5226" spans="1:41" x14ac:dyDescent="0.25">
      <c r="A5226" s="6" t="str">
        <f t="shared" si="1395"/>
        <v>525-2026000029</v>
      </c>
      <c r="B5226" s="6" t="str">
        <f t="shared" si="1386"/>
        <v>Lasa Int</v>
      </c>
      <c r="C5226" s="7">
        <v>46042</v>
      </c>
      <c r="D5226" s="7">
        <v>46104</v>
      </c>
      <c r="E5226" s="8">
        <v>5</v>
      </c>
      <c r="F5226" s="6" t="str">
        <f t="shared" si="1391"/>
        <v>PURE R</v>
      </c>
      <c r="G5226" s="6" t="str">
        <f t="shared" si="1398"/>
        <v>R010000635000000</v>
      </c>
      <c r="H5226" s="6" t="str">
        <f t="shared" si="1399"/>
        <v>Alexis Cotoral Pure</v>
      </c>
      <c r="I5226" s="6" t="str">
        <f t="shared" si="1396"/>
        <v>1</v>
      </c>
      <c r="J5226" s="6" t="str">
        <f t="shared" si="1397"/>
        <v>BRANCO</v>
      </c>
      <c r="K5226" s="6" t="str">
        <f>"5008"</f>
        <v>5008</v>
      </c>
      <c r="L5226" s="6" t="str">
        <f t="shared" si="1400"/>
        <v>Roupões Adulto</v>
      </c>
      <c r="M5226" s="6" t="str">
        <f>"XL"</f>
        <v>XL</v>
      </c>
      <c r="N5226" s="6" t="str">
        <f>"5602972837988"</f>
        <v>5602972837988</v>
      </c>
      <c r="O5226" s="8">
        <v>24</v>
      </c>
      <c r="P5226" s="7">
        <v>46042</v>
      </c>
      <c r="R5226" s="8">
        <v>0</v>
      </c>
      <c r="S5226" s="7">
        <v>46045</v>
      </c>
      <c r="U5226" s="8">
        <v>0</v>
      </c>
      <c r="V5226" s="7">
        <v>46056</v>
      </c>
      <c r="X5226" s="8">
        <v>0</v>
      </c>
      <c r="Z5226" s="8">
        <v>0</v>
      </c>
      <c r="AA5226" s="7">
        <v>46066</v>
      </c>
      <c r="AC5226" s="8">
        <v>0</v>
      </c>
      <c r="AE5226" s="7">
        <v>46104</v>
      </c>
      <c r="AF5226" s="8">
        <v>0</v>
      </c>
      <c r="AH5226" s="7">
        <v>46104</v>
      </c>
      <c r="AI5226" s="7">
        <v>46100</v>
      </c>
      <c r="AN5226" s="8">
        <v>0</v>
      </c>
      <c r="AO5226" s="8">
        <v>24</v>
      </c>
    </row>
    <row r="5227" spans="1:41" x14ac:dyDescent="0.25">
      <c r="A5227" s="6" t="str">
        <f t="shared" si="1395"/>
        <v>525-2026000029</v>
      </c>
      <c r="B5227" s="6" t="str">
        <f t="shared" si="1386"/>
        <v>Lasa Int</v>
      </c>
      <c r="C5227" s="7">
        <v>46042</v>
      </c>
      <c r="D5227" s="7">
        <v>46104</v>
      </c>
      <c r="E5227" s="8">
        <v>6</v>
      </c>
      <c r="F5227" s="6" t="str">
        <f t="shared" si="1391"/>
        <v>PURE R</v>
      </c>
      <c r="G5227" s="6" t="str">
        <f t="shared" si="1398"/>
        <v>R010000635000000</v>
      </c>
      <c r="H5227" s="6" t="str">
        <f t="shared" si="1399"/>
        <v>Alexis Cotoral Pure</v>
      </c>
      <c r="I5227" s="6" t="str">
        <f t="shared" si="1396"/>
        <v>1</v>
      </c>
      <c r="J5227" s="6" t="str">
        <f t="shared" si="1397"/>
        <v>BRANCO</v>
      </c>
      <c r="K5227" s="6" t="str">
        <f>"5010"</f>
        <v>5010</v>
      </c>
      <c r="L5227" s="6" t="str">
        <f t="shared" si="1400"/>
        <v>Roupões Adulto</v>
      </c>
      <c r="M5227" s="6" t="str">
        <f>"XXL"</f>
        <v>XXL</v>
      </c>
      <c r="N5227" s="6" t="str">
        <f>"5602972855685"</f>
        <v>5602972855685</v>
      </c>
      <c r="O5227" s="8">
        <v>24</v>
      </c>
      <c r="P5227" s="7">
        <v>46042</v>
      </c>
      <c r="R5227" s="8">
        <v>0</v>
      </c>
      <c r="S5227" s="7">
        <v>46045</v>
      </c>
      <c r="U5227" s="8">
        <v>0</v>
      </c>
      <c r="V5227" s="7">
        <v>46056</v>
      </c>
      <c r="X5227" s="8">
        <v>0</v>
      </c>
      <c r="Z5227" s="8">
        <v>0</v>
      </c>
      <c r="AA5227" s="7">
        <v>46066</v>
      </c>
      <c r="AC5227" s="8">
        <v>0</v>
      </c>
      <c r="AE5227" s="7">
        <v>46104</v>
      </c>
      <c r="AF5227" s="8">
        <v>0</v>
      </c>
      <c r="AH5227" s="7">
        <v>46104</v>
      </c>
      <c r="AI5227" s="7">
        <v>46100</v>
      </c>
      <c r="AN5227" s="8">
        <v>0</v>
      </c>
      <c r="AO5227" s="8">
        <v>24</v>
      </c>
    </row>
    <row r="5228" spans="1:41" x14ac:dyDescent="0.25">
      <c r="A5228" s="6" t="str">
        <f t="shared" si="1395"/>
        <v>525-2026000029</v>
      </c>
      <c r="B5228" s="6" t="str">
        <f t="shared" si="1386"/>
        <v>Lasa Int</v>
      </c>
      <c r="C5228" s="7">
        <v>46042</v>
      </c>
      <c r="D5228" s="7">
        <v>46104</v>
      </c>
      <c r="E5228" s="8">
        <v>7</v>
      </c>
      <c r="F5228" s="6" t="str">
        <f t="shared" si="1391"/>
        <v>PURE R</v>
      </c>
      <c r="G5228" s="6" t="str">
        <f t="shared" si="1398"/>
        <v>R010000635000000</v>
      </c>
      <c r="H5228" s="6" t="str">
        <f t="shared" si="1399"/>
        <v>Alexis Cotoral Pure</v>
      </c>
      <c r="I5228" s="6" t="str">
        <f t="shared" si="1396"/>
        <v>1</v>
      </c>
      <c r="J5228" s="6" t="str">
        <f t="shared" si="1397"/>
        <v>BRANCO</v>
      </c>
      <c r="K5228" s="6" t="str">
        <f>"5012"</f>
        <v>5012</v>
      </c>
      <c r="L5228" s="6" t="str">
        <f t="shared" si="1400"/>
        <v>Roupões Adulto</v>
      </c>
      <c r="M5228" s="6" t="str">
        <f>"XXXL"</f>
        <v>XXXL</v>
      </c>
      <c r="N5228" s="6" t="str">
        <f>"5602972674248"</f>
        <v>5602972674248</v>
      </c>
      <c r="O5228" s="8">
        <v>12</v>
      </c>
      <c r="P5228" s="7">
        <v>46042</v>
      </c>
      <c r="R5228" s="8">
        <v>0</v>
      </c>
      <c r="S5228" s="7">
        <v>46045</v>
      </c>
      <c r="U5228" s="8">
        <v>0</v>
      </c>
      <c r="V5228" s="7">
        <v>46056</v>
      </c>
      <c r="X5228" s="8">
        <v>0</v>
      </c>
      <c r="Z5228" s="8">
        <v>0</v>
      </c>
      <c r="AA5228" s="7">
        <v>46066</v>
      </c>
      <c r="AC5228" s="8">
        <v>0</v>
      </c>
      <c r="AE5228" s="7">
        <v>46104</v>
      </c>
      <c r="AF5228" s="8">
        <v>0</v>
      </c>
      <c r="AH5228" s="7">
        <v>46104</v>
      </c>
      <c r="AI5228" s="7">
        <v>46100</v>
      </c>
      <c r="AN5228" s="8">
        <v>0</v>
      </c>
      <c r="AO5228" s="8">
        <v>12</v>
      </c>
    </row>
    <row r="5229" spans="1:41" x14ac:dyDescent="0.25">
      <c r="A5229" s="6" t="str">
        <f t="shared" si="1395"/>
        <v>525-2026000029</v>
      </c>
      <c r="B5229" s="6" t="str">
        <f t="shared" si="1386"/>
        <v>Lasa Int</v>
      </c>
      <c r="C5229" s="7">
        <v>46042</v>
      </c>
      <c r="D5229" s="7">
        <v>46104</v>
      </c>
      <c r="E5229" s="8">
        <v>8</v>
      </c>
      <c r="F5229" s="6" t="str">
        <f t="shared" si="1391"/>
        <v>PURE R</v>
      </c>
      <c r="G5229" s="6" t="str">
        <f>"R013000138500000"</f>
        <v>R013000138500000</v>
      </c>
      <c r="H5229" s="6" t="str">
        <f>"Star PURE - Ketten 3"</f>
        <v>Star PURE - Ketten 3</v>
      </c>
      <c r="I5229" s="6" t="str">
        <f t="shared" si="1396"/>
        <v>1</v>
      </c>
      <c r="J5229" s="6" t="str">
        <f t="shared" si="1397"/>
        <v>BRANCO</v>
      </c>
      <c r="K5229" s="6" t="str">
        <f>"5202"</f>
        <v>5202</v>
      </c>
      <c r="L5229" s="6" t="str">
        <f>"Roupões Criança"</f>
        <v>Roupões Criança</v>
      </c>
      <c r="M5229" s="6" t="str">
        <f>"2 Anos"</f>
        <v>2 Anos</v>
      </c>
      <c r="N5229" s="6" t="str">
        <f>"5602972853612"</f>
        <v>5602972853612</v>
      </c>
      <c r="O5229" s="8">
        <v>120</v>
      </c>
      <c r="P5229" s="7">
        <v>46042</v>
      </c>
      <c r="R5229" s="8">
        <v>0</v>
      </c>
      <c r="S5229" s="7">
        <v>46045</v>
      </c>
      <c r="U5229" s="8">
        <v>0</v>
      </c>
      <c r="V5229" s="7">
        <v>46056</v>
      </c>
      <c r="X5229" s="8">
        <v>0</v>
      </c>
      <c r="Z5229" s="8">
        <v>0</v>
      </c>
      <c r="AA5229" s="7">
        <v>46066</v>
      </c>
      <c r="AC5229" s="8">
        <v>0</v>
      </c>
      <c r="AE5229" s="7">
        <v>46104</v>
      </c>
      <c r="AF5229" s="8">
        <v>0</v>
      </c>
      <c r="AH5229" s="7">
        <v>46104</v>
      </c>
      <c r="AI5229" s="7">
        <v>46100</v>
      </c>
      <c r="AN5229" s="8">
        <v>0</v>
      </c>
      <c r="AO5229" s="8">
        <v>120</v>
      </c>
    </row>
    <row r="5230" spans="1:41" x14ac:dyDescent="0.25">
      <c r="A5230" s="6" t="str">
        <f t="shared" si="1395"/>
        <v>525-2026000029</v>
      </c>
      <c r="B5230" s="6" t="str">
        <f t="shared" si="1386"/>
        <v>Lasa Int</v>
      </c>
      <c r="C5230" s="7">
        <v>46042</v>
      </c>
      <c r="D5230" s="7">
        <v>46104</v>
      </c>
      <c r="E5230" s="8">
        <v>9</v>
      </c>
      <c r="F5230" s="6" t="str">
        <f t="shared" si="1391"/>
        <v>PURE R</v>
      </c>
      <c r="G5230" s="6" t="str">
        <f>"R013000138500000"</f>
        <v>R013000138500000</v>
      </c>
      <c r="H5230" s="6" t="str">
        <f>"Star PURE - Ketten 3"</f>
        <v>Star PURE - Ketten 3</v>
      </c>
      <c r="I5230" s="6" t="str">
        <f t="shared" si="1396"/>
        <v>1</v>
      </c>
      <c r="J5230" s="6" t="str">
        <f t="shared" si="1397"/>
        <v>BRANCO</v>
      </c>
      <c r="K5230" s="6" t="str">
        <f>"5206"</f>
        <v>5206</v>
      </c>
      <c r="L5230" s="6" t="str">
        <f>"Roupões Criança"</f>
        <v>Roupões Criança</v>
      </c>
      <c r="M5230" s="6" t="str">
        <f>"6 Anos"</f>
        <v>6 Anos</v>
      </c>
      <c r="N5230" s="6" t="str">
        <f>"5602972853636"</f>
        <v>5602972853636</v>
      </c>
      <c r="O5230" s="8">
        <v>24</v>
      </c>
      <c r="P5230" s="7">
        <v>46042</v>
      </c>
      <c r="R5230" s="8">
        <v>0</v>
      </c>
      <c r="S5230" s="7">
        <v>46045</v>
      </c>
      <c r="U5230" s="8">
        <v>0</v>
      </c>
      <c r="V5230" s="7">
        <v>46056</v>
      </c>
      <c r="X5230" s="8">
        <v>0</v>
      </c>
      <c r="Z5230" s="8">
        <v>0</v>
      </c>
      <c r="AA5230" s="7">
        <v>46066</v>
      </c>
      <c r="AC5230" s="8">
        <v>0</v>
      </c>
      <c r="AE5230" s="7">
        <v>46104</v>
      </c>
      <c r="AF5230" s="8">
        <v>0</v>
      </c>
      <c r="AH5230" s="7">
        <v>46104</v>
      </c>
      <c r="AI5230" s="7">
        <v>46100</v>
      </c>
      <c r="AN5230" s="8">
        <v>0</v>
      </c>
      <c r="AO5230" s="8">
        <v>24</v>
      </c>
    </row>
    <row r="5231" spans="1:41" x14ac:dyDescent="0.25">
      <c r="A5231" s="6" t="str">
        <f t="shared" si="1395"/>
        <v>525-2026000029</v>
      </c>
      <c r="B5231" s="6" t="str">
        <f t="shared" si="1386"/>
        <v>Lasa Int</v>
      </c>
      <c r="C5231" s="7">
        <v>46042</v>
      </c>
      <c r="D5231" s="7">
        <v>46104</v>
      </c>
      <c r="E5231" s="8">
        <v>10</v>
      </c>
      <c r="F5231" s="6" t="str">
        <f t="shared" si="1391"/>
        <v>PURE R</v>
      </c>
      <c r="G5231" s="6" t="str">
        <f>"R013000138500000"</f>
        <v>R013000138500000</v>
      </c>
      <c r="H5231" s="6" t="str">
        <f>"Star PURE - Ketten 3"</f>
        <v>Star PURE - Ketten 3</v>
      </c>
      <c r="I5231" s="6" t="str">
        <f t="shared" si="1396"/>
        <v>1</v>
      </c>
      <c r="J5231" s="6" t="str">
        <f t="shared" si="1397"/>
        <v>BRANCO</v>
      </c>
      <c r="K5231" s="6" t="str">
        <f>"5212"</f>
        <v>5212</v>
      </c>
      <c r="L5231" s="6" t="str">
        <f>"Roupões Criança"</f>
        <v>Roupões Criança</v>
      </c>
      <c r="M5231" s="6" t="str">
        <f>"12 Anos"</f>
        <v>12 Anos</v>
      </c>
      <c r="N5231" s="6" t="str">
        <f>"5602972853667"</f>
        <v>5602972853667</v>
      </c>
      <c r="O5231" s="8">
        <v>24</v>
      </c>
      <c r="P5231" s="7">
        <v>46042</v>
      </c>
      <c r="R5231" s="8">
        <v>0</v>
      </c>
      <c r="S5231" s="7">
        <v>46045</v>
      </c>
      <c r="U5231" s="8">
        <v>0</v>
      </c>
      <c r="V5231" s="7">
        <v>46056</v>
      </c>
      <c r="X5231" s="8">
        <v>0</v>
      </c>
      <c r="Z5231" s="8">
        <v>0</v>
      </c>
      <c r="AA5231" s="7">
        <v>46066</v>
      </c>
      <c r="AC5231" s="8">
        <v>0</v>
      </c>
      <c r="AE5231" s="7">
        <v>46104</v>
      </c>
      <c r="AF5231" s="8">
        <v>0</v>
      </c>
      <c r="AH5231" s="7">
        <v>46104</v>
      </c>
      <c r="AI5231" s="7">
        <v>46100</v>
      </c>
      <c r="AN5231" s="8">
        <v>0</v>
      </c>
      <c r="AO5231" s="8">
        <v>24</v>
      </c>
    </row>
    <row r="5232" spans="1:41" x14ac:dyDescent="0.25">
      <c r="A5232" s="6" t="str">
        <f t="shared" si="1395"/>
        <v>525-2026000029</v>
      </c>
      <c r="B5232" s="6" t="str">
        <f t="shared" si="1386"/>
        <v>Lasa Int</v>
      </c>
      <c r="C5232" s="7">
        <v>46042</v>
      </c>
      <c r="D5232" s="7">
        <v>46104</v>
      </c>
      <c r="E5232" s="8">
        <v>11</v>
      </c>
      <c r="F5232" s="6" t="str">
        <f t="shared" si="1391"/>
        <v>PURE R</v>
      </c>
      <c r="G5232" s="6" t="str">
        <f>"R120203038500000"</f>
        <v>R120203038500000</v>
      </c>
      <c r="H5232" s="6" t="str">
        <f>"R 2030 - Ketten PURE"</f>
        <v>R 2030 - Ketten PURE</v>
      </c>
      <c r="I5232" s="6" t="str">
        <f t="shared" si="1396"/>
        <v>1</v>
      </c>
      <c r="J5232" s="6" t="str">
        <f t="shared" si="1397"/>
        <v>BRANCO</v>
      </c>
      <c r="K5232" s="6" t="str">
        <f>"5004"</f>
        <v>5004</v>
      </c>
      <c r="L5232" s="6" t="str">
        <f>"Roupões Adulto"</f>
        <v>Roupões Adulto</v>
      </c>
      <c r="M5232" s="6" t="str">
        <f>"M"</f>
        <v>M</v>
      </c>
      <c r="N5232" s="6" t="str">
        <f>"5605247600447"</f>
        <v>5605247600447</v>
      </c>
      <c r="O5232" s="8">
        <v>24</v>
      </c>
      <c r="P5232" s="7">
        <v>46042</v>
      </c>
      <c r="R5232" s="8">
        <v>0</v>
      </c>
      <c r="S5232" s="7">
        <v>46045</v>
      </c>
      <c r="U5232" s="8">
        <v>0</v>
      </c>
      <c r="V5232" s="7">
        <v>46056</v>
      </c>
      <c r="X5232" s="8">
        <v>0</v>
      </c>
      <c r="Z5232" s="8">
        <v>0</v>
      </c>
      <c r="AA5232" s="7">
        <v>46066</v>
      </c>
      <c r="AC5232" s="8">
        <v>0</v>
      </c>
      <c r="AE5232" s="7">
        <v>46104</v>
      </c>
      <c r="AF5232" s="8">
        <v>0</v>
      </c>
      <c r="AH5232" s="7">
        <v>46104</v>
      </c>
      <c r="AI5232" s="7">
        <v>46100</v>
      </c>
      <c r="AN5232" s="8">
        <v>0</v>
      </c>
      <c r="AO5232" s="8">
        <v>24</v>
      </c>
    </row>
    <row r="5233" spans="1:41" x14ac:dyDescent="0.25">
      <c r="A5233" s="6" t="str">
        <f>"525-2026000030"</f>
        <v>525-2026000030</v>
      </c>
      <c r="B5233" s="6" t="str">
        <f t="shared" si="1386"/>
        <v>Lasa Int</v>
      </c>
      <c r="C5233" s="7">
        <v>46042</v>
      </c>
      <c r="D5233" s="7">
        <v>46112</v>
      </c>
      <c r="E5233" s="8">
        <v>2</v>
      </c>
      <c r="F5233" s="6" t="str">
        <f>"LH - ROUPÕES"</f>
        <v>LH - ROUPÕES</v>
      </c>
      <c r="G5233" s="6" t="str">
        <f>"R108341226000000"</f>
        <v>R108341226000000</v>
      </c>
      <c r="H5233" s="6" t="str">
        <f>"R 3412 (WAFFLE) - FA"</f>
        <v>R 3412 (WAFFLE) - FA</v>
      </c>
      <c r="I5233" s="6" t="str">
        <f t="shared" si="1396"/>
        <v>1</v>
      </c>
      <c r="J5233" s="6" t="str">
        <f t="shared" si="1397"/>
        <v>BRANCO</v>
      </c>
      <c r="K5233" s="6" t="str">
        <f>"5008"</f>
        <v>5008</v>
      </c>
      <c r="L5233" s="6" t="str">
        <f>"Roupões Adulto"</f>
        <v>Roupões Adulto</v>
      </c>
      <c r="M5233" s="6" t="str">
        <f>"XL"</f>
        <v>XL</v>
      </c>
      <c r="N5233" s="6" t="str">
        <f>"5602972265415"</f>
        <v>5602972265415</v>
      </c>
      <c r="O5233" s="8">
        <v>60</v>
      </c>
      <c r="P5233" s="7">
        <v>46042</v>
      </c>
      <c r="R5233" s="8">
        <v>0</v>
      </c>
      <c r="S5233" s="7">
        <v>46045</v>
      </c>
      <c r="U5233" s="8">
        <v>0</v>
      </c>
      <c r="V5233" s="7">
        <v>46056</v>
      </c>
      <c r="X5233" s="8">
        <v>0</v>
      </c>
      <c r="Z5233" s="8">
        <v>0</v>
      </c>
      <c r="AA5233" s="7">
        <v>46066</v>
      </c>
      <c r="AC5233" s="8">
        <v>0</v>
      </c>
      <c r="AE5233" s="7">
        <v>46072</v>
      </c>
      <c r="AF5233" s="8">
        <v>0</v>
      </c>
      <c r="AH5233" s="7">
        <v>46080</v>
      </c>
      <c r="AN5233" s="8">
        <v>0</v>
      </c>
      <c r="AO5233" s="8">
        <v>60</v>
      </c>
    </row>
    <row r="5234" spans="1:41" x14ac:dyDescent="0.25">
      <c r="A5234" s="6" t="str">
        <f>"525-2026000030"</f>
        <v>525-2026000030</v>
      </c>
      <c r="B5234" s="6" t="str">
        <f t="shared" si="1386"/>
        <v>Lasa Int</v>
      </c>
      <c r="C5234" s="7">
        <v>46042</v>
      </c>
      <c r="D5234" s="7">
        <v>46112</v>
      </c>
      <c r="E5234" s="8">
        <v>3</v>
      </c>
      <c r="F5234" s="6" t="str">
        <f>"LH - ROUPÕES"</f>
        <v>LH - ROUPÕES</v>
      </c>
      <c r="G5234" s="6" t="str">
        <f>"R108341226000000"</f>
        <v>R108341226000000</v>
      </c>
      <c r="H5234" s="6" t="str">
        <f>"R 3412 (WAFFLE) - FA"</f>
        <v>R 3412 (WAFFLE) - FA</v>
      </c>
      <c r="I5234" s="6" t="str">
        <f t="shared" si="1396"/>
        <v>1</v>
      </c>
      <c r="J5234" s="6" t="str">
        <f t="shared" si="1397"/>
        <v>BRANCO</v>
      </c>
      <c r="K5234" s="6" t="str">
        <f>"5004"</f>
        <v>5004</v>
      </c>
      <c r="L5234" s="6" t="str">
        <f>"Roupões Adulto"</f>
        <v>Roupões Adulto</v>
      </c>
      <c r="M5234" s="6" t="str">
        <f>"M"</f>
        <v>M</v>
      </c>
      <c r="N5234" s="6" t="str">
        <f>"5602972265408"</f>
        <v>5602972265408</v>
      </c>
      <c r="O5234" s="8">
        <v>60</v>
      </c>
      <c r="P5234" s="7">
        <v>46042</v>
      </c>
      <c r="R5234" s="8">
        <v>0</v>
      </c>
      <c r="S5234" s="7">
        <v>46045</v>
      </c>
      <c r="U5234" s="8">
        <v>0</v>
      </c>
      <c r="V5234" s="7">
        <v>46056</v>
      </c>
      <c r="X5234" s="8">
        <v>0</v>
      </c>
      <c r="Z5234" s="8">
        <v>0</v>
      </c>
      <c r="AA5234" s="7">
        <v>46066</v>
      </c>
      <c r="AC5234" s="8">
        <v>0</v>
      </c>
      <c r="AE5234" s="7">
        <v>46072</v>
      </c>
      <c r="AF5234" s="8">
        <v>0</v>
      </c>
      <c r="AH5234" s="7">
        <v>46080</v>
      </c>
      <c r="AN5234" s="8">
        <v>0</v>
      </c>
      <c r="AO5234" s="8">
        <v>60</v>
      </c>
    </row>
    <row r="5235" spans="1:41" x14ac:dyDescent="0.25">
      <c r="A5235" s="6" t="str">
        <f>"525-2026000030"</f>
        <v>525-2026000030</v>
      </c>
      <c r="B5235" s="6" t="str">
        <f t="shared" si="1386"/>
        <v>Lasa Int</v>
      </c>
      <c r="C5235" s="7">
        <v>46042</v>
      </c>
      <c r="D5235" s="7">
        <v>46112</v>
      </c>
      <c r="E5235" s="8">
        <v>5</v>
      </c>
      <c r="F5235" s="6" t="str">
        <f>"LH - ROUPÕES"</f>
        <v>LH - ROUPÕES</v>
      </c>
      <c r="G5235" s="6" t="str">
        <f>"K108171526000000"</f>
        <v>K108171526000000</v>
      </c>
      <c r="H5235" s="6" t="str">
        <f>"KB 1715 (WAFFLE) - F"</f>
        <v>KB 1715 (WAFFLE) - F</v>
      </c>
      <c r="I5235" s="6" t="str">
        <f t="shared" si="1396"/>
        <v>1</v>
      </c>
      <c r="J5235" s="6" t="str">
        <f t="shared" si="1397"/>
        <v>BRANCO</v>
      </c>
      <c r="K5235" s="6" t="str">
        <f>"4808"</f>
        <v>4808</v>
      </c>
      <c r="L5235" s="6" t="str">
        <f>"Chinelos"</f>
        <v>Chinelos</v>
      </c>
      <c r="M5235" s="6" t="str">
        <f>"38"</f>
        <v>38</v>
      </c>
      <c r="N5235" s="6" t="str">
        <f>"5602972265422"</f>
        <v>5602972265422</v>
      </c>
      <c r="O5235" s="8">
        <v>50</v>
      </c>
      <c r="P5235" s="7">
        <v>46042</v>
      </c>
      <c r="R5235" s="8">
        <v>0</v>
      </c>
      <c r="S5235" s="7">
        <v>46045</v>
      </c>
      <c r="U5235" s="8">
        <v>0</v>
      </c>
      <c r="V5235" s="7">
        <v>46056</v>
      </c>
      <c r="X5235" s="8">
        <v>0</v>
      </c>
      <c r="Z5235" s="8">
        <v>0</v>
      </c>
      <c r="AA5235" s="7">
        <v>46066</v>
      </c>
      <c r="AC5235" s="8">
        <v>0</v>
      </c>
      <c r="AE5235" s="7">
        <v>46072</v>
      </c>
      <c r="AF5235" s="8">
        <v>0</v>
      </c>
      <c r="AH5235" s="7">
        <v>46080</v>
      </c>
      <c r="AN5235" s="8">
        <v>0</v>
      </c>
      <c r="AO5235" s="8">
        <v>50</v>
      </c>
    </row>
    <row r="5236" spans="1:41" x14ac:dyDescent="0.25">
      <c r="A5236" s="6" t="str">
        <f>"525-2026000030"</f>
        <v>525-2026000030</v>
      </c>
      <c r="B5236" s="6" t="str">
        <f t="shared" si="1386"/>
        <v>Lasa Int</v>
      </c>
      <c r="C5236" s="7">
        <v>46042</v>
      </c>
      <c r="D5236" s="7">
        <v>46112</v>
      </c>
      <c r="E5236" s="8">
        <v>6</v>
      </c>
      <c r="F5236" s="6" t="str">
        <f>"LH - ROUPÕES"</f>
        <v>LH - ROUPÕES</v>
      </c>
      <c r="G5236" s="6" t="str">
        <f>"K108171526000000"</f>
        <v>K108171526000000</v>
      </c>
      <c r="H5236" s="6" t="str">
        <f>"KB 1715 (WAFFLE) - F"</f>
        <v>KB 1715 (WAFFLE) - F</v>
      </c>
      <c r="I5236" s="6" t="str">
        <f t="shared" si="1396"/>
        <v>1</v>
      </c>
      <c r="J5236" s="6" t="str">
        <f t="shared" si="1397"/>
        <v>BRANCO</v>
      </c>
      <c r="K5236" s="6" t="str">
        <f>"4811"</f>
        <v>4811</v>
      </c>
      <c r="L5236" s="6" t="str">
        <f>"Chinelos"</f>
        <v>Chinelos</v>
      </c>
      <c r="M5236" s="6" t="str">
        <f>"42"</f>
        <v>42</v>
      </c>
      <c r="N5236" s="6" t="str">
        <f>"5602972265439"</f>
        <v>5602972265439</v>
      </c>
      <c r="O5236" s="8">
        <v>60</v>
      </c>
      <c r="P5236" s="7">
        <v>46042</v>
      </c>
      <c r="R5236" s="8">
        <v>0</v>
      </c>
      <c r="S5236" s="7">
        <v>46045</v>
      </c>
      <c r="U5236" s="8">
        <v>0</v>
      </c>
      <c r="V5236" s="7">
        <v>46056</v>
      </c>
      <c r="X5236" s="8">
        <v>0</v>
      </c>
      <c r="Z5236" s="8">
        <v>0</v>
      </c>
      <c r="AA5236" s="7">
        <v>46066</v>
      </c>
      <c r="AC5236" s="8">
        <v>0</v>
      </c>
      <c r="AE5236" s="7">
        <v>46072</v>
      </c>
      <c r="AF5236" s="8">
        <v>0</v>
      </c>
      <c r="AH5236" s="7">
        <v>46080</v>
      </c>
      <c r="AN5236" s="8">
        <v>0</v>
      </c>
      <c r="AO5236" s="8">
        <v>60</v>
      </c>
    </row>
    <row r="5237" spans="1:41" x14ac:dyDescent="0.25">
      <c r="A5237" s="6" t="str">
        <f>"525-2026000030"</f>
        <v>525-2026000030</v>
      </c>
      <c r="B5237" s="6" t="str">
        <f t="shared" si="1386"/>
        <v>Lasa Int</v>
      </c>
      <c r="C5237" s="7">
        <v>46042</v>
      </c>
      <c r="D5237" s="7">
        <v>46112</v>
      </c>
      <c r="E5237" s="8">
        <v>7</v>
      </c>
      <c r="F5237" s="6" t="str">
        <f>"LH - ROUPÕES"</f>
        <v>LH - ROUPÕES</v>
      </c>
      <c r="G5237" s="6" t="str">
        <f>"K108171726000000"</f>
        <v>K108171726000000</v>
      </c>
      <c r="H5237" s="6" t="str">
        <f>"KB 1717 (WAFFLE) - F"</f>
        <v>KB 1717 (WAFFLE) - F</v>
      </c>
      <c r="I5237" s="6" t="str">
        <f t="shared" si="1396"/>
        <v>1</v>
      </c>
      <c r="J5237" s="6" t="str">
        <f t="shared" si="1397"/>
        <v>BRANCO</v>
      </c>
      <c r="K5237" s="6" t="str">
        <f>"8000"</f>
        <v>8000</v>
      </c>
      <c r="L5237" s="6" t="str">
        <f>"Diversos"</f>
        <v>Diversos</v>
      </c>
      <c r="M5237" s="6" t="str">
        <f>"Único"</f>
        <v>Único</v>
      </c>
      <c r="N5237" s="6" t="str">
        <f>"5602972265453"</f>
        <v>5602972265453</v>
      </c>
      <c r="O5237" s="8">
        <v>50</v>
      </c>
      <c r="P5237" s="7">
        <v>46042</v>
      </c>
      <c r="R5237" s="8">
        <v>0</v>
      </c>
      <c r="S5237" s="7">
        <v>46045</v>
      </c>
      <c r="U5237" s="8">
        <v>0</v>
      </c>
      <c r="V5237" s="7">
        <v>46056</v>
      </c>
      <c r="X5237" s="8">
        <v>0</v>
      </c>
      <c r="Z5237" s="8">
        <v>0</v>
      </c>
      <c r="AA5237" s="7">
        <v>46066</v>
      </c>
      <c r="AC5237" s="8">
        <v>0</v>
      </c>
      <c r="AE5237" s="7">
        <v>46072</v>
      </c>
      <c r="AF5237" s="8">
        <v>0</v>
      </c>
      <c r="AH5237" s="7">
        <v>46080</v>
      </c>
      <c r="AN5237" s="8">
        <v>0</v>
      </c>
      <c r="AO5237" s="8">
        <v>50</v>
      </c>
    </row>
    <row r="5238" spans="1:41" x14ac:dyDescent="0.25">
      <c r="A5238" s="6" t="str">
        <f t="shared" ref="A5238:A5243" si="1401">"525-2026000031"</f>
        <v>525-2026000031</v>
      </c>
      <c r="B5238" s="6" t="str">
        <f t="shared" si="1386"/>
        <v>Lasa Int</v>
      </c>
      <c r="C5238" s="7">
        <v>46043</v>
      </c>
      <c r="D5238" s="7">
        <v>46105</v>
      </c>
      <c r="E5238" s="8">
        <v>1</v>
      </c>
      <c r="F5238" s="6" t="str">
        <f t="shared" ref="F5238:F5243" si="1402">"PURE R"</f>
        <v>PURE R</v>
      </c>
      <c r="G5238" s="6" t="str">
        <f>"K018000135000000"</f>
        <v>K018000135000000</v>
      </c>
      <c r="H5238" s="6" t="str">
        <f>"Chinelos - LI - 350"</f>
        <v>Chinelos - LI - 350</v>
      </c>
      <c r="I5238" s="6" t="str">
        <f t="shared" ref="I5238:I5243" si="1403">"5148"</f>
        <v>5148</v>
      </c>
      <c r="J5238" s="6" t="str">
        <f t="shared" ref="J5238:J5243" si="1404">"BEGE 5148"</f>
        <v>BEGE 5148</v>
      </c>
      <c r="K5238" s="6" t="str">
        <f>"4813"</f>
        <v>4813</v>
      </c>
      <c r="L5238" s="6" t="str">
        <f>"Chinelos"</f>
        <v>Chinelos</v>
      </c>
      <c r="M5238" s="6" t="str">
        <f>"43"</f>
        <v>43</v>
      </c>
      <c r="N5238" s="6" t="str">
        <f>"5602972655230"</f>
        <v>5602972655230</v>
      </c>
      <c r="O5238" s="8">
        <v>60</v>
      </c>
      <c r="P5238" s="7">
        <v>46043</v>
      </c>
      <c r="R5238" s="8">
        <v>0</v>
      </c>
      <c r="S5238" s="7">
        <v>46048</v>
      </c>
      <c r="U5238" s="8">
        <v>0</v>
      </c>
      <c r="V5238" s="7">
        <v>46057</v>
      </c>
      <c r="X5238" s="8">
        <v>0</v>
      </c>
      <c r="Z5238" s="8">
        <v>0</v>
      </c>
      <c r="AA5238" s="7">
        <v>46071</v>
      </c>
      <c r="AC5238" s="8">
        <v>0</v>
      </c>
      <c r="AE5238" s="7">
        <v>46105</v>
      </c>
      <c r="AF5238" s="8">
        <v>0</v>
      </c>
      <c r="AH5238" s="7">
        <v>46105</v>
      </c>
      <c r="AI5238" s="7">
        <v>46101</v>
      </c>
      <c r="AN5238" s="8">
        <v>0</v>
      </c>
      <c r="AO5238" s="8">
        <v>60</v>
      </c>
    </row>
    <row r="5239" spans="1:41" x14ac:dyDescent="0.25">
      <c r="A5239" s="6" t="str">
        <f t="shared" si="1401"/>
        <v>525-2026000031</v>
      </c>
      <c r="B5239" s="6" t="str">
        <f t="shared" si="1386"/>
        <v>Lasa Int</v>
      </c>
      <c r="C5239" s="7">
        <v>46043</v>
      </c>
      <c r="D5239" s="7">
        <v>46105</v>
      </c>
      <c r="E5239" s="8">
        <v>2</v>
      </c>
      <c r="F5239" s="6" t="str">
        <f t="shared" si="1402"/>
        <v>PURE R</v>
      </c>
      <c r="G5239" s="6" t="str">
        <f>"R010000635000000"</f>
        <v>R010000635000000</v>
      </c>
      <c r="H5239" s="6" t="str">
        <f>"Alexis Cotoral Pure"</f>
        <v>Alexis Cotoral Pure</v>
      </c>
      <c r="I5239" s="6" t="str">
        <f t="shared" si="1403"/>
        <v>5148</v>
      </c>
      <c r="J5239" s="6" t="str">
        <f t="shared" si="1404"/>
        <v>BEGE 5148</v>
      </c>
      <c r="K5239" s="6" t="str">
        <f>"5002"</f>
        <v>5002</v>
      </c>
      <c r="L5239" s="6" t="str">
        <f>"Roupões Adulto"</f>
        <v>Roupões Adulto</v>
      </c>
      <c r="M5239" s="6" t="str">
        <f>"S"</f>
        <v>S</v>
      </c>
      <c r="N5239" s="6" t="str">
        <f>"5602972655179"</f>
        <v>5602972655179</v>
      </c>
      <c r="O5239" s="8">
        <v>60</v>
      </c>
      <c r="P5239" s="7">
        <v>46043</v>
      </c>
      <c r="R5239" s="8">
        <v>0</v>
      </c>
      <c r="S5239" s="7">
        <v>46048</v>
      </c>
      <c r="U5239" s="8">
        <v>945</v>
      </c>
      <c r="V5239" s="7">
        <v>46057</v>
      </c>
      <c r="X5239" s="8">
        <v>0</v>
      </c>
      <c r="Z5239" s="8">
        <v>0</v>
      </c>
      <c r="AA5239" s="7">
        <v>46071</v>
      </c>
      <c r="AC5239" s="8">
        <v>0</v>
      </c>
      <c r="AE5239" s="7">
        <v>46105</v>
      </c>
      <c r="AF5239" s="8">
        <v>0</v>
      </c>
      <c r="AH5239" s="7">
        <v>46105</v>
      </c>
      <c r="AI5239" s="7">
        <v>46101</v>
      </c>
      <c r="AN5239" s="8">
        <v>0</v>
      </c>
      <c r="AO5239" s="8">
        <v>60</v>
      </c>
    </row>
    <row r="5240" spans="1:41" x14ac:dyDescent="0.25">
      <c r="A5240" s="6" t="str">
        <f t="shared" si="1401"/>
        <v>525-2026000031</v>
      </c>
      <c r="B5240" s="6" t="str">
        <f t="shared" si="1386"/>
        <v>Lasa Int</v>
      </c>
      <c r="C5240" s="7">
        <v>46043</v>
      </c>
      <c r="D5240" s="7">
        <v>46105</v>
      </c>
      <c r="E5240" s="8">
        <v>3</v>
      </c>
      <c r="F5240" s="6" t="str">
        <f t="shared" si="1402"/>
        <v>PURE R</v>
      </c>
      <c r="G5240" s="6" t="str">
        <f>"R010000635000000"</f>
        <v>R010000635000000</v>
      </c>
      <c r="H5240" s="6" t="str">
        <f>"Alexis Cotoral Pure"</f>
        <v>Alexis Cotoral Pure</v>
      </c>
      <c r="I5240" s="6" t="str">
        <f t="shared" si="1403"/>
        <v>5148</v>
      </c>
      <c r="J5240" s="6" t="str">
        <f t="shared" si="1404"/>
        <v>BEGE 5148</v>
      </c>
      <c r="K5240" s="6" t="str">
        <f>"5004"</f>
        <v>5004</v>
      </c>
      <c r="L5240" s="6" t="str">
        <f>"Roupões Adulto"</f>
        <v>Roupões Adulto</v>
      </c>
      <c r="M5240" s="6" t="str">
        <f>"M"</f>
        <v>M</v>
      </c>
      <c r="N5240" s="6" t="str">
        <f>"5602972655186"</f>
        <v>5602972655186</v>
      </c>
      <c r="O5240" s="8">
        <v>36</v>
      </c>
      <c r="P5240" s="7">
        <v>46043</v>
      </c>
      <c r="R5240" s="8">
        <v>0</v>
      </c>
      <c r="S5240" s="7">
        <v>46048</v>
      </c>
      <c r="U5240" s="8">
        <v>0</v>
      </c>
      <c r="V5240" s="7">
        <v>46057</v>
      </c>
      <c r="X5240" s="8">
        <v>0</v>
      </c>
      <c r="Z5240" s="8">
        <v>0</v>
      </c>
      <c r="AA5240" s="7">
        <v>46071</v>
      </c>
      <c r="AC5240" s="8">
        <v>0</v>
      </c>
      <c r="AE5240" s="7">
        <v>46105</v>
      </c>
      <c r="AF5240" s="8">
        <v>0</v>
      </c>
      <c r="AH5240" s="7">
        <v>46105</v>
      </c>
      <c r="AI5240" s="7">
        <v>46101</v>
      </c>
      <c r="AN5240" s="8">
        <v>0</v>
      </c>
      <c r="AO5240" s="8">
        <v>36</v>
      </c>
    </row>
    <row r="5241" spans="1:41" x14ac:dyDescent="0.25">
      <c r="A5241" s="6" t="str">
        <f t="shared" si="1401"/>
        <v>525-2026000031</v>
      </c>
      <c r="B5241" s="6" t="str">
        <f t="shared" si="1386"/>
        <v>Lasa Int</v>
      </c>
      <c r="C5241" s="7">
        <v>46043</v>
      </c>
      <c r="D5241" s="7">
        <v>46105</v>
      </c>
      <c r="E5241" s="8">
        <v>4</v>
      </c>
      <c r="F5241" s="6" t="str">
        <f t="shared" si="1402"/>
        <v>PURE R</v>
      </c>
      <c r="G5241" s="6" t="str">
        <f>"R010000635000000"</f>
        <v>R010000635000000</v>
      </c>
      <c r="H5241" s="6" t="str">
        <f>"Alexis Cotoral Pure"</f>
        <v>Alexis Cotoral Pure</v>
      </c>
      <c r="I5241" s="6" t="str">
        <f t="shared" si="1403"/>
        <v>5148</v>
      </c>
      <c r="J5241" s="6" t="str">
        <f t="shared" si="1404"/>
        <v>BEGE 5148</v>
      </c>
      <c r="K5241" s="6" t="str">
        <f>"5006"</f>
        <v>5006</v>
      </c>
      <c r="L5241" s="6" t="str">
        <f>"Roupões Adulto"</f>
        <v>Roupões Adulto</v>
      </c>
      <c r="M5241" s="6" t="str">
        <f>"L"</f>
        <v>L</v>
      </c>
      <c r="N5241" s="6" t="str">
        <f>"5602972655193"</f>
        <v>5602972655193</v>
      </c>
      <c r="O5241" s="8">
        <v>144</v>
      </c>
      <c r="P5241" s="7">
        <v>46043</v>
      </c>
      <c r="R5241" s="8">
        <v>0</v>
      </c>
      <c r="S5241" s="7">
        <v>46048</v>
      </c>
      <c r="U5241" s="8">
        <v>0</v>
      </c>
      <c r="V5241" s="7">
        <v>46057</v>
      </c>
      <c r="X5241" s="8">
        <v>0</v>
      </c>
      <c r="Z5241" s="8">
        <v>0</v>
      </c>
      <c r="AA5241" s="7">
        <v>46071</v>
      </c>
      <c r="AC5241" s="8">
        <v>0</v>
      </c>
      <c r="AE5241" s="7">
        <v>46105</v>
      </c>
      <c r="AF5241" s="8">
        <v>0</v>
      </c>
      <c r="AH5241" s="7">
        <v>46105</v>
      </c>
      <c r="AI5241" s="7">
        <v>46101</v>
      </c>
      <c r="AN5241" s="8">
        <v>0</v>
      </c>
      <c r="AO5241" s="8">
        <v>144</v>
      </c>
    </row>
    <row r="5242" spans="1:41" x14ac:dyDescent="0.25">
      <c r="A5242" s="6" t="str">
        <f t="shared" si="1401"/>
        <v>525-2026000031</v>
      </c>
      <c r="B5242" s="6" t="str">
        <f t="shared" si="1386"/>
        <v>Lasa Int</v>
      </c>
      <c r="C5242" s="7">
        <v>46043</v>
      </c>
      <c r="D5242" s="7">
        <v>46105</v>
      </c>
      <c r="E5242" s="8">
        <v>5</v>
      </c>
      <c r="F5242" s="6" t="str">
        <f t="shared" si="1402"/>
        <v>PURE R</v>
      </c>
      <c r="G5242" s="6" t="str">
        <f>"R010000635000000"</f>
        <v>R010000635000000</v>
      </c>
      <c r="H5242" s="6" t="str">
        <f>"Alexis Cotoral Pure"</f>
        <v>Alexis Cotoral Pure</v>
      </c>
      <c r="I5242" s="6" t="str">
        <f t="shared" si="1403"/>
        <v>5148</v>
      </c>
      <c r="J5242" s="6" t="str">
        <f t="shared" si="1404"/>
        <v>BEGE 5148</v>
      </c>
      <c r="K5242" s="6" t="str">
        <f>"5008"</f>
        <v>5008</v>
      </c>
      <c r="L5242" s="6" t="str">
        <f>"Roupões Adulto"</f>
        <v>Roupões Adulto</v>
      </c>
      <c r="M5242" s="6" t="str">
        <f>"XL"</f>
        <v>XL</v>
      </c>
      <c r="N5242" s="6" t="str">
        <f>"5602972655209"</f>
        <v>5602972655209</v>
      </c>
      <c r="O5242" s="8">
        <v>72</v>
      </c>
      <c r="P5242" s="7">
        <v>46043</v>
      </c>
      <c r="R5242" s="8">
        <v>0</v>
      </c>
      <c r="S5242" s="7">
        <v>46048</v>
      </c>
      <c r="U5242" s="8">
        <v>0</v>
      </c>
      <c r="V5242" s="7">
        <v>46057</v>
      </c>
      <c r="X5242" s="8">
        <v>0</v>
      </c>
      <c r="Z5242" s="8">
        <v>0</v>
      </c>
      <c r="AA5242" s="7">
        <v>46071</v>
      </c>
      <c r="AC5242" s="8">
        <v>0</v>
      </c>
      <c r="AE5242" s="7">
        <v>46105</v>
      </c>
      <c r="AF5242" s="8">
        <v>0</v>
      </c>
      <c r="AH5242" s="7">
        <v>46105</v>
      </c>
      <c r="AI5242" s="7">
        <v>46101</v>
      </c>
      <c r="AN5242" s="8">
        <v>0</v>
      </c>
      <c r="AO5242" s="8">
        <v>72</v>
      </c>
    </row>
    <row r="5243" spans="1:41" x14ac:dyDescent="0.25">
      <c r="A5243" s="6" t="str">
        <f t="shared" si="1401"/>
        <v>525-2026000031</v>
      </c>
      <c r="B5243" s="6" t="str">
        <f t="shared" si="1386"/>
        <v>Lasa Int</v>
      </c>
      <c r="C5243" s="7">
        <v>46043</v>
      </c>
      <c r="D5243" s="7">
        <v>46105</v>
      </c>
      <c r="E5243" s="8">
        <v>6</v>
      </c>
      <c r="F5243" s="6" t="str">
        <f t="shared" si="1402"/>
        <v>PURE R</v>
      </c>
      <c r="G5243" s="6" t="str">
        <f>"R010000635000000"</f>
        <v>R010000635000000</v>
      </c>
      <c r="H5243" s="6" t="str">
        <f>"Alexis Cotoral Pure"</f>
        <v>Alexis Cotoral Pure</v>
      </c>
      <c r="I5243" s="6" t="str">
        <f t="shared" si="1403"/>
        <v>5148</v>
      </c>
      <c r="J5243" s="6" t="str">
        <f t="shared" si="1404"/>
        <v>BEGE 5148</v>
      </c>
      <c r="K5243" s="6" t="str">
        <f>"5010"</f>
        <v>5010</v>
      </c>
      <c r="L5243" s="6" t="str">
        <f>"Roupões Adulto"</f>
        <v>Roupões Adulto</v>
      </c>
      <c r="M5243" s="6" t="str">
        <f>"XXL"</f>
        <v>XXL</v>
      </c>
      <c r="N5243" s="6" t="str">
        <f>"5602972655216"</f>
        <v>5602972655216</v>
      </c>
      <c r="O5243" s="8">
        <v>12</v>
      </c>
      <c r="P5243" s="7">
        <v>46043</v>
      </c>
      <c r="R5243" s="8">
        <v>0</v>
      </c>
      <c r="S5243" s="7">
        <v>46048</v>
      </c>
      <c r="U5243" s="8">
        <v>0</v>
      </c>
      <c r="V5243" s="7">
        <v>46057</v>
      </c>
      <c r="X5243" s="8">
        <v>0</v>
      </c>
      <c r="Z5243" s="8">
        <v>0</v>
      </c>
      <c r="AA5243" s="7">
        <v>46071</v>
      </c>
      <c r="AC5243" s="8">
        <v>0</v>
      </c>
      <c r="AE5243" s="7">
        <v>46105</v>
      </c>
      <c r="AF5243" s="8">
        <v>0</v>
      </c>
      <c r="AH5243" s="7">
        <v>46105</v>
      </c>
      <c r="AI5243" s="7">
        <v>46101</v>
      </c>
      <c r="AN5243" s="8">
        <v>0</v>
      </c>
      <c r="AO5243" s="8">
        <v>12</v>
      </c>
    </row>
    <row r="5244" spans="1:41" x14ac:dyDescent="0.25">
      <c r="A5244" s="6" t="str">
        <f>"525-2026000032"</f>
        <v>525-2026000032</v>
      </c>
      <c r="B5244" s="6" t="str">
        <f>"KLEINMAN"</f>
        <v>KLEINMAN</v>
      </c>
      <c r="C5244" s="7">
        <v>46043</v>
      </c>
      <c r="D5244" s="7">
        <v>46059</v>
      </c>
      <c r="E5244" s="8">
        <v>1</v>
      </c>
      <c r="F5244" s="6" t="str">
        <f>"Varios"</f>
        <v>Varios</v>
      </c>
      <c r="G5244" s="6" t="str">
        <f>"C001090426004191"</f>
        <v>C001090426004191</v>
      </c>
      <c r="H5244" s="6" t="str">
        <f>"CZJ 0904 / 4191 - 26"</f>
        <v>CZJ 0904 / 4191 - 26</v>
      </c>
      <c r="I5244" s="6" t="str">
        <f>"202206"</f>
        <v>202206</v>
      </c>
      <c r="J5244" s="6" t="str">
        <f>"CINZA 2206"</f>
        <v>CINZA 2206</v>
      </c>
      <c r="K5244" s="6" t="str">
        <f>"0830"</f>
        <v>0830</v>
      </c>
      <c r="L5244" s="6" t="str">
        <f>"Cozinha"</f>
        <v>Cozinha</v>
      </c>
      <c r="M5244" s="6" t="str">
        <f>"50x70"</f>
        <v>50x70</v>
      </c>
      <c r="N5244" s="6" t="str">
        <f>"5605247934665"</f>
        <v>5605247934665</v>
      </c>
      <c r="O5244" s="8">
        <v>60</v>
      </c>
      <c r="P5244" s="7">
        <v>46043</v>
      </c>
      <c r="R5244" s="8">
        <v>0</v>
      </c>
      <c r="U5244" s="8">
        <v>0</v>
      </c>
      <c r="X5244" s="8">
        <v>0</v>
      </c>
      <c r="Z5244" s="8">
        <v>0</v>
      </c>
      <c r="AC5244" s="8">
        <v>0</v>
      </c>
      <c r="AE5244" s="7">
        <v>46050</v>
      </c>
      <c r="AF5244" s="8">
        <v>0</v>
      </c>
      <c r="AH5244" s="7">
        <v>46052</v>
      </c>
      <c r="AN5244" s="8">
        <v>0</v>
      </c>
      <c r="AO5244" s="8">
        <v>60</v>
      </c>
    </row>
    <row r="5245" spans="1:41" x14ac:dyDescent="0.25">
      <c r="A5245" s="6" t="str">
        <f>"525-2026000032"</f>
        <v>525-2026000032</v>
      </c>
      <c r="B5245" s="6" t="str">
        <f>"KLEINMAN"</f>
        <v>KLEINMAN</v>
      </c>
      <c r="C5245" s="7">
        <v>46043</v>
      </c>
      <c r="D5245" s="7">
        <v>46059</v>
      </c>
      <c r="E5245" s="8">
        <v>2</v>
      </c>
      <c r="F5245" s="6" t="str">
        <f>"Varios"</f>
        <v>Varios</v>
      </c>
      <c r="G5245" s="6" t="str">
        <f>"C001090426004185"</f>
        <v>C001090426004185</v>
      </c>
      <c r="H5245" s="6" t="str">
        <f>"CZJ 0904 / 4185 - 26"</f>
        <v>CZJ 0904 / 4185 - 26</v>
      </c>
      <c r="I5245" s="6" t="str">
        <f>"202206"</f>
        <v>202206</v>
      </c>
      <c r="J5245" s="6" t="str">
        <f>"CINZA 2206"</f>
        <v>CINZA 2206</v>
      </c>
      <c r="K5245" s="6" t="str">
        <f>"0830"</f>
        <v>0830</v>
      </c>
      <c r="L5245" s="6" t="str">
        <f>"Cozinha"</f>
        <v>Cozinha</v>
      </c>
      <c r="M5245" s="6" t="str">
        <f>"50x70"</f>
        <v>50x70</v>
      </c>
      <c r="N5245" s="6" t="str">
        <f>"5605247934658"</f>
        <v>5605247934658</v>
      </c>
      <c r="O5245" s="8">
        <v>60</v>
      </c>
      <c r="P5245" s="7">
        <v>46043</v>
      </c>
      <c r="R5245" s="8">
        <v>0</v>
      </c>
      <c r="U5245" s="8">
        <v>0</v>
      </c>
      <c r="X5245" s="8">
        <v>0</v>
      </c>
      <c r="Z5245" s="8">
        <v>0</v>
      </c>
      <c r="AC5245" s="8">
        <v>0</v>
      </c>
      <c r="AE5245" s="7">
        <v>46050</v>
      </c>
      <c r="AF5245" s="8">
        <v>0</v>
      </c>
      <c r="AH5245" s="7">
        <v>46052</v>
      </c>
      <c r="AN5245" s="8">
        <v>0</v>
      </c>
      <c r="AO5245" s="8">
        <v>60</v>
      </c>
    </row>
    <row r="5246" spans="1:41" x14ac:dyDescent="0.25">
      <c r="A5246" s="6" t="str">
        <f t="shared" ref="A5246:A5277" si="1405">"525-2026000033"</f>
        <v>525-2026000033</v>
      </c>
      <c r="B5246" s="6" t="str">
        <f t="shared" ref="B5246:B5277" si="1406">"Lasa Int"</f>
        <v>Lasa Int</v>
      </c>
      <c r="C5246" s="7">
        <v>46044</v>
      </c>
      <c r="D5246" s="7">
        <v>46086</v>
      </c>
      <c r="E5246" s="8">
        <v>1</v>
      </c>
      <c r="F5246" s="6" t="str">
        <f t="shared" ref="F5246:F5277" si="1407">"PURE"</f>
        <v>PURE</v>
      </c>
      <c r="G5246" s="6" t="str">
        <f t="shared" ref="G5246:G5277" si="1408">"F100021455000000"</f>
        <v>F100021455000000</v>
      </c>
      <c r="H5246" s="6" t="str">
        <f t="shared" ref="H5246:H5277" si="1409">"FA 214 - PURE - 550"</f>
        <v>FA 214 - PURE - 550</v>
      </c>
      <c r="I5246" s="6" t="str">
        <f>"1"</f>
        <v>1</v>
      </c>
      <c r="J5246" s="6" t="str">
        <f>"BRANCO"</f>
        <v>BRANCO</v>
      </c>
      <c r="K5246" s="6" t="str">
        <f>"0112"</f>
        <v>0112</v>
      </c>
      <c r="L5246" s="6" t="str">
        <f>"Luvas"</f>
        <v>Luvas</v>
      </c>
      <c r="M5246" s="6" t="str">
        <f>"16x21"</f>
        <v>16x21</v>
      </c>
      <c r="N5246" s="6" t="str">
        <f>"5602972836233"</f>
        <v>5602972836233</v>
      </c>
      <c r="O5246" s="8">
        <v>600</v>
      </c>
      <c r="P5246" s="7">
        <v>46044</v>
      </c>
      <c r="R5246" s="8">
        <v>0</v>
      </c>
      <c r="S5246" s="7">
        <v>46049</v>
      </c>
      <c r="U5246" s="8">
        <v>0</v>
      </c>
      <c r="V5246" s="7">
        <v>46065</v>
      </c>
      <c r="X5246" s="8">
        <v>0</v>
      </c>
      <c r="Z5246" s="8">
        <v>0</v>
      </c>
      <c r="AA5246" s="7">
        <v>46083</v>
      </c>
      <c r="AC5246" s="8">
        <v>0</v>
      </c>
      <c r="AE5246" s="7">
        <v>46086</v>
      </c>
      <c r="AF5246" s="8">
        <v>0</v>
      </c>
      <c r="AH5246" s="7">
        <v>46086</v>
      </c>
      <c r="AN5246" s="8">
        <v>0</v>
      </c>
      <c r="AO5246" s="8">
        <v>600</v>
      </c>
    </row>
    <row r="5247" spans="1:41" x14ac:dyDescent="0.25">
      <c r="A5247" s="6" t="str">
        <f t="shared" si="1405"/>
        <v>525-2026000033</v>
      </c>
      <c r="B5247" s="6" t="str">
        <f t="shared" si="1406"/>
        <v>Lasa Int</v>
      </c>
      <c r="C5247" s="7">
        <v>46044</v>
      </c>
      <c r="D5247" s="7">
        <v>46086</v>
      </c>
      <c r="E5247" s="8">
        <v>2</v>
      </c>
      <c r="F5247" s="6" t="str">
        <f t="shared" si="1407"/>
        <v>PURE</v>
      </c>
      <c r="G5247" s="6" t="str">
        <f t="shared" si="1408"/>
        <v>F100021455000000</v>
      </c>
      <c r="H5247" s="6" t="str">
        <f t="shared" si="1409"/>
        <v>FA 214 - PURE - 550</v>
      </c>
      <c r="I5247" s="6" t="str">
        <f>"1"</f>
        <v>1</v>
      </c>
      <c r="J5247" s="6" t="str">
        <f>"BRANCO"</f>
        <v>BRANCO</v>
      </c>
      <c r="K5247" s="6" t="str">
        <f>"0530"</f>
        <v>0530</v>
      </c>
      <c r="L5247" s="6" t="str">
        <f>"Toalhetes"</f>
        <v>Toalhetes</v>
      </c>
      <c r="M5247" s="6" t="str">
        <f>"33x50"</f>
        <v>33x50</v>
      </c>
      <c r="N5247" s="6" t="str">
        <f>"5602972836240"</f>
        <v>5602972836240</v>
      </c>
      <c r="O5247" s="8">
        <v>900</v>
      </c>
      <c r="P5247" s="7">
        <v>46044</v>
      </c>
      <c r="R5247" s="8">
        <v>0</v>
      </c>
      <c r="S5247" s="7">
        <v>46049</v>
      </c>
      <c r="U5247" s="8">
        <v>0</v>
      </c>
      <c r="V5247" s="7">
        <v>46065</v>
      </c>
      <c r="X5247" s="8">
        <v>0</v>
      </c>
      <c r="Z5247" s="8">
        <v>0</v>
      </c>
      <c r="AA5247" s="7">
        <v>46083</v>
      </c>
      <c r="AC5247" s="8">
        <v>0</v>
      </c>
      <c r="AE5247" s="7">
        <v>46086</v>
      </c>
      <c r="AF5247" s="8">
        <v>0</v>
      </c>
      <c r="AH5247" s="7">
        <v>46086</v>
      </c>
      <c r="AN5247" s="8">
        <v>0</v>
      </c>
      <c r="AO5247" s="8">
        <v>900</v>
      </c>
    </row>
    <row r="5248" spans="1:41" x14ac:dyDescent="0.25">
      <c r="A5248" s="6" t="str">
        <f t="shared" si="1405"/>
        <v>525-2026000033</v>
      </c>
      <c r="B5248" s="6" t="str">
        <f t="shared" si="1406"/>
        <v>Lasa Int</v>
      </c>
      <c r="C5248" s="7">
        <v>46044</v>
      </c>
      <c r="D5248" s="7">
        <v>46086</v>
      </c>
      <c r="E5248" s="8">
        <v>3</v>
      </c>
      <c r="F5248" s="6" t="str">
        <f t="shared" si="1407"/>
        <v>PURE</v>
      </c>
      <c r="G5248" s="6" t="str">
        <f t="shared" si="1408"/>
        <v>F100021455000000</v>
      </c>
      <c r="H5248" s="6" t="str">
        <f t="shared" si="1409"/>
        <v>FA 214 - PURE - 550</v>
      </c>
      <c r="I5248" s="6" t="str">
        <f>"1"</f>
        <v>1</v>
      </c>
      <c r="J5248" s="6" t="str">
        <f>"BRANCO"</f>
        <v>BRANCO</v>
      </c>
      <c r="K5248" s="6" t="str">
        <f>"1024"</f>
        <v>1024</v>
      </c>
      <c r="L5248" s="6" t="str">
        <f>"Toalhas"</f>
        <v>Toalhas</v>
      </c>
      <c r="M5248" s="6" t="str">
        <f>"50x100"</f>
        <v>50x100</v>
      </c>
      <c r="N5248" s="6" t="str">
        <f>"5602972836257"</f>
        <v>5602972836257</v>
      </c>
      <c r="O5248" s="8">
        <v>480</v>
      </c>
      <c r="P5248" s="7">
        <v>46044</v>
      </c>
      <c r="R5248" s="8">
        <v>0</v>
      </c>
      <c r="S5248" s="7">
        <v>46049</v>
      </c>
      <c r="U5248" s="8">
        <v>0</v>
      </c>
      <c r="V5248" s="7">
        <v>46065</v>
      </c>
      <c r="X5248" s="8">
        <v>0</v>
      </c>
      <c r="Z5248" s="8">
        <v>0</v>
      </c>
      <c r="AA5248" s="7">
        <v>46083</v>
      </c>
      <c r="AC5248" s="8">
        <v>0</v>
      </c>
      <c r="AE5248" s="7">
        <v>46086</v>
      </c>
      <c r="AF5248" s="8">
        <v>0</v>
      </c>
      <c r="AH5248" s="7">
        <v>46086</v>
      </c>
      <c r="AN5248" s="8">
        <v>0</v>
      </c>
      <c r="AO5248" s="8">
        <v>480</v>
      </c>
    </row>
    <row r="5249" spans="1:41" x14ac:dyDescent="0.25">
      <c r="A5249" s="6" t="str">
        <f t="shared" si="1405"/>
        <v>525-2026000033</v>
      </c>
      <c r="B5249" s="6" t="str">
        <f t="shared" si="1406"/>
        <v>Lasa Int</v>
      </c>
      <c r="C5249" s="7">
        <v>46044</v>
      </c>
      <c r="D5249" s="7">
        <v>46086</v>
      </c>
      <c r="E5249" s="8">
        <v>4</v>
      </c>
      <c r="F5249" s="6" t="str">
        <f t="shared" si="1407"/>
        <v>PURE</v>
      </c>
      <c r="G5249" s="6" t="str">
        <f t="shared" si="1408"/>
        <v>F100021455000000</v>
      </c>
      <c r="H5249" s="6" t="str">
        <f t="shared" si="1409"/>
        <v>FA 214 - PURE - 550</v>
      </c>
      <c r="I5249" s="6" t="str">
        <f>"1"</f>
        <v>1</v>
      </c>
      <c r="J5249" s="6" t="str">
        <f>"BRANCO"</f>
        <v>BRANCO</v>
      </c>
      <c r="K5249" s="6" t="str">
        <f>"1535"</f>
        <v>1535</v>
      </c>
      <c r="L5249" s="6" t="str">
        <f>"Toalhões"</f>
        <v>Toalhões</v>
      </c>
      <c r="M5249" s="6" t="str">
        <f>"70x140"</f>
        <v>70x140</v>
      </c>
      <c r="N5249" s="6" t="str">
        <f>"5602972836264"</f>
        <v>5602972836264</v>
      </c>
      <c r="O5249" s="8">
        <v>360</v>
      </c>
      <c r="P5249" s="7">
        <v>46044</v>
      </c>
      <c r="R5249" s="8">
        <v>0</v>
      </c>
      <c r="S5249" s="7">
        <v>46049</v>
      </c>
      <c r="U5249" s="8">
        <v>0</v>
      </c>
      <c r="V5249" s="7">
        <v>46065</v>
      </c>
      <c r="X5249" s="8">
        <v>0</v>
      </c>
      <c r="Z5249" s="8">
        <v>0</v>
      </c>
      <c r="AA5249" s="7">
        <v>46083</v>
      </c>
      <c r="AC5249" s="8">
        <v>0</v>
      </c>
      <c r="AE5249" s="7">
        <v>46086</v>
      </c>
      <c r="AF5249" s="8">
        <v>0</v>
      </c>
      <c r="AH5249" s="7">
        <v>46086</v>
      </c>
      <c r="AN5249" s="8">
        <v>0</v>
      </c>
      <c r="AO5249" s="8">
        <v>360</v>
      </c>
    </row>
    <row r="5250" spans="1:41" x14ac:dyDescent="0.25">
      <c r="A5250" s="6" t="str">
        <f t="shared" si="1405"/>
        <v>525-2026000033</v>
      </c>
      <c r="B5250" s="6" t="str">
        <f t="shared" si="1406"/>
        <v>Lasa Int</v>
      </c>
      <c r="C5250" s="7">
        <v>46044</v>
      </c>
      <c r="D5250" s="7">
        <v>46086</v>
      </c>
      <c r="E5250" s="8">
        <v>5</v>
      </c>
      <c r="F5250" s="6" t="str">
        <f t="shared" si="1407"/>
        <v>PURE</v>
      </c>
      <c r="G5250" s="6" t="str">
        <f t="shared" si="1408"/>
        <v>F100021455000000</v>
      </c>
      <c r="H5250" s="6" t="str">
        <f t="shared" si="1409"/>
        <v>FA 214 - PURE - 550</v>
      </c>
      <c r="I5250" s="6" t="str">
        <f>"1"</f>
        <v>1</v>
      </c>
      <c r="J5250" s="6" t="str">
        <f>"BRANCO"</f>
        <v>BRANCO</v>
      </c>
      <c r="K5250" s="6" t="str">
        <f>"2020"</f>
        <v>2020</v>
      </c>
      <c r="L5250" s="6" t="str">
        <f>"Lençóis"</f>
        <v>Lençóis</v>
      </c>
      <c r="M5250" s="6" t="str">
        <f>"100x150"</f>
        <v>100x150</v>
      </c>
      <c r="N5250" s="6" t="str">
        <f>"5602972836271"</f>
        <v>5602972836271</v>
      </c>
      <c r="O5250" s="8">
        <v>480</v>
      </c>
      <c r="P5250" s="7">
        <v>46044</v>
      </c>
      <c r="R5250" s="8">
        <v>0</v>
      </c>
      <c r="S5250" s="7">
        <v>46049</v>
      </c>
      <c r="U5250" s="8">
        <v>0</v>
      </c>
      <c r="V5250" s="7">
        <v>46065</v>
      </c>
      <c r="X5250" s="8">
        <v>0</v>
      </c>
      <c r="Z5250" s="8">
        <v>0</v>
      </c>
      <c r="AA5250" s="7">
        <v>46083</v>
      </c>
      <c r="AC5250" s="8">
        <v>0</v>
      </c>
      <c r="AE5250" s="7">
        <v>46086</v>
      </c>
      <c r="AF5250" s="8">
        <v>0</v>
      </c>
      <c r="AH5250" s="7">
        <v>46086</v>
      </c>
      <c r="AN5250" s="8">
        <v>0</v>
      </c>
      <c r="AO5250" s="8">
        <v>480</v>
      </c>
    </row>
    <row r="5251" spans="1:41" x14ac:dyDescent="0.25">
      <c r="A5251" s="6" t="str">
        <f t="shared" si="1405"/>
        <v>525-2026000033</v>
      </c>
      <c r="B5251" s="6" t="str">
        <f t="shared" si="1406"/>
        <v>Lasa Int</v>
      </c>
      <c r="C5251" s="7">
        <v>46044</v>
      </c>
      <c r="D5251" s="7">
        <v>46086</v>
      </c>
      <c r="E5251" s="8">
        <v>6</v>
      </c>
      <c r="F5251" s="6" t="str">
        <f t="shared" si="1407"/>
        <v>PURE</v>
      </c>
      <c r="G5251" s="6" t="str">
        <f t="shared" si="1408"/>
        <v>F100021455000000</v>
      </c>
      <c r="H5251" s="6" t="str">
        <f t="shared" si="1409"/>
        <v>FA 214 - PURE - 550</v>
      </c>
      <c r="I5251" s="6" t="str">
        <f>"1359"</f>
        <v>1359</v>
      </c>
      <c r="J5251" s="6" t="str">
        <f>"CASTANHO 1359"</f>
        <v>CASTANHO 1359</v>
      </c>
      <c r="K5251" s="6" t="str">
        <f>"1024"</f>
        <v>1024</v>
      </c>
      <c r="L5251" s="6" t="str">
        <f>"Toalhas"</f>
        <v>Toalhas</v>
      </c>
      <c r="M5251" s="6" t="str">
        <f>"50x100"</f>
        <v>50x100</v>
      </c>
      <c r="N5251" s="6" t="str">
        <f>"5602972836400"</f>
        <v>5602972836400</v>
      </c>
      <c r="O5251" s="8">
        <v>480</v>
      </c>
      <c r="P5251" s="7">
        <v>46044</v>
      </c>
      <c r="R5251" s="8">
        <v>0</v>
      </c>
      <c r="S5251" s="7">
        <v>46049</v>
      </c>
      <c r="U5251" s="8">
        <v>480</v>
      </c>
      <c r="V5251" s="7">
        <v>46065</v>
      </c>
      <c r="X5251" s="8">
        <v>0</v>
      </c>
      <c r="Z5251" s="8">
        <v>0</v>
      </c>
      <c r="AA5251" s="7">
        <v>46083</v>
      </c>
      <c r="AC5251" s="8">
        <v>0</v>
      </c>
      <c r="AE5251" s="7">
        <v>46086</v>
      </c>
      <c r="AF5251" s="8">
        <v>0</v>
      </c>
      <c r="AH5251" s="7">
        <v>46086</v>
      </c>
      <c r="AN5251" s="8">
        <v>0</v>
      </c>
      <c r="AO5251" s="8">
        <v>480</v>
      </c>
    </row>
    <row r="5252" spans="1:41" x14ac:dyDescent="0.25">
      <c r="A5252" s="6" t="str">
        <f t="shared" si="1405"/>
        <v>525-2026000033</v>
      </c>
      <c r="B5252" s="6" t="str">
        <f t="shared" si="1406"/>
        <v>Lasa Int</v>
      </c>
      <c r="C5252" s="7">
        <v>46044</v>
      </c>
      <c r="D5252" s="7">
        <v>46086</v>
      </c>
      <c r="E5252" s="8">
        <v>7</v>
      </c>
      <c r="F5252" s="6" t="str">
        <f t="shared" si="1407"/>
        <v>PURE</v>
      </c>
      <c r="G5252" s="6" t="str">
        <f t="shared" si="1408"/>
        <v>F100021455000000</v>
      </c>
      <c r="H5252" s="6" t="str">
        <f t="shared" si="1409"/>
        <v>FA 214 - PURE - 550</v>
      </c>
      <c r="I5252" s="6" t="str">
        <f>"1359"</f>
        <v>1359</v>
      </c>
      <c r="J5252" s="6" t="str">
        <f>"CASTANHO 1359"</f>
        <v>CASTANHO 1359</v>
      </c>
      <c r="K5252" s="6" t="str">
        <f>"1535"</f>
        <v>1535</v>
      </c>
      <c r="L5252" s="6" t="str">
        <f>"Toalhões"</f>
        <v>Toalhões</v>
      </c>
      <c r="M5252" s="6" t="str">
        <f>"70x140"</f>
        <v>70x140</v>
      </c>
      <c r="N5252" s="6" t="str">
        <f>"5602972836417"</f>
        <v>5602972836417</v>
      </c>
      <c r="O5252" s="8">
        <v>120</v>
      </c>
      <c r="P5252" s="7">
        <v>46044</v>
      </c>
      <c r="R5252" s="8">
        <v>0</v>
      </c>
      <c r="S5252" s="7">
        <v>46049</v>
      </c>
      <c r="U5252" s="8">
        <v>120</v>
      </c>
      <c r="V5252" s="7">
        <v>46065</v>
      </c>
      <c r="X5252" s="8">
        <v>0</v>
      </c>
      <c r="Z5252" s="8">
        <v>0</v>
      </c>
      <c r="AA5252" s="7">
        <v>46083</v>
      </c>
      <c r="AC5252" s="8">
        <v>0</v>
      </c>
      <c r="AE5252" s="7">
        <v>46086</v>
      </c>
      <c r="AF5252" s="8">
        <v>0</v>
      </c>
      <c r="AH5252" s="7">
        <v>46086</v>
      </c>
      <c r="AN5252" s="8">
        <v>0</v>
      </c>
      <c r="AO5252" s="8">
        <v>120</v>
      </c>
    </row>
    <row r="5253" spans="1:41" x14ac:dyDescent="0.25">
      <c r="A5253" s="6" t="str">
        <f t="shared" si="1405"/>
        <v>525-2026000033</v>
      </c>
      <c r="B5253" s="6" t="str">
        <f t="shared" si="1406"/>
        <v>Lasa Int</v>
      </c>
      <c r="C5253" s="7">
        <v>46044</v>
      </c>
      <c r="D5253" s="7">
        <v>46086</v>
      </c>
      <c r="E5253" s="8">
        <v>8</v>
      </c>
      <c r="F5253" s="6" t="str">
        <f t="shared" si="1407"/>
        <v>PURE</v>
      </c>
      <c r="G5253" s="6" t="str">
        <f t="shared" si="1408"/>
        <v>F100021455000000</v>
      </c>
      <c r="H5253" s="6" t="str">
        <f t="shared" si="1409"/>
        <v>FA 214 - PURE - 550</v>
      </c>
      <c r="I5253" s="6" t="str">
        <f>"1359"</f>
        <v>1359</v>
      </c>
      <c r="J5253" s="6" t="str">
        <f>"CASTANHO 1359"</f>
        <v>CASTANHO 1359</v>
      </c>
      <c r="K5253" s="6" t="str">
        <f>"2020"</f>
        <v>2020</v>
      </c>
      <c r="L5253" s="6" t="str">
        <f>"Lençóis"</f>
        <v>Lençóis</v>
      </c>
      <c r="M5253" s="6" t="str">
        <f>"100x150"</f>
        <v>100x150</v>
      </c>
      <c r="N5253" s="6" t="str">
        <f>"5602972836424"</f>
        <v>5602972836424</v>
      </c>
      <c r="O5253" s="8">
        <v>240</v>
      </c>
      <c r="P5253" s="7">
        <v>46044</v>
      </c>
      <c r="R5253" s="8">
        <v>0</v>
      </c>
      <c r="S5253" s="7">
        <v>46049</v>
      </c>
      <c r="U5253" s="8">
        <v>240</v>
      </c>
      <c r="V5253" s="7">
        <v>46065</v>
      </c>
      <c r="X5253" s="8">
        <v>0</v>
      </c>
      <c r="Z5253" s="8">
        <v>0</v>
      </c>
      <c r="AA5253" s="7">
        <v>46083</v>
      </c>
      <c r="AC5253" s="8">
        <v>0</v>
      </c>
      <c r="AE5253" s="7">
        <v>46086</v>
      </c>
      <c r="AF5253" s="8">
        <v>0</v>
      </c>
      <c r="AH5253" s="7">
        <v>46086</v>
      </c>
      <c r="AN5253" s="8">
        <v>0</v>
      </c>
      <c r="AO5253" s="8">
        <v>240</v>
      </c>
    </row>
    <row r="5254" spans="1:41" x14ac:dyDescent="0.25">
      <c r="A5254" s="6" t="str">
        <f t="shared" si="1405"/>
        <v>525-2026000033</v>
      </c>
      <c r="B5254" s="6" t="str">
        <f t="shared" si="1406"/>
        <v>Lasa Int</v>
      </c>
      <c r="C5254" s="7">
        <v>46044</v>
      </c>
      <c r="D5254" s="7">
        <v>46086</v>
      </c>
      <c r="E5254" s="8">
        <v>9</v>
      </c>
      <c r="F5254" s="6" t="str">
        <f t="shared" si="1407"/>
        <v>PURE</v>
      </c>
      <c r="G5254" s="6" t="str">
        <f t="shared" si="1408"/>
        <v>F100021455000000</v>
      </c>
      <c r="H5254" s="6" t="str">
        <f t="shared" si="1409"/>
        <v>FA 214 - PURE - 550</v>
      </c>
      <c r="I5254" s="6" t="str">
        <f>"1670"</f>
        <v>1670</v>
      </c>
      <c r="J5254" s="6" t="str">
        <f>"BEGE 1670"</f>
        <v>BEGE 1670</v>
      </c>
      <c r="K5254" s="6" t="str">
        <f>"0112"</f>
        <v>0112</v>
      </c>
      <c r="L5254" s="6" t="str">
        <f>"Luvas"</f>
        <v>Luvas</v>
      </c>
      <c r="M5254" s="6" t="str">
        <f>"16x21"</f>
        <v>16x21</v>
      </c>
      <c r="N5254" s="6" t="str">
        <f>"5602972836288"</f>
        <v>5602972836288</v>
      </c>
      <c r="O5254" s="8">
        <v>300</v>
      </c>
      <c r="P5254" s="7">
        <v>46044</v>
      </c>
      <c r="R5254" s="8">
        <v>0</v>
      </c>
      <c r="S5254" s="7">
        <v>46049</v>
      </c>
      <c r="U5254" s="8">
        <v>300</v>
      </c>
      <c r="V5254" s="7">
        <v>46065</v>
      </c>
      <c r="X5254" s="8">
        <v>0</v>
      </c>
      <c r="Z5254" s="8">
        <v>300</v>
      </c>
      <c r="AA5254" s="7">
        <v>46083</v>
      </c>
      <c r="AC5254" s="8">
        <v>0</v>
      </c>
      <c r="AE5254" s="7">
        <v>46086</v>
      </c>
      <c r="AF5254" s="8">
        <v>0</v>
      </c>
      <c r="AH5254" s="7">
        <v>46086</v>
      </c>
      <c r="AN5254" s="8">
        <v>0</v>
      </c>
      <c r="AO5254" s="8">
        <v>300</v>
      </c>
    </row>
    <row r="5255" spans="1:41" x14ac:dyDescent="0.25">
      <c r="A5255" s="6" t="str">
        <f t="shared" si="1405"/>
        <v>525-2026000033</v>
      </c>
      <c r="B5255" s="6" t="str">
        <f t="shared" si="1406"/>
        <v>Lasa Int</v>
      </c>
      <c r="C5255" s="7">
        <v>46044</v>
      </c>
      <c r="D5255" s="7">
        <v>46086</v>
      </c>
      <c r="E5255" s="8">
        <v>10</v>
      </c>
      <c r="F5255" s="6" t="str">
        <f t="shared" si="1407"/>
        <v>PURE</v>
      </c>
      <c r="G5255" s="6" t="str">
        <f t="shared" si="1408"/>
        <v>F100021455000000</v>
      </c>
      <c r="H5255" s="6" t="str">
        <f t="shared" si="1409"/>
        <v>FA 214 - PURE - 550</v>
      </c>
      <c r="I5255" s="6" t="str">
        <f>"1670"</f>
        <v>1670</v>
      </c>
      <c r="J5255" s="6" t="str">
        <f>"BEGE 1670"</f>
        <v>BEGE 1670</v>
      </c>
      <c r="K5255" s="6" t="str">
        <f>"0530"</f>
        <v>0530</v>
      </c>
      <c r="L5255" s="6" t="str">
        <f>"Toalhetes"</f>
        <v>Toalhetes</v>
      </c>
      <c r="M5255" s="6" t="str">
        <f>"33x50"</f>
        <v>33x50</v>
      </c>
      <c r="N5255" s="6" t="str">
        <f>"5602972836295"</f>
        <v>5602972836295</v>
      </c>
      <c r="O5255" s="8">
        <v>450</v>
      </c>
      <c r="P5255" s="7">
        <v>46044</v>
      </c>
      <c r="R5255" s="8">
        <v>0</v>
      </c>
      <c r="S5255" s="7">
        <v>46049</v>
      </c>
      <c r="U5255" s="8">
        <v>450</v>
      </c>
      <c r="V5255" s="7">
        <v>46065</v>
      </c>
      <c r="X5255" s="8">
        <v>0</v>
      </c>
      <c r="Z5255" s="8">
        <v>450</v>
      </c>
      <c r="AA5255" s="7">
        <v>46083</v>
      </c>
      <c r="AC5255" s="8">
        <v>0</v>
      </c>
      <c r="AE5255" s="7">
        <v>46086</v>
      </c>
      <c r="AF5255" s="8">
        <v>0</v>
      </c>
      <c r="AH5255" s="7">
        <v>46086</v>
      </c>
      <c r="AN5255" s="8">
        <v>0</v>
      </c>
      <c r="AO5255" s="8">
        <v>450</v>
      </c>
    </row>
    <row r="5256" spans="1:41" x14ac:dyDescent="0.25">
      <c r="A5256" s="6" t="str">
        <f t="shared" si="1405"/>
        <v>525-2026000033</v>
      </c>
      <c r="B5256" s="6" t="str">
        <f t="shared" si="1406"/>
        <v>Lasa Int</v>
      </c>
      <c r="C5256" s="7">
        <v>46044</v>
      </c>
      <c r="D5256" s="7">
        <v>46086</v>
      </c>
      <c r="E5256" s="8">
        <v>11</v>
      </c>
      <c r="F5256" s="6" t="str">
        <f t="shared" si="1407"/>
        <v>PURE</v>
      </c>
      <c r="G5256" s="6" t="str">
        <f t="shared" si="1408"/>
        <v>F100021455000000</v>
      </c>
      <c r="H5256" s="6" t="str">
        <f t="shared" si="1409"/>
        <v>FA 214 - PURE - 550</v>
      </c>
      <c r="I5256" s="6" t="str">
        <f>"1670"</f>
        <v>1670</v>
      </c>
      <c r="J5256" s="6" t="str">
        <f>"BEGE 1670"</f>
        <v>BEGE 1670</v>
      </c>
      <c r="K5256" s="6" t="str">
        <f>"1024"</f>
        <v>1024</v>
      </c>
      <c r="L5256" s="6" t="str">
        <f>"Toalhas"</f>
        <v>Toalhas</v>
      </c>
      <c r="M5256" s="6" t="str">
        <f>"50x100"</f>
        <v>50x100</v>
      </c>
      <c r="N5256" s="6" t="str">
        <f>"5602972836301"</f>
        <v>5602972836301</v>
      </c>
      <c r="O5256" s="8">
        <v>480</v>
      </c>
      <c r="P5256" s="7">
        <v>46044</v>
      </c>
      <c r="R5256" s="8">
        <v>0</v>
      </c>
      <c r="S5256" s="7">
        <v>46049</v>
      </c>
      <c r="U5256" s="8">
        <v>480</v>
      </c>
      <c r="V5256" s="7">
        <v>46065</v>
      </c>
      <c r="X5256" s="8">
        <v>0</v>
      </c>
      <c r="Z5256" s="8">
        <v>480</v>
      </c>
      <c r="AA5256" s="7">
        <v>46083</v>
      </c>
      <c r="AC5256" s="8">
        <v>0</v>
      </c>
      <c r="AE5256" s="7">
        <v>46086</v>
      </c>
      <c r="AF5256" s="8">
        <v>0</v>
      </c>
      <c r="AH5256" s="7">
        <v>46086</v>
      </c>
      <c r="AN5256" s="8">
        <v>0</v>
      </c>
      <c r="AO5256" s="8">
        <v>480</v>
      </c>
    </row>
    <row r="5257" spans="1:41" x14ac:dyDescent="0.25">
      <c r="A5257" s="6" t="str">
        <f t="shared" si="1405"/>
        <v>525-2026000033</v>
      </c>
      <c r="B5257" s="6" t="str">
        <f t="shared" si="1406"/>
        <v>Lasa Int</v>
      </c>
      <c r="C5257" s="7">
        <v>46044</v>
      </c>
      <c r="D5257" s="7">
        <v>46086</v>
      </c>
      <c r="E5257" s="8">
        <v>12</v>
      </c>
      <c r="F5257" s="6" t="str">
        <f t="shared" si="1407"/>
        <v>PURE</v>
      </c>
      <c r="G5257" s="6" t="str">
        <f t="shared" si="1408"/>
        <v>F100021455000000</v>
      </c>
      <c r="H5257" s="6" t="str">
        <f t="shared" si="1409"/>
        <v>FA 214 - PURE - 550</v>
      </c>
      <c r="I5257" s="6" t="str">
        <f>"1670"</f>
        <v>1670</v>
      </c>
      <c r="J5257" s="6" t="str">
        <f>"BEGE 1670"</f>
        <v>BEGE 1670</v>
      </c>
      <c r="K5257" s="6" t="str">
        <f>"1535"</f>
        <v>1535</v>
      </c>
      <c r="L5257" s="6" t="str">
        <f>"Toalhões"</f>
        <v>Toalhões</v>
      </c>
      <c r="M5257" s="6" t="str">
        <f>"70x140"</f>
        <v>70x140</v>
      </c>
      <c r="N5257" s="6" t="str">
        <f>"5602972836318"</f>
        <v>5602972836318</v>
      </c>
      <c r="O5257" s="8">
        <v>240</v>
      </c>
      <c r="P5257" s="7">
        <v>46044</v>
      </c>
      <c r="R5257" s="8">
        <v>0</v>
      </c>
      <c r="S5257" s="7">
        <v>46049</v>
      </c>
      <c r="U5257" s="8">
        <v>240</v>
      </c>
      <c r="V5257" s="7">
        <v>46065</v>
      </c>
      <c r="X5257" s="8">
        <v>0</v>
      </c>
      <c r="Z5257" s="8">
        <v>240</v>
      </c>
      <c r="AA5257" s="7">
        <v>46083</v>
      </c>
      <c r="AC5257" s="8">
        <v>0</v>
      </c>
      <c r="AE5257" s="7">
        <v>46086</v>
      </c>
      <c r="AF5257" s="8">
        <v>0</v>
      </c>
      <c r="AH5257" s="7">
        <v>46086</v>
      </c>
      <c r="AN5257" s="8">
        <v>0</v>
      </c>
      <c r="AO5257" s="8">
        <v>240</v>
      </c>
    </row>
    <row r="5258" spans="1:41" x14ac:dyDescent="0.25">
      <c r="A5258" s="6" t="str">
        <f t="shared" si="1405"/>
        <v>525-2026000033</v>
      </c>
      <c r="B5258" s="6" t="str">
        <f t="shared" si="1406"/>
        <v>Lasa Int</v>
      </c>
      <c r="C5258" s="7">
        <v>46044</v>
      </c>
      <c r="D5258" s="7">
        <v>46086</v>
      </c>
      <c r="E5258" s="8">
        <v>13</v>
      </c>
      <c r="F5258" s="6" t="str">
        <f t="shared" si="1407"/>
        <v>PURE</v>
      </c>
      <c r="G5258" s="6" t="str">
        <f t="shared" si="1408"/>
        <v>F100021455000000</v>
      </c>
      <c r="H5258" s="6" t="str">
        <f t="shared" si="1409"/>
        <v>FA 214 - PURE - 550</v>
      </c>
      <c r="I5258" s="6" t="str">
        <f>"1670"</f>
        <v>1670</v>
      </c>
      <c r="J5258" s="6" t="str">
        <f>"BEGE 1670"</f>
        <v>BEGE 1670</v>
      </c>
      <c r="K5258" s="6" t="str">
        <f>"2020"</f>
        <v>2020</v>
      </c>
      <c r="L5258" s="6" t="str">
        <f>"Lençóis"</f>
        <v>Lençóis</v>
      </c>
      <c r="M5258" s="6" t="str">
        <f>"100x150"</f>
        <v>100x150</v>
      </c>
      <c r="N5258" s="6" t="str">
        <f>"5602972836325"</f>
        <v>5602972836325</v>
      </c>
      <c r="O5258" s="8">
        <v>160</v>
      </c>
      <c r="P5258" s="7">
        <v>46044</v>
      </c>
      <c r="R5258" s="8">
        <v>0</v>
      </c>
      <c r="S5258" s="7">
        <v>46049</v>
      </c>
      <c r="U5258" s="8">
        <v>160</v>
      </c>
      <c r="V5258" s="7">
        <v>46065</v>
      </c>
      <c r="X5258" s="8">
        <v>0</v>
      </c>
      <c r="Z5258" s="8">
        <v>160</v>
      </c>
      <c r="AA5258" s="7">
        <v>46083</v>
      </c>
      <c r="AC5258" s="8">
        <v>0</v>
      </c>
      <c r="AE5258" s="7">
        <v>46086</v>
      </c>
      <c r="AF5258" s="8">
        <v>0</v>
      </c>
      <c r="AH5258" s="7">
        <v>46086</v>
      </c>
      <c r="AN5258" s="8">
        <v>0</v>
      </c>
      <c r="AO5258" s="8">
        <v>160</v>
      </c>
    </row>
    <row r="5259" spans="1:41" x14ac:dyDescent="0.25">
      <c r="A5259" s="6" t="str">
        <f t="shared" si="1405"/>
        <v>525-2026000033</v>
      </c>
      <c r="B5259" s="6" t="str">
        <f t="shared" si="1406"/>
        <v>Lasa Int</v>
      </c>
      <c r="C5259" s="7">
        <v>46044</v>
      </c>
      <c r="D5259" s="7">
        <v>46086</v>
      </c>
      <c r="E5259" s="8">
        <v>14</v>
      </c>
      <c r="F5259" s="6" t="str">
        <f t="shared" si="1407"/>
        <v>PURE</v>
      </c>
      <c r="G5259" s="6" t="str">
        <f t="shared" si="1408"/>
        <v>F100021455000000</v>
      </c>
      <c r="H5259" s="6" t="str">
        <f t="shared" si="1409"/>
        <v>FA 214 - PURE - 550</v>
      </c>
      <c r="I5259" s="6" t="str">
        <f>"2094"</f>
        <v>2094</v>
      </c>
      <c r="J5259" s="6" t="str">
        <f>"AZUL 2094"</f>
        <v>AZUL 2094</v>
      </c>
      <c r="K5259" s="6" t="str">
        <f>"0112"</f>
        <v>0112</v>
      </c>
      <c r="L5259" s="6" t="str">
        <f>"Luvas"</f>
        <v>Luvas</v>
      </c>
      <c r="M5259" s="6" t="str">
        <f>"16x21"</f>
        <v>16x21</v>
      </c>
      <c r="N5259" s="6" t="str">
        <f>"5602972836981"</f>
        <v>5602972836981</v>
      </c>
      <c r="O5259" s="8">
        <v>300</v>
      </c>
      <c r="P5259" s="7">
        <v>46044</v>
      </c>
      <c r="R5259" s="8">
        <v>0</v>
      </c>
      <c r="S5259" s="7">
        <v>46049</v>
      </c>
      <c r="U5259" s="8">
        <v>300</v>
      </c>
      <c r="V5259" s="7">
        <v>46065</v>
      </c>
      <c r="X5259" s="8">
        <v>0</v>
      </c>
      <c r="Z5259" s="8">
        <v>0</v>
      </c>
      <c r="AA5259" s="7">
        <v>46083</v>
      </c>
      <c r="AC5259" s="8">
        <v>0</v>
      </c>
      <c r="AE5259" s="7">
        <v>46086</v>
      </c>
      <c r="AF5259" s="8">
        <v>0</v>
      </c>
      <c r="AH5259" s="7">
        <v>46086</v>
      </c>
      <c r="AN5259" s="8">
        <v>0</v>
      </c>
      <c r="AO5259" s="8">
        <v>300</v>
      </c>
    </row>
    <row r="5260" spans="1:41" x14ac:dyDescent="0.25">
      <c r="A5260" s="6" t="str">
        <f t="shared" si="1405"/>
        <v>525-2026000033</v>
      </c>
      <c r="B5260" s="6" t="str">
        <f t="shared" si="1406"/>
        <v>Lasa Int</v>
      </c>
      <c r="C5260" s="7">
        <v>46044</v>
      </c>
      <c r="D5260" s="7">
        <v>46086</v>
      </c>
      <c r="E5260" s="8">
        <v>15</v>
      </c>
      <c r="F5260" s="6" t="str">
        <f t="shared" si="1407"/>
        <v>PURE</v>
      </c>
      <c r="G5260" s="6" t="str">
        <f t="shared" si="1408"/>
        <v>F100021455000000</v>
      </c>
      <c r="H5260" s="6" t="str">
        <f t="shared" si="1409"/>
        <v>FA 214 - PURE - 550</v>
      </c>
      <c r="I5260" s="6" t="str">
        <f>"2094"</f>
        <v>2094</v>
      </c>
      <c r="J5260" s="6" t="str">
        <f>"AZUL 2094"</f>
        <v>AZUL 2094</v>
      </c>
      <c r="K5260" s="6" t="str">
        <f>"0530"</f>
        <v>0530</v>
      </c>
      <c r="L5260" s="6" t="str">
        <f>"Toalhetes"</f>
        <v>Toalhetes</v>
      </c>
      <c r="M5260" s="6" t="str">
        <f>"33x50"</f>
        <v>33x50</v>
      </c>
      <c r="N5260" s="6" t="str">
        <f>"5602972836998"</f>
        <v>5602972836998</v>
      </c>
      <c r="O5260" s="8">
        <v>450</v>
      </c>
      <c r="P5260" s="7">
        <v>46044</v>
      </c>
      <c r="R5260" s="8">
        <v>0</v>
      </c>
      <c r="S5260" s="7">
        <v>46049</v>
      </c>
      <c r="U5260" s="8">
        <v>450</v>
      </c>
      <c r="V5260" s="7">
        <v>46065</v>
      </c>
      <c r="X5260" s="8">
        <v>0</v>
      </c>
      <c r="Z5260" s="8">
        <v>0</v>
      </c>
      <c r="AA5260" s="7">
        <v>46083</v>
      </c>
      <c r="AC5260" s="8">
        <v>0</v>
      </c>
      <c r="AE5260" s="7">
        <v>46086</v>
      </c>
      <c r="AF5260" s="8">
        <v>0</v>
      </c>
      <c r="AH5260" s="7">
        <v>46086</v>
      </c>
      <c r="AN5260" s="8">
        <v>0</v>
      </c>
      <c r="AO5260" s="8">
        <v>450</v>
      </c>
    </row>
    <row r="5261" spans="1:41" x14ac:dyDescent="0.25">
      <c r="A5261" s="6" t="str">
        <f t="shared" si="1405"/>
        <v>525-2026000033</v>
      </c>
      <c r="B5261" s="6" t="str">
        <f t="shared" si="1406"/>
        <v>Lasa Int</v>
      </c>
      <c r="C5261" s="7">
        <v>46044</v>
      </c>
      <c r="D5261" s="7">
        <v>46086</v>
      </c>
      <c r="E5261" s="8">
        <v>16</v>
      </c>
      <c r="F5261" s="6" t="str">
        <f t="shared" si="1407"/>
        <v>PURE</v>
      </c>
      <c r="G5261" s="6" t="str">
        <f t="shared" si="1408"/>
        <v>F100021455000000</v>
      </c>
      <c r="H5261" s="6" t="str">
        <f t="shared" si="1409"/>
        <v>FA 214 - PURE - 550</v>
      </c>
      <c r="I5261" s="6" t="str">
        <f>"2094"</f>
        <v>2094</v>
      </c>
      <c r="J5261" s="6" t="str">
        <f>"AZUL 2094"</f>
        <v>AZUL 2094</v>
      </c>
      <c r="K5261" s="6" t="str">
        <f>"1024"</f>
        <v>1024</v>
      </c>
      <c r="L5261" s="6" t="str">
        <f>"Toalhas"</f>
        <v>Toalhas</v>
      </c>
      <c r="M5261" s="6" t="str">
        <f>"50x100"</f>
        <v>50x100</v>
      </c>
      <c r="N5261" s="6" t="str">
        <f>"5602972837001"</f>
        <v>5602972837001</v>
      </c>
      <c r="O5261" s="8">
        <v>240</v>
      </c>
      <c r="P5261" s="7">
        <v>46044</v>
      </c>
      <c r="R5261" s="8">
        <v>0</v>
      </c>
      <c r="S5261" s="7">
        <v>46049</v>
      </c>
      <c r="U5261" s="8">
        <v>240</v>
      </c>
      <c r="V5261" s="7">
        <v>46065</v>
      </c>
      <c r="X5261" s="8">
        <v>0</v>
      </c>
      <c r="Z5261" s="8">
        <v>0</v>
      </c>
      <c r="AA5261" s="7">
        <v>46083</v>
      </c>
      <c r="AC5261" s="8">
        <v>0</v>
      </c>
      <c r="AE5261" s="7">
        <v>46086</v>
      </c>
      <c r="AF5261" s="8">
        <v>0</v>
      </c>
      <c r="AH5261" s="7">
        <v>46086</v>
      </c>
      <c r="AN5261" s="8">
        <v>0</v>
      </c>
      <c r="AO5261" s="8">
        <v>240</v>
      </c>
    </row>
    <row r="5262" spans="1:41" x14ac:dyDescent="0.25">
      <c r="A5262" s="6" t="str">
        <f t="shared" si="1405"/>
        <v>525-2026000033</v>
      </c>
      <c r="B5262" s="6" t="str">
        <f t="shared" si="1406"/>
        <v>Lasa Int</v>
      </c>
      <c r="C5262" s="7">
        <v>46044</v>
      </c>
      <c r="D5262" s="7">
        <v>46086</v>
      </c>
      <c r="E5262" s="8">
        <v>17</v>
      </c>
      <c r="F5262" s="6" t="str">
        <f t="shared" si="1407"/>
        <v>PURE</v>
      </c>
      <c r="G5262" s="6" t="str">
        <f t="shared" si="1408"/>
        <v>F100021455000000</v>
      </c>
      <c r="H5262" s="6" t="str">
        <f t="shared" si="1409"/>
        <v>FA 214 - PURE - 550</v>
      </c>
      <c r="I5262" s="6" t="str">
        <f>"2094"</f>
        <v>2094</v>
      </c>
      <c r="J5262" s="6" t="str">
        <f>"AZUL 2094"</f>
        <v>AZUL 2094</v>
      </c>
      <c r="K5262" s="6" t="str">
        <f>"1535"</f>
        <v>1535</v>
      </c>
      <c r="L5262" s="6" t="str">
        <f>"Toalhões"</f>
        <v>Toalhões</v>
      </c>
      <c r="M5262" s="6" t="str">
        <f>"70x140"</f>
        <v>70x140</v>
      </c>
      <c r="N5262" s="6" t="str">
        <f>"5602972837018"</f>
        <v>5602972837018</v>
      </c>
      <c r="O5262" s="8">
        <v>360</v>
      </c>
      <c r="P5262" s="7">
        <v>46044</v>
      </c>
      <c r="R5262" s="8">
        <v>0</v>
      </c>
      <c r="S5262" s="7">
        <v>46049</v>
      </c>
      <c r="U5262" s="8">
        <v>360</v>
      </c>
      <c r="V5262" s="7">
        <v>46065</v>
      </c>
      <c r="X5262" s="8">
        <v>0</v>
      </c>
      <c r="Z5262" s="8">
        <v>0</v>
      </c>
      <c r="AA5262" s="7">
        <v>46083</v>
      </c>
      <c r="AC5262" s="8">
        <v>0</v>
      </c>
      <c r="AE5262" s="7">
        <v>46086</v>
      </c>
      <c r="AF5262" s="8">
        <v>0</v>
      </c>
      <c r="AH5262" s="7">
        <v>46086</v>
      </c>
      <c r="AN5262" s="8">
        <v>0</v>
      </c>
      <c r="AO5262" s="8">
        <v>360</v>
      </c>
    </row>
    <row r="5263" spans="1:41" x14ac:dyDescent="0.25">
      <c r="A5263" s="6" t="str">
        <f t="shared" si="1405"/>
        <v>525-2026000033</v>
      </c>
      <c r="B5263" s="6" t="str">
        <f t="shared" si="1406"/>
        <v>Lasa Int</v>
      </c>
      <c r="C5263" s="7">
        <v>46044</v>
      </c>
      <c r="D5263" s="7">
        <v>46086</v>
      </c>
      <c r="E5263" s="8">
        <v>18</v>
      </c>
      <c r="F5263" s="6" t="str">
        <f t="shared" si="1407"/>
        <v>PURE</v>
      </c>
      <c r="G5263" s="6" t="str">
        <f t="shared" si="1408"/>
        <v>F100021455000000</v>
      </c>
      <c r="H5263" s="6" t="str">
        <f t="shared" si="1409"/>
        <v>FA 214 - PURE - 550</v>
      </c>
      <c r="I5263" s="6" t="str">
        <f>"2094"</f>
        <v>2094</v>
      </c>
      <c r="J5263" s="6" t="str">
        <f>"AZUL 2094"</f>
        <v>AZUL 2094</v>
      </c>
      <c r="K5263" s="6" t="str">
        <f>"2020"</f>
        <v>2020</v>
      </c>
      <c r="L5263" s="6" t="str">
        <f>"Lençóis"</f>
        <v>Lençóis</v>
      </c>
      <c r="M5263" s="6" t="str">
        <f>"100x150"</f>
        <v>100x150</v>
      </c>
      <c r="N5263" s="6" t="str">
        <f>"5602972837025"</f>
        <v>5602972837025</v>
      </c>
      <c r="O5263" s="8">
        <v>160</v>
      </c>
      <c r="P5263" s="7">
        <v>46044</v>
      </c>
      <c r="R5263" s="8">
        <v>0</v>
      </c>
      <c r="S5263" s="7">
        <v>46049</v>
      </c>
      <c r="U5263" s="8">
        <v>160</v>
      </c>
      <c r="V5263" s="7">
        <v>46065</v>
      </c>
      <c r="X5263" s="8">
        <v>0</v>
      </c>
      <c r="Z5263" s="8">
        <v>0</v>
      </c>
      <c r="AA5263" s="7">
        <v>46083</v>
      </c>
      <c r="AC5263" s="8">
        <v>0</v>
      </c>
      <c r="AE5263" s="7">
        <v>46086</v>
      </c>
      <c r="AF5263" s="8">
        <v>0</v>
      </c>
      <c r="AH5263" s="7">
        <v>46086</v>
      </c>
      <c r="AN5263" s="8">
        <v>0</v>
      </c>
      <c r="AO5263" s="8">
        <v>160</v>
      </c>
    </row>
    <row r="5264" spans="1:41" x14ac:dyDescent="0.25">
      <c r="A5264" s="6" t="str">
        <f t="shared" si="1405"/>
        <v>525-2026000033</v>
      </c>
      <c r="B5264" s="6" t="str">
        <f t="shared" si="1406"/>
        <v>Lasa Int</v>
      </c>
      <c r="C5264" s="7">
        <v>46044</v>
      </c>
      <c r="D5264" s="7">
        <v>46086</v>
      </c>
      <c r="E5264" s="8">
        <v>19</v>
      </c>
      <c r="F5264" s="6" t="str">
        <f t="shared" si="1407"/>
        <v>PURE</v>
      </c>
      <c r="G5264" s="6" t="str">
        <f t="shared" si="1408"/>
        <v>F100021455000000</v>
      </c>
      <c r="H5264" s="6" t="str">
        <f t="shared" si="1409"/>
        <v>FA 214 - PURE - 550</v>
      </c>
      <c r="I5264" s="6" t="str">
        <f>"2096"</f>
        <v>2096</v>
      </c>
      <c r="J5264" s="6" t="str">
        <f>"AZUL 2096"</f>
        <v>AZUL 2096</v>
      </c>
      <c r="K5264" s="6" t="str">
        <f>"0112"</f>
        <v>0112</v>
      </c>
      <c r="L5264" s="6" t="str">
        <f>"Luvas"</f>
        <v>Luvas</v>
      </c>
      <c r="M5264" s="6" t="str">
        <f>"16x21"</f>
        <v>16x21</v>
      </c>
      <c r="N5264" s="6" t="str">
        <f>"5602972836882"</f>
        <v>5602972836882</v>
      </c>
      <c r="O5264" s="8">
        <v>300</v>
      </c>
      <c r="P5264" s="7">
        <v>46044</v>
      </c>
      <c r="R5264" s="8">
        <v>0</v>
      </c>
      <c r="S5264" s="7">
        <v>46049</v>
      </c>
      <c r="U5264" s="8">
        <v>300</v>
      </c>
      <c r="V5264" s="7">
        <v>46065</v>
      </c>
      <c r="X5264" s="8">
        <v>0</v>
      </c>
      <c r="Z5264" s="8">
        <v>300</v>
      </c>
      <c r="AA5264" s="7">
        <v>46083</v>
      </c>
      <c r="AC5264" s="8">
        <v>0</v>
      </c>
      <c r="AE5264" s="7">
        <v>46086</v>
      </c>
      <c r="AF5264" s="8">
        <v>0</v>
      </c>
      <c r="AH5264" s="7">
        <v>46086</v>
      </c>
      <c r="AN5264" s="8">
        <v>0</v>
      </c>
      <c r="AO5264" s="8">
        <v>300</v>
      </c>
    </row>
    <row r="5265" spans="1:41" x14ac:dyDescent="0.25">
      <c r="A5265" s="6" t="str">
        <f t="shared" si="1405"/>
        <v>525-2026000033</v>
      </c>
      <c r="B5265" s="6" t="str">
        <f t="shared" si="1406"/>
        <v>Lasa Int</v>
      </c>
      <c r="C5265" s="7">
        <v>46044</v>
      </c>
      <c r="D5265" s="7">
        <v>46086</v>
      </c>
      <c r="E5265" s="8">
        <v>20</v>
      </c>
      <c r="F5265" s="6" t="str">
        <f t="shared" si="1407"/>
        <v>PURE</v>
      </c>
      <c r="G5265" s="6" t="str">
        <f t="shared" si="1408"/>
        <v>F100021455000000</v>
      </c>
      <c r="H5265" s="6" t="str">
        <f t="shared" si="1409"/>
        <v>FA 214 - PURE - 550</v>
      </c>
      <c r="I5265" s="6" t="str">
        <f>"2096"</f>
        <v>2096</v>
      </c>
      <c r="J5265" s="6" t="str">
        <f>"AZUL 2096"</f>
        <v>AZUL 2096</v>
      </c>
      <c r="K5265" s="6" t="str">
        <f>"0530"</f>
        <v>0530</v>
      </c>
      <c r="L5265" s="6" t="str">
        <f>"Toalhetes"</f>
        <v>Toalhetes</v>
      </c>
      <c r="M5265" s="6" t="str">
        <f>"33x50"</f>
        <v>33x50</v>
      </c>
      <c r="N5265" s="6" t="str">
        <f>"5602972836899"</f>
        <v>5602972836899</v>
      </c>
      <c r="O5265" s="8">
        <v>450</v>
      </c>
      <c r="P5265" s="7">
        <v>46044</v>
      </c>
      <c r="R5265" s="8">
        <v>0</v>
      </c>
      <c r="S5265" s="7">
        <v>46049</v>
      </c>
      <c r="U5265" s="8">
        <v>450</v>
      </c>
      <c r="V5265" s="7">
        <v>46065</v>
      </c>
      <c r="X5265" s="8">
        <v>0</v>
      </c>
      <c r="Z5265" s="8">
        <v>450</v>
      </c>
      <c r="AA5265" s="7">
        <v>46083</v>
      </c>
      <c r="AC5265" s="8">
        <v>0</v>
      </c>
      <c r="AE5265" s="7">
        <v>46086</v>
      </c>
      <c r="AF5265" s="8">
        <v>0</v>
      </c>
      <c r="AH5265" s="7">
        <v>46086</v>
      </c>
      <c r="AN5265" s="8">
        <v>0</v>
      </c>
      <c r="AO5265" s="8">
        <v>450</v>
      </c>
    </row>
    <row r="5266" spans="1:41" x14ac:dyDescent="0.25">
      <c r="A5266" s="6" t="str">
        <f t="shared" si="1405"/>
        <v>525-2026000033</v>
      </c>
      <c r="B5266" s="6" t="str">
        <f t="shared" si="1406"/>
        <v>Lasa Int</v>
      </c>
      <c r="C5266" s="7">
        <v>46044</v>
      </c>
      <c r="D5266" s="7">
        <v>46086</v>
      </c>
      <c r="E5266" s="8">
        <v>21</v>
      </c>
      <c r="F5266" s="6" t="str">
        <f t="shared" si="1407"/>
        <v>PURE</v>
      </c>
      <c r="G5266" s="6" t="str">
        <f t="shared" si="1408"/>
        <v>F100021455000000</v>
      </c>
      <c r="H5266" s="6" t="str">
        <f t="shared" si="1409"/>
        <v>FA 214 - PURE - 550</v>
      </c>
      <c r="I5266" s="6" t="str">
        <f>"2096"</f>
        <v>2096</v>
      </c>
      <c r="J5266" s="6" t="str">
        <f>"AZUL 2096"</f>
        <v>AZUL 2096</v>
      </c>
      <c r="K5266" s="6" t="str">
        <f>"1024"</f>
        <v>1024</v>
      </c>
      <c r="L5266" s="6" t="str">
        <f>"Toalhas"</f>
        <v>Toalhas</v>
      </c>
      <c r="M5266" s="6" t="str">
        <f>"50x100"</f>
        <v>50x100</v>
      </c>
      <c r="N5266" s="6" t="str">
        <f>"5602972836905"</f>
        <v>5602972836905</v>
      </c>
      <c r="O5266" s="8">
        <v>480</v>
      </c>
      <c r="P5266" s="7">
        <v>46044</v>
      </c>
      <c r="R5266" s="8">
        <v>0</v>
      </c>
      <c r="S5266" s="7">
        <v>46049</v>
      </c>
      <c r="U5266" s="8">
        <v>480</v>
      </c>
      <c r="V5266" s="7">
        <v>46065</v>
      </c>
      <c r="X5266" s="8">
        <v>0</v>
      </c>
      <c r="Z5266" s="8">
        <v>480</v>
      </c>
      <c r="AA5266" s="7">
        <v>46083</v>
      </c>
      <c r="AC5266" s="8">
        <v>0</v>
      </c>
      <c r="AE5266" s="7">
        <v>46086</v>
      </c>
      <c r="AF5266" s="8">
        <v>0</v>
      </c>
      <c r="AH5266" s="7">
        <v>46086</v>
      </c>
      <c r="AN5266" s="8">
        <v>0</v>
      </c>
      <c r="AO5266" s="8">
        <v>480</v>
      </c>
    </row>
    <row r="5267" spans="1:41" x14ac:dyDescent="0.25">
      <c r="A5267" s="6" t="str">
        <f t="shared" si="1405"/>
        <v>525-2026000033</v>
      </c>
      <c r="B5267" s="6" t="str">
        <f t="shared" si="1406"/>
        <v>Lasa Int</v>
      </c>
      <c r="C5267" s="7">
        <v>46044</v>
      </c>
      <c r="D5267" s="7">
        <v>46086</v>
      </c>
      <c r="E5267" s="8">
        <v>22</v>
      </c>
      <c r="F5267" s="6" t="str">
        <f t="shared" si="1407"/>
        <v>PURE</v>
      </c>
      <c r="G5267" s="6" t="str">
        <f t="shared" si="1408"/>
        <v>F100021455000000</v>
      </c>
      <c r="H5267" s="6" t="str">
        <f t="shared" si="1409"/>
        <v>FA 214 - PURE - 550</v>
      </c>
      <c r="I5267" s="6" t="str">
        <f>"2096"</f>
        <v>2096</v>
      </c>
      <c r="J5267" s="6" t="str">
        <f>"AZUL 2096"</f>
        <v>AZUL 2096</v>
      </c>
      <c r="K5267" s="6" t="str">
        <f>"1535"</f>
        <v>1535</v>
      </c>
      <c r="L5267" s="6" t="str">
        <f>"Toalhões"</f>
        <v>Toalhões</v>
      </c>
      <c r="M5267" s="6" t="str">
        <f>"70x140"</f>
        <v>70x140</v>
      </c>
      <c r="N5267" s="6" t="str">
        <f>"5602972836912"</f>
        <v>5602972836912</v>
      </c>
      <c r="O5267" s="8">
        <v>240</v>
      </c>
      <c r="P5267" s="7">
        <v>46044</v>
      </c>
      <c r="R5267" s="8">
        <v>0</v>
      </c>
      <c r="S5267" s="7">
        <v>46049</v>
      </c>
      <c r="U5267" s="8">
        <v>240</v>
      </c>
      <c r="V5267" s="7">
        <v>46065</v>
      </c>
      <c r="X5267" s="8">
        <v>0</v>
      </c>
      <c r="Z5267" s="8">
        <v>240</v>
      </c>
      <c r="AA5267" s="7">
        <v>46083</v>
      </c>
      <c r="AC5267" s="8">
        <v>0</v>
      </c>
      <c r="AE5267" s="7">
        <v>46086</v>
      </c>
      <c r="AF5267" s="8">
        <v>0</v>
      </c>
      <c r="AH5267" s="7">
        <v>46086</v>
      </c>
      <c r="AN5267" s="8">
        <v>0</v>
      </c>
      <c r="AO5267" s="8">
        <v>240</v>
      </c>
    </row>
    <row r="5268" spans="1:41" x14ac:dyDescent="0.25">
      <c r="A5268" s="6" t="str">
        <f t="shared" si="1405"/>
        <v>525-2026000033</v>
      </c>
      <c r="B5268" s="6" t="str">
        <f t="shared" si="1406"/>
        <v>Lasa Int</v>
      </c>
      <c r="C5268" s="7">
        <v>46044</v>
      </c>
      <c r="D5268" s="7">
        <v>46086</v>
      </c>
      <c r="E5268" s="8">
        <v>23</v>
      </c>
      <c r="F5268" s="6" t="str">
        <f t="shared" si="1407"/>
        <v>PURE</v>
      </c>
      <c r="G5268" s="6" t="str">
        <f t="shared" si="1408"/>
        <v>F100021455000000</v>
      </c>
      <c r="H5268" s="6" t="str">
        <f t="shared" si="1409"/>
        <v>FA 214 - PURE - 550</v>
      </c>
      <c r="I5268" s="6" t="str">
        <f>"2096"</f>
        <v>2096</v>
      </c>
      <c r="J5268" s="6" t="str">
        <f>"AZUL 2096"</f>
        <v>AZUL 2096</v>
      </c>
      <c r="K5268" s="6" t="str">
        <f>"2020"</f>
        <v>2020</v>
      </c>
      <c r="L5268" s="6" t="str">
        <f>"Lençóis"</f>
        <v>Lençóis</v>
      </c>
      <c r="M5268" s="6" t="str">
        <f>"100x150"</f>
        <v>100x150</v>
      </c>
      <c r="N5268" s="6" t="str">
        <f>"5602972836929"</f>
        <v>5602972836929</v>
      </c>
      <c r="O5268" s="8">
        <v>160</v>
      </c>
      <c r="P5268" s="7">
        <v>46044</v>
      </c>
      <c r="R5268" s="8">
        <v>0</v>
      </c>
      <c r="S5268" s="7">
        <v>46049</v>
      </c>
      <c r="U5268" s="8">
        <v>160</v>
      </c>
      <c r="V5268" s="7">
        <v>46065</v>
      </c>
      <c r="X5268" s="8">
        <v>0</v>
      </c>
      <c r="Z5268" s="8">
        <v>160</v>
      </c>
      <c r="AA5268" s="7">
        <v>46083</v>
      </c>
      <c r="AC5268" s="8">
        <v>0</v>
      </c>
      <c r="AE5268" s="7">
        <v>46086</v>
      </c>
      <c r="AF5268" s="8">
        <v>0</v>
      </c>
      <c r="AH5268" s="7">
        <v>46086</v>
      </c>
      <c r="AN5268" s="8">
        <v>0</v>
      </c>
      <c r="AO5268" s="8">
        <v>160</v>
      </c>
    </row>
    <row r="5269" spans="1:41" x14ac:dyDescent="0.25">
      <c r="A5269" s="6" t="str">
        <f t="shared" si="1405"/>
        <v>525-2026000033</v>
      </c>
      <c r="B5269" s="6" t="str">
        <f t="shared" si="1406"/>
        <v>Lasa Int</v>
      </c>
      <c r="C5269" s="7">
        <v>46044</v>
      </c>
      <c r="D5269" s="7">
        <v>46086</v>
      </c>
      <c r="E5269" s="8">
        <v>24</v>
      </c>
      <c r="F5269" s="6" t="str">
        <f t="shared" si="1407"/>
        <v>PURE</v>
      </c>
      <c r="G5269" s="6" t="str">
        <f t="shared" si="1408"/>
        <v>F100021455000000</v>
      </c>
      <c r="H5269" s="6" t="str">
        <f t="shared" si="1409"/>
        <v>FA 214 - PURE - 550</v>
      </c>
      <c r="I5269" s="6" t="str">
        <f>"2596"</f>
        <v>2596</v>
      </c>
      <c r="J5269" s="6" t="str">
        <f>"VERDE 2596"</f>
        <v>VERDE 2596</v>
      </c>
      <c r="K5269" s="6" t="str">
        <f>"0530"</f>
        <v>0530</v>
      </c>
      <c r="L5269" s="6" t="str">
        <f>"Toalhetes"</f>
        <v>Toalhetes</v>
      </c>
      <c r="M5269" s="6" t="str">
        <f>"33x50"</f>
        <v>33x50</v>
      </c>
      <c r="N5269" s="6" t="str">
        <f>"5602972724462"</f>
        <v>5602972724462</v>
      </c>
      <c r="O5269" s="8">
        <v>450</v>
      </c>
      <c r="P5269" s="7">
        <v>46044</v>
      </c>
      <c r="R5269" s="8">
        <v>0</v>
      </c>
      <c r="S5269" s="7">
        <v>46049</v>
      </c>
      <c r="U5269" s="8">
        <v>450</v>
      </c>
      <c r="V5269" s="7">
        <v>46065</v>
      </c>
      <c r="X5269" s="8">
        <v>0</v>
      </c>
      <c r="Z5269" s="8">
        <v>0</v>
      </c>
      <c r="AA5269" s="7">
        <v>46083</v>
      </c>
      <c r="AC5269" s="8">
        <v>0</v>
      </c>
      <c r="AE5269" s="7">
        <v>46086</v>
      </c>
      <c r="AF5269" s="8">
        <v>0</v>
      </c>
      <c r="AH5269" s="7">
        <v>46086</v>
      </c>
      <c r="AN5269" s="8">
        <v>0</v>
      </c>
      <c r="AO5269" s="8">
        <v>450</v>
      </c>
    </row>
    <row r="5270" spans="1:41" x14ac:dyDescent="0.25">
      <c r="A5270" s="6" t="str">
        <f t="shared" si="1405"/>
        <v>525-2026000033</v>
      </c>
      <c r="B5270" s="6" t="str">
        <f t="shared" si="1406"/>
        <v>Lasa Int</v>
      </c>
      <c r="C5270" s="7">
        <v>46044</v>
      </c>
      <c r="D5270" s="7">
        <v>46086</v>
      </c>
      <c r="E5270" s="8">
        <v>25</v>
      </c>
      <c r="F5270" s="6" t="str">
        <f t="shared" si="1407"/>
        <v>PURE</v>
      </c>
      <c r="G5270" s="6" t="str">
        <f t="shared" si="1408"/>
        <v>F100021455000000</v>
      </c>
      <c r="H5270" s="6" t="str">
        <f t="shared" si="1409"/>
        <v>FA 214 - PURE - 550</v>
      </c>
      <c r="I5270" s="6" t="str">
        <f>"2596"</f>
        <v>2596</v>
      </c>
      <c r="J5270" s="6" t="str">
        <f>"VERDE 2596"</f>
        <v>VERDE 2596</v>
      </c>
      <c r="K5270" s="6" t="str">
        <f>"1024"</f>
        <v>1024</v>
      </c>
      <c r="L5270" s="6" t="str">
        <f>"Toalhas"</f>
        <v>Toalhas</v>
      </c>
      <c r="M5270" s="6" t="str">
        <f>"50x100"</f>
        <v>50x100</v>
      </c>
      <c r="N5270" s="6" t="str">
        <f>"5602972724479"</f>
        <v>5602972724479</v>
      </c>
      <c r="O5270" s="8">
        <v>480</v>
      </c>
      <c r="P5270" s="7">
        <v>46044</v>
      </c>
      <c r="R5270" s="8">
        <v>0</v>
      </c>
      <c r="S5270" s="7">
        <v>46049</v>
      </c>
      <c r="U5270" s="8">
        <v>480</v>
      </c>
      <c r="V5270" s="7">
        <v>46065</v>
      </c>
      <c r="X5270" s="8">
        <v>0</v>
      </c>
      <c r="Z5270" s="8">
        <v>0</v>
      </c>
      <c r="AA5270" s="7">
        <v>46083</v>
      </c>
      <c r="AC5270" s="8">
        <v>0</v>
      </c>
      <c r="AE5270" s="7">
        <v>46086</v>
      </c>
      <c r="AF5270" s="8">
        <v>0</v>
      </c>
      <c r="AH5270" s="7">
        <v>46086</v>
      </c>
      <c r="AN5270" s="8">
        <v>0</v>
      </c>
      <c r="AO5270" s="8">
        <v>480</v>
      </c>
    </row>
    <row r="5271" spans="1:41" x14ac:dyDescent="0.25">
      <c r="A5271" s="6" t="str">
        <f t="shared" si="1405"/>
        <v>525-2026000033</v>
      </c>
      <c r="B5271" s="6" t="str">
        <f t="shared" si="1406"/>
        <v>Lasa Int</v>
      </c>
      <c r="C5271" s="7">
        <v>46044</v>
      </c>
      <c r="D5271" s="7">
        <v>46086</v>
      </c>
      <c r="E5271" s="8">
        <v>26</v>
      </c>
      <c r="F5271" s="6" t="str">
        <f t="shared" si="1407"/>
        <v>PURE</v>
      </c>
      <c r="G5271" s="6" t="str">
        <f t="shared" si="1408"/>
        <v>F100021455000000</v>
      </c>
      <c r="H5271" s="6" t="str">
        <f t="shared" si="1409"/>
        <v>FA 214 - PURE - 550</v>
      </c>
      <c r="I5271" s="6" t="str">
        <f>"2596"</f>
        <v>2596</v>
      </c>
      <c r="J5271" s="6" t="str">
        <f>"VERDE 2596"</f>
        <v>VERDE 2596</v>
      </c>
      <c r="K5271" s="6" t="str">
        <f>"1535"</f>
        <v>1535</v>
      </c>
      <c r="L5271" s="6" t="str">
        <f>"Toalhões"</f>
        <v>Toalhões</v>
      </c>
      <c r="M5271" s="6" t="str">
        <f>"70x140"</f>
        <v>70x140</v>
      </c>
      <c r="N5271" s="6" t="str">
        <f>"5602972724486"</f>
        <v>5602972724486</v>
      </c>
      <c r="O5271" s="8">
        <v>120</v>
      </c>
      <c r="P5271" s="7">
        <v>46044</v>
      </c>
      <c r="R5271" s="8">
        <v>0</v>
      </c>
      <c r="S5271" s="7">
        <v>46049</v>
      </c>
      <c r="U5271" s="8">
        <v>120</v>
      </c>
      <c r="V5271" s="7">
        <v>46065</v>
      </c>
      <c r="X5271" s="8">
        <v>0</v>
      </c>
      <c r="Z5271" s="8">
        <v>0</v>
      </c>
      <c r="AA5271" s="7">
        <v>46083</v>
      </c>
      <c r="AC5271" s="8">
        <v>0</v>
      </c>
      <c r="AE5271" s="7">
        <v>46086</v>
      </c>
      <c r="AF5271" s="8">
        <v>0</v>
      </c>
      <c r="AH5271" s="7">
        <v>46086</v>
      </c>
      <c r="AN5271" s="8">
        <v>0</v>
      </c>
      <c r="AO5271" s="8">
        <v>120</v>
      </c>
    </row>
    <row r="5272" spans="1:41" x14ac:dyDescent="0.25">
      <c r="A5272" s="6" t="str">
        <f t="shared" si="1405"/>
        <v>525-2026000033</v>
      </c>
      <c r="B5272" s="6" t="str">
        <f t="shared" si="1406"/>
        <v>Lasa Int</v>
      </c>
      <c r="C5272" s="7">
        <v>46044</v>
      </c>
      <c r="D5272" s="7">
        <v>46086</v>
      </c>
      <c r="E5272" s="8">
        <v>27</v>
      </c>
      <c r="F5272" s="6" t="str">
        <f t="shared" si="1407"/>
        <v>PURE</v>
      </c>
      <c r="G5272" s="6" t="str">
        <f t="shared" si="1408"/>
        <v>F100021455000000</v>
      </c>
      <c r="H5272" s="6" t="str">
        <f t="shared" si="1409"/>
        <v>FA 214 - PURE - 550</v>
      </c>
      <c r="I5272" s="6" t="str">
        <f>"2596"</f>
        <v>2596</v>
      </c>
      <c r="J5272" s="6" t="str">
        <f>"VERDE 2596"</f>
        <v>VERDE 2596</v>
      </c>
      <c r="K5272" s="6" t="str">
        <f>"2020"</f>
        <v>2020</v>
      </c>
      <c r="L5272" s="6" t="str">
        <f>"Lençóis"</f>
        <v>Lençóis</v>
      </c>
      <c r="M5272" s="6" t="str">
        <f>"100x150"</f>
        <v>100x150</v>
      </c>
      <c r="N5272" s="6" t="str">
        <f>"5602972724493"</f>
        <v>5602972724493</v>
      </c>
      <c r="O5272" s="8">
        <v>240</v>
      </c>
      <c r="P5272" s="7">
        <v>46044</v>
      </c>
      <c r="R5272" s="8">
        <v>0</v>
      </c>
      <c r="S5272" s="7">
        <v>46049</v>
      </c>
      <c r="U5272" s="8">
        <v>240</v>
      </c>
      <c r="V5272" s="7">
        <v>46065</v>
      </c>
      <c r="X5272" s="8">
        <v>0</v>
      </c>
      <c r="Z5272" s="8">
        <v>0</v>
      </c>
      <c r="AA5272" s="7">
        <v>46083</v>
      </c>
      <c r="AC5272" s="8">
        <v>0</v>
      </c>
      <c r="AE5272" s="7">
        <v>46086</v>
      </c>
      <c r="AF5272" s="8">
        <v>0</v>
      </c>
      <c r="AH5272" s="7">
        <v>46086</v>
      </c>
      <c r="AN5272" s="8">
        <v>0</v>
      </c>
      <c r="AO5272" s="8">
        <v>240</v>
      </c>
    </row>
    <row r="5273" spans="1:41" x14ac:dyDescent="0.25">
      <c r="A5273" s="6" t="str">
        <f t="shared" si="1405"/>
        <v>525-2026000033</v>
      </c>
      <c r="B5273" s="6" t="str">
        <f t="shared" si="1406"/>
        <v>Lasa Int</v>
      </c>
      <c r="C5273" s="7">
        <v>46044</v>
      </c>
      <c r="D5273" s="7">
        <v>46086</v>
      </c>
      <c r="E5273" s="8">
        <v>28</v>
      </c>
      <c r="F5273" s="6" t="str">
        <f t="shared" si="1407"/>
        <v>PURE</v>
      </c>
      <c r="G5273" s="6" t="str">
        <f t="shared" si="1408"/>
        <v>F100021455000000</v>
      </c>
      <c r="H5273" s="6" t="str">
        <f t="shared" si="1409"/>
        <v>FA 214 - PURE - 550</v>
      </c>
      <c r="I5273" s="6" t="str">
        <f>"2612"</f>
        <v>2612</v>
      </c>
      <c r="J5273" s="6" t="str">
        <f>"VERDE 2612"</f>
        <v>VERDE 2612</v>
      </c>
      <c r="K5273" s="6" t="str">
        <f>"0112"</f>
        <v>0112</v>
      </c>
      <c r="L5273" s="6" t="str">
        <f>"Luvas"</f>
        <v>Luvas</v>
      </c>
      <c r="M5273" s="6" t="str">
        <f>"16x21"</f>
        <v>16x21</v>
      </c>
      <c r="N5273" s="6" t="str">
        <f>"5602972837087"</f>
        <v>5602972837087</v>
      </c>
      <c r="O5273" s="8">
        <v>300</v>
      </c>
      <c r="P5273" s="7">
        <v>46044</v>
      </c>
      <c r="R5273" s="8">
        <v>0</v>
      </c>
      <c r="S5273" s="7">
        <v>46049</v>
      </c>
      <c r="U5273" s="8">
        <v>300</v>
      </c>
      <c r="V5273" s="7">
        <v>46065</v>
      </c>
      <c r="X5273" s="8">
        <v>0</v>
      </c>
      <c r="Z5273" s="8">
        <v>0</v>
      </c>
      <c r="AA5273" s="7">
        <v>46083</v>
      </c>
      <c r="AC5273" s="8">
        <v>0</v>
      </c>
      <c r="AE5273" s="7">
        <v>46086</v>
      </c>
      <c r="AF5273" s="8">
        <v>0</v>
      </c>
      <c r="AH5273" s="7">
        <v>46086</v>
      </c>
      <c r="AN5273" s="8">
        <v>0</v>
      </c>
      <c r="AO5273" s="8">
        <v>300</v>
      </c>
    </row>
    <row r="5274" spans="1:41" x14ac:dyDescent="0.25">
      <c r="A5274" s="6" t="str">
        <f t="shared" si="1405"/>
        <v>525-2026000033</v>
      </c>
      <c r="B5274" s="6" t="str">
        <f t="shared" si="1406"/>
        <v>Lasa Int</v>
      </c>
      <c r="C5274" s="7">
        <v>46044</v>
      </c>
      <c r="D5274" s="7">
        <v>46086</v>
      </c>
      <c r="E5274" s="8">
        <v>29</v>
      </c>
      <c r="F5274" s="6" t="str">
        <f t="shared" si="1407"/>
        <v>PURE</v>
      </c>
      <c r="G5274" s="6" t="str">
        <f t="shared" si="1408"/>
        <v>F100021455000000</v>
      </c>
      <c r="H5274" s="6" t="str">
        <f t="shared" si="1409"/>
        <v>FA 214 - PURE - 550</v>
      </c>
      <c r="I5274" s="6" t="str">
        <f>"2612"</f>
        <v>2612</v>
      </c>
      <c r="J5274" s="6" t="str">
        <f>"VERDE 2612"</f>
        <v>VERDE 2612</v>
      </c>
      <c r="K5274" s="6" t="str">
        <f>"1024"</f>
        <v>1024</v>
      </c>
      <c r="L5274" s="6" t="str">
        <f>"Toalhas"</f>
        <v>Toalhas</v>
      </c>
      <c r="M5274" s="6" t="str">
        <f>"50x100"</f>
        <v>50x100</v>
      </c>
      <c r="N5274" s="6" t="str">
        <f>"5602972837100"</f>
        <v>5602972837100</v>
      </c>
      <c r="O5274" s="8">
        <v>480</v>
      </c>
      <c r="P5274" s="7">
        <v>46044</v>
      </c>
      <c r="R5274" s="8">
        <v>0</v>
      </c>
      <c r="S5274" s="7">
        <v>46049</v>
      </c>
      <c r="U5274" s="8">
        <v>480</v>
      </c>
      <c r="V5274" s="7">
        <v>46065</v>
      </c>
      <c r="X5274" s="8">
        <v>0</v>
      </c>
      <c r="Z5274" s="8">
        <v>0</v>
      </c>
      <c r="AA5274" s="7">
        <v>46083</v>
      </c>
      <c r="AC5274" s="8">
        <v>0</v>
      </c>
      <c r="AE5274" s="7">
        <v>46086</v>
      </c>
      <c r="AF5274" s="8">
        <v>0</v>
      </c>
      <c r="AH5274" s="7">
        <v>46086</v>
      </c>
      <c r="AN5274" s="8">
        <v>0</v>
      </c>
      <c r="AO5274" s="8">
        <v>480</v>
      </c>
    </row>
    <row r="5275" spans="1:41" x14ac:dyDescent="0.25">
      <c r="A5275" s="6" t="str">
        <f t="shared" si="1405"/>
        <v>525-2026000033</v>
      </c>
      <c r="B5275" s="6" t="str">
        <f t="shared" si="1406"/>
        <v>Lasa Int</v>
      </c>
      <c r="C5275" s="7">
        <v>46044</v>
      </c>
      <c r="D5275" s="7">
        <v>46086</v>
      </c>
      <c r="E5275" s="8">
        <v>30</v>
      </c>
      <c r="F5275" s="6" t="str">
        <f t="shared" si="1407"/>
        <v>PURE</v>
      </c>
      <c r="G5275" s="6" t="str">
        <f t="shared" si="1408"/>
        <v>F100021455000000</v>
      </c>
      <c r="H5275" s="6" t="str">
        <f t="shared" si="1409"/>
        <v>FA 214 - PURE - 550</v>
      </c>
      <c r="I5275" s="6" t="str">
        <f>"2612"</f>
        <v>2612</v>
      </c>
      <c r="J5275" s="6" t="str">
        <f>"VERDE 2612"</f>
        <v>VERDE 2612</v>
      </c>
      <c r="K5275" s="6" t="str">
        <f>"1535"</f>
        <v>1535</v>
      </c>
      <c r="L5275" s="6" t="str">
        <f>"Toalhões"</f>
        <v>Toalhões</v>
      </c>
      <c r="M5275" s="6" t="str">
        <f>"70x140"</f>
        <v>70x140</v>
      </c>
      <c r="N5275" s="6" t="str">
        <f>"5602972837117"</f>
        <v>5602972837117</v>
      </c>
      <c r="O5275" s="8">
        <v>240</v>
      </c>
      <c r="P5275" s="7">
        <v>46044</v>
      </c>
      <c r="R5275" s="8">
        <v>0</v>
      </c>
      <c r="S5275" s="7">
        <v>46049</v>
      </c>
      <c r="U5275" s="8">
        <v>240</v>
      </c>
      <c r="V5275" s="7">
        <v>46065</v>
      </c>
      <c r="X5275" s="8">
        <v>0</v>
      </c>
      <c r="Z5275" s="8">
        <v>0</v>
      </c>
      <c r="AA5275" s="7">
        <v>46083</v>
      </c>
      <c r="AC5275" s="8">
        <v>0</v>
      </c>
      <c r="AE5275" s="7">
        <v>46086</v>
      </c>
      <c r="AF5275" s="8">
        <v>0</v>
      </c>
      <c r="AH5275" s="7">
        <v>46086</v>
      </c>
      <c r="AN5275" s="8">
        <v>0</v>
      </c>
      <c r="AO5275" s="8">
        <v>240</v>
      </c>
    </row>
    <row r="5276" spans="1:41" x14ac:dyDescent="0.25">
      <c r="A5276" s="6" t="str">
        <f t="shared" si="1405"/>
        <v>525-2026000033</v>
      </c>
      <c r="B5276" s="6" t="str">
        <f t="shared" si="1406"/>
        <v>Lasa Int</v>
      </c>
      <c r="C5276" s="7">
        <v>46044</v>
      </c>
      <c r="D5276" s="7">
        <v>46086</v>
      </c>
      <c r="E5276" s="8">
        <v>31</v>
      </c>
      <c r="F5276" s="6" t="str">
        <f t="shared" si="1407"/>
        <v>PURE</v>
      </c>
      <c r="G5276" s="6" t="str">
        <f t="shared" si="1408"/>
        <v>F100021455000000</v>
      </c>
      <c r="H5276" s="6" t="str">
        <f t="shared" si="1409"/>
        <v>FA 214 - PURE - 550</v>
      </c>
      <c r="I5276" s="6" t="str">
        <f>"2612"</f>
        <v>2612</v>
      </c>
      <c r="J5276" s="6" t="str">
        <f>"VERDE 2612"</f>
        <v>VERDE 2612</v>
      </c>
      <c r="K5276" s="6" t="str">
        <f>"2020"</f>
        <v>2020</v>
      </c>
      <c r="L5276" s="6" t="str">
        <f>"Lençóis"</f>
        <v>Lençóis</v>
      </c>
      <c r="M5276" s="6" t="str">
        <f>"100x150"</f>
        <v>100x150</v>
      </c>
      <c r="N5276" s="6" t="str">
        <f>"5602972837124"</f>
        <v>5602972837124</v>
      </c>
      <c r="O5276" s="8">
        <v>160</v>
      </c>
      <c r="P5276" s="7">
        <v>46044</v>
      </c>
      <c r="R5276" s="8">
        <v>0</v>
      </c>
      <c r="S5276" s="7">
        <v>46049</v>
      </c>
      <c r="U5276" s="8">
        <v>160</v>
      </c>
      <c r="V5276" s="7">
        <v>46065</v>
      </c>
      <c r="X5276" s="8">
        <v>0</v>
      </c>
      <c r="Z5276" s="8">
        <v>0</v>
      </c>
      <c r="AA5276" s="7">
        <v>46083</v>
      </c>
      <c r="AC5276" s="8">
        <v>0</v>
      </c>
      <c r="AE5276" s="7">
        <v>46086</v>
      </c>
      <c r="AF5276" s="8">
        <v>0</v>
      </c>
      <c r="AH5276" s="7">
        <v>46086</v>
      </c>
      <c r="AN5276" s="8">
        <v>0</v>
      </c>
      <c r="AO5276" s="8">
        <v>160</v>
      </c>
    </row>
    <row r="5277" spans="1:41" x14ac:dyDescent="0.25">
      <c r="A5277" s="6" t="str">
        <f t="shared" si="1405"/>
        <v>525-2026000033</v>
      </c>
      <c r="B5277" s="6" t="str">
        <f t="shared" si="1406"/>
        <v>Lasa Int</v>
      </c>
      <c r="C5277" s="7">
        <v>46044</v>
      </c>
      <c r="D5277" s="7">
        <v>46086</v>
      </c>
      <c r="E5277" s="8">
        <v>32</v>
      </c>
      <c r="F5277" s="6" t="str">
        <f t="shared" si="1407"/>
        <v>PURE</v>
      </c>
      <c r="G5277" s="6" t="str">
        <f t="shared" si="1408"/>
        <v>F100021455000000</v>
      </c>
      <c r="H5277" s="6" t="str">
        <f t="shared" si="1409"/>
        <v>FA 214 - PURE - 550</v>
      </c>
      <c r="I5277" s="6" t="str">
        <f>"3"</f>
        <v>3</v>
      </c>
      <c r="J5277" s="6" t="str">
        <f>"PRETO Sulf"</f>
        <v>PRETO Sulf</v>
      </c>
      <c r="K5277" s="6" t="str">
        <f>"0112"</f>
        <v>0112</v>
      </c>
      <c r="L5277" s="6" t="str">
        <f>"Luvas"</f>
        <v>Luvas</v>
      </c>
      <c r="M5277" s="6" t="str">
        <f>"16x21"</f>
        <v>16x21</v>
      </c>
      <c r="N5277" s="6" t="str">
        <f>"5602972837186"</f>
        <v>5602972837186</v>
      </c>
      <c r="O5277" s="8">
        <v>300</v>
      </c>
      <c r="P5277" s="7">
        <v>46044</v>
      </c>
      <c r="R5277" s="8">
        <v>0</v>
      </c>
      <c r="S5277" s="7">
        <v>46049</v>
      </c>
      <c r="U5277" s="8">
        <v>300</v>
      </c>
      <c r="V5277" s="7">
        <v>46065</v>
      </c>
      <c r="X5277" s="8">
        <v>0</v>
      </c>
      <c r="Z5277" s="8">
        <v>0</v>
      </c>
      <c r="AA5277" s="7">
        <v>46083</v>
      </c>
      <c r="AC5277" s="8">
        <v>0</v>
      </c>
      <c r="AE5277" s="7">
        <v>46086</v>
      </c>
      <c r="AF5277" s="8">
        <v>0</v>
      </c>
      <c r="AH5277" s="7">
        <v>46086</v>
      </c>
      <c r="AN5277" s="8">
        <v>0</v>
      </c>
      <c r="AO5277" s="8">
        <v>300</v>
      </c>
    </row>
    <row r="5278" spans="1:41" x14ac:dyDescent="0.25">
      <c r="A5278" s="6" t="str">
        <f t="shared" ref="A5278:A5309" si="1410">"525-2026000033"</f>
        <v>525-2026000033</v>
      </c>
      <c r="B5278" s="6" t="str">
        <f t="shared" ref="B5278:B5309" si="1411">"Lasa Int"</f>
        <v>Lasa Int</v>
      </c>
      <c r="C5278" s="7">
        <v>46044</v>
      </c>
      <c r="D5278" s="7">
        <v>46086</v>
      </c>
      <c r="E5278" s="8">
        <v>33</v>
      </c>
      <c r="F5278" s="6" t="str">
        <f t="shared" ref="F5278:F5309" si="1412">"PURE"</f>
        <v>PURE</v>
      </c>
      <c r="G5278" s="6" t="str">
        <f t="shared" ref="G5278:G5309" si="1413">"F100021455000000"</f>
        <v>F100021455000000</v>
      </c>
      <c r="H5278" s="6" t="str">
        <f t="shared" ref="H5278:H5309" si="1414">"FA 214 - PURE - 550"</f>
        <v>FA 214 - PURE - 550</v>
      </c>
      <c r="I5278" s="6" t="str">
        <f>"3"</f>
        <v>3</v>
      </c>
      <c r="J5278" s="6" t="str">
        <f>"PRETO Sulf"</f>
        <v>PRETO Sulf</v>
      </c>
      <c r="K5278" s="6" t="str">
        <f>"0530"</f>
        <v>0530</v>
      </c>
      <c r="L5278" s="6" t="str">
        <f>"Toalhetes"</f>
        <v>Toalhetes</v>
      </c>
      <c r="M5278" s="6" t="str">
        <f>"33x50"</f>
        <v>33x50</v>
      </c>
      <c r="N5278" s="6" t="str">
        <f>"5602972837193"</f>
        <v>5602972837193</v>
      </c>
      <c r="O5278" s="8">
        <v>450</v>
      </c>
      <c r="P5278" s="7">
        <v>46044</v>
      </c>
      <c r="R5278" s="8">
        <v>0</v>
      </c>
      <c r="S5278" s="7">
        <v>46049</v>
      </c>
      <c r="U5278" s="8">
        <v>450</v>
      </c>
      <c r="V5278" s="7">
        <v>46065</v>
      </c>
      <c r="X5278" s="8">
        <v>0</v>
      </c>
      <c r="Z5278" s="8">
        <v>0</v>
      </c>
      <c r="AA5278" s="7">
        <v>46083</v>
      </c>
      <c r="AC5278" s="8">
        <v>0</v>
      </c>
      <c r="AE5278" s="7">
        <v>46086</v>
      </c>
      <c r="AF5278" s="8">
        <v>0</v>
      </c>
      <c r="AH5278" s="7">
        <v>46086</v>
      </c>
      <c r="AN5278" s="8">
        <v>0</v>
      </c>
      <c r="AO5278" s="8">
        <v>450</v>
      </c>
    </row>
    <row r="5279" spans="1:41" x14ac:dyDescent="0.25">
      <c r="A5279" s="6" t="str">
        <f t="shared" si="1410"/>
        <v>525-2026000033</v>
      </c>
      <c r="B5279" s="6" t="str">
        <f t="shared" si="1411"/>
        <v>Lasa Int</v>
      </c>
      <c r="C5279" s="7">
        <v>46044</v>
      </c>
      <c r="D5279" s="7">
        <v>46086</v>
      </c>
      <c r="E5279" s="8">
        <v>34</v>
      </c>
      <c r="F5279" s="6" t="str">
        <f t="shared" si="1412"/>
        <v>PURE</v>
      </c>
      <c r="G5279" s="6" t="str">
        <f t="shared" si="1413"/>
        <v>F100021455000000</v>
      </c>
      <c r="H5279" s="6" t="str">
        <f t="shared" si="1414"/>
        <v>FA 214 - PURE - 550</v>
      </c>
      <c r="I5279" s="6" t="str">
        <f>"3"</f>
        <v>3</v>
      </c>
      <c r="J5279" s="6" t="str">
        <f>"PRETO Sulf"</f>
        <v>PRETO Sulf</v>
      </c>
      <c r="K5279" s="6" t="str">
        <f>"1024"</f>
        <v>1024</v>
      </c>
      <c r="L5279" s="6" t="str">
        <f>"Toalhas"</f>
        <v>Toalhas</v>
      </c>
      <c r="M5279" s="6" t="str">
        <f>"50x100"</f>
        <v>50x100</v>
      </c>
      <c r="N5279" s="6" t="str">
        <f>"5602972837209"</f>
        <v>5602972837209</v>
      </c>
      <c r="O5279" s="8">
        <v>480</v>
      </c>
      <c r="P5279" s="7">
        <v>46044</v>
      </c>
      <c r="R5279" s="8">
        <v>0</v>
      </c>
      <c r="S5279" s="7">
        <v>46049</v>
      </c>
      <c r="U5279" s="8">
        <v>480</v>
      </c>
      <c r="V5279" s="7">
        <v>46065</v>
      </c>
      <c r="X5279" s="8">
        <v>0</v>
      </c>
      <c r="Z5279" s="8">
        <v>0</v>
      </c>
      <c r="AA5279" s="7">
        <v>46083</v>
      </c>
      <c r="AC5279" s="8">
        <v>0</v>
      </c>
      <c r="AE5279" s="7">
        <v>46086</v>
      </c>
      <c r="AF5279" s="8">
        <v>0</v>
      </c>
      <c r="AH5279" s="7">
        <v>46086</v>
      </c>
      <c r="AN5279" s="8">
        <v>0</v>
      </c>
      <c r="AO5279" s="8">
        <v>480</v>
      </c>
    </row>
    <row r="5280" spans="1:41" x14ac:dyDescent="0.25">
      <c r="A5280" s="6" t="str">
        <f t="shared" si="1410"/>
        <v>525-2026000033</v>
      </c>
      <c r="B5280" s="6" t="str">
        <f t="shared" si="1411"/>
        <v>Lasa Int</v>
      </c>
      <c r="C5280" s="7">
        <v>46044</v>
      </c>
      <c r="D5280" s="7">
        <v>46086</v>
      </c>
      <c r="E5280" s="8">
        <v>35</v>
      </c>
      <c r="F5280" s="6" t="str">
        <f t="shared" si="1412"/>
        <v>PURE</v>
      </c>
      <c r="G5280" s="6" t="str">
        <f t="shared" si="1413"/>
        <v>F100021455000000</v>
      </c>
      <c r="H5280" s="6" t="str">
        <f t="shared" si="1414"/>
        <v>FA 214 - PURE - 550</v>
      </c>
      <c r="I5280" s="6" t="str">
        <f>"3"</f>
        <v>3</v>
      </c>
      <c r="J5280" s="6" t="str">
        <f>"PRETO Sulf"</f>
        <v>PRETO Sulf</v>
      </c>
      <c r="K5280" s="6" t="str">
        <f>"1535"</f>
        <v>1535</v>
      </c>
      <c r="L5280" s="6" t="str">
        <f>"Toalhões"</f>
        <v>Toalhões</v>
      </c>
      <c r="M5280" s="6" t="str">
        <f>"70x140"</f>
        <v>70x140</v>
      </c>
      <c r="N5280" s="6" t="str">
        <f>"5602972837216"</f>
        <v>5602972837216</v>
      </c>
      <c r="O5280" s="8">
        <v>240</v>
      </c>
      <c r="P5280" s="7">
        <v>46044</v>
      </c>
      <c r="R5280" s="8">
        <v>0</v>
      </c>
      <c r="S5280" s="7">
        <v>46049</v>
      </c>
      <c r="U5280" s="8">
        <v>240</v>
      </c>
      <c r="V5280" s="7">
        <v>46065</v>
      </c>
      <c r="X5280" s="8">
        <v>0</v>
      </c>
      <c r="Z5280" s="8">
        <v>0</v>
      </c>
      <c r="AA5280" s="7">
        <v>46083</v>
      </c>
      <c r="AC5280" s="8">
        <v>0</v>
      </c>
      <c r="AE5280" s="7">
        <v>46086</v>
      </c>
      <c r="AF5280" s="8">
        <v>0</v>
      </c>
      <c r="AH5280" s="7">
        <v>46086</v>
      </c>
      <c r="AN5280" s="8">
        <v>0</v>
      </c>
      <c r="AO5280" s="8">
        <v>240</v>
      </c>
    </row>
    <row r="5281" spans="1:41" x14ac:dyDescent="0.25">
      <c r="A5281" s="6" t="str">
        <f t="shared" si="1410"/>
        <v>525-2026000033</v>
      </c>
      <c r="B5281" s="6" t="str">
        <f t="shared" si="1411"/>
        <v>Lasa Int</v>
      </c>
      <c r="C5281" s="7">
        <v>46044</v>
      </c>
      <c r="D5281" s="7">
        <v>46086</v>
      </c>
      <c r="E5281" s="8">
        <v>36</v>
      </c>
      <c r="F5281" s="6" t="str">
        <f t="shared" si="1412"/>
        <v>PURE</v>
      </c>
      <c r="G5281" s="6" t="str">
        <f t="shared" si="1413"/>
        <v>F100021455000000</v>
      </c>
      <c r="H5281" s="6" t="str">
        <f t="shared" si="1414"/>
        <v>FA 214 - PURE - 550</v>
      </c>
      <c r="I5281" s="6" t="str">
        <f>"3"</f>
        <v>3</v>
      </c>
      <c r="J5281" s="6" t="str">
        <f>"PRETO Sulf"</f>
        <v>PRETO Sulf</v>
      </c>
      <c r="K5281" s="6" t="str">
        <f>"2020"</f>
        <v>2020</v>
      </c>
      <c r="L5281" s="6" t="str">
        <f>"Lençóis"</f>
        <v>Lençóis</v>
      </c>
      <c r="M5281" s="6" t="str">
        <f>"100x150"</f>
        <v>100x150</v>
      </c>
      <c r="N5281" s="6" t="str">
        <f>"5602972837223"</f>
        <v>5602972837223</v>
      </c>
      <c r="O5281" s="8">
        <v>160</v>
      </c>
      <c r="P5281" s="7">
        <v>46044</v>
      </c>
      <c r="R5281" s="8">
        <v>0</v>
      </c>
      <c r="S5281" s="7">
        <v>46049</v>
      </c>
      <c r="U5281" s="8">
        <v>160</v>
      </c>
      <c r="V5281" s="7">
        <v>46065</v>
      </c>
      <c r="X5281" s="8">
        <v>0</v>
      </c>
      <c r="Z5281" s="8">
        <v>0</v>
      </c>
      <c r="AA5281" s="7">
        <v>46083</v>
      </c>
      <c r="AC5281" s="8">
        <v>0</v>
      </c>
      <c r="AE5281" s="7">
        <v>46086</v>
      </c>
      <c r="AF5281" s="8">
        <v>0</v>
      </c>
      <c r="AH5281" s="7">
        <v>46086</v>
      </c>
      <c r="AN5281" s="8">
        <v>0</v>
      </c>
      <c r="AO5281" s="8">
        <v>160</v>
      </c>
    </row>
    <row r="5282" spans="1:41" x14ac:dyDescent="0.25">
      <c r="A5282" s="6" t="str">
        <f t="shared" si="1410"/>
        <v>525-2026000033</v>
      </c>
      <c r="B5282" s="6" t="str">
        <f t="shared" si="1411"/>
        <v>Lasa Int</v>
      </c>
      <c r="C5282" s="7">
        <v>46044</v>
      </c>
      <c r="D5282" s="7">
        <v>46086</v>
      </c>
      <c r="E5282" s="8">
        <v>37</v>
      </c>
      <c r="F5282" s="6" t="str">
        <f t="shared" si="1412"/>
        <v>PURE</v>
      </c>
      <c r="G5282" s="6" t="str">
        <f t="shared" si="1413"/>
        <v>F100021455000000</v>
      </c>
      <c r="H5282" s="6" t="str">
        <f t="shared" si="1414"/>
        <v>FA 214 - PURE - 550</v>
      </c>
      <c r="I5282" s="6" t="str">
        <f>"3235"</f>
        <v>3235</v>
      </c>
      <c r="J5282" s="6" t="str">
        <f>"CINZA 3235"</f>
        <v>CINZA 3235</v>
      </c>
      <c r="K5282" s="6" t="str">
        <f>"0112"</f>
        <v>0112</v>
      </c>
      <c r="L5282" s="6" t="str">
        <f>"Luvas"</f>
        <v>Luvas</v>
      </c>
      <c r="M5282" s="6" t="str">
        <f>"16x21"</f>
        <v>16x21</v>
      </c>
      <c r="N5282" s="6" t="str">
        <f>"5602972895278"</f>
        <v>5602972895278</v>
      </c>
      <c r="O5282" s="8">
        <v>300</v>
      </c>
      <c r="P5282" s="7">
        <v>46044</v>
      </c>
      <c r="R5282" s="8">
        <v>0</v>
      </c>
      <c r="S5282" s="7">
        <v>46049</v>
      </c>
      <c r="U5282" s="8">
        <v>0</v>
      </c>
      <c r="V5282" s="7">
        <v>46065</v>
      </c>
      <c r="X5282" s="8">
        <v>0</v>
      </c>
      <c r="Z5282" s="8">
        <v>0</v>
      </c>
      <c r="AA5282" s="7">
        <v>46083</v>
      </c>
      <c r="AC5282" s="8">
        <v>0</v>
      </c>
      <c r="AE5282" s="7">
        <v>46086</v>
      </c>
      <c r="AF5282" s="8">
        <v>0</v>
      </c>
      <c r="AH5282" s="7">
        <v>46086</v>
      </c>
      <c r="AN5282" s="8">
        <v>0</v>
      </c>
      <c r="AO5282" s="8">
        <v>300</v>
      </c>
    </row>
    <row r="5283" spans="1:41" x14ac:dyDescent="0.25">
      <c r="A5283" s="6" t="str">
        <f t="shared" si="1410"/>
        <v>525-2026000033</v>
      </c>
      <c r="B5283" s="6" t="str">
        <f t="shared" si="1411"/>
        <v>Lasa Int</v>
      </c>
      <c r="C5283" s="7">
        <v>46044</v>
      </c>
      <c r="D5283" s="7">
        <v>46086</v>
      </c>
      <c r="E5283" s="8">
        <v>38</v>
      </c>
      <c r="F5283" s="6" t="str">
        <f t="shared" si="1412"/>
        <v>PURE</v>
      </c>
      <c r="G5283" s="6" t="str">
        <f t="shared" si="1413"/>
        <v>F100021455000000</v>
      </c>
      <c r="H5283" s="6" t="str">
        <f t="shared" si="1414"/>
        <v>FA 214 - PURE - 550</v>
      </c>
      <c r="I5283" s="6" t="str">
        <f>"3235"</f>
        <v>3235</v>
      </c>
      <c r="J5283" s="6" t="str">
        <f>"CINZA 3235"</f>
        <v>CINZA 3235</v>
      </c>
      <c r="K5283" s="6" t="str">
        <f>"0530"</f>
        <v>0530</v>
      </c>
      <c r="L5283" s="6" t="str">
        <f>"Toalhetes"</f>
        <v>Toalhetes</v>
      </c>
      <c r="M5283" s="6" t="str">
        <f>"33x50"</f>
        <v>33x50</v>
      </c>
      <c r="N5283" s="6" t="str">
        <f>"5602972895285"</f>
        <v>5602972895285</v>
      </c>
      <c r="O5283" s="8">
        <v>900</v>
      </c>
      <c r="P5283" s="7">
        <v>46044</v>
      </c>
      <c r="R5283" s="8">
        <v>0</v>
      </c>
      <c r="S5283" s="7">
        <v>46049</v>
      </c>
      <c r="U5283" s="8">
        <v>0</v>
      </c>
      <c r="V5283" s="7">
        <v>46065</v>
      </c>
      <c r="X5283" s="8">
        <v>0</v>
      </c>
      <c r="Z5283" s="8">
        <v>0</v>
      </c>
      <c r="AA5283" s="7">
        <v>46083</v>
      </c>
      <c r="AC5283" s="8">
        <v>0</v>
      </c>
      <c r="AE5283" s="7">
        <v>46086</v>
      </c>
      <c r="AF5283" s="8">
        <v>0</v>
      </c>
      <c r="AH5283" s="7">
        <v>46086</v>
      </c>
      <c r="AN5283" s="8">
        <v>0</v>
      </c>
      <c r="AO5283" s="8">
        <v>900</v>
      </c>
    </row>
    <row r="5284" spans="1:41" x14ac:dyDescent="0.25">
      <c r="A5284" s="6" t="str">
        <f t="shared" si="1410"/>
        <v>525-2026000033</v>
      </c>
      <c r="B5284" s="6" t="str">
        <f t="shared" si="1411"/>
        <v>Lasa Int</v>
      </c>
      <c r="C5284" s="7">
        <v>46044</v>
      </c>
      <c r="D5284" s="7">
        <v>46086</v>
      </c>
      <c r="E5284" s="8">
        <v>39</v>
      </c>
      <c r="F5284" s="6" t="str">
        <f t="shared" si="1412"/>
        <v>PURE</v>
      </c>
      <c r="G5284" s="6" t="str">
        <f t="shared" si="1413"/>
        <v>F100021455000000</v>
      </c>
      <c r="H5284" s="6" t="str">
        <f t="shared" si="1414"/>
        <v>FA 214 - PURE - 550</v>
      </c>
      <c r="I5284" s="6" t="str">
        <f>"3235"</f>
        <v>3235</v>
      </c>
      <c r="J5284" s="6" t="str">
        <f>"CINZA 3235"</f>
        <v>CINZA 3235</v>
      </c>
      <c r="K5284" s="6" t="str">
        <f>"1024"</f>
        <v>1024</v>
      </c>
      <c r="L5284" s="6" t="str">
        <f>"Toalhas"</f>
        <v>Toalhas</v>
      </c>
      <c r="M5284" s="6" t="str">
        <f>"50x100"</f>
        <v>50x100</v>
      </c>
      <c r="N5284" s="6" t="str">
        <f>"5602972895292"</f>
        <v>5602972895292</v>
      </c>
      <c r="O5284" s="8">
        <v>720</v>
      </c>
      <c r="P5284" s="7">
        <v>46044</v>
      </c>
      <c r="R5284" s="8">
        <v>0</v>
      </c>
      <c r="S5284" s="7">
        <v>46049</v>
      </c>
      <c r="U5284" s="8">
        <v>0</v>
      </c>
      <c r="V5284" s="7">
        <v>46065</v>
      </c>
      <c r="X5284" s="8">
        <v>0</v>
      </c>
      <c r="Z5284" s="8">
        <v>0</v>
      </c>
      <c r="AA5284" s="7">
        <v>46083</v>
      </c>
      <c r="AC5284" s="8">
        <v>0</v>
      </c>
      <c r="AE5284" s="7">
        <v>46086</v>
      </c>
      <c r="AF5284" s="8">
        <v>0</v>
      </c>
      <c r="AH5284" s="7">
        <v>46086</v>
      </c>
      <c r="AN5284" s="8">
        <v>0</v>
      </c>
      <c r="AO5284" s="8">
        <v>720</v>
      </c>
    </row>
    <row r="5285" spans="1:41" x14ac:dyDescent="0.25">
      <c r="A5285" s="6" t="str">
        <f t="shared" si="1410"/>
        <v>525-2026000033</v>
      </c>
      <c r="B5285" s="6" t="str">
        <f t="shared" si="1411"/>
        <v>Lasa Int</v>
      </c>
      <c r="C5285" s="7">
        <v>46044</v>
      </c>
      <c r="D5285" s="7">
        <v>46086</v>
      </c>
      <c r="E5285" s="8">
        <v>40</v>
      </c>
      <c r="F5285" s="6" t="str">
        <f t="shared" si="1412"/>
        <v>PURE</v>
      </c>
      <c r="G5285" s="6" t="str">
        <f t="shared" si="1413"/>
        <v>F100021455000000</v>
      </c>
      <c r="H5285" s="6" t="str">
        <f t="shared" si="1414"/>
        <v>FA 214 - PURE - 550</v>
      </c>
      <c r="I5285" s="6" t="str">
        <f>"3235"</f>
        <v>3235</v>
      </c>
      <c r="J5285" s="6" t="str">
        <f>"CINZA 3235"</f>
        <v>CINZA 3235</v>
      </c>
      <c r="K5285" s="6" t="str">
        <f>"1535"</f>
        <v>1535</v>
      </c>
      <c r="L5285" s="6" t="str">
        <f>"Toalhões"</f>
        <v>Toalhões</v>
      </c>
      <c r="M5285" s="6" t="str">
        <f>"70x140"</f>
        <v>70x140</v>
      </c>
      <c r="N5285" s="6" t="str">
        <f>"5602972895308"</f>
        <v>5602972895308</v>
      </c>
      <c r="O5285" s="8">
        <v>360</v>
      </c>
      <c r="P5285" s="7">
        <v>46044</v>
      </c>
      <c r="R5285" s="8">
        <v>0</v>
      </c>
      <c r="S5285" s="7">
        <v>46049</v>
      </c>
      <c r="U5285" s="8">
        <v>0</v>
      </c>
      <c r="V5285" s="7">
        <v>46065</v>
      </c>
      <c r="X5285" s="8">
        <v>0</v>
      </c>
      <c r="Z5285" s="8">
        <v>0</v>
      </c>
      <c r="AA5285" s="7">
        <v>46083</v>
      </c>
      <c r="AC5285" s="8">
        <v>0</v>
      </c>
      <c r="AE5285" s="7">
        <v>46086</v>
      </c>
      <c r="AF5285" s="8">
        <v>0</v>
      </c>
      <c r="AH5285" s="7">
        <v>46086</v>
      </c>
      <c r="AN5285" s="8">
        <v>0</v>
      </c>
      <c r="AO5285" s="8">
        <v>360</v>
      </c>
    </row>
    <row r="5286" spans="1:41" x14ac:dyDescent="0.25">
      <c r="A5286" s="6" t="str">
        <f t="shared" si="1410"/>
        <v>525-2026000033</v>
      </c>
      <c r="B5286" s="6" t="str">
        <f t="shared" si="1411"/>
        <v>Lasa Int</v>
      </c>
      <c r="C5286" s="7">
        <v>46044</v>
      </c>
      <c r="D5286" s="7">
        <v>46086</v>
      </c>
      <c r="E5286" s="8">
        <v>41</v>
      </c>
      <c r="F5286" s="6" t="str">
        <f t="shared" si="1412"/>
        <v>PURE</v>
      </c>
      <c r="G5286" s="6" t="str">
        <f t="shared" si="1413"/>
        <v>F100021455000000</v>
      </c>
      <c r="H5286" s="6" t="str">
        <f t="shared" si="1414"/>
        <v>FA 214 - PURE - 550</v>
      </c>
      <c r="I5286" s="6" t="str">
        <f>"3235"</f>
        <v>3235</v>
      </c>
      <c r="J5286" s="6" t="str">
        <f>"CINZA 3235"</f>
        <v>CINZA 3235</v>
      </c>
      <c r="K5286" s="6" t="str">
        <f>"2020"</f>
        <v>2020</v>
      </c>
      <c r="L5286" s="6" t="str">
        <f>"Lençóis"</f>
        <v>Lençóis</v>
      </c>
      <c r="M5286" s="6" t="str">
        <f>"100x150"</f>
        <v>100x150</v>
      </c>
      <c r="N5286" s="6" t="str">
        <f>"5602972895315"</f>
        <v>5602972895315</v>
      </c>
      <c r="O5286" s="8">
        <v>400</v>
      </c>
      <c r="P5286" s="7">
        <v>46044</v>
      </c>
      <c r="R5286" s="8">
        <v>0</v>
      </c>
      <c r="S5286" s="7">
        <v>46049</v>
      </c>
      <c r="U5286" s="8">
        <v>0</v>
      </c>
      <c r="V5286" s="7">
        <v>46065</v>
      </c>
      <c r="X5286" s="8">
        <v>0</v>
      </c>
      <c r="Z5286" s="8">
        <v>0</v>
      </c>
      <c r="AA5286" s="7">
        <v>46083</v>
      </c>
      <c r="AC5286" s="8">
        <v>0</v>
      </c>
      <c r="AE5286" s="7">
        <v>46086</v>
      </c>
      <c r="AF5286" s="8">
        <v>0</v>
      </c>
      <c r="AH5286" s="7">
        <v>46086</v>
      </c>
      <c r="AN5286" s="8">
        <v>0</v>
      </c>
      <c r="AO5286" s="8">
        <v>400</v>
      </c>
    </row>
    <row r="5287" spans="1:41" x14ac:dyDescent="0.25">
      <c r="A5287" s="6" t="str">
        <f t="shared" si="1410"/>
        <v>525-2026000033</v>
      </c>
      <c r="B5287" s="6" t="str">
        <f t="shared" si="1411"/>
        <v>Lasa Int</v>
      </c>
      <c r="C5287" s="7">
        <v>46044</v>
      </c>
      <c r="D5287" s="7">
        <v>46086</v>
      </c>
      <c r="E5287" s="8">
        <v>42</v>
      </c>
      <c r="F5287" s="6" t="str">
        <f t="shared" si="1412"/>
        <v>PURE</v>
      </c>
      <c r="G5287" s="6" t="str">
        <f t="shared" si="1413"/>
        <v>F100021455000000</v>
      </c>
      <c r="H5287" s="6" t="str">
        <f t="shared" si="1414"/>
        <v>FA 214 - PURE - 550</v>
      </c>
      <c r="I5287" s="6" t="str">
        <f>"3968"</f>
        <v>3968</v>
      </c>
      <c r="J5287" s="6" t="str">
        <f>"BORDEAUX 3968"</f>
        <v>BORDEAUX 3968</v>
      </c>
      <c r="K5287" s="6" t="str">
        <f>"0530"</f>
        <v>0530</v>
      </c>
      <c r="L5287" s="6" t="str">
        <f>"Toalhetes"</f>
        <v>Toalhetes</v>
      </c>
      <c r="M5287" s="6" t="str">
        <f>"33x50"</f>
        <v>33x50</v>
      </c>
      <c r="N5287" s="6" t="str">
        <f>"5602972761412"</f>
        <v>5602972761412</v>
      </c>
      <c r="O5287" s="8">
        <v>450</v>
      </c>
      <c r="P5287" s="7">
        <v>46044</v>
      </c>
      <c r="R5287" s="8">
        <v>0</v>
      </c>
      <c r="S5287" s="7">
        <v>46049</v>
      </c>
      <c r="U5287" s="8">
        <v>450</v>
      </c>
      <c r="V5287" s="7">
        <v>46065</v>
      </c>
      <c r="X5287" s="8">
        <v>0</v>
      </c>
      <c r="Z5287" s="8">
        <v>0</v>
      </c>
      <c r="AA5287" s="7">
        <v>46083</v>
      </c>
      <c r="AC5287" s="8">
        <v>0</v>
      </c>
      <c r="AE5287" s="7">
        <v>46086</v>
      </c>
      <c r="AF5287" s="8">
        <v>0</v>
      </c>
      <c r="AH5287" s="7">
        <v>46086</v>
      </c>
      <c r="AN5287" s="8">
        <v>0</v>
      </c>
      <c r="AO5287" s="8">
        <v>450</v>
      </c>
    </row>
    <row r="5288" spans="1:41" x14ac:dyDescent="0.25">
      <c r="A5288" s="6" t="str">
        <f t="shared" si="1410"/>
        <v>525-2026000033</v>
      </c>
      <c r="B5288" s="6" t="str">
        <f t="shared" si="1411"/>
        <v>Lasa Int</v>
      </c>
      <c r="C5288" s="7">
        <v>46044</v>
      </c>
      <c r="D5288" s="7">
        <v>46086</v>
      </c>
      <c r="E5288" s="8">
        <v>43</v>
      </c>
      <c r="F5288" s="6" t="str">
        <f t="shared" si="1412"/>
        <v>PURE</v>
      </c>
      <c r="G5288" s="6" t="str">
        <f t="shared" si="1413"/>
        <v>F100021455000000</v>
      </c>
      <c r="H5288" s="6" t="str">
        <f t="shared" si="1414"/>
        <v>FA 214 - PURE - 550</v>
      </c>
      <c r="I5288" s="6" t="str">
        <f>"3968"</f>
        <v>3968</v>
      </c>
      <c r="J5288" s="6" t="str">
        <f>"BORDEAUX 3968"</f>
        <v>BORDEAUX 3968</v>
      </c>
      <c r="K5288" s="6" t="str">
        <f>"1024"</f>
        <v>1024</v>
      </c>
      <c r="L5288" s="6" t="str">
        <f>"Toalhas"</f>
        <v>Toalhas</v>
      </c>
      <c r="M5288" s="6" t="str">
        <f>"50x100"</f>
        <v>50x100</v>
      </c>
      <c r="N5288" s="6" t="str">
        <f>"5602972761429"</f>
        <v>5602972761429</v>
      </c>
      <c r="O5288" s="8">
        <v>240</v>
      </c>
      <c r="P5288" s="7">
        <v>46044</v>
      </c>
      <c r="R5288" s="8">
        <v>0</v>
      </c>
      <c r="S5288" s="7">
        <v>46049</v>
      </c>
      <c r="U5288" s="8">
        <v>240</v>
      </c>
      <c r="V5288" s="7">
        <v>46065</v>
      </c>
      <c r="X5288" s="8">
        <v>0</v>
      </c>
      <c r="Z5288" s="8">
        <v>0</v>
      </c>
      <c r="AA5288" s="7">
        <v>46083</v>
      </c>
      <c r="AC5288" s="8">
        <v>0</v>
      </c>
      <c r="AE5288" s="7">
        <v>46086</v>
      </c>
      <c r="AF5288" s="8">
        <v>0</v>
      </c>
      <c r="AH5288" s="7">
        <v>46086</v>
      </c>
      <c r="AN5288" s="8">
        <v>0</v>
      </c>
      <c r="AO5288" s="8">
        <v>240</v>
      </c>
    </row>
    <row r="5289" spans="1:41" x14ac:dyDescent="0.25">
      <c r="A5289" s="6" t="str">
        <f t="shared" si="1410"/>
        <v>525-2026000033</v>
      </c>
      <c r="B5289" s="6" t="str">
        <f t="shared" si="1411"/>
        <v>Lasa Int</v>
      </c>
      <c r="C5289" s="7">
        <v>46044</v>
      </c>
      <c r="D5289" s="7">
        <v>46086</v>
      </c>
      <c r="E5289" s="8">
        <v>44</v>
      </c>
      <c r="F5289" s="6" t="str">
        <f t="shared" si="1412"/>
        <v>PURE</v>
      </c>
      <c r="G5289" s="6" t="str">
        <f t="shared" si="1413"/>
        <v>F100021455000000</v>
      </c>
      <c r="H5289" s="6" t="str">
        <f t="shared" si="1414"/>
        <v>FA 214 - PURE - 550</v>
      </c>
      <c r="I5289" s="6" t="str">
        <f>"3968"</f>
        <v>3968</v>
      </c>
      <c r="J5289" s="6" t="str">
        <f>"BORDEAUX 3968"</f>
        <v>BORDEAUX 3968</v>
      </c>
      <c r="K5289" s="6" t="str">
        <f>"1535"</f>
        <v>1535</v>
      </c>
      <c r="L5289" s="6" t="str">
        <f>"Toalhões"</f>
        <v>Toalhões</v>
      </c>
      <c r="M5289" s="6" t="str">
        <f>"70x140"</f>
        <v>70x140</v>
      </c>
      <c r="N5289" s="6" t="str">
        <f>"5602972761436"</f>
        <v>5602972761436</v>
      </c>
      <c r="O5289" s="8">
        <v>120</v>
      </c>
      <c r="P5289" s="7">
        <v>46044</v>
      </c>
      <c r="R5289" s="8">
        <v>0</v>
      </c>
      <c r="S5289" s="7">
        <v>46049</v>
      </c>
      <c r="U5289" s="8">
        <v>120</v>
      </c>
      <c r="V5289" s="7">
        <v>46065</v>
      </c>
      <c r="X5289" s="8">
        <v>0</v>
      </c>
      <c r="Z5289" s="8">
        <v>0</v>
      </c>
      <c r="AA5289" s="7">
        <v>46083</v>
      </c>
      <c r="AC5289" s="8">
        <v>0</v>
      </c>
      <c r="AE5289" s="7">
        <v>46086</v>
      </c>
      <c r="AF5289" s="8">
        <v>0</v>
      </c>
      <c r="AH5289" s="7">
        <v>46086</v>
      </c>
      <c r="AN5289" s="8">
        <v>0</v>
      </c>
      <c r="AO5289" s="8">
        <v>120</v>
      </c>
    </row>
    <row r="5290" spans="1:41" x14ac:dyDescent="0.25">
      <c r="A5290" s="6" t="str">
        <f t="shared" si="1410"/>
        <v>525-2026000033</v>
      </c>
      <c r="B5290" s="6" t="str">
        <f t="shared" si="1411"/>
        <v>Lasa Int</v>
      </c>
      <c r="C5290" s="7">
        <v>46044</v>
      </c>
      <c r="D5290" s="7">
        <v>46086</v>
      </c>
      <c r="E5290" s="8">
        <v>45</v>
      </c>
      <c r="F5290" s="6" t="str">
        <f t="shared" si="1412"/>
        <v>PURE</v>
      </c>
      <c r="G5290" s="6" t="str">
        <f t="shared" si="1413"/>
        <v>F100021455000000</v>
      </c>
      <c r="H5290" s="6" t="str">
        <f t="shared" si="1414"/>
        <v>FA 214 - PURE - 550</v>
      </c>
      <c r="I5290" s="6" t="str">
        <f>"3968"</f>
        <v>3968</v>
      </c>
      <c r="J5290" s="6" t="str">
        <f>"BORDEAUX 3968"</f>
        <v>BORDEAUX 3968</v>
      </c>
      <c r="K5290" s="6" t="str">
        <f>"2020"</f>
        <v>2020</v>
      </c>
      <c r="L5290" s="6" t="str">
        <f>"Lençóis"</f>
        <v>Lençóis</v>
      </c>
      <c r="M5290" s="6" t="str">
        <f>"100x150"</f>
        <v>100x150</v>
      </c>
      <c r="N5290" s="6" t="str">
        <f>"5602972761443"</f>
        <v>5602972761443</v>
      </c>
      <c r="O5290" s="8">
        <v>320</v>
      </c>
      <c r="P5290" s="7">
        <v>46044</v>
      </c>
      <c r="R5290" s="8">
        <v>0</v>
      </c>
      <c r="S5290" s="7">
        <v>46049</v>
      </c>
      <c r="U5290" s="8">
        <v>320</v>
      </c>
      <c r="V5290" s="7">
        <v>46065</v>
      </c>
      <c r="X5290" s="8">
        <v>0</v>
      </c>
      <c r="Z5290" s="8">
        <v>0</v>
      </c>
      <c r="AA5290" s="7">
        <v>46083</v>
      </c>
      <c r="AC5290" s="8">
        <v>0</v>
      </c>
      <c r="AE5290" s="7">
        <v>46086</v>
      </c>
      <c r="AF5290" s="8">
        <v>0</v>
      </c>
      <c r="AH5290" s="7">
        <v>46086</v>
      </c>
      <c r="AN5290" s="8">
        <v>0</v>
      </c>
      <c r="AO5290" s="8">
        <v>320</v>
      </c>
    </row>
    <row r="5291" spans="1:41" x14ac:dyDescent="0.25">
      <c r="A5291" s="6" t="str">
        <f t="shared" si="1410"/>
        <v>525-2026000033</v>
      </c>
      <c r="B5291" s="6" t="str">
        <f t="shared" si="1411"/>
        <v>Lasa Int</v>
      </c>
      <c r="C5291" s="7">
        <v>46044</v>
      </c>
      <c r="D5291" s="7">
        <v>46086</v>
      </c>
      <c r="E5291" s="8">
        <v>46</v>
      </c>
      <c r="F5291" s="6" t="str">
        <f t="shared" si="1412"/>
        <v>PURE</v>
      </c>
      <c r="G5291" s="6" t="str">
        <f t="shared" si="1413"/>
        <v>F100021455000000</v>
      </c>
      <c r="H5291" s="6" t="str">
        <f t="shared" si="1414"/>
        <v>FA 214 - PURE - 550</v>
      </c>
      <c r="I5291" s="6" t="str">
        <f>"4383"</f>
        <v>4383</v>
      </c>
      <c r="J5291" s="6" t="str">
        <f>"AZUL 4383"</f>
        <v>AZUL 4383</v>
      </c>
      <c r="K5291" s="6" t="str">
        <f>"0112"</f>
        <v>0112</v>
      </c>
      <c r="L5291" s="6" t="str">
        <f>"Luvas"</f>
        <v>Luvas</v>
      </c>
      <c r="M5291" s="6" t="str">
        <f>"16x21"</f>
        <v>16x21</v>
      </c>
      <c r="N5291" s="6" t="str">
        <f>"5602972795332"</f>
        <v>5602972795332</v>
      </c>
      <c r="O5291" s="8">
        <v>300</v>
      </c>
      <c r="P5291" s="7">
        <v>46044</v>
      </c>
      <c r="R5291" s="8">
        <v>0</v>
      </c>
      <c r="S5291" s="7">
        <v>46049</v>
      </c>
      <c r="U5291" s="8">
        <v>300</v>
      </c>
      <c r="V5291" s="7">
        <v>46065</v>
      </c>
      <c r="X5291" s="8">
        <v>0</v>
      </c>
      <c r="Z5291" s="8">
        <v>300</v>
      </c>
      <c r="AA5291" s="7">
        <v>46083</v>
      </c>
      <c r="AC5291" s="8">
        <v>0</v>
      </c>
      <c r="AE5291" s="7">
        <v>46086</v>
      </c>
      <c r="AF5291" s="8">
        <v>0</v>
      </c>
      <c r="AH5291" s="7">
        <v>46086</v>
      </c>
      <c r="AN5291" s="8">
        <v>0</v>
      </c>
      <c r="AO5291" s="8">
        <v>300</v>
      </c>
    </row>
    <row r="5292" spans="1:41" x14ac:dyDescent="0.25">
      <c r="A5292" s="6" t="str">
        <f t="shared" si="1410"/>
        <v>525-2026000033</v>
      </c>
      <c r="B5292" s="6" t="str">
        <f t="shared" si="1411"/>
        <v>Lasa Int</v>
      </c>
      <c r="C5292" s="7">
        <v>46044</v>
      </c>
      <c r="D5292" s="7">
        <v>46086</v>
      </c>
      <c r="E5292" s="8">
        <v>47</v>
      </c>
      <c r="F5292" s="6" t="str">
        <f t="shared" si="1412"/>
        <v>PURE</v>
      </c>
      <c r="G5292" s="6" t="str">
        <f t="shared" si="1413"/>
        <v>F100021455000000</v>
      </c>
      <c r="H5292" s="6" t="str">
        <f t="shared" si="1414"/>
        <v>FA 214 - PURE - 550</v>
      </c>
      <c r="I5292" s="6" t="str">
        <f>"4383"</f>
        <v>4383</v>
      </c>
      <c r="J5292" s="6" t="str">
        <f>"AZUL 4383"</f>
        <v>AZUL 4383</v>
      </c>
      <c r="K5292" s="6" t="str">
        <f>"1024"</f>
        <v>1024</v>
      </c>
      <c r="L5292" s="6" t="str">
        <f>"Toalhas"</f>
        <v>Toalhas</v>
      </c>
      <c r="M5292" s="6" t="str">
        <f>"50x100"</f>
        <v>50x100</v>
      </c>
      <c r="N5292" s="6" t="str">
        <f>"5602972795356"</f>
        <v>5602972795356</v>
      </c>
      <c r="O5292" s="8">
        <v>240</v>
      </c>
      <c r="P5292" s="7">
        <v>46044</v>
      </c>
      <c r="R5292" s="8">
        <v>0</v>
      </c>
      <c r="S5292" s="7">
        <v>46049</v>
      </c>
      <c r="U5292" s="8">
        <v>240</v>
      </c>
      <c r="V5292" s="7">
        <v>46065</v>
      </c>
      <c r="X5292" s="8">
        <v>0</v>
      </c>
      <c r="Z5292" s="8">
        <v>240</v>
      </c>
      <c r="AA5292" s="7">
        <v>46083</v>
      </c>
      <c r="AC5292" s="8">
        <v>0</v>
      </c>
      <c r="AE5292" s="7">
        <v>46086</v>
      </c>
      <c r="AF5292" s="8">
        <v>0</v>
      </c>
      <c r="AH5292" s="7">
        <v>46086</v>
      </c>
      <c r="AN5292" s="8">
        <v>0</v>
      </c>
      <c r="AO5292" s="8">
        <v>240</v>
      </c>
    </row>
    <row r="5293" spans="1:41" x14ac:dyDescent="0.25">
      <c r="A5293" s="6" t="str">
        <f t="shared" si="1410"/>
        <v>525-2026000033</v>
      </c>
      <c r="B5293" s="6" t="str">
        <f t="shared" si="1411"/>
        <v>Lasa Int</v>
      </c>
      <c r="C5293" s="7">
        <v>46044</v>
      </c>
      <c r="D5293" s="7">
        <v>46086</v>
      </c>
      <c r="E5293" s="8">
        <v>48</v>
      </c>
      <c r="F5293" s="6" t="str">
        <f t="shared" si="1412"/>
        <v>PURE</v>
      </c>
      <c r="G5293" s="6" t="str">
        <f t="shared" si="1413"/>
        <v>F100021455000000</v>
      </c>
      <c r="H5293" s="6" t="str">
        <f t="shared" si="1414"/>
        <v>FA 214 - PURE - 550</v>
      </c>
      <c r="I5293" s="6" t="str">
        <f>"4383"</f>
        <v>4383</v>
      </c>
      <c r="J5293" s="6" t="str">
        <f>"AZUL 4383"</f>
        <v>AZUL 4383</v>
      </c>
      <c r="K5293" s="6" t="str">
        <f>"1535"</f>
        <v>1535</v>
      </c>
      <c r="L5293" s="6" t="str">
        <f>"Toalhões"</f>
        <v>Toalhões</v>
      </c>
      <c r="M5293" s="6" t="str">
        <f>"70x140"</f>
        <v>70x140</v>
      </c>
      <c r="N5293" s="6" t="str">
        <f>"5602972795363"</f>
        <v>5602972795363</v>
      </c>
      <c r="O5293" s="8">
        <v>600</v>
      </c>
      <c r="P5293" s="7">
        <v>46044</v>
      </c>
      <c r="R5293" s="8">
        <v>0</v>
      </c>
      <c r="S5293" s="7">
        <v>46049</v>
      </c>
      <c r="U5293" s="8">
        <v>600</v>
      </c>
      <c r="V5293" s="7">
        <v>46065</v>
      </c>
      <c r="X5293" s="8">
        <v>0</v>
      </c>
      <c r="Z5293" s="8">
        <v>600</v>
      </c>
      <c r="AA5293" s="7">
        <v>46083</v>
      </c>
      <c r="AC5293" s="8">
        <v>0</v>
      </c>
      <c r="AE5293" s="7">
        <v>46086</v>
      </c>
      <c r="AF5293" s="8">
        <v>0</v>
      </c>
      <c r="AH5293" s="7">
        <v>46086</v>
      </c>
      <c r="AN5293" s="8">
        <v>0</v>
      </c>
      <c r="AO5293" s="8">
        <v>600</v>
      </c>
    </row>
    <row r="5294" spans="1:41" x14ac:dyDescent="0.25">
      <c r="A5294" s="6" t="str">
        <f t="shared" si="1410"/>
        <v>525-2026000033</v>
      </c>
      <c r="B5294" s="6" t="str">
        <f t="shared" si="1411"/>
        <v>Lasa Int</v>
      </c>
      <c r="C5294" s="7">
        <v>46044</v>
      </c>
      <c r="D5294" s="7">
        <v>46086</v>
      </c>
      <c r="E5294" s="8">
        <v>49</v>
      </c>
      <c r="F5294" s="6" t="str">
        <f t="shared" si="1412"/>
        <v>PURE</v>
      </c>
      <c r="G5294" s="6" t="str">
        <f t="shared" si="1413"/>
        <v>F100021455000000</v>
      </c>
      <c r="H5294" s="6" t="str">
        <f t="shared" si="1414"/>
        <v>FA 214 - PURE - 550</v>
      </c>
      <c r="I5294" s="6" t="str">
        <f>"4387"</f>
        <v>4387</v>
      </c>
      <c r="J5294" s="6" t="str">
        <f>"VERDE 4387"</f>
        <v>VERDE 4387</v>
      </c>
      <c r="K5294" s="6" t="str">
        <f>"0112"</f>
        <v>0112</v>
      </c>
      <c r="L5294" s="6" t="str">
        <f>"Luvas"</f>
        <v>Luvas</v>
      </c>
      <c r="M5294" s="6" t="str">
        <f>"16x21"</f>
        <v>16x21</v>
      </c>
      <c r="N5294" s="6" t="str">
        <f>"5602972795585"</f>
        <v>5602972795585</v>
      </c>
      <c r="O5294" s="8">
        <v>300</v>
      </c>
      <c r="P5294" s="7">
        <v>46044</v>
      </c>
      <c r="R5294" s="8">
        <v>0</v>
      </c>
      <c r="S5294" s="7">
        <v>46049</v>
      </c>
      <c r="U5294" s="8">
        <v>0</v>
      </c>
      <c r="V5294" s="7">
        <v>46065</v>
      </c>
      <c r="X5294" s="8">
        <v>0</v>
      </c>
      <c r="Z5294" s="8">
        <v>0</v>
      </c>
      <c r="AA5294" s="7">
        <v>46083</v>
      </c>
      <c r="AC5294" s="8">
        <v>0</v>
      </c>
      <c r="AE5294" s="7">
        <v>46086</v>
      </c>
      <c r="AF5294" s="8">
        <v>0</v>
      </c>
      <c r="AH5294" s="7">
        <v>46086</v>
      </c>
      <c r="AN5294" s="8">
        <v>0</v>
      </c>
      <c r="AO5294" s="8">
        <v>300</v>
      </c>
    </row>
    <row r="5295" spans="1:41" x14ac:dyDescent="0.25">
      <c r="A5295" s="6" t="str">
        <f t="shared" si="1410"/>
        <v>525-2026000033</v>
      </c>
      <c r="B5295" s="6" t="str">
        <f t="shared" si="1411"/>
        <v>Lasa Int</v>
      </c>
      <c r="C5295" s="7">
        <v>46044</v>
      </c>
      <c r="D5295" s="7">
        <v>46086</v>
      </c>
      <c r="E5295" s="8">
        <v>50</v>
      </c>
      <c r="F5295" s="6" t="str">
        <f t="shared" si="1412"/>
        <v>PURE</v>
      </c>
      <c r="G5295" s="6" t="str">
        <f t="shared" si="1413"/>
        <v>F100021455000000</v>
      </c>
      <c r="H5295" s="6" t="str">
        <f t="shared" si="1414"/>
        <v>FA 214 - PURE - 550</v>
      </c>
      <c r="I5295" s="6" t="str">
        <f>"4387"</f>
        <v>4387</v>
      </c>
      <c r="J5295" s="6" t="str">
        <f>"VERDE 4387"</f>
        <v>VERDE 4387</v>
      </c>
      <c r="K5295" s="6" t="str">
        <f>"0530"</f>
        <v>0530</v>
      </c>
      <c r="L5295" s="6" t="str">
        <f>"Toalhetes"</f>
        <v>Toalhetes</v>
      </c>
      <c r="M5295" s="6" t="str">
        <f>"33x50"</f>
        <v>33x50</v>
      </c>
      <c r="N5295" s="6" t="str">
        <f>"5602972795592"</f>
        <v>5602972795592</v>
      </c>
      <c r="O5295" s="8">
        <v>450</v>
      </c>
      <c r="P5295" s="7">
        <v>46044</v>
      </c>
      <c r="R5295" s="8">
        <v>0</v>
      </c>
      <c r="S5295" s="7">
        <v>46049</v>
      </c>
      <c r="U5295" s="8">
        <v>0</v>
      </c>
      <c r="V5295" s="7">
        <v>46065</v>
      </c>
      <c r="X5295" s="8">
        <v>0</v>
      </c>
      <c r="Z5295" s="8">
        <v>0</v>
      </c>
      <c r="AA5295" s="7">
        <v>46083</v>
      </c>
      <c r="AC5295" s="8">
        <v>0</v>
      </c>
      <c r="AE5295" s="7">
        <v>46086</v>
      </c>
      <c r="AF5295" s="8">
        <v>0</v>
      </c>
      <c r="AH5295" s="7">
        <v>46086</v>
      </c>
      <c r="AN5295" s="8">
        <v>0</v>
      </c>
      <c r="AO5295" s="8">
        <v>450</v>
      </c>
    </row>
    <row r="5296" spans="1:41" x14ac:dyDescent="0.25">
      <c r="A5296" s="6" t="str">
        <f t="shared" si="1410"/>
        <v>525-2026000033</v>
      </c>
      <c r="B5296" s="6" t="str">
        <f t="shared" si="1411"/>
        <v>Lasa Int</v>
      </c>
      <c r="C5296" s="7">
        <v>46044</v>
      </c>
      <c r="D5296" s="7">
        <v>46086</v>
      </c>
      <c r="E5296" s="8">
        <v>51</v>
      </c>
      <c r="F5296" s="6" t="str">
        <f t="shared" si="1412"/>
        <v>PURE</v>
      </c>
      <c r="G5296" s="6" t="str">
        <f t="shared" si="1413"/>
        <v>F100021455000000</v>
      </c>
      <c r="H5296" s="6" t="str">
        <f t="shared" si="1414"/>
        <v>FA 214 - PURE - 550</v>
      </c>
      <c r="I5296" s="6" t="str">
        <f>"4387"</f>
        <v>4387</v>
      </c>
      <c r="J5296" s="6" t="str">
        <f>"VERDE 4387"</f>
        <v>VERDE 4387</v>
      </c>
      <c r="K5296" s="6" t="str">
        <f>"1024"</f>
        <v>1024</v>
      </c>
      <c r="L5296" s="6" t="str">
        <f>"Toalhas"</f>
        <v>Toalhas</v>
      </c>
      <c r="M5296" s="6" t="str">
        <f>"50x100"</f>
        <v>50x100</v>
      </c>
      <c r="N5296" s="6" t="str">
        <f>"5602972795608"</f>
        <v>5602972795608</v>
      </c>
      <c r="O5296" s="8">
        <v>480</v>
      </c>
      <c r="P5296" s="7">
        <v>46044</v>
      </c>
      <c r="R5296" s="8">
        <v>0</v>
      </c>
      <c r="S5296" s="7">
        <v>46049</v>
      </c>
      <c r="U5296" s="8">
        <v>0</v>
      </c>
      <c r="V5296" s="7">
        <v>46065</v>
      </c>
      <c r="X5296" s="8">
        <v>0</v>
      </c>
      <c r="Z5296" s="8">
        <v>0</v>
      </c>
      <c r="AA5296" s="7">
        <v>46083</v>
      </c>
      <c r="AC5296" s="8">
        <v>0</v>
      </c>
      <c r="AE5296" s="7">
        <v>46086</v>
      </c>
      <c r="AF5296" s="8">
        <v>0</v>
      </c>
      <c r="AH5296" s="7">
        <v>46086</v>
      </c>
      <c r="AN5296" s="8">
        <v>0</v>
      </c>
      <c r="AO5296" s="8">
        <v>480</v>
      </c>
    </row>
    <row r="5297" spans="1:41" x14ac:dyDescent="0.25">
      <c r="A5297" s="6" t="str">
        <f t="shared" si="1410"/>
        <v>525-2026000033</v>
      </c>
      <c r="B5297" s="6" t="str">
        <f t="shared" si="1411"/>
        <v>Lasa Int</v>
      </c>
      <c r="C5297" s="7">
        <v>46044</v>
      </c>
      <c r="D5297" s="7">
        <v>46086</v>
      </c>
      <c r="E5297" s="8">
        <v>52</v>
      </c>
      <c r="F5297" s="6" t="str">
        <f t="shared" si="1412"/>
        <v>PURE</v>
      </c>
      <c r="G5297" s="6" t="str">
        <f t="shared" si="1413"/>
        <v>F100021455000000</v>
      </c>
      <c r="H5297" s="6" t="str">
        <f t="shared" si="1414"/>
        <v>FA 214 - PURE - 550</v>
      </c>
      <c r="I5297" s="6" t="str">
        <f>"4387"</f>
        <v>4387</v>
      </c>
      <c r="J5297" s="6" t="str">
        <f>"VERDE 4387"</f>
        <v>VERDE 4387</v>
      </c>
      <c r="K5297" s="6" t="str">
        <f>"1535"</f>
        <v>1535</v>
      </c>
      <c r="L5297" s="6" t="str">
        <f>"Toalhões"</f>
        <v>Toalhões</v>
      </c>
      <c r="M5297" s="6" t="str">
        <f>"70x140"</f>
        <v>70x140</v>
      </c>
      <c r="N5297" s="6" t="str">
        <f>"5602972795615"</f>
        <v>5602972795615</v>
      </c>
      <c r="O5297" s="8">
        <v>240</v>
      </c>
      <c r="P5297" s="7">
        <v>46044</v>
      </c>
      <c r="R5297" s="8">
        <v>0</v>
      </c>
      <c r="S5297" s="7">
        <v>46049</v>
      </c>
      <c r="U5297" s="8">
        <v>0</v>
      </c>
      <c r="V5297" s="7">
        <v>46065</v>
      </c>
      <c r="X5297" s="8">
        <v>0</v>
      </c>
      <c r="Z5297" s="8">
        <v>0</v>
      </c>
      <c r="AA5297" s="7">
        <v>46083</v>
      </c>
      <c r="AC5297" s="8">
        <v>0</v>
      </c>
      <c r="AE5297" s="7">
        <v>46086</v>
      </c>
      <c r="AF5297" s="8">
        <v>0</v>
      </c>
      <c r="AH5297" s="7">
        <v>46086</v>
      </c>
      <c r="AN5297" s="8">
        <v>0</v>
      </c>
      <c r="AO5297" s="8">
        <v>240</v>
      </c>
    </row>
    <row r="5298" spans="1:41" x14ac:dyDescent="0.25">
      <c r="A5298" s="6" t="str">
        <f t="shared" si="1410"/>
        <v>525-2026000033</v>
      </c>
      <c r="B5298" s="6" t="str">
        <f t="shared" si="1411"/>
        <v>Lasa Int</v>
      </c>
      <c r="C5298" s="7">
        <v>46044</v>
      </c>
      <c r="D5298" s="7">
        <v>46086</v>
      </c>
      <c r="E5298" s="8">
        <v>53</v>
      </c>
      <c r="F5298" s="6" t="str">
        <f t="shared" si="1412"/>
        <v>PURE</v>
      </c>
      <c r="G5298" s="6" t="str">
        <f t="shared" si="1413"/>
        <v>F100021455000000</v>
      </c>
      <c r="H5298" s="6" t="str">
        <f t="shared" si="1414"/>
        <v>FA 214 - PURE - 550</v>
      </c>
      <c r="I5298" s="6" t="str">
        <f>"4387"</f>
        <v>4387</v>
      </c>
      <c r="J5298" s="6" t="str">
        <f>"VERDE 4387"</f>
        <v>VERDE 4387</v>
      </c>
      <c r="K5298" s="6" t="str">
        <f>"2020"</f>
        <v>2020</v>
      </c>
      <c r="L5298" s="6" t="str">
        <f>"Lençóis"</f>
        <v>Lençóis</v>
      </c>
      <c r="M5298" s="6" t="str">
        <f>"100x150"</f>
        <v>100x150</v>
      </c>
      <c r="N5298" s="6" t="str">
        <f>"5602972795622"</f>
        <v>5602972795622</v>
      </c>
      <c r="O5298" s="8">
        <v>160</v>
      </c>
      <c r="P5298" s="7">
        <v>46044</v>
      </c>
      <c r="R5298" s="8">
        <v>0</v>
      </c>
      <c r="S5298" s="7">
        <v>46049</v>
      </c>
      <c r="U5298" s="8">
        <v>0</v>
      </c>
      <c r="V5298" s="7">
        <v>46065</v>
      </c>
      <c r="X5298" s="8">
        <v>0</v>
      </c>
      <c r="Z5298" s="8">
        <v>0</v>
      </c>
      <c r="AA5298" s="7">
        <v>46083</v>
      </c>
      <c r="AC5298" s="8">
        <v>0</v>
      </c>
      <c r="AE5298" s="7">
        <v>46086</v>
      </c>
      <c r="AF5298" s="8">
        <v>0</v>
      </c>
      <c r="AH5298" s="7">
        <v>46086</v>
      </c>
      <c r="AN5298" s="8">
        <v>0</v>
      </c>
      <c r="AO5298" s="8">
        <v>160</v>
      </c>
    </row>
    <row r="5299" spans="1:41" x14ac:dyDescent="0.25">
      <c r="A5299" s="6" t="str">
        <f t="shared" si="1410"/>
        <v>525-2026000033</v>
      </c>
      <c r="B5299" s="6" t="str">
        <f t="shared" si="1411"/>
        <v>Lasa Int</v>
      </c>
      <c r="C5299" s="7">
        <v>46044</v>
      </c>
      <c r="D5299" s="7">
        <v>46086</v>
      </c>
      <c r="E5299" s="8">
        <v>54</v>
      </c>
      <c r="F5299" s="6" t="str">
        <f t="shared" si="1412"/>
        <v>PURE</v>
      </c>
      <c r="G5299" s="6" t="str">
        <f t="shared" si="1413"/>
        <v>F100021455000000</v>
      </c>
      <c r="H5299" s="6" t="str">
        <f t="shared" si="1414"/>
        <v>FA 214 - PURE - 550</v>
      </c>
      <c r="I5299" s="6" t="str">
        <f>"5148"</f>
        <v>5148</v>
      </c>
      <c r="J5299" s="6" t="str">
        <f>"BEGE 5148"</f>
        <v>BEGE 5148</v>
      </c>
      <c r="K5299" s="6" t="str">
        <f>"0530"</f>
        <v>0530</v>
      </c>
      <c r="L5299" s="6" t="str">
        <f>"Toalhetes"</f>
        <v>Toalhetes</v>
      </c>
      <c r="M5299" s="6" t="str">
        <f>"33x50"</f>
        <v>33x50</v>
      </c>
      <c r="N5299" s="6" t="str">
        <f>"5602972651393"</f>
        <v>5602972651393</v>
      </c>
      <c r="O5299" s="8">
        <v>450</v>
      </c>
      <c r="P5299" s="7">
        <v>46044</v>
      </c>
      <c r="R5299" s="8">
        <v>0</v>
      </c>
      <c r="S5299" s="7">
        <v>46049</v>
      </c>
      <c r="U5299" s="8">
        <v>0</v>
      </c>
      <c r="V5299" s="7">
        <v>46065</v>
      </c>
      <c r="X5299" s="8">
        <v>0</v>
      </c>
      <c r="Z5299" s="8">
        <v>0</v>
      </c>
      <c r="AA5299" s="7">
        <v>46083</v>
      </c>
      <c r="AC5299" s="8">
        <v>0</v>
      </c>
      <c r="AE5299" s="7">
        <v>46086</v>
      </c>
      <c r="AF5299" s="8">
        <v>0</v>
      </c>
      <c r="AH5299" s="7">
        <v>46086</v>
      </c>
      <c r="AN5299" s="8">
        <v>0</v>
      </c>
      <c r="AO5299" s="8">
        <v>450</v>
      </c>
    </row>
    <row r="5300" spans="1:41" x14ac:dyDescent="0.25">
      <c r="A5300" s="6" t="str">
        <f t="shared" si="1410"/>
        <v>525-2026000033</v>
      </c>
      <c r="B5300" s="6" t="str">
        <f t="shared" si="1411"/>
        <v>Lasa Int</v>
      </c>
      <c r="C5300" s="7">
        <v>46044</v>
      </c>
      <c r="D5300" s="7">
        <v>46086</v>
      </c>
      <c r="E5300" s="8">
        <v>55</v>
      </c>
      <c r="F5300" s="6" t="str">
        <f t="shared" si="1412"/>
        <v>PURE</v>
      </c>
      <c r="G5300" s="6" t="str">
        <f t="shared" si="1413"/>
        <v>F100021455000000</v>
      </c>
      <c r="H5300" s="6" t="str">
        <f t="shared" si="1414"/>
        <v>FA 214 - PURE - 550</v>
      </c>
      <c r="I5300" s="6" t="str">
        <f>"5148"</f>
        <v>5148</v>
      </c>
      <c r="J5300" s="6" t="str">
        <f>"BEGE 5148"</f>
        <v>BEGE 5148</v>
      </c>
      <c r="K5300" s="6" t="str">
        <f>"1024"</f>
        <v>1024</v>
      </c>
      <c r="L5300" s="6" t="str">
        <f>"Toalhas"</f>
        <v>Toalhas</v>
      </c>
      <c r="M5300" s="6" t="str">
        <f>"50x100"</f>
        <v>50x100</v>
      </c>
      <c r="N5300" s="6" t="str">
        <f>"5602972651409"</f>
        <v>5602972651409</v>
      </c>
      <c r="O5300" s="8">
        <v>240</v>
      </c>
      <c r="P5300" s="7">
        <v>46044</v>
      </c>
      <c r="R5300" s="8">
        <v>0</v>
      </c>
      <c r="S5300" s="7">
        <v>46049</v>
      </c>
      <c r="U5300" s="8">
        <v>0</v>
      </c>
      <c r="V5300" s="7">
        <v>46065</v>
      </c>
      <c r="X5300" s="8">
        <v>0</v>
      </c>
      <c r="Z5300" s="8">
        <v>0</v>
      </c>
      <c r="AA5300" s="7">
        <v>46083</v>
      </c>
      <c r="AC5300" s="8">
        <v>0</v>
      </c>
      <c r="AE5300" s="7">
        <v>46086</v>
      </c>
      <c r="AF5300" s="8">
        <v>0</v>
      </c>
      <c r="AH5300" s="7">
        <v>46086</v>
      </c>
      <c r="AN5300" s="8">
        <v>0</v>
      </c>
      <c r="AO5300" s="8">
        <v>240</v>
      </c>
    </row>
    <row r="5301" spans="1:41" x14ac:dyDescent="0.25">
      <c r="A5301" s="6" t="str">
        <f t="shared" si="1410"/>
        <v>525-2026000033</v>
      </c>
      <c r="B5301" s="6" t="str">
        <f t="shared" si="1411"/>
        <v>Lasa Int</v>
      </c>
      <c r="C5301" s="7">
        <v>46044</v>
      </c>
      <c r="D5301" s="7">
        <v>46086</v>
      </c>
      <c r="E5301" s="8">
        <v>56</v>
      </c>
      <c r="F5301" s="6" t="str">
        <f t="shared" si="1412"/>
        <v>PURE</v>
      </c>
      <c r="G5301" s="6" t="str">
        <f t="shared" si="1413"/>
        <v>F100021455000000</v>
      </c>
      <c r="H5301" s="6" t="str">
        <f t="shared" si="1414"/>
        <v>FA 214 - PURE - 550</v>
      </c>
      <c r="I5301" s="6" t="str">
        <f>"5148"</f>
        <v>5148</v>
      </c>
      <c r="J5301" s="6" t="str">
        <f>"BEGE 5148"</f>
        <v>BEGE 5148</v>
      </c>
      <c r="K5301" s="6" t="str">
        <f>"1535"</f>
        <v>1535</v>
      </c>
      <c r="L5301" s="6" t="str">
        <f>"Toalhões"</f>
        <v>Toalhões</v>
      </c>
      <c r="M5301" s="6" t="str">
        <f>"70x140"</f>
        <v>70x140</v>
      </c>
      <c r="N5301" s="6" t="str">
        <f>"5602972651416"</f>
        <v>5602972651416</v>
      </c>
      <c r="O5301" s="8">
        <v>240</v>
      </c>
      <c r="P5301" s="7">
        <v>46044</v>
      </c>
      <c r="R5301" s="8">
        <v>0</v>
      </c>
      <c r="S5301" s="7">
        <v>46049</v>
      </c>
      <c r="U5301" s="8">
        <v>0</v>
      </c>
      <c r="V5301" s="7">
        <v>46065</v>
      </c>
      <c r="X5301" s="8">
        <v>0</v>
      </c>
      <c r="Z5301" s="8">
        <v>0</v>
      </c>
      <c r="AA5301" s="7">
        <v>46083</v>
      </c>
      <c r="AC5301" s="8">
        <v>0</v>
      </c>
      <c r="AE5301" s="7">
        <v>46086</v>
      </c>
      <c r="AF5301" s="8">
        <v>0</v>
      </c>
      <c r="AH5301" s="7">
        <v>46086</v>
      </c>
      <c r="AN5301" s="8">
        <v>0</v>
      </c>
      <c r="AO5301" s="8">
        <v>240</v>
      </c>
    </row>
    <row r="5302" spans="1:41" x14ac:dyDescent="0.25">
      <c r="A5302" s="6" t="str">
        <f t="shared" si="1410"/>
        <v>525-2026000033</v>
      </c>
      <c r="B5302" s="6" t="str">
        <f t="shared" si="1411"/>
        <v>Lasa Int</v>
      </c>
      <c r="C5302" s="7">
        <v>46044</v>
      </c>
      <c r="D5302" s="7">
        <v>46086</v>
      </c>
      <c r="E5302" s="8">
        <v>57</v>
      </c>
      <c r="F5302" s="6" t="str">
        <f t="shared" si="1412"/>
        <v>PURE</v>
      </c>
      <c r="G5302" s="6" t="str">
        <f t="shared" si="1413"/>
        <v>F100021455000000</v>
      </c>
      <c r="H5302" s="6" t="str">
        <f t="shared" si="1414"/>
        <v>FA 214 - PURE - 550</v>
      </c>
      <c r="I5302" s="6" t="str">
        <f>"5148"</f>
        <v>5148</v>
      </c>
      <c r="J5302" s="6" t="str">
        <f>"BEGE 5148"</f>
        <v>BEGE 5148</v>
      </c>
      <c r="K5302" s="6" t="str">
        <f>"2020"</f>
        <v>2020</v>
      </c>
      <c r="L5302" s="6" t="str">
        <f>"Lençóis"</f>
        <v>Lençóis</v>
      </c>
      <c r="M5302" s="6" t="str">
        <f>"100x150"</f>
        <v>100x150</v>
      </c>
      <c r="N5302" s="6" t="str">
        <f>"5602972651423"</f>
        <v>5602972651423</v>
      </c>
      <c r="O5302" s="8">
        <v>240</v>
      </c>
      <c r="P5302" s="7">
        <v>46044</v>
      </c>
      <c r="R5302" s="8">
        <v>0</v>
      </c>
      <c r="S5302" s="7">
        <v>46049</v>
      </c>
      <c r="U5302" s="8">
        <v>0</v>
      </c>
      <c r="V5302" s="7">
        <v>46065</v>
      </c>
      <c r="X5302" s="8">
        <v>0</v>
      </c>
      <c r="Z5302" s="8">
        <v>0</v>
      </c>
      <c r="AA5302" s="7">
        <v>46083</v>
      </c>
      <c r="AC5302" s="8">
        <v>0</v>
      </c>
      <c r="AE5302" s="7">
        <v>46086</v>
      </c>
      <c r="AF5302" s="8">
        <v>0</v>
      </c>
      <c r="AH5302" s="7">
        <v>46086</v>
      </c>
      <c r="AN5302" s="8">
        <v>0</v>
      </c>
      <c r="AO5302" s="8">
        <v>240</v>
      </c>
    </row>
    <row r="5303" spans="1:41" x14ac:dyDescent="0.25">
      <c r="A5303" s="6" t="str">
        <f t="shared" si="1410"/>
        <v>525-2026000033</v>
      </c>
      <c r="B5303" s="6" t="str">
        <f t="shared" si="1411"/>
        <v>Lasa Int</v>
      </c>
      <c r="C5303" s="7">
        <v>46044</v>
      </c>
      <c r="D5303" s="7">
        <v>46086</v>
      </c>
      <c r="E5303" s="8">
        <v>58</v>
      </c>
      <c r="F5303" s="6" t="str">
        <f t="shared" si="1412"/>
        <v>PURE</v>
      </c>
      <c r="G5303" s="6" t="str">
        <f t="shared" si="1413"/>
        <v>F100021455000000</v>
      </c>
      <c r="H5303" s="6" t="str">
        <f t="shared" si="1414"/>
        <v>FA 214 - PURE - 550</v>
      </c>
      <c r="I5303" s="6" t="str">
        <f>"5417"</f>
        <v>5417</v>
      </c>
      <c r="J5303" s="6" t="str">
        <f>"AZUL 5417"</f>
        <v>AZUL 5417</v>
      </c>
      <c r="K5303" s="6" t="str">
        <f>"0112"</f>
        <v>0112</v>
      </c>
      <c r="L5303" s="6" t="str">
        <f>"Luvas"</f>
        <v>Luvas</v>
      </c>
      <c r="M5303" s="6" t="str">
        <f>"16x21"</f>
        <v>16x21</v>
      </c>
      <c r="N5303" s="6" t="str">
        <f>"5602972667554"</f>
        <v>5602972667554</v>
      </c>
      <c r="O5303" s="8">
        <v>300</v>
      </c>
      <c r="P5303" s="7">
        <v>46044</v>
      </c>
      <c r="R5303" s="8">
        <v>0</v>
      </c>
      <c r="S5303" s="7">
        <v>46049</v>
      </c>
      <c r="U5303" s="8">
        <v>0</v>
      </c>
      <c r="V5303" s="7">
        <v>46065</v>
      </c>
      <c r="X5303" s="8">
        <v>0</v>
      </c>
      <c r="Z5303" s="8">
        <v>0</v>
      </c>
      <c r="AA5303" s="7">
        <v>46083</v>
      </c>
      <c r="AC5303" s="8">
        <v>0</v>
      </c>
      <c r="AE5303" s="7">
        <v>46086</v>
      </c>
      <c r="AF5303" s="8">
        <v>0</v>
      </c>
      <c r="AH5303" s="7">
        <v>46086</v>
      </c>
      <c r="AN5303" s="8">
        <v>0</v>
      </c>
      <c r="AO5303" s="8">
        <v>300</v>
      </c>
    </row>
    <row r="5304" spans="1:41" x14ac:dyDescent="0.25">
      <c r="A5304" s="6" t="str">
        <f t="shared" si="1410"/>
        <v>525-2026000033</v>
      </c>
      <c r="B5304" s="6" t="str">
        <f t="shared" si="1411"/>
        <v>Lasa Int</v>
      </c>
      <c r="C5304" s="7">
        <v>46044</v>
      </c>
      <c r="D5304" s="7">
        <v>46086</v>
      </c>
      <c r="E5304" s="8">
        <v>59</v>
      </c>
      <c r="F5304" s="6" t="str">
        <f t="shared" si="1412"/>
        <v>PURE</v>
      </c>
      <c r="G5304" s="6" t="str">
        <f t="shared" si="1413"/>
        <v>F100021455000000</v>
      </c>
      <c r="H5304" s="6" t="str">
        <f t="shared" si="1414"/>
        <v>FA 214 - PURE - 550</v>
      </c>
      <c r="I5304" s="6" t="str">
        <f>"5417"</f>
        <v>5417</v>
      </c>
      <c r="J5304" s="6" t="str">
        <f>"AZUL 5417"</f>
        <v>AZUL 5417</v>
      </c>
      <c r="K5304" s="6" t="str">
        <f>"0530"</f>
        <v>0530</v>
      </c>
      <c r="L5304" s="6" t="str">
        <f>"Toalhetes"</f>
        <v>Toalhetes</v>
      </c>
      <c r="M5304" s="6" t="str">
        <f>"33x50"</f>
        <v>33x50</v>
      </c>
      <c r="N5304" s="6" t="str">
        <f>"5602972667561"</f>
        <v>5602972667561</v>
      </c>
      <c r="O5304" s="8">
        <v>450</v>
      </c>
      <c r="P5304" s="7">
        <v>46044</v>
      </c>
      <c r="R5304" s="8">
        <v>0</v>
      </c>
      <c r="S5304" s="7">
        <v>46049</v>
      </c>
      <c r="U5304" s="8">
        <v>0</v>
      </c>
      <c r="V5304" s="7">
        <v>46065</v>
      </c>
      <c r="X5304" s="8">
        <v>0</v>
      </c>
      <c r="Z5304" s="8">
        <v>0</v>
      </c>
      <c r="AA5304" s="7">
        <v>46083</v>
      </c>
      <c r="AC5304" s="8">
        <v>0</v>
      </c>
      <c r="AE5304" s="7">
        <v>46086</v>
      </c>
      <c r="AF5304" s="8">
        <v>0</v>
      </c>
      <c r="AH5304" s="7">
        <v>46086</v>
      </c>
      <c r="AN5304" s="8">
        <v>0</v>
      </c>
      <c r="AO5304" s="8">
        <v>450</v>
      </c>
    </row>
    <row r="5305" spans="1:41" x14ac:dyDescent="0.25">
      <c r="A5305" s="6" t="str">
        <f t="shared" si="1410"/>
        <v>525-2026000033</v>
      </c>
      <c r="B5305" s="6" t="str">
        <f t="shared" si="1411"/>
        <v>Lasa Int</v>
      </c>
      <c r="C5305" s="7">
        <v>46044</v>
      </c>
      <c r="D5305" s="7">
        <v>46086</v>
      </c>
      <c r="E5305" s="8">
        <v>60</v>
      </c>
      <c r="F5305" s="6" t="str">
        <f t="shared" si="1412"/>
        <v>PURE</v>
      </c>
      <c r="G5305" s="6" t="str">
        <f t="shared" si="1413"/>
        <v>F100021455000000</v>
      </c>
      <c r="H5305" s="6" t="str">
        <f t="shared" si="1414"/>
        <v>FA 214 - PURE - 550</v>
      </c>
      <c r="I5305" s="6" t="str">
        <f>"5417"</f>
        <v>5417</v>
      </c>
      <c r="J5305" s="6" t="str">
        <f>"AZUL 5417"</f>
        <v>AZUL 5417</v>
      </c>
      <c r="K5305" s="6" t="str">
        <f>"1024"</f>
        <v>1024</v>
      </c>
      <c r="L5305" s="6" t="str">
        <f>"Toalhas"</f>
        <v>Toalhas</v>
      </c>
      <c r="M5305" s="6" t="str">
        <f>"50x100"</f>
        <v>50x100</v>
      </c>
      <c r="N5305" s="6" t="str">
        <f>"5602972667578"</f>
        <v>5602972667578</v>
      </c>
      <c r="O5305" s="8">
        <v>480</v>
      </c>
      <c r="P5305" s="7">
        <v>46044</v>
      </c>
      <c r="R5305" s="8">
        <v>0</v>
      </c>
      <c r="S5305" s="7">
        <v>46049</v>
      </c>
      <c r="U5305" s="8">
        <v>0</v>
      </c>
      <c r="V5305" s="7">
        <v>46065</v>
      </c>
      <c r="X5305" s="8">
        <v>0</v>
      </c>
      <c r="Z5305" s="8">
        <v>0</v>
      </c>
      <c r="AA5305" s="7">
        <v>46083</v>
      </c>
      <c r="AC5305" s="8">
        <v>0</v>
      </c>
      <c r="AE5305" s="7">
        <v>46086</v>
      </c>
      <c r="AF5305" s="8">
        <v>0</v>
      </c>
      <c r="AH5305" s="7">
        <v>46086</v>
      </c>
      <c r="AN5305" s="8">
        <v>0</v>
      </c>
      <c r="AO5305" s="8">
        <v>480</v>
      </c>
    </row>
    <row r="5306" spans="1:41" x14ac:dyDescent="0.25">
      <c r="A5306" s="6" t="str">
        <f t="shared" si="1410"/>
        <v>525-2026000033</v>
      </c>
      <c r="B5306" s="6" t="str">
        <f t="shared" si="1411"/>
        <v>Lasa Int</v>
      </c>
      <c r="C5306" s="7">
        <v>46044</v>
      </c>
      <c r="D5306" s="7">
        <v>46086</v>
      </c>
      <c r="E5306" s="8">
        <v>61</v>
      </c>
      <c r="F5306" s="6" t="str">
        <f t="shared" si="1412"/>
        <v>PURE</v>
      </c>
      <c r="G5306" s="6" t="str">
        <f t="shared" si="1413"/>
        <v>F100021455000000</v>
      </c>
      <c r="H5306" s="6" t="str">
        <f t="shared" si="1414"/>
        <v>FA 214 - PURE - 550</v>
      </c>
      <c r="I5306" s="6" t="str">
        <f>"5417"</f>
        <v>5417</v>
      </c>
      <c r="J5306" s="6" t="str">
        <f>"AZUL 5417"</f>
        <v>AZUL 5417</v>
      </c>
      <c r="K5306" s="6" t="str">
        <f>"1535"</f>
        <v>1535</v>
      </c>
      <c r="L5306" s="6" t="str">
        <f>"Toalhões"</f>
        <v>Toalhões</v>
      </c>
      <c r="M5306" s="6" t="str">
        <f>"70x140"</f>
        <v>70x140</v>
      </c>
      <c r="N5306" s="6" t="str">
        <f>"5602972667585"</f>
        <v>5602972667585</v>
      </c>
      <c r="O5306" s="8">
        <v>240</v>
      </c>
      <c r="P5306" s="7">
        <v>46044</v>
      </c>
      <c r="R5306" s="8">
        <v>0</v>
      </c>
      <c r="S5306" s="7">
        <v>46049</v>
      </c>
      <c r="U5306" s="8">
        <v>0</v>
      </c>
      <c r="V5306" s="7">
        <v>46065</v>
      </c>
      <c r="X5306" s="8">
        <v>0</v>
      </c>
      <c r="Z5306" s="8">
        <v>0</v>
      </c>
      <c r="AA5306" s="7">
        <v>46083</v>
      </c>
      <c r="AC5306" s="8">
        <v>0</v>
      </c>
      <c r="AE5306" s="7">
        <v>46086</v>
      </c>
      <c r="AF5306" s="8">
        <v>0</v>
      </c>
      <c r="AH5306" s="7">
        <v>46086</v>
      </c>
      <c r="AN5306" s="8">
        <v>0</v>
      </c>
      <c r="AO5306" s="8">
        <v>240</v>
      </c>
    </row>
    <row r="5307" spans="1:41" x14ac:dyDescent="0.25">
      <c r="A5307" s="6" t="str">
        <f t="shared" si="1410"/>
        <v>525-2026000033</v>
      </c>
      <c r="B5307" s="6" t="str">
        <f t="shared" si="1411"/>
        <v>Lasa Int</v>
      </c>
      <c r="C5307" s="7">
        <v>46044</v>
      </c>
      <c r="D5307" s="7">
        <v>46086</v>
      </c>
      <c r="E5307" s="8">
        <v>62</v>
      </c>
      <c r="F5307" s="6" t="str">
        <f t="shared" si="1412"/>
        <v>PURE</v>
      </c>
      <c r="G5307" s="6" t="str">
        <f t="shared" si="1413"/>
        <v>F100021455000000</v>
      </c>
      <c r="H5307" s="6" t="str">
        <f t="shared" si="1414"/>
        <v>FA 214 - PURE - 550</v>
      </c>
      <c r="I5307" s="6" t="str">
        <f>"5417"</f>
        <v>5417</v>
      </c>
      <c r="J5307" s="6" t="str">
        <f>"AZUL 5417"</f>
        <v>AZUL 5417</v>
      </c>
      <c r="K5307" s="6" t="str">
        <f>"2020"</f>
        <v>2020</v>
      </c>
      <c r="L5307" s="6" t="str">
        <f>"Lençóis"</f>
        <v>Lençóis</v>
      </c>
      <c r="M5307" s="6" t="str">
        <f>"100x150"</f>
        <v>100x150</v>
      </c>
      <c r="N5307" s="6" t="str">
        <f>"5602972667592"</f>
        <v>5602972667592</v>
      </c>
      <c r="O5307" s="8">
        <v>160</v>
      </c>
      <c r="P5307" s="7">
        <v>46044</v>
      </c>
      <c r="R5307" s="8">
        <v>0</v>
      </c>
      <c r="S5307" s="7">
        <v>46049</v>
      </c>
      <c r="U5307" s="8">
        <v>0</v>
      </c>
      <c r="V5307" s="7">
        <v>46065</v>
      </c>
      <c r="X5307" s="8">
        <v>0</v>
      </c>
      <c r="Z5307" s="8">
        <v>0</v>
      </c>
      <c r="AA5307" s="7">
        <v>46083</v>
      </c>
      <c r="AC5307" s="8">
        <v>0</v>
      </c>
      <c r="AE5307" s="7">
        <v>46086</v>
      </c>
      <c r="AF5307" s="8">
        <v>0</v>
      </c>
      <c r="AH5307" s="7">
        <v>46086</v>
      </c>
      <c r="AN5307" s="8">
        <v>0</v>
      </c>
      <c r="AO5307" s="8">
        <v>160</v>
      </c>
    </row>
    <row r="5308" spans="1:41" x14ac:dyDescent="0.25">
      <c r="A5308" s="6" t="str">
        <f t="shared" si="1410"/>
        <v>525-2026000033</v>
      </c>
      <c r="B5308" s="6" t="str">
        <f t="shared" si="1411"/>
        <v>Lasa Int</v>
      </c>
      <c r="C5308" s="7">
        <v>46044</v>
      </c>
      <c r="D5308" s="7">
        <v>46086</v>
      </c>
      <c r="E5308" s="8">
        <v>63</v>
      </c>
      <c r="F5308" s="6" t="str">
        <f t="shared" si="1412"/>
        <v>PURE</v>
      </c>
      <c r="G5308" s="6" t="str">
        <f t="shared" si="1413"/>
        <v>F100021455000000</v>
      </c>
      <c r="H5308" s="6" t="str">
        <f t="shared" si="1414"/>
        <v>FA 214 - PURE - 550</v>
      </c>
      <c r="I5308" s="6" t="str">
        <f>"5855"</f>
        <v>5855</v>
      </c>
      <c r="J5308" s="6" t="str">
        <f>"AMARELO 5855"</f>
        <v>AMARELO 5855</v>
      </c>
      <c r="K5308" s="6" t="str">
        <f>"0112"</f>
        <v>0112</v>
      </c>
      <c r="L5308" s="6" t="str">
        <f>"Luvas"</f>
        <v>Luvas</v>
      </c>
      <c r="M5308" s="6" t="str">
        <f>"16x21"</f>
        <v>16x21</v>
      </c>
      <c r="N5308" s="6" t="str">
        <f>"5602972508796"</f>
        <v>5602972508796</v>
      </c>
      <c r="O5308" s="8">
        <v>300</v>
      </c>
      <c r="P5308" s="7">
        <v>46044</v>
      </c>
      <c r="R5308" s="8">
        <v>0</v>
      </c>
      <c r="S5308" s="7">
        <v>46049</v>
      </c>
      <c r="U5308" s="8">
        <v>0</v>
      </c>
      <c r="V5308" s="7">
        <v>46065</v>
      </c>
      <c r="X5308" s="8">
        <v>0</v>
      </c>
      <c r="Z5308" s="8">
        <v>0</v>
      </c>
      <c r="AA5308" s="7">
        <v>46083</v>
      </c>
      <c r="AC5308" s="8">
        <v>0</v>
      </c>
      <c r="AE5308" s="7">
        <v>46086</v>
      </c>
      <c r="AF5308" s="8">
        <v>0</v>
      </c>
      <c r="AH5308" s="7">
        <v>46086</v>
      </c>
      <c r="AN5308" s="8">
        <v>0</v>
      </c>
      <c r="AO5308" s="8">
        <v>300</v>
      </c>
    </row>
    <row r="5309" spans="1:41" x14ac:dyDescent="0.25">
      <c r="A5309" s="6" t="str">
        <f t="shared" si="1410"/>
        <v>525-2026000033</v>
      </c>
      <c r="B5309" s="6" t="str">
        <f t="shared" si="1411"/>
        <v>Lasa Int</v>
      </c>
      <c r="C5309" s="7">
        <v>46044</v>
      </c>
      <c r="D5309" s="7">
        <v>46086</v>
      </c>
      <c r="E5309" s="8">
        <v>64</v>
      </c>
      <c r="F5309" s="6" t="str">
        <f t="shared" si="1412"/>
        <v>PURE</v>
      </c>
      <c r="G5309" s="6" t="str">
        <f t="shared" si="1413"/>
        <v>F100021455000000</v>
      </c>
      <c r="H5309" s="6" t="str">
        <f t="shared" si="1414"/>
        <v>FA 214 - PURE - 550</v>
      </c>
      <c r="I5309" s="6" t="str">
        <f>"5855"</f>
        <v>5855</v>
      </c>
      <c r="J5309" s="6" t="str">
        <f>"AMARELO 5855"</f>
        <v>AMARELO 5855</v>
      </c>
      <c r="K5309" s="6" t="str">
        <f>"0530"</f>
        <v>0530</v>
      </c>
      <c r="L5309" s="6" t="str">
        <f>"Toalhetes"</f>
        <v>Toalhetes</v>
      </c>
      <c r="M5309" s="6" t="str">
        <f>"33x50"</f>
        <v>33x50</v>
      </c>
      <c r="N5309" s="6" t="str">
        <f>"5602972508802"</f>
        <v>5602972508802</v>
      </c>
      <c r="O5309" s="8">
        <v>460</v>
      </c>
      <c r="P5309" s="7">
        <v>46044</v>
      </c>
      <c r="R5309" s="8">
        <v>0</v>
      </c>
      <c r="S5309" s="7">
        <v>46049</v>
      </c>
      <c r="U5309" s="8">
        <v>0</v>
      </c>
      <c r="V5309" s="7">
        <v>46065</v>
      </c>
      <c r="X5309" s="8">
        <v>0</v>
      </c>
      <c r="Z5309" s="8">
        <v>0</v>
      </c>
      <c r="AA5309" s="7">
        <v>46083</v>
      </c>
      <c r="AC5309" s="8">
        <v>0</v>
      </c>
      <c r="AE5309" s="7">
        <v>46086</v>
      </c>
      <c r="AF5309" s="8">
        <v>0</v>
      </c>
      <c r="AH5309" s="7">
        <v>46086</v>
      </c>
      <c r="AN5309" s="8">
        <v>0</v>
      </c>
      <c r="AO5309" s="8">
        <v>460</v>
      </c>
    </row>
    <row r="5310" spans="1:41" x14ac:dyDescent="0.25">
      <c r="A5310" s="6" t="str">
        <f t="shared" ref="A5310:A5326" si="1415">"525-2026000033"</f>
        <v>525-2026000033</v>
      </c>
      <c r="B5310" s="6" t="str">
        <f t="shared" ref="B5310:B5336" si="1416">"Lasa Int"</f>
        <v>Lasa Int</v>
      </c>
      <c r="C5310" s="7">
        <v>46044</v>
      </c>
      <c r="D5310" s="7">
        <v>46086</v>
      </c>
      <c r="E5310" s="8">
        <v>65</v>
      </c>
      <c r="F5310" s="6" t="str">
        <f t="shared" ref="F5310:F5326" si="1417">"PURE"</f>
        <v>PURE</v>
      </c>
      <c r="G5310" s="6" t="str">
        <f t="shared" ref="G5310:G5319" si="1418">"F100021455000000"</f>
        <v>F100021455000000</v>
      </c>
      <c r="H5310" s="6" t="str">
        <f t="shared" ref="H5310:H5319" si="1419">"FA 214 - PURE - 550"</f>
        <v>FA 214 - PURE - 550</v>
      </c>
      <c r="I5310" s="6" t="str">
        <f>"5855"</f>
        <v>5855</v>
      </c>
      <c r="J5310" s="6" t="str">
        <f>"AMARELO 5855"</f>
        <v>AMARELO 5855</v>
      </c>
      <c r="K5310" s="6" t="str">
        <f>"1024"</f>
        <v>1024</v>
      </c>
      <c r="L5310" s="6" t="str">
        <f>"Toalhas"</f>
        <v>Toalhas</v>
      </c>
      <c r="M5310" s="6" t="str">
        <f>"50x100"</f>
        <v>50x100</v>
      </c>
      <c r="N5310" s="6" t="str">
        <f>"5602972508819"</f>
        <v>5602972508819</v>
      </c>
      <c r="O5310" s="8">
        <v>480</v>
      </c>
      <c r="P5310" s="7">
        <v>46044</v>
      </c>
      <c r="R5310" s="8">
        <v>0</v>
      </c>
      <c r="S5310" s="7">
        <v>46049</v>
      </c>
      <c r="U5310" s="8">
        <v>0</v>
      </c>
      <c r="V5310" s="7">
        <v>46065</v>
      </c>
      <c r="X5310" s="8">
        <v>0</v>
      </c>
      <c r="Z5310" s="8">
        <v>0</v>
      </c>
      <c r="AA5310" s="7">
        <v>46083</v>
      </c>
      <c r="AC5310" s="8">
        <v>0</v>
      </c>
      <c r="AE5310" s="7">
        <v>46086</v>
      </c>
      <c r="AF5310" s="8">
        <v>0</v>
      </c>
      <c r="AH5310" s="7">
        <v>46086</v>
      </c>
      <c r="AN5310" s="8">
        <v>0</v>
      </c>
      <c r="AO5310" s="8">
        <v>480</v>
      </c>
    </row>
    <row r="5311" spans="1:41" x14ac:dyDescent="0.25">
      <c r="A5311" s="6" t="str">
        <f t="shared" si="1415"/>
        <v>525-2026000033</v>
      </c>
      <c r="B5311" s="6" t="str">
        <f t="shared" si="1416"/>
        <v>Lasa Int</v>
      </c>
      <c r="C5311" s="7">
        <v>46044</v>
      </c>
      <c r="D5311" s="7">
        <v>46086</v>
      </c>
      <c r="E5311" s="8">
        <v>66</v>
      </c>
      <c r="F5311" s="6" t="str">
        <f t="shared" si="1417"/>
        <v>PURE</v>
      </c>
      <c r="G5311" s="6" t="str">
        <f t="shared" si="1418"/>
        <v>F100021455000000</v>
      </c>
      <c r="H5311" s="6" t="str">
        <f t="shared" si="1419"/>
        <v>FA 214 - PURE - 550</v>
      </c>
      <c r="I5311" s="6" t="str">
        <f>"5855"</f>
        <v>5855</v>
      </c>
      <c r="J5311" s="6" t="str">
        <f>"AMARELO 5855"</f>
        <v>AMARELO 5855</v>
      </c>
      <c r="K5311" s="6" t="str">
        <f>"1535"</f>
        <v>1535</v>
      </c>
      <c r="L5311" s="6" t="str">
        <f>"Toalhões"</f>
        <v>Toalhões</v>
      </c>
      <c r="M5311" s="6" t="str">
        <f>"70x140"</f>
        <v>70x140</v>
      </c>
      <c r="N5311" s="6" t="str">
        <f>"5602972508826"</f>
        <v>5602972508826</v>
      </c>
      <c r="O5311" s="8">
        <v>240</v>
      </c>
      <c r="P5311" s="7">
        <v>46044</v>
      </c>
      <c r="R5311" s="8">
        <v>0</v>
      </c>
      <c r="S5311" s="7">
        <v>46049</v>
      </c>
      <c r="U5311" s="8">
        <v>0</v>
      </c>
      <c r="V5311" s="7">
        <v>46065</v>
      </c>
      <c r="X5311" s="8">
        <v>0</v>
      </c>
      <c r="Z5311" s="8">
        <v>0</v>
      </c>
      <c r="AA5311" s="7">
        <v>46083</v>
      </c>
      <c r="AC5311" s="8">
        <v>0</v>
      </c>
      <c r="AE5311" s="7">
        <v>46086</v>
      </c>
      <c r="AF5311" s="8">
        <v>0</v>
      </c>
      <c r="AH5311" s="7">
        <v>46086</v>
      </c>
      <c r="AN5311" s="8">
        <v>0</v>
      </c>
      <c r="AO5311" s="8">
        <v>240</v>
      </c>
    </row>
    <row r="5312" spans="1:41" x14ac:dyDescent="0.25">
      <c r="A5312" s="6" t="str">
        <f t="shared" si="1415"/>
        <v>525-2026000033</v>
      </c>
      <c r="B5312" s="6" t="str">
        <f t="shared" si="1416"/>
        <v>Lasa Int</v>
      </c>
      <c r="C5312" s="7">
        <v>46044</v>
      </c>
      <c r="D5312" s="7">
        <v>46086</v>
      </c>
      <c r="E5312" s="8">
        <v>67</v>
      </c>
      <c r="F5312" s="6" t="str">
        <f t="shared" si="1417"/>
        <v>PURE</v>
      </c>
      <c r="G5312" s="6" t="str">
        <f t="shared" si="1418"/>
        <v>F100021455000000</v>
      </c>
      <c r="H5312" s="6" t="str">
        <f t="shared" si="1419"/>
        <v>FA 214 - PURE - 550</v>
      </c>
      <c r="I5312" s="6" t="str">
        <f>"5855"</f>
        <v>5855</v>
      </c>
      <c r="J5312" s="6" t="str">
        <f>"AMARELO 5855"</f>
        <v>AMARELO 5855</v>
      </c>
      <c r="K5312" s="6" t="str">
        <f>"2020"</f>
        <v>2020</v>
      </c>
      <c r="L5312" s="6" t="str">
        <f>"Lençóis"</f>
        <v>Lençóis</v>
      </c>
      <c r="M5312" s="6" t="str">
        <f>"100x150"</f>
        <v>100x150</v>
      </c>
      <c r="N5312" s="6" t="str">
        <f>"5602972508833"</f>
        <v>5602972508833</v>
      </c>
      <c r="O5312" s="8">
        <v>160</v>
      </c>
      <c r="P5312" s="7">
        <v>46044</v>
      </c>
      <c r="R5312" s="8">
        <v>0</v>
      </c>
      <c r="S5312" s="7">
        <v>46049</v>
      </c>
      <c r="U5312" s="8">
        <v>0</v>
      </c>
      <c r="V5312" s="7">
        <v>46065</v>
      </c>
      <c r="X5312" s="8">
        <v>0</v>
      </c>
      <c r="Z5312" s="8">
        <v>0</v>
      </c>
      <c r="AA5312" s="7">
        <v>46083</v>
      </c>
      <c r="AC5312" s="8">
        <v>0</v>
      </c>
      <c r="AE5312" s="7">
        <v>46086</v>
      </c>
      <c r="AF5312" s="8">
        <v>0</v>
      </c>
      <c r="AH5312" s="7">
        <v>46086</v>
      </c>
      <c r="AN5312" s="8">
        <v>0</v>
      </c>
      <c r="AO5312" s="8">
        <v>160</v>
      </c>
    </row>
    <row r="5313" spans="1:41" x14ac:dyDescent="0.25">
      <c r="A5313" s="6" t="str">
        <f t="shared" si="1415"/>
        <v>525-2026000033</v>
      </c>
      <c r="B5313" s="6" t="str">
        <f t="shared" si="1416"/>
        <v>Lasa Int</v>
      </c>
      <c r="C5313" s="7">
        <v>46044</v>
      </c>
      <c r="D5313" s="7">
        <v>46086</v>
      </c>
      <c r="E5313" s="8">
        <v>68</v>
      </c>
      <c r="F5313" s="6" t="str">
        <f t="shared" si="1417"/>
        <v>PURE</v>
      </c>
      <c r="G5313" s="6" t="str">
        <f t="shared" si="1418"/>
        <v>F100021455000000</v>
      </c>
      <c r="H5313" s="6" t="str">
        <f t="shared" si="1419"/>
        <v>FA 214 - PURE - 550</v>
      </c>
      <c r="I5313" s="6" t="str">
        <f>"5867"</f>
        <v>5867</v>
      </c>
      <c r="J5313" s="6" t="str">
        <f>"VERDE 5867"</f>
        <v>VERDE 5867</v>
      </c>
      <c r="K5313" s="6" t="str">
        <f>"0112"</f>
        <v>0112</v>
      </c>
      <c r="L5313" s="6" t="str">
        <f>"Luvas"</f>
        <v>Luvas</v>
      </c>
      <c r="M5313" s="6" t="str">
        <f>"16x21"</f>
        <v>16x21</v>
      </c>
      <c r="N5313" s="6" t="str">
        <f>"5602972509502"</f>
        <v>5602972509502</v>
      </c>
      <c r="O5313" s="8">
        <v>300</v>
      </c>
      <c r="P5313" s="7">
        <v>46044</v>
      </c>
      <c r="R5313" s="8">
        <v>0</v>
      </c>
      <c r="S5313" s="7">
        <v>46049</v>
      </c>
      <c r="U5313" s="8">
        <v>0</v>
      </c>
      <c r="V5313" s="7">
        <v>46065</v>
      </c>
      <c r="X5313" s="8">
        <v>0</v>
      </c>
      <c r="Z5313" s="8">
        <v>0</v>
      </c>
      <c r="AA5313" s="7">
        <v>46083</v>
      </c>
      <c r="AC5313" s="8">
        <v>0</v>
      </c>
      <c r="AE5313" s="7">
        <v>46086</v>
      </c>
      <c r="AF5313" s="8">
        <v>0</v>
      </c>
      <c r="AH5313" s="7">
        <v>46086</v>
      </c>
      <c r="AN5313" s="8">
        <v>0</v>
      </c>
      <c r="AO5313" s="8">
        <v>300</v>
      </c>
    </row>
    <row r="5314" spans="1:41" x14ac:dyDescent="0.25">
      <c r="A5314" s="6" t="str">
        <f t="shared" si="1415"/>
        <v>525-2026000033</v>
      </c>
      <c r="B5314" s="6" t="str">
        <f t="shared" si="1416"/>
        <v>Lasa Int</v>
      </c>
      <c r="C5314" s="7">
        <v>46044</v>
      </c>
      <c r="D5314" s="7">
        <v>46086</v>
      </c>
      <c r="E5314" s="8">
        <v>69</v>
      </c>
      <c r="F5314" s="6" t="str">
        <f t="shared" si="1417"/>
        <v>PURE</v>
      </c>
      <c r="G5314" s="6" t="str">
        <f t="shared" si="1418"/>
        <v>F100021455000000</v>
      </c>
      <c r="H5314" s="6" t="str">
        <f t="shared" si="1419"/>
        <v>FA 214 - PURE - 550</v>
      </c>
      <c r="I5314" s="6" t="str">
        <f>"5867"</f>
        <v>5867</v>
      </c>
      <c r="J5314" s="6" t="str">
        <f>"VERDE 5867"</f>
        <v>VERDE 5867</v>
      </c>
      <c r="K5314" s="6" t="str">
        <f>"1024"</f>
        <v>1024</v>
      </c>
      <c r="L5314" s="6" t="str">
        <f>"Toalhas"</f>
        <v>Toalhas</v>
      </c>
      <c r="M5314" s="6" t="str">
        <f>"50x100"</f>
        <v>50x100</v>
      </c>
      <c r="N5314" s="6" t="str">
        <f>"5602972509526"</f>
        <v>5602972509526</v>
      </c>
      <c r="O5314" s="8">
        <v>480</v>
      </c>
      <c r="P5314" s="7">
        <v>46044</v>
      </c>
      <c r="R5314" s="8">
        <v>0</v>
      </c>
      <c r="S5314" s="7">
        <v>46049</v>
      </c>
      <c r="U5314" s="8">
        <v>0</v>
      </c>
      <c r="V5314" s="7">
        <v>46065</v>
      </c>
      <c r="X5314" s="8">
        <v>0</v>
      </c>
      <c r="Z5314" s="8">
        <v>0</v>
      </c>
      <c r="AA5314" s="7">
        <v>46083</v>
      </c>
      <c r="AC5314" s="8">
        <v>0</v>
      </c>
      <c r="AE5314" s="7">
        <v>46086</v>
      </c>
      <c r="AF5314" s="8">
        <v>0</v>
      </c>
      <c r="AH5314" s="7">
        <v>46086</v>
      </c>
      <c r="AN5314" s="8">
        <v>0</v>
      </c>
      <c r="AO5314" s="8">
        <v>480</v>
      </c>
    </row>
    <row r="5315" spans="1:41" x14ac:dyDescent="0.25">
      <c r="A5315" s="6" t="str">
        <f t="shared" si="1415"/>
        <v>525-2026000033</v>
      </c>
      <c r="B5315" s="6" t="str">
        <f t="shared" si="1416"/>
        <v>Lasa Int</v>
      </c>
      <c r="C5315" s="7">
        <v>46044</v>
      </c>
      <c r="D5315" s="7">
        <v>46086</v>
      </c>
      <c r="E5315" s="8">
        <v>70</v>
      </c>
      <c r="F5315" s="6" t="str">
        <f t="shared" si="1417"/>
        <v>PURE</v>
      </c>
      <c r="G5315" s="6" t="str">
        <f t="shared" si="1418"/>
        <v>F100021455000000</v>
      </c>
      <c r="H5315" s="6" t="str">
        <f t="shared" si="1419"/>
        <v>FA 214 - PURE - 550</v>
      </c>
      <c r="I5315" s="6" t="str">
        <f>"5867"</f>
        <v>5867</v>
      </c>
      <c r="J5315" s="6" t="str">
        <f>"VERDE 5867"</f>
        <v>VERDE 5867</v>
      </c>
      <c r="K5315" s="6" t="str">
        <f>"1535"</f>
        <v>1535</v>
      </c>
      <c r="L5315" s="6" t="str">
        <f>"Toalhões"</f>
        <v>Toalhões</v>
      </c>
      <c r="M5315" s="6" t="str">
        <f>"70x140"</f>
        <v>70x140</v>
      </c>
      <c r="N5315" s="6" t="str">
        <f>"5602972509533"</f>
        <v>5602972509533</v>
      </c>
      <c r="O5315" s="8">
        <v>240</v>
      </c>
      <c r="P5315" s="7">
        <v>46044</v>
      </c>
      <c r="R5315" s="8">
        <v>0</v>
      </c>
      <c r="S5315" s="7">
        <v>46049</v>
      </c>
      <c r="U5315" s="8">
        <v>0</v>
      </c>
      <c r="V5315" s="7">
        <v>46065</v>
      </c>
      <c r="X5315" s="8">
        <v>0</v>
      </c>
      <c r="Z5315" s="8">
        <v>0</v>
      </c>
      <c r="AA5315" s="7">
        <v>46083</v>
      </c>
      <c r="AC5315" s="8">
        <v>0</v>
      </c>
      <c r="AE5315" s="7">
        <v>46086</v>
      </c>
      <c r="AF5315" s="8">
        <v>0</v>
      </c>
      <c r="AH5315" s="7">
        <v>46086</v>
      </c>
      <c r="AN5315" s="8">
        <v>0</v>
      </c>
      <c r="AO5315" s="8">
        <v>240</v>
      </c>
    </row>
    <row r="5316" spans="1:41" x14ac:dyDescent="0.25">
      <c r="A5316" s="6" t="str">
        <f t="shared" si="1415"/>
        <v>525-2026000033</v>
      </c>
      <c r="B5316" s="6" t="str">
        <f t="shared" si="1416"/>
        <v>Lasa Int</v>
      </c>
      <c r="C5316" s="7">
        <v>46044</v>
      </c>
      <c r="D5316" s="7">
        <v>46086</v>
      </c>
      <c r="E5316" s="8">
        <v>71</v>
      </c>
      <c r="F5316" s="6" t="str">
        <f t="shared" si="1417"/>
        <v>PURE</v>
      </c>
      <c r="G5316" s="6" t="str">
        <f t="shared" si="1418"/>
        <v>F100021455000000</v>
      </c>
      <c r="H5316" s="6" t="str">
        <f t="shared" si="1419"/>
        <v>FA 214 - PURE - 550</v>
      </c>
      <c r="I5316" s="6" t="str">
        <f>"5867"</f>
        <v>5867</v>
      </c>
      <c r="J5316" s="6" t="str">
        <f>"VERDE 5867"</f>
        <v>VERDE 5867</v>
      </c>
      <c r="K5316" s="6" t="str">
        <f>"2020"</f>
        <v>2020</v>
      </c>
      <c r="L5316" s="6" t="str">
        <f>"Lençóis"</f>
        <v>Lençóis</v>
      </c>
      <c r="M5316" s="6" t="str">
        <f>"100x150"</f>
        <v>100x150</v>
      </c>
      <c r="N5316" s="6" t="str">
        <f>"5602972509540"</f>
        <v>5602972509540</v>
      </c>
      <c r="O5316" s="8">
        <v>160</v>
      </c>
      <c r="P5316" s="7">
        <v>46044</v>
      </c>
      <c r="R5316" s="8">
        <v>0</v>
      </c>
      <c r="S5316" s="7">
        <v>46049</v>
      </c>
      <c r="U5316" s="8">
        <v>0</v>
      </c>
      <c r="V5316" s="7">
        <v>46065</v>
      </c>
      <c r="X5316" s="8">
        <v>0</v>
      </c>
      <c r="Z5316" s="8">
        <v>0</v>
      </c>
      <c r="AA5316" s="7">
        <v>46083</v>
      </c>
      <c r="AC5316" s="8">
        <v>0</v>
      </c>
      <c r="AE5316" s="7">
        <v>46086</v>
      </c>
      <c r="AF5316" s="8">
        <v>0</v>
      </c>
      <c r="AH5316" s="7">
        <v>46086</v>
      </c>
      <c r="AN5316" s="8">
        <v>0</v>
      </c>
      <c r="AO5316" s="8">
        <v>160</v>
      </c>
    </row>
    <row r="5317" spans="1:41" x14ac:dyDescent="0.25">
      <c r="A5317" s="6" t="str">
        <f t="shared" si="1415"/>
        <v>525-2026000033</v>
      </c>
      <c r="B5317" s="6" t="str">
        <f t="shared" si="1416"/>
        <v>Lasa Int</v>
      </c>
      <c r="C5317" s="7">
        <v>46044</v>
      </c>
      <c r="D5317" s="7">
        <v>46086</v>
      </c>
      <c r="E5317" s="8">
        <v>72</v>
      </c>
      <c r="F5317" s="6" t="str">
        <f t="shared" si="1417"/>
        <v>PURE</v>
      </c>
      <c r="G5317" s="6" t="str">
        <f t="shared" si="1418"/>
        <v>F100021455000000</v>
      </c>
      <c r="H5317" s="6" t="str">
        <f t="shared" si="1419"/>
        <v>FA 214 - PURE - 550</v>
      </c>
      <c r="I5317" s="6" t="str">
        <f>"784"</f>
        <v>784</v>
      </c>
      <c r="J5317" s="6" t="str">
        <f>"ROSA 784"</f>
        <v>ROSA 784</v>
      </c>
      <c r="K5317" s="6" t="str">
        <f>"1024"</f>
        <v>1024</v>
      </c>
      <c r="L5317" s="6" t="str">
        <f>"Toalhas"</f>
        <v>Toalhas</v>
      </c>
      <c r="M5317" s="6" t="str">
        <f>"50x100"</f>
        <v>50x100</v>
      </c>
      <c r="N5317" s="6" t="str">
        <f>"5602972836752"</f>
        <v>5602972836752</v>
      </c>
      <c r="O5317" s="8">
        <v>480</v>
      </c>
      <c r="P5317" s="7">
        <v>46044</v>
      </c>
      <c r="R5317" s="8">
        <v>0</v>
      </c>
      <c r="S5317" s="7">
        <v>46049</v>
      </c>
      <c r="U5317" s="8">
        <v>0</v>
      </c>
      <c r="V5317" s="7">
        <v>46065</v>
      </c>
      <c r="X5317" s="8">
        <v>0</v>
      </c>
      <c r="Z5317" s="8">
        <v>0</v>
      </c>
      <c r="AA5317" s="7">
        <v>46083</v>
      </c>
      <c r="AC5317" s="8">
        <v>0</v>
      </c>
      <c r="AE5317" s="7">
        <v>46086</v>
      </c>
      <c r="AF5317" s="8">
        <v>0</v>
      </c>
      <c r="AH5317" s="7">
        <v>46086</v>
      </c>
      <c r="AN5317" s="8">
        <v>0</v>
      </c>
      <c r="AO5317" s="8">
        <v>480</v>
      </c>
    </row>
    <row r="5318" spans="1:41" x14ac:dyDescent="0.25">
      <c r="A5318" s="6" t="str">
        <f t="shared" si="1415"/>
        <v>525-2026000033</v>
      </c>
      <c r="B5318" s="6" t="str">
        <f t="shared" si="1416"/>
        <v>Lasa Int</v>
      </c>
      <c r="C5318" s="7">
        <v>46044</v>
      </c>
      <c r="D5318" s="7">
        <v>46086</v>
      </c>
      <c r="E5318" s="8">
        <v>73</v>
      </c>
      <c r="F5318" s="6" t="str">
        <f t="shared" si="1417"/>
        <v>PURE</v>
      </c>
      <c r="G5318" s="6" t="str">
        <f t="shared" si="1418"/>
        <v>F100021455000000</v>
      </c>
      <c r="H5318" s="6" t="str">
        <f t="shared" si="1419"/>
        <v>FA 214 - PURE - 550</v>
      </c>
      <c r="I5318" s="6" t="str">
        <f>"784"</f>
        <v>784</v>
      </c>
      <c r="J5318" s="6" t="str">
        <f>"ROSA 784"</f>
        <v>ROSA 784</v>
      </c>
      <c r="K5318" s="6" t="str">
        <f>"1535"</f>
        <v>1535</v>
      </c>
      <c r="L5318" s="6" t="str">
        <f>"Toalhões"</f>
        <v>Toalhões</v>
      </c>
      <c r="M5318" s="6" t="str">
        <f>"70x140"</f>
        <v>70x140</v>
      </c>
      <c r="N5318" s="6" t="str">
        <f>"5602972836769"</f>
        <v>5602972836769</v>
      </c>
      <c r="O5318" s="8">
        <v>240</v>
      </c>
      <c r="P5318" s="7">
        <v>46044</v>
      </c>
      <c r="R5318" s="8">
        <v>0</v>
      </c>
      <c r="S5318" s="7">
        <v>46049</v>
      </c>
      <c r="U5318" s="8">
        <v>0</v>
      </c>
      <c r="V5318" s="7">
        <v>46065</v>
      </c>
      <c r="X5318" s="8">
        <v>0</v>
      </c>
      <c r="Z5318" s="8">
        <v>0</v>
      </c>
      <c r="AA5318" s="7">
        <v>46083</v>
      </c>
      <c r="AC5318" s="8">
        <v>0</v>
      </c>
      <c r="AE5318" s="7">
        <v>46086</v>
      </c>
      <c r="AF5318" s="8">
        <v>0</v>
      </c>
      <c r="AH5318" s="7">
        <v>46086</v>
      </c>
      <c r="AN5318" s="8">
        <v>0</v>
      </c>
      <c r="AO5318" s="8">
        <v>240</v>
      </c>
    </row>
    <row r="5319" spans="1:41" x14ac:dyDescent="0.25">
      <c r="A5319" s="6" t="str">
        <f t="shared" si="1415"/>
        <v>525-2026000033</v>
      </c>
      <c r="B5319" s="6" t="str">
        <f t="shared" si="1416"/>
        <v>Lasa Int</v>
      </c>
      <c r="C5319" s="7">
        <v>46044</v>
      </c>
      <c r="D5319" s="7">
        <v>46086</v>
      </c>
      <c r="E5319" s="8">
        <v>74</v>
      </c>
      <c r="F5319" s="6" t="str">
        <f t="shared" si="1417"/>
        <v>PURE</v>
      </c>
      <c r="G5319" s="6" t="str">
        <f t="shared" si="1418"/>
        <v>F100021455000000</v>
      </c>
      <c r="H5319" s="6" t="str">
        <f t="shared" si="1419"/>
        <v>FA 214 - PURE - 550</v>
      </c>
      <c r="I5319" s="6" t="str">
        <f>"784"</f>
        <v>784</v>
      </c>
      <c r="J5319" s="6" t="str">
        <f>"ROSA 784"</f>
        <v>ROSA 784</v>
      </c>
      <c r="K5319" s="6" t="str">
        <f>"2020"</f>
        <v>2020</v>
      </c>
      <c r="L5319" s="6" t="str">
        <f>"Lençóis"</f>
        <v>Lençóis</v>
      </c>
      <c r="M5319" s="6" t="str">
        <f>"100x150"</f>
        <v>100x150</v>
      </c>
      <c r="N5319" s="6" t="str">
        <f>"5602972836776"</f>
        <v>5602972836776</v>
      </c>
      <c r="O5319" s="8">
        <v>160</v>
      </c>
      <c r="P5319" s="7">
        <v>46044</v>
      </c>
      <c r="R5319" s="8">
        <v>0</v>
      </c>
      <c r="S5319" s="7">
        <v>46049</v>
      </c>
      <c r="U5319" s="8">
        <v>0</v>
      </c>
      <c r="V5319" s="7">
        <v>46065</v>
      </c>
      <c r="X5319" s="8">
        <v>0</v>
      </c>
      <c r="Z5319" s="8">
        <v>0</v>
      </c>
      <c r="AA5319" s="7">
        <v>46083</v>
      </c>
      <c r="AC5319" s="8">
        <v>0</v>
      </c>
      <c r="AE5319" s="7">
        <v>46086</v>
      </c>
      <c r="AF5319" s="8">
        <v>0</v>
      </c>
      <c r="AH5319" s="7">
        <v>46086</v>
      </c>
      <c r="AN5319" s="8">
        <v>0</v>
      </c>
      <c r="AO5319" s="8">
        <v>160</v>
      </c>
    </row>
    <row r="5320" spans="1:41" x14ac:dyDescent="0.25">
      <c r="A5320" s="6" t="str">
        <f t="shared" si="1415"/>
        <v>525-2026000033</v>
      </c>
      <c r="B5320" s="6" t="str">
        <f t="shared" si="1416"/>
        <v>Lasa Int</v>
      </c>
      <c r="C5320" s="7">
        <v>46044</v>
      </c>
      <c r="D5320" s="7">
        <v>46086</v>
      </c>
      <c r="E5320" s="8">
        <v>75</v>
      </c>
      <c r="F5320" s="6" t="str">
        <f t="shared" si="1417"/>
        <v>PURE</v>
      </c>
      <c r="G5320" s="6" t="str">
        <f t="shared" ref="G5320:G5326" si="1420">"F161003770000000"</f>
        <v>F161003770000000</v>
      </c>
      <c r="H5320" s="6" t="str">
        <f t="shared" ref="H5320:H5326" si="1421">"TA 37 - 700 g/m²"</f>
        <v>TA 37 - 700 g/m²</v>
      </c>
      <c r="I5320" s="6" t="str">
        <f>"1"</f>
        <v>1</v>
      </c>
      <c r="J5320" s="6" t="str">
        <f>"BRANCO"</f>
        <v>BRANCO</v>
      </c>
      <c r="K5320" s="6" t="str">
        <f t="shared" ref="K5320:K5326" si="1422">"3012"</f>
        <v>3012</v>
      </c>
      <c r="L5320" s="6" t="str">
        <f t="shared" ref="L5320:L5326" si="1423">"Tapetes"</f>
        <v>Tapetes</v>
      </c>
      <c r="M5320" s="6" t="str">
        <f t="shared" ref="M5320:M5326" si="1424">"50x70"</f>
        <v>50x70</v>
      </c>
      <c r="N5320" s="6" t="str">
        <f>"5602972906042"</f>
        <v>5602972906042</v>
      </c>
      <c r="O5320" s="8">
        <v>200</v>
      </c>
      <c r="P5320" s="7">
        <v>46044</v>
      </c>
      <c r="R5320" s="8">
        <v>0</v>
      </c>
      <c r="S5320" s="7">
        <v>46049</v>
      </c>
      <c r="U5320" s="8">
        <v>0</v>
      </c>
      <c r="V5320" s="7">
        <v>46065</v>
      </c>
      <c r="X5320" s="8">
        <v>0</v>
      </c>
      <c r="Z5320" s="8">
        <v>0</v>
      </c>
      <c r="AA5320" s="7">
        <v>46083</v>
      </c>
      <c r="AC5320" s="8">
        <v>0</v>
      </c>
      <c r="AE5320" s="7">
        <v>46086</v>
      </c>
      <c r="AF5320" s="8">
        <v>0</v>
      </c>
      <c r="AH5320" s="7">
        <v>46086</v>
      </c>
      <c r="AN5320" s="8">
        <v>0</v>
      </c>
      <c r="AO5320" s="8">
        <v>200</v>
      </c>
    </row>
    <row r="5321" spans="1:41" x14ac:dyDescent="0.25">
      <c r="A5321" s="6" t="str">
        <f t="shared" si="1415"/>
        <v>525-2026000033</v>
      </c>
      <c r="B5321" s="6" t="str">
        <f t="shared" si="1416"/>
        <v>Lasa Int</v>
      </c>
      <c r="C5321" s="7">
        <v>46044</v>
      </c>
      <c r="D5321" s="7">
        <v>46086</v>
      </c>
      <c r="E5321" s="8">
        <v>76</v>
      </c>
      <c r="F5321" s="6" t="str">
        <f t="shared" si="1417"/>
        <v>PURE</v>
      </c>
      <c r="G5321" s="6" t="str">
        <f t="shared" si="1420"/>
        <v>F161003770000000</v>
      </c>
      <c r="H5321" s="6" t="str">
        <f t="shared" si="1421"/>
        <v>TA 37 - 700 g/m²</v>
      </c>
      <c r="I5321" s="6" t="str">
        <f>"2094"</f>
        <v>2094</v>
      </c>
      <c r="J5321" s="6" t="str">
        <f>"AZUL 2094"</f>
        <v>AZUL 2094</v>
      </c>
      <c r="K5321" s="6" t="str">
        <f t="shared" si="1422"/>
        <v>3012</v>
      </c>
      <c r="L5321" s="6" t="str">
        <f t="shared" si="1423"/>
        <v>Tapetes</v>
      </c>
      <c r="M5321" s="6" t="str">
        <f t="shared" si="1424"/>
        <v>50x70</v>
      </c>
      <c r="N5321" s="6" t="str">
        <f>"5602972837353"</f>
        <v>5602972837353</v>
      </c>
      <c r="O5321" s="8">
        <v>100</v>
      </c>
      <c r="P5321" s="7">
        <v>46044</v>
      </c>
      <c r="R5321" s="8">
        <v>0</v>
      </c>
      <c r="S5321" s="7">
        <v>46049</v>
      </c>
      <c r="U5321" s="8">
        <v>100</v>
      </c>
      <c r="V5321" s="7">
        <v>46065</v>
      </c>
      <c r="X5321" s="8">
        <v>0</v>
      </c>
      <c r="Z5321" s="8">
        <v>0</v>
      </c>
      <c r="AA5321" s="7">
        <v>46083</v>
      </c>
      <c r="AC5321" s="8">
        <v>0</v>
      </c>
      <c r="AE5321" s="7">
        <v>46086</v>
      </c>
      <c r="AF5321" s="8">
        <v>0</v>
      </c>
      <c r="AH5321" s="7">
        <v>46086</v>
      </c>
      <c r="AN5321" s="8">
        <v>0</v>
      </c>
      <c r="AO5321" s="8">
        <v>100</v>
      </c>
    </row>
    <row r="5322" spans="1:41" x14ac:dyDescent="0.25">
      <c r="A5322" s="6" t="str">
        <f t="shared" si="1415"/>
        <v>525-2026000033</v>
      </c>
      <c r="B5322" s="6" t="str">
        <f t="shared" si="1416"/>
        <v>Lasa Int</v>
      </c>
      <c r="C5322" s="7">
        <v>46044</v>
      </c>
      <c r="D5322" s="7">
        <v>46086</v>
      </c>
      <c r="E5322" s="8">
        <v>77</v>
      </c>
      <c r="F5322" s="6" t="str">
        <f t="shared" si="1417"/>
        <v>PURE</v>
      </c>
      <c r="G5322" s="6" t="str">
        <f t="shared" si="1420"/>
        <v>F161003770000000</v>
      </c>
      <c r="H5322" s="6" t="str">
        <f t="shared" si="1421"/>
        <v>TA 37 - 700 g/m²</v>
      </c>
      <c r="I5322" s="6" t="str">
        <f>"2612"</f>
        <v>2612</v>
      </c>
      <c r="J5322" s="6" t="str">
        <f>"VERDE 2612"</f>
        <v>VERDE 2612</v>
      </c>
      <c r="K5322" s="6" t="str">
        <f t="shared" si="1422"/>
        <v>3012</v>
      </c>
      <c r="L5322" s="6" t="str">
        <f t="shared" si="1423"/>
        <v>Tapetes</v>
      </c>
      <c r="M5322" s="6" t="str">
        <f t="shared" si="1424"/>
        <v>50x70</v>
      </c>
      <c r="N5322" s="6" t="str">
        <f>"5602972837377"</f>
        <v>5602972837377</v>
      </c>
      <c r="O5322" s="8">
        <v>100</v>
      </c>
      <c r="P5322" s="7">
        <v>46044</v>
      </c>
      <c r="R5322" s="8">
        <v>0</v>
      </c>
      <c r="S5322" s="7">
        <v>46049</v>
      </c>
      <c r="U5322" s="8">
        <v>100</v>
      </c>
      <c r="V5322" s="7">
        <v>46065</v>
      </c>
      <c r="X5322" s="8">
        <v>0</v>
      </c>
      <c r="Z5322" s="8">
        <v>0</v>
      </c>
      <c r="AA5322" s="7">
        <v>46083</v>
      </c>
      <c r="AC5322" s="8">
        <v>0</v>
      </c>
      <c r="AE5322" s="7">
        <v>46086</v>
      </c>
      <c r="AF5322" s="8">
        <v>0</v>
      </c>
      <c r="AH5322" s="7">
        <v>46086</v>
      </c>
      <c r="AN5322" s="8">
        <v>0</v>
      </c>
      <c r="AO5322" s="8">
        <v>100</v>
      </c>
    </row>
    <row r="5323" spans="1:41" x14ac:dyDescent="0.25">
      <c r="A5323" s="6" t="str">
        <f t="shared" si="1415"/>
        <v>525-2026000033</v>
      </c>
      <c r="B5323" s="6" t="str">
        <f t="shared" si="1416"/>
        <v>Lasa Int</v>
      </c>
      <c r="C5323" s="7">
        <v>46044</v>
      </c>
      <c r="D5323" s="7">
        <v>46086</v>
      </c>
      <c r="E5323" s="8">
        <v>78</v>
      </c>
      <c r="F5323" s="6" t="str">
        <f t="shared" si="1417"/>
        <v>PURE</v>
      </c>
      <c r="G5323" s="6" t="str">
        <f t="shared" si="1420"/>
        <v>F161003770000000</v>
      </c>
      <c r="H5323" s="6" t="str">
        <f t="shared" si="1421"/>
        <v>TA 37 - 700 g/m²</v>
      </c>
      <c r="I5323" s="6" t="str">
        <f>"3235"</f>
        <v>3235</v>
      </c>
      <c r="J5323" s="6" t="str">
        <f>"CINZA 3235"</f>
        <v>CINZA 3235</v>
      </c>
      <c r="K5323" s="6" t="str">
        <f t="shared" si="1422"/>
        <v>3012</v>
      </c>
      <c r="L5323" s="6" t="str">
        <f t="shared" si="1423"/>
        <v>Tapetes</v>
      </c>
      <c r="M5323" s="6" t="str">
        <f t="shared" si="1424"/>
        <v>50x70</v>
      </c>
      <c r="N5323" s="6" t="str">
        <f>"5602972895391"</f>
        <v>5602972895391</v>
      </c>
      <c r="O5323" s="8">
        <v>200</v>
      </c>
      <c r="P5323" s="7">
        <v>46044</v>
      </c>
      <c r="R5323" s="8">
        <v>0</v>
      </c>
      <c r="S5323" s="7">
        <v>46049</v>
      </c>
      <c r="U5323" s="8">
        <v>0</v>
      </c>
      <c r="V5323" s="7">
        <v>46065</v>
      </c>
      <c r="X5323" s="8">
        <v>0</v>
      </c>
      <c r="Z5323" s="8">
        <v>0</v>
      </c>
      <c r="AA5323" s="7">
        <v>46083</v>
      </c>
      <c r="AC5323" s="8">
        <v>0</v>
      </c>
      <c r="AE5323" s="7">
        <v>46086</v>
      </c>
      <c r="AF5323" s="8">
        <v>0</v>
      </c>
      <c r="AH5323" s="7">
        <v>46086</v>
      </c>
      <c r="AN5323" s="8">
        <v>0</v>
      </c>
      <c r="AO5323" s="8">
        <v>200</v>
      </c>
    </row>
    <row r="5324" spans="1:41" x14ac:dyDescent="0.25">
      <c r="A5324" s="6" t="str">
        <f t="shared" si="1415"/>
        <v>525-2026000033</v>
      </c>
      <c r="B5324" s="6" t="str">
        <f t="shared" si="1416"/>
        <v>Lasa Int</v>
      </c>
      <c r="C5324" s="7">
        <v>46044</v>
      </c>
      <c r="D5324" s="7">
        <v>46086</v>
      </c>
      <c r="E5324" s="8">
        <v>79</v>
      </c>
      <c r="F5324" s="6" t="str">
        <f t="shared" si="1417"/>
        <v>PURE</v>
      </c>
      <c r="G5324" s="6" t="str">
        <f t="shared" si="1420"/>
        <v>F161003770000000</v>
      </c>
      <c r="H5324" s="6" t="str">
        <f t="shared" si="1421"/>
        <v>TA 37 - 700 g/m²</v>
      </c>
      <c r="I5324" s="6" t="str">
        <f>"4383"</f>
        <v>4383</v>
      </c>
      <c r="J5324" s="6" t="str">
        <f>"AZUL 4383"</f>
        <v>AZUL 4383</v>
      </c>
      <c r="K5324" s="6" t="str">
        <f t="shared" si="1422"/>
        <v>3012</v>
      </c>
      <c r="L5324" s="6" t="str">
        <f t="shared" si="1423"/>
        <v>Tapetes</v>
      </c>
      <c r="M5324" s="6" t="str">
        <f t="shared" si="1424"/>
        <v>50x70</v>
      </c>
      <c r="N5324" s="6" t="str">
        <f>"5602972795646"</f>
        <v>5602972795646</v>
      </c>
      <c r="O5324" s="8">
        <v>200</v>
      </c>
      <c r="P5324" s="7">
        <v>46044</v>
      </c>
      <c r="R5324" s="8">
        <v>0</v>
      </c>
      <c r="S5324" s="7">
        <v>46049</v>
      </c>
      <c r="U5324" s="8">
        <v>200</v>
      </c>
      <c r="V5324" s="7">
        <v>46065</v>
      </c>
      <c r="X5324" s="8">
        <v>0</v>
      </c>
      <c r="Z5324" s="8">
        <v>200</v>
      </c>
      <c r="AA5324" s="7">
        <v>46083</v>
      </c>
      <c r="AC5324" s="8">
        <v>0</v>
      </c>
      <c r="AE5324" s="7">
        <v>46086</v>
      </c>
      <c r="AF5324" s="8">
        <v>0</v>
      </c>
      <c r="AH5324" s="7">
        <v>46086</v>
      </c>
      <c r="AN5324" s="8">
        <v>0</v>
      </c>
      <c r="AO5324" s="8">
        <v>200</v>
      </c>
    </row>
    <row r="5325" spans="1:41" x14ac:dyDescent="0.25">
      <c r="A5325" s="6" t="str">
        <f t="shared" si="1415"/>
        <v>525-2026000033</v>
      </c>
      <c r="B5325" s="6" t="str">
        <f t="shared" si="1416"/>
        <v>Lasa Int</v>
      </c>
      <c r="C5325" s="7">
        <v>46044</v>
      </c>
      <c r="D5325" s="7">
        <v>46086</v>
      </c>
      <c r="E5325" s="8">
        <v>80</v>
      </c>
      <c r="F5325" s="6" t="str">
        <f t="shared" si="1417"/>
        <v>PURE</v>
      </c>
      <c r="G5325" s="6" t="str">
        <f t="shared" si="1420"/>
        <v>F161003770000000</v>
      </c>
      <c r="H5325" s="6" t="str">
        <f t="shared" si="1421"/>
        <v>TA 37 - 700 g/m²</v>
      </c>
      <c r="I5325" s="6" t="str">
        <f>"4387"</f>
        <v>4387</v>
      </c>
      <c r="J5325" s="6" t="str">
        <f>"VERDE 4387"</f>
        <v>VERDE 4387</v>
      </c>
      <c r="K5325" s="6" t="str">
        <f t="shared" si="1422"/>
        <v>3012</v>
      </c>
      <c r="L5325" s="6" t="str">
        <f t="shared" si="1423"/>
        <v>Tapetes</v>
      </c>
      <c r="M5325" s="6" t="str">
        <f t="shared" si="1424"/>
        <v>50x70</v>
      </c>
      <c r="N5325" s="6" t="str">
        <f>"5602972795691"</f>
        <v>5602972795691</v>
      </c>
      <c r="O5325" s="8">
        <v>100</v>
      </c>
      <c r="P5325" s="7">
        <v>46044</v>
      </c>
      <c r="R5325" s="8">
        <v>0</v>
      </c>
      <c r="S5325" s="7">
        <v>46049</v>
      </c>
      <c r="U5325" s="8">
        <v>0</v>
      </c>
      <c r="V5325" s="7">
        <v>46065</v>
      </c>
      <c r="X5325" s="8">
        <v>0</v>
      </c>
      <c r="Z5325" s="8">
        <v>0</v>
      </c>
      <c r="AA5325" s="7">
        <v>46083</v>
      </c>
      <c r="AC5325" s="8">
        <v>0</v>
      </c>
      <c r="AE5325" s="7">
        <v>46086</v>
      </c>
      <c r="AF5325" s="8">
        <v>0</v>
      </c>
      <c r="AH5325" s="7">
        <v>46086</v>
      </c>
      <c r="AN5325" s="8">
        <v>0</v>
      </c>
      <c r="AO5325" s="8">
        <v>100</v>
      </c>
    </row>
    <row r="5326" spans="1:41" x14ac:dyDescent="0.25">
      <c r="A5326" s="6" t="str">
        <f t="shared" si="1415"/>
        <v>525-2026000033</v>
      </c>
      <c r="B5326" s="6" t="str">
        <f t="shared" si="1416"/>
        <v>Lasa Int</v>
      </c>
      <c r="C5326" s="7">
        <v>46044</v>
      </c>
      <c r="D5326" s="7">
        <v>46086</v>
      </c>
      <c r="E5326" s="8">
        <v>81</v>
      </c>
      <c r="F5326" s="6" t="str">
        <f t="shared" si="1417"/>
        <v>PURE</v>
      </c>
      <c r="G5326" s="6" t="str">
        <f t="shared" si="1420"/>
        <v>F161003770000000</v>
      </c>
      <c r="H5326" s="6" t="str">
        <f t="shared" si="1421"/>
        <v>TA 37 - 700 g/m²</v>
      </c>
      <c r="I5326" s="6" t="str">
        <f>"5867"</f>
        <v>5867</v>
      </c>
      <c r="J5326" s="6" t="str">
        <f>"VERDE 5867"</f>
        <v>VERDE 5867</v>
      </c>
      <c r="K5326" s="6" t="str">
        <f t="shared" si="1422"/>
        <v>3012</v>
      </c>
      <c r="L5326" s="6" t="str">
        <f t="shared" si="1423"/>
        <v>Tapetes</v>
      </c>
      <c r="M5326" s="6" t="str">
        <f t="shared" si="1424"/>
        <v>50x70</v>
      </c>
      <c r="N5326" s="6" t="str">
        <f>"5602972509557"</f>
        <v>5602972509557</v>
      </c>
      <c r="O5326" s="8">
        <v>100</v>
      </c>
      <c r="P5326" s="7">
        <v>46044</v>
      </c>
      <c r="R5326" s="8">
        <v>0</v>
      </c>
      <c r="S5326" s="7">
        <v>46049</v>
      </c>
      <c r="U5326" s="8">
        <v>0</v>
      </c>
      <c r="V5326" s="7">
        <v>46065</v>
      </c>
      <c r="X5326" s="8">
        <v>0</v>
      </c>
      <c r="Z5326" s="8">
        <v>0</v>
      </c>
      <c r="AA5326" s="7">
        <v>46083</v>
      </c>
      <c r="AC5326" s="8">
        <v>0</v>
      </c>
      <c r="AE5326" s="7">
        <v>46086</v>
      </c>
      <c r="AF5326" s="8">
        <v>0</v>
      </c>
      <c r="AH5326" s="7">
        <v>46086</v>
      </c>
      <c r="AN5326" s="8">
        <v>0</v>
      </c>
      <c r="AO5326" s="8">
        <v>100</v>
      </c>
    </row>
    <row r="5327" spans="1:41" x14ac:dyDescent="0.25">
      <c r="A5327" s="6" t="str">
        <f t="shared" ref="A5327:A5336" si="1425">"525-2026000034"</f>
        <v>525-2026000034</v>
      </c>
      <c r="B5327" s="6" t="str">
        <f t="shared" si="1416"/>
        <v>Lasa Int</v>
      </c>
      <c r="C5327" s="7">
        <v>46045</v>
      </c>
      <c r="D5327" s="7">
        <v>46108</v>
      </c>
      <c r="E5327" s="8">
        <v>1</v>
      </c>
      <c r="F5327" s="6" t="str">
        <f t="shared" ref="F5327:F5336" si="1426">"Mellow"</f>
        <v>Mellow</v>
      </c>
      <c r="G5327" s="6" t="str">
        <f t="shared" ref="G5327:G5336" si="1427">"F310564855000000"</f>
        <v>F310564855000000</v>
      </c>
      <c r="H5327" s="6" t="str">
        <f t="shared" ref="H5327:H5336" si="1428">"PLAR 5648 V LN FD -"</f>
        <v>PLAR 5648 V LN FD -</v>
      </c>
      <c r="I5327" s="6" t="str">
        <f>"200001"</f>
        <v>200001</v>
      </c>
      <c r="J5327" s="6" t="str">
        <f>"BRANCO"</f>
        <v>BRANCO</v>
      </c>
      <c r="K5327" s="6" t="str">
        <f>"0112"</f>
        <v>0112</v>
      </c>
      <c r="L5327" s="6" t="str">
        <f>"Luvas"</f>
        <v>Luvas</v>
      </c>
      <c r="M5327" s="6" t="str">
        <f>"16x21"</f>
        <v>16x21</v>
      </c>
      <c r="N5327" s="6" t="str">
        <f>"5602972515008"</f>
        <v>5602972515008</v>
      </c>
      <c r="O5327" s="8">
        <v>144</v>
      </c>
      <c r="P5327" s="7">
        <v>46086</v>
      </c>
      <c r="R5327" s="8">
        <v>0</v>
      </c>
      <c r="S5327" s="7">
        <v>46091</v>
      </c>
      <c r="U5327" s="8">
        <v>0</v>
      </c>
      <c r="V5327" s="7">
        <v>46094</v>
      </c>
      <c r="X5327" s="8">
        <v>0</v>
      </c>
      <c r="Z5327" s="8">
        <v>0</v>
      </c>
      <c r="AA5327" s="7">
        <v>46106</v>
      </c>
      <c r="AC5327" s="8">
        <v>0</v>
      </c>
      <c r="AE5327" s="7">
        <v>46108</v>
      </c>
      <c r="AF5327" s="8">
        <v>0</v>
      </c>
      <c r="AH5327" s="7">
        <v>46108</v>
      </c>
      <c r="AN5327" s="8">
        <v>0</v>
      </c>
      <c r="AO5327" s="8">
        <v>144</v>
      </c>
    </row>
    <row r="5328" spans="1:41" x14ac:dyDescent="0.25">
      <c r="A5328" s="6" t="str">
        <f t="shared" si="1425"/>
        <v>525-2026000034</v>
      </c>
      <c r="B5328" s="6" t="str">
        <f t="shared" si="1416"/>
        <v>Lasa Int</v>
      </c>
      <c r="C5328" s="7">
        <v>46045</v>
      </c>
      <c r="D5328" s="7">
        <v>46108</v>
      </c>
      <c r="E5328" s="8">
        <v>2</v>
      </c>
      <c r="F5328" s="6" t="str">
        <f t="shared" si="1426"/>
        <v>Mellow</v>
      </c>
      <c r="G5328" s="6" t="str">
        <f t="shared" si="1427"/>
        <v>F310564855000000</v>
      </c>
      <c r="H5328" s="6" t="str">
        <f t="shared" si="1428"/>
        <v>PLAR 5648 V LN FD -</v>
      </c>
      <c r="I5328" s="6" t="str">
        <f>"200001"</f>
        <v>200001</v>
      </c>
      <c r="J5328" s="6" t="str">
        <f>"BRANCO"</f>
        <v>BRANCO</v>
      </c>
      <c r="K5328" s="6" t="str">
        <f>"0530"</f>
        <v>0530</v>
      </c>
      <c r="L5328" s="6" t="str">
        <f>"Toalhetes"</f>
        <v>Toalhetes</v>
      </c>
      <c r="M5328" s="6" t="str">
        <f>"33x50"</f>
        <v>33x50</v>
      </c>
      <c r="N5328" s="6" t="str">
        <f>"5602972515015"</f>
        <v>5602972515015</v>
      </c>
      <c r="O5328" s="8">
        <v>240</v>
      </c>
      <c r="P5328" s="7">
        <v>46086</v>
      </c>
      <c r="R5328" s="8">
        <v>0</v>
      </c>
      <c r="S5328" s="7">
        <v>46091</v>
      </c>
      <c r="U5328" s="8">
        <v>0</v>
      </c>
      <c r="V5328" s="7">
        <v>46094</v>
      </c>
      <c r="X5328" s="8">
        <v>0</v>
      </c>
      <c r="Z5328" s="8">
        <v>0</v>
      </c>
      <c r="AA5328" s="7">
        <v>46106</v>
      </c>
      <c r="AC5328" s="8">
        <v>0</v>
      </c>
      <c r="AE5328" s="7">
        <v>46108</v>
      </c>
      <c r="AF5328" s="8">
        <v>0</v>
      </c>
      <c r="AH5328" s="7">
        <v>46108</v>
      </c>
      <c r="AN5328" s="8">
        <v>0</v>
      </c>
      <c r="AO5328" s="8">
        <v>240</v>
      </c>
    </row>
    <row r="5329" spans="1:41" x14ac:dyDescent="0.25">
      <c r="A5329" s="6" t="str">
        <f t="shared" si="1425"/>
        <v>525-2026000034</v>
      </c>
      <c r="B5329" s="6" t="str">
        <f t="shared" si="1416"/>
        <v>Lasa Int</v>
      </c>
      <c r="C5329" s="7">
        <v>46045</v>
      </c>
      <c r="D5329" s="7">
        <v>46108</v>
      </c>
      <c r="E5329" s="8">
        <v>3</v>
      </c>
      <c r="F5329" s="6" t="str">
        <f t="shared" si="1426"/>
        <v>Mellow</v>
      </c>
      <c r="G5329" s="6" t="str">
        <f t="shared" si="1427"/>
        <v>F310564855000000</v>
      </c>
      <c r="H5329" s="6" t="str">
        <f t="shared" si="1428"/>
        <v>PLAR 5648 V LN FD -</v>
      </c>
      <c r="I5329" s="6" t="str">
        <f>"200001"</f>
        <v>200001</v>
      </c>
      <c r="J5329" s="6" t="str">
        <f>"BRANCO"</f>
        <v>BRANCO</v>
      </c>
      <c r="K5329" s="6" t="str">
        <f>"1024"</f>
        <v>1024</v>
      </c>
      <c r="L5329" s="6" t="str">
        <f>"Toalhas"</f>
        <v>Toalhas</v>
      </c>
      <c r="M5329" s="6" t="str">
        <f>"50x100"</f>
        <v>50x100</v>
      </c>
      <c r="N5329" s="6" t="str">
        <f>"5602972515022"</f>
        <v>5602972515022</v>
      </c>
      <c r="O5329" s="8">
        <v>520</v>
      </c>
      <c r="P5329" s="7">
        <v>46086</v>
      </c>
      <c r="R5329" s="8">
        <v>0</v>
      </c>
      <c r="S5329" s="7">
        <v>46091</v>
      </c>
      <c r="U5329" s="8">
        <v>0</v>
      </c>
      <c r="V5329" s="7">
        <v>46094</v>
      </c>
      <c r="X5329" s="8">
        <v>0</v>
      </c>
      <c r="Z5329" s="8">
        <v>0</v>
      </c>
      <c r="AA5329" s="7">
        <v>46106</v>
      </c>
      <c r="AC5329" s="8">
        <v>0</v>
      </c>
      <c r="AE5329" s="7">
        <v>46108</v>
      </c>
      <c r="AF5329" s="8">
        <v>0</v>
      </c>
      <c r="AH5329" s="7">
        <v>46108</v>
      </c>
      <c r="AN5329" s="8">
        <v>0</v>
      </c>
      <c r="AO5329" s="8">
        <v>520</v>
      </c>
    </row>
    <row r="5330" spans="1:41" x14ac:dyDescent="0.25">
      <c r="A5330" s="6" t="str">
        <f t="shared" si="1425"/>
        <v>525-2026000034</v>
      </c>
      <c r="B5330" s="6" t="str">
        <f t="shared" si="1416"/>
        <v>Lasa Int</v>
      </c>
      <c r="C5330" s="7">
        <v>46045</v>
      </c>
      <c r="D5330" s="7">
        <v>46108</v>
      </c>
      <c r="E5330" s="8">
        <v>4</v>
      </c>
      <c r="F5330" s="6" t="str">
        <f t="shared" si="1426"/>
        <v>Mellow</v>
      </c>
      <c r="G5330" s="6" t="str">
        <f t="shared" si="1427"/>
        <v>F310564855000000</v>
      </c>
      <c r="H5330" s="6" t="str">
        <f t="shared" si="1428"/>
        <v>PLAR 5648 V LN FD -</v>
      </c>
      <c r="I5330" s="6" t="str">
        <f>"200001"</f>
        <v>200001</v>
      </c>
      <c r="J5330" s="6" t="str">
        <f>"BRANCO"</f>
        <v>BRANCO</v>
      </c>
      <c r="K5330" s="6" t="str">
        <f>"1535"</f>
        <v>1535</v>
      </c>
      <c r="L5330" s="6" t="str">
        <f>"Toalhões"</f>
        <v>Toalhões</v>
      </c>
      <c r="M5330" s="6" t="str">
        <f>"70x140"</f>
        <v>70x140</v>
      </c>
      <c r="N5330" s="6" t="str">
        <f>"5602972515039"</f>
        <v>5602972515039</v>
      </c>
      <c r="O5330" s="8">
        <v>240</v>
      </c>
      <c r="P5330" s="7">
        <v>46086</v>
      </c>
      <c r="R5330" s="8">
        <v>0</v>
      </c>
      <c r="S5330" s="7">
        <v>46091</v>
      </c>
      <c r="U5330" s="8">
        <v>0</v>
      </c>
      <c r="V5330" s="7">
        <v>46094</v>
      </c>
      <c r="X5330" s="8">
        <v>0</v>
      </c>
      <c r="Z5330" s="8">
        <v>0</v>
      </c>
      <c r="AA5330" s="7">
        <v>46106</v>
      </c>
      <c r="AC5330" s="8">
        <v>0</v>
      </c>
      <c r="AE5330" s="7">
        <v>46108</v>
      </c>
      <c r="AF5330" s="8">
        <v>0</v>
      </c>
      <c r="AH5330" s="7">
        <v>46108</v>
      </c>
      <c r="AN5330" s="8">
        <v>0</v>
      </c>
      <c r="AO5330" s="8">
        <v>240</v>
      </c>
    </row>
    <row r="5331" spans="1:41" x14ac:dyDescent="0.25">
      <c r="A5331" s="6" t="str">
        <f t="shared" si="1425"/>
        <v>525-2026000034</v>
      </c>
      <c r="B5331" s="6" t="str">
        <f t="shared" si="1416"/>
        <v>Lasa Int</v>
      </c>
      <c r="C5331" s="7">
        <v>46045</v>
      </c>
      <c r="D5331" s="7">
        <v>46108</v>
      </c>
      <c r="E5331" s="8">
        <v>5</v>
      </c>
      <c r="F5331" s="6" t="str">
        <f t="shared" si="1426"/>
        <v>Mellow</v>
      </c>
      <c r="G5331" s="6" t="str">
        <f t="shared" si="1427"/>
        <v>F310564855000000</v>
      </c>
      <c r="H5331" s="6" t="str">
        <f t="shared" si="1428"/>
        <v>PLAR 5648 V LN FD -</v>
      </c>
      <c r="I5331" s="6" t="str">
        <f>"200001"</f>
        <v>200001</v>
      </c>
      <c r="J5331" s="6" t="str">
        <f>"BRANCO"</f>
        <v>BRANCO</v>
      </c>
      <c r="K5331" s="6" t="str">
        <f>"2020"</f>
        <v>2020</v>
      </c>
      <c r="L5331" s="6" t="str">
        <f>"Lençóis"</f>
        <v>Lençóis</v>
      </c>
      <c r="M5331" s="6" t="str">
        <f>"100x150"</f>
        <v>100x150</v>
      </c>
      <c r="N5331" s="6" t="str">
        <f>"5602972515046"</f>
        <v>5602972515046</v>
      </c>
      <c r="O5331" s="8">
        <v>160</v>
      </c>
      <c r="P5331" s="7">
        <v>46086</v>
      </c>
      <c r="R5331" s="8">
        <v>0</v>
      </c>
      <c r="S5331" s="7">
        <v>46091</v>
      </c>
      <c r="U5331" s="8">
        <v>0</v>
      </c>
      <c r="V5331" s="7">
        <v>46094</v>
      </c>
      <c r="X5331" s="8">
        <v>0</v>
      </c>
      <c r="Z5331" s="8">
        <v>0</v>
      </c>
      <c r="AA5331" s="7">
        <v>46106</v>
      </c>
      <c r="AC5331" s="8">
        <v>0</v>
      </c>
      <c r="AE5331" s="7">
        <v>46108</v>
      </c>
      <c r="AF5331" s="8">
        <v>0</v>
      </c>
      <c r="AH5331" s="7">
        <v>46108</v>
      </c>
      <c r="AN5331" s="8">
        <v>0</v>
      </c>
      <c r="AO5331" s="8">
        <v>160</v>
      </c>
    </row>
    <row r="5332" spans="1:41" x14ac:dyDescent="0.25">
      <c r="A5332" s="6" t="str">
        <f t="shared" si="1425"/>
        <v>525-2026000034</v>
      </c>
      <c r="B5332" s="6" t="str">
        <f t="shared" si="1416"/>
        <v>Lasa Int</v>
      </c>
      <c r="C5332" s="7">
        <v>46045</v>
      </c>
      <c r="D5332" s="7">
        <v>46108</v>
      </c>
      <c r="E5332" s="8">
        <v>6</v>
      </c>
      <c r="F5332" s="6" t="str">
        <f t="shared" si="1426"/>
        <v>Mellow</v>
      </c>
      <c r="G5332" s="6" t="str">
        <f t="shared" si="1427"/>
        <v>F310564855000000</v>
      </c>
      <c r="H5332" s="6" t="str">
        <f t="shared" si="1428"/>
        <v>PLAR 5648 V LN FD -</v>
      </c>
      <c r="I5332" s="6" t="str">
        <f>"203090"</f>
        <v>203090</v>
      </c>
      <c r="J5332" s="6" t="str">
        <f>"BEGE 3090"</f>
        <v>BEGE 3090</v>
      </c>
      <c r="K5332" s="6" t="str">
        <f>"0112"</f>
        <v>0112</v>
      </c>
      <c r="L5332" s="6" t="str">
        <f>"Luvas"</f>
        <v>Luvas</v>
      </c>
      <c r="M5332" s="6" t="str">
        <f>"16x21"</f>
        <v>16x21</v>
      </c>
      <c r="N5332" s="6" t="str">
        <f>"5602972515053"</f>
        <v>5602972515053</v>
      </c>
      <c r="O5332" s="8">
        <v>144</v>
      </c>
      <c r="P5332" s="7">
        <v>46086</v>
      </c>
      <c r="R5332" s="8">
        <v>0</v>
      </c>
      <c r="S5332" s="7">
        <v>46091</v>
      </c>
      <c r="U5332" s="8">
        <v>0</v>
      </c>
      <c r="V5332" s="7">
        <v>46094</v>
      </c>
      <c r="X5332" s="8">
        <v>0</v>
      </c>
      <c r="Z5332" s="8">
        <v>0</v>
      </c>
      <c r="AA5332" s="7">
        <v>46106</v>
      </c>
      <c r="AC5332" s="8">
        <v>0</v>
      </c>
      <c r="AE5332" s="7">
        <v>46108</v>
      </c>
      <c r="AF5332" s="8">
        <v>0</v>
      </c>
      <c r="AH5332" s="7">
        <v>46108</v>
      </c>
      <c r="AN5332" s="8">
        <v>0</v>
      </c>
      <c r="AO5332" s="8">
        <v>144</v>
      </c>
    </row>
    <row r="5333" spans="1:41" x14ac:dyDescent="0.25">
      <c r="A5333" s="6" t="str">
        <f t="shared" si="1425"/>
        <v>525-2026000034</v>
      </c>
      <c r="B5333" s="6" t="str">
        <f t="shared" si="1416"/>
        <v>Lasa Int</v>
      </c>
      <c r="C5333" s="7">
        <v>46045</v>
      </c>
      <c r="D5333" s="7">
        <v>46108</v>
      </c>
      <c r="E5333" s="8">
        <v>7</v>
      </c>
      <c r="F5333" s="6" t="str">
        <f t="shared" si="1426"/>
        <v>Mellow</v>
      </c>
      <c r="G5333" s="6" t="str">
        <f t="shared" si="1427"/>
        <v>F310564855000000</v>
      </c>
      <c r="H5333" s="6" t="str">
        <f t="shared" si="1428"/>
        <v>PLAR 5648 V LN FD -</v>
      </c>
      <c r="I5333" s="6" t="str">
        <f>"203090"</f>
        <v>203090</v>
      </c>
      <c r="J5333" s="6" t="str">
        <f>"BEGE 3090"</f>
        <v>BEGE 3090</v>
      </c>
      <c r="K5333" s="6" t="str">
        <f>"0530"</f>
        <v>0530</v>
      </c>
      <c r="L5333" s="6" t="str">
        <f>"Toalhetes"</f>
        <v>Toalhetes</v>
      </c>
      <c r="M5333" s="6" t="str">
        <f>"33x50"</f>
        <v>33x50</v>
      </c>
      <c r="N5333" s="6" t="str">
        <f>"5602972515060"</f>
        <v>5602972515060</v>
      </c>
      <c r="O5333" s="8">
        <v>240</v>
      </c>
      <c r="P5333" s="7">
        <v>46086</v>
      </c>
      <c r="R5333" s="8">
        <v>0</v>
      </c>
      <c r="S5333" s="7">
        <v>46091</v>
      </c>
      <c r="U5333" s="8">
        <v>0</v>
      </c>
      <c r="V5333" s="7">
        <v>46094</v>
      </c>
      <c r="X5333" s="8">
        <v>0</v>
      </c>
      <c r="Z5333" s="8">
        <v>0</v>
      </c>
      <c r="AA5333" s="7">
        <v>46106</v>
      </c>
      <c r="AC5333" s="8">
        <v>0</v>
      </c>
      <c r="AE5333" s="7">
        <v>46108</v>
      </c>
      <c r="AF5333" s="8">
        <v>0</v>
      </c>
      <c r="AH5333" s="7">
        <v>46108</v>
      </c>
      <c r="AN5333" s="8">
        <v>0</v>
      </c>
      <c r="AO5333" s="8">
        <v>240</v>
      </c>
    </row>
    <row r="5334" spans="1:41" x14ac:dyDescent="0.25">
      <c r="A5334" s="6" t="str">
        <f t="shared" si="1425"/>
        <v>525-2026000034</v>
      </c>
      <c r="B5334" s="6" t="str">
        <f t="shared" si="1416"/>
        <v>Lasa Int</v>
      </c>
      <c r="C5334" s="7">
        <v>46045</v>
      </c>
      <c r="D5334" s="7">
        <v>46108</v>
      </c>
      <c r="E5334" s="8">
        <v>8</v>
      </c>
      <c r="F5334" s="6" t="str">
        <f t="shared" si="1426"/>
        <v>Mellow</v>
      </c>
      <c r="G5334" s="6" t="str">
        <f t="shared" si="1427"/>
        <v>F310564855000000</v>
      </c>
      <c r="H5334" s="6" t="str">
        <f t="shared" si="1428"/>
        <v>PLAR 5648 V LN FD -</v>
      </c>
      <c r="I5334" s="6" t="str">
        <f>"203090"</f>
        <v>203090</v>
      </c>
      <c r="J5334" s="6" t="str">
        <f>"BEGE 3090"</f>
        <v>BEGE 3090</v>
      </c>
      <c r="K5334" s="6" t="str">
        <f>"1024"</f>
        <v>1024</v>
      </c>
      <c r="L5334" s="6" t="str">
        <f>"Toalhas"</f>
        <v>Toalhas</v>
      </c>
      <c r="M5334" s="6" t="str">
        <f>"50x100"</f>
        <v>50x100</v>
      </c>
      <c r="N5334" s="6" t="str">
        <f>"5602972515077"</f>
        <v>5602972515077</v>
      </c>
      <c r="O5334" s="8">
        <v>560</v>
      </c>
      <c r="P5334" s="7">
        <v>46086</v>
      </c>
      <c r="R5334" s="8">
        <v>0</v>
      </c>
      <c r="S5334" s="7">
        <v>46091</v>
      </c>
      <c r="U5334" s="8">
        <v>0</v>
      </c>
      <c r="V5334" s="7">
        <v>46094</v>
      </c>
      <c r="X5334" s="8">
        <v>0</v>
      </c>
      <c r="Z5334" s="8">
        <v>0</v>
      </c>
      <c r="AA5334" s="7">
        <v>46106</v>
      </c>
      <c r="AC5334" s="8">
        <v>0</v>
      </c>
      <c r="AE5334" s="7">
        <v>46108</v>
      </c>
      <c r="AF5334" s="8">
        <v>0</v>
      </c>
      <c r="AH5334" s="7">
        <v>46108</v>
      </c>
      <c r="AN5334" s="8">
        <v>0</v>
      </c>
      <c r="AO5334" s="8">
        <v>560</v>
      </c>
    </row>
    <row r="5335" spans="1:41" x14ac:dyDescent="0.25">
      <c r="A5335" s="6" t="str">
        <f t="shared" si="1425"/>
        <v>525-2026000034</v>
      </c>
      <c r="B5335" s="6" t="str">
        <f t="shared" si="1416"/>
        <v>Lasa Int</v>
      </c>
      <c r="C5335" s="7">
        <v>46045</v>
      </c>
      <c r="D5335" s="7">
        <v>46108</v>
      </c>
      <c r="E5335" s="8">
        <v>9</v>
      </c>
      <c r="F5335" s="6" t="str">
        <f t="shared" si="1426"/>
        <v>Mellow</v>
      </c>
      <c r="G5335" s="6" t="str">
        <f t="shared" si="1427"/>
        <v>F310564855000000</v>
      </c>
      <c r="H5335" s="6" t="str">
        <f t="shared" si="1428"/>
        <v>PLAR 5648 V LN FD -</v>
      </c>
      <c r="I5335" s="6" t="str">
        <f>"203090"</f>
        <v>203090</v>
      </c>
      <c r="J5335" s="6" t="str">
        <f>"BEGE 3090"</f>
        <v>BEGE 3090</v>
      </c>
      <c r="K5335" s="6" t="str">
        <f>"1535"</f>
        <v>1535</v>
      </c>
      <c r="L5335" s="6" t="str">
        <f>"Toalhões"</f>
        <v>Toalhões</v>
      </c>
      <c r="M5335" s="6" t="str">
        <f>"70x140"</f>
        <v>70x140</v>
      </c>
      <c r="N5335" s="6" t="str">
        <f>"5602972515084"</f>
        <v>5602972515084</v>
      </c>
      <c r="O5335" s="8">
        <v>280</v>
      </c>
      <c r="P5335" s="7">
        <v>46086</v>
      </c>
      <c r="R5335" s="8">
        <v>0</v>
      </c>
      <c r="S5335" s="7">
        <v>46091</v>
      </c>
      <c r="U5335" s="8">
        <v>0</v>
      </c>
      <c r="V5335" s="7">
        <v>46094</v>
      </c>
      <c r="X5335" s="8">
        <v>0</v>
      </c>
      <c r="Z5335" s="8">
        <v>0</v>
      </c>
      <c r="AA5335" s="7">
        <v>46106</v>
      </c>
      <c r="AC5335" s="8">
        <v>0</v>
      </c>
      <c r="AE5335" s="7">
        <v>46108</v>
      </c>
      <c r="AF5335" s="8">
        <v>0</v>
      </c>
      <c r="AH5335" s="7">
        <v>46108</v>
      </c>
      <c r="AN5335" s="8">
        <v>0</v>
      </c>
      <c r="AO5335" s="8">
        <v>280</v>
      </c>
    </row>
    <row r="5336" spans="1:41" x14ac:dyDescent="0.25">
      <c r="A5336" s="6" t="str">
        <f t="shared" si="1425"/>
        <v>525-2026000034</v>
      </c>
      <c r="B5336" s="6" t="str">
        <f t="shared" si="1416"/>
        <v>Lasa Int</v>
      </c>
      <c r="C5336" s="7">
        <v>46045</v>
      </c>
      <c r="D5336" s="7">
        <v>46108</v>
      </c>
      <c r="E5336" s="8">
        <v>10</v>
      </c>
      <c r="F5336" s="6" t="str">
        <f t="shared" si="1426"/>
        <v>Mellow</v>
      </c>
      <c r="G5336" s="6" t="str">
        <f t="shared" si="1427"/>
        <v>F310564855000000</v>
      </c>
      <c r="H5336" s="6" t="str">
        <f t="shared" si="1428"/>
        <v>PLAR 5648 V LN FD -</v>
      </c>
      <c r="I5336" s="6" t="str">
        <f>"203090"</f>
        <v>203090</v>
      </c>
      <c r="J5336" s="6" t="str">
        <f>"BEGE 3090"</f>
        <v>BEGE 3090</v>
      </c>
      <c r="K5336" s="6" t="str">
        <f>"2020"</f>
        <v>2020</v>
      </c>
      <c r="L5336" s="6" t="str">
        <f>"Lençóis"</f>
        <v>Lençóis</v>
      </c>
      <c r="M5336" s="6" t="str">
        <f>"100x150"</f>
        <v>100x150</v>
      </c>
      <c r="N5336" s="6" t="str">
        <f>"5602972515091"</f>
        <v>5602972515091</v>
      </c>
      <c r="O5336" s="8">
        <v>200</v>
      </c>
      <c r="P5336" s="7">
        <v>46086</v>
      </c>
      <c r="R5336" s="8">
        <v>0</v>
      </c>
      <c r="S5336" s="7">
        <v>46091</v>
      </c>
      <c r="U5336" s="8">
        <v>0</v>
      </c>
      <c r="V5336" s="7">
        <v>46094</v>
      </c>
      <c r="X5336" s="8">
        <v>0</v>
      </c>
      <c r="Z5336" s="8">
        <v>0</v>
      </c>
      <c r="AA5336" s="7">
        <v>46106</v>
      </c>
      <c r="AC5336" s="8">
        <v>0</v>
      </c>
      <c r="AE5336" s="7">
        <v>46108</v>
      </c>
      <c r="AF5336" s="8">
        <v>0</v>
      </c>
      <c r="AH5336" s="7">
        <v>46108</v>
      </c>
      <c r="AN5336" s="8">
        <v>0</v>
      </c>
      <c r="AO5336" s="8">
        <v>200</v>
      </c>
    </row>
    <row r="5337" spans="1:41" x14ac:dyDescent="0.25">
      <c r="A5337" s="6" t="str">
        <f t="shared" ref="A5337:A5349" si="1429">"525-2026000035"</f>
        <v>525-2026000035</v>
      </c>
      <c r="B5337" s="6" t="str">
        <f t="shared" ref="B5337:B5349" si="1430">"KLEINMAN"</f>
        <v>KLEINMAN</v>
      </c>
      <c r="C5337" s="7">
        <v>46045</v>
      </c>
      <c r="D5337" s="7">
        <v>46059</v>
      </c>
      <c r="E5337" s="8">
        <v>1</v>
      </c>
      <c r="F5337" s="6" t="str">
        <f t="shared" ref="F5337:F5349" si="1431">"Varios"</f>
        <v>Varios</v>
      </c>
      <c r="G5337" s="6" t="str">
        <f>"C001090426003109"</f>
        <v>C001090426003109</v>
      </c>
      <c r="H5337" s="6" t="str">
        <f>"CZJ 0904/3109 - 260"</f>
        <v>CZJ 0904/3109 - 260</v>
      </c>
      <c r="I5337" s="6" t="str">
        <f>"200532"</f>
        <v>200532</v>
      </c>
      <c r="J5337" s="6" t="str">
        <f>"VERDE 532"</f>
        <v>VERDE 532</v>
      </c>
      <c r="K5337" s="6" t="str">
        <f t="shared" ref="K5337:K5349" si="1432">"0830"</f>
        <v>0830</v>
      </c>
      <c r="L5337" s="6" t="str">
        <f t="shared" ref="L5337:L5349" si="1433">"Cozinha"</f>
        <v>Cozinha</v>
      </c>
      <c r="M5337" s="6" t="str">
        <f t="shared" ref="M5337:M5349" si="1434">"50x70"</f>
        <v>50x70</v>
      </c>
      <c r="N5337" s="6" t="str">
        <f>"5605247640535"</f>
        <v>5605247640535</v>
      </c>
      <c r="O5337" s="8">
        <v>60</v>
      </c>
      <c r="P5337" s="7">
        <v>46045</v>
      </c>
      <c r="R5337" s="8">
        <v>0</v>
      </c>
      <c r="U5337" s="8">
        <v>0</v>
      </c>
      <c r="X5337" s="8">
        <v>0</v>
      </c>
      <c r="Z5337" s="8">
        <v>0</v>
      </c>
      <c r="AC5337" s="8">
        <v>0</v>
      </c>
      <c r="AE5337" s="7">
        <v>46052</v>
      </c>
      <c r="AF5337" s="8">
        <v>0</v>
      </c>
      <c r="AH5337" s="7">
        <v>46059</v>
      </c>
      <c r="AN5337" s="8">
        <v>0</v>
      </c>
      <c r="AO5337" s="8">
        <v>60</v>
      </c>
    </row>
    <row r="5338" spans="1:41" x14ac:dyDescent="0.25">
      <c r="A5338" s="6" t="str">
        <f t="shared" si="1429"/>
        <v>525-2026000035</v>
      </c>
      <c r="B5338" s="6" t="str">
        <f t="shared" si="1430"/>
        <v>KLEINMAN</v>
      </c>
      <c r="C5338" s="7">
        <v>46045</v>
      </c>
      <c r="D5338" s="7">
        <v>46059</v>
      </c>
      <c r="E5338" s="8">
        <v>2</v>
      </c>
      <c r="F5338" s="6" t="str">
        <f t="shared" si="1431"/>
        <v>Varios</v>
      </c>
      <c r="G5338" s="6" t="str">
        <f>"C001090426003114"</f>
        <v>C001090426003114</v>
      </c>
      <c r="H5338" s="6" t="str">
        <f>"CZJ 0904/3114 - 260"</f>
        <v>CZJ 0904/3114 - 260</v>
      </c>
      <c r="I5338" s="6" t="str">
        <f>"200532"</f>
        <v>200532</v>
      </c>
      <c r="J5338" s="6" t="str">
        <f>"VERDE 532"</f>
        <v>VERDE 532</v>
      </c>
      <c r="K5338" s="6" t="str">
        <f t="shared" si="1432"/>
        <v>0830</v>
      </c>
      <c r="L5338" s="6" t="str">
        <f t="shared" si="1433"/>
        <v>Cozinha</v>
      </c>
      <c r="M5338" s="6" t="str">
        <f t="shared" si="1434"/>
        <v>50x70</v>
      </c>
      <c r="N5338" s="6" t="str">
        <f>"5605247640542"</f>
        <v>5605247640542</v>
      </c>
      <c r="O5338" s="8">
        <v>60</v>
      </c>
      <c r="P5338" s="7">
        <v>46045</v>
      </c>
      <c r="R5338" s="8">
        <v>0</v>
      </c>
      <c r="U5338" s="8">
        <v>0</v>
      </c>
      <c r="X5338" s="8">
        <v>0</v>
      </c>
      <c r="Z5338" s="8">
        <v>0</v>
      </c>
      <c r="AC5338" s="8">
        <v>0</v>
      </c>
      <c r="AE5338" s="7">
        <v>46052</v>
      </c>
      <c r="AF5338" s="8">
        <v>0</v>
      </c>
      <c r="AH5338" s="7">
        <v>46059</v>
      </c>
      <c r="AN5338" s="8">
        <v>0</v>
      </c>
      <c r="AO5338" s="8">
        <v>60</v>
      </c>
    </row>
    <row r="5339" spans="1:41" x14ac:dyDescent="0.25">
      <c r="A5339" s="6" t="str">
        <f t="shared" si="1429"/>
        <v>525-2026000035</v>
      </c>
      <c r="B5339" s="6" t="str">
        <f t="shared" si="1430"/>
        <v>KLEINMAN</v>
      </c>
      <c r="C5339" s="7">
        <v>46045</v>
      </c>
      <c r="D5339" s="7">
        <v>46059</v>
      </c>
      <c r="E5339" s="8">
        <v>3</v>
      </c>
      <c r="F5339" s="6" t="str">
        <f t="shared" si="1431"/>
        <v>Varios</v>
      </c>
      <c r="G5339" s="6" t="str">
        <f>"C001090426003729"</f>
        <v>C001090426003729</v>
      </c>
      <c r="H5339" s="6" t="str">
        <f>"CZJ 0904 / 3729 - 26"</f>
        <v>CZJ 0904 / 3729 - 26</v>
      </c>
      <c r="I5339" s="6" t="str">
        <f>"202206"</f>
        <v>202206</v>
      </c>
      <c r="J5339" s="6" t="str">
        <f>"CINZA 2206"</f>
        <v>CINZA 2206</v>
      </c>
      <c r="K5339" s="6" t="str">
        <f t="shared" si="1432"/>
        <v>0830</v>
      </c>
      <c r="L5339" s="6" t="str">
        <f t="shared" si="1433"/>
        <v>Cozinha</v>
      </c>
      <c r="M5339" s="6" t="str">
        <f t="shared" si="1434"/>
        <v>50x70</v>
      </c>
      <c r="N5339" s="6" t="str">
        <f>"5605247928930"</f>
        <v>5605247928930</v>
      </c>
      <c r="O5339" s="8">
        <v>48</v>
      </c>
      <c r="P5339" s="7">
        <v>46045</v>
      </c>
      <c r="R5339" s="8">
        <v>0</v>
      </c>
      <c r="U5339" s="8">
        <v>0</v>
      </c>
      <c r="X5339" s="8">
        <v>0</v>
      </c>
      <c r="Z5339" s="8">
        <v>0</v>
      </c>
      <c r="AC5339" s="8">
        <v>0</v>
      </c>
      <c r="AE5339" s="7">
        <v>46052</v>
      </c>
      <c r="AF5339" s="8">
        <v>0</v>
      </c>
      <c r="AH5339" s="7">
        <v>46059</v>
      </c>
      <c r="AN5339" s="8">
        <v>0</v>
      </c>
      <c r="AO5339" s="8">
        <v>48</v>
      </c>
    </row>
    <row r="5340" spans="1:41" x14ac:dyDescent="0.25">
      <c r="A5340" s="6" t="str">
        <f t="shared" si="1429"/>
        <v>525-2026000035</v>
      </c>
      <c r="B5340" s="6" t="str">
        <f t="shared" si="1430"/>
        <v>KLEINMAN</v>
      </c>
      <c r="C5340" s="7">
        <v>46045</v>
      </c>
      <c r="D5340" s="7">
        <v>46059</v>
      </c>
      <c r="E5340" s="8">
        <v>4</v>
      </c>
      <c r="F5340" s="6" t="str">
        <f t="shared" si="1431"/>
        <v>Varios</v>
      </c>
      <c r="G5340" s="6" t="str">
        <f>"C001090426003877"</f>
        <v>C001090426003877</v>
      </c>
      <c r="H5340" s="6" t="str">
        <f>"CZJ 0904 / 3877 - 26"</f>
        <v>CZJ 0904 / 3877 - 26</v>
      </c>
      <c r="I5340" s="6" t="str">
        <f>"200532"</f>
        <v>200532</v>
      </c>
      <c r="J5340" s="6" t="str">
        <f>"VERDE 532"</f>
        <v>VERDE 532</v>
      </c>
      <c r="K5340" s="6" t="str">
        <f t="shared" si="1432"/>
        <v>0830</v>
      </c>
      <c r="L5340" s="6" t="str">
        <f t="shared" si="1433"/>
        <v>Cozinha</v>
      </c>
      <c r="M5340" s="6" t="str">
        <f t="shared" si="1434"/>
        <v>50x70</v>
      </c>
      <c r="N5340" s="6" t="str">
        <f>"5605247929609"</f>
        <v>5605247929609</v>
      </c>
      <c r="O5340" s="8">
        <v>60</v>
      </c>
      <c r="P5340" s="7">
        <v>46045</v>
      </c>
      <c r="R5340" s="8">
        <v>0</v>
      </c>
      <c r="U5340" s="8">
        <v>0</v>
      </c>
      <c r="X5340" s="8">
        <v>0</v>
      </c>
      <c r="Z5340" s="8">
        <v>0</v>
      </c>
      <c r="AC5340" s="8">
        <v>0</v>
      </c>
      <c r="AE5340" s="7">
        <v>46052</v>
      </c>
      <c r="AF5340" s="8">
        <v>0</v>
      </c>
      <c r="AH5340" s="7">
        <v>46059</v>
      </c>
      <c r="AN5340" s="8">
        <v>0</v>
      </c>
      <c r="AO5340" s="8">
        <v>60</v>
      </c>
    </row>
    <row r="5341" spans="1:41" x14ac:dyDescent="0.25">
      <c r="A5341" s="6" t="str">
        <f t="shared" si="1429"/>
        <v>525-2026000035</v>
      </c>
      <c r="B5341" s="6" t="str">
        <f t="shared" si="1430"/>
        <v>KLEINMAN</v>
      </c>
      <c r="C5341" s="7">
        <v>46045</v>
      </c>
      <c r="D5341" s="7">
        <v>46059</v>
      </c>
      <c r="E5341" s="8">
        <v>5</v>
      </c>
      <c r="F5341" s="6" t="str">
        <f t="shared" si="1431"/>
        <v>Varios</v>
      </c>
      <c r="G5341" s="6" t="str">
        <f>"C001090426004073"</f>
        <v>C001090426004073</v>
      </c>
      <c r="H5341" s="6" t="str">
        <f>"CZJ 0904 / 4073 - 26"</f>
        <v>CZJ 0904 / 4073 - 26</v>
      </c>
      <c r="I5341" s="6" t="str">
        <f>"202206"</f>
        <v>202206</v>
      </c>
      <c r="J5341" s="6" t="str">
        <f>"CINZA 2206"</f>
        <v>CINZA 2206</v>
      </c>
      <c r="K5341" s="6" t="str">
        <f t="shared" si="1432"/>
        <v>0830</v>
      </c>
      <c r="L5341" s="6" t="str">
        <f t="shared" si="1433"/>
        <v>Cozinha</v>
      </c>
      <c r="M5341" s="6" t="str">
        <f t="shared" si="1434"/>
        <v>50x70</v>
      </c>
      <c r="N5341" s="6" t="str">
        <f>"5605247933590"</f>
        <v>5605247933590</v>
      </c>
      <c r="O5341" s="8">
        <v>84</v>
      </c>
      <c r="P5341" s="7">
        <v>46045</v>
      </c>
      <c r="R5341" s="8">
        <v>0</v>
      </c>
      <c r="U5341" s="8">
        <v>0</v>
      </c>
      <c r="X5341" s="8">
        <v>0</v>
      </c>
      <c r="Z5341" s="8">
        <v>0</v>
      </c>
      <c r="AC5341" s="8">
        <v>0</v>
      </c>
      <c r="AE5341" s="7">
        <v>46052</v>
      </c>
      <c r="AF5341" s="8">
        <v>0</v>
      </c>
      <c r="AH5341" s="7">
        <v>46059</v>
      </c>
      <c r="AN5341" s="8">
        <v>0</v>
      </c>
      <c r="AO5341" s="8">
        <v>84</v>
      </c>
    </row>
    <row r="5342" spans="1:41" x14ac:dyDescent="0.25">
      <c r="A5342" s="6" t="str">
        <f t="shared" si="1429"/>
        <v>525-2026000035</v>
      </c>
      <c r="B5342" s="6" t="str">
        <f t="shared" si="1430"/>
        <v>KLEINMAN</v>
      </c>
      <c r="C5342" s="7">
        <v>46045</v>
      </c>
      <c r="D5342" s="7">
        <v>46059</v>
      </c>
      <c r="E5342" s="8">
        <v>6</v>
      </c>
      <c r="F5342" s="6" t="str">
        <f t="shared" si="1431"/>
        <v>Varios</v>
      </c>
      <c r="G5342" s="6" t="str">
        <f>"C001090426004090"</f>
        <v>C001090426004090</v>
      </c>
      <c r="H5342" s="6" t="str">
        <f>"CZJ 0904 / 4090 - 26"</f>
        <v>CZJ 0904 / 4090 - 26</v>
      </c>
      <c r="I5342" s="6" t="str">
        <f>"200532"</f>
        <v>200532</v>
      </c>
      <c r="J5342" s="6" t="str">
        <f>"VERDE 532"</f>
        <v>VERDE 532</v>
      </c>
      <c r="K5342" s="6" t="str">
        <f t="shared" si="1432"/>
        <v>0830</v>
      </c>
      <c r="L5342" s="6" t="str">
        <f t="shared" si="1433"/>
        <v>Cozinha</v>
      </c>
      <c r="M5342" s="6" t="str">
        <f t="shared" si="1434"/>
        <v>50x70</v>
      </c>
      <c r="N5342" s="6" t="str">
        <f>"5605247933576"</f>
        <v>5605247933576</v>
      </c>
      <c r="O5342" s="8">
        <v>60</v>
      </c>
      <c r="P5342" s="7">
        <v>46045</v>
      </c>
      <c r="R5342" s="8">
        <v>0</v>
      </c>
      <c r="U5342" s="8">
        <v>0</v>
      </c>
      <c r="X5342" s="8">
        <v>0</v>
      </c>
      <c r="Z5342" s="8">
        <v>0</v>
      </c>
      <c r="AC5342" s="8">
        <v>0</v>
      </c>
      <c r="AE5342" s="7">
        <v>46052</v>
      </c>
      <c r="AF5342" s="8">
        <v>0</v>
      </c>
      <c r="AH5342" s="7">
        <v>46059</v>
      </c>
      <c r="AN5342" s="8">
        <v>0</v>
      </c>
      <c r="AO5342" s="8">
        <v>60</v>
      </c>
    </row>
    <row r="5343" spans="1:41" x14ac:dyDescent="0.25">
      <c r="A5343" s="6" t="str">
        <f t="shared" si="1429"/>
        <v>525-2026000035</v>
      </c>
      <c r="B5343" s="6" t="str">
        <f t="shared" si="1430"/>
        <v>KLEINMAN</v>
      </c>
      <c r="C5343" s="7">
        <v>46045</v>
      </c>
      <c r="D5343" s="7">
        <v>46059</v>
      </c>
      <c r="E5343" s="8">
        <v>7</v>
      </c>
      <c r="F5343" s="6" t="str">
        <f t="shared" si="1431"/>
        <v>Varios</v>
      </c>
      <c r="G5343" s="6" t="str">
        <f>"C001090426004306"</f>
        <v>C001090426004306</v>
      </c>
      <c r="H5343" s="6" t="str">
        <f>"CZJ 0904 / 4306 - 26"</f>
        <v>CZJ 0904 / 4306 - 26</v>
      </c>
      <c r="I5343" s="6" t="str">
        <f>"200532"</f>
        <v>200532</v>
      </c>
      <c r="J5343" s="6" t="str">
        <f>"VERDE 532"</f>
        <v>VERDE 532</v>
      </c>
      <c r="K5343" s="6" t="str">
        <f t="shared" si="1432"/>
        <v>0830</v>
      </c>
      <c r="L5343" s="6" t="str">
        <f t="shared" si="1433"/>
        <v>Cozinha</v>
      </c>
      <c r="M5343" s="6" t="str">
        <f t="shared" si="1434"/>
        <v>50x70</v>
      </c>
      <c r="N5343" s="6" t="str">
        <f>"5605247936096"</f>
        <v>5605247936096</v>
      </c>
      <c r="O5343" s="8">
        <v>96</v>
      </c>
      <c r="P5343" s="7">
        <v>46045</v>
      </c>
      <c r="R5343" s="8">
        <v>0</v>
      </c>
      <c r="U5343" s="8">
        <v>0</v>
      </c>
      <c r="X5343" s="8">
        <v>0</v>
      </c>
      <c r="Z5343" s="8">
        <v>0</v>
      </c>
      <c r="AC5343" s="8">
        <v>0</v>
      </c>
      <c r="AE5343" s="7">
        <v>46052</v>
      </c>
      <c r="AF5343" s="8">
        <v>0</v>
      </c>
      <c r="AH5343" s="7">
        <v>46059</v>
      </c>
      <c r="AN5343" s="8">
        <v>0</v>
      </c>
      <c r="AO5343" s="8">
        <v>96</v>
      </c>
    </row>
    <row r="5344" spans="1:41" x14ac:dyDescent="0.25">
      <c r="A5344" s="6" t="str">
        <f t="shared" si="1429"/>
        <v>525-2026000035</v>
      </c>
      <c r="B5344" s="6" t="str">
        <f t="shared" si="1430"/>
        <v>KLEINMAN</v>
      </c>
      <c r="C5344" s="7">
        <v>46045</v>
      </c>
      <c r="D5344" s="7">
        <v>46059</v>
      </c>
      <c r="E5344" s="8">
        <v>8</v>
      </c>
      <c r="F5344" s="6" t="str">
        <f t="shared" si="1431"/>
        <v>Varios</v>
      </c>
      <c r="G5344" s="6" t="str">
        <f>"C001090426004307"</f>
        <v>C001090426004307</v>
      </c>
      <c r="H5344" s="6" t="str">
        <f>"CZJ 0904 / 4307 - 26"</f>
        <v>CZJ 0904 / 4307 - 26</v>
      </c>
      <c r="I5344" s="6" t="str">
        <f>"200498"</f>
        <v>200498</v>
      </c>
      <c r="J5344" s="6" t="str">
        <f>"VERMELHO 498"</f>
        <v>VERMELHO 498</v>
      </c>
      <c r="K5344" s="6" t="str">
        <f t="shared" si="1432"/>
        <v>0830</v>
      </c>
      <c r="L5344" s="6" t="str">
        <f t="shared" si="1433"/>
        <v>Cozinha</v>
      </c>
      <c r="M5344" s="6" t="str">
        <f t="shared" si="1434"/>
        <v>50x70</v>
      </c>
      <c r="N5344" s="6" t="str">
        <f>"5605247936072"</f>
        <v>5605247936072</v>
      </c>
      <c r="O5344" s="8">
        <v>96</v>
      </c>
      <c r="P5344" s="7">
        <v>46045</v>
      </c>
      <c r="R5344" s="8">
        <v>0</v>
      </c>
      <c r="U5344" s="8">
        <v>0</v>
      </c>
      <c r="X5344" s="8">
        <v>0</v>
      </c>
      <c r="Z5344" s="8">
        <v>0</v>
      </c>
      <c r="AC5344" s="8">
        <v>0</v>
      </c>
      <c r="AE5344" s="7">
        <v>46052</v>
      </c>
      <c r="AF5344" s="8">
        <v>0</v>
      </c>
      <c r="AH5344" s="7">
        <v>46059</v>
      </c>
      <c r="AN5344" s="8">
        <v>0</v>
      </c>
      <c r="AO5344" s="8">
        <v>96</v>
      </c>
    </row>
    <row r="5345" spans="1:41" x14ac:dyDescent="0.25">
      <c r="A5345" s="6" t="str">
        <f t="shared" si="1429"/>
        <v>525-2026000035</v>
      </c>
      <c r="B5345" s="6" t="str">
        <f t="shared" si="1430"/>
        <v>KLEINMAN</v>
      </c>
      <c r="C5345" s="7">
        <v>46045</v>
      </c>
      <c r="D5345" s="7">
        <v>46059</v>
      </c>
      <c r="E5345" s="8">
        <v>9</v>
      </c>
      <c r="F5345" s="6" t="str">
        <f t="shared" si="1431"/>
        <v>Varios</v>
      </c>
      <c r="G5345" s="6" t="str">
        <f>"C001090426004308"</f>
        <v>C001090426004308</v>
      </c>
      <c r="H5345" s="6" t="str">
        <f>"CZJ 0904 / 4308 - 26"</f>
        <v>CZJ 0904 / 4308 - 26</v>
      </c>
      <c r="I5345" s="6" t="str">
        <f>"200532"</f>
        <v>200532</v>
      </c>
      <c r="J5345" s="6" t="str">
        <f>"VERDE 532"</f>
        <v>VERDE 532</v>
      </c>
      <c r="K5345" s="6" t="str">
        <f t="shared" si="1432"/>
        <v>0830</v>
      </c>
      <c r="L5345" s="6" t="str">
        <f t="shared" si="1433"/>
        <v>Cozinha</v>
      </c>
      <c r="M5345" s="6" t="str">
        <f t="shared" si="1434"/>
        <v>50x70</v>
      </c>
      <c r="N5345" s="6" t="str">
        <f>"5605247936102"</f>
        <v>5605247936102</v>
      </c>
      <c r="O5345" s="8">
        <v>72</v>
      </c>
      <c r="P5345" s="7">
        <v>46045</v>
      </c>
      <c r="R5345" s="8">
        <v>0</v>
      </c>
      <c r="U5345" s="8">
        <v>0</v>
      </c>
      <c r="X5345" s="8">
        <v>0</v>
      </c>
      <c r="Z5345" s="8">
        <v>0</v>
      </c>
      <c r="AC5345" s="8">
        <v>0</v>
      </c>
      <c r="AE5345" s="7">
        <v>46052</v>
      </c>
      <c r="AF5345" s="8">
        <v>0</v>
      </c>
      <c r="AH5345" s="7">
        <v>46059</v>
      </c>
      <c r="AN5345" s="8">
        <v>0</v>
      </c>
      <c r="AO5345" s="8">
        <v>72</v>
      </c>
    </row>
    <row r="5346" spans="1:41" x14ac:dyDescent="0.25">
      <c r="A5346" s="6" t="str">
        <f t="shared" si="1429"/>
        <v>525-2026000035</v>
      </c>
      <c r="B5346" s="6" t="str">
        <f t="shared" si="1430"/>
        <v>KLEINMAN</v>
      </c>
      <c r="C5346" s="7">
        <v>46045</v>
      </c>
      <c r="D5346" s="7">
        <v>46059</v>
      </c>
      <c r="E5346" s="8">
        <v>10</v>
      </c>
      <c r="F5346" s="6" t="str">
        <f t="shared" si="1431"/>
        <v>Varios</v>
      </c>
      <c r="G5346" s="6" t="str">
        <f>"C001090426004687"</f>
        <v>C001090426004687</v>
      </c>
      <c r="H5346" s="6" t="str">
        <f>"CZJ 0904 / 4687 - Pá"</f>
        <v>CZJ 0904 / 4687 - Pá</v>
      </c>
      <c r="I5346" s="6" t="str">
        <f>"201013"</f>
        <v>201013</v>
      </c>
      <c r="J5346" s="6" t="str">
        <f>"AZUL 1013"</f>
        <v>AZUL 1013</v>
      </c>
      <c r="K5346" s="6" t="str">
        <f t="shared" si="1432"/>
        <v>0830</v>
      </c>
      <c r="L5346" s="6" t="str">
        <f t="shared" si="1433"/>
        <v>Cozinha</v>
      </c>
      <c r="M5346" s="6" t="str">
        <f t="shared" si="1434"/>
        <v>50x70</v>
      </c>
      <c r="N5346" s="6" t="str">
        <f>"5605247942868"</f>
        <v>5605247942868</v>
      </c>
      <c r="O5346" s="8">
        <v>96</v>
      </c>
      <c r="P5346" s="7">
        <v>46045</v>
      </c>
      <c r="R5346" s="8">
        <v>0</v>
      </c>
      <c r="U5346" s="8">
        <v>0</v>
      </c>
      <c r="X5346" s="8">
        <v>0</v>
      </c>
      <c r="Z5346" s="8">
        <v>0</v>
      </c>
      <c r="AC5346" s="8">
        <v>0</v>
      </c>
      <c r="AE5346" s="7">
        <v>46052</v>
      </c>
      <c r="AF5346" s="8">
        <v>0</v>
      </c>
      <c r="AH5346" s="7">
        <v>46059</v>
      </c>
      <c r="AN5346" s="8">
        <v>0</v>
      </c>
      <c r="AO5346" s="8">
        <v>96</v>
      </c>
    </row>
    <row r="5347" spans="1:41" x14ac:dyDescent="0.25">
      <c r="A5347" s="6" t="str">
        <f t="shared" si="1429"/>
        <v>525-2026000035</v>
      </c>
      <c r="B5347" s="6" t="str">
        <f t="shared" si="1430"/>
        <v>KLEINMAN</v>
      </c>
      <c r="C5347" s="7">
        <v>46045</v>
      </c>
      <c r="D5347" s="7">
        <v>46059</v>
      </c>
      <c r="E5347" s="8">
        <v>11</v>
      </c>
      <c r="F5347" s="6" t="str">
        <f t="shared" si="1431"/>
        <v>Varios</v>
      </c>
      <c r="G5347" s="6" t="str">
        <f>"C001090426004938"</f>
        <v>C001090426004938</v>
      </c>
      <c r="H5347" s="6" t="str">
        <f>"CZJ 0904 / 4938 - 26"</f>
        <v>CZJ 0904 / 4938 - 26</v>
      </c>
      <c r="I5347" s="6" t="str">
        <f>"200498"</f>
        <v>200498</v>
      </c>
      <c r="J5347" s="6" t="str">
        <f>"VERMELHO 498"</f>
        <v>VERMELHO 498</v>
      </c>
      <c r="K5347" s="6" t="str">
        <f t="shared" si="1432"/>
        <v>0830</v>
      </c>
      <c r="L5347" s="6" t="str">
        <f t="shared" si="1433"/>
        <v>Cozinha</v>
      </c>
      <c r="M5347" s="6" t="str">
        <f t="shared" si="1434"/>
        <v>50x70</v>
      </c>
      <c r="N5347" s="6" t="str">
        <f>"5605247944459"</f>
        <v>5605247944459</v>
      </c>
      <c r="O5347" s="8">
        <v>96</v>
      </c>
      <c r="P5347" s="7">
        <v>46045</v>
      </c>
      <c r="R5347" s="8">
        <v>0</v>
      </c>
      <c r="U5347" s="8">
        <v>0</v>
      </c>
      <c r="X5347" s="8">
        <v>0</v>
      </c>
      <c r="Z5347" s="8">
        <v>0</v>
      </c>
      <c r="AC5347" s="8">
        <v>0</v>
      </c>
      <c r="AE5347" s="7">
        <v>46052</v>
      </c>
      <c r="AF5347" s="8">
        <v>0</v>
      </c>
      <c r="AH5347" s="7">
        <v>46059</v>
      </c>
      <c r="AN5347" s="8">
        <v>0</v>
      </c>
      <c r="AO5347" s="8">
        <v>96</v>
      </c>
    </row>
    <row r="5348" spans="1:41" x14ac:dyDescent="0.25">
      <c r="A5348" s="6" t="str">
        <f t="shared" si="1429"/>
        <v>525-2026000035</v>
      </c>
      <c r="B5348" s="6" t="str">
        <f t="shared" si="1430"/>
        <v>KLEINMAN</v>
      </c>
      <c r="C5348" s="7">
        <v>46045</v>
      </c>
      <c r="D5348" s="7">
        <v>46059</v>
      </c>
      <c r="E5348" s="8">
        <v>12</v>
      </c>
      <c r="F5348" s="6" t="str">
        <f t="shared" si="1431"/>
        <v>Varios</v>
      </c>
      <c r="G5348" s="6" t="str">
        <f>"C001090426005726"</f>
        <v>C001090426005726</v>
      </c>
      <c r="H5348" s="6" t="str">
        <f>"CZJ 0904/5726 - 260"</f>
        <v>CZJ 0904/5726 - 260</v>
      </c>
      <c r="I5348" s="6" t="str">
        <f>"200498"</f>
        <v>200498</v>
      </c>
      <c r="J5348" s="6" t="str">
        <f>"VERMELHO 498"</f>
        <v>VERMELHO 498</v>
      </c>
      <c r="K5348" s="6" t="str">
        <f t="shared" si="1432"/>
        <v>0830</v>
      </c>
      <c r="L5348" s="6" t="str">
        <f t="shared" si="1433"/>
        <v>Cozinha</v>
      </c>
      <c r="M5348" s="6" t="str">
        <f t="shared" si="1434"/>
        <v>50x70</v>
      </c>
      <c r="N5348" s="6" t="str">
        <f>"5605247643598"</f>
        <v>5605247643598</v>
      </c>
      <c r="O5348" s="8">
        <v>96</v>
      </c>
      <c r="P5348" s="7">
        <v>46045</v>
      </c>
      <c r="R5348" s="8">
        <v>0</v>
      </c>
      <c r="U5348" s="8">
        <v>0</v>
      </c>
      <c r="X5348" s="8">
        <v>0</v>
      </c>
      <c r="Z5348" s="8">
        <v>0</v>
      </c>
      <c r="AC5348" s="8">
        <v>0</v>
      </c>
      <c r="AE5348" s="7">
        <v>46052</v>
      </c>
      <c r="AF5348" s="8">
        <v>0</v>
      </c>
      <c r="AH5348" s="7">
        <v>46059</v>
      </c>
      <c r="AN5348" s="8">
        <v>0</v>
      </c>
      <c r="AO5348" s="8">
        <v>96</v>
      </c>
    </row>
    <row r="5349" spans="1:41" x14ac:dyDescent="0.25">
      <c r="A5349" s="6" t="str">
        <f t="shared" si="1429"/>
        <v>525-2026000035</v>
      </c>
      <c r="B5349" s="6" t="str">
        <f t="shared" si="1430"/>
        <v>KLEINMAN</v>
      </c>
      <c r="C5349" s="7">
        <v>46045</v>
      </c>
      <c r="D5349" s="7">
        <v>46059</v>
      </c>
      <c r="E5349" s="8">
        <v>13</v>
      </c>
      <c r="F5349" s="6" t="str">
        <f t="shared" si="1431"/>
        <v>Varios</v>
      </c>
      <c r="G5349" s="6" t="str">
        <f>"C001090426005732"</f>
        <v>C001090426005732</v>
      </c>
      <c r="H5349" s="6" t="str">
        <f>"CZJ 0904/5732 - 260"</f>
        <v>CZJ 0904/5732 - 260</v>
      </c>
      <c r="I5349" s="6" t="str">
        <f>"202206"</f>
        <v>202206</v>
      </c>
      <c r="J5349" s="6" t="str">
        <f>"CINZA 2206"</f>
        <v>CINZA 2206</v>
      </c>
      <c r="K5349" s="6" t="str">
        <f t="shared" si="1432"/>
        <v>0830</v>
      </c>
      <c r="L5349" s="6" t="str">
        <f t="shared" si="1433"/>
        <v>Cozinha</v>
      </c>
      <c r="M5349" s="6" t="str">
        <f t="shared" si="1434"/>
        <v>50x70</v>
      </c>
      <c r="N5349" s="6" t="str">
        <f>"5605247643581"</f>
        <v>5605247643581</v>
      </c>
      <c r="O5349" s="8">
        <v>60</v>
      </c>
      <c r="P5349" s="7">
        <v>46045</v>
      </c>
      <c r="R5349" s="8">
        <v>0</v>
      </c>
      <c r="U5349" s="8">
        <v>0</v>
      </c>
      <c r="X5349" s="8">
        <v>0</v>
      </c>
      <c r="Z5349" s="8">
        <v>0</v>
      </c>
      <c r="AC5349" s="8">
        <v>0</v>
      </c>
      <c r="AE5349" s="7">
        <v>46052</v>
      </c>
      <c r="AF5349" s="8">
        <v>0</v>
      </c>
      <c r="AH5349" s="7">
        <v>46059</v>
      </c>
      <c r="AN5349" s="8">
        <v>0</v>
      </c>
      <c r="AO5349" s="8">
        <v>60</v>
      </c>
    </row>
    <row r="5350" spans="1:41" x14ac:dyDescent="0.25">
      <c r="A5350" s="6" t="str">
        <f>"525-2026000036"</f>
        <v>525-2026000036</v>
      </c>
      <c r="B5350" s="6" t="str">
        <f>"Lasa Int"</f>
        <v>Lasa Int</v>
      </c>
      <c r="C5350" s="7">
        <v>46045</v>
      </c>
      <c r="D5350" s="7">
        <v>46045</v>
      </c>
      <c r="E5350" s="8">
        <v>1</v>
      </c>
      <c r="F5350" s="6" t="str">
        <f>"Desglosse"</f>
        <v>Desglosse</v>
      </c>
      <c r="G5350" s="6" t="str">
        <f>"F900000399900010"</f>
        <v>F900000399900010</v>
      </c>
      <c r="H5350" s="6" t="str">
        <f>"Felpo Diverso Liso -"</f>
        <v>Felpo Diverso Liso -</v>
      </c>
      <c r="I5350" s="6" t="str">
        <f>"300001"</f>
        <v>300001</v>
      </c>
      <c r="J5350" s="6" t="str">
        <f>"SORTIDAS 1"</f>
        <v>SORTIDAS 1</v>
      </c>
      <c r="K5350" s="6" t="str">
        <f>"1535"</f>
        <v>1535</v>
      </c>
      <c r="L5350" s="6" t="str">
        <f>"Toalhões"</f>
        <v>Toalhões</v>
      </c>
      <c r="M5350" s="6" t="str">
        <f>"70x140"</f>
        <v>70x140</v>
      </c>
      <c r="N5350" s="6" t="str">
        <f>"5602972932669"</f>
        <v>5602972932669</v>
      </c>
      <c r="O5350" s="8">
        <v>120</v>
      </c>
      <c r="R5350" s="8">
        <v>0</v>
      </c>
      <c r="U5350" s="8">
        <v>0</v>
      </c>
      <c r="X5350" s="8">
        <v>0</v>
      </c>
      <c r="Z5350" s="8">
        <v>0</v>
      </c>
      <c r="AC5350" s="8">
        <v>156</v>
      </c>
      <c r="AF5350" s="8">
        <v>156</v>
      </c>
      <c r="AN5350" s="8">
        <v>156</v>
      </c>
      <c r="AO5350" s="8">
        <v>-36</v>
      </c>
    </row>
    <row r="5351" spans="1:41" x14ac:dyDescent="0.25">
      <c r="A5351" s="6" t="str">
        <f>"525-2026000037"</f>
        <v>525-2026000037</v>
      </c>
      <c r="B5351" s="6" t="str">
        <f>"KLEINMAN"</f>
        <v>KLEINMAN</v>
      </c>
      <c r="C5351" s="7">
        <v>46048</v>
      </c>
      <c r="D5351" s="7">
        <v>46122</v>
      </c>
      <c r="E5351" s="8">
        <v>1</v>
      </c>
      <c r="F5351" s="6" t="str">
        <f>"Favo"</f>
        <v>Favo</v>
      </c>
      <c r="G5351" s="6" t="str">
        <f>"C001090426000000"</f>
        <v>C001090426000000</v>
      </c>
      <c r="H5351" s="6" t="str">
        <f>"CZJ 0904 - 260 gr/m²"</f>
        <v>CZJ 0904 - 260 gr/m²</v>
      </c>
      <c r="I5351" s="6" t="str">
        <f>"202206"</f>
        <v>202206</v>
      </c>
      <c r="J5351" s="6" t="str">
        <f>"CINZA 2206"</f>
        <v>CINZA 2206</v>
      </c>
      <c r="K5351" s="6" t="str">
        <f>"0830"</f>
        <v>0830</v>
      </c>
      <c r="L5351" s="6" t="str">
        <f>"Cozinha"</f>
        <v>Cozinha</v>
      </c>
      <c r="M5351" s="6" t="str">
        <f>"50x70"</f>
        <v>50x70</v>
      </c>
      <c r="N5351" s="6" t="str">
        <f>"5605247642348"</f>
        <v>5605247642348</v>
      </c>
      <c r="O5351" s="8">
        <v>3000</v>
      </c>
      <c r="P5351" s="7">
        <v>46099</v>
      </c>
      <c r="R5351" s="8">
        <v>0</v>
      </c>
      <c r="S5351" s="7">
        <v>46104</v>
      </c>
      <c r="U5351" s="8">
        <v>0</v>
      </c>
      <c r="V5351" s="7">
        <v>46107</v>
      </c>
      <c r="X5351" s="8">
        <v>0</v>
      </c>
      <c r="Z5351" s="8">
        <v>0</v>
      </c>
      <c r="AA5351" s="7">
        <v>46120</v>
      </c>
      <c r="AC5351" s="8">
        <v>0</v>
      </c>
      <c r="AE5351" s="7">
        <v>46122</v>
      </c>
      <c r="AF5351" s="8">
        <v>0</v>
      </c>
      <c r="AH5351" s="7">
        <v>46122</v>
      </c>
      <c r="AN5351" s="8">
        <v>0</v>
      </c>
      <c r="AO5351" s="8">
        <v>3000</v>
      </c>
    </row>
    <row r="5352" spans="1:41" x14ac:dyDescent="0.25">
      <c r="A5352" s="6" t="str">
        <f t="shared" ref="A5352:A5362" si="1435">"525-2026000038"</f>
        <v>525-2026000038</v>
      </c>
      <c r="B5352" s="6" t="str">
        <f t="shared" ref="B5352:B5378" si="1436">"Lasa Int"</f>
        <v>Lasa Int</v>
      </c>
      <c r="C5352" s="7">
        <v>46048</v>
      </c>
      <c r="D5352" s="7">
        <v>46108</v>
      </c>
      <c r="E5352" s="8">
        <v>1</v>
      </c>
      <c r="F5352" s="6" t="str">
        <f t="shared" ref="F5352:F5375" si="1437">"PURE R"</f>
        <v>PURE R</v>
      </c>
      <c r="G5352" s="6" t="str">
        <f t="shared" ref="G5352:G5357" si="1438">"R010000635000000"</f>
        <v>R010000635000000</v>
      </c>
      <c r="H5352" s="6" t="str">
        <f t="shared" ref="H5352:H5357" si="1439">"Alexis Cotoral Pure"</f>
        <v>Alexis Cotoral Pure</v>
      </c>
      <c r="I5352" s="6" t="str">
        <f t="shared" ref="I5352:I5362" si="1440">"3234"</f>
        <v>3234</v>
      </c>
      <c r="J5352" s="6" t="str">
        <f t="shared" ref="J5352:J5362" si="1441">"CASTANHO 3234"</f>
        <v>CASTANHO 3234</v>
      </c>
      <c r="K5352" s="6" t="str">
        <f>"5002"</f>
        <v>5002</v>
      </c>
      <c r="L5352" s="6" t="str">
        <f t="shared" ref="L5352:L5377" si="1442">"Roupões Adulto"</f>
        <v>Roupões Adulto</v>
      </c>
      <c r="M5352" s="6" t="str">
        <f>"S"</f>
        <v>S</v>
      </c>
      <c r="N5352" s="6" t="str">
        <f>"5602972896671"</f>
        <v>5602972896671</v>
      </c>
      <c r="O5352" s="8">
        <v>48</v>
      </c>
      <c r="P5352" s="7">
        <v>46048</v>
      </c>
      <c r="R5352" s="8">
        <v>0</v>
      </c>
      <c r="S5352" s="7">
        <v>46051</v>
      </c>
      <c r="U5352" s="8">
        <v>1620</v>
      </c>
      <c r="V5352" s="7">
        <v>46062</v>
      </c>
      <c r="X5352" s="8">
        <v>0</v>
      </c>
      <c r="Z5352" s="8">
        <v>0</v>
      </c>
      <c r="AA5352" s="7">
        <v>46076</v>
      </c>
      <c r="AC5352" s="8">
        <v>0</v>
      </c>
      <c r="AE5352" s="7">
        <v>46108</v>
      </c>
      <c r="AF5352" s="8">
        <v>0</v>
      </c>
      <c r="AH5352" s="7">
        <v>46108</v>
      </c>
      <c r="AI5352" s="7">
        <v>46106</v>
      </c>
      <c r="AN5352" s="8">
        <v>0</v>
      </c>
      <c r="AO5352" s="8">
        <v>48</v>
      </c>
    </row>
    <row r="5353" spans="1:41" x14ac:dyDescent="0.25">
      <c r="A5353" s="6" t="str">
        <f t="shared" si="1435"/>
        <v>525-2026000038</v>
      </c>
      <c r="B5353" s="6" t="str">
        <f t="shared" si="1436"/>
        <v>Lasa Int</v>
      </c>
      <c r="C5353" s="7">
        <v>46048</v>
      </c>
      <c r="D5353" s="7">
        <v>46108</v>
      </c>
      <c r="E5353" s="8">
        <v>2</v>
      </c>
      <c r="F5353" s="6" t="str">
        <f t="shared" si="1437"/>
        <v>PURE R</v>
      </c>
      <c r="G5353" s="6" t="str">
        <f t="shared" si="1438"/>
        <v>R010000635000000</v>
      </c>
      <c r="H5353" s="6" t="str">
        <f t="shared" si="1439"/>
        <v>Alexis Cotoral Pure</v>
      </c>
      <c r="I5353" s="6" t="str">
        <f t="shared" si="1440"/>
        <v>3234</v>
      </c>
      <c r="J5353" s="6" t="str">
        <f t="shared" si="1441"/>
        <v>CASTANHO 3234</v>
      </c>
      <c r="K5353" s="6" t="str">
        <f>"5004"</f>
        <v>5004</v>
      </c>
      <c r="L5353" s="6" t="str">
        <f t="shared" si="1442"/>
        <v>Roupões Adulto</v>
      </c>
      <c r="M5353" s="6" t="str">
        <f>"M"</f>
        <v>M</v>
      </c>
      <c r="N5353" s="6" t="str">
        <f>"5602972896688"</f>
        <v>5602972896688</v>
      </c>
      <c r="O5353" s="8">
        <v>96</v>
      </c>
      <c r="P5353" s="7">
        <v>46048</v>
      </c>
      <c r="R5353" s="8">
        <v>0</v>
      </c>
      <c r="S5353" s="7">
        <v>46051</v>
      </c>
      <c r="U5353" s="8">
        <v>0</v>
      </c>
      <c r="V5353" s="7">
        <v>46062</v>
      </c>
      <c r="X5353" s="8">
        <v>0</v>
      </c>
      <c r="Z5353" s="8">
        <v>0</v>
      </c>
      <c r="AA5353" s="7">
        <v>46076</v>
      </c>
      <c r="AC5353" s="8">
        <v>0</v>
      </c>
      <c r="AE5353" s="7">
        <v>46108</v>
      </c>
      <c r="AF5353" s="8">
        <v>0</v>
      </c>
      <c r="AH5353" s="7">
        <v>46108</v>
      </c>
      <c r="AI5353" s="7">
        <v>46106</v>
      </c>
      <c r="AN5353" s="8">
        <v>0</v>
      </c>
      <c r="AO5353" s="8">
        <v>96</v>
      </c>
    </row>
    <row r="5354" spans="1:41" x14ac:dyDescent="0.25">
      <c r="A5354" s="6" t="str">
        <f t="shared" si="1435"/>
        <v>525-2026000038</v>
      </c>
      <c r="B5354" s="6" t="str">
        <f t="shared" si="1436"/>
        <v>Lasa Int</v>
      </c>
      <c r="C5354" s="7">
        <v>46048</v>
      </c>
      <c r="D5354" s="7">
        <v>46108</v>
      </c>
      <c r="E5354" s="8">
        <v>3</v>
      </c>
      <c r="F5354" s="6" t="str">
        <f t="shared" si="1437"/>
        <v>PURE R</v>
      </c>
      <c r="G5354" s="6" t="str">
        <f t="shared" si="1438"/>
        <v>R010000635000000</v>
      </c>
      <c r="H5354" s="6" t="str">
        <f t="shared" si="1439"/>
        <v>Alexis Cotoral Pure</v>
      </c>
      <c r="I5354" s="6" t="str">
        <f t="shared" si="1440"/>
        <v>3234</v>
      </c>
      <c r="J5354" s="6" t="str">
        <f t="shared" si="1441"/>
        <v>CASTANHO 3234</v>
      </c>
      <c r="K5354" s="6" t="str">
        <f>"5006"</f>
        <v>5006</v>
      </c>
      <c r="L5354" s="6" t="str">
        <f t="shared" si="1442"/>
        <v>Roupões Adulto</v>
      </c>
      <c r="M5354" s="6" t="str">
        <f>"L"</f>
        <v>L</v>
      </c>
      <c r="N5354" s="6" t="str">
        <f>"5602972896695"</f>
        <v>5602972896695</v>
      </c>
      <c r="O5354" s="8">
        <v>96</v>
      </c>
      <c r="P5354" s="7">
        <v>46048</v>
      </c>
      <c r="R5354" s="8">
        <v>0</v>
      </c>
      <c r="S5354" s="7">
        <v>46051</v>
      </c>
      <c r="U5354" s="8">
        <v>0</v>
      </c>
      <c r="V5354" s="7">
        <v>46062</v>
      </c>
      <c r="X5354" s="8">
        <v>0</v>
      </c>
      <c r="Z5354" s="8">
        <v>0</v>
      </c>
      <c r="AA5354" s="7">
        <v>46076</v>
      </c>
      <c r="AC5354" s="8">
        <v>0</v>
      </c>
      <c r="AE5354" s="7">
        <v>46108</v>
      </c>
      <c r="AF5354" s="8">
        <v>0</v>
      </c>
      <c r="AH5354" s="7">
        <v>46108</v>
      </c>
      <c r="AI5354" s="7">
        <v>46106</v>
      </c>
      <c r="AN5354" s="8">
        <v>0</v>
      </c>
      <c r="AO5354" s="8">
        <v>96</v>
      </c>
    </row>
    <row r="5355" spans="1:41" x14ac:dyDescent="0.25">
      <c r="A5355" s="6" t="str">
        <f t="shared" si="1435"/>
        <v>525-2026000038</v>
      </c>
      <c r="B5355" s="6" t="str">
        <f t="shared" si="1436"/>
        <v>Lasa Int</v>
      </c>
      <c r="C5355" s="7">
        <v>46048</v>
      </c>
      <c r="D5355" s="7">
        <v>46108</v>
      </c>
      <c r="E5355" s="8">
        <v>4</v>
      </c>
      <c r="F5355" s="6" t="str">
        <f t="shared" si="1437"/>
        <v>PURE R</v>
      </c>
      <c r="G5355" s="6" t="str">
        <f t="shared" si="1438"/>
        <v>R010000635000000</v>
      </c>
      <c r="H5355" s="6" t="str">
        <f t="shared" si="1439"/>
        <v>Alexis Cotoral Pure</v>
      </c>
      <c r="I5355" s="6" t="str">
        <f t="shared" si="1440"/>
        <v>3234</v>
      </c>
      <c r="J5355" s="6" t="str">
        <f t="shared" si="1441"/>
        <v>CASTANHO 3234</v>
      </c>
      <c r="K5355" s="6" t="str">
        <f>"5008"</f>
        <v>5008</v>
      </c>
      <c r="L5355" s="6" t="str">
        <f t="shared" si="1442"/>
        <v>Roupões Adulto</v>
      </c>
      <c r="M5355" s="6" t="str">
        <f>"XL"</f>
        <v>XL</v>
      </c>
      <c r="N5355" s="6" t="str">
        <f>"5602972896701"</f>
        <v>5602972896701</v>
      </c>
      <c r="O5355" s="8">
        <v>96</v>
      </c>
      <c r="P5355" s="7">
        <v>46048</v>
      </c>
      <c r="R5355" s="8">
        <v>0</v>
      </c>
      <c r="S5355" s="7">
        <v>46051</v>
      </c>
      <c r="U5355" s="8">
        <v>0</v>
      </c>
      <c r="V5355" s="7">
        <v>46062</v>
      </c>
      <c r="X5355" s="8">
        <v>0</v>
      </c>
      <c r="Z5355" s="8">
        <v>0</v>
      </c>
      <c r="AA5355" s="7">
        <v>46076</v>
      </c>
      <c r="AC5355" s="8">
        <v>0</v>
      </c>
      <c r="AE5355" s="7">
        <v>46108</v>
      </c>
      <c r="AF5355" s="8">
        <v>0</v>
      </c>
      <c r="AH5355" s="7">
        <v>46108</v>
      </c>
      <c r="AI5355" s="7">
        <v>46106</v>
      </c>
      <c r="AN5355" s="8">
        <v>0</v>
      </c>
      <c r="AO5355" s="8">
        <v>96</v>
      </c>
    </row>
    <row r="5356" spans="1:41" x14ac:dyDescent="0.25">
      <c r="A5356" s="6" t="str">
        <f t="shared" si="1435"/>
        <v>525-2026000038</v>
      </c>
      <c r="B5356" s="6" t="str">
        <f t="shared" si="1436"/>
        <v>Lasa Int</v>
      </c>
      <c r="C5356" s="7">
        <v>46048</v>
      </c>
      <c r="D5356" s="7">
        <v>46108</v>
      </c>
      <c r="E5356" s="8">
        <v>5</v>
      </c>
      <c r="F5356" s="6" t="str">
        <f t="shared" si="1437"/>
        <v>PURE R</v>
      </c>
      <c r="G5356" s="6" t="str">
        <f t="shared" si="1438"/>
        <v>R010000635000000</v>
      </c>
      <c r="H5356" s="6" t="str">
        <f t="shared" si="1439"/>
        <v>Alexis Cotoral Pure</v>
      </c>
      <c r="I5356" s="6" t="str">
        <f t="shared" si="1440"/>
        <v>3234</v>
      </c>
      <c r="J5356" s="6" t="str">
        <f t="shared" si="1441"/>
        <v>CASTANHO 3234</v>
      </c>
      <c r="K5356" s="6" t="str">
        <f>"5010"</f>
        <v>5010</v>
      </c>
      <c r="L5356" s="6" t="str">
        <f t="shared" si="1442"/>
        <v>Roupões Adulto</v>
      </c>
      <c r="M5356" s="6" t="str">
        <f>"XXL"</f>
        <v>XXL</v>
      </c>
      <c r="N5356" s="6" t="str">
        <f>"5602972796292"</f>
        <v>5602972796292</v>
      </c>
      <c r="O5356" s="8">
        <v>72</v>
      </c>
      <c r="P5356" s="7">
        <v>46048</v>
      </c>
      <c r="R5356" s="8">
        <v>0</v>
      </c>
      <c r="S5356" s="7">
        <v>46051</v>
      </c>
      <c r="U5356" s="8">
        <v>0</v>
      </c>
      <c r="V5356" s="7">
        <v>46062</v>
      </c>
      <c r="X5356" s="8">
        <v>0</v>
      </c>
      <c r="Z5356" s="8">
        <v>0</v>
      </c>
      <c r="AA5356" s="7">
        <v>46076</v>
      </c>
      <c r="AC5356" s="8">
        <v>0</v>
      </c>
      <c r="AE5356" s="7">
        <v>46108</v>
      </c>
      <c r="AF5356" s="8">
        <v>0</v>
      </c>
      <c r="AH5356" s="7">
        <v>46108</v>
      </c>
      <c r="AI5356" s="7">
        <v>46106</v>
      </c>
      <c r="AN5356" s="8">
        <v>0</v>
      </c>
      <c r="AO5356" s="8">
        <v>72</v>
      </c>
    </row>
    <row r="5357" spans="1:41" x14ac:dyDescent="0.25">
      <c r="A5357" s="6" t="str">
        <f t="shared" si="1435"/>
        <v>525-2026000038</v>
      </c>
      <c r="B5357" s="6" t="str">
        <f t="shared" si="1436"/>
        <v>Lasa Int</v>
      </c>
      <c r="C5357" s="7">
        <v>46048</v>
      </c>
      <c r="D5357" s="7">
        <v>46108</v>
      </c>
      <c r="E5357" s="8">
        <v>6</v>
      </c>
      <c r="F5357" s="6" t="str">
        <f t="shared" si="1437"/>
        <v>PURE R</v>
      </c>
      <c r="G5357" s="6" t="str">
        <f t="shared" si="1438"/>
        <v>R010000635000000</v>
      </c>
      <c r="H5357" s="6" t="str">
        <f t="shared" si="1439"/>
        <v>Alexis Cotoral Pure</v>
      </c>
      <c r="I5357" s="6" t="str">
        <f t="shared" si="1440"/>
        <v>3234</v>
      </c>
      <c r="J5357" s="6" t="str">
        <f t="shared" si="1441"/>
        <v>CASTANHO 3234</v>
      </c>
      <c r="K5357" s="6" t="str">
        <f>"5012"</f>
        <v>5012</v>
      </c>
      <c r="L5357" s="6" t="str">
        <f t="shared" si="1442"/>
        <v>Roupões Adulto</v>
      </c>
      <c r="M5357" s="6" t="str">
        <f>"XXXL"</f>
        <v>XXXL</v>
      </c>
      <c r="N5357" s="6" t="str">
        <f>"5602972674286"</f>
        <v>5602972674286</v>
      </c>
      <c r="O5357" s="8">
        <v>24</v>
      </c>
      <c r="P5357" s="7">
        <v>46048</v>
      </c>
      <c r="R5357" s="8">
        <v>0</v>
      </c>
      <c r="S5357" s="7">
        <v>46051</v>
      </c>
      <c r="U5357" s="8">
        <v>0</v>
      </c>
      <c r="V5357" s="7">
        <v>46062</v>
      </c>
      <c r="X5357" s="8">
        <v>0</v>
      </c>
      <c r="Z5357" s="8">
        <v>0</v>
      </c>
      <c r="AA5357" s="7">
        <v>46076</v>
      </c>
      <c r="AC5357" s="8">
        <v>0</v>
      </c>
      <c r="AE5357" s="7">
        <v>46108</v>
      </c>
      <c r="AF5357" s="8">
        <v>0</v>
      </c>
      <c r="AH5357" s="7">
        <v>46108</v>
      </c>
      <c r="AI5357" s="7">
        <v>46106</v>
      </c>
      <c r="AN5357" s="8">
        <v>0</v>
      </c>
      <c r="AO5357" s="8">
        <v>24</v>
      </c>
    </row>
    <row r="5358" spans="1:41" x14ac:dyDescent="0.25">
      <c r="A5358" s="6" t="str">
        <f t="shared" si="1435"/>
        <v>525-2026000038</v>
      </c>
      <c r="B5358" s="6" t="str">
        <f t="shared" si="1436"/>
        <v>Lasa Int</v>
      </c>
      <c r="C5358" s="7">
        <v>46048</v>
      </c>
      <c r="D5358" s="7">
        <v>46108</v>
      </c>
      <c r="E5358" s="8">
        <v>7</v>
      </c>
      <c r="F5358" s="6" t="str">
        <f t="shared" si="1437"/>
        <v>PURE R</v>
      </c>
      <c r="G5358" s="6" t="str">
        <f>"R120203038500000"</f>
        <v>R120203038500000</v>
      </c>
      <c r="H5358" s="6" t="str">
        <f>"R 2030 - Ketten PURE"</f>
        <v>R 2030 - Ketten PURE</v>
      </c>
      <c r="I5358" s="6" t="str">
        <f t="shared" si="1440"/>
        <v>3234</v>
      </c>
      <c r="J5358" s="6" t="str">
        <f t="shared" si="1441"/>
        <v>CASTANHO 3234</v>
      </c>
      <c r="K5358" s="6" t="str">
        <f>"5002"</f>
        <v>5002</v>
      </c>
      <c r="L5358" s="6" t="str">
        <f t="shared" si="1442"/>
        <v>Roupões Adulto</v>
      </c>
      <c r="M5358" s="6" t="str">
        <f>"S"</f>
        <v>S</v>
      </c>
      <c r="N5358" s="6" t="str">
        <f>"5605247644922"</f>
        <v>5605247644922</v>
      </c>
      <c r="O5358" s="8">
        <v>12</v>
      </c>
      <c r="P5358" s="7">
        <v>46048</v>
      </c>
      <c r="R5358" s="8">
        <v>0</v>
      </c>
      <c r="S5358" s="7">
        <v>46051</v>
      </c>
      <c r="U5358" s="8">
        <v>0</v>
      </c>
      <c r="V5358" s="7">
        <v>46062</v>
      </c>
      <c r="X5358" s="8">
        <v>0</v>
      </c>
      <c r="Z5358" s="8">
        <v>0</v>
      </c>
      <c r="AA5358" s="7">
        <v>46076</v>
      </c>
      <c r="AC5358" s="8">
        <v>0</v>
      </c>
      <c r="AE5358" s="7">
        <v>46108</v>
      </c>
      <c r="AF5358" s="8">
        <v>0</v>
      </c>
      <c r="AH5358" s="7">
        <v>46108</v>
      </c>
      <c r="AI5358" s="7">
        <v>46106</v>
      </c>
      <c r="AN5358" s="8">
        <v>0</v>
      </c>
      <c r="AO5358" s="8">
        <v>12</v>
      </c>
    </row>
    <row r="5359" spans="1:41" x14ac:dyDescent="0.25">
      <c r="A5359" s="6" t="str">
        <f t="shared" si="1435"/>
        <v>525-2026000038</v>
      </c>
      <c r="B5359" s="6" t="str">
        <f t="shared" si="1436"/>
        <v>Lasa Int</v>
      </c>
      <c r="C5359" s="7">
        <v>46048</v>
      </c>
      <c r="D5359" s="7">
        <v>46108</v>
      </c>
      <c r="E5359" s="8">
        <v>8</v>
      </c>
      <c r="F5359" s="6" t="str">
        <f t="shared" si="1437"/>
        <v>PURE R</v>
      </c>
      <c r="G5359" s="6" t="str">
        <f>"R120203038500000"</f>
        <v>R120203038500000</v>
      </c>
      <c r="H5359" s="6" t="str">
        <f>"R 2030 - Ketten PURE"</f>
        <v>R 2030 - Ketten PURE</v>
      </c>
      <c r="I5359" s="6" t="str">
        <f t="shared" si="1440"/>
        <v>3234</v>
      </c>
      <c r="J5359" s="6" t="str">
        <f t="shared" si="1441"/>
        <v>CASTANHO 3234</v>
      </c>
      <c r="K5359" s="6" t="str">
        <f>"5004"</f>
        <v>5004</v>
      </c>
      <c r="L5359" s="6" t="str">
        <f t="shared" si="1442"/>
        <v>Roupões Adulto</v>
      </c>
      <c r="M5359" s="6" t="str">
        <f>"M"</f>
        <v>M</v>
      </c>
      <c r="N5359" s="6" t="str">
        <f>"5605247644939"</f>
        <v>5605247644939</v>
      </c>
      <c r="O5359" s="8">
        <v>24</v>
      </c>
      <c r="P5359" s="7">
        <v>46048</v>
      </c>
      <c r="R5359" s="8">
        <v>0</v>
      </c>
      <c r="S5359" s="7">
        <v>46051</v>
      </c>
      <c r="U5359" s="8">
        <v>0</v>
      </c>
      <c r="V5359" s="7">
        <v>46062</v>
      </c>
      <c r="X5359" s="8">
        <v>0</v>
      </c>
      <c r="Z5359" s="8">
        <v>0</v>
      </c>
      <c r="AA5359" s="7">
        <v>46076</v>
      </c>
      <c r="AC5359" s="8">
        <v>0</v>
      </c>
      <c r="AE5359" s="7">
        <v>46108</v>
      </c>
      <c r="AF5359" s="8">
        <v>0</v>
      </c>
      <c r="AH5359" s="7">
        <v>46108</v>
      </c>
      <c r="AI5359" s="7">
        <v>46106</v>
      </c>
      <c r="AN5359" s="8">
        <v>0</v>
      </c>
      <c r="AO5359" s="8">
        <v>24</v>
      </c>
    </row>
    <row r="5360" spans="1:41" x14ac:dyDescent="0.25">
      <c r="A5360" s="6" t="str">
        <f t="shared" si="1435"/>
        <v>525-2026000038</v>
      </c>
      <c r="B5360" s="6" t="str">
        <f t="shared" si="1436"/>
        <v>Lasa Int</v>
      </c>
      <c r="C5360" s="7">
        <v>46048</v>
      </c>
      <c r="D5360" s="7">
        <v>46108</v>
      </c>
      <c r="E5360" s="8">
        <v>9</v>
      </c>
      <c r="F5360" s="6" t="str">
        <f t="shared" si="1437"/>
        <v>PURE R</v>
      </c>
      <c r="G5360" s="6" t="str">
        <f>"R120203038500000"</f>
        <v>R120203038500000</v>
      </c>
      <c r="H5360" s="6" t="str">
        <f>"R 2030 - Ketten PURE"</f>
        <v>R 2030 - Ketten PURE</v>
      </c>
      <c r="I5360" s="6" t="str">
        <f t="shared" si="1440"/>
        <v>3234</v>
      </c>
      <c r="J5360" s="6" t="str">
        <f t="shared" si="1441"/>
        <v>CASTANHO 3234</v>
      </c>
      <c r="K5360" s="6" t="str">
        <f>"5006"</f>
        <v>5006</v>
      </c>
      <c r="L5360" s="6" t="str">
        <f t="shared" si="1442"/>
        <v>Roupões Adulto</v>
      </c>
      <c r="M5360" s="6" t="str">
        <f>"L"</f>
        <v>L</v>
      </c>
      <c r="N5360" s="6" t="str">
        <f>"5605247644946"</f>
        <v>5605247644946</v>
      </c>
      <c r="O5360" s="8">
        <v>24</v>
      </c>
      <c r="P5360" s="7">
        <v>46048</v>
      </c>
      <c r="R5360" s="8">
        <v>0</v>
      </c>
      <c r="S5360" s="7">
        <v>46051</v>
      </c>
      <c r="U5360" s="8">
        <v>0</v>
      </c>
      <c r="V5360" s="7">
        <v>46062</v>
      </c>
      <c r="X5360" s="8">
        <v>0</v>
      </c>
      <c r="Z5360" s="8">
        <v>0</v>
      </c>
      <c r="AA5360" s="7">
        <v>46076</v>
      </c>
      <c r="AC5360" s="8">
        <v>0</v>
      </c>
      <c r="AE5360" s="7">
        <v>46108</v>
      </c>
      <c r="AF5360" s="8">
        <v>0</v>
      </c>
      <c r="AH5360" s="7">
        <v>46108</v>
      </c>
      <c r="AI5360" s="7">
        <v>46106</v>
      </c>
      <c r="AN5360" s="8">
        <v>0</v>
      </c>
      <c r="AO5360" s="8">
        <v>24</v>
      </c>
    </row>
    <row r="5361" spans="1:41" x14ac:dyDescent="0.25">
      <c r="A5361" s="6" t="str">
        <f t="shared" si="1435"/>
        <v>525-2026000038</v>
      </c>
      <c r="B5361" s="6" t="str">
        <f t="shared" si="1436"/>
        <v>Lasa Int</v>
      </c>
      <c r="C5361" s="7">
        <v>46048</v>
      </c>
      <c r="D5361" s="7">
        <v>46108</v>
      </c>
      <c r="E5361" s="8">
        <v>10</v>
      </c>
      <c r="F5361" s="6" t="str">
        <f t="shared" si="1437"/>
        <v>PURE R</v>
      </c>
      <c r="G5361" s="6" t="str">
        <f>"R120203038500000"</f>
        <v>R120203038500000</v>
      </c>
      <c r="H5361" s="6" t="str">
        <f>"R 2030 - Ketten PURE"</f>
        <v>R 2030 - Ketten PURE</v>
      </c>
      <c r="I5361" s="6" t="str">
        <f t="shared" si="1440"/>
        <v>3234</v>
      </c>
      <c r="J5361" s="6" t="str">
        <f t="shared" si="1441"/>
        <v>CASTANHO 3234</v>
      </c>
      <c r="K5361" s="6" t="str">
        <f>"5008"</f>
        <v>5008</v>
      </c>
      <c r="L5361" s="6" t="str">
        <f t="shared" si="1442"/>
        <v>Roupões Adulto</v>
      </c>
      <c r="M5361" s="6" t="str">
        <f>"XL"</f>
        <v>XL</v>
      </c>
      <c r="N5361" s="6" t="str">
        <f>"5605247644953"</f>
        <v>5605247644953</v>
      </c>
      <c r="O5361" s="8">
        <v>24</v>
      </c>
      <c r="P5361" s="7">
        <v>46048</v>
      </c>
      <c r="R5361" s="8">
        <v>0</v>
      </c>
      <c r="S5361" s="7">
        <v>46051</v>
      </c>
      <c r="U5361" s="8">
        <v>0</v>
      </c>
      <c r="V5361" s="7">
        <v>46062</v>
      </c>
      <c r="X5361" s="8">
        <v>0</v>
      </c>
      <c r="Z5361" s="8">
        <v>0</v>
      </c>
      <c r="AA5361" s="7">
        <v>46076</v>
      </c>
      <c r="AC5361" s="8">
        <v>0</v>
      </c>
      <c r="AE5361" s="7">
        <v>46108</v>
      </c>
      <c r="AF5361" s="8">
        <v>0</v>
      </c>
      <c r="AH5361" s="7">
        <v>46108</v>
      </c>
      <c r="AI5361" s="7">
        <v>46106</v>
      </c>
      <c r="AN5361" s="8">
        <v>0</v>
      </c>
      <c r="AO5361" s="8">
        <v>24</v>
      </c>
    </row>
    <row r="5362" spans="1:41" x14ac:dyDescent="0.25">
      <c r="A5362" s="6" t="str">
        <f t="shared" si="1435"/>
        <v>525-2026000038</v>
      </c>
      <c r="B5362" s="6" t="str">
        <f t="shared" si="1436"/>
        <v>Lasa Int</v>
      </c>
      <c r="C5362" s="7">
        <v>46048</v>
      </c>
      <c r="D5362" s="7">
        <v>46108</v>
      </c>
      <c r="E5362" s="8">
        <v>11</v>
      </c>
      <c r="F5362" s="6" t="str">
        <f t="shared" si="1437"/>
        <v>PURE R</v>
      </c>
      <c r="G5362" s="6" t="str">
        <f>"R120203038500000"</f>
        <v>R120203038500000</v>
      </c>
      <c r="H5362" s="6" t="str">
        <f>"R 2030 - Ketten PURE"</f>
        <v>R 2030 - Ketten PURE</v>
      </c>
      <c r="I5362" s="6" t="str">
        <f t="shared" si="1440"/>
        <v>3234</v>
      </c>
      <c r="J5362" s="6" t="str">
        <f t="shared" si="1441"/>
        <v>CASTANHO 3234</v>
      </c>
      <c r="K5362" s="6" t="str">
        <f>"5010"</f>
        <v>5010</v>
      </c>
      <c r="L5362" s="6" t="str">
        <f t="shared" si="1442"/>
        <v>Roupões Adulto</v>
      </c>
      <c r="M5362" s="6" t="str">
        <f>"XXL"</f>
        <v>XXL</v>
      </c>
      <c r="N5362" s="6" t="str">
        <f>"5605247644960"</f>
        <v>5605247644960</v>
      </c>
      <c r="O5362" s="8">
        <v>12</v>
      </c>
      <c r="P5362" s="7">
        <v>46048</v>
      </c>
      <c r="R5362" s="8">
        <v>0</v>
      </c>
      <c r="S5362" s="7">
        <v>46051</v>
      </c>
      <c r="U5362" s="8">
        <v>0</v>
      </c>
      <c r="V5362" s="7">
        <v>46062</v>
      </c>
      <c r="X5362" s="8">
        <v>0</v>
      </c>
      <c r="Z5362" s="8">
        <v>0</v>
      </c>
      <c r="AA5362" s="7">
        <v>46076</v>
      </c>
      <c r="AC5362" s="8">
        <v>0</v>
      </c>
      <c r="AE5362" s="7">
        <v>46108</v>
      </c>
      <c r="AF5362" s="8">
        <v>0</v>
      </c>
      <c r="AH5362" s="7">
        <v>46108</v>
      </c>
      <c r="AI5362" s="7">
        <v>46106</v>
      </c>
      <c r="AN5362" s="8">
        <v>0</v>
      </c>
      <c r="AO5362" s="8">
        <v>12</v>
      </c>
    </row>
    <row r="5363" spans="1:41" x14ac:dyDescent="0.25">
      <c r="A5363" s="6" t="str">
        <f>"525-2026000039"</f>
        <v>525-2026000039</v>
      </c>
      <c r="B5363" s="6" t="str">
        <f t="shared" si="1436"/>
        <v>Lasa Int</v>
      </c>
      <c r="C5363" s="7">
        <v>46048</v>
      </c>
      <c r="D5363" s="7">
        <v>46108</v>
      </c>
      <c r="E5363" s="8">
        <v>1</v>
      </c>
      <c r="F5363" s="6" t="str">
        <f t="shared" si="1437"/>
        <v>PURE R</v>
      </c>
      <c r="G5363" s="6" t="str">
        <f t="shared" ref="G5363:G5373" si="1443">"R010000635000000"</f>
        <v>R010000635000000</v>
      </c>
      <c r="H5363" s="6" t="str">
        <f t="shared" ref="H5363:H5373" si="1444">"Alexis Cotoral Pure"</f>
        <v>Alexis Cotoral Pure</v>
      </c>
      <c r="I5363" s="6" t="str">
        <f>"3968"</f>
        <v>3968</v>
      </c>
      <c r="J5363" s="6" t="str">
        <f>"BORDEAUX 3968"</f>
        <v>BORDEAUX 3968</v>
      </c>
      <c r="K5363" s="6" t="str">
        <f>"5002"</f>
        <v>5002</v>
      </c>
      <c r="L5363" s="6" t="str">
        <f t="shared" si="1442"/>
        <v>Roupões Adulto</v>
      </c>
      <c r="M5363" s="6" t="str">
        <f>"S"</f>
        <v>S</v>
      </c>
      <c r="N5363" s="6" t="str">
        <f>"5602972769920"</f>
        <v>5602972769920</v>
      </c>
      <c r="O5363" s="8">
        <v>48</v>
      </c>
      <c r="P5363" s="7">
        <v>46048</v>
      </c>
      <c r="R5363" s="8">
        <v>0</v>
      </c>
      <c r="S5363" s="7">
        <v>46051</v>
      </c>
      <c r="U5363" s="8">
        <v>810</v>
      </c>
      <c r="V5363" s="7">
        <v>46062</v>
      </c>
      <c r="X5363" s="8">
        <v>0</v>
      </c>
      <c r="Z5363" s="8">
        <v>0</v>
      </c>
      <c r="AA5363" s="7">
        <v>46076</v>
      </c>
      <c r="AC5363" s="8">
        <v>0</v>
      </c>
      <c r="AE5363" s="7">
        <v>46108</v>
      </c>
      <c r="AF5363" s="8">
        <v>0</v>
      </c>
      <c r="AH5363" s="7">
        <v>46108</v>
      </c>
      <c r="AI5363" s="7">
        <v>46106</v>
      </c>
      <c r="AN5363" s="8">
        <v>0</v>
      </c>
      <c r="AO5363" s="8">
        <v>48</v>
      </c>
    </row>
    <row r="5364" spans="1:41" x14ac:dyDescent="0.25">
      <c r="A5364" s="6" t="str">
        <f>"525-2026000039"</f>
        <v>525-2026000039</v>
      </c>
      <c r="B5364" s="6" t="str">
        <f t="shared" si="1436"/>
        <v>Lasa Int</v>
      </c>
      <c r="C5364" s="7">
        <v>46048</v>
      </c>
      <c r="D5364" s="7">
        <v>46108</v>
      </c>
      <c r="E5364" s="8">
        <v>2</v>
      </c>
      <c r="F5364" s="6" t="str">
        <f t="shared" si="1437"/>
        <v>PURE R</v>
      </c>
      <c r="G5364" s="6" t="str">
        <f t="shared" si="1443"/>
        <v>R010000635000000</v>
      </c>
      <c r="H5364" s="6" t="str">
        <f t="shared" si="1444"/>
        <v>Alexis Cotoral Pure</v>
      </c>
      <c r="I5364" s="6" t="str">
        <f>"3968"</f>
        <v>3968</v>
      </c>
      <c r="J5364" s="6" t="str">
        <f>"BORDEAUX 3968"</f>
        <v>BORDEAUX 3968</v>
      </c>
      <c r="K5364" s="6" t="str">
        <f>"5004"</f>
        <v>5004</v>
      </c>
      <c r="L5364" s="6" t="str">
        <f t="shared" si="1442"/>
        <v>Roupões Adulto</v>
      </c>
      <c r="M5364" s="6" t="str">
        <f>"M"</f>
        <v>M</v>
      </c>
      <c r="N5364" s="6" t="str">
        <f>"5602972769937"</f>
        <v>5602972769937</v>
      </c>
      <c r="O5364" s="8">
        <v>60</v>
      </c>
      <c r="P5364" s="7">
        <v>46048</v>
      </c>
      <c r="R5364" s="8">
        <v>0</v>
      </c>
      <c r="S5364" s="7">
        <v>46051</v>
      </c>
      <c r="U5364" s="8">
        <v>0</v>
      </c>
      <c r="V5364" s="7">
        <v>46062</v>
      </c>
      <c r="X5364" s="8">
        <v>0</v>
      </c>
      <c r="Z5364" s="8">
        <v>0</v>
      </c>
      <c r="AA5364" s="7">
        <v>46076</v>
      </c>
      <c r="AC5364" s="8">
        <v>0</v>
      </c>
      <c r="AE5364" s="7">
        <v>46108</v>
      </c>
      <c r="AF5364" s="8">
        <v>0</v>
      </c>
      <c r="AH5364" s="7">
        <v>46108</v>
      </c>
      <c r="AI5364" s="7">
        <v>46106</v>
      </c>
      <c r="AN5364" s="8">
        <v>0</v>
      </c>
      <c r="AO5364" s="8">
        <v>60</v>
      </c>
    </row>
    <row r="5365" spans="1:41" x14ac:dyDescent="0.25">
      <c r="A5365" s="6" t="str">
        <f>"525-2026000039"</f>
        <v>525-2026000039</v>
      </c>
      <c r="B5365" s="6" t="str">
        <f t="shared" si="1436"/>
        <v>Lasa Int</v>
      </c>
      <c r="C5365" s="7">
        <v>46048</v>
      </c>
      <c r="D5365" s="7">
        <v>46108</v>
      </c>
      <c r="E5365" s="8">
        <v>3</v>
      </c>
      <c r="F5365" s="6" t="str">
        <f t="shared" si="1437"/>
        <v>PURE R</v>
      </c>
      <c r="G5365" s="6" t="str">
        <f t="shared" si="1443"/>
        <v>R010000635000000</v>
      </c>
      <c r="H5365" s="6" t="str">
        <f t="shared" si="1444"/>
        <v>Alexis Cotoral Pure</v>
      </c>
      <c r="I5365" s="6" t="str">
        <f>"3968"</f>
        <v>3968</v>
      </c>
      <c r="J5365" s="6" t="str">
        <f>"BORDEAUX 3968"</f>
        <v>BORDEAUX 3968</v>
      </c>
      <c r="K5365" s="6" t="str">
        <f>"5006"</f>
        <v>5006</v>
      </c>
      <c r="L5365" s="6" t="str">
        <f t="shared" si="1442"/>
        <v>Roupões Adulto</v>
      </c>
      <c r="M5365" s="6" t="str">
        <f>"L"</f>
        <v>L</v>
      </c>
      <c r="N5365" s="6" t="str">
        <f>"5602972769944"</f>
        <v>5602972769944</v>
      </c>
      <c r="O5365" s="8">
        <v>72</v>
      </c>
      <c r="P5365" s="7">
        <v>46048</v>
      </c>
      <c r="R5365" s="8">
        <v>0</v>
      </c>
      <c r="S5365" s="7">
        <v>46051</v>
      </c>
      <c r="U5365" s="8">
        <v>0</v>
      </c>
      <c r="V5365" s="7">
        <v>46062</v>
      </c>
      <c r="X5365" s="8">
        <v>0</v>
      </c>
      <c r="Z5365" s="8">
        <v>0</v>
      </c>
      <c r="AA5365" s="7">
        <v>46076</v>
      </c>
      <c r="AC5365" s="8">
        <v>0</v>
      </c>
      <c r="AE5365" s="7">
        <v>46108</v>
      </c>
      <c r="AF5365" s="8">
        <v>0</v>
      </c>
      <c r="AH5365" s="7">
        <v>46108</v>
      </c>
      <c r="AI5365" s="7">
        <v>46106</v>
      </c>
      <c r="AN5365" s="8">
        <v>0</v>
      </c>
      <c r="AO5365" s="8">
        <v>72</v>
      </c>
    </row>
    <row r="5366" spans="1:41" x14ac:dyDescent="0.25">
      <c r="A5366" s="6" t="str">
        <f>"525-2026000039"</f>
        <v>525-2026000039</v>
      </c>
      <c r="B5366" s="6" t="str">
        <f t="shared" si="1436"/>
        <v>Lasa Int</v>
      </c>
      <c r="C5366" s="7">
        <v>46048</v>
      </c>
      <c r="D5366" s="7">
        <v>46108</v>
      </c>
      <c r="E5366" s="8">
        <v>4</v>
      </c>
      <c r="F5366" s="6" t="str">
        <f t="shared" si="1437"/>
        <v>PURE R</v>
      </c>
      <c r="G5366" s="6" t="str">
        <f t="shared" si="1443"/>
        <v>R010000635000000</v>
      </c>
      <c r="H5366" s="6" t="str">
        <f t="shared" si="1444"/>
        <v>Alexis Cotoral Pure</v>
      </c>
      <c r="I5366" s="6" t="str">
        <f>"3968"</f>
        <v>3968</v>
      </c>
      <c r="J5366" s="6" t="str">
        <f>"BORDEAUX 3968"</f>
        <v>BORDEAUX 3968</v>
      </c>
      <c r="K5366" s="6" t="str">
        <f>"5008"</f>
        <v>5008</v>
      </c>
      <c r="L5366" s="6" t="str">
        <f t="shared" si="1442"/>
        <v>Roupões Adulto</v>
      </c>
      <c r="M5366" s="6" t="str">
        <f>"XL"</f>
        <v>XL</v>
      </c>
      <c r="N5366" s="6" t="str">
        <f>"5602972769951"</f>
        <v>5602972769951</v>
      </c>
      <c r="O5366" s="8">
        <v>60</v>
      </c>
      <c r="P5366" s="7">
        <v>46048</v>
      </c>
      <c r="R5366" s="8">
        <v>0</v>
      </c>
      <c r="S5366" s="7">
        <v>46051</v>
      </c>
      <c r="U5366" s="8">
        <v>0</v>
      </c>
      <c r="V5366" s="7">
        <v>46062</v>
      </c>
      <c r="X5366" s="8">
        <v>0</v>
      </c>
      <c r="Z5366" s="8">
        <v>0</v>
      </c>
      <c r="AA5366" s="7">
        <v>46076</v>
      </c>
      <c r="AC5366" s="8">
        <v>0</v>
      </c>
      <c r="AE5366" s="7">
        <v>46108</v>
      </c>
      <c r="AF5366" s="8">
        <v>0</v>
      </c>
      <c r="AH5366" s="7">
        <v>46108</v>
      </c>
      <c r="AI5366" s="7">
        <v>46106</v>
      </c>
      <c r="AN5366" s="8">
        <v>0</v>
      </c>
      <c r="AO5366" s="8">
        <v>60</v>
      </c>
    </row>
    <row r="5367" spans="1:41" x14ac:dyDescent="0.25">
      <c r="A5367" s="6" t="str">
        <f>"525-2026000039"</f>
        <v>525-2026000039</v>
      </c>
      <c r="B5367" s="6" t="str">
        <f t="shared" si="1436"/>
        <v>Lasa Int</v>
      </c>
      <c r="C5367" s="7">
        <v>46048</v>
      </c>
      <c r="D5367" s="7">
        <v>46108</v>
      </c>
      <c r="E5367" s="8">
        <v>5</v>
      </c>
      <c r="F5367" s="6" t="str">
        <f t="shared" si="1437"/>
        <v>PURE R</v>
      </c>
      <c r="G5367" s="6" t="str">
        <f t="shared" si="1443"/>
        <v>R010000635000000</v>
      </c>
      <c r="H5367" s="6" t="str">
        <f t="shared" si="1444"/>
        <v>Alexis Cotoral Pure</v>
      </c>
      <c r="I5367" s="6" t="str">
        <f>"3968"</f>
        <v>3968</v>
      </c>
      <c r="J5367" s="6" t="str">
        <f>"BORDEAUX 3968"</f>
        <v>BORDEAUX 3968</v>
      </c>
      <c r="K5367" s="6" t="str">
        <f>"5010"</f>
        <v>5010</v>
      </c>
      <c r="L5367" s="6" t="str">
        <f t="shared" si="1442"/>
        <v>Roupões Adulto</v>
      </c>
      <c r="M5367" s="6" t="str">
        <f>"XXL"</f>
        <v>XXL</v>
      </c>
      <c r="N5367" s="6" t="str">
        <f>"5602972770049"</f>
        <v>5602972770049</v>
      </c>
      <c r="O5367" s="8">
        <v>48</v>
      </c>
      <c r="P5367" s="7">
        <v>46048</v>
      </c>
      <c r="R5367" s="8">
        <v>0</v>
      </c>
      <c r="S5367" s="7">
        <v>46051</v>
      </c>
      <c r="U5367" s="8">
        <v>0</v>
      </c>
      <c r="V5367" s="7">
        <v>46062</v>
      </c>
      <c r="X5367" s="8">
        <v>0</v>
      </c>
      <c r="Z5367" s="8">
        <v>0</v>
      </c>
      <c r="AA5367" s="7">
        <v>46076</v>
      </c>
      <c r="AC5367" s="8">
        <v>0</v>
      </c>
      <c r="AE5367" s="7">
        <v>46108</v>
      </c>
      <c r="AF5367" s="8">
        <v>0</v>
      </c>
      <c r="AH5367" s="7">
        <v>46108</v>
      </c>
      <c r="AI5367" s="7">
        <v>46106</v>
      </c>
      <c r="AN5367" s="8">
        <v>0</v>
      </c>
      <c r="AO5367" s="8">
        <v>48</v>
      </c>
    </row>
    <row r="5368" spans="1:41" x14ac:dyDescent="0.25">
      <c r="A5368" s="6" t="str">
        <f t="shared" ref="A5368:A5375" si="1445">"525-2026000040"</f>
        <v>525-2026000040</v>
      </c>
      <c r="B5368" s="6" t="str">
        <f t="shared" si="1436"/>
        <v>Lasa Int</v>
      </c>
      <c r="C5368" s="7">
        <v>46048</v>
      </c>
      <c r="D5368" s="7">
        <v>46108</v>
      </c>
      <c r="E5368" s="8">
        <v>1</v>
      </c>
      <c r="F5368" s="6" t="str">
        <f t="shared" si="1437"/>
        <v>PURE R</v>
      </c>
      <c r="G5368" s="6" t="str">
        <f t="shared" si="1443"/>
        <v>R010000635000000</v>
      </c>
      <c r="H5368" s="6" t="str">
        <f t="shared" si="1444"/>
        <v>Alexis Cotoral Pure</v>
      </c>
      <c r="I5368" s="6" t="str">
        <f t="shared" ref="I5368:I5375" si="1446">"3073"</f>
        <v>3073</v>
      </c>
      <c r="J5368" s="6" t="str">
        <f t="shared" ref="J5368:J5375" si="1447">"CINZA 3073"</f>
        <v>CINZA 3073</v>
      </c>
      <c r="K5368" s="6" t="str">
        <f>"5002"</f>
        <v>5002</v>
      </c>
      <c r="L5368" s="6" t="str">
        <f t="shared" si="1442"/>
        <v>Roupões Adulto</v>
      </c>
      <c r="M5368" s="6" t="str">
        <f>"S"</f>
        <v>S</v>
      </c>
      <c r="N5368" s="6" t="str">
        <f>"5602972717853"</f>
        <v>5602972717853</v>
      </c>
      <c r="O5368" s="8">
        <v>12</v>
      </c>
      <c r="P5368" s="7">
        <v>46048</v>
      </c>
      <c r="R5368" s="8">
        <v>0</v>
      </c>
      <c r="S5368" s="7">
        <v>46051</v>
      </c>
      <c r="U5368" s="8">
        <v>1485</v>
      </c>
      <c r="V5368" s="7">
        <v>46062</v>
      </c>
      <c r="X5368" s="8">
        <v>0</v>
      </c>
      <c r="Z5368" s="8">
        <v>0</v>
      </c>
      <c r="AA5368" s="7">
        <v>46076</v>
      </c>
      <c r="AC5368" s="8">
        <v>0</v>
      </c>
      <c r="AE5368" s="7">
        <v>46108</v>
      </c>
      <c r="AF5368" s="8">
        <v>0</v>
      </c>
      <c r="AH5368" s="7">
        <v>46108</v>
      </c>
      <c r="AI5368" s="7">
        <v>46106</v>
      </c>
      <c r="AN5368" s="8">
        <v>0</v>
      </c>
      <c r="AO5368" s="8">
        <v>12</v>
      </c>
    </row>
    <row r="5369" spans="1:41" x14ac:dyDescent="0.25">
      <c r="A5369" s="6" t="str">
        <f t="shared" si="1445"/>
        <v>525-2026000040</v>
      </c>
      <c r="B5369" s="6" t="str">
        <f t="shared" si="1436"/>
        <v>Lasa Int</v>
      </c>
      <c r="C5369" s="7">
        <v>46048</v>
      </c>
      <c r="D5369" s="7">
        <v>46108</v>
      </c>
      <c r="E5369" s="8">
        <v>2</v>
      </c>
      <c r="F5369" s="6" t="str">
        <f t="shared" si="1437"/>
        <v>PURE R</v>
      </c>
      <c r="G5369" s="6" t="str">
        <f t="shared" si="1443"/>
        <v>R010000635000000</v>
      </c>
      <c r="H5369" s="6" t="str">
        <f t="shared" si="1444"/>
        <v>Alexis Cotoral Pure</v>
      </c>
      <c r="I5369" s="6" t="str">
        <f t="shared" si="1446"/>
        <v>3073</v>
      </c>
      <c r="J5369" s="6" t="str">
        <f t="shared" si="1447"/>
        <v>CINZA 3073</v>
      </c>
      <c r="K5369" s="6" t="str">
        <f>"5004"</f>
        <v>5004</v>
      </c>
      <c r="L5369" s="6" t="str">
        <f t="shared" si="1442"/>
        <v>Roupões Adulto</v>
      </c>
      <c r="M5369" s="6" t="str">
        <f>"M"</f>
        <v>M</v>
      </c>
      <c r="N5369" s="6" t="str">
        <f>"5602972878042"</f>
        <v>5602972878042</v>
      </c>
      <c r="O5369" s="8">
        <v>84</v>
      </c>
      <c r="P5369" s="7">
        <v>46048</v>
      </c>
      <c r="R5369" s="8">
        <v>0</v>
      </c>
      <c r="S5369" s="7">
        <v>46051</v>
      </c>
      <c r="U5369" s="8">
        <v>0</v>
      </c>
      <c r="V5369" s="7">
        <v>46062</v>
      </c>
      <c r="X5369" s="8">
        <v>0</v>
      </c>
      <c r="Z5369" s="8">
        <v>0</v>
      </c>
      <c r="AA5369" s="7">
        <v>46076</v>
      </c>
      <c r="AC5369" s="8">
        <v>0</v>
      </c>
      <c r="AE5369" s="7">
        <v>46108</v>
      </c>
      <c r="AF5369" s="8">
        <v>0</v>
      </c>
      <c r="AH5369" s="7">
        <v>46108</v>
      </c>
      <c r="AI5369" s="7">
        <v>46106</v>
      </c>
      <c r="AN5369" s="8">
        <v>0</v>
      </c>
      <c r="AO5369" s="8">
        <v>84</v>
      </c>
    </row>
    <row r="5370" spans="1:41" x14ac:dyDescent="0.25">
      <c r="A5370" s="6" t="str">
        <f t="shared" si="1445"/>
        <v>525-2026000040</v>
      </c>
      <c r="B5370" s="6" t="str">
        <f t="shared" si="1436"/>
        <v>Lasa Int</v>
      </c>
      <c r="C5370" s="7">
        <v>46048</v>
      </c>
      <c r="D5370" s="7">
        <v>46108</v>
      </c>
      <c r="E5370" s="8">
        <v>3</v>
      </c>
      <c r="F5370" s="6" t="str">
        <f t="shared" si="1437"/>
        <v>PURE R</v>
      </c>
      <c r="G5370" s="6" t="str">
        <f t="shared" si="1443"/>
        <v>R010000635000000</v>
      </c>
      <c r="H5370" s="6" t="str">
        <f t="shared" si="1444"/>
        <v>Alexis Cotoral Pure</v>
      </c>
      <c r="I5370" s="6" t="str">
        <f t="shared" si="1446"/>
        <v>3073</v>
      </c>
      <c r="J5370" s="6" t="str">
        <f t="shared" si="1447"/>
        <v>CINZA 3073</v>
      </c>
      <c r="K5370" s="6" t="str">
        <f>"5006"</f>
        <v>5006</v>
      </c>
      <c r="L5370" s="6" t="str">
        <f t="shared" si="1442"/>
        <v>Roupões Adulto</v>
      </c>
      <c r="M5370" s="6" t="str">
        <f>"L"</f>
        <v>L</v>
      </c>
      <c r="N5370" s="6" t="str">
        <f>"5602972878059"</f>
        <v>5602972878059</v>
      </c>
      <c r="O5370" s="8">
        <v>144</v>
      </c>
      <c r="P5370" s="7">
        <v>46048</v>
      </c>
      <c r="R5370" s="8">
        <v>0</v>
      </c>
      <c r="S5370" s="7">
        <v>46051</v>
      </c>
      <c r="U5370" s="8">
        <v>0</v>
      </c>
      <c r="V5370" s="7">
        <v>46062</v>
      </c>
      <c r="X5370" s="8">
        <v>0</v>
      </c>
      <c r="Z5370" s="8">
        <v>0</v>
      </c>
      <c r="AA5370" s="7">
        <v>46076</v>
      </c>
      <c r="AC5370" s="8">
        <v>0</v>
      </c>
      <c r="AE5370" s="7">
        <v>46108</v>
      </c>
      <c r="AF5370" s="8">
        <v>0</v>
      </c>
      <c r="AH5370" s="7">
        <v>46108</v>
      </c>
      <c r="AI5370" s="7">
        <v>46106</v>
      </c>
      <c r="AN5370" s="8">
        <v>0</v>
      </c>
      <c r="AO5370" s="8">
        <v>144</v>
      </c>
    </row>
    <row r="5371" spans="1:41" x14ac:dyDescent="0.25">
      <c r="A5371" s="6" t="str">
        <f t="shared" si="1445"/>
        <v>525-2026000040</v>
      </c>
      <c r="B5371" s="6" t="str">
        <f t="shared" si="1436"/>
        <v>Lasa Int</v>
      </c>
      <c r="C5371" s="7">
        <v>46048</v>
      </c>
      <c r="D5371" s="7">
        <v>46108</v>
      </c>
      <c r="E5371" s="8">
        <v>4</v>
      </c>
      <c r="F5371" s="6" t="str">
        <f t="shared" si="1437"/>
        <v>PURE R</v>
      </c>
      <c r="G5371" s="6" t="str">
        <f t="shared" si="1443"/>
        <v>R010000635000000</v>
      </c>
      <c r="H5371" s="6" t="str">
        <f t="shared" si="1444"/>
        <v>Alexis Cotoral Pure</v>
      </c>
      <c r="I5371" s="6" t="str">
        <f t="shared" si="1446"/>
        <v>3073</v>
      </c>
      <c r="J5371" s="6" t="str">
        <f t="shared" si="1447"/>
        <v>CINZA 3073</v>
      </c>
      <c r="K5371" s="6" t="str">
        <f>"5008"</f>
        <v>5008</v>
      </c>
      <c r="L5371" s="6" t="str">
        <f t="shared" si="1442"/>
        <v>Roupões Adulto</v>
      </c>
      <c r="M5371" s="6" t="str">
        <f>"XL"</f>
        <v>XL</v>
      </c>
      <c r="N5371" s="6" t="str">
        <f>"5602972878066"</f>
        <v>5602972878066</v>
      </c>
      <c r="O5371" s="8">
        <v>72</v>
      </c>
      <c r="P5371" s="7">
        <v>46048</v>
      </c>
      <c r="R5371" s="8">
        <v>0</v>
      </c>
      <c r="S5371" s="7">
        <v>46051</v>
      </c>
      <c r="U5371" s="8">
        <v>0</v>
      </c>
      <c r="V5371" s="7">
        <v>46062</v>
      </c>
      <c r="X5371" s="8">
        <v>0</v>
      </c>
      <c r="Z5371" s="8">
        <v>0</v>
      </c>
      <c r="AA5371" s="7">
        <v>46076</v>
      </c>
      <c r="AC5371" s="8">
        <v>0</v>
      </c>
      <c r="AE5371" s="7">
        <v>46108</v>
      </c>
      <c r="AF5371" s="8">
        <v>0</v>
      </c>
      <c r="AH5371" s="7">
        <v>46108</v>
      </c>
      <c r="AI5371" s="7">
        <v>46106</v>
      </c>
      <c r="AN5371" s="8">
        <v>0</v>
      </c>
      <c r="AO5371" s="8">
        <v>72</v>
      </c>
    </row>
    <row r="5372" spans="1:41" x14ac:dyDescent="0.25">
      <c r="A5372" s="6" t="str">
        <f t="shared" si="1445"/>
        <v>525-2026000040</v>
      </c>
      <c r="B5372" s="6" t="str">
        <f t="shared" si="1436"/>
        <v>Lasa Int</v>
      </c>
      <c r="C5372" s="7">
        <v>46048</v>
      </c>
      <c r="D5372" s="7">
        <v>46108</v>
      </c>
      <c r="E5372" s="8">
        <v>5</v>
      </c>
      <c r="F5372" s="6" t="str">
        <f t="shared" si="1437"/>
        <v>PURE R</v>
      </c>
      <c r="G5372" s="6" t="str">
        <f t="shared" si="1443"/>
        <v>R010000635000000</v>
      </c>
      <c r="H5372" s="6" t="str">
        <f t="shared" si="1444"/>
        <v>Alexis Cotoral Pure</v>
      </c>
      <c r="I5372" s="6" t="str">
        <f t="shared" si="1446"/>
        <v>3073</v>
      </c>
      <c r="J5372" s="6" t="str">
        <f t="shared" si="1447"/>
        <v>CINZA 3073</v>
      </c>
      <c r="K5372" s="6" t="str">
        <f>"5010"</f>
        <v>5010</v>
      </c>
      <c r="L5372" s="6" t="str">
        <f t="shared" si="1442"/>
        <v>Roupões Adulto</v>
      </c>
      <c r="M5372" s="6" t="str">
        <f>"XXL"</f>
        <v>XXL</v>
      </c>
      <c r="N5372" s="6" t="str">
        <f>"5602972878073"</f>
        <v>5602972878073</v>
      </c>
      <c r="O5372" s="8">
        <v>96</v>
      </c>
      <c r="P5372" s="7">
        <v>46048</v>
      </c>
      <c r="R5372" s="8">
        <v>0</v>
      </c>
      <c r="S5372" s="7">
        <v>46051</v>
      </c>
      <c r="U5372" s="8">
        <v>0</v>
      </c>
      <c r="V5372" s="7">
        <v>46062</v>
      </c>
      <c r="X5372" s="8">
        <v>0</v>
      </c>
      <c r="Z5372" s="8">
        <v>0</v>
      </c>
      <c r="AA5372" s="7">
        <v>46076</v>
      </c>
      <c r="AC5372" s="8">
        <v>0</v>
      </c>
      <c r="AE5372" s="7">
        <v>46108</v>
      </c>
      <c r="AF5372" s="8">
        <v>0</v>
      </c>
      <c r="AH5372" s="7">
        <v>46108</v>
      </c>
      <c r="AI5372" s="7">
        <v>46106</v>
      </c>
      <c r="AN5372" s="8">
        <v>0</v>
      </c>
      <c r="AO5372" s="8">
        <v>96</v>
      </c>
    </row>
    <row r="5373" spans="1:41" x14ac:dyDescent="0.25">
      <c r="A5373" s="6" t="str">
        <f t="shared" si="1445"/>
        <v>525-2026000040</v>
      </c>
      <c r="B5373" s="6" t="str">
        <f t="shared" si="1436"/>
        <v>Lasa Int</v>
      </c>
      <c r="C5373" s="7">
        <v>46048</v>
      </c>
      <c r="D5373" s="7">
        <v>46108</v>
      </c>
      <c r="E5373" s="8">
        <v>6</v>
      </c>
      <c r="F5373" s="6" t="str">
        <f t="shared" si="1437"/>
        <v>PURE R</v>
      </c>
      <c r="G5373" s="6" t="str">
        <f t="shared" si="1443"/>
        <v>R010000635000000</v>
      </c>
      <c r="H5373" s="6" t="str">
        <f t="shared" si="1444"/>
        <v>Alexis Cotoral Pure</v>
      </c>
      <c r="I5373" s="6" t="str">
        <f t="shared" si="1446"/>
        <v>3073</v>
      </c>
      <c r="J5373" s="6" t="str">
        <f t="shared" si="1447"/>
        <v>CINZA 3073</v>
      </c>
      <c r="K5373" s="6" t="str">
        <f>"5012"</f>
        <v>5012</v>
      </c>
      <c r="L5373" s="6" t="str">
        <f t="shared" si="1442"/>
        <v>Roupões Adulto</v>
      </c>
      <c r="M5373" s="6" t="str">
        <f>"XXXL"</f>
        <v>XXXL</v>
      </c>
      <c r="N5373" s="6" t="str">
        <f>"5602972674279"</f>
        <v>5602972674279</v>
      </c>
      <c r="O5373" s="8">
        <v>36</v>
      </c>
      <c r="P5373" s="7">
        <v>46048</v>
      </c>
      <c r="R5373" s="8">
        <v>0</v>
      </c>
      <c r="S5373" s="7">
        <v>46051</v>
      </c>
      <c r="U5373" s="8">
        <v>0</v>
      </c>
      <c r="V5373" s="7">
        <v>46062</v>
      </c>
      <c r="X5373" s="8">
        <v>0</v>
      </c>
      <c r="Z5373" s="8">
        <v>0</v>
      </c>
      <c r="AA5373" s="7">
        <v>46076</v>
      </c>
      <c r="AC5373" s="8">
        <v>0</v>
      </c>
      <c r="AE5373" s="7">
        <v>46108</v>
      </c>
      <c r="AF5373" s="8">
        <v>0</v>
      </c>
      <c r="AH5373" s="7">
        <v>46108</v>
      </c>
      <c r="AI5373" s="7">
        <v>46106</v>
      </c>
      <c r="AN5373" s="8">
        <v>0</v>
      </c>
      <c r="AO5373" s="8">
        <v>36</v>
      </c>
    </row>
    <row r="5374" spans="1:41" x14ac:dyDescent="0.25">
      <c r="A5374" s="6" t="str">
        <f t="shared" si="1445"/>
        <v>525-2026000040</v>
      </c>
      <c r="B5374" s="6" t="str">
        <f t="shared" si="1436"/>
        <v>Lasa Int</v>
      </c>
      <c r="C5374" s="7">
        <v>46048</v>
      </c>
      <c r="D5374" s="7">
        <v>46108</v>
      </c>
      <c r="E5374" s="8">
        <v>7</v>
      </c>
      <c r="F5374" s="6" t="str">
        <f t="shared" si="1437"/>
        <v>PURE R</v>
      </c>
      <c r="G5374" s="6" t="str">
        <f>"R120203038500000"</f>
        <v>R120203038500000</v>
      </c>
      <c r="H5374" s="6" t="str">
        <f>"R 2030 - Ketten PURE"</f>
        <v>R 2030 - Ketten PURE</v>
      </c>
      <c r="I5374" s="6" t="str">
        <f t="shared" si="1446"/>
        <v>3073</v>
      </c>
      <c r="J5374" s="6" t="str">
        <f t="shared" si="1447"/>
        <v>CINZA 3073</v>
      </c>
      <c r="K5374" s="6" t="str">
        <f>"5006"</f>
        <v>5006</v>
      </c>
      <c r="L5374" s="6" t="str">
        <f t="shared" si="1442"/>
        <v>Roupões Adulto</v>
      </c>
      <c r="M5374" s="6" t="str">
        <f>"L"</f>
        <v>L</v>
      </c>
      <c r="N5374" s="6" t="str">
        <f>"5605247635968"</f>
        <v>5605247635968</v>
      </c>
      <c r="O5374" s="8">
        <v>12</v>
      </c>
      <c r="P5374" s="7">
        <v>46048</v>
      </c>
      <c r="R5374" s="8">
        <v>0</v>
      </c>
      <c r="S5374" s="7">
        <v>46051</v>
      </c>
      <c r="U5374" s="8">
        <v>0</v>
      </c>
      <c r="V5374" s="7">
        <v>46062</v>
      </c>
      <c r="X5374" s="8">
        <v>0</v>
      </c>
      <c r="Z5374" s="8">
        <v>0</v>
      </c>
      <c r="AA5374" s="7">
        <v>46076</v>
      </c>
      <c r="AC5374" s="8">
        <v>0</v>
      </c>
      <c r="AE5374" s="7">
        <v>46108</v>
      </c>
      <c r="AF5374" s="8">
        <v>0</v>
      </c>
      <c r="AH5374" s="7">
        <v>46108</v>
      </c>
      <c r="AI5374" s="7">
        <v>46106</v>
      </c>
      <c r="AN5374" s="8">
        <v>0</v>
      </c>
      <c r="AO5374" s="8">
        <v>12</v>
      </c>
    </row>
    <row r="5375" spans="1:41" x14ac:dyDescent="0.25">
      <c r="A5375" s="6" t="str">
        <f t="shared" si="1445"/>
        <v>525-2026000040</v>
      </c>
      <c r="B5375" s="6" t="str">
        <f t="shared" si="1436"/>
        <v>Lasa Int</v>
      </c>
      <c r="C5375" s="7">
        <v>46048</v>
      </c>
      <c r="D5375" s="7">
        <v>46108</v>
      </c>
      <c r="E5375" s="8">
        <v>8</v>
      </c>
      <c r="F5375" s="6" t="str">
        <f t="shared" si="1437"/>
        <v>PURE R</v>
      </c>
      <c r="G5375" s="6" t="str">
        <f>"R120203038500000"</f>
        <v>R120203038500000</v>
      </c>
      <c r="H5375" s="6" t="str">
        <f>"R 2030 - Ketten PURE"</f>
        <v>R 2030 - Ketten PURE</v>
      </c>
      <c r="I5375" s="6" t="str">
        <f t="shared" si="1446"/>
        <v>3073</v>
      </c>
      <c r="J5375" s="6" t="str">
        <f t="shared" si="1447"/>
        <v>CINZA 3073</v>
      </c>
      <c r="K5375" s="6" t="str">
        <f>"5008"</f>
        <v>5008</v>
      </c>
      <c r="L5375" s="6" t="str">
        <f t="shared" si="1442"/>
        <v>Roupões Adulto</v>
      </c>
      <c r="M5375" s="6" t="str">
        <f>"XL"</f>
        <v>XL</v>
      </c>
      <c r="N5375" s="6" t="str">
        <f>"5605247635975"</f>
        <v>5605247635975</v>
      </c>
      <c r="O5375" s="8">
        <v>24</v>
      </c>
      <c r="P5375" s="7">
        <v>46048</v>
      </c>
      <c r="R5375" s="8">
        <v>0</v>
      </c>
      <c r="S5375" s="7">
        <v>46051</v>
      </c>
      <c r="U5375" s="8">
        <v>0</v>
      </c>
      <c r="V5375" s="7">
        <v>46062</v>
      </c>
      <c r="X5375" s="8">
        <v>0</v>
      </c>
      <c r="Z5375" s="8">
        <v>0</v>
      </c>
      <c r="AA5375" s="7">
        <v>46076</v>
      </c>
      <c r="AC5375" s="8">
        <v>0</v>
      </c>
      <c r="AE5375" s="7">
        <v>46108</v>
      </c>
      <c r="AF5375" s="8">
        <v>0</v>
      </c>
      <c r="AH5375" s="7">
        <v>46108</v>
      </c>
      <c r="AI5375" s="7">
        <v>46106</v>
      </c>
      <c r="AN5375" s="8">
        <v>0</v>
      </c>
      <c r="AO5375" s="8">
        <v>24</v>
      </c>
    </row>
    <row r="5376" spans="1:41" x14ac:dyDescent="0.25">
      <c r="A5376" s="6" t="str">
        <f>"525-2026000041"</f>
        <v>525-2026000041</v>
      </c>
      <c r="B5376" s="6" t="str">
        <f t="shared" si="1436"/>
        <v>Lasa Int</v>
      </c>
      <c r="C5376" s="7">
        <v>46049</v>
      </c>
      <c r="D5376" s="7">
        <v>46052</v>
      </c>
      <c r="E5376" s="8">
        <v>1</v>
      </c>
      <c r="F5376" s="6" t="str">
        <f>"Logos"</f>
        <v>Logos</v>
      </c>
      <c r="G5376" s="6" t="str">
        <f>"R120319540006597"</f>
        <v>R120319540006597</v>
      </c>
      <c r="H5376" s="6" t="str">
        <f>"R 3195/6597 - Logos"</f>
        <v>R 3195/6597 - Logos</v>
      </c>
      <c r="I5376" s="6" t="str">
        <f>"1"</f>
        <v>1</v>
      </c>
      <c r="J5376" s="6" t="str">
        <f>"BRANCO"</f>
        <v>BRANCO</v>
      </c>
      <c r="K5376" s="6" t="str">
        <f>"5004"</f>
        <v>5004</v>
      </c>
      <c r="L5376" s="6" t="str">
        <f t="shared" si="1442"/>
        <v>Roupões Adulto</v>
      </c>
      <c r="M5376" s="6" t="str">
        <f>"M"</f>
        <v>M</v>
      </c>
      <c r="N5376" s="6" t="str">
        <f>"5602972286410"</f>
        <v>5602972286410</v>
      </c>
      <c r="O5376" s="8">
        <v>4</v>
      </c>
      <c r="P5376" s="7">
        <v>46049</v>
      </c>
      <c r="R5376" s="8">
        <v>0</v>
      </c>
      <c r="U5376" s="8">
        <v>0</v>
      </c>
      <c r="X5376" s="8">
        <v>0</v>
      </c>
      <c r="Z5376" s="8">
        <v>0</v>
      </c>
      <c r="AC5376" s="8">
        <v>0</v>
      </c>
      <c r="AE5376" s="7">
        <v>46056</v>
      </c>
      <c r="AF5376" s="8">
        <v>0</v>
      </c>
      <c r="AH5376" s="7">
        <v>46052</v>
      </c>
      <c r="AN5376" s="8">
        <v>0</v>
      </c>
      <c r="AO5376" s="8">
        <v>4</v>
      </c>
    </row>
    <row r="5377" spans="1:41" x14ac:dyDescent="0.25">
      <c r="A5377" s="6" t="str">
        <f>"525-2026000041"</f>
        <v>525-2026000041</v>
      </c>
      <c r="B5377" s="6" t="str">
        <f t="shared" si="1436"/>
        <v>Lasa Int</v>
      </c>
      <c r="C5377" s="7">
        <v>46049</v>
      </c>
      <c r="D5377" s="7">
        <v>46052</v>
      </c>
      <c r="E5377" s="8">
        <v>2</v>
      </c>
      <c r="F5377" s="6" t="str">
        <f>"Logos"</f>
        <v>Logos</v>
      </c>
      <c r="G5377" s="6" t="str">
        <f>"R120319540006597"</f>
        <v>R120319540006597</v>
      </c>
      <c r="H5377" s="6" t="str">
        <f>"R 3195/6597 - Logos"</f>
        <v>R 3195/6597 - Logos</v>
      </c>
      <c r="I5377" s="6" t="str">
        <f>"1"</f>
        <v>1</v>
      </c>
      <c r="J5377" s="6" t="str">
        <f>"BRANCO"</f>
        <v>BRANCO</v>
      </c>
      <c r="K5377" s="6" t="str">
        <f>"5006"</f>
        <v>5006</v>
      </c>
      <c r="L5377" s="6" t="str">
        <f t="shared" si="1442"/>
        <v>Roupões Adulto</v>
      </c>
      <c r="M5377" s="6" t="str">
        <f>"L"</f>
        <v>L</v>
      </c>
      <c r="N5377" s="6" t="str">
        <f>"5602972286427"</f>
        <v>5602972286427</v>
      </c>
      <c r="O5377" s="8">
        <v>4</v>
      </c>
      <c r="P5377" s="7">
        <v>46049</v>
      </c>
      <c r="R5377" s="8">
        <v>0</v>
      </c>
      <c r="U5377" s="8">
        <v>0</v>
      </c>
      <c r="X5377" s="8">
        <v>0</v>
      </c>
      <c r="Z5377" s="8">
        <v>0</v>
      </c>
      <c r="AC5377" s="8">
        <v>0</v>
      </c>
      <c r="AE5377" s="7">
        <v>46056</v>
      </c>
      <c r="AF5377" s="8">
        <v>0</v>
      </c>
      <c r="AH5377" s="7">
        <v>46052</v>
      </c>
      <c r="AN5377" s="8">
        <v>0</v>
      </c>
      <c r="AO5377" s="8">
        <v>4</v>
      </c>
    </row>
    <row r="5378" spans="1:41" x14ac:dyDescent="0.25">
      <c r="A5378" s="6" t="str">
        <f>"525-2026000041"</f>
        <v>525-2026000041</v>
      </c>
      <c r="B5378" s="6" t="str">
        <f t="shared" si="1436"/>
        <v>Lasa Int</v>
      </c>
      <c r="C5378" s="7">
        <v>46049</v>
      </c>
      <c r="D5378" s="7">
        <v>46052</v>
      </c>
      <c r="E5378" s="8">
        <v>3</v>
      </c>
      <c r="F5378" s="6" t="str">
        <f>"Logos"</f>
        <v>Logos</v>
      </c>
      <c r="G5378" s="6" t="str">
        <f>"F110108765000000"</f>
        <v>F110108765000000</v>
      </c>
      <c r="H5378" s="6" t="str">
        <f>"FAJP 1087 M - ROYAL"</f>
        <v>FAJP 1087 M - ROYAL</v>
      </c>
      <c r="I5378" s="6" t="str">
        <f>"2539"</f>
        <v>2539</v>
      </c>
      <c r="J5378" s="6" t="str">
        <f>"CASTANHO 2539"</f>
        <v>CASTANHO 2539</v>
      </c>
      <c r="K5378" s="6" t="str">
        <f>"0330"</f>
        <v>0330</v>
      </c>
      <c r="L5378" s="6" t="str">
        <f>"Panos"</f>
        <v>Panos</v>
      </c>
      <c r="M5378" s="6" t="str">
        <f>"33x33"</f>
        <v>33x33</v>
      </c>
      <c r="N5378" s="6" t="str">
        <f>"5602972717938"</f>
        <v>5602972717938</v>
      </c>
      <c r="O5378" s="8">
        <v>36</v>
      </c>
      <c r="P5378" s="7">
        <v>46049</v>
      </c>
      <c r="R5378" s="8">
        <v>0</v>
      </c>
      <c r="U5378" s="8">
        <v>0</v>
      </c>
      <c r="X5378" s="8">
        <v>0</v>
      </c>
      <c r="Z5378" s="8">
        <v>0</v>
      </c>
      <c r="AC5378" s="8">
        <v>0</v>
      </c>
      <c r="AE5378" s="7">
        <v>46056</v>
      </c>
      <c r="AF5378" s="8">
        <v>0</v>
      </c>
      <c r="AH5378" s="7">
        <v>46052</v>
      </c>
      <c r="AN5378" s="8">
        <v>0</v>
      </c>
      <c r="AO5378" s="8">
        <v>36</v>
      </c>
    </row>
    <row r="5379" spans="1:41" x14ac:dyDescent="0.25">
      <c r="A5379" s="6" t="str">
        <f>"525-2026000042"</f>
        <v>525-2026000042</v>
      </c>
      <c r="B5379" s="6" t="str">
        <f>"KLEINMAN"</f>
        <v>KLEINMAN</v>
      </c>
      <c r="C5379" s="7">
        <v>46050</v>
      </c>
      <c r="D5379" s="7">
        <v>46142</v>
      </c>
      <c r="E5379" s="8">
        <v>1</v>
      </c>
      <c r="F5379" s="6" t="str">
        <f>"lot Apbp"</f>
        <v>lot Apbp</v>
      </c>
      <c r="G5379" s="6" t="str">
        <f>"J001090426003109"</f>
        <v>J001090426003109</v>
      </c>
      <c r="H5379" s="6" t="str">
        <f>"Conj. CZJ 0904 / 310"</f>
        <v>Conj. CZJ 0904 / 310</v>
      </c>
      <c r="I5379" s="6" t="str">
        <f>"900284"</f>
        <v>900284</v>
      </c>
      <c r="J5379" s="6" t="str">
        <f>"7 Multi"</f>
        <v>7 Multi</v>
      </c>
      <c r="K5379" s="6" t="str">
        <f>"4015"</f>
        <v>4015</v>
      </c>
      <c r="L5379" s="6" t="str">
        <f>"Conjunto/Jogos"</f>
        <v>Conjunto/Jogos</v>
      </c>
      <c r="M5379" s="6" t="str">
        <f>"(3 Pcs)"</f>
        <v>(3 Pcs)</v>
      </c>
      <c r="N5379" s="6" t="str">
        <f>"5602972286434"</f>
        <v>5602972286434</v>
      </c>
      <c r="O5379" s="8">
        <v>3000</v>
      </c>
      <c r="P5379" s="7">
        <v>46091</v>
      </c>
      <c r="R5379" s="8">
        <v>0</v>
      </c>
      <c r="S5379" s="7">
        <v>46094</v>
      </c>
      <c r="U5379" s="8">
        <v>0</v>
      </c>
      <c r="V5379" s="7">
        <v>46099</v>
      </c>
      <c r="X5379" s="8">
        <v>0</v>
      </c>
      <c r="Z5379" s="8">
        <v>0</v>
      </c>
      <c r="AA5379" s="7">
        <v>46111</v>
      </c>
      <c r="AC5379" s="8">
        <v>0</v>
      </c>
      <c r="AE5379" s="7">
        <v>46142</v>
      </c>
      <c r="AF5379" s="8">
        <v>0</v>
      </c>
      <c r="AH5379" s="7">
        <v>46142</v>
      </c>
      <c r="AI5379" s="7">
        <v>46140</v>
      </c>
      <c r="AN5379" s="8">
        <v>0</v>
      </c>
      <c r="AO5379" s="8">
        <v>3000</v>
      </c>
    </row>
  </sheetData>
  <autoFilter ref="A1:AO5379" xr:uid="{55E16608-2B1C-4CB5-B988-4A737D39E662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csvC7D2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Silva</dc:creator>
  <cp:lastModifiedBy>Artur Silva</cp:lastModifiedBy>
  <dcterms:created xsi:type="dcterms:W3CDTF">2026-01-29T17:28:36Z</dcterms:created>
  <dcterms:modified xsi:type="dcterms:W3CDTF">2026-01-30T11:39:16Z</dcterms:modified>
</cp:coreProperties>
</file>